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joerd/Python venv/AoC2025/Day1/"/>
    </mc:Choice>
  </mc:AlternateContent>
  <xr:revisionPtr revIDLastSave="0" documentId="13_ncr:1_{6195026E-5AAD-1C4D-A6DD-8119DB90067B}" xr6:coauthVersionLast="47" xr6:coauthVersionMax="47" xr10:uidLastSave="{00000000-0000-0000-0000-000000000000}"/>
  <bookViews>
    <workbookView xWindow="38400" yWindow="620" windowWidth="29040" windowHeight="15980" activeTab="1" xr2:uid="{BAF90496-67BD-4071-8292-425D5204BF72}"/>
  </bookViews>
  <sheets>
    <sheet name="Part1" sheetId="1" r:id="rId1"/>
    <sheet name="Par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2" l="1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C14" i="2"/>
  <c r="C15" i="2"/>
  <c r="C16" i="2"/>
  <c r="C17" i="2"/>
  <c r="C18" i="2"/>
  <c r="C22" i="2"/>
  <c r="C23" i="2"/>
  <c r="C24" i="2"/>
  <c r="C25" i="2"/>
  <c r="C26" i="2"/>
  <c r="C30" i="2"/>
  <c r="C31" i="2"/>
  <c r="C32" i="2"/>
  <c r="C33" i="2"/>
  <c r="C34" i="2"/>
  <c r="C38" i="2"/>
  <c r="C39" i="2"/>
  <c r="C40" i="2"/>
  <c r="C41" i="2"/>
  <c r="C42" i="2"/>
  <c r="C46" i="2"/>
  <c r="C47" i="2"/>
  <c r="C48" i="2"/>
  <c r="C49" i="2"/>
  <c r="C50" i="2"/>
  <c r="C54" i="2"/>
  <c r="C55" i="2"/>
  <c r="C56" i="2"/>
  <c r="C57" i="2"/>
  <c r="C58" i="2"/>
  <c r="C62" i="2"/>
  <c r="C63" i="2"/>
  <c r="C64" i="2"/>
  <c r="C65" i="2"/>
  <c r="C66" i="2"/>
  <c r="C70" i="2"/>
  <c r="C71" i="2"/>
  <c r="C72" i="2"/>
  <c r="C73" i="2"/>
  <c r="C74" i="2"/>
  <c r="C78" i="2"/>
  <c r="C79" i="2"/>
  <c r="C80" i="2"/>
  <c r="C81" i="2"/>
  <c r="C82" i="2"/>
  <c r="C86" i="2"/>
  <c r="C87" i="2"/>
  <c r="C88" i="2"/>
  <c r="C89" i="2"/>
  <c r="C90" i="2"/>
  <c r="C94" i="2"/>
  <c r="C95" i="2"/>
  <c r="C96" i="2"/>
  <c r="C97" i="2"/>
  <c r="C98" i="2"/>
  <c r="C102" i="2"/>
  <c r="C103" i="2"/>
  <c r="C104" i="2"/>
  <c r="C105" i="2"/>
  <c r="C106" i="2"/>
  <c r="C110" i="2"/>
  <c r="C111" i="2"/>
  <c r="C112" i="2"/>
  <c r="C113" i="2"/>
  <c r="C114" i="2"/>
  <c r="C118" i="2"/>
  <c r="C119" i="2"/>
  <c r="C120" i="2"/>
  <c r="C121" i="2"/>
  <c r="C122" i="2"/>
  <c r="C126" i="2"/>
  <c r="C127" i="2"/>
  <c r="C128" i="2"/>
  <c r="C129" i="2"/>
  <c r="C130" i="2"/>
  <c r="C134" i="2"/>
  <c r="C135" i="2"/>
  <c r="C136" i="2"/>
  <c r="C137" i="2"/>
  <c r="C138" i="2"/>
  <c r="C142" i="2"/>
  <c r="C143" i="2"/>
  <c r="C144" i="2"/>
  <c r="C145" i="2"/>
  <c r="C146" i="2"/>
  <c r="C150" i="2"/>
  <c r="C151" i="2"/>
  <c r="C152" i="2"/>
  <c r="C153" i="2"/>
  <c r="C154" i="2"/>
  <c r="C158" i="2"/>
  <c r="C159" i="2"/>
  <c r="C160" i="2"/>
  <c r="C161" i="2"/>
  <c r="C162" i="2"/>
  <c r="C166" i="2"/>
  <c r="C167" i="2"/>
  <c r="C168" i="2"/>
  <c r="C169" i="2"/>
  <c r="C170" i="2"/>
  <c r="C174" i="2"/>
  <c r="C175" i="2"/>
  <c r="C176" i="2"/>
  <c r="C177" i="2"/>
  <c r="C178" i="2"/>
  <c r="C182" i="2"/>
  <c r="C183" i="2"/>
  <c r="C184" i="2"/>
  <c r="C185" i="2"/>
  <c r="C186" i="2"/>
  <c r="C190" i="2"/>
  <c r="C191" i="2"/>
  <c r="C192" i="2"/>
  <c r="C193" i="2"/>
  <c r="C194" i="2"/>
  <c r="C198" i="2"/>
  <c r="C199" i="2"/>
  <c r="C200" i="2"/>
  <c r="C201" i="2"/>
  <c r="C202" i="2"/>
  <c r="C206" i="2"/>
  <c r="C207" i="2"/>
  <c r="C208" i="2"/>
  <c r="C209" i="2"/>
  <c r="C210" i="2"/>
  <c r="C214" i="2"/>
  <c r="C215" i="2"/>
  <c r="C216" i="2"/>
  <c r="C217" i="2"/>
  <c r="C218" i="2"/>
  <c r="C222" i="2"/>
  <c r="C223" i="2"/>
  <c r="C224" i="2"/>
  <c r="C225" i="2"/>
  <c r="C226" i="2"/>
  <c r="C230" i="2"/>
  <c r="C231" i="2"/>
  <c r="C232" i="2"/>
  <c r="C233" i="2"/>
  <c r="C234" i="2"/>
  <c r="C238" i="2"/>
  <c r="C239" i="2"/>
  <c r="C240" i="2"/>
  <c r="C241" i="2"/>
  <c r="C242" i="2"/>
  <c r="C246" i="2"/>
  <c r="C247" i="2"/>
  <c r="C248" i="2"/>
  <c r="C249" i="2"/>
  <c r="C250" i="2"/>
  <c r="C254" i="2"/>
  <c r="C255" i="2"/>
  <c r="C256" i="2"/>
  <c r="C257" i="2"/>
  <c r="C258" i="2"/>
  <c r="C262" i="2"/>
  <c r="C263" i="2"/>
  <c r="C264" i="2"/>
  <c r="C265" i="2"/>
  <c r="C266" i="2"/>
  <c r="C270" i="2"/>
  <c r="C271" i="2"/>
  <c r="C272" i="2"/>
  <c r="C273" i="2"/>
  <c r="C274" i="2"/>
  <c r="C278" i="2"/>
  <c r="C279" i="2"/>
  <c r="C280" i="2"/>
  <c r="C281" i="2"/>
  <c r="C282" i="2"/>
  <c r="C286" i="2"/>
  <c r="C287" i="2"/>
  <c r="C288" i="2"/>
  <c r="C289" i="2"/>
  <c r="C290" i="2"/>
  <c r="C294" i="2"/>
  <c r="C295" i="2"/>
  <c r="C296" i="2"/>
  <c r="C297" i="2"/>
  <c r="C298" i="2"/>
  <c r="C302" i="2"/>
  <c r="C303" i="2"/>
  <c r="C304" i="2"/>
  <c r="C305" i="2"/>
  <c r="C306" i="2"/>
  <c r="C310" i="2"/>
  <c r="C311" i="2"/>
  <c r="C312" i="2"/>
  <c r="C313" i="2"/>
  <c r="C314" i="2"/>
  <c r="C318" i="2"/>
  <c r="C319" i="2"/>
  <c r="C320" i="2"/>
  <c r="C321" i="2"/>
  <c r="C322" i="2"/>
  <c r="C326" i="2"/>
  <c r="C327" i="2"/>
  <c r="C328" i="2"/>
  <c r="C329" i="2"/>
  <c r="C330" i="2"/>
  <c r="C334" i="2"/>
  <c r="C335" i="2"/>
  <c r="C336" i="2"/>
  <c r="C337" i="2"/>
  <c r="C338" i="2"/>
  <c r="C342" i="2"/>
  <c r="C343" i="2"/>
  <c r="C344" i="2"/>
  <c r="C345" i="2"/>
  <c r="C346" i="2"/>
  <c r="C350" i="2"/>
  <c r="C351" i="2"/>
  <c r="C352" i="2"/>
  <c r="C353" i="2"/>
  <c r="C354" i="2"/>
  <c r="C358" i="2"/>
  <c r="C359" i="2"/>
  <c r="C360" i="2"/>
  <c r="C361" i="2"/>
  <c r="C362" i="2"/>
  <c r="C366" i="2"/>
  <c r="C367" i="2"/>
  <c r="C368" i="2"/>
  <c r="C369" i="2"/>
  <c r="C370" i="2"/>
  <c r="C374" i="2"/>
  <c r="C375" i="2"/>
  <c r="C376" i="2"/>
  <c r="C377" i="2"/>
  <c r="C378" i="2"/>
  <c r="C382" i="2"/>
  <c r="C383" i="2"/>
  <c r="C384" i="2"/>
  <c r="C385" i="2"/>
  <c r="C386" i="2"/>
  <c r="C390" i="2"/>
  <c r="C391" i="2"/>
  <c r="C392" i="2"/>
  <c r="C393" i="2"/>
  <c r="C394" i="2"/>
  <c r="C398" i="2"/>
  <c r="C399" i="2"/>
  <c r="C400" i="2"/>
  <c r="C401" i="2"/>
  <c r="C402" i="2"/>
  <c r="C406" i="2"/>
  <c r="C407" i="2"/>
  <c r="C408" i="2"/>
  <c r="C409" i="2"/>
  <c r="C410" i="2"/>
  <c r="C414" i="2"/>
  <c r="C415" i="2"/>
  <c r="C416" i="2"/>
  <c r="C417" i="2"/>
  <c r="C418" i="2"/>
  <c r="C422" i="2"/>
  <c r="C423" i="2"/>
  <c r="C424" i="2"/>
  <c r="C425" i="2"/>
  <c r="C426" i="2"/>
  <c r="C430" i="2"/>
  <c r="C431" i="2"/>
  <c r="C432" i="2"/>
  <c r="C433" i="2"/>
  <c r="C434" i="2"/>
  <c r="C438" i="2"/>
  <c r="C439" i="2"/>
  <c r="C440" i="2"/>
  <c r="C441" i="2"/>
  <c r="C442" i="2"/>
  <c r="C446" i="2"/>
  <c r="C447" i="2"/>
  <c r="C448" i="2"/>
  <c r="C449" i="2"/>
  <c r="C450" i="2"/>
  <c r="C454" i="2"/>
  <c r="C455" i="2"/>
  <c r="C456" i="2"/>
  <c r="C457" i="2"/>
  <c r="C458" i="2"/>
  <c r="C462" i="2"/>
  <c r="C463" i="2"/>
  <c r="C464" i="2"/>
  <c r="C465" i="2"/>
  <c r="C466" i="2"/>
  <c r="C470" i="2"/>
  <c r="C471" i="2"/>
  <c r="C472" i="2"/>
  <c r="C473" i="2"/>
  <c r="C474" i="2"/>
  <c r="C478" i="2"/>
  <c r="C479" i="2"/>
  <c r="C480" i="2"/>
  <c r="C481" i="2"/>
  <c r="C482" i="2"/>
  <c r="C486" i="2"/>
  <c r="C487" i="2"/>
  <c r="C488" i="2"/>
  <c r="C489" i="2"/>
  <c r="C490" i="2"/>
  <c r="C494" i="2"/>
  <c r="C495" i="2"/>
  <c r="C496" i="2"/>
  <c r="C497" i="2"/>
  <c r="C498" i="2"/>
  <c r="C502" i="2"/>
  <c r="C503" i="2"/>
  <c r="C504" i="2"/>
  <c r="C505" i="2"/>
  <c r="C506" i="2"/>
  <c r="C510" i="2"/>
  <c r="C511" i="2"/>
  <c r="C512" i="2"/>
  <c r="C513" i="2"/>
  <c r="C514" i="2"/>
  <c r="C518" i="2"/>
  <c r="C519" i="2"/>
  <c r="C520" i="2"/>
  <c r="C521" i="2"/>
  <c r="C522" i="2"/>
  <c r="C526" i="2"/>
  <c r="C527" i="2"/>
  <c r="C528" i="2"/>
  <c r="C529" i="2"/>
  <c r="C530" i="2"/>
  <c r="C534" i="2"/>
  <c r="C535" i="2"/>
  <c r="C536" i="2"/>
  <c r="C537" i="2"/>
  <c r="C538" i="2"/>
  <c r="C542" i="2"/>
  <c r="C543" i="2"/>
  <c r="C544" i="2"/>
  <c r="C545" i="2"/>
  <c r="C546" i="2"/>
  <c r="C550" i="2"/>
  <c r="C551" i="2"/>
  <c r="C552" i="2"/>
  <c r="C553" i="2"/>
  <c r="C554" i="2"/>
  <c r="C558" i="2"/>
  <c r="C559" i="2"/>
  <c r="C560" i="2"/>
  <c r="C561" i="2"/>
  <c r="C562" i="2"/>
  <c r="C566" i="2"/>
  <c r="C567" i="2"/>
  <c r="C568" i="2"/>
  <c r="C569" i="2"/>
  <c r="C570" i="2"/>
  <c r="C574" i="2"/>
  <c r="C575" i="2"/>
  <c r="C576" i="2"/>
  <c r="C577" i="2"/>
  <c r="C578" i="2"/>
  <c r="C580" i="2"/>
  <c r="C582" i="2"/>
  <c r="C583" i="2"/>
  <c r="C584" i="2"/>
  <c r="C585" i="2"/>
  <c r="C586" i="2"/>
  <c r="C590" i="2"/>
  <c r="C591" i="2"/>
  <c r="C592" i="2"/>
  <c r="C593" i="2"/>
  <c r="C594" i="2"/>
  <c r="C598" i="2"/>
  <c r="C599" i="2"/>
  <c r="C600" i="2"/>
  <c r="C601" i="2"/>
  <c r="C602" i="2"/>
  <c r="C606" i="2"/>
  <c r="C607" i="2"/>
  <c r="C608" i="2"/>
  <c r="C609" i="2"/>
  <c r="C610" i="2"/>
  <c r="C614" i="2"/>
  <c r="C615" i="2"/>
  <c r="C616" i="2"/>
  <c r="C617" i="2"/>
  <c r="C618" i="2"/>
  <c r="C622" i="2"/>
  <c r="C623" i="2"/>
  <c r="C624" i="2"/>
  <c r="C625" i="2"/>
  <c r="C626" i="2"/>
  <c r="C630" i="2"/>
  <c r="C631" i="2"/>
  <c r="C632" i="2"/>
  <c r="C633" i="2"/>
  <c r="C634" i="2"/>
  <c r="C638" i="2"/>
  <c r="C639" i="2"/>
  <c r="C640" i="2"/>
  <c r="C641" i="2"/>
  <c r="C642" i="2"/>
  <c r="C646" i="2"/>
  <c r="C647" i="2"/>
  <c r="C648" i="2"/>
  <c r="C649" i="2"/>
  <c r="C650" i="2"/>
  <c r="C654" i="2"/>
  <c r="C655" i="2"/>
  <c r="C656" i="2"/>
  <c r="C657" i="2"/>
  <c r="C658" i="2"/>
  <c r="C662" i="2"/>
  <c r="C663" i="2"/>
  <c r="C664" i="2"/>
  <c r="C665" i="2"/>
  <c r="C666" i="2"/>
  <c r="C670" i="2"/>
  <c r="C671" i="2"/>
  <c r="C672" i="2"/>
  <c r="C673" i="2"/>
  <c r="C674" i="2"/>
  <c r="C678" i="2"/>
  <c r="C679" i="2"/>
  <c r="C680" i="2"/>
  <c r="C681" i="2"/>
  <c r="C682" i="2"/>
  <c r="C686" i="2"/>
  <c r="C687" i="2"/>
  <c r="C688" i="2"/>
  <c r="C689" i="2"/>
  <c r="C690" i="2"/>
  <c r="C694" i="2"/>
  <c r="C695" i="2"/>
  <c r="C696" i="2"/>
  <c r="C697" i="2"/>
  <c r="C698" i="2"/>
  <c r="C702" i="2"/>
  <c r="C703" i="2"/>
  <c r="C704" i="2"/>
  <c r="C705" i="2"/>
  <c r="C706" i="2"/>
  <c r="C710" i="2"/>
  <c r="C711" i="2"/>
  <c r="C712" i="2"/>
  <c r="C713" i="2"/>
  <c r="C714" i="2"/>
  <c r="C718" i="2"/>
  <c r="C719" i="2"/>
  <c r="C720" i="2"/>
  <c r="C721" i="2"/>
  <c r="C722" i="2"/>
  <c r="C726" i="2"/>
  <c r="C727" i="2"/>
  <c r="C728" i="2"/>
  <c r="C729" i="2"/>
  <c r="C730" i="2"/>
  <c r="C734" i="2"/>
  <c r="C735" i="2"/>
  <c r="C736" i="2"/>
  <c r="C737" i="2"/>
  <c r="C738" i="2"/>
  <c r="C742" i="2"/>
  <c r="C743" i="2"/>
  <c r="C744" i="2"/>
  <c r="C745" i="2"/>
  <c r="C746" i="2"/>
  <c r="C750" i="2"/>
  <c r="C751" i="2"/>
  <c r="C752" i="2"/>
  <c r="C753" i="2"/>
  <c r="C754" i="2"/>
  <c r="C758" i="2"/>
  <c r="C759" i="2"/>
  <c r="C760" i="2"/>
  <c r="C761" i="2"/>
  <c r="C762" i="2"/>
  <c r="C766" i="2"/>
  <c r="C767" i="2"/>
  <c r="C768" i="2"/>
  <c r="C769" i="2"/>
  <c r="C770" i="2"/>
  <c r="C774" i="2"/>
  <c r="C775" i="2"/>
  <c r="C776" i="2"/>
  <c r="C777" i="2"/>
  <c r="C778" i="2"/>
  <c r="C782" i="2"/>
  <c r="C783" i="2"/>
  <c r="C784" i="2"/>
  <c r="C785" i="2"/>
  <c r="C786" i="2"/>
  <c r="C790" i="2"/>
  <c r="C791" i="2"/>
  <c r="C792" i="2"/>
  <c r="C793" i="2"/>
  <c r="C794" i="2"/>
  <c r="C798" i="2"/>
  <c r="C799" i="2"/>
  <c r="C800" i="2"/>
  <c r="C801" i="2"/>
  <c r="C802" i="2"/>
  <c r="C806" i="2"/>
  <c r="C807" i="2"/>
  <c r="C808" i="2"/>
  <c r="C809" i="2"/>
  <c r="C810" i="2"/>
  <c r="C814" i="2"/>
  <c r="C815" i="2"/>
  <c r="C816" i="2"/>
  <c r="C817" i="2"/>
  <c r="C818" i="2"/>
  <c r="C822" i="2"/>
  <c r="C823" i="2"/>
  <c r="C824" i="2"/>
  <c r="C825" i="2"/>
  <c r="C826" i="2"/>
  <c r="C830" i="2"/>
  <c r="C831" i="2"/>
  <c r="C832" i="2"/>
  <c r="C833" i="2"/>
  <c r="C834" i="2"/>
  <c r="C838" i="2"/>
  <c r="C839" i="2"/>
  <c r="C840" i="2"/>
  <c r="C841" i="2"/>
  <c r="C842" i="2"/>
  <c r="C846" i="2"/>
  <c r="C847" i="2"/>
  <c r="C848" i="2"/>
  <c r="C849" i="2"/>
  <c r="C850" i="2"/>
  <c r="C854" i="2"/>
  <c r="C855" i="2"/>
  <c r="C856" i="2"/>
  <c r="C857" i="2"/>
  <c r="C858" i="2"/>
  <c r="C862" i="2"/>
  <c r="C863" i="2"/>
  <c r="C864" i="2"/>
  <c r="C865" i="2"/>
  <c r="C866" i="2"/>
  <c r="C870" i="2"/>
  <c r="C871" i="2"/>
  <c r="C872" i="2"/>
  <c r="C873" i="2"/>
  <c r="C874" i="2"/>
  <c r="C878" i="2"/>
  <c r="C879" i="2"/>
  <c r="C880" i="2"/>
  <c r="C881" i="2"/>
  <c r="C882" i="2"/>
  <c r="C886" i="2"/>
  <c r="C887" i="2"/>
  <c r="C888" i="2"/>
  <c r="C889" i="2"/>
  <c r="C890" i="2"/>
  <c r="C894" i="2"/>
  <c r="C895" i="2"/>
  <c r="C896" i="2"/>
  <c r="C897" i="2"/>
  <c r="C898" i="2"/>
  <c r="C902" i="2"/>
  <c r="C903" i="2"/>
  <c r="C904" i="2"/>
  <c r="C905" i="2"/>
  <c r="C906" i="2"/>
  <c r="C910" i="2"/>
  <c r="C911" i="2"/>
  <c r="C912" i="2"/>
  <c r="C913" i="2"/>
  <c r="C914" i="2"/>
  <c r="C918" i="2"/>
  <c r="C919" i="2"/>
  <c r="C920" i="2"/>
  <c r="C921" i="2"/>
  <c r="C922" i="2"/>
  <c r="C926" i="2"/>
  <c r="C927" i="2"/>
  <c r="C928" i="2"/>
  <c r="C929" i="2"/>
  <c r="C930" i="2"/>
  <c r="C934" i="2"/>
  <c r="C935" i="2"/>
  <c r="C936" i="2"/>
  <c r="C937" i="2"/>
  <c r="C938" i="2"/>
  <c r="C942" i="2"/>
  <c r="C943" i="2"/>
  <c r="C944" i="2"/>
  <c r="C945" i="2"/>
  <c r="C946" i="2"/>
  <c r="C950" i="2"/>
  <c r="C951" i="2"/>
  <c r="C952" i="2"/>
  <c r="C953" i="2"/>
  <c r="C954" i="2"/>
  <c r="C958" i="2"/>
  <c r="C959" i="2"/>
  <c r="C960" i="2"/>
  <c r="C961" i="2"/>
  <c r="C962" i="2"/>
  <c r="C966" i="2"/>
  <c r="C967" i="2"/>
  <c r="C968" i="2"/>
  <c r="C969" i="2"/>
  <c r="C970" i="2"/>
  <c r="C974" i="2"/>
  <c r="C975" i="2"/>
  <c r="C976" i="2"/>
  <c r="C977" i="2"/>
  <c r="C978" i="2"/>
  <c r="C982" i="2"/>
  <c r="C983" i="2"/>
  <c r="C984" i="2"/>
  <c r="C985" i="2"/>
  <c r="C986" i="2"/>
  <c r="C990" i="2"/>
  <c r="C991" i="2"/>
  <c r="C992" i="2"/>
  <c r="C993" i="2"/>
  <c r="C994" i="2"/>
  <c r="C998" i="2"/>
  <c r="C999" i="2"/>
  <c r="C1000" i="2"/>
  <c r="C1001" i="2"/>
  <c r="C1002" i="2"/>
  <c r="C1006" i="2"/>
  <c r="C1007" i="2"/>
  <c r="C1008" i="2"/>
  <c r="C1009" i="2"/>
  <c r="C1010" i="2"/>
  <c r="C1014" i="2"/>
  <c r="C1015" i="2"/>
  <c r="C1016" i="2"/>
  <c r="C1017" i="2"/>
  <c r="C1018" i="2"/>
  <c r="C1022" i="2"/>
  <c r="C1023" i="2"/>
  <c r="C1024" i="2"/>
  <c r="C1025" i="2"/>
  <c r="C1026" i="2"/>
  <c r="C1030" i="2"/>
  <c r="C1031" i="2"/>
  <c r="C1032" i="2"/>
  <c r="C1033" i="2"/>
  <c r="C1034" i="2"/>
  <c r="C1038" i="2"/>
  <c r="C1039" i="2"/>
  <c r="C1040" i="2"/>
  <c r="C1041" i="2"/>
  <c r="C1042" i="2"/>
  <c r="C1046" i="2"/>
  <c r="C1047" i="2"/>
  <c r="C1048" i="2"/>
  <c r="C1049" i="2"/>
  <c r="C1050" i="2"/>
  <c r="C1054" i="2"/>
  <c r="C1055" i="2"/>
  <c r="C1056" i="2"/>
  <c r="C1057" i="2"/>
  <c r="C1058" i="2"/>
  <c r="C1062" i="2"/>
  <c r="C1063" i="2"/>
  <c r="C1064" i="2"/>
  <c r="C1065" i="2"/>
  <c r="C1066" i="2"/>
  <c r="C1070" i="2"/>
  <c r="C1071" i="2"/>
  <c r="C1072" i="2"/>
  <c r="C1073" i="2"/>
  <c r="C1074" i="2"/>
  <c r="C1078" i="2"/>
  <c r="C1079" i="2"/>
  <c r="C1080" i="2"/>
  <c r="C1081" i="2"/>
  <c r="C1082" i="2"/>
  <c r="C1086" i="2"/>
  <c r="C1087" i="2"/>
  <c r="C1088" i="2"/>
  <c r="C1089" i="2"/>
  <c r="C1090" i="2"/>
  <c r="C1094" i="2"/>
  <c r="C1095" i="2"/>
  <c r="C1096" i="2"/>
  <c r="C1097" i="2"/>
  <c r="C1098" i="2"/>
  <c r="C1102" i="2"/>
  <c r="C1103" i="2"/>
  <c r="C1104" i="2"/>
  <c r="C1105" i="2"/>
  <c r="C1106" i="2"/>
  <c r="C1110" i="2"/>
  <c r="C1111" i="2"/>
  <c r="C1112" i="2"/>
  <c r="C1113" i="2"/>
  <c r="C1114" i="2"/>
  <c r="C1118" i="2"/>
  <c r="C1119" i="2"/>
  <c r="C1120" i="2"/>
  <c r="C1121" i="2"/>
  <c r="C1122" i="2"/>
  <c r="C1126" i="2"/>
  <c r="C1127" i="2"/>
  <c r="C1128" i="2"/>
  <c r="C1129" i="2"/>
  <c r="C1130" i="2"/>
  <c r="C1134" i="2"/>
  <c r="C1135" i="2"/>
  <c r="C1136" i="2"/>
  <c r="C1137" i="2"/>
  <c r="C1138" i="2"/>
  <c r="C1142" i="2"/>
  <c r="C1143" i="2"/>
  <c r="C1144" i="2"/>
  <c r="C1145" i="2"/>
  <c r="C1146" i="2"/>
  <c r="C1150" i="2"/>
  <c r="C1151" i="2"/>
  <c r="C1152" i="2"/>
  <c r="C1153" i="2"/>
  <c r="C1154" i="2"/>
  <c r="C1158" i="2"/>
  <c r="C1159" i="2"/>
  <c r="C1160" i="2"/>
  <c r="C1161" i="2"/>
  <c r="C1162" i="2"/>
  <c r="C1166" i="2"/>
  <c r="C1167" i="2"/>
  <c r="C1168" i="2"/>
  <c r="C1169" i="2"/>
  <c r="C1170" i="2"/>
  <c r="C1174" i="2"/>
  <c r="C1175" i="2"/>
  <c r="C1176" i="2"/>
  <c r="C1177" i="2"/>
  <c r="C1178" i="2"/>
  <c r="C1182" i="2"/>
  <c r="C1183" i="2"/>
  <c r="C1184" i="2"/>
  <c r="C1185" i="2"/>
  <c r="C1186" i="2"/>
  <c r="C1190" i="2"/>
  <c r="C1191" i="2"/>
  <c r="C1192" i="2"/>
  <c r="C1193" i="2"/>
  <c r="C1194" i="2"/>
  <c r="C1198" i="2"/>
  <c r="C1199" i="2"/>
  <c r="C1200" i="2"/>
  <c r="C1201" i="2"/>
  <c r="C1202" i="2"/>
  <c r="C1206" i="2"/>
  <c r="C1207" i="2"/>
  <c r="C1208" i="2"/>
  <c r="C1209" i="2"/>
  <c r="C1210" i="2"/>
  <c r="C1214" i="2"/>
  <c r="C1215" i="2"/>
  <c r="C1216" i="2"/>
  <c r="C1217" i="2"/>
  <c r="C1218" i="2"/>
  <c r="C1222" i="2"/>
  <c r="C1223" i="2"/>
  <c r="C1224" i="2"/>
  <c r="C1225" i="2"/>
  <c r="C1226" i="2"/>
  <c r="C1230" i="2"/>
  <c r="C1231" i="2"/>
  <c r="C1232" i="2"/>
  <c r="C1233" i="2"/>
  <c r="C1234" i="2"/>
  <c r="C1238" i="2"/>
  <c r="C1239" i="2"/>
  <c r="C1240" i="2"/>
  <c r="C1241" i="2"/>
  <c r="C1242" i="2"/>
  <c r="C1246" i="2"/>
  <c r="C1247" i="2"/>
  <c r="C1248" i="2"/>
  <c r="C1249" i="2"/>
  <c r="C1250" i="2"/>
  <c r="C1254" i="2"/>
  <c r="C1255" i="2"/>
  <c r="C1256" i="2"/>
  <c r="C1257" i="2"/>
  <c r="C1258" i="2"/>
  <c r="C1262" i="2"/>
  <c r="C1263" i="2"/>
  <c r="C1264" i="2"/>
  <c r="C1265" i="2"/>
  <c r="C1266" i="2"/>
  <c r="C1270" i="2"/>
  <c r="C1271" i="2"/>
  <c r="C1272" i="2"/>
  <c r="C1273" i="2"/>
  <c r="C1274" i="2"/>
  <c r="C1278" i="2"/>
  <c r="C1279" i="2"/>
  <c r="C1280" i="2"/>
  <c r="C1281" i="2"/>
  <c r="C1282" i="2"/>
  <c r="C1286" i="2"/>
  <c r="C1287" i="2"/>
  <c r="C1288" i="2"/>
  <c r="C1289" i="2"/>
  <c r="C1290" i="2"/>
  <c r="C1294" i="2"/>
  <c r="C1295" i="2"/>
  <c r="C1296" i="2"/>
  <c r="C1297" i="2"/>
  <c r="C1298" i="2"/>
  <c r="C1302" i="2"/>
  <c r="C1303" i="2"/>
  <c r="C1304" i="2"/>
  <c r="C1305" i="2"/>
  <c r="C1306" i="2"/>
  <c r="C1310" i="2"/>
  <c r="C1311" i="2"/>
  <c r="C1312" i="2"/>
  <c r="C1313" i="2"/>
  <c r="C1314" i="2"/>
  <c r="C1318" i="2"/>
  <c r="C1319" i="2"/>
  <c r="C1320" i="2"/>
  <c r="C1321" i="2"/>
  <c r="C1322" i="2"/>
  <c r="C1326" i="2"/>
  <c r="C1327" i="2"/>
  <c r="C1328" i="2"/>
  <c r="C1329" i="2"/>
  <c r="C1330" i="2"/>
  <c r="C1334" i="2"/>
  <c r="C1335" i="2"/>
  <c r="C1336" i="2"/>
  <c r="C1337" i="2"/>
  <c r="C1338" i="2"/>
  <c r="C1342" i="2"/>
  <c r="C1343" i="2"/>
  <c r="C1344" i="2"/>
  <c r="C1345" i="2"/>
  <c r="C1346" i="2"/>
  <c r="C1350" i="2"/>
  <c r="C1351" i="2"/>
  <c r="C1352" i="2"/>
  <c r="C1353" i="2"/>
  <c r="C1354" i="2"/>
  <c r="C1358" i="2"/>
  <c r="C1359" i="2"/>
  <c r="C1360" i="2"/>
  <c r="C1361" i="2"/>
  <c r="C1362" i="2"/>
  <c r="C1366" i="2"/>
  <c r="C1367" i="2"/>
  <c r="C1368" i="2"/>
  <c r="C1369" i="2"/>
  <c r="C1370" i="2"/>
  <c r="C1374" i="2"/>
  <c r="C1375" i="2"/>
  <c r="C1376" i="2"/>
  <c r="C1377" i="2"/>
  <c r="C1378" i="2"/>
  <c r="C1382" i="2"/>
  <c r="C1383" i="2"/>
  <c r="C1384" i="2"/>
  <c r="C1385" i="2"/>
  <c r="C1386" i="2"/>
  <c r="C1390" i="2"/>
  <c r="C1391" i="2"/>
  <c r="C1392" i="2"/>
  <c r="C1393" i="2"/>
  <c r="C1394" i="2"/>
  <c r="C1398" i="2"/>
  <c r="C1399" i="2"/>
  <c r="C1400" i="2"/>
  <c r="C1401" i="2"/>
  <c r="C1402" i="2"/>
  <c r="C1406" i="2"/>
  <c r="C1407" i="2"/>
  <c r="C1408" i="2"/>
  <c r="C1409" i="2"/>
  <c r="C1410" i="2"/>
  <c r="C1414" i="2"/>
  <c r="C1415" i="2"/>
  <c r="C1416" i="2"/>
  <c r="C1417" i="2"/>
  <c r="C1418" i="2"/>
  <c r="C1422" i="2"/>
  <c r="C1423" i="2"/>
  <c r="C1424" i="2"/>
  <c r="C1425" i="2"/>
  <c r="C1426" i="2"/>
  <c r="C1430" i="2"/>
  <c r="C1431" i="2"/>
  <c r="C1432" i="2"/>
  <c r="C1433" i="2"/>
  <c r="C1434" i="2"/>
  <c r="C1438" i="2"/>
  <c r="C1439" i="2"/>
  <c r="C1440" i="2"/>
  <c r="C1441" i="2"/>
  <c r="C1442" i="2"/>
  <c r="C1446" i="2"/>
  <c r="C1447" i="2"/>
  <c r="C1448" i="2"/>
  <c r="C1449" i="2"/>
  <c r="C1450" i="2"/>
  <c r="C1454" i="2"/>
  <c r="C1455" i="2"/>
  <c r="C1456" i="2"/>
  <c r="C1457" i="2"/>
  <c r="C1458" i="2"/>
  <c r="C1462" i="2"/>
  <c r="C1463" i="2"/>
  <c r="C1464" i="2"/>
  <c r="C1465" i="2"/>
  <c r="C1466" i="2"/>
  <c r="C1470" i="2"/>
  <c r="C1471" i="2"/>
  <c r="C1472" i="2"/>
  <c r="C1473" i="2"/>
  <c r="C1474" i="2"/>
  <c r="C1478" i="2"/>
  <c r="C1479" i="2"/>
  <c r="C1480" i="2"/>
  <c r="C1481" i="2"/>
  <c r="C1482" i="2"/>
  <c r="C1486" i="2"/>
  <c r="C1487" i="2"/>
  <c r="C1488" i="2"/>
  <c r="C1489" i="2"/>
  <c r="C1490" i="2"/>
  <c r="C1494" i="2"/>
  <c r="C1495" i="2"/>
  <c r="C1496" i="2"/>
  <c r="C1497" i="2"/>
  <c r="C1498" i="2"/>
  <c r="C1502" i="2"/>
  <c r="C1503" i="2"/>
  <c r="C1504" i="2"/>
  <c r="C1505" i="2"/>
  <c r="C1506" i="2"/>
  <c r="C1510" i="2"/>
  <c r="C1511" i="2"/>
  <c r="C1512" i="2"/>
  <c r="C1513" i="2"/>
  <c r="C1514" i="2"/>
  <c r="C1518" i="2"/>
  <c r="C1519" i="2"/>
  <c r="C1520" i="2"/>
  <c r="C1521" i="2"/>
  <c r="C1522" i="2"/>
  <c r="C1526" i="2"/>
  <c r="C1527" i="2"/>
  <c r="C1528" i="2"/>
  <c r="C1529" i="2"/>
  <c r="C1530" i="2"/>
  <c r="C1534" i="2"/>
  <c r="C1535" i="2"/>
  <c r="C1536" i="2"/>
  <c r="C1537" i="2"/>
  <c r="C1538" i="2"/>
  <c r="C1542" i="2"/>
  <c r="C1543" i="2"/>
  <c r="C1544" i="2"/>
  <c r="C1545" i="2"/>
  <c r="C1546" i="2"/>
  <c r="C1550" i="2"/>
  <c r="C1551" i="2"/>
  <c r="C1552" i="2"/>
  <c r="C1553" i="2"/>
  <c r="C1554" i="2"/>
  <c r="C1558" i="2"/>
  <c r="C1559" i="2"/>
  <c r="C1560" i="2"/>
  <c r="C1561" i="2"/>
  <c r="C1562" i="2"/>
  <c r="C1566" i="2"/>
  <c r="C1567" i="2"/>
  <c r="C1568" i="2"/>
  <c r="C1569" i="2"/>
  <c r="C1570" i="2"/>
  <c r="C1574" i="2"/>
  <c r="C1575" i="2"/>
  <c r="C1576" i="2"/>
  <c r="C1577" i="2"/>
  <c r="C1578" i="2"/>
  <c r="C1582" i="2"/>
  <c r="C1583" i="2"/>
  <c r="C1584" i="2"/>
  <c r="C1585" i="2"/>
  <c r="C1586" i="2"/>
  <c r="C1590" i="2"/>
  <c r="C1591" i="2"/>
  <c r="C1592" i="2"/>
  <c r="C1593" i="2"/>
  <c r="C1594" i="2"/>
  <c r="C1598" i="2"/>
  <c r="C1599" i="2"/>
  <c r="C1600" i="2"/>
  <c r="C1601" i="2"/>
  <c r="C1602" i="2"/>
  <c r="C1606" i="2"/>
  <c r="C1607" i="2"/>
  <c r="C1608" i="2"/>
  <c r="C1609" i="2"/>
  <c r="C1610" i="2"/>
  <c r="C1614" i="2"/>
  <c r="C1615" i="2"/>
  <c r="C1616" i="2"/>
  <c r="C1617" i="2"/>
  <c r="C1618" i="2"/>
  <c r="C1622" i="2"/>
  <c r="C1623" i="2"/>
  <c r="C1624" i="2"/>
  <c r="C1625" i="2"/>
  <c r="C1626" i="2"/>
  <c r="C1630" i="2"/>
  <c r="C1631" i="2"/>
  <c r="C1632" i="2"/>
  <c r="C1633" i="2"/>
  <c r="C1634" i="2"/>
  <c r="C1638" i="2"/>
  <c r="C1639" i="2"/>
  <c r="C1640" i="2"/>
  <c r="C1641" i="2"/>
  <c r="C1642" i="2"/>
  <c r="C1646" i="2"/>
  <c r="C1647" i="2"/>
  <c r="C1648" i="2"/>
  <c r="C1649" i="2"/>
  <c r="C1650" i="2"/>
  <c r="C1654" i="2"/>
  <c r="C1655" i="2"/>
  <c r="C1656" i="2"/>
  <c r="C1657" i="2"/>
  <c r="C1658" i="2"/>
  <c r="C1662" i="2"/>
  <c r="C1663" i="2"/>
  <c r="C1664" i="2"/>
  <c r="C1665" i="2"/>
  <c r="C1666" i="2"/>
  <c r="C1670" i="2"/>
  <c r="C1671" i="2"/>
  <c r="C1672" i="2"/>
  <c r="C1673" i="2"/>
  <c r="C1674" i="2"/>
  <c r="C1678" i="2"/>
  <c r="C1679" i="2"/>
  <c r="C1680" i="2"/>
  <c r="C1681" i="2"/>
  <c r="C1682" i="2"/>
  <c r="C1686" i="2"/>
  <c r="C1687" i="2"/>
  <c r="C1688" i="2"/>
  <c r="C1689" i="2"/>
  <c r="C1690" i="2"/>
  <c r="C1694" i="2"/>
  <c r="C1695" i="2"/>
  <c r="C1696" i="2"/>
  <c r="C1697" i="2"/>
  <c r="C1698" i="2"/>
  <c r="C1702" i="2"/>
  <c r="C1703" i="2"/>
  <c r="C1704" i="2"/>
  <c r="C1705" i="2"/>
  <c r="C1706" i="2"/>
  <c r="C1710" i="2"/>
  <c r="C1711" i="2"/>
  <c r="C1712" i="2"/>
  <c r="C1713" i="2"/>
  <c r="C1714" i="2"/>
  <c r="C1718" i="2"/>
  <c r="C1719" i="2"/>
  <c r="C1720" i="2"/>
  <c r="C1721" i="2"/>
  <c r="C1722" i="2"/>
  <c r="C1726" i="2"/>
  <c r="C1727" i="2"/>
  <c r="C1728" i="2"/>
  <c r="C1729" i="2"/>
  <c r="C1730" i="2"/>
  <c r="C1734" i="2"/>
  <c r="C1735" i="2"/>
  <c r="C1736" i="2"/>
  <c r="C1737" i="2"/>
  <c r="C1738" i="2"/>
  <c r="C1742" i="2"/>
  <c r="C1743" i="2"/>
  <c r="C1744" i="2"/>
  <c r="C1745" i="2"/>
  <c r="C1746" i="2"/>
  <c r="C1750" i="2"/>
  <c r="C1751" i="2"/>
  <c r="C1752" i="2"/>
  <c r="C1753" i="2"/>
  <c r="C1754" i="2"/>
  <c r="C1758" i="2"/>
  <c r="C1759" i="2"/>
  <c r="C1760" i="2"/>
  <c r="C1761" i="2"/>
  <c r="C1762" i="2"/>
  <c r="C1766" i="2"/>
  <c r="C1767" i="2"/>
  <c r="C1768" i="2"/>
  <c r="C1769" i="2"/>
  <c r="C1770" i="2"/>
  <c r="C1774" i="2"/>
  <c r="C1775" i="2"/>
  <c r="C1776" i="2"/>
  <c r="C1777" i="2"/>
  <c r="C1778" i="2"/>
  <c r="C1782" i="2"/>
  <c r="C1783" i="2"/>
  <c r="C1784" i="2"/>
  <c r="C1785" i="2"/>
  <c r="C1786" i="2"/>
  <c r="C1790" i="2"/>
  <c r="C1791" i="2"/>
  <c r="C1792" i="2"/>
  <c r="C1793" i="2"/>
  <c r="C1794" i="2"/>
  <c r="C1798" i="2"/>
  <c r="C1799" i="2"/>
  <c r="C1800" i="2"/>
  <c r="C1801" i="2"/>
  <c r="C1802" i="2"/>
  <c r="C1806" i="2"/>
  <c r="C1807" i="2"/>
  <c r="C1808" i="2"/>
  <c r="C1809" i="2"/>
  <c r="C1810" i="2"/>
  <c r="C1814" i="2"/>
  <c r="C1815" i="2"/>
  <c r="C1816" i="2"/>
  <c r="C1817" i="2"/>
  <c r="C1818" i="2"/>
  <c r="C1822" i="2"/>
  <c r="C1823" i="2"/>
  <c r="C1824" i="2"/>
  <c r="C1825" i="2"/>
  <c r="C1826" i="2"/>
  <c r="C1830" i="2"/>
  <c r="C1831" i="2"/>
  <c r="C1832" i="2"/>
  <c r="C1833" i="2"/>
  <c r="C1834" i="2"/>
  <c r="C1838" i="2"/>
  <c r="C1839" i="2"/>
  <c r="C1840" i="2"/>
  <c r="C1841" i="2"/>
  <c r="C1842" i="2"/>
  <c r="C1846" i="2"/>
  <c r="C1847" i="2"/>
  <c r="C1848" i="2"/>
  <c r="C1849" i="2"/>
  <c r="C1850" i="2"/>
  <c r="C1854" i="2"/>
  <c r="C1855" i="2"/>
  <c r="C1856" i="2"/>
  <c r="C1857" i="2"/>
  <c r="C1858" i="2"/>
  <c r="C1862" i="2"/>
  <c r="C1863" i="2"/>
  <c r="C1864" i="2"/>
  <c r="C1865" i="2"/>
  <c r="C1866" i="2"/>
  <c r="C1870" i="2"/>
  <c r="C1871" i="2"/>
  <c r="C1872" i="2"/>
  <c r="C1873" i="2"/>
  <c r="C1874" i="2"/>
  <c r="C1878" i="2"/>
  <c r="C1879" i="2"/>
  <c r="C1880" i="2"/>
  <c r="C1881" i="2"/>
  <c r="C1882" i="2"/>
  <c r="C1886" i="2"/>
  <c r="C1887" i="2"/>
  <c r="C1888" i="2"/>
  <c r="C1889" i="2"/>
  <c r="C1890" i="2"/>
  <c r="C1894" i="2"/>
  <c r="C1895" i="2"/>
  <c r="C1896" i="2"/>
  <c r="C1897" i="2"/>
  <c r="C1898" i="2"/>
  <c r="C1902" i="2"/>
  <c r="C1903" i="2"/>
  <c r="C1904" i="2"/>
  <c r="C1905" i="2"/>
  <c r="C1906" i="2"/>
  <c r="C1910" i="2"/>
  <c r="C1911" i="2"/>
  <c r="C1912" i="2"/>
  <c r="C1913" i="2"/>
  <c r="C1914" i="2"/>
  <c r="C1918" i="2"/>
  <c r="C1919" i="2"/>
  <c r="C1920" i="2"/>
  <c r="C1921" i="2"/>
  <c r="C1922" i="2"/>
  <c r="C1926" i="2"/>
  <c r="C1927" i="2"/>
  <c r="C1928" i="2"/>
  <c r="C1929" i="2"/>
  <c r="C1930" i="2"/>
  <c r="C1934" i="2"/>
  <c r="C1935" i="2"/>
  <c r="C1936" i="2"/>
  <c r="C1937" i="2"/>
  <c r="C1938" i="2"/>
  <c r="C1942" i="2"/>
  <c r="C1943" i="2"/>
  <c r="C1944" i="2"/>
  <c r="C1945" i="2"/>
  <c r="C1946" i="2"/>
  <c r="C1950" i="2"/>
  <c r="C1951" i="2"/>
  <c r="C1952" i="2"/>
  <c r="C1953" i="2"/>
  <c r="C1954" i="2"/>
  <c r="C1958" i="2"/>
  <c r="C1959" i="2"/>
  <c r="C1960" i="2"/>
  <c r="C1961" i="2"/>
  <c r="C1962" i="2"/>
  <c r="C1966" i="2"/>
  <c r="C1967" i="2"/>
  <c r="C1968" i="2"/>
  <c r="C1969" i="2"/>
  <c r="C1970" i="2"/>
  <c r="C1974" i="2"/>
  <c r="C1975" i="2"/>
  <c r="C1976" i="2"/>
  <c r="C1977" i="2"/>
  <c r="C1978" i="2"/>
  <c r="C1982" i="2"/>
  <c r="C1983" i="2"/>
  <c r="C1984" i="2"/>
  <c r="C1985" i="2"/>
  <c r="C1986" i="2"/>
  <c r="C1990" i="2"/>
  <c r="C1991" i="2"/>
  <c r="C1992" i="2"/>
  <c r="C1993" i="2"/>
  <c r="C1994" i="2"/>
  <c r="C1998" i="2"/>
  <c r="C1999" i="2"/>
  <c r="C2000" i="2"/>
  <c r="C2001" i="2"/>
  <c r="C2002" i="2"/>
  <c r="C2006" i="2"/>
  <c r="C2007" i="2"/>
  <c r="C2008" i="2"/>
  <c r="C2009" i="2"/>
  <c r="C2010" i="2"/>
  <c r="C2014" i="2"/>
  <c r="C2015" i="2"/>
  <c r="C2016" i="2"/>
  <c r="C2017" i="2"/>
  <c r="C2018" i="2"/>
  <c r="C2022" i="2"/>
  <c r="C2023" i="2"/>
  <c r="C2024" i="2"/>
  <c r="C2025" i="2"/>
  <c r="C2026" i="2"/>
  <c r="C2030" i="2"/>
  <c r="C2031" i="2"/>
  <c r="C2032" i="2"/>
  <c r="C2033" i="2"/>
  <c r="C2034" i="2"/>
  <c r="C2038" i="2"/>
  <c r="C2039" i="2"/>
  <c r="C2040" i="2"/>
  <c r="C2041" i="2"/>
  <c r="C2042" i="2"/>
  <c r="C2046" i="2"/>
  <c r="C2047" i="2"/>
  <c r="C2048" i="2"/>
  <c r="C2049" i="2"/>
  <c r="C2050" i="2"/>
  <c r="C2054" i="2"/>
  <c r="C2055" i="2"/>
  <c r="C2056" i="2"/>
  <c r="C2057" i="2"/>
  <c r="C2058" i="2"/>
  <c r="C2062" i="2"/>
  <c r="C2063" i="2"/>
  <c r="C2064" i="2"/>
  <c r="C2065" i="2"/>
  <c r="C2066" i="2"/>
  <c r="C2070" i="2"/>
  <c r="C2071" i="2"/>
  <c r="C2072" i="2"/>
  <c r="C2073" i="2"/>
  <c r="C2074" i="2"/>
  <c r="C2078" i="2"/>
  <c r="C2079" i="2"/>
  <c r="C2080" i="2"/>
  <c r="C2081" i="2"/>
  <c r="C2082" i="2"/>
  <c r="C2086" i="2"/>
  <c r="C2087" i="2"/>
  <c r="C2088" i="2"/>
  <c r="C2089" i="2"/>
  <c r="C2090" i="2"/>
  <c r="C2094" i="2"/>
  <c r="C2095" i="2"/>
  <c r="C2096" i="2"/>
  <c r="C2097" i="2"/>
  <c r="C2098" i="2"/>
  <c r="C2102" i="2"/>
  <c r="C2103" i="2"/>
  <c r="C2104" i="2"/>
  <c r="C2105" i="2"/>
  <c r="C2106" i="2"/>
  <c r="C2110" i="2"/>
  <c r="C2111" i="2"/>
  <c r="C2112" i="2"/>
  <c r="C2113" i="2"/>
  <c r="C2114" i="2"/>
  <c r="C2118" i="2"/>
  <c r="C2119" i="2"/>
  <c r="C2120" i="2"/>
  <c r="C2121" i="2"/>
  <c r="C2122" i="2"/>
  <c r="C2126" i="2"/>
  <c r="C2127" i="2"/>
  <c r="C2128" i="2"/>
  <c r="C2129" i="2"/>
  <c r="C2130" i="2"/>
  <c r="C2134" i="2"/>
  <c r="C2135" i="2"/>
  <c r="C2136" i="2"/>
  <c r="C2137" i="2"/>
  <c r="C2138" i="2"/>
  <c r="C2142" i="2"/>
  <c r="C2143" i="2"/>
  <c r="C2144" i="2"/>
  <c r="C2145" i="2"/>
  <c r="C2146" i="2"/>
  <c r="C2150" i="2"/>
  <c r="C2151" i="2"/>
  <c r="C2152" i="2"/>
  <c r="C2153" i="2"/>
  <c r="C2154" i="2"/>
  <c r="C2158" i="2"/>
  <c r="C2159" i="2"/>
  <c r="C2160" i="2"/>
  <c r="C2161" i="2"/>
  <c r="C2162" i="2"/>
  <c r="C2166" i="2"/>
  <c r="C2167" i="2"/>
  <c r="C2168" i="2"/>
  <c r="C2169" i="2"/>
  <c r="C2170" i="2"/>
  <c r="C2174" i="2"/>
  <c r="C2175" i="2"/>
  <c r="C2176" i="2"/>
  <c r="C2177" i="2"/>
  <c r="C2178" i="2"/>
  <c r="C2182" i="2"/>
  <c r="C2183" i="2"/>
  <c r="C2184" i="2"/>
  <c r="C2185" i="2"/>
  <c r="C2186" i="2"/>
  <c r="C2190" i="2"/>
  <c r="C2191" i="2"/>
  <c r="C2192" i="2"/>
  <c r="C2193" i="2"/>
  <c r="C2194" i="2"/>
  <c r="C2198" i="2"/>
  <c r="C2199" i="2"/>
  <c r="C2200" i="2"/>
  <c r="C2201" i="2"/>
  <c r="C2202" i="2"/>
  <c r="C2206" i="2"/>
  <c r="C2207" i="2"/>
  <c r="C2208" i="2"/>
  <c r="C2209" i="2"/>
  <c r="C2210" i="2"/>
  <c r="C2214" i="2"/>
  <c r="C2215" i="2"/>
  <c r="C2216" i="2"/>
  <c r="C2217" i="2"/>
  <c r="C2218" i="2"/>
  <c r="C2222" i="2"/>
  <c r="C2223" i="2"/>
  <c r="C2224" i="2"/>
  <c r="C2225" i="2"/>
  <c r="C2226" i="2"/>
  <c r="C2230" i="2"/>
  <c r="C2231" i="2"/>
  <c r="C2232" i="2"/>
  <c r="C2233" i="2"/>
  <c r="C2234" i="2"/>
  <c r="C2238" i="2"/>
  <c r="C2239" i="2"/>
  <c r="C2240" i="2"/>
  <c r="C2241" i="2"/>
  <c r="C2242" i="2"/>
  <c r="C2246" i="2"/>
  <c r="C2247" i="2"/>
  <c r="C2248" i="2"/>
  <c r="C2249" i="2"/>
  <c r="C2250" i="2"/>
  <c r="C2254" i="2"/>
  <c r="C2255" i="2"/>
  <c r="C2256" i="2"/>
  <c r="C2257" i="2"/>
  <c r="C2258" i="2"/>
  <c r="C2262" i="2"/>
  <c r="C2263" i="2"/>
  <c r="C2264" i="2"/>
  <c r="C2265" i="2"/>
  <c r="C2266" i="2"/>
  <c r="C2270" i="2"/>
  <c r="C2271" i="2"/>
  <c r="C2272" i="2"/>
  <c r="C2273" i="2"/>
  <c r="C2274" i="2"/>
  <c r="C2278" i="2"/>
  <c r="C2279" i="2"/>
  <c r="C2280" i="2"/>
  <c r="C2281" i="2"/>
  <c r="C2282" i="2"/>
  <c r="C2286" i="2"/>
  <c r="C2287" i="2"/>
  <c r="C2288" i="2"/>
  <c r="C2289" i="2"/>
  <c r="C2290" i="2"/>
  <c r="C2294" i="2"/>
  <c r="C2295" i="2"/>
  <c r="C2296" i="2"/>
  <c r="C2297" i="2"/>
  <c r="C2298" i="2"/>
  <c r="C2302" i="2"/>
  <c r="C2303" i="2"/>
  <c r="C2304" i="2"/>
  <c r="C2305" i="2"/>
  <c r="C2306" i="2"/>
  <c r="C2310" i="2"/>
  <c r="C2311" i="2"/>
  <c r="C2312" i="2"/>
  <c r="C2313" i="2"/>
  <c r="C2314" i="2"/>
  <c r="C2318" i="2"/>
  <c r="C2319" i="2"/>
  <c r="C2320" i="2"/>
  <c r="C2321" i="2"/>
  <c r="C2322" i="2"/>
  <c r="C2326" i="2"/>
  <c r="C2327" i="2"/>
  <c r="C2328" i="2"/>
  <c r="C2329" i="2"/>
  <c r="C2330" i="2"/>
  <c r="C2334" i="2"/>
  <c r="C2335" i="2"/>
  <c r="C2336" i="2"/>
  <c r="C2337" i="2"/>
  <c r="C2338" i="2"/>
  <c r="C2342" i="2"/>
  <c r="C2343" i="2"/>
  <c r="C2344" i="2"/>
  <c r="C2345" i="2"/>
  <c r="C2346" i="2"/>
  <c r="C2350" i="2"/>
  <c r="C2351" i="2"/>
  <c r="C2352" i="2"/>
  <c r="C2353" i="2"/>
  <c r="C2354" i="2"/>
  <c r="C2358" i="2"/>
  <c r="C2359" i="2"/>
  <c r="C2360" i="2"/>
  <c r="C2361" i="2"/>
  <c r="C2362" i="2"/>
  <c r="C2366" i="2"/>
  <c r="C2367" i="2"/>
  <c r="C2368" i="2"/>
  <c r="C2369" i="2"/>
  <c r="C2370" i="2"/>
  <c r="C2374" i="2"/>
  <c r="C2375" i="2"/>
  <c r="C2376" i="2"/>
  <c r="C2377" i="2"/>
  <c r="C2378" i="2"/>
  <c r="C2382" i="2"/>
  <c r="C2383" i="2"/>
  <c r="C2384" i="2"/>
  <c r="C2385" i="2"/>
  <c r="C2386" i="2"/>
  <c r="C2390" i="2"/>
  <c r="C2391" i="2"/>
  <c r="C2392" i="2"/>
  <c r="C2393" i="2"/>
  <c r="C2394" i="2"/>
  <c r="C2398" i="2"/>
  <c r="C2399" i="2"/>
  <c r="C2400" i="2"/>
  <c r="C2401" i="2"/>
  <c r="C2402" i="2"/>
  <c r="C2406" i="2"/>
  <c r="C2407" i="2"/>
  <c r="C2408" i="2"/>
  <c r="C2409" i="2"/>
  <c r="C2410" i="2"/>
  <c r="C2414" i="2"/>
  <c r="C2415" i="2"/>
  <c r="C2416" i="2"/>
  <c r="C2417" i="2"/>
  <c r="C2418" i="2"/>
  <c r="C2422" i="2"/>
  <c r="C2423" i="2"/>
  <c r="C2424" i="2"/>
  <c r="C2425" i="2"/>
  <c r="C2426" i="2"/>
  <c r="C2430" i="2"/>
  <c r="C2431" i="2"/>
  <c r="C2432" i="2"/>
  <c r="C2433" i="2"/>
  <c r="C2434" i="2"/>
  <c r="C2438" i="2"/>
  <c r="C2439" i="2"/>
  <c r="C2440" i="2"/>
  <c r="C2441" i="2"/>
  <c r="C2442" i="2"/>
  <c r="C2446" i="2"/>
  <c r="C2447" i="2"/>
  <c r="C2448" i="2"/>
  <c r="C2449" i="2"/>
  <c r="C2450" i="2"/>
  <c r="C2454" i="2"/>
  <c r="C2455" i="2"/>
  <c r="C2456" i="2"/>
  <c r="C2457" i="2"/>
  <c r="C2458" i="2"/>
  <c r="C2462" i="2"/>
  <c r="C2463" i="2"/>
  <c r="C2464" i="2"/>
  <c r="C2465" i="2"/>
  <c r="C2466" i="2"/>
  <c r="C2470" i="2"/>
  <c r="C2471" i="2"/>
  <c r="C2472" i="2"/>
  <c r="C2473" i="2"/>
  <c r="C2474" i="2"/>
  <c r="C2478" i="2"/>
  <c r="C2479" i="2"/>
  <c r="C2480" i="2"/>
  <c r="C2481" i="2"/>
  <c r="C2482" i="2"/>
  <c r="C2486" i="2"/>
  <c r="C2487" i="2"/>
  <c r="C2488" i="2"/>
  <c r="C2489" i="2"/>
  <c r="C2490" i="2"/>
  <c r="C2494" i="2"/>
  <c r="C2495" i="2"/>
  <c r="C2496" i="2"/>
  <c r="C2497" i="2"/>
  <c r="C2498" i="2"/>
  <c r="C2502" i="2"/>
  <c r="C2503" i="2"/>
  <c r="C2504" i="2"/>
  <c r="C2505" i="2"/>
  <c r="C2506" i="2"/>
  <c r="C2510" i="2"/>
  <c r="C2511" i="2"/>
  <c r="C2512" i="2"/>
  <c r="C2513" i="2"/>
  <c r="C2514" i="2"/>
  <c r="C2518" i="2"/>
  <c r="C2519" i="2"/>
  <c r="C2520" i="2"/>
  <c r="C2521" i="2"/>
  <c r="C2522" i="2"/>
  <c r="C2526" i="2"/>
  <c r="C2527" i="2"/>
  <c r="C2528" i="2"/>
  <c r="C2529" i="2"/>
  <c r="C2530" i="2"/>
  <c r="C2534" i="2"/>
  <c r="C2535" i="2"/>
  <c r="C2536" i="2"/>
  <c r="C2537" i="2"/>
  <c r="C2538" i="2"/>
  <c r="C2542" i="2"/>
  <c r="C2543" i="2"/>
  <c r="C2544" i="2"/>
  <c r="C2545" i="2"/>
  <c r="C2546" i="2"/>
  <c r="C2550" i="2"/>
  <c r="C2551" i="2"/>
  <c r="C2552" i="2"/>
  <c r="C2553" i="2"/>
  <c r="C2554" i="2"/>
  <c r="C2558" i="2"/>
  <c r="C2559" i="2"/>
  <c r="C2560" i="2"/>
  <c r="C2561" i="2"/>
  <c r="C2562" i="2"/>
  <c r="C2566" i="2"/>
  <c r="C2567" i="2"/>
  <c r="C2568" i="2"/>
  <c r="C2569" i="2"/>
  <c r="C2570" i="2"/>
  <c r="C2574" i="2"/>
  <c r="C2575" i="2"/>
  <c r="C2576" i="2"/>
  <c r="C2577" i="2"/>
  <c r="C2578" i="2"/>
  <c r="C2582" i="2"/>
  <c r="C2583" i="2"/>
  <c r="C2584" i="2"/>
  <c r="C2585" i="2"/>
  <c r="C2586" i="2"/>
  <c r="C2590" i="2"/>
  <c r="C2591" i="2"/>
  <c r="C2592" i="2"/>
  <c r="C2593" i="2"/>
  <c r="C2594" i="2"/>
  <c r="C2598" i="2"/>
  <c r="C2599" i="2"/>
  <c r="C2600" i="2"/>
  <c r="C2601" i="2"/>
  <c r="C2602" i="2"/>
  <c r="C2606" i="2"/>
  <c r="C2607" i="2"/>
  <c r="C2608" i="2"/>
  <c r="C2609" i="2"/>
  <c r="C2610" i="2"/>
  <c r="C2614" i="2"/>
  <c r="C2615" i="2"/>
  <c r="C2616" i="2"/>
  <c r="C2617" i="2"/>
  <c r="C2618" i="2"/>
  <c r="C2622" i="2"/>
  <c r="C2623" i="2"/>
  <c r="C2624" i="2"/>
  <c r="C2625" i="2"/>
  <c r="C2626" i="2"/>
  <c r="C2630" i="2"/>
  <c r="C2631" i="2"/>
  <c r="C2632" i="2"/>
  <c r="C2633" i="2"/>
  <c r="C2634" i="2"/>
  <c r="C2638" i="2"/>
  <c r="C2639" i="2"/>
  <c r="C2640" i="2"/>
  <c r="C2641" i="2"/>
  <c r="C2642" i="2"/>
  <c r="C2646" i="2"/>
  <c r="C2647" i="2"/>
  <c r="C2648" i="2"/>
  <c r="C2649" i="2"/>
  <c r="C2650" i="2"/>
  <c r="C2654" i="2"/>
  <c r="C2655" i="2"/>
  <c r="C2656" i="2"/>
  <c r="C2657" i="2"/>
  <c r="C2658" i="2"/>
  <c r="C2662" i="2"/>
  <c r="C2663" i="2"/>
  <c r="C2664" i="2"/>
  <c r="C2665" i="2"/>
  <c r="C2666" i="2"/>
  <c r="C2670" i="2"/>
  <c r="C2671" i="2"/>
  <c r="C2672" i="2"/>
  <c r="C2673" i="2"/>
  <c r="C2674" i="2"/>
  <c r="C2678" i="2"/>
  <c r="C2679" i="2"/>
  <c r="C2680" i="2"/>
  <c r="C2681" i="2"/>
  <c r="C2682" i="2"/>
  <c r="C2686" i="2"/>
  <c r="C2687" i="2"/>
  <c r="C2688" i="2"/>
  <c r="C2689" i="2"/>
  <c r="C2690" i="2"/>
  <c r="C2694" i="2"/>
  <c r="C2695" i="2"/>
  <c r="C2696" i="2"/>
  <c r="C2697" i="2"/>
  <c r="C2698" i="2"/>
  <c r="C2702" i="2"/>
  <c r="C2703" i="2"/>
  <c r="C2704" i="2"/>
  <c r="C2705" i="2"/>
  <c r="C2706" i="2"/>
  <c r="C2710" i="2"/>
  <c r="C2711" i="2"/>
  <c r="C2712" i="2"/>
  <c r="C2713" i="2"/>
  <c r="C2714" i="2"/>
  <c r="C2718" i="2"/>
  <c r="C2719" i="2"/>
  <c r="C2720" i="2"/>
  <c r="C2721" i="2"/>
  <c r="C2722" i="2"/>
  <c r="C2726" i="2"/>
  <c r="C2727" i="2"/>
  <c r="C2728" i="2"/>
  <c r="C2729" i="2"/>
  <c r="C2730" i="2"/>
  <c r="C2734" i="2"/>
  <c r="C2735" i="2"/>
  <c r="C2736" i="2"/>
  <c r="C2737" i="2"/>
  <c r="C2738" i="2"/>
  <c r="C2742" i="2"/>
  <c r="C2743" i="2"/>
  <c r="C2744" i="2"/>
  <c r="C2745" i="2"/>
  <c r="C2746" i="2"/>
  <c r="C2750" i="2"/>
  <c r="C2751" i="2"/>
  <c r="C2752" i="2"/>
  <c r="C2753" i="2"/>
  <c r="C2754" i="2"/>
  <c r="C2758" i="2"/>
  <c r="C2759" i="2"/>
  <c r="C2760" i="2"/>
  <c r="C2761" i="2"/>
  <c r="C2762" i="2"/>
  <c r="C2766" i="2"/>
  <c r="C2767" i="2"/>
  <c r="C2768" i="2"/>
  <c r="C2769" i="2"/>
  <c r="C2770" i="2"/>
  <c r="C2774" i="2"/>
  <c r="C2775" i="2"/>
  <c r="C2776" i="2"/>
  <c r="C2777" i="2"/>
  <c r="C2778" i="2"/>
  <c r="C2782" i="2"/>
  <c r="C2783" i="2"/>
  <c r="C2784" i="2"/>
  <c r="C2785" i="2"/>
  <c r="C2786" i="2"/>
  <c r="C2790" i="2"/>
  <c r="C2791" i="2"/>
  <c r="C2792" i="2"/>
  <c r="C2793" i="2"/>
  <c r="C2794" i="2"/>
  <c r="C2798" i="2"/>
  <c r="C2799" i="2"/>
  <c r="C2800" i="2"/>
  <c r="C2801" i="2"/>
  <c r="C2802" i="2"/>
  <c r="C2806" i="2"/>
  <c r="C2807" i="2"/>
  <c r="C2808" i="2"/>
  <c r="C2809" i="2"/>
  <c r="C2810" i="2"/>
  <c r="C2814" i="2"/>
  <c r="C2815" i="2"/>
  <c r="C2816" i="2"/>
  <c r="C2817" i="2"/>
  <c r="C2818" i="2"/>
  <c r="C2822" i="2"/>
  <c r="C2823" i="2"/>
  <c r="C2824" i="2"/>
  <c r="C2825" i="2"/>
  <c r="C2826" i="2"/>
  <c r="C2830" i="2"/>
  <c r="C2831" i="2"/>
  <c r="C2832" i="2"/>
  <c r="C2833" i="2"/>
  <c r="C2834" i="2"/>
  <c r="C2838" i="2"/>
  <c r="C2839" i="2"/>
  <c r="C2840" i="2"/>
  <c r="C2841" i="2"/>
  <c r="C2842" i="2"/>
  <c r="C2846" i="2"/>
  <c r="C2847" i="2"/>
  <c r="C2848" i="2"/>
  <c r="C2849" i="2"/>
  <c r="C2850" i="2"/>
  <c r="C2854" i="2"/>
  <c r="C2855" i="2"/>
  <c r="C2856" i="2"/>
  <c r="C2857" i="2"/>
  <c r="C2858" i="2"/>
  <c r="C2862" i="2"/>
  <c r="C2863" i="2"/>
  <c r="C2864" i="2"/>
  <c r="C2865" i="2"/>
  <c r="C2866" i="2"/>
  <c r="C2870" i="2"/>
  <c r="C2871" i="2"/>
  <c r="C2872" i="2"/>
  <c r="C2873" i="2"/>
  <c r="C2874" i="2"/>
  <c r="C2878" i="2"/>
  <c r="C2879" i="2"/>
  <c r="C2880" i="2"/>
  <c r="C2881" i="2"/>
  <c r="C2882" i="2"/>
  <c r="C2886" i="2"/>
  <c r="C2887" i="2"/>
  <c r="C2888" i="2"/>
  <c r="C2889" i="2"/>
  <c r="C2890" i="2"/>
  <c r="C2894" i="2"/>
  <c r="C2895" i="2"/>
  <c r="C2896" i="2"/>
  <c r="C2897" i="2"/>
  <c r="C2898" i="2"/>
  <c r="C2902" i="2"/>
  <c r="C2903" i="2"/>
  <c r="C2904" i="2"/>
  <c r="C2905" i="2"/>
  <c r="C2906" i="2"/>
  <c r="C2910" i="2"/>
  <c r="C2911" i="2"/>
  <c r="C2912" i="2"/>
  <c r="C2913" i="2"/>
  <c r="C2914" i="2"/>
  <c r="C2918" i="2"/>
  <c r="C2919" i="2"/>
  <c r="C2920" i="2"/>
  <c r="C2921" i="2"/>
  <c r="C2922" i="2"/>
  <c r="C2926" i="2"/>
  <c r="C2927" i="2"/>
  <c r="C2928" i="2"/>
  <c r="C2929" i="2"/>
  <c r="C2930" i="2"/>
  <c r="C2934" i="2"/>
  <c r="C2935" i="2"/>
  <c r="C2936" i="2"/>
  <c r="C2937" i="2"/>
  <c r="C2938" i="2"/>
  <c r="C2942" i="2"/>
  <c r="C2943" i="2"/>
  <c r="C2944" i="2"/>
  <c r="C2945" i="2"/>
  <c r="C2946" i="2"/>
  <c r="C2950" i="2"/>
  <c r="C2951" i="2"/>
  <c r="C2952" i="2"/>
  <c r="C2953" i="2"/>
  <c r="C2954" i="2"/>
  <c r="C2958" i="2"/>
  <c r="C2959" i="2"/>
  <c r="C2960" i="2"/>
  <c r="C2961" i="2"/>
  <c r="C2962" i="2"/>
  <c r="C2966" i="2"/>
  <c r="C2967" i="2"/>
  <c r="C2968" i="2"/>
  <c r="C2969" i="2"/>
  <c r="C2970" i="2"/>
  <c r="C2974" i="2"/>
  <c r="C2975" i="2"/>
  <c r="C2976" i="2"/>
  <c r="C2977" i="2"/>
  <c r="C2978" i="2"/>
  <c r="C2982" i="2"/>
  <c r="C2983" i="2"/>
  <c r="C2984" i="2"/>
  <c r="C2985" i="2"/>
  <c r="C2986" i="2"/>
  <c r="C2990" i="2"/>
  <c r="C2991" i="2"/>
  <c r="C2992" i="2"/>
  <c r="C2993" i="2"/>
  <c r="C2994" i="2"/>
  <c r="C2998" i="2"/>
  <c r="C2999" i="2"/>
  <c r="C3000" i="2"/>
  <c r="C3001" i="2"/>
  <c r="C3002" i="2"/>
  <c r="C3006" i="2"/>
  <c r="C3007" i="2"/>
  <c r="C3008" i="2"/>
  <c r="C3009" i="2"/>
  <c r="C3010" i="2"/>
  <c r="C3014" i="2"/>
  <c r="C3015" i="2"/>
  <c r="C3016" i="2"/>
  <c r="C3017" i="2"/>
  <c r="C3018" i="2"/>
  <c r="C3022" i="2"/>
  <c r="C3023" i="2"/>
  <c r="C3024" i="2"/>
  <c r="C3025" i="2"/>
  <c r="C3026" i="2"/>
  <c r="C3030" i="2"/>
  <c r="C3031" i="2"/>
  <c r="C3032" i="2"/>
  <c r="C3033" i="2"/>
  <c r="C3034" i="2"/>
  <c r="C3038" i="2"/>
  <c r="C3039" i="2"/>
  <c r="C3040" i="2"/>
  <c r="C3041" i="2"/>
  <c r="C3042" i="2"/>
  <c r="C3046" i="2"/>
  <c r="C3047" i="2"/>
  <c r="C3048" i="2"/>
  <c r="C3049" i="2"/>
  <c r="C3050" i="2"/>
  <c r="C3054" i="2"/>
  <c r="C3055" i="2"/>
  <c r="C3056" i="2"/>
  <c r="C3057" i="2"/>
  <c r="C3058" i="2"/>
  <c r="C3062" i="2"/>
  <c r="C3063" i="2"/>
  <c r="C3064" i="2"/>
  <c r="C3065" i="2"/>
  <c r="C3066" i="2"/>
  <c r="C3070" i="2"/>
  <c r="C3071" i="2"/>
  <c r="C3072" i="2"/>
  <c r="C3073" i="2"/>
  <c r="C3074" i="2"/>
  <c r="C3078" i="2"/>
  <c r="C3079" i="2"/>
  <c r="C3080" i="2"/>
  <c r="C3081" i="2"/>
  <c r="C3082" i="2"/>
  <c r="C3086" i="2"/>
  <c r="C3087" i="2"/>
  <c r="C3088" i="2"/>
  <c r="C3089" i="2"/>
  <c r="C3090" i="2"/>
  <c r="C3094" i="2"/>
  <c r="C3095" i="2"/>
  <c r="C3096" i="2"/>
  <c r="C3097" i="2"/>
  <c r="C3098" i="2"/>
  <c r="C3102" i="2"/>
  <c r="C3103" i="2"/>
  <c r="C3104" i="2"/>
  <c r="C3105" i="2"/>
  <c r="C3106" i="2"/>
  <c r="C3110" i="2"/>
  <c r="C3111" i="2"/>
  <c r="C3112" i="2"/>
  <c r="C3113" i="2"/>
  <c r="C3114" i="2"/>
  <c r="C3118" i="2"/>
  <c r="C3119" i="2"/>
  <c r="C3120" i="2"/>
  <c r="C3121" i="2"/>
  <c r="C3122" i="2"/>
  <c r="C3126" i="2"/>
  <c r="C3127" i="2"/>
  <c r="C3128" i="2"/>
  <c r="C3129" i="2"/>
  <c r="C3130" i="2"/>
  <c r="C3134" i="2"/>
  <c r="C3135" i="2"/>
  <c r="C3136" i="2"/>
  <c r="C3137" i="2"/>
  <c r="C3138" i="2"/>
  <c r="C3142" i="2"/>
  <c r="C3143" i="2"/>
  <c r="C3144" i="2"/>
  <c r="C3145" i="2"/>
  <c r="C3146" i="2"/>
  <c r="C3150" i="2"/>
  <c r="C3151" i="2"/>
  <c r="C3152" i="2"/>
  <c r="C3153" i="2"/>
  <c r="C3154" i="2"/>
  <c r="C3158" i="2"/>
  <c r="C3159" i="2"/>
  <c r="C3160" i="2"/>
  <c r="C3161" i="2"/>
  <c r="C3162" i="2"/>
  <c r="C3166" i="2"/>
  <c r="C3167" i="2"/>
  <c r="C3168" i="2"/>
  <c r="C3169" i="2"/>
  <c r="C3170" i="2"/>
  <c r="C3174" i="2"/>
  <c r="C3175" i="2"/>
  <c r="C3176" i="2"/>
  <c r="C3177" i="2"/>
  <c r="C3178" i="2"/>
  <c r="C3182" i="2"/>
  <c r="C3183" i="2"/>
  <c r="C3184" i="2"/>
  <c r="C3185" i="2"/>
  <c r="C3186" i="2"/>
  <c r="C3190" i="2"/>
  <c r="C3191" i="2"/>
  <c r="C3192" i="2"/>
  <c r="C3193" i="2"/>
  <c r="C3194" i="2"/>
  <c r="C3198" i="2"/>
  <c r="C3199" i="2"/>
  <c r="C3200" i="2"/>
  <c r="C3201" i="2"/>
  <c r="C3202" i="2"/>
  <c r="C3206" i="2"/>
  <c r="C3207" i="2"/>
  <c r="C3208" i="2"/>
  <c r="C3209" i="2"/>
  <c r="C3210" i="2"/>
  <c r="C3214" i="2"/>
  <c r="C3215" i="2"/>
  <c r="C3216" i="2"/>
  <c r="C3217" i="2"/>
  <c r="C3218" i="2"/>
  <c r="C3222" i="2"/>
  <c r="C3223" i="2"/>
  <c r="C3224" i="2"/>
  <c r="C3225" i="2"/>
  <c r="C3226" i="2"/>
  <c r="C3230" i="2"/>
  <c r="C3231" i="2"/>
  <c r="C3232" i="2"/>
  <c r="C3233" i="2"/>
  <c r="C3234" i="2"/>
  <c r="C3238" i="2"/>
  <c r="C3239" i="2"/>
  <c r="C3240" i="2"/>
  <c r="C3241" i="2"/>
  <c r="C3242" i="2"/>
  <c r="C3246" i="2"/>
  <c r="C3247" i="2"/>
  <c r="C3248" i="2"/>
  <c r="C3249" i="2"/>
  <c r="C3250" i="2"/>
  <c r="C3254" i="2"/>
  <c r="C3255" i="2"/>
  <c r="C3256" i="2"/>
  <c r="C3257" i="2"/>
  <c r="C3258" i="2"/>
  <c r="C3262" i="2"/>
  <c r="C3263" i="2"/>
  <c r="C3264" i="2"/>
  <c r="C3265" i="2"/>
  <c r="C3266" i="2"/>
  <c r="C3270" i="2"/>
  <c r="C3271" i="2"/>
  <c r="C3272" i="2"/>
  <c r="C3273" i="2"/>
  <c r="C3274" i="2"/>
  <c r="C3278" i="2"/>
  <c r="C3279" i="2"/>
  <c r="C3280" i="2"/>
  <c r="C3281" i="2"/>
  <c r="C3282" i="2"/>
  <c r="C3286" i="2"/>
  <c r="C3287" i="2"/>
  <c r="C3288" i="2"/>
  <c r="C3289" i="2"/>
  <c r="C3290" i="2"/>
  <c r="C3294" i="2"/>
  <c r="C3295" i="2"/>
  <c r="C3296" i="2"/>
  <c r="C3297" i="2"/>
  <c r="C3298" i="2"/>
  <c r="C3302" i="2"/>
  <c r="C3303" i="2"/>
  <c r="C3304" i="2"/>
  <c r="C3305" i="2"/>
  <c r="C3306" i="2"/>
  <c r="C3310" i="2"/>
  <c r="C3311" i="2"/>
  <c r="C3312" i="2"/>
  <c r="C3313" i="2"/>
  <c r="C3314" i="2"/>
  <c r="C3318" i="2"/>
  <c r="C3319" i="2"/>
  <c r="C3320" i="2"/>
  <c r="C3321" i="2"/>
  <c r="C3322" i="2"/>
  <c r="C3326" i="2"/>
  <c r="C3327" i="2"/>
  <c r="C3328" i="2"/>
  <c r="C3329" i="2"/>
  <c r="C3330" i="2"/>
  <c r="C3334" i="2"/>
  <c r="C3335" i="2"/>
  <c r="C3336" i="2"/>
  <c r="C3337" i="2"/>
  <c r="C3338" i="2"/>
  <c r="C3342" i="2"/>
  <c r="C3343" i="2"/>
  <c r="C3344" i="2"/>
  <c r="C3345" i="2"/>
  <c r="C3346" i="2"/>
  <c r="C3350" i="2"/>
  <c r="C3351" i="2"/>
  <c r="C3352" i="2"/>
  <c r="C3353" i="2"/>
  <c r="C3354" i="2"/>
  <c r="C3358" i="2"/>
  <c r="C3359" i="2"/>
  <c r="C3360" i="2"/>
  <c r="C3361" i="2"/>
  <c r="C3362" i="2"/>
  <c r="C3366" i="2"/>
  <c r="C3367" i="2"/>
  <c r="C3368" i="2"/>
  <c r="C3369" i="2"/>
  <c r="C3370" i="2"/>
  <c r="C3374" i="2"/>
  <c r="C3375" i="2"/>
  <c r="C3376" i="2"/>
  <c r="C3377" i="2"/>
  <c r="C3378" i="2"/>
  <c r="C3382" i="2"/>
  <c r="C3383" i="2"/>
  <c r="C3384" i="2"/>
  <c r="C3385" i="2"/>
  <c r="C3386" i="2"/>
  <c r="C3390" i="2"/>
  <c r="C3391" i="2"/>
  <c r="C3392" i="2"/>
  <c r="C3393" i="2"/>
  <c r="C3394" i="2"/>
  <c r="C3398" i="2"/>
  <c r="C3399" i="2"/>
  <c r="C3400" i="2"/>
  <c r="C3401" i="2"/>
  <c r="C3402" i="2"/>
  <c r="C3406" i="2"/>
  <c r="C3407" i="2"/>
  <c r="C3408" i="2"/>
  <c r="C3409" i="2"/>
  <c r="C3410" i="2"/>
  <c r="C3414" i="2"/>
  <c r="C3415" i="2"/>
  <c r="C3416" i="2"/>
  <c r="C3417" i="2"/>
  <c r="C3418" i="2"/>
  <c r="C3422" i="2"/>
  <c r="C3423" i="2"/>
  <c r="C3424" i="2"/>
  <c r="C3425" i="2"/>
  <c r="C3426" i="2"/>
  <c r="C3430" i="2"/>
  <c r="C3431" i="2"/>
  <c r="C3432" i="2"/>
  <c r="C3433" i="2"/>
  <c r="C3434" i="2"/>
  <c r="C3438" i="2"/>
  <c r="C3439" i="2"/>
  <c r="C3440" i="2"/>
  <c r="C3441" i="2"/>
  <c r="C3442" i="2"/>
  <c r="C3446" i="2"/>
  <c r="C3447" i="2"/>
  <c r="C3448" i="2"/>
  <c r="C3449" i="2"/>
  <c r="C3450" i="2"/>
  <c r="C3454" i="2"/>
  <c r="C3455" i="2"/>
  <c r="C3456" i="2"/>
  <c r="C3457" i="2"/>
  <c r="C3458" i="2"/>
  <c r="C3462" i="2"/>
  <c r="C3463" i="2"/>
  <c r="C3464" i="2"/>
  <c r="C3465" i="2"/>
  <c r="C3466" i="2"/>
  <c r="C3470" i="2"/>
  <c r="C3471" i="2"/>
  <c r="C3472" i="2"/>
  <c r="C3473" i="2"/>
  <c r="C3474" i="2"/>
  <c r="C3478" i="2"/>
  <c r="C3479" i="2"/>
  <c r="C3480" i="2"/>
  <c r="C3481" i="2"/>
  <c r="C3482" i="2"/>
  <c r="C3486" i="2"/>
  <c r="C3487" i="2"/>
  <c r="C3488" i="2"/>
  <c r="C3489" i="2"/>
  <c r="C3490" i="2"/>
  <c r="C3494" i="2"/>
  <c r="C3495" i="2"/>
  <c r="C3496" i="2"/>
  <c r="C3497" i="2"/>
  <c r="C3498" i="2"/>
  <c r="C3502" i="2"/>
  <c r="C3503" i="2"/>
  <c r="C3504" i="2"/>
  <c r="C3505" i="2"/>
  <c r="C3506" i="2"/>
  <c r="C3510" i="2"/>
  <c r="C3511" i="2"/>
  <c r="C3512" i="2"/>
  <c r="C3513" i="2"/>
  <c r="C3514" i="2"/>
  <c r="C3518" i="2"/>
  <c r="C3519" i="2"/>
  <c r="C3520" i="2"/>
  <c r="C3521" i="2"/>
  <c r="C3522" i="2"/>
  <c r="C3526" i="2"/>
  <c r="C3527" i="2"/>
  <c r="C3528" i="2"/>
  <c r="C3529" i="2"/>
  <c r="C3530" i="2"/>
  <c r="C3534" i="2"/>
  <c r="C3535" i="2"/>
  <c r="C3536" i="2"/>
  <c r="C3537" i="2"/>
  <c r="C3538" i="2"/>
  <c r="C3542" i="2"/>
  <c r="C3543" i="2"/>
  <c r="C3544" i="2"/>
  <c r="C3545" i="2"/>
  <c r="C3546" i="2"/>
  <c r="C3550" i="2"/>
  <c r="C3551" i="2"/>
  <c r="C3552" i="2"/>
  <c r="C3553" i="2"/>
  <c r="C3554" i="2"/>
  <c r="C3558" i="2"/>
  <c r="C3559" i="2"/>
  <c r="C3560" i="2"/>
  <c r="C3561" i="2"/>
  <c r="C3562" i="2"/>
  <c r="C3566" i="2"/>
  <c r="C3567" i="2"/>
  <c r="C3568" i="2"/>
  <c r="C3569" i="2"/>
  <c r="C3570" i="2"/>
  <c r="C3574" i="2"/>
  <c r="C3575" i="2"/>
  <c r="C3576" i="2"/>
  <c r="C3577" i="2"/>
  <c r="C3578" i="2"/>
  <c r="C3582" i="2"/>
  <c r="C3583" i="2"/>
  <c r="C3584" i="2"/>
  <c r="C3585" i="2"/>
  <c r="C3586" i="2"/>
  <c r="C3590" i="2"/>
  <c r="C3591" i="2"/>
  <c r="C3592" i="2"/>
  <c r="C3593" i="2"/>
  <c r="C3594" i="2"/>
  <c r="C3598" i="2"/>
  <c r="C3599" i="2"/>
  <c r="C3600" i="2"/>
  <c r="C3601" i="2"/>
  <c r="C3602" i="2"/>
  <c r="C3606" i="2"/>
  <c r="C3607" i="2"/>
  <c r="C3608" i="2"/>
  <c r="C3609" i="2"/>
  <c r="C3610" i="2"/>
  <c r="C3614" i="2"/>
  <c r="C3615" i="2"/>
  <c r="C3616" i="2"/>
  <c r="C3617" i="2"/>
  <c r="C3618" i="2"/>
  <c r="C3622" i="2"/>
  <c r="C3623" i="2"/>
  <c r="C3624" i="2"/>
  <c r="C3625" i="2"/>
  <c r="C3626" i="2"/>
  <c r="C3630" i="2"/>
  <c r="C3631" i="2"/>
  <c r="C3632" i="2"/>
  <c r="C3633" i="2"/>
  <c r="C3634" i="2"/>
  <c r="C3638" i="2"/>
  <c r="C3639" i="2"/>
  <c r="C3640" i="2"/>
  <c r="C3641" i="2"/>
  <c r="C3642" i="2"/>
  <c r="C3646" i="2"/>
  <c r="C3647" i="2"/>
  <c r="C3648" i="2"/>
  <c r="C3649" i="2"/>
  <c r="C3650" i="2"/>
  <c r="C3654" i="2"/>
  <c r="C3655" i="2"/>
  <c r="C3656" i="2"/>
  <c r="C3657" i="2"/>
  <c r="C3658" i="2"/>
  <c r="C3662" i="2"/>
  <c r="C3663" i="2"/>
  <c r="C3664" i="2"/>
  <c r="C3665" i="2"/>
  <c r="C3666" i="2"/>
  <c r="C3670" i="2"/>
  <c r="C3671" i="2"/>
  <c r="C3672" i="2"/>
  <c r="C3673" i="2"/>
  <c r="C3674" i="2"/>
  <c r="C3678" i="2"/>
  <c r="C3679" i="2"/>
  <c r="C3680" i="2"/>
  <c r="C3681" i="2"/>
  <c r="C3682" i="2"/>
  <c r="C3686" i="2"/>
  <c r="C3687" i="2"/>
  <c r="C3688" i="2"/>
  <c r="C3689" i="2"/>
  <c r="C3690" i="2"/>
  <c r="C3694" i="2"/>
  <c r="C3695" i="2"/>
  <c r="C3696" i="2"/>
  <c r="C3697" i="2"/>
  <c r="C3698" i="2"/>
  <c r="C3702" i="2"/>
  <c r="C3703" i="2"/>
  <c r="C3704" i="2"/>
  <c r="C3705" i="2"/>
  <c r="C3706" i="2"/>
  <c r="C3710" i="2"/>
  <c r="C3711" i="2"/>
  <c r="C3712" i="2"/>
  <c r="C3713" i="2"/>
  <c r="C3714" i="2"/>
  <c r="C3718" i="2"/>
  <c r="C3719" i="2"/>
  <c r="C3720" i="2"/>
  <c r="C3721" i="2"/>
  <c r="C3722" i="2"/>
  <c r="C3726" i="2"/>
  <c r="C3727" i="2"/>
  <c r="C3728" i="2"/>
  <c r="C3729" i="2"/>
  <c r="C3730" i="2"/>
  <c r="C3734" i="2"/>
  <c r="C3735" i="2"/>
  <c r="C3736" i="2"/>
  <c r="C3737" i="2"/>
  <c r="C3738" i="2"/>
  <c r="C3742" i="2"/>
  <c r="C3743" i="2"/>
  <c r="C3744" i="2"/>
  <c r="C3745" i="2"/>
  <c r="C3746" i="2"/>
  <c r="C3750" i="2"/>
  <c r="C3751" i="2"/>
  <c r="C3752" i="2"/>
  <c r="C3753" i="2"/>
  <c r="C3754" i="2"/>
  <c r="C3758" i="2"/>
  <c r="C3759" i="2"/>
  <c r="C3760" i="2"/>
  <c r="C3761" i="2"/>
  <c r="C3762" i="2"/>
  <c r="C3766" i="2"/>
  <c r="C3767" i="2"/>
  <c r="C3768" i="2"/>
  <c r="C3769" i="2"/>
  <c r="C3770" i="2"/>
  <c r="C3774" i="2"/>
  <c r="C3775" i="2"/>
  <c r="C3776" i="2"/>
  <c r="C3777" i="2"/>
  <c r="C3778" i="2"/>
  <c r="C3782" i="2"/>
  <c r="C3783" i="2"/>
  <c r="C3784" i="2"/>
  <c r="C3785" i="2"/>
  <c r="C3786" i="2"/>
  <c r="C3790" i="2"/>
  <c r="C3791" i="2"/>
  <c r="C3792" i="2"/>
  <c r="C3793" i="2"/>
  <c r="C3794" i="2"/>
  <c r="C3798" i="2"/>
  <c r="C3799" i="2"/>
  <c r="C3800" i="2"/>
  <c r="C3801" i="2"/>
  <c r="C3802" i="2"/>
  <c r="C3806" i="2"/>
  <c r="C3807" i="2"/>
  <c r="C3808" i="2"/>
  <c r="C3809" i="2"/>
  <c r="C3810" i="2"/>
  <c r="C3814" i="2"/>
  <c r="C3815" i="2"/>
  <c r="C3816" i="2"/>
  <c r="C3817" i="2"/>
  <c r="C3818" i="2"/>
  <c r="C3822" i="2"/>
  <c r="C3823" i="2"/>
  <c r="C3824" i="2"/>
  <c r="C3825" i="2"/>
  <c r="C3826" i="2"/>
  <c r="C3830" i="2"/>
  <c r="C3831" i="2"/>
  <c r="C3832" i="2"/>
  <c r="C3833" i="2"/>
  <c r="C3834" i="2"/>
  <c r="C3838" i="2"/>
  <c r="C3839" i="2"/>
  <c r="C3840" i="2"/>
  <c r="C3841" i="2"/>
  <c r="C3842" i="2"/>
  <c r="C3846" i="2"/>
  <c r="C3847" i="2"/>
  <c r="C3848" i="2"/>
  <c r="C3849" i="2"/>
  <c r="C3850" i="2"/>
  <c r="C3854" i="2"/>
  <c r="C3855" i="2"/>
  <c r="C3856" i="2"/>
  <c r="C3857" i="2"/>
  <c r="C3858" i="2"/>
  <c r="C3862" i="2"/>
  <c r="C3863" i="2"/>
  <c r="C3864" i="2"/>
  <c r="C3865" i="2"/>
  <c r="C3866" i="2"/>
  <c r="C3870" i="2"/>
  <c r="C3871" i="2"/>
  <c r="C3872" i="2"/>
  <c r="C3873" i="2"/>
  <c r="C3874" i="2"/>
  <c r="C3878" i="2"/>
  <c r="C3879" i="2"/>
  <c r="C3880" i="2"/>
  <c r="C3881" i="2"/>
  <c r="C3882" i="2"/>
  <c r="C3886" i="2"/>
  <c r="C3887" i="2"/>
  <c r="C3888" i="2"/>
  <c r="C3889" i="2"/>
  <c r="C3890" i="2"/>
  <c r="C3894" i="2"/>
  <c r="C3895" i="2"/>
  <c r="C3896" i="2"/>
  <c r="C3897" i="2"/>
  <c r="C3898" i="2"/>
  <c r="C3902" i="2"/>
  <c r="C3903" i="2"/>
  <c r="C3904" i="2"/>
  <c r="C3905" i="2"/>
  <c r="C3906" i="2"/>
  <c r="C3910" i="2"/>
  <c r="C3911" i="2"/>
  <c r="C3912" i="2"/>
  <c r="C3913" i="2"/>
  <c r="C3914" i="2"/>
  <c r="C3918" i="2"/>
  <c r="C3919" i="2"/>
  <c r="C3920" i="2"/>
  <c r="C3921" i="2"/>
  <c r="C3922" i="2"/>
  <c r="C3926" i="2"/>
  <c r="C3927" i="2"/>
  <c r="C3928" i="2"/>
  <c r="C3929" i="2"/>
  <c r="C3930" i="2"/>
  <c r="C3934" i="2"/>
  <c r="C3935" i="2"/>
  <c r="C3936" i="2"/>
  <c r="C3937" i="2"/>
  <c r="C3938" i="2"/>
  <c r="C3942" i="2"/>
  <c r="C3943" i="2"/>
  <c r="C3944" i="2"/>
  <c r="C3945" i="2"/>
  <c r="C3946" i="2"/>
  <c r="C3950" i="2"/>
  <c r="C3951" i="2"/>
  <c r="C3952" i="2"/>
  <c r="C3953" i="2"/>
  <c r="C3954" i="2"/>
  <c r="C3958" i="2"/>
  <c r="C3959" i="2"/>
  <c r="C3960" i="2"/>
  <c r="C3961" i="2"/>
  <c r="C3962" i="2"/>
  <c r="C3966" i="2"/>
  <c r="C3967" i="2"/>
  <c r="C3968" i="2"/>
  <c r="C3969" i="2"/>
  <c r="C3970" i="2"/>
  <c r="C3974" i="2"/>
  <c r="C3975" i="2"/>
  <c r="C3976" i="2"/>
  <c r="C3977" i="2"/>
  <c r="C3978" i="2"/>
  <c r="C3982" i="2"/>
  <c r="C3983" i="2"/>
  <c r="C3984" i="2"/>
  <c r="C3985" i="2"/>
  <c r="C3986" i="2"/>
  <c r="C3990" i="2"/>
  <c r="C3991" i="2"/>
  <c r="C3992" i="2"/>
  <c r="C3993" i="2"/>
  <c r="C3994" i="2"/>
  <c r="C3998" i="2"/>
  <c r="C3999" i="2"/>
  <c r="C4000" i="2"/>
  <c r="C4001" i="2"/>
  <c r="C4002" i="2"/>
  <c r="C4006" i="2"/>
  <c r="C4007" i="2"/>
  <c r="C4008" i="2"/>
  <c r="C4009" i="2"/>
  <c r="C4010" i="2"/>
  <c r="C4014" i="2"/>
  <c r="C4015" i="2"/>
  <c r="C4016" i="2"/>
  <c r="C4017" i="2"/>
  <c r="C4018" i="2"/>
  <c r="C4022" i="2"/>
  <c r="C4023" i="2"/>
  <c r="C4024" i="2"/>
  <c r="C4025" i="2"/>
  <c r="C4026" i="2"/>
  <c r="C4030" i="2"/>
  <c r="C4031" i="2"/>
  <c r="C4032" i="2"/>
  <c r="C4033" i="2"/>
  <c r="C4034" i="2"/>
  <c r="C4038" i="2"/>
  <c r="C4039" i="2"/>
  <c r="C4040" i="2"/>
  <c r="C4041" i="2"/>
  <c r="C4042" i="2"/>
  <c r="C4046" i="2"/>
  <c r="C4047" i="2"/>
  <c r="C4048" i="2"/>
  <c r="C4049" i="2"/>
  <c r="C4050" i="2"/>
  <c r="C4054" i="2"/>
  <c r="C4055" i="2"/>
  <c r="C4056" i="2"/>
  <c r="C4057" i="2"/>
  <c r="C4058" i="2"/>
  <c r="C4062" i="2"/>
  <c r="C4063" i="2"/>
  <c r="C4064" i="2"/>
  <c r="C4065" i="2"/>
  <c r="C4066" i="2"/>
  <c r="C4070" i="2"/>
  <c r="C4071" i="2"/>
  <c r="C4072" i="2"/>
  <c r="C4073" i="2"/>
  <c r="C4074" i="2"/>
  <c r="C4078" i="2"/>
  <c r="C4079" i="2"/>
  <c r="C4080" i="2"/>
  <c r="C4081" i="2"/>
  <c r="C4082" i="2"/>
  <c r="C4086" i="2"/>
  <c r="C4087" i="2"/>
  <c r="C4088" i="2"/>
  <c r="C4089" i="2"/>
  <c r="C4090" i="2"/>
  <c r="C4094" i="2"/>
  <c r="C4095" i="2"/>
  <c r="C4096" i="2"/>
  <c r="C4097" i="2"/>
  <c r="C4098" i="2"/>
  <c r="C4102" i="2"/>
  <c r="C4103" i="2"/>
  <c r="C4104" i="2"/>
  <c r="C4105" i="2"/>
  <c r="C4106" i="2"/>
  <c r="C4110" i="2"/>
  <c r="C4111" i="2"/>
  <c r="C4112" i="2"/>
  <c r="C4113" i="2"/>
  <c r="C4114" i="2"/>
  <c r="C4118" i="2"/>
  <c r="C4119" i="2"/>
  <c r="C4120" i="2"/>
  <c r="C4121" i="2"/>
  <c r="C4122" i="2"/>
  <c r="C4126" i="2"/>
  <c r="C4127" i="2"/>
  <c r="C4128" i="2"/>
  <c r="C4129" i="2"/>
  <c r="C4130" i="2"/>
  <c r="C4134" i="2"/>
  <c r="C4135" i="2"/>
  <c r="C4136" i="2"/>
  <c r="C4137" i="2"/>
  <c r="C4138" i="2"/>
  <c r="C4142" i="2"/>
  <c r="C4143" i="2"/>
  <c r="C4144" i="2"/>
  <c r="C4145" i="2"/>
  <c r="C4146" i="2"/>
  <c r="C4150" i="2"/>
  <c r="C4151" i="2"/>
  <c r="C4152" i="2"/>
  <c r="C4153" i="2"/>
  <c r="C4154" i="2"/>
  <c r="C4158" i="2"/>
  <c r="C4159" i="2"/>
  <c r="C4160" i="2"/>
  <c r="C4161" i="2"/>
  <c r="C4162" i="2"/>
  <c r="C4166" i="2"/>
  <c r="C4167" i="2"/>
  <c r="C4168" i="2"/>
  <c r="C4169" i="2"/>
  <c r="C4170" i="2"/>
  <c r="C4174" i="2"/>
  <c r="C4175" i="2"/>
  <c r="C4176" i="2"/>
  <c r="C4177" i="2"/>
  <c r="C4178" i="2"/>
  <c r="C4182" i="2"/>
  <c r="C4183" i="2"/>
  <c r="C4184" i="2"/>
  <c r="C4185" i="2"/>
  <c r="C4186" i="2"/>
  <c r="C4190" i="2"/>
  <c r="C4191" i="2"/>
  <c r="C4192" i="2"/>
  <c r="C4193" i="2"/>
  <c r="C4194" i="2"/>
  <c r="C4198" i="2"/>
  <c r="C4199" i="2"/>
  <c r="C4200" i="2"/>
  <c r="C4201" i="2"/>
  <c r="C4202" i="2"/>
  <c r="C4206" i="2"/>
  <c r="C4207" i="2"/>
  <c r="C4208" i="2"/>
  <c r="C4209" i="2"/>
  <c r="C4210" i="2"/>
  <c r="C4214" i="2"/>
  <c r="C4215" i="2"/>
  <c r="C4216" i="2"/>
  <c r="C4217" i="2"/>
  <c r="C4218" i="2"/>
  <c r="C4222" i="2"/>
  <c r="C4223" i="2"/>
  <c r="C4224" i="2"/>
  <c r="C4225" i="2"/>
  <c r="C4226" i="2"/>
  <c r="C4230" i="2"/>
  <c r="C4231" i="2"/>
  <c r="C4232" i="2"/>
  <c r="C4233" i="2"/>
  <c r="C4234" i="2"/>
  <c r="C4238" i="2"/>
  <c r="C4239" i="2"/>
  <c r="C4240" i="2"/>
  <c r="C4241" i="2"/>
  <c r="C4242" i="2"/>
  <c r="C4246" i="2"/>
  <c r="C4247" i="2"/>
  <c r="C4248" i="2"/>
  <c r="C4249" i="2"/>
  <c r="C4250" i="2"/>
  <c r="C4254" i="2"/>
  <c r="C4255" i="2"/>
  <c r="C4256" i="2"/>
  <c r="C4257" i="2"/>
  <c r="C4258" i="2"/>
  <c r="C4262" i="2"/>
  <c r="C4263" i="2"/>
  <c r="C4264" i="2"/>
  <c r="C4265" i="2"/>
  <c r="C4266" i="2"/>
  <c r="C4270" i="2"/>
  <c r="C4271" i="2"/>
  <c r="C4272" i="2"/>
  <c r="C4273" i="2"/>
  <c r="C4274" i="2"/>
  <c r="C4278" i="2"/>
  <c r="C4279" i="2"/>
  <c r="C4280" i="2"/>
  <c r="C4281" i="2"/>
  <c r="C4282" i="2"/>
  <c r="C4286" i="2"/>
  <c r="C4287" i="2"/>
  <c r="C4288" i="2"/>
  <c r="C4289" i="2"/>
  <c r="C4290" i="2"/>
  <c r="C4294" i="2"/>
  <c r="C4295" i="2"/>
  <c r="C4296" i="2"/>
  <c r="C4297" i="2"/>
  <c r="C4298" i="2"/>
  <c r="C4302" i="2"/>
  <c r="C4303" i="2"/>
  <c r="C4304" i="2"/>
  <c r="C4305" i="2"/>
  <c r="C4306" i="2"/>
  <c r="C4310" i="2"/>
  <c r="C4311" i="2"/>
  <c r="C4312" i="2"/>
  <c r="C4313" i="2"/>
  <c r="C4314" i="2"/>
  <c r="C4318" i="2"/>
  <c r="C4319" i="2"/>
  <c r="C4320" i="2"/>
  <c r="C4321" i="2"/>
  <c r="C4322" i="2"/>
  <c r="C4326" i="2"/>
  <c r="C4327" i="2"/>
  <c r="C4328" i="2"/>
  <c r="C4329" i="2"/>
  <c r="C4330" i="2"/>
  <c r="C4334" i="2"/>
  <c r="C4335" i="2"/>
  <c r="C4336" i="2"/>
  <c r="C4337" i="2"/>
  <c r="C4338" i="2"/>
  <c r="C4342" i="2"/>
  <c r="C4343" i="2"/>
  <c r="C4344" i="2"/>
  <c r="C4345" i="2"/>
  <c r="C4346" i="2"/>
  <c r="C4350" i="2"/>
  <c r="C4351" i="2"/>
  <c r="C4352" i="2"/>
  <c r="C4353" i="2"/>
  <c r="C4354" i="2"/>
  <c r="C4358" i="2"/>
  <c r="C4359" i="2"/>
  <c r="C4360" i="2"/>
  <c r="C4361" i="2"/>
  <c r="C4362" i="2"/>
  <c r="C4366" i="2"/>
  <c r="C4367" i="2"/>
  <c r="C4368" i="2"/>
  <c r="C4369" i="2"/>
  <c r="C4370" i="2"/>
  <c r="C4374" i="2"/>
  <c r="C4375" i="2"/>
  <c r="C4376" i="2"/>
  <c r="C4377" i="2"/>
  <c r="C4378" i="2"/>
  <c r="C4382" i="2"/>
  <c r="C4383" i="2"/>
  <c r="C4384" i="2"/>
  <c r="C4385" i="2"/>
  <c r="C4386" i="2"/>
  <c r="C4390" i="2"/>
  <c r="C4391" i="2"/>
  <c r="C4392" i="2"/>
  <c r="C4393" i="2"/>
  <c r="C4394" i="2"/>
  <c r="C4398" i="2"/>
  <c r="C4399" i="2"/>
  <c r="C4400" i="2"/>
  <c r="C4401" i="2"/>
  <c r="C4402" i="2"/>
  <c r="C4406" i="2"/>
  <c r="C4407" i="2"/>
  <c r="C4408" i="2"/>
  <c r="C4409" i="2"/>
  <c r="C4410" i="2"/>
  <c r="C4414" i="2"/>
  <c r="C4415" i="2"/>
  <c r="C4416" i="2"/>
  <c r="C4417" i="2"/>
  <c r="C4418" i="2"/>
  <c r="C4422" i="2"/>
  <c r="C4423" i="2"/>
  <c r="C4424" i="2"/>
  <c r="C4425" i="2"/>
  <c r="C4426" i="2"/>
  <c r="C4430" i="2"/>
  <c r="C4431" i="2"/>
  <c r="C4432" i="2"/>
  <c r="C4433" i="2"/>
  <c r="C4434" i="2"/>
  <c r="C4438" i="2"/>
  <c r="C4439" i="2"/>
  <c r="C4440" i="2"/>
  <c r="C4441" i="2"/>
  <c r="C4442" i="2"/>
  <c r="C4446" i="2"/>
  <c r="C4447" i="2"/>
  <c r="C4448" i="2"/>
  <c r="C4449" i="2"/>
  <c r="C4450" i="2"/>
  <c r="C4454" i="2"/>
  <c r="C4455" i="2"/>
  <c r="C4456" i="2"/>
  <c r="C4457" i="2"/>
  <c r="C4458" i="2"/>
  <c r="C4462" i="2"/>
  <c r="C4463" i="2"/>
  <c r="C4464" i="2"/>
  <c r="C4465" i="2"/>
  <c r="C4466" i="2"/>
  <c r="C4470" i="2"/>
  <c r="C4471" i="2"/>
  <c r="C4472" i="2"/>
  <c r="C4473" i="2"/>
  <c r="C4474" i="2"/>
  <c r="C4478" i="2"/>
  <c r="C4479" i="2"/>
  <c r="C4480" i="2"/>
  <c r="C4481" i="2"/>
  <c r="C4482" i="2"/>
  <c r="C4486" i="2"/>
  <c r="C4487" i="2"/>
  <c r="C4488" i="2"/>
  <c r="C4489" i="2"/>
  <c r="C4490" i="2"/>
  <c r="C4494" i="2"/>
  <c r="C4495" i="2"/>
  <c r="C4496" i="2"/>
  <c r="C4497" i="2"/>
  <c r="C4498" i="2"/>
  <c r="C4502" i="2"/>
  <c r="C4503" i="2"/>
  <c r="C4504" i="2"/>
  <c r="C4505" i="2"/>
  <c r="C4506" i="2"/>
  <c r="C4510" i="2"/>
  <c r="C4511" i="2"/>
  <c r="C4512" i="2"/>
  <c r="C4513" i="2"/>
  <c r="C4514" i="2"/>
  <c r="C4518" i="2"/>
  <c r="C4519" i="2"/>
  <c r="C4520" i="2"/>
  <c r="C4521" i="2"/>
  <c r="C4522" i="2"/>
  <c r="C4526" i="2"/>
  <c r="C4527" i="2"/>
  <c r="C4528" i="2"/>
  <c r="C4529" i="2"/>
  <c r="C4530" i="2"/>
  <c r="C4534" i="2"/>
  <c r="C4535" i="2"/>
  <c r="C4536" i="2"/>
  <c r="C4537" i="2"/>
  <c r="C4538" i="2"/>
  <c r="C4542" i="2"/>
  <c r="C4543" i="2"/>
  <c r="C4544" i="2"/>
  <c r="D14" i="2"/>
  <c r="D15" i="2"/>
  <c r="D16" i="2"/>
  <c r="D17" i="2"/>
  <c r="D18" i="2"/>
  <c r="D22" i="2"/>
  <c r="D23" i="2"/>
  <c r="D24" i="2"/>
  <c r="D25" i="2"/>
  <c r="D26" i="2"/>
  <c r="D30" i="2"/>
  <c r="D31" i="2"/>
  <c r="D32" i="2"/>
  <c r="D33" i="2"/>
  <c r="D34" i="2"/>
  <c r="D38" i="2"/>
  <c r="D39" i="2"/>
  <c r="D40" i="2"/>
  <c r="D41" i="2"/>
  <c r="D42" i="2"/>
  <c r="D46" i="2"/>
  <c r="D47" i="2"/>
  <c r="D48" i="2"/>
  <c r="D49" i="2"/>
  <c r="D50" i="2"/>
  <c r="D54" i="2"/>
  <c r="D55" i="2"/>
  <c r="D56" i="2"/>
  <c r="D57" i="2"/>
  <c r="D58" i="2"/>
  <c r="D62" i="2"/>
  <c r="D63" i="2"/>
  <c r="D64" i="2"/>
  <c r="D65" i="2"/>
  <c r="D66" i="2"/>
  <c r="D70" i="2"/>
  <c r="D71" i="2"/>
  <c r="D72" i="2"/>
  <c r="D73" i="2"/>
  <c r="D74" i="2"/>
  <c r="D78" i="2"/>
  <c r="D79" i="2"/>
  <c r="D80" i="2"/>
  <c r="D81" i="2"/>
  <c r="D82" i="2"/>
  <c r="D86" i="2"/>
  <c r="D87" i="2"/>
  <c r="D88" i="2"/>
  <c r="D89" i="2"/>
  <c r="D90" i="2"/>
  <c r="D94" i="2"/>
  <c r="D95" i="2"/>
  <c r="D96" i="2"/>
  <c r="D97" i="2"/>
  <c r="D98" i="2"/>
  <c r="D102" i="2"/>
  <c r="D103" i="2"/>
  <c r="D104" i="2"/>
  <c r="D105" i="2"/>
  <c r="D106" i="2"/>
  <c r="D110" i="2"/>
  <c r="D111" i="2"/>
  <c r="D112" i="2"/>
  <c r="D113" i="2"/>
  <c r="D114" i="2"/>
  <c r="D118" i="2"/>
  <c r="D119" i="2"/>
  <c r="D120" i="2"/>
  <c r="D121" i="2"/>
  <c r="D122" i="2"/>
  <c r="D126" i="2"/>
  <c r="D127" i="2"/>
  <c r="D128" i="2"/>
  <c r="D129" i="2"/>
  <c r="D130" i="2"/>
  <c r="D134" i="2"/>
  <c r="D135" i="2"/>
  <c r="D136" i="2"/>
  <c r="D137" i="2"/>
  <c r="D138" i="2"/>
  <c r="D142" i="2"/>
  <c r="D143" i="2"/>
  <c r="D144" i="2"/>
  <c r="D145" i="2"/>
  <c r="D146" i="2"/>
  <c r="D150" i="2"/>
  <c r="D151" i="2"/>
  <c r="D152" i="2"/>
  <c r="D153" i="2"/>
  <c r="D154" i="2"/>
  <c r="D158" i="2"/>
  <c r="D159" i="2"/>
  <c r="D160" i="2"/>
  <c r="D161" i="2"/>
  <c r="D162" i="2"/>
  <c r="D166" i="2"/>
  <c r="D167" i="2"/>
  <c r="D168" i="2"/>
  <c r="D169" i="2"/>
  <c r="D170" i="2"/>
  <c r="D174" i="2"/>
  <c r="D175" i="2"/>
  <c r="D176" i="2"/>
  <c r="D177" i="2"/>
  <c r="D178" i="2"/>
  <c r="D182" i="2"/>
  <c r="D183" i="2"/>
  <c r="D184" i="2"/>
  <c r="D185" i="2"/>
  <c r="D186" i="2"/>
  <c r="D190" i="2"/>
  <c r="D191" i="2"/>
  <c r="D192" i="2"/>
  <c r="D193" i="2"/>
  <c r="D194" i="2"/>
  <c r="D198" i="2"/>
  <c r="D199" i="2"/>
  <c r="D200" i="2"/>
  <c r="D201" i="2"/>
  <c r="D202" i="2"/>
  <c r="D206" i="2"/>
  <c r="D207" i="2"/>
  <c r="D208" i="2"/>
  <c r="D209" i="2"/>
  <c r="D210" i="2"/>
  <c r="D214" i="2"/>
  <c r="D215" i="2"/>
  <c r="D216" i="2"/>
  <c r="D217" i="2"/>
  <c r="D218" i="2"/>
  <c r="D222" i="2"/>
  <c r="D223" i="2"/>
  <c r="D224" i="2"/>
  <c r="D225" i="2"/>
  <c r="D226" i="2"/>
  <c r="D230" i="2"/>
  <c r="D231" i="2"/>
  <c r="D232" i="2"/>
  <c r="D233" i="2"/>
  <c r="D234" i="2"/>
  <c r="D238" i="2"/>
  <c r="D239" i="2"/>
  <c r="D240" i="2"/>
  <c r="D241" i="2"/>
  <c r="D242" i="2"/>
  <c r="D246" i="2"/>
  <c r="D247" i="2"/>
  <c r="D248" i="2"/>
  <c r="D249" i="2"/>
  <c r="D250" i="2"/>
  <c r="D254" i="2"/>
  <c r="D255" i="2"/>
  <c r="D256" i="2"/>
  <c r="D257" i="2"/>
  <c r="D258" i="2"/>
  <c r="D262" i="2"/>
  <c r="D263" i="2"/>
  <c r="D264" i="2"/>
  <c r="D265" i="2"/>
  <c r="D266" i="2"/>
  <c r="D270" i="2"/>
  <c r="D271" i="2"/>
  <c r="D272" i="2"/>
  <c r="D273" i="2"/>
  <c r="D274" i="2"/>
  <c r="D278" i="2"/>
  <c r="D279" i="2"/>
  <c r="D280" i="2"/>
  <c r="D281" i="2"/>
  <c r="D282" i="2"/>
  <c r="D286" i="2"/>
  <c r="D287" i="2"/>
  <c r="D288" i="2"/>
  <c r="D289" i="2"/>
  <c r="D290" i="2"/>
  <c r="D294" i="2"/>
  <c r="D295" i="2"/>
  <c r="D296" i="2"/>
  <c r="D297" i="2"/>
  <c r="D298" i="2"/>
  <c r="D302" i="2"/>
  <c r="D303" i="2"/>
  <c r="D304" i="2"/>
  <c r="D305" i="2"/>
  <c r="D306" i="2"/>
  <c r="D310" i="2"/>
  <c r="D311" i="2"/>
  <c r="D312" i="2"/>
  <c r="D313" i="2"/>
  <c r="D314" i="2"/>
  <c r="D318" i="2"/>
  <c r="D319" i="2"/>
  <c r="D320" i="2"/>
  <c r="D321" i="2"/>
  <c r="D322" i="2"/>
  <c r="D326" i="2"/>
  <c r="D327" i="2"/>
  <c r="D328" i="2"/>
  <c r="D329" i="2"/>
  <c r="D330" i="2"/>
  <c r="D334" i="2"/>
  <c r="D335" i="2"/>
  <c r="D336" i="2"/>
  <c r="D337" i="2"/>
  <c r="D338" i="2"/>
  <c r="D342" i="2"/>
  <c r="D343" i="2"/>
  <c r="D344" i="2"/>
  <c r="D345" i="2"/>
  <c r="D346" i="2"/>
  <c r="D350" i="2"/>
  <c r="D351" i="2"/>
  <c r="D352" i="2"/>
  <c r="D353" i="2"/>
  <c r="D354" i="2"/>
  <c r="D358" i="2"/>
  <c r="D359" i="2"/>
  <c r="D360" i="2"/>
  <c r="D361" i="2"/>
  <c r="D362" i="2"/>
  <c r="D366" i="2"/>
  <c r="D367" i="2"/>
  <c r="D368" i="2"/>
  <c r="D369" i="2"/>
  <c r="D370" i="2"/>
  <c r="D374" i="2"/>
  <c r="D375" i="2"/>
  <c r="D376" i="2"/>
  <c r="D377" i="2"/>
  <c r="D378" i="2"/>
  <c r="D382" i="2"/>
  <c r="D383" i="2"/>
  <c r="D384" i="2"/>
  <c r="D385" i="2"/>
  <c r="D386" i="2"/>
  <c r="D390" i="2"/>
  <c r="D391" i="2"/>
  <c r="D392" i="2"/>
  <c r="D393" i="2"/>
  <c r="D394" i="2"/>
  <c r="D398" i="2"/>
  <c r="D399" i="2"/>
  <c r="D400" i="2"/>
  <c r="D401" i="2"/>
  <c r="D402" i="2"/>
  <c r="D406" i="2"/>
  <c r="D407" i="2"/>
  <c r="D408" i="2"/>
  <c r="D409" i="2"/>
  <c r="D410" i="2"/>
  <c r="D414" i="2"/>
  <c r="D415" i="2"/>
  <c r="D416" i="2"/>
  <c r="D417" i="2"/>
  <c r="D418" i="2"/>
  <c r="D422" i="2"/>
  <c r="D423" i="2"/>
  <c r="D424" i="2"/>
  <c r="D425" i="2"/>
  <c r="D426" i="2"/>
  <c r="D430" i="2"/>
  <c r="D431" i="2"/>
  <c r="D432" i="2"/>
  <c r="D433" i="2"/>
  <c r="D434" i="2"/>
  <c r="D438" i="2"/>
  <c r="D439" i="2"/>
  <c r="D440" i="2"/>
  <c r="D441" i="2"/>
  <c r="D442" i="2"/>
  <c r="D446" i="2"/>
  <c r="D447" i="2"/>
  <c r="D448" i="2"/>
  <c r="D449" i="2"/>
  <c r="D450" i="2"/>
  <c r="D454" i="2"/>
  <c r="D455" i="2"/>
  <c r="D456" i="2"/>
  <c r="D457" i="2"/>
  <c r="D458" i="2"/>
  <c r="D462" i="2"/>
  <c r="D463" i="2"/>
  <c r="D464" i="2"/>
  <c r="D465" i="2"/>
  <c r="D466" i="2"/>
  <c r="D470" i="2"/>
  <c r="D471" i="2"/>
  <c r="D472" i="2"/>
  <c r="D473" i="2"/>
  <c r="D474" i="2"/>
  <c r="D478" i="2"/>
  <c r="D479" i="2"/>
  <c r="D480" i="2"/>
  <c r="D481" i="2"/>
  <c r="D482" i="2"/>
  <c r="D486" i="2"/>
  <c r="D487" i="2"/>
  <c r="D488" i="2"/>
  <c r="D489" i="2"/>
  <c r="D490" i="2"/>
  <c r="D494" i="2"/>
  <c r="D495" i="2"/>
  <c r="D496" i="2"/>
  <c r="D497" i="2"/>
  <c r="D498" i="2"/>
  <c r="D502" i="2"/>
  <c r="D503" i="2"/>
  <c r="D504" i="2"/>
  <c r="D505" i="2"/>
  <c r="D506" i="2"/>
  <c r="D510" i="2"/>
  <c r="D511" i="2"/>
  <c r="D512" i="2"/>
  <c r="D513" i="2"/>
  <c r="D514" i="2"/>
  <c r="D518" i="2"/>
  <c r="D519" i="2"/>
  <c r="D520" i="2"/>
  <c r="D521" i="2"/>
  <c r="D522" i="2"/>
  <c r="D526" i="2"/>
  <c r="D527" i="2"/>
  <c r="D528" i="2"/>
  <c r="D529" i="2"/>
  <c r="D530" i="2"/>
  <c r="D534" i="2"/>
  <c r="D535" i="2"/>
  <c r="D536" i="2"/>
  <c r="D537" i="2"/>
  <c r="D538" i="2"/>
  <c r="D542" i="2"/>
  <c r="D543" i="2"/>
  <c r="D544" i="2"/>
  <c r="D545" i="2"/>
  <c r="D546" i="2"/>
  <c r="D550" i="2"/>
  <c r="D551" i="2"/>
  <c r="D552" i="2"/>
  <c r="D553" i="2"/>
  <c r="D554" i="2"/>
  <c r="D558" i="2"/>
  <c r="D559" i="2"/>
  <c r="D560" i="2"/>
  <c r="D561" i="2"/>
  <c r="D562" i="2"/>
  <c r="D566" i="2"/>
  <c r="D567" i="2"/>
  <c r="D568" i="2"/>
  <c r="D569" i="2"/>
  <c r="D570" i="2"/>
  <c r="D574" i="2"/>
  <c r="D575" i="2"/>
  <c r="D576" i="2"/>
  <c r="D577" i="2"/>
  <c r="D578" i="2"/>
  <c r="D582" i="2"/>
  <c r="D583" i="2"/>
  <c r="D584" i="2"/>
  <c r="D585" i="2"/>
  <c r="D586" i="2"/>
  <c r="D590" i="2"/>
  <c r="D591" i="2"/>
  <c r="D592" i="2"/>
  <c r="D593" i="2"/>
  <c r="D594" i="2"/>
  <c r="D598" i="2"/>
  <c r="D599" i="2"/>
  <c r="D600" i="2"/>
  <c r="D601" i="2"/>
  <c r="D602" i="2"/>
  <c r="D606" i="2"/>
  <c r="D607" i="2"/>
  <c r="D608" i="2"/>
  <c r="D609" i="2"/>
  <c r="D610" i="2"/>
  <c r="D614" i="2"/>
  <c r="D615" i="2"/>
  <c r="D616" i="2"/>
  <c r="D617" i="2"/>
  <c r="D618" i="2"/>
  <c r="D622" i="2"/>
  <c r="D623" i="2"/>
  <c r="D624" i="2"/>
  <c r="D625" i="2"/>
  <c r="D626" i="2"/>
  <c r="D630" i="2"/>
  <c r="D631" i="2"/>
  <c r="D632" i="2"/>
  <c r="D633" i="2"/>
  <c r="D634" i="2"/>
  <c r="D638" i="2"/>
  <c r="D639" i="2"/>
  <c r="D640" i="2"/>
  <c r="D641" i="2"/>
  <c r="D642" i="2"/>
  <c r="D646" i="2"/>
  <c r="D647" i="2"/>
  <c r="D648" i="2"/>
  <c r="D649" i="2"/>
  <c r="D650" i="2"/>
  <c r="D654" i="2"/>
  <c r="D655" i="2"/>
  <c r="D656" i="2"/>
  <c r="D657" i="2"/>
  <c r="D658" i="2"/>
  <c r="D662" i="2"/>
  <c r="D663" i="2"/>
  <c r="D664" i="2"/>
  <c r="D665" i="2"/>
  <c r="D666" i="2"/>
  <c r="D670" i="2"/>
  <c r="D671" i="2"/>
  <c r="D672" i="2"/>
  <c r="D673" i="2"/>
  <c r="D674" i="2"/>
  <c r="D678" i="2"/>
  <c r="D679" i="2"/>
  <c r="D680" i="2"/>
  <c r="D681" i="2"/>
  <c r="D682" i="2"/>
  <c r="D686" i="2"/>
  <c r="D687" i="2"/>
  <c r="D688" i="2"/>
  <c r="D689" i="2"/>
  <c r="D690" i="2"/>
  <c r="D694" i="2"/>
  <c r="D695" i="2"/>
  <c r="D696" i="2"/>
  <c r="D697" i="2"/>
  <c r="D698" i="2"/>
  <c r="D702" i="2"/>
  <c r="D703" i="2"/>
  <c r="D704" i="2"/>
  <c r="D705" i="2"/>
  <c r="D706" i="2"/>
  <c r="D710" i="2"/>
  <c r="D711" i="2"/>
  <c r="D712" i="2"/>
  <c r="D713" i="2"/>
  <c r="D714" i="2"/>
  <c r="D718" i="2"/>
  <c r="D719" i="2"/>
  <c r="D720" i="2"/>
  <c r="D721" i="2"/>
  <c r="D722" i="2"/>
  <c r="D726" i="2"/>
  <c r="D727" i="2"/>
  <c r="D728" i="2"/>
  <c r="D729" i="2"/>
  <c r="D730" i="2"/>
  <c r="D734" i="2"/>
  <c r="D735" i="2"/>
  <c r="D736" i="2"/>
  <c r="D737" i="2"/>
  <c r="D738" i="2"/>
  <c r="D742" i="2"/>
  <c r="D743" i="2"/>
  <c r="D744" i="2"/>
  <c r="D745" i="2"/>
  <c r="D746" i="2"/>
  <c r="D750" i="2"/>
  <c r="D751" i="2"/>
  <c r="D752" i="2"/>
  <c r="D753" i="2"/>
  <c r="D754" i="2"/>
  <c r="D758" i="2"/>
  <c r="D759" i="2"/>
  <c r="D760" i="2"/>
  <c r="D761" i="2"/>
  <c r="D762" i="2"/>
  <c r="D766" i="2"/>
  <c r="D767" i="2"/>
  <c r="D768" i="2"/>
  <c r="D769" i="2"/>
  <c r="D770" i="2"/>
  <c r="D774" i="2"/>
  <c r="D775" i="2"/>
  <c r="D776" i="2"/>
  <c r="D777" i="2"/>
  <c r="D778" i="2"/>
  <c r="D782" i="2"/>
  <c r="D783" i="2"/>
  <c r="D784" i="2"/>
  <c r="D785" i="2"/>
  <c r="D786" i="2"/>
  <c r="D790" i="2"/>
  <c r="D791" i="2"/>
  <c r="D792" i="2"/>
  <c r="D793" i="2"/>
  <c r="D794" i="2"/>
  <c r="D798" i="2"/>
  <c r="D799" i="2"/>
  <c r="D800" i="2"/>
  <c r="D801" i="2"/>
  <c r="D802" i="2"/>
  <c r="D806" i="2"/>
  <c r="D807" i="2"/>
  <c r="D808" i="2"/>
  <c r="D809" i="2"/>
  <c r="D810" i="2"/>
  <c r="D814" i="2"/>
  <c r="D815" i="2"/>
  <c r="D816" i="2"/>
  <c r="D817" i="2"/>
  <c r="D818" i="2"/>
  <c r="D822" i="2"/>
  <c r="D823" i="2"/>
  <c r="D824" i="2"/>
  <c r="D825" i="2"/>
  <c r="D826" i="2"/>
  <c r="D830" i="2"/>
  <c r="D831" i="2"/>
  <c r="D832" i="2"/>
  <c r="D833" i="2"/>
  <c r="D834" i="2"/>
  <c r="D838" i="2"/>
  <c r="D839" i="2"/>
  <c r="D840" i="2"/>
  <c r="D841" i="2"/>
  <c r="D842" i="2"/>
  <c r="D846" i="2"/>
  <c r="D847" i="2"/>
  <c r="D848" i="2"/>
  <c r="D849" i="2"/>
  <c r="D850" i="2"/>
  <c r="D854" i="2"/>
  <c r="D855" i="2"/>
  <c r="D856" i="2"/>
  <c r="D857" i="2"/>
  <c r="D858" i="2"/>
  <c r="D862" i="2"/>
  <c r="D863" i="2"/>
  <c r="D864" i="2"/>
  <c r="D865" i="2"/>
  <c r="D866" i="2"/>
  <c r="D870" i="2"/>
  <c r="D871" i="2"/>
  <c r="D872" i="2"/>
  <c r="D873" i="2"/>
  <c r="D874" i="2"/>
  <c r="D878" i="2"/>
  <c r="D879" i="2"/>
  <c r="D880" i="2"/>
  <c r="D881" i="2"/>
  <c r="D882" i="2"/>
  <c r="D886" i="2"/>
  <c r="D887" i="2"/>
  <c r="D888" i="2"/>
  <c r="D889" i="2"/>
  <c r="D890" i="2"/>
  <c r="D894" i="2"/>
  <c r="D895" i="2"/>
  <c r="D896" i="2"/>
  <c r="D897" i="2"/>
  <c r="D898" i="2"/>
  <c r="D902" i="2"/>
  <c r="D903" i="2"/>
  <c r="D904" i="2"/>
  <c r="D905" i="2"/>
  <c r="D906" i="2"/>
  <c r="D910" i="2"/>
  <c r="D911" i="2"/>
  <c r="D912" i="2"/>
  <c r="D913" i="2"/>
  <c r="D914" i="2"/>
  <c r="D918" i="2"/>
  <c r="D919" i="2"/>
  <c r="D920" i="2"/>
  <c r="D921" i="2"/>
  <c r="D922" i="2"/>
  <c r="D926" i="2"/>
  <c r="D927" i="2"/>
  <c r="D928" i="2"/>
  <c r="D929" i="2"/>
  <c r="D930" i="2"/>
  <c r="D934" i="2"/>
  <c r="D935" i="2"/>
  <c r="D936" i="2"/>
  <c r="D937" i="2"/>
  <c r="D938" i="2"/>
  <c r="D942" i="2"/>
  <c r="D943" i="2"/>
  <c r="D944" i="2"/>
  <c r="D945" i="2"/>
  <c r="D946" i="2"/>
  <c r="D950" i="2"/>
  <c r="D951" i="2"/>
  <c r="D952" i="2"/>
  <c r="D953" i="2"/>
  <c r="D954" i="2"/>
  <c r="D958" i="2"/>
  <c r="D959" i="2"/>
  <c r="D960" i="2"/>
  <c r="D961" i="2"/>
  <c r="D962" i="2"/>
  <c r="D966" i="2"/>
  <c r="D967" i="2"/>
  <c r="D968" i="2"/>
  <c r="D969" i="2"/>
  <c r="D970" i="2"/>
  <c r="D974" i="2"/>
  <c r="D975" i="2"/>
  <c r="D976" i="2"/>
  <c r="D977" i="2"/>
  <c r="D978" i="2"/>
  <c r="D982" i="2"/>
  <c r="D983" i="2"/>
  <c r="D984" i="2"/>
  <c r="D985" i="2"/>
  <c r="D986" i="2"/>
  <c r="D990" i="2"/>
  <c r="D991" i="2"/>
  <c r="D992" i="2"/>
  <c r="D993" i="2"/>
  <c r="D994" i="2"/>
  <c r="D998" i="2"/>
  <c r="D999" i="2"/>
  <c r="D1000" i="2"/>
  <c r="D1001" i="2"/>
  <c r="D1002" i="2"/>
  <c r="D1006" i="2"/>
  <c r="D1007" i="2"/>
  <c r="D1008" i="2"/>
  <c r="D1009" i="2"/>
  <c r="D1010" i="2"/>
  <c r="D1014" i="2"/>
  <c r="D1015" i="2"/>
  <c r="D1016" i="2"/>
  <c r="D1017" i="2"/>
  <c r="D1018" i="2"/>
  <c r="D1022" i="2"/>
  <c r="D1023" i="2"/>
  <c r="D1024" i="2"/>
  <c r="D1025" i="2"/>
  <c r="D1026" i="2"/>
  <c r="D1030" i="2"/>
  <c r="D1031" i="2"/>
  <c r="D1032" i="2"/>
  <c r="D1033" i="2"/>
  <c r="D1034" i="2"/>
  <c r="D1038" i="2"/>
  <c r="D1039" i="2"/>
  <c r="D1040" i="2"/>
  <c r="D1041" i="2"/>
  <c r="D1042" i="2"/>
  <c r="D1046" i="2"/>
  <c r="D1047" i="2"/>
  <c r="D1048" i="2"/>
  <c r="D1049" i="2"/>
  <c r="D1050" i="2"/>
  <c r="D1054" i="2"/>
  <c r="D1055" i="2"/>
  <c r="D1056" i="2"/>
  <c r="D1057" i="2"/>
  <c r="D1058" i="2"/>
  <c r="D1062" i="2"/>
  <c r="D1063" i="2"/>
  <c r="D1064" i="2"/>
  <c r="D1065" i="2"/>
  <c r="D1066" i="2"/>
  <c r="D1070" i="2"/>
  <c r="D1071" i="2"/>
  <c r="D1072" i="2"/>
  <c r="D1073" i="2"/>
  <c r="D1074" i="2"/>
  <c r="D1078" i="2"/>
  <c r="D1079" i="2"/>
  <c r="D1080" i="2"/>
  <c r="D1081" i="2"/>
  <c r="D1082" i="2"/>
  <c r="D1086" i="2"/>
  <c r="D1087" i="2"/>
  <c r="D1088" i="2"/>
  <c r="D1089" i="2"/>
  <c r="D1090" i="2"/>
  <c r="D1094" i="2"/>
  <c r="D1095" i="2"/>
  <c r="D1096" i="2"/>
  <c r="D1097" i="2"/>
  <c r="D1098" i="2"/>
  <c r="D1102" i="2"/>
  <c r="D1103" i="2"/>
  <c r="D1104" i="2"/>
  <c r="D1105" i="2"/>
  <c r="D1106" i="2"/>
  <c r="D1110" i="2"/>
  <c r="D1111" i="2"/>
  <c r="D1112" i="2"/>
  <c r="D1113" i="2"/>
  <c r="D1114" i="2"/>
  <c r="D1118" i="2"/>
  <c r="D1119" i="2"/>
  <c r="D1120" i="2"/>
  <c r="D1121" i="2"/>
  <c r="D1122" i="2"/>
  <c r="D1126" i="2"/>
  <c r="D1127" i="2"/>
  <c r="D1128" i="2"/>
  <c r="D1129" i="2"/>
  <c r="D1130" i="2"/>
  <c r="D1134" i="2"/>
  <c r="D1135" i="2"/>
  <c r="D1136" i="2"/>
  <c r="D1137" i="2"/>
  <c r="D1138" i="2"/>
  <c r="D1142" i="2"/>
  <c r="D1143" i="2"/>
  <c r="D1144" i="2"/>
  <c r="D1145" i="2"/>
  <c r="D1146" i="2"/>
  <c r="D1150" i="2"/>
  <c r="D1151" i="2"/>
  <c r="D1152" i="2"/>
  <c r="D1153" i="2"/>
  <c r="D1154" i="2"/>
  <c r="D1158" i="2"/>
  <c r="D1159" i="2"/>
  <c r="D1160" i="2"/>
  <c r="D1161" i="2"/>
  <c r="D1162" i="2"/>
  <c r="D1166" i="2"/>
  <c r="D1167" i="2"/>
  <c r="D1168" i="2"/>
  <c r="D1169" i="2"/>
  <c r="D1170" i="2"/>
  <c r="D1174" i="2"/>
  <c r="D1175" i="2"/>
  <c r="D1176" i="2"/>
  <c r="D1177" i="2"/>
  <c r="D1178" i="2"/>
  <c r="D1182" i="2"/>
  <c r="D1183" i="2"/>
  <c r="D1184" i="2"/>
  <c r="D1185" i="2"/>
  <c r="D1186" i="2"/>
  <c r="D1190" i="2"/>
  <c r="D1191" i="2"/>
  <c r="D1192" i="2"/>
  <c r="D1193" i="2"/>
  <c r="D1194" i="2"/>
  <c r="D1198" i="2"/>
  <c r="D1199" i="2"/>
  <c r="D1200" i="2"/>
  <c r="D1201" i="2"/>
  <c r="D1202" i="2"/>
  <c r="D1206" i="2"/>
  <c r="D1207" i="2"/>
  <c r="D1208" i="2"/>
  <c r="D1209" i="2"/>
  <c r="D1210" i="2"/>
  <c r="D1214" i="2"/>
  <c r="D1215" i="2"/>
  <c r="D1216" i="2"/>
  <c r="D1217" i="2"/>
  <c r="D1218" i="2"/>
  <c r="D1222" i="2"/>
  <c r="D1223" i="2"/>
  <c r="D1224" i="2"/>
  <c r="D1225" i="2"/>
  <c r="D1226" i="2"/>
  <c r="D1230" i="2"/>
  <c r="D1231" i="2"/>
  <c r="D1232" i="2"/>
  <c r="D1233" i="2"/>
  <c r="D1234" i="2"/>
  <c r="D1238" i="2"/>
  <c r="D1239" i="2"/>
  <c r="D1240" i="2"/>
  <c r="D1241" i="2"/>
  <c r="D1242" i="2"/>
  <c r="D1246" i="2"/>
  <c r="D1247" i="2"/>
  <c r="D1248" i="2"/>
  <c r="D1249" i="2"/>
  <c r="D1250" i="2"/>
  <c r="D1254" i="2"/>
  <c r="D1255" i="2"/>
  <c r="D1256" i="2"/>
  <c r="D1257" i="2"/>
  <c r="D1258" i="2"/>
  <c r="D1262" i="2"/>
  <c r="D1263" i="2"/>
  <c r="D1264" i="2"/>
  <c r="D1265" i="2"/>
  <c r="D1266" i="2"/>
  <c r="D1270" i="2"/>
  <c r="D1271" i="2"/>
  <c r="D1272" i="2"/>
  <c r="D1273" i="2"/>
  <c r="D1274" i="2"/>
  <c r="D1278" i="2"/>
  <c r="D1279" i="2"/>
  <c r="D1280" i="2"/>
  <c r="D1281" i="2"/>
  <c r="D1282" i="2"/>
  <c r="D1286" i="2"/>
  <c r="D1287" i="2"/>
  <c r="D1288" i="2"/>
  <c r="D1289" i="2"/>
  <c r="D1290" i="2"/>
  <c r="D1294" i="2"/>
  <c r="D1295" i="2"/>
  <c r="D1296" i="2"/>
  <c r="D1297" i="2"/>
  <c r="D1298" i="2"/>
  <c r="D1302" i="2"/>
  <c r="D1303" i="2"/>
  <c r="D1304" i="2"/>
  <c r="D1305" i="2"/>
  <c r="D1306" i="2"/>
  <c r="D1310" i="2"/>
  <c r="D1311" i="2"/>
  <c r="D1312" i="2"/>
  <c r="D1313" i="2"/>
  <c r="D1314" i="2"/>
  <c r="D1318" i="2"/>
  <c r="D1319" i="2"/>
  <c r="D1320" i="2"/>
  <c r="D1321" i="2"/>
  <c r="D1322" i="2"/>
  <c r="D1326" i="2"/>
  <c r="D1327" i="2"/>
  <c r="D1328" i="2"/>
  <c r="D1329" i="2"/>
  <c r="D1330" i="2"/>
  <c r="D1334" i="2"/>
  <c r="D1335" i="2"/>
  <c r="D1336" i="2"/>
  <c r="D1337" i="2"/>
  <c r="D1338" i="2"/>
  <c r="D1342" i="2"/>
  <c r="D1343" i="2"/>
  <c r="D1344" i="2"/>
  <c r="D1345" i="2"/>
  <c r="D1346" i="2"/>
  <c r="D1350" i="2"/>
  <c r="D1351" i="2"/>
  <c r="D1352" i="2"/>
  <c r="D1353" i="2"/>
  <c r="D1354" i="2"/>
  <c r="D1358" i="2"/>
  <c r="D1359" i="2"/>
  <c r="D1360" i="2"/>
  <c r="D1361" i="2"/>
  <c r="D1362" i="2"/>
  <c r="D1366" i="2"/>
  <c r="D1367" i="2"/>
  <c r="D1368" i="2"/>
  <c r="D1369" i="2"/>
  <c r="D1370" i="2"/>
  <c r="D1374" i="2"/>
  <c r="D1375" i="2"/>
  <c r="D1376" i="2"/>
  <c r="D1377" i="2"/>
  <c r="D1378" i="2"/>
  <c r="D1382" i="2"/>
  <c r="D1383" i="2"/>
  <c r="D1384" i="2"/>
  <c r="D1385" i="2"/>
  <c r="D1386" i="2"/>
  <c r="D1390" i="2"/>
  <c r="D1391" i="2"/>
  <c r="D1392" i="2"/>
  <c r="D1393" i="2"/>
  <c r="D1394" i="2"/>
  <c r="D1398" i="2"/>
  <c r="D1399" i="2"/>
  <c r="D1400" i="2"/>
  <c r="D1401" i="2"/>
  <c r="D1402" i="2"/>
  <c r="D1406" i="2"/>
  <c r="D1407" i="2"/>
  <c r="D1408" i="2"/>
  <c r="D1409" i="2"/>
  <c r="D1410" i="2"/>
  <c r="D1414" i="2"/>
  <c r="D1415" i="2"/>
  <c r="D1416" i="2"/>
  <c r="D1417" i="2"/>
  <c r="D1418" i="2"/>
  <c r="D1422" i="2"/>
  <c r="D1423" i="2"/>
  <c r="D1424" i="2"/>
  <c r="D1425" i="2"/>
  <c r="D1426" i="2"/>
  <c r="D1430" i="2"/>
  <c r="D1431" i="2"/>
  <c r="D1432" i="2"/>
  <c r="D1433" i="2"/>
  <c r="D1434" i="2"/>
  <c r="D1438" i="2"/>
  <c r="D1439" i="2"/>
  <c r="D1440" i="2"/>
  <c r="D1441" i="2"/>
  <c r="D1442" i="2"/>
  <c r="D1446" i="2"/>
  <c r="D1447" i="2"/>
  <c r="D1448" i="2"/>
  <c r="D1449" i="2"/>
  <c r="D1450" i="2"/>
  <c r="D1454" i="2"/>
  <c r="D1455" i="2"/>
  <c r="D1456" i="2"/>
  <c r="D1457" i="2"/>
  <c r="D1458" i="2"/>
  <c r="D1462" i="2"/>
  <c r="D1463" i="2"/>
  <c r="D1464" i="2"/>
  <c r="D1465" i="2"/>
  <c r="D1466" i="2"/>
  <c r="D1470" i="2"/>
  <c r="D1471" i="2"/>
  <c r="D1472" i="2"/>
  <c r="D1473" i="2"/>
  <c r="D1474" i="2"/>
  <c r="D1478" i="2"/>
  <c r="D1479" i="2"/>
  <c r="D1480" i="2"/>
  <c r="D1481" i="2"/>
  <c r="D1482" i="2"/>
  <c r="D1486" i="2"/>
  <c r="D1487" i="2"/>
  <c r="D1488" i="2"/>
  <c r="D1489" i="2"/>
  <c r="D1490" i="2"/>
  <c r="D1494" i="2"/>
  <c r="D1495" i="2"/>
  <c r="D1496" i="2"/>
  <c r="D1497" i="2"/>
  <c r="D1498" i="2"/>
  <c r="D1502" i="2"/>
  <c r="D1503" i="2"/>
  <c r="D1504" i="2"/>
  <c r="D1505" i="2"/>
  <c r="D1506" i="2"/>
  <c r="D1510" i="2"/>
  <c r="D1511" i="2"/>
  <c r="D1512" i="2"/>
  <c r="D1513" i="2"/>
  <c r="D1514" i="2"/>
  <c r="D1518" i="2"/>
  <c r="D1519" i="2"/>
  <c r="D1520" i="2"/>
  <c r="D1521" i="2"/>
  <c r="D1522" i="2"/>
  <c r="D1526" i="2"/>
  <c r="D1527" i="2"/>
  <c r="D1528" i="2"/>
  <c r="D1529" i="2"/>
  <c r="D1530" i="2"/>
  <c r="D1534" i="2"/>
  <c r="D1535" i="2"/>
  <c r="D1536" i="2"/>
  <c r="D1537" i="2"/>
  <c r="D1538" i="2"/>
  <c r="D1542" i="2"/>
  <c r="D1543" i="2"/>
  <c r="D1544" i="2"/>
  <c r="D1545" i="2"/>
  <c r="D1546" i="2"/>
  <c r="D1550" i="2"/>
  <c r="D1551" i="2"/>
  <c r="D1552" i="2"/>
  <c r="D1553" i="2"/>
  <c r="D1554" i="2"/>
  <c r="D1558" i="2"/>
  <c r="D1559" i="2"/>
  <c r="D1560" i="2"/>
  <c r="D1561" i="2"/>
  <c r="D1562" i="2"/>
  <c r="D1566" i="2"/>
  <c r="D1567" i="2"/>
  <c r="D1568" i="2"/>
  <c r="D1569" i="2"/>
  <c r="D1570" i="2"/>
  <c r="D1574" i="2"/>
  <c r="D1575" i="2"/>
  <c r="D1576" i="2"/>
  <c r="D1577" i="2"/>
  <c r="D1578" i="2"/>
  <c r="D1582" i="2"/>
  <c r="D1583" i="2"/>
  <c r="D1584" i="2"/>
  <c r="D1585" i="2"/>
  <c r="D1586" i="2"/>
  <c r="D1590" i="2"/>
  <c r="D1591" i="2"/>
  <c r="D1592" i="2"/>
  <c r="D1593" i="2"/>
  <c r="D1594" i="2"/>
  <c r="D1598" i="2"/>
  <c r="D1599" i="2"/>
  <c r="D1600" i="2"/>
  <c r="D1601" i="2"/>
  <c r="D1602" i="2"/>
  <c r="D1606" i="2"/>
  <c r="D1607" i="2"/>
  <c r="D1608" i="2"/>
  <c r="D1609" i="2"/>
  <c r="D1610" i="2"/>
  <c r="D1614" i="2"/>
  <c r="D1615" i="2"/>
  <c r="D1616" i="2"/>
  <c r="D1617" i="2"/>
  <c r="D1618" i="2"/>
  <c r="D1622" i="2"/>
  <c r="D1623" i="2"/>
  <c r="D1624" i="2"/>
  <c r="D1625" i="2"/>
  <c r="D1626" i="2"/>
  <c r="D1630" i="2"/>
  <c r="D1631" i="2"/>
  <c r="D1632" i="2"/>
  <c r="D1633" i="2"/>
  <c r="D1634" i="2"/>
  <c r="D1638" i="2"/>
  <c r="D1639" i="2"/>
  <c r="D1640" i="2"/>
  <c r="D1641" i="2"/>
  <c r="D1642" i="2"/>
  <c r="D1646" i="2"/>
  <c r="D1647" i="2"/>
  <c r="D1648" i="2"/>
  <c r="D1649" i="2"/>
  <c r="D1650" i="2"/>
  <c r="D1654" i="2"/>
  <c r="D1655" i="2"/>
  <c r="D1656" i="2"/>
  <c r="D1657" i="2"/>
  <c r="D1658" i="2"/>
  <c r="D1662" i="2"/>
  <c r="D1663" i="2"/>
  <c r="D1664" i="2"/>
  <c r="D1665" i="2"/>
  <c r="D1666" i="2"/>
  <c r="D1670" i="2"/>
  <c r="D1671" i="2"/>
  <c r="D1672" i="2"/>
  <c r="D1673" i="2"/>
  <c r="D1674" i="2"/>
  <c r="D1678" i="2"/>
  <c r="D1679" i="2"/>
  <c r="D1680" i="2"/>
  <c r="D1681" i="2"/>
  <c r="D1682" i="2"/>
  <c r="D1686" i="2"/>
  <c r="D1687" i="2"/>
  <c r="D1688" i="2"/>
  <c r="D1689" i="2"/>
  <c r="D1690" i="2"/>
  <c r="D1694" i="2"/>
  <c r="D1695" i="2"/>
  <c r="D1696" i="2"/>
  <c r="D1697" i="2"/>
  <c r="D1698" i="2"/>
  <c r="D1702" i="2"/>
  <c r="D1703" i="2"/>
  <c r="D1704" i="2"/>
  <c r="D1705" i="2"/>
  <c r="D1706" i="2"/>
  <c r="D1710" i="2"/>
  <c r="D1711" i="2"/>
  <c r="D1712" i="2"/>
  <c r="D1713" i="2"/>
  <c r="D1714" i="2"/>
  <c r="D1718" i="2"/>
  <c r="D1719" i="2"/>
  <c r="D1720" i="2"/>
  <c r="D1721" i="2"/>
  <c r="D1722" i="2"/>
  <c r="D1726" i="2"/>
  <c r="D1727" i="2"/>
  <c r="D1728" i="2"/>
  <c r="D1729" i="2"/>
  <c r="D1730" i="2"/>
  <c r="D1734" i="2"/>
  <c r="D1735" i="2"/>
  <c r="D1736" i="2"/>
  <c r="D1737" i="2"/>
  <c r="D1738" i="2"/>
  <c r="D1742" i="2"/>
  <c r="D1743" i="2"/>
  <c r="D1744" i="2"/>
  <c r="D1745" i="2"/>
  <c r="D1746" i="2"/>
  <c r="D1750" i="2"/>
  <c r="D1751" i="2"/>
  <c r="D1752" i="2"/>
  <c r="D1753" i="2"/>
  <c r="D1754" i="2"/>
  <c r="D1758" i="2"/>
  <c r="D1759" i="2"/>
  <c r="D1760" i="2"/>
  <c r="D1761" i="2"/>
  <c r="D1762" i="2"/>
  <c r="D1766" i="2"/>
  <c r="D1767" i="2"/>
  <c r="D1768" i="2"/>
  <c r="D1769" i="2"/>
  <c r="D1770" i="2"/>
  <c r="D1774" i="2"/>
  <c r="D1775" i="2"/>
  <c r="D1776" i="2"/>
  <c r="D1777" i="2"/>
  <c r="D1778" i="2"/>
  <c r="D1782" i="2"/>
  <c r="D1783" i="2"/>
  <c r="D1784" i="2"/>
  <c r="D1785" i="2"/>
  <c r="D1786" i="2"/>
  <c r="D1790" i="2"/>
  <c r="D1791" i="2"/>
  <c r="D1792" i="2"/>
  <c r="D1793" i="2"/>
  <c r="D1794" i="2"/>
  <c r="D1798" i="2"/>
  <c r="D1799" i="2"/>
  <c r="D1800" i="2"/>
  <c r="D1801" i="2"/>
  <c r="D1802" i="2"/>
  <c r="D1806" i="2"/>
  <c r="D1807" i="2"/>
  <c r="D1808" i="2"/>
  <c r="D1809" i="2"/>
  <c r="D1810" i="2"/>
  <c r="D1814" i="2"/>
  <c r="D1815" i="2"/>
  <c r="D1816" i="2"/>
  <c r="D1817" i="2"/>
  <c r="D1818" i="2"/>
  <c r="D1822" i="2"/>
  <c r="D1823" i="2"/>
  <c r="D1824" i="2"/>
  <c r="D1825" i="2"/>
  <c r="D1826" i="2"/>
  <c r="D1830" i="2"/>
  <c r="D1831" i="2"/>
  <c r="D1832" i="2"/>
  <c r="D1833" i="2"/>
  <c r="D1834" i="2"/>
  <c r="D1838" i="2"/>
  <c r="D1839" i="2"/>
  <c r="D1840" i="2"/>
  <c r="D1841" i="2"/>
  <c r="D1842" i="2"/>
  <c r="D1846" i="2"/>
  <c r="D1847" i="2"/>
  <c r="D1848" i="2"/>
  <c r="D1849" i="2"/>
  <c r="D1850" i="2"/>
  <c r="D1854" i="2"/>
  <c r="D1855" i="2"/>
  <c r="D1856" i="2"/>
  <c r="D1857" i="2"/>
  <c r="D1858" i="2"/>
  <c r="D1862" i="2"/>
  <c r="D1863" i="2"/>
  <c r="D1864" i="2"/>
  <c r="D1865" i="2"/>
  <c r="D1866" i="2"/>
  <c r="D1870" i="2"/>
  <c r="D1871" i="2"/>
  <c r="D1872" i="2"/>
  <c r="D1873" i="2"/>
  <c r="D1874" i="2"/>
  <c r="D1878" i="2"/>
  <c r="D1879" i="2"/>
  <c r="D1880" i="2"/>
  <c r="D1881" i="2"/>
  <c r="D1882" i="2"/>
  <c r="D1886" i="2"/>
  <c r="D1887" i="2"/>
  <c r="D1888" i="2"/>
  <c r="D1889" i="2"/>
  <c r="D1890" i="2"/>
  <c r="D1894" i="2"/>
  <c r="D1895" i="2"/>
  <c r="D1896" i="2"/>
  <c r="D1897" i="2"/>
  <c r="D1898" i="2"/>
  <c r="D1902" i="2"/>
  <c r="D1903" i="2"/>
  <c r="D1904" i="2"/>
  <c r="D1905" i="2"/>
  <c r="D1906" i="2"/>
  <c r="D1910" i="2"/>
  <c r="D1911" i="2"/>
  <c r="D1912" i="2"/>
  <c r="D1913" i="2"/>
  <c r="D1914" i="2"/>
  <c r="D1918" i="2"/>
  <c r="D1919" i="2"/>
  <c r="D1920" i="2"/>
  <c r="D1921" i="2"/>
  <c r="D1922" i="2"/>
  <c r="D1926" i="2"/>
  <c r="D1927" i="2"/>
  <c r="D1928" i="2"/>
  <c r="D1929" i="2"/>
  <c r="D1930" i="2"/>
  <c r="D1934" i="2"/>
  <c r="D1935" i="2"/>
  <c r="D1936" i="2"/>
  <c r="D1937" i="2"/>
  <c r="D1938" i="2"/>
  <c r="D1942" i="2"/>
  <c r="D1943" i="2"/>
  <c r="D1944" i="2"/>
  <c r="D1945" i="2"/>
  <c r="D1946" i="2"/>
  <c r="D1950" i="2"/>
  <c r="D1951" i="2"/>
  <c r="D1952" i="2"/>
  <c r="D1953" i="2"/>
  <c r="D1954" i="2"/>
  <c r="D1958" i="2"/>
  <c r="D1959" i="2"/>
  <c r="D1960" i="2"/>
  <c r="D1961" i="2"/>
  <c r="D1962" i="2"/>
  <c r="D1966" i="2"/>
  <c r="D1967" i="2"/>
  <c r="D1968" i="2"/>
  <c r="D1969" i="2"/>
  <c r="D1970" i="2"/>
  <c r="D1974" i="2"/>
  <c r="D1975" i="2"/>
  <c r="D1976" i="2"/>
  <c r="D1977" i="2"/>
  <c r="D1978" i="2"/>
  <c r="D1982" i="2"/>
  <c r="D1983" i="2"/>
  <c r="D1984" i="2"/>
  <c r="D1985" i="2"/>
  <c r="D1986" i="2"/>
  <c r="D1990" i="2"/>
  <c r="D1991" i="2"/>
  <c r="D1992" i="2"/>
  <c r="D1993" i="2"/>
  <c r="D1994" i="2"/>
  <c r="D1998" i="2"/>
  <c r="D1999" i="2"/>
  <c r="D2000" i="2"/>
  <c r="D2001" i="2"/>
  <c r="D2002" i="2"/>
  <c r="D2006" i="2"/>
  <c r="D2007" i="2"/>
  <c r="D2008" i="2"/>
  <c r="D2009" i="2"/>
  <c r="D2010" i="2"/>
  <c r="D2014" i="2"/>
  <c r="D2015" i="2"/>
  <c r="D2016" i="2"/>
  <c r="D2017" i="2"/>
  <c r="D2018" i="2"/>
  <c r="D2022" i="2"/>
  <c r="D2023" i="2"/>
  <c r="D2024" i="2"/>
  <c r="D2025" i="2"/>
  <c r="D2026" i="2"/>
  <c r="D2030" i="2"/>
  <c r="D2031" i="2"/>
  <c r="D2032" i="2"/>
  <c r="D2033" i="2"/>
  <c r="D2034" i="2"/>
  <c r="D2038" i="2"/>
  <c r="D2039" i="2"/>
  <c r="D2040" i="2"/>
  <c r="D2041" i="2"/>
  <c r="D2042" i="2"/>
  <c r="D2046" i="2"/>
  <c r="D2047" i="2"/>
  <c r="D2048" i="2"/>
  <c r="D2049" i="2"/>
  <c r="D2050" i="2"/>
  <c r="D2054" i="2"/>
  <c r="D2055" i="2"/>
  <c r="D2056" i="2"/>
  <c r="D2057" i="2"/>
  <c r="D2058" i="2"/>
  <c r="D2062" i="2"/>
  <c r="D2063" i="2"/>
  <c r="D2064" i="2"/>
  <c r="D2065" i="2"/>
  <c r="D2066" i="2"/>
  <c r="D2070" i="2"/>
  <c r="D2071" i="2"/>
  <c r="D2072" i="2"/>
  <c r="D2073" i="2"/>
  <c r="D2074" i="2"/>
  <c r="D2078" i="2"/>
  <c r="D2079" i="2"/>
  <c r="D2080" i="2"/>
  <c r="D2081" i="2"/>
  <c r="D2082" i="2"/>
  <c r="D2086" i="2"/>
  <c r="D2087" i="2"/>
  <c r="D2088" i="2"/>
  <c r="D2089" i="2"/>
  <c r="D2090" i="2"/>
  <c r="D2094" i="2"/>
  <c r="D2095" i="2"/>
  <c r="D2096" i="2"/>
  <c r="D2097" i="2"/>
  <c r="D2098" i="2"/>
  <c r="D2102" i="2"/>
  <c r="D2103" i="2"/>
  <c r="D2104" i="2"/>
  <c r="D2105" i="2"/>
  <c r="D2106" i="2"/>
  <c r="D2110" i="2"/>
  <c r="D2111" i="2"/>
  <c r="D2112" i="2"/>
  <c r="D2113" i="2"/>
  <c r="D2114" i="2"/>
  <c r="D2118" i="2"/>
  <c r="D2119" i="2"/>
  <c r="D2120" i="2"/>
  <c r="D2121" i="2"/>
  <c r="D2122" i="2"/>
  <c r="D2126" i="2"/>
  <c r="D2127" i="2"/>
  <c r="D2128" i="2"/>
  <c r="D2129" i="2"/>
  <c r="D2130" i="2"/>
  <c r="D2134" i="2"/>
  <c r="D2135" i="2"/>
  <c r="D2136" i="2"/>
  <c r="D2137" i="2"/>
  <c r="D2138" i="2"/>
  <c r="D2142" i="2"/>
  <c r="D2143" i="2"/>
  <c r="D2144" i="2"/>
  <c r="D2145" i="2"/>
  <c r="D2146" i="2"/>
  <c r="D2150" i="2"/>
  <c r="D2151" i="2"/>
  <c r="D2152" i="2"/>
  <c r="D2153" i="2"/>
  <c r="D2154" i="2"/>
  <c r="D2158" i="2"/>
  <c r="D2159" i="2"/>
  <c r="D2160" i="2"/>
  <c r="D2161" i="2"/>
  <c r="D2162" i="2"/>
  <c r="D2166" i="2"/>
  <c r="D2167" i="2"/>
  <c r="D2168" i="2"/>
  <c r="D2169" i="2"/>
  <c r="D2170" i="2"/>
  <c r="D2174" i="2"/>
  <c r="D2175" i="2"/>
  <c r="D2176" i="2"/>
  <c r="D2177" i="2"/>
  <c r="D2178" i="2"/>
  <c r="D2182" i="2"/>
  <c r="D2183" i="2"/>
  <c r="D2184" i="2"/>
  <c r="D2185" i="2"/>
  <c r="D2186" i="2"/>
  <c r="D2190" i="2"/>
  <c r="D2191" i="2"/>
  <c r="D2192" i="2"/>
  <c r="D2193" i="2"/>
  <c r="D2194" i="2"/>
  <c r="D2198" i="2"/>
  <c r="D2199" i="2"/>
  <c r="D2200" i="2"/>
  <c r="D2201" i="2"/>
  <c r="D2202" i="2"/>
  <c r="D2206" i="2"/>
  <c r="D2207" i="2"/>
  <c r="D2208" i="2"/>
  <c r="D2209" i="2"/>
  <c r="D2210" i="2"/>
  <c r="D2214" i="2"/>
  <c r="D2215" i="2"/>
  <c r="D2216" i="2"/>
  <c r="D2217" i="2"/>
  <c r="D2218" i="2"/>
  <c r="D2222" i="2"/>
  <c r="D2223" i="2"/>
  <c r="D2224" i="2"/>
  <c r="D2225" i="2"/>
  <c r="D2226" i="2"/>
  <c r="D2230" i="2"/>
  <c r="D2231" i="2"/>
  <c r="D2232" i="2"/>
  <c r="D2233" i="2"/>
  <c r="D2234" i="2"/>
  <c r="D2238" i="2"/>
  <c r="D2239" i="2"/>
  <c r="D2240" i="2"/>
  <c r="D2241" i="2"/>
  <c r="D2242" i="2"/>
  <c r="D2246" i="2"/>
  <c r="D2247" i="2"/>
  <c r="D2248" i="2"/>
  <c r="D2249" i="2"/>
  <c r="D2250" i="2"/>
  <c r="D2254" i="2"/>
  <c r="D2255" i="2"/>
  <c r="D2256" i="2"/>
  <c r="D2257" i="2"/>
  <c r="D2258" i="2"/>
  <c r="D2262" i="2"/>
  <c r="D2263" i="2"/>
  <c r="D2264" i="2"/>
  <c r="D2265" i="2"/>
  <c r="D2266" i="2"/>
  <c r="D2270" i="2"/>
  <c r="D2271" i="2"/>
  <c r="D2272" i="2"/>
  <c r="D2273" i="2"/>
  <c r="D2274" i="2"/>
  <c r="D2278" i="2"/>
  <c r="D2279" i="2"/>
  <c r="D2280" i="2"/>
  <c r="D2281" i="2"/>
  <c r="D2282" i="2"/>
  <c r="D2286" i="2"/>
  <c r="D2287" i="2"/>
  <c r="D2288" i="2"/>
  <c r="D2289" i="2"/>
  <c r="D2290" i="2"/>
  <c r="D2294" i="2"/>
  <c r="D2295" i="2"/>
  <c r="D2296" i="2"/>
  <c r="D2297" i="2"/>
  <c r="D2298" i="2"/>
  <c r="D2302" i="2"/>
  <c r="D2303" i="2"/>
  <c r="D2304" i="2"/>
  <c r="D2305" i="2"/>
  <c r="D2306" i="2"/>
  <c r="D2310" i="2"/>
  <c r="D2311" i="2"/>
  <c r="D2312" i="2"/>
  <c r="D2313" i="2"/>
  <c r="D2314" i="2"/>
  <c r="D2318" i="2"/>
  <c r="D2319" i="2"/>
  <c r="D2320" i="2"/>
  <c r="D2321" i="2"/>
  <c r="D2322" i="2"/>
  <c r="D2326" i="2"/>
  <c r="D2327" i="2"/>
  <c r="D2328" i="2"/>
  <c r="D2329" i="2"/>
  <c r="D2330" i="2"/>
  <c r="D2334" i="2"/>
  <c r="D2335" i="2"/>
  <c r="D2336" i="2"/>
  <c r="D2337" i="2"/>
  <c r="D2338" i="2"/>
  <c r="D2342" i="2"/>
  <c r="D2343" i="2"/>
  <c r="D2344" i="2"/>
  <c r="D2345" i="2"/>
  <c r="D2346" i="2"/>
  <c r="D2350" i="2"/>
  <c r="D2351" i="2"/>
  <c r="D2352" i="2"/>
  <c r="D2353" i="2"/>
  <c r="D2354" i="2"/>
  <c r="D2358" i="2"/>
  <c r="D2359" i="2"/>
  <c r="D2360" i="2"/>
  <c r="D2361" i="2"/>
  <c r="D2362" i="2"/>
  <c r="D2366" i="2"/>
  <c r="D2367" i="2"/>
  <c r="D2368" i="2"/>
  <c r="D2369" i="2"/>
  <c r="D2370" i="2"/>
  <c r="D2374" i="2"/>
  <c r="D2375" i="2"/>
  <c r="D2376" i="2"/>
  <c r="D2377" i="2"/>
  <c r="D2378" i="2"/>
  <c r="D2382" i="2"/>
  <c r="D2383" i="2"/>
  <c r="D2384" i="2"/>
  <c r="D2385" i="2"/>
  <c r="D2386" i="2"/>
  <c r="D2390" i="2"/>
  <c r="D2391" i="2"/>
  <c r="D2392" i="2"/>
  <c r="D2393" i="2"/>
  <c r="D2394" i="2"/>
  <c r="D2398" i="2"/>
  <c r="D2399" i="2"/>
  <c r="D2400" i="2"/>
  <c r="D2401" i="2"/>
  <c r="D2402" i="2"/>
  <c r="D2406" i="2"/>
  <c r="D2407" i="2"/>
  <c r="D2408" i="2"/>
  <c r="D2409" i="2"/>
  <c r="D2410" i="2"/>
  <c r="D2414" i="2"/>
  <c r="D2415" i="2"/>
  <c r="D2416" i="2"/>
  <c r="D2417" i="2"/>
  <c r="D2418" i="2"/>
  <c r="D2422" i="2"/>
  <c r="D2423" i="2"/>
  <c r="D2424" i="2"/>
  <c r="D2425" i="2"/>
  <c r="D2426" i="2"/>
  <c r="D2430" i="2"/>
  <c r="D2431" i="2"/>
  <c r="D2432" i="2"/>
  <c r="D2433" i="2"/>
  <c r="D2434" i="2"/>
  <c r="D2438" i="2"/>
  <c r="D2439" i="2"/>
  <c r="D2440" i="2"/>
  <c r="D2441" i="2"/>
  <c r="D2442" i="2"/>
  <c r="D2446" i="2"/>
  <c r="D2447" i="2"/>
  <c r="D2448" i="2"/>
  <c r="D2449" i="2"/>
  <c r="D2450" i="2"/>
  <c r="D2454" i="2"/>
  <c r="D2455" i="2"/>
  <c r="D2456" i="2"/>
  <c r="D2457" i="2"/>
  <c r="D2458" i="2"/>
  <c r="D2462" i="2"/>
  <c r="D2463" i="2"/>
  <c r="D2464" i="2"/>
  <c r="D2465" i="2"/>
  <c r="D2466" i="2"/>
  <c r="D2470" i="2"/>
  <c r="D2471" i="2"/>
  <c r="D2472" i="2"/>
  <c r="D2473" i="2"/>
  <c r="D2474" i="2"/>
  <c r="D2478" i="2"/>
  <c r="D2479" i="2"/>
  <c r="D2480" i="2"/>
  <c r="D2481" i="2"/>
  <c r="D2482" i="2"/>
  <c r="D2486" i="2"/>
  <c r="D2487" i="2"/>
  <c r="D2488" i="2"/>
  <c r="D2489" i="2"/>
  <c r="D2490" i="2"/>
  <c r="D2494" i="2"/>
  <c r="D2495" i="2"/>
  <c r="D2496" i="2"/>
  <c r="D2497" i="2"/>
  <c r="D2498" i="2"/>
  <c r="D2502" i="2"/>
  <c r="D2503" i="2"/>
  <c r="D2504" i="2"/>
  <c r="D2505" i="2"/>
  <c r="D2506" i="2"/>
  <c r="D2510" i="2"/>
  <c r="D2511" i="2"/>
  <c r="D2512" i="2"/>
  <c r="D2513" i="2"/>
  <c r="D2514" i="2"/>
  <c r="D2518" i="2"/>
  <c r="D2519" i="2"/>
  <c r="D2520" i="2"/>
  <c r="D2521" i="2"/>
  <c r="D2522" i="2"/>
  <c r="D2526" i="2"/>
  <c r="D2527" i="2"/>
  <c r="D2528" i="2"/>
  <c r="D2529" i="2"/>
  <c r="D2530" i="2"/>
  <c r="D2534" i="2"/>
  <c r="D2535" i="2"/>
  <c r="D2536" i="2"/>
  <c r="D2537" i="2"/>
  <c r="D2538" i="2"/>
  <c r="D2542" i="2"/>
  <c r="D2543" i="2"/>
  <c r="D2544" i="2"/>
  <c r="D2545" i="2"/>
  <c r="D2546" i="2"/>
  <c r="D2550" i="2"/>
  <c r="D2551" i="2"/>
  <c r="D2552" i="2"/>
  <c r="D2553" i="2"/>
  <c r="D2554" i="2"/>
  <c r="D2558" i="2"/>
  <c r="D2559" i="2"/>
  <c r="D2560" i="2"/>
  <c r="D2561" i="2"/>
  <c r="D2562" i="2"/>
  <c r="D2566" i="2"/>
  <c r="D2567" i="2"/>
  <c r="D2568" i="2"/>
  <c r="D2569" i="2"/>
  <c r="D2570" i="2"/>
  <c r="D2574" i="2"/>
  <c r="D2575" i="2"/>
  <c r="D2576" i="2"/>
  <c r="D2577" i="2"/>
  <c r="D2578" i="2"/>
  <c r="D2582" i="2"/>
  <c r="D2583" i="2"/>
  <c r="D2584" i="2"/>
  <c r="D2585" i="2"/>
  <c r="D2586" i="2"/>
  <c r="D2590" i="2"/>
  <c r="D2591" i="2"/>
  <c r="D2592" i="2"/>
  <c r="D2593" i="2"/>
  <c r="D2594" i="2"/>
  <c r="D2598" i="2"/>
  <c r="D2599" i="2"/>
  <c r="D2600" i="2"/>
  <c r="D2601" i="2"/>
  <c r="D2602" i="2"/>
  <c r="D2606" i="2"/>
  <c r="D2607" i="2"/>
  <c r="D2608" i="2"/>
  <c r="D2609" i="2"/>
  <c r="D2610" i="2"/>
  <c r="D2614" i="2"/>
  <c r="D2615" i="2"/>
  <c r="D2616" i="2"/>
  <c r="D2617" i="2"/>
  <c r="D2618" i="2"/>
  <c r="D2622" i="2"/>
  <c r="D2623" i="2"/>
  <c r="D2624" i="2"/>
  <c r="D2625" i="2"/>
  <c r="D2626" i="2"/>
  <c r="D2630" i="2"/>
  <c r="D2631" i="2"/>
  <c r="D2632" i="2"/>
  <c r="D2633" i="2"/>
  <c r="D2634" i="2"/>
  <c r="D2638" i="2"/>
  <c r="D2639" i="2"/>
  <c r="D2640" i="2"/>
  <c r="D2641" i="2"/>
  <c r="D2642" i="2"/>
  <c r="D2646" i="2"/>
  <c r="D2647" i="2"/>
  <c r="D2648" i="2"/>
  <c r="D2649" i="2"/>
  <c r="D2650" i="2"/>
  <c r="D2654" i="2"/>
  <c r="D2655" i="2"/>
  <c r="D2656" i="2"/>
  <c r="D2657" i="2"/>
  <c r="D2658" i="2"/>
  <c r="D2662" i="2"/>
  <c r="D2663" i="2"/>
  <c r="D2664" i="2"/>
  <c r="D2665" i="2"/>
  <c r="D2666" i="2"/>
  <c r="D2670" i="2"/>
  <c r="D2671" i="2"/>
  <c r="D2672" i="2"/>
  <c r="D2673" i="2"/>
  <c r="D2674" i="2"/>
  <c r="D2678" i="2"/>
  <c r="D2679" i="2"/>
  <c r="D2680" i="2"/>
  <c r="D2681" i="2"/>
  <c r="D2682" i="2"/>
  <c r="D2686" i="2"/>
  <c r="D2687" i="2"/>
  <c r="D2688" i="2"/>
  <c r="D2689" i="2"/>
  <c r="D2690" i="2"/>
  <c r="D2694" i="2"/>
  <c r="D2695" i="2"/>
  <c r="D2696" i="2"/>
  <c r="D2697" i="2"/>
  <c r="D2698" i="2"/>
  <c r="D2702" i="2"/>
  <c r="D2703" i="2"/>
  <c r="D2704" i="2"/>
  <c r="D2705" i="2"/>
  <c r="D2706" i="2"/>
  <c r="D2710" i="2"/>
  <c r="D2711" i="2"/>
  <c r="D2712" i="2"/>
  <c r="D2713" i="2"/>
  <c r="D2714" i="2"/>
  <c r="D2718" i="2"/>
  <c r="D2719" i="2"/>
  <c r="D2720" i="2"/>
  <c r="D2721" i="2"/>
  <c r="D2722" i="2"/>
  <c r="D2726" i="2"/>
  <c r="D2727" i="2"/>
  <c r="D2728" i="2"/>
  <c r="D2729" i="2"/>
  <c r="D2730" i="2"/>
  <c r="D2734" i="2"/>
  <c r="D2735" i="2"/>
  <c r="D2736" i="2"/>
  <c r="D2737" i="2"/>
  <c r="D2738" i="2"/>
  <c r="D2742" i="2"/>
  <c r="D2743" i="2"/>
  <c r="D2744" i="2"/>
  <c r="D2745" i="2"/>
  <c r="D2746" i="2"/>
  <c r="D2750" i="2"/>
  <c r="D2751" i="2"/>
  <c r="D2752" i="2"/>
  <c r="D2753" i="2"/>
  <c r="D2754" i="2"/>
  <c r="D2758" i="2"/>
  <c r="D2759" i="2"/>
  <c r="D2760" i="2"/>
  <c r="D2761" i="2"/>
  <c r="D2762" i="2"/>
  <c r="D2766" i="2"/>
  <c r="D2767" i="2"/>
  <c r="D2768" i="2"/>
  <c r="D2769" i="2"/>
  <c r="D2770" i="2"/>
  <c r="D2774" i="2"/>
  <c r="D2775" i="2"/>
  <c r="D2776" i="2"/>
  <c r="D2777" i="2"/>
  <c r="D2778" i="2"/>
  <c r="D2782" i="2"/>
  <c r="D2783" i="2"/>
  <c r="D2784" i="2"/>
  <c r="D2785" i="2"/>
  <c r="D2786" i="2"/>
  <c r="D2790" i="2"/>
  <c r="D2791" i="2"/>
  <c r="D2792" i="2"/>
  <c r="D2793" i="2"/>
  <c r="D2794" i="2"/>
  <c r="D2798" i="2"/>
  <c r="D2799" i="2"/>
  <c r="D2800" i="2"/>
  <c r="D2801" i="2"/>
  <c r="D2802" i="2"/>
  <c r="D2806" i="2"/>
  <c r="D2807" i="2"/>
  <c r="D2808" i="2"/>
  <c r="D2809" i="2"/>
  <c r="D2810" i="2"/>
  <c r="D2814" i="2"/>
  <c r="D2815" i="2"/>
  <c r="D2816" i="2"/>
  <c r="D2817" i="2"/>
  <c r="D2818" i="2"/>
  <c r="D2822" i="2"/>
  <c r="D2823" i="2"/>
  <c r="D2824" i="2"/>
  <c r="D2825" i="2"/>
  <c r="D2826" i="2"/>
  <c r="D2830" i="2"/>
  <c r="D2831" i="2"/>
  <c r="D2832" i="2"/>
  <c r="D2833" i="2"/>
  <c r="D2834" i="2"/>
  <c r="D2838" i="2"/>
  <c r="D2839" i="2"/>
  <c r="D2840" i="2"/>
  <c r="D2841" i="2"/>
  <c r="D2842" i="2"/>
  <c r="D2846" i="2"/>
  <c r="D2847" i="2"/>
  <c r="D2848" i="2"/>
  <c r="D2849" i="2"/>
  <c r="D2850" i="2"/>
  <c r="D2854" i="2"/>
  <c r="D2855" i="2"/>
  <c r="D2856" i="2"/>
  <c r="D2857" i="2"/>
  <c r="D2858" i="2"/>
  <c r="D2862" i="2"/>
  <c r="D2863" i="2"/>
  <c r="D2864" i="2"/>
  <c r="D2865" i="2"/>
  <c r="D2866" i="2"/>
  <c r="D2870" i="2"/>
  <c r="D2871" i="2"/>
  <c r="D2872" i="2"/>
  <c r="D2873" i="2"/>
  <c r="D2874" i="2"/>
  <c r="D2878" i="2"/>
  <c r="D2879" i="2"/>
  <c r="D2880" i="2"/>
  <c r="D2881" i="2"/>
  <c r="D2882" i="2"/>
  <c r="D2886" i="2"/>
  <c r="D2887" i="2"/>
  <c r="D2888" i="2"/>
  <c r="D2889" i="2"/>
  <c r="D2890" i="2"/>
  <c r="D2894" i="2"/>
  <c r="D2895" i="2"/>
  <c r="D2896" i="2"/>
  <c r="D2897" i="2"/>
  <c r="D2898" i="2"/>
  <c r="D2902" i="2"/>
  <c r="D2903" i="2"/>
  <c r="D2904" i="2"/>
  <c r="D2905" i="2"/>
  <c r="D2906" i="2"/>
  <c r="D2910" i="2"/>
  <c r="D2911" i="2"/>
  <c r="D2912" i="2"/>
  <c r="D2913" i="2"/>
  <c r="D2914" i="2"/>
  <c r="D2918" i="2"/>
  <c r="D2919" i="2"/>
  <c r="D2920" i="2"/>
  <c r="D2921" i="2"/>
  <c r="D2922" i="2"/>
  <c r="D2926" i="2"/>
  <c r="D2927" i="2"/>
  <c r="D2928" i="2"/>
  <c r="D2929" i="2"/>
  <c r="D2930" i="2"/>
  <c r="D2934" i="2"/>
  <c r="D2935" i="2"/>
  <c r="D2936" i="2"/>
  <c r="D2937" i="2"/>
  <c r="D2938" i="2"/>
  <c r="D2942" i="2"/>
  <c r="D2943" i="2"/>
  <c r="D2944" i="2"/>
  <c r="D2945" i="2"/>
  <c r="D2946" i="2"/>
  <c r="D2950" i="2"/>
  <c r="D2951" i="2"/>
  <c r="D2952" i="2"/>
  <c r="D2953" i="2"/>
  <c r="D2954" i="2"/>
  <c r="D2958" i="2"/>
  <c r="D2959" i="2"/>
  <c r="D2960" i="2"/>
  <c r="D2961" i="2"/>
  <c r="D2962" i="2"/>
  <c r="D2966" i="2"/>
  <c r="D2967" i="2"/>
  <c r="D2968" i="2"/>
  <c r="D2969" i="2"/>
  <c r="D2970" i="2"/>
  <c r="D2974" i="2"/>
  <c r="D2975" i="2"/>
  <c r="D2976" i="2"/>
  <c r="D2977" i="2"/>
  <c r="D2978" i="2"/>
  <c r="D2982" i="2"/>
  <c r="D2983" i="2"/>
  <c r="D2984" i="2"/>
  <c r="D2985" i="2"/>
  <c r="D2986" i="2"/>
  <c r="D2990" i="2"/>
  <c r="D2991" i="2"/>
  <c r="D2992" i="2"/>
  <c r="D2993" i="2"/>
  <c r="D2994" i="2"/>
  <c r="D2998" i="2"/>
  <c r="D2999" i="2"/>
  <c r="D3000" i="2"/>
  <c r="D3001" i="2"/>
  <c r="D3002" i="2"/>
  <c r="D3006" i="2"/>
  <c r="D3007" i="2"/>
  <c r="D3008" i="2"/>
  <c r="D3009" i="2"/>
  <c r="D3010" i="2"/>
  <c r="D3014" i="2"/>
  <c r="D3015" i="2"/>
  <c r="D3016" i="2"/>
  <c r="D3017" i="2"/>
  <c r="D3018" i="2"/>
  <c r="D3022" i="2"/>
  <c r="D3023" i="2"/>
  <c r="D3024" i="2"/>
  <c r="D3025" i="2"/>
  <c r="D3026" i="2"/>
  <c r="D3030" i="2"/>
  <c r="D3031" i="2"/>
  <c r="D3032" i="2"/>
  <c r="D3033" i="2"/>
  <c r="D3034" i="2"/>
  <c r="D3038" i="2"/>
  <c r="D3039" i="2"/>
  <c r="D3040" i="2"/>
  <c r="D3041" i="2"/>
  <c r="D3042" i="2"/>
  <c r="D3046" i="2"/>
  <c r="D3047" i="2"/>
  <c r="D3048" i="2"/>
  <c r="D3049" i="2"/>
  <c r="D3050" i="2"/>
  <c r="D3054" i="2"/>
  <c r="D3055" i="2"/>
  <c r="D3056" i="2"/>
  <c r="D3057" i="2"/>
  <c r="D3058" i="2"/>
  <c r="D3062" i="2"/>
  <c r="D3063" i="2"/>
  <c r="D3064" i="2"/>
  <c r="D3065" i="2"/>
  <c r="D3066" i="2"/>
  <c r="D3070" i="2"/>
  <c r="D3071" i="2"/>
  <c r="D3072" i="2"/>
  <c r="D3073" i="2"/>
  <c r="D3074" i="2"/>
  <c r="D3078" i="2"/>
  <c r="D3079" i="2"/>
  <c r="D3080" i="2"/>
  <c r="D3081" i="2"/>
  <c r="D3082" i="2"/>
  <c r="D3086" i="2"/>
  <c r="D3087" i="2"/>
  <c r="D3088" i="2"/>
  <c r="D3089" i="2"/>
  <c r="D3090" i="2"/>
  <c r="D3094" i="2"/>
  <c r="D3095" i="2"/>
  <c r="D3096" i="2"/>
  <c r="D3097" i="2"/>
  <c r="D3098" i="2"/>
  <c r="D3102" i="2"/>
  <c r="D3103" i="2"/>
  <c r="D3104" i="2"/>
  <c r="D3105" i="2"/>
  <c r="D3106" i="2"/>
  <c r="D3110" i="2"/>
  <c r="D3111" i="2"/>
  <c r="D3112" i="2"/>
  <c r="D3113" i="2"/>
  <c r="D3114" i="2"/>
  <c r="D3118" i="2"/>
  <c r="D3119" i="2"/>
  <c r="D3120" i="2"/>
  <c r="D3121" i="2"/>
  <c r="D3122" i="2"/>
  <c r="D3126" i="2"/>
  <c r="D3127" i="2"/>
  <c r="D3128" i="2"/>
  <c r="D3129" i="2"/>
  <c r="D3130" i="2"/>
  <c r="D3134" i="2"/>
  <c r="D3135" i="2"/>
  <c r="D3136" i="2"/>
  <c r="D3137" i="2"/>
  <c r="D3138" i="2"/>
  <c r="D3142" i="2"/>
  <c r="D3143" i="2"/>
  <c r="D3144" i="2"/>
  <c r="D3145" i="2"/>
  <c r="D3146" i="2"/>
  <c r="D3150" i="2"/>
  <c r="D3151" i="2"/>
  <c r="D3152" i="2"/>
  <c r="D3153" i="2"/>
  <c r="D3154" i="2"/>
  <c r="D3158" i="2"/>
  <c r="D3159" i="2"/>
  <c r="D3160" i="2"/>
  <c r="D3161" i="2"/>
  <c r="D3162" i="2"/>
  <c r="D3166" i="2"/>
  <c r="D3167" i="2"/>
  <c r="D3168" i="2"/>
  <c r="D3169" i="2"/>
  <c r="D3170" i="2"/>
  <c r="D3174" i="2"/>
  <c r="D3175" i="2"/>
  <c r="D3176" i="2"/>
  <c r="D3177" i="2"/>
  <c r="D3178" i="2"/>
  <c r="D3182" i="2"/>
  <c r="D3183" i="2"/>
  <c r="D3184" i="2"/>
  <c r="D3185" i="2"/>
  <c r="D3186" i="2"/>
  <c r="D3190" i="2"/>
  <c r="D3191" i="2"/>
  <c r="D3192" i="2"/>
  <c r="D3193" i="2"/>
  <c r="D3194" i="2"/>
  <c r="D3198" i="2"/>
  <c r="D3199" i="2"/>
  <c r="D3200" i="2"/>
  <c r="D3201" i="2"/>
  <c r="D3202" i="2"/>
  <c r="D3206" i="2"/>
  <c r="D3207" i="2"/>
  <c r="D3208" i="2"/>
  <c r="D3209" i="2"/>
  <c r="D3210" i="2"/>
  <c r="D3214" i="2"/>
  <c r="D3215" i="2"/>
  <c r="D3216" i="2"/>
  <c r="D3217" i="2"/>
  <c r="D3218" i="2"/>
  <c r="D3222" i="2"/>
  <c r="D3223" i="2"/>
  <c r="D3224" i="2"/>
  <c r="D3225" i="2"/>
  <c r="D3226" i="2"/>
  <c r="D3230" i="2"/>
  <c r="D3231" i="2"/>
  <c r="D3232" i="2"/>
  <c r="D3233" i="2"/>
  <c r="D3234" i="2"/>
  <c r="D3238" i="2"/>
  <c r="D3239" i="2"/>
  <c r="D3240" i="2"/>
  <c r="D3241" i="2"/>
  <c r="D3242" i="2"/>
  <c r="D3246" i="2"/>
  <c r="D3247" i="2"/>
  <c r="D3248" i="2"/>
  <c r="D3249" i="2"/>
  <c r="D3250" i="2"/>
  <c r="D3254" i="2"/>
  <c r="D3255" i="2"/>
  <c r="D3256" i="2"/>
  <c r="D3257" i="2"/>
  <c r="D3258" i="2"/>
  <c r="D3262" i="2"/>
  <c r="D3263" i="2"/>
  <c r="D3264" i="2"/>
  <c r="D3265" i="2"/>
  <c r="D3266" i="2"/>
  <c r="D3270" i="2"/>
  <c r="D3271" i="2"/>
  <c r="D3272" i="2"/>
  <c r="D3273" i="2"/>
  <c r="D3274" i="2"/>
  <c r="D3278" i="2"/>
  <c r="D3279" i="2"/>
  <c r="D3280" i="2"/>
  <c r="D3281" i="2"/>
  <c r="D3282" i="2"/>
  <c r="D3286" i="2"/>
  <c r="D3287" i="2"/>
  <c r="D3288" i="2"/>
  <c r="D3289" i="2"/>
  <c r="D3290" i="2"/>
  <c r="D3294" i="2"/>
  <c r="D3295" i="2"/>
  <c r="D3296" i="2"/>
  <c r="D3297" i="2"/>
  <c r="D3298" i="2"/>
  <c r="D3302" i="2"/>
  <c r="D3303" i="2"/>
  <c r="D3304" i="2"/>
  <c r="D3305" i="2"/>
  <c r="D3306" i="2"/>
  <c r="D3310" i="2"/>
  <c r="D3311" i="2"/>
  <c r="D3312" i="2"/>
  <c r="D3313" i="2"/>
  <c r="D3314" i="2"/>
  <c r="D3318" i="2"/>
  <c r="D3319" i="2"/>
  <c r="D3320" i="2"/>
  <c r="D3321" i="2"/>
  <c r="D3322" i="2"/>
  <c r="D3326" i="2"/>
  <c r="D3327" i="2"/>
  <c r="D3328" i="2"/>
  <c r="D3329" i="2"/>
  <c r="D3330" i="2"/>
  <c r="D3334" i="2"/>
  <c r="D3335" i="2"/>
  <c r="D3336" i="2"/>
  <c r="D3337" i="2"/>
  <c r="D3338" i="2"/>
  <c r="D3342" i="2"/>
  <c r="D3343" i="2"/>
  <c r="D3344" i="2"/>
  <c r="D3345" i="2"/>
  <c r="D3346" i="2"/>
  <c r="D3350" i="2"/>
  <c r="D3351" i="2"/>
  <c r="D3352" i="2"/>
  <c r="D3353" i="2"/>
  <c r="D3354" i="2"/>
  <c r="D3358" i="2"/>
  <c r="D3359" i="2"/>
  <c r="D3360" i="2"/>
  <c r="D3361" i="2"/>
  <c r="D3362" i="2"/>
  <c r="D3366" i="2"/>
  <c r="D3367" i="2"/>
  <c r="D3368" i="2"/>
  <c r="D3369" i="2"/>
  <c r="D3370" i="2"/>
  <c r="D3374" i="2"/>
  <c r="D3375" i="2"/>
  <c r="D3376" i="2"/>
  <c r="D3377" i="2"/>
  <c r="D3378" i="2"/>
  <c r="D3382" i="2"/>
  <c r="D3383" i="2"/>
  <c r="D3384" i="2"/>
  <c r="D3385" i="2"/>
  <c r="D3386" i="2"/>
  <c r="D3390" i="2"/>
  <c r="D3391" i="2"/>
  <c r="D3392" i="2"/>
  <c r="D3393" i="2"/>
  <c r="D3394" i="2"/>
  <c r="D3398" i="2"/>
  <c r="D3399" i="2"/>
  <c r="D3400" i="2"/>
  <c r="D3401" i="2"/>
  <c r="D3402" i="2"/>
  <c r="D3406" i="2"/>
  <c r="D3407" i="2"/>
  <c r="D3408" i="2"/>
  <c r="D3409" i="2"/>
  <c r="D3410" i="2"/>
  <c r="D3414" i="2"/>
  <c r="D3415" i="2"/>
  <c r="D3416" i="2"/>
  <c r="D3417" i="2"/>
  <c r="D3418" i="2"/>
  <c r="D3422" i="2"/>
  <c r="D3423" i="2"/>
  <c r="D3424" i="2"/>
  <c r="D3425" i="2"/>
  <c r="D3426" i="2"/>
  <c r="D3430" i="2"/>
  <c r="D3431" i="2"/>
  <c r="D3432" i="2"/>
  <c r="D3433" i="2"/>
  <c r="D3434" i="2"/>
  <c r="D3438" i="2"/>
  <c r="D3439" i="2"/>
  <c r="D3440" i="2"/>
  <c r="D3441" i="2"/>
  <c r="D3442" i="2"/>
  <c r="D3446" i="2"/>
  <c r="D3447" i="2"/>
  <c r="D3448" i="2"/>
  <c r="D3449" i="2"/>
  <c r="D3450" i="2"/>
  <c r="D3454" i="2"/>
  <c r="D3455" i="2"/>
  <c r="D3456" i="2"/>
  <c r="D3457" i="2"/>
  <c r="D3458" i="2"/>
  <c r="D3462" i="2"/>
  <c r="D3463" i="2"/>
  <c r="D3464" i="2"/>
  <c r="D3465" i="2"/>
  <c r="D3466" i="2"/>
  <c r="D3470" i="2"/>
  <c r="D3471" i="2"/>
  <c r="D3472" i="2"/>
  <c r="D3473" i="2"/>
  <c r="D3474" i="2"/>
  <c r="D3478" i="2"/>
  <c r="D3479" i="2"/>
  <c r="D3480" i="2"/>
  <c r="D3481" i="2"/>
  <c r="D3482" i="2"/>
  <c r="D3486" i="2"/>
  <c r="D3487" i="2"/>
  <c r="D3488" i="2"/>
  <c r="D3489" i="2"/>
  <c r="D3490" i="2"/>
  <c r="D3494" i="2"/>
  <c r="D3495" i="2"/>
  <c r="D3496" i="2"/>
  <c r="D3497" i="2"/>
  <c r="D3498" i="2"/>
  <c r="D3502" i="2"/>
  <c r="D3503" i="2"/>
  <c r="D3504" i="2"/>
  <c r="D3505" i="2"/>
  <c r="D3506" i="2"/>
  <c r="D3510" i="2"/>
  <c r="D3511" i="2"/>
  <c r="D3512" i="2"/>
  <c r="D3513" i="2"/>
  <c r="D3514" i="2"/>
  <c r="D3518" i="2"/>
  <c r="D3519" i="2"/>
  <c r="D3520" i="2"/>
  <c r="D3521" i="2"/>
  <c r="D3522" i="2"/>
  <c r="D3526" i="2"/>
  <c r="D3527" i="2"/>
  <c r="D3528" i="2"/>
  <c r="D3529" i="2"/>
  <c r="D3530" i="2"/>
  <c r="D3534" i="2"/>
  <c r="D3535" i="2"/>
  <c r="D3536" i="2"/>
  <c r="D3537" i="2"/>
  <c r="D3538" i="2"/>
  <c r="D3542" i="2"/>
  <c r="D3543" i="2"/>
  <c r="D3544" i="2"/>
  <c r="D3545" i="2"/>
  <c r="D3546" i="2"/>
  <c r="D3550" i="2"/>
  <c r="D3551" i="2"/>
  <c r="D3552" i="2"/>
  <c r="D3553" i="2"/>
  <c r="D3554" i="2"/>
  <c r="D3558" i="2"/>
  <c r="D3559" i="2"/>
  <c r="D3560" i="2"/>
  <c r="D3561" i="2"/>
  <c r="D3562" i="2"/>
  <c r="D3566" i="2"/>
  <c r="D3567" i="2"/>
  <c r="D3568" i="2"/>
  <c r="D3569" i="2"/>
  <c r="D3570" i="2"/>
  <c r="D3574" i="2"/>
  <c r="D3575" i="2"/>
  <c r="D3576" i="2"/>
  <c r="D3577" i="2"/>
  <c r="D3578" i="2"/>
  <c r="D3582" i="2"/>
  <c r="D3583" i="2"/>
  <c r="D3584" i="2"/>
  <c r="D3585" i="2"/>
  <c r="D3586" i="2"/>
  <c r="D3590" i="2"/>
  <c r="D3591" i="2"/>
  <c r="D3592" i="2"/>
  <c r="D3593" i="2"/>
  <c r="D3594" i="2"/>
  <c r="D3598" i="2"/>
  <c r="D3599" i="2"/>
  <c r="D3600" i="2"/>
  <c r="D3601" i="2"/>
  <c r="D3602" i="2"/>
  <c r="D3606" i="2"/>
  <c r="D3607" i="2"/>
  <c r="D3608" i="2"/>
  <c r="D3609" i="2"/>
  <c r="D3610" i="2"/>
  <c r="D3614" i="2"/>
  <c r="D3615" i="2"/>
  <c r="D3616" i="2"/>
  <c r="D3617" i="2"/>
  <c r="D3618" i="2"/>
  <c r="D3622" i="2"/>
  <c r="D3623" i="2"/>
  <c r="D3624" i="2"/>
  <c r="D3625" i="2"/>
  <c r="D3626" i="2"/>
  <c r="D3630" i="2"/>
  <c r="D3631" i="2"/>
  <c r="D3632" i="2"/>
  <c r="D3633" i="2"/>
  <c r="D3634" i="2"/>
  <c r="D3638" i="2"/>
  <c r="D3639" i="2"/>
  <c r="D3640" i="2"/>
  <c r="D3641" i="2"/>
  <c r="D3642" i="2"/>
  <c r="D3646" i="2"/>
  <c r="D3647" i="2"/>
  <c r="D3648" i="2"/>
  <c r="D3649" i="2"/>
  <c r="D3650" i="2"/>
  <c r="D3654" i="2"/>
  <c r="D3655" i="2"/>
  <c r="D3656" i="2"/>
  <c r="D3657" i="2"/>
  <c r="D3658" i="2"/>
  <c r="D3662" i="2"/>
  <c r="D3663" i="2"/>
  <c r="D3664" i="2"/>
  <c r="D3665" i="2"/>
  <c r="D3666" i="2"/>
  <c r="D3670" i="2"/>
  <c r="D3671" i="2"/>
  <c r="D3672" i="2"/>
  <c r="D3673" i="2"/>
  <c r="D3674" i="2"/>
  <c r="D3678" i="2"/>
  <c r="D3679" i="2"/>
  <c r="D3680" i="2"/>
  <c r="D3681" i="2"/>
  <c r="D3682" i="2"/>
  <c r="D3686" i="2"/>
  <c r="D3687" i="2"/>
  <c r="D3688" i="2"/>
  <c r="D3689" i="2"/>
  <c r="D3690" i="2"/>
  <c r="D3694" i="2"/>
  <c r="D3695" i="2"/>
  <c r="D3696" i="2"/>
  <c r="D3697" i="2"/>
  <c r="D3698" i="2"/>
  <c r="D3702" i="2"/>
  <c r="D3703" i="2"/>
  <c r="D3704" i="2"/>
  <c r="D3705" i="2"/>
  <c r="D3706" i="2"/>
  <c r="D3710" i="2"/>
  <c r="D3711" i="2"/>
  <c r="D3712" i="2"/>
  <c r="D3713" i="2"/>
  <c r="D3714" i="2"/>
  <c r="D3718" i="2"/>
  <c r="D3719" i="2"/>
  <c r="D3720" i="2"/>
  <c r="D3721" i="2"/>
  <c r="D3722" i="2"/>
  <c r="D3726" i="2"/>
  <c r="D3727" i="2"/>
  <c r="D3728" i="2"/>
  <c r="D3729" i="2"/>
  <c r="D3730" i="2"/>
  <c r="D3734" i="2"/>
  <c r="D3735" i="2"/>
  <c r="D3736" i="2"/>
  <c r="D3737" i="2"/>
  <c r="D3738" i="2"/>
  <c r="D3742" i="2"/>
  <c r="D3743" i="2"/>
  <c r="D3744" i="2"/>
  <c r="D3745" i="2"/>
  <c r="D3746" i="2"/>
  <c r="D3750" i="2"/>
  <c r="D3751" i="2"/>
  <c r="D3752" i="2"/>
  <c r="D3753" i="2"/>
  <c r="D3754" i="2"/>
  <c r="D3758" i="2"/>
  <c r="D3759" i="2"/>
  <c r="D3760" i="2"/>
  <c r="D3761" i="2"/>
  <c r="D3762" i="2"/>
  <c r="D3766" i="2"/>
  <c r="D3767" i="2"/>
  <c r="D3768" i="2"/>
  <c r="D3769" i="2"/>
  <c r="D3770" i="2"/>
  <c r="D3774" i="2"/>
  <c r="D3775" i="2"/>
  <c r="D3776" i="2"/>
  <c r="D3777" i="2"/>
  <c r="D3778" i="2"/>
  <c r="D3782" i="2"/>
  <c r="D3783" i="2"/>
  <c r="D3784" i="2"/>
  <c r="D3785" i="2"/>
  <c r="D3786" i="2"/>
  <c r="D3790" i="2"/>
  <c r="D3791" i="2"/>
  <c r="D3792" i="2"/>
  <c r="D3793" i="2"/>
  <c r="D3794" i="2"/>
  <c r="D3798" i="2"/>
  <c r="D3799" i="2"/>
  <c r="D3800" i="2"/>
  <c r="D3801" i="2"/>
  <c r="D3802" i="2"/>
  <c r="D3806" i="2"/>
  <c r="D3807" i="2"/>
  <c r="D3808" i="2"/>
  <c r="D3809" i="2"/>
  <c r="D3810" i="2"/>
  <c r="D3814" i="2"/>
  <c r="D3815" i="2"/>
  <c r="D3816" i="2"/>
  <c r="D3817" i="2"/>
  <c r="D3818" i="2"/>
  <c r="D3822" i="2"/>
  <c r="D3823" i="2"/>
  <c r="D3824" i="2"/>
  <c r="D3825" i="2"/>
  <c r="D3826" i="2"/>
  <c r="D3830" i="2"/>
  <c r="D3831" i="2"/>
  <c r="D3832" i="2"/>
  <c r="D3833" i="2"/>
  <c r="D3834" i="2"/>
  <c r="D3838" i="2"/>
  <c r="D3839" i="2"/>
  <c r="D3840" i="2"/>
  <c r="D3841" i="2"/>
  <c r="D3842" i="2"/>
  <c r="D3846" i="2"/>
  <c r="D3847" i="2"/>
  <c r="D3848" i="2"/>
  <c r="D3849" i="2"/>
  <c r="D3850" i="2"/>
  <c r="D3854" i="2"/>
  <c r="D3855" i="2"/>
  <c r="D3856" i="2"/>
  <c r="D3857" i="2"/>
  <c r="D3858" i="2"/>
  <c r="D3862" i="2"/>
  <c r="D3863" i="2"/>
  <c r="D3864" i="2"/>
  <c r="D3865" i="2"/>
  <c r="D3866" i="2"/>
  <c r="D3870" i="2"/>
  <c r="D3871" i="2"/>
  <c r="D3872" i="2"/>
  <c r="D3873" i="2"/>
  <c r="D3874" i="2"/>
  <c r="D3878" i="2"/>
  <c r="D3879" i="2"/>
  <c r="D3880" i="2"/>
  <c r="D3881" i="2"/>
  <c r="D3882" i="2"/>
  <c r="D3886" i="2"/>
  <c r="D3887" i="2"/>
  <c r="D3888" i="2"/>
  <c r="D3889" i="2"/>
  <c r="D3890" i="2"/>
  <c r="D3894" i="2"/>
  <c r="D3895" i="2"/>
  <c r="D3896" i="2"/>
  <c r="D3897" i="2"/>
  <c r="D3898" i="2"/>
  <c r="D3902" i="2"/>
  <c r="D3903" i="2"/>
  <c r="D3904" i="2"/>
  <c r="D3905" i="2"/>
  <c r="D3906" i="2"/>
  <c r="D3910" i="2"/>
  <c r="D3911" i="2"/>
  <c r="D3912" i="2"/>
  <c r="D3913" i="2"/>
  <c r="D3914" i="2"/>
  <c r="D3918" i="2"/>
  <c r="D3919" i="2"/>
  <c r="D3920" i="2"/>
  <c r="D3921" i="2"/>
  <c r="D3922" i="2"/>
  <c r="D3926" i="2"/>
  <c r="D3927" i="2"/>
  <c r="D3928" i="2"/>
  <c r="D3929" i="2"/>
  <c r="D3930" i="2"/>
  <c r="D3934" i="2"/>
  <c r="D3935" i="2"/>
  <c r="D3936" i="2"/>
  <c r="D3937" i="2"/>
  <c r="D3938" i="2"/>
  <c r="D3942" i="2"/>
  <c r="D3943" i="2"/>
  <c r="D3944" i="2"/>
  <c r="D3945" i="2"/>
  <c r="D3946" i="2"/>
  <c r="D3950" i="2"/>
  <c r="D3951" i="2"/>
  <c r="D3952" i="2"/>
  <c r="D3953" i="2"/>
  <c r="D3954" i="2"/>
  <c r="D3958" i="2"/>
  <c r="D3959" i="2"/>
  <c r="D3960" i="2"/>
  <c r="D3961" i="2"/>
  <c r="D3962" i="2"/>
  <c r="D3966" i="2"/>
  <c r="D3967" i="2"/>
  <c r="D3968" i="2"/>
  <c r="D3969" i="2"/>
  <c r="D3970" i="2"/>
  <c r="D3974" i="2"/>
  <c r="D3975" i="2"/>
  <c r="D3976" i="2"/>
  <c r="D3977" i="2"/>
  <c r="D3978" i="2"/>
  <c r="D3982" i="2"/>
  <c r="D3983" i="2"/>
  <c r="D3984" i="2"/>
  <c r="D3985" i="2"/>
  <c r="D3986" i="2"/>
  <c r="D3990" i="2"/>
  <c r="D3991" i="2"/>
  <c r="D3992" i="2"/>
  <c r="D3993" i="2"/>
  <c r="D3994" i="2"/>
  <c r="D3998" i="2"/>
  <c r="D3999" i="2"/>
  <c r="D4000" i="2"/>
  <c r="D4001" i="2"/>
  <c r="D4002" i="2"/>
  <c r="D4006" i="2"/>
  <c r="D4007" i="2"/>
  <c r="D4008" i="2"/>
  <c r="D4009" i="2"/>
  <c r="D4010" i="2"/>
  <c r="D4014" i="2"/>
  <c r="D4015" i="2"/>
  <c r="D4016" i="2"/>
  <c r="D4017" i="2"/>
  <c r="D4018" i="2"/>
  <c r="D4022" i="2"/>
  <c r="D4023" i="2"/>
  <c r="D4024" i="2"/>
  <c r="D4025" i="2"/>
  <c r="D4026" i="2"/>
  <c r="D4030" i="2"/>
  <c r="D4031" i="2"/>
  <c r="D4032" i="2"/>
  <c r="D4033" i="2"/>
  <c r="D4034" i="2"/>
  <c r="D4038" i="2"/>
  <c r="D4039" i="2"/>
  <c r="D4040" i="2"/>
  <c r="D4041" i="2"/>
  <c r="D4042" i="2"/>
  <c r="D4046" i="2"/>
  <c r="D4047" i="2"/>
  <c r="D4048" i="2"/>
  <c r="D4049" i="2"/>
  <c r="D4050" i="2"/>
  <c r="D4054" i="2"/>
  <c r="D4055" i="2"/>
  <c r="D4056" i="2"/>
  <c r="D4057" i="2"/>
  <c r="D4058" i="2"/>
  <c r="D4062" i="2"/>
  <c r="D4063" i="2"/>
  <c r="D4064" i="2"/>
  <c r="D4065" i="2"/>
  <c r="D4066" i="2"/>
  <c r="D4070" i="2"/>
  <c r="D4071" i="2"/>
  <c r="D4072" i="2"/>
  <c r="D4073" i="2"/>
  <c r="D4074" i="2"/>
  <c r="D4078" i="2"/>
  <c r="D4079" i="2"/>
  <c r="D4080" i="2"/>
  <c r="D4081" i="2"/>
  <c r="D4082" i="2"/>
  <c r="D4086" i="2"/>
  <c r="D4087" i="2"/>
  <c r="D4088" i="2"/>
  <c r="D4089" i="2"/>
  <c r="D4090" i="2"/>
  <c r="D4094" i="2"/>
  <c r="D4095" i="2"/>
  <c r="D4096" i="2"/>
  <c r="D4097" i="2"/>
  <c r="D4098" i="2"/>
  <c r="D4102" i="2"/>
  <c r="D4103" i="2"/>
  <c r="D4104" i="2"/>
  <c r="D4105" i="2"/>
  <c r="D4106" i="2"/>
  <c r="D4110" i="2"/>
  <c r="D4111" i="2"/>
  <c r="D4112" i="2"/>
  <c r="D4113" i="2"/>
  <c r="D4114" i="2"/>
  <c r="D4118" i="2"/>
  <c r="D4119" i="2"/>
  <c r="D4120" i="2"/>
  <c r="D4121" i="2"/>
  <c r="D4122" i="2"/>
  <c r="D4126" i="2"/>
  <c r="D4127" i="2"/>
  <c r="D4128" i="2"/>
  <c r="D4129" i="2"/>
  <c r="D4130" i="2"/>
  <c r="D4134" i="2"/>
  <c r="D4135" i="2"/>
  <c r="D4136" i="2"/>
  <c r="D4137" i="2"/>
  <c r="D4138" i="2"/>
  <c r="D4142" i="2"/>
  <c r="D4143" i="2"/>
  <c r="D4144" i="2"/>
  <c r="D4145" i="2"/>
  <c r="D4146" i="2"/>
  <c r="D4150" i="2"/>
  <c r="D4151" i="2"/>
  <c r="D4152" i="2"/>
  <c r="D4153" i="2"/>
  <c r="D4154" i="2"/>
  <c r="D4158" i="2"/>
  <c r="D4159" i="2"/>
  <c r="D4160" i="2"/>
  <c r="D4161" i="2"/>
  <c r="D4162" i="2"/>
  <c r="D4166" i="2"/>
  <c r="D4167" i="2"/>
  <c r="D4168" i="2"/>
  <c r="D4169" i="2"/>
  <c r="D4170" i="2"/>
  <c r="D4174" i="2"/>
  <c r="D4175" i="2"/>
  <c r="D4176" i="2"/>
  <c r="D4177" i="2"/>
  <c r="D4178" i="2"/>
  <c r="D4182" i="2"/>
  <c r="D4183" i="2"/>
  <c r="D4184" i="2"/>
  <c r="D4185" i="2"/>
  <c r="D4186" i="2"/>
  <c r="D4190" i="2"/>
  <c r="D4191" i="2"/>
  <c r="D4192" i="2"/>
  <c r="D4193" i="2"/>
  <c r="D4194" i="2"/>
  <c r="D4198" i="2"/>
  <c r="D4199" i="2"/>
  <c r="D4200" i="2"/>
  <c r="D4201" i="2"/>
  <c r="D4202" i="2"/>
  <c r="D4206" i="2"/>
  <c r="D4207" i="2"/>
  <c r="D4208" i="2"/>
  <c r="D4209" i="2"/>
  <c r="D4210" i="2"/>
  <c r="D4214" i="2"/>
  <c r="D4215" i="2"/>
  <c r="D4216" i="2"/>
  <c r="D4217" i="2"/>
  <c r="D4218" i="2"/>
  <c r="D4222" i="2"/>
  <c r="D4223" i="2"/>
  <c r="D4224" i="2"/>
  <c r="D4225" i="2"/>
  <c r="D4226" i="2"/>
  <c r="D4230" i="2"/>
  <c r="D4231" i="2"/>
  <c r="D4232" i="2"/>
  <c r="D4233" i="2"/>
  <c r="D4234" i="2"/>
  <c r="D4238" i="2"/>
  <c r="D4239" i="2"/>
  <c r="D4240" i="2"/>
  <c r="D4241" i="2"/>
  <c r="D4242" i="2"/>
  <c r="D4246" i="2"/>
  <c r="D4247" i="2"/>
  <c r="D4248" i="2"/>
  <c r="D4249" i="2"/>
  <c r="D4250" i="2"/>
  <c r="D4254" i="2"/>
  <c r="D4255" i="2"/>
  <c r="D4256" i="2"/>
  <c r="D4257" i="2"/>
  <c r="D4258" i="2"/>
  <c r="D4262" i="2"/>
  <c r="D4263" i="2"/>
  <c r="D4264" i="2"/>
  <c r="D4265" i="2"/>
  <c r="D4266" i="2"/>
  <c r="D4270" i="2"/>
  <c r="D4271" i="2"/>
  <c r="D4272" i="2"/>
  <c r="D4273" i="2"/>
  <c r="D4274" i="2"/>
  <c r="D4278" i="2"/>
  <c r="D4279" i="2"/>
  <c r="D4280" i="2"/>
  <c r="D4281" i="2"/>
  <c r="D4282" i="2"/>
  <c r="D4286" i="2"/>
  <c r="D4287" i="2"/>
  <c r="D4288" i="2"/>
  <c r="D4289" i="2"/>
  <c r="D4290" i="2"/>
  <c r="D4294" i="2"/>
  <c r="D4295" i="2"/>
  <c r="D4296" i="2"/>
  <c r="D4297" i="2"/>
  <c r="D4298" i="2"/>
  <c r="D4302" i="2"/>
  <c r="D4303" i="2"/>
  <c r="D4304" i="2"/>
  <c r="D4305" i="2"/>
  <c r="D4306" i="2"/>
  <c r="D4310" i="2"/>
  <c r="D4311" i="2"/>
  <c r="D4312" i="2"/>
  <c r="D4313" i="2"/>
  <c r="D4314" i="2"/>
  <c r="D4318" i="2"/>
  <c r="D4319" i="2"/>
  <c r="D4320" i="2"/>
  <c r="D4321" i="2"/>
  <c r="D4322" i="2"/>
  <c r="D4326" i="2"/>
  <c r="D4327" i="2"/>
  <c r="D4328" i="2"/>
  <c r="D4329" i="2"/>
  <c r="D4330" i="2"/>
  <c r="D4334" i="2"/>
  <c r="D4335" i="2"/>
  <c r="D4336" i="2"/>
  <c r="D4337" i="2"/>
  <c r="D4338" i="2"/>
  <c r="D4342" i="2"/>
  <c r="D4343" i="2"/>
  <c r="D4344" i="2"/>
  <c r="D4345" i="2"/>
  <c r="D4346" i="2"/>
  <c r="D4350" i="2"/>
  <c r="D4351" i="2"/>
  <c r="D4352" i="2"/>
  <c r="D4353" i="2"/>
  <c r="D4354" i="2"/>
  <c r="D4358" i="2"/>
  <c r="D4359" i="2"/>
  <c r="D4360" i="2"/>
  <c r="D4361" i="2"/>
  <c r="D4362" i="2"/>
  <c r="D4366" i="2"/>
  <c r="D4367" i="2"/>
  <c r="D4368" i="2"/>
  <c r="D4369" i="2"/>
  <c r="D4370" i="2"/>
  <c r="D4374" i="2"/>
  <c r="D4375" i="2"/>
  <c r="D4376" i="2"/>
  <c r="D4377" i="2"/>
  <c r="D4378" i="2"/>
  <c r="D4382" i="2"/>
  <c r="D4383" i="2"/>
  <c r="D4384" i="2"/>
  <c r="D4385" i="2"/>
  <c r="D4386" i="2"/>
  <c r="D4390" i="2"/>
  <c r="D4391" i="2"/>
  <c r="D4392" i="2"/>
  <c r="D4393" i="2"/>
  <c r="D4394" i="2"/>
  <c r="D4398" i="2"/>
  <c r="D4399" i="2"/>
  <c r="D4400" i="2"/>
  <c r="D4401" i="2"/>
  <c r="D4402" i="2"/>
  <c r="D4406" i="2"/>
  <c r="D4407" i="2"/>
  <c r="D4408" i="2"/>
  <c r="D4409" i="2"/>
  <c r="D4410" i="2"/>
  <c r="D4414" i="2"/>
  <c r="D4415" i="2"/>
  <c r="D4416" i="2"/>
  <c r="D4417" i="2"/>
  <c r="D4418" i="2"/>
  <c r="D4422" i="2"/>
  <c r="D4423" i="2"/>
  <c r="D4424" i="2"/>
  <c r="D4425" i="2"/>
  <c r="D4426" i="2"/>
  <c r="D4430" i="2"/>
  <c r="D4431" i="2"/>
  <c r="D4432" i="2"/>
  <c r="D4433" i="2"/>
  <c r="D4434" i="2"/>
  <c r="D4438" i="2"/>
  <c r="D4439" i="2"/>
  <c r="D4440" i="2"/>
  <c r="D4441" i="2"/>
  <c r="D4442" i="2"/>
  <c r="D4446" i="2"/>
  <c r="D4447" i="2"/>
  <c r="D4448" i="2"/>
  <c r="D4449" i="2"/>
  <c r="D4450" i="2"/>
  <c r="D4454" i="2"/>
  <c r="D4455" i="2"/>
  <c r="D4456" i="2"/>
  <c r="D4457" i="2"/>
  <c r="D4458" i="2"/>
  <c r="D4462" i="2"/>
  <c r="D4463" i="2"/>
  <c r="D4464" i="2"/>
  <c r="D4465" i="2"/>
  <c r="D4466" i="2"/>
  <c r="D4470" i="2"/>
  <c r="D4471" i="2"/>
  <c r="D4472" i="2"/>
  <c r="D4473" i="2"/>
  <c r="D4474" i="2"/>
  <c r="D4478" i="2"/>
  <c r="D4479" i="2"/>
  <c r="D4480" i="2"/>
  <c r="D4481" i="2"/>
  <c r="D4482" i="2"/>
  <c r="D4486" i="2"/>
  <c r="D4487" i="2"/>
  <c r="D4488" i="2"/>
  <c r="D4489" i="2"/>
  <c r="D4490" i="2"/>
  <c r="D4494" i="2"/>
  <c r="D4495" i="2"/>
  <c r="D4496" i="2"/>
  <c r="D4497" i="2"/>
  <c r="D4498" i="2"/>
  <c r="D4502" i="2"/>
  <c r="D4503" i="2"/>
  <c r="D4504" i="2"/>
  <c r="D4505" i="2"/>
  <c r="D4506" i="2"/>
  <c r="D4510" i="2"/>
  <c r="D4511" i="2"/>
  <c r="D4512" i="2"/>
  <c r="D4513" i="2"/>
  <c r="D4514" i="2"/>
  <c r="D4518" i="2"/>
  <c r="D4519" i="2"/>
  <c r="D4520" i="2"/>
  <c r="D4521" i="2"/>
  <c r="D4522" i="2"/>
  <c r="D4526" i="2"/>
  <c r="D4527" i="2"/>
  <c r="D4528" i="2"/>
  <c r="D4529" i="2"/>
  <c r="D4530" i="2"/>
  <c r="D4534" i="2"/>
  <c r="D4535" i="2"/>
  <c r="D4536" i="2"/>
  <c r="D4537" i="2"/>
  <c r="D4538" i="2"/>
  <c r="D4542" i="2"/>
  <c r="D4543" i="2"/>
  <c r="D4544" i="2"/>
  <c r="E16" i="2"/>
  <c r="E18" i="2"/>
  <c r="E22" i="2"/>
  <c r="E23" i="2"/>
  <c r="E30" i="2"/>
  <c r="E33" i="2"/>
  <c r="E38" i="2"/>
  <c r="E40" i="2"/>
  <c r="E47" i="2"/>
  <c r="E48" i="2"/>
  <c r="E50" i="2"/>
  <c r="E56" i="2"/>
  <c r="E57" i="2"/>
  <c r="E62" i="2"/>
  <c r="E64" i="2"/>
  <c r="E66" i="2"/>
  <c r="E71" i="2"/>
  <c r="E72" i="2"/>
  <c r="E73" i="2"/>
  <c r="E78" i="2"/>
  <c r="E80" i="2"/>
  <c r="E86" i="2"/>
  <c r="E88" i="2"/>
  <c r="E89" i="2"/>
  <c r="E94" i="2"/>
  <c r="E95" i="2"/>
  <c r="E96" i="2"/>
  <c r="E97" i="2"/>
  <c r="E98" i="2"/>
  <c r="E103" i="2"/>
  <c r="E104" i="2"/>
  <c r="E105" i="2"/>
  <c r="E111" i="2"/>
  <c r="E112" i="2"/>
  <c r="E119" i="2"/>
  <c r="E121" i="2"/>
  <c r="E126" i="2"/>
  <c r="E137" i="2"/>
  <c r="E138" i="2"/>
  <c r="E142" i="2"/>
  <c r="E143" i="2"/>
  <c r="E145" i="2"/>
  <c r="E146" i="2"/>
  <c r="E150" i="2"/>
  <c r="E151" i="2"/>
  <c r="E153" i="2"/>
  <c r="E154" i="2"/>
  <c r="E158" i="2"/>
  <c r="E159" i="2"/>
  <c r="E169" i="2"/>
  <c r="E183" i="2"/>
  <c r="E184" i="2"/>
  <c r="E186" i="2"/>
  <c r="E191" i="2"/>
  <c r="E192" i="2"/>
  <c r="E199" i="2"/>
  <c r="E206" i="2"/>
  <c r="E207" i="2"/>
  <c r="E208" i="2"/>
  <c r="E214" i="2"/>
  <c r="E215" i="2"/>
  <c r="E216" i="2"/>
  <c r="E217" i="2"/>
  <c r="E218" i="2"/>
  <c r="E222" i="2"/>
  <c r="E223" i="2"/>
  <c r="E226" i="2"/>
  <c r="E231" i="2"/>
  <c r="E233" i="2"/>
  <c r="E239" i="2"/>
  <c r="E240" i="2"/>
  <c r="E246" i="2"/>
  <c r="E248" i="2"/>
  <c r="E255" i="2"/>
  <c r="E257" i="2"/>
  <c r="E258" i="2"/>
  <c r="E262" i="2"/>
  <c r="E265" i="2"/>
  <c r="E270" i="2"/>
  <c r="E273" i="2"/>
  <c r="E280" i="2"/>
  <c r="E288" i="2"/>
  <c r="E302" i="2"/>
  <c r="E304" i="2"/>
  <c r="E305" i="2"/>
  <c r="E310" i="2"/>
  <c r="E311" i="2"/>
  <c r="E313" i="2"/>
  <c r="E314" i="2"/>
  <c r="E326" i="2"/>
  <c r="E327" i="2"/>
  <c r="E329" i="2"/>
  <c r="E335" i="2"/>
  <c r="E336" i="2"/>
  <c r="E338" i="2"/>
  <c r="E343" i="2"/>
  <c r="E344" i="2"/>
  <c r="E345" i="2"/>
  <c r="E346" i="2"/>
  <c r="E350" i="2"/>
  <c r="E351" i="2"/>
  <c r="E354" i="2"/>
  <c r="E358" i="2"/>
  <c r="E359" i="2"/>
  <c r="E361" i="2"/>
  <c r="E366" i="2"/>
  <c r="E367" i="2"/>
  <c r="E370" i="2"/>
  <c r="E375" i="2"/>
  <c r="E376" i="2"/>
  <c r="E378" i="2"/>
  <c r="E382" i="2"/>
  <c r="E383" i="2"/>
  <c r="E384" i="2"/>
  <c r="E386" i="2"/>
  <c r="E390" i="2"/>
  <c r="E391" i="2"/>
  <c r="E392" i="2"/>
  <c r="E393" i="2"/>
  <c r="E394" i="2"/>
  <c r="E410" i="2"/>
  <c r="E414" i="2"/>
  <c r="E415" i="2"/>
  <c r="E423" i="2"/>
  <c r="E426" i="2"/>
  <c r="E433" i="2"/>
  <c r="E439" i="2"/>
  <c r="E440" i="2"/>
  <c r="E447" i="2"/>
  <c r="E449" i="2"/>
  <c r="E450" i="2"/>
  <c r="E455" i="2"/>
  <c r="E458" i="2"/>
  <c r="E462" i="2"/>
  <c r="E463" i="2"/>
  <c r="E466" i="2"/>
  <c r="E471" i="2"/>
  <c r="E472" i="2"/>
  <c r="E473" i="2"/>
  <c r="E474" i="2"/>
  <c r="E479" i="2"/>
  <c r="E480" i="2"/>
  <c r="E486" i="2"/>
  <c r="E487" i="2"/>
  <c r="E495" i="2"/>
  <c r="E496" i="2"/>
  <c r="E502" i="2"/>
  <c r="E503" i="2"/>
  <c r="E505" i="2"/>
  <c r="E506" i="2"/>
  <c r="E510" i="2"/>
  <c r="E513" i="2"/>
  <c r="E514" i="2"/>
  <c r="E518" i="2"/>
  <c r="E519" i="2"/>
  <c r="E520" i="2"/>
  <c r="E521" i="2"/>
  <c r="E526" i="2"/>
  <c r="E527" i="2"/>
  <c r="E528" i="2"/>
  <c r="E534" i="2"/>
  <c r="E536" i="2"/>
  <c r="E538" i="2"/>
  <c r="E544" i="2"/>
  <c r="E550" i="2"/>
  <c r="E553" i="2"/>
  <c r="E560" i="2"/>
  <c r="E561" i="2"/>
  <c r="E562" i="2"/>
  <c r="E566" i="2"/>
  <c r="E567" i="2"/>
  <c r="E569" i="2"/>
  <c r="E574" i="2"/>
  <c r="E576" i="2"/>
  <c r="E577" i="2"/>
  <c r="E578" i="2"/>
  <c r="E582" i="2"/>
  <c r="E590" i="2"/>
  <c r="E594" i="2"/>
  <c r="E599" i="2"/>
  <c r="E600" i="2"/>
  <c r="E601" i="2"/>
  <c r="E608" i="2"/>
  <c r="E610" i="2"/>
  <c r="E614" i="2"/>
  <c r="E618" i="2"/>
  <c r="E625" i="2"/>
  <c r="E630" i="2"/>
  <c r="E640" i="2"/>
  <c r="E641" i="2"/>
  <c r="E647" i="2"/>
  <c r="E654" i="2"/>
  <c r="E655" i="2"/>
  <c r="E657" i="2"/>
  <c r="E658" i="2"/>
  <c r="E663" i="2"/>
  <c r="E666" i="2"/>
  <c r="E670" i="2"/>
  <c r="E671" i="2"/>
  <c r="E672" i="2"/>
  <c r="E674" i="2"/>
  <c r="E678" i="2"/>
  <c r="E680" i="2"/>
  <c r="E681" i="2"/>
  <c r="E682" i="2"/>
  <c r="E688" i="2"/>
  <c r="E690" i="2"/>
  <c r="E694" i="2"/>
  <c r="E695" i="2"/>
  <c r="E697" i="2"/>
  <c r="E698" i="2"/>
  <c r="E705" i="2"/>
  <c r="E710" i="2"/>
  <c r="E711" i="2"/>
  <c r="E713" i="2"/>
  <c r="E714" i="2"/>
  <c r="E718" i="2"/>
  <c r="E720" i="2"/>
  <c r="E722" i="2"/>
  <c r="E726" i="2"/>
  <c r="E727" i="2"/>
  <c r="E728" i="2"/>
  <c r="E729" i="2"/>
  <c r="E730" i="2"/>
  <c r="E736" i="2"/>
  <c r="E737" i="2"/>
  <c r="E738" i="2"/>
  <c r="E742" i="2"/>
  <c r="E744" i="2"/>
  <c r="E745" i="2"/>
  <c r="E750" i="2"/>
  <c r="E751" i="2"/>
  <c r="E752" i="2"/>
  <c r="E762" i="2"/>
  <c r="E766" i="2"/>
  <c r="E769" i="2"/>
  <c r="E770" i="2"/>
  <c r="E774" i="2"/>
  <c r="E775" i="2"/>
  <c r="E778" i="2"/>
  <c r="E783" i="2"/>
  <c r="E790" i="2"/>
  <c r="E794" i="2"/>
  <c r="E798" i="2"/>
  <c r="E801" i="2"/>
  <c r="E806" i="2"/>
  <c r="E807" i="2"/>
  <c r="E809" i="2"/>
  <c r="E814" i="2"/>
  <c r="E816" i="2"/>
  <c r="E822" i="2"/>
  <c r="E824" i="2"/>
  <c r="E825" i="2"/>
  <c r="E831" i="2"/>
  <c r="E833" i="2"/>
  <c r="E841" i="2"/>
  <c r="E842" i="2"/>
  <c r="E849" i="2"/>
  <c r="E850" i="2"/>
  <c r="E855" i="2"/>
  <c r="E862" i="2"/>
  <c r="E870" i="2"/>
  <c r="E872" i="2"/>
  <c r="E879" i="2"/>
  <c r="E880" i="2"/>
  <c r="E882" i="2"/>
  <c r="E886" i="2"/>
  <c r="E890" i="2"/>
  <c r="E897" i="2"/>
  <c r="E898" i="2"/>
  <c r="E902" i="2"/>
  <c r="E905" i="2"/>
  <c r="E912" i="2"/>
  <c r="E919" i="2"/>
  <c r="E921" i="2"/>
  <c r="E926" i="2"/>
  <c r="E929" i="2"/>
  <c r="E930" i="2"/>
  <c r="E934" i="2"/>
  <c r="E935" i="2"/>
  <c r="E938" i="2"/>
  <c r="E944" i="2"/>
  <c r="E945" i="2"/>
  <c r="E946" i="2"/>
  <c r="E952" i="2"/>
  <c r="E953" i="2"/>
  <c r="E954" i="2"/>
  <c r="E959" i="2"/>
  <c r="E960" i="2"/>
  <c r="E961" i="2"/>
  <c r="E966" i="2"/>
  <c r="E967" i="2"/>
  <c r="E969" i="2"/>
  <c r="E974" i="2"/>
  <c r="E978" i="2"/>
  <c r="E983" i="2"/>
  <c r="E984" i="2"/>
  <c r="E986" i="2"/>
  <c r="E990" i="2"/>
  <c r="E991" i="2"/>
  <c r="E999" i="2"/>
  <c r="E1007" i="2"/>
  <c r="E1008" i="2"/>
  <c r="E1015" i="2"/>
  <c r="E1018" i="2"/>
  <c r="E1023" i="2"/>
  <c r="E1025" i="2"/>
  <c r="E1031" i="2"/>
  <c r="E1032" i="2"/>
  <c r="E1033" i="2"/>
  <c r="E1034" i="2"/>
  <c r="E1039" i="2"/>
  <c r="E1041" i="2"/>
  <c r="E1042" i="2"/>
  <c r="E1048" i="2"/>
  <c r="E1050" i="2"/>
  <c r="E1054" i="2"/>
  <c r="E1055" i="2"/>
  <c r="E1057" i="2"/>
  <c r="E1062" i="2"/>
  <c r="E1063" i="2"/>
  <c r="E1065" i="2"/>
  <c r="E1072" i="2"/>
  <c r="E1073" i="2"/>
  <c r="E1078" i="2"/>
  <c r="E1079" i="2"/>
  <c r="E1080" i="2"/>
  <c r="E1082" i="2"/>
  <c r="E1096" i="2"/>
  <c r="E1098" i="2"/>
  <c r="E1102" i="2"/>
  <c r="E1104" i="2"/>
  <c r="E1112" i="2"/>
  <c r="E1118" i="2"/>
  <c r="E1119" i="2"/>
  <c r="E1122" i="2"/>
  <c r="E1128" i="2"/>
  <c r="E1129" i="2"/>
  <c r="E1130" i="2"/>
  <c r="E1134" i="2"/>
  <c r="E1137" i="2"/>
  <c r="E1145" i="2"/>
  <c r="E1146" i="2"/>
  <c r="E1151" i="2"/>
  <c r="E1153" i="2"/>
  <c r="E1158" i="2"/>
  <c r="E1159" i="2"/>
  <c r="E1160" i="2"/>
  <c r="E1167" i="2"/>
  <c r="E1169" i="2"/>
  <c r="E1170" i="2"/>
  <c r="E1174" i="2"/>
  <c r="E1175" i="2"/>
  <c r="E1177" i="2"/>
  <c r="E1182" i="2"/>
  <c r="E1185" i="2"/>
  <c r="E1186" i="2"/>
  <c r="E1191" i="2"/>
  <c r="E1192" i="2"/>
  <c r="E1194" i="2"/>
  <c r="E1198" i="2"/>
  <c r="E1200" i="2"/>
  <c r="E1202" i="2"/>
  <c r="E1207" i="2"/>
  <c r="E1209" i="2"/>
  <c r="E1210" i="2"/>
  <c r="E1215" i="2"/>
  <c r="E1222" i="2"/>
  <c r="E1223" i="2"/>
  <c r="E1224" i="2"/>
  <c r="E1225" i="2"/>
  <c r="E1231" i="2"/>
  <c r="E1232" i="2"/>
  <c r="E1234" i="2"/>
  <c r="E1238" i="2"/>
  <c r="E1242" i="2"/>
  <c r="E1246" i="2"/>
  <c r="E1247" i="2"/>
  <c r="E1249" i="2"/>
  <c r="E1250" i="2"/>
  <c r="E1255" i="2"/>
  <c r="E1257" i="2"/>
  <c r="E1262" i="2"/>
  <c r="E1265" i="2"/>
  <c r="E1273" i="2"/>
  <c r="E1279" i="2"/>
  <c r="E1281" i="2"/>
  <c r="E1286" i="2"/>
  <c r="E1290" i="2"/>
  <c r="E1294" i="2"/>
  <c r="E1296" i="2"/>
  <c r="E1298" i="2"/>
  <c r="E1302" i="2"/>
  <c r="E1304" i="2"/>
  <c r="E1306" i="2"/>
  <c r="E1310" i="2"/>
  <c r="E1311" i="2"/>
  <c r="E1312" i="2"/>
  <c r="E1313" i="2"/>
  <c r="E1314" i="2"/>
  <c r="E1318" i="2"/>
  <c r="E1320" i="2"/>
  <c r="E1322" i="2"/>
  <c r="E1334" i="2"/>
  <c r="E1337" i="2"/>
  <c r="E1342" i="2"/>
  <c r="E1344" i="2"/>
  <c r="E1351" i="2"/>
  <c r="E1352" i="2"/>
  <c r="E1358" i="2"/>
  <c r="E1359" i="2"/>
  <c r="E1360" i="2"/>
  <c r="E1368" i="2"/>
  <c r="E1369" i="2"/>
  <c r="E1370" i="2"/>
  <c r="E1374" i="2"/>
  <c r="E1376" i="2"/>
  <c r="E1377" i="2"/>
  <c r="E1383" i="2"/>
  <c r="E1384" i="2"/>
  <c r="E1390" i="2"/>
  <c r="E1392" i="2"/>
  <c r="E1393" i="2"/>
  <c r="E1394" i="2"/>
  <c r="E1402" i="2"/>
  <c r="E1406" i="2"/>
  <c r="E1407" i="2"/>
  <c r="E1408" i="2"/>
  <c r="E1410" i="2"/>
  <c r="E1417" i="2"/>
  <c r="E1422" i="2"/>
  <c r="E1423" i="2"/>
  <c r="E1430" i="2"/>
  <c r="E1431" i="2"/>
  <c r="E1432" i="2"/>
  <c r="E1433" i="2"/>
  <c r="E1434" i="2"/>
  <c r="E1439" i="2"/>
  <c r="E1440" i="2"/>
  <c r="E1446" i="2"/>
  <c r="E1449" i="2"/>
  <c r="E1450" i="2"/>
  <c r="E1457" i="2"/>
  <c r="E1462" i="2"/>
  <c r="E1463" i="2"/>
  <c r="E1464" i="2"/>
  <c r="E1465" i="2"/>
  <c r="E1466" i="2"/>
  <c r="E1474" i="2"/>
  <c r="E1478" i="2"/>
  <c r="E1480" i="2"/>
  <c r="E1487" i="2"/>
  <c r="E1490" i="2"/>
  <c r="E1494" i="2"/>
  <c r="E1496" i="2"/>
  <c r="E1497" i="2"/>
  <c r="E1498" i="2"/>
  <c r="E1503" i="2"/>
  <c r="E1504" i="2"/>
  <c r="E1505" i="2"/>
  <c r="E1506" i="2"/>
  <c r="E1511" i="2"/>
  <c r="E1518" i="2"/>
  <c r="E1520" i="2"/>
  <c r="E1521" i="2"/>
  <c r="E1526" i="2"/>
  <c r="E1527" i="2"/>
  <c r="E1528" i="2"/>
  <c r="E1529" i="2"/>
  <c r="E1530" i="2"/>
  <c r="E1534" i="2"/>
  <c r="E1537" i="2"/>
  <c r="E1538" i="2"/>
  <c r="E1542" i="2"/>
  <c r="E1551" i="2"/>
  <c r="E1558" i="2"/>
  <c r="E1560" i="2"/>
  <c r="E1561" i="2"/>
  <c r="E1562" i="2"/>
  <c r="E1566" i="2"/>
  <c r="E1567" i="2"/>
  <c r="E1570" i="2"/>
  <c r="E1574" i="2"/>
  <c r="E1576" i="2"/>
  <c r="E1578" i="2"/>
  <c r="E1582" i="2"/>
  <c r="E1584" i="2"/>
  <c r="E1585" i="2"/>
  <c r="E1586" i="2"/>
  <c r="E1591" i="2"/>
  <c r="E1592" i="2"/>
  <c r="E1599" i="2"/>
  <c r="E1601" i="2"/>
  <c r="E1607" i="2"/>
  <c r="E1610" i="2"/>
  <c r="E1614" i="2"/>
  <c r="E1615" i="2"/>
  <c r="E1616" i="2"/>
  <c r="E1617" i="2"/>
  <c r="E1622" i="2"/>
  <c r="E1623" i="2"/>
  <c r="E1624" i="2"/>
  <c r="E1626" i="2"/>
  <c r="E1630" i="2"/>
  <c r="E1633" i="2"/>
  <c r="E1634" i="2"/>
  <c r="E1639" i="2"/>
  <c r="E1640" i="2"/>
  <c r="E1646" i="2"/>
  <c r="E1647" i="2"/>
  <c r="E1654" i="2"/>
  <c r="E1656" i="2"/>
  <c r="E1657" i="2"/>
  <c r="E1658" i="2"/>
  <c r="E1663" i="2"/>
  <c r="E1664" i="2"/>
  <c r="E1672" i="2"/>
  <c r="E1673" i="2"/>
  <c r="E1674" i="2"/>
  <c r="E1679" i="2"/>
  <c r="E1680" i="2"/>
  <c r="E1681" i="2"/>
  <c r="E1682" i="2"/>
  <c r="E1689" i="2"/>
  <c r="E1690" i="2"/>
  <c r="E1702" i="2"/>
  <c r="E1703" i="2"/>
  <c r="E1706" i="2"/>
  <c r="E1713" i="2"/>
  <c r="E1714" i="2"/>
  <c r="E1718" i="2"/>
  <c r="E1720" i="2"/>
  <c r="E1721" i="2"/>
  <c r="E1734" i="2"/>
  <c r="E1736" i="2"/>
  <c r="E1737" i="2"/>
  <c r="E1745" i="2"/>
  <c r="E1750" i="2"/>
  <c r="E1751" i="2"/>
  <c r="E1753" i="2"/>
  <c r="E1754" i="2"/>
  <c r="E1759" i="2"/>
  <c r="E1760" i="2"/>
  <c r="E1761" i="2"/>
  <c r="E1766" i="2"/>
  <c r="E1768" i="2"/>
  <c r="E1769" i="2"/>
  <c r="E1774" i="2"/>
  <c r="E1775" i="2"/>
  <c r="E1777" i="2"/>
  <c r="E1778" i="2"/>
  <c r="E1782" i="2"/>
  <c r="E1783" i="2"/>
  <c r="E1786" i="2"/>
  <c r="E1794" i="2"/>
  <c r="E1798" i="2"/>
  <c r="E1810" i="2"/>
  <c r="E1814" i="2"/>
  <c r="E1818" i="2"/>
  <c r="E1822" i="2"/>
  <c r="E1823" i="2"/>
  <c r="E1826" i="2"/>
  <c r="E1831" i="2"/>
  <c r="E1832" i="2"/>
  <c r="E1834" i="2"/>
  <c r="E1839" i="2"/>
  <c r="E1840" i="2"/>
  <c r="E1850" i="2"/>
  <c r="E1854" i="2"/>
  <c r="E1857" i="2"/>
  <c r="E1858" i="2"/>
  <c r="E1862" i="2"/>
  <c r="E1863" i="2"/>
  <c r="E1865" i="2"/>
  <c r="E1866" i="2"/>
  <c r="E1878" i="2"/>
  <c r="E1879" i="2"/>
  <c r="E1882" i="2"/>
  <c r="E1887" i="2"/>
  <c r="E1888" i="2"/>
  <c r="E1890" i="2"/>
  <c r="E1894" i="2"/>
  <c r="E1895" i="2"/>
  <c r="E1897" i="2"/>
  <c r="E1904" i="2"/>
  <c r="E1905" i="2"/>
  <c r="E1906" i="2"/>
  <c r="E1914" i="2"/>
  <c r="E1921" i="2"/>
  <c r="E1928" i="2"/>
  <c r="E1929" i="2"/>
  <c r="E1930" i="2"/>
  <c r="E1934" i="2"/>
  <c r="E1938" i="2"/>
  <c r="E1942" i="2"/>
  <c r="E1943" i="2"/>
  <c r="E1946" i="2"/>
  <c r="E1951" i="2"/>
  <c r="E1953" i="2"/>
  <c r="E1958" i="2"/>
  <c r="E1961" i="2"/>
  <c r="E1962" i="2"/>
  <c r="E1966" i="2"/>
  <c r="E1967" i="2"/>
  <c r="E1968" i="2"/>
  <c r="E1974" i="2"/>
  <c r="E1976" i="2"/>
  <c r="E1977" i="2"/>
  <c r="E1978" i="2"/>
  <c r="E1982" i="2"/>
  <c r="E1983" i="2"/>
  <c r="E1985" i="2"/>
  <c r="E1986" i="2"/>
  <c r="E1990" i="2"/>
  <c r="E1991" i="2"/>
  <c r="E1992" i="2"/>
  <c r="E1993" i="2"/>
  <c r="E1994" i="2"/>
  <c r="E2000" i="2"/>
  <c r="E2002" i="2"/>
  <c r="E2007" i="2"/>
  <c r="E2010" i="2"/>
  <c r="E2015" i="2"/>
  <c r="E2018" i="2"/>
  <c r="E2023" i="2"/>
  <c r="E2024" i="2"/>
  <c r="E2025" i="2"/>
  <c r="E2031" i="2"/>
  <c r="E2032" i="2"/>
  <c r="E2033" i="2"/>
  <c r="E2038" i="2"/>
  <c r="E2041" i="2"/>
  <c r="E2042" i="2"/>
  <c r="E2047" i="2"/>
  <c r="E2050" i="2"/>
  <c r="E2054" i="2"/>
  <c r="E2055" i="2"/>
  <c r="E2058" i="2"/>
  <c r="E2064" i="2"/>
  <c r="E2065" i="2"/>
  <c r="E2066" i="2"/>
  <c r="E2071" i="2"/>
  <c r="E2072" i="2"/>
  <c r="E2073" i="2"/>
  <c r="E2080" i="2"/>
  <c r="E2081" i="2"/>
  <c r="E2086" i="2"/>
  <c r="E2087" i="2"/>
  <c r="E2089" i="2"/>
  <c r="E2094" i="2"/>
  <c r="E2096" i="2"/>
  <c r="E2098" i="2"/>
  <c r="E2105" i="2"/>
  <c r="E2110" i="2"/>
  <c r="E2118" i="2"/>
  <c r="E2126" i="2"/>
  <c r="E2130" i="2"/>
  <c r="E2134" i="2"/>
  <c r="E2137" i="2"/>
  <c r="E2142" i="2"/>
  <c r="E2143" i="2"/>
  <c r="E2144" i="2"/>
  <c r="E2145" i="2"/>
  <c r="E2150" i="2"/>
  <c r="E2152" i="2"/>
  <c r="E2154" i="2"/>
  <c r="E2158" i="2"/>
  <c r="E2160" i="2"/>
  <c r="E2161" i="2"/>
  <c r="E2162" i="2"/>
  <c r="E2168" i="2"/>
  <c r="E2169" i="2"/>
  <c r="E2170" i="2"/>
  <c r="E2174" i="2"/>
  <c r="E2178" i="2"/>
  <c r="E2182" i="2"/>
  <c r="E2186" i="2"/>
  <c r="E2191" i="2"/>
  <c r="E2192" i="2"/>
  <c r="E2193" i="2"/>
  <c r="E2199" i="2"/>
  <c r="E2202" i="2"/>
  <c r="E2206" i="2"/>
  <c r="E2208" i="2"/>
  <c r="E2210" i="2"/>
  <c r="E2215" i="2"/>
  <c r="E2216" i="2"/>
  <c r="E2218" i="2"/>
  <c r="E2223" i="2"/>
  <c r="E2224" i="2"/>
  <c r="E2230" i="2"/>
  <c r="E2231" i="2"/>
  <c r="E2234" i="2"/>
  <c r="E2239" i="2"/>
  <c r="E2241" i="2"/>
  <c r="E2242" i="2"/>
  <c r="E2246" i="2"/>
  <c r="E2247" i="2"/>
  <c r="E2249" i="2"/>
  <c r="E2250" i="2"/>
  <c r="E2254" i="2"/>
  <c r="E2257" i="2"/>
  <c r="E2262" i="2"/>
  <c r="E2263" i="2"/>
  <c r="E2266" i="2"/>
  <c r="E2270" i="2"/>
  <c r="E2271" i="2"/>
  <c r="E2274" i="2"/>
  <c r="E2278" i="2"/>
  <c r="E2281" i="2"/>
  <c r="E2289" i="2"/>
  <c r="E2296" i="2"/>
  <c r="E2297" i="2"/>
  <c r="E2298" i="2"/>
  <c r="E2302" i="2"/>
  <c r="E2304" i="2"/>
  <c r="E2311" i="2"/>
  <c r="E2312" i="2"/>
  <c r="E2318" i="2"/>
  <c r="E2319" i="2"/>
  <c r="E2320" i="2"/>
  <c r="E2326" i="2"/>
  <c r="E2328" i="2"/>
  <c r="E2336" i="2"/>
  <c r="E2342" i="2"/>
  <c r="E2344" i="2"/>
  <c r="E2345" i="2"/>
  <c r="E2350" i="2"/>
  <c r="E2352" i="2"/>
  <c r="E2353" i="2"/>
  <c r="E2358" i="2"/>
  <c r="E2361" i="2"/>
  <c r="E2362" i="2"/>
  <c r="E2368" i="2"/>
  <c r="E2369" i="2"/>
  <c r="E2374" i="2"/>
  <c r="E2375" i="2"/>
  <c r="E2376" i="2"/>
  <c r="E2377" i="2"/>
  <c r="E2378" i="2"/>
  <c r="E2384" i="2"/>
  <c r="E2390" i="2"/>
  <c r="E2391" i="2"/>
  <c r="E2393" i="2"/>
  <c r="E2394" i="2"/>
  <c r="E2398" i="2"/>
  <c r="E2399" i="2"/>
  <c r="E2401" i="2"/>
  <c r="E2406" i="2"/>
  <c r="E2407" i="2"/>
  <c r="E2408" i="2"/>
  <c r="E2414" i="2"/>
  <c r="E2415" i="2"/>
  <c r="E2416" i="2"/>
  <c r="E2417" i="2"/>
  <c r="E2422" i="2"/>
  <c r="E2424" i="2"/>
  <c r="E2426" i="2"/>
  <c r="E2430" i="2"/>
  <c r="E2431" i="2"/>
  <c r="E2432" i="2"/>
  <c r="E2433" i="2"/>
  <c r="E2434" i="2"/>
  <c r="E2439" i="2"/>
  <c r="E2447" i="2"/>
  <c r="E2448" i="2"/>
  <c r="E2449" i="2"/>
  <c r="E2450" i="2"/>
  <c r="E2454" i="2"/>
  <c r="E2456" i="2"/>
  <c r="E2457" i="2"/>
  <c r="E2463" i="2"/>
  <c r="E2465" i="2"/>
  <c r="E2466" i="2"/>
  <c r="E2472" i="2"/>
  <c r="E2474" i="2"/>
  <c r="E2480" i="2"/>
  <c r="E2481" i="2"/>
  <c r="E2482" i="2"/>
  <c r="E2486" i="2"/>
  <c r="E2487" i="2"/>
  <c r="E2488" i="2"/>
  <c r="E2489" i="2"/>
  <c r="E2490" i="2"/>
  <c r="E2495" i="2"/>
  <c r="E2497" i="2"/>
  <c r="E2502" i="2"/>
  <c r="E2506" i="2"/>
  <c r="E2512" i="2"/>
  <c r="E2514" i="2"/>
  <c r="E2520" i="2"/>
  <c r="E2521" i="2"/>
  <c r="E2522" i="2"/>
  <c r="E2527" i="2"/>
  <c r="E2535" i="2"/>
  <c r="E2538" i="2"/>
  <c r="E2543" i="2"/>
  <c r="E2544" i="2"/>
  <c r="E2546" i="2"/>
  <c r="E2551" i="2"/>
  <c r="E2552" i="2"/>
  <c r="E2560" i="2"/>
  <c r="E2561" i="2"/>
  <c r="E2562" i="2"/>
  <c r="E2566" i="2"/>
  <c r="E2567" i="2"/>
  <c r="E2568" i="2"/>
  <c r="E2570" i="2"/>
  <c r="E2574" i="2"/>
  <c r="E2577" i="2"/>
  <c r="E2578" i="2"/>
  <c r="E2582" i="2"/>
  <c r="E2583" i="2"/>
  <c r="E2585" i="2"/>
  <c r="E2591" i="2"/>
  <c r="E2594" i="2"/>
  <c r="E2598" i="2"/>
  <c r="E2600" i="2"/>
  <c r="E2602" i="2"/>
  <c r="E2608" i="2"/>
  <c r="E2610" i="2"/>
  <c r="E2614" i="2"/>
  <c r="E2618" i="2"/>
  <c r="E2622" i="2"/>
  <c r="E2623" i="2"/>
  <c r="E2624" i="2"/>
  <c r="E2625" i="2"/>
  <c r="E2632" i="2"/>
  <c r="E2633" i="2"/>
  <c r="E2634" i="2"/>
  <c r="E2641" i="2"/>
  <c r="E2642" i="2"/>
  <c r="E2646" i="2"/>
  <c r="E2648" i="2"/>
  <c r="E2649" i="2"/>
  <c r="E2654" i="2"/>
  <c r="E2656" i="2"/>
  <c r="E2657" i="2"/>
  <c r="E2666" i="2"/>
  <c r="E2670" i="2"/>
  <c r="E2672" i="2"/>
  <c r="E2674" i="2"/>
  <c r="E2681" i="2"/>
  <c r="E2686" i="2"/>
  <c r="E2688" i="2"/>
  <c r="E2689" i="2"/>
  <c r="E2694" i="2"/>
  <c r="E2696" i="2"/>
  <c r="E2697" i="2"/>
  <c r="E2705" i="2"/>
  <c r="E2710" i="2"/>
  <c r="E2711" i="2"/>
  <c r="E2714" i="2"/>
  <c r="E2718" i="2"/>
  <c r="E2720" i="2"/>
  <c r="E2729" i="2"/>
  <c r="E2730" i="2"/>
  <c r="E2734" i="2"/>
  <c r="E2736" i="2"/>
  <c r="E2738" i="2"/>
  <c r="E2743" i="2"/>
  <c r="E2745" i="2"/>
  <c r="E2751" i="2"/>
  <c r="E2754" i="2"/>
  <c r="E2759" i="2"/>
  <c r="E2761" i="2"/>
  <c r="E2762" i="2"/>
  <c r="E2766" i="2"/>
  <c r="E2769" i="2"/>
  <c r="E2770" i="2"/>
  <c r="E2774" i="2"/>
  <c r="E2776" i="2"/>
  <c r="E2778" i="2"/>
  <c r="E2782" i="2"/>
  <c r="E2783" i="2"/>
  <c r="E2784" i="2"/>
  <c r="E2785" i="2"/>
  <c r="E2786" i="2"/>
  <c r="E2790" i="2"/>
  <c r="E2791" i="2"/>
  <c r="E2792" i="2"/>
  <c r="E2793" i="2"/>
  <c r="E2798" i="2"/>
  <c r="E2801" i="2"/>
  <c r="E2802" i="2"/>
  <c r="E2806" i="2"/>
  <c r="E2807" i="2"/>
  <c r="E2808" i="2"/>
  <c r="E2810" i="2"/>
  <c r="E2814" i="2"/>
  <c r="E2815" i="2"/>
  <c r="E2816" i="2"/>
  <c r="E2817" i="2"/>
  <c r="E2825" i="2"/>
  <c r="E2826" i="2"/>
  <c r="E2832" i="2"/>
  <c r="E2833" i="2"/>
  <c r="E2834" i="2"/>
  <c r="E2839" i="2"/>
  <c r="E2840" i="2"/>
  <c r="E2841" i="2"/>
  <c r="E2846" i="2"/>
  <c r="E2847" i="2"/>
  <c r="E2848" i="2"/>
  <c r="E2849" i="2"/>
  <c r="E2857" i="2"/>
  <c r="E2858" i="2"/>
  <c r="E2862" i="2"/>
  <c r="E2864" i="2"/>
  <c r="E2866" i="2"/>
  <c r="E2870" i="2"/>
  <c r="E2871" i="2"/>
  <c r="E2872" i="2"/>
  <c r="E2874" i="2"/>
  <c r="E2880" i="2"/>
  <c r="E2881" i="2"/>
  <c r="E2886" i="2"/>
  <c r="E2889" i="2"/>
  <c r="E2890" i="2"/>
  <c r="E2894" i="2"/>
  <c r="E2895" i="2"/>
  <c r="E2897" i="2"/>
  <c r="E2902" i="2"/>
  <c r="E2904" i="2"/>
  <c r="E2910" i="2"/>
  <c r="E2912" i="2"/>
  <c r="E2918" i="2"/>
  <c r="E2920" i="2"/>
  <c r="E2926" i="2"/>
  <c r="E2927" i="2"/>
  <c r="E2934" i="2"/>
  <c r="E2935" i="2"/>
  <c r="E2937" i="2"/>
  <c r="E2938" i="2"/>
  <c r="E2952" i="2"/>
  <c r="E2953" i="2"/>
  <c r="E2954" i="2"/>
  <c r="E2959" i="2"/>
  <c r="E2961" i="2"/>
  <c r="E2966" i="2"/>
  <c r="E2967" i="2"/>
  <c r="E2969" i="2"/>
  <c r="E2970" i="2"/>
  <c r="E2974" i="2"/>
  <c r="E2976" i="2"/>
  <c r="E2983" i="2"/>
  <c r="E2986" i="2"/>
  <c r="E2990" i="2"/>
  <c r="E2991" i="2"/>
  <c r="E2993" i="2"/>
  <c r="E2994" i="2"/>
  <c r="E2999" i="2"/>
  <c r="E3000" i="2"/>
  <c r="E3001" i="2"/>
  <c r="E3006" i="2"/>
  <c r="E3007" i="2"/>
  <c r="E3008" i="2"/>
  <c r="E3009" i="2"/>
  <c r="E3010" i="2"/>
  <c r="E3014" i="2"/>
  <c r="E3016" i="2"/>
  <c r="E3017" i="2"/>
  <c r="E3018" i="2"/>
  <c r="E3024" i="2"/>
  <c r="E3030" i="2"/>
  <c r="E3034" i="2"/>
  <c r="E3041" i="2"/>
  <c r="E3042" i="2"/>
  <c r="E3046" i="2"/>
  <c r="E3048" i="2"/>
  <c r="E3054" i="2"/>
  <c r="E3055" i="2"/>
  <c r="E3062" i="2"/>
  <c r="E3063" i="2"/>
  <c r="E3064" i="2"/>
  <c r="E3065" i="2"/>
  <c r="E3070" i="2"/>
  <c r="E3073" i="2"/>
  <c r="E3074" i="2"/>
  <c r="E3078" i="2"/>
  <c r="E3081" i="2"/>
  <c r="E3082" i="2"/>
  <c r="E3089" i="2"/>
  <c r="E3090" i="2"/>
  <c r="E3094" i="2"/>
  <c r="E3095" i="2"/>
  <c r="E3096" i="2"/>
  <c r="E3097" i="2"/>
  <c r="E3098" i="2"/>
  <c r="E3102" i="2"/>
  <c r="E3103" i="2"/>
  <c r="E3104" i="2"/>
  <c r="E3105" i="2"/>
  <c r="E3110" i="2"/>
  <c r="E3112" i="2"/>
  <c r="E3113" i="2"/>
  <c r="E3114" i="2"/>
  <c r="E3118" i="2"/>
  <c r="E3120" i="2"/>
  <c r="E3126" i="2"/>
  <c r="E3127" i="2"/>
  <c r="E3130" i="2"/>
  <c r="E3134" i="2"/>
  <c r="E3135" i="2"/>
  <c r="E3136" i="2"/>
  <c r="E3142" i="2"/>
  <c r="E3143" i="2"/>
  <c r="E3144" i="2"/>
  <c r="E3146" i="2"/>
  <c r="E3150" i="2"/>
  <c r="E3151" i="2"/>
  <c r="E3153" i="2"/>
  <c r="E3154" i="2"/>
  <c r="E3158" i="2"/>
  <c r="E3159" i="2"/>
  <c r="E3161" i="2"/>
  <c r="E3162" i="2"/>
  <c r="E3167" i="2"/>
  <c r="E3169" i="2"/>
  <c r="E3170" i="2"/>
  <c r="E3177" i="2"/>
  <c r="E3182" i="2"/>
  <c r="E3184" i="2"/>
  <c r="E3191" i="2"/>
  <c r="E3192" i="2"/>
  <c r="E3193" i="2"/>
  <c r="E3194" i="2"/>
  <c r="E3198" i="2"/>
  <c r="E3200" i="2"/>
  <c r="E3201" i="2"/>
  <c r="E3202" i="2"/>
  <c r="E3206" i="2"/>
  <c r="E3207" i="2"/>
  <c r="E3208" i="2"/>
  <c r="E3209" i="2"/>
  <c r="E3214" i="2"/>
  <c r="E3218" i="2"/>
  <c r="E3222" i="2"/>
  <c r="E3223" i="2"/>
  <c r="E3224" i="2"/>
  <c r="E3225" i="2"/>
  <c r="E3231" i="2"/>
  <c r="E3232" i="2"/>
  <c r="E3234" i="2"/>
  <c r="E3240" i="2"/>
  <c r="E3242" i="2"/>
  <c r="E3250" i="2"/>
  <c r="E3256" i="2"/>
  <c r="E3257" i="2"/>
  <c r="E3258" i="2"/>
  <c r="E3262" i="2"/>
  <c r="E3264" i="2"/>
  <c r="E3265" i="2"/>
  <c r="E3266" i="2"/>
  <c r="E3270" i="2"/>
  <c r="E3271" i="2"/>
  <c r="E3273" i="2"/>
  <c r="E3274" i="2"/>
  <c r="E3278" i="2"/>
  <c r="E3279" i="2"/>
  <c r="E3287" i="2"/>
  <c r="E3294" i="2"/>
  <c r="E3295" i="2"/>
  <c r="E3296" i="2"/>
  <c r="E3302" i="2"/>
  <c r="E3305" i="2"/>
  <c r="E3306" i="2"/>
  <c r="E3310" i="2"/>
  <c r="E3311" i="2"/>
  <c r="E3312" i="2"/>
  <c r="E3314" i="2"/>
  <c r="E3318" i="2"/>
  <c r="E3320" i="2"/>
  <c r="E3321" i="2"/>
  <c r="E3326" i="2"/>
  <c r="E3334" i="2"/>
  <c r="E3335" i="2"/>
  <c r="E3337" i="2"/>
  <c r="E3338" i="2"/>
  <c r="E3342" i="2"/>
  <c r="E3344" i="2"/>
  <c r="E3346" i="2"/>
  <c r="E3354" i="2"/>
  <c r="E3358" i="2"/>
  <c r="E3360" i="2"/>
  <c r="E3368" i="2"/>
  <c r="E3369" i="2"/>
  <c r="E3374" i="2"/>
  <c r="E3376" i="2"/>
  <c r="E3377" i="2"/>
  <c r="E3382" i="2"/>
  <c r="E3385" i="2"/>
  <c r="E3390" i="2"/>
  <c r="E3391" i="2"/>
  <c r="E3392" i="2"/>
  <c r="E3393" i="2"/>
  <c r="E3394" i="2"/>
  <c r="E3398" i="2"/>
  <c r="E3399" i="2"/>
  <c r="E3402" i="2"/>
  <c r="E3408" i="2"/>
  <c r="E3409" i="2"/>
  <c r="E3416" i="2"/>
  <c r="E3418" i="2"/>
  <c r="E3422" i="2"/>
  <c r="E3424" i="2"/>
  <c r="E3426" i="2"/>
  <c r="E3431" i="2"/>
  <c r="E3434" i="2"/>
  <c r="E3439" i="2"/>
  <c r="E3446" i="2"/>
  <c r="E3448" i="2"/>
  <c r="E3456" i="2"/>
  <c r="E3457" i="2"/>
  <c r="E3458" i="2"/>
  <c r="E3463" i="2"/>
  <c r="E3464" i="2"/>
  <c r="E3466" i="2"/>
  <c r="E3472" i="2"/>
  <c r="E3480" i="2"/>
  <c r="E3481" i="2"/>
  <c r="E3482" i="2"/>
  <c r="E3487" i="2"/>
  <c r="E3489" i="2"/>
  <c r="E3490" i="2"/>
  <c r="E3495" i="2"/>
  <c r="E3496" i="2"/>
  <c r="E3497" i="2"/>
  <c r="E3498" i="2"/>
  <c r="E3505" i="2"/>
  <c r="E3512" i="2"/>
  <c r="E3514" i="2"/>
  <c r="E3518" i="2"/>
  <c r="E3519" i="2"/>
  <c r="E3520" i="2"/>
  <c r="E3522" i="2"/>
  <c r="E3526" i="2"/>
  <c r="E3528" i="2"/>
  <c r="E3529" i="2"/>
  <c r="E3530" i="2"/>
  <c r="E3534" i="2"/>
  <c r="E3535" i="2"/>
  <c r="E3536" i="2"/>
  <c r="E3537" i="2"/>
  <c r="E3542" i="2"/>
  <c r="E3543" i="2"/>
  <c r="E3544" i="2"/>
  <c r="E3546" i="2"/>
  <c r="E3551" i="2"/>
  <c r="E3552" i="2"/>
  <c r="E3554" i="2"/>
  <c r="E3558" i="2"/>
  <c r="E3559" i="2"/>
  <c r="E3560" i="2"/>
  <c r="E3561" i="2"/>
  <c r="E3562" i="2"/>
  <c r="E3566" i="2"/>
  <c r="E3567" i="2"/>
  <c r="E3569" i="2"/>
  <c r="E3570" i="2"/>
  <c r="E3574" i="2"/>
  <c r="E3575" i="2"/>
  <c r="E3576" i="2"/>
  <c r="E3578" i="2"/>
  <c r="E3582" i="2"/>
  <c r="E3583" i="2"/>
  <c r="E3584" i="2"/>
  <c r="E3585" i="2"/>
  <c r="E3591" i="2"/>
  <c r="E3598" i="2"/>
  <c r="E3599" i="2"/>
  <c r="E3600" i="2"/>
  <c r="E3601" i="2"/>
  <c r="E3602" i="2"/>
  <c r="E3616" i="2"/>
  <c r="E3617" i="2"/>
  <c r="E3622" i="2"/>
  <c r="E3623" i="2"/>
  <c r="E3626" i="2"/>
  <c r="E3632" i="2"/>
  <c r="E3634" i="2"/>
  <c r="E3638" i="2"/>
  <c r="E3646" i="2"/>
  <c r="E3648" i="2"/>
  <c r="E3655" i="2"/>
  <c r="E3664" i="2"/>
  <c r="E3665" i="2"/>
  <c r="E3666" i="2"/>
  <c r="E3670" i="2"/>
  <c r="E3671" i="2"/>
  <c r="E3672" i="2"/>
  <c r="E3674" i="2"/>
  <c r="E3678" i="2"/>
  <c r="E3679" i="2"/>
  <c r="E3681" i="2"/>
  <c r="E3682" i="2"/>
  <c r="E3688" i="2"/>
  <c r="E3690" i="2"/>
  <c r="E3694" i="2"/>
  <c r="E3695" i="2"/>
  <c r="E3697" i="2"/>
  <c r="E3698" i="2"/>
  <c r="E3704" i="2"/>
  <c r="E3705" i="2"/>
  <c r="E3712" i="2"/>
  <c r="E3713" i="2"/>
  <c r="E3718" i="2"/>
  <c r="E3721" i="2"/>
  <c r="E3722" i="2"/>
  <c r="E3727" i="2"/>
  <c r="E3730" i="2"/>
  <c r="E3736" i="2"/>
  <c r="E3737" i="2"/>
  <c r="E3743" i="2"/>
  <c r="E3744" i="2"/>
  <c r="E3746" i="2"/>
  <c r="E3751" i="2"/>
  <c r="E3753" i="2"/>
  <c r="E3754" i="2"/>
  <c r="E3762" i="2"/>
  <c r="E3766" i="2"/>
  <c r="E3768" i="2"/>
  <c r="E3774" i="2"/>
  <c r="E3778" i="2"/>
  <c r="E3783" i="2"/>
  <c r="E3793" i="2"/>
  <c r="E3798" i="2"/>
  <c r="E3799" i="2"/>
  <c r="E3800" i="2"/>
  <c r="E3801" i="2"/>
  <c r="E3806" i="2"/>
  <c r="E3807" i="2"/>
  <c r="E3814" i="2"/>
  <c r="E3815" i="2"/>
  <c r="E3825" i="2"/>
  <c r="E3830" i="2"/>
  <c r="E3834" i="2"/>
  <c r="E3839" i="2"/>
  <c r="E3847" i="2"/>
  <c r="E3857" i="2"/>
  <c r="E3858" i="2"/>
  <c r="E3862" i="2"/>
  <c r="E3864" i="2"/>
  <c r="E3865" i="2"/>
  <c r="E3871" i="2"/>
  <c r="E3872" i="2"/>
  <c r="E3873" i="2"/>
  <c r="E3874" i="2"/>
  <c r="E3886" i="2"/>
  <c r="E3887" i="2"/>
  <c r="E3889" i="2"/>
  <c r="E3897" i="2"/>
  <c r="E3898" i="2"/>
  <c r="E3903" i="2"/>
  <c r="E3910" i="2"/>
  <c r="E3914" i="2"/>
  <c r="E3918" i="2"/>
  <c r="E3927" i="2"/>
  <c r="E3928" i="2"/>
  <c r="E3930" i="2"/>
  <c r="E3935" i="2"/>
  <c r="E3936" i="2"/>
  <c r="E3937" i="2"/>
  <c r="E3942" i="2"/>
  <c r="E3943" i="2"/>
  <c r="E3946" i="2"/>
  <c r="E3950" i="2"/>
  <c r="E3952" i="2"/>
  <c r="E3953" i="2"/>
  <c r="E3958" i="2"/>
  <c r="E3959" i="2"/>
  <c r="E3961" i="2"/>
  <c r="E3962" i="2"/>
  <c r="E3967" i="2"/>
  <c r="E3968" i="2"/>
  <c r="E3970" i="2"/>
  <c r="E3974" i="2"/>
  <c r="E3975" i="2"/>
  <c r="E3983" i="2"/>
  <c r="E3984" i="2"/>
  <c r="E3986" i="2"/>
  <c r="E3990" i="2"/>
  <c r="E3991" i="2"/>
  <c r="E3992" i="2"/>
  <c r="E3993" i="2"/>
  <c r="E3998" i="2"/>
  <c r="E3999" i="2"/>
  <c r="E4007" i="2"/>
  <c r="E4009" i="2"/>
  <c r="E4010" i="2"/>
  <c r="E4014" i="2"/>
  <c r="E4018" i="2"/>
  <c r="E4023" i="2"/>
  <c r="E4024" i="2"/>
  <c r="E4025" i="2"/>
  <c r="E4030" i="2"/>
  <c r="E4031" i="2"/>
  <c r="E4034" i="2"/>
  <c r="E4038" i="2"/>
  <c r="E4039" i="2"/>
  <c r="E4041" i="2"/>
  <c r="E4048" i="2"/>
  <c r="E4050" i="2"/>
  <c r="E4054" i="2"/>
  <c r="E4056" i="2"/>
  <c r="E4057" i="2"/>
  <c r="E4058" i="2"/>
  <c r="E4062" i="2"/>
  <c r="E4064" i="2"/>
  <c r="E4071" i="2"/>
  <c r="E4072" i="2"/>
  <c r="E4078" i="2"/>
  <c r="E4080" i="2"/>
  <c r="E4081" i="2"/>
  <c r="E4088" i="2"/>
  <c r="E4095" i="2"/>
  <c r="E4096" i="2"/>
  <c r="E4102" i="2"/>
  <c r="E4103" i="2"/>
  <c r="E4106" i="2"/>
  <c r="E4110" i="2"/>
  <c r="E4111" i="2"/>
  <c r="E4113" i="2"/>
  <c r="E4119" i="2"/>
  <c r="E4120" i="2"/>
  <c r="E4126" i="2"/>
  <c r="E4128" i="2"/>
  <c r="E4134" i="2"/>
  <c r="E4136" i="2"/>
  <c r="E4138" i="2"/>
  <c r="E4142" i="2"/>
  <c r="E4143" i="2"/>
  <c r="E4146" i="2"/>
  <c r="E4150" i="2"/>
  <c r="E4152" i="2"/>
  <c r="E4158" i="2"/>
  <c r="E4159" i="2"/>
  <c r="E4160" i="2"/>
  <c r="E4162" i="2"/>
  <c r="E4168" i="2"/>
  <c r="E4170" i="2"/>
  <c r="E4175" i="2"/>
  <c r="E4177" i="2"/>
  <c r="E4182" i="2"/>
  <c r="E4185" i="2"/>
  <c r="E4199" i="2"/>
  <c r="E4202" i="2"/>
  <c r="E4206" i="2"/>
  <c r="E4208" i="2"/>
  <c r="E4209" i="2"/>
  <c r="E4214" i="2"/>
  <c r="E4216" i="2"/>
  <c r="E4218" i="2"/>
  <c r="E4224" i="2"/>
  <c r="E4225" i="2"/>
  <c r="E4226" i="2"/>
  <c r="E4230" i="2"/>
  <c r="E4246" i="2"/>
  <c r="E4247" i="2"/>
  <c r="E4248" i="2"/>
  <c r="E4249" i="2"/>
  <c r="E4250" i="2"/>
  <c r="E4255" i="2"/>
  <c r="E4256" i="2"/>
  <c r="E4257" i="2"/>
  <c r="E4258" i="2"/>
  <c r="E4266" i="2"/>
  <c r="E4270" i="2"/>
  <c r="E4271" i="2"/>
  <c r="E4274" i="2"/>
  <c r="E4279" i="2"/>
  <c r="E4280" i="2"/>
  <c r="E4281" i="2"/>
  <c r="E4282" i="2"/>
  <c r="E4287" i="2"/>
  <c r="E4288" i="2"/>
  <c r="E4289" i="2"/>
  <c r="E4296" i="2"/>
  <c r="E4298" i="2"/>
  <c r="E4302" i="2"/>
  <c r="E4303" i="2"/>
  <c r="E4304" i="2"/>
  <c r="E4306" i="2"/>
  <c r="E4310" i="2"/>
  <c r="E4311" i="2"/>
  <c r="E4313" i="2"/>
  <c r="E4314" i="2"/>
  <c r="E4329" i="2"/>
  <c r="E4337" i="2"/>
  <c r="E4338" i="2"/>
  <c r="E4343" i="2"/>
  <c r="E4345" i="2"/>
  <c r="E4351" i="2"/>
  <c r="E4361" i="2"/>
  <c r="E4366" i="2"/>
  <c r="E4369" i="2"/>
  <c r="E4374" i="2"/>
  <c r="E4375" i="2"/>
  <c r="E4386" i="2"/>
  <c r="E4390" i="2"/>
  <c r="E4392" i="2"/>
  <c r="E4393" i="2"/>
  <c r="E4398" i="2"/>
  <c r="E4399" i="2"/>
  <c r="E4401" i="2"/>
  <c r="E4402" i="2"/>
  <c r="E4406" i="2"/>
  <c r="E4414" i="2"/>
  <c r="E4415" i="2"/>
  <c r="E4417" i="2"/>
  <c r="E4418" i="2"/>
  <c r="E4423" i="2"/>
  <c r="E4438" i="2"/>
  <c r="E4441" i="2"/>
  <c r="E4442" i="2"/>
  <c r="E4446" i="2"/>
  <c r="E4448" i="2"/>
  <c r="E4449" i="2"/>
  <c r="E4454" i="2"/>
  <c r="E4455" i="2"/>
  <c r="E4464" i="2"/>
  <c r="E4465" i="2"/>
  <c r="E4471" i="2"/>
  <c r="E4473" i="2"/>
  <c r="E4474" i="2"/>
  <c r="E4478" i="2"/>
  <c r="E4479" i="2"/>
  <c r="E4481" i="2"/>
  <c r="E4482" i="2"/>
  <c r="E4488" i="2"/>
  <c r="E4490" i="2"/>
  <c r="E4494" i="2"/>
  <c r="E4497" i="2"/>
  <c r="E4504" i="2"/>
  <c r="E4505" i="2"/>
  <c r="E4506" i="2"/>
  <c r="E4510" i="2"/>
  <c r="E4511" i="2"/>
  <c r="E4513" i="2"/>
  <c r="E4514" i="2"/>
  <c r="E4526" i="2"/>
  <c r="E4527" i="2"/>
  <c r="E4528" i="2"/>
  <c r="E4530" i="2"/>
  <c r="E4535" i="2"/>
  <c r="E4542" i="2"/>
  <c r="E4543" i="2"/>
  <c r="F14" i="2"/>
  <c r="F15" i="2"/>
  <c r="F17" i="2"/>
  <c r="F24" i="2"/>
  <c r="F25" i="2"/>
  <c r="F26" i="2"/>
  <c r="F31" i="2"/>
  <c r="F32" i="2"/>
  <c r="F34" i="2"/>
  <c r="F39" i="2"/>
  <c r="F41" i="2"/>
  <c r="F42" i="2"/>
  <c r="F46" i="2"/>
  <c r="F49" i="2"/>
  <c r="F54" i="2"/>
  <c r="F55" i="2"/>
  <c r="F58" i="2"/>
  <c r="F63" i="2"/>
  <c r="F65" i="2"/>
  <c r="F70" i="2"/>
  <c r="F74" i="2"/>
  <c r="F79" i="2"/>
  <c r="F81" i="2"/>
  <c r="F82" i="2"/>
  <c r="F87" i="2"/>
  <c r="F90" i="2"/>
  <c r="F102" i="2"/>
  <c r="F106" i="2"/>
  <c r="F110" i="2"/>
  <c r="F113" i="2"/>
  <c r="F114" i="2"/>
  <c r="F118" i="2"/>
  <c r="F120" i="2"/>
  <c r="F122" i="2"/>
  <c r="F127" i="2"/>
  <c r="F128" i="2"/>
  <c r="F129" i="2"/>
  <c r="F130" i="2"/>
  <c r="F134" i="2"/>
  <c r="F135" i="2"/>
  <c r="F136" i="2"/>
  <c r="F144" i="2"/>
  <c r="F152" i="2"/>
  <c r="F160" i="2"/>
  <c r="F161" i="2"/>
  <c r="F162" i="2"/>
  <c r="F166" i="2"/>
  <c r="F167" i="2"/>
  <c r="F168" i="2"/>
  <c r="F170" i="2"/>
  <c r="F174" i="2"/>
  <c r="F175" i="2"/>
  <c r="F176" i="2"/>
  <c r="F177" i="2"/>
  <c r="F178" i="2"/>
  <c r="F182" i="2"/>
  <c r="F185" i="2"/>
  <c r="F190" i="2"/>
  <c r="F193" i="2"/>
  <c r="F194" i="2"/>
  <c r="F198" i="2"/>
  <c r="F200" i="2"/>
  <c r="F201" i="2"/>
  <c r="F202" i="2"/>
  <c r="F209" i="2"/>
  <c r="F210" i="2"/>
  <c r="F224" i="2"/>
  <c r="F225" i="2"/>
  <c r="F230" i="2"/>
  <c r="F232" i="2"/>
  <c r="F234" i="2"/>
  <c r="F238" i="2"/>
  <c r="F241" i="2"/>
  <c r="F242" i="2"/>
  <c r="F247" i="2"/>
  <c r="F249" i="2"/>
  <c r="F250" i="2"/>
  <c r="F254" i="2"/>
  <c r="F256" i="2"/>
  <c r="F263" i="2"/>
  <c r="F264" i="2"/>
  <c r="F266" i="2"/>
  <c r="F271" i="2"/>
  <c r="F272" i="2"/>
  <c r="F274" i="2"/>
  <c r="F278" i="2"/>
  <c r="F279" i="2"/>
  <c r="F281" i="2"/>
  <c r="F282" i="2"/>
  <c r="F286" i="2"/>
  <c r="F287" i="2"/>
  <c r="F289" i="2"/>
  <c r="F290" i="2"/>
  <c r="F294" i="2"/>
  <c r="F295" i="2"/>
  <c r="F296" i="2"/>
  <c r="F297" i="2"/>
  <c r="F298" i="2"/>
  <c r="F303" i="2"/>
  <c r="F306" i="2"/>
  <c r="F312" i="2"/>
  <c r="F318" i="2"/>
  <c r="F319" i="2"/>
  <c r="F320" i="2"/>
  <c r="F321" i="2"/>
  <c r="F322" i="2"/>
  <c r="F328" i="2"/>
  <c r="F330" i="2"/>
  <c r="F334" i="2"/>
  <c r="F337" i="2"/>
  <c r="F342" i="2"/>
  <c r="F352" i="2"/>
  <c r="F353" i="2"/>
  <c r="F360" i="2"/>
  <c r="F362" i="2"/>
  <c r="F368" i="2"/>
  <c r="F369" i="2"/>
  <c r="F374" i="2"/>
  <c r="F377" i="2"/>
  <c r="F385" i="2"/>
  <c r="F398" i="2"/>
  <c r="F399" i="2"/>
  <c r="F400" i="2"/>
  <c r="F401" i="2"/>
  <c r="F402" i="2"/>
  <c r="F406" i="2"/>
  <c r="F407" i="2"/>
  <c r="F408" i="2"/>
  <c r="F409" i="2"/>
  <c r="F416" i="2"/>
  <c r="F417" i="2"/>
  <c r="F418" i="2"/>
  <c r="F422" i="2"/>
  <c r="F424" i="2"/>
  <c r="F425" i="2"/>
  <c r="F430" i="2"/>
  <c r="F431" i="2"/>
  <c r="F432" i="2"/>
  <c r="F434" i="2"/>
  <c r="F438" i="2"/>
  <c r="F441" i="2"/>
  <c r="F442" i="2"/>
  <c r="F446" i="2"/>
  <c r="F448" i="2"/>
  <c r="F454" i="2"/>
  <c r="F456" i="2"/>
  <c r="F457" i="2"/>
  <c r="F464" i="2"/>
  <c r="F465" i="2"/>
  <c r="F470" i="2"/>
  <c r="F478" i="2"/>
  <c r="F481" i="2"/>
  <c r="F482" i="2"/>
  <c r="F488" i="2"/>
  <c r="F489" i="2"/>
  <c r="F490" i="2"/>
  <c r="F494" i="2"/>
  <c r="F497" i="2"/>
  <c r="F498" i="2"/>
  <c r="F504" i="2"/>
  <c r="F511" i="2"/>
  <c r="F512" i="2"/>
  <c r="F522" i="2"/>
  <c r="F529" i="2"/>
  <c r="F530" i="2"/>
  <c r="F535" i="2"/>
  <c r="F537" i="2"/>
  <c r="F542" i="2"/>
  <c r="F543" i="2"/>
  <c r="F545" i="2"/>
  <c r="F546" i="2"/>
  <c r="F551" i="2"/>
  <c r="F552" i="2"/>
  <c r="F554" i="2"/>
  <c r="F558" i="2"/>
  <c r="F559" i="2"/>
  <c r="F568" i="2"/>
  <c r="F570" i="2"/>
  <c r="F575" i="2"/>
  <c r="F583" i="2"/>
  <c r="F584" i="2"/>
  <c r="F585" i="2"/>
  <c r="F586" i="2"/>
  <c r="F591" i="2"/>
  <c r="F592" i="2"/>
  <c r="F593" i="2"/>
  <c r="F598" i="2"/>
  <c r="F602" i="2"/>
  <c r="F606" i="2"/>
  <c r="F607" i="2"/>
  <c r="F609" i="2"/>
  <c r="F615" i="2"/>
  <c r="F616" i="2"/>
  <c r="F617" i="2"/>
  <c r="F622" i="2"/>
  <c r="F623" i="2"/>
  <c r="F624" i="2"/>
  <c r="F626" i="2"/>
  <c r="F631" i="2"/>
  <c r="F632" i="2"/>
  <c r="F633" i="2"/>
  <c r="F634" i="2"/>
  <c r="F638" i="2"/>
  <c r="F639" i="2"/>
  <c r="F642" i="2"/>
  <c r="F646" i="2"/>
  <c r="F648" i="2"/>
  <c r="F649" i="2"/>
  <c r="F650" i="2"/>
  <c r="F656" i="2"/>
  <c r="F662" i="2"/>
  <c r="F664" i="2"/>
  <c r="F665" i="2"/>
  <c r="F673" i="2"/>
  <c r="F679" i="2"/>
  <c r="F686" i="2"/>
  <c r="F687" i="2"/>
  <c r="F689" i="2"/>
  <c r="F696" i="2"/>
  <c r="F702" i="2"/>
  <c r="F703" i="2"/>
  <c r="F704" i="2"/>
  <c r="F706" i="2"/>
  <c r="F712" i="2"/>
  <c r="F715" i="2"/>
  <c r="F719" i="2"/>
  <c r="F721" i="2"/>
  <c r="F734" i="2"/>
  <c r="F735" i="2"/>
  <c r="F743" i="2"/>
  <c r="F746" i="2"/>
  <c r="F753" i="2"/>
  <c r="F754" i="2"/>
  <c r="F758" i="2"/>
  <c r="F759" i="2"/>
  <c r="F760" i="2"/>
  <c r="F761" i="2"/>
  <c r="F767" i="2"/>
  <c r="F768" i="2"/>
  <c r="F776" i="2"/>
  <c r="F777" i="2"/>
  <c r="F782" i="2"/>
  <c r="F784" i="2"/>
  <c r="F785" i="2"/>
  <c r="F786" i="2"/>
  <c r="F791" i="2"/>
  <c r="F792" i="2"/>
  <c r="F793" i="2"/>
  <c r="F799" i="2"/>
  <c r="F800" i="2"/>
  <c r="F802" i="2"/>
  <c r="F808" i="2"/>
  <c r="F810" i="2"/>
  <c r="F815" i="2"/>
  <c r="F817" i="2"/>
  <c r="F818" i="2"/>
  <c r="F823" i="2"/>
  <c r="F826" i="2"/>
  <c r="F830" i="2"/>
  <c r="F832" i="2"/>
  <c r="F834" i="2"/>
  <c r="F838" i="2"/>
  <c r="F839" i="2"/>
  <c r="F840" i="2"/>
  <c r="F846" i="2"/>
  <c r="F847" i="2"/>
  <c r="F848" i="2"/>
  <c r="F854" i="2"/>
  <c r="F856" i="2"/>
  <c r="F857" i="2"/>
  <c r="F858" i="2"/>
  <c r="F863" i="2"/>
  <c r="F864" i="2"/>
  <c r="F865" i="2"/>
  <c r="F866" i="2"/>
  <c r="F871" i="2"/>
  <c r="F873" i="2"/>
  <c r="F874" i="2"/>
  <c r="F878" i="2"/>
  <c r="F881" i="2"/>
  <c r="F887" i="2"/>
  <c r="F888" i="2"/>
  <c r="F889" i="2"/>
  <c r="F894" i="2"/>
  <c r="F895" i="2"/>
  <c r="F896" i="2"/>
  <c r="F903" i="2"/>
  <c r="F904" i="2"/>
  <c r="F906" i="2"/>
  <c r="F910" i="2"/>
  <c r="F911" i="2"/>
  <c r="F913" i="2"/>
  <c r="F914" i="2"/>
  <c r="F918" i="2"/>
  <c r="F920" i="2"/>
  <c r="F922" i="2"/>
  <c r="F927" i="2"/>
  <c r="F928" i="2"/>
  <c r="F936" i="2"/>
  <c r="F937" i="2"/>
  <c r="F942" i="2"/>
  <c r="F943" i="2"/>
  <c r="F950" i="2"/>
  <c r="F951" i="2"/>
  <c r="F958" i="2"/>
  <c r="F962" i="2"/>
  <c r="F968" i="2"/>
  <c r="F970" i="2"/>
  <c r="F975" i="2"/>
  <c r="F976" i="2"/>
  <c r="F977" i="2"/>
  <c r="F982" i="2"/>
  <c r="F985" i="2"/>
  <c r="F992" i="2"/>
  <c r="F993" i="2"/>
  <c r="F994" i="2"/>
  <c r="F998" i="2"/>
  <c r="F1000" i="2"/>
  <c r="F1001" i="2"/>
  <c r="F1002" i="2"/>
  <c r="F1006" i="2"/>
  <c r="F1009" i="2"/>
  <c r="F1010" i="2"/>
  <c r="F1014" i="2"/>
  <c r="F1016" i="2"/>
  <c r="F1017" i="2"/>
  <c r="F1022" i="2"/>
  <c r="F1024" i="2"/>
  <c r="F1026" i="2"/>
  <c r="F1030" i="2"/>
  <c r="F1038" i="2"/>
  <c r="F1040" i="2"/>
  <c r="F1046" i="2"/>
  <c r="F1047" i="2"/>
  <c r="F1049" i="2"/>
  <c r="F1056" i="2"/>
  <c r="F1058" i="2"/>
  <c r="F1064" i="2"/>
  <c r="F1066" i="2"/>
  <c r="F1070" i="2"/>
  <c r="F1071" i="2"/>
  <c r="F1074" i="2"/>
  <c r="F1081" i="2"/>
  <c r="F1086" i="2"/>
  <c r="F1087" i="2"/>
  <c r="F1088" i="2"/>
  <c r="F1089" i="2"/>
  <c r="F1090" i="2"/>
  <c r="F1094" i="2"/>
  <c r="F1095" i="2"/>
  <c r="F1097" i="2"/>
  <c r="F1103" i="2"/>
  <c r="F1105" i="2"/>
  <c r="F1106" i="2"/>
  <c r="F1110" i="2"/>
  <c r="F1111" i="2"/>
  <c r="F1113" i="2"/>
  <c r="F1114" i="2"/>
  <c r="F1120" i="2"/>
  <c r="F1121" i="2"/>
  <c r="F1126" i="2"/>
  <c r="F1127" i="2"/>
  <c r="F1135" i="2"/>
  <c r="F1136" i="2"/>
  <c r="F1138" i="2"/>
  <c r="F1142" i="2"/>
  <c r="F1143" i="2"/>
  <c r="F1144" i="2"/>
  <c r="F1150" i="2"/>
  <c r="F1152" i="2"/>
  <c r="F1154" i="2"/>
  <c r="F1161" i="2"/>
  <c r="F1162" i="2"/>
  <c r="F1166" i="2"/>
  <c r="F1168" i="2"/>
  <c r="F1176" i="2"/>
  <c r="F1178" i="2"/>
  <c r="F1183" i="2"/>
  <c r="F1184" i="2"/>
  <c r="F1190" i="2"/>
  <c r="F1193" i="2"/>
  <c r="F1199" i="2"/>
  <c r="F1201" i="2"/>
  <c r="F1206" i="2"/>
  <c r="F1208" i="2"/>
  <c r="F1214" i="2"/>
  <c r="F1216" i="2"/>
  <c r="F1217" i="2"/>
  <c r="F1218" i="2"/>
  <c r="F1226" i="2"/>
  <c r="F1230" i="2"/>
  <c r="F1233" i="2"/>
  <c r="F1239" i="2"/>
  <c r="F1240" i="2"/>
  <c r="F1241" i="2"/>
  <c r="F1248" i="2"/>
  <c r="F1254" i="2"/>
  <c r="F1256" i="2"/>
  <c r="F1258" i="2"/>
  <c r="F1263" i="2"/>
  <c r="F1264" i="2"/>
  <c r="F1266" i="2"/>
  <c r="F1270" i="2"/>
  <c r="F1271" i="2"/>
  <c r="F1272" i="2"/>
  <c r="F1274" i="2"/>
  <c r="F1278" i="2"/>
  <c r="F1280" i="2"/>
  <c r="F1282" i="2"/>
  <c r="F1287" i="2"/>
  <c r="F1288" i="2"/>
  <c r="F1289" i="2"/>
  <c r="F1295" i="2"/>
  <c r="F1297" i="2"/>
  <c r="F1303" i="2"/>
  <c r="F1305" i="2"/>
  <c r="F1319" i="2"/>
  <c r="F1321" i="2"/>
  <c r="F1326" i="2"/>
  <c r="F1327" i="2"/>
  <c r="F1328" i="2"/>
  <c r="F1329" i="2"/>
  <c r="F1330" i="2"/>
  <c r="F1335" i="2"/>
  <c r="F1336" i="2"/>
  <c r="F1338" i="2"/>
  <c r="F1343" i="2"/>
  <c r="F1345" i="2"/>
  <c r="F1346" i="2"/>
  <c r="F1350" i="2"/>
  <c r="F1353" i="2"/>
  <c r="F1354" i="2"/>
  <c r="F1361" i="2"/>
  <c r="F1362" i="2"/>
  <c r="F1366" i="2"/>
  <c r="F1367" i="2"/>
  <c r="F1375" i="2"/>
  <c r="F1378" i="2"/>
  <c r="F1382" i="2"/>
  <c r="F1385" i="2"/>
  <c r="F1386" i="2"/>
  <c r="F1391" i="2"/>
  <c r="F1398" i="2"/>
  <c r="F1399" i="2"/>
  <c r="F1400" i="2"/>
  <c r="F1401" i="2"/>
  <c r="F1409" i="2"/>
  <c r="F1414" i="2"/>
  <c r="F1415" i="2"/>
  <c r="F1416" i="2"/>
  <c r="F1418" i="2"/>
  <c r="F1424" i="2"/>
  <c r="F1425" i="2"/>
  <c r="F1426" i="2"/>
  <c r="F1438" i="2"/>
  <c r="F1441" i="2"/>
  <c r="F1442" i="2"/>
  <c r="F1447" i="2"/>
  <c r="F1448" i="2"/>
  <c r="F1454" i="2"/>
  <c r="F1455" i="2"/>
  <c r="F1456" i="2"/>
  <c r="F1458" i="2"/>
  <c r="F1470" i="2"/>
  <c r="F1471" i="2"/>
  <c r="F1472" i="2"/>
  <c r="F1473" i="2"/>
  <c r="F1479" i="2"/>
  <c r="F1481" i="2"/>
  <c r="F1482" i="2"/>
  <c r="F1486" i="2"/>
  <c r="F1488" i="2"/>
  <c r="F1489" i="2"/>
  <c r="F1495" i="2"/>
  <c r="F1502" i="2"/>
  <c r="F1510" i="2"/>
  <c r="F1512" i="2"/>
  <c r="F1513" i="2"/>
  <c r="F1514" i="2"/>
  <c r="F1519" i="2"/>
  <c r="F1522" i="2"/>
  <c r="F1535" i="2"/>
  <c r="F1536" i="2"/>
  <c r="F1543" i="2"/>
  <c r="F1544" i="2"/>
  <c r="F1545" i="2"/>
  <c r="F1546" i="2"/>
  <c r="F1550" i="2"/>
  <c r="F1552" i="2"/>
  <c r="F1553" i="2"/>
  <c r="F1554" i="2"/>
  <c r="F1559" i="2"/>
  <c r="F1568" i="2"/>
  <c r="F1569" i="2"/>
  <c r="F1575" i="2"/>
  <c r="F1577" i="2"/>
  <c r="F1583" i="2"/>
  <c r="F1590" i="2"/>
  <c r="F1593" i="2"/>
  <c r="F1594" i="2"/>
  <c r="F1598" i="2"/>
  <c r="F1600" i="2"/>
  <c r="F1602" i="2"/>
  <c r="F1606" i="2"/>
  <c r="F1608" i="2"/>
  <c r="F1609" i="2"/>
  <c r="F1618" i="2"/>
  <c r="F1625" i="2"/>
  <c r="F1631" i="2"/>
  <c r="F1632" i="2"/>
  <c r="F1638" i="2"/>
  <c r="F1641" i="2"/>
  <c r="F1642" i="2"/>
  <c r="F1648" i="2"/>
  <c r="F1649" i="2"/>
  <c r="F1650" i="2"/>
  <c r="F1655" i="2"/>
  <c r="F1662" i="2"/>
  <c r="F1665" i="2"/>
  <c r="F1666" i="2"/>
  <c r="F1670" i="2"/>
  <c r="F1671" i="2"/>
  <c r="F1678" i="2"/>
  <c r="F1686" i="2"/>
  <c r="F1687" i="2"/>
  <c r="F1688" i="2"/>
  <c r="F1694" i="2"/>
  <c r="F1695" i="2"/>
  <c r="F1696" i="2"/>
  <c r="F1697" i="2"/>
  <c r="F1698" i="2"/>
  <c r="F1704" i="2"/>
  <c r="F1705" i="2"/>
  <c r="F1710" i="2"/>
  <c r="F1711" i="2"/>
  <c r="F1712" i="2"/>
  <c r="F1719" i="2"/>
  <c r="F1722" i="2"/>
  <c r="F1726" i="2"/>
  <c r="F1727" i="2"/>
  <c r="F1728" i="2"/>
  <c r="F1729" i="2"/>
  <c r="F1730" i="2"/>
  <c r="F1735" i="2"/>
  <c r="F1738" i="2"/>
  <c r="F1742" i="2"/>
  <c r="F1743" i="2"/>
  <c r="F1744" i="2"/>
  <c r="F1746" i="2"/>
  <c r="F1752" i="2"/>
  <c r="F1758" i="2"/>
  <c r="F1762" i="2"/>
  <c r="F1767" i="2"/>
  <c r="F1770" i="2"/>
  <c r="F1776" i="2"/>
  <c r="F1784" i="2"/>
  <c r="F1785" i="2"/>
  <c r="F1790" i="2"/>
  <c r="F1791" i="2"/>
  <c r="F1792" i="2"/>
  <c r="F1793" i="2"/>
  <c r="F1799" i="2"/>
  <c r="F1800" i="2"/>
  <c r="F1801" i="2"/>
  <c r="F1802" i="2"/>
  <c r="F1806" i="2"/>
  <c r="F1807" i="2"/>
  <c r="F1808" i="2"/>
  <c r="F1809" i="2"/>
  <c r="F1815" i="2"/>
  <c r="F1816" i="2"/>
  <c r="F1817" i="2"/>
  <c r="F1824" i="2"/>
  <c r="F1825" i="2"/>
  <c r="F1830" i="2"/>
  <c r="F1833" i="2"/>
  <c r="F1838" i="2"/>
  <c r="F1841" i="2"/>
  <c r="F1842" i="2"/>
  <c r="F1846" i="2"/>
  <c r="F1847" i="2"/>
  <c r="F1848" i="2"/>
  <c r="F1849" i="2"/>
  <c r="F1855" i="2"/>
  <c r="F1856" i="2"/>
  <c r="F1864" i="2"/>
  <c r="F1870" i="2"/>
  <c r="F1871" i="2"/>
  <c r="F1872" i="2"/>
  <c r="F1873" i="2"/>
  <c r="F1874" i="2"/>
  <c r="F1880" i="2"/>
  <c r="F1881" i="2"/>
  <c r="F1886" i="2"/>
  <c r="F1889" i="2"/>
  <c r="F1896" i="2"/>
  <c r="F1898" i="2"/>
  <c r="F1902" i="2"/>
  <c r="F1903" i="2"/>
  <c r="F1910" i="2"/>
  <c r="F1911" i="2"/>
  <c r="F1912" i="2"/>
  <c r="F1913" i="2"/>
  <c r="F1918" i="2"/>
  <c r="F1919" i="2"/>
  <c r="F1920" i="2"/>
  <c r="F1922" i="2"/>
  <c r="F1926" i="2"/>
  <c r="F1927" i="2"/>
  <c r="F1935" i="2"/>
  <c r="F1936" i="2"/>
  <c r="F1937" i="2"/>
  <c r="F1944" i="2"/>
  <c r="F1945" i="2"/>
  <c r="F1950" i="2"/>
  <c r="F1952" i="2"/>
  <c r="F1954" i="2"/>
  <c r="F1959" i="2"/>
  <c r="F1960" i="2"/>
  <c r="F1969" i="2"/>
  <c r="F1970" i="2"/>
  <c r="F1975" i="2"/>
  <c r="F1984" i="2"/>
  <c r="F1998" i="2"/>
  <c r="F1999" i="2"/>
  <c r="F2001" i="2"/>
  <c r="F2006" i="2"/>
  <c r="F2008" i="2"/>
  <c r="F2009" i="2"/>
  <c r="F2014" i="2"/>
  <c r="F2016" i="2"/>
  <c r="F2017" i="2"/>
  <c r="F2022" i="2"/>
  <c r="F2026" i="2"/>
  <c r="F2030" i="2"/>
  <c r="F2034" i="2"/>
  <c r="F2039" i="2"/>
  <c r="F2040" i="2"/>
  <c r="F2046" i="2"/>
  <c r="F2048" i="2"/>
  <c r="F2049" i="2"/>
  <c r="F2056" i="2"/>
  <c r="F2057" i="2"/>
  <c r="F2062" i="2"/>
  <c r="F2063" i="2"/>
  <c r="F2070" i="2"/>
  <c r="F2074" i="2"/>
  <c r="F2078" i="2"/>
  <c r="F2079" i="2"/>
  <c r="F2082" i="2"/>
  <c r="F2088" i="2"/>
  <c r="F2090" i="2"/>
  <c r="F2095" i="2"/>
  <c r="F2097" i="2"/>
  <c r="F2102" i="2"/>
  <c r="F2103" i="2"/>
  <c r="F2104" i="2"/>
  <c r="F2106" i="2"/>
  <c r="F2111" i="2"/>
  <c r="F2112" i="2"/>
  <c r="F2113" i="2"/>
  <c r="F2114" i="2"/>
  <c r="F2119" i="2"/>
  <c r="F2120" i="2"/>
  <c r="F2121" i="2"/>
  <c r="F2122" i="2"/>
  <c r="F2127" i="2"/>
  <c r="F2128" i="2"/>
  <c r="F2129" i="2"/>
  <c r="F2135" i="2"/>
  <c r="F2136" i="2"/>
  <c r="F2138" i="2"/>
  <c r="F2146" i="2"/>
  <c r="F2151" i="2"/>
  <c r="F2153" i="2"/>
  <c r="F2159" i="2"/>
  <c r="F2166" i="2"/>
  <c r="F2167" i="2"/>
  <c r="F2175" i="2"/>
  <c r="F2176" i="2"/>
  <c r="F2177" i="2"/>
  <c r="F2183" i="2"/>
  <c r="F2184" i="2"/>
  <c r="F2185" i="2"/>
  <c r="F2190" i="2"/>
  <c r="F2194" i="2"/>
  <c r="F2198" i="2"/>
  <c r="F2200" i="2"/>
  <c r="F2201" i="2"/>
  <c r="F2207" i="2"/>
  <c r="F2209" i="2"/>
  <c r="F2214" i="2"/>
  <c r="F2217" i="2"/>
  <c r="F2222" i="2"/>
  <c r="F2225" i="2"/>
  <c r="F2226" i="2"/>
  <c r="F2232" i="2"/>
  <c r="F2233" i="2"/>
  <c r="F2238" i="2"/>
  <c r="F2240" i="2"/>
  <c r="F2248" i="2"/>
  <c r="F2255" i="2"/>
  <c r="F2256" i="2"/>
  <c r="F2258" i="2"/>
  <c r="F2264" i="2"/>
  <c r="F2265" i="2"/>
  <c r="F2272" i="2"/>
  <c r="F2273" i="2"/>
  <c r="F2279" i="2"/>
  <c r="F2280" i="2"/>
  <c r="F2282" i="2"/>
  <c r="F2286" i="2"/>
  <c r="F2287" i="2"/>
  <c r="F2288" i="2"/>
  <c r="F2290" i="2"/>
  <c r="F2294" i="2"/>
  <c r="F2295" i="2"/>
  <c r="F2303" i="2"/>
  <c r="F2305" i="2"/>
  <c r="F2306" i="2"/>
  <c r="F2310" i="2"/>
  <c r="F2313" i="2"/>
  <c r="F2314" i="2"/>
  <c r="F2321" i="2"/>
  <c r="F2322" i="2"/>
  <c r="F2327" i="2"/>
  <c r="F2329" i="2"/>
  <c r="F2330" i="2"/>
  <c r="F2334" i="2"/>
  <c r="F2335" i="2"/>
  <c r="F2337" i="2"/>
  <c r="F2338" i="2"/>
  <c r="F2343" i="2"/>
  <c r="F2346" i="2"/>
  <c r="F2351" i="2"/>
  <c r="F2354" i="2"/>
  <c r="F2359" i="2"/>
  <c r="F2360" i="2"/>
  <c r="F2366" i="2"/>
  <c r="F2367" i="2"/>
  <c r="F2370" i="2"/>
  <c r="F2382" i="2"/>
  <c r="F2383" i="2"/>
  <c r="F2385" i="2"/>
  <c r="F2386" i="2"/>
  <c r="F2392" i="2"/>
  <c r="F2400" i="2"/>
  <c r="F2402" i="2"/>
  <c r="F2409" i="2"/>
  <c r="F2410" i="2"/>
  <c r="F2418" i="2"/>
  <c r="F2423" i="2"/>
  <c r="F2425" i="2"/>
  <c r="F2438" i="2"/>
  <c r="F2440" i="2"/>
  <c r="F2441" i="2"/>
  <c r="F2442" i="2"/>
  <c r="F2446" i="2"/>
  <c r="F2455" i="2"/>
  <c r="F2458" i="2"/>
  <c r="F2462" i="2"/>
  <c r="F2464" i="2"/>
  <c r="F2470" i="2"/>
  <c r="F2471" i="2"/>
  <c r="F2473" i="2"/>
  <c r="F2478" i="2"/>
  <c r="F2479" i="2"/>
  <c r="F2494" i="2"/>
  <c r="F2496" i="2"/>
  <c r="F2498" i="2"/>
  <c r="F2503" i="2"/>
  <c r="F2504" i="2"/>
  <c r="F2505" i="2"/>
  <c r="F2510" i="2"/>
  <c r="F2511" i="2"/>
  <c r="F2513" i="2"/>
  <c r="F2518" i="2"/>
  <c r="F2519" i="2"/>
  <c r="F2526" i="2"/>
  <c r="F2528" i="2"/>
  <c r="F2529" i="2"/>
  <c r="F2530" i="2"/>
  <c r="F2534" i="2"/>
  <c r="F2536" i="2"/>
  <c r="F2537" i="2"/>
  <c r="F2542" i="2"/>
  <c r="F2545" i="2"/>
  <c r="F2550" i="2"/>
  <c r="F2553" i="2"/>
  <c r="F2554" i="2"/>
  <c r="F2558" i="2"/>
  <c r="F2559" i="2"/>
  <c r="F2569" i="2"/>
  <c r="F2575" i="2"/>
  <c r="F2576" i="2"/>
  <c r="F2584" i="2"/>
  <c r="F2586" i="2"/>
  <c r="F2590" i="2"/>
  <c r="F2592" i="2"/>
  <c r="F2593" i="2"/>
  <c r="F2599" i="2"/>
  <c r="F2601" i="2"/>
  <c r="F2606" i="2"/>
  <c r="F2607" i="2"/>
  <c r="F2609" i="2"/>
  <c r="F2615" i="2"/>
  <c r="F2616" i="2"/>
  <c r="F2617" i="2"/>
  <c r="F2626" i="2"/>
  <c r="F2630" i="2"/>
  <c r="F2631" i="2"/>
  <c r="F2638" i="2"/>
  <c r="F2639" i="2"/>
  <c r="F2640" i="2"/>
  <c r="F2647" i="2"/>
  <c r="F2650" i="2"/>
  <c r="F2655" i="2"/>
  <c r="F2658" i="2"/>
  <c r="F2662" i="2"/>
  <c r="F2663" i="2"/>
  <c r="F2664" i="2"/>
  <c r="F2665" i="2"/>
  <c r="F2671" i="2"/>
  <c r="F2673" i="2"/>
  <c r="F2678" i="2"/>
  <c r="F2679" i="2"/>
  <c r="F2680" i="2"/>
  <c r="F2682" i="2"/>
  <c r="F2687" i="2"/>
  <c r="F2690" i="2"/>
  <c r="F2695" i="2"/>
  <c r="F2698" i="2"/>
  <c r="F2702" i="2"/>
  <c r="F2703" i="2"/>
  <c r="F2704" i="2"/>
  <c r="F2706" i="2"/>
  <c r="F2712" i="2"/>
  <c r="F2713" i="2"/>
  <c r="F2719" i="2"/>
  <c r="F2721" i="2"/>
  <c r="F2722" i="2"/>
  <c r="F2726" i="2"/>
  <c r="F2727" i="2"/>
  <c r="F2728" i="2"/>
  <c r="F2735" i="2"/>
  <c r="F2737" i="2"/>
  <c r="F2742" i="2"/>
  <c r="F2744" i="2"/>
  <c r="F2746" i="2"/>
  <c r="F2750" i="2"/>
  <c r="F2752" i="2"/>
  <c r="F2753" i="2"/>
  <c r="F2758" i="2"/>
  <c r="F2760" i="2"/>
  <c r="F2767" i="2"/>
  <c r="F2768" i="2"/>
  <c r="F2775" i="2"/>
  <c r="F2777" i="2"/>
  <c r="F2794" i="2"/>
  <c r="F2799" i="2"/>
  <c r="F2800" i="2"/>
  <c r="F2809" i="2"/>
  <c r="F2818" i="2"/>
  <c r="F2822" i="2"/>
  <c r="F2823" i="2"/>
  <c r="F2824" i="2"/>
  <c r="F2830" i="2"/>
  <c r="F2831" i="2"/>
  <c r="F2838" i="2"/>
  <c r="F2842" i="2"/>
  <c r="F2850" i="2"/>
  <c r="F2854" i="2"/>
  <c r="F2855" i="2"/>
  <c r="F2856" i="2"/>
  <c r="F2863" i="2"/>
  <c r="F2865" i="2"/>
  <c r="F2873" i="2"/>
  <c r="F2878" i="2"/>
  <c r="F2879" i="2"/>
  <c r="F2882" i="2"/>
  <c r="F2887" i="2"/>
  <c r="F2888" i="2"/>
  <c r="F2896" i="2"/>
  <c r="F2898" i="2"/>
  <c r="F2903" i="2"/>
  <c r="F2905" i="2"/>
  <c r="F2906" i="2"/>
  <c r="F2911" i="2"/>
  <c r="F2913" i="2"/>
  <c r="F2914" i="2"/>
  <c r="F2919" i="2"/>
  <c r="F2921" i="2"/>
  <c r="F2922" i="2"/>
  <c r="F2928" i="2"/>
  <c r="F2929" i="2"/>
  <c r="F2930" i="2"/>
  <c r="F2936" i="2"/>
  <c r="F2942" i="2"/>
  <c r="F2943" i="2"/>
  <c r="F2944" i="2"/>
  <c r="F2945" i="2"/>
  <c r="F2946" i="2"/>
  <c r="F2950" i="2"/>
  <c r="F2951" i="2"/>
  <c r="F2958" i="2"/>
  <c r="F2960" i="2"/>
  <c r="F2962" i="2"/>
  <c r="F2968" i="2"/>
  <c r="F2975" i="2"/>
  <c r="F2977" i="2"/>
  <c r="F2978" i="2"/>
  <c r="F2982" i="2"/>
  <c r="F2984" i="2"/>
  <c r="F2985" i="2"/>
  <c r="F2992" i="2"/>
  <c r="F2998" i="2"/>
  <c r="F3002" i="2"/>
  <c r="F3015" i="2"/>
  <c r="F3022" i="2"/>
  <c r="F3023" i="2"/>
  <c r="F3025" i="2"/>
  <c r="F3026" i="2"/>
  <c r="F3031" i="2"/>
  <c r="F3032" i="2"/>
  <c r="F3033" i="2"/>
  <c r="F3038" i="2"/>
  <c r="F3039" i="2"/>
  <c r="F3040" i="2"/>
  <c r="F3047" i="2"/>
  <c r="F3049" i="2"/>
  <c r="F3050" i="2"/>
  <c r="F3056" i="2"/>
  <c r="F3057" i="2"/>
  <c r="F3058" i="2"/>
  <c r="F3066" i="2"/>
  <c r="F3071" i="2"/>
  <c r="F3072" i="2"/>
  <c r="F3079" i="2"/>
  <c r="F3080" i="2"/>
  <c r="F3086" i="2"/>
  <c r="F3087" i="2"/>
  <c r="F3088" i="2"/>
  <c r="F3106" i="2"/>
  <c r="F3111" i="2"/>
  <c r="F3119" i="2"/>
  <c r="F3121" i="2"/>
  <c r="F3122" i="2"/>
  <c r="F3128" i="2"/>
  <c r="F3129" i="2"/>
  <c r="F3137" i="2"/>
  <c r="F3138" i="2"/>
  <c r="F3145" i="2"/>
  <c r="F3152" i="2"/>
  <c r="F3160" i="2"/>
  <c r="F3166" i="2"/>
  <c r="F3168" i="2"/>
  <c r="F3174" i="2"/>
  <c r="F3175" i="2"/>
  <c r="F3176" i="2"/>
  <c r="F3178" i="2"/>
  <c r="F3183" i="2"/>
  <c r="F3185" i="2"/>
  <c r="F3186" i="2"/>
  <c r="F3190" i="2"/>
  <c r="F3199" i="2"/>
  <c r="F3210" i="2"/>
  <c r="F3215" i="2"/>
  <c r="F3216" i="2"/>
  <c r="F3217" i="2"/>
  <c r="F3226" i="2"/>
  <c r="F3230" i="2"/>
  <c r="F3233" i="2"/>
  <c r="F3238" i="2"/>
  <c r="F3239" i="2"/>
  <c r="F3241" i="2"/>
  <c r="F3246" i="2"/>
  <c r="F3247" i="2"/>
  <c r="F3248" i="2"/>
  <c r="F3249" i="2"/>
  <c r="F3254" i="2"/>
  <c r="F3255" i="2"/>
  <c r="F3263" i="2"/>
  <c r="F3272" i="2"/>
  <c r="F3280" i="2"/>
  <c r="F3281" i="2"/>
  <c r="F3282" i="2"/>
  <c r="F3286" i="2"/>
  <c r="F3288" i="2"/>
  <c r="F3289" i="2"/>
  <c r="F3290" i="2"/>
  <c r="F3297" i="2"/>
  <c r="F3298" i="2"/>
  <c r="F3303" i="2"/>
  <c r="F3304" i="2"/>
  <c r="F3313" i="2"/>
  <c r="F3319" i="2"/>
  <c r="F3322" i="2"/>
  <c r="F3327" i="2"/>
  <c r="F3328" i="2"/>
  <c r="F3329" i="2"/>
  <c r="F3330" i="2"/>
  <c r="F3336" i="2"/>
  <c r="F3343" i="2"/>
  <c r="F3345" i="2"/>
  <c r="F3350" i="2"/>
  <c r="F3351" i="2"/>
  <c r="F3352" i="2"/>
  <c r="F3353" i="2"/>
  <c r="F3359" i="2"/>
  <c r="F3361" i="2"/>
  <c r="F3362" i="2"/>
  <c r="F3366" i="2"/>
  <c r="F3367" i="2"/>
  <c r="F3370" i="2"/>
  <c r="F3375" i="2"/>
  <c r="F3378" i="2"/>
  <c r="F3383" i="2"/>
  <c r="F3384" i="2"/>
  <c r="F3386" i="2"/>
  <c r="F3400" i="2"/>
  <c r="F3401" i="2"/>
  <c r="F3406" i="2"/>
  <c r="F3407" i="2"/>
  <c r="F3410" i="2"/>
  <c r="F3414" i="2"/>
  <c r="F3415" i="2"/>
  <c r="F3417" i="2"/>
  <c r="F3423" i="2"/>
  <c r="F3425" i="2"/>
  <c r="F3427" i="2"/>
  <c r="F3430" i="2"/>
  <c r="F3432" i="2"/>
  <c r="F3433" i="2"/>
  <c r="F3438" i="2"/>
  <c r="F3440" i="2"/>
  <c r="F3441" i="2"/>
  <c r="F3442" i="2"/>
  <c r="F3447" i="2"/>
  <c r="F3449" i="2"/>
  <c r="F3450" i="2"/>
  <c r="F3454" i="2"/>
  <c r="F3455" i="2"/>
  <c r="F3462" i="2"/>
  <c r="F3465" i="2"/>
  <c r="F3470" i="2"/>
  <c r="F3471" i="2"/>
  <c r="F3473" i="2"/>
  <c r="F3474" i="2"/>
  <c r="F3478" i="2"/>
  <c r="F3479" i="2"/>
  <c r="F3486" i="2"/>
  <c r="F3488" i="2"/>
  <c r="F3494" i="2"/>
  <c r="F3502" i="2"/>
  <c r="F3503" i="2"/>
  <c r="F3504" i="2"/>
  <c r="F3506" i="2"/>
  <c r="F3510" i="2"/>
  <c r="F3511" i="2"/>
  <c r="F3513" i="2"/>
  <c r="F3521" i="2"/>
  <c r="F3527" i="2"/>
  <c r="F3538" i="2"/>
  <c r="F3545" i="2"/>
  <c r="F3550" i="2"/>
  <c r="F3553" i="2"/>
  <c r="F3568" i="2"/>
  <c r="F3577" i="2"/>
  <c r="F3586" i="2"/>
  <c r="F3590" i="2"/>
  <c r="F3592" i="2"/>
  <c r="F3593" i="2"/>
  <c r="F3594" i="2"/>
  <c r="F3606" i="2"/>
  <c r="F3607" i="2"/>
  <c r="F3608" i="2"/>
  <c r="F3609" i="2"/>
  <c r="F3610" i="2"/>
  <c r="F3614" i="2"/>
  <c r="F3615" i="2"/>
  <c r="F3618" i="2"/>
  <c r="F3624" i="2"/>
  <c r="F3625" i="2"/>
  <c r="F3630" i="2"/>
  <c r="F3631" i="2"/>
  <c r="F3633" i="2"/>
  <c r="F3635" i="2"/>
  <c r="F3639" i="2"/>
  <c r="F3640" i="2"/>
  <c r="F3641" i="2"/>
  <c r="F3642" i="2"/>
  <c r="F3647" i="2"/>
  <c r="F3649" i="2"/>
  <c r="F3650" i="2"/>
  <c r="F3654" i="2"/>
  <c r="F3656" i="2"/>
  <c r="F3657" i="2"/>
  <c r="F3658" i="2"/>
  <c r="F3662" i="2"/>
  <c r="F3663" i="2"/>
  <c r="F3673" i="2"/>
  <c r="F3680" i="2"/>
  <c r="F3686" i="2"/>
  <c r="F3687" i="2"/>
  <c r="F3689" i="2"/>
  <c r="F3696" i="2"/>
  <c r="F3702" i="2"/>
  <c r="F3703" i="2"/>
  <c r="F3706" i="2"/>
  <c r="F3710" i="2"/>
  <c r="F3711" i="2"/>
  <c r="F3714" i="2"/>
  <c r="F3719" i="2"/>
  <c r="F3720" i="2"/>
  <c r="F3726" i="2"/>
  <c r="F3728" i="2"/>
  <c r="F3729" i="2"/>
  <c r="F3734" i="2"/>
  <c r="F3735" i="2"/>
  <c r="F3738" i="2"/>
  <c r="F3742" i="2"/>
  <c r="F3745" i="2"/>
  <c r="F3750" i="2"/>
  <c r="F3752" i="2"/>
  <c r="F3758" i="2"/>
  <c r="F3759" i="2"/>
  <c r="F3760" i="2"/>
  <c r="F3761" i="2"/>
  <c r="F3767" i="2"/>
  <c r="F3769" i="2"/>
  <c r="F3770" i="2"/>
  <c r="F3775" i="2"/>
  <c r="F3776" i="2"/>
  <c r="F3777" i="2"/>
  <c r="F3782" i="2"/>
  <c r="F3784" i="2"/>
  <c r="F3785" i="2"/>
  <c r="F3786" i="2"/>
  <c r="F3790" i="2"/>
  <c r="F3791" i="2"/>
  <c r="F3792" i="2"/>
  <c r="F3794" i="2"/>
  <c r="F3802" i="2"/>
  <c r="F3808" i="2"/>
  <c r="F3809" i="2"/>
  <c r="F3810" i="2"/>
  <c r="F3816" i="2"/>
  <c r="F3817" i="2"/>
  <c r="F3818" i="2"/>
  <c r="F3822" i="2"/>
  <c r="F3823" i="2"/>
  <c r="F3824" i="2"/>
  <c r="F3826" i="2"/>
  <c r="F3831" i="2"/>
  <c r="F3832" i="2"/>
  <c r="F3833" i="2"/>
  <c r="F3838" i="2"/>
  <c r="F3840" i="2"/>
  <c r="F3841" i="2"/>
  <c r="F3842" i="2"/>
  <c r="F3846" i="2"/>
  <c r="F3848" i="2"/>
  <c r="F3849" i="2"/>
  <c r="F3850" i="2"/>
  <c r="F3854" i="2"/>
  <c r="F3855" i="2"/>
  <c r="F3856" i="2"/>
  <c r="F3863" i="2"/>
  <c r="F3866" i="2"/>
  <c r="F3870" i="2"/>
  <c r="F3878" i="2"/>
  <c r="F3879" i="2"/>
  <c r="F3880" i="2"/>
  <c r="F3881" i="2"/>
  <c r="F3882" i="2"/>
  <c r="F3888" i="2"/>
  <c r="F3890" i="2"/>
  <c r="F3894" i="2"/>
  <c r="F3895" i="2"/>
  <c r="F3896" i="2"/>
  <c r="F3902" i="2"/>
  <c r="F3904" i="2"/>
  <c r="F3905" i="2"/>
  <c r="F3906" i="2"/>
  <c r="F3911" i="2"/>
  <c r="F3912" i="2"/>
  <c r="F3913" i="2"/>
  <c r="F3919" i="2"/>
  <c r="F3920" i="2"/>
  <c r="F3921" i="2"/>
  <c r="F3922" i="2"/>
  <c r="F3926" i="2"/>
  <c r="F3929" i="2"/>
  <c r="F3934" i="2"/>
  <c r="F3938" i="2"/>
  <c r="F3939" i="2"/>
  <c r="F3944" i="2"/>
  <c r="F3945" i="2"/>
  <c r="F3951" i="2"/>
  <c r="F3954" i="2"/>
  <c r="F3960" i="2"/>
  <c r="F3966" i="2"/>
  <c r="F3969" i="2"/>
  <c r="F3976" i="2"/>
  <c r="F3977" i="2"/>
  <c r="F3978" i="2"/>
  <c r="F3982" i="2"/>
  <c r="F3985" i="2"/>
  <c r="F3994" i="2"/>
  <c r="F4000" i="2"/>
  <c r="F4001" i="2"/>
  <c r="F4002" i="2"/>
  <c r="F4006" i="2"/>
  <c r="F4008" i="2"/>
  <c r="F4015" i="2"/>
  <c r="F4016" i="2"/>
  <c r="F4017" i="2"/>
  <c r="F4022" i="2"/>
  <c r="F4026" i="2"/>
  <c r="F4027" i="2"/>
  <c r="F4032" i="2"/>
  <c r="F4033" i="2"/>
  <c r="F4040" i="2"/>
  <c r="F4042" i="2"/>
  <c r="F4046" i="2"/>
  <c r="F4047" i="2"/>
  <c r="F4049" i="2"/>
  <c r="F4055" i="2"/>
  <c r="F4063" i="2"/>
  <c r="F4065" i="2"/>
  <c r="F4066" i="2"/>
  <c r="F4070" i="2"/>
  <c r="F4073" i="2"/>
  <c r="F4074" i="2"/>
  <c r="F4079" i="2"/>
  <c r="F4082" i="2"/>
  <c r="F4086" i="2"/>
  <c r="F4087" i="2"/>
  <c r="F4089" i="2"/>
  <c r="F4090" i="2"/>
  <c r="F4094" i="2"/>
  <c r="F4097" i="2"/>
  <c r="F4098" i="2"/>
  <c r="F4104" i="2"/>
  <c r="F4105" i="2"/>
  <c r="F4112" i="2"/>
  <c r="F4114" i="2"/>
  <c r="F4118" i="2"/>
  <c r="F4121" i="2"/>
  <c r="F4122" i="2"/>
  <c r="F4127" i="2"/>
  <c r="F4129" i="2"/>
  <c r="F4130" i="2"/>
  <c r="F4135" i="2"/>
  <c r="F4137" i="2"/>
  <c r="F4144" i="2"/>
  <c r="F4145" i="2"/>
  <c r="F4151" i="2"/>
  <c r="F4153" i="2"/>
  <c r="F4154" i="2"/>
  <c r="F4161" i="2"/>
  <c r="F4166" i="2"/>
  <c r="F4167" i="2"/>
  <c r="F4169" i="2"/>
  <c r="F4171" i="2"/>
  <c r="F4174" i="2"/>
  <c r="F4176" i="2"/>
  <c r="F4178" i="2"/>
  <c r="F4183" i="2"/>
  <c r="F4184" i="2"/>
  <c r="F4186" i="2"/>
  <c r="F4190" i="2"/>
  <c r="F4191" i="2"/>
  <c r="F4192" i="2"/>
  <c r="F4193" i="2"/>
  <c r="F4194" i="2"/>
  <c r="F4198" i="2"/>
  <c r="F4200" i="2"/>
  <c r="F4201" i="2"/>
  <c r="F4207" i="2"/>
  <c r="F4210" i="2"/>
  <c r="F4215" i="2"/>
  <c r="F4217" i="2"/>
  <c r="F4222" i="2"/>
  <c r="F4223" i="2"/>
  <c r="F4231" i="2"/>
  <c r="F4232" i="2"/>
  <c r="F4233" i="2"/>
  <c r="F4234" i="2"/>
  <c r="F4238" i="2"/>
  <c r="F4239" i="2"/>
  <c r="F4240" i="2"/>
  <c r="F4241" i="2"/>
  <c r="F4242" i="2"/>
  <c r="F4254" i="2"/>
  <c r="F4262" i="2"/>
  <c r="F4263" i="2"/>
  <c r="F4264" i="2"/>
  <c r="F4265" i="2"/>
  <c r="F4272" i="2"/>
  <c r="F4273" i="2"/>
  <c r="F4278" i="2"/>
  <c r="F4286" i="2"/>
  <c r="F4290" i="2"/>
  <c r="F4294" i="2"/>
  <c r="F4295" i="2"/>
  <c r="F4297" i="2"/>
  <c r="F4305" i="2"/>
  <c r="F4312" i="2"/>
  <c r="F4318" i="2"/>
  <c r="F4319" i="2"/>
  <c r="F4320" i="2"/>
  <c r="F4321" i="2"/>
  <c r="F4322" i="2"/>
  <c r="F4326" i="2"/>
  <c r="F4327" i="2"/>
  <c r="F4328" i="2"/>
  <c r="F4330" i="2"/>
  <c r="F4334" i="2"/>
  <c r="F4335" i="2"/>
  <c r="F4336" i="2"/>
  <c r="F4342" i="2"/>
  <c r="F4344" i="2"/>
  <c r="F4346" i="2"/>
  <c r="F4350" i="2"/>
  <c r="F4352" i="2"/>
  <c r="F4353" i="2"/>
  <c r="F4354" i="2"/>
  <c r="F4358" i="2"/>
  <c r="F4359" i="2"/>
  <c r="F4360" i="2"/>
  <c r="F4362" i="2"/>
  <c r="F4367" i="2"/>
  <c r="F4368" i="2"/>
  <c r="F4370" i="2"/>
  <c r="F4376" i="2"/>
  <c r="F4377" i="2"/>
  <c r="F4378" i="2"/>
  <c r="F4382" i="2"/>
  <c r="F4383" i="2"/>
  <c r="F4384" i="2"/>
  <c r="F4385" i="2"/>
  <c r="F4391" i="2"/>
  <c r="F4394" i="2"/>
  <c r="F4400" i="2"/>
  <c r="F4407" i="2"/>
  <c r="F4408" i="2"/>
  <c r="F4409" i="2"/>
  <c r="F4410" i="2"/>
  <c r="F4416" i="2"/>
  <c r="F4422" i="2"/>
  <c r="F4424" i="2"/>
  <c r="F4425" i="2"/>
  <c r="F4426" i="2"/>
  <c r="F4430" i="2"/>
  <c r="F4431" i="2"/>
  <c r="F4432" i="2"/>
  <c r="F4433" i="2"/>
  <c r="F4434" i="2"/>
  <c r="F4439" i="2"/>
  <c r="F4440" i="2"/>
  <c r="F4447" i="2"/>
  <c r="F4450" i="2"/>
  <c r="F4451" i="2"/>
  <c r="F4456" i="2"/>
  <c r="F4457" i="2"/>
  <c r="F4458" i="2"/>
  <c r="F4462" i="2"/>
  <c r="F4463" i="2"/>
  <c r="F4466" i="2"/>
  <c r="F4470" i="2"/>
  <c r="F4472" i="2"/>
  <c r="F4480" i="2"/>
  <c r="F4486" i="2"/>
  <c r="F4487" i="2"/>
  <c r="F4489" i="2"/>
  <c r="F4495" i="2"/>
  <c r="F4496" i="2"/>
  <c r="F4498" i="2"/>
  <c r="F4502" i="2"/>
  <c r="F4503" i="2"/>
  <c r="F4512" i="2"/>
  <c r="F4518" i="2"/>
  <c r="F4519" i="2"/>
  <c r="F4520" i="2"/>
  <c r="F4521" i="2"/>
  <c r="F4522" i="2"/>
  <c r="F4529" i="2"/>
  <c r="F4534" i="2"/>
  <c r="F4536" i="2"/>
  <c r="F4537" i="2"/>
  <c r="F4538" i="2"/>
  <c r="F4544" i="2"/>
  <c r="J2" i="2"/>
  <c r="B13" i="2"/>
  <c r="C13" i="2" s="1"/>
  <c r="B12" i="2"/>
  <c r="C12" i="2" s="1"/>
  <c r="B11" i="2"/>
  <c r="D11" i="2" s="1"/>
  <c r="B10" i="2"/>
  <c r="D10" i="2" s="1"/>
  <c r="B9" i="2"/>
  <c r="C9" i="2" s="1"/>
  <c r="B8" i="2"/>
  <c r="D8" i="2" s="1"/>
  <c r="B7" i="2"/>
  <c r="D7" i="2" s="1"/>
  <c r="B6" i="2"/>
  <c r="C6" i="2" s="1"/>
  <c r="B5" i="2"/>
  <c r="C5" i="2" s="1"/>
  <c r="B4" i="2"/>
  <c r="C4" i="2" s="1"/>
  <c r="B3" i="2"/>
  <c r="D3" i="2" s="1"/>
  <c r="B2" i="2"/>
  <c r="I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D690" i="1" s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D1402" i="1" s="1"/>
  <c r="B1403" i="1"/>
  <c r="B1404" i="1"/>
  <c r="B1405" i="1"/>
  <c r="B1406" i="1"/>
  <c r="B1407" i="1"/>
  <c r="B1408" i="1"/>
  <c r="B1409" i="1"/>
  <c r="B1410" i="1"/>
  <c r="D1410" i="1" s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D1434" i="1" s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D1466" i="1" s="1"/>
  <c r="B1467" i="1"/>
  <c r="B1468" i="1"/>
  <c r="B1469" i="1"/>
  <c r="B1470" i="1"/>
  <c r="B1471" i="1"/>
  <c r="B1472" i="1"/>
  <c r="B1473" i="1"/>
  <c r="B1474" i="1"/>
  <c r="D1474" i="1" s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D1498" i="1" s="1"/>
  <c r="B1499" i="1"/>
  <c r="B1500" i="1"/>
  <c r="B1501" i="1"/>
  <c r="B1502" i="1"/>
  <c r="B1503" i="1"/>
  <c r="B1504" i="1"/>
  <c r="B1505" i="1"/>
  <c r="B1506" i="1"/>
  <c r="D1506" i="1" s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D1530" i="1" s="1"/>
  <c r="B1531" i="1"/>
  <c r="B1532" i="1"/>
  <c r="B1533" i="1"/>
  <c r="B1534" i="1"/>
  <c r="B1535" i="1"/>
  <c r="B1536" i="1"/>
  <c r="B1537" i="1"/>
  <c r="B1538" i="1"/>
  <c r="D1538" i="1" s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D1562" i="1" s="1"/>
  <c r="B1563" i="1"/>
  <c r="B1564" i="1"/>
  <c r="B1565" i="1"/>
  <c r="B1566" i="1"/>
  <c r="B1567" i="1"/>
  <c r="B1568" i="1"/>
  <c r="B1569" i="1"/>
  <c r="B1570" i="1"/>
  <c r="D1570" i="1" s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D1626" i="1" s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D1658" i="1" s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D1690" i="1" s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D1754" i="1" s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D1786" i="1" s="1"/>
  <c r="B1787" i="1"/>
  <c r="B1788" i="1"/>
  <c r="B1789" i="1"/>
  <c r="B1790" i="1"/>
  <c r="B1791" i="1"/>
  <c r="B1792" i="1"/>
  <c r="B1793" i="1"/>
  <c r="B1794" i="1"/>
  <c r="D1794" i="1" s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D1818" i="1" s="1"/>
  <c r="B1819" i="1"/>
  <c r="B1820" i="1"/>
  <c r="B1821" i="1"/>
  <c r="B1822" i="1"/>
  <c r="B1823" i="1"/>
  <c r="B1824" i="1"/>
  <c r="B1825" i="1"/>
  <c r="B1826" i="1"/>
  <c r="D1826" i="1" s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D1850" i="1" s="1"/>
  <c r="B1851" i="1"/>
  <c r="B1852" i="1"/>
  <c r="B1853" i="1"/>
  <c r="B1854" i="1"/>
  <c r="B1855" i="1"/>
  <c r="B1856" i="1"/>
  <c r="B1857" i="1"/>
  <c r="B1858" i="1"/>
  <c r="D1858" i="1" s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D1882" i="1" s="1"/>
  <c r="B1883" i="1"/>
  <c r="B1884" i="1"/>
  <c r="B1885" i="1"/>
  <c r="B1886" i="1"/>
  <c r="B1887" i="1"/>
  <c r="B1888" i="1"/>
  <c r="B1889" i="1"/>
  <c r="B1890" i="1"/>
  <c r="D1890" i="1" s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D1914" i="1" s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D1946" i="1" s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D1978" i="1" s="1"/>
  <c r="B1979" i="1"/>
  <c r="B1980" i="1"/>
  <c r="B1981" i="1"/>
  <c r="B1982" i="1"/>
  <c r="B1983" i="1"/>
  <c r="B1984" i="1"/>
  <c r="B1985" i="1"/>
  <c r="B1986" i="1"/>
  <c r="D1986" i="1" s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D2010" i="1" s="1"/>
  <c r="B2011" i="1"/>
  <c r="B2012" i="1"/>
  <c r="B2013" i="1"/>
  <c r="B2014" i="1"/>
  <c r="B2015" i="1"/>
  <c r="B2016" i="1"/>
  <c r="B2017" i="1"/>
  <c r="B2018" i="1"/>
  <c r="D2018" i="1" s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D2042" i="1" s="1"/>
  <c r="B2043" i="1"/>
  <c r="B2044" i="1"/>
  <c r="B2045" i="1"/>
  <c r="B2046" i="1"/>
  <c r="B2047" i="1"/>
  <c r="B2048" i="1"/>
  <c r="B2049" i="1"/>
  <c r="B2050" i="1"/>
  <c r="D2050" i="1" s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D2754" i="1" s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D2778" i="1" s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D2954" i="1" s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E3708" i="1" s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E4164" i="1" s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D16" i="1"/>
  <c r="D18" i="1"/>
  <c r="D22" i="1"/>
  <c r="D23" i="1"/>
  <c r="D30" i="1"/>
  <c r="D33" i="1"/>
  <c r="D38" i="1"/>
  <c r="D40" i="1"/>
  <c r="D47" i="1"/>
  <c r="D48" i="1"/>
  <c r="D56" i="1"/>
  <c r="D57" i="1"/>
  <c r="D61" i="1"/>
  <c r="D62" i="1"/>
  <c r="D64" i="1"/>
  <c r="D71" i="1"/>
  <c r="D72" i="1"/>
  <c r="D73" i="1"/>
  <c r="D78" i="1"/>
  <c r="D80" i="1"/>
  <c r="D85" i="1"/>
  <c r="D86" i="1"/>
  <c r="D88" i="1"/>
  <c r="D89" i="1"/>
  <c r="D93" i="1"/>
  <c r="D94" i="1"/>
  <c r="D95" i="1"/>
  <c r="D96" i="1"/>
  <c r="D97" i="1"/>
  <c r="D101" i="1"/>
  <c r="D103" i="1"/>
  <c r="D104" i="1"/>
  <c r="D105" i="1"/>
  <c r="D111" i="1"/>
  <c r="D112" i="1"/>
  <c r="D117" i="1"/>
  <c r="D119" i="1"/>
  <c r="D121" i="1"/>
  <c r="D125" i="1"/>
  <c r="D126" i="1"/>
  <c r="D133" i="1"/>
  <c r="D137" i="1"/>
  <c r="D142" i="1"/>
  <c r="D143" i="1"/>
  <c r="D145" i="1"/>
  <c r="D149" i="1"/>
  <c r="D150" i="1"/>
  <c r="D151" i="1"/>
  <c r="D153" i="1"/>
  <c r="D157" i="1"/>
  <c r="D158" i="1"/>
  <c r="D159" i="1"/>
  <c r="D165" i="1"/>
  <c r="D169" i="1"/>
  <c r="D173" i="1"/>
  <c r="D181" i="1"/>
  <c r="D183" i="1"/>
  <c r="D184" i="1"/>
  <c r="D191" i="1"/>
  <c r="D192" i="1"/>
  <c r="D197" i="1"/>
  <c r="D199" i="1"/>
  <c r="D206" i="1"/>
  <c r="D207" i="1"/>
  <c r="D208" i="1"/>
  <c r="D214" i="1"/>
  <c r="D215" i="1"/>
  <c r="D216" i="1"/>
  <c r="D217" i="1"/>
  <c r="D221" i="1"/>
  <c r="D222" i="1"/>
  <c r="D223" i="1"/>
  <c r="D229" i="1"/>
  <c r="D231" i="1"/>
  <c r="D233" i="1"/>
  <c r="D239" i="1"/>
  <c r="D240" i="1"/>
  <c r="D246" i="1"/>
  <c r="D248" i="1"/>
  <c r="D255" i="1"/>
  <c r="D257" i="1"/>
  <c r="D262" i="1"/>
  <c r="D265" i="1"/>
  <c r="D269" i="1"/>
  <c r="D270" i="1"/>
  <c r="D273" i="1"/>
  <c r="D277" i="1"/>
  <c r="D280" i="1"/>
  <c r="D288" i="1"/>
  <c r="D293" i="1"/>
  <c r="D301" i="1"/>
  <c r="D302" i="1"/>
  <c r="D304" i="1"/>
  <c r="D305" i="1"/>
  <c r="D309" i="1"/>
  <c r="D310" i="1"/>
  <c r="D311" i="1"/>
  <c r="D313" i="1"/>
  <c r="D317" i="1"/>
  <c r="D325" i="1"/>
  <c r="D326" i="1"/>
  <c r="D327" i="1"/>
  <c r="D329" i="1"/>
  <c r="D333" i="1"/>
  <c r="D335" i="1"/>
  <c r="D336" i="1"/>
  <c r="D341" i="1"/>
  <c r="D343" i="1"/>
  <c r="D344" i="1"/>
  <c r="D345" i="1"/>
  <c r="D350" i="1"/>
  <c r="D351" i="1"/>
  <c r="D357" i="1"/>
  <c r="D358" i="1"/>
  <c r="D359" i="1"/>
  <c r="D361" i="1"/>
  <c r="D365" i="1"/>
  <c r="D366" i="1"/>
  <c r="D367" i="1"/>
  <c r="D373" i="1"/>
  <c r="D375" i="1"/>
  <c r="D376" i="1"/>
  <c r="D382" i="1"/>
  <c r="D383" i="1"/>
  <c r="D384" i="1"/>
  <c r="D389" i="1"/>
  <c r="D390" i="1"/>
  <c r="D391" i="1"/>
  <c r="D392" i="1"/>
  <c r="D393" i="1"/>
  <c r="D413" i="1"/>
  <c r="D414" i="1"/>
  <c r="D415" i="1"/>
  <c r="D423" i="1"/>
  <c r="D429" i="1"/>
  <c r="D433" i="1"/>
  <c r="D439" i="1"/>
  <c r="D440" i="1"/>
  <c r="D447" i="1"/>
  <c r="D449" i="1"/>
  <c r="D455" i="1"/>
  <c r="D462" i="1"/>
  <c r="D463" i="1"/>
  <c r="D469" i="1"/>
  <c r="D471" i="1"/>
  <c r="D472" i="1"/>
  <c r="D473" i="1"/>
  <c r="D479" i="1"/>
  <c r="D480" i="1"/>
  <c r="D485" i="1"/>
  <c r="D486" i="1"/>
  <c r="D487" i="1"/>
  <c r="D495" i="1"/>
  <c r="D496" i="1"/>
  <c r="D501" i="1"/>
  <c r="D502" i="1"/>
  <c r="D503" i="1"/>
  <c r="D505" i="1"/>
  <c r="D509" i="1"/>
  <c r="D510" i="1"/>
  <c r="D513" i="1"/>
  <c r="D518" i="1"/>
  <c r="D519" i="1"/>
  <c r="D520" i="1"/>
  <c r="D521" i="1"/>
  <c r="D526" i="1"/>
  <c r="D527" i="1"/>
  <c r="D528" i="1"/>
  <c r="D534" i="1"/>
  <c r="D536" i="1"/>
  <c r="D544" i="1"/>
  <c r="D549" i="1"/>
  <c r="D550" i="1"/>
  <c r="D553" i="1"/>
  <c r="D557" i="1"/>
  <c r="D560" i="1"/>
  <c r="D561" i="1"/>
  <c r="D566" i="1"/>
  <c r="D567" i="1"/>
  <c r="D569" i="1"/>
  <c r="D573" i="1"/>
  <c r="D574" i="1"/>
  <c r="D576" i="1"/>
  <c r="D577" i="1"/>
  <c r="D582" i="1"/>
  <c r="D589" i="1"/>
  <c r="D590" i="1"/>
  <c r="D599" i="1"/>
  <c r="D600" i="1"/>
  <c r="D601" i="1"/>
  <c r="D608" i="1"/>
  <c r="D614" i="1"/>
  <c r="D625" i="1"/>
  <c r="D629" i="1"/>
  <c r="D630" i="1"/>
  <c r="D640" i="1"/>
  <c r="D641" i="1"/>
  <c r="D647" i="1"/>
  <c r="D653" i="1"/>
  <c r="D654" i="1"/>
  <c r="D655" i="1"/>
  <c r="D657" i="1"/>
  <c r="D661" i="1"/>
  <c r="D663" i="1"/>
  <c r="D669" i="1"/>
  <c r="D670" i="1"/>
  <c r="D671" i="1"/>
  <c r="D672" i="1"/>
  <c r="D678" i="1"/>
  <c r="D680" i="1"/>
  <c r="D681" i="1"/>
  <c r="D685" i="1"/>
  <c r="D688" i="1"/>
  <c r="D694" i="1"/>
  <c r="D695" i="1"/>
  <c r="D697" i="1"/>
  <c r="D701" i="1"/>
  <c r="D705" i="1"/>
  <c r="D709" i="1"/>
  <c r="D710" i="1"/>
  <c r="D711" i="1"/>
  <c r="D713" i="1"/>
  <c r="D717" i="1"/>
  <c r="D718" i="1"/>
  <c r="D720" i="1"/>
  <c r="D726" i="1"/>
  <c r="D727" i="1"/>
  <c r="D728" i="1"/>
  <c r="D729" i="1"/>
  <c r="D733" i="1"/>
  <c r="D736" i="1"/>
  <c r="D737" i="1"/>
  <c r="D742" i="1"/>
  <c r="D744" i="1"/>
  <c r="D745" i="1"/>
  <c r="D750" i="1"/>
  <c r="D751" i="1"/>
  <c r="D752" i="1"/>
  <c r="D765" i="1"/>
  <c r="D766" i="1"/>
  <c r="D769" i="1"/>
  <c r="D774" i="1"/>
  <c r="D775" i="1"/>
  <c r="D783" i="1"/>
  <c r="D789" i="1"/>
  <c r="D790" i="1"/>
  <c r="D798" i="1"/>
  <c r="D801" i="1"/>
  <c r="D805" i="1"/>
  <c r="D806" i="1"/>
  <c r="D807" i="1"/>
  <c r="D809" i="1"/>
  <c r="D814" i="1"/>
  <c r="D816" i="1"/>
  <c r="D821" i="1"/>
  <c r="D822" i="1"/>
  <c r="D824" i="1"/>
  <c r="D825" i="1"/>
  <c r="D831" i="1"/>
  <c r="D833" i="1"/>
  <c r="D837" i="1"/>
  <c r="D841" i="1"/>
  <c r="D849" i="1"/>
  <c r="D853" i="1"/>
  <c r="D855" i="1"/>
  <c r="D861" i="1"/>
  <c r="D862" i="1"/>
  <c r="D870" i="1"/>
  <c r="D872" i="1"/>
  <c r="D877" i="1"/>
  <c r="D879" i="1"/>
  <c r="D880" i="1"/>
  <c r="D886" i="1"/>
  <c r="D893" i="1"/>
  <c r="D897" i="1"/>
  <c r="D902" i="1"/>
  <c r="D905" i="1"/>
  <c r="D912" i="1"/>
  <c r="D919" i="1"/>
  <c r="D921" i="1"/>
  <c r="D925" i="1"/>
  <c r="D926" i="1"/>
  <c r="D929" i="1"/>
  <c r="D933" i="1"/>
  <c r="D934" i="1"/>
  <c r="D935" i="1"/>
  <c r="D944" i="1"/>
  <c r="D945" i="1"/>
  <c r="D949" i="1"/>
  <c r="D952" i="1"/>
  <c r="D953" i="1"/>
  <c r="D959" i="1"/>
  <c r="D960" i="1"/>
  <c r="D961" i="1"/>
  <c r="D966" i="1"/>
  <c r="D967" i="1"/>
  <c r="D969" i="1"/>
  <c r="D974" i="1"/>
  <c r="D983" i="1"/>
  <c r="D984" i="1"/>
  <c r="D989" i="1"/>
  <c r="D990" i="1"/>
  <c r="D991" i="1"/>
  <c r="D997" i="1"/>
  <c r="D999" i="1"/>
  <c r="D1005" i="1"/>
  <c r="D1007" i="1"/>
  <c r="D1008" i="1"/>
  <c r="D1013" i="1"/>
  <c r="D1015" i="1"/>
  <c r="D1021" i="1"/>
  <c r="D1023" i="1"/>
  <c r="D1025" i="1"/>
  <c r="D1031" i="1"/>
  <c r="D1032" i="1"/>
  <c r="D1033" i="1"/>
  <c r="D1037" i="1"/>
  <c r="D1039" i="1"/>
  <c r="D1041" i="1"/>
  <c r="D1048" i="1"/>
  <c r="D1053" i="1"/>
  <c r="D1054" i="1"/>
  <c r="D1055" i="1"/>
  <c r="D1057" i="1"/>
  <c r="D1061" i="1"/>
  <c r="D1062" i="1"/>
  <c r="D1063" i="1"/>
  <c r="D1065" i="1"/>
  <c r="D1072" i="1"/>
  <c r="D1073" i="1"/>
  <c r="D1077" i="1"/>
  <c r="D1078" i="1"/>
  <c r="D1079" i="1"/>
  <c r="D1080" i="1"/>
  <c r="D1096" i="1"/>
  <c r="D1102" i="1"/>
  <c r="D1104" i="1"/>
  <c r="D1112" i="1"/>
  <c r="D1118" i="1"/>
  <c r="D1119" i="1"/>
  <c r="D1125" i="1"/>
  <c r="D1128" i="1"/>
  <c r="D1129" i="1"/>
  <c r="D1134" i="1"/>
  <c r="D1137" i="1"/>
  <c r="D1145" i="1"/>
  <c r="D1149" i="1"/>
  <c r="D1151" i="1"/>
  <c r="D1153" i="1"/>
  <c r="D1158" i="1"/>
  <c r="D1159" i="1"/>
  <c r="D1160" i="1"/>
  <c r="D1167" i="1"/>
  <c r="D1169" i="1"/>
  <c r="D1174" i="1"/>
  <c r="D1175" i="1"/>
  <c r="D1177" i="1"/>
  <c r="D1181" i="1"/>
  <c r="D1182" i="1"/>
  <c r="D1185" i="1"/>
  <c r="D1191" i="1"/>
  <c r="D1192" i="1"/>
  <c r="D1197" i="1"/>
  <c r="D1198" i="1"/>
  <c r="D1200" i="1"/>
  <c r="D1207" i="1"/>
  <c r="D1209" i="1"/>
  <c r="D1215" i="1"/>
  <c r="D1222" i="1"/>
  <c r="D1223" i="1"/>
  <c r="D1224" i="1"/>
  <c r="D1225" i="1"/>
  <c r="D1231" i="1"/>
  <c r="D1232" i="1"/>
  <c r="D1238" i="1"/>
  <c r="D1245" i="1"/>
  <c r="D1246" i="1"/>
  <c r="D1247" i="1"/>
  <c r="D1249" i="1"/>
  <c r="D1253" i="1"/>
  <c r="D1255" i="1"/>
  <c r="D1257" i="1"/>
  <c r="D1262" i="1"/>
  <c r="D1265" i="1"/>
  <c r="D1269" i="1"/>
  <c r="D1273" i="1"/>
  <c r="D1279" i="1"/>
  <c r="D1281" i="1"/>
  <c r="D1286" i="1"/>
  <c r="D1294" i="1"/>
  <c r="D1296" i="1"/>
  <c r="D1302" i="1"/>
  <c r="D1304" i="1"/>
  <c r="D1310" i="1"/>
  <c r="D1311" i="1"/>
  <c r="D1312" i="1"/>
  <c r="D1313" i="1"/>
  <c r="D1317" i="1"/>
  <c r="D1318" i="1"/>
  <c r="D1320" i="1"/>
  <c r="D1325" i="1"/>
  <c r="D1334" i="1"/>
  <c r="D1337" i="1"/>
  <c r="D1341" i="1"/>
  <c r="D1342" i="1"/>
  <c r="D1344" i="1"/>
  <c r="D1351" i="1"/>
  <c r="D1352" i="1"/>
  <c r="D1358" i="1"/>
  <c r="D1359" i="1"/>
  <c r="D1360" i="1"/>
  <c r="D1365" i="1"/>
  <c r="D1368" i="1"/>
  <c r="D1369" i="1"/>
  <c r="D1374" i="1"/>
  <c r="D1376" i="1"/>
  <c r="D1377" i="1"/>
  <c r="D1383" i="1"/>
  <c r="D1384" i="1"/>
  <c r="D1390" i="1"/>
  <c r="D1392" i="1"/>
  <c r="D1393" i="1"/>
  <c r="D1405" i="1"/>
  <c r="D1406" i="1"/>
  <c r="D1407" i="1"/>
  <c r="D1408" i="1"/>
  <c r="D1413" i="1"/>
  <c r="D1417" i="1"/>
  <c r="D1421" i="1"/>
  <c r="D1422" i="1"/>
  <c r="D1423" i="1"/>
  <c r="D1429" i="1"/>
  <c r="D1430" i="1"/>
  <c r="D1431" i="1"/>
  <c r="D1432" i="1"/>
  <c r="D1433" i="1"/>
  <c r="D1437" i="1"/>
  <c r="D1439" i="1"/>
  <c r="D1440" i="1"/>
  <c r="D1445" i="1"/>
  <c r="D1446" i="1"/>
  <c r="D1449" i="1"/>
  <c r="D1457" i="1"/>
  <c r="D1461" i="1"/>
  <c r="D1462" i="1"/>
  <c r="D1463" i="1"/>
  <c r="D1464" i="1"/>
  <c r="D1465" i="1"/>
  <c r="D1478" i="1"/>
  <c r="D1480" i="1"/>
  <c r="D1487" i="1"/>
  <c r="D1493" i="1"/>
  <c r="D1494" i="1"/>
  <c r="D1496" i="1"/>
  <c r="D1497" i="1"/>
  <c r="D1503" i="1"/>
  <c r="D1504" i="1"/>
  <c r="D1505" i="1"/>
  <c r="D1509" i="1"/>
  <c r="D1511" i="1"/>
  <c r="D1518" i="1"/>
  <c r="D1520" i="1"/>
  <c r="D1521" i="1"/>
  <c r="D1526" i="1"/>
  <c r="D1527" i="1"/>
  <c r="D1528" i="1"/>
  <c r="D1529" i="1"/>
  <c r="D1533" i="1"/>
  <c r="D1534" i="1"/>
  <c r="D1537" i="1"/>
  <c r="D1541" i="1"/>
  <c r="D1542" i="1"/>
  <c r="D1551" i="1"/>
  <c r="D1557" i="1"/>
  <c r="D1558" i="1"/>
  <c r="D1560" i="1"/>
  <c r="D1561" i="1"/>
  <c r="D1566" i="1"/>
  <c r="D1567" i="1"/>
  <c r="D1574" i="1"/>
  <c r="D1576" i="1"/>
  <c r="D1582" i="1"/>
  <c r="D1584" i="1"/>
  <c r="D1585" i="1"/>
  <c r="D1589" i="1"/>
  <c r="D1591" i="1"/>
  <c r="D1592" i="1"/>
  <c r="D1597" i="1"/>
  <c r="D1599" i="1"/>
  <c r="D1601" i="1"/>
  <c r="D1607" i="1"/>
  <c r="D1614" i="1"/>
  <c r="D1615" i="1"/>
  <c r="D1616" i="1"/>
  <c r="D1617" i="1"/>
  <c r="D1622" i="1"/>
  <c r="D1623" i="1"/>
  <c r="D1624" i="1"/>
  <c r="D1629" i="1"/>
  <c r="D1630" i="1"/>
  <c r="D1633" i="1"/>
  <c r="D1639" i="1"/>
  <c r="D1640" i="1"/>
  <c r="D1646" i="1"/>
  <c r="D1647" i="1"/>
  <c r="D1654" i="1"/>
  <c r="D1656" i="1"/>
  <c r="D1657" i="1"/>
  <c r="D1661" i="1"/>
  <c r="D1663" i="1"/>
  <c r="D1664" i="1"/>
  <c r="D1672" i="1"/>
  <c r="D1673" i="1"/>
  <c r="D1677" i="1"/>
  <c r="D1679" i="1"/>
  <c r="D1680" i="1"/>
  <c r="D1681" i="1"/>
  <c r="D1685" i="1"/>
  <c r="D1689" i="1"/>
  <c r="D1701" i="1"/>
  <c r="D1702" i="1"/>
  <c r="D1703" i="1"/>
  <c r="D1709" i="1"/>
  <c r="D1713" i="1"/>
  <c r="D1717" i="1"/>
  <c r="D1718" i="1"/>
  <c r="D1720" i="1"/>
  <c r="D1721" i="1"/>
  <c r="D1725" i="1"/>
  <c r="D1733" i="1"/>
  <c r="D1734" i="1"/>
  <c r="D1736" i="1"/>
  <c r="D1737" i="1"/>
  <c r="D1741" i="1"/>
  <c r="D1745" i="1"/>
  <c r="D1749" i="1"/>
  <c r="D1750" i="1"/>
  <c r="D1751" i="1"/>
  <c r="D1753" i="1"/>
  <c r="D1759" i="1"/>
  <c r="D1760" i="1"/>
  <c r="D1761" i="1"/>
  <c r="D1766" i="1"/>
  <c r="D1768" i="1"/>
  <c r="D1769" i="1"/>
  <c r="D1774" i="1"/>
  <c r="D1775" i="1"/>
  <c r="D1777" i="1"/>
  <c r="D1782" i="1"/>
  <c r="D1783" i="1"/>
  <c r="D1797" i="1"/>
  <c r="D1798" i="1"/>
  <c r="D1813" i="1"/>
  <c r="D1814" i="1"/>
  <c r="D1822" i="1"/>
  <c r="D1823" i="1"/>
  <c r="D1831" i="1"/>
  <c r="D1832" i="1"/>
  <c r="D1837" i="1"/>
  <c r="D1839" i="1"/>
  <c r="D1840" i="1"/>
  <c r="D1853" i="1"/>
  <c r="D1854" i="1"/>
  <c r="D1857" i="1"/>
  <c r="D1861" i="1"/>
  <c r="D1862" i="1"/>
  <c r="D1863" i="1"/>
  <c r="D1865" i="1"/>
  <c r="D1869" i="1"/>
  <c r="D1877" i="1"/>
  <c r="D1878" i="1"/>
  <c r="D1879" i="1"/>
  <c r="D1887" i="1"/>
  <c r="D1888" i="1"/>
  <c r="D1893" i="1"/>
  <c r="D1894" i="1"/>
  <c r="D1895" i="1"/>
  <c r="D1897" i="1"/>
  <c r="D1904" i="1"/>
  <c r="D1905" i="1"/>
  <c r="D1917" i="1"/>
  <c r="D1921" i="1"/>
  <c r="D1925" i="1"/>
  <c r="D1928" i="1"/>
  <c r="D1929" i="1"/>
  <c r="D1933" i="1"/>
  <c r="D1934" i="1"/>
  <c r="D1941" i="1"/>
  <c r="D1942" i="1"/>
  <c r="D1943" i="1"/>
  <c r="D1951" i="1"/>
  <c r="D1953" i="1"/>
  <c r="D1957" i="1"/>
  <c r="D1958" i="1"/>
  <c r="D1961" i="1"/>
  <c r="D1965" i="1"/>
  <c r="D1966" i="1"/>
  <c r="D1967" i="1"/>
  <c r="D1968" i="1"/>
  <c r="D1973" i="1"/>
  <c r="D1974" i="1"/>
  <c r="D1976" i="1"/>
  <c r="D1977" i="1"/>
  <c r="D1981" i="1"/>
  <c r="D1982" i="1"/>
  <c r="D1983" i="1"/>
  <c r="D1985" i="1"/>
  <c r="D1990" i="1"/>
  <c r="D1991" i="1"/>
  <c r="D1992" i="1"/>
  <c r="D1993" i="1"/>
  <c r="D1997" i="1"/>
  <c r="D2000" i="1"/>
  <c r="D2005" i="1"/>
  <c r="D2007" i="1"/>
  <c r="D2013" i="1"/>
  <c r="D2015" i="1"/>
  <c r="D2023" i="1"/>
  <c r="D2024" i="1"/>
  <c r="D2025" i="1"/>
  <c r="D2031" i="1"/>
  <c r="D2032" i="1"/>
  <c r="D2033" i="1"/>
  <c r="D2038" i="1"/>
  <c r="D2041" i="1"/>
  <c r="D2045" i="1"/>
  <c r="D2047" i="1"/>
  <c r="D2053" i="1"/>
  <c r="D2054" i="1"/>
  <c r="D2055" i="1"/>
  <c r="D2064" i="1"/>
  <c r="D2065" i="1"/>
  <c r="D2069" i="1"/>
  <c r="D2071" i="1"/>
  <c r="D2072" i="1"/>
  <c r="D2073" i="1"/>
  <c r="D2080" i="1"/>
  <c r="D2081" i="1"/>
  <c r="D2086" i="1"/>
  <c r="D2087" i="1"/>
  <c r="D2089" i="1"/>
  <c r="D2094" i="1"/>
  <c r="D2096" i="1"/>
  <c r="D2101" i="1"/>
  <c r="D2105" i="1"/>
  <c r="D2110" i="1"/>
  <c r="D2118" i="1"/>
  <c r="D2126" i="1"/>
  <c r="D2133" i="1"/>
  <c r="D2134" i="1"/>
  <c r="D2137" i="1"/>
  <c r="D2142" i="1"/>
  <c r="D2143" i="1"/>
  <c r="D2144" i="1"/>
  <c r="D2145" i="1"/>
  <c r="D2149" i="1"/>
  <c r="D2150" i="1"/>
  <c r="D2152" i="1"/>
  <c r="D2158" i="1"/>
  <c r="D2160" i="1"/>
  <c r="D2161" i="1"/>
  <c r="D2165" i="1"/>
  <c r="D2168" i="1"/>
  <c r="D2169" i="1"/>
  <c r="D2173" i="1"/>
  <c r="D2174" i="1"/>
  <c r="D2182" i="1"/>
  <c r="D2189" i="1"/>
  <c r="D2191" i="1"/>
  <c r="D2192" i="1"/>
  <c r="D2193" i="1"/>
  <c r="D2199" i="1"/>
  <c r="D2205" i="1"/>
  <c r="D2206" i="1"/>
  <c r="D2208" i="1"/>
  <c r="D2213" i="1"/>
  <c r="D2215" i="1"/>
  <c r="D2216" i="1"/>
  <c r="D2221" i="1"/>
  <c r="D2223" i="1"/>
  <c r="D2224" i="1"/>
  <c r="D2229" i="1"/>
  <c r="D2230" i="1"/>
  <c r="D2231" i="1"/>
  <c r="D2239" i="1"/>
  <c r="D2241" i="1"/>
  <c r="D2245" i="1"/>
  <c r="D2246" i="1"/>
  <c r="D2247" i="1"/>
  <c r="D2249" i="1"/>
  <c r="D2253" i="1"/>
  <c r="D2254" i="1"/>
  <c r="D2257" i="1"/>
  <c r="D2261" i="1"/>
  <c r="D2262" i="1"/>
  <c r="D2263" i="1"/>
  <c r="D2269" i="1"/>
  <c r="D2270" i="1"/>
  <c r="D2271" i="1"/>
  <c r="D2278" i="1"/>
  <c r="D2281" i="1"/>
  <c r="D2285" i="1"/>
  <c r="D2289" i="1"/>
  <c r="D2296" i="1"/>
  <c r="D2297" i="1"/>
  <c r="D2301" i="1"/>
  <c r="D2302" i="1"/>
  <c r="D2304" i="1"/>
  <c r="D2309" i="1"/>
  <c r="D2311" i="1"/>
  <c r="D2312" i="1"/>
  <c r="D2318" i="1"/>
  <c r="D2319" i="1"/>
  <c r="D2320" i="1"/>
  <c r="D2325" i="1"/>
  <c r="D2326" i="1"/>
  <c r="D2328" i="1"/>
  <c r="D2333" i="1"/>
  <c r="D2336" i="1"/>
  <c r="D2341" i="1"/>
  <c r="D2342" i="1"/>
  <c r="D2344" i="1"/>
  <c r="D2345" i="1"/>
  <c r="D2349" i="1"/>
  <c r="D2350" i="1"/>
  <c r="D2352" i="1"/>
  <c r="D2353" i="1"/>
  <c r="D2357" i="1"/>
  <c r="D2358" i="1"/>
  <c r="D2361" i="1"/>
  <c r="D2365" i="1"/>
  <c r="D2368" i="1"/>
  <c r="D2369" i="1"/>
  <c r="D2373" i="1"/>
  <c r="D2374" i="1"/>
  <c r="D2375" i="1"/>
  <c r="D2376" i="1"/>
  <c r="D2377" i="1"/>
  <c r="D2381" i="1"/>
  <c r="D2384" i="1"/>
  <c r="D2389" i="1"/>
  <c r="D2390" i="1"/>
  <c r="D2391" i="1"/>
  <c r="D2393" i="1"/>
  <c r="D2398" i="1"/>
  <c r="D2399" i="1"/>
  <c r="D2401" i="1"/>
  <c r="D2405" i="1"/>
  <c r="D2406" i="1"/>
  <c r="D2407" i="1"/>
  <c r="D2408" i="1"/>
  <c r="D2414" i="1"/>
  <c r="D2415" i="1"/>
  <c r="D2416" i="1"/>
  <c r="D2417" i="1"/>
  <c r="D2422" i="1"/>
  <c r="D2424" i="1"/>
  <c r="D2430" i="1"/>
  <c r="D2431" i="1"/>
  <c r="D2432" i="1"/>
  <c r="D2433" i="1"/>
  <c r="D2437" i="1"/>
  <c r="D2439" i="1"/>
  <c r="D2445" i="1"/>
  <c r="D2447" i="1"/>
  <c r="D2448" i="1"/>
  <c r="D2449" i="1"/>
  <c r="D2453" i="1"/>
  <c r="D2454" i="1"/>
  <c r="D2456" i="1"/>
  <c r="D2457" i="1"/>
  <c r="D2463" i="1"/>
  <c r="D2465" i="1"/>
  <c r="D2472" i="1"/>
  <c r="D2477" i="1"/>
  <c r="D2480" i="1"/>
  <c r="D2481" i="1"/>
  <c r="D2485" i="1"/>
  <c r="D2486" i="1"/>
  <c r="D2487" i="1"/>
  <c r="D2488" i="1"/>
  <c r="D2489" i="1"/>
  <c r="D2495" i="1"/>
  <c r="D2497" i="1"/>
  <c r="D2501" i="1"/>
  <c r="D2502" i="1"/>
  <c r="D2509" i="1"/>
  <c r="D2512" i="1"/>
  <c r="D2520" i="1"/>
  <c r="D2521" i="1"/>
  <c r="D2527" i="1"/>
  <c r="D2533" i="1"/>
  <c r="D2535" i="1"/>
  <c r="D2543" i="1"/>
  <c r="D2544" i="1"/>
  <c r="D2551" i="1"/>
  <c r="D2552" i="1"/>
  <c r="D2560" i="1"/>
  <c r="D2561" i="1"/>
  <c r="D2566" i="1"/>
  <c r="D2567" i="1"/>
  <c r="D2568" i="1"/>
  <c r="D2574" i="1"/>
  <c r="D2577" i="1"/>
  <c r="D2581" i="1"/>
  <c r="D2582" i="1"/>
  <c r="D2583" i="1"/>
  <c r="D2585" i="1"/>
  <c r="D2589" i="1"/>
  <c r="D2591" i="1"/>
  <c r="D2597" i="1"/>
  <c r="D2598" i="1"/>
  <c r="D2600" i="1"/>
  <c r="D2605" i="1"/>
  <c r="D2608" i="1"/>
  <c r="D2613" i="1"/>
  <c r="D2614" i="1"/>
  <c r="D2621" i="1"/>
  <c r="D2622" i="1"/>
  <c r="D2623" i="1"/>
  <c r="D2624" i="1"/>
  <c r="D2625" i="1"/>
  <c r="D2632" i="1"/>
  <c r="D2633" i="1"/>
  <c r="D2641" i="1"/>
  <c r="D2645" i="1"/>
  <c r="D2646" i="1"/>
  <c r="D2648" i="1"/>
  <c r="D2649" i="1"/>
  <c r="D2653" i="1"/>
  <c r="D2654" i="1"/>
  <c r="D2656" i="1"/>
  <c r="D2657" i="1"/>
  <c r="D2670" i="1"/>
  <c r="D2672" i="1"/>
  <c r="D2681" i="1"/>
  <c r="D2685" i="1"/>
  <c r="D2686" i="1"/>
  <c r="D2688" i="1"/>
  <c r="D2689" i="1"/>
  <c r="D2694" i="1"/>
  <c r="D2696" i="1"/>
  <c r="D2697" i="1"/>
  <c r="D2701" i="1"/>
  <c r="D2705" i="1"/>
  <c r="D2709" i="1"/>
  <c r="D2710" i="1"/>
  <c r="D2711" i="1"/>
  <c r="D2717" i="1"/>
  <c r="D2718" i="1"/>
  <c r="D2720" i="1"/>
  <c r="D2725" i="1"/>
  <c r="D2729" i="1"/>
  <c r="D2733" i="1"/>
  <c r="D2734" i="1"/>
  <c r="D2736" i="1"/>
  <c r="D2743" i="1"/>
  <c r="D2745" i="1"/>
  <c r="D2751" i="1"/>
  <c r="D2759" i="1"/>
  <c r="D2761" i="1"/>
  <c r="D2765" i="1"/>
  <c r="D2766" i="1"/>
  <c r="D2769" i="1"/>
  <c r="D2774" i="1"/>
  <c r="D2776" i="1"/>
  <c r="D2782" i="1"/>
  <c r="D2783" i="1"/>
  <c r="D2784" i="1"/>
  <c r="D2785" i="1"/>
  <c r="D2789" i="1"/>
  <c r="D2790" i="1"/>
  <c r="D2791" i="1"/>
  <c r="D2792" i="1"/>
  <c r="D2793" i="1"/>
  <c r="D2797" i="1"/>
  <c r="D2798" i="1"/>
  <c r="D2801" i="1"/>
  <c r="D2806" i="1"/>
  <c r="D2807" i="1"/>
  <c r="D2808" i="1"/>
  <c r="D2813" i="1"/>
  <c r="D2814" i="1"/>
  <c r="D2815" i="1"/>
  <c r="D2816" i="1"/>
  <c r="D2817" i="1"/>
  <c r="D2821" i="1"/>
  <c r="D2825" i="1"/>
  <c r="D2832" i="1"/>
  <c r="D2833" i="1"/>
  <c r="D2834" i="1"/>
  <c r="D2839" i="1"/>
  <c r="D2840" i="1"/>
  <c r="D2841" i="1"/>
  <c r="D2845" i="1"/>
  <c r="D2846" i="1"/>
  <c r="D2847" i="1"/>
  <c r="D2848" i="1"/>
  <c r="D2849" i="1"/>
  <c r="D2853" i="1"/>
  <c r="D2857" i="1"/>
  <c r="D2861" i="1"/>
  <c r="D2862" i="1"/>
  <c r="D2864" i="1"/>
  <c r="D2869" i="1"/>
  <c r="D2870" i="1"/>
  <c r="D2871" i="1"/>
  <c r="D2872" i="1"/>
  <c r="D2877" i="1"/>
  <c r="D2880" i="1"/>
  <c r="D2881" i="1"/>
  <c r="D2885" i="1"/>
  <c r="D2886" i="1"/>
  <c r="D2889" i="1"/>
  <c r="D2893" i="1"/>
  <c r="D2894" i="1"/>
  <c r="D2895" i="1"/>
  <c r="D2897" i="1"/>
  <c r="D2901" i="1"/>
  <c r="D2902" i="1"/>
  <c r="D2904" i="1"/>
  <c r="D2910" i="1"/>
  <c r="D2912" i="1"/>
  <c r="D2918" i="1"/>
  <c r="D2920" i="1"/>
  <c r="D2926" i="1"/>
  <c r="D2927" i="1"/>
  <c r="D2933" i="1"/>
  <c r="D2934" i="1"/>
  <c r="D2935" i="1"/>
  <c r="D2937" i="1"/>
  <c r="D2949" i="1"/>
  <c r="D2952" i="1"/>
  <c r="D2953" i="1"/>
  <c r="D2957" i="1"/>
  <c r="D2959" i="1"/>
  <c r="D2961" i="1"/>
  <c r="D2965" i="1"/>
  <c r="D2966" i="1"/>
  <c r="D2967" i="1"/>
  <c r="D2969" i="1"/>
  <c r="D2974" i="1"/>
  <c r="D2976" i="1"/>
  <c r="D2983" i="1"/>
  <c r="D2990" i="1"/>
  <c r="D2991" i="1"/>
  <c r="D2993" i="1"/>
  <c r="D2997" i="1"/>
  <c r="D2999" i="1"/>
  <c r="D3000" i="1"/>
  <c r="D3001" i="1"/>
  <c r="D3005" i="1"/>
  <c r="D3006" i="1"/>
  <c r="D3007" i="1"/>
  <c r="D3008" i="1"/>
  <c r="D3009" i="1"/>
  <c r="D3014" i="1"/>
  <c r="D3016" i="1"/>
  <c r="D3017" i="1"/>
  <c r="D3021" i="1"/>
  <c r="D3024" i="1"/>
  <c r="D3030" i="1"/>
  <c r="D3037" i="1"/>
  <c r="D3041" i="1"/>
  <c r="D3045" i="1"/>
  <c r="D3046" i="1"/>
  <c r="D3048" i="1"/>
  <c r="D3054" i="1"/>
  <c r="D3055" i="1"/>
  <c r="D3062" i="1"/>
  <c r="D3063" i="1"/>
  <c r="D3064" i="1"/>
  <c r="D3065" i="1"/>
  <c r="D3070" i="1"/>
  <c r="D3073" i="1"/>
  <c r="D3077" i="1"/>
  <c r="D3078" i="1"/>
  <c r="D3081" i="1"/>
  <c r="D3089" i="1"/>
  <c r="D3094" i="1"/>
  <c r="D3095" i="1"/>
  <c r="D3096" i="1"/>
  <c r="D3097" i="1"/>
  <c r="D3102" i="1"/>
  <c r="D3103" i="1"/>
  <c r="D3104" i="1"/>
  <c r="D3105" i="1"/>
  <c r="D3110" i="1"/>
  <c r="D3112" i="1"/>
  <c r="D3113" i="1"/>
  <c r="D3118" i="1"/>
  <c r="D3120" i="1"/>
  <c r="D3125" i="1"/>
  <c r="D3126" i="1"/>
  <c r="D3127" i="1"/>
  <c r="D3133" i="1"/>
  <c r="D3134" i="1"/>
  <c r="D3135" i="1"/>
  <c r="D3136" i="1"/>
  <c r="D3141" i="1"/>
  <c r="D3142" i="1"/>
  <c r="D3143" i="1"/>
  <c r="D3144" i="1"/>
  <c r="D3150" i="1"/>
  <c r="D3151" i="1"/>
  <c r="D3153" i="1"/>
  <c r="D3157" i="1"/>
  <c r="D3158" i="1"/>
  <c r="D3159" i="1"/>
  <c r="D3161" i="1"/>
  <c r="D3165" i="1"/>
  <c r="D3167" i="1"/>
  <c r="D3169" i="1"/>
  <c r="D3177" i="1"/>
  <c r="D3181" i="1"/>
  <c r="D3182" i="1"/>
  <c r="D3184" i="1"/>
  <c r="D3191" i="1"/>
  <c r="D3192" i="1"/>
  <c r="D3193" i="1"/>
  <c r="D3198" i="1"/>
  <c r="D3200" i="1"/>
  <c r="D3201" i="1"/>
  <c r="D3205" i="1"/>
  <c r="D3206" i="1"/>
  <c r="D3207" i="1"/>
  <c r="D3208" i="1"/>
  <c r="D3209" i="1"/>
  <c r="D3214" i="1"/>
  <c r="D3222" i="1"/>
  <c r="D3223" i="1"/>
  <c r="D3224" i="1"/>
  <c r="D3225" i="1"/>
  <c r="D3229" i="1"/>
  <c r="D3231" i="1"/>
  <c r="D3232" i="1"/>
  <c r="D3237" i="1"/>
  <c r="D3240" i="1"/>
  <c r="D3253" i="1"/>
  <c r="D3256" i="1"/>
  <c r="D3257" i="1"/>
  <c r="D3262" i="1"/>
  <c r="D3264" i="1"/>
  <c r="D3265" i="1"/>
  <c r="D3270" i="1"/>
  <c r="D3271" i="1"/>
  <c r="D3273" i="1"/>
  <c r="D3274" i="1"/>
  <c r="D3277" i="1"/>
  <c r="D3278" i="1"/>
  <c r="D3279" i="1"/>
  <c r="D3287" i="1"/>
  <c r="D3294" i="1"/>
  <c r="D3295" i="1"/>
  <c r="D3296" i="1"/>
  <c r="D3302" i="1"/>
  <c r="D3305" i="1"/>
  <c r="D3309" i="1"/>
  <c r="D3310" i="1"/>
  <c r="D3311" i="1"/>
  <c r="D3312" i="1"/>
  <c r="D3317" i="1"/>
  <c r="D3318" i="1"/>
  <c r="D3320" i="1"/>
  <c r="D3321" i="1"/>
  <c r="D3326" i="1"/>
  <c r="D3334" i="1"/>
  <c r="D3335" i="1"/>
  <c r="D3337" i="1"/>
  <c r="D3342" i="1"/>
  <c r="D3344" i="1"/>
  <c r="D3349" i="1"/>
  <c r="D3358" i="1"/>
  <c r="D3360" i="1"/>
  <c r="D3365" i="1"/>
  <c r="D3368" i="1"/>
  <c r="D3369" i="1"/>
  <c r="D3373" i="1"/>
  <c r="D3374" i="1"/>
  <c r="D3376" i="1"/>
  <c r="D3377" i="1"/>
  <c r="D3381" i="1"/>
  <c r="D3382" i="1"/>
  <c r="D3385" i="1"/>
  <c r="D3389" i="1"/>
  <c r="D3390" i="1"/>
  <c r="D3391" i="1"/>
  <c r="D3392" i="1"/>
  <c r="D3393" i="1"/>
  <c r="D3398" i="1"/>
  <c r="D3399" i="1"/>
  <c r="D3405" i="1"/>
  <c r="D3408" i="1"/>
  <c r="D3409" i="1"/>
  <c r="D3413" i="1"/>
  <c r="D3416" i="1"/>
  <c r="D3422" i="1"/>
  <c r="D3424" i="1"/>
  <c r="D3431" i="1"/>
  <c r="D3437" i="1"/>
  <c r="D3439" i="1"/>
  <c r="D3446" i="1"/>
  <c r="D3448" i="1"/>
  <c r="D3453" i="1"/>
  <c r="D3456" i="1"/>
  <c r="D3457" i="1"/>
  <c r="D3463" i="1"/>
  <c r="D3464" i="1"/>
  <c r="D3472" i="1"/>
  <c r="D3477" i="1"/>
  <c r="D3480" i="1"/>
  <c r="D3481" i="1"/>
  <c r="D3485" i="1"/>
  <c r="D3487" i="1"/>
  <c r="D3489" i="1"/>
  <c r="D3495" i="1"/>
  <c r="D3496" i="1"/>
  <c r="D3497" i="1"/>
  <c r="D3505" i="1"/>
  <c r="D3512" i="1"/>
  <c r="D3517" i="1"/>
  <c r="D3518" i="1"/>
  <c r="D3519" i="1"/>
  <c r="D3520" i="1"/>
  <c r="D3525" i="1"/>
  <c r="D3526" i="1"/>
  <c r="D3528" i="1"/>
  <c r="D3529" i="1"/>
  <c r="D3533" i="1"/>
  <c r="D3534" i="1"/>
  <c r="D3535" i="1"/>
  <c r="D3536" i="1"/>
  <c r="D3537" i="1"/>
  <c r="D3541" i="1"/>
  <c r="D3542" i="1"/>
  <c r="D3543" i="1"/>
  <c r="D3544" i="1"/>
  <c r="D3551" i="1"/>
  <c r="D3552" i="1"/>
  <c r="D3557" i="1"/>
  <c r="D3558" i="1"/>
  <c r="D3559" i="1"/>
  <c r="D3560" i="1"/>
  <c r="D3561" i="1"/>
  <c r="D3565" i="1"/>
  <c r="D3566" i="1"/>
  <c r="D3567" i="1"/>
  <c r="D3569" i="1"/>
  <c r="D3574" i="1"/>
  <c r="D3575" i="1"/>
  <c r="D3576" i="1"/>
  <c r="D3581" i="1"/>
  <c r="D3582" i="1"/>
  <c r="D3583" i="1"/>
  <c r="D3584" i="1"/>
  <c r="D3585" i="1"/>
  <c r="D3589" i="1"/>
  <c r="D3591" i="1"/>
  <c r="D3597" i="1"/>
  <c r="D3598" i="1"/>
  <c r="D3599" i="1"/>
  <c r="D3600" i="1"/>
  <c r="D3601" i="1"/>
  <c r="D3616" i="1"/>
  <c r="D3617" i="1"/>
  <c r="D3622" i="1"/>
  <c r="D3623" i="1"/>
  <c r="D3632" i="1"/>
  <c r="D3638" i="1"/>
  <c r="D3645" i="1"/>
  <c r="D3646" i="1"/>
  <c r="D3648" i="1"/>
  <c r="D3653" i="1"/>
  <c r="D3655" i="1"/>
  <c r="D3661" i="1"/>
  <c r="D3664" i="1"/>
  <c r="D3665" i="1"/>
  <c r="D3669" i="1"/>
  <c r="D3670" i="1"/>
  <c r="D3671" i="1"/>
  <c r="D3672" i="1"/>
  <c r="D3678" i="1"/>
  <c r="D3679" i="1"/>
  <c r="D3681" i="1"/>
  <c r="D3688" i="1"/>
  <c r="D3693" i="1"/>
  <c r="D3694" i="1"/>
  <c r="D3695" i="1"/>
  <c r="D3697" i="1"/>
  <c r="D3701" i="1"/>
  <c r="D3704" i="1"/>
  <c r="D3705" i="1"/>
  <c r="D3712" i="1"/>
  <c r="D3713" i="1"/>
  <c r="D3717" i="1"/>
  <c r="D3718" i="1"/>
  <c r="D3721" i="1"/>
  <c r="D3727" i="1"/>
  <c r="D3736" i="1"/>
  <c r="D3737" i="1"/>
  <c r="D3743" i="1"/>
  <c r="D3744" i="1"/>
  <c r="D3746" i="1"/>
  <c r="D3749" i="1"/>
  <c r="D3751" i="1"/>
  <c r="D3753" i="1"/>
  <c r="D3757" i="1"/>
  <c r="D3765" i="1"/>
  <c r="D3766" i="1"/>
  <c r="D3768" i="1"/>
  <c r="D3774" i="1"/>
  <c r="D3783" i="1"/>
  <c r="D3793" i="1"/>
  <c r="D3797" i="1"/>
  <c r="D3798" i="1"/>
  <c r="D3799" i="1"/>
  <c r="D3800" i="1"/>
  <c r="D3801" i="1"/>
  <c r="D3805" i="1"/>
  <c r="D3806" i="1"/>
  <c r="D3807" i="1"/>
  <c r="D3813" i="1"/>
  <c r="D3814" i="1"/>
  <c r="D3815" i="1"/>
  <c r="D3825" i="1"/>
  <c r="D3829" i="1"/>
  <c r="D3830" i="1"/>
  <c r="D3837" i="1"/>
  <c r="D3839" i="1"/>
  <c r="D3847" i="1"/>
  <c r="D3857" i="1"/>
  <c r="D3862" i="1"/>
  <c r="D3864" i="1"/>
  <c r="D3865" i="1"/>
  <c r="D3869" i="1"/>
  <c r="D3871" i="1"/>
  <c r="D3872" i="1"/>
  <c r="D3873" i="1"/>
  <c r="D3877" i="1"/>
  <c r="D3885" i="1"/>
  <c r="D3886" i="1"/>
  <c r="D3887" i="1"/>
  <c r="D3889" i="1"/>
  <c r="D3893" i="1"/>
  <c r="D3897" i="1"/>
  <c r="D3903" i="1"/>
  <c r="D3909" i="1"/>
  <c r="D3910" i="1"/>
  <c r="D3918" i="1"/>
  <c r="D3927" i="1"/>
  <c r="D3928" i="1"/>
  <c r="D3935" i="1"/>
  <c r="D3936" i="1"/>
  <c r="D3937" i="1"/>
  <c r="D3942" i="1"/>
  <c r="D3943" i="1"/>
  <c r="D3949" i="1"/>
  <c r="D3950" i="1"/>
  <c r="D3952" i="1"/>
  <c r="D3953" i="1"/>
  <c r="D3957" i="1"/>
  <c r="D3958" i="1"/>
  <c r="D3959" i="1"/>
  <c r="D3961" i="1"/>
  <c r="D3965" i="1"/>
  <c r="D3967" i="1"/>
  <c r="D3968" i="1"/>
  <c r="D3974" i="1"/>
  <c r="D3975" i="1"/>
  <c r="D3983" i="1"/>
  <c r="D3984" i="1"/>
  <c r="D3989" i="1"/>
  <c r="D3990" i="1"/>
  <c r="D3991" i="1"/>
  <c r="D3992" i="1"/>
  <c r="D3993" i="1"/>
  <c r="D3998" i="1"/>
  <c r="D3999" i="1"/>
  <c r="D4005" i="1"/>
  <c r="D4007" i="1"/>
  <c r="D4009" i="1"/>
  <c r="D4013" i="1"/>
  <c r="D4014" i="1"/>
  <c r="D4021" i="1"/>
  <c r="D4023" i="1"/>
  <c r="D4024" i="1"/>
  <c r="D4025" i="1"/>
  <c r="D4029" i="1"/>
  <c r="D4030" i="1"/>
  <c r="D4031" i="1"/>
  <c r="D4037" i="1"/>
  <c r="D4038" i="1"/>
  <c r="D4039" i="1"/>
  <c r="D4041" i="1"/>
  <c r="D4045" i="1"/>
  <c r="D4048" i="1"/>
  <c r="D4053" i="1"/>
  <c r="D4054" i="1"/>
  <c r="D4056" i="1"/>
  <c r="D4057" i="1"/>
  <c r="D4061" i="1"/>
  <c r="D4062" i="1"/>
  <c r="D4064" i="1"/>
  <c r="D4069" i="1"/>
  <c r="D4071" i="1"/>
  <c r="D4072" i="1"/>
  <c r="D4078" i="1"/>
  <c r="D4080" i="1"/>
  <c r="D4081" i="1"/>
  <c r="D4088" i="1"/>
  <c r="D4095" i="1"/>
  <c r="D4096" i="1"/>
  <c r="D4102" i="1"/>
  <c r="D4103" i="1"/>
  <c r="D4109" i="1"/>
  <c r="D4110" i="1"/>
  <c r="D4111" i="1"/>
  <c r="D4113" i="1"/>
  <c r="D4117" i="1"/>
  <c r="D4119" i="1"/>
  <c r="D4120" i="1"/>
  <c r="D4125" i="1"/>
  <c r="D4126" i="1"/>
  <c r="D4128" i="1"/>
  <c r="D4133" i="1"/>
  <c r="D4134" i="1"/>
  <c r="D4136" i="1"/>
  <c r="D4141" i="1"/>
  <c r="D4142" i="1"/>
  <c r="D4143" i="1"/>
  <c r="D4150" i="1"/>
  <c r="D4152" i="1"/>
  <c r="D4157" i="1"/>
  <c r="D4158" i="1"/>
  <c r="D4159" i="1"/>
  <c r="D4160" i="1"/>
  <c r="D4165" i="1"/>
  <c r="D4168" i="1"/>
  <c r="D4173" i="1"/>
  <c r="D4175" i="1"/>
  <c r="D4177" i="1"/>
  <c r="D4181" i="1"/>
  <c r="D4182" i="1"/>
  <c r="D4185" i="1"/>
  <c r="D4189" i="1"/>
  <c r="D4199" i="1"/>
  <c r="D4206" i="1"/>
  <c r="D4208" i="1"/>
  <c r="D4209" i="1"/>
  <c r="D4214" i="1"/>
  <c r="D4216" i="1"/>
  <c r="D4224" i="1"/>
  <c r="D4225" i="1"/>
  <c r="D4229" i="1"/>
  <c r="D4230" i="1"/>
  <c r="D4237" i="1"/>
  <c r="D4245" i="1"/>
  <c r="D4246" i="1"/>
  <c r="D4247" i="1"/>
  <c r="D4248" i="1"/>
  <c r="D4249" i="1"/>
  <c r="D4255" i="1"/>
  <c r="D4256" i="1"/>
  <c r="D4257" i="1"/>
  <c r="D4261" i="1"/>
  <c r="D4266" i="1"/>
  <c r="D4269" i="1"/>
  <c r="D4270" i="1"/>
  <c r="D4271" i="1"/>
  <c r="D4277" i="1"/>
  <c r="D4279" i="1"/>
  <c r="D4280" i="1"/>
  <c r="D4281" i="1"/>
  <c r="D4285" i="1"/>
  <c r="D4287" i="1"/>
  <c r="D4288" i="1"/>
  <c r="D4289" i="1"/>
  <c r="D4293" i="1"/>
  <c r="D4296" i="1"/>
  <c r="D4302" i="1"/>
  <c r="D4303" i="1"/>
  <c r="D4304" i="1"/>
  <c r="D4310" i="1"/>
  <c r="D4311" i="1"/>
  <c r="D4313" i="1"/>
  <c r="D4317" i="1"/>
  <c r="D4325" i="1"/>
  <c r="D4329" i="1"/>
  <c r="D4337" i="1"/>
  <c r="D4343" i="1"/>
  <c r="D4345" i="1"/>
  <c r="D4351" i="1"/>
  <c r="D4361" i="1"/>
  <c r="D4365" i="1"/>
  <c r="D4366" i="1"/>
  <c r="D4369" i="1"/>
  <c r="D4373" i="1"/>
  <c r="D4374" i="1"/>
  <c r="D4375" i="1"/>
  <c r="D4381" i="1"/>
  <c r="D4390" i="1"/>
  <c r="D4392" i="1"/>
  <c r="D4393" i="1"/>
  <c r="D4398" i="1"/>
  <c r="D4399" i="1"/>
  <c r="D4401" i="1"/>
  <c r="D4406" i="1"/>
  <c r="D4414" i="1"/>
  <c r="D4415" i="1"/>
  <c r="D4417" i="1"/>
  <c r="D4423" i="1"/>
  <c r="D4437" i="1"/>
  <c r="D4438" i="1"/>
  <c r="D4441" i="1"/>
  <c r="D4445" i="1"/>
  <c r="D4446" i="1"/>
  <c r="D4448" i="1"/>
  <c r="D4449" i="1"/>
  <c r="D4453" i="1"/>
  <c r="D4454" i="1"/>
  <c r="D4455" i="1"/>
  <c r="D4461" i="1"/>
  <c r="D4464" i="1"/>
  <c r="D4465" i="1"/>
  <c r="D4471" i="1"/>
  <c r="D4473" i="1"/>
  <c r="D4477" i="1"/>
  <c r="D4478" i="1"/>
  <c r="D4479" i="1"/>
  <c r="D4481" i="1"/>
  <c r="D4488" i="1"/>
  <c r="D4493" i="1"/>
  <c r="D4494" i="1"/>
  <c r="D4497" i="1"/>
  <c r="D4504" i="1"/>
  <c r="D4505" i="1"/>
  <c r="D4510" i="1"/>
  <c r="D4511" i="1"/>
  <c r="D4513" i="1"/>
  <c r="D4517" i="1"/>
  <c r="D4526" i="1"/>
  <c r="D4527" i="1"/>
  <c r="D4528" i="1"/>
  <c r="D4535" i="1"/>
  <c r="D4542" i="1"/>
  <c r="D4543" i="1"/>
  <c r="E13" i="1"/>
  <c r="E14" i="1"/>
  <c r="E15" i="1"/>
  <c r="E17" i="1"/>
  <c r="E21" i="1"/>
  <c r="E24" i="1"/>
  <c r="E25" i="1"/>
  <c r="E26" i="1"/>
  <c r="E29" i="1"/>
  <c r="E31" i="1"/>
  <c r="E32" i="1"/>
  <c r="E34" i="1"/>
  <c r="E37" i="1"/>
  <c r="E39" i="1"/>
  <c r="E41" i="1"/>
  <c r="E42" i="1"/>
  <c r="E45" i="1"/>
  <c r="E46" i="1"/>
  <c r="E49" i="1"/>
  <c r="E53" i="1"/>
  <c r="E54" i="1"/>
  <c r="E55" i="1"/>
  <c r="E58" i="1"/>
  <c r="E63" i="1"/>
  <c r="E65" i="1"/>
  <c r="E69" i="1"/>
  <c r="E70" i="1"/>
  <c r="E74" i="1"/>
  <c r="E77" i="1"/>
  <c r="E79" i="1"/>
  <c r="E81" i="1"/>
  <c r="E82" i="1"/>
  <c r="E87" i="1"/>
  <c r="E90" i="1"/>
  <c r="E102" i="1"/>
  <c r="E106" i="1"/>
  <c r="E109" i="1"/>
  <c r="E110" i="1"/>
  <c r="E113" i="1"/>
  <c r="E114" i="1"/>
  <c r="E118" i="1"/>
  <c r="E120" i="1"/>
  <c r="E122" i="1"/>
  <c r="E127" i="1"/>
  <c r="E128" i="1"/>
  <c r="E129" i="1"/>
  <c r="E130" i="1"/>
  <c r="E134" i="1"/>
  <c r="E135" i="1"/>
  <c r="E136" i="1"/>
  <c r="E141" i="1"/>
  <c r="E144" i="1"/>
  <c r="E152" i="1"/>
  <c r="E160" i="1"/>
  <c r="E161" i="1"/>
  <c r="E162" i="1"/>
  <c r="E166" i="1"/>
  <c r="E167" i="1"/>
  <c r="E168" i="1"/>
  <c r="E170" i="1"/>
  <c r="E174" i="1"/>
  <c r="E175" i="1"/>
  <c r="E176" i="1"/>
  <c r="E177" i="1"/>
  <c r="E178" i="1"/>
  <c r="E182" i="1"/>
  <c r="E185" i="1"/>
  <c r="E189" i="1"/>
  <c r="E190" i="1"/>
  <c r="E193" i="1"/>
  <c r="E194" i="1"/>
  <c r="E198" i="1"/>
  <c r="E200" i="1"/>
  <c r="E201" i="1"/>
  <c r="E202" i="1"/>
  <c r="E205" i="1"/>
  <c r="E209" i="1"/>
  <c r="E210" i="1"/>
  <c r="E213" i="1"/>
  <c r="E224" i="1"/>
  <c r="E225" i="1"/>
  <c r="E230" i="1"/>
  <c r="E232" i="1"/>
  <c r="E234" i="1"/>
  <c r="E237" i="1"/>
  <c r="E238" i="1"/>
  <c r="E241" i="1"/>
  <c r="E242" i="1"/>
  <c r="E245" i="1"/>
  <c r="E247" i="1"/>
  <c r="E249" i="1"/>
  <c r="E250" i="1"/>
  <c r="E253" i="1"/>
  <c r="E254" i="1"/>
  <c r="E256" i="1"/>
  <c r="E261" i="1"/>
  <c r="E263" i="1"/>
  <c r="E264" i="1"/>
  <c r="E266" i="1"/>
  <c r="E271" i="1"/>
  <c r="E272" i="1"/>
  <c r="E274" i="1"/>
  <c r="E278" i="1"/>
  <c r="E279" i="1"/>
  <c r="E281" i="1"/>
  <c r="E282" i="1"/>
  <c r="E285" i="1"/>
  <c r="E286" i="1"/>
  <c r="E287" i="1"/>
  <c r="E289" i="1"/>
  <c r="E290" i="1"/>
  <c r="E294" i="1"/>
  <c r="E295" i="1"/>
  <c r="E296" i="1"/>
  <c r="E297" i="1"/>
  <c r="E298" i="1"/>
  <c r="E303" i="1"/>
  <c r="E306" i="1"/>
  <c r="E312" i="1"/>
  <c r="E318" i="1"/>
  <c r="E319" i="1"/>
  <c r="E320" i="1"/>
  <c r="E321" i="1"/>
  <c r="E322" i="1"/>
  <c r="E328" i="1"/>
  <c r="E330" i="1"/>
  <c r="E334" i="1"/>
  <c r="E337" i="1"/>
  <c r="E342" i="1"/>
  <c r="E349" i="1"/>
  <c r="E352" i="1"/>
  <c r="E353" i="1"/>
  <c r="E360" i="1"/>
  <c r="E362" i="1"/>
  <c r="E368" i="1"/>
  <c r="E369" i="1"/>
  <c r="E374" i="1"/>
  <c r="E377" i="1"/>
  <c r="E381" i="1"/>
  <c r="E385" i="1"/>
  <c r="E397" i="1"/>
  <c r="E398" i="1"/>
  <c r="E399" i="1"/>
  <c r="E400" i="1"/>
  <c r="E401" i="1"/>
  <c r="E402" i="1"/>
  <c r="E405" i="1"/>
  <c r="E406" i="1"/>
  <c r="E407" i="1"/>
  <c r="E408" i="1"/>
  <c r="E409" i="1"/>
  <c r="E416" i="1"/>
  <c r="E417" i="1"/>
  <c r="E418" i="1"/>
  <c r="E421" i="1"/>
  <c r="E422" i="1"/>
  <c r="E424" i="1"/>
  <c r="E425" i="1"/>
  <c r="E430" i="1"/>
  <c r="E431" i="1"/>
  <c r="E432" i="1"/>
  <c r="E434" i="1"/>
  <c r="E437" i="1"/>
  <c r="E438" i="1"/>
  <c r="E441" i="1"/>
  <c r="E442" i="1"/>
  <c r="E445" i="1"/>
  <c r="E446" i="1"/>
  <c r="E448" i="1"/>
  <c r="E453" i="1"/>
  <c r="E454" i="1"/>
  <c r="E456" i="1"/>
  <c r="E457" i="1"/>
  <c r="E461" i="1"/>
  <c r="E464" i="1"/>
  <c r="E465" i="1"/>
  <c r="E470" i="1"/>
  <c r="E477" i="1"/>
  <c r="E478" i="1"/>
  <c r="E481" i="1"/>
  <c r="E482" i="1"/>
  <c r="E488" i="1"/>
  <c r="E489" i="1"/>
  <c r="E490" i="1"/>
  <c r="E493" i="1"/>
  <c r="E494" i="1"/>
  <c r="E497" i="1"/>
  <c r="E498" i="1"/>
  <c r="E504" i="1"/>
  <c r="E511" i="1"/>
  <c r="E512" i="1"/>
  <c r="E517" i="1"/>
  <c r="E522" i="1"/>
  <c r="E525" i="1"/>
  <c r="E529" i="1"/>
  <c r="E530" i="1"/>
  <c r="E533" i="1"/>
  <c r="E535" i="1"/>
  <c r="E537" i="1"/>
  <c r="E541" i="1"/>
  <c r="E542" i="1"/>
  <c r="E543" i="1"/>
  <c r="E545" i="1"/>
  <c r="E546" i="1"/>
  <c r="E551" i="1"/>
  <c r="E552" i="1"/>
  <c r="E554" i="1"/>
  <c r="E558" i="1"/>
  <c r="E559" i="1"/>
  <c r="E565" i="1"/>
  <c r="E568" i="1"/>
  <c r="E570" i="1"/>
  <c r="E575" i="1"/>
  <c r="E581" i="1"/>
  <c r="E583" i="1"/>
  <c r="E584" i="1"/>
  <c r="E585" i="1"/>
  <c r="E586" i="1"/>
  <c r="E591" i="1"/>
  <c r="E592" i="1"/>
  <c r="E593" i="1"/>
  <c r="E597" i="1"/>
  <c r="E598" i="1"/>
  <c r="E602" i="1"/>
  <c r="E605" i="1"/>
  <c r="E606" i="1"/>
  <c r="E607" i="1"/>
  <c r="E609" i="1"/>
  <c r="E613" i="1"/>
  <c r="E615" i="1"/>
  <c r="E616" i="1"/>
  <c r="E617" i="1"/>
  <c r="E621" i="1"/>
  <c r="E622" i="1"/>
  <c r="E623" i="1"/>
  <c r="E624" i="1"/>
  <c r="E626" i="1"/>
  <c r="E631" i="1"/>
  <c r="E632" i="1"/>
  <c r="E633" i="1"/>
  <c r="E634" i="1"/>
  <c r="E637" i="1"/>
  <c r="E638" i="1"/>
  <c r="E639" i="1"/>
  <c r="E642" i="1"/>
  <c r="E645" i="1"/>
  <c r="E646" i="1"/>
  <c r="E648" i="1"/>
  <c r="E649" i="1"/>
  <c r="E650" i="1"/>
  <c r="E656" i="1"/>
  <c r="E662" i="1"/>
  <c r="E664" i="1"/>
  <c r="E665" i="1"/>
  <c r="E673" i="1"/>
  <c r="E677" i="1"/>
  <c r="E679" i="1"/>
  <c r="E686" i="1"/>
  <c r="E687" i="1"/>
  <c r="E689" i="1"/>
  <c r="E693" i="1"/>
  <c r="E696" i="1"/>
  <c r="E702" i="1"/>
  <c r="E703" i="1"/>
  <c r="E704" i="1"/>
  <c r="E706" i="1"/>
  <c r="E712" i="1"/>
  <c r="E719" i="1"/>
  <c r="E721" i="1"/>
  <c r="E725" i="1"/>
  <c r="E734" i="1"/>
  <c r="E735" i="1"/>
  <c r="E741" i="1"/>
  <c r="E743" i="1"/>
  <c r="E746" i="1"/>
  <c r="E749" i="1"/>
  <c r="E753" i="1"/>
  <c r="E754" i="1"/>
  <c r="E757" i="1"/>
  <c r="E758" i="1"/>
  <c r="E759" i="1"/>
  <c r="E760" i="1"/>
  <c r="E761" i="1"/>
  <c r="E767" i="1"/>
  <c r="E768" i="1"/>
  <c r="E773" i="1"/>
  <c r="E776" i="1"/>
  <c r="E777" i="1"/>
  <c r="E781" i="1"/>
  <c r="E782" i="1"/>
  <c r="E784" i="1"/>
  <c r="E785" i="1"/>
  <c r="E786" i="1"/>
  <c r="E791" i="1"/>
  <c r="E792" i="1"/>
  <c r="E793" i="1"/>
  <c r="E797" i="1"/>
  <c r="E799" i="1"/>
  <c r="E800" i="1"/>
  <c r="E802" i="1"/>
  <c r="E808" i="1"/>
  <c r="E810" i="1"/>
  <c r="E813" i="1"/>
  <c r="E815" i="1"/>
  <c r="E817" i="1"/>
  <c r="E818" i="1"/>
  <c r="E823" i="1"/>
  <c r="E826" i="1"/>
  <c r="E829" i="1"/>
  <c r="E830" i="1"/>
  <c r="E832" i="1"/>
  <c r="E834" i="1"/>
  <c r="E838" i="1"/>
  <c r="E839" i="1"/>
  <c r="E840" i="1"/>
  <c r="E845" i="1"/>
  <c r="E846" i="1"/>
  <c r="E847" i="1"/>
  <c r="E848" i="1"/>
  <c r="E854" i="1"/>
  <c r="E856" i="1"/>
  <c r="E857" i="1"/>
  <c r="E858" i="1"/>
  <c r="E863" i="1"/>
  <c r="E864" i="1"/>
  <c r="E865" i="1"/>
  <c r="E866" i="1"/>
  <c r="E869" i="1"/>
  <c r="E871" i="1"/>
  <c r="E873" i="1"/>
  <c r="E874" i="1"/>
  <c r="E878" i="1"/>
  <c r="E881" i="1"/>
  <c r="E885" i="1"/>
  <c r="E887" i="1"/>
  <c r="E888" i="1"/>
  <c r="E889" i="1"/>
  <c r="E894" i="1"/>
  <c r="E895" i="1"/>
  <c r="E896" i="1"/>
  <c r="E901" i="1"/>
  <c r="E903" i="1"/>
  <c r="E904" i="1"/>
  <c r="E906" i="1"/>
  <c r="E909" i="1"/>
  <c r="E910" i="1"/>
  <c r="E911" i="1"/>
  <c r="E913" i="1"/>
  <c r="E914" i="1"/>
  <c r="E917" i="1"/>
  <c r="E918" i="1"/>
  <c r="E920" i="1"/>
  <c r="E922" i="1"/>
  <c r="E927" i="1"/>
  <c r="E928" i="1"/>
  <c r="E936" i="1"/>
  <c r="E937" i="1"/>
  <c r="E941" i="1"/>
  <c r="E942" i="1"/>
  <c r="E943" i="1"/>
  <c r="E950" i="1"/>
  <c r="E951" i="1"/>
  <c r="E957" i="1"/>
  <c r="E958" i="1"/>
  <c r="E962" i="1"/>
  <c r="E965" i="1"/>
  <c r="E968" i="1"/>
  <c r="E970" i="1"/>
  <c r="E973" i="1"/>
  <c r="E975" i="1"/>
  <c r="E976" i="1"/>
  <c r="E977" i="1"/>
  <c r="E981" i="1"/>
  <c r="E982" i="1"/>
  <c r="E985" i="1"/>
  <c r="E992" i="1"/>
  <c r="E993" i="1"/>
  <c r="E994" i="1"/>
  <c r="E998" i="1"/>
  <c r="E1000" i="1"/>
  <c r="E1001" i="1"/>
  <c r="E1002" i="1"/>
  <c r="E1006" i="1"/>
  <c r="E1009" i="1"/>
  <c r="E1010" i="1"/>
  <c r="E1014" i="1"/>
  <c r="E1016" i="1"/>
  <c r="E1017" i="1"/>
  <c r="E1022" i="1"/>
  <c r="E1024" i="1"/>
  <c r="E1026" i="1"/>
  <c r="E1029" i="1"/>
  <c r="E1030" i="1"/>
  <c r="E1038" i="1"/>
  <c r="E1040" i="1"/>
  <c r="E1045" i="1"/>
  <c r="E1046" i="1"/>
  <c r="E1047" i="1"/>
  <c r="E1049" i="1"/>
  <c r="E1056" i="1"/>
  <c r="E1058" i="1"/>
  <c r="E1064" i="1"/>
  <c r="E1066" i="1"/>
  <c r="E1069" i="1"/>
  <c r="E1070" i="1"/>
  <c r="E1071" i="1"/>
  <c r="E1074" i="1"/>
  <c r="E1081" i="1"/>
  <c r="E1085" i="1"/>
  <c r="E1086" i="1"/>
  <c r="E1087" i="1"/>
  <c r="E1088" i="1"/>
  <c r="E1089" i="1"/>
  <c r="E1090" i="1"/>
  <c r="E1093" i="1"/>
  <c r="E1094" i="1"/>
  <c r="E1095" i="1"/>
  <c r="E1097" i="1"/>
  <c r="E1101" i="1"/>
  <c r="E1103" i="1"/>
  <c r="E1105" i="1"/>
  <c r="E1106" i="1"/>
  <c r="E1109" i="1"/>
  <c r="E1110" i="1"/>
  <c r="E1111" i="1"/>
  <c r="E1113" i="1"/>
  <c r="E1114" i="1"/>
  <c r="E1117" i="1"/>
  <c r="E1120" i="1"/>
  <c r="E1121" i="1"/>
  <c r="E1126" i="1"/>
  <c r="E1127" i="1"/>
  <c r="E1133" i="1"/>
  <c r="E1135" i="1"/>
  <c r="E1136" i="1"/>
  <c r="E1138" i="1"/>
  <c r="E1141" i="1"/>
  <c r="E1142" i="1"/>
  <c r="E1143" i="1"/>
  <c r="E1144" i="1"/>
  <c r="E1150" i="1"/>
  <c r="E1152" i="1"/>
  <c r="E1154" i="1"/>
  <c r="E1157" i="1"/>
  <c r="E1161" i="1"/>
  <c r="E1162" i="1"/>
  <c r="E1165" i="1"/>
  <c r="E1166" i="1"/>
  <c r="E1168" i="1"/>
  <c r="E1173" i="1"/>
  <c r="E1176" i="1"/>
  <c r="E1178" i="1"/>
  <c r="E1183" i="1"/>
  <c r="E1184" i="1"/>
  <c r="E1189" i="1"/>
  <c r="E1190" i="1"/>
  <c r="E1193" i="1"/>
  <c r="E1199" i="1"/>
  <c r="E1201" i="1"/>
  <c r="E1205" i="1"/>
  <c r="E1206" i="1"/>
  <c r="E1208" i="1"/>
  <c r="E1213" i="1"/>
  <c r="E1214" i="1"/>
  <c r="E1216" i="1"/>
  <c r="E1217" i="1"/>
  <c r="E1218" i="1"/>
  <c r="E1221" i="1"/>
  <c r="E1226" i="1"/>
  <c r="E1229" i="1"/>
  <c r="E1230" i="1"/>
  <c r="E1233" i="1"/>
  <c r="E1237" i="1"/>
  <c r="E1239" i="1"/>
  <c r="E1240" i="1"/>
  <c r="E1241" i="1"/>
  <c r="E1248" i="1"/>
  <c r="E1254" i="1"/>
  <c r="E1256" i="1"/>
  <c r="E1258" i="1"/>
  <c r="E1261" i="1"/>
  <c r="E1263" i="1"/>
  <c r="E1264" i="1"/>
  <c r="E1266" i="1"/>
  <c r="E1270" i="1"/>
  <c r="E1271" i="1"/>
  <c r="E1272" i="1"/>
  <c r="E1274" i="1"/>
  <c r="E1277" i="1"/>
  <c r="E1278" i="1"/>
  <c r="E1280" i="1"/>
  <c r="E1282" i="1"/>
  <c r="E1285" i="1"/>
  <c r="E1287" i="1"/>
  <c r="E1288" i="1"/>
  <c r="E1289" i="1"/>
  <c r="E1293" i="1"/>
  <c r="E1295" i="1"/>
  <c r="E1297" i="1"/>
  <c r="E1301" i="1"/>
  <c r="E1303" i="1"/>
  <c r="E1305" i="1"/>
  <c r="E1309" i="1"/>
  <c r="E1319" i="1"/>
  <c r="E1321" i="1"/>
  <c r="E1326" i="1"/>
  <c r="E1327" i="1"/>
  <c r="E1328" i="1"/>
  <c r="E1329" i="1"/>
  <c r="E1330" i="1"/>
  <c r="E1333" i="1"/>
  <c r="E1335" i="1"/>
  <c r="E1336" i="1"/>
  <c r="E1338" i="1"/>
  <c r="E1343" i="1"/>
  <c r="E1345" i="1"/>
  <c r="E1346" i="1"/>
  <c r="E1349" i="1"/>
  <c r="E1350" i="1"/>
  <c r="E1353" i="1"/>
  <c r="E1354" i="1"/>
  <c r="E1357" i="1"/>
  <c r="E1361" i="1"/>
  <c r="E1362" i="1"/>
  <c r="E1366" i="1"/>
  <c r="E1367" i="1"/>
  <c r="E1373" i="1"/>
  <c r="E1375" i="1"/>
  <c r="E1378" i="1"/>
  <c r="E1381" i="1"/>
  <c r="E1382" i="1"/>
  <c r="E1385" i="1"/>
  <c r="E1386" i="1"/>
  <c r="E1389" i="1"/>
  <c r="E1391" i="1"/>
  <c r="E1397" i="1"/>
  <c r="E1398" i="1"/>
  <c r="E1399" i="1"/>
  <c r="E1400" i="1"/>
  <c r="E1401" i="1"/>
  <c r="E1409" i="1"/>
  <c r="E1414" i="1"/>
  <c r="E1415" i="1"/>
  <c r="E1416" i="1"/>
  <c r="E1418" i="1"/>
  <c r="E1424" i="1"/>
  <c r="E1425" i="1"/>
  <c r="E1426" i="1"/>
  <c r="E1438" i="1"/>
  <c r="E1441" i="1"/>
  <c r="E1442" i="1"/>
  <c r="E1447" i="1"/>
  <c r="E1448" i="1"/>
  <c r="E1453" i="1"/>
  <c r="E1454" i="1"/>
  <c r="E1455" i="1"/>
  <c r="E1456" i="1"/>
  <c r="E1458" i="1"/>
  <c r="E1469" i="1"/>
  <c r="E1470" i="1"/>
  <c r="E1471" i="1"/>
  <c r="E1472" i="1"/>
  <c r="E1473" i="1"/>
  <c r="E1477" i="1"/>
  <c r="E1479" i="1"/>
  <c r="E1481" i="1"/>
  <c r="E1482" i="1"/>
  <c r="E1485" i="1"/>
  <c r="E1486" i="1"/>
  <c r="E1488" i="1"/>
  <c r="E1489" i="1"/>
  <c r="E1495" i="1"/>
  <c r="E1501" i="1"/>
  <c r="E1502" i="1"/>
  <c r="E1510" i="1"/>
  <c r="E1512" i="1"/>
  <c r="E1513" i="1"/>
  <c r="E1514" i="1"/>
  <c r="E1517" i="1"/>
  <c r="E1519" i="1"/>
  <c r="E1522" i="1"/>
  <c r="E1525" i="1"/>
  <c r="E1535" i="1"/>
  <c r="E1536" i="1"/>
  <c r="E1543" i="1"/>
  <c r="E1544" i="1"/>
  <c r="E1545" i="1"/>
  <c r="E1546" i="1"/>
  <c r="E1549" i="1"/>
  <c r="E1550" i="1"/>
  <c r="E1552" i="1"/>
  <c r="E1553" i="1"/>
  <c r="E1554" i="1"/>
  <c r="E1559" i="1"/>
  <c r="E1565" i="1"/>
  <c r="E1568" i="1"/>
  <c r="E1569" i="1"/>
  <c r="E1573" i="1"/>
  <c r="E1575" i="1"/>
  <c r="E1577" i="1"/>
  <c r="E1581" i="1"/>
  <c r="E1583" i="1"/>
  <c r="E1590" i="1"/>
  <c r="E1593" i="1"/>
  <c r="E1594" i="1"/>
  <c r="E1598" i="1"/>
  <c r="E1600" i="1"/>
  <c r="E1602" i="1"/>
  <c r="E1605" i="1"/>
  <c r="E1606" i="1"/>
  <c r="E1608" i="1"/>
  <c r="E1609" i="1"/>
  <c r="E1613" i="1"/>
  <c r="E1618" i="1"/>
  <c r="E1621" i="1"/>
  <c r="E1625" i="1"/>
  <c r="E1631" i="1"/>
  <c r="E1632" i="1"/>
  <c r="E1637" i="1"/>
  <c r="E1638" i="1"/>
  <c r="E1641" i="1"/>
  <c r="E1642" i="1"/>
  <c r="E1645" i="1"/>
  <c r="E1648" i="1"/>
  <c r="E1649" i="1"/>
  <c r="E1650" i="1"/>
  <c r="E1653" i="1"/>
  <c r="E1655" i="1"/>
  <c r="E1662" i="1"/>
  <c r="E1665" i="1"/>
  <c r="E1666" i="1"/>
  <c r="E1669" i="1"/>
  <c r="E1670" i="1"/>
  <c r="E1671" i="1"/>
  <c r="E1678" i="1"/>
  <c r="E1686" i="1"/>
  <c r="E1687" i="1"/>
  <c r="E1688" i="1"/>
  <c r="E1693" i="1"/>
  <c r="E1694" i="1"/>
  <c r="E1695" i="1"/>
  <c r="E1696" i="1"/>
  <c r="E1697" i="1"/>
  <c r="E1698" i="1"/>
  <c r="E1704" i="1"/>
  <c r="E1705" i="1"/>
  <c r="E1710" i="1"/>
  <c r="E1711" i="1"/>
  <c r="E1712" i="1"/>
  <c r="E1719" i="1"/>
  <c r="E1722" i="1"/>
  <c r="E1726" i="1"/>
  <c r="E1727" i="1"/>
  <c r="E1728" i="1"/>
  <c r="E1729" i="1"/>
  <c r="E1730" i="1"/>
  <c r="E1735" i="1"/>
  <c r="E1738" i="1"/>
  <c r="E1742" i="1"/>
  <c r="E1743" i="1"/>
  <c r="E1744" i="1"/>
  <c r="E1746" i="1"/>
  <c r="E1752" i="1"/>
  <c r="E1757" i="1"/>
  <c r="E1758" i="1"/>
  <c r="E1762" i="1"/>
  <c r="E1765" i="1"/>
  <c r="E1767" i="1"/>
  <c r="E1770" i="1"/>
  <c r="E1773" i="1"/>
  <c r="E1776" i="1"/>
  <c r="E1781" i="1"/>
  <c r="E1784" i="1"/>
  <c r="E1785" i="1"/>
  <c r="E1789" i="1"/>
  <c r="E1790" i="1"/>
  <c r="E1791" i="1"/>
  <c r="E1792" i="1"/>
  <c r="E1793" i="1"/>
  <c r="E1799" i="1"/>
  <c r="E1800" i="1"/>
  <c r="E1801" i="1"/>
  <c r="E1802" i="1"/>
  <c r="E1805" i="1"/>
  <c r="E1806" i="1"/>
  <c r="E1807" i="1"/>
  <c r="E1808" i="1"/>
  <c r="E1809" i="1"/>
  <c r="E1815" i="1"/>
  <c r="E1816" i="1"/>
  <c r="E1817" i="1"/>
  <c r="E1821" i="1"/>
  <c r="E1824" i="1"/>
  <c r="E1825" i="1"/>
  <c r="E1829" i="1"/>
  <c r="E1830" i="1"/>
  <c r="E1833" i="1"/>
  <c r="E1838" i="1"/>
  <c r="E1841" i="1"/>
  <c r="E1842" i="1"/>
  <c r="E1845" i="1"/>
  <c r="E1846" i="1"/>
  <c r="E1847" i="1"/>
  <c r="E1848" i="1"/>
  <c r="E1849" i="1"/>
  <c r="E1855" i="1"/>
  <c r="E1856" i="1"/>
  <c r="E1864" i="1"/>
  <c r="E1870" i="1"/>
  <c r="E1871" i="1"/>
  <c r="E1872" i="1"/>
  <c r="E1873" i="1"/>
  <c r="E1874" i="1"/>
  <c r="E1880" i="1"/>
  <c r="E1881" i="1"/>
  <c r="E1885" i="1"/>
  <c r="E1886" i="1"/>
  <c r="E1889" i="1"/>
  <c r="E1896" i="1"/>
  <c r="E1898" i="1"/>
  <c r="E1901" i="1"/>
  <c r="E1902" i="1"/>
  <c r="E1903" i="1"/>
  <c r="E1909" i="1"/>
  <c r="E1910" i="1"/>
  <c r="E1911" i="1"/>
  <c r="E1912" i="1"/>
  <c r="E1913" i="1"/>
  <c r="E1918" i="1"/>
  <c r="E1919" i="1"/>
  <c r="E1920" i="1"/>
  <c r="E1922" i="1"/>
  <c r="E1926" i="1"/>
  <c r="E1927" i="1"/>
  <c r="E1935" i="1"/>
  <c r="E1936" i="1"/>
  <c r="E1937" i="1"/>
  <c r="E1944" i="1"/>
  <c r="E1945" i="1"/>
  <c r="E1949" i="1"/>
  <c r="E1950" i="1"/>
  <c r="E1952" i="1"/>
  <c r="E1954" i="1"/>
  <c r="E1959" i="1"/>
  <c r="E1960" i="1"/>
  <c r="E1969" i="1"/>
  <c r="E1970" i="1"/>
  <c r="E1975" i="1"/>
  <c r="E1984" i="1"/>
  <c r="E1989" i="1"/>
  <c r="E1998" i="1"/>
  <c r="E1999" i="1"/>
  <c r="E2001" i="1"/>
  <c r="E2006" i="1"/>
  <c r="E2008" i="1"/>
  <c r="E2009" i="1"/>
  <c r="E2014" i="1"/>
  <c r="E2016" i="1"/>
  <c r="E2017" i="1"/>
  <c r="E2021" i="1"/>
  <c r="E2022" i="1"/>
  <c r="E2026" i="1"/>
  <c r="E2029" i="1"/>
  <c r="E2030" i="1"/>
  <c r="E2034" i="1"/>
  <c r="E2037" i="1"/>
  <c r="E2039" i="1"/>
  <c r="E2040" i="1"/>
  <c r="E2046" i="1"/>
  <c r="E2048" i="1"/>
  <c r="E2049" i="1"/>
  <c r="E2056" i="1"/>
  <c r="E2057" i="1"/>
  <c r="E2061" i="1"/>
  <c r="E2062" i="1"/>
  <c r="E2063" i="1"/>
  <c r="E2070" i="1"/>
  <c r="E2074" i="1"/>
  <c r="E2077" i="1"/>
  <c r="E2078" i="1"/>
  <c r="E2079" i="1"/>
  <c r="E2082" i="1"/>
  <c r="E2085" i="1"/>
  <c r="E2088" i="1"/>
  <c r="E2090" i="1"/>
  <c r="E2093" i="1"/>
  <c r="E2095" i="1"/>
  <c r="E2097" i="1"/>
  <c r="E2102" i="1"/>
  <c r="E2103" i="1"/>
  <c r="E2104" i="1"/>
  <c r="E2106" i="1"/>
  <c r="E2109" i="1"/>
  <c r="E2111" i="1"/>
  <c r="E2112" i="1"/>
  <c r="E2113" i="1"/>
  <c r="E2114" i="1"/>
  <c r="E2117" i="1"/>
  <c r="E2119" i="1"/>
  <c r="E2120" i="1"/>
  <c r="E2121" i="1"/>
  <c r="E2122" i="1"/>
  <c r="E2125" i="1"/>
  <c r="E2127" i="1"/>
  <c r="E2128" i="1"/>
  <c r="E2129" i="1"/>
  <c r="E2135" i="1"/>
  <c r="E2136" i="1"/>
  <c r="E2138" i="1"/>
  <c r="E2141" i="1"/>
  <c r="E2146" i="1"/>
  <c r="E2151" i="1"/>
  <c r="E2153" i="1"/>
  <c r="E2157" i="1"/>
  <c r="E2159" i="1"/>
  <c r="E2166" i="1"/>
  <c r="E2167" i="1"/>
  <c r="E2175" i="1"/>
  <c r="E2176" i="1"/>
  <c r="E2177" i="1"/>
  <c r="E2181" i="1"/>
  <c r="E2183" i="1"/>
  <c r="E2184" i="1"/>
  <c r="E2185" i="1"/>
  <c r="E2190" i="1"/>
  <c r="E2194" i="1"/>
  <c r="E2197" i="1"/>
  <c r="E2198" i="1"/>
  <c r="E2200" i="1"/>
  <c r="E2201" i="1"/>
  <c r="E2207" i="1"/>
  <c r="E2209" i="1"/>
  <c r="E2214" i="1"/>
  <c r="E2217" i="1"/>
  <c r="E2222" i="1"/>
  <c r="E2225" i="1"/>
  <c r="E2226" i="1"/>
  <c r="E2232" i="1"/>
  <c r="E2233" i="1"/>
  <c r="E2237" i="1"/>
  <c r="E2238" i="1"/>
  <c r="E2240" i="1"/>
  <c r="E2248" i="1"/>
  <c r="E2255" i="1"/>
  <c r="E2256" i="1"/>
  <c r="E2258" i="1"/>
  <c r="E2264" i="1"/>
  <c r="E2265" i="1"/>
  <c r="E2272" i="1"/>
  <c r="E2273" i="1"/>
  <c r="E2277" i="1"/>
  <c r="E2279" i="1"/>
  <c r="E2280" i="1"/>
  <c r="E2282" i="1"/>
  <c r="E2286" i="1"/>
  <c r="E2287" i="1"/>
  <c r="E2288" i="1"/>
  <c r="E2290" i="1"/>
  <c r="E2293" i="1"/>
  <c r="E2294" i="1"/>
  <c r="E2295" i="1"/>
  <c r="E2303" i="1"/>
  <c r="E2305" i="1"/>
  <c r="E2306" i="1"/>
  <c r="E2310" i="1"/>
  <c r="E2313" i="1"/>
  <c r="E2314" i="1"/>
  <c r="E2317" i="1"/>
  <c r="E2321" i="1"/>
  <c r="E2322" i="1"/>
  <c r="E2327" i="1"/>
  <c r="E2329" i="1"/>
  <c r="E2330" i="1"/>
  <c r="E2334" i="1"/>
  <c r="E2335" i="1"/>
  <c r="E2337" i="1"/>
  <c r="E2338" i="1"/>
  <c r="E2343" i="1"/>
  <c r="E2346" i="1"/>
  <c r="E2351" i="1"/>
  <c r="E2354" i="1"/>
  <c r="E2359" i="1"/>
  <c r="E2360" i="1"/>
  <c r="E2366" i="1"/>
  <c r="E2367" i="1"/>
  <c r="E2370" i="1"/>
  <c r="E2382" i="1"/>
  <c r="E2383" i="1"/>
  <c r="E2385" i="1"/>
  <c r="E2386" i="1"/>
  <c r="E2392" i="1"/>
  <c r="E2397" i="1"/>
  <c r="E2400" i="1"/>
  <c r="E2402" i="1"/>
  <c r="E2409" i="1"/>
  <c r="E2410" i="1"/>
  <c r="E2413" i="1"/>
  <c r="E2418" i="1"/>
  <c r="E2421" i="1"/>
  <c r="E2423" i="1"/>
  <c r="E2425" i="1"/>
  <c r="E2429" i="1"/>
  <c r="E2438" i="1"/>
  <c r="E2440" i="1"/>
  <c r="E2441" i="1"/>
  <c r="E2442" i="1"/>
  <c r="E2446" i="1"/>
  <c r="E2455" i="1"/>
  <c r="E2458" i="1"/>
  <c r="E2461" i="1"/>
  <c r="E2462" i="1"/>
  <c r="E2464" i="1"/>
  <c r="E2469" i="1"/>
  <c r="E2470" i="1"/>
  <c r="E2471" i="1"/>
  <c r="E2473" i="1"/>
  <c r="E2478" i="1"/>
  <c r="E2479" i="1"/>
  <c r="E2493" i="1"/>
  <c r="E2494" i="1"/>
  <c r="E2496" i="1"/>
  <c r="E2498" i="1"/>
  <c r="E2503" i="1"/>
  <c r="E2504" i="1"/>
  <c r="E2505" i="1"/>
  <c r="E2510" i="1"/>
  <c r="E2511" i="1"/>
  <c r="E2513" i="1"/>
  <c r="E2517" i="1"/>
  <c r="E2518" i="1"/>
  <c r="E2519" i="1"/>
  <c r="E2525" i="1"/>
  <c r="E2526" i="1"/>
  <c r="E2528" i="1"/>
  <c r="E2529" i="1"/>
  <c r="E2530" i="1"/>
  <c r="E2534" i="1"/>
  <c r="E2536" i="1"/>
  <c r="E2537" i="1"/>
  <c r="E2541" i="1"/>
  <c r="E2542" i="1"/>
  <c r="E2545" i="1"/>
  <c r="E2549" i="1"/>
  <c r="E2550" i="1"/>
  <c r="E2553" i="1"/>
  <c r="E2554" i="1"/>
  <c r="E2557" i="1"/>
  <c r="E2558" i="1"/>
  <c r="E2559" i="1"/>
  <c r="E2565" i="1"/>
  <c r="E2569" i="1"/>
  <c r="E2573" i="1"/>
  <c r="E2575" i="1"/>
  <c r="E2576" i="1"/>
  <c r="E2584" i="1"/>
  <c r="E2586" i="1"/>
  <c r="E2590" i="1"/>
  <c r="E2592" i="1"/>
  <c r="E2593" i="1"/>
  <c r="E2599" i="1"/>
  <c r="E2601" i="1"/>
  <c r="E2606" i="1"/>
  <c r="E2607" i="1"/>
  <c r="E2609" i="1"/>
  <c r="E2615" i="1"/>
  <c r="E2616" i="1"/>
  <c r="E2617" i="1"/>
  <c r="E2626" i="1"/>
  <c r="E2629" i="1"/>
  <c r="E2630" i="1"/>
  <c r="E2631" i="1"/>
  <c r="E2637" i="1"/>
  <c r="E2638" i="1"/>
  <c r="E2639" i="1"/>
  <c r="E2640" i="1"/>
  <c r="E2647" i="1"/>
  <c r="E2650" i="1"/>
  <c r="E2655" i="1"/>
  <c r="E2658" i="1"/>
  <c r="E2661" i="1"/>
  <c r="E2662" i="1"/>
  <c r="E2663" i="1"/>
  <c r="E2664" i="1"/>
  <c r="E2665" i="1"/>
  <c r="E2669" i="1"/>
  <c r="E2671" i="1"/>
  <c r="E2673" i="1"/>
  <c r="E2677" i="1"/>
  <c r="E2678" i="1"/>
  <c r="E2679" i="1"/>
  <c r="E2680" i="1"/>
  <c r="E2682" i="1"/>
  <c r="E2687" i="1"/>
  <c r="E2690" i="1"/>
  <c r="E2693" i="1"/>
  <c r="E2695" i="1"/>
  <c r="E2698" i="1"/>
  <c r="E2702" i="1"/>
  <c r="E2703" i="1"/>
  <c r="E2704" i="1"/>
  <c r="E2706" i="1"/>
  <c r="E2712" i="1"/>
  <c r="E2713" i="1"/>
  <c r="E2719" i="1"/>
  <c r="E2721" i="1"/>
  <c r="E2722" i="1"/>
  <c r="E2726" i="1"/>
  <c r="E2727" i="1"/>
  <c r="E2728" i="1"/>
  <c r="E2735" i="1"/>
  <c r="E2737" i="1"/>
  <c r="E2741" i="1"/>
  <c r="E2742" i="1"/>
  <c r="E2744" i="1"/>
  <c r="E2746" i="1"/>
  <c r="E2749" i="1"/>
  <c r="E2750" i="1"/>
  <c r="E2752" i="1"/>
  <c r="E2753" i="1"/>
  <c r="E2757" i="1"/>
  <c r="E2758" i="1"/>
  <c r="E2760" i="1"/>
  <c r="E2767" i="1"/>
  <c r="E2768" i="1"/>
  <c r="E2773" i="1"/>
  <c r="E2775" i="1"/>
  <c r="E2777" i="1"/>
  <c r="E2781" i="1"/>
  <c r="E2794" i="1"/>
  <c r="E2799" i="1"/>
  <c r="E2800" i="1"/>
  <c r="E2805" i="1"/>
  <c r="E2809" i="1"/>
  <c r="E2818" i="1"/>
  <c r="E2822" i="1"/>
  <c r="E2823" i="1"/>
  <c r="E2824" i="1"/>
  <c r="E2829" i="1"/>
  <c r="E2830" i="1"/>
  <c r="E2831" i="1"/>
  <c r="E2837" i="1"/>
  <c r="E2838" i="1"/>
  <c r="E2842" i="1"/>
  <c r="E2850" i="1"/>
  <c r="E2854" i="1"/>
  <c r="E2855" i="1"/>
  <c r="E2856" i="1"/>
  <c r="E2863" i="1"/>
  <c r="E2865" i="1"/>
  <c r="E2873" i="1"/>
  <c r="E2878" i="1"/>
  <c r="E2879" i="1"/>
  <c r="E2882" i="1"/>
  <c r="E2887" i="1"/>
  <c r="E2888" i="1"/>
  <c r="E2896" i="1"/>
  <c r="E2898" i="1"/>
  <c r="E2903" i="1"/>
  <c r="E2905" i="1"/>
  <c r="E2906" i="1"/>
  <c r="E2909" i="1"/>
  <c r="E2911" i="1"/>
  <c r="E2913" i="1"/>
  <c r="E2914" i="1"/>
  <c r="E2917" i="1"/>
  <c r="E2919" i="1"/>
  <c r="E2921" i="1"/>
  <c r="E2922" i="1"/>
  <c r="E2925" i="1"/>
  <c r="E2928" i="1"/>
  <c r="E2929" i="1"/>
  <c r="E2930" i="1"/>
  <c r="E2936" i="1"/>
  <c r="E2941" i="1"/>
  <c r="E2942" i="1"/>
  <c r="E2943" i="1"/>
  <c r="E2944" i="1"/>
  <c r="E2945" i="1"/>
  <c r="E2946" i="1"/>
  <c r="E2950" i="1"/>
  <c r="E2951" i="1"/>
  <c r="E2958" i="1"/>
  <c r="E2960" i="1"/>
  <c r="E2962" i="1"/>
  <c r="E2968" i="1"/>
  <c r="E2973" i="1"/>
  <c r="E2975" i="1"/>
  <c r="E2977" i="1"/>
  <c r="E2978" i="1"/>
  <c r="E2981" i="1"/>
  <c r="E2982" i="1"/>
  <c r="E2984" i="1"/>
  <c r="E2985" i="1"/>
  <c r="E2989" i="1"/>
  <c r="E2992" i="1"/>
  <c r="E2998" i="1"/>
  <c r="E3002" i="1"/>
  <c r="E3013" i="1"/>
  <c r="E3015" i="1"/>
  <c r="E3022" i="1"/>
  <c r="E3023" i="1"/>
  <c r="E3025" i="1"/>
  <c r="E3026" i="1"/>
  <c r="E3029" i="1"/>
  <c r="E3031" i="1"/>
  <c r="E3032" i="1"/>
  <c r="E3033" i="1"/>
  <c r="E3038" i="1"/>
  <c r="E3039" i="1"/>
  <c r="E3040" i="1"/>
  <c r="E3047" i="1"/>
  <c r="E3049" i="1"/>
  <c r="E3050" i="1"/>
  <c r="E3053" i="1"/>
  <c r="E3056" i="1"/>
  <c r="E3057" i="1"/>
  <c r="E3058" i="1"/>
  <c r="E3061" i="1"/>
  <c r="E3066" i="1"/>
  <c r="E3069" i="1"/>
  <c r="E3071" i="1"/>
  <c r="E3072" i="1"/>
  <c r="E3079" i="1"/>
  <c r="E3080" i="1"/>
  <c r="E3085" i="1"/>
  <c r="E3086" i="1"/>
  <c r="E3087" i="1"/>
  <c r="E3088" i="1"/>
  <c r="E3093" i="1"/>
  <c r="E3101" i="1"/>
  <c r="E3106" i="1"/>
  <c r="E3109" i="1"/>
  <c r="E3111" i="1"/>
  <c r="E3117" i="1"/>
  <c r="E3119" i="1"/>
  <c r="E3121" i="1"/>
  <c r="E3122" i="1"/>
  <c r="E3128" i="1"/>
  <c r="E3129" i="1"/>
  <c r="E3137" i="1"/>
  <c r="E3138" i="1"/>
  <c r="E3145" i="1"/>
  <c r="E3149" i="1"/>
  <c r="E3152" i="1"/>
  <c r="E3160" i="1"/>
  <c r="E3166" i="1"/>
  <c r="E3168" i="1"/>
  <c r="E3173" i="1"/>
  <c r="E3174" i="1"/>
  <c r="E3175" i="1"/>
  <c r="E3176" i="1"/>
  <c r="E3178" i="1"/>
  <c r="E3183" i="1"/>
  <c r="E3185" i="1"/>
  <c r="E3186" i="1"/>
  <c r="E3189" i="1"/>
  <c r="E3190" i="1"/>
  <c r="E3197" i="1"/>
  <c r="E3199" i="1"/>
  <c r="E3210" i="1"/>
  <c r="E3213" i="1"/>
  <c r="E3215" i="1"/>
  <c r="E3216" i="1"/>
  <c r="E3217" i="1"/>
  <c r="E3221" i="1"/>
  <c r="E3226" i="1"/>
  <c r="E3230" i="1"/>
  <c r="E3233" i="1"/>
  <c r="E3238" i="1"/>
  <c r="E3239" i="1"/>
  <c r="E3241" i="1"/>
  <c r="E3245" i="1"/>
  <c r="E3246" i="1"/>
  <c r="E3247" i="1"/>
  <c r="E3248" i="1"/>
  <c r="E3249" i="1"/>
  <c r="E3254" i="1"/>
  <c r="E3255" i="1"/>
  <c r="E3261" i="1"/>
  <c r="E3263" i="1"/>
  <c r="E3269" i="1"/>
  <c r="E3272" i="1"/>
  <c r="E3280" i="1"/>
  <c r="E3281" i="1"/>
  <c r="E3282" i="1"/>
  <c r="E3285" i="1"/>
  <c r="E3286" i="1"/>
  <c r="E3288" i="1"/>
  <c r="E3289" i="1"/>
  <c r="E3290" i="1"/>
  <c r="E3293" i="1"/>
  <c r="E3297" i="1"/>
  <c r="E3298" i="1"/>
  <c r="E3301" i="1"/>
  <c r="E3303" i="1"/>
  <c r="E3304" i="1"/>
  <c r="E3313" i="1"/>
  <c r="E3319" i="1"/>
  <c r="E3322" i="1"/>
  <c r="E3325" i="1"/>
  <c r="E3327" i="1"/>
  <c r="E3328" i="1"/>
  <c r="E3329" i="1"/>
  <c r="E3330" i="1"/>
  <c r="E3333" i="1"/>
  <c r="E3336" i="1"/>
  <c r="E3341" i="1"/>
  <c r="E3343" i="1"/>
  <c r="E3345" i="1"/>
  <c r="E3350" i="1"/>
  <c r="E3351" i="1"/>
  <c r="E3352" i="1"/>
  <c r="E3353" i="1"/>
  <c r="E3357" i="1"/>
  <c r="E3359" i="1"/>
  <c r="E3361" i="1"/>
  <c r="E3362" i="1"/>
  <c r="E3366" i="1"/>
  <c r="E3367" i="1"/>
  <c r="E3370" i="1"/>
  <c r="E3375" i="1"/>
  <c r="E3378" i="1"/>
  <c r="E3383" i="1"/>
  <c r="E3384" i="1"/>
  <c r="E3386" i="1"/>
  <c r="E3397" i="1"/>
  <c r="E3400" i="1"/>
  <c r="E3401" i="1"/>
  <c r="E3406" i="1"/>
  <c r="E3407" i="1"/>
  <c r="E3410" i="1"/>
  <c r="E3414" i="1"/>
  <c r="E3415" i="1"/>
  <c r="E3417" i="1"/>
  <c r="E3421" i="1"/>
  <c r="E3423" i="1"/>
  <c r="E3425" i="1"/>
  <c r="E3429" i="1"/>
  <c r="E3430" i="1"/>
  <c r="E3432" i="1"/>
  <c r="E3433" i="1"/>
  <c r="E3438" i="1"/>
  <c r="E3440" i="1"/>
  <c r="E3441" i="1"/>
  <c r="E3442" i="1"/>
  <c r="E3445" i="1"/>
  <c r="E3447" i="1"/>
  <c r="E3449" i="1"/>
  <c r="E3450" i="1"/>
  <c r="E3454" i="1"/>
  <c r="E3455" i="1"/>
  <c r="E3461" i="1"/>
  <c r="E3462" i="1"/>
  <c r="E3465" i="1"/>
  <c r="E3469" i="1"/>
  <c r="E3470" i="1"/>
  <c r="E3471" i="1"/>
  <c r="E3473" i="1"/>
  <c r="E3474" i="1"/>
  <c r="E3478" i="1"/>
  <c r="E3479" i="1"/>
  <c r="E3486" i="1"/>
  <c r="E3488" i="1"/>
  <c r="E3493" i="1"/>
  <c r="E3494" i="1"/>
  <c r="E3501" i="1"/>
  <c r="E3502" i="1"/>
  <c r="E3503" i="1"/>
  <c r="E3504" i="1"/>
  <c r="E3506" i="1"/>
  <c r="E3509" i="1"/>
  <c r="E3510" i="1"/>
  <c r="E3511" i="1"/>
  <c r="E3513" i="1"/>
  <c r="E3521" i="1"/>
  <c r="E3527" i="1"/>
  <c r="E3538" i="1"/>
  <c r="E3545" i="1"/>
  <c r="E3549" i="1"/>
  <c r="E3550" i="1"/>
  <c r="E3553" i="1"/>
  <c r="E3568" i="1"/>
  <c r="E3573" i="1"/>
  <c r="E3577" i="1"/>
  <c r="E3586" i="1"/>
  <c r="E3590" i="1"/>
  <c r="E3592" i="1"/>
  <c r="E3593" i="1"/>
  <c r="E3594" i="1"/>
  <c r="E3605" i="1"/>
  <c r="E3606" i="1"/>
  <c r="E3607" i="1"/>
  <c r="E3608" i="1"/>
  <c r="E3609" i="1"/>
  <c r="E3610" i="1"/>
  <c r="E3613" i="1"/>
  <c r="E3614" i="1"/>
  <c r="E3615" i="1"/>
  <c r="E3618" i="1"/>
  <c r="E3621" i="1"/>
  <c r="E3624" i="1"/>
  <c r="E3625" i="1"/>
  <c r="E3629" i="1"/>
  <c r="E3630" i="1"/>
  <c r="E3631" i="1"/>
  <c r="E3633" i="1"/>
  <c r="E3637" i="1"/>
  <c r="E3639" i="1"/>
  <c r="E3640" i="1"/>
  <c r="E3641" i="1"/>
  <c r="E3642" i="1"/>
  <c r="E3647" i="1"/>
  <c r="E3649" i="1"/>
  <c r="E3650" i="1"/>
  <c r="E3654" i="1"/>
  <c r="E3656" i="1"/>
  <c r="E3657" i="1"/>
  <c r="E3658" i="1"/>
  <c r="E3662" i="1"/>
  <c r="E3663" i="1"/>
  <c r="E3673" i="1"/>
  <c r="E3677" i="1"/>
  <c r="E3680" i="1"/>
  <c r="E3685" i="1"/>
  <c r="E3686" i="1"/>
  <c r="E3687" i="1"/>
  <c r="E3689" i="1"/>
  <c r="E3696" i="1"/>
  <c r="E3702" i="1"/>
  <c r="E3703" i="1"/>
  <c r="E3706" i="1"/>
  <c r="E3709" i="1"/>
  <c r="E3710" i="1"/>
  <c r="E3711" i="1"/>
  <c r="E3714" i="1"/>
  <c r="E3719" i="1"/>
  <c r="E3720" i="1"/>
  <c r="E3725" i="1"/>
  <c r="E3726" i="1"/>
  <c r="E3728" i="1"/>
  <c r="E3729" i="1"/>
  <c r="E3733" i="1"/>
  <c r="E3734" i="1"/>
  <c r="E3735" i="1"/>
  <c r="E3738" i="1"/>
  <c r="E3741" i="1"/>
  <c r="E3742" i="1"/>
  <c r="E3745" i="1"/>
  <c r="E3750" i="1"/>
  <c r="E3752" i="1"/>
  <c r="E3758" i="1"/>
  <c r="E3759" i="1"/>
  <c r="E3760" i="1"/>
  <c r="E3761" i="1"/>
  <c r="E3767" i="1"/>
  <c r="E3769" i="1"/>
  <c r="E3770" i="1"/>
  <c r="E3773" i="1"/>
  <c r="E3775" i="1"/>
  <c r="E3776" i="1"/>
  <c r="E3777" i="1"/>
  <c r="E3781" i="1"/>
  <c r="E3782" i="1"/>
  <c r="E3784" i="1"/>
  <c r="E3785" i="1"/>
  <c r="E3786" i="1"/>
  <c r="E3789" i="1"/>
  <c r="E3790" i="1"/>
  <c r="E3791" i="1"/>
  <c r="E3792" i="1"/>
  <c r="E3794" i="1"/>
  <c r="E3802" i="1"/>
  <c r="E3808" i="1"/>
  <c r="E3809" i="1"/>
  <c r="E3810" i="1"/>
  <c r="E3816" i="1"/>
  <c r="E3817" i="1"/>
  <c r="E3818" i="1"/>
  <c r="E3821" i="1"/>
  <c r="E3822" i="1"/>
  <c r="E3823" i="1"/>
  <c r="E3824" i="1"/>
  <c r="E3826" i="1"/>
  <c r="E3831" i="1"/>
  <c r="E3832" i="1"/>
  <c r="E3833" i="1"/>
  <c r="E3838" i="1"/>
  <c r="E3840" i="1"/>
  <c r="E3841" i="1"/>
  <c r="E3842" i="1"/>
  <c r="E3845" i="1"/>
  <c r="E3846" i="1"/>
  <c r="E3848" i="1"/>
  <c r="E3849" i="1"/>
  <c r="E3850" i="1"/>
  <c r="E3853" i="1"/>
  <c r="E3854" i="1"/>
  <c r="E3855" i="1"/>
  <c r="E3856" i="1"/>
  <c r="E3861" i="1"/>
  <c r="E3863" i="1"/>
  <c r="E3866" i="1"/>
  <c r="E3870" i="1"/>
  <c r="E3878" i="1"/>
  <c r="E3879" i="1"/>
  <c r="E3880" i="1"/>
  <c r="E3881" i="1"/>
  <c r="E3882" i="1"/>
  <c r="E3888" i="1"/>
  <c r="E3890" i="1"/>
  <c r="E3894" i="1"/>
  <c r="E3895" i="1"/>
  <c r="E3896" i="1"/>
  <c r="E3901" i="1"/>
  <c r="E3902" i="1"/>
  <c r="E3904" i="1"/>
  <c r="E3905" i="1"/>
  <c r="E3906" i="1"/>
  <c r="E3911" i="1"/>
  <c r="E3912" i="1"/>
  <c r="E3913" i="1"/>
  <c r="E3917" i="1"/>
  <c r="E3919" i="1"/>
  <c r="E3920" i="1"/>
  <c r="E3921" i="1"/>
  <c r="E3922" i="1"/>
  <c r="E3925" i="1"/>
  <c r="E3926" i="1"/>
  <c r="E3929" i="1"/>
  <c r="E3933" i="1"/>
  <c r="E3934" i="1"/>
  <c r="E3938" i="1"/>
  <c r="E3941" i="1"/>
  <c r="E3944" i="1"/>
  <c r="E3945" i="1"/>
  <c r="E3951" i="1"/>
  <c r="E3954" i="1"/>
  <c r="E3960" i="1"/>
  <c r="E3966" i="1"/>
  <c r="E3969" i="1"/>
  <c r="E3973" i="1"/>
  <c r="E3976" i="1"/>
  <c r="E3977" i="1"/>
  <c r="E3978" i="1"/>
  <c r="E3981" i="1"/>
  <c r="E3982" i="1"/>
  <c r="E3985" i="1"/>
  <c r="E3994" i="1"/>
  <c r="E3997" i="1"/>
  <c r="E4000" i="1"/>
  <c r="E4001" i="1"/>
  <c r="E4002" i="1"/>
  <c r="E4006" i="1"/>
  <c r="E4008" i="1"/>
  <c r="E4015" i="1"/>
  <c r="E4016" i="1"/>
  <c r="E4017" i="1"/>
  <c r="E4022" i="1"/>
  <c r="E4026" i="1"/>
  <c r="E4032" i="1"/>
  <c r="E4033" i="1"/>
  <c r="E4040" i="1"/>
  <c r="E4042" i="1"/>
  <c r="E4046" i="1"/>
  <c r="E4047" i="1"/>
  <c r="E4049" i="1"/>
  <c r="E4055" i="1"/>
  <c r="E4063" i="1"/>
  <c r="E4065" i="1"/>
  <c r="E4066" i="1"/>
  <c r="E4070" i="1"/>
  <c r="E4073" i="1"/>
  <c r="E4074" i="1"/>
  <c r="E4077" i="1"/>
  <c r="E4079" i="1"/>
  <c r="E4082" i="1"/>
  <c r="E4085" i="1"/>
  <c r="E4086" i="1"/>
  <c r="E4087" i="1"/>
  <c r="E4089" i="1"/>
  <c r="E4090" i="1"/>
  <c r="E4093" i="1"/>
  <c r="E4094" i="1"/>
  <c r="E4097" i="1"/>
  <c r="E4098" i="1"/>
  <c r="E4101" i="1"/>
  <c r="E4104" i="1"/>
  <c r="E4105" i="1"/>
  <c r="E4112" i="1"/>
  <c r="E4114" i="1"/>
  <c r="E4118" i="1"/>
  <c r="E4121" i="1"/>
  <c r="E4122" i="1"/>
  <c r="E4127" i="1"/>
  <c r="E4129" i="1"/>
  <c r="E4130" i="1"/>
  <c r="E4135" i="1"/>
  <c r="E4137" i="1"/>
  <c r="E4144" i="1"/>
  <c r="E4145" i="1"/>
  <c r="E4149" i="1"/>
  <c r="E4151" i="1"/>
  <c r="E4153" i="1"/>
  <c r="E4154" i="1"/>
  <c r="E4161" i="1"/>
  <c r="E4166" i="1"/>
  <c r="E4167" i="1"/>
  <c r="E4169" i="1"/>
  <c r="E4174" i="1"/>
  <c r="E4176" i="1"/>
  <c r="E4178" i="1"/>
  <c r="E4183" i="1"/>
  <c r="E4184" i="1"/>
  <c r="E4186" i="1"/>
  <c r="E4190" i="1"/>
  <c r="E4191" i="1"/>
  <c r="E4192" i="1"/>
  <c r="E4193" i="1"/>
  <c r="E4194" i="1"/>
  <c r="E4197" i="1"/>
  <c r="E4198" i="1"/>
  <c r="E4200" i="1"/>
  <c r="E4201" i="1"/>
  <c r="E4205" i="1"/>
  <c r="E4207" i="1"/>
  <c r="E4210" i="1"/>
  <c r="E4213" i="1"/>
  <c r="E4215" i="1"/>
  <c r="E4217" i="1"/>
  <c r="E4221" i="1"/>
  <c r="E4222" i="1"/>
  <c r="E4223" i="1"/>
  <c r="E4231" i="1"/>
  <c r="E4232" i="1"/>
  <c r="E4233" i="1"/>
  <c r="E4234" i="1"/>
  <c r="E4238" i="1"/>
  <c r="E4239" i="1"/>
  <c r="E4240" i="1"/>
  <c r="E4241" i="1"/>
  <c r="E4242" i="1"/>
  <c r="E4253" i="1"/>
  <c r="E4254" i="1"/>
  <c r="E4262" i="1"/>
  <c r="E4263" i="1"/>
  <c r="E4264" i="1"/>
  <c r="E4265" i="1"/>
  <c r="E4272" i="1"/>
  <c r="E4273" i="1"/>
  <c r="E4278" i="1"/>
  <c r="E4286" i="1"/>
  <c r="E4290" i="1"/>
  <c r="E4294" i="1"/>
  <c r="E4295" i="1"/>
  <c r="E4297" i="1"/>
  <c r="E4301" i="1"/>
  <c r="E4305" i="1"/>
  <c r="E4309" i="1"/>
  <c r="E4312" i="1"/>
  <c r="E4318" i="1"/>
  <c r="E4319" i="1"/>
  <c r="E4320" i="1"/>
  <c r="E4321" i="1"/>
  <c r="E4322" i="1"/>
  <c r="E4326" i="1"/>
  <c r="E4327" i="1"/>
  <c r="E4328" i="1"/>
  <c r="E4330" i="1"/>
  <c r="E4333" i="1"/>
  <c r="E4334" i="1"/>
  <c r="E4335" i="1"/>
  <c r="E4336" i="1"/>
  <c r="E4341" i="1"/>
  <c r="E4342" i="1"/>
  <c r="E4344" i="1"/>
  <c r="E4346" i="1"/>
  <c r="E4349" i="1"/>
  <c r="E4350" i="1"/>
  <c r="E4352" i="1"/>
  <c r="E4353" i="1"/>
  <c r="E4354" i="1"/>
  <c r="E4357" i="1"/>
  <c r="E4358" i="1"/>
  <c r="E4359" i="1"/>
  <c r="E4360" i="1"/>
  <c r="E4362" i="1"/>
  <c r="E4367" i="1"/>
  <c r="E4368" i="1"/>
  <c r="E4370" i="1"/>
  <c r="E4376" i="1"/>
  <c r="E4377" i="1"/>
  <c r="E4378" i="1"/>
  <c r="E4382" i="1"/>
  <c r="E4383" i="1"/>
  <c r="E4384" i="1"/>
  <c r="E4385" i="1"/>
  <c r="E4389" i="1"/>
  <c r="E4391" i="1"/>
  <c r="E4394" i="1"/>
  <c r="E4397" i="1"/>
  <c r="E4400" i="1"/>
  <c r="E4405" i="1"/>
  <c r="E4407" i="1"/>
  <c r="E4408" i="1"/>
  <c r="E4409" i="1"/>
  <c r="E4410" i="1"/>
  <c r="E4413" i="1"/>
  <c r="E4416" i="1"/>
  <c r="E4421" i="1"/>
  <c r="E4422" i="1"/>
  <c r="E4424" i="1"/>
  <c r="E4425" i="1"/>
  <c r="E4426" i="1"/>
  <c r="E4429" i="1"/>
  <c r="E4430" i="1"/>
  <c r="E4431" i="1"/>
  <c r="E4432" i="1"/>
  <c r="E4433" i="1"/>
  <c r="E4434" i="1"/>
  <c r="E4439" i="1"/>
  <c r="E4440" i="1"/>
  <c r="E4447" i="1"/>
  <c r="E4450" i="1"/>
  <c r="E4456" i="1"/>
  <c r="E4457" i="1"/>
  <c r="E4458" i="1"/>
  <c r="E4462" i="1"/>
  <c r="E4463" i="1"/>
  <c r="E4466" i="1"/>
  <c r="E4469" i="1"/>
  <c r="E4470" i="1"/>
  <c r="E4472" i="1"/>
  <c r="E4480" i="1"/>
  <c r="E4485" i="1"/>
  <c r="E4486" i="1"/>
  <c r="E4487" i="1"/>
  <c r="E4489" i="1"/>
  <c r="E4495" i="1"/>
  <c r="E4496" i="1"/>
  <c r="E4498" i="1"/>
  <c r="E4501" i="1"/>
  <c r="E4502" i="1"/>
  <c r="E4503" i="1"/>
  <c r="E4509" i="1"/>
  <c r="E4512" i="1"/>
  <c r="E4518" i="1"/>
  <c r="E4519" i="1"/>
  <c r="E4520" i="1"/>
  <c r="E4521" i="1"/>
  <c r="E4522" i="1"/>
  <c r="E4525" i="1"/>
  <c r="E4529" i="1"/>
  <c r="E4533" i="1"/>
  <c r="E4534" i="1"/>
  <c r="E4536" i="1"/>
  <c r="E4537" i="1"/>
  <c r="E4538" i="1"/>
  <c r="E4541" i="1"/>
  <c r="E4544" i="1"/>
  <c r="B2" i="1"/>
  <c r="B3" i="1"/>
  <c r="B4" i="1"/>
  <c r="B5" i="1"/>
  <c r="B6" i="1"/>
  <c r="B7" i="1"/>
  <c r="B8" i="1"/>
  <c r="B9" i="1"/>
  <c r="B10" i="1"/>
  <c r="B11" i="1"/>
  <c r="B12" i="1"/>
  <c r="C4541" i="2" l="1"/>
  <c r="D4541" i="2"/>
  <c r="F4541" i="2"/>
  <c r="C4533" i="2"/>
  <c r="D4533" i="2"/>
  <c r="F4533" i="2"/>
  <c r="C4525" i="2"/>
  <c r="D4525" i="2"/>
  <c r="F4525" i="2"/>
  <c r="C4517" i="2"/>
  <c r="D4517" i="2"/>
  <c r="E4517" i="2"/>
  <c r="C4509" i="2"/>
  <c r="D4509" i="2"/>
  <c r="F4509" i="2"/>
  <c r="C4501" i="2"/>
  <c r="D4501" i="2"/>
  <c r="F4501" i="2"/>
  <c r="C4493" i="2"/>
  <c r="D4493" i="2"/>
  <c r="E4493" i="2"/>
  <c r="D4485" i="2"/>
  <c r="C4485" i="2"/>
  <c r="F4485" i="2"/>
  <c r="C4477" i="2"/>
  <c r="D4477" i="2"/>
  <c r="E4477" i="2"/>
  <c r="C4469" i="2"/>
  <c r="D4469" i="2"/>
  <c r="F4469" i="2"/>
  <c r="C4461" i="2"/>
  <c r="D4461" i="2"/>
  <c r="E4461" i="2"/>
  <c r="D4453" i="2"/>
  <c r="C4453" i="2"/>
  <c r="E4453" i="2"/>
  <c r="C4445" i="2"/>
  <c r="D4445" i="2"/>
  <c r="E4445" i="2"/>
  <c r="C4437" i="2"/>
  <c r="D4437" i="2"/>
  <c r="E4437" i="2"/>
  <c r="C4429" i="2"/>
  <c r="D4429" i="2"/>
  <c r="F4429" i="2"/>
  <c r="C4421" i="2"/>
  <c r="D4421" i="2"/>
  <c r="F4421" i="2"/>
  <c r="C4413" i="2"/>
  <c r="D4413" i="2"/>
  <c r="F4413" i="2"/>
  <c r="C4405" i="2"/>
  <c r="D4405" i="2"/>
  <c r="F4405" i="2"/>
  <c r="C4397" i="2"/>
  <c r="D4397" i="2"/>
  <c r="F4397" i="2"/>
  <c r="C4389" i="2"/>
  <c r="D4389" i="2"/>
  <c r="F4389" i="2"/>
  <c r="C4381" i="2"/>
  <c r="D4381" i="2"/>
  <c r="E4381" i="2"/>
  <c r="C4373" i="2"/>
  <c r="D4373" i="2"/>
  <c r="E4373" i="2"/>
  <c r="D4365" i="2"/>
  <c r="C4365" i="2"/>
  <c r="E4365" i="2"/>
  <c r="C4357" i="2"/>
  <c r="D4357" i="2"/>
  <c r="F4357" i="2"/>
  <c r="C4349" i="2"/>
  <c r="D4349" i="2"/>
  <c r="F4349" i="2"/>
  <c r="C4341" i="2"/>
  <c r="D4341" i="2"/>
  <c r="F4341" i="2"/>
  <c r="C4333" i="2"/>
  <c r="D4333" i="2"/>
  <c r="F4333" i="2"/>
  <c r="C4325" i="2"/>
  <c r="D4325" i="2"/>
  <c r="E4325" i="2"/>
  <c r="C4317" i="2"/>
  <c r="D4317" i="2"/>
  <c r="E4317" i="2"/>
  <c r="D4309" i="2"/>
  <c r="C4309" i="2"/>
  <c r="F4309" i="2"/>
  <c r="D4301" i="2"/>
  <c r="C4301" i="2"/>
  <c r="F4301" i="2"/>
  <c r="C4293" i="2"/>
  <c r="D4293" i="2"/>
  <c r="E4293" i="2"/>
  <c r="C4285" i="2"/>
  <c r="D4285" i="2"/>
  <c r="E4285" i="2"/>
  <c r="C4277" i="2"/>
  <c r="D4277" i="2"/>
  <c r="E4277" i="2"/>
  <c r="C4269" i="2"/>
  <c r="D4269" i="2"/>
  <c r="E4269" i="2"/>
  <c r="C4261" i="2"/>
  <c r="D4261" i="2"/>
  <c r="E4261" i="2"/>
  <c r="D4253" i="2"/>
  <c r="C4253" i="2"/>
  <c r="F4253" i="2"/>
  <c r="C4245" i="2"/>
  <c r="D4245" i="2"/>
  <c r="E4245" i="2"/>
  <c r="C4237" i="2"/>
  <c r="D4237" i="2"/>
  <c r="E4237" i="2"/>
  <c r="C4229" i="2"/>
  <c r="D4229" i="2"/>
  <c r="E4229" i="2"/>
  <c r="C4221" i="2"/>
  <c r="D4221" i="2"/>
  <c r="F4221" i="2"/>
  <c r="C4213" i="2"/>
  <c r="D4213" i="2"/>
  <c r="F4213" i="2"/>
  <c r="C4205" i="2"/>
  <c r="D4205" i="2"/>
  <c r="F4205" i="2"/>
  <c r="C4197" i="2"/>
  <c r="D4197" i="2"/>
  <c r="F4197" i="2"/>
  <c r="C4189" i="2"/>
  <c r="D4189" i="2"/>
  <c r="E4189" i="2"/>
  <c r="C4181" i="2"/>
  <c r="D4181" i="2"/>
  <c r="E4181" i="2"/>
  <c r="C4173" i="2"/>
  <c r="D4173" i="2"/>
  <c r="E4173" i="2"/>
  <c r="C4165" i="2"/>
  <c r="D4165" i="2"/>
  <c r="E4165" i="2"/>
  <c r="C4157" i="2"/>
  <c r="D4157" i="2"/>
  <c r="E4157" i="2"/>
  <c r="C4149" i="2"/>
  <c r="D4149" i="2"/>
  <c r="F4149" i="2"/>
  <c r="C4141" i="2"/>
  <c r="D4141" i="2"/>
  <c r="E4141" i="2"/>
  <c r="C4133" i="2"/>
  <c r="D4133" i="2"/>
  <c r="E4133" i="2"/>
  <c r="C4125" i="2"/>
  <c r="D4125" i="2"/>
  <c r="E4125" i="2"/>
  <c r="C4117" i="2"/>
  <c r="D4117" i="2"/>
  <c r="E4117" i="2"/>
  <c r="D4109" i="2"/>
  <c r="E4109" i="2"/>
  <c r="C4109" i="2"/>
  <c r="C4101" i="2"/>
  <c r="D4101" i="2"/>
  <c r="F4101" i="2"/>
  <c r="C4093" i="2"/>
  <c r="D4093" i="2"/>
  <c r="F4093" i="2"/>
  <c r="C4085" i="2"/>
  <c r="D4085" i="2"/>
  <c r="F4085" i="2"/>
  <c r="C4077" i="2"/>
  <c r="D4077" i="2"/>
  <c r="F4077" i="2"/>
  <c r="C4069" i="2"/>
  <c r="D4069" i="2"/>
  <c r="E4069" i="2"/>
  <c r="C4061" i="2"/>
  <c r="D4061" i="2"/>
  <c r="E4061" i="2"/>
  <c r="D4053" i="2"/>
  <c r="C4053" i="2"/>
  <c r="E4053" i="2"/>
  <c r="D4045" i="2"/>
  <c r="C4045" i="2"/>
  <c r="E4045" i="2"/>
  <c r="C4037" i="2"/>
  <c r="D4037" i="2"/>
  <c r="E4037" i="2"/>
  <c r="C4029" i="2"/>
  <c r="D4029" i="2"/>
  <c r="E4029" i="2"/>
  <c r="C4021" i="2"/>
  <c r="D4021" i="2"/>
  <c r="E4021" i="2"/>
  <c r="C4013" i="2"/>
  <c r="D4013" i="2"/>
  <c r="E4013" i="2"/>
  <c r="C4005" i="2"/>
  <c r="D4005" i="2"/>
  <c r="E4005" i="2"/>
  <c r="D3997" i="2"/>
  <c r="C3997" i="2"/>
  <c r="F3997" i="2"/>
  <c r="C3989" i="2"/>
  <c r="D3989" i="2"/>
  <c r="E3989" i="2"/>
  <c r="C3981" i="2"/>
  <c r="D3981" i="2"/>
  <c r="F3981" i="2"/>
  <c r="C3973" i="2"/>
  <c r="D3973" i="2"/>
  <c r="F3973" i="2"/>
  <c r="C3965" i="2"/>
  <c r="D3965" i="2"/>
  <c r="E3965" i="2"/>
  <c r="C3957" i="2"/>
  <c r="D3957" i="2"/>
  <c r="E3957" i="2"/>
  <c r="C3949" i="2"/>
  <c r="D3949" i="2"/>
  <c r="E3949" i="2"/>
  <c r="C3941" i="2"/>
  <c r="D3941" i="2"/>
  <c r="F3941" i="2"/>
  <c r="C3933" i="2"/>
  <c r="D3933" i="2"/>
  <c r="F3933" i="2"/>
  <c r="C3925" i="2"/>
  <c r="D3925" i="2"/>
  <c r="F3925" i="2"/>
  <c r="C3917" i="2"/>
  <c r="D3917" i="2"/>
  <c r="F3917" i="2"/>
  <c r="C3909" i="2"/>
  <c r="D3909" i="2"/>
  <c r="E3909" i="2"/>
  <c r="C3901" i="2"/>
  <c r="D3901" i="2"/>
  <c r="F3901" i="2"/>
  <c r="C3893" i="2"/>
  <c r="D3893" i="2"/>
  <c r="E3893" i="2"/>
  <c r="C3885" i="2"/>
  <c r="D3885" i="2"/>
  <c r="E3885" i="2"/>
  <c r="C3877" i="2"/>
  <c r="D3877" i="2"/>
  <c r="E3877" i="2"/>
  <c r="C3869" i="2"/>
  <c r="D3869" i="2"/>
  <c r="E3869" i="2"/>
  <c r="C3861" i="2"/>
  <c r="D3861" i="2"/>
  <c r="F3861" i="2"/>
  <c r="C3853" i="2"/>
  <c r="D3853" i="2"/>
  <c r="F3853" i="2"/>
  <c r="C3845" i="2"/>
  <c r="D3845" i="2"/>
  <c r="F3845" i="2"/>
  <c r="C3837" i="2"/>
  <c r="D3837" i="2"/>
  <c r="E3837" i="2"/>
  <c r="C3829" i="2"/>
  <c r="D3829" i="2"/>
  <c r="E3829" i="2"/>
  <c r="C3821" i="2"/>
  <c r="D3821" i="2"/>
  <c r="F3821" i="2"/>
  <c r="C3813" i="2"/>
  <c r="D3813" i="2"/>
  <c r="E3813" i="2"/>
  <c r="C3805" i="2"/>
  <c r="D3805" i="2"/>
  <c r="E3805" i="2"/>
  <c r="C3797" i="2"/>
  <c r="D3797" i="2"/>
  <c r="E3797" i="2"/>
  <c r="C3789" i="2"/>
  <c r="D3789" i="2"/>
  <c r="F3789" i="2"/>
  <c r="C3781" i="2"/>
  <c r="D3781" i="2"/>
  <c r="F3781" i="2"/>
  <c r="C3773" i="2"/>
  <c r="D3773" i="2"/>
  <c r="F3773" i="2"/>
  <c r="C3765" i="2"/>
  <c r="D3765" i="2"/>
  <c r="E3765" i="2"/>
  <c r="C3757" i="2"/>
  <c r="D3757" i="2"/>
  <c r="E3757" i="2"/>
  <c r="C3749" i="2"/>
  <c r="D3749" i="2"/>
  <c r="E3749" i="2"/>
  <c r="C3741" i="2"/>
  <c r="D3741" i="2"/>
  <c r="F3741" i="2"/>
  <c r="C3733" i="2"/>
  <c r="D3733" i="2"/>
  <c r="F3733" i="2"/>
  <c r="C3725" i="2"/>
  <c r="D3725" i="2"/>
  <c r="F3725" i="2"/>
  <c r="C3717" i="2"/>
  <c r="D3717" i="2"/>
  <c r="E3717" i="2"/>
  <c r="C3709" i="2"/>
  <c r="D3709" i="2"/>
  <c r="F3709" i="2"/>
  <c r="C3701" i="2"/>
  <c r="D3701" i="2"/>
  <c r="E3701" i="2"/>
  <c r="C3693" i="2"/>
  <c r="D3693" i="2"/>
  <c r="E3693" i="2"/>
  <c r="C3685" i="2"/>
  <c r="D3685" i="2"/>
  <c r="F3685" i="2"/>
  <c r="C3677" i="2"/>
  <c r="D3677" i="2"/>
  <c r="F3677" i="2"/>
  <c r="C3669" i="2"/>
  <c r="E3669" i="2"/>
  <c r="D3669" i="2"/>
  <c r="C3661" i="2"/>
  <c r="D3661" i="2"/>
  <c r="E3661" i="2"/>
  <c r="C3653" i="2"/>
  <c r="D3653" i="2"/>
  <c r="E3653" i="2"/>
  <c r="C3645" i="2"/>
  <c r="D3645" i="2"/>
  <c r="E3645" i="2"/>
  <c r="C3637" i="2"/>
  <c r="D3637" i="2"/>
  <c r="F3637" i="2"/>
  <c r="C3629" i="2"/>
  <c r="D3629" i="2"/>
  <c r="F3629" i="2"/>
  <c r="C3621" i="2"/>
  <c r="D3621" i="2"/>
  <c r="F3621" i="2"/>
  <c r="C3613" i="2"/>
  <c r="D3613" i="2"/>
  <c r="F3613" i="2"/>
  <c r="C3605" i="2"/>
  <c r="D3605" i="2"/>
  <c r="F3605" i="2"/>
  <c r="C3597" i="2"/>
  <c r="D3597" i="2"/>
  <c r="E3597" i="2"/>
  <c r="C3589" i="2"/>
  <c r="D3589" i="2"/>
  <c r="E3589" i="2"/>
  <c r="C3581" i="2"/>
  <c r="D3581" i="2"/>
  <c r="E3581" i="2"/>
  <c r="C3573" i="2"/>
  <c r="D3573" i="2"/>
  <c r="F3573" i="2"/>
  <c r="C3565" i="2"/>
  <c r="D3565" i="2"/>
  <c r="E3565" i="2"/>
  <c r="C3557" i="2"/>
  <c r="D3557" i="2"/>
  <c r="E3557" i="2"/>
  <c r="C3549" i="2"/>
  <c r="D3549" i="2"/>
  <c r="F3549" i="2"/>
  <c r="C3541" i="2"/>
  <c r="E3541" i="2"/>
  <c r="D3541" i="2"/>
  <c r="C3533" i="2"/>
  <c r="D3533" i="2"/>
  <c r="E3533" i="2"/>
  <c r="C3525" i="2"/>
  <c r="D3525" i="2"/>
  <c r="E3525" i="2"/>
  <c r="C3517" i="2"/>
  <c r="D3517" i="2"/>
  <c r="E3517" i="2"/>
  <c r="C3509" i="2"/>
  <c r="D3509" i="2"/>
  <c r="F3509" i="2"/>
  <c r="C3501" i="2"/>
  <c r="D3501" i="2"/>
  <c r="F3501" i="2"/>
  <c r="C3493" i="2"/>
  <c r="D3493" i="2"/>
  <c r="F3493" i="2"/>
  <c r="C3485" i="2"/>
  <c r="D3485" i="2"/>
  <c r="E3485" i="2"/>
  <c r="C3477" i="2"/>
  <c r="D3477" i="2"/>
  <c r="E3477" i="2"/>
  <c r="C3469" i="2"/>
  <c r="D3469" i="2"/>
  <c r="F3469" i="2"/>
  <c r="C3461" i="2"/>
  <c r="D3461" i="2"/>
  <c r="F3461" i="2"/>
  <c r="C3453" i="2"/>
  <c r="D3453" i="2"/>
  <c r="E3453" i="2"/>
  <c r="C3445" i="2"/>
  <c r="D3445" i="2"/>
  <c r="F3445" i="2"/>
  <c r="C3437" i="2"/>
  <c r="D3437" i="2"/>
  <c r="E3437" i="2"/>
  <c r="C3429" i="2"/>
  <c r="D3429" i="2"/>
  <c r="F3429" i="2"/>
  <c r="C3421" i="2"/>
  <c r="D3421" i="2"/>
  <c r="F3421" i="2"/>
  <c r="C3413" i="2"/>
  <c r="D3413" i="2"/>
  <c r="E3413" i="2"/>
  <c r="C3405" i="2"/>
  <c r="D3405" i="2"/>
  <c r="E3405" i="2"/>
  <c r="C3397" i="2"/>
  <c r="D3397" i="2"/>
  <c r="F3397" i="2"/>
  <c r="C3389" i="2"/>
  <c r="D3389" i="2"/>
  <c r="E3389" i="2"/>
  <c r="C3381" i="2"/>
  <c r="D3381" i="2"/>
  <c r="E3381" i="2"/>
  <c r="C3373" i="2"/>
  <c r="D3373" i="2"/>
  <c r="E3373" i="2"/>
  <c r="C3365" i="2"/>
  <c r="D3365" i="2"/>
  <c r="E3365" i="2"/>
  <c r="C3357" i="2"/>
  <c r="D3357" i="2"/>
  <c r="F3357" i="2"/>
  <c r="C3349" i="2"/>
  <c r="E3349" i="2"/>
  <c r="D3349" i="2"/>
  <c r="C3341" i="2"/>
  <c r="D3341" i="2"/>
  <c r="F3341" i="2"/>
  <c r="C3333" i="2"/>
  <c r="D3333" i="2"/>
  <c r="F3333" i="2"/>
  <c r="C3325" i="2"/>
  <c r="D3325" i="2"/>
  <c r="F3325" i="2"/>
  <c r="C3317" i="2"/>
  <c r="D3317" i="2"/>
  <c r="E3317" i="2"/>
  <c r="C3309" i="2"/>
  <c r="D3309" i="2"/>
  <c r="E3309" i="2"/>
  <c r="D3301" i="2"/>
  <c r="C3301" i="2"/>
  <c r="F3301" i="2"/>
  <c r="C3293" i="2"/>
  <c r="D3293" i="2"/>
  <c r="F3293" i="2"/>
  <c r="C3285" i="2"/>
  <c r="F3285" i="2"/>
  <c r="D3285" i="2"/>
  <c r="C3277" i="2"/>
  <c r="E3277" i="2"/>
  <c r="D3277" i="2"/>
  <c r="C3269" i="2"/>
  <c r="D3269" i="2"/>
  <c r="F3269" i="2"/>
  <c r="C3261" i="2"/>
  <c r="D3261" i="2"/>
  <c r="F3261" i="2"/>
  <c r="C3253" i="2"/>
  <c r="D3253" i="2"/>
  <c r="E3253" i="2"/>
  <c r="C3245" i="2"/>
  <c r="D3245" i="2"/>
  <c r="F3245" i="2"/>
  <c r="C3237" i="2"/>
  <c r="E3237" i="2"/>
  <c r="D3237" i="2"/>
  <c r="C3229" i="2"/>
  <c r="E3229" i="2"/>
  <c r="D3229" i="2"/>
  <c r="C3221" i="2"/>
  <c r="D3221" i="2"/>
  <c r="F3221" i="2"/>
  <c r="C3213" i="2"/>
  <c r="D3213" i="2"/>
  <c r="F3213" i="2"/>
  <c r="C3205" i="2"/>
  <c r="D3205" i="2"/>
  <c r="E3205" i="2"/>
  <c r="C3197" i="2"/>
  <c r="D3197" i="2"/>
  <c r="F3197" i="2"/>
  <c r="C3189" i="2"/>
  <c r="D3189" i="2"/>
  <c r="F3189" i="2"/>
  <c r="C3181" i="2"/>
  <c r="D3181" i="2"/>
  <c r="E3181" i="2"/>
  <c r="C3173" i="2"/>
  <c r="D3173" i="2"/>
  <c r="F3173" i="2"/>
  <c r="C3165" i="2"/>
  <c r="D3165" i="2"/>
  <c r="E3165" i="2"/>
  <c r="C3157" i="2"/>
  <c r="E3157" i="2"/>
  <c r="D3157" i="2"/>
  <c r="C3149" i="2"/>
  <c r="D3149" i="2"/>
  <c r="F3149" i="2"/>
  <c r="C3141" i="2"/>
  <c r="D3141" i="2"/>
  <c r="E3141" i="2"/>
  <c r="C3133" i="2"/>
  <c r="D3133" i="2"/>
  <c r="E3133" i="2"/>
  <c r="C3125" i="2"/>
  <c r="D3125" i="2"/>
  <c r="E3125" i="2"/>
  <c r="C3117" i="2"/>
  <c r="D3117" i="2"/>
  <c r="F3117" i="2"/>
  <c r="C3109" i="2"/>
  <c r="D3109" i="2"/>
  <c r="F3109" i="2"/>
  <c r="C3101" i="2"/>
  <c r="D3101" i="2"/>
  <c r="F3101" i="2"/>
  <c r="C3093" i="2"/>
  <c r="D3093" i="2"/>
  <c r="F3093" i="2"/>
  <c r="C3085" i="2"/>
  <c r="D3085" i="2"/>
  <c r="F3085" i="2"/>
  <c r="C3077" i="2"/>
  <c r="D3077" i="2"/>
  <c r="E3077" i="2"/>
  <c r="C3069" i="2"/>
  <c r="D3069" i="2"/>
  <c r="F3069" i="2"/>
  <c r="C3061" i="2"/>
  <c r="D3061" i="2"/>
  <c r="F3061" i="2"/>
  <c r="C3053" i="2"/>
  <c r="D3053" i="2"/>
  <c r="F3053" i="2"/>
  <c r="C3045" i="2"/>
  <c r="D3045" i="2"/>
  <c r="E3045" i="2"/>
  <c r="C3037" i="2"/>
  <c r="E3037" i="2"/>
  <c r="D3037" i="2"/>
  <c r="C3029" i="2"/>
  <c r="D3029" i="2"/>
  <c r="F3029" i="2"/>
  <c r="C3021" i="2"/>
  <c r="D3021" i="2"/>
  <c r="E3021" i="2"/>
  <c r="C3013" i="2"/>
  <c r="D3013" i="2"/>
  <c r="F3013" i="2"/>
  <c r="C3005" i="2"/>
  <c r="D3005" i="2"/>
  <c r="E3005" i="2"/>
  <c r="C2997" i="2"/>
  <c r="D2997" i="2"/>
  <c r="E2997" i="2"/>
  <c r="C2989" i="2"/>
  <c r="D2989" i="2"/>
  <c r="F2989" i="2"/>
  <c r="C2981" i="2"/>
  <c r="D2981" i="2"/>
  <c r="F2981" i="2"/>
  <c r="C2973" i="2"/>
  <c r="D2973" i="2"/>
  <c r="F2973" i="2"/>
  <c r="C2965" i="2"/>
  <c r="D2965" i="2"/>
  <c r="E2965" i="2"/>
  <c r="C2957" i="2"/>
  <c r="D2957" i="2"/>
  <c r="E2957" i="2"/>
  <c r="C2949" i="2"/>
  <c r="D2949" i="2"/>
  <c r="E2949" i="2"/>
  <c r="C2941" i="2"/>
  <c r="D2941" i="2"/>
  <c r="F2941" i="2"/>
  <c r="C2933" i="2"/>
  <c r="D2933" i="2"/>
  <c r="E2933" i="2"/>
  <c r="C2925" i="2"/>
  <c r="D2925" i="2"/>
  <c r="F2925" i="2"/>
  <c r="C2917" i="2"/>
  <c r="D2917" i="2"/>
  <c r="F2917" i="2"/>
  <c r="C2909" i="2"/>
  <c r="D2909" i="2"/>
  <c r="F2909" i="2"/>
  <c r="C2901" i="2"/>
  <c r="D2901" i="2"/>
  <c r="E2901" i="2"/>
  <c r="C2893" i="2"/>
  <c r="D2893" i="2"/>
  <c r="E2893" i="2"/>
  <c r="C2885" i="2"/>
  <c r="D2885" i="2"/>
  <c r="E2885" i="2"/>
  <c r="C2877" i="2"/>
  <c r="D2877" i="2"/>
  <c r="E2877" i="2"/>
  <c r="C2869" i="2"/>
  <c r="D2869" i="2"/>
  <c r="E2869" i="2"/>
  <c r="C2861" i="2"/>
  <c r="D2861" i="2"/>
  <c r="E2861" i="2"/>
  <c r="C2853" i="2"/>
  <c r="D2853" i="2"/>
  <c r="E2853" i="2"/>
  <c r="C2845" i="2"/>
  <c r="D2845" i="2"/>
  <c r="E2845" i="2"/>
  <c r="C2837" i="2"/>
  <c r="D2837" i="2"/>
  <c r="F2837" i="2"/>
  <c r="C2829" i="2"/>
  <c r="D2829" i="2"/>
  <c r="F2829" i="2"/>
  <c r="C2821" i="2"/>
  <c r="D2821" i="2"/>
  <c r="E2821" i="2"/>
  <c r="C2813" i="2"/>
  <c r="D2813" i="2"/>
  <c r="E2813" i="2"/>
  <c r="C2805" i="2"/>
  <c r="D2805" i="2"/>
  <c r="F2805" i="2"/>
  <c r="C2797" i="2"/>
  <c r="D2797" i="2"/>
  <c r="E2797" i="2"/>
  <c r="C2789" i="2"/>
  <c r="D2789" i="2"/>
  <c r="E2789" i="2"/>
  <c r="C2781" i="2"/>
  <c r="D2781" i="2"/>
  <c r="F2781" i="2"/>
  <c r="C2773" i="2"/>
  <c r="D2773" i="2"/>
  <c r="F2773" i="2"/>
  <c r="C2765" i="2"/>
  <c r="D2765" i="2"/>
  <c r="E2765" i="2"/>
  <c r="C2757" i="2"/>
  <c r="D2757" i="2"/>
  <c r="F2757" i="2"/>
  <c r="C2749" i="2"/>
  <c r="D2749" i="2"/>
  <c r="F2749" i="2"/>
  <c r="C2741" i="2"/>
  <c r="D2741" i="2"/>
  <c r="F2741" i="2"/>
  <c r="C2733" i="2"/>
  <c r="D2733" i="2"/>
  <c r="E2733" i="2"/>
  <c r="C2725" i="2"/>
  <c r="D2725" i="2"/>
  <c r="E2725" i="2"/>
  <c r="C2717" i="2"/>
  <c r="D2717" i="2"/>
  <c r="E2717" i="2"/>
  <c r="C2709" i="2"/>
  <c r="D2709" i="2"/>
  <c r="E2709" i="2"/>
  <c r="C2701" i="2"/>
  <c r="D2701" i="2"/>
  <c r="E2701" i="2"/>
  <c r="C2693" i="2"/>
  <c r="D2693" i="2"/>
  <c r="F2693" i="2"/>
  <c r="C2685" i="2"/>
  <c r="D2685" i="2"/>
  <c r="E2685" i="2"/>
  <c r="C2677" i="2"/>
  <c r="D2677" i="2"/>
  <c r="F2677" i="2"/>
  <c r="C2669" i="2"/>
  <c r="D2669" i="2"/>
  <c r="F2669" i="2"/>
  <c r="C2661" i="2"/>
  <c r="D2661" i="2"/>
  <c r="F2661" i="2"/>
  <c r="C2653" i="2"/>
  <c r="D2653" i="2"/>
  <c r="E2653" i="2"/>
  <c r="C2645" i="2"/>
  <c r="D2645" i="2"/>
  <c r="E2645" i="2"/>
  <c r="C2637" i="2"/>
  <c r="D2637" i="2"/>
  <c r="F2637" i="2"/>
  <c r="C2629" i="2"/>
  <c r="D2629" i="2"/>
  <c r="F2629" i="2"/>
  <c r="C2621" i="2"/>
  <c r="D2621" i="2"/>
  <c r="E2621" i="2"/>
  <c r="C2613" i="2"/>
  <c r="D2613" i="2"/>
  <c r="E2613" i="2"/>
  <c r="C2605" i="2"/>
  <c r="D2605" i="2"/>
  <c r="E2605" i="2"/>
  <c r="C2597" i="2"/>
  <c r="D2597" i="2"/>
  <c r="E2597" i="2"/>
  <c r="C2589" i="2"/>
  <c r="D2589" i="2"/>
  <c r="E2589" i="2"/>
  <c r="C2581" i="2"/>
  <c r="D2581" i="2"/>
  <c r="E2581" i="2"/>
  <c r="C2573" i="2"/>
  <c r="D2573" i="2"/>
  <c r="F2573" i="2"/>
  <c r="C2565" i="2"/>
  <c r="D2565" i="2"/>
  <c r="F2565" i="2"/>
  <c r="C2557" i="2"/>
  <c r="D2557" i="2"/>
  <c r="F2557" i="2"/>
  <c r="C2549" i="2"/>
  <c r="D2549" i="2"/>
  <c r="F2549" i="2"/>
  <c r="C2541" i="2"/>
  <c r="D2541" i="2"/>
  <c r="F2541" i="2"/>
  <c r="C2533" i="2"/>
  <c r="D2533" i="2"/>
  <c r="E2533" i="2"/>
  <c r="C2525" i="2"/>
  <c r="D2525" i="2"/>
  <c r="F2525" i="2"/>
  <c r="C2517" i="2"/>
  <c r="D2517" i="2"/>
  <c r="F2517" i="2"/>
  <c r="C2509" i="2"/>
  <c r="D2509" i="2"/>
  <c r="E2509" i="2"/>
  <c r="C2501" i="2"/>
  <c r="D2501" i="2"/>
  <c r="E2501" i="2"/>
  <c r="C2493" i="2"/>
  <c r="D2493" i="2"/>
  <c r="F2493" i="2"/>
  <c r="C2485" i="2"/>
  <c r="D2485" i="2"/>
  <c r="E2485" i="2"/>
  <c r="C2477" i="2"/>
  <c r="D2477" i="2"/>
  <c r="E2477" i="2"/>
  <c r="C2469" i="2"/>
  <c r="D2469" i="2"/>
  <c r="F2469" i="2"/>
  <c r="C2461" i="2"/>
  <c r="D2461" i="2"/>
  <c r="F2461" i="2"/>
  <c r="C2453" i="2"/>
  <c r="D2453" i="2"/>
  <c r="E2453" i="2"/>
  <c r="C2445" i="2"/>
  <c r="D2445" i="2"/>
  <c r="E2445" i="2"/>
  <c r="C2437" i="2"/>
  <c r="D2437" i="2"/>
  <c r="E2437" i="2"/>
  <c r="C2429" i="2"/>
  <c r="D2429" i="2"/>
  <c r="F2429" i="2"/>
  <c r="C2421" i="2"/>
  <c r="D2421" i="2"/>
  <c r="F2421" i="2"/>
  <c r="C2413" i="2"/>
  <c r="D2413" i="2"/>
  <c r="F2413" i="2"/>
  <c r="D2405" i="2"/>
  <c r="C2405" i="2"/>
  <c r="E2405" i="2"/>
  <c r="C2397" i="2"/>
  <c r="D2397" i="2"/>
  <c r="F2397" i="2"/>
  <c r="C2389" i="2"/>
  <c r="D2389" i="2"/>
  <c r="E2389" i="2"/>
  <c r="C2381" i="2"/>
  <c r="D2381" i="2"/>
  <c r="E2381" i="2"/>
  <c r="C2373" i="2"/>
  <c r="D2373" i="2"/>
  <c r="E2373" i="2"/>
  <c r="C2365" i="2"/>
  <c r="D2365" i="2"/>
  <c r="E2365" i="2"/>
  <c r="C2357" i="2"/>
  <c r="D2357" i="2"/>
  <c r="E2357" i="2"/>
  <c r="D2349" i="2"/>
  <c r="E2349" i="2"/>
  <c r="C2349" i="2"/>
  <c r="C2341" i="2"/>
  <c r="D2341" i="2"/>
  <c r="E2341" i="2"/>
  <c r="C2333" i="2"/>
  <c r="D2333" i="2"/>
  <c r="E2333" i="2"/>
  <c r="C2325" i="2"/>
  <c r="D2325" i="2"/>
  <c r="E2325" i="2"/>
  <c r="C2317" i="2"/>
  <c r="D2317" i="2"/>
  <c r="F2317" i="2"/>
  <c r="C2309" i="2"/>
  <c r="D2309" i="2"/>
  <c r="E2309" i="2"/>
  <c r="C2301" i="2"/>
  <c r="D2301" i="2"/>
  <c r="E2301" i="2"/>
  <c r="C2293" i="2"/>
  <c r="D2293" i="2"/>
  <c r="F2293" i="2"/>
  <c r="C2285" i="2"/>
  <c r="D2285" i="2"/>
  <c r="E2285" i="2"/>
  <c r="C2277" i="2"/>
  <c r="D2277" i="2"/>
  <c r="F2277" i="2"/>
  <c r="C2269" i="2"/>
  <c r="D2269" i="2"/>
  <c r="E2269" i="2"/>
  <c r="C2261" i="2"/>
  <c r="D2261" i="2"/>
  <c r="E2261" i="2"/>
  <c r="C2253" i="2"/>
  <c r="D2253" i="2"/>
  <c r="E2253" i="2"/>
  <c r="C2245" i="2"/>
  <c r="D2245" i="2"/>
  <c r="E2245" i="2"/>
  <c r="C2237" i="2"/>
  <c r="D2237" i="2"/>
  <c r="F2237" i="2"/>
  <c r="C2229" i="2"/>
  <c r="D2229" i="2"/>
  <c r="E2229" i="2"/>
  <c r="C2221" i="2"/>
  <c r="D2221" i="2"/>
  <c r="E2221" i="2"/>
  <c r="C2213" i="2"/>
  <c r="D2213" i="2"/>
  <c r="E2213" i="2"/>
  <c r="C2205" i="2"/>
  <c r="D2205" i="2"/>
  <c r="E2205" i="2"/>
  <c r="C2197" i="2"/>
  <c r="D2197" i="2"/>
  <c r="F2197" i="2"/>
  <c r="C2189" i="2"/>
  <c r="D2189" i="2"/>
  <c r="E2189" i="2"/>
  <c r="C2181" i="2"/>
  <c r="D2181" i="2"/>
  <c r="F2181" i="2"/>
  <c r="C2173" i="2"/>
  <c r="D2173" i="2"/>
  <c r="E2173" i="2"/>
  <c r="C2165" i="2"/>
  <c r="D2165" i="2"/>
  <c r="E2165" i="2"/>
  <c r="C2157" i="2"/>
  <c r="D2157" i="2"/>
  <c r="F2157" i="2"/>
  <c r="C2149" i="2"/>
  <c r="D2149" i="2"/>
  <c r="E2149" i="2"/>
  <c r="C2141" i="2"/>
  <c r="D2141" i="2"/>
  <c r="F2141" i="2"/>
  <c r="C2133" i="2"/>
  <c r="D2133" i="2"/>
  <c r="E2133" i="2"/>
  <c r="C2125" i="2"/>
  <c r="D2125" i="2"/>
  <c r="F2125" i="2"/>
  <c r="C2117" i="2"/>
  <c r="D2117" i="2"/>
  <c r="F2117" i="2"/>
  <c r="C2109" i="2"/>
  <c r="D2109" i="2"/>
  <c r="F2109" i="2"/>
  <c r="C2101" i="2"/>
  <c r="D2101" i="2"/>
  <c r="E2101" i="2"/>
  <c r="C2093" i="2"/>
  <c r="D2093" i="2"/>
  <c r="F2093" i="2"/>
  <c r="C2085" i="2"/>
  <c r="D2085" i="2"/>
  <c r="F2085" i="2"/>
  <c r="C2077" i="2"/>
  <c r="D2077" i="2"/>
  <c r="F2077" i="2"/>
  <c r="C2069" i="2"/>
  <c r="D2069" i="2"/>
  <c r="E2069" i="2"/>
  <c r="C2061" i="2"/>
  <c r="D2061" i="2"/>
  <c r="F2061" i="2"/>
  <c r="C2053" i="2"/>
  <c r="E2053" i="2"/>
  <c r="D2053" i="2"/>
  <c r="D2045" i="2"/>
  <c r="C2045" i="2"/>
  <c r="E2045" i="2"/>
  <c r="C2037" i="2"/>
  <c r="D2037" i="2"/>
  <c r="F2037" i="2"/>
  <c r="C2029" i="2"/>
  <c r="D2029" i="2"/>
  <c r="F2029" i="2"/>
  <c r="C2021" i="2"/>
  <c r="D2021" i="2"/>
  <c r="F2021" i="2"/>
  <c r="C2013" i="2"/>
  <c r="D2013" i="2"/>
  <c r="E2013" i="2"/>
  <c r="C2005" i="2"/>
  <c r="D2005" i="2"/>
  <c r="E2005" i="2"/>
  <c r="C1997" i="2"/>
  <c r="E1997" i="2"/>
  <c r="D1997" i="2"/>
  <c r="C1989" i="2"/>
  <c r="D1989" i="2"/>
  <c r="F1989" i="2"/>
  <c r="C1981" i="2"/>
  <c r="D1981" i="2"/>
  <c r="E1981" i="2"/>
  <c r="C1973" i="2"/>
  <c r="D1973" i="2"/>
  <c r="E1973" i="2"/>
  <c r="C1965" i="2"/>
  <c r="E1965" i="2"/>
  <c r="D1965" i="2"/>
  <c r="C1957" i="2"/>
  <c r="E1957" i="2"/>
  <c r="D1957" i="2"/>
  <c r="C1949" i="2"/>
  <c r="D1949" i="2"/>
  <c r="F1949" i="2"/>
  <c r="C1941" i="2"/>
  <c r="D1941" i="2"/>
  <c r="E1941" i="2"/>
  <c r="C1933" i="2"/>
  <c r="D1933" i="2"/>
  <c r="E1933" i="2"/>
  <c r="C1925" i="2"/>
  <c r="E1925" i="2"/>
  <c r="D1925" i="2"/>
  <c r="C1917" i="2"/>
  <c r="D1917" i="2"/>
  <c r="E1917" i="2"/>
  <c r="C1909" i="2"/>
  <c r="D1909" i="2"/>
  <c r="F1909" i="2"/>
  <c r="C1901" i="2"/>
  <c r="D1901" i="2"/>
  <c r="F1901" i="2"/>
  <c r="C4540" i="2"/>
  <c r="D4540" i="2"/>
  <c r="E4540" i="2"/>
  <c r="C4532" i="2"/>
  <c r="D4532" i="2"/>
  <c r="E4532" i="2"/>
  <c r="C4524" i="2"/>
  <c r="D4524" i="2"/>
  <c r="E4524" i="2"/>
  <c r="C4516" i="2"/>
  <c r="D4516" i="2"/>
  <c r="F4516" i="2"/>
  <c r="C4508" i="2"/>
  <c r="D4508" i="2"/>
  <c r="E4508" i="2"/>
  <c r="C4500" i="2"/>
  <c r="D4500" i="2"/>
  <c r="E4500" i="2"/>
  <c r="C4492" i="2"/>
  <c r="D4492" i="2"/>
  <c r="E4492" i="2"/>
  <c r="C4484" i="2"/>
  <c r="D4484" i="2"/>
  <c r="F4484" i="2"/>
  <c r="C4476" i="2"/>
  <c r="D4476" i="2"/>
  <c r="E4476" i="2"/>
  <c r="C4468" i="2"/>
  <c r="D4468" i="2"/>
  <c r="E4468" i="2"/>
  <c r="C4460" i="2"/>
  <c r="D4460" i="2"/>
  <c r="E4460" i="2"/>
  <c r="C4452" i="2"/>
  <c r="D4452" i="2"/>
  <c r="E4452" i="2"/>
  <c r="C4444" i="2"/>
  <c r="D4444" i="2"/>
  <c r="F4444" i="2"/>
  <c r="C4436" i="2"/>
  <c r="D4436" i="2"/>
  <c r="F4436" i="2"/>
  <c r="C4428" i="2"/>
  <c r="D4428" i="2"/>
  <c r="E4428" i="2"/>
  <c r="C4420" i="2"/>
  <c r="D4420" i="2"/>
  <c r="E4420" i="2"/>
  <c r="C4412" i="2"/>
  <c r="D4412" i="2"/>
  <c r="E4412" i="2"/>
  <c r="C4404" i="2"/>
  <c r="D4404" i="2"/>
  <c r="E4404" i="2"/>
  <c r="C4396" i="2"/>
  <c r="D4396" i="2"/>
  <c r="F4396" i="2"/>
  <c r="C4388" i="2"/>
  <c r="D4388" i="2"/>
  <c r="E4388" i="2"/>
  <c r="C4380" i="2"/>
  <c r="D4380" i="2"/>
  <c r="F4380" i="2"/>
  <c r="C4372" i="2"/>
  <c r="D4372" i="2"/>
  <c r="E4372" i="2"/>
  <c r="C4364" i="2"/>
  <c r="D4364" i="2"/>
  <c r="F4364" i="2"/>
  <c r="D4356" i="2"/>
  <c r="C4356" i="2"/>
  <c r="E4356" i="2"/>
  <c r="C4348" i="2"/>
  <c r="D4348" i="2"/>
  <c r="E4348" i="2"/>
  <c r="C4340" i="2"/>
  <c r="D4340" i="2"/>
  <c r="E4340" i="2"/>
  <c r="C4332" i="2"/>
  <c r="D4332" i="2"/>
  <c r="F4332" i="2"/>
  <c r="C4324" i="2"/>
  <c r="D4324" i="2"/>
  <c r="F4324" i="2"/>
  <c r="C4316" i="2"/>
  <c r="D4316" i="2"/>
  <c r="F4316" i="2"/>
  <c r="D4308" i="2"/>
  <c r="C4308" i="2"/>
  <c r="E4308" i="2"/>
  <c r="D4300" i="2"/>
  <c r="C4300" i="2"/>
  <c r="E4300" i="2"/>
  <c r="C4292" i="2"/>
  <c r="D4292" i="2"/>
  <c r="F4292" i="2"/>
  <c r="C4284" i="2"/>
  <c r="D4284" i="2"/>
  <c r="F4284" i="2"/>
  <c r="C4276" i="2"/>
  <c r="D4276" i="2"/>
  <c r="F4276" i="2"/>
  <c r="C4268" i="2"/>
  <c r="D4268" i="2"/>
  <c r="E4268" i="2"/>
  <c r="C4260" i="2"/>
  <c r="D4260" i="2"/>
  <c r="E4260" i="2"/>
  <c r="C4252" i="2"/>
  <c r="D4252" i="2"/>
  <c r="F4252" i="2"/>
  <c r="D4244" i="2"/>
  <c r="C4244" i="2"/>
  <c r="F4244" i="2"/>
  <c r="C4236" i="2"/>
  <c r="D4236" i="2"/>
  <c r="E4236" i="2"/>
  <c r="C4228" i="2"/>
  <c r="D4228" i="2"/>
  <c r="F4228" i="2"/>
  <c r="C4220" i="2"/>
  <c r="D4220" i="2"/>
  <c r="E4220" i="2"/>
  <c r="C4212" i="2"/>
  <c r="D4212" i="2"/>
  <c r="E4212" i="2"/>
  <c r="C4204" i="2"/>
  <c r="D4204" i="2"/>
  <c r="E4204" i="2"/>
  <c r="C4196" i="2"/>
  <c r="D4196" i="2"/>
  <c r="E4196" i="2"/>
  <c r="C4188" i="2"/>
  <c r="D4188" i="2"/>
  <c r="F4188" i="2"/>
  <c r="C4180" i="2"/>
  <c r="D4180" i="2"/>
  <c r="E4180" i="2"/>
  <c r="C4172" i="2"/>
  <c r="D4172" i="2"/>
  <c r="F4172" i="2"/>
  <c r="C4164" i="2"/>
  <c r="D4164" i="2"/>
  <c r="F4164" i="2"/>
  <c r="C4156" i="2"/>
  <c r="D4156" i="2"/>
  <c r="F4156" i="2"/>
  <c r="C4148" i="2"/>
  <c r="D4148" i="2"/>
  <c r="F4148" i="2"/>
  <c r="C4140" i="2"/>
  <c r="D4140" i="2"/>
  <c r="F4140" i="2"/>
  <c r="C4132" i="2"/>
  <c r="D4132" i="2"/>
  <c r="E4132" i="2"/>
  <c r="C4124" i="2"/>
  <c r="D4124" i="2"/>
  <c r="F4124" i="2"/>
  <c r="C4116" i="2"/>
  <c r="D4116" i="2"/>
  <c r="F4116" i="2"/>
  <c r="C4108" i="2"/>
  <c r="D4108" i="2"/>
  <c r="F4108" i="2"/>
  <c r="D4100" i="2"/>
  <c r="C4100" i="2"/>
  <c r="F4100" i="2"/>
  <c r="C4092" i="2"/>
  <c r="D4092" i="2"/>
  <c r="F4092" i="2"/>
  <c r="C4084" i="2"/>
  <c r="D4084" i="2"/>
  <c r="E4084" i="2"/>
  <c r="C4076" i="2"/>
  <c r="D4076" i="2"/>
  <c r="F4076" i="2"/>
  <c r="C4068" i="2"/>
  <c r="D4068" i="2"/>
  <c r="E4068" i="2"/>
  <c r="C4060" i="2"/>
  <c r="D4060" i="2"/>
  <c r="E4060" i="2"/>
  <c r="D4052" i="2"/>
  <c r="C4052" i="2"/>
  <c r="F4052" i="2"/>
  <c r="D4044" i="2"/>
  <c r="C4044" i="2"/>
  <c r="F4044" i="2"/>
  <c r="C4036" i="2"/>
  <c r="D4036" i="2"/>
  <c r="F4036" i="2"/>
  <c r="C4028" i="2"/>
  <c r="D4028" i="2"/>
  <c r="E4028" i="2"/>
  <c r="C4020" i="2"/>
  <c r="D4020" i="2"/>
  <c r="E4020" i="2"/>
  <c r="C4012" i="2"/>
  <c r="D4012" i="2"/>
  <c r="E4012" i="2"/>
  <c r="C4004" i="2"/>
  <c r="D4004" i="2"/>
  <c r="E4004" i="2"/>
  <c r="C3996" i="2"/>
  <c r="D3996" i="2"/>
  <c r="F3996" i="2"/>
  <c r="D3988" i="2"/>
  <c r="C3988" i="2"/>
  <c r="E3988" i="2"/>
  <c r="C3980" i="2"/>
  <c r="D3980" i="2"/>
  <c r="E3980" i="2"/>
  <c r="C3972" i="2"/>
  <c r="D3972" i="2"/>
  <c r="F3972" i="2"/>
  <c r="C3964" i="2"/>
  <c r="D3964" i="2"/>
  <c r="F3964" i="2"/>
  <c r="C3956" i="2"/>
  <c r="D3956" i="2"/>
  <c r="E3956" i="2"/>
  <c r="C3948" i="2"/>
  <c r="D3948" i="2"/>
  <c r="F3948" i="2"/>
  <c r="C3940" i="2"/>
  <c r="D3940" i="2"/>
  <c r="E3940" i="2"/>
  <c r="C3932" i="2"/>
  <c r="D3932" i="2"/>
  <c r="F3932" i="2"/>
  <c r="C3924" i="2"/>
  <c r="D3924" i="2"/>
  <c r="F3924" i="2"/>
  <c r="C3916" i="2"/>
  <c r="D3916" i="2"/>
  <c r="F3916" i="2"/>
  <c r="C3908" i="2"/>
  <c r="D3908" i="2"/>
  <c r="E3908" i="2"/>
  <c r="C3900" i="2"/>
  <c r="D3900" i="2"/>
  <c r="E3900" i="2"/>
  <c r="C3892" i="2"/>
  <c r="D3892" i="2"/>
  <c r="E3892" i="2"/>
  <c r="C3884" i="2"/>
  <c r="D3884" i="2"/>
  <c r="F3884" i="2"/>
  <c r="C3876" i="2"/>
  <c r="D3876" i="2"/>
  <c r="E3876" i="2"/>
  <c r="C3868" i="2"/>
  <c r="D3868" i="2"/>
  <c r="F3868" i="2"/>
  <c r="C3860" i="2"/>
  <c r="D3860" i="2"/>
  <c r="F3860" i="2"/>
  <c r="C3852" i="2"/>
  <c r="E3852" i="2"/>
  <c r="D3852" i="2"/>
  <c r="C3844" i="2"/>
  <c r="E3844" i="2"/>
  <c r="D3844" i="2"/>
  <c r="C3836" i="2"/>
  <c r="D3836" i="2"/>
  <c r="E3836" i="2"/>
  <c r="C3828" i="2"/>
  <c r="D3828" i="2"/>
  <c r="E3828" i="2"/>
  <c r="C3820" i="2"/>
  <c r="D3820" i="2"/>
  <c r="F3820" i="2"/>
  <c r="C3812" i="2"/>
  <c r="D3812" i="2"/>
  <c r="E3812" i="2"/>
  <c r="C3804" i="2"/>
  <c r="D3804" i="2"/>
  <c r="E3804" i="2"/>
  <c r="C3796" i="2"/>
  <c r="D3796" i="2"/>
  <c r="E3796" i="2"/>
  <c r="C3788" i="2"/>
  <c r="D3788" i="2"/>
  <c r="E3788" i="2"/>
  <c r="C3780" i="2"/>
  <c r="D3780" i="2"/>
  <c r="E3780" i="2"/>
  <c r="C3772" i="2"/>
  <c r="D3772" i="2"/>
  <c r="E3772" i="2"/>
  <c r="C3764" i="2"/>
  <c r="D3764" i="2"/>
  <c r="F3764" i="2"/>
  <c r="C3756" i="2"/>
  <c r="D3756" i="2"/>
  <c r="F3756" i="2"/>
  <c r="C3748" i="2"/>
  <c r="D3748" i="2"/>
  <c r="E3748" i="2"/>
  <c r="C3740" i="2"/>
  <c r="D3740" i="2"/>
  <c r="F3740" i="2"/>
  <c r="D3732" i="2"/>
  <c r="C3732" i="2"/>
  <c r="F3732" i="2"/>
  <c r="C3724" i="2"/>
  <c r="D3724" i="2"/>
  <c r="F3724" i="2"/>
  <c r="C3716" i="2"/>
  <c r="F3716" i="2"/>
  <c r="D3716" i="2"/>
  <c r="C3708" i="2"/>
  <c r="D3708" i="2"/>
  <c r="F3708" i="2"/>
  <c r="C3700" i="2"/>
  <c r="D3700" i="2"/>
  <c r="F3700" i="2"/>
  <c r="C3692" i="2"/>
  <c r="D3692" i="2"/>
  <c r="F3692" i="2"/>
  <c r="C3684" i="2"/>
  <c r="D3684" i="2"/>
  <c r="E3684" i="2"/>
  <c r="C3676" i="2"/>
  <c r="D3676" i="2"/>
  <c r="E3676" i="2"/>
  <c r="C3668" i="2"/>
  <c r="D3668" i="2"/>
  <c r="E3668" i="2"/>
  <c r="C3660" i="2"/>
  <c r="E3660" i="2"/>
  <c r="D3660" i="2"/>
  <c r="C3652" i="2"/>
  <c r="D3652" i="2"/>
  <c r="F3652" i="2"/>
  <c r="C3644" i="2"/>
  <c r="D3644" i="2"/>
  <c r="E3644" i="2"/>
  <c r="C3636" i="2"/>
  <c r="D3636" i="2"/>
  <c r="F3636" i="2"/>
  <c r="C3628" i="2"/>
  <c r="D3628" i="2"/>
  <c r="E3628" i="2"/>
  <c r="C3620" i="2"/>
  <c r="D3620" i="2"/>
  <c r="F3620" i="2"/>
  <c r="C3612" i="2"/>
  <c r="D3612" i="2"/>
  <c r="E3612" i="2"/>
  <c r="C3604" i="2"/>
  <c r="D3604" i="2"/>
  <c r="E3604" i="2"/>
  <c r="C3596" i="2"/>
  <c r="E3596" i="2"/>
  <c r="D3596" i="2"/>
  <c r="C3588" i="2"/>
  <c r="D3588" i="2"/>
  <c r="F3588" i="2"/>
  <c r="C3580" i="2"/>
  <c r="D3580" i="2"/>
  <c r="F3580" i="2"/>
  <c r="C3572" i="2"/>
  <c r="D3572" i="2"/>
  <c r="E3572" i="2"/>
  <c r="C3564" i="2"/>
  <c r="D3564" i="2"/>
  <c r="F3564" i="2"/>
  <c r="C3556" i="2"/>
  <c r="D3556" i="2"/>
  <c r="F3556" i="2"/>
  <c r="C3548" i="2"/>
  <c r="D3548" i="2"/>
  <c r="E3548" i="2"/>
  <c r="C3540" i="2"/>
  <c r="D3540" i="2"/>
  <c r="F3540" i="2"/>
  <c r="C3532" i="2"/>
  <c r="E3532" i="2"/>
  <c r="D3532" i="2"/>
  <c r="C3524" i="2"/>
  <c r="D3524" i="2"/>
  <c r="F3524" i="2"/>
  <c r="C3516" i="2"/>
  <c r="D3516" i="2"/>
  <c r="F3516" i="2"/>
  <c r="C3508" i="2"/>
  <c r="D3508" i="2"/>
  <c r="F3508" i="2"/>
  <c r="C3500" i="2"/>
  <c r="D3500" i="2"/>
  <c r="E3500" i="2"/>
  <c r="C3492" i="2"/>
  <c r="D3492" i="2"/>
  <c r="F3492" i="2"/>
  <c r="C3484" i="2"/>
  <c r="D3484" i="2"/>
  <c r="F3484" i="2"/>
  <c r="D3476" i="2"/>
  <c r="C3476" i="2"/>
  <c r="F3476" i="2"/>
  <c r="C3468" i="2"/>
  <c r="D3468" i="2"/>
  <c r="F3468" i="2"/>
  <c r="C3460" i="2"/>
  <c r="E3460" i="2"/>
  <c r="D3460" i="2"/>
  <c r="C3452" i="2"/>
  <c r="D3452" i="2"/>
  <c r="F3452" i="2"/>
  <c r="C3444" i="2"/>
  <c r="D3444" i="2"/>
  <c r="F3444" i="2"/>
  <c r="C3436" i="2"/>
  <c r="D3436" i="2"/>
  <c r="E3436" i="2"/>
  <c r="C3428" i="2"/>
  <c r="D3428" i="2"/>
  <c r="F3428" i="2"/>
  <c r="C3420" i="2"/>
  <c r="D3420" i="2"/>
  <c r="F3420" i="2"/>
  <c r="C3412" i="2"/>
  <c r="D3412" i="2"/>
  <c r="E3412" i="2"/>
  <c r="C3404" i="2"/>
  <c r="E3404" i="2"/>
  <c r="D3404" i="2"/>
  <c r="C3396" i="2"/>
  <c r="D3396" i="2"/>
  <c r="E3396" i="2"/>
  <c r="C3388" i="2"/>
  <c r="D3388" i="2"/>
  <c r="F3388" i="2"/>
  <c r="C3380" i="2"/>
  <c r="D3380" i="2"/>
  <c r="E3380" i="2"/>
  <c r="C3372" i="2"/>
  <c r="D3372" i="2"/>
  <c r="F3372" i="2"/>
  <c r="C3364" i="2"/>
  <c r="D3364" i="2"/>
  <c r="F3364" i="2"/>
  <c r="C3356" i="2"/>
  <c r="D3356" i="2"/>
  <c r="F3356" i="2"/>
  <c r="C3348" i="2"/>
  <c r="D3348" i="2"/>
  <c r="E3348" i="2"/>
  <c r="C3340" i="2"/>
  <c r="E3340" i="2"/>
  <c r="D3340" i="2"/>
  <c r="C3332" i="2"/>
  <c r="E3332" i="2"/>
  <c r="D3332" i="2"/>
  <c r="C3324" i="2"/>
  <c r="D3324" i="2"/>
  <c r="E3324" i="2"/>
  <c r="C3316" i="2"/>
  <c r="D3316" i="2"/>
  <c r="F3316" i="2"/>
  <c r="C3308" i="2"/>
  <c r="D3308" i="2"/>
  <c r="F3308" i="2"/>
  <c r="C3300" i="2"/>
  <c r="D3300" i="2"/>
  <c r="F3300" i="2"/>
  <c r="C3292" i="2"/>
  <c r="D3292" i="2"/>
  <c r="E3292" i="2"/>
  <c r="C3284" i="2"/>
  <c r="D3284" i="2"/>
  <c r="F3284" i="2"/>
  <c r="C3276" i="2"/>
  <c r="F3276" i="2"/>
  <c r="D3276" i="2"/>
  <c r="C3268" i="2"/>
  <c r="D3268" i="2"/>
  <c r="F3268" i="2"/>
  <c r="C3260" i="2"/>
  <c r="D3260" i="2"/>
  <c r="E3260" i="2"/>
  <c r="C3252" i="2"/>
  <c r="D3252" i="2"/>
  <c r="E3252" i="2"/>
  <c r="C3244" i="2"/>
  <c r="D3244" i="2"/>
  <c r="E3244" i="2"/>
  <c r="C3236" i="2"/>
  <c r="D3236" i="2"/>
  <c r="F3236" i="2"/>
  <c r="C3228" i="2"/>
  <c r="D3228" i="2"/>
  <c r="E3228" i="2"/>
  <c r="C3220" i="2"/>
  <c r="D3220" i="2"/>
  <c r="F3220" i="2"/>
  <c r="C3212" i="2"/>
  <c r="D3212" i="2"/>
  <c r="F3212" i="2"/>
  <c r="C3204" i="2"/>
  <c r="E3204" i="2"/>
  <c r="D3204" i="2"/>
  <c r="C3196" i="2"/>
  <c r="D3196" i="2"/>
  <c r="F3196" i="2"/>
  <c r="C3188" i="2"/>
  <c r="D3188" i="2"/>
  <c r="E3188" i="2"/>
  <c r="C3180" i="2"/>
  <c r="D3180" i="2"/>
  <c r="F3180" i="2"/>
  <c r="C3172" i="2"/>
  <c r="D3172" i="2"/>
  <c r="F3172" i="2"/>
  <c r="C3164" i="2"/>
  <c r="D3164" i="2"/>
  <c r="F3164" i="2"/>
  <c r="C3156" i="2"/>
  <c r="D3156" i="2"/>
  <c r="E3156" i="2"/>
  <c r="C3148" i="2"/>
  <c r="F3148" i="2"/>
  <c r="D3148" i="2"/>
  <c r="C3140" i="2"/>
  <c r="D3140" i="2"/>
  <c r="E3140" i="2"/>
  <c r="C3132" i="2"/>
  <c r="D3132" i="2"/>
  <c r="E3132" i="2"/>
  <c r="C3124" i="2"/>
  <c r="D3124" i="2"/>
  <c r="F3124" i="2"/>
  <c r="C3116" i="2"/>
  <c r="D3116" i="2"/>
  <c r="E3116" i="2"/>
  <c r="C3108" i="2"/>
  <c r="D3108" i="2"/>
  <c r="E3108" i="2"/>
  <c r="C3100" i="2"/>
  <c r="D3100" i="2"/>
  <c r="F3100" i="2"/>
  <c r="C3092" i="2"/>
  <c r="E3092" i="2"/>
  <c r="D3092" i="2"/>
  <c r="C3084" i="2"/>
  <c r="E3084" i="2"/>
  <c r="D3084" i="2"/>
  <c r="C3076" i="2"/>
  <c r="E3076" i="2"/>
  <c r="D3076" i="2"/>
  <c r="C3068" i="2"/>
  <c r="D3068" i="2"/>
  <c r="F3068" i="2"/>
  <c r="C3060" i="2"/>
  <c r="D3060" i="2"/>
  <c r="F3060" i="2"/>
  <c r="C3052" i="2"/>
  <c r="D3052" i="2"/>
  <c r="E3052" i="2"/>
  <c r="C3044" i="2"/>
  <c r="D3044" i="2"/>
  <c r="F3044" i="2"/>
  <c r="C3036" i="2"/>
  <c r="D3036" i="2"/>
  <c r="F3036" i="2"/>
  <c r="C3028" i="2"/>
  <c r="D3028" i="2"/>
  <c r="F3028" i="2"/>
  <c r="C3020" i="2"/>
  <c r="E3020" i="2"/>
  <c r="D3020" i="2"/>
  <c r="C3012" i="2"/>
  <c r="D3012" i="2"/>
  <c r="E3012" i="2"/>
  <c r="C3004" i="2"/>
  <c r="D3004" i="2"/>
  <c r="F3004" i="2"/>
  <c r="C2996" i="2"/>
  <c r="D2996" i="2"/>
  <c r="F2996" i="2"/>
  <c r="C2988" i="2"/>
  <c r="D2988" i="2"/>
  <c r="F2988" i="2"/>
  <c r="C2980" i="2"/>
  <c r="D2980" i="2"/>
  <c r="F2980" i="2"/>
  <c r="C2972" i="2"/>
  <c r="D2972" i="2"/>
  <c r="F2972" i="2"/>
  <c r="C2964" i="2"/>
  <c r="D2964" i="2"/>
  <c r="E2964" i="2"/>
  <c r="C2956" i="2"/>
  <c r="D2956" i="2"/>
  <c r="E2956" i="2"/>
  <c r="C2948" i="2"/>
  <c r="D2948" i="2"/>
  <c r="E2948" i="2"/>
  <c r="C2940" i="2"/>
  <c r="D2940" i="2"/>
  <c r="E2940" i="2"/>
  <c r="C2932" i="2"/>
  <c r="D2932" i="2"/>
  <c r="E2932" i="2"/>
  <c r="C2924" i="2"/>
  <c r="D2924" i="2"/>
  <c r="F2924" i="2"/>
  <c r="C2916" i="2"/>
  <c r="D2916" i="2"/>
  <c r="E2916" i="2"/>
  <c r="C2908" i="2"/>
  <c r="D2908" i="2"/>
  <c r="E2908" i="2"/>
  <c r="C2900" i="2"/>
  <c r="D2900" i="2"/>
  <c r="E2900" i="2"/>
  <c r="C2892" i="2"/>
  <c r="D2892" i="2"/>
  <c r="F2892" i="2"/>
  <c r="C2884" i="2"/>
  <c r="D2884" i="2"/>
  <c r="F2884" i="2"/>
  <c r="C2876" i="2"/>
  <c r="D2876" i="2"/>
  <c r="E2876" i="2"/>
  <c r="C2868" i="2"/>
  <c r="D2868" i="2"/>
  <c r="E2868" i="2"/>
  <c r="C2860" i="2"/>
  <c r="D2860" i="2"/>
  <c r="E2860" i="2"/>
  <c r="C2852" i="2"/>
  <c r="D2852" i="2"/>
  <c r="E2852" i="2"/>
  <c r="C2844" i="2"/>
  <c r="D2844" i="2"/>
  <c r="E2844" i="2"/>
  <c r="C2836" i="2"/>
  <c r="D2836" i="2"/>
  <c r="E2836" i="2"/>
  <c r="C2828" i="2"/>
  <c r="D2828" i="2"/>
  <c r="E2828" i="2"/>
  <c r="C2820" i="2"/>
  <c r="D2820" i="2"/>
  <c r="F2820" i="2"/>
  <c r="C2812" i="2"/>
  <c r="D2812" i="2"/>
  <c r="E2812" i="2"/>
  <c r="C2804" i="2"/>
  <c r="D2804" i="2"/>
  <c r="F2804" i="2"/>
  <c r="C2796" i="2"/>
  <c r="D2796" i="2"/>
  <c r="F2796" i="2"/>
  <c r="C2788" i="2"/>
  <c r="D2788" i="2"/>
  <c r="F2788" i="2"/>
  <c r="C2780" i="2"/>
  <c r="D2780" i="2"/>
  <c r="F2780" i="2"/>
  <c r="C2772" i="2"/>
  <c r="D2772" i="2"/>
  <c r="F2772" i="2"/>
  <c r="C2764" i="2"/>
  <c r="D2764" i="2"/>
  <c r="E2764" i="2"/>
  <c r="C2756" i="2"/>
  <c r="D2756" i="2"/>
  <c r="F2756" i="2"/>
  <c r="C2748" i="2"/>
  <c r="D2748" i="2"/>
  <c r="E2748" i="2"/>
  <c r="C2740" i="2"/>
  <c r="D2740" i="2"/>
  <c r="E2740" i="2"/>
  <c r="C2732" i="2"/>
  <c r="F2732" i="2"/>
  <c r="D2732" i="2"/>
  <c r="C2724" i="2"/>
  <c r="D2724" i="2"/>
  <c r="E2724" i="2"/>
  <c r="C2716" i="2"/>
  <c r="D2716" i="2"/>
  <c r="F2716" i="2"/>
  <c r="C2708" i="2"/>
  <c r="D2708" i="2"/>
  <c r="E2708" i="2"/>
  <c r="C2700" i="2"/>
  <c r="D2700" i="2"/>
  <c r="F2700" i="2"/>
  <c r="C2692" i="2"/>
  <c r="D2692" i="2"/>
  <c r="F2692" i="2"/>
  <c r="C2684" i="2"/>
  <c r="D2684" i="2"/>
  <c r="E2684" i="2"/>
  <c r="C2676" i="2"/>
  <c r="D2676" i="2"/>
  <c r="F2676" i="2"/>
  <c r="C2668" i="2"/>
  <c r="D2668" i="2"/>
  <c r="E2668" i="2"/>
  <c r="C2660" i="2"/>
  <c r="D2660" i="2"/>
  <c r="E2660" i="2"/>
  <c r="C2652" i="2"/>
  <c r="D2652" i="2"/>
  <c r="E2652" i="2"/>
  <c r="C2644" i="2"/>
  <c r="D2644" i="2"/>
  <c r="E2644" i="2"/>
  <c r="C2636" i="2"/>
  <c r="D2636" i="2"/>
  <c r="F2636" i="2"/>
  <c r="C2628" i="2"/>
  <c r="D2628" i="2"/>
  <c r="F2628" i="2"/>
  <c r="C2620" i="2"/>
  <c r="D2620" i="2"/>
  <c r="F2620" i="2"/>
  <c r="C2612" i="2"/>
  <c r="D2612" i="2"/>
  <c r="E2612" i="2"/>
  <c r="C2604" i="2"/>
  <c r="D2604" i="2"/>
  <c r="F2604" i="2"/>
  <c r="C2596" i="2"/>
  <c r="D2596" i="2"/>
  <c r="E2596" i="2"/>
  <c r="C2588" i="2"/>
  <c r="D2588" i="2"/>
  <c r="E2588" i="2"/>
  <c r="C2580" i="2"/>
  <c r="D2580" i="2"/>
  <c r="E2580" i="2"/>
  <c r="C2572" i="2"/>
  <c r="D2572" i="2"/>
  <c r="E2572" i="2"/>
  <c r="C2564" i="2"/>
  <c r="D2564" i="2"/>
  <c r="E2564" i="2"/>
  <c r="C2556" i="2"/>
  <c r="D2556" i="2"/>
  <c r="E2556" i="2"/>
  <c r="C2548" i="2"/>
  <c r="D2548" i="2"/>
  <c r="E2548" i="2"/>
  <c r="C2540" i="2"/>
  <c r="D2540" i="2"/>
  <c r="F2540" i="2"/>
  <c r="C2532" i="2"/>
  <c r="D2532" i="2"/>
  <c r="F2532" i="2"/>
  <c r="C2524" i="2"/>
  <c r="D2524" i="2"/>
  <c r="E2524" i="2"/>
  <c r="C2516" i="2"/>
  <c r="D2516" i="2"/>
  <c r="E2516" i="2"/>
  <c r="C2508" i="2"/>
  <c r="D2508" i="2"/>
  <c r="E2508" i="2"/>
  <c r="C2500" i="2"/>
  <c r="D2500" i="2"/>
  <c r="E2500" i="2"/>
  <c r="C2492" i="2"/>
  <c r="D2492" i="2"/>
  <c r="E2492" i="2"/>
  <c r="C2484" i="2"/>
  <c r="D2484" i="2"/>
  <c r="E2484" i="2"/>
  <c r="C2476" i="2"/>
  <c r="D2476" i="2"/>
  <c r="F2476" i="2"/>
  <c r="C2468" i="2"/>
  <c r="D2468" i="2"/>
  <c r="F2468" i="2"/>
  <c r="C2460" i="2"/>
  <c r="D2460" i="2"/>
  <c r="F2460" i="2"/>
  <c r="C2452" i="2"/>
  <c r="D2452" i="2"/>
  <c r="F2452" i="2"/>
  <c r="C2444" i="2"/>
  <c r="D2444" i="2"/>
  <c r="F2444" i="2"/>
  <c r="C2436" i="2"/>
  <c r="D2436" i="2"/>
  <c r="F2436" i="2"/>
  <c r="C2428" i="2"/>
  <c r="D2428" i="2"/>
  <c r="F2428" i="2"/>
  <c r="C2420" i="2"/>
  <c r="D2420" i="2"/>
  <c r="F2420" i="2"/>
  <c r="C2412" i="2"/>
  <c r="D2412" i="2"/>
  <c r="F2412" i="2"/>
  <c r="C2404" i="2"/>
  <c r="D2404" i="2"/>
  <c r="F2404" i="2"/>
  <c r="D2396" i="2"/>
  <c r="C2396" i="2"/>
  <c r="F2396" i="2"/>
  <c r="C2388" i="2"/>
  <c r="D2388" i="2"/>
  <c r="F2388" i="2"/>
  <c r="C2380" i="2"/>
  <c r="D2380" i="2"/>
  <c r="F2380" i="2"/>
  <c r="C2372" i="2"/>
  <c r="D2372" i="2"/>
  <c r="E2372" i="2"/>
  <c r="C2364" i="2"/>
  <c r="D2364" i="2"/>
  <c r="F2364" i="2"/>
  <c r="C2356" i="2"/>
  <c r="D2356" i="2"/>
  <c r="E2356" i="2"/>
  <c r="C2348" i="2"/>
  <c r="D2348" i="2"/>
  <c r="E2348" i="2"/>
  <c r="C2340" i="2"/>
  <c r="D2340" i="2"/>
  <c r="E2340" i="2"/>
  <c r="C2332" i="2"/>
  <c r="D2332" i="2"/>
  <c r="E2332" i="2"/>
  <c r="C2324" i="2"/>
  <c r="D2324" i="2"/>
  <c r="F2324" i="2"/>
  <c r="C2316" i="2"/>
  <c r="D2316" i="2"/>
  <c r="E2316" i="2"/>
  <c r="C2308" i="2"/>
  <c r="D2308" i="2"/>
  <c r="F2308" i="2"/>
  <c r="C2300" i="2"/>
  <c r="D2300" i="2"/>
  <c r="F2300" i="2"/>
  <c r="C2292" i="2"/>
  <c r="D2292" i="2"/>
  <c r="F2292" i="2"/>
  <c r="C2284" i="2"/>
  <c r="D2284" i="2"/>
  <c r="F2284" i="2"/>
  <c r="C2276" i="2"/>
  <c r="D2276" i="2"/>
  <c r="F2276" i="2"/>
  <c r="C2268" i="2"/>
  <c r="D2268" i="2"/>
  <c r="F2268" i="2"/>
  <c r="C2260" i="2"/>
  <c r="D2260" i="2"/>
  <c r="E2260" i="2"/>
  <c r="C2252" i="2"/>
  <c r="D2252" i="2"/>
  <c r="F2252" i="2"/>
  <c r="C2244" i="2"/>
  <c r="D2244" i="2"/>
  <c r="E2244" i="2"/>
  <c r="C2236" i="2"/>
  <c r="D2236" i="2"/>
  <c r="F2236" i="2"/>
  <c r="C2228" i="2"/>
  <c r="D2228" i="2"/>
  <c r="E2228" i="2"/>
  <c r="C2220" i="2"/>
  <c r="D2220" i="2"/>
  <c r="E2220" i="2"/>
  <c r="C2212" i="2"/>
  <c r="D2212" i="2"/>
  <c r="F2212" i="2"/>
  <c r="C2204" i="2"/>
  <c r="D2204" i="2"/>
  <c r="F2204" i="2"/>
  <c r="C2196" i="2"/>
  <c r="D2196" i="2"/>
  <c r="F2196" i="2"/>
  <c r="C2188" i="2"/>
  <c r="D2188" i="2"/>
  <c r="F2188" i="2"/>
  <c r="C2180" i="2"/>
  <c r="D2180" i="2"/>
  <c r="F2180" i="2"/>
  <c r="C2172" i="2"/>
  <c r="D2172" i="2"/>
  <c r="F2172" i="2"/>
  <c r="C2164" i="2"/>
  <c r="D2164" i="2"/>
  <c r="F2164" i="2"/>
  <c r="C2156" i="2"/>
  <c r="D2156" i="2"/>
  <c r="F2156" i="2"/>
  <c r="C2148" i="2"/>
  <c r="D2148" i="2"/>
  <c r="E2148" i="2"/>
  <c r="C2140" i="2"/>
  <c r="D2140" i="2"/>
  <c r="E2140" i="2"/>
  <c r="C2132" i="2"/>
  <c r="D2132" i="2"/>
  <c r="F2132" i="2"/>
  <c r="C2124" i="2"/>
  <c r="D2124" i="2"/>
  <c r="F2124" i="2"/>
  <c r="C2116" i="2"/>
  <c r="D2116" i="2"/>
  <c r="E2116" i="2"/>
  <c r="C2108" i="2"/>
  <c r="D2108" i="2"/>
  <c r="E2108" i="2"/>
  <c r="C2100" i="2"/>
  <c r="D2100" i="2"/>
  <c r="E2100" i="2"/>
  <c r="C2092" i="2"/>
  <c r="D2092" i="2"/>
  <c r="F2092" i="2"/>
  <c r="C2084" i="2"/>
  <c r="D2084" i="2"/>
  <c r="E2084" i="2"/>
  <c r="C2076" i="2"/>
  <c r="D2076" i="2"/>
  <c r="F2076" i="2"/>
  <c r="C2068" i="2"/>
  <c r="D2068" i="2"/>
  <c r="E2068" i="2"/>
  <c r="C2060" i="2"/>
  <c r="D2060" i="2"/>
  <c r="E2060" i="2"/>
  <c r="C2052" i="2"/>
  <c r="D2052" i="2"/>
  <c r="F2052" i="2"/>
  <c r="C1893" i="2"/>
  <c r="D1893" i="2"/>
  <c r="E1893" i="2"/>
  <c r="C1885" i="2"/>
  <c r="D1885" i="2"/>
  <c r="F1885" i="2"/>
  <c r="C1877" i="2"/>
  <c r="D1877" i="2"/>
  <c r="E1877" i="2"/>
  <c r="C1869" i="2"/>
  <c r="D1869" i="2"/>
  <c r="E1869" i="2"/>
  <c r="C1861" i="2"/>
  <c r="E1861" i="2"/>
  <c r="D1861" i="2"/>
  <c r="C1853" i="2"/>
  <c r="D1853" i="2"/>
  <c r="E1853" i="2"/>
  <c r="C1845" i="2"/>
  <c r="D1845" i="2"/>
  <c r="F1845" i="2"/>
  <c r="C1837" i="2"/>
  <c r="D1837" i="2"/>
  <c r="E1837" i="2"/>
  <c r="C1829" i="2"/>
  <c r="D1829" i="2"/>
  <c r="F1829" i="2"/>
  <c r="C1821" i="2"/>
  <c r="D1821" i="2"/>
  <c r="F1821" i="2"/>
  <c r="C1813" i="2"/>
  <c r="D1813" i="2"/>
  <c r="E1813" i="2"/>
  <c r="C1805" i="2"/>
  <c r="D1805" i="2"/>
  <c r="F1805" i="2"/>
  <c r="C1797" i="2"/>
  <c r="E1797" i="2"/>
  <c r="D1797" i="2"/>
  <c r="C1789" i="2"/>
  <c r="D1789" i="2"/>
  <c r="F1789" i="2"/>
  <c r="C1781" i="2"/>
  <c r="D1781" i="2"/>
  <c r="F1781" i="2"/>
  <c r="C1773" i="2"/>
  <c r="D1773" i="2"/>
  <c r="F1773" i="2"/>
  <c r="C1765" i="2"/>
  <c r="D1765" i="2"/>
  <c r="F1765" i="2"/>
  <c r="C1757" i="2"/>
  <c r="D1757" i="2"/>
  <c r="F1757" i="2"/>
  <c r="C1749" i="2"/>
  <c r="D1749" i="2"/>
  <c r="E1749" i="2"/>
  <c r="C1741" i="2"/>
  <c r="D1741" i="2"/>
  <c r="E1741" i="2"/>
  <c r="C1733" i="2"/>
  <c r="D1733" i="2"/>
  <c r="E1733" i="2"/>
  <c r="C1725" i="2"/>
  <c r="D1725" i="2"/>
  <c r="E1725" i="2"/>
  <c r="C1717" i="2"/>
  <c r="E1717" i="2"/>
  <c r="D1717" i="2"/>
  <c r="C1709" i="2"/>
  <c r="D1709" i="2"/>
  <c r="E1709" i="2"/>
  <c r="C1701" i="2"/>
  <c r="E1701" i="2"/>
  <c r="D1701" i="2"/>
  <c r="C1693" i="2"/>
  <c r="D1693" i="2"/>
  <c r="F1693" i="2"/>
  <c r="C1685" i="2"/>
  <c r="D1685" i="2"/>
  <c r="E1685" i="2"/>
  <c r="C1677" i="2"/>
  <c r="D1677" i="2"/>
  <c r="E1677" i="2"/>
  <c r="C1669" i="2"/>
  <c r="D1669" i="2"/>
  <c r="F1669" i="2"/>
  <c r="C1661" i="2"/>
  <c r="E1661" i="2"/>
  <c r="D1661" i="2"/>
  <c r="C1653" i="2"/>
  <c r="D1653" i="2"/>
  <c r="F1653" i="2"/>
  <c r="C1645" i="2"/>
  <c r="D1645" i="2"/>
  <c r="F1645" i="2"/>
  <c r="C1637" i="2"/>
  <c r="D1637" i="2"/>
  <c r="F1637" i="2"/>
  <c r="C1629" i="2"/>
  <c r="D1629" i="2"/>
  <c r="E1629" i="2"/>
  <c r="C1621" i="2"/>
  <c r="D1621" i="2"/>
  <c r="F1621" i="2"/>
  <c r="C1613" i="2"/>
  <c r="D1613" i="2"/>
  <c r="F1613" i="2"/>
  <c r="C1605" i="2"/>
  <c r="D1605" i="2"/>
  <c r="F1605" i="2"/>
  <c r="C1597" i="2"/>
  <c r="D1597" i="2"/>
  <c r="E1597" i="2"/>
  <c r="C1589" i="2"/>
  <c r="D1589" i="2"/>
  <c r="E1589" i="2"/>
  <c r="C1581" i="2"/>
  <c r="D1581" i="2"/>
  <c r="F1581" i="2"/>
  <c r="C1573" i="2"/>
  <c r="D1573" i="2"/>
  <c r="F1573" i="2"/>
  <c r="C1565" i="2"/>
  <c r="D1565" i="2"/>
  <c r="F1565" i="2"/>
  <c r="C1557" i="2"/>
  <c r="D1557" i="2"/>
  <c r="E1557" i="2"/>
  <c r="C1549" i="2"/>
  <c r="D1549" i="2"/>
  <c r="F1549" i="2"/>
  <c r="C1541" i="2"/>
  <c r="D1541" i="2"/>
  <c r="E1541" i="2"/>
  <c r="C1533" i="2"/>
  <c r="D1533" i="2"/>
  <c r="E1533" i="2"/>
  <c r="C1525" i="2"/>
  <c r="D1525" i="2"/>
  <c r="F1525" i="2"/>
  <c r="C1517" i="2"/>
  <c r="D1517" i="2"/>
  <c r="F1517" i="2"/>
  <c r="C1509" i="2"/>
  <c r="D1509" i="2"/>
  <c r="E1509" i="2"/>
  <c r="C1501" i="2"/>
  <c r="D1501" i="2"/>
  <c r="F1501" i="2"/>
  <c r="C1493" i="2"/>
  <c r="D1493" i="2"/>
  <c r="E1493" i="2"/>
  <c r="C1485" i="2"/>
  <c r="D1485" i="2"/>
  <c r="F1485" i="2"/>
  <c r="C1477" i="2"/>
  <c r="D1477" i="2"/>
  <c r="F1477" i="2"/>
  <c r="C1469" i="2"/>
  <c r="D1469" i="2"/>
  <c r="F1469" i="2"/>
  <c r="C1461" i="2"/>
  <c r="D1461" i="2"/>
  <c r="E1461" i="2"/>
  <c r="C1453" i="2"/>
  <c r="D1453" i="2"/>
  <c r="F1453" i="2"/>
  <c r="C1445" i="2"/>
  <c r="E1445" i="2"/>
  <c r="D1445" i="2"/>
  <c r="C1437" i="2"/>
  <c r="D1437" i="2"/>
  <c r="E1437" i="2"/>
  <c r="C1429" i="2"/>
  <c r="D1429" i="2"/>
  <c r="E1429" i="2"/>
  <c r="C1421" i="2"/>
  <c r="D1421" i="2"/>
  <c r="E1421" i="2"/>
  <c r="C1413" i="2"/>
  <c r="E1413" i="2"/>
  <c r="D1413" i="2"/>
  <c r="C1405" i="2"/>
  <c r="D1405" i="2"/>
  <c r="E1405" i="2"/>
  <c r="C1397" i="2"/>
  <c r="D1397" i="2"/>
  <c r="F1397" i="2"/>
  <c r="C1389" i="2"/>
  <c r="D1389" i="2"/>
  <c r="F1389" i="2"/>
  <c r="C1381" i="2"/>
  <c r="D1381" i="2"/>
  <c r="F1381" i="2"/>
  <c r="C1373" i="2"/>
  <c r="D1373" i="2"/>
  <c r="F1373" i="2"/>
  <c r="C1365" i="2"/>
  <c r="D1365" i="2"/>
  <c r="E1365" i="2"/>
  <c r="C1357" i="2"/>
  <c r="D1357" i="2"/>
  <c r="F1357" i="2"/>
  <c r="C1349" i="2"/>
  <c r="D1349" i="2"/>
  <c r="F1349" i="2"/>
  <c r="C1341" i="2"/>
  <c r="D1341" i="2"/>
  <c r="E1341" i="2"/>
  <c r="C1333" i="2"/>
  <c r="D1333" i="2"/>
  <c r="F1333" i="2"/>
  <c r="C1325" i="2"/>
  <c r="D1325" i="2"/>
  <c r="E1325" i="2"/>
  <c r="C1317" i="2"/>
  <c r="E1317" i="2"/>
  <c r="D1317" i="2"/>
  <c r="C1309" i="2"/>
  <c r="D1309" i="2"/>
  <c r="F1309" i="2"/>
  <c r="C1301" i="2"/>
  <c r="D1301" i="2"/>
  <c r="F1301" i="2"/>
  <c r="C1293" i="2"/>
  <c r="D1293" i="2"/>
  <c r="F1293" i="2"/>
  <c r="C1285" i="2"/>
  <c r="D1285" i="2"/>
  <c r="F1285" i="2"/>
  <c r="C1277" i="2"/>
  <c r="D1277" i="2"/>
  <c r="F1277" i="2"/>
  <c r="C1269" i="2"/>
  <c r="D1269" i="2"/>
  <c r="E1269" i="2"/>
  <c r="C1261" i="2"/>
  <c r="D1261" i="2"/>
  <c r="F1261" i="2"/>
  <c r="C1253" i="2"/>
  <c r="D1253" i="2"/>
  <c r="E1253" i="2"/>
  <c r="C1245" i="2"/>
  <c r="D1245" i="2"/>
  <c r="E1245" i="2"/>
  <c r="C1237" i="2"/>
  <c r="D1237" i="2"/>
  <c r="F1237" i="2"/>
  <c r="C1229" i="2"/>
  <c r="D1229" i="2"/>
  <c r="F1229" i="2"/>
  <c r="C1221" i="2"/>
  <c r="D1221" i="2"/>
  <c r="F1221" i="2"/>
  <c r="C1213" i="2"/>
  <c r="D1213" i="2"/>
  <c r="F1213" i="2"/>
  <c r="C1205" i="2"/>
  <c r="D1205" i="2"/>
  <c r="F1205" i="2"/>
  <c r="C1197" i="2"/>
  <c r="E1197" i="2"/>
  <c r="D1197" i="2"/>
  <c r="C1189" i="2"/>
  <c r="D1189" i="2"/>
  <c r="F1189" i="2"/>
  <c r="C1181" i="2"/>
  <c r="D1181" i="2"/>
  <c r="E1181" i="2"/>
  <c r="C1173" i="2"/>
  <c r="D1173" i="2"/>
  <c r="F1173" i="2"/>
  <c r="C1165" i="2"/>
  <c r="D1165" i="2"/>
  <c r="F1165" i="2"/>
  <c r="C1157" i="2"/>
  <c r="D1157" i="2"/>
  <c r="F1157" i="2"/>
  <c r="C1149" i="2"/>
  <c r="D1149" i="2"/>
  <c r="E1149" i="2"/>
  <c r="C1141" i="2"/>
  <c r="D1141" i="2"/>
  <c r="F1141" i="2"/>
  <c r="C1133" i="2"/>
  <c r="D1133" i="2"/>
  <c r="C1125" i="2"/>
  <c r="D1125" i="2"/>
  <c r="E1125" i="2"/>
  <c r="C1117" i="2"/>
  <c r="D1117" i="2"/>
  <c r="F1117" i="2"/>
  <c r="C1109" i="2"/>
  <c r="D1109" i="2"/>
  <c r="F1109" i="2"/>
  <c r="C1101" i="2"/>
  <c r="D1101" i="2"/>
  <c r="F1101" i="2"/>
  <c r="C1093" i="2"/>
  <c r="D1093" i="2"/>
  <c r="F1093" i="2"/>
  <c r="C1085" i="2"/>
  <c r="D1085" i="2"/>
  <c r="F1085" i="2"/>
  <c r="C1077" i="2"/>
  <c r="E1077" i="2"/>
  <c r="D1077" i="2"/>
  <c r="C1069" i="2"/>
  <c r="D1069" i="2"/>
  <c r="F1069" i="2"/>
  <c r="C1061" i="2"/>
  <c r="E1061" i="2"/>
  <c r="D1061" i="2"/>
  <c r="C1053" i="2"/>
  <c r="D1053" i="2"/>
  <c r="E1053" i="2"/>
  <c r="C1045" i="2"/>
  <c r="D1045" i="2"/>
  <c r="F1045" i="2"/>
  <c r="C1037" i="2"/>
  <c r="D1037" i="2"/>
  <c r="E1037" i="2"/>
  <c r="C1029" i="2"/>
  <c r="D1029" i="2"/>
  <c r="F1029" i="2"/>
  <c r="C1021" i="2"/>
  <c r="D1021" i="2"/>
  <c r="E1021" i="2"/>
  <c r="C1013" i="2"/>
  <c r="D1013" i="2"/>
  <c r="E1013" i="2"/>
  <c r="C1005" i="2"/>
  <c r="D1005" i="2"/>
  <c r="E1005" i="2"/>
  <c r="C997" i="2"/>
  <c r="D997" i="2"/>
  <c r="E997" i="2"/>
  <c r="C989" i="2"/>
  <c r="D989" i="2"/>
  <c r="E989" i="2"/>
  <c r="C981" i="2"/>
  <c r="D981" i="2"/>
  <c r="F981" i="2"/>
  <c r="C973" i="2"/>
  <c r="D973" i="2"/>
  <c r="F973" i="2"/>
  <c r="C965" i="2"/>
  <c r="D965" i="2"/>
  <c r="F965" i="2"/>
  <c r="C957" i="2"/>
  <c r="D957" i="2"/>
  <c r="F957" i="2"/>
  <c r="C949" i="2"/>
  <c r="D949" i="2"/>
  <c r="E949" i="2"/>
  <c r="C941" i="2"/>
  <c r="D941" i="2"/>
  <c r="F941" i="2"/>
  <c r="C933" i="2"/>
  <c r="E933" i="2"/>
  <c r="D933" i="2"/>
  <c r="C925" i="2"/>
  <c r="D925" i="2"/>
  <c r="E925" i="2"/>
  <c r="C917" i="2"/>
  <c r="D917" i="2"/>
  <c r="F917" i="2"/>
  <c r="C909" i="2"/>
  <c r="D909" i="2"/>
  <c r="F909" i="2"/>
  <c r="C901" i="2"/>
  <c r="D901" i="2"/>
  <c r="F901" i="2"/>
  <c r="C893" i="2"/>
  <c r="D893" i="2"/>
  <c r="E893" i="2"/>
  <c r="C885" i="2"/>
  <c r="D885" i="2"/>
  <c r="F885" i="2"/>
  <c r="C877" i="2"/>
  <c r="D877" i="2"/>
  <c r="E877" i="2"/>
  <c r="C869" i="2"/>
  <c r="D869" i="2"/>
  <c r="F869" i="2"/>
  <c r="C861" i="2"/>
  <c r="D861" i="2"/>
  <c r="E861" i="2"/>
  <c r="C853" i="2"/>
  <c r="D853" i="2"/>
  <c r="E853" i="2"/>
  <c r="C845" i="2"/>
  <c r="D845" i="2"/>
  <c r="F845" i="2"/>
  <c r="C837" i="2"/>
  <c r="D837" i="2"/>
  <c r="E837" i="2"/>
  <c r="C829" i="2"/>
  <c r="D829" i="2"/>
  <c r="F829" i="2"/>
  <c r="C821" i="2"/>
  <c r="D821" i="2"/>
  <c r="E821" i="2"/>
  <c r="C813" i="2"/>
  <c r="D813" i="2"/>
  <c r="F813" i="2"/>
  <c r="C805" i="2"/>
  <c r="E805" i="2"/>
  <c r="D805" i="2"/>
  <c r="C797" i="2"/>
  <c r="D797" i="2"/>
  <c r="F797" i="2"/>
  <c r="C789" i="2"/>
  <c r="D789" i="2"/>
  <c r="E789" i="2"/>
  <c r="C781" i="2"/>
  <c r="D781" i="2"/>
  <c r="F781" i="2"/>
  <c r="C773" i="2"/>
  <c r="D773" i="2"/>
  <c r="F773" i="2"/>
  <c r="C765" i="2"/>
  <c r="D765" i="2"/>
  <c r="E765" i="2"/>
  <c r="C757" i="2"/>
  <c r="D757" i="2"/>
  <c r="F757" i="2"/>
  <c r="C749" i="2"/>
  <c r="D749" i="2"/>
  <c r="F749" i="2"/>
  <c r="C741" i="2"/>
  <c r="D741" i="2"/>
  <c r="F741" i="2"/>
  <c r="C733" i="2"/>
  <c r="D733" i="2"/>
  <c r="E733" i="2"/>
  <c r="C725" i="2"/>
  <c r="D725" i="2"/>
  <c r="F725" i="2"/>
  <c r="C717" i="2"/>
  <c r="D717" i="2"/>
  <c r="E717" i="2"/>
  <c r="C709" i="2"/>
  <c r="D709" i="2"/>
  <c r="E709" i="2"/>
  <c r="C701" i="2"/>
  <c r="E701" i="2"/>
  <c r="D701" i="2"/>
  <c r="C693" i="2"/>
  <c r="D693" i="2"/>
  <c r="F693" i="2"/>
  <c r="C685" i="2"/>
  <c r="D685" i="2"/>
  <c r="E685" i="2"/>
  <c r="C677" i="2"/>
  <c r="D677" i="2"/>
  <c r="F677" i="2"/>
  <c r="C669" i="2"/>
  <c r="D669" i="2"/>
  <c r="E669" i="2"/>
  <c r="C661" i="2"/>
  <c r="D661" i="2"/>
  <c r="E661" i="2"/>
  <c r="C653" i="2"/>
  <c r="D653" i="2"/>
  <c r="E653" i="2"/>
  <c r="C645" i="2"/>
  <c r="D645" i="2"/>
  <c r="F645" i="2"/>
  <c r="C637" i="2"/>
  <c r="D637" i="2"/>
  <c r="F637" i="2"/>
  <c r="C629" i="2"/>
  <c r="D629" i="2"/>
  <c r="E629" i="2"/>
  <c r="C621" i="2"/>
  <c r="D621" i="2"/>
  <c r="F621" i="2"/>
  <c r="C613" i="2"/>
  <c r="D613" i="2"/>
  <c r="F613" i="2"/>
  <c r="C605" i="2"/>
  <c r="D605" i="2"/>
  <c r="F605" i="2"/>
  <c r="C597" i="2"/>
  <c r="D597" i="2"/>
  <c r="F597" i="2"/>
  <c r="C589" i="2"/>
  <c r="D589" i="2"/>
  <c r="E589" i="2"/>
  <c r="C581" i="2"/>
  <c r="D581" i="2"/>
  <c r="F581" i="2"/>
  <c r="C573" i="2"/>
  <c r="E573" i="2"/>
  <c r="D573" i="2"/>
  <c r="C565" i="2"/>
  <c r="D565" i="2"/>
  <c r="F565" i="2"/>
  <c r="C557" i="2"/>
  <c r="D557" i="2"/>
  <c r="E557" i="2"/>
  <c r="C549" i="2"/>
  <c r="E549" i="2"/>
  <c r="D549" i="2"/>
  <c r="C541" i="2"/>
  <c r="D541" i="2"/>
  <c r="F541" i="2"/>
  <c r="C533" i="2"/>
  <c r="D533" i="2"/>
  <c r="F533" i="2"/>
  <c r="C525" i="2"/>
  <c r="D525" i="2"/>
  <c r="F525" i="2"/>
  <c r="C517" i="2"/>
  <c r="D517" i="2"/>
  <c r="F517" i="2"/>
  <c r="C509" i="2"/>
  <c r="D509" i="2"/>
  <c r="E509" i="2"/>
  <c r="C501" i="2"/>
  <c r="D501" i="2"/>
  <c r="E501" i="2"/>
  <c r="C493" i="2"/>
  <c r="D493" i="2"/>
  <c r="F493" i="2"/>
  <c r="C485" i="2"/>
  <c r="D485" i="2"/>
  <c r="E485" i="2"/>
  <c r="C477" i="2"/>
  <c r="D477" i="2"/>
  <c r="F477" i="2"/>
  <c r="C469" i="2"/>
  <c r="D469" i="2"/>
  <c r="E469" i="2"/>
  <c r="C461" i="2"/>
  <c r="D461" i="2"/>
  <c r="F461" i="2"/>
  <c r="C453" i="2"/>
  <c r="D453" i="2"/>
  <c r="F453" i="2"/>
  <c r="C445" i="2"/>
  <c r="D445" i="2"/>
  <c r="F445" i="2"/>
  <c r="C437" i="2"/>
  <c r="D437" i="2"/>
  <c r="F437" i="2"/>
  <c r="C429" i="2"/>
  <c r="D429" i="2"/>
  <c r="E429" i="2"/>
  <c r="C421" i="2"/>
  <c r="D421" i="2"/>
  <c r="F421" i="2"/>
  <c r="C413" i="2"/>
  <c r="E413" i="2"/>
  <c r="D413" i="2"/>
  <c r="C405" i="2"/>
  <c r="D405" i="2"/>
  <c r="F405" i="2"/>
  <c r="C397" i="2"/>
  <c r="D397" i="2"/>
  <c r="F397" i="2"/>
  <c r="C389" i="2"/>
  <c r="D389" i="2"/>
  <c r="E389" i="2"/>
  <c r="C381" i="2"/>
  <c r="D381" i="2"/>
  <c r="F381" i="2"/>
  <c r="C373" i="2"/>
  <c r="D373" i="2"/>
  <c r="E373" i="2"/>
  <c r="C365" i="2"/>
  <c r="D365" i="2"/>
  <c r="E365" i="2"/>
  <c r="C357" i="2"/>
  <c r="D357" i="2"/>
  <c r="E357" i="2"/>
  <c r="C349" i="2"/>
  <c r="D349" i="2"/>
  <c r="F349" i="2"/>
  <c r="C341" i="2"/>
  <c r="E341" i="2"/>
  <c r="D341" i="2"/>
  <c r="C333" i="2"/>
  <c r="D333" i="2"/>
  <c r="E333" i="2"/>
  <c r="C325" i="2"/>
  <c r="D325" i="2"/>
  <c r="E325" i="2"/>
  <c r="C317" i="2"/>
  <c r="D317" i="2"/>
  <c r="E317" i="2"/>
  <c r="C309" i="2"/>
  <c r="D309" i="2"/>
  <c r="E309" i="2"/>
  <c r="C301" i="2"/>
  <c r="D301" i="2"/>
  <c r="E301" i="2"/>
  <c r="C293" i="2"/>
  <c r="D293" i="2"/>
  <c r="E293" i="2"/>
  <c r="C285" i="2"/>
  <c r="D285" i="2"/>
  <c r="F285" i="2"/>
  <c r="C277" i="2"/>
  <c r="E277" i="2"/>
  <c r="D277" i="2"/>
  <c r="C269" i="2"/>
  <c r="E269" i="2"/>
  <c r="D269" i="2"/>
  <c r="C261" i="2"/>
  <c r="D261" i="2"/>
  <c r="F261" i="2"/>
  <c r="C253" i="2"/>
  <c r="D253" i="2"/>
  <c r="F253" i="2"/>
  <c r="C245" i="2"/>
  <c r="D245" i="2"/>
  <c r="F245" i="2"/>
  <c r="C237" i="2"/>
  <c r="D237" i="2"/>
  <c r="F237" i="2"/>
  <c r="C229" i="2"/>
  <c r="D229" i="2"/>
  <c r="E229" i="2"/>
  <c r="C221" i="2"/>
  <c r="D221" i="2"/>
  <c r="E221" i="2"/>
  <c r="C213" i="2"/>
  <c r="D213" i="2"/>
  <c r="F213" i="2"/>
  <c r="C205" i="2"/>
  <c r="D205" i="2"/>
  <c r="F205" i="2"/>
  <c r="C197" i="2"/>
  <c r="E197" i="2"/>
  <c r="D197" i="2"/>
  <c r="C189" i="2"/>
  <c r="D189" i="2"/>
  <c r="F189" i="2"/>
  <c r="C181" i="2"/>
  <c r="D181" i="2"/>
  <c r="E181" i="2"/>
  <c r="C173" i="2"/>
  <c r="D173" i="2"/>
  <c r="E173" i="2"/>
  <c r="C165" i="2"/>
  <c r="D165" i="2"/>
  <c r="E165" i="2"/>
  <c r="C157" i="2"/>
  <c r="D157" i="2"/>
  <c r="E157" i="2"/>
  <c r="C149" i="2"/>
  <c r="E149" i="2"/>
  <c r="D149" i="2"/>
  <c r="C141" i="2"/>
  <c r="D141" i="2"/>
  <c r="F141" i="2"/>
  <c r="C133" i="2"/>
  <c r="E133" i="2"/>
  <c r="D133" i="2"/>
  <c r="C125" i="2"/>
  <c r="D125" i="2"/>
  <c r="E125" i="2"/>
  <c r="C117" i="2"/>
  <c r="D117" i="2"/>
  <c r="E117" i="2"/>
  <c r="C109" i="2"/>
  <c r="D109" i="2"/>
  <c r="F109" i="2"/>
  <c r="C101" i="2"/>
  <c r="D101" i="2"/>
  <c r="E101" i="2"/>
  <c r="C93" i="2"/>
  <c r="D93" i="2"/>
  <c r="E93" i="2"/>
  <c r="C85" i="2"/>
  <c r="E85" i="2"/>
  <c r="D85" i="2"/>
  <c r="C77" i="2"/>
  <c r="D77" i="2"/>
  <c r="F77" i="2"/>
  <c r="C69" i="2"/>
  <c r="D69" i="2"/>
  <c r="F69" i="2"/>
  <c r="C61" i="2"/>
  <c r="D61" i="2"/>
  <c r="E61" i="2"/>
  <c r="C53" i="2"/>
  <c r="D53" i="2"/>
  <c r="F53" i="2"/>
  <c r="C45" i="2"/>
  <c r="D45" i="2"/>
  <c r="F45" i="2"/>
  <c r="C37" i="2"/>
  <c r="D37" i="2"/>
  <c r="F37" i="2"/>
  <c r="C29" i="2"/>
  <c r="D29" i="2"/>
  <c r="F29" i="2"/>
  <c r="C21" i="2"/>
  <c r="D21" i="2"/>
  <c r="F21" i="2"/>
  <c r="C2044" i="2"/>
  <c r="D2044" i="2"/>
  <c r="E2044" i="2"/>
  <c r="C2036" i="2"/>
  <c r="D2036" i="2"/>
  <c r="F2036" i="2"/>
  <c r="C2028" i="2"/>
  <c r="D2028" i="2"/>
  <c r="F2028" i="2"/>
  <c r="C2020" i="2"/>
  <c r="D2020" i="2"/>
  <c r="E2020" i="2"/>
  <c r="C2012" i="2"/>
  <c r="D2012" i="2"/>
  <c r="F2012" i="2"/>
  <c r="C2004" i="2"/>
  <c r="D2004" i="2"/>
  <c r="E2004" i="2"/>
  <c r="C1996" i="2"/>
  <c r="D1996" i="2"/>
  <c r="F1996" i="2"/>
  <c r="C1988" i="2"/>
  <c r="D1988" i="2"/>
  <c r="F1988" i="2"/>
  <c r="C1980" i="2"/>
  <c r="D1980" i="2"/>
  <c r="F1980" i="2"/>
  <c r="C1972" i="2"/>
  <c r="D1972" i="2"/>
  <c r="E1972" i="2"/>
  <c r="C1964" i="2"/>
  <c r="D1964" i="2"/>
  <c r="F1964" i="2"/>
  <c r="C1956" i="2"/>
  <c r="D1956" i="2"/>
  <c r="F1956" i="2"/>
  <c r="C1948" i="2"/>
  <c r="D1948" i="2"/>
  <c r="E1948" i="2"/>
  <c r="C1940" i="2"/>
  <c r="D1940" i="2"/>
  <c r="F1940" i="2"/>
  <c r="C1932" i="2"/>
  <c r="D1932" i="2"/>
  <c r="F1932" i="2"/>
  <c r="C1924" i="2"/>
  <c r="D1924" i="2"/>
  <c r="F1924" i="2"/>
  <c r="C1916" i="2"/>
  <c r="D1916" i="2"/>
  <c r="E1916" i="2"/>
  <c r="C1908" i="2"/>
  <c r="D1908" i="2"/>
  <c r="E1908" i="2"/>
  <c r="C1900" i="2"/>
  <c r="D1900" i="2"/>
  <c r="F1900" i="2"/>
  <c r="C1892" i="2"/>
  <c r="D1892" i="2"/>
  <c r="E1892" i="2"/>
  <c r="C1884" i="2"/>
  <c r="D1884" i="2"/>
  <c r="E1884" i="2"/>
  <c r="C1876" i="2"/>
  <c r="D1876" i="2"/>
  <c r="E1876" i="2"/>
  <c r="C1868" i="2"/>
  <c r="D1868" i="2"/>
  <c r="E1868" i="2"/>
  <c r="C1860" i="2"/>
  <c r="D1860" i="2"/>
  <c r="E1860" i="2"/>
  <c r="C1852" i="2"/>
  <c r="D1852" i="2"/>
  <c r="F1852" i="2"/>
  <c r="C1844" i="2"/>
  <c r="D1844" i="2"/>
  <c r="E1844" i="2"/>
  <c r="C1836" i="2"/>
  <c r="D1836" i="2"/>
  <c r="E1836" i="2"/>
  <c r="C1828" i="2"/>
  <c r="D1828" i="2"/>
  <c r="E1828" i="2"/>
  <c r="C1820" i="2"/>
  <c r="D1820" i="2"/>
  <c r="F1820" i="2"/>
  <c r="C1812" i="2"/>
  <c r="D1812" i="2"/>
  <c r="E1812" i="2"/>
  <c r="C1804" i="2"/>
  <c r="D1804" i="2"/>
  <c r="E1804" i="2"/>
  <c r="C1796" i="2"/>
  <c r="D1796" i="2"/>
  <c r="F1796" i="2"/>
  <c r="C1788" i="2"/>
  <c r="D1788" i="2"/>
  <c r="F1788" i="2"/>
  <c r="C1780" i="2"/>
  <c r="D1780" i="2"/>
  <c r="F1780" i="2"/>
  <c r="C1772" i="2"/>
  <c r="D1772" i="2"/>
  <c r="F1772" i="2"/>
  <c r="C1764" i="2"/>
  <c r="D1764" i="2"/>
  <c r="E1764" i="2"/>
  <c r="C1756" i="2"/>
  <c r="D1756" i="2"/>
  <c r="E1756" i="2"/>
  <c r="C1748" i="2"/>
  <c r="D1748" i="2"/>
  <c r="F1748" i="2"/>
  <c r="C1740" i="2"/>
  <c r="D1740" i="2"/>
  <c r="F1740" i="2"/>
  <c r="C1732" i="2"/>
  <c r="D1732" i="2"/>
  <c r="F1732" i="2"/>
  <c r="C1724" i="2"/>
  <c r="D1724" i="2"/>
  <c r="F1724" i="2"/>
  <c r="C1716" i="2"/>
  <c r="D1716" i="2"/>
  <c r="E1716" i="2"/>
  <c r="C1708" i="2"/>
  <c r="D1708" i="2"/>
  <c r="E1708" i="2"/>
  <c r="C1700" i="2"/>
  <c r="D1700" i="2"/>
  <c r="F1700" i="2"/>
  <c r="C1692" i="2"/>
  <c r="D1692" i="2"/>
  <c r="E1692" i="2"/>
  <c r="C1684" i="2"/>
  <c r="D1684" i="2"/>
  <c r="F1684" i="2"/>
  <c r="C1676" i="2"/>
  <c r="D1676" i="2"/>
  <c r="E1676" i="2"/>
  <c r="C1668" i="2"/>
  <c r="D1668" i="2"/>
  <c r="F1668" i="2"/>
  <c r="C1660" i="2"/>
  <c r="D1660" i="2"/>
  <c r="F1660" i="2"/>
  <c r="C1652" i="2"/>
  <c r="D1652" i="2"/>
  <c r="F1652" i="2"/>
  <c r="C1644" i="2"/>
  <c r="D1644" i="2"/>
  <c r="F1644" i="2"/>
  <c r="C1636" i="2"/>
  <c r="D1636" i="2"/>
  <c r="F1636" i="2"/>
  <c r="C1628" i="2"/>
  <c r="D1628" i="2"/>
  <c r="C1620" i="2"/>
  <c r="D1620" i="2"/>
  <c r="E1620" i="2"/>
  <c r="C1612" i="2"/>
  <c r="D1612" i="2"/>
  <c r="E1612" i="2"/>
  <c r="C1604" i="2"/>
  <c r="D1604" i="2"/>
  <c r="F1604" i="2"/>
  <c r="C1596" i="2"/>
  <c r="D1596" i="2"/>
  <c r="E1596" i="2"/>
  <c r="C1588" i="2"/>
  <c r="D1588" i="2"/>
  <c r="E1588" i="2"/>
  <c r="C1580" i="2"/>
  <c r="D1580" i="2"/>
  <c r="E1580" i="2"/>
  <c r="C1572" i="2"/>
  <c r="D1572" i="2"/>
  <c r="F1572" i="2"/>
  <c r="C1564" i="2"/>
  <c r="D1564" i="2"/>
  <c r="E1564" i="2"/>
  <c r="C1556" i="2"/>
  <c r="D1556" i="2"/>
  <c r="E1556" i="2"/>
  <c r="C1548" i="2"/>
  <c r="D1548" i="2"/>
  <c r="F1548" i="2"/>
  <c r="C1540" i="2"/>
  <c r="D1540" i="2"/>
  <c r="F1540" i="2"/>
  <c r="C1532" i="2"/>
  <c r="D1532" i="2"/>
  <c r="E1532" i="2"/>
  <c r="C1524" i="2"/>
  <c r="D1524" i="2"/>
  <c r="F1524" i="2"/>
  <c r="C1516" i="2"/>
  <c r="D1516" i="2"/>
  <c r="F1516" i="2"/>
  <c r="C1508" i="2"/>
  <c r="D1508" i="2"/>
  <c r="E1508" i="2"/>
  <c r="C1500" i="2"/>
  <c r="D1500" i="2"/>
  <c r="F1500" i="2"/>
  <c r="C1492" i="2"/>
  <c r="D1492" i="2"/>
  <c r="E1492" i="2"/>
  <c r="C1484" i="2"/>
  <c r="D1484" i="2"/>
  <c r="E1484" i="2"/>
  <c r="C1476" i="2"/>
  <c r="D1476" i="2"/>
  <c r="F1476" i="2"/>
  <c r="C1468" i="2"/>
  <c r="D1468" i="2"/>
  <c r="E1468" i="2"/>
  <c r="C1460" i="2"/>
  <c r="D1460" i="2"/>
  <c r="F1460" i="2"/>
  <c r="C1452" i="2"/>
  <c r="D1452" i="2"/>
  <c r="F1452" i="2"/>
  <c r="C1444" i="2"/>
  <c r="D1444" i="2"/>
  <c r="F1444" i="2"/>
  <c r="C1436" i="2"/>
  <c r="D1436" i="2"/>
  <c r="E1436" i="2"/>
  <c r="C1428" i="2"/>
  <c r="D1428" i="2"/>
  <c r="E1428" i="2"/>
  <c r="C1420" i="2"/>
  <c r="D1420" i="2"/>
  <c r="F1420" i="2"/>
  <c r="C1412" i="2"/>
  <c r="D1412" i="2"/>
  <c r="F1412" i="2"/>
  <c r="C1404" i="2"/>
  <c r="D1404" i="2"/>
  <c r="F1404" i="2"/>
  <c r="C1396" i="2"/>
  <c r="D1396" i="2"/>
  <c r="E1396" i="2"/>
  <c r="C1388" i="2"/>
  <c r="D1388" i="2"/>
  <c r="E1388" i="2"/>
  <c r="C1380" i="2"/>
  <c r="D1380" i="2"/>
  <c r="E1380" i="2"/>
  <c r="C1372" i="2"/>
  <c r="D1372" i="2"/>
  <c r="F1372" i="2"/>
  <c r="C1364" i="2"/>
  <c r="D1364" i="2"/>
  <c r="F1364" i="2"/>
  <c r="C1356" i="2"/>
  <c r="D1356" i="2"/>
  <c r="F1356" i="2"/>
  <c r="C1348" i="2"/>
  <c r="D1348" i="2"/>
  <c r="F1348" i="2"/>
  <c r="C1340" i="2"/>
  <c r="D1340" i="2"/>
  <c r="F1340" i="2"/>
  <c r="C1332" i="2"/>
  <c r="D1332" i="2"/>
  <c r="E1332" i="2"/>
  <c r="C1324" i="2"/>
  <c r="D1324" i="2"/>
  <c r="E1324" i="2"/>
  <c r="C1316" i="2"/>
  <c r="D1316" i="2"/>
  <c r="E1316" i="2"/>
  <c r="C1308" i="2"/>
  <c r="D1308" i="2"/>
  <c r="E1308" i="2"/>
  <c r="C1300" i="2"/>
  <c r="D1300" i="2"/>
  <c r="F1300" i="2"/>
  <c r="C1292" i="2"/>
  <c r="D1292" i="2"/>
  <c r="F1292" i="2"/>
  <c r="C1284" i="2"/>
  <c r="D1284" i="2"/>
  <c r="F1284" i="2"/>
  <c r="C1276" i="2"/>
  <c r="D1276" i="2"/>
  <c r="E1276" i="2"/>
  <c r="C1268" i="2"/>
  <c r="D1268" i="2"/>
  <c r="E1268" i="2"/>
  <c r="C1260" i="2"/>
  <c r="D1260" i="2"/>
  <c r="F1260" i="2"/>
  <c r="C1252" i="2"/>
  <c r="D1252" i="2"/>
  <c r="F1252" i="2"/>
  <c r="C1244" i="2"/>
  <c r="D1244" i="2"/>
  <c r="F1244" i="2"/>
  <c r="C1236" i="2"/>
  <c r="D1236" i="2"/>
  <c r="F1236" i="2"/>
  <c r="C1228" i="2"/>
  <c r="D1228" i="2"/>
  <c r="E1228" i="2"/>
  <c r="C1220" i="2"/>
  <c r="D1220" i="2"/>
  <c r="F1220" i="2"/>
  <c r="C1212" i="2"/>
  <c r="D1212" i="2"/>
  <c r="F1212" i="2"/>
  <c r="C1204" i="2"/>
  <c r="D1204" i="2"/>
  <c r="F1204" i="2"/>
  <c r="C1196" i="2"/>
  <c r="D1196" i="2"/>
  <c r="E1196" i="2"/>
  <c r="C1188" i="2"/>
  <c r="D1188" i="2"/>
  <c r="F1188" i="2"/>
  <c r="C1180" i="2"/>
  <c r="D1180" i="2"/>
  <c r="E1180" i="2"/>
  <c r="C1172" i="2"/>
  <c r="D1172" i="2"/>
  <c r="F1172" i="2"/>
  <c r="C1164" i="2"/>
  <c r="D1164" i="2"/>
  <c r="F1164" i="2"/>
  <c r="C1156" i="2"/>
  <c r="D1156" i="2"/>
  <c r="F1156" i="2"/>
  <c r="C1148" i="2"/>
  <c r="D1148" i="2"/>
  <c r="F1148" i="2"/>
  <c r="C1140" i="2"/>
  <c r="D1140" i="2"/>
  <c r="E1140" i="2"/>
  <c r="C1132" i="2"/>
  <c r="D1132" i="2"/>
  <c r="F1132" i="2"/>
  <c r="C1124" i="2"/>
  <c r="D1124" i="2"/>
  <c r="E1124" i="2"/>
  <c r="C1116" i="2"/>
  <c r="D1116" i="2"/>
  <c r="E1116" i="2"/>
  <c r="C1108" i="2"/>
  <c r="D1108" i="2"/>
  <c r="E1108" i="2"/>
  <c r="C1100" i="2"/>
  <c r="D1100" i="2"/>
  <c r="E1100" i="2"/>
  <c r="C1092" i="2"/>
  <c r="D1092" i="2"/>
  <c r="F1092" i="2"/>
  <c r="C1084" i="2"/>
  <c r="D1084" i="2"/>
  <c r="E1084" i="2"/>
  <c r="C1076" i="2"/>
  <c r="D1076" i="2"/>
  <c r="E1076" i="2"/>
  <c r="C1068" i="2"/>
  <c r="D1068" i="2"/>
  <c r="E1068" i="2"/>
  <c r="C1060" i="2"/>
  <c r="E1060" i="2"/>
  <c r="D1060" i="2"/>
  <c r="C1052" i="2"/>
  <c r="D1052" i="2"/>
  <c r="F1052" i="2"/>
  <c r="C1044" i="2"/>
  <c r="D1044" i="2"/>
  <c r="E1044" i="2"/>
  <c r="C1036" i="2"/>
  <c r="D1036" i="2"/>
  <c r="F1036" i="2"/>
  <c r="C1028" i="2"/>
  <c r="D1028" i="2"/>
  <c r="E1028" i="2"/>
  <c r="C1020" i="2"/>
  <c r="D1020" i="2"/>
  <c r="F1020" i="2"/>
  <c r="C1012" i="2"/>
  <c r="D1012" i="2"/>
  <c r="F1012" i="2"/>
  <c r="C1004" i="2"/>
  <c r="D1004" i="2"/>
  <c r="F1004" i="2"/>
  <c r="C996" i="2"/>
  <c r="D996" i="2"/>
  <c r="E996" i="2"/>
  <c r="C988" i="2"/>
  <c r="D988" i="2"/>
  <c r="E988" i="2"/>
  <c r="C980" i="2"/>
  <c r="D980" i="2"/>
  <c r="E980" i="2"/>
  <c r="C972" i="2"/>
  <c r="D972" i="2"/>
  <c r="F972" i="2"/>
  <c r="C964" i="2"/>
  <c r="D964" i="2"/>
  <c r="F964" i="2"/>
  <c r="C956" i="2"/>
  <c r="D956" i="2"/>
  <c r="E956" i="2"/>
  <c r="C948" i="2"/>
  <c r="D948" i="2"/>
  <c r="F948" i="2"/>
  <c r="C940" i="2"/>
  <c r="D940" i="2"/>
  <c r="E940" i="2"/>
  <c r="C932" i="2"/>
  <c r="D932" i="2"/>
  <c r="F932" i="2"/>
  <c r="C924" i="2"/>
  <c r="D924" i="2"/>
  <c r="F924" i="2"/>
  <c r="C916" i="2"/>
  <c r="D916" i="2"/>
  <c r="E916" i="2"/>
  <c r="C908" i="2"/>
  <c r="D908" i="2"/>
  <c r="E908" i="2"/>
  <c r="C900" i="2"/>
  <c r="D900" i="2"/>
  <c r="E900" i="2"/>
  <c r="C892" i="2"/>
  <c r="D892" i="2"/>
  <c r="F892" i="2"/>
  <c r="C884" i="2"/>
  <c r="D884" i="2"/>
  <c r="F884" i="2"/>
  <c r="C876" i="2"/>
  <c r="D876" i="2"/>
  <c r="E876" i="2"/>
  <c r="C868" i="2"/>
  <c r="D868" i="2"/>
  <c r="F868" i="2"/>
  <c r="C860" i="2"/>
  <c r="D860" i="2"/>
  <c r="F860" i="2"/>
  <c r="C852" i="2"/>
  <c r="D852" i="2"/>
  <c r="E852" i="2"/>
  <c r="C844" i="2"/>
  <c r="D844" i="2"/>
  <c r="E844" i="2"/>
  <c r="C836" i="2"/>
  <c r="D836" i="2"/>
  <c r="E836" i="2"/>
  <c r="C828" i="2"/>
  <c r="D828" i="2"/>
  <c r="E828" i="2"/>
  <c r="C820" i="2"/>
  <c r="D820" i="2"/>
  <c r="F820" i="2"/>
  <c r="C812" i="2"/>
  <c r="D812" i="2"/>
  <c r="F812" i="2"/>
  <c r="C804" i="2"/>
  <c r="D804" i="2"/>
  <c r="E804" i="2"/>
  <c r="C796" i="2"/>
  <c r="D796" i="2"/>
  <c r="F796" i="2"/>
  <c r="C788" i="2"/>
  <c r="D788" i="2"/>
  <c r="F788" i="2"/>
  <c r="C780" i="2"/>
  <c r="D780" i="2"/>
  <c r="F780" i="2"/>
  <c r="C772" i="2"/>
  <c r="D772" i="2"/>
  <c r="E772" i="2"/>
  <c r="C764" i="2"/>
  <c r="D764" i="2"/>
  <c r="E764" i="2"/>
  <c r="C756" i="2"/>
  <c r="D756" i="2"/>
  <c r="E756" i="2"/>
  <c r="C748" i="2"/>
  <c r="D748" i="2"/>
  <c r="E748" i="2"/>
  <c r="C740" i="2"/>
  <c r="D740" i="2"/>
  <c r="E740" i="2"/>
  <c r="C732" i="2"/>
  <c r="D732" i="2"/>
  <c r="F732" i="2"/>
  <c r="C724" i="2"/>
  <c r="D724" i="2"/>
  <c r="E724" i="2"/>
  <c r="C716" i="2"/>
  <c r="D716" i="2"/>
  <c r="F716" i="2"/>
  <c r="C708" i="2"/>
  <c r="D708" i="2"/>
  <c r="E708" i="2"/>
  <c r="C700" i="2"/>
  <c r="D700" i="2"/>
  <c r="E700" i="2"/>
  <c r="C692" i="2"/>
  <c r="D692" i="2"/>
  <c r="F692" i="2"/>
  <c r="C684" i="2"/>
  <c r="D684" i="2"/>
  <c r="E684" i="2"/>
  <c r="C676" i="2"/>
  <c r="D676" i="2"/>
  <c r="E676" i="2"/>
  <c r="C668" i="2"/>
  <c r="D668" i="2"/>
  <c r="E668" i="2"/>
  <c r="C660" i="2"/>
  <c r="D660" i="2"/>
  <c r="F660" i="2"/>
  <c r="C652" i="2"/>
  <c r="D652" i="2"/>
  <c r="F652" i="2"/>
  <c r="C644" i="2"/>
  <c r="D644" i="2"/>
  <c r="E644" i="2"/>
  <c r="C636" i="2"/>
  <c r="D636" i="2"/>
  <c r="F636" i="2"/>
  <c r="C628" i="2"/>
  <c r="D628" i="2"/>
  <c r="F628" i="2"/>
  <c r="C620" i="2"/>
  <c r="D620" i="2"/>
  <c r="F620" i="2"/>
  <c r="C612" i="2"/>
  <c r="D612" i="2"/>
  <c r="E612" i="2"/>
  <c r="C604" i="2"/>
  <c r="D604" i="2"/>
  <c r="F604" i="2"/>
  <c r="C596" i="2"/>
  <c r="D596" i="2"/>
  <c r="F596" i="2"/>
  <c r="C588" i="2"/>
  <c r="D588" i="2"/>
  <c r="E588" i="2"/>
  <c r="D580" i="2"/>
  <c r="F580" i="2"/>
  <c r="C572" i="2"/>
  <c r="D572" i="2"/>
  <c r="F572" i="2"/>
  <c r="C564" i="2"/>
  <c r="D564" i="2"/>
  <c r="F564" i="2"/>
  <c r="C556" i="2"/>
  <c r="D556" i="2"/>
  <c r="E556" i="2"/>
  <c r="C548" i="2"/>
  <c r="D548" i="2"/>
  <c r="F548" i="2"/>
  <c r="C540" i="2"/>
  <c r="D540" i="2"/>
  <c r="E540" i="2"/>
  <c r="C532" i="2"/>
  <c r="D532" i="2"/>
  <c r="F532" i="2"/>
  <c r="C524" i="2"/>
  <c r="D524" i="2"/>
  <c r="F524" i="2"/>
  <c r="C516" i="2"/>
  <c r="D516" i="2"/>
  <c r="E516" i="2"/>
  <c r="C508" i="2"/>
  <c r="D508" i="2"/>
  <c r="F508" i="2"/>
  <c r="C500" i="2"/>
  <c r="D500" i="2"/>
  <c r="F500" i="2"/>
  <c r="C492" i="2"/>
  <c r="D492" i="2"/>
  <c r="F492" i="2"/>
  <c r="C484" i="2"/>
  <c r="D484" i="2"/>
  <c r="E484" i="2"/>
  <c r="C476" i="2"/>
  <c r="D476" i="2"/>
  <c r="F476" i="2"/>
  <c r="C468" i="2"/>
  <c r="D468" i="2"/>
  <c r="E468" i="2"/>
  <c r="C460" i="2"/>
  <c r="D460" i="2"/>
  <c r="E460" i="2"/>
  <c r="C452" i="2"/>
  <c r="D452" i="2"/>
  <c r="F452" i="2"/>
  <c r="C444" i="2"/>
  <c r="D444" i="2"/>
  <c r="E444" i="2"/>
  <c r="C436" i="2"/>
  <c r="D436" i="2"/>
  <c r="F436" i="2"/>
  <c r="C428" i="2"/>
  <c r="D428" i="2"/>
  <c r="E428" i="2"/>
  <c r="C420" i="2"/>
  <c r="D420" i="2"/>
  <c r="F420" i="2"/>
  <c r="C412" i="2"/>
  <c r="D412" i="2"/>
  <c r="E412" i="2"/>
  <c r="C404" i="2"/>
  <c r="D404" i="2"/>
  <c r="E404" i="2"/>
  <c r="C396" i="2"/>
  <c r="D396" i="2"/>
  <c r="E396" i="2"/>
  <c r="C388" i="2"/>
  <c r="D388" i="2"/>
  <c r="F388" i="2"/>
  <c r="C380" i="2"/>
  <c r="D380" i="2"/>
  <c r="E380" i="2"/>
  <c r="C372" i="2"/>
  <c r="D372" i="2"/>
  <c r="E372" i="2"/>
  <c r="C364" i="2"/>
  <c r="D364" i="2"/>
  <c r="E364" i="2"/>
  <c r="C356" i="2"/>
  <c r="D356" i="2"/>
  <c r="E356" i="2"/>
  <c r="C348" i="2"/>
  <c r="D348" i="2"/>
  <c r="E348" i="2"/>
  <c r="C340" i="2"/>
  <c r="D340" i="2"/>
  <c r="E340" i="2"/>
  <c r="C332" i="2"/>
  <c r="D332" i="2"/>
  <c r="E332" i="2"/>
  <c r="C324" i="2"/>
  <c r="D324" i="2"/>
  <c r="F324" i="2"/>
  <c r="C316" i="2"/>
  <c r="D316" i="2"/>
  <c r="E316" i="2"/>
  <c r="C308" i="2"/>
  <c r="D308" i="2"/>
  <c r="E308" i="2"/>
  <c r="C300" i="2"/>
  <c r="D300" i="2"/>
  <c r="F300" i="2"/>
  <c r="C292" i="2"/>
  <c r="D292" i="2"/>
  <c r="F292" i="2"/>
  <c r="C284" i="2"/>
  <c r="D284" i="2"/>
  <c r="F284" i="2"/>
  <c r="C276" i="2"/>
  <c r="D276" i="2"/>
  <c r="F276" i="2"/>
  <c r="C268" i="2"/>
  <c r="D268" i="2"/>
  <c r="F268" i="2"/>
  <c r="C260" i="2"/>
  <c r="D260" i="2"/>
  <c r="E260" i="2"/>
  <c r="C252" i="2"/>
  <c r="D252" i="2"/>
  <c r="F252" i="2"/>
  <c r="C244" i="2"/>
  <c r="D244" i="2"/>
  <c r="F244" i="2"/>
  <c r="C236" i="2"/>
  <c r="D236" i="2"/>
  <c r="F236" i="2"/>
  <c r="C228" i="2"/>
  <c r="D228" i="2"/>
  <c r="E228" i="2"/>
  <c r="C220" i="2"/>
  <c r="D220" i="2"/>
  <c r="F220" i="2"/>
  <c r="C212" i="2"/>
  <c r="D212" i="2"/>
  <c r="E212" i="2"/>
  <c r="C204" i="2"/>
  <c r="D204" i="2"/>
  <c r="E204" i="2"/>
  <c r="C196" i="2"/>
  <c r="D196" i="2"/>
  <c r="F196" i="2"/>
  <c r="C188" i="2"/>
  <c r="D188" i="2"/>
  <c r="E188" i="2"/>
  <c r="C180" i="2"/>
  <c r="D180" i="2"/>
  <c r="F180" i="2"/>
  <c r="C172" i="2"/>
  <c r="D172" i="2"/>
  <c r="E172" i="2"/>
  <c r="C164" i="2"/>
  <c r="D164" i="2"/>
  <c r="E164" i="2"/>
  <c r="C156" i="2"/>
  <c r="D156" i="2"/>
  <c r="E156" i="2"/>
  <c r="C148" i="2"/>
  <c r="D148" i="2"/>
  <c r="E148" i="2"/>
  <c r="C140" i="2"/>
  <c r="D140" i="2"/>
  <c r="F140" i="2"/>
  <c r="C132" i="2"/>
  <c r="D132" i="2"/>
  <c r="E132" i="2"/>
  <c r="C124" i="2"/>
  <c r="D124" i="2"/>
  <c r="F124" i="2"/>
  <c r="C116" i="2"/>
  <c r="D116" i="2"/>
  <c r="E116" i="2"/>
  <c r="C108" i="2"/>
  <c r="D108" i="2"/>
  <c r="E108" i="2"/>
  <c r="C100" i="2"/>
  <c r="D100" i="2"/>
  <c r="E100" i="2"/>
  <c r="C92" i="2"/>
  <c r="D92" i="2"/>
  <c r="E92" i="2"/>
  <c r="C84" i="2"/>
  <c r="D84" i="2"/>
  <c r="F84" i="2"/>
  <c r="C76" i="2"/>
  <c r="E76" i="2"/>
  <c r="D76" i="2"/>
  <c r="C68" i="2"/>
  <c r="D68" i="2"/>
  <c r="F68" i="2"/>
  <c r="C60" i="2"/>
  <c r="D60" i="2"/>
  <c r="E60" i="2"/>
  <c r="C52" i="2"/>
  <c r="D52" i="2"/>
  <c r="E52" i="2"/>
  <c r="C44" i="2"/>
  <c r="D44" i="2"/>
  <c r="F44" i="2"/>
  <c r="C36" i="2"/>
  <c r="D36" i="2"/>
  <c r="F36" i="2"/>
  <c r="C28" i="2"/>
  <c r="D28" i="2"/>
  <c r="F28" i="2"/>
  <c r="C20" i="2"/>
  <c r="D20" i="2"/>
  <c r="F20" i="2"/>
  <c r="F1628" i="2"/>
  <c r="F1133" i="2"/>
  <c r="C4539" i="2"/>
  <c r="D4539" i="2"/>
  <c r="E4539" i="2"/>
  <c r="C4531" i="2"/>
  <c r="D4531" i="2"/>
  <c r="E4531" i="2"/>
  <c r="C4523" i="2"/>
  <c r="D4523" i="2"/>
  <c r="F4523" i="2"/>
  <c r="C4515" i="2"/>
  <c r="D4515" i="2"/>
  <c r="F4515" i="2"/>
  <c r="C4507" i="2"/>
  <c r="D4507" i="2"/>
  <c r="F4507" i="2"/>
  <c r="C4499" i="2"/>
  <c r="D4499" i="2"/>
  <c r="E4499" i="2"/>
  <c r="C4491" i="2"/>
  <c r="D4491" i="2"/>
  <c r="F4491" i="2"/>
  <c r="C4483" i="2"/>
  <c r="D4483" i="2"/>
  <c r="F4483" i="2"/>
  <c r="C4475" i="2"/>
  <c r="D4475" i="2"/>
  <c r="F4475" i="2"/>
  <c r="C4467" i="2"/>
  <c r="D4467" i="2"/>
  <c r="E4467" i="2"/>
  <c r="C4459" i="2"/>
  <c r="D4459" i="2"/>
  <c r="F4459" i="2"/>
  <c r="C4451" i="2"/>
  <c r="D4451" i="2"/>
  <c r="C4443" i="2"/>
  <c r="D4443" i="2"/>
  <c r="F4443" i="2"/>
  <c r="C4435" i="2"/>
  <c r="D4435" i="2"/>
  <c r="F4435" i="2"/>
  <c r="C4427" i="2"/>
  <c r="D4427" i="2"/>
  <c r="F4427" i="2"/>
  <c r="C4419" i="2"/>
  <c r="D4419" i="2"/>
  <c r="F4419" i="2"/>
  <c r="C4411" i="2"/>
  <c r="D4411" i="2"/>
  <c r="F4411" i="2"/>
  <c r="C4403" i="2"/>
  <c r="D4403" i="2"/>
  <c r="F4403" i="2"/>
  <c r="C4395" i="2"/>
  <c r="E4395" i="2"/>
  <c r="D4395" i="2"/>
  <c r="C4387" i="2"/>
  <c r="D4387" i="2"/>
  <c r="F4387" i="2"/>
  <c r="C4379" i="2"/>
  <c r="D4379" i="2"/>
  <c r="F4379" i="2"/>
  <c r="C4371" i="2"/>
  <c r="D4371" i="2"/>
  <c r="F4371" i="2"/>
  <c r="C4363" i="2"/>
  <c r="D4363" i="2"/>
  <c r="F4363" i="2"/>
  <c r="C4355" i="2"/>
  <c r="E4355" i="2"/>
  <c r="D4355" i="2"/>
  <c r="C4347" i="2"/>
  <c r="D4347" i="2"/>
  <c r="F4347" i="2"/>
  <c r="C4339" i="2"/>
  <c r="D4339" i="2"/>
  <c r="F4339" i="2"/>
  <c r="C4331" i="2"/>
  <c r="D4331" i="2"/>
  <c r="F4331" i="2"/>
  <c r="C4323" i="2"/>
  <c r="E4323" i="2"/>
  <c r="D4323" i="2"/>
  <c r="C4315" i="2"/>
  <c r="D4315" i="2"/>
  <c r="E4315" i="2"/>
  <c r="C4307" i="2"/>
  <c r="D4307" i="2"/>
  <c r="F4307" i="2"/>
  <c r="C4299" i="2"/>
  <c r="D4299" i="2"/>
  <c r="F4299" i="2"/>
  <c r="C4291" i="2"/>
  <c r="E4291" i="2"/>
  <c r="D4291" i="2"/>
  <c r="C4283" i="2"/>
  <c r="D4283" i="2"/>
  <c r="E4283" i="2"/>
  <c r="C4275" i="2"/>
  <c r="D4275" i="2"/>
  <c r="F4275" i="2"/>
  <c r="C4267" i="2"/>
  <c r="E4267" i="2"/>
  <c r="D4267" i="2"/>
  <c r="C4259" i="2"/>
  <c r="D4259" i="2"/>
  <c r="F4259" i="2"/>
  <c r="C4251" i="2"/>
  <c r="D4251" i="2"/>
  <c r="E4251" i="2"/>
  <c r="C4243" i="2"/>
  <c r="D4243" i="2"/>
  <c r="F4243" i="2"/>
  <c r="C4235" i="2"/>
  <c r="D4235" i="2"/>
  <c r="F4235" i="2"/>
  <c r="C4227" i="2"/>
  <c r="D4227" i="2"/>
  <c r="F4227" i="2"/>
  <c r="C4219" i="2"/>
  <c r="D4219" i="2"/>
  <c r="E4219" i="2"/>
  <c r="C4211" i="2"/>
  <c r="D4211" i="2"/>
  <c r="E4211" i="2"/>
  <c r="C4203" i="2"/>
  <c r="D4203" i="2"/>
  <c r="F4203" i="2"/>
  <c r="C4195" i="2"/>
  <c r="E4195" i="2"/>
  <c r="D4195" i="2"/>
  <c r="C4187" i="2"/>
  <c r="D4187" i="2"/>
  <c r="E4187" i="2"/>
  <c r="C4179" i="2"/>
  <c r="D4179" i="2"/>
  <c r="E4179" i="2"/>
  <c r="C4171" i="2"/>
  <c r="D4171" i="2"/>
  <c r="C4163" i="2"/>
  <c r="E4163" i="2"/>
  <c r="D4163" i="2"/>
  <c r="C4155" i="2"/>
  <c r="D4155" i="2"/>
  <c r="E4155" i="2"/>
  <c r="C4147" i="2"/>
  <c r="D4147" i="2"/>
  <c r="F4147" i="2"/>
  <c r="C4139" i="2"/>
  <c r="D4139" i="2"/>
  <c r="F4139" i="2"/>
  <c r="C4131" i="2"/>
  <c r="D4131" i="2"/>
  <c r="F4131" i="2"/>
  <c r="C4123" i="2"/>
  <c r="D4123" i="2"/>
  <c r="E4123" i="2"/>
  <c r="C4115" i="2"/>
  <c r="D4115" i="2"/>
  <c r="F4115" i="2"/>
  <c r="C4107" i="2"/>
  <c r="D4107" i="2"/>
  <c r="E4107" i="2"/>
  <c r="C4099" i="2"/>
  <c r="D4099" i="2"/>
  <c r="E4099" i="2"/>
  <c r="C4091" i="2"/>
  <c r="D4091" i="2"/>
  <c r="E4091" i="2"/>
  <c r="C4083" i="2"/>
  <c r="D4083" i="2"/>
  <c r="F4083" i="2"/>
  <c r="C4075" i="2"/>
  <c r="D4075" i="2"/>
  <c r="F4075" i="2"/>
  <c r="C4067" i="2"/>
  <c r="E4067" i="2"/>
  <c r="D4067" i="2"/>
  <c r="C4059" i="2"/>
  <c r="D4059" i="2"/>
  <c r="E4059" i="2"/>
  <c r="C4051" i="2"/>
  <c r="D4051" i="2"/>
  <c r="E4051" i="2"/>
  <c r="C4043" i="2"/>
  <c r="E4043" i="2"/>
  <c r="D4043" i="2"/>
  <c r="C4035" i="2"/>
  <c r="D4035" i="2"/>
  <c r="E4035" i="2"/>
  <c r="C4027" i="2"/>
  <c r="D4027" i="2"/>
  <c r="C4019" i="2"/>
  <c r="D4019" i="2"/>
  <c r="E4019" i="2"/>
  <c r="C4011" i="2"/>
  <c r="D4011" i="2"/>
  <c r="F4011" i="2"/>
  <c r="C4003" i="2"/>
  <c r="D4003" i="2"/>
  <c r="F4003" i="2"/>
  <c r="C3995" i="2"/>
  <c r="D3995" i="2"/>
  <c r="E3995" i="2"/>
  <c r="C3987" i="2"/>
  <c r="D3987" i="2"/>
  <c r="E3987" i="2"/>
  <c r="C3979" i="2"/>
  <c r="D3979" i="2"/>
  <c r="F3979" i="2"/>
  <c r="C3971" i="2"/>
  <c r="E3971" i="2"/>
  <c r="D3971" i="2"/>
  <c r="C3963" i="2"/>
  <c r="D3963" i="2"/>
  <c r="E3963" i="2"/>
  <c r="C3955" i="2"/>
  <c r="D3955" i="2"/>
  <c r="E3955" i="2"/>
  <c r="C3947" i="2"/>
  <c r="E3947" i="2"/>
  <c r="D3947" i="2"/>
  <c r="C3939" i="2"/>
  <c r="D3939" i="2"/>
  <c r="C3931" i="2"/>
  <c r="D3931" i="2"/>
  <c r="E3931" i="2"/>
  <c r="C3923" i="2"/>
  <c r="D3923" i="2"/>
  <c r="F3923" i="2"/>
  <c r="C3915" i="2"/>
  <c r="D3915" i="2"/>
  <c r="F3915" i="2"/>
  <c r="C3907" i="2"/>
  <c r="D3907" i="2"/>
  <c r="F3907" i="2"/>
  <c r="C3899" i="2"/>
  <c r="D3899" i="2"/>
  <c r="E3899" i="2"/>
  <c r="C3891" i="2"/>
  <c r="D3891" i="2"/>
  <c r="F3891" i="2"/>
  <c r="C3883" i="2"/>
  <c r="D3883" i="2"/>
  <c r="E3883" i="2"/>
  <c r="C3875" i="2"/>
  <c r="D3875" i="2"/>
  <c r="E3875" i="2"/>
  <c r="C3867" i="2"/>
  <c r="D3867" i="2"/>
  <c r="F3867" i="2"/>
  <c r="C3859" i="2"/>
  <c r="D3859" i="2"/>
  <c r="E3859" i="2"/>
  <c r="C3851" i="2"/>
  <c r="D3851" i="2"/>
  <c r="F3851" i="2"/>
  <c r="C3843" i="2"/>
  <c r="D3843" i="2"/>
  <c r="E3843" i="2"/>
  <c r="C3835" i="2"/>
  <c r="D3835" i="2"/>
  <c r="F3835" i="2"/>
  <c r="C3827" i="2"/>
  <c r="D3827" i="2"/>
  <c r="F3827" i="2"/>
  <c r="C3819" i="2"/>
  <c r="D3819" i="2"/>
  <c r="E3819" i="2"/>
  <c r="C3811" i="2"/>
  <c r="D3811" i="2"/>
  <c r="F3811" i="2"/>
  <c r="C3803" i="2"/>
  <c r="D3803" i="2"/>
  <c r="F3803" i="2"/>
  <c r="C3795" i="2"/>
  <c r="D3795" i="2"/>
  <c r="E3795" i="2"/>
  <c r="C3787" i="2"/>
  <c r="D3787" i="2"/>
  <c r="E3787" i="2"/>
  <c r="C3779" i="2"/>
  <c r="D3779" i="2"/>
  <c r="E3779" i="2"/>
  <c r="C3771" i="2"/>
  <c r="D3771" i="2"/>
  <c r="E3771" i="2"/>
  <c r="C3763" i="2"/>
  <c r="D3763" i="2"/>
  <c r="F3763" i="2"/>
  <c r="C3755" i="2"/>
  <c r="D3755" i="2"/>
  <c r="E3755" i="2"/>
  <c r="C3747" i="2"/>
  <c r="D3747" i="2"/>
  <c r="F3747" i="2"/>
  <c r="C3739" i="2"/>
  <c r="D3739" i="2"/>
  <c r="F3739" i="2"/>
  <c r="C3731" i="2"/>
  <c r="D3731" i="2"/>
  <c r="E3731" i="2"/>
  <c r="C3723" i="2"/>
  <c r="D3723" i="2"/>
  <c r="E3723" i="2"/>
  <c r="C3715" i="2"/>
  <c r="D3715" i="2"/>
  <c r="F3715" i="2"/>
  <c r="C3707" i="2"/>
  <c r="D3707" i="2"/>
  <c r="E3707" i="2"/>
  <c r="C3699" i="2"/>
  <c r="D3699" i="2"/>
  <c r="E3699" i="2"/>
  <c r="C3691" i="2"/>
  <c r="D3691" i="2"/>
  <c r="E3691" i="2"/>
  <c r="C3683" i="2"/>
  <c r="D3683" i="2"/>
  <c r="F3683" i="2"/>
  <c r="C3675" i="2"/>
  <c r="D3675" i="2"/>
  <c r="E3675" i="2"/>
  <c r="C3667" i="2"/>
  <c r="D3667" i="2"/>
  <c r="E3667" i="2"/>
  <c r="C3659" i="2"/>
  <c r="D3659" i="2"/>
  <c r="F3659" i="2"/>
  <c r="C3651" i="2"/>
  <c r="D3651" i="2"/>
  <c r="E3651" i="2"/>
  <c r="C3643" i="2"/>
  <c r="D3643" i="2"/>
  <c r="E3643" i="2"/>
  <c r="C3635" i="2"/>
  <c r="D3635" i="2"/>
  <c r="C3627" i="2"/>
  <c r="D3627" i="2"/>
  <c r="F3627" i="2"/>
  <c r="C3619" i="2"/>
  <c r="D3619" i="2"/>
  <c r="F3619" i="2"/>
  <c r="C3611" i="2"/>
  <c r="D3611" i="2"/>
  <c r="F3611" i="2"/>
  <c r="C3603" i="2"/>
  <c r="D3603" i="2"/>
  <c r="F3603" i="2"/>
  <c r="C3595" i="2"/>
  <c r="D3595" i="2"/>
  <c r="E3595" i="2"/>
  <c r="C3587" i="2"/>
  <c r="D3587" i="2"/>
  <c r="F3587" i="2"/>
  <c r="C3579" i="2"/>
  <c r="D3579" i="2"/>
  <c r="F3579" i="2"/>
  <c r="C3571" i="2"/>
  <c r="D3571" i="2"/>
  <c r="F3571" i="2"/>
  <c r="C3563" i="2"/>
  <c r="D3563" i="2"/>
  <c r="E3563" i="2"/>
  <c r="C3555" i="2"/>
  <c r="D3555" i="2"/>
  <c r="E3555" i="2"/>
  <c r="C3547" i="2"/>
  <c r="D3547" i="2"/>
  <c r="F3547" i="2"/>
  <c r="C3539" i="2"/>
  <c r="D3539" i="2"/>
  <c r="F3539" i="2"/>
  <c r="C3531" i="2"/>
  <c r="D3531" i="2"/>
  <c r="F3531" i="2"/>
  <c r="C3523" i="2"/>
  <c r="D3523" i="2"/>
  <c r="E3523" i="2"/>
  <c r="C3515" i="2"/>
  <c r="D3515" i="2"/>
  <c r="E3515" i="2"/>
  <c r="C3507" i="2"/>
  <c r="D3507" i="2"/>
  <c r="E3507" i="2"/>
  <c r="C3499" i="2"/>
  <c r="D3499" i="2"/>
  <c r="F3499" i="2"/>
  <c r="C3491" i="2"/>
  <c r="D3491" i="2"/>
  <c r="E3491" i="2"/>
  <c r="C3483" i="2"/>
  <c r="D3483" i="2"/>
  <c r="F3483" i="2"/>
  <c r="C3475" i="2"/>
  <c r="D3475" i="2"/>
  <c r="E3475" i="2"/>
  <c r="C3467" i="2"/>
  <c r="D3467" i="2"/>
  <c r="E3467" i="2"/>
  <c r="C3459" i="2"/>
  <c r="D3459" i="2"/>
  <c r="E3459" i="2"/>
  <c r="C3451" i="2"/>
  <c r="D3451" i="2"/>
  <c r="E3451" i="2"/>
  <c r="C3443" i="2"/>
  <c r="D3443" i="2"/>
  <c r="F3443" i="2"/>
  <c r="C3435" i="2"/>
  <c r="D3435" i="2"/>
  <c r="F3435" i="2"/>
  <c r="C3427" i="2"/>
  <c r="D3427" i="2"/>
  <c r="C3419" i="2"/>
  <c r="D3419" i="2"/>
  <c r="F3419" i="2"/>
  <c r="C3411" i="2"/>
  <c r="D3411" i="2"/>
  <c r="E3411" i="2"/>
  <c r="C3403" i="2"/>
  <c r="D3403" i="2"/>
  <c r="F3403" i="2"/>
  <c r="C3395" i="2"/>
  <c r="D3395" i="2"/>
  <c r="E3395" i="2"/>
  <c r="C3387" i="2"/>
  <c r="D3387" i="2"/>
  <c r="E3387" i="2"/>
  <c r="C3379" i="2"/>
  <c r="D3379" i="2"/>
  <c r="F3379" i="2"/>
  <c r="C3371" i="2"/>
  <c r="D3371" i="2"/>
  <c r="F3371" i="2"/>
  <c r="C3363" i="2"/>
  <c r="D3363" i="2"/>
  <c r="E3363" i="2"/>
  <c r="C3355" i="2"/>
  <c r="D3355" i="2"/>
  <c r="E3355" i="2"/>
  <c r="C3347" i="2"/>
  <c r="D3347" i="2"/>
  <c r="F3347" i="2"/>
  <c r="C3339" i="2"/>
  <c r="D3339" i="2"/>
  <c r="E3339" i="2"/>
  <c r="C3331" i="2"/>
  <c r="D3331" i="2"/>
  <c r="F3331" i="2"/>
  <c r="C3323" i="2"/>
  <c r="D3323" i="2"/>
  <c r="F3323" i="2"/>
  <c r="C3315" i="2"/>
  <c r="D3315" i="2"/>
  <c r="F3315" i="2"/>
  <c r="C3307" i="2"/>
  <c r="D3307" i="2"/>
  <c r="F3307" i="2"/>
  <c r="C3299" i="2"/>
  <c r="D3299" i="2"/>
  <c r="F3299" i="2"/>
  <c r="D3291" i="2"/>
  <c r="C3291" i="2"/>
  <c r="E3291" i="2"/>
  <c r="C3283" i="2"/>
  <c r="D3283" i="2"/>
  <c r="F3283" i="2"/>
  <c r="C3275" i="2"/>
  <c r="D3275" i="2"/>
  <c r="F3275" i="2"/>
  <c r="C3267" i="2"/>
  <c r="D3267" i="2"/>
  <c r="E3267" i="2"/>
  <c r="C3259" i="2"/>
  <c r="D3259" i="2"/>
  <c r="E3259" i="2"/>
  <c r="C3251" i="2"/>
  <c r="D3251" i="2"/>
  <c r="F3251" i="2"/>
  <c r="D3243" i="2"/>
  <c r="C3243" i="2"/>
  <c r="F3243" i="2"/>
  <c r="D3235" i="2"/>
  <c r="C3235" i="2"/>
  <c r="E3235" i="2"/>
  <c r="C3227" i="2"/>
  <c r="D3227" i="2"/>
  <c r="E3227" i="2"/>
  <c r="C3219" i="2"/>
  <c r="D3219" i="2"/>
  <c r="F3219" i="2"/>
  <c r="C3211" i="2"/>
  <c r="D3211" i="2"/>
  <c r="F3211" i="2"/>
  <c r="C3203" i="2"/>
  <c r="D3203" i="2"/>
  <c r="E3203" i="2"/>
  <c r="C3195" i="2"/>
  <c r="D3195" i="2"/>
  <c r="F3195" i="2"/>
  <c r="C3187" i="2"/>
  <c r="D3187" i="2"/>
  <c r="F3187" i="2"/>
  <c r="C3179" i="2"/>
  <c r="D3179" i="2"/>
  <c r="E3179" i="2"/>
  <c r="C3171" i="2"/>
  <c r="D3171" i="2"/>
  <c r="F3171" i="2"/>
  <c r="C3163" i="2"/>
  <c r="D3163" i="2"/>
  <c r="F3163" i="2"/>
  <c r="C3155" i="2"/>
  <c r="D3155" i="2"/>
  <c r="F3155" i="2"/>
  <c r="C3147" i="2"/>
  <c r="D3147" i="2"/>
  <c r="E3147" i="2"/>
  <c r="C3139" i="2"/>
  <c r="D3139" i="2"/>
  <c r="E3139" i="2"/>
  <c r="C3131" i="2"/>
  <c r="D3131" i="2"/>
  <c r="E3131" i="2"/>
  <c r="C3123" i="2"/>
  <c r="D3123" i="2"/>
  <c r="E3123" i="2"/>
  <c r="C3115" i="2"/>
  <c r="D3115" i="2"/>
  <c r="E3115" i="2"/>
  <c r="C3107" i="2"/>
  <c r="D3107" i="2"/>
  <c r="F3107" i="2"/>
  <c r="C3099" i="2"/>
  <c r="D3099" i="2"/>
  <c r="F3099" i="2"/>
  <c r="C3091" i="2"/>
  <c r="D3091" i="2"/>
  <c r="E3091" i="2"/>
  <c r="C3083" i="2"/>
  <c r="D3083" i="2"/>
  <c r="E3083" i="2"/>
  <c r="C3075" i="2"/>
  <c r="D3075" i="2"/>
  <c r="F3075" i="2"/>
  <c r="C3067" i="2"/>
  <c r="D3067" i="2"/>
  <c r="E3067" i="2"/>
  <c r="C3059" i="2"/>
  <c r="D3059" i="2"/>
  <c r="E3059" i="2"/>
  <c r="C3051" i="2"/>
  <c r="D3051" i="2"/>
  <c r="F3051" i="2"/>
  <c r="C3043" i="2"/>
  <c r="D3043" i="2"/>
  <c r="F3043" i="2"/>
  <c r="C3035" i="2"/>
  <c r="D3035" i="2"/>
  <c r="F3035" i="2"/>
  <c r="C3027" i="2"/>
  <c r="D3027" i="2"/>
  <c r="F3027" i="2"/>
  <c r="C3019" i="2"/>
  <c r="D3019" i="2"/>
  <c r="E3019" i="2"/>
  <c r="C3011" i="2"/>
  <c r="D3011" i="2"/>
  <c r="E3011" i="2"/>
  <c r="C3003" i="2"/>
  <c r="D3003" i="2"/>
  <c r="F3003" i="2"/>
  <c r="C2995" i="2"/>
  <c r="D2995" i="2"/>
  <c r="E2995" i="2"/>
  <c r="D2987" i="2"/>
  <c r="C2987" i="2"/>
  <c r="F2987" i="2"/>
  <c r="C2979" i="2"/>
  <c r="D2979" i="2"/>
  <c r="F2979" i="2"/>
  <c r="C2971" i="2"/>
  <c r="D2971" i="2"/>
  <c r="F2971" i="2"/>
  <c r="D2963" i="2"/>
  <c r="C2963" i="2"/>
  <c r="E2963" i="2"/>
  <c r="D2955" i="2"/>
  <c r="C2955" i="2"/>
  <c r="F2955" i="2"/>
  <c r="C2947" i="2"/>
  <c r="D2947" i="2"/>
  <c r="F2947" i="2"/>
  <c r="C2939" i="2"/>
  <c r="D2939" i="2"/>
  <c r="F2939" i="2"/>
  <c r="D2931" i="2"/>
  <c r="C2931" i="2"/>
  <c r="F2931" i="2"/>
  <c r="C2923" i="2"/>
  <c r="D2923" i="2"/>
  <c r="F2923" i="2"/>
  <c r="C2915" i="2"/>
  <c r="D2915" i="2"/>
  <c r="F2915" i="2"/>
  <c r="C2907" i="2"/>
  <c r="D2907" i="2"/>
  <c r="F2907" i="2"/>
  <c r="C2899" i="2"/>
  <c r="D2899" i="2"/>
  <c r="F2899" i="2"/>
  <c r="D2891" i="2"/>
  <c r="C2891" i="2"/>
  <c r="F2891" i="2"/>
  <c r="C2883" i="2"/>
  <c r="D2883" i="2"/>
  <c r="F2883" i="2"/>
  <c r="C2875" i="2"/>
  <c r="D2875" i="2"/>
  <c r="F2875" i="2"/>
  <c r="D2867" i="2"/>
  <c r="C2867" i="2"/>
  <c r="E2867" i="2"/>
  <c r="D2859" i="2"/>
  <c r="C2859" i="2"/>
  <c r="F2859" i="2"/>
  <c r="C2851" i="2"/>
  <c r="D2851" i="2"/>
  <c r="F2851" i="2"/>
  <c r="C2843" i="2"/>
  <c r="D2843" i="2"/>
  <c r="E2843" i="2"/>
  <c r="D2835" i="2"/>
  <c r="C2835" i="2"/>
  <c r="F2835" i="2"/>
  <c r="D2827" i="2"/>
  <c r="C2827" i="2"/>
  <c r="F2827" i="2"/>
  <c r="C2819" i="2"/>
  <c r="D2819" i="2"/>
  <c r="E2819" i="2"/>
  <c r="C2811" i="2"/>
  <c r="D2811" i="2"/>
  <c r="E2811" i="2"/>
  <c r="D2803" i="2"/>
  <c r="C2803" i="2"/>
  <c r="F2803" i="2"/>
  <c r="C2795" i="2"/>
  <c r="D2795" i="2"/>
  <c r="E2795" i="2"/>
  <c r="C2787" i="2"/>
  <c r="D2787" i="2"/>
  <c r="F2787" i="2"/>
  <c r="C2779" i="2"/>
  <c r="D2779" i="2"/>
  <c r="E2779" i="2"/>
  <c r="C2771" i="2"/>
  <c r="D2771" i="2"/>
  <c r="F2771" i="2"/>
  <c r="D2763" i="2"/>
  <c r="C2763" i="2"/>
  <c r="E2763" i="2"/>
  <c r="C2755" i="2"/>
  <c r="D2755" i="2"/>
  <c r="E2755" i="2"/>
  <c r="C2747" i="2"/>
  <c r="D2747" i="2"/>
  <c r="F2747" i="2"/>
  <c r="D2739" i="2"/>
  <c r="C2739" i="2"/>
  <c r="E2739" i="2"/>
  <c r="D2731" i="2"/>
  <c r="C2731" i="2"/>
  <c r="F2731" i="2"/>
  <c r="C2723" i="2"/>
  <c r="D2723" i="2"/>
  <c r="F2723" i="2"/>
  <c r="C2715" i="2"/>
  <c r="D2715" i="2"/>
  <c r="F2715" i="2"/>
  <c r="D2707" i="2"/>
  <c r="C2707" i="2"/>
  <c r="E2707" i="2"/>
  <c r="D2699" i="2"/>
  <c r="C2699" i="2"/>
  <c r="E2699" i="2"/>
  <c r="C2691" i="2"/>
  <c r="D2691" i="2"/>
  <c r="E2691" i="2"/>
  <c r="C2683" i="2"/>
  <c r="D2683" i="2"/>
  <c r="E2683" i="2"/>
  <c r="D2675" i="2"/>
  <c r="C2675" i="2"/>
  <c r="F2675" i="2"/>
  <c r="C2667" i="2"/>
  <c r="D2667" i="2"/>
  <c r="F2667" i="2"/>
  <c r="C2659" i="2"/>
  <c r="D2659" i="2"/>
  <c r="F2659" i="2"/>
  <c r="C2651" i="2"/>
  <c r="D2651" i="2"/>
  <c r="F2651" i="2"/>
  <c r="C2643" i="2"/>
  <c r="D2643" i="2"/>
  <c r="E2643" i="2"/>
  <c r="D2635" i="2"/>
  <c r="C2635" i="2"/>
  <c r="F2635" i="2"/>
  <c r="C2627" i="2"/>
  <c r="D2627" i="2"/>
  <c r="E2627" i="2"/>
  <c r="C2619" i="2"/>
  <c r="D2619" i="2"/>
  <c r="E2619" i="2"/>
  <c r="D2611" i="2"/>
  <c r="C2611" i="2"/>
  <c r="E2611" i="2"/>
  <c r="D2603" i="2"/>
  <c r="C2603" i="2"/>
  <c r="F2603" i="2"/>
  <c r="C2595" i="2"/>
  <c r="D2595" i="2"/>
  <c r="E2595" i="2"/>
  <c r="C2587" i="2"/>
  <c r="D2587" i="2"/>
  <c r="E2587" i="2"/>
  <c r="D2579" i="2"/>
  <c r="C2579" i="2"/>
  <c r="E2579" i="2"/>
  <c r="D2571" i="2"/>
  <c r="C2571" i="2"/>
  <c r="E2571" i="2"/>
  <c r="C2563" i="2"/>
  <c r="D2563" i="2"/>
  <c r="F2563" i="2"/>
  <c r="C2555" i="2"/>
  <c r="D2555" i="2"/>
  <c r="F2555" i="2"/>
  <c r="D2547" i="2"/>
  <c r="C2547" i="2"/>
  <c r="E2547" i="2"/>
  <c r="C2539" i="2"/>
  <c r="D2539" i="2"/>
  <c r="E2539" i="2"/>
  <c r="C2531" i="2"/>
  <c r="D2531" i="2"/>
  <c r="F2531" i="2"/>
  <c r="C2523" i="2"/>
  <c r="D2523" i="2"/>
  <c r="E2523" i="2"/>
  <c r="C2515" i="2"/>
  <c r="D2515" i="2"/>
  <c r="F2515" i="2"/>
  <c r="D2507" i="2"/>
  <c r="C2507" i="2"/>
  <c r="E2507" i="2"/>
  <c r="C2499" i="2"/>
  <c r="D2499" i="2"/>
  <c r="F2499" i="2"/>
  <c r="C2491" i="2"/>
  <c r="D2491" i="2"/>
  <c r="E2491" i="2"/>
  <c r="D2483" i="2"/>
  <c r="C2483" i="2"/>
  <c r="F2483" i="2"/>
  <c r="D2475" i="2"/>
  <c r="C2475" i="2"/>
  <c r="E2475" i="2"/>
  <c r="C2467" i="2"/>
  <c r="D2467" i="2"/>
  <c r="F2467" i="2"/>
  <c r="C2459" i="2"/>
  <c r="D2459" i="2"/>
  <c r="E2459" i="2"/>
  <c r="D2451" i="2"/>
  <c r="C2451" i="2"/>
  <c r="E2451" i="2"/>
  <c r="C2443" i="2"/>
  <c r="D2443" i="2"/>
  <c r="E2443" i="2"/>
  <c r="C2435" i="2"/>
  <c r="D2435" i="2"/>
  <c r="E2435" i="2"/>
  <c r="C2427" i="2"/>
  <c r="D2427" i="2"/>
  <c r="F2427" i="2"/>
  <c r="C2419" i="2"/>
  <c r="D2419" i="2"/>
  <c r="E2419" i="2"/>
  <c r="C2411" i="2"/>
  <c r="D2411" i="2"/>
  <c r="F2411" i="2"/>
  <c r="C2403" i="2"/>
  <c r="D2403" i="2"/>
  <c r="F2403" i="2"/>
  <c r="C2395" i="2"/>
  <c r="D2395" i="2"/>
  <c r="F2395" i="2"/>
  <c r="C2387" i="2"/>
  <c r="D2387" i="2"/>
  <c r="F2387" i="2"/>
  <c r="C2379" i="2"/>
  <c r="D2379" i="2"/>
  <c r="F2379" i="2"/>
  <c r="C2371" i="2"/>
  <c r="D2371" i="2"/>
  <c r="F2371" i="2"/>
  <c r="C2363" i="2"/>
  <c r="D2363" i="2"/>
  <c r="E2363" i="2"/>
  <c r="C2355" i="2"/>
  <c r="D2355" i="2"/>
  <c r="E2355" i="2"/>
  <c r="C2347" i="2"/>
  <c r="D2347" i="2"/>
  <c r="E2347" i="2"/>
  <c r="C2339" i="2"/>
  <c r="D2339" i="2"/>
  <c r="F2339" i="2"/>
  <c r="C2331" i="2"/>
  <c r="D2331" i="2"/>
  <c r="E2331" i="2"/>
  <c r="C2323" i="2"/>
  <c r="D2323" i="2"/>
  <c r="E2323" i="2"/>
  <c r="C2315" i="2"/>
  <c r="D2315" i="2"/>
  <c r="F2315" i="2"/>
  <c r="C2307" i="2"/>
  <c r="D2307" i="2"/>
  <c r="E2307" i="2"/>
  <c r="C2299" i="2"/>
  <c r="D2299" i="2"/>
  <c r="E2299" i="2"/>
  <c r="C2291" i="2"/>
  <c r="D2291" i="2"/>
  <c r="F2291" i="2"/>
  <c r="C2283" i="2"/>
  <c r="D2283" i="2"/>
  <c r="E2283" i="2"/>
  <c r="C2275" i="2"/>
  <c r="D2275" i="2"/>
  <c r="E2275" i="2"/>
  <c r="C2267" i="2"/>
  <c r="D2267" i="2"/>
  <c r="F2267" i="2"/>
  <c r="C2259" i="2"/>
  <c r="D2259" i="2"/>
  <c r="E2259" i="2"/>
  <c r="C2251" i="2"/>
  <c r="D2251" i="2"/>
  <c r="E2251" i="2"/>
  <c r="C2243" i="2"/>
  <c r="D2243" i="2"/>
  <c r="E2243" i="2"/>
  <c r="C2235" i="2"/>
  <c r="D2235" i="2"/>
  <c r="E2235" i="2"/>
  <c r="C2227" i="2"/>
  <c r="D2227" i="2"/>
  <c r="E2227" i="2"/>
  <c r="C2219" i="2"/>
  <c r="D2219" i="2"/>
  <c r="E2219" i="2"/>
  <c r="C2211" i="2"/>
  <c r="D2211" i="2"/>
  <c r="F2211" i="2"/>
  <c r="C2203" i="2"/>
  <c r="D2203" i="2"/>
  <c r="E2203" i="2"/>
  <c r="C2195" i="2"/>
  <c r="D2195" i="2"/>
  <c r="E2195" i="2"/>
  <c r="C2187" i="2"/>
  <c r="D2187" i="2"/>
  <c r="F2187" i="2"/>
  <c r="C2179" i="2"/>
  <c r="D2179" i="2"/>
  <c r="F2179" i="2"/>
  <c r="C2171" i="2"/>
  <c r="D2171" i="2"/>
  <c r="E2171" i="2"/>
  <c r="C2163" i="2"/>
  <c r="D2163" i="2"/>
  <c r="F2163" i="2"/>
  <c r="C2155" i="2"/>
  <c r="D2155" i="2"/>
  <c r="F2155" i="2"/>
  <c r="C2147" i="2"/>
  <c r="D2147" i="2"/>
  <c r="E2147" i="2"/>
  <c r="C2139" i="2"/>
  <c r="D2139" i="2"/>
  <c r="F2139" i="2"/>
  <c r="C2131" i="2"/>
  <c r="D2131" i="2"/>
  <c r="F2131" i="2"/>
  <c r="C2123" i="2"/>
  <c r="D2123" i="2"/>
  <c r="F2123" i="2"/>
  <c r="C2115" i="2"/>
  <c r="D2115" i="2"/>
  <c r="F2115" i="2"/>
  <c r="C2107" i="2"/>
  <c r="D2107" i="2"/>
  <c r="F2107" i="2"/>
  <c r="C2099" i="2"/>
  <c r="D2099" i="2"/>
  <c r="F2099" i="2"/>
  <c r="C2091" i="2"/>
  <c r="D2091" i="2"/>
  <c r="E2091" i="2"/>
  <c r="C2083" i="2"/>
  <c r="D2083" i="2"/>
  <c r="F2083" i="2"/>
  <c r="C2075" i="2"/>
  <c r="D2075" i="2"/>
  <c r="F2075" i="2"/>
  <c r="C2067" i="2"/>
  <c r="D2067" i="2"/>
  <c r="E2067" i="2"/>
  <c r="C2059" i="2"/>
  <c r="D2059" i="2"/>
  <c r="E2059" i="2"/>
  <c r="C2051" i="2"/>
  <c r="D2051" i="2"/>
  <c r="F2051" i="2"/>
  <c r="C2043" i="2"/>
  <c r="D2043" i="2"/>
  <c r="E2043" i="2"/>
  <c r="C2035" i="2"/>
  <c r="D2035" i="2"/>
  <c r="E2035" i="2"/>
  <c r="C2027" i="2"/>
  <c r="D2027" i="2"/>
  <c r="F2027" i="2"/>
  <c r="C2019" i="2"/>
  <c r="D2019" i="2"/>
  <c r="F2019" i="2"/>
  <c r="C2011" i="2"/>
  <c r="D2011" i="2"/>
  <c r="F2011" i="2"/>
  <c r="C2003" i="2"/>
  <c r="D2003" i="2"/>
  <c r="C1995" i="2"/>
  <c r="D1995" i="2"/>
  <c r="F1995" i="2"/>
  <c r="C1987" i="2"/>
  <c r="D1987" i="2"/>
  <c r="F1987" i="2"/>
  <c r="C1979" i="2"/>
  <c r="D1979" i="2"/>
  <c r="E1979" i="2"/>
  <c r="C1971" i="2"/>
  <c r="D1971" i="2"/>
  <c r="E1971" i="2"/>
  <c r="C1963" i="2"/>
  <c r="D1963" i="2"/>
  <c r="F1963" i="2"/>
  <c r="C1955" i="2"/>
  <c r="D1955" i="2"/>
  <c r="F1955" i="2"/>
  <c r="C1947" i="2"/>
  <c r="D1947" i="2"/>
  <c r="F1947" i="2"/>
  <c r="C1939" i="2"/>
  <c r="D1939" i="2"/>
  <c r="E1939" i="2"/>
  <c r="C1931" i="2"/>
  <c r="D1931" i="2"/>
  <c r="E1931" i="2"/>
  <c r="C1923" i="2"/>
  <c r="D1923" i="2"/>
  <c r="E1923" i="2"/>
  <c r="C1915" i="2"/>
  <c r="D1915" i="2"/>
  <c r="F1915" i="2"/>
  <c r="C1907" i="2"/>
  <c r="D1907" i="2"/>
  <c r="E1907" i="2"/>
  <c r="C1899" i="2"/>
  <c r="D1899" i="2"/>
  <c r="F1899" i="2"/>
  <c r="C1891" i="2"/>
  <c r="D1891" i="2"/>
  <c r="E1891" i="2"/>
  <c r="C1883" i="2"/>
  <c r="D1883" i="2"/>
  <c r="F1883" i="2"/>
  <c r="C1875" i="2"/>
  <c r="D1875" i="2"/>
  <c r="F1875" i="2"/>
  <c r="C1867" i="2"/>
  <c r="D1867" i="2"/>
  <c r="E1867" i="2"/>
  <c r="D1859" i="2"/>
  <c r="C1859" i="2"/>
  <c r="E1859" i="2"/>
  <c r="C1851" i="2"/>
  <c r="D1851" i="2"/>
  <c r="E1851" i="2"/>
  <c r="C1843" i="2"/>
  <c r="D1843" i="2"/>
  <c r="E1843" i="2"/>
  <c r="D1835" i="2"/>
  <c r="C1835" i="2"/>
  <c r="E1835" i="2"/>
  <c r="D1827" i="2"/>
  <c r="C1827" i="2"/>
  <c r="F1827" i="2"/>
  <c r="C1819" i="2"/>
  <c r="D1819" i="2"/>
  <c r="F1819" i="2"/>
  <c r="C1811" i="2"/>
  <c r="D1811" i="2"/>
  <c r="E1811" i="2"/>
  <c r="D1803" i="2"/>
  <c r="C1803" i="2"/>
  <c r="F1803" i="2"/>
  <c r="C1795" i="2"/>
  <c r="D1795" i="2"/>
  <c r="E1795" i="2"/>
  <c r="C1787" i="2"/>
  <c r="D1787" i="2"/>
  <c r="F1787" i="2"/>
  <c r="C1779" i="2"/>
  <c r="D1779" i="2"/>
  <c r="E1779" i="2"/>
  <c r="C1771" i="2"/>
  <c r="D1771" i="2"/>
  <c r="F1771" i="2"/>
  <c r="C1763" i="2"/>
  <c r="D1763" i="2"/>
  <c r="F1763" i="2"/>
  <c r="C1755" i="2"/>
  <c r="D1755" i="2"/>
  <c r="F1755" i="2"/>
  <c r="C1747" i="2"/>
  <c r="D1747" i="2"/>
  <c r="F1747" i="2"/>
  <c r="C1739" i="2"/>
  <c r="D1739" i="2"/>
  <c r="F1739" i="2"/>
  <c r="C1731" i="2"/>
  <c r="D1731" i="2"/>
  <c r="F1731" i="2"/>
  <c r="C1723" i="2"/>
  <c r="D1723" i="2"/>
  <c r="E1723" i="2"/>
  <c r="C1715" i="2"/>
  <c r="D1715" i="2"/>
  <c r="F1715" i="2"/>
  <c r="C1707" i="2"/>
  <c r="D1707" i="2"/>
  <c r="C1699" i="2"/>
  <c r="D1699" i="2"/>
  <c r="E1699" i="2"/>
  <c r="C1691" i="2"/>
  <c r="D1691" i="2"/>
  <c r="E1691" i="2"/>
  <c r="C1683" i="2"/>
  <c r="D1683" i="2"/>
  <c r="E1683" i="2"/>
  <c r="C1675" i="2"/>
  <c r="D1675" i="2"/>
  <c r="F1675" i="2"/>
  <c r="C1667" i="2"/>
  <c r="D1667" i="2"/>
  <c r="F1667" i="2"/>
  <c r="C1659" i="2"/>
  <c r="D1659" i="2"/>
  <c r="E1659" i="2"/>
  <c r="C1651" i="2"/>
  <c r="D1651" i="2"/>
  <c r="F1651" i="2"/>
  <c r="C1643" i="2"/>
  <c r="D1643" i="2"/>
  <c r="F1643" i="2"/>
  <c r="C1635" i="2"/>
  <c r="D1635" i="2"/>
  <c r="E1635" i="2"/>
  <c r="C1627" i="2"/>
  <c r="D1627" i="2"/>
  <c r="E1627" i="2"/>
  <c r="C1619" i="2"/>
  <c r="D1619" i="2"/>
  <c r="E1619" i="2"/>
  <c r="C1611" i="2"/>
  <c r="D1611" i="2"/>
  <c r="E1611" i="2"/>
  <c r="D1603" i="2"/>
  <c r="C1603" i="2"/>
  <c r="E1603" i="2"/>
  <c r="C1595" i="2"/>
  <c r="D1595" i="2"/>
  <c r="E1595" i="2"/>
  <c r="C1587" i="2"/>
  <c r="D1587" i="2"/>
  <c r="F1587" i="2"/>
  <c r="D1579" i="2"/>
  <c r="C1579" i="2"/>
  <c r="E1579" i="2"/>
  <c r="D1571" i="2"/>
  <c r="E1571" i="2"/>
  <c r="C1571" i="2"/>
  <c r="C1563" i="2"/>
  <c r="D1563" i="2"/>
  <c r="F1563" i="2"/>
  <c r="C1555" i="2"/>
  <c r="D1555" i="2"/>
  <c r="E1555" i="2"/>
  <c r="D1547" i="2"/>
  <c r="C1547" i="2"/>
  <c r="F1547" i="2"/>
  <c r="C1539" i="2"/>
  <c r="D1539" i="2"/>
  <c r="E1539" i="2"/>
  <c r="C1531" i="2"/>
  <c r="D1531" i="2"/>
  <c r="C1523" i="2"/>
  <c r="D1523" i="2"/>
  <c r="E1523" i="2"/>
  <c r="C1515" i="2"/>
  <c r="D1515" i="2"/>
  <c r="E1515" i="2"/>
  <c r="C1507" i="2"/>
  <c r="D1507" i="2"/>
  <c r="F1507" i="2"/>
  <c r="C1499" i="2"/>
  <c r="D1499" i="2"/>
  <c r="C1491" i="2"/>
  <c r="D1491" i="2"/>
  <c r="E1491" i="2"/>
  <c r="C1483" i="2"/>
  <c r="D1483" i="2"/>
  <c r="E1483" i="2"/>
  <c r="C1475" i="2"/>
  <c r="D1475" i="2"/>
  <c r="E1475" i="2"/>
  <c r="C1467" i="2"/>
  <c r="D1467" i="2"/>
  <c r="F1467" i="2"/>
  <c r="C1459" i="2"/>
  <c r="D1459" i="2"/>
  <c r="F1459" i="2"/>
  <c r="C1451" i="2"/>
  <c r="D1451" i="2"/>
  <c r="F1451" i="2"/>
  <c r="C1443" i="2"/>
  <c r="D1443" i="2"/>
  <c r="E1443" i="2"/>
  <c r="C1435" i="2"/>
  <c r="D1435" i="2"/>
  <c r="E1435" i="2"/>
  <c r="C1427" i="2"/>
  <c r="D1427" i="2"/>
  <c r="E1427" i="2"/>
  <c r="C1419" i="2"/>
  <c r="D1419" i="2"/>
  <c r="F1419" i="2"/>
  <c r="C1411" i="2"/>
  <c r="D1411" i="2"/>
  <c r="F1411" i="2"/>
  <c r="C1403" i="2"/>
  <c r="D1403" i="2"/>
  <c r="F1403" i="2"/>
  <c r="C1395" i="2"/>
  <c r="D1395" i="2"/>
  <c r="F1395" i="2"/>
  <c r="C1387" i="2"/>
  <c r="D1387" i="2"/>
  <c r="F1387" i="2"/>
  <c r="C1379" i="2"/>
  <c r="D1379" i="2"/>
  <c r="E1379" i="2"/>
  <c r="C1371" i="2"/>
  <c r="D1371" i="2"/>
  <c r="E1371" i="2"/>
  <c r="C1363" i="2"/>
  <c r="D1363" i="2"/>
  <c r="F1363" i="2"/>
  <c r="C1355" i="2"/>
  <c r="D1355" i="2"/>
  <c r="F1355" i="2"/>
  <c r="C1347" i="2"/>
  <c r="D1347" i="2"/>
  <c r="E1347" i="2"/>
  <c r="C1339" i="2"/>
  <c r="D1339" i="2"/>
  <c r="F1339" i="2"/>
  <c r="C1331" i="2"/>
  <c r="D1331" i="2"/>
  <c r="E1331" i="2"/>
  <c r="C1323" i="2"/>
  <c r="D1323" i="2"/>
  <c r="E1323" i="2"/>
  <c r="C1315" i="2"/>
  <c r="D1315" i="2"/>
  <c r="F1315" i="2"/>
  <c r="C1307" i="2"/>
  <c r="D1307" i="2"/>
  <c r="E1307" i="2"/>
  <c r="C1299" i="2"/>
  <c r="D1299" i="2"/>
  <c r="F1299" i="2"/>
  <c r="C1291" i="2"/>
  <c r="D1291" i="2"/>
  <c r="E1291" i="2"/>
  <c r="C1283" i="2"/>
  <c r="D1283" i="2"/>
  <c r="E1283" i="2"/>
  <c r="C1275" i="2"/>
  <c r="D1275" i="2"/>
  <c r="E1275" i="2"/>
  <c r="C1267" i="2"/>
  <c r="D1267" i="2"/>
  <c r="F1267" i="2"/>
  <c r="C1259" i="2"/>
  <c r="D1259" i="2"/>
  <c r="F1259" i="2"/>
  <c r="D1251" i="2"/>
  <c r="E1251" i="2"/>
  <c r="C1251" i="2"/>
  <c r="C1243" i="2"/>
  <c r="D1243" i="2"/>
  <c r="F1243" i="2"/>
  <c r="C1235" i="2"/>
  <c r="D1235" i="2"/>
  <c r="E1235" i="2"/>
  <c r="C1227" i="2"/>
  <c r="D1227" i="2"/>
  <c r="F1227" i="2"/>
  <c r="C1219" i="2"/>
  <c r="D1219" i="2"/>
  <c r="F1219" i="2"/>
  <c r="C1211" i="2"/>
  <c r="D1211" i="2"/>
  <c r="E1211" i="2"/>
  <c r="C1203" i="2"/>
  <c r="D1203" i="2"/>
  <c r="C1195" i="2"/>
  <c r="D1195" i="2"/>
  <c r="E1195" i="2"/>
  <c r="C1187" i="2"/>
  <c r="D1187" i="2"/>
  <c r="E1187" i="2"/>
  <c r="C1179" i="2"/>
  <c r="D1179" i="2"/>
  <c r="F1179" i="2"/>
  <c r="C1171" i="2"/>
  <c r="D1171" i="2"/>
  <c r="F1171" i="2"/>
  <c r="C1163" i="2"/>
  <c r="D1163" i="2"/>
  <c r="E1163" i="2"/>
  <c r="C1155" i="2"/>
  <c r="D1155" i="2"/>
  <c r="E1155" i="2"/>
  <c r="C1147" i="2"/>
  <c r="D1147" i="2"/>
  <c r="E1147" i="2"/>
  <c r="C1139" i="2"/>
  <c r="D1139" i="2"/>
  <c r="F1139" i="2"/>
  <c r="C1131" i="2"/>
  <c r="D1131" i="2"/>
  <c r="F1131" i="2"/>
  <c r="D1123" i="2"/>
  <c r="C1123" i="2"/>
  <c r="F1123" i="2"/>
  <c r="C1115" i="2"/>
  <c r="D1115" i="2"/>
  <c r="E1115" i="2"/>
  <c r="C1107" i="2"/>
  <c r="D1107" i="2"/>
  <c r="E1107" i="2"/>
  <c r="C1099" i="2"/>
  <c r="D1099" i="2"/>
  <c r="E1099" i="2"/>
  <c r="C1091" i="2"/>
  <c r="D1091" i="2"/>
  <c r="F1091" i="2"/>
  <c r="C1083" i="2"/>
  <c r="D1083" i="2"/>
  <c r="F1083" i="2"/>
  <c r="C1075" i="2"/>
  <c r="D1075" i="2"/>
  <c r="E1075" i="2"/>
  <c r="C1067" i="2"/>
  <c r="D1067" i="2"/>
  <c r="F1067" i="2"/>
  <c r="D1059" i="2"/>
  <c r="C1059" i="2"/>
  <c r="F1059" i="2"/>
  <c r="C1051" i="2"/>
  <c r="D1051" i="2"/>
  <c r="E1051" i="2"/>
  <c r="C1043" i="2"/>
  <c r="D1043" i="2"/>
  <c r="E1043" i="2"/>
  <c r="C1035" i="2"/>
  <c r="D1035" i="2"/>
  <c r="F1035" i="2"/>
  <c r="C1027" i="2"/>
  <c r="D1027" i="2"/>
  <c r="E1027" i="2"/>
  <c r="C1019" i="2"/>
  <c r="D1019" i="2"/>
  <c r="E1019" i="2"/>
  <c r="C1011" i="2"/>
  <c r="D1011" i="2"/>
  <c r="F1011" i="2"/>
  <c r="C1003" i="2"/>
  <c r="D1003" i="2"/>
  <c r="F1003" i="2"/>
  <c r="C995" i="2"/>
  <c r="D995" i="2"/>
  <c r="E995" i="2"/>
  <c r="C987" i="2"/>
  <c r="D987" i="2"/>
  <c r="F987" i="2"/>
  <c r="C979" i="2"/>
  <c r="D979" i="2"/>
  <c r="E979" i="2"/>
  <c r="C971" i="2"/>
  <c r="D971" i="2"/>
  <c r="E971" i="2"/>
  <c r="C963" i="2"/>
  <c r="D963" i="2"/>
  <c r="E963" i="2"/>
  <c r="C955" i="2"/>
  <c r="D955" i="2"/>
  <c r="E955" i="2"/>
  <c r="C947" i="2"/>
  <c r="D947" i="2"/>
  <c r="E947" i="2"/>
  <c r="C939" i="2"/>
  <c r="D939" i="2"/>
  <c r="E939" i="2"/>
  <c r="C931" i="2"/>
  <c r="D931" i="2"/>
  <c r="E931" i="2"/>
  <c r="C923" i="2"/>
  <c r="D923" i="2"/>
  <c r="E923" i="2"/>
  <c r="C915" i="2"/>
  <c r="D915" i="2"/>
  <c r="F915" i="2"/>
  <c r="C907" i="2"/>
  <c r="D907" i="2"/>
  <c r="E907" i="2"/>
  <c r="C899" i="2"/>
  <c r="D899" i="2"/>
  <c r="E899" i="2"/>
  <c r="C891" i="2"/>
  <c r="D891" i="2"/>
  <c r="E891" i="2"/>
  <c r="C883" i="2"/>
  <c r="D883" i="2"/>
  <c r="E883" i="2"/>
  <c r="C875" i="2"/>
  <c r="D875" i="2"/>
  <c r="F875" i="2"/>
  <c r="C867" i="2"/>
  <c r="D867" i="2"/>
  <c r="F867" i="2"/>
  <c r="C859" i="2"/>
  <c r="D859" i="2"/>
  <c r="E859" i="2"/>
  <c r="C851" i="2"/>
  <c r="D851" i="2"/>
  <c r="E851" i="2"/>
  <c r="C843" i="2"/>
  <c r="D843" i="2"/>
  <c r="E843" i="2"/>
  <c r="C835" i="2"/>
  <c r="D835" i="2"/>
  <c r="F835" i="2"/>
  <c r="C827" i="2"/>
  <c r="D827" i="2"/>
  <c r="E827" i="2"/>
  <c r="C819" i="2"/>
  <c r="D819" i="2"/>
  <c r="F819" i="2"/>
  <c r="C811" i="2"/>
  <c r="D811" i="2"/>
  <c r="F811" i="2"/>
  <c r="C803" i="2"/>
  <c r="D803" i="2"/>
  <c r="E803" i="2"/>
  <c r="C795" i="2"/>
  <c r="D795" i="2"/>
  <c r="E795" i="2"/>
  <c r="C787" i="2"/>
  <c r="D787" i="2"/>
  <c r="F787" i="2"/>
  <c r="C779" i="2"/>
  <c r="D779" i="2"/>
  <c r="E779" i="2"/>
  <c r="C771" i="2"/>
  <c r="D771" i="2"/>
  <c r="F771" i="2"/>
  <c r="C763" i="2"/>
  <c r="D763" i="2"/>
  <c r="E763" i="2"/>
  <c r="C755" i="2"/>
  <c r="D755" i="2"/>
  <c r="E755" i="2"/>
  <c r="C747" i="2"/>
  <c r="D747" i="2"/>
  <c r="F747" i="2"/>
  <c r="C739" i="2"/>
  <c r="D739" i="2"/>
  <c r="E739" i="2"/>
  <c r="C731" i="2"/>
  <c r="D731" i="2"/>
  <c r="E731" i="2"/>
  <c r="C723" i="2"/>
  <c r="D723" i="2"/>
  <c r="E723" i="2"/>
  <c r="C715" i="2"/>
  <c r="D715" i="2"/>
  <c r="C707" i="2"/>
  <c r="D707" i="2"/>
  <c r="F707" i="2"/>
  <c r="C699" i="2"/>
  <c r="D699" i="2"/>
  <c r="E699" i="2"/>
  <c r="C691" i="2"/>
  <c r="D691" i="2"/>
  <c r="E691" i="2"/>
  <c r="C683" i="2"/>
  <c r="D683" i="2"/>
  <c r="F683" i="2"/>
  <c r="C675" i="2"/>
  <c r="D675" i="2"/>
  <c r="E675" i="2"/>
  <c r="C667" i="2"/>
  <c r="D667" i="2"/>
  <c r="E667" i="2"/>
  <c r="C659" i="2"/>
  <c r="D659" i="2"/>
  <c r="E659" i="2"/>
  <c r="C651" i="2"/>
  <c r="D651" i="2"/>
  <c r="E651" i="2"/>
  <c r="C643" i="2"/>
  <c r="D643" i="2"/>
  <c r="F643" i="2"/>
  <c r="C635" i="2"/>
  <c r="D635" i="2"/>
  <c r="E635" i="2"/>
  <c r="C627" i="2"/>
  <c r="D627" i="2"/>
  <c r="F627" i="2"/>
  <c r="C619" i="2"/>
  <c r="D619" i="2"/>
  <c r="F619" i="2"/>
  <c r="C611" i="2"/>
  <c r="D611" i="2"/>
  <c r="F611" i="2"/>
  <c r="C603" i="2"/>
  <c r="D603" i="2"/>
  <c r="E603" i="2"/>
  <c r="C595" i="2"/>
  <c r="D595" i="2"/>
  <c r="E595" i="2"/>
  <c r="C587" i="2"/>
  <c r="D587" i="2"/>
  <c r="E587" i="2"/>
  <c r="C579" i="2"/>
  <c r="D579" i="2"/>
  <c r="E579" i="2"/>
  <c r="C571" i="2"/>
  <c r="D571" i="2"/>
  <c r="E571" i="2"/>
  <c r="C563" i="2"/>
  <c r="D563" i="2"/>
  <c r="E563" i="2"/>
  <c r="C555" i="2"/>
  <c r="D555" i="2"/>
  <c r="E555" i="2"/>
  <c r="C547" i="2"/>
  <c r="D547" i="2"/>
  <c r="E547" i="2"/>
  <c r="C539" i="2"/>
  <c r="D539" i="2"/>
  <c r="E539" i="2"/>
  <c r="C531" i="2"/>
  <c r="D531" i="2"/>
  <c r="F531" i="2"/>
  <c r="C523" i="2"/>
  <c r="D523" i="2"/>
  <c r="F523" i="2"/>
  <c r="C515" i="2"/>
  <c r="D515" i="2"/>
  <c r="F515" i="2"/>
  <c r="C507" i="2"/>
  <c r="D507" i="2"/>
  <c r="E507" i="2"/>
  <c r="C499" i="2"/>
  <c r="D499" i="2"/>
  <c r="E499" i="2"/>
  <c r="C491" i="2"/>
  <c r="D491" i="2"/>
  <c r="F491" i="2"/>
  <c r="C483" i="2"/>
  <c r="D483" i="2"/>
  <c r="E483" i="2"/>
  <c r="C475" i="2"/>
  <c r="D475" i="2"/>
  <c r="E475" i="2"/>
  <c r="C467" i="2"/>
  <c r="D467" i="2"/>
  <c r="F467" i="2"/>
  <c r="C459" i="2"/>
  <c r="D459" i="2"/>
  <c r="F459" i="2"/>
  <c r="C451" i="2"/>
  <c r="D451" i="2"/>
  <c r="E451" i="2"/>
  <c r="C443" i="2"/>
  <c r="D443" i="2"/>
  <c r="E443" i="2"/>
  <c r="C435" i="2"/>
  <c r="D435" i="2"/>
  <c r="E435" i="2"/>
  <c r="C427" i="2"/>
  <c r="D427" i="2"/>
  <c r="F427" i="2"/>
  <c r="C419" i="2"/>
  <c r="D419" i="2"/>
  <c r="E419" i="2"/>
  <c r="C411" i="2"/>
  <c r="D411" i="2"/>
  <c r="F411" i="2"/>
  <c r="C403" i="2"/>
  <c r="D403" i="2"/>
  <c r="F403" i="2"/>
  <c r="C395" i="2"/>
  <c r="D395" i="2"/>
  <c r="E395" i="2"/>
  <c r="C387" i="2"/>
  <c r="D387" i="2"/>
  <c r="F387" i="2"/>
  <c r="C379" i="2"/>
  <c r="D379" i="2"/>
  <c r="E379" i="2"/>
  <c r="C371" i="2"/>
  <c r="D371" i="2"/>
  <c r="F371" i="2"/>
  <c r="C363" i="2"/>
  <c r="D363" i="2"/>
  <c r="F363" i="2"/>
  <c r="C355" i="2"/>
  <c r="D355" i="2"/>
  <c r="F355" i="2"/>
  <c r="C347" i="2"/>
  <c r="D347" i="2"/>
  <c r="F347" i="2"/>
  <c r="C339" i="2"/>
  <c r="D339" i="2"/>
  <c r="F339" i="2"/>
  <c r="C331" i="2"/>
  <c r="D331" i="2"/>
  <c r="F331" i="2"/>
  <c r="C323" i="2"/>
  <c r="E323" i="2"/>
  <c r="D323" i="2"/>
  <c r="C315" i="2"/>
  <c r="D315" i="2"/>
  <c r="F315" i="2"/>
  <c r="C307" i="2"/>
  <c r="D307" i="2"/>
  <c r="F307" i="2"/>
  <c r="C299" i="2"/>
  <c r="D299" i="2"/>
  <c r="F299" i="2"/>
  <c r="C291" i="2"/>
  <c r="D291" i="2"/>
  <c r="E291" i="2"/>
  <c r="C283" i="2"/>
  <c r="D283" i="2"/>
  <c r="F283" i="2"/>
  <c r="C275" i="2"/>
  <c r="D275" i="2"/>
  <c r="E275" i="2"/>
  <c r="C267" i="2"/>
  <c r="D267" i="2"/>
  <c r="E267" i="2"/>
  <c r="C259" i="2"/>
  <c r="E259" i="2"/>
  <c r="D259" i="2"/>
  <c r="C251" i="2"/>
  <c r="E251" i="2"/>
  <c r="D251" i="2"/>
  <c r="C243" i="2"/>
  <c r="D243" i="2"/>
  <c r="F243" i="2"/>
  <c r="C235" i="2"/>
  <c r="D235" i="2"/>
  <c r="E235" i="2"/>
  <c r="C227" i="2"/>
  <c r="D227" i="2"/>
  <c r="F227" i="2"/>
  <c r="C219" i="2"/>
  <c r="D219" i="2"/>
  <c r="F219" i="2"/>
  <c r="C211" i="2"/>
  <c r="D211" i="2"/>
  <c r="F211" i="2"/>
  <c r="C203" i="2"/>
  <c r="D203" i="2"/>
  <c r="F203" i="2"/>
  <c r="C195" i="2"/>
  <c r="D195" i="2"/>
  <c r="E195" i="2"/>
  <c r="C187" i="2"/>
  <c r="D187" i="2"/>
  <c r="F187" i="2"/>
  <c r="C179" i="2"/>
  <c r="D179" i="2"/>
  <c r="F179" i="2"/>
  <c r="C171" i="2"/>
  <c r="D171" i="2"/>
  <c r="E171" i="2"/>
  <c r="C163" i="2"/>
  <c r="D163" i="2"/>
  <c r="F163" i="2"/>
  <c r="C155" i="2"/>
  <c r="E155" i="2"/>
  <c r="D155" i="2"/>
  <c r="C147" i="2"/>
  <c r="D147" i="2"/>
  <c r="E147" i="2"/>
  <c r="C139" i="2"/>
  <c r="D139" i="2"/>
  <c r="E139" i="2"/>
  <c r="C131" i="2"/>
  <c r="D131" i="2"/>
  <c r="E131" i="2"/>
  <c r="C123" i="2"/>
  <c r="D123" i="2"/>
  <c r="E123" i="2"/>
  <c r="C115" i="2"/>
  <c r="D115" i="2"/>
  <c r="F115" i="2"/>
  <c r="C107" i="2"/>
  <c r="D107" i="2"/>
  <c r="F107" i="2"/>
  <c r="C99" i="2"/>
  <c r="D99" i="2"/>
  <c r="F99" i="2"/>
  <c r="C91" i="2"/>
  <c r="E91" i="2"/>
  <c r="D91" i="2"/>
  <c r="C83" i="2"/>
  <c r="D83" i="2"/>
  <c r="E83" i="2"/>
  <c r="C75" i="2"/>
  <c r="D75" i="2"/>
  <c r="E75" i="2"/>
  <c r="C67" i="2"/>
  <c r="D67" i="2"/>
  <c r="F67" i="2"/>
  <c r="C59" i="2"/>
  <c r="D59" i="2"/>
  <c r="F59" i="2"/>
  <c r="C51" i="2"/>
  <c r="D51" i="2"/>
  <c r="E51" i="2"/>
  <c r="C43" i="2"/>
  <c r="D43" i="2"/>
  <c r="E43" i="2"/>
  <c r="C35" i="2"/>
  <c r="D35" i="2"/>
  <c r="E35" i="2"/>
  <c r="C27" i="2"/>
  <c r="D27" i="2"/>
  <c r="F27" i="2"/>
  <c r="C19" i="2"/>
  <c r="D19" i="2"/>
  <c r="F19" i="2"/>
  <c r="F2003" i="2"/>
  <c r="F1707" i="2"/>
  <c r="F1203" i="2"/>
  <c r="F1531" i="2"/>
  <c r="F1499" i="2"/>
  <c r="D6" i="2"/>
  <c r="D5" i="2"/>
  <c r="D12" i="2"/>
  <c r="D4" i="2"/>
  <c r="D13" i="2"/>
  <c r="D9" i="2"/>
  <c r="F12" i="2"/>
  <c r="C10" i="2"/>
  <c r="C8" i="2"/>
  <c r="E11" i="2"/>
  <c r="C11" i="2"/>
  <c r="E7" i="2"/>
  <c r="C7" i="2"/>
  <c r="F3" i="2"/>
  <c r="C3" i="2"/>
  <c r="E3" i="2" s="1"/>
  <c r="G3" i="2" s="1"/>
  <c r="E4" i="2" s="1"/>
  <c r="D4508" i="1"/>
  <c r="D4460" i="1"/>
  <c r="D4428" i="1"/>
  <c r="E4380" i="1"/>
  <c r="E4292" i="1"/>
  <c r="E4244" i="1"/>
  <c r="D4196" i="1"/>
  <c r="E4156" i="1"/>
  <c r="E4100" i="1"/>
  <c r="D4060" i="1"/>
  <c r="D4028" i="1"/>
  <c r="D4012" i="1"/>
  <c r="D3988" i="1"/>
  <c r="E3948" i="1"/>
  <c r="D3900" i="1"/>
  <c r="D3852" i="1"/>
  <c r="D3796" i="1"/>
  <c r="E3756" i="1"/>
  <c r="E3700" i="1"/>
  <c r="D3660" i="1"/>
  <c r="E3588" i="1"/>
  <c r="D3532" i="1"/>
  <c r="D3500" i="1"/>
  <c r="E3444" i="1"/>
  <c r="E3388" i="1"/>
  <c r="D3340" i="1"/>
  <c r="E3276" i="1"/>
  <c r="E3220" i="1"/>
  <c r="E3172" i="1"/>
  <c r="D3140" i="1"/>
  <c r="D3084" i="1"/>
  <c r="E3036" i="1"/>
  <c r="E2972" i="1"/>
  <c r="E2924" i="1"/>
  <c r="D2868" i="1"/>
  <c r="E2804" i="1"/>
  <c r="D2764" i="1"/>
  <c r="E2692" i="1"/>
  <c r="E2636" i="1"/>
  <c r="D2596" i="1"/>
  <c r="E2532" i="1"/>
  <c r="E2476" i="1"/>
  <c r="E2420" i="1"/>
  <c r="E2388" i="1"/>
  <c r="D2340" i="1"/>
  <c r="D2260" i="1"/>
  <c r="E2204" i="1"/>
  <c r="E2164" i="1"/>
  <c r="D2116" i="1"/>
  <c r="E2076" i="1"/>
  <c r="E2028" i="1"/>
  <c r="E1956" i="1"/>
  <c r="D1892" i="1"/>
  <c r="D1844" i="1"/>
  <c r="E1772" i="1"/>
  <c r="D1708" i="1"/>
  <c r="E1660" i="1"/>
  <c r="E1604" i="1"/>
  <c r="D1556" i="1"/>
  <c r="E1524" i="1"/>
  <c r="E1476" i="1"/>
  <c r="D1428" i="1"/>
  <c r="D1380" i="1"/>
  <c r="E1348" i="1"/>
  <c r="E1300" i="1"/>
  <c r="E1252" i="1"/>
  <c r="E1212" i="1"/>
  <c r="E1156" i="1"/>
  <c r="D1100" i="1"/>
  <c r="D1068" i="1"/>
  <c r="E1020" i="1"/>
  <c r="E964" i="1"/>
  <c r="D916" i="1"/>
  <c r="E868" i="1"/>
  <c r="E820" i="1"/>
  <c r="D756" i="1"/>
  <c r="E716" i="1"/>
  <c r="D668" i="1"/>
  <c r="D612" i="1"/>
  <c r="E564" i="1"/>
  <c r="E508" i="1"/>
  <c r="D460" i="1"/>
  <c r="E452" i="1"/>
  <c r="E436" i="1"/>
  <c r="D404" i="1"/>
  <c r="D372" i="1"/>
  <c r="D348" i="1"/>
  <c r="E300" i="1"/>
  <c r="E268" i="1"/>
  <c r="E244" i="1"/>
  <c r="D212" i="1"/>
  <c r="D188" i="1"/>
  <c r="D164" i="1"/>
  <c r="D148" i="1"/>
  <c r="E124" i="1"/>
  <c r="D116" i="1"/>
  <c r="D92" i="1"/>
  <c r="E84" i="1"/>
  <c r="D76" i="1"/>
  <c r="E68" i="1"/>
  <c r="E20" i="1"/>
  <c r="E4515" i="1"/>
  <c r="E4427" i="1"/>
  <c r="D4395" i="1"/>
  <c r="E4371" i="1"/>
  <c r="D4291" i="1"/>
  <c r="E4227" i="1"/>
  <c r="D4163" i="1"/>
  <c r="D4123" i="1"/>
  <c r="E4075" i="1"/>
  <c r="E4011" i="1"/>
  <c r="D3971" i="1"/>
  <c r="E3915" i="1"/>
  <c r="D3859" i="1"/>
  <c r="E3763" i="1"/>
  <c r="E3715" i="1"/>
  <c r="D3667" i="1"/>
  <c r="E3627" i="1"/>
  <c r="E3571" i="1"/>
  <c r="D3523" i="1"/>
  <c r="D3491" i="1"/>
  <c r="D3451" i="1"/>
  <c r="E3427" i="1"/>
  <c r="E3379" i="1"/>
  <c r="D3339" i="1"/>
  <c r="D3291" i="1"/>
  <c r="E3243" i="1"/>
  <c r="E3195" i="1"/>
  <c r="D3131" i="1"/>
  <c r="E3099" i="1"/>
  <c r="D3059" i="1"/>
  <c r="D3011" i="1"/>
  <c r="D2963" i="1"/>
  <c r="E2899" i="1"/>
  <c r="E2827" i="1"/>
  <c r="D2763" i="1"/>
  <c r="D2707" i="1"/>
  <c r="E2659" i="1"/>
  <c r="D2619" i="1"/>
  <c r="E2555" i="1"/>
  <c r="E2499" i="1"/>
  <c r="D2459" i="1"/>
  <c r="E2403" i="1"/>
  <c r="D2363" i="1"/>
  <c r="D2331" i="1"/>
  <c r="D2283" i="1"/>
  <c r="D2243" i="1"/>
  <c r="D2195" i="1"/>
  <c r="D2171" i="1"/>
  <c r="E2123" i="1"/>
  <c r="E2075" i="1"/>
  <c r="E2019" i="1"/>
  <c r="D1979" i="1"/>
  <c r="D1931" i="1"/>
  <c r="E1875" i="1"/>
  <c r="E1819" i="1"/>
  <c r="E1771" i="1"/>
  <c r="E1715" i="1"/>
  <c r="E1675" i="1"/>
  <c r="D1619" i="1"/>
  <c r="E1547" i="1"/>
  <c r="E1499" i="1"/>
  <c r="E1451" i="1"/>
  <c r="E1395" i="1"/>
  <c r="E1355" i="1"/>
  <c r="D1291" i="1"/>
  <c r="E1227" i="1"/>
  <c r="E1179" i="1"/>
  <c r="D1147" i="1"/>
  <c r="D1107" i="1"/>
  <c r="E1059" i="1"/>
  <c r="D979" i="1"/>
  <c r="D923" i="1"/>
  <c r="E875" i="1"/>
  <c r="D827" i="1"/>
  <c r="D779" i="1"/>
  <c r="D731" i="1"/>
  <c r="E683" i="1"/>
  <c r="E611" i="1"/>
  <c r="D563" i="1"/>
  <c r="E523" i="1"/>
  <c r="D483" i="1"/>
  <c r="D443" i="1"/>
  <c r="E411" i="1"/>
  <c r="D379" i="1"/>
  <c r="E363" i="1"/>
  <c r="E339" i="1"/>
  <c r="E315" i="1"/>
  <c r="E307" i="1"/>
  <c r="D291" i="1"/>
  <c r="D275" i="1"/>
  <c r="D259" i="1"/>
  <c r="E243" i="1"/>
  <c r="E227" i="1"/>
  <c r="E211" i="1"/>
  <c r="D195" i="1"/>
  <c r="E179" i="1"/>
  <c r="D171" i="1"/>
  <c r="D155" i="1"/>
  <c r="D147" i="1"/>
  <c r="D139" i="1"/>
  <c r="D131" i="1"/>
  <c r="D123" i="1"/>
  <c r="E115" i="1"/>
  <c r="E107" i="1"/>
  <c r="E99" i="1"/>
  <c r="D91" i="1"/>
  <c r="D83" i="1"/>
  <c r="D75" i="1"/>
  <c r="E67" i="1"/>
  <c r="E19" i="1"/>
  <c r="D4540" i="1"/>
  <c r="D4500" i="1"/>
  <c r="E4444" i="1"/>
  <c r="D4404" i="1"/>
  <c r="D4348" i="1"/>
  <c r="D4300" i="1"/>
  <c r="D4268" i="1"/>
  <c r="D4236" i="1"/>
  <c r="D4180" i="1"/>
  <c r="E4140" i="1"/>
  <c r="E4108" i="1"/>
  <c r="E4036" i="1"/>
  <c r="D4004" i="1"/>
  <c r="D3956" i="1"/>
  <c r="D3908" i="1"/>
  <c r="E3868" i="1"/>
  <c r="D3812" i="1"/>
  <c r="D3748" i="1"/>
  <c r="D3668" i="1"/>
  <c r="E3636" i="1"/>
  <c r="E3508" i="1"/>
  <c r="E3452" i="1"/>
  <c r="D3396" i="1"/>
  <c r="E3356" i="1"/>
  <c r="E3284" i="1"/>
  <c r="E3236" i="1"/>
  <c r="D3204" i="1"/>
  <c r="E3124" i="1"/>
  <c r="D3076" i="1"/>
  <c r="E3028" i="1"/>
  <c r="E2980" i="1"/>
  <c r="D2908" i="1"/>
  <c r="D2860" i="1"/>
  <c r="D2844" i="1"/>
  <c r="D2828" i="1"/>
  <c r="E2796" i="1"/>
  <c r="D2740" i="1"/>
  <c r="D2660" i="1"/>
  <c r="E2620" i="1"/>
  <c r="D2580" i="1"/>
  <c r="D2524" i="1"/>
  <c r="D2484" i="1"/>
  <c r="E2436" i="1"/>
  <c r="E2380" i="1"/>
  <c r="D2332" i="1"/>
  <c r="E2268" i="1"/>
  <c r="D2228" i="1"/>
  <c r="E2188" i="1"/>
  <c r="D2148" i="1"/>
  <c r="D2100" i="1"/>
  <c r="E2036" i="1"/>
  <c r="E1988" i="1"/>
  <c r="E1932" i="1"/>
  <c r="D1876" i="1"/>
  <c r="D1828" i="1"/>
  <c r="D1756" i="1"/>
  <c r="E1724" i="1"/>
  <c r="D1692" i="1"/>
  <c r="E1628" i="1"/>
  <c r="D1564" i="1"/>
  <c r="E1516" i="1"/>
  <c r="D1468" i="1"/>
  <c r="D1436" i="1"/>
  <c r="D1388" i="1"/>
  <c r="E1356" i="1"/>
  <c r="D1316" i="1"/>
  <c r="D1268" i="1"/>
  <c r="E1220" i="1"/>
  <c r="E1172" i="1"/>
  <c r="D1108" i="1"/>
  <c r="D1060" i="1"/>
  <c r="D996" i="1"/>
  <c r="E948" i="1"/>
  <c r="D908" i="1"/>
  <c r="E860" i="1"/>
  <c r="E812" i="1"/>
  <c r="D764" i="1"/>
  <c r="D708" i="1"/>
  <c r="E652" i="1"/>
  <c r="E604" i="1"/>
  <c r="E532" i="1"/>
  <c r="D484" i="1"/>
  <c r="D444" i="1"/>
  <c r="D428" i="1"/>
  <c r="D396" i="1"/>
  <c r="D364" i="1"/>
  <c r="D340" i="1"/>
  <c r="E292" i="1"/>
  <c r="E252" i="1"/>
  <c r="D60" i="1"/>
  <c r="D4499" i="1"/>
  <c r="E4459" i="1"/>
  <c r="E4379" i="1"/>
  <c r="E4331" i="1"/>
  <c r="D4283" i="1"/>
  <c r="E4235" i="1"/>
  <c r="E4171" i="1"/>
  <c r="E4115" i="1"/>
  <c r="D4059" i="1"/>
  <c r="D3995" i="1"/>
  <c r="D3963" i="1"/>
  <c r="D3931" i="1"/>
  <c r="D3875" i="1"/>
  <c r="E3827" i="1"/>
  <c r="D3771" i="1"/>
  <c r="D3723" i="1"/>
  <c r="E3659" i="1"/>
  <c r="D3555" i="1"/>
  <c r="E3499" i="1"/>
  <c r="E3435" i="1"/>
  <c r="D3363" i="1"/>
  <c r="E3307" i="1"/>
  <c r="D3267" i="1"/>
  <c r="E3211" i="1"/>
  <c r="E3155" i="1"/>
  <c r="D3091" i="1"/>
  <c r="E3051" i="1"/>
  <c r="E3003" i="1"/>
  <c r="E2955" i="1"/>
  <c r="E2891" i="1"/>
  <c r="E2851" i="1"/>
  <c r="D2795" i="1"/>
  <c r="E2723" i="1"/>
  <c r="E2635" i="1"/>
  <c r="D2579" i="1"/>
  <c r="D2507" i="1"/>
  <c r="E2467" i="1"/>
  <c r="D2419" i="1"/>
  <c r="E2371" i="1"/>
  <c r="D2307" i="1"/>
  <c r="E2267" i="1"/>
  <c r="D2219" i="1"/>
  <c r="E2179" i="1"/>
  <c r="E2131" i="1"/>
  <c r="E2099" i="1"/>
  <c r="D2059" i="1"/>
  <c r="E2003" i="1"/>
  <c r="E1947" i="1"/>
  <c r="D1891" i="1"/>
  <c r="D1851" i="1"/>
  <c r="E1787" i="1"/>
  <c r="E1739" i="1"/>
  <c r="E1707" i="1"/>
  <c r="E1667" i="1"/>
  <c r="D1627" i="1"/>
  <c r="D1595" i="1"/>
  <c r="E1563" i="1"/>
  <c r="D1491" i="1"/>
  <c r="D1443" i="1"/>
  <c r="E1403" i="1"/>
  <c r="D1379" i="1"/>
  <c r="D1331" i="1"/>
  <c r="E1315" i="1"/>
  <c r="D1283" i="1"/>
  <c r="E1259" i="1"/>
  <c r="D1235" i="1"/>
  <c r="D1187" i="1"/>
  <c r="E1171" i="1"/>
  <c r="E1131" i="1"/>
  <c r="D1115" i="1"/>
  <c r="E1067" i="1"/>
  <c r="E1035" i="1"/>
  <c r="E1003" i="1"/>
  <c r="E987" i="1"/>
  <c r="D947" i="1"/>
  <c r="D899" i="1"/>
  <c r="D859" i="1"/>
  <c r="E819" i="1"/>
  <c r="E771" i="1"/>
  <c r="D723" i="1"/>
  <c r="D675" i="1"/>
  <c r="D603" i="1"/>
  <c r="D555" i="1"/>
  <c r="E531" i="1"/>
  <c r="E491" i="1"/>
  <c r="D451" i="1"/>
  <c r="D419" i="1"/>
  <c r="E387" i="1"/>
  <c r="E331" i="1"/>
  <c r="D35" i="1"/>
  <c r="E4339" i="1"/>
  <c r="D4524" i="1"/>
  <c r="D4476" i="1"/>
  <c r="D4412" i="1"/>
  <c r="E4364" i="1"/>
  <c r="E4324" i="1"/>
  <c r="E4284" i="1"/>
  <c r="E4228" i="1"/>
  <c r="E4188" i="1"/>
  <c r="D4132" i="1"/>
  <c r="D4068" i="1"/>
  <c r="D3980" i="1"/>
  <c r="E3924" i="1"/>
  <c r="E3884" i="1"/>
  <c r="D3844" i="1"/>
  <c r="D3788" i="1"/>
  <c r="E3724" i="1"/>
  <c r="D3676" i="1"/>
  <c r="D3596" i="1"/>
  <c r="E3556" i="1"/>
  <c r="E3484" i="1"/>
  <c r="D3412" i="1"/>
  <c r="D3348" i="1"/>
  <c r="E3308" i="1"/>
  <c r="D3260" i="1"/>
  <c r="D3228" i="1"/>
  <c r="E3180" i="1"/>
  <c r="D3132" i="1"/>
  <c r="E3100" i="1"/>
  <c r="E3044" i="1"/>
  <c r="E2996" i="1"/>
  <c r="D2964" i="1"/>
  <c r="D2940" i="1"/>
  <c r="D2916" i="1"/>
  <c r="D2900" i="1"/>
  <c r="D2852" i="1"/>
  <c r="E2788" i="1"/>
  <c r="D2748" i="1"/>
  <c r="E2716" i="1"/>
  <c r="E2676" i="1"/>
  <c r="E2628" i="1"/>
  <c r="D2572" i="1"/>
  <c r="E2540" i="1"/>
  <c r="D2508" i="1"/>
  <c r="E2460" i="1"/>
  <c r="E2428" i="1"/>
  <c r="D2356" i="1"/>
  <c r="E2300" i="1"/>
  <c r="E2276" i="1"/>
  <c r="D2220" i="1"/>
  <c r="E2180" i="1"/>
  <c r="E2124" i="1"/>
  <c r="D2084" i="1"/>
  <c r="D2060" i="1"/>
  <c r="E2012" i="1"/>
  <c r="E1980" i="1"/>
  <c r="E1940" i="1"/>
  <c r="D1908" i="1"/>
  <c r="E1852" i="1"/>
  <c r="D1812" i="1"/>
  <c r="E1796" i="1"/>
  <c r="E1780" i="1"/>
  <c r="E1740" i="1"/>
  <c r="E1700" i="1"/>
  <c r="E1652" i="1"/>
  <c r="D1612" i="1"/>
  <c r="D1588" i="1"/>
  <c r="E1548" i="1"/>
  <c r="D1492" i="1"/>
  <c r="E1444" i="1"/>
  <c r="D1396" i="1"/>
  <c r="D1332" i="1"/>
  <c r="E1292" i="1"/>
  <c r="E1236" i="1"/>
  <c r="D1196" i="1"/>
  <c r="E1132" i="1"/>
  <c r="D1084" i="1"/>
  <c r="D1028" i="1"/>
  <c r="E1004" i="1"/>
  <c r="D980" i="1"/>
  <c r="D940" i="1"/>
  <c r="E892" i="1"/>
  <c r="D836" i="1"/>
  <c r="E788" i="1"/>
  <c r="D772" i="1"/>
  <c r="D740" i="1"/>
  <c r="D676" i="1"/>
  <c r="E628" i="1"/>
  <c r="E580" i="1"/>
  <c r="D540" i="1"/>
  <c r="D516" i="1"/>
  <c r="E500" i="1"/>
  <c r="E420" i="1"/>
  <c r="E388" i="1"/>
  <c r="D332" i="1"/>
  <c r="D308" i="1"/>
  <c r="E236" i="1"/>
  <c r="D204" i="1"/>
  <c r="E180" i="1"/>
  <c r="D132" i="1"/>
  <c r="D100" i="1"/>
  <c r="E36" i="1"/>
  <c r="E4491" i="1"/>
  <c r="E4347" i="1"/>
  <c r="E4299" i="1"/>
  <c r="D4267" i="1"/>
  <c r="E4243" i="1"/>
  <c r="E4203" i="1"/>
  <c r="D4187" i="1"/>
  <c r="E4131" i="1"/>
  <c r="E4083" i="1"/>
  <c r="D4043" i="1"/>
  <c r="D4019" i="1"/>
  <c r="D3947" i="1"/>
  <c r="E3907" i="1"/>
  <c r="E3851" i="1"/>
  <c r="E3803" i="1"/>
  <c r="D3731" i="1"/>
  <c r="D3699" i="1"/>
  <c r="D3675" i="1"/>
  <c r="E3611" i="1"/>
  <c r="E3579" i="1"/>
  <c r="D3515" i="1"/>
  <c r="D3467" i="1"/>
  <c r="D3395" i="1"/>
  <c r="D3355" i="1"/>
  <c r="E3315" i="1"/>
  <c r="D3259" i="1"/>
  <c r="D3227" i="1"/>
  <c r="E3171" i="1"/>
  <c r="D3147" i="1"/>
  <c r="D3123" i="1"/>
  <c r="E3075" i="1"/>
  <c r="D3019" i="1"/>
  <c r="E2971" i="1"/>
  <c r="E2939" i="1"/>
  <c r="E2923" i="1"/>
  <c r="E2907" i="1"/>
  <c r="D2867" i="1"/>
  <c r="E2803" i="1"/>
  <c r="D2755" i="1"/>
  <c r="D2691" i="1"/>
  <c r="D2643" i="1"/>
  <c r="D2595" i="1"/>
  <c r="E2563" i="1"/>
  <c r="E2531" i="1"/>
  <c r="E2427" i="1"/>
  <c r="E2395" i="1"/>
  <c r="D2347" i="1"/>
  <c r="D2299" i="1"/>
  <c r="D2203" i="1"/>
  <c r="E2155" i="1"/>
  <c r="E2083" i="1"/>
  <c r="D2035" i="1"/>
  <c r="E1995" i="1"/>
  <c r="E1955" i="1"/>
  <c r="E1899" i="1"/>
  <c r="D1835" i="1"/>
  <c r="D1795" i="1"/>
  <c r="E1731" i="1"/>
  <c r="D1683" i="1"/>
  <c r="E1643" i="1"/>
  <c r="D1579" i="1"/>
  <c r="D1539" i="1"/>
  <c r="D1523" i="1"/>
  <c r="E1467" i="1"/>
  <c r="D1427" i="1"/>
  <c r="E1363" i="1"/>
  <c r="D1307" i="1"/>
  <c r="E1243" i="1"/>
  <c r="D1195" i="1"/>
  <c r="D1099" i="1"/>
  <c r="D1051" i="1"/>
  <c r="D1019" i="1"/>
  <c r="D955" i="1"/>
  <c r="D883" i="1"/>
  <c r="D843" i="1"/>
  <c r="E787" i="1"/>
  <c r="D739" i="1"/>
  <c r="D699" i="1"/>
  <c r="D659" i="1"/>
  <c r="E627" i="1"/>
  <c r="D587" i="1"/>
  <c r="E515" i="1"/>
  <c r="E59" i="1"/>
  <c r="E4516" i="1"/>
  <c r="D4452" i="1"/>
  <c r="E4396" i="1"/>
  <c r="D4356" i="1"/>
  <c r="E4316" i="1"/>
  <c r="E4252" i="1"/>
  <c r="D4204" i="1"/>
  <c r="E4148" i="1"/>
  <c r="E4092" i="1"/>
  <c r="E3996" i="1"/>
  <c r="D3940" i="1"/>
  <c r="D3892" i="1"/>
  <c r="D3836" i="1"/>
  <c r="D3804" i="1"/>
  <c r="E3764" i="1"/>
  <c r="E3732" i="1"/>
  <c r="E3716" i="1"/>
  <c r="D3684" i="1"/>
  <c r="D3628" i="1"/>
  <c r="E3620" i="1"/>
  <c r="D3604" i="1"/>
  <c r="D3572" i="1"/>
  <c r="D3548" i="1"/>
  <c r="E3516" i="1"/>
  <c r="E3468" i="1"/>
  <c r="E3420" i="1"/>
  <c r="E3372" i="1"/>
  <c r="D3324" i="1"/>
  <c r="D3292" i="1"/>
  <c r="D3244" i="1"/>
  <c r="E3196" i="1"/>
  <c r="D3156" i="1"/>
  <c r="D3108" i="1"/>
  <c r="D3052" i="1"/>
  <c r="E3004" i="1"/>
  <c r="D2948" i="1"/>
  <c r="E2884" i="1"/>
  <c r="E2820" i="1"/>
  <c r="E2756" i="1"/>
  <c r="D2708" i="1"/>
  <c r="D2684" i="1"/>
  <c r="D2644" i="1"/>
  <c r="D2588" i="1"/>
  <c r="D2548" i="1"/>
  <c r="D2492" i="1"/>
  <c r="E2444" i="1"/>
  <c r="E2396" i="1"/>
  <c r="E2284" i="1"/>
  <c r="D2244" i="1"/>
  <c r="E2196" i="1"/>
  <c r="D2140" i="1"/>
  <c r="E2092" i="1"/>
  <c r="E2052" i="1"/>
  <c r="D2004" i="1"/>
  <c r="E1964" i="1"/>
  <c r="D1916" i="1"/>
  <c r="E1900" i="1"/>
  <c r="D1860" i="1"/>
  <c r="D1804" i="1"/>
  <c r="E1748" i="1"/>
  <c r="D1676" i="1"/>
  <c r="E1636" i="1"/>
  <c r="D1580" i="1"/>
  <c r="D1532" i="1"/>
  <c r="D1484" i="1"/>
  <c r="E1452" i="1"/>
  <c r="E1404" i="1"/>
  <c r="E1340" i="1"/>
  <c r="E1284" i="1"/>
  <c r="E1244" i="1"/>
  <c r="E1188" i="1"/>
  <c r="D1124" i="1"/>
  <c r="D1076" i="1"/>
  <c r="E1036" i="1"/>
  <c r="E972" i="1"/>
  <c r="E924" i="1"/>
  <c r="E884" i="1"/>
  <c r="D844" i="1"/>
  <c r="E796" i="1"/>
  <c r="D724" i="1"/>
  <c r="E692" i="1"/>
  <c r="E636" i="1"/>
  <c r="D588" i="1"/>
  <c r="E548" i="1"/>
  <c r="E524" i="1"/>
  <c r="D468" i="1"/>
  <c r="D412" i="1"/>
  <c r="D380" i="1"/>
  <c r="E324" i="1"/>
  <c r="D260" i="1"/>
  <c r="E220" i="1"/>
  <c r="D172" i="1"/>
  <c r="E140" i="1"/>
  <c r="D108" i="1"/>
  <c r="E28" i="1"/>
  <c r="D4539" i="1"/>
  <c r="E4507" i="1"/>
  <c r="E4483" i="1"/>
  <c r="E4475" i="1"/>
  <c r="E4451" i="1"/>
  <c r="E4435" i="1"/>
  <c r="E4411" i="1"/>
  <c r="D4355" i="1"/>
  <c r="E4307" i="1"/>
  <c r="E4259" i="1"/>
  <c r="D4219" i="1"/>
  <c r="D4195" i="1"/>
  <c r="E4147" i="1"/>
  <c r="D4091" i="1"/>
  <c r="D4051" i="1"/>
  <c r="E4027" i="1"/>
  <c r="E3939" i="1"/>
  <c r="E3891" i="1"/>
  <c r="E3867" i="1"/>
  <c r="D3819" i="1"/>
  <c r="D3787" i="1"/>
  <c r="D3755" i="1"/>
  <c r="E3683" i="1"/>
  <c r="E3635" i="1"/>
  <c r="E3587" i="1"/>
  <c r="E3547" i="1"/>
  <c r="D3475" i="1"/>
  <c r="E3403" i="1"/>
  <c r="E3347" i="1"/>
  <c r="E3299" i="1"/>
  <c r="E3251" i="1"/>
  <c r="D3203" i="1"/>
  <c r="E3163" i="1"/>
  <c r="D3139" i="1"/>
  <c r="D3083" i="1"/>
  <c r="E3027" i="1"/>
  <c r="E2979" i="1"/>
  <c r="E2915" i="1"/>
  <c r="E2859" i="1"/>
  <c r="E2787" i="1"/>
  <c r="E2731" i="1"/>
  <c r="D2683" i="1"/>
  <c r="E2651" i="1"/>
  <c r="E2603" i="1"/>
  <c r="D2571" i="1"/>
  <c r="D2539" i="1"/>
  <c r="E2515" i="1"/>
  <c r="D2451" i="1"/>
  <c r="E2411" i="1"/>
  <c r="D2355" i="1"/>
  <c r="E2315" i="1"/>
  <c r="D2235" i="1"/>
  <c r="E2163" i="1"/>
  <c r="D2091" i="1"/>
  <c r="D2043" i="1"/>
  <c r="E1987" i="1"/>
  <c r="D1907" i="1"/>
  <c r="D1859" i="1"/>
  <c r="D1843" i="1"/>
  <c r="D1811" i="1"/>
  <c r="E1747" i="1"/>
  <c r="D1691" i="1"/>
  <c r="D1635" i="1"/>
  <c r="E1587" i="1"/>
  <c r="D1515" i="1"/>
  <c r="E1459" i="1"/>
  <c r="E1411" i="1"/>
  <c r="E1339" i="1"/>
  <c r="E1299" i="1"/>
  <c r="D1251" i="1"/>
  <c r="E1203" i="1"/>
  <c r="D1155" i="1"/>
  <c r="D1075" i="1"/>
  <c r="D1027" i="1"/>
  <c r="D963" i="1"/>
  <c r="E915" i="1"/>
  <c r="D851" i="1"/>
  <c r="D795" i="1"/>
  <c r="E747" i="1"/>
  <c r="E707" i="1"/>
  <c r="D667" i="1"/>
  <c r="E643" i="1"/>
  <c r="E619" i="1"/>
  <c r="D571" i="1"/>
  <c r="D475" i="1"/>
  <c r="D43" i="1"/>
  <c r="E4419" i="1"/>
  <c r="D4532" i="1"/>
  <c r="D4492" i="1"/>
  <c r="D4468" i="1"/>
  <c r="E4436" i="1"/>
  <c r="D4388" i="1"/>
  <c r="D4340" i="1"/>
  <c r="D4308" i="1"/>
  <c r="D4260" i="1"/>
  <c r="D4212" i="1"/>
  <c r="E4116" i="1"/>
  <c r="D4084" i="1"/>
  <c r="E4052" i="1"/>
  <c r="D4020" i="1"/>
  <c r="E3964" i="1"/>
  <c r="E3932" i="1"/>
  <c r="E3860" i="1"/>
  <c r="E3820" i="1"/>
  <c r="D3772" i="1"/>
  <c r="E3692" i="1"/>
  <c r="D3644" i="1"/>
  <c r="E3580" i="1"/>
  <c r="E3524" i="1"/>
  <c r="E3492" i="1"/>
  <c r="D3460" i="1"/>
  <c r="D3436" i="1"/>
  <c r="D3404" i="1"/>
  <c r="D3380" i="1"/>
  <c r="E3316" i="1"/>
  <c r="E3268" i="1"/>
  <c r="E3212" i="1"/>
  <c r="E3164" i="1"/>
  <c r="D3116" i="1"/>
  <c r="E3068" i="1"/>
  <c r="D3020" i="1"/>
  <c r="E2988" i="1"/>
  <c r="D2932" i="1"/>
  <c r="D2876" i="1"/>
  <c r="D2812" i="1"/>
  <c r="E2772" i="1"/>
  <c r="D2724" i="1"/>
  <c r="D2652" i="1"/>
  <c r="D2612" i="1"/>
  <c r="D2564" i="1"/>
  <c r="D2516" i="1"/>
  <c r="E2468" i="1"/>
  <c r="E2412" i="1"/>
  <c r="D2372" i="1"/>
  <c r="D2316" i="1"/>
  <c r="E2252" i="1"/>
  <c r="E2212" i="1"/>
  <c r="E2156" i="1"/>
  <c r="D2108" i="1"/>
  <c r="D2044" i="1"/>
  <c r="E1996" i="1"/>
  <c r="D1948" i="1"/>
  <c r="D1884" i="1"/>
  <c r="D1836" i="1"/>
  <c r="D1764" i="1"/>
  <c r="D1716" i="1"/>
  <c r="E1668" i="1"/>
  <c r="D1620" i="1"/>
  <c r="E1572" i="1"/>
  <c r="D1508" i="1"/>
  <c r="E1460" i="1"/>
  <c r="E1420" i="1"/>
  <c r="E1372" i="1"/>
  <c r="D1324" i="1"/>
  <c r="D1276" i="1"/>
  <c r="D1228" i="1"/>
  <c r="D1180" i="1"/>
  <c r="E1148" i="1"/>
  <c r="E1092" i="1"/>
  <c r="D1044" i="1"/>
  <c r="E1012" i="1"/>
  <c r="D956" i="1"/>
  <c r="D900" i="1"/>
  <c r="D852" i="1"/>
  <c r="D804" i="1"/>
  <c r="D748" i="1"/>
  <c r="D700" i="1"/>
  <c r="E660" i="1"/>
  <c r="E620" i="1"/>
  <c r="E572" i="1"/>
  <c r="E492" i="1"/>
  <c r="D356" i="1"/>
  <c r="D316" i="1"/>
  <c r="E284" i="1"/>
  <c r="E276" i="1"/>
  <c r="D228" i="1"/>
  <c r="E196" i="1"/>
  <c r="D156" i="1"/>
  <c r="D52" i="1"/>
  <c r="E2324" i="1"/>
  <c r="E4523" i="1"/>
  <c r="E4443" i="1"/>
  <c r="E4387" i="1"/>
  <c r="D4323" i="1"/>
  <c r="E4275" i="1"/>
  <c r="D4211" i="1"/>
  <c r="D4155" i="1"/>
  <c r="D4107" i="1"/>
  <c r="D4067" i="1"/>
  <c r="E4003" i="1"/>
  <c r="E3979" i="1"/>
  <c r="E3923" i="1"/>
  <c r="D3883" i="1"/>
  <c r="E3835" i="1"/>
  <c r="D3779" i="1"/>
  <c r="E3747" i="1"/>
  <c r="D3707" i="1"/>
  <c r="D3651" i="1"/>
  <c r="E3603" i="1"/>
  <c r="E3531" i="1"/>
  <c r="E3483" i="1"/>
  <c r="E3443" i="1"/>
  <c r="D3411" i="1"/>
  <c r="E3371" i="1"/>
  <c r="E3331" i="1"/>
  <c r="E3275" i="1"/>
  <c r="E3219" i="1"/>
  <c r="D3179" i="1"/>
  <c r="E3107" i="1"/>
  <c r="E3043" i="1"/>
  <c r="D2995" i="1"/>
  <c r="E2947" i="1"/>
  <c r="E2883" i="1"/>
  <c r="D2811" i="1"/>
  <c r="E2771" i="1"/>
  <c r="D2739" i="1"/>
  <c r="D2699" i="1"/>
  <c r="E2667" i="1"/>
  <c r="D2611" i="1"/>
  <c r="D2547" i="1"/>
  <c r="D2491" i="1"/>
  <c r="D2443" i="1"/>
  <c r="E2387" i="1"/>
  <c r="E2339" i="1"/>
  <c r="E2291" i="1"/>
  <c r="D2259" i="1"/>
  <c r="D2227" i="1"/>
  <c r="E2187" i="1"/>
  <c r="E2139" i="1"/>
  <c r="E2115" i="1"/>
  <c r="D2067" i="1"/>
  <c r="E2027" i="1"/>
  <c r="E1963" i="1"/>
  <c r="E1915" i="1"/>
  <c r="D1867" i="1"/>
  <c r="E1803" i="1"/>
  <c r="E1763" i="1"/>
  <c r="D1699" i="1"/>
  <c r="E1651" i="1"/>
  <c r="D1603" i="1"/>
  <c r="D1555" i="1"/>
  <c r="D1483" i="1"/>
  <c r="D1435" i="1"/>
  <c r="D1371" i="1"/>
  <c r="D1323" i="1"/>
  <c r="E1267" i="1"/>
  <c r="D1211" i="1"/>
  <c r="D1163" i="1"/>
  <c r="E1123" i="1"/>
  <c r="E1083" i="1"/>
  <c r="D995" i="1"/>
  <c r="D939" i="1"/>
  <c r="D907" i="1"/>
  <c r="E867" i="1"/>
  <c r="E811" i="1"/>
  <c r="D763" i="1"/>
  <c r="E715" i="1"/>
  <c r="D651" i="1"/>
  <c r="D595" i="1"/>
  <c r="D547" i="1"/>
  <c r="D507" i="1"/>
  <c r="E459" i="1"/>
  <c r="E427" i="1"/>
  <c r="D395" i="1"/>
  <c r="E371" i="1"/>
  <c r="E347" i="1"/>
  <c r="D323" i="1"/>
  <c r="E299" i="1"/>
  <c r="E283" i="1"/>
  <c r="D267" i="1"/>
  <c r="D251" i="1"/>
  <c r="D235" i="1"/>
  <c r="E219" i="1"/>
  <c r="E203" i="1"/>
  <c r="E187" i="1"/>
  <c r="E163" i="1"/>
  <c r="E27" i="1"/>
  <c r="E4076" i="1"/>
  <c r="E3811" i="1"/>
  <c r="E3619" i="1"/>
  <c r="E2483" i="1"/>
  <c r="E4484" i="1"/>
  <c r="D4420" i="1"/>
  <c r="D4372" i="1"/>
  <c r="E4332" i="1"/>
  <c r="E4276" i="1"/>
  <c r="D4220" i="1"/>
  <c r="E4172" i="1"/>
  <c r="E4124" i="1"/>
  <c r="E4044" i="1"/>
  <c r="E3972" i="1"/>
  <c r="E3916" i="1"/>
  <c r="D3876" i="1"/>
  <c r="D3828" i="1"/>
  <c r="D3780" i="1"/>
  <c r="E3740" i="1"/>
  <c r="E3652" i="1"/>
  <c r="D3612" i="1"/>
  <c r="E3540" i="1"/>
  <c r="E3476" i="1"/>
  <c r="E3428" i="1"/>
  <c r="E3364" i="1"/>
  <c r="D3332" i="1"/>
  <c r="E3300" i="1"/>
  <c r="D3252" i="1"/>
  <c r="D3188" i="1"/>
  <c r="E3148" i="1"/>
  <c r="D3092" i="1"/>
  <c r="E3060" i="1"/>
  <c r="D3012" i="1"/>
  <c r="D2956" i="1"/>
  <c r="E2892" i="1"/>
  <c r="D2836" i="1"/>
  <c r="E2780" i="1"/>
  <c r="E2732" i="1"/>
  <c r="E2700" i="1"/>
  <c r="D2668" i="1"/>
  <c r="E2604" i="1"/>
  <c r="D2556" i="1"/>
  <c r="D2500" i="1"/>
  <c r="E2452" i="1"/>
  <c r="E2404" i="1"/>
  <c r="E2364" i="1"/>
  <c r="D2348" i="1"/>
  <c r="E2308" i="1"/>
  <c r="E2292" i="1"/>
  <c r="E2236" i="1"/>
  <c r="E2172" i="1"/>
  <c r="E2132" i="1"/>
  <c r="D2068" i="1"/>
  <c r="D2020" i="1"/>
  <c r="D1972" i="1"/>
  <c r="E1924" i="1"/>
  <c r="D1868" i="1"/>
  <c r="E1820" i="1"/>
  <c r="E1788" i="1"/>
  <c r="E1732" i="1"/>
  <c r="E1684" i="1"/>
  <c r="E1644" i="1"/>
  <c r="D1596" i="1"/>
  <c r="E1540" i="1"/>
  <c r="E1500" i="1"/>
  <c r="E1412" i="1"/>
  <c r="E1364" i="1"/>
  <c r="D1308" i="1"/>
  <c r="E1260" i="1"/>
  <c r="E1204" i="1"/>
  <c r="E1164" i="1"/>
  <c r="D1140" i="1"/>
  <c r="D1116" i="1"/>
  <c r="E1052" i="1"/>
  <c r="D988" i="1"/>
  <c r="E932" i="1"/>
  <c r="D876" i="1"/>
  <c r="D828" i="1"/>
  <c r="E780" i="1"/>
  <c r="E732" i="1"/>
  <c r="D684" i="1"/>
  <c r="D644" i="1"/>
  <c r="E596" i="1"/>
  <c r="D556" i="1"/>
  <c r="E476" i="1"/>
  <c r="E44" i="1"/>
  <c r="E3564" i="1"/>
  <c r="D4531" i="1"/>
  <c r="D4467" i="1"/>
  <c r="E4403" i="1"/>
  <c r="E4363" i="1"/>
  <c r="D4315" i="1"/>
  <c r="D4251" i="1"/>
  <c r="D4179" i="1"/>
  <c r="E4139" i="1"/>
  <c r="D4099" i="1"/>
  <c r="D4035" i="1"/>
  <c r="D3987" i="1"/>
  <c r="D3955" i="1"/>
  <c r="D3899" i="1"/>
  <c r="D3843" i="1"/>
  <c r="D3795" i="1"/>
  <c r="E3739" i="1"/>
  <c r="D3691" i="1"/>
  <c r="D3643" i="1"/>
  <c r="D3595" i="1"/>
  <c r="D3563" i="1"/>
  <c r="E3539" i="1"/>
  <c r="D3507" i="1"/>
  <c r="D3459" i="1"/>
  <c r="E3419" i="1"/>
  <c r="D3387" i="1"/>
  <c r="E3323" i="1"/>
  <c r="E3283" i="1"/>
  <c r="D3235" i="1"/>
  <c r="E3187" i="1"/>
  <c r="D3115" i="1"/>
  <c r="D3067" i="1"/>
  <c r="E3035" i="1"/>
  <c r="E2987" i="1"/>
  <c r="E2931" i="1"/>
  <c r="E2875" i="1"/>
  <c r="D2843" i="1"/>
  <c r="E2835" i="1"/>
  <c r="D2819" i="1"/>
  <c r="D2779" i="1"/>
  <c r="E2747" i="1"/>
  <c r="E2715" i="1"/>
  <c r="E2675" i="1"/>
  <c r="D2627" i="1"/>
  <c r="D2587" i="1"/>
  <c r="D2523" i="1"/>
  <c r="D2475" i="1"/>
  <c r="D2435" i="1"/>
  <c r="E2379" i="1"/>
  <c r="D2323" i="1"/>
  <c r="D2275" i="1"/>
  <c r="D2251" i="1"/>
  <c r="E2211" i="1"/>
  <c r="D2147" i="1"/>
  <c r="E2107" i="1"/>
  <c r="E2051" i="1"/>
  <c r="E2011" i="1"/>
  <c r="D1971" i="1"/>
  <c r="D1939" i="1"/>
  <c r="D1923" i="1"/>
  <c r="E1883" i="1"/>
  <c r="E1827" i="1"/>
  <c r="D1779" i="1"/>
  <c r="E1755" i="1"/>
  <c r="D1723" i="1"/>
  <c r="D1659" i="1"/>
  <c r="D1611" i="1"/>
  <c r="D1571" i="1"/>
  <c r="E1531" i="1"/>
  <c r="E1507" i="1"/>
  <c r="D1475" i="1"/>
  <c r="E1419" i="1"/>
  <c r="E1387" i="1"/>
  <c r="D1347" i="1"/>
  <c r="D1275" i="1"/>
  <c r="E1219" i="1"/>
  <c r="E1139" i="1"/>
  <c r="E1091" i="1"/>
  <c r="D1043" i="1"/>
  <c r="E1011" i="1"/>
  <c r="D971" i="1"/>
  <c r="D931" i="1"/>
  <c r="D891" i="1"/>
  <c r="E835" i="1"/>
  <c r="D803" i="1"/>
  <c r="D755" i="1"/>
  <c r="D691" i="1"/>
  <c r="D635" i="1"/>
  <c r="D579" i="1"/>
  <c r="D539" i="1"/>
  <c r="D499" i="1"/>
  <c r="E467" i="1"/>
  <c r="D435" i="1"/>
  <c r="E403" i="1"/>
  <c r="E355" i="1"/>
  <c r="D51" i="1"/>
  <c r="E12" i="1"/>
  <c r="D4530" i="1"/>
  <c r="D4514" i="1"/>
  <c r="D4506" i="1"/>
  <c r="D4490" i="1"/>
  <c r="D4482" i="1"/>
  <c r="D4474" i="1"/>
  <c r="D4442" i="1"/>
  <c r="D4418" i="1"/>
  <c r="D4402" i="1"/>
  <c r="D4338" i="1"/>
  <c r="D4314" i="1"/>
  <c r="D4306" i="1"/>
  <c r="D4298" i="1"/>
  <c r="D4282" i="1"/>
  <c r="D4274" i="1"/>
  <c r="D4258" i="1"/>
  <c r="D4250" i="1"/>
  <c r="D4226" i="1"/>
  <c r="D4218" i="1"/>
  <c r="D4202" i="1"/>
  <c r="D4170" i="1"/>
  <c r="D4162" i="1"/>
  <c r="D4146" i="1"/>
  <c r="D4138" i="1"/>
  <c r="D4106" i="1"/>
  <c r="D4058" i="1"/>
  <c r="D4050" i="1"/>
  <c r="D4034" i="1"/>
  <c r="D4018" i="1"/>
  <c r="D4010" i="1"/>
  <c r="D3986" i="1"/>
  <c r="D3970" i="1"/>
  <c r="D3962" i="1"/>
  <c r="D3946" i="1"/>
  <c r="D3930" i="1"/>
  <c r="D3914" i="1"/>
  <c r="D3898" i="1"/>
  <c r="D3874" i="1"/>
  <c r="D3858" i="1"/>
  <c r="D3834" i="1"/>
  <c r="D3778" i="1"/>
  <c r="D3762" i="1"/>
  <c r="D3754" i="1"/>
  <c r="D3730" i="1"/>
  <c r="D3722" i="1"/>
  <c r="D3698" i="1"/>
  <c r="D3690" i="1"/>
  <c r="D3682" i="1"/>
  <c r="D3674" i="1"/>
  <c r="D3666" i="1"/>
  <c r="D3634" i="1"/>
  <c r="D3626" i="1"/>
  <c r="D3602" i="1"/>
  <c r="D3578" i="1"/>
  <c r="D3570" i="1"/>
  <c r="D3562" i="1"/>
  <c r="D3554" i="1"/>
  <c r="D3546" i="1"/>
  <c r="D3530" i="1"/>
  <c r="D3522" i="1"/>
  <c r="D3514" i="1"/>
  <c r="D3490" i="1"/>
  <c r="D3482" i="1"/>
  <c r="D3466" i="1"/>
  <c r="D3458" i="1"/>
  <c r="D3434" i="1"/>
  <c r="D3426" i="1"/>
  <c r="D3402" i="1"/>
  <c r="D3394" i="1"/>
  <c r="D3354" i="1"/>
  <c r="D3346" i="1"/>
  <c r="D3338" i="1"/>
  <c r="D3314" i="1"/>
  <c r="D3306" i="1"/>
  <c r="D3266" i="1"/>
  <c r="D3258" i="1"/>
  <c r="D3250" i="1"/>
  <c r="D3242" i="1"/>
  <c r="D3234" i="1"/>
  <c r="D3218" i="1"/>
  <c r="D3202" i="1"/>
  <c r="D3194" i="1"/>
  <c r="D3170" i="1"/>
  <c r="D3162" i="1"/>
  <c r="D3154" i="1"/>
  <c r="D3146" i="1"/>
  <c r="D3130" i="1"/>
  <c r="D3114" i="1"/>
  <c r="D3098" i="1"/>
  <c r="D3090" i="1"/>
  <c r="D3082" i="1"/>
  <c r="D3042" i="1"/>
  <c r="D3034" i="1"/>
  <c r="D3018" i="1"/>
  <c r="D3010" i="1"/>
  <c r="D2994" i="1"/>
  <c r="D2986" i="1"/>
  <c r="D2938" i="1"/>
  <c r="D2890" i="1"/>
  <c r="D2874" i="1"/>
  <c r="D2866" i="1"/>
  <c r="D2858" i="1"/>
  <c r="D2826" i="1"/>
  <c r="D2810" i="1"/>
  <c r="D2802" i="1"/>
  <c r="D2786" i="1"/>
  <c r="D2770" i="1"/>
  <c r="D2738" i="1"/>
  <c r="D2730" i="1"/>
  <c r="D2714" i="1"/>
  <c r="D2674" i="1"/>
  <c r="D2666" i="1"/>
  <c r="D2642" i="1"/>
  <c r="D2634" i="1"/>
  <c r="D2610" i="1"/>
  <c r="D2602" i="1"/>
  <c r="D2594" i="1"/>
  <c r="D2578" i="1"/>
  <c r="D2570" i="1"/>
  <c r="D2562" i="1"/>
  <c r="D2546" i="1"/>
  <c r="D2538" i="1"/>
  <c r="D2522" i="1"/>
  <c r="D2514" i="1"/>
  <c r="D2506" i="1"/>
  <c r="D2490" i="1"/>
  <c r="D2482" i="1"/>
  <c r="D2474" i="1"/>
  <c r="D2466" i="1"/>
  <c r="D2450" i="1"/>
  <c r="D2434" i="1"/>
  <c r="D2426" i="1"/>
  <c r="D2394" i="1"/>
  <c r="D2378" i="1"/>
  <c r="D2362" i="1"/>
  <c r="D2298" i="1"/>
  <c r="D2274" i="1"/>
  <c r="D2266" i="1"/>
  <c r="D2250" i="1"/>
  <c r="D2242" i="1"/>
  <c r="D2234" i="1"/>
  <c r="D2218" i="1"/>
  <c r="D2210" i="1"/>
  <c r="D2202" i="1"/>
  <c r="D2186" i="1"/>
  <c r="D2178" i="1"/>
  <c r="D2170" i="1"/>
  <c r="D2162" i="1"/>
  <c r="D2154" i="1"/>
  <c r="D2130" i="1"/>
  <c r="D2970" i="1"/>
  <c r="D3498" i="1"/>
  <c r="D3418" i="1"/>
  <c r="D4386" i="1"/>
  <c r="D3074" i="1"/>
  <c r="D2618" i="1"/>
  <c r="D2762" i="1"/>
  <c r="D2098" i="1"/>
  <c r="D2066" i="1"/>
  <c r="D2058" i="1"/>
  <c r="D2002" i="1"/>
  <c r="D1994" i="1"/>
  <c r="D1962" i="1"/>
  <c r="D1938" i="1"/>
  <c r="D1930" i="1"/>
  <c r="D1906" i="1"/>
  <c r="D1866" i="1"/>
  <c r="D1834" i="1"/>
  <c r="D1810" i="1"/>
  <c r="D1778" i="1"/>
  <c r="D1714" i="1"/>
  <c r="D1706" i="1"/>
  <c r="D1682" i="1"/>
  <c r="D1674" i="1"/>
  <c r="D1610" i="1"/>
  <c r="D1586" i="1"/>
  <c r="D1578" i="1"/>
  <c r="D1490" i="1"/>
  <c r="D1450" i="1"/>
  <c r="D1394" i="1"/>
  <c r="D1370" i="1"/>
  <c r="D1322" i="1"/>
  <c r="D1314" i="1"/>
  <c r="D1306" i="1"/>
  <c r="D1298" i="1"/>
  <c r="D1290" i="1"/>
  <c r="D1250" i="1"/>
  <c r="D1242" i="1"/>
  <c r="D1234" i="1"/>
  <c r="D1210" i="1"/>
  <c r="D1202" i="1"/>
  <c r="D1194" i="1"/>
  <c r="D1186" i="1"/>
  <c r="D1170" i="1"/>
  <c r="D1146" i="1"/>
  <c r="D1130" i="1"/>
  <c r="D1122" i="1"/>
  <c r="D1098" i="1"/>
  <c r="D1082" i="1"/>
  <c r="D1050" i="1"/>
  <c r="D1042" i="1"/>
  <c r="D1034" i="1"/>
  <c r="D1018" i="1"/>
  <c r="D986" i="1"/>
  <c r="D978" i="1"/>
  <c r="D954" i="1"/>
  <c r="D946" i="1"/>
  <c r="D938" i="1"/>
  <c r="D930" i="1"/>
  <c r="D898" i="1"/>
  <c r="D890" i="1"/>
  <c r="D882" i="1"/>
  <c r="D850" i="1"/>
  <c r="D842" i="1"/>
  <c r="D794" i="1"/>
  <c r="D778" i="1"/>
  <c r="D770" i="1"/>
  <c r="D762" i="1"/>
  <c r="D738" i="1"/>
  <c r="D730" i="1"/>
  <c r="D722" i="1"/>
  <c r="D714" i="1"/>
  <c r="D698" i="1"/>
  <c r="D682" i="1"/>
  <c r="D674" i="1"/>
  <c r="D666" i="1"/>
  <c r="D658" i="1"/>
  <c r="D618" i="1"/>
  <c r="D610" i="1"/>
  <c r="D594" i="1"/>
  <c r="D578" i="1"/>
  <c r="D562" i="1"/>
  <c r="D538" i="1"/>
  <c r="D514" i="1"/>
  <c r="D506" i="1"/>
  <c r="D474" i="1"/>
  <c r="D466" i="1"/>
  <c r="D458" i="1"/>
  <c r="D450" i="1"/>
  <c r="D426" i="1"/>
  <c r="D410" i="1"/>
  <c r="D394" i="1"/>
  <c r="D386" i="1"/>
  <c r="D378" i="1"/>
  <c r="D370" i="1"/>
  <c r="D354" i="1"/>
  <c r="D346" i="1"/>
  <c r="D338" i="1"/>
  <c r="D314" i="1"/>
  <c r="D258" i="1"/>
  <c r="D226" i="1"/>
  <c r="D218" i="1"/>
  <c r="D186" i="1"/>
  <c r="D154" i="1"/>
  <c r="D146" i="1"/>
  <c r="D138" i="1"/>
  <c r="D98" i="1"/>
  <c r="D66" i="1"/>
  <c r="D50" i="1"/>
  <c r="D1634" i="1"/>
  <c r="D3" i="1"/>
  <c r="F3" i="1" s="1"/>
  <c r="D11" i="1"/>
  <c r="D7" i="1"/>
  <c r="E3" i="1"/>
  <c r="I3" i="2" l="1"/>
  <c r="I4" i="2"/>
  <c r="H3" i="2"/>
  <c r="H4" i="2"/>
  <c r="F4" i="2"/>
  <c r="G4" i="2" s="1"/>
  <c r="D4" i="1"/>
  <c r="E4" i="1"/>
  <c r="E5" i="1"/>
  <c r="K3" i="2" l="1"/>
  <c r="I5" i="2"/>
  <c r="J4" i="2"/>
  <c r="K4" i="2" s="1"/>
  <c r="F5" i="2"/>
  <c r="H5" i="2"/>
  <c r="E5" i="2"/>
  <c r="F4" i="1"/>
  <c r="D5" i="1" s="1"/>
  <c r="F5" i="1" s="1"/>
  <c r="E6" i="1" s="1"/>
  <c r="D6" i="1"/>
  <c r="G5" i="2" l="1"/>
  <c r="J5" i="2" s="1"/>
  <c r="K5" i="2" s="1"/>
  <c r="F6" i="2"/>
  <c r="F6" i="1"/>
  <c r="E7" i="1" s="1"/>
  <c r="F7" i="1" s="1"/>
  <c r="H6" i="2" l="1"/>
  <c r="I6" i="2"/>
  <c r="E6" i="2"/>
  <c r="G6" i="2" s="1"/>
  <c r="J6" i="2" s="1"/>
  <c r="D8" i="1"/>
  <c r="E8" i="1"/>
  <c r="K6" i="2" l="1"/>
  <c r="H7" i="2"/>
  <c r="I7" i="2"/>
  <c r="F7" i="2"/>
  <c r="G7" i="2" s="1"/>
  <c r="J7" i="2" s="1"/>
  <c r="F8" i="1"/>
  <c r="K7" i="2" l="1"/>
  <c r="H8" i="2"/>
  <c r="I8" i="2"/>
  <c r="F8" i="2"/>
  <c r="E8" i="2"/>
  <c r="D9" i="1"/>
  <c r="E9" i="1"/>
  <c r="G8" i="2" l="1"/>
  <c r="J8" i="2" s="1"/>
  <c r="K8" i="2" s="1"/>
  <c r="F9" i="1"/>
  <c r="H9" i="2" l="1"/>
  <c r="I9" i="2"/>
  <c r="F9" i="2"/>
  <c r="E9" i="2"/>
  <c r="D10" i="1"/>
  <c r="E10" i="1"/>
  <c r="G9" i="2" l="1"/>
  <c r="J9" i="2" s="1"/>
  <c r="K9" i="2" s="1"/>
  <c r="F10" i="1"/>
  <c r="E11" i="1" s="1"/>
  <c r="F11" i="1" s="1"/>
  <c r="D12" i="1" s="1"/>
  <c r="F12" i="1" s="1"/>
  <c r="D13" i="1" s="1"/>
  <c r="F13" i="1" s="1"/>
  <c r="D14" i="1" s="1"/>
  <c r="F14" i="1" s="1"/>
  <c r="D15" i="1" s="1"/>
  <c r="F15" i="1" s="1"/>
  <c r="E16" i="1" s="1"/>
  <c r="F16" i="1" s="1"/>
  <c r="D17" i="1" s="1"/>
  <c r="F17" i="1" s="1"/>
  <c r="E18" i="1" s="1"/>
  <c r="F18" i="1" s="1"/>
  <c r="D19" i="1" s="1"/>
  <c r="F19" i="1" s="1"/>
  <c r="D20" i="1" s="1"/>
  <c r="F20" i="1" s="1"/>
  <c r="D21" i="1" s="1"/>
  <c r="F21" i="1" s="1"/>
  <c r="E22" i="1" s="1"/>
  <c r="F22" i="1" s="1"/>
  <c r="E23" i="1" s="1"/>
  <c r="F23" i="1" s="1"/>
  <c r="D24" i="1" s="1"/>
  <c r="F24" i="1" s="1"/>
  <c r="D25" i="1" s="1"/>
  <c r="F25" i="1" s="1"/>
  <c r="D26" i="1" s="1"/>
  <c r="F26" i="1" s="1"/>
  <c r="D27" i="1" s="1"/>
  <c r="F27" i="1" s="1"/>
  <c r="D28" i="1" s="1"/>
  <c r="F28" i="1" s="1"/>
  <c r="D29" i="1" s="1"/>
  <c r="F29" i="1" s="1"/>
  <c r="E30" i="1" s="1"/>
  <c r="F30" i="1" s="1"/>
  <c r="D31" i="1" s="1"/>
  <c r="F31" i="1" s="1"/>
  <c r="D32" i="1" s="1"/>
  <c r="F32" i="1" s="1"/>
  <c r="E33" i="1" s="1"/>
  <c r="F33" i="1" s="1"/>
  <c r="D34" i="1" s="1"/>
  <c r="F34" i="1" s="1"/>
  <c r="E35" i="1" s="1"/>
  <c r="F35" i="1" s="1"/>
  <c r="D36" i="1" s="1"/>
  <c r="F36" i="1" s="1"/>
  <c r="D37" i="1" s="1"/>
  <c r="F37" i="1" s="1"/>
  <c r="E38" i="1" s="1"/>
  <c r="F38" i="1" s="1"/>
  <c r="D39" i="1" s="1"/>
  <c r="F39" i="1" s="1"/>
  <c r="E40" i="1" s="1"/>
  <c r="F40" i="1" s="1"/>
  <c r="D41" i="1" s="1"/>
  <c r="F41" i="1" s="1"/>
  <c r="D42" i="1" s="1"/>
  <c r="F42" i="1" s="1"/>
  <c r="E43" i="1" s="1"/>
  <c r="F43" i="1" s="1"/>
  <c r="D44" i="1" s="1"/>
  <c r="F44" i="1" s="1"/>
  <c r="D45" i="1" s="1"/>
  <c r="F45" i="1" s="1"/>
  <c r="D46" i="1" s="1"/>
  <c r="F46" i="1" s="1"/>
  <c r="E47" i="1" s="1"/>
  <c r="F47" i="1" s="1"/>
  <c r="E48" i="1" s="1"/>
  <c r="F48" i="1" s="1"/>
  <c r="D49" i="1" s="1"/>
  <c r="F49" i="1" s="1"/>
  <c r="E50" i="1" s="1"/>
  <c r="F50" i="1" s="1"/>
  <c r="E51" i="1" s="1"/>
  <c r="F51" i="1" s="1"/>
  <c r="E52" i="1" s="1"/>
  <c r="F52" i="1" s="1"/>
  <c r="D53" i="1" s="1"/>
  <c r="F53" i="1" s="1"/>
  <c r="D54" i="1" s="1"/>
  <c r="F54" i="1" s="1"/>
  <c r="D55" i="1" s="1"/>
  <c r="F55" i="1" s="1"/>
  <c r="E56" i="1" s="1"/>
  <c r="F56" i="1" s="1"/>
  <c r="E57" i="1" s="1"/>
  <c r="F57" i="1" s="1"/>
  <c r="D58" i="1" s="1"/>
  <c r="F58" i="1" s="1"/>
  <c r="D59" i="1" s="1"/>
  <c r="F59" i="1" s="1"/>
  <c r="E60" i="1" s="1"/>
  <c r="F60" i="1" s="1"/>
  <c r="E61" i="1" s="1"/>
  <c r="F61" i="1" s="1"/>
  <c r="E62" i="1" s="1"/>
  <c r="F62" i="1" s="1"/>
  <c r="D63" i="1" s="1"/>
  <c r="F63" i="1" s="1"/>
  <c r="E64" i="1" s="1"/>
  <c r="F64" i="1" s="1"/>
  <c r="D65" i="1" s="1"/>
  <c r="F65" i="1" s="1"/>
  <c r="E66" i="1" s="1"/>
  <c r="F66" i="1" s="1"/>
  <c r="D67" i="1" s="1"/>
  <c r="F67" i="1" s="1"/>
  <c r="D68" i="1" s="1"/>
  <c r="F68" i="1" s="1"/>
  <c r="D69" i="1" s="1"/>
  <c r="F69" i="1" s="1"/>
  <c r="D70" i="1" s="1"/>
  <c r="F70" i="1" s="1"/>
  <c r="E71" i="1" s="1"/>
  <c r="F71" i="1" s="1"/>
  <c r="E72" i="1" s="1"/>
  <c r="F72" i="1" s="1"/>
  <c r="E73" i="1" s="1"/>
  <c r="F73" i="1" s="1"/>
  <c r="D74" i="1" s="1"/>
  <c r="F74" i="1" s="1"/>
  <c r="E75" i="1" s="1"/>
  <c r="F75" i="1" s="1"/>
  <c r="E76" i="1" s="1"/>
  <c r="F76" i="1" s="1"/>
  <c r="D77" i="1" s="1"/>
  <c r="F77" i="1" s="1"/>
  <c r="E78" i="1" s="1"/>
  <c r="F78" i="1" s="1"/>
  <c r="D79" i="1" s="1"/>
  <c r="F79" i="1" s="1"/>
  <c r="E80" i="1" s="1"/>
  <c r="F80" i="1" s="1"/>
  <c r="D81" i="1" s="1"/>
  <c r="F81" i="1" s="1"/>
  <c r="D82" i="1" s="1"/>
  <c r="F82" i="1" s="1"/>
  <c r="E83" i="1" s="1"/>
  <c r="F83" i="1" s="1"/>
  <c r="D84" i="1" s="1"/>
  <c r="F84" i="1" s="1"/>
  <c r="E85" i="1" s="1"/>
  <c r="F85" i="1" s="1"/>
  <c r="E86" i="1" s="1"/>
  <c r="F86" i="1" s="1"/>
  <c r="D87" i="1" s="1"/>
  <c r="F87" i="1" s="1"/>
  <c r="E88" i="1" s="1"/>
  <c r="F88" i="1" s="1"/>
  <c r="E89" i="1" s="1"/>
  <c r="F89" i="1" s="1"/>
  <c r="D90" i="1" s="1"/>
  <c r="F90" i="1" s="1"/>
  <c r="E91" i="1" s="1"/>
  <c r="F91" i="1" s="1"/>
  <c r="E92" i="1" s="1"/>
  <c r="F92" i="1" s="1"/>
  <c r="E93" i="1" s="1"/>
  <c r="F93" i="1" s="1"/>
  <c r="E94" i="1" s="1"/>
  <c r="F94" i="1" s="1"/>
  <c r="E95" i="1" s="1"/>
  <c r="F95" i="1" s="1"/>
  <c r="E96" i="1" s="1"/>
  <c r="F96" i="1" s="1"/>
  <c r="E97" i="1" s="1"/>
  <c r="F97" i="1" s="1"/>
  <c r="E98" i="1" s="1"/>
  <c r="F98" i="1" s="1"/>
  <c r="D99" i="1" s="1"/>
  <c r="F99" i="1" s="1"/>
  <c r="E100" i="1" s="1"/>
  <c r="F100" i="1" s="1"/>
  <c r="E101" i="1" s="1"/>
  <c r="F101" i="1" s="1"/>
  <c r="D102" i="1" s="1"/>
  <c r="F102" i="1" s="1"/>
  <c r="E103" i="1" s="1"/>
  <c r="F103" i="1" s="1"/>
  <c r="E104" i="1" s="1"/>
  <c r="F104" i="1" s="1"/>
  <c r="E105" i="1" s="1"/>
  <c r="F105" i="1" s="1"/>
  <c r="D106" i="1" s="1"/>
  <c r="F106" i="1" s="1"/>
  <c r="D107" i="1" s="1"/>
  <c r="F107" i="1" s="1"/>
  <c r="E108" i="1" s="1"/>
  <c r="F108" i="1" s="1"/>
  <c r="D109" i="1" s="1"/>
  <c r="F109" i="1" s="1"/>
  <c r="D110" i="1" s="1"/>
  <c r="F110" i="1" s="1"/>
  <c r="E111" i="1" s="1"/>
  <c r="F111" i="1" s="1"/>
  <c r="E112" i="1" s="1"/>
  <c r="F112" i="1" s="1"/>
  <c r="D113" i="1" s="1"/>
  <c r="F113" i="1" s="1"/>
  <c r="D114" i="1" s="1"/>
  <c r="F114" i="1" s="1"/>
  <c r="D115" i="1" s="1"/>
  <c r="F115" i="1" s="1"/>
  <c r="E116" i="1" s="1"/>
  <c r="F116" i="1" s="1"/>
  <c r="E117" i="1" s="1"/>
  <c r="F117" i="1" s="1"/>
  <c r="D118" i="1" s="1"/>
  <c r="F118" i="1" s="1"/>
  <c r="E119" i="1" s="1"/>
  <c r="F119" i="1" s="1"/>
  <c r="D120" i="1" s="1"/>
  <c r="F120" i="1" s="1"/>
  <c r="E121" i="1" s="1"/>
  <c r="F121" i="1" s="1"/>
  <c r="D122" i="1" s="1"/>
  <c r="F122" i="1" s="1"/>
  <c r="E123" i="1" s="1"/>
  <c r="F123" i="1" s="1"/>
  <c r="D124" i="1" s="1"/>
  <c r="F124" i="1" s="1"/>
  <c r="E125" i="1" s="1"/>
  <c r="F125" i="1" s="1"/>
  <c r="E126" i="1" s="1"/>
  <c r="F126" i="1" s="1"/>
  <c r="D127" i="1" s="1"/>
  <c r="F127" i="1" s="1"/>
  <c r="D128" i="1" s="1"/>
  <c r="F128" i="1" s="1"/>
  <c r="D129" i="1" s="1"/>
  <c r="F129" i="1" s="1"/>
  <c r="D130" i="1" s="1"/>
  <c r="F130" i="1" s="1"/>
  <c r="E131" i="1" s="1"/>
  <c r="F131" i="1" s="1"/>
  <c r="E132" i="1" s="1"/>
  <c r="F132" i="1" s="1"/>
  <c r="E133" i="1" s="1"/>
  <c r="F133" i="1" s="1"/>
  <c r="D134" i="1" s="1"/>
  <c r="F134" i="1" s="1"/>
  <c r="D135" i="1" s="1"/>
  <c r="F135" i="1" s="1"/>
  <c r="D136" i="1" s="1"/>
  <c r="F136" i="1" s="1"/>
  <c r="E137" i="1" s="1"/>
  <c r="F137" i="1" s="1"/>
  <c r="E138" i="1" s="1"/>
  <c r="F138" i="1" s="1"/>
  <c r="E139" i="1" s="1"/>
  <c r="F139" i="1" s="1"/>
  <c r="D140" i="1" s="1"/>
  <c r="F140" i="1" s="1"/>
  <c r="D141" i="1" s="1"/>
  <c r="F141" i="1" s="1"/>
  <c r="E142" i="1" s="1"/>
  <c r="F142" i="1" s="1"/>
  <c r="E143" i="1" s="1"/>
  <c r="F143" i="1" s="1"/>
  <c r="D144" i="1" s="1"/>
  <c r="F144" i="1" s="1"/>
  <c r="E145" i="1" s="1"/>
  <c r="F145" i="1" s="1"/>
  <c r="E146" i="1" s="1"/>
  <c r="F146" i="1" s="1"/>
  <c r="E147" i="1" s="1"/>
  <c r="F147" i="1" s="1"/>
  <c r="E148" i="1" s="1"/>
  <c r="F148" i="1" s="1"/>
  <c r="E149" i="1" s="1"/>
  <c r="F149" i="1" s="1"/>
  <c r="E150" i="1" s="1"/>
  <c r="F150" i="1" s="1"/>
  <c r="E151" i="1" s="1"/>
  <c r="F151" i="1" s="1"/>
  <c r="D152" i="1" s="1"/>
  <c r="F152" i="1" s="1"/>
  <c r="E153" i="1" s="1"/>
  <c r="F153" i="1" s="1"/>
  <c r="E154" i="1" s="1"/>
  <c r="F154" i="1" s="1"/>
  <c r="E155" i="1" s="1"/>
  <c r="F155" i="1" s="1"/>
  <c r="E156" i="1" s="1"/>
  <c r="F156" i="1" s="1"/>
  <c r="E157" i="1" s="1"/>
  <c r="F157" i="1" s="1"/>
  <c r="E158" i="1" s="1"/>
  <c r="F158" i="1" s="1"/>
  <c r="E159" i="1" s="1"/>
  <c r="F159" i="1" s="1"/>
  <c r="D160" i="1" s="1"/>
  <c r="F160" i="1" s="1"/>
  <c r="D161" i="1" s="1"/>
  <c r="F161" i="1" s="1"/>
  <c r="D162" i="1" s="1"/>
  <c r="F162" i="1" s="1"/>
  <c r="D163" i="1" s="1"/>
  <c r="F163" i="1" s="1"/>
  <c r="E164" i="1" s="1"/>
  <c r="F164" i="1" s="1"/>
  <c r="E165" i="1" s="1"/>
  <c r="F165" i="1" s="1"/>
  <c r="D166" i="1" s="1"/>
  <c r="F166" i="1" s="1"/>
  <c r="D167" i="1" s="1"/>
  <c r="F167" i="1" s="1"/>
  <c r="D168" i="1" s="1"/>
  <c r="F168" i="1" s="1"/>
  <c r="E169" i="1" s="1"/>
  <c r="F169" i="1" s="1"/>
  <c r="D170" i="1" s="1"/>
  <c r="F170" i="1" s="1"/>
  <c r="E171" i="1" s="1"/>
  <c r="F171" i="1" s="1"/>
  <c r="E172" i="1" s="1"/>
  <c r="F172" i="1" s="1"/>
  <c r="E173" i="1" s="1"/>
  <c r="F173" i="1" s="1"/>
  <c r="D174" i="1" s="1"/>
  <c r="F174" i="1" s="1"/>
  <c r="D175" i="1" s="1"/>
  <c r="F175" i="1" s="1"/>
  <c r="D176" i="1" s="1"/>
  <c r="F176" i="1" s="1"/>
  <c r="D177" i="1" s="1"/>
  <c r="F177" i="1" s="1"/>
  <c r="D178" i="1" s="1"/>
  <c r="F178" i="1" s="1"/>
  <c r="D179" i="1" s="1"/>
  <c r="F179" i="1" s="1"/>
  <c r="D180" i="1" s="1"/>
  <c r="F180" i="1" s="1"/>
  <c r="E181" i="1" s="1"/>
  <c r="F181" i="1" s="1"/>
  <c r="D182" i="1" s="1"/>
  <c r="F182" i="1" s="1"/>
  <c r="E183" i="1" s="1"/>
  <c r="F183" i="1" s="1"/>
  <c r="E184" i="1" s="1"/>
  <c r="F184" i="1" s="1"/>
  <c r="D185" i="1" s="1"/>
  <c r="F185" i="1" s="1"/>
  <c r="E186" i="1" s="1"/>
  <c r="F186" i="1" s="1"/>
  <c r="D187" i="1" s="1"/>
  <c r="F187" i="1" s="1"/>
  <c r="E188" i="1" s="1"/>
  <c r="F188" i="1" s="1"/>
  <c r="D189" i="1" s="1"/>
  <c r="F189" i="1" s="1"/>
  <c r="D190" i="1" s="1"/>
  <c r="F190" i="1" s="1"/>
  <c r="E191" i="1" s="1"/>
  <c r="F191" i="1" s="1"/>
  <c r="E192" i="1" s="1"/>
  <c r="F192" i="1" s="1"/>
  <c r="D193" i="1" s="1"/>
  <c r="F193" i="1" s="1"/>
  <c r="D194" i="1" s="1"/>
  <c r="F194" i="1" s="1"/>
  <c r="E195" i="1" s="1"/>
  <c r="F195" i="1" s="1"/>
  <c r="D196" i="1" s="1"/>
  <c r="F196" i="1" s="1"/>
  <c r="E197" i="1" s="1"/>
  <c r="F197" i="1" s="1"/>
  <c r="D198" i="1" s="1"/>
  <c r="F198" i="1" s="1"/>
  <c r="E199" i="1" s="1"/>
  <c r="F199" i="1" s="1"/>
  <c r="D200" i="1" s="1"/>
  <c r="F200" i="1" s="1"/>
  <c r="D201" i="1" s="1"/>
  <c r="F201" i="1" s="1"/>
  <c r="D202" i="1" s="1"/>
  <c r="F202" i="1" s="1"/>
  <c r="D203" i="1" s="1"/>
  <c r="F203" i="1" s="1"/>
  <c r="E204" i="1" s="1"/>
  <c r="F204" i="1" s="1"/>
  <c r="D205" i="1" s="1"/>
  <c r="F205" i="1" s="1"/>
  <c r="E206" i="1" s="1"/>
  <c r="F206" i="1" s="1"/>
  <c r="E207" i="1" s="1"/>
  <c r="F207" i="1" s="1"/>
  <c r="E208" i="1" s="1"/>
  <c r="F208" i="1" s="1"/>
  <c r="D209" i="1" s="1"/>
  <c r="F209" i="1" s="1"/>
  <c r="D210" i="1" s="1"/>
  <c r="F210" i="1" s="1"/>
  <c r="D211" i="1" s="1"/>
  <c r="F211" i="1" s="1"/>
  <c r="E212" i="1" s="1"/>
  <c r="F212" i="1" s="1"/>
  <c r="D213" i="1" s="1"/>
  <c r="F213" i="1" s="1"/>
  <c r="E214" i="1" s="1"/>
  <c r="F214" i="1" s="1"/>
  <c r="E215" i="1" s="1"/>
  <c r="F215" i="1" s="1"/>
  <c r="E216" i="1" s="1"/>
  <c r="F216" i="1" s="1"/>
  <c r="E217" i="1" s="1"/>
  <c r="F217" i="1" s="1"/>
  <c r="E218" i="1" s="1"/>
  <c r="F218" i="1" s="1"/>
  <c r="D219" i="1" s="1"/>
  <c r="F219" i="1" s="1"/>
  <c r="D220" i="1" s="1"/>
  <c r="F220" i="1" s="1"/>
  <c r="E221" i="1" s="1"/>
  <c r="F221" i="1" s="1"/>
  <c r="E222" i="1" s="1"/>
  <c r="F222" i="1" s="1"/>
  <c r="E223" i="1" s="1"/>
  <c r="F223" i="1" s="1"/>
  <c r="D224" i="1" s="1"/>
  <c r="F224" i="1" s="1"/>
  <c r="D225" i="1" s="1"/>
  <c r="F225" i="1" s="1"/>
  <c r="E226" i="1" s="1"/>
  <c r="F226" i="1" s="1"/>
  <c r="D227" i="1" s="1"/>
  <c r="F227" i="1" s="1"/>
  <c r="E228" i="1" s="1"/>
  <c r="F228" i="1" s="1"/>
  <c r="E229" i="1" s="1"/>
  <c r="F229" i="1" s="1"/>
  <c r="D230" i="1" s="1"/>
  <c r="F230" i="1" s="1"/>
  <c r="E231" i="1" s="1"/>
  <c r="F231" i="1" s="1"/>
  <c r="D232" i="1" s="1"/>
  <c r="F232" i="1" s="1"/>
  <c r="E233" i="1" s="1"/>
  <c r="F233" i="1" s="1"/>
  <c r="D234" i="1" s="1"/>
  <c r="F234" i="1" s="1"/>
  <c r="E235" i="1" s="1"/>
  <c r="F235" i="1" s="1"/>
  <c r="D236" i="1" s="1"/>
  <c r="F236" i="1" s="1"/>
  <c r="D237" i="1" s="1"/>
  <c r="F237" i="1" s="1"/>
  <c r="D238" i="1" s="1"/>
  <c r="F238" i="1" s="1"/>
  <c r="E239" i="1" s="1"/>
  <c r="F239" i="1" s="1"/>
  <c r="E240" i="1" s="1"/>
  <c r="F240" i="1" s="1"/>
  <c r="D241" i="1" s="1"/>
  <c r="F241" i="1" s="1"/>
  <c r="D242" i="1" s="1"/>
  <c r="F242" i="1" s="1"/>
  <c r="D243" i="1" s="1"/>
  <c r="F243" i="1" s="1"/>
  <c r="D244" i="1" s="1"/>
  <c r="F244" i="1" s="1"/>
  <c r="D245" i="1" s="1"/>
  <c r="F245" i="1" s="1"/>
  <c r="E246" i="1" s="1"/>
  <c r="F246" i="1" s="1"/>
  <c r="D247" i="1" s="1"/>
  <c r="F247" i="1" s="1"/>
  <c r="E248" i="1" s="1"/>
  <c r="F248" i="1" s="1"/>
  <c r="D249" i="1" s="1"/>
  <c r="F249" i="1" s="1"/>
  <c r="D250" i="1" s="1"/>
  <c r="F250" i="1" s="1"/>
  <c r="E251" i="1" s="1"/>
  <c r="F251" i="1" s="1"/>
  <c r="D252" i="1" s="1"/>
  <c r="F252" i="1" s="1"/>
  <c r="D253" i="1" s="1"/>
  <c r="F253" i="1" s="1"/>
  <c r="D254" i="1" s="1"/>
  <c r="F254" i="1" s="1"/>
  <c r="E255" i="1" s="1"/>
  <c r="F255" i="1" s="1"/>
  <c r="D256" i="1" s="1"/>
  <c r="F256" i="1" s="1"/>
  <c r="E257" i="1" s="1"/>
  <c r="F257" i="1" s="1"/>
  <c r="E258" i="1" s="1"/>
  <c r="F258" i="1" s="1"/>
  <c r="E259" i="1" s="1"/>
  <c r="F259" i="1" s="1"/>
  <c r="E260" i="1" s="1"/>
  <c r="F260" i="1" s="1"/>
  <c r="D261" i="1" s="1"/>
  <c r="F261" i="1" s="1"/>
  <c r="E262" i="1" s="1"/>
  <c r="F262" i="1" s="1"/>
  <c r="D263" i="1" s="1"/>
  <c r="F263" i="1" s="1"/>
  <c r="D264" i="1" s="1"/>
  <c r="F264" i="1" s="1"/>
  <c r="E265" i="1" s="1"/>
  <c r="F265" i="1" s="1"/>
  <c r="D266" i="1" s="1"/>
  <c r="F266" i="1" s="1"/>
  <c r="E267" i="1" s="1"/>
  <c r="F267" i="1" s="1"/>
  <c r="D268" i="1" s="1"/>
  <c r="F268" i="1" s="1"/>
  <c r="E269" i="1" s="1"/>
  <c r="F269" i="1" s="1"/>
  <c r="E270" i="1" s="1"/>
  <c r="F270" i="1" s="1"/>
  <c r="D271" i="1" s="1"/>
  <c r="F271" i="1" s="1"/>
  <c r="D272" i="1" s="1"/>
  <c r="F272" i="1" s="1"/>
  <c r="E273" i="1" s="1"/>
  <c r="F273" i="1" s="1"/>
  <c r="D274" i="1" s="1"/>
  <c r="F274" i="1" s="1"/>
  <c r="E275" i="1" s="1"/>
  <c r="F275" i="1" s="1"/>
  <c r="D276" i="1" s="1"/>
  <c r="F276" i="1" s="1"/>
  <c r="E277" i="1" s="1"/>
  <c r="F277" i="1" s="1"/>
  <c r="D278" i="1" s="1"/>
  <c r="F278" i="1" s="1"/>
  <c r="D279" i="1" s="1"/>
  <c r="F279" i="1" s="1"/>
  <c r="E280" i="1" s="1"/>
  <c r="F280" i="1" s="1"/>
  <c r="D281" i="1" s="1"/>
  <c r="F281" i="1" s="1"/>
  <c r="D282" i="1" s="1"/>
  <c r="F282" i="1" s="1"/>
  <c r="D283" i="1" s="1"/>
  <c r="F283" i="1" s="1"/>
  <c r="D284" i="1" s="1"/>
  <c r="F284" i="1" s="1"/>
  <c r="D285" i="1" s="1"/>
  <c r="F285" i="1" s="1"/>
  <c r="D286" i="1" s="1"/>
  <c r="F286" i="1" s="1"/>
  <c r="D287" i="1" s="1"/>
  <c r="F287" i="1" s="1"/>
  <c r="E288" i="1" s="1"/>
  <c r="F288" i="1" s="1"/>
  <c r="D289" i="1" s="1"/>
  <c r="F289" i="1" s="1"/>
  <c r="D290" i="1" s="1"/>
  <c r="F290" i="1" s="1"/>
  <c r="E291" i="1" s="1"/>
  <c r="F291" i="1" s="1"/>
  <c r="D292" i="1" s="1"/>
  <c r="F292" i="1" s="1"/>
  <c r="E293" i="1" s="1"/>
  <c r="F293" i="1" s="1"/>
  <c r="D294" i="1" s="1"/>
  <c r="F294" i="1" s="1"/>
  <c r="D295" i="1" s="1"/>
  <c r="F295" i="1" s="1"/>
  <c r="D296" i="1" s="1"/>
  <c r="F296" i="1" s="1"/>
  <c r="D297" i="1" s="1"/>
  <c r="F297" i="1" s="1"/>
  <c r="D298" i="1" s="1"/>
  <c r="F298" i="1" s="1"/>
  <c r="D299" i="1" s="1"/>
  <c r="F299" i="1" s="1"/>
  <c r="D300" i="1" s="1"/>
  <c r="F300" i="1" s="1"/>
  <c r="E301" i="1" s="1"/>
  <c r="F301" i="1" s="1"/>
  <c r="E302" i="1" s="1"/>
  <c r="F302" i="1" s="1"/>
  <c r="D303" i="1" s="1"/>
  <c r="F303" i="1" s="1"/>
  <c r="E304" i="1" s="1"/>
  <c r="F304" i="1" s="1"/>
  <c r="E305" i="1" s="1"/>
  <c r="F305" i="1" s="1"/>
  <c r="D306" i="1" s="1"/>
  <c r="F306" i="1" s="1"/>
  <c r="D307" i="1" s="1"/>
  <c r="F307" i="1" s="1"/>
  <c r="E308" i="1" s="1"/>
  <c r="F308" i="1" s="1"/>
  <c r="E309" i="1" s="1"/>
  <c r="F309" i="1" s="1"/>
  <c r="E310" i="1" s="1"/>
  <c r="F310" i="1" s="1"/>
  <c r="E311" i="1" s="1"/>
  <c r="F311" i="1" s="1"/>
  <c r="D312" i="1" s="1"/>
  <c r="F312" i="1" s="1"/>
  <c r="E313" i="1" s="1"/>
  <c r="F313" i="1" s="1"/>
  <c r="E314" i="1" s="1"/>
  <c r="F314" i="1" s="1"/>
  <c r="D315" i="1" s="1"/>
  <c r="F315" i="1" s="1"/>
  <c r="E316" i="1" s="1"/>
  <c r="F316" i="1" s="1"/>
  <c r="E317" i="1" s="1"/>
  <c r="F317" i="1" s="1"/>
  <c r="D318" i="1" s="1"/>
  <c r="F318" i="1" s="1"/>
  <c r="D319" i="1" s="1"/>
  <c r="F319" i="1" s="1"/>
  <c r="D320" i="1" s="1"/>
  <c r="F320" i="1" s="1"/>
  <c r="D321" i="1" s="1"/>
  <c r="F321" i="1" s="1"/>
  <c r="D322" i="1" s="1"/>
  <c r="F322" i="1" s="1"/>
  <c r="E323" i="1" s="1"/>
  <c r="F323" i="1" s="1"/>
  <c r="D324" i="1" s="1"/>
  <c r="F324" i="1" s="1"/>
  <c r="E325" i="1" s="1"/>
  <c r="F325" i="1" s="1"/>
  <c r="E326" i="1" s="1"/>
  <c r="F326" i="1" s="1"/>
  <c r="E327" i="1" s="1"/>
  <c r="F327" i="1" s="1"/>
  <c r="D328" i="1" s="1"/>
  <c r="F328" i="1" s="1"/>
  <c r="E329" i="1" s="1"/>
  <c r="F329" i="1" s="1"/>
  <c r="D330" i="1" s="1"/>
  <c r="F330" i="1" s="1"/>
  <c r="D331" i="1" s="1"/>
  <c r="F331" i="1" s="1"/>
  <c r="E332" i="1" s="1"/>
  <c r="F332" i="1" s="1"/>
  <c r="E333" i="1" s="1"/>
  <c r="F333" i="1" s="1"/>
  <c r="D334" i="1" s="1"/>
  <c r="F334" i="1" s="1"/>
  <c r="E335" i="1" s="1"/>
  <c r="F335" i="1" s="1"/>
  <c r="E336" i="1" s="1"/>
  <c r="F336" i="1" s="1"/>
  <c r="D337" i="1" s="1"/>
  <c r="F337" i="1" s="1"/>
  <c r="E338" i="1" s="1"/>
  <c r="F338" i="1" s="1"/>
  <c r="D339" i="1" s="1"/>
  <c r="F339" i="1" s="1"/>
  <c r="E340" i="1" s="1"/>
  <c r="F340" i="1" s="1"/>
  <c r="E341" i="1" s="1"/>
  <c r="F341" i="1" s="1"/>
  <c r="D342" i="1" s="1"/>
  <c r="F342" i="1" s="1"/>
  <c r="E343" i="1" s="1"/>
  <c r="F343" i="1" s="1"/>
  <c r="E344" i="1" s="1"/>
  <c r="F344" i="1" s="1"/>
  <c r="E345" i="1" s="1"/>
  <c r="F345" i="1" s="1"/>
  <c r="E346" i="1" s="1"/>
  <c r="F346" i="1" s="1"/>
  <c r="D347" i="1" s="1"/>
  <c r="F347" i="1" s="1"/>
  <c r="E348" i="1" s="1"/>
  <c r="F348" i="1" s="1"/>
  <c r="D349" i="1" s="1"/>
  <c r="F349" i="1" s="1"/>
  <c r="E350" i="1" s="1"/>
  <c r="F350" i="1" s="1"/>
  <c r="E351" i="1" s="1"/>
  <c r="F351" i="1" s="1"/>
  <c r="D352" i="1" s="1"/>
  <c r="F352" i="1" s="1"/>
  <c r="D353" i="1" s="1"/>
  <c r="F353" i="1" s="1"/>
  <c r="E354" i="1" s="1"/>
  <c r="F354" i="1" s="1"/>
  <c r="D355" i="1" s="1"/>
  <c r="F355" i="1" s="1"/>
  <c r="E356" i="1" s="1"/>
  <c r="F356" i="1" s="1"/>
  <c r="E357" i="1" s="1"/>
  <c r="F357" i="1" s="1"/>
  <c r="E358" i="1" s="1"/>
  <c r="F358" i="1" s="1"/>
  <c r="E359" i="1" s="1"/>
  <c r="F359" i="1" s="1"/>
  <c r="D360" i="1" s="1"/>
  <c r="F360" i="1" s="1"/>
  <c r="E361" i="1" s="1"/>
  <c r="F361" i="1" s="1"/>
  <c r="D362" i="1" s="1"/>
  <c r="F362" i="1" s="1"/>
  <c r="D363" i="1" s="1"/>
  <c r="F363" i="1" s="1"/>
  <c r="E364" i="1" s="1"/>
  <c r="F364" i="1" s="1"/>
  <c r="E365" i="1" s="1"/>
  <c r="F365" i="1" s="1"/>
  <c r="E366" i="1" s="1"/>
  <c r="F366" i="1" s="1"/>
  <c r="E367" i="1" s="1"/>
  <c r="F367" i="1" s="1"/>
  <c r="D368" i="1" s="1"/>
  <c r="F368" i="1" s="1"/>
  <c r="D369" i="1" s="1"/>
  <c r="F369" i="1" s="1"/>
  <c r="E370" i="1" s="1"/>
  <c r="F370" i="1" s="1"/>
  <c r="D371" i="1" s="1"/>
  <c r="F371" i="1" s="1"/>
  <c r="E372" i="1" s="1"/>
  <c r="F372" i="1" s="1"/>
  <c r="E373" i="1" s="1"/>
  <c r="F373" i="1" s="1"/>
  <c r="D374" i="1" s="1"/>
  <c r="F374" i="1" s="1"/>
  <c r="E375" i="1" s="1"/>
  <c r="F375" i="1" s="1"/>
  <c r="E376" i="1" s="1"/>
  <c r="F376" i="1" s="1"/>
  <c r="D377" i="1" s="1"/>
  <c r="F377" i="1" s="1"/>
  <c r="E378" i="1" s="1"/>
  <c r="F378" i="1" s="1"/>
  <c r="E379" i="1" s="1"/>
  <c r="F379" i="1" s="1"/>
  <c r="E380" i="1" s="1"/>
  <c r="F380" i="1" s="1"/>
  <c r="D381" i="1" s="1"/>
  <c r="F381" i="1" s="1"/>
  <c r="E382" i="1" s="1"/>
  <c r="F382" i="1" s="1"/>
  <c r="E383" i="1" s="1"/>
  <c r="F383" i="1" s="1"/>
  <c r="E384" i="1" s="1"/>
  <c r="F384" i="1" s="1"/>
  <c r="D385" i="1" s="1"/>
  <c r="F385" i="1" s="1"/>
  <c r="E386" i="1" s="1"/>
  <c r="F386" i="1" s="1"/>
  <c r="D387" i="1" s="1"/>
  <c r="F387" i="1" s="1"/>
  <c r="D388" i="1" s="1"/>
  <c r="F388" i="1" s="1"/>
  <c r="E389" i="1" s="1"/>
  <c r="F389" i="1" s="1"/>
  <c r="E390" i="1" s="1"/>
  <c r="F390" i="1" s="1"/>
  <c r="E391" i="1" s="1"/>
  <c r="F391" i="1" s="1"/>
  <c r="E392" i="1" s="1"/>
  <c r="F392" i="1" s="1"/>
  <c r="E393" i="1" s="1"/>
  <c r="F393" i="1" s="1"/>
  <c r="E394" i="1" s="1"/>
  <c r="F394" i="1" s="1"/>
  <c r="E395" i="1" s="1"/>
  <c r="F395" i="1" s="1"/>
  <c r="E396" i="1" s="1"/>
  <c r="F396" i="1" s="1"/>
  <c r="D397" i="1" s="1"/>
  <c r="F397" i="1" s="1"/>
  <c r="D398" i="1" s="1"/>
  <c r="F398" i="1" s="1"/>
  <c r="D399" i="1" s="1"/>
  <c r="F399" i="1" s="1"/>
  <c r="D400" i="1" s="1"/>
  <c r="F400" i="1" s="1"/>
  <c r="D401" i="1" s="1"/>
  <c r="F401" i="1" s="1"/>
  <c r="D402" i="1" s="1"/>
  <c r="F402" i="1" s="1"/>
  <c r="D403" i="1" s="1"/>
  <c r="F403" i="1" s="1"/>
  <c r="E404" i="1" s="1"/>
  <c r="F404" i="1" s="1"/>
  <c r="D405" i="1" s="1"/>
  <c r="F405" i="1" s="1"/>
  <c r="D406" i="1" s="1"/>
  <c r="F406" i="1" s="1"/>
  <c r="D407" i="1" s="1"/>
  <c r="F407" i="1" s="1"/>
  <c r="D408" i="1" s="1"/>
  <c r="F408" i="1" s="1"/>
  <c r="D409" i="1" s="1"/>
  <c r="F409" i="1" s="1"/>
  <c r="E410" i="1" s="1"/>
  <c r="F410" i="1" s="1"/>
  <c r="D411" i="1" s="1"/>
  <c r="F411" i="1" s="1"/>
  <c r="E412" i="1" s="1"/>
  <c r="F412" i="1" s="1"/>
  <c r="E413" i="1" s="1"/>
  <c r="F413" i="1" s="1"/>
  <c r="E414" i="1" s="1"/>
  <c r="F414" i="1" s="1"/>
  <c r="E415" i="1" s="1"/>
  <c r="F415" i="1" s="1"/>
  <c r="D416" i="1" s="1"/>
  <c r="F416" i="1" s="1"/>
  <c r="D417" i="1" s="1"/>
  <c r="F417" i="1" s="1"/>
  <c r="D418" i="1" s="1"/>
  <c r="F418" i="1" s="1"/>
  <c r="E419" i="1" s="1"/>
  <c r="F419" i="1" s="1"/>
  <c r="D420" i="1" s="1"/>
  <c r="F420" i="1" s="1"/>
  <c r="D421" i="1" s="1"/>
  <c r="F421" i="1" s="1"/>
  <c r="D422" i="1" s="1"/>
  <c r="F422" i="1" s="1"/>
  <c r="E423" i="1" s="1"/>
  <c r="F423" i="1" s="1"/>
  <c r="D424" i="1" s="1"/>
  <c r="F424" i="1" s="1"/>
  <c r="D425" i="1" s="1"/>
  <c r="F425" i="1" s="1"/>
  <c r="E426" i="1" s="1"/>
  <c r="F426" i="1" s="1"/>
  <c r="D427" i="1" s="1"/>
  <c r="F427" i="1" s="1"/>
  <c r="E428" i="1" s="1"/>
  <c r="F428" i="1" s="1"/>
  <c r="E429" i="1" s="1"/>
  <c r="F429" i="1" s="1"/>
  <c r="D430" i="1" s="1"/>
  <c r="F430" i="1" s="1"/>
  <c r="D431" i="1" s="1"/>
  <c r="F431" i="1" s="1"/>
  <c r="D432" i="1" s="1"/>
  <c r="F432" i="1" s="1"/>
  <c r="E433" i="1" s="1"/>
  <c r="F433" i="1" s="1"/>
  <c r="D434" i="1" s="1"/>
  <c r="F434" i="1" s="1"/>
  <c r="E435" i="1" s="1"/>
  <c r="F435" i="1" s="1"/>
  <c r="D436" i="1" s="1"/>
  <c r="F436" i="1" s="1"/>
  <c r="D437" i="1" s="1"/>
  <c r="F437" i="1" s="1"/>
  <c r="D438" i="1" s="1"/>
  <c r="F438" i="1" s="1"/>
  <c r="E439" i="1" s="1"/>
  <c r="F439" i="1" s="1"/>
  <c r="E440" i="1" s="1"/>
  <c r="F440" i="1" s="1"/>
  <c r="D441" i="1" s="1"/>
  <c r="F441" i="1" s="1"/>
  <c r="D442" i="1" s="1"/>
  <c r="F442" i="1" s="1"/>
  <c r="E443" i="1" s="1"/>
  <c r="F443" i="1" s="1"/>
  <c r="E444" i="1" s="1"/>
  <c r="F444" i="1" s="1"/>
  <c r="D445" i="1" s="1"/>
  <c r="F445" i="1" s="1"/>
  <c r="D446" i="1" s="1"/>
  <c r="F446" i="1" s="1"/>
  <c r="E447" i="1" s="1"/>
  <c r="F447" i="1" s="1"/>
  <c r="D448" i="1" s="1"/>
  <c r="F448" i="1" s="1"/>
  <c r="E449" i="1" s="1"/>
  <c r="F449" i="1" s="1"/>
  <c r="E450" i="1" s="1"/>
  <c r="F450" i="1" s="1"/>
  <c r="E451" i="1" s="1"/>
  <c r="F451" i="1" s="1"/>
  <c r="D452" i="1" s="1"/>
  <c r="F452" i="1" s="1"/>
  <c r="D453" i="1" s="1"/>
  <c r="F453" i="1" s="1"/>
  <c r="D454" i="1" s="1"/>
  <c r="F454" i="1" s="1"/>
  <c r="E455" i="1" s="1"/>
  <c r="F455" i="1" s="1"/>
  <c r="D456" i="1" s="1"/>
  <c r="F456" i="1" s="1"/>
  <c r="D457" i="1" s="1"/>
  <c r="F457" i="1" s="1"/>
  <c r="E458" i="1" s="1"/>
  <c r="F458" i="1" s="1"/>
  <c r="D459" i="1" s="1"/>
  <c r="F459" i="1" s="1"/>
  <c r="E460" i="1" s="1"/>
  <c r="F460" i="1" s="1"/>
  <c r="D461" i="1" s="1"/>
  <c r="F461" i="1" s="1"/>
  <c r="E462" i="1" s="1"/>
  <c r="F462" i="1" s="1"/>
  <c r="E463" i="1" s="1"/>
  <c r="F463" i="1" s="1"/>
  <c r="D464" i="1" s="1"/>
  <c r="F464" i="1" s="1"/>
  <c r="D465" i="1" s="1"/>
  <c r="F465" i="1" s="1"/>
  <c r="E466" i="1" s="1"/>
  <c r="F466" i="1" s="1"/>
  <c r="D467" i="1" s="1"/>
  <c r="F467" i="1" s="1"/>
  <c r="E468" i="1" s="1"/>
  <c r="F468" i="1" s="1"/>
  <c r="E469" i="1" s="1"/>
  <c r="F469" i="1" s="1"/>
  <c r="D470" i="1" s="1"/>
  <c r="F470" i="1" s="1"/>
  <c r="E471" i="1" s="1"/>
  <c r="F471" i="1" s="1"/>
  <c r="E472" i="1" s="1"/>
  <c r="F472" i="1" s="1"/>
  <c r="E473" i="1" s="1"/>
  <c r="F473" i="1" s="1"/>
  <c r="E474" i="1" s="1"/>
  <c r="F474" i="1" s="1"/>
  <c r="E475" i="1" s="1"/>
  <c r="F475" i="1" s="1"/>
  <c r="D476" i="1" s="1"/>
  <c r="F476" i="1" s="1"/>
  <c r="D477" i="1" s="1"/>
  <c r="F477" i="1" s="1"/>
  <c r="D478" i="1" s="1"/>
  <c r="F478" i="1" s="1"/>
  <c r="E479" i="1" s="1"/>
  <c r="F479" i="1" s="1"/>
  <c r="E480" i="1" s="1"/>
  <c r="F480" i="1" s="1"/>
  <c r="D481" i="1" s="1"/>
  <c r="F481" i="1" s="1"/>
  <c r="D482" i="1" s="1"/>
  <c r="F482" i="1" s="1"/>
  <c r="E483" i="1" s="1"/>
  <c r="F483" i="1" s="1"/>
  <c r="E484" i="1" s="1"/>
  <c r="F484" i="1" s="1"/>
  <c r="E485" i="1" s="1"/>
  <c r="F485" i="1" s="1"/>
  <c r="E486" i="1" s="1"/>
  <c r="F486" i="1" s="1"/>
  <c r="E487" i="1" s="1"/>
  <c r="F487" i="1" s="1"/>
  <c r="D488" i="1" s="1"/>
  <c r="F488" i="1" s="1"/>
  <c r="D489" i="1" s="1"/>
  <c r="F489" i="1" s="1"/>
  <c r="D490" i="1" s="1"/>
  <c r="F490" i="1" s="1"/>
  <c r="D491" i="1" s="1"/>
  <c r="F491" i="1" s="1"/>
  <c r="D492" i="1" s="1"/>
  <c r="F492" i="1" s="1"/>
  <c r="D493" i="1" s="1"/>
  <c r="F493" i="1" s="1"/>
  <c r="D494" i="1" s="1"/>
  <c r="F494" i="1" s="1"/>
  <c r="E495" i="1" s="1"/>
  <c r="F495" i="1" s="1"/>
  <c r="E496" i="1" s="1"/>
  <c r="F496" i="1" s="1"/>
  <c r="D497" i="1" s="1"/>
  <c r="F497" i="1" s="1"/>
  <c r="D498" i="1" s="1"/>
  <c r="F498" i="1" s="1"/>
  <c r="E499" i="1" s="1"/>
  <c r="F499" i="1" s="1"/>
  <c r="D500" i="1" s="1"/>
  <c r="F500" i="1" s="1"/>
  <c r="E501" i="1" s="1"/>
  <c r="F501" i="1" s="1"/>
  <c r="E502" i="1" s="1"/>
  <c r="F502" i="1" s="1"/>
  <c r="E503" i="1" s="1"/>
  <c r="F503" i="1" s="1"/>
  <c r="D504" i="1" s="1"/>
  <c r="F504" i="1" s="1"/>
  <c r="E505" i="1" s="1"/>
  <c r="F505" i="1" s="1"/>
  <c r="E506" i="1" s="1"/>
  <c r="F506" i="1" s="1"/>
  <c r="E507" i="1" s="1"/>
  <c r="F507" i="1" s="1"/>
  <c r="D508" i="1" s="1"/>
  <c r="F508" i="1" s="1"/>
  <c r="E509" i="1" s="1"/>
  <c r="F509" i="1" s="1"/>
  <c r="E510" i="1" s="1"/>
  <c r="F510" i="1" s="1"/>
  <c r="D511" i="1" s="1"/>
  <c r="F511" i="1" s="1"/>
  <c r="D512" i="1" s="1"/>
  <c r="F512" i="1" s="1"/>
  <c r="E513" i="1" s="1"/>
  <c r="F513" i="1" s="1"/>
  <c r="E514" i="1" s="1"/>
  <c r="F514" i="1" s="1"/>
  <c r="D515" i="1" s="1"/>
  <c r="F515" i="1" s="1"/>
  <c r="E516" i="1" s="1"/>
  <c r="F516" i="1" s="1"/>
  <c r="D517" i="1" s="1"/>
  <c r="F517" i="1" s="1"/>
  <c r="E518" i="1" s="1"/>
  <c r="F518" i="1" s="1"/>
  <c r="E519" i="1" s="1"/>
  <c r="F519" i="1" s="1"/>
  <c r="E520" i="1" s="1"/>
  <c r="F520" i="1" s="1"/>
  <c r="E521" i="1" s="1"/>
  <c r="F521" i="1" s="1"/>
  <c r="D522" i="1" s="1"/>
  <c r="F522" i="1" s="1"/>
  <c r="D523" i="1" s="1"/>
  <c r="F523" i="1" s="1"/>
  <c r="D524" i="1" s="1"/>
  <c r="F524" i="1" s="1"/>
  <c r="D525" i="1" s="1"/>
  <c r="F525" i="1" s="1"/>
  <c r="E526" i="1" s="1"/>
  <c r="F526" i="1" s="1"/>
  <c r="E527" i="1" s="1"/>
  <c r="F527" i="1" s="1"/>
  <c r="E528" i="1" s="1"/>
  <c r="F528" i="1" s="1"/>
  <c r="D529" i="1" s="1"/>
  <c r="F529" i="1" s="1"/>
  <c r="D530" i="1" s="1"/>
  <c r="F530" i="1" s="1"/>
  <c r="D531" i="1" s="1"/>
  <c r="F531" i="1" s="1"/>
  <c r="D532" i="1" s="1"/>
  <c r="F532" i="1" s="1"/>
  <c r="D533" i="1" s="1"/>
  <c r="F533" i="1" s="1"/>
  <c r="E534" i="1" s="1"/>
  <c r="F534" i="1" s="1"/>
  <c r="D535" i="1" s="1"/>
  <c r="F535" i="1" s="1"/>
  <c r="E536" i="1" s="1"/>
  <c r="F536" i="1" s="1"/>
  <c r="D537" i="1" s="1"/>
  <c r="F537" i="1" s="1"/>
  <c r="E538" i="1" s="1"/>
  <c r="F538" i="1" s="1"/>
  <c r="E539" i="1" s="1"/>
  <c r="F539" i="1" s="1"/>
  <c r="E540" i="1" s="1"/>
  <c r="F540" i="1" s="1"/>
  <c r="D541" i="1" s="1"/>
  <c r="F541" i="1" s="1"/>
  <c r="D542" i="1" s="1"/>
  <c r="F542" i="1" s="1"/>
  <c r="D543" i="1" s="1"/>
  <c r="F543" i="1" s="1"/>
  <c r="E544" i="1" s="1"/>
  <c r="F544" i="1" s="1"/>
  <c r="D545" i="1" s="1"/>
  <c r="F545" i="1" s="1"/>
  <c r="D546" i="1" s="1"/>
  <c r="F546" i="1" s="1"/>
  <c r="E547" i="1" s="1"/>
  <c r="F547" i="1" s="1"/>
  <c r="D548" i="1" s="1"/>
  <c r="F548" i="1" s="1"/>
  <c r="E549" i="1" s="1"/>
  <c r="F549" i="1" s="1"/>
  <c r="E550" i="1" s="1"/>
  <c r="F550" i="1" s="1"/>
  <c r="D551" i="1" s="1"/>
  <c r="F551" i="1" s="1"/>
  <c r="D552" i="1" s="1"/>
  <c r="F552" i="1" s="1"/>
  <c r="E553" i="1" s="1"/>
  <c r="F553" i="1" s="1"/>
  <c r="D554" i="1" s="1"/>
  <c r="F554" i="1" s="1"/>
  <c r="E555" i="1" s="1"/>
  <c r="F555" i="1" s="1"/>
  <c r="E556" i="1" s="1"/>
  <c r="F556" i="1" s="1"/>
  <c r="E557" i="1" s="1"/>
  <c r="F557" i="1" s="1"/>
  <c r="D558" i="1" s="1"/>
  <c r="F558" i="1" s="1"/>
  <c r="D559" i="1" s="1"/>
  <c r="F559" i="1" s="1"/>
  <c r="E560" i="1" s="1"/>
  <c r="F560" i="1" s="1"/>
  <c r="E561" i="1" s="1"/>
  <c r="F561" i="1" s="1"/>
  <c r="E562" i="1" s="1"/>
  <c r="F562" i="1" s="1"/>
  <c r="E563" i="1" s="1"/>
  <c r="F563" i="1" s="1"/>
  <c r="D564" i="1" s="1"/>
  <c r="F564" i="1" s="1"/>
  <c r="D565" i="1" s="1"/>
  <c r="F565" i="1" s="1"/>
  <c r="E566" i="1" s="1"/>
  <c r="F566" i="1" s="1"/>
  <c r="E567" i="1" s="1"/>
  <c r="F567" i="1" s="1"/>
  <c r="D568" i="1" s="1"/>
  <c r="F568" i="1" s="1"/>
  <c r="E569" i="1" s="1"/>
  <c r="F569" i="1" s="1"/>
  <c r="D570" i="1" s="1"/>
  <c r="F570" i="1" s="1"/>
  <c r="E571" i="1" s="1"/>
  <c r="F571" i="1" s="1"/>
  <c r="D572" i="1" s="1"/>
  <c r="F572" i="1" s="1"/>
  <c r="E573" i="1" s="1"/>
  <c r="F573" i="1" s="1"/>
  <c r="E574" i="1" s="1"/>
  <c r="F574" i="1" s="1"/>
  <c r="D575" i="1" s="1"/>
  <c r="F575" i="1" s="1"/>
  <c r="E576" i="1" s="1"/>
  <c r="F576" i="1" s="1"/>
  <c r="E577" i="1" s="1"/>
  <c r="F577" i="1" s="1"/>
  <c r="E578" i="1" s="1"/>
  <c r="F578" i="1" s="1"/>
  <c r="E579" i="1" s="1"/>
  <c r="F579" i="1" s="1"/>
  <c r="D580" i="1" s="1"/>
  <c r="F580" i="1" s="1"/>
  <c r="D581" i="1" s="1"/>
  <c r="F581" i="1" s="1"/>
  <c r="E582" i="1" s="1"/>
  <c r="F582" i="1" s="1"/>
  <c r="D583" i="1" s="1"/>
  <c r="F583" i="1" s="1"/>
  <c r="D584" i="1" s="1"/>
  <c r="F584" i="1" s="1"/>
  <c r="D585" i="1" s="1"/>
  <c r="F585" i="1" s="1"/>
  <c r="D586" i="1" s="1"/>
  <c r="F586" i="1" s="1"/>
  <c r="E587" i="1" s="1"/>
  <c r="F587" i="1" s="1"/>
  <c r="E588" i="1" s="1"/>
  <c r="F588" i="1" s="1"/>
  <c r="E589" i="1" s="1"/>
  <c r="F589" i="1" s="1"/>
  <c r="E590" i="1" s="1"/>
  <c r="F590" i="1" s="1"/>
  <c r="D591" i="1" s="1"/>
  <c r="F591" i="1" s="1"/>
  <c r="D592" i="1" s="1"/>
  <c r="F592" i="1" s="1"/>
  <c r="D593" i="1" s="1"/>
  <c r="F593" i="1" s="1"/>
  <c r="E594" i="1" s="1"/>
  <c r="F594" i="1" s="1"/>
  <c r="E595" i="1" s="1"/>
  <c r="F595" i="1" s="1"/>
  <c r="D596" i="1" s="1"/>
  <c r="F596" i="1" s="1"/>
  <c r="D597" i="1" s="1"/>
  <c r="F597" i="1" s="1"/>
  <c r="D598" i="1" s="1"/>
  <c r="F598" i="1" s="1"/>
  <c r="E599" i="1" s="1"/>
  <c r="F599" i="1" s="1"/>
  <c r="E600" i="1" s="1"/>
  <c r="F600" i="1" s="1"/>
  <c r="E601" i="1" s="1"/>
  <c r="F601" i="1" s="1"/>
  <c r="D602" i="1" s="1"/>
  <c r="F602" i="1" s="1"/>
  <c r="E603" i="1" s="1"/>
  <c r="F603" i="1" s="1"/>
  <c r="D604" i="1" s="1"/>
  <c r="F604" i="1" s="1"/>
  <c r="D605" i="1" s="1"/>
  <c r="F605" i="1" s="1"/>
  <c r="D606" i="1" s="1"/>
  <c r="F606" i="1" s="1"/>
  <c r="D607" i="1" s="1"/>
  <c r="F607" i="1" s="1"/>
  <c r="E608" i="1" s="1"/>
  <c r="F608" i="1" s="1"/>
  <c r="D609" i="1" s="1"/>
  <c r="F609" i="1" s="1"/>
  <c r="E610" i="1" s="1"/>
  <c r="F610" i="1" s="1"/>
  <c r="D611" i="1" s="1"/>
  <c r="F611" i="1" s="1"/>
  <c r="E612" i="1" s="1"/>
  <c r="F612" i="1" s="1"/>
  <c r="D613" i="1" s="1"/>
  <c r="F613" i="1" s="1"/>
  <c r="E614" i="1" s="1"/>
  <c r="F614" i="1" s="1"/>
  <c r="D615" i="1" s="1"/>
  <c r="F615" i="1" s="1"/>
  <c r="D616" i="1" s="1"/>
  <c r="F616" i="1" s="1"/>
  <c r="D617" i="1" s="1"/>
  <c r="F617" i="1" s="1"/>
  <c r="E618" i="1" s="1"/>
  <c r="F618" i="1" s="1"/>
  <c r="D619" i="1" s="1"/>
  <c r="F619" i="1" s="1"/>
  <c r="D620" i="1" s="1"/>
  <c r="F620" i="1" s="1"/>
  <c r="D621" i="1" s="1"/>
  <c r="F621" i="1" s="1"/>
  <c r="D622" i="1" s="1"/>
  <c r="F622" i="1" s="1"/>
  <c r="D623" i="1" s="1"/>
  <c r="F623" i="1" s="1"/>
  <c r="D624" i="1" s="1"/>
  <c r="F624" i="1" s="1"/>
  <c r="E625" i="1" s="1"/>
  <c r="F625" i="1" s="1"/>
  <c r="D626" i="1" s="1"/>
  <c r="F626" i="1" s="1"/>
  <c r="D627" i="1" s="1"/>
  <c r="F627" i="1" s="1"/>
  <c r="D628" i="1" s="1"/>
  <c r="F628" i="1" s="1"/>
  <c r="E629" i="1" s="1"/>
  <c r="F629" i="1" s="1"/>
  <c r="E630" i="1" s="1"/>
  <c r="F630" i="1" s="1"/>
  <c r="D631" i="1" s="1"/>
  <c r="F631" i="1" s="1"/>
  <c r="D632" i="1" s="1"/>
  <c r="F632" i="1" s="1"/>
  <c r="D633" i="1" s="1"/>
  <c r="F633" i="1" s="1"/>
  <c r="D634" i="1" s="1"/>
  <c r="F634" i="1" s="1"/>
  <c r="E635" i="1" s="1"/>
  <c r="F635" i="1" s="1"/>
  <c r="D636" i="1" s="1"/>
  <c r="F636" i="1" s="1"/>
  <c r="D637" i="1" s="1"/>
  <c r="F637" i="1" s="1"/>
  <c r="D638" i="1" s="1"/>
  <c r="F638" i="1" s="1"/>
  <c r="D639" i="1" s="1"/>
  <c r="F639" i="1" s="1"/>
  <c r="E640" i="1" s="1"/>
  <c r="F640" i="1" s="1"/>
  <c r="E641" i="1" s="1"/>
  <c r="F641" i="1" s="1"/>
  <c r="D642" i="1" s="1"/>
  <c r="F642" i="1" s="1"/>
  <c r="D643" i="1" s="1"/>
  <c r="F643" i="1" s="1"/>
  <c r="E644" i="1" s="1"/>
  <c r="F644" i="1" s="1"/>
  <c r="D645" i="1" s="1"/>
  <c r="F645" i="1" s="1"/>
  <c r="D646" i="1" s="1"/>
  <c r="F646" i="1" s="1"/>
  <c r="E647" i="1" s="1"/>
  <c r="F647" i="1" s="1"/>
  <c r="D648" i="1" s="1"/>
  <c r="F648" i="1" s="1"/>
  <c r="D649" i="1" s="1"/>
  <c r="F649" i="1" s="1"/>
  <c r="D650" i="1" s="1"/>
  <c r="F650" i="1" s="1"/>
  <c r="E651" i="1" s="1"/>
  <c r="F651" i="1" s="1"/>
  <c r="D652" i="1" s="1"/>
  <c r="F652" i="1" s="1"/>
  <c r="E653" i="1" s="1"/>
  <c r="F653" i="1" s="1"/>
  <c r="E654" i="1" s="1"/>
  <c r="F654" i="1" s="1"/>
  <c r="E655" i="1" s="1"/>
  <c r="F655" i="1" s="1"/>
  <c r="D656" i="1" s="1"/>
  <c r="F656" i="1" s="1"/>
  <c r="E657" i="1" s="1"/>
  <c r="F657" i="1" s="1"/>
  <c r="E658" i="1" s="1"/>
  <c r="F658" i="1" s="1"/>
  <c r="E659" i="1" s="1"/>
  <c r="F659" i="1" s="1"/>
  <c r="D660" i="1" s="1"/>
  <c r="F660" i="1" s="1"/>
  <c r="E661" i="1" s="1"/>
  <c r="F661" i="1" s="1"/>
  <c r="D662" i="1" s="1"/>
  <c r="F662" i="1" s="1"/>
  <c r="E663" i="1" s="1"/>
  <c r="F663" i="1" s="1"/>
  <c r="D664" i="1" s="1"/>
  <c r="F664" i="1" s="1"/>
  <c r="D665" i="1" s="1"/>
  <c r="F665" i="1" s="1"/>
  <c r="E666" i="1" s="1"/>
  <c r="F666" i="1" s="1"/>
  <c r="E667" i="1" s="1"/>
  <c r="F667" i="1" s="1"/>
  <c r="E668" i="1" s="1"/>
  <c r="F668" i="1" s="1"/>
  <c r="E669" i="1" s="1"/>
  <c r="F669" i="1" s="1"/>
  <c r="E670" i="1" s="1"/>
  <c r="F670" i="1" s="1"/>
  <c r="E671" i="1" s="1"/>
  <c r="F671" i="1" s="1"/>
  <c r="E672" i="1" s="1"/>
  <c r="F672" i="1" s="1"/>
  <c r="D673" i="1" s="1"/>
  <c r="F673" i="1" s="1"/>
  <c r="E674" i="1" s="1"/>
  <c r="F674" i="1" s="1"/>
  <c r="E675" i="1" s="1"/>
  <c r="F675" i="1" s="1"/>
  <c r="E676" i="1" s="1"/>
  <c r="F676" i="1" s="1"/>
  <c r="D677" i="1" s="1"/>
  <c r="F677" i="1" s="1"/>
  <c r="E678" i="1" s="1"/>
  <c r="F678" i="1" s="1"/>
  <c r="D679" i="1" s="1"/>
  <c r="F679" i="1" s="1"/>
  <c r="E680" i="1" s="1"/>
  <c r="F680" i="1" s="1"/>
  <c r="E681" i="1" s="1"/>
  <c r="F681" i="1" s="1"/>
  <c r="E682" i="1" s="1"/>
  <c r="F682" i="1" s="1"/>
  <c r="D683" i="1" s="1"/>
  <c r="F683" i="1" s="1"/>
  <c r="E684" i="1" s="1"/>
  <c r="F684" i="1" s="1"/>
  <c r="E685" i="1" s="1"/>
  <c r="F685" i="1" s="1"/>
  <c r="D686" i="1" s="1"/>
  <c r="F686" i="1" s="1"/>
  <c r="D687" i="1" s="1"/>
  <c r="F687" i="1" s="1"/>
  <c r="E688" i="1" s="1"/>
  <c r="F688" i="1" s="1"/>
  <c r="D689" i="1" s="1"/>
  <c r="F689" i="1" s="1"/>
  <c r="E690" i="1" s="1"/>
  <c r="F690" i="1" s="1"/>
  <c r="E691" i="1" s="1"/>
  <c r="F691" i="1" s="1"/>
  <c r="D692" i="1" s="1"/>
  <c r="F692" i="1" s="1"/>
  <c r="D693" i="1" s="1"/>
  <c r="F693" i="1" s="1"/>
  <c r="E694" i="1" s="1"/>
  <c r="F694" i="1" s="1"/>
  <c r="E695" i="1" s="1"/>
  <c r="F695" i="1" s="1"/>
  <c r="D696" i="1" s="1"/>
  <c r="F696" i="1" s="1"/>
  <c r="E697" i="1" s="1"/>
  <c r="F697" i="1" s="1"/>
  <c r="E698" i="1" s="1"/>
  <c r="F698" i="1" s="1"/>
  <c r="E699" i="1" s="1"/>
  <c r="F699" i="1" s="1"/>
  <c r="E700" i="1" s="1"/>
  <c r="F700" i="1" s="1"/>
  <c r="E701" i="1" s="1"/>
  <c r="F701" i="1" s="1"/>
  <c r="D702" i="1" s="1"/>
  <c r="F702" i="1" s="1"/>
  <c r="D703" i="1" s="1"/>
  <c r="F703" i="1" s="1"/>
  <c r="D704" i="1" s="1"/>
  <c r="F704" i="1" s="1"/>
  <c r="E705" i="1" s="1"/>
  <c r="F705" i="1" s="1"/>
  <c r="D706" i="1" s="1"/>
  <c r="F706" i="1" s="1"/>
  <c r="D707" i="1" s="1"/>
  <c r="F707" i="1" s="1"/>
  <c r="E708" i="1" s="1"/>
  <c r="F708" i="1" s="1"/>
  <c r="E709" i="1" s="1"/>
  <c r="F709" i="1" s="1"/>
  <c r="E710" i="1" s="1"/>
  <c r="F710" i="1" s="1"/>
  <c r="E711" i="1" s="1"/>
  <c r="F711" i="1" s="1"/>
  <c r="D712" i="1" s="1"/>
  <c r="F712" i="1" s="1"/>
  <c r="E713" i="1" s="1"/>
  <c r="F713" i="1" s="1"/>
  <c r="E714" i="1" s="1"/>
  <c r="F714" i="1" s="1"/>
  <c r="D715" i="1" s="1"/>
  <c r="F715" i="1" s="1"/>
  <c r="D716" i="1" s="1"/>
  <c r="F716" i="1" s="1"/>
  <c r="E717" i="1" s="1"/>
  <c r="F717" i="1" s="1"/>
  <c r="E718" i="1" s="1"/>
  <c r="F718" i="1" s="1"/>
  <c r="D719" i="1" s="1"/>
  <c r="F719" i="1" s="1"/>
  <c r="E720" i="1" s="1"/>
  <c r="F720" i="1" s="1"/>
  <c r="D721" i="1" s="1"/>
  <c r="F721" i="1" s="1"/>
  <c r="E722" i="1" s="1"/>
  <c r="F722" i="1" s="1"/>
  <c r="E723" i="1" s="1"/>
  <c r="F723" i="1" s="1"/>
  <c r="E724" i="1" s="1"/>
  <c r="F724" i="1" s="1"/>
  <c r="D725" i="1" s="1"/>
  <c r="F725" i="1" s="1"/>
  <c r="E726" i="1" s="1"/>
  <c r="F726" i="1" s="1"/>
  <c r="E727" i="1" s="1"/>
  <c r="F727" i="1" s="1"/>
  <c r="E728" i="1" s="1"/>
  <c r="F728" i="1" s="1"/>
  <c r="E729" i="1" s="1"/>
  <c r="F729" i="1" s="1"/>
  <c r="E730" i="1" s="1"/>
  <c r="F730" i="1" s="1"/>
  <c r="E731" i="1" s="1"/>
  <c r="F731" i="1" s="1"/>
  <c r="D732" i="1" s="1"/>
  <c r="F732" i="1" s="1"/>
  <c r="E733" i="1" s="1"/>
  <c r="F733" i="1" s="1"/>
  <c r="D734" i="1" s="1"/>
  <c r="F734" i="1" s="1"/>
  <c r="D735" i="1" s="1"/>
  <c r="F735" i="1" s="1"/>
  <c r="E736" i="1" s="1"/>
  <c r="F736" i="1" s="1"/>
  <c r="E737" i="1" s="1"/>
  <c r="F737" i="1" s="1"/>
  <c r="E738" i="1" s="1"/>
  <c r="F738" i="1" s="1"/>
  <c r="E739" i="1" s="1"/>
  <c r="F739" i="1" s="1"/>
  <c r="E740" i="1" s="1"/>
  <c r="F740" i="1" s="1"/>
  <c r="D741" i="1" s="1"/>
  <c r="F741" i="1" s="1"/>
  <c r="E742" i="1" s="1"/>
  <c r="F742" i="1" s="1"/>
  <c r="D743" i="1" s="1"/>
  <c r="F743" i="1" s="1"/>
  <c r="E744" i="1" s="1"/>
  <c r="F744" i="1" s="1"/>
  <c r="E745" i="1" s="1"/>
  <c r="F745" i="1" s="1"/>
  <c r="D746" i="1" s="1"/>
  <c r="F746" i="1" s="1"/>
  <c r="D747" i="1" s="1"/>
  <c r="F747" i="1" s="1"/>
  <c r="E748" i="1" s="1"/>
  <c r="F748" i="1" s="1"/>
  <c r="D749" i="1" s="1"/>
  <c r="F749" i="1" s="1"/>
  <c r="E750" i="1" s="1"/>
  <c r="F750" i="1" s="1"/>
  <c r="E751" i="1" s="1"/>
  <c r="F751" i="1" s="1"/>
  <c r="E752" i="1" s="1"/>
  <c r="F752" i="1" s="1"/>
  <c r="D753" i="1" s="1"/>
  <c r="F753" i="1" s="1"/>
  <c r="D754" i="1" s="1"/>
  <c r="F754" i="1" s="1"/>
  <c r="E755" i="1" s="1"/>
  <c r="F755" i="1" s="1"/>
  <c r="E756" i="1" s="1"/>
  <c r="F756" i="1" s="1"/>
  <c r="D757" i="1" s="1"/>
  <c r="F757" i="1" s="1"/>
  <c r="D758" i="1" s="1"/>
  <c r="F758" i="1" s="1"/>
  <c r="D759" i="1" s="1"/>
  <c r="F759" i="1" s="1"/>
  <c r="D760" i="1" s="1"/>
  <c r="F760" i="1" s="1"/>
  <c r="D761" i="1" s="1"/>
  <c r="F761" i="1" s="1"/>
  <c r="E762" i="1" s="1"/>
  <c r="F762" i="1" s="1"/>
  <c r="E763" i="1" s="1"/>
  <c r="F763" i="1" s="1"/>
  <c r="E764" i="1" s="1"/>
  <c r="F764" i="1" s="1"/>
  <c r="E765" i="1" s="1"/>
  <c r="F765" i="1" s="1"/>
  <c r="E766" i="1" s="1"/>
  <c r="F766" i="1" s="1"/>
  <c r="D767" i="1" s="1"/>
  <c r="F767" i="1" s="1"/>
  <c r="D768" i="1" s="1"/>
  <c r="F768" i="1" s="1"/>
  <c r="E769" i="1" s="1"/>
  <c r="F769" i="1" s="1"/>
  <c r="E770" i="1" s="1"/>
  <c r="F770" i="1" s="1"/>
  <c r="D771" i="1" s="1"/>
  <c r="F771" i="1" s="1"/>
  <c r="E772" i="1" s="1"/>
  <c r="F772" i="1" s="1"/>
  <c r="D773" i="1" s="1"/>
  <c r="F773" i="1" s="1"/>
  <c r="E774" i="1" s="1"/>
  <c r="F774" i="1" s="1"/>
  <c r="E775" i="1" s="1"/>
  <c r="F775" i="1" s="1"/>
  <c r="D776" i="1" s="1"/>
  <c r="F776" i="1" s="1"/>
  <c r="D777" i="1" s="1"/>
  <c r="F777" i="1" s="1"/>
  <c r="E778" i="1" s="1"/>
  <c r="F778" i="1" s="1"/>
  <c r="E779" i="1" s="1"/>
  <c r="F779" i="1" s="1"/>
  <c r="D780" i="1" s="1"/>
  <c r="F780" i="1" s="1"/>
  <c r="D781" i="1" s="1"/>
  <c r="F781" i="1" s="1"/>
  <c r="D782" i="1" s="1"/>
  <c r="F782" i="1" s="1"/>
  <c r="E783" i="1" s="1"/>
  <c r="F783" i="1" s="1"/>
  <c r="D784" i="1" s="1"/>
  <c r="F784" i="1" s="1"/>
  <c r="D785" i="1" s="1"/>
  <c r="F785" i="1" s="1"/>
  <c r="D786" i="1" s="1"/>
  <c r="F786" i="1" s="1"/>
  <c r="D787" i="1" s="1"/>
  <c r="F787" i="1" s="1"/>
  <c r="D788" i="1" s="1"/>
  <c r="F788" i="1" s="1"/>
  <c r="E789" i="1" s="1"/>
  <c r="F789" i="1" s="1"/>
  <c r="E790" i="1" s="1"/>
  <c r="F790" i="1" s="1"/>
  <c r="D791" i="1" s="1"/>
  <c r="F791" i="1" s="1"/>
  <c r="D792" i="1" s="1"/>
  <c r="F792" i="1" s="1"/>
  <c r="D793" i="1" s="1"/>
  <c r="F793" i="1" s="1"/>
  <c r="E794" i="1" s="1"/>
  <c r="F794" i="1" s="1"/>
  <c r="E795" i="1" s="1"/>
  <c r="F795" i="1" s="1"/>
  <c r="D796" i="1" s="1"/>
  <c r="F796" i="1" s="1"/>
  <c r="D797" i="1" s="1"/>
  <c r="F797" i="1" s="1"/>
  <c r="E798" i="1" s="1"/>
  <c r="F798" i="1" s="1"/>
  <c r="D799" i="1" s="1"/>
  <c r="F799" i="1" s="1"/>
  <c r="D800" i="1" s="1"/>
  <c r="F800" i="1" s="1"/>
  <c r="E801" i="1" s="1"/>
  <c r="F801" i="1" s="1"/>
  <c r="D802" i="1" s="1"/>
  <c r="F802" i="1" s="1"/>
  <c r="E803" i="1" s="1"/>
  <c r="F803" i="1" s="1"/>
  <c r="E804" i="1" s="1"/>
  <c r="F804" i="1" s="1"/>
  <c r="E805" i="1" s="1"/>
  <c r="F805" i="1" s="1"/>
  <c r="E806" i="1" s="1"/>
  <c r="F806" i="1" s="1"/>
  <c r="E807" i="1" s="1"/>
  <c r="F807" i="1" s="1"/>
  <c r="D808" i="1" s="1"/>
  <c r="F808" i="1" s="1"/>
  <c r="E809" i="1" s="1"/>
  <c r="F809" i="1" s="1"/>
  <c r="D810" i="1" s="1"/>
  <c r="F810" i="1" s="1"/>
  <c r="D811" i="1" s="1"/>
  <c r="F811" i="1" s="1"/>
  <c r="D812" i="1" s="1"/>
  <c r="F812" i="1" s="1"/>
  <c r="D813" i="1" s="1"/>
  <c r="F813" i="1" s="1"/>
  <c r="E814" i="1" s="1"/>
  <c r="F814" i="1" s="1"/>
  <c r="D815" i="1" s="1"/>
  <c r="F815" i="1" s="1"/>
  <c r="E816" i="1" s="1"/>
  <c r="F816" i="1" s="1"/>
  <c r="D817" i="1" s="1"/>
  <c r="F817" i="1" s="1"/>
  <c r="D818" i="1" s="1"/>
  <c r="F818" i="1" s="1"/>
  <c r="D819" i="1" s="1"/>
  <c r="F819" i="1" s="1"/>
  <c r="D820" i="1" s="1"/>
  <c r="F820" i="1" s="1"/>
  <c r="E821" i="1" s="1"/>
  <c r="F821" i="1" s="1"/>
  <c r="E822" i="1" s="1"/>
  <c r="F822" i="1" s="1"/>
  <c r="D823" i="1" s="1"/>
  <c r="F823" i="1" s="1"/>
  <c r="E824" i="1" s="1"/>
  <c r="F824" i="1" s="1"/>
  <c r="E825" i="1" s="1"/>
  <c r="F825" i="1" s="1"/>
  <c r="D826" i="1" s="1"/>
  <c r="F826" i="1" s="1"/>
  <c r="E827" i="1" s="1"/>
  <c r="F827" i="1" s="1"/>
  <c r="E828" i="1" s="1"/>
  <c r="F828" i="1" s="1"/>
  <c r="D829" i="1" s="1"/>
  <c r="F829" i="1" s="1"/>
  <c r="D830" i="1" s="1"/>
  <c r="F830" i="1" s="1"/>
  <c r="E831" i="1" s="1"/>
  <c r="F831" i="1" s="1"/>
  <c r="D832" i="1" s="1"/>
  <c r="F832" i="1" s="1"/>
  <c r="E833" i="1" s="1"/>
  <c r="F833" i="1" s="1"/>
  <c r="D834" i="1" s="1"/>
  <c r="F834" i="1" s="1"/>
  <c r="D835" i="1" s="1"/>
  <c r="F835" i="1" s="1"/>
  <c r="E836" i="1" s="1"/>
  <c r="F836" i="1" s="1"/>
  <c r="E837" i="1" s="1"/>
  <c r="F837" i="1" s="1"/>
  <c r="D838" i="1" s="1"/>
  <c r="F838" i="1" s="1"/>
  <c r="D839" i="1" s="1"/>
  <c r="F839" i="1" s="1"/>
  <c r="D840" i="1" s="1"/>
  <c r="F840" i="1" s="1"/>
  <c r="E841" i="1" s="1"/>
  <c r="F841" i="1" s="1"/>
  <c r="E842" i="1" s="1"/>
  <c r="F842" i="1" s="1"/>
  <c r="E843" i="1" s="1"/>
  <c r="F843" i="1" s="1"/>
  <c r="E844" i="1" s="1"/>
  <c r="F844" i="1" s="1"/>
  <c r="D845" i="1" s="1"/>
  <c r="F845" i="1" s="1"/>
  <c r="D846" i="1" s="1"/>
  <c r="F846" i="1" s="1"/>
  <c r="D847" i="1" s="1"/>
  <c r="F847" i="1" s="1"/>
  <c r="D848" i="1" s="1"/>
  <c r="F848" i="1" s="1"/>
  <c r="E849" i="1" s="1"/>
  <c r="F849" i="1" s="1"/>
  <c r="E850" i="1" s="1"/>
  <c r="F850" i="1" s="1"/>
  <c r="E851" i="1" s="1"/>
  <c r="F851" i="1" s="1"/>
  <c r="E852" i="1" s="1"/>
  <c r="F852" i="1" s="1"/>
  <c r="E853" i="1" s="1"/>
  <c r="F853" i="1" s="1"/>
  <c r="D854" i="1" s="1"/>
  <c r="F854" i="1" s="1"/>
  <c r="E855" i="1" s="1"/>
  <c r="F855" i="1" s="1"/>
  <c r="D856" i="1" s="1"/>
  <c r="F856" i="1" s="1"/>
  <c r="D857" i="1" s="1"/>
  <c r="F857" i="1" s="1"/>
  <c r="D858" i="1" s="1"/>
  <c r="F858" i="1" s="1"/>
  <c r="E859" i="1" s="1"/>
  <c r="F859" i="1" s="1"/>
  <c r="D860" i="1" s="1"/>
  <c r="F860" i="1" s="1"/>
  <c r="E861" i="1" s="1"/>
  <c r="F861" i="1" s="1"/>
  <c r="E862" i="1" s="1"/>
  <c r="F862" i="1" s="1"/>
  <c r="D863" i="1" s="1"/>
  <c r="F863" i="1" s="1"/>
  <c r="D864" i="1" s="1"/>
  <c r="F864" i="1" s="1"/>
  <c r="D865" i="1" s="1"/>
  <c r="F865" i="1" s="1"/>
  <c r="D866" i="1" s="1"/>
  <c r="F866" i="1" s="1"/>
  <c r="D867" i="1" s="1"/>
  <c r="F867" i="1" s="1"/>
  <c r="D868" i="1" s="1"/>
  <c r="F868" i="1" s="1"/>
  <c r="D869" i="1" s="1"/>
  <c r="F869" i="1" s="1"/>
  <c r="E870" i="1" s="1"/>
  <c r="F870" i="1" s="1"/>
  <c r="D871" i="1" s="1"/>
  <c r="F871" i="1" s="1"/>
  <c r="E872" i="1" s="1"/>
  <c r="F872" i="1" s="1"/>
  <c r="D873" i="1" s="1"/>
  <c r="F873" i="1" s="1"/>
  <c r="D874" i="1" s="1"/>
  <c r="F874" i="1" s="1"/>
  <c r="D875" i="1" s="1"/>
  <c r="F875" i="1" s="1"/>
  <c r="E876" i="1" s="1"/>
  <c r="F876" i="1" s="1"/>
  <c r="E877" i="1" s="1"/>
  <c r="F877" i="1" s="1"/>
  <c r="D878" i="1" s="1"/>
  <c r="F878" i="1" s="1"/>
  <c r="E879" i="1" s="1"/>
  <c r="F879" i="1" s="1"/>
  <c r="E880" i="1" s="1"/>
  <c r="F880" i="1" s="1"/>
  <c r="D881" i="1" s="1"/>
  <c r="F881" i="1" s="1"/>
  <c r="E882" i="1" s="1"/>
  <c r="F882" i="1" s="1"/>
  <c r="E883" i="1" s="1"/>
  <c r="F883" i="1" s="1"/>
  <c r="D884" i="1" s="1"/>
  <c r="F884" i="1" s="1"/>
  <c r="D885" i="1" s="1"/>
  <c r="F885" i="1" s="1"/>
  <c r="E886" i="1" s="1"/>
  <c r="F886" i="1" s="1"/>
  <c r="D887" i="1" s="1"/>
  <c r="F887" i="1" s="1"/>
  <c r="D888" i="1" s="1"/>
  <c r="F888" i="1" s="1"/>
  <c r="D889" i="1" s="1"/>
  <c r="F889" i="1" s="1"/>
  <c r="E890" i="1" s="1"/>
  <c r="F890" i="1" s="1"/>
  <c r="E891" i="1" s="1"/>
  <c r="F891" i="1" s="1"/>
  <c r="D892" i="1" s="1"/>
  <c r="F892" i="1" s="1"/>
  <c r="E893" i="1" s="1"/>
  <c r="F893" i="1" s="1"/>
  <c r="D894" i="1" s="1"/>
  <c r="F894" i="1" s="1"/>
  <c r="D895" i="1" s="1"/>
  <c r="F895" i="1" s="1"/>
  <c r="D896" i="1" s="1"/>
  <c r="F896" i="1" s="1"/>
  <c r="E897" i="1" s="1"/>
  <c r="F897" i="1" s="1"/>
  <c r="E898" i="1" s="1"/>
  <c r="F898" i="1" s="1"/>
  <c r="E899" i="1" s="1"/>
  <c r="F899" i="1" s="1"/>
  <c r="E900" i="1" s="1"/>
  <c r="F900" i="1" s="1"/>
  <c r="D901" i="1" s="1"/>
  <c r="F901" i="1" s="1"/>
  <c r="E902" i="1" s="1"/>
  <c r="F902" i="1" s="1"/>
  <c r="D903" i="1" s="1"/>
  <c r="F903" i="1" s="1"/>
  <c r="D904" i="1" s="1"/>
  <c r="F904" i="1" s="1"/>
  <c r="E905" i="1" s="1"/>
  <c r="F905" i="1" s="1"/>
  <c r="D906" i="1" s="1"/>
  <c r="F906" i="1" s="1"/>
  <c r="E907" i="1" s="1"/>
  <c r="F907" i="1" s="1"/>
  <c r="E908" i="1" s="1"/>
  <c r="F908" i="1" s="1"/>
  <c r="D909" i="1" s="1"/>
  <c r="F909" i="1" s="1"/>
  <c r="D910" i="1" s="1"/>
  <c r="F910" i="1" s="1"/>
  <c r="D911" i="1" s="1"/>
  <c r="F911" i="1" s="1"/>
  <c r="E912" i="1" s="1"/>
  <c r="F912" i="1" s="1"/>
  <c r="D913" i="1" s="1"/>
  <c r="F913" i="1" s="1"/>
  <c r="D914" i="1" s="1"/>
  <c r="F914" i="1" s="1"/>
  <c r="D915" i="1" s="1"/>
  <c r="F915" i="1" s="1"/>
  <c r="E916" i="1" s="1"/>
  <c r="F916" i="1" s="1"/>
  <c r="D917" i="1" s="1"/>
  <c r="F917" i="1" s="1"/>
  <c r="D918" i="1" s="1"/>
  <c r="F918" i="1" s="1"/>
  <c r="E919" i="1" s="1"/>
  <c r="F919" i="1" s="1"/>
  <c r="D920" i="1" s="1"/>
  <c r="F920" i="1" s="1"/>
  <c r="E921" i="1" s="1"/>
  <c r="F921" i="1" s="1"/>
  <c r="D922" i="1" s="1"/>
  <c r="F922" i="1" s="1"/>
  <c r="E923" i="1" s="1"/>
  <c r="F923" i="1" s="1"/>
  <c r="D924" i="1" s="1"/>
  <c r="F924" i="1" s="1"/>
  <c r="E925" i="1" s="1"/>
  <c r="F925" i="1" s="1"/>
  <c r="E926" i="1" s="1"/>
  <c r="F926" i="1" s="1"/>
  <c r="D927" i="1" s="1"/>
  <c r="F927" i="1" s="1"/>
  <c r="D928" i="1" s="1"/>
  <c r="F928" i="1" s="1"/>
  <c r="E929" i="1" s="1"/>
  <c r="F929" i="1" s="1"/>
  <c r="E930" i="1" s="1"/>
  <c r="F930" i="1" s="1"/>
  <c r="E931" i="1" s="1"/>
  <c r="F931" i="1" s="1"/>
  <c r="D932" i="1" s="1"/>
  <c r="F932" i="1" s="1"/>
  <c r="E933" i="1" s="1"/>
  <c r="F933" i="1" s="1"/>
  <c r="E934" i="1" s="1"/>
  <c r="F934" i="1" s="1"/>
  <c r="E935" i="1" s="1"/>
  <c r="F935" i="1" s="1"/>
  <c r="D936" i="1" s="1"/>
  <c r="F936" i="1" s="1"/>
  <c r="D937" i="1" s="1"/>
  <c r="F937" i="1" s="1"/>
  <c r="E938" i="1" s="1"/>
  <c r="F938" i="1" s="1"/>
  <c r="E939" i="1" s="1"/>
  <c r="F939" i="1" s="1"/>
  <c r="E940" i="1" s="1"/>
  <c r="F940" i="1" s="1"/>
  <c r="D941" i="1" s="1"/>
  <c r="F941" i="1" s="1"/>
  <c r="D942" i="1" s="1"/>
  <c r="F942" i="1" s="1"/>
  <c r="D943" i="1" s="1"/>
  <c r="F943" i="1" s="1"/>
  <c r="E944" i="1" s="1"/>
  <c r="F944" i="1" s="1"/>
  <c r="E945" i="1" s="1"/>
  <c r="F945" i="1" s="1"/>
  <c r="E946" i="1" s="1"/>
  <c r="F946" i="1" s="1"/>
  <c r="E947" i="1" s="1"/>
  <c r="F947" i="1" s="1"/>
  <c r="D948" i="1" s="1"/>
  <c r="F948" i="1" s="1"/>
  <c r="E949" i="1" s="1"/>
  <c r="F949" i="1" s="1"/>
  <c r="D950" i="1" s="1"/>
  <c r="F950" i="1" s="1"/>
  <c r="D951" i="1" s="1"/>
  <c r="F951" i="1" s="1"/>
  <c r="E952" i="1" s="1"/>
  <c r="F952" i="1" s="1"/>
  <c r="E953" i="1" s="1"/>
  <c r="F953" i="1" s="1"/>
  <c r="E954" i="1" s="1"/>
  <c r="F954" i="1" s="1"/>
  <c r="E955" i="1" s="1"/>
  <c r="F955" i="1" s="1"/>
  <c r="E956" i="1" s="1"/>
  <c r="F956" i="1" s="1"/>
  <c r="D957" i="1" s="1"/>
  <c r="F957" i="1" s="1"/>
  <c r="D958" i="1" s="1"/>
  <c r="F958" i="1" s="1"/>
  <c r="E959" i="1" s="1"/>
  <c r="F959" i="1" s="1"/>
  <c r="E960" i="1" s="1"/>
  <c r="F960" i="1" s="1"/>
  <c r="E961" i="1" s="1"/>
  <c r="F961" i="1" s="1"/>
  <c r="D962" i="1" s="1"/>
  <c r="F962" i="1" s="1"/>
  <c r="E963" i="1" s="1"/>
  <c r="F963" i="1" s="1"/>
  <c r="D964" i="1" s="1"/>
  <c r="F964" i="1" s="1"/>
  <c r="D965" i="1" s="1"/>
  <c r="F965" i="1" s="1"/>
  <c r="E966" i="1" s="1"/>
  <c r="F966" i="1" s="1"/>
  <c r="E967" i="1" s="1"/>
  <c r="F967" i="1" s="1"/>
  <c r="D968" i="1" s="1"/>
  <c r="F968" i="1" s="1"/>
  <c r="E969" i="1" s="1"/>
  <c r="F969" i="1" s="1"/>
  <c r="D970" i="1" s="1"/>
  <c r="F970" i="1" s="1"/>
  <c r="E971" i="1" s="1"/>
  <c r="F971" i="1" s="1"/>
  <c r="D972" i="1" s="1"/>
  <c r="F972" i="1" s="1"/>
  <c r="D973" i="1" s="1"/>
  <c r="F973" i="1" s="1"/>
  <c r="E974" i="1" s="1"/>
  <c r="F974" i="1" s="1"/>
  <c r="D975" i="1" s="1"/>
  <c r="F975" i="1" s="1"/>
  <c r="D976" i="1" s="1"/>
  <c r="F976" i="1" s="1"/>
  <c r="D977" i="1" s="1"/>
  <c r="F977" i="1" s="1"/>
  <c r="E978" i="1" s="1"/>
  <c r="F978" i="1" s="1"/>
  <c r="E979" i="1" s="1"/>
  <c r="F979" i="1" s="1"/>
  <c r="E980" i="1" s="1"/>
  <c r="F980" i="1" s="1"/>
  <c r="D981" i="1" s="1"/>
  <c r="F981" i="1" s="1"/>
  <c r="D982" i="1" s="1"/>
  <c r="F982" i="1" s="1"/>
  <c r="E983" i="1" s="1"/>
  <c r="F983" i="1" s="1"/>
  <c r="E984" i="1" s="1"/>
  <c r="F984" i="1" s="1"/>
  <c r="D985" i="1" s="1"/>
  <c r="F985" i="1" s="1"/>
  <c r="E986" i="1" s="1"/>
  <c r="F986" i="1" s="1"/>
  <c r="D987" i="1" s="1"/>
  <c r="F987" i="1" s="1"/>
  <c r="E988" i="1" s="1"/>
  <c r="F988" i="1" s="1"/>
  <c r="E989" i="1" s="1"/>
  <c r="F989" i="1" s="1"/>
  <c r="E990" i="1" s="1"/>
  <c r="F990" i="1" s="1"/>
  <c r="E991" i="1" s="1"/>
  <c r="F991" i="1" s="1"/>
  <c r="D992" i="1" s="1"/>
  <c r="F992" i="1" s="1"/>
  <c r="D993" i="1" s="1"/>
  <c r="F993" i="1" s="1"/>
  <c r="D994" i="1" s="1"/>
  <c r="F994" i="1" s="1"/>
  <c r="E995" i="1" s="1"/>
  <c r="F995" i="1" s="1"/>
  <c r="E996" i="1" s="1"/>
  <c r="F996" i="1" s="1"/>
  <c r="E997" i="1" s="1"/>
  <c r="F997" i="1" s="1"/>
  <c r="D998" i="1" s="1"/>
  <c r="F998" i="1" s="1"/>
  <c r="E999" i="1" s="1"/>
  <c r="F999" i="1" s="1"/>
  <c r="D1000" i="1" s="1"/>
  <c r="F1000" i="1" s="1"/>
  <c r="D1001" i="1" s="1"/>
  <c r="F1001" i="1" s="1"/>
  <c r="D1002" i="1" s="1"/>
  <c r="F1002" i="1" s="1"/>
  <c r="D1003" i="1" s="1"/>
  <c r="F1003" i="1" s="1"/>
  <c r="D1004" i="1" s="1"/>
  <c r="F1004" i="1" s="1"/>
  <c r="E1005" i="1" s="1"/>
  <c r="F1005" i="1" s="1"/>
  <c r="D1006" i="1" s="1"/>
  <c r="F1006" i="1" s="1"/>
  <c r="E1007" i="1" s="1"/>
  <c r="F1007" i="1" s="1"/>
  <c r="E1008" i="1" s="1"/>
  <c r="F1008" i="1" s="1"/>
  <c r="D1009" i="1" s="1"/>
  <c r="F1009" i="1" s="1"/>
  <c r="D1010" i="1" s="1"/>
  <c r="F1010" i="1" s="1"/>
  <c r="D1011" i="1" s="1"/>
  <c r="F1011" i="1" s="1"/>
  <c r="D1012" i="1" s="1"/>
  <c r="F1012" i="1" s="1"/>
  <c r="E1013" i="1" s="1"/>
  <c r="F1013" i="1" s="1"/>
  <c r="D1014" i="1" s="1"/>
  <c r="F1014" i="1" s="1"/>
  <c r="E1015" i="1" s="1"/>
  <c r="F1015" i="1" s="1"/>
  <c r="D1016" i="1" s="1"/>
  <c r="F1016" i="1" s="1"/>
  <c r="D1017" i="1" s="1"/>
  <c r="F1017" i="1" s="1"/>
  <c r="E1018" i="1" s="1"/>
  <c r="F1018" i="1" s="1"/>
  <c r="E1019" i="1" s="1"/>
  <c r="F1019" i="1" s="1"/>
  <c r="D1020" i="1" s="1"/>
  <c r="F1020" i="1" s="1"/>
  <c r="E1021" i="1" s="1"/>
  <c r="F1021" i="1" s="1"/>
  <c r="D1022" i="1" s="1"/>
  <c r="F1022" i="1" s="1"/>
  <c r="E1023" i="1" s="1"/>
  <c r="F1023" i="1" s="1"/>
  <c r="D1024" i="1" s="1"/>
  <c r="F1024" i="1" s="1"/>
  <c r="E1025" i="1" s="1"/>
  <c r="F1025" i="1" s="1"/>
  <c r="D1026" i="1" s="1"/>
  <c r="F1026" i="1" s="1"/>
  <c r="E1027" i="1" s="1"/>
  <c r="F1027" i="1" s="1"/>
  <c r="E1028" i="1" s="1"/>
  <c r="F1028" i="1" s="1"/>
  <c r="D1029" i="1" s="1"/>
  <c r="F1029" i="1" s="1"/>
  <c r="D1030" i="1" s="1"/>
  <c r="F1030" i="1" s="1"/>
  <c r="E1031" i="1" s="1"/>
  <c r="F1031" i="1" s="1"/>
  <c r="E1032" i="1" s="1"/>
  <c r="F1032" i="1" s="1"/>
  <c r="E1033" i="1" s="1"/>
  <c r="F1033" i="1" s="1"/>
  <c r="E1034" i="1" s="1"/>
  <c r="F1034" i="1" s="1"/>
  <c r="D1035" i="1" s="1"/>
  <c r="F1035" i="1" s="1"/>
  <c r="D1036" i="1" s="1"/>
  <c r="F1036" i="1" s="1"/>
  <c r="E1037" i="1" s="1"/>
  <c r="F1037" i="1" s="1"/>
  <c r="D1038" i="1" s="1"/>
  <c r="F1038" i="1" s="1"/>
  <c r="E1039" i="1" s="1"/>
  <c r="F1039" i="1" s="1"/>
  <c r="D1040" i="1" s="1"/>
  <c r="F1040" i="1" s="1"/>
  <c r="E1041" i="1" s="1"/>
  <c r="F1041" i="1" s="1"/>
  <c r="E1042" i="1" s="1"/>
  <c r="F1042" i="1" s="1"/>
  <c r="E1043" i="1" s="1"/>
  <c r="F1043" i="1" s="1"/>
  <c r="E1044" i="1" s="1"/>
  <c r="F1044" i="1" s="1"/>
  <c r="D1045" i="1" s="1"/>
  <c r="F1045" i="1" s="1"/>
  <c r="D1046" i="1" s="1"/>
  <c r="F1046" i="1" s="1"/>
  <c r="D1047" i="1" s="1"/>
  <c r="F1047" i="1" s="1"/>
  <c r="E1048" i="1" s="1"/>
  <c r="F1048" i="1" s="1"/>
  <c r="D1049" i="1" s="1"/>
  <c r="F1049" i="1" s="1"/>
  <c r="E1050" i="1" s="1"/>
  <c r="F1050" i="1" s="1"/>
  <c r="E1051" i="1" s="1"/>
  <c r="F1051" i="1" s="1"/>
  <c r="D1052" i="1" s="1"/>
  <c r="F1052" i="1" s="1"/>
  <c r="E1053" i="1" s="1"/>
  <c r="F1053" i="1" s="1"/>
  <c r="E1054" i="1" s="1"/>
  <c r="F1054" i="1" s="1"/>
  <c r="E1055" i="1" s="1"/>
  <c r="F1055" i="1" s="1"/>
  <c r="D1056" i="1" s="1"/>
  <c r="F1056" i="1" s="1"/>
  <c r="E1057" i="1" s="1"/>
  <c r="F1057" i="1" s="1"/>
  <c r="D1058" i="1" s="1"/>
  <c r="F1058" i="1" s="1"/>
  <c r="D1059" i="1" s="1"/>
  <c r="F1059" i="1" s="1"/>
  <c r="E1060" i="1" s="1"/>
  <c r="F1060" i="1" s="1"/>
  <c r="E1061" i="1" s="1"/>
  <c r="F1061" i="1" s="1"/>
  <c r="E1062" i="1" s="1"/>
  <c r="F1062" i="1" s="1"/>
  <c r="E1063" i="1" s="1"/>
  <c r="F1063" i="1" s="1"/>
  <c r="D1064" i="1" s="1"/>
  <c r="F1064" i="1" s="1"/>
  <c r="E1065" i="1" s="1"/>
  <c r="F1065" i="1" s="1"/>
  <c r="D1066" i="1" s="1"/>
  <c r="F1066" i="1" s="1"/>
  <c r="D1067" i="1" s="1"/>
  <c r="F1067" i="1" s="1"/>
  <c r="E1068" i="1" s="1"/>
  <c r="F1068" i="1" s="1"/>
  <c r="D1069" i="1" s="1"/>
  <c r="F1069" i="1" s="1"/>
  <c r="D1070" i="1" s="1"/>
  <c r="F1070" i="1" s="1"/>
  <c r="D1071" i="1" s="1"/>
  <c r="F1071" i="1" s="1"/>
  <c r="E1072" i="1" s="1"/>
  <c r="F1072" i="1" s="1"/>
  <c r="E1073" i="1" s="1"/>
  <c r="F1073" i="1" s="1"/>
  <c r="D1074" i="1" s="1"/>
  <c r="F1074" i="1" s="1"/>
  <c r="E1075" i="1" s="1"/>
  <c r="F1075" i="1" s="1"/>
  <c r="E1076" i="1" s="1"/>
  <c r="F1076" i="1" s="1"/>
  <c r="E1077" i="1" s="1"/>
  <c r="F1077" i="1" s="1"/>
  <c r="E1078" i="1" s="1"/>
  <c r="F1078" i="1" s="1"/>
  <c r="E1079" i="1" s="1"/>
  <c r="F1079" i="1" s="1"/>
  <c r="E1080" i="1" s="1"/>
  <c r="F1080" i="1" s="1"/>
  <c r="D1081" i="1" s="1"/>
  <c r="F1081" i="1" s="1"/>
  <c r="E1082" i="1" s="1"/>
  <c r="F1082" i="1" s="1"/>
  <c r="D1083" i="1" s="1"/>
  <c r="F1083" i="1" s="1"/>
  <c r="E1084" i="1" s="1"/>
  <c r="F1084" i="1" s="1"/>
  <c r="D1085" i="1" s="1"/>
  <c r="F1085" i="1" s="1"/>
  <c r="D1086" i="1" s="1"/>
  <c r="F1086" i="1" s="1"/>
  <c r="D1087" i="1" s="1"/>
  <c r="F1087" i="1" s="1"/>
  <c r="D1088" i="1" s="1"/>
  <c r="F1088" i="1" s="1"/>
  <c r="D1089" i="1" s="1"/>
  <c r="F1089" i="1" s="1"/>
  <c r="D1090" i="1" s="1"/>
  <c r="F1090" i="1" s="1"/>
  <c r="D1091" i="1" s="1"/>
  <c r="F1091" i="1" s="1"/>
  <c r="D1092" i="1" s="1"/>
  <c r="F1092" i="1" s="1"/>
  <c r="D1093" i="1" s="1"/>
  <c r="F1093" i="1" s="1"/>
  <c r="D1094" i="1" s="1"/>
  <c r="F1094" i="1" s="1"/>
  <c r="D1095" i="1" s="1"/>
  <c r="F1095" i="1" s="1"/>
  <c r="E1096" i="1" s="1"/>
  <c r="F1096" i="1" s="1"/>
  <c r="D1097" i="1" s="1"/>
  <c r="F1097" i="1" s="1"/>
  <c r="E1098" i="1" s="1"/>
  <c r="F1098" i="1" s="1"/>
  <c r="E1099" i="1" s="1"/>
  <c r="F1099" i="1" s="1"/>
  <c r="E1100" i="1" s="1"/>
  <c r="F1100" i="1" s="1"/>
  <c r="D1101" i="1" s="1"/>
  <c r="F1101" i="1" s="1"/>
  <c r="E1102" i="1" s="1"/>
  <c r="F1102" i="1" s="1"/>
  <c r="D1103" i="1" s="1"/>
  <c r="F1103" i="1" s="1"/>
  <c r="E1104" i="1" s="1"/>
  <c r="F1104" i="1" s="1"/>
  <c r="D1105" i="1" s="1"/>
  <c r="F1105" i="1" s="1"/>
  <c r="D1106" i="1" s="1"/>
  <c r="F1106" i="1" s="1"/>
  <c r="E1107" i="1" s="1"/>
  <c r="F1107" i="1" s="1"/>
  <c r="E1108" i="1" s="1"/>
  <c r="F1108" i="1" s="1"/>
  <c r="D1109" i="1" s="1"/>
  <c r="F1109" i="1" s="1"/>
  <c r="D1110" i="1" s="1"/>
  <c r="F1110" i="1" s="1"/>
  <c r="D1111" i="1" s="1"/>
  <c r="F1111" i="1" s="1"/>
  <c r="E1112" i="1" s="1"/>
  <c r="F1112" i="1" s="1"/>
  <c r="D1113" i="1" s="1"/>
  <c r="F1113" i="1" s="1"/>
  <c r="D1114" i="1" s="1"/>
  <c r="F1114" i="1" s="1"/>
  <c r="E1115" i="1" s="1"/>
  <c r="F1115" i="1" s="1"/>
  <c r="E1116" i="1" s="1"/>
  <c r="F1116" i="1" s="1"/>
  <c r="D1117" i="1" s="1"/>
  <c r="F1117" i="1" s="1"/>
  <c r="E1118" i="1" s="1"/>
  <c r="F1118" i="1" s="1"/>
  <c r="E1119" i="1" s="1"/>
  <c r="F1119" i="1" s="1"/>
  <c r="D1120" i="1" s="1"/>
  <c r="F1120" i="1" s="1"/>
  <c r="D1121" i="1" s="1"/>
  <c r="F1121" i="1" s="1"/>
  <c r="E1122" i="1" s="1"/>
  <c r="F1122" i="1" s="1"/>
  <c r="D1123" i="1" s="1"/>
  <c r="F1123" i="1" s="1"/>
  <c r="E1124" i="1" s="1"/>
  <c r="F1124" i="1" s="1"/>
  <c r="E1125" i="1" s="1"/>
  <c r="F1125" i="1" s="1"/>
  <c r="D1126" i="1" s="1"/>
  <c r="F1126" i="1" s="1"/>
  <c r="D1127" i="1" s="1"/>
  <c r="F1127" i="1" s="1"/>
  <c r="E1128" i="1" s="1"/>
  <c r="F1128" i="1" s="1"/>
  <c r="E1129" i="1" s="1"/>
  <c r="F1129" i="1" s="1"/>
  <c r="E1130" i="1" s="1"/>
  <c r="F1130" i="1" s="1"/>
  <c r="D1131" i="1" s="1"/>
  <c r="F1131" i="1" s="1"/>
  <c r="D1132" i="1" s="1"/>
  <c r="F1132" i="1" s="1"/>
  <c r="D1133" i="1" s="1"/>
  <c r="F1133" i="1" s="1"/>
  <c r="E1134" i="1" s="1"/>
  <c r="F1134" i="1" s="1"/>
  <c r="D1135" i="1" s="1"/>
  <c r="F1135" i="1" s="1"/>
  <c r="D1136" i="1" s="1"/>
  <c r="F1136" i="1" s="1"/>
  <c r="E1137" i="1" s="1"/>
  <c r="F1137" i="1" s="1"/>
  <c r="D1138" i="1" s="1"/>
  <c r="F1138" i="1" s="1"/>
  <c r="D1139" i="1" s="1"/>
  <c r="F1139" i="1" s="1"/>
  <c r="E1140" i="1" s="1"/>
  <c r="F1140" i="1" s="1"/>
  <c r="D1141" i="1" s="1"/>
  <c r="F1141" i="1" s="1"/>
  <c r="D1142" i="1" s="1"/>
  <c r="F1142" i="1" s="1"/>
  <c r="D1143" i="1" s="1"/>
  <c r="F1143" i="1" s="1"/>
  <c r="D1144" i="1" s="1"/>
  <c r="F1144" i="1" s="1"/>
  <c r="E1145" i="1" s="1"/>
  <c r="F1145" i="1" s="1"/>
  <c r="E1146" i="1" s="1"/>
  <c r="F1146" i="1" s="1"/>
  <c r="E1147" i="1" s="1"/>
  <c r="F1147" i="1" s="1"/>
  <c r="D1148" i="1" s="1"/>
  <c r="F1148" i="1" s="1"/>
  <c r="E1149" i="1" s="1"/>
  <c r="F1149" i="1" s="1"/>
  <c r="D1150" i="1" s="1"/>
  <c r="F1150" i="1" s="1"/>
  <c r="E1151" i="1" s="1"/>
  <c r="F1151" i="1" s="1"/>
  <c r="D1152" i="1" s="1"/>
  <c r="F1152" i="1" s="1"/>
  <c r="E1153" i="1" s="1"/>
  <c r="F1153" i="1" s="1"/>
  <c r="D1154" i="1" s="1"/>
  <c r="F1154" i="1" s="1"/>
  <c r="E1155" i="1" s="1"/>
  <c r="F1155" i="1" s="1"/>
  <c r="D1156" i="1" s="1"/>
  <c r="F1156" i="1" s="1"/>
  <c r="D1157" i="1" s="1"/>
  <c r="F1157" i="1" s="1"/>
  <c r="E1158" i="1" s="1"/>
  <c r="F1158" i="1" s="1"/>
  <c r="E1159" i="1" s="1"/>
  <c r="F1159" i="1" s="1"/>
  <c r="E1160" i="1" s="1"/>
  <c r="F1160" i="1" s="1"/>
  <c r="D1161" i="1" s="1"/>
  <c r="F1161" i="1" s="1"/>
  <c r="D1162" i="1" s="1"/>
  <c r="F1162" i="1" s="1"/>
  <c r="E1163" i="1" s="1"/>
  <c r="F1163" i="1" s="1"/>
  <c r="D1164" i="1" s="1"/>
  <c r="F1164" i="1" s="1"/>
  <c r="D1165" i="1" s="1"/>
  <c r="F1165" i="1" s="1"/>
  <c r="D1166" i="1" s="1"/>
  <c r="F1166" i="1" s="1"/>
  <c r="E1167" i="1" s="1"/>
  <c r="F1167" i="1" s="1"/>
  <c r="D1168" i="1" s="1"/>
  <c r="F1168" i="1" s="1"/>
  <c r="E1169" i="1" s="1"/>
  <c r="F1169" i="1" s="1"/>
  <c r="E1170" i="1" s="1"/>
  <c r="F1170" i="1" s="1"/>
  <c r="D1171" i="1" s="1"/>
  <c r="F1171" i="1" s="1"/>
  <c r="D1172" i="1" s="1"/>
  <c r="F1172" i="1" s="1"/>
  <c r="D1173" i="1" s="1"/>
  <c r="F1173" i="1" s="1"/>
  <c r="E1174" i="1" s="1"/>
  <c r="F1174" i="1" s="1"/>
  <c r="E1175" i="1" s="1"/>
  <c r="F1175" i="1" s="1"/>
  <c r="D1176" i="1" s="1"/>
  <c r="F1176" i="1" s="1"/>
  <c r="E1177" i="1" s="1"/>
  <c r="F1177" i="1" s="1"/>
  <c r="D1178" i="1" s="1"/>
  <c r="F1178" i="1" s="1"/>
  <c r="D1179" i="1" s="1"/>
  <c r="F1179" i="1" s="1"/>
  <c r="E1180" i="1" s="1"/>
  <c r="F1180" i="1" s="1"/>
  <c r="E1181" i="1" s="1"/>
  <c r="F1181" i="1" s="1"/>
  <c r="E1182" i="1" s="1"/>
  <c r="F1182" i="1" s="1"/>
  <c r="D1183" i="1" s="1"/>
  <c r="F1183" i="1" s="1"/>
  <c r="D1184" i="1" s="1"/>
  <c r="F1184" i="1" s="1"/>
  <c r="E1185" i="1" s="1"/>
  <c r="F1185" i="1" s="1"/>
  <c r="E1186" i="1" s="1"/>
  <c r="F1186" i="1" s="1"/>
  <c r="E1187" i="1" s="1"/>
  <c r="F1187" i="1" s="1"/>
  <c r="D1188" i="1" s="1"/>
  <c r="F1188" i="1" s="1"/>
  <c r="D1189" i="1" s="1"/>
  <c r="F1189" i="1" s="1"/>
  <c r="D1190" i="1" s="1"/>
  <c r="F1190" i="1" s="1"/>
  <c r="E1191" i="1" s="1"/>
  <c r="F1191" i="1" s="1"/>
  <c r="E1192" i="1" s="1"/>
  <c r="F1192" i="1" s="1"/>
  <c r="D1193" i="1" s="1"/>
  <c r="F1193" i="1" s="1"/>
  <c r="E1194" i="1" s="1"/>
  <c r="F1194" i="1" s="1"/>
  <c r="E1195" i="1" s="1"/>
  <c r="F1195" i="1" s="1"/>
  <c r="E1196" i="1" s="1"/>
  <c r="F1196" i="1" s="1"/>
  <c r="E1197" i="1" s="1"/>
  <c r="F1197" i="1" s="1"/>
  <c r="E1198" i="1" s="1"/>
  <c r="F1198" i="1" s="1"/>
  <c r="D1199" i="1" s="1"/>
  <c r="F1199" i="1" s="1"/>
  <c r="E1200" i="1" s="1"/>
  <c r="F1200" i="1" s="1"/>
  <c r="D1201" i="1" s="1"/>
  <c r="F1201" i="1" s="1"/>
  <c r="E1202" i="1" s="1"/>
  <c r="F1202" i="1" s="1"/>
  <c r="D1203" i="1" s="1"/>
  <c r="F1203" i="1" s="1"/>
  <c r="D1204" i="1" s="1"/>
  <c r="F1204" i="1" s="1"/>
  <c r="D1205" i="1" s="1"/>
  <c r="F1205" i="1" s="1"/>
  <c r="D1206" i="1" s="1"/>
  <c r="F1206" i="1" s="1"/>
  <c r="E1207" i="1" s="1"/>
  <c r="F1207" i="1" s="1"/>
  <c r="D1208" i="1" s="1"/>
  <c r="F1208" i="1" s="1"/>
  <c r="E1209" i="1" s="1"/>
  <c r="F1209" i="1" s="1"/>
  <c r="E1210" i="1" s="1"/>
  <c r="F1210" i="1" s="1"/>
  <c r="E1211" i="1" s="1"/>
  <c r="F1211" i="1" s="1"/>
  <c r="D1212" i="1" s="1"/>
  <c r="F1212" i="1" s="1"/>
  <c r="D1213" i="1" s="1"/>
  <c r="F1213" i="1" s="1"/>
  <c r="D1214" i="1" s="1"/>
  <c r="F1214" i="1" s="1"/>
  <c r="E1215" i="1" s="1"/>
  <c r="F1215" i="1" s="1"/>
  <c r="D1216" i="1" s="1"/>
  <c r="F1216" i="1" s="1"/>
  <c r="D1217" i="1" s="1"/>
  <c r="F1217" i="1" s="1"/>
  <c r="D1218" i="1" s="1"/>
  <c r="F1218" i="1" s="1"/>
  <c r="D1219" i="1" s="1"/>
  <c r="F1219" i="1" s="1"/>
  <c r="D1220" i="1" s="1"/>
  <c r="F1220" i="1" s="1"/>
  <c r="D1221" i="1" s="1"/>
  <c r="F1221" i="1" s="1"/>
  <c r="E1222" i="1" s="1"/>
  <c r="F1222" i="1" s="1"/>
  <c r="E1223" i="1" s="1"/>
  <c r="F1223" i="1" s="1"/>
  <c r="E1224" i="1" s="1"/>
  <c r="F1224" i="1" s="1"/>
  <c r="E1225" i="1" s="1"/>
  <c r="F1225" i="1" s="1"/>
  <c r="D1226" i="1" s="1"/>
  <c r="F1226" i="1" s="1"/>
  <c r="D1227" i="1" s="1"/>
  <c r="F1227" i="1" s="1"/>
  <c r="E1228" i="1" s="1"/>
  <c r="F1228" i="1" s="1"/>
  <c r="D1229" i="1" s="1"/>
  <c r="F1229" i="1" s="1"/>
  <c r="D1230" i="1" s="1"/>
  <c r="F1230" i="1" s="1"/>
  <c r="E1231" i="1" s="1"/>
  <c r="F1231" i="1" s="1"/>
  <c r="E1232" i="1" s="1"/>
  <c r="F1232" i="1" s="1"/>
  <c r="D1233" i="1" s="1"/>
  <c r="F1233" i="1" s="1"/>
  <c r="E1234" i="1" s="1"/>
  <c r="F1234" i="1" s="1"/>
  <c r="E1235" i="1" s="1"/>
  <c r="F1235" i="1" s="1"/>
  <c r="D1236" i="1" s="1"/>
  <c r="F1236" i="1" s="1"/>
  <c r="D1237" i="1" s="1"/>
  <c r="F1237" i="1" s="1"/>
  <c r="E1238" i="1" s="1"/>
  <c r="F1238" i="1" s="1"/>
  <c r="D1239" i="1" s="1"/>
  <c r="F1239" i="1" s="1"/>
  <c r="D1240" i="1" s="1"/>
  <c r="F1240" i="1" s="1"/>
  <c r="D1241" i="1" s="1"/>
  <c r="F1241" i="1" s="1"/>
  <c r="E1242" i="1" s="1"/>
  <c r="F1242" i="1" s="1"/>
  <c r="D1243" i="1" s="1"/>
  <c r="F1243" i="1" s="1"/>
  <c r="D1244" i="1" s="1"/>
  <c r="F1244" i="1" s="1"/>
  <c r="E1245" i="1" s="1"/>
  <c r="F1245" i="1" s="1"/>
  <c r="E1246" i="1" s="1"/>
  <c r="F1246" i="1" s="1"/>
  <c r="E1247" i="1" s="1"/>
  <c r="F1247" i="1" s="1"/>
  <c r="D1248" i="1" s="1"/>
  <c r="F1248" i="1" s="1"/>
  <c r="E1249" i="1" s="1"/>
  <c r="F1249" i="1" s="1"/>
  <c r="E1250" i="1" s="1"/>
  <c r="F1250" i="1" s="1"/>
  <c r="E1251" i="1" s="1"/>
  <c r="F1251" i="1" s="1"/>
  <c r="D1252" i="1" s="1"/>
  <c r="F1252" i="1" s="1"/>
  <c r="E1253" i="1" s="1"/>
  <c r="F1253" i="1" s="1"/>
  <c r="D1254" i="1" s="1"/>
  <c r="F1254" i="1" s="1"/>
  <c r="E1255" i="1" s="1"/>
  <c r="F1255" i="1" s="1"/>
  <c r="D1256" i="1" s="1"/>
  <c r="F1256" i="1" s="1"/>
  <c r="E1257" i="1" s="1"/>
  <c r="F1257" i="1" s="1"/>
  <c r="D1258" i="1" s="1"/>
  <c r="F1258" i="1" s="1"/>
  <c r="D1259" i="1" s="1"/>
  <c r="F1259" i="1" s="1"/>
  <c r="D1260" i="1" s="1"/>
  <c r="F1260" i="1" s="1"/>
  <c r="D1261" i="1" s="1"/>
  <c r="F1261" i="1" s="1"/>
  <c r="E1262" i="1" s="1"/>
  <c r="F1262" i="1" s="1"/>
  <c r="D1263" i="1" s="1"/>
  <c r="F1263" i="1" s="1"/>
  <c r="D1264" i="1" s="1"/>
  <c r="F1264" i="1" s="1"/>
  <c r="E1265" i="1" s="1"/>
  <c r="F1265" i="1" s="1"/>
  <c r="D1266" i="1" s="1"/>
  <c r="F1266" i="1" s="1"/>
  <c r="D1267" i="1" s="1"/>
  <c r="F1267" i="1" s="1"/>
  <c r="E1268" i="1" s="1"/>
  <c r="F1268" i="1" s="1"/>
  <c r="E1269" i="1" s="1"/>
  <c r="F1269" i="1" s="1"/>
  <c r="D1270" i="1" s="1"/>
  <c r="F1270" i="1" s="1"/>
  <c r="D1271" i="1" s="1"/>
  <c r="F1271" i="1" s="1"/>
  <c r="D1272" i="1" s="1"/>
  <c r="F1272" i="1" s="1"/>
  <c r="E1273" i="1" s="1"/>
  <c r="F1273" i="1" s="1"/>
  <c r="D1274" i="1" s="1"/>
  <c r="F1274" i="1" s="1"/>
  <c r="E1275" i="1" s="1"/>
  <c r="F1275" i="1" s="1"/>
  <c r="E1276" i="1" s="1"/>
  <c r="F1276" i="1" s="1"/>
  <c r="D1277" i="1" s="1"/>
  <c r="F1277" i="1" s="1"/>
  <c r="D1278" i="1" s="1"/>
  <c r="F1278" i="1" s="1"/>
  <c r="E1279" i="1" s="1"/>
  <c r="F1279" i="1" s="1"/>
  <c r="D1280" i="1" s="1"/>
  <c r="F1280" i="1" s="1"/>
  <c r="E1281" i="1" s="1"/>
  <c r="F1281" i="1" s="1"/>
  <c r="D1282" i="1" s="1"/>
  <c r="F1282" i="1" s="1"/>
  <c r="E1283" i="1" s="1"/>
  <c r="F1283" i="1" s="1"/>
  <c r="D1284" i="1" s="1"/>
  <c r="F1284" i="1" s="1"/>
  <c r="D1285" i="1" s="1"/>
  <c r="F1285" i="1" s="1"/>
  <c r="E1286" i="1" s="1"/>
  <c r="F1286" i="1" s="1"/>
  <c r="D1287" i="1" s="1"/>
  <c r="F1287" i="1" s="1"/>
  <c r="D1288" i="1" s="1"/>
  <c r="F1288" i="1" s="1"/>
  <c r="D1289" i="1" s="1"/>
  <c r="F1289" i="1" s="1"/>
  <c r="E1290" i="1" s="1"/>
  <c r="F1290" i="1" s="1"/>
  <c r="E1291" i="1" s="1"/>
  <c r="F1291" i="1" s="1"/>
  <c r="D1292" i="1" s="1"/>
  <c r="F1292" i="1" s="1"/>
  <c r="D1293" i="1" s="1"/>
  <c r="F1293" i="1" s="1"/>
  <c r="E1294" i="1" s="1"/>
  <c r="F1294" i="1" s="1"/>
  <c r="D1295" i="1" s="1"/>
  <c r="F1295" i="1" s="1"/>
  <c r="E1296" i="1" s="1"/>
  <c r="F1296" i="1" s="1"/>
  <c r="D1297" i="1" s="1"/>
  <c r="F1297" i="1" s="1"/>
  <c r="E1298" i="1" s="1"/>
  <c r="F1298" i="1" s="1"/>
  <c r="D1299" i="1" s="1"/>
  <c r="F1299" i="1" s="1"/>
  <c r="D1300" i="1" s="1"/>
  <c r="F1300" i="1" s="1"/>
  <c r="D1301" i="1" s="1"/>
  <c r="F1301" i="1" s="1"/>
  <c r="E1302" i="1" s="1"/>
  <c r="F1302" i="1" s="1"/>
  <c r="D1303" i="1" s="1"/>
  <c r="F1303" i="1" s="1"/>
  <c r="E1304" i="1" s="1"/>
  <c r="F1304" i="1" s="1"/>
  <c r="D1305" i="1" s="1"/>
  <c r="F1305" i="1" s="1"/>
  <c r="E1306" i="1" s="1"/>
  <c r="F1306" i="1" s="1"/>
  <c r="E1307" i="1" s="1"/>
  <c r="F1307" i="1" s="1"/>
  <c r="E1308" i="1" s="1"/>
  <c r="F1308" i="1" s="1"/>
  <c r="D1309" i="1" s="1"/>
  <c r="F1309" i="1" s="1"/>
  <c r="E1310" i="1" s="1"/>
  <c r="F1310" i="1" s="1"/>
  <c r="E1311" i="1" s="1"/>
  <c r="F1311" i="1" s="1"/>
  <c r="E1312" i="1" s="1"/>
  <c r="F1312" i="1" s="1"/>
  <c r="E1313" i="1" s="1"/>
  <c r="F1313" i="1" s="1"/>
  <c r="E1314" i="1" s="1"/>
  <c r="F1314" i="1" s="1"/>
  <c r="D1315" i="1" s="1"/>
  <c r="F1315" i="1" s="1"/>
  <c r="E1316" i="1" s="1"/>
  <c r="F1316" i="1" s="1"/>
  <c r="E1317" i="1" s="1"/>
  <c r="F1317" i="1" s="1"/>
  <c r="E1318" i="1" s="1"/>
  <c r="F1318" i="1" s="1"/>
  <c r="D1319" i="1" s="1"/>
  <c r="F1319" i="1" s="1"/>
  <c r="E1320" i="1" s="1"/>
  <c r="F1320" i="1" s="1"/>
  <c r="D1321" i="1" s="1"/>
  <c r="F1321" i="1" s="1"/>
  <c r="E1322" i="1" s="1"/>
  <c r="F1322" i="1" s="1"/>
  <c r="E1323" i="1" s="1"/>
  <c r="F1323" i="1" s="1"/>
  <c r="E1324" i="1" s="1"/>
  <c r="F1324" i="1" s="1"/>
  <c r="E1325" i="1" s="1"/>
  <c r="F1325" i="1" s="1"/>
  <c r="D1326" i="1" s="1"/>
  <c r="F1326" i="1" s="1"/>
  <c r="D1327" i="1" s="1"/>
  <c r="F1327" i="1" s="1"/>
  <c r="D1328" i="1" s="1"/>
  <c r="F1328" i="1" s="1"/>
  <c r="D1329" i="1" s="1"/>
  <c r="F1329" i="1" s="1"/>
  <c r="D1330" i="1" s="1"/>
  <c r="F1330" i="1" s="1"/>
  <c r="E1331" i="1" s="1"/>
  <c r="F1331" i="1" s="1"/>
  <c r="E1332" i="1" s="1"/>
  <c r="F1332" i="1" s="1"/>
  <c r="D1333" i="1" s="1"/>
  <c r="F1333" i="1" s="1"/>
  <c r="E1334" i="1" s="1"/>
  <c r="F1334" i="1" s="1"/>
  <c r="D1335" i="1" s="1"/>
  <c r="F1335" i="1" s="1"/>
  <c r="D1336" i="1" s="1"/>
  <c r="F1336" i="1" s="1"/>
  <c r="E1337" i="1" s="1"/>
  <c r="F1337" i="1" s="1"/>
  <c r="D1338" i="1" s="1"/>
  <c r="F1338" i="1" s="1"/>
  <c r="D1339" i="1" s="1"/>
  <c r="F1339" i="1" s="1"/>
  <c r="D1340" i="1" s="1"/>
  <c r="F1340" i="1" s="1"/>
  <c r="E1341" i="1" s="1"/>
  <c r="F1341" i="1" s="1"/>
  <c r="E1342" i="1" s="1"/>
  <c r="F1342" i="1" s="1"/>
  <c r="D1343" i="1" s="1"/>
  <c r="F1343" i="1" s="1"/>
  <c r="E1344" i="1" s="1"/>
  <c r="F1344" i="1" s="1"/>
  <c r="D1345" i="1" s="1"/>
  <c r="F1345" i="1" s="1"/>
  <c r="D1346" i="1" s="1"/>
  <c r="F1346" i="1" s="1"/>
  <c r="E1347" i="1" s="1"/>
  <c r="F1347" i="1" s="1"/>
  <c r="D1348" i="1" s="1"/>
  <c r="F1348" i="1" s="1"/>
  <c r="D1349" i="1" s="1"/>
  <c r="F1349" i="1" s="1"/>
  <c r="D1350" i="1" s="1"/>
  <c r="F1350" i="1" s="1"/>
  <c r="E1351" i="1" s="1"/>
  <c r="F1351" i="1" s="1"/>
  <c r="E1352" i="1" s="1"/>
  <c r="F1352" i="1" s="1"/>
  <c r="D1353" i="1" s="1"/>
  <c r="F1353" i="1" s="1"/>
  <c r="D1354" i="1" s="1"/>
  <c r="F1354" i="1" s="1"/>
  <c r="D1355" i="1" s="1"/>
  <c r="F1355" i="1" s="1"/>
  <c r="D1356" i="1" s="1"/>
  <c r="F1356" i="1" s="1"/>
  <c r="D1357" i="1" s="1"/>
  <c r="F1357" i="1" s="1"/>
  <c r="E1358" i="1" s="1"/>
  <c r="F1358" i="1" s="1"/>
  <c r="E1359" i="1" s="1"/>
  <c r="F1359" i="1" s="1"/>
  <c r="E1360" i="1" s="1"/>
  <c r="F1360" i="1" s="1"/>
  <c r="D1361" i="1" s="1"/>
  <c r="F1361" i="1" s="1"/>
  <c r="D1362" i="1" s="1"/>
  <c r="F1362" i="1" s="1"/>
  <c r="D1363" i="1" s="1"/>
  <c r="F1363" i="1" s="1"/>
  <c r="D1364" i="1" s="1"/>
  <c r="F1364" i="1" s="1"/>
  <c r="E1365" i="1" s="1"/>
  <c r="F1365" i="1" s="1"/>
  <c r="D1366" i="1" s="1"/>
  <c r="F1366" i="1" s="1"/>
  <c r="D1367" i="1" s="1"/>
  <c r="F1367" i="1" s="1"/>
  <c r="E1368" i="1" s="1"/>
  <c r="F1368" i="1" s="1"/>
  <c r="E1369" i="1" s="1"/>
  <c r="F1369" i="1" s="1"/>
  <c r="E1370" i="1" s="1"/>
  <c r="F1370" i="1" s="1"/>
  <c r="E1371" i="1" s="1"/>
  <c r="F1371" i="1" s="1"/>
  <c r="D1372" i="1" s="1"/>
  <c r="F1372" i="1" s="1"/>
  <c r="D1373" i="1" s="1"/>
  <c r="F1373" i="1" s="1"/>
  <c r="E1374" i="1" s="1"/>
  <c r="F1374" i="1" s="1"/>
  <c r="D1375" i="1" s="1"/>
  <c r="F1375" i="1" s="1"/>
  <c r="E1376" i="1" s="1"/>
  <c r="F1376" i="1" s="1"/>
  <c r="E1377" i="1" s="1"/>
  <c r="F1377" i="1" s="1"/>
  <c r="D1378" i="1" s="1"/>
  <c r="F1378" i="1" s="1"/>
  <c r="E1379" i="1" s="1"/>
  <c r="F1379" i="1" s="1"/>
  <c r="E1380" i="1" s="1"/>
  <c r="F1380" i="1" s="1"/>
  <c r="D1381" i="1" s="1"/>
  <c r="F1381" i="1" s="1"/>
  <c r="D1382" i="1" s="1"/>
  <c r="F1382" i="1" s="1"/>
  <c r="E1383" i="1" s="1"/>
  <c r="F1383" i="1" s="1"/>
  <c r="E1384" i="1" s="1"/>
  <c r="F1384" i="1" s="1"/>
  <c r="D1385" i="1" s="1"/>
  <c r="F1385" i="1" s="1"/>
  <c r="D1386" i="1" s="1"/>
  <c r="F1386" i="1" s="1"/>
  <c r="D1387" i="1" s="1"/>
  <c r="F1387" i="1" s="1"/>
  <c r="E1388" i="1" s="1"/>
  <c r="F1388" i="1" s="1"/>
  <c r="D1389" i="1" s="1"/>
  <c r="F1389" i="1" s="1"/>
  <c r="E1390" i="1" s="1"/>
  <c r="F1390" i="1" s="1"/>
  <c r="D1391" i="1" s="1"/>
  <c r="F1391" i="1" s="1"/>
  <c r="E1392" i="1" s="1"/>
  <c r="F1392" i="1" s="1"/>
  <c r="E1393" i="1" s="1"/>
  <c r="F1393" i="1" s="1"/>
  <c r="E1394" i="1" s="1"/>
  <c r="F1394" i="1" s="1"/>
  <c r="D1395" i="1" s="1"/>
  <c r="F1395" i="1" s="1"/>
  <c r="E1396" i="1" s="1"/>
  <c r="F1396" i="1" s="1"/>
  <c r="D1397" i="1" s="1"/>
  <c r="F1397" i="1" s="1"/>
  <c r="D1398" i="1" s="1"/>
  <c r="F1398" i="1" s="1"/>
  <c r="D1399" i="1" s="1"/>
  <c r="F1399" i="1" s="1"/>
  <c r="D1400" i="1" s="1"/>
  <c r="F1400" i="1" s="1"/>
  <c r="D1401" i="1" s="1"/>
  <c r="F1401" i="1" s="1"/>
  <c r="E1402" i="1" s="1"/>
  <c r="F1402" i="1" s="1"/>
  <c r="D1403" i="1" s="1"/>
  <c r="F1403" i="1" s="1"/>
  <c r="D1404" i="1" s="1"/>
  <c r="F1404" i="1" s="1"/>
  <c r="E1405" i="1" s="1"/>
  <c r="F1405" i="1" s="1"/>
  <c r="E1406" i="1" s="1"/>
  <c r="F1406" i="1" s="1"/>
  <c r="E1407" i="1" s="1"/>
  <c r="F1407" i="1" s="1"/>
  <c r="E1408" i="1" s="1"/>
  <c r="F1408" i="1" s="1"/>
  <c r="D1409" i="1" s="1"/>
  <c r="F1409" i="1" s="1"/>
  <c r="E1410" i="1" s="1"/>
  <c r="F1410" i="1" s="1"/>
  <c r="D1411" i="1" s="1"/>
  <c r="F1411" i="1" s="1"/>
  <c r="D1412" i="1" s="1"/>
  <c r="F1412" i="1" s="1"/>
  <c r="E1413" i="1" s="1"/>
  <c r="F1413" i="1" s="1"/>
  <c r="D1414" i="1" s="1"/>
  <c r="F1414" i="1" s="1"/>
  <c r="D1415" i="1" s="1"/>
  <c r="F1415" i="1" s="1"/>
  <c r="D1416" i="1" s="1"/>
  <c r="F1416" i="1" s="1"/>
  <c r="E1417" i="1" s="1"/>
  <c r="F1417" i="1" s="1"/>
  <c r="D1418" i="1" s="1"/>
  <c r="F1418" i="1" s="1"/>
  <c r="D1419" i="1" s="1"/>
  <c r="F1419" i="1" s="1"/>
  <c r="D1420" i="1" s="1"/>
  <c r="F1420" i="1" s="1"/>
  <c r="E1421" i="1" s="1"/>
  <c r="F1421" i="1" s="1"/>
  <c r="E1422" i="1" s="1"/>
  <c r="F1422" i="1" s="1"/>
  <c r="E1423" i="1" s="1"/>
  <c r="F1423" i="1" s="1"/>
  <c r="D1424" i="1" s="1"/>
  <c r="F1424" i="1" s="1"/>
  <c r="D1425" i="1" s="1"/>
  <c r="F1425" i="1" s="1"/>
  <c r="D1426" i="1" s="1"/>
  <c r="F1426" i="1" s="1"/>
  <c r="E1427" i="1" s="1"/>
  <c r="F1427" i="1" s="1"/>
  <c r="E1428" i="1" s="1"/>
  <c r="F1428" i="1" s="1"/>
  <c r="E1429" i="1" s="1"/>
  <c r="F1429" i="1" s="1"/>
  <c r="E1430" i="1" s="1"/>
  <c r="F1430" i="1" s="1"/>
  <c r="E1431" i="1" s="1"/>
  <c r="F1431" i="1" s="1"/>
  <c r="E1432" i="1" s="1"/>
  <c r="F1432" i="1" s="1"/>
  <c r="E1433" i="1" s="1"/>
  <c r="F1433" i="1" s="1"/>
  <c r="E1434" i="1" s="1"/>
  <c r="F1434" i="1" s="1"/>
  <c r="E1435" i="1" s="1"/>
  <c r="F1435" i="1" s="1"/>
  <c r="E1436" i="1" s="1"/>
  <c r="F1436" i="1" s="1"/>
  <c r="E1437" i="1" s="1"/>
  <c r="F1437" i="1" s="1"/>
  <c r="D1438" i="1" s="1"/>
  <c r="F1438" i="1" s="1"/>
  <c r="E1439" i="1" s="1"/>
  <c r="F1439" i="1" s="1"/>
  <c r="E1440" i="1" s="1"/>
  <c r="F1440" i="1" s="1"/>
  <c r="D1441" i="1" s="1"/>
  <c r="F1441" i="1" s="1"/>
  <c r="D1442" i="1" s="1"/>
  <c r="F1442" i="1" s="1"/>
  <c r="E1443" i="1" s="1"/>
  <c r="F1443" i="1" s="1"/>
  <c r="D1444" i="1" s="1"/>
  <c r="F1444" i="1" s="1"/>
  <c r="E1445" i="1" s="1"/>
  <c r="F1445" i="1" s="1"/>
  <c r="E1446" i="1" s="1"/>
  <c r="F1446" i="1" s="1"/>
  <c r="D1447" i="1" s="1"/>
  <c r="F1447" i="1" s="1"/>
  <c r="D1448" i="1" s="1"/>
  <c r="F1448" i="1" s="1"/>
  <c r="E1449" i="1" s="1"/>
  <c r="F1449" i="1" s="1"/>
  <c r="E1450" i="1" s="1"/>
  <c r="F1450" i="1" s="1"/>
  <c r="D1451" i="1" s="1"/>
  <c r="F1451" i="1" s="1"/>
  <c r="D1452" i="1" s="1"/>
  <c r="F1452" i="1" s="1"/>
  <c r="D1453" i="1" s="1"/>
  <c r="F1453" i="1" s="1"/>
  <c r="D1454" i="1" s="1"/>
  <c r="F1454" i="1" s="1"/>
  <c r="D1455" i="1" s="1"/>
  <c r="F1455" i="1" s="1"/>
  <c r="D1456" i="1" s="1"/>
  <c r="F1456" i="1" s="1"/>
  <c r="E1457" i="1" s="1"/>
  <c r="F1457" i="1" s="1"/>
  <c r="D1458" i="1" s="1"/>
  <c r="F1458" i="1" s="1"/>
  <c r="D1459" i="1" s="1"/>
  <c r="F1459" i="1" s="1"/>
  <c r="D1460" i="1" s="1"/>
  <c r="F1460" i="1" s="1"/>
  <c r="E1461" i="1" s="1"/>
  <c r="F1461" i="1" s="1"/>
  <c r="E1462" i="1" s="1"/>
  <c r="F1462" i="1" s="1"/>
  <c r="E1463" i="1" s="1"/>
  <c r="F1463" i="1" s="1"/>
  <c r="E1464" i="1" s="1"/>
  <c r="F1464" i="1" s="1"/>
  <c r="E1465" i="1" s="1"/>
  <c r="F1465" i="1" s="1"/>
  <c r="E1466" i="1" s="1"/>
  <c r="F1466" i="1" s="1"/>
  <c r="D1467" i="1" s="1"/>
  <c r="F1467" i="1" s="1"/>
  <c r="E1468" i="1" s="1"/>
  <c r="F1468" i="1" s="1"/>
  <c r="D1469" i="1" s="1"/>
  <c r="F1469" i="1" s="1"/>
  <c r="D1470" i="1" s="1"/>
  <c r="F1470" i="1" s="1"/>
  <c r="D1471" i="1" s="1"/>
  <c r="F1471" i="1" s="1"/>
  <c r="D1472" i="1" s="1"/>
  <c r="F1472" i="1" s="1"/>
  <c r="D1473" i="1" s="1"/>
  <c r="F1473" i="1" s="1"/>
  <c r="E1474" i="1" s="1"/>
  <c r="F1474" i="1" s="1"/>
  <c r="E1475" i="1" s="1"/>
  <c r="F1475" i="1" s="1"/>
  <c r="D1476" i="1" s="1"/>
  <c r="F1476" i="1" s="1"/>
  <c r="D1477" i="1" s="1"/>
  <c r="F1477" i="1" s="1"/>
  <c r="E1478" i="1" s="1"/>
  <c r="F1478" i="1" s="1"/>
  <c r="D1479" i="1" s="1"/>
  <c r="F1479" i="1" s="1"/>
  <c r="E1480" i="1" s="1"/>
  <c r="F1480" i="1" s="1"/>
  <c r="D1481" i="1" s="1"/>
  <c r="F1481" i="1" s="1"/>
  <c r="D1482" i="1" s="1"/>
  <c r="F1482" i="1" s="1"/>
  <c r="E1483" i="1" s="1"/>
  <c r="F1483" i="1" s="1"/>
  <c r="E1484" i="1" s="1"/>
  <c r="F1484" i="1" s="1"/>
  <c r="D1485" i="1" s="1"/>
  <c r="F1485" i="1" s="1"/>
  <c r="D1486" i="1" s="1"/>
  <c r="F1486" i="1" s="1"/>
  <c r="E1487" i="1" s="1"/>
  <c r="F1487" i="1" s="1"/>
  <c r="D1488" i="1" s="1"/>
  <c r="F1488" i="1" s="1"/>
  <c r="D1489" i="1" s="1"/>
  <c r="F1489" i="1" s="1"/>
  <c r="E1490" i="1" s="1"/>
  <c r="F1490" i="1" s="1"/>
  <c r="E1491" i="1" s="1"/>
  <c r="F1491" i="1" s="1"/>
  <c r="E1492" i="1" s="1"/>
  <c r="F1492" i="1" s="1"/>
  <c r="E1493" i="1" s="1"/>
  <c r="F1493" i="1" s="1"/>
  <c r="E1494" i="1" s="1"/>
  <c r="F1494" i="1" s="1"/>
  <c r="D1495" i="1" s="1"/>
  <c r="F1495" i="1" s="1"/>
  <c r="E1496" i="1" s="1"/>
  <c r="F1496" i="1" s="1"/>
  <c r="E1497" i="1" s="1"/>
  <c r="F1497" i="1" s="1"/>
  <c r="E1498" i="1" s="1"/>
  <c r="F1498" i="1" s="1"/>
  <c r="D1499" i="1" s="1"/>
  <c r="F1499" i="1" s="1"/>
  <c r="D1500" i="1" s="1"/>
  <c r="F1500" i="1" s="1"/>
  <c r="D1501" i="1" s="1"/>
  <c r="F1501" i="1" s="1"/>
  <c r="D1502" i="1" s="1"/>
  <c r="F1502" i="1" s="1"/>
  <c r="E1503" i="1" s="1"/>
  <c r="F1503" i="1" s="1"/>
  <c r="E1504" i="1" s="1"/>
  <c r="F1504" i="1" s="1"/>
  <c r="E1505" i="1" s="1"/>
  <c r="F1505" i="1" s="1"/>
  <c r="E1506" i="1" s="1"/>
  <c r="F1506" i="1" s="1"/>
  <c r="D1507" i="1" s="1"/>
  <c r="F1507" i="1" s="1"/>
  <c r="E1508" i="1" s="1"/>
  <c r="F1508" i="1" s="1"/>
  <c r="E1509" i="1" s="1"/>
  <c r="F1509" i="1" s="1"/>
  <c r="D1510" i="1" s="1"/>
  <c r="F1510" i="1" s="1"/>
  <c r="E1511" i="1" s="1"/>
  <c r="F1511" i="1" s="1"/>
  <c r="D1512" i="1" s="1"/>
  <c r="F1512" i="1" s="1"/>
  <c r="D1513" i="1" s="1"/>
  <c r="F1513" i="1" s="1"/>
  <c r="D1514" i="1" s="1"/>
  <c r="F1514" i="1" s="1"/>
  <c r="E1515" i="1" s="1"/>
  <c r="F1515" i="1" s="1"/>
  <c r="D1516" i="1" s="1"/>
  <c r="F1516" i="1" s="1"/>
  <c r="D1517" i="1" s="1"/>
  <c r="F1517" i="1" s="1"/>
  <c r="E1518" i="1" s="1"/>
  <c r="F1518" i="1" s="1"/>
  <c r="D1519" i="1" s="1"/>
  <c r="F1519" i="1" s="1"/>
  <c r="E1520" i="1" s="1"/>
  <c r="F1520" i="1" s="1"/>
  <c r="E1521" i="1" s="1"/>
  <c r="F1521" i="1" s="1"/>
  <c r="D1522" i="1" s="1"/>
  <c r="F1522" i="1" s="1"/>
  <c r="E1523" i="1" s="1"/>
  <c r="F1523" i="1" s="1"/>
  <c r="D1524" i="1" s="1"/>
  <c r="F1524" i="1" s="1"/>
  <c r="D1525" i="1" s="1"/>
  <c r="F1525" i="1" s="1"/>
  <c r="E1526" i="1" s="1"/>
  <c r="F1526" i="1" s="1"/>
  <c r="E1527" i="1" s="1"/>
  <c r="F1527" i="1" s="1"/>
  <c r="E1528" i="1" s="1"/>
  <c r="F1528" i="1" s="1"/>
  <c r="E1529" i="1" s="1"/>
  <c r="F1529" i="1" s="1"/>
  <c r="E1530" i="1" s="1"/>
  <c r="F1530" i="1" s="1"/>
  <c r="D1531" i="1" s="1"/>
  <c r="F1531" i="1" s="1"/>
  <c r="E1532" i="1" s="1"/>
  <c r="F1532" i="1" s="1"/>
  <c r="E1533" i="1" s="1"/>
  <c r="F1533" i="1" s="1"/>
  <c r="E1534" i="1" s="1"/>
  <c r="F1534" i="1" s="1"/>
  <c r="D1535" i="1" s="1"/>
  <c r="F1535" i="1" s="1"/>
  <c r="D1536" i="1" s="1"/>
  <c r="F1536" i="1" s="1"/>
  <c r="E1537" i="1" s="1"/>
  <c r="F1537" i="1" s="1"/>
  <c r="E1538" i="1" s="1"/>
  <c r="F1538" i="1" s="1"/>
  <c r="E1539" i="1" s="1"/>
  <c r="F1539" i="1" s="1"/>
  <c r="D1540" i="1" s="1"/>
  <c r="F1540" i="1" s="1"/>
  <c r="E1541" i="1" s="1"/>
  <c r="F1541" i="1" s="1"/>
  <c r="E1542" i="1" s="1"/>
  <c r="F1542" i="1" s="1"/>
  <c r="D1543" i="1" s="1"/>
  <c r="F1543" i="1" s="1"/>
  <c r="D1544" i="1" s="1"/>
  <c r="F1544" i="1" s="1"/>
  <c r="D1545" i="1" s="1"/>
  <c r="F1545" i="1" s="1"/>
  <c r="D1546" i="1" s="1"/>
  <c r="F1546" i="1" s="1"/>
  <c r="D1547" i="1" s="1"/>
  <c r="F1547" i="1" s="1"/>
  <c r="D1548" i="1" s="1"/>
  <c r="F1548" i="1" s="1"/>
  <c r="D1549" i="1" s="1"/>
  <c r="F1549" i="1" s="1"/>
  <c r="D1550" i="1" s="1"/>
  <c r="F1550" i="1" s="1"/>
  <c r="E1551" i="1" s="1"/>
  <c r="F1551" i="1" s="1"/>
  <c r="D1552" i="1" s="1"/>
  <c r="F1552" i="1" s="1"/>
  <c r="D1553" i="1" s="1"/>
  <c r="F1553" i="1" s="1"/>
  <c r="D1554" i="1" s="1"/>
  <c r="F1554" i="1" s="1"/>
  <c r="E1555" i="1" s="1"/>
  <c r="F1555" i="1" s="1"/>
  <c r="E1556" i="1" s="1"/>
  <c r="F1556" i="1" s="1"/>
  <c r="E1557" i="1" s="1"/>
  <c r="F1557" i="1" s="1"/>
  <c r="E1558" i="1" s="1"/>
  <c r="F1558" i="1" s="1"/>
  <c r="D1559" i="1" s="1"/>
  <c r="F1559" i="1" s="1"/>
  <c r="E1560" i="1" s="1"/>
  <c r="F1560" i="1" s="1"/>
  <c r="E1561" i="1" s="1"/>
  <c r="F1561" i="1" s="1"/>
  <c r="E1562" i="1" s="1"/>
  <c r="F1562" i="1" s="1"/>
  <c r="D1563" i="1" s="1"/>
  <c r="F1563" i="1" s="1"/>
  <c r="E1564" i="1" s="1"/>
  <c r="F1564" i="1" s="1"/>
  <c r="D1565" i="1" s="1"/>
  <c r="F1565" i="1" s="1"/>
  <c r="E1566" i="1" s="1"/>
  <c r="F1566" i="1" s="1"/>
  <c r="E1567" i="1" s="1"/>
  <c r="F1567" i="1" s="1"/>
  <c r="D1568" i="1" s="1"/>
  <c r="F1568" i="1" s="1"/>
  <c r="D1569" i="1" s="1"/>
  <c r="F1569" i="1" s="1"/>
  <c r="E1570" i="1" s="1"/>
  <c r="F1570" i="1" s="1"/>
  <c r="E1571" i="1" s="1"/>
  <c r="F1571" i="1" s="1"/>
  <c r="D1572" i="1" s="1"/>
  <c r="F1572" i="1" s="1"/>
  <c r="D1573" i="1" s="1"/>
  <c r="F1573" i="1" s="1"/>
  <c r="E1574" i="1" s="1"/>
  <c r="F1574" i="1" s="1"/>
  <c r="D1575" i="1" s="1"/>
  <c r="F1575" i="1" s="1"/>
  <c r="E1576" i="1" s="1"/>
  <c r="F1576" i="1" s="1"/>
  <c r="D1577" i="1" s="1"/>
  <c r="F1577" i="1" s="1"/>
  <c r="E1578" i="1" s="1"/>
  <c r="F1578" i="1" s="1"/>
  <c r="E1579" i="1" s="1"/>
  <c r="F1579" i="1" s="1"/>
  <c r="E1580" i="1" s="1"/>
  <c r="F1580" i="1" s="1"/>
  <c r="D1581" i="1" s="1"/>
  <c r="F1581" i="1" s="1"/>
  <c r="E1582" i="1" s="1"/>
  <c r="F1582" i="1" s="1"/>
  <c r="D1583" i="1" s="1"/>
  <c r="F1583" i="1" s="1"/>
  <c r="E1584" i="1" s="1"/>
  <c r="F1584" i="1" s="1"/>
  <c r="E1585" i="1" s="1"/>
  <c r="F1585" i="1" s="1"/>
  <c r="E1586" i="1" s="1"/>
  <c r="F1586" i="1" s="1"/>
  <c r="D1587" i="1" s="1"/>
  <c r="F1587" i="1" s="1"/>
  <c r="E1588" i="1" s="1"/>
  <c r="F1588" i="1" s="1"/>
  <c r="E1589" i="1" s="1"/>
  <c r="F1589" i="1" s="1"/>
  <c r="D1590" i="1" s="1"/>
  <c r="F1590" i="1" s="1"/>
  <c r="E1591" i="1" s="1"/>
  <c r="F1591" i="1" s="1"/>
  <c r="E1592" i="1" s="1"/>
  <c r="F1592" i="1" s="1"/>
  <c r="D1593" i="1" s="1"/>
  <c r="F1593" i="1" s="1"/>
  <c r="D1594" i="1" s="1"/>
  <c r="F1594" i="1" s="1"/>
  <c r="E1595" i="1" s="1"/>
  <c r="F1595" i="1" s="1"/>
  <c r="E1596" i="1" s="1"/>
  <c r="F1596" i="1" s="1"/>
  <c r="E1597" i="1" s="1"/>
  <c r="F1597" i="1" s="1"/>
  <c r="D1598" i="1" s="1"/>
  <c r="F1598" i="1" s="1"/>
  <c r="E1599" i="1" s="1"/>
  <c r="F1599" i="1" s="1"/>
  <c r="D1600" i="1" s="1"/>
  <c r="F1600" i="1" s="1"/>
  <c r="E1601" i="1" s="1"/>
  <c r="F1601" i="1" s="1"/>
  <c r="D1602" i="1" s="1"/>
  <c r="F1602" i="1" s="1"/>
  <c r="E1603" i="1" s="1"/>
  <c r="F1603" i="1" s="1"/>
  <c r="D1604" i="1" s="1"/>
  <c r="F1604" i="1" s="1"/>
  <c r="D1605" i="1" s="1"/>
  <c r="F1605" i="1" s="1"/>
  <c r="D1606" i="1" s="1"/>
  <c r="F1606" i="1" s="1"/>
  <c r="E1607" i="1" s="1"/>
  <c r="F1607" i="1" s="1"/>
  <c r="D1608" i="1" s="1"/>
  <c r="F1608" i="1" s="1"/>
  <c r="D1609" i="1" s="1"/>
  <c r="F1609" i="1" s="1"/>
  <c r="E1610" i="1" s="1"/>
  <c r="F1610" i="1" s="1"/>
  <c r="E1611" i="1" s="1"/>
  <c r="F1611" i="1" s="1"/>
  <c r="E1612" i="1" s="1"/>
  <c r="F1612" i="1" s="1"/>
  <c r="D1613" i="1" s="1"/>
  <c r="F1613" i="1" s="1"/>
  <c r="E1614" i="1" s="1"/>
  <c r="F1614" i="1" s="1"/>
  <c r="E1615" i="1" s="1"/>
  <c r="F1615" i="1" s="1"/>
  <c r="E1616" i="1" s="1"/>
  <c r="F1616" i="1" s="1"/>
  <c r="E1617" i="1" s="1"/>
  <c r="F1617" i="1" s="1"/>
  <c r="D1618" i="1" s="1"/>
  <c r="F1618" i="1" s="1"/>
  <c r="E1619" i="1" s="1"/>
  <c r="F1619" i="1" s="1"/>
  <c r="E1620" i="1" s="1"/>
  <c r="F1620" i="1" s="1"/>
  <c r="D1621" i="1" s="1"/>
  <c r="F1621" i="1" s="1"/>
  <c r="E1622" i="1" s="1"/>
  <c r="F1622" i="1" s="1"/>
  <c r="E1623" i="1" s="1"/>
  <c r="F1623" i="1" s="1"/>
  <c r="E1624" i="1" s="1"/>
  <c r="F1624" i="1" s="1"/>
  <c r="D1625" i="1" s="1"/>
  <c r="F1625" i="1" s="1"/>
  <c r="E1626" i="1" s="1"/>
  <c r="F1626" i="1" s="1"/>
  <c r="E1627" i="1" s="1"/>
  <c r="F1627" i="1" s="1"/>
  <c r="D1628" i="1" s="1"/>
  <c r="F1628" i="1" s="1"/>
  <c r="E1629" i="1" s="1"/>
  <c r="F1629" i="1" s="1"/>
  <c r="E1630" i="1" s="1"/>
  <c r="F1630" i="1" s="1"/>
  <c r="D1631" i="1" s="1"/>
  <c r="F1631" i="1" s="1"/>
  <c r="D1632" i="1" s="1"/>
  <c r="F1632" i="1" s="1"/>
  <c r="E1633" i="1" s="1"/>
  <c r="F1633" i="1" s="1"/>
  <c r="E1634" i="1" s="1"/>
  <c r="F1634" i="1" s="1"/>
  <c r="E1635" i="1" s="1"/>
  <c r="F1635" i="1" s="1"/>
  <c r="D1636" i="1" s="1"/>
  <c r="F1636" i="1" s="1"/>
  <c r="D1637" i="1" s="1"/>
  <c r="F1637" i="1" s="1"/>
  <c r="D1638" i="1" s="1"/>
  <c r="F1638" i="1" s="1"/>
  <c r="E1639" i="1" s="1"/>
  <c r="F1639" i="1" s="1"/>
  <c r="E1640" i="1" s="1"/>
  <c r="F1640" i="1" s="1"/>
  <c r="D1641" i="1" s="1"/>
  <c r="F1641" i="1" s="1"/>
  <c r="D1642" i="1" s="1"/>
  <c r="F1642" i="1" s="1"/>
  <c r="D1643" i="1" s="1"/>
  <c r="F1643" i="1" s="1"/>
  <c r="D1644" i="1" s="1"/>
  <c r="F1644" i="1" s="1"/>
  <c r="D1645" i="1" s="1"/>
  <c r="F1645" i="1" s="1"/>
  <c r="E1646" i="1" s="1"/>
  <c r="F1646" i="1" s="1"/>
  <c r="E1647" i="1" s="1"/>
  <c r="F1647" i="1" s="1"/>
  <c r="D1648" i="1" s="1"/>
  <c r="F1648" i="1" s="1"/>
  <c r="D1649" i="1" s="1"/>
  <c r="F1649" i="1" s="1"/>
  <c r="D1650" i="1" s="1"/>
  <c r="F1650" i="1" s="1"/>
  <c r="D1651" i="1" s="1"/>
  <c r="F1651" i="1" s="1"/>
  <c r="D1652" i="1" s="1"/>
  <c r="F1652" i="1" s="1"/>
  <c r="D1653" i="1" s="1"/>
  <c r="F1653" i="1" s="1"/>
  <c r="E1654" i="1" s="1"/>
  <c r="F1654" i="1" s="1"/>
  <c r="D1655" i="1" s="1"/>
  <c r="F1655" i="1" s="1"/>
  <c r="E1656" i="1" s="1"/>
  <c r="F1656" i="1" s="1"/>
  <c r="E1657" i="1" s="1"/>
  <c r="F1657" i="1" s="1"/>
  <c r="E1658" i="1" s="1"/>
  <c r="F1658" i="1" s="1"/>
  <c r="E1659" i="1" s="1"/>
  <c r="F1659" i="1" s="1"/>
  <c r="D1660" i="1" s="1"/>
  <c r="F1660" i="1" s="1"/>
  <c r="E1661" i="1" s="1"/>
  <c r="F1661" i="1" s="1"/>
  <c r="D1662" i="1" s="1"/>
  <c r="F1662" i="1" s="1"/>
  <c r="E1663" i="1" s="1"/>
  <c r="F1663" i="1" s="1"/>
  <c r="E1664" i="1" s="1"/>
  <c r="F1664" i="1" s="1"/>
  <c r="D1665" i="1" s="1"/>
  <c r="F1665" i="1" s="1"/>
  <c r="D1666" i="1" s="1"/>
  <c r="F1666" i="1" s="1"/>
  <c r="D1667" i="1" s="1"/>
  <c r="F1667" i="1" s="1"/>
  <c r="D1668" i="1" s="1"/>
  <c r="F1668" i="1" s="1"/>
  <c r="D1669" i="1" s="1"/>
  <c r="F1669" i="1" s="1"/>
  <c r="D1670" i="1" s="1"/>
  <c r="F1670" i="1" s="1"/>
  <c r="D1671" i="1" s="1"/>
  <c r="F1671" i="1" s="1"/>
  <c r="E1672" i="1" s="1"/>
  <c r="F1672" i="1" s="1"/>
  <c r="E1673" i="1" s="1"/>
  <c r="F1673" i="1" s="1"/>
  <c r="E1674" i="1" s="1"/>
  <c r="F1674" i="1" s="1"/>
  <c r="D1675" i="1" s="1"/>
  <c r="F1675" i="1" s="1"/>
  <c r="E1676" i="1" s="1"/>
  <c r="F1676" i="1" s="1"/>
  <c r="E1677" i="1" s="1"/>
  <c r="F1677" i="1" s="1"/>
  <c r="D1678" i="1" s="1"/>
  <c r="F1678" i="1" s="1"/>
  <c r="E1679" i="1" s="1"/>
  <c r="F1679" i="1" s="1"/>
  <c r="E1680" i="1" s="1"/>
  <c r="F1680" i="1" s="1"/>
  <c r="E1681" i="1" s="1"/>
  <c r="F1681" i="1" s="1"/>
  <c r="E1682" i="1" s="1"/>
  <c r="F1682" i="1" s="1"/>
  <c r="E1683" i="1" s="1"/>
  <c r="F1683" i="1" s="1"/>
  <c r="D1684" i="1" s="1"/>
  <c r="F1684" i="1" s="1"/>
  <c r="E1685" i="1" s="1"/>
  <c r="F1685" i="1" s="1"/>
  <c r="D1686" i="1" s="1"/>
  <c r="F1686" i="1" s="1"/>
  <c r="D1687" i="1" s="1"/>
  <c r="F1687" i="1" s="1"/>
  <c r="D1688" i="1" s="1"/>
  <c r="F1688" i="1" s="1"/>
  <c r="E1689" i="1" s="1"/>
  <c r="F1689" i="1" s="1"/>
  <c r="E1690" i="1" s="1"/>
  <c r="F1690" i="1" s="1"/>
  <c r="E1691" i="1" s="1"/>
  <c r="F1691" i="1" s="1"/>
  <c r="E1692" i="1" s="1"/>
  <c r="F1692" i="1" s="1"/>
  <c r="D1693" i="1" s="1"/>
  <c r="F1693" i="1" s="1"/>
  <c r="D1694" i="1" s="1"/>
  <c r="F1694" i="1" s="1"/>
  <c r="D1695" i="1" s="1"/>
  <c r="F1695" i="1" s="1"/>
  <c r="D1696" i="1" s="1"/>
  <c r="F1696" i="1" s="1"/>
  <c r="D1697" i="1" s="1"/>
  <c r="F1697" i="1" s="1"/>
  <c r="D1698" i="1" s="1"/>
  <c r="F1698" i="1" s="1"/>
  <c r="E1699" i="1" s="1"/>
  <c r="F1699" i="1" s="1"/>
  <c r="D1700" i="1" s="1"/>
  <c r="F1700" i="1" s="1"/>
  <c r="E1701" i="1" s="1"/>
  <c r="F1701" i="1" s="1"/>
  <c r="E1702" i="1" s="1"/>
  <c r="F1702" i="1" s="1"/>
  <c r="E1703" i="1" s="1"/>
  <c r="F1703" i="1" s="1"/>
  <c r="D1704" i="1" s="1"/>
  <c r="F1704" i="1" s="1"/>
  <c r="D1705" i="1" s="1"/>
  <c r="F1705" i="1" s="1"/>
  <c r="E1706" i="1" s="1"/>
  <c r="F1706" i="1" s="1"/>
  <c r="D1707" i="1" s="1"/>
  <c r="F1707" i="1" s="1"/>
  <c r="E1708" i="1" s="1"/>
  <c r="F1708" i="1" s="1"/>
  <c r="E1709" i="1" s="1"/>
  <c r="F1709" i="1" s="1"/>
  <c r="D1710" i="1" s="1"/>
  <c r="F1710" i="1" s="1"/>
  <c r="D1711" i="1" s="1"/>
  <c r="F1711" i="1" s="1"/>
  <c r="D1712" i="1" s="1"/>
  <c r="F1712" i="1" s="1"/>
  <c r="E1713" i="1" s="1"/>
  <c r="F1713" i="1" s="1"/>
  <c r="E1714" i="1" s="1"/>
  <c r="F1714" i="1" s="1"/>
  <c r="D1715" i="1" s="1"/>
  <c r="F1715" i="1" s="1"/>
  <c r="E1716" i="1" s="1"/>
  <c r="F1716" i="1" s="1"/>
  <c r="E1717" i="1" s="1"/>
  <c r="F1717" i="1" s="1"/>
  <c r="E1718" i="1" s="1"/>
  <c r="F1718" i="1" s="1"/>
  <c r="D1719" i="1" s="1"/>
  <c r="F1719" i="1" s="1"/>
  <c r="E1720" i="1" s="1"/>
  <c r="F1720" i="1" s="1"/>
  <c r="E1721" i="1" s="1"/>
  <c r="F1721" i="1" s="1"/>
  <c r="D1722" i="1" s="1"/>
  <c r="F1722" i="1" s="1"/>
  <c r="E1723" i="1" s="1"/>
  <c r="F1723" i="1" s="1"/>
  <c r="D1724" i="1" s="1"/>
  <c r="F1724" i="1" s="1"/>
  <c r="E1725" i="1" s="1"/>
  <c r="F1725" i="1" s="1"/>
  <c r="D1726" i="1" s="1"/>
  <c r="F1726" i="1" s="1"/>
  <c r="D1727" i="1" s="1"/>
  <c r="F1727" i="1" s="1"/>
  <c r="D1728" i="1" s="1"/>
  <c r="F1728" i="1" s="1"/>
  <c r="D1729" i="1" s="1"/>
  <c r="F1729" i="1" s="1"/>
  <c r="D1730" i="1" s="1"/>
  <c r="F1730" i="1" s="1"/>
  <c r="D1731" i="1" s="1"/>
  <c r="F1731" i="1" s="1"/>
  <c r="D1732" i="1" s="1"/>
  <c r="F1732" i="1" s="1"/>
  <c r="E1733" i="1" s="1"/>
  <c r="F1733" i="1" s="1"/>
  <c r="E1734" i="1" s="1"/>
  <c r="F1734" i="1" s="1"/>
  <c r="D1735" i="1" s="1"/>
  <c r="F1735" i="1" s="1"/>
  <c r="E1736" i="1" s="1"/>
  <c r="F1736" i="1" s="1"/>
  <c r="E1737" i="1" s="1"/>
  <c r="F1737" i="1" s="1"/>
  <c r="D1738" i="1" s="1"/>
  <c r="F1738" i="1" s="1"/>
  <c r="D1739" i="1" s="1"/>
  <c r="F1739" i="1" s="1"/>
  <c r="D1740" i="1" s="1"/>
  <c r="F1740" i="1" s="1"/>
  <c r="E1741" i="1" s="1"/>
  <c r="F1741" i="1" s="1"/>
  <c r="D1742" i="1" s="1"/>
  <c r="F1742" i="1" s="1"/>
  <c r="D1743" i="1" s="1"/>
  <c r="F1743" i="1" s="1"/>
  <c r="D1744" i="1" s="1"/>
  <c r="F1744" i="1" s="1"/>
  <c r="E1745" i="1" s="1"/>
  <c r="F1745" i="1" s="1"/>
  <c r="D1746" i="1" s="1"/>
  <c r="F1746" i="1" s="1"/>
  <c r="D1747" i="1" s="1"/>
  <c r="F1747" i="1" s="1"/>
  <c r="D1748" i="1" s="1"/>
  <c r="F1748" i="1" s="1"/>
  <c r="E1749" i="1" s="1"/>
  <c r="F1749" i="1" s="1"/>
  <c r="E1750" i="1" s="1"/>
  <c r="F1750" i="1" s="1"/>
  <c r="E1751" i="1" s="1"/>
  <c r="F1751" i="1" s="1"/>
  <c r="D1752" i="1" s="1"/>
  <c r="F1752" i="1" s="1"/>
  <c r="E1753" i="1" s="1"/>
  <c r="F1753" i="1" s="1"/>
  <c r="E1754" i="1" s="1"/>
  <c r="F1754" i="1" s="1"/>
  <c r="D1755" i="1" s="1"/>
  <c r="F1755" i="1" s="1"/>
  <c r="E1756" i="1" s="1"/>
  <c r="F1756" i="1" s="1"/>
  <c r="D1757" i="1" s="1"/>
  <c r="F1757" i="1" s="1"/>
  <c r="D1758" i="1" s="1"/>
  <c r="F1758" i="1" s="1"/>
  <c r="E1759" i="1" s="1"/>
  <c r="F1759" i="1" s="1"/>
  <c r="E1760" i="1" s="1"/>
  <c r="F1760" i="1" s="1"/>
  <c r="E1761" i="1" s="1"/>
  <c r="F1761" i="1" s="1"/>
  <c r="D1762" i="1" s="1"/>
  <c r="F1762" i="1" s="1"/>
  <c r="D1763" i="1" s="1"/>
  <c r="F1763" i="1" s="1"/>
  <c r="E1764" i="1" s="1"/>
  <c r="F1764" i="1" s="1"/>
  <c r="D1765" i="1" s="1"/>
  <c r="F1765" i="1" s="1"/>
  <c r="E1766" i="1" s="1"/>
  <c r="F1766" i="1" s="1"/>
  <c r="D1767" i="1" s="1"/>
  <c r="F1767" i="1" s="1"/>
  <c r="E1768" i="1" s="1"/>
  <c r="F1768" i="1" s="1"/>
  <c r="E1769" i="1" s="1"/>
  <c r="F1769" i="1" s="1"/>
  <c r="D1770" i="1" s="1"/>
  <c r="F1770" i="1" s="1"/>
  <c r="D1771" i="1" s="1"/>
  <c r="F1771" i="1" s="1"/>
  <c r="D1772" i="1" s="1"/>
  <c r="F1772" i="1" s="1"/>
  <c r="D1773" i="1" s="1"/>
  <c r="F1773" i="1" s="1"/>
  <c r="E1774" i="1" s="1"/>
  <c r="F1774" i="1" s="1"/>
  <c r="E1775" i="1" s="1"/>
  <c r="F1775" i="1" s="1"/>
  <c r="D1776" i="1" s="1"/>
  <c r="F1776" i="1" s="1"/>
  <c r="E1777" i="1" s="1"/>
  <c r="F1777" i="1" s="1"/>
  <c r="E1778" i="1" s="1"/>
  <c r="F1778" i="1" s="1"/>
  <c r="E1779" i="1" s="1"/>
  <c r="F1779" i="1" s="1"/>
  <c r="D1780" i="1" s="1"/>
  <c r="F1780" i="1" s="1"/>
  <c r="D1781" i="1" s="1"/>
  <c r="F1781" i="1" s="1"/>
  <c r="E1782" i="1" s="1"/>
  <c r="F1782" i="1" s="1"/>
  <c r="E1783" i="1" s="1"/>
  <c r="F1783" i="1" s="1"/>
  <c r="D1784" i="1" s="1"/>
  <c r="F1784" i="1" s="1"/>
  <c r="D1785" i="1" s="1"/>
  <c r="F1785" i="1" s="1"/>
  <c r="E1786" i="1" s="1"/>
  <c r="F1786" i="1" s="1"/>
  <c r="D1787" i="1" s="1"/>
  <c r="F1787" i="1" s="1"/>
  <c r="D1788" i="1" s="1"/>
  <c r="F1788" i="1" s="1"/>
  <c r="D1789" i="1" s="1"/>
  <c r="F1789" i="1" s="1"/>
  <c r="D1790" i="1" s="1"/>
  <c r="F1790" i="1" s="1"/>
  <c r="D1791" i="1" s="1"/>
  <c r="F1791" i="1" s="1"/>
  <c r="D1792" i="1" s="1"/>
  <c r="F1792" i="1" s="1"/>
  <c r="D1793" i="1" s="1"/>
  <c r="F1793" i="1" s="1"/>
  <c r="E1794" i="1" s="1"/>
  <c r="F1794" i="1" s="1"/>
  <c r="E1795" i="1" s="1"/>
  <c r="F1795" i="1" s="1"/>
  <c r="D1796" i="1" s="1"/>
  <c r="F1796" i="1" s="1"/>
  <c r="E1797" i="1" s="1"/>
  <c r="F1797" i="1" s="1"/>
  <c r="E1798" i="1" s="1"/>
  <c r="F1798" i="1" s="1"/>
  <c r="D1799" i="1" s="1"/>
  <c r="F1799" i="1" s="1"/>
  <c r="D1800" i="1" s="1"/>
  <c r="F1800" i="1" s="1"/>
  <c r="D1801" i="1" s="1"/>
  <c r="F1801" i="1" s="1"/>
  <c r="D1802" i="1" s="1"/>
  <c r="F1802" i="1" s="1"/>
  <c r="D1803" i="1" s="1"/>
  <c r="F1803" i="1" s="1"/>
  <c r="E1804" i="1" s="1"/>
  <c r="F1804" i="1" s="1"/>
  <c r="D1805" i="1" s="1"/>
  <c r="F1805" i="1" s="1"/>
  <c r="D1806" i="1" s="1"/>
  <c r="F1806" i="1" s="1"/>
  <c r="D1807" i="1" s="1"/>
  <c r="F1807" i="1" s="1"/>
  <c r="D1808" i="1" s="1"/>
  <c r="F1808" i="1" s="1"/>
  <c r="D1809" i="1" s="1"/>
  <c r="F1809" i="1" s="1"/>
  <c r="E1810" i="1" s="1"/>
  <c r="F1810" i="1" s="1"/>
  <c r="E1811" i="1" s="1"/>
  <c r="F1811" i="1" s="1"/>
  <c r="E1812" i="1" s="1"/>
  <c r="F1812" i="1" s="1"/>
  <c r="E1813" i="1" s="1"/>
  <c r="F1813" i="1" s="1"/>
  <c r="E1814" i="1" s="1"/>
  <c r="F1814" i="1" s="1"/>
  <c r="D1815" i="1" s="1"/>
  <c r="F1815" i="1" s="1"/>
  <c r="D1816" i="1" s="1"/>
  <c r="F1816" i="1" s="1"/>
  <c r="D1817" i="1" s="1"/>
  <c r="F1817" i="1" s="1"/>
  <c r="E1818" i="1" s="1"/>
  <c r="F1818" i="1" s="1"/>
  <c r="D1819" i="1" s="1"/>
  <c r="F1819" i="1" s="1"/>
  <c r="D1820" i="1" s="1"/>
  <c r="F1820" i="1" s="1"/>
  <c r="D1821" i="1" s="1"/>
  <c r="F1821" i="1" s="1"/>
  <c r="E1822" i="1" s="1"/>
  <c r="F1822" i="1" s="1"/>
  <c r="E1823" i="1" s="1"/>
  <c r="F1823" i="1" s="1"/>
  <c r="D1824" i="1" s="1"/>
  <c r="F1824" i="1" s="1"/>
  <c r="D1825" i="1" s="1"/>
  <c r="F1825" i="1" s="1"/>
  <c r="E1826" i="1" s="1"/>
  <c r="F1826" i="1" s="1"/>
  <c r="D1827" i="1" s="1"/>
  <c r="F1827" i="1" s="1"/>
  <c r="E1828" i="1" s="1"/>
  <c r="F1828" i="1" s="1"/>
  <c r="D1829" i="1" s="1"/>
  <c r="F1829" i="1" s="1"/>
  <c r="D1830" i="1" s="1"/>
  <c r="F1830" i="1" s="1"/>
  <c r="E1831" i="1" s="1"/>
  <c r="F1831" i="1" s="1"/>
  <c r="E1832" i="1" s="1"/>
  <c r="F1832" i="1" s="1"/>
  <c r="D1833" i="1" s="1"/>
  <c r="F1833" i="1" s="1"/>
  <c r="E1834" i="1" s="1"/>
  <c r="F1834" i="1" s="1"/>
  <c r="E1835" i="1" s="1"/>
  <c r="F1835" i="1" s="1"/>
  <c r="E1836" i="1" s="1"/>
  <c r="F1836" i="1" s="1"/>
  <c r="E1837" i="1" s="1"/>
  <c r="F1837" i="1" s="1"/>
  <c r="D1838" i="1" s="1"/>
  <c r="F1838" i="1" s="1"/>
  <c r="E1839" i="1" s="1"/>
  <c r="F1839" i="1" s="1"/>
  <c r="E1840" i="1" s="1"/>
  <c r="F1840" i="1" s="1"/>
  <c r="D1841" i="1" s="1"/>
  <c r="F1841" i="1" s="1"/>
  <c r="D1842" i="1" s="1"/>
  <c r="F1842" i="1" s="1"/>
  <c r="E1843" i="1" s="1"/>
  <c r="F1843" i="1" s="1"/>
  <c r="E1844" i="1" s="1"/>
  <c r="F1844" i="1" s="1"/>
  <c r="D1845" i="1" s="1"/>
  <c r="F1845" i="1" s="1"/>
  <c r="D1846" i="1" s="1"/>
  <c r="F1846" i="1" s="1"/>
  <c r="D1847" i="1" s="1"/>
  <c r="F1847" i="1" s="1"/>
  <c r="D1848" i="1" s="1"/>
  <c r="F1848" i="1" s="1"/>
  <c r="D1849" i="1" s="1"/>
  <c r="F1849" i="1" s="1"/>
  <c r="E1850" i="1" s="1"/>
  <c r="F1850" i="1" s="1"/>
  <c r="E1851" i="1" s="1"/>
  <c r="F1851" i="1" s="1"/>
  <c r="D1852" i="1" s="1"/>
  <c r="F1852" i="1" s="1"/>
  <c r="E1853" i="1" s="1"/>
  <c r="F1853" i="1" s="1"/>
  <c r="E1854" i="1" s="1"/>
  <c r="F1854" i="1" s="1"/>
  <c r="D1855" i="1" s="1"/>
  <c r="F1855" i="1" s="1"/>
  <c r="D1856" i="1" s="1"/>
  <c r="F1856" i="1" s="1"/>
  <c r="E1857" i="1" s="1"/>
  <c r="F1857" i="1" s="1"/>
  <c r="E1858" i="1" s="1"/>
  <c r="F1858" i="1" s="1"/>
  <c r="E1859" i="1" s="1"/>
  <c r="F1859" i="1" s="1"/>
  <c r="E1860" i="1" s="1"/>
  <c r="F1860" i="1" s="1"/>
  <c r="E1861" i="1" s="1"/>
  <c r="F1861" i="1" s="1"/>
  <c r="E1862" i="1" s="1"/>
  <c r="F1862" i="1" s="1"/>
  <c r="E1863" i="1" s="1"/>
  <c r="F1863" i="1" s="1"/>
  <c r="D1864" i="1" s="1"/>
  <c r="F1864" i="1" s="1"/>
  <c r="E1865" i="1" s="1"/>
  <c r="F1865" i="1" s="1"/>
  <c r="E1866" i="1" s="1"/>
  <c r="F1866" i="1" s="1"/>
  <c r="E1867" i="1" s="1"/>
  <c r="F1867" i="1" s="1"/>
  <c r="E1868" i="1" s="1"/>
  <c r="F1868" i="1" s="1"/>
  <c r="E1869" i="1" s="1"/>
  <c r="F1869" i="1" s="1"/>
  <c r="D1870" i="1" s="1"/>
  <c r="F1870" i="1" s="1"/>
  <c r="D1871" i="1" s="1"/>
  <c r="F1871" i="1" s="1"/>
  <c r="D1872" i="1" s="1"/>
  <c r="F1872" i="1" s="1"/>
  <c r="D1873" i="1" s="1"/>
  <c r="F1873" i="1" s="1"/>
  <c r="D1874" i="1" s="1"/>
  <c r="F1874" i="1" s="1"/>
  <c r="D1875" i="1" s="1"/>
  <c r="F1875" i="1" s="1"/>
  <c r="E1876" i="1" s="1"/>
  <c r="F1876" i="1" s="1"/>
  <c r="E1877" i="1" s="1"/>
  <c r="F1877" i="1" s="1"/>
  <c r="E1878" i="1" s="1"/>
  <c r="F1878" i="1" s="1"/>
  <c r="E1879" i="1" s="1"/>
  <c r="F1879" i="1" s="1"/>
  <c r="D1880" i="1" s="1"/>
  <c r="F1880" i="1" s="1"/>
  <c r="D1881" i="1" s="1"/>
  <c r="F1881" i="1" s="1"/>
  <c r="E1882" i="1" s="1"/>
  <c r="F1882" i="1" s="1"/>
  <c r="D1883" i="1" s="1"/>
  <c r="F1883" i="1" s="1"/>
  <c r="E1884" i="1" s="1"/>
  <c r="F1884" i="1" s="1"/>
  <c r="D1885" i="1" s="1"/>
  <c r="F1885" i="1" s="1"/>
  <c r="D1886" i="1" s="1"/>
  <c r="F1886" i="1" s="1"/>
  <c r="E1887" i="1" s="1"/>
  <c r="F1887" i="1" s="1"/>
  <c r="E1888" i="1" s="1"/>
  <c r="F1888" i="1" s="1"/>
  <c r="D1889" i="1" s="1"/>
  <c r="F1889" i="1" s="1"/>
  <c r="E1890" i="1" s="1"/>
  <c r="F1890" i="1" s="1"/>
  <c r="E1891" i="1" s="1"/>
  <c r="F1891" i="1" s="1"/>
  <c r="E1892" i="1" s="1"/>
  <c r="F1892" i="1" s="1"/>
  <c r="E1893" i="1" s="1"/>
  <c r="F1893" i="1" s="1"/>
  <c r="E1894" i="1" s="1"/>
  <c r="F1894" i="1" s="1"/>
  <c r="E1895" i="1" s="1"/>
  <c r="F1895" i="1" s="1"/>
  <c r="D1896" i="1" s="1"/>
  <c r="F1896" i="1" s="1"/>
  <c r="E1897" i="1" s="1"/>
  <c r="F1897" i="1" s="1"/>
  <c r="D1898" i="1" s="1"/>
  <c r="F1898" i="1" s="1"/>
  <c r="D1899" i="1" s="1"/>
  <c r="F1899" i="1" s="1"/>
  <c r="D1900" i="1" s="1"/>
  <c r="F1900" i="1" s="1"/>
  <c r="D1901" i="1" s="1"/>
  <c r="F1901" i="1" s="1"/>
  <c r="D1902" i="1" s="1"/>
  <c r="F1902" i="1" s="1"/>
  <c r="D1903" i="1" s="1"/>
  <c r="F1903" i="1" s="1"/>
  <c r="E1904" i="1" s="1"/>
  <c r="F1904" i="1" s="1"/>
  <c r="E1905" i="1" s="1"/>
  <c r="F1905" i="1" s="1"/>
  <c r="E1906" i="1" s="1"/>
  <c r="F1906" i="1" s="1"/>
  <c r="E1907" i="1" s="1"/>
  <c r="F1907" i="1" s="1"/>
  <c r="E1908" i="1" s="1"/>
  <c r="F1908" i="1" s="1"/>
  <c r="D1909" i="1" s="1"/>
  <c r="F1909" i="1" s="1"/>
  <c r="D1910" i="1" s="1"/>
  <c r="F1910" i="1" s="1"/>
  <c r="D1911" i="1" s="1"/>
  <c r="F1911" i="1" s="1"/>
  <c r="D1912" i="1" s="1"/>
  <c r="F1912" i="1" s="1"/>
  <c r="D1913" i="1" s="1"/>
  <c r="F1913" i="1" s="1"/>
  <c r="E1914" i="1" s="1"/>
  <c r="F1914" i="1" s="1"/>
  <c r="D1915" i="1" s="1"/>
  <c r="F1915" i="1" s="1"/>
  <c r="E1916" i="1" s="1"/>
  <c r="F1916" i="1" s="1"/>
  <c r="E1917" i="1" s="1"/>
  <c r="F1917" i="1" s="1"/>
  <c r="D1918" i="1" s="1"/>
  <c r="F1918" i="1" s="1"/>
  <c r="D1919" i="1" s="1"/>
  <c r="F1919" i="1" s="1"/>
  <c r="D1920" i="1" s="1"/>
  <c r="F1920" i="1" s="1"/>
  <c r="E1921" i="1" s="1"/>
  <c r="F1921" i="1" s="1"/>
  <c r="D1922" i="1" s="1"/>
  <c r="F1922" i="1" s="1"/>
  <c r="E1923" i="1" s="1"/>
  <c r="F1923" i="1" s="1"/>
  <c r="D1924" i="1" s="1"/>
  <c r="F1924" i="1" s="1"/>
  <c r="E1925" i="1" s="1"/>
  <c r="F1925" i="1" s="1"/>
  <c r="D1926" i="1" s="1"/>
  <c r="F1926" i="1" s="1"/>
  <c r="D1927" i="1" s="1"/>
  <c r="F1927" i="1" s="1"/>
  <c r="E1928" i="1" s="1"/>
  <c r="F1928" i="1" s="1"/>
  <c r="E1929" i="1" s="1"/>
  <c r="F1929" i="1" s="1"/>
  <c r="E1930" i="1" s="1"/>
  <c r="F1930" i="1" s="1"/>
  <c r="E1931" i="1" s="1"/>
  <c r="F1931" i="1" s="1"/>
  <c r="D1932" i="1" s="1"/>
  <c r="F1932" i="1" s="1"/>
  <c r="E1933" i="1" s="1"/>
  <c r="F1933" i="1" s="1"/>
  <c r="E1934" i="1" s="1"/>
  <c r="F1934" i="1" s="1"/>
  <c r="D1935" i="1" s="1"/>
  <c r="F1935" i="1" s="1"/>
  <c r="D1936" i="1" s="1"/>
  <c r="F1936" i="1" s="1"/>
  <c r="D1937" i="1" s="1"/>
  <c r="F1937" i="1" s="1"/>
  <c r="E1938" i="1" s="1"/>
  <c r="F1938" i="1" s="1"/>
  <c r="E1939" i="1" s="1"/>
  <c r="F1939" i="1" s="1"/>
  <c r="D1940" i="1" s="1"/>
  <c r="F1940" i="1" s="1"/>
  <c r="E1941" i="1" s="1"/>
  <c r="F1941" i="1" s="1"/>
  <c r="E1942" i="1" s="1"/>
  <c r="F1942" i="1" s="1"/>
  <c r="E1943" i="1" s="1"/>
  <c r="F1943" i="1" s="1"/>
  <c r="D1944" i="1" s="1"/>
  <c r="F1944" i="1" s="1"/>
  <c r="D1945" i="1" s="1"/>
  <c r="F1945" i="1" s="1"/>
  <c r="E1946" i="1" s="1"/>
  <c r="F1946" i="1" s="1"/>
  <c r="D1947" i="1" s="1"/>
  <c r="F1947" i="1" s="1"/>
  <c r="E1948" i="1" s="1"/>
  <c r="F1948" i="1" s="1"/>
  <c r="D1949" i="1" s="1"/>
  <c r="F1949" i="1" s="1"/>
  <c r="D1950" i="1" s="1"/>
  <c r="F1950" i="1" s="1"/>
  <c r="E1951" i="1" s="1"/>
  <c r="F1951" i="1" s="1"/>
  <c r="D1952" i="1" s="1"/>
  <c r="F1952" i="1" s="1"/>
  <c r="E1953" i="1" s="1"/>
  <c r="F1953" i="1" s="1"/>
  <c r="D1954" i="1" s="1"/>
  <c r="F1954" i="1" s="1"/>
  <c r="D1955" i="1" s="1"/>
  <c r="F1955" i="1" s="1"/>
  <c r="D1956" i="1" s="1"/>
  <c r="F1956" i="1" s="1"/>
  <c r="E1957" i="1" s="1"/>
  <c r="F1957" i="1" s="1"/>
  <c r="E1958" i="1" s="1"/>
  <c r="F1958" i="1" s="1"/>
  <c r="D1959" i="1" s="1"/>
  <c r="F1959" i="1" s="1"/>
  <c r="D1960" i="1" s="1"/>
  <c r="F1960" i="1" s="1"/>
  <c r="E1961" i="1" s="1"/>
  <c r="F1961" i="1" s="1"/>
  <c r="E1962" i="1" s="1"/>
  <c r="F1962" i="1" s="1"/>
  <c r="D1963" i="1" s="1"/>
  <c r="F1963" i="1" s="1"/>
  <c r="D1964" i="1" s="1"/>
  <c r="F1964" i="1" s="1"/>
  <c r="E1965" i="1" s="1"/>
  <c r="F1965" i="1" s="1"/>
  <c r="E1966" i="1" s="1"/>
  <c r="F1966" i="1" s="1"/>
  <c r="E1967" i="1" s="1"/>
  <c r="F1967" i="1" s="1"/>
  <c r="E1968" i="1" s="1"/>
  <c r="F1968" i="1" s="1"/>
  <c r="D1969" i="1" s="1"/>
  <c r="F1969" i="1" s="1"/>
  <c r="D1970" i="1" s="1"/>
  <c r="F1970" i="1" s="1"/>
  <c r="E1971" i="1" s="1"/>
  <c r="F1971" i="1" s="1"/>
  <c r="E1972" i="1" s="1"/>
  <c r="F1972" i="1" s="1"/>
  <c r="E1973" i="1" s="1"/>
  <c r="F1973" i="1" s="1"/>
  <c r="E1974" i="1" s="1"/>
  <c r="F1974" i="1" s="1"/>
  <c r="D1975" i="1" s="1"/>
  <c r="F1975" i="1" s="1"/>
  <c r="E1976" i="1" s="1"/>
  <c r="F1976" i="1" s="1"/>
  <c r="E1977" i="1" s="1"/>
  <c r="F1977" i="1" s="1"/>
  <c r="E1978" i="1" s="1"/>
  <c r="F1978" i="1" s="1"/>
  <c r="E1979" i="1" s="1"/>
  <c r="F1979" i="1" s="1"/>
  <c r="D1980" i="1" s="1"/>
  <c r="F1980" i="1" s="1"/>
  <c r="E1981" i="1" s="1"/>
  <c r="F1981" i="1" s="1"/>
  <c r="E1982" i="1" s="1"/>
  <c r="F1982" i="1" s="1"/>
  <c r="E1983" i="1" s="1"/>
  <c r="F1983" i="1" s="1"/>
  <c r="D1984" i="1" s="1"/>
  <c r="F1984" i="1" s="1"/>
  <c r="E1985" i="1" s="1"/>
  <c r="F1985" i="1" s="1"/>
  <c r="E1986" i="1" s="1"/>
  <c r="F1986" i="1" s="1"/>
  <c r="D1987" i="1" s="1"/>
  <c r="F1987" i="1" s="1"/>
  <c r="D1988" i="1" s="1"/>
  <c r="F1988" i="1" s="1"/>
  <c r="D1989" i="1" s="1"/>
  <c r="F1989" i="1" s="1"/>
  <c r="E1990" i="1" s="1"/>
  <c r="F1990" i="1" s="1"/>
  <c r="E1991" i="1" s="1"/>
  <c r="F1991" i="1" s="1"/>
  <c r="E1992" i="1" s="1"/>
  <c r="F1992" i="1" s="1"/>
  <c r="E1993" i="1" s="1"/>
  <c r="F1993" i="1" s="1"/>
  <c r="E1994" i="1" s="1"/>
  <c r="F1994" i="1" s="1"/>
  <c r="D1995" i="1" s="1"/>
  <c r="F1995" i="1" s="1"/>
  <c r="D1996" i="1" s="1"/>
  <c r="F1996" i="1" s="1"/>
  <c r="E1997" i="1" s="1"/>
  <c r="F1997" i="1" s="1"/>
  <c r="D1998" i="1" s="1"/>
  <c r="F1998" i="1" s="1"/>
  <c r="D1999" i="1" s="1"/>
  <c r="F1999" i="1" s="1"/>
  <c r="E2000" i="1" s="1"/>
  <c r="F2000" i="1" s="1"/>
  <c r="D2001" i="1" s="1"/>
  <c r="F2001" i="1" s="1"/>
  <c r="E2002" i="1" s="1"/>
  <c r="F2002" i="1" s="1"/>
  <c r="D2003" i="1" s="1"/>
  <c r="F2003" i="1" s="1"/>
  <c r="E2004" i="1" s="1"/>
  <c r="F2004" i="1" s="1"/>
  <c r="E2005" i="1" s="1"/>
  <c r="F2005" i="1" s="1"/>
  <c r="D2006" i="1" s="1"/>
  <c r="F2006" i="1" s="1"/>
  <c r="E2007" i="1" s="1"/>
  <c r="F2007" i="1" s="1"/>
  <c r="D2008" i="1" s="1"/>
  <c r="F2008" i="1" s="1"/>
  <c r="D2009" i="1" s="1"/>
  <c r="F2009" i="1" s="1"/>
  <c r="E2010" i="1" s="1"/>
  <c r="F2010" i="1" s="1"/>
  <c r="D2011" i="1" s="1"/>
  <c r="F2011" i="1" s="1"/>
  <c r="D2012" i="1" s="1"/>
  <c r="F2012" i="1" s="1"/>
  <c r="E2013" i="1" s="1"/>
  <c r="F2013" i="1" s="1"/>
  <c r="D2014" i="1" s="1"/>
  <c r="F2014" i="1" s="1"/>
  <c r="E2015" i="1" s="1"/>
  <c r="F2015" i="1" s="1"/>
  <c r="D2016" i="1" s="1"/>
  <c r="F2016" i="1" s="1"/>
  <c r="D2017" i="1" s="1"/>
  <c r="F2017" i="1" s="1"/>
  <c r="E2018" i="1" s="1"/>
  <c r="F2018" i="1" s="1"/>
  <c r="D2019" i="1" s="1"/>
  <c r="F2019" i="1" s="1"/>
  <c r="E2020" i="1" s="1"/>
  <c r="F2020" i="1" s="1"/>
  <c r="D2021" i="1" s="1"/>
  <c r="F2021" i="1" s="1"/>
  <c r="D2022" i="1" s="1"/>
  <c r="F2022" i="1" s="1"/>
  <c r="E2023" i="1" s="1"/>
  <c r="F2023" i="1" s="1"/>
  <c r="E2024" i="1" s="1"/>
  <c r="F2024" i="1" s="1"/>
  <c r="E2025" i="1" s="1"/>
  <c r="F2025" i="1" s="1"/>
  <c r="D2026" i="1" s="1"/>
  <c r="F2026" i="1" s="1"/>
  <c r="D2027" i="1" s="1"/>
  <c r="F2027" i="1" s="1"/>
  <c r="D2028" i="1" s="1"/>
  <c r="F2028" i="1" s="1"/>
  <c r="D2029" i="1" s="1"/>
  <c r="F2029" i="1" s="1"/>
  <c r="D2030" i="1" s="1"/>
  <c r="F2030" i="1" s="1"/>
  <c r="E2031" i="1" s="1"/>
  <c r="F2031" i="1" s="1"/>
  <c r="E2032" i="1" s="1"/>
  <c r="F2032" i="1" s="1"/>
  <c r="E2033" i="1" s="1"/>
  <c r="F2033" i="1" s="1"/>
  <c r="D2034" i="1" s="1"/>
  <c r="F2034" i="1" s="1"/>
  <c r="E2035" i="1" s="1"/>
  <c r="F2035" i="1" s="1"/>
  <c r="D2036" i="1" s="1"/>
  <c r="F2036" i="1" s="1"/>
  <c r="D2037" i="1" s="1"/>
  <c r="F2037" i="1" s="1"/>
  <c r="E2038" i="1" s="1"/>
  <c r="F2038" i="1" s="1"/>
  <c r="D2039" i="1" s="1"/>
  <c r="F2039" i="1" s="1"/>
  <c r="D2040" i="1" s="1"/>
  <c r="F2040" i="1" s="1"/>
  <c r="E2041" i="1" s="1"/>
  <c r="F2041" i="1" s="1"/>
  <c r="E2042" i="1" s="1"/>
  <c r="F2042" i="1" s="1"/>
  <c r="E2043" i="1" s="1"/>
  <c r="F2043" i="1" s="1"/>
  <c r="E2044" i="1" s="1"/>
  <c r="F2044" i="1" s="1"/>
  <c r="E2045" i="1" s="1"/>
  <c r="F2045" i="1" s="1"/>
  <c r="D2046" i="1" s="1"/>
  <c r="F2046" i="1" s="1"/>
  <c r="E2047" i="1" s="1"/>
  <c r="F2047" i="1" s="1"/>
  <c r="D2048" i="1" s="1"/>
  <c r="F2048" i="1" s="1"/>
  <c r="D2049" i="1" s="1"/>
  <c r="F2049" i="1" s="1"/>
  <c r="E2050" i="1" s="1"/>
  <c r="F2050" i="1" s="1"/>
  <c r="D2051" i="1" s="1"/>
  <c r="F2051" i="1" s="1"/>
  <c r="D2052" i="1" s="1"/>
  <c r="F2052" i="1" s="1"/>
  <c r="E2053" i="1" s="1"/>
  <c r="F2053" i="1" s="1"/>
  <c r="E2054" i="1" s="1"/>
  <c r="F2054" i="1" s="1"/>
  <c r="E2055" i="1" s="1"/>
  <c r="F2055" i="1" s="1"/>
  <c r="D2056" i="1" s="1"/>
  <c r="F2056" i="1" s="1"/>
  <c r="D2057" i="1" s="1"/>
  <c r="F2057" i="1" s="1"/>
  <c r="E2058" i="1" s="1"/>
  <c r="F2058" i="1" s="1"/>
  <c r="E2059" i="1" s="1"/>
  <c r="F2059" i="1" s="1"/>
  <c r="E2060" i="1" s="1"/>
  <c r="F2060" i="1" s="1"/>
  <c r="D2061" i="1" s="1"/>
  <c r="F2061" i="1" s="1"/>
  <c r="D2062" i="1" s="1"/>
  <c r="F2062" i="1" s="1"/>
  <c r="D2063" i="1" s="1"/>
  <c r="F2063" i="1" s="1"/>
  <c r="E2064" i="1" s="1"/>
  <c r="F2064" i="1" s="1"/>
  <c r="E2065" i="1" s="1"/>
  <c r="F2065" i="1" s="1"/>
  <c r="E2066" i="1" s="1"/>
  <c r="F2066" i="1" s="1"/>
  <c r="E2067" i="1" s="1"/>
  <c r="F2067" i="1" s="1"/>
  <c r="E2068" i="1" s="1"/>
  <c r="F2068" i="1" s="1"/>
  <c r="E2069" i="1" s="1"/>
  <c r="F2069" i="1" s="1"/>
  <c r="D2070" i="1" s="1"/>
  <c r="F2070" i="1" s="1"/>
  <c r="E2071" i="1" s="1"/>
  <c r="F2071" i="1" s="1"/>
  <c r="E2072" i="1" s="1"/>
  <c r="F2072" i="1" s="1"/>
  <c r="E2073" i="1" s="1"/>
  <c r="F2073" i="1" s="1"/>
  <c r="D2074" i="1" s="1"/>
  <c r="F2074" i="1" s="1"/>
  <c r="D2075" i="1" s="1"/>
  <c r="F2075" i="1" s="1"/>
  <c r="D2076" i="1" s="1"/>
  <c r="F2076" i="1" s="1"/>
  <c r="D2077" i="1" s="1"/>
  <c r="F2077" i="1" s="1"/>
  <c r="D2078" i="1" s="1"/>
  <c r="F2078" i="1" s="1"/>
  <c r="D2079" i="1" s="1"/>
  <c r="F2079" i="1" s="1"/>
  <c r="E2080" i="1" s="1"/>
  <c r="F2080" i="1" s="1"/>
  <c r="E2081" i="1" s="1"/>
  <c r="F2081" i="1" s="1"/>
  <c r="D2082" i="1" s="1"/>
  <c r="F2082" i="1" s="1"/>
  <c r="D2083" i="1" s="1"/>
  <c r="F2083" i="1" s="1"/>
  <c r="E2084" i="1" s="1"/>
  <c r="F2084" i="1" s="1"/>
  <c r="D2085" i="1" s="1"/>
  <c r="F2085" i="1" s="1"/>
  <c r="E2086" i="1" s="1"/>
  <c r="F2086" i="1" s="1"/>
  <c r="E2087" i="1" s="1"/>
  <c r="F2087" i="1" s="1"/>
  <c r="D2088" i="1" s="1"/>
  <c r="F2088" i="1" s="1"/>
  <c r="E2089" i="1" s="1"/>
  <c r="F2089" i="1" s="1"/>
  <c r="D2090" i="1" s="1"/>
  <c r="F2090" i="1" s="1"/>
  <c r="E2091" i="1" s="1"/>
  <c r="F2091" i="1" s="1"/>
  <c r="D2092" i="1" s="1"/>
  <c r="F2092" i="1" s="1"/>
  <c r="D2093" i="1" s="1"/>
  <c r="F2093" i="1" s="1"/>
  <c r="E2094" i="1" s="1"/>
  <c r="F2094" i="1" s="1"/>
  <c r="D2095" i="1" s="1"/>
  <c r="F2095" i="1" s="1"/>
  <c r="E2096" i="1" s="1"/>
  <c r="F2096" i="1" s="1"/>
  <c r="D2097" i="1" s="1"/>
  <c r="F2097" i="1" s="1"/>
  <c r="E2098" i="1" s="1"/>
  <c r="F2098" i="1" s="1"/>
  <c r="D2099" i="1" s="1"/>
  <c r="F2099" i="1" s="1"/>
  <c r="E2100" i="1" s="1"/>
  <c r="F2100" i="1" s="1"/>
  <c r="E2101" i="1" s="1"/>
  <c r="F2101" i="1" s="1"/>
  <c r="D2102" i="1" s="1"/>
  <c r="F2102" i="1" s="1"/>
  <c r="D2103" i="1" s="1"/>
  <c r="F2103" i="1" s="1"/>
  <c r="D2104" i="1" s="1"/>
  <c r="F2104" i="1" s="1"/>
  <c r="E2105" i="1" s="1"/>
  <c r="F2105" i="1" s="1"/>
  <c r="D2106" i="1" s="1"/>
  <c r="F2106" i="1" s="1"/>
  <c r="D2107" i="1" s="1"/>
  <c r="F2107" i="1" s="1"/>
  <c r="E2108" i="1" s="1"/>
  <c r="F2108" i="1" s="1"/>
  <c r="D2109" i="1" s="1"/>
  <c r="F2109" i="1" s="1"/>
  <c r="E2110" i="1" s="1"/>
  <c r="F2110" i="1" s="1"/>
  <c r="D2111" i="1" s="1"/>
  <c r="F2111" i="1" s="1"/>
  <c r="D2112" i="1" s="1"/>
  <c r="F2112" i="1" s="1"/>
  <c r="D2113" i="1" s="1"/>
  <c r="F2113" i="1" s="1"/>
  <c r="D2114" i="1" s="1"/>
  <c r="F2114" i="1" s="1"/>
  <c r="D2115" i="1" s="1"/>
  <c r="F2115" i="1" s="1"/>
  <c r="E2116" i="1" s="1"/>
  <c r="F2116" i="1" s="1"/>
  <c r="D2117" i="1" s="1"/>
  <c r="F2117" i="1" s="1"/>
  <c r="E2118" i="1" s="1"/>
  <c r="F2118" i="1" s="1"/>
  <c r="D2119" i="1" s="1"/>
  <c r="F2119" i="1" s="1"/>
  <c r="D2120" i="1" s="1"/>
  <c r="F2120" i="1" s="1"/>
  <c r="D2121" i="1" s="1"/>
  <c r="F2121" i="1" s="1"/>
  <c r="D2122" i="1" s="1"/>
  <c r="F2122" i="1" s="1"/>
  <c r="D2123" i="1" s="1"/>
  <c r="F2123" i="1" s="1"/>
  <c r="D2124" i="1" s="1"/>
  <c r="F2124" i="1" s="1"/>
  <c r="D2125" i="1" s="1"/>
  <c r="F2125" i="1" s="1"/>
  <c r="E2126" i="1" s="1"/>
  <c r="F2126" i="1" s="1"/>
  <c r="D2127" i="1" s="1"/>
  <c r="F2127" i="1" s="1"/>
  <c r="D2128" i="1" s="1"/>
  <c r="F2128" i="1" s="1"/>
  <c r="D2129" i="1" s="1"/>
  <c r="F2129" i="1" s="1"/>
  <c r="E2130" i="1" s="1"/>
  <c r="F2130" i="1" s="1"/>
  <c r="D2131" i="1" s="1"/>
  <c r="F2131" i="1" s="1"/>
  <c r="D2132" i="1" s="1"/>
  <c r="F2132" i="1" s="1"/>
  <c r="E2133" i="1" s="1"/>
  <c r="F2133" i="1" s="1"/>
  <c r="E2134" i="1" s="1"/>
  <c r="F2134" i="1" s="1"/>
  <c r="D2135" i="1" s="1"/>
  <c r="F2135" i="1" s="1"/>
  <c r="D2136" i="1" s="1"/>
  <c r="F2136" i="1" s="1"/>
  <c r="E2137" i="1" s="1"/>
  <c r="F2137" i="1" s="1"/>
  <c r="D2138" i="1" s="1"/>
  <c r="F2138" i="1" s="1"/>
  <c r="D2139" i="1" s="1"/>
  <c r="F2139" i="1" s="1"/>
  <c r="E2140" i="1" s="1"/>
  <c r="F2140" i="1" s="1"/>
  <c r="D2141" i="1" s="1"/>
  <c r="F2141" i="1" s="1"/>
  <c r="E2142" i="1" s="1"/>
  <c r="F2142" i="1" s="1"/>
  <c r="E2143" i="1" s="1"/>
  <c r="F2143" i="1" s="1"/>
  <c r="E2144" i="1" s="1"/>
  <c r="F2144" i="1" s="1"/>
  <c r="E2145" i="1" s="1"/>
  <c r="F2145" i="1" s="1"/>
  <c r="D2146" i="1" s="1"/>
  <c r="F2146" i="1" s="1"/>
  <c r="E2147" i="1" s="1"/>
  <c r="F2147" i="1" s="1"/>
  <c r="E2148" i="1" s="1"/>
  <c r="F2148" i="1" s="1"/>
  <c r="E2149" i="1" s="1"/>
  <c r="F2149" i="1" s="1"/>
  <c r="E2150" i="1" s="1"/>
  <c r="F2150" i="1" s="1"/>
  <c r="D2151" i="1" s="1"/>
  <c r="F2151" i="1" s="1"/>
  <c r="E2152" i="1" s="1"/>
  <c r="F2152" i="1" s="1"/>
  <c r="D2153" i="1" s="1"/>
  <c r="F2153" i="1" s="1"/>
  <c r="E2154" i="1" s="1"/>
  <c r="F2154" i="1" s="1"/>
  <c r="D2155" i="1" s="1"/>
  <c r="F2155" i="1" s="1"/>
  <c r="D2156" i="1" s="1"/>
  <c r="F2156" i="1" s="1"/>
  <c r="D2157" i="1" s="1"/>
  <c r="F2157" i="1" s="1"/>
  <c r="E2158" i="1" s="1"/>
  <c r="F2158" i="1" s="1"/>
  <c r="D2159" i="1" s="1"/>
  <c r="F2159" i="1" s="1"/>
  <c r="E2160" i="1" s="1"/>
  <c r="F2160" i="1" s="1"/>
  <c r="E2161" i="1" s="1"/>
  <c r="F2161" i="1" s="1"/>
  <c r="E2162" i="1" s="1"/>
  <c r="F2162" i="1" s="1"/>
  <c r="D2163" i="1" s="1"/>
  <c r="F2163" i="1" s="1"/>
  <c r="D2164" i="1" s="1"/>
  <c r="F2164" i="1" s="1"/>
  <c r="E2165" i="1" s="1"/>
  <c r="F2165" i="1" s="1"/>
  <c r="D2166" i="1" s="1"/>
  <c r="F2166" i="1" s="1"/>
  <c r="D2167" i="1" s="1"/>
  <c r="F2167" i="1" s="1"/>
  <c r="E2168" i="1" s="1"/>
  <c r="F2168" i="1" s="1"/>
  <c r="E2169" i="1" s="1"/>
  <c r="F2169" i="1" s="1"/>
  <c r="E2170" i="1" s="1"/>
  <c r="F2170" i="1" s="1"/>
  <c r="E2171" i="1" s="1"/>
  <c r="F2171" i="1" s="1"/>
  <c r="D2172" i="1" s="1"/>
  <c r="F2172" i="1" s="1"/>
  <c r="E2173" i="1" s="1"/>
  <c r="F2173" i="1" s="1"/>
  <c r="E2174" i="1" s="1"/>
  <c r="F2174" i="1" s="1"/>
  <c r="D2175" i="1" s="1"/>
  <c r="F2175" i="1" s="1"/>
  <c r="D2176" i="1" s="1"/>
  <c r="F2176" i="1" s="1"/>
  <c r="D2177" i="1" s="1"/>
  <c r="F2177" i="1" s="1"/>
  <c r="E2178" i="1" s="1"/>
  <c r="F2178" i="1" s="1"/>
  <c r="D2179" i="1" s="1"/>
  <c r="F2179" i="1" s="1"/>
  <c r="D2180" i="1" s="1"/>
  <c r="F2180" i="1" s="1"/>
  <c r="D2181" i="1" s="1"/>
  <c r="F2181" i="1" s="1"/>
  <c r="E2182" i="1" s="1"/>
  <c r="F2182" i="1" s="1"/>
  <c r="D2183" i="1" s="1"/>
  <c r="F2183" i="1" s="1"/>
  <c r="D2184" i="1" s="1"/>
  <c r="F2184" i="1" s="1"/>
  <c r="D2185" i="1" s="1"/>
  <c r="F2185" i="1" s="1"/>
  <c r="E2186" i="1" s="1"/>
  <c r="F2186" i="1" s="1"/>
  <c r="D2187" i="1" s="1"/>
  <c r="F2187" i="1" s="1"/>
  <c r="D2188" i="1" s="1"/>
  <c r="F2188" i="1" s="1"/>
  <c r="E2189" i="1" s="1"/>
  <c r="F2189" i="1" s="1"/>
  <c r="D2190" i="1" s="1"/>
  <c r="F2190" i="1" s="1"/>
  <c r="E2191" i="1" s="1"/>
  <c r="F2191" i="1" s="1"/>
  <c r="E2192" i="1" s="1"/>
  <c r="F2192" i="1" s="1"/>
  <c r="E2193" i="1" s="1"/>
  <c r="F2193" i="1" s="1"/>
  <c r="D2194" i="1" s="1"/>
  <c r="F2194" i="1" s="1"/>
  <c r="E2195" i="1" s="1"/>
  <c r="F2195" i="1" s="1"/>
  <c r="D2196" i="1" s="1"/>
  <c r="F2196" i="1" s="1"/>
  <c r="D2197" i="1" s="1"/>
  <c r="F2197" i="1" s="1"/>
  <c r="D2198" i="1" s="1"/>
  <c r="F2198" i="1" s="1"/>
  <c r="E2199" i="1" s="1"/>
  <c r="F2199" i="1" s="1"/>
  <c r="D2200" i="1" s="1"/>
  <c r="F2200" i="1" s="1"/>
  <c r="D2201" i="1" s="1"/>
  <c r="F2201" i="1" s="1"/>
  <c r="E2202" i="1" s="1"/>
  <c r="F2202" i="1" s="1"/>
  <c r="E2203" i="1" s="1"/>
  <c r="F2203" i="1" s="1"/>
  <c r="D2204" i="1" s="1"/>
  <c r="F2204" i="1" s="1"/>
  <c r="E2205" i="1" s="1"/>
  <c r="F2205" i="1" s="1"/>
  <c r="E2206" i="1" s="1"/>
  <c r="F2206" i="1" s="1"/>
  <c r="D2207" i="1" s="1"/>
  <c r="F2207" i="1" s="1"/>
  <c r="E2208" i="1" s="1"/>
  <c r="F2208" i="1" s="1"/>
  <c r="D2209" i="1" s="1"/>
  <c r="F2209" i="1" s="1"/>
  <c r="E2210" i="1" s="1"/>
  <c r="F2210" i="1" s="1"/>
  <c r="D2211" i="1" s="1"/>
  <c r="F2211" i="1" s="1"/>
  <c r="D2212" i="1" s="1"/>
  <c r="F2212" i="1" s="1"/>
  <c r="E2213" i="1" s="1"/>
  <c r="F2213" i="1" s="1"/>
  <c r="D2214" i="1" s="1"/>
  <c r="F2214" i="1" s="1"/>
  <c r="E2215" i="1" s="1"/>
  <c r="F2215" i="1" s="1"/>
  <c r="E2216" i="1" s="1"/>
  <c r="F2216" i="1" s="1"/>
  <c r="D2217" i="1" s="1"/>
  <c r="F2217" i="1" s="1"/>
  <c r="E2218" i="1" s="1"/>
  <c r="F2218" i="1" s="1"/>
  <c r="E2219" i="1" s="1"/>
  <c r="F2219" i="1" s="1"/>
  <c r="E2220" i="1" s="1"/>
  <c r="F2220" i="1" s="1"/>
  <c r="E2221" i="1" s="1"/>
  <c r="F2221" i="1" s="1"/>
  <c r="D2222" i="1" s="1"/>
  <c r="F2222" i="1" s="1"/>
  <c r="E2223" i="1" s="1"/>
  <c r="F2223" i="1" s="1"/>
  <c r="E2224" i="1" s="1"/>
  <c r="F2224" i="1" s="1"/>
  <c r="D2225" i="1" s="1"/>
  <c r="F2225" i="1" s="1"/>
  <c r="D2226" i="1" s="1"/>
  <c r="F2226" i="1" s="1"/>
  <c r="E2227" i="1" s="1"/>
  <c r="F2227" i="1" s="1"/>
  <c r="E2228" i="1" s="1"/>
  <c r="F2228" i="1" s="1"/>
  <c r="E2229" i="1" s="1"/>
  <c r="F2229" i="1" s="1"/>
  <c r="E2230" i="1" s="1"/>
  <c r="F2230" i="1" s="1"/>
  <c r="E2231" i="1" s="1"/>
  <c r="F2231" i="1" s="1"/>
  <c r="D2232" i="1" s="1"/>
  <c r="F2232" i="1" s="1"/>
  <c r="D2233" i="1" s="1"/>
  <c r="F2233" i="1" s="1"/>
  <c r="E2234" i="1" s="1"/>
  <c r="F2234" i="1" s="1"/>
  <c r="E2235" i="1" s="1"/>
  <c r="F2235" i="1" s="1"/>
  <c r="D2236" i="1" s="1"/>
  <c r="F2236" i="1" s="1"/>
  <c r="D2237" i="1" s="1"/>
  <c r="F2237" i="1" s="1"/>
  <c r="D2238" i="1" s="1"/>
  <c r="F2238" i="1" s="1"/>
  <c r="E2239" i="1" s="1"/>
  <c r="F2239" i="1" s="1"/>
  <c r="D2240" i="1" s="1"/>
  <c r="F2240" i="1" s="1"/>
  <c r="E2241" i="1" s="1"/>
  <c r="F2241" i="1" s="1"/>
  <c r="E2242" i="1" s="1"/>
  <c r="F2242" i="1" s="1"/>
  <c r="E2243" i="1" s="1"/>
  <c r="F2243" i="1" s="1"/>
  <c r="E2244" i="1" s="1"/>
  <c r="F2244" i="1" s="1"/>
  <c r="E2245" i="1" s="1"/>
  <c r="F2245" i="1" s="1"/>
  <c r="E2246" i="1" s="1"/>
  <c r="F2246" i="1" s="1"/>
  <c r="E2247" i="1" s="1"/>
  <c r="F2247" i="1" s="1"/>
  <c r="D2248" i="1" s="1"/>
  <c r="F2248" i="1" s="1"/>
  <c r="E2249" i="1" s="1"/>
  <c r="F2249" i="1" s="1"/>
  <c r="E2250" i="1" s="1"/>
  <c r="F2250" i="1" s="1"/>
  <c r="E2251" i="1" s="1"/>
  <c r="F2251" i="1" s="1"/>
  <c r="D2252" i="1" s="1"/>
  <c r="F2252" i="1" s="1"/>
  <c r="E2253" i="1" s="1"/>
  <c r="F2253" i="1" s="1"/>
  <c r="E2254" i="1" s="1"/>
  <c r="F2254" i="1" s="1"/>
  <c r="D2255" i="1" s="1"/>
  <c r="F2255" i="1" s="1"/>
  <c r="D2256" i="1" s="1"/>
  <c r="F2256" i="1" s="1"/>
  <c r="E2257" i="1" s="1"/>
  <c r="F2257" i="1" s="1"/>
  <c r="D2258" i="1" s="1"/>
  <c r="F2258" i="1" s="1"/>
  <c r="E2259" i="1" s="1"/>
  <c r="F2259" i="1" s="1"/>
  <c r="E2260" i="1" s="1"/>
  <c r="F2260" i="1" s="1"/>
  <c r="E2261" i="1" s="1"/>
  <c r="F2261" i="1" s="1"/>
  <c r="E2262" i="1" s="1"/>
  <c r="F2262" i="1" s="1"/>
  <c r="E2263" i="1" s="1"/>
  <c r="F2263" i="1" s="1"/>
  <c r="D2264" i="1" s="1"/>
  <c r="F2264" i="1" s="1"/>
  <c r="D2265" i="1" s="1"/>
  <c r="F2265" i="1" s="1"/>
  <c r="E2266" i="1" s="1"/>
  <c r="F2266" i="1" s="1"/>
  <c r="D2267" i="1" s="1"/>
  <c r="F2267" i="1" s="1"/>
  <c r="D2268" i="1" s="1"/>
  <c r="F2268" i="1" s="1"/>
  <c r="E2269" i="1" s="1"/>
  <c r="F2269" i="1" s="1"/>
  <c r="E2270" i="1" s="1"/>
  <c r="F2270" i="1" s="1"/>
  <c r="E2271" i="1" s="1"/>
  <c r="F2271" i="1" s="1"/>
  <c r="D2272" i="1" s="1"/>
  <c r="F2272" i="1" s="1"/>
  <c r="D2273" i="1" s="1"/>
  <c r="F2273" i="1" s="1"/>
  <c r="E2274" i="1" s="1"/>
  <c r="F2274" i="1" s="1"/>
  <c r="E2275" i="1" s="1"/>
  <c r="F2275" i="1" s="1"/>
  <c r="D2276" i="1" s="1"/>
  <c r="F2276" i="1" s="1"/>
  <c r="D2277" i="1" s="1"/>
  <c r="F2277" i="1" s="1"/>
  <c r="E2278" i="1" s="1"/>
  <c r="F2278" i="1" s="1"/>
  <c r="D2279" i="1" s="1"/>
  <c r="F2279" i="1" s="1"/>
  <c r="D2280" i="1" s="1"/>
  <c r="F2280" i="1" s="1"/>
  <c r="E2281" i="1" s="1"/>
  <c r="F2281" i="1" s="1"/>
  <c r="D2282" i="1" s="1"/>
  <c r="F2282" i="1" s="1"/>
  <c r="E2283" i="1" s="1"/>
  <c r="F2283" i="1" s="1"/>
  <c r="D2284" i="1" s="1"/>
  <c r="F2284" i="1" s="1"/>
  <c r="E2285" i="1" s="1"/>
  <c r="F2285" i="1" s="1"/>
  <c r="D2286" i="1" s="1"/>
  <c r="F2286" i="1" s="1"/>
  <c r="D2287" i="1" s="1"/>
  <c r="F2287" i="1" s="1"/>
  <c r="D2288" i="1" s="1"/>
  <c r="F2288" i="1" s="1"/>
  <c r="E2289" i="1" s="1"/>
  <c r="F2289" i="1" s="1"/>
  <c r="D2290" i="1" s="1"/>
  <c r="F2290" i="1" s="1"/>
  <c r="D2291" i="1" s="1"/>
  <c r="F2291" i="1" s="1"/>
  <c r="D2292" i="1" s="1"/>
  <c r="F2292" i="1" s="1"/>
  <c r="D2293" i="1" s="1"/>
  <c r="F2293" i="1" s="1"/>
  <c r="D2294" i="1" s="1"/>
  <c r="F2294" i="1" s="1"/>
  <c r="D2295" i="1" s="1"/>
  <c r="F2295" i="1" s="1"/>
  <c r="E2296" i="1" s="1"/>
  <c r="F2296" i="1" s="1"/>
  <c r="E2297" i="1" s="1"/>
  <c r="F2297" i="1" s="1"/>
  <c r="E2298" i="1" s="1"/>
  <c r="F2298" i="1" s="1"/>
  <c r="E2299" i="1" s="1"/>
  <c r="F2299" i="1" s="1"/>
  <c r="D2300" i="1" s="1"/>
  <c r="F2300" i="1" s="1"/>
  <c r="E2301" i="1" s="1"/>
  <c r="F2301" i="1" s="1"/>
  <c r="E2302" i="1" s="1"/>
  <c r="F2302" i="1" s="1"/>
  <c r="D2303" i="1" s="1"/>
  <c r="F2303" i="1" s="1"/>
  <c r="E2304" i="1" s="1"/>
  <c r="F2304" i="1" s="1"/>
  <c r="D2305" i="1" s="1"/>
  <c r="F2305" i="1" s="1"/>
  <c r="D2306" i="1" s="1"/>
  <c r="F2306" i="1" s="1"/>
  <c r="E2307" i="1" s="1"/>
  <c r="F2307" i="1" s="1"/>
  <c r="D2308" i="1" s="1"/>
  <c r="F2308" i="1" s="1"/>
  <c r="E2309" i="1" s="1"/>
  <c r="F2309" i="1" s="1"/>
  <c r="D2310" i="1" s="1"/>
  <c r="F2310" i="1" s="1"/>
  <c r="E2311" i="1" s="1"/>
  <c r="F2311" i="1" s="1"/>
  <c r="E2312" i="1" s="1"/>
  <c r="F2312" i="1" s="1"/>
  <c r="D2313" i="1" s="1"/>
  <c r="F2313" i="1" s="1"/>
  <c r="D2314" i="1" s="1"/>
  <c r="F2314" i="1" s="1"/>
  <c r="D2315" i="1" s="1"/>
  <c r="F2315" i="1" s="1"/>
  <c r="E2316" i="1" s="1"/>
  <c r="F2316" i="1" s="1"/>
  <c r="D2317" i="1" s="1"/>
  <c r="F2317" i="1" s="1"/>
  <c r="E2318" i="1" s="1"/>
  <c r="F2318" i="1" s="1"/>
  <c r="E2319" i="1" s="1"/>
  <c r="F2319" i="1" s="1"/>
  <c r="E2320" i="1" s="1"/>
  <c r="F2320" i="1" s="1"/>
  <c r="D2321" i="1" s="1"/>
  <c r="F2321" i="1" s="1"/>
  <c r="D2322" i="1" s="1"/>
  <c r="F2322" i="1" s="1"/>
  <c r="E2323" i="1" s="1"/>
  <c r="F2323" i="1" s="1"/>
  <c r="D2324" i="1" s="1"/>
  <c r="F2324" i="1" s="1"/>
  <c r="E2325" i="1" s="1"/>
  <c r="F2325" i="1" s="1"/>
  <c r="E2326" i="1" s="1"/>
  <c r="F2326" i="1" s="1"/>
  <c r="D2327" i="1" s="1"/>
  <c r="F2327" i="1" s="1"/>
  <c r="E2328" i="1" s="1"/>
  <c r="F2328" i="1" s="1"/>
  <c r="D2329" i="1" s="1"/>
  <c r="F2329" i="1" s="1"/>
  <c r="D2330" i="1" s="1"/>
  <c r="F2330" i="1" s="1"/>
  <c r="E2331" i="1" s="1"/>
  <c r="F2331" i="1" s="1"/>
  <c r="E2332" i="1" s="1"/>
  <c r="F2332" i="1" s="1"/>
  <c r="E2333" i="1" s="1"/>
  <c r="F2333" i="1" s="1"/>
  <c r="D2334" i="1" s="1"/>
  <c r="F2334" i="1" s="1"/>
  <c r="D2335" i="1" s="1"/>
  <c r="F2335" i="1" s="1"/>
  <c r="E2336" i="1" s="1"/>
  <c r="F2336" i="1" s="1"/>
  <c r="D2337" i="1" s="1"/>
  <c r="F2337" i="1" s="1"/>
  <c r="D2338" i="1" s="1"/>
  <c r="F2338" i="1" s="1"/>
  <c r="D2339" i="1" s="1"/>
  <c r="F2339" i="1" s="1"/>
  <c r="E2340" i="1" s="1"/>
  <c r="F2340" i="1" s="1"/>
  <c r="E2341" i="1" s="1"/>
  <c r="F2341" i="1" s="1"/>
  <c r="E2342" i="1" s="1"/>
  <c r="F2342" i="1" s="1"/>
  <c r="D2343" i="1" s="1"/>
  <c r="F2343" i="1" s="1"/>
  <c r="E2344" i="1" s="1"/>
  <c r="F2344" i="1" s="1"/>
  <c r="E2345" i="1" s="1"/>
  <c r="F2345" i="1" s="1"/>
  <c r="D2346" i="1" s="1"/>
  <c r="F2346" i="1" s="1"/>
  <c r="E2347" i="1" s="1"/>
  <c r="F2347" i="1" s="1"/>
  <c r="E2348" i="1" s="1"/>
  <c r="F2348" i="1" s="1"/>
  <c r="E2349" i="1" s="1"/>
  <c r="F2349" i="1" s="1"/>
  <c r="E2350" i="1" s="1"/>
  <c r="F2350" i="1" s="1"/>
  <c r="D2351" i="1" s="1"/>
  <c r="F2351" i="1" s="1"/>
  <c r="E2352" i="1" s="1"/>
  <c r="F2352" i="1" s="1"/>
  <c r="E2353" i="1" s="1"/>
  <c r="F2353" i="1" s="1"/>
  <c r="D2354" i="1" s="1"/>
  <c r="F2354" i="1" s="1"/>
  <c r="E2355" i="1" s="1"/>
  <c r="F2355" i="1" s="1"/>
  <c r="E2356" i="1" s="1"/>
  <c r="F2356" i="1" s="1"/>
  <c r="E2357" i="1" s="1"/>
  <c r="F2357" i="1" s="1"/>
  <c r="E2358" i="1" s="1"/>
  <c r="F2358" i="1" s="1"/>
  <c r="D2359" i="1" s="1"/>
  <c r="F2359" i="1" s="1"/>
  <c r="D2360" i="1" s="1"/>
  <c r="F2360" i="1" s="1"/>
  <c r="E2361" i="1" s="1"/>
  <c r="F2361" i="1" s="1"/>
  <c r="E2362" i="1" s="1"/>
  <c r="F2362" i="1" s="1"/>
  <c r="E2363" i="1" s="1"/>
  <c r="F2363" i="1" s="1"/>
  <c r="D2364" i="1" s="1"/>
  <c r="F2364" i="1" s="1"/>
  <c r="E2365" i="1" s="1"/>
  <c r="F2365" i="1" s="1"/>
  <c r="D2366" i="1" s="1"/>
  <c r="F2366" i="1" s="1"/>
  <c r="D2367" i="1" s="1"/>
  <c r="F2367" i="1" s="1"/>
  <c r="E2368" i="1" s="1"/>
  <c r="F2368" i="1" s="1"/>
  <c r="E2369" i="1" s="1"/>
  <c r="F2369" i="1" s="1"/>
  <c r="D2370" i="1" s="1"/>
  <c r="F2370" i="1" s="1"/>
  <c r="D2371" i="1" s="1"/>
  <c r="F2371" i="1" s="1"/>
  <c r="E2372" i="1" s="1"/>
  <c r="F2372" i="1" s="1"/>
  <c r="E2373" i="1" s="1"/>
  <c r="F2373" i="1" s="1"/>
  <c r="E2374" i="1" s="1"/>
  <c r="F2374" i="1" s="1"/>
  <c r="E2375" i="1" s="1"/>
  <c r="F2375" i="1" s="1"/>
  <c r="E2376" i="1" s="1"/>
  <c r="F2376" i="1" s="1"/>
  <c r="E2377" i="1" s="1"/>
  <c r="F2377" i="1" s="1"/>
  <c r="E2378" i="1" s="1"/>
  <c r="F2378" i="1" s="1"/>
  <c r="D2379" i="1" s="1"/>
  <c r="F2379" i="1" s="1"/>
  <c r="D2380" i="1" s="1"/>
  <c r="F2380" i="1" s="1"/>
  <c r="E2381" i="1" s="1"/>
  <c r="F2381" i="1" s="1"/>
  <c r="D2382" i="1" s="1"/>
  <c r="F2382" i="1" s="1"/>
  <c r="D2383" i="1" s="1"/>
  <c r="F2383" i="1" s="1"/>
  <c r="E2384" i="1" s="1"/>
  <c r="F2384" i="1" s="1"/>
  <c r="D2385" i="1" s="1"/>
  <c r="F2385" i="1" s="1"/>
  <c r="D2386" i="1" s="1"/>
  <c r="F2386" i="1" s="1"/>
  <c r="D2387" i="1" s="1"/>
  <c r="F2387" i="1" s="1"/>
  <c r="D2388" i="1" s="1"/>
  <c r="F2388" i="1" s="1"/>
  <c r="E2389" i="1" s="1"/>
  <c r="F2389" i="1" s="1"/>
  <c r="E2390" i="1" s="1"/>
  <c r="F2390" i="1" s="1"/>
  <c r="E2391" i="1" s="1"/>
  <c r="F2391" i="1" s="1"/>
  <c r="D2392" i="1" s="1"/>
  <c r="F2392" i="1" s="1"/>
  <c r="E2393" i="1" s="1"/>
  <c r="F2393" i="1" s="1"/>
  <c r="E2394" i="1" s="1"/>
  <c r="F2394" i="1" s="1"/>
  <c r="D2395" i="1" s="1"/>
  <c r="F2395" i="1" s="1"/>
  <c r="D2396" i="1" s="1"/>
  <c r="F2396" i="1" s="1"/>
  <c r="D2397" i="1" s="1"/>
  <c r="F2397" i="1" s="1"/>
  <c r="E2398" i="1" s="1"/>
  <c r="F2398" i="1" s="1"/>
  <c r="E2399" i="1" s="1"/>
  <c r="F2399" i="1" s="1"/>
  <c r="D2400" i="1" s="1"/>
  <c r="F2400" i="1" s="1"/>
  <c r="E2401" i="1" s="1"/>
  <c r="F2401" i="1" s="1"/>
  <c r="D2402" i="1" s="1"/>
  <c r="F2402" i="1" s="1"/>
  <c r="D2403" i="1" s="1"/>
  <c r="F2403" i="1" s="1"/>
  <c r="D2404" i="1" s="1"/>
  <c r="F2404" i="1" s="1"/>
  <c r="E2405" i="1" s="1"/>
  <c r="F2405" i="1" s="1"/>
  <c r="E2406" i="1" s="1"/>
  <c r="F2406" i="1" s="1"/>
  <c r="E2407" i="1" s="1"/>
  <c r="F2407" i="1" s="1"/>
  <c r="E2408" i="1" s="1"/>
  <c r="F2408" i="1" s="1"/>
  <c r="D2409" i="1" s="1"/>
  <c r="F2409" i="1" s="1"/>
  <c r="D2410" i="1" s="1"/>
  <c r="F2410" i="1" s="1"/>
  <c r="D2411" i="1" s="1"/>
  <c r="F2411" i="1" s="1"/>
  <c r="D2412" i="1" s="1"/>
  <c r="F2412" i="1" s="1"/>
  <c r="D2413" i="1" s="1"/>
  <c r="F2413" i="1" s="1"/>
  <c r="E2414" i="1" s="1"/>
  <c r="F2414" i="1" s="1"/>
  <c r="E2415" i="1" s="1"/>
  <c r="F2415" i="1" s="1"/>
  <c r="E2416" i="1" s="1"/>
  <c r="F2416" i="1" s="1"/>
  <c r="E2417" i="1" s="1"/>
  <c r="F2417" i="1" s="1"/>
  <c r="D2418" i="1" s="1"/>
  <c r="F2418" i="1" s="1"/>
  <c r="E2419" i="1" s="1"/>
  <c r="F2419" i="1" s="1"/>
  <c r="D2420" i="1" s="1"/>
  <c r="F2420" i="1" s="1"/>
  <c r="D2421" i="1" s="1"/>
  <c r="F2421" i="1" s="1"/>
  <c r="E2422" i="1" s="1"/>
  <c r="F2422" i="1" s="1"/>
  <c r="D2423" i="1" s="1"/>
  <c r="F2423" i="1" s="1"/>
  <c r="E2424" i="1" s="1"/>
  <c r="F2424" i="1" s="1"/>
  <c r="D2425" i="1" s="1"/>
  <c r="F2425" i="1" s="1"/>
  <c r="E2426" i="1" s="1"/>
  <c r="F2426" i="1" s="1"/>
  <c r="D2427" i="1" s="1"/>
  <c r="F2427" i="1" s="1"/>
  <c r="D2428" i="1" s="1"/>
  <c r="F2428" i="1" s="1"/>
  <c r="D2429" i="1" s="1"/>
  <c r="F2429" i="1" s="1"/>
  <c r="E2430" i="1" s="1"/>
  <c r="F2430" i="1" s="1"/>
  <c r="E2431" i="1" s="1"/>
  <c r="F2431" i="1" s="1"/>
  <c r="E2432" i="1" s="1"/>
  <c r="F2432" i="1" s="1"/>
  <c r="E2433" i="1" s="1"/>
  <c r="F2433" i="1" s="1"/>
  <c r="E2434" i="1" s="1"/>
  <c r="F2434" i="1" s="1"/>
  <c r="E2435" i="1" s="1"/>
  <c r="F2435" i="1" s="1"/>
  <c r="D2436" i="1" s="1"/>
  <c r="F2436" i="1" s="1"/>
  <c r="E2437" i="1" s="1"/>
  <c r="F2437" i="1" s="1"/>
  <c r="D2438" i="1" s="1"/>
  <c r="F2438" i="1" s="1"/>
  <c r="E2439" i="1" s="1"/>
  <c r="F2439" i="1" s="1"/>
  <c r="D2440" i="1" s="1"/>
  <c r="F2440" i="1" s="1"/>
  <c r="D2441" i="1" s="1"/>
  <c r="F2441" i="1" s="1"/>
  <c r="D2442" i="1" s="1"/>
  <c r="F2442" i="1" s="1"/>
  <c r="E2443" i="1" s="1"/>
  <c r="F2443" i="1" s="1"/>
  <c r="D2444" i="1" s="1"/>
  <c r="F2444" i="1" s="1"/>
  <c r="E2445" i="1" s="1"/>
  <c r="F2445" i="1" s="1"/>
  <c r="D2446" i="1" s="1"/>
  <c r="F2446" i="1" s="1"/>
  <c r="E2447" i="1" s="1"/>
  <c r="F2447" i="1" s="1"/>
  <c r="E2448" i="1" s="1"/>
  <c r="F2448" i="1" s="1"/>
  <c r="E2449" i="1" s="1"/>
  <c r="F2449" i="1" s="1"/>
  <c r="E2450" i="1" s="1"/>
  <c r="F2450" i="1" s="1"/>
  <c r="E2451" i="1" s="1"/>
  <c r="F2451" i="1" s="1"/>
  <c r="D2452" i="1" s="1"/>
  <c r="F2452" i="1" s="1"/>
  <c r="E2453" i="1" s="1"/>
  <c r="F2453" i="1" s="1"/>
  <c r="E2454" i="1" s="1"/>
  <c r="F2454" i="1" s="1"/>
  <c r="D2455" i="1" s="1"/>
  <c r="F2455" i="1" s="1"/>
  <c r="E2456" i="1" s="1"/>
  <c r="F2456" i="1" s="1"/>
  <c r="E2457" i="1" s="1"/>
  <c r="F2457" i="1" s="1"/>
  <c r="D2458" i="1" s="1"/>
  <c r="F2458" i="1" s="1"/>
  <c r="E2459" i="1" s="1"/>
  <c r="F2459" i="1" s="1"/>
  <c r="D2460" i="1" s="1"/>
  <c r="F2460" i="1" s="1"/>
  <c r="D2461" i="1" s="1"/>
  <c r="F2461" i="1" s="1"/>
  <c r="D2462" i="1" s="1"/>
  <c r="F2462" i="1" s="1"/>
  <c r="E2463" i="1" s="1"/>
  <c r="F2463" i="1" s="1"/>
  <c r="D2464" i="1" s="1"/>
  <c r="F2464" i="1" s="1"/>
  <c r="E2465" i="1" s="1"/>
  <c r="F2465" i="1" s="1"/>
  <c r="E2466" i="1" s="1"/>
  <c r="F2466" i="1" s="1"/>
  <c r="D2467" i="1" s="1"/>
  <c r="F2467" i="1" s="1"/>
  <c r="D2468" i="1" s="1"/>
  <c r="F2468" i="1" s="1"/>
  <c r="D2469" i="1" s="1"/>
  <c r="F2469" i="1" s="1"/>
  <c r="D2470" i="1" s="1"/>
  <c r="F2470" i="1" s="1"/>
  <c r="D2471" i="1" s="1"/>
  <c r="F2471" i="1" s="1"/>
  <c r="E2472" i="1" s="1"/>
  <c r="F2472" i="1" s="1"/>
  <c r="D2473" i="1" s="1"/>
  <c r="F2473" i="1" s="1"/>
  <c r="E2474" i="1" s="1"/>
  <c r="F2474" i="1" s="1"/>
  <c r="E2475" i="1" s="1"/>
  <c r="F2475" i="1" s="1"/>
  <c r="D2476" i="1" s="1"/>
  <c r="F2476" i="1" s="1"/>
  <c r="E2477" i="1" s="1"/>
  <c r="F2477" i="1" s="1"/>
  <c r="D2478" i="1" s="1"/>
  <c r="F2478" i="1" s="1"/>
  <c r="D2479" i="1" s="1"/>
  <c r="F2479" i="1" s="1"/>
  <c r="E2480" i="1" s="1"/>
  <c r="F2480" i="1" s="1"/>
  <c r="E2481" i="1" s="1"/>
  <c r="F2481" i="1" s="1"/>
  <c r="E2482" i="1" s="1"/>
  <c r="F2482" i="1" s="1"/>
  <c r="D2483" i="1" s="1"/>
  <c r="F2483" i="1" s="1"/>
  <c r="E2484" i="1" s="1"/>
  <c r="F2484" i="1" s="1"/>
  <c r="E2485" i="1" s="1"/>
  <c r="F2485" i="1" s="1"/>
  <c r="E2486" i="1" s="1"/>
  <c r="F2486" i="1" s="1"/>
  <c r="E2487" i="1" s="1"/>
  <c r="F2487" i="1" s="1"/>
  <c r="E2488" i="1" s="1"/>
  <c r="F2488" i="1" s="1"/>
  <c r="E2489" i="1" s="1"/>
  <c r="F2489" i="1" s="1"/>
  <c r="E2490" i="1" s="1"/>
  <c r="F2490" i="1" s="1"/>
  <c r="E2491" i="1" s="1"/>
  <c r="F2491" i="1" s="1"/>
  <c r="E2492" i="1" s="1"/>
  <c r="F2492" i="1" s="1"/>
  <c r="D2493" i="1" s="1"/>
  <c r="F2493" i="1" s="1"/>
  <c r="D2494" i="1" s="1"/>
  <c r="F2494" i="1" s="1"/>
  <c r="E2495" i="1" s="1"/>
  <c r="F2495" i="1" s="1"/>
  <c r="D2496" i="1" s="1"/>
  <c r="F2496" i="1" s="1"/>
  <c r="E2497" i="1" s="1"/>
  <c r="F2497" i="1" s="1"/>
  <c r="D2498" i="1" s="1"/>
  <c r="F2498" i="1" s="1"/>
  <c r="D2499" i="1" s="1"/>
  <c r="F2499" i="1" s="1"/>
  <c r="E2500" i="1" s="1"/>
  <c r="F2500" i="1" s="1"/>
  <c r="E2501" i="1" s="1"/>
  <c r="F2501" i="1" s="1"/>
  <c r="E2502" i="1" s="1"/>
  <c r="F2502" i="1" s="1"/>
  <c r="D2503" i="1" s="1"/>
  <c r="F2503" i="1" s="1"/>
  <c r="D2504" i="1" s="1"/>
  <c r="F2504" i="1" s="1"/>
  <c r="D2505" i="1" s="1"/>
  <c r="F2505" i="1" s="1"/>
  <c r="E2506" i="1" s="1"/>
  <c r="F2506" i="1" s="1"/>
  <c r="E2507" i="1" s="1"/>
  <c r="F2507" i="1" s="1"/>
  <c r="E2508" i="1" s="1"/>
  <c r="F2508" i="1" s="1"/>
  <c r="E2509" i="1" s="1"/>
  <c r="F2509" i="1" s="1"/>
  <c r="D2510" i="1" s="1"/>
  <c r="F2510" i="1" s="1"/>
  <c r="D2511" i="1" s="1"/>
  <c r="F2511" i="1" s="1"/>
  <c r="E2512" i="1" s="1"/>
  <c r="F2512" i="1" s="1"/>
  <c r="D2513" i="1" s="1"/>
  <c r="F2513" i="1" s="1"/>
  <c r="E2514" i="1" s="1"/>
  <c r="F2514" i="1" s="1"/>
  <c r="D2515" i="1" s="1"/>
  <c r="F2515" i="1" s="1"/>
  <c r="E2516" i="1" s="1"/>
  <c r="F2516" i="1" s="1"/>
  <c r="D2517" i="1" s="1"/>
  <c r="F2517" i="1" s="1"/>
  <c r="D2518" i="1" s="1"/>
  <c r="F2518" i="1" s="1"/>
  <c r="D2519" i="1" s="1"/>
  <c r="F2519" i="1" s="1"/>
  <c r="E2520" i="1" s="1"/>
  <c r="F2520" i="1" s="1"/>
  <c r="E2521" i="1" s="1"/>
  <c r="F2521" i="1" s="1"/>
  <c r="E2522" i="1" s="1"/>
  <c r="F2522" i="1" s="1"/>
  <c r="E2523" i="1" s="1"/>
  <c r="F2523" i="1" s="1"/>
  <c r="E2524" i="1" s="1"/>
  <c r="F2524" i="1" s="1"/>
  <c r="D2525" i="1" s="1"/>
  <c r="F2525" i="1" s="1"/>
  <c r="D2526" i="1" s="1"/>
  <c r="F2526" i="1" s="1"/>
  <c r="E2527" i="1" s="1"/>
  <c r="F2527" i="1" s="1"/>
  <c r="D2528" i="1" s="1"/>
  <c r="F2528" i="1" s="1"/>
  <c r="D2529" i="1" s="1"/>
  <c r="F2529" i="1" s="1"/>
  <c r="D2530" i="1" s="1"/>
  <c r="F2530" i="1" s="1"/>
  <c r="D2531" i="1" s="1"/>
  <c r="F2531" i="1" s="1"/>
  <c r="D2532" i="1" s="1"/>
  <c r="F2532" i="1" s="1"/>
  <c r="E2533" i="1" s="1"/>
  <c r="F2533" i="1" s="1"/>
  <c r="D2534" i="1" s="1"/>
  <c r="F2534" i="1" s="1"/>
  <c r="E2535" i="1" s="1"/>
  <c r="F2535" i="1" s="1"/>
  <c r="D2536" i="1" s="1"/>
  <c r="F2536" i="1" s="1"/>
  <c r="D2537" i="1" s="1"/>
  <c r="F2537" i="1" s="1"/>
  <c r="E2538" i="1" s="1"/>
  <c r="F2538" i="1" s="1"/>
  <c r="E2539" i="1" s="1"/>
  <c r="F2539" i="1" s="1"/>
  <c r="D2540" i="1" s="1"/>
  <c r="F2540" i="1" s="1"/>
  <c r="D2541" i="1" s="1"/>
  <c r="F2541" i="1" s="1"/>
  <c r="D2542" i="1" s="1"/>
  <c r="F2542" i="1" s="1"/>
  <c r="E2543" i="1" s="1"/>
  <c r="F2543" i="1" s="1"/>
  <c r="E2544" i="1" s="1"/>
  <c r="F2544" i="1" s="1"/>
  <c r="D2545" i="1" s="1"/>
  <c r="F2545" i="1" s="1"/>
  <c r="E2546" i="1" s="1"/>
  <c r="F2546" i="1" s="1"/>
  <c r="E2547" i="1" s="1"/>
  <c r="F2547" i="1" s="1"/>
  <c r="E2548" i="1" s="1"/>
  <c r="F2548" i="1" s="1"/>
  <c r="D2549" i="1" s="1"/>
  <c r="F2549" i="1" s="1"/>
  <c r="D2550" i="1" s="1"/>
  <c r="F2550" i="1" s="1"/>
  <c r="E2551" i="1" s="1"/>
  <c r="F2551" i="1" s="1"/>
  <c r="E2552" i="1" s="1"/>
  <c r="F2552" i="1" s="1"/>
  <c r="D2553" i="1" s="1"/>
  <c r="F2553" i="1" s="1"/>
  <c r="D2554" i="1" s="1"/>
  <c r="F2554" i="1" s="1"/>
  <c r="D2555" i="1" s="1"/>
  <c r="F2555" i="1" s="1"/>
  <c r="E2556" i="1" s="1"/>
  <c r="F2556" i="1" s="1"/>
  <c r="D2557" i="1" s="1"/>
  <c r="F2557" i="1" s="1"/>
  <c r="D2558" i="1" s="1"/>
  <c r="F2558" i="1" s="1"/>
  <c r="D2559" i="1" s="1"/>
  <c r="F2559" i="1" s="1"/>
  <c r="E2560" i="1" s="1"/>
  <c r="F2560" i="1" s="1"/>
  <c r="E2561" i="1" s="1"/>
  <c r="F2561" i="1" s="1"/>
  <c r="E2562" i="1" s="1"/>
  <c r="F2562" i="1" s="1"/>
  <c r="D2563" i="1" s="1"/>
  <c r="F2563" i="1" s="1"/>
  <c r="E2564" i="1" s="1"/>
  <c r="F2564" i="1" s="1"/>
  <c r="D2565" i="1" s="1"/>
  <c r="F2565" i="1" s="1"/>
  <c r="E2566" i="1" s="1"/>
  <c r="F2566" i="1" s="1"/>
  <c r="E2567" i="1" s="1"/>
  <c r="F2567" i="1" s="1"/>
  <c r="E2568" i="1" s="1"/>
  <c r="F2568" i="1" s="1"/>
  <c r="D2569" i="1" s="1"/>
  <c r="F2569" i="1" s="1"/>
  <c r="E2570" i="1" s="1"/>
  <c r="F2570" i="1" s="1"/>
  <c r="E2571" i="1" s="1"/>
  <c r="F2571" i="1" s="1"/>
  <c r="E2572" i="1" s="1"/>
  <c r="F2572" i="1" s="1"/>
  <c r="D2573" i="1" s="1"/>
  <c r="F2573" i="1" s="1"/>
  <c r="E2574" i="1" s="1"/>
  <c r="F2574" i="1" s="1"/>
  <c r="D2575" i="1" s="1"/>
  <c r="F2575" i="1" s="1"/>
  <c r="D2576" i="1" s="1"/>
  <c r="F2576" i="1" s="1"/>
  <c r="E2577" i="1" s="1"/>
  <c r="F2577" i="1" s="1"/>
  <c r="E2578" i="1" s="1"/>
  <c r="F2578" i="1" s="1"/>
  <c r="E2579" i="1" s="1"/>
  <c r="F2579" i="1" s="1"/>
  <c r="E2580" i="1" s="1"/>
  <c r="F2580" i="1" s="1"/>
  <c r="E2581" i="1" s="1"/>
  <c r="F2581" i="1" s="1"/>
  <c r="E2582" i="1" s="1"/>
  <c r="F2582" i="1" s="1"/>
  <c r="E2583" i="1" s="1"/>
  <c r="F2583" i="1" s="1"/>
  <c r="D2584" i="1" s="1"/>
  <c r="F2584" i="1" s="1"/>
  <c r="E2585" i="1" s="1"/>
  <c r="F2585" i="1" s="1"/>
  <c r="D2586" i="1" s="1"/>
  <c r="F2586" i="1" s="1"/>
  <c r="E2587" i="1" s="1"/>
  <c r="F2587" i="1" s="1"/>
  <c r="E2588" i="1" s="1"/>
  <c r="F2588" i="1" s="1"/>
  <c r="E2589" i="1" s="1"/>
  <c r="F2589" i="1" s="1"/>
  <c r="D2590" i="1" s="1"/>
  <c r="F2590" i="1" s="1"/>
  <c r="E2591" i="1" s="1"/>
  <c r="F2591" i="1" s="1"/>
  <c r="D2592" i="1" s="1"/>
  <c r="F2592" i="1" s="1"/>
  <c r="D2593" i="1" s="1"/>
  <c r="F2593" i="1" s="1"/>
  <c r="E2594" i="1" s="1"/>
  <c r="F2594" i="1" s="1"/>
  <c r="E2595" i="1" s="1"/>
  <c r="F2595" i="1" s="1"/>
  <c r="E2596" i="1" s="1"/>
  <c r="F2596" i="1" s="1"/>
  <c r="E2597" i="1" s="1"/>
  <c r="F2597" i="1" s="1"/>
  <c r="E2598" i="1" s="1"/>
  <c r="F2598" i="1" s="1"/>
  <c r="D2599" i="1" s="1"/>
  <c r="F2599" i="1" s="1"/>
  <c r="E2600" i="1" s="1"/>
  <c r="F2600" i="1" s="1"/>
  <c r="D2601" i="1" s="1"/>
  <c r="F2601" i="1" s="1"/>
  <c r="E2602" i="1" s="1"/>
  <c r="F2602" i="1" s="1"/>
  <c r="D2603" i="1" s="1"/>
  <c r="F2603" i="1" s="1"/>
  <c r="D2604" i="1" s="1"/>
  <c r="F2604" i="1" s="1"/>
  <c r="E2605" i="1" s="1"/>
  <c r="F2605" i="1" s="1"/>
  <c r="D2606" i="1" s="1"/>
  <c r="F2606" i="1" s="1"/>
  <c r="D2607" i="1" s="1"/>
  <c r="F2607" i="1" s="1"/>
  <c r="E2608" i="1" s="1"/>
  <c r="F2608" i="1" s="1"/>
  <c r="D2609" i="1" s="1"/>
  <c r="F2609" i="1" s="1"/>
  <c r="E2610" i="1" s="1"/>
  <c r="F2610" i="1" s="1"/>
  <c r="E2611" i="1" s="1"/>
  <c r="F2611" i="1" s="1"/>
  <c r="E2612" i="1" s="1"/>
  <c r="F2612" i="1" s="1"/>
  <c r="E2613" i="1" s="1"/>
  <c r="F2613" i="1" s="1"/>
  <c r="E2614" i="1" s="1"/>
  <c r="F2614" i="1" s="1"/>
  <c r="D2615" i="1" s="1"/>
  <c r="F2615" i="1" s="1"/>
  <c r="D2616" i="1" s="1"/>
  <c r="F2616" i="1" s="1"/>
  <c r="D2617" i="1" s="1"/>
  <c r="F2617" i="1" s="1"/>
  <c r="E2618" i="1" s="1"/>
  <c r="F2618" i="1" s="1"/>
  <c r="E2619" i="1" s="1"/>
  <c r="F2619" i="1" s="1"/>
  <c r="D2620" i="1" s="1"/>
  <c r="F2620" i="1" s="1"/>
  <c r="E2621" i="1" s="1"/>
  <c r="F2621" i="1" s="1"/>
  <c r="E2622" i="1" s="1"/>
  <c r="F2622" i="1" s="1"/>
  <c r="E2623" i="1" s="1"/>
  <c r="F2623" i="1" s="1"/>
  <c r="E2624" i="1" s="1"/>
  <c r="F2624" i="1" s="1"/>
  <c r="E2625" i="1" s="1"/>
  <c r="F2625" i="1" s="1"/>
  <c r="D2626" i="1" s="1"/>
  <c r="F2626" i="1" s="1"/>
  <c r="E2627" i="1" s="1"/>
  <c r="F2627" i="1" s="1"/>
  <c r="D2628" i="1" s="1"/>
  <c r="F2628" i="1" s="1"/>
  <c r="D2629" i="1" s="1"/>
  <c r="F2629" i="1" s="1"/>
  <c r="D2630" i="1" s="1"/>
  <c r="F2630" i="1" s="1"/>
  <c r="D2631" i="1" s="1"/>
  <c r="F2631" i="1" s="1"/>
  <c r="E2632" i="1" s="1"/>
  <c r="F2632" i="1" s="1"/>
  <c r="E2633" i="1" s="1"/>
  <c r="F2633" i="1" s="1"/>
  <c r="E2634" i="1" s="1"/>
  <c r="F2634" i="1" s="1"/>
  <c r="D2635" i="1" s="1"/>
  <c r="F2635" i="1" s="1"/>
  <c r="D2636" i="1" s="1"/>
  <c r="F2636" i="1" s="1"/>
  <c r="D2637" i="1" s="1"/>
  <c r="F2637" i="1" s="1"/>
  <c r="D2638" i="1" s="1"/>
  <c r="F2638" i="1" s="1"/>
  <c r="D2639" i="1" s="1"/>
  <c r="F2639" i="1" s="1"/>
  <c r="D2640" i="1" s="1"/>
  <c r="F2640" i="1" s="1"/>
  <c r="E2641" i="1" s="1"/>
  <c r="F2641" i="1" s="1"/>
  <c r="E2642" i="1" s="1"/>
  <c r="F2642" i="1" s="1"/>
  <c r="E2643" i="1" s="1"/>
  <c r="F2643" i="1" s="1"/>
  <c r="E2644" i="1" s="1"/>
  <c r="F2644" i="1" s="1"/>
  <c r="E2645" i="1" s="1"/>
  <c r="F2645" i="1" s="1"/>
  <c r="E2646" i="1" s="1"/>
  <c r="F2646" i="1" s="1"/>
  <c r="D2647" i="1" s="1"/>
  <c r="F2647" i="1" s="1"/>
  <c r="E2648" i="1" s="1"/>
  <c r="F2648" i="1" s="1"/>
  <c r="E2649" i="1" s="1"/>
  <c r="F2649" i="1" s="1"/>
  <c r="D2650" i="1" s="1"/>
  <c r="F2650" i="1" s="1"/>
  <c r="D2651" i="1" s="1"/>
  <c r="F2651" i="1" s="1"/>
  <c r="E2652" i="1" s="1"/>
  <c r="F2652" i="1" s="1"/>
  <c r="E2653" i="1" s="1"/>
  <c r="F2653" i="1" s="1"/>
  <c r="E2654" i="1" s="1"/>
  <c r="F2654" i="1" s="1"/>
  <c r="D2655" i="1" s="1"/>
  <c r="F2655" i="1" s="1"/>
  <c r="E2656" i="1" s="1"/>
  <c r="F2656" i="1" s="1"/>
  <c r="E2657" i="1" s="1"/>
  <c r="F2657" i="1" s="1"/>
  <c r="D2658" i="1" s="1"/>
  <c r="F2658" i="1" s="1"/>
  <c r="D2659" i="1" s="1"/>
  <c r="F2659" i="1" s="1"/>
  <c r="E2660" i="1" s="1"/>
  <c r="F2660" i="1" s="1"/>
  <c r="D2661" i="1" s="1"/>
  <c r="F2661" i="1" s="1"/>
  <c r="D2662" i="1" s="1"/>
  <c r="F2662" i="1" s="1"/>
  <c r="D2663" i="1" s="1"/>
  <c r="F2663" i="1" s="1"/>
  <c r="D2664" i="1" s="1"/>
  <c r="F2664" i="1" s="1"/>
  <c r="D2665" i="1" s="1"/>
  <c r="F2665" i="1" s="1"/>
  <c r="E2666" i="1" s="1"/>
  <c r="F2666" i="1" s="1"/>
  <c r="D2667" i="1" s="1"/>
  <c r="F2667" i="1" s="1"/>
  <c r="E2668" i="1" s="1"/>
  <c r="F2668" i="1" s="1"/>
  <c r="D2669" i="1" s="1"/>
  <c r="F2669" i="1" s="1"/>
  <c r="E2670" i="1" s="1"/>
  <c r="F2670" i="1" s="1"/>
  <c r="D2671" i="1" s="1"/>
  <c r="F2671" i="1" s="1"/>
  <c r="E2672" i="1" s="1"/>
  <c r="F2672" i="1" s="1"/>
  <c r="D2673" i="1" s="1"/>
  <c r="F2673" i="1" s="1"/>
  <c r="E2674" i="1" s="1"/>
  <c r="F2674" i="1" s="1"/>
  <c r="D2675" i="1" s="1"/>
  <c r="F2675" i="1" s="1"/>
  <c r="D2676" i="1" s="1"/>
  <c r="F2676" i="1" s="1"/>
  <c r="D2677" i="1" s="1"/>
  <c r="F2677" i="1" s="1"/>
  <c r="D2678" i="1" s="1"/>
  <c r="F2678" i="1" s="1"/>
  <c r="D2679" i="1" s="1"/>
  <c r="F2679" i="1" s="1"/>
  <c r="D2680" i="1" s="1"/>
  <c r="F2680" i="1" s="1"/>
  <c r="E2681" i="1" s="1"/>
  <c r="F2681" i="1" s="1"/>
  <c r="D2682" i="1" s="1"/>
  <c r="F2682" i="1" s="1"/>
  <c r="E2683" i="1" s="1"/>
  <c r="F2683" i="1" s="1"/>
  <c r="E2684" i="1" s="1"/>
  <c r="F2684" i="1" s="1"/>
  <c r="E2685" i="1" s="1"/>
  <c r="F2685" i="1" s="1"/>
  <c r="E2686" i="1" s="1"/>
  <c r="F2686" i="1" s="1"/>
  <c r="D2687" i="1" s="1"/>
  <c r="F2687" i="1" s="1"/>
  <c r="E2688" i="1" s="1"/>
  <c r="F2688" i="1" s="1"/>
  <c r="E2689" i="1" s="1"/>
  <c r="F2689" i="1" s="1"/>
  <c r="D2690" i="1" s="1"/>
  <c r="F2690" i="1" s="1"/>
  <c r="E2691" i="1" s="1"/>
  <c r="F2691" i="1" s="1"/>
  <c r="D2692" i="1" s="1"/>
  <c r="F2692" i="1" s="1"/>
  <c r="D2693" i="1" s="1"/>
  <c r="F2693" i="1" s="1"/>
  <c r="E2694" i="1" s="1"/>
  <c r="F2694" i="1" s="1"/>
  <c r="D2695" i="1" s="1"/>
  <c r="F2695" i="1" s="1"/>
  <c r="E2696" i="1" s="1"/>
  <c r="F2696" i="1" s="1"/>
  <c r="E2697" i="1" s="1"/>
  <c r="F2697" i="1" s="1"/>
  <c r="D2698" i="1" s="1"/>
  <c r="F2698" i="1" s="1"/>
  <c r="E2699" i="1" s="1"/>
  <c r="F2699" i="1" s="1"/>
  <c r="D2700" i="1" s="1"/>
  <c r="F2700" i="1" s="1"/>
  <c r="E2701" i="1" s="1"/>
  <c r="F2701" i="1" s="1"/>
  <c r="D2702" i="1" s="1"/>
  <c r="F2702" i="1" s="1"/>
  <c r="D2703" i="1" s="1"/>
  <c r="F2703" i="1" s="1"/>
  <c r="D2704" i="1" s="1"/>
  <c r="F2704" i="1" s="1"/>
  <c r="E2705" i="1" s="1"/>
  <c r="F2705" i="1" s="1"/>
  <c r="D2706" i="1" s="1"/>
  <c r="F2706" i="1" s="1"/>
  <c r="E2707" i="1" s="1"/>
  <c r="F2707" i="1" s="1"/>
  <c r="E2708" i="1" s="1"/>
  <c r="F2708" i="1" s="1"/>
  <c r="E2709" i="1" s="1"/>
  <c r="F2709" i="1" s="1"/>
  <c r="E2710" i="1" s="1"/>
  <c r="F2710" i="1" s="1"/>
  <c r="E2711" i="1" s="1"/>
  <c r="F2711" i="1" s="1"/>
  <c r="D2712" i="1" s="1"/>
  <c r="F2712" i="1" s="1"/>
  <c r="D2713" i="1" s="1"/>
  <c r="F2713" i="1" s="1"/>
  <c r="E2714" i="1" s="1"/>
  <c r="F2714" i="1" s="1"/>
  <c r="D2715" i="1" s="1"/>
  <c r="F2715" i="1" s="1"/>
  <c r="D2716" i="1" s="1"/>
  <c r="F2716" i="1" s="1"/>
  <c r="E2717" i="1" s="1"/>
  <c r="F2717" i="1" s="1"/>
  <c r="E2718" i="1" s="1"/>
  <c r="F2718" i="1" s="1"/>
  <c r="D2719" i="1" s="1"/>
  <c r="F2719" i="1" s="1"/>
  <c r="E2720" i="1" s="1"/>
  <c r="F2720" i="1" s="1"/>
  <c r="D2721" i="1" s="1"/>
  <c r="F2721" i="1" s="1"/>
  <c r="D2722" i="1" s="1"/>
  <c r="F2722" i="1" s="1"/>
  <c r="D2723" i="1" s="1"/>
  <c r="F2723" i="1" s="1"/>
  <c r="E2724" i="1" s="1"/>
  <c r="F2724" i="1" s="1"/>
  <c r="E2725" i="1" s="1"/>
  <c r="F2725" i="1" s="1"/>
  <c r="D2726" i="1" s="1"/>
  <c r="F2726" i="1" s="1"/>
  <c r="D2727" i="1" s="1"/>
  <c r="F2727" i="1" s="1"/>
  <c r="D2728" i="1" s="1"/>
  <c r="F2728" i="1" s="1"/>
  <c r="E2729" i="1" s="1"/>
  <c r="F2729" i="1" s="1"/>
  <c r="E2730" i="1" s="1"/>
  <c r="F2730" i="1" s="1"/>
  <c r="D2731" i="1" s="1"/>
  <c r="F2731" i="1" s="1"/>
  <c r="D2732" i="1" s="1"/>
  <c r="F2732" i="1" s="1"/>
  <c r="E2733" i="1" s="1"/>
  <c r="F2733" i="1" s="1"/>
  <c r="E2734" i="1" s="1"/>
  <c r="F2734" i="1" s="1"/>
  <c r="D2735" i="1" s="1"/>
  <c r="F2735" i="1" s="1"/>
  <c r="E2736" i="1" s="1"/>
  <c r="F2736" i="1" s="1"/>
  <c r="D2737" i="1" s="1"/>
  <c r="F2737" i="1" s="1"/>
  <c r="E2738" i="1" s="1"/>
  <c r="F2738" i="1" s="1"/>
  <c r="E2739" i="1" s="1"/>
  <c r="F2739" i="1" s="1"/>
  <c r="E2740" i="1" s="1"/>
  <c r="F2740" i="1" s="1"/>
  <c r="D2741" i="1" s="1"/>
  <c r="F2741" i="1" s="1"/>
  <c r="D2742" i="1" s="1"/>
  <c r="F2742" i="1" s="1"/>
  <c r="E2743" i="1" s="1"/>
  <c r="F2743" i="1" s="1"/>
  <c r="D2744" i="1" s="1"/>
  <c r="F2744" i="1" s="1"/>
  <c r="E2745" i="1" s="1"/>
  <c r="F2745" i="1" s="1"/>
  <c r="D2746" i="1" s="1"/>
  <c r="F2746" i="1" s="1"/>
  <c r="D2747" i="1" s="1"/>
  <c r="F2747" i="1" s="1"/>
  <c r="E2748" i="1" s="1"/>
  <c r="F2748" i="1" s="1"/>
  <c r="D2749" i="1" s="1"/>
  <c r="F2749" i="1" s="1"/>
  <c r="D2750" i="1" s="1"/>
  <c r="F2750" i="1" s="1"/>
  <c r="E2751" i="1" s="1"/>
  <c r="F2751" i="1" s="1"/>
  <c r="D2752" i="1" s="1"/>
  <c r="F2752" i="1" s="1"/>
  <c r="D2753" i="1" s="1"/>
  <c r="F2753" i="1" s="1"/>
  <c r="E2754" i="1" s="1"/>
  <c r="F2754" i="1" s="1"/>
  <c r="E2755" i="1" s="1"/>
  <c r="F2755" i="1" s="1"/>
  <c r="D2756" i="1" s="1"/>
  <c r="F2756" i="1" s="1"/>
  <c r="D2757" i="1" s="1"/>
  <c r="F2757" i="1" s="1"/>
  <c r="D2758" i="1" s="1"/>
  <c r="F2758" i="1" s="1"/>
  <c r="E2759" i="1" s="1"/>
  <c r="F2759" i="1" s="1"/>
  <c r="D2760" i="1" s="1"/>
  <c r="F2760" i="1" s="1"/>
  <c r="E2761" i="1" s="1"/>
  <c r="F2761" i="1" s="1"/>
  <c r="E2762" i="1" s="1"/>
  <c r="F2762" i="1" s="1"/>
  <c r="E2763" i="1" s="1"/>
  <c r="F2763" i="1" s="1"/>
  <c r="E2764" i="1" s="1"/>
  <c r="F2764" i="1" s="1"/>
  <c r="E2765" i="1" s="1"/>
  <c r="F2765" i="1" s="1"/>
  <c r="E2766" i="1" s="1"/>
  <c r="F2766" i="1" s="1"/>
  <c r="D2767" i="1" s="1"/>
  <c r="F2767" i="1" s="1"/>
  <c r="D2768" i="1" s="1"/>
  <c r="F2768" i="1" s="1"/>
  <c r="E2769" i="1" s="1"/>
  <c r="F2769" i="1" s="1"/>
  <c r="E2770" i="1" s="1"/>
  <c r="F2770" i="1" s="1"/>
  <c r="D2771" i="1" s="1"/>
  <c r="F2771" i="1" s="1"/>
  <c r="D2772" i="1" s="1"/>
  <c r="F2772" i="1" s="1"/>
  <c r="D2773" i="1" s="1"/>
  <c r="F2773" i="1" s="1"/>
  <c r="E2774" i="1" s="1"/>
  <c r="F2774" i="1" s="1"/>
  <c r="D2775" i="1" s="1"/>
  <c r="F2775" i="1" s="1"/>
  <c r="E2776" i="1" s="1"/>
  <c r="F2776" i="1" s="1"/>
  <c r="D2777" i="1" s="1"/>
  <c r="F2777" i="1" s="1"/>
  <c r="E2778" i="1" s="1"/>
  <c r="F2778" i="1" s="1"/>
  <c r="E2779" i="1" s="1"/>
  <c r="F2779" i="1" s="1"/>
  <c r="D2780" i="1" s="1"/>
  <c r="F2780" i="1" s="1"/>
  <c r="D2781" i="1" s="1"/>
  <c r="F2781" i="1" s="1"/>
  <c r="E2782" i="1" s="1"/>
  <c r="F2782" i="1" s="1"/>
  <c r="E2783" i="1" s="1"/>
  <c r="F2783" i="1" s="1"/>
  <c r="E2784" i="1" s="1"/>
  <c r="F2784" i="1" s="1"/>
  <c r="E2785" i="1" s="1"/>
  <c r="F2785" i="1" s="1"/>
  <c r="E2786" i="1" s="1"/>
  <c r="F2786" i="1" s="1"/>
  <c r="D2787" i="1" s="1"/>
  <c r="F2787" i="1" s="1"/>
  <c r="D2788" i="1" s="1"/>
  <c r="F2788" i="1" s="1"/>
  <c r="E2789" i="1" s="1"/>
  <c r="F2789" i="1" s="1"/>
  <c r="E2790" i="1" s="1"/>
  <c r="F2790" i="1" s="1"/>
  <c r="E2791" i="1" s="1"/>
  <c r="F2791" i="1" s="1"/>
  <c r="E2792" i="1" s="1"/>
  <c r="F2792" i="1" s="1"/>
  <c r="E2793" i="1" s="1"/>
  <c r="F2793" i="1" s="1"/>
  <c r="D2794" i="1" s="1"/>
  <c r="F2794" i="1" s="1"/>
  <c r="E2795" i="1" s="1"/>
  <c r="F2795" i="1" s="1"/>
  <c r="D2796" i="1" s="1"/>
  <c r="F2796" i="1" s="1"/>
  <c r="E2797" i="1" s="1"/>
  <c r="F2797" i="1" s="1"/>
  <c r="E2798" i="1" s="1"/>
  <c r="F2798" i="1" s="1"/>
  <c r="D2799" i="1" s="1"/>
  <c r="F2799" i="1" s="1"/>
  <c r="D2800" i="1" s="1"/>
  <c r="F2800" i="1" s="1"/>
  <c r="E2801" i="1" s="1"/>
  <c r="F2801" i="1" s="1"/>
  <c r="E2802" i="1" s="1"/>
  <c r="F2802" i="1" s="1"/>
  <c r="D2803" i="1" s="1"/>
  <c r="F2803" i="1" s="1"/>
  <c r="D2804" i="1" s="1"/>
  <c r="F2804" i="1" s="1"/>
  <c r="D2805" i="1" s="1"/>
  <c r="F2805" i="1" s="1"/>
  <c r="E2806" i="1" s="1"/>
  <c r="F2806" i="1" s="1"/>
  <c r="E2807" i="1" s="1"/>
  <c r="F2807" i="1" s="1"/>
  <c r="E2808" i="1" s="1"/>
  <c r="F2808" i="1" s="1"/>
  <c r="D2809" i="1" s="1"/>
  <c r="F2809" i="1" s="1"/>
  <c r="E2810" i="1" s="1"/>
  <c r="F2810" i="1" s="1"/>
  <c r="E2811" i="1" s="1"/>
  <c r="F2811" i="1" s="1"/>
  <c r="E2812" i="1" s="1"/>
  <c r="F2812" i="1" s="1"/>
  <c r="E2813" i="1" s="1"/>
  <c r="F2813" i="1" s="1"/>
  <c r="E2814" i="1" s="1"/>
  <c r="F2814" i="1" s="1"/>
  <c r="E2815" i="1" s="1"/>
  <c r="F2815" i="1" s="1"/>
  <c r="E2816" i="1" s="1"/>
  <c r="F2816" i="1" s="1"/>
  <c r="E2817" i="1" s="1"/>
  <c r="F2817" i="1" s="1"/>
  <c r="D2818" i="1" s="1"/>
  <c r="F2818" i="1" s="1"/>
  <c r="E2819" i="1" s="1"/>
  <c r="F2819" i="1" s="1"/>
  <c r="D2820" i="1" s="1"/>
  <c r="F2820" i="1" s="1"/>
  <c r="E2821" i="1" s="1"/>
  <c r="F2821" i="1" s="1"/>
  <c r="D2822" i="1" s="1"/>
  <c r="F2822" i="1" s="1"/>
  <c r="D2823" i="1" s="1"/>
  <c r="F2823" i="1" s="1"/>
  <c r="D2824" i="1" s="1"/>
  <c r="F2824" i="1" s="1"/>
  <c r="E2825" i="1" s="1"/>
  <c r="F2825" i="1" s="1"/>
  <c r="E2826" i="1" s="1"/>
  <c r="F2826" i="1" s="1"/>
  <c r="D2827" i="1" s="1"/>
  <c r="F2827" i="1" s="1"/>
  <c r="E2828" i="1" s="1"/>
  <c r="F2828" i="1" s="1"/>
  <c r="D2829" i="1" s="1"/>
  <c r="F2829" i="1" s="1"/>
  <c r="D2830" i="1" s="1"/>
  <c r="F2830" i="1" s="1"/>
  <c r="D2831" i="1" s="1"/>
  <c r="F2831" i="1" s="1"/>
  <c r="E2832" i="1" s="1"/>
  <c r="F2832" i="1" s="1"/>
  <c r="E2833" i="1" s="1"/>
  <c r="F2833" i="1" s="1"/>
  <c r="E2834" i="1" s="1"/>
  <c r="F2834" i="1" s="1"/>
  <c r="D2835" i="1" s="1"/>
  <c r="F2835" i="1" s="1"/>
  <c r="E2836" i="1" s="1"/>
  <c r="F2836" i="1" s="1"/>
  <c r="D2837" i="1" s="1"/>
  <c r="F2837" i="1" s="1"/>
  <c r="D2838" i="1" s="1"/>
  <c r="F2838" i="1" s="1"/>
  <c r="E2839" i="1" s="1"/>
  <c r="F2839" i="1" s="1"/>
  <c r="E2840" i="1" s="1"/>
  <c r="F2840" i="1" s="1"/>
  <c r="E2841" i="1" s="1"/>
  <c r="F2841" i="1" s="1"/>
  <c r="D2842" i="1" s="1"/>
  <c r="F2842" i="1" s="1"/>
  <c r="E2843" i="1" s="1"/>
  <c r="F2843" i="1" s="1"/>
  <c r="E2844" i="1" s="1"/>
  <c r="F2844" i="1" s="1"/>
  <c r="E2845" i="1" s="1"/>
  <c r="F2845" i="1" s="1"/>
  <c r="E2846" i="1" s="1"/>
  <c r="F2846" i="1" s="1"/>
  <c r="E2847" i="1" s="1"/>
  <c r="F2847" i="1" s="1"/>
  <c r="E2848" i="1" s="1"/>
  <c r="F2848" i="1" s="1"/>
  <c r="E2849" i="1" s="1"/>
  <c r="F2849" i="1" s="1"/>
  <c r="D2850" i="1" s="1"/>
  <c r="F2850" i="1" s="1"/>
  <c r="D2851" i="1" s="1"/>
  <c r="F2851" i="1" s="1"/>
  <c r="E2852" i="1" s="1"/>
  <c r="F2852" i="1" s="1"/>
  <c r="E2853" i="1" s="1"/>
  <c r="F2853" i="1" s="1"/>
  <c r="D2854" i="1" s="1"/>
  <c r="F2854" i="1" s="1"/>
  <c r="D2855" i="1" s="1"/>
  <c r="F2855" i="1" s="1"/>
  <c r="D2856" i="1" s="1"/>
  <c r="F2856" i="1" s="1"/>
  <c r="E2857" i="1" s="1"/>
  <c r="F2857" i="1" s="1"/>
  <c r="E2858" i="1" s="1"/>
  <c r="F2858" i="1" s="1"/>
  <c r="D2859" i="1" s="1"/>
  <c r="F2859" i="1" s="1"/>
  <c r="E2860" i="1" s="1"/>
  <c r="F2860" i="1" s="1"/>
  <c r="E2861" i="1" s="1"/>
  <c r="F2861" i="1" s="1"/>
  <c r="E2862" i="1" s="1"/>
  <c r="F2862" i="1" s="1"/>
  <c r="D2863" i="1" s="1"/>
  <c r="F2863" i="1" s="1"/>
  <c r="E2864" i="1" s="1"/>
  <c r="F2864" i="1" s="1"/>
  <c r="D2865" i="1" s="1"/>
  <c r="F2865" i="1" s="1"/>
  <c r="E2866" i="1" s="1"/>
  <c r="F2866" i="1" s="1"/>
  <c r="E2867" i="1" s="1"/>
  <c r="F2867" i="1" s="1"/>
  <c r="E2868" i="1" s="1"/>
  <c r="F2868" i="1" s="1"/>
  <c r="E2869" i="1" s="1"/>
  <c r="F2869" i="1" s="1"/>
  <c r="E2870" i="1" s="1"/>
  <c r="F2870" i="1" s="1"/>
  <c r="E2871" i="1" s="1"/>
  <c r="F2871" i="1" s="1"/>
  <c r="E2872" i="1" s="1"/>
  <c r="F2872" i="1" s="1"/>
  <c r="D2873" i="1" s="1"/>
  <c r="F2873" i="1" s="1"/>
  <c r="E2874" i="1" s="1"/>
  <c r="F2874" i="1" s="1"/>
  <c r="D2875" i="1" s="1"/>
  <c r="F2875" i="1" s="1"/>
  <c r="E2876" i="1" s="1"/>
  <c r="F2876" i="1" s="1"/>
  <c r="E2877" i="1" s="1"/>
  <c r="F2877" i="1" s="1"/>
  <c r="D2878" i="1" s="1"/>
  <c r="F2878" i="1" s="1"/>
  <c r="D2879" i="1" s="1"/>
  <c r="F2879" i="1" s="1"/>
  <c r="E2880" i="1" s="1"/>
  <c r="F2880" i="1" s="1"/>
  <c r="E2881" i="1" s="1"/>
  <c r="F2881" i="1" s="1"/>
  <c r="D2882" i="1" s="1"/>
  <c r="F2882" i="1" s="1"/>
  <c r="D2883" i="1" s="1"/>
  <c r="F2883" i="1" s="1"/>
  <c r="D2884" i="1" s="1"/>
  <c r="F2884" i="1" s="1"/>
  <c r="E2885" i="1" s="1"/>
  <c r="F2885" i="1" s="1"/>
  <c r="E2886" i="1" s="1"/>
  <c r="F2886" i="1" s="1"/>
  <c r="D2887" i="1" s="1"/>
  <c r="F2887" i="1" s="1"/>
  <c r="D2888" i="1" s="1"/>
  <c r="F2888" i="1" s="1"/>
  <c r="E2889" i="1" s="1"/>
  <c r="F2889" i="1" s="1"/>
  <c r="E2890" i="1" s="1"/>
  <c r="F2890" i="1" s="1"/>
  <c r="D2891" i="1" s="1"/>
  <c r="F2891" i="1" s="1"/>
  <c r="D2892" i="1" s="1"/>
  <c r="F2892" i="1" s="1"/>
  <c r="E2893" i="1" s="1"/>
  <c r="F2893" i="1" s="1"/>
  <c r="E2894" i="1" s="1"/>
  <c r="F2894" i="1" s="1"/>
  <c r="E2895" i="1" s="1"/>
  <c r="F2895" i="1" s="1"/>
  <c r="D2896" i="1" s="1"/>
  <c r="F2896" i="1" s="1"/>
  <c r="E2897" i="1" s="1"/>
  <c r="F2897" i="1" s="1"/>
  <c r="D2898" i="1" s="1"/>
  <c r="F2898" i="1" s="1"/>
  <c r="D2899" i="1" s="1"/>
  <c r="F2899" i="1" s="1"/>
  <c r="E2900" i="1" s="1"/>
  <c r="F2900" i="1" s="1"/>
  <c r="E2901" i="1" s="1"/>
  <c r="F2901" i="1" s="1"/>
  <c r="E2902" i="1" s="1"/>
  <c r="F2902" i="1" s="1"/>
  <c r="D2903" i="1" s="1"/>
  <c r="F2903" i="1" s="1"/>
  <c r="E2904" i="1" s="1"/>
  <c r="F2904" i="1" s="1"/>
  <c r="D2905" i="1" s="1"/>
  <c r="F2905" i="1" s="1"/>
  <c r="D2906" i="1" s="1"/>
  <c r="F2906" i="1" s="1"/>
  <c r="D2907" i="1" s="1"/>
  <c r="F2907" i="1" s="1"/>
  <c r="E2908" i="1" s="1"/>
  <c r="F2908" i="1" s="1"/>
  <c r="D2909" i="1" s="1"/>
  <c r="F2909" i="1" s="1"/>
  <c r="E2910" i="1" s="1"/>
  <c r="F2910" i="1" s="1"/>
  <c r="D2911" i="1" s="1"/>
  <c r="F2911" i="1" s="1"/>
  <c r="E2912" i="1" s="1"/>
  <c r="F2912" i="1" s="1"/>
  <c r="D2913" i="1" s="1"/>
  <c r="F2913" i="1" s="1"/>
  <c r="D2914" i="1" s="1"/>
  <c r="F2914" i="1" s="1"/>
  <c r="D2915" i="1" s="1"/>
  <c r="F2915" i="1" s="1"/>
  <c r="E2916" i="1" s="1"/>
  <c r="F2916" i="1" s="1"/>
  <c r="D2917" i="1" s="1"/>
  <c r="F2917" i="1" s="1"/>
  <c r="E2918" i="1" s="1"/>
  <c r="F2918" i="1" s="1"/>
  <c r="D2919" i="1" s="1"/>
  <c r="F2919" i="1" s="1"/>
  <c r="E2920" i="1" s="1"/>
  <c r="F2920" i="1" s="1"/>
  <c r="D2921" i="1" s="1"/>
  <c r="F2921" i="1" s="1"/>
  <c r="D2922" i="1" s="1"/>
  <c r="F2922" i="1" s="1"/>
  <c r="D2923" i="1" s="1"/>
  <c r="F2923" i="1" s="1"/>
  <c r="D2924" i="1" s="1"/>
  <c r="F2924" i="1" s="1"/>
  <c r="D2925" i="1" s="1"/>
  <c r="F2925" i="1" s="1"/>
  <c r="E2926" i="1" s="1"/>
  <c r="F2926" i="1" s="1"/>
  <c r="E2927" i="1" s="1"/>
  <c r="F2927" i="1" s="1"/>
  <c r="D2928" i="1" s="1"/>
  <c r="F2928" i="1" s="1"/>
  <c r="D2929" i="1" s="1"/>
  <c r="F2929" i="1" s="1"/>
  <c r="D2930" i="1" s="1"/>
  <c r="F2930" i="1" s="1"/>
  <c r="D2931" i="1" s="1"/>
  <c r="F2931" i="1" s="1"/>
  <c r="E2932" i="1" s="1"/>
  <c r="F2932" i="1" s="1"/>
  <c r="E2933" i="1" s="1"/>
  <c r="F2933" i="1" s="1"/>
  <c r="E2934" i="1" s="1"/>
  <c r="F2934" i="1" s="1"/>
  <c r="E2935" i="1" s="1"/>
  <c r="F2935" i="1" s="1"/>
  <c r="D2936" i="1" s="1"/>
  <c r="F2936" i="1" s="1"/>
  <c r="E2937" i="1" s="1"/>
  <c r="F2937" i="1" s="1"/>
  <c r="E2938" i="1" s="1"/>
  <c r="F2938" i="1" s="1"/>
  <c r="D2939" i="1" s="1"/>
  <c r="F2939" i="1" s="1"/>
  <c r="E2940" i="1" s="1"/>
  <c r="F2940" i="1" s="1"/>
  <c r="D2941" i="1" s="1"/>
  <c r="F2941" i="1" s="1"/>
  <c r="D2942" i="1" s="1"/>
  <c r="F2942" i="1" s="1"/>
  <c r="D2943" i="1" s="1"/>
  <c r="F2943" i="1" s="1"/>
  <c r="D2944" i="1" s="1"/>
  <c r="F2944" i="1" s="1"/>
  <c r="D2945" i="1" s="1"/>
  <c r="F2945" i="1" s="1"/>
  <c r="D2946" i="1" s="1"/>
  <c r="F2946" i="1" s="1"/>
  <c r="D2947" i="1" s="1"/>
  <c r="F2947" i="1" s="1"/>
  <c r="E2948" i="1" s="1"/>
  <c r="F2948" i="1" s="1"/>
  <c r="E2949" i="1" s="1"/>
  <c r="F2949" i="1" s="1"/>
  <c r="D2950" i="1" s="1"/>
  <c r="F2950" i="1" s="1"/>
  <c r="D2951" i="1" s="1"/>
  <c r="F2951" i="1" s="1"/>
  <c r="E2952" i="1" s="1"/>
  <c r="F2952" i="1" s="1"/>
  <c r="E2953" i="1" s="1"/>
  <c r="F2953" i="1" s="1"/>
  <c r="E2954" i="1" s="1"/>
  <c r="F2954" i="1" s="1"/>
  <c r="D2955" i="1" s="1"/>
  <c r="F2955" i="1" s="1"/>
  <c r="E2956" i="1" s="1"/>
  <c r="F2956" i="1" s="1"/>
  <c r="E2957" i="1" s="1"/>
  <c r="F2957" i="1" s="1"/>
  <c r="D2958" i="1" s="1"/>
  <c r="F2958" i="1" s="1"/>
  <c r="E2959" i="1" s="1"/>
  <c r="F2959" i="1" s="1"/>
  <c r="D2960" i="1" s="1"/>
  <c r="F2960" i="1" s="1"/>
  <c r="E2961" i="1" s="1"/>
  <c r="F2961" i="1" s="1"/>
  <c r="D2962" i="1" s="1"/>
  <c r="F2962" i="1" s="1"/>
  <c r="E2963" i="1" s="1"/>
  <c r="F2963" i="1" s="1"/>
  <c r="E2964" i="1" s="1"/>
  <c r="F2964" i="1" s="1"/>
  <c r="E2965" i="1" s="1"/>
  <c r="F2965" i="1" s="1"/>
  <c r="E2966" i="1" s="1"/>
  <c r="F2966" i="1" s="1"/>
  <c r="E2967" i="1" s="1"/>
  <c r="F2967" i="1" s="1"/>
  <c r="D2968" i="1" s="1"/>
  <c r="F2968" i="1" s="1"/>
  <c r="E2969" i="1" s="1"/>
  <c r="F2969" i="1" s="1"/>
  <c r="E2970" i="1" s="1"/>
  <c r="F2970" i="1" s="1"/>
  <c r="D2971" i="1" s="1"/>
  <c r="F2971" i="1" s="1"/>
  <c r="D2972" i="1" s="1"/>
  <c r="F2972" i="1" s="1"/>
  <c r="D2973" i="1" s="1"/>
  <c r="F2973" i="1" s="1"/>
  <c r="E2974" i="1" s="1"/>
  <c r="F2974" i="1" s="1"/>
  <c r="D2975" i="1" s="1"/>
  <c r="F2975" i="1" s="1"/>
  <c r="E2976" i="1" s="1"/>
  <c r="F2976" i="1" s="1"/>
  <c r="D2977" i="1" s="1"/>
  <c r="F2977" i="1" s="1"/>
  <c r="D2978" i="1" s="1"/>
  <c r="F2978" i="1" s="1"/>
  <c r="D2979" i="1" s="1"/>
  <c r="F2979" i="1" s="1"/>
  <c r="D2980" i="1" s="1"/>
  <c r="F2980" i="1" s="1"/>
  <c r="D2981" i="1" s="1"/>
  <c r="F2981" i="1" s="1"/>
  <c r="D2982" i="1" s="1"/>
  <c r="F2982" i="1" s="1"/>
  <c r="E2983" i="1" s="1"/>
  <c r="F2983" i="1" s="1"/>
  <c r="D2984" i="1" s="1"/>
  <c r="F2984" i="1" s="1"/>
  <c r="D2985" i="1" s="1"/>
  <c r="F2985" i="1" s="1"/>
  <c r="E2986" i="1" s="1"/>
  <c r="F2986" i="1" s="1"/>
  <c r="D2987" i="1" s="1"/>
  <c r="F2987" i="1" s="1"/>
  <c r="D2988" i="1" s="1"/>
  <c r="F2988" i="1" s="1"/>
  <c r="D2989" i="1" s="1"/>
  <c r="F2989" i="1" s="1"/>
  <c r="E2990" i="1" s="1"/>
  <c r="F2990" i="1" s="1"/>
  <c r="E2991" i="1" s="1"/>
  <c r="F2991" i="1" s="1"/>
  <c r="D2992" i="1" s="1"/>
  <c r="F2992" i="1" s="1"/>
  <c r="E2993" i="1" s="1"/>
  <c r="F2993" i="1" s="1"/>
  <c r="E2994" i="1" s="1"/>
  <c r="F2994" i="1" s="1"/>
  <c r="E2995" i="1" s="1"/>
  <c r="F2995" i="1" s="1"/>
  <c r="D2996" i="1" s="1"/>
  <c r="F2996" i="1" s="1"/>
  <c r="E2997" i="1" s="1"/>
  <c r="F2997" i="1" s="1"/>
  <c r="D2998" i="1" s="1"/>
  <c r="F2998" i="1" s="1"/>
  <c r="E2999" i="1" s="1"/>
  <c r="F2999" i="1" s="1"/>
  <c r="E3000" i="1" s="1"/>
  <c r="F3000" i="1" s="1"/>
  <c r="E3001" i="1" s="1"/>
  <c r="F3001" i="1" s="1"/>
  <c r="D3002" i="1" s="1"/>
  <c r="F3002" i="1" s="1"/>
  <c r="D3003" i="1" s="1"/>
  <c r="F3003" i="1" s="1"/>
  <c r="D3004" i="1" s="1"/>
  <c r="F3004" i="1" s="1"/>
  <c r="E3005" i="1" s="1"/>
  <c r="F3005" i="1" s="1"/>
  <c r="E3006" i="1" s="1"/>
  <c r="F3006" i="1" s="1"/>
  <c r="E3007" i="1" s="1"/>
  <c r="F3007" i="1" s="1"/>
  <c r="E3008" i="1" s="1"/>
  <c r="F3008" i="1" s="1"/>
  <c r="E3009" i="1" s="1"/>
  <c r="F3009" i="1" s="1"/>
  <c r="E3010" i="1" s="1"/>
  <c r="F3010" i="1" s="1"/>
  <c r="E3011" i="1" s="1"/>
  <c r="F3011" i="1" s="1"/>
  <c r="E3012" i="1" s="1"/>
  <c r="F3012" i="1" s="1"/>
  <c r="D3013" i="1" s="1"/>
  <c r="F3013" i="1" s="1"/>
  <c r="E3014" i="1" s="1"/>
  <c r="F3014" i="1" s="1"/>
  <c r="D3015" i="1" s="1"/>
  <c r="F3015" i="1" s="1"/>
  <c r="E3016" i="1" s="1"/>
  <c r="F3016" i="1" s="1"/>
  <c r="E3017" i="1" s="1"/>
  <c r="F3017" i="1" s="1"/>
  <c r="E3018" i="1" s="1"/>
  <c r="F3018" i="1" s="1"/>
  <c r="E3019" i="1" s="1"/>
  <c r="F3019" i="1" s="1"/>
  <c r="E3020" i="1" s="1"/>
  <c r="F3020" i="1" s="1"/>
  <c r="E3021" i="1" s="1"/>
  <c r="F3021" i="1" s="1"/>
  <c r="D3022" i="1" s="1"/>
  <c r="F3022" i="1" s="1"/>
  <c r="D3023" i="1" s="1"/>
  <c r="F3023" i="1" s="1"/>
  <c r="E3024" i="1" s="1"/>
  <c r="F3024" i="1" s="1"/>
  <c r="D3025" i="1" s="1"/>
  <c r="F3025" i="1" s="1"/>
  <c r="D3026" i="1" s="1"/>
  <c r="F3026" i="1" s="1"/>
  <c r="D3027" i="1" s="1"/>
  <c r="F3027" i="1" s="1"/>
  <c r="D3028" i="1" s="1"/>
  <c r="F3028" i="1" s="1"/>
  <c r="D3029" i="1" s="1"/>
  <c r="F3029" i="1" s="1"/>
  <c r="E3030" i="1" s="1"/>
  <c r="F3030" i="1" s="1"/>
  <c r="D3031" i="1" s="1"/>
  <c r="F3031" i="1" s="1"/>
  <c r="D3032" i="1" s="1"/>
  <c r="F3032" i="1" s="1"/>
  <c r="D3033" i="1" s="1"/>
  <c r="F3033" i="1" s="1"/>
  <c r="E3034" i="1" s="1"/>
  <c r="F3034" i="1" s="1"/>
  <c r="D3035" i="1" s="1"/>
  <c r="F3035" i="1" s="1"/>
  <c r="D3036" i="1" s="1"/>
  <c r="F3036" i="1" s="1"/>
  <c r="E3037" i="1" s="1"/>
  <c r="F3037" i="1" s="1"/>
  <c r="D3038" i="1" s="1"/>
  <c r="F3038" i="1" s="1"/>
  <c r="D3039" i="1" s="1"/>
  <c r="F3039" i="1" s="1"/>
  <c r="D3040" i="1" s="1"/>
  <c r="F3040" i="1" s="1"/>
  <c r="E3041" i="1" s="1"/>
  <c r="F3041" i="1" s="1"/>
  <c r="E3042" i="1" s="1"/>
  <c r="F3042" i="1" s="1"/>
  <c r="D3043" i="1" s="1"/>
  <c r="F3043" i="1" s="1"/>
  <c r="D3044" i="1" s="1"/>
  <c r="F3044" i="1" s="1"/>
  <c r="E3045" i="1" s="1"/>
  <c r="F3045" i="1" s="1"/>
  <c r="E3046" i="1" s="1"/>
  <c r="F3046" i="1" s="1"/>
  <c r="D3047" i="1" s="1"/>
  <c r="F3047" i="1" s="1"/>
  <c r="E3048" i="1" s="1"/>
  <c r="F3048" i="1" s="1"/>
  <c r="D3049" i="1" s="1"/>
  <c r="F3049" i="1" s="1"/>
  <c r="D3050" i="1" s="1"/>
  <c r="F3050" i="1" s="1"/>
  <c r="D3051" i="1" s="1"/>
  <c r="F3051" i="1" s="1"/>
  <c r="E3052" i="1" s="1"/>
  <c r="F3052" i="1" s="1"/>
  <c r="D3053" i="1" s="1"/>
  <c r="F3053" i="1" s="1"/>
  <c r="E3054" i="1" s="1"/>
  <c r="F3054" i="1" s="1"/>
  <c r="E3055" i="1" s="1"/>
  <c r="F3055" i="1" s="1"/>
  <c r="D3056" i="1" s="1"/>
  <c r="F3056" i="1" s="1"/>
  <c r="D3057" i="1" s="1"/>
  <c r="F3057" i="1" s="1"/>
  <c r="D3058" i="1" s="1"/>
  <c r="F3058" i="1" s="1"/>
  <c r="E3059" i="1" s="1"/>
  <c r="F3059" i="1" s="1"/>
  <c r="D3060" i="1" s="1"/>
  <c r="F3060" i="1" s="1"/>
  <c r="D3061" i="1" s="1"/>
  <c r="F3061" i="1" s="1"/>
  <c r="E3062" i="1" s="1"/>
  <c r="F3062" i="1" s="1"/>
  <c r="E3063" i="1" s="1"/>
  <c r="F3063" i="1" s="1"/>
  <c r="E3064" i="1" s="1"/>
  <c r="F3064" i="1" s="1"/>
  <c r="E3065" i="1" s="1"/>
  <c r="F3065" i="1" s="1"/>
  <c r="D3066" i="1" s="1"/>
  <c r="F3066" i="1" s="1"/>
  <c r="E3067" i="1" s="1"/>
  <c r="F3067" i="1" s="1"/>
  <c r="D3068" i="1" s="1"/>
  <c r="F3068" i="1" s="1"/>
  <c r="D3069" i="1" s="1"/>
  <c r="F3069" i="1" s="1"/>
  <c r="E3070" i="1" s="1"/>
  <c r="F3070" i="1" s="1"/>
  <c r="D3071" i="1" s="1"/>
  <c r="F3071" i="1" s="1"/>
  <c r="D3072" i="1" s="1"/>
  <c r="F3072" i="1" s="1"/>
  <c r="E3073" i="1" s="1"/>
  <c r="F3073" i="1" s="1"/>
  <c r="E3074" i="1" s="1"/>
  <c r="F3074" i="1" s="1"/>
  <c r="D3075" i="1" s="1"/>
  <c r="F3075" i="1" s="1"/>
  <c r="E3076" i="1" s="1"/>
  <c r="F3076" i="1" s="1"/>
  <c r="E3077" i="1" s="1"/>
  <c r="F3077" i="1" s="1"/>
  <c r="E3078" i="1" s="1"/>
  <c r="F3078" i="1" s="1"/>
  <c r="D3079" i="1" s="1"/>
  <c r="F3079" i="1" s="1"/>
  <c r="D3080" i="1" s="1"/>
  <c r="F3080" i="1" s="1"/>
  <c r="E3081" i="1" s="1"/>
  <c r="F3081" i="1" s="1"/>
  <c r="E3082" i="1" s="1"/>
  <c r="F3082" i="1" s="1"/>
  <c r="E3083" i="1" s="1"/>
  <c r="F3083" i="1" s="1"/>
  <c r="E3084" i="1" s="1"/>
  <c r="F3084" i="1" s="1"/>
  <c r="D3085" i="1" s="1"/>
  <c r="F3085" i="1" s="1"/>
  <c r="D3086" i="1" s="1"/>
  <c r="F3086" i="1" s="1"/>
  <c r="D3087" i="1" s="1"/>
  <c r="F3087" i="1" s="1"/>
  <c r="D3088" i="1" s="1"/>
  <c r="F3088" i="1" s="1"/>
  <c r="E3089" i="1" s="1"/>
  <c r="F3089" i="1" s="1"/>
  <c r="E3090" i="1" s="1"/>
  <c r="F3090" i="1" s="1"/>
  <c r="E3091" i="1" s="1"/>
  <c r="F3091" i="1" s="1"/>
  <c r="E3092" i="1" s="1"/>
  <c r="F3092" i="1" s="1"/>
  <c r="D3093" i="1" s="1"/>
  <c r="F3093" i="1" s="1"/>
  <c r="E3094" i="1" s="1"/>
  <c r="F3094" i="1" s="1"/>
  <c r="E3095" i="1" s="1"/>
  <c r="F3095" i="1" s="1"/>
  <c r="E3096" i="1" s="1"/>
  <c r="F3096" i="1" s="1"/>
  <c r="E3097" i="1" s="1"/>
  <c r="F3097" i="1" s="1"/>
  <c r="E3098" i="1" s="1"/>
  <c r="F3098" i="1" s="1"/>
  <c r="D3099" i="1" s="1"/>
  <c r="F3099" i="1" s="1"/>
  <c r="D3100" i="1" s="1"/>
  <c r="F3100" i="1" s="1"/>
  <c r="D3101" i="1" s="1"/>
  <c r="F3101" i="1" s="1"/>
  <c r="E3102" i="1" s="1"/>
  <c r="F3102" i="1" s="1"/>
  <c r="E3103" i="1" s="1"/>
  <c r="F3103" i="1" s="1"/>
  <c r="E3104" i="1" s="1"/>
  <c r="F3104" i="1" s="1"/>
  <c r="E3105" i="1" s="1"/>
  <c r="F3105" i="1" s="1"/>
  <c r="D3106" i="1" s="1"/>
  <c r="F3106" i="1" s="1"/>
  <c r="D3107" i="1" s="1"/>
  <c r="F3107" i="1" s="1"/>
  <c r="E3108" i="1" s="1"/>
  <c r="F3108" i="1" s="1"/>
  <c r="D3109" i="1" s="1"/>
  <c r="F3109" i="1" s="1"/>
  <c r="E3110" i="1" s="1"/>
  <c r="F3110" i="1" s="1"/>
  <c r="D3111" i="1" s="1"/>
  <c r="F3111" i="1" s="1"/>
  <c r="E3112" i="1" s="1"/>
  <c r="F3112" i="1" s="1"/>
  <c r="E3113" i="1" s="1"/>
  <c r="F3113" i="1" s="1"/>
  <c r="E3114" i="1" s="1"/>
  <c r="F3114" i="1" s="1"/>
  <c r="E3115" i="1" s="1"/>
  <c r="F3115" i="1" s="1"/>
  <c r="E3116" i="1" s="1"/>
  <c r="F3116" i="1" s="1"/>
  <c r="D3117" i="1" s="1"/>
  <c r="F3117" i="1" s="1"/>
  <c r="E3118" i="1" s="1"/>
  <c r="F3118" i="1" s="1"/>
  <c r="D3119" i="1" s="1"/>
  <c r="F3119" i="1" s="1"/>
  <c r="E3120" i="1" s="1"/>
  <c r="F3120" i="1" s="1"/>
  <c r="D3121" i="1" s="1"/>
  <c r="F3121" i="1" s="1"/>
  <c r="D3122" i="1" s="1"/>
  <c r="F3122" i="1" s="1"/>
  <c r="E3123" i="1" s="1"/>
  <c r="F3123" i="1" s="1"/>
  <c r="D3124" i="1" s="1"/>
  <c r="F3124" i="1" s="1"/>
  <c r="E3125" i="1" s="1"/>
  <c r="F3125" i="1" s="1"/>
  <c r="E3126" i="1" s="1"/>
  <c r="F3126" i="1" s="1"/>
  <c r="E3127" i="1" s="1"/>
  <c r="F3127" i="1" s="1"/>
  <c r="D3128" i="1" s="1"/>
  <c r="F3128" i="1" s="1"/>
  <c r="D3129" i="1" s="1"/>
  <c r="F3129" i="1" s="1"/>
  <c r="E3130" i="1" s="1"/>
  <c r="F3130" i="1" s="1"/>
  <c r="E3131" i="1" s="1"/>
  <c r="F3131" i="1" s="1"/>
  <c r="E3132" i="1" s="1"/>
  <c r="F3132" i="1" s="1"/>
  <c r="E3133" i="1" s="1"/>
  <c r="F3133" i="1" s="1"/>
  <c r="E3134" i="1" s="1"/>
  <c r="F3134" i="1" s="1"/>
  <c r="E3135" i="1" s="1"/>
  <c r="F3135" i="1" s="1"/>
  <c r="E3136" i="1" s="1"/>
  <c r="F3136" i="1" s="1"/>
  <c r="D3137" i="1" s="1"/>
  <c r="F3137" i="1" s="1"/>
  <c r="D3138" i="1" s="1"/>
  <c r="F3138" i="1" s="1"/>
  <c r="E3139" i="1" s="1"/>
  <c r="F3139" i="1" s="1"/>
  <c r="E3140" i="1" s="1"/>
  <c r="F3140" i="1" s="1"/>
  <c r="E3141" i="1" s="1"/>
  <c r="F3141" i="1" s="1"/>
  <c r="E3142" i="1" s="1"/>
  <c r="F3142" i="1" s="1"/>
  <c r="E3143" i="1" s="1"/>
  <c r="F3143" i="1" s="1"/>
  <c r="E3144" i="1" s="1"/>
  <c r="F3144" i="1" s="1"/>
  <c r="D3145" i="1" s="1"/>
  <c r="F3145" i="1" s="1"/>
  <c r="E3146" i="1" s="1"/>
  <c r="F3146" i="1" s="1"/>
  <c r="E3147" i="1" s="1"/>
  <c r="F3147" i="1" s="1"/>
  <c r="D3148" i="1" s="1"/>
  <c r="F3148" i="1" s="1"/>
  <c r="D3149" i="1" s="1"/>
  <c r="F3149" i="1" s="1"/>
  <c r="E3150" i="1" s="1"/>
  <c r="F3150" i="1" s="1"/>
  <c r="E3151" i="1" s="1"/>
  <c r="F3151" i="1" s="1"/>
  <c r="D3152" i="1" s="1"/>
  <c r="F3152" i="1" s="1"/>
  <c r="E3153" i="1" s="1"/>
  <c r="F3153" i="1" s="1"/>
  <c r="E3154" i="1" s="1"/>
  <c r="F3154" i="1" s="1"/>
  <c r="D3155" i="1" s="1"/>
  <c r="F3155" i="1" s="1"/>
  <c r="E3156" i="1" s="1"/>
  <c r="F3156" i="1" s="1"/>
  <c r="E3157" i="1" s="1"/>
  <c r="F3157" i="1" s="1"/>
  <c r="E3158" i="1" s="1"/>
  <c r="F3158" i="1" s="1"/>
  <c r="E3159" i="1" s="1"/>
  <c r="F3159" i="1" s="1"/>
  <c r="D3160" i="1" s="1"/>
  <c r="F3160" i="1" s="1"/>
  <c r="E3161" i="1" s="1"/>
  <c r="F3161" i="1" s="1"/>
  <c r="E3162" i="1" s="1"/>
  <c r="F3162" i="1" s="1"/>
  <c r="D3163" i="1" s="1"/>
  <c r="F3163" i="1" s="1"/>
  <c r="D3164" i="1" s="1"/>
  <c r="F3164" i="1" s="1"/>
  <c r="E3165" i="1" s="1"/>
  <c r="F3165" i="1" s="1"/>
  <c r="D3166" i="1" s="1"/>
  <c r="F3166" i="1" s="1"/>
  <c r="E3167" i="1" s="1"/>
  <c r="F3167" i="1" s="1"/>
  <c r="D3168" i="1" s="1"/>
  <c r="F3168" i="1" s="1"/>
  <c r="E3169" i="1" s="1"/>
  <c r="F3169" i="1" s="1"/>
  <c r="E3170" i="1" s="1"/>
  <c r="F3170" i="1" s="1"/>
  <c r="D3171" i="1" s="1"/>
  <c r="F3171" i="1" s="1"/>
  <c r="D3172" i="1" s="1"/>
  <c r="F3172" i="1" s="1"/>
  <c r="D3173" i="1" s="1"/>
  <c r="F3173" i="1" s="1"/>
  <c r="D3174" i="1" s="1"/>
  <c r="F3174" i="1" s="1"/>
  <c r="D3175" i="1" s="1"/>
  <c r="F3175" i="1" s="1"/>
  <c r="D3176" i="1" s="1"/>
  <c r="F3176" i="1" s="1"/>
  <c r="E3177" i="1" s="1"/>
  <c r="F3177" i="1" s="1"/>
  <c r="D3178" i="1" s="1"/>
  <c r="F3178" i="1" s="1"/>
  <c r="E3179" i="1" s="1"/>
  <c r="F3179" i="1" s="1"/>
  <c r="D3180" i="1" s="1"/>
  <c r="F3180" i="1" s="1"/>
  <c r="E3181" i="1" s="1"/>
  <c r="F3181" i="1" s="1"/>
  <c r="E3182" i="1" s="1"/>
  <c r="F3182" i="1" s="1"/>
  <c r="D3183" i="1" s="1"/>
  <c r="F3183" i="1" s="1"/>
  <c r="E3184" i="1" s="1"/>
  <c r="F3184" i="1" s="1"/>
  <c r="D3185" i="1" s="1"/>
  <c r="F3185" i="1" s="1"/>
  <c r="D3186" i="1" s="1"/>
  <c r="F3186" i="1" s="1"/>
  <c r="D3187" i="1" s="1"/>
  <c r="F3187" i="1" s="1"/>
  <c r="E3188" i="1" s="1"/>
  <c r="F3188" i="1" s="1"/>
  <c r="D3189" i="1" s="1"/>
  <c r="F3189" i="1" s="1"/>
  <c r="D3190" i="1" s="1"/>
  <c r="F3190" i="1" s="1"/>
  <c r="E3191" i="1" s="1"/>
  <c r="F3191" i="1" s="1"/>
  <c r="E3192" i="1" s="1"/>
  <c r="F3192" i="1" s="1"/>
  <c r="E3193" i="1" s="1"/>
  <c r="F3193" i="1" s="1"/>
  <c r="E3194" i="1" s="1"/>
  <c r="F3194" i="1" s="1"/>
  <c r="D3195" i="1" s="1"/>
  <c r="F3195" i="1" s="1"/>
  <c r="D3196" i="1" s="1"/>
  <c r="F3196" i="1" s="1"/>
  <c r="D3197" i="1" s="1"/>
  <c r="F3197" i="1" s="1"/>
  <c r="E3198" i="1" s="1"/>
  <c r="F3198" i="1" s="1"/>
  <c r="D3199" i="1" s="1"/>
  <c r="F3199" i="1" s="1"/>
  <c r="E3200" i="1" s="1"/>
  <c r="F3200" i="1" s="1"/>
  <c r="E3201" i="1" s="1"/>
  <c r="F3201" i="1" s="1"/>
  <c r="E3202" i="1" s="1"/>
  <c r="F3202" i="1" s="1"/>
  <c r="E3203" i="1" s="1"/>
  <c r="F3203" i="1" s="1"/>
  <c r="E3204" i="1" s="1"/>
  <c r="F3204" i="1" s="1"/>
  <c r="E3205" i="1" s="1"/>
  <c r="F3205" i="1" s="1"/>
  <c r="E3206" i="1" s="1"/>
  <c r="F3206" i="1" s="1"/>
  <c r="E3207" i="1" s="1"/>
  <c r="F3207" i="1" s="1"/>
  <c r="E3208" i="1" s="1"/>
  <c r="F3208" i="1" s="1"/>
  <c r="E3209" i="1" s="1"/>
  <c r="F3209" i="1" s="1"/>
  <c r="D3210" i="1" s="1"/>
  <c r="F3210" i="1" s="1"/>
  <c r="D3211" i="1" s="1"/>
  <c r="F3211" i="1" s="1"/>
  <c r="D3212" i="1" s="1"/>
  <c r="F3212" i="1" s="1"/>
  <c r="D3213" i="1" s="1"/>
  <c r="F3213" i="1" s="1"/>
  <c r="E3214" i="1" s="1"/>
  <c r="F3214" i="1" s="1"/>
  <c r="D3215" i="1" s="1"/>
  <c r="F3215" i="1" s="1"/>
  <c r="D3216" i="1" s="1"/>
  <c r="F3216" i="1" s="1"/>
  <c r="D3217" i="1" s="1"/>
  <c r="F3217" i="1" s="1"/>
  <c r="E3218" i="1" s="1"/>
  <c r="F3218" i="1" s="1"/>
  <c r="D3219" i="1" s="1"/>
  <c r="F3219" i="1" s="1"/>
  <c r="D3220" i="1" s="1"/>
  <c r="F3220" i="1" s="1"/>
  <c r="D3221" i="1" s="1"/>
  <c r="F3221" i="1" s="1"/>
  <c r="E3222" i="1" s="1"/>
  <c r="F3222" i="1" s="1"/>
  <c r="E3223" i="1" s="1"/>
  <c r="F3223" i="1" s="1"/>
  <c r="E3224" i="1" s="1"/>
  <c r="F3224" i="1" s="1"/>
  <c r="E3225" i="1" s="1"/>
  <c r="F3225" i="1" s="1"/>
  <c r="D3226" i="1" s="1"/>
  <c r="F3226" i="1" s="1"/>
  <c r="E3227" i="1" s="1"/>
  <c r="F3227" i="1" s="1"/>
  <c r="E3228" i="1" s="1"/>
  <c r="F3228" i="1" s="1"/>
  <c r="E3229" i="1" s="1"/>
  <c r="F3229" i="1" s="1"/>
  <c r="D3230" i="1" s="1"/>
  <c r="F3230" i="1" s="1"/>
  <c r="E3231" i="1" s="1"/>
  <c r="F3231" i="1" s="1"/>
  <c r="E3232" i="1" s="1"/>
  <c r="F3232" i="1" s="1"/>
  <c r="D3233" i="1" s="1"/>
  <c r="F3233" i="1" s="1"/>
  <c r="E3234" i="1" s="1"/>
  <c r="F3234" i="1" s="1"/>
  <c r="E3235" i="1" s="1"/>
  <c r="F3235" i="1" s="1"/>
  <c r="D3236" i="1" s="1"/>
  <c r="F3236" i="1" s="1"/>
  <c r="E3237" i="1" s="1"/>
  <c r="F3237" i="1" s="1"/>
  <c r="D3238" i="1" s="1"/>
  <c r="F3238" i="1" s="1"/>
  <c r="D3239" i="1" s="1"/>
  <c r="F3239" i="1" s="1"/>
  <c r="E3240" i="1" s="1"/>
  <c r="F3240" i="1" s="1"/>
  <c r="D3241" i="1" s="1"/>
  <c r="F3241" i="1" s="1"/>
  <c r="E3242" i="1" s="1"/>
  <c r="F3242" i="1" s="1"/>
  <c r="D3243" i="1" s="1"/>
  <c r="F3243" i="1" s="1"/>
  <c r="E3244" i="1" s="1"/>
  <c r="F3244" i="1" s="1"/>
  <c r="D3245" i="1" s="1"/>
  <c r="F3245" i="1" s="1"/>
  <c r="D3246" i="1" s="1"/>
  <c r="F3246" i="1" s="1"/>
  <c r="D3247" i="1" s="1"/>
  <c r="F3247" i="1" s="1"/>
  <c r="D3248" i="1" s="1"/>
  <c r="F3248" i="1" s="1"/>
  <c r="D3249" i="1" s="1"/>
  <c r="F3249" i="1" s="1"/>
  <c r="E3250" i="1" s="1"/>
  <c r="F3250" i="1" s="1"/>
  <c r="D3251" i="1" s="1"/>
  <c r="F3251" i="1" s="1"/>
  <c r="E3252" i="1" s="1"/>
  <c r="F3252" i="1" s="1"/>
  <c r="E3253" i="1" s="1"/>
  <c r="F3253" i="1" s="1"/>
  <c r="D3254" i="1" s="1"/>
  <c r="F3254" i="1" s="1"/>
  <c r="D3255" i="1" s="1"/>
  <c r="F3255" i="1" s="1"/>
  <c r="E3256" i="1" s="1"/>
  <c r="F3256" i="1" s="1"/>
  <c r="E3257" i="1" s="1"/>
  <c r="F3257" i="1" s="1"/>
  <c r="E3258" i="1" s="1"/>
  <c r="F3258" i="1" s="1"/>
  <c r="E3259" i="1" s="1"/>
  <c r="F3259" i="1" s="1"/>
  <c r="E3260" i="1" s="1"/>
  <c r="F3260" i="1" s="1"/>
  <c r="D3261" i="1" s="1"/>
  <c r="F3261" i="1" s="1"/>
  <c r="E3262" i="1" s="1"/>
  <c r="F3262" i="1" s="1"/>
  <c r="D3263" i="1" s="1"/>
  <c r="F3263" i="1" s="1"/>
  <c r="E3264" i="1" s="1"/>
  <c r="F3264" i="1" s="1"/>
  <c r="E3265" i="1" s="1"/>
  <c r="F3265" i="1" s="1"/>
  <c r="E3266" i="1" s="1"/>
  <c r="F3266" i="1" s="1"/>
  <c r="E3267" i="1" s="1"/>
  <c r="F3267" i="1" s="1"/>
  <c r="D3268" i="1" s="1"/>
  <c r="F3268" i="1" s="1"/>
  <c r="D3269" i="1" s="1"/>
  <c r="F3269" i="1" s="1"/>
  <c r="E3270" i="1" s="1"/>
  <c r="F3270" i="1" s="1"/>
  <c r="E3271" i="1" s="1"/>
  <c r="F3271" i="1" s="1"/>
  <c r="D3272" i="1" s="1"/>
  <c r="F3272" i="1" s="1"/>
  <c r="E3273" i="1" s="1"/>
  <c r="F3273" i="1" s="1"/>
  <c r="E3274" i="1" s="1"/>
  <c r="F3274" i="1" s="1"/>
  <c r="D3275" i="1" s="1"/>
  <c r="F3275" i="1" s="1"/>
  <c r="D3276" i="1" s="1"/>
  <c r="F3276" i="1" s="1"/>
  <c r="E3277" i="1" s="1"/>
  <c r="F3277" i="1" s="1"/>
  <c r="E3278" i="1" s="1"/>
  <c r="F3278" i="1" s="1"/>
  <c r="E3279" i="1" s="1"/>
  <c r="F3279" i="1" s="1"/>
  <c r="D3280" i="1" s="1"/>
  <c r="F3280" i="1" s="1"/>
  <c r="D3281" i="1" s="1"/>
  <c r="F3281" i="1" s="1"/>
  <c r="D3282" i="1" s="1"/>
  <c r="F3282" i="1" s="1"/>
  <c r="D3283" i="1" s="1"/>
  <c r="F3283" i="1" s="1"/>
  <c r="D3284" i="1" s="1"/>
  <c r="F3284" i="1" s="1"/>
  <c r="D3285" i="1" s="1"/>
  <c r="F3285" i="1" s="1"/>
  <c r="D3286" i="1" s="1"/>
  <c r="F3286" i="1" s="1"/>
  <c r="E3287" i="1" s="1"/>
  <c r="F3287" i="1" s="1"/>
  <c r="D3288" i="1" s="1"/>
  <c r="F3288" i="1" s="1"/>
  <c r="D3289" i="1" s="1"/>
  <c r="F3289" i="1" s="1"/>
  <c r="D3290" i="1" s="1"/>
  <c r="F3290" i="1" s="1"/>
  <c r="E3291" i="1" s="1"/>
  <c r="F3291" i="1" s="1"/>
  <c r="E3292" i="1" s="1"/>
  <c r="F3292" i="1" s="1"/>
  <c r="D3293" i="1" s="1"/>
  <c r="F3293" i="1" s="1"/>
  <c r="E3294" i="1" s="1"/>
  <c r="F3294" i="1" s="1"/>
  <c r="E3295" i="1" s="1"/>
  <c r="F3295" i="1" s="1"/>
  <c r="E3296" i="1" s="1"/>
  <c r="F3296" i="1" s="1"/>
  <c r="D3297" i="1" s="1"/>
  <c r="F3297" i="1" s="1"/>
  <c r="D3298" i="1" s="1"/>
  <c r="F3298" i="1" s="1"/>
  <c r="D3299" i="1" s="1"/>
  <c r="F3299" i="1" s="1"/>
  <c r="D3300" i="1" s="1"/>
  <c r="F3300" i="1" s="1"/>
  <c r="D3301" i="1" s="1"/>
  <c r="F3301" i="1" s="1"/>
  <c r="E3302" i="1" s="1"/>
  <c r="F3302" i="1" s="1"/>
  <c r="D3303" i="1" s="1"/>
  <c r="F3303" i="1" s="1"/>
  <c r="D3304" i="1" s="1"/>
  <c r="F3304" i="1" s="1"/>
  <c r="E3305" i="1" s="1"/>
  <c r="F3305" i="1" s="1"/>
  <c r="E3306" i="1" s="1"/>
  <c r="F3306" i="1" s="1"/>
  <c r="D3307" i="1" s="1"/>
  <c r="F3307" i="1" s="1"/>
  <c r="D3308" i="1" s="1"/>
  <c r="F3308" i="1" s="1"/>
  <c r="E3309" i="1" s="1"/>
  <c r="F3309" i="1" s="1"/>
  <c r="E3310" i="1" s="1"/>
  <c r="F3310" i="1" s="1"/>
  <c r="E3311" i="1" s="1"/>
  <c r="F3311" i="1" s="1"/>
  <c r="E3312" i="1" s="1"/>
  <c r="F3312" i="1" s="1"/>
  <c r="D3313" i="1" s="1"/>
  <c r="F3313" i="1" s="1"/>
  <c r="E3314" i="1" s="1"/>
  <c r="F3314" i="1" s="1"/>
  <c r="D3315" i="1" s="1"/>
  <c r="F3315" i="1" s="1"/>
  <c r="D3316" i="1" s="1"/>
  <c r="F3316" i="1" s="1"/>
  <c r="E3317" i="1" s="1"/>
  <c r="F3317" i="1" s="1"/>
  <c r="E3318" i="1" s="1"/>
  <c r="F3318" i="1" s="1"/>
  <c r="D3319" i="1" s="1"/>
  <c r="F3319" i="1" s="1"/>
  <c r="E3320" i="1" s="1"/>
  <c r="F3320" i="1" s="1"/>
  <c r="E3321" i="1" s="1"/>
  <c r="F3321" i="1" s="1"/>
  <c r="D3322" i="1" s="1"/>
  <c r="F3322" i="1" s="1"/>
  <c r="D3323" i="1" s="1"/>
  <c r="F3323" i="1" s="1"/>
  <c r="E3324" i="1" s="1"/>
  <c r="F3324" i="1" s="1"/>
  <c r="D3325" i="1" s="1"/>
  <c r="F3325" i="1" s="1"/>
  <c r="E3326" i="1" s="1"/>
  <c r="F3326" i="1" s="1"/>
  <c r="D3327" i="1" s="1"/>
  <c r="F3327" i="1" s="1"/>
  <c r="D3328" i="1" s="1"/>
  <c r="F3328" i="1" s="1"/>
  <c r="D3329" i="1" s="1"/>
  <c r="F3329" i="1" s="1"/>
  <c r="D3330" i="1" s="1"/>
  <c r="F3330" i="1" s="1"/>
  <c r="D3331" i="1" s="1"/>
  <c r="F3331" i="1" s="1"/>
  <c r="E3332" i="1" s="1"/>
  <c r="F3332" i="1" s="1"/>
  <c r="D3333" i="1" s="1"/>
  <c r="F3333" i="1" s="1"/>
  <c r="E3334" i="1" s="1"/>
  <c r="F3334" i="1" s="1"/>
  <c r="E3335" i="1" s="1"/>
  <c r="F3335" i="1" s="1"/>
  <c r="D3336" i="1" s="1"/>
  <c r="F3336" i="1" s="1"/>
  <c r="E3337" i="1" s="1"/>
  <c r="F3337" i="1" s="1"/>
  <c r="E3338" i="1" s="1"/>
  <c r="F3338" i="1" s="1"/>
  <c r="E3339" i="1" s="1"/>
  <c r="F3339" i="1" s="1"/>
  <c r="E3340" i="1" s="1"/>
  <c r="F3340" i="1" s="1"/>
  <c r="D3341" i="1" s="1"/>
  <c r="F3341" i="1" s="1"/>
  <c r="E3342" i="1" s="1"/>
  <c r="F3342" i="1" s="1"/>
  <c r="D3343" i="1" s="1"/>
  <c r="F3343" i="1" s="1"/>
  <c r="E3344" i="1" s="1"/>
  <c r="F3344" i="1" s="1"/>
  <c r="D3345" i="1" s="1"/>
  <c r="F3345" i="1" s="1"/>
  <c r="E3346" i="1" s="1"/>
  <c r="F3346" i="1" s="1"/>
  <c r="D3347" i="1" s="1"/>
  <c r="F3347" i="1" s="1"/>
  <c r="E3348" i="1" s="1"/>
  <c r="F3348" i="1" s="1"/>
  <c r="E3349" i="1" s="1"/>
  <c r="F3349" i="1" s="1"/>
  <c r="D3350" i="1" s="1"/>
  <c r="F3350" i="1" s="1"/>
  <c r="D3351" i="1" s="1"/>
  <c r="F3351" i="1" s="1"/>
  <c r="D3352" i="1" s="1"/>
  <c r="F3352" i="1" s="1"/>
  <c r="D3353" i="1" s="1"/>
  <c r="F3353" i="1" s="1"/>
  <c r="E3354" i="1" s="1"/>
  <c r="F3354" i="1" s="1"/>
  <c r="E3355" i="1" s="1"/>
  <c r="F3355" i="1" s="1"/>
  <c r="D3356" i="1" s="1"/>
  <c r="F3356" i="1" s="1"/>
  <c r="D3357" i="1" s="1"/>
  <c r="F3357" i="1" s="1"/>
  <c r="E3358" i="1" s="1"/>
  <c r="F3358" i="1" s="1"/>
  <c r="D3359" i="1" s="1"/>
  <c r="F3359" i="1" s="1"/>
  <c r="E3360" i="1" s="1"/>
  <c r="F3360" i="1" s="1"/>
  <c r="D3361" i="1" s="1"/>
  <c r="F3361" i="1" s="1"/>
  <c r="D3362" i="1" s="1"/>
  <c r="F3362" i="1" s="1"/>
  <c r="E3363" i="1" s="1"/>
  <c r="F3363" i="1" s="1"/>
  <c r="D3364" i="1" s="1"/>
  <c r="F3364" i="1" s="1"/>
  <c r="E3365" i="1" s="1"/>
  <c r="F3365" i="1" s="1"/>
  <c r="D3366" i="1" s="1"/>
  <c r="F3366" i="1" s="1"/>
  <c r="D3367" i="1" s="1"/>
  <c r="F3367" i="1" s="1"/>
  <c r="E3368" i="1" s="1"/>
  <c r="F3368" i="1" s="1"/>
  <c r="E3369" i="1" s="1"/>
  <c r="F3369" i="1" s="1"/>
  <c r="D3370" i="1" s="1"/>
  <c r="F3370" i="1" s="1"/>
  <c r="D3371" i="1" s="1"/>
  <c r="F3371" i="1" s="1"/>
  <c r="D3372" i="1" s="1"/>
  <c r="F3372" i="1" s="1"/>
  <c r="E3373" i="1" s="1"/>
  <c r="F3373" i="1" s="1"/>
  <c r="E3374" i="1" s="1"/>
  <c r="F3374" i="1" s="1"/>
  <c r="D3375" i="1" s="1"/>
  <c r="F3375" i="1" s="1"/>
  <c r="E3376" i="1" s="1"/>
  <c r="F3376" i="1" s="1"/>
  <c r="E3377" i="1" s="1"/>
  <c r="F3377" i="1" s="1"/>
  <c r="D3378" i="1" s="1"/>
  <c r="F3378" i="1" s="1"/>
  <c r="D3379" i="1" s="1"/>
  <c r="F3379" i="1" s="1"/>
  <c r="E3380" i="1" s="1"/>
  <c r="F3380" i="1" s="1"/>
  <c r="E3381" i="1" s="1"/>
  <c r="F3381" i="1" s="1"/>
  <c r="E3382" i="1" s="1"/>
  <c r="F3382" i="1" s="1"/>
  <c r="D3383" i="1" s="1"/>
  <c r="F3383" i="1" s="1"/>
  <c r="D3384" i="1" s="1"/>
  <c r="F3384" i="1" s="1"/>
  <c r="E3385" i="1" s="1"/>
  <c r="F3385" i="1" s="1"/>
  <c r="D3386" i="1" s="1"/>
  <c r="F3386" i="1" s="1"/>
  <c r="E3387" i="1" s="1"/>
  <c r="F3387" i="1" s="1"/>
  <c r="D3388" i="1" s="1"/>
  <c r="F3388" i="1" s="1"/>
  <c r="E3389" i="1" s="1"/>
  <c r="F3389" i="1" s="1"/>
  <c r="E3390" i="1" s="1"/>
  <c r="F3390" i="1" s="1"/>
  <c r="E3391" i="1" s="1"/>
  <c r="F3391" i="1" s="1"/>
  <c r="E3392" i="1" s="1"/>
  <c r="F3392" i="1" s="1"/>
  <c r="E3393" i="1" s="1"/>
  <c r="F3393" i="1" s="1"/>
  <c r="E3394" i="1" s="1"/>
  <c r="F3394" i="1" s="1"/>
  <c r="E3395" i="1" s="1"/>
  <c r="F3395" i="1" s="1"/>
  <c r="E3396" i="1" s="1"/>
  <c r="F3396" i="1" s="1"/>
  <c r="D3397" i="1" s="1"/>
  <c r="F3397" i="1" s="1"/>
  <c r="E3398" i="1" s="1"/>
  <c r="F3398" i="1" s="1"/>
  <c r="E3399" i="1" s="1"/>
  <c r="F3399" i="1" s="1"/>
  <c r="D3400" i="1" s="1"/>
  <c r="F3400" i="1" s="1"/>
  <c r="D3401" i="1" s="1"/>
  <c r="F3401" i="1" s="1"/>
  <c r="E3402" i="1" s="1"/>
  <c r="F3402" i="1" s="1"/>
  <c r="D3403" i="1" s="1"/>
  <c r="F3403" i="1" s="1"/>
  <c r="E3404" i="1" s="1"/>
  <c r="F3404" i="1" s="1"/>
  <c r="E3405" i="1" s="1"/>
  <c r="F3405" i="1" s="1"/>
  <c r="D3406" i="1" s="1"/>
  <c r="F3406" i="1" s="1"/>
  <c r="D3407" i="1" s="1"/>
  <c r="F3407" i="1" s="1"/>
  <c r="E3408" i="1" s="1"/>
  <c r="F3408" i="1" s="1"/>
  <c r="E3409" i="1" s="1"/>
  <c r="F3409" i="1" s="1"/>
  <c r="D3410" i="1" s="1"/>
  <c r="F3410" i="1" s="1"/>
  <c r="E3411" i="1" s="1"/>
  <c r="F3411" i="1" s="1"/>
  <c r="E3412" i="1" s="1"/>
  <c r="F3412" i="1" s="1"/>
  <c r="E3413" i="1" s="1"/>
  <c r="F3413" i="1" s="1"/>
  <c r="D3414" i="1" s="1"/>
  <c r="F3414" i="1" s="1"/>
  <c r="D3415" i="1" s="1"/>
  <c r="F3415" i="1" s="1"/>
  <c r="E3416" i="1" s="1"/>
  <c r="F3416" i="1" s="1"/>
  <c r="D3417" i="1" s="1"/>
  <c r="F3417" i="1" s="1"/>
  <c r="E3418" i="1" s="1"/>
  <c r="F3418" i="1" s="1"/>
  <c r="D3419" i="1" s="1"/>
  <c r="F3419" i="1" s="1"/>
  <c r="D3420" i="1" s="1"/>
  <c r="F3420" i="1" s="1"/>
  <c r="D3421" i="1" s="1"/>
  <c r="F3421" i="1" s="1"/>
  <c r="E3422" i="1" s="1"/>
  <c r="F3422" i="1" s="1"/>
  <c r="D3423" i="1" s="1"/>
  <c r="F3423" i="1" s="1"/>
  <c r="E3424" i="1" s="1"/>
  <c r="F3424" i="1" s="1"/>
  <c r="D3425" i="1" s="1"/>
  <c r="F3425" i="1" s="1"/>
  <c r="E3426" i="1" s="1"/>
  <c r="F3426" i="1" s="1"/>
  <c r="D3427" i="1" s="1"/>
  <c r="F3427" i="1" s="1"/>
  <c r="D3428" i="1" s="1"/>
  <c r="F3428" i="1" s="1"/>
  <c r="D3429" i="1" s="1"/>
  <c r="F3429" i="1" s="1"/>
  <c r="D3430" i="1" s="1"/>
  <c r="F3430" i="1" s="1"/>
  <c r="E3431" i="1" s="1"/>
  <c r="F3431" i="1" s="1"/>
  <c r="D3432" i="1" s="1"/>
  <c r="F3432" i="1" s="1"/>
  <c r="D3433" i="1" s="1"/>
  <c r="F3433" i="1" s="1"/>
  <c r="E3434" i="1" s="1"/>
  <c r="F3434" i="1" s="1"/>
  <c r="D3435" i="1" s="1"/>
  <c r="F3435" i="1" s="1"/>
  <c r="E3436" i="1" s="1"/>
  <c r="F3436" i="1" s="1"/>
  <c r="E3437" i="1" s="1"/>
  <c r="F3437" i="1" s="1"/>
  <c r="D3438" i="1" s="1"/>
  <c r="F3438" i="1" s="1"/>
  <c r="E3439" i="1" s="1"/>
  <c r="F3439" i="1" s="1"/>
  <c r="D3440" i="1" s="1"/>
  <c r="F3440" i="1" s="1"/>
  <c r="D3441" i="1" s="1"/>
  <c r="F3441" i="1" s="1"/>
  <c r="D3442" i="1" s="1"/>
  <c r="F3442" i="1" s="1"/>
  <c r="D3443" i="1" s="1"/>
  <c r="F3443" i="1" s="1"/>
  <c r="D3444" i="1" s="1"/>
  <c r="F3444" i="1" s="1"/>
  <c r="D3445" i="1" s="1"/>
  <c r="F3445" i="1" s="1"/>
  <c r="E3446" i="1" s="1"/>
  <c r="F3446" i="1" s="1"/>
  <c r="D3447" i="1" s="1"/>
  <c r="F3447" i="1" s="1"/>
  <c r="E3448" i="1" s="1"/>
  <c r="F3448" i="1" s="1"/>
  <c r="D3449" i="1" s="1"/>
  <c r="F3449" i="1" s="1"/>
  <c r="D3450" i="1" s="1"/>
  <c r="F3450" i="1" s="1"/>
  <c r="E3451" i="1" s="1"/>
  <c r="F3451" i="1" s="1"/>
  <c r="D3452" i="1" s="1"/>
  <c r="F3452" i="1" s="1"/>
  <c r="E3453" i="1" s="1"/>
  <c r="F3453" i="1" s="1"/>
  <c r="D3454" i="1" s="1"/>
  <c r="F3454" i="1" s="1"/>
  <c r="D3455" i="1" s="1"/>
  <c r="F3455" i="1" s="1"/>
  <c r="E3456" i="1" s="1"/>
  <c r="F3456" i="1" s="1"/>
  <c r="E3457" i="1" s="1"/>
  <c r="F3457" i="1" s="1"/>
  <c r="E3458" i="1" s="1"/>
  <c r="F3458" i="1" s="1"/>
  <c r="E3459" i="1" s="1"/>
  <c r="F3459" i="1" s="1"/>
  <c r="E3460" i="1" s="1"/>
  <c r="F3460" i="1" s="1"/>
  <c r="D3461" i="1" s="1"/>
  <c r="F3461" i="1" s="1"/>
  <c r="D3462" i="1" s="1"/>
  <c r="F3462" i="1" s="1"/>
  <c r="E3463" i="1" s="1"/>
  <c r="F3463" i="1" s="1"/>
  <c r="E3464" i="1" s="1"/>
  <c r="F3464" i="1" s="1"/>
  <c r="D3465" i="1" s="1"/>
  <c r="F3465" i="1" s="1"/>
  <c r="E3466" i="1" s="1"/>
  <c r="F3466" i="1" s="1"/>
  <c r="E3467" i="1" s="1"/>
  <c r="F3467" i="1" s="1"/>
  <c r="D3468" i="1" s="1"/>
  <c r="F3468" i="1" s="1"/>
  <c r="D3469" i="1" s="1"/>
  <c r="F3469" i="1" s="1"/>
  <c r="D3470" i="1" s="1"/>
  <c r="F3470" i="1" s="1"/>
  <c r="D3471" i="1" s="1"/>
  <c r="F3471" i="1" s="1"/>
  <c r="E3472" i="1" s="1"/>
  <c r="F3472" i="1" s="1"/>
  <c r="D3473" i="1" s="1"/>
  <c r="F3473" i="1" s="1"/>
  <c r="D3474" i="1" s="1"/>
  <c r="F3474" i="1" s="1"/>
  <c r="E3475" i="1" s="1"/>
  <c r="F3475" i="1" s="1"/>
  <c r="D3476" i="1" s="1"/>
  <c r="F3476" i="1" s="1"/>
  <c r="E3477" i="1" s="1"/>
  <c r="F3477" i="1" s="1"/>
  <c r="D3478" i="1" s="1"/>
  <c r="F3478" i="1" s="1"/>
  <c r="D3479" i="1" s="1"/>
  <c r="F3479" i="1" s="1"/>
  <c r="E3480" i="1" s="1"/>
  <c r="F3480" i="1" s="1"/>
  <c r="E3481" i="1" s="1"/>
  <c r="F3481" i="1" s="1"/>
  <c r="E3482" i="1" s="1"/>
  <c r="F3482" i="1" s="1"/>
  <c r="D3483" i="1" s="1"/>
  <c r="F3483" i="1" s="1"/>
  <c r="D3484" i="1" s="1"/>
  <c r="F3484" i="1" s="1"/>
  <c r="E3485" i="1" s="1"/>
  <c r="F3485" i="1" s="1"/>
  <c r="D3486" i="1" s="1"/>
  <c r="F3486" i="1" s="1"/>
  <c r="E3487" i="1" s="1"/>
  <c r="F3487" i="1" s="1"/>
  <c r="D3488" i="1" s="1"/>
  <c r="F3488" i="1" s="1"/>
  <c r="E3489" i="1" s="1"/>
  <c r="F3489" i="1" s="1"/>
  <c r="E3490" i="1" s="1"/>
  <c r="F3490" i="1" s="1"/>
  <c r="E3491" i="1" s="1"/>
  <c r="F3491" i="1" s="1"/>
  <c r="D3492" i="1" s="1"/>
  <c r="F3492" i="1" s="1"/>
  <c r="D3493" i="1" s="1"/>
  <c r="F3493" i="1" s="1"/>
  <c r="D3494" i="1" s="1"/>
  <c r="F3494" i="1" s="1"/>
  <c r="E3495" i="1" s="1"/>
  <c r="F3495" i="1" s="1"/>
  <c r="E3496" i="1" s="1"/>
  <c r="F3496" i="1" s="1"/>
  <c r="E3497" i="1" s="1"/>
  <c r="F3497" i="1" s="1"/>
  <c r="E3498" i="1" s="1"/>
  <c r="F3498" i="1" s="1"/>
  <c r="D3499" i="1" s="1"/>
  <c r="F3499" i="1" s="1"/>
  <c r="E3500" i="1" s="1"/>
  <c r="F3500" i="1" s="1"/>
  <c r="D3501" i="1" s="1"/>
  <c r="F3501" i="1" s="1"/>
  <c r="D3502" i="1" s="1"/>
  <c r="F3502" i="1" s="1"/>
  <c r="D3503" i="1" s="1"/>
  <c r="F3503" i="1" s="1"/>
  <c r="D3504" i="1" s="1"/>
  <c r="F3504" i="1" s="1"/>
  <c r="E3505" i="1" s="1"/>
  <c r="F3505" i="1" s="1"/>
  <c r="D3506" i="1" s="1"/>
  <c r="F3506" i="1" s="1"/>
  <c r="E3507" i="1" s="1"/>
  <c r="F3507" i="1" s="1"/>
  <c r="D3508" i="1" s="1"/>
  <c r="F3508" i="1" s="1"/>
  <c r="D3509" i="1" s="1"/>
  <c r="F3509" i="1" s="1"/>
  <c r="D3510" i="1" s="1"/>
  <c r="F3510" i="1" s="1"/>
  <c r="D3511" i="1" s="1"/>
  <c r="F3511" i="1" s="1"/>
  <c r="E3512" i="1" s="1"/>
  <c r="F3512" i="1" s="1"/>
  <c r="D3513" i="1" s="1"/>
  <c r="F3513" i="1" s="1"/>
  <c r="E3514" i="1" s="1"/>
  <c r="F3514" i="1" s="1"/>
  <c r="E3515" i="1" s="1"/>
  <c r="F3515" i="1" s="1"/>
  <c r="D3516" i="1" s="1"/>
  <c r="F3516" i="1" s="1"/>
  <c r="E3517" i="1" s="1"/>
  <c r="F3517" i="1" s="1"/>
  <c r="E3518" i="1" s="1"/>
  <c r="F3518" i="1" s="1"/>
  <c r="E3519" i="1" s="1"/>
  <c r="F3519" i="1" s="1"/>
  <c r="E3520" i="1" s="1"/>
  <c r="F3520" i="1" s="1"/>
  <c r="D3521" i="1" s="1"/>
  <c r="F3521" i="1" s="1"/>
  <c r="E3522" i="1" s="1"/>
  <c r="F3522" i="1" s="1"/>
  <c r="E3523" i="1" s="1"/>
  <c r="F3523" i="1" s="1"/>
  <c r="D3524" i="1" s="1"/>
  <c r="F3524" i="1" s="1"/>
  <c r="E3525" i="1" s="1"/>
  <c r="F3525" i="1" s="1"/>
  <c r="E3526" i="1" s="1"/>
  <c r="F3526" i="1" s="1"/>
  <c r="D3527" i="1" s="1"/>
  <c r="F3527" i="1" s="1"/>
  <c r="E3528" i="1" s="1"/>
  <c r="F3528" i="1" s="1"/>
  <c r="E3529" i="1" s="1"/>
  <c r="F3529" i="1" s="1"/>
  <c r="E3530" i="1" s="1"/>
  <c r="F3530" i="1" s="1"/>
  <c r="D3531" i="1" s="1"/>
  <c r="F3531" i="1" s="1"/>
  <c r="E3532" i="1" s="1"/>
  <c r="F3532" i="1" s="1"/>
  <c r="E3533" i="1" s="1"/>
  <c r="F3533" i="1" s="1"/>
  <c r="E3534" i="1" s="1"/>
  <c r="F3534" i="1" s="1"/>
  <c r="E3535" i="1" s="1"/>
  <c r="F3535" i="1" s="1"/>
  <c r="E3536" i="1" s="1"/>
  <c r="F3536" i="1" s="1"/>
  <c r="E3537" i="1" s="1"/>
  <c r="F3537" i="1" s="1"/>
  <c r="D3538" i="1" s="1"/>
  <c r="F3538" i="1" s="1"/>
  <c r="D3539" i="1" s="1"/>
  <c r="F3539" i="1" s="1"/>
  <c r="D3540" i="1" s="1"/>
  <c r="F3540" i="1" s="1"/>
  <c r="E3541" i="1" s="1"/>
  <c r="F3541" i="1" s="1"/>
  <c r="E3542" i="1" s="1"/>
  <c r="F3542" i="1" s="1"/>
  <c r="E3543" i="1" s="1"/>
  <c r="F3543" i="1" s="1"/>
  <c r="E3544" i="1" s="1"/>
  <c r="F3544" i="1" s="1"/>
  <c r="D3545" i="1" s="1"/>
  <c r="F3545" i="1" s="1"/>
  <c r="E3546" i="1" s="1"/>
  <c r="F3546" i="1" s="1"/>
  <c r="D3547" i="1" s="1"/>
  <c r="F3547" i="1" s="1"/>
  <c r="E3548" i="1" s="1"/>
  <c r="F3548" i="1" s="1"/>
  <c r="D3549" i="1" s="1"/>
  <c r="F3549" i="1" s="1"/>
  <c r="D3550" i="1" s="1"/>
  <c r="F3550" i="1" s="1"/>
  <c r="E3551" i="1" s="1"/>
  <c r="F3551" i="1" s="1"/>
  <c r="E3552" i="1" s="1"/>
  <c r="F3552" i="1" s="1"/>
  <c r="D3553" i="1" s="1"/>
  <c r="F3553" i="1" s="1"/>
  <c r="E3554" i="1" s="1"/>
  <c r="F3554" i="1" s="1"/>
  <c r="E3555" i="1" s="1"/>
  <c r="F3555" i="1" s="1"/>
  <c r="D3556" i="1" s="1"/>
  <c r="F3556" i="1" s="1"/>
  <c r="E3557" i="1" s="1"/>
  <c r="F3557" i="1" s="1"/>
  <c r="E3558" i="1" s="1"/>
  <c r="F3558" i="1" s="1"/>
  <c r="E3559" i="1" s="1"/>
  <c r="F3559" i="1" s="1"/>
  <c r="E3560" i="1" s="1"/>
  <c r="F3560" i="1" s="1"/>
  <c r="E3561" i="1" s="1"/>
  <c r="F3561" i="1" s="1"/>
  <c r="E3562" i="1" s="1"/>
  <c r="F3562" i="1" s="1"/>
  <c r="E3563" i="1" s="1"/>
  <c r="F3563" i="1" s="1"/>
  <c r="D3564" i="1" s="1"/>
  <c r="F3564" i="1" s="1"/>
  <c r="E3565" i="1" s="1"/>
  <c r="F3565" i="1" s="1"/>
  <c r="E3566" i="1" s="1"/>
  <c r="F3566" i="1" s="1"/>
  <c r="E3567" i="1" s="1"/>
  <c r="F3567" i="1" s="1"/>
  <c r="D3568" i="1" s="1"/>
  <c r="F3568" i="1" s="1"/>
  <c r="E3569" i="1" s="1"/>
  <c r="F3569" i="1" s="1"/>
  <c r="E3570" i="1" s="1"/>
  <c r="F3570" i="1" s="1"/>
  <c r="D3571" i="1" s="1"/>
  <c r="F3571" i="1" s="1"/>
  <c r="E3572" i="1" s="1"/>
  <c r="F3572" i="1" s="1"/>
  <c r="D3573" i="1" s="1"/>
  <c r="F3573" i="1" s="1"/>
  <c r="E3574" i="1" s="1"/>
  <c r="F3574" i="1" s="1"/>
  <c r="E3575" i="1" s="1"/>
  <c r="F3575" i="1" s="1"/>
  <c r="E3576" i="1" s="1"/>
  <c r="F3576" i="1" s="1"/>
  <c r="D3577" i="1" s="1"/>
  <c r="F3577" i="1" s="1"/>
  <c r="E3578" i="1" s="1"/>
  <c r="F3578" i="1" s="1"/>
  <c r="D3579" i="1" s="1"/>
  <c r="F3579" i="1" s="1"/>
  <c r="D3580" i="1" s="1"/>
  <c r="F3580" i="1" s="1"/>
  <c r="E3581" i="1" s="1"/>
  <c r="F3581" i="1" s="1"/>
  <c r="E3582" i="1" s="1"/>
  <c r="F3582" i="1" s="1"/>
  <c r="E3583" i="1" s="1"/>
  <c r="F3583" i="1" s="1"/>
  <c r="E3584" i="1" s="1"/>
  <c r="F3584" i="1" s="1"/>
  <c r="E3585" i="1" s="1"/>
  <c r="F3585" i="1" s="1"/>
  <c r="D3586" i="1" s="1"/>
  <c r="F3586" i="1" s="1"/>
  <c r="D3587" i="1" s="1"/>
  <c r="F3587" i="1" s="1"/>
  <c r="D3588" i="1" s="1"/>
  <c r="F3588" i="1" s="1"/>
  <c r="E3589" i="1" s="1"/>
  <c r="F3589" i="1" s="1"/>
  <c r="D3590" i="1" s="1"/>
  <c r="F3590" i="1" s="1"/>
  <c r="E3591" i="1" s="1"/>
  <c r="F3591" i="1" s="1"/>
  <c r="D3592" i="1" s="1"/>
  <c r="F3592" i="1" s="1"/>
  <c r="D3593" i="1" s="1"/>
  <c r="F3593" i="1" s="1"/>
  <c r="D3594" i="1" s="1"/>
  <c r="F3594" i="1" s="1"/>
  <c r="E3595" i="1" s="1"/>
  <c r="F3595" i="1" s="1"/>
  <c r="E3596" i="1" s="1"/>
  <c r="F3596" i="1" s="1"/>
  <c r="E3597" i="1" s="1"/>
  <c r="F3597" i="1" s="1"/>
  <c r="E3598" i="1" s="1"/>
  <c r="F3598" i="1" s="1"/>
  <c r="E3599" i="1" s="1"/>
  <c r="F3599" i="1" s="1"/>
  <c r="E3600" i="1" s="1"/>
  <c r="F3600" i="1" s="1"/>
  <c r="E3601" i="1" s="1"/>
  <c r="F3601" i="1" s="1"/>
  <c r="E3602" i="1" s="1"/>
  <c r="F3602" i="1" s="1"/>
  <c r="D3603" i="1" s="1"/>
  <c r="F3603" i="1" s="1"/>
  <c r="E3604" i="1" s="1"/>
  <c r="F3604" i="1" s="1"/>
  <c r="D3605" i="1" s="1"/>
  <c r="F3605" i="1" s="1"/>
  <c r="D3606" i="1" s="1"/>
  <c r="F3606" i="1" s="1"/>
  <c r="D3607" i="1" s="1"/>
  <c r="F3607" i="1" s="1"/>
  <c r="D3608" i="1" s="1"/>
  <c r="F3608" i="1" s="1"/>
  <c r="D3609" i="1" s="1"/>
  <c r="F3609" i="1" s="1"/>
  <c r="D3610" i="1" s="1"/>
  <c r="F3610" i="1" s="1"/>
  <c r="D3611" i="1" s="1"/>
  <c r="F3611" i="1" s="1"/>
  <c r="E3612" i="1" s="1"/>
  <c r="F3612" i="1" s="1"/>
  <c r="D3613" i="1" s="1"/>
  <c r="F3613" i="1" s="1"/>
  <c r="D3614" i="1" s="1"/>
  <c r="F3614" i="1" s="1"/>
  <c r="D3615" i="1" s="1"/>
  <c r="F3615" i="1" s="1"/>
  <c r="E3616" i="1" s="1"/>
  <c r="F3616" i="1" s="1"/>
  <c r="E3617" i="1" s="1"/>
  <c r="F3617" i="1" s="1"/>
  <c r="D3618" i="1" s="1"/>
  <c r="F3618" i="1" s="1"/>
  <c r="D3619" i="1" s="1"/>
  <c r="F3619" i="1" s="1"/>
  <c r="D3620" i="1" s="1"/>
  <c r="F3620" i="1" s="1"/>
  <c r="D3621" i="1" s="1"/>
  <c r="F3621" i="1" s="1"/>
  <c r="E3622" i="1" s="1"/>
  <c r="F3622" i="1" s="1"/>
  <c r="E3623" i="1" s="1"/>
  <c r="F3623" i="1" s="1"/>
  <c r="D3624" i="1" s="1"/>
  <c r="F3624" i="1" s="1"/>
  <c r="D3625" i="1" s="1"/>
  <c r="F3625" i="1" s="1"/>
  <c r="E3626" i="1" s="1"/>
  <c r="F3626" i="1" s="1"/>
  <c r="D3627" i="1" s="1"/>
  <c r="F3627" i="1" s="1"/>
  <c r="E3628" i="1" s="1"/>
  <c r="F3628" i="1" s="1"/>
  <c r="D3629" i="1" s="1"/>
  <c r="F3629" i="1" s="1"/>
  <c r="D3630" i="1" s="1"/>
  <c r="F3630" i="1" s="1"/>
  <c r="D3631" i="1" s="1"/>
  <c r="F3631" i="1" s="1"/>
  <c r="E3632" i="1" s="1"/>
  <c r="F3632" i="1" s="1"/>
  <c r="D3633" i="1" s="1"/>
  <c r="F3633" i="1" s="1"/>
  <c r="E3634" i="1" s="1"/>
  <c r="F3634" i="1" s="1"/>
  <c r="D3635" i="1" s="1"/>
  <c r="F3635" i="1" s="1"/>
  <c r="D3636" i="1" s="1"/>
  <c r="F3636" i="1" s="1"/>
  <c r="D3637" i="1" s="1"/>
  <c r="F3637" i="1" s="1"/>
  <c r="E3638" i="1" s="1"/>
  <c r="F3638" i="1" s="1"/>
  <c r="D3639" i="1" s="1"/>
  <c r="F3639" i="1" s="1"/>
  <c r="D3640" i="1" s="1"/>
  <c r="F3640" i="1" s="1"/>
  <c r="D3641" i="1" s="1"/>
  <c r="F3641" i="1" s="1"/>
  <c r="D3642" i="1" s="1"/>
  <c r="F3642" i="1" s="1"/>
  <c r="E3643" i="1" s="1"/>
  <c r="F3643" i="1" s="1"/>
  <c r="E3644" i="1" s="1"/>
  <c r="F3644" i="1" s="1"/>
  <c r="E3645" i="1" s="1"/>
  <c r="F3645" i="1" s="1"/>
  <c r="E3646" i="1" s="1"/>
  <c r="F3646" i="1" s="1"/>
  <c r="D3647" i="1" s="1"/>
  <c r="F3647" i="1" s="1"/>
  <c r="E3648" i="1" s="1"/>
  <c r="F3648" i="1" s="1"/>
  <c r="D3649" i="1" s="1"/>
  <c r="F3649" i="1" s="1"/>
  <c r="D3650" i="1" s="1"/>
  <c r="F3650" i="1" s="1"/>
  <c r="E3651" i="1" s="1"/>
  <c r="F3651" i="1" s="1"/>
  <c r="D3652" i="1" s="1"/>
  <c r="F3652" i="1" s="1"/>
  <c r="E3653" i="1" s="1"/>
  <c r="F3653" i="1" s="1"/>
  <c r="D3654" i="1" s="1"/>
  <c r="F3654" i="1" s="1"/>
  <c r="E3655" i="1" s="1"/>
  <c r="F3655" i="1" s="1"/>
  <c r="D3656" i="1" s="1"/>
  <c r="F3656" i="1" s="1"/>
  <c r="D3657" i="1" s="1"/>
  <c r="F3657" i="1" s="1"/>
  <c r="D3658" i="1" s="1"/>
  <c r="F3658" i="1" s="1"/>
  <c r="D3659" i="1" s="1"/>
  <c r="F3659" i="1" s="1"/>
  <c r="E3660" i="1" s="1"/>
  <c r="F3660" i="1" s="1"/>
  <c r="E3661" i="1" s="1"/>
  <c r="F3661" i="1" s="1"/>
  <c r="D3662" i="1" s="1"/>
  <c r="F3662" i="1" s="1"/>
  <c r="D3663" i="1" s="1"/>
  <c r="F3663" i="1" s="1"/>
  <c r="E3664" i="1" s="1"/>
  <c r="F3664" i="1" s="1"/>
  <c r="E3665" i="1" s="1"/>
  <c r="F3665" i="1" s="1"/>
  <c r="E3666" i="1" s="1"/>
  <c r="F3666" i="1" s="1"/>
  <c r="E3667" i="1" s="1"/>
  <c r="F3667" i="1" s="1"/>
  <c r="E3668" i="1" s="1"/>
  <c r="F3668" i="1" s="1"/>
  <c r="E3669" i="1" s="1"/>
  <c r="F3669" i="1" s="1"/>
  <c r="E3670" i="1" s="1"/>
  <c r="F3670" i="1" s="1"/>
  <c r="E3671" i="1" s="1"/>
  <c r="F3671" i="1" s="1"/>
  <c r="E3672" i="1" s="1"/>
  <c r="F3672" i="1" s="1"/>
  <c r="D3673" i="1" s="1"/>
  <c r="F3673" i="1" s="1"/>
  <c r="E3674" i="1" s="1"/>
  <c r="F3674" i="1" s="1"/>
  <c r="E3675" i="1" s="1"/>
  <c r="F3675" i="1" s="1"/>
  <c r="E3676" i="1" s="1"/>
  <c r="F3676" i="1" s="1"/>
  <c r="D3677" i="1" s="1"/>
  <c r="F3677" i="1" s="1"/>
  <c r="E3678" i="1" s="1"/>
  <c r="F3678" i="1" s="1"/>
  <c r="E3679" i="1" s="1"/>
  <c r="F3679" i="1" s="1"/>
  <c r="D3680" i="1" s="1"/>
  <c r="F3680" i="1" s="1"/>
  <c r="E3681" i="1" s="1"/>
  <c r="F3681" i="1" s="1"/>
  <c r="E3682" i="1" s="1"/>
  <c r="F3682" i="1" s="1"/>
  <c r="D3683" i="1" s="1"/>
  <c r="F3683" i="1" s="1"/>
  <c r="E3684" i="1" s="1"/>
  <c r="F3684" i="1" s="1"/>
  <c r="D3685" i="1" s="1"/>
  <c r="F3685" i="1" s="1"/>
  <c r="D3686" i="1" s="1"/>
  <c r="F3686" i="1" s="1"/>
  <c r="D3687" i="1" s="1"/>
  <c r="F3687" i="1" s="1"/>
  <c r="E3688" i="1" s="1"/>
  <c r="F3688" i="1" s="1"/>
  <c r="D3689" i="1" s="1"/>
  <c r="F3689" i="1" s="1"/>
  <c r="E3690" i="1" s="1"/>
  <c r="F3690" i="1" s="1"/>
  <c r="E3691" i="1" s="1"/>
  <c r="F3691" i="1" s="1"/>
  <c r="D3692" i="1" s="1"/>
  <c r="F3692" i="1" s="1"/>
  <c r="E3693" i="1" s="1"/>
  <c r="F3693" i="1" s="1"/>
  <c r="E3694" i="1" s="1"/>
  <c r="F3694" i="1" s="1"/>
  <c r="E3695" i="1" s="1"/>
  <c r="F3695" i="1" s="1"/>
  <c r="D3696" i="1" s="1"/>
  <c r="F3696" i="1" s="1"/>
  <c r="E3697" i="1" s="1"/>
  <c r="F3697" i="1" s="1"/>
  <c r="E3698" i="1" s="1"/>
  <c r="F3698" i="1" s="1"/>
  <c r="E3699" i="1" s="1"/>
  <c r="F3699" i="1" s="1"/>
  <c r="D3700" i="1" s="1"/>
  <c r="F3700" i="1" s="1"/>
  <c r="E3701" i="1" s="1"/>
  <c r="F3701" i="1" s="1"/>
  <c r="D3702" i="1" s="1"/>
  <c r="F3702" i="1" s="1"/>
  <c r="D3703" i="1" s="1"/>
  <c r="F3703" i="1" s="1"/>
  <c r="E3704" i="1" s="1"/>
  <c r="F3704" i="1" s="1"/>
  <c r="E3705" i="1" s="1"/>
  <c r="F3705" i="1" s="1"/>
  <c r="D3706" i="1" s="1"/>
  <c r="F3706" i="1" s="1"/>
  <c r="E3707" i="1" s="1"/>
  <c r="F3707" i="1" s="1"/>
  <c r="D3708" i="1" s="1"/>
  <c r="F3708" i="1" s="1"/>
  <c r="D3709" i="1" s="1"/>
  <c r="F3709" i="1" s="1"/>
  <c r="D3710" i="1" s="1"/>
  <c r="F3710" i="1" s="1"/>
  <c r="D3711" i="1" s="1"/>
  <c r="F3711" i="1" s="1"/>
  <c r="E3712" i="1" s="1"/>
  <c r="F3712" i="1" s="1"/>
  <c r="E3713" i="1" s="1"/>
  <c r="F3713" i="1" s="1"/>
  <c r="D3714" i="1" s="1"/>
  <c r="F3714" i="1" s="1"/>
  <c r="D3715" i="1" s="1"/>
  <c r="F3715" i="1" s="1"/>
  <c r="D3716" i="1" s="1"/>
  <c r="F3716" i="1" s="1"/>
  <c r="E3717" i="1" s="1"/>
  <c r="F3717" i="1" s="1"/>
  <c r="E3718" i="1" s="1"/>
  <c r="F3718" i="1" s="1"/>
  <c r="D3719" i="1" s="1"/>
  <c r="F3719" i="1" s="1"/>
  <c r="D3720" i="1" s="1"/>
  <c r="F3720" i="1" s="1"/>
  <c r="E3721" i="1" s="1"/>
  <c r="F3721" i="1" s="1"/>
  <c r="E3722" i="1" s="1"/>
  <c r="F3722" i="1" s="1"/>
  <c r="E3723" i="1" s="1"/>
  <c r="F3723" i="1" s="1"/>
  <c r="D3724" i="1" s="1"/>
  <c r="F3724" i="1" s="1"/>
  <c r="D3725" i="1" s="1"/>
  <c r="F3725" i="1" s="1"/>
  <c r="D3726" i="1" s="1"/>
  <c r="F3726" i="1" s="1"/>
  <c r="E3727" i="1" s="1"/>
  <c r="F3727" i="1" s="1"/>
  <c r="D3728" i="1" s="1"/>
  <c r="F3728" i="1" s="1"/>
  <c r="D3729" i="1" s="1"/>
  <c r="F3729" i="1" s="1"/>
  <c r="E3730" i="1" s="1"/>
  <c r="F3730" i="1" s="1"/>
  <c r="E3731" i="1" s="1"/>
  <c r="F3731" i="1" s="1"/>
  <c r="D3732" i="1" s="1"/>
  <c r="F3732" i="1" s="1"/>
  <c r="D3733" i="1" s="1"/>
  <c r="F3733" i="1" s="1"/>
  <c r="D3734" i="1" s="1"/>
  <c r="F3734" i="1" s="1"/>
  <c r="D3735" i="1" s="1"/>
  <c r="F3735" i="1" s="1"/>
  <c r="E3736" i="1" s="1"/>
  <c r="F3736" i="1" s="1"/>
  <c r="E3737" i="1" s="1"/>
  <c r="F3737" i="1" s="1"/>
  <c r="D3738" i="1" s="1"/>
  <c r="F3738" i="1" s="1"/>
  <c r="D3739" i="1" s="1"/>
  <c r="F3739" i="1" s="1"/>
  <c r="D3740" i="1" s="1"/>
  <c r="F3740" i="1" s="1"/>
  <c r="D3741" i="1" s="1"/>
  <c r="F3741" i="1" s="1"/>
  <c r="D3742" i="1" s="1"/>
  <c r="F3742" i="1" s="1"/>
  <c r="E3743" i="1" s="1"/>
  <c r="F3743" i="1" s="1"/>
  <c r="E3744" i="1" s="1"/>
  <c r="F3744" i="1" s="1"/>
  <c r="D3745" i="1" s="1"/>
  <c r="F3745" i="1" s="1"/>
  <c r="E3746" i="1" s="1"/>
  <c r="F3746" i="1" s="1"/>
  <c r="D3747" i="1" s="1"/>
  <c r="F3747" i="1" s="1"/>
  <c r="E3748" i="1" s="1"/>
  <c r="F3748" i="1" s="1"/>
  <c r="E3749" i="1" s="1"/>
  <c r="F3749" i="1" s="1"/>
  <c r="D3750" i="1" s="1"/>
  <c r="F3750" i="1" s="1"/>
  <c r="E3751" i="1" s="1"/>
  <c r="F3751" i="1" s="1"/>
  <c r="D3752" i="1" s="1"/>
  <c r="F3752" i="1" s="1"/>
  <c r="E3753" i="1" s="1"/>
  <c r="F3753" i="1" s="1"/>
  <c r="E3754" i="1" s="1"/>
  <c r="F3754" i="1" s="1"/>
  <c r="E3755" i="1" s="1"/>
  <c r="F3755" i="1" s="1"/>
  <c r="D3756" i="1" s="1"/>
  <c r="F3756" i="1" s="1"/>
  <c r="E3757" i="1" s="1"/>
  <c r="F3757" i="1" s="1"/>
  <c r="D3758" i="1" s="1"/>
  <c r="F3758" i="1" s="1"/>
  <c r="D3759" i="1" s="1"/>
  <c r="F3759" i="1" s="1"/>
  <c r="D3760" i="1" s="1"/>
  <c r="F3760" i="1" s="1"/>
  <c r="D3761" i="1" s="1"/>
  <c r="F3761" i="1" s="1"/>
  <c r="E3762" i="1" s="1"/>
  <c r="F3762" i="1" s="1"/>
  <c r="D3763" i="1" s="1"/>
  <c r="F3763" i="1" s="1"/>
  <c r="D3764" i="1" s="1"/>
  <c r="F3764" i="1" s="1"/>
  <c r="E3765" i="1" s="1"/>
  <c r="F3765" i="1" s="1"/>
  <c r="E3766" i="1" s="1"/>
  <c r="F3766" i="1" s="1"/>
  <c r="D3767" i="1" s="1"/>
  <c r="F3767" i="1" s="1"/>
  <c r="E3768" i="1" s="1"/>
  <c r="F3768" i="1" s="1"/>
  <c r="D3769" i="1" s="1"/>
  <c r="F3769" i="1" s="1"/>
  <c r="D3770" i="1" s="1"/>
  <c r="F3770" i="1" s="1"/>
  <c r="E3771" i="1" s="1"/>
  <c r="F3771" i="1" s="1"/>
  <c r="E3772" i="1" s="1"/>
  <c r="F3772" i="1" s="1"/>
  <c r="D3773" i="1" s="1"/>
  <c r="F3773" i="1" s="1"/>
  <c r="E3774" i="1" s="1"/>
  <c r="F3774" i="1" s="1"/>
  <c r="D3775" i="1" s="1"/>
  <c r="F3775" i="1" s="1"/>
  <c r="D3776" i="1" s="1"/>
  <c r="F3776" i="1" s="1"/>
  <c r="D3777" i="1" s="1"/>
  <c r="F3777" i="1" s="1"/>
  <c r="E3778" i="1" s="1"/>
  <c r="F3778" i="1" s="1"/>
  <c r="E3779" i="1" s="1"/>
  <c r="F3779" i="1" s="1"/>
  <c r="E3780" i="1" s="1"/>
  <c r="F3780" i="1" s="1"/>
  <c r="D3781" i="1" s="1"/>
  <c r="F3781" i="1" s="1"/>
  <c r="D3782" i="1" s="1"/>
  <c r="F3782" i="1" s="1"/>
  <c r="E3783" i="1" s="1"/>
  <c r="F3783" i="1" s="1"/>
  <c r="D3784" i="1" s="1"/>
  <c r="F3784" i="1" s="1"/>
  <c r="D3785" i="1" s="1"/>
  <c r="F3785" i="1" s="1"/>
  <c r="D3786" i="1" s="1"/>
  <c r="F3786" i="1" s="1"/>
  <c r="E3787" i="1" s="1"/>
  <c r="F3787" i="1" s="1"/>
  <c r="E3788" i="1" s="1"/>
  <c r="F3788" i="1" s="1"/>
  <c r="D3789" i="1" s="1"/>
  <c r="F3789" i="1" s="1"/>
  <c r="D3790" i="1" s="1"/>
  <c r="F3790" i="1" s="1"/>
  <c r="D3791" i="1" s="1"/>
  <c r="F3791" i="1" s="1"/>
  <c r="D3792" i="1" s="1"/>
  <c r="F3792" i="1" s="1"/>
  <c r="E3793" i="1" s="1"/>
  <c r="F3793" i="1" s="1"/>
  <c r="D3794" i="1" s="1"/>
  <c r="F3794" i="1" s="1"/>
  <c r="E3795" i="1" s="1"/>
  <c r="F3795" i="1" s="1"/>
  <c r="E3796" i="1" s="1"/>
  <c r="F3796" i="1" s="1"/>
  <c r="E3797" i="1" s="1"/>
  <c r="F3797" i="1" s="1"/>
  <c r="E3798" i="1" s="1"/>
  <c r="F3798" i="1" s="1"/>
  <c r="E3799" i="1" s="1"/>
  <c r="F3799" i="1" s="1"/>
  <c r="E3800" i="1" s="1"/>
  <c r="F3800" i="1" s="1"/>
  <c r="E3801" i="1" s="1"/>
  <c r="F3801" i="1" s="1"/>
  <c r="D3802" i="1" s="1"/>
  <c r="F3802" i="1" s="1"/>
  <c r="D3803" i="1" s="1"/>
  <c r="F3803" i="1" s="1"/>
  <c r="E3804" i="1" s="1"/>
  <c r="F3804" i="1" s="1"/>
  <c r="E3805" i="1" s="1"/>
  <c r="F3805" i="1" s="1"/>
  <c r="E3806" i="1" s="1"/>
  <c r="F3806" i="1" s="1"/>
  <c r="E3807" i="1" s="1"/>
  <c r="F3807" i="1" s="1"/>
  <c r="D3808" i="1" s="1"/>
  <c r="F3808" i="1" s="1"/>
  <c r="D3809" i="1" s="1"/>
  <c r="F3809" i="1" s="1"/>
  <c r="D3810" i="1" s="1"/>
  <c r="F3810" i="1" s="1"/>
  <c r="D3811" i="1" s="1"/>
  <c r="F3811" i="1" s="1"/>
  <c r="E3812" i="1" s="1"/>
  <c r="F3812" i="1" s="1"/>
  <c r="E3813" i="1" s="1"/>
  <c r="F3813" i="1" s="1"/>
  <c r="E3814" i="1" s="1"/>
  <c r="F3814" i="1" s="1"/>
  <c r="E3815" i="1" s="1"/>
  <c r="F3815" i="1" s="1"/>
  <c r="D3816" i="1" s="1"/>
  <c r="F3816" i="1" s="1"/>
  <c r="D3817" i="1" s="1"/>
  <c r="F3817" i="1" s="1"/>
  <c r="D3818" i="1" s="1"/>
  <c r="F3818" i="1" s="1"/>
  <c r="E3819" i="1" s="1"/>
  <c r="F3819" i="1" s="1"/>
  <c r="D3820" i="1" s="1"/>
  <c r="F3820" i="1" s="1"/>
  <c r="D3821" i="1" s="1"/>
  <c r="F3821" i="1" s="1"/>
  <c r="D3822" i="1" s="1"/>
  <c r="F3822" i="1" s="1"/>
  <c r="D3823" i="1" s="1"/>
  <c r="F3823" i="1" s="1"/>
  <c r="D3824" i="1" s="1"/>
  <c r="F3824" i="1" s="1"/>
  <c r="E3825" i="1" s="1"/>
  <c r="F3825" i="1" s="1"/>
  <c r="D3826" i="1" s="1"/>
  <c r="F3826" i="1" s="1"/>
  <c r="D3827" i="1" s="1"/>
  <c r="F3827" i="1" s="1"/>
  <c r="E3828" i="1" s="1"/>
  <c r="F3828" i="1" s="1"/>
  <c r="E3829" i="1" s="1"/>
  <c r="F3829" i="1" s="1"/>
  <c r="E3830" i="1" s="1"/>
  <c r="F3830" i="1" s="1"/>
  <c r="D3831" i="1" s="1"/>
  <c r="F3831" i="1" s="1"/>
  <c r="D3832" i="1" s="1"/>
  <c r="F3832" i="1" s="1"/>
  <c r="D3833" i="1" s="1"/>
  <c r="F3833" i="1" s="1"/>
  <c r="E3834" i="1" s="1"/>
  <c r="F3834" i="1" s="1"/>
  <c r="D3835" i="1" s="1"/>
  <c r="F3835" i="1" s="1"/>
  <c r="E3836" i="1" s="1"/>
  <c r="F3836" i="1" s="1"/>
  <c r="E3837" i="1" s="1"/>
  <c r="F3837" i="1" s="1"/>
  <c r="D3838" i="1" s="1"/>
  <c r="F3838" i="1" s="1"/>
  <c r="E3839" i="1" s="1"/>
  <c r="F3839" i="1" s="1"/>
  <c r="D3840" i="1" s="1"/>
  <c r="F3840" i="1" s="1"/>
  <c r="D3841" i="1" s="1"/>
  <c r="F3841" i="1" s="1"/>
  <c r="D3842" i="1" s="1"/>
  <c r="F3842" i="1" s="1"/>
  <c r="E3843" i="1" s="1"/>
  <c r="F3843" i="1" s="1"/>
  <c r="E3844" i="1" s="1"/>
  <c r="F3844" i="1" s="1"/>
  <c r="D3845" i="1" s="1"/>
  <c r="F3845" i="1" s="1"/>
  <c r="D3846" i="1" s="1"/>
  <c r="F3846" i="1" s="1"/>
  <c r="E3847" i="1" s="1"/>
  <c r="F3847" i="1" s="1"/>
  <c r="D3848" i="1" s="1"/>
  <c r="F3848" i="1" s="1"/>
  <c r="D3849" i="1" s="1"/>
  <c r="F3849" i="1" s="1"/>
  <c r="D3850" i="1" s="1"/>
  <c r="F3850" i="1" s="1"/>
  <c r="D3851" i="1" s="1"/>
  <c r="F3851" i="1" s="1"/>
  <c r="E3852" i="1" s="1"/>
  <c r="F3852" i="1" s="1"/>
  <c r="D3853" i="1" s="1"/>
  <c r="F3853" i="1" s="1"/>
  <c r="D3854" i="1" s="1"/>
  <c r="F3854" i="1" s="1"/>
  <c r="D3855" i="1" s="1"/>
  <c r="F3855" i="1" s="1"/>
  <c r="D3856" i="1" s="1"/>
  <c r="F3856" i="1" s="1"/>
  <c r="E3857" i="1" s="1"/>
  <c r="F3857" i="1" s="1"/>
  <c r="E3858" i="1" s="1"/>
  <c r="F3858" i="1" s="1"/>
  <c r="E3859" i="1" s="1"/>
  <c r="F3859" i="1" s="1"/>
  <c r="D3860" i="1" s="1"/>
  <c r="F3860" i="1" s="1"/>
  <c r="D3861" i="1" s="1"/>
  <c r="F3861" i="1" s="1"/>
  <c r="E3862" i="1" s="1"/>
  <c r="F3862" i="1" s="1"/>
  <c r="D3863" i="1" s="1"/>
  <c r="F3863" i="1" s="1"/>
  <c r="E3864" i="1" s="1"/>
  <c r="F3864" i="1" s="1"/>
  <c r="E3865" i="1" s="1"/>
  <c r="F3865" i="1" s="1"/>
  <c r="D3866" i="1" s="1"/>
  <c r="F3866" i="1" s="1"/>
  <c r="D3867" i="1" s="1"/>
  <c r="F3867" i="1" s="1"/>
  <c r="D3868" i="1" s="1"/>
  <c r="F3868" i="1" s="1"/>
  <c r="E3869" i="1" s="1"/>
  <c r="F3869" i="1" s="1"/>
  <c r="D3870" i="1" s="1"/>
  <c r="F3870" i="1" s="1"/>
  <c r="E3871" i="1" s="1"/>
  <c r="F3871" i="1" s="1"/>
  <c r="E3872" i="1" s="1"/>
  <c r="F3872" i="1" s="1"/>
  <c r="E3873" i="1" s="1"/>
  <c r="F3873" i="1" s="1"/>
  <c r="E3874" i="1" s="1"/>
  <c r="F3874" i="1" s="1"/>
  <c r="E3875" i="1" s="1"/>
  <c r="F3875" i="1" s="1"/>
  <c r="E3876" i="1" s="1"/>
  <c r="F3876" i="1" s="1"/>
  <c r="E3877" i="1" s="1"/>
  <c r="F3877" i="1" s="1"/>
  <c r="D3878" i="1" s="1"/>
  <c r="F3878" i="1" s="1"/>
  <c r="D3879" i="1" s="1"/>
  <c r="F3879" i="1" s="1"/>
  <c r="D3880" i="1" s="1"/>
  <c r="F3880" i="1" s="1"/>
  <c r="D3881" i="1" s="1"/>
  <c r="F3881" i="1" s="1"/>
  <c r="D3882" i="1" s="1"/>
  <c r="F3882" i="1" s="1"/>
  <c r="E3883" i="1" s="1"/>
  <c r="F3883" i="1" s="1"/>
  <c r="D3884" i="1" s="1"/>
  <c r="F3884" i="1" s="1"/>
  <c r="E3885" i="1" s="1"/>
  <c r="F3885" i="1" s="1"/>
  <c r="E3886" i="1" s="1"/>
  <c r="F3886" i="1" s="1"/>
  <c r="E3887" i="1" s="1"/>
  <c r="F3887" i="1" s="1"/>
  <c r="D3888" i="1" s="1"/>
  <c r="F3888" i="1" s="1"/>
  <c r="E3889" i="1" s="1"/>
  <c r="F3889" i="1" s="1"/>
  <c r="D3890" i="1" s="1"/>
  <c r="F3890" i="1" s="1"/>
  <c r="D3891" i="1" s="1"/>
  <c r="F3891" i="1" s="1"/>
  <c r="E3892" i="1" s="1"/>
  <c r="F3892" i="1" s="1"/>
  <c r="E3893" i="1" s="1"/>
  <c r="F3893" i="1" s="1"/>
  <c r="D3894" i="1" s="1"/>
  <c r="F3894" i="1" s="1"/>
  <c r="D3895" i="1" s="1"/>
  <c r="F3895" i="1" s="1"/>
  <c r="D3896" i="1" s="1"/>
  <c r="F3896" i="1" s="1"/>
  <c r="E3897" i="1" s="1"/>
  <c r="F3897" i="1" s="1"/>
  <c r="E3898" i="1" s="1"/>
  <c r="F3898" i="1" s="1"/>
  <c r="E3899" i="1" s="1"/>
  <c r="F3899" i="1" s="1"/>
  <c r="E3900" i="1" s="1"/>
  <c r="F3900" i="1" s="1"/>
  <c r="D3901" i="1" s="1"/>
  <c r="F3901" i="1" s="1"/>
  <c r="D3902" i="1" s="1"/>
  <c r="F3902" i="1" s="1"/>
  <c r="E3903" i="1" s="1"/>
  <c r="F3903" i="1" s="1"/>
  <c r="D3904" i="1" s="1"/>
  <c r="F3904" i="1" s="1"/>
  <c r="D3905" i="1" s="1"/>
  <c r="F3905" i="1" s="1"/>
  <c r="D3906" i="1" s="1"/>
  <c r="F3906" i="1" s="1"/>
  <c r="D3907" i="1" s="1"/>
  <c r="F3907" i="1" s="1"/>
  <c r="E3908" i="1" s="1"/>
  <c r="F3908" i="1" s="1"/>
  <c r="E3909" i="1" s="1"/>
  <c r="F3909" i="1" s="1"/>
  <c r="E3910" i="1" s="1"/>
  <c r="F3910" i="1" s="1"/>
  <c r="D3911" i="1" s="1"/>
  <c r="F3911" i="1" s="1"/>
  <c r="D3912" i="1" s="1"/>
  <c r="F3912" i="1" s="1"/>
  <c r="D3913" i="1" s="1"/>
  <c r="F3913" i="1" s="1"/>
  <c r="E3914" i="1" s="1"/>
  <c r="F3914" i="1" s="1"/>
  <c r="D3915" i="1" s="1"/>
  <c r="F3915" i="1" s="1"/>
  <c r="D3916" i="1" s="1"/>
  <c r="F3916" i="1" s="1"/>
  <c r="D3917" i="1" s="1"/>
  <c r="F3917" i="1" s="1"/>
  <c r="E3918" i="1" s="1"/>
  <c r="F3918" i="1" s="1"/>
  <c r="D3919" i="1" s="1"/>
  <c r="F3919" i="1" s="1"/>
  <c r="D3920" i="1" s="1"/>
  <c r="F3920" i="1" s="1"/>
  <c r="D3921" i="1" s="1"/>
  <c r="F3921" i="1" s="1"/>
  <c r="D3922" i="1" s="1"/>
  <c r="F3922" i="1" s="1"/>
  <c r="D3923" i="1" s="1"/>
  <c r="F3923" i="1" s="1"/>
  <c r="D3924" i="1" s="1"/>
  <c r="F3924" i="1" s="1"/>
  <c r="D3925" i="1" s="1"/>
  <c r="F3925" i="1" s="1"/>
  <c r="D3926" i="1" s="1"/>
  <c r="F3926" i="1" s="1"/>
  <c r="E3927" i="1" s="1"/>
  <c r="F3927" i="1" s="1"/>
  <c r="E3928" i="1" s="1"/>
  <c r="F3928" i="1" s="1"/>
  <c r="D3929" i="1" s="1"/>
  <c r="F3929" i="1" s="1"/>
  <c r="E3930" i="1" s="1"/>
  <c r="F3930" i="1" s="1"/>
  <c r="E3931" i="1" s="1"/>
  <c r="F3931" i="1" s="1"/>
  <c r="D3932" i="1" s="1"/>
  <c r="F3932" i="1" s="1"/>
  <c r="D3933" i="1" s="1"/>
  <c r="F3933" i="1" s="1"/>
  <c r="D3934" i="1" s="1"/>
  <c r="F3934" i="1" s="1"/>
  <c r="E3935" i="1" s="1"/>
  <c r="F3935" i="1" s="1"/>
  <c r="E3936" i="1" s="1"/>
  <c r="F3936" i="1" s="1"/>
  <c r="E3937" i="1" s="1"/>
  <c r="F3937" i="1" s="1"/>
  <c r="D3938" i="1" s="1"/>
  <c r="F3938" i="1" s="1"/>
  <c r="D3939" i="1" s="1"/>
  <c r="F3939" i="1" s="1"/>
  <c r="E3940" i="1" s="1"/>
  <c r="F3940" i="1" s="1"/>
  <c r="D3941" i="1" s="1"/>
  <c r="F3941" i="1" s="1"/>
  <c r="E3942" i="1" s="1"/>
  <c r="F3942" i="1" s="1"/>
  <c r="E3943" i="1" s="1"/>
  <c r="F3943" i="1" s="1"/>
  <c r="D3944" i="1" s="1"/>
  <c r="F3944" i="1" s="1"/>
  <c r="D3945" i="1" s="1"/>
  <c r="F3945" i="1" s="1"/>
  <c r="E3946" i="1" s="1"/>
  <c r="F3946" i="1" s="1"/>
  <c r="E3947" i="1" s="1"/>
  <c r="F3947" i="1" s="1"/>
  <c r="D3948" i="1" s="1"/>
  <c r="F3948" i="1" s="1"/>
  <c r="E3949" i="1" s="1"/>
  <c r="F3949" i="1" s="1"/>
  <c r="E3950" i="1" s="1"/>
  <c r="F3950" i="1" s="1"/>
  <c r="D3951" i="1" s="1"/>
  <c r="F3951" i="1" s="1"/>
  <c r="E3952" i="1" s="1"/>
  <c r="F3952" i="1" s="1"/>
  <c r="E3953" i="1" s="1"/>
  <c r="F3953" i="1" s="1"/>
  <c r="D3954" i="1" s="1"/>
  <c r="F3954" i="1" s="1"/>
  <c r="E3955" i="1" s="1"/>
  <c r="F3955" i="1" s="1"/>
  <c r="E3956" i="1" s="1"/>
  <c r="F3956" i="1" s="1"/>
  <c r="E3957" i="1" s="1"/>
  <c r="F3957" i="1" s="1"/>
  <c r="E3958" i="1" s="1"/>
  <c r="F3958" i="1" s="1"/>
  <c r="E3959" i="1" s="1"/>
  <c r="F3959" i="1" s="1"/>
  <c r="D3960" i="1" s="1"/>
  <c r="F3960" i="1" s="1"/>
  <c r="E3961" i="1" s="1"/>
  <c r="F3961" i="1" s="1"/>
  <c r="E3962" i="1" s="1"/>
  <c r="F3962" i="1" s="1"/>
  <c r="E3963" i="1" s="1"/>
  <c r="F3963" i="1" s="1"/>
  <c r="D3964" i="1" s="1"/>
  <c r="F3964" i="1" s="1"/>
  <c r="E3965" i="1" s="1"/>
  <c r="F3965" i="1" s="1"/>
  <c r="D3966" i="1" s="1"/>
  <c r="F3966" i="1" s="1"/>
  <c r="E3967" i="1" s="1"/>
  <c r="F3967" i="1" s="1"/>
  <c r="E3968" i="1" s="1"/>
  <c r="F3968" i="1" s="1"/>
  <c r="D3969" i="1" s="1"/>
  <c r="F3969" i="1" s="1"/>
  <c r="E3970" i="1" s="1"/>
  <c r="F3970" i="1" s="1"/>
  <c r="E3971" i="1" s="1"/>
  <c r="F3971" i="1" s="1"/>
  <c r="D3972" i="1" s="1"/>
  <c r="F3972" i="1" s="1"/>
  <c r="D3973" i="1" s="1"/>
  <c r="F3973" i="1" s="1"/>
  <c r="E3974" i="1" s="1"/>
  <c r="F3974" i="1" s="1"/>
  <c r="E3975" i="1" s="1"/>
  <c r="F3975" i="1" s="1"/>
  <c r="D3976" i="1" s="1"/>
  <c r="F3976" i="1" s="1"/>
  <c r="D3977" i="1" s="1"/>
  <c r="F3977" i="1" s="1"/>
  <c r="D3978" i="1" s="1"/>
  <c r="F3978" i="1" s="1"/>
  <c r="D3979" i="1" s="1"/>
  <c r="F3979" i="1" s="1"/>
  <c r="E3980" i="1" s="1"/>
  <c r="F3980" i="1" s="1"/>
  <c r="D3981" i="1" s="1"/>
  <c r="F3981" i="1" s="1"/>
  <c r="D3982" i="1" s="1"/>
  <c r="F3982" i="1" s="1"/>
  <c r="E3983" i="1" s="1"/>
  <c r="F3983" i="1" s="1"/>
  <c r="E3984" i="1" s="1"/>
  <c r="F3984" i="1" s="1"/>
  <c r="D3985" i="1" s="1"/>
  <c r="F3985" i="1" s="1"/>
  <c r="E3986" i="1" s="1"/>
  <c r="F3986" i="1" s="1"/>
  <c r="E3987" i="1" s="1"/>
  <c r="F3987" i="1" s="1"/>
  <c r="E3988" i="1" s="1"/>
  <c r="F3988" i="1" s="1"/>
  <c r="E3989" i="1" s="1"/>
  <c r="F3989" i="1" s="1"/>
  <c r="E3990" i="1" s="1"/>
  <c r="F3990" i="1" s="1"/>
  <c r="E3991" i="1" s="1"/>
  <c r="F3991" i="1" s="1"/>
  <c r="E3992" i="1" s="1"/>
  <c r="F3992" i="1" s="1"/>
  <c r="E3993" i="1" s="1"/>
  <c r="F3993" i="1" s="1"/>
  <c r="D3994" i="1" s="1"/>
  <c r="F3994" i="1" s="1"/>
  <c r="E3995" i="1" s="1"/>
  <c r="F3995" i="1" s="1"/>
  <c r="D3996" i="1" s="1"/>
  <c r="F3996" i="1" s="1"/>
  <c r="D3997" i="1" s="1"/>
  <c r="F3997" i="1" s="1"/>
  <c r="E3998" i="1" s="1"/>
  <c r="F3998" i="1" s="1"/>
  <c r="E3999" i="1" s="1"/>
  <c r="F3999" i="1" s="1"/>
  <c r="D4000" i="1" s="1"/>
  <c r="F4000" i="1" s="1"/>
  <c r="D4001" i="1" s="1"/>
  <c r="F4001" i="1" s="1"/>
  <c r="D4002" i="1" s="1"/>
  <c r="F4002" i="1" s="1"/>
  <c r="D4003" i="1" s="1"/>
  <c r="F4003" i="1" s="1"/>
  <c r="E4004" i="1" s="1"/>
  <c r="F4004" i="1" s="1"/>
  <c r="E4005" i="1" s="1"/>
  <c r="F4005" i="1" s="1"/>
  <c r="D4006" i="1" s="1"/>
  <c r="F4006" i="1" s="1"/>
  <c r="E4007" i="1" s="1"/>
  <c r="F4007" i="1" s="1"/>
  <c r="D4008" i="1" s="1"/>
  <c r="F4008" i="1" s="1"/>
  <c r="E4009" i="1" s="1"/>
  <c r="F4009" i="1" s="1"/>
  <c r="E4010" i="1" s="1"/>
  <c r="F4010" i="1" s="1"/>
  <c r="D4011" i="1" s="1"/>
  <c r="F4011" i="1" s="1"/>
  <c r="E4012" i="1" s="1"/>
  <c r="F4012" i="1" s="1"/>
  <c r="E4013" i="1" s="1"/>
  <c r="F4013" i="1" s="1"/>
  <c r="E4014" i="1" s="1"/>
  <c r="F4014" i="1" s="1"/>
  <c r="D4015" i="1" s="1"/>
  <c r="F4015" i="1" s="1"/>
  <c r="D4016" i="1" s="1"/>
  <c r="F4016" i="1" s="1"/>
  <c r="D4017" i="1" s="1"/>
  <c r="F4017" i="1" s="1"/>
  <c r="E4018" i="1" s="1"/>
  <c r="F4018" i="1" s="1"/>
  <c r="E4019" i="1" s="1"/>
  <c r="F4019" i="1" s="1"/>
  <c r="E4020" i="1" s="1"/>
  <c r="F4020" i="1" s="1"/>
  <c r="E4021" i="1" s="1"/>
  <c r="F4021" i="1" s="1"/>
  <c r="D4022" i="1" s="1"/>
  <c r="F4022" i="1" s="1"/>
  <c r="E4023" i="1" s="1"/>
  <c r="F4023" i="1" s="1"/>
  <c r="E4024" i="1" s="1"/>
  <c r="F4024" i="1" s="1"/>
  <c r="E4025" i="1" s="1"/>
  <c r="F4025" i="1" s="1"/>
  <c r="D4026" i="1" s="1"/>
  <c r="F4026" i="1" s="1"/>
  <c r="D4027" i="1" s="1"/>
  <c r="F4027" i="1" s="1"/>
  <c r="E4028" i="1" s="1"/>
  <c r="F4028" i="1" s="1"/>
  <c r="E4029" i="1" s="1"/>
  <c r="F4029" i="1" s="1"/>
  <c r="E4030" i="1" s="1"/>
  <c r="F4030" i="1" s="1"/>
  <c r="E4031" i="1" s="1"/>
  <c r="F4031" i="1" s="1"/>
  <c r="D4032" i="1" s="1"/>
  <c r="F4032" i="1" s="1"/>
  <c r="D4033" i="1" s="1"/>
  <c r="F4033" i="1" s="1"/>
  <c r="E4034" i="1" s="1"/>
  <c r="F4034" i="1" s="1"/>
  <c r="E4035" i="1" s="1"/>
  <c r="F4035" i="1" s="1"/>
  <c r="D4036" i="1" s="1"/>
  <c r="F4036" i="1" s="1"/>
  <c r="E4037" i="1" s="1"/>
  <c r="F4037" i="1" s="1"/>
  <c r="E4038" i="1" s="1"/>
  <c r="F4038" i="1" s="1"/>
  <c r="E4039" i="1" s="1"/>
  <c r="F4039" i="1" s="1"/>
  <c r="D4040" i="1" s="1"/>
  <c r="F4040" i="1" s="1"/>
  <c r="E4041" i="1" s="1"/>
  <c r="F4041" i="1" s="1"/>
  <c r="D4042" i="1" s="1"/>
  <c r="F4042" i="1" s="1"/>
  <c r="E4043" i="1" s="1"/>
  <c r="F4043" i="1" s="1"/>
  <c r="D4044" i="1" s="1"/>
  <c r="F4044" i="1" s="1"/>
  <c r="E4045" i="1" s="1"/>
  <c r="F4045" i="1" s="1"/>
  <c r="D4046" i="1" s="1"/>
  <c r="F4046" i="1" s="1"/>
  <c r="D4047" i="1" s="1"/>
  <c r="F4047" i="1" s="1"/>
  <c r="E4048" i="1" s="1"/>
  <c r="F4048" i="1" s="1"/>
  <c r="D4049" i="1" s="1"/>
  <c r="F4049" i="1" s="1"/>
  <c r="E4050" i="1" s="1"/>
  <c r="F4050" i="1" s="1"/>
  <c r="E4051" i="1" s="1"/>
  <c r="F4051" i="1" s="1"/>
  <c r="D4052" i="1" s="1"/>
  <c r="F4052" i="1" s="1"/>
  <c r="E4053" i="1" s="1"/>
  <c r="F4053" i="1" s="1"/>
  <c r="E4054" i="1" s="1"/>
  <c r="F4054" i="1" s="1"/>
  <c r="D4055" i="1" s="1"/>
  <c r="F4055" i="1" s="1"/>
  <c r="E4056" i="1" s="1"/>
  <c r="F4056" i="1" s="1"/>
  <c r="E4057" i="1" s="1"/>
  <c r="F4057" i="1" s="1"/>
  <c r="E4058" i="1" s="1"/>
  <c r="F4058" i="1" s="1"/>
  <c r="E4059" i="1" s="1"/>
  <c r="F4059" i="1" s="1"/>
  <c r="E4060" i="1" s="1"/>
  <c r="F4060" i="1" s="1"/>
  <c r="E4061" i="1" s="1"/>
  <c r="F4061" i="1" s="1"/>
  <c r="E4062" i="1" s="1"/>
  <c r="F4062" i="1" s="1"/>
  <c r="D4063" i="1" s="1"/>
  <c r="F4063" i="1" s="1"/>
  <c r="E4064" i="1" s="1"/>
  <c r="F4064" i="1" s="1"/>
  <c r="D4065" i="1" s="1"/>
  <c r="F4065" i="1" s="1"/>
  <c r="D4066" i="1" s="1"/>
  <c r="F4066" i="1" s="1"/>
  <c r="E4067" i="1" s="1"/>
  <c r="F4067" i="1" s="1"/>
  <c r="E4068" i="1" s="1"/>
  <c r="F4068" i="1" s="1"/>
  <c r="E4069" i="1" s="1"/>
  <c r="F4069" i="1" s="1"/>
  <c r="D4070" i="1" s="1"/>
  <c r="F4070" i="1" s="1"/>
  <c r="E4071" i="1" s="1"/>
  <c r="F4071" i="1" s="1"/>
  <c r="E4072" i="1" s="1"/>
  <c r="F4072" i="1" s="1"/>
  <c r="D4073" i="1" s="1"/>
  <c r="F4073" i="1" s="1"/>
  <c r="D4074" i="1" s="1"/>
  <c r="F4074" i="1" s="1"/>
  <c r="D4075" i="1" s="1"/>
  <c r="F4075" i="1" s="1"/>
  <c r="D4076" i="1" s="1"/>
  <c r="F4076" i="1" s="1"/>
  <c r="D4077" i="1" s="1"/>
  <c r="F4077" i="1" s="1"/>
  <c r="E4078" i="1" s="1"/>
  <c r="F4078" i="1" s="1"/>
  <c r="D4079" i="1" s="1"/>
  <c r="F4079" i="1" s="1"/>
  <c r="E4080" i="1" s="1"/>
  <c r="F4080" i="1" s="1"/>
  <c r="E4081" i="1" s="1"/>
  <c r="F4081" i="1" s="1"/>
  <c r="D4082" i="1" s="1"/>
  <c r="F4082" i="1" s="1"/>
  <c r="D4083" i="1" s="1"/>
  <c r="F4083" i="1" s="1"/>
  <c r="E4084" i="1" s="1"/>
  <c r="F4084" i="1" s="1"/>
  <c r="D4085" i="1" s="1"/>
  <c r="F4085" i="1" s="1"/>
  <c r="D4086" i="1" s="1"/>
  <c r="F4086" i="1" s="1"/>
  <c r="D4087" i="1" s="1"/>
  <c r="F4087" i="1" s="1"/>
  <c r="E4088" i="1" s="1"/>
  <c r="F4088" i="1" s="1"/>
  <c r="D4089" i="1" s="1"/>
  <c r="F4089" i="1" s="1"/>
  <c r="D4090" i="1" s="1"/>
  <c r="F4090" i="1" s="1"/>
  <c r="E4091" i="1" s="1"/>
  <c r="F4091" i="1" s="1"/>
  <c r="D4092" i="1" s="1"/>
  <c r="F4092" i="1" s="1"/>
  <c r="D4093" i="1" s="1"/>
  <c r="F4093" i="1" s="1"/>
  <c r="D4094" i="1" s="1"/>
  <c r="F4094" i="1" s="1"/>
  <c r="E4095" i="1" s="1"/>
  <c r="F4095" i="1" s="1"/>
  <c r="E4096" i="1" s="1"/>
  <c r="F4096" i="1" s="1"/>
  <c r="D4097" i="1" s="1"/>
  <c r="F4097" i="1" s="1"/>
  <c r="D4098" i="1" s="1"/>
  <c r="F4098" i="1" s="1"/>
  <c r="E4099" i="1" s="1"/>
  <c r="F4099" i="1" s="1"/>
  <c r="D4100" i="1" s="1"/>
  <c r="F4100" i="1" s="1"/>
  <c r="D4101" i="1" s="1"/>
  <c r="F4101" i="1" s="1"/>
  <c r="E4102" i="1" s="1"/>
  <c r="F4102" i="1" s="1"/>
  <c r="E4103" i="1" s="1"/>
  <c r="F4103" i="1" s="1"/>
  <c r="D4104" i="1" s="1"/>
  <c r="F4104" i="1" s="1"/>
  <c r="D4105" i="1" s="1"/>
  <c r="F4105" i="1" s="1"/>
  <c r="E4106" i="1" s="1"/>
  <c r="F4106" i="1" s="1"/>
  <c r="E4107" i="1" s="1"/>
  <c r="F4107" i="1" s="1"/>
  <c r="D4108" i="1" s="1"/>
  <c r="F4108" i="1" s="1"/>
  <c r="E4109" i="1" s="1"/>
  <c r="F4109" i="1" s="1"/>
  <c r="E4110" i="1" s="1"/>
  <c r="F4110" i="1" s="1"/>
  <c r="E4111" i="1" s="1"/>
  <c r="F4111" i="1" s="1"/>
  <c r="D4112" i="1" s="1"/>
  <c r="F4112" i="1" s="1"/>
  <c r="E4113" i="1" s="1"/>
  <c r="F4113" i="1" s="1"/>
  <c r="D4114" i="1" s="1"/>
  <c r="F4114" i="1" s="1"/>
  <c r="D4115" i="1" s="1"/>
  <c r="F4115" i="1" s="1"/>
  <c r="D4116" i="1" s="1"/>
  <c r="F4116" i="1" s="1"/>
  <c r="E4117" i="1" s="1"/>
  <c r="F4117" i="1" s="1"/>
  <c r="D4118" i="1" s="1"/>
  <c r="F4118" i="1" s="1"/>
  <c r="E4119" i="1" s="1"/>
  <c r="F4119" i="1" s="1"/>
  <c r="E4120" i="1" s="1"/>
  <c r="F4120" i="1" s="1"/>
  <c r="D4121" i="1" s="1"/>
  <c r="F4121" i="1" s="1"/>
  <c r="D4122" i="1" s="1"/>
  <c r="F4122" i="1" s="1"/>
  <c r="E4123" i="1" s="1"/>
  <c r="F4123" i="1" s="1"/>
  <c r="D4124" i="1" s="1"/>
  <c r="F4124" i="1" s="1"/>
  <c r="E4125" i="1" s="1"/>
  <c r="F4125" i="1" s="1"/>
  <c r="E4126" i="1" s="1"/>
  <c r="F4126" i="1" s="1"/>
  <c r="D4127" i="1" s="1"/>
  <c r="F4127" i="1" s="1"/>
  <c r="E4128" i="1" s="1"/>
  <c r="F4128" i="1" s="1"/>
  <c r="D4129" i="1" s="1"/>
  <c r="F4129" i="1" s="1"/>
  <c r="D4130" i="1" s="1"/>
  <c r="F4130" i="1" s="1"/>
  <c r="D4131" i="1" s="1"/>
  <c r="F4131" i="1" s="1"/>
  <c r="E4132" i="1" s="1"/>
  <c r="F4132" i="1" s="1"/>
  <c r="E4133" i="1" s="1"/>
  <c r="F4133" i="1" s="1"/>
  <c r="E4134" i="1" s="1"/>
  <c r="F4134" i="1" s="1"/>
  <c r="D4135" i="1" s="1"/>
  <c r="F4135" i="1" s="1"/>
  <c r="E4136" i="1" s="1"/>
  <c r="F4136" i="1" s="1"/>
  <c r="D4137" i="1" s="1"/>
  <c r="F4137" i="1" s="1"/>
  <c r="E4138" i="1" s="1"/>
  <c r="F4138" i="1" s="1"/>
  <c r="D4139" i="1" s="1"/>
  <c r="F4139" i="1" s="1"/>
  <c r="D4140" i="1" s="1"/>
  <c r="F4140" i="1" s="1"/>
  <c r="E4141" i="1" s="1"/>
  <c r="F4141" i="1" s="1"/>
  <c r="E4142" i="1" s="1"/>
  <c r="F4142" i="1" s="1"/>
  <c r="E4143" i="1" s="1"/>
  <c r="F4143" i="1" s="1"/>
  <c r="D4144" i="1" s="1"/>
  <c r="F4144" i="1" s="1"/>
  <c r="D4145" i="1" s="1"/>
  <c r="F4145" i="1" s="1"/>
  <c r="E4146" i="1" s="1"/>
  <c r="F4146" i="1" s="1"/>
  <c r="D4147" i="1" s="1"/>
  <c r="F4147" i="1" s="1"/>
  <c r="D4148" i="1" s="1"/>
  <c r="F4148" i="1" s="1"/>
  <c r="D4149" i="1" s="1"/>
  <c r="F4149" i="1" s="1"/>
  <c r="E4150" i="1" s="1"/>
  <c r="F4150" i="1" s="1"/>
  <c r="D4151" i="1" s="1"/>
  <c r="F4151" i="1" s="1"/>
  <c r="E4152" i="1" s="1"/>
  <c r="F4152" i="1" s="1"/>
  <c r="D4153" i="1" s="1"/>
  <c r="F4153" i="1" s="1"/>
  <c r="D4154" i="1" s="1"/>
  <c r="F4154" i="1" s="1"/>
  <c r="E4155" i="1" s="1"/>
  <c r="F4155" i="1" s="1"/>
  <c r="D4156" i="1" s="1"/>
  <c r="F4156" i="1" s="1"/>
  <c r="E4157" i="1" s="1"/>
  <c r="F4157" i="1" s="1"/>
  <c r="E4158" i="1" s="1"/>
  <c r="F4158" i="1" s="1"/>
  <c r="E4159" i="1" s="1"/>
  <c r="F4159" i="1" s="1"/>
  <c r="E4160" i="1" s="1"/>
  <c r="F4160" i="1" s="1"/>
  <c r="D4161" i="1" s="1"/>
  <c r="F4161" i="1" s="1"/>
  <c r="E4162" i="1" s="1"/>
  <c r="F4162" i="1" s="1"/>
  <c r="E4163" i="1" s="1"/>
  <c r="F4163" i="1" s="1"/>
  <c r="D4164" i="1" s="1"/>
  <c r="F4164" i="1" s="1"/>
  <c r="E4165" i="1" s="1"/>
  <c r="F4165" i="1" s="1"/>
  <c r="D4166" i="1" s="1"/>
  <c r="F4166" i="1" s="1"/>
  <c r="D4167" i="1" s="1"/>
  <c r="F4167" i="1" s="1"/>
  <c r="E4168" i="1" s="1"/>
  <c r="F4168" i="1" s="1"/>
  <c r="D4169" i="1" s="1"/>
  <c r="F4169" i="1" s="1"/>
  <c r="E4170" i="1" s="1"/>
  <c r="F4170" i="1" s="1"/>
  <c r="D4171" i="1" s="1"/>
  <c r="F4171" i="1" s="1"/>
  <c r="D4172" i="1" s="1"/>
  <c r="F4172" i="1" s="1"/>
  <c r="E4173" i="1" s="1"/>
  <c r="F4173" i="1" s="1"/>
  <c r="D4174" i="1" s="1"/>
  <c r="F4174" i="1" s="1"/>
  <c r="E4175" i="1" s="1"/>
  <c r="F4175" i="1" s="1"/>
  <c r="D4176" i="1" s="1"/>
  <c r="F4176" i="1" s="1"/>
  <c r="E4177" i="1" s="1"/>
  <c r="F4177" i="1" s="1"/>
  <c r="D4178" i="1" s="1"/>
  <c r="F4178" i="1" s="1"/>
  <c r="E4179" i="1" s="1"/>
  <c r="F4179" i="1" s="1"/>
  <c r="E4180" i="1" s="1"/>
  <c r="F4180" i="1" s="1"/>
  <c r="E4181" i="1" s="1"/>
  <c r="F4181" i="1" s="1"/>
  <c r="E4182" i="1" s="1"/>
  <c r="F4182" i="1" s="1"/>
  <c r="D4183" i="1" s="1"/>
  <c r="F4183" i="1" s="1"/>
  <c r="D4184" i="1" s="1"/>
  <c r="F4184" i="1" s="1"/>
  <c r="E4185" i="1" s="1"/>
  <c r="F4185" i="1" s="1"/>
  <c r="D4186" i="1" s="1"/>
  <c r="F4186" i="1" s="1"/>
  <c r="E4187" i="1" s="1"/>
  <c r="F4187" i="1" s="1"/>
  <c r="D4188" i="1" s="1"/>
  <c r="F4188" i="1" s="1"/>
  <c r="E4189" i="1" s="1"/>
  <c r="F4189" i="1" s="1"/>
  <c r="D4190" i="1" s="1"/>
  <c r="F4190" i="1" s="1"/>
  <c r="D4191" i="1" s="1"/>
  <c r="F4191" i="1" s="1"/>
  <c r="D4192" i="1" s="1"/>
  <c r="F4192" i="1" s="1"/>
  <c r="D4193" i="1" s="1"/>
  <c r="F4193" i="1" s="1"/>
  <c r="D4194" i="1" s="1"/>
  <c r="F4194" i="1" s="1"/>
  <c r="E4195" i="1" s="1"/>
  <c r="F4195" i="1" s="1"/>
  <c r="E4196" i="1" s="1"/>
  <c r="F4196" i="1" s="1"/>
  <c r="D4197" i="1" s="1"/>
  <c r="F4197" i="1" s="1"/>
  <c r="D4198" i="1" s="1"/>
  <c r="F4198" i="1" s="1"/>
  <c r="E4199" i="1" s="1"/>
  <c r="F4199" i="1" s="1"/>
  <c r="D4200" i="1" s="1"/>
  <c r="F4200" i="1" s="1"/>
  <c r="D4201" i="1" s="1"/>
  <c r="F4201" i="1" s="1"/>
  <c r="E4202" i="1" s="1"/>
  <c r="F4202" i="1" s="1"/>
  <c r="D4203" i="1" s="1"/>
  <c r="F4203" i="1" s="1"/>
  <c r="E4204" i="1" s="1"/>
  <c r="F4204" i="1" s="1"/>
  <c r="D4205" i="1" s="1"/>
  <c r="F4205" i="1" s="1"/>
  <c r="E4206" i="1" s="1"/>
  <c r="F4206" i="1" s="1"/>
  <c r="D4207" i="1" s="1"/>
  <c r="F4207" i="1" s="1"/>
  <c r="E4208" i="1" s="1"/>
  <c r="F4208" i="1" s="1"/>
  <c r="E4209" i="1" s="1"/>
  <c r="F4209" i="1" s="1"/>
  <c r="D4210" i="1" s="1"/>
  <c r="F4210" i="1" s="1"/>
  <c r="E4211" i="1" s="1"/>
  <c r="F4211" i="1" s="1"/>
  <c r="E4212" i="1" s="1"/>
  <c r="F4212" i="1" s="1"/>
  <c r="D4213" i="1" s="1"/>
  <c r="F4213" i="1" s="1"/>
  <c r="E4214" i="1" s="1"/>
  <c r="F4214" i="1" s="1"/>
  <c r="D4215" i="1" s="1"/>
  <c r="F4215" i="1" s="1"/>
  <c r="E4216" i="1" s="1"/>
  <c r="F4216" i="1" s="1"/>
  <c r="D4217" i="1" s="1"/>
  <c r="F4217" i="1" s="1"/>
  <c r="E4218" i="1" s="1"/>
  <c r="F4218" i="1" s="1"/>
  <c r="E4219" i="1" s="1"/>
  <c r="F4219" i="1" s="1"/>
  <c r="E4220" i="1" s="1"/>
  <c r="F4220" i="1" s="1"/>
  <c r="D4221" i="1" s="1"/>
  <c r="F4221" i="1" s="1"/>
  <c r="D4222" i="1" s="1"/>
  <c r="F4222" i="1" s="1"/>
  <c r="D4223" i="1" s="1"/>
  <c r="F4223" i="1" s="1"/>
  <c r="E4224" i="1" s="1"/>
  <c r="F4224" i="1" s="1"/>
  <c r="E4225" i="1" s="1"/>
  <c r="F4225" i="1" s="1"/>
  <c r="E4226" i="1" s="1"/>
  <c r="F4226" i="1" s="1"/>
  <c r="D4227" i="1" s="1"/>
  <c r="F4227" i="1" s="1"/>
  <c r="D4228" i="1" s="1"/>
  <c r="F4228" i="1" s="1"/>
  <c r="E4229" i="1" s="1"/>
  <c r="F4229" i="1" s="1"/>
  <c r="E4230" i="1" s="1"/>
  <c r="F4230" i="1" s="1"/>
  <c r="D4231" i="1" s="1"/>
  <c r="F4231" i="1" s="1"/>
  <c r="D4232" i="1" s="1"/>
  <c r="F4232" i="1" s="1"/>
  <c r="D4233" i="1" s="1"/>
  <c r="F4233" i="1" s="1"/>
  <c r="D4234" i="1" s="1"/>
  <c r="F4234" i="1" s="1"/>
  <c r="D4235" i="1" s="1"/>
  <c r="F4235" i="1" s="1"/>
  <c r="E4236" i="1" s="1"/>
  <c r="F4236" i="1" s="1"/>
  <c r="E4237" i="1" s="1"/>
  <c r="F4237" i="1" s="1"/>
  <c r="D4238" i="1" s="1"/>
  <c r="F4238" i="1" s="1"/>
  <c r="D4239" i="1" s="1"/>
  <c r="F4239" i="1" s="1"/>
  <c r="D4240" i="1" s="1"/>
  <c r="F4240" i="1" s="1"/>
  <c r="D4241" i="1" s="1"/>
  <c r="F4241" i="1" s="1"/>
  <c r="D4242" i="1" s="1"/>
  <c r="F4242" i="1" s="1"/>
  <c r="D4243" i="1" s="1"/>
  <c r="F4243" i="1" s="1"/>
  <c r="D4244" i="1" s="1"/>
  <c r="F4244" i="1" s="1"/>
  <c r="E4245" i="1" s="1"/>
  <c r="F4245" i="1" s="1"/>
  <c r="E4246" i="1" s="1"/>
  <c r="F4246" i="1" s="1"/>
  <c r="E4247" i="1" s="1"/>
  <c r="F4247" i="1" s="1"/>
  <c r="E4248" i="1" s="1"/>
  <c r="F4248" i="1" s="1"/>
  <c r="E4249" i="1" s="1"/>
  <c r="F4249" i="1" s="1"/>
  <c r="E4250" i="1" s="1"/>
  <c r="F4250" i="1" s="1"/>
  <c r="E4251" i="1" s="1"/>
  <c r="F4251" i="1" s="1"/>
  <c r="D4252" i="1" s="1"/>
  <c r="F4252" i="1" s="1"/>
  <c r="D4253" i="1" s="1"/>
  <c r="F4253" i="1" s="1"/>
  <c r="D4254" i="1" s="1"/>
  <c r="F4254" i="1" s="1"/>
  <c r="E4255" i="1" s="1"/>
  <c r="F4255" i="1" s="1"/>
  <c r="E4256" i="1" s="1"/>
  <c r="F4256" i="1" s="1"/>
  <c r="E4257" i="1" s="1"/>
  <c r="F4257" i="1" s="1"/>
  <c r="E4258" i="1" s="1"/>
  <c r="F4258" i="1" s="1"/>
  <c r="D4259" i="1" s="1"/>
  <c r="F4259" i="1" s="1"/>
  <c r="E4260" i="1" s="1"/>
  <c r="F4260" i="1" s="1"/>
  <c r="E4261" i="1" s="1"/>
  <c r="F4261" i="1" s="1"/>
  <c r="D4262" i="1" s="1"/>
  <c r="F4262" i="1" s="1"/>
  <c r="D4263" i="1" s="1"/>
  <c r="F4263" i="1" s="1"/>
  <c r="D4264" i="1" s="1"/>
  <c r="F4264" i="1" s="1"/>
  <c r="D4265" i="1" s="1"/>
  <c r="F4265" i="1" s="1"/>
  <c r="E4266" i="1" s="1"/>
  <c r="F4266" i="1" s="1"/>
  <c r="E4267" i="1" s="1"/>
  <c r="F4267" i="1" s="1"/>
  <c r="E4268" i="1" s="1"/>
  <c r="F4268" i="1" s="1"/>
  <c r="E4269" i="1" s="1"/>
  <c r="F4269" i="1" s="1"/>
  <c r="E4270" i="1" s="1"/>
  <c r="F4270" i="1" s="1"/>
  <c r="E4271" i="1" s="1"/>
  <c r="F4271" i="1" s="1"/>
  <c r="D4272" i="1" s="1"/>
  <c r="F4272" i="1" s="1"/>
  <c r="D4273" i="1" s="1"/>
  <c r="F4273" i="1" s="1"/>
  <c r="E4274" i="1" s="1"/>
  <c r="F4274" i="1" s="1"/>
  <c r="D4275" i="1" s="1"/>
  <c r="F4275" i="1" s="1"/>
  <c r="D4276" i="1" s="1"/>
  <c r="F4276" i="1" s="1"/>
  <c r="E4277" i="1" s="1"/>
  <c r="F4277" i="1" s="1"/>
  <c r="D4278" i="1" s="1"/>
  <c r="F4278" i="1" s="1"/>
  <c r="E4279" i="1" s="1"/>
  <c r="F4279" i="1" s="1"/>
  <c r="E4280" i="1" s="1"/>
  <c r="F4280" i="1" s="1"/>
  <c r="E4281" i="1" s="1"/>
  <c r="F4281" i="1" s="1"/>
  <c r="E4282" i="1" s="1"/>
  <c r="F4282" i="1" s="1"/>
  <c r="E4283" i="1" s="1"/>
  <c r="F4283" i="1" s="1"/>
  <c r="D4284" i="1" s="1"/>
  <c r="F4284" i="1" s="1"/>
  <c r="E4285" i="1" s="1"/>
  <c r="F4285" i="1" s="1"/>
  <c r="D4286" i="1" s="1"/>
  <c r="F4286" i="1" s="1"/>
  <c r="E4287" i="1" s="1"/>
  <c r="F4287" i="1" s="1"/>
  <c r="E4288" i="1" s="1"/>
  <c r="F4288" i="1" s="1"/>
  <c r="E4289" i="1" s="1"/>
  <c r="F4289" i="1" s="1"/>
  <c r="D4290" i="1" s="1"/>
  <c r="F4290" i="1" s="1"/>
  <c r="E4291" i="1" s="1"/>
  <c r="F4291" i="1" s="1"/>
  <c r="D4292" i="1" s="1"/>
  <c r="F4292" i="1" s="1"/>
  <c r="E4293" i="1" s="1"/>
  <c r="F4293" i="1" s="1"/>
  <c r="D4294" i="1" s="1"/>
  <c r="F4294" i="1" s="1"/>
  <c r="D4295" i="1" s="1"/>
  <c r="F4295" i="1" s="1"/>
  <c r="E4296" i="1" s="1"/>
  <c r="F4296" i="1" s="1"/>
  <c r="D4297" i="1" s="1"/>
  <c r="F4297" i="1" s="1"/>
  <c r="E4298" i="1" s="1"/>
  <c r="F4298" i="1" s="1"/>
  <c r="D4299" i="1" s="1"/>
  <c r="F4299" i="1" s="1"/>
  <c r="E4300" i="1" s="1"/>
  <c r="F4300" i="1" s="1"/>
  <c r="D4301" i="1" s="1"/>
  <c r="F4301" i="1" s="1"/>
  <c r="E4302" i="1" s="1"/>
  <c r="F4302" i="1" s="1"/>
  <c r="E4303" i="1" s="1"/>
  <c r="F4303" i="1" s="1"/>
  <c r="E4304" i="1" s="1"/>
  <c r="F4304" i="1" s="1"/>
  <c r="D4305" i="1" s="1"/>
  <c r="F4305" i="1" s="1"/>
  <c r="E4306" i="1" s="1"/>
  <c r="F4306" i="1" s="1"/>
  <c r="D4307" i="1" s="1"/>
  <c r="F4307" i="1" s="1"/>
  <c r="E4308" i="1" s="1"/>
  <c r="F4308" i="1" s="1"/>
  <c r="D4309" i="1" s="1"/>
  <c r="F4309" i="1" s="1"/>
  <c r="E4310" i="1" s="1"/>
  <c r="F4310" i="1" s="1"/>
  <c r="E4311" i="1" s="1"/>
  <c r="F4311" i="1" s="1"/>
  <c r="D4312" i="1" s="1"/>
  <c r="F4312" i="1" s="1"/>
  <c r="E4313" i="1" s="1"/>
  <c r="F4313" i="1" s="1"/>
  <c r="E4314" i="1" s="1"/>
  <c r="F4314" i="1" s="1"/>
  <c r="E4315" i="1" s="1"/>
  <c r="F4315" i="1" s="1"/>
  <c r="D4316" i="1" s="1"/>
  <c r="F4316" i="1" s="1"/>
  <c r="E4317" i="1" s="1"/>
  <c r="F4317" i="1" s="1"/>
  <c r="D4318" i="1" s="1"/>
  <c r="F4318" i="1" s="1"/>
  <c r="D4319" i="1" s="1"/>
  <c r="F4319" i="1" s="1"/>
  <c r="D4320" i="1" s="1"/>
  <c r="F4320" i="1" s="1"/>
  <c r="D4321" i="1" s="1"/>
  <c r="F4321" i="1" s="1"/>
  <c r="D4322" i="1" s="1"/>
  <c r="F4322" i="1" s="1"/>
  <c r="E4323" i="1" s="1"/>
  <c r="F4323" i="1" s="1"/>
  <c r="D4324" i="1" s="1"/>
  <c r="F4324" i="1" s="1"/>
  <c r="E4325" i="1" s="1"/>
  <c r="F4325" i="1" s="1"/>
  <c r="D4326" i="1" s="1"/>
  <c r="F4326" i="1" s="1"/>
  <c r="D4327" i="1" s="1"/>
  <c r="F4327" i="1" s="1"/>
  <c r="D4328" i="1" s="1"/>
  <c r="F4328" i="1" s="1"/>
  <c r="E4329" i="1" s="1"/>
  <c r="F4329" i="1" s="1"/>
  <c r="D4330" i="1" s="1"/>
  <c r="F4330" i="1" s="1"/>
  <c r="D4331" i="1" s="1"/>
  <c r="F4331" i="1" s="1"/>
  <c r="D4332" i="1" s="1"/>
  <c r="F4332" i="1" s="1"/>
  <c r="D4333" i="1" s="1"/>
  <c r="F4333" i="1" s="1"/>
  <c r="D4334" i="1" s="1"/>
  <c r="F4334" i="1" s="1"/>
  <c r="D4335" i="1" s="1"/>
  <c r="F4335" i="1" s="1"/>
  <c r="D4336" i="1" s="1"/>
  <c r="F4336" i="1" s="1"/>
  <c r="E4337" i="1" s="1"/>
  <c r="F4337" i="1" s="1"/>
  <c r="E4338" i="1" s="1"/>
  <c r="F4338" i="1" s="1"/>
  <c r="D4339" i="1" s="1"/>
  <c r="F4339" i="1" s="1"/>
  <c r="E4340" i="1" s="1"/>
  <c r="F4340" i="1" s="1"/>
  <c r="D4341" i="1" s="1"/>
  <c r="F4341" i="1" s="1"/>
  <c r="D4342" i="1" s="1"/>
  <c r="F4342" i="1" s="1"/>
  <c r="E4343" i="1" s="1"/>
  <c r="F4343" i="1" s="1"/>
  <c r="D4344" i="1" s="1"/>
  <c r="F4344" i="1" s="1"/>
  <c r="E4345" i="1" s="1"/>
  <c r="F4345" i="1" s="1"/>
  <c r="D4346" i="1" s="1"/>
  <c r="F4346" i="1" s="1"/>
  <c r="D4347" i="1" s="1"/>
  <c r="F4347" i="1" s="1"/>
  <c r="E4348" i="1" s="1"/>
  <c r="F4348" i="1" s="1"/>
  <c r="D4349" i="1" s="1"/>
  <c r="F4349" i="1" s="1"/>
  <c r="D4350" i="1" s="1"/>
  <c r="F4350" i="1" s="1"/>
  <c r="E4351" i="1" s="1"/>
  <c r="F4351" i="1" s="1"/>
  <c r="D4352" i="1" s="1"/>
  <c r="F4352" i="1" s="1"/>
  <c r="D4353" i="1" s="1"/>
  <c r="F4353" i="1" s="1"/>
  <c r="D4354" i="1" s="1"/>
  <c r="F4354" i="1" s="1"/>
  <c r="E4355" i="1" s="1"/>
  <c r="F4355" i="1" s="1"/>
  <c r="E4356" i="1" s="1"/>
  <c r="F4356" i="1" s="1"/>
  <c r="D4357" i="1" s="1"/>
  <c r="F4357" i="1" s="1"/>
  <c r="D4358" i="1" s="1"/>
  <c r="F4358" i="1" s="1"/>
  <c r="D4359" i="1" s="1"/>
  <c r="F4359" i="1" s="1"/>
  <c r="D4360" i="1" s="1"/>
  <c r="F4360" i="1" s="1"/>
  <c r="E4361" i="1" s="1"/>
  <c r="F4361" i="1" s="1"/>
  <c r="D4362" i="1" s="1"/>
  <c r="F4362" i="1" s="1"/>
  <c r="D4363" i="1" s="1"/>
  <c r="F4363" i="1" s="1"/>
  <c r="D4364" i="1" s="1"/>
  <c r="F4364" i="1" s="1"/>
  <c r="E4365" i="1" s="1"/>
  <c r="F4365" i="1" s="1"/>
  <c r="E4366" i="1" s="1"/>
  <c r="F4366" i="1" s="1"/>
  <c r="D4367" i="1" s="1"/>
  <c r="F4367" i="1" s="1"/>
  <c r="D4368" i="1" s="1"/>
  <c r="F4368" i="1" s="1"/>
  <c r="E4369" i="1" s="1"/>
  <c r="F4369" i="1" s="1"/>
  <c r="D4370" i="1" s="1"/>
  <c r="F4370" i="1" s="1"/>
  <c r="D4371" i="1" s="1"/>
  <c r="F4371" i="1" s="1"/>
  <c r="E4372" i="1" s="1"/>
  <c r="F4372" i="1" s="1"/>
  <c r="E4373" i="1" s="1"/>
  <c r="F4373" i="1" s="1"/>
  <c r="E4374" i="1" s="1"/>
  <c r="F4374" i="1" s="1"/>
  <c r="E4375" i="1" s="1"/>
  <c r="F4375" i="1" s="1"/>
  <c r="D4376" i="1" s="1"/>
  <c r="F4376" i="1" s="1"/>
  <c r="D4377" i="1" s="1"/>
  <c r="F4377" i="1" s="1"/>
  <c r="D4378" i="1" s="1"/>
  <c r="F4378" i="1" s="1"/>
  <c r="D4379" i="1" s="1"/>
  <c r="F4379" i="1" s="1"/>
  <c r="D4380" i="1" s="1"/>
  <c r="F4380" i="1" s="1"/>
  <c r="E4381" i="1" s="1"/>
  <c r="F4381" i="1" s="1"/>
  <c r="D4382" i="1" s="1"/>
  <c r="F4382" i="1" s="1"/>
  <c r="D4383" i="1" s="1"/>
  <c r="F4383" i="1" s="1"/>
  <c r="D4384" i="1" s="1"/>
  <c r="F4384" i="1" s="1"/>
  <c r="D4385" i="1" s="1"/>
  <c r="F4385" i="1" s="1"/>
  <c r="E4386" i="1" s="1"/>
  <c r="F4386" i="1" s="1"/>
  <c r="D4387" i="1" s="1"/>
  <c r="F4387" i="1" s="1"/>
  <c r="E4388" i="1" s="1"/>
  <c r="F4388" i="1" s="1"/>
  <c r="D4389" i="1" s="1"/>
  <c r="F4389" i="1" s="1"/>
  <c r="E4390" i="1" s="1"/>
  <c r="F4390" i="1" s="1"/>
  <c r="D4391" i="1" s="1"/>
  <c r="F4391" i="1" s="1"/>
  <c r="E4392" i="1" s="1"/>
  <c r="F4392" i="1" s="1"/>
  <c r="E4393" i="1" s="1"/>
  <c r="F4393" i="1" s="1"/>
  <c r="D4394" i="1" s="1"/>
  <c r="F4394" i="1" s="1"/>
  <c r="E4395" i="1" s="1"/>
  <c r="F4395" i="1" s="1"/>
  <c r="D4396" i="1" s="1"/>
  <c r="F4396" i="1" s="1"/>
  <c r="D4397" i="1" s="1"/>
  <c r="F4397" i="1" s="1"/>
  <c r="E4398" i="1" s="1"/>
  <c r="F4398" i="1" s="1"/>
  <c r="E4399" i="1" s="1"/>
  <c r="F4399" i="1" s="1"/>
  <c r="D4400" i="1" s="1"/>
  <c r="F4400" i="1" s="1"/>
  <c r="E4401" i="1" s="1"/>
  <c r="F4401" i="1" s="1"/>
  <c r="E4402" i="1" s="1"/>
  <c r="F4402" i="1" s="1"/>
  <c r="D4403" i="1" s="1"/>
  <c r="F4403" i="1" s="1"/>
  <c r="E4404" i="1" s="1"/>
  <c r="F4404" i="1" s="1"/>
  <c r="D4405" i="1" s="1"/>
  <c r="F4405" i="1" s="1"/>
  <c r="E4406" i="1" s="1"/>
  <c r="F4406" i="1" s="1"/>
  <c r="D4407" i="1" s="1"/>
  <c r="F4407" i="1" s="1"/>
  <c r="D4408" i="1" s="1"/>
  <c r="F4408" i="1" s="1"/>
  <c r="D4409" i="1" s="1"/>
  <c r="F4409" i="1" s="1"/>
  <c r="D4410" i="1" s="1"/>
  <c r="F4410" i="1" s="1"/>
  <c r="D4411" i="1" s="1"/>
  <c r="F4411" i="1" s="1"/>
  <c r="E4412" i="1" s="1"/>
  <c r="F4412" i="1" s="1"/>
  <c r="D4413" i="1" s="1"/>
  <c r="F4413" i="1" s="1"/>
  <c r="E4414" i="1" s="1"/>
  <c r="F4414" i="1" s="1"/>
  <c r="E4415" i="1" s="1"/>
  <c r="F4415" i="1" s="1"/>
  <c r="D4416" i="1" s="1"/>
  <c r="F4416" i="1" s="1"/>
  <c r="E4417" i="1" s="1"/>
  <c r="F4417" i="1" s="1"/>
  <c r="E4418" i="1" s="1"/>
  <c r="F4418" i="1" s="1"/>
  <c r="D4419" i="1" s="1"/>
  <c r="F4419" i="1" s="1"/>
  <c r="E4420" i="1" s="1"/>
  <c r="F4420" i="1" s="1"/>
  <c r="D4421" i="1" s="1"/>
  <c r="F4421" i="1" s="1"/>
  <c r="D4422" i="1" s="1"/>
  <c r="F4422" i="1" s="1"/>
  <c r="E4423" i="1" s="1"/>
  <c r="F4423" i="1" s="1"/>
  <c r="D4424" i="1" s="1"/>
  <c r="F4424" i="1" s="1"/>
  <c r="D4425" i="1" s="1"/>
  <c r="F4425" i="1" s="1"/>
  <c r="D4426" i="1" s="1"/>
  <c r="F4426" i="1" s="1"/>
  <c r="D4427" i="1" s="1"/>
  <c r="F4427" i="1" s="1"/>
  <c r="E4428" i="1" s="1"/>
  <c r="F4428" i="1" s="1"/>
  <c r="D4429" i="1" s="1"/>
  <c r="F4429" i="1" s="1"/>
  <c r="D4430" i="1" s="1"/>
  <c r="F4430" i="1" s="1"/>
  <c r="D4431" i="1" s="1"/>
  <c r="F4431" i="1" s="1"/>
  <c r="D4432" i="1" s="1"/>
  <c r="F4432" i="1" s="1"/>
  <c r="D4433" i="1" s="1"/>
  <c r="F4433" i="1" s="1"/>
  <c r="D4434" i="1" s="1"/>
  <c r="F4434" i="1" s="1"/>
  <c r="D4435" i="1" s="1"/>
  <c r="F4435" i="1" s="1"/>
  <c r="D4436" i="1" s="1"/>
  <c r="F4436" i="1" s="1"/>
  <c r="E4437" i="1" s="1"/>
  <c r="F4437" i="1" s="1"/>
  <c r="E4438" i="1" s="1"/>
  <c r="F4438" i="1" s="1"/>
  <c r="D4439" i="1" s="1"/>
  <c r="F4439" i="1" s="1"/>
  <c r="D4440" i="1" s="1"/>
  <c r="F4440" i="1" s="1"/>
  <c r="E4441" i="1" s="1"/>
  <c r="F4441" i="1" s="1"/>
  <c r="E4442" i="1" s="1"/>
  <c r="F4442" i="1" s="1"/>
  <c r="D4443" i="1" s="1"/>
  <c r="F4443" i="1" s="1"/>
  <c r="D4444" i="1" s="1"/>
  <c r="F4444" i="1" s="1"/>
  <c r="E4445" i="1" s="1"/>
  <c r="F4445" i="1" s="1"/>
  <c r="E4446" i="1" s="1"/>
  <c r="F4446" i="1" s="1"/>
  <c r="D4447" i="1" s="1"/>
  <c r="F4447" i="1" s="1"/>
  <c r="E4448" i="1" s="1"/>
  <c r="F4448" i="1" s="1"/>
  <c r="E4449" i="1" s="1"/>
  <c r="F4449" i="1" s="1"/>
  <c r="D4450" i="1" s="1"/>
  <c r="F4450" i="1" s="1"/>
  <c r="D4451" i="1" s="1"/>
  <c r="F4451" i="1" s="1"/>
  <c r="E4452" i="1" s="1"/>
  <c r="F4452" i="1" s="1"/>
  <c r="E4453" i="1" s="1"/>
  <c r="F4453" i="1" s="1"/>
  <c r="E4454" i="1" s="1"/>
  <c r="F4454" i="1" s="1"/>
  <c r="E4455" i="1" s="1"/>
  <c r="F4455" i="1" s="1"/>
  <c r="D4456" i="1" s="1"/>
  <c r="F4456" i="1" s="1"/>
  <c r="D4457" i="1" s="1"/>
  <c r="F4457" i="1" s="1"/>
  <c r="D4458" i="1" s="1"/>
  <c r="F4458" i="1" s="1"/>
  <c r="D4459" i="1" s="1"/>
  <c r="F4459" i="1" s="1"/>
  <c r="E4460" i="1" s="1"/>
  <c r="F4460" i="1" s="1"/>
  <c r="E4461" i="1" s="1"/>
  <c r="F4461" i="1" s="1"/>
  <c r="D4462" i="1" s="1"/>
  <c r="F4462" i="1" s="1"/>
  <c r="D4463" i="1" s="1"/>
  <c r="F4463" i="1" s="1"/>
  <c r="E4464" i="1" s="1"/>
  <c r="F4464" i="1" s="1"/>
  <c r="E4465" i="1" s="1"/>
  <c r="F4465" i="1" s="1"/>
  <c r="D4466" i="1" s="1"/>
  <c r="F4466" i="1" s="1"/>
  <c r="E4467" i="1" s="1"/>
  <c r="F4467" i="1" s="1"/>
  <c r="E4468" i="1" s="1"/>
  <c r="F4468" i="1" s="1"/>
  <c r="D4469" i="1" s="1"/>
  <c r="F4469" i="1" s="1"/>
  <c r="D4470" i="1" s="1"/>
  <c r="F4470" i="1" s="1"/>
  <c r="E4471" i="1" s="1"/>
  <c r="F4471" i="1" s="1"/>
  <c r="D4472" i="1" s="1"/>
  <c r="F4472" i="1" s="1"/>
  <c r="E4473" i="1" s="1"/>
  <c r="F4473" i="1" s="1"/>
  <c r="E4474" i="1" s="1"/>
  <c r="F4474" i="1" s="1"/>
  <c r="D4475" i="1" s="1"/>
  <c r="F4475" i="1" s="1"/>
  <c r="E4476" i="1" s="1"/>
  <c r="F4476" i="1" s="1"/>
  <c r="E4477" i="1" s="1"/>
  <c r="F4477" i="1" s="1"/>
  <c r="E4478" i="1" s="1"/>
  <c r="F4478" i="1" s="1"/>
  <c r="E4479" i="1" s="1"/>
  <c r="F4479" i="1" s="1"/>
  <c r="D4480" i="1" s="1"/>
  <c r="F4480" i="1" s="1"/>
  <c r="E4481" i="1" s="1"/>
  <c r="F4481" i="1" s="1"/>
  <c r="E4482" i="1" s="1"/>
  <c r="F4482" i="1" s="1"/>
  <c r="D4483" i="1" s="1"/>
  <c r="F4483" i="1" s="1"/>
  <c r="D4484" i="1" s="1"/>
  <c r="F4484" i="1" s="1"/>
  <c r="D4485" i="1" s="1"/>
  <c r="F4485" i="1" s="1"/>
  <c r="D4486" i="1" s="1"/>
  <c r="F4486" i="1" s="1"/>
  <c r="D4487" i="1" s="1"/>
  <c r="F4487" i="1" s="1"/>
  <c r="E4488" i="1" s="1"/>
  <c r="F4488" i="1" s="1"/>
  <c r="D4489" i="1" s="1"/>
  <c r="F4489" i="1" s="1"/>
  <c r="E4490" i="1" s="1"/>
  <c r="F4490" i="1" s="1"/>
  <c r="D4491" i="1" s="1"/>
  <c r="F4491" i="1" s="1"/>
  <c r="E4492" i="1" s="1"/>
  <c r="F4492" i="1" s="1"/>
  <c r="E4493" i="1" s="1"/>
  <c r="F4493" i="1" s="1"/>
  <c r="E4494" i="1" s="1"/>
  <c r="F4494" i="1" s="1"/>
  <c r="D4495" i="1" s="1"/>
  <c r="F4495" i="1" s="1"/>
  <c r="D4496" i="1" s="1"/>
  <c r="F4496" i="1" s="1"/>
  <c r="E4497" i="1" s="1"/>
  <c r="F4497" i="1" s="1"/>
  <c r="D4498" i="1" s="1"/>
  <c r="F4498" i="1" s="1"/>
  <c r="E4499" i="1" s="1"/>
  <c r="F4499" i="1" s="1"/>
  <c r="E4500" i="1" s="1"/>
  <c r="F4500" i="1" s="1"/>
  <c r="D4501" i="1" s="1"/>
  <c r="F4501" i="1" s="1"/>
  <c r="D4502" i="1" s="1"/>
  <c r="F4502" i="1" s="1"/>
  <c r="D4503" i="1" s="1"/>
  <c r="F4503" i="1" s="1"/>
  <c r="E4504" i="1" s="1"/>
  <c r="F4504" i="1" s="1"/>
  <c r="E4505" i="1" s="1"/>
  <c r="F4505" i="1" s="1"/>
  <c r="E4506" i="1" s="1"/>
  <c r="F4506" i="1" s="1"/>
  <c r="D4507" i="1" s="1"/>
  <c r="F4507" i="1" s="1"/>
  <c r="E4508" i="1" s="1"/>
  <c r="F4508" i="1" s="1"/>
  <c r="D4509" i="1" s="1"/>
  <c r="F4509" i="1" s="1"/>
  <c r="E4510" i="1" s="1"/>
  <c r="F4510" i="1" s="1"/>
  <c r="E4511" i="1" s="1"/>
  <c r="F4511" i="1" s="1"/>
  <c r="D4512" i="1" s="1"/>
  <c r="F4512" i="1" s="1"/>
  <c r="E4513" i="1" s="1"/>
  <c r="F4513" i="1" s="1"/>
  <c r="E4514" i="1" s="1"/>
  <c r="F4514" i="1" s="1"/>
  <c r="D4515" i="1" s="1"/>
  <c r="F4515" i="1" s="1"/>
  <c r="D4516" i="1" s="1"/>
  <c r="F4516" i="1" s="1"/>
  <c r="E4517" i="1" s="1"/>
  <c r="F4517" i="1" s="1"/>
  <c r="D4518" i="1" s="1"/>
  <c r="F4518" i="1" s="1"/>
  <c r="D4519" i="1" s="1"/>
  <c r="F4519" i="1" s="1"/>
  <c r="D4520" i="1" s="1"/>
  <c r="F4520" i="1" s="1"/>
  <c r="D4521" i="1" s="1"/>
  <c r="F4521" i="1" s="1"/>
  <c r="D4522" i="1" s="1"/>
  <c r="F4522" i="1" s="1"/>
  <c r="D4523" i="1" s="1"/>
  <c r="F4523" i="1" s="1"/>
  <c r="E4524" i="1" s="1"/>
  <c r="F4524" i="1" s="1"/>
  <c r="D4525" i="1" s="1"/>
  <c r="F4525" i="1" s="1"/>
  <c r="E4526" i="1" s="1"/>
  <c r="F4526" i="1" s="1"/>
  <c r="E4527" i="1" s="1"/>
  <c r="F4527" i="1" s="1"/>
  <c r="E4528" i="1" s="1"/>
  <c r="F4528" i="1" s="1"/>
  <c r="D4529" i="1" s="1"/>
  <c r="F4529" i="1" s="1"/>
  <c r="E4530" i="1" s="1"/>
  <c r="F4530" i="1" s="1"/>
  <c r="E4531" i="1" s="1"/>
  <c r="F4531" i="1" s="1"/>
  <c r="E4532" i="1" s="1"/>
  <c r="F4532" i="1" s="1"/>
  <c r="D4533" i="1" s="1"/>
  <c r="F4533" i="1" s="1"/>
  <c r="D4534" i="1" s="1"/>
  <c r="F4534" i="1" s="1"/>
  <c r="E4535" i="1" s="1"/>
  <c r="F4535" i="1" s="1"/>
  <c r="D4536" i="1" s="1"/>
  <c r="F4536" i="1" s="1"/>
  <c r="D4537" i="1" s="1"/>
  <c r="F4537" i="1" s="1"/>
  <c r="D4538" i="1" s="1"/>
  <c r="F4538" i="1" s="1"/>
  <c r="E4539" i="1" s="1"/>
  <c r="F4539" i="1" s="1"/>
  <c r="E4540" i="1" s="1"/>
  <c r="F4540" i="1" s="1"/>
  <c r="D4541" i="1" s="1"/>
  <c r="F4541" i="1" s="1"/>
  <c r="E4542" i="1" s="1"/>
  <c r="F4542" i="1" s="1"/>
  <c r="E4543" i="1" s="1"/>
  <c r="F4543" i="1" s="1"/>
  <c r="D4544" i="1" s="1"/>
  <c r="F4544" i="1" s="1"/>
  <c r="H10" i="2" l="1"/>
  <c r="I10" i="2"/>
  <c r="F10" i="2"/>
  <c r="E10" i="2"/>
  <c r="G10" i="2" l="1"/>
  <c r="J10" i="2" s="1"/>
  <c r="K10" i="2" s="1"/>
  <c r="H11" i="2" l="1"/>
  <c r="I11" i="2"/>
  <c r="F11" i="2"/>
  <c r="G11" i="2" s="1"/>
  <c r="J11" i="2" s="1"/>
  <c r="K11" i="2" l="1"/>
  <c r="H12" i="2"/>
  <c r="I12" i="2"/>
  <c r="E12" i="2"/>
  <c r="G12" i="2" s="1"/>
  <c r="J12" i="2" l="1"/>
  <c r="E13" i="2"/>
  <c r="K12" i="2"/>
  <c r="H13" i="2"/>
  <c r="I13" i="2"/>
  <c r="F13" i="2"/>
  <c r="G13" i="2" s="1"/>
  <c r="J13" i="2" l="1"/>
  <c r="E14" i="2"/>
  <c r="G14" i="2" s="1"/>
  <c r="H14" i="2"/>
  <c r="I14" i="2"/>
  <c r="K13" i="2"/>
  <c r="E15" i="2" l="1"/>
  <c r="G15" i="2" s="1"/>
  <c r="H15" i="2"/>
  <c r="J14" i="2"/>
  <c r="I15" i="2"/>
  <c r="K14" i="2"/>
  <c r="F16" i="2" l="1"/>
  <c r="G16" i="2" s="1"/>
  <c r="H16" i="2"/>
  <c r="I16" i="2"/>
  <c r="J15" i="2"/>
  <c r="K15" i="2" s="1"/>
  <c r="K16" i="2" l="1"/>
  <c r="E17" i="2"/>
  <c r="G17" i="2" s="1"/>
  <c r="H17" i="2"/>
  <c r="I17" i="2"/>
  <c r="J16" i="2"/>
  <c r="F18" i="2" l="1"/>
  <c r="G18" i="2" s="1"/>
  <c r="H18" i="2"/>
  <c r="I18" i="2"/>
  <c r="J17" i="2"/>
  <c r="K17" i="2" s="1"/>
  <c r="H19" i="2" l="1"/>
  <c r="I19" i="2"/>
  <c r="J18" i="2"/>
  <c r="K18" i="2" s="1"/>
  <c r="E19" i="2"/>
  <c r="G19" i="2" s="1"/>
  <c r="H20" i="2" l="1"/>
  <c r="I20" i="2"/>
  <c r="J19" i="2"/>
  <c r="K19" i="2" s="1"/>
  <c r="E20" i="2"/>
  <c r="G20" i="2" s="1"/>
  <c r="H21" i="2" l="1"/>
  <c r="I21" i="2"/>
  <c r="J20" i="2"/>
  <c r="E21" i="2"/>
  <c r="G21" i="2" s="1"/>
  <c r="K20" i="2"/>
  <c r="F22" i="2" l="1"/>
  <c r="G22" i="2" s="1"/>
  <c r="H22" i="2"/>
  <c r="I22" i="2"/>
  <c r="J21" i="2"/>
  <c r="K21" i="2"/>
  <c r="F23" i="2" l="1"/>
  <c r="G23" i="2" s="1"/>
  <c r="H23" i="2"/>
  <c r="I23" i="2"/>
  <c r="J22" i="2"/>
  <c r="K22" i="2" s="1"/>
  <c r="E24" i="2" l="1"/>
  <c r="G24" i="2" s="1"/>
  <c r="I24" i="2"/>
  <c r="H24" i="2"/>
  <c r="J23" i="2"/>
  <c r="K23" i="2" s="1"/>
  <c r="E25" i="2" l="1"/>
  <c r="G25" i="2" s="1"/>
  <c r="H25" i="2"/>
  <c r="I25" i="2"/>
  <c r="J24" i="2"/>
  <c r="K24" i="2" s="1"/>
  <c r="E26" i="2" l="1"/>
  <c r="G26" i="2" s="1"/>
  <c r="H26" i="2"/>
  <c r="I26" i="2"/>
  <c r="J25" i="2"/>
  <c r="K25" i="2"/>
  <c r="H27" i="2" l="1"/>
  <c r="I27" i="2"/>
  <c r="J26" i="2"/>
  <c r="K26" i="2" s="1"/>
  <c r="E27" i="2"/>
  <c r="G27" i="2" s="1"/>
  <c r="H28" i="2" l="1"/>
  <c r="I28" i="2"/>
  <c r="J27" i="2"/>
  <c r="E28" i="2"/>
  <c r="G28" i="2" s="1"/>
  <c r="K27" i="2"/>
  <c r="H29" i="2" l="1"/>
  <c r="I29" i="2"/>
  <c r="J28" i="2"/>
  <c r="E29" i="2"/>
  <c r="G29" i="2" s="1"/>
  <c r="K28" i="2"/>
  <c r="F30" i="2" l="1"/>
  <c r="G30" i="2" s="1"/>
  <c r="H30" i="2"/>
  <c r="I30" i="2"/>
  <c r="J29" i="2"/>
  <c r="K29" i="2"/>
  <c r="E31" i="2" l="1"/>
  <c r="G31" i="2" s="1"/>
  <c r="H31" i="2"/>
  <c r="I31" i="2"/>
  <c r="J30" i="2"/>
  <c r="K30" i="2" s="1"/>
  <c r="E32" i="2" l="1"/>
  <c r="G32" i="2" s="1"/>
  <c r="H32" i="2"/>
  <c r="I32" i="2"/>
  <c r="J31" i="2"/>
  <c r="K31" i="2" s="1"/>
  <c r="K32" i="2" l="1"/>
  <c r="F33" i="2"/>
  <c r="G33" i="2" s="1"/>
  <c r="H33" i="2"/>
  <c r="I33" i="2"/>
  <c r="J32" i="2"/>
  <c r="E34" i="2" l="1"/>
  <c r="G34" i="2" s="1"/>
  <c r="H34" i="2"/>
  <c r="I34" i="2"/>
  <c r="J33" i="2"/>
  <c r="K33" i="2" s="1"/>
  <c r="H35" i="2" l="1"/>
  <c r="I35" i="2"/>
  <c r="J34" i="2"/>
  <c r="K34" i="2" s="1"/>
  <c r="F35" i="2"/>
  <c r="G35" i="2" s="1"/>
  <c r="H36" i="2" l="1"/>
  <c r="I36" i="2"/>
  <c r="J35" i="2"/>
  <c r="E36" i="2"/>
  <c r="G36" i="2" s="1"/>
  <c r="K35" i="2"/>
  <c r="H37" i="2" l="1"/>
  <c r="I37" i="2"/>
  <c r="J36" i="2"/>
  <c r="E37" i="2"/>
  <c r="G37" i="2" s="1"/>
  <c r="K36" i="2"/>
  <c r="F38" i="2" l="1"/>
  <c r="G38" i="2" s="1"/>
  <c r="H38" i="2"/>
  <c r="I38" i="2"/>
  <c r="J37" i="2"/>
  <c r="K37" i="2"/>
  <c r="E39" i="2" l="1"/>
  <c r="G39" i="2" s="1"/>
  <c r="H39" i="2"/>
  <c r="I39" i="2"/>
  <c r="J38" i="2"/>
  <c r="K38" i="2" s="1"/>
  <c r="F40" i="2" l="1"/>
  <c r="G40" i="2" s="1"/>
  <c r="H40" i="2"/>
  <c r="I40" i="2"/>
  <c r="J39" i="2"/>
  <c r="K39" i="2" s="1"/>
  <c r="K40" i="2" l="1"/>
  <c r="E41" i="2"/>
  <c r="G41" i="2" s="1"/>
  <c r="H41" i="2"/>
  <c r="I41" i="2"/>
  <c r="J40" i="2"/>
  <c r="E42" i="2" l="1"/>
  <c r="G42" i="2" s="1"/>
  <c r="H42" i="2"/>
  <c r="I42" i="2"/>
  <c r="J41" i="2"/>
  <c r="K41" i="2"/>
  <c r="H43" i="2" l="1"/>
  <c r="I43" i="2"/>
  <c r="J42" i="2"/>
  <c r="K42" i="2" s="1"/>
  <c r="F43" i="2"/>
  <c r="G43" i="2" s="1"/>
  <c r="H44" i="2" l="1"/>
  <c r="I44" i="2"/>
  <c r="J43" i="2"/>
  <c r="K43" i="2" s="1"/>
  <c r="E44" i="2"/>
  <c r="G44" i="2" s="1"/>
  <c r="H45" i="2" l="1"/>
  <c r="I45" i="2"/>
  <c r="J44" i="2"/>
  <c r="E45" i="2"/>
  <c r="G45" i="2" s="1"/>
  <c r="K44" i="2"/>
  <c r="E46" i="2" l="1"/>
  <c r="G46" i="2" s="1"/>
  <c r="H46" i="2"/>
  <c r="I46" i="2"/>
  <c r="J45" i="2"/>
  <c r="K45" i="2"/>
  <c r="F47" i="2" l="1"/>
  <c r="G47" i="2" s="1"/>
  <c r="H47" i="2"/>
  <c r="J46" i="2"/>
  <c r="K46" i="2" s="1"/>
  <c r="I47" i="2"/>
  <c r="F48" i="2" l="1"/>
  <c r="G48" i="2" s="1"/>
  <c r="H48" i="2"/>
  <c r="I48" i="2"/>
  <c r="J47" i="2"/>
  <c r="K47" i="2" s="1"/>
  <c r="E49" i="2" l="1"/>
  <c r="G49" i="2" s="1"/>
  <c r="H49" i="2"/>
  <c r="I49" i="2"/>
  <c r="J48" i="2"/>
  <c r="K48" i="2" s="1"/>
  <c r="F50" i="2" l="1"/>
  <c r="G50" i="2" s="1"/>
  <c r="H50" i="2"/>
  <c r="I50" i="2"/>
  <c r="J49" i="2"/>
  <c r="K49" i="2" s="1"/>
  <c r="H51" i="2" l="1"/>
  <c r="I51" i="2"/>
  <c r="J50" i="2"/>
  <c r="K50" i="2" s="1"/>
  <c r="F51" i="2"/>
  <c r="G51" i="2" s="1"/>
  <c r="H52" i="2" l="1"/>
  <c r="I52" i="2"/>
  <c r="J51" i="2"/>
  <c r="F52" i="2"/>
  <c r="G52" i="2" s="1"/>
  <c r="K51" i="2"/>
  <c r="H53" i="2" l="1"/>
  <c r="I53" i="2"/>
  <c r="J52" i="2"/>
  <c r="E53" i="2"/>
  <c r="G53" i="2" s="1"/>
  <c r="K52" i="2"/>
  <c r="E54" i="2" l="1"/>
  <c r="G54" i="2" s="1"/>
  <c r="H54" i="2"/>
  <c r="J53" i="2"/>
  <c r="I54" i="2"/>
  <c r="K53" i="2"/>
  <c r="E55" i="2" l="1"/>
  <c r="G55" i="2" s="1"/>
  <c r="H55" i="2"/>
  <c r="I55" i="2"/>
  <c r="J54" i="2"/>
  <c r="K54" i="2" s="1"/>
  <c r="F56" i="2" l="1"/>
  <c r="G56" i="2" s="1"/>
  <c r="H56" i="2"/>
  <c r="I56" i="2"/>
  <c r="J55" i="2"/>
  <c r="K55" i="2"/>
  <c r="F57" i="2" l="1"/>
  <c r="G57" i="2" s="1"/>
  <c r="H57" i="2"/>
  <c r="I57" i="2"/>
  <c r="J56" i="2"/>
  <c r="K56" i="2" s="1"/>
  <c r="E58" i="2" l="1"/>
  <c r="G58" i="2" s="1"/>
  <c r="H58" i="2"/>
  <c r="I58" i="2"/>
  <c r="J57" i="2"/>
  <c r="K57" i="2" s="1"/>
  <c r="H59" i="2" l="1"/>
  <c r="I59" i="2"/>
  <c r="J58" i="2"/>
  <c r="K58" i="2" s="1"/>
  <c r="E59" i="2"/>
  <c r="G59" i="2" s="1"/>
  <c r="H60" i="2" l="1"/>
  <c r="I60" i="2"/>
  <c r="J59" i="2"/>
  <c r="F60" i="2"/>
  <c r="G60" i="2" s="1"/>
  <c r="K59" i="2"/>
  <c r="H61" i="2" l="1"/>
  <c r="I61" i="2"/>
  <c r="J60" i="2"/>
  <c r="K60" i="2" s="1"/>
  <c r="F61" i="2"/>
  <c r="G61" i="2" s="1"/>
  <c r="F62" i="2" l="1"/>
  <c r="G62" i="2" s="1"/>
  <c r="H62" i="2"/>
  <c r="I62" i="2"/>
  <c r="J61" i="2"/>
  <c r="K61" i="2"/>
  <c r="E63" i="2" l="1"/>
  <c r="G63" i="2" s="1"/>
  <c r="H63" i="2"/>
  <c r="I63" i="2"/>
  <c r="J62" i="2"/>
  <c r="K62" i="2" s="1"/>
  <c r="F64" i="2" l="1"/>
  <c r="G64" i="2" s="1"/>
  <c r="H64" i="2"/>
  <c r="I64" i="2"/>
  <c r="J63" i="2"/>
  <c r="K63" i="2" s="1"/>
  <c r="E65" i="2" l="1"/>
  <c r="G65" i="2" s="1"/>
  <c r="I65" i="2"/>
  <c r="H65" i="2"/>
  <c r="J64" i="2"/>
  <c r="K64" i="2" s="1"/>
  <c r="F66" i="2" l="1"/>
  <c r="G66" i="2" s="1"/>
  <c r="H66" i="2"/>
  <c r="I66" i="2"/>
  <c r="J65" i="2"/>
  <c r="K65" i="2" s="1"/>
  <c r="H67" i="2" l="1"/>
  <c r="I67" i="2"/>
  <c r="J66" i="2"/>
  <c r="K66" i="2" s="1"/>
  <c r="E67" i="2"/>
  <c r="G67" i="2" s="1"/>
  <c r="H68" i="2" l="1"/>
  <c r="I68" i="2"/>
  <c r="J67" i="2"/>
  <c r="E68" i="2"/>
  <c r="G68" i="2" s="1"/>
  <c r="K67" i="2"/>
  <c r="H69" i="2" l="1"/>
  <c r="I69" i="2"/>
  <c r="J68" i="2"/>
  <c r="K68" i="2" s="1"/>
  <c r="E69" i="2"/>
  <c r="G69" i="2" s="1"/>
  <c r="E70" i="2" l="1"/>
  <c r="G70" i="2" s="1"/>
  <c r="H70" i="2"/>
  <c r="I70" i="2"/>
  <c r="J69" i="2"/>
  <c r="K69" i="2"/>
  <c r="F71" i="2" l="1"/>
  <c r="G71" i="2" s="1"/>
  <c r="H71" i="2"/>
  <c r="I71" i="2"/>
  <c r="J70" i="2"/>
  <c r="K70" i="2" s="1"/>
  <c r="F72" i="2" l="1"/>
  <c r="G72" i="2" s="1"/>
  <c r="H72" i="2"/>
  <c r="I72" i="2"/>
  <c r="J71" i="2"/>
  <c r="K71" i="2"/>
  <c r="F73" i="2" l="1"/>
  <c r="G73" i="2" s="1"/>
  <c r="H73" i="2"/>
  <c r="I73" i="2"/>
  <c r="J72" i="2"/>
  <c r="K72" i="2" s="1"/>
  <c r="E74" i="2" l="1"/>
  <c r="G74" i="2" s="1"/>
  <c r="H74" i="2"/>
  <c r="I74" i="2"/>
  <c r="J73" i="2"/>
  <c r="K73" i="2" s="1"/>
  <c r="K74" i="2" l="1"/>
  <c r="H75" i="2"/>
  <c r="I75" i="2"/>
  <c r="J74" i="2"/>
  <c r="F75" i="2"/>
  <c r="G75" i="2" s="1"/>
  <c r="H76" i="2" l="1"/>
  <c r="I76" i="2"/>
  <c r="J75" i="2"/>
  <c r="F76" i="2"/>
  <c r="G76" i="2" s="1"/>
  <c r="K75" i="2"/>
  <c r="H77" i="2" l="1"/>
  <c r="I77" i="2"/>
  <c r="J76" i="2"/>
  <c r="E77" i="2"/>
  <c r="G77" i="2" s="1"/>
  <c r="K76" i="2"/>
  <c r="F78" i="2" l="1"/>
  <c r="G78" i="2" s="1"/>
  <c r="H78" i="2"/>
  <c r="I78" i="2"/>
  <c r="J77" i="2"/>
  <c r="K77" i="2" s="1"/>
  <c r="E79" i="2" l="1"/>
  <c r="G79" i="2" s="1"/>
  <c r="H79" i="2"/>
  <c r="J78" i="2"/>
  <c r="K78" i="2" s="1"/>
  <c r="I79" i="2"/>
  <c r="F80" i="2" l="1"/>
  <c r="G80" i="2" s="1"/>
  <c r="H80" i="2"/>
  <c r="I80" i="2"/>
  <c r="J79" i="2"/>
  <c r="K79" i="2" s="1"/>
  <c r="E81" i="2" l="1"/>
  <c r="G81" i="2" s="1"/>
  <c r="H81" i="2"/>
  <c r="I81" i="2"/>
  <c r="J80" i="2"/>
  <c r="K80" i="2" s="1"/>
  <c r="E82" i="2" l="1"/>
  <c r="G82" i="2" s="1"/>
  <c r="H82" i="2"/>
  <c r="I82" i="2"/>
  <c r="J81" i="2"/>
  <c r="K81" i="2" s="1"/>
  <c r="K82" i="2" l="1"/>
  <c r="H83" i="2"/>
  <c r="I83" i="2"/>
  <c r="J82" i="2"/>
  <c r="F83" i="2"/>
  <c r="G83" i="2" s="1"/>
  <c r="H84" i="2" l="1"/>
  <c r="I84" i="2"/>
  <c r="J83" i="2"/>
  <c r="K83" i="2" s="1"/>
  <c r="E84" i="2"/>
  <c r="G84" i="2" s="1"/>
  <c r="H85" i="2" l="1"/>
  <c r="I85" i="2"/>
  <c r="J84" i="2"/>
  <c r="F85" i="2"/>
  <c r="G85" i="2" s="1"/>
  <c r="K84" i="2"/>
  <c r="F86" i="2" l="1"/>
  <c r="G86" i="2" s="1"/>
  <c r="H86" i="2"/>
  <c r="I86" i="2"/>
  <c r="J85" i="2"/>
  <c r="K85" i="2"/>
  <c r="E87" i="2" l="1"/>
  <c r="G87" i="2" s="1"/>
  <c r="H87" i="2"/>
  <c r="I87" i="2"/>
  <c r="J86" i="2"/>
  <c r="K86" i="2" s="1"/>
  <c r="K87" i="2" l="1"/>
  <c r="F88" i="2"/>
  <c r="G88" i="2" s="1"/>
  <c r="H88" i="2"/>
  <c r="I88" i="2"/>
  <c r="J87" i="2"/>
  <c r="F89" i="2" l="1"/>
  <c r="G89" i="2" s="1"/>
  <c r="H89" i="2"/>
  <c r="I89" i="2"/>
  <c r="J88" i="2"/>
  <c r="K88" i="2"/>
  <c r="E90" i="2" l="1"/>
  <c r="G90" i="2" s="1"/>
  <c r="H90" i="2"/>
  <c r="I90" i="2"/>
  <c r="J89" i="2"/>
  <c r="K89" i="2" s="1"/>
  <c r="H91" i="2" l="1"/>
  <c r="I91" i="2"/>
  <c r="J90" i="2"/>
  <c r="K90" i="2" s="1"/>
  <c r="F91" i="2"/>
  <c r="G91" i="2" s="1"/>
  <c r="H92" i="2" l="1"/>
  <c r="I92" i="2"/>
  <c r="J91" i="2"/>
  <c r="F92" i="2"/>
  <c r="G92" i="2" s="1"/>
  <c r="K91" i="2"/>
  <c r="H93" i="2" l="1"/>
  <c r="I93" i="2"/>
  <c r="J92" i="2"/>
  <c r="K92" i="2" s="1"/>
  <c r="F93" i="2"/>
  <c r="G93" i="2" s="1"/>
  <c r="F94" i="2" l="1"/>
  <c r="G94" i="2" s="1"/>
  <c r="H94" i="2"/>
  <c r="I94" i="2"/>
  <c r="J93" i="2"/>
  <c r="K93" i="2"/>
  <c r="F95" i="2" l="1"/>
  <c r="G95" i="2" s="1"/>
  <c r="H95" i="2"/>
  <c r="I95" i="2"/>
  <c r="J94" i="2"/>
  <c r="K94" i="2" s="1"/>
  <c r="F96" i="2" l="1"/>
  <c r="G96" i="2" s="1"/>
  <c r="H96" i="2"/>
  <c r="I96" i="2"/>
  <c r="J95" i="2"/>
  <c r="K95" i="2"/>
  <c r="F97" i="2" l="1"/>
  <c r="G97" i="2" s="1"/>
  <c r="H97" i="2"/>
  <c r="I97" i="2"/>
  <c r="J96" i="2"/>
  <c r="K96" i="2" s="1"/>
  <c r="F98" i="2" l="1"/>
  <c r="G98" i="2" s="1"/>
  <c r="H98" i="2"/>
  <c r="I98" i="2"/>
  <c r="J97" i="2"/>
  <c r="K97" i="2" s="1"/>
  <c r="K98" i="2" l="1"/>
  <c r="H99" i="2"/>
  <c r="I99" i="2"/>
  <c r="J98" i="2"/>
  <c r="E99" i="2"/>
  <c r="G99" i="2" s="1"/>
  <c r="H100" i="2" l="1"/>
  <c r="I100" i="2"/>
  <c r="J99" i="2"/>
  <c r="F100" i="2"/>
  <c r="G100" i="2" s="1"/>
  <c r="K99" i="2"/>
  <c r="H101" i="2" l="1"/>
  <c r="I101" i="2"/>
  <c r="J100" i="2"/>
  <c r="F101" i="2"/>
  <c r="G101" i="2" s="1"/>
  <c r="K100" i="2"/>
  <c r="E102" i="2" l="1"/>
  <c r="G102" i="2" s="1"/>
  <c r="H102" i="2"/>
  <c r="I102" i="2"/>
  <c r="J101" i="2"/>
  <c r="K101" i="2" s="1"/>
  <c r="F103" i="2" l="1"/>
  <c r="G103" i="2" s="1"/>
  <c r="H103" i="2"/>
  <c r="I103" i="2"/>
  <c r="J102" i="2"/>
  <c r="K102" i="2" s="1"/>
  <c r="F104" i="2" l="1"/>
  <c r="G104" i="2" s="1"/>
  <c r="H104" i="2"/>
  <c r="I104" i="2"/>
  <c r="J103" i="2"/>
  <c r="K103" i="2"/>
  <c r="F105" i="2" l="1"/>
  <c r="G105" i="2" s="1"/>
  <c r="H105" i="2"/>
  <c r="I105" i="2"/>
  <c r="J104" i="2"/>
  <c r="K104" i="2" s="1"/>
  <c r="E106" i="2" l="1"/>
  <c r="G106" i="2" s="1"/>
  <c r="H106" i="2"/>
  <c r="I106" i="2"/>
  <c r="J105" i="2"/>
  <c r="K105" i="2" s="1"/>
  <c r="H107" i="2" l="1"/>
  <c r="I107" i="2"/>
  <c r="J106" i="2"/>
  <c r="E107" i="2"/>
  <c r="G107" i="2" s="1"/>
  <c r="K106" i="2"/>
  <c r="H108" i="2" l="1"/>
  <c r="I108" i="2"/>
  <c r="J107" i="2"/>
  <c r="K107" i="2" s="1"/>
  <c r="F108" i="2"/>
  <c r="G108" i="2" s="1"/>
  <c r="H109" i="2" l="1"/>
  <c r="I109" i="2"/>
  <c r="J108" i="2"/>
  <c r="E109" i="2"/>
  <c r="G109" i="2" s="1"/>
  <c r="K108" i="2"/>
  <c r="E110" i="2" l="1"/>
  <c r="G110" i="2" s="1"/>
  <c r="H110" i="2"/>
  <c r="I110" i="2"/>
  <c r="J109" i="2"/>
  <c r="K109" i="2"/>
  <c r="F111" i="2" l="1"/>
  <c r="G111" i="2" s="1"/>
  <c r="H111" i="2"/>
  <c r="J110" i="2"/>
  <c r="K110" i="2" s="1"/>
  <c r="I111" i="2"/>
  <c r="K111" i="2" l="1"/>
  <c r="F112" i="2"/>
  <c r="G112" i="2" s="1"/>
  <c r="H112" i="2"/>
  <c r="I112" i="2"/>
  <c r="J111" i="2"/>
  <c r="E113" i="2" l="1"/>
  <c r="G113" i="2" s="1"/>
  <c r="H113" i="2"/>
  <c r="I113" i="2"/>
  <c r="J112" i="2"/>
  <c r="K112" i="2"/>
  <c r="E114" i="2" l="1"/>
  <c r="G114" i="2" s="1"/>
  <c r="H114" i="2"/>
  <c r="I114" i="2"/>
  <c r="J113" i="2"/>
  <c r="K113" i="2" s="1"/>
  <c r="H115" i="2" l="1"/>
  <c r="I115" i="2"/>
  <c r="J114" i="2"/>
  <c r="K114" i="2" s="1"/>
  <c r="E115" i="2"/>
  <c r="G115" i="2" s="1"/>
  <c r="H116" i="2" l="1"/>
  <c r="I116" i="2"/>
  <c r="J115" i="2"/>
  <c r="F116" i="2"/>
  <c r="G116" i="2" s="1"/>
  <c r="K115" i="2"/>
  <c r="H117" i="2" l="1"/>
  <c r="I117" i="2"/>
  <c r="J116" i="2"/>
  <c r="F117" i="2"/>
  <c r="G117" i="2" s="1"/>
  <c r="K116" i="2"/>
  <c r="E118" i="2" l="1"/>
  <c r="G118" i="2" s="1"/>
  <c r="H118" i="2"/>
  <c r="I118" i="2"/>
  <c r="J117" i="2"/>
  <c r="K117" i="2" s="1"/>
  <c r="F119" i="2" l="1"/>
  <c r="G119" i="2" s="1"/>
  <c r="H119" i="2"/>
  <c r="I119" i="2"/>
  <c r="J118" i="2"/>
  <c r="K118" i="2" s="1"/>
  <c r="K119" i="2" l="1"/>
  <c r="E120" i="2"/>
  <c r="G120" i="2" s="1"/>
  <c r="H120" i="2"/>
  <c r="I120" i="2"/>
  <c r="J119" i="2"/>
  <c r="F121" i="2" l="1"/>
  <c r="G121" i="2" s="1"/>
  <c r="H121" i="2"/>
  <c r="I121" i="2"/>
  <c r="J120" i="2"/>
  <c r="K120" i="2"/>
  <c r="E122" i="2" l="1"/>
  <c r="G122" i="2" s="1"/>
  <c r="H122" i="2"/>
  <c r="I122" i="2"/>
  <c r="J121" i="2"/>
  <c r="K121" i="2" s="1"/>
  <c r="H123" i="2" l="1"/>
  <c r="I123" i="2"/>
  <c r="J122" i="2"/>
  <c r="F123" i="2"/>
  <c r="G123" i="2" s="1"/>
  <c r="K122" i="2"/>
  <c r="H124" i="2" l="1"/>
  <c r="I124" i="2"/>
  <c r="J123" i="2"/>
  <c r="E124" i="2"/>
  <c r="G124" i="2" s="1"/>
  <c r="K123" i="2"/>
  <c r="H125" i="2" l="1"/>
  <c r="I125" i="2"/>
  <c r="J124" i="2"/>
  <c r="F125" i="2"/>
  <c r="G125" i="2" s="1"/>
  <c r="K124" i="2"/>
  <c r="F126" i="2" l="1"/>
  <c r="G126" i="2" s="1"/>
  <c r="H126" i="2"/>
  <c r="I126" i="2"/>
  <c r="J125" i="2"/>
  <c r="K125" i="2"/>
  <c r="E127" i="2" l="1"/>
  <c r="G127" i="2" s="1"/>
  <c r="H127" i="2"/>
  <c r="I127" i="2"/>
  <c r="J126" i="2"/>
  <c r="K126" i="2" s="1"/>
  <c r="E128" i="2" l="1"/>
  <c r="G128" i="2" s="1"/>
  <c r="H128" i="2"/>
  <c r="I128" i="2"/>
  <c r="J127" i="2"/>
  <c r="K127" i="2" s="1"/>
  <c r="E129" i="2" l="1"/>
  <c r="G129" i="2" s="1"/>
  <c r="H129" i="2"/>
  <c r="I129" i="2"/>
  <c r="J128" i="2"/>
  <c r="K128" i="2" s="1"/>
  <c r="E130" i="2" l="1"/>
  <c r="G130" i="2" s="1"/>
  <c r="H130" i="2"/>
  <c r="I130" i="2"/>
  <c r="J129" i="2"/>
  <c r="K129" i="2"/>
  <c r="H131" i="2" l="1"/>
  <c r="I131" i="2"/>
  <c r="J130" i="2"/>
  <c r="K130" i="2" s="1"/>
  <c r="F131" i="2"/>
  <c r="G131" i="2" s="1"/>
  <c r="H132" i="2" l="1"/>
  <c r="I132" i="2"/>
  <c r="J131" i="2"/>
  <c r="F132" i="2"/>
  <c r="G132" i="2" s="1"/>
  <c r="K131" i="2"/>
  <c r="H133" i="2" l="1"/>
  <c r="I133" i="2"/>
  <c r="J132" i="2"/>
  <c r="F133" i="2"/>
  <c r="G133" i="2" s="1"/>
  <c r="K132" i="2"/>
  <c r="E134" i="2" l="1"/>
  <c r="G134" i="2" s="1"/>
  <c r="H134" i="2"/>
  <c r="I134" i="2"/>
  <c r="J133" i="2"/>
  <c r="K133" i="2" s="1"/>
  <c r="E135" i="2" l="1"/>
  <c r="G135" i="2" s="1"/>
  <c r="H135" i="2"/>
  <c r="I135" i="2"/>
  <c r="J134" i="2"/>
  <c r="K134" i="2" s="1"/>
  <c r="K135" i="2" l="1"/>
  <c r="E136" i="2"/>
  <c r="G136" i="2" s="1"/>
  <c r="H136" i="2"/>
  <c r="I136" i="2"/>
  <c r="J135" i="2"/>
  <c r="F137" i="2" l="1"/>
  <c r="G137" i="2" s="1"/>
  <c r="H137" i="2"/>
  <c r="I137" i="2"/>
  <c r="J136" i="2"/>
  <c r="K136" i="2" s="1"/>
  <c r="F138" i="2" l="1"/>
  <c r="G138" i="2" s="1"/>
  <c r="H138" i="2"/>
  <c r="I138" i="2"/>
  <c r="J137" i="2"/>
  <c r="K137" i="2" s="1"/>
  <c r="H139" i="2" l="1"/>
  <c r="I139" i="2"/>
  <c r="J138" i="2"/>
  <c r="K138" i="2" s="1"/>
  <c r="F139" i="2"/>
  <c r="G139" i="2" s="1"/>
  <c r="H140" i="2" l="1"/>
  <c r="I140" i="2"/>
  <c r="J139" i="2"/>
  <c r="E140" i="2"/>
  <c r="G140" i="2" s="1"/>
  <c r="K139" i="2"/>
  <c r="H141" i="2" l="1"/>
  <c r="I141" i="2"/>
  <c r="J140" i="2"/>
  <c r="E141" i="2"/>
  <c r="G141" i="2" s="1"/>
  <c r="K140" i="2"/>
  <c r="F142" i="2" l="1"/>
  <c r="G142" i="2" s="1"/>
  <c r="H142" i="2"/>
  <c r="I142" i="2"/>
  <c r="J141" i="2"/>
  <c r="K141" i="2"/>
  <c r="F143" i="2" l="1"/>
  <c r="G143" i="2" s="1"/>
  <c r="H143" i="2"/>
  <c r="J142" i="2"/>
  <c r="K142" i="2" s="1"/>
  <c r="I143" i="2"/>
  <c r="E144" i="2" l="1"/>
  <c r="G144" i="2" s="1"/>
  <c r="H144" i="2"/>
  <c r="I144" i="2"/>
  <c r="J143" i="2"/>
  <c r="K143" i="2" s="1"/>
  <c r="F145" i="2" l="1"/>
  <c r="G145" i="2" s="1"/>
  <c r="H145" i="2"/>
  <c r="I145" i="2"/>
  <c r="J144" i="2"/>
  <c r="K144" i="2" s="1"/>
  <c r="F146" i="2" l="1"/>
  <c r="G146" i="2" s="1"/>
  <c r="H146" i="2"/>
  <c r="I146" i="2"/>
  <c r="J145" i="2"/>
  <c r="K145" i="2" s="1"/>
  <c r="H147" i="2" l="1"/>
  <c r="I147" i="2"/>
  <c r="J146" i="2"/>
  <c r="K146" i="2" s="1"/>
  <c r="F147" i="2"/>
  <c r="G147" i="2" s="1"/>
  <c r="H148" i="2" l="1"/>
  <c r="I148" i="2"/>
  <c r="J147" i="2"/>
  <c r="F148" i="2"/>
  <c r="G148" i="2" s="1"/>
  <c r="K147" i="2"/>
  <c r="H149" i="2" l="1"/>
  <c r="I149" i="2"/>
  <c r="J148" i="2"/>
  <c r="F149" i="2"/>
  <c r="G149" i="2" s="1"/>
  <c r="K148" i="2"/>
  <c r="F150" i="2" l="1"/>
  <c r="G150" i="2" s="1"/>
  <c r="H150" i="2"/>
  <c r="I150" i="2"/>
  <c r="J149" i="2"/>
  <c r="K149" i="2"/>
  <c r="F151" i="2" l="1"/>
  <c r="G151" i="2" s="1"/>
  <c r="H151" i="2"/>
  <c r="I151" i="2"/>
  <c r="J150" i="2"/>
  <c r="K150" i="2" s="1"/>
  <c r="E152" i="2" l="1"/>
  <c r="G152" i="2" s="1"/>
  <c r="I152" i="2"/>
  <c r="H152" i="2"/>
  <c r="J151" i="2"/>
  <c r="K151" i="2" s="1"/>
  <c r="F153" i="2" l="1"/>
  <c r="G153" i="2" s="1"/>
  <c r="H153" i="2"/>
  <c r="I153" i="2"/>
  <c r="J152" i="2"/>
  <c r="K152" i="2" s="1"/>
  <c r="F154" i="2" l="1"/>
  <c r="G154" i="2" s="1"/>
  <c r="H154" i="2"/>
  <c r="I154" i="2"/>
  <c r="J153" i="2"/>
  <c r="K153" i="2" s="1"/>
  <c r="H155" i="2" l="1"/>
  <c r="I155" i="2"/>
  <c r="J154" i="2"/>
  <c r="K154" i="2" s="1"/>
  <c r="F155" i="2"/>
  <c r="G155" i="2" s="1"/>
  <c r="H156" i="2" l="1"/>
  <c r="I156" i="2"/>
  <c r="J155" i="2"/>
  <c r="F156" i="2"/>
  <c r="G156" i="2" s="1"/>
  <c r="K155" i="2"/>
  <c r="H157" i="2" l="1"/>
  <c r="I157" i="2"/>
  <c r="J156" i="2"/>
  <c r="K156" i="2" s="1"/>
  <c r="F157" i="2"/>
  <c r="G157" i="2" s="1"/>
  <c r="F158" i="2" l="1"/>
  <c r="G158" i="2" s="1"/>
  <c r="H158" i="2"/>
  <c r="I158" i="2"/>
  <c r="J157" i="2"/>
  <c r="K157" i="2" s="1"/>
  <c r="F159" i="2" l="1"/>
  <c r="G159" i="2" s="1"/>
  <c r="H159" i="2"/>
  <c r="I159" i="2"/>
  <c r="J158" i="2"/>
  <c r="K158" i="2" s="1"/>
  <c r="E160" i="2" l="1"/>
  <c r="G160" i="2" s="1"/>
  <c r="H160" i="2"/>
  <c r="I160" i="2"/>
  <c r="J159" i="2"/>
  <c r="K159" i="2" s="1"/>
  <c r="E161" i="2" l="1"/>
  <c r="G161" i="2" s="1"/>
  <c r="H161" i="2"/>
  <c r="I161" i="2"/>
  <c r="J160" i="2"/>
  <c r="K160" i="2"/>
  <c r="K161" i="2" l="1"/>
  <c r="E162" i="2"/>
  <c r="G162" i="2" s="1"/>
  <c r="H162" i="2"/>
  <c r="I162" i="2"/>
  <c r="J161" i="2"/>
  <c r="H163" i="2" l="1"/>
  <c r="I163" i="2"/>
  <c r="J162" i="2"/>
  <c r="K162" i="2" s="1"/>
  <c r="E163" i="2"/>
  <c r="G163" i="2" s="1"/>
  <c r="H164" i="2" l="1"/>
  <c r="I164" i="2"/>
  <c r="J163" i="2"/>
  <c r="F164" i="2"/>
  <c r="G164" i="2" s="1"/>
  <c r="K163" i="2"/>
  <c r="H165" i="2" l="1"/>
  <c r="I165" i="2"/>
  <c r="J164" i="2"/>
  <c r="F165" i="2"/>
  <c r="G165" i="2" s="1"/>
  <c r="K164" i="2"/>
  <c r="E166" i="2" l="1"/>
  <c r="G166" i="2" s="1"/>
  <c r="H166" i="2"/>
  <c r="I166" i="2"/>
  <c r="J165" i="2"/>
  <c r="K165" i="2" s="1"/>
  <c r="E167" i="2" l="1"/>
  <c r="G167" i="2" s="1"/>
  <c r="H167" i="2"/>
  <c r="I167" i="2"/>
  <c r="J166" i="2"/>
  <c r="K166" i="2" s="1"/>
  <c r="E168" i="2" l="1"/>
  <c r="G168" i="2" s="1"/>
  <c r="H168" i="2"/>
  <c r="I168" i="2"/>
  <c r="J167" i="2"/>
  <c r="K167" i="2" s="1"/>
  <c r="F169" i="2" l="1"/>
  <c r="G169" i="2" s="1"/>
  <c r="H169" i="2"/>
  <c r="I169" i="2"/>
  <c r="J168" i="2"/>
  <c r="K168" i="2" s="1"/>
  <c r="E170" i="2" l="1"/>
  <c r="G170" i="2" s="1"/>
  <c r="H170" i="2"/>
  <c r="I170" i="2"/>
  <c r="J169" i="2"/>
  <c r="K169" i="2" s="1"/>
  <c r="H171" i="2" l="1"/>
  <c r="I171" i="2"/>
  <c r="J170" i="2"/>
  <c r="F171" i="2"/>
  <c r="G171" i="2" s="1"/>
  <c r="K170" i="2"/>
  <c r="H172" i="2" l="1"/>
  <c r="I172" i="2"/>
  <c r="J171" i="2"/>
  <c r="F172" i="2"/>
  <c r="G172" i="2" s="1"/>
  <c r="K171" i="2"/>
  <c r="H173" i="2" l="1"/>
  <c r="I173" i="2"/>
  <c r="J172" i="2"/>
  <c r="K172" i="2" s="1"/>
  <c r="F173" i="2"/>
  <c r="G173" i="2" s="1"/>
  <c r="E174" i="2" l="1"/>
  <c r="G174" i="2" s="1"/>
  <c r="H174" i="2"/>
  <c r="I174" i="2"/>
  <c r="J173" i="2"/>
  <c r="K173" i="2"/>
  <c r="E175" i="2" l="1"/>
  <c r="G175" i="2" s="1"/>
  <c r="H175" i="2"/>
  <c r="J174" i="2"/>
  <c r="K174" i="2" s="1"/>
  <c r="I175" i="2"/>
  <c r="E176" i="2" l="1"/>
  <c r="G176" i="2" s="1"/>
  <c r="H176" i="2"/>
  <c r="I176" i="2"/>
  <c r="J175" i="2"/>
  <c r="K175" i="2" s="1"/>
  <c r="E177" i="2" l="1"/>
  <c r="G177" i="2" s="1"/>
  <c r="H177" i="2"/>
  <c r="I177" i="2"/>
  <c r="J176" i="2"/>
  <c r="K176" i="2" s="1"/>
  <c r="E178" i="2" l="1"/>
  <c r="G178" i="2" s="1"/>
  <c r="H178" i="2"/>
  <c r="I178" i="2"/>
  <c r="J177" i="2"/>
  <c r="K177" i="2" s="1"/>
  <c r="H179" i="2" l="1"/>
  <c r="I179" i="2"/>
  <c r="J178" i="2"/>
  <c r="K178" i="2" s="1"/>
  <c r="E179" i="2"/>
  <c r="G179" i="2" s="1"/>
  <c r="H180" i="2" l="1"/>
  <c r="I180" i="2"/>
  <c r="J179" i="2"/>
  <c r="E180" i="2"/>
  <c r="G180" i="2" s="1"/>
  <c r="K179" i="2"/>
  <c r="H181" i="2" l="1"/>
  <c r="I181" i="2"/>
  <c r="J180" i="2"/>
  <c r="F181" i="2"/>
  <c r="G181" i="2" s="1"/>
  <c r="K180" i="2"/>
  <c r="E182" i="2" l="1"/>
  <c r="G182" i="2" s="1"/>
  <c r="H182" i="2"/>
  <c r="J181" i="2"/>
  <c r="I182" i="2"/>
  <c r="K181" i="2"/>
  <c r="F183" i="2" l="1"/>
  <c r="G183" i="2" s="1"/>
  <c r="H183" i="2"/>
  <c r="I183" i="2"/>
  <c r="J182" i="2"/>
  <c r="K182" i="2" s="1"/>
  <c r="F184" i="2" l="1"/>
  <c r="G184" i="2" s="1"/>
  <c r="H184" i="2"/>
  <c r="I184" i="2"/>
  <c r="J183" i="2"/>
  <c r="K183" i="2" s="1"/>
  <c r="E185" i="2" l="1"/>
  <c r="G185" i="2" s="1"/>
  <c r="H185" i="2"/>
  <c r="I185" i="2"/>
  <c r="J184" i="2"/>
  <c r="K184" i="2" s="1"/>
  <c r="F186" i="2" l="1"/>
  <c r="G186" i="2" s="1"/>
  <c r="H186" i="2"/>
  <c r="I186" i="2"/>
  <c r="J185" i="2"/>
  <c r="K185" i="2" s="1"/>
  <c r="H187" i="2" l="1"/>
  <c r="I187" i="2"/>
  <c r="J186" i="2"/>
  <c r="K186" i="2" s="1"/>
  <c r="E187" i="2"/>
  <c r="G187" i="2" s="1"/>
  <c r="H188" i="2" l="1"/>
  <c r="I188" i="2"/>
  <c r="J187" i="2"/>
  <c r="K187" i="2" s="1"/>
  <c r="F188" i="2"/>
  <c r="G188" i="2" s="1"/>
  <c r="H189" i="2" l="1"/>
  <c r="I189" i="2"/>
  <c r="J188" i="2"/>
  <c r="E189" i="2"/>
  <c r="G189" i="2" s="1"/>
  <c r="K188" i="2"/>
  <c r="E190" i="2" l="1"/>
  <c r="G190" i="2" s="1"/>
  <c r="H190" i="2"/>
  <c r="I190" i="2"/>
  <c r="J189" i="2"/>
  <c r="K189" i="2"/>
  <c r="F191" i="2" l="1"/>
  <c r="G191" i="2" s="1"/>
  <c r="H191" i="2"/>
  <c r="I191" i="2"/>
  <c r="J190" i="2"/>
  <c r="K190" i="2" s="1"/>
  <c r="F192" i="2" l="1"/>
  <c r="G192" i="2" s="1"/>
  <c r="H192" i="2"/>
  <c r="I192" i="2"/>
  <c r="J191" i="2"/>
  <c r="K191" i="2" s="1"/>
  <c r="E193" i="2" l="1"/>
  <c r="G193" i="2" s="1"/>
  <c r="H193" i="2"/>
  <c r="I193" i="2"/>
  <c r="J192" i="2"/>
  <c r="K192" i="2" s="1"/>
  <c r="E194" i="2" l="1"/>
  <c r="G194" i="2" s="1"/>
  <c r="H194" i="2"/>
  <c r="I194" i="2"/>
  <c r="J193" i="2"/>
  <c r="K193" i="2" s="1"/>
  <c r="H195" i="2" l="1"/>
  <c r="I195" i="2"/>
  <c r="J194" i="2"/>
  <c r="K194" i="2" s="1"/>
  <c r="F195" i="2"/>
  <c r="G195" i="2" s="1"/>
  <c r="H196" i="2" l="1"/>
  <c r="I196" i="2"/>
  <c r="J195" i="2"/>
  <c r="E196" i="2"/>
  <c r="G196" i="2" s="1"/>
  <c r="K195" i="2"/>
  <c r="H197" i="2" l="1"/>
  <c r="I197" i="2"/>
  <c r="J196" i="2"/>
  <c r="F197" i="2"/>
  <c r="G197" i="2" s="1"/>
  <c r="K196" i="2"/>
  <c r="E198" i="2" l="1"/>
  <c r="G198" i="2" s="1"/>
  <c r="H198" i="2"/>
  <c r="I198" i="2"/>
  <c r="J197" i="2"/>
  <c r="K197" i="2"/>
  <c r="F199" i="2" l="1"/>
  <c r="G199" i="2" s="1"/>
  <c r="H199" i="2"/>
  <c r="I199" i="2"/>
  <c r="J198" i="2"/>
  <c r="K198" i="2" s="1"/>
  <c r="E200" i="2" l="1"/>
  <c r="G200" i="2" s="1"/>
  <c r="H200" i="2"/>
  <c r="I200" i="2"/>
  <c r="J199" i="2"/>
  <c r="K199" i="2" s="1"/>
  <c r="E201" i="2" l="1"/>
  <c r="G201" i="2" s="1"/>
  <c r="H201" i="2"/>
  <c r="I201" i="2"/>
  <c r="J200" i="2"/>
  <c r="K200" i="2" s="1"/>
  <c r="E202" i="2" l="1"/>
  <c r="G202" i="2" s="1"/>
  <c r="H202" i="2"/>
  <c r="I202" i="2"/>
  <c r="J201" i="2"/>
  <c r="K201" i="2" s="1"/>
  <c r="H203" i="2" l="1"/>
  <c r="I203" i="2"/>
  <c r="J202" i="2"/>
  <c r="K202" i="2" s="1"/>
  <c r="E203" i="2"/>
  <c r="G203" i="2" s="1"/>
  <c r="H204" i="2" l="1"/>
  <c r="I204" i="2"/>
  <c r="J203" i="2"/>
  <c r="K203" i="2" s="1"/>
  <c r="F204" i="2"/>
  <c r="G204" i="2" s="1"/>
  <c r="H205" i="2" l="1"/>
  <c r="I205" i="2"/>
  <c r="J204" i="2"/>
  <c r="E205" i="2"/>
  <c r="G205" i="2" s="1"/>
  <c r="K204" i="2"/>
  <c r="F206" i="2" l="1"/>
  <c r="G206" i="2" s="1"/>
  <c r="H206" i="2"/>
  <c r="I206" i="2"/>
  <c r="J205" i="2"/>
  <c r="K205" i="2" s="1"/>
  <c r="F207" i="2" l="1"/>
  <c r="G207" i="2" s="1"/>
  <c r="H207" i="2"/>
  <c r="J206" i="2"/>
  <c r="K206" i="2" s="1"/>
  <c r="I207" i="2"/>
  <c r="F208" i="2" l="1"/>
  <c r="G208" i="2" s="1"/>
  <c r="H208" i="2"/>
  <c r="I208" i="2"/>
  <c r="J207" i="2"/>
  <c r="K207" i="2" s="1"/>
  <c r="E209" i="2" l="1"/>
  <c r="G209" i="2" s="1"/>
  <c r="H209" i="2"/>
  <c r="I209" i="2"/>
  <c r="J208" i="2"/>
  <c r="K208" i="2" s="1"/>
  <c r="E210" i="2" l="1"/>
  <c r="G210" i="2" s="1"/>
  <c r="H210" i="2"/>
  <c r="I210" i="2"/>
  <c r="J209" i="2"/>
  <c r="K209" i="2" s="1"/>
  <c r="H211" i="2" l="1"/>
  <c r="I211" i="2"/>
  <c r="J210" i="2"/>
  <c r="E211" i="2"/>
  <c r="G211" i="2" s="1"/>
  <c r="K210" i="2"/>
  <c r="H212" i="2" l="1"/>
  <c r="I212" i="2"/>
  <c r="J211" i="2"/>
  <c r="F212" i="2"/>
  <c r="G212" i="2" s="1"/>
  <c r="K211" i="2"/>
  <c r="H213" i="2" l="1"/>
  <c r="I213" i="2"/>
  <c r="J212" i="2"/>
  <c r="E213" i="2"/>
  <c r="G213" i="2" s="1"/>
  <c r="K212" i="2"/>
  <c r="F214" i="2" l="1"/>
  <c r="G214" i="2" s="1"/>
  <c r="H214" i="2"/>
  <c r="I214" i="2"/>
  <c r="J213" i="2"/>
  <c r="K213" i="2"/>
  <c r="F215" i="2" l="1"/>
  <c r="G215" i="2" s="1"/>
  <c r="H215" i="2"/>
  <c r="I215" i="2"/>
  <c r="J214" i="2"/>
  <c r="K214" i="2" s="1"/>
  <c r="F216" i="2" l="1"/>
  <c r="G216" i="2" s="1"/>
  <c r="H216" i="2"/>
  <c r="I216" i="2"/>
  <c r="J215" i="2"/>
  <c r="K215" i="2" s="1"/>
  <c r="F217" i="2" l="1"/>
  <c r="G217" i="2" s="1"/>
  <c r="H217" i="2"/>
  <c r="I217" i="2"/>
  <c r="J216" i="2"/>
  <c r="K216" i="2" s="1"/>
  <c r="K217" i="2" l="1"/>
  <c r="F218" i="2"/>
  <c r="G218" i="2" s="1"/>
  <c r="H218" i="2"/>
  <c r="I218" i="2"/>
  <c r="J217" i="2"/>
  <c r="H219" i="2" l="1"/>
  <c r="I219" i="2"/>
  <c r="J218" i="2"/>
  <c r="K218" i="2" s="1"/>
  <c r="E219" i="2"/>
  <c r="G219" i="2" s="1"/>
  <c r="H220" i="2" l="1"/>
  <c r="I220" i="2"/>
  <c r="J219" i="2"/>
  <c r="K219" i="2" s="1"/>
  <c r="E220" i="2"/>
  <c r="G220" i="2" s="1"/>
  <c r="H221" i="2" l="1"/>
  <c r="I221" i="2"/>
  <c r="J220" i="2"/>
  <c r="F221" i="2"/>
  <c r="G221" i="2" s="1"/>
  <c r="K220" i="2"/>
  <c r="F222" i="2" l="1"/>
  <c r="G222" i="2" s="1"/>
  <c r="H222" i="2"/>
  <c r="I222" i="2"/>
  <c r="J221" i="2"/>
  <c r="K221" i="2"/>
  <c r="F223" i="2" l="1"/>
  <c r="G223" i="2" s="1"/>
  <c r="H223" i="2"/>
  <c r="I223" i="2"/>
  <c r="J222" i="2"/>
  <c r="K222" i="2" s="1"/>
  <c r="E224" i="2" l="1"/>
  <c r="G224" i="2" s="1"/>
  <c r="H224" i="2"/>
  <c r="I224" i="2"/>
  <c r="J223" i="2"/>
  <c r="K223" i="2" s="1"/>
  <c r="E225" i="2" l="1"/>
  <c r="G225" i="2" s="1"/>
  <c r="H225" i="2"/>
  <c r="I225" i="2"/>
  <c r="J224" i="2"/>
  <c r="K224" i="2" s="1"/>
  <c r="F226" i="2" l="1"/>
  <c r="G226" i="2" s="1"/>
  <c r="H226" i="2"/>
  <c r="I226" i="2"/>
  <c r="J225" i="2"/>
  <c r="K225" i="2" s="1"/>
  <c r="H227" i="2" l="1"/>
  <c r="I227" i="2"/>
  <c r="J226" i="2"/>
  <c r="K226" i="2" s="1"/>
  <c r="E227" i="2"/>
  <c r="G227" i="2" s="1"/>
  <c r="H228" i="2" l="1"/>
  <c r="I228" i="2"/>
  <c r="J227" i="2"/>
  <c r="K227" i="2" s="1"/>
  <c r="F228" i="2"/>
  <c r="G228" i="2" s="1"/>
  <c r="H229" i="2" l="1"/>
  <c r="I229" i="2"/>
  <c r="J228" i="2"/>
  <c r="F229" i="2"/>
  <c r="G229" i="2" s="1"/>
  <c r="K228" i="2"/>
  <c r="E230" i="2" l="1"/>
  <c r="G230" i="2" s="1"/>
  <c r="H230" i="2"/>
  <c r="I230" i="2"/>
  <c r="J229" i="2"/>
  <c r="K229" i="2"/>
  <c r="F231" i="2" l="1"/>
  <c r="G231" i="2" s="1"/>
  <c r="H231" i="2"/>
  <c r="I231" i="2"/>
  <c r="J230" i="2"/>
  <c r="K230" i="2" s="1"/>
  <c r="E232" i="2" l="1"/>
  <c r="G232" i="2" s="1"/>
  <c r="I232" i="2"/>
  <c r="H232" i="2"/>
  <c r="J231" i="2"/>
  <c r="K231" i="2" s="1"/>
  <c r="F233" i="2" l="1"/>
  <c r="G233" i="2" s="1"/>
  <c r="I233" i="2"/>
  <c r="H233" i="2"/>
  <c r="J232" i="2"/>
  <c r="K232" i="2"/>
  <c r="E234" i="2" l="1"/>
  <c r="G234" i="2" s="1"/>
  <c r="H234" i="2"/>
  <c r="I234" i="2"/>
  <c r="J233" i="2"/>
  <c r="K233" i="2" s="1"/>
  <c r="H235" i="2" l="1"/>
  <c r="I235" i="2"/>
  <c r="J234" i="2"/>
  <c r="F235" i="2"/>
  <c r="G235" i="2" s="1"/>
  <c r="K234" i="2"/>
  <c r="H236" i="2" l="1"/>
  <c r="I236" i="2"/>
  <c r="J235" i="2"/>
  <c r="E236" i="2"/>
  <c r="G236" i="2" s="1"/>
  <c r="K235" i="2"/>
  <c r="H237" i="2" l="1"/>
  <c r="I237" i="2"/>
  <c r="J236" i="2"/>
  <c r="E237" i="2"/>
  <c r="G237" i="2" s="1"/>
  <c r="K236" i="2"/>
  <c r="E238" i="2" l="1"/>
  <c r="G238" i="2" s="1"/>
  <c r="H238" i="2"/>
  <c r="I238" i="2"/>
  <c r="J237" i="2"/>
  <c r="K237" i="2"/>
  <c r="F239" i="2" l="1"/>
  <c r="G239" i="2" s="1"/>
  <c r="H239" i="2"/>
  <c r="J238" i="2"/>
  <c r="K238" i="2" s="1"/>
  <c r="I239" i="2"/>
  <c r="F240" i="2" l="1"/>
  <c r="G240" i="2" s="1"/>
  <c r="H240" i="2"/>
  <c r="I240" i="2"/>
  <c r="J239" i="2"/>
  <c r="K239" i="2" s="1"/>
  <c r="E241" i="2" l="1"/>
  <c r="G241" i="2" s="1"/>
  <c r="H241" i="2"/>
  <c r="I241" i="2"/>
  <c r="J240" i="2"/>
  <c r="K240" i="2"/>
  <c r="E242" i="2" l="1"/>
  <c r="G242" i="2" s="1"/>
  <c r="H242" i="2"/>
  <c r="I242" i="2"/>
  <c r="J241" i="2"/>
  <c r="K241" i="2" s="1"/>
  <c r="H243" i="2" l="1"/>
  <c r="I243" i="2"/>
  <c r="J242" i="2"/>
  <c r="K242" i="2" s="1"/>
  <c r="E243" i="2"/>
  <c r="G243" i="2" s="1"/>
  <c r="H244" i="2" l="1"/>
  <c r="I244" i="2"/>
  <c r="J243" i="2"/>
  <c r="K243" i="2" s="1"/>
  <c r="E244" i="2"/>
  <c r="G244" i="2" s="1"/>
  <c r="H245" i="2" l="1"/>
  <c r="I245" i="2"/>
  <c r="J244" i="2"/>
  <c r="E245" i="2"/>
  <c r="G245" i="2" s="1"/>
  <c r="K244" i="2"/>
  <c r="F246" i="2" l="1"/>
  <c r="G246" i="2" s="1"/>
  <c r="H246" i="2"/>
  <c r="I246" i="2"/>
  <c r="J245" i="2"/>
  <c r="K245" i="2" s="1"/>
  <c r="E247" i="2" l="1"/>
  <c r="G247" i="2" s="1"/>
  <c r="H247" i="2"/>
  <c r="I247" i="2"/>
  <c r="J246" i="2"/>
  <c r="K246" i="2" s="1"/>
  <c r="F248" i="2" l="1"/>
  <c r="G248" i="2" s="1"/>
  <c r="H248" i="2"/>
  <c r="I248" i="2"/>
  <c r="J247" i="2"/>
  <c r="K247" i="2" s="1"/>
  <c r="E249" i="2" l="1"/>
  <c r="G249" i="2" s="1"/>
  <c r="H249" i="2"/>
  <c r="I249" i="2"/>
  <c r="J248" i="2"/>
  <c r="K248" i="2" s="1"/>
  <c r="E250" i="2" l="1"/>
  <c r="G250" i="2" s="1"/>
  <c r="H250" i="2"/>
  <c r="I250" i="2"/>
  <c r="J249" i="2"/>
  <c r="K249" i="2" s="1"/>
  <c r="H251" i="2" l="1"/>
  <c r="I251" i="2"/>
  <c r="J250" i="2"/>
  <c r="K250" i="2" s="1"/>
  <c r="F251" i="2"/>
  <c r="G251" i="2" s="1"/>
  <c r="H252" i="2" l="1"/>
  <c r="I252" i="2"/>
  <c r="J251" i="2"/>
  <c r="E252" i="2"/>
  <c r="G252" i="2" s="1"/>
  <c r="K251" i="2"/>
  <c r="H253" i="2" l="1"/>
  <c r="I253" i="2"/>
  <c r="J252" i="2"/>
  <c r="E253" i="2"/>
  <c r="G253" i="2" s="1"/>
  <c r="K252" i="2"/>
  <c r="E254" i="2" l="1"/>
  <c r="G254" i="2" s="1"/>
  <c r="H254" i="2"/>
  <c r="I254" i="2"/>
  <c r="J253" i="2"/>
  <c r="K253" i="2"/>
  <c r="F255" i="2" l="1"/>
  <c r="G255" i="2" s="1"/>
  <c r="H255" i="2"/>
  <c r="I255" i="2"/>
  <c r="J254" i="2"/>
  <c r="K254" i="2" s="1"/>
  <c r="E256" i="2" l="1"/>
  <c r="G256" i="2" s="1"/>
  <c r="H256" i="2"/>
  <c r="I256" i="2"/>
  <c r="J255" i="2"/>
  <c r="K255" i="2" s="1"/>
  <c r="F257" i="2" l="1"/>
  <c r="G257" i="2" s="1"/>
  <c r="H257" i="2"/>
  <c r="I257" i="2"/>
  <c r="J256" i="2"/>
  <c r="K256" i="2" s="1"/>
  <c r="F258" i="2" l="1"/>
  <c r="G258" i="2" s="1"/>
  <c r="H258" i="2"/>
  <c r="I258" i="2"/>
  <c r="J257" i="2"/>
  <c r="K257" i="2" s="1"/>
  <c r="H259" i="2" l="1"/>
  <c r="I259" i="2"/>
  <c r="J258" i="2"/>
  <c r="K258" i="2" s="1"/>
  <c r="F259" i="2"/>
  <c r="G259" i="2" s="1"/>
  <c r="H260" i="2" l="1"/>
  <c r="I260" i="2"/>
  <c r="J259" i="2"/>
  <c r="F260" i="2"/>
  <c r="G260" i="2" s="1"/>
  <c r="K259" i="2"/>
  <c r="H261" i="2" l="1"/>
  <c r="I261" i="2"/>
  <c r="J260" i="2"/>
  <c r="E261" i="2"/>
  <c r="G261" i="2" s="1"/>
  <c r="K260" i="2"/>
  <c r="F262" i="2" l="1"/>
  <c r="G262" i="2" s="1"/>
  <c r="H262" i="2"/>
  <c r="I262" i="2"/>
  <c r="J261" i="2"/>
  <c r="K261" i="2"/>
  <c r="E263" i="2" l="1"/>
  <c r="G263" i="2" s="1"/>
  <c r="H263" i="2"/>
  <c r="I263" i="2"/>
  <c r="J262" i="2"/>
  <c r="K262" i="2" s="1"/>
  <c r="K263" i="2" l="1"/>
  <c r="E264" i="2"/>
  <c r="G264" i="2" s="1"/>
  <c r="H264" i="2"/>
  <c r="I264" i="2"/>
  <c r="J263" i="2"/>
  <c r="F265" i="2" l="1"/>
  <c r="G265" i="2" s="1"/>
  <c r="H265" i="2"/>
  <c r="I265" i="2"/>
  <c r="J264" i="2"/>
  <c r="K264" i="2" s="1"/>
  <c r="E266" i="2" l="1"/>
  <c r="G266" i="2" s="1"/>
  <c r="H266" i="2"/>
  <c r="I266" i="2"/>
  <c r="J265" i="2"/>
  <c r="K265" i="2" s="1"/>
  <c r="H267" i="2" l="1"/>
  <c r="I267" i="2"/>
  <c r="J266" i="2"/>
  <c r="F267" i="2"/>
  <c r="G267" i="2" s="1"/>
  <c r="K266" i="2"/>
  <c r="H268" i="2" l="1"/>
  <c r="I268" i="2"/>
  <c r="J267" i="2"/>
  <c r="E268" i="2"/>
  <c r="G268" i="2" s="1"/>
  <c r="K267" i="2"/>
  <c r="H269" i="2" l="1"/>
  <c r="I269" i="2"/>
  <c r="J268" i="2"/>
  <c r="F269" i="2"/>
  <c r="G269" i="2" s="1"/>
  <c r="K268" i="2"/>
  <c r="F270" i="2" l="1"/>
  <c r="G270" i="2" s="1"/>
  <c r="H270" i="2"/>
  <c r="I270" i="2"/>
  <c r="J269" i="2"/>
  <c r="K269" i="2" s="1"/>
  <c r="E271" i="2" l="1"/>
  <c r="G271" i="2" s="1"/>
  <c r="H271" i="2"/>
  <c r="J270" i="2"/>
  <c r="K270" i="2" s="1"/>
  <c r="I271" i="2"/>
  <c r="E272" i="2" l="1"/>
  <c r="G272" i="2" s="1"/>
  <c r="H272" i="2"/>
  <c r="I272" i="2"/>
  <c r="J271" i="2"/>
  <c r="K271" i="2" s="1"/>
  <c r="F273" i="2" l="1"/>
  <c r="G273" i="2" s="1"/>
  <c r="H273" i="2"/>
  <c r="I273" i="2"/>
  <c r="J272" i="2"/>
  <c r="K272" i="2" s="1"/>
  <c r="E274" i="2" l="1"/>
  <c r="G274" i="2" s="1"/>
  <c r="H274" i="2"/>
  <c r="I274" i="2"/>
  <c r="J273" i="2"/>
  <c r="K273" i="2" s="1"/>
  <c r="H275" i="2" l="1"/>
  <c r="I275" i="2"/>
  <c r="J274" i="2"/>
  <c r="K274" i="2" s="1"/>
  <c r="F275" i="2"/>
  <c r="G275" i="2" s="1"/>
  <c r="H276" i="2" l="1"/>
  <c r="I276" i="2"/>
  <c r="J275" i="2"/>
  <c r="E276" i="2"/>
  <c r="G276" i="2" s="1"/>
  <c r="K275" i="2"/>
  <c r="H277" i="2" l="1"/>
  <c r="I277" i="2"/>
  <c r="J276" i="2"/>
  <c r="F277" i="2"/>
  <c r="G277" i="2" s="1"/>
  <c r="K276" i="2"/>
  <c r="E278" i="2" l="1"/>
  <c r="G278" i="2" s="1"/>
  <c r="H278" i="2"/>
  <c r="I278" i="2"/>
  <c r="J277" i="2"/>
  <c r="K277" i="2"/>
  <c r="E279" i="2" l="1"/>
  <c r="G279" i="2" s="1"/>
  <c r="H279" i="2"/>
  <c r="I279" i="2"/>
  <c r="J278" i="2"/>
  <c r="K278" i="2" s="1"/>
  <c r="F280" i="2" l="1"/>
  <c r="G280" i="2" s="1"/>
  <c r="H280" i="2"/>
  <c r="I280" i="2"/>
  <c r="J279" i="2"/>
  <c r="K279" i="2" s="1"/>
  <c r="E281" i="2" l="1"/>
  <c r="G281" i="2" s="1"/>
  <c r="H281" i="2"/>
  <c r="I281" i="2"/>
  <c r="J280" i="2"/>
  <c r="K280" i="2" s="1"/>
  <c r="E282" i="2" l="1"/>
  <c r="G282" i="2" s="1"/>
  <c r="H282" i="2"/>
  <c r="I282" i="2"/>
  <c r="J281" i="2"/>
  <c r="K281" i="2" s="1"/>
  <c r="H283" i="2" l="1"/>
  <c r="I283" i="2"/>
  <c r="J282" i="2"/>
  <c r="K282" i="2" s="1"/>
  <c r="E283" i="2"/>
  <c r="G283" i="2" s="1"/>
  <c r="H284" i="2" l="1"/>
  <c r="I284" i="2"/>
  <c r="J283" i="2"/>
  <c r="K283" i="2" s="1"/>
  <c r="E284" i="2"/>
  <c r="G284" i="2" s="1"/>
  <c r="H285" i="2" l="1"/>
  <c r="I285" i="2"/>
  <c r="J284" i="2"/>
  <c r="E285" i="2"/>
  <c r="G285" i="2" s="1"/>
  <c r="K284" i="2"/>
  <c r="E286" i="2" l="1"/>
  <c r="G286" i="2" s="1"/>
  <c r="H286" i="2"/>
  <c r="I286" i="2"/>
  <c r="J285" i="2"/>
  <c r="K285" i="2"/>
  <c r="E287" i="2" l="1"/>
  <c r="G287" i="2" s="1"/>
  <c r="H287" i="2"/>
  <c r="I287" i="2"/>
  <c r="J286" i="2"/>
  <c r="K286" i="2" s="1"/>
  <c r="F288" i="2" l="1"/>
  <c r="G288" i="2" s="1"/>
  <c r="H288" i="2"/>
  <c r="I288" i="2"/>
  <c r="J287" i="2"/>
  <c r="K287" i="2" s="1"/>
  <c r="E289" i="2" l="1"/>
  <c r="G289" i="2" s="1"/>
  <c r="H289" i="2"/>
  <c r="I289" i="2"/>
  <c r="J288" i="2"/>
  <c r="K288" i="2"/>
  <c r="E290" i="2" l="1"/>
  <c r="G290" i="2" s="1"/>
  <c r="H290" i="2"/>
  <c r="I290" i="2"/>
  <c r="J289" i="2"/>
  <c r="K289" i="2" s="1"/>
  <c r="H291" i="2" l="1"/>
  <c r="I291" i="2"/>
  <c r="J290" i="2"/>
  <c r="F291" i="2"/>
  <c r="G291" i="2" s="1"/>
  <c r="K290" i="2"/>
  <c r="H292" i="2" l="1"/>
  <c r="I292" i="2"/>
  <c r="J291" i="2"/>
  <c r="E292" i="2"/>
  <c r="G292" i="2" s="1"/>
  <c r="K291" i="2"/>
  <c r="H293" i="2" l="1"/>
  <c r="I293" i="2"/>
  <c r="J292" i="2"/>
  <c r="F293" i="2"/>
  <c r="G293" i="2" s="1"/>
  <c r="K292" i="2"/>
  <c r="E294" i="2" l="1"/>
  <c r="G294" i="2" s="1"/>
  <c r="H294" i="2"/>
  <c r="I294" i="2"/>
  <c r="J293" i="2"/>
  <c r="K293" i="2"/>
  <c r="E295" i="2" l="1"/>
  <c r="G295" i="2" s="1"/>
  <c r="H295" i="2"/>
  <c r="I295" i="2"/>
  <c r="J294" i="2"/>
  <c r="K294" i="2" s="1"/>
  <c r="E296" i="2" l="1"/>
  <c r="G296" i="2" s="1"/>
  <c r="H296" i="2"/>
  <c r="I296" i="2"/>
  <c r="J295" i="2"/>
  <c r="K295" i="2" s="1"/>
  <c r="E297" i="2" l="1"/>
  <c r="G297" i="2" s="1"/>
  <c r="H297" i="2"/>
  <c r="I297" i="2"/>
  <c r="J296" i="2"/>
  <c r="K296" i="2" s="1"/>
  <c r="E298" i="2" l="1"/>
  <c r="G298" i="2" s="1"/>
  <c r="H298" i="2"/>
  <c r="I298" i="2"/>
  <c r="J297" i="2"/>
  <c r="K297" i="2"/>
  <c r="H299" i="2" l="1"/>
  <c r="I299" i="2"/>
  <c r="J298" i="2"/>
  <c r="K298" i="2" s="1"/>
  <c r="E299" i="2"/>
  <c r="G299" i="2" s="1"/>
  <c r="H300" i="2" l="1"/>
  <c r="I300" i="2"/>
  <c r="J299" i="2"/>
  <c r="E300" i="2"/>
  <c r="G300" i="2" s="1"/>
  <c r="K299" i="2"/>
  <c r="H301" i="2" l="1"/>
  <c r="I301" i="2"/>
  <c r="J300" i="2"/>
  <c r="F301" i="2"/>
  <c r="G301" i="2" s="1"/>
  <c r="K300" i="2"/>
  <c r="F302" i="2" l="1"/>
  <c r="G302" i="2" s="1"/>
  <c r="H302" i="2"/>
  <c r="I302" i="2"/>
  <c r="J301" i="2"/>
  <c r="K301" i="2"/>
  <c r="E303" i="2" l="1"/>
  <c r="G303" i="2" s="1"/>
  <c r="H303" i="2"/>
  <c r="J302" i="2"/>
  <c r="K302" i="2" s="1"/>
  <c r="I303" i="2"/>
  <c r="F304" i="2" l="1"/>
  <c r="G304" i="2" s="1"/>
  <c r="H304" i="2"/>
  <c r="I304" i="2"/>
  <c r="J303" i="2"/>
  <c r="K303" i="2" s="1"/>
  <c r="F305" i="2" l="1"/>
  <c r="G305" i="2" s="1"/>
  <c r="I305" i="2"/>
  <c r="H305" i="2"/>
  <c r="J304" i="2"/>
  <c r="K304" i="2" s="1"/>
  <c r="E306" i="2" l="1"/>
  <c r="G306" i="2" s="1"/>
  <c r="H306" i="2"/>
  <c r="I306" i="2"/>
  <c r="J305" i="2"/>
  <c r="K305" i="2" s="1"/>
  <c r="I307" i="2" l="1"/>
  <c r="H307" i="2"/>
  <c r="J306" i="2"/>
  <c r="K306" i="2" s="1"/>
  <c r="E307" i="2"/>
  <c r="G307" i="2" s="1"/>
  <c r="H308" i="2" l="1"/>
  <c r="I308" i="2"/>
  <c r="J307" i="2"/>
  <c r="K307" i="2" s="1"/>
  <c r="F308" i="2"/>
  <c r="G308" i="2" s="1"/>
  <c r="H309" i="2" l="1"/>
  <c r="I309" i="2"/>
  <c r="J308" i="2"/>
  <c r="F309" i="2"/>
  <c r="G309" i="2" s="1"/>
  <c r="K308" i="2"/>
  <c r="F310" i="2" l="1"/>
  <c r="G310" i="2" s="1"/>
  <c r="H310" i="2"/>
  <c r="J309" i="2"/>
  <c r="I310" i="2"/>
  <c r="K309" i="2"/>
  <c r="F311" i="2" l="1"/>
  <c r="G311" i="2" s="1"/>
  <c r="H311" i="2"/>
  <c r="I311" i="2"/>
  <c r="J310" i="2"/>
  <c r="K310" i="2" s="1"/>
  <c r="E312" i="2" l="1"/>
  <c r="G312" i="2" s="1"/>
  <c r="H312" i="2"/>
  <c r="I312" i="2"/>
  <c r="J311" i="2"/>
  <c r="K311" i="2" s="1"/>
  <c r="F313" i="2" l="1"/>
  <c r="G313" i="2" s="1"/>
  <c r="H313" i="2"/>
  <c r="I313" i="2"/>
  <c r="J312" i="2"/>
  <c r="K312" i="2" s="1"/>
  <c r="F314" i="2" l="1"/>
  <c r="G314" i="2" s="1"/>
  <c r="H314" i="2"/>
  <c r="I314" i="2"/>
  <c r="J313" i="2"/>
  <c r="K313" i="2" s="1"/>
  <c r="H315" i="2" l="1"/>
  <c r="I315" i="2"/>
  <c r="J314" i="2"/>
  <c r="K314" i="2" s="1"/>
  <c r="E315" i="2"/>
  <c r="G315" i="2" s="1"/>
  <c r="H316" i="2" l="1"/>
  <c r="I316" i="2"/>
  <c r="J315" i="2"/>
  <c r="F316" i="2"/>
  <c r="G316" i="2" s="1"/>
  <c r="K315" i="2"/>
  <c r="H317" i="2" l="1"/>
  <c r="I317" i="2"/>
  <c r="J316" i="2"/>
  <c r="F317" i="2"/>
  <c r="G317" i="2" s="1"/>
  <c r="K316" i="2"/>
  <c r="E318" i="2" l="1"/>
  <c r="G318" i="2" s="1"/>
  <c r="H318" i="2"/>
  <c r="I318" i="2"/>
  <c r="J317" i="2"/>
  <c r="K317" i="2"/>
  <c r="E319" i="2" l="1"/>
  <c r="G319" i="2" s="1"/>
  <c r="H319" i="2"/>
  <c r="I319" i="2"/>
  <c r="J318" i="2"/>
  <c r="K318" i="2" s="1"/>
  <c r="E320" i="2" l="1"/>
  <c r="G320" i="2" s="1"/>
  <c r="H320" i="2"/>
  <c r="I320" i="2"/>
  <c r="J319" i="2"/>
  <c r="K319" i="2" s="1"/>
  <c r="E321" i="2" l="1"/>
  <c r="G321" i="2" s="1"/>
  <c r="H321" i="2"/>
  <c r="I321" i="2"/>
  <c r="J320" i="2"/>
  <c r="K320" i="2" s="1"/>
  <c r="E322" i="2" l="1"/>
  <c r="G322" i="2" s="1"/>
  <c r="H322" i="2"/>
  <c r="I322" i="2"/>
  <c r="J321" i="2"/>
  <c r="K321" i="2" s="1"/>
  <c r="H323" i="2" l="1"/>
  <c r="I323" i="2"/>
  <c r="J322" i="2"/>
  <c r="K322" i="2" s="1"/>
  <c r="F323" i="2"/>
  <c r="G323" i="2" s="1"/>
  <c r="H324" i="2" l="1"/>
  <c r="I324" i="2"/>
  <c r="J323" i="2"/>
  <c r="E324" i="2"/>
  <c r="G324" i="2" s="1"/>
  <c r="K323" i="2"/>
  <c r="H325" i="2" l="1"/>
  <c r="I325" i="2"/>
  <c r="J324" i="2"/>
  <c r="F325" i="2"/>
  <c r="G325" i="2" s="1"/>
  <c r="K324" i="2"/>
  <c r="F326" i="2" l="1"/>
  <c r="G326" i="2" s="1"/>
  <c r="H326" i="2"/>
  <c r="I326" i="2"/>
  <c r="J325" i="2"/>
  <c r="K325" i="2"/>
  <c r="F327" i="2" l="1"/>
  <c r="G327" i="2" s="1"/>
  <c r="H327" i="2"/>
  <c r="I327" i="2"/>
  <c r="J326" i="2"/>
  <c r="K326" i="2" s="1"/>
  <c r="E328" i="2" l="1"/>
  <c r="G328" i="2" s="1"/>
  <c r="H328" i="2"/>
  <c r="I328" i="2"/>
  <c r="J327" i="2"/>
  <c r="K327" i="2" s="1"/>
  <c r="F329" i="2" l="1"/>
  <c r="G329" i="2" s="1"/>
  <c r="H329" i="2"/>
  <c r="I329" i="2"/>
  <c r="J328" i="2"/>
  <c r="K328" i="2"/>
  <c r="E330" i="2" l="1"/>
  <c r="G330" i="2" s="1"/>
  <c r="H330" i="2"/>
  <c r="I330" i="2"/>
  <c r="J329" i="2"/>
  <c r="K329" i="2"/>
  <c r="H331" i="2" l="1"/>
  <c r="I331" i="2"/>
  <c r="J330" i="2"/>
  <c r="K330" i="2" s="1"/>
  <c r="E331" i="2"/>
  <c r="G331" i="2" s="1"/>
  <c r="H332" i="2" l="1"/>
  <c r="I332" i="2"/>
  <c r="J331" i="2"/>
  <c r="F332" i="2"/>
  <c r="G332" i="2" s="1"/>
  <c r="K331" i="2"/>
  <c r="H333" i="2" l="1"/>
  <c r="I333" i="2"/>
  <c r="J332" i="2"/>
  <c r="F333" i="2"/>
  <c r="G333" i="2" s="1"/>
  <c r="K332" i="2"/>
  <c r="E334" i="2" l="1"/>
  <c r="G334" i="2" s="1"/>
  <c r="H334" i="2"/>
  <c r="I334" i="2"/>
  <c r="J333" i="2"/>
  <c r="K333" i="2"/>
  <c r="F335" i="2" l="1"/>
  <c r="G335" i="2" s="1"/>
  <c r="H335" i="2"/>
  <c r="J334" i="2"/>
  <c r="K334" i="2" s="1"/>
  <c r="I335" i="2"/>
  <c r="F336" i="2" l="1"/>
  <c r="G336" i="2" s="1"/>
  <c r="H336" i="2"/>
  <c r="I336" i="2"/>
  <c r="J335" i="2"/>
  <c r="K335" i="2" s="1"/>
  <c r="E337" i="2" l="1"/>
  <c r="G337" i="2" s="1"/>
  <c r="H337" i="2"/>
  <c r="I337" i="2"/>
  <c r="J336" i="2"/>
  <c r="K336" i="2" s="1"/>
  <c r="F338" i="2" l="1"/>
  <c r="G338" i="2" s="1"/>
  <c r="H338" i="2"/>
  <c r="I338" i="2"/>
  <c r="J337" i="2"/>
  <c r="K337" i="2" s="1"/>
  <c r="H339" i="2" l="1"/>
  <c r="I339" i="2"/>
  <c r="J338" i="2"/>
  <c r="K338" i="2" s="1"/>
  <c r="E339" i="2"/>
  <c r="G339" i="2" s="1"/>
  <c r="H340" i="2" l="1"/>
  <c r="I340" i="2"/>
  <c r="J339" i="2"/>
  <c r="F340" i="2"/>
  <c r="G340" i="2" s="1"/>
  <c r="K339" i="2"/>
  <c r="H341" i="2" l="1"/>
  <c r="I341" i="2"/>
  <c r="J340" i="2"/>
  <c r="F341" i="2"/>
  <c r="G341" i="2" s="1"/>
  <c r="K340" i="2"/>
  <c r="E342" i="2" l="1"/>
  <c r="G342" i="2" s="1"/>
  <c r="H342" i="2"/>
  <c r="I342" i="2"/>
  <c r="J341" i="2"/>
  <c r="K341" i="2"/>
  <c r="F343" i="2" l="1"/>
  <c r="G343" i="2" s="1"/>
  <c r="H343" i="2"/>
  <c r="I343" i="2"/>
  <c r="J342" i="2"/>
  <c r="K342" i="2" s="1"/>
  <c r="F344" i="2" l="1"/>
  <c r="G344" i="2" s="1"/>
  <c r="H344" i="2"/>
  <c r="I344" i="2"/>
  <c r="J343" i="2"/>
  <c r="K343" i="2" s="1"/>
  <c r="F345" i="2" l="1"/>
  <c r="G345" i="2" s="1"/>
  <c r="H345" i="2"/>
  <c r="I345" i="2"/>
  <c r="J344" i="2"/>
  <c r="K344" i="2" s="1"/>
  <c r="F346" i="2" l="1"/>
  <c r="G346" i="2" s="1"/>
  <c r="H346" i="2"/>
  <c r="I346" i="2"/>
  <c r="J345" i="2"/>
  <c r="K345" i="2" s="1"/>
  <c r="H347" i="2" l="1"/>
  <c r="I347" i="2"/>
  <c r="J346" i="2"/>
  <c r="K346" i="2" s="1"/>
  <c r="E347" i="2"/>
  <c r="G347" i="2" s="1"/>
  <c r="H348" i="2" l="1"/>
  <c r="I348" i="2"/>
  <c r="J347" i="2"/>
  <c r="F348" i="2"/>
  <c r="G348" i="2" s="1"/>
  <c r="K347" i="2"/>
  <c r="H349" i="2" l="1"/>
  <c r="I349" i="2"/>
  <c r="J348" i="2"/>
  <c r="K348" i="2" s="1"/>
  <c r="E349" i="2"/>
  <c r="G349" i="2" s="1"/>
  <c r="F350" i="2" l="1"/>
  <c r="G350" i="2" s="1"/>
  <c r="H350" i="2"/>
  <c r="I350" i="2"/>
  <c r="J349" i="2"/>
  <c r="K349" i="2"/>
  <c r="F351" i="2" l="1"/>
  <c r="G351" i="2" s="1"/>
  <c r="H351" i="2"/>
  <c r="I351" i="2"/>
  <c r="J350" i="2"/>
  <c r="K350" i="2" s="1"/>
  <c r="E352" i="2" l="1"/>
  <c r="G352" i="2" s="1"/>
  <c r="H352" i="2"/>
  <c r="I352" i="2"/>
  <c r="J351" i="2"/>
  <c r="K351" i="2" s="1"/>
  <c r="E353" i="2" l="1"/>
  <c r="G353" i="2" s="1"/>
  <c r="H353" i="2"/>
  <c r="I353" i="2"/>
  <c r="J352" i="2"/>
  <c r="K352" i="2" s="1"/>
  <c r="F354" i="2" l="1"/>
  <c r="G354" i="2" s="1"/>
  <c r="H354" i="2"/>
  <c r="I354" i="2"/>
  <c r="J353" i="2"/>
  <c r="K353" i="2" s="1"/>
  <c r="K354" i="2" l="1"/>
  <c r="H355" i="2"/>
  <c r="I355" i="2"/>
  <c r="J354" i="2"/>
  <c r="E355" i="2"/>
  <c r="G355" i="2" s="1"/>
  <c r="H356" i="2" l="1"/>
  <c r="I356" i="2"/>
  <c r="J355" i="2"/>
  <c r="F356" i="2"/>
  <c r="G356" i="2" s="1"/>
  <c r="K355" i="2"/>
  <c r="H357" i="2" l="1"/>
  <c r="I357" i="2"/>
  <c r="J356" i="2"/>
  <c r="F357" i="2"/>
  <c r="G357" i="2" s="1"/>
  <c r="K356" i="2"/>
  <c r="F358" i="2" l="1"/>
  <c r="G358" i="2" s="1"/>
  <c r="H358" i="2"/>
  <c r="I358" i="2"/>
  <c r="J357" i="2"/>
  <c r="K357" i="2" s="1"/>
  <c r="F359" i="2" l="1"/>
  <c r="G359" i="2" s="1"/>
  <c r="H359" i="2"/>
  <c r="I359" i="2"/>
  <c r="J358" i="2"/>
  <c r="K358" i="2" s="1"/>
  <c r="E360" i="2" l="1"/>
  <c r="G360" i="2" s="1"/>
  <c r="H360" i="2"/>
  <c r="I360" i="2"/>
  <c r="J359" i="2"/>
  <c r="K359" i="2" s="1"/>
  <c r="F361" i="2" l="1"/>
  <c r="G361" i="2" s="1"/>
  <c r="H361" i="2"/>
  <c r="I361" i="2"/>
  <c r="J360" i="2"/>
  <c r="K360" i="2" s="1"/>
  <c r="E362" i="2" l="1"/>
  <c r="G362" i="2" s="1"/>
  <c r="H362" i="2"/>
  <c r="I362" i="2"/>
  <c r="J361" i="2"/>
  <c r="K361" i="2" s="1"/>
  <c r="H363" i="2" l="1"/>
  <c r="I363" i="2"/>
  <c r="J362" i="2"/>
  <c r="K362" i="2" s="1"/>
  <c r="E363" i="2"/>
  <c r="G363" i="2" s="1"/>
  <c r="H364" i="2" l="1"/>
  <c r="I364" i="2"/>
  <c r="J363" i="2"/>
  <c r="K363" i="2" s="1"/>
  <c r="F364" i="2"/>
  <c r="G364" i="2" s="1"/>
  <c r="H365" i="2" l="1"/>
  <c r="I365" i="2"/>
  <c r="J364" i="2"/>
  <c r="F365" i="2"/>
  <c r="G365" i="2" s="1"/>
  <c r="K364" i="2"/>
  <c r="F366" i="2" l="1"/>
  <c r="G366" i="2" s="1"/>
  <c r="H366" i="2"/>
  <c r="I366" i="2"/>
  <c r="J365" i="2"/>
  <c r="K365" i="2"/>
  <c r="F367" i="2" l="1"/>
  <c r="G367" i="2" s="1"/>
  <c r="H367" i="2"/>
  <c r="J366" i="2"/>
  <c r="K366" i="2" s="1"/>
  <c r="I367" i="2"/>
  <c r="E368" i="2" l="1"/>
  <c r="G368" i="2" s="1"/>
  <c r="H368" i="2"/>
  <c r="I368" i="2"/>
  <c r="J367" i="2"/>
  <c r="K367" i="2" s="1"/>
  <c r="E369" i="2" l="1"/>
  <c r="G369" i="2" s="1"/>
  <c r="H369" i="2"/>
  <c r="I369" i="2"/>
  <c r="J368" i="2"/>
  <c r="K368" i="2" s="1"/>
  <c r="F370" i="2" l="1"/>
  <c r="G370" i="2" s="1"/>
  <c r="H370" i="2"/>
  <c r="I370" i="2"/>
  <c r="J369" i="2"/>
  <c r="K369" i="2" s="1"/>
  <c r="K370" i="2" l="1"/>
  <c r="H371" i="2"/>
  <c r="I371" i="2"/>
  <c r="J370" i="2"/>
  <c r="E371" i="2"/>
  <c r="G371" i="2" s="1"/>
  <c r="H372" i="2" l="1"/>
  <c r="I372" i="2"/>
  <c r="J371" i="2"/>
  <c r="F372" i="2"/>
  <c r="G372" i="2" s="1"/>
  <c r="K371" i="2"/>
  <c r="H373" i="2" l="1"/>
  <c r="I373" i="2"/>
  <c r="J372" i="2"/>
  <c r="F373" i="2"/>
  <c r="G373" i="2" s="1"/>
  <c r="K372" i="2"/>
  <c r="E374" i="2" l="1"/>
  <c r="G374" i="2" s="1"/>
  <c r="H374" i="2"/>
  <c r="I374" i="2"/>
  <c r="J373" i="2"/>
  <c r="K373" i="2"/>
  <c r="F375" i="2" l="1"/>
  <c r="G375" i="2" s="1"/>
  <c r="H375" i="2"/>
  <c r="I375" i="2"/>
  <c r="J374" i="2"/>
  <c r="K374" i="2" s="1"/>
  <c r="F376" i="2" l="1"/>
  <c r="G376" i="2" s="1"/>
  <c r="H376" i="2"/>
  <c r="I376" i="2"/>
  <c r="J375" i="2"/>
  <c r="K375" i="2" s="1"/>
  <c r="E377" i="2" l="1"/>
  <c r="G377" i="2" s="1"/>
  <c r="H377" i="2"/>
  <c r="I377" i="2"/>
  <c r="J376" i="2"/>
  <c r="K376" i="2"/>
  <c r="F378" i="2" l="1"/>
  <c r="G378" i="2" s="1"/>
  <c r="H378" i="2"/>
  <c r="I378" i="2"/>
  <c r="J377" i="2"/>
  <c r="K377" i="2"/>
  <c r="H379" i="2" l="1"/>
  <c r="I379" i="2"/>
  <c r="J378" i="2"/>
  <c r="K378" i="2" s="1"/>
  <c r="F379" i="2"/>
  <c r="G379" i="2" s="1"/>
  <c r="H380" i="2" l="1"/>
  <c r="I380" i="2"/>
  <c r="J379" i="2"/>
  <c r="F380" i="2"/>
  <c r="G380" i="2" s="1"/>
  <c r="K379" i="2"/>
  <c r="K380" i="2" l="1"/>
  <c r="H381" i="2"/>
  <c r="I381" i="2"/>
  <c r="J380" i="2"/>
  <c r="E381" i="2"/>
  <c r="G381" i="2" s="1"/>
  <c r="F382" i="2" l="1"/>
  <c r="G382" i="2" s="1"/>
  <c r="H382" i="2"/>
  <c r="I382" i="2"/>
  <c r="J381" i="2"/>
  <c r="K381" i="2"/>
  <c r="F383" i="2" l="1"/>
  <c r="G383" i="2" s="1"/>
  <c r="H383" i="2"/>
  <c r="I383" i="2"/>
  <c r="J382" i="2"/>
  <c r="K382" i="2" s="1"/>
  <c r="K383" i="2" l="1"/>
  <c r="F384" i="2"/>
  <c r="G384" i="2" s="1"/>
  <c r="H384" i="2"/>
  <c r="I384" i="2"/>
  <c r="J383" i="2"/>
  <c r="E385" i="2" l="1"/>
  <c r="G385" i="2" s="1"/>
  <c r="H385" i="2"/>
  <c r="I385" i="2"/>
  <c r="J384" i="2"/>
  <c r="K384" i="2" s="1"/>
  <c r="F386" i="2" l="1"/>
  <c r="G386" i="2" s="1"/>
  <c r="H386" i="2"/>
  <c r="I386" i="2"/>
  <c r="J385" i="2"/>
  <c r="K385" i="2" s="1"/>
  <c r="H387" i="2" l="1"/>
  <c r="I387" i="2"/>
  <c r="J386" i="2"/>
  <c r="K386" i="2" s="1"/>
  <c r="E387" i="2"/>
  <c r="G387" i="2" s="1"/>
  <c r="H388" i="2" l="1"/>
  <c r="I388" i="2"/>
  <c r="J387" i="2"/>
  <c r="E388" i="2"/>
  <c r="G388" i="2" s="1"/>
  <c r="K387" i="2"/>
  <c r="H389" i="2" l="1"/>
  <c r="I389" i="2"/>
  <c r="J388" i="2"/>
  <c r="F389" i="2"/>
  <c r="G389" i="2" s="1"/>
  <c r="K388" i="2"/>
  <c r="F390" i="2" l="1"/>
  <c r="G390" i="2" s="1"/>
  <c r="H390" i="2"/>
  <c r="I390" i="2"/>
  <c r="J389" i="2"/>
  <c r="K389" i="2" s="1"/>
  <c r="F391" i="2" l="1"/>
  <c r="G391" i="2" s="1"/>
  <c r="H391" i="2"/>
  <c r="I391" i="2"/>
  <c r="J390" i="2"/>
  <c r="K390" i="2" s="1"/>
  <c r="F392" i="2" l="1"/>
  <c r="G392" i="2" s="1"/>
  <c r="H392" i="2"/>
  <c r="I392" i="2"/>
  <c r="J391" i="2"/>
  <c r="K391" i="2"/>
  <c r="F393" i="2" l="1"/>
  <c r="G393" i="2" s="1"/>
  <c r="H393" i="2"/>
  <c r="I393" i="2"/>
  <c r="J392" i="2"/>
  <c r="K392" i="2" s="1"/>
  <c r="F394" i="2" l="1"/>
  <c r="G394" i="2" s="1"/>
  <c r="H394" i="2"/>
  <c r="I394" i="2"/>
  <c r="J393" i="2"/>
  <c r="K393" i="2" s="1"/>
  <c r="H395" i="2" l="1"/>
  <c r="I395" i="2"/>
  <c r="J394" i="2"/>
  <c r="F395" i="2"/>
  <c r="G395" i="2" s="1"/>
  <c r="K394" i="2"/>
  <c r="H396" i="2" l="1"/>
  <c r="I396" i="2"/>
  <c r="J395" i="2"/>
  <c r="F396" i="2"/>
  <c r="G396" i="2" s="1"/>
  <c r="K395" i="2"/>
  <c r="H397" i="2" l="1"/>
  <c r="I397" i="2"/>
  <c r="J396" i="2"/>
  <c r="E397" i="2"/>
  <c r="G397" i="2" s="1"/>
  <c r="K396" i="2"/>
  <c r="E398" i="2" l="1"/>
  <c r="G398" i="2" s="1"/>
  <c r="H398" i="2"/>
  <c r="I398" i="2"/>
  <c r="J397" i="2"/>
  <c r="K397" i="2"/>
  <c r="K398" i="2" l="1"/>
  <c r="E399" i="2"/>
  <c r="G399" i="2" s="1"/>
  <c r="H399" i="2"/>
  <c r="J398" i="2"/>
  <c r="I399" i="2"/>
  <c r="E400" i="2" l="1"/>
  <c r="G400" i="2" s="1"/>
  <c r="H400" i="2"/>
  <c r="I400" i="2"/>
  <c r="J399" i="2"/>
  <c r="K399" i="2" s="1"/>
  <c r="E401" i="2" l="1"/>
  <c r="G401" i="2" s="1"/>
  <c r="H401" i="2"/>
  <c r="I401" i="2"/>
  <c r="J400" i="2"/>
  <c r="K400" i="2" s="1"/>
  <c r="E402" i="2" l="1"/>
  <c r="G402" i="2" s="1"/>
  <c r="H402" i="2"/>
  <c r="I402" i="2"/>
  <c r="J401" i="2"/>
  <c r="K401" i="2" s="1"/>
  <c r="K402" i="2" l="1"/>
  <c r="H403" i="2"/>
  <c r="I403" i="2"/>
  <c r="J402" i="2"/>
  <c r="E403" i="2"/>
  <c r="G403" i="2" s="1"/>
  <c r="H404" i="2" l="1"/>
  <c r="I404" i="2"/>
  <c r="J403" i="2"/>
  <c r="F404" i="2"/>
  <c r="G404" i="2" s="1"/>
  <c r="K403" i="2"/>
  <c r="H405" i="2" l="1"/>
  <c r="I405" i="2"/>
  <c r="J404" i="2"/>
  <c r="K404" i="2" s="1"/>
  <c r="E405" i="2"/>
  <c r="G405" i="2" s="1"/>
  <c r="E406" i="2" l="1"/>
  <c r="G406" i="2" s="1"/>
  <c r="H406" i="2"/>
  <c r="I406" i="2"/>
  <c r="J405" i="2"/>
  <c r="K405" i="2"/>
  <c r="E407" i="2" l="1"/>
  <c r="G407" i="2" s="1"/>
  <c r="H407" i="2"/>
  <c r="I407" i="2"/>
  <c r="J406" i="2"/>
  <c r="K406" i="2" s="1"/>
  <c r="E408" i="2" l="1"/>
  <c r="G408" i="2" s="1"/>
  <c r="H408" i="2"/>
  <c r="I408" i="2"/>
  <c r="J407" i="2"/>
  <c r="K407" i="2" s="1"/>
  <c r="E409" i="2" l="1"/>
  <c r="G409" i="2" s="1"/>
  <c r="H409" i="2"/>
  <c r="I409" i="2"/>
  <c r="J408" i="2"/>
  <c r="K408" i="2" s="1"/>
  <c r="F410" i="2" l="1"/>
  <c r="G410" i="2" s="1"/>
  <c r="H410" i="2"/>
  <c r="I410" i="2"/>
  <c r="J409" i="2"/>
  <c r="K409" i="2" s="1"/>
  <c r="H411" i="2" l="1"/>
  <c r="I411" i="2"/>
  <c r="J410" i="2"/>
  <c r="E411" i="2"/>
  <c r="G411" i="2" s="1"/>
  <c r="K410" i="2"/>
  <c r="H412" i="2" l="1"/>
  <c r="I412" i="2"/>
  <c r="J411" i="2"/>
  <c r="F412" i="2"/>
  <c r="G412" i="2" s="1"/>
  <c r="K411" i="2"/>
  <c r="H413" i="2" l="1"/>
  <c r="I413" i="2"/>
  <c r="J412" i="2"/>
  <c r="F413" i="2"/>
  <c r="G413" i="2" s="1"/>
  <c r="K412" i="2"/>
  <c r="F414" i="2" l="1"/>
  <c r="G414" i="2" s="1"/>
  <c r="H414" i="2"/>
  <c r="I414" i="2"/>
  <c r="J413" i="2"/>
  <c r="K413" i="2"/>
  <c r="F415" i="2" l="1"/>
  <c r="G415" i="2" s="1"/>
  <c r="H415" i="2"/>
  <c r="I415" i="2"/>
  <c r="J414" i="2"/>
  <c r="K414" i="2" s="1"/>
  <c r="E416" i="2" l="1"/>
  <c r="G416" i="2" s="1"/>
  <c r="I416" i="2"/>
  <c r="H416" i="2"/>
  <c r="J415" i="2"/>
  <c r="K415" i="2" s="1"/>
  <c r="K416" i="2" l="1"/>
  <c r="E417" i="2"/>
  <c r="G417" i="2" s="1"/>
  <c r="H417" i="2"/>
  <c r="I417" i="2"/>
  <c r="J416" i="2"/>
  <c r="E418" i="2" l="1"/>
  <c r="G418" i="2" s="1"/>
  <c r="H418" i="2"/>
  <c r="I418" i="2"/>
  <c r="J417" i="2"/>
  <c r="K417" i="2" s="1"/>
  <c r="K418" i="2" l="1"/>
  <c r="H419" i="2"/>
  <c r="I419" i="2"/>
  <c r="J418" i="2"/>
  <c r="F419" i="2"/>
  <c r="G419" i="2" s="1"/>
  <c r="H420" i="2" l="1"/>
  <c r="I420" i="2"/>
  <c r="J419" i="2"/>
  <c r="K419" i="2" s="1"/>
  <c r="E420" i="2"/>
  <c r="G420" i="2" s="1"/>
  <c r="H421" i="2" l="1"/>
  <c r="I421" i="2"/>
  <c r="J420" i="2"/>
  <c r="E421" i="2"/>
  <c r="G421" i="2" s="1"/>
  <c r="K420" i="2"/>
  <c r="E422" i="2" l="1"/>
  <c r="G422" i="2" s="1"/>
  <c r="H422" i="2"/>
  <c r="I422" i="2"/>
  <c r="J421" i="2"/>
  <c r="K421" i="2"/>
  <c r="F423" i="2" l="1"/>
  <c r="G423" i="2" s="1"/>
  <c r="H423" i="2"/>
  <c r="I423" i="2"/>
  <c r="J422" i="2"/>
  <c r="K422" i="2" s="1"/>
  <c r="E424" i="2" l="1"/>
  <c r="G424" i="2" s="1"/>
  <c r="H424" i="2"/>
  <c r="I424" i="2"/>
  <c r="J423" i="2"/>
  <c r="K423" i="2" s="1"/>
  <c r="E425" i="2" l="1"/>
  <c r="G425" i="2" s="1"/>
  <c r="H425" i="2"/>
  <c r="I425" i="2"/>
  <c r="J424" i="2"/>
  <c r="K424" i="2" s="1"/>
  <c r="F426" i="2" l="1"/>
  <c r="G426" i="2" s="1"/>
  <c r="H426" i="2"/>
  <c r="I426" i="2"/>
  <c r="J425" i="2"/>
  <c r="K425" i="2"/>
  <c r="H427" i="2" l="1"/>
  <c r="I427" i="2"/>
  <c r="J426" i="2"/>
  <c r="K426" i="2" s="1"/>
  <c r="E427" i="2"/>
  <c r="G427" i="2" s="1"/>
  <c r="H428" i="2" l="1"/>
  <c r="I428" i="2"/>
  <c r="J427" i="2"/>
  <c r="F428" i="2"/>
  <c r="G428" i="2" s="1"/>
  <c r="K427" i="2"/>
  <c r="H429" i="2" l="1"/>
  <c r="I429" i="2"/>
  <c r="J428" i="2"/>
  <c r="K428" i="2" s="1"/>
  <c r="F429" i="2"/>
  <c r="G429" i="2" s="1"/>
  <c r="E430" i="2" l="1"/>
  <c r="G430" i="2" s="1"/>
  <c r="H430" i="2"/>
  <c r="I430" i="2"/>
  <c r="J429" i="2"/>
  <c r="K429" i="2"/>
  <c r="K430" i="2" l="1"/>
  <c r="E431" i="2"/>
  <c r="G431" i="2" s="1"/>
  <c r="H431" i="2"/>
  <c r="J430" i="2"/>
  <c r="I431" i="2"/>
  <c r="E432" i="2" l="1"/>
  <c r="G432" i="2" s="1"/>
  <c r="H432" i="2"/>
  <c r="I432" i="2"/>
  <c r="J431" i="2"/>
  <c r="K431" i="2" s="1"/>
  <c r="F433" i="2" l="1"/>
  <c r="G433" i="2" s="1"/>
  <c r="H433" i="2"/>
  <c r="I433" i="2"/>
  <c r="J432" i="2"/>
  <c r="K432" i="2" s="1"/>
  <c r="E434" i="2" l="1"/>
  <c r="G434" i="2" s="1"/>
  <c r="H434" i="2"/>
  <c r="I434" i="2"/>
  <c r="J433" i="2"/>
  <c r="K433" i="2" s="1"/>
  <c r="H435" i="2" l="1"/>
  <c r="I435" i="2"/>
  <c r="J434" i="2"/>
  <c r="K434" i="2" s="1"/>
  <c r="F435" i="2"/>
  <c r="G435" i="2" s="1"/>
  <c r="H436" i="2" l="1"/>
  <c r="I436" i="2"/>
  <c r="J435" i="2"/>
  <c r="K435" i="2" s="1"/>
  <c r="E436" i="2"/>
  <c r="G436" i="2" s="1"/>
  <c r="H437" i="2" l="1"/>
  <c r="I437" i="2"/>
  <c r="J436" i="2"/>
  <c r="K436" i="2" s="1"/>
  <c r="E437" i="2"/>
  <c r="G437" i="2" s="1"/>
  <c r="E438" i="2" l="1"/>
  <c r="G438" i="2" s="1"/>
  <c r="H438" i="2"/>
  <c r="J437" i="2"/>
  <c r="I438" i="2"/>
  <c r="K437" i="2"/>
  <c r="F439" i="2" l="1"/>
  <c r="G439" i="2" s="1"/>
  <c r="H439" i="2"/>
  <c r="I439" i="2"/>
  <c r="J438" i="2"/>
  <c r="K438" i="2" s="1"/>
  <c r="F440" i="2" l="1"/>
  <c r="G440" i="2" s="1"/>
  <c r="H440" i="2"/>
  <c r="I440" i="2"/>
  <c r="J439" i="2"/>
  <c r="K439" i="2" s="1"/>
  <c r="E441" i="2" l="1"/>
  <c r="G441" i="2" s="1"/>
  <c r="H441" i="2"/>
  <c r="I441" i="2"/>
  <c r="J440" i="2"/>
  <c r="K440" i="2" s="1"/>
  <c r="K441" i="2" l="1"/>
  <c r="E442" i="2"/>
  <c r="G442" i="2" s="1"/>
  <c r="H442" i="2"/>
  <c r="I442" i="2"/>
  <c r="J441" i="2"/>
  <c r="H443" i="2" l="1"/>
  <c r="I443" i="2"/>
  <c r="J442" i="2"/>
  <c r="F443" i="2"/>
  <c r="G443" i="2" s="1"/>
  <c r="K442" i="2"/>
  <c r="H444" i="2" l="1"/>
  <c r="I444" i="2"/>
  <c r="J443" i="2"/>
  <c r="F444" i="2"/>
  <c r="G444" i="2" s="1"/>
  <c r="K443" i="2"/>
  <c r="H445" i="2" l="1"/>
  <c r="I445" i="2"/>
  <c r="J444" i="2"/>
  <c r="E445" i="2"/>
  <c r="G445" i="2" s="1"/>
  <c r="K444" i="2"/>
  <c r="E446" i="2" l="1"/>
  <c r="G446" i="2" s="1"/>
  <c r="H446" i="2"/>
  <c r="I446" i="2"/>
  <c r="J445" i="2"/>
  <c r="K445" i="2"/>
  <c r="F447" i="2" l="1"/>
  <c r="G447" i="2" s="1"/>
  <c r="H447" i="2"/>
  <c r="I447" i="2"/>
  <c r="J446" i="2"/>
  <c r="K446" i="2" s="1"/>
  <c r="E448" i="2" l="1"/>
  <c r="G448" i="2" s="1"/>
  <c r="H448" i="2"/>
  <c r="I448" i="2"/>
  <c r="J447" i="2"/>
  <c r="K447" i="2" s="1"/>
  <c r="F449" i="2" l="1"/>
  <c r="G449" i="2" s="1"/>
  <c r="H449" i="2"/>
  <c r="I449" i="2"/>
  <c r="J448" i="2"/>
  <c r="K448" i="2" s="1"/>
  <c r="F450" i="2" l="1"/>
  <c r="G450" i="2" s="1"/>
  <c r="I450" i="2"/>
  <c r="H450" i="2"/>
  <c r="J449" i="2"/>
  <c r="K449" i="2"/>
  <c r="K450" i="2" l="1"/>
  <c r="I451" i="2"/>
  <c r="H451" i="2"/>
  <c r="J450" i="2"/>
  <c r="F451" i="2"/>
  <c r="G451" i="2" s="1"/>
  <c r="H452" i="2" l="1"/>
  <c r="I452" i="2"/>
  <c r="J451" i="2"/>
  <c r="E452" i="2"/>
  <c r="G452" i="2" s="1"/>
  <c r="K451" i="2"/>
  <c r="H453" i="2" l="1"/>
  <c r="I453" i="2"/>
  <c r="J452" i="2"/>
  <c r="E453" i="2"/>
  <c r="G453" i="2" s="1"/>
  <c r="K452" i="2"/>
  <c r="E454" i="2" l="1"/>
  <c r="G454" i="2" s="1"/>
  <c r="H454" i="2"/>
  <c r="I454" i="2"/>
  <c r="J453" i="2"/>
  <c r="K453" i="2"/>
  <c r="F455" i="2" l="1"/>
  <c r="G455" i="2" s="1"/>
  <c r="H455" i="2"/>
  <c r="I455" i="2"/>
  <c r="J454" i="2"/>
  <c r="K454" i="2" s="1"/>
  <c r="E456" i="2" l="1"/>
  <c r="G456" i="2" s="1"/>
  <c r="H456" i="2"/>
  <c r="I456" i="2"/>
  <c r="J455" i="2"/>
  <c r="K455" i="2" s="1"/>
  <c r="E457" i="2" l="1"/>
  <c r="G457" i="2" s="1"/>
  <c r="H457" i="2"/>
  <c r="I457" i="2"/>
  <c r="J456" i="2"/>
  <c r="K456" i="2" s="1"/>
  <c r="K457" i="2" l="1"/>
  <c r="F458" i="2"/>
  <c r="G458" i="2" s="1"/>
  <c r="H458" i="2"/>
  <c r="I458" i="2"/>
  <c r="J457" i="2"/>
  <c r="H459" i="2" l="1"/>
  <c r="I459" i="2"/>
  <c r="J458" i="2"/>
  <c r="K458" i="2" s="1"/>
  <c r="E459" i="2"/>
  <c r="G459" i="2" s="1"/>
  <c r="H460" i="2" l="1"/>
  <c r="I460" i="2"/>
  <c r="J459" i="2"/>
  <c r="K459" i="2" s="1"/>
  <c r="F460" i="2"/>
  <c r="G460" i="2" s="1"/>
  <c r="H461" i="2" l="1"/>
  <c r="I461" i="2"/>
  <c r="J460" i="2"/>
  <c r="E461" i="2"/>
  <c r="G461" i="2" s="1"/>
  <c r="K460" i="2"/>
  <c r="F462" i="2" l="1"/>
  <c r="G462" i="2" s="1"/>
  <c r="H462" i="2"/>
  <c r="I462" i="2"/>
  <c r="J461" i="2"/>
  <c r="K461" i="2"/>
  <c r="F463" i="2" l="1"/>
  <c r="G463" i="2" s="1"/>
  <c r="H463" i="2"/>
  <c r="J462" i="2"/>
  <c r="I463" i="2"/>
  <c r="K462" i="2"/>
  <c r="E464" i="2" l="1"/>
  <c r="G464" i="2" s="1"/>
  <c r="H464" i="2"/>
  <c r="I464" i="2"/>
  <c r="J463" i="2"/>
  <c r="K463" i="2" s="1"/>
  <c r="E465" i="2" l="1"/>
  <c r="G465" i="2" s="1"/>
  <c r="H465" i="2"/>
  <c r="I465" i="2"/>
  <c r="J464" i="2"/>
  <c r="K464" i="2" s="1"/>
  <c r="F466" i="2" l="1"/>
  <c r="G466" i="2" s="1"/>
  <c r="H466" i="2"/>
  <c r="I466" i="2"/>
  <c r="J465" i="2"/>
  <c r="K465" i="2" s="1"/>
  <c r="K466" i="2" l="1"/>
  <c r="H467" i="2"/>
  <c r="I467" i="2"/>
  <c r="J466" i="2"/>
  <c r="E467" i="2"/>
  <c r="G467" i="2" s="1"/>
  <c r="H468" i="2" l="1"/>
  <c r="I468" i="2"/>
  <c r="J467" i="2"/>
  <c r="F468" i="2"/>
  <c r="G468" i="2" s="1"/>
  <c r="K467" i="2"/>
  <c r="K468" i="2" l="1"/>
  <c r="H469" i="2"/>
  <c r="I469" i="2"/>
  <c r="J468" i="2"/>
  <c r="F469" i="2"/>
  <c r="G469" i="2" s="1"/>
  <c r="E470" i="2" l="1"/>
  <c r="G470" i="2" s="1"/>
  <c r="H470" i="2"/>
  <c r="I470" i="2"/>
  <c r="J469" i="2"/>
  <c r="K469" i="2"/>
  <c r="F471" i="2" l="1"/>
  <c r="G471" i="2" s="1"/>
  <c r="H471" i="2"/>
  <c r="I471" i="2"/>
  <c r="J470" i="2"/>
  <c r="K470" i="2" s="1"/>
  <c r="F472" i="2" l="1"/>
  <c r="G472" i="2" s="1"/>
  <c r="H472" i="2"/>
  <c r="I472" i="2"/>
  <c r="J471" i="2"/>
  <c r="K471" i="2" s="1"/>
  <c r="F473" i="2" l="1"/>
  <c r="G473" i="2" s="1"/>
  <c r="H473" i="2"/>
  <c r="I473" i="2"/>
  <c r="J472" i="2"/>
  <c r="K472" i="2" s="1"/>
  <c r="F474" i="2" l="1"/>
  <c r="G474" i="2" s="1"/>
  <c r="H474" i="2"/>
  <c r="I474" i="2"/>
  <c r="J473" i="2"/>
  <c r="K473" i="2" s="1"/>
  <c r="H475" i="2" l="1"/>
  <c r="I475" i="2"/>
  <c r="J474" i="2"/>
  <c r="K474" i="2" s="1"/>
  <c r="F475" i="2"/>
  <c r="G475" i="2" s="1"/>
  <c r="H476" i="2" l="1"/>
  <c r="I476" i="2"/>
  <c r="J475" i="2"/>
  <c r="K475" i="2" s="1"/>
  <c r="E476" i="2"/>
  <c r="G476" i="2" s="1"/>
  <c r="K476" i="2" l="1"/>
  <c r="H477" i="2"/>
  <c r="I477" i="2"/>
  <c r="J476" i="2"/>
  <c r="E477" i="2"/>
  <c r="G477" i="2" s="1"/>
  <c r="E478" i="2" l="1"/>
  <c r="G478" i="2" s="1"/>
  <c r="H478" i="2"/>
  <c r="I478" i="2"/>
  <c r="J477" i="2"/>
  <c r="K477" i="2"/>
  <c r="F479" i="2" l="1"/>
  <c r="G479" i="2" s="1"/>
  <c r="H479" i="2"/>
  <c r="I479" i="2"/>
  <c r="J478" i="2"/>
  <c r="K478" i="2" s="1"/>
  <c r="F480" i="2" l="1"/>
  <c r="G480" i="2" s="1"/>
  <c r="H480" i="2"/>
  <c r="I480" i="2"/>
  <c r="J479" i="2"/>
  <c r="K479" i="2" s="1"/>
  <c r="E481" i="2" l="1"/>
  <c r="G481" i="2" s="1"/>
  <c r="H481" i="2"/>
  <c r="I481" i="2"/>
  <c r="J480" i="2"/>
  <c r="K480" i="2" s="1"/>
  <c r="E482" i="2" l="1"/>
  <c r="G482" i="2" s="1"/>
  <c r="H482" i="2"/>
  <c r="I482" i="2"/>
  <c r="J481" i="2"/>
  <c r="K481" i="2" s="1"/>
  <c r="H483" i="2" l="1"/>
  <c r="I483" i="2"/>
  <c r="J482" i="2"/>
  <c r="K482" i="2" s="1"/>
  <c r="F483" i="2"/>
  <c r="G483" i="2" s="1"/>
  <c r="H484" i="2" l="1"/>
  <c r="I484" i="2"/>
  <c r="J483" i="2"/>
  <c r="K483" i="2" s="1"/>
  <c r="F484" i="2"/>
  <c r="G484" i="2" s="1"/>
  <c r="H485" i="2" l="1"/>
  <c r="I485" i="2"/>
  <c r="J484" i="2"/>
  <c r="F485" i="2"/>
  <c r="G485" i="2" s="1"/>
  <c r="K484" i="2"/>
  <c r="F486" i="2" l="1"/>
  <c r="G486" i="2" s="1"/>
  <c r="H486" i="2"/>
  <c r="I486" i="2"/>
  <c r="J485" i="2"/>
  <c r="K485" i="2"/>
  <c r="F487" i="2" l="1"/>
  <c r="G487" i="2" s="1"/>
  <c r="H487" i="2"/>
  <c r="I487" i="2"/>
  <c r="J486" i="2"/>
  <c r="K486" i="2" s="1"/>
  <c r="E488" i="2" l="1"/>
  <c r="G488" i="2" s="1"/>
  <c r="H488" i="2"/>
  <c r="I488" i="2"/>
  <c r="J487" i="2"/>
  <c r="K487" i="2" s="1"/>
  <c r="E489" i="2" l="1"/>
  <c r="G489" i="2" s="1"/>
  <c r="H489" i="2"/>
  <c r="I489" i="2"/>
  <c r="J488" i="2"/>
  <c r="K488" i="2"/>
  <c r="E490" i="2" l="1"/>
  <c r="G490" i="2" s="1"/>
  <c r="H490" i="2"/>
  <c r="I490" i="2"/>
  <c r="J489" i="2"/>
  <c r="K489" i="2" s="1"/>
  <c r="H491" i="2" l="1"/>
  <c r="I491" i="2"/>
  <c r="J490" i="2"/>
  <c r="K490" i="2" s="1"/>
  <c r="E491" i="2"/>
  <c r="G491" i="2" s="1"/>
  <c r="H492" i="2" l="1"/>
  <c r="I492" i="2"/>
  <c r="J491" i="2"/>
  <c r="E492" i="2"/>
  <c r="G492" i="2" s="1"/>
  <c r="K491" i="2"/>
  <c r="H493" i="2" l="1"/>
  <c r="I493" i="2"/>
  <c r="J492" i="2"/>
  <c r="E493" i="2"/>
  <c r="G493" i="2" s="1"/>
  <c r="K492" i="2"/>
  <c r="E494" i="2" l="1"/>
  <c r="G494" i="2" s="1"/>
  <c r="H494" i="2"/>
  <c r="I494" i="2"/>
  <c r="J493" i="2"/>
  <c r="K493" i="2"/>
  <c r="F495" i="2" l="1"/>
  <c r="G495" i="2" s="1"/>
  <c r="H495" i="2"/>
  <c r="J494" i="2"/>
  <c r="K494" i="2" s="1"/>
  <c r="I495" i="2"/>
  <c r="F496" i="2" l="1"/>
  <c r="G496" i="2" s="1"/>
  <c r="H496" i="2"/>
  <c r="I496" i="2"/>
  <c r="J495" i="2"/>
  <c r="K495" i="2" s="1"/>
  <c r="E497" i="2" l="1"/>
  <c r="G497" i="2" s="1"/>
  <c r="H497" i="2"/>
  <c r="I497" i="2"/>
  <c r="J496" i="2"/>
  <c r="K496" i="2" s="1"/>
  <c r="E498" i="2" l="1"/>
  <c r="G498" i="2" s="1"/>
  <c r="H498" i="2"/>
  <c r="I498" i="2"/>
  <c r="J497" i="2"/>
  <c r="K497" i="2" s="1"/>
  <c r="K498" i="2" l="1"/>
  <c r="H499" i="2"/>
  <c r="I499" i="2"/>
  <c r="J498" i="2"/>
  <c r="F499" i="2"/>
  <c r="G499" i="2" s="1"/>
  <c r="H500" i="2" l="1"/>
  <c r="I500" i="2"/>
  <c r="J499" i="2"/>
  <c r="K499" i="2" s="1"/>
  <c r="E500" i="2"/>
  <c r="G500" i="2" s="1"/>
  <c r="H501" i="2" l="1"/>
  <c r="I501" i="2"/>
  <c r="J500" i="2"/>
  <c r="F501" i="2"/>
  <c r="G501" i="2" s="1"/>
  <c r="K500" i="2"/>
  <c r="F502" i="2" l="1"/>
  <c r="G502" i="2" s="1"/>
  <c r="H502" i="2"/>
  <c r="I502" i="2"/>
  <c r="J501" i="2"/>
  <c r="K501" i="2"/>
  <c r="F503" i="2" l="1"/>
  <c r="G503" i="2" s="1"/>
  <c r="H503" i="2"/>
  <c r="I503" i="2"/>
  <c r="J502" i="2"/>
  <c r="K502" i="2" s="1"/>
  <c r="E504" i="2" l="1"/>
  <c r="G504" i="2" s="1"/>
  <c r="H504" i="2"/>
  <c r="I504" i="2"/>
  <c r="J503" i="2"/>
  <c r="K503" i="2" s="1"/>
  <c r="F505" i="2" l="1"/>
  <c r="G505" i="2" s="1"/>
  <c r="H505" i="2"/>
  <c r="I505" i="2"/>
  <c r="J504" i="2"/>
  <c r="K504" i="2" s="1"/>
  <c r="F506" i="2" l="1"/>
  <c r="G506" i="2" s="1"/>
  <c r="H506" i="2"/>
  <c r="I506" i="2"/>
  <c r="J505" i="2"/>
  <c r="K505" i="2" s="1"/>
  <c r="K506" i="2" l="1"/>
  <c r="H507" i="2"/>
  <c r="I507" i="2"/>
  <c r="J506" i="2"/>
  <c r="F507" i="2"/>
  <c r="G507" i="2" s="1"/>
  <c r="H508" i="2" l="1"/>
  <c r="I508" i="2"/>
  <c r="J507" i="2"/>
  <c r="K507" i="2" s="1"/>
  <c r="E508" i="2"/>
  <c r="G508" i="2" s="1"/>
  <c r="H509" i="2" l="1"/>
  <c r="I509" i="2"/>
  <c r="J508" i="2"/>
  <c r="F509" i="2"/>
  <c r="G509" i="2" s="1"/>
  <c r="K508" i="2"/>
  <c r="F510" i="2" l="1"/>
  <c r="G510" i="2" s="1"/>
  <c r="H510" i="2"/>
  <c r="I510" i="2"/>
  <c r="J509" i="2"/>
  <c r="K509" i="2" s="1"/>
  <c r="E511" i="2" l="1"/>
  <c r="G511" i="2" s="1"/>
  <c r="H511" i="2"/>
  <c r="I511" i="2"/>
  <c r="J510" i="2"/>
  <c r="K510" i="2"/>
  <c r="E512" i="2" l="1"/>
  <c r="G512" i="2" s="1"/>
  <c r="H512" i="2"/>
  <c r="I512" i="2"/>
  <c r="J511" i="2"/>
  <c r="K511" i="2" s="1"/>
  <c r="F513" i="2" l="1"/>
  <c r="G513" i="2" s="1"/>
  <c r="H513" i="2"/>
  <c r="I513" i="2"/>
  <c r="J512" i="2"/>
  <c r="K512" i="2" s="1"/>
  <c r="F514" i="2" l="1"/>
  <c r="G514" i="2" s="1"/>
  <c r="H514" i="2"/>
  <c r="I514" i="2"/>
  <c r="J513" i="2"/>
  <c r="K513" i="2"/>
  <c r="H515" i="2" l="1"/>
  <c r="I515" i="2"/>
  <c r="J514" i="2"/>
  <c r="K514" i="2" s="1"/>
  <c r="E515" i="2"/>
  <c r="G515" i="2" s="1"/>
  <c r="H516" i="2" l="1"/>
  <c r="I516" i="2"/>
  <c r="J515" i="2"/>
  <c r="F516" i="2"/>
  <c r="G516" i="2" s="1"/>
  <c r="K515" i="2"/>
  <c r="H517" i="2" l="1"/>
  <c r="I517" i="2"/>
  <c r="J516" i="2"/>
  <c r="E517" i="2"/>
  <c r="G517" i="2" s="1"/>
  <c r="K516" i="2"/>
  <c r="F518" i="2" l="1"/>
  <c r="G518" i="2" s="1"/>
  <c r="H518" i="2"/>
  <c r="I518" i="2"/>
  <c r="J517" i="2"/>
  <c r="K517" i="2"/>
  <c r="F519" i="2" l="1"/>
  <c r="G519" i="2" s="1"/>
  <c r="H519" i="2"/>
  <c r="I519" i="2"/>
  <c r="J518" i="2"/>
  <c r="K518" i="2" s="1"/>
  <c r="F520" i="2" l="1"/>
  <c r="G520" i="2" s="1"/>
  <c r="H520" i="2"/>
  <c r="I520" i="2"/>
  <c r="J519" i="2"/>
  <c r="K519" i="2" s="1"/>
  <c r="F521" i="2" l="1"/>
  <c r="G521" i="2" s="1"/>
  <c r="H521" i="2"/>
  <c r="I521" i="2"/>
  <c r="J520" i="2"/>
  <c r="K520" i="2" s="1"/>
  <c r="E522" i="2" l="1"/>
  <c r="G522" i="2" s="1"/>
  <c r="H522" i="2"/>
  <c r="I522" i="2"/>
  <c r="J521" i="2"/>
  <c r="K521" i="2" s="1"/>
  <c r="H523" i="2" l="1"/>
  <c r="I523" i="2"/>
  <c r="J522" i="2"/>
  <c r="K522" i="2" s="1"/>
  <c r="E523" i="2"/>
  <c r="G523" i="2" s="1"/>
  <c r="H524" i="2" l="1"/>
  <c r="I524" i="2"/>
  <c r="J523" i="2"/>
  <c r="K523" i="2" s="1"/>
  <c r="E524" i="2"/>
  <c r="G524" i="2" s="1"/>
  <c r="H525" i="2" l="1"/>
  <c r="I525" i="2"/>
  <c r="J524" i="2"/>
  <c r="K524" i="2" s="1"/>
  <c r="E525" i="2"/>
  <c r="G525" i="2" s="1"/>
  <c r="F526" i="2" l="1"/>
  <c r="G526" i="2" s="1"/>
  <c r="H526" i="2"/>
  <c r="I526" i="2"/>
  <c r="J525" i="2"/>
  <c r="K525" i="2"/>
  <c r="F527" i="2" l="1"/>
  <c r="G527" i="2" s="1"/>
  <c r="H527" i="2"/>
  <c r="J526" i="2"/>
  <c r="K526" i="2" s="1"/>
  <c r="I527" i="2"/>
  <c r="F528" i="2" l="1"/>
  <c r="G528" i="2" s="1"/>
  <c r="H528" i="2"/>
  <c r="I528" i="2"/>
  <c r="J527" i="2"/>
  <c r="K527" i="2" s="1"/>
  <c r="E529" i="2" l="1"/>
  <c r="G529" i="2" s="1"/>
  <c r="H529" i="2"/>
  <c r="I529" i="2"/>
  <c r="J528" i="2"/>
  <c r="K528" i="2" s="1"/>
  <c r="E530" i="2" l="1"/>
  <c r="G530" i="2" s="1"/>
  <c r="H530" i="2"/>
  <c r="I530" i="2"/>
  <c r="J529" i="2"/>
  <c r="K529" i="2" s="1"/>
  <c r="H531" i="2" l="1"/>
  <c r="I531" i="2"/>
  <c r="J530" i="2"/>
  <c r="K530" i="2" s="1"/>
  <c r="E531" i="2"/>
  <c r="G531" i="2" s="1"/>
  <c r="H532" i="2" l="1"/>
  <c r="I532" i="2"/>
  <c r="J531" i="2"/>
  <c r="E532" i="2"/>
  <c r="G532" i="2" s="1"/>
  <c r="K531" i="2"/>
  <c r="H533" i="2" l="1"/>
  <c r="I533" i="2"/>
  <c r="J532" i="2"/>
  <c r="E533" i="2"/>
  <c r="G533" i="2" s="1"/>
  <c r="K532" i="2"/>
  <c r="F534" i="2" l="1"/>
  <c r="G534" i="2" s="1"/>
  <c r="H534" i="2"/>
  <c r="I534" i="2"/>
  <c r="J533" i="2"/>
  <c r="K533" i="2"/>
  <c r="E535" i="2" l="1"/>
  <c r="G535" i="2" s="1"/>
  <c r="H535" i="2"/>
  <c r="I535" i="2"/>
  <c r="J534" i="2"/>
  <c r="K534" i="2" s="1"/>
  <c r="F536" i="2" l="1"/>
  <c r="G536" i="2" s="1"/>
  <c r="H536" i="2"/>
  <c r="I536" i="2"/>
  <c r="J535" i="2"/>
  <c r="K535" i="2" s="1"/>
  <c r="E537" i="2" l="1"/>
  <c r="G537" i="2" s="1"/>
  <c r="H537" i="2"/>
  <c r="I537" i="2"/>
  <c r="J536" i="2"/>
  <c r="K536" i="2" s="1"/>
  <c r="F538" i="2" l="1"/>
  <c r="G538" i="2" s="1"/>
  <c r="H538" i="2"/>
  <c r="I538" i="2"/>
  <c r="J537" i="2"/>
  <c r="K537" i="2" s="1"/>
  <c r="H539" i="2" l="1"/>
  <c r="I539" i="2"/>
  <c r="J538" i="2"/>
  <c r="K538" i="2" s="1"/>
  <c r="F539" i="2"/>
  <c r="G539" i="2" s="1"/>
  <c r="H540" i="2" l="1"/>
  <c r="I540" i="2"/>
  <c r="J539" i="2"/>
  <c r="F540" i="2"/>
  <c r="G540" i="2" s="1"/>
  <c r="K539" i="2"/>
  <c r="H541" i="2" l="1"/>
  <c r="I541" i="2"/>
  <c r="J540" i="2"/>
  <c r="E541" i="2"/>
  <c r="G541" i="2" s="1"/>
  <c r="K540" i="2"/>
  <c r="E542" i="2" l="1"/>
  <c r="G542" i="2" s="1"/>
  <c r="H542" i="2"/>
  <c r="I542" i="2"/>
  <c r="J541" i="2"/>
  <c r="K541" i="2"/>
  <c r="K542" i="2" l="1"/>
  <c r="E543" i="2"/>
  <c r="G543" i="2" s="1"/>
  <c r="H543" i="2"/>
  <c r="I543" i="2"/>
  <c r="J542" i="2"/>
  <c r="F544" i="2" l="1"/>
  <c r="G544" i="2" s="1"/>
  <c r="H544" i="2"/>
  <c r="I544" i="2"/>
  <c r="J543" i="2"/>
  <c r="K543" i="2" s="1"/>
  <c r="E545" i="2" l="1"/>
  <c r="G545" i="2" s="1"/>
  <c r="H545" i="2"/>
  <c r="I545" i="2"/>
  <c r="J544" i="2"/>
  <c r="K544" i="2" s="1"/>
  <c r="E546" i="2" l="1"/>
  <c r="G546" i="2" s="1"/>
  <c r="I546" i="2"/>
  <c r="H546" i="2"/>
  <c r="J545" i="2"/>
  <c r="K545" i="2"/>
  <c r="I547" i="2" l="1"/>
  <c r="H547" i="2"/>
  <c r="J546" i="2"/>
  <c r="K546" i="2" s="1"/>
  <c r="F547" i="2"/>
  <c r="G547" i="2" s="1"/>
  <c r="H548" i="2" l="1"/>
  <c r="I548" i="2"/>
  <c r="J547" i="2"/>
  <c r="E548" i="2"/>
  <c r="G548" i="2" s="1"/>
  <c r="K547" i="2"/>
  <c r="H549" i="2" l="1"/>
  <c r="I549" i="2"/>
  <c r="J548" i="2"/>
  <c r="F549" i="2"/>
  <c r="G549" i="2" s="1"/>
  <c r="K548" i="2"/>
  <c r="F550" i="2" l="1"/>
  <c r="G550" i="2" s="1"/>
  <c r="H550" i="2"/>
  <c r="I550" i="2"/>
  <c r="J549" i="2"/>
  <c r="K549" i="2"/>
  <c r="E551" i="2" l="1"/>
  <c r="G551" i="2" s="1"/>
  <c r="H551" i="2"/>
  <c r="I551" i="2"/>
  <c r="J550" i="2"/>
  <c r="K550" i="2" s="1"/>
  <c r="E552" i="2" l="1"/>
  <c r="G552" i="2" s="1"/>
  <c r="H552" i="2"/>
  <c r="I552" i="2"/>
  <c r="J551" i="2"/>
  <c r="K551" i="2" s="1"/>
  <c r="F553" i="2" l="1"/>
  <c r="G553" i="2" s="1"/>
  <c r="H553" i="2"/>
  <c r="I553" i="2"/>
  <c r="J552" i="2"/>
  <c r="K552" i="2" s="1"/>
  <c r="E554" i="2" l="1"/>
  <c r="G554" i="2" s="1"/>
  <c r="H554" i="2"/>
  <c r="I554" i="2"/>
  <c r="J553" i="2"/>
  <c r="K553" i="2"/>
  <c r="H555" i="2" l="1"/>
  <c r="I555" i="2"/>
  <c r="J554" i="2"/>
  <c r="K554" i="2" s="1"/>
  <c r="F555" i="2"/>
  <c r="G555" i="2" s="1"/>
  <c r="H556" i="2" l="1"/>
  <c r="I556" i="2"/>
  <c r="J555" i="2"/>
  <c r="K555" i="2" s="1"/>
  <c r="F556" i="2"/>
  <c r="G556" i="2" s="1"/>
  <c r="K556" i="2" l="1"/>
  <c r="H557" i="2"/>
  <c r="I557" i="2"/>
  <c r="J556" i="2"/>
  <c r="F557" i="2"/>
  <c r="G557" i="2" s="1"/>
  <c r="E558" i="2" l="1"/>
  <c r="G558" i="2" s="1"/>
  <c r="H558" i="2"/>
  <c r="I558" i="2"/>
  <c r="J557" i="2"/>
  <c r="K557" i="2"/>
  <c r="E559" i="2" l="1"/>
  <c r="G559" i="2" s="1"/>
  <c r="H559" i="2"/>
  <c r="J558" i="2"/>
  <c r="K558" i="2" s="1"/>
  <c r="I559" i="2"/>
  <c r="K559" i="2" l="1"/>
  <c r="F560" i="2"/>
  <c r="G560" i="2" s="1"/>
  <c r="H560" i="2"/>
  <c r="I560" i="2"/>
  <c r="J559" i="2"/>
  <c r="F561" i="2" l="1"/>
  <c r="G561" i="2" s="1"/>
  <c r="H561" i="2"/>
  <c r="I561" i="2"/>
  <c r="J560" i="2"/>
  <c r="K560" i="2" s="1"/>
  <c r="F562" i="2" l="1"/>
  <c r="G562" i="2" s="1"/>
  <c r="H562" i="2"/>
  <c r="I562" i="2"/>
  <c r="J561" i="2"/>
  <c r="K561" i="2" s="1"/>
  <c r="H563" i="2" l="1"/>
  <c r="I563" i="2"/>
  <c r="J562" i="2"/>
  <c r="K562" i="2" s="1"/>
  <c r="F563" i="2"/>
  <c r="G563" i="2" s="1"/>
  <c r="H564" i="2" l="1"/>
  <c r="I564" i="2"/>
  <c r="J563" i="2"/>
  <c r="E564" i="2"/>
  <c r="G564" i="2" s="1"/>
  <c r="K563" i="2"/>
  <c r="H565" i="2" l="1"/>
  <c r="I565" i="2"/>
  <c r="J564" i="2"/>
  <c r="E565" i="2"/>
  <c r="G565" i="2" s="1"/>
  <c r="K564" i="2"/>
  <c r="F566" i="2" l="1"/>
  <c r="G566" i="2" s="1"/>
  <c r="H566" i="2"/>
  <c r="J565" i="2"/>
  <c r="I566" i="2"/>
  <c r="K565" i="2"/>
  <c r="F567" i="2" l="1"/>
  <c r="G567" i="2" s="1"/>
  <c r="H567" i="2"/>
  <c r="I567" i="2"/>
  <c r="J566" i="2"/>
  <c r="K566" i="2" s="1"/>
  <c r="E568" i="2" l="1"/>
  <c r="G568" i="2" s="1"/>
  <c r="H568" i="2"/>
  <c r="I568" i="2"/>
  <c r="J567" i="2"/>
  <c r="K567" i="2" s="1"/>
  <c r="F569" i="2" l="1"/>
  <c r="G569" i="2" s="1"/>
  <c r="H569" i="2"/>
  <c r="I569" i="2"/>
  <c r="J568" i="2"/>
  <c r="K568" i="2" s="1"/>
  <c r="E570" i="2" l="1"/>
  <c r="G570" i="2" s="1"/>
  <c r="H570" i="2"/>
  <c r="I570" i="2"/>
  <c r="J569" i="2"/>
  <c r="K569" i="2" s="1"/>
  <c r="H571" i="2" l="1"/>
  <c r="I571" i="2"/>
  <c r="J570" i="2"/>
  <c r="F571" i="2"/>
  <c r="G571" i="2" s="1"/>
  <c r="K570" i="2"/>
  <c r="H572" i="2" l="1"/>
  <c r="I572" i="2"/>
  <c r="J571" i="2"/>
  <c r="E572" i="2"/>
  <c r="G572" i="2" s="1"/>
  <c r="K571" i="2"/>
  <c r="H573" i="2" l="1"/>
  <c r="I573" i="2"/>
  <c r="J572" i="2"/>
  <c r="F573" i="2"/>
  <c r="G573" i="2" s="1"/>
  <c r="K572" i="2"/>
  <c r="F574" i="2" l="1"/>
  <c r="G574" i="2" s="1"/>
  <c r="H574" i="2"/>
  <c r="I574" i="2"/>
  <c r="J573" i="2"/>
  <c r="K573" i="2"/>
  <c r="K574" i="2" l="1"/>
  <c r="E575" i="2"/>
  <c r="G575" i="2" s="1"/>
  <c r="H575" i="2"/>
  <c r="I575" i="2"/>
  <c r="J574" i="2"/>
  <c r="F576" i="2" l="1"/>
  <c r="G576" i="2" s="1"/>
  <c r="H576" i="2"/>
  <c r="I576" i="2"/>
  <c r="J575" i="2"/>
  <c r="K575" i="2" s="1"/>
  <c r="F577" i="2" l="1"/>
  <c r="G577" i="2" s="1"/>
  <c r="H577" i="2"/>
  <c r="I577" i="2"/>
  <c r="J576" i="2"/>
  <c r="K576" i="2" s="1"/>
  <c r="F578" i="2" l="1"/>
  <c r="G578" i="2" s="1"/>
  <c r="I578" i="2"/>
  <c r="H578" i="2"/>
  <c r="J577" i="2"/>
  <c r="K577" i="2" s="1"/>
  <c r="I579" i="2" l="1"/>
  <c r="H579" i="2"/>
  <c r="J578" i="2"/>
  <c r="K578" i="2" s="1"/>
  <c r="F579" i="2"/>
  <c r="G579" i="2" s="1"/>
  <c r="H580" i="2" l="1"/>
  <c r="I580" i="2"/>
  <c r="J579" i="2"/>
  <c r="E580" i="2"/>
  <c r="G580" i="2" s="1"/>
  <c r="K579" i="2"/>
  <c r="H581" i="2" l="1"/>
  <c r="I581" i="2"/>
  <c r="J580" i="2"/>
  <c r="E581" i="2"/>
  <c r="G581" i="2" s="1"/>
  <c r="K580" i="2"/>
  <c r="F582" i="2" l="1"/>
  <c r="G582" i="2" s="1"/>
  <c r="H582" i="2"/>
  <c r="I582" i="2"/>
  <c r="J581" i="2"/>
  <c r="K581" i="2"/>
  <c r="E583" i="2" l="1"/>
  <c r="G583" i="2" s="1"/>
  <c r="H583" i="2"/>
  <c r="I583" i="2"/>
  <c r="J582" i="2"/>
  <c r="K582" i="2" s="1"/>
  <c r="K583" i="2" l="1"/>
  <c r="E584" i="2"/>
  <c r="G584" i="2" s="1"/>
  <c r="H584" i="2"/>
  <c r="I584" i="2"/>
  <c r="J583" i="2"/>
  <c r="E585" i="2" l="1"/>
  <c r="G585" i="2" s="1"/>
  <c r="H585" i="2"/>
  <c r="I585" i="2"/>
  <c r="J584" i="2"/>
  <c r="K584" i="2" s="1"/>
  <c r="E586" i="2" l="1"/>
  <c r="G586" i="2" s="1"/>
  <c r="H586" i="2"/>
  <c r="I586" i="2"/>
  <c r="J585" i="2"/>
  <c r="K585" i="2" s="1"/>
  <c r="H587" i="2" l="1"/>
  <c r="I587" i="2"/>
  <c r="J586" i="2"/>
  <c r="F587" i="2"/>
  <c r="G587" i="2" s="1"/>
  <c r="K586" i="2"/>
  <c r="H588" i="2" l="1"/>
  <c r="I588" i="2"/>
  <c r="J587" i="2"/>
  <c r="F588" i="2"/>
  <c r="G588" i="2" s="1"/>
  <c r="K587" i="2"/>
  <c r="H589" i="2" l="1"/>
  <c r="I589" i="2"/>
  <c r="J588" i="2"/>
  <c r="F589" i="2"/>
  <c r="G589" i="2" s="1"/>
  <c r="K588" i="2"/>
  <c r="F590" i="2" l="1"/>
  <c r="G590" i="2" s="1"/>
  <c r="H590" i="2"/>
  <c r="I590" i="2"/>
  <c r="J589" i="2"/>
  <c r="K589" i="2"/>
  <c r="E591" i="2" l="1"/>
  <c r="G591" i="2" s="1"/>
  <c r="H591" i="2"/>
  <c r="J590" i="2"/>
  <c r="K590" i="2" s="1"/>
  <c r="I591" i="2"/>
  <c r="E592" i="2" l="1"/>
  <c r="G592" i="2" s="1"/>
  <c r="H592" i="2"/>
  <c r="I592" i="2"/>
  <c r="J591" i="2"/>
  <c r="K591" i="2" s="1"/>
  <c r="E593" i="2" l="1"/>
  <c r="G593" i="2" s="1"/>
  <c r="H593" i="2"/>
  <c r="I593" i="2"/>
  <c r="J592" i="2"/>
  <c r="K592" i="2" s="1"/>
  <c r="F594" i="2" l="1"/>
  <c r="G594" i="2" s="1"/>
  <c r="H594" i="2"/>
  <c r="I594" i="2"/>
  <c r="J593" i="2"/>
  <c r="K593" i="2" s="1"/>
  <c r="H595" i="2" l="1"/>
  <c r="I595" i="2"/>
  <c r="J594" i="2"/>
  <c r="K594" i="2" s="1"/>
  <c r="F595" i="2"/>
  <c r="G595" i="2" s="1"/>
  <c r="H596" i="2" l="1"/>
  <c r="I596" i="2"/>
  <c r="J595" i="2"/>
  <c r="E596" i="2"/>
  <c r="G596" i="2" s="1"/>
  <c r="K595" i="2"/>
  <c r="H597" i="2" l="1"/>
  <c r="I597" i="2"/>
  <c r="J596" i="2"/>
  <c r="E597" i="2"/>
  <c r="G597" i="2" s="1"/>
  <c r="K596" i="2"/>
  <c r="E598" i="2" l="1"/>
  <c r="G598" i="2" s="1"/>
  <c r="H598" i="2"/>
  <c r="I598" i="2"/>
  <c r="J597" i="2"/>
  <c r="K597" i="2"/>
  <c r="F599" i="2" l="1"/>
  <c r="G599" i="2" s="1"/>
  <c r="H599" i="2"/>
  <c r="I599" i="2"/>
  <c r="J598" i="2"/>
  <c r="K598" i="2" s="1"/>
  <c r="F600" i="2" l="1"/>
  <c r="G600" i="2" s="1"/>
  <c r="H600" i="2"/>
  <c r="I600" i="2"/>
  <c r="J599" i="2"/>
  <c r="K599" i="2" s="1"/>
  <c r="F601" i="2" l="1"/>
  <c r="G601" i="2" s="1"/>
  <c r="H601" i="2"/>
  <c r="I601" i="2"/>
  <c r="J600" i="2"/>
  <c r="K600" i="2"/>
  <c r="E602" i="2" l="1"/>
  <c r="G602" i="2" s="1"/>
  <c r="H602" i="2"/>
  <c r="I602" i="2"/>
  <c r="J601" i="2"/>
  <c r="K601" i="2" s="1"/>
  <c r="H603" i="2" l="1"/>
  <c r="I603" i="2"/>
  <c r="J602" i="2"/>
  <c r="F603" i="2"/>
  <c r="G603" i="2" s="1"/>
  <c r="K602" i="2"/>
  <c r="H604" i="2" l="1"/>
  <c r="I604" i="2"/>
  <c r="J603" i="2"/>
  <c r="E604" i="2"/>
  <c r="G604" i="2" s="1"/>
  <c r="K603" i="2"/>
  <c r="H605" i="2" l="1"/>
  <c r="I605" i="2"/>
  <c r="J604" i="2"/>
  <c r="E605" i="2"/>
  <c r="G605" i="2" s="1"/>
  <c r="K604" i="2"/>
  <c r="E606" i="2" l="1"/>
  <c r="G606" i="2" s="1"/>
  <c r="H606" i="2"/>
  <c r="I606" i="2"/>
  <c r="J605" i="2"/>
  <c r="K605" i="2"/>
  <c r="E607" i="2" l="1"/>
  <c r="G607" i="2" s="1"/>
  <c r="H607" i="2"/>
  <c r="I607" i="2"/>
  <c r="J606" i="2"/>
  <c r="K606" i="2" s="1"/>
  <c r="K607" i="2" l="1"/>
  <c r="F608" i="2"/>
  <c r="G608" i="2" s="1"/>
  <c r="H608" i="2"/>
  <c r="I608" i="2"/>
  <c r="J607" i="2"/>
  <c r="E609" i="2" l="1"/>
  <c r="G609" i="2" s="1"/>
  <c r="H609" i="2"/>
  <c r="I609" i="2"/>
  <c r="J608" i="2"/>
  <c r="K608" i="2" s="1"/>
  <c r="F610" i="2" l="1"/>
  <c r="G610" i="2" s="1"/>
  <c r="H610" i="2"/>
  <c r="I610" i="2"/>
  <c r="J609" i="2"/>
  <c r="K609" i="2" s="1"/>
  <c r="H611" i="2" l="1"/>
  <c r="I611" i="2"/>
  <c r="J610" i="2"/>
  <c r="E611" i="2"/>
  <c r="G611" i="2" s="1"/>
  <c r="K610" i="2"/>
  <c r="H612" i="2" l="1"/>
  <c r="I612" i="2"/>
  <c r="J611" i="2"/>
  <c r="F612" i="2"/>
  <c r="G612" i="2" s="1"/>
  <c r="K611" i="2"/>
  <c r="H613" i="2" l="1"/>
  <c r="I613" i="2"/>
  <c r="J612" i="2"/>
  <c r="K612" i="2" s="1"/>
  <c r="E613" i="2"/>
  <c r="G613" i="2" s="1"/>
  <c r="F614" i="2" l="1"/>
  <c r="G614" i="2" s="1"/>
  <c r="H614" i="2"/>
  <c r="I614" i="2"/>
  <c r="J613" i="2"/>
  <c r="K613" i="2"/>
  <c r="E615" i="2" l="1"/>
  <c r="G615" i="2" s="1"/>
  <c r="H615" i="2"/>
  <c r="I615" i="2"/>
  <c r="J614" i="2"/>
  <c r="K614" i="2" s="1"/>
  <c r="E616" i="2" l="1"/>
  <c r="G616" i="2" s="1"/>
  <c r="H616" i="2"/>
  <c r="I616" i="2"/>
  <c r="J615" i="2"/>
  <c r="K615" i="2"/>
  <c r="E617" i="2" l="1"/>
  <c r="G617" i="2" s="1"/>
  <c r="H617" i="2"/>
  <c r="I617" i="2"/>
  <c r="J616" i="2"/>
  <c r="K616" i="2" s="1"/>
  <c r="F618" i="2" l="1"/>
  <c r="G618" i="2" s="1"/>
  <c r="H618" i="2"/>
  <c r="I618" i="2"/>
  <c r="J617" i="2"/>
  <c r="K617" i="2" s="1"/>
  <c r="H619" i="2" l="1"/>
  <c r="I619" i="2"/>
  <c r="J618" i="2"/>
  <c r="K618" i="2" s="1"/>
  <c r="E619" i="2"/>
  <c r="G619" i="2" s="1"/>
  <c r="H620" i="2" l="1"/>
  <c r="I620" i="2"/>
  <c r="J619" i="2"/>
  <c r="K619" i="2" s="1"/>
  <c r="E620" i="2"/>
  <c r="G620" i="2" s="1"/>
  <c r="H621" i="2" l="1"/>
  <c r="I621" i="2"/>
  <c r="J620" i="2"/>
  <c r="K620" i="2" s="1"/>
  <c r="E621" i="2"/>
  <c r="G621" i="2" s="1"/>
  <c r="E622" i="2" l="1"/>
  <c r="G622" i="2" s="1"/>
  <c r="H622" i="2"/>
  <c r="I622" i="2"/>
  <c r="J621" i="2"/>
  <c r="K621" i="2" s="1"/>
  <c r="E623" i="2" l="1"/>
  <c r="G623" i="2" s="1"/>
  <c r="H623" i="2"/>
  <c r="J622" i="2"/>
  <c r="K622" i="2" s="1"/>
  <c r="I623" i="2"/>
  <c r="K623" i="2" l="1"/>
  <c r="E624" i="2"/>
  <c r="G624" i="2" s="1"/>
  <c r="H624" i="2"/>
  <c r="I624" i="2"/>
  <c r="J623" i="2"/>
  <c r="F625" i="2" l="1"/>
  <c r="G625" i="2" s="1"/>
  <c r="H625" i="2"/>
  <c r="I625" i="2"/>
  <c r="J624" i="2"/>
  <c r="K624" i="2" s="1"/>
  <c r="E626" i="2" l="1"/>
  <c r="G626" i="2" s="1"/>
  <c r="H626" i="2"/>
  <c r="I626" i="2"/>
  <c r="J625" i="2"/>
  <c r="K625" i="2" s="1"/>
  <c r="H627" i="2" l="1"/>
  <c r="I627" i="2"/>
  <c r="J626" i="2"/>
  <c r="K626" i="2" s="1"/>
  <c r="E627" i="2"/>
  <c r="G627" i="2" s="1"/>
  <c r="H628" i="2" l="1"/>
  <c r="I628" i="2"/>
  <c r="J627" i="2"/>
  <c r="K627" i="2" s="1"/>
  <c r="E628" i="2"/>
  <c r="G628" i="2" s="1"/>
  <c r="H629" i="2" l="1"/>
  <c r="I629" i="2"/>
  <c r="J628" i="2"/>
  <c r="F629" i="2"/>
  <c r="G629" i="2" s="1"/>
  <c r="K628" i="2"/>
  <c r="F630" i="2" l="1"/>
  <c r="G630" i="2" s="1"/>
  <c r="H630" i="2"/>
  <c r="I630" i="2"/>
  <c r="J629" i="2"/>
  <c r="K629" i="2"/>
  <c r="E631" i="2" l="1"/>
  <c r="G631" i="2" s="1"/>
  <c r="H631" i="2"/>
  <c r="I631" i="2"/>
  <c r="J630" i="2"/>
  <c r="K630" i="2" s="1"/>
  <c r="E632" i="2" l="1"/>
  <c r="G632" i="2" s="1"/>
  <c r="H632" i="2"/>
  <c r="I632" i="2"/>
  <c r="J631" i="2"/>
  <c r="K631" i="2" s="1"/>
  <c r="E633" i="2" l="1"/>
  <c r="G633" i="2" s="1"/>
  <c r="H633" i="2"/>
  <c r="I633" i="2"/>
  <c r="J632" i="2"/>
  <c r="K632" i="2" s="1"/>
  <c r="E634" i="2" l="1"/>
  <c r="G634" i="2" s="1"/>
  <c r="H634" i="2"/>
  <c r="I634" i="2"/>
  <c r="J633" i="2"/>
  <c r="K633" i="2" s="1"/>
  <c r="H635" i="2" l="1"/>
  <c r="I635" i="2"/>
  <c r="J634" i="2"/>
  <c r="K634" i="2" s="1"/>
  <c r="F635" i="2"/>
  <c r="G635" i="2" s="1"/>
  <c r="H636" i="2" l="1"/>
  <c r="I636" i="2"/>
  <c r="J635" i="2"/>
  <c r="E636" i="2"/>
  <c r="G636" i="2" s="1"/>
  <c r="K635" i="2"/>
  <c r="H637" i="2" l="1"/>
  <c r="I637" i="2"/>
  <c r="J636" i="2"/>
  <c r="K636" i="2" s="1"/>
  <c r="E637" i="2"/>
  <c r="G637" i="2" s="1"/>
  <c r="E638" i="2" l="1"/>
  <c r="G638" i="2" s="1"/>
  <c r="H638" i="2"/>
  <c r="I638" i="2"/>
  <c r="J637" i="2"/>
  <c r="K637" i="2" s="1"/>
  <c r="E639" i="2" l="1"/>
  <c r="G639" i="2" s="1"/>
  <c r="H639" i="2"/>
  <c r="I639" i="2"/>
  <c r="J638" i="2"/>
  <c r="K638" i="2" s="1"/>
  <c r="F640" i="2" l="1"/>
  <c r="G640" i="2" s="1"/>
  <c r="H640" i="2"/>
  <c r="I640" i="2"/>
  <c r="J639" i="2"/>
  <c r="K639" i="2" s="1"/>
  <c r="F641" i="2" l="1"/>
  <c r="G641" i="2" s="1"/>
  <c r="H641" i="2"/>
  <c r="I641" i="2"/>
  <c r="J640" i="2"/>
  <c r="K640" i="2"/>
  <c r="E642" i="2" l="1"/>
  <c r="G642" i="2" s="1"/>
  <c r="H642" i="2"/>
  <c r="I642" i="2"/>
  <c r="J641" i="2"/>
  <c r="K641" i="2" s="1"/>
  <c r="H643" i="2" l="1"/>
  <c r="I643" i="2"/>
  <c r="J642" i="2"/>
  <c r="K642" i="2" s="1"/>
  <c r="E643" i="2"/>
  <c r="G643" i="2" s="1"/>
  <c r="H644" i="2" l="1"/>
  <c r="I644" i="2"/>
  <c r="J643" i="2"/>
  <c r="K643" i="2" s="1"/>
  <c r="F644" i="2"/>
  <c r="G644" i="2" s="1"/>
  <c r="H645" i="2" l="1"/>
  <c r="I645" i="2"/>
  <c r="J644" i="2"/>
  <c r="K644" i="2" s="1"/>
  <c r="E645" i="2"/>
  <c r="G645" i="2" s="1"/>
  <c r="E646" i="2" l="1"/>
  <c r="G646" i="2" s="1"/>
  <c r="H646" i="2"/>
  <c r="I646" i="2"/>
  <c r="J645" i="2"/>
  <c r="K645" i="2"/>
  <c r="F647" i="2" l="1"/>
  <c r="G647" i="2" s="1"/>
  <c r="H647" i="2"/>
  <c r="I647" i="2"/>
  <c r="J646" i="2"/>
  <c r="K646" i="2" s="1"/>
  <c r="E648" i="2" l="1"/>
  <c r="G648" i="2" s="1"/>
  <c r="H648" i="2"/>
  <c r="I648" i="2"/>
  <c r="J647" i="2"/>
  <c r="K647" i="2" s="1"/>
  <c r="E649" i="2" l="1"/>
  <c r="G649" i="2" s="1"/>
  <c r="H649" i="2"/>
  <c r="I649" i="2"/>
  <c r="J648" i="2"/>
  <c r="K648" i="2" s="1"/>
  <c r="E650" i="2" l="1"/>
  <c r="G650" i="2" s="1"/>
  <c r="H650" i="2"/>
  <c r="I650" i="2"/>
  <c r="J649" i="2"/>
  <c r="K649" i="2" s="1"/>
  <c r="H651" i="2" l="1"/>
  <c r="I651" i="2"/>
  <c r="J650" i="2"/>
  <c r="K650" i="2" s="1"/>
  <c r="F651" i="2"/>
  <c r="G651" i="2" s="1"/>
  <c r="H652" i="2" l="1"/>
  <c r="I652" i="2"/>
  <c r="J651" i="2"/>
  <c r="E652" i="2"/>
  <c r="G652" i="2" s="1"/>
  <c r="K651" i="2"/>
  <c r="H653" i="2" l="1"/>
  <c r="I653" i="2"/>
  <c r="J652" i="2"/>
  <c r="F653" i="2"/>
  <c r="G653" i="2" s="1"/>
  <c r="K652" i="2"/>
  <c r="F654" i="2" l="1"/>
  <c r="G654" i="2" s="1"/>
  <c r="H654" i="2"/>
  <c r="I654" i="2"/>
  <c r="J653" i="2"/>
  <c r="K653" i="2"/>
  <c r="F655" i="2" l="1"/>
  <c r="G655" i="2" s="1"/>
  <c r="H655" i="2"/>
  <c r="J654" i="2"/>
  <c r="K654" i="2" s="1"/>
  <c r="I655" i="2"/>
  <c r="E656" i="2" l="1"/>
  <c r="G656" i="2" s="1"/>
  <c r="H656" i="2"/>
  <c r="I656" i="2"/>
  <c r="J655" i="2"/>
  <c r="K655" i="2" s="1"/>
  <c r="F657" i="2" l="1"/>
  <c r="G657" i="2" s="1"/>
  <c r="H657" i="2"/>
  <c r="I657" i="2"/>
  <c r="J656" i="2"/>
  <c r="K656" i="2"/>
  <c r="F658" i="2" l="1"/>
  <c r="G658" i="2" s="1"/>
  <c r="H658" i="2"/>
  <c r="I658" i="2"/>
  <c r="J657" i="2"/>
  <c r="K657" i="2" s="1"/>
  <c r="H659" i="2" l="1"/>
  <c r="I659" i="2"/>
  <c r="J658" i="2"/>
  <c r="K658" i="2" s="1"/>
  <c r="F659" i="2"/>
  <c r="G659" i="2" s="1"/>
  <c r="H660" i="2" l="1"/>
  <c r="I660" i="2"/>
  <c r="J659" i="2"/>
  <c r="E660" i="2"/>
  <c r="G660" i="2" s="1"/>
  <c r="K659" i="2"/>
  <c r="H661" i="2" l="1"/>
  <c r="I661" i="2"/>
  <c r="J660" i="2"/>
  <c r="F661" i="2"/>
  <c r="G661" i="2" s="1"/>
  <c r="K660" i="2"/>
  <c r="E662" i="2" l="1"/>
  <c r="G662" i="2" s="1"/>
  <c r="H662" i="2"/>
  <c r="I662" i="2"/>
  <c r="J661" i="2"/>
  <c r="K661" i="2"/>
  <c r="F663" i="2" l="1"/>
  <c r="G663" i="2" s="1"/>
  <c r="H663" i="2"/>
  <c r="I663" i="2"/>
  <c r="J662" i="2"/>
  <c r="K662" i="2"/>
  <c r="E664" i="2" l="1"/>
  <c r="G664" i="2" s="1"/>
  <c r="H664" i="2"/>
  <c r="I664" i="2"/>
  <c r="J663" i="2"/>
  <c r="K663" i="2" s="1"/>
  <c r="E665" i="2" l="1"/>
  <c r="G665" i="2" s="1"/>
  <c r="H665" i="2"/>
  <c r="I665" i="2"/>
  <c r="J664" i="2"/>
  <c r="K664" i="2" s="1"/>
  <c r="F666" i="2" l="1"/>
  <c r="G666" i="2" s="1"/>
  <c r="H666" i="2"/>
  <c r="I666" i="2"/>
  <c r="J665" i="2"/>
  <c r="K665" i="2" s="1"/>
  <c r="K666" i="2" l="1"/>
  <c r="H667" i="2"/>
  <c r="I667" i="2"/>
  <c r="J666" i="2"/>
  <c r="F667" i="2"/>
  <c r="G667" i="2" s="1"/>
  <c r="H668" i="2" l="1"/>
  <c r="I668" i="2"/>
  <c r="J667" i="2"/>
  <c r="K667" i="2" s="1"/>
  <c r="F668" i="2"/>
  <c r="G668" i="2" s="1"/>
  <c r="H669" i="2" l="1"/>
  <c r="I669" i="2"/>
  <c r="J668" i="2"/>
  <c r="K668" i="2" s="1"/>
  <c r="F669" i="2"/>
  <c r="G669" i="2" s="1"/>
  <c r="F670" i="2" l="1"/>
  <c r="G670" i="2" s="1"/>
  <c r="H670" i="2"/>
  <c r="I670" i="2"/>
  <c r="J669" i="2"/>
  <c r="K669" i="2"/>
  <c r="F671" i="2" l="1"/>
  <c r="G671" i="2" s="1"/>
  <c r="H671" i="2"/>
  <c r="I671" i="2"/>
  <c r="J670" i="2"/>
  <c r="K670" i="2" s="1"/>
  <c r="F672" i="2" l="1"/>
  <c r="G672" i="2" s="1"/>
  <c r="H672" i="2"/>
  <c r="I672" i="2"/>
  <c r="J671" i="2"/>
  <c r="K671" i="2" s="1"/>
  <c r="E673" i="2" l="1"/>
  <c r="G673" i="2" s="1"/>
  <c r="H673" i="2"/>
  <c r="I673" i="2"/>
  <c r="J672" i="2"/>
  <c r="K672" i="2" s="1"/>
  <c r="F674" i="2" l="1"/>
  <c r="G674" i="2" s="1"/>
  <c r="I674" i="2"/>
  <c r="H674" i="2"/>
  <c r="J673" i="2"/>
  <c r="K673" i="2" s="1"/>
  <c r="I675" i="2" l="1"/>
  <c r="H675" i="2"/>
  <c r="J674" i="2"/>
  <c r="K674" i="2" s="1"/>
  <c r="F675" i="2"/>
  <c r="G675" i="2" s="1"/>
  <c r="H676" i="2" l="1"/>
  <c r="I676" i="2"/>
  <c r="J675" i="2"/>
  <c r="K675" i="2" s="1"/>
  <c r="F676" i="2"/>
  <c r="G676" i="2" s="1"/>
  <c r="H677" i="2" l="1"/>
  <c r="I677" i="2"/>
  <c r="J676" i="2"/>
  <c r="K676" i="2" s="1"/>
  <c r="E677" i="2"/>
  <c r="G677" i="2" s="1"/>
  <c r="F678" i="2" l="1"/>
  <c r="G678" i="2" s="1"/>
  <c r="H678" i="2"/>
  <c r="I678" i="2"/>
  <c r="J677" i="2"/>
  <c r="K677" i="2"/>
  <c r="K678" i="2" l="1"/>
  <c r="E679" i="2"/>
  <c r="G679" i="2" s="1"/>
  <c r="H679" i="2"/>
  <c r="I679" i="2"/>
  <c r="J678" i="2"/>
  <c r="F680" i="2" l="1"/>
  <c r="G680" i="2" s="1"/>
  <c r="H680" i="2"/>
  <c r="I680" i="2"/>
  <c r="J679" i="2"/>
  <c r="K679" i="2" s="1"/>
  <c r="F681" i="2" l="1"/>
  <c r="G681" i="2" s="1"/>
  <c r="H681" i="2"/>
  <c r="I681" i="2"/>
  <c r="J680" i="2"/>
  <c r="K680" i="2" s="1"/>
  <c r="F682" i="2" l="1"/>
  <c r="G682" i="2" s="1"/>
  <c r="H682" i="2"/>
  <c r="I682" i="2"/>
  <c r="J681" i="2"/>
  <c r="K681" i="2" s="1"/>
  <c r="H683" i="2" l="1"/>
  <c r="I683" i="2"/>
  <c r="J682" i="2"/>
  <c r="K682" i="2" s="1"/>
  <c r="E683" i="2"/>
  <c r="G683" i="2" s="1"/>
  <c r="H684" i="2" l="1"/>
  <c r="I684" i="2"/>
  <c r="J683" i="2"/>
  <c r="K683" i="2" s="1"/>
  <c r="F684" i="2"/>
  <c r="G684" i="2" s="1"/>
  <c r="H685" i="2" l="1"/>
  <c r="I685" i="2"/>
  <c r="J684" i="2"/>
  <c r="F685" i="2"/>
  <c r="G685" i="2" s="1"/>
  <c r="K684" i="2"/>
  <c r="E686" i="2" l="1"/>
  <c r="G686" i="2" s="1"/>
  <c r="H686" i="2"/>
  <c r="I686" i="2"/>
  <c r="J685" i="2"/>
  <c r="K685" i="2"/>
  <c r="E687" i="2" l="1"/>
  <c r="G687" i="2" s="1"/>
  <c r="H687" i="2"/>
  <c r="J686" i="2"/>
  <c r="K686" i="2" s="1"/>
  <c r="I687" i="2"/>
  <c r="F688" i="2" l="1"/>
  <c r="G688" i="2" s="1"/>
  <c r="H688" i="2"/>
  <c r="I688" i="2"/>
  <c r="J687" i="2"/>
  <c r="K687" i="2" s="1"/>
  <c r="E689" i="2" l="1"/>
  <c r="G689" i="2" s="1"/>
  <c r="H689" i="2"/>
  <c r="I689" i="2"/>
  <c r="J688" i="2"/>
  <c r="K688" i="2" s="1"/>
  <c r="F690" i="2" l="1"/>
  <c r="G690" i="2" s="1"/>
  <c r="H690" i="2"/>
  <c r="I690" i="2"/>
  <c r="J689" i="2"/>
  <c r="K689" i="2" s="1"/>
  <c r="H691" i="2" l="1"/>
  <c r="I691" i="2"/>
  <c r="J690" i="2"/>
  <c r="K690" i="2" s="1"/>
  <c r="F691" i="2"/>
  <c r="G691" i="2" s="1"/>
  <c r="K691" i="2" l="1"/>
  <c r="H692" i="2"/>
  <c r="I692" i="2"/>
  <c r="J691" i="2"/>
  <c r="E692" i="2"/>
  <c r="G692" i="2" s="1"/>
  <c r="H693" i="2" l="1"/>
  <c r="I693" i="2"/>
  <c r="J692" i="2"/>
  <c r="E693" i="2"/>
  <c r="G693" i="2" s="1"/>
  <c r="K692" i="2"/>
  <c r="F694" i="2" l="1"/>
  <c r="G694" i="2" s="1"/>
  <c r="H694" i="2"/>
  <c r="J693" i="2"/>
  <c r="I694" i="2"/>
  <c r="K693" i="2"/>
  <c r="F695" i="2" l="1"/>
  <c r="G695" i="2" s="1"/>
  <c r="H695" i="2"/>
  <c r="I695" i="2"/>
  <c r="J694" i="2"/>
  <c r="K694" i="2" s="1"/>
  <c r="E696" i="2" l="1"/>
  <c r="G696" i="2" s="1"/>
  <c r="H696" i="2"/>
  <c r="I696" i="2"/>
  <c r="J695" i="2"/>
  <c r="K695" i="2" s="1"/>
  <c r="F697" i="2" l="1"/>
  <c r="G697" i="2" s="1"/>
  <c r="H697" i="2"/>
  <c r="I697" i="2"/>
  <c r="J696" i="2"/>
  <c r="K696" i="2" s="1"/>
  <c r="F698" i="2" l="1"/>
  <c r="G698" i="2" s="1"/>
  <c r="H698" i="2"/>
  <c r="I698" i="2"/>
  <c r="J697" i="2"/>
  <c r="K697" i="2" s="1"/>
  <c r="K698" i="2" l="1"/>
  <c r="H699" i="2"/>
  <c r="I699" i="2"/>
  <c r="J698" i="2"/>
  <c r="F699" i="2"/>
  <c r="G699" i="2" s="1"/>
  <c r="H700" i="2" l="1"/>
  <c r="I700" i="2"/>
  <c r="J699" i="2"/>
  <c r="F700" i="2"/>
  <c r="G700" i="2" s="1"/>
  <c r="K699" i="2"/>
  <c r="H701" i="2" l="1"/>
  <c r="I701" i="2"/>
  <c r="J700" i="2"/>
  <c r="F701" i="2"/>
  <c r="G701" i="2" s="1"/>
  <c r="K700" i="2"/>
  <c r="E702" i="2" l="1"/>
  <c r="G702" i="2" s="1"/>
  <c r="H702" i="2"/>
  <c r="I702" i="2"/>
  <c r="J701" i="2"/>
  <c r="K701" i="2"/>
  <c r="E703" i="2" l="1"/>
  <c r="G703" i="2" s="1"/>
  <c r="H703" i="2"/>
  <c r="I703" i="2"/>
  <c r="J702" i="2"/>
  <c r="K702" i="2" s="1"/>
  <c r="E704" i="2" l="1"/>
  <c r="G704" i="2" s="1"/>
  <c r="H704" i="2"/>
  <c r="I704" i="2"/>
  <c r="J703" i="2"/>
  <c r="K703" i="2" s="1"/>
  <c r="F705" i="2" l="1"/>
  <c r="G705" i="2" s="1"/>
  <c r="H705" i="2"/>
  <c r="I705" i="2"/>
  <c r="J704" i="2"/>
  <c r="K704" i="2" s="1"/>
  <c r="E706" i="2" l="1"/>
  <c r="G706" i="2" s="1"/>
  <c r="I706" i="2"/>
  <c r="H706" i="2"/>
  <c r="J705" i="2"/>
  <c r="K705" i="2" s="1"/>
  <c r="I707" i="2" l="1"/>
  <c r="J706" i="2"/>
  <c r="H707" i="2"/>
  <c r="E707" i="2"/>
  <c r="G707" i="2" s="1"/>
  <c r="K706" i="2"/>
  <c r="H708" i="2" l="1"/>
  <c r="I708" i="2"/>
  <c r="J707" i="2"/>
  <c r="F708" i="2"/>
  <c r="G708" i="2" s="1"/>
  <c r="K707" i="2"/>
  <c r="H709" i="2" l="1"/>
  <c r="I709" i="2"/>
  <c r="J708" i="2"/>
  <c r="F709" i="2"/>
  <c r="G709" i="2" s="1"/>
  <c r="K708" i="2"/>
  <c r="F710" i="2" l="1"/>
  <c r="G710" i="2" s="1"/>
  <c r="H710" i="2"/>
  <c r="I710" i="2"/>
  <c r="J709" i="2"/>
  <c r="K709" i="2" s="1"/>
  <c r="F711" i="2" l="1"/>
  <c r="G711" i="2" s="1"/>
  <c r="H711" i="2"/>
  <c r="I711" i="2"/>
  <c r="J710" i="2"/>
  <c r="K710" i="2" s="1"/>
  <c r="K711" i="2" l="1"/>
  <c r="E712" i="2"/>
  <c r="G712" i="2" s="1"/>
  <c r="H712" i="2"/>
  <c r="I712" i="2"/>
  <c r="J711" i="2"/>
  <c r="F713" i="2" l="1"/>
  <c r="G713" i="2" s="1"/>
  <c r="H713" i="2"/>
  <c r="I713" i="2"/>
  <c r="J712" i="2"/>
  <c r="K712" i="2" s="1"/>
  <c r="F714" i="2" l="1"/>
  <c r="G714" i="2" s="1"/>
  <c r="H714" i="2"/>
  <c r="I714" i="2"/>
  <c r="J713" i="2"/>
  <c r="K713" i="2" s="1"/>
  <c r="H715" i="2" l="1"/>
  <c r="I715" i="2"/>
  <c r="J714" i="2"/>
  <c r="K714" i="2" s="1"/>
  <c r="E715" i="2"/>
  <c r="G715" i="2" s="1"/>
  <c r="H716" i="2" l="1"/>
  <c r="I716" i="2"/>
  <c r="J715" i="2"/>
  <c r="K715" i="2" s="1"/>
  <c r="E716" i="2"/>
  <c r="G716" i="2" s="1"/>
  <c r="H717" i="2" l="1"/>
  <c r="I717" i="2"/>
  <c r="J716" i="2"/>
  <c r="F717" i="2"/>
  <c r="G717" i="2" s="1"/>
  <c r="K716" i="2"/>
  <c r="F718" i="2" l="1"/>
  <c r="G718" i="2" s="1"/>
  <c r="H718" i="2"/>
  <c r="I718" i="2"/>
  <c r="J717" i="2"/>
  <c r="K717" i="2"/>
  <c r="E719" i="2" l="1"/>
  <c r="G719" i="2" s="1"/>
  <c r="H719" i="2"/>
  <c r="J718" i="2"/>
  <c r="K718" i="2" s="1"/>
  <c r="I719" i="2"/>
  <c r="K719" i="2" l="1"/>
  <c r="F720" i="2"/>
  <c r="G720" i="2" s="1"/>
  <c r="H720" i="2"/>
  <c r="I720" i="2"/>
  <c r="J719" i="2"/>
  <c r="E721" i="2" l="1"/>
  <c r="G721" i="2" s="1"/>
  <c r="H721" i="2"/>
  <c r="I721" i="2"/>
  <c r="J720" i="2"/>
  <c r="K720" i="2" s="1"/>
  <c r="F722" i="2" l="1"/>
  <c r="G722" i="2" s="1"/>
  <c r="H722" i="2"/>
  <c r="I722" i="2"/>
  <c r="J721" i="2"/>
  <c r="K721" i="2" s="1"/>
  <c r="H723" i="2" l="1"/>
  <c r="I723" i="2"/>
  <c r="J722" i="2"/>
  <c r="K722" i="2" s="1"/>
  <c r="F723" i="2"/>
  <c r="G723" i="2" s="1"/>
  <c r="H724" i="2" l="1"/>
  <c r="I724" i="2"/>
  <c r="J723" i="2"/>
  <c r="K723" i="2" s="1"/>
  <c r="F724" i="2"/>
  <c r="G724" i="2" s="1"/>
  <c r="H725" i="2" l="1"/>
  <c r="I725" i="2"/>
  <c r="J724" i="2"/>
  <c r="E725" i="2"/>
  <c r="G725" i="2" s="1"/>
  <c r="K724" i="2"/>
  <c r="F726" i="2" l="1"/>
  <c r="G726" i="2" s="1"/>
  <c r="H726" i="2"/>
  <c r="I726" i="2"/>
  <c r="J725" i="2"/>
  <c r="K725" i="2"/>
  <c r="F727" i="2" l="1"/>
  <c r="G727" i="2" s="1"/>
  <c r="H727" i="2"/>
  <c r="I727" i="2"/>
  <c r="J726" i="2"/>
  <c r="K726" i="2" s="1"/>
  <c r="F728" i="2" l="1"/>
  <c r="G728" i="2" s="1"/>
  <c r="H728" i="2"/>
  <c r="I728" i="2"/>
  <c r="J727" i="2"/>
  <c r="K727" i="2" s="1"/>
  <c r="F729" i="2" l="1"/>
  <c r="G729" i="2" s="1"/>
  <c r="H729" i="2"/>
  <c r="I729" i="2"/>
  <c r="J728" i="2"/>
  <c r="K728" i="2" s="1"/>
  <c r="F730" i="2" l="1"/>
  <c r="G730" i="2" s="1"/>
  <c r="H730" i="2"/>
  <c r="I730" i="2"/>
  <c r="J729" i="2"/>
  <c r="K729" i="2" s="1"/>
  <c r="H731" i="2" l="1"/>
  <c r="I731" i="2"/>
  <c r="J730" i="2"/>
  <c r="K730" i="2" s="1"/>
  <c r="F731" i="2"/>
  <c r="G731" i="2" s="1"/>
  <c r="H732" i="2" l="1"/>
  <c r="I732" i="2"/>
  <c r="J731" i="2"/>
  <c r="K731" i="2" s="1"/>
  <c r="E732" i="2"/>
  <c r="G732" i="2" s="1"/>
  <c r="H733" i="2" l="1"/>
  <c r="I733" i="2"/>
  <c r="J732" i="2"/>
  <c r="F733" i="2"/>
  <c r="G733" i="2" s="1"/>
  <c r="K732" i="2"/>
  <c r="E734" i="2" l="1"/>
  <c r="G734" i="2" s="1"/>
  <c r="H734" i="2"/>
  <c r="I734" i="2"/>
  <c r="J733" i="2"/>
  <c r="K733" i="2"/>
  <c r="E735" i="2" l="1"/>
  <c r="G735" i="2" s="1"/>
  <c r="H735" i="2"/>
  <c r="I735" i="2"/>
  <c r="J734" i="2"/>
  <c r="K734" i="2" s="1"/>
  <c r="F736" i="2" l="1"/>
  <c r="G736" i="2" s="1"/>
  <c r="H736" i="2"/>
  <c r="I736" i="2"/>
  <c r="J735" i="2"/>
  <c r="K735" i="2" s="1"/>
  <c r="F737" i="2" l="1"/>
  <c r="G737" i="2" s="1"/>
  <c r="H737" i="2"/>
  <c r="I737" i="2"/>
  <c r="J736" i="2"/>
  <c r="K736" i="2" s="1"/>
  <c r="F738" i="2" l="1"/>
  <c r="G738" i="2" s="1"/>
  <c r="H738" i="2"/>
  <c r="I738" i="2"/>
  <c r="J737" i="2"/>
  <c r="K737" i="2" s="1"/>
  <c r="H739" i="2" l="1"/>
  <c r="I739" i="2"/>
  <c r="J738" i="2"/>
  <c r="K738" i="2" s="1"/>
  <c r="F739" i="2"/>
  <c r="G739" i="2" s="1"/>
  <c r="H740" i="2" l="1"/>
  <c r="I740" i="2"/>
  <c r="J739" i="2"/>
  <c r="K739" i="2" s="1"/>
  <c r="F740" i="2"/>
  <c r="G740" i="2" s="1"/>
  <c r="H741" i="2" l="1"/>
  <c r="I741" i="2"/>
  <c r="J740" i="2"/>
  <c r="E741" i="2"/>
  <c r="G741" i="2" s="1"/>
  <c r="K740" i="2"/>
  <c r="F742" i="2" l="1"/>
  <c r="G742" i="2" s="1"/>
  <c r="H742" i="2"/>
  <c r="I742" i="2"/>
  <c r="J741" i="2"/>
  <c r="K741" i="2"/>
  <c r="E743" i="2" l="1"/>
  <c r="G743" i="2" s="1"/>
  <c r="H743" i="2"/>
  <c r="I743" i="2"/>
  <c r="J742" i="2"/>
  <c r="K742" i="2" s="1"/>
  <c r="F744" i="2" l="1"/>
  <c r="G744" i="2" s="1"/>
  <c r="H744" i="2"/>
  <c r="I744" i="2"/>
  <c r="J743" i="2"/>
  <c r="K743" i="2" s="1"/>
  <c r="F745" i="2" l="1"/>
  <c r="G745" i="2" s="1"/>
  <c r="H745" i="2"/>
  <c r="I745" i="2"/>
  <c r="J744" i="2"/>
  <c r="K744" i="2"/>
  <c r="E746" i="2" l="1"/>
  <c r="G746" i="2" s="1"/>
  <c r="H746" i="2"/>
  <c r="I746" i="2"/>
  <c r="J745" i="2"/>
  <c r="K745" i="2" s="1"/>
  <c r="H747" i="2" l="1"/>
  <c r="I747" i="2"/>
  <c r="J746" i="2"/>
  <c r="K746" i="2" s="1"/>
  <c r="E747" i="2"/>
  <c r="G747" i="2" s="1"/>
  <c r="H748" i="2" l="1"/>
  <c r="I748" i="2"/>
  <c r="J747" i="2"/>
  <c r="F748" i="2"/>
  <c r="G748" i="2" s="1"/>
  <c r="K747" i="2"/>
  <c r="H749" i="2" l="1"/>
  <c r="I749" i="2"/>
  <c r="J748" i="2"/>
  <c r="E749" i="2"/>
  <c r="G749" i="2" s="1"/>
  <c r="K748" i="2"/>
  <c r="F750" i="2" l="1"/>
  <c r="G750" i="2" s="1"/>
  <c r="H750" i="2"/>
  <c r="I750" i="2"/>
  <c r="J749" i="2"/>
  <c r="K749" i="2"/>
  <c r="F751" i="2" l="1"/>
  <c r="G751" i="2" s="1"/>
  <c r="H751" i="2"/>
  <c r="J750" i="2"/>
  <c r="K750" i="2" s="1"/>
  <c r="I751" i="2"/>
  <c r="F752" i="2" l="1"/>
  <c r="G752" i="2" s="1"/>
  <c r="H752" i="2"/>
  <c r="I752" i="2"/>
  <c r="J751" i="2"/>
  <c r="K751" i="2" s="1"/>
  <c r="E753" i="2" l="1"/>
  <c r="G753" i="2" s="1"/>
  <c r="H753" i="2"/>
  <c r="I753" i="2"/>
  <c r="J752" i="2"/>
  <c r="K752" i="2" s="1"/>
  <c r="E754" i="2" l="1"/>
  <c r="G754" i="2" s="1"/>
  <c r="H754" i="2"/>
  <c r="I754" i="2"/>
  <c r="J753" i="2"/>
  <c r="K753" i="2"/>
  <c r="H755" i="2" l="1"/>
  <c r="I755" i="2"/>
  <c r="J754" i="2"/>
  <c r="K754" i="2" s="1"/>
  <c r="F755" i="2"/>
  <c r="G755" i="2" s="1"/>
  <c r="H756" i="2" l="1"/>
  <c r="I756" i="2"/>
  <c r="J755" i="2"/>
  <c r="K755" i="2" s="1"/>
  <c r="F756" i="2"/>
  <c r="G756" i="2" s="1"/>
  <c r="H757" i="2" l="1"/>
  <c r="I757" i="2"/>
  <c r="J756" i="2"/>
  <c r="E757" i="2"/>
  <c r="G757" i="2" s="1"/>
  <c r="K756" i="2"/>
  <c r="E758" i="2" l="1"/>
  <c r="G758" i="2" s="1"/>
  <c r="H758" i="2"/>
  <c r="I758" i="2"/>
  <c r="J757" i="2"/>
  <c r="K757" i="2"/>
  <c r="E759" i="2" l="1"/>
  <c r="G759" i="2" s="1"/>
  <c r="H759" i="2"/>
  <c r="I759" i="2"/>
  <c r="J758" i="2"/>
  <c r="K758" i="2" s="1"/>
  <c r="E760" i="2" l="1"/>
  <c r="G760" i="2" s="1"/>
  <c r="H760" i="2"/>
  <c r="I760" i="2"/>
  <c r="J759" i="2"/>
  <c r="K759" i="2" s="1"/>
  <c r="E761" i="2" l="1"/>
  <c r="G761" i="2" s="1"/>
  <c r="H761" i="2"/>
  <c r="I761" i="2"/>
  <c r="J760" i="2"/>
  <c r="K760" i="2" s="1"/>
  <c r="F762" i="2" l="1"/>
  <c r="G762" i="2" s="1"/>
  <c r="H762" i="2"/>
  <c r="I762" i="2"/>
  <c r="J761" i="2"/>
  <c r="K761" i="2" s="1"/>
  <c r="H763" i="2" l="1"/>
  <c r="I763" i="2"/>
  <c r="J762" i="2"/>
  <c r="F763" i="2"/>
  <c r="G763" i="2" s="1"/>
  <c r="K762" i="2"/>
  <c r="H764" i="2" l="1"/>
  <c r="I764" i="2"/>
  <c r="J763" i="2"/>
  <c r="F764" i="2"/>
  <c r="G764" i="2" s="1"/>
  <c r="K763" i="2"/>
  <c r="H765" i="2" l="1"/>
  <c r="I765" i="2"/>
  <c r="J764" i="2"/>
  <c r="F765" i="2"/>
  <c r="G765" i="2" s="1"/>
  <c r="K764" i="2"/>
  <c r="F766" i="2" l="1"/>
  <c r="G766" i="2" s="1"/>
  <c r="H766" i="2"/>
  <c r="I766" i="2"/>
  <c r="J765" i="2"/>
  <c r="K765" i="2"/>
  <c r="E767" i="2" l="1"/>
  <c r="G767" i="2" s="1"/>
  <c r="H767" i="2"/>
  <c r="I767" i="2"/>
  <c r="J766" i="2"/>
  <c r="K766" i="2" s="1"/>
  <c r="E768" i="2" l="1"/>
  <c r="G768" i="2" s="1"/>
  <c r="H768" i="2"/>
  <c r="I768" i="2"/>
  <c r="J767" i="2"/>
  <c r="K767" i="2" s="1"/>
  <c r="F769" i="2" l="1"/>
  <c r="G769" i="2" s="1"/>
  <c r="H769" i="2"/>
  <c r="I769" i="2"/>
  <c r="J768" i="2"/>
  <c r="K768" i="2" s="1"/>
  <c r="F770" i="2" l="1"/>
  <c r="G770" i="2" s="1"/>
  <c r="H770" i="2"/>
  <c r="I770" i="2"/>
  <c r="J769" i="2"/>
  <c r="K769" i="2"/>
  <c r="H771" i="2" l="1"/>
  <c r="I771" i="2"/>
  <c r="J770" i="2"/>
  <c r="K770" i="2" s="1"/>
  <c r="E771" i="2"/>
  <c r="G771" i="2" s="1"/>
  <c r="H772" i="2" l="1"/>
  <c r="I772" i="2"/>
  <c r="J771" i="2"/>
  <c r="F772" i="2"/>
  <c r="G772" i="2" s="1"/>
  <c r="K771" i="2"/>
  <c r="H773" i="2" l="1"/>
  <c r="I773" i="2"/>
  <c r="J772" i="2"/>
  <c r="E773" i="2"/>
  <c r="G773" i="2" s="1"/>
  <c r="K772" i="2"/>
  <c r="F774" i="2" l="1"/>
  <c r="G774" i="2" s="1"/>
  <c r="H774" i="2"/>
  <c r="I774" i="2"/>
  <c r="J773" i="2"/>
  <c r="K773" i="2"/>
  <c r="F775" i="2" l="1"/>
  <c r="G775" i="2" s="1"/>
  <c r="H775" i="2"/>
  <c r="I775" i="2"/>
  <c r="J774" i="2"/>
  <c r="K774" i="2" s="1"/>
  <c r="E776" i="2" l="1"/>
  <c r="G776" i="2" s="1"/>
  <c r="H776" i="2"/>
  <c r="I776" i="2"/>
  <c r="J775" i="2"/>
  <c r="K775" i="2" s="1"/>
  <c r="K776" i="2" l="1"/>
  <c r="E777" i="2"/>
  <c r="G777" i="2" s="1"/>
  <c r="H777" i="2"/>
  <c r="I777" i="2"/>
  <c r="J776" i="2"/>
  <c r="F778" i="2" l="1"/>
  <c r="G778" i="2" s="1"/>
  <c r="H778" i="2"/>
  <c r="I778" i="2"/>
  <c r="J777" i="2"/>
  <c r="K777" i="2" s="1"/>
  <c r="H779" i="2" l="1"/>
  <c r="I779" i="2"/>
  <c r="J778" i="2"/>
  <c r="K778" i="2" s="1"/>
  <c r="F779" i="2"/>
  <c r="G779" i="2" s="1"/>
  <c r="K779" i="2" l="1"/>
  <c r="H780" i="2"/>
  <c r="I780" i="2"/>
  <c r="J779" i="2"/>
  <c r="E780" i="2"/>
  <c r="G780" i="2" s="1"/>
  <c r="H781" i="2" l="1"/>
  <c r="I781" i="2"/>
  <c r="J780" i="2"/>
  <c r="E781" i="2"/>
  <c r="G781" i="2" s="1"/>
  <c r="K780" i="2"/>
  <c r="E782" i="2" l="1"/>
  <c r="G782" i="2" s="1"/>
  <c r="H782" i="2"/>
  <c r="I782" i="2"/>
  <c r="J781" i="2"/>
  <c r="K781" i="2"/>
  <c r="F783" i="2" l="1"/>
  <c r="G783" i="2" s="1"/>
  <c r="H783" i="2"/>
  <c r="J782" i="2"/>
  <c r="K782" i="2" s="1"/>
  <c r="I783" i="2"/>
  <c r="E784" i="2" l="1"/>
  <c r="G784" i="2" s="1"/>
  <c r="H784" i="2"/>
  <c r="I784" i="2"/>
  <c r="J783" i="2"/>
  <c r="K783" i="2" s="1"/>
  <c r="E785" i="2" l="1"/>
  <c r="G785" i="2" s="1"/>
  <c r="H785" i="2"/>
  <c r="I785" i="2"/>
  <c r="J784" i="2"/>
  <c r="K784" i="2"/>
  <c r="E786" i="2" l="1"/>
  <c r="G786" i="2" s="1"/>
  <c r="H786" i="2"/>
  <c r="I786" i="2"/>
  <c r="J785" i="2"/>
  <c r="K785" i="2" s="1"/>
  <c r="H787" i="2" l="1"/>
  <c r="I787" i="2"/>
  <c r="J786" i="2"/>
  <c r="K786" i="2" s="1"/>
  <c r="E787" i="2"/>
  <c r="G787" i="2" s="1"/>
  <c r="H788" i="2" l="1"/>
  <c r="I788" i="2"/>
  <c r="J787" i="2"/>
  <c r="E788" i="2"/>
  <c r="G788" i="2" s="1"/>
  <c r="K787" i="2"/>
  <c r="H789" i="2" l="1"/>
  <c r="I789" i="2"/>
  <c r="J788" i="2"/>
  <c r="F789" i="2"/>
  <c r="G789" i="2" s="1"/>
  <c r="K788" i="2"/>
  <c r="F790" i="2" l="1"/>
  <c r="G790" i="2" s="1"/>
  <c r="H790" i="2"/>
  <c r="I790" i="2"/>
  <c r="J789" i="2"/>
  <c r="K789" i="2"/>
  <c r="E791" i="2" l="1"/>
  <c r="G791" i="2" s="1"/>
  <c r="H791" i="2"/>
  <c r="I791" i="2"/>
  <c r="J790" i="2"/>
  <c r="K790" i="2" s="1"/>
  <c r="E792" i="2" l="1"/>
  <c r="G792" i="2" s="1"/>
  <c r="H792" i="2"/>
  <c r="I792" i="2"/>
  <c r="J791" i="2"/>
  <c r="K791" i="2" s="1"/>
  <c r="E793" i="2" l="1"/>
  <c r="G793" i="2" s="1"/>
  <c r="H793" i="2"/>
  <c r="I793" i="2"/>
  <c r="J792" i="2"/>
  <c r="K792" i="2" s="1"/>
  <c r="F794" i="2" l="1"/>
  <c r="G794" i="2" s="1"/>
  <c r="H794" i="2"/>
  <c r="I794" i="2"/>
  <c r="J793" i="2"/>
  <c r="K793" i="2" s="1"/>
  <c r="H795" i="2" l="1"/>
  <c r="I795" i="2"/>
  <c r="J794" i="2"/>
  <c r="K794" i="2" s="1"/>
  <c r="F795" i="2"/>
  <c r="G795" i="2" s="1"/>
  <c r="H796" i="2" l="1"/>
  <c r="I796" i="2"/>
  <c r="J795" i="2"/>
  <c r="E796" i="2"/>
  <c r="G796" i="2" s="1"/>
  <c r="K795" i="2"/>
  <c r="H797" i="2" l="1"/>
  <c r="I797" i="2"/>
  <c r="J796" i="2"/>
  <c r="K796" i="2" s="1"/>
  <c r="E797" i="2"/>
  <c r="G797" i="2" s="1"/>
  <c r="F798" i="2" l="1"/>
  <c r="G798" i="2" s="1"/>
  <c r="H798" i="2"/>
  <c r="I798" i="2"/>
  <c r="J797" i="2"/>
  <c r="K797" i="2" s="1"/>
  <c r="E799" i="2" l="1"/>
  <c r="G799" i="2" s="1"/>
  <c r="H799" i="2"/>
  <c r="I799" i="2"/>
  <c r="J798" i="2"/>
  <c r="K798" i="2" s="1"/>
  <c r="E800" i="2" l="1"/>
  <c r="G800" i="2" s="1"/>
  <c r="H800" i="2"/>
  <c r="I800" i="2"/>
  <c r="J799" i="2"/>
  <c r="K799" i="2" s="1"/>
  <c r="F801" i="2" l="1"/>
  <c r="G801" i="2" s="1"/>
  <c r="H801" i="2"/>
  <c r="I801" i="2"/>
  <c r="J800" i="2"/>
  <c r="K800" i="2" s="1"/>
  <c r="E802" i="2" l="1"/>
  <c r="G802" i="2" s="1"/>
  <c r="I802" i="2"/>
  <c r="H802" i="2"/>
  <c r="J801" i="2"/>
  <c r="K801" i="2" s="1"/>
  <c r="I803" i="2" l="1"/>
  <c r="H803" i="2"/>
  <c r="J802" i="2"/>
  <c r="K802" i="2" s="1"/>
  <c r="F803" i="2"/>
  <c r="G803" i="2" s="1"/>
  <c r="H804" i="2" l="1"/>
  <c r="I804" i="2"/>
  <c r="J803" i="2"/>
  <c r="F804" i="2"/>
  <c r="G804" i="2" s="1"/>
  <c r="K803" i="2"/>
  <c r="H805" i="2" l="1"/>
  <c r="I805" i="2"/>
  <c r="J804" i="2"/>
  <c r="F805" i="2"/>
  <c r="G805" i="2" s="1"/>
  <c r="K804" i="2"/>
  <c r="F806" i="2" l="1"/>
  <c r="G806" i="2" s="1"/>
  <c r="H806" i="2"/>
  <c r="I806" i="2"/>
  <c r="J805" i="2"/>
  <c r="K805" i="2"/>
  <c r="F807" i="2" l="1"/>
  <c r="G807" i="2" s="1"/>
  <c r="H807" i="2"/>
  <c r="I807" i="2"/>
  <c r="J806" i="2"/>
  <c r="K806" i="2" s="1"/>
  <c r="E808" i="2" l="1"/>
  <c r="G808" i="2" s="1"/>
  <c r="H808" i="2"/>
  <c r="I808" i="2"/>
  <c r="J807" i="2"/>
  <c r="K807" i="2" s="1"/>
  <c r="F809" i="2" l="1"/>
  <c r="G809" i="2" s="1"/>
  <c r="H809" i="2"/>
  <c r="I809" i="2"/>
  <c r="J808" i="2"/>
  <c r="K808" i="2"/>
  <c r="E810" i="2" l="1"/>
  <c r="G810" i="2" s="1"/>
  <c r="H810" i="2"/>
  <c r="I810" i="2"/>
  <c r="J809" i="2"/>
  <c r="K809" i="2" s="1"/>
  <c r="H811" i="2" l="1"/>
  <c r="I811" i="2"/>
  <c r="J810" i="2"/>
  <c r="K810" i="2" s="1"/>
  <c r="E811" i="2"/>
  <c r="G811" i="2" s="1"/>
  <c r="H812" i="2" l="1"/>
  <c r="I812" i="2"/>
  <c r="J811" i="2"/>
  <c r="E812" i="2"/>
  <c r="G812" i="2" s="1"/>
  <c r="K811" i="2"/>
  <c r="H813" i="2" l="1"/>
  <c r="I813" i="2"/>
  <c r="J812" i="2"/>
  <c r="K812" i="2" s="1"/>
  <c r="E813" i="2"/>
  <c r="G813" i="2" s="1"/>
  <c r="F814" i="2" l="1"/>
  <c r="G814" i="2" s="1"/>
  <c r="H814" i="2"/>
  <c r="I814" i="2"/>
  <c r="J813" i="2"/>
  <c r="K813" i="2" s="1"/>
  <c r="E815" i="2" l="1"/>
  <c r="G815" i="2" s="1"/>
  <c r="H815" i="2"/>
  <c r="J814" i="2"/>
  <c r="K814" i="2" s="1"/>
  <c r="I815" i="2"/>
  <c r="F816" i="2" l="1"/>
  <c r="G816" i="2" s="1"/>
  <c r="H816" i="2"/>
  <c r="I816" i="2"/>
  <c r="J815" i="2"/>
  <c r="K815" i="2" s="1"/>
  <c r="E817" i="2" l="1"/>
  <c r="G817" i="2" s="1"/>
  <c r="H817" i="2"/>
  <c r="I817" i="2"/>
  <c r="J816" i="2"/>
  <c r="K816" i="2" s="1"/>
  <c r="E818" i="2" l="1"/>
  <c r="G818" i="2" s="1"/>
  <c r="H818" i="2"/>
  <c r="I818" i="2"/>
  <c r="J817" i="2"/>
  <c r="K817" i="2" s="1"/>
  <c r="H819" i="2" l="1"/>
  <c r="I819" i="2"/>
  <c r="J818" i="2"/>
  <c r="K818" i="2" s="1"/>
  <c r="E819" i="2"/>
  <c r="G819" i="2" s="1"/>
  <c r="H820" i="2" l="1"/>
  <c r="I820" i="2"/>
  <c r="J819" i="2"/>
  <c r="E820" i="2"/>
  <c r="G820" i="2" s="1"/>
  <c r="K819" i="2"/>
  <c r="H821" i="2" l="1"/>
  <c r="I821" i="2"/>
  <c r="J820" i="2"/>
  <c r="F821" i="2"/>
  <c r="G821" i="2" s="1"/>
  <c r="K820" i="2"/>
  <c r="F822" i="2" l="1"/>
  <c r="G822" i="2" s="1"/>
  <c r="H822" i="2"/>
  <c r="J821" i="2"/>
  <c r="I822" i="2"/>
  <c r="K821" i="2"/>
  <c r="E823" i="2" l="1"/>
  <c r="G823" i="2" s="1"/>
  <c r="H823" i="2"/>
  <c r="I823" i="2"/>
  <c r="J822" i="2"/>
  <c r="K822" i="2" s="1"/>
  <c r="F824" i="2" l="1"/>
  <c r="G824" i="2" s="1"/>
  <c r="H824" i="2"/>
  <c r="I824" i="2"/>
  <c r="J823" i="2"/>
  <c r="K823" i="2" s="1"/>
  <c r="F825" i="2" l="1"/>
  <c r="G825" i="2" s="1"/>
  <c r="H825" i="2"/>
  <c r="I825" i="2"/>
  <c r="J824" i="2"/>
  <c r="K824" i="2" s="1"/>
  <c r="E826" i="2" l="1"/>
  <c r="G826" i="2" s="1"/>
  <c r="H826" i="2"/>
  <c r="I826" i="2"/>
  <c r="J825" i="2"/>
  <c r="K825" i="2" s="1"/>
  <c r="H827" i="2" l="1"/>
  <c r="I827" i="2"/>
  <c r="J826" i="2"/>
  <c r="K826" i="2" s="1"/>
  <c r="F827" i="2"/>
  <c r="G827" i="2" s="1"/>
  <c r="H828" i="2" l="1"/>
  <c r="I828" i="2"/>
  <c r="J827" i="2"/>
  <c r="K827" i="2" s="1"/>
  <c r="F828" i="2"/>
  <c r="G828" i="2" s="1"/>
  <c r="H829" i="2" l="1"/>
  <c r="I829" i="2"/>
  <c r="J828" i="2"/>
  <c r="K828" i="2" s="1"/>
  <c r="E829" i="2"/>
  <c r="G829" i="2" s="1"/>
  <c r="E830" i="2" l="1"/>
  <c r="G830" i="2" s="1"/>
  <c r="H830" i="2"/>
  <c r="I830" i="2"/>
  <c r="J829" i="2"/>
  <c r="K829" i="2"/>
  <c r="F831" i="2" l="1"/>
  <c r="G831" i="2" s="1"/>
  <c r="H831" i="2"/>
  <c r="I831" i="2"/>
  <c r="J830" i="2"/>
  <c r="K830" i="2" s="1"/>
  <c r="E832" i="2" l="1"/>
  <c r="G832" i="2" s="1"/>
  <c r="H832" i="2"/>
  <c r="I832" i="2"/>
  <c r="J831" i="2"/>
  <c r="K831" i="2" s="1"/>
  <c r="F833" i="2" l="1"/>
  <c r="G833" i="2" s="1"/>
  <c r="H833" i="2"/>
  <c r="I833" i="2"/>
  <c r="J832" i="2"/>
  <c r="K832" i="2" s="1"/>
  <c r="E834" i="2" l="1"/>
  <c r="G834" i="2" s="1"/>
  <c r="I834" i="2"/>
  <c r="H834" i="2"/>
  <c r="J833" i="2"/>
  <c r="K833" i="2" s="1"/>
  <c r="K834" i="2" l="1"/>
  <c r="I835" i="2"/>
  <c r="H835" i="2"/>
  <c r="J834" i="2"/>
  <c r="E835" i="2"/>
  <c r="G835" i="2" s="1"/>
  <c r="H836" i="2" l="1"/>
  <c r="I836" i="2"/>
  <c r="J835" i="2"/>
  <c r="F836" i="2"/>
  <c r="G836" i="2" s="1"/>
  <c r="K835" i="2"/>
  <c r="H837" i="2" l="1"/>
  <c r="I837" i="2"/>
  <c r="J836" i="2"/>
  <c r="F837" i="2"/>
  <c r="G837" i="2" s="1"/>
  <c r="K836" i="2"/>
  <c r="E838" i="2" l="1"/>
  <c r="G838" i="2" s="1"/>
  <c r="H838" i="2"/>
  <c r="I838" i="2"/>
  <c r="J837" i="2"/>
  <c r="K837" i="2"/>
  <c r="E839" i="2" l="1"/>
  <c r="G839" i="2" s="1"/>
  <c r="H839" i="2"/>
  <c r="I839" i="2"/>
  <c r="J838" i="2"/>
  <c r="K838" i="2" s="1"/>
  <c r="E840" i="2" l="1"/>
  <c r="G840" i="2" s="1"/>
  <c r="H840" i="2"/>
  <c r="I840" i="2"/>
  <c r="J839" i="2"/>
  <c r="K839" i="2" s="1"/>
  <c r="F841" i="2" l="1"/>
  <c r="G841" i="2" s="1"/>
  <c r="H841" i="2"/>
  <c r="I841" i="2"/>
  <c r="J840" i="2"/>
  <c r="K840" i="2" s="1"/>
  <c r="F842" i="2" l="1"/>
  <c r="G842" i="2" s="1"/>
  <c r="H842" i="2"/>
  <c r="I842" i="2"/>
  <c r="J841" i="2"/>
  <c r="K841" i="2" s="1"/>
  <c r="H843" i="2" l="1"/>
  <c r="I843" i="2"/>
  <c r="J842" i="2"/>
  <c r="K842" i="2" s="1"/>
  <c r="F843" i="2"/>
  <c r="G843" i="2" s="1"/>
  <c r="H844" i="2" l="1"/>
  <c r="I844" i="2"/>
  <c r="J843" i="2"/>
  <c r="K843" i="2" s="1"/>
  <c r="F844" i="2"/>
  <c r="G844" i="2" s="1"/>
  <c r="H845" i="2" l="1"/>
  <c r="I845" i="2"/>
  <c r="J844" i="2"/>
  <c r="E845" i="2"/>
  <c r="G845" i="2" s="1"/>
  <c r="K844" i="2"/>
  <c r="E846" i="2" l="1"/>
  <c r="G846" i="2" s="1"/>
  <c r="H846" i="2"/>
  <c r="I846" i="2"/>
  <c r="J845" i="2"/>
  <c r="K845" i="2" s="1"/>
  <c r="E847" i="2" l="1"/>
  <c r="G847" i="2" s="1"/>
  <c r="H847" i="2"/>
  <c r="J846" i="2"/>
  <c r="K846" i="2" s="1"/>
  <c r="I847" i="2"/>
  <c r="E848" i="2" l="1"/>
  <c r="G848" i="2" s="1"/>
  <c r="H848" i="2"/>
  <c r="I848" i="2"/>
  <c r="J847" i="2"/>
  <c r="K847" i="2" s="1"/>
  <c r="F849" i="2" l="1"/>
  <c r="G849" i="2" s="1"/>
  <c r="H849" i="2"/>
  <c r="I849" i="2"/>
  <c r="J848" i="2"/>
  <c r="K848" i="2" s="1"/>
  <c r="F850" i="2" l="1"/>
  <c r="G850" i="2" s="1"/>
  <c r="H850" i="2"/>
  <c r="I850" i="2"/>
  <c r="J849" i="2"/>
  <c r="K849" i="2" s="1"/>
  <c r="K850" i="2" l="1"/>
  <c r="H851" i="2"/>
  <c r="I851" i="2"/>
  <c r="J850" i="2"/>
  <c r="F851" i="2"/>
  <c r="G851" i="2" s="1"/>
  <c r="H852" i="2" l="1"/>
  <c r="I852" i="2"/>
  <c r="J851" i="2"/>
  <c r="K851" i="2" s="1"/>
  <c r="F852" i="2"/>
  <c r="G852" i="2" s="1"/>
  <c r="H853" i="2" l="1"/>
  <c r="I853" i="2"/>
  <c r="J852" i="2"/>
  <c r="K852" i="2" s="1"/>
  <c r="F853" i="2"/>
  <c r="G853" i="2" s="1"/>
  <c r="E854" i="2" l="1"/>
  <c r="G854" i="2" s="1"/>
  <c r="H854" i="2"/>
  <c r="I854" i="2"/>
  <c r="J853" i="2"/>
  <c r="K853" i="2"/>
  <c r="F855" i="2" l="1"/>
  <c r="G855" i="2" s="1"/>
  <c r="H855" i="2"/>
  <c r="I855" i="2"/>
  <c r="J854" i="2"/>
  <c r="K854" i="2" s="1"/>
  <c r="E856" i="2" l="1"/>
  <c r="G856" i="2" s="1"/>
  <c r="H856" i="2"/>
  <c r="I856" i="2"/>
  <c r="J855" i="2"/>
  <c r="K855" i="2"/>
  <c r="E857" i="2" l="1"/>
  <c r="G857" i="2" s="1"/>
  <c r="H857" i="2"/>
  <c r="I857" i="2"/>
  <c r="J856" i="2"/>
  <c r="K856" i="2" s="1"/>
  <c r="E858" i="2" l="1"/>
  <c r="G858" i="2" s="1"/>
  <c r="H858" i="2"/>
  <c r="I858" i="2"/>
  <c r="J857" i="2"/>
  <c r="K857" i="2" s="1"/>
  <c r="K858" i="2" l="1"/>
  <c r="H859" i="2"/>
  <c r="I859" i="2"/>
  <c r="J858" i="2"/>
  <c r="F859" i="2"/>
  <c r="G859" i="2" s="1"/>
  <c r="H860" i="2" l="1"/>
  <c r="I860" i="2"/>
  <c r="J859" i="2"/>
  <c r="E860" i="2"/>
  <c r="G860" i="2" s="1"/>
  <c r="K859" i="2"/>
  <c r="H861" i="2" l="1"/>
  <c r="I861" i="2"/>
  <c r="J860" i="2"/>
  <c r="F861" i="2"/>
  <c r="G861" i="2" s="1"/>
  <c r="K860" i="2"/>
  <c r="F862" i="2" l="1"/>
  <c r="G862" i="2" s="1"/>
  <c r="H862" i="2"/>
  <c r="I862" i="2"/>
  <c r="J861" i="2"/>
  <c r="K861" i="2"/>
  <c r="E863" i="2" l="1"/>
  <c r="G863" i="2" s="1"/>
  <c r="H863" i="2"/>
  <c r="I863" i="2"/>
  <c r="J862" i="2"/>
  <c r="K862" i="2" s="1"/>
  <c r="E864" i="2" l="1"/>
  <c r="G864" i="2" s="1"/>
  <c r="H864" i="2"/>
  <c r="I864" i="2"/>
  <c r="J863" i="2"/>
  <c r="K863" i="2" s="1"/>
  <c r="E865" i="2" l="1"/>
  <c r="G865" i="2" s="1"/>
  <c r="H865" i="2"/>
  <c r="I865" i="2"/>
  <c r="J864" i="2"/>
  <c r="K864" i="2" s="1"/>
  <c r="E866" i="2" l="1"/>
  <c r="G866" i="2" s="1"/>
  <c r="H866" i="2"/>
  <c r="I866" i="2"/>
  <c r="J865" i="2"/>
  <c r="K865" i="2" s="1"/>
  <c r="H867" i="2" l="1"/>
  <c r="I867" i="2"/>
  <c r="J866" i="2"/>
  <c r="K866" i="2" s="1"/>
  <c r="E867" i="2"/>
  <c r="G867" i="2" s="1"/>
  <c r="H868" i="2" l="1"/>
  <c r="I868" i="2"/>
  <c r="J867" i="2"/>
  <c r="E868" i="2"/>
  <c r="G868" i="2" s="1"/>
  <c r="K867" i="2"/>
  <c r="H869" i="2" l="1"/>
  <c r="I869" i="2"/>
  <c r="J868" i="2"/>
  <c r="E869" i="2"/>
  <c r="G869" i="2" s="1"/>
  <c r="K868" i="2"/>
  <c r="F870" i="2" l="1"/>
  <c r="G870" i="2" s="1"/>
  <c r="H870" i="2"/>
  <c r="I870" i="2"/>
  <c r="J869" i="2"/>
  <c r="K869" i="2"/>
  <c r="E871" i="2" l="1"/>
  <c r="G871" i="2" s="1"/>
  <c r="H871" i="2"/>
  <c r="I871" i="2"/>
  <c r="J870" i="2"/>
  <c r="K870" i="2" s="1"/>
  <c r="F872" i="2" l="1"/>
  <c r="G872" i="2" s="1"/>
  <c r="H872" i="2"/>
  <c r="I872" i="2"/>
  <c r="J871" i="2"/>
  <c r="K871" i="2" s="1"/>
  <c r="E873" i="2" l="1"/>
  <c r="G873" i="2" s="1"/>
  <c r="H873" i="2"/>
  <c r="I873" i="2"/>
  <c r="J872" i="2"/>
  <c r="K872" i="2" s="1"/>
  <c r="E874" i="2" l="1"/>
  <c r="G874" i="2" s="1"/>
  <c r="H874" i="2"/>
  <c r="I874" i="2"/>
  <c r="J873" i="2"/>
  <c r="K873" i="2" s="1"/>
  <c r="H875" i="2" l="1"/>
  <c r="I875" i="2"/>
  <c r="J874" i="2"/>
  <c r="K874" i="2" s="1"/>
  <c r="E875" i="2"/>
  <c r="G875" i="2" s="1"/>
  <c r="H876" i="2" l="1"/>
  <c r="I876" i="2"/>
  <c r="J875" i="2"/>
  <c r="K875" i="2" s="1"/>
  <c r="F876" i="2"/>
  <c r="G876" i="2" s="1"/>
  <c r="H877" i="2" l="1"/>
  <c r="I877" i="2"/>
  <c r="J876" i="2"/>
  <c r="K876" i="2" s="1"/>
  <c r="F877" i="2"/>
  <c r="G877" i="2" s="1"/>
  <c r="E878" i="2" l="1"/>
  <c r="G878" i="2" s="1"/>
  <c r="H878" i="2"/>
  <c r="I878" i="2"/>
  <c r="J877" i="2"/>
  <c r="K877" i="2"/>
  <c r="F879" i="2" l="1"/>
  <c r="G879" i="2" s="1"/>
  <c r="H879" i="2"/>
  <c r="J878" i="2"/>
  <c r="K878" i="2" s="1"/>
  <c r="I879" i="2"/>
  <c r="F880" i="2" l="1"/>
  <c r="G880" i="2" s="1"/>
  <c r="H880" i="2"/>
  <c r="I880" i="2"/>
  <c r="J879" i="2"/>
  <c r="K879" i="2" s="1"/>
  <c r="E881" i="2" l="1"/>
  <c r="G881" i="2" s="1"/>
  <c r="H881" i="2"/>
  <c r="I881" i="2"/>
  <c r="J880" i="2"/>
  <c r="K880" i="2" s="1"/>
  <c r="F882" i="2" l="1"/>
  <c r="G882" i="2" s="1"/>
  <c r="H882" i="2"/>
  <c r="I882" i="2"/>
  <c r="J881" i="2"/>
  <c r="K881" i="2" s="1"/>
  <c r="H883" i="2" l="1"/>
  <c r="I883" i="2"/>
  <c r="J882" i="2"/>
  <c r="K882" i="2" s="1"/>
  <c r="F883" i="2"/>
  <c r="G883" i="2" s="1"/>
  <c r="H884" i="2" l="1"/>
  <c r="I884" i="2"/>
  <c r="J883" i="2"/>
  <c r="E884" i="2"/>
  <c r="G884" i="2" s="1"/>
  <c r="K883" i="2"/>
  <c r="H885" i="2" l="1"/>
  <c r="I885" i="2"/>
  <c r="J884" i="2"/>
  <c r="K884" i="2" s="1"/>
  <c r="E885" i="2"/>
  <c r="G885" i="2" s="1"/>
  <c r="F886" i="2" l="1"/>
  <c r="G886" i="2" s="1"/>
  <c r="H886" i="2"/>
  <c r="I886" i="2"/>
  <c r="J885" i="2"/>
  <c r="K885" i="2"/>
  <c r="E887" i="2" l="1"/>
  <c r="G887" i="2" s="1"/>
  <c r="H887" i="2"/>
  <c r="I887" i="2"/>
  <c r="J886" i="2"/>
  <c r="K886" i="2" s="1"/>
  <c r="K887" i="2" l="1"/>
  <c r="E888" i="2"/>
  <c r="G888" i="2" s="1"/>
  <c r="H888" i="2"/>
  <c r="I888" i="2"/>
  <c r="J887" i="2"/>
  <c r="E889" i="2" l="1"/>
  <c r="G889" i="2" s="1"/>
  <c r="H889" i="2"/>
  <c r="I889" i="2"/>
  <c r="J888" i="2"/>
  <c r="K888" i="2" s="1"/>
  <c r="K889" i="2" l="1"/>
  <c r="F890" i="2"/>
  <c r="G890" i="2" s="1"/>
  <c r="H890" i="2"/>
  <c r="I890" i="2"/>
  <c r="J889" i="2"/>
  <c r="H891" i="2" l="1"/>
  <c r="I891" i="2"/>
  <c r="J890" i="2"/>
  <c r="K890" i="2" s="1"/>
  <c r="F891" i="2"/>
  <c r="G891" i="2" s="1"/>
  <c r="H892" i="2" l="1"/>
  <c r="I892" i="2"/>
  <c r="J891" i="2"/>
  <c r="E892" i="2"/>
  <c r="G892" i="2" s="1"/>
  <c r="K891" i="2"/>
  <c r="H893" i="2" l="1"/>
  <c r="I893" i="2"/>
  <c r="J892" i="2"/>
  <c r="F893" i="2"/>
  <c r="G893" i="2" s="1"/>
  <c r="K892" i="2"/>
  <c r="E894" i="2" l="1"/>
  <c r="G894" i="2" s="1"/>
  <c r="H894" i="2"/>
  <c r="I894" i="2"/>
  <c r="J893" i="2"/>
  <c r="K893" i="2"/>
  <c r="E895" i="2" l="1"/>
  <c r="G895" i="2" s="1"/>
  <c r="H895" i="2"/>
  <c r="I895" i="2"/>
  <c r="J894" i="2"/>
  <c r="K894" i="2" s="1"/>
  <c r="E896" i="2" l="1"/>
  <c r="G896" i="2" s="1"/>
  <c r="H896" i="2"/>
  <c r="I896" i="2"/>
  <c r="J895" i="2"/>
  <c r="K895" i="2"/>
  <c r="F897" i="2" l="1"/>
  <c r="G897" i="2" s="1"/>
  <c r="H897" i="2"/>
  <c r="I897" i="2"/>
  <c r="J896" i="2"/>
  <c r="K896" i="2" s="1"/>
  <c r="F898" i="2" l="1"/>
  <c r="G898" i="2" s="1"/>
  <c r="H898" i="2"/>
  <c r="I898" i="2"/>
  <c r="J897" i="2"/>
  <c r="K897" i="2" s="1"/>
  <c r="H899" i="2" l="1"/>
  <c r="I899" i="2"/>
  <c r="J898" i="2"/>
  <c r="K898" i="2" s="1"/>
  <c r="F899" i="2"/>
  <c r="G899" i="2" s="1"/>
  <c r="H900" i="2" l="1"/>
  <c r="I900" i="2"/>
  <c r="J899" i="2"/>
  <c r="K899" i="2" s="1"/>
  <c r="F900" i="2"/>
  <c r="G900" i="2" s="1"/>
  <c r="H901" i="2" l="1"/>
  <c r="I901" i="2"/>
  <c r="J900" i="2"/>
  <c r="E901" i="2"/>
  <c r="G901" i="2" s="1"/>
  <c r="K900" i="2"/>
  <c r="F902" i="2" l="1"/>
  <c r="G902" i="2" s="1"/>
  <c r="H902" i="2"/>
  <c r="I902" i="2"/>
  <c r="J901" i="2"/>
  <c r="K901" i="2"/>
  <c r="E903" i="2" l="1"/>
  <c r="G903" i="2" s="1"/>
  <c r="H903" i="2"/>
  <c r="I903" i="2"/>
  <c r="J902" i="2"/>
  <c r="K902" i="2" s="1"/>
  <c r="E904" i="2" l="1"/>
  <c r="G904" i="2" s="1"/>
  <c r="H904" i="2"/>
  <c r="I904" i="2"/>
  <c r="J903" i="2"/>
  <c r="K903" i="2" s="1"/>
  <c r="F905" i="2" l="1"/>
  <c r="G905" i="2" s="1"/>
  <c r="H905" i="2"/>
  <c r="I905" i="2"/>
  <c r="J904" i="2"/>
  <c r="K904" i="2" s="1"/>
  <c r="E906" i="2" l="1"/>
  <c r="G906" i="2" s="1"/>
  <c r="H906" i="2"/>
  <c r="I906" i="2"/>
  <c r="J905" i="2"/>
  <c r="K905" i="2" s="1"/>
  <c r="H907" i="2" l="1"/>
  <c r="I907" i="2"/>
  <c r="J906" i="2"/>
  <c r="K906" i="2" s="1"/>
  <c r="F907" i="2"/>
  <c r="G907" i="2" s="1"/>
  <c r="H908" i="2" l="1"/>
  <c r="I908" i="2"/>
  <c r="J907" i="2"/>
  <c r="F908" i="2"/>
  <c r="G908" i="2" s="1"/>
  <c r="K907" i="2"/>
  <c r="H909" i="2" l="1"/>
  <c r="I909" i="2"/>
  <c r="J908" i="2"/>
  <c r="E909" i="2"/>
  <c r="G909" i="2" s="1"/>
  <c r="K908" i="2"/>
  <c r="E910" i="2" l="1"/>
  <c r="G910" i="2" s="1"/>
  <c r="H910" i="2"/>
  <c r="I910" i="2"/>
  <c r="J909" i="2"/>
  <c r="K909" i="2" s="1"/>
  <c r="E911" i="2" l="1"/>
  <c r="G911" i="2" s="1"/>
  <c r="H911" i="2"/>
  <c r="J910" i="2"/>
  <c r="K910" i="2" s="1"/>
  <c r="I911" i="2"/>
  <c r="F912" i="2" l="1"/>
  <c r="G912" i="2" s="1"/>
  <c r="H912" i="2"/>
  <c r="I912" i="2"/>
  <c r="J911" i="2"/>
  <c r="K911" i="2"/>
  <c r="E913" i="2" l="1"/>
  <c r="G913" i="2" s="1"/>
  <c r="H913" i="2"/>
  <c r="I913" i="2"/>
  <c r="J912" i="2"/>
  <c r="K912" i="2" s="1"/>
  <c r="E914" i="2" l="1"/>
  <c r="G914" i="2" s="1"/>
  <c r="H914" i="2"/>
  <c r="I914" i="2"/>
  <c r="J913" i="2"/>
  <c r="K913" i="2" s="1"/>
  <c r="H915" i="2" l="1"/>
  <c r="I915" i="2"/>
  <c r="J914" i="2"/>
  <c r="K914" i="2" s="1"/>
  <c r="E915" i="2"/>
  <c r="G915" i="2" s="1"/>
  <c r="H916" i="2" l="1"/>
  <c r="I916" i="2"/>
  <c r="J915" i="2"/>
  <c r="F916" i="2"/>
  <c r="G916" i="2" s="1"/>
  <c r="K915" i="2"/>
  <c r="H917" i="2" l="1"/>
  <c r="I917" i="2"/>
  <c r="J916" i="2"/>
  <c r="E917" i="2"/>
  <c r="G917" i="2" s="1"/>
  <c r="K916" i="2"/>
  <c r="E918" i="2" l="1"/>
  <c r="G918" i="2" s="1"/>
  <c r="H918" i="2"/>
  <c r="I918" i="2"/>
  <c r="J917" i="2"/>
  <c r="K917" i="2"/>
  <c r="F919" i="2" l="1"/>
  <c r="G919" i="2" s="1"/>
  <c r="H919" i="2"/>
  <c r="I919" i="2"/>
  <c r="J918" i="2"/>
  <c r="K918" i="2" s="1"/>
  <c r="E920" i="2" l="1"/>
  <c r="G920" i="2" s="1"/>
  <c r="H920" i="2"/>
  <c r="I920" i="2"/>
  <c r="J919" i="2"/>
  <c r="K919" i="2" s="1"/>
  <c r="F921" i="2" l="1"/>
  <c r="G921" i="2" s="1"/>
  <c r="H921" i="2"/>
  <c r="I921" i="2"/>
  <c r="J920" i="2"/>
  <c r="K920" i="2" s="1"/>
  <c r="E922" i="2" l="1"/>
  <c r="G922" i="2" s="1"/>
  <c r="H922" i="2"/>
  <c r="I922" i="2"/>
  <c r="J921" i="2"/>
  <c r="K921" i="2" s="1"/>
  <c r="I923" i="2" l="1"/>
  <c r="H923" i="2"/>
  <c r="J922" i="2"/>
  <c r="K922" i="2" s="1"/>
  <c r="F923" i="2"/>
  <c r="G923" i="2" s="1"/>
  <c r="H924" i="2" l="1"/>
  <c r="I924" i="2"/>
  <c r="J923" i="2"/>
  <c r="K923" i="2" s="1"/>
  <c r="E924" i="2"/>
  <c r="G924" i="2" s="1"/>
  <c r="K924" i="2" l="1"/>
  <c r="H925" i="2"/>
  <c r="I925" i="2"/>
  <c r="J924" i="2"/>
  <c r="F925" i="2"/>
  <c r="G925" i="2" s="1"/>
  <c r="F926" i="2" l="1"/>
  <c r="G926" i="2" s="1"/>
  <c r="H926" i="2"/>
  <c r="I926" i="2"/>
  <c r="J925" i="2"/>
  <c r="K925" i="2" s="1"/>
  <c r="E927" i="2" l="1"/>
  <c r="G927" i="2" s="1"/>
  <c r="H927" i="2"/>
  <c r="I927" i="2"/>
  <c r="J926" i="2"/>
  <c r="K926" i="2"/>
  <c r="E928" i="2" l="1"/>
  <c r="G928" i="2" s="1"/>
  <c r="H928" i="2"/>
  <c r="I928" i="2"/>
  <c r="J927" i="2"/>
  <c r="K927" i="2" s="1"/>
  <c r="F929" i="2" l="1"/>
  <c r="G929" i="2" s="1"/>
  <c r="H929" i="2"/>
  <c r="I929" i="2"/>
  <c r="J928" i="2"/>
  <c r="K928" i="2" s="1"/>
  <c r="F930" i="2" l="1"/>
  <c r="G930" i="2" s="1"/>
  <c r="H930" i="2"/>
  <c r="I930" i="2"/>
  <c r="J929" i="2"/>
  <c r="K929" i="2" s="1"/>
  <c r="H931" i="2" l="1"/>
  <c r="I931" i="2"/>
  <c r="J930" i="2"/>
  <c r="K930" i="2" s="1"/>
  <c r="F931" i="2"/>
  <c r="G931" i="2" s="1"/>
  <c r="H932" i="2" l="1"/>
  <c r="I932" i="2"/>
  <c r="J931" i="2"/>
  <c r="E932" i="2"/>
  <c r="G932" i="2" s="1"/>
  <c r="K931" i="2"/>
  <c r="H933" i="2" l="1"/>
  <c r="I933" i="2"/>
  <c r="J932" i="2"/>
  <c r="F933" i="2"/>
  <c r="G933" i="2" s="1"/>
  <c r="K932" i="2"/>
  <c r="F934" i="2" l="1"/>
  <c r="G934" i="2" s="1"/>
  <c r="H934" i="2"/>
  <c r="I934" i="2"/>
  <c r="J933" i="2"/>
  <c r="K933" i="2"/>
  <c r="F935" i="2" l="1"/>
  <c r="G935" i="2" s="1"/>
  <c r="H935" i="2"/>
  <c r="I935" i="2"/>
  <c r="J934" i="2"/>
  <c r="K934" i="2" s="1"/>
  <c r="E936" i="2" l="1"/>
  <c r="G936" i="2" s="1"/>
  <c r="H936" i="2"/>
  <c r="I936" i="2"/>
  <c r="J935" i="2"/>
  <c r="K935" i="2" s="1"/>
  <c r="E937" i="2" l="1"/>
  <c r="G937" i="2" s="1"/>
  <c r="H937" i="2"/>
  <c r="I937" i="2"/>
  <c r="J936" i="2"/>
  <c r="K936" i="2" s="1"/>
  <c r="F938" i="2" l="1"/>
  <c r="G938" i="2" s="1"/>
  <c r="H938" i="2"/>
  <c r="I938" i="2"/>
  <c r="J937" i="2"/>
  <c r="K937" i="2" s="1"/>
  <c r="K938" i="2" l="1"/>
  <c r="H939" i="2"/>
  <c r="I939" i="2"/>
  <c r="J938" i="2"/>
  <c r="F939" i="2"/>
  <c r="G939" i="2" s="1"/>
  <c r="H940" i="2" l="1"/>
  <c r="I940" i="2"/>
  <c r="J939" i="2"/>
  <c r="F940" i="2"/>
  <c r="G940" i="2" s="1"/>
  <c r="K939" i="2"/>
  <c r="H941" i="2" l="1"/>
  <c r="I941" i="2"/>
  <c r="J940" i="2"/>
  <c r="E941" i="2"/>
  <c r="G941" i="2" s="1"/>
  <c r="K940" i="2"/>
  <c r="E942" i="2" l="1"/>
  <c r="G942" i="2" s="1"/>
  <c r="H942" i="2"/>
  <c r="I942" i="2"/>
  <c r="J941" i="2"/>
  <c r="K941" i="2"/>
  <c r="E943" i="2" l="1"/>
  <c r="G943" i="2" s="1"/>
  <c r="H943" i="2"/>
  <c r="J942" i="2"/>
  <c r="K942" i="2" s="1"/>
  <c r="I943" i="2"/>
  <c r="F944" i="2" l="1"/>
  <c r="G944" i="2" s="1"/>
  <c r="H944" i="2"/>
  <c r="I944" i="2"/>
  <c r="J943" i="2"/>
  <c r="K943" i="2" s="1"/>
  <c r="F945" i="2" l="1"/>
  <c r="G945" i="2" s="1"/>
  <c r="H945" i="2"/>
  <c r="I945" i="2"/>
  <c r="J944" i="2"/>
  <c r="K944" i="2"/>
  <c r="K945" i="2" l="1"/>
  <c r="F946" i="2"/>
  <c r="G946" i="2" s="1"/>
  <c r="I946" i="2"/>
  <c r="H946" i="2"/>
  <c r="J945" i="2"/>
  <c r="I947" i="2" l="1"/>
  <c r="H947" i="2"/>
  <c r="J946" i="2"/>
  <c r="K946" i="2" s="1"/>
  <c r="F947" i="2"/>
  <c r="G947" i="2" s="1"/>
  <c r="H948" i="2" l="1"/>
  <c r="I948" i="2"/>
  <c r="J947" i="2"/>
  <c r="E948" i="2"/>
  <c r="G948" i="2" s="1"/>
  <c r="K947" i="2"/>
  <c r="H949" i="2" l="1"/>
  <c r="I949" i="2"/>
  <c r="J948" i="2"/>
  <c r="F949" i="2"/>
  <c r="G949" i="2" s="1"/>
  <c r="K948" i="2"/>
  <c r="E950" i="2" l="1"/>
  <c r="G950" i="2" s="1"/>
  <c r="H950" i="2"/>
  <c r="J949" i="2"/>
  <c r="I950" i="2"/>
  <c r="K949" i="2"/>
  <c r="E951" i="2" l="1"/>
  <c r="G951" i="2" s="1"/>
  <c r="H951" i="2"/>
  <c r="I951" i="2"/>
  <c r="J950" i="2"/>
  <c r="K950" i="2" s="1"/>
  <c r="F952" i="2" l="1"/>
  <c r="G952" i="2" s="1"/>
  <c r="H952" i="2"/>
  <c r="I952" i="2"/>
  <c r="J951" i="2"/>
  <c r="K951" i="2" s="1"/>
  <c r="F953" i="2" l="1"/>
  <c r="G953" i="2" s="1"/>
  <c r="H953" i="2"/>
  <c r="I953" i="2"/>
  <c r="J952" i="2"/>
  <c r="K952" i="2" s="1"/>
  <c r="F954" i="2" l="1"/>
  <c r="G954" i="2" s="1"/>
  <c r="H954" i="2"/>
  <c r="I954" i="2"/>
  <c r="J953" i="2"/>
  <c r="K953" i="2" s="1"/>
  <c r="H955" i="2" l="1"/>
  <c r="I955" i="2"/>
  <c r="J954" i="2"/>
  <c r="K954" i="2" s="1"/>
  <c r="F955" i="2"/>
  <c r="G955" i="2" s="1"/>
  <c r="H956" i="2" l="1"/>
  <c r="I956" i="2"/>
  <c r="J955" i="2"/>
  <c r="F956" i="2"/>
  <c r="G956" i="2" s="1"/>
  <c r="K955" i="2"/>
  <c r="H957" i="2" l="1"/>
  <c r="I957" i="2"/>
  <c r="J956" i="2"/>
  <c r="E957" i="2"/>
  <c r="G957" i="2" s="1"/>
  <c r="K956" i="2"/>
  <c r="E958" i="2" l="1"/>
  <c r="G958" i="2" s="1"/>
  <c r="H958" i="2"/>
  <c r="I958" i="2"/>
  <c r="J957" i="2"/>
  <c r="K957" i="2"/>
  <c r="F959" i="2" l="1"/>
  <c r="G959" i="2" s="1"/>
  <c r="H959" i="2"/>
  <c r="I959" i="2"/>
  <c r="J958" i="2"/>
  <c r="K958" i="2" s="1"/>
  <c r="F960" i="2" l="1"/>
  <c r="G960" i="2" s="1"/>
  <c r="H960" i="2"/>
  <c r="I960" i="2"/>
  <c r="J959" i="2"/>
  <c r="K959" i="2"/>
  <c r="F961" i="2" l="1"/>
  <c r="G961" i="2" s="1"/>
  <c r="H961" i="2"/>
  <c r="I961" i="2"/>
  <c r="J960" i="2"/>
  <c r="K960" i="2" s="1"/>
  <c r="E962" i="2" l="1"/>
  <c r="G962" i="2" s="1"/>
  <c r="H962" i="2"/>
  <c r="I962" i="2"/>
  <c r="J961" i="2"/>
  <c r="K961" i="2" s="1"/>
  <c r="K962" i="2" l="1"/>
  <c r="H963" i="2"/>
  <c r="I963" i="2"/>
  <c r="J962" i="2"/>
  <c r="F963" i="2"/>
  <c r="G963" i="2" s="1"/>
  <c r="H964" i="2" l="1"/>
  <c r="I964" i="2"/>
  <c r="J963" i="2"/>
  <c r="E964" i="2"/>
  <c r="G964" i="2" s="1"/>
  <c r="K963" i="2"/>
  <c r="H965" i="2" l="1"/>
  <c r="I965" i="2"/>
  <c r="J964" i="2"/>
  <c r="E965" i="2"/>
  <c r="G965" i="2" s="1"/>
  <c r="K964" i="2"/>
  <c r="F966" i="2" l="1"/>
  <c r="G966" i="2" s="1"/>
  <c r="H966" i="2"/>
  <c r="I966" i="2"/>
  <c r="J965" i="2"/>
  <c r="K965" i="2"/>
  <c r="F967" i="2" l="1"/>
  <c r="G967" i="2" s="1"/>
  <c r="H967" i="2"/>
  <c r="I967" i="2"/>
  <c r="J966" i="2"/>
  <c r="K966" i="2" s="1"/>
  <c r="E968" i="2" l="1"/>
  <c r="G968" i="2" s="1"/>
  <c r="H968" i="2"/>
  <c r="I968" i="2"/>
  <c r="J967" i="2"/>
  <c r="K967" i="2" s="1"/>
  <c r="F969" i="2" l="1"/>
  <c r="G969" i="2" s="1"/>
  <c r="H969" i="2"/>
  <c r="I969" i="2"/>
  <c r="J968" i="2"/>
  <c r="K968" i="2" s="1"/>
  <c r="E970" i="2" l="1"/>
  <c r="G970" i="2" s="1"/>
  <c r="H970" i="2"/>
  <c r="I970" i="2"/>
  <c r="J969" i="2"/>
  <c r="K969" i="2" s="1"/>
  <c r="H971" i="2" l="1"/>
  <c r="I971" i="2"/>
  <c r="J970" i="2"/>
  <c r="K970" i="2" s="1"/>
  <c r="F971" i="2"/>
  <c r="G971" i="2" s="1"/>
  <c r="H972" i="2" l="1"/>
  <c r="I972" i="2"/>
  <c r="J971" i="2"/>
  <c r="E972" i="2"/>
  <c r="G972" i="2" s="1"/>
  <c r="K971" i="2"/>
  <c r="H973" i="2" l="1"/>
  <c r="I973" i="2"/>
  <c r="J972" i="2"/>
  <c r="E973" i="2"/>
  <c r="G973" i="2" s="1"/>
  <c r="K972" i="2"/>
  <c r="F974" i="2" l="1"/>
  <c r="G974" i="2" s="1"/>
  <c r="H974" i="2"/>
  <c r="I974" i="2"/>
  <c r="J973" i="2"/>
  <c r="K973" i="2"/>
  <c r="E975" i="2" l="1"/>
  <c r="G975" i="2" s="1"/>
  <c r="H975" i="2"/>
  <c r="J974" i="2"/>
  <c r="K974" i="2" s="1"/>
  <c r="I975" i="2"/>
  <c r="E976" i="2" l="1"/>
  <c r="G976" i="2" s="1"/>
  <c r="H976" i="2"/>
  <c r="I976" i="2"/>
  <c r="J975" i="2"/>
  <c r="K975" i="2" s="1"/>
  <c r="E977" i="2" l="1"/>
  <c r="G977" i="2" s="1"/>
  <c r="H977" i="2"/>
  <c r="I977" i="2"/>
  <c r="J976" i="2"/>
  <c r="K976" i="2" s="1"/>
  <c r="F978" i="2" l="1"/>
  <c r="G978" i="2" s="1"/>
  <c r="H978" i="2"/>
  <c r="I978" i="2"/>
  <c r="J977" i="2"/>
  <c r="K977" i="2"/>
  <c r="H979" i="2" l="1"/>
  <c r="I979" i="2"/>
  <c r="J978" i="2"/>
  <c r="K978" i="2" s="1"/>
  <c r="F979" i="2"/>
  <c r="G979" i="2" s="1"/>
  <c r="H980" i="2" l="1"/>
  <c r="I980" i="2"/>
  <c r="J979" i="2"/>
  <c r="F980" i="2"/>
  <c r="G980" i="2" s="1"/>
  <c r="K979" i="2"/>
  <c r="H981" i="2" l="1"/>
  <c r="I981" i="2"/>
  <c r="J980" i="2"/>
  <c r="E981" i="2"/>
  <c r="G981" i="2" s="1"/>
  <c r="K980" i="2"/>
  <c r="E982" i="2" l="1"/>
  <c r="G982" i="2" s="1"/>
  <c r="H982" i="2"/>
  <c r="I982" i="2"/>
  <c r="J981" i="2"/>
  <c r="K981" i="2"/>
  <c r="F983" i="2" l="1"/>
  <c r="G983" i="2" s="1"/>
  <c r="H983" i="2"/>
  <c r="I983" i="2"/>
  <c r="J982" i="2"/>
  <c r="K982" i="2" s="1"/>
  <c r="F984" i="2" l="1"/>
  <c r="G984" i="2" s="1"/>
  <c r="H984" i="2"/>
  <c r="I984" i="2"/>
  <c r="J983" i="2"/>
  <c r="K983" i="2"/>
  <c r="E985" i="2" l="1"/>
  <c r="G985" i="2" s="1"/>
  <c r="H985" i="2"/>
  <c r="I985" i="2"/>
  <c r="J984" i="2"/>
  <c r="K984" i="2" s="1"/>
  <c r="F986" i="2" l="1"/>
  <c r="G986" i="2" s="1"/>
  <c r="H986" i="2"/>
  <c r="I986" i="2"/>
  <c r="J985" i="2"/>
  <c r="K985" i="2"/>
  <c r="H987" i="2" l="1"/>
  <c r="I987" i="2"/>
  <c r="J986" i="2"/>
  <c r="K986" i="2" s="1"/>
  <c r="E987" i="2"/>
  <c r="G987" i="2" s="1"/>
  <c r="H988" i="2" l="1"/>
  <c r="I988" i="2"/>
  <c r="J987" i="2"/>
  <c r="K987" i="2" s="1"/>
  <c r="F988" i="2"/>
  <c r="G988" i="2" s="1"/>
  <c r="H989" i="2" l="1"/>
  <c r="I989" i="2"/>
  <c r="J988" i="2"/>
  <c r="K988" i="2" s="1"/>
  <c r="F989" i="2"/>
  <c r="G989" i="2" s="1"/>
  <c r="F990" i="2" l="1"/>
  <c r="G990" i="2" s="1"/>
  <c r="H990" i="2"/>
  <c r="I990" i="2"/>
  <c r="J989" i="2"/>
  <c r="K989" i="2"/>
  <c r="F991" i="2" l="1"/>
  <c r="G991" i="2" s="1"/>
  <c r="H991" i="2"/>
  <c r="I991" i="2"/>
  <c r="J990" i="2"/>
  <c r="K990" i="2" s="1"/>
  <c r="E992" i="2" l="1"/>
  <c r="G992" i="2" s="1"/>
  <c r="H992" i="2"/>
  <c r="I992" i="2"/>
  <c r="J991" i="2"/>
  <c r="K991" i="2"/>
  <c r="E993" i="2" l="1"/>
  <c r="G993" i="2" s="1"/>
  <c r="H993" i="2"/>
  <c r="I993" i="2"/>
  <c r="J992" i="2"/>
  <c r="K992" i="2" s="1"/>
  <c r="E994" i="2" l="1"/>
  <c r="G994" i="2" s="1"/>
  <c r="H994" i="2"/>
  <c r="I994" i="2"/>
  <c r="J993" i="2"/>
  <c r="K993" i="2"/>
  <c r="H995" i="2" l="1"/>
  <c r="I995" i="2"/>
  <c r="J994" i="2"/>
  <c r="K994" i="2" s="1"/>
  <c r="F995" i="2"/>
  <c r="G995" i="2" s="1"/>
  <c r="H996" i="2" l="1"/>
  <c r="I996" i="2"/>
  <c r="J995" i="2"/>
  <c r="F996" i="2"/>
  <c r="G996" i="2" s="1"/>
  <c r="K995" i="2"/>
  <c r="H997" i="2" l="1"/>
  <c r="I997" i="2"/>
  <c r="J996" i="2"/>
  <c r="F997" i="2"/>
  <c r="G997" i="2" s="1"/>
  <c r="K996" i="2"/>
  <c r="E998" i="2" l="1"/>
  <c r="G998" i="2" s="1"/>
  <c r="H998" i="2"/>
  <c r="I998" i="2"/>
  <c r="J997" i="2"/>
  <c r="K997" i="2" s="1"/>
  <c r="F999" i="2" l="1"/>
  <c r="G999" i="2" s="1"/>
  <c r="H999" i="2"/>
  <c r="I999" i="2"/>
  <c r="J998" i="2"/>
  <c r="K998" i="2" s="1"/>
  <c r="E1000" i="2" l="1"/>
  <c r="G1000" i="2" s="1"/>
  <c r="H1000" i="2"/>
  <c r="I1000" i="2"/>
  <c r="J999" i="2"/>
  <c r="K999" i="2"/>
  <c r="E1001" i="2" l="1"/>
  <c r="G1001" i="2" s="1"/>
  <c r="H1001" i="2"/>
  <c r="I1001" i="2"/>
  <c r="J1000" i="2"/>
  <c r="K1000" i="2" s="1"/>
  <c r="E1002" i="2" l="1"/>
  <c r="G1002" i="2" s="1"/>
  <c r="H1002" i="2"/>
  <c r="I1002" i="2"/>
  <c r="J1001" i="2"/>
  <c r="K1001" i="2" s="1"/>
  <c r="K1002" i="2" l="1"/>
  <c r="H1003" i="2"/>
  <c r="I1003" i="2"/>
  <c r="J1002" i="2"/>
  <c r="E1003" i="2"/>
  <c r="G1003" i="2" s="1"/>
  <c r="H1004" i="2" l="1"/>
  <c r="I1004" i="2"/>
  <c r="J1003" i="2"/>
  <c r="E1004" i="2"/>
  <c r="G1004" i="2" s="1"/>
  <c r="K1003" i="2"/>
  <c r="H1005" i="2" l="1"/>
  <c r="I1005" i="2"/>
  <c r="J1004" i="2"/>
  <c r="F1005" i="2"/>
  <c r="G1005" i="2" s="1"/>
  <c r="K1004" i="2"/>
  <c r="E1006" i="2" l="1"/>
  <c r="G1006" i="2" s="1"/>
  <c r="H1006" i="2"/>
  <c r="I1006" i="2"/>
  <c r="J1005" i="2"/>
  <c r="K1005" i="2"/>
  <c r="K1006" i="2" l="1"/>
  <c r="F1007" i="2"/>
  <c r="G1007" i="2" s="1"/>
  <c r="H1007" i="2"/>
  <c r="J1006" i="2"/>
  <c r="I1007" i="2"/>
  <c r="F1008" i="2" l="1"/>
  <c r="G1008" i="2" s="1"/>
  <c r="H1008" i="2"/>
  <c r="I1008" i="2"/>
  <c r="J1007" i="2"/>
  <c r="K1007" i="2" s="1"/>
  <c r="E1009" i="2" l="1"/>
  <c r="G1009" i="2" s="1"/>
  <c r="H1009" i="2"/>
  <c r="I1009" i="2"/>
  <c r="J1008" i="2"/>
  <c r="K1008" i="2" s="1"/>
  <c r="E1010" i="2" l="1"/>
  <c r="G1010" i="2" s="1"/>
  <c r="I1010" i="2"/>
  <c r="H1010" i="2"/>
  <c r="J1009" i="2"/>
  <c r="K1009" i="2" s="1"/>
  <c r="I1011" i="2" l="1"/>
  <c r="H1011" i="2"/>
  <c r="J1010" i="2"/>
  <c r="K1010" i="2" s="1"/>
  <c r="E1011" i="2"/>
  <c r="G1011" i="2" s="1"/>
  <c r="H1012" i="2" l="1"/>
  <c r="I1012" i="2"/>
  <c r="J1011" i="2"/>
  <c r="E1012" i="2"/>
  <c r="G1012" i="2" s="1"/>
  <c r="K1011" i="2"/>
  <c r="H1013" i="2" l="1"/>
  <c r="I1013" i="2"/>
  <c r="J1012" i="2"/>
  <c r="F1013" i="2"/>
  <c r="G1013" i="2" s="1"/>
  <c r="K1012" i="2"/>
  <c r="E1014" i="2" l="1"/>
  <c r="G1014" i="2" s="1"/>
  <c r="H1014" i="2"/>
  <c r="I1014" i="2"/>
  <c r="J1013" i="2"/>
  <c r="K1013" i="2"/>
  <c r="F1015" i="2" l="1"/>
  <c r="G1015" i="2" s="1"/>
  <c r="H1015" i="2"/>
  <c r="I1015" i="2"/>
  <c r="J1014" i="2"/>
  <c r="K1014" i="2" s="1"/>
  <c r="E1016" i="2" l="1"/>
  <c r="G1016" i="2" s="1"/>
  <c r="H1016" i="2"/>
  <c r="I1016" i="2"/>
  <c r="J1015" i="2"/>
  <c r="K1015" i="2"/>
  <c r="E1017" i="2" l="1"/>
  <c r="G1017" i="2" s="1"/>
  <c r="H1017" i="2"/>
  <c r="I1017" i="2"/>
  <c r="J1016" i="2"/>
  <c r="K1016" i="2" s="1"/>
  <c r="F1018" i="2" l="1"/>
  <c r="G1018" i="2" s="1"/>
  <c r="H1018" i="2"/>
  <c r="I1018" i="2"/>
  <c r="J1017" i="2"/>
  <c r="K1017" i="2" s="1"/>
  <c r="K1018" i="2" l="1"/>
  <c r="H1019" i="2"/>
  <c r="I1019" i="2"/>
  <c r="J1018" i="2"/>
  <c r="F1019" i="2"/>
  <c r="G1019" i="2" s="1"/>
  <c r="H1020" i="2" l="1"/>
  <c r="I1020" i="2"/>
  <c r="J1019" i="2"/>
  <c r="E1020" i="2"/>
  <c r="G1020" i="2" s="1"/>
  <c r="K1019" i="2"/>
  <c r="H1021" i="2" l="1"/>
  <c r="I1021" i="2"/>
  <c r="J1020" i="2"/>
  <c r="F1021" i="2"/>
  <c r="G1021" i="2" s="1"/>
  <c r="K1020" i="2"/>
  <c r="E1022" i="2" l="1"/>
  <c r="G1022" i="2" s="1"/>
  <c r="H1022" i="2"/>
  <c r="I1022" i="2"/>
  <c r="J1021" i="2"/>
  <c r="K1021" i="2"/>
  <c r="F1023" i="2" l="1"/>
  <c r="G1023" i="2" s="1"/>
  <c r="H1023" i="2"/>
  <c r="I1023" i="2"/>
  <c r="J1022" i="2"/>
  <c r="K1022" i="2" s="1"/>
  <c r="E1024" i="2" l="1"/>
  <c r="G1024" i="2" s="1"/>
  <c r="H1024" i="2"/>
  <c r="I1024" i="2"/>
  <c r="J1023" i="2"/>
  <c r="K1023" i="2"/>
  <c r="F1025" i="2" l="1"/>
  <c r="G1025" i="2" s="1"/>
  <c r="H1025" i="2"/>
  <c r="I1025" i="2"/>
  <c r="J1024" i="2"/>
  <c r="K1024" i="2" s="1"/>
  <c r="E1026" i="2" l="1"/>
  <c r="G1026" i="2" s="1"/>
  <c r="H1026" i="2"/>
  <c r="I1026" i="2"/>
  <c r="J1025" i="2"/>
  <c r="K1025" i="2" s="1"/>
  <c r="H1027" i="2" l="1"/>
  <c r="I1027" i="2"/>
  <c r="J1026" i="2"/>
  <c r="K1026" i="2" s="1"/>
  <c r="F1027" i="2"/>
  <c r="G1027" i="2" s="1"/>
  <c r="H1028" i="2" l="1"/>
  <c r="I1028" i="2"/>
  <c r="J1027" i="2"/>
  <c r="K1027" i="2" s="1"/>
  <c r="F1028" i="2"/>
  <c r="G1028" i="2" s="1"/>
  <c r="H1029" i="2" l="1"/>
  <c r="I1029" i="2"/>
  <c r="J1028" i="2"/>
  <c r="E1029" i="2"/>
  <c r="G1029" i="2" s="1"/>
  <c r="K1028" i="2"/>
  <c r="E1030" i="2" l="1"/>
  <c r="G1030" i="2" s="1"/>
  <c r="H1030" i="2"/>
  <c r="I1030" i="2"/>
  <c r="J1029" i="2"/>
  <c r="K1029" i="2"/>
  <c r="F1031" i="2" l="1"/>
  <c r="G1031" i="2" s="1"/>
  <c r="H1031" i="2"/>
  <c r="I1031" i="2"/>
  <c r="J1030" i="2"/>
  <c r="K1030" i="2" s="1"/>
  <c r="F1032" i="2" l="1"/>
  <c r="G1032" i="2" s="1"/>
  <c r="H1032" i="2"/>
  <c r="I1032" i="2"/>
  <c r="J1031" i="2"/>
  <c r="K1031" i="2" s="1"/>
  <c r="K1032" i="2" l="1"/>
  <c r="F1033" i="2"/>
  <c r="G1033" i="2" s="1"/>
  <c r="H1033" i="2"/>
  <c r="I1033" i="2"/>
  <c r="J1032" i="2"/>
  <c r="F1034" i="2" l="1"/>
  <c r="G1034" i="2" s="1"/>
  <c r="I1034" i="2"/>
  <c r="H1034" i="2"/>
  <c r="J1033" i="2"/>
  <c r="K1033" i="2" s="1"/>
  <c r="H1035" i="2" l="1"/>
  <c r="I1035" i="2"/>
  <c r="J1034" i="2"/>
  <c r="K1034" i="2" s="1"/>
  <c r="E1035" i="2"/>
  <c r="G1035" i="2" s="1"/>
  <c r="H1036" i="2" l="1"/>
  <c r="I1036" i="2"/>
  <c r="J1035" i="2"/>
  <c r="K1035" i="2" s="1"/>
  <c r="E1036" i="2"/>
  <c r="G1036" i="2" s="1"/>
  <c r="H1037" i="2" l="1"/>
  <c r="I1037" i="2"/>
  <c r="J1036" i="2"/>
  <c r="K1036" i="2" s="1"/>
  <c r="F1037" i="2"/>
  <c r="G1037" i="2" s="1"/>
  <c r="E1038" i="2" l="1"/>
  <c r="G1038" i="2" s="1"/>
  <c r="H1038" i="2"/>
  <c r="I1038" i="2"/>
  <c r="J1037" i="2"/>
  <c r="K1037" i="2" s="1"/>
  <c r="F1039" i="2" l="1"/>
  <c r="G1039" i="2" s="1"/>
  <c r="H1039" i="2"/>
  <c r="J1038" i="2"/>
  <c r="K1038" i="2" s="1"/>
  <c r="I1039" i="2"/>
  <c r="E1040" i="2" l="1"/>
  <c r="G1040" i="2" s="1"/>
  <c r="H1040" i="2"/>
  <c r="I1040" i="2"/>
  <c r="J1039" i="2"/>
  <c r="K1039" i="2" s="1"/>
  <c r="F1041" i="2" l="1"/>
  <c r="G1041" i="2" s="1"/>
  <c r="H1041" i="2"/>
  <c r="I1041" i="2"/>
  <c r="J1040" i="2"/>
  <c r="K1040" i="2" s="1"/>
  <c r="F1042" i="2" l="1"/>
  <c r="G1042" i="2" s="1"/>
  <c r="H1042" i="2"/>
  <c r="I1042" i="2"/>
  <c r="J1041" i="2"/>
  <c r="K1041" i="2"/>
  <c r="H1043" i="2" l="1"/>
  <c r="I1043" i="2"/>
  <c r="J1042" i="2"/>
  <c r="F1043" i="2"/>
  <c r="G1043" i="2" s="1"/>
  <c r="K1042" i="2"/>
  <c r="H1044" i="2" l="1"/>
  <c r="I1044" i="2"/>
  <c r="J1043" i="2"/>
  <c r="F1044" i="2"/>
  <c r="G1044" i="2" s="1"/>
  <c r="K1043" i="2"/>
  <c r="H1045" i="2" l="1"/>
  <c r="I1045" i="2"/>
  <c r="J1044" i="2"/>
  <c r="K1044" i="2" s="1"/>
  <c r="E1045" i="2"/>
  <c r="G1045" i="2" s="1"/>
  <c r="E1046" i="2" l="1"/>
  <c r="G1046" i="2" s="1"/>
  <c r="H1046" i="2"/>
  <c r="I1046" i="2"/>
  <c r="J1045" i="2"/>
  <c r="K1045" i="2"/>
  <c r="E1047" i="2" l="1"/>
  <c r="G1047" i="2" s="1"/>
  <c r="H1047" i="2"/>
  <c r="I1047" i="2"/>
  <c r="J1046" i="2"/>
  <c r="K1046" i="2" s="1"/>
  <c r="F1048" i="2" l="1"/>
  <c r="G1048" i="2" s="1"/>
  <c r="H1048" i="2"/>
  <c r="I1048" i="2"/>
  <c r="J1047" i="2"/>
  <c r="K1047" i="2" s="1"/>
  <c r="E1049" i="2" l="1"/>
  <c r="G1049" i="2" s="1"/>
  <c r="H1049" i="2"/>
  <c r="I1049" i="2"/>
  <c r="J1048" i="2"/>
  <c r="K1048" i="2" s="1"/>
  <c r="F1050" i="2" l="1"/>
  <c r="G1050" i="2" s="1"/>
  <c r="H1050" i="2"/>
  <c r="I1050" i="2"/>
  <c r="J1049" i="2"/>
  <c r="K1049" i="2" s="1"/>
  <c r="H1051" i="2" l="1"/>
  <c r="I1051" i="2"/>
  <c r="J1050" i="2"/>
  <c r="K1050" i="2" s="1"/>
  <c r="F1051" i="2"/>
  <c r="G1051" i="2" s="1"/>
  <c r="H1052" i="2" l="1"/>
  <c r="I1052" i="2"/>
  <c r="J1051" i="2"/>
  <c r="E1052" i="2"/>
  <c r="G1052" i="2" s="1"/>
  <c r="K1051" i="2"/>
  <c r="H1053" i="2" l="1"/>
  <c r="I1053" i="2"/>
  <c r="J1052" i="2"/>
  <c r="F1053" i="2"/>
  <c r="G1053" i="2" s="1"/>
  <c r="K1052" i="2"/>
  <c r="F1054" i="2" l="1"/>
  <c r="G1054" i="2" s="1"/>
  <c r="H1054" i="2"/>
  <c r="I1054" i="2"/>
  <c r="J1053" i="2"/>
  <c r="K1053" i="2"/>
  <c r="F1055" i="2" l="1"/>
  <c r="G1055" i="2" s="1"/>
  <c r="H1055" i="2"/>
  <c r="I1055" i="2"/>
  <c r="J1054" i="2"/>
  <c r="K1054" i="2" s="1"/>
  <c r="E1056" i="2" l="1"/>
  <c r="G1056" i="2" s="1"/>
  <c r="H1056" i="2"/>
  <c r="I1056" i="2"/>
  <c r="J1055" i="2"/>
  <c r="K1055" i="2"/>
  <c r="F1057" i="2" l="1"/>
  <c r="G1057" i="2" s="1"/>
  <c r="H1057" i="2"/>
  <c r="I1057" i="2"/>
  <c r="J1056" i="2"/>
  <c r="K1056" i="2" s="1"/>
  <c r="E1058" i="2" l="1"/>
  <c r="G1058" i="2" s="1"/>
  <c r="H1058" i="2"/>
  <c r="I1058" i="2"/>
  <c r="J1057" i="2"/>
  <c r="K1057" i="2" s="1"/>
  <c r="H1059" i="2" l="1"/>
  <c r="I1059" i="2"/>
  <c r="J1058" i="2"/>
  <c r="K1058" i="2" s="1"/>
  <c r="E1059" i="2"/>
  <c r="G1059" i="2" s="1"/>
  <c r="H1060" i="2" l="1"/>
  <c r="I1060" i="2"/>
  <c r="J1059" i="2"/>
  <c r="F1060" i="2"/>
  <c r="G1060" i="2" s="1"/>
  <c r="K1059" i="2"/>
  <c r="H1061" i="2" l="1"/>
  <c r="I1061" i="2"/>
  <c r="J1060" i="2"/>
  <c r="K1060" i="2" s="1"/>
  <c r="F1061" i="2"/>
  <c r="G1061" i="2" s="1"/>
  <c r="F1062" i="2" l="1"/>
  <c r="G1062" i="2" s="1"/>
  <c r="H1062" i="2"/>
  <c r="I1062" i="2"/>
  <c r="J1061" i="2"/>
  <c r="K1061" i="2" s="1"/>
  <c r="F1063" i="2" l="1"/>
  <c r="G1063" i="2" s="1"/>
  <c r="H1063" i="2"/>
  <c r="I1063" i="2"/>
  <c r="J1062" i="2"/>
  <c r="K1062" i="2" s="1"/>
  <c r="E1064" i="2" l="1"/>
  <c r="G1064" i="2" s="1"/>
  <c r="H1064" i="2"/>
  <c r="I1064" i="2"/>
  <c r="J1063" i="2"/>
  <c r="K1063" i="2" s="1"/>
  <c r="F1065" i="2" l="1"/>
  <c r="G1065" i="2" s="1"/>
  <c r="H1065" i="2"/>
  <c r="I1065" i="2"/>
  <c r="J1064" i="2"/>
  <c r="K1064" i="2"/>
  <c r="E1066" i="2" l="1"/>
  <c r="G1066" i="2" s="1"/>
  <c r="H1066" i="2"/>
  <c r="I1066" i="2"/>
  <c r="J1065" i="2"/>
  <c r="K1065" i="2" s="1"/>
  <c r="H1067" i="2" l="1"/>
  <c r="I1067" i="2"/>
  <c r="J1066" i="2"/>
  <c r="K1066" i="2" s="1"/>
  <c r="E1067" i="2"/>
  <c r="G1067" i="2" s="1"/>
  <c r="H1068" i="2" l="1"/>
  <c r="I1068" i="2"/>
  <c r="J1067" i="2"/>
  <c r="K1067" i="2" s="1"/>
  <c r="F1068" i="2"/>
  <c r="G1068" i="2" s="1"/>
  <c r="H1069" i="2" l="1"/>
  <c r="I1069" i="2"/>
  <c r="J1068" i="2"/>
  <c r="K1068" i="2" s="1"/>
  <c r="E1069" i="2"/>
  <c r="G1069" i="2" s="1"/>
  <c r="E1070" i="2" l="1"/>
  <c r="G1070" i="2" s="1"/>
  <c r="H1070" i="2"/>
  <c r="I1070" i="2"/>
  <c r="J1069" i="2"/>
  <c r="K1069" i="2"/>
  <c r="E1071" i="2" l="1"/>
  <c r="G1071" i="2" s="1"/>
  <c r="H1071" i="2"/>
  <c r="J1070" i="2"/>
  <c r="K1070" i="2" s="1"/>
  <c r="I1071" i="2"/>
  <c r="F1072" i="2" l="1"/>
  <c r="G1072" i="2" s="1"/>
  <c r="H1072" i="2"/>
  <c r="I1072" i="2"/>
  <c r="J1071" i="2"/>
  <c r="K1071" i="2" s="1"/>
  <c r="F1073" i="2" l="1"/>
  <c r="G1073" i="2" s="1"/>
  <c r="H1073" i="2"/>
  <c r="I1073" i="2"/>
  <c r="J1072" i="2"/>
  <c r="K1072" i="2" s="1"/>
  <c r="E1074" i="2" l="1"/>
  <c r="G1074" i="2" s="1"/>
  <c r="H1074" i="2"/>
  <c r="I1074" i="2"/>
  <c r="J1073" i="2"/>
  <c r="K1073" i="2" s="1"/>
  <c r="F1075" i="2" l="1"/>
  <c r="G1075" i="2" s="1"/>
  <c r="H1075" i="2"/>
  <c r="I1075" i="2"/>
  <c r="J1074" i="2"/>
  <c r="K1074" i="2" s="1"/>
  <c r="K1075" i="2" l="1"/>
  <c r="H1076" i="2"/>
  <c r="I1076" i="2"/>
  <c r="J1075" i="2"/>
  <c r="F1076" i="2"/>
  <c r="G1076" i="2" s="1"/>
  <c r="H1077" i="2" l="1"/>
  <c r="I1077" i="2"/>
  <c r="J1076" i="2"/>
  <c r="F1077" i="2"/>
  <c r="G1077" i="2" s="1"/>
  <c r="K1076" i="2"/>
  <c r="F1078" i="2" l="1"/>
  <c r="G1078" i="2" s="1"/>
  <c r="H1078" i="2"/>
  <c r="J1077" i="2"/>
  <c r="I1078" i="2"/>
  <c r="K1077" i="2"/>
  <c r="F1079" i="2" l="1"/>
  <c r="G1079" i="2" s="1"/>
  <c r="H1079" i="2"/>
  <c r="I1079" i="2"/>
  <c r="J1078" i="2"/>
  <c r="K1078" i="2" s="1"/>
  <c r="F1080" i="2" l="1"/>
  <c r="G1080" i="2" s="1"/>
  <c r="H1080" i="2"/>
  <c r="I1080" i="2"/>
  <c r="J1079" i="2"/>
  <c r="K1079" i="2" s="1"/>
  <c r="E1081" i="2" l="1"/>
  <c r="G1081" i="2" s="1"/>
  <c r="H1081" i="2"/>
  <c r="I1081" i="2"/>
  <c r="J1080" i="2"/>
  <c r="K1080" i="2" s="1"/>
  <c r="F1082" i="2" l="1"/>
  <c r="G1082" i="2" s="1"/>
  <c r="H1082" i="2"/>
  <c r="I1082" i="2"/>
  <c r="J1081" i="2"/>
  <c r="K1081" i="2"/>
  <c r="H1083" i="2" l="1"/>
  <c r="I1083" i="2"/>
  <c r="J1082" i="2"/>
  <c r="K1082" i="2" s="1"/>
  <c r="E1083" i="2"/>
  <c r="G1083" i="2" s="1"/>
  <c r="H1084" i="2" l="1"/>
  <c r="I1084" i="2"/>
  <c r="J1083" i="2"/>
  <c r="F1084" i="2"/>
  <c r="G1084" i="2" s="1"/>
  <c r="K1083" i="2"/>
  <c r="H1085" i="2" l="1"/>
  <c r="I1085" i="2"/>
  <c r="J1084" i="2"/>
  <c r="E1085" i="2"/>
  <c r="G1085" i="2" s="1"/>
  <c r="K1084" i="2"/>
  <c r="E1086" i="2" l="1"/>
  <c r="G1086" i="2" s="1"/>
  <c r="H1086" i="2"/>
  <c r="I1086" i="2"/>
  <c r="J1085" i="2"/>
  <c r="K1085" i="2"/>
  <c r="E1087" i="2" l="1"/>
  <c r="G1087" i="2" s="1"/>
  <c r="H1087" i="2"/>
  <c r="I1087" i="2"/>
  <c r="J1086" i="2"/>
  <c r="K1086" i="2" s="1"/>
  <c r="E1088" i="2" l="1"/>
  <c r="G1088" i="2" s="1"/>
  <c r="H1088" i="2"/>
  <c r="I1088" i="2"/>
  <c r="J1087" i="2"/>
  <c r="K1087" i="2" s="1"/>
  <c r="E1089" i="2" l="1"/>
  <c r="G1089" i="2" s="1"/>
  <c r="H1089" i="2"/>
  <c r="I1089" i="2"/>
  <c r="J1088" i="2"/>
  <c r="K1088" i="2" s="1"/>
  <c r="E1090" i="2" l="1"/>
  <c r="G1090" i="2" s="1"/>
  <c r="H1090" i="2"/>
  <c r="I1090" i="2"/>
  <c r="J1089" i="2"/>
  <c r="K1089" i="2" s="1"/>
  <c r="K1090" i="2" l="1"/>
  <c r="H1091" i="2"/>
  <c r="I1091" i="2"/>
  <c r="J1090" i="2"/>
  <c r="E1091" i="2"/>
  <c r="G1091" i="2" s="1"/>
  <c r="H1092" i="2" l="1"/>
  <c r="I1092" i="2"/>
  <c r="J1091" i="2"/>
  <c r="E1092" i="2"/>
  <c r="G1092" i="2" s="1"/>
  <c r="K1091" i="2"/>
  <c r="H1093" i="2" l="1"/>
  <c r="I1093" i="2"/>
  <c r="J1092" i="2"/>
  <c r="E1093" i="2"/>
  <c r="G1093" i="2" s="1"/>
  <c r="K1092" i="2"/>
  <c r="E1094" i="2" l="1"/>
  <c r="G1094" i="2" s="1"/>
  <c r="H1094" i="2"/>
  <c r="I1094" i="2"/>
  <c r="J1093" i="2"/>
  <c r="K1093" i="2"/>
  <c r="E1095" i="2" l="1"/>
  <c r="G1095" i="2" s="1"/>
  <c r="H1095" i="2"/>
  <c r="I1095" i="2"/>
  <c r="J1094" i="2"/>
  <c r="K1094" i="2" s="1"/>
  <c r="F1096" i="2" l="1"/>
  <c r="G1096" i="2" s="1"/>
  <c r="H1096" i="2"/>
  <c r="I1096" i="2"/>
  <c r="J1095" i="2"/>
  <c r="K1095" i="2" s="1"/>
  <c r="E1097" i="2" l="1"/>
  <c r="G1097" i="2" s="1"/>
  <c r="H1097" i="2"/>
  <c r="I1097" i="2"/>
  <c r="J1096" i="2"/>
  <c r="K1096" i="2" s="1"/>
  <c r="F1098" i="2" l="1"/>
  <c r="G1098" i="2" s="1"/>
  <c r="I1098" i="2"/>
  <c r="H1098" i="2"/>
  <c r="J1097" i="2"/>
  <c r="K1097" i="2" s="1"/>
  <c r="H1099" i="2" l="1"/>
  <c r="I1099" i="2"/>
  <c r="J1098" i="2"/>
  <c r="K1098" i="2" s="1"/>
  <c r="F1099" i="2"/>
  <c r="G1099" i="2" s="1"/>
  <c r="H1100" i="2" l="1"/>
  <c r="I1100" i="2"/>
  <c r="J1099" i="2"/>
  <c r="F1100" i="2"/>
  <c r="G1100" i="2" s="1"/>
  <c r="K1099" i="2"/>
  <c r="H1101" i="2" l="1"/>
  <c r="I1101" i="2"/>
  <c r="J1100" i="2"/>
  <c r="E1101" i="2"/>
  <c r="G1101" i="2" s="1"/>
  <c r="K1100" i="2"/>
  <c r="F1102" i="2" l="1"/>
  <c r="G1102" i="2" s="1"/>
  <c r="H1102" i="2"/>
  <c r="I1102" i="2"/>
  <c r="J1101" i="2"/>
  <c r="K1101" i="2"/>
  <c r="E1103" i="2" l="1"/>
  <c r="G1103" i="2" s="1"/>
  <c r="H1103" i="2"/>
  <c r="J1102" i="2"/>
  <c r="K1102" i="2" s="1"/>
  <c r="I1103" i="2"/>
  <c r="F1104" i="2" l="1"/>
  <c r="G1104" i="2" s="1"/>
  <c r="H1104" i="2"/>
  <c r="I1104" i="2"/>
  <c r="J1103" i="2"/>
  <c r="K1103" i="2" s="1"/>
  <c r="K1104" i="2" l="1"/>
  <c r="E1105" i="2"/>
  <c r="G1105" i="2" s="1"/>
  <c r="H1105" i="2"/>
  <c r="I1105" i="2"/>
  <c r="J1104" i="2"/>
  <c r="E1106" i="2" l="1"/>
  <c r="G1106" i="2" s="1"/>
  <c r="H1106" i="2"/>
  <c r="I1106" i="2"/>
  <c r="J1105" i="2"/>
  <c r="K1105" i="2" s="1"/>
  <c r="H1107" i="2" l="1"/>
  <c r="I1107" i="2"/>
  <c r="J1106" i="2"/>
  <c r="K1106" i="2" s="1"/>
  <c r="F1107" i="2"/>
  <c r="G1107" i="2" s="1"/>
  <c r="K1107" i="2" l="1"/>
  <c r="H1108" i="2"/>
  <c r="I1108" i="2"/>
  <c r="J1107" i="2"/>
  <c r="F1108" i="2"/>
  <c r="G1108" i="2" s="1"/>
  <c r="H1109" i="2" l="1"/>
  <c r="I1109" i="2"/>
  <c r="J1108" i="2"/>
  <c r="K1108" i="2" s="1"/>
  <c r="E1109" i="2"/>
  <c r="G1109" i="2" s="1"/>
  <c r="E1110" i="2" l="1"/>
  <c r="G1110" i="2" s="1"/>
  <c r="H1110" i="2"/>
  <c r="I1110" i="2"/>
  <c r="J1109" i="2"/>
  <c r="K1109" i="2"/>
  <c r="E1111" i="2" l="1"/>
  <c r="G1111" i="2" s="1"/>
  <c r="H1111" i="2"/>
  <c r="I1111" i="2"/>
  <c r="J1110" i="2"/>
  <c r="K1110" i="2" s="1"/>
  <c r="F1112" i="2" l="1"/>
  <c r="G1112" i="2" s="1"/>
  <c r="H1112" i="2"/>
  <c r="I1112" i="2"/>
  <c r="J1111" i="2"/>
  <c r="K1111" i="2" s="1"/>
  <c r="E1113" i="2" l="1"/>
  <c r="G1113" i="2" s="1"/>
  <c r="H1113" i="2"/>
  <c r="I1113" i="2"/>
  <c r="J1112" i="2"/>
  <c r="K1112" i="2" s="1"/>
  <c r="E1114" i="2" l="1"/>
  <c r="G1114" i="2" s="1"/>
  <c r="H1114" i="2"/>
  <c r="I1114" i="2"/>
  <c r="J1113" i="2"/>
  <c r="K1113" i="2" s="1"/>
  <c r="I1115" i="2" l="1"/>
  <c r="H1115" i="2"/>
  <c r="J1114" i="2"/>
  <c r="K1114" i="2" s="1"/>
  <c r="F1115" i="2"/>
  <c r="G1115" i="2" s="1"/>
  <c r="H1116" i="2" l="1"/>
  <c r="I1116" i="2"/>
  <c r="J1115" i="2"/>
  <c r="K1115" i="2" s="1"/>
  <c r="F1116" i="2"/>
  <c r="G1116" i="2" s="1"/>
  <c r="H1117" i="2" l="1"/>
  <c r="I1117" i="2"/>
  <c r="J1116" i="2"/>
  <c r="E1117" i="2"/>
  <c r="G1117" i="2" s="1"/>
  <c r="K1116" i="2"/>
  <c r="F1118" i="2" l="1"/>
  <c r="G1118" i="2" s="1"/>
  <c r="H1118" i="2"/>
  <c r="I1118" i="2"/>
  <c r="J1117" i="2"/>
  <c r="K1117" i="2"/>
  <c r="F1119" i="2" l="1"/>
  <c r="G1119" i="2" s="1"/>
  <c r="H1119" i="2"/>
  <c r="I1119" i="2"/>
  <c r="J1118" i="2"/>
  <c r="K1118" i="2" s="1"/>
  <c r="E1120" i="2" l="1"/>
  <c r="G1120" i="2" s="1"/>
  <c r="H1120" i="2"/>
  <c r="I1120" i="2"/>
  <c r="J1119" i="2"/>
  <c r="K1119" i="2" s="1"/>
  <c r="E1121" i="2" l="1"/>
  <c r="G1121" i="2" s="1"/>
  <c r="H1121" i="2"/>
  <c r="I1121" i="2"/>
  <c r="J1120" i="2"/>
  <c r="K1120" i="2" s="1"/>
  <c r="K1121" i="2" l="1"/>
  <c r="F1122" i="2"/>
  <c r="G1122" i="2" s="1"/>
  <c r="H1122" i="2"/>
  <c r="I1122" i="2"/>
  <c r="J1121" i="2"/>
  <c r="H1123" i="2" l="1"/>
  <c r="I1123" i="2"/>
  <c r="J1122" i="2"/>
  <c r="E1123" i="2"/>
  <c r="G1123" i="2" s="1"/>
  <c r="K1122" i="2"/>
  <c r="H1124" i="2" l="1"/>
  <c r="I1124" i="2"/>
  <c r="J1123" i="2"/>
  <c r="F1124" i="2"/>
  <c r="G1124" i="2" s="1"/>
  <c r="K1123" i="2"/>
  <c r="H1125" i="2" l="1"/>
  <c r="I1125" i="2"/>
  <c r="J1124" i="2"/>
  <c r="K1124" i="2" s="1"/>
  <c r="F1125" i="2"/>
  <c r="G1125" i="2" s="1"/>
  <c r="E1126" i="2" l="1"/>
  <c r="G1126" i="2" s="1"/>
  <c r="H1126" i="2"/>
  <c r="I1126" i="2"/>
  <c r="J1125" i="2"/>
  <c r="K1125" i="2" s="1"/>
  <c r="E1127" i="2" l="1"/>
  <c r="G1127" i="2" s="1"/>
  <c r="H1127" i="2"/>
  <c r="I1127" i="2"/>
  <c r="J1126" i="2"/>
  <c r="K1126" i="2" s="1"/>
  <c r="F1128" i="2" l="1"/>
  <c r="G1128" i="2" s="1"/>
  <c r="H1128" i="2"/>
  <c r="I1128" i="2"/>
  <c r="J1127" i="2"/>
  <c r="K1127" i="2" s="1"/>
  <c r="F1129" i="2" l="1"/>
  <c r="G1129" i="2" s="1"/>
  <c r="H1129" i="2"/>
  <c r="I1129" i="2"/>
  <c r="J1128" i="2"/>
  <c r="K1128" i="2" s="1"/>
  <c r="F1130" i="2" l="1"/>
  <c r="G1130" i="2" s="1"/>
  <c r="H1130" i="2"/>
  <c r="I1130" i="2"/>
  <c r="J1129" i="2"/>
  <c r="K1129" i="2" s="1"/>
  <c r="H1131" i="2" l="1"/>
  <c r="I1131" i="2"/>
  <c r="J1130" i="2"/>
  <c r="K1130" i="2" s="1"/>
  <c r="E1131" i="2"/>
  <c r="G1131" i="2" s="1"/>
  <c r="H1132" i="2" l="1"/>
  <c r="I1132" i="2"/>
  <c r="J1131" i="2"/>
  <c r="K1131" i="2" s="1"/>
  <c r="E1132" i="2"/>
  <c r="G1132" i="2" s="1"/>
  <c r="H1133" i="2" l="1"/>
  <c r="I1133" i="2"/>
  <c r="J1132" i="2"/>
  <c r="E1133" i="2"/>
  <c r="G1133" i="2" s="1"/>
  <c r="K1132" i="2"/>
  <c r="F1134" i="2" l="1"/>
  <c r="G1134" i="2" s="1"/>
  <c r="H1134" i="2"/>
  <c r="I1134" i="2"/>
  <c r="J1133" i="2"/>
  <c r="K1133" i="2"/>
  <c r="E1135" i="2" l="1"/>
  <c r="G1135" i="2" s="1"/>
  <c r="H1135" i="2"/>
  <c r="J1134" i="2"/>
  <c r="K1134" i="2" s="1"/>
  <c r="I1135" i="2"/>
  <c r="K1135" i="2" l="1"/>
  <c r="E1136" i="2"/>
  <c r="G1136" i="2" s="1"/>
  <c r="H1136" i="2"/>
  <c r="I1136" i="2"/>
  <c r="J1135" i="2"/>
  <c r="F1137" i="2" l="1"/>
  <c r="G1137" i="2" s="1"/>
  <c r="H1137" i="2"/>
  <c r="I1137" i="2"/>
  <c r="J1136" i="2"/>
  <c r="K1136" i="2"/>
  <c r="E1138" i="2" l="1"/>
  <c r="G1138" i="2" s="1"/>
  <c r="H1138" i="2"/>
  <c r="I1138" i="2"/>
  <c r="J1137" i="2"/>
  <c r="K1137" i="2" s="1"/>
  <c r="H1139" i="2" l="1"/>
  <c r="I1139" i="2"/>
  <c r="J1138" i="2"/>
  <c r="K1138" i="2" s="1"/>
  <c r="E1139" i="2"/>
  <c r="G1139" i="2" s="1"/>
  <c r="H1140" i="2" l="1"/>
  <c r="I1140" i="2"/>
  <c r="J1139" i="2"/>
  <c r="F1140" i="2"/>
  <c r="G1140" i="2" s="1"/>
  <c r="K1139" i="2"/>
  <c r="H1141" i="2" l="1"/>
  <c r="I1141" i="2"/>
  <c r="J1140" i="2"/>
  <c r="E1141" i="2"/>
  <c r="G1141" i="2" s="1"/>
  <c r="K1140" i="2"/>
  <c r="E1142" i="2" l="1"/>
  <c r="G1142" i="2" s="1"/>
  <c r="H1142" i="2"/>
  <c r="I1142" i="2"/>
  <c r="J1141" i="2"/>
  <c r="K1141" i="2"/>
  <c r="E1143" i="2" l="1"/>
  <c r="G1143" i="2" s="1"/>
  <c r="H1143" i="2"/>
  <c r="I1143" i="2"/>
  <c r="J1142" i="2"/>
  <c r="K1142" i="2" s="1"/>
  <c r="E1144" i="2" l="1"/>
  <c r="G1144" i="2" s="1"/>
  <c r="H1144" i="2"/>
  <c r="I1144" i="2"/>
  <c r="J1143" i="2"/>
  <c r="K1143" i="2" s="1"/>
  <c r="F1145" i="2" l="1"/>
  <c r="G1145" i="2" s="1"/>
  <c r="H1145" i="2"/>
  <c r="I1145" i="2"/>
  <c r="J1144" i="2"/>
  <c r="K1144" i="2" s="1"/>
  <c r="F1146" i="2" l="1"/>
  <c r="G1146" i="2" s="1"/>
  <c r="H1146" i="2"/>
  <c r="I1146" i="2"/>
  <c r="J1145" i="2"/>
  <c r="K1145" i="2"/>
  <c r="H1147" i="2" l="1"/>
  <c r="I1147" i="2"/>
  <c r="J1146" i="2"/>
  <c r="K1146" i="2" s="1"/>
  <c r="F1147" i="2"/>
  <c r="G1147" i="2" s="1"/>
  <c r="H1148" i="2" l="1"/>
  <c r="I1148" i="2"/>
  <c r="J1147" i="2"/>
  <c r="E1148" i="2"/>
  <c r="G1148" i="2" s="1"/>
  <c r="K1147" i="2"/>
  <c r="H1149" i="2" l="1"/>
  <c r="I1149" i="2"/>
  <c r="J1148" i="2"/>
  <c r="F1149" i="2"/>
  <c r="G1149" i="2" s="1"/>
  <c r="K1148" i="2"/>
  <c r="E1150" i="2" l="1"/>
  <c r="G1150" i="2" s="1"/>
  <c r="H1150" i="2"/>
  <c r="I1150" i="2"/>
  <c r="J1149" i="2"/>
  <c r="K1149" i="2"/>
  <c r="F1151" i="2" l="1"/>
  <c r="G1151" i="2" s="1"/>
  <c r="H1151" i="2"/>
  <c r="I1151" i="2"/>
  <c r="J1150" i="2"/>
  <c r="K1150" i="2" s="1"/>
  <c r="E1152" i="2" l="1"/>
  <c r="G1152" i="2" s="1"/>
  <c r="H1152" i="2"/>
  <c r="I1152" i="2"/>
  <c r="J1151" i="2"/>
  <c r="K1151" i="2" s="1"/>
  <c r="F1153" i="2" l="1"/>
  <c r="G1153" i="2" s="1"/>
  <c r="H1153" i="2"/>
  <c r="I1153" i="2"/>
  <c r="J1152" i="2"/>
  <c r="K1152" i="2" s="1"/>
  <c r="E1154" i="2" l="1"/>
  <c r="G1154" i="2" s="1"/>
  <c r="H1154" i="2"/>
  <c r="I1154" i="2"/>
  <c r="J1153" i="2"/>
  <c r="K1153" i="2" s="1"/>
  <c r="H1155" i="2" l="1"/>
  <c r="I1155" i="2"/>
  <c r="J1154" i="2"/>
  <c r="K1154" i="2" s="1"/>
  <c r="F1155" i="2"/>
  <c r="G1155" i="2" s="1"/>
  <c r="H1156" i="2" l="1"/>
  <c r="I1156" i="2"/>
  <c r="J1155" i="2"/>
  <c r="E1156" i="2"/>
  <c r="G1156" i="2" s="1"/>
  <c r="K1155" i="2"/>
  <c r="H1157" i="2" l="1"/>
  <c r="I1157" i="2"/>
  <c r="J1156" i="2"/>
  <c r="E1157" i="2"/>
  <c r="G1157" i="2" s="1"/>
  <c r="K1156" i="2"/>
  <c r="F1158" i="2" l="1"/>
  <c r="G1158" i="2" s="1"/>
  <c r="H1158" i="2"/>
  <c r="I1158" i="2"/>
  <c r="J1157" i="2"/>
  <c r="K1157" i="2" s="1"/>
  <c r="F1159" i="2" l="1"/>
  <c r="G1159" i="2" s="1"/>
  <c r="H1159" i="2"/>
  <c r="I1159" i="2"/>
  <c r="J1158" i="2"/>
  <c r="K1158" i="2"/>
  <c r="F1160" i="2" l="1"/>
  <c r="G1160" i="2" s="1"/>
  <c r="H1160" i="2"/>
  <c r="I1160" i="2"/>
  <c r="J1159" i="2"/>
  <c r="K1159" i="2" s="1"/>
  <c r="E1161" i="2" l="1"/>
  <c r="G1161" i="2" s="1"/>
  <c r="H1161" i="2"/>
  <c r="I1161" i="2"/>
  <c r="J1160" i="2"/>
  <c r="K1160" i="2" s="1"/>
  <c r="E1162" i="2" l="1"/>
  <c r="G1162" i="2" s="1"/>
  <c r="I1162" i="2"/>
  <c r="H1162" i="2"/>
  <c r="J1161" i="2"/>
  <c r="K1161" i="2" s="1"/>
  <c r="H1163" i="2" l="1"/>
  <c r="I1163" i="2"/>
  <c r="J1162" i="2"/>
  <c r="K1162" i="2" s="1"/>
  <c r="F1163" i="2"/>
  <c r="G1163" i="2" s="1"/>
  <c r="H1164" i="2" l="1"/>
  <c r="I1164" i="2"/>
  <c r="J1163" i="2"/>
  <c r="E1164" i="2"/>
  <c r="G1164" i="2" s="1"/>
  <c r="K1163" i="2"/>
  <c r="H1165" i="2" l="1"/>
  <c r="I1165" i="2"/>
  <c r="J1164" i="2"/>
  <c r="E1165" i="2"/>
  <c r="G1165" i="2" s="1"/>
  <c r="K1164" i="2"/>
  <c r="E1166" i="2" l="1"/>
  <c r="G1166" i="2" s="1"/>
  <c r="H1166" i="2"/>
  <c r="I1166" i="2"/>
  <c r="J1165" i="2"/>
  <c r="K1165" i="2"/>
  <c r="F1167" i="2" l="1"/>
  <c r="G1167" i="2" s="1"/>
  <c r="H1167" i="2"/>
  <c r="J1166" i="2"/>
  <c r="K1166" i="2" s="1"/>
  <c r="I1167" i="2"/>
  <c r="E1168" i="2" l="1"/>
  <c r="G1168" i="2" s="1"/>
  <c r="H1168" i="2"/>
  <c r="I1168" i="2"/>
  <c r="J1167" i="2"/>
  <c r="K1167" i="2" s="1"/>
  <c r="F1169" i="2" l="1"/>
  <c r="G1169" i="2" s="1"/>
  <c r="H1169" i="2"/>
  <c r="I1169" i="2"/>
  <c r="J1168" i="2"/>
  <c r="K1168" i="2" s="1"/>
  <c r="F1170" i="2" l="1"/>
  <c r="G1170" i="2" s="1"/>
  <c r="H1170" i="2"/>
  <c r="I1170" i="2"/>
  <c r="J1169" i="2"/>
  <c r="K1169" i="2" s="1"/>
  <c r="H1171" i="2" l="1"/>
  <c r="I1171" i="2"/>
  <c r="J1170" i="2"/>
  <c r="K1170" i="2" s="1"/>
  <c r="E1171" i="2"/>
  <c r="G1171" i="2" s="1"/>
  <c r="H1172" i="2" l="1"/>
  <c r="I1172" i="2"/>
  <c r="J1171" i="2"/>
  <c r="K1171" i="2" s="1"/>
  <c r="E1172" i="2"/>
  <c r="G1172" i="2" s="1"/>
  <c r="H1173" i="2" l="1"/>
  <c r="I1173" i="2"/>
  <c r="J1172" i="2"/>
  <c r="K1172" i="2" s="1"/>
  <c r="E1173" i="2"/>
  <c r="G1173" i="2" s="1"/>
  <c r="F1174" i="2" l="1"/>
  <c r="G1174" i="2" s="1"/>
  <c r="H1174" i="2"/>
  <c r="I1174" i="2"/>
  <c r="J1173" i="2"/>
  <c r="K1173" i="2" s="1"/>
  <c r="K1174" i="2" l="1"/>
  <c r="F1175" i="2"/>
  <c r="G1175" i="2" s="1"/>
  <c r="H1175" i="2"/>
  <c r="I1175" i="2"/>
  <c r="J1174" i="2"/>
  <c r="E1176" i="2" l="1"/>
  <c r="G1176" i="2" s="1"/>
  <c r="H1176" i="2"/>
  <c r="I1176" i="2"/>
  <c r="J1175" i="2"/>
  <c r="K1175" i="2" s="1"/>
  <c r="F1177" i="2" l="1"/>
  <c r="G1177" i="2" s="1"/>
  <c r="H1177" i="2"/>
  <c r="I1177" i="2"/>
  <c r="J1176" i="2"/>
  <c r="K1176" i="2" s="1"/>
  <c r="E1178" i="2" l="1"/>
  <c r="G1178" i="2" s="1"/>
  <c r="H1178" i="2"/>
  <c r="I1178" i="2"/>
  <c r="J1177" i="2"/>
  <c r="K1177" i="2" s="1"/>
  <c r="I1179" i="2" l="1"/>
  <c r="H1179" i="2"/>
  <c r="J1178" i="2"/>
  <c r="K1178" i="2" s="1"/>
  <c r="E1179" i="2"/>
  <c r="G1179" i="2" s="1"/>
  <c r="H1180" i="2" l="1"/>
  <c r="I1180" i="2"/>
  <c r="J1179" i="2"/>
  <c r="F1180" i="2"/>
  <c r="G1180" i="2" s="1"/>
  <c r="K1179" i="2"/>
  <c r="H1181" i="2" l="1"/>
  <c r="I1181" i="2"/>
  <c r="J1180" i="2"/>
  <c r="F1181" i="2"/>
  <c r="G1181" i="2" s="1"/>
  <c r="K1180" i="2"/>
  <c r="F1182" i="2" l="1"/>
  <c r="G1182" i="2" s="1"/>
  <c r="H1182" i="2"/>
  <c r="I1182" i="2"/>
  <c r="J1181" i="2"/>
  <c r="K1181" i="2"/>
  <c r="E1183" i="2" l="1"/>
  <c r="G1183" i="2" s="1"/>
  <c r="H1183" i="2"/>
  <c r="I1183" i="2"/>
  <c r="J1182" i="2"/>
  <c r="K1182" i="2" s="1"/>
  <c r="E1184" i="2" l="1"/>
  <c r="G1184" i="2" s="1"/>
  <c r="H1184" i="2"/>
  <c r="I1184" i="2"/>
  <c r="J1183" i="2"/>
  <c r="K1183" i="2" s="1"/>
  <c r="K1184" i="2" l="1"/>
  <c r="F1185" i="2"/>
  <c r="G1185" i="2" s="1"/>
  <c r="H1185" i="2"/>
  <c r="I1185" i="2"/>
  <c r="J1184" i="2"/>
  <c r="F1186" i="2" l="1"/>
  <c r="G1186" i="2" s="1"/>
  <c r="H1186" i="2"/>
  <c r="I1186" i="2"/>
  <c r="J1185" i="2"/>
  <c r="K1185" i="2" s="1"/>
  <c r="H1187" i="2" l="1"/>
  <c r="I1187" i="2"/>
  <c r="J1186" i="2"/>
  <c r="K1186" i="2" s="1"/>
  <c r="F1187" i="2"/>
  <c r="G1187" i="2" s="1"/>
  <c r="H1188" i="2" l="1"/>
  <c r="I1188" i="2"/>
  <c r="J1187" i="2"/>
  <c r="E1188" i="2"/>
  <c r="G1188" i="2" s="1"/>
  <c r="K1187" i="2"/>
  <c r="H1189" i="2" l="1"/>
  <c r="I1189" i="2"/>
  <c r="J1188" i="2"/>
  <c r="E1189" i="2"/>
  <c r="G1189" i="2" s="1"/>
  <c r="K1188" i="2"/>
  <c r="E1190" i="2" l="1"/>
  <c r="G1190" i="2" s="1"/>
  <c r="H1190" i="2"/>
  <c r="I1190" i="2"/>
  <c r="J1189" i="2"/>
  <c r="K1189" i="2"/>
  <c r="F1191" i="2" l="1"/>
  <c r="G1191" i="2" s="1"/>
  <c r="H1191" i="2"/>
  <c r="I1191" i="2"/>
  <c r="J1190" i="2"/>
  <c r="K1190" i="2" s="1"/>
  <c r="F1192" i="2" l="1"/>
  <c r="G1192" i="2" s="1"/>
  <c r="H1192" i="2"/>
  <c r="I1192" i="2"/>
  <c r="J1191" i="2"/>
  <c r="K1191" i="2"/>
  <c r="E1193" i="2" l="1"/>
  <c r="G1193" i="2" s="1"/>
  <c r="H1193" i="2"/>
  <c r="I1193" i="2"/>
  <c r="J1192" i="2"/>
  <c r="K1192" i="2" s="1"/>
  <c r="F1194" i="2" l="1"/>
  <c r="G1194" i="2" s="1"/>
  <c r="H1194" i="2"/>
  <c r="I1194" i="2"/>
  <c r="J1193" i="2"/>
  <c r="K1193" i="2" s="1"/>
  <c r="H1195" i="2" l="1"/>
  <c r="I1195" i="2"/>
  <c r="J1194" i="2"/>
  <c r="K1194" i="2" s="1"/>
  <c r="F1195" i="2"/>
  <c r="G1195" i="2" s="1"/>
  <c r="H1196" i="2" l="1"/>
  <c r="I1196" i="2"/>
  <c r="J1195" i="2"/>
  <c r="F1196" i="2"/>
  <c r="G1196" i="2" s="1"/>
  <c r="K1195" i="2"/>
  <c r="H1197" i="2" l="1"/>
  <c r="I1197" i="2"/>
  <c r="J1196" i="2"/>
  <c r="F1197" i="2"/>
  <c r="G1197" i="2" s="1"/>
  <c r="K1196" i="2"/>
  <c r="F1198" i="2" l="1"/>
  <c r="G1198" i="2" s="1"/>
  <c r="H1198" i="2"/>
  <c r="I1198" i="2"/>
  <c r="J1197" i="2"/>
  <c r="K1197" i="2"/>
  <c r="E1199" i="2" l="1"/>
  <c r="G1199" i="2" s="1"/>
  <c r="H1199" i="2"/>
  <c r="J1198" i="2"/>
  <c r="K1198" i="2" s="1"/>
  <c r="I1199" i="2"/>
  <c r="F1200" i="2" l="1"/>
  <c r="G1200" i="2" s="1"/>
  <c r="H1200" i="2"/>
  <c r="I1200" i="2"/>
  <c r="J1199" i="2"/>
  <c r="K1199" i="2" s="1"/>
  <c r="E1201" i="2" l="1"/>
  <c r="G1201" i="2" s="1"/>
  <c r="H1201" i="2"/>
  <c r="I1201" i="2"/>
  <c r="J1200" i="2"/>
  <c r="K1200" i="2" s="1"/>
  <c r="F1202" i="2" l="1"/>
  <c r="G1202" i="2" s="1"/>
  <c r="I1202" i="2"/>
  <c r="H1202" i="2"/>
  <c r="J1201" i="2"/>
  <c r="K1201" i="2" s="1"/>
  <c r="I1203" i="2" l="1"/>
  <c r="H1203" i="2"/>
  <c r="J1202" i="2"/>
  <c r="K1202" i="2" s="1"/>
  <c r="E1203" i="2"/>
  <c r="G1203" i="2" s="1"/>
  <c r="H1204" i="2" l="1"/>
  <c r="I1204" i="2"/>
  <c r="J1203" i="2"/>
  <c r="E1204" i="2"/>
  <c r="G1204" i="2" s="1"/>
  <c r="K1203" i="2"/>
  <c r="H1205" i="2" l="1"/>
  <c r="I1205" i="2"/>
  <c r="J1204" i="2"/>
  <c r="E1205" i="2"/>
  <c r="G1205" i="2" s="1"/>
  <c r="K1204" i="2"/>
  <c r="E1206" i="2" l="1"/>
  <c r="G1206" i="2" s="1"/>
  <c r="H1206" i="2"/>
  <c r="J1205" i="2"/>
  <c r="I1206" i="2"/>
  <c r="K1205" i="2"/>
  <c r="F1207" i="2" l="1"/>
  <c r="G1207" i="2" s="1"/>
  <c r="H1207" i="2"/>
  <c r="I1207" i="2"/>
  <c r="J1206" i="2"/>
  <c r="K1206" i="2" s="1"/>
  <c r="K1207" i="2" l="1"/>
  <c r="E1208" i="2"/>
  <c r="G1208" i="2" s="1"/>
  <c r="H1208" i="2"/>
  <c r="I1208" i="2"/>
  <c r="J1207" i="2"/>
  <c r="F1209" i="2" l="1"/>
  <c r="G1209" i="2" s="1"/>
  <c r="H1209" i="2"/>
  <c r="I1209" i="2"/>
  <c r="J1208" i="2"/>
  <c r="K1208" i="2"/>
  <c r="F1210" i="2" l="1"/>
  <c r="G1210" i="2" s="1"/>
  <c r="H1210" i="2"/>
  <c r="I1210" i="2"/>
  <c r="J1209" i="2"/>
  <c r="K1209" i="2" s="1"/>
  <c r="H1211" i="2" l="1"/>
  <c r="I1211" i="2"/>
  <c r="J1210" i="2"/>
  <c r="K1210" i="2" s="1"/>
  <c r="F1211" i="2"/>
  <c r="G1211" i="2" s="1"/>
  <c r="H1212" i="2" l="1"/>
  <c r="I1212" i="2"/>
  <c r="J1211" i="2"/>
  <c r="E1212" i="2"/>
  <c r="G1212" i="2" s="1"/>
  <c r="K1211" i="2"/>
  <c r="H1213" i="2" l="1"/>
  <c r="I1213" i="2"/>
  <c r="J1212" i="2"/>
  <c r="E1213" i="2"/>
  <c r="G1213" i="2" s="1"/>
  <c r="K1212" i="2"/>
  <c r="E1214" i="2" l="1"/>
  <c r="G1214" i="2" s="1"/>
  <c r="H1214" i="2"/>
  <c r="I1214" i="2"/>
  <c r="J1213" i="2"/>
  <c r="K1213" i="2"/>
  <c r="F1215" i="2" l="1"/>
  <c r="G1215" i="2" s="1"/>
  <c r="H1215" i="2"/>
  <c r="I1215" i="2"/>
  <c r="J1214" i="2"/>
  <c r="K1214" i="2" s="1"/>
  <c r="E1216" i="2" l="1"/>
  <c r="G1216" i="2" s="1"/>
  <c r="H1216" i="2"/>
  <c r="I1216" i="2"/>
  <c r="J1215" i="2"/>
  <c r="K1215" i="2" s="1"/>
  <c r="E1217" i="2" l="1"/>
  <c r="G1217" i="2" s="1"/>
  <c r="H1217" i="2"/>
  <c r="I1217" i="2"/>
  <c r="J1216" i="2"/>
  <c r="K1216" i="2" s="1"/>
  <c r="E1218" i="2" l="1"/>
  <c r="G1218" i="2" s="1"/>
  <c r="H1218" i="2"/>
  <c r="I1218" i="2"/>
  <c r="J1217" i="2"/>
  <c r="K1217" i="2" s="1"/>
  <c r="H1219" i="2" l="1"/>
  <c r="I1219" i="2"/>
  <c r="J1218" i="2"/>
  <c r="K1218" i="2" s="1"/>
  <c r="E1219" i="2"/>
  <c r="G1219" i="2" s="1"/>
  <c r="H1220" i="2" l="1"/>
  <c r="I1220" i="2"/>
  <c r="J1219" i="2"/>
  <c r="E1220" i="2"/>
  <c r="G1220" i="2" s="1"/>
  <c r="K1219" i="2"/>
  <c r="H1221" i="2" l="1"/>
  <c r="I1221" i="2"/>
  <c r="J1220" i="2"/>
  <c r="E1221" i="2"/>
  <c r="G1221" i="2" s="1"/>
  <c r="K1220" i="2"/>
  <c r="F1222" i="2" l="1"/>
  <c r="G1222" i="2" s="1"/>
  <c r="H1222" i="2"/>
  <c r="I1222" i="2"/>
  <c r="J1221" i="2"/>
  <c r="K1221" i="2"/>
  <c r="F1223" i="2" l="1"/>
  <c r="G1223" i="2" s="1"/>
  <c r="H1223" i="2"/>
  <c r="I1223" i="2"/>
  <c r="J1222" i="2"/>
  <c r="K1222" i="2" s="1"/>
  <c r="F1224" i="2" l="1"/>
  <c r="G1224" i="2" s="1"/>
  <c r="H1224" i="2"/>
  <c r="I1224" i="2"/>
  <c r="J1223" i="2"/>
  <c r="K1223" i="2" s="1"/>
  <c r="F1225" i="2" l="1"/>
  <c r="G1225" i="2" s="1"/>
  <c r="H1225" i="2"/>
  <c r="I1225" i="2"/>
  <c r="J1224" i="2"/>
  <c r="K1224" i="2" s="1"/>
  <c r="E1226" i="2" l="1"/>
  <c r="G1226" i="2" s="1"/>
  <c r="H1226" i="2"/>
  <c r="I1226" i="2"/>
  <c r="J1225" i="2"/>
  <c r="K1225" i="2" s="1"/>
  <c r="H1227" i="2" l="1"/>
  <c r="I1227" i="2"/>
  <c r="J1226" i="2"/>
  <c r="E1227" i="2"/>
  <c r="G1227" i="2" s="1"/>
  <c r="K1226" i="2"/>
  <c r="H1228" i="2" l="1"/>
  <c r="I1228" i="2"/>
  <c r="J1227" i="2"/>
  <c r="F1228" i="2"/>
  <c r="G1228" i="2" s="1"/>
  <c r="K1227" i="2"/>
  <c r="H1229" i="2" l="1"/>
  <c r="I1229" i="2"/>
  <c r="J1228" i="2"/>
  <c r="E1229" i="2"/>
  <c r="G1229" i="2" s="1"/>
  <c r="K1228" i="2"/>
  <c r="E1230" i="2" l="1"/>
  <c r="G1230" i="2" s="1"/>
  <c r="H1230" i="2"/>
  <c r="I1230" i="2"/>
  <c r="J1229" i="2"/>
  <c r="K1229" i="2"/>
  <c r="F1231" i="2" l="1"/>
  <c r="G1231" i="2" s="1"/>
  <c r="H1231" i="2"/>
  <c r="J1230" i="2"/>
  <c r="K1230" i="2" s="1"/>
  <c r="I1231" i="2"/>
  <c r="F1232" i="2" l="1"/>
  <c r="G1232" i="2" s="1"/>
  <c r="H1232" i="2"/>
  <c r="I1232" i="2"/>
  <c r="J1231" i="2"/>
  <c r="K1231" i="2" s="1"/>
  <c r="E1233" i="2" l="1"/>
  <c r="G1233" i="2" s="1"/>
  <c r="H1233" i="2"/>
  <c r="I1233" i="2"/>
  <c r="J1232" i="2"/>
  <c r="K1232" i="2" s="1"/>
  <c r="F1234" i="2" l="1"/>
  <c r="G1234" i="2" s="1"/>
  <c r="H1234" i="2"/>
  <c r="I1234" i="2"/>
  <c r="J1233" i="2"/>
  <c r="K1233" i="2" s="1"/>
  <c r="H1235" i="2" l="1"/>
  <c r="I1235" i="2"/>
  <c r="J1234" i="2"/>
  <c r="K1234" i="2" s="1"/>
  <c r="F1235" i="2"/>
  <c r="G1235" i="2" s="1"/>
  <c r="H1236" i="2" l="1"/>
  <c r="I1236" i="2"/>
  <c r="J1235" i="2"/>
  <c r="E1236" i="2"/>
  <c r="G1236" i="2" s="1"/>
  <c r="K1235" i="2"/>
  <c r="H1237" i="2" l="1"/>
  <c r="I1237" i="2"/>
  <c r="J1236" i="2"/>
  <c r="E1237" i="2"/>
  <c r="G1237" i="2" s="1"/>
  <c r="K1236" i="2"/>
  <c r="F1238" i="2" l="1"/>
  <c r="G1238" i="2" s="1"/>
  <c r="H1238" i="2"/>
  <c r="I1238" i="2"/>
  <c r="J1237" i="2"/>
  <c r="K1237" i="2"/>
  <c r="E1239" i="2" l="1"/>
  <c r="G1239" i="2" s="1"/>
  <c r="H1239" i="2"/>
  <c r="I1239" i="2"/>
  <c r="J1238" i="2"/>
  <c r="K1238" i="2" s="1"/>
  <c r="K1239" i="2" l="1"/>
  <c r="E1240" i="2"/>
  <c r="G1240" i="2" s="1"/>
  <c r="H1240" i="2"/>
  <c r="I1240" i="2"/>
  <c r="J1239" i="2"/>
  <c r="E1241" i="2" l="1"/>
  <c r="G1241" i="2" s="1"/>
  <c r="H1241" i="2"/>
  <c r="I1241" i="2"/>
  <c r="J1240" i="2"/>
  <c r="K1240" i="2" s="1"/>
  <c r="K1241" i="2" l="1"/>
  <c r="F1242" i="2"/>
  <c r="G1242" i="2" s="1"/>
  <c r="H1242" i="2"/>
  <c r="I1242" i="2"/>
  <c r="J1241" i="2"/>
  <c r="H1243" i="2" l="1"/>
  <c r="I1243" i="2"/>
  <c r="J1242" i="2"/>
  <c r="K1242" i="2" s="1"/>
  <c r="E1243" i="2"/>
  <c r="G1243" i="2" s="1"/>
  <c r="H1244" i="2" l="1"/>
  <c r="I1244" i="2"/>
  <c r="J1243" i="2"/>
  <c r="E1244" i="2"/>
  <c r="G1244" i="2" s="1"/>
  <c r="K1243" i="2"/>
  <c r="H1245" i="2" l="1"/>
  <c r="I1245" i="2"/>
  <c r="J1244" i="2"/>
  <c r="F1245" i="2"/>
  <c r="G1245" i="2" s="1"/>
  <c r="K1244" i="2"/>
  <c r="F1246" i="2" l="1"/>
  <c r="G1246" i="2" s="1"/>
  <c r="H1246" i="2"/>
  <c r="I1246" i="2"/>
  <c r="J1245" i="2"/>
  <c r="K1245" i="2"/>
  <c r="F1247" i="2" l="1"/>
  <c r="G1247" i="2" s="1"/>
  <c r="H1247" i="2"/>
  <c r="I1247" i="2"/>
  <c r="J1246" i="2"/>
  <c r="K1246" i="2" s="1"/>
  <c r="E1248" i="2" l="1"/>
  <c r="G1248" i="2" s="1"/>
  <c r="H1248" i="2"/>
  <c r="I1248" i="2"/>
  <c r="J1247" i="2"/>
  <c r="K1247" i="2" s="1"/>
  <c r="F1249" i="2" l="1"/>
  <c r="G1249" i="2" s="1"/>
  <c r="H1249" i="2"/>
  <c r="I1249" i="2"/>
  <c r="J1248" i="2"/>
  <c r="K1248" i="2" s="1"/>
  <c r="F1250" i="2" l="1"/>
  <c r="G1250" i="2" s="1"/>
  <c r="H1250" i="2"/>
  <c r="I1250" i="2"/>
  <c r="J1249" i="2"/>
  <c r="K1249" i="2" s="1"/>
  <c r="H1251" i="2" l="1"/>
  <c r="I1251" i="2"/>
  <c r="J1250" i="2"/>
  <c r="K1250" i="2" s="1"/>
  <c r="F1251" i="2"/>
  <c r="G1251" i="2" s="1"/>
  <c r="H1252" i="2" l="1"/>
  <c r="I1252" i="2"/>
  <c r="J1251" i="2"/>
  <c r="E1252" i="2"/>
  <c r="G1252" i="2" s="1"/>
  <c r="K1251" i="2"/>
  <c r="H1253" i="2" l="1"/>
  <c r="I1253" i="2"/>
  <c r="J1252" i="2"/>
  <c r="K1252" i="2" s="1"/>
  <c r="F1253" i="2"/>
  <c r="G1253" i="2" s="1"/>
  <c r="E1254" i="2" l="1"/>
  <c r="G1254" i="2" s="1"/>
  <c r="H1254" i="2"/>
  <c r="I1254" i="2"/>
  <c r="J1253" i="2"/>
  <c r="K1253" i="2"/>
  <c r="F1255" i="2" l="1"/>
  <c r="G1255" i="2" s="1"/>
  <c r="H1255" i="2"/>
  <c r="I1255" i="2"/>
  <c r="J1254" i="2"/>
  <c r="K1254" i="2" s="1"/>
  <c r="E1256" i="2" l="1"/>
  <c r="G1256" i="2" s="1"/>
  <c r="H1256" i="2"/>
  <c r="I1256" i="2"/>
  <c r="J1255" i="2"/>
  <c r="K1255" i="2" s="1"/>
  <c r="F1257" i="2" l="1"/>
  <c r="G1257" i="2" s="1"/>
  <c r="H1257" i="2"/>
  <c r="I1257" i="2"/>
  <c r="J1256" i="2"/>
  <c r="K1256" i="2" s="1"/>
  <c r="E1258" i="2" l="1"/>
  <c r="G1258" i="2" s="1"/>
  <c r="H1258" i="2"/>
  <c r="I1258" i="2"/>
  <c r="J1257" i="2"/>
  <c r="K1257" i="2" s="1"/>
  <c r="H1259" i="2" l="1"/>
  <c r="I1259" i="2"/>
  <c r="J1258" i="2"/>
  <c r="K1258" i="2" s="1"/>
  <c r="E1259" i="2"/>
  <c r="G1259" i="2" s="1"/>
  <c r="H1260" i="2" l="1"/>
  <c r="I1260" i="2"/>
  <c r="J1259" i="2"/>
  <c r="E1260" i="2"/>
  <c r="G1260" i="2" s="1"/>
  <c r="K1259" i="2"/>
  <c r="H1261" i="2" l="1"/>
  <c r="I1261" i="2"/>
  <c r="J1260" i="2"/>
  <c r="E1261" i="2"/>
  <c r="G1261" i="2" s="1"/>
  <c r="K1260" i="2"/>
  <c r="F1262" i="2" l="1"/>
  <c r="G1262" i="2" s="1"/>
  <c r="H1262" i="2"/>
  <c r="I1262" i="2"/>
  <c r="J1261" i="2"/>
  <c r="K1261" i="2"/>
  <c r="E1263" i="2" l="1"/>
  <c r="G1263" i="2" s="1"/>
  <c r="H1263" i="2"/>
  <c r="J1262" i="2"/>
  <c r="K1262" i="2" s="1"/>
  <c r="I1263" i="2"/>
  <c r="E1264" i="2" l="1"/>
  <c r="G1264" i="2" s="1"/>
  <c r="H1264" i="2"/>
  <c r="I1264" i="2"/>
  <c r="J1263" i="2"/>
  <c r="K1263" i="2" s="1"/>
  <c r="F1265" i="2" l="1"/>
  <c r="G1265" i="2" s="1"/>
  <c r="H1265" i="2"/>
  <c r="I1265" i="2"/>
  <c r="J1264" i="2"/>
  <c r="K1264" i="2" s="1"/>
  <c r="E1266" i="2" l="1"/>
  <c r="G1266" i="2" s="1"/>
  <c r="I1266" i="2"/>
  <c r="H1266" i="2"/>
  <c r="J1265" i="2"/>
  <c r="K1265" i="2" s="1"/>
  <c r="I1267" i="2" l="1"/>
  <c r="H1267" i="2"/>
  <c r="J1266" i="2"/>
  <c r="K1266" i="2" s="1"/>
  <c r="E1267" i="2"/>
  <c r="G1267" i="2" s="1"/>
  <c r="K1267" i="2" l="1"/>
  <c r="H1268" i="2"/>
  <c r="I1268" i="2"/>
  <c r="J1267" i="2"/>
  <c r="F1268" i="2"/>
  <c r="G1268" i="2" s="1"/>
  <c r="H1269" i="2" l="1"/>
  <c r="I1269" i="2"/>
  <c r="J1268" i="2"/>
  <c r="F1269" i="2"/>
  <c r="G1269" i="2" s="1"/>
  <c r="K1268" i="2"/>
  <c r="E1270" i="2" l="1"/>
  <c r="G1270" i="2" s="1"/>
  <c r="H1270" i="2"/>
  <c r="I1270" i="2"/>
  <c r="J1269" i="2"/>
  <c r="K1269" i="2"/>
  <c r="K1270" i="2" l="1"/>
  <c r="E1271" i="2"/>
  <c r="G1271" i="2" s="1"/>
  <c r="H1271" i="2"/>
  <c r="I1271" i="2"/>
  <c r="J1270" i="2"/>
  <c r="E1272" i="2" l="1"/>
  <c r="G1272" i="2" s="1"/>
  <c r="H1272" i="2"/>
  <c r="I1272" i="2"/>
  <c r="J1271" i="2"/>
  <c r="K1271" i="2" s="1"/>
  <c r="F1273" i="2" l="1"/>
  <c r="G1273" i="2" s="1"/>
  <c r="H1273" i="2"/>
  <c r="I1273" i="2"/>
  <c r="J1272" i="2"/>
  <c r="K1272" i="2" s="1"/>
  <c r="E1274" i="2" l="1"/>
  <c r="G1274" i="2" s="1"/>
  <c r="H1274" i="2"/>
  <c r="I1274" i="2"/>
  <c r="J1273" i="2"/>
  <c r="K1273" i="2" s="1"/>
  <c r="H1275" i="2" l="1"/>
  <c r="I1275" i="2"/>
  <c r="J1274" i="2"/>
  <c r="K1274" i="2" s="1"/>
  <c r="F1275" i="2"/>
  <c r="G1275" i="2" s="1"/>
  <c r="H1276" i="2" l="1"/>
  <c r="I1276" i="2"/>
  <c r="J1275" i="2"/>
  <c r="F1276" i="2"/>
  <c r="G1276" i="2" s="1"/>
  <c r="K1275" i="2"/>
  <c r="H1277" i="2" l="1"/>
  <c r="I1277" i="2"/>
  <c r="J1276" i="2"/>
  <c r="E1277" i="2"/>
  <c r="G1277" i="2" s="1"/>
  <c r="K1276" i="2"/>
  <c r="E1278" i="2" l="1"/>
  <c r="G1278" i="2" s="1"/>
  <c r="H1278" i="2"/>
  <c r="I1278" i="2"/>
  <c r="J1277" i="2"/>
  <c r="K1277" i="2"/>
  <c r="F1279" i="2" l="1"/>
  <c r="G1279" i="2" s="1"/>
  <c r="H1279" i="2"/>
  <c r="I1279" i="2"/>
  <c r="J1278" i="2"/>
  <c r="K1278" i="2" s="1"/>
  <c r="K1279" i="2" l="1"/>
  <c r="E1280" i="2"/>
  <c r="G1280" i="2" s="1"/>
  <c r="H1280" i="2"/>
  <c r="I1280" i="2"/>
  <c r="J1279" i="2"/>
  <c r="F1281" i="2" l="1"/>
  <c r="G1281" i="2" s="1"/>
  <c r="H1281" i="2"/>
  <c r="I1281" i="2"/>
  <c r="J1280" i="2"/>
  <c r="K1280" i="2" s="1"/>
  <c r="E1282" i="2" l="1"/>
  <c r="G1282" i="2" s="1"/>
  <c r="H1282" i="2"/>
  <c r="I1282" i="2"/>
  <c r="J1281" i="2"/>
  <c r="K1281" i="2" s="1"/>
  <c r="H1283" i="2" l="1"/>
  <c r="I1283" i="2"/>
  <c r="J1282" i="2"/>
  <c r="K1282" i="2" s="1"/>
  <c r="F1283" i="2"/>
  <c r="G1283" i="2" s="1"/>
  <c r="H1284" i="2" l="1"/>
  <c r="I1284" i="2"/>
  <c r="J1283" i="2"/>
  <c r="E1284" i="2"/>
  <c r="G1284" i="2" s="1"/>
  <c r="K1283" i="2"/>
  <c r="H1285" i="2" l="1"/>
  <c r="I1285" i="2"/>
  <c r="J1284" i="2"/>
  <c r="E1285" i="2"/>
  <c r="G1285" i="2" s="1"/>
  <c r="K1284" i="2"/>
  <c r="F1286" i="2" l="1"/>
  <c r="G1286" i="2" s="1"/>
  <c r="H1286" i="2"/>
  <c r="I1286" i="2"/>
  <c r="J1285" i="2"/>
  <c r="K1285" i="2"/>
  <c r="E1287" i="2" l="1"/>
  <c r="G1287" i="2" s="1"/>
  <c r="H1287" i="2"/>
  <c r="I1287" i="2"/>
  <c r="J1286" i="2"/>
  <c r="K1286" i="2" s="1"/>
  <c r="E1288" i="2" l="1"/>
  <c r="G1288" i="2" s="1"/>
  <c r="H1288" i="2"/>
  <c r="I1288" i="2"/>
  <c r="J1287" i="2"/>
  <c r="K1287" i="2" s="1"/>
  <c r="E1289" i="2" l="1"/>
  <c r="G1289" i="2" s="1"/>
  <c r="H1289" i="2"/>
  <c r="I1289" i="2"/>
  <c r="J1288" i="2"/>
  <c r="K1288" i="2" s="1"/>
  <c r="F1290" i="2" l="1"/>
  <c r="G1290" i="2" s="1"/>
  <c r="I1290" i="2"/>
  <c r="H1290" i="2"/>
  <c r="J1289" i="2"/>
  <c r="K1289" i="2" s="1"/>
  <c r="H1291" i="2" l="1"/>
  <c r="I1291" i="2"/>
  <c r="J1290" i="2"/>
  <c r="F1291" i="2"/>
  <c r="G1291" i="2" s="1"/>
  <c r="K1290" i="2"/>
  <c r="H1292" i="2" l="1"/>
  <c r="I1292" i="2"/>
  <c r="J1291" i="2"/>
  <c r="E1292" i="2"/>
  <c r="G1292" i="2" s="1"/>
  <c r="K1291" i="2"/>
  <c r="H1293" i="2" l="1"/>
  <c r="I1293" i="2"/>
  <c r="J1292" i="2"/>
  <c r="E1293" i="2"/>
  <c r="G1293" i="2" s="1"/>
  <c r="K1292" i="2"/>
  <c r="F1294" i="2" l="1"/>
  <c r="G1294" i="2" s="1"/>
  <c r="H1294" i="2"/>
  <c r="I1294" i="2"/>
  <c r="J1293" i="2"/>
  <c r="K1293" i="2" s="1"/>
  <c r="E1295" i="2" l="1"/>
  <c r="G1295" i="2" s="1"/>
  <c r="H1295" i="2"/>
  <c r="J1294" i="2"/>
  <c r="K1294" i="2" s="1"/>
  <c r="I1295" i="2"/>
  <c r="K1295" i="2" l="1"/>
  <c r="F1296" i="2"/>
  <c r="G1296" i="2" s="1"/>
  <c r="H1296" i="2"/>
  <c r="I1296" i="2"/>
  <c r="J1295" i="2"/>
  <c r="E1297" i="2" l="1"/>
  <c r="G1297" i="2" s="1"/>
  <c r="H1297" i="2"/>
  <c r="I1297" i="2"/>
  <c r="J1296" i="2"/>
  <c r="K1296" i="2" s="1"/>
  <c r="F1298" i="2" l="1"/>
  <c r="G1298" i="2" s="1"/>
  <c r="H1298" i="2"/>
  <c r="I1298" i="2"/>
  <c r="J1297" i="2"/>
  <c r="K1297" i="2" s="1"/>
  <c r="H1299" i="2" l="1"/>
  <c r="I1299" i="2"/>
  <c r="J1298" i="2"/>
  <c r="K1298" i="2" s="1"/>
  <c r="E1299" i="2"/>
  <c r="G1299" i="2" s="1"/>
  <c r="H1300" i="2" l="1"/>
  <c r="I1300" i="2"/>
  <c r="J1299" i="2"/>
  <c r="E1300" i="2"/>
  <c r="G1300" i="2" s="1"/>
  <c r="K1299" i="2"/>
  <c r="H1301" i="2" l="1"/>
  <c r="I1301" i="2"/>
  <c r="J1300" i="2"/>
  <c r="E1301" i="2"/>
  <c r="G1301" i="2" s="1"/>
  <c r="K1300" i="2"/>
  <c r="F1302" i="2" l="1"/>
  <c r="G1302" i="2" s="1"/>
  <c r="H1302" i="2"/>
  <c r="I1302" i="2"/>
  <c r="J1301" i="2"/>
  <c r="K1301" i="2"/>
  <c r="E1303" i="2" l="1"/>
  <c r="G1303" i="2" s="1"/>
  <c r="H1303" i="2"/>
  <c r="I1303" i="2"/>
  <c r="J1302" i="2"/>
  <c r="K1302" i="2" s="1"/>
  <c r="F1304" i="2" l="1"/>
  <c r="G1304" i="2" s="1"/>
  <c r="H1304" i="2"/>
  <c r="I1304" i="2"/>
  <c r="J1303" i="2"/>
  <c r="K1303" i="2" s="1"/>
  <c r="E1305" i="2" l="1"/>
  <c r="G1305" i="2" s="1"/>
  <c r="H1305" i="2"/>
  <c r="I1305" i="2"/>
  <c r="J1304" i="2"/>
  <c r="K1304" i="2" s="1"/>
  <c r="F1306" i="2" l="1"/>
  <c r="G1306" i="2" s="1"/>
  <c r="H1306" i="2"/>
  <c r="I1306" i="2"/>
  <c r="J1305" i="2"/>
  <c r="K1305" i="2" s="1"/>
  <c r="H1307" i="2" l="1"/>
  <c r="I1307" i="2"/>
  <c r="J1306" i="2"/>
  <c r="K1306" i="2" s="1"/>
  <c r="F1307" i="2"/>
  <c r="G1307" i="2" s="1"/>
  <c r="H1308" i="2" l="1"/>
  <c r="I1308" i="2"/>
  <c r="J1307" i="2"/>
  <c r="F1308" i="2"/>
  <c r="G1308" i="2" s="1"/>
  <c r="K1307" i="2"/>
  <c r="H1309" i="2" l="1"/>
  <c r="I1309" i="2"/>
  <c r="J1308" i="2"/>
  <c r="E1309" i="2"/>
  <c r="G1309" i="2" s="1"/>
  <c r="K1308" i="2"/>
  <c r="F1310" i="2" l="1"/>
  <c r="G1310" i="2" s="1"/>
  <c r="H1310" i="2"/>
  <c r="I1310" i="2"/>
  <c r="J1309" i="2"/>
  <c r="K1309" i="2"/>
  <c r="F1311" i="2" l="1"/>
  <c r="G1311" i="2" s="1"/>
  <c r="H1311" i="2"/>
  <c r="I1311" i="2"/>
  <c r="J1310" i="2"/>
  <c r="K1310" i="2" s="1"/>
  <c r="F1312" i="2" l="1"/>
  <c r="G1312" i="2" s="1"/>
  <c r="H1312" i="2"/>
  <c r="I1312" i="2"/>
  <c r="J1311" i="2"/>
  <c r="K1311" i="2" s="1"/>
  <c r="K1312" i="2" l="1"/>
  <c r="F1313" i="2"/>
  <c r="G1313" i="2" s="1"/>
  <c r="H1313" i="2"/>
  <c r="I1313" i="2"/>
  <c r="J1312" i="2"/>
  <c r="F1314" i="2" l="1"/>
  <c r="G1314" i="2" s="1"/>
  <c r="H1314" i="2"/>
  <c r="I1314" i="2"/>
  <c r="J1313" i="2"/>
  <c r="K1313" i="2"/>
  <c r="H1315" i="2" l="1"/>
  <c r="I1315" i="2"/>
  <c r="J1314" i="2"/>
  <c r="K1314" i="2" s="1"/>
  <c r="E1315" i="2"/>
  <c r="G1315" i="2" s="1"/>
  <c r="H1316" i="2" l="1"/>
  <c r="I1316" i="2"/>
  <c r="J1315" i="2"/>
  <c r="K1315" i="2" s="1"/>
  <c r="F1316" i="2"/>
  <c r="G1316" i="2" s="1"/>
  <c r="H1317" i="2" l="1"/>
  <c r="I1317" i="2"/>
  <c r="J1316" i="2"/>
  <c r="F1317" i="2"/>
  <c r="G1317" i="2" s="1"/>
  <c r="K1316" i="2"/>
  <c r="F1318" i="2" l="1"/>
  <c r="G1318" i="2" s="1"/>
  <c r="H1318" i="2"/>
  <c r="I1318" i="2"/>
  <c r="J1317" i="2"/>
  <c r="K1317" i="2"/>
  <c r="E1319" i="2" l="1"/>
  <c r="G1319" i="2" s="1"/>
  <c r="H1319" i="2"/>
  <c r="I1319" i="2"/>
  <c r="J1318" i="2"/>
  <c r="K1318" i="2"/>
  <c r="F1320" i="2" l="1"/>
  <c r="G1320" i="2" s="1"/>
  <c r="H1320" i="2"/>
  <c r="I1320" i="2"/>
  <c r="J1319" i="2"/>
  <c r="K1319" i="2" s="1"/>
  <c r="E1321" i="2" l="1"/>
  <c r="G1321" i="2" s="1"/>
  <c r="H1321" i="2"/>
  <c r="I1321" i="2"/>
  <c r="J1320" i="2"/>
  <c r="K1320" i="2" s="1"/>
  <c r="F1322" i="2" l="1"/>
  <c r="G1322" i="2" s="1"/>
  <c r="H1322" i="2"/>
  <c r="I1322" i="2"/>
  <c r="J1321" i="2"/>
  <c r="K1321" i="2" s="1"/>
  <c r="H1323" i="2" l="1"/>
  <c r="I1323" i="2"/>
  <c r="J1322" i="2"/>
  <c r="K1322" i="2" s="1"/>
  <c r="F1323" i="2"/>
  <c r="G1323" i="2" s="1"/>
  <c r="H1324" i="2" l="1"/>
  <c r="I1324" i="2"/>
  <c r="J1323" i="2"/>
  <c r="F1324" i="2"/>
  <c r="G1324" i="2" s="1"/>
  <c r="K1323" i="2"/>
  <c r="H1325" i="2" l="1"/>
  <c r="I1325" i="2"/>
  <c r="J1324" i="2"/>
  <c r="F1325" i="2"/>
  <c r="G1325" i="2" s="1"/>
  <c r="K1324" i="2"/>
  <c r="E1326" i="2" l="1"/>
  <c r="G1326" i="2" s="1"/>
  <c r="H1326" i="2"/>
  <c r="I1326" i="2"/>
  <c r="J1325" i="2"/>
  <c r="K1325" i="2"/>
  <c r="E1327" i="2" l="1"/>
  <c r="G1327" i="2" s="1"/>
  <c r="H1327" i="2"/>
  <c r="J1326" i="2"/>
  <c r="K1326" i="2" s="1"/>
  <c r="I1327" i="2"/>
  <c r="E1328" i="2" l="1"/>
  <c r="G1328" i="2" s="1"/>
  <c r="H1328" i="2"/>
  <c r="I1328" i="2"/>
  <c r="J1327" i="2"/>
  <c r="K1327" i="2" s="1"/>
  <c r="E1329" i="2" l="1"/>
  <c r="G1329" i="2" s="1"/>
  <c r="H1329" i="2"/>
  <c r="I1329" i="2"/>
  <c r="J1328" i="2"/>
  <c r="K1328" i="2" s="1"/>
  <c r="E1330" i="2" l="1"/>
  <c r="G1330" i="2" s="1"/>
  <c r="H1330" i="2"/>
  <c r="I1330" i="2"/>
  <c r="J1329" i="2"/>
  <c r="K1329" i="2" s="1"/>
  <c r="H1331" i="2" l="1"/>
  <c r="I1331" i="2"/>
  <c r="J1330" i="2"/>
  <c r="K1330" i="2" s="1"/>
  <c r="F1331" i="2"/>
  <c r="G1331" i="2" s="1"/>
  <c r="H1332" i="2" l="1"/>
  <c r="I1332" i="2"/>
  <c r="J1331" i="2"/>
  <c r="F1332" i="2"/>
  <c r="G1332" i="2" s="1"/>
  <c r="K1331" i="2"/>
  <c r="H1333" i="2" l="1"/>
  <c r="I1333" i="2"/>
  <c r="J1332" i="2"/>
  <c r="E1333" i="2"/>
  <c r="G1333" i="2" s="1"/>
  <c r="K1332" i="2"/>
  <c r="F1334" i="2" l="1"/>
  <c r="G1334" i="2" s="1"/>
  <c r="H1334" i="2"/>
  <c r="J1333" i="2"/>
  <c r="I1334" i="2"/>
  <c r="K1333" i="2"/>
  <c r="E1335" i="2" l="1"/>
  <c r="G1335" i="2" s="1"/>
  <c r="H1335" i="2"/>
  <c r="I1335" i="2"/>
  <c r="J1334" i="2"/>
  <c r="K1334" i="2" s="1"/>
  <c r="E1336" i="2" l="1"/>
  <c r="G1336" i="2" s="1"/>
  <c r="H1336" i="2"/>
  <c r="I1336" i="2"/>
  <c r="J1335" i="2"/>
  <c r="K1335" i="2" s="1"/>
  <c r="F1337" i="2" l="1"/>
  <c r="G1337" i="2" s="1"/>
  <c r="H1337" i="2"/>
  <c r="I1337" i="2"/>
  <c r="J1336" i="2"/>
  <c r="K1336" i="2" s="1"/>
  <c r="K1337" i="2" l="1"/>
  <c r="E1338" i="2"/>
  <c r="G1338" i="2" s="1"/>
  <c r="H1338" i="2"/>
  <c r="I1338" i="2"/>
  <c r="J1337" i="2"/>
  <c r="H1339" i="2" l="1"/>
  <c r="I1339" i="2"/>
  <c r="J1338" i="2"/>
  <c r="K1338" i="2" s="1"/>
  <c r="E1339" i="2"/>
  <c r="G1339" i="2" s="1"/>
  <c r="H1340" i="2" l="1"/>
  <c r="I1340" i="2"/>
  <c r="J1339" i="2"/>
  <c r="E1340" i="2"/>
  <c r="G1340" i="2" s="1"/>
  <c r="K1339" i="2"/>
  <c r="H1341" i="2" l="1"/>
  <c r="I1341" i="2"/>
  <c r="J1340" i="2"/>
  <c r="F1341" i="2"/>
  <c r="G1341" i="2" s="1"/>
  <c r="K1340" i="2"/>
  <c r="F1342" i="2" l="1"/>
  <c r="G1342" i="2" s="1"/>
  <c r="H1342" i="2"/>
  <c r="I1342" i="2"/>
  <c r="J1341" i="2"/>
  <c r="K1341" i="2"/>
  <c r="E1343" i="2" l="1"/>
  <c r="G1343" i="2" s="1"/>
  <c r="H1343" i="2"/>
  <c r="I1343" i="2"/>
  <c r="J1342" i="2"/>
  <c r="K1342" i="2" s="1"/>
  <c r="F1344" i="2" l="1"/>
  <c r="G1344" i="2" s="1"/>
  <c r="H1344" i="2"/>
  <c r="I1344" i="2"/>
  <c r="J1343" i="2"/>
  <c r="K1343" i="2" s="1"/>
  <c r="E1345" i="2" l="1"/>
  <c r="G1345" i="2" s="1"/>
  <c r="H1345" i="2"/>
  <c r="I1345" i="2"/>
  <c r="J1344" i="2"/>
  <c r="K1344" i="2" s="1"/>
  <c r="E1346" i="2" l="1"/>
  <c r="G1346" i="2" s="1"/>
  <c r="H1346" i="2"/>
  <c r="I1346" i="2"/>
  <c r="J1345" i="2"/>
  <c r="K1345" i="2" s="1"/>
  <c r="F1347" i="2" l="1"/>
  <c r="G1347" i="2" s="1"/>
  <c r="H1347" i="2"/>
  <c r="I1347" i="2"/>
  <c r="J1346" i="2"/>
  <c r="K1346" i="2"/>
  <c r="H1348" i="2" l="1"/>
  <c r="I1348" i="2"/>
  <c r="J1347" i="2"/>
  <c r="K1347" i="2" s="1"/>
  <c r="E1348" i="2"/>
  <c r="G1348" i="2" s="1"/>
  <c r="H1349" i="2" l="1"/>
  <c r="I1349" i="2"/>
  <c r="J1348" i="2"/>
  <c r="K1348" i="2" s="1"/>
  <c r="E1349" i="2"/>
  <c r="G1349" i="2" s="1"/>
  <c r="E1350" i="2" l="1"/>
  <c r="G1350" i="2" s="1"/>
  <c r="H1350" i="2"/>
  <c r="I1350" i="2"/>
  <c r="J1349" i="2"/>
  <c r="K1349" i="2"/>
  <c r="F1351" i="2" l="1"/>
  <c r="G1351" i="2" s="1"/>
  <c r="H1351" i="2"/>
  <c r="I1351" i="2"/>
  <c r="J1350" i="2"/>
  <c r="K1350" i="2" s="1"/>
  <c r="F1352" i="2" l="1"/>
  <c r="G1352" i="2" s="1"/>
  <c r="H1352" i="2"/>
  <c r="I1352" i="2"/>
  <c r="J1351" i="2"/>
  <c r="K1351" i="2" s="1"/>
  <c r="E1353" i="2" l="1"/>
  <c r="G1353" i="2" s="1"/>
  <c r="H1353" i="2"/>
  <c r="I1353" i="2"/>
  <c r="J1352" i="2"/>
  <c r="K1352" i="2" s="1"/>
  <c r="E1354" i="2" l="1"/>
  <c r="G1354" i="2" s="1"/>
  <c r="I1354" i="2"/>
  <c r="H1354" i="2"/>
  <c r="J1353" i="2"/>
  <c r="K1353" i="2" s="1"/>
  <c r="H1355" i="2" l="1"/>
  <c r="I1355" i="2"/>
  <c r="J1354" i="2"/>
  <c r="K1354" i="2" s="1"/>
  <c r="E1355" i="2"/>
  <c r="G1355" i="2" s="1"/>
  <c r="H1356" i="2" l="1"/>
  <c r="I1356" i="2"/>
  <c r="J1355" i="2"/>
  <c r="K1355" i="2" s="1"/>
  <c r="E1356" i="2"/>
  <c r="G1356" i="2" s="1"/>
  <c r="H1357" i="2" l="1"/>
  <c r="I1357" i="2"/>
  <c r="J1356" i="2"/>
  <c r="K1356" i="2" s="1"/>
  <c r="E1357" i="2"/>
  <c r="G1357" i="2" s="1"/>
  <c r="F1358" i="2" l="1"/>
  <c r="G1358" i="2" s="1"/>
  <c r="H1358" i="2"/>
  <c r="I1358" i="2"/>
  <c r="J1357" i="2"/>
  <c r="K1357" i="2"/>
  <c r="F1359" i="2" l="1"/>
  <c r="G1359" i="2" s="1"/>
  <c r="H1359" i="2"/>
  <c r="J1358" i="2"/>
  <c r="K1358" i="2" s="1"/>
  <c r="I1359" i="2"/>
  <c r="F1360" i="2" l="1"/>
  <c r="G1360" i="2" s="1"/>
  <c r="H1360" i="2"/>
  <c r="I1360" i="2"/>
  <c r="J1359" i="2"/>
  <c r="K1359" i="2" s="1"/>
  <c r="E1361" i="2" l="1"/>
  <c r="G1361" i="2" s="1"/>
  <c r="H1361" i="2"/>
  <c r="I1361" i="2"/>
  <c r="J1360" i="2"/>
  <c r="K1360" i="2" s="1"/>
  <c r="E1362" i="2" l="1"/>
  <c r="G1362" i="2" s="1"/>
  <c r="H1362" i="2"/>
  <c r="I1362" i="2"/>
  <c r="J1361" i="2"/>
  <c r="K1361" i="2" s="1"/>
  <c r="H1363" i="2" l="1"/>
  <c r="I1363" i="2"/>
  <c r="J1362" i="2"/>
  <c r="K1362" i="2" s="1"/>
  <c r="E1363" i="2"/>
  <c r="G1363" i="2" s="1"/>
  <c r="H1364" i="2" l="1"/>
  <c r="I1364" i="2"/>
  <c r="J1363" i="2"/>
  <c r="E1364" i="2"/>
  <c r="G1364" i="2" s="1"/>
  <c r="K1363" i="2"/>
  <c r="H1365" i="2" l="1"/>
  <c r="I1365" i="2"/>
  <c r="J1364" i="2"/>
  <c r="F1365" i="2"/>
  <c r="G1365" i="2" s="1"/>
  <c r="K1364" i="2"/>
  <c r="E1366" i="2" l="1"/>
  <c r="G1366" i="2" s="1"/>
  <c r="H1366" i="2"/>
  <c r="I1366" i="2"/>
  <c r="J1365" i="2"/>
  <c r="K1365" i="2"/>
  <c r="K1366" i="2" l="1"/>
  <c r="E1367" i="2"/>
  <c r="G1367" i="2" s="1"/>
  <c r="H1367" i="2"/>
  <c r="I1367" i="2"/>
  <c r="J1366" i="2"/>
  <c r="F1368" i="2" l="1"/>
  <c r="G1368" i="2" s="1"/>
  <c r="H1368" i="2"/>
  <c r="I1368" i="2"/>
  <c r="J1367" i="2"/>
  <c r="K1367" i="2" s="1"/>
  <c r="F1369" i="2" l="1"/>
  <c r="G1369" i="2" s="1"/>
  <c r="H1369" i="2"/>
  <c r="I1369" i="2"/>
  <c r="J1368" i="2"/>
  <c r="K1368" i="2" s="1"/>
  <c r="F1370" i="2" l="1"/>
  <c r="G1370" i="2" s="1"/>
  <c r="H1370" i="2"/>
  <c r="I1370" i="2"/>
  <c r="J1369" i="2"/>
  <c r="K1369" i="2" s="1"/>
  <c r="I1371" i="2" l="1"/>
  <c r="H1371" i="2"/>
  <c r="J1370" i="2"/>
  <c r="K1370" i="2" s="1"/>
  <c r="F1371" i="2"/>
  <c r="G1371" i="2" s="1"/>
  <c r="H1372" i="2" l="1"/>
  <c r="I1372" i="2"/>
  <c r="J1371" i="2"/>
  <c r="E1372" i="2"/>
  <c r="G1372" i="2" s="1"/>
  <c r="K1371" i="2"/>
  <c r="H1373" i="2" l="1"/>
  <c r="I1373" i="2"/>
  <c r="J1372" i="2"/>
  <c r="E1373" i="2"/>
  <c r="G1373" i="2" s="1"/>
  <c r="K1372" i="2"/>
  <c r="F1374" i="2" l="1"/>
  <c r="G1374" i="2" s="1"/>
  <c r="H1374" i="2"/>
  <c r="I1374" i="2"/>
  <c r="J1373" i="2"/>
  <c r="K1373" i="2"/>
  <c r="E1375" i="2" l="1"/>
  <c r="G1375" i="2" s="1"/>
  <c r="H1375" i="2"/>
  <c r="I1375" i="2"/>
  <c r="J1374" i="2"/>
  <c r="K1374" i="2" s="1"/>
  <c r="F1376" i="2" l="1"/>
  <c r="G1376" i="2" s="1"/>
  <c r="H1376" i="2"/>
  <c r="I1376" i="2"/>
  <c r="J1375" i="2"/>
  <c r="K1375" i="2" s="1"/>
  <c r="F1377" i="2" l="1"/>
  <c r="G1377" i="2" s="1"/>
  <c r="H1377" i="2"/>
  <c r="I1377" i="2"/>
  <c r="J1376" i="2"/>
  <c r="K1376" i="2" s="1"/>
  <c r="E1378" i="2" l="1"/>
  <c r="G1378" i="2" s="1"/>
  <c r="H1378" i="2"/>
  <c r="I1378" i="2"/>
  <c r="J1377" i="2"/>
  <c r="K1377" i="2" s="1"/>
  <c r="H1379" i="2" l="1"/>
  <c r="I1379" i="2"/>
  <c r="J1378" i="2"/>
  <c r="K1378" i="2" s="1"/>
  <c r="F1379" i="2"/>
  <c r="G1379" i="2" s="1"/>
  <c r="H1380" i="2" l="1"/>
  <c r="I1380" i="2"/>
  <c r="J1379" i="2"/>
  <c r="K1379" i="2" s="1"/>
  <c r="F1380" i="2"/>
  <c r="G1380" i="2" s="1"/>
  <c r="H1381" i="2" l="1"/>
  <c r="I1381" i="2"/>
  <c r="J1380" i="2"/>
  <c r="E1381" i="2"/>
  <c r="G1381" i="2" s="1"/>
  <c r="K1380" i="2"/>
  <c r="E1382" i="2" l="1"/>
  <c r="G1382" i="2" s="1"/>
  <c r="H1382" i="2"/>
  <c r="I1382" i="2"/>
  <c r="J1381" i="2"/>
  <c r="K1381" i="2"/>
  <c r="F1383" i="2" l="1"/>
  <c r="G1383" i="2" s="1"/>
  <c r="H1383" i="2"/>
  <c r="I1383" i="2"/>
  <c r="J1382" i="2"/>
  <c r="K1382" i="2" s="1"/>
  <c r="F1384" i="2" l="1"/>
  <c r="G1384" i="2" s="1"/>
  <c r="H1384" i="2"/>
  <c r="I1384" i="2"/>
  <c r="J1383" i="2"/>
  <c r="K1383" i="2" s="1"/>
  <c r="E1385" i="2" l="1"/>
  <c r="G1385" i="2" s="1"/>
  <c r="H1385" i="2"/>
  <c r="I1385" i="2"/>
  <c r="J1384" i="2"/>
  <c r="K1384" i="2"/>
  <c r="E1386" i="2" l="1"/>
  <c r="G1386" i="2" s="1"/>
  <c r="H1386" i="2"/>
  <c r="I1386" i="2"/>
  <c r="J1385" i="2"/>
  <c r="K1385" i="2" s="1"/>
  <c r="H1387" i="2" l="1"/>
  <c r="I1387" i="2"/>
  <c r="J1386" i="2"/>
  <c r="E1387" i="2"/>
  <c r="G1387" i="2" s="1"/>
  <c r="K1386" i="2"/>
  <c r="H1388" i="2" l="1"/>
  <c r="I1388" i="2"/>
  <c r="J1387" i="2"/>
  <c r="F1388" i="2"/>
  <c r="G1388" i="2" s="1"/>
  <c r="K1387" i="2"/>
  <c r="H1389" i="2" l="1"/>
  <c r="I1389" i="2"/>
  <c r="J1388" i="2"/>
  <c r="E1389" i="2"/>
  <c r="G1389" i="2" s="1"/>
  <c r="K1388" i="2"/>
  <c r="F1390" i="2" l="1"/>
  <c r="G1390" i="2" s="1"/>
  <c r="H1390" i="2"/>
  <c r="I1390" i="2"/>
  <c r="J1389" i="2"/>
  <c r="K1389" i="2"/>
  <c r="E1391" i="2" l="1"/>
  <c r="G1391" i="2" s="1"/>
  <c r="H1391" i="2"/>
  <c r="J1390" i="2"/>
  <c r="K1390" i="2" s="1"/>
  <c r="I1391" i="2"/>
  <c r="F1392" i="2" l="1"/>
  <c r="G1392" i="2" s="1"/>
  <c r="H1392" i="2"/>
  <c r="I1392" i="2"/>
  <c r="J1391" i="2"/>
  <c r="K1391" i="2" s="1"/>
  <c r="F1393" i="2" l="1"/>
  <c r="G1393" i="2" s="1"/>
  <c r="H1393" i="2"/>
  <c r="I1393" i="2"/>
  <c r="J1392" i="2"/>
  <c r="K1392" i="2" s="1"/>
  <c r="F1394" i="2" l="1"/>
  <c r="G1394" i="2" s="1"/>
  <c r="H1394" i="2"/>
  <c r="I1394" i="2"/>
  <c r="J1393" i="2"/>
  <c r="K1393" i="2"/>
  <c r="H1395" i="2" l="1"/>
  <c r="I1395" i="2"/>
  <c r="J1394" i="2"/>
  <c r="K1394" i="2" s="1"/>
  <c r="E1395" i="2"/>
  <c r="G1395" i="2" s="1"/>
  <c r="H1396" i="2" l="1"/>
  <c r="I1396" i="2"/>
  <c r="J1395" i="2"/>
  <c r="K1395" i="2" s="1"/>
  <c r="F1396" i="2"/>
  <c r="G1396" i="2" s="1"/>
  <c r="H1397" i="2" l="1"/>
  <c r="I1397" i="2"/>
  <c r="J1396" i="2"/>
  <c r="E1397" i="2"/>
  <c r="G1397" i="2" s="1"/>
  <c r="K1396" i="2"/>
  <c r="E1398" i="2" l="1"/>
  <c r="G1398" i="2" s="1"/>
  <c r="H1398" i="2"/>
  <c r="I1398" i="2"/>
  <c r="J1397" i="2"/>
  <c r="K1397" i="2"/>
  <c r="E1399" i="2" l="1"/>
  <c r="G1399" i="2" s="1"/>
  <c r="H1399" i="2"/>
  <c r="I1399" i="2"/>
  <c r="J1398" i="2"/>
  <c r="K1398" i="2" s="1"/>
  <c r="E1400" i="2" l="1"/>
  <c r="G1400" i="2" s="1"/>
  <c r="H1400" i="2"/>
  <c r="I1400" i="2"/>
  <c r="J1399" i="2"/>
  <c r="K1399" i="2" s="1"/>
  <c r="E1401" i="2" l="1"/>
  <c r="G1401" i="2" s="1"/>
  <c r="H1401" i="2"/>
  <c r="I1401" i="2"/>
  <c r="J1400" i="2"/>
  <c r="K1400" i="2" s="1"/>
  <c r="F1402" i="2" l="1"/>
  <c r="G1402" i="2" s="1"/>
  <c r="H1402" i="2"/>
  <c r="I1402" i="2"/>
  <c r="J1401" i="2"/>
  <c r="K1401" i="2" s="1"/>
  <c r="H1403" i="2" l="1"/>
  <c r="I1403" i="2"/>
  <c r="J1402" i="2"/>
  <c r="K1402" i="2" s="1"/>
  <c r="E1403" i="2"/>
  <c r="G1403" i="2" s="1"/>
  <c r="H1404" i="2" l="1"/>
  <c r="I1404" i="2"/>
  <c r="J1403" i="2"/>
  <c r="K1403" i="2" s="1"/>
  <c r="E1404" i="2"/>
  <c r="G1404" i="2" s="1"/>
  <c r="H1405" i="2" l="1"/>
  <c r="I1405" i="2"/>
  <c r="J1404" i="2"/>
  <c r="F1405" i="2"/>
  <c r="G1405" i="2" s="1"/>
  <c r="K1404" i="2"/>
  <c r="F1406" i="2" l="1"/>
  <c r="G1406" i="2" s="1"/>
  <c r="H1406" i="2"/>
  <c r="I1406" i="2"/>
  <c r="J1405" i="2"/>
  <c r="K1405" i="2"/>
  <c r="F1407" i="2" l="1"/>
  <c r="G1407" i="2" s="1"/>
  <c r="H1407" i="2"/>
  <c r="I1407" i="2"/>
  <c r="J1406" i="2"/>
  <c r="K1406" i="2" s="1"/>
  <c r="F1408" i="2" l="1"/>
  <c r="G1408" i="2" s="1"/>
  <c r="H1408" i="2"/>
  <c r="I1408" i="2"/>
  <c r="J1407" i="2"/>
  <c r="K1407" i="2" s="1"/>
  <c r="E1409" i="2" l="1"/>
  <c r="G1409" i="2" s="1"/>
  <c r="H1409" i="2"/>
  <c r="I1409" i="2"/>
  <c r="J1408" i="2"/>
  <c r="K1408" i="2" s="1"/>
  <c r="F1410" i="2" l="1"/>
  <c r="G1410" i="2" s="1"/>
  <c r="H1410" i="2"/>
  <c r="I1410" i="2"/>
  <c r="J1409" i="2"/>
  <c r="K1409" i="2" s="1"/>
  <c r="H1411" i="2" l="1"/>
  <c r="I1411" i="2"/>
  <c r="J1410" i="2"/>
  <c r="K1410" i="2" s="1"/>
  <c r="E1411" i="2"/>
  <c r="G1411" i="2" s="1"/>
  <c r="H1412" i="2" l="1"/>
  <c r="I1412" i="2"/>
  <c r="J1411" i="2"/>
  <c r="E1412" i="2"/>
  <c r="G1412" i="2" s="1"/>
  <c r="K1411" i="2"/>
  <c r="H1413" i="2" l="1"/>
  <c r="I1413" i="2"/>
  <c r="J1412" i="2"/>
  <c r="F1413" i="2"/>
  <c r="G1413" i="2" s="1"/>
  <c r="K1412" i="2"/>
  <c r="E1414" i="2" l="1"/>
  <c r="G1414" i="2" s="1"/>
  <c r="H1414" i="2"/>
  <c r="I1414" i="2"/>
  <c r="J1413" i="2"/>
  <c r="K1413" i="2"/>
  <c r="E1415" i="2" l="1"/>
  <c r="G1415" i="2" s="1"/>
  <c r="H1415" i="2"/>
  <c r="I1415" i="2"/>
  <c r="J1414" i="2"/>
  <c r="K1414" i="2" s="1"/>
  <c r="E1416" i="2" l="1"/>
  <c r="G1416" i="2" s="1"/>
  <c r="H1416" i="2"/>
  <c r="I1416" i="2"/>
  <c r="J1415" i="2"/>
  <c r="K1415" i="2" s="1"/>
  <c r="F1417" i="2" l="1"/>
  <c r="G1417" i="2" s="1"/>
  <c r="H1417" i="2"/>
  <c r="I1417" i="2"/>
  <c r="J1416" i="2"/>
  <c r="K1416" i="2"/>
  <c r="E1418" i="2" l="1"/>
  <c r="G1418" i="2" s="1"/>
  <c r="I1418" i="2"/>
  <c r="H1418" i="2"/>
  <c r="J1417" i="2"/>
  <c r="K1417" i="2" s="1"/>
  <c r="H1419" i="2" l="1"/>
  <c r="I1419" i="2"/>
  <c r="J1418" i="2"/>
  <c r="K1418" i="2" s="1"/>
  <c r="E1419" i="2"/>
  <c r="G1419" i="2" s="1"/>
  <c r="H1420" i="2" l="1"/>
  <c r="I1420" i="2"/>
  <c r="J1419" i="2"/>
  <c r="E1420" i="2"/>
  <c r="G1420" i="2" s="1"/>
  <c r="K1419" i="2"/>
  <c r="H1421" i="2" l="1"/>
  <c r="I1421" i="2"/>
  <c r="J1420" i="2"/>
  <c r="F1421" i="2"/>
  <c r="G1421" i="2" s="1"/>
  <c r="K1420" i="2"/>
  <c r="F1422" i="2" l="1"/>
  <c r="G1422" i="2" s="1"/>
  <c r="H1422" i="2"/>
  <c r="I1422" i="2"/>
  <c r="J1421" i="2"/>
  <c r="K1421" i="2"/>
  <c r="F1423" i="2" l="1"/>
  <c r="G1423" i="2" s="1"/>
  <c r="H1423" i="2"/>
  <c r="J1422" i="2"/>
  <c r="K1422" i="2" s="1"/>
  <c r="I1423" i="2"/>
  <c r="K1423" i="2" l="1"/>
  <c r="E1424" i="2"/>
  <c r="G1424" i="2" s="1"/>
  <c r="H1424" i="2"/>
  <c r="I1424" i="2"/>
  <c r="J1423" i="2"/>
  <c r="E1425" i="2" l="1"/>
  <c r="G1425" i="2" s="1"/>
  <c r="H1425" i="2"/>
  <c r="I1425" i="2"/>
  <c r="J1424" i="2"/>
  <c r="K1424" i="2" s="1"/>
  <c r="E1426" i="2" l="1"/>
  <c r="G1426" i="2" s="1"/>
  <c r="H1426" i="2"/>
  <c r="I1426" i="2"/>
  <c r="J1425" i="2"/>
  <c r="K1425" i="2" s="1"/>
  <c r="H1427" i="2" l="1"/>
  <c r="I1427" i="2"/>
  <c r="J1426" i="2"/>
  <c r="K1426" i="2" s="1"/>
  <c r="F1427" i="2"/>
  <c r="G1427" i="2" s="1"/>
  <c r="H1428" i="2" l="1"/>
  <c r="I1428" i="2"/>
  <c r="J1427" i="2"/>
  <c r="F1428" i="2"/>
  <c r="G1428" i="2" s="1"/>
  <c r="K1427" i="2"/>
  <c r="H1429" i="2" l="1"/>
  <c r="I1429" i="2"/>
  <c r="J1428" i="2"/>
  <c r="F1429" i="2"/>
  <c r="G1429" i="2" s="1"/>
  <c r="K1428" i="2"/>
  <c r="F1430" i="2" l="1"/>
  <c r="G1430" i="2" s="1"/>
  <c r="H1430" i="2"/>
  <c r="I1430" i="2"/>
  <c r="J1429" i="2"/>
  <c r="K1429" i="2"/>
  <c r="F1431" i="2" l="1"/>
  <c r="G1431" i="2" s="1"/>
  <c r="H1431" i="2"/>
  <c r="I1431" i="2"/>
  <c r="J1430" i="2"/>
  <c r="K1430" i="2" s="1"/>
  <c r="F1432" i="2" l="1"/>
  <c r="G1432" i="2" s="1"/>
  <c r="H1432" i="2"/>
  <c r="I1432" i="2"/>
  <c r="J1431" i="2"/>
  <c r="K1431" i="2" s="1"/>
  <c r="F1433" i="2" l="1"/>
  <c r="G1433" i="2" s="1"/>
  <c r="H1433" i="2"/>
  <c r="I1433" i="2"/>
  <c r="J1432" i="2"/>
  <c r="K1432" i="2" s="1"/>
  <c r="F1434" i="2" l="1"/>
  <c r="G1434" i="2" s="1"/>
  <c r="H1434" i="2"/>
  <c r="I1434" i="2"/>
  <c r="J1433" i="2"/>
  <c r="K1433" i="2" s="1"/>
  <c r="I1435" i="2" l="1"/>
  <c r="H1435" i="2"/>
  <c r="J1434" i="2"/>
  <c r="K1434" i="2" s="1"/>
  <c r="F1435" i="2"/>
  <c r="G1435" i="2" s="1"/>
  <c r="H1436" i="2" l="1"/>
  <c r="I1436" i="2"/>
  <c r="J1435" i="2"/>
  <c r="F1436" i="2"/>
  <c r="G1436" i="2" s="1"/>
  <c r="K1435" i="2"/>
  <c r="H1437" i="2" l="1"/>
  <c r="I1437" i="2"/>
  <c r="J1436" i="2"/>
  <c r="F1437" i="2"/>
  <c r="G1437" i="2" s="1"/>
  <c r="K1436" i="2"/>
  <c r="E1438" i="2" l="1"/>
  <c r="G1438" i="2" s="1"/>
  <c r="H1438" i="2"/>
  <c r="I1438" i="2"/>
  <c r="J1437" i="2"/>
  <c r="K1437" i="2"/>
  <c r="F1439" i="2" l="1"/>
  <c r="G1439" i="2" s="1"/>
  <c r="H1439" i="2"/>
  <c r="I1439" i="2"/>
  <c r="J1438" i="2"/>
  <c r="K1438" i="2" s="1"/>
  <c r="F1440" i="2" l="1"/>
  <c r="G1440" i="2" s="1"/>
  <c r="H1440" i="2"/>
  <c r="I1440" i="2"/>
  <c r="J1439" i="2"/>
  <c r="K1439" i="2" s="1"/>
  <c r="E1441" i="2" l="1"/>
  <c r="G1441" i="2" s="1"/>
  <c r="H1441" i="2"/>
  <c r="I1441" i="2"/>
  <c r="J1440" i="2"/>
  <c r="K1440" i="2" s="1"/>
  <c r="E1442" i="2" l="1"/>
  <c r="G1442" i="2" s="1"/>
  <c r="H1442" i="2"/>
  <c r="I1442" i="2"/>
  <c r="J1441" i="2"/>
  <c r="K1441" i="2" s="1"/>
  <c r="H1443" i="2" l="1"/>
  <c r="I1443" i="2"/>
  <c r="J1442" i="2"/>
  <c r="K1442" i="2" s="1"/>
  <c r="F1443" i="2"/>
  <c r="G1443" i="2" s="1"/>
  <c r="H1444" i="2" l="1"/>
  <c r="I1444" i="2"/>
  <c r="J1443" i="2"/>
  <c r="E1444" i="2"/>
  <c r="G1444" i="2" s="1"/>
  <c r="K1443" i="2"/>
  <c r="H1445" i="2" l="1"/>
  <c r="I1445" i="2"/>
  <c r="J1444" i="2"/>
  <c r="F1445" i="2"/>
  <c r="G1445" i="2" s="1"/>
  <c r="K1444" i="2"/>
  <c r="F1446" i="2" l="1"/>
  <c r="G1446" i="2" s="1"/>
  <c r="H1446" i="2"/>
  <c r="I1446" i="2"/>
  <c r="J1445" i="2"/>
  <c r="K1445" i="2"/>
  <c r="E1447" i="2" l="1"/>
  <c r="G1447" i="2" s="1"/>
  <c r="H1447" i="2"/>
  <c r="I1447" i="2"/>
  <c r="J1446" i="2"/>
  <c r="K1446" i="2" s="1"/>
  <c r="K1447" i="2" l="1"/>
  <c r="E1448" i="2"/>
  <c r="G1448" i="2" s="1"/>
  <c r="H1448" i="2"/>
  <c r="I1448" i="2"/>
  <c r="J1447" i="2"/>
  <c r="F1449" i="2" l="1"/>
  <c r="G1449" i="2" s="1"/>
  <c r="H1449" i="2"/>
  <c r="I1449" i="2"/>
  <c r="J1448" i="2"/>
  <c r="K1448" i="2"/>
  <c r="F1450" i="2" l="1"/>
  <c r="G1450" i="2" s="1"/>
  <c r="H1450" i="2"/>
  <c r="I1450" i="2"/>
  <c r="J1449" i="2"/>
  <c r="K1449" i="2" s="1"/>
  <c r="H1451" i="2" l="1"/>
  <c r="I1451" i="2"/>
  <c r="J1450" i="2"/>
  <c r="E1451" i="2"/>
  <c r="G1451" i="2" s="1"/>
  <c r="K1450" i="2"/>
  <c r="H1452" i="2" l="1"/>
  <c r="I1452" i="2"/>
  <c r="J1451" i="2"/>
  <c r="E1452" i="2"/>
  <c r="G1452" i="2" s="1"/>
  <c r="K1451" i="2"/>
  <c r="H1453" i="2" l="1"/>
  <c r="I1453" i="2"/>
  <c r="J1452" i="2"/>
  <c r="E1453" i="2"/>
  <c r="G1453" i="2" s="1"/>
  <c r="K1452" i="2"/>
  <c r="E1454" i="2" l="1"/>
  <c r="G1454" i="2" s="1"/>
  <c r="H1454" i="2"/>
  <c r="I1454" i="2"/>
  <c r="J1453" i="2"/>
  <c r="K1453" i="2"/>
  <c r="E1455" i="2" l="1"/>
  <c r="G1455" i="2" s="1"/>
  <c r="H1455" i="2"/>
  <c r="J1454" i="2"/>
  <c r="K1454" i="2" s="1"/>
  <c r="I1455" i="2"/>
  <c r="E1456" i="2" l="1"/>
  <c r="G1456" i="2" s="1"/>
  <c r="H1456" i="2"/>
  <c r="I1456" i="2"/>
  <c r="J1455" i="2"/>
  <c r="K1455" i="2"/>
  <c r="F1457" i="2" l="1"/>
  <c r="G1457" i="2" s="1"/>
  <c r="H1457" i="2"/>
  <c r="I1457" i="2"/>
  <c r="J1456" i="2"/>
  <c r="K1456" i="2" s="1"/>
  <c r="E1458" i="2" l="1"/>
  <c r="G1458" i="2" s="1"/>
  <c r="I1458" i="2"/>
  <c r="H1458" i="2"/>
  <c r="J1457" i="2"/>
  <c r="K1457" i="2" s="1"/>
  <c r="I1459" i="2" l="1"/>
  <c r="H1459" i="2"/>
  <c r="J1458" i="2"/>
  <c r="K1458" i="2" s="1"/>
  <c r="E1459" i="2"/>
  <c r="G1459" i="2" s="1"/>
  <c r="H1460" i="2" l="1"/>
  <c r="I1460" i="2"/>
  <c r="J1459" i="2"/>
  <c r="E1460" i="2"/>
  <c r="G1460" i="2" s="1"/>
  <c r="K1459" i="2"/>
  <c r="H1461" i="2" l="1"/>
  <c r="I1461" i="2"/>
  <c r="J1460" i="2"/>
  <c r="K1460" i="2" s="1"/>
  <c r="F1461" i="2"/>
  <c r="G1461" i="2" s="1"/>
  <c r="F1462" i="2" l="1"/>
  <c r="G1462" i="2" s="1"/>
  <c r="H1462" i="2"/>
  <c r="J1461" i="2"/>
  <c r="I1462" i="2"/>
  <c r="K1461" i="2"/>
  <c r="F1463" i="2" l="1"/>
  <c r="G1463" i="2" s="1"/>
  <c r="H1463" i="2"/>
  <c r="I1463" i="2"/>
  <c r="J1462" i="2"/>
  <c r="K1462" i="2" s="1"/>
  <c r="F1464" i="2" l="1"/>
  <c r="G1464" i="2" s="1"/>
  <c r="H1464" i="2"/>
  <c r="I1464" i="2"/>
  <c r="J1463" i="2"/>
  <c r="K1463" i="2" s="1"/>
  <c r="F1465" i="2" l="1"/>
  <c r="G1465" i="2" s="1"/>
  <c r="H1465" i="2"/>
  <c r="I1465" i="2"/>
  <c r="J1464" i="2"/>
  <c r="K1464" i="2" s="1"/>
  <c r="F1466" i="2" l="1"/>
  <c r="G1466" i="2" s="1"/>
  <c r="H1466" i="2"/>
  <c r="I1466" i="2"/>
  <c r="J1465" i="2"/>
  <c r="K1465" i="2" s="1"/>
  <c r="H1467" i="2" l="1"/>
  <c r="I1467" i="2"/>
  <c r="J1466" i="2"/>
  <c r="K1466" i="2" s="1"/>
  <c r="E1467" i="2"/>
  <c r="G1467" i="2" s="1"/>
  <c r="H1468" i="2" l="1"/>
  <c r="I1468" i="2"/>
  <c r="J1467" i="2"/>
  <c r="K1467" i="2" s="1"/>
  <c r="F1468" i="2"/>
  <c r="G1468" i="2" s="1"/>
  <c r="H1469" i="2" l="1"/>
  <c r="I1469" i="2"/>
  <c r="J1468" i="2"/>
  <c r="E1469" i="2"/>
  <c r="G1469" i="2" s="1"/>
  <c r="K1468" i="2"/>
  <c r="E1470" i="2" l="1"/>
  <c r="G1470" i="2" s="1"/>
  <c r="H1470" i="2"/>
  <c r="I1470" i="2"/>
  <c r="J1469" i="2"/>
  <c r="K1469" i="2"/>
  <c r="E1471" i="2" l="1"/>
  <c r="G1471" i="2" s="1"/>
  <c r="H1471" i="2"/>
  <c r="I1471" i="2"/>
  <c r="J1470" i="2"/>
  <c r="K1470" i="2" s="1"/>
  <c r="E1472" i="2" l="1"/>
  <c r="G1472" i="2" s="1"/>
  <c r="H1472" i="2"/>
  <c r="I1472" i="2"/>
  <c r="J1471" i="2"/>
  <c r="K1471" i="2" s="1"/>
  <c r="E1473" i="2" l="1"/>
  <c r="G1473" i="2" s="1"/>
  <c r="H1473" i="2"/>
  <c r="I1473" i="2"/>
  <c r="J1472" i="2"/>
  <c r="K1472" i="2" s="1"/>
  <c r="K1473" i="2" l="1"/>
  <c r="F1474" i="2"/>
  <c r="G1474" i="2" s="1"/>
  <c r="H1474" i="2"/>
  <c r="I1474" i="2"/>
  <c r="J1473" i="2"/>
  <c r="H1475" i="2" l="1"/>
  <c r="I1475" i="2"/>
  <c r="J1474" i="2"/>
  <c r="K1474" i="2" s="1"/>
  <c r="F1475" i="2"/>
  <c r="G1475" i="2" s="1"/>
  <c r="H1476" i="2" l="1"/>
  <c r="I1476" i="2"/>
  <c r="J1475" i="2"/>
  <c r="E1476" i="2"/>
  <c r="G1476" i="2" s="1"/>
  <c r="K1475" i="2"/>
  <c r="H1477" i="2" l="1"/>
  <c r="I1477" i="2"/>
  <c r="J1476" i="2"/>
  <c r="E1477" i="2"/>
  <c r="G1477" i="2" s="1"/>
  <c r="K1476" i="2"/>
  <c r="F1478" i="2" l="1"/>
  <c r="G1478" i="2" s="1"/>
  <c r="H1478" i="2"/>
  <c r="I1478" i="2"/>
  <c r="J1477" i="2"/>
  <c r="K1477" i="2"/>
  <c r="E1479" i="2" l="1"/>
  <c r="G1479" i="2" s="1"/>
  <c r="H1479" i="2"/>
  <c r="I1479" i="2"/>
  <c r="J1478" i="2"/>
  <c r="K1478" i="2" s="1"/>
  <c r="F1480" i="2" l="1"/>
  <c r="G1480" i="2" s="1"/>
  <c r="H1480" i="2"/>
  <c r="I1480" i="2"/>
  <c r="J1479" i="2"/>
  <c r="K1479" i="2" s="1"/>
  <c r="E1481" i="2" l="1"/>
  <c r="G1481" i="2" s="1"/>
  <c r="H1481" i="2"/>
  <c r="I1481" i="2"/>
  <c r="J1480" i="2"/>
  <c r="K1480" i="2" s="1"/>
  <c r="E1482" i="2" l="1"/>
  <c r="G1482" i="2" s="1"/>
  <c r="H1482" i="2"/>
  <c r="I1482" i="2"/>
  <c r="J1481" i="2"/>
  <c r="K1481" i="2" s="1"/>
  <c r="H1483" i="2" l="1"/>
  <c r="I1483" i="2"/>
  <c r="J1482" i="2"/>
  <c r="K1482" i="2" s="1"/>
  <c r="F1483" i="2"/>
  <c r="G1483" i="2" s="1"/>
  <c r="H1484" i="2" l="1"/>
  <c r="I1484" i="2"/>
  <c r="J1483" i="2"/>
  <c r="K1483" i="2" s="1"/>
  <c r="F1484" i="2"/>
  <c r="G1484" i="2" s="1"/>
  <c r="H1485" i="2" l="1"/>
  <c r="I1485" i="2"/>
  <c r="J1484" i="2"/>
  <c r="K1484" i="2" s="1"/>
  <c r="E1485" i="2"/>
  <c r="G1485" i="2" s="1"/>
  <c r="E1486" i="2" l="1"/>
  <c r="G1486" i="2" s="1"/>
  <c r="H1486" i="2"/>
  <c r="I1486" i="2"/>
  <c r="J1485" i="2"/>
  <c r="K1485" i="2" s="1"/>
  <c r="F1487" i="2" l="1"/>
  <c r="G1487" i="2" s="1"/>
  <c r="H1487" i="2"/>
  <c r="J1486" i="2"/>
  <c r="K1486" i="2" s="1"/>
  <c r="I1487" i="2"/>
  <c r="E1488" i="2" l="1"/>
  <c r="G1488" i="2" s="1"/>
  <c r="H1488" i="2"/>
  <c r="I1488" i="2"/>
  <c r="J1487" i="2"/>
  <c r="K1487" i="2" s="1"/>
  <c r="E1489" i="2" l="1"/>
  <c r="G1489" i="2" s="1"/>
  <c r="H1489" i="2"/>
  <c r="I1489" i="2"/>
  <c r="J1488" i="2"/>
  <c r="K1488" i="2" s="1"/>
  <c r="F1490" i="2" l="1"/>
  <c r="G1490" i="2" s="1"/>
  <c r="H1490" i="2"/>
  <c r="I1490" i="2"/>
  <c r="J1489" i="2"/>
  <c r="K1489" i="2" s="1"/>
  <c r="H1491" i="2" l="1"/>
  <c r="I1491" i="2"/>
  <c r="J1490" i="2"/>
  <c r="K1490" i="2" s="1"/>
  <c r="F1491" i="2"/>
  <c r="G1491" i="2" s="1"/>
  <c r="H1492" i="2" l="1"/>
  <c r="I1492" i="2"/>
  <c r="J1491" i="2"/>
  <c r="F1492" i="2"/>
  <c r="G1492" i="2" s="1"/>
  <c r="K1491" i="2"/>
  <c r="H1493" i="2" l="1"/>
  <c r="I1493" i="2"/>
  <c r="J1492" i="2"/>
  <c r="F1493" i="2"/>
  <c r="G1493" i="2" s="1"/>
  <c r="K1492" i="2"/>
  <c r="F1494" i="2" l="1"/>
  <c r="G1494" i="2" s="1"/>
  <c r="H1494" i="2"/>
  <c r="I1494" i="2"/>
  <c r="J1493" i="2"/>
  <c r="K1493" i="2"/>
  <c r="E1495" i="2" l="1"/>
  <c r="G1495" i="2" s="1"/>
  <c r="H1495" i="2"/>
  <c r="I1495" i="2"/>
  <c r="J1494" i="2"/>
  <c r="K1494" i="2" s="1"/>
  <c r="F1496" i="2" l="1"/>
  <c r="G1496" i="2" s="1"/>
  <c r="H1496" i="2"/>
  <c r="I1496" i="2"/>
  <c r="J1495" i="2"/>
  <c r="K1495" i="2" s="1"/>
  <c r="F1497" i="2" l="1"/>
  <c r="G1497" i="2" s="1"/>
  <c r="H1497" i="2"/>
  <c r="I1497" i="2"/>
  <c r="J1496" i="2"/>
  <c r="K1496" i="2" s="1"/>
  <c r="F1498" i="2" l="1"/>
  <c r="G1498" i="2" s="1"/>
  <c r="H1498" i="2"/>
  <c r="I1498" i="2"/>
  <c r="J1497" i="2"/>
  <c r="K1497" i="2" s="1"/>
  <c r="H1499" i="2" l="1"/>
  <c r="I1499" i="2"/>
  <c r="J1498" i="2"/>
  <c r="K1498" i="2" s="1"/>
  <c r="E1499" i="2"/>
  <c r="G1499" i="2" s="1"/>
  <c r="H1500" i="2" l="1"/>
  <c r="I1500" i="2"/>
  <c r="J1499" i="2"/>
  <c r="E1500" i="2"/>
  <c r="G1500" i="2" s="1"/>
  <c r="K1499" i="2"/>
  <c r="H1501" i="2" l="1"/>
  <c r="I1501" i="2"/>
  <c r="J1500" i="2"/>
  <c r="E1501" i="2"/>
  <c r="G1501" i="2" s="1"/>
  <c r="K1500" i="2"/>
  <c r="E1502" i="2" l="1"/>
  <c r="G1502" i="2" s="1"/>
  <c r="H1502" i="2"/>
  <c r="I1502" i="2"/>
  <c r="J1501" i="2"/>
  <c r="K1501" i="2"/>
  <c r="F1503" i="2" l="1"/>
  <c r="G1503" i="2" s="1"/>
  <c r="H1503" i="2"/>
  <c r="I1503" i="2"/>
  <c r="J1502" i="2"/>
  <c r="K1502" i="2" s="1"/>
  <c r="F1504" i="2" l="1"/>
  <c r="G1504" i="2" s="1"/>
  <c r="H1504" i="2"/>
  <c r="I1504" i="2"/>
  <c r="J1503" i="2"/>
  <c r="K1503" i="2" s="1"/>
  <c r="F1505" i="2" l="1"/>
  <c r="G1505" i="2" s="1"/>
  <c r="H1505" i="2"/>
  <c r="I1505" i="2"/>
  <c r="J1504" i="2"/>
  <c r="K1504" i="2" s="1"/>
  <c r="K1505" i="2" l="1"/>
  <c r="F1506" i="2"/>
  <c r="G1506" i="2" s="1"/>
  <c r="H1506" i="2"/>
  <c r="I1506" i="2"/>
  <c r="J1505" i="2"/>
  <c r="H1507" i="2" l="1"/>
  <c r="I1507" i="2"/>
  <c r="J1506" i="2"/>
  <c r="K1506" i="2" s="1"/>
  <c r="E1507" i="2"/>
  <c r="G1507" i="2" s="1"/>
  <c r="H1508" i="2" l="1"/>
  <c r="I1508" i="2"/>
  <c r="J1507" i="2"/>
  <c r="K1507" i="2" s="1"/>
  <c r="F1508" i="2"/>
  <c r="G1508" i="2" s="1"/>
  <c r="H1509" i="2" l="1"/>
  <c r="I1509" i="2"/>
  <c r="J1508" i="2"/>
  <c r="K1508" i="2" s="1"/>
  <c r="F1509" i="2"/>
  <c r="G1509" i="2" s="1"/>
  <c r="E1510" i="2" l="1"/>
  <c r="G1510" i="2" s="1"/>
  <c r="H1510" i="2"/>
  <c r="I1510" i="2"/>
  <c r="J1509" i="2"/>
  <c r="K1509" i="2"/>
  <c r="F1511" i="2" l="1"/>
  <c r="G1511" i="2" s="1"/>
  <c r="H1511" i="2"/>
  <c r="I1511" i="2"/>
  <c r="J1510" i="2"/>
  <c r="K1510" i="2" s="1"/>
  <c r="E1512" i="2" l="1"/>
  <c r="G1512" i="2" s="1"/>
  <c r="H1512" i="2"/>
  <c r="I1512" i="2"/>
  <c r="J1511" i="2"/>
  <c r="K1511" i="2" s="1"/>
  <c r="E1513" i="2" l="1"/>
  <c r="G1513" i="2" s="1"/>
  <c r="H1513" i="2"/>
  <c r="I1513" i="2"/>
  <c r="J1512" i="2"/>
  <c r="K1512" i="2" s="1"/>
  <c r="E1514" i="2" l="1"/>
  <c r="G1514" i="2" s="1"/>
  <c r="H1514" i="2"/>
  <c r="I1514" i="2"/>
  <c r="J1513" i="2"/>
  <c r="K1513" i="2" s="1"/>
  <c r="H1515" i="2" l="1"/>
  <c r="I1515" i="2"/>
  <c r="J1514" i="2"/>
  <c r="K1514" i="2" s="1"/>
  <c r="F1515" i="2"/>
  <c r="G1515" i="2" s="1"/>
  <c r="H1516" i="2" l="1"/>
  <c r="I1516" i="2"/>
  <c r="J1515" i="2"/>
  <c r="K1515" i="2" s="1"/>
  <c r="E1516" i="2"/>
  <c r="G1516" i="2" s="1"/>
  <c r="H1517" i="2" l="1"/>
  <c r="I1517" i="2"/>
  <c r="J1516" i="2"/>
  <c r="E1517" i="2"/>
  <c r="G1517" i="2" s="1"/>
  <c r="K1516" i="2"/>
  <c r="F1518" i="2" l="1"/>
  <c r="G1518" i="2" s="1"/>
  <c r="H1518" i="2"/>
  <c r="I1518" i="2"/>
  <c r="J1517" i="2"/>
  <c r="K1517" i="2"/>
  <c r="E1519" i="2" l="1"/>
  <c r="G1519" i="2" s="1"/>
  <c r="H1519" i="2"/>
  <c r="J1518" i="2"/>
  <c r="K1518" i="2" s="1"/>
  <c r="I1519" i="2"/>
  <c r="F1520" i="2" l="1"/>
  <c r="G1520" i="2" s="1"/>
  <c r="H1520" i="2"/>
  <c r="I1520" i="2"/>
  <c r="J1519" i="2"/>
  <c r="K1519" i="2" s="1"/>
  <c r="F1521" i="2" l="1"/>
  <c r="G1521" i="2" s="1"/>
  <c r="H1521" i="2"/>
  <c r="I1521" i="2"/>
  <c r="J1520" i="2"/>
  <c r="K1520" i="2" s="1"/>
  <c r="E1522" i="2" l="1"/>
  <c r="G1522" i="2" s="1"/>
  <c r="I1522" i="2"/>
  <c r="H1522" i="2"/>
  <c r="J1521" i="2"/>
  <c r="K1521" i="2" s="1"/>
  <c r="I1523" i="2" l="1"/>
  <c r="H1523" i="2"/>
  <c r="J1522" i="2"/>
  <c r="K1522" i="2" s="1"/>
  <c r="F1523" i="2"/>
  <c r="G1523" i="2" s="1"/>
  <c r="H1524" i="2" l="1"/>
  <c r="I1524" i="2"/>
  <c r="J1523" i="2"/>
  <c r="E1524" i="2"/>
  <c r="G1524" i="2" s="1"/>
  <c r="K1523" i="2"/>
  <c r="H1525" i="2" l="1"/>
  <c r="I1525" i="2"/>
  <c r="J1524" i="2"/>
  <c r="E1525" i="2"/>
  <c r="G1525" i="2" s="1"/>
  <c r="K1524" i="2"/>
  <c r="F1526" i="2" l="1"/>
  <c r="G1526" i="2" s="1"/>
  <c r="H1526" i="2"/>
  <c r="I1526" i="2"/>
  <c r="J1525" i="2"/>
  <c r="K1525" i="2"/>
  <c r="F1527" i="2" l="1"/>
  <c r="G1527" i="2" s="1"/>
  <c r="H1527" i="2"/>
  <c r="I1527" i="2"/>
  <c r="J1526" i="2"/>
  <c r="K1526" i="2" s="1"/>
  <c r="F1528" i="2" l="1"/>
  <c r="G1528" i="2" s="1"/>
  <c r="H1528" i="2"/>
  <c r="I1528" i="2"/>
  <c r="J1527" i="2"/>
  <c r="K1527" i="2" s="1"/>
  <c r="F1529" i="2" l="1"/>
  <c r="G1529" i="2" s="1"/>
  <c r="H1529" i="2"/>
  <c r="I1529" i="2"/>
  <c r="J1528" i="2"/>
  <c r="K1528" i="2" s="1"/>
  <c r="F1530" i="2" l="1"/>
  <c r="G1530" i="2" s="1"/>
  <c r="H1530" i="2"/>
  <c r="I1530" i="2"/>
  <c r="J1529" i="2"/>
  <c r="K1529" i="2" s="1"/>
  <c r="H1531" i="2" l="1"/>
  <c r="I1531" i="2"/>
  <c r="J1530" i="2"/>
  <c r="K1530" i="2" s="1"/>
  <c r="E1531" i="2"/>
  <c r="G1531" i="2" s="1"/>
  <c r="H1532" i="2" l="1"/>
  <c r="I1532" i="2"/>
  <c r="J1531" i="2"/>
  <c r="K1531" i="2" s="1"/>
  <c r="F1532" i="2"/>
  <c r="G1532" i="2" s="1"/>
  <c r="H1533" i="2" l="1"/>
  <c r="I1533" i="2"/>
  <c r="J1532" i="2"/>
  <c r="K1532" i="2" s="1"/>
  <c r="F1533" i="2"/>
  <c r="G1533" i="2" s="1"/>
  <c r="F1534" i="2" l="1"/>
  <c r="G1534" i="2" s="1"/>
  <c r="H1534" i="2"/>
  <c r="I1534" i="2"/>
  <c r="J1533" i="2"/>
  <c r="K1533" i="2" s="1"/>
  <c r="E1535" i="2" l="1"/>
  <c r="G1535" i="2" s="1"/>
  <c r="H1535" i="2"/>
  <c r="I1535" i="2"/>
  <c r="J1534" i="2"/>
  <c r="K1534" i="2" s="1"/>
  <c r="E1536" i="2" l="1"/>
  <c r="G1536" i="2" s="1"/>
  <c r="H1536" i="2"/>
  <c r="I1536" i="2"/>
  <c r="J1535" i="2"/>
  <c r="K1535" i="2" s="1"/>
  <c r="F1537" i="2" l="1"/>
  <c r="G1537" i="2" s="1"/>
  <c r="H1537" i="2"/>
  <c r="I1537" i="2"/>
  <c r="J1536" i="2"/>
  <c r="K1536" i="2" s="1"/>
  <c r="F1538" i="2" l="1"/>
  <c r="G1538" i="2" s="1"/>
  <c r="I1538" i="2"/>
  <c r="H1538" i="2"/>
  <c r="J1537" i="2"/>
  <c r="K1537" i="2" s="1"/>
  <c r="K1538" i="2" l="1"/>
  <c r="I1539" i="2"/>
  <c r="H1539" i="2"/>
  <c r="J1538" i="2"/>
  <c r="F1539" i="2"/>
  <c r="G1539" i="2" s="1"/>
  <c r="H1540" i="2" l="1"/>
  <c r="I1540" i="2"/>
  <c r="J1539" i="2"/>
  <c r="E1540" i="2"/>
  <c r="G1540" i="2" s="1"/>
  <c r="K1539" i="2"/>
  <c r="H1541" i="2" l="1"/>
  <c r="I1541" i="2"/>
  <c r="J1540" i="2"/>
  <c r="F1541" i="2"/>
  <c r="G1541" i="2" s="1"/>
  <c r="K1540" i="2"/>
  <c r="F1542" i="2" l="1"/>
  <c r="G1542" i="2" s="1"/>
  <c r="H1542" i="2"/>
  <c r="I1542" i="2"/>
  <c r="J1541" i="2"/>
  <c r="K1541" i="2"/>
  <c r="E1543" i="2" l="1"/>
  <c r="G1543" i="2" s="1"/>
  <c r="H1543" i="2"/>
  <c r="I1543" i="2"/>
  <c r="J1542" i="2"/>
  <c r="K1542" i="2" s="1"/>
  <c r="E1544" i="2" l="1"/>
  <c r="G1544" i="2" s="1"/>
  <c r="H1544" i="2"/>
  <c r="I1544" i="2"/>
  <c r="J1543" i="2"/>
  <c r="K1543" i="2" s="1"/>
  <c r="E1545" i="2" l="1"/>
  <c r="G1545" i="2" s="1"/>
  <c r="H1545" i="2"/>
  <c r="I1545" i="2"/>
  <c r="J1544" i="2"/>
  <c r="K1544" i="2" s="1"/>
  <c r="E1546" i="2" l="1"/>
  <c r="G1546" i="2" s="1"/>
  <c r="H1546" i="2"/>
  <c r="I1546" i="2"/>
  <c r="J1545" i="2"/>
  <c r="K1545" i="2" s="1"/>
  <c r="K1546" i="2" l="1"/>
  <c r="H1547" i="2"/>
  <c r="I1547" i="2"/>
  <c r="J1546" i="2"/>
  <c r="E1547" i="2"/>
  <c r="G1547" i="2" s="1"/>
  <c r="H1548" i="2" l="1"/>
  <c r="I1548" i="2"/>
  <c r="J1547" i="2"/>
  <c r="E1548" i="2"/>
  <c r="G1548" i="2" s="1"/>
  <c r="K1547" i="2"/>
  <c r="H1549" i="2" l="1"/>
  <c r="I1549" i="2"/>
  <c r="J1548" i="2"/>
  <c r="E1549" i="2"/>
  <c r="G1549" i="2" s="1"/>
  <c r="K1548" i="2"/>
  <c r="E1550" i="2" l="1"/>
  <c r="G1550" i="2" s="1"/>
  <c r="H1550" i="2"/>
  <c r="I1550" i="2"/>
  <c r="J1549" i="2"/>
  <c r="K1549" i="2"/>
  <c r="F1551" i="2" l="1"/>
  <c r="G1551" i="2" s="1"/>
  <c r="H1551" i="2"/>
  <c r="J1550" i="2"/>
  <c r="K1550" i="2" s="1"/>
  <c r="I1551" i="2"/>
  <c r="E1552" i="2" l="1"/>
  <c r="G1552" i="2" s="1"/>
  <c r="H1552" i="2"/>
  <c r="I1552" i="2"/>
  <c r="J1551" i="2"/>
  <c r="K1551" i="2" s="1"/>
  <c r="E1553" i="2" l="1"/>
  <c r="G1553" i="2" s="1"/>
  <c r="H1553" i="2"/>
  <c r="I1553" i="2"/>
  <c r="J1552" i="2"/>
  <c r="K1552" i="2" s="1"/>
  <c r="E1554" i="2" l="1"/>
  <c r="G1554" i="2" s="1"/>
  <c r="H1554" i="2"/>
  <c r="I1554" i="2"/>
  <c r="J1553" i="2"/>
  <c r="K1553" i="2" s="1"/>
  <c r="H1555" i="2" l="1"/>
  <c r="I1555" i="2"/>
  <c r="J1554" i="2"/>
  <c r="K1554" i="2" s="1"/>
  <c r="F1555" i="2"/>
  <c r="G1555" i="2" s="1"/>
  <c r="H1556" i="2" l="1"/>
  <c r="I1556" i="2"/>
  <c r="J1555" i="2"/>
  <c r="F1556" i="2"/>
  <c r="G1556" i="2" s="1"/>
  <c r="K1555" i="2"/>
  <c r="H1557" i="2" l="1"/>
  <c r="I1557" i="2"/>
  <c r="J1556" i="2"/>
  <c r="F1557" i="2"/>
  <c r="G1557" i="2" s="1"/>
  <c r="K1556" i="2"/>
  <c r="F1558" i="2" l="1"/>
  <c r="G1558" i="2" s="1"/>
  <c r="H1558" i="2"/>
  <c r="I1558" i="2"/>
  <c r="J1557" i="2"/>
  <c r="K1557" i="2"/>
  <c r="E1559" i="2" l="1"/>
  <c r="G1559" i="2" s="1"/>
  <c r="H1559" i="2"/>
  <c r="I1559" i="2"/>
  <c r="J1558" i="2"/>
  <c r="K1558" i="2" s="1"/>
  <c r="F1560" i="2" l="1"/>
  <c r="G1560" i="2" s="1"/>
  <c r="H1560" i="2"/>
  <c r="I1560" i="2"/>
  <c r="J1559" i="2"/>
  <c r="K1559" i="2" s="1"/>
  <c r="F1561" i="2" l="1"/>
  <c r="G1561" i="2" s="1"/>
  <c r="H1561" i="2"/>
  <c r="I1561" i="2"/>
  <c r="J1560" i="2"/>
  <c r="K1560" i="2" s="1"/>
  <c r="F1562" i="2" l="1"/>
  <c r="G1562" i="2" s="1"/>
  <c r="H1562" i="2"/>
  <c r="I1562" i="2"/>
  <c r="J1561" i="2"/>
  <c r="K1561" i="2"/>
  <c r="H1563" i="2" l="1"/>
  <c r="I1563" i="2"/>
  <c r="J1562" i="2"/>
  <c r="K1562" i="2" s="1"/>
  <c r="E1563" i="2"/>
  <c r="G1563" i="2" s="1"/>
  <c r="H1564" i="2" l="1"/>
  <c r="I1564" i="2"/>
  <c r="J1563" i="2"/>
  <c r="K1563" i="2" s="1"/>
  <c r="F1564" i="2"/>
  <c r="G1564" i="2" s="1"/>
  <c r="H1565" i="2" l="1"/>
  <c r="I1565" i="2"/>
  <c r="J1564" i="2"/>
  <c r="K1564" i="2" s="1"/>
  <c r="E1565" i="2"/>
  <c r="G1565" i="2" s="1"/>
  <c r="F1566" i="2" l="1"/>
  <c r="G1566" i="2" s="1"/>
  <c r="H1566" i="2"/>
  <c r="I1566" i="2"/>
  <c r="J1565" i="2"/>
  <c r="K1565" i="2"/>
  <c r="F1567" i="2" l="1"/>
  <c r="G1567" i="2" s="1"/>
  <c r="H1567" i="2"/>
  <c r="I1567" i="2"/>
  <c r="J1566" i="2"/>
  <c r="K1566" i="2" s="1"/>
  <c r="E1568" i="2" l="1"/>
  <c r="G1568" i="2" s="1"/>
  <c r="H1568" i="2"/>
  <c r="I1568" i="2"/>
  <c r="J1567" i="2"/>
  <c r="K1567" i="2" s="1"/>
  <c r="E1569" i="2" l="1"/>
  <c r="G1569" i="2" s="1"/>
  <c r="H1569" i="2"/>
  <c r="I1569" i="2"/>
  <c r="J1568" i="2"/>
  <c r="K1568" i="2" s="1"/>
  <c r="F1570" i="2" l="1"/>
  <c r="G1570" i="2" s="1"/>
  <c r="H1570" i="2"/>
  <c r="I1570" i="2"/>
  <c r="J1569" i="2"/>
  <c r="K1569" i="2" s="1"/>
  <c r="H1571" i="2" l="1"/>
  <c r="I1571" i="2"/>
  <c r="J1570" i="2"/>
  <c r="F1571" i="2"/>
  <c r="G1571" i="2" s="1"/>
  <c r="K1570" i="2"/>
  <c r="H1572" i="2" l="1"/>
  <c r="I1572" i="2"/>
  <c r="J1571" i="2"/>
  <c r="E1572" i="2"/>
  <c r="G1572" i="2" s="1"/>
  <c r="K1571" i="2"/>
  <c r="H1573" i="2" l="1"/>
  <c r="I1573" i="2"/>
  <c r="J1572" i="2"/>
  <c r="E1573" i="2"/>
  <c r="G1573" i="2" s="1"/>
  <c r="K1572" i="2"/>
  <c r="F1574" i="2" l="1"/>
  <c r="G1574" i="2" s="1"/>
  <c r="H1574" i="2"/>
  <c r="I1574" i="2"/>
  <c r="J1573" i="2"/>
  <c r="K1573" i="2"/>
  <c r="E1575" i="2" l="1"/>
  <c r="G1575" i="2" s="1"/>
  <c r="H1575" i="2"/>
  <c r="I1575" i="2"/>
  <c r="J1574" i="2"/>
  <c r="K1574" i="2" s="1"/>
  <c r="F1576" i="2" l="1"/>
  <c r="G1576" i="2" s="1"/>
  <c r="H1576" i="2"/>
  <c r="I1576" i="2"/>
  <c r="J1575" i="2"/>
  <c r="K1575" i="2" s="1"/>
  <c r="E1577" i="2" l="1"/>
  <c r="G1577" i="2" s="1"/>
  <c r="H1577" i="2"/>
  <c r="I1577" i="2"/>
  <c r="J1576" i="2"/>
  <c r="K1576" i="2" s="1"/>
  <c r="F1578" i="2" l="1"/>
  <c r="G1578" i="2" s="1"/>
  <c r="H1578" i="2"/>
  <c r="I1578" i="2"/>
  <c r="J1577" i="2"/>
  <c r="K1577" i="2" s="1"/>
  <c r="H1579" i="2" l="1"/>
  <c r="I1579" i="2"/>
  <c r="J1578" i="2"/>
  <c r="K1578" i="2" s="1"/>
  <c r="F1579" i="2"/>
  <c r="G1579" i="2" s="1"/>
  <c r="H1580" i="2" l="1"/>
  <c r="I1580" i="2"/>
  <c r="J1579" i="2"/>
  <c r="F1580" i="2"/>
  <c r="G1580" i="2" s="1"/>
  <c r="K1579" i="2"/>
  <c r="H1581" i="2" l="1"/>
  <c r="I1581" i="2"/>
  <c r="J1580" i="2"/>
  <c r="K1580" i="2" s="1"/>
  <c r="E1581" i="2"/>
  <c r="G1581" i="2" s="1"/>
  <c r="F1582" i="2" l="1"/>
  <c r="G1582" i="2" s="1"/>
  <c r="H1582" i="2"/>
  <c r="I1582" i="2"/>
  <c r="J1581" i="2"/>
  <c r="K1581" i="2" s="1"/>
  <c r="K1582" i="2" l="1"/>
  <c r="E1583" i="2"/>
  <c r="G1583" i="2" s="1"/>
  <c r="H1583" i="2"/>
  <c r="J1582" i="2"/>
  <c r="I1583" i="2"/>
  <c r="F1584" i="2" l="1"/>
  <c r="G1584" i="2" s="1"/>
  <c r="H1584" i="2"/>
  <c r="I1584" i="2"/>
  <c r="J1583" i="2"/>
  <c r="K1583" i="2" s="1"/>
  <c r="F1585" i="2" l="1"/>
  <c r="G1585" i="2" s="1"/>
  <c r="H1585" i="2"/>
  <c r="I1585" i="2"/>
  <c r="J1584" i="2"/>
  <c r="K1584" i="2"/>
  <c r="F1586" i="2" l="1"/>
  <c r="G1586" i="2" s="1"/>
  <c r="I1586" i="2"/>
  <c r="H1586" i="2"/>
  <c r="J1585" i="2"/>
  <c r="K1585" i="2" s="1"/>
  <c r="I1587" i="2" l="1"/>
  <c r="H1587" i="2"/>
  <c r="J1586" i="2"/>
  <c r="K1586" i="2" s="1"/>
  <c r="E1587" i="2"/>
  <c r="G1587" i="2" s="1"/>
  <c r="H1588" i="2" l="1"/>
  <c r="I1588" i="2"/>
  <c r="J1587" i="2"/>
  <c r="F1588" i="2"/>
  <c r="G1588" i="2" s="1"/>
  <c r="K1587" i="2"/>
  <c r="H1589" i="2" l="1"/>
  <c r="I1589" i="2"/>
  <c r="J1588" i="2"/>
  <c r="F1589" i="2"/>
  <c r="G1589" i="2" s="1"/>
  <c r="K1588" i="2"/>
  <c r="E1590" i="2" l="1"/>
  <c r="G1590" i="2" s="1"/>
  <c r="H1590" i="2"/>
  <c r="J1589" i="2"/>
  <c r="I1590" i="2"/>
  <c r="K1589" i="2"/>
  <c r="F1591" i="2" l="1"/>
  <c r="G1591" i="2" s="1"/>
  <c r="H1591" i="2"/>
  <c r="I1591" i="2"/>
  <c r="J1590" i="2"/>
  <c r="K1590" i="2" s="1"/>
  <c r="F1592" i="2" l="1"/>
  <c r="G1592" i="2" s="1"/>
  <c r="H1592" i="2"/>
  <c r="I1592" i="2"/>
  <c r="J1591" i="2"/>
  <c r="K1591" i="2" s="1"/>
  <c r="K1592" i="2" l="1"/>
  <c r="E1593" i="2"/>
  <c r="G1593" i="2" s="1"/>
  <c r="H1593" i="2"/>
  <c r="I1593" i="2"/>
  <c r="J1592" i="2"/>
  <c r="E1594" i="2" l="1"/>
  <c r="G1594" i="2" s="1"/>
  <c r="H1594" i="2"/>
  <c r="I1594" i="2"/>
  <c r="J1593" i="2"/>
  <c r="K1593" i="2" s="1"/>
  <c r="H1595" i="2" l="1"/>
  <c r="I1595" i="2"/>
  <c r="J1594" i="2"/>
  <c r="K1594" i="2" s="1"/>
  <c r="F1595" i="2"/>
  <c r="G1595" i="2" s="1"/>
  <c r="H1596" i="2" l="1"/>
  <c r="I1596" i="2"/>
  <c r="J1595" i="2"/>
  <c r="K1595" i="2" s="1"/>
  <c r="F1596" i="2"/>
  <c r="G1596" i="2" s="1"/>
  <c r="H1597" i="2" l="1"/>
  <c r="I1597" i="2"/>
  <c r="J1596" i="2"/>
  <c r="F1597" i="2"/>
  <c r="G1597" i="2" s="1"/>
  <c r="K1596" i="2"/>
  <c r="E1598" i="2" l="1"/>
  <c r="G1598" i="2" s="1"/>
  <c r="H1598" i="2"/>
  <c r="I1598" i="2"/>
  <c r="J1597" i="2"/>
  <c r="K1597" i="2"/>
  <c r="F1599" i="2" l="1"/>
  <c r="G1599" i="2" s="1"/>
  <c r="H1599" i="2"/>
  <c r="I1599" i="2"/>
  <c r="J1598" i="2"/>
  <c r="K1598" i="2"/>
  <c r="E1600" i="2" l="1"/>
  <c r="G1600" i="2" s="1"/>
  <c r="H1600" i="2"/>
  <c r="I1600" i="2"/>
  <c r="J1599" i="2"/>
  <c r="K1599" i="2" s="1"/>
  <c r="F1601" i="2" l="1"/>
  <c r="G1601" i="2" s="1"/>
  <c r="H1601" i="2"/>
  <c r="I1601" i="2"/>
  <c r="J1600" i="2"/>
  <c r="K1600" i="2"/>
  <c r="E1602" i="2" l="1"/>
  <c r="G1602" i="2" s="1"/>
  <c r="I1602" i="2"/>
  <c r="H1602" i="2"/>
  <c r="J1601" i="2"/>
  <c r="K1601" i="2" s="1"/>
  <c r="I1603" i="2" l="1"/>
  <c r="H1603" i="2"/>
  <c r="J1602" i="2"/>
  <c r="K1602" i="2" s="1"/>
  <c r="F1603" i="2"/>
  <c r="G1603" i="2" s="1"/>
  <c r="H1604" i="2" l="1"/>
  <c r="I1604" i="2"/>
  <c r="J1603" i="2"/>
  <c r="K1603" i="2" s="1"/>
  <c r="E1604" i="2"/>
  <c r="G1604" i="2" s="1"/>
  <c r="H1605" i="2" l="1"/>
  <c r="I1605" i="2"/>
  <c r="J1604" i="2"/>
  <c r="E1605" i="2"/>
  <c r="G1605" i="2" s="1"/>
  <c r="K1604" i="2"/>
  <c r="E1606" i="2" l="1"/>
  <c r="G1606" i="2" s="1"/>
  <c r="H1606" i="2"/>
  <c r="I1606" i="2"/>
  <c r="J1605" i="2"/>
  <c r="K1605" i="2"/>
  <c r="F1607" i="2" l="1"/>
  <c r="G1607" i="2" s="1"/>
  <c r="H1607" i="2"/>
  <c r="I1607" i="2"/>
  <c r="J1606" i="2"/>
  <c r="K1606" i="2" s="1"/>
  <c r="K1607" i="2" l="1"/>
  <c r="E1608" i="2"/>
  <c r="G1608" i="2" s="1"/>
  <c r="H1608" i="2"/>
  <c r="I1608" i="2"/>
  <c r="J1607" i="2"/>
  <c r="E1609" i="2" l="1"/>
  <c r="G1609" i="2" s="1"/>
  <c r="H1609" i="2"/>
  <c r="I1609" i="2"/>
  <c r="J1608" i="2"/>
  <c r="K1608" i="2" s="1"/>
  <c r="K1609" i="2" l="1"/>
  <c r="F1610" i="2"/>
  <c r="G1610" i="2" s="1"/>
  <c r="H1610" i="2"/>
  <c r="I1610" i="2"/>
  <c r="J1609" i="2"/>
  <c r="H1611" i="2" l="1"/>
  <c r="I1611" i="2"/>
  <c r="J1610" i="2"/>
  <c r="F1611" i="2"/>
  <c r="G1611" i="2" s="1"/>
  <c r="K1610" i="2"/>
  <c r="H1612" i="2" l="1"/>
  <c r="I1612" i="2"/>
  <c r="J1611" i="2"/>
  <c r="F1612" i="2"/>
  <c r="G1612" i="2" s="1"/>
  <c r="K1611" i="2"/>
  <c r="H1613" i="2" l="1"/>
  <c r="I1613" i="2"/>
  <c r="J1612" i="2"/>
  <c r="E1613" i="2"/>
  <c r="G1613" i="2" s="1"/>
  <c r="K1612" i="2"/>
  <c r="F1614" i="2" l="1"/>
  <c r="G1614" i="2" s="1"/>
  <c r="H1614" i="2"/>
  <c r="I1614" i="2"/>
  <c r="J1613" i="2"/>
  <c r="K1613" i="2"/>
  <c r="F1615" i="2" l="1"/>
  <c r="G1615" i="2" s="1"/>
  <c r="H1615" i="2"/>
  <c r="J1614" i="2"/>
  <c r="K1614" i="2" s="1"/>
  <c r="I1615" i="2"/>
  <c r="F1616" i="2" l="1"/>
  <c r="G1616" i="2" s="1"/>
  <c r="H1616" i="2"/>
  <c r="I1616" i="2"/>
  <c r="J1615" i="2"/>
  <c r="K1615" i="2" s="1"/>
  <c r="F1617" i="2" l="1"/>
  <c r="G1617" i="2" s="1"/>
  <c r="H1617" i="2"/>
  <c r="I1617" i="2"/>
  <c r="J1616" i="2"/>
  <c r="K1616" i="2"/>
  <c r="E1618" i="2" l="1"/>
  <c r="G1618" i="2" s="1"/>
  <c r="H1618" i="2"/>
  <c r="I1618" i="2"/>
  <c r="J1617" i="2"/>
  <c r="K1617" i="2" s="1"/>
  <c r="H1619" i="2" l="1"/>
  <c r="I1619" i="2"/>
  <c r="J1618" i="2"/>
  <c r="K1618" i="2" s="1"/>
  <c r="F1619" i="2"/>
  <c r="G1619" i="2" s="1"/>
  <c r="H1620" i="2" l="1"/>
  <c r="I1620" i="2"/>
  <c r="J1619" i="2"/>
  <c r="F1620" i="2"/>
  <c r="G1620" i="2" s="1"/>
  <c r="K1619" i="2"/>
  <c r="H1621" i="2" l="1"/>
  <c r="I1621" i="2"/>
  <c r="J1620" i="2"/>
  <c r="E1621" i="2"/>
  <c r="G1621" i="2" s="1"/>
  <c r="K1620" i="2"/>
  <c r="F1622" i="2" l="1"/>
  <c r="G1622" i="2" s="1"/>
  <c r="H1622" i="2"/>
  <c r="I1622" i="2"/>
  <c r="J1621" i="2"/>
  <c r="K1621" i="2"/>
  <c r="F1623" i="2" l="1"/>
  <c r="G1623" i="2" s="1"/>
  <c r="H1623" i="2"/>
  <c r="I1623" i="2"/>
  <c r="J1622" i="2"/>
  <c r="K1622" i="2" s="1"/>
  <c r="F1624" i="2" l="1"/>
  <c r="G1624" i="2" s="1"/>
  <c r="H1624" i="2"/>
  <c r="I1624" i="2"/>
  <c r="J1623" i="2"/>
  <c r="K1623" i="2" s="1"/>
  <c r="E1625" i="2" l="1"/>
  <c r="G1625" i="2" s="1"/>
  <c r="H1625" i="2"/>
  <c r="I1625" i="2"/>
  <c r="J1624" i="2"/>
  <c r="K1624" i="2" s="1"/>
  <c r="F1626" i="2" l="1"/>
  <c r="G1626" i="2" s="1"/>
  <c r="H1626" i="2"/>
  <c r="I1626" i="2"/>
  <c r="J1625" i="2"/>
  <c r="K1625" i="2" s="1"/>
  <c r="F1627" i="2" l="1"/>
  <c r="G1627" i="2" s="1"/>
  <c r="H1627" i="2"/>
  <c r="I1627" i="2"/>
  <c r="J1626" i="2"/>
  <c r="K1626" i="2" s="1"/>
  <c r="H1628" i="2" l="1"/>
  <c r="I1628" i="2"/>
  <c r="J1627" i="2"/>
  <c r="K1627" i="2" s="1"/>
  <c r="E1628" i="2"/>
  <c r="G1628" i="2" s="1"/>
  <c r="H1629" i="2" l="1"/>
  <c r="I1629" i="2"/>
  <c r="J1628" i="2"/>
  <c r="K1628" i="2" s="1"/>
  <c r="F1629" i="2"/>
  <c r="G1629" i="2" s="1"/>
  <c r="F1630" i="2" l="1"/>
  <c r="G1630" i="2" s="1"/>
  <c r="H1630" i="2"/>
  <c r="I1630" i="2"/>
  <c r="J1629" i="2"/>
  <c r="K1629" i="2" s="1"/>
  <c r="E1631" i="2" l="1"/>
  <c r="G1631" i="2" s="1"/>
  <c r="H1631" i="2"/>
  <c r="I1631" i="2"/>
  <c r="J1630" i="2"/>
  <c r="K1630" i="2" s="1"/>
  <c r="E1632" i="2" l="1"/>
  <c r="G1632" i="2" s="1"/>
  <c r="H1632" i="2"/>
  <c r="I1632" i="2"/>
  <c r="J1631" i="2"/>
  <c r="K1631" i="2" s="1"/>
  <c r="F1633" i="2" l="1"/>
  <c r="G1633" i="2" s="1"/>
  <c r="H1633" i="2"/>
  <c r="I1633" i="2"/>
  <c r="J1632" i="2"/>
  <c r="K1632" i="2" s="1"/>
  <c r="F1634" i="2" l="1"/>
  <c r="G1634" i="2" s="1"/>
  <c r="H1634" i="2"/>
  <c r="I1634" i="2"/>
  <c r="J1633" i="2"/>
  <c r="K1633" i="2" s="1"/>
  <c r="H1635" i="2" l="1"/>
  <c r="I1635" i="2"/>
  <c r="J1634" i="2"/>
  <c r="K1634" i="2" s="1"/>
  <c r="F1635" i="2"/>
  <c r="G1635" i="2" s="1"/>
  <c r="H1636" i="2" l="1"/>
  <c r="I1636" i="2"/>
  <c r="J1635" i="2"/>
  <c r="E1636" i="2"/>
  <c r="G1636" i="2" s="1"/>
  <c r="K1635" i="2"/>
  <c r="H1637" i="2" l="1"/>
  <c r="I1637" i="2"/>
  <c r="J1636" i="2"/>
  <c r="K1636" i="2" s="1"/>
  <c r="E1637" i="2"/>
  <c r="G1637" i="2" s="1"/>
  <c r="E1638" i="2" l="1"/>
  <c r="G1638" i="2" s="1"/>
  <c r="H1638" i="2"/>
  <c r="I1638" i="2"/>
  <c r="J1637" i="2"/>
  <c r="K1637" i="2" s="1"/>
  <c r="F1639" i="2" l="1"/>
  <c r="G1639" i="2" s="1"/>
  <c r="H1639" i="2"/>
  <c r="I1639" i="2"/>
  <c r="J1638" i="2"/>
  <c r="K1638" i="2" s="1"/>
  <c r="F1640" i="2" l="1"/>
  <c r="G1640" i="2" s="1"/>
  <c r="H1640" i="2"/>
  <c r="I1640" i="2"/>
  <c r="J1639" i="2"/>
  <c r="K1639" i="2" s="1"/>
  <c r="E1641" i="2" l="1"/>
  <c r="G1641" i="2" s="1"/>
  <c r="H1641" i="2"/>
  <c r="I1641" i="2"/>
  <c r="J1640" i="2"/>
  <c r="K1640" i="2" s="1"/>
  <c r="E1642" i="2" l="1"/>
  <c r="G1642" i="2" s="1"/>
  <c r="H1642" i="2"/>
  <c r="I1642" i="2"/>
  <c r="J1641" i="2"/>
  <c r="K1641" i="2" s="1"/>
  <c r="H1643" i="2" l="1"/>
  <c r="I1643" i="2"/>
  <c r="J1642" i="2"/>
  <c r="K1642" i="2" s="1"/>
  <c r="E1643" i="2"/>
  <c r="G1643" i="2" s="1"/>
  <c r="H1644" i="2" l="1"/>
  <c r="I1644" i="2"/>
  <c r="J1643" i="2"/>
  <c r="K1643" i="2" s="1"/>
  <c r="E1644" i="2"/>
  <c r="G1644" i="2" s="1"/>
  <c r="H1645" i="2" l="1"/>
  <c r="I1645" i="2"/>
  <c r="J1644" i="2"/>
  <c r="K1644" i="2" s="1"/>
  <c r="E1645" i="2"/>
  <c r="G1645" i="2" s="1"/>
  <c r="F1646" i="2" l="1"/>
  <c r="G1646" i="2" s="1"/>
  <c r="H1646" i="2"/>
  <c r="I1646" i="2"/>
  <c r="J1645" i="2"/>
  <c r="K1645" i="2" s="1"/>
  <c r="F1647" i="2" l="1"/>
  <c r="G1647" i="2" s="1"/>
  <c r="H1647" i="2"/>
  <c r="J1646" i="2"/>
  <c r="K1646" i="2" s="1"/>
  <c r="I1647" i="2"/>
  <c r="E1648" i="2" l="1"/>
  <c r="G1648" i="2" s="1"/>
  <c r="H1648" i="2"/>
  <c r="I1648" i="2"/>
  <c r="J1647" i="2"/>
  <c r="K1647" i="2" s="1"/>
  <c r="E1649" i="2" l="1"/>
  <c r="G1649" i="2" s="1"/>
  <c r="H1649" i="2"/>
  <c r="I1649" i="2"/>
  <c r="J1648" i="2"/>
  <c r="K1648" i="2" s="1"/>
  <c r="E1650" i="2" l="1"/>
  <c r="G1650" i="2" s="1"/>
  <c r="I1650" i="2"/>
  <c r="H1650" i="2"/>
  <c r="J1649" i="2"/>
  <c r="K1649" i="2" s="1"/>
  <c r="I1651" i="2" l="1"/>
  <c r="H1651" i="2"/>
  <c r="J1650" i="2"/>
  <c r="K1650" i="2" s="1"/>
  <c r="E1651" i="2"/>
  <c r="G1651" i="2" s="1"/>
  <c r="H1652" i="2" l="1"/>
  <c r="I1652" i="2"/>
  <c r="J1651" i="2"/>
  <c r="E1652" i="2"/>
  <c r="G1652" i="2" s="1"/>
  <c r="K1651" i="2"/>
  <c r="H1653" i="2" l="1"/>
  <c r="I1653" i="2"/>
  <c r="J1652" i="2"/>
  <c r="E1653" i="2"/>
  <c r="G1653" i="2" s="1"/>
  <c r="K1652" i="2"/>
  <c r="F1654" i="2" l="1"/>
  <c r="G1654" i="2" s="1"/>
  <c r="H1654" i="2"/>
  <c r="I1654" i="2"/>
  <c r="J1653" i="2"/>
  <c r="K1653" i="2"/>
  <c r="E1655" i="2" l="1"/>
  <c r="G1655" i="2" s="1"/>
  <c r="H1655" i="2"/>
  <c r="I1655" i="2"/>
  <c r="J1654" i="2"/>
  <c r="K1654" i="2" s="1"/>
  <c r="F1656" i="2" l="1"/>
  <c r="G1656" i="2" s="1"/>
  <c r="H1656" i="2"/>
  <c r="I1656" i="2"/>
  <c r="J1655" i="2"/>
  <c r="K1655" i="2" s="1"/>
  <c r="F1657" i="2" l="1"/>
  <c r="G1657" i="2" s="1"/>
  <c r="H1657" i="2"/>
  <c r="I1657" i="2"/>
  <c r="J1656" i="2"/>
  <c r="K1656" i="2" s="1"/>
  <c r="F1658" i="2" l="1"/>
  <c r="G1658" i="2" s="1"/>
  <c r="H1658" i="2"/>
  <c r="I1658" i="2"/>
  <c r="J1657" i="2"/>
  <c r="K1657" i="2" s="1"/>
  <c r="H1659" i="2" l="1"/>
  <c r="I1659" i="2"/>
  <c r="J1658" i="2"/>
  <c r="K1658" i="2" s="1"/>
  <c r="F1659" i="2"/>
  <c r="G1659" i="2" s="1"/>
  <c r="H1660" i="2" l="1"/>
  <c r="I1660" i="2"/>
  <c r="J1659" i="2"/>
  <c r="K1659" i="2" s="1"/>
  <c r="E1660" i="2"/>
  <c r="G1660" i="2" s="1"/>
  <c r="H1661" i="2" l="1"/>
  <c r="I1661" i="2"/>
  <c r="J1660" i="2"/>
  <c r="F1661" i="2"/>
  <c r="G1661" i="2" s="1"/>
  <c r="K1660" i="2"/>
  <c r="E1662" i="2" l="1"/>
  <c r="G1662" i="2" s="1"/>
  <c r="H1662" i="2"/>
  <c r="I1662" i="2"/>
  <c r="J1661" i="2"/>
  <c r="K1661" i="2" s="1"/>
  <c r="F1663" i="2" l="1"/>
  <c r="G1663" i="2" s="1"/>
  <c r="H1663" i="2"/>
  <c r="I1663" i="2"/>
  <c r="J1662" i="2"/>
  <c r="K1662" i="2" s="1"/>
  <c r="F1664" i="2" l="1"/>
  <c r="G1664" i="2" s="1"/>
  <c r="H1664" i="2"/>
  <c r="I1664" i="2"/>
  <c r="J1663" i="2"/>
  <c r="K1663" i="2" s="1"/>
  <c r="E1665" i="2" l="1"/>
  <c r="G1665" i="2" s="1"/>
  <c r="H1665" i="2"/>
  <c r="I1665" i="2"/>
  <c r="J1664" i="2"/>
  <c r="K1664" i="2" s="1"/>
  <c r="E1666" i="2" l="1"/>
  <c r="G1666" i="2" s="1"/>
  <c r="I1666" i="2"/>
  <c r="H1666" i="2"/>
  <c r="J1665" i="2"/>
  <c r="K1665" i="2" s="1"/>
  <c r="I1667" i="2" l="1"/>
  <c r="H1667" i="2"/>
  <c r="J1666" i="2"/>
  <c r="K1666" i="2" s="1"/>
  <c r="E1667" i="2"/>
  <c r="G1667" i="2" s="1"/>
  <c r="H1668" i="2" l="1"/>
  <c r="I1668" i="2"/>
  <c r="J1667" i="2"/>
  <c r="E1668" i="2"/>
  <c r="G1668" i="2" s="1"/>
  <c r="K1667" i="2"/>
  <c r="K1668" i="2" l="1"/>
  <c r="H1669" i="2"/>
  <c r="I1669" i="2"/>
  <c r="J1668" i="2"/>
  <c r="E1669" i="2"/>
  <c r="G1669" i="2" s="1"/>
  <c r="E1670" i="2" l="1"/>
  <c r="G1670" i="2" s="1"/>
  <c r="H1670" i="2"/>
  <c r="I1670" i="2"/>
  <c r="J1669" i="2"/>
  <c r="K1669" i="2"/>
  <c r="E1671" i="2" l="1"/>
  <c r="G1671" i="2" s="1"/>
  <c r="H1671" i="2"/>
  <c r="I1671" i="2"/>
  <c r="J1670" i="2"/>
  <c r="K1670" i="2" s="1"/>
  <c r="F1672" i="2" l="1"/>
  <c r="G1672" i="2" s="1"/>
  <c r="H1672" i="2"/>
  <c r="I1672" i="2"/>
  <c r="J1671" i="2"/>
  <c r="K1671" i="2" s="1"/>
  <c r="F1673" i="2" l="1"/>
  <c r="G1673" i="2" s="1"/>
  <c r="H1673" i="2"/>
  <c r="I1673" i="2"/>
  <c r="J1672" i="2"/>
  <c r="K1672" i="2" s="1"/>
  <c r="F1674" i="2" l="1"/>
  <c r="G1674" i="2" s="1"/>
  <c r="H1674" i="2"/>
  <c r="I1674" i="2"/>
  <c r="J1673" i="2"/>
  <c r="K1673" i="2" s="1"/>
  <c r="H1675" i="2" l="1"/>
  <c r="I1675" i="2"/>
  <c r="J1674" i="2"/>
  <c r="K1674" i="2" s="1"/>
  <c r="E1675" i="2"/>
  <c r="G1675" i="2" s="1"/>
  <c r="H1676" i="2" l="1"/>
  <c r="I1676" i="2"/>
  <c r="J1675" i="2"/>
  <c r="F1676" i="2"/>
  <c r="G1676" i="2" s="1"/>
  <c r="K1675" i="2"/>
  <c r="H1677" i="2" l="1"/>
  <c r="I1677" i="2"/>
  <c r="J1676" i="2"/>
  <c r="F1677" i="2"/>
  <c r="G1677" i="2" s="1"/>
  <c r="K1676" i="2"/>
  <c r="E1678" i="2" l="1"/>
  <c r="G1678" i="2" s="1"/>
  <c r="H1678" i="2"/>
  <c r="I1678" i="2"/>
  <c r="J1677" i="2"/>
  <c r="K1677" i="2"/>
  <c r="F1679" i="2" l="1"/>
  <c r="G1679" i="2" s="1"/>
  <c r="H1679" i="2"/>
  <c r="J1678" i="2"/>
  <c r="K1678" i="2" s="1"/>
  <c r="I1679" i="2"/>
  <c r="F1680" i="2" l="1"/>
  <c r="G1680" i="2" s="1"/>
  <c r="H1680" i="2"/>
  <c r="I1680" i="2"/>
  <c r="J1679" i="2"/>
  <c r="K1679" i="2" s="1"/>
  <c r="F1681" i="2" l="1"/>
  <c r="G1681" i="2" s="1"/>
  <c r="H1681" i="2"/>
  <c r="I1681" i="2"/>
  <c r="J1680" i="2"/>
  <c r="K1680" i="2" s="1"/>
  <c r="F1682" i="2" l="1"/>
  <c r="G1682" i="2" s="1"/>
  <c r="H1682" i="2"/>
  <c r="I1682" i="2"/>
  <c r="J1681" i="2"/>
  <c r="K1681" i="2" s="1"/>
  <c r="H1683" i="2" l="1"/>
  <c r="I1683" i="2"/>
  <c r="J1682" i="2"/>
  <c r="K1682" i="2" s="1"/>
  <c r="F1683" i="2"/>
  <c r="G1683" i="2" s="1"/>
  <c r="H1684" i="2" l="1"/>
  <c r="I1684" i="2"/>
  <c r="J1683" i="2"/>
  <c r="E1684" i="2"/>
  <c r="G1684" i="2" s="1"/>
  <c r="K1683" i="2"/>
  <c r="H1685" i="2" l="1"/>
  <c r="I1685" i="2"/>
  <c r="J1684" i="2"/>
  <c r="F1685" i="2"/>
  <c r="G1685" i="2" s="1"/>
  <c r="K1684" i="2"/>
  <c r="E1686" i="2" l="1"/>
  <c r="G1686" i="2" s="1"/>
  <c r="H1686" i="2"/>
  <c r="I1686" i="2"/>
  <c r="J1685" i="2"/>
  <c r="K1685" i="2"/>
  <c r="E1687" i="2" l="1"/>
  <c r="G1687" i="2" s="1"/>
  <c r="H1687" i="2"/>
  <c r="I1687" i="2"/>
  <c r="J1686" i="2"/>
  <c r="K1686" i="2" s="1"/>
  <c r="E1688" i="2" l="1"/>
  <c r="G1688" i="2" s="1"/>
  <c r="H1688" i="2"/>
  <c r="I1688" i="2"/>
  <c r="J1687" i="2"/>
  <c r="K1687" i="2" s="1"/>
  <c r="F1689" i="2" l="1"/>
  <c r="G1689" i="2" s="1"/>
  <c r="H1689" i="2"/>
  <c r="I1689" i="2"/>
  <c r="J1688" i="2"/>
  <c r="K1688" i="2" s="1"/>
  <c r="F1690" i="2" l="1"/>
  <c r="G1690" i="2" s="1"/>
  <c r="H1690" i="2"/>
  <c r="I1690" i="2"/>
  <c r="J1689" i="2"/>
  <c r="K1689" i="2"/>
  <c r="H1691" i="2" l="1"/>
  <c r="I1691" i="2"/>
  <c r="J1690" i="2"/>
  <c r="K1690" i="2" s="1"/>
  <c r="F1691" i="2"/>
  <c r="G1691" i="2" s="1"/>
  <c r="H1692" i="2" l="1"/>
  <c r="I1692" i="2"/>
  <c r="J1691" i="2"/>
  <c r="F1692" i="2"/>
  <c r="G1692" i="2" s="1"/>
  <c r="K1691" i="2"/>
  <c r="H1693" i="2" l="1"/>
  <c r="I1693" i="2"/>
  <c r="J1692" i="2"/>
  <c r="E1693" i="2"/>
  <c r="G1693" i="2" s="1"/>
  <c r="K1692" i="2"/>
  <c r="E1694" i="2" l="1"/>
  <c r="G1694" i="2" s="1"/>
  <c r="H1694" i="2"/>
  <c r="I1694" i="2"/>
  <c r="J1693" i="2"/>
  <c r="K1693" i="2"/>
  <c r="E1695" i="2" l="1"/>
  <c r="G1695" i="2" s="1"/>
  <c r="H1695" i="2"/>
  <c r="I1695" i="2"/>
  <c r="J1694" i="2"/>
  <c r="K1694" i="2" s="1"/>
  <c r="E1696" i="2" l="1"/>
  <c r="G1696" i="2" s="1"/>
  <c r="H1696" i="2"/>
  <c r="I1696" i="2"/>
  <c r="J1695" i="2"/>
  <c r="K1695" i="2"/>
  <c r="E1697" i="2" l="1"/>
  <c r="G1697" i="2" s="1"/>
  <c r="H1697" i="2"/>
  <c r="I1697" i="2"/>
  <c r="J1696" i="2"/>
  <c r="K1696" i="2"/>
  <c r="K1697" i="2" l="1"/>
  <c r="E1698" i="2"/>
  <c r="G1698" i="2" s="1"/>
  <c r="H1698" i="2"/>
  <c r="I1698" i="2"/>
  <c r="J1697" i="2"/>
  <c r="H1699" i="2" l="1"/>
  <c r="I1699" i="2"/>
  <c r="J1698" i="2"/>
  <c r="K1698" i="2" s="1"/>
  <c r="F1699" i="2"/>
  <c r="G1699" i="2" s="1"/>
  <c r="H1700" i="2" l="1"/>
  <c r="I1700" i="2"/>
  <c r="J1699" i="2"/>
  <c r="E1700" i="2"/>
  <c r="G1700" i="2" s="1"/>
  <c r="K1699" i="2"/>
  <c r="H1701" i="2" l="1"/>
  <c r="I1701" i="2"/>
  <c r="J1700" i="2"/>
  <c r="F1701" i="2"/>
  <c r="G1701" i="2" s="1"/>
  <c r="K1700" i="2"/>
  <c r="F1702" i="2" l="1"/>
  <c r="G1702" i="2" s="1"/>
  <c r="H1702" i="2"/>
  <c r="I1702" i="2"/>
  <c r="J1701" i="2"/>
  <c r="K1701" i="2"/>
  <c r="F1703" i="2" l="1"/>
  <c r="G1703" i="2" s="1"/>
  <c r="H1703" i="2"/>
  <c r="I1703" i="2"/>
  <c r="J1702" i="2"/>
  <c r="K1702" i="2" s="1"/>
  <c r="E1704" i="2" l="1"/>
  <c r="G1704" i="2" s="1"/>
  <c r="H1704" i="2"/>
  <c r="I1704" i="2"/>
  <c r="J1703" i="2"/>
  <c r="K1703" i="2" s="1"/>
  <c r="E1705" i="2" l="1"/>
  <c r="G1705" i="2" s="1"/>
  <c r="H1705" i="2"/>
  <c r="I1705" i="2"/>
  <c r="J1704" i="2"/>
  <c r="K1704" i="2" s="1"/>
  <c r="F1706" i="2" l="1"/>
  <c r="G1706" i="2" s="1"/>
  <c r="H1706" i="2"/>
  <c r="I1706" i="2"/>
  <c r="J1705" i="2"/>
  <c r="K1705" i="2" s="1"/>
  <c r="H1707" i="2" l="1"/>
  <c r="I1707" i="2"/>
  <c r="J1706" i="2"/>
  <c r="K1706" i="2" s="1"/>
  <c r="E1707" i="2"/>
  <c r="G1707" i="2" s="1"/>
  <c r="H1708" i="2" l="1"/>
  <c r="I1708" i="2"/>
  <c r="J1707" i="2"/>
  <c r="K1707" i="2" s="1"/>
  <c r="F1708" i="2"/>
  <c r="G1708" i="2" s="1"/>
  <c r="K1708" i="2" l="1"/>
  <c r="H1709" i="2"/>
  <c r="I1709" i="2"/>
  <c r="J1708" i="2"/>
  <c r="F1709" i="2"/>
  <c r="G1709" i="2" s="1"/>
  <c r="E1710" i="2" l="1"/>
  <c r="G1710" i="2" s="1"/>
  <c r="H1710" i="2"/>
  <c r="I1710" i="2"/>
  <c r="J1709" i="2"/>
  <c r="K1709" i="2"/>
  <c r="E1711" i="2" l="1"/>
  <c r="G1711" i="2" s="1"/>
  <c r="H1711" i="2"/>
  <c r="J1710" i="2"/>
  <c r="K1710" i="2" s="1"/>
  <c r="I1711" i="2"/>
  <c r="E1712" i="2" l="1"/>
  <c r="G1712" i="2" s="1"/>
  <c r="H1712" i="2"/>
  <c r="I1712" i="2"/>
  <c r="J1711" i="2"/>
  <c r="K1711" i="2" s="1"/>
  <c r="K1712" i="2" l="1"/>
  <c r="F1713" i="2"/>
  <c r="G1713" i="2" s="1"/>
  <c r="H1713" i="2"/>
  <c r="I1713" i="2"/>
  <c r="J1712" i="2"/>
  <c r="F1714" i="2" l="1"/>
  <c r="G1714" i="2" s="1"/>
  <c r="I1714" i="2"/>
  <c r="H1714" i="2"/>
  <c r="J1713" i="2"/>
  <c r="K1713" i="2" s="1"/>
  <c r="I1715" i="2" l="1"/>
  <c r="H1715" i="2"/>
  <c r="J1714" i="2"/>
  <c r="K1714" i="2" s="1"/>
  <c r="E1715" i="2"/>
  <c r="G1715" i="2" s="1"/>
  <c r="K1715" i="2" l="1"/>
  <c r="H1716" i="2"/>
  <c r="I1716" i="2"/>
  <c r="J1715" i="2"/>
  <c r="F1716" i="2"/>
  <c r="G1716" i="2" s="1"/>
  <c r="K1716" i="2" l="1"/>
  <c r="H1717" i="2"/>
  <c r="I1717" i="2"/>
  <c r="J1716" i="2"/>
  <c r="F1717" i="2"/>
  <c r="G1717" i="2" s="1"/>
  <c r="F1718" i="2" l="1"/>
  <c r="G1718" i="2" s="1"/>
  <c r="H1718" i="2"/>
  <c r="J1717" i="2"/>
  <c r="K1717" i="2" s="1"/>
  <c r="I1718" i="2"/>
  <c r="K1718" i="2" l="1"/>
  <c r="E1719" i="2"/>
  <c r="G1719" i="2" s="1"/>
  <c r="H1719" i="2"/>
  <c r="I1719" i="2"/>
  <c r="J1718" i="2"/>
  <c r="F1720" i="2" l="1"/>
  <c r="G1720" i="2" s="1"/>
  <c r="H1720" i="2"/>
  <c r="I1720" i="2"/>
  <c r="J1719" i="2"/>
  <c r="K1719" i="2"/>
  <c r="F1721" i="2" l="1"/>
  <c r="G1721" i="2" s="1"/>
  <c r="H1721" i="2"/>
  <c r="I1721" i="2"/>
  <c r="J1720" i="2"/>
  <c r="K1720" i="2" s="1"/>
  <c r="E1722" i="2" l="1"/>
  <c r="G1722" i="2" s="1"/>
  <c r="H1722" i="2"/>
  <c r="I1722" i="2"/>
  <c r="J1721" i="2"/>
  <c r="K1721" i="2" s="1"/>
  <c r="H1723" i="2" l="1"/>
  <c r="I1723" i="2"/>
  <c r="J1722" i="2"/>
  <c r="K1722" i="2" s="1"/>
  <c r="F1723" i="2"/>
  <c r="G1723" i="2" s="1"/>
  <c r="K1723" i="2" l="1"/>
  <c r="H1724" i="2"/>
  <c r="I1724" i="2"/>
  <c r="J1723" i="2"/>
  <c r="E1724" i="2"/>
  <c r="G1724" i="2" s="1"/>
  <c r="H1725" i="2" l="1"/>
  <c r="I1725" i="2"/>
  <c r="J1724" i="2"/>
  <c r="F1725" i="2"/>
  <c r="G1725" i="2" s="1"/>
  <c r="K1724" i="2"/>
  <c r="E1726" i="2" l="1"/>
  <c r="G1726" i="2" s="1"/>
  <c r="H1726" i="2"/>
  <c r="I1726" i="2"/>
  <c r="J1725" i="2"/>
  <c r="K1725" i="2"/>
  <c r="E1727" i="2" l="1"/>
  <c r="G1727" i="2" s="1"/>
  <c r="H1727" i="2"/>
  <c r="I1727" i="2"/>
  <c r="J1726" i="2"/>
  <c r="K1726" i="2" s="1"/>
  <c r="E1728" i="2" l="1"/>
  <c r="G1728" i="2" s="1"/>
  <c r="H1728" i="2"/>
  <c r="I1728" i="2"/>
  <c r="J1727" i="2"/>
  <c r="K1727" i="2" s="1"/>
  <c r="E1729" i="2" l="1"/>
  <c r="G1729" i="2" s="1"/>
  <c r="H1729" i="2"/>
  <c r="I1729" i="2"/>
  <c r="J1728" i="2"/>
  <c r="K1728" i="2" s="1"/>
  <c r="E1730" i="2" l="1"/>
  <c r="G1730" i="2" s="1"/>
  <c r="I1730" i="2"/>
  <c r="H1730" i="2"/>
  <c r="J1729" i="2"/>
  <c r="K1729" i="2" s="1"/>
  <c r="I1731" i="2" l="1"/>
  <c r="H1731" i="2"/>
  <c r="J1730" i="2"/>
  <c r="K1730" i="2" s="1"/>
  <c r="E1731" i="2"/>
  <c r="G1731" i="2" s="1"/>
  <c r="H1732" i="2" l="1"/>
  <c r="I1732" i="2"/>
  <c r="J1731" i="2"/>
  <c r="E1732" i="2"/>
  <c r="G1732" i="2" s="1"/>
  <c r="K1731" i="2"/>
  <c r="H1733" i="2" l="1"/>
  <c r="I1733" i="2"/>
  <c r="J1732" i="2"/>
  <c r="F1733" i="2"/>
  <c r="G1733" i="2" s="1"/>
  <c r="K1732" i="2"/>
  <c r="F1734" i="2" l="1"/>
  <c r="G1734" i="2" s="1"/>
  <c r="H1734" i="2"/>
  <c r="I1734" i="2"/>
  <c r="J1733" i="2"/>
  <c r="K1733" i="2"/>
  <c r="E1735" i="2" l="1"/>
  <c r="G1735" i="2" s="1"/>
  <c r="H1735" i="2"/>
  <c r="I1735" i="2"/>
  <c r="J1734" i="2"/>
  <c r="K1734" i="2" s="1"/>
  <c r="F1736" i="2" l="1"/>
  <c r="G1736" i="2" s="1"/>
  <c r="H1736" i="2"/>
  <c r="I1736" i="2"/>
  <c r="J1735" i="2"/>
  <c r="K1735" i="2" s="1"/>
  <c r="F1737" i="2" l="1"/>
  <c r="G1737" i="2" s="1"/>
  <c r="H1737" i="2"/>
  <c r="I1737" i="2"/>
  <c r="J1736" i="2"/>
  <c r="K1736" i="2" s="1"/>
  <c r="E1738" i="2" l="1"/>
  <c r="G1738" i="2" s="1"/>
  <c r="H1738" i="2"/>
  <c r="I1738" i="2"/>
  <c r="J1737" i="2"/>
  <c r="K1737" i="2"/>
  <c r="H1739" i="2" l="1"/>
  <c r="I1739" i="2"/>
  <c r="J1738" i="2"/>
  <c r="K1738" i="2" s="1"/>
  <c r="E1739" i="2"/>
  <c r="G1739" i="2" s="1"/>
  <c r="H1740" i="2" l="1"/>
  <c r="I1740" i="2"/>
  <c r="J1739" i="2"/>
  <c r="E1740" i="2"/>
  <c r="G1740" i="2" s="1"/>
  <c r="K1739" i="2"/>
  <c r="H1741" i="2" l="1"/>
  <c r="I1741" i="2"/>
  <c r="J1740" i="2"/>
  <c r="F1741" i="2"/>
  <c r="G1741" i="2" s="1"/>
  <c r="K1740" i="2"/>
  <c r="E1742" i="2" l="1"/>
  <c r="G1742" i="2" s="1"/>
  <c r="H1742" i="2"/>
  <c r="I1742" i="2"/>
  <c r="J1741" i="2"/>
  <c r="K1741" i="2"/>
  <c r="E1743" i="2" l="1"/>
  <c r="G1743" i="2" s="1"/>
  <c r="H1743" i="2"/>
  <c r="J1742" i="2"/>
  <c r="K1742" i="2" s="1"/>
  <c r="I1743" i="2"/>
  <c r="E1744" i="2" l="1"/>
  <c r="G1744" i="2" s="1"/>
  <c r="H1744" i="2"/>
  <c r="I1744" i="2"/>
  <c r="J1743" i="2"/>
  <c r="K1743" i="2" s="1"/>
  <c r="F1745" i="2" l="1"/>
  <c r="G1745" i="2" s="1"/>
  <c r="H1745" i="2"/>
  <c r="I1745" i="2"/>
  <c r="J1744" i="2"/>
  <c r="K1744" i="2" s="1"/>
  <c r="E1746" i="2" l="1"/>
  <c r="G1746" i="2" s="1"/>
  <c r="H1746" i="2"/>
  <c r="I1746" i="2"/>
  <c r="J1745" i="2"/>
  <c r="K1745" i="2" s="1"/>
  <c r="H1747" i="2" l="1"/>
  <c r="I1747" i="2"/>
  <c r="J1746" i="2"/>
  <c r="K1746" i="2" s="1"/>
  <c r="E1747" i="2"/>
  <c r="G1747" i="2" s="1"/>
  <c r="H1748" i="2" l="1"/>
  <c r="I1748" i="2"/>
  <c r="J1747" i="2"/>
  <c r="E1748" i="2"/>
  <c r="G1748" i="2" s="1"/>
  <c r="K1747" i="2"/>
  <c r="H1749" i="2" l="1"/>
  <c r="I1749" i="2"/>
  <c r="J1748" i="2"/>
  <c r="F1749" i="2"/>
  <c r="G1749" i="2" s="1"/>
  <c r="K1748" i="2"/>
  <c r="F1750" i="2" l="1"/>
  <c r="G1750" i="2" s="1"/>
  <c r="H1750" i="2"/>
  <c r="I1750" i="2"/>
  <c r="J1749" i="2"/>
  <c r="K1749" i="2"/>
  <c r="F1751" i="2" l="1"/>
  <c r="G1751" i="2" s="1"/>
  <c r="H1751" i="2"/>
  <c r="I1751" i="2"/>
  <c r="J1750" i="2"/>
  <c r="K1750" i="2" s="1"/>
  <c r="E1752" i="2" l="1"/>
  <c r="G1752" i="2" s="1"/>
  <c r="H1752" i="2"/>
  <c r="I1752" i="2"/>
  <c r="J1751" i="2"/>
  <c r="K1751" i="2" s="1"/>
  <c r="F1753" i="2" l="1"/>
  <c r="G1753" i="2" s="1"/>
  <c r="H1753" i="2"/>
  <c r="I1753" i="2"/>
  <c r="J1752" i="2"/>
  <c r="K1752" i="2" s="1"/>
  <c r="F1754" i="2" l="1"/>
  <c r="G1754" i="2" s="1"/>
  <c r="H1754" i="2"/>
  <c r="I1754" i="2"/>
  <c r="J1753" i="2"/>
  <c r="K1753" i="2" s="1"/>
  <c r="H1755" i="2" l="1"/>
  <c r="I1755" i="2"/>
  <c r="J1754" i="2"/>
  <c r="K1754" i="2" s="1"/>
  <c r="E1755" i="2"/>
  <c r="G1755" i="2" s="1"/>
  <c r="H1756" i="2" l="1"/>
  <c r="I1756" i="2"/>
  <c r="J1755" i="2"/>
  <c r="F1756" i="2"/>
  <c r="G1756" i="2" s="1"/>
  <c r="K1755" i="2"/>
  <c r="H1757" i="2" l="1"/>
  <c r="I1757" i="2"/>
  <c r="J1756" i="2"/>
  <c r="E1757" i="2"/>
  <c r="G1757" i="2" s="1"/>
  <c r="K1756" i="2"/>
  <c r="E1758" i="2" l="1"/>
  <c r="G1758" i="2" s="1"/>
  <c r="H1758" i="2"/>
  <c r="I1758" i="2"/>
  <c r="J1757" i="2"/>
  <c r="K1757" i="2"/>
  <c r="F1759" i="2" l="1"/>
  <c r="G1759" i="2" s="1"/>
  <c r="H1759" i="2"/>
  <c r="I1759" i="2"/>
  <c r="J1758" i="2"/>
  <c r="K1758" i="2" s="1"/>
  <c r="F1760" i="2" l="1"/>
  <c r="G1760" i="2" s="1"/>
  <c r="H1760" i="2"/>
  <c r="I1760" i="2"/>
  <c r="J1759" i="2"/>
  <c r="K1759" i="2" s="1"/>
  <c r="F1761" i="2" l="1"/>
  <c r="G1761" i="2" s="1"/>
  <c r="H1761" i="2"/>
  <c r="I1761" i="2"/>
  <c r="J1760" i="2"/>
  <c r="K1760" i="2"/>
  <c r="E1762" i="2" l="1"/>
  <c r="G1762" i="2" s="1"/>
  <c r="H1762" i="2"/>
  <c r="I1762" i="2"/>
  <c r="J1761" i="2"/>
  <c r="K1761" i="2" s="1"/>
  <c r="H1763" i="2" l="1"/>
  <c r="I1763" i="2"/>
  <c r="J1762" i="2"/>
  <c r="K1762" i="2" s="1"/>
  <c r="E1763" i="2"/>
  <c r="G1763" i="2" s="1"/>
  <c r="H1764" i="2" l="1"/>
  <c r="I1764" i="2"/>
  <c r="J1763" i="2"/>
  <c r="F1764" i="2"/>
  <c r="G1764" i="2" s="1"/>
  <c r="K1763" i="2"/>
  <c r="H1765" i="2" l="1"/>
  <c r="I1765" i="2"/>
  <c r="J1764" i="2"/>
  <c r="E1765" i="2"/>
  <c r="G1765" i="2" s="1"/>
  <c r="K1764" i="2"/>
  <c r="F1766" i="2" l="1"/>
  <c r="G1766" i="2" s="1"/>
  <c r="H1766" i="2"/>
  <c r="I1766" i="2"/>
  <c r="J1765" i="2"/>
  <c r="K1765" i="2"/>
  <c r="E1767" i="2" l="1"/>
  <c r="G1767" i="2" s="1"/>
  <c r="H1767" i="2"/>
  <c r="I1767" i="2"/>
  <c r="J1766" i="2"/>
  <c r="K1766" i="2" s="1"/>
  <c r="F1768" i="2" l="1"/>
  <c r="G1768" i="2" s="1"/>
  <c r="H1768" i="2"/>
  <c r="I1768" i="2"/>
  <c r="J1767" i="2"/>
  <c r="K1767" i="2" s="1"/>
  <c r="F1769" i="2" l="1"/>
  <c r="G1769" i="2" s="1"/>
  <c r="H1769" i="2"/>
  <c r="I1769" i="2"/>
  <c r="J1768" i="2"/>
  <c r="K1768" i="2" s="1"/>
  <c r="E1770" i="2" l="1"/>
  <c r="G1770" i="2" s="1"/>
  <c r="H1770" i="2"/>
  <c r="I1770" i="2"/>
  <c r="J1769" i="2"/>
  <c r="K1769" i="2" s="1"/>
  <c r="H1771" i="2" l="1"/>
  <c r="I1771" i="2"/>
  <c r="J1770" i="2"/>
  <c r="K1770" i="2" s="1"/>
  <c r="E1771" i="2"/>
  <c r="G1771" i="2" s="1"/>
  <c r="H1772" i="2" l="1"/>
  <c r="I1772" i="2"/>
  <c r="J1771" i="2"/>
  <c r="E1772" i="2"/>
  <c r="G1772" i="2" s="1"/>
  <c r="K1771" i="2"/>
  <c r="H1773" i="2" l="1"/>
  <c r="I1773" i="2"/>
  <c r="J1772" i="2"/>
  <c r="K1772" i="2" s="1"/>
  <c r="E1773" i="2"/>
  <c r="G1773" i="2" s="1"/>
  <c r="F1774" i="2" l="1"/>
  <c r="G1774" i="2" s="1"/>
  <c r="H1774" i="2"/>
  <c r="I1774" i="2"/>
  <c r="J1773" i="2"/>
  <c r="K1773" i="2"/>
  <c r="F1775" i="2" l="1"/>
  <c r="G1775" i="2" s="1"/>
  <c r="H1775" i="2"/>
  <c r="J1774" i="2"/>
  <c r="K1774" i="2" s="1"/>
  <c r="I1775" i="2"/>
  <c r="E1776" i="2" l="1"/>
  <c r="G1776" i="2" s="1"/>
  <c r="H1776" i="2"/>
  <c r="I1776" i="2"/>
  <c r="J1775" i="2"/>
  <c r="K1775" i="2" s="1"/>
  <c r="K1776" i="2" l="1"/>
  <c r="F1777" i="2"/>
  <c r="G1777" i="2" s="1"/>
  <c r="H1777" i="2"/>
  <c r="I1777" i="2"/>
  <c r="J1776" i="2"/>
  <c r="F1778" i="2" l="1"/>
  <c r="G1778" i="2" s="1"/>
  <c r="I1778" i="2"/>
  <c r="H1778" i="2"/>
  <c r="J1777" i="2"/>
  <c r="K1777" i="2" s="1"/>
  <c r="I1779" i="2" l="1"/>
  <c r="H1779" i="2"/>
  <c r="J1778" i="2"/>
  <c r="K1778" i="2" s="1"/>
  <c r="F1779" i="2"/>
  <c r="G1779" i="2" s="1"/>
  <c r="H1780" i="2" l="1"/>
  <c r="I1780" i="2"/>
  <c r="J1779" i="2"/>
  <c r="K1779" i="2" s="1"/>
  <c r="E1780" i="2"/>
  <c r="G1780" i="2" s="1"/>
  <c r="H1781" i="2" l="1"/>
  <c r="I1781" i="2"/>
  <c r="J1780" i="2"/>
  <c r="E1781" i="2"/>
  <c r="G1781" i="2" s="1"/>
  <c r="K1780" i="2"/>
  <c r="F1782" i="2" l="1"/>
  <c r="G1782" i="2" s="1"/>
  <c r="H1782" i="2"/>
  <c r="I1782" i="2"/>
  <c r="J1781" i="2"/>
  <c r="K1781" i="2"/>
  <c r="F1783" i="2" l="1"/>
  <c r="G1783" i="2" s="1"/>
  <c r="H1783" i="2"/>
  <c r="I1783" i="2"/>
  <c r="J1782" i="2"/>
  <c r="K1782" i="2" s="1"/>
  <c r="E1784" i="2" l="1"/>
  <c r="G1784" i="2" s="1"/>
  <c r="H1784" i="2"/>
  <c r="I1784" i="2"/>
  <c r="J1783" i="2"/>
  <c r="K1783" i="2" s="1"/>
  <c r="E1785" i="2" l="1"/>
  <c r="G1785" i="2" s="1"/>
  <c r="H1785" i="2"/>
  <c r="I1785" i="2"/>
  <c r="J1784" i="2"/>
  <c r="K1784" i="2" s="1"/>
  <c r="F1786" i="2" l="1"/>
  <c r="G1786" i="2" s="1"/>
  <c r="H1786" i="2"/>
  <c r="I1786" i="2"/>
  <c r="J1785" i="2"/>
  <c r="K1785" i="2" s="1"/>
  <c r="H1787" i="2" l="1"/>
  <c r="I1787" i="2"/>
  <c r="J1786" i="2"/>
  <c r="K1786" i="2" s="1"/>
  <c r="E1787" i="2"/>
  <c r="G1787" i="2" s="1"/>
  <c r="H1788" i="2" l="1"/>
  <c r="I1788" i="2"/>
  <c r="J1787" i="2"/>
  <c r="K1787" i="2" s="1"/>
  <c r="E1788" i="2"/>
  <c r="G1788" i="2" s="1"/>
  <c r="H1789" i="2" l="1"/>
  <c r="I1789" i="2"/>
  <c r="J1788" i="2"/>
  <c r="K1788" i="2" s="1"/>
  <c r="E1789" i="2"/>
  <c r="G1789" i="2" s="1"/>
  <c r="E1790" i="2" l="1"/>
  <c r="G1790" i="2" s="1"/>
  <c r="H1790" i="2"/>
  <c r="I1790" i="2"/>
  <c r="J1789" i="2"/>
  <c r="K1789" i="2"/>
  <c r="E1791" i="2" l="1"/>
  <c r="G1791" i="2" s="1"/>
  <c r="H1791" i="2"/>
  <c r="I1791" i="2"/>
  <c r="J1790" i="2"/>
  <c r="K1790" i="2" s="1"/>
  <c r="E1792" i="2" l="1"/>
  <c r="G1792" i="2" s="1"/>
  <c r="H1792" i="2"/>
  <c r="I1792" i="2"/>
  <c r="J1791" i="2"/>
  <c r="K1791" i="2" s="1"/>
  <c r="E1793" i="2" l="1"/>
  <c r="G1793" i="2" s="1"/>
  <c r="H1793" i="2"/>
  <c r="I1793" i="2"/>
  <c r="J1792" i="2"/>
  <c r="K1792" i="2" s="1"/>
  <c r="K1793" i="2" l="1"/>
  <c r="F1794" i="2"/>
  <c r="G1794" i="2" s="1"/>
  <c r="I1794" i="2"/>
  <c r="H1794" i="2"/>
  <c r="J1793" i="2"/>
  <c r="I1795" i="2" l="1"/>
  <c r="H1795" i="2"/>
  <c r="J1794" i="2"/>
  <c r="K1794" i="2" s="1"/>
  <c r="F1795" i="2"/>
  <c r="G1795" i="2" s="1"/>
  <c r="H1796" i="2" l="1"/>
  <c r="I1796" i="2"/>
  <c r="J1795" i="2"/>
  <c r="K1795" i="2" s="1"/>
  <c r="E1796" i="2"/>
  <c r="G1796" i="2" s="1"/>
  <c r="K1796" i="2" l="1"/>
  <c r="H1797" i="2"/>
  <c r="I1797" i="2"/>
  <c r="J1796" i="2"/>
  <c r="F1797" i="2"/>
  <c r="G1797" i="2" s="1"/>
  <c r="F1798" i="2" l="1"/>
  <c r="G1798" i="2" s="1"/>
  <c r="H1798" i="2"/>
  <c r="I1798" i="2"/>
  <c r="J1797" i="2"/>
  <c r="K1797" i="2"/>
  <c r="E1799" i="2" l="1"/>
  <c r="G1799" i="2" s="1"/>
  <c r="H1799" i="2"/>
  <c r="I1799" i="2"/>
  <c r="J1798" i="2"/>
  <c r="K1798" i="2" s="1"/>
  <c r="E1800" i="2" l="1"/>
  <c r="G1800" i="2" s="1"/>
  <c r="H1800" i="2"/>
  <c r="I1800" i="2"/>
  <c r="J1799" i="2"/>
  <c r="K1799" i="2" s="1"/>
  <c r="E1801" i="2" l="1"/>
  <c r="G1801" i="2" s="1"/>
  <c r="H1801" i="2"/>
  <c r="I1801" i="2"/>
  <c r="J1800" i="2"/>
  <c r="K1800" i="2" s="1"/>
  <c r="E1802" i="2" l="1"/>
  <c r="G1802" i="2" s="1"/>
  <c r="H1802" i="2"/>
  <c r="I1802" i="2"/>
  <c r="J1801" i="2"/>
  <c r="K1801" i="2" s="1"/>
  <c r="H1803" i="2" l="1"/>
  <c r="I1803" i="2"/>
  <c r="J1802" i="2"/>
  <c r="K1802" i="2" s="1"/>
  <c r="E1803" i="2"/>
  <c r="G1803" i="2" s="1"/>
  <c r="H1804" i="2" l="1"/>
  <c r="I1804" i="2"/>
  <c r="J1803" i="2"/>
  <c r="F1804" i="2"/>
  <c r="G1804" i="2" s="1"/>
  <c r="K1803" i="2"/>
  <c r="H1805" i="2" l="1"/>
  <c r="I1805" i="2"/>
  <c r="J1804" i="2"/>
  <c r="K1804" i="2" s="1"/>
  <c r="E1805" i="2"/>
  <c r="G1805" i="2" s="1"/>
  <c r="E1806" i="2" l="1"/>
  <c r="G1806" i="2" s="1"/>
  <c r="H1806" i="2"/>
  <c r="I1806" i="2"/>
  <c r="J1805" i="2"/>
  <c r="K1805" i="2"/>
  <c r="E1807" i="2" l="1"/>
  <c r="G1807" i="2" s="1"/>
  <c r="H1807" i="2"/>
  <c r="J1806" i="2"/>
  <c r="K1806" i="2" s="1"/>
  <c r="I1807" i="2"/>
  <c r="E1808" i="2" l="1"/>
  <c r="G1808" i="2" s="1"/>
  <c r="H1808" i="2"/>
  <c r="I1808" i="2"/>
  <c r="J1807" i="2"/>
  <c r="K1807" i="2" s="1"/>
  <c r="E1809" i="2" l="1"/>
  <c r="G1809" i="2" s="1"/>
  <c r="H1809" i="2"/>
  <c r="I1809" i="2"/>
  <c r="J1808" i="2"/>
  <c r="K1808" i="2" s="1"/>
  <c r="F1810" i="2" l="1"/>
  <c r="G1810" i="2" s="1"/>
  <c r="H1810" i="2"/>
  <c r="I1810" i="2"/>
  <c r="J1809" i="2"/>
  <c r="K1809" i="2" s="1"/>
  <c r="K1810" i="2" l="1"/>
  <c r="H1811" i="2"/>
  <c r="I1811" i="2"/>
  <c r="J1810" i="2"/>
  <c r="F1811" i="2"/>
  <c r="G1811" i="2" s="1"/>
  <c r="H1812" i="2" l="1"/>
  <c r="I1812" i="2"/>
  <c r="J1811" i="2"/>
  <c r="F1812" i="2"/>
  <c r="G1812" i="2" s="1"/>
  <c r="K1811" i="2"/>
  <c r="H1813" i="2" l="1"/>
  <c r="I1813" i="2"/>
  <c r="J1812" i="2"/>
  <c r="F1813" i="2"/>
  <c r="G1813" i="2" s="1"/>
  <c r="K1812" i="2"/>
  <c r="F1814" i="2" l="1"/>
  <c r="G1814" i="2" s="1"/>
  <c r="H1814" i="2"/>
  <c r="I1814" i="2"/>
  <c r="J1813" i="2"/>
  <c r="K1813" i="2"/>
  <c r="E1815" i="2" l="1"/>
  <c r="G1815" i="2" s="1"/>
  <c r="H1815" i="2"/>
  <c r="I1815" i="2"/>
  <c r="J1814" i="2"/>
  <c r="K1814" i="2" s="1"/>
  <c r="E1816" i="2" l="1"/>
  <c r="G1816" i="2" s="1"/>
  <c r="H1816" i="2"/>
  <c r="I1816" i="2"/>
  <c r="J1815" i="2"/>
  <c r="K1815" i="2" s="1"/>
  <c r="E1817" i="2" l="1"/>
  <c r="G1817" i="2" s="1"/>
  <c r="H1817" i="2"/>
  <c r="I1817" i="2"/>
  <c r="J1816" i="2"/>
  <c r="K1816" i="2" s="1"/>
  <c r="F1818" i="2" l="1"/>
  <c r="G1818" i="2" s="1"/>
  <c r="H1818" i="2"/>
  <c r="I1818" i="2"/>
  <c r="J1817" i="2"/>
  <c r="K1817" i="2" s="1"/>
  <c r="H1819" i="2" l="1"/>
  <c r="I1819" i="2"/>
  <c r="J1818" i="2"/>
  <c r="K1818" i="2" s="1"/>
  <c r="E1819" i="2"/>
  <c r="G1819" i="2" s="1"/>
  <c r="K1819" i="2" l="1"/>
  <c r="H1820" i="2"/>
  <c r="I1820" i="2"/>
  <c r="J1819" i="2"/>
  <c r="E1820" i="2"/>
  <c r="G1820" i="2" s="1"/>
  <c r="H1821" i="2" l="1"/>
  <c r="I1821" i="2"/>
  <c r="J1820" i="2"/>
  <c r="K1820" i="2" s="1"/>
  <c r="E1821" i="2"/>
  <c r="G1821" i="2" s="1"/>
  <c r="F1822" i="2" l="1"/>
  <c r="G1822" i="2" s="1"/>
  <c r="H1822" i="2"/>
  <c r="I1822" i="2"/>
  <c r="J1821" i="2"/>
  <c r="K1821" i="2"/>
  <c r="F1823" i="2" l="1"/>
  <c r="G1823" i="2" s="1"/>
  <c r="H1823" i="2"/>
  <c r="I1823" i="2"/>
  <c r="J1822" i="2"/>
  <c r="K1822" i="2" s="1"/>
  <c r="E1824" i="2" l="1"/>
  <c r="G1824" i="2" s="1"/>
  <c r="H1824" i="2"/>
  <c r="I1824" i="2"/>
  <c r="J1823" i="2"/>
  <c r="K1823" i="2" s="1"/>
  <c r="E1825" i="2" l="1"/>
  <c r="G1825" i="2" s="1"/>
  <c r="H1825" i="2"/>
  <c r="I1825" i="2"/>
  <c r="J1824" i="2"/>
  <c r="K1824" i="2" s="1"/>
  <c r="F1826" i="2" l="1"/>
  <c r="G1826" i="2" s="1"/>
  <c r="H1826" i="2"/>
  <c r="I1826" i="2"/>
  <c r="J1825" i="2"/>
  <c r="K1825" i="2" s="1"/>
  <c r="H1827" i="2" l="1"/>
  <c r="I1827" i="2"/>
  <c r="J1826" i="2"/>
  <c r="K1826" i="2" s="1"/>
  <c r="E1827" i="2"/>
  <c r="G1827" i="2" s="1"/>
  <c r="H1828" i="2" l="1"/>
  <c r="I1828" i="2"/>
  <c r="J1827" i="2"/>
  <c r="F1828" i="2"/>
  <c r="G1828" i="2" s="1"/>
  <c r="K1827" i="2"/>
  <c r="H1829" i="2" l="1"/>
  <c r="I1829" i="2"/>
  <c r="J1828" i="2"/>
  <c r="E1829" i="2"/>
  <c r="G1829" i="2" s="1"/>
  <c r="K1828" i="2"/>
  <c r="E1830" i="2" l="1"/>
  <c r="G1830" i="2" s="1"/>
  <c r="H1830" i="2"/>
  <c r="I1830" i="2"/>
  <c r="J1829" i="2"/>
  <c r="K1829" i="2"/>
  <c r="F1831" i="2" l="1"/>
  <c r="G1831" i="2" s="1"/>
  <c r="H1831" i="2"/>
  <c r="I1831" i="2"/>
  <c r="J1830" i="2"/>
  <c r="K1830" i="2" s="1"/>
  <c r="F1832" i="2" l="1"/>
  <c r="G1832" i="2" s="1"/>
  <c r="H1832" i="2"/>
  <c r="I1832" i="2"/>
  <c r="J1831" i="2"/>
  <c r="K1831" i="2" s="1"/>
  <c r="E1833" i="2" l="1"/>
  <c r="G1833" i="2" s="1"/>
  <c r="H1833" i="2"/>
  <c r="I1833" i="2"/>
  <c r="J1832" i="2"/>
  <c r="K1832" i="2" s="1"/>
  <c r="F1834" i="2" l="1"/>
  <c r="G1834" i="2" s="1"/>
  <c r="H1834" i="2"/>
  <c r="I1834" i="2"/>
  <c r="J1833" i="2"/>
  <c r="K1833" i="2" s="1"/>
  <c r="K1834" i="2" l="1"/>
  <c r="H1835" i="2"/>
  <c r="I1835" i="2"/>
  <c r="J1834" i="2"/>
  <c r="F1835" i="2"/>
  <c r="G1835" i="2" s="1"/>
  <c r="H1836" i="2" l="1"/>
  <c r="I1836" i="2"/>
  <c r="J1835" i="2"/>
  <c r="K1835" i="2" s="1"/>
  <c r="F1836" i="2"/>
  <c r="G1836" i="2" s="1"/>
  <c r="H1837" i="2" l="1"/>
  <c r="I1837" i="2"/>
  <c r="J1836" i="2"/>
  <c r="K1836" i="2" s="1"/>
  <c r="F1837" i="2"/>
  <c r="G1837" i="2" s="1"/>
  <c r="E1838" i="2" l="1"/>
  <c r="G1838" i="2" s="1"/>
  <c r="H1838" i="2"/>
  <c r="I1838" i="2"/>
  <c r="J1837" i="2"/>
  <c r="K1837" i="2"/>
  <c r="F1839" i="2" l="1"/>
  <c r="G1839" i="2" s="1"/>
  <c r="H1839" i="2"/>
  <c r="J1838" i="2"/>
  <c r="K1838" i="2" s="1"/>
  <c r="I1839" i="2"/>
  <c r="F1840" i="2" l="1"/>
  <c r="G1840" i="2" s="1"/>
  <c r="H1840" i="2"/>
  <c r="I1840" i="2"/>
  <c r="J1839" i="2"/>
  <c r="K1839" i="2" s="1"/>
  <c r="E1841" i="2" l="1"/>
  <c r="G1841" i="2" s="1"/>
  <c r="H1841" i="2"/>
  <c r="I1841" i="2"/>
  <c r="J1840" i="2"/>
  <c r="K1840" i="2" s="1"/>
  <c r="E1842" i="2" l="1"/>
  <c r="G1842" i="2" s="1"/>
  <c r="I1842" i="2"/>
  <c r="H1842" i="2"/>
  <c r="J1841" i="2"/>
  <c r="K1841" i="2" s="1"/>
  <c r="I1843" i="2" l="1"/>
  <c r="H1843" i="2"/>
  <c r="J1842" i="2"/>
  <c r="K1842" i="2" s="1"/>
  <c r="F1843" i="2"/>
  <c r="G1843" i="2" s="1"/>
  <c r="H1844" i="2" l="1"/>
  <c r="I1844" i="2"/>
  <c r="J1843" i="2"/>
  <c r="F1844" i="2"/>
  <c r="G1844" i="2" s="1"/>
  <c r="K1843" i="2"/>
  <c r="H1845" i="2" l="1"/>
  <c r="I1845" i="2"/>
  <c r="J1844" i="2"/>
  <c r="E1845" i="2"/>
  <c r="G1845" i="2" s="1"/>
  <c r="K1844" i="2"/>
  <c r="E1846" i="2" l="1"/>
  <c r="G1846" i="2" s="1"/>
  <c r="H1846" i="2"/>
  <c r="J1845" i="2"/>
  <c r="I1846" i="2"/>
  <c r="K1845" i="2"/>
  <c r="E1847" i="2" l="1"/>
  <c r="G1847" i="2" s="1"/>
  <c r="H1847" i="2"/>
  <c r="I1847" i="2"/>
  <c r="J1846" i="2"/>
  <c r="K1846" i="2" s="1"/>
  <c r="E1848" i="2" l="1"/>
  <c r="G1848" i="2" s="1"/>
  <c r="H1848" i="2"/>
  <c r="I1848" i="2"/>
  <c r="J1847" i="2"/>
  <c r="K1847" i="2" s="1"/>
  <c r="E1849" i="2" l="1"/>
  <c r="G1849" i="2" s="1"/>
  <c r="H1849" i="2"/>
  <c r="I1849" i="2"/>
  <c r="J1848" i="2"/>
  <c r="K1848" i="2" s="1"/>
  <c r="F1850" i="2" l="1"/>
  <c r="G1850" i="2" s="1"/>
  <c r="H1850" i="2"/>
  <c r="I1850" i="2"/>
  <c r="J1849" i="2"/>
  <c r="K1849" i="2"/>
  <c r="H1851" i="2" l="1"/>
  <c r="I1851" i="2"/>
  <c r="J1850" i="2"/>
  <c r="K1850" i="2" s="1"/>
  <c r="F1851" i="2"/>
  <c r="G1851" i="2" s="1"/>
  <c r="H1852" i="2" l="1"/>
  <c r="I1852" i="2"/>
  <c r="J1851" i="2"/>
  <c r="E1852" i="2"/>
  <c r="G1852" i="2" s="1"/>
  <c r="K1851" i="2"/>
  <c r="H1853" i="2" l="1"/>
  <c r="I1853" i="2"/>
  <c r="J1852" i="2"/>
  <c r="F1853" i="2"/>
  <c r="G1853" i="2" s="1"/>
  <c r="K1852" i="2"/>
  <c r="F1854" i="2" l="1"/>
  <c r="G1854" i="2" s="1"/>
  <c r="H1854" i="2"/>
  <c r="I1854" i="2"/>
  <c r="J1853" i="2"/>
  <c r="K1853" i="2"/>
  <c r="E1855" i="2" l="1"/>
  <c r="G1855" i="2" s="1"/>
  <c r="H1855" i="2"/>
  <c r="I1855" i="2"/>
  <c r="J1854" i="2"/>
  <c r="K1854" i="2" s="1"/>
  <c r="E1856" i="2" l="1"/>
  <c r="G1856" i="2" s="1"/>
  <c r="H1856" i="2"/>
  <c r="I1856" i="2"/>
  <c r="J1855" i="2"/>
  <c r="K1855" i="2" s="1"/>
  <c r="F1857" i="2" l="1"/>
  <c r="G1857" i="2" s="1"/>
  <c r="H1857" i="2"/>
  <c r="I1857" i="2"/>
  <c r="J1856" i="2"/>
  <c r="K1856" i="2" s="1"/>
  <c r="F1858" i="2" l="1"/>
  <c r="G1858" i="2" s="1"/>
  <c r="I1858" i="2"/>
  <c r="H1858" i="2"/>
  <c r="J1857" i="2"/>
  <c r="K1857" i="2" s="1"/>
  <c r="I1859" i="2" l="1"/>
  <c r="H1859" i="2"/>
  <c r="J1858" i="2"/>
  <c r="K1858" i="2" s="1"/>
  <c r="F1859" i="2"/>
  <c r="G1859" i="2" s="1"/>
  <c r="H1860" i="2" l="1"/>
  <c r="I1860" i="2"/>
  <c r="J1859" i="2"/>
  <c r="F1860" i="2"/>
  <c r="G1860" i="2" s="1"/>
  <c r="K1859" i="2"/>
  <c r="H1861" i="2" l="1"/>
  <c r="I1861" i="2"/>
  <c r="J1860" i="2"/>
  <c r="F1861" i="2"/>
  <c r="G1861" i="2" s="1"/>
  <c r="K1860" i="2"/>
  <c r="F1862" i="2" l="1"/>
  <c r="G1862" i="2" s="1"/>
  <c r="H1862" i="2"/>
  <c r="I1862" i="2"/>
  <c r="J1861" i="2"/>
  <c r="K1861" i="2"/>
  <c r="K1862" i="2" l="1"/>
  <c r="F1863" i="2"/>
  <c r="G1863" i="2" s="1"/>
  <c r="H1863" i="2"/>
  <c r="I1863" i="2"/>
  <c r="J1862" i="2"/>
  <c r="E1864" i="2" l="1"/>
  <c r="G1864" i="2" s="1"/>
  <c r="H1864" i="2"/>
  <c r="I1864" i="2"/>
  <c r="J1863" i="2"/>
  <c r="K1863" i="2" s="1"/>
  <c r="K1864" i="2" l="1"/>
  <c r="F1865" i="2"/>
  <c r="G1865" i="2" s="1"/>
  <c r="H1865" i="2"/>
  <c r="I1865" i="2"/>
  <c r="J1864" i="2"/>
  <c r="F1866" i="2" l="1"/>
  <c r="G1866" i="2" s="1"/>
  <c r="H1866" i="2"/>
  <c r="I1866" i="2"/>
  <c r="J1865" i="2"/>
  <c r="K1865" i="2" s="1"/>
  <c r="H1867" i="2" l="1"/>
  <c r="I1867" i="2"/>
  <c r="J1866" i="2"/>
  <c r="K1866" i="2" s="1"/>
  <c r="F1867" i="2"/>
  <c r="G1867" i="2" s="1"/>
  <c r="H1868" i="2" l="1"/>
  <c r="I1868" i="2"/>
  <c r="J1867" i="2"/>
  <c r="K1867" i="2" s="1"/>
  <c r="F1868" i="2"/>
  <c r="G1868" i="2" s="1"/>
  <c r="H1869" i="2" l="1"/>
  <c r="I1869" i="2"/>
  <c r="J1868" i="2"/>
  <c r="K1868" i="2" s="1"/>
  <c r="F1869" i="2"/>
  <c r="G1869" i="2" s="1"/>
  <c r="E1870" i="2" l="1"/>
  <c r="G1870" i="2" s="1"/>
  <c r="H1870" i="2"/>
  <c r="I1870" i="2"/>
  <c r="J1869" i="2"/>
  <c r="K1869" i="2" s="1"/>
  <c r="E1871" i="2" l="1"/>
  <c r="G1871" i="2" s="1"/>
  <c r="H1871" i="2"/>
  <c r="J1870" i="2"/>
  <c r="K1870" i="2" s="1"/>
  <c r="I1871" i="2"/>
  <c r="E1872" i="2" l="1"/>
  <c r="G1872" i="2" s="1"/>
  <c r="H1872" i="2"/>
  <c r="I1872" i="2"/>
  <c r="J1871" i="2"/>
  <c r="K1871" i="2" s="1"/>
  <c r="E1873" i="2" l="1"/>
  <c r="G1873" i="2" s="1"/>
  <c r="H1873" i="2"/>
  <c r="I1873" i="2"/>
  <c r="J1872" i="2"/>
  <c r="K1872" i="2" s="1"/>
  <c r="E1874" i="2" l="1"/>
  <c r="G1874" i="2" s="1"/>
  <c r="H1874" i="2"/>
  <c r="I1874" i="2"/>
  <c r="J1873" i="2"/>
  <c r="K1873" i="2" s="1"/>
  <c r="H1875" i="2" l="1"/>
  <c r="I1875" i="2"/>
  <c r="J1874" i="2"/>
  <c r="K1874" i="2" s="1"/>
  <c r="E1875" i="2"/>
  <c r="G1875" i="2" s="1"/>
  <c r="H1876" i="2" l="1"/>
  <c r="I1876" i="2"/>
  <c r="J1875" i="2"/>
  <c r="F1876" i="2"/>
  <c r="G1876" i="2" s="1"/>
  <c r="K1875" i="2"/>
  <c r="H1877" i="2" l="1"/>
  <c r="I1877" i="2"/>
  <c r="J1876" i="2"/>
  <c r="F1877" i="2"/>
  <c r="G1877" i="2" s="1"/>
  <c r="K1876" i="2"/>
  <c r="F1878" i="2" l="1"/>
  <c r="G1878" i="2" s="1"/>
  <c r="H1878" i="2"/>
  <c r="I1878" i="2"/>
  <c r="J1877" i="2"/>
  <c r="K1877" i="2"/>
  <c r="F1879" i="2" l="1"/>
  <c r="G1879" i="2" s="1"/>
  <c r="H1879" i="2"/>
  <c r="I1879" i="2"/>
  <c r="J1878" i="2"/>
  <c r="K1878" i="2" s="1"/>
  <c r="E1880" i="2" l="1"/>
  <c r="G1880" i="2" s="1"/>
  <c r="H1880" i="2"/>
  <c r="I1880" i="2"/>
  <c r="J1879" i="2"/>
  <c r="K1879" i="2" s="1"/>
  <c r="E1881" i="2" l="1"/>
  <c r="G1881" i="2" s="1"/>
  <c r="H1881" i="2"/>
  <c r="I1881" i="2"/>
  <c r="J1880" i="2"/>
  <c r="K1880" i="2" s="1"/>
  <c r="F1882" i="2" l="1"/>
  <c r="G1882" i="2" s="1"/>
  <c r="H1882" i="2"/>
  <c r="I1882" i="2"/>
  <c r="J1881" i="2"/>
  <c r="K1881" i="2" s="1"/>
  <c r="H1883" i="2" l="1"/>
  <c r="I1883" i="2"/>
  <c r="J1882" i="2"/>
  <c r="K1882" i="2" s="1"/>
  <c r="E1883" i="2"/>
  <c r="G1883" i="2" s="1"/>
  <c r="H1884" i="2" l="1"/>
  <c r="I1884" i="2"/>
  <c r="J1883" i="2"/>
  <c r="F1884" i="2"/>
  <c r="G1884" i="2" s="1"/>
  <c r="K1883" i="2"/>
  <c r="H1885" i="2" l="1"/>
  <c r="I1885" i="2"/>
  <c r="J1884" i="2"/>
  <c r="K1884" i="2" s="1"/>
  <c r="E1885" i="2"/>
  <c r="G1885" i="2" s="1"/>
  <c r="E1886" i="2" l="1"/>
  <c r="G1886" i="2" s="1"/>
  <c r="H1886" i="2"/>
  <c r="I1886" i="2"/>
  <c r="J1885" i="2"/>
  <c r="K1885" i="2"/>
  <c r="F1887" i="2" l="1"/>
  <c r="G1887" i="2" s="1"/>
  <c r="H1887" i="2"/>
  <c r="I1887" i="2"/>
  <c r="J1886" i="2"/>
  <c r="K1886" i="2"/>
  <c r="F1888" i="2" l="1"/>
  <c r="G1888" i="2" s="1"/>
  <c r="H1888" i="2"/>
  <c r="I1888" i="2"/>
  <c r="J1887" i="2"/>
  <c r="K1887" i="2" s="1"/>
  <c r="E1889" i="2" l="1"/>
  <c r="G1889" i="2" s="1"/>
  <c r="H1889" i="2"/>
  <c r="I1889" i="2"/>
  <c r="J1888" i="2"/>
  <c r="K1888" i="2" s="1"/>
  <c r="F1890" i="2" l="1"/>
  <c r="G1890" i="2" s="1"/>
  <c r="H1890" i="2"/>
  <c r="I1890" i="2"/>
  <c r="J1889" i="2"/>
  <c r="K1889" i="2" s="1"/>
  <c r="K1890" i="2" l="1"/>
  <c r="H1891" i="2"/>
  <c r="I1891" i="2"/>
  <c r="J1890" i="2"/>
  <c r="F1891" i="2"/>
  <c r="G1891" i="2" s="1"/>
  <c r="H1892" i="2" l="1"/>
  <c r="I1892" i="2"/>
  <c r="J1891" i="2"/>
  <c r="F1892" i="2"/>
  <c r="G1892" i="2" s="1"/>
  <c r="K1891" i="2"/>
  <c r="H1893" i="2" l="1"/>
  <c r="I1893" i="2"/>
  <c r="J1892" i="2"/>
  <c r="K1892" i="2" s="1"/>
  <c r="F1893" i="2"/>
  <c r="G1893" i="2" s="1"/>
  <c r="F1894" i="2" l="1"/>
  <c r="G1894" i="2" s="1"/>
  <c r="H1894" i="2"/>
  <c r="I1894" i="2"/>
  <c r="J1893" i="2"/>
  <c r="K1893" i="2"/>
  <c r="F1895" i="2" l="1"/>
  <c r="G1895" i="2" s="1"/>
  <c r="H1895" i="2"/>
  <c r="I1895" i="2"/>
  <c r="J1894" i="2"/>
  <c r="K1894" i="2" s="1"/>
  <c r="E1896" i="2" l="1"/>
  <c r="G1896" i="2" s="1"/>
  <c r="H1896" i="2"/>
  <c r="I1896" i="2"/>
  <c r="J1895" i="2"/>
  <c r="K1895" i="2" s="1"/>
  <c r="F1897" i="2" l="1"/>
  <c r="G1897" i="2" s="1"/>
  <c r="H1897" i="2"/>
  <c r="I1897" i="2"/>
  <c r="J1896" i="2"/>
  <c r="K1896" i="2" s="1"/>
  <c r="E1898" i="2" l="1"/>
  <c r="G1898" i="2" s="1"/>
  <c r="H1898" i="2"/>
  <c r="I1898" i="2"/>
  <c r="J1897" i="2"/>
  <c r="K1897" i="2" s="1"/>
  <c r="H1899" i="2" l="1"/>
  <c r="I1899" i="2"/>
  <c r="J1898" i="2"/>
  <c r="K1898" i="2" s="1"/>
  <c r="E1899" i="2"/>
  <c r="G1899" i="2" s="1"/>
  <c r="H1900" i="2" l="1"/>
  <c r="I1900" i="2"/>
  <c r="J1899" i="2"/>
  <c r="E1900" i="2"/>
  <c r="G1900" i="2" s="1"/>
  <c r="K1899" i="2"/>
  <c r="H1901" i="2" l="1"/>
  <c r="I1901" i="2"/>
  <c r="J1900" i="2"/>
  <c r="E1901" i="2"/>
  <c r="G1901" i="2" s="1"/>
  <c r="K1900" i="2"/>
  <c r="E1902" i="2" l="1"/>
  <c r="G1902" i="2" s="1"/>
  <c r="H1902" i="2"/>
  <c r="I1902" i="2"/>
  <c r="J1901" i="2"/>
  <c r="K1901" i="2"/>
  <c r="E1903" i="2" l="1"/>
  <c r="G1903" i="2" s="1"/>
  <c r="H1903" i="2"/>
  <c r="J1902" i="2"/>
  <c r="K1902" i="2" s="1"/>
  <c r="I1903" i="2"/>
  <c r="F1904" i="2" l="1"/>
  <c r="G1904" i="2" s="1"/>
  <c r="H1904" i="2"/>
  <c r="I1904" i="2"/>
  <c r="J1903" i="2"/>
  <c r="K1903" i="2" s="1"/>
  <c r="K1904" i="2" l="1"/>
  <c r="F1905" i="2"/>
  <c r="G1905" i="2" s="1"/>
  <c r="H1905" i="2"/>
  <c r="I1905" i="2"/>
  <c r="J1904" i="2"/>
  <c r="F1906" i="2" l="1"/>
  <c r="G1906" i="2" s="1"/>
  <c r="I1906" i="2"/>
  <c r="H1906" i="2"/>
  <c r="J1905" i="2"/>
  <c r="K1905" i="2" s="1"/>
  <c r="I1907" i="2" l="1"/>
  <c r="H1907" i="2"/>
  <c r="J1906" i="2"/>
  <c r="K1906" i="2" s="1"/>
  <c r="F1907" i="2"/>
  <c r="G1907" i="2" s="1"/>
  <c r="H1908" i="2" l="1"/>
  <c r="I1908" i="2"/>
  <c r="J1907" i="2"/>
  <c r="F1908" i="2"/>
  <c r="G1908" i="2" s="1"/>
  <c r="K1907" i="2"/>
  <c r="H1909" i="2" l="1"/>
  <c r="I1909" i="2"/>
  <c r="J1908" i="2"/>
  <c r="E1909" i="2"/>
  <c r="G1909" i="2" s="1"/>
  <c r="K1908" i="2"/>
  <c r="E1910" i="2" l="1"/>
  <c r="G1910" i="2" s="1"/>
  <c r="H1910" i="2"/>
  <c r="I1910" i="2"/>
  <c r="J1909" i="2"/>
  <c r="K1909" i="2" s="1"/>
  <c r="E1911" i="2" l="1"/>
  <c r="G1911" i="2" s="1"/>
  <c r="H1911" i="2"/>
  <c r="I1911" i="2"/>
  <c r="J1910" i="2"/>
  <c r="K1910" i="2" s="1"/>
  <c r="E1912" i="2" l="1"/>
  <c r="G1912" i="2" s="1"/>
  <c r="H1912" i="2"/>
  <c r="I1912" i="2"/>
  <c r="J1911" i="2"/>
  <c r="K1911" i="2" s="1"/>
  <c r="E1913" i="2" l="1"/>
  <c r="G1913" i="2" s="1"/>
  <c r="H1913" i="2"/>
  <c r="I1913" i="2"/>
  <c r="J1912" i="2"/>
  <c r="K1912" i="2" s="1"/>
  <c r="F1914" i="2" l="1"/>
  <c r="G1914" i="2" s="1"/>
  <c r="H1914" i="2"/>
  <c r="I1914" i="2"/>
  <c r="J1913" i="2"/>
  <c r="K1913" i="2" s="1"/>
  <c r="H1915" i="2" l="1"/>
  <c r="I1915" i="2"/>
  <c r="J1914" i="2"/>
  <c r="K1914" i="2" s="1"/>
  <c r="E1915" i="2"/>
  <c r="G1915" i="2" s="1"/>
  <c r="H1916" i="2" l="1"/>
  <c r="I1916" i="2"/>
  <c r="J1915" i="2"/>
  <c r="F1916" i="2"/>
  <c r="G1916" i="2" s="1"/>
  <c r="K1915" i="2"/>
  <c r="H1917" i="2" l="1"/>
  <c r="I1917" i="2"/>
  <c r="J1916" i="2"/>
  <c r="F1917" i="2"/>
  <c r="G1917" i="2" s="1"/>
  <c r="K1916" i="2"/>
  <c r="E1918" i="2" l="1"/>
  <c r="G1918" i="2" s="1"/>
  <c r="H1918" i="2"/>
  <c r="I1918" i="2"/>
  <c r="J1917" i="2"/>
  <c r="K1917" i="2"/>
  <c r="E1919" i="2" l="1"/>
  <c r="G1919" i="2" s="1"/>
  <c r="H1919" i="2"/>
  <c r="I1919" i="2"/>
  <c r="J1918" i="2"/>
  <c r="K1918" i="2" s="1"/>
  <c r="E1920" i="2" l="1"/>
  <c r="G1920" i="2" s="1"/>
  <c r="H1920" i="2"/>
  <c r="I1920" i="2"/>
  <c r="J1919" i="2"/>
  <c r="K1919" i="2" s="1"/>
  <c r="F1921" i="2" l="1"/>
  <c r="G1921" i="2" s="1"/>
  <c r="H1921" i="2"/>
  <c r="I1921" i="2"/>
  <c r="J1920" i="2"/>
  <c r="K1920" i="2" s="1"/>
  <c r="E1922" i="2" l="1"/>
  <c r="G1922" i="2" s="1"/>
  <c r="I1922" i="2"/>
  <c r="H1922" i="2"/>
  <c r="J1921" i="2"/>
  <c r="K1921" i="2" s="1"/>
  <c r="I1923" i="2" l="1"/>
  <c r="H1923" i="2"/>
  <c r="J1922" i="2"/>
  <c r="K1922" i="2" s="1"/>
  <c r="F1923" i="2"/>
  <c r="G1923" i="2" s="1"/>
  <c r="H1924" i="2" l="1"/>
  <c r="I1924" i="2"/>
  <c r="J1923" i="2"/>
  <c r="E1924" i="2"/>
  <c r="G1924" i="2" s="1"/>
  <c r="K1923" i="2"/>
  <c r="H1925" i="2" l="1"/>
  <c r="I1925" i="2"/>
  <c r="J1924" i="2"/>
  <c r="F1925" i="2"/>
  <c r="G1925" i="2" s="1"/>
  <c r="K1924" i="2"/>
  <c r="E1926" i="2" l="1"/>
  <c r="G1926" i="2" s="1"/>
  <c r="H1926" i="2"/>
  <c r="I1926" i="2"/>
  <c r="J1925" i="2"/>
  <c r="K1925" i="2"/>
  <c r="E1927" i="2" l="1"/>
  <c r="G1927" i="2" s="1"/>
  <c r="H1927" i="2"/>
  <c r="I1927" i="2"/>
  <c r="J1926" i="2"/>
  <c r="K1926" i="2" s="1"/>
  <c r="F1928" i="2" l="1"/>
  <c r="G1928" i="2" s="1"/>
  <c r="H1928" i="2"/>
  <c r="I1928" i="2"/>
  <c r="J1927" i="2"/>
  <c r="K1927" i="2" s="1"/>
  <c r="F1929" i="2" l="1"/>
  <c r="G1929" i="2" s="1"/>
  <c r="H1929" i="2"/>
  <c r="I1929" i="2"/>
  <c r="J1928" i="2"/>
  <c r="K1928" i="2" s="1"/>
  <c r="F1930" i="2" l="1"/>
  <c r="G1930" i="2" s="1"/>
  <c r="H1930" i="2"/>
  <c r="I1930" i="2"/>
  <c r="J1929" i="2"/>
  <c r="K1929" i="2" s="1"/>
  <c r="K1930" i="2" l="1"/>
  <c r="H1931" i="2"/>
  <c r="I1931" i="2"/>
  <c r="J1930" i="2"/>
  <c r="F1931" i="2"/>
  <c r="G1931" i="2" s="1"/>
  <c r="H1932" i="2" l="1"/>
  <c r="I1932" i="2"/>
  <c r="J1931" i="2"/>
  <c r="K1931" i="2" s="1"/>
  <c r="E1932" i="2"/>
  <c r="G1932" i="2" s="1"/>
  <c r="H1933" i="2" l="1"/>
  <c r="I1933" i="2"/>
  <c r="J1932" i="2"/>
  <c r="F1933" i="2"/>
  <c r="G1933" i="2" s="1"/>
  <c r="K1932" i="2"/>
  <c r="F1934" i="2" l="1"/>
  <c r="G1934" i="2" s="1"/>
  <c r="H1934" i="2"/>
  <c r="I1934" i="2"/>
  <c r="J1933" i="2"/>
  <c r="K1933" i="2"/>
  <c r="E1935" i="2" l="1"/>
  <c r="G1935" i="2" s="1"/>
  <c r="H1935" i="2"/>
  <c r="J1934" i="2"/>
  <c r="K1934" i="2" s="1"/>
  <c r="I1935" i="2"/>
  <c r="E1936" i="2" l="1"/>
  <c r="G1936" i="2" s="1"/>
  <c r="H1936" i="2"/>
  <c r="I1936" i="2"/>
  <c r="J1935" i="2"/>
  <c r="K1935" i="2" s="1"/>
  <c r="E1937" i="2" l="1"/>
  <c r="G1937" i="2" s="1"/>
  <c r="H1937" i="2"/>
  <c r="I1937" i="2"/>
  <c r="J1936" i="2"/>
  <c r="K1936" i="2" s="1"/>
  <c r="F1938" i="2" l="1"/>
  <c r="G1938" i="2" s="1"/>
  <c r="H1938" i="2"/>
  <c r="I1938" i="2"/>
  <c r="J1937" i="2"/>
  <c r="K1937" i="2" s="1"/>
  <c r="H1939" i="2" l="1"/>
  <c r="I1939" i="2"/>
  <c r="J1938" i="2"/>
  <c r="K1938" i="2" s="1"/>
  <c r="F1939" i="2"/>
  <c r="G1939" i="2" s="1"/>
  <c r="H1940" i="2" l="1"/>
  <c r="I1940" i="2"/>
  <c r="J1939" i="2"/>
  <c r="E1940" i="2"/>
  <c r="G1940" i="2" s="1"/>
  <c r="K1939" i="2"/>
  <c r="H1941" i="2" l="1"/>
  <c r="I1941" i="2"/>
  <c r="J1940" i="2"/>
  <c r="F1941" i="2"/>
  <c r="G1941" i="2" s="1"/>
  <c r="K1940" i="2"/>
  <c r="F1942" i="2" l="1"/>
  <c r="G1942" i="2" s="1"/>
  <c r="H1942" i="2"/>
  <c r="I1942" i="2"/>
  <c r="J1941" i="2"/>
  <c r="K1941" i="2"/>
  <c r="F1943" i="2" l="1"/>
  <c r="G1943" i="2" s="1"/>
  <c r="H1943" i="2"/>
  <c r="I1943" i="2"/>
  <c r="J1942" i="2"/>
  <c r="K1942" i="2" s="1"/>
  <c r="E1944" i="2" l="1"/>
  <c r="G1944" i="2" s="1"/>
  <c r="H1944" i="2"/>
  <c r="I1944" i="2"/>
  <c r="J1943" i="2"/>
  <c r="K1943" i="2" s="1"/>
  <c r="E1945" i="2" l="1"/>
  <c r="G1945" i="2" s="1"/>
  <c r="H1945" i="2"/>
  <c r="I1945" i="2"/>
  <c r="J1944" i="2"/>
  <c r="K1944" i="2" s="1"/>
  <c r="F1946" i="2" l="1"/>
  <c r="G1946" i="2" s="1"/>
  <c r="H1946" i="2"/>
  <c r="I1946" i="2"/>
  <c r="J1945" i="2"/>
  <c r="K1945" i="2" s="1"/>
  <c r="H1947" i="2" l="1"/>
  <c r="I1947" i="2"/>
  <c r="J1946" i="2"/>
  <c r="K1946" i="2" s="1"/>
  <c r="E1947" i="2"/>
  <c r="G1947" i="2" s="1"/>
  <c r="H1948" i="2" l="1"/>
  <c r="I1948" i="2"/>
  <c r="J1947" i="2"/>
  <c r="F1948" i="2"/>
  <c r="G1948" i="2" s="1"/>
  <c r="K1947" i="2"/>
  <c r="H1949" i="2" l="1"/>
  <c r="I1949" i="2"/>
  <c r="J1948" i="2"/>
  <c r="K1948" i="2" s="1"/>
  <c r="E1949" i="2"/>
  <c r="G1949" i="2" s="1"/>
  <c r="E1950" i="2" l="1"/>
  <c r="G1950" i="2" s="1"/>
  <c r="H1950" i="2"/>
  <c r="I1950" i="2"/>
  <c r="J1949" i="2"/>
  <c r="K1949" i="2"/>
  <c r="F1951" i="2" l="1"/>
  <c r="G1951" i="2" s="1"/>
  <c r="H1951" i="2"/>
  <c r="I1951" i="2"/>
  <c r="J1950" i="2"/>
  <c r="K1950" i="2" s="1"/>
  <c r="E1952" i="2" l="1"/>
  <c r="G1952" i="2" s="1"/>
  <c r="H1952" i="2"/>
  <c r="I1952" i="2"/>
  <c r="J1951" i="2"/>
  <c r="K1951" i="2" s="1"/>
  <c r="F1953" i="2" l="1"/>
  <c r="G1953" i="2" s="1"/>
  <c r="H1953" i="2"/>
  <c r="I1953" i="2"/>
  <c r="J1952" i="2"/>
  <c r="K1952" i="2" s="1"/>
  <c r="E1954" i="2" l="1"/>
  <c r="G1954" i="2" s="1"/>
  <c r="H1954" i="2"/>
  <c r="I1954" i="2"/>
  <c r="J1953" i="2"/>
  <c r="K1953" i="2" s="1"/>
  <c r="H1955" i="2" l="1"/>
  <c r="I1955" i="2"/>
  <c r="J1954" i="2"/>
  <c r="E1955" i="2"/>
  <c r="G1955" i="2" s="1"/>
  <c r="K1954" i="2"/>
  <c r="H1956" i="2" l="1"/>
  <c r="I1956" i="2"/>
  <c r="J1955" i="2"/>
  <c r="K1955" i="2" s="1"/>
  <c r="E1956" i="2"/>
  <c r="G1956" i="2" s="1"/>
  <c r="H1957" i="2" l="1"/>
  <c r="I1957" i="2"/>
  <c r="J1956" i="2"/>
  <c r="K1956" i="2" s="1"/>
  <c r="F1957" i="2"/>
  <c r="G1957" i="2" s="1"/>
  <c r="F1958" i="2" l="1"/>
  <c r="G1958" i="2" s="1"/>
  <c r="H1958" i="2"/>
  <c r="I1958" i="2"/>
  <c r="J1957" i="2"/>
  <c r="K1957" i="2"/>
  <c r="E1959" i="2" l="1"/>
  <c r="G1959" i="2" s="1"/>
  <c r="H1959" i="2"/>
  <c r="I1959" i="2"/>
  <c r="J1958" i="2"/>
  <c r="K1958" i="2" s="1"/>
  <c r="E1960" i="2" l="1"/>
  <c r="G1960" i="2" s="1"/>
  <c r="H1960" i="2"/>
  <c r="I1960" i="2"/>
  <c r="J1959" i="2"/>
  <c r="K1959" i="2" s="1"/>
  <c r="F1961" i="2" l="1"/>
  <c r="G1961" i="2" s="1"/>
  <c r="H1961" i="2"/>
  <c r="I1961" i="2"/>
  <c r="J1960" i="2"/>
  <c r="K1960" i="2" s="1"/>
  <c r="F1962" i="2" l="1"/>
  <c r="G1962" i="2" s="1"/>
  <c r="H1962" i="2"/>
  <c r="I1962" i="2"/>
  <c r="J1961" i="2"/>
  <c r="K1961" i="2" s="1"/>
  <c r="H1963" i="2" l="1"/>
  <c r="I1963" i="2"/>
  <c r="J1962" i="2"/>
  <c r="K1962" i="2" s="1"/>
  <c r="E1963" i="2"/>
  <c r="G1963" i="2" s="1"/>
  <c r="K1963" i="2" l="1"/>
  <c r="H1964" i="2"/>
  <c r="I1964" i="2"/>
  <c r="J1963" i="2"/>
  <c r="E1964" i="2"/>
  <c r="G1964" i="2" s="1"/>
  <c r="H1965" i="2" l="1"/>
  <c r="I1965" i="2"/>
  <c r="J1964" i="2"/>
  <c r="F1965" i="2"/>
  <c r="G1965" i="2" s="1"/>
  <c r="K1964" i="2"/>
  <c r="F1966" i="2" l="1"/>
  <c r="G1966" i="2" s="1"/>
  <c r="H1966" i="2"/>
  <c r="I1966" i="2"/>
  <c r="J1965" i="2"/>
  <c r="K1965" i="2"/>
  <c r="F1967" i="2" l="1"/>
  <c r="G1967" i="2" s="1"/>
  <c r="H1967" i="2"/>
  <c r="J1966" i="2"/>
  <c r="K1966" i="2" s="1"/>
  <c r="I1967" i="2"/>
  <c r="F1968" i="2" l="1"/>
  <c r="G1968" i="2" s="1"/>
  <c r="H1968" i="2"/>
  <c r="I1968" i="2"/>
  <c r="J1967" i="2"/>
  <c r="K1967" i="2" s="1"/>
  <c r="E1969" i="2" l="1"/>
  <c r="G1969" i="2" s="1"/>
  <c r="H1969" i="2"/>
  <c r="I1969" i="2"/>
  <c r="J1968" i="2"/>
  <c r="K1968" i="2" s="1"/>
  <c r="E1970" i="2" l="1"/>
  <c r="G1970" i="2" s="1"/>
  <c r="I1970" i="2"/>
  <c r="H1970" i="2"/>
  <c r="J1969" i="2"/>
  <c r="K1969" i="2" s="1"/>
  <c r="K1970" i="2" l="1"/>
  <c r="I1971" i="2"/>
  <c r="H1971" i="2"/>
  <c r="J1970" i="2"/>
  <c r="F1971" i="2"/>
  <c r="G1971" i="2" s="1"/>
  <c r="H1972" i="2" l="1"/>
  <c r="I1972" i="2"/>
  <c r="J1971" i="2"/>
  <c r="F1972" i="2"/>
  <c r="G1972" i="2" s="1"/>
  <c r="K1971" i="2"/>
  <c r="H1973" i="2" l="1"/>
  <c r="I1973" i="2"/>
  <c r="J1972" i="2"/>
  <c r="F1973" i="2"/>
  <c r="G1973" i="2" s="1"/>
  <c r="K1972" i="2"/>
  <c r="F1974" i="2" l="1"/>
  <c r="G1974" i="2" s="1"/>
  <c r="H1974" i="2"/>
  <c r="J1973" i="2"/>
  <c r="I1974" i="2"/>
  <c r="K1973" i="2"/>
  <c r="E1975" i="2" l="1"/>
  <c r="G1975" i="2" s="1"/>
  <c r="H1975" i="2"/>
  <c r="I1975" i="2"/>
  <c r="J1974" i="2"/>
  <c r="K1974" i="2" s="1"/>
  <c r="F1976" i="2" l="1"/>
  <c r="G1976" i="2" s="1"/>
  <c r="H1976" i="2"/>
  <c r="I1976" i="2"/>
  <c r="J1975" i="2"/>
  <c r="K1975" i="2" s="1"/>
  <c r="K1976" i="2" l="1"/>
  <c r="F1977" i="2"/>
  <c r="G1977" i="2" s="1"/>
  <c r="H1977" i="2"/>
  <c r="I1977" i="2"/>
  <c r="J1976" i="2"/>
  <c r="F1978" i="2" l="1"/>
  <c r="G1978" i="2" s="1"/>
  <c r="H1978" i="2"/>
  <c r="I1978" i="2"/>
  <c r="J1977" i="2"/>
  <c r="K1977" i="2" s="1"/>
  <c r="H1979" i="2" l="1"/>
  <c r="I1979" i="2"/>
  <c r="J1978" i="2"/>
  <c r="K1978" i="2" s="1"/>
  <c r="F1979" i="2"/>
  <c r="G1979" i="2" s="1"/>
  <c r="H1980" i="2" l="1"/>
  <c r="I1980" i="2"/>
  <c r="J1979" i="2"/>
  <c r="E1980" i="2"/>
  <c r="G1980" i="2" s="1"/>
  <c r="K1979" i="2"/>
  <c r="H1981" i="2" l="1"/>
  <c r="I1981" i="2"/>
  <c r="J1980" i="2"/>
  <c r="F1981" i="2"/>
  <c r="G1981" i="2" s="1"/>
  <c r="K1980" i="2"/>
  <c r="F1982" i="2" l="1"/>
  <c r="G1982" i="2" s="1"/>
  <c r="H1982" i="2"/>
  <c r="I1982" i="2"/>
  <c r="J1981" i="2"/>
  <c r="K1981" i="2"/>
  <c r="F1983" i="2" l="1"/>
  <c r="G1983" i="2" s="1"/>
  <c r="H1983" i="2"/>
  <c r="I1983" i="2"/>
  <c r="J1982" i="2"/>
  <c r="K1982" i="2" s="1"/>
  <c r="K1983" i="2" l="1"/>
  <c r="E1984" i="2"/>
  <c r="G1984" i="2" s="1"/>
  <c r="H1984" i="2"/>
  <c r="I1984" i="2"/>
  <c r="J1983" i="2"/>
  <c r="F1985" i="2" l="1"/>
  <c r="G1985" i="2" s="1"/>
  <c r="H1985" i="2"/>
  <c r="I1985" i="2"/>
  <c r="J1984" i="2"/>
  <c r="K1984" i="2" s="1"/>
  <c r="F1986" i="2" l="1"/>
  <c r="G1986" i="2" s="1"/>
  <c r="I1986" i="2"/>
  <c r="H1986" i="2"/>
  <c r="J1985" i="2"/>
  <c r="K1985" i="2" s="1"/>
  <c r="I1987" i="2" l="1"/>
  <c r="H1987" i="2"/>
  <c r="J1986" i="2"/>
  <c r="K1986" i="2" s="1"/>
  <c r="E1987" i="2"/>
  <c r="G1987" i="2" s="1"/>
  <c r="H1988" i="2" l="1"/>
  <c r="I1988" i="2"/>
  <c r="J1987" i="2"/>
  <c r="E1988" i="2"/>
  <c r="G1988" i="2" s="1"/>
  <c r="K1987" i="2"/>
  <c r="H1989" i="2" l="1"/>
  <c r="I1989" i="2"/>
  <c r="J1988" i="2"/>
  <c r="E1989" i="2"/>
  <c r="G1989" i="2" s="1"/>
  <c r="K1988" i="2"/>
  <c r="F1990" i="2" l="1"/>
  <c r="G1990" i="2" s="1"/>
  <c r="H1990" i="2"/>
  <c r="I1990" i="2"/>
  <c r="J1989" i="2"/>
  <c r="K1989" i="2"/>
  <c r="F1991" i="2" l="1"/>
  <c r="G1991" i="2" s="1"/>
  <c r="H1991" i="2"/>
  <c r="I1991" i="2"/>
  <c r="J1990" i="2"/>
  <c r="K1990" i="2" s="1"/>
  <c r="F1992" i="2" l="1"/>
  <c r="G1992" i="2" s="1"/>
  <c r="H1992" i="2"/>
  <c r="I1992" i="2"/>
  <c r="J1991" i="2"/>
  <c r="K1991" i="2" s="1"/>
  <c r="F1993" i="2" l="1"/>
  <c r="G1993" i="2" s="1"/>
  <c r="H1993" i="2"/>
  <c r="I1993" i="2"/>
  <c r="J1992" i="2"/>
  <c r="K1992" i="2" s="1"/>
  <c r="F1994" i="2" l="1"/>
  <c r="G1994" i="2" s="1"/>
  <c r="H1994" i="2"/>
  <c r="I1994" i="2"/>
  <c r="J1993" i="2"/>
  <c r="K1993" i="2" s="1"/>
  <c r="K1994" i="2" l="1"/>
  <c r="H1995" i="2"/>
  <c r="I1995" i="2"/>
  <c r="J1994" i="2"/>
  <c r="E1995" i="2"/>
  <c r="G1995" i="2" s="1"/>
  <c r="H1996" i="2" l="1"/>
  <c r="I1996" i="2"/>
  <c r="J1995" i="2"/>
  <c r="E1996" i="2"/>
  <c r="G1996" i="2" s="1"/>
  <c r="K1995" i="2"/>
  <c r="H1997" i="2" l="1"/>
  <c r="I1997" i="2"/>
  <c r="J1996" i="2"/>
  <c r="F1997" i="2"/>
  <c r="G1997" i="2" s="1"/>
  <c r="K1996" i="2"/>
  <c r="E1998" i="2" l="1"/>
  <c r="G1998" i="2" s="1"/>
  <c r="H1998" i="2"/>
  <c r="I1998" i="2"/>
  <c r="J1997" i="2"/>
  <c r="K1997" i="2"/>
  <c r="E1999" i="2" l="1"/>
  <c r="G1999" i="2" s="1"/>
  <c r="H1999" i="2"/>
  <c r="J1998" i="2"/>
  <c r="I1999" i="2"/>
  <c r="K1998" i="2"/>
  <c r="F2000" i="2" l="1"/>
  <c r="G2000" i="2" s="1"/>
  <c r="H2000" i="2"/>
  <c r="I2000" i="2"/>
  <c r="J1999" i="2"/>
  <c r="K1999" i="2" s="1"/>
  <c r="E2001" i="2" l="1"/>
  <c r="G2001" i="2" s="1"/>
  <c r="H2001" i="2"/>
  <c r="I2001" i="2"/>
  <c r="J2000" i="2"/>
  <c r="K2000" i="2"/>
  <c r="F2002" i="2" l="1"/>
  <c r="G2002" i="2" s="1"/>
  <c r="H2002" i="2"/>
  <c r="I2002" i="2"/>
  <c r="J2001" i="2"/>
  <c r="K2001" i="2" s="1"/>
  <c r="H2003" i="2" l="1"/>
  <c r="I2003" i="2"/>
  <c r="J2002" i="2"/>
  <c r="K2002" i="2" s="1"/>
  <c r="E2003" i="2"/>
  <c r="G2003" i="2" s="1"/>
  <c r="H2004" i="2" l="1"/>
  <c r="I2004" i="2"/>
  <c r="J2003" i="2"/>
  <c r="F2004" i="2"/>
  <c r="G2004" i="2" s="1"/>
  <c r="K2003" i="2"/>
  <c r="H2005" i="2" l="1"/>
  <c r="I2005" i="2"/>
  <c r="J2004" i="2"/>
  <c r="F2005" i="2"/>
  <c r="G2005" i="2" s="1"/>
  <c r="K2004" i="2"/>
  <c r="E2006" i="2" l="1"/>
  <c r="G2006" i="2" s="1"/>
  <c r="H2006" i="2"/>
  <c r="I2006" i="2"/>
  <c r="J2005" i="2"/>
  <c r="K2005" i="2"/>
  <c r="F2007" i="2" l="1"/>
  <c r="G2007" i="2" s="1"/>
  <c r="H2007" i="2"/>
  <c r="I2007" i="2"/>
  <c r="J2006" i="2"/>
  <c r="K2006" i="2" s="1"/>
  <c r="E2008" i="2" l="1"/>
  <c r="G2008" i="2" s="1"/>
  <c r="H2008" i="2"/>
  <c r="I2008" i="2"/>
  <c r="J2007" i="2"/>
  <c r="K2007" i="2" s="1"/>
  <c r="E2009" i="2" l="1"/>
  <c r="G2009" i="2" s="1"/>
  <c r="H2009" i="2"/>
  <c r="I2009" i="2"/>
  <c r="J2008" i="2"/>
  <c r="K2008" i="2" s="1"/>
  <c r="F2010" i="2" l="1"/>
  <c r="G2010" i="2" s="1"/>
  <c r="H2010" i="2"/>
  <c r="I2010" i="2"/>
  <c r="J2009" i="2"/>
  <c r="K2009" i="2" s="1"/>
  <c r="H2011" i="2" l="1"/>
  <c r="I2011" i="2"/>
  <c r="J2010" i="2"/>
  <c r="K2010" i="2" s="1"/>
  <c r="E2011" i="2"/>
  <c r="G2011" i="2" s="1"/>
  <c r="H2012" i="2" l="1"/>
  <c r="I2012" i="2"/>
  <c r="J2011" i="2"/>
  <c r="E2012" i="2"/>
  <c r="G2012" i="2" s="1"/>
  <c r="K2011" i="2"/>
  <c r="H2013" i="2" l="1"/>
  <c r="I2013" i="2"/>
  <c r="J2012" i="2"/>
  <c r="K2012" i="2" s="1"/>
  <c r="F2013" i="2"/>
  <c r="G2013" i="2" s="1"/>
  <c r="K2013" i="2" l="1"/>
  <c r="E2014" i="2"/>
  <c r="G2014" i="2" s="1"/>
  <c r="H2014" i="2"/>
  <c r="I2014" i="2"/>
  <c r="J2013" i="2"/>
  <c r="F2015" i="2" l="1"/>
  <c r="G2015" i="2" s="1"/>
  <c r="H2015" i="2"/>
  <c r="I2015" i="2"/>
  <c r="J2014" i="2"/>
  <c r="K2014" i="2" s="1"/>
  <c r="E2016" i="2" l="1"/>
  <c r="G2016" i="2" s="1"/>
  <c r="H2016" i="2"/>
  <c r="I2016" i="2"/>
  <c r="J2015" i="2"/>
  <c r="K2015" i="2" s="1"/>
  <c r="E2017" i="2" l="1"/>
  <c r="G2017" i="2" s="1"/>
  <c r="H2017" i="2"/>
  <c r="I2017" i="2"/>
  <c r="J2016" i="2"/>
  <c r="K2016" i="2" s="1"/>
  <c r="F2018" i="2" l="1"/>
  <c r="G2018" i="2" s="1"/>
  <c r="H2018" i="2"/>
  <c r="I2018" i="2"/>
  <c r="J2017" i="2"/>
  <c r="K2017" i="2"/>
  <c r="H2019" i="2" l="1"/>
  <c r="I2019" i="2"/>
  <c r="J2018" i="2"/>
  <c r="K2018" i="2" s="1"/>
  <c r="E2019" i="2"/>
  <c r="G2019" i="2" s="1"/>
  <c r="H2020" i="2" l="1"/>
  <c r="I2020" i="2"/>
  <c r="J2019" i="2"/>
  <c r="K2019" i="2" s="1"/>
  <c r="F2020" i="2"/>
  <c r="G2020" i="2" s="1"/>
  <c r="H2021" i="2" l="1"/>
  <c r="I2021" i="2"/>
  <c r="J2020" i="2"/>
  <c r="E2021" i="2"/>
  <c r="G2021" i="2" s="1"/>
  <c r="K2020" i="2"/>
  <c r="E2022" i="2" l="1"/>
  <c r="G2022" i="2" s="1"/>
  <c r="H2022" i="2"/>
  <c r="I2022" i="2"/>
  <c r="J2021" i="2"/>
  <c r="K2021" i="2"/>
  <c r="F2023" i="2" l="1"/>
  <c r="G2023" i="2" s="1"/>
  <c r="H2023" i="2"/>
  <c r="I2023" i="2"/>
  <c r="J2022" i="2"/>
  <c r="K2022" i="2" s="1"/>
  <c r="F2024" i="2" l="1"/>
  <c r="G2024" i="2" s="1"/>
  <c r="H2024" i="2"/>
  <c r="I2024" i="2"/>
  <c r="J2023" i="2"/>
  <c r="K2023" i="2" s="1"/>
  <c r="F2025" i="2" l="1"/>
  <c r="G2025" i="2" s="1"/>
  <c r="H2025" i="2"/>
  <c r="I2025" i="2"/>
  <c r="J2024" i="2"/>
  <c r="K2024" i="2" s="1"/>
  <c r="E2026" i="2" l="1"/>
  <c r="G2026" i="2" s="1"/>
  <c r="H2026" i="2"/>
  <c r="I2026" i="2"/>
  <c r="J2025" i="2"/>
  <c r="K2025" i="2" s="1"/>
  <c r="H2027" i="2" l="1"/>
  <c r="I2027" i="2"/>
  <c r="J2026" i="2"/>
  <c r="K2026" i="2" s="1"/>
  <c r="E2027" i="2"/>
  <c r="G2027" i="2" s="1"/>
  <c r="H2028" i="2" l="1"/>
  <c r="I2028" i="2"/>
  <c r="J2027" i="2"/>
  <c r="E2028" i="2"/>
  <c r="G2028" i="2" s="1"/>
  <c r="K2027" i="2"/>
  <c r="H2029" i="2" l="1"/>
  <c r="I2029" i="2"/>
  <c r="J2028" i="2"/>
  <c r="E2029" i="2"/>
  <c r="G2029" i="2" s="1"/>
  <c r="K2028" i="2"/>
  <c r="E2030" i="2" l="1"/>
  <c r="G2030" i="2" s="1"/>
  <c r="H2030" i="2"/>
  <c r="I2030" i="2"/>
  <c r="J2029" i="2"/>
  <c r="K2029" i="2"/>
  <c r="F2031" i="2" l="1"/>
  <c r="G2031" i="2" s="1"/>
  <c r="H2031" i="2"/>
  <c r="J2030" i="2"/>
  <c r="K2030" i="2" s="1"/>
  <c r="I2031" i="2"/>
  <c r="F2032" i="2" l="1"/>
  <c r="G2032" i="2" s="1"/>
  <c r="H2032" i="2"/>
  <c r="I2032" i="2"/>
  <c r="J2031" i="2"/>
  <c r="K2031" i="2" s="1"/>
  <c r="F2033" i="2" l="1"/>
  <c r="G2033" i="2" s="1"/>
  <c r="H2033" i="2"/>
  <c r="I2033" i="2"/>
  <c r="J2032" i="2"/>
  <c r="K2032" i="2" s="1"/>
  <c r="E2034" i="2" l="1"/>
  <c r="G2034" i="2" s="1"/>
  <c r="I2034" i="2"/>
  <c r="H2034" i="2"/>
  <c r="J2033" i="2"/>
  <c r="K2033" i="2" s="1"/>
  <c r="F2035" i="2" l="1"/>
  <c r="G2035" i="2" s="1"/>
  <c r="I2035" i="2"/>
  <c r="H2035" i="2"/>
  <c r="J2034" i="2"/>
  <c r="K2034" i="2" s="1"/>
  <c r="H2036" i="2" l="1"/>
  <c r="I2036" i="2"/>
  <c r="J2035" i="2"/>
  <c r="E2036" i="2"/>
  <c r="G2036" i="2" s="1"/>
  <c r="K2035" i="2"/>
  <c r="H2037" i="2" l="1"/>
  <c r="I2037" i="2"/>
  <c r="J2036" i="2"/>
  <c r="E2037" i="2"/>
  <c r="G2037" i="2" s="1"/>
  <c r="K2036" i="2"/>
  <c r="F2038" i="2" l="1"/>
  <c r="G2038" i="2" s="1"/>
  <c r="H2038" i="2"/>
  <c r="I2038" i="2"/>
  <c r="J2037" i="2"/>
  <c r="K2037" i="2"/>
  <c r="E2039" i="2" l="1"/>
  <c r="G2039" i="2" s="1"/>
  <c r="H2039" i="2"/>
  <c r="I2039" i="2"/>
  <c r="J2038" i="2"/>
  <c r="K2038" i="2" s="1"/>
  <c r="E2040" i="2" l="1"/>
  <c r="G2040" i="2" s="1"/>
  <c r="H2040" i="2"/>
  <c r="I2040" i="2"/>
  <c r="J2039" i="2"/>
  <c r="K2039" i="2" s="1"/>
  <c r="F2041" i="2" l="1"/>
  <c r="G2041" i="2" s="1"/>
  <c r="H2041" i="2"/>
  <c r="I2041" i="2"/>
  <c r="J2040" i="2"/>
  <c r="K2040" i="2" s="1"/>
  <c r="F2042" i="2" l="1"/>
  <c r="G2042" i="2" s="1"/>
  <c r="H2042" i="2"/>
  <c r="I2042" i="2"/>
  <c r="J2041" i="2"/>
  <c r="K2041" i="2" s="1"/>
  <c r="H2043" i="2" l="1"/>
  <c r="I2043" i="2"/>
  <c r="J2042" i="2"/>
  <c r="K2042" i="2" s="1"/>
  <c r="F2043" i="2"/>
  <c r="G2043" i="2" s="1"/>
  <c r="H2044" i="2" l="1"/>
  <c r="I2044" i="2"/>
  <c r="J2043" i="2"/>
  <c r="F2044" i="2"/>
  <c r="G2044" i="2" s="1"/>
  <c r="K2043" i="2"/>
  <c r="H2045" i="2" l="1"/>
  <c r="I2045" i="2"/>
  <c r="J2044" i="2"/>
  <c r="F2045" i="2"/>
  <c r="G2045" i="2" s="1"/>
  <c r="K2044" i="2"/>
  <c r="E2046" i="2" l="1"/>
  <c r="G2046" i="2" s="1"/>
  <c r="H2046" i="2"/>
  <c r="I2046" i="2"/>
  <c r="J2045" i="2"/>
  <c r="K2045" i="2"/>
  <c r="F2047" i="2" l="1"/>
  <c r="G2047" i="2" s="1"/>
  <c r="H2047" i="2"/>
  <c r="I2047" i="2"/>
  <c r="J2046" i="2"/>
  <c r="K2046" i="2" s="1"/>
  <c r="E2048" i="2" l="1"/>
  <c r="G2048" i="2" s="1"/>
  <c r="H2048" i="2"/>
  <c r="I2048" i="2"/>
  <c r="J2047" i="2"/>
  <c r="K2047" i="2" s="1"/>
  <c r="E2049" i="2" l="1"/>
  <c r="G2049" i="2" s="1"/>
  <c r="H2049" i="2"/>
  <c r="I2049" i="2"/>
  <c r="J2048" i="2"/>
  <c r="K2048" i="2" s="1"/>
  <c r="F2050" i="2" l="1"/>
  <c r="G2050" i="2" s="1"/>
  <c r="I2050" i="2"/>
  <c r="H2050" i="2"/>
  <c r="J2049" i="2"/>
  <c r="K2049" i="2" s="1"/>
  <c r="I2051" i="2" l="1"/>
  <c r="H2051" i="2"/>
  <c r="J2050" i="2"/>
  <c r="K2050" i="2" s="1"/>
  <c r="E2051" i="2"/>
  <c r="G2051" i="2" s="1"/>
  <c r="H2052" i="2" l="1"/>
  <c r="I2052" i="2"/>
  <c r="J2051" i="2"/>
  <c r="E2052" i="2"/>
  <c r="G2052" i="2" s="1"/>
  <c r="K2051" i="2"/>
  <c r="H2053" i="2" l="1"/>
  <c r="I2053" i="2"/>
  <c r="J2052" i="2"/>
  <c r="K2052" i="2" s="1"/>
  <c r="F2053" i="2"/>
  <c r="G2053" i="2" s="1"/>
  <c r="F2054" i="2" l="1"/>
  <c r="G2054" i="2" s="1"/>
  <c r="H2054" i="2"/>
  <c r="I2054" i="2"/>
  <c r="J2053" i="2"/>
  <c r="K2053" i="2"/>
  <c r="F2055" i="2" l="1"/>
  <c r="G2055" i="2" s="1"/>
  <c r="H2055" i="2"/>
  <c r="I2055" i="2"/>
  <c r="J2054" i="2"/>
  <c r="K2054" i="2" s="1"/>
  <c r="E2056" i="2" l="1"/>
  <c r="G2056" i="2" s="1"/>
  <c r="H2056" i="2"/>
  <c r="I2056" i="2"/>
  <c r="J2055" i="2"/>
  <c r="K2055" i="2" s="1"/>
  <c r="E2057" i="2" l="1"/>
  <c r="G2057" i="2" s="1"/>
  <c r="H2057" i="2"/>
  <c r="I2057" i="2"/>
  <c r="J2056" i="2"/>
  <c r="K2056" i="2" s="1"/>
  <c r="F2058" i="2" l="1"/>
  <c r="G2058" i="2" s="1"/>
  <c r="H2058" i="2"/>
  <c r="I2058" i="2"/>
  <c r="J2057" i="2"/>
  <c r="K2057" i="2" s="1"/>
  <c r="H2059" i="2" l="1"/>
  <c r="I2059" i="2"/>
  <c r="J2058" i="2"/>
  <c r="F2059" i="2"/>
  <c r="G2059" i="2" s="1"/>
  <c r="K2058" i="2"/>
  <c r="H2060" i="2" l="1"/>
  <c r="I2060" i="2"/>
  <c r="J2059" i="2"/>
  <c r="F2060" i="2"/>
  <c r="G2060" i="2" s="1"/>
  <c r="K2059" i="2"/>
  <c r="H2061" i="2" l="1"/>
  <c r="I2061" i="2"/>
  <c r="J2060" i="2"/>
  <c r="E2061" i="2"/>
  <c r="G2061" i="2" s="1"/>
  <c r="K2060" i="2"/>
  <c r="E2062" i="2" l="1"/>
  <c r="G2062" i="2" s="1"/>
  <c r="H2062" i="2"/>
  <c r="I2062" i="2"/>
  <c r="J2061" i="2"/>
  <c r="K2061" i="2"/>
  <c r="E2063" i="2" l="1"/>
  <c r="G2063" i="2" s="1"/>
  <c r="H2063" i="2"/>
  <c r="J2062" i="2"/>
  <c r="K2062" i="2" s="1"/>
  <c r="I2063" i="2"/>
  <c r="F2064" i="2" l="1"/>
  <c r="G2064" i="2" s="1"/>
  <c r="H2064" i="2"/>
  <c r="I2064" i="2"/>
  <c r="J2063" i="2"/>
  <c r="K2063" i="2" s="1"/>
  <c r="F2065" i="2" l="1"/>
  <c r="G2065" i="2" s="1"/>
  <c r="H2065" i="2"/>
  <c r="I2065" i="2"/>
  <c r="J2064" i="2"/>
  <c r="K2064" i="2"/>
  <c r="F2066" i="2" l="1"/>
  <c r="G2066" i="2" s="1"/>
  <c r="H2066" i="2"/>
  <c r="I2066" i="2"/>
  <c r="J2065" i="2"/>
  <c r="K2065" i="2" s="1"/>
  <c r="H2067" i="2" l="1"/>
  <c r="I2067" i="2"/>
  <c r="J2066" i="2"/>
  <c r="K2066" i="2" s="1"/>
  <c r="F2067" i="2"/>
  <c r="G2067" i="2" s="1"/>
  <c r="H2068" i="2" l="1"/>
  <c r="I2068" i="2"/>
  <c r="J2067" i="2"/>
  <c r="F2068" i="2"/>
  <c r="G2068" i="2" s="1"/>
  <c r="K2067" i="2"/>
  <c r="H2069" i="2" l="1"/>
  <c r="I2069" i="2"/>
  <c r="J2068" i="2"/>
  <c r="F2069" i="2"/>
  <c r="G2069" i="2" s="1"/>
  <c r="K2068" i="2"/>
  <c r="E2070" i="2" l="1"/>
  <c r="G2070" i="2" s="1"/>
  <c r="H2070" i="2"/>
  <c r="I2070" i="2"/>
  <c r="J2069" i="2"/>
  <c r="K2069" i="2"/>
  <c r="F2071" i="2" l="1"/>
  <c r="G2071" i="2" s="1"/>
  <c r="H2071" i="2"/>
  <c r="I2071" i="2"/>
  <c r="J2070" i="2"/>
  <c r="K2070" i="2" s="1"/>
  <c r="F2072" i="2" l="1"/>
  <c r="G2072" i="2" s="1"/>
  <c r="H2072" i="2"/>
  <c r="I2072" i="2"/>
  <c r="J2071" i="2"/>
  <c r="K2071" i="2" s="1"/>
  <c r="F2073" i="2" l="1"/>
  <c r="G2073" i="2" s="1"/>
  <c r="H2073" i="2"/>
  <c r="I2073" i="2"/>
  <c r="J2072" i="2"/>
  <c r="K2072" i="2" s="1"/>
  <c r="E2074" i="2" l="1"/>
  <c r="G2074" i="2" s="1"/>
  <c r="H2074" i="2"/>
  <c r="I2074" i="2"/>
  <c r="J2073" i="2"/>
  <c r="K2073" i="2" s="1"/>
  <c r="H2075" i="2" l="1"/>
  <c r="I2075" i="2"/>
  <c r="J2074" i="2"/>
  <c r="K2074" i="2" s="1"/>
  <c r="E2075" i="2"/>
  <c r="G2075" i="2" s="1"/>
  <c r="H2076" i="2" l="1"/>
  <c r="I2076" i="2"/>
  <c r="J2075" i="2"/>
  <c r="K2075" i="2" s="1"/>
  <c r="E2076" i="2"/>
  <c r="G2076" i="2" s="1"/>
  <c r="H2077" i="2" l="1"/>
  <c r="I2077" i="2"/>
  <c r="J2076" i="2"/>
  <c r="E2077" i="2"/>
  <c r="G2077" i="2" s="1"/>
  <c r="K2076" i="2"/>
  <c r="E2078" i="2" l="1"/>
  <c r="G2078" i="2" s="1"/>
  <c r="H2078" i="2"/>
  <c r="I2078" i="2"/>
  <c r="J2077" i="2"/>
  <c r="K2077" i="2"/>
  <c r="E2079" i="2" l="1"/>
  <c r="G2079" i="2" s="1"/>
  <c r="H2079" i="2"/>
  <c r="I2079" i="2"/>
  <c r="J2078" i="2"/>
  <c r="K2078" i="2" s="1"/>
  <c r="F2080" i="2" l="1"/>
  <c r="G2080" i="2" s="1"/>
  <c r="H2080" i="2"/>
  <c r="I2080" i="2"/>
  <c r="J2079" i="2"/>
  <c r="K2079" i="2" s="1"/>
  <c r="F2081" i="2" l="1"/>
  <c r="G2081" i="2" s="1"/>
  <c r="H2081" i="2"/>
  <c r="I2081" i="2"/>
  <c r="J2080" i="2"/>
  <c r="K2080" i="2" s="1"/>
  <c r="E2082" i="2" l="1"/>
  <c r="G2082" i="2" s="1"/>
  <c r="H2082" i="2"/>
  <c r="I2082" i="2"/>
  <c r="J2081" i="2"/>
  <c r="K2081" i="2" s="1"/>
  <c r="K2082" i="2" l="1"/>
  <c r="H2083" i="2"/>
  <c r="I2083" i="2"/>
  <c r="J2082" i="2"/>
  <c r="E2083" i="2"/>
  <c r="G2083" i="2" s="1"/>
  <c r="H2084" i="2" l="1"/>
  <c r="I2084" i="2"/>
  <c r="J2083" i="2"/>
  <c r="F2084" i="2"/>
  <c r="G2084" i="2" s="1"/>
  <c r="K2083" i="2"/>
  <c r="H2085" i="2" l="1"/>
  <c r="I2085" i="2"/>
  <c r="J2084" i="2"/>
  <c r="E2085" i="2"/>
  <c r="G2085" i="2" s="1"/>
  <c r="K2084" i="2"/>
  <c r="F2086" i="2" l="1"/>
  <c r="G2086" i="2" s="1"/>
  <c r="H2086" i="2"/>
  <c r="I2086" i="2"/>
  <c r="J2085" i="2"/>
  <c r="K2085" i="2"/>
  <c r="F2087" i="2" l="1"/>
  <c r="G2087" i="2" s="1"/>
  <c r="H2087" i="2"/>
  <c r="I2087" i="2"/>
  <c r="J2086" i="2"/>
  <c r="K2086" i="2" s="1"/>
  <c r="E2088" i="2" l="1"/>
  <c r="G2088" i="2" s="1"/>
  <c r="H2088" i="2"/>
  <c r="I2088" i="2"/>
  <c r="J2087" i="2"/>
  <c r="K2087" i="2" s="1"/>
  <c r="F2089" i="2" l="1"/>
  <c r="G2089" i="2" s="1"/>
  <c r="H2089" i="2"/>
  <c r="I2089" i="2"/>
  <c r="J2088" i="2"/>
  <c r="K2088" i="2" s="1"/>
  <c r="E2090" i="2" l="1"/>
  <c r="G2090" i="2" s="1"/>
  <c r="H2090" i="2"/>
  <c r="I2090" i="2"/>
  <c r="J2089" i="2"/>
  <c r="K2089" i="2" s="1"/>
  <c r="H2091" i="2" l="1"/>
  <c r="I2091" i="2"/>
  <c r="J2090" i="2"/>
  <c r="K2090" i="2" s="1"/>
  <c r="F2091" i="2"/>
  <c r="G2091" i="2" s="1"/>
  <c r="H2092" i="2" l="1"/>
  <c r="I2092" i="2"/>
  <c r="J2091" i="2"/>
  <c r="E2092" i="2"/>
  <c r="G2092" i="2" s="1"/>
  <c r="K2091" i="2"/>
  <c r="H2093" i="2" l="1"/>
  <c r="I2093" i="2"/>
  <c r="J2092" i="2"/>
  <c r="E2093" i="2"/>
  <c r="G2093" i="2" s="1"/>
  <c r="K2092" i="2"/>
  <c r="F2094" i="2" l="1"/>
  <c r="G2094" i="2" s="1"/>
  <c r="H2094" i="2"/>
  <c r="I2094" i="2"/>
  <c r="J2093" i="2"/>
  <c r="K2093" i="2"/>
  <c r="E2095" i="2" l="1"/>
  <c r="G2095" i="2" s="1"/>
  <c r="H2095" i="2"/>
  <c r="J2094" i="2"/>
  <c r="K2094" i="2" s="1"/>
  <c r="I2095" i="2"/>
  <c r="K2095" i="2" l="1"/>
  <c r="F2096" i="2"/>
  <c r="G2096" i="2" s="1"/>
  <c r="H2096" i="2"/>
  <c r="I2096" i="2"/>
  <c r="J2095" i="2"/>
  <c r="K2096" i="2" l="1"/>
  <c r="E2097" i="2"/>
  <c r="G2097" i="2" s="1"/>
  <c r="H2097" i="2"/>
  <c r="I2097" i="2"/>
  <c r="J2096" i="2"/>
  <c r="F2098" i="2" l="1"/>
  <c r="G2098" i="2" s="1"/>
  <c r="I2098" i="2"/>
  <c r="H2098" i="2"/>
  <c r="J2097" i="2"/>
  <c r="K2097" i="2" s="1"/>
  <c r="I2099" i="2" l="1"/>
  <c r="H2099" i="2"/>
  <c r="J2098" i="2"/>
  <c r="E2099" i="2"/>
  <c r="G2099" i="2" s="1"/>
  <c r="K2098" i="2"/>
  <c r="H2100" i="2" l="1"/>
  <c r="I2100" i="2"/>
  <c r="J2099" i="2"/>
  <c r="K2099" i="2" s="1"/>
  <c r="F2100" i="2"/>
  <c r="G2100" i="2" s="1"/>
  <c r="H2101" i="2" l="1"/>
  <c r="I2101" i="2"/>
  <c r="J2100" i="2"/>
  <c r="F2101" i="2"/>
  <c r="G2101" i="2" s="1"/>
  <c r="K2100" i="2"/>
  <c r="E2102" i="2" l="1"/>
  <c r="G2102" i="2" s="1"/>
  <c r="H2102" i="2"/>
  <c r="I2102" i="2"/>
  <c r="J2101" i="2"/>
  <c r="K2101" i="2"/>
  <c r="E2103" i="2" l="1"/>
  <c r="G2103" i="2" s="1"/>
  <c r="H2103" i="2"/>
  <c r="I2103" i="2"/>
  <c r="J2102" i="2"/>
  <c r="K2102" i="2" s="1"/>
  <c r="E2104" i="2" l="1"/>
  <c r="G2104" i="2" s="1"/>
  <c r="H2104" i="2"/>
  <c r="I2104" i="2"/>
  <c r="J2103" i="2"/>
  <c r="K2103" i="2" s="1"/>
  <c r="F2105" i="2" l="1"/>
  <c r="G2105" i="2" s="1"/>
  <c r="H2105" i="2"/>
  <c r="I2105" i="2"/>
  <c r="J2104" i="2"/>
  <c r="K2104" i="2" s="1"/>
  <c r="E2106" i="2" l="1"/>
  <c r="G2106" i="2" s="1"/>
  <c r="H2106" i="2"/>
  <c r="I2106" i="2"/>
  <c r="J2105" i="2"/>
  <c r="K2105" i="2" s="1"/>
  <c r="H2107" i="2" l="1"/>
  <c r="I2107" i="2"/>
  <c r="J2106" i="2"/>
  <c r="K2106" i="2" s="1"/>
  <c r="E2107" i="2"/>
  <c r="G2107" i="2" s="1"/>
  <c r="H2108" i="2" l="1"/>
  <c r="I2108" i="2"/>
  <c r="J2107" i="2"/>
  <c r="K2107" i="2" s="1"/>
  <c r="F2108" i="2"/>
  <c r="G2108" i="2" s="1"/>
  <c r="H2109" i="2" l="1"/>
  <c r="I2109" i="2"/>
  <c r="J2108" i="2"/>
  <c r="E2109" i="2"/>
  <c r="G2109" i="2" s="1"/>
  <c r="K2108" i="2"/>
  <c r="F2110" i="2" l="1"/>
  <c r="G2110" i="2" s="1"/>
  <c r="H2110" i="2"/>
  <c r="I2110" i="2"/>
  <c r="J2109" i="2"/>
  <c r="K2109" i="2"/>
  <c r="E2111" i="2" l="1"/>
  <c r="G2111" i="2" s="1"/>
  <c r="H2111" i="2"/>
  <c r="I2111" i="2"/>
  <c r="J2110" i="2"/>
  <c r="K2110" i="2"/>
  <c r="E2112" i="2" l="1"/>
  <c r="G2112" i="2" s="1"/>
  <c r="H2112" i="2"/>
  <c r="I2112" i="2"/>
  <c r="J2111" i="2"/>
  <c r="K2111" i="2" s="1"/>
  <c r="E2113" i="2" l="1"/>
  <c r="G2113" i="2" s="1"/>
  <c r="H2113" i="2"/>
  <c r="I2113" i="2"/>
  <c r="J2112" i="2"/>
  <c r="K2112" i="2" s="1"/>
  <c r="E2114" i="2" l="1"/>
  <c r="G2114" i="2" s="1"/>
  <c r="I2114" i="2"/>
  <c r="H2114" i="2"/>
  <c r="J2113" i="2"/>
  <c r="K2113" i="2" s="1"/>
  <c r="I2115" i="2" l="1"/>
  <c r="H2115" i="2"/>
  <c r="J2114" i="2"/>
  <c r="K2114" i="2" s="1"/>
  <c r="E2115" i="2"/>
  <c r="G2115" i="2" s="1"/>
  <c r="H2116" i="2" l="1"/>
  <c r="I2116" i="2"/>
  <c r="J2115" i="2"/>
  <c r="K2115" i="2" s="1"/>
  <c r="F2116" i="2"/>
  <c r="G2116" i="2" s="1"/>
  <c r="H2117" i="2" l="1"/>
  <c r="I2117" i="2"/>
  <c r="J2116" i="2"/>
  <c r="E2117" i="2"/>
  <c r="G2117" i="2" s="1"/>
  <c r="K2116" i="2"/>
  <c r="F2118" i="2" l="1"/>
  <c r="G2118" i="2" s="1"/>
  <c r="H2118" i="2"/>
  <c r="I2118" i="2"/>
  <c r="J2117" i="2"/>
  <c r="K2117" i="2"/>
  <c r="E2119" i="2" l="1"/>
  <c r="G2119" i="2" s="1"/>
  <c r="H2119" i="2"/>
  <c r="I2119" i="2"/>
  <c r="J2118" i="2"/>
  <c r="K2118" i="2" s="1"/>
  <c r="K2119" i="2" l="1"/>
  <c r="E2120" i="2"/>
  <c r="G2120" i="2" s="1"/>
  <c r="H2120" i="2"/>
  <c r="I2120" i="2"/>
  <c r="J2119" i="2"/>
  <c r="E2121" i="2" l="1"/>
  <c r="G2121" i="2" s="1"/>
  <c r="H2121" i="2"/>
  <c r="I2121" i="2"/>
  <c r="J2120" i="2"/>
  <c r="K2120" i="2" s="1"/>
  <c r="E2122" i="2" l="1"/>
  <c r="G2122" i="2" s="1"/>
  <c r="H2122" i="2"/>
  <c r="I2122" i="2"/>
  <c r="J2121" i="2"/>
  <c r="K2121" i="2" s="1"/>
  <c r="H2123" i="2" l="1"/>
  <c r="I2123" i="2"/>
  <c r="J2122" i="2"/>
  <c r="K2122" i="2" s="1"/>
  <c r="E2123" i="2"/>
  <c r="G2123" i="2" s="1"/>
  <c r="H2124" i="2" l="1"/>
  <c r="I2124" i="2"/>
  <c r="J2123" i="2"/>
  <c r="K2123" i="2" s="1"/>
  <c r="E2124" i="2"/>
  <c r="G2124" i="2" s="1"/>
  <c r="H2125" i="2" l="1"/>
  <c r="I2125" i="2"/>
  <c r="J2124" i="2"/>
  <c r="E2125" i="2"/>
  <c r="G2125" i="2" s="1"/>
  <c r="K2124" i="2"/>
  <c r="F2126" i="2" l="1"/>
  <c r="G2126" i="2" s="1"/>
  <c r="H2126" i="2"/>
  <c r="I2126" i="2"/>
  <c r="J2125" i="2"/>
  <c r="K2125" i="2"/>
  <c r="E2127" i="2" l="1"/>
  <c r="G2127" i="2" s="1"/>
  <c r="H2127" i="2"/>
  <c r="J2126" i="2"/>
  <c r="K2126" i="2" s="1"/>
  <c r="I2127" i="2"/>
  <c r="E2128" i="2" l="1"/>
  <c r="G2128" i="2" s="1"/>
  <c r="H2128" i="2"/>
  <c r="I2128" i="2"/>
  <c r="J2127" i="2"/>
  <c r="K2127" i="2" s="1"/>
  <c r="E2129" i="2" l="1"/>
  <c r="G2129" i="2" s="1"/>
  <c r="H2129" i="2"/>
  <c r="I2129" i="2"/>
  <c r="J2128" i="2"/>
  <c r="K2128" i="2" s="1"/>
  <c r="F2130" i="2" l="1"/>
  <c r="G2130" i="2" s="1"/>
  <c r="H2130" i="2"/>
  <c r="I2130" i="2"/>
  <c r="J2129" i="2"/>
  <c r="K2129" i="2" s="1"/>
  <c r="H2131" i="2" l="1"/>
  <c r="I2131" i="2"/>
  <c r="J2130" i="2"/>
  <c r="K2130" i="2" s="1"/>
  <c r="E2131" i="2"/>
  <c r="G2131" i="2" s="1"/>
  <c r="H2132" i="2" l="1"/>
  <c r="I2132" i="2"/>
  <c r="J2131" i="2"/>
  <c r="E2132" i="2"/>
  <c r="G2132" i="2" s="1"/>
  <c r="K2131" i="2"/>
  <c r="H2133" i="2" l="1"/>
  <c r="I2133" i="2"/>
  <c r="J2132" i="2"/>
  <c r="F2133" i="2"/>
  <c r="G2133" i="2" s="1"/>
  <c r="K2132" i="2"/>
  <c r="F2134" i="2" l="1"/>
  <c r="G2134" i="2" s="1"/>
  <c r="H2134" i="2"/>
  <c r="I2134" i="2"/>
  <c r="J2133" i="2"/>
  <c r="K2133" i="2"/>
  <c r="K2134" i="2" l="1"/>
  <c r="E2135" i="2"/>
  <c r="G2135" i="2" s="1"/>
  <c r="H2135" i="2"/>
  <c r="I2135" i="2"/>
  <c r="J2134" i="2"/>
  <c r="E2136" i="2" l="1"/>
  <c r="G2136" i="2" s="1"/>
  <c r="H2136" i="2"/>
  <c r="I2136" i="2"/>
  <c r="J2135" i="2"/>
  <c r="K2135" i="2" s="1"/>
  <c r="F2137" i="2" l="1"/>
  <c r="G2137" i="2" s="1"/>
  <c r="H2137" i="2"/>
  <c r="I2137" i="2"/>
  <c r="J2136" i="2"/>
  <c r="K2136" i="2" s="1"/>
  <c r="E2138" i="2" l="1"/>
  <c r="G2138" i="2" s="1"/>
  <c r="H2138" i="2"/>
  <c r="I2138" i="2"/>
  <c r="J2137" i="2"/>
  <c r="K2137" i="2" s="1"/>
  <c r="H2139" i="2" l="1"/>
  <c r="I2139" i="2"/>
  <c r="J2138" i="2"/>
  <c r="K2138" i="2" s="1"/>
  <c r="E2139" i="2"/>
  <c r="G2139" i="2" s="1"/>
  <c r="H2140" i="2" l="1"/>
  <c r="I2140" i="2"/>
  <c r="J2139" i="2"/>
  <c r="K2139" i="2" s="1"/>
  <c r="F2140" i="2"/>
  <c r="G2140" i="2" s="1"/>
  <c r="H2141" i="2" l="1"/>
  <c r="I2141" i="2"/>
  <c r="J2140" i="2"/>
  <c r="K2140" i="2" s="1"/>
  <c r="E2141" i="2"/>
  <c r="G2141" i="2" s="1"/>
  <c r="F2142" i="2" l="1"/>
  <c r="G2142" i="2" s="1"/>
  <c r="H2142" i="2"/>
  <c r="I2142" i="2"/>
  <c r="J2141" i="2"/>
  <c r="K2141" i="2" s="1"/>
  <c r="K2142" i="2" l="1"/>
  <c r="F2143" i="2"/>
  <c r="G2143" i="2" s="1"/>
  <c r="H2143" i="2"/>
  <c r="I2143" i="2"/>
  <c r="J2142" i="2"/>
  <c r="F2144" i="2" l="1"/>
  <c r="G2144" i="2" s="1"/>
  <c r="H2144" i="2"/>
  <c r="I2144" i="2"/>
  <c r="J2143" i="2"/>
  <c r="K2143" i="2" s="1"/>
  <c r="F2145" i="2" l="1"/>
  <c r="G2145" i="2" s="1"/>
  <c r="H2145" i="2"/>
  <c r="I2145" i="2"/>
  <c r="J2144" i="2"/>
  <c r="K2144" i="2" s="1"/>
  <c r="E2146" i="2" l="1"/>
  <c r="G2146" i="2" s="1"/>
  <c r="H2146" i="2"/>
  <c r="I2146" i="2"/>
  <c r="J2145" i="2"/>
  <c r="K2145" i="2" s="1"/>
  <c r="H2147" i="2" l="1"/>
  <c r="I2147" i="2"/>
  <c r="J2146" i="2"/>
  <c r="K2146" i="2" s="1"/>
  <c r="F2147" i="2"/>
  <c r="G2147" i="2" s="1"/>
  <c r="H2148" i="2" l="1"/>
  <c r="I2148" i="2"/>
  <c r="J2147" i="2"/>
  <c r="F2148" i="2"/>
  <c r="G2148" i="2" s="1"/>
  <c r="K2147" i="2"/>
  <c r="H2149" i="2" l="1"/>
  <c r="I2149" i="2"/>
  <c r="J2148" i="2"/>
  <c r="F2149" i="2"/>
  <c r="G2149" i="2" s="1"/>
  <c r="K2148" i="2"/>
  <c r="F2150" i="2" l="1"/>
  <c r="G2150" i="2" s="1"/>
  <c r="H2150" i="2"/>
  <c r="I2150" i="2"/>
  <c r="J2149" i="2"/>
  <c r="K2149" i="2"/>
  <c r="E2151" i="2" l="1"/>
  <c r="G2151" i="2" s="1"/>
  <c r="H2151" i="2"/>
  <c r="I2151" i="2"/>
  <c r="J2150" i="2"/>
  <c r="K2150" i="2" s="1"/>
  <c r="F2152" i="2" l="1"/>
  <c r="G2152" i="2" s="1"/>
  <c r="H2152" i="2"/>
  <c r="I2152" i="2"/>
  <c r="J2151" i="2"/>
  <c r="K2151" i="2" s="1"/>
  <c r="E2153" i="2" l="1"/>
  <c r="G2153" i="2" s="1"/>
  <c r="H2153" i="2"/>
  <c r="I2153" i="2"/>
  <c r="J2152" i="2"/>
  <c r="K2152" i="2" s="1"/>
  <c r="F2154" i="2" l="1"/>
  <c r="G2154" i="2" s="1"/>
  <c r="H2154" i="2"/>
  <c r="I2154" i="2"/>
  <c r="J2153" i="2"/>
  <c r="K2153" i="2"/>
  <c r="H2155" i="2" l="1"/>
  <c r="I2155" i="2"/>
  <c r="J2154" i="2"/>
  <c r="K2154" i="2" s="1"/>
  <c r="E2155" i="2"/>
  <c r="G2155" i="2" s="1"/>
  <c r="H2156" i="2" l="1"/>
  <c r="I2156" i="2"/>
  <c r="J2155" i="2"/>
  <c r="E2156" i="2"/>
  <c r="G2156" i="2" s="1"/>
  <c r="K2155" i="2"/>
  <c r="H2157" i="2" l="1"/>
  <c r="I2157" i="2"/>
  <c r="J2156" i="2"/>
  <c r="E2157" i="2"/>
  <c r="G2157" i="2" s="1"/>
  <c r="K2156" i="2"/>
  <c r="F2158" i="2" l="1"/>
  <c r="G2158" i="2" s="1"/>
  <c r="H2158" i="2"/>
  <c r="I2158" i="2"/>
  <c r="J2157" i="2"/>
  <c r="K2157" i="2"/>
  <c r="E2159" i="2" l="1"/>
  <c r="G2159" i="2" s="1"/>
  <c r="H2159" i="2"/>
  <c r="I2159" i="2"/>
  <c r="J2158" i="2"/>
  <c r="K2158" i="2" s="1"/>
  <c r="F2160" i="2" l="1"/>
  <c r="G2160" i="2" s="1"/>
  <c r="H2160" i="2"/>
  <c r="I2160" i="2"/>
  <c r="J2159" i="2"/>
  <c r="K2159" i="2" s="1"/>
  <c r="F2161" i="2" l="1"/>
  <c r="G2161" i="2" s="1"/>
  <c r="H2161" i="2"/>
  <c r="I2161" i="2"/>
  <c r="J2160" i="2"/>
  <c r="K2160" i="2" s="1"/>
  <c r="F2162" i="2" l="1"/>
  <c r="G2162" i="2" s="1"/>
  <c r="I2162" i="2"/>
  <c r="H2162" i="2"/>
  <c r="J2161" i="2"/>
  <c r="K2161" i="2" s="1"/>
  <c r="I2163" i="2" l="1"/>
  <c r="H2163" i="2"/>
  <c r="J2162" i="2"/>
  <c r="K2162" i="2" s="1"/>
  <c r="E2163" i="2"/>
  <c r="G2163" i="2" s="1"/>
  <c r="H2164" i="2" l="1"/>
  <c r="I2164" i="2"/>
  <c r="J2163" i="2"/>
  <c r="E2164" i="2"/>
  <c r="G2164" i="2" s="1"/>
  <c r="K2163" i="2"/>
  <c r="H2165" i="2" l="1"/>
  <c r="I2165" i="2"/>
  <c r="J2164" i="2"/>
  <c r="K2164" i="2" s="1"/>
  <c r="F2165" i="2"/>
  <c r="G2165" i="2" s="1"/>
  <c r="E2166" i="2" l="1"/>
  <c r="G2166" i="2" s="1"/>
  <c r="H2166" i="2"/>
  <c r="I2166" i="2"/>
  <c r="J2165" i="2"/>
  <c r="K2165" i="2" s="1"/>
  <c r="E2167" i="2" l="1"/>
  <c r="G2167" i="2" s="1"/>
  <c r="H2167" i="2"/>
  <c r="I2167" i="2"/>
  <c r="J2166" i="2"/>
  <c r="K2166" i="2" s="1"/>
  <c r="F2168" i="2" l="1"/>
  <c r="G2168" i="2" s="1"/>
  <c r="H2168" i="2"/>
  <c r="I2168" i="2"/>
  <c r="J2167" i="2"/>
  <c r="K2167" i="2" s="1"/>
  <c r="F2169" i="2" l="1"/>
  <c r="G2169" i="2" s="1"/>
  <c r="H2169" i="2"/>
  <c r="I2169" i="2"/>
  <c r="J2168" i="2"/>
  <c r="K2168" i="2"/>
  <c r="F2170" i="2" l="1"/>
  <c r="G2170" i="2" s="1"/>
  <c r="H2170" i="2"/>
  <c r="I2170" i="2"/>
  <c r="J2169" i="2"/>
  <c r="K2169" i="2" s="1"/>
  <c r="H2171" i="2" l="1"/>
  <c r="I2171" i="2"/>
  <c r="J2170" i="2"/>
  <c r="K2170" i="2" s="1"/>
  <c r="F2171" i="2"/>
  <c r="G2171" i="2" s="1"/>
  <c r="H2172" i="2" l="1"/>
  <c r="I2172" i="2"/>
  <c r="J2171" i="2"/>
  <c r="K2171" i="2" s="1"/>
  <c r="E2172" i="2"/>
  <c r="G2172" i="2" s="1"/>
  <c r="H2173" i="2" l="1"/>
  <c r="I2173" i="2"/>
  <c r="J2172" i="2"/>
  <c r="F2173" i="2"/>
  <c r="G2173" i="2" s="1"/>
  <c r="K2172" i="2"/>
  <c r="F2174" i="2" l="1"/>
  <c r="G2174" i="2" s="1"/>
  <c r="H2174" i="2"/>
  <c r="I2174" i="2"/>
  <c r="J2173" i="2"/>
  <c r="K2173" i="2"/>
  <c r="E2175" i="2" l="1"/>
  <c r="G2175" i="2" s="1"/>
  <c r="H2175" i="2"/>
  <c r="I2175" i="2"/>
  <c r="J2174" i="2"/>
  <c r="K2174" i="2" s="1"/>
  <c r="E2176" i="2" l="1"/>
  <c r="G2176" i="2" s="1"/>
  <c r="H2176" i="2"/>
  <c r="I2176" i="2"/>
  <c r="J2175" i="2"/>
  <c r="K2175" i="2" s="1"/>
  <c r="E2177" i="2" l="1"/>
  <c r="G2177" i="2" s="1"/>
  <c r="H2177" i="2"/>
  <c r="I2177" i="2"/>
  <c r="J2176" i="2"/>
  <c r="K2176" i="2" s="1"/>
  <c r="F2178" i="2" l="1"/>
  <c r="G2178" i="2" s="1"/>
  <c r="I2178" i="2"/>
  <c r="H2178" i="2"/>
  <c r="J2177" i="2"/>
  <c r="K2177" i="2" s="1"/>
  <c r="I2179" i="2" l="1"/>
  <c r="H2179" i="2"/>
  <c r="J2178" i="2"/>
  <c r="K2178" i="2" s="1"/>
  <c r="E2179" i="2"/>
  <c r="G2179" i="2" s="1"/>
  <c r="H2180" i="2" l="1"/>
  <c r="I2180" i="2"/>
  <c r="J2179" i="2"/>
  <c r="K2179" i="2" s="1"/>
  <c r="E2180" i="2"/>
  <c r="G2180" i="2" s="1"/>
  <c r="H2181" i="2" l="1"/>
  <c r="I2181" i="2"/>
  <c r="J2180" i="2"/>
  <c r="E2181" i="2"/>
  <c r="G2181" i="2" s="1"/>
  <c r="K2180" i="2"/>
  <c r="F2182" i="2" l="1"/>
  <c r="G2182" i="2" s="1"/>
  <c r="H2182" i="2"/>
  <c r="I2182" i="2"/>
  <c r="J2181" i="2"/>
  <c r="K2181" i="2"/>
  <c r="E2183" i="2" l="1"/>
  <c r="G2183" i="2" s="1"/>
  <c r="H2183" i="2"/>
  <c r="I2183" i="2"/>
  <c r="J2182" i="2"/>
  <c r="K2182" i="2" s="1"/>
  <c r="E2184" i="2" l="1"/>
  <c r="G2184" i="2" s="1"/>
  <c r="H2184" i="2"/>
  <c r="I2184" i="2"/>
  <c r="J2183" i="2"/>
  <c r="K2183" i="2" s="1"/>
  <c r="K2184" i="2" l="1"/>
  <c r="E2185" i="2"/>
  <c r="G2185" i="2" s="1"/>
  <c r="H2185" i="2"/>
  <c r="I2185" i="2"/>
  <c r="J2184" i="2"/>
  <c r="F2186" i="2" l="1"/>
  <c r="G2186" i="2" s="1"/>
  <c r="H2186" i="2"/>
  <c r="I2186" i="2"/>
  <c r="J2185" i="2"/>
  <c r="K2185" i="2" s="1"/>
  <c r="H2187" i="2" l="1"/>
  <c r="I2187" i="2"/>
  <c r="J2186" i="2"/>
  <c r="K2186" i="2" s="1"/>
  <c r="E2187" i="2"/>
  <c r="G2187" i="2" s="1"/>
  <c r="H2188" i="2" l="1"/>
  <c r="I2188" i="2"/>
  <c r="J2187" i="2"/>
  <c r="E2188" i="2"/>
  <c r="G2188" i="2" s="1"/>
  <c r="K2187" i="2"/>
  <c r="H2189" i="2" l="1"/>
  <c r="I2189" i="2"/>
  <c r="J2188" i="2"/>
  <c r="K2188" i="2" s="1"/>
  <c r="F2189" i="2"/>
  <c r="G2189" i="2" s="1"/>
  <c r="E2190" i="2" l="1"/>
  <c r="G2190" i="2" s="1"/>
  <c r="H2190" i="2"/>
  <c r="I2190" i="2"/>
  <c r="J2189" i="2"/>
  <c r="K2189" i="2" s="1"/>
  <c r="K2190" i="2" l="1"/>
  <c r="F2191" i="2"/>
  <c r="G2191" i="2" s="1"/>
  <c r="H2191" i="2"/>
  <c r="I2191" i="2"/>
  <c r="J2190" i="2"/>
  <c r="F2192" i="2" l="1"/>
  <c r="G2192" i="2" s="1"/>
  <c r="H2192" i="2"/>
  <c r="I2192" i="2"/>
  <c r="J2191" i="2"/>
  <c r="K2191" i="2" s="1"/>
  <c r="F2193" i="2" l="1"/>
  <c r="G2193" i="2" s="1"/>
  <c r="H2193" i="2"/>
  <c r="I2193" i="2"/>
  <c r="J2192" i="2"/>
  <c r="K2192" i="2" s="1"/>
  <c r="E2194" i="2" l="1"/>
  <c r="G2194" i="2" s="1"/>
  <c r="H2194" i="2"/>
  <c r="I2194" i="2"/>
  <c r="J2193" i="2"/>
  <c r="K2193" i="2" s="1"/>
  <c r="H2195" i="2" l="1"/>
  <c r="I2195" i="2"/>
  <c r="J2194" i="2"/>
  <c r="K2194" i="2" s="1"/>
  <c r="F2195" i="2"/>
  <c r="G2195" i="2" s="1"/>
  <c r="H2196" i="2" l="1"/>
  <c r="I2196" i="2"/>
  <c r="J2195" i="2"/>
  <c r="K2195" i="2" s="1"/>
  <c r="E2196" i="2"/>
  <c r="G2196" i="2" s="1"/>
  <c r="H2197" i="2" l="1"/>
  <c r="I2197" i="2"/>
  <c r="J2196" i="2"/>
  <c r="E2197" i="2"/>
  <c r="G2197" i="2" s="1"/>
  <c r="K2196" i="2"/>
  <c r="E2198" i="2" l="1"/>
  <c r="G2198" i="2" s="1"/>
  <c r="H2198" i="2"/>
  <c r="I2198" i="2"/>
  <c r="J2197" i="2"/>
  <c r="K2197" i="2"/>
  <c r="F2199" i="2" l="1"/>
  <c r="G2199" i="2" s="1"/>
  <c r="H2199" i="2"/>
  <c r="I2199" i="2"/>
  <c r="J2198" i="2"/>
  <c r="K2198" i="2" s="1"/>
  <c r="E2200" i="2" l="1"/>
  <c r="G2200" i="2" s="1"/>
  <c r="H2200" i="2"/>
  <c r="I2200" i="2"/>
  <c r="J2199" i="2"/>
  <c r="K2199" i="2" s="1"/>
  <c r="E2201" i="2" l="1"/>
  <c r="G2201" i="2" s="1"/>
  <c r="H2201" i="2"/>
  <c r="I2201" i="2"/>
  <c r="J2200" i="2"/>
  <c r="K2200" i="2" s="1"/>
  <c r="F2202" i="2" l="1"/>
  <c r="G2202" i="2" s="1"/>
  <c r="H2202" i="2"/>
  <c r="I2202" i="2"/>
  <c r="J2201" i="2"/>
  <c r="K2201" i="2" s="1"/>
  <c r="H2203" i="2" l="1"/>
  <c r="I2203" i="2"/>
  <c r="J2202" i="2"/>
  <c r="K2202" i="2" s="1"/>
  <c r="F2203" i="2"/>
  <c r="G2203" i="2" s="1"/>
  <c r="H2204" i="2" l="1"/>
  <c r="I2204" i="2"/>
  <c r="J2203" i="2"/>
  <c r="E2204" i="2"/>
  <c r="G2204" i="2" s="1"/>
  <c r="K2203" i="2"/>
  <c r="H2205" i="2" l="1"/>
  <c r="I2205" i="2"/>
  <c r="J2204" i="2"/>
  <c r="F2205" i="2"/>
  <c r="G2205" i="2" s="1"/>
  <c r="K2204" i="2"/>
  <c r="F2206" i="2" l="1"/>
  <c r="G2206" i="2" s="1"/>
  <c r="H2206" i="2"/>
  <c r="I2206" i="2"/>
  <c r="J2205" i="2"/>
  <c r="K2205" i="2"/>
  <c r="E2207" i="2" l="1"/>
  <c r="G2207" i="2" s="1"/>
  <c r="H2207" i="2"/>
  <c r="I2207" i="2"/>
  <c r="J2206" i="2"/>
  <c r="K2206" i="2" s="1"/>
  <c r="F2208" i="2" l="1"/>
  <c r="G2208" i="2" s="1"/>
  <c r="H2208" i="2"/>
  <c r="I2208" i="2"/>
  <c r="J2207" i="2"/>
  <c r="K2207" i="2" s="1"/>
  <c r="E2209" i="2" l="1"/>
  <c r="G2209" i="2" s="1"/>
  <c r="H2209" i="2"/>
  <c r="I2209" i="2"/>
  <c r="J2208" i="2"/>
  <c r="K2208" i="2" s="1"/>
  <c r="F2210" i="2" l="1"/>
  <c r="G2210" i="2" s="1"/>
  <c r="H2210" i="2"/>
  <c r="I2210" i="2"/>
  <c r="J2209" i="2"/>
  <c r="K2209" i="2" s="1"/>
  <c r="H2211" i="2" l="1"/>
  <c r="I2211" i="2"/>
  <c r="J2210" i="2"/>
  <c r="K2210" i="2" s="1"/>
  <c r="E2211" i="2"/>
  <c r="G2211" i="2" s="1"/>
  <c r="H2212" i="2" l="1"/>
  <c r="I2212" i="2"/>
  <c r="J2211" i="2"/>
  <c r="E2212" i="2"/>
  <c r="G2212" i="2" s="1"/>
  <c r="K2211" i="2"/>
  <c r="H2213" i="2" l="1"/>
  <c r="I2213" i="2"/>
  <c r="J2212" i="2"/>
  <c r="F2213" i="2"/>
  <c r="G2213" i="2" s="1"/>
  <c r="K2212" i="2"/>
  <c r="E2214" i="2" l="1"/>
  <c r="G2214" i="2" s="1"/>
  <c r="H2214" i="2"/>
  <c r="I2214" i="2"/>
  <c r="J2213" i="2"/>
  <c r="K2213" i="2"/>
  <c r="F2215" i="2" l="1"/>
  <c r="G2215" i="2" s="1"/>
  <c r="H2215" i="2"/>
  <c r="I2215" i="2"/>
  <c r="J2214" i="2"/>
  <c r="K2214" i="2" s="1"/>
  <c r="F2216" i="2" l="1"/>
  <c r="G2216" i="2" s="1"/>
  <c r="H2216" i="2"/>
  <c r="I2216" i="2"/>
  <c r="J2215" i="2"/>
  <c r="K2215" i="2" s="1"/>
  <c r="E2217" i="2" l="1"/>
  <c r="G2217" i="2" s="1"/>
  <c r="H2217" i="2"/>
  <c r="I2217" i="2"/>
  <c r="J2216" i="2"/>
  <c r="K2216" i="2" s="1"/>
  <c r="F2218" i="2" l="1"/>
  <c r="G2218" i="2" s="1"/>
  <c r="H2218" i="2"/>
  <c r="I2218" i="2"/>
  <c r="J2217" i="2"/>
  <c r="K2217" i="2"/>
  <c r="H2219" i="2" l="1"/>
  <c r="I2219" i="2"/>
  <c r="J2218" i="2"/>
  <c r="K2218" i="2" s="1"/>
  <c r="F2219" i="2"/>
  <c r="G2219" i="2" s="1"/>
  <c r="H2220" i="2" l="1"/>
  <c r="I2220" i="2"/>
  <c r="J2219" i="2"/>
  <c r="K2219" i="2" s="1"/>
  <c r="F2220" i="2"/>
  <c r="G2220" i="2" s="1"/>
  <c r="H2221" i="2" l="1"/>
  <c r="I2221" i="2"/>
  <c r="J2220" i="2"/>
  <c r="F2221" i="2"/>
  <c r="G2221" i="2" s="1"/>
  <c r="K2220" i="2"/>
  <c r="E2222" i="2" l="1"/>
  <c r="G2222" i="2" s="1"/>
  <c r="H2222" i="2"/>
  <c r="I2222" i="2"/>
  <c r="J2221" i="2"/>
  <c r="K2221" i="2"/>
  <c r="F2223" i="2" l="1"/>
  <c r="G2223" i="2" s="1"/>
  <c r="H2223" i="2"/>
  <c r="J2222" i="2"/>
  <c r="K2222" i="2" s="1"/>
  <c r="I2223" i="2"/>
  <c r="K2223" i="2" l="1"/>
  <c r="F2224" i="2"/>
  <c r="G2224" i="2" s="1"/>
  <c r="H2224" i="2"/>
  <c r="I2224" i="2"/>
  <c r="J2223" i="2"/>
  <c r="E2225" i="2" l="1"/>
  <c r="G2225" i="2" s="1"/>
  <c r="I2225" i="2"/>
  <c r="H2225" i="2"/>
  <c r="J2224" i="2"/>
  <c r="K2224" i="2" s="1"/>
  <c r="E2226" i="2" l="1"/>
  <c r="G2226" i="2" s="1"/>
  <c r="I2226" i="2"/>
  <c r="H2226" i="2"/>
  <c r="J2225" i="2"/>
  <c r="K2225" i="2" s="1"/>
  <c r="H2227" i="2" l="1"/>
  <c r="I2227" i="2"/>
  <c r="J2226" i="2"/>
  <c r="F2227" i="2"/>
  <c r="G2227" i="2" s="1"/>
  <c r="K2226" i="2"/>
  <c r="H2228" i="2" l="1"/>
  <c r="I2228" i="2"/>
  <c r="J2227" i="2"/>
  <c r="F2228" i="2"/>
  <c r="G2228" i="2" s="1"/>
  <c r="K2227" i="2"/>
  <c r="H2229" i="2" l="1"/>
  <c r="I2229" i="2"/>
  <c r="J2228" i="2"/>
  <c r="F2229" i="2"/>
  <c r="G2229" i="2" s="1"/>
  <c r="K2228" i="2"/>
  <c r="F2230" i="2" l="1"/>
  <c r="G2230" i="2" s="1"/>
  <c r="H2230" i="2"/>
  <c r="I2230" i="2"/>
  <c r="J2229" i="2"/>
  <c r="K2229" i="2" s="1"/>
  <c r="F2231" i="2" l="1"/>
  <c r="G2231" i="2" s="1"/>
  <c r="H2231" i="2"/>
  <c r="I2231" i="2"/>
  <c r="J2230" i="2"/>
  <c r="K2230" i="2" s="1"/>
  <c r="E2232" i="2" l="1"/>
  <c r="G2232" i="2" s="1"/>
  <c r="H2232" i="2"/>
  <c r="I2232" i="2"/>
  <c r="J2231" i="2"/>
  <c r="K2231" i="2" s="1"/>
  <c r="E2233" i="2" l="1"/>
  <c r="G2233" i="2" s="1"/>
  <c r="H2233" i="2"/>
  <c r="I2233" i="2"/>
  <c r="J2232" i="2"/>
  <c r="K2232" i="2" s="1"/>
  <c r="F2234" i="2" l="1"/>
  <c r="G2234" i="2" s="1"/>
  <c r="H2234" i="2"/>
  <c r="I2234" i="2"/>
  <c r="J2233" i="2"/>
  <c r="K2233" i="2" s="1"/>
  <c r="H2235" i="2" l="1"/>
  <c r="I2235" i="2"/>
  <c r="J2234" i="2"/>
  <c r="K2234" i="2" s="1"/>
  <c r="F2235" i="2"/>
  <c r="G2235" i="2" s="1"/>
  <c r="H2236" i="2" l="1"/>
  <c r="I2236" i="2"/>
  <c r="J2235" i="2"/>
  <c r="K2235" i="2" s="1"/>
  <c r="E2236" i="2"/>
  <c r="G2236" i="2" s="1"/>
  <c r="H2237" i="2" l="1"/>
  <c r="I2237" i="2"/>
  <c r="J2236" i="2"/>
  <c r="E2237" i="2"/>
  <c r="G2237" i="2" s="1"/>
  <c r="K2236" i="2"/>
  <c r="E2238" i="2" l="1"/>
  <c r="G2238" i="2" s="1"/>
  <c r="H2238" i="2"/>
  <c r="I2238" i="2"/>
  <c r="J2237" i="2"/>
  <c r="K2237" i="2"/>
  <c r="F2239" i="2" l="1"/>
  <c r="G2239" i="2" s="1"/>
  <c r="H2239" i="2"/>
  <c r="I2239" i="2"/>
  <c r="J2238" i="2"/>
  <c r="K2238" i="2" s="1"/>
  <c r="E2240" i="2" l="1"/>
  <c r="G2240" i="2" s="1"/>
  <c r="H2240" i="2"/>
  <c r="I2240" i="2"/>
  <c r="J2239" i="2"/>
  <c r="K2239" i="2" s="1"/>
  <c r="F2241" i="2" l="1"/>
  <c r="G2241" i="2" s="1"/>
  <c r="H2241" i="2"/>
  <c r="I2241" i="2"/>
  <c r="J2240" i="2"/>
  <c r="K2240" i="2" s="1"/>
  <c r="F2242" i="2" l="1"/>
  <c r="G2242" i="2" s="1"/>
  <c r="H2242" i="2"/>
  <c r="I2242" i="2"/>
  <c r="J2241" i="2"/>
  <c r="K2241" i="2" s="1"/>
  <c r="H2243" i="2" l="1"/>
  <c r="I2243" i="2"/>
  <c r="J2242" i="2"/>
  <c r="K2242" i="2" s="1"/>
  <c r="F2243" i="2"/>
  <c r="G2243" i="2" s="1"/>
  <c r="H2244" i="2" l="1"/>
  <c r="I2244" i="2"/>
  <c r="J2243" i="2"/>
  <c r="F2244" i="2"/>
  <c r="G2244" i="2" s="1"/>
  <c r="K2243" i="2"/>
  <c r="H2245" i="2" l="1"/>
  <c r="I2245" i="2"/>
  <c r="J2244" i="2"/>
  <c r="F2245" i="2"/>
  <c r="G2245" i="2" s="1"/>
  <c r="K2244" i="2"/>
  <c r="F2246" i="2" l="1"/>
  <c r="G2246" i="2" s="1"/>
  <c r="H2246" i="2"/>
  <c r="I2246" i="2"/>
  <c r="J2245" i="2"/>
  <c r="K2245" i="2"/>
  <c r="F2247" i="2" l="1"/>
  <c r="G2247" i="2" s="1"/>
  <c r="H2247" i="2"/>
  <c r="I2247" i="2"/>
  <c r="J2246" i="2"/>
  <c r="K2246" i="2" s="1"/>
  <c r="K2247" i="2" l="1"/>
  <c r="E2248" i="2"/>
  <c r="G2248" i="2" s="1"/>
  <c r="H2248" i="2"/>
  <c r="I2248" i="2"/>
  <c r="J2247" i="2"/>
  <c r="F2249" i="2" l="1"/>
  <c r="G2249" i="2" s="1"/>
  <c r="H2249" i="2"/>
  <c r="I2249" i="2"/>
  <c r="J2248" i="2"/>
  <c r="K2248" i="2"/>
  <c r="F2250" i="2" l="1"/>
  <c r="G2250" i="2" s="1"/>
  <c r="H2250" i="2"/>
  <c r="I2250" i="2"/>
  <c r="J2249" i="2"/>
  <c r="K2249" i="2" s="1"/>
  <c r="I2251" i="2" l="1"/>
  <c r="H2251" i="2"/>
  <c r="J2250" i="2"/>
  <c r="K2250" i="2" s="1"/>
  <c r="F2251" i="2"/>
  <c r="G2251" i="2" s="1"/>
  <c r="I2252" i="2" l="1"/>
  <c r="H2252" i="2"/>
  <c r="J2251" i="2"/>
  <c r="E2252" i="2"/>
  <c r="G2252" i="2" s="1"/>
  <c r="K2251" i="2"/>
  <c r="H2253" i="2" l="1"/>
  <c r="I2253" i="2"/>
  <c r="J2252" i="2"/>
  <c r="F2253" i="2"/>
  <c r="G2253" i="2" s="1"/>
  <c r="K2252" i="2"/>
  <c r="F2254" i="2" l="1"/>
  <c r="G2254" i="2" s="1"/>
  <c r="H2254" i="2"/>
  <c r="I2254" i="2"/>
  <c r="J2253" i="2"/>
  <c r="K2253" i="2"/>
  <c r="E2255" i="2" l="1"/>
  <c r="G2255" i="2" s="1"/>
  <c r="H2255" i="2"/>
  <c r="I2255" i="2"/>
  <c r="J2254" i="2"/>
  <c r="K2254" i="2" s="1"/>
  <c r="E2256" i="2" l="1"/>
  <c r="G2256" i="2" s="1"/>
  <c r="H2256" i="2"/>
  <c r="I2256" i="2"/>
  <c r="J2255" i="2"/>
  <c r="K2255" i="2" s="1"/>
  <c r="F2257" i="2" l="1"/>
  <c r="G2257" i="2" s="1"/>
  <c r="H2257" i="2"/>
  <c r="I2257" i="2"/>
  <c r="J2256" i="2"/>
  <c r="K2256" i="2" s="1"/>
  <c r="K2257" i="2" l="1"/>
  <c r="E2258" i="2"/>
  <c r="G2258" i="2" s="1"/>
  <c r="H2258" i="2"/>
  <c r="I2258" i="2"/>
  <c r="J2257" i="2"/>
  <c r="I2259" i="2" l="1"/>
  <c r="H2259" i="2"/>
  <c r="J2258" i="2"/>
  <c r="K2258" i="2" s="1"/>
  <c r="F2259" i="2"/>
  <c r="G2259" i="2" s="1"/>
  <c r="I2260" i="2" l="1"/>
  <c r="H2260" i="2"/>
  <c r="J2259" i="2"/>
  <c r="F2260" i="2"/>
  <c r="G2260" i="2" s="1"/>
  <c r="K2259" i="2"/>
  <c r="H2261" i="2" l="1"/>
  <c r="I2261" i="2"/>
  <c r="J2260" i="2"/>
  <c r="K2260" i="2" s="1"/>
  <c r="F2261" i="2"/>
  <c r="G2261" i="2" s="1"/>
  <c r="F2262" i="2" l="1"/>
  <c r="G2262" i="2" s="1"/>
  <c r="H2262" i="2"/>
  <c r="I2262" i="2"/>
  <c r="J2261" i="2"/>
  <c r="K2261" i="2" s="1"/>
  <c r="F2263" i="2" l="1"/>
  <c r="G2263" i="2" s="1"/>
  <c r="H2263" i="2"/>
  <c r="I2263" i="2"/>
  <c r="J2262" i="2"/>
  <c r="K2262" i="2" s="1"/>
  <c r="E2264" i="2" l="1"/>
  <c r="G2264" i="2" s="1"/>
  <c r="H2264" i="2"/>
  <c r="I2264" i="2"/>
  <c r="J2263" i="2"/>
  <c r="K2263" i="2" s="1"/>
  <c r="E2265" i="2" l="1"/>
  <c r="G2265" i="2" s="1"/>
  <c r="H2265" i="2"/>
  <c r="I2265" i="2"/>
  <c r="J2264" i="2"/>
  <c r="K2264" i="2" s="1"/>
  <c r="F2266" i="2" l="1"/>
  <c r="G2266" i="2" s="1"/>
  <c r="H2266" i="2"/>
  <c r="I2266" i="2"/>
  <c r="J2265" i="2"/>
  <c r="K2265" i="2" s="1"/>
  <c r="H2267" i="2" l="1"/>
  <c r="I2267" i="2"/>
  <c r="J2266" i="2"/>
  <c r="K2266" i="2" s="1"/>
  <c r="E2267" i="2"/>
  <c r="G2267" i="2" s="1"/>
  <c r="H2268" i="2" l="1"/>
  <c r="I2268" i="2"/>
  <c r="J2267" i="2"/>
  <c r="E2268" i="2"/>
  <c r="G2268" i="2" s="1"/>
  <c r="K2267" i="2"/>
  <c r="H2269" i="2" l="1"/>
  <c r="I2269" i="2"/>
  <c r="J2268" i="2"/>
  <c r="F2269" i="2"/>
  <c r="G2269" i="2" s="1"/>
  <c r="K2268" i="2"/>
  <c r="F2270" i="2" l="1"/>
  <c r="G2270" i="2" s="1"/>
  <c r="H2270" i="2"/>
  <c r="I2270" i="2"/>
  <c r="J2269" i="2"/>
  <c r="K2269" i="2"/>
  <c r="K2270" i="2" l="1"/>
  <c r="F2271" i="2"/>
  <c r="G2271" i="2" s="1"/>
  <c r="H2271" i="2"/>
  <c r="I2271" i="2"/>
  <c r="J2270" i="2"/>
  <c r="E2272" i="2" l="1"/>
  <c r="G2272" i="2" s="1"/>
  <c r="H2272" i="2"/>
  <c r="I2272" i="2"/>
  <c r="J2271" i="2"/>
  <c r="K2271" i="2" s="1"/>
  <c r="E2273" i="2" l="1"/>
  <c r="G2273" i="2" s="1"/>
  <c r="H2273" i="2"/>
  <c r="I2273" i="2"/>
  <c r="J2272" i="2"/>
  <c r="K2272" i="2" s="1"/>
  <c r="F2274" i="2" l="1"/>
  <c r="G2274" i="2" s="1"/>
  <c r="H2274" i="2"/>
  <c r="I2274" i="2"/>
  <c r="J2273" i="2"/>
  <c r="K2273" i="2" s="1"/>
  <c r="H2275" i="2" l="1"/>
  <c r="I2275" i="2"/>
  <c r="J2274" i="2"/>
  <c r="K2274" i="2" s="1"/>
  <c r="F2275" i="2"/>
  <c r="G2275" i="2" s="1"/>
  <c r="H2276" i="2" l="1"/>
  <c r="I2276" i="2"/>
  <c r="J2275" i="2"/>
  <c r="E2276" i="2"/>
  <c r="G2276" i="2" s="1"/>
  <c r="K2275" i="2"/>
  <c r="H2277" i="2" l="1"/>
  <c r="I2277" i="2"/>
  <c r="J2276" i="2"/>
  <c r="E2277" i="2"/>
  <c r="G2277" i="2" s="1"/>
  <c r="K2276" i="2"/>
  <c r="F2278" i="2" l="1"/>
  <c r="G2278" i="2" s="1"/>
  <c r="H2278" i="2"/>
  <c r="I2278" i="2"/>
  <c r="J2277" i="2"/>
  <c r="K2277" i="2"/>
  <c r="E2279" i="2" l="1"/>
  <c r="G2279" i="2" s="1"/>
  <c r="H2279" i="2"/>
  <c r="I2279" i="2"/>
  <c r="J2278" i="2"/>
  <c r="K2278" i="2" s="1"/>
  <c r="E2280" i="2" l="1"/>
  <c r="G2280" i="2" s="1"/>
  <c r="H2280" i="2"/>
  <c r="I2280" i="2"/>
  <c r="J2279" i="2"/>
  <c r="K2279" i="2" s="1"/>
  <c r="F2281" i="2" l="1"/>
  <c r="G2281" i="2" s="1"/>
  <c r="H2281" i="2"/>
  <c r="I2281" i="2"/>
  <c r="J2280" i="2"/>
  <c r="K2280" i="2" s="1"/>
  <c r="E2282" i="2" l="1"/>
  <c r="G2282" i="2" s="1"/>
  <c r="H2282" i="2"/>
  <c r="I2282" i="2"/>
  <c r="J2281" i="2"/>
  <c r="K2281" i="2" s="1"/>
  <c r="I2283" i="2" l="1"/>
  <c r="H2283" i="2"/>
  <c r="J2282" i="2"/>
  <c r="K2282" i="2" s="1"/>
  <c r="F2283" i="2"/>
  <c r="G2283" i="2" s="1"/>
  <c r="I2284" i="2" l="1"/>
  <c r="H2284" i="2"/>
  <c r="J2283" i="2"/>
  <c r="E2284" i="2"/>
  <c r="G2284" i="2" s="1"/>
  <c r="K2283" i="2"/>
  <c r="H2285" i="2" l="1"/>
  <c r="I2285" i="2"/>
  <c r="J2284" i="2"/>
  <c r="F2285" i="2"/>
  <c r="G2285" i="2" s="1"/>
  <c r="K2284" i="2"/>
  <c r="E2286" i="2" l="1"/>
  <c r="G2286" i="2" s="1"/>
  <c r="H2286" i="2"/>
  <c r="I2286" i="2"/>
  <c r="J2285" i="2"/>
  <c r="K2285" i="2"/>
  <c r="E2287" i="2" l="1"/>
  <c r="G2287" i="2" s="1"/>
  <c r="H2287" i="2"/>
  <c r="I2287" i="2"/>
  <c r="J2286" i="2"/>
  <c r="K2286" i="2" s="1"/>
  <c r="E2288" i="2" l="1"/>
  <c r="G2288" i="2" s="1"/>
  <c r="H2288" i="2"/>
  <c r="I2288" i="2"/>
  <c r="J2287" i="2"/>
  <c r="K2287" i="2" s="1"/>
  <c r="F2289" i="2" l="1"/>
  <c r="G2289" i="2" s="1"/>
  <c r="H2289" i="2"/>
  <c r="I2289" i="2"/>
  <c r="J2288" i="2"/>
  <c r="K2288" i="2" s="1"/>
  <c r="E2290" i="2" l="1"/>
  <c r="G2290" i="2" s="1"/>
  <c r="H2290" i="2"/>
  <c r="I2290" i="2"/>
  <c r="J2289" i="2"/>
  <c r="K2289" i="2" s="1"/>
  <c r="I2291" i="2" l="1"/>
  <c r="H2291" i="2"/>
  <c r="J2290" i="2"/>
  <c r="K2290" i="2" s="1"/>
  <c r="E2291" i="2"/>
  <c r="G2291" i="2" s="1"/>
  <c r="I2292" i="2" l="1"/>
  <c r="H2292" i="2"/>
  <c r="J2291" i="2"/>
  <c r="K2291" i="2" s="1"/>
  <c r="E2292" i="2"/>
  <c r="G2292" i="2" s="1"/>
  <c r="H2293" i="2" l="1"/>
  <c r="I2293" i="2"/>
  <c r="J2292" i="2"/>
  <c r="K2292" i="2" s="1"/>
  <c r="E2293" i="2"/>
  <c r="G2293" i="2" s="1"/>
  <c r="E2294" i="2" l="1"/>
  <c r="G2294" i="2" s="1"/>
  <c r="H2294" i="2"/>
  <c r="I2294" i="2"/>
  <c r="J2293" i="2"/>
  <c r="K2293" i="2"/>
  <c r="E2295" i="2" l="1"/>
  <c r="G2295" i="2" s="1"/>
  <c r="H2295" i="2"/>
  <c r="I2295" i="2"/>
  <c r="J2294" i="2"/>
  <c r="K2294" i="2" s="1"/>
  <c r="F2296" i="2" l="1"/>
  <c r="G2296" i="2" s="1"/>
  <c r="H2296" i="2"/>
  <c r="I2296" i="2"/>
  <c r="J2295" i="2"/>
  <c r="K2295" i="2" s="1"/>
  <c r="F2297" i="2" l="1"/>
  <c r="G2297" i="2" s="1"/>
  <c r="H2297" i="2"/>
  <c r="I2297" i="2"/>
  <c r="J2296" i="2"/>
  <c r="K2296" i="2" s="1"/>
  <c r="F2298" i="2" l="1"/>
  <c r="G2298" i="2" s="1"/>
  <c r="H2298" i="2"/>
  <c r="I2298" i="2"/>
  <c r="J2297" i="2"/>
  <c r="K2297" i="2" s="1"/>
  <c r="H2299" i="2" l="1"/>
  <c r="I2299" i="2"/>
  <c r="J2298" i="2"/>
  <c r="K2298" i="2" s="1"/>
  <c r="F2299" i="2"/>
  <c r="G2299" i="2" s="1"/>
  <c r="H2300" i="2" l="1"/>
  <c r="I2300" i="2"/>
  <c r="J2299" i="2"/>
  <c r="K2299" i="2" s="1"/>
  <c r="E2300" i="2"/>
  <c r="G2300" i="2" s="1"/>
  <c r="H2301" i="2" l="1"/>
  <c r="I2301" i="2"/>
  <c r="J2300" i="2"/>
  <c r="K2300" i="2" s="1"/>
  <c r="F2301" i="2"/>
  <c r="G2301" i="2" s="1"/>
  <c r="F2302" i="2" l="1"/>
  <c r="G2302" i="2" s="1"/>
  <c r="H2302" i="2"/>
  <c r="I2302" i="2"/>
  <c r="J2301" i="2"/>
  <c r="K2301" i="2" s="1"/>
  <c r="E2303" i="2" l="1"/>
  <c r="G2303" i="2" s="1"/>
  <c r="H2303" i="2"/>
  <c r="I2303" i="2"/>
  <c r="J2302" i="2"/>
  <c r="K2302" i="2" s="1"/>
  <c r="F2304" i="2" l="1"/>
  <c r="G2304" i="2" s="1"/>
  <c r="H2304" i="2"/>
  <c r="I2304" i="2"/>
  <c r="J2303" i="2"/>
  <c r="K2303" i="2" s="1"/>
  <c r="E2305" i="2" l="1"/>
  <c r="G2305" i="2" s="1"/>
  <c r="H2305" i="2"/>
  <c r="I2305" i="2"/>
  <c r="J2304" i="2"/>
  <c r="K2304" i="2" s="1"/>
  <c r="E2306" i="2" l="1"/>
  <c r="G2306" i="2" s="1"/>
  <c r="H2306" i="2"/>
  <c r="I2306" i="2"/>
  <c r="J2305" i="2"/>
  <c r="K2305" i="2" s="1"/>
  <c r="H2307" i="2" l="1"/>
  <c r="I2307" i="2"/>
  <c r="J2306" i="2"/>
  <c r="K2306" i="2" s="1"/>
  <c r="F2307" i="2"/>
  <c r="G2307" i="2" s="1"/>
  <c r="H2308" i="2" l="1"/>
  <c r="I2308" i="2"/>
  <c r="J2307" i="2"/>
  <c r="E2308" i="2"/>
  <c r="G2308" i="2" s="1"/>
  <c r="K2307" i="2"/>
  <c r="H2309" i="2" l="1"/>
  <c r="I2309" i="2"/>
  <c r="J2308" i="2"/>
  <c r="K2308" i="2" s="1"/>
  <c r="F2309" i="2"/>
  <c r="G2309" i="2" s="1"/>
  <c r="E2310" i="2" l="1"/>
  <c r="G2310" i="2" s="1"/>
  <c r="H2310" i="2"/>
  <c r="I2310" i="2"/>
  <c r="J2309" i="2"/>
  <c r="K2309" i="2" s="1"/>
  <c r="F2311" i="2" l="1"/>
  <c r="G2311" i="2" s="1"/>
  <c r="H2311" i="2"/>
  <c r="I2311" i="2"/>
  <c r="J2310" i="2"/>
  <c r="K2310" i="2" s="1"/>
  <c r="F2312" i="2" l="1"/>
  <c r="G2312" i="2" s="1"/>
  <c r="H2312" i="2"/>
  <c r="I2312" i="2"/>
  <c r="J2311" i="2"/>
  <c r="K2311" i="2" s="1"/>
  <c r="E2313" i="2" l="1"/>
  <c r="G2313" i="2" s="1"/>
  <c r="H2313" i="2"/>
  <c r="I2313" i="2"/>
  <c r="J2312" i="2"/>
  <c r="K2312" i="2"/>
  <c r="E2314" i="2" l="1"/>
  <c r="G2314" i="2" s="1"/>
  <c r="H2314" i="2"/>
  <c r="I2314" i="2"/>
  <c r="J2313" i="2"/>
  <c r="K2313" i="2" s="1"/>
  <c r="I2315" i="2" l="1"/>
  <c r="H2315" i="2"/>
  <c r="J2314" i="2"/>
  <c r="K2314" i="2" s="1"/>
  <c r="E2315" i="2"/>
  <c r="G2315" i="2" s="1"/>
  <c r="I2316" i="2" l="1"/>
  <c r="H2316" i="2"/>
  <c r="J2315" i="2"/>
  <c r="F2316" i="2"/>
  <c r="G2316" i="2" s="1"/>
  <c r="K2315" i="2"/>
  <c r="H2317" i="2" l="1"/>
  <c r="I2317" i="2"/>
  <c r="J2316" i="2"/>
  <c r="E2317" i="2"/>
  <c r="G2317" i="2" s="1"/>
  <c r="K2316" i="2"/>
  <c r="F2318" i="2" l="1"/>
  <c r="G2318" i="2" s="1"/>
  <c r="H2318" i="2"/>
  <c r="I2318" i="2"/>
  <c r="J2317" i="2"/>
  <c r="K2317" i="2"/>
  <c r="F2319" i="2" l="1"/>
  <c r="G2319" i="2" s="1"/>
  <c r="H2319" i="2"/>
  <c r="I2319" i="2"/>
  <c r="J2318" i="2"/>
  <c r="K2318" i="2" s="1"/>
  <c r="F2320" i="2" l="1"/>
  <c r="G2320" i="2" s="1"/>
  <c r="H2320" i="2"/>
  <c r="I2320" i="2"/>
  <c r="J2319" i="2"/>
  <c r="K2319" i="2" s="1"/>
  <c r="E2321" i="2" l="1"/>
  <c r="G2321" i="2" s="1"/>
  <c r="H2321" i="2"/>
  <c r="I2321" i="2"/>
  <c r="J2320" i="2"/>
  <c r="K2320" i="2" s="1"/>
  <c r="E2322" i="2" l="1"/>
  <c r="G2322" i="2" s="1"/>
  <c r="H2322" i="2"/>
  <c r="I2322" i="2"/>
  <c r="J2321" i="2"/>
  <c r="K2321" i="2" s="1"/>
  <c r="I2323" i="2" l="1"/>
  <c r="H2323" i="2"/>
  <c r="J2322" i="2"/>
  <c r="K2322" i="2" s="1"/>
  <c r="F2323" i="2"/>
  <c r="G2323" i="2" s="1"/>
  <c r="I2324" i="2" l="1"/>
  <c r="H2324" i="2"/>
  <c r="J2323" i="2"/>
  <c r="E2324" i="2"/>
  <c r="G2324" i="2" s="1"/>
  <c r="K2323" i="2"/>
  <c r="H2325" i="2" l="1"/>
  <c r="I2325" i="2"/>
  <c r="J2324" i="2"/>
  <c r="K2324" i="2" s="1"/>
  <c r="F2325" i="2"/>
  <c r="G2325" i="2" s="1"/>
  <c r="F2326" i="2" l="1"/>
  <c r="G2326" i="2" s="1"/>
  <c r="H2326" i="2"/>
  <c r="I2326" i="2"/>
  <c r="J2325" i="2"/>
  <c r="K2325" i="2" s="1"/>
  <c r="E2327" i="2" l="1"/>
  <c r="G2327" i="2" s="1"/>
  <c r="H2327" i="2"/>
  <c r="I2327" i="2"/>
  <c r="J2326" i="2"/>
  <c r="K2326" i="2" s="1"/>
  <c r="K2327" i="2" l="1"/>
  <c r="F2328" i="2"/>
  <c r="G2328" i="2" s="1"/>
  <c r="H2328" i="2"/>
  <c r="I2328" i="2"/>
  <c r="J2327" i="2"/>
  <c r="E2329" i="2" l="1"/>
  <c r="G2329" i="2" s="1"/>
  <c r="H2329" i="2"/>
  <c r="I2329" i="2"/>
  <c r="J2328" i="2"/>
  <c r="K2328" i="2" s="1"/>
  <c r="E2330" i="2" l="1"/>
  <c r="G2330" i="2" s="1"/>
  <c r="H2330" i="2"/>
  <c r="I2330" i="2"/>
  <c r="J2329" i="2"/>
  <c r="K2329" i="2" s="1"/>
  <c r="H2331" i="2" l="1"/>
  <c r="I2331" i="2"/>
  <c r="J2330" i="2"/>
  <c r="F2331" i="2"/>
  <c r="G2331" i="2" s="1"/>
  <c r="K2330" i="2"/>
  <c r="H2332" i="2" l="1"/>
  <c r="I2332" i="2"/>
  <c r="J2331" i="2"/>
  <c r="F2332" i="2"/>
  <c r="G2332" i="2" s="1"/>
  <c r="K2331" i="2"/>
  <c r="H2333" i="2" l="1"/>
  <c r="I2333" i="2"/>
  <c r="J2332" i="2"/>
  <c r="F2333" i="2"/>
  <c r="G2333" i="2" s="1"/>
  <c r="K2332" i="2"/>
  <c r="E2334" i="2" l="1"/>
  <c r="G2334" i="2" s="1"/>
  <c r="H2334" i="2"/>
  <c r="I2334" i="2"/>
  <c r="J2333" i="2"/>
  <c r="K2333" i="2"/>
  <c r="E2335" i="2" l="1"/>
  <c r="G2335" i="2" s="1"/>
  <c r="H2335" i="2"/>
  <c r="I2335" i="2"/>
  <c r="J2334" i="2"/>
  <c r="K2334" i="2" s="1"/>
  <c r="K2335" i="2" l="1"/>
  <c r="F2336" i="2"/>
  <c r="G2336" i="2" s="1"/>
  <c r="H2336" i="2"/>
  <c r="I2336" i="2"/>
  <c r="J2335" i="2"/>
  <c r="E2337" i="2" l="1"/>
  <c r="G2337" i="2" s="1"/>
  <c r="H2337" i="2"/>
  <c r="I2337" i="2"/>
  <c r="J2336" i="2"/>
  <c r="K2336" i="2" s="1"/>
  <c r="E2338" i="2" l="1"/>
  <c r="G2338" i="2" s="1"/>
  <c r="H2338" i="2"/>
  <c r="I2338" i="2"/>
  <c r="J2337" i="2"/>
  <c r="K2337" i="2" s="1"/>
  <c r="H2339" i="2" l="1"/>
  <c r="I2339" i="2"/>
  <c r="J2338" i="2"/>
  <c r="K2338" i="2" s="1"/>
  <c r="E2339" i="2"/>
  <c r="G2339" i="2" s="1"/>
  <c r="H2340" i="2" l="1"/>
  <c r="I2340" i="2"/>
  <c r="J2339" i="2"/>
  <c r="K2339" i="2" s="1"/>
  <c r="F2340" i="2"/>
  <c r="G2340" i="2" s="1"/>
  <c r="H2341" i="2" l="1"/>
  <c r="I2341" i="2"/>
  <c r="J2340" i="2"/>
  <c r="K2340" i="2" s="1"/>
  <c r="F2341" i="2"/>
  <c r="G2341" i="2" s="1"/>
  <c r="F2342" i="2" l="1"/>
  <c r="G2342" i="2" s="1"/>
  <c r="H2342" i="2"/>
  <c r="I2342" i="2"/>
  <c r="J2341" i="2"/>
  <c r="K2341" i="2" s="1"/>
  <c r="E2343" i="2" l="1"/>
  <c r="G2343" i="2" s="1"/>
  <c r="H2343" i="2"/>
  <c r="I2343" i="2"/>
  <c r="J2342" i="2"/>
  <c r="K2342" i="2" s="1"/>
  <c r="F2344" i="2" l="1"/>
  <c r="G2344" i="2" s="1"/>
  <c r="H2344" i="2"/>
  <c r="I2344" i="2"/>
  <c r="J2343" i="2"/>
  <c r="K2343" i="2" s="1"/>
  <c r="F2345" i="2" l="1"/>
  <c r="G2345" i="2" s="1"/>
  <c r="H2345" i="2"/>
  <c r="I2345" i="2"/>
  <c r="J2344" i="2"/>
  <c r="K2344" i="2" s="1"/>
  <c r="E2346" i="2" l="1"/>
  <c r="G2346" i="2" s="1"/>
  <c r="H2346" i="2"/>
  <c r="I2346" i="2"/>
  <c r="J2345" i="2"/>
  <c r="K2345" i="2" s="1"/>
  <c r="I2347" i="2" l="1"/>
  <c r="H2347" i="2"/>
  <c r="J2346" i="2"/>
  <c r="K2346" i="2" s="1"/>
  <c r="F2347" i="2"/>
  <c r="G2347" i="2" s="1"/>
  <c r="I2348" i="2" l="1"/>
  <c r="H2348" i="2"/>
  <c r="J2347" i="2"/>
  <c r="K2347" i="2" s="1"/>
  <c r="F2348" i="2"/>
  <c r="G2348" i="2" s="1"/>
  <c r="H2349" i="2" l="1"/>
  <c r="I2349" i="2"/>
  <c r="J2348" i="2"/>
  <c r="F2349" i="2"/>
  <c r="G2349" i="2" s="1"/>
  <c r="K2348" i="2"/>
  <c r="F2350" i="2" l="1"/>
  <c r="G2350" i="2" s="1"/>
  <c r="H2350" i="2"/>
  <c r="I2350" i="2"/>
  <c r="J2349" i="2"/>
  <c r="K2349" i="2"/>
  <c r="E2351" i="2" l="1"/>
  <c r="G2351" i="2" s="1"/>
  <c r="H2351" i="2"/>
  <c r="J2350" i="2"/>
  <c r="K2350" i="2" s="1"/>
  <c r="I2351" i="2"/>
  <c r="F2352" i="2" l="1"/>
  <c r="G2352" i="2" s="1"/>
  <c r="H2352" i="2"/>
  <c r="I2352" i="2"/>
  <c r="J2351" i="2"/>
  <c r="K2351" i="2"/>
  <c r="F2353" i="2" l="1"/>
  <c r="G2353" i="2" s="1"/>
  <c r="H2353" i="2"/>
  <c r="I2353" i="2"/>
  <c r="J2352" i="2"/>
  <c r="K2352" i="2" s="1"/>
  <c r="E2354" i="2" l="1"/>
  <c r="G2354" i="2" s="1"/>
  <c r="H2354" i="2"/>
  <c r="I2354" i="2"/>
  <c r="J2353" i="2"/>
  <c r="K2353" i="2"/>
  <c r="I2355" i="2" l="1"/>
  <c r="H2355" i="2"/>
  <c r="J2354" i="2"/>
  <c r="K2354" i="2" s="1"/>
  <c r="F2355" i="2"/>
  <c r="G2355" i="2" s="1"/>
  <c r="I2356" i="2" l="1"/>
  <c r="J2355" i="2"/>
  <c r="H2356" i="2"/>
  <c r="F2356" i="2"/>
  <c r="G2356" i="2" s="1"/>
  <c r="K2355" i="2"/>
  <c r="H2357" i="2" l="1"/>
  <c r="I2357" i="2"/>
  <c r="J2356" i="2"/>
  <c r="F2357" i="2"/>
  <c r="G2357" i="2" s="1"/>
  <c r="K2356" i="2"/>
  <c r="F2358" i="2" l="1"/>
  <c r="G2358" i="2" s="1"/>
  <c r="H2358" i="2"/>
  <c r="I2358" i="2"/>
  <c r="J2357" i="2"/>
  <c r="K2357" i="2"/>
  <c r="E2359" i="2" l="1"/>
  <c r="G2359" i="2" s="1"/>
  <c r="H2359" i="2"/>
  <c r="I2359" i="2"/>
  <c r="J2358" i="2"/>
  <c r="K2358" i="2" s="1"/>
  <c r="E2360" i="2" l="1"/>
  <c r="G2360" i="2" s="1"/>
  <c r="H2360" i="2"/>
  <c r="I2360" i="2"/>
  <c r="J2359" i="2"/>
  <c r="K2359" i="2"/>
  <c r="K2360" i="2" l="1"/>
  <c r="F2361" i="2"/>
  <c r="G2361" i="2" s="1"/>
  <c r="H2361" i="2"/>
  <c r="I2361" i="2"/>
  <c r="J2360" i="2"/>
  <c r="F2362" i="2" l="1"/>
  <c r="G2362" i="2" s="1"/>
  <c r="H2362" i="2"/>
  <c r="I2362" i="2"/>
  <c r="J2361" i="2"/>
  <c r="K2361" i="2" s="1"/>
  <c r="H2363" i="2" l="1"/>
  <c r="I2363" i="2"/>
  <c r="J2362" i="2"/>
  <c r="K2362" i="2" s="1"/>
  <c r="F2363" i="2"/>
  <c r="G2363" i="2" s="1"/>
  <c r="H2364" i="2" l="1"/>
  <c r="I2364" i="2"/>
  <c r="J2363" i="2"/>
  <c r="E2364" i="2"/>
  <c r="G2364" i="2" s="1"/>
  <c r="K2363" i="2"/>
  <c r="H2365" i="2" l="1"/>
  <c r="I2365" i="2"/>
  <c r="J2364" i="2"/>
  <c r="F2365" i="2"/>
  <c r="G2365" i="2" s="1"/>
  <c r="K2364" i="2"/>
  <c r="E2366" i="2" l="1"/>
  <c r="G2366" i="2" s="1"/>
  <c r="H2366" i="2"/>
  <c r="I2366" i="2"/>
  <c r="J2365" i="2"/>
  <c r="K2365" i="2"/>
  <c r="E2367" i="2" l="1"/>
  <c r="G2367" i="2" s="1"/>
  <c r="H2367" i="2"/>
  <c r="I2367" i="2"/>
  <c r="J2366" i="2"/>
  <c r="K2366" i="2" s="1"/>
  <c r="F2368" i="2" l="1"/>
  <c r="G2368" i="2" s="1"/>
  <c r="H2368" i="2"/>
  <c r="I2368" i="2"/>
  <c r="J2367" i="2"/>
  <c r="K2367" i="2" s="1"/>
  <c r="F2369" i="2" l="1"/>
  <c r="G2369" i="2" s="1"/>
  <c r="H2369" i="2"/>
  <c r="I2369" i="2"/>
  <c r="J2368" i="2"/>
  <c r="K2368" i="2" s="1"/>
  <c r="E2370" i="2" l="1"/>
  <c r="G2370" i="2" s="1"/>
  <c r="H2370" i="2"/>
  <c r="I2370" i="2"/>
  <c r="J2369" i="2"/>
  <c r="K2369" i="2" s="1"/>
  <c r="H2371" i="2" l="1"/>
  <c r="I2371" i="2"/>
  <c r="J2370" i="2"/>
  <c r="K2370" i="2" s="1"/>
  <c r="E2371" i="2"/>
  <c r="G2371" i="2" s="1"/>
  <c r="H2372" i="2" l="1"/>
  <c r="I2372" i="2"/>
  <c r="J2371" i="2"/>
  <c r="F2372" i="2"/>
  <c r="G2372" i="2" s="1"/>
  <c r="K2371" i="2"/>
  <c r="H2373" i="2" l="1"/>
  <c r="I2373" i="2"/>
  <c r="J2372" i="2"/>
  <c r="F2373" i="2"/>
  <c r="G2373" i="2" s="1"/>
  <c r="K2372" i="2"/>
  <c r="F2374" i="2" l="1"/>
  <c r="G2374" i="2" s="1"/>
  <c r="H2374" i="2"/>
  <c r="I2374" i="2"/>
  <c r="J2373" i="2"/>
  <c r="K2373" i="2"/>
  <c r="F2375" i="2" l="1"/>
  <c r="G2375" i="2" s="1"/>
  <c r="H2375" i="2"/>
  <c r="I2375" i="2"/>
  <c r="J2374" i="2"/>
  <c r="K2374" i="2" s="1"/>
  <c r="F2376" i="2" l="1"/>
  <c r="G2376" i="2" s="1"/>
  <c r="H2376" i="2"/>
  <c r="I2376" i="2"/>
  <c r="J2375" i="2"/>
  <c r="K2375" i="2" s="1"/>
  <c r="F2377" i="2" l="1"/>
  <c r="G2377" i="2" s="1"/>
  <c r="H2377" i="2"/>
  <c r="I2377" i="2"/>
  <c r="J2376" i="2"/>
  <c r="K2376" i="2"/>
  <c r="F2378" i="2" l="1"/>
  <c r="G2378" i="2" s="1"/>
  <c r="H2378" i="2"/>
  <c r="I2378" i="2"/>
  <c r="J2377" i="2"/>
  <c r="K2377" i="2" s="1"/>
  <c r="I2379" i="2" l="1"/>
  <c r="H2379" i="2"/>
  <c r="J2378" i="2"/>
  <c r="K2378" i="2" s="1"/>
  <c r="E2379" i="2"/>
  <c r="G2379" i="2" s="1"/>
  <c r="I2380" i="2" l="1"/>
  <c r="H2380" i="2"/>
  <c r="J2379" i="2"/>
  <c r="K2379" i="2" s="1"/>
  <c r="E2380" i="2"/>
  <c r="G2380" i="2" s="1"/>
  <c r="H2381" i="2" l="1"/>
  <c r="I2381" i="2"/>
  <c r="J2380" i="2"/>
  <c r="K2380" i="2" s="1"/>
  <c r="F2381" i="2"/>
  <c r="G2381" i="2" s="1"/>
  <c r="E2382" i="2" l="1"/>
  <c r="G2382" i="2" s="1"/>
  <c r="H2382" i="2"/>
  <c r="I2382" i="2"/>
  <c r="J2381" i="2"/>
  <c r="K2381" i="2"/>
  <c r="E2383" i="2" l="1"/>
  <c r="G2383" i="2" s="1"/>
  <c r="H2383" i="2"/>
  <c r="I2383" i="2"/>
  <c r="J2382" i="2"/>
  <c r="K2382" i="2" s="1"/>
  <c r="F2384" i="2" l="1"/>
  <c r="G2384" i="2" s="1"/>
  <c r="H2384" i="2"/>
  <c r="I2384" i="2"/>
  <c r="J2383" i="2"/>
  <c r="K2383" i="2" s="1"/>
  <c r="E2385" i="2" l="1"/>
  <c r="G2385" i="2" s="1"/>
  <c r="H2385" i="2"/>
  <c r="I2385" i="2"/>
  <c r="J2384" i="2"/>
  <c r="K2384" i="2" s="1"/>
  <c r="E2386" i="2" l="1"/>
  <c r="G2386" i="2" s="1"/>
  <c r="H2386" i="2"/>
  <c r="I2386" i="2"/>
  <c r="J2385" i="2"/>
  <c r="K2385" i="2" s="1"/>
  <c r="I2387" i="2" l="1"/>
  <c r="H2387" i="2"/>
  <c r="J2386" i="2"/>
  <c r="K2386" i="2" s="1"/>
  <c r="E2387" i="2"/>
  <c r="G2387" i="2" s="1"/>
  <c r="I2388" i="2" l="1"/>
  <c r="H2388" i="2"/>
  <c r="J2387" i="2"/>
  <c r="E2388" i="2"/>
  <c r="G2388" i="2" s="1"/>
  <c r="K2387" i="2"/>
  <c r="H2389" i="2" l="1"/>
  <c r="I2389" i="2"/>
  <c r="J2388" i="2"/>
  <c r="F2389" i="2"/>
  <c r="G2389" i="2" s="1"/>
  <c r="K2388" i="2"/>
  <c r="F2390" i="2" l="1"/>
  <c r="G2390" i="2" s="1"/>
  <c r="H2390" i="2"/>
  <c r="I2390" i="2"/>
  <c r="J2389" i="2"/>
  <c r="K2389" i="2"/>
  <c r="F2391" i="2" l="1"/>
  <c r="G2391" i="2" s="1"/>
  <c r="H2391" i="2"/>
  <c r="I2391" i="2"/>
  <c r="J2390" i="2"/>
  <c r="K2390" i="2" s="1"/>
  <c r="E2392" i="2" l="1"/>
  <c r="G2392" i="2" s="1"/>
  <c r="H2392" i="2"/>
  <c r="I2392" i="2"/>
  <c r="J2391" i="2"/>
  <c r="K2391" i="2"/>
  <c r="F2393" i="2" l="1"/>
  <c r="G2393" i="2" s="1"/>
  <c r="H2393" i="2"/>
  <c r="I2393" i="2"/>
  <c r="J2392" i="2"/>
  <c r="K2392" i="2" s="1"/>
  <c r="F2394" i="2" l="1"/>
  <c r="G2394" i="2" s="1"/>
  <c r="H2394" i="2"/>
  <c r="I2394" i="2"/>
  <c r="J2393" i="2"/>
  <c r="K2393" i="2" s="1"/>
  <c r="H2395" i="2" l="1"/>
  <c r="I2395" i="2"/>
  <c r="J2394" i="2"/>
  <c r="K2394" i="2" s="1"/>
  <c r="E2395" i="2"/>
  <c r="G2395" i="2" s="1"/>
  <c r="H2396" i="2" l="1"/>
  <c r="I2396" i="2"/>
  <c r="J2395" i="2"/>
  <c r="E2396" i="2"/>
  <c r="G2396" i="2" s="1"/>
  <c r="K2395" i="2"/>
  <c r="H2397" i="2" l="1"/>
  <c r="I2397" i="2"/>
  <c r="J2396" i="2"/>
  <c r="E2397" i="2"/>
  <c r="G2397" i="2" s="1"/>
  <c r="K2396" i="2"/>
  <c r="F2398" i="2" l="1"/>
  <c r="G2398" i="2" s="1"/>
  <c r="H2398" i="2"/>
  <c r="I2398" i="2"/>
  <c r="J2397" i="2"/>
  <c r="K2397" i="2"/>
  <c r="F2399" i="2" l="1"/>
  <c r="G2399" i="2" s="1"/>
  <c r="H2399" i="2"/>
  <c r="I2399" i="2"/>
  <c r="J2398" i="2"/>
  <c r="K2398" i="2" s="1"/>
  <c r="E2400" i="2" l="1"/>
  <c r="G2400" i="2" s="1"/>
  <c r="H2400" i="2"/>
  <c r="I2400" i="2"/>
  <c r="J2399" i="2"/>
  <c r="K2399" i="2" s="1"/>
  <c r="F2401" i="2" l="1"/>
  <c r="G2401" i="2" s="1"/>
  <c r="H2401" i="2"/>
  <c r="I2401" i="2"/>
  <c r="J2400" i="2"/>
  <c r="K2400" i="2" s="1"/>
  <c r="E2402" i="2" l="1"/>
  <c r="G2402" i="2" s="1"/>
  <c r="H2402" i="2"/>
  <c r="I2402" i="2"/>
  <c r="J2401" i="2"/>
  <c r="K2401" i="2" s="1"/>
  <c r="H2403" i="2" l="1"/>
  <c r="I2403" i="2"/>
  <c r="J2402" i="2"/>
  <c r="K2402" i="2" s="1"/>
  <c r="E2403" i="2"/>
  <c r="G2403" i="2" s="1"/>
  <c r="H2404" i="2" l="1"/>
  <c r="I2404" i="2"/>
  <c r="J2403" i="2"/>
  <c r="E2404" i="2"/>
  <c r="G2404" i="2" s="1"/>
  <c r="K2403" i="2"/>
  <c r="H2405" i="2" l="1"/>
  <c r="I2405" i="2"/>
  <c r="J2404" i="2"/>
  <c r="F2405" i="2"/>
  <c r="G2405" i="2" s="1"/>
  <c r="K2404" i="2"/>
  <c r="F2406" i="2" l="1"/>
  <c r="G2406" i="2" s="1"/>
  <c r="H2406" i="2"/>
  <c r="I2406" i="2"/>
  <c r="J2405" i="2"/>
  <c r="K2405" i="2"/>
  <c r="F2407" i="2" l="1"/>
  <c r="G2407" i="2" s="1"/>
  <c r="H2407" i="2"/>
  <c r="I2407" i="2"/>
  <c r="J2406" i="2"/>
  <c r="K2406" i="2" s="1"/>
  <c r="F2408" i="2" l="1"/>
  <c r="G2408" i="2" s="1"/>
  <c r="H2408" i="2"/>
  <c r="I2408" i="2"/>
  <c r="J2407" i="2"/>
  <c r="K2407" i="2"/>
  <c r="E2409" i="2" l="1"/>
  <c r="G2409" i="2" s="1"/>
  <c r="H2409" i="2"/>
  <c r="I2409" i="2"/>
  <c r="J2408" i="2"/>
  <c r="K2408" i="2" s="1"/>
  <c r="E2410" i="2" l="1"/>
  <c r="G2410" i="2" s="1"/>
  <c r="H2410" i="2"/>
  <c r="I2410" i="2"/>
  <c r="J2409" i="2"/>
  <c r="K2409" i="2" s="1"/>
  <c r="K2410" i="2" l="1"/>
  <c r="I2411" i="2"/>
  <c r="H2411" i="2"/>
  <c r="J2410" i="2"/>
  <c r="E2411" i="2"/>
  <c r="G2411" i="2" s="1"/>
  <c r="I2412" i="2" l="1"/>
  <c r="H2412" i="2"/>
  <c r="J2411" i="2"/>
  <c r="E2412" i="2"/>
  <c r="G2412" i="2" s="1"/>
  <c r="K2411" i="2"/>
  <c r="H2413" i="2" l="1"/>
  <c r="I2413" i="2"/>
  <c r="J2412" i="2"/>
  <c r="E2413" i="2"/>
  <c r="G2413" i="2" s="1"/>
  <c r="K2412" i="2"/>
  <c r="F2414" i="2" l="1"/>
  <c r="G2414" i="2" s="1"/>
  <c r="H2414" i="2"/>
  <c r="I2414" i="2"/>
  <c r="J2413" i="2"/>
  <c r="K2413" i="2" s="1"/>
  <c r="F2415" i="2" l="1"/>
  <c r="G2415" i="2" s="1"/>
  <c r="H2415" i="2"/>
  <c r="I2415" i="2"/>
  <c r="J2414" i="2"/>
  <c r="K2414" i="2" s="1"/>
  <c r="F2416" i="2" l="1"/>
  <c r="G2416" i="2" s="1"/>
  <c r="H2416" i="2"/>
  <c r="I2416" i="2"/>
  <c r="J2415" i="2"/>
  <c r="K2415" i="2"/>
  <c r="F2417" i="2" l="1"/>
  <c r="G2417" i="2" s="1"/>
  <c r="H2417" i="2"/>
  <c r="I2417" i="2"/>
  <c r="J2416" i="2"/>
  <c r="K2416" i="2" s="1"/>
  <c r="E2418" i="2" l="1"/>
  <c r="G2418" i="2" s="1"/>
  <c r="H2418" i="2"/>
  <c r="I2418" i="2"/>
  <c r="J2417" i="2"/>
  <c r="K2417" i="2" s="1"/>
  <c r="I2419" i="2" l="1"/>
  <c r="H2419" i="2"/>
  <c r="J2418" i="2"/>
  <c r="K2418" i="2" s="1"/>
  <c r="F2419" i="2"/>
  <c r="G2419" i="2" s="1"/>
  <c r="I2420" i="2" l="1"/>
  <c r="H2420" i="2"/>
  <c r="J2419" i="2"/>
  <c r="K2419" i="2" s="1"/>
  <c r="E2420" i="2"/>
  <c r="G2420" i="2" s="1"/>
  <c r="H2421" i="2" l="1"/>
  <c r="I2421" i="2"/>
  <c r="J2420" i="2"/>
  <c r="K2420" i="2" s="1"/>
  <c r="E2421" i="2"/>
  <c r="G2421" i="2" s="1"/>
  <c r="F2422" i="2" l="1"/>
  <c r="G2422" i="2" s="1"/>
  <c r="H2422" i="2"/>
  <c r="I2422" i="2"/>
  <c r="J2421" i="2"/>
  <c r="K2421" i="2"/>
  <c r="E2423" i="2" l="1"/>
  <c r="G2423" i="2" s="1"/>
  <c r="H2423" i="2"/>
  <c r="I2423" i="2"/>
  <c r="J2422" i="2"/>
  <c r="K2422" i="2" s="1"/>
  <c r="K2423" i="2" l="1"/>
  <c r="F2424" i="2"/>
  <c r="G2424" i="2" s="1"/>
  <c r="H2424" i="2"/>
  <c r="I2424" i="2"/>
  <c r="J2423" i="2"/>
  <c r="E2425" i="2" l="1"/>
  <c r="G2425" i="2" s="1"/>
  <c r="H2425" i="2"/>
  <c r="I2425" i="2"/>
  <c r="J2424" i="2"/>
  <c r="K2424" i="2" s="1"/>
  <c r="F2426" i="2" l="1"/>
  <c r="G2426" i="2" s="1"/>
  <c r="H2426" i="2"/>
  <c r="I2426" i="2"/>
  <c r="J2425" i="2"/>
  <c r="K2425" i="2" s="1"/>
  <c r="H2427" i="2" l="1"/>
  <c r="I2427" i="2"/>
  <c r="J2426" i="2"/>
  <c r="K2426" i="2" s="1"/>
  <c r="E2427" i="2"/>
  <c r="G2427" i="2" s="1"/>
  <c r="H2428" i="2" l="1"/>
  <c r="I2428" i="2"/>
  <c r="J2427" i="2"/>
  <c r="K2427" i="2" s="1"/>
  <c r="E2428" i="2"/>
  <c r="G2428" i="2" s="1"/>
  <c r="H2429" i="2" l="1"/>
  <c r="I2429" i="2"/>
  <c r="J2428" i="2"/>
  <c r="E2429" i="2"/>
  <c r="G2429" i="2" s="1"/>
  <c r="K2428" i="2"/>
  <c r="F2430" i="2" l="1"/>
  <c r="G2430" i="2" s="1"/>
  <c r="H2430" i="2"/>
  <c r="I2430" i="2"/>
  <c r="J2429" i="2"/>
  <c r="K2429" i="2"/>
  <c r="F2431" i="2" l="1"/>
  <c r="G2431" i="2" s="1"/>
  <c r="H2431" i="2"/>
  <c r="I2431" i="2"/>
  <c r="J2430" i="2"/>
  <c r="K2430" i="2" s="1"/>
  <c r="F2432" i="2" l="1"/>
  <c r="G2432" i="2" s="1"/>
  <c r="H2432" i="2"/>
  <c r="I2432" i="2"/>
  <c r="J2431" i="2"/>
  <c r="K2431" i="2" s="1"/>
  <c r="F2433" i="2" l="1"/>
  <c r="G2433" i="2" s="1"/>
  <c r="H2433" i="2"/>
  <c r="I2433" i="2"/>
  <c r="J2432" i="2"/>
  <c r="K2432" i="2"/>
  <c r="F2434" i="2" l="1"/>
  <c r="G2434" i="2" s="1"/>
  <c r="H2434" i="2"/>
  <c r="I2434" i="2"/>
  <c r="J2433" i="2"/>
  <c r="K2433" i="2" s="1"/>
  <c r="H2435" i="2" l="1"/>
  <c r="I2435" i="2"/>
  <c r="J2434" i="2"/>
  <c r="K2434" i="2" s="1"/>
  <c r="F2435" i="2"/>
  <c r="G2435" i="2" s="1"/>
  <c r="H2436" i="2" l="1"/>
  <c r="I2436" i="2"/>
  <c r="J2435" i="2"/>
  <c r="E2436" i="2"/>
  <c r="G2436" i="2" s="1"/>
  <c r="K2435" i="2"/>
  <c r="H2437" i="2" l="1"/>
  <c r="I2437" i="2"/>
  <c r="J2436" i="2"/>
  <c r="F2437" i="2"/>
  <c r="G2437" i="2" s="1"/>
  <c r="K2436" i="2"/>
  <c r="E2438" i="2" l="1"/>
  <c r="G2438" i="2" s="1"/>
  <c r="H2438" i="2"/>
  <c r="I2438" i="2"/>
  <c r="J2437" i="2"/>
  <c r="K2437" i="2" s="1"/>
  <c r="F2439" i="2" l="1"/>
  <c r="G2439" i="2" s="1"/>
  <c r="H2439" i="2"/>
  <c r="I2439" i="2"/>
  <c r="J2438" i="2"/>
  <c r="K2438" i="2" s="1"/>
  <c r="E2440" i="2" l="1"/>
  <c r="G2440" i="2" s="1"/>
  <c r="H2440" i="2"/>
  <c r="I2440" i="2"/>
  <c r="J2439" i="2"/>
  <c r="K2439" i="2" s="1"/>
  <c r="E2441" i="2" l="1"/>
  <c r="G2441" i="2" s="1"/>
  <c r="H2441" i="2"/>
  <c r="I2441" i="2"/>
  <c r="J2440" i="2"/>
  <c r="K2440" i="2" s="1"/>
  <c r="E2442" i="2" l="1"/>
  <c r="G2442" i="2" s="1"/>
  <c r="H2442" i="2"/>
  <c r="I2442" i="2"/>
  <c r="J2441" i="2"/>
  <c r="K2441" i="2" s="1"/>
  <c r="I2443" i="2" l="1"/>
  <c r="H2443" i="2"/>
  <c r="J2442" i="2"/>
  <c r="K2442" i="2" s="1"/>
  <c r="F2443" i="2"/>
  <c r="G2443" i="2" s="1"/>
  <c r="I2444" i="2" l="1"/>
  <c r="H2444" i="2"/>
  <c r="J2443" i="2"/>
  <c r="E2444" i="2"/>
  <c r="G2444" i="2" s="1"/>
  <c r="K2443" i="2"/>
  <c r="H2445" i="2" l="1"/>
  <c r="I2445" i="2"/>
  <c r="J2444" i="2"/>
  <c r="F2445" i="2"/>
  <c r="G2445" i="2" s="1"/>
  <c r="K2444" i="2"/>
  <c r="E2446" i="2" l="1"/>
  <c r="G2446" i="2" s="1"/>
  <c r="H2446" i="2"/>
  <c r="I2446" i="2"/>
  <c r="J2445" i="2"/>
  <c r="K2445" i="2"/>
  <c r="F2447" i="2" l="1"/>
  <c r="G2447" i="2" s="1"/>
  <c r="H2447" i="2"/>
  <c r="I2447" i="2"/>
  <c r="J2446" i="2"/>
  <c r="K2446" i="2" s="1"/>
  <c r="F2448" i="2" l="1"/>
  <c r="G2448" i="2" s="1"/>
  <c r="H2448" i="2"/>
  <c r="I2448" i="2"/>
  <c r="J2447" i="2"/>
  <c r="K2447" i="2" s="1"/>
  <c r="F2449" i="2" l="1"/>
  <c r="G2449" i="2" s="1"/>
  <c r="H2449" i="2"/>
  <c r="I2449" i="2"/>
  <c r="J2448" i="2"/>
  <c r="K2448" i="2" s="1"/>
  <c r="F2450" i="2" l="1"/>
  <c r="G2450" i="2" s="1"/>
  <c r="H2450" i="2"/>
  <c r="I2450" i="2"/>
  <c r="J2449" i="2"/>
  <c r="K2449" i="2" s="1"/>
  <c r="I2451" i="2" l="1"/>
  <c r="H2451" i="2"/>
  <c r="J2450" i="2"/>
  <c r="F2451" i="2"/>
  <c r="G2451" i="2" s="1"/>
  <c r="K2450" i="2"/>
  <c r="I2452" i="2" l="1"/>
  <c r="H2452" i="2"/>
  <c r="J2451" i="2"/>
  <c r="E2452" i="2"/>
  <c r="G2452" i="2" s="1"/>
  <c r="K2451" i="2"/>
  <c r="H2453" i="2" l="1"/>
  <c r="I2453" i="2"/>
  <c r="J2452" i="2"/>
  <c r="F2453" i="2"/>
  <c r="G2453" i="2" s="1"/>
  <c r="K2452" i="2"/>
  <c r="F2454" i="2" l="1"/>
  <c r="G2454" i="2" s="1"/>
  <c r="H2454" i="2"/>
  <c r="I2454" i="2"/>
  <c r="J2453" i="2"/>
  <c r="K2453" i="2"/>
  <c r="E2455" i="2" l="1"/>
  <c r="G2455" i="2" s="1"/>
  <c r="H2455" i="2"/>
  <c r="I2455" i="2"/>
  <c r="J2454" i="2"/>
  <c r="K2454" i="2" s="1"/>
  <c r="F2456" i="2" l="1"/>
  <c r="G2456" i="2" s="1"/>
  <c r="H2456" i="2"/>
  <c r="I2456" i="2"/>
  <c r="J2455" i="2"/>
  <c r="K2455" i="2" s="1"/>
  <c r="F2457" i="2" l="1"/>
  <c r="G2457" i="2" s="1"/>
  <c r="H2457" i="2"/>
  <c r="I2457" i="2"/>
  <c r="J2456" i="2"/>
  <c r="K2456" i="2"/>
  <c r="E2458" i="2" l="1"/>
  <c r="G2458" i="2" s="1"/>
  <c r="H2458" i="2"/>
  <c r="I2458" i="2"/>
  <c r="J2457" i="2"/>
  <c r="K2457" i="2" s="1"/>
  <c r="H2459" i="2" l="1"/>
  <c r="I2459" i="2"/>
  <c r="J2458" i="2"/>
  <c r="K2458" i="2" s="1"/>
  <c r="F2459" i="2"/>
  <c r="G2459" i="2" s="1"/>
  <c r="H2460" i="2" l="1"/>
  <c r="I2460" i="2"/>
  <c r="J2459" i="2"/>
  <c r="E2460" i="2"/>
  <c r="G2460" i="2" s="1"/>
  <c r="K2459" i="2"/>
  <c r="H2461" i="2" l="1"/>
  <c r="I2461" i="2"/>
  <c r="J2460" i="2"/>
  <c r="E2461" i="2"/>
  <c r="G2461" i="2" s="1"/>
  <c r="K2460" i="2"/>
  <c r="E2462" i="2" l="1"/>
  <c r="G2462" i="2" s="1"/>
  <c r="H2462" i="2"/>
  <c r="I2462" i="2"/>
  <c r="J2461" i="2"/>
  <c r="K2461" i="2"/>
  <c r="F2463" i="2" l="1"/>
  <c r="G2463" i="2" s="1"/>
  <c r="H2463" i="2"/>
  <c r="I2463" i="2"/>
  <c r="J2462" i="2"/>
  <c r="K2462" i="2" s="1"/>
  <c r="E2464" i="2" l="1"/>
  <c r="G2464" i="2" s="1"/>
  <c r="H2464" i="2"/>
  <c r="I2464" i="2"/>
  <c r="J2463" i="2"/>
  <c r="K2463" i="2"/>
  <c r="F2465" i="2" l="1"/>
  <c r="G2465" i="2" s="1"/>
  <c r="H2465" i="2"/>
  <c r="I2465" i="2"/>
  <c r="J2464" i="2"/>
  <c r="K2464" i="2" s="1"/>
  <c r="F2466" i="2" l="1"/>
  <c r="G2466" i="2" s="1"/>
  <c r="H2466" i="2"/>
  <c r="I2466" i="2"/>
  <c r="J2465" i="2"/>
  <c r="K2465" i="2" s="1"/>
  <c r="H2467" i="2" l="1"/>
  <c r="I2467" i="2"/>
  <c r="J2466" i="2"/>
  <c r="K2466" i="2" s="1"/>
  <c r="E2467" i="2"/>
  <c r="G2467" i="2" s="1"/>
  <c r="H2468" i="2" l="1"/>
  <c r="I2468" i="2"/>
  <c r="J2467" i="2"/>
  <c r="E2468" i="2"/>
  <c r="G2468" i="2" s="1"/>
  <c r="K2467" i="2"/>
  <c r="H2469" i="2" l="1"/>
  <c r="I2469" i="2"/>
  <c r="J2468" i="2"/>
  <c r="E2469" i="2"/>
  <c r="G2469" i="2" s="1"/>
  <c r="K2468" i="2"/>
  <c r="E2470" i="2" l="1"/>
  <c r="G2470" i="2" s="1"/>
  <c r="H2470" i="2"/>
  <c r="I2470" i="2"/>
  <c r="J2469" i="2"/>
  <c r="K2469" i="2"/>
  <c r="E2471" i="2" l="1"/>
  <c r="G2471" i="2" s="1"/>
  <c r="H2471" i="2"/>
  <c r="I2471" i="2"/>
  <c r="J2470" i="2"/>
  <c r="K2470" i="2" s="1"/>
  <c r="F2472" i="2" l="1"/>
  <c r="G2472" i="2" s="1"/>
  <c r="H2472" i="2"/>
  <c r="I2472" i="2"/>
  <c r="J2471" i="2"/>
  <c r="K2471" i="2" s="1"/>
  <c r="E2473" i="2" l="1"/>
  <c r="G2473" i="2" s="1"/>
  <c r="H2473" i="2"/>
  <c r="I2473" i="2"/>
  <c r="J2472" i="2"/>
  <c r="K2472" i="2" s="1"/>
  <c r="F2474" i="2" l="1"/>
  <c r="G2474" i="2" s="1"/>
  <c r="H2474" i="2"/>
  <c r="I2474" i="2"/>
  <c r="J2473" i="2"/>
  <c r="K2473" i="2" s="1"/>
  <c r="I2475" i="2" l="1"/>
  <c r="H2475" i="2"/>
  <c r="J2474" i="2"/>
  <c r="K2474" i="2" s="1"/>
  <c r="F2475" i="2"/>
  <c r="G2475" i="2" s="1"/>
  <c r="I2476" i="2" l="1"/>
  <c r="H2476" i="2"/>
  <c r="J2475" i="2"/>
  <c r="K2475" i="2" s="1"/>
  <c r="E2476" i="2"/>
  <c r="G2476" i="2" s="1"/>
  <c r="K2476" i="2" l="1"/>
  <c r="H2477" i="2"/>
  <c r="I2477" i="2"/>
  <c r="J2476" i="2"/>
  <c r="F2477" i="2"/>
  <c r="G2477" i="2" s="1"/>
  <c r="E2478" i="2" l="1"/>
  <c r="G2478" i="2" s="1"/>
  <c r="H2478" i="2"/>
  <c r="I2478" i="2"/>
  <c r="J2477" i="2"/>
  <c r="K2477" i="2" s="1"/>
  <c r="E2479" i="2" l="1"/>
  <c r="G2479" i="2" s="1"/>
  <c r="H2479" i="2"/>
  <c r="J2478" i="2"/>
  <c r="K2478" i="2" s="1"/>
  <c r="I2479" i="2"/>
  <c r="F2480" i="2" l="1"/>
  <c r="G2480" i="2" s="1"/>
  <c r="H2480" i="2"/>
  <c r="I2480" i="2"/>
  <c r="J2479" i="2"/>
  <c r="K2479" i="2" s="1"/>
  <c r="F2481" i="2" l="1"/>
  <c r="G2481" i="2" s="1"/>
  <c r="H2481" i="2"/>
  <c r="I2481" i="2"/>
  <c r="J2480" i="2"/>
  <c r="K2480" i="2" s="1"/>
  <c r="F2482" i="2" l="1"/>
  <c r="G2482" i="2" s="1"/>
  <c r="H2482" i="2"/>
  <c r="I2482" i="2"/>
  <c r="J2481" i="2"/>
  <c r="K2481" i="2" s="1"/>
  <c r="I2483" i="2" l="1"/>
  <c r="H2483" i="2"/>
  <c r="J2482" i="2"/>
  <c r="E2483" i="2"/>
  <c r="G2483" i="2" s="1"/>
  <c r="K2482" i="2"/>
  <c r="I2484" i="2" l="1"/>
  <c r="H2484" i="2"/>
  <c r="J2483" i="2"/>
  <c r="F2484" i="2"/>
  <c r="G2484" i="2" s="1"/>
  <c r="K2483" i="2"/>
  <c r="H2485" i="2" l="1"/>
  <c r="I2485" i="2"/>
  <c r="J2484" i="2"/>
  <c r="K2484" i="2" s="1"/>
  <c r="F2485" i="2"/>
  <c r="G2485" i="2" s="1"/>
  <c r="F2486" i="2" l="1"/>
  <c r="G2486" i="2" s="1"/>
  <c r="H2486" i="2"/>
  <c r="J2485" i="2"/>
  <c r="I2486" i="2"/>
  <c r="K2485" i="2"/>
  <c r="F2487" i="2" l="1"/>
  <c r="G2487" i="2" s="1"/>
  <c r="H2487" i="2"/>
  <c r="I2487" i="2"/>
  <c r="J2486" i="2"/>
  <c r="K2486" i="2" s="1"/>
  <c r="F2488" i="2" l="1"/>
  <c r="G2488" i="2" s="1"/>
  <c r="H2488" i="2"/>
  <c r="I2488" i="2"/>
  <c r="J2487" i="2"/>
  <c r="K2487" i="2" s="1"/>
  <c r="F2489" i="2" l="1"/>
  <c r="G2489" i="2" s="1"/>
  <c r="H2489" i="2"/>
  <c r="I2489" i="2"/>
  <c r="J2488" i="2"/>
  <c r="K2488" i="2" s="1"/>
  <c r="F2490" i="2" l="1"/>
  <c r="G2490" i="2" s="1"/>
  <c r="H2490" i="2"/>
  <c r="I2490" i="2"/>
  <c r="J2489" i="2"/>
  <c r="K2489" i="2" s="1"/>
  <c r="H2491" i="2" l="1"/>
  <c r="I2491" i="2"/>
  <c r="J2490" i="2"/>
  <c r="K2490" i="2" s="1"/>
  <c r="F2491" i="2"/>
  <c r="G2491" i="2" s="1"/>
  <c r="H2492" i="2" l="1"/>
  <c r="I2492" i="2"/>
  <c r="J2491" i="2"/>
  <c r="K2491" i="2" s="1"/>
  <c r="F2492" i="2"/>
  <c r="G2492" i="2" s="1"/>
  <c r="H2493" i="2" l="1"/>
  <c r="I2493" i="2"/>
  <c r="J2492" i="2"/>
  <c r="K2492" i="2" s="1"/>
  <c r="E2493" i="2"/>
  <c r="G2493" i="2" s="1"/>
  <c r="E2494" i="2" l="1"/>
  <c r="G2494" i="2" s="1"/>
  <c r="H2494" i="2"/>
  <c r="I2494" i="2"/>
  <c r="J2493" i="2"/>
  <c r="K2493" i="2" s="1"/>
  <c r="F2495" i="2" l="1"/>
  <c r="G2495" i="2" s="1"/>
  <c r="H2495" i="2"/>
  <c r="I2495" i="2"/>
  <c r="J2494" i="2"/>
  <c r="K2494" i="2" s="1"/>
  <c r="E2496" i="2" l="1"/>
  <c r="G2496" i="2" s="1"/>
  <c r="H2496" i="2"/>
  <c r="I2496" i="2"/>
  <c r="J2495" i="2"/>
  <c r="K2495" i="2" s="1"/>
  <c r="K2496" i="2" l="1"/>
  <c r="F2497" i="2"/>
  <c r="G2497" i="2" s="1"/>
  <c r="H2497" i="2"/>
  <c r="I2497" i="2"/>
  <c r="J2496" i="2"/>
  <c r="E2498" i="2" l="1"/>
  <c r="G2498" i="2" s="1"/>
  <c r="H2498" i="2"/>
  <c r="I2498" i="2"/>
  <c r="J2497" i="2"/>
  <c r="K2497" i="2" s="1"/>
  <c r="H2499" i="2" l="1"/>
  <c r="I2499" i="2"/>
  <c r="J2498" i="2"/>
  <c r="E2499" i="2"/>
  <c r="G2499" i="2" s="1"/>
  <c r="K2498" i="2"/>
  <c r="H2500" i="2" l="1"/>
  <c r="I2500" i="2"/>
  <c r="J2499" i="2"/>
  <c r="K2499" i="2" s="1"/>
  <c r="F2500" i="2"/>
  <c r="G2500" i="2" s="1"/>
  <c r="H2501" i="2" l="1"/>
  <c r="I2501" i="2"/>
  <c r="J2500" i="2"/>
  <c r="K2500" i="2" s="1"/>
  <c r="F2501" i="2"/>
  <c r="G2501" i="2" s="1"/>
  <c r="F2502" i="2" l="1"/>
  <c r="G2502" i="2" s="1"/>
  <c r="H2502" i="2"/>
  <c r="I2502" i="2"/>
  <c r="J2501" i="2"/>
  <c r="K2501" i="2"/>
  <c r="E2503" i="2" l="1"/>
  <c r="G2503" i="2" s="1"/>
  <c r="H2503" i="2"/>
  <c r="I2503" i="2"/>
  <c r="J2502" i="2"/>
  <c r="K2502" i="2" s="1"/>
  <c r="E2504" i="2" l="1"/>
  <c r="G2504" i="2" s="1"/>
  <c r="H2504" i="2"/>
  <c r="I2504" i="2"/>
  <c r="J2503" i="2"/>
  <c r="K2503" i="2" s="1"/>
  <c r="E2505" i="2" l="1"/>
  <c r="G2505" i="2" s="1"/>
  <c r="H2505" i="2"/>
  <c r="I2505" i="2"/>
  <c r="J2504" i="2"/>
  <c r="K2504" i="2" s="1"/>
  <c r="F2506" i="2" l="1"/>
  <c r="G2506" i="2" s="1"/>
  <c r="H2506" i="2"/>
  <c r="I2506" i="2"/>
  <c r="J2505" i="2"/>
  <c r="K2505" i="2" s="1"/>
  <c r="I2507" i="2" l="1"/>
  <c r="H2507" i="2"/>
  <c r="J2506" i="2"/>
  <c r="K2506" i="2" s="1"/>
  <c r="F2507" i="2"/>
  <c r="G2507" i="2" s="1"/>
  <c r="I2508" i="2" l="1"/>
  <c r="H2508" i="2"/>
  <c r="J2507" i="2"/>
  <c r="F2508" i="2"/>
  <c r="G2508" i="2" s="1"/>
  <c r="K2507" i="2"/>
  <c r="H2509" i="2" l="1"/>
  <c r="I2509" i="2"/>
  <c r="J2508" i="2"/>
  <c r="F2509" i="2"/>
  <c r="G2509" i="2" s="1"/>
  <c r="K2508" i="2"/>
  <c r="E2510" i="2" l="1"/>
  <c r="G2510" i="2" s="1"/>
  <c r="H2510" i="2"/>
  <c r="I2510" i="2"/>
  <c r="J2509" i="2"/>
  <c r="K2509" i="2"/>
  <c r="E2511" i="2" l="1"/>
  <c r="G2511" i="2" s="1"/>
  <c r="H2511" i="2"/>
  <c r="I2511" i="2"/>
  <c r="J2510" i="2"/>
  <c r="K2510" i="2" s="1"/>
  <c r="F2512" i="2" l="1"/>
  <c r="G2512" i="2" s="1"/>
  <c r="H2512" i="2"/>
  <c r="I2512" i="2"/>
  <c r="J2511" i="2"/>
  <c r="K2511" i="2" s="1"/>
  <c r="E2513" i="2" l="1"/>
  <c r="G2513" i="2" s="1"/>
  <c r="H2513" i="2"/>
  <c r="I2513" i="2"/>
  <c r="J2512" i="2"/>
  <c r="K2512" i="2" s="1"/>
  <c r="F2514" i="2" l="1"/>
  <c r="G2514" i="2" s="1"/>
  <c r="H2514" i="2"/>
  <c r="I2514" i="2"/>
  <c r="J2513" i="2"/>
  <c r="K2513" i="2" s="1"/>
  <c r="I2515" i="2" l="1"/>
  <c r="H2515" i="2"/>
  <c r="J2514" i="2"/>
  <c r="K2514" i="2" s="1"/>
  <c r="E2515" i="2"/>
  <c r="G2515" i="2" s="1"/>
  <c r="I2516" i="2" l="1"/>
  <c r="H2516" i="2"/>
  <c r="J2515" i="2"/>
  <c r="F2516" i="2"/>
  <c r="G2516" i="2" s="1"/>
  <c r="K2515" i="2"/>
  <c r="H2517" i="2" l="1"/>
  <c r="I2517" i="2"/>
  <c r="J2516" i="2"/>
  <c r="E2517" i="2"/>
  <c r="G2517" i="2" s="1"/>
  <c r="K2516" i="2"/>
  <c r="E2518" i="2" l="1"/>
  <c r="G2518" i="2" s="1"/>
  <c r="H2518" i="2"/>
  <c r="I2518" i="2"/>
  <c r="J2517" i="2"/>
  <c r="K2517" i="2"/>
  <c r="E2519" i="2" l="1"/>
  <c r="G2519" i="2" s="1"/>
  <c r="H2519" i="2"/>
  <c r="I2519" i="2"/>
  <c r="J2518" i="2"/>
  <c r="K2518" i="2"/>
  <c r="F2520" i="2" l="1"/>
  <c r="G2520" i="2" s="1"/>
  <c r="H2520" i="2"/>
  <c r="I2520" i="2"/>
  <c r="J2519" i="2"/>
  <c r="K2519" i="2" s="1"/>
  <c r="K2520" i="2" l="1"/>
  <c r="F2521" i="2"/>
  <c r="G2521" i="2" s="1"/>
  <c r="H2521" i="2"/>
  <c r="I2521" i="2"/>
  <c r="J2520" i="2"/>
  <c r="F2522" i="2" l="1"/>
  <c r="G2522" i="2" s="1"/>
  <c r="H2522" i="2"/>
  <c r="I2522" i="2"/>
  <c r="J2521" i="2"/>
  <c r="K2521" i="2" s="1"/>
  <c r="H2523" i="2" l="1"/>
  <c r="I2523" i="2"/>
  <c r="J2522" i="2"/>
  <c r="K2522" i="2" s="1"/>
  <c r="F2523" i="2"/>
  <c r="G2523" i="2" s="1"/>
  <c r="H2524" i="2" l="1"/>
  <c r="I2524" i="2"/>
  <c r="J2523" i="2"/>
  <c r="K2523" i="2" s="1"/>
  <c r="F2524" i="2"/>
  <c r="G2524" i="2" s="1"/>
  <c r="H2525" i="2" l="1"/>
  <c r="I2525" i="2"/>
  <c r="J2524" i="2"/>
  <c r="K2524" i="2" s="1"/>
  <c r="E2525" i="2"/>
  <c r="G2525" i="2" s="1"/>
  <c r="K2525" i="2" l="1"/>
  <c r="E2526" i="2"/>
  <c r="G2526" i="2" s="1"/>
  <c r="H2526" i="2"/>
  <c r="I2526" i="2"/>
  <c r="J2525" i="2"/>
  <c r="F2527" i="2" l="1"/>
  <c r="G2527" i="2" s="1"/>
  <c r="H2527" i="2"/>
  <c r="I2527" i="2"/>
  <c r="J2526" i="2"/>
  <c r="K2526" i="2" s="1"/>
  <c r="E2528" i="2" l="1"/>
  <c r="G2528" i="2" s="1"/>
  <c r="H2528" i="2"/>
  <c r="I2528" i="2"/>
  <c r="J2527" i="2"/>
  <c r="K2527" i="2" s="1"/>
  <c r="E2529" i="2" l="1"/>
  <c r="G2529" i="2" s="1"/>
  <c r="H2529" i="2"/>
  <c r="I2529" i="2"/>
  <c r="J2528" i="2"/>
  <c r="K2528" i="2" s="1"/>
  <c r="E2530" i="2" l="1"/>
  <c r="G2530" i="2" s="1"/>
  <c r="H2530" i="2"/>
  <c r="I2530" i="2"/>
  <c r="J2529" i="2"/>
  <c r="K2529" i="2" s="1"/>
  <c r="H2531" i="2" l="1"/>
  <c r="I2531" i="2"/>
  <c r="J2530" i="2"/>
  <c r="K2530" i="2" s="1"/>
  <c r="E2531" i="2"/>
  <c r="G2531" i="2" s="1"/>
  <c r="H2532" i="2" l="1"/>
  <c r="I2532" i="2"/>
  <c r="J2531" i="2"/>
  <c r="E2532" i="2"/>
  <c r="G2532" i="2" s="1"/>
  <c r="K2531" i="2"/>
  <c r="H2533" i="2" l="1"/>
  <c r="I2533" i="2"/>
  <c r="J2532" i="2"/>
  <c r="F2533" i="2"/>
  <c r="G2533" i="2" s="1"/>
  <c r="K2532" i="2"/>
  <c r="E2534" i="2" l="1"/>
  <c r="G2534" i="2" s="1"/>
  <c r="H2534" i="2"/>
  <c r="I2534" i="2"/>
  <c r="J2533" i="2"/>
  <c r="K2533" i="2"/>
  <c r="F2535" i="2" l="1"/>
  <c r="G2535" i="2" s="1"/>
  <c r="H2535" i="2"/>
  <c r="I2535" i="2"/>
  <c r="J2534" i="2"/>
  <c r="K2534" i="2" s="1"/>
  <c r="E2536" i="2" l="1"/>
  <c r="G2536" i="2" s="1"/>
  <c r="H2536" i="2"/>
  <c r="I2536" i="2"/>
  <c r="J2535" i="2"/>
  <c r="K2535" i="2" s="1"/>
  <c r="E2537" i="2" l="1"/>
  <c r="G2537" i="2" s="1"/>
  <c r="H2537" i="2"/>
  <c r="I2537" i="2"/>
  <c r="J2536" i="2"/>
  <c r="K2536" i="2" s="1"/>
  <c r="F2538" i="2" l="1"/>
  <c r="G2538" i="2" s="1"/>
  <c r="H2538" i="2"/>
  <c r="I2538" i="2"/>
  <c r="J2537" i="2"/>
  <c r="K2537" i="2" s="1"/>
  <c r="I2539" i="2" l="1"/>
  <c r="H2539" i="2"/>
  <c r="J2538" i="2"/>
  <c r="K2538" i="2" s="1"/>
  <c r="F2539" i="2"/>
  <c r="G2539" i="2" s="1"/>
  <c r="I2540" i="2" l="1"/>
  <c r="H2540" i="2"/>
  <c r="J2539" i="2"/>
  <c r="E2540" i="2"/>
  <c r="G2540" i="2" s="1"/>
  <c r="K2539" i="2"/>
  <c r="H2541" i="2" l="1"/>
  <c r="I2541" i="2"/>
  <c r="J2540" i="2"/>
  <c r="K2540" i="2" s="1"/>
  <c r="E2541" i="2"/>
  <c r="G2541" i="2" s="1"/>
  <c r="E2542" i="2" l="1"/>
  <c r="G2542" i="2" s="1"/>
  <c r="H2542" i="2"/>
  <c r="I2542" i="2"/>
  <c r="J2541" i="2"/>
  <c r="K2541" i="2"/>
  <c r="F2543" i="2" l="1"/>
  <c r="G2543" i="2" s="1"/>
  <c r="H2543" i="2"/>
  <c r="I2543" i="2"/>
  <c r="J2542" i="2"/>
  <c r="K2542" i="2" s="1"/>
  <c r="K2543" i="2" l="1"/>
  <c r="F2544" i="2"/>
  <c r="G2544" i="2" s="1"/>
  <c r="H2544" i="2"/>
  <c r="I2544" i="2"/>
  <c r="J2543" i="2"/>
  <c r="E2545" i="2" l="1"/>
  <c r="G2545" i="2" s="1"/>
  <c r="H2545" i="2"/>
  <c r="I2545" i="2"/>
  <c r="J2544" i="2"/>
  <c r="K2544" i="2" s="1"/>
  <c r="F2546" i="2" l="1"/>
  <c r="G2546" i="2" s="1"/>
  <c r="H2546" i="2"/>
  <c r="I2546" i="2"/>
  <c r="J2545" i="2"/>
  <c r="K2545" i="2" s="1"/>
  <c r="I2547" i="2" l="1"/>
  <c r="H2547" i="2"/>
  <c r="J2546" i="2"/>
  <c r="K2546" i="2" s="1"/>
  <c r="F2547" i="2"/>
  <c r="G2547" i="2" s="1"/>
  <c r="I2548" i="2" l="1"/>
  <c r="H2548" i="2"/>
  <c r="J2547" i="2"/>
  <c r="K2547" i="2" s="1"/>
  <c r="F2548" i="2"/>
  <c r="G2548" i="2" s="1"/>
  <c r="H2549" i="2" l="1"/>
  <c r="I2549" i="2"/>
  <c r="J2548" i="2"/>
  <c r="E2549" i="2"/>
  <c r="G2549" i="2" s="1"/>
  <c r="K2548" i="2"/>
  <c r="E2550" i="2" l="1"/>
  <c r="G2550" i="2" s="1"/>
  <c r="H2550" i="2"/>
  <c r="I2550" i="2"/>
  <c r="J2549" i="2"/>
  <c r="K2549" i="2"/>
  <c r="K2550" i="2" l="1"/>
  <c r="F2551" i="2"/>
  <c r="G2551" i="2" s="1"/>
  <c r="H2551" i="2"/>
  <c r="I2551" i="2"/>
  <c r="J2550" i="2"/>
  <c r="F2552" i="2" l="1"/>
  <c r="G2552" i="2" s="1"/>
  <c r="H2552" i="2"/>
  <c r="I2552" i="2"/>
  <c r="J2551" i="2"/>
  <c r="K2551" i="2" s="1"/>
  <c r="E2553" i="2" l="1"/>
  <c r="G2553" i="2" s="1"/>
  <c r="H2553" i="2"/>
  <c r="I2553" i="2"/>
  <c r="J2552" i="2"/>
  <c r="K2552" i="2" s="1"/>
  <c r="E2554" i="2" l="1"/>
  <c r="G2554" i="2" s="1"/>
  <c r="H2554" i="2"/>
  <c r="I2554" i="2"/>
  <c r="J2553" i="2"/>
  <c r="K2553" i="2" s="1"/>
  <c r="K2554" i="2" l="1"/>
  <c r="H2555" i="2"/>
  <c r="I2555" i="2"/>
  <c r="J2554" i="2"/>
  <c r="E2555" i="2"/>
  <c r="G2555" i="2" s="1"/>
  <c r="K2555" i="2" l="1"/>
  <c r="H2556" i="2"/>
  <c r="I2556" i="2"/>
  <c r="J2555" i="2"/>
  <c r="F2556" i="2"/>
  <c r="G2556" i="2" s="1"/>
  <c r="H2557" i="2" l="1"/>
  <c r="I2557" i="2"/>
  <c r="J2556" i="2"/>
  <c r="E2557" i="2"/>
  <c r="G2557" i="2" s="1"/>
  <c r="K2556" i="2"/>
  <c r="E2558" i="2" l="1"/>
  <c r="G2558" i="2" s="1"/>
  <c r="H2558" i="2"/>
  <c r="I2558" i="2"/>
  <c r="J2557" i="2"/>
  <c r="K2557" i="2"/>
  <c r="E2559" i="2" l="1"/>
  <c r="G2559" i="2" s="1"/>
  <c r="H2559" i="2"/>
  <c r="I2559" i="2"/>
  <c r="J2558" i="2"/>
  <c r="K2558" i="2" s="1"/>
  <c r="F2560" i="2" l="1"/>
  <c r="G2560" i="2" s="1"/>
  <c r="H2560" i="2"/>
  <c r="I2560" i="2"/>
  <c r="J2559" i="2"/>
  <c r="K2559" i="2" s="1"/>
  <c r="F2561" i="2" l="1"/>
  <c r="G2561" i="2" s="1"/>
  <c r="H2561" i="2"/>
  <c r="I2561" i="2"/>
  <c r="J2560" i="2"/>
  <c r="K2560" i="2" s="1"/>
  <c r="F2562" i="2" l="1"/>
  <c r="G2562" i="2" s="1"/>
  <c r="H2562" i="2"/>
  <c r="I2562" i="2"/>
  <c r="J2561" i="2"/>
  <c r="K2561" i="2" s="1"/>
  <c r="H2563" i="2" l="1"/>
  <c r="I2563" i="2"/>
  <c r="J2562" i="2"/>
  <c r="K2562" i="2" s="1"/>
  <c r="E2563" i="2"/>
  <c r="G2563" i="2" s="1"/>
  <c r="H2564" i="2" l="1"/>
  <c r="I2564" i="2"/>
  <c r="J2563" i="2"/>
  <c r="F2564" i="2"/>
  <c r="G2564" i="2" s="1"/>
  <c r="K2563" i="2"/>
  <c r="H2565" i="2" l="1"/>
  <c r="I2565" i="2"/>
  <c r="J2564" i="2"/>
  <c r="E2565" i="2"/>
  <c r="G2565" i="2" s="1"/>
  <c r="K2564" i="2"/>
  <c r="F2566" i="2" l="1"/>
  <c r="G2566" i="2" s="1"/>
  <c r="H2566" i="2"/>
  <c r="I2566" i="2"/>
  <c r="J2565" i="2"/>
  <c r="K2565" i="2"/>
  <c r="F2567" i="2" l="1"/>
  <c r="G2567" i="2" s="1"/>
  <c r="H2567" i="2"/>
  <c r="I2567" i="2"/>
  <c r="J2566" i="2"/>
  <c r="K2566" i="2" s="1"/>
  <c r="K2567" i="2" l="1"/>
  <c r="F2568" i="2"/>
  <c r="G2568" i="2" s="1"/>
  <c r="H2568" i="2"/>
  <c r="I2568" i="2"/>
  <c r="J2567" i="2"/>
  <c r="E2569" i="2" l="1"/>
  <c r="G2569" i="2" s="1"/>
  <c r="H2569" i="2"/>
  <c r="I2569" i="2"/>
  <c r="J2568" i="2"/>
  <c r="K2568" i="2"/>
  <c r="F2570" i="2" l="1"/>
  <c r="G2570" i="2" s="1"/>
  <c r="H2570" i="2"/>
  <c r="I2570" i="2"/>
  <c r="J2569" i="2"/>
  <c r="K2569" i="2" s="1"/>
  <c r="I2571" i="2" l="1"/>
  <c r="H2571" i="2"/>
  <c r="J2570" i="2"/>
  <c r="K2570" i="2" s="1"/>
  <c r="F2571" i="2"/>
  <c r="G2571" i="2" s="1"/>
  <c r="I2572" i="2" l="1"/>
  <c r="H2572" i="2"/>
  <c r="J2571" i="2"/>
  <c r="K2571" i="2" s="1"/>
  <c r="F2572" i="2"/>
  <c r="G2572" i="2" s="1"/>
  <c r="H2573" i="2" l="1"/>
  <c r="I2573" i="2"/>
  <c r="J2572" i="2"/>
  <c r="K2572" i="2" s="1"/>
  <c r="E2573" i="2"/>
  <c r="G2573" i="2" s="1"/>
  <c r="F2574" i="2" l="1"/>
  <c r="G2574" i="2" s="1"/>
  <c r="H2574" i="2"/>
  <c r="I2574" i="2"/>
  <c r="J2573" i="2"/>
  <c r="K2573" i="2" s="1"/>
  <c r="E2575" i="2" l="1"/>
  <c r="G2575" i="2" s="1"/>
  <c r="H2575" i="2"/>
  <c r="I2575" i="2"/>
  <c r="J2574" i="2"/>
  <c r="K2574" i="2" s="1"/>
  <c r="E2576" i="2" l="1"/>
  <c r="G2576" i="2" s="1"/>
  <c r="H2576" i="2"/>
  <c r="I2576" i="2"/>
  <c r="J2575" i="2"/>
  <c r="K2575" i="2" s="1"/>
  <c r="F2577" i="2" l="1"/>
  <c r="G2577" i="2" s="1"/>
  <c r="H2577" i="2"/>
  <c r="I2577" i="2"/>
  <c r="J2576" i="2"/>
  <c r="K2576" i="2" s="1"/>
  <c r="F2578" i="2" l="1"/>
  <c r="G2578" i="2" s="1"/>
  <c r="H2578" i="2"/>
  <c r="I2578" i="2"/>
  <c r="J2577" i="2"/>
  <c r="K2577" i="2"/>
  <c r="I2579" i="2" l="1"/>
  <c r="H2579" i="2"/>
  <c r="J2578" i="2"/>
  <c r="K2578" i="2" s="1"/>
  <c r="F2579" i="2"/>
  <c r="G2579" i="2" s="1"/>
  <c r="I2580" i="2" l="1"/>
  <c r="H2580" i="2"/>
  <c r="J2579" i="2"/>
  <c r="K2579" i="2" s="1"/>
  <c r="F2580" i="2"/>
  <c r="G2580" i="2" s="1"/>
  <c r="H2581" i="2" l="1"/>
  <c r="I2581" i="2"/>
  <c r="J2580" i="2"/>
  <c r="F2581" i="2"/>
  <c r="G2581" i="2" s="1"/>
  <c r="K2580" i="2"/>
  <c r="F2582" i="2" l="1"/>
  <c r="G2582" i="2" s="1"/>
  <c r="H2582" i="2"/>
  <c r="I2582" i="2"/>
  <c r="J2581" i="2"/>
  <c r="K2581" i="2"/>
  <c r="F2583" i="2" l="1"/>
  <c r="G2583" i="2" s="1"/>
  <c r="H2583" i="2"/>
  <c r="I2583" i="2"/>
  <c r="J2582" i="2"/>
  <c r="K2582" i="2" s="1"/>
  <c r="E2584" i="2" l="1"/>
  <c r="G2584" i="2" s="1"/>
  <c r="H2584" i="2"/>
  <c r="I2584" i="2"/>
  <c r="J2583" i="2"/>
  <c r="K2583" i="2" s="1"/>
  <c r="F2585" i="2" l="1"/>
  <c r="G2585" i="2" s="1"/>
  <c r="H2585" i="2"/>
  <c r="I2585" i="2"/>
  <c r="J2584" i="2"/>
  <c r="K2584" i="2" s="1"/>
  <c r="E2586" i="2" l="1"/>
  <c r="G2586" i="2" s="1"/>
  <c r="H2586" i="2"/>
  <c r="I2586" i="2"/>
  <c r="J2585" i="2"/>
  <c r="K2585" i="2" s="1"/>
  <c r="H2587" i="2" l="1"/>
  <c r="I2587" i="2"/>
  <c r="J2586" i="2"/>
  <c r="K2586" i="2" s="1"/>
  <c r="F2587" i="2"/>
  <c r="G2587" i="2" s="1"/>
  <c r="H2588" i="2" l="1"/>
  <c r="I2588" i="2"/>
  <c r="J2587" i="2"/>
  <c r="F2588" i="2"/>
  <c r="G2588" i="2" s="1"/>
  <c r="K2587" i="2"/>
  <c r="H2589" i="2" l="1"/>
  <c r="I2589" i="2"/>
  <c r="J2588" i="2"/>
  <c r="F2589" i="2"/>
  <c r="G2589" i="2" s="1"/>
  <c r="K2588" i="2"/>
  <c r="E2590" i="2" l="1"/>
  <c r="G2590" i="2" s="1"/>
  <c r="H2590" i="2"/>
  <c r="I2590" i="2"/>
  <c r="J2589" i="2"/>
  <c r="K2589" i="2"/>
  <c r="F2591" i="2" l="1"/>
  <c r="G2591" i="2" s="1"/>
  <c r="H2591" i="2"/>
  <c r="I2591" i="2"/>
  <c r="J2590" i="2"/>
  <c r="K2590" i="2" s="1"/>
  <c r="E2592" i="2" l="1"/>
  <c r="G2592" i="2" s="1"/>
  <c r="H2592" i="2"/>
  <c r="I2592" i="2"/>
  <c r="J2591" i="2"/>
  <c r="K2591" i="2" s="1"/>
  <c r="K2592" i="2" l="1"/>
  <c r="E2593" i="2"/>
  <c r="G2593" i="2" s="1"/>
  <c r="H2593" i="2"/>
  <c r="I2593" i="2"/>
  <c r="J2592" i="2"/>
  <c r="F2594" i="2" l="1"/>
  <c r="G2594" i="2" s="1"/>
  <c r="H2594" i="2"/>
  <c r="I2594" i="2"/>
  <c r="J2593" i="2"/>
  <c r="K2593" i="2" s="1"/>
  <c r="H2595" i="2" l="1"/>
  <c r="I2595" i="2"/>
  <c r="J2594" i="2"/>
  <c r="K2594" i="2" s="1"/>
  <c r="F2595" i="2"/>
  <c r="G2595" i="2" s="1"/>
  <c r="H2596" i="2" l="1"/>
  <c r="I2596" i="2"/>
  <c r="J2595" i="2"/>
  <c r="F2596" i="2"/>
  <c r="G2596" i="2" s="1"/>
  <c r="K2595" i="2"/>
  <c r="H2597" i="2" l="1"/>
  <c r="I2597" i="2"/>
  <c r="J2596" i="2"/>
  <c r="K2596" i="2" s="1"/>
  <c r="F2597" i="2"/>
  <c r="G2597" i="2" s="1"/>
  <c r="F2598" i="2" l="1"/>
  <c r="G2598" i="2" s="1"/>
  <c r="H2598" i="2"/>
  <c r="I2598" i="2"/>
  <c r="J2597" i="2"/>
  <c r="K2597" i="2" s="1"/>
  <c r="E2599" i="2" l="1"/>
  <c r="G2599" i="2" s="1"/>
  <c r="H2599" i="2"/>
  <c r="I2599" i="2"/>
  <c r="J2598" i="2"/>
  <c r="K2598" i="2" s="1"/>
  <c r="F2600" i="2" l="1"/>
  <c r="G2600" i="2" s="1"/>
  <c r="H2600" i="2"/>
  <c r="I2600" i="2"/>
  <c r="J2599" i="2"/>
  <c r="K2599" i="2" s="1"/>
  <c r="E2601" i="2" l="1"/>
  <c r="G2601" i="2" s="1"/>
  <c r="H2601" i="2"/>
  <c r="I2601" i="2"/>
  <c r="J2600" i="2"/>
  <c r="K2600" i="2" s="1"/>
  <c r="F2602" i="2" l="1"/>
  <c r="G2602" i="2" s="1"/>
  <c r="H2602" i="2"/>
  <c r="I2602" i="2"/>
  <c r="J2601" i="2"/>
  <c r="K2601" i="2" s="1"/>
  <c r="I2603" i="2" l="1"/>
  <c r="H2603" i="2"/>
  <c r="J2602" i="2"/>
  <c r="K2602" i="2" s="1"/>
  <c r="E2603" i="2"/>
  <c r="G2603" i="2" s="1"/>
  <c r="I2604" i="2" l="1"/>
  <c r="H2604" i="2"/>
  <c r="J2603" i="2"/>
  <c r="K2603" i="2" s="1"/>
  <c r="E2604" i="2"/>
  <c r="G2604" i="2" s="1"/>
  <c r="H2605" i="2" l="1"/>
  <c r="I2605" i="2"/>
  <c r="J2604" i="2"/>
  <c r="K2604" i="2" s="1"/>
  <c r="F2605" i="2"/>
  <c r="G2605" i="2" s="1"/>
  <c r="E2606" i="2" l="1"/>
  <c r="G2606" i="2" s="1"/>
  <c r="H2606" i="2"/>
  <c r="I2606" i="2"/>
  <c r="J2605" i="2"/>
  <c r="K2605" i="2" s="1"/>
  <c r="E2607" i="2" l="1"/>
  <c r="G2607" i="2" s="1"/>
  <c r="H2607" i="2"/>
  <c r="J2606" i="2"/>
  <c r="I2607" i="2"/>
  <c r="K2606" i="2"/>
  <c r="F2608" i="2" l="1"/>
  <c r="G2608" i="2" s="1"/>
  <c r="H2608" i="2"/>
  <c r="I2608" i="2"/>
  <c r="J2607" i="2"/>
  <c r="K2607" i="2" s="1"/>
  <c r="E2609" i="2" l="1"/>
  <c r="G2609" i="2" s="1"/>
  <c r="H2609" i="2"/>
  <c r="I2609" i="2"/>
  <c r="J2608" i="2"/>
  <c r="K2608" i="2" s="1"/>
  <c r="F2610" i="2" l="1"/>
  <c r="G2610" i="2" s="1"/>
  <c r="H2610" i="2"/>
  <c r="I2610" i="2"/>
  <c r="J2609" i="2"/>
  <c r="K2609" i="2" s="1"/>
  <c r="I2611" i="2" l="1"/>
  <c r="H2611" i="2"/>
  <c r="J2610" i="2"/>
  <c r="K2610" i="2" s="1"/>
  <c r="F2611" i="2"/>
  <c r="G2611" i="2" s="1"/>
  <c r="I2612" i="2" l="1"/>
  <c r="H2612" i="2"/>
  <c r="J2611" i="2"/>
  <c r="F2612" i="2"/>
  <c r="G2612" i="2" s="1"/>
  <c r="K2611" i="2"/>
  <c r="H2613" i="2" l="1"/>
  <c r="I2613" i="2"/>
  <c r="J2612" i="2"/>
  <c r="F2613" i="2"/>
  <c r="G2613" i="2" s="1"/>
  <c r="K2612" i="2"/>
  <c r="F2614" i="2" l="1"/>
  <c r="G2614" i="2" s="1"/>
  <c r="H2614" i="2"/>
  <c r="I2614" i="2"/>
  <c r="J2613" i="2"/>
  <c r="K2613" i="2"/>
  <c r="E2615" i="2" l="1"/>
  <c r="G2615" i="2" s="1"/>
  <c r="H2615" i="2"/>
  <c r="I2615" i="2"/>
  <c r="J2614" i="2"/>
  <c r="K2614" i="2" s="1"/>
  <c r="E2616" i="2" l="1"/>
  <c r="G2616" i="2" s="1"/>
  <c r="H2616" i="2"/>
  <c r="I2616" i="2"/>
  <c r="J2615" i="2"/>
  <c r="K2615" i="2" s="1"/>
  <c r="E2617" i="2" l="1"/>
  <c r="G2617" i="2" s="1"/>
  <c r="H2617" i="2"/>
  <c r="I2617" i="2"/>
  <c r="J2616" i="2"/>
  <c r="K2616" i="2" s="1"/>
  <c r="F2618" i="2" l="1"/>
  <c r="G2618" i="2" s="1"/>
  <c r="H2618" i="2"/>
  <c r="I2618" i="2"/>
  <c r="J2617" i="2"/>
  <c r="K2617" i="2" s="1"/>
  <c r="H2619" i="2" l="1"/>
  <c r="I2619" i="2"/>
  <c r="J2618" i="2"/>
  <c r="K2618" i="2" s="1"/>
  <c r="F2619" i="2"/>
  <c r="G2619" i="2" s="1"/>
  <c r="H2620" i="2" l="1"/>
  <c r="I2620" i="2"/>
  <c r="J2619" i="2"/>
  <c r="E2620" i="2"/>
  <c r="G2620" i="2" s="1"/>
  <c r="K2619" i="2"/>
  <c r="H2621" i="2" l="1"/>
  <c r="I2621" i="2"/>
  <c r="J2620" i="2"/>
  <c r="F2621" i="2"/>
  <c r="G2621" i="2" s="1"/>
  <c r="K2620" i="2"/>
  <c r="F2622" i="2" l="1"/>
  <c r="G2622" i="2" s="1"/>
  <c r="H2622" i="2"/>
  <c r="I2622" i="2"/>
  <c r="J2621" i="2"/>
  <c r="K2621" i="2"/>
  <c r="F2623" i="2" l="1"/>
  <c r="G2623" i="2" s="1"/>
  <c r="H2623" i="2"/>
  <c r="I2623" i="2"/>
  <c r="J2622" i="2"/>
  <c r="K2622" i="2" s="1"/>
  <c r="F2624" i="2" l="1"/>
  <c r="G2624" i="2" s="1"/>
  <c r="H2624" i="2"/>
  <c r="I2624" i="2"/>
  <c r="J2623" i="2"/>
  <c r="K2623" i="2" s="1"/>
  <c r="F2625" i="2" l="1"/>
  <c r="G2625" i="2" s="1"/>
  <c r="H2625" i="2"/>
  <c r="I2625" i="2"/>
  <c r="J2624" i="2"/>
  <c r="K2624" i="2" s="1"/>
  <c r="E2626" i="2" l="1"/>
  <c r="G2626" i="2" s="1"/>
  <c r="H2626" i="2"/>
  <c r="I2626" i="2"/>
  <c r="J2625" i="2"/>
  <c r="K2625" i="2" s="1"/>
  <c r="H2627" i="2" l="1"/>
  <c r="I2627" i="2"/>
  <c r="J2626" i="2"/>
  <c r="K2626" i="2" s="1"/>
  <c r="F2627" i="2"/>
  <c r="G2627" i="2" s="1"/>
  <c r="H2628" i="2" l="1"/>
  <c r="I2628" i="2"/>
  <c r="J2627" i="2"/>
  <c r="E2628" i="2"/>
  <c r="G2628" i="2" s="1"/>
  <c r="K2627" i="2"/>
  <c r="H2629" i="2" l="1"/>
  <c r="I2629" i="2"/>
  <c r="J2628" i="2"/>
  <c r="E2629" i="2"/>
  <c r="G2629" i="2" s="1"/>
  <c r="K2628" i="2"/>
  <c r="E2630" i="2" l="1"/>
  <c r="G2630" i="2" s="1"/>
  <c r="H2630" i="2"/>
  <c r="I2630" i="2"/>
  <c r="J2629" i="2"/>
  <c r="K2629" i="2"/>
  <c r="E2631" i="2" l="1"/>
  <c r="G2631" i="2" s="1"/>
  <c r="H2631" i="2"/>
  <c r="I2631" i="2"/>
  <c r="J2630" i="2"/>
  <c r="K2630" i="2" s="1"/>
  <c r="F2632" i="2" l="1"/>
  <c r="G2632" i="2" s="1"/>
  <c r="H2632" i="2"/>
  <c r="I2632" i="2"/>
  <c r="J2631" i="2"/>
  <c r="K2631" i="2" s="1"/>
  <c r="F2633" i="2" l="1"/>
  <c r="G2633" i="2" s="1"/>
  <c r="H2633" i="2"/>
  <c r="I2633" i="2"/>
  <c r="J2632" i="2"/>
  <c r="K2632" i="2" s="1"/>
  <c r="F2634" i="2" l="1"/>
  <c r="G2634" i="2" s="1"/>
  <c r="H2634" i="2"/>
  <c r="I2634" i="2"/>
  <c r="J2633" i="2"/>
  <c r="K2633" i="2" s="1"/>
  <c r="I2635" i="2" l="1"/>
  <c r="H2635" i="2"/>
  <c r="J2634" i="2"/>
  <c r="K2634" i="2" s="1"/>
  <c r="E2635" i="2"/>
  <c r="G2635" i="2" s="1"/>
  <c r="I2636" i="2" l="1"/>
  <c r="H2636" i="2"/>
  <c r="J2635" i="2"/>
  <c r="E2636" i="2"/>
  <c r="G2636" i="2" s="1"/>
  <c r="K2635" i="2"/>
  <c r="H2637" i="2" l="1"/>
  <c r="I2637" i="2"/>
  <c r="J2636" i="2"/>
  <c r="E2637" i="2"/>
  <c r="G2637" i="2" s="1"/>
  <c r="K2636" i="2"/>
  <c r="E2638" i="2" l="1"/>
  <c r="G2638" i="2" s="1"/>
  <c r="H2638" i="2"/>
  <c r="I2638" i="2"/>
  <c r="J2637" i="2"/>
  <c r="K2637" i="2"/>
  <c r="E2639" i="2" l="1"/>
  <c r="G2639" i="2" s="1"/>
  <c r="H2639" i="2"/>
  <c r="I2639" i="2"/>
  <c r="J2638" i="2"/>
  <c r="K2638" i="2" s="1"/>
  <c r="E2640" i="2" l="1"/>
  <c r="G2640" i="2" s="1"/>
  <c r="H2640" i="2"/>
  <c r="I2640" i="2"/>
  <c r="J2639" i="2"/>
  <c r="K2639" i="2" s="1"/>
  <c r="F2641" i="2" l="1"/>
  <c r="G2641" i="2" s="1"/>
  <c r="H2641" i="2"/>
  <c r="I2641" i="2"/>
  <c r="J2640" i="2"/>
  <c r="K2640" i="2" s="1"/>
  <c r="K2641" i="2" l="1"/>
  <c r="F2642" i="2"/>
  <c r="G2642" i="2" s="1"/>
  <c r="H2642" i="2"/>
  <c r="I2642" i="2"/>
  <c r="J2641" i="2"/>
  <c r="I2643" i="2" l="1"/>
  <c r="H2643" i="2"/>
  <c r="J2642" i="2"/>
  <c r="K2642" i="2" s="1"/>
  <c r="F2643" i="2"/>
  <c r="G2643" i="2" s="1"/>
  <c r="I2644" i="2" l="1"/>
  <c r="H2644" i="2"/>
  <c r="J2643" i="2"/>
  <c r="F2644" i="2"/>
  <c r="G2644" i="2" s="1"/>
  <c r="K2643" i="2"/>
  <c r="H2645" i="2" l="1"/>
  <c r="I2645" i="2"/>
  <c r="J2644" i="2"/>
  <c r="F2645" i="2"/>
  <c r="G2645" i="2" s="1"/>
  <c r="K2644" i="2"/>
  <c r="F2646" i="2" l="1"/>
  <c r="G2646" i="2" s="1"/>
  <c r="H2646" i="2"/>
  <c r="I2646" i="2"/>
  <c r="J2645" i="2"/>
  <c r="K2645" i="2"/>
  <c r="E2647" i="2" l="1"/>
  <c r="G2647" i="2" s="1"/>
  <c r="H2647" i="2"/>
  <c r="I2647" i="2"/>
  <c r="J2646" i="2"/>
  <c r="K2646" i="2" s="1"/>
  <c r="F2648" i="2" l="1"/>
  <c r="G2648" i="2" s="1"/>
  <c r="H2648" i="2"/>
  <c r="I2648" i="2"/>
  <c r="J2647" i="2"/>
  <c r="K2647" i="2" s="1"/>
  <c r="F2649" i="2" l="1"/>
  <c r="G2649" i="2" s="1"/>
  <c r="H2649" i="2"/>
  <c r="I2649" i="2"/>
  <c r="J2648" i="2"/>
  <c r="K2648" i="2" s="1"/>
  <c r="E2650" i="2" l="1"/>
  <c r="G2650" i="2" s="1"/>
  <c r="H2650" i="2"/>
  <c r="I2650" i="2"/>
  <c r="J2649" i="2"/>
  <c r="K2649" i="2"/>
  <c r="H2651" i="2" l="1"/>
  <c r="I2651" i="2"/>
  <c r="J2650" i="2"/>
  <c r="K2650" i="2" s="1"/>
  <c r="E2651" i="2"/>
  <c r="G2651" i="2" s="1"/>
  <c r="K2651" i="2" l="1"/>
  <c r="H2652" i="2"/>
  <c r="I2652" i="2"/>
  <c r="J2651" i="2"/>
  <c r="F2652" i="2"/>
  <c r="G2652" i="2" s="1"/>
  <c r="H2653" i="2" l="1"/>
  <c r="I2653" i="2"/>
  <c r="J2652" i="2"/>
  <c r="K2652" i="2" s="1"/>
  <c r="F2653" i="2"/>
  <c r="G2653" i="2" s="1"/>
  <c r="F2654" i="2" l="1"/>
  <c r="G2654" i="2" s="1"/>
  <c r="H2654" i="2"/>
  <c r="I2654" i="2"/>
  <c r="J2653" i="2"/>
  <c r="K2653" i="2"/>
  <c r="E2655" i="2" l="1"/>
  <c r="G2655" i="2" s="1"/>
  <c r="H2655" i="2"/>
  <c r="I2655" i="2"/>
  <c r="J2654" i="2"/>
  <c r="K2654" i="2" s="1"/>
  <c r="F2656" i="2" l="1"/>
  <c r="G2656" i="2" s="1"/>
  <c r="H2656" i="2"/>
  <c r="I2656" i="2"/>
  <c r="J2655" i="2"/>
  <c r="K2655" i="2" s="1"/>
  <c r="F2657" i="2" l="1"/>
  <c r="G2657" i="2" s="1"/>
  <c r="H2657" i="2"/>
  <c r="I2657" i="2"/>
  <c r="J2656" i="2"/>
  <c r="K2656" i="2" s="1"/>
  <c r="E2658" i="2" l="1"/>
  <c r="G2658" i="2" s="1"/>
  <c r="H2658" i="2"/>
  <c r="I2658" i="2"/>
  <c r="J2657" i="2"/>
  <c r="K2657" i="2" s="1"/>
  <c r="H2659" i="2" l="1"/>
  <c r="I2659" i="2"/>
  <c r="J2658" i="2"/>
  <c r="K2658" i="2" s="1"/>
  <c r="E2659" i="2"/>
  <c r="G2659" i="2" s="1"/>
  <c r="H2660" i="2" l="1"/>
  <c r="I2660" i="2"/>
  <c r="J2659" i="2"/>
  <c r="K2659" i="2" s="1"/>
  <c r="F2660" i="2"/>
  <c r="G2660" i="2" s="1"/>
  <c r="H2661" i="2" l="1"/>
  <c r="I2661" i="2"/>
  <c r="J2660" i="2"/>
  <c r="E2661" i="2"/>
  <c r="G2661" i="2" s="1"/>
  <c r="K2660" i="2"/>
  <c r="E2662" i="2" l="1"/>
  <c r="G2662" i="2" s="1"/>
  <c r="H2662" i="2"/>
  <c r="I2662" i="2"/>
  <c r="J2661" i="2"/>
  <c r="K2661" i="2" s="1"/>
  <c r="E2663" i="2" l="1"/>
  <c r="G2663" i="2" s="1"/>
  <c r="H2663" i="2"/>
  <c r="I2663" i="2"/>
  <c r="J2662" i="2"/>
  <c r="K2662" i="2" s="1"/>
  <c r="E2664" i="2" l="1"/>
  <c r="G2664" i="2" s="1"/>
  <c r="H2664" i="2"/>
  <c r="I2664" i="2"/>
  <c r="J2663" i="2"/>
  <c r="K2663" i="2" s="1"/>
  <c r="E2665" i="2" l="1"/>
  <c r="G2665" i="2" s="1"/>
  <c r="H2665" i="2"/>
  <c r="I2665" i="2"/>
  <c r="J2664" i="2"/>
  <c r="K2664" i="2" s="1"/>
  <c r="F2666" i="2" l="1"/>
  <c r="G2666" i="2" s="1"/>
  <c r="H2666" i="2"/>
  <c r="I2666" i="2"/>
  <c r="J2665" i="2"/>
  <c r="K2665" i="2" s="1"/>
  <c r="I2667" i="2" l="1"/>
  <c r="H2667" i="2"/>
  <c r="J2666" i="2"/>
  <c r="K2666" i="2" s="1"/>
  <c r="E2667" i="2"/>
  <c r="G2667" i="2" s="1"/>
  <c r="I2668" i="2" l="1"/>
  <c r="H2668" i="2"/>
  <c r="J2667" i="2"/>
  <c r="K2667" i="2" s="1"/>
  <c r="F2668" i="2"/>
  <c r="G2668" i="2" s="1"/>
  <c r="H2669" i="2" l="1"/>
  <c r="I2669" i="2"/>
  <c r="J2668" i="2"/>
  <c r="E2669" i="2"/>
  <c r="G2669" i="2" s="1"/>
  <c r="K2668" i="2"/>
  <c r="F2670" i="2" l="1"/>
  <c r="G2670" i="2" s="1"/>
  <c r="H2670" i="2"/>
  <c r="I2670" i="2"/>
  <c r="J2669" i="2"/>
  <c r="K2669" i="2"/>
  <c r="E2671" i="2" l="1"/>
  <c r="G2671" i="2" s="1"/>
  <c r="H2671" i="2"/>
  <c r="I2671" i="2"/>
  <c r="J2670" i="2"/>
  <c r="K2670" i="2" s="1"/>
  <c r="F2672" i="2" l="1"/>
  <c r="G2672" i="2" s="1"/>
  <c r="H2672" i="2"/>
  <c r="I2672" i="2"/>
  <c r="J2671" i="2"/>
  <c r="K2671" i="2" s="1"/>
  <c r="E2673" i="2" l="1"/>
  <c r="G2673" i="2" s="1"/>
  <c r="H2673" i="2"/>
  <c r="I2673" i="2"/>
  <c r="J2672" i="2"/>
  <c r="K2672" i="2" s="1"/>
  <c r="F2674" i="2" l="1"/>
  <c r="G2674" i="2" s="1"/>
  <c r="H2674" i="2"/>
  <c r="I2674" i="2"/>
  <c r="J2673" i="2"/>
  <c r="K2673" i="2" s="1"/>
  <c r="I2675" i="2" l="1"/>
  <c r="H2675" i="2"/>
  <c r="J2674" i="2"/>
  <c r="K2674" i="2" s="1"/>
  <c r="E2675" i="2"/>
  <c r="G2675" i="2" s="1"/>
  <c r="K2675" i="2" l="1"/>
  <c r="I2676" i="2"/>
  <c r="H2676" i="2"/>
  <c r="J2675" i="2"/>
  <c r="E2676" i="2"/>
  <c r="G2676" i="2" s="1"/>
  <c r="H2677" i="2" l="1"/>
  <c r="I2677" i="2"/>
  <c r="J2676" i="2"/>
  <c r="K2676" i="2" s="1"/>
  <c r="E2677" i="2"/>
  <c r="G2677" i="2" s="1"/>
  <c r="E2678" i="2" l="1"/>
  <c r="G2678" i="2" s="1"/>
  <c r="H2678" i="2"/>
  <c r="I2678" i="2"/>
  <c r="J2677" i="2"/>
  <c r="K2677" i="2" s="1"/>
  <c r="E2679" i="2" l="1"/>
  <c r="G2679" i="2" s="1"/>
  <c r="H2679" i="2"/>
  <c r="I2679" i="2"/>
  <c r="J2678" i="2"/>
  <c r="K2678" i="2"/>
  <c r="K2679" i="2" l="1"/>
  <c r="E2680" i="2"/>
  <c r="G2680" i="2" s="1"/>
  <c r="H2680" i="2"/>
  <c r="I2680" i="2"/>
  <c r="J2679" i="2"/>
  <c r="F2681" i="2" l="1"/>
  <c r="G2681" i="2" s="1"/>
  <c r="H2681" i="2"/>
  <c r="I2681" i="2"/>
  <c r="J2680" i="2"/>
  <c r="K2680" i="2" s="1"/>
  <c r="E2682" i="2" l="1"/>
  <c r="G2682" i="2" s="1"/>
  <c r="H2682" i="2"/>
  <c r="I2682" i="2"/>
  <c r="J2681" i="2"/>
  <c r="K2681" i="2" s="1"/>
  <c r="H2683" i="2" l="1"/>
  <c r="I2683" i="2"/>
  <c r="J2682" i="2"/>
  <c r="K2682" i="2" s="1"/>
  <c r="F2683" i="2"/>
  <c r="G2683" i="2" s="1"/>
  <c r="H2684" i="2" l="1"/>
  <c r="I2684" i="2"/>
  <c r="J2683" i="2"/>
  <c r="F2684" i="2"/>
  <c r="G2684" i="2" s="1"/>
  <c r="K2683" i="2"/>
  <c r="H2685" i="2" l="1"/>
  <c r="I2685" i="2"/>
  <c r="J2684" i="2"/>
  <c r="F2685" i="2"/>
  <c r="G2685" i="2" s="1"/>
  <c r="K2684" i="2"/>
  <c r="F2686" i="2" l="1"/>
  <c r="G2686" i="2" s="1"/>
  <c r="H2686" i="2"/>
  <c r="I2686" i="2"/>
  <c r="J2685" i="2"/>
  <c r="K2685" i="2"/>
  <c r="E2687" i="2" l="1"/>
  <c r="G2687" i="2" s="1"/>
  <c r="H2687" i="2"/>
  <c r="I2687" i="2"/>
  <c r="J2686" i="2"/>
  <c r="K2686" i="2" s="1"/>
  <c r="F2688" i="2" l="1"/>
  <c r="G2688" i="2" s="1"/>
  <c r="H2688" i="2"/>
  <c r="I2688" i="2"/>
  <c r="J2687" i="2"/>
  <c r="K2687" i="2" s="1"/>
  <c r="F2689" i="2" l="1"/>
  <c r="G2689" i="2" s="1"/>
  <c r="H2689" i="2"/>
  <c r="I2689" i="2"/>
  <c r="J2688" i="2"/>
  <c r="K2688" i="2" s="1"/>
  <c r="E2690" i="2" l="1"/>
  <c r="G2690" i="2" s="1"/>
  <c r="H2690" i="2"/>
  <c r="I2690" i="2"/>
  <c r="J2689" i="2"/>
  <c r="K2689" i="2" s="1"/>
  <c r="H2691" i="2" l="1"/>
  <c r="I2691" i="2"/>
  <c r="J2690" i="2"/>
  <c r="K2690" i="2" s="1"/>
  <c r="F2691" i="2"/>
  <c r="G2691" i="2" s="1"/>
  <c r="H2692" i="2" l="1"/>
  <c r="I2692" i="2"/>
  <c r="J2691" i="2"/>
  <c r="K2691" i="2" s="1"/>
  <c r="E2692" i="2"/>
  <c r="G2692" i="2" s="1"/>
  <c r="H2693" i="2" l="1"/>
  <c r="I2693" i="2"/>
  <c r="J2692" i="2"/>
  <c r="E2693" i="2"/>
  <c r="G2693" i="2" s="1"/>
  <c r="K2692" i="2"/>
  <c r="F2694" i="2" l="1"/>
  <c r="G2694" i="2" s="1"/>
  <c r="H2694" i="2"/>
  <c r="I2694" i="2"/>
  <c r="J2693" i="2"/>
  <c r="K2693" i="2"/>
  <c r="E2695" i="2" l="1"/>
  <c r="G2695" i="2" s="1"/>
  <c r="H2695" i="2"/>
  <c r="I2695" i="2"/>
  <c r="J2694" i="2"/>
  <c r="K2694" i="2" s="1"/>
  <c r="F2696" i="2" l="1"/>
  <c r="G2696" i="2" s="1"/>
  <c r="H2696" i="2"/>
  <c r="I2696" i="2"/>
  <c r="J2695" i="2"/>
  <c r="K2695" i="2" s="1"/>
  <c r="F2697" i="2" l="1"/>
  <c r="G2697" i="2" s="1"/>
  <c r="H2697" i="2"/>
  <c r="I2697" i="2"/>
  <c r="J2696" i="2"/>
  <c r="K2696" i="2" s="1"/>
  <c r="E2698" i="2" l="1"/>
  <c r="G2698" i="2" s="1"/>
  <c r="H2698" i="2"/>
  <c r="I2698" i="2"/>
  <c r="J2697" i="2"/>
  <c r="K2697" i="2" s="1"/>
  <c r="I2699" i="2" l="1"/>
  <c r="H2699" i="2"/>
  <c r="J2698" i="2"/>
  <c r="K2698" i="2" s="1"/>
  <c r="F2699" i="2"/>
  <c r="G2699" i="2" s="1"/>
  <c r="I2700" i="2" l="1"/>
  <c r="H2700" i="2"/>
  <c r="J2699" i="2"/>
  <c r="K2699" i="2" s="1"/>
  <c r="E2700" i="2"/>
  <c r="G2700" i="2" s="1"/>
  <c r="H2701" i="2" l="1"/>
  <c r="I2701" i="2"/>
  <c r="J2700" i="2"/>
  <c r="K2700" i="2" s="1"/>
  <c r="F2701" i="2"/>
  <c r="G2701" i="2" s="1"/>
  <c r="E2702" i="2" l="1"/>
  <c r="G2702" i="2" s="1"/>
  <c r="H2702" i="2"/>
  <c r="I2702" i="2"/>
  <c r="J2701" i="2"/>
  <c r="K2701" i="2"/>
  <c r="E2703" i="2" l="1"/>
  <c r="G2703" i="2" s="1"/>
  <c r="H2703" i="2"/>
  <c r="I2703" i="2"/>
  <c r="J2702" i="2"/>
  <c r="K2702" i="2" s="1"/>
  <c r="E2704" i="2" l="1"/>
  <c r="G2704" i="2" s="1"/>
  <c r="H2704" i="2"/>
  <c r="I2704" i="2"/>
  <c r="J2703" i="2"/>
  <c r="K2703" i="2" s="1"/>
  <c r="F2705" i="2" l="1"/>
  <c r="G2705" i="2" s="1"/>
  <c r="H2705" i="2"/>
  <c r="I2705" i="2"/>
  <c r="J2704" i="2"/>
  <c r="K2704" i="2"/>
  <c r="E2706" i="2" l="1"/>
  <c r="G2706" i="2" s="1"/>
  <c r="H2706" i="2"/>
  <c r="I2706" i="2"/>
  <c r="J2705" i="2"/>
  <c r="K2705" i="2" s="1"/>
  <c r="K2706" i="2" l="1"/>
  <c r="I2707" i="2"/>
  <c r="H2707" i="2"/>
  <c r="J2706" i="2"/>
  <c r="F2707" i="2"/>
  <c r="G2707" i="2" s="1"/>
  <c r="I2708" i="2" l="1"/>
  <c r="H2708" i="2"/>
  <c r="J2707" i="2"/>
  <c r="F2708" i="2"/>
  <c r="G2708" i="2" s="1"/>
  <c r="K2707" i="2"/>
  <c r="H2709" i="2" l="1"/>
  <c r="I2709" i="2"/>
  <c r="J2708" i="2"/>
  <c r="F2709" i="2"/>
  <c r="G2709" i="2" s="1"/>
  <c r="K2708" i="2"/>
  <c r="F2710" i="2" l="1"/>
  <c r="G2710" i="2" s="1"/>
  <c r="H2710" i="2"/>
  <c r="I2710" i="2"/>
  <c r="J2709" i="2"/>
  <c r="K2709" i="2"/>
  <c r="F2711" i="2" l="1"/>
  <c r="G2711" i="2" s="1"/>
  <c r="H2711" i="2"/>
  <c r="I2711" i="2"/>
  <c r="J2710" i="2"/>
  <c r="K2710" i="2" s="1"/>
  <c r="E2712" i="2" l="1"/>
  <c r="G2712" i="2" s="1"/>
  <c r="H2712" i="2"/>
  <c r="I2712" i="2"/>
  <c r="J2711" i="2"/>
  <c r="K2711" i="2" s="1"/>
  <c r="E2713" i="2" l="1"/>
  <c r="G2713" i="2" s="1"/>
  <c r="H2713" i="2"/>
  <c r="I2713" i="2"/>
  <c r="J2712" i="2"/>
  <c r="K2712" i="2" s="1"/>
  <c r="F2714" i="2" l="1"/>
  <c r="G2714" i="2" s="1"/>
  <c r="H2714" i="2"/>
  <c r="I2714" i="2"/>
  <c r="J2713" i="2"/>
  <c r="K2713" i="2" s="1"/>
  <c r="K2714" i="2" l="1"/>
  <c r="H2715" i="2"/>
  <c r="I2715" i="2"/>
  <c r="J2714" i="2"/>
  <c r="E2715" i="2"/>
  <c r="G2715" i="2" s="1"/>
  <c r="H2716" i="2" l="1"/>
  <c r="I2716" i="2"/>
  <c r="J2715" i="2"/>
  <c r="E2716" i="2"/>
  <c r="G2716" i="2" s="1"/>
  <c r="K2715" i="2"/>
  <c r="H2717" i="2" l="1"/>
  <c r="I2717" i="2"/>
  <c r="J2716" i="2"/>
  <c r="F2717" i="2"/>
  <c r="G2717" i="2" s="1"/>
  <c r="K2716" i="2"/>
  <c r="F2718" i="2" l="1"/>
  <c r="G2718" i="2" s="1"/>
  <c r="H2718" i="2"/>
  <c r="I2718" i="2"/>
  <c r="J2717" i="2"/>
  <c r="K2717" i="2"/>
  <c r="E2719" i="2" l="1"/>
  <c r="G2719" i="2" s="1"/>
  <c r="H2719" i="2"/>
  <c r="I2719" i="2"/>
  <c r="J2718" i="2"/>
  <c r="K2718" i="2" s="1"/>
  <c r="F2720" i="2" l="1"/>
  <c r="G2720" i="2" s="1"/>
  <c r="H2720" i="2"/>
  <c r="I2720" i="2"/>
  <c r="J2719" i="2"/>
  <c r="K2719" i="2" s="1"/>
  <c r="E2721" i="2" l="1"/>
  <c r="G2721" i="2" s="1"/>
  <c r="H2721" i="2"/>
  <c r="I2721" i="2"/>
  <c r="J2720" i="2"/>
  <c r="K2720" i="2" s="1"/>
  <c r="E2722" i="2" l="1"/>
  <c r="G2722" i="2" s="1"/>
  <c r="H2722" i="2"/>
  <c r="I2722" i="2"/>
  <c r="J2721" i="2"/>
  <c r="K2721" i="2" s="1"/>
  <c r="H2723" i="2" l="1"/>
  <c r="I2723" i="2"/>
  <c r="J2722" i="2"/>
  <c r="K2722" i="2" s="1"/>
  <c r="E2723" i="2"/>
  <c r="G2723" i="2" s="1"/>
  <c r="H2724" i="2" l="1"/>
  <c r="I2724" i="2"/>
  <c r="J2723" i="2"/>
  <c r="F2724" i="2"/>
  <c r="G2724" i="2" s="1"/>
  <c r="K2723" i="2"/>
  <c r="H2725" i="2" l="1"/>
  <c r="I2725" i="2"/>
  <c r="J2724" i="2"/>
  <c r="F2725" i="2"/>
  <c r="G2725" i="2" s="1"/>
  <c r="K2724" i="2"/>
  <c r="E2726" i="2" l="1"/>
  <c r="G2726" i="2" s="1"/>
  <c r="H2726" i="2"/>
  <c r="I2726" i="2"/>
  <c r="J2725" i="2"/>
  <c r="K2725" i="2"/>
  <c r="E2727" i="2" l="1"/>
  <c r="G2727" i="2" s="1"/>
  <c r="H2727" i="2"/>
  <c r="I2727" i="2"/>
  <c r="J2726" i="2"/>
  <c r="K2726" i="2" s="1"/>
  <c r="E2728" i="2" l="1"/>
  <c r="G2728" i="2" s="1"/>
  <c r="H2728" i="2"/>
  <c r="I2728" i="2"/>
  <c r="J2727" i="2"/>
  <c r="K2727" i="2" s="1"/>
  <c r="F2729" i="2" l="1"/>
  <c r="G2729" i="2" s="1"/>
  <c r="H2729" i="2"/>
  <c r="I2729" i="2"/>
  <c r="J2728" i="2"/>
  <c r="K2728" i="2" s="1"/>
  <c r="F2730" i="2" l="1"/>
  <c r="G2730" i="2" s="1"/>
  <c r="H2730" i="2"/>
  <c r="I2730" i="2"/>
  <c r="J2729" i="2"/>
  <c r="K2729" i="2" s="1"/>
  <c r="K2730" i="2" l="1"/>
  <c r="I2731" i="2"/>
  <c r="H2731" i="2"/>
  <c r="J2730" i="2"/>
  <c r="E2731" i="2"/>
  <c r="G2731" i="2" s="1"/>
  <c r="I2732" i="2" l="1"/>
  <c r="H2732" i="2"/>
  <c r="J2731" i="2"/>
  <c r="K2731" i="2" s="1"/>
  <c r="E2732" i="2"/>
  <c r="G2732" i="2" s="1"/>
  <c r="H2733" i="2" l="1"/>
  <c r="I2733" i="2"/>
  <c r="J2732" i="2"/>
  <c r="F2733" i="2"/>
  <c r="G2733" i="2" s="1"/>
  <c r="K2732" i="2"/>
  <c r="F2734" i="2" l="1"/>
  <c r="G2734" i="2" s="1"/>
  <c r="H2734" i="2"/>
  <c r="I2734" i="2"/>
  <c r="J2733" i="2"/>
  <c r="K2733" i="2"/>
  <c r="E2735" i="2" l="1"/>
  <c r="G2735" i="2" s="1"/>
  <c r="H2735" i="2"/>
  <c r="I2735" i="2"/>
  <c r="J2734" i="2"/>
  <c r="K2734" i="2" s="1"/>
  <c r="F2736" i="2" l="1"/>
  <c r="G2736" i="2" s="1"/>
  <c r="H2736" i="2"/>
  <c r="I2736" i="2"/>
  <c r="J2735" i="2"/>
  <c r="K2735" i="2" s="1"/>
  <c r="E2737" i="2" l="1"/>
  <c r="G2737" i="2" s="1"/>
  <c r="H2737" i="2"/>
  <c r="I2737" i="2"/>
  <c r="J2736" i="2"/>
  <c r="K2736" i="2" s="1"/>
  <c r="K2737" i="2" l="1"/>
  <c r="F2738" i="2"/>
  <c r="G2738" i="2" s="1"/>
  <c r="H2738" i="2"/>
  <c r="I2738" i="2"/>
  <c r="J2737" i="2"/>
  <c r="I2739" i="2" l="1"/>
  <c r="H2739" i="2"/>
  <c r="J2738" i="2"/>
  <c r="K2738" i="2" s="1"/>
  <c r="F2739" i="2"/>
  <c r="G2739" i="2" s="1"/>
  <c r="I2740" i="2" l="1"/>
  <c r="H2740" i="2"/>
  <c r="J2739" i="2"/>
  <c r="K2739" i="2" s="1"/>
  <c r="F2740" i="2"/>
  <c r="G2740" i="2" s="1"/>
  <c r="H2741" i="2" l="1"/>
  <c r="I2741" i="2"/>
  <c r="J2740" i="2"/>
  <c r="E2741" i="2"/>
  <c r="G2741" i="2" s="1"/>
  <c r="K2740" i="2"/>
  <c r="E2742" i="2" l="1"/>
  <c r="G2742" i="2" s="1"/>
  <c r="H2742" i="2"/>
  <c r="J2741" i="2"/>
  <c r="I2742" i="2"/>
  <c r="K2741" i="2"/>
  <c r="F2743" i="2" l="1"/>
  <c r="G2743" i="2" s="1"/>
  <c r="H2743" i="2"/>
  <c r="I2743" i="2"/>
  <c r="J2742" i="2"/>
  <c r="K2742" i="2" s="1"/>
  <c r="E2744" i="2" l="1"/>
  <c r="G2744" i="2" s="1"/>
  <c r="H2744" i="2"/>
  <c r="I2744" i="2"/>
  <c r="J2743" i="2"/>
  <c r="K2743" i="2"/>
  <c r="F2745" i="2" l="1"/>
  <c r="G2745" i="2" s="1"/>
  <c r="H2745" i="2"/>
  <c r="I2745" i="2"/>
  <c r="J2744" i="2"/>
  <c r="K2744" i="2" s="1"/>
  <c r="E2746" i="2" l="1"/>
  <c r="G2746" i="2" s="1"/>
  <c r="H2746" i="2"/>
  <c r="I2746" i="2"/>
  <c r="J2745" i="2"/>
  <c r="K2745" i="2" s="1"/>
  <c r="H2747" i="2" l="1"/>
  <c r="I2747" i="2"/>
  <c r="J2746" i="2"/>
  <c r="K2746" i="2" s="1"/>
  <c r="E2747" i="2"/>
  <c r="G2747" i="2" s="1"/>
  <c r="H2748" i="2" l="1"/>
  <c r="I2748" i="2"/>
  <c r="J2747" i="2"/>
  <c r="F2748" i="2"/>
  <c r="G2748" i="2" s="1"/>
  <c r="K2747" i="2"/>
  <c r="H2749" i="2" l="1"/>
  <c r="I2749" i="2"/>
  <c r="J2748" i="2"/>
  <c r="E2749" i="2"/>
  <c r="G2749" i="2" s="1"/>
  <c r="K2748" i="2"/>
  <c r="E2750" i="2" l="1"/>
  <c r="G2750" i="2" s="1"/>
  <c r="H2750" i="2"/>
  <c r="I2750" i="2"/>
  <c r="J2749" i="2"/>
  <c r="K2749" i="2"/>
  <c r="F2751" i="2" l="1"/>
  <c r="G2751" i="2" s="1"/>
  <c r="H2751" i="2"/>
  <c r="I2751" i="2"/>
  <c r="J2750" i="2"/>
  <c r="K2750" i="2" s="1"/>
  <c r="E2752" i="2" l="1"/>
  <c r="G2752" i="2" s="1"/>
  <c r="H2752" i="2"/>
  <c r="I2752" i="2"/>
  <c r="J2751" i="2"/>
  <c r="K2751" i="2" s="1"/>
  <c r="E2753" i="2" l="1"/>
  <c r="G2753" i="2" s="1"/>
  <c r="H2753" i="2"/>
  <c r="I2753" i="2"/>
  <c r="J2752" i="2"/>
  <c r="K2752" i="2" s="1"/>
  <c r="F2754" i="2" l="1"/>
  <c r="G2754" i="2" s="1"/>
  <c r="H2754" i="2"/>
  <c r="I2754" i="2"/>
  <c r="J2753" i="2"/>
  <c r="K2753" i="2" s="1"/>
  <c r="H2755" i="2" l="1"/>
  <c r="I2755" i="2"/>
  <c r="J2754" i="2"/>
  <c r="K2754" i="2" s="1"/>
  <c r="F2755" i="2"/>
  <c r="G2755" i="2" s="1"/>
  <c r="H2756" i="2" l="1"/>
  <c r="I2756" i="2"/>
  <c r="J2755" i="2"/>
  <c r="E2756" i="2"/>
  <c r="G2756" i="2" s="1"/>
  <c r="K2755" i="2"/>
  <c r="H2757" i="2" l="1"/>
  <c r="I2757" i="2"/>
  <c r="J2756" i="2"/>
  <c r="E2757" i="2"/>
  <c r="G2757" i="2" s="1"/>
  <c r="K2756" i="2"/>
  <c r="E2758" i="2" l="1"/>
  <c r="G2758" i="2" s="1"/>
  <c r="H2758" i="2"/>
  <c r="I2758" i="2"/>
  <c r="J2757" i="2"/>
  <c r="K2757" i="2"/>
  <c r="F2759" i="2" l="1"/>
  <c r="G2759" i="2" s="1"/>
  <c r="H2759" i="2"/>
  <c r="I2759" i="2"/>
  <c r="J2758" i="2"/>
  <c r="K2758" i="2" s="1"/>
  <c r="E2760" i="2" l="1"/>
  <c r="G2760" i="2" s="1"/>
  <c r="H2760" i="2"/>
  <c r="I2760" i="2"/>
  <c r="J2759" i="2"/>
  <c r="K2759" i="2" s="1"/>
  <c r="F2761" i="2" l="1"/>
  <c r="G2761" i="2" s="1"/>
  <c r="H2761" i="2"/>
  <c r="I2761" i="2"/>
  <c r="J2760" i="2"/>
  <c r="K2760" i="2" s="1"/>
  <c r="F2762" i="2" l="1"/>
  <c r="G2762" i="2" s="1"/>
  <c r="H2762" i="2"/>
  <c r="I2762" i="2"/>
  <c r="J2761" i="2"/>
  <c r="K2761" i="2" s="1"/>
  <c r="K2762" i="2" l="1"/>
  <c r="I2763" i="2"/>
  <c r="H2763" i="2"/>
  <c r="J2762" i="2"/>
  <c r="F2763" i="2"/>
  <c r="G2763" i="2" s="1"/>
  <c r="I2764" i="2" l="1"/>
  <c r="H2764" i="2"/>
  <c r="J2763" i="2"/>
  <c r="F2764" i="2"/>
  <c r="G2764" i="2" s="1"/>
  <c r="K2763" i="2"/>
  <c r="H2765" i="2" l="1"/>
  <c r="I2765" i="2"/>
  <c r="J2764" i="2"/>
  <c r="K2764" i="2" s="1"/>
  <c r="F2765" i="2"/>
  <c r="G2765" i="2" s="1"/>
  <c r="F2766" i="2" l="1"/>
  <c r="G2766" i="2" s="1"/>
  <c r="H2766" i="2"/>
  <c r="I2766" i="2"/>
  <c r="J2765" i="2"/>
  <c r="K2765" i="2" s="1"/>
  <c r="E2767" i="2" l="1"/>
  <c r="G2767" i="2" s="1"/>
  <c r="H2767" i="2"/>
  <c r="I2767" i="2"/>
  <c r="J2766" i="2"/>
  <c r="K2766" i="2" s="1"/>
  <c r="E2768" i="2" l="1"/>
  <c r="G2768" i="2" s="1"/>
  <c r="H2768" i="2"/>
  <c r="I2768" i="2"/>
  <c r="J2767" i="2"/>
  <c r="K2767" i="2" s="1"/>
  <c r="F2769" i="2" l="1"/>
  <c r="G2769" i="2" s="1"/>
  <c r="H2769" i="2"/>
  <c r="I2769" i="2"/>
  <c r="J2768" i="2"/>
  <c r="K2768" i="2" s="1"/>
  <c r="F2770" i="2" l="1"/>
  <c r="G2770" i="2" s="1"/>
  <c r="H2770" i="2"/>
  <c r="I2770" i="2"/>
  <c r="J2769" i="2"/>
  <c r="K2769" i="2" s="1"/>
  <c r="I2771" i="2" l="1"/>
  <c r="H2771" i="2"/>
  <c r="J2770" i="2"/>
  <c r="K2770" i="2" s="1"/>
  <c r="E2771" i="2"/>
  <c r="G2771" i="2" s="1"/>
  <c r="I2772" i="2" l="1"/>
  <c r="H2772" i="2"/>
  <c r="J2771" i="2"/>
  <c r="K2771" i="2" s="1"/>
  <c r="E2772" i="2"/>
  <c r="G2772" i="2" s="1"/>
  <c r="H2773" i="2" l="1"/>
  <c r="I2773" i="2"/>
  <c r="J2772" i="2"/>
  <c r="K2772" i="2" s="1"/>
  <c r="E2773" i="2"/>
  <c r="G2773" i="2" s="1"/>
  <c r="F2774" i="2" l="1"/>
  <c r="G2774" i="2" s="1"/>
  <c r="H2774" i="2"/>
  <c r="I2774" i="2"/>
  <c r="J2773" i="2"/>
  <c r="K2773" i="2" s="1"/>
  <c r="E2775" i="2" l="1"/>
  <c r="G2775" i="2" s="1"/>
  <c r="H2775" i="2"/>
  <c r="I2775" i="2"/>
  <c r="J2774" i="2"/>
  <c r="K2774" i="2" s="1"/>
  <c r="F2776" i="2" l="1"/>
  <c r="G2776" i="2" s="1"/>
  <c r="H2776" i="2"/>
  <c r="I2776" i="2"/>
  <c r="J2775" i="2"/>
  <c r="K2775" i="2" s="1"/>
  <c r="E2777" i="2" l="1"/>
  <c r="G2777" i="2" s="1"/>
  <c r="H2777" i="2"/>
  <c r="I2777" i="2"/>
  <c r="J2776" i="2"/>
  <c r="K2776" i="2" s="1"/>
  <c r="F2778" i="2" l="1"/>
  <c r="G2778" i="2" s="1"/>
  <c r="H2778" i="2"/>
  <c r="I2778" i="2"/>
  <c r="J2777" i="2"/>
  <c r="K2777" i="2" s="1"/>
  <c r="H2779" i="2" l="1"/>
  <c r="I2779" i="2"/>
  <c r="J2778" i="2"/>
  <c r="K2778" i="2" s="1"/>
  <c r="F2779" i="2"/>
  <c r="G2779" i="2" s="1"/>
  <c r="H2780" i="2" l="1"/>
  <c r="I2780" i="2"/>
  <c r="J2779" i="2"/>
  <c r="E2780" i="2"/>
  <c r="G2780" i="2" s="1"/>
  <c r="K2779" i="2"/>
  <c r="H2781" i="2" l="1"/>
  <c r="I2781" i="2"/>
  <c r="J2780" i="2"/>
  <c r="E2781" i="2"/>
  <c r="G2781" i="2" s="1"/>
  <c r="K2780" i="2"/>
  <c r="F2782" i="2" l="1"/>
  <c r="G2782" i="2" s="1"/>
  <c r="H2782" i="2"/>
  <c r="I2782" i="2"/>
  <c r="J2781" i="2"/>
  <c r="K2781" i="2"/>
  <c r="F2783" i="2" l="1"/>
  <c r="G2783" i="2" s="1"/>
  <c r="H2783" i="2"/>
  <c r="I2783" i="2"/>
  <c r="J2782" i="2"/>
  <c r="K2782" i="2" s="1"/>
  <c r="F2784" i="2" l="1"/>
  <c r="G2784" i="2" s="1"/>
  <c r="H2784" i="2"/>
  <c r="I2784" i="2"/>
  <c r="J2783" i="2"/>
  <c r="K2783" i="2" s="1"/>
  <c r="F2785" i="2" l="1"/>
  <c r="G2785" i="2" s="1"/>
  <c r="H2785" i="2"/>
  <c r="I2785" i="2"/>
  <c r="J2784" i="2"/>
  <c r="K2784" i="2" s="1"/>
  <c r="F2786" i="2" l="1"/>
  <c r="G2786" i="2" s="1"/>
  <c r="H2786" i="2"/>
  <c r="I2786" i="2"/>
  <c r="J2785" i="2"/>
  <c r="K2785" i="2" s="1"/>
  <c r="H2787" i="2" l="1"/>
  <c r="I2787" i="2"/>
  <c r="J2786" i="2"/>
  <c r="K2786" i="2" s="1"/>
  <c r="E2787" i="2"/>
  <c r="G2787" i="2" s="1"/>
  <c r="H2788" i="2" l="1"/>
  <c r="I2788" i="2"/>
  <c r="J2787" i="2"/>
  <c r="E2788" i="2"/>
  <c r="G2788" i="2" s="1"/>
  <c r="K2787" i="2"/>
  <c r="H2789" i="2" l="1"/>
  <c r="I2789" i="2"/>
  <c r="J2788" i="2"/>
  <c r="K2788" i="2" s="1"/>
  <c r="F2789" i="2"/>
  <c r="G2789" i="2" s="1"/>
  <c r="F2790" i="2" l="1"/>
  <c r="G2790" i="2" s="1"/>
  <c r="H2790" i="2"/>
  <c r="I2790" i="2"/>
  <c r="J2789" i="2"/>
  <c r="K2789" i="2" s="1"/>
  <c r="F2791" i="2" l="1"/>
  <c r="G2791" i="2" s="1"/>
  <c r="H2791" i="2"/>
  <c r="I2791" i="2"/>
  <c r="J2790" i="2"/>
  <c r="K2790" i="2" s="1"/>
  <c r="F2792" i="2" l="1"/>
  <c r="G2792" i="2" s="1"/>
  <c r="H2792" i="2"/>
  <c r="I2792" i="2"/>
  <c r="J2791" i="2"/>
  <c r="K2791" i="2" s="1"/>
  <c r="F2793" i="2" l="1"/>
  <c r="G2793" i="2" s="1"/>
  <c r="H2793" i="2"/>
  <c r="I2793" i="2"/>
  <c r="J2792" i="2"/>
  <c r="K2792" i="2" s="1"/>
  <c r="K2793" i="2" l="1"/>
  <c r="E2794" i="2"/>
  <c r="G2794" i="2" s="1"/>
  <c r="H2794" i="2"/>
  <c r="I2794" i="2"/>
  <c r="J2793" i="2"/>
  <c r="I2795" i="2" l="1"/>
  <c r="H2795" i="2"/>
  <c r="J2794" i="2"/>
  <c r="F2795" i="2"/>
  <c r="G2795" i="2" s="1"/>
  <c r="K2794" i="2"/>
  <c r="I2796" i="2" l="1"/>
  <c r="H2796" i="2"/>
  <c r="J2795" i="2"/>
  <c r="E2796" i="2"/>
  <c r="G2796" i="2" s="1"/>
  <c r="K2795" i="2"/>
  <c r="H2797" i="2" l="1"/>
  <c r="I2797" i="2"/>
  <c r="J2796" i="2"/>
  <c r="F2797" i="2"/>
  <c r="G2797" i="2" s="1"/>
  <c r="K2796" i="2"/>
  <c r="F2798" i="2" l="1"/>
  <c r="G2798" i="2" s="1"/>
  <c r="H2798" i="2"/>
  <c r="I2798" i="2"/>
  <c r="J2797" i="2"/>
  <c r="K2797" i="2"/>
  <c r="E2799" i="2" l="1"/>
  <c r="G2799" i="2" s="1"/>
  <c r="H2799" i="2"/>
  <c r="I2799" i="2"/>
  <c r="J2798" i="2"/>
  <c r="K2798" i="2" s="1"/>
  <c r="E2800" i="2" l="1"/>
  <c r="G2800" i="2" s="1"/>
  <c r="H2800" i="2"/>
  <c r="I2800" i="2"/>
  <c r="J2799" i="2"/>
  <c r="K2799" i="2" s="1"/>
  <c r="F2801" i="2" l="1"/>
  <c r="G2801" i="2" s="1"/>
  <c r="H2801" i="2"/>
  <c r="I2801" i="2"/>
  <c r="J2800" i="2"/>
  <c r="K2800" i="2" s="1"/>
  <c r="F2802" i="2" l="1"/>
  <c r="G2802" i="2" s="1"/>
  <c r="H2802" i="2"/>
  <c r="I2802" i="2"/>
  <c r="J2801" i="2"/>
  <c r="K2801" i="2" s="1"/>
  <c r="I2803" i="2" l="1"/>
  <c r="H2803" i="2"/>
  <c r="J2802" i="2"/>
  <c r="E2803" i="2"/>
  <c r="G2803" i="2" s="1"/>
  <c r="K2802" i="2"/>
  <c r="K2803" i="2" l="1"/>
  <c r="I2804" i="2"/>
  <c r="H2804" i="2"/>
  <c r="J2803" i="2"/>
  <c r="E2804" i="2"/>
  <c r="G2804" i="2" s="1"/>
  <c r="H2805" i="2" l="1"/>
  <c r="I2805" i="2"/>
  <c r="J2804" i="2"/>
  <c r="E2805" i="2"/>
  <c r="G2805" i="2" s="1"/>
  <c r="K2804" i="2"/>
  <c r="F2806" i="2" l="1"/>
  <c r="G2806" i="2" s="1"/>
  <c r="H2806" i="2"/>
  <c r="I2806" i="2"/>
  <c r="J2805" i="2"/>
  <c r="K2805" i="2"/>
  <c r="F2807" i="2" l="1"/>
  <c r="G2807" i="2" s="1"/>
  <c r="H2807" i="2"/>
  <c r="I2807" i="2"/>
  <c r="J2806" i="2"/>
  <c r="K2806" i="2" s="1"/>
  <c r="F2808" i="2" l="1"/>
  <c r="G2808" i="2" s="1"/>
  <c r="H2808" i="2"/>
  <c r="I2808" i="2"/>
  <c r="J2807" i="2"/>
  <c r="K2807" i="2" s="1"/>
  <c r="E2809" i="2" l="1"/>
  <c r="G2809" i="2" s="1"/>
  <c r="H2809" i="2"/>
  <c r="I2809" i="2"/>
  <c r="J2808" i="2"/>
  <c r="K2808" i="2" s="1"/>
  <c r="F2810" i="2" l="1"/>
  <c r="G2810" i="2" s="1"/>
  <c r="H2810" i="2"/>
  <c r="I2810" i="2"/>
  <c r="J2809" i="2"/>
  <c r="K2809" i="2" s="1"/>
  <c r="H2811" i="2" l="1"/>
  <c r="I2811" i="2"/>
  <c r="J2810" i="2"/>
  <c r="K2810" i="2" s="1"/>
  <c r="F2811" i="2"/>
  <c r="G2811" i="2" s="1"/>
  <c r="H2812" i="2" l="1"/>
  <c r="I2812" i="2"/>
  <c r="J2811" i="2"/>
  <c r="F2812" i="2"/>
  <c r="G2812" i="2" s="1"/>
  <c r="K2811" i="2"/>
  <c r="H2813" i="2" l="1"/>
  <c r="I2813" i="2"/>
  <c r="J2812" i="2"/>
  <c r="F2813" i="2"/>
  <c r="G2813" i="2" s="1"/>
  <c r="K2812" i="2"/>
  <c r="F2814" i="2" l="1"/>
  <c r="G2814" i="2" s="1"/>
  <c r="H2814" i="2"/>
  <c r="I2814" i="2"/>
  <c r="J2813" i="2"/>
  <c r="K2813" i="2"/>
  <c r="K2814" i="2" l="1"/>
  <c r="F2815" i="2"/>
  <c r="G2815" i="2" s="1"/>
  <c r="H2815" i="2"/>
  <c r="I2815" i="2"/>
  <c r="J2814" i="2"/>
  <c r="F2816" i="2" l="1"/>
  <c r="G2816" i="2" s="1"/>
  <c r="H2816" i="2"/>
  <c r="I2816" i="2"/>
  <c r="J2815" i="2"/>
  <c r="K2815" i="2" s="1"/>
  <c r="F2817" i="2" l="1"/>
  <c r="G2817" i="2" s="1"/>
  <c r="H2817" i="2"/>
  <c r="I2817" i="2"/>
  <c r="J2816" i="2"/>
  <c r="K2816" i="2"/>
  <c r="E2818" i="2" l="1"/>
  <c r="G2818" i="2" s="1"/>
  <c r="H2818" i="2"/>
  <c r="I2818" i="2"/>
  <c r="J2817" i="2"/>
  <c r="K2817" i="2" s="1"/>
  <c r="H2819" i="2" l="1"/>
  <c r="I2819" i="2"/>
  <c r="J2818" i="2"/>
  <c r="K2818" i="2" s="1"/>
  <c r="F2819" i="2"/>
  <c r="G2819" i="2" s="1"/>
  <c r="H2820" i="2" l="1"/>
  <c r="I2820" i="2"/>
  <c r="J2819" i="2"/>
  <c r="E2820" i="2"/>
  <c r="G2820" i="2" s="1"/>
  <c r="K2819" i="2"/>
  <c r="H2821" i="2" l="1"/>
  <c r="I2821" i="2"/>
  <c r="J2820" i="2"/>
  <c r="F2821" i="2"/>
  <c r="G2821" i="2" s="1"/>
  <c r="K2820" i="2"/>
  <c r="E2822" i="2" l="1"/>
  <c r="G2822" i="2" s="1"/>
  <c r="H2822" i="2"/>
  <c r="I2822" i="2"/>
  <c r="J2821" i="2"/>
  <c r="K2821" i="2"/>
  <c r="E2823" i="2" l="1"/>
  <c r="G2823" i="2" s="1"/>
  <c r="H2823" i="2"/>
  <c r="I2823" i="2"/>
  <c r="J2822" i="2"/>
  <c r="K2822" i="2" s="1"/>
  <c r="E2824" i="2" l="1"/>
  <c r="G2824" i="2" s="1"/>
  <c r="H2824" i="2"/>
  <c r="I2824" i="2"/>
  <c r="J2823" i="2"/>
  <c r="K2823" i="2" s="1"/>
  <c r="F2825" i="2" l="1"/>
  <c r="G2825" i="2" s="1"/>
  <c r="H2825" i="2"/>
  <c r="I2825" i="2"/>
  <c r="J2824" i="2"/>
  <c r="K2824" i="2" s="1"/>
  <c r="F2826" i="2" l="1"/>
  <c r="G2826" i="2" s="1"/>
  <c r="H2826" i="2"/>
  <c r="I2826" i="2"/>
  <c r="J2825" i="2"/>
  <c r="K2825" i="2" s="1"/>
  <c r="I2827" i="2" l="1"/>
  <c r="H2827" i="2"/>
  <c r="J2826" i="2"/>
  <c r="K2826" i="2" s="1"/>
  <c r="E2827" i="2"/>
  <c r="G2827" i="2" s="1"/>
  <c r="I2828" i="2" l="1"/>
  <c r="H2828" i="2"/>
  <c r="J2827" i="2"/>
  <c r="F2828" i="2"/>
  <c r="G2828" i="2" s="1"/>
  <c r="K2827" i="2"/>
  <c r="H2829" i="2" l="1"/>
  <c r="I2829" i="2"/>
  <c r="J2828" i="2"/>
  <c r="E2829" i="2"/>
  <c r="G2829" i="2" s="1"/>
  <c r="K2828" i="2"/>
  <c r="E2830" i="2" l="1"/>
  <c r="G2830" i="2" s="1"/>
  <c r="H2830" i="2"/>
  <c r="I2830" i="2"/>
  <c r="J2829" i="2"/>
  <c r="K2829" i="2"/>
  <c r="E2831" i="2" l="1"/>
  <c r="G2831" i="2" s="1"/>
  <c r="H2831" i="2"/>
  <c r="I2831" i="2"/>
  <c r="J2830" i="2"/>
  <c r="K2830" i="2" s="1"/>
  <c r="F2832" i="2" l="1"/>
  <c r="G2832" i="2" s="1"/>
  <c r="H2832" i="2"/>
  <c r="I2832" i="2"/>
  <c r="J2831" i="2"/>
  <c r="K2831" i="2"/>
  <c r="F2833" i="2" l="1"/>
  <c r="G2833" i="2" s="1"/>
  <c r="H2833" i="2"/>
  <c r="I2833" i="2"/>
  <c r="J2832" i="2"/>
  <c r="K2832" i="2" s="1"/>
  <c r="F2834" i="2" l="1"/>
  <c r="G2834" i="2" s="1"/>
  <c r="H2834" i="2"/>
  <c r="I2834" i="2"/>
  <c r="J2833" i="2"/>
  <c r="K2833" i="2" s="1"/>
  <c r="I2835" i="2" l="1"/>
  <c r="H2835" i="2"/>
  <c r="J2834" i="2"/>
  <c r="E2835" i="2"/>
  <c r="G2835" i="2" s="1"/>
  <c r="K2834" i="2"/>
  <c r="I2836" i="2" l="1"/>
  <c r="H2836" i="2"/>
  <c r="J2835" i="2"/>
  <c r="F2836" i="2"/>
  <c r="G2836" i="2" s="1"/>
  <c r="K2835" i="2"/>
  <c r="H2837" i="2" l="1"/>
  <c r="I2837" i="2"/>
  <c r="J2836" i="2"/>
  <c r="K2836" i="2" s="1"/>
  <c r="E2837" i="2"/>
  <c r="G2837" i="2" s="1"/>
  <c r="E2838" i="2" l="1"/>
  <c r="G2838" i="2" s="1"/>
  <c r="H2838" i="2"/>
  <c r="I2838" i="2"/>
  <c r="J2837" i="2"/>
  <c r="K2837" i="2"/>
  <c r="F2839" i="2" l="1"/>
  <c r="G2839" i="2" s="1"/>
  <c r="H2839" i="2"/>
  <c r="I2839" i="2"/>
  <c r="J2838" i="2"/>
  <c r="K2838" i="2" s="1"/>
  <c r="F2840" i="2" l="1"/>
  <c r="G2840" i="2" s="1"/>
  <c r="H2840" i="2"/>
  <c r="I2840" i="2"/>
  <c r="J2839" i="2"/>
  <c r="K2839" i="2" s="1"/>
  <c r="F2841" i="2" l="1"/>
  <c r="G2841" i="2" s="1"/>
  <c r="H2841" i="2"/>
  <c r="I2841" i="2"/>
  <c r="J2840" i="2"/>
  <c r="K2840" i="2"/>
  <c r="E2842" i="2" l="1"/>
  <c r="G2842" i="2" s="1"/>
  <c r="H2842" i="2"/>
  <c r="I2842" i="2"/>
  <c r="J2841" i="2"/>
  <c r="K2841" i="2" s="1"/>
  <c r="H2843" i="2" l="1"/>
  <c r="I2843" i="2"/>
  <c r="J2842" i="2"/>
  <c r="K2842" i="2" s="1"/>
  <c r="F2843" i="2"/>
  <c r="G2843" i="2" s="1"/>
  <c r="H2844" i="2" l="1"/>
  <c r="I2844" i="2"/>
  <c r="J2843" i="2"/>
  <c r="F2844" i="2"/>
  <c r="G2844" i="2" s="1"/>
  <c r="K2843" i="2"/>
  <c r="H2845" i="2" l="1"/>
  <c r="I2845" i="2"/>
  <c r="J2844" i="2"/>
  <c r="F2845" i="2"/>
  <c r="G2845" i="2" s="1"/>
  <c r="K2844" i="2"/>
  <c r="F2846" i="2" l="1"/>
  <c r="G2846" i="2" s="1"/>
  <c r="H2846" i="2"/>
  <c r="I2846" i="2"/>
  <c r="J2845" i="2"/>
  <c r="K2845" i="2"/>
  <c r="F2847" i="2" l="1"/>
  <c r="G2847" i="2" s="1"/>
  <c r="H2847" i="2"/>
  <c r="I2847" i="2"/>
  <c r="J2846" i="2"/>
  <c r="K2846" i="2" s="1"/>
  <c r="F2848" i="2" l="1"/>
  <c r="G2848" i="2" s="1"/>
  <c r="H2848" i="2"/>
  <c r="I2848" i="2"/>
  <c r="J2847" i="2"/>
  <c r="K2847" i="2" s="1"/>
  <c r="F2849" i="2" l="1"/>
  <c r="G2849" i="2" s="1"/>
  <c r="H2849" i="2"/>
  <c r="I2849" i="2"/>
  <c r="J2848" i="2"/>
  <c r="K2848" i="2" s="1"/>
  <c r="E2850" i="2" l="1"/>
  <c r="G2850" i="2" s="1"/>
  <c r="H2850" i="2"/>
  <c r="I2850" i="2"/>
  <c r="J2849" i="2"/>
  <c r="K2849" i="2" s="1"/>
  <c r="H2851" i="2" l="1"/>
  <c r="I2851" i="2"/>
  <c r="J2850" i="2"/>
  <c r="K2850" i="2" s="1"/>
  <c r="E2851" i="2"/>
  <c r="G2851" i="2" s="1"/>
  <c r="H2852" i="2" l="1"/>
  <c r="I2852" i="2"/>
  <c r="J2851" i="2"/>
  <c r="K2851" i="2" s="1"/>
  <c r="F2852" i="2"/>
  <c r="G2852" i="2" s="1"/>
  <c r="H2853" i="2" l="1"/>
  <c r="I2853" i="2"/>
  <c r="J2852" i="2"/>
  <c r="K2852" i="2" s="1"/>
  <c r="F2853" i="2"/>
  <c r="G2853" i="2" s="1"/>
  <c r="E2854" i="2" l="1"/>
  <c r="G2854" i="2" s="1"/>
  <c r="H2854" i="2"/>
  <c r="I2854" i="2"/>
  <c r="J2853" i="2"/>
  <c r="K2853" i="2"/>
  <c r="E2855" i="2" l="1"/>
  <c r="G2855" i="2" s="1"/>
  <c r="H2855" i="2"/>
  <c r="I2855" i="2"/>
  <c r="J2854" i="2"/>
  <c r="K2854" i="2" s="1"/>
  <c r="E2856" i="2" l="1"/>
  <c r="G2856" i="2" s="1"/>
  <c r="H2856" i="2"/>
  <c r="I2856" i="2"/>
  <c r="J2855" i="2"/>
  <c r="K2855" i="2" s="1"/>
  <c r="F2857" i="2" l="1"/>
  <c r="G2857" i="2" s="1"/>
  <c r="H2857" i="2"/>
  <c r="I2857" i="2"/>
  <c r="J2856" i="2"/>
  <c r="K2856" i="2" s="1"/>
  <c r="F2858" i="2" l="1"/>
  <c r="G2858" i="2" s="1"/>
  <c r="H2858" i="2"/>
  <c r="I2858" i="2"/>
  <c r="J2857" i="2"/>
  <c r="K2857" i="2" s="1"/>
  <c r="I2859" i="2" l="1"/>
  <c r="H2859" i="2"/>
  <c r="J2858" i="2"/>
  <c r="K2858" i="2" s="1"/>
  <c r="E2859" i="2"/>
  <c r="G2859" i="2" s="1"/>
  <c r="I2860" i="2" l="1"/>
  <c r="H2860" i="2"/>
  <c r="J2859" i="2"/>
  <c r="K2859" i="2" s="1"/>
  <c r="F2860" i="2"/>
  <c r="G2860" i="2" s="1"/>
  <c r="H2861" i="2" l="1"/>
  <c r="I2861" i="2"/>
  <c r="J2860" i="2"/>
  <c r="F2861" i="2"/>
  <c r="G2861" i="2" s="1"/>
  <c r="K2860" i="2"/>
  <c r="F2862" i="2" l="1"/>
  <c r="G2862" i="2" s="1"/>
  <c r="H2862" i="2"/>
  <c r="I2862" i="2"/>
  <c r="J2861" i="2"/>
  <c r="K2861" i="2"/>
  <c r="E2863" i="2" l="1"/>
  <c r="G2863" i="2" s="1"/>
  <c r="H2863" i="2"/>
  <c r="J2862" i="2"/>
  <c r="K2862" i="2" s="1"/>
  <c r="I2863" i="2"/>
  <c r="F2864" i="2" l="1"/>
  <c r="G2864" i="2" s="1"/>
  <c r="H2864" i="2"/>
  <c r="I2864" i="2"/>
  <c r="J2863" i="2"/>
  <c r="K2863" i="2"/>
  <c r="E2865" i="2" l="1"/>
  <c r="G2865" i="2" s="1"/>
  <c r="H2865" i="2"/>
  <c r="I2865" i="2"/>
  <c r="J2864" i="2"/>
  <c r="K2864" i="2" s="1"/>
  <c r="K2865" i="2" l="1"/>
  <c r="F2866" i="2"/>
  <c r="G2866" i="2" s="1"/>
  <c r="H2866" i="2"/>
  <c r="I2866" i="2"/>
  <c r="J2865" i="2"/>
  <c r="I2867" i="2" l="1"/>
  <c r="H2867" i="2"/>
  <c r="J2866" i="2"/>
  <c r="K2866" i="2" s="1"/>
  <c r="F2867" i="2"/>
  <c r="G2867" i="2" s="1"/>
  <c r="I2868" i="2" l="1"/>
  <c r="H2868" i="2"/>
  <c r="J2867" i="2"/>
  <c r="K2867" i="2" s="1"/>
  <c r="F2868" i="2"/>
  <c r="G2868" i="2" s="1"/>
  <c r="H2869" i="2" l="1"/>
  <c r="I2869" i="2"/>
  <c r="J2868" i="2"/>
  <c r="F2869" i="2"/>
  <c r="G2869" i="2" s="1"/>
  <c r="K2868" i="2"/>
  <c r="F2870" i="2" l="1"/>
  <c r="G2870" i="2" s="1"/>
  <c r="H2870" i="2"/>
  <c r="J2869" i="2"/>
  <c r="I2870" i="2"/>
  <c r="K2869" i="2"/>
  <c r="F2871" i="2" l="1"/>
  <c r="G2871" i="2" s="1"/>
  <c r="H2871" i="2"/>
  <c r="I2871" i="2"/>
  <c r="J2870" i="2"/>
  <c r="K2870" i="2" s="1"/>
  <c r="F2872" i="2" l="1"/>
  <c r="G2872" i="2" s="1"/>
  <c r="H2872" i="2"/>
  <c r="I2872" i="2"/>
  <c r="J2871" i="2"/>
  <c r="K2871" i="2" s="1"/>
  <c r="E2873" i="2" l="1"/>
  <c r="G2873" i="2" s="1"/>
  <c r="H2873" i="2"/>
  <c r="I2873" i="2"/>
  <c r="J2872" i="2"/>
  <c r="K2872" i="2" s="1"/>
  <c r="F2874" i="2" l="1"/>
  <c r="G2874" i="2" s="1"/>
  <c r="H2874" i="2"/>
  <c r="I2874" i="2"/>
  <c r="J2873" i="2"/>
  <c r="K2873" i="2" s="1"/>
  <c r="H2875" i="2" l="1"/>
  <c r="I2875" i="2"/>
  <c r="J2874" i="2"/>
  <c r="K2874" i="2" s="1"/>
  <c r="E2875" i="2"/>
  <c r="G2875" i="2" s="1"/>
  <c r="H2876" i="2" l="1"/>
  <c r="I2876" i="2"/>
  <c r="J2875" i="2"/>
  <c r="F2876" i="2"/>
  <c r="G2876" i="2" s="1"/>
  <c r="K2875" i="2"/>
  <c r="H2877" i="2" l="1"/>
  <c r="I2877" i="2"/>
  <c r="J2876" i="2"/>
  <c r="F2877" i="2"/>
  <c r="G2877" i="2" s="1"/>
  <c r="K2876" i="2"/>
  <c r="E2878" i="2" l="1"/>
  <c r="G2878" i="2" s="1"/>
  <c r="H2878" i="2"/>
  <c r="I2878" i="2"/>
  <c r="J2877" i="2"/>
  <c r="K2877" i="2"/>
  <c r="E2879" i="2" l="1"/>
  <c r="G2879" i="2" s="1"/>
  <c r="H2879" i="2"/>
  <c r="I2879" i="2"/>
  <c r="J2878" i="2"/>
  <c r="K2878" i="2" s="1"/>
  <c r="F2880" i="2" l="1"/>
  <c r="G2880" i="2" s="1"/>
  <c r="H2880" i="2"/>
  <c r="I2880" i="2"/>
  <c r="J2879" i="2"/>
  <c r="K2879" i="2" s="1"/>
  <c r="F2881" i="2" l="1"/>
  <c r="G2881" i="2" s="1"/>
  <c r="H2881" i="2"/>
  <c r="I2881" i="2"/>
  <c r="J2880" i="2"/>
  <c r="K2880" i="2" s="1"/>
  <c r="E2882" i="2" l="1"/>
  <c r="G2882" i="2" s="1"/>
  <c r="H2882" i="2"/>
  <c r="I2882" i="2"/>
  <c r="J2881" i="2"/>
  <c r="K2881" i="2" s="1"/>
  <c r="H2883" i="2" l="1"/>
  <c r="I2883" i="2"/>
  <c r="J2882" i="2"/>
  <c r="K2882" i="2" s="1"/>
  <c r="E2883" i="2"/>
  <c r="G2883" i="2" s="1"/>
  <c r="H2884" i="2" l="1"/>
  <c r="I2884" i="2"/>
  <c r="J2883" i="2"/>
  <c r="K2883" i="2" s="1"/>
  <c r="E2884" i="2"/>
  <c r="G2884" i="2" s="1"/>
  <c r="H2885" i="2" l="1"/>
  <c r="I2885" i="2"/>
  <c r="J2884" i="2"/>
  <c r="F2885" i="2"/>
  <c r="G2885" i="2" s="1"/>
  <c r="K2884" i="2"/>
  <c r="F2886" i="2" l="1"/>
  <c r="G2886" i="2" s="1"/>
  <c r="H2886" i="2"/>
  <c r="I2886" i="2"/>
  <c r="J2885" i="2"/>
  <c r="K2885" i="2"/>
  <c r="E2887" i="2" l="1"/>
  <c r="G2887" i="2" s="1"/>
  <c r="H2887" i="2"/>
  <c r="I2887" i="2"/>
  <c r="J2886" i="2"/>
  <c r="K2886" i="2" s="1"/>
  <c r="E2888" i="2" l="1"/>
  <c r="G2888" i="2" s="1"/>
  <c r="H2888" i="2"/>
  <c r="I2888" i="2"/>
  <c r="J2887" i="2"/>
  <c r="K2887" i="2" s="1"/>
  <c r="F2889" i="2" l="1"/>
  <c r="G2889" i="2" s="1"/>
  <c r="H2889" i="2"/>
  <c r="I2889" i="2"/>
  <c r="J2888" i="2"/>
  <c r="K2888" i="2" s="1"/>
  <c r="F2890" i="2" l="1"/>
  <c r="G2890" i="2" s="1"/>
  <c r="H2890" i="2"/>
  <c r="I2890" i="2"/>
  <c r="J2889" i="2"/>
  <c r="K2889" i="2" s="1"/>
  <c r="I2891" i="2" l="1"/>
  <c r="H2891" i="2"/>
  <c r="J2890" i="2"/>
  <c r="K2890" i="2" s="1"/>
  <c r="E2891" i="2"/>
  <c r="G2891" i="2" s="1"/>
  <c r="I2892" i="2" l="1"/>
  <c r="H2892" i="2"/>
  <c r="J2891" i="2"/>
  <c r="K2891" i="2" s="1"/>
  <c r="E2892" i="2"/>
  <c r="G2892" i="2" s="1"/>
  <c r="H2893" i="2" l="1"/>
  <c r="I2893" i="2"/>
  <c r="J2892" i="2"/>
  <c r="F2893" i="2"/>
  <c r="G2893" i="2" s="1"/>
  <c r="K2892" i="2"/>
  <c r="F2894" i="2" l="1"/>
  <c r="G2894" i="2" s="1"/>
  <c r="H2894" i="2"/>
  <c r="I2894" i="2"/>
  <c r="J2893" i="2"/>
  <c r="K2893" i="2"/>
  <c r="F2895" i="2" l="1"/>
  <c r="G2895" i="2" s="1"/>
  <c r="H2895" i="2"/>
  <c r="I2895" i="2"/>
  <c r="J2894" i="2"/>
  <c r="K2894" i="2" s="1"/>
  <c r="K2895" i="2" l="1"/>
  <c r="E2896" i="2"/>
  <c r="G2896" i="2" s="1"/>
  <c r="H2896" i="2"/>
  <c r="I2896" i="2"/>
  <c r="J2895" i="2"/>
  <c r="F2897" i="2" l="1"/>
  <c r="G2897" i="2" s="1"/>
  <c r="H2897" i="2"/>
  <c r="I2897" i="2"/>
  <c r="J2896" i="2"/>
  <c r="K2896" i="2" s="1"/>
  <c r="E2898" i="2" l="1"/>
  <c r="G2898" i="2" s="1"/>
  <c r="H2898" i="2"/>
  <c r="I2898" i="2"/>
  <c r="J2897" i="2"/>
  <c r="K2897" i="2" s="1"/>
  <c r="K2898" i="2" l="1"/>
  <c r="I2899" i="2"/>
  <c r="H2899" i="2"/>
  <c r="J2898" i="2"/>
  <c r="E2899" i="2"/>
  <c r="G2899" i="2" s="1"/>
  <c r="I2900" i="2" l="1"/>
  <c r="H2900" i="2"/>
  <c r="J2899" i="2"/>
  <c r="F2900" i="2"/>
  <c r="G2900" i="2" s="1"/>
  <c r="K2899" i="2"/>
  <c r="H2901" i="2" l="1"/>
  <c r="I2901" i="2"/>
  <c r="J2900" i="2"/>
  <c r="F2901" i="2"/>
  <c r="G2901" i="2" s="1"/>
  <c r="K2900" i="2"/>
  <c r="F2902" i="2" l="1"/>
  <c r="G2902" i="2" s="1"/>
  <c r="H2902" i="2"/>
  <c r="I2902" i="2"/>
  <c r="J2901" i="2"/>
  <c r="K2901" i="2"/>
  <c r="E2903" i="2" l="1"/>
  <c r="G2903" i="2" s="1"/>
  <c r="H2903" i="2"/>
  <c r="I2903" i="2"/>
  <c r="J2902" i="2"/>
  <c r="K2902" i="2" s="1"/>
  <c r="F2904" i="2" l="1"/>
  <c r="G2904" i="2" s="1"/>
  <c r="H2904" i="2"/>
  <c r="I2904" i="2"/>
  <c r="J2903" i="2"/>
  <c r="K2903" i="2" s="1"/>
  <c r="E2905" i="2" l="1"/>
  <c r="G2905" i="2" s="1"/>
  <c r="H2905" i="2"/>
  <c r="I2905" i="2"/>
  <c r="J2904" i="2"/>
  <c r="K2904" i="2" s="1"/>
  <c r="E2906" i="2" l="1"/>
  <c r="G2906" i="2" s="1"/>
  <c r="H2906" i="2"/>
  <c r="I2906" i="2"/>
  <c r="J2905" i="2"/>
  <c r="K2905" i="2" s="1"/>
  <c r="H2907" i="2" l="1"/>
  <c r="I2907" i="2"/>
  <c r="J2906" i="2"/>
  <c r="E2907" i="2"/>
  <c r="G2907" i="2" s="1"/>
  <c r="K2906" i="2"/>
  <c r="H2908" i="2" l="1"/>
  <c r="I2908" i="2"/>
  <c r="J2907" i="2"/>
  <c r="F2908" i="2"/>
  <c r="G2908" i="2" s="1"/>
  <c r="K2907" i="2"/>
  <c r="H2909" i="2" l="1"/>
  <c r="I2909" i="2"/>
  <c r="J2908" i="2"/>
  <c r="E2909" i="2"/>
  <c r="G2909" i="2" s="1"/>
  <c r="K2908" i="2"/>
  <c r="F2910" i="2" l="1"/>
  <c r="G2910" i="2" s="1"/>
  <c r="H2910" i="2"/>
  <c r="I2910" i="2"/>
  <c r="J2909" i="2"/>
  <c r="K2909" i="2"/>
  <c r="E2911" i="2" l="1"/>
  <c r="G2911" i="2" s="1"/>
  <c r="H2911" i="2"/>
  <c r="I2911" i="2"/>
  <c r="J2910" i="2"/>
  <c r="K2910" i="2" s="1"/>
  <c r="F2912" i="2" l="1"/>
  <c r="G2912" i="2" s="1"/>
  <c r="H2912" i="2"/>
  <c r="I2912" i="2"/>
  <c r="J2911" i="2"/>
  <c r="K2911" i="2" s="1"/>
  <c r="E2913" i="2" l="1"/>
  <c r="G2913" i="2" s="1"/>
  <c r="H2913" i="2"/>
  <c r="I2913" i="2"/>
  <c r="J2912" i="2"/>
  <c r="K2912" i="2" s="1"/>
  <c r="E2914" i="2" l="1"/>
  <c r="G2914" i="2" s="1"/>
  <c r="H2914" i="2"/>
  <c r="I2914" i="2"/>
  <c r="J2913" i="2"/>
  <c r="K2913" i="2" s="1"/>
  <c r="H2915" i="2" l="1"/>
  <c r="I2915" i="2"/>
  <c r="J2914" i="2"/>
  <c r="E2915" i="2"/>
  <c r="G2915" i="2" s="1"/>
  <c r="K2914" i="2"/>
  <c r="H2916" i="2" l="1"/>
  <c r="I2916" i="2"/>
  <c r="J2915" i="2"/>
  <c r="F2916" i="2"/>
  <c r="G2916" i="2" s="1"/>
  <c r="K2915" i="2"/>
  <c r="H2917" i="2" l="1"/>
  <c r="I2917" i="2"/>
  <c r="J2916" i="2"/>
  <c r="E2917" i="2"/>
  <c r="G2917" i="2" s="1"/>
  <c r="K2916" i="2"/>
  <c r="F2918" i="2" l="1"/>
  <c r="G2918" i="2" s="1"/>
  <c r="H2918" i="2"/>
  <c r="I2918" i="2"/>
  <c r="J2917" i="2"/>
  <c r="K2917" i="2"/>
  <c r="E2919" i="2" l="1"/>
  <c r="G2919" i="2" s="1"/>
  <c r="H2919" i="2"/>
  <c r="I2919" i="2"/>
  <c r="J2918" i="2"/>
  <c r="K2918" i="2" s="1"/>
  <c r="F2920" i="2" l="1"/>
  <c r="G2920" i="2" s="1"/>
  <c r="H2920" i="2"/>
  <c r="I2920" i="2"/>
  <c r="J2919" i="2"/>
  <c r="K2919" i="2" s="1"/>
  <c r="E2921" i="2" l="1"/>
  <c r="G2921" i="2" s="1"/>
  <c r="H2921" i="2"/>
  <c r="I2921" i="2"/>
  <c r="J2920" i="2"/>
  <c r="K2920" i="2" s="1"/>
  <c r="E2922" i="2" l="1"/>
  <c r="G2922" i="2" s="1"/>
  <c r="H2922" i="2"/>
  <c r="I2922" i="2"/>
  <c r="J2921" i="2"/>
  <c r="K2921" i="2" s="1"/>
  <c r="I2923" i="2" l="1"/>
  <c r="H2923" i="2"/>
  <c r="J2922" i="2"/>
  <c r="K2922" i="2" s="1"/>
  <c r="E2923" i="2"/>
  <c r="G2923" i="2" s="1"/>
  <c r="I2924" i="2" l="1"/>
  <c r="H2924" i="2"/>
  <c r="J2923" i="2"/>
  <c r="E2924" i="2"/>
  <c r="G2924" i="2" s="1"/>
  <c r="K2923" i="2"/>
  <c r="H2925" i="2" l="1"/>
  <c r="I2925" i="2"/>
  <c r="J2924" i="2"/>
  <c r="K2924" i="2" s="1"/>
  <c r="E2925" i="2"/>
  <c r="G2925" i="2" s="1"/>
  <c r="F2926" i="2" l="1"/>
  <c r="G2926" i="2" s="1"/>
  <c r="H2926" i="2"/>
  <c r="I2926" i="2"/>
  <c r="J2925" i="2"/>
  <c r="K2925" i="2" s="1"/>
  <c r="K2926" i="2" l="1"/>
  <c r="F2927" i="2"/>
  <c r="G2927" i="2" s="1"/>
  <c r="H2927" i="2"/>
  <c r="I2927" i="2"/>
  <c r="J2926" i="2"/>
  <c r="E2928" i="2" l="1"/>
  <c r="G2928" i="2" s="1"/>
  <c r="H2928" i="2"/>
  <c r="I2928" i="2"/>
  <c r="J2927" i="2"/>
  <c r="K2927" i="2" s="1"/>
  <c r="E2929" i="2" l="1"/>
  <c r="G2929" i="2" s="1"/>
  <c r="H2929" i="2"/>
  <c r="I2929" i="2"/>
  <c r="J2928" i="2"/>
  <c r="K2928" i="2" s="1"/>
  <c r="E2930" i="2" l="1"/>
  <c r="G2930" i="2" s="1"/>
  <c r="H2930" i="2"/>
  <c r="I2930" i="2"/>
  <c r="J2929" i="2"/>
  <c r="K2929" i="2" s="1"/>
  <c r="I2931" i="2" l="1"/>
  <c r="H2931" i="2"/>
  <c r="J2930" i="2"/>
  <c r="K2930" i="2" s="1"/>
  <c r="E2931" i="2"/>
  <c r="G2931" i="2" s="1"/>
  <c r="I2932" i="2" l="1"/>
  <c r="H2932" i="2"/>
  <c r="J2931" i="2"/>
  <c r="K2931" i="2" s="1"/>
  <c r="F2932" i="2"/>
  <c r="G2932" i="2" s="1"/>
  <c r="H2933" i="2" l="1"/>
  <c r="I2933" i="2"/>
  <c r="J2932" i="2"/>
  <c r="K2932" i="2" s="1"/>
  <c r="F2933" i="2"/>
  <c r="G2933" i="2" s="1"/>
  <c r="F2934" i="2" l="1"/>
  <c r="G2934" i="2" s="1"/>
  <c r="H2934" i="2"/>
  <c r="I2934" i="2"/>
  <c r="J2933" i="2"/>
  <c r="K2933" i="2"/>
  <c r="F2935" i="2" l="1"/>
  <c r="G2935" i="2" s="1"/>
  <c r="H2935" i="2"/>
  <c r="I2935" i="2"/>
  <c r="J2934" i="2"/>
  <c r="K2934" i="2" s="1"/>
  <c r="E2936" i="2" l="1"/>
  <c r="G2936" i="2" s="1"/>
  <c r="H2936" i="2"/>
  <c r="I2936" i="2"/>
  <c r="J2935" i="2"/>
  <c r="K2935" i="2" s="1"/>
  <c r="F2937" i="2" l="1"/>
  <c r="G2937" i="2" s="1"/>
  <c r="H2937" i="2"/>
  <c r="I2937" i="2"/>
  <c r="J2936" i="2"/>
  <c r="K2936" i="2" s="1"/>
  <c r="F2938" i="2" l="1"/>
  <c r="G2938" i="2" s="1"/>
  <c r="H2938" i="2"/>
  <c r="I2938" i="2"/>
  <c r="J2937" i="2"/>
  <c r="K2937" i="2" s="1"/>
  <c r="H2939" i="2" l="1"/>
  <c r="I2939" i="2"/>
  <c r="J2938" i="2"/>
  <c r="K2938" i="2" s="1"/>
  <c r="E2939" i="2"/>
  <c r="G2939" i="2" s="1"/>
  <c r="H2940" i="2" l="1"/>
  <c r="I2940" i="2"/>
  <c r="J2939" i="2"/>
  <c r="K2939" i="2" s="1"/>
  <c r="F2940" i="2"/>
  <c r="G2940" i="2" s="1"/>
  <c r="H2941" i="2" l="1"/>
  <c r="I2941" i="2"/>
  <c r="J2940" i="2"/>
  <c r="K2940" i="2" s="1"/>
  <c r="E2941" i="2"/>
  <c r="G2941" i="2" s="1"/>
  <c r="E2942" i="2" l="1"/>
  <c r="G2942" i="2" s="1"/>
  <c r="H2942" i="2"/>
  <c r="I2942" i="2"/>
  <c r="J2941" i="2"/>
  <c r="K2941" i="2"/>
  <c r="K2942" i="2" l="1"/>
  <c r="E2943" i="2"/>
  <c r="G2943" i="2" s="1"/>
  <c r="H2943" i="2"/>
  <c r="I2943" i="2"/>
  <c r="J2942" i="2"/>
  <c r="E2944" i="2" l="1"/>
  <c r="G2944" i="2" s="1"/>
  <c r="H2944" i="2"/>
  <c r="I2944" i="2"/>
  <c r="J2943" i="2"/>
  <c r="K2943" i="2" s="1"/>
  <c r="E2945" i="2" l="1"/>
  <c r="G2945" i="2" s="1"/>
  <c r="H2945" i="2"/>
  <c r="I2945" i="2"/>
  <c r="J2944" i="2"/>
  <c r="K2944" i="2" s="1"/>
  <c r="K2945" i="2" l="1"/>
  <c r="E2946" i="2"/>
  <c r="G2946" i="2" s="1"/>
  <c r="H2946" i="2"/>
  <c r="I2946" i="2"/>
  <c r="J2945" i="2"/>
  <c r="H2947" i="2" l="1"/>
  <c r="I2947" i="2"/>
  <c r="J2946" i="2"/>
  <c r="K2946" i="2" s="1"/>
  <c r="E2947" i="2"/>
  <c r="G2947" i="2" s="1"/>
  <c r="H2948" i="2" l="1"/>
  <c r="I2948" i="2"/>
  <c r="J2947" i="2"/>
  <c r="K2947" i="2" s="1"/>
  <c r="F2948" i="2"/>
  <c r="G2948" i="2" s="1"/>
  <c r="K2948" i="2" l="1"/>
  <c r="H2949" i="2"/>
  <c r="I2949" i="2"/>
  <c r="J2948" i="2"/>
  <c r="F2949" i="2"/>
  <c r="G2949" i="2" s="1"/>
  <c r="E2950" i="2" l="1"/>
  <c r="G2950" i="2" s="1"/>
  <c r="H2950" i="2"/>
  <c r="I2950" i="2"/>
  <c r="J2949" i="2"/>
  <c r="K2949" i="2"/>
  <c r="E2951" i="2" l="1"/>
  <c r="G2951" i="2" s="1"/>
  <c r="H2951" i="2"/>
  <c r="I2951" i="2"/>
  <c r="J2950" i="2"/>
  <c r="K2950" i="2" s="1"/>
  <c r="F2952" i="2" l="1"/>
  <c r="G2952" i="2" s="1"/>
  <c r="H2952" i="2"/>
  <c r="I2952" i="2"/>
  <c r="J2951" i="2"/>
  <c r="K2951" i="2" s="1"/>
  <c r="F2953" i="2" l="1"/>
  <c r="G2953" i="2" s="1"/>
  <c r="H2953" i="2"/>
  <c r="I2953" i="2"/>
  <c r="J2952" i="2"/>
  <c r="K2952" i="2" s="1"/>
  <c r="F2954" i="2" l="1"/>
  <c r="G2954" i="2" s="1"/>
  <c r="H2954" i="2"/>
  <c r="I2954" i="2"/>
  <c r="J2953" i="2"/>
  <c r="K2953" i="2" s="1"/>
  <c r="I2955" i="2" l="1"/>
  <c r="H2955" i="2"/>
  <c r="J2954" i="2"/>
  <c r="K2954" i="2" s="1"/>
  <c r="E2955" i="2"/>
  <c r="G2955" i="2" s="1"/>
  <c r="I2956" i="2" l="1"/>
  <c r="H2956" i="2"/>
  <c r="J2955" i="2"/>
  <c r="K2955" i="2" s="1"/>
  <c r="F2956" i="2"/>
  <c r="G2956" i="2" s="1"/>
  <c r="H2957" i="2" l="1"/>
  <c r="I2957" i="2"/>
  <c r="J2956" i="2"/>
  <c r="K2956" i="2" s="1"/>
  <c r="F2957" i="2"/>
  <c r="G2957" i="2" s="1"/>
  <c r="E2958" i="2" l="1"/>
  <c r="G2958" i="2" s="1"/>
  <c r="H2958" i="2"/>
  <c r="I2958" i="2"/>
  <c r="J2957" i="2"/>
  <c r="K2957" i="2"/>
  <c r="F2959" i="2" l="1"/>
  <c r="G2959" i="2" s="1"/>
  <c r="H2959" i="2"/>
  <c r="I2959" i="2"/>
  <c r="J2958" i="2"/>
  <c r="K2958" i="2" s="1"/>
  <c r="E2960" i="2" l="1"/>
  <c r="G2960" i="2" s="1"/>
  <c r="H2960" i="2"/>
  <c r="I2960" i="2"/>
  <c r="J2959" i="2"/>
  <c r="K2959" i="2" s="1"/>
  <c r="F2961" i="2" l="1"/>
  <c r="G2961" i="2" s="1"/>
  <c r="H2961" i="2"/>
  <c r="I2961" i="2"/>
  <c r="J2960" i="2"/>
  <c r="K2960" i="2" s="1"/>
  <c r="E2962" i="2" l="1"/>
  <c r="G2962" i="2" s="1"/>
  <c r="H2962" i="2"/>
  <c r="I2962" i="2"/>
  <c r="J2961" i="2"/>
  <c r="K2961" i="2"/>
  <c r="I2963" i="2" l="1"/>
  <c r="H2963" i="2"/>
  <c r="J2962" i="2"/>
  <c r="K2962" i="2" s="1"/>
  <c r="F2963" i="2"/>
  <c r="G2963" i="2" s="1"/>
  <c r="I2964" i="2" l="1"/>
  <c r="H2964" i="2"/>
  <c r="J2963" i="2"/>
  <c r="K2963" i="2" s="1"/>
  <c r="F2964" i="2"/>
  <c r="G2964" i="2" s="1"/>
  <c r="H2965" i="2" l="1"/>
  <c r="I2965" i="2"/>
  <c r="J2964" i="2"/>
  <c r="K2964" i="2" s="1"/>
  <c r="F2965" i="2"/>
  <c r="G2965" i="2" s="1"/>
  <c r="F2966" i="2" l="1"/>
  <c r="G2966" i="2" s="1"/>
  <c r="H2966" i="2"/>
  <c r="I2966" i="2"/>
  <c r="J2965" i="2"/>
  <c r="K2965" i="2" s="1"/>
  <c r="F2967" i="2" l="1"/>
  <c r="G2967" i="2" s="1"/>
  <c r="H2967" i="2"/>
  <c r="I2967" i="2"/>
  <c r="J2966" i="2"/>
  <c r="K2966" i="2" s="1"/>
  <c r="E2968" i="2" l="1"/>
  <c r="G2968" i="2" s="1"/>
  <c r="H2968" i="2"/>
  <c r="I2968" i="2"/>
  <c r="J2967" i="2"/>
  <c r="K2967" i="2"/>
  <c r="F2969" i="2" l="1"/>
  <c r="G2969" i="2" s="1"/>
  <c r="H2969" i="2"/>
  <c r="I2969" i="2"/>
  <c r="J2968" i="2"/>
  <c r="K2968" i="2" s="1"/>
  <c r="F2970" i="2" l="1"/>
  <c r="G2970" i="2" s="1"/>
  <c r="H2970" i="2"/>
  <c r="I2970" i="2"/>
  <c r="J2969" i="2"/>
  <c r="K2969" i="2" s="1"/>
  <c r="K2970" i="2" l="1"/>
  <c r="H2971" i="2"/>
  <c r="I2971" i="2"/>
  <c r="J2970" i="2"/>
  <c r="E2971" i="2"/>
  <c r="G2971" i="2" s="1"/>
  <c r="H2972" i="2" l="1"/>
  <c r="I2972" i="2"/>
  <c r="J2971" i="2"/>
  <c r="K2971" i="2" s="1"/>
  <c r="E2972" i="2"/>
  <c r="G2972" i="2" s="1"/>
  <c r="H2973" i="2" l="1"/>
  <c r="I2973" i="2"/>
  <c r="J2972" i="2"/>
  <c r="E2973" i="2"/>
  <c r="G2973" i="2" s="1"/>
  <c r="K2972" i="2"/>
  <c r="F2974" i="2" l="1"/>
  <c r="G2974" i="2" s="1"/>
  <c r="H2974" i="2"/>
  <c r="I2974" i="2"/>
  <c r="J2973" i="2"/>
  <c r="K2973" i="2"/>
  <c r="E2975" i="2" l="1"/>
  <c r="G2975" i="2" s="1"/>
  <c r="H2975" i="2"/>
  <c r="I2975" i="2"/>
  <c r="J2974" i="2"/>
  <c r="K2974" i="2" s="1"/>
  <c r="F2976" i="2" l="1"/>
  <c r="G2976" i="2" s="1"/>
  <c r="H2976" i="2"/>
  <c r="I2976" i="2"/>
  <c r="J2975" i="2"/>
  <c r="K2975" i="2" s="1"/>
  <c r="E2977" i="2" l="1"/>
  <c r="G2977" i="2" s="1"/>
  <c r="H2977" i="2"/>
  <c r="I2977" i="2"/>
  <c r="J2976" i="2"/>
  <c r="K2976" i="2" s="1"/>
  <c r="E2978" i="2" l="1"/>
  <c r="G2978" i="2" s="1"/>
  <c r="H2978" i="2"/>
  <c r="I2978" i="2"/>
  <c r="J2977" i="2"/>
  <c r="K2977" i="2"/>
  <c r="H2979" i="2" l="1"/>
  <c r="I2979" i="2"/>
  <c r="J2978" i="2"/>
  <c r="K2978" i="2" s="1"/>
  <c r="E2979" i="2"/>
  <c r="G2979" i="2" s="1"/>
  <c r="H2980" i="2" l="1"/>
  <c r="I2980" i="2"/>
  <c r="J2979" i="2"/>
  <c r="E2980" i="2"/>
  <c r="G2980" i="2" s="1"/>
  <c r="K2979" i="2"/>
  <c r="H2981" i="2" l="1"/>
  <c r="I2981" i="2"/>
  <c r="J2980" i="2"/>
  <c r="E2981" i="2"/>
  <c r="G2981" i="2" s="1"/>
  <c r="K2980" i="2"/>
  <c r="E2982" i="2" l="1"/>
  <c r="G2982" i="2" s="1"/>
  <c r="H2982" i="2"/>
  <c r="I2982" i="2"/>
  <c r="J2981" i="2"/>
  <c r="K2981" i="2"/>
  <c r="F2983" i="2" l="1"/>
  <c r="G2983" i="2" s="1"/>
  <c r="H2983" i="2"/>
  <c r="I2983" i="2"/>
  <c r="J2982" i="2"/>
  <c r="K2982" i="2" s="1"/>
  <c r="E2984" i="2" l="1"/>
  <c r="G2984" i="2" s="1"/>
  <c r="H2984" i="2"/>
  <c r="I2984" i="2"/>
  <c r="J2983" i="2"/>
  <c r="K2983" i="2" s="1"/>
  <c r="E2985" i="2" l="1"/>
  <c r="G2985" i="2" s="1"/>
  <c r="H2985" i="2"/>
  <c r="I2985" i="2"/>
  <c r="J2984" i="2"/>
  <c r="K2984" i="2" s="1"/>
  <c r="F2986" i="2" l="1"/>
  <c r="G2986" i="2" s="1"/>
  <c r="H2986" i="2"/>
  <c r="I2986" i="2"/>
  <c r="J2985" i="2"/>
  <c r="K2985" i="2"/>
  <c r="I2987" i="2" l="1"/>
  <c r="H2987" i="2"/>
  <c r="J2986" i="2"/>
  <c r="K2986" i="2" s="1"/>
  <c r="E2987" i="2"/>
  <c r="G2987" i="2" s="1"/>
  <c r="K2987" i="2" l="1"/>
  <c r="I2988" i="2"/>
  <c r="H2988" i="2"/>
  <c r="J2987" i="2"/>
  <c r="E2988" i="2"/>
  <c r="G2988" i="2" s="1"/>
  <c r="H2989" i="2" l="1"/>
  <c r="I2989" i="2"/>
  <c r="J2988" i="2"/>
  <c r="E2989" i="2"/>
  <c r="G2989" i="2" s="1"/>
  <c r="K2988" i="2"/>
  <c r="F2990" i="2" l="1"/>
  <c r="G2990" i="2" s="1"/>
  <c r="H2990" i="2"/>
  <c r="I2990" i="2"/>
  <c r="J2989" i="2"/>
  <c r="K2989" i="2"/>
  <c r="F2991" i="2" l="1"/>
  <c r="G2991" i="2" s="1"/>
  <c r="H2991" i="2"/>
  <c r="J2990" i="2"/>
  <c r="K2990" i="2" s="1"/>
  <c r="I2991" i="2"/>
  <c r="E2992" i="2" l="1"/>
  <c r="G2992" i="2" s="1"/>
  <c r="H2992" i="2"/>
  <c r="I2992" i="2"/>
  <c r="J2991" i="2"/>
  <c r="K2991" i="2" s="1"/>
  <c r="F2993" i="2" l="1"/>
  <c r="G2993" i="2" s="1"/>
  <c r="H2993" i="2"/>
  <c r="I2993" i="2"/>
  <c r="J2992" i="2"/>
  <c r="K2992" i="2"/>
  <c r="F2994" i="2" l="1"/>
  <c r="G2994" i="2" s="1"/>
  <c r="H2994" i="2"/>
  <c r="I2994" i="2"/>
  <c r="J2993" i="2"/>
  <c r="K2993" i="2" s="1"/>
  <c r="I2995" i="2" l="1"/>
  <c r="H2995" i="2"/>
  <c r="J2994" i="2"/>
  <c r="K2994" i="2" s="1"/>
  <c r="F2995" i="2"/>
  <c r="G2995" i="2" s="1"/>
  <c r="I2996" i="2" l="1"/>
  <c r="H2996" i="2"/>
  <c r="J2995" i="2"/>
  <c r="K2995" i="2" s="1"/>
  <c r="E2996" i="2"/>
  <c r="G2996" i="2" s="1"/>
  <c r="K2996" i="2" l="1"/>
  <c r="H2997" i="2"/>
  <c r="I2997" i="2"/>
  <c r="J2996" i="2"/>
  <c r="F2997" i="2"/>
  <c r="G2997" i="2" s="1"/>
  <c r="E2998" i="2" l="1"/>
  <c r="G2998" i="2" s="1"/>
  <c r="H2998" i="2"/>
  <c r="J2997" i="2"/>
  <c r="K2997" i="2" s="1"/>
  <c r="I2998" i="2"/>
  <c r="F2999" i="2" l="1"/>
  <c r="G2999" i="2" s="1"/>
  <c r="H2999" i="2"/>
  <c r="I2999" i="2"/>
  <c r="J2998" i="2"/>
  <c r="K2998" i="2" s="1"/>
  <c r="F3000" i="2" l="1"/>
  <c r="G3000" i="2" s="1"/>
  <c r="H3000" i="2"/>
  <c r="I3000" i="2"/>
  <c r="J2999" i="2"/>
  <c r="K2999" i="2" s="1"/>
  <c r="F3001" i="2" l="1"/>
  <c r="G3001" i="2" s="1"/>
  <c r="H3001" i="2"/>
  <c r="I3001" i="2"/>
  <c r="J3000" i="2"/>
  <c r="K3000" i="2" s="1"/>
  <c r="E3002" i="2" l="1"/>
  <c r="G3002" i="2" s="1"/>
  <c r="H3002" i="2"/>
  <c r="I3002" i="2"/>
  <c r="J3001" i="2"/>
  <c r="K3001" i="2" s="1"/>
  <c r="H3003" i="2" l="1"/>
  <c r="I3003" i="2"/>
  <c r="J3002" i="2"/>
  <c r="K3002" i="2" s="1"/>
  <c r="E3003" i="2"/>
  <c r="G3003" i="2" s="1"/>
  <c r="H3004" i="2" l="1"/>
  <c r="I3004" i="2"/>
  <c r="J3003" i="2"/>
  <c r="K3003" i="2" s="1"/>
  <c r="E3004" i="2"/>
  <c r="G3004" i="2" s="1"/>
  <c r="H3005" i="2" l="1"/>
  <c r="I3005" i="2"/>
  <c r="J3004" i="2"/>
  <c r="F3005" i="2"/>
  <c r="G3005" i="2" s="1"/>
  <c r="K3004" i="2"/>
  <c r="F3006" i="2" l="1"/>
  <c r="G3006" i="2" s="1"/>
  <c r="H3006" i="2"/>
  <c r="I3006" i="2"/>
  <c r="J3005" i="2"/>
  <c r="K3005" i="2"/>
  <c r="F3007" i="2" l="1"/>
  <c r="G3007" i="2" s="1"/>
  <c r="H3007" i="2"/>
  <c r="I3007" i="2"/>
  <c r="J3006" i="2"/>
  <c r="K3006" i="2" s="1"/>
  <c r="F3008" i="2" l="1"/>
  <c r="G3008" i="2" s="1"/>
  <c r="H3008" i="2"/>
  <c r="I3008" i="2"/>
  <c r="J3007" i="2"/>
  <c r="K3007" i="2" s="1"/>
  <c r="F3009" i="2" l="1"/>
  <c r="G3009" i="2" s="1"/>
  <c r="H3009" i="2"/>
  <c r="I3009" i="2"/>
  <c r="J3008" i="2"/>
  <c r="K3008" i="2" s="1"/>
  <c r="F3010" i="2" l="1"/>
  <c r="G3010" i="2" s="1"/>
  <c r="H3010" i="2"/>
  <c r="I3010" i="2"/>
  <c r="J3009" i="2"/>
  <c r="K3009" i="2" s="1"/>
  <c r="H3011" i="2" l="1"/>
  <c r="I3011" i="2"/>
  <c r="J3010" i="2"/>
  <c r="K3010" i="2" s="1"/>
  <c r="F3011" i="2"/>
  <c r="G3011" i="2" s="1"/>
  <c r="H3012" i="2" l="1"/>
  <c r="I3012" i="2"/>
  <c r="J3011" i="2"/>
  <c r="F3012" i="2"/>
  <c r="G3012" i="2" s="1"/>
  <c r="K3011" i="2"/>
  <c r="H3013" i="2" l="1"/>
  <c r="I3013" i="2"/>
  <c r="J3012" i="2"/>
  <c r="E3013" i="2"/>
  <c r="G3013" i="2" s="1"/>
  <c r="K3012" i="2"/>
  <c r="F3014" i="2" l="1"/>
  <c r="G3014" i="2" s="1"/>
  <c r="H3014" i="2"/>
  <c r="I3014" i="2"/>
  <c r="J3013" i="2"/>
  <c r="K3013" i="2" s="1"/>
  <c r="E3015" i="2" l="1"/>
  <c r="G3015" i="2" s="1"/>
  <c r="H3015" i="2"/>
  <c r="I3015" i="2"/>
  <c r="J3014" i="2"/>
  <c r="K3014" i="2" s="1"/>
  <c r="F3016" i="2" l="1"/>
  <c r="G3016" i="2" s="1"/>
  <c r="H3016" i="2"/>
  <c r="I3016" i="2"/>
  <c r="J3015" i="2"/>
  <c r="K3015" i="2" s="1"/>
  <c r="F3017" i="2" l="1"/>
  <c r="G3017" i="2" s="1"/>
  <c r="H3017" i="2"/>
  <c r="I3017" i="2"/>
  <c r="J3016" i="2"/>
  <c r="K3016" i="2" s="1"/>
  <c r="F3018" i="2" l="1"/>
  <c r="G3018" i="2" s="1"/>
  <c r="H3018" i="2"/>
  <c r="I3018" i="2"/>
  <c r="J3017" i="2"/>
  <c r="K3017" i="2" s="1"/>
  <c r="I3019" i="2" l="1"/>
  <c r="H3019" i="2"/>
  <c r="J3018" i="2"/>
  <c r="K3018" i="2" s="1"/>
  <c r="F3019" i="2"/>
  <c r="G3019" i="2" s="1"/>
  <c r="I3020" i="2" l="1"/>
  <c r="H3020" i="2"/>
  <c r="J3019" i="2"/>
  <c r="F3020" i="2"/>
  <c r="G3020" i="2" s="1"/>
  <c r="K3019" i="2"/>
  <c r="H3021" i="2" l="1"/>
  <c r="I3021" i="2"/>
  <c r="J3020" i="2"/>
  <c r="F3021" i="2"/>
  <c r="G3021" i="2" s="1"/>
  <c r="K3020" i="2"/>
  <c r="E3022" i="2" l="1"/>
  <c r="G3022" i="2" s="1"/>
  <c r="H3022" i="2"/>
  <c r="I3022" i="2"/>
  <c r="J3021" i="2"/>
  <c r="K3021" i="2"/>
  <c r="E3023" i="2" l="1"/>
  <c r="G3023" i="2" s="1"/>
  <c r="H3023" i="2"/>
  <c r="I3023" i="2"/>
  <c r="J3022" i="2"/>
  <c r="K3022" i="2" s="1"/>
  <c r="F3024" i="2" l="1"/>
  <c r="G3024" i="2" s="1"/>
  <c r="H3024" i="2"/>
  <c r="I3024" i="2"/>
  <c r="J3023" i="2"/>
  <c r="K3023" i="2" s="1"/>
  <c r="E3025" i="2" l="1"/>
  <c r="G3025" i="2" s="1"/>
  <c r="H3025" i="2"/>
  <c r="I3025" i="2"/>
  <c r="J3024" i="2"/>
  <c r="K3024" i="2"/>
  <c r="E3026" i="2" l="1"/>
  <c r="G3026" i="2" s="1"/>
  <c r="H3026" i="2"/>
  <c r="I3026" i="2"/>
  <c r="J3025" i="2"/>
  <c r="K3025" i="2"/>
  <c r="I3027" i="2" l="1"/>
  <c r="H3027" i="2"/>
  <c r="J3026" i="2"/>
  <c r="K3026" i="2" s="1"/>
  <c r="E3027" i="2"/>
  <c r="G3027" i="2" s="1"/>
  <c r="I3028" i="2" l="1"/>
  <c r="H3028" i="2"/>
  <c r="J3027" i="2"/>
  <c r="K3027" i="2" s="1"/>
  <c r="E3028" i="2"/>
  <c r="G3028" i="2" s="1"/>
  <c r="H3029" i="2" l="1"/>
  <c r="I3029" i="2"/>
  <c r="J3028" i="2"/>
  <c r="K3028" i="2" s="1"/>
  <c r="E3029" i="2"/>
  <c r="G3029" i="2" s="1"/>
  <c r="F3030" i="2" l="1"/>
  <c r="G3030" i="2" s="1"/>
  <c r="H3030" i="2"/>
  <c r="I3030" i="2"/>
  <c r="J3029" i="2"/>
  <c r="K3029" i="2"/>
  <c r="E3031" i="2" l="1"/>
  <c r="G3031" i="2" s="1"/>
  <c r="H3031" i="2"/>
  <c r="I3031" i="2"/>
  <c r="J3030" i="2"/>
  <c r="K3030" i="2" s="1"/>
  <c r="K3031" i="2" l="1"/>
  <c r="E3032" i="2"/>
  <c r="G3032" i="2" s="1"/>
  <c r="H3032" i="2"/>
  <c r="I3032" i="2"/>
  <c r="J3031" i="2"/>
  <c r="E3033" i="2" l="1"/>
  <c r="G3033" i="2" s="1"/>
  <c r="H3033" i="2"/>
  <c r="I3033" i="2"/>
  <c r="J3032" i="2"/>
  <c r="K3032" i="2" s="1"/>
  <c r="F3034" i="2" l="1"/>
  <c r="G3034" i="2" s="1"/>
  <c r="H3034" i="2"/>
  <c r="I3034" i="2"/>
  <c r="J3033" i="2"/>
  <c r="K3033" i="2" s="1"/>
  <c r="H3035" i="2" l="1"/>
  <c r="I3035" i="2"/>
  <c r="J3034" i="2"/>
  <c r="K3034" i="2" s="1"/>
  <c r="E3035" i="2"/>
  <c r="G3035" i="2" s="1"/>
  <c r="H3036" i="2" l="1"/>
  <c r="I3036" i="2"/>
  <c r="J3035" i="2"/>
  <c r="E3036" i="2"/>
  <c r="G3036" i="2" s="1"/>
  <c r="K3035" i="2"/>
  <c r="H3037" i="2" l="1"/>
  <c r="I3037" i="2"/>
  <c r="J3036" i="2"/>
  <c r="F3037" i="2"/>
  <c r="G3037" i="2" s="1"/>
  <c r="K3036" i="2"/>
  <c r="E3038" i="2" l="1"/>
  <c r="G3038" i="2" s="1"/>
  <c r="H3038" i="2"/>
  <c r="I3038" i="2"/>
  <c r="J3037" i="2"/>
  <c r="K3037" i="2"/>
  <c r="E3039" i="2" l="1"/>
  <c r="G3039" i="2" s="1"/>
  <c r="H3039" i="2"/>
  <c r="I3039" i="2"/>
  <c r="J3038" i="2"/>
  <c r="K3038" i="2" s="1"/>
  <c r="E3040" i="2" l="1"/>
  <c r="G3040" i="2" s="1"/>
  <c r="H3040" i="2"/>
  <c r="I3040" i="2"/>
  <c r="J3039" i="2"/>
  <c r="K3039" i="2" s="1"/>
  <c r="F3041" i="2" l="1"/>
  <c r="G3041" i="2" s="1"/>
  <c r="H3041" i="2"/>
  <c r="I3041" i="2"/>
  <c r="J3040" i="2"/>
  <c r="K3040" i="2"/>
  <c r="F3042" i="2" l="1"/>
  <c r="G3042" i="2" s="1"/>
  <c r="H3042" i="2"/>
  <c r="I3042" i="2"/>
  <c r="J3041" i="2"/>
  <c r="K3041" i="2" s="1"/>
  <c r="H3043" i="2" l="1"/>
  <c r="I3043" i="2"/>
  <c r="J3042" i="2"/>
  <c r="K3042" i="2" s="1"/>
  <c r="E3043" i="2"/>
  <c r="G3043" i="2" s="1"/>
  <c r="H3044" i="2" l="1"/>
  <c r="I3044" i="2"/>
  <c r="J3043" i="2"/>
  <c r="E3044" i="2"/>
  <c r="G3044" i="2" s="1"/>
  <c r="K3043" i="2"/>
  <c r="H3045" i="2" l="1"/>
  <c r="I3045" i="2"/>
  <c r="J3044" i="2"/>
  <c r="F3045" i="2"/>
  <c r="G3045" i="2" s="1"/>
  <c r="K3044" i="2"/>
  <c r="F3046" i="2" l="1"/>
  <c r="G3046" i="2" s="1"/>
  <c r="H3046" i="2"/>
  <c r="I3046" i="2"/>
  <c r="J3045" i="2"/>
  <c r="K3045" i="2"/>
  <c r="E3047" i="2" l="1"/>
  <c r="G3047" i="2" s="1"/>
  <c r="H3047" i="2"/>
  <c r="I3047" i="2"/>
  <c r="J3046" i="2"/>
  <c r="K3046" i="2" s="1"/>
  <c r="F3048" i="2" l="1"/>
  <c r="G3048" i="2" s="1"/>
  <c r="H3048" i="2"/>
  <c r="I3048" i="2"/>
  <c r="J3047" i="2"/>
  <c r="K3047" i="2" s="1"/>
  <c r="E3049" i="2" l="1"/>
  <c r="G3049" i="2" s="1"/>
  <c r="H3049" i="2"/>
  <c r="I3049" i="2"/>
  <c r="J3048" i="2"/>
  <c r="K3048" i="2"/>
  <c r="E3050" i="2" l="1"/>
  <c r="G3050" i="2" s="1"/>
  <c r="H3050" i="2"/>
  <c r="I3050" i="2"/>
  <c r="J3049" i="2"/>
  <c r="K3049" i="2" s="1"/>
  <c r="I3051" i="2" l="1"/>
  <c r="H3051" i="2"/>
  <c r="J3050" i="2"/>
  <c r="K3050" i="2" s="1"/>
  <c r="E3051" i="2"/>
  <c r="G3051" i="2" s="1"/>
  <c r="I3052" i="2" l="1"/>
  <c r="H3052" i="2"/>
  <c r="J3051" i="2"/>
  <c r="F3052" i="2"/>
  <c r="G3052" i="2" s="1"/>
  <c r="K3051" i="2"/>
  <c r="H3053" i="2" l="1"/>
  <c r="I3053" i="2"/>
  <c r="J3052" i="2"/>
  <c r="K3052" i="2" s="1"/>
  <c r="E3053" i="2"/>
  <c r="G3053" i="2" s="1"/>
  <c r="F3054" i="2" l="1"/>
  <c r="G3054" i="2" s="1"/>
  <c r="H3054" i="2"/>
  <c r="I3054" i="2"/>
  <c r="J3053" i="2"/>
  <c r="K3053" i="2"/>
  <c r="F3055" i="2" l="1"/>
  <c r="G3055" i="2" s="1"/>
  <c r="H3055" i="2"/>
  <c r="I3055" i="2"/>
  <c r="J3054" i="2"/>
  <c r="K3054" i="2" s="1"/>
  <c r="E3056" i="2" l="1"/>
  <c r="G3056" i="2" s="1"/>
  <c r="H3056" i="2"/>
  <c r="I3056" i="2"/>
  <c r="J3055" i="2"/>
  <c r="K3055" i="2" s="1"/>
  <c r="E3057" i="2" l="1"/>
  <c r="G3057" i="2" s="1"/>
  <c r="H3057" i="2"/>
  <c r="I3057" i="2"/>
  <c r="J3056" i="2"/>
  <c r="K3056" i="2" s="1"/>
  <c r="E3058" i="2" l="1"/>
  <c r="G3058" i="2" s="1"/>
  <c r="H3058" i="2"/>
  <c r="I3058" i="2"/>
  <c r="J3057" i="2"/>
  <c r="K3057" i="2" s="1"/>
  <c r="I3059" i="2" l="1"/>
  <c r="H3059" i="2"/>
  <c r="J3058" i="2"/>
  <c r="K3058" i="2" s="1"/>
  <c r="F3059" i="2"/>
  <c r="G3059" i="2" s="1"/>
  <c r="I3060" i="2" l="1"/>
  <c r="H3060" i="2"/>
  <c r="J3059" i="2"/>
  <c r="K3059" i="2" s="1"/>
  <c r="E3060" i="2"/>
  <c r="G3060" i="2" s="1"/>
  <c r="H3061" i="2" l="1"/>
  <c r="I3061" i="2"/>
  <c r="J3060" i="2"/>
  <c r="E3061" i="2"/>
  <c r="G3061" i="2" s="1"/>
  <c r="K3060" i="2"/>
  <c r="F3062" i="2" l="1"/>
  <c r="G3062" i="2" s="1"/>
  <c r="H3062" i="2"/>
  <c r="I3062" i="2"/>
  <c r="J3061" i="2"/>
  <c r="K3061" i="2"/>
  <c r="F3063" i="2" l="1"/>
  <c r="G3063" i="2" s="1"/>
  <c r="H3063" i="2"/>
  <c r="I3063" i="2"/>
  <c r="J3062" i="2"/>
  <c r="K3062" i="2" s="1"/>
  <c r="F3064" i="2" l="1"/>
  <c r="G3064" i="2" s="1"/>
  <c r="H3064" i="2"/>
  <c r="I3064" i="2"/>
  <c r="J3063" i="2"/>
  <c r="K3063" i="2" s="1"/>
  <c r="F3065" i="2" l="1"/>
  <c r="G3065" i="2" s="1"/>
  <c r="H3065" i="2"/>
  <c r="I3065" i="2"/>
  <c r="J3064" i="2"/>
  <c r="K3064" i="2" s="1"/>
  <c r="E3066" i="2" l="1"/>
  <c r="G3066" i="2" s="1"/>
  <c r="H3066" i="2"/>
  <c r="I3066" i="2"/>
  <c r="J3065" i="2"/>
  <c r="K3065" i="2" s="1"/>
  <c r="H3067" i="2" l="1"/>
  <c r="I3067" i="2"/>
  <c r="J3066" i="2"/>
  <c r="K3066" i="2" s="1"/>
  <c r="F3067" i="2"/>
  <c r="G3067" i="2" s="1"/>
  <c r="H3068" i="2" l="1"/>
  <c r="I3068" i="2"/>
  <c r="J3067" i="2"/>
  <c r="E3068" i="2"/>
  <c r="G3068" i="2" s="1"/>
  <c r="K3067" i="2"/>
  <c r="H3069" i="2" l="1"/>
  <c r="I3069" i="2"/>
  <c r="J3068" i="2"/>
  <c r="E3069" i="2"/>
  <c r="G3069" i="2" s="1"/>
  <c r="K3068" i="2"/>
  <c r="F3070" i="2" l="1"/>
  <c r="G3070" i="2" s="1"/>
  <c r="H3070" i="2"/>
  <c r="I3070" i="2"/>
  <c r="J3069" i="2"/>
  <c r="K3069" i="2"/>
  <c r="E3071" i="2" l="1"/>
  <c r="G3071" i="2" s="1"/>
  <c r="H3071" i="2"/>
  <c r="I3071" i="2"/>
  <c r="J3070" i="2"/>
  <c r="K3070" i="2" s="1"/>
  <c r="E3072" i="2" l="1"/>
  <c r="G3072" i="2" s="1"/>
  <c r="H3072" i="2"/>
  <c r="I3072" i="2"/>
  <c r="J3071" i="2"/>
  <c r="K3071" i="2" s="1"/>
  <c r="F3073" i="2" l="1"/>
  <c r="G3073" i="2" s="1"/>
  <c r="H3073" i="2"/>
  <c r="I3073" i="2"/>
  <c r="J3072" i="2"/>
  <c r="K3072" i="2" s="1"/>
  <c r="F3074" i="2" l="1"/>
  <c r="G3074" i="2" s="1"/>
  <c r="H3074" i="2"/>
  <c r="I3074" i="2"/>
  <c r="J3073" i="2"/>
  <c r="K3073" i="2" s="1"/>
  <c r="H3075" i="2" l="1"/>
  <c r="I3075" i="2"/>
  <c r="J3074" i="2"/>
  <c r="K3074" i="2" s="1"/>
  <c r="E3075" i="2"/>
  <c r="G3075" i="2" s="1"/>
  <c r="H3076" i="2" l="1"/>
  <c r="I3076" i="2"/>
  <c r="J3075" i="2"/>
  <c r="K3075" i="2" s="1"/>
  <c r="F3076" i="2"/>
  <c r="G3076" i="2" s="1"/>
  <c r="H3077" i="2" l="1"/>
  <c r="I3077" i="2"/>
  <c r="J3076" i="2"/>
  <c r="K3076" i="2" s="1"/>
  <c r="F3077" i="2"/>
  <c r="G3077" i="2" s="1"/>
  <c r="F3078" i="2" l="1"/>
  <c r="G3078" i="2" s="1"/>
  <c r="H3078" i="2"/>
  <c r="I3078" i="2"/>
  <c r="J3077" i="2"/>
  <c r="K3077" i="2"/>
  <c r="E3079" i="2" l="1"/>
  <c r="G3079" i="2" s="1"/>
  <c r="H3079" i="2"/>
  <c r="I3079" i="2"/>
  <c r="J3078" i="2"/>
  <c r="K3078" i="2" s="1"/>
  <c r="E3080" i="2" l="1"/>
  <c r="G3080" i="2" s="1"/>
  <c r="H3080" i="2"/>
  <c r="I3080" i="2"/>
  <c r="J3079" i="2"/>
  <c r="K3079" i="2"/>
  <c r="F3081" i="2" l="1"/>
  <c r="G3081" i="2" s="1"/>
  <c r="H3081" i="2"/>
  <c r="I3081" i="2"/>
  <c r="J3080" i="2"/>
  <c r="K3080" i="2" s="1"/>
  <c r="F3082" i="2" l="1"/>
  <c r="G3082" i="2" s="1"/>
  <c r="H3082" i="2"/>
  <c r="I3082" i="2"/>
  <c r="J3081" i="2"/>
  <c r="K3081" i="2" s="1"/>
  <c r="I3083" i="2" l="1"/>
  <c r="H3083" i="2"/>
  <c r="J3082" i="2"/>
  <c r="F3083" i="2"/>
  <c r="G3083" i="2" s="1"/>
  <c r="K3082" i="2"/>
  <c r="I3084" i="2" l="1"/>
  <c r="H3084" i="2"/>
  <c r="J3083" i="2"/>
  <c r="F3084" i="2"/>
  <c r="G3084" i="2" s="1"/>
  <c r="K3083" i="2"/>
  <c r="H3085" i="2" l="1"/>
  <c r="I3085" i="2"/>
  <c r="J3084" i="2"/>
  <c r="K3084" i="2" s="1"/>
  <c r="E3085" i="2"/>
  <c r="G3085" i="2" s="1"/>
  <c r="E3086" i="2" l="1"/>
  <c r="G3086" i="2" s="1"/>
  <c r="H3086" i="2"/>
  <c r="I3086" i="2"/>
  <c r="J3085" i="2"/>
  <c r="K3085" i="2"/>
  <c r="E3087" i="2" l="1"/>
  <c r="G3087" i="2" s="1"/>
  <c r="H3087" i="2"/>
  <c r="I3087" i="2"/>
  <c r="J3086" i="2"/>
  <c r="K3086" i="2" s="1"/>
  <c r="E3088" i="2" l="1"/>
  <c r="G3088" i="2" s="1"/>
  <c r="H3088" i="2"/>
  <c r="I3088" i="2"/>
  <c r="J3087" i="2"/>
  <c r="K3087" i="2" s="1"/>
  <c r="F3089" i="2" l="1"/>
  <c r="G3089" i="2" s="1"/>
  <c r="H3089" i="2"/>
  <c r="I3089" i="2"/>
  <c r="J3088" i="2"/>
  <c r="K3088" i="2" s="1"/>
  <c r="F3090" i="2" l="1"/>
  <c r="G3090" i="2" s="1"/>
  <c r="H3090" i="2"/>
  <c r="I3090" i="2"/>
  <c r="J3089" i="2"/>
  <c r="K3089" i="2" s="1"/>
  <c r="I3091" i="2" l="1"/>
  <c r="H3091" i="2"/>
  <c r="J3090" i="2"/>
  <c r="K3090" i="2" s="1"/>
  <c r="F3091" i="2"/>
  <c r="G3091" i="2" s="1"/>
  <c r="I3092" i="2" l="1"/>
  <c r="H3092" i="2"/>
  <c r="J3091" i="2"/>
  <c r="F3092" i="2"/>
  <c r="G3092" i="2" s="1"/>
  <c r="K3091" i="2"/>
  <c r="H3093" i="2" l="1"/>
  <c r="I3093" i="2"/>
  <c r="J3092" i="2"/>
  <c r="K3092" i="2" s="1"/>
  <c r="E3093" i="2"/>
  <c r="G3093" i="2" s="1"/>
  <c r="F3094" i="2" l="1"/>
  <c r="G3094" i="2" s="1"/>
  <c r="H3094" i="2"/>
  <c r="I3094" i="2"/>
  <c r="J3093" i="2"/>
  <c r="K3093" i="2"/>
  <c r="F3095" i="2" l="1"/>
  <c r="G3095" i="2" s="1"/>
  <c r="H3095" i="2"/>
  <c r="I3095" i="2"/>
  <c r="J3094" i="2"/>
  <c r="K3094" i="2" s="1"/>
  <c r="F3096" i="2" l="1"/>
  <c r="G3096" i="2" s="1"/>
  <c r="H3096" i="2"/>
  <c r="I3096" i="2"/>
  <c r="J3095" i="2"/>
  <c r="K3095" i="2" s="1"/>
  <c r="F3097" i="2" l="1"/>
  <c r="G3097" i="2" s="1"/>
  <c r="H3097" i="2"/>
  <c r="I3097" i="2"/>
  <c r="J3096" i="2"/>
  <c r="K3096" i="2" s="1"/>
  <c r="F3098" i="2" l="1"/>
  <c r="G3098" i="2" s="1"/>
  <c r="H3098" i="2"/>
  <c r="I3098" i="2"/>
  <c r="J3097" i="2"/>
  <c r="K3097" i="2" s="1"/>
  <c r="H3099" i="2" l="1"/>
  <c r="I3099" i="2"/>
  <c r="J3098" i="2"/>
  <c r="K3098" i="2" s="1"/>
  <c r="E3099" i="2"/>
  <c r="G3099" i="2" s="1"/>
  <c r="H3100" i="2" l="1"/>
  <c r="I3100" i="2"/>
  <c r="J3099" i="2"/>
  <c r="E3100" i="2"/>
  <c r="G3100" i="2" s="1"/>
  <c r="K3099" i="2"/>
  <c r="H3101" i="2" l="1"/>
  <c r="I3101" i="2"/>
  <c r="J3100" i="2"/>
  <c r="E3101" i="2"/>
  <c r="G3101" i="2" s="1"/>
  <c r="K3100" i="2"/>
  <c r="F3102" i="2" l="1"/>
  <c r="G3102" i="2" s="1"/>
  <c r="H3102" i="2"/>
  <c r="I3102" i="2"/>
  <c r="J3101" i="2"/>
  <c r="K3101" i="2"/>
  <c r="F3103" i="2" l="1"/>
  <c r="G3103" i="2" s="1"/>
  <c r="H3103" i="2"/>
  <c r="I3103" i="2"/>
  <c r="J3102" i="2"/>
  <c r="K3102" i="2" s="1"/>
  <c r="F3104" i="2" l="1"/>
  <c r="G3104" i="2" s="1"/>
  <c r="H3104" i="2"/>
  <c r="I3104" i="2"/>
  <c r="J3103" i="2"/>
  <c r="K3103" i="2" s="1"/>
  <c r="F3105" i="2" l="1"/>
  <c r="G3105" i="2" s="1"/>
  <c r="H3105" i="2"/>
  <c r="I3105" i="2"/>
  <c r="J3104" i="2"/>
  <c r="K3104" i="2" s="1"/>
  <c r="E3106" i="2" l="1"/>
  <c r="G3106" i="2" s="1"/>
  <c r="H3106" i="2"/>
  <c r="I3106" i="2"/>
  <c r="J3105" i="2"/>
  <c r="K3105" i="2" s="1"/>
  <c r="H3107" i="2" l="1"/>
  <c r="I3107" i="2"/>
  <c r="J3106" i="2"/>
  <c r="K3106" i="2" s="1"/>
  <c r="E3107" i="2"/>
  <c r="G3107" i="2" s="1"/>
  <c r="H3108" i="2" l="1"/>
  <c r="I3108" i="2"/>
  <c r="J3107" i="2"/>
  <c r="F3108" i="2"/>
  <c r="G3108" i="2" s="1"/>
  <c r="K3107" i="2"/>
  <c r="H3109" i="2" l="1"/>
  <c r="I3109" i="2"/>
  <c r="J3108" i="2"/>
  <c r="E3109" i="2"/>
  <c r="G3109" i="2" s="1"/>
  <c r="K3108" i="2"/>
  <c r="F3110" i="2" l="1"/>
  <c r="G3110" i="2" s="1"/>
  <c r="H3110" i="2"/>
  <c r="I3110" i="2"/>
  <c r="J3109" i="2"/>
  <c r="K3109" i="2"/>
  <c r="E3111" i="2" l="1"/>
  <c r="G3111" i="2" s="1"/>
  <c r="H3111" i="2"/>
  <c r="I3111" i="2"/>
  <c r="J3110" i="2"/>
  <c r="K3110" i="2"/>
  <c r="F3112" i="2" l="1"/>
  <c r="G3112" i="2" s="1"/>
  <c r="H3112" i="2"/>
  <c r="I3112" i="2"/>
  <c r="J3111" i="2"/>
  <c r="K3111" i="2" s="1"/>
  <c r="F3113" i="2" l="1"/>
  <c r="G3113" i="2" s="1"/>
  <c r="H3113" i="2"/>
  <c r="I3113" i="2"/>
  <c r="J3112" i="2"/>
  <c r="K3112" i="2" s="1"/>
  <c r="F3114" i="2" l="1"/>
  <c r="G3114" i="2" s="1"/>
  <c r="H3114" i="2"/>
  <c r="I3114" i="2"/>
  <c r="J3113" i="2"/>
  <c r="K3113" i="2" s="1"/>
  <c r="I3115" i="2" l="1"/>
  <c r="H3115" i="2"/>
  <c r="J3114" i="2"/>
  <c r="K3114" i="2" s="1"/>
  <c r="F3115" i="2"/>
  <c r="G3115" i="2" s="1"/>
  <c r="I3116" i="2" l="1"/>
  <c r="H3116" i="2"/>
  <c r="J3115" i="2"/>
  <c r="F3116" i="2"/>
  <c r="G3116" i="2" s="1"/>
  <c r="K3115" i="2"/>
  <c r="H3117" i="2" l="1"/>
  <c r="I3117" i="2"/>
  <c r="J3116" i="2"/>
  <c r="K3116" i="2" s="1"/>
  <c r="E3117" i="2"/>
  <c r="G3117" i="2" s="1"/>
  <c r="F3118" i="2" l="1"/>
  <c r="G3118" i="2" s="1"/>
  <c r="H3118" i="2"/>
  <c r="I3118" i="2"/>
  <c r="J3117" i="2"/>
  <c r="K3117" i="2"/>
  <c r="E3119" i="2" l="1"/>
  <c r="G3119" i="2" s="1"/>
  <c r="H3119" i="2"/>
  <c r="J3118" i="2"/>
  <c r="K3118" i="2" s="1"/>
  <c r="I3119" i="2"/>
  <c r="F3120" i="2" l="1"/>
  <c r="G3120" i="2" s="1"/>
  <c r="H3120" i="2"/>
  <c r="I3120" i="2"/>
  <c r="J3119" i="2"/>
  <c r="K3119" i="2"/>
  <c r="E3121" i="2" l="1"/>
  <c r="G3121" i="2" s="1"/>
  <c r="H3121" i="2"/>
  <c r="I3121" i="2"/>
  <c r="J3120" i="2"/>
  <c r="K3120" i="2" s="1"/>
  <c r="E3122" i="2" l="1"/>
  <c r="G3122" i="2" s="1"/>
  <c r="H3122" i="2"/>
  <c r="I3122" i="2"/>
  <c r="J3121" i="2"/>
  <c r="K3121" i="2" s="1"/>
  <c r="I3123" i="2" l="1"/>
  <c r="H3123" i="2"/>
  <c r="J3122" i="2"/>
  <c r="K3122" i="2" s="1"/>
  <c r="F3123" i="2"/>
  <c r="G3123" i="2" s="1"/>
  <c r="K3123" i="2" l="1"/>
  <c r="I3124" i="2"/>
  <c r="H3124" i="2"/>
  <c r="J3123" i="2"/>
  <c r="E3124" i="2"/>
  <c r="G3124" i="2" s="1"/>
  <c r="H3125" i="2" l="1"/>
  <c r="I3125" i="2"/>
  <c r="J3124" i="2"/>
  <c r="F3125" i="2"/>
  <c r="G3125" i="2" s="1"/>
  <c r="K3124" i="2"/>
  <c r="F3126" i="2" l="1"/>
  <c r="G3126" i="2" s="1"/>
  <c r="H3126" i="2"/>
  <c r="I3126" i="2"/>
  <c r="J3125" i="2"/>
  <c r="K3125" i="2"/>
  <c r="F3127" i="2" l="1"/>
  <c r="G3127" i="2" s="1"/>
  <c r="H3127" i="2"/>
  <c r="I3127" i="2"/>
  <c r="J3126" i="2"/>
  <c r="K3126" i="2" s="1"/>
  <c r="E3128" i="2" l="1"/>
  <c r="G3128" i="2" s="1"/>
  <c r="H3128" i="2"/>
  <c r="I3128" i="2"/>
  <c r="J3127" i="2"/>
  <c r="K3127" i="2" s="1"/>
  <c r="E3129" i="2" l="1"/>
  <c r="G3129" i="2" s="1"/>
  <c r="H3129" i="2"/>
  <c r="I3129" i="2"/>
  <c r="J3128" i="2"/>
  <c r="K3128" i="2" s="1"/>
  <c r="F3130" i="2" l="1"/>
  <c r="G3130" i="2" s="1"/>
  <c r="H3130" i="2"/>
  <c r="I3130" i="2"/>
  <c r="J3129" i="2"/>
  <c r="K3129" i="2" s="1"/>
  <c r="H3131" i="2" l="1"/>
  <c r="I3131" i="2"/>
  <c r="J3130" i="2"/>
  <c r="K3130" i="2" s="1"/>
  <c r="F3131" i="2"/>
  <c r="G3131" i="2" s="1"/>
  <c r="H3132" i="2" l="1"/>
  <c r="I3132" i="2"/>
  <c r="J3131" i="2"/>
  <c r="F3132" i="2"/>
  <c r="G3132" i="2" s="1"/>
  <c r="K3131" i="2"/>
  <c r="H3133" i="2" l="1"/>
  <c r="I3133" i="2"/>
  <c r="J3132" i="2"/>
  <c r="F3133" i="2"/>
  <c r="G3133" i="2" s="1"/>
  <c r="K3132" i="2"/>
  <c r="F3134" i="2" l="1"/>
  <c r="G3134" i="2" s="1"/>
  <c r="H3134" i="2"/>
  <c r="I3134" i="2"/>
  <c r="J3133" i="2"/>
  <c r="K3133" i="2"/>
  <c r="F3135" i="2" l="1"/>
  <c r="G3135" i="2" s="1"/>
  <c r="H3135" i="2"/>
  <c r="I3135" i="2"/>
  <c r="J3134" i="2"/>
  <c r="K3134" i="2" s="1"/>
  <c r="F3136" i="2" l="1"/>
  <c r="G3136" i="2" s="1"/>
  <c r="H3136" i="2"/>
  <c r="I3136" i="2"/>
  <c r="J3135" i="2"/>
  <c r="K3135" i="2" s="1"/>
  <c r="E3137" i="2" l="1"/>
  <c r="G3137" i="2" s="1"/>
  <c r="H3137" i="2"/>
  <c r="I3137" i="2"/>
  <c r="J3136" i="2"/>
  <c r="K3136" i="2" s="1"/>
  <c r="E3138" i="2" l="1"/>
  <c r="G3138" i="2" s="1"/>
  <c r="H3138" i="2"/>
  <c r="I3138" i="2"/>
  <c r="J3137" i="2"/>
  <c r="K3137" i="2" s="1"/>
  <c r="H3139" i="2" l="1"/>
  <c r="I3139" i="2"/>
  <c r="J3138" i="2"/>
  <c r="F3139" i="2"/>
  <c r="G3139" i="2" s="1"/>
  <c r="K3138" i="2"/>
  <c r="H3140" i="2" l="1"/>
  <c r="I3140" i="2"/>
  <c r="J3139" i="2"/>
  <c r="F3140" i="2"/>
  <c r="G3140" i="2" s="1"/>
  <c r="K3139" i="2"/>
  <c r="H3141" i="2" l="1"/>
  <c r="I3141" i="2"/>
  <c r="J3140" i="2"/>
  <c r="F3141" i="2"/>
  <c r="G3141" i="2" s="1"/>
  <c r="K3140" i="2"/>
  <c r="F3142" i="2" l="1"/>
  <c r="G3142" i="2" s="1"/>
  <c r="H3142" i="2"/>
  <c r="I3142" i="2"/>
  <c r="J3141" i="2"/>
  <c r="K3141" i="2"/>
  <c r="F3143" i="2" l="1"/>
  <c r="G3143" i="2" s="1"/>
  <c r="H3143" i="2"/>
  <c r="I3143" i="2"/>
  <c r="J3142" i="2"/>
  <c r="K3142" i="2" s="1"/>
  <c r="F3144" i="2" l="1"/>
  <c r="G3144" i="2" s="1"/>
  <c r="H3144" i="2"/>
  <c r="I3144" i="2"/>
  <c r="J3143" i="2"/>
  <c r="K3143" i="2" s="1"/>
  <c r="E3145" i="2" l="1"/>
  <c r="G3145" i="2" s="1"/>
  <c r="H3145" i="2"/>
  <c r="I3145" i="2"/>
  <c r="J3144" i="2"/>
  <c r="K3144" i="2" s="1"/>
  <c r="F3146" i="2" l="1"/>
  <c r="G3146" i="2" s="1"/>
  <c r="H3146" i="2"/>
  <c r="I3146" i="2"/>
  <c r="J3145" i="2"/>
  <c r="K3145" i="2"/>
  <c r="I3147" i="2" l="1"/>
  <c r="H3147" i="2"/>
  <c r="J3146" i="2"/>
  <c r="K3146" i="2" s="1"/>
  <c r="F3147" i="2"/>
  <c r="G3147" i="2" s="1"/>
  <c r="I3148" i="2" l="1"/>
  <c r="H3148" i="2"/>
  <c r="J3147" i="2"/>
  <c r="E3148" i="2"/>
  <c r="G3148" i="2" s="1"/>
  <c r="K3147" i="2"/>
  <c r="H3149" i="2" l="1"/>
  <c r="I3149" i="2"/>
  <c r="J3148" i="2"/>
  <c r="E3149" i="2"/>
  <c r="G3149" i="2" s="1"/>
  <c r="K3148" i="2"/>
  <c r="F3150" i="2" l="1"/>
  <c r="G3150" i="2" s="1"/>
  <c r="H3150" i="2"/>
  <c r="I3150" i="2"/>
  <c r="J3149" i="2"/>
  <c r="K3149" i="2"/>
  <c r="K3150" i="2" l="1"/>
  <c r="F3151" i="2"/>
  <c r="G3151" i="2" s="1"/>
  <c r="H3151" i="2"/>
  <c r="I3151" i="2"/>
  <c r="J3150" i="2"/>
  <c r="E3152" i="2" l="1"/>
  <c r="G3152" i="2" s="1"/>
  <c r="H3152" i="2"/>
  <c r="I3152" i="2"/>
  <c r="J3151" i="2"/>
  <c r="K3151" i="2" s="1"/>
  <c r="F3153" i="2" l="1"/>
  <c r="G3153" i="2" s="1"/>
  <c r="H3153" i="2"/>
  <c r="I3153" i="2"/>
  <c r="J3152" i="2"/>
  <c r="K3152" i="2" s="1"/>
  <c r="F3154" i="2" l="1"/>
  <c r="G3154" i="2" s="1"/>
  <c r="H3154" i="2"/>
  <c r="I3154" i="2"/>
  <c r="J3153" i="2"/>
  <c r="K3153" i="2"/>
  <c r="I3155" i="2" l="1"/>
  <c r="H3155" i="2"/>
  <c r="J3154" i="2"/>
  <c r="K3154" i="2" s="1"/>
  <c r="E3155" i="2"/>
  <c r="G3155" i="2" s="1"/>
  <c r="I3156" i="2" l="1"/>
  <c r="H3156" i="2"/>
  <c r="J3155" i="2"/>
  <c r="K3155" i="2" s="1"/>
  <c r="F3156" i="2"/>
  <c r="G3156" i="2" s="1"/>
  <c r="H3157" i="2" l="1"/>
  <c r="I3157" i="2"/>
  <c r="J3156" i="2"/>
  <c r="F3157" i="2"/>
  <c r="G3157" i="2" s="1"/>
  <c r="K3156" i="2"/>
  <c r="F3158" i="2" l="1"/>
  <c r="G3158" i="2" s="1"/>
  <c r="H3158" i="2"/>
  <c r="I3158" i="2"/>
  <c r="J3157" i="2"/>
  <c r="K3157" i="2"/>
  <c r="F3159" i="2" l="1"/>
  <c r="G3159" i="2" s="1"/>
  <c r="H3159" i="2"/>
  <c r="I3159" i="2"/>
  <c r="J3158" i="2"/>
  <c r="K3158" i="2" s="1"/>
  <c r="E3160" i="2" l="1"/>
  <c r="G3160" i="2" s="1"/>
  <c r="H3160" i="2"/>
  <c r="I3160" i="2"/>
  <c r="J3159" i="2"/>
  <c r="K3159" i="2" s="1"/>
  <c r="F3161" i="2" l="1"/>
  <c r="G3161" i="2" s="1"/>
  <c r="H3161" i="2"/>
  <c r="I3161" i="2"/>
  <c r="J3160" i="2"/>
  <c r="K3160" i="2"/>
  <c r="F3162" i="2" l="1"/>
  <c r="G3162" i="2" s="1"/>
  <c r="H3162" i="2"/>
  <c r="I3162" i="2"/>
  <c r="J3161" i="2"/>
  <c r="K3161" i="2" s="1"/>
  <c r="H3163" i="2" l="1"/>
  <c r="I3163" i="2"/>
  <c r="J3162" i="2"/>
  <c r="K3162" i="2" s="1"/>
  <c r="E3163" i="2"/>
  <c r="G3163" i="2" s="1"/>
  <c r="H3164" i="2" l="1"/>
  <c r="I3164" i="2"/>
  <c r="J3163" i="2"/>
  <c r="K3163" i="2" s="1"/>
  <c r="E3164" i="2"/>
  <c r="G3164" i="2" s="1"/>
  <c r="H3165" i="2" l="1"/>
  <c r="I3165" i="2"/>
  <c r="J3164" i="2"/>
  <c r="F3165" i="2"/>
  <c r="G3165" i="2" s="1"/>
  <c r="K3164" i="2"/>
  <c r="E3166" i="2" l="1"/>
  <c r="G3166" i="2" s="1"/>
  <c r="H3166" i="2"/>
  <c r="I3166" i="2"/>
  <c r="J3165" i="2"/>
  <c r="K3165" i="2"/>
  <c r="F3167" i="2" l="1"/>
  <c r="G3167" i="2" s="1"/>
  <c r="H3167" i="2"/>
  <c r="I3167" i="2"/>
  <c r="J3166" i="2"/>
  <c r="K3166" i="2" s="1"/>
  <c r="K3167" i="2" l="1"/>
  <c r="E3168" i="2"/>
  <c r="G3168" i="2" s="1"/>
  <c r="H3168" i="2"/>
  <c r="I3168" i="2"/>
  <c r="J3167" i="2"/>
  <c r="F3169" i="2" l="1"/>
  <c r="G3169" i="2" s="1"/>
  <c r="H3169" i="2"/>
  <c r="I3169" i="2"/>
  <c r="J3168" i="2"/>
  <c r="K3168" i="2"/>
  <c r="F3170" i="2" l="1"/>
  <c r="G3170" i="2" s="1"/>
  <c r="H3170" i="2"/>
  <c r="I3170" i="2"/>
  <c r="J3169" i="2"/>
  <c r="K3169" i="2" s="1"/>
  <c r="H3171" i="2" l="1"/>
  <c r="I3171" i="2"/>
  <c r="J3170" i="2"/>
  <c r="E3171" i="2"/>
  <c r="G3171" i="2" s="1"/>
  <c r="K3170" i="2"/>
  <c r="H3172" i="2" l="1"/>
  <c r="I3172" i="2"/>
  <c r="J3171" i="2"/>
  <c r="E3172" i="2"/>
  <c r="G3172" i="2" s="1"/>
  <c r="K3171" i="2"/>
  <c r="H3173" i="2" l="1"/>
  <c r="I3173" i="2"/>
  <c r="J3172" i="2"/>
  <c r="E3173" i="2"/>
  <c r="G3173" i="2" s="1"/>
  <c r="K3172" i="2"/>
  <c r="E3174" i="2" l="1"/>
  <c r="G3174" i="2" s="1"/>
  <c r="H3174" i="2"/>
  <c r="I3174" i="2"/>
  <c r="J3173" i="2"/>
  <c r="K3173" i="2"/>
  <c r="E3175" i="2" l="1"/>
  <c r="G3175" i="2" s="1"/>
  <c r="H3175" i="2"/>
  <c r="I3175" i="2"/>
  <c r="J3174" i="2"/>
  <c r="K3174" i="2" s="1"/>
  <c r="K3175" i="2" l="1"/>
  <c r="E3176" i="2"/>
  <c r="G3176" i="2" s="1"/>
  <c r="H3176" i="2"/>
  <c r="I3176" i="2"/>
  <c r="J3175" i="2"/>
  <c r="F3177" i="2" l="1"/>
  <c r="G3177" i="2" s="1"/>
  <c r="H3177" i="2"/>
  <c r="I3177" i="2"/>
  <c r="J3176" i="2"/>
  <c r="K3176" i="2" s="1"/>
  <c r="E3178" i="2" l="1"/>
  <c r="G3178" i="2" s="1"/>
  <c r="H3178" i="2"/>
  <c r="I3178" i="2"/>
  <c r="J3177" i="2"/>
  <c r="K3177" i="2"/>
  <c r="I3179" i="2" l="1"/>
  <c r="H3179" i="2"/>
  <c r="J3178" i="2"/>
  <c r="K3178" i="2" s="1"/>
  <c r="F3179" i="2"/>
  <c r="G3179" i="2" s="1"/>
  <c r="I3180" i="2" l="1"/>
  <c r="H3180" i="2"/>
  <c r="J3179" i="2"/>
  <c r="K3179" i="2" s="1"/>
  <c r="E3180" i="2"/>
  <c r="G3180" i="2" s="1"/>
  <c r="H3181" i="2" l="1"/>
  <c r="I3181" i="2"/>
  <c r="J3180" i="2"/>
  <c r="F3181" i="2"/>
  <c r="G3181" i="2" s="1"/>
  <c r="K3180" i="2"/>
  <c r="F3182" i="2" l="1"/>
  <c r="G3182" i="2" s="1"/>
  <c r="H3182" i="2"/>
  <c r="I3182" i="2"/>
  <c r="J3181" i="2"/>
  <c r="K3181" i="2"/>
  <c r="E3183" i="2" l="1"/>
  <c r="G3183" i="2" s="1"/>
  <c r="H3183" i="2"/>
  <c r="I3183" i="2"/>
  <c r="J3182" i="2"/>
  <c r="K3182" i="2" s="1"/>
  <c r="F3184" i="2" l="1"/>
  <c r="G3184" i="2" s="1"/>
  <c r="H3184" i="2"/>
  <c r="I3184" i="2"/>
  <c r="J3183" i="2"/>
  <c r="K3183" i="2" s="1"/>
  <c r="E3185" i="2" l="1"/>
  <c r="G3185" i="2" s="1"/>
  <c r="H3185" i="2"/>
  <c r="I3185" i="2"/>
  <c r="J3184" i="2"/>
  <c r="K3184" i="2" s="1"/>
  <c r="E3186" i="2" l="1"/>
  <c r="G3186" i="2" s="1"/>
  <c r="H3186" i="2"/>
  <c r="I3186" i="2"/>
  <c r="J3185" i="2"/>
  <c r="K3185" i="2" s="1"/>
  <c r="I3187" i="2" l="1"/>
  <c r="H3187" i="2"/>
  <c r="J3186" i="2"/>
  <c r="K3186" i="2" s="1"/>
  <c r="E3187" i="2"/>
  <c r="G3187" i="2" s="1"/>
  <c r="I3188" i="2" l="1"/>
  <c r="H3188" i="2"/>
  <c r="J3187" i="2"/>
  <c r="K3187" i="2" s="1"/>
  <c r="F3188" i="2"/>
  <c r="G3188" i="2" s="1"/>
  <c r="H3189" i="2" l="1"/>
  <c r="I3189" i="2"/>
  <c r="J3188" i="2"/>
  <c r="E3189" i="2"/>
  <c r="G3189" i="2" s="1"/>
  <c r="K3188" i="2"/>
  <c r="E3190" i="2" l="1"/>
  <c r="G3190" i="2" s="1"/>
  <c r="H3190" i="2"/>
  <c r="I3190" i="2"/>
  <c r="J3189" i="2"/>
  <c r="K3189" i="2"/>
  <c r="F3191" i="2" l="1"/>
  <c r="G3191" i="2" s="1"/>
  <c r="H3191" i="2"/>
  <c r="I3191" i="2"/>
  <c r="J3190" i="2"/>
  <c r="K3190" i="2" s="1"/>
  <c r="F3192" i="2" l="1"/>
  <c r="G3192" i="2" s="1"/>
  <c r="H3192" i="2"/>
  <c r="I3192" i="2"/>
  <c r="J3191" i="2"/>
  <c r="K3191" i="2" s="1"/>
  <c r="F3193" i="2" l="1"/>
  <c r="G3193" i="2" s="1"/>
  <c r="H3193" i="2"/>
  <c r="I3193" i="2"/>
  <c r="J3192" i="2"/>
  <c r="K3192" i="2" s="1"/>
  <c r="F3194" i="2" l="1"/>
  <c r="G3194" i="2" s="1"/>
  <c r="H3194" i="2"/>
  <c r="I3194" i="2"/>
  <c r="J3193" i="2"/>
  <c r="K3193" i="2" s="1"/>
  <c r="H3195" i="2" l="1"/>
  <c r="I3195" i="2"/>
  <c r="J3194" i="2"/>
  <c r="K3194" i="2" s="1"/>
  <c r="E3195" i="2"/>
  <c r="G3195" i="2" s="1"/>
  <c r="H3196" i="2" l="1"/>
  <c r="I3196" i="2"/>
  <c r="J3195" i="2"/>
  <c r="K3195" i="2" s="1"/>
  <c r="E3196" i="2"/>
  <c r="G3196" i="2" s="1"/>
  <c r="H3197" i="2" l="1"/>
  <c r="I3197" i="2"/>
  <c r="J3196" i="2"/>
  <c r="E3197" i="2"/>
  <c r="G3197" i="2" s="1"/>
  <c r="K3196" i="2"/>
  <c r="F3198" i="2" l="1"/>
  <c r="G3198" i="2" s="1"/>
  <c r="H3198" i="2"/>
  <c r="I3198" i="2"/>
  <c r="J3197" i="2"/>
  <c r="K3197" i="2"/>
  <c r="E3199" i="2" l="1"/>
  <c r="G3199" i="2" s="1"/>
  <c r="H3199" i="2"/>
  <c r="I3199" i="2"/>
  <c r="J3198" i="2"/>
  <c r="K3198" i="2" s="1"/>
  <c r="F3200" i="2" l="1"/>
  <c r="G3200" i="2" s="1"/>
  <c r="H3200" i="2"/>
  <c r="I3200" i="2"/>
  <c r="J3199" i="2"/>
  <c r="K3199" i="2" s="1"/>
  <c r="F3201" i="2" l="1"/>
  <c r="G3201" i="2" s="1"/>
  <c r="H3201" i="2"/>
  <c r="I3201" i="2"/>
  <c r="J3200" i="2"/>
  <c r="K3200" i="2" s="1"/>
  <c r="F3202" i="2" l="1"/>
  <c r="G3202" i="2" s="1"/>
  <c r="H3202" i="2"/>
  <c r="I3202" i="2"/>
  <c r="J3201" i="2"/>
  <c r="K3201" i="2" s="1"/>
  <c r="H3203" i="2" l="1"/>
  <c r="I3203" i="2"/>
  <c r="J3202" i="2"/>
  <c r="K3202" i="2" s="1"/>
  <c r="F3203" i="2"/>
  <c r="G3203" i="2" s="1"/>
  <c r="H3204" i="2" l="1"/>
  <c r="I3204" i="2"/>
  <c r="J3203" i="2"/>
  <c r="K3203" i="2" s="1"/>
  <c r="F3204" i="2"/>
  <c r="G3204" i="2" s="1"/>
  <c r="H3205" i="2" l="1"/>
  <c r="I3205" i="2"/>
  <c r="J3204" i="2"/>
  <c r="F3205" i="2"/>
  <c r="G3205" i="2" s="1"/>
  <c r="K3204" i="2"/>
  <c r="F3206" i="2" l="1"/>
  <c r="G3206" i="2" s="1"/>
  <c r="H3206" i="2"/>
  <c r="I3206" i="2"/>
  <c r="J3205" i="2"/>
  <c r="K3205" i="2"/>
  <c r="F3207" i="2" l="1"/>
  <c r="G3207" i="2" s="1"/>
  <c r="H3207" i="2"/>
  <c r="I3207" i="2"/>
  <c r="J3206" i="2"/>
  <c r="K3206" i="2" s="1"/>
  <c r="F3208" i="2" l="1"/>
  <c r="G3208" i="2" s="1"/>
  <c r="H3208" i="2"/>
  <c r="I3208" i="2"/>
  <c r="J3207" i="2"/>
  <c r="K3207" i="2"/>
  <c r="F3209" i="2" l="1"/>
  <c r="G3209" i="2" s="1"/>
  <c r="H3209" i="2"/>
  <c r="I3209" i="2"/>
  <c r="J3208" i="2"/>
  <c r="K3208" i="2" s="1"/>
  <c r="E3210" i="2" l="1"/>
  <c r="G3210" i="2" s="1"/>
  <c r="H3210" i="2"/>
  <c r="I3210" i="2"/>
  <c r="J3209" i="2"/>
  <c r="K3209" i="2" s="1"/>
  <c r="I3211" i="2" l="1"/>
  <c r="H3211" i="2"/>
  <c r="J3210" i="2"/>
  <c r="K3210" i="2" s="1"/>
  <c r="E3211" i="2"/>
  <c r="G3211" i="2" s="1"/>
  <c r="I3212" i="2" l="1"/>
  <c r="H3212" i="2"/>
  <c r="J3211" i="2"/>
  <c r="K3211" i="2" s="1"/>
  <c r="E3212" i="2"/>
  <c r="G3212" i="2" s="1"/>
  <c r="H3213" i="2" l="1"/>
  <c r="I3213" i="2"/>
  <c r="J3212" i="2"/>
  <c r="E3213" i="2"/>
  <c r="G3213" i="2" s="1"/>
  <c r="K3212" i="2"/>
  <c r="F3214" i="2" l="1"/>
  <c r="G3214" i="2" s="1"/>
  <c r="H3214" i="2"/>
  <c r="I3214" i="2"/>
  <c r="J3213" i="2"/>
  <c r="K3213" i="2"/>
  <c r="E3215" i="2" l="1"/>
  <c r="G3215" i="2" s="1"/>
  <c r="H3215" i="2"/>
  <c r="I3215" i="2"/>
  <c r="J3214" i="2"/>
  <c r="K3214" i="2" s="1"/>
  <c r="E3216" i="2" l="1"/>
  <c r="G3216" i="2" s="1"/>
  <c r="H3216" i="2"/>
  <c r="I3216" i="2"/>
  <c r="J3215" i="2"/>
  <c r="K3215" i="2" s="1"/>
  <c r="E3217" i="2" l="1"/>
  <c r="G3217" i="2" s="1"/>
  <c r="H3217" i="2"/>
  <c r="I3217" i="2"/>
  <c r="J3216" i="2"/>
  <c r="K3216" i="2" s="1"/>
  <c r="F3218" i="2" l="1"/>
  <c r="G3218" i="2" s="1"/>
  <c r="H3218" i="2"/>
  <c r="I3218" i="2"/>
  <c r="J3217" i="2"/>
  <c r="K3217" i="2" s="1"/>
  <c r="I3219" i="2" l="1"/>
  <c r="H3219" i="2"/>
  <c r="J3218" i="2"/>
  <c r="E3219" i="2"/>
  <c r="G3219" i="2" s="1"/>
  <c r="K3218" i="2"/>
  <c r="I3220" i="2" l="1"/>
  <c r="H3220" i="2"/>
  <c r="J3219" i="2"/>
  <c r="K3219" i="2" s="1"/>
  <c r="E3220" i="2"/>
  <c r="G3220" i="2" s="1"/>
  <c r="H3221" i="2" l="1"/>
  <c r="I3221" i="2"/>
  <c r="J3220" i="2"/>
  <c r="E3221" i="2"/>
  <c r="G3221" i="2" s="1"/>
  <c r="K3220" i="2"/>
  <c r="F3222" i="2" l="1"/>
  <c r="G3222" i="2" s="1"/>
  <c r="H3222" i="2"/>
  <c r="I3222" i="2"/>
  <c r="J3221" i="2"/>
  <c r="K3221" i="2"/>
  <c r="F3223" i="2" l="1"/>
  <c r="G3223" i="2" s="1"/>
  <c r="H3223" i="2"/>
  <c r="I3223" i="2"/>
  <c r="J3222" i="2"/>
  <c r="K3222" i="2" s="1"/>
  <c r="F3224" i="2" l="1"/>
  <c r="G3224" i="2" s="1"/>
  <c r="H3224" i="2"/>
  <c r="I3224" i="2"/>
  <c r="J3223" i="2"/>
  <c r="K3223" i="2" s="1"/>
  <c r="F3225" i="2" l="1"/>
  <c r="G3225" i="2" s="1"/>
  <c r="H3225" i="2"/>
  <c r="I3225" i="2"/>
  <c r="J3224" i="2"/>
  <c r="K3224" i="2" s="1"/>
  <c r="K3225" i="2" l="1"/>
  <c r="E3226" i="2"/>
  <c r="G3226" i="2" s="1"/>
  <c r="H3226" i="2"/>
  <c r="I3226" i="2"/>
  <c r="J3225" i="2"/>
  <c r="H3227" i="2" l="1"/>
  <c r="I3227" i="2"/>
  <c r="J3226" i="2"/>
  <c r="K3226" i="2" s="1"/>
  <c r="F3227" i="2"/>
  <c r="G3227" i="2" s="1"/>
  <c r="H3228" i="2" l="1"/>
  <c r="I3228" i="2"/>
  <c r="J3227" i="2"/>
  <c r="K3227" i="2" s="1"/>
  <c r="F3228" i="2"/>
  <c r="G3228" i="2" s="1"/>
  <c r="H3229" i="2" l="1"/>
  <c r="I3229" i="2"/>
  <c r="J3228" i="2"/>
  <c r="F3229" i="2"/>
  <c r="G3229" i="2" s="1"/>
  <c r="K3228" i="2"/>
  <c r="E3230" i="2" l="1"/>
  <c r="G3230" i="2" s="1"/>
  <c r="H3230" i="2"/>
  <c r="I3230" i="2"/>
  <c r="J3229" i="2"/>
  <c r="K3229" i="2"/>
  <c r="F3231" i="2" l="1"/>
  <c r="G3231" i="2" s="1"/>
  <c r="H3231" i="2"/>
  <c r="I3231" i="2"/>
  <c r="J3230" i="2"/>
  <c r="K3230" i="2" s="1"/>
  <c r="F3232" i="2" l="1"/>
  <c r="G3232" i="2" s="1"/>
  <c r="H3232" i="2"/>
  <c r="I3232" i="2"/>
  <c r="J3231" i="2"/>
  <c r="K3231" i="2" s="1"/>
  <c r="E3233" i="2" l="1"/>
  <c r="G3233" i="2" s="1"/>
  <c r="H3233" i="2"/>
  <c r="I3233" i="2"/>
  <c r="J3232" i="2"/>
  <c r="K3232" i="2"/>
  <c r="F3234" i="2" l="1"/>
  <c r="G3234" i="2" s="1"/>
  <c r="H3234" i="2"/>
  <c r="I3234" i="2"/>
  <c r="J3233" i="2"/>
  <c r="K3233" i="2" s="1"/>
  <c r="K3234" i="2" l="1"/>
  <c r="H3235" i="2"/>
  <c r="I3235" i="2"/>
  <c r="J3234" i="2"/>
  <c r="F3235" i="2"/>
  <c r="G3235" i="2" s="1"/>
  <c r="H3236" i="2" l="1"/>
  <c r="I3236" i="2"/>
  <c r="J3235" i="2"/>
  <c r="E3236" i="2"/>
  <c r="G3236" i="2" s="1"/>
  <c r="K3235" i="2"/>
  <c r="H3237" i="2" l="1"/>
  <c r="I3237" i="2"/>
  <c r="J3236" i="2"/>
  <c r="F3237" i="2"/>
  <c r="G3237" i="2" s="1"/>
  <c r="K3236" i="2"/>
  <c r="E3238" i="2" l="1"/>
  <c r="G3238" i="2" s="1"/>
  <c r="H3238" i="2"/>
  <c r="I3238" i="2"/>
  <c r="J3237" i="2"/>
  <c r="K3237" i="2"/>
  <c r="E3239" i="2" l="1"/>
  <c r="G3239" i="2" s="1"/>
  <c r="H3239" i="2"/>
  <c r="I3239" i="2"/>
  <c r="J3238" i="2"/>
  <c r="K3238" i="2" s="1"/>
  <c r="F3240" i="2" l="1"/>
  <c r="G3240" i="2" s="1"/>
  <c r="H3240" i="2"/>
  <c r="I3240" i="2"/>
  <c r="J3239" i="2"/>
  <c r="K3239" i="2" s="1"/>
  <c r="E3241" i="2" l="1"/>
  <c r="G3241" i="2" s="1"/>
  <c r="H3241" i="2"/>
  <c r="I3241" i="2"/>
  <c r="J3240" i="2"/>
  <c r="K3240" i="2" s="1"/>
  <c r="F3242" i="2" l="1"/>
  <c r="G3242" i="2" s="1"/>
  <c r="H3242" i="2"/>
  <c r="I3242" i="2"/>
  <c r="J3241" i="2"/>
  <c r="K3241" i="2" s="1"/>
  <c r="I3243" i="2" l="1"/>
  <c r="H3243" i="2"/>
  <c r="J3242" i="2"/>
  <c r="K3242" i="2" s="1"/>
  <c r="E3243" i="2"/>
  <c r="G3243" i="2" s="1"/>
  <c r="I3244" i="2" l="1"/>
  <c r="H3244" i="2"/>
  <c r="J3243" i="2"/>
  <c r="F3244" i="2"/>
  <c r="G3244" i="2" s="1"/>
  <c r="K3243" i="2"/>
  <c r="H3245" i="2" l="1"/>
  <c r="I3245" i="2"/>
  <c r="J3244" i="2"/>
  <c r="K3244" i="2" s="1"/>
  <c r="E3245" i="2"/>
  <c r="G3245" i="2" s="1"/>
  <c r="E3246" i="2" l="1"/>
  <c r="G3246" i="2" s="1"/>
  <c r="H3246" i="2"/>
  <c r="I3246" i="2"/>
  <c r="J3245" i="2"/>
  <c r="K3245" i="2" s="1"/>
  <c r="E3247" i="2" l="1"/>
  <c r="G3247" i="2" s="1"/>
  <c r="H3247" i="2"/>
  <c r="I3247" i="2"/>
  <c r="J3246" i="2"/>
  <c r="K3246" i="2" s="1"/>
  <c r="E3248" i="2" l="1"/>
  <c r="G3248" i="2" s="1"/>
  <c r="H3248" i="2"/>
  <c r="I3248" i="2"/>
  <c r="J3247" i="2"/>
  <c r="K3247" i="2" s="1"/>
  <c r="E3249" i="2" l="1"/>
  <c r="G3249" i="2" s="1"/>
  <c r="H3249" i="2"/>
  <c r="I3249" i="2"/>
  <c r="J3248" i="2"/>
  <c r="K3248" i="2" s="1"/>
  <c r="F3250" i="2" l="1"/>
  <c r="G3250" i="2" s="1"/>
  <c r="H3250" i="2"/>
  <c r="I3250" i="2"/>
  <c r="J3249" i="2"/>
  <c r="K3249" i="2"/>
  <c r="I3251" i="2" l="1"/>
  <c r="H3251" i="2"/>
  <c r="J3250" i="2"/>
  <c r="K3250" i="2" s="1"/>
  <c r="E3251" i="2"/>
  <c r="G3251" i="2" s="1"/>
  <c r="I3252" i="2" l="1"/>
  <c r="H3252" i="2"/>
  <c r="J3251" i="2"/>
  <c r="F3252" i="2"/>
  <c r="G3252" i="2" s="1"/>
  <c r="K3251" i="2"/>
  <c r="H3253" i="2" l="1"/>
  <c r="I3253" i="2"/>
  <c r="J3252" i="2"/>
  <c r="F3253" i="2"/>
  <c r="G3253" i="2" s="1"/>
  <c r="K3252" i="2"/>
  <c r="E3254" i="2" l="1"/>
  <c r="G3254" i="2" s="1"/>
  <c r="H3254" i="2"/>
  <c r="J3253" i="2"/>
  <c r="I3254" i="2"/>
  <c r="K3253" i="2"/>
  <c r="E3255" i="2" l="1"/>
  <c r="G3255" i="2" s="1"/>
  <c r="H3255" i="2"/>
  <c r="I3255" i="2"/>
  <c r="J3254" i="2"/>
  <c r="K3254" i="2" s="1"/>
  <c r="F3256" i="2" l="1"/>
  <c r="G3256" i="2" s="1"/>
  <c r="H3256" i="2"/>
  <c r="I3256" i="2"/>
  <c r="J3255" i="2"/>
  <c r="K3255" i="2" s="1"/>
  <c r="F3257" i="2" l="1"/>
  <c r="G3257" i="2" s="1"/>
  <c r="H3257" i="2"/>
  <c r="I3257" i="2"/>
  <c r="J3256" i="2"/>
  <c r="K3256" i="2" s="1"/>
  <c r="F3258" i="2" l="1"/>
  <c r="G3258" i="2" s="1"/>
  <c r="H3258" i="2"/>
  <c r="I3258" i="2"/>
  <c r="J3257" i="2"/>
  <c r="K3257" i="2"/>
  <c r="H3259" i="2" l="1"/>
  <c r="I3259" i="2"/>
  <c r="J3258" i="2"/>
  <c r="K3258" i="2" s="1"/>
  <c r="F3259" i="2"/>
  <c r="G3259" i="2" s="1"/>
  <c r="H3260" i="2" l="1"/>
  <c r="I3260" i="2"/>
  <c r="J3259" i="2"/>
  <c r="K3259" i="2" s="1"/>
  <c r="F3260" i="2"/>
  <c r="G3260" i="2" s="1"/>
  <c r="H3261" i="2" l="1"/>
  <c r="I3261" i="2"/>
  <c r="J3260" i="2"/>
  <c r="K3260" i="2" s="1"/>
  <c r="E3261" i="2"/>
  <c r="G3261" i="2" s="1"/>
  <c r="F3262" i="2" l="1"/>
  <c r="G3262" i="2" s="1"/>
  <c r="H3262" i="2"/>
  <c r="I3262" i="2"/>
  <c r="J3261" i="2"/>
  <c r="K3261" i="2"/>
  <c r="E3263" i="2" l="1"/>
  <c r="G3263" i="2" s="1"/>
  <c r="H3263" i="2"/>
  <c r="I3263" i="2"/>
  <c r="J3262" i="2"/>
  <c r="K3262" i="2" s="1"/>
  <c r="F3264" i="2" l="1"/>
  <c r="G3264" i="2" s="1"/>
  <c r="H3264" i="2"/>
  <c r="I3264" i="2"/>
  <c r="J3263" i="2"/>
  <c r="K3263" i="2" s="1"/>
  <c r="F3265" i="2" l="1"/>
  <c r="G3265" i="2" s="1"/>
  <c r="H3265" i="2"/>
  <c r="I3265" i="2"/>
  <c r="J3264" i="2"/>
  <c r="K3264" i="2" s="1"/>
  <c r="F3266" i="2" l="1"/>
  <c r="G3266" i="2" s="1"/>
  <c r="H3266" i="2"/>
  <c r="I3266" i="2"/>
  <c r="J3265" i="2"/>
  <c r="K3265" i="2" s="1"/>
  <c r="K3266" i="2" l="1"/>
  <c r="H3267" i="2"/>
  <c r="I3267" i="2"/>
  <c r="J3266" i="2"/>
  <c r="F3267" i="2"/>
  <c r="G3267" i="2" s="1"/>
  <c r="H3268" i="2" l="1"/>
  <c r="I3268" i="2"/>
  <c r="J3267" i="2"/>
  <c r="E3268" i="2"/>
  <c r="G3268" i="2" s="1"/>
  <c r="K3267" i="2"/>
  <c r="H3269" i="2" l="1"/>
  <c r="I3269" i="2"/>
  <c r="J3268" i="2"/>
  <c r="E3269" i="2"/>
  <c r="G3269" i="2" s="1"/>
  <c r="K3268" i="2"/>
  <c r="F3270" i="2" l="1"/>
  <c r="G3270" i="2" s="1"/>
  <c r="H3270" i="2"/>
  <c r="I3270" i="2"/>
  <c r="J3269" i="2"/>
  <c r="K3269" i="2"/>
  <c r="F3271" i="2" l="1"/>
  <c r="G3271" i="2" s="1"/>
  <c r="H3271" i="2"/>
  <c r="I3271" i="2"/>
  <c r="J3270" i="2"/>
  <c r="K3270" i="2" s="1"/>
  <c r="E3272" i="2" l="1"/>
  <c r="G3272" i="2" s="1"/>
  <c r="H3272" i="2"/>
  <c r="I3272" i="2"/>
  <c r="J3271" i="2"/>
  <c r="K3271" i="2" s="1"/>
  <c r="F3273" i="2" l="1"/>
  <c r="G3273" i="2" s="1"/>
  <c r="H3273" i="2"/>
  <c r="I3273" i="2"/>
  <c r="J3272" i="2"/>
  <c r="K3272" i="2" s="1"/>
  <c r="F3274" i="2" l="1"/>
  <c r="G3274" i="2" s="1"/>
  <c r="H3274" i="2"/>
  <c r="I3274" i="2"/>
  <c r="J3273" i="2"/>
  <c r="K3273" i="2" s="1"/>
  <c r="I3275" i="2" l="1"/>
  <c r="H3275" i="2"/>
  <c r="J3274" i="2"/>
  <c r="K3274" i="2" s="1"/>
  <c r="E3275" i="2"/>
  <c r="G3275" i="2" s="1"/>
  <c r="I3276" i="2" l="1"/>
  <c r="H3276" i="2"/>
  <c r="J3275" i="2"/>
  <c r="E3276" i="2"/>
  <c r="G3276" i="2" s="1"/>
  <c r="K3275" i="2"/>
  <c r="H3277" i="2" l="1"/>
  <c r="I3277" i="2"/>
  <c r="J3276" i="2"/>
  <c r="F3277" i="2"/>
  <c r="G3277" i="2" s="1"/>
  <c r="K3276" i="2"/>
  <c r="F3278" i="2" l="1"/>
  <c r="G3278" i="2" s="1"/>
  <c r="H3278" i="2"/>
  <c r="I3278" i="2"/>
  <c r="J3277" i="2"/>
  <c r="K3277" i="2"/>
  <c r="F3279" i="2" l="1"/>
  <c r="G3279" i="2" s="1"/>
  <c r="H3279" i="2"/>
  <c r="I3279" i="2"/>
  <c r="J3278" i="2"/>
  <c r="K3278" i="2" s="1"/>
  <c r="E3280" i="2" l="1"/>
  <c r="G3280" i="2" s="1"/>
  <c r="H3280" i="2"/>
  <c r="I3280" i="2"/>
  <c r="J3279" i="2"/>
  <c r="K3279" i="2" s="1"/>
  <c r="E3281" i="2" l="1"/>
  <c r="G3281" i="2" s="1"/>
  <c r="H3281" i="2"/>
  <c r="I3281" i="2"/>
  <c r="J3280" i="2"/>
  <c r="K3280" i="2" s="1"/>
  <c r="K3281" i="2" l="1"/>
  <c r="E3282" i="2"/>
  <c r="G3282" i="2" s="1"/>
  <c r="H3282" i="2"/>
  <c r="I3282" i="2"/>
  <c r="J3281" i="2"/>
  <c r="I3283" i="2" l="1"/>
  <c r="H3283" i="2"/>
  <c r="J3282" i="2"/>
  <c r="E3283" i="2"/>
  <c r="G3283" i="2" s="1"/>
  <c r="K3282" i="2"/>
  <c r="I3284" i="2" l="1"/>
  <c r="H3284" i="2"/>
  <c r="J3283" i="2"/>
  <c r="K3283" i="2" s="1"/>
  <c r="E3284" i="2"/>
  <c r="G3284" i="2" s="1"/>
  <c r="H3285" i="2" l="1"/>
  <c r="I3285" i="2"/>
  <c r="J3284" i="2"/>
  <c r="K3284" i="2" s="1"/>
  <c r="E3285" i="2"/>
  <c r="G3285" i="2" s="1"/>
  <c r="E3286" i="2" l="1"/>
  <c r="G3286" i="2" s="1"/>
  <c r="H3286" i="2"/>
  <c r="I3286" i="2"/>
  <c r="J3285" i="2"/>
  <c r="K3285" i="2"/>
  <c r="F3287" i="2" l="1"/>
  <c r="G3287" i="2" s="1"/>
  <c r="H3287" i="2"/>
  <c r="I3287" i="2"/>
  <c r="J3286" i="2"/>
  <c r="K3286" i="2" s="1"/>
  <c r="E3288" i="2" l="1"/>
  <c r="G3288" i="2" s="1"/>
  <c r="H3288" i="2"/>
  <c r="I3288" i="2"/>
  <c r="J3287" i="2"/>
  <c r="K3287" i="2" s="1"/>
  <c r="E3289" i="2" l="1"/>
  <c r="G3289" i="2" s="1"/>
  <c r="H3289" i="2"/>
  <c r="I3289" i="2"/>
  <c r="J3288" i="2"/>
  <c r="K3288" i="2" s="1"/>
  <c r="E3290" i="2" l="1"/>
  <c r="G3290" i="2" s="1"/>
  <c r="H3290" i="2"/>
  <c r="I3290" i="2"/>
  <c r="J3289" i="2"/>
  <c r="K3289" i="2"/>
  <c r="H3291" i="2" l="1"/>
  <c r="I3291" i="2"/>
  <c r="J3290" i="2"/>
  <c r="K3290" i="2" s="1"/>
  <c r="F3291" i="2"/>
  <c r="G3291" i="2" s="1"/>
  <c r="H3292" i="2" l="1"/>
  <c r="I3292" i="2"/>
  <c r="J3291" i="2"/>
  <c r="F3292" i="2"/>
  <c r="G3292" i="2" s="1"/>
  <c r="K3291" i="2"/>
  <c r="H3293" i="2" l="1"/>
  <c r="I3293" i="2"/>
  <c r="J3292" i="2"/>
  <c r="E3293" i="2"/>
  <c r="G3293" i="2" s="1"/>
  <c r="K3292" i="2"/>
  <c r="F3294" i="2" l="1"/>
  <c r="G3294" i="2" s="1"/>
  <c r="H3294" i="2"/>
  <c r="I3294" i="2"/>
  <c r="J3293" i="2"/>
  <c r="K3293" i="2"/>
  <c r="F3295" i="2" l="1"/>
  <c r="G3295" i="2" s="1"/>
  <c r="H3295" i="2"/>
  <c r="I3295" i="2"/>
  <c r="J3294" i="2"/>
  <c r="K3294" i="2" s="1"/>
  <c r="F3296" i="2" l="1"/>
  <c r="G3296" i="2" s="1"/>
  <c r="H3296" i="2"/>
  <c r="I3296" i="2"/>
  <c r="J3295" i="2"/>
  <c r="K3295" i="2" s="1"/>
  <c r="E3297" i="2" l="1"/>
  <c r="G3297" i="2" s="1"/>
  <c r="H3297" i="2"/>
  <c r="I3297" i="2"/>
  <c r="J3296" i="2"/>
  <c r="K3296" i="2"/>
  <c r="E3298" i="2" l="1"/>
  <c r="G3298" i="2" s="1"/>
  <c r="H3298" i="2"/>
  <c r="I3298" i="2"/>
  <c r="J3297" i="2"/>
  <c r="K3297" i="2" s="1"/>
  <c r="H3299" i="2" l="1"/>
  <c r="I3299" i="2"/>
  <c r="J3298" i="2"/>
  <c r="K3298" i="2" s="1"/>
  <c r="E3299" i="2"/>
  <c r="G3299" i="2" s="1"/>
  <c r="H3300" i="2" l="1"/>
  <c r="I3300" i="2"/>
  <c r="J3299" i="2"/>
  <c r="E3300" i="2"/>
  <c r="G3300" i="2" s="1"/>
  <c r="K3299" i="2"/>
  <c r="H3301" i="2" l="1"/>
  <c r="I3301" i="2"/>
  <c r="J3300" i="2"/>
  <c r="E3301" i="2"/>
  <c r="G3301" i="2" s="1"/>
  <c r="K3300" i="2"/>
  <c r="F3302" i="2" l="1"/>
  <c r="G3302" i="2" s="1"/>
  <c r="H3302" i="2"/>
  <c r="I3302" i="2"/>
  <c r="J3301" i="2"/>
  <c r="K3301" i="2"/>
  <c r="E3303" i="2" l="1"/>
  <c r="G3303" i="2" s="1"/>
  <c r="H3303" i="2"/>
  <c r="I3303" i="2"/>
  <c r="J3302" i="2"/>
  <c r="K3302" i="2" s="1"/>
  <c r="E3304" i="2" l="1"/>
  <c r="G3304" i="2" s="1"/>
  <c r="H3304" i="2"/>
  <c r="I3304" i="2"/>
  <c r="J3303" i="2"/>
  <c r="K3303" i="2" s="1"/>
  <c r="F3305" i="2" l="1"/>
  <c r="G3305" i="2" s="1"/>
  <c r="H3305" i="2"/>
  <c r="I3305" i="2"/>
  <c r="J3304" i="2"/>
  <c r="K3304" i="2"/>
  <c r="K3305" i="2" l="1"/>
  <c r="F3306" i="2"/>
  <c r="G3306" i="2" s="1"/>
  <c r="H3306" i="2"/>
  <c r="I3306" i="2"/>
  <c r="J3305" i="2"/>
  <c r="I3307" i="2" l="1"/>
  <c r="H3307" i="2"/>
  <c r="J3306" i="2"/>
  <c r="K3306" i="2" s="1"/>
  <c r="E3307" i="2"/>
  <c r="G3307" i="2" s="1"/>
  <c r="I3308" i="2" l="1"/>
  <c r="H3308" i="2"/>
  <c r="J3307" i="2"/>
  <c r="E3308" i="2"/>
  <c r="G3308" i="2" s="1"/>
  <c r="K3307" i="2"/>
  <c r="H3309" i="2" l="1"/>
  <c r="I3309" i="2"/>
  <c r="J3308" i="2"/>
  <c r="F3309" i="2"/>
  <c r="G3309" i="2" s="1"/>
  <c r="K3308" i="2"/>
  <c r="F3310" i="2" l="1"/>
  <c r="G3310" i="2" s="1"/>
  <c r="H3310" i="2"/>
  <c r="I3310" i="2"/>
  <c r="J3309" i="2"/>
  <c r="K3309" i="2"/>
  <c r="F3311" i="2" l="1"/>
  <c r="G3311" i="2" s="1"/>
  <c r="H3311" i="2"/>
  <c r="I3311" i="2"/>
  <c r="J3310" i="2"/>
  <c r="K3310" i="2" s="1"/>
  <c r="F3312" i="2" l="1"/>
  <c r="G3312" i="2" s="1"/>
  <c r="H3312" i="2"/>
  <c r="I3312" i="2"/>
  <c r="J3311" i="2"/>
  <c r="K3311" i="2" s="1"/>
  <c r="E3313" i="2" l="1"/>
  <c r="G3313" i="2" s="1"/>
  <c r="H3313" i="2"/>
  <c r="I3313" i="2"/>
  <c r="J3312" i="2"/>
  <c r="K3312" i="2" s="1"/>
  <c r="F3314" i="2" l="1"/>
  <c r="G3314" i="2" s="1"/>
  <c r="H3314" i="2"/>
  <c r="I3314" i="2"/>
  <c r="J3313" i="2"/>
  <c r="K3313" i="2" s="1"/>
  <c r="I3315" i="2" l="1"/>
  <c r="H3315" i="2"/>
  <c r="J3314" i="2"/>
  <c r="E3315" i="2"/>
  <c r="G3315" i="2" s="1"/>
  <c r="K3314" i="2"/>
  <c r="K3315" i="2" l="1"/>
  <c r="I3316" i="2"/>
  <c r="H3316" i="2"/>
  <c r="J3315" i="2"/>
  <c r="E3316" i="2"/>
  <c r="G3316" i="2" s="1"/>
  <c r="H3317" i="2" l="1"/>
  <c r="I3317" i="2"/>
  <c r="J3316" i="2"/>
  <c r="F3317" i="2"/>
  <c r="G3317" i="2" s="1"/>
  <c r="K3316" i="2"/>
  <c r="F3318" i="2" l="1"/>
  <c r="G3318" i="2" s="1"/>
  <c r="H3318" i="2"/>
  <c r="I3318" i="2"/>
  <c r="J3317" i="2"/>
  <c r="K3317" i="2"/>
  <c r="E3319" i="2" l="1"/>
  <c r="G3319" i="2" s="1"/>
  <c r="H3319" i="2"/>
  <c r="I3319" i="2"/>
  <c r="J3318" i="2"/>
  <c r="K3318" i="2" s="1"/>
  <c r="F3320" i="2" l="1"/>
  <c r="G3320" i="2" s="1"/>
  <c r="H3320" i="2"/>
  <c r="I3320" i="2"/>
  <c r="J3319" i="2"/>
  <c r="K3319" i="2" s="1"/>
  <c r="F3321" i="2" l="1"/>
  <c r="G3321" i="2" s="1"/>
  <c r="H3321" i="2"/>
  <c r="I3321" i="2"/>
  <c r="J3320" i="2"/>
  <c r="K3320" i="2" s="1"/>
  <c r="E3322" i="2" l="1"/>
  <c r="G3322" i="2" s="1"/>
  <c r="H3322" i="2"/>
  <c r="I3322" i="2"/>
  <c r="J3321" i="2"/>
  <c r="K3321" i="2" s="1"/>
  <c r="K3322" i="2" l="1"/>
  <c r="H3323" i="2"/>
  <c r="I3323" i="2"/>
  <c r="J3322" i="2"/>
  <c r="E3323" i="2"/>
  <c r="G3323" i="2" s="1"/>
  <c r="H3324" i="2" l="1"/>
  <c r="I3324" i="2"/>
  <c r="J3323" i="2"/>
  <c r="F3324" i="2"/>
  <c r="G3324" i="2" s="1"/>
  <c r="K3323" i="2"/>
  <c r="H3325" i="2" l="1"/>
  <c r="I3325" i="2"/>
  <c r="J3324" i="2"/>
  <c r="E3325" i="2"/>
  <c r="G3325" i="2" s="1"/>
  <c r="K3324" i="2"/>
  <c r="F3326" i="2" l="1"/>
  <c r="G3326" i="2" s="1"/>
  <c r="H3326" i="2"/>
  <c r="I3326" i="2"/>
  <c r="J3325" i="2"/>
  <c r="K3325" i="2"/>
  <c r="E3327" i="2" l="1"/>
  <c r="G3327" i="2" s="1"/>
  <c r="H3327" i="2"/>
  <c r="I3327" i="2"/>
  <c r="J3326" i="2"/>
  <c r="K3326" i="2" s="1"/>
  <c r="E3328" i="2" l="1"/>
  <c r="G3328" i="2" s="1"/>
  <c r="H3328" i="2"/>
  <c r="I3328" i="2"/>
  <c r="J3327" i="2"/>
  <c r="K3327" i="2" s="1"/>
  <c r="E3329" i="2" l="1"/>
  <c r="G3329" i="2" s="1"/>
  <c r="H3329" i="2"/>
  <c r="I3329" i="2"/>
  <c r="J3328" i="2"/>
  <c r="K3328" i="2" s="1"/>
  <c r="E3330" i="2" l="1"/>
  <c r="G3330" i="2" s="1"/>
  <c r="H3330" i="2"/>
  <c r="I3330" i="2"/>
  <c r="J3329" i="2"/>
  <c r="K3329" i="2" s="1"/>
  <c r="H3331" i="2" l="1"/>
  <c r="I3331" i="2"/>
  <c r="J3330" i="2"/>
  <c r="K3330" i="2" s="1"/>
  <c r="E3331" i="2"/>
  <c r="G3331" i="2" s="1"/>
  <c r="H3332" i="2" l="1"/>
  <c r="I3332" i="2"/>
  <c r="J3331" i="2"/>
  <c r="F3332" i="2"/>
  <c r="G3332" i="2" s="1"/>
  <c r="K3331" i="2"/>
  <c r="H3333" i="2" l="1"/>
  <c r="I3333" i="2"/>
  <c r="J3332" i="2"/>
  <c r="E3333" i="2"/>
  <c r="G3333" i="2" s="1"/>
  <c r="K3332" i="2"/>
  <c r="F3334" i="2" l="1"/>
  <c r="G3334" i="2" s="1"/>
  <c r="H3334" i="2"/>
  <c r="I3334" i="2"/>
  <c r="J3333" i="2"/>
  <c r="K3333" i="2"/>
  <c r="F3335" i="2" l="1"/>
  <c r="G3335" i="2" s="1"/>
  <c r="H3335" i="2"/>
  <c r="I3335" i="2"/>
  <c r="J3334" i="2"/>
  <c r="K3334" i="2" s="1"/>
  <c r="E3336" i="2" l="1"/>
  <c r="G3336" i="2" s="1"/>
  <c r="H3336" i="2"/>
  <c r="I3336" i="2"/>
  <c r="J3335" i="2"/>
  <c r="K3335" i="2" s="1"/>
  <c r="F3337" i="2" l="1"/>
  <c r="G3337" i="2" s="1"/>
  <c r="H3337" i="2"/>
  <c r="I3337" i="2"/>
  <c r="J3336" i="2"/>
  <c r="K3336" i="2" s="1"/>
  <c r="F3338" i="2" l="1"/>
  <c r="G3338" i="2" s="1"/>
  <c r="H3338" i="2"/>
  <c r="I3338" i="2"/>
  <c r="J3337" i="2"/>
  <c r="K3337" i="2"/>
  <c r="I3339" i="2" l="1"/>
  <c r="H3339" i="2"/>
  <c r="J3338" i="2"/>
  <c r="K3338" i="2" s="1"/>
  <c r="F3339" i="2"/>
  <c r="G3339" i="2" s="1"/>
  <c r="I3340" i="2" l="1"/>
  <c r="H3340" i="2"/>
  <c r="J3339" i="2"/>
  <c r="K3339" i="2" s="1"/>
  <c r="F3340" i="2"/>
  <c r="G3340" i="2" s="1"/>
  <c r="H3341" i="2" l="1"/>
  <c r="I3341" i="2"/>
  <c r="J3340" i="2"/>
  <c r="K3340" i="2" s="1"/>
  <c r="E3341" i="2"/>
  <c r="G3341" i="2" s="1"/>
  <c r="F3342" i="2" l="1"/>
  <c r="G3342" i="2" s="1"/>
  <c r="H3342" i="2"/>
  <c r="I3342" i="2"/>
  <c r="J3341" i="2"/>
  <c r="K3341" i="2"/>
  <c r="E3343" i="2" l="1"/>
  <c r="G3343" i="2" s="1"/>
  <c r="H3343" i="2"/>
  <c r="I3343" i="2"/>
  <c r="J3342" i="2"/>
  <c r="K3342" i="2" s="1"/>
  <c r="F3344" i="2" l="1"/>
  <c r="G3344" i="2" s="1"/>
  <c r="H3344" i="2"/>
  <c r="I3344" i="2"/>
  <c r="J3343" i="2"/>
  <c r="K3343" i="2" s="1"/>
  <c r="E3345" i="2" l="1"/>
  <c r="G3345" i="2" s="1"/>
  <c r="H3345" i="2"/>
  <c r="I3345" i="2"/>
  <c r="J3344" i="2"/>
  <c r="K3344" i="2" s="1"/>
  <c r="F3346" i="2" l="1"/>
  <c r="G3346" i="2" s="1"/>
  <c r="H3346" i="2"/>
  <c r="I3346" i="2"/>
  <c r="J3345" i="2"/>
  <c r="K3345" i="2" s="1"/>
  <c r="I3347" i="2" l="1"/>
  <c r="H3347" i="2"/>
  <c r="J3346" i="2"/>
  <c r="K3346" i="2" s="1"/>
  <c r="E3347" i="2"/>
  <c r="G3347" i="2" s="1"/>
  <c r="I3348" i="2" l="1"/>
  <c r="H3348" i="2"/>
  <c r="J3347" i="2"/>
  <c r="K3347" i="2" s="1"/>
  <c r="F3348" i="2"/>
  <c r="G3348" i="2" s="1"/>
  <c r="H3349" i="2" l="1"/>
  <c r="I3349" i="2"/>
  <c r="J3348" i="2"/>
  <c r="F3349" i="2"/>
  <c r="G3349" i="2" s="1"/>
  <c r="K3348" i="2"/>
  <c r="E3350" i="2" l="1"/>
  <c r="G3350" i="2" s="1"/>
  <c r="H3350" i="2"/>
  <c r="I3350" i="2"/>
  <c r="J3349" i="2"/>
  <c r="K3349" i="2"/>
  <c r="E3351" i="2" l="1"/>
  <c r="G3351" i="2" s="1"/>
  <c r="H3351" i="2"/>
  <c r="I3351" i="2"/>
  <c r="J3350" i="2"/>
  <c r="K3350" i="2" s="1"/>
  <c r="E3352" i="2" l="1"/>
  <c r="G3352" i="2" s="1"/>
  <c r="H3352" i="2"/>
  <c r="I3352" i="2"/>
  <c r="J3351" i="2"/>
  <c r="K3351" i="2" s="1"/>
  <c r="E3353" i="2" l="1"/>
  <c r="G3353" i="2" s="1"/>
  <c r="H3353" i="2"/>
  <c r="I3353" i="2"/>
  <c r="J3352" i="2"/>
  <c r="K3352" i="2"/>
  <c r="F3354" i="2" l="1"/>
  <c r="G3354" i="2" s="1"/>
  <c r="H3354" i="2"/>
  <c r="I3354" i="2"/>
  <c r="J3353" i="2"/>
  <c r="K3353" i="2" s="1"/>
  <c r="H3355" i="2" l="1"/>
  <c r="I3355" i="2"/>
  <c r="J3354" i="2"/>
  <c r="K3354" i="2" s="1"/>
  <c r="F3355" i="2"/>
  <c r="G3355" i="2" s="1"/>
  <c r="H3356" i="2" l="1"/>
  <c r="I3356" i="2"/>
  <c r="J3355" i="2"/>
  <c r="E3356" i="2"/>
  <c r="G3356" i="2" s="1"/>
  <c r="K3355" i="2"/>
  <c r="H3357" i="2" l="1"/>
  <c r="I3357" i="2"/>
  <c r="J3356" i="2"/>
  <c r="K3356" i="2" s="1"/>
  <c r="E3357" i="2"/>
  <c r="G3357" i="2" s="1"/>
  <c r="F3358" i="2" l="1"/>
  <c r="G3358" i="2" s="1"/>
  <c r="H3358" i="2"/>
  <c r="I3358" i="2"/>
  <c r="J3357" i="2"/>
  <c r="K3357" i="2"/>
  <c r="E3359" i="2" l="1"/>
  <c r="G3359" i="2" s="1"/>
  <c r="H3359" i="2"/>
  <c r="I3359" i="2"/>
  <c r="J3358" i="2"/>
  <c r="K3358" i="2" s="1"/>
  <c r="F3360" i="2" l="1"/>
  <c r="G3360" i="2" s="1"/>
  <c r="H3360" i="2"/>
  <c r="I3360" i="2"/>
  <c r="J3359" i="2"/>
  <c r="K3359" i="2" s="1"/>
  <c r="E3361" i="2" l="1"/>
  <c r="G3361" i="2" s="1"/>
  <c r="H3361" i="2"/>
  <c r="I3361" i="2"/>
  <c r="J3360" i="2"/>
  <c r="K3360" i="2" s="1"/>
  <c r="E3362" i="2" l="1"/>
  <c r="G3362" i="2" s="1"/>
  <c r="H3362" i="2"/>
  <c r="I3362" i="2"/>
  <c r="J3361" i="2"/>
  <c r="K3361" i="2" s="1"/>
  <c r="H3363" i="2" l="1"/>
  <c r="I3363" i="2"/>
  <c r="J3362" i="2"/>
  <c r="K3362" i="2" s="1"/>
  <c r="F3363" i="2"/>
  <c r="G3363" i="2" s="1"/>
  <c r="H3364" i="2" l="1"/>
  <c r="I3364" i="2"/>
  <c r="J3363" i="2"/>
  <c r="E3364" i="2"/>
  <c r="G3364" i="2" s="1"/>
  <c r="K3363" i="2"/>
  <c r="H3365" i="2" l="1"/>
  <c r="I3365" i="2"/>
  <c r="J3364" i="2"/>
  <c r="F3365" i="2"/>
  <c r="G3365" i="2" s="1"/>
  <c r="K3364" i="2"/>
  <c r="E3366" i="2" l="1"/>
  <c r="G3366" i="2" s="1"/>
  <c r="H3366" i="2"/>
  <c r="I3366" i="2"/>
  <c r="J3365" i="2"/>
  <c r="K3365" i="2"/>
  <c r="K3366" i="2" l="1"/>
  <c r="E3367" i="2"/>
  <c r="G3367" i="2" s="1"/>
  <c r="H3367" i="2"/>
  <c r="I3367" i="2"/>
  <c r="J3366" i="2"/>
  <c r="F3368" i="2" l="1"/>
  <c r="G3368" i="2" s="1"/>
  <c r="H3368" i="2"/>
  <c r="I3368" i="2"/>
  <c r="J3367" i="2"/>
  <c r="K3367" i="2" s="1"/>
  <c r="F3369" i="2" l="1"/>
  <c r="G3369" i="2" s="1"/>
  <c r="H3369" i="2"/>
  <c r="I3369" i="2"/>
  <c r="J3368" i="2"/>
  <c r="K3368" i="2" s="1"/>
  <c r="E3370" i="2" l="1"/>
  <c r="G3370" i="2" s="1"/>
  <c r="H3370" i="2"/>
  <c r="I3370" i="2"/>
  <c r="J3369" i="2"/>
  <c r="K3369" i="2" s="1"/>
  <c r="I3371" i="2" l="1"/>
  <c r="H3371" i="2"/>
  <c r="J3370" i="2"/>
  <c r="K3370" i="2" s="1"/>
  <c r="E3371" i="2"/>
  <c r="G3371" i="2" s="1"/>
  <c r="I3372" i="2" l="1"/>
  <c r="H3372" i="2"/>
  <c r="J3371" i="2"/>
  <c r="E3372" i="2"/>
  <c r="G3372" i="2" s="1"/>
  <c r="K3371" i="2"/>
  <c r="H3373" i="2" l="1"/>
  <c r="I3373" i="2"/>
  <c r="J3372" i="2"/>
  <c r="F3373" i="2"/>
  <c r="G3373" i="2" s="1"/>
  <c r="K3372" i="2"/>
  <c r="F3374" i="2" l="1"/>
  <c r="G3374" i="2" s="1"/>
  <c r="H3374" i="2"/>
  <c r="I3374" i="2"/>
  <c r="J3373" i="2"/>
  <c r="K3373" i="2"/>
  <c r="E3375" i="2" l="1"/>
  <c r="G3375" i="2" s="1"/>
  <c r="H3375" i="2"/>
  <c r="J3374" i="2"/>
  <c r="K3374" i="2" s="1"/>
  <c r="I3375" i="2"/>
  <c r="F3376" i="2" l="1"/>
  <c r="G3376" i="2" s="1"/>
  <c r="H3376" i="2"/>
  <c r="I3376" i="2"/>
  <c r="J3375" i="2"/>
  <c r="K3375" i="2" s="1"/>
  <c r="F3377" i="2" l="1"/>
  <c r="G3377" i="2" s="1"/>
  <c r="H3377" i="2"/>
  <c r="I3377" i="2"/>
  <c r="J3376" i="2"/>
  <c r="K3376" i="2"/>
  <c r="E3378" i="2" l="1"/>
  <c r="G3378" i="2" s="1"/>
  <c r="H3378" i="2"/>
  <c r="I3378" i="2"/>
  <c r="J3377" i="2"/>
  <c r="K3377" i="2" s="1"/>
  <c r="I3379" i="2" l="1"/>
  <c r="H3379" i="2"/>
  <c r="J3378" i="2"/>
  <c r="K3378" i="2" s="1"/>
  <c r="E3379" i="2"/>
  <c r="G3379" i="2" s="1"/>
  <c r="I3380" i="2" l="1"/>
  <c r="H3380" i="2"/>
  <c r="J3379" i="2"/>
  <c r="K3379" i="2" s="1"/>
  <c r="F3380" i="2"/>
  <c r="G3380" i="2" s="1"/>
  <c r="H3381" i="2" l="1"/>
  <c r="I3381" i="2"/>
  <c r="J3380" i="2"/>
  <c r="K3380" i="2" s="1"/>
  <c r="F3381" i="2"/>
  <c r="G3381" i="2" s="1"/>
  <c r="F3382" i="2" l="1"/>
  <c r="G3382" i="2" s="1"/>
  <c r="H3382" i="2"/>
  <c r="J3381" i="2"/>
  <c r="I3382" i="2"/>
  <c r="K3381" i="2"/>
  <c r="E3383" i="2" l="1"/>
  <c r="G3383" i="2" s="1"/>
  <c r="H3383" i="2"/>
  <c r="I3383" i="2"/>
  <c r="J3382" i="2"/>
  <c r="K3382" i="2" s="1"/>
  <c r="E3384" i="2" l="1"/>
  <c r="G3384" i="2" s="1"/>
  <c r="H3384" i="2"/>
  <c r="I3384" i="2"/>
  <c r="J3383" i="2"/>
  <c r="K3383" i="2" s="1"/>
  <c r="F3385" i="2" l="1"/>
  <c r="G3385" i="2" s="1"/>
  <c r="H3385" i="2"/>
  <c r="I3385" i="2"/>
  <c r="J3384" i="2"/>
  <c r="K3384" i="2" s="1"/>
  <c r="E3386" i="2" l="1"/>
  <c r="G3386" i="2" s="1"/>
  <c r="H3386" i="2"/>
  <c r="I3386" i="2"/>
  <c r="J3385" i="2"/>
  <c r="K3385" i="2" s="1"/>
  <c r="H3387" i="2" l="1"/>
  <c r="I3387" i="2"/>
  <c r="J3386" i="2"/>
  <c r="F3387" i="2"/>
  <c r="G3387" i="2" s="1"/>
  <c r="K3386" i="2"/>
  <c r="H3388" i="2" l="1"/>
  <c r="I3388" i="2"/>
  <c r="J3387" i="2"/>
  <c r="E3388" i="2"/>
  <c r="G3388" i="2" s="1"/>
  <c r="K3387" i="2"/>
  <c r="H3389" i="2" l="1"/>
  <c r="I3389" i="2"/>
  <c r="J3388" i="2"/>
  <c r="F3389" i="2"/>
  <c r="G3389" i="2" s="1"/>
  <c r="K3388" i="2"/>
  <c r="F3390" i="2" l="1"/>
  <c r="G3390" i="2" s="1"/>
  <c r="H3390" i="2"/>
  <c r="I3390" i="2"/>
  <c r="J3389" i="2"/>
  <c r="K3389" i="2"/>
  <c r="F3391" i="2" l="1"/>
  <c r="G3391" i="2" s="1"/>
  <c r="H3391" i="2"/>
  <c r="I3391" i="2"/>
  <c r="J3390" i="2"/>
  <c r="K3390" i="2" s="1"/>
  <c r="F3392" i="2" l="1"/>
  <c r="G3392" i="2" s="1"/>
  <c r="H3392" i="2"/>
  <c r="I3392" i="2"/>
  <c r="J3391" i="2"/>
  <c r="K3391" i="2" s="1"/>
  <c r="F3393" i="2" l="1"/>
  <c r="G3393" i="2" s="1"/>
  <c r="H3393" i="2"/>
  <c r="I3393" i="2"/>
  <c r="J3392" i="2"/>
  <c r="K3392" i="2" s="1"/>
  <c r="F3394" i="2" l="1"/>
  <c r="G3394" i="2" s="1"/>
  <c r="H3394" i="2"/>
  <c r="I3394" i="2"/>
  <c r="J3393" i="2"/>
  <c r="K3393" i="2" s="1"/>
  <c r="H3395" i="2" l="1"/>
  <c r="I3395" i="2"/>
  <c r="J3394" i="2"/>
  <c r="K3394" i="2" s="1"/>
  <c r="F3395" i="2"/>
  <c r="G3395" i="2" s="1"/>
  <c r="H3396" i="2" l="1"/>
  <c r="I3396" i="2"/>
  <c r="J3395" i="2"/>
  <c r="K3395" i="2" s="1"/>
  <c r="F3396" i="2"/>
  <c r="G3396" i="2" s="1"/>
  <c r="H3397" i="2" l="1"/>
  <c r="I3397" i="2"/>
  <c r="J3396" i="2"/>
  <c r="E3397" i="2"/>
  <c r="G3397" i="2" s="1"/>
  <c r="K3396" i="2"/>
  <c r="F3398" i="2" l="1"/>
  <c r="G3398" i="2" s="1"/>
  <c r="H3398" i="2"/>
  <c r="I3398" i="2"/>
  <c r="J3397" i="2"/>
  <c r="K3397" i="2"/>
  <c r="F3399" i="2" l="1"/>
  <c r="G3399" i="2" s="1"/>
  <c r="H3399" i="2"/>
  <c r="I3399" i="2"/>
  <c r="J3398" i="2"/>
  <c r="K3398" i="2" s="1"/>
  <c r="E3400" i="2" l="1"/>
  <c r="G3400" i="2" s="1"/>
  <c r="H3400" i="2"/>
  <c r="I3400" i="2"/>
  <c r="J3399" i="2"/>
  <c r="K3399" i="2" s="1"/>
  <c r="E3401" i="2" l="1"/>
  <c r="G3401" i="2" s="1"/>
  <c r="H3401" i="2"/>
  <c r="I3401" i="2"/>
  <c r="J3400" i="2"/>
  <c r="K3400" i="2"/>
  <c r="F3402" i="2" l="1"/>
  <c r="G3402" i="2" s="1"/>
  <c r="H3402" i="2"/>
  <c r="I3402" i="2"/>
  <c r="J3401" i="2"/>
  <c r="K3401" i="2" s="1"/>
  <c r="I3403" i="2" l="1"/>
  <c r="H3403" i="2"/>
  <c r="J3402" i="2"/>
  <c r="K3402" i="2" s="1"/>
  <c r="E3403" i="2"/>
  <c r="G3403" i="2" s="1"/>
  <c r="I3404" i="2" l="1"/>
  <c r="H3404" i="2"/>
  <c r="J3403" i="2"/>
  <c r="K3403" i="2" s="1"/>
  <c r="F3404" i="2"/>
  <c r="G3404" i="2" s="1"/>
  <c r="H3405" i="2" l="1"/>
  <c r="I3405" i="2"/>
  <c r="J3404" i="2"/>
  <c r="F3405" i="2"/>
  <c r="G3405" i="2" s="1"/>
  <c r="K3404" i="2"/>
  <c r="E3406" i="2" l="1"/>
  <c r="G3406" i="2" s="1"/>
  <c r="H3406" i="2"/>
  <c r="I3406" i="2"/>
  <c r="J3405" i="2"/>
  <c r="K3405" i="2"/>
  <c r="E3407" i="2" l="1"/>
  <c r="G3407" i="2" s="1"/>
  <c r="H3407" i="2"/>
  <c r="I3407" i="2"/>
  <c r="J3406" i="2"/>
  <c r="K3406" i="2" s="1"/>
  <c r="F3408" i="2" l="1"/>
  <c r="G3408" i="2" s="1"/>
  <c r="H3408" i="2"/>
  <c r="I3408" i="2"/>
  <c r="J3407" i="2"/>
  <c r="K3407" i="2" s="1"/>
  <c r="F3409" i="2" l="1"/>
  <c r="G3409" i="2" s="1"/>
  <c r="H3409" i="2"/>
  <c r="I3409" i="2"/>
  <c r="J3408" i="2"/>
  <c r="K3408" i="2" s="1"/>
  <c r="E3410" i="2" l="1"/>
  <c r="G3410" i="2" s="1"/>
  <c r="H3410" i="2"/>
  <c r="I3410" i="2"/>
  <c r="J3409" i="2"/>
  <c r="K3409" i="2" s="1"/>
  <c r="I3411" i="2" l="1"/>
  <c r="H3411" i="2"/>
  <c r="J3410" i="2"/>
  <c r="K3410" i="2" s="1"/>
  <c r="F3411" i="2"/>
  <c r="G3411" i="2" s="1"/>
  <c r="I3412" i="2" l="1"/>
  <c r="H3412" i="2"/>
  <c r="J3411" i="2"/>
  <c r="F3412" i="2"/>
  <c r="G3412" i="2" s="1"/>
  <c r="K3411" i="2"/>
  <c r="H3413" i="2" l="1"/>
  <c r="I3413" i="2"/>
  <c r="J3412" i="2"/>
  <c r="F3413" i="2"/>
  <c r="G3413" i="2" s="1"/>
  <c r="K3412" i="2"/>
  <c r="E3414" i="2" l="1"/>
  <c r="G3414" i="2" s="1"/>
  <c r="H3414" i="2"/>
  <c r="I3414" i="2"/>
  <c r="J3413" i="2"/>
  <c r="K3413" i="2" s="1"/>
  <c r="K3414" i="2" l="1"/>
  <c r="E3415" i="2"/>
  <c r="G3415" i="2" s="1"/>
  <c r="H3415" i="2"/>
  <c r="I3415" i="2"/>
  <c r="J3414" i="2"/>
  <c r="F3416" i="2" l="1"/>
  <c r="G3416" i="2" s="1"/>
  <c r="H3416" i="2"/>
  <c r="I3416" i="2"/>
  <c r="J3415" i="2"/>
  <c r="K3415" i="2"/>
  <c r="E3417" i="2" l="1"/>
  <c r="G3417" i="2" s="1"/>
  <c r="H3417" i="2"/>
  <c r="I3417" i="2"/>
  <c r="J3416" i="2"/>
  <c r="K3416" i="2" s="1"/>
  <c r="F3418" i="2" l="1"/>
  <c r="G3418" i="2" s="1"/>
  <c r="H3418" i="2"/>
  <c r="I3418" i="2"/>
  <c r="J3417" i="2"/>
  <c r="K3417" i="2" s="1"/>
  <c r="H3419" i="2" l="1"/>
  <c r="I3419" i="2"/>
  <c r="J3418" i="2"/>
  <c r="K3418" i="2" s="1"/>
  <c r="E3419" i="2"/>
  <c r="G3419" i="2" s="1"/>
  <c r="H3420" i="2" l="1"/>
  <c r="I3420" i="2"/>
  <c r="J3419" i="2"/>
  <c r="E3420" i="2"/>
  <c r="G3420" i="2" s="1"/>
  <c r="K3419" i="2"/>
  <c r="H3421" i="2" l="1"/>
  <c r="I3421" i="2"/>
  <c r="J3420" i="2"/>
  <c r="E3421" i="2"/>
  <c r="G3421" i="2" s="1"/>
  <c r="K3420" i="2"/>
  <c r="F3422" i="2" l="1"/>
  <c r="G3422" i="2" s="1"/>
  <c r="H3422" i="2"/>
  <c r="I3422" i="2"/>
  <c r="J3421" i="2"/>
  <c r="K3421" i="2" s="1"/>
  <c r="E3423" i="2" l="1"/>
  <c r="G3423" i="2" s="1"/>
  <c r="H3423" i="2"/>
  <c r="I3423" i="2"/>
  <c r="J3422" i="2"/>
  <c r="K3422" i="2" s="1"/>
  <c r="K3423" i="2" l="1"/>
  <c r="F3424" i="2"/>
  <c r="G3424" i="2" s="1"/>
  <c r="H3424" i="2"/>
  <c r="I3424" i="2"/>
  <c r="J3423" i="2"/>
  <c r="E3425" i="2" l="1"/>
  <c r="G3425" i="2" s="1"/>
  <c r="H3425" i="2"/>
  <c r="I3425" i="2"/>
  <c r="J3424" i="2"/>
  <c r="K3424" i="2" s="1"/>
  <c r="F3426" i="2" l="1"/>
  <c r="G3426" i="2" s="1"/>
  <c r="H3426" i="2"/>
  <c r="I3426" i="2"/>
  <c r="J3425" i="2"/>
  <c r="K3425" i="2" s="1"/>
  <c r="K3426" i="2" l="1"/>
  <c r="H3427" i="2"/>
  <c r="I3427" i="2"/>
  <c r="J3426" i="2"/>
  <c r="E3427" i="2"/>
  <c r="G3427" i="2" s="1"/>
  <c r="H3428" i="2" l="1"/>
  <c r="I3428" i="2"/>
  <c r="J3427" i="2"/>
  <c r="E3428" i="2"/>
  <c r="G3428" i="2" s="1"/>
  <c r="K3427" i="2"/>
  <c r="H3429" i="2" l="1"/>
  <c r="I3429" i="2"/>
  <c r="J3428" i="2"/>
  <c r="E3429" i="2"/>
  <c r="G3429" i="2" s="1"/>
  <c r="K3428" i="2"/>
  <c r="E3430" i="2" l="1"/>
  <c r="G3430" i="2" s="1"/>
  <c r="H3430" i="2"/>
  <c r="I3430" i="2"/>
  <c r="J3429" i="2"/>
  <c r="K3429" i="2"/>
  <c r="F3431" i="2" l="1"/>
  <c r="G3431" i="2" s="1"/>
  <c r="H3431" i="2"/>
  <c r="I3431" i="2"/>
  <c r="J3430" i="2"/>
  <c r="K3430" i="2" s="1"/>
  <c r="K3431" i="2" l="1"/>
  <c r="E3432" i="2"/>
  <c r="G3432" i="2" s="1"/>
  <c r="H3432" i="2"/>
  <c r="I3432" i="2"/>
  <c r="J3431" i="2"/>
  <c r="E3433" i="2" l="1"/>
  <c r="G3433" i="2" s="1"/>
  <c r="H3433" i="2"/>
  <c r="I3433" i="2"/>
  <c r="J3432" i="2"/>
  <c r="K3432" i="2" s="1"/>
  <c r="F3434" i="2" l="1"/>
  <c r="G3434" i="2" s="1"/>
  <c r="H3434" i="2"/>
  <c r="I3434" i="2"/>
  <c r="J3433" i="2"/>
  <c r="K3433" i="2" s="1"/>
  <c r="I3435" i="2" l="1"/>
  <c r="H3435" i="2"/>
  <c r="J3434" i="2"/>
  <c r="E3435" i="2"/>
  <c r="G3435" i="2" s="1"/>
  <c r="K3434" i="2"/>
  <c r="I3436" i="2" l="1"/>
  <c r="H3436" i="2"/>
  <c r="J3435" i="2"/>
  <c r="F3436" i="2"/>
  <c r="G3436" i="2" s="1"/>
  <c r="K3435" i="2"/>
  <c r="H3437" i="2" l="1"/>
  <c r="I3437" i="2"/>
  <c r="J3436" i="2"/>
  <c r="F3437" i="2"/>
  <c r="G3437" i="2" s="1"/>
  <c r="K3436" i="2"/>
  <c r="E3438" i="2" l="1"/>
  <c r="G3438" i="2" s="1"/>
  <c r="H3438" i="2"/>
  <c r="I3438" i="2"/>
  <c r="J3437" i="2"/>
  <c r="K3437" i="2" s="1"/>
  <c r="K3438" i="2" l="1"/>
  <c r="F3439" i="2"/>
  <c r="G3439" i="2" s="1"/>
  <c r="H3439" i="2"/>
  <c r="I3439" i="2"/>
  <c r="J3438" i="2"/>
  <c r="E3440" i="2" l="1"/>
  <c r="G3440" i="2" s="1"/>
  <c r="H3440" i="2"/>
  <c r="I3440" i="2"/>
  <c r="J3439" i="2"/>
  <c r="K3439" i="2" s="1"/>
  <c r="E3441" i="2" l="1"/>
  <c r="G3441" i="2" s="1"/>
  <c r="H3441" i="2"/>
  <c r="I3441" i="2"/>
  <c r="J3440" i="2"/>
  <c r="K3440" i="2" s="1"/>
  <c r="E3442" i="2" l="1"/>
  <c r="G3442" i="2" s="1"/>
  <c r="H3442" i="2"/>
  <c r="I3442" i="2"/>
  <c r="J3441" i="2"/>
  <c r="K3441" i="2" s="1"/>
  <c r="I3443" i="2" l="1"/>
  <c r="H3443" i="2"/>
  <c r="J3442" i="2"/>
  <c r="K3442" i="2" s="1"/>
  <c r="E3443" i="2"/>
  <c r="G3443" i="2" s="1"/>
  <c r="I3444" i="2" l="1"/>
  <c r="H3444" i="2"/>
  <c r="J3443" i="2"/>
  <c r="E3444" i="2"/>
  <c r="G3444" i="2" s="1"/>
  <c r="K3443" i="2"/>
  <c r="H3445" i="2" l="1"/>
  <c r="I3445" i="2"/>
  <c r="J3444" i="2"/>
  <c r="E3445" i="2"/>
  <c r="G3445" i="2" s="1"/>
  <c r="K3444" i="2"/>
  <c r="F3446" i="2" l="1"/>
  <c r="G3446" i="2" s="1"/>
  <c r="H3446" i="2"/>
  <c r="I3446" i="2"/>
  <c r="J3445" i="2"/>
  <c r="K3445" i="2" s="1"/>
  <c r="E3447" i="2" l="1"/>
  <c r="G3447" i="2" s="1"/>
  <c r="H3447" i="2"/>
  <c r="I3447" i="2"/>
  <c r="J3446" i="2"/>
  <c r="K3446" i="2" s="1"/>
  <c r="K3447" i="2" l="1"/>
  <c r="F3448" i="2"/>
  <c r="G3448" i="2" s="1"/>
  <c r="H3448" i="2"/>
  <c r="I3448" i="2"/>
  <c r="J3447" i="2"/>
  <c r="E3449" i="2" l="1"/>
  <c r="G3449" i="2" s="1"/>
  <c r="H3449" i="2"/>
  <c r="I3449" i="2"/>
  <c r="J3448" i="2"/>
  <c r="K3448" i="2"/>
  <c r="E3450" i="2" l="1"/>
  <c r="G3450" i="2" s="1"/>
  <c r="H3450" i="2"/>
  <c r="I3450" i="2"/>
  <c r="J3449" i="2"/>
  <c r="K3449" i="2" s="1"/>
  <c r="H3451" i="2" l="1"/>
  <c r="I3451" i="2"/>
  <c r="J3450" i="2"/>
  <c r="K3450" i="2" s="1"/>
  <c r="F3451" i="2"/>
  <c r="G3451" i="2" s="1"/>
  <c r="H3452" i="2" l="1"/>
  <c r="I3452" i="2"/>
  <c r="J3451" i="2"/>
  <c r="E3452" i="2"/>
  <c r="G3452" i="2" s="1"/>
  <c r="K3451" i="2"/>
  <c r="H3453" i="2" l="1"/>
  <c r="I3453" i="2"/>
  <c r="J3452" i="2"/>
  <c r="F3453" i="2"/>
  <c r="G3453" i="2" s="1"/>
  <c r="K3452" i="2"/>
  <c r="E3454" i="2" l="1"/>
  <c r="G3454" i="2" s="1"/>
  <c r="H3454" i="2"/>
  <c r="I3454" i="2"/>
  <c r="J3453" i="2"/>
  <c r="K3453" i="2"/>
  <c r="E3455" i="2" l="1"/>
  <c r="G3455" i="2" s="1"/>
  <c r="H3455" i="2"/>
  <c r="I3455" i="2"/>
  <c r="J3454" i="2"/>
  <c r="K3454" i="2" s="1"/>
  <c r="F3456" i="2" l="1"/>
  <c r="G3456" i="2" s="1"/>
  <c r="H3456" i="2"/>
  <c r="I3456" i="2"/>
  <c r="J3455" i="2"/>
  <c r="K3455" i="2" s="1"/>
  <c r="K3456" i="2" l="1"/>
  <c r="F3457" i="2"/>
  <c r="G3457" i="2" s="1"/>
  <c r="H3457" i="2"/>
  <c r="I3457" i="2"/>
  <c r="J3456" i="2"/>
  <c r="F3458" i="2" l="1"/>
  <c r="G3458" i="2" s="1"/>
  <c r="H3458" i="2"/>
  <c r="I3458" i="2"/>
  <c r="J3457" i="2"/>
  <c r="K3457" i="2"/>
  <c r="H3459" i="2" l="1"/>
  <c r="I3459" i="2"/>
  <c r="J3458" i="2"/>
  <c r="K3458" i="2" s="1"/>
  <c r="F3459" i="2"/>
  <c r="G3459" i="2" s="1"/>
  <c r="H3460" i="2" l="1"/>
  <c r="I3460" i="2"/>
  <c r="J3459" i="2"/>
  <c r="F3460" i="2"/>
  <c r="G3460" i="2" s="1"/>
  <c r="K3459" i="2"/>
  <c r="H3461" i="2" l="1"/>
  <c r="I3461" i="2"/>
  <c r="J3460" i="2"/>
  <c r="E3461" i="2"/>
  <c r="G3461" i="2" s="1"/>
  <c r="K3460" i="2"/>
  <c r="E3462" i="2" l="1"/>
  <c r="G3462" i="2" s="1"/>
  <c r="H3462" i="2"/>
  <c r="I3462" i="2"/>
  <c r="J3461" i="2"/>
  <c r="K3461" i="2"/>
  <c r="F3463" i="2" l="1"/>
  <c r="G3463" i="2" s="1"/>
  <c r="H3463" i="2"/>
  <c r="I3463" i="2"/>
  <c r="J3462" i="2"/>
  <c r="K3462" i="2" s="1"/>
  <c r="F3464" i="2" l="1"/>
  <c r="G3464" i="2" s="1"/>
  <c r="H3464" i="2"/>
  <c r="I3464" i="2"/>
  <c r="J3463" i="2"/>
  <c r="K3463" i="2"/>
  <c r="E3465" i="2" l="1"/>
  <c r="G3465" i="2" s="1"/>
  <c r="H3465" i="2"/>
  <c r="I3465" i="2"/>
  <c r="J3464" i="2"/>
  <c r="K3464" i="2"/>
  <c r="F3466" i="2" l="1"/>
  <c r="G3466" i="2" s="1"/>
  <c r="H3466" i="2"/>
  <c r="I3466" i="2"/>
  <c r="J3465" i="2"/>
  <c r="K3465" i="2" s="1"/>
  <c r="I3467" i="2" l="1"/>
  <c r="H3467" i="2"/>
  <c r="J3466" i="2"/>
  <c r="K3466" i="2" s="1"/>
  <c r="F3467" i="2"/>
  <c r="G3467" i="2" s="1"/>
  <c r="I3468" i="2" l="1"/>
  <c r="H3468" i="2"/>
  <c r="J3467" i="2"/>
  <c r="E3468" i="2"/>
  <c r="G3468" i="2" s="1"/>
  <c r="K3467" i="2"/>
  <c r="H3469" i="2" l="1"/>
  <c r="I3469" i="2"/>
  <c r="J3468" i="2"/>
  <c r="E3469" i="2"/>
  <c r="G3469" i="2" s="1"/>
  <c r="K3468" i="2"/>
  <c r="E3470" i="2" l="1"/>
  <c r="G3470" i="2" s="1"/>
  <c r="H3470" i="2"/>
  <c r="I3470" i="2"/>
  <c r="J3469" i="2"/>
  <c r="K3469" i="2"/>
  <c r="E3471" i="2" l="1"/>
  <c r="G3471" i="2" s="1"/>
  <c r="H3471" i="2"/>
  <c r="I3471" i="2"/>
  <c r="J3470" i="2"/>
  <c r="K3470" i="2" s="1"/>
  <c r="F3472" i="2" l="1"/>
  <c r="G3472" i="2" s="1"/>
  <c r="H3472" i="2"/>
  <c r="I3472" i="2"/>
  <c r="J3471" i="2"/>
  <c r="K3471" i="2" s="1"/>
  <c r="E3473" i="2" l="1"/>
  <c r="G3473" i="2" s="1"/>
  <c r="H3473" i="2"/>
  <c r="I3473" i="2"/>
  <c r="J3472" i="2"/>
  <c r="K3472" i="2" s="1"/>
  <c r="E3474" i="2" l="1"/>
  <c r="G3474" i="2" s="1"/>
  <c r="H3474" i="2"/>
  <c r="I3474" i="2"/>
  <c r="J3473" i="2"/>
  <c r="K3473" i="2" s="1"/>
  <c r="K3474" i="2" l="1"/>
  <c r="I3475" i="2"/>
  <c r="H3475" i="2"/>
  <c r="J3474" i="2"/>
  <c r="F3475" i="2"/>
  <c r="G3475" i="2" s="1"/>
  <c r="I3476" i="2" l="1"/>
  <c r="H3476" i="2"/>
  <c r="J3475" i="2"/>
  <c r="E3476" i="2"/>
  <c r="G3476" i="2" s="1"/>
  <c r="K3475" i="2"/>
  <c r="H3477" i="2" l="1"/>
  <c r="I3477" i="2"/>
  <c r="J3476" i="2"/>
  <c r="F3477" i="2"/>
  <c r="G3477" i="2" s="1"/>
  <c r="K3476" i="2"/>
  <c r="E3478" i="2" l="1"/>
  <c r="G3478" i="2" s="1"/>
  <c r="H3478" i="2"/>
  <c r="I3478" i="2"/>
  <c r="J3477" i="2"/>
  <c r="K3477" i="2"/>
  <c r="E3479" i="2" l="1"/>
  <c r="G3479" i="2" s="1"/>
  <c r="H3479" i="2"/>
  <c r="I3479" i="2"/>
  <c r="J3478" i="2"/>
  <c r="K3478" i="2" s="1"/>
  <c r="K3479" i="2" l="1"/>
  <c r="F3480" i="2"/>
  <c r="G3480" i="2" s="1"/>
  <c r="H3480" i="2"/>
  <c r="I3480" i="2"/>
  <c r="J3479" i="2"/>
  <c r="F3481" i="2" l="1"/>
  <c r="G3481" i="2" s="1"/>
  <c r="H3481" i="2"/>
  <c r="I3481" i="2"/>
  <c r="J3480" i="2"/>
  <c r="K3480" i="2" s="1"/>
  <c r="F3482" i="2" l="1"/>
  <c r="G3482" i="2" s="1"/>
  <c r="H3482" i="2"/>
  <c r="I3482" i="2"/>
  <c r="J3481" i="2"/>
  <c r="K3481" i="2" s="1"/>
  <c r="H3483" i="2" l="1"/>
  <c r="I3483" i="2"/>
  <c r="J3482" i="2"/>
  <c r="K3482" i="2" s="1"/>
  <c r="E3483" i="2"/>
  <c r="G3483" i="2" s="1"/>
  <c r="H3484" i="2" l="1"/>
  <c r="I3484" i="2"/>
  <c r="J3483" i="2"/>
  <c r="E3484" i="2"/>
  <c r="G3484" i="2" s="1"/>
  <c r="K3483" i="2"/>
  <c r="H3485" i="2" l="1"/>
  <c r="I3485" i="2"/>
  <c r="J3484" i="2"/>
  <c r="F3485" i="2"/>
  <c r="G3485" i="2" s="1"/>
  <c r="K3484" i="2"/>
  <c r="E3486" i="2" l="1"/>
  <c r="G3486" i="2" s="1"/>
  <c r="H3486" i="2"/>
  <c r="I3486" i="2"/>
  <c r="J3485" i="2"/>
  <c r="K3485" i="2"/>
  <c r="F3487" i="2" l="1"/>
  <c r="G3487" i="2" s="1"/>
  <c r="H3487" i="2"/>
  <c r="I3487" i="2"/>
  <c r="J3486" i="2"/>
  <c r="K3486" i="2" s="1"/>
  <c r="E3488" i="2" l="1"/>
  <c r="G3488" i="2" s="1"/>
  <c r="H3488" i="2"/>
  <c r="I3488" i="2"/>
  <c r="J3487" i="2"/>
  <c r="K3487" i="2" s="1"/>
  <c r="F3489" i="2" l="1"/>
  <c r="G3489" i="2" s="1"/>
  <c r="H3489" i="2"/>
  <c r="I3489" i="2"/>
  <c r="J3488" i="2"/>
  <c r="K3488" i="2" s="1"/>
  <c r="K3489" i="2" l="1"/>
  <c r="F3490" i="2"/>
  <c r="G3490" i="2" s="1"/>
  <c r="H3490" i="2"/>
  <c r="I3490" i="2"/>
  <c r="J3489" i="2"/>
  <c r="H3491" i="2" l="1"/>
  <c r="I3491" i="2"/>
  <c r="J3490" i="2"/>
  <c r="K3490" i="2" s="1"/>
  <c r="F3491" i="2"/>
  <c r="G3491" i="2" s="1"/>
  <c r="H3492" i="2" l="1"/>
  <c r="I3492" i="2"/>
  <c r="J3491" i="2"/>
  <c r="E3492" i="2"/>
  <c r="G3492" i="2" s="1"/>
  <c r="K3491" i="2"/>
  <c r="H3493" i="2" l="1"/>
  <c r="I3493" i="2"/>
  <c r="J3492" i="2"/>
  <c r="E3493" i="2"/>
  <c r="G3493" i="2" s="1"/>
  <c r="K3492" i="2"/>
  <c r="E3494" i="2" l="1"/>
  <c r="G3494" i="2" s="1"/>
  <c r="H3494" i="2"/>
  <c r="I3494" i="2"/>
  <c r="J3493" i="2"/>
  <c r="K3493" i="2"/>
  <c r="F3495" i="2" l="1"/>
  <c r="G3495" i="2" s="1"/>
  <c r="H3495" i="2"/>
  <c r="I3495" i="2"/>
  <c r="J3494" i="2"/>
  <c r="K3494" i="2" s="1"/>
  <c r="F3496" i="2" l="1"/>
  <c r="G3496" i="2" s="1"/>
  <c r="H3496" i="2"/>
  <c r="I3496" i="2"/>
  <c r="J3495" i="2"/>
  <c r="K3495" i="2" s="1"/>
  <c r="F3497" i="2" l="1"/>
  <c r="G3497" i="2" s="1"/>
  <c r="H3497" i="2"/>
  <c r="I3497" i="2"/>
  <c r="J3496" i="2"/>
  <c r="K3496" i="2" s="1"/>
  <c r="K3497" i="2" l="1"/>
  <c r="F3498" i="2"/>
  <c r="G3498" i="2" s="1"/>
  <c r="H3498" i="2"/>
  <c r="I3498" i="2"/>
  <c r="J3497" i="2"/>
  <c r="I3499" i="2" l="1"/>
  <c r="H3499" i="2"/>
  <c r="J3498" i="2"/>
  <c r="K3498" i="2" s="1"/>
  <c r="E3499" i="2"/>
  <c r="G3499" i="2" s="1"/>
  <c r="I3500" i="2" l="1"/>
  <c r="H3500" i="2"/>
  <c r="J3499" i="2"/>
  <c r="K3499" i="2" s="1"/>
  <c r="F3500" i="2"/>
  <c r="G3500" i="2" s="1"/>
  <c r="H3501" i="2" l="1"/>
  <c r="I3501" i="2"/>
  <c r="J3500" i="2"/>
  <c r="E3501" i="2"/>
  <c r="G3501" i="2" s="1"/>
  <c r="K3500" i="2"/>
  <c r="E3502" i="2" l="1"/>
  <c r="G3502" i="2" s="1"/>
  <c r="H3502" i="2"/>
  <c r="I3502" i="2"/>
  <c r="J3501" i="2"/>
  <c r="K3501" i="2"/>
  <c r="E3503" i="2" l="1"/>
  <c r="G3503" i="2" s="1"/>
  <c r="H3503" i="2"/>
  <c r="J3502" i="2"/>
  <c r="K3502" i="2" s="1"/>
  <c r="I3503" i="2"/>
  <c r="E3504" i="2" l="1"/>
  <c r="G3504" i="2" s="1"/>
  <c r="H3504" i="2"/>
  <c r="I3504" i="2"/>
  <c r="J3503" i="2"/>
  <c r="K3503" i="2" s="1"/>
  <c r="F3505" i="2" l="1"/>
  <c r="G3505" i="2" s="1"/>
  <c r="H3505" i="2"/>
  <c r="I3505" i="2"/>
  <c r="J3504" i="2"/>
  <c r="K3504" i="2" s="1"/>
  <c r="E3506" i="2" l="1"/>
  <c r="G3506" i="2" s="1"/>
  <c r="H3506" i="2"/>
  <c r="I3506" i="2"/>
  <c r="J3505" i="2"/>
  <c r="K3505" i="2" s="1"/>
  <c r="I3507" i="2" l="1"/>
  <c r="H3507" i="2"/>
  <c r="J3506" i="2"/>
  <c r="K3506" i="2" s="1"/>
  <c r="F3507" i="2"/>
  <c r="G3507" i="2" s="1"/>
  <c r="I3508" i="2" l="1"/>
  <c r="H3508" i="2"/>
  <c r="J3507" i="2"/>
  <c r="E3508" i="2"/>
  <c r="G3508" i="2" s="1"/>
  <c r="K3507" i="2"/>
  <c r="H3509" i="2" l="1"/>
  <c r="I3509" i="2"/>
  <c r="J3508" i="2"/>
  <c r="E3509" i="2"/>
  <c r="G3509" i="2" s="1"/>
  <c r="K3508" i="2"/>
  <c r="E3510" i="2" l="1"/>
  <c r="G3510" i="2" s="1"/>
  <c r="H3510" i="2"/>
  <c r="J3509" i="2"/>
  <c r="I3510" i="2"/>
  <c r="K3509" i="2"/>
  <c r="E3511" i="2" l="1"/>
  <c r="G3511" i="2" s="1"/>
  <c r="H3511" i="2"/>
  <c r="I3511" i="2"/>
  <c r="J3510" i="2"/>
  <c r="K3510" i="2" s="1"/>
  <c r="F3512" i="2" l="1"/>
  <c r="G3512" i="2" s="1"/>
  <c r="H3512" i="2"/>
  <c r="I3512" i="2"/>
  <c r="J3511" i="2"/>
  <c r="K3511" i="2" s="1"/>
  <c r="E3513" i="2" l="1"/>
  <c r="G3513" i="2" s="1"/>
  <c r="H3513" i="2"/>
  <c r="I3513" i="2"/>
  <c r="J3512" i="2"/>
  <c r="K3512" i="2" s="1"/>
  <c r="F3514" i="2" l="1"/>
  <c r="G3514" i="2" s="1"/>
  <c r="H3514" i="2"/>
  <c r="I3514" i="2"/>
  <c r="J3513" i="2"/>
  <c r="K3513" i="2"/>
  <c r="H3515" i="2" l="1"/>
  <c r="I3515" i="2"/>
  <c r="J3514" i="2"/>
  <c r="F3515" i="2"/>
  <c r="G3515" i="2" s="1"/>
  <c r="K3514" i="2"/>
  <c r="H3516" i="2" l="1"/>
  <c r="I3516" i="2"/>
  <c r="J3515" i="2"/>
  <c r="E3516" i="2"/>
  <c r="G3516" i="2" s="1"/>
  <c r="K3515" i="2"/>
  <c r="H3517" i="2" l="1"/>
  <c r="I3517" i="2"/>
  <c r="J3516" i="2"/>
  <c r="F3517" i="2"/>
  <c r="G3517" i="2" s="1"/>
  <c r="K3516" i="2"/>
  <c r="F3518" i="2" l="1"/>
  <c r="G3518" i="2" s="1"/>
  <c r="H3518" i="2"/>
  <c r="I3518" i="2"/>
  <c r="J3517" i="2"/>
  <c r="K3517" i="2"/>
  <c r="F3519" i="2" l="1"/>
  <c r="G3519" i="2" s="1"/>
  <c r="H3519" i="2"/>
  <c r="I3519" i="2"/>
  <c r="J3518" i="2"/>
  <c r="K3518" i="2" s="1"/>
  <c r="F3520" i="2" l="1"/>
  <c r="G3520" i="2" s="1"/>
  <c r="H3520" i="2"/>
  <c r="I3520" i="2"/>
  <c r="J3519" i="2"/>
  <c r="K3519" i="2" s="1"/>
  <c r="E3521" i="2" l="1"/>
  <c r="G3521" i="2" s="1"/>
  <c r="H3521" i="2"/>
  <c r="I3521" i="2"/>
  <c r="J3520" i="2"/>
  <c r="K3520" i="2" s="1"/>
  <c r="F3522" i="2" l="1"/>
  <c r="G3522" i="2" s="1"/>
  <c r="H3522" i="2"/>
  <c r="I3522" i="2"/>
  <c r="J3521" i="2"/>
  <c r="K3521" i="2" s="1"/>
  <c r="H3523" i="2" l="1"/>
  <c r="I3523" i="2"/>
  <c r="J3522" i="2"/>
  <c r="F3523" i="2"/>
  <c r="G3523" i="2" s="1"/>
  <c r="K3522" i="2"/>
  <c r="H3524" i="2" l="1"/>
  <c r="I3524" i="2"/>
  <c r="J3523" i="2"/>
  <c r="E3524" i="2"/>
  <c r="G3524" i="2" s="1"/>
  <c r="K3523" i="2"/>
  <c r="H3525" i="2" l="1"/>
  <c r="I3525" i="2"/>
  <c r="J3524" i="2"/>
  <c r="F3525" i="2"/>
  <c r="G3525" i="2" s="1"/>
  <c r="K3524" i="2"/>
  <c r="F3526" i="2" l="1"/>
  <c r="G3526" i="2" s="1"/>
  <c r="H3526" i="2"/>
  <c r="I3526" i="2"/>
  <c r="J3525" i="2"/>
  <c r="K3525" i="2"/>
  <c r="E3527" i="2" l="1"/>
  <c r="G3527" i="2" s="1"/>
  <c r="H3527" i="2"/>
  <c r="I3527" i="2"/>
  <c r="J3526" i="2"/>
  <c r="K3526" i="2" s="1"/>
  <c r="F3528" i="2" l="1"/>
  <c r="G3528" i="2" s="1"/>
  <c r="H3528" i="2"/>
  <c r="I3528" i="2"/>
  <c r="J3527" i="2"/>
  <c r="K3527" i="2"/>
  <c r="F3529" i="2" l="1"/>
  <c r="G3529" i="2" s="1"/>
  <c r="H3529" i="2"/>
  <c r="I3529" i="2"/>
  <c r="J3528" i="2"/>
  <c r="K3528" i="2" s="1"/>
  <c r="F3530" i="2" l="1"/>
  <c r="G3530" i="2" s="1"/>
  <c r="H3530" i="2"/>
  <c r="I3530" i="2"/>
  <c r="J3529" i="2"/>
  <c r="K3529" i="2" s="1"/>
  <c r="I3531" i="2" l="1"/>
  <c r="H3531" i="2"/>
  <c r="J3530" i="2"/>
  <c r="K3530" i="2" s="1"/>
  <c r="E3531" i="2"/>
  <c r="G3531" i="2" s="1"/>
  <c r="I3532" i="2" l="1"/>
  <c r="H3532" i="2"/>
  <c r="J3531" i="2"/>
  <c r="F3532" i="2"/>
  <c r="G3532" i="2" s="1"/>
  <c r="K3531" i="2"/>
  <c r="H3533" i="2" l="1"/>
  <c r="I3533" i="2"/>
  <c r="J3532" i="2"/>
  <c r="F3533" i="2"/>
  <c r="G3533" i="2" s="1"/>
  <c r="K3532" i="2"/>
  <c r="F3534" i="2" l="1"/>
  <c r="G3534" i="2" s="1"/>
  <c r="H3534" i="2"/>
  <c r="I3534" i="2"/>
  <c r="J3533" i="2"/>
  <c r="K3533" i="2"/>
  <c r="F3535" i="2" l="1"/>
  <c r="G3535" i="2" s="1"/>
  <c r="H3535" i="2"/>
  <c r="I3535" i="2"/>
  <c r="J3534" i="2"/>
  <c r="K3534" i="2" s="1"/>
  <c r="F3536" i="2" l="1"/>
  <c r="G3536" i="2" s="1"/>
  <c r="H3536" i="2"/>
  <c r="I3536" i="2"/>
  <c r="J3535" i="2"/>
  <c r="K3535" i="2" s="1"/>
  <c r="F3537" i="2" l="1"/>
  <c r="G3537" i="2" s="1"/>
  <c r="H3537" i="2"/>
  <c r="I3537" i="2"/>
  <c r="J3536" i="2"/>
  <c r="K3536" i="2" s="1"/>
  <c r="E3538" i="2" l="1"/>
  <c r="G3538" i="2" s="1"/>
  <c r="H3538" i="2"/>
  <c r="I3538" i="2"/>
  <c r="J3537" i="2"/>
  <c r="K3537" i="2" s="1"/>
  <c r="I3539" i="2" l="1"/>
  <c r="H3539" i="2"/>
  <c r="J3538" i="2"/>
  <c r="K3538" i="2" s="1"/>
  <c r="E3539" i="2"/>
  <c r="G3539" i="2" s="1"/>
  <c r="I3540" i="2" l="1"/>
  <c r="H3540" i="2"/>
  <c r="J3539" i="2"/>
  <c r="K3539" i="2" s="1"/>
  <c r="E3540" i="2"/>
  <c r="G3540" i="2" s="1"/>
  <c r="H3541" i="2" l="1"/>
  <c r="I3541" i="2"/>
  <c r="J3540" i="2"/>
  <c r="K3540" i="2" s="1"/>
  <c r="F3541" i="2"/>
  <c r="G3541" i="2" s="1"/>
  <c r="F3542" i="2" l="1"/>
  <c r="G3542" i="2" s="1"/>
  <c r="H3542" i="2"/>
  <c r="I3542" i="2"/>
  <c r="J3541" i="2"/>
  <c r="K3541" i="2"/>
  <c r="F3543" i="2" l="1"/>
  <c r="G3543" i="2" s="1"/>
  <c r="H3543" i="2"/>
  <c r="I3543" i="2"/>
  <c r="J3542" i="2"/>
  <c r="K3542" i="2" s="1"/>
  <c r="F3544" i="2" l="1"/>
  <c r="G3544" i="2" s="1"/>
  <c r="H3544" i="2"/>
  <c r="I3544" i="2"/>
  <c r="J3543" i="2"/>
  <c r="K3543" i="2" s="1"/>
  <c r="E3545" i="2" l="1"/>
  <c r="G3545" i="2" s="1"/>
  <c r="H3545" i="2"/>
  <c r="I3545" i="2"/>
  <c r="J3544" i="2"/>
  <c r="K3544" i="2"/>
  <c r="F3546" i="2" l="1"/>
  <c r="G3546" i="2" s="1"/>
  <c r="H3546" i="2"/>
  <c r="I3546" i="2"/>
  <c r="J3545" i="2"/>
  <c r="K3545" i="2" s="1"/>
  <c r="H3547" i="2" l="1"/>
  <c r="I3547" i="2"/>
  <c r="J3546" i="2"/>
  <c r="K3546" i="2" s="1"/>
  <c r="E3547" i="2"/>
  <c r="G3547" i="2" s="1"/>
  <c r="H3548" i="2" l="1"/>
  <c r="I3548" i="2"/>
  <c r="J3547" i="2"/>
  <c r="F3548" i="2"/>
  <c r="G3548" i="2" s="1"/>
  <c r="K3547" i="2"/>
  <c r="H3549" i="2" l="1"/>
  <c r="I3549" i="2"/>
  <c r="J3548" i="2"/>
  <c r="E3549" i="2"/>
  <c r="G3549" i="2" s="1"/>
  <c r="K3548" i="2"/>
  <c r="E3550" i="2" l="1"/>
  <c r="G3550" i="2" s="1"/>
  <c r="H3550" i="2"/>
  <c r="I3550" i="2"/>
  <c r="J3549" i="2"/>
  <c r="K3549" i="2"/>
  <c r="F3551" i="2" l="1"/>
  <c r="G3551" i="2" s="1"/>
  <c r="H3551" i="2"/>
  <c r="I3551" i="2"/>
  <c r="J3550" i="2"/>
  <c r="K3550" i="2" s="1"/>
  <c r="F3552" i="2" l="1"/>
  <c r="G3552" i="2" s="1"/>
  <c r="H3552" i="2"/>
  <c r="I3552" i="2"/>
  <c r="J3551" i="2"/>
  <c r="K3551" i="2" s="1"/>
  <c r="E3553" i="2" l="1"/>
  <c r="G3553" i="2" s="1"/>
  <c r="H3553" i="2"/>
  <c r="I3553" i="2"/>
  <c r="J3552" i="2"/>
  <c r="K3552" i="2" s="1"/>
  <c r="F3554" i="2" l="1"/>
  <c r="G3554" i="2" s="1"/>
  <c r="H3554" i="2"/>
  <c r="I3554" i="2"/>
  <c r="J3553" i="2"/>
  <c r="K3553" i="2" s="1"/>
  <c r="H3555" i="2" l="1"/>
  <c r="I3555" i="2"/>
  <c r="J3554" i="2"/>
  <c r="K3554" i="2" s="1"/>
  <c r="F3555" i="2"/>
  <c r="G3555" i="2" s="1"/>
  <c r="H3556" i="2" l="1"/>
  <c r="I3556" i="2"/>
  <c r="J3555" i="2"/>
  <c r="K3555" i="2" s="1"/>
  <c r="E3556" i="2"/>
  <c r="G3556" i="2" s="1"/>
  <c r="H3557" i="2" l="1"/>
  <c r="I3557" i="2"/>
  <c r="J3556" i="2"/>
  <c r="K3556" i="2" s="1"/>
  <c r="F3557" i="2"/>
  <c r="G3557" i="2" s="1"/>
  <c r="F3558" i="2" l="1"/>
  <c r="G3558" i="2" s="1"/>
  <c r="H3558" i="2"/>
  <c r="I3558" i="2"/>
  <c r="J3557" i="2"/>
  <c r="K3557" i="2"/>
  <c r="F3559" i="2" l="1"/>
  <c r="G3559" i="2" s="1"/>
  <c r="H3559" i="2"/>
  <c r="I3559" i="2"/>
  <c r="J3558" i="2"/>
  <c r="K3558" i="2" s="1"/>
  <c r="F3560" i="2" l="1"/>
  <c r="G3560" i="2" s="1"/>
  <c r="H3560" i="2"/>
  <c r="I3560" i="2"/>
  <c r="J3559" i="2"/>
  <c r="K3559" i="2" s="1"/>
  <c r="F3561" i="2" l="1"/>
  <c r="G3561" i="2" s="1"/>
  <c r="H3561" i="2"/>
  <c r="I3561" i="2"/>
  <c r="J3560" i="2"/>
  <c r="K3560" i="2"/>
  <c r="F3562" i="2" l="1"/>
  <c r="G3562" i="2" s="1"/>
  <c r="H3562" i="2"/>
  <c r="I3562" i="2"/>
  <c r="J3561" i="2"/>
  <c r="K3561" i="2" s="1"/>
  <c r="I3563" i="2" l="1"/>
  <c r="H3563" i="2"/>
  <c r="J3562" i="2"/>
  <c r="F3563" i="2"/>
  <c r="G3563" i="2" s="1"/>
  <c r="K3562" i="2"/>
  <c r="I3564" i="2" l="1"/>
  <c r="H3564" i="2"/>
  <c r="J3563" i="2"/>
  <c r="K3563" i="2" s="1"/>
  <c r="E3564" i="2"/>
  <c r="G3564" i="2" s="1"/>
  <c r="H3565" i="2" l="1"/>
  <c r="I3565" i="2"/>
  <c r="J3564" i="2"/>
  <c r="K3564" i="2" s="1"/>
  <c r="F3565" i="2"/>
  <c r="G3565" i="2" s="1"/>
  <c r="F3566" i="2" l="1"/>
  <c r="G3566" i="2" s="1"/>
  <c r="H3566" i="2"/>
  <c r="I3566" i="2"/>
  <c r="J3565" i="2"/>
  <c r="K3565" i="2" s="1"/>
  <c r="F3567" i="2" l="1"/>
  <c r="G3567" i="2" s="1"/>
  <c r="H3567" i="2"/>
  <c r="I3567" i="2"/>
  <c r="J3566" i="2"/>
  <c r="K3566" i="2" s="1"/>
  <c r="E3568" i="2" l="1"/>
  <c r="G3568" i="2" s="1"/>
  <c r="H3568" i="2"/>
  <c r="I3568" i="2"/>
  <c r="J3567" i="2"/>
  <c r="K3567" i="2" s="1"/>
  <c r="F3569" i="2" l="1"/>
  <c r="G3569" i="2" s="1"/>
  <c r="H3569" i="2"/>
  <c r="I3569" i="2"/>
  <c r="J3568" i="2"/>
  <c r="K3568" i="2" s="1"/>
  <c r="F3570" i="2" l="1"/>
  <c r="G3570" i="2" s="1"/>
  <c r="H3570" i="2"/>
  <c r="I3570" i="2"/>
  <c r="J3569" i="2"/>
  <c r="K3569" i="2" s="1"/>
  <c r="I3571" i="2" l="1"/>
  <c r="H3571" i="2"/>
  <c r="J3570" i="2"/>
  <c r="K3570" i="2" s="1"/>
  <c r="E3571" i="2"/>
  <c r="G3571" i="2" s="1"/>
  <c r="K3571" i="2" l="1"/>
  <c r="I3572" i="2"/>
  <c r="H3572" i="2"/>
  <c r="J3571" i="2"/>
  <c r="F3572" i="2"/>
  <c r="G3572" i="2" s="1"/>
  <c r="H3573" i="2" l="1"/>
  <c r="I3573" i="2"/>
  <c r="J3572" i="2"/>
  <c r="E3573" i="2"/>
  <c r="G3573" i="2" s="1"/>
  <c r="K3572" i="2"/>
  <c r="F3574" i="2" l="1"/>
  <c r="G3574" i="2" s="1"/>
  <c r="H3574" i="2"/>
  <c r="I3574" i="2"/>
  <c r="J3573" i="2"/>
  <c r="K3573" i="2" s="1"/>
  <c r="F3575" i="2" l="1"/>
  <c r="G3575" i="2" s="1"/>
  <c r="H3575" i="2"/>
  <c r="I3575" i="2"/>
  <c r="J3574" i="2"/>
  <c r="K3574" i="2" s="1"/>
  <c r="F3576" i="2" l="1"/>
  <c r="G3576" i="2" s="1"/>
  <c r="H3576" i="2"/>
  <c r="I3576" i="2"/>
  <c r="J3575" i="2"/>
  <c r="K3575" i="2" s="1"/>
  <c r="E3577" i="2" l="1"/>
  <c r="G3577" i="2" s="1"/>
  <c r="H3577" i="2"/>
  <c r="I3577" i="2"/>
  <c r="J3576" i="2"/>
  <c r="K3576" i="2" s="1"/>
  <c r="F3578" i="2" l="1"/>
  <c r="G3578" i="2" s="1"/>
  <c r="H3578" i="2"/>
  <c r="I3578" i="2"/>
  <c r="J3577" i="2"/>
  <c r="K3577" i="2" s="1"/>
  <c r="H3579" i="2" l="1"/>
  <c r="I3579" i="2"/>
  <c r="J3578" i="2"/>
  <c r="K3578" i="2" s="1"/>
  <c r="E3579" i="2"/>
  <c r="G3579" i="2" s="1"/>
  <c r="H3580" i="2" l="1"/>
  <c r="I3580" i="2"/>
  <c r="J3579" i="2"/>
  <c r="E3580" i="2"/>
  <c r="G3580" i="2" s="1"/>
  <c r="K3579" i="2"/>
  <c r="H3581" i="2" l="1"/>
  <c r="I3581" i="2"/>
  <c r="J3580" i="2"/>
  <c r="K3580" i="2" s="1"/>
  <c r="F3581" i="2"/>
  <c r="G3581" i="2" s="1"/>
  <c r="F3582" i="2" l="1"/>
  <c r="G3582" i="2" s="1"/>
  <c r="H3582" i="2"/>
  <c r="I3582" i="2"/>
  <c r="J3581" i="2"/>
  <c r="K3581" i="2" s="1"/>
  <c r="F3583" i="2" l="1"/>
  <c r="G3583" i="2" s="1"/>
  <c r="H3583" i="2"/>
  <c r="I3583" i="2"/>
  <c r="J3582" i="2"/>
  <c r="K3582" i="2" s="1"/>
  <c r="F3584" i="2" l="1"/>
  <c r="G3584" i="2" s="1"/>
  <c r="H3584" i="2"/>
  <c r="I3584" i="2"/>
  <c r="J3583" i="2"/>
  <c r="K3583" i="2" s="1"/>
  <c r="F3585" i="2" l="1"/>
  <c r="G3585" i="2" s="1"/>
  <c r="H3585" i="2"/>
  <c r="I3585" i="2"/>
  <c r="J3584" i="2"/>
  <c r="K3584" i="2" s="1"/>
  <c r="E3586" i="2" l="1"/>
  <c r="G3586" i="2" s="1"/>
  <c r="H3586" i="2"/>
  <c r="I3586" i="2"/>
  <c r="J3585" i="2"/>
  <c r="K3585" i="2" s="1"/>
  <c r="H3587" i="2" l="1"/>
  <c r="I3587" i="2"/>
  <c r="J3586" i="2"/>
  <c r="K3586" i="2" s="1"/>
  <c r="E3587" i="2"/>
  <c r="G3587" i="2" s="1"/>
  <c r="H3588" i="2" l="1"/>
  <c r="I3588" i="2"/>
  <c r="J3587" i="2"/>
  <c r="E3588" i="2"/>
  <c r="G3588" i="2" s="1"/>
  <c r="K3587" i="2"/>
  <c r="H3589" i="2" l="1"/>
  <c r="I3589" i="2"/>
  <c r="J3588" i="2"/>
  <c r="K3588" i="2" s="1"/>
  <c r="F3589" i="2"/>
  <c r="G3589" i="2" s="1"/>
  <c r="E3590" i="2" l="1"/>
  <c r="G3590" i="2" s="1"/>
  <c r="H3590" i="2"/>
  <c r="I3590" i="2"/>
  <c r="J3589" i="2"/>
  <c r="K3589" i="2"/>
  <c r="F3591" i="2" l="1"/>
  <c r="G3591" i="2" s="1"/>
  <c r="H3591" i="2"/>
  <c r="I3591" i="2"/>
  <c r="J3590" i="2"/>
  <c r="K3590" i="2" s="1"/>
  <c r="E3592" i="2" l="1"/>
  <c r="G3592" i="2" s="1"/>
  <c r="H3592" i="2"/>
  <c r="I3592" i="2"/>
  <c r="J3591" i="2"/>
  <c r="K3591" i="2" s="1"/>
  <c r="E3593" i="2" l="1"/>
  <c r="G3593" i="2" s="1"/>
  <c r="H3593" i="2"/>
  <c r="I3593" i="2"/>
  <c r="J3592" i="2"/>
  <c r="K3592" i="2" s="1"/>
  <c r="E3594" i="2" l="1"/>
  <c r="G3594" i="2" s="1"/>
  <c r="H3594" i="2"/>
  <c r="I3594" i="2"/>
  <c r="J3593" i="2"/>
  <c r="K3593" i="2" s="1"/>
  <c r="I3595" i="2" l="1"/>
  <c r="H3595" i="2"/>
  <c r="J3594" i="2"/>
  <c r="K3594" i="2" s="1"/>
  <c r="F3595" i="2"/>
  <c r="G3595" i="2" s="1"/>
  <c r="K3595" i="2" l="1"/>
  <c r="I3596" i="2"/>
  <c r="H3596" i="2"/>
  <c r="J3595" i="2"/>
  <c r="F3596" i="2"/>
  <c r="G3596" i="2" s="1"/>
  <c r="H3597" i="2" l="1"/>
  <c r="I3597" i="2"/>
  <c r="J3596" i="2"/>
  <c r="F3597" i="2"/>
  <c r="G3597" i="2" s="1"/>
  <c r="K3596" i="2"/>
  <c r="F3598" i="2" l="1"/>
  <c r="G3598" i="2" s="1"/>
  <c r="H3598" i="2"/>
  <c r="I3598" i="2"/>
  <c r="J3597" i="2"/>
  <c r="K3597" i="2" s="1"/>
  <c r="F3599" i="2" l="1"/>
  <c r="G3599" i="2" s="1"/>
  <c r="H3599" i="2"/>
  <c r="J3598" i="2"/>
  <c r="K3598" i="2" s="1"/>
  <c r="I3599" i="2"/>
  <c r="F3600" i="2" l="1"/>
  <c r="G3600" i="2" s="1"/>
  <c r="H3600" i="2"/>
  <c r="I3600" i="2"/>
  <c r="J3599" i="2"/>
  <c r="K3599" i="2" s="1"/>
  <c r="F3601" i="2" l="1"/>
  <c r="G3601" i="2" s="1"/>
  <c r="H3601" i="2"/>
  <c r="I3601" i="2"/>
  <c r="J3600" i="2"/>
  <c r="K3600" i="2" s="1"/>
  <c r="F3602" i="2" l="1"/>
  <c r="G3602" i="2" s="1"/>
  <c r="H3602" i="2"/>
  <c r="I3602" i="2"/>
  <c r="J3601" i="2"/>
  <c r="K3601" i="2" s="1"/>
  <c r="I3603" i="2" l="1"/>
  <c r="H3603" i="2"/>
  <c r="J3602" i="2"/>
  <c r="K3602" i="2" s="1"/>
  <c r="E3603" i="2"/>
  <c r="G3603" i="2" s="1"/>
  <c r="I3604" i="2" l="1"/>
  <c r="H3604" i="2"/>
  <c r="J3603" i="2"/>
  <c r="F3604" i="2"/>
  <c r="G3604" i="2" s="1"/>
  <c r="K3603" i="2"/>
  <c r="H3605" i="2" l="1"/>
  <c r="I3605" i="2"/>
  <c r="J3604" i="2"/>
  <c r="K3604" i="2" s="1"/>
  <c r="E3605" i="2"/>
  <c r="G3605" i="2" s="1"/>
  <c r="E3606" i="2" l="1"/>
  <c r="G3606" i="2" s="1"/>
  <c r="H3606" i="2"/>
  <c r="I3606" i="2"/>
  <c r="J3605" i="2"/>
  <c r="K3605" i="2"/>
  <c r="E3607" i="2" l="1"/>
  <c r="G3607" i="2" s="1"/>
  <c r="H3607" i="2"/>
  <c r="I3607" i="2"/>
  <c r="J3606" i="2"/>
  <c r="K3606" i="2" s="1"/>
  <c r="E3608" i="2" l="1"/>
  <c r="G3608" i="2" s="1"/>
  <c r="H3608" i="2"/>
  <c r="I3608" i="2"/>
  <c r="J3607" i="2"/>
  <c r="K3607" i="2" s="1"/>
  <c r="E3609" i="2" l="1"/>
  <c r="G3609" i="2" s="1"/>
  <c r="H3609" i="2"/>
  <c r="I3609" i="2"/>
  <c r="J3608" i="2"/>
  <c r="K3608" i="2" s="1"/>
  <c r="E3610" i="2" l="1"/>
  <c r="G3610" i="2" s="1"/>
  <c r="H3610" i="2"/>
  <c r="I3610" i="2"/>
  <c r="J3609" i="2"/>
  <c r="K3609" i="2" s="1"/>
  <c r="H3611" i="2" l="1"/>
  <c r="I3611" i="2"/>
  <c r="J3610" i="2"/>
  <c r="K3610" i="2" s="1"/>
  <c r="E3611" i="2"/>
  <c r="G3611" i="2" s="1"/>
  <c r="H3612" i="2" l="1"/>
  <c r="I3612" i="2"/>
  <c r="J3611" i="2"/>
  <c r="K3611" i="2" s="1"/>
  <c r="F3612" i="2"/>
  <c r="G3612" i="2" s="1"/>
  <c r="H3613" i="2" l="1"/>
  <c r="I3613" i="2"/>
  <c r="J3612" i="2"/>
  <c r="K3612" i="2" s="1"/>
  <c r="E3613" i="2"/>
  <c r="G3613" i="2" s="1"/>
  <c r="E3614" i="2" l="1"/>
  <c r="G3614" i="2" s="1"/>
  <c r="H3614" i="2"/>
  <c r="I3614" i="2"/>
  <c r="J3613" i="2"/>
  <c r="K3613" i="2" s="1"/>
  <c r="K3614" i="2" l="1"/>
  <c r="E3615" i="2"/>
  <c r="G3615" i="2" s="1"/>
  <c r="H3615" i="2"/>
  <c r="I3615" i="2"/>
  <c r="J3614" i="2"/>
  <c r="F3616" i="2" l="1"/>
  <c r="G3616" i="2" s="1"/>
  <c r="H3616" i="2"/>
  <c r="I3616" i="2"/>
  <c r="J3615" i="2"/>
  <c r="K3615" i="2" s="1"/>
  <c r="F3617" i="2" l="1"/>
  <c r="G3617" i="2" s="1"/>
  <c r="H3617" i="2"/>
  <c r="I3617" i="2"/>
  <c r="J3616" i="2"/>
  <c r="K3616" i="2" s="1"/>
  <c r="E3618" i="2" l="1"/>
  <c r="G3618" i="2" s="1"/>
  <c r="H3618" i="2"/>
  <c r="I3618" i="2"/>
  <c r="J3617" i="2"/>
  <c r="K3617" i="2" s="1"/>
  <c r="H3619" i="2" l="1"/>
  <c r="I3619" i="2"/>
  <c r="J3618" i="2"/>
  <c r="K3618" i="2" s="1"/>
  <c r="E3619" i="2"/>
  <c r="G3619" i="2" s="1"/>
  <c r="H3620" i="2" l="1"/>
  <c r="I3620" i="2"/>
  <c r="J3619" i="2"/>
  <c r="E3620" i="2"/>
  <c r="G3620" i="2" s="1"/>
  <c r="K3619" i="2"/>
  <c r="H3621" i="2" l="1"/>
  <c r="I3621" i="2"/>
  <c r="J3620" i="2"/>
  <c r="E3621" i="2"/>
  <c r="G3621" i="2" s="1"/>
  <c r="K3620" i="2"/>
  <c r="F3622" i="2" l="1"/>
  <c r="G3622" i="2" s="1"/>
  <c r="H3622" i="2"/>
  <c r="I3622" i="2"/>
  <c r="J3621" i="2"/>
  <c r="K3621" i="2"/>
  <c r="F3623" i="2" l="1"/>
  <c r="G3623" i="2" s="1"/>
  <c r="H3623" i="2"/>
  <c r="I3623" i="2"/>
  <c r="J3622" i="2"/>
  <c r="K3622" i="2" s="1"/>
  <c r="E3624" i="2" l="1"/>
  <c r="G3624" i="2" s="1"/>
  <c r="H3624" i="2"/>
  <c r="I3624" i="2"/>
  <c r="J3623" i="2"/>
  <c r="K3623" i="2" s="1"/>
  <c r="E3625" i="2" l="1"/>
  <c r="G3625" i="2" s="1"/>
  <c r="H3625" i="2"/>
  <c r="I3625" i="2"/>
  <c r="J3624" i="2"/>
  <c r="K3624" i="2" s="1"/>
  <c r="F3626" i="2" l="1"/>
  <c r="G3626" i="2" s="1"/>
  <c r="H3626" i="2"/>
  <c r="I3626" i="2"/>
  <c r="J3625" i="2"/>
  <c r="K3625" i="2" s="1"/>
  <c r="I3627" i="2" l="1"/>
  <c r="H3627" i="2"/>
  <c r="J3626" i="2"/>
  <c r="K3626" i="2" s="1"/>
  <c r="E3627" i="2"/>
  <c r="G3627" i="2" s="1"/>
  <c r="I3628" i="2" l="1"/>
  <c r="H3628" i="2"/>
  <c r="J3627" i="2"/>
  <c r="F3628" i="2"/>
  <c r="G3628" i="2" s="1"/>
  <c r="K3627" i="2"/>
  <c r="H3629" i="2" l="1"/>
  <c r="I3629" i="2"/>
  <c r="J3628" i="2"/>
  <c r="E3629" i="2"/>
  <c r="G3629" i="2" s="1"/>
  <c r="K3628" i="2"/>
  <c r="E3630" i="2" l="1"/>
  <c r="G3630" i="2" s="1"/>
  <c r="H3630" i="2"/>
  <c r="I3630" i="2"/>
  <c r="J3629" i="2"/>
  <c r="K3629" i="2"/>
  <c r="E3631" i="2" l="1"/>
  <c r="G3631" i="2" s="1"/>
  <c r="H3631" i="2"/>
  <c r="I3631" i="2"/>
  <c r="J3630" i="2"/>
  <c r="K3630" i="2" s="1"/>
  <c r="F3632" i="2" l="1"/>
  <c r="G3632" i="2" s="1"/>
  <c r="H3632" i="2"/>
  <c r="I3632" i="2"/>
  <c r="J3631" i="2"/>
  <c r="K3631" i="2"/>
  <c r="E3633" i="2" l="1"/>
  <c r="G3633" i="2" s="1"/>
  <c r="H3633" i="2"/>
  <c r="I3633" i="2"/>
  <c r="J3632" i="2"/>
  <c r="K3632" i="2" s="1"/>
  <c r="F3634" i="2" l="1"/>
  <c r="G3634" i="2" s="1"/>
  <c r="H3634" i="2"/>
  <c r="I3634" i="2"/>
  <c r="J3633" i="2"/>
  <c r="K3633" i="2" s="1"/>
  <c r="K3634" i="2" l="1"/>
  <c r="I3635" i="2"/>
  <c r="H3635" i="2"/>
  <c r="J3634" i="2"/>
  <c r="E3635" i="2"/>
  <c r="G3635" i="2" s="1"/>
  <c r="I3636" i="2" l="1"/>
  <c r="H3636" i="2"/>
  <c r="J3635" i="2"/>
  <c r="E3636" i="2"/>
  <c r="G3636" i="2" s="1"/>
  <c r="K3635" i="2"/>
  <c r="H3637" i="2" l="1"/>
  <c r="I3637" i="2"/>
  <c r="J3636" i="2"/>
  <c r="K3636" i="2" s="1"/>
  <c r="E3637" i="2"/>
  <c r="G3637" i="2" s="1"/>
  <c r="F3638" i="2" l="1"/>
  <c r="G3638" i="2" s="1"/>
  <c r="H3638" i="2"/>
  <c r="I3638" i="2"/>
  <c r="J3637" i="2"/>
  <c r="K3637" i="2"/>
  <c r="E3639" i="2" l="1"/>
  <c r="G3639" i="2" s="1"/>
  <c r="H3639" i="2"/>
  <c r="I3639" i="2"/>
  <c r="J3638" i="2"/>
  <c r="K3638" i="2" s="1"/>
  <c r="E3640" i="2" l="1"/>
  <c r="G3640" i="2" s="1"/>
  <c r="H3640" i="2"/>
  <c r="I3640" i="2"/>
  <c r="J3639" i="2"/>
  <c r="K3639" i="2" s="1"/>
  <c r="E3641" i="2" l="1"/>
  <c r="G3641" i="2" s="1"/>
  <c r="H3641" i="2"/>
  <c r="I3641" i="2"/>
  <c r="J3640" i="2"/>
  <c r="K3640" i="2" s="1"/>
  <c r="E3642" i="2" l="1"/>
  <c r="G3642" i="2" s="1"/>
  <c r="H3642" i="2"/>
  <c r="I3642" i="2"/>
  <c r="J3641" i="2"/>
  <c r="K3641" i="2" s="1"/>
  <c r="H3643" i="2" l="1"/>
  <c r="I3643" i="2"/>
  <c r="J3642" i="2"/>
  <c r="K3642" i="2" s="1"/>
  <c r="F3643" i="2"/>
  <c r="G3643" i="2" s="1"/>
  <c r="H3644" i="2" l="1"/>
  <c r="I3644" i="2"/>
  <c r="J3643" i="2"/>
  <c r="F3644" i="2"/>
  <c r="G3644" i="2" s="1"/>
  <c r="K3643" i="2"/>
  <c r="H3645" i="2" l="1"/>
  <c r="I3645" i="2"/>
  <c r="J3644" i="2"/>
  <c r="K3644" i="2" s="1"/>
  <c r="F3645" i="2"/>
  <c r="G3645" i="2" s="1"/>
  <c r="F3646" i="2" l="1"/>
  <c r="G3646" i="2" s="1"/>
  <c r="H3646" i="2"/>
  <c r="I3646" i="2"/>
  <c r="J3645" i="2"/>
  <c r="K3645" i="2"/>
  <c r="E3647" i="2" l="1"/>
  <c r="G3647" i="2" s="1"/>
  <c r="H3647" i="2"/>
  <c r="I3647" i="2"/>
  <c r="J3646" i="2"/>
  <c r="K3646" i="2" s="1"/>
  <c r="F3648" i="2" l="1"/>
  <c r="G3648" i="2" s="1"/>
  <c r="H3648" i="2"/>
  <c r="I3648" i="2"/>
  <c r="J3647" i="2"/>
  <c r="K3647" i="2" s="1"/>
  <c r="E3649" i="2" l="1"/>
  <c r="G3649" i="2" s="1"/>
  <c r="H3649" i="2"/>
  <c r="I3649" i="2"/>
  <c r="J3648" i="2"/>
  <c r="K3648" i="2" s="1"/>
  <c r="E3650" i="2" l="1"/>
  <c r="G3650" i="2" s="1"/>
  <c r="H3650" i="2"/>
  <c r="I3650" i="2"/>
  <c r="J3649" i="2"/>
  <c r="K3649" i="2" s="1"/>
  <c r="H3651" i="2" l="1"/>
  <c r="I3651" i="2"/>
  <c r="J3650" i="2"/>
  <c r="K3650" i="2" s="1"/>
  <c r="F3651" i="2"/>
  <c r="G3651" i="2" s="1"/>
  <c r="H3652" i="2" l="1"/>
  <c r="I3652" i="2"/>
  <c r="J3651" i="2"/>
  <c r="K3651" i="2" s="1"/>
  <c r="E3652" i="2"/>
  <c r="G3652" i="2" s="1"/>
  <c r="H3653" i="2" l="1"/>
  <c r="I3653" i="2"/>
  <c r="J3652" i="2"/>
  <c r="K3652" i="2" s="1"/>
  <c r="F3653" i="2"/>
  <c r="G3653" i="2" s="1"/>
  <c r="E3654" i="2" l="1"/>
  <c r="G3654" i="2" s="1"/>
  <c r="H3654" i="2"/>
  <c r="I3654" i="2"/>
  <c r="J3653" i="2"/>
  <c r="K3653" i="2"/>
  <c r="F3655" i="2" l="1"/>
  <c r="G3655" i="2" s="1"/>
  <c r="H3655" i="2"/>
  <c r="I3655" i="2"/>
  <c r="J3654" i="2"/>
  <c r="K3654" i="2" s="1"/>
  <c r="E3656" i="2" l="1"/>
  <c r="G3656" i="2" s="1"/>
  <c r="H3656" i="2"/>
  <c r="I3656" i="2"/>
  <c r="J3655" i="2"/>
  <c r="K3655" i="2" s="1"/>
  <c r="E3657" i="2" l="1"/>
  <c r="G3657" i="2" s="1"/>
  <c r="H3657" i="2"/>
  <c r="I3657" i="2"/>
  <c r="J3656" i="2"/>
  <c r="K3656" i="2" s="1"/>
  <c r="E3658" i="2" l="1"/>
  <c r="G3658" i="2" s="1"/>
  <c r="H3658" i="2"/>
  <c r="I3658" i="2"/>
  <c r="J3657" i="2"/>
  <c r="K3657" i="2" s="1"/>
  <c r="I3659" i="2" l="1"/>
  <c r="H3659" i="2"/>
  <c r="J3658" i="2"/>
  <c r="K3658" i="2" s="1"/>
  <c r="E3659" i="2"/>
  <c r="G3659" i="2" s="1"/>
  <c r="I3660" i="2" l="1"/>
  <c r="H3660" i="2"/>
  <c r="J3659" i="2"/>
  <c r="K3659" i="2" s="1"/>
  <c r="F3660" i="2"/>
  <c r="G3660" i="2" s="1"/>
  <c r="H3661" i="2" l="1"/>
  <c r="I3661" i="2"/>
  <c r="J3660" i="2"/>
  <c r="K3660" i="2" s="1"/>
  <c r="F3661" i="2"/>
  <c r="G3661" i="2" s="1"/>
  <c r="K3661" i="2" l="1"/>
  <c r="E3662" i="2"/>
  <c r="G3662" i="2" s="1"/>
  <c r="H3662" i="2"/>
  <c r="I3662" i="2"/>
  <c r="J3661" i="2"/>
  <c r="E3663" i="2" l="1"/>
  <c r="G3663" i="2" s="1"/>
  <c r="H3663" i="2"/>
  <c r="I3663" i="2"/>
  <c r="J3662" i="2"/>
  <c r="K3662" i="2" s="1"/>
  <c r="F3664" i="2" l="1"/>
  <c r="G3664" i="2" s="1"/>
  <c r="H3664" i="2"/>
  <c r="I3664" i="2"/>
  <c r="J3663" i="2"/>
  <c r="K3663" i="2"/>
  <c r="F3665" i="2" l="1"/>
  <c r="G3665" i="2" s="1"/>
  <c r="H3665" i="2"/>
  <c r="I3665" i="2"/>
  <c r="J3664" i="2"/>
  <c r="K3664" i="2" s="1"/>
  <c r="F3666" i="2" l="1"/>
  <c r="G3666" i="2" s="1"/>
  <c r="H3666" i="2"/>
  <c r="I3666" i="2"/>
  <c r="J3665" i="2"/>
  <c r="K3665" i="2" s="1"/>
  <c r="I3667" i="2" l="1"/>
  <c r="H3667" i="2"/>
  <c r="J3666" i="2"/>
  <c r="F3667" i="2"/>
  <c r="G3667" i="2" s="1"/>
  <c r="K3666" i="2"/>
  <c r="I3668" i="2" l="1"/>
  <c r="H3668" i="2"/>
  <c r="J3667" i="2"/>
  <c r="K3667" i="2" s="1"/>
  <c r="F3668" i="2"/>
  <c r="G3668" i="2" s="1"/>
  <c r="H3669" i="2" l="1"/>
  <c r="I3669" i="2"/>
  <c r="J3668" i="2"/>
  <c r="F3669" i="2"/>
  <c r="G3669" i="2" s="1"/>
  <c r="K3668" i="2"/>
  <c r="F3670" i="2" l="1"/>
  <c r="G3670" i="2" s="1"/>
  <c r="H3670" i="2"/>
  <c r="I3670" i="2"/>
  <c r="J3669" i="2"/>
  <c r="K3669" i="2"/>
  <c r="F3671" i="2" l="1"/>
  <c r="G3671" i="2" s="1"/>
  <c r="H3671" i="2"/>
  <c r="I3671" i="2"/>
  <c r="J3670" i="2"/>
  <c r="K3670" i="2" s="1"/>
  <c r="F3672" i="2" l="1"/>
  <c r="G3672" i="2" s="1"/>
  <c r="H3672" i="2"/>
  <c r="I3672" i="2"/>
  <c r="J3671" i="2"/>
  <c r="K3671" i="2" s="1"/>
  <c r="E3673" i="2" l="1"/>
  <c r="G3673" i="2" s="1"/>
  <c r="H3673" i="2"/>
  <c r="I3673" i="2"/>
  <c r="J3672" i="2"/>
  <c r="K3672" i="2"/>
  <c r="F3674" i="2" l="1"/>
  <c r="G3674" i="2" s="1"/>
  <c r="H3674" i="2"/>
  <c r="I3674" i="2"/>
  <c r="J3673" i="2"/>
  <c r="K3673" i="2" s="1"/>
  <c r="H3675" i="2" l="1"/>
  <c r="I3675" i="2"/>
  <c r="J3674" i="2"/>
  <c r="K3674" i="2" s="1"/>
  <c r="F3675" i="2"/>
  <c r="G3675" i="2" s="1"/>
  <c r="H3676" i="2" l="1"/>
  <c r="I3676" i="2"/>
  <c r="J3675" i="2"/>
  <c r="F3676" i="2"/>
  <c r="G3676" i="2" s="1"/>
  <c r="K3675" i="2"/>
  <c r="H3677" i="2" l="1"/>
  <c r="I3677" i="2"/>
  <c r="J3676" i="2"/>
  <c r="E3677" i="2"/>
  <c r="G3677" i="2" s="1"/>
  <c r="K3676" i="2"/>
  <c r="F3678" i="2" l="1"/>
  <c r="G3678" i="2" s="1"/>
  <c r="H3678" i="2"/>
  <c r="I3678" i="2"/>
  <c r="J3677" i="2"/>
  <c r="K3677" i="2"/>
  <c r="F3679" i="2" l="1"/>
  <c r="G3679" i="2" s="1"/>
  <c r="H3679" i="2"/>
  <c r="I3679" i="2"/>
  <c r="J3678" i="2"/>
  <c r="K3678" i="2" s="1"/>
  <c r="E3680" i="2" l="1"/>
  <c r="G3680" i="2" s="1"/>
  <c r="H3680" i="2"/>
  <c r="I3680" i="2"/>
  <c r="J3679" i="2"/>
  <c r="K3679" i="2" s="1"/>
  <c r="F3681" i="2" l="1"/>
  <c r="G3681" i="2" s="1"/>
  <c r="H3681" i="2"/>
  <c r="I3681" i="2"/>
  <c r="J3680" i="2"/>
  <c r="K3680" i="2" s="1"/>
  <c r="F3682" i="2" l="1"/>
  <c r="G3682" i="2" s="1"/>
  <c r="H3682" i="2"/>
  <c r="I3682" i="2"/>
  <c r="J3681" i="2"/>
  <c r="K3681" i="2" s="1"/>
  <c r="H3683" i="2" l="1"/>
  <c r="I3683" i="2"/>
  <c r="J3682" i="2"/>
  <c r="K3682" i="2" s="1"/>
  <c r="E3683" i="2"/>
  <c r="G3683" i="2" s="1"/>
  <c r="H3684" i="2" l="1"/>
  <c r="I3684" i="2"/>
  <c r="J3683" i="2"/>
  <c r="F3684" i="2"/>
  <c r="G3684" i="2" s="1"/>
  <c r="K3683" i="2"/>
  <c r="H3685" i="2" l="1"/>
  <c r="I3685" i="2"/>
  <c r="J3684" i="2"/>
  <c r="E3685" i="2"/>
  <c r="G3685" i="2" s="1"/>
  <c r="K3684" i="2"/>
  <c r="E3686" i="2" l="1"/>
  <c r="G3686" i="2" s="1"/>
  <c r="H3686" i="2"/>
  <c r="I3686" i="2"/>
  <c r="J3685" i="2"/>
  <c r="K3685" i="2"/>
  <c r="E3687" i="2" l="1"/>
  <c r="G3687" i="2" s="1"/>
  <c r="H3687" i="2"/>
  <c r="I3687" i="2"/>
  <c r="J3686" i="2"/>
  <c r="K3686" i="2" s="1"/>
  <c r="K3687" i="2" l="1"/>
  <c r="F3688" i="2"/>
  <c r="G3688" i="2" s="1"/>
  <c r="H3688" i="2"/>
  <c r="I3688" i="2"/>
  <c r="J3687" i="2"/>
  <c r="E3689" i="2" l="1"/>
  <c r="G3689" i="2" s="1"/>
  <c r="H3689" i="2"/>
  <c r="I3689" i="2"/>
  <c r="J3688" i="2"/>
  <c r="K3688" i="2" s="1"/>
  <c r="K3689" i="2" l="1"/>
  <c r="F3690" i="2"/>
  <c r="G3690" i="2" s="1"/>
  <c r="H3690" i="2"/>
  <c r="I3690" i="2"/>
  <c r="J3689" i="2"/>
  <c r="I3691" i="2" l="1"/>
  <c r="H3691" i="2"/>
  <c r="J3690" i="2"/>
  <c r="K3690" i="2" s="1"/>
  <c r="F3691" i="2"/>
  <c r="G3691" i="2" s="1"/>
  <c r="I3692" i="2" l="1"/>
  <c r="H3692" i="2"/>
  <c r="J3691" i="2"/>
  <c r="E3692" i="2"/>
  <c r="G3692" i="2" s="1"/>
  <c r="K3691" i="2"/>
  <c r="H3693" i="2" l="1"/>
  <c r="I3693" i="2"/>
  <c r="J3692" i="2"/>
  <c r="F3693" i="2"/>
  <c r="G3693" i="2" s="1"/>
  <c r="K3692" i="2"/>
  <c r="F3694" i="2" l="1"/>
  <c r="G3694" i="2" s="1"/>
  <c r="H3694" i="2"/>
  <c r="I3694" i="2"/>
  <c r="J3693" i="2"/>
  <c r="K3693" i="2" s="1"/>
  <c r="F3695" i="2" l="1"/>
  <c r="G3695" i="2" s="1"/>
  <c r="H3695" i="2"/>
  <c r="J3694" i="2"/>
  <c r="K3694" i="2" s="1"/>
  <c r="I3695" i="2"/>
  <c r="E3696" i="2" l="1"/>
  <c r="G3696" i="2" s="1"/>
  <c r="H3696" i="2"/>
  <c r="I3696" i="2"/>
  <c r="J3695" i="2"/>
  <c r="K3695" i="2" s="1"/>
  <c r="F3697" i="2" l="1"/>
  <c r="G3697" i="2" s="1"/>
  <c r="H3697" i="2"/>
  <c r="I3697" i="2"/>
  <c r="J3696" i="2"/>
  <c r="K3696" i="2" s="1"/>
  <c r="F3698" i="2" l="1"/>
  <c r="G3698" i="2" s="1"/>
  <c r="H3698" i="2"/>
  <c r="I3698" i="2"/>
  <c r="J3697" i="2"/>
  <c r="K3697" i="2"/>
  <c r="I3699" i="2" l="1"/>
  <c r="H3699" i="2"/>
  <c r="J3698" i="2"/>
  <c r="K3698" i="2" s="1"/>
  <c r="F3699" i="2"/>
  <c r="G3699" i="2" s="1"/>
  <c r="I3700" i="2" l="1"/>
  <c r="H3700" i="2"/>
  <c r="J3699" i="2"/>
  <c r="E3700" i="2"/>
  <c r="G3700" i="2" s="1"/>
  <c r="K3699" i="2"/>
  <c r="H3701" i="2" l="1"/>
  <c r="I3701" i="2"/>
  <c r="J3700" i="2"/>
  <c r="F3701" i="2"/>
  <c r="G3701" i="2" s="1"/>
  <c r="K3700" i="2"/>
  <c r="E3702" i="2" l="1"/>
  <c r="G3702" i="2" s="1"/>
  <c r="H3702" i="2"/>
  <c r="I3702" i="2"/>
  <c r="J3701" i="2"/>
  <c r="K3701" i="2"/>
  <c r="E3703" i="2" l="1"/>
  <c r="G3703" i="2" s="1"/>
  <c r="H3703" i="2"/>
  <c r="I3703" i="2"/>
  <c r="J3702" i="2"/>
  <c r="K3702" i="2" s="1"/>
  <c r="F3704" i="2" l="1"/>
  <c r="G3704" i="2" s="1"/>
  <c r="H3704" i="2"/>
  <c r="I3704" i="2"/>
  <c r="J3703" i="2"/>
  <c r="K3703" i="2" s="1"/>
  <c r="F3705" i="2" l="1"/>
  <c r="G3705" i="2" s="1"/>
  <c r="H3705" i="2"/>
  <c r="I3705" i="2"/>
  <c r="J3704" i="2"/>
  <c r="K3704" i="2" s="1"/>
  <c r="E3706" i="2" l="1"/>
  <c r="G3706" i="2" s="1"/>
  <c r="H3706" i="2"/>
  <c r="I3706" i="2"/>
  <c r="J3705" i="2"/>
  <c r="K3705" i="2" s="1"/>
  <c r="H3707" i="2" l="1"/>
  <c r="I3707" i="2"/>
  <c r="J3706" i="2"/>
  <c r="K3706" i="2" s="1"/>
  <c r="F3707" i="2"/>
  <c r="G3707" i="2" s="1"/>
  <c r="H3708" i="2" l="1"/>
  <c r="I3708" i="2"/>
  <c r="J3707" i="2"/>
  <c r="E3708" i="2"/>
  <c r="G3708" i="2" s="1"/>
  <c r="K3707" i="2"/>
  <c r="H3709" i="2" l="1"/>
  <c r="I3709" i="2"/>
  <c r="J3708" i="2"/>
  <c r="E3709" i="2"/>
  <c r="G3709" i="2" s="1"/>
  <c r="K3708" i="2"/>
  <c r="E3710" i="2" l="1"/>
  <c r="G3710" i="2" s="1"/>
  <c r="H3710" i="2"/>
  <c r="I3710" i="2"/>
  <c r="J3709" i="2"/>
  <c r="K3709" i="2"/>
  <c r="E3711" i="2" l="1"/>
  <c r="G3711" i="2" s="1"/>
  <c r="H3711" i="2"/>
  <c r="I3711" i="2"/>
  <c r="J3710" i="2"/>
  <c r="K3710" i="2" s="1"/>
  <c r="F3712" i="2" l="1"/>
  <c r="G3712" i="2" s="1"/>
  <c r="H3712" i="2"/>
  <c r="I3712" i="2"/>
  <c r="J3711" i="2"/>
  <c r="K3711" i="2" s="1"/>
  <c r="F3713" i="2" l="1"/>
  <c r="G3713" i="2" s="1"/>
  <c r="H3713" i="2"/>
  <c r="I3713" i="2"/>
  <c r="J3712" i="2"/>
  <c r="K3712" i="2" s="1"/>
  <c r="E3714" i="2" l="1"/>
  <c r="G3714" i="2" s="1"/>
  <c r="H3714" i="2"/>
  <c r="I3714" i="2"/>
  <c r="J3713" i="2"/>
  <c r="K3713" i="2" s="1"/>
  <c r="H3715" i="2" l="1"/>
  <c r="I3715" i="2"/>
  <c r="J3714" i="2"/>
  <c r="K3714" i="2" s="1"/>
  <c r="E3715" i="2"/>
  <c r="G3715" i="2" s="1"/>
  <c r="H3716" i="2" l="1"/>
  <c r="I3716" i="2"/>
  <c r="J3715" i="2"/>
  <c r="E3716" i="2"/>
  <c r="G3716" i="2" s="1"/>
  <c r="K3715" i="2"/>
  <c r="H3717" i="2" l="1"/>
  <c r="I3717" i="2"/>
  <c r="J3716" i="2"/>
  <c r="F3717" i="2"/>
  <c r="G3717" i="2" s="1"/>
  <c r="K3716" i="2"/>
  <c r="F3718" i="2" l="1"/>
  <c r="G3718" i="2" s="1"/>
  <c r="H3718" i="2"/>
  <c r="I3718" i="2"/>
  <c r="J3717" i="2"/>
  <c r="K3717" i="2"/>
  <c r="E3719" i="2" l="1"/>
  <c r="G3719" i="2" s="1"/>
  <c r="H3719" i="2"/>
  <c r="I3719" i="2"/>
  <c r="J3718" i="2"/>
  <c r="K3718" i="2" s="1"/>
  <c r="E3720" i="2" l="1"/>
  <c r="G3720" i="2" s="1"/>
  <c r="H3720" i="2"/>
  <c r="I3720" i="2"/>
  <c r="J3719" i="2"/>
  <c r="K3719" i="2" s="1"/>
  <c r="F3721" i="2" l="1"/>
  <c r="G3721" i="2" s="1"/>
  <c r="H3721" i="2"/>
  <c r="I3721" i="2"/>
  <c r="J3720" i="2"/>
  <c r="K3720" i="2" s="1"/>
  <c r="F3722" i="2" l="1"/>
  <c r="G3722" i="2" s="1"/>
  <c r="H3722" i="2"/>
  <c r="I3722" i="2"/>
  <c r="J3721" i="2"/>
  <c r="K3721" i="2" s="1"/>
  <c r="I3723" i="2" l="1"/>
  <c r="H3723" i="2"/>
  <c r="J3722" i="2"/>
  <c r="K3722" i="2" s="1"/>
  <c r="F3723" i="2"/>
  <c r="G3723" i="2" s="1"/>
  <c r="I3724" i="2" l="1"/>
  <c r="H3724" i="2"/>
  <c r="J3723" i="2"/>
  <c r="E3724" i="2"/>
  <c r="G3724" i="2" s="1"/>
  <c r="K3723" i="2"/>
  <c r="H3725" i="2" l="1"/>
  <c r="I3725" i="2"/>
  <c r="J3724" i="2"/>
  <c r="E3725" i="2"/>
  <c r="G3725" i="2" s="1"/>
  <c r="K3724" i="2"/>
  <c r="E3726" i="2" l="1"/>
  <c r="G3726" i="2" s="1"/>
  <c r="H3726" i="2"/>
  <c r="I3726" i="2"/>
  <c r="J3725" i="2"/>
  <c r="K3725" i="2"/>
  <c r="F3727" i="2" l="1"/>
  <c r="G3727" i="2" s="1"/>
  <c r="H3727" i="2"/>
  <c r="I3727" i="2"/>
  <c r="J3726" i="2"/>
  <c r="K3726" i="2" s="1"/>
  <c r="E3728" i="2" l="1"/>
  <c r="G3728" i="2" s="1"/>
  <c r="H3728" i="2"/>
  <c r="I3728" i="2"/>
  <c r="J3727" i="2"/>
  <c r="K3727" i="2" s="1"/>
  <c r="E3729" i="2" l="1"/>
  <c r="G3729" i="2" s="1"/>
  <c r="H3729" i="2"/>
  <c r="I3729" i="2"/>
  <c r="J3728" i="2"/>
  <c r="K3728" i="2" s="1"/>
  <c r="F3730" i="2" l="1"/>
  <c r="G3730" i="2" s="1"/>
  <c r="H3730" i="2"/>
  <c r="I3730" i="2"/>
  <c r="J3729" i="2"/>
  <c r="K3729" i="2" s="1"/>
  <c r="I3731" i="2" l="1"/>
  <c r="H3731" i="2"/>
  <c r="J3730" i="2"/>
  <c r="K3730" i="2" s="1"/>
  <c r="F3731" i="2"/>
  <c r="G3731" i="2" s="1"/>
  <c r="I3732" i="2" l="1"/>
  <c r="H3732" i="2"/>
  <c r="J3731" i="2"/>
  <c r="K3731" i="2" s="1"/>
  <c r="E3732" i="2"/>
  <c r="G3732" i="2" s="1"/>
  <c r="H3733" i="2" l="1"/>
  <c r="I3733" i="2"/>
  <c r="J3732" i="2"/>
  <c r="E3733" i="2"/>
  <c r="G3733" i="2" s="1"/>
  <c r="K3732" i="2"/>
  <c r="E3734" i="2" l="1"/>
  <c r="G3734" i="2" s="1"/>
  <c r="H3734" i="2"/>
  <c r="I3734" i="2"/>
  <c r="J3733" i="2"/>
  <c r="K3733" i="2"/>
  <c r="E3735" i="2" l="1"/>
  <c r="G3735" i="2" s="1"/>
  <c r="H3735" i="2"/>
  <c r="I3735" i="2"/>
  <c r="J3734" i="2"/>
  <c r="K3734" i="2" s="1"/>
  <c r="F3736" i="2" l="1"/>
  <c r="G3736" i="2" s="1"/>
  <c r="H3736" i="2"/>
  <c r="I3736" i="2"/>
  <c r="J3735" i="2"/>
  <c r="K3735" i="2" s="1"/>
  <c r="F3737" i="2" l="1"/>
  <c r="G3737" i="2" s="1"/>
  <c r="H3737" i="2"/>
  <c r="I3737" i="2"/>
  <c r="J3736" i="2"/>
  <c r="K3736" i="2" s="1"/>
  <c r="E3738" i="2" l="1"/>
  <c r="G3738" i="2" s="1"/>
  <c r="H3738" i="2"/>
  <c r="I3738" i="2"/>
  <c r="J3737" i="2"/>
  <c r="K3737" i="2" s="1"/>
  <c r="H3739" i="2" l="1"/>
  <c r="I3739" i="2"/>
  <c r="J3738" i="2"/>
  <c r="E3739" i="2"/>
  <c r="G3739" i="2" s="1"/>
  <c r="K3738" i="2"/>
  <c r="H3740" i="2" l="1"/>
  <c r="I3740" i="2"/>
  <c r="J3739" i="2"/>
  <c r="E3740" i="2"/>
  <c r="G3740" i="2" s="1"/>
  <c r="K3739" i="2"/>
  <c r="H3741" i="2" l="1"/>
  <c r="I3741" i="2"/>
  <c r="J3740" i="2"/>
  <c r="E3741" i="2"/>
  <c r="G3741" i="2" s="1"/>
  <c r="K3740" i="2"/>
  <c r="E3742" i="2" l="1"/>
  <c r="G3742" i="2" s="1"/>
  <c r="H3742" i="2"/>
  <c r="I3742" i="2"/>
  <c r="J3741" i="2"/>
  <c r="K3741" i="2"/>
  <c r="F3743" i="2" l="1"/>
  <c r="G3743" i="2" s="1"/>
  <c r="H3743" i="2"/>
  <c r="I3743" i="2"/>
  <c r="J3742" i="2"/>
  <c r="K3742" i="2" s="1"/>
  <c r="F3744" i="2" l="1"/>
  <c r="G3744" i="2" s="1"/>
  <c r="H3744" i="2"/>
  <c r="I3744" i="2"/>
  <c r="J3743" i="2"/>
  <c r="K3743" i="2" s="1"/>
  <c r="E3745" i="2" l="1"/>
  <c r="G3745" i="2" s="1"/>
  <c r="H3745" i="2"/>
  <c r="I3745" i="2"/>
  <c r="J3744" i="2"/>
  <c r="K3744" i="2" s="1"/>
  <c r="F3746" i="2" l="1"/>
  <c r="G3746" i="2" s="1"/>
  <c r="H3746" i="2"/>
  <c r="I3746" i="2"/>
  <c r="J3745" i="2"/>
  <c r="K3745" i="2" s="1"/>
  <c r="K3746" i="2" l="1"/>
  <c r="H3747" i="2"/>
  <c r="I3747" i="2"/>
  <c r="J3746" i="2"/>
  <c r="E3747" i="2"/>
  <c r="G3747" i="2" s="1"/>
  <c r="H3748" i="2" l="1"/>
  <c r="I3748" i="2"/>
  <c r="J3747" i="2"/>
  <c r="K3747" i="2" s="1"/>
  <c r="F3748" i="2"/>
  <c r="G3748" i="2" s="1"/>
  <c r="H3749" i="2" l="1"/>
  <c r="I3749" i="2"/>
  <c r="J3748" i="2"/>
  <c r="F3749" i="2"/>
  <c r="G3749" i="2" s="1"/>
  <c r="K3748" i="2"/>
  <c r="E3750" i="2" l="1"/>
  <c r="G3750" i="2" s="1"/>
  <c r="H3750" i="2"/>
  <c r="I3750" i="2"/>
  <c r="J3749" i="2"/>
  <c r="K3749" i="2" s="1"/>
  <c r="F3751" i="2" l="1"/>
  <c r="G3751" i="2" s="1"/>
  <c r="H3751" i="2"/>
  <c r="I3751" i="2"/>
  <c r="J3750" i="2"/>
  <c r="K3750" i="2" s="1"/>
  <c r="E3752" i="2" l="1"/>
  <c r="G3752" i="2" s="1"/>
  <c r="H3752" i="2"/>
  <c r="I3752" i="2"/>
  <c r="J3751" i="2"/>
  <c r="K3751" i="2" s="1"/>
  <c r="F3753" i="2" l="1"/>
  <c r="G3753" i="2" s="1"/>
  <c r="H3753" i="2"/>
  <c r="I3753" i="2"/>
  <c r="J3752" i="2"/>
  <c r="K3752" i="2" s="1"/>
  <c r="F3754" i="2" l="1"/>
  <c r="G3754" i="2" s="1"/>
  <c r="H3754" i="2"/>
  <c r="I3754" i="2"/>
  <c r="J3753" i="2"/>
  <c r="K3753" i="2" s="1"/>
  <c r="F3755" i="2" l="1"/>
  <c r="G3755" i="2" s="1"/>
  <c r="I3755" i="2"/>
  <c r="H3755" i="2"/>
  <c r="J3754" i="2"/>
  <c r="K3754" i="2"/>
  <c r="I3756" i="2" l="1"/>
  <c r="H3756" i="2"/>
  <c r="J3755" i="2"/>
  <c r="K3755" i="2" s="1"/>
  <c r="E3756" i="2"/>
  <c r="G3756" i="2" s="1"/>
  <c r="H3757" i="2" l="1"/>
  <c r="I3757" i="2"/>
  <c r="J3756" i="2"/>
  <c r="F3757" i="2"/>
  <c r="G3757" i="2" s="1"/>
  <c r="K3756" i="2"/>
  <c r="E3758" i="2" l="1"/>
  <c r="G3758" i="2" s="1"/>
  <c r="H3758" i="2"/>
  <c r="I3758" i="2"/>
  <c r="J3757" i="2"/>
  <c r="K3757" i="2"/>
  <c r="E3759" i="2" l="1"/>
  <c r="G3759" i="2" s="1"/>
  <c r="H3759" i="2"/>
  <c r="I3759" i="2"/>
  <c r="J3758" i="2"/>
  <c r="K3758" i="2" s="1"/>
  <c r="E3760" i="2" l="1"/>
  <c r="G3760" i="2" s="1"/>
  <c r="H3760" i="2"/>
  <c r="I3760" i="2"/>
  <c r="J3759" i="2"/>
  <c r="K3759" i="2" s="1"/>
  <c r="K3760" i="2" l="1"/>
  <c r="E3761" i="2"/>
  <c r="G3761" i="2" s="1"/>
  <c r="H3761" i="2"/>
  <c r="I3761" i="2"/>
  <c r="J3760" i="2"/>
  <c r="F3762" i="2" l="1"/>
  <c r="G3762" i="2" s="1"/>
  <c r="H3762" i="2"/>
  <c r="I3762" i="2"/>
  <c r="J3761" i="2"/>
  <c r="K3761" i="2" s="1"/>
  <c r="K3762" i="2" l="1"/>
  <c r="I3763" i="2"/>
  <c r="H3763" i="2"/>
  <c r="J3762" i="2"/>
  <c r="E3763" i="2"/>
  <c r="G3763" i="2" s="1"/>
  <c r="I3764" i="2" l="1"/>
  <c r="H3764" i="2"/>
  <c r="J3763" i="2"/>
  <c r="K3763" i="2" s="1"/>
  <c r="E3764" i="2"/>
  <c r="G3764" i="2" s="1"/>
  <c r="H3765" i="2" l="1"/>
  <c r="I3765" i="2"/>
  <c r="J3764" i="2"/>
  <c r="K3764" i="2" s="1"/>
  <c r="F3765" i="2"/>
  <c r="G3765" i="2" s="1"/>
  <c r="F3766" i="2" l="1"/>
  <c r="G3766" i="2" s="1"/>
  <c r="H3766" i="2"/>
  <c r="J3765" i="2"/>
  <c r="K3765" i="2" s="1"/>
  <c r="I3766" i="2"/>
  <c r="E3767" i="2" l="1"/>
  <c r="G3767" i="2" s="1"/>
  <c r="H3767" i="2"/>
  <c r="J3766" i="2"/>
  <c r="K3766" i="2" s="1"/>
  <c r="I3767" i="2"/>
  <c r="F3768" i="2" l="1"/>
  <c r="G3768" i="2" s="1"/>
  <c r="H3768" i="2"/>
  <c r="I3768" i="2"/>
  <c r="J3767" i="2"/>
  <c r="K3767" i="2" s="1"/>
  <c r="E3769" i="2" l="1"/>
  <c r="G3769" i="2" s="1"/>
  <c r="H3769" i="2"/>
  <c r="I3769" i="2"/>
  <c r="J3768" i="2"/>
  <c r="K3768" i="2"/>
  <c r="E3770" i="2" l="1"/>
  <c r="G3770" i="2" s="1"/>
  <c r="H3770" i="2"/>
  <c r="I3770" i="2"/>
  <c r="J3769" i="2"/>
  <c r="K3769" i="2" s="1"/>
  <c r="H3771" i="2" l="1"/>
  <c r="I3771" i="2"/>
  <c r="J3770" i="2"/>
  <c r="K3770" i="2" s="1"/>
  <c r="F3771" i="2"/>
  <c r="G3771" i="2" s="1"/>
  <c r="H3772" i="2" l="1"/>
  <c r="I3772" i="2"/>
  <c r="J3771" i="2"/>
  <c r="F3772" i="2"/>
  <c r="G3772" i="2" s="1"/>
  <c r="K3771" i="2"/>
  <c r="H3773" i="2" l="1"/>
  <c r="I3773" i="2"/>
  <c r="J3772" i="2"/>
  <c r="E3773" i="2"/>
  <c r="G3773" i="2" s="1"/>
  <c r="K3772" i="2"/>
  <c r="F3774" i="2" l="1"/>
  <c r="G3774" i="2" s="1"/>
  <c r="H3774" i="2"/>
  <c r="I3774" i="2"/>
  <c r="J3773" i="2"/>
  <c r="K3773" i="2"/>
  <c r="E3775" i="2" l="1"/>
  <c r="G3775" i="2" s="1"/>
  <c r="H3775" i="2"/>
  <c r="I3775" i="2"/>
  <c r="J3774" i="2"/>
  <c r="K3774" i="2" s="1"/>
  <c r="E3776" i="2" l="1"/>
  <c r="G3776" i="2" s="1"/>
  <c r="H3776" i="2"/>
  <c r="I3776" i="2"/>
  <c r="J3775" i="2"/>
  <c r="K3775" i="2"/>
  <c r="E3777" i="2" l="1"/>
  <c r="G3777" i="2" s="1"/>
  <c r="H3777" i="2"/>
  <c r="I3777" i="2"/>
  <c r="J3776" i="2"/>
  <c r="K3776" i="2" s="1"/>
  <c r="F3778" i="2" l="1"/>
  <c r="G3778" i="2" s="1"/>
  <c r="H3778" i="2"/>
  <c r="I3778" i="2"/>
  <c r="J3777" i="2"/>
  <c r="K3777" i="2" s="1"/>
  <c r="K3778" i="2" l="1"/>
  <c r="H3779" i="2"/>
  <c r="I3779" i="2"/>
  <c r="J3778" i="2"/>
  <c r="F3779" i="2"/>
  <c r="G3779" i="2" s="1"/>
  <c r="H3780" i="2" l="1"/>
  <c r="I3780" i="2"/>
  <c r="J3779" i="2"/>
  <c r="K3779" i="2" s="1"/>
  <c r="F3780" i="2"/>
  <c r="G3780" i="2" s="1"/>
  <c r="H3781" i="2" l="1"/>
  <c r="I3781" i="2"/>
  <c r="J3780" i="2"/>
  <c r="E3781" i="2"/>
  <c r="G3781" i="2" s="1"/>
  <c r="K3780" i="2"/>
  <c r="E3782" i="2" l="1"/>
  <c r="G3782" i="2" s="1"/>
  <c r="H3782" i="2"/>
  <c r="I3782" i="2"/>
  <c r="J3781" i="2"/>
  <c r="K3781" i="2"/>
  <c r="F3783" i="2" l="1"/>
  <c r="G3783" i="2" s="1"/>
  <c r="H3783" i="2"/>
  <c r="I3783" i="2"/>
  <c r="J3782" i="2"/>
  <c r="K3782" i="2" s="1"/>
  <c r="E3784" i="2" l="1"/>
  <c r="G3784" i="2" s="1"/>
  <c r="H3784" i="2"/>
  <c r="I3784" i="2"/>
  <c r="J3783" i="2"/>
  <c r="K3783" i="2" s="1"/>
  <c r="E3785" i="2" l="1"/>
  <c r="G3785" i="2" s="1"/>
  <c r="H3785" i="2"/>
  <c r="I3785" i="2"/>
  <c r="J3784" i="2"/>
  <c r="K3784" i="2" s="1"/>
  <c r="E3786" i="2" l="1"/>
  <c r="G3786" i="2" s="1"/>
  <c r="H3786" i="2"/>
  <c r="I3786" i="2"/>
  <c r="J3785" i="2"/>
  <c r="K3785" i="2" s="1"/>
  <c r="I3787" i="2" l="1"/>
  <c r="H3787" i="2"/>
  <c r="J3786" i="2"/>
  <c r="K3786" i="2" s="1"/>
  <c r="F3787" i="2"/>
  <c r="G3787" i="2" s="1"/>
  <c r="I3788" i="2" l="1"/>
  <c r="H3788" i="2"/>
  <c r="J3787" i="2"/>
  <c r="F3788" i="2"/>
  <c r="G3788" i="2" s="1"/>
  <c r="K3787" i="2"/>
  <c r="H3789" i="2" l="1"/>
  <c r="I3789" i="2"/>
  <c r="J3788" i="2"/>
  <c r="E3789" i="2"/>
  <c r="G3789" i="2" s="1"/>
  <c r="K3788" i="2"/>
  <c r="E3790" i="2" l="1"/>
  <c r="G3790" i="2" s="1"/>
  <c r="H3790" i="2"/>
  <c r="I3790" i="2"/>
  <c r="J3789" i="2"/>
  <c r="K3789" i="2"/>
  <c r="E3791" i="2" l="1"/>
  <c r="G3791" i="2" s="1"/>
  <c r="H3791" i="2"/>
  <c r="I3791" i="2"/>
  <c r="J3790" i="2"/>
  <c r="K3790" i="2" s="1"/>
  <c r="E3792" i="2" l="1"/>
  <c r="G3792" i="2" s="1"/>
  <c r="H3792" i="2"/>
  <c r="I3792" i="2"/>
  <c r="J3791" i="2"/>
  <c r="K3791" i="2" s="1"/>
  <c r="F3793" i="2" l="1"/>
  <c r="G3793" i="2" s="1"/>
  <c r="H3793" i="2"/>
  <c r="I3793" i="2"/>
  <c r="J3792" i="2"/>
  <c r="K3792" i="2" s="1"/>
  <c r="E3794" i="2" l="1"/>
  <c r="G3794" i="2" s="1"/>
  <c r="H3794" i="2"/>
  <c r="I3794" i="2"/>
  <c r="J3793" i="2"/>
  <c r="K3793" i="2" s="1"/>
  <c r="I3795" i="2" l="1"/>
  <c r="H3795" i="2"/>
  <c r="J3794" i="2"/>
  <c r="K3794" i="2" s="1"/>
  <c r="F3795" i="2"/>
  <c r="G3795" i="2" s="1"/>
  <c r="I3796" i="2" l="1"/>
  <c r="H3796" i="2"/>
  <c r="J3795" i="2"/>
  <c r="F3796" i="2"/>
  <c r="G3796" i="2" s="1"/>
  <c r="K3795" i="2"/>
  <c r="H3797" i="2" l="1"/>
  <c r="I3797" i="2"/>
  <c r="J3796" i="2"/>
  <c r="F3797" i="2"/>
  <c r="G3797" i="2" s="1"/>
  <c r="K3796" i="2"/>
  <c r="F3798" i="2" l="1"/>
  <c r="G3798" i="2" s="1"/>
  <c r="H3798" i="2"/>
  <c r="I3798" i="2"/>
  <c r="J3797" i="2"/>
  <c r="K3797" i="2"/>
  <c r="F3799" i="2" l="1"/>
  <c r="G3799" i="2" s="1"/>
  <c r="H3799" i="2"/>
  <c r="I3799" i="2"/>
  <c r="J3798" i="2"/>
  <c r="K3798" i="2" s="1"/>
  <c r="F3800" i="2" l="1"/>
  <c r="G3800" i="2" s="1"/>
  <c r="H3800" i="2"/>
  <c r="I3800" i="2"/>
  <c r="J3799" i="2"/>
  <c r="K3799" i="2" s="1"/>
  <c r="F3801" i="2" l="1"/>
  <c r="G3801" i="2" s="1"/>
  <c r="H3801" i="2"/>
  <c r="I3801" i="2"/>
  <c r="J3800" i="2"/>
  <c r="K3800" i="2"/>
  <c r="E3802" i="2" l="1"/>
  <c r="G3802" i="2" s="1"/>
  <c r="H3802" i="2"/>
  <c r="I3802" i="2"/>
  <c r="J3801" i="2"/>
  <c r="K3801" i="2" s="1"/>
  <c r="H3803" i="2" l="1"/>
  <c r="I3803" i="2"/>
  <c r="J3802" i="2"/>
  <c r="E3803" i="2"/>
  <c r="G3803" i="2" s="1"/>
  <c r="K3802" i="2"/>
  <c r="H3804" i="2" l="1"/>
  <c r="I3804" i="2"/>
  <c r="J3803" i="2"/>
  <c r="F3804" i="2"/>
  <c r="G3804" i="2" s="1"/>
  <c r="K3803" i="2"/>
  <c r="H3805" i="2" l="1"/>
  <c r="I3805" i="2"/>
  <c r="J3804" i="2"/>
  <c r="F3805" i="2"/>
  <c r="G3805" i="2" s="1"/>
  <c r="K3804" i="2"/>
  <c r="F3806" i="2" l="1"/>
  <c r="G3806" i="2" s="1"/>
  <c r="H3806" i="2"/>
  <c r="I3806" i="2"/>
  <c r="J3805" i="2"/>
  <c r="K3805" i="2" s="1"/>
  <c r="F3807" i="2" l="1"/>
  <c r="G3807" i="2" s="1"/>
  <c r="H3807" i="2"/>
  <c r="I3807" i="2"/>
  <c r="J3806" i="2"/>
  <c r="K3806" i="2" s="1"/>
  <c r="E3808" i="2" l="1"/>
  <c r="G3808" i="2" s="1"/>
  <c r="H3808" i="2"/>
  <c r="I3808" i="2"/>
  <c r="J3807" i="2"/>
  <c r="K3807" i="2" s="1"/>
  <c r="E3809" i="2" l="1"/>
  <c r="G3809" i="2" s="1"/>
  <c r="H3809" i="2"/>
  <c r="I3809" i="2"/>
  <c r="J3808" i="2"/>
  <c r="K3808" i="2" s="1"/>
  <c r="E3810" i="2" l="1"/>
  <c r="G3810" i="2" s="1"/>
  <c r="H3810" i="2"/>
  <c r="I3810" i="2"/>
  <c r="J3809" i="2"/>
  <c r="K3809" i="2" s="1"/>
  <c r="H3811" i="2" l="1"/>
  <c r="I3811" i="2"/>
  <c r="J3810" i="2"/>
  <c r="K3810" i="2" s="1"/>
  <c r="E3811" i="2"/>
  <c r="G3811" i="2" s="1"/>
  <c r="H3812" i="2" l="1"/>
  <c r="I3812" i="2"/>
  <c r="J3811" i="2"/>
  <c r="F3812" i="2"/>
  <c r="G3812" i="2" s="1"/>
  <c r="K3811" i="2"/>
  <c r="H3813" i="2" l="1"/>
  <c r="I3813" i="2"/>
  <c r="J3812" i="2"/>
  <c r="F3813" i="2"/>
  <c r="G3813" i="2" s="1"/>
  <c r="K3812" i="2"/>
  <c r="F3814" i="2" l="1"/>
  <c r="G3814" i="2" s="1"/>
  <c r="H3814" i="2"/>
  <c r="I3814" i="2"/>
  <c r="J3813" i="2"/>
  <c r="K3813" i="2"/>
  <c r="F3815" i="2" l="1"/>
  <c r="G3815" i="2" s="1"/>
  <c r="H3815" i="2"/>
  <c r="I3815" i="2"/>
  <c r="J3814" i="2"/>
  <c r="K3814" i="2" s="1"/>
  <c r="E3816" i="2" l="1"/>
  <c r="G3816" i="2" s="1"/>
  <c r="H3816" i="2"/>
  <c r="I3816" i="2"/>
  <c r="J3815" i="2"/>
  <c r="K3815" i="2" s="1"/>
  <c r="E3817" i="2" l="1"/>
  <c r="G3817" i="2" s="1"/>
  <c r="H3817" i="2"/>
  <c r="I3817" i="2"/>
  <c r="J3816" i="2"/>
  <c r="K3816" i="2" s="1"/>
  <c r="E3818" i="2" l="1"/>
  <c r="G3818" i="2" s="1"/>
  <c r="H3818" i="2"/>
  <c r="I3818" i="2"/>
  <c r="J3817" i="2"/>
  <c r="K3817" i="2" s="1"/>
  <c r="I3819" i="2" l="1"/>
  <c r="H3819" i="2"/>
  <c r="J3818" i="2"/>
  <c r="K3818" i="2" s="1"/>
  <c r="F3819" i="2"/>
  <c r="G3819" i="2" s="1"/>
  <c r="I3820" i="2" l="1"/>
  <c r="H3820" i="2"/>
  <c r="J3819" i="2"/>
  <c r="E3820" i="2"/>
  <c r="G3820" i="2" s="1"/>
  <c r="K3819" i="2"/>
  <c r="H3821" i="2" l="1"/>
  <c r="I3821" i="2"/>
  <c r="J3820" i="2"/>
  <c r="E3821" i="2"/>
  <c r="G3821" i="2" s="1"/>
  <c r="K3820" i="2"/>
  <c r="E3822" i="2" l="1"/>
  <c r="G3822" i="2" s="1"/>
  <c r="H3822" i="2"/>
  <c r="I3822" i="2"/>
  <c r="J3821" i="2"/>
  <c r="K3821" i="2"/>
  <c r="E3823" i="2" l="1"/>
  <c r="G3823" i="2" s="1"/>
  <c r="H3823" i="2"/>
  <c r="I3823" i="2"/>
  <c r="J3822" i="2"/>
  <c r="K3822" i="2" s="1"/>
  <c r="E3824" i="2" l="1"/>
  <c r="G3824" i="2" s="1"/>
  <c r="H3824" i="2"/>
  <c r="I3824" i="2"/>
  <c r="J3823" i="2"/>
  <c r="K3823" i="2" s="1"/>
  <c r="F3825" i="2" l="1"/>
  <c r="G3825" i="2" s="1"/>
  <c r="H3825" i="2"/>
  <c r="I3825" i="2"/>
  <c r="J3824" i="2"/>
  <c r="K3824" i="2" s="1"/>
  <c r="E3826" i="2" l="1"/>
  <c r="G3826" i="2" s="1"/>
  <c r="H3826" i="2"/>
  <c r="I3826" i="2"/>
  <c r="J3825" i="2"/>
  <c r="K3825" i="2" s="1"/>
  <c r="I3827" i="2" l="1"/>
  <c r="H3827" i="2"/>
  <c r="J3826" i="2"/>
  <c r="K3826" i="2" s="1"/>
  <c r="E3827" i="2"/>
  <c r="G3827" i="2" s="1"/>
  <c r="I3828" i="2" l="1"/>
  <c r="H3828" i="2"/>
  <c r="J3827" i="2"/>
  <c r="F3828" i="2"/>
  <c r="G3828" i="2" s="1"/>
  <c r="K3827" i="2"/>
  <c r="H3829" i="2" l="1"/>
  <c r="I3829" i="2"/>
  <c r="J3828" i="2"/>
  <c r="F3829" i="2"/>
  <c r="G3829" i="2" s="1"/>
  <c r="K3828" i="2"/>
  <c r="F3830" i="2" l="1"/>
  <c r="G3830" i="2" s="1"/>
  <c r="H3830" i="2"/>
  <c r="I3830" i="2"/>
  <c r="J3829" i="2"/>
  <c r="K3829" i="2"/>
  <c r="E3831" i="2" l="1"/>
  <c r="G3831" i="2" s="1"/>
  <c r="H3831" i="2"/>
  <c r="I3831" i="2"/>
  <c r="J3830" i="2"/>
  <c r="K3830" i="2" s="1"/>
  <c r="E3832" i="2" l="1"/>
  <c r="G3832" i="2" s="1"/>
  <c r="H3832" i="2"/>
  <c r="I3832" i="2"/>
  <c r="J3831" i="2"/>
  <c r="K3831" i="2" s="1"/>
  <c r="E3833" i="2" l="1"/>
  <c r="G3833" i="2" s="1"/>
  <c r="H3833" i="2"/>
  <c r="I3833" i="2"/>
  <c r="J3832" i="2"/>
  <c r="K3832" i="2" s="1"/>
  <c r="F3834" i="2" l="1"/>
  <c r="G3834" i="2" s="1"/>
  <c r="H3834" i="2"/>
  <c r="I3834" i="2"/>
  <c r="J3833" i="2"/>
  <c r="K3833" i="2"/>
  <c r="H3835" i="2" l="1"/>
  <c r="I3835" i="2"/>
  <c r="J3834" i="2"/>
  <c r="K3834" i="2" s="1"/>
  <c r="E3835" i="2"/>
  <c r="G3835" i="2" s="1"/>
  <c r="H3836" i="2" l="1"/>
  <c r="I3836" i="2"/>
  <c r="J3835" i="2"/>
  <c r="K3835" i="2" s="1"/>
  <c r="F3836" i="2"/>
  <c r="G3836" i="2" s="1"/>
  <c r="H3837" i="2" l="1"/>
  <c r="I3837" i="2"/>
  <c r="J3836" i="2"/>
  <c r="K3836" i="2" s="1"/>
  <c r="F3837" i="2"/>
  <c r="G3837" i="2" s="1"/>
  <c r="E3838" i="2" l="1"/>
  <c r="G3838" i="2" s="1"/>
  <c r="H3838" i="2"/>
  <c r="I3838" i="2"/>
  <c r="J3837" i="2"/>
  <c r="K3837" i="2"/>
  <c r="F3839" i="2" l="1"/>
  <c r="G3839" i="2" s="1"/>
  <c r="H3839" i="2"/>
  <c r="I3839" i="2"/>
  <c r="J3838" i="2"/>
  <c r="K3838" i="2" s="1"/>
  <c r="K3839" i="2" l="1"/>
  <c r="E3840" i="2"/>
  <c r="G3840" i="2" s="1"/>
  <c r="H3840" i="2"/>
  <c r="I3840" i="2"/>
  <c r="J3839" i="2"/>
  <c r="E3841" i="2" l="1"/>
  <c r="G3841" i="2" s="1"/>
  <c r="H3841" i="2"/>
  <c r="I3841" i="2"/>
  <c r="J3840" i="2"/>
  <c r="K3840" i="2" s="1"/>
  <c r="K3841" i="2" l="1"/>
  <c r="E3842" i="2"/>
  <c r="G3842" i="2" s="1"/>
  <c r="H3842" i="2"/>
  <c r="I3842" i="2"/>
  <c r="J3841" i="2"/>
  <c r="H3843" i="2" l="1"/>
  <c r="I3843" i="2"/>
  <c r="J3842" i="2"/>
  <c r="F3843" i="2"/>
  <c r="G3843" i="2" s="1"/>
  <c r="K3842" i="2"/>
  <c r="H3844" i="2" l="1"/>
  <c r="I3844" i="2"/>
  <c r="J3843" i="2"/>
  <c r="F3844" i="2"/>
  <c r="G3844" i="2" s="1"/>
  <c r="K3843" i="2"/>
  <c r="H3845" i="2" l="1"/>
  <c r="I3845" i="2"/>
  <c r="J3844" i="2"/>
  <c r="E3845" i="2"/>
  <c r="G3845" i="2" s="1"/>
  <c r="K3844" i="2"/>
  <c r="E3846" i="2" l="1"/>
  <c r="G3846" i="2" s="1"/>
  <c r="H3846" i="2"/>
  <c r="I3846" i="2"/>
  <c r="J3845" i="2"/>
  <c r="K3845" i="2"/>
  <c r="F3847" i="2" l="1"/>
  <c r="G3847" i="2" s="1"/>
  <c r="H3847" i="2"/>
  <c r="I3847" i="2"/>
  <c r="J3846" i="2"/>
  <c r="K3846" i="2" s="1"/>
  <c r="E3848" i="2" l="1"/>
  <c r="G3848" i="2" s="1"/>
  <c r="H3848" i="2"/>
  <c r="I3848" i="2"/>
  <c r="J3847" i="2"/>
  <c r="K3847" i="2"/>
  <c r="E3849" i="2" l="1"/>
  <c r="G3849" i="2" s="1"/>
  <c r="H3849" i="2"/>
  <c r="I3849" i="2"/>
  <c r="J3848" i="2"/>
  <c r="K3848" i="2" s="1"/>
  <c r="K3849" i="2" l="1"/>
  <c r="E3850" i="2"/>
  <c r="G3850" i="2" s="1"/>
  <c r="H3850" i="2"/>
  <c r="I3850" i="2"/>
  <c r="J3849" i="2"/>
  <c r="I3851" i="2" l="1"/>
  <c r="H3851" i="2"/>
  <c r="J3850" i="2"/>
  <c r="E3851" i="2"/>
  <c r="G3851" i="2" s="1"/>
  <c r="K3850" i="2"/>
  <c r="I3852" i="2" l="1"/>
  <c r="H3852" i="2"/>
  <c r="J3851" i="2"/>
  <c r="K3851" i="2" s="1"/>
  <c r="F3852" i="2"/>
  <c r="G3852" i="2" s="1"/>
  <c r="H3853" i="2" l="1"/>
  <c r="I3853" i="2"/>
  <c r="J3852" i="2"/>
  <c r="E3853" i="2"/>
  <c r="G3853" i="2" s="1"/>
  <c r="K3852" i="2"/>
  <c r="E3854" i="2" l="1"/>
  <c r="G3854" i="2" s="1"/>
  <c r="H3854" i="2"/>
  <c r="I3854" i="2"/>
  <c r="J3853" i="2"/>
  <c r="K3853" i="2"/>
  <c r="E3855" i="2" l="1"/>
  <c r="G3855" i="2" s="1"/>
  <c r="H3855" i="2"/>
  <c r="J3854" i="2"/>
  <c r="K3854" i="2" s="1"/>
  <c r="I3855" i="2"/>
  <c r="E3856" i="2" l="1"/>
  <c r="G3856" i="2" s="1"/>
  <c r="H3856" i="2"/>
  <c r="I3856" i="2"/>
  <c r="J3855" i="2"/>
  <c r="K3855" i="2" s="1"/>
  <c r="F3857" i="2" l="1"/>
  <c r="G3857" i="2" s="1"/>
  <c r="H3857" i="2"/>
  <c r="I3857" i="2"/>
  <c r="J3856" i="2"/>
  <c r="K3856" i="2" s="1"/>
  <c r="F3858" i="2" l="1"/>
  <c r="G3858" i="2" s="1"/>
  <c r="H3858" i="2"/>
  <c r="I3858" i="2"/>
  <c r="J3857" i="2"/>
  <c r="K3857" i="2" s="1"/>
  <c r="I3859" i="2" l="1"/>
  <c r="H3859" i="2"/>
  <c r="J3858" i="2"/>
  <c r="K3858" i="2" s="1"/>
  <c r="F3859" i="2"/>
  <c r="G3859" i="2" s="1"/>
  <c r="I3860" i="2" l="1"/>
  <c r="H3860" i="2"/>
  <c r="J3859" i="2"/>
  <c r="K3859" i="2" s="1"/>
  <c r="E3860" i="2"/>
  <c r="G3860" i="2" s="1"/>
  <c r="H3861" i="2" l="1"/>
  <c r="I3861" i="2"/>
  <c r="J3860" i="2"/>
  <c r="K3860" i="2" s="1"/>
  <c r="E3861" i="2"/>
  <c r="G3861" i="2" s="1"/>
  <c r="F3862" i="2" l="1"/>
  <c r="G3862" i="2" s="1"/>
  <c r="H3862" i="2"/>
  <c r="J3861" i="2"/>
  <c r="I3862" i="2"/>
  <c r="K3861" i="2"/>
  <c r="E3863" i="2" l="1"/>
  <c r="G3863" i="2" s="1"/>
  <c r="H3863" i="2"/>
  <c r="I3863" i="2"/>
  <c r="J3862" i="2"/>
  <c r="K3862" i="2" s="1"/>
  <c r="F3864" i="2" l="1"/>
  <c r="G3864" i="2" s="1"/>
  <c r="I3864" i="2"/>
  <c r="H3864" i="2"/>
  <c r="J3863" i="2"/>
  <c r="K3863" i="2" s="1"/>
  <c r="F3865" i="2" l="1"/>
  <c r="G3865" i="2" s="1"/>
  <c r="H3865" i="2"/>
  <c r="I3865" i="2"/>
  <c r="J3864" i="2"/>
  <c r="K3864" i="2"/>
  <c r="E3866" i="2" l="1"/>
  <c r="G3866" i="2" s="1"/>
  <c r="H3866" i="2"/>
  <c r="I3866" i="2"/>
  <c r="J3865" i="2"/>
  <c r="K3865" i="2" s="1"/>
  <c r="H3867" i="2" l="1"/>
  <c r="I3867" i="2"/>
  <c r="J3866" i="2"/>
  <c r="K3866" i="2" s="1"/>
  <c r="E3867" i="2"/>
  <c r="G3867" i="2" s="1"/>
  <c r="H3868" i="2" l="1"/>
  <c r="I3868" i="2"/>
  <c r="J3867" i="2"/>
  <c r="E3868" i="2"/>
  <c r="G3868" i="2" s="1"/>
  <c r="K3867" i="2"/>
  <c r="H3869" i="2" l="1"/>
  <c r="I3869" i="2"/>
  <c r="J3868" i="2"/>
  <c r="F3869" i="2"/>
  <c r="G3869" i="2" s="1"/>
  <c r="K3868" i="2"/>
  <c r="E3870" i="2" l="1"/>
  <c r="G3870" i="2" s="1"/>
  <c r="H3870" i="2"/>
  <c r="I3870" i="2"/>
  <c r="J3869" i="2"/>
  <c r="K3869" i="2" s="1"/>
  <c r="F3871" i="2" l="1"/>
  <c r="G3871" i="2" s="1"/>
  <c r="H3871" i="2"/>
  <c r="I3871" i="2"/>
  <c r="J3870" i="2"/>
  <c r="K3870" i="2" s="1"/>
  <c r="F3872" i="2" l="1"/>
  <c r="G3872" i="2" s="1"/>
  <c r="I3872" i="2"/>
  <c r="H3872" i="2"/>
  <c r="J3871" i="2"/>
  <c r="K3871" i="2" s="1"/>
  <c r="F3873" i="2" l="1"/>
  <c r="G3873" i="2" s="1"/>
  <c r="H3873" i="2"/>
  <c r="I3873" i="2"/>
  <c r="J3872" i="2"/>
  <c r="K3872" i="2" s="1"/>
  <c r="F3874" i="2" l="1"/>
  <c r="G3874" i="2" s="1"/>
  <c r="H3874" i="2"/>
  <c r="I3874" i="2"/>
  <c r="J3873" i="2"/>
  <c r="K3873" i="2" s="1"/>
  <c r="I3875" i="2" l="1"/>
  <c r="H3875" i="2"/>
  <c r="J3874" i="2"/>
  <c r="K3874" i="2" s="1"/>
  <c r="F3875" i="2"/>
  <c r="G3875" i="2" s="1"/>
  <c r="I3876" i="2" l="1"/>
  <c r="H3876" i="2"/>
  <c r="J3875" i="2"/>
  <c r="F3876" i="2"/>
  <c r="G3876" i="2" s="1"/>
  <c r="K3875" i="2"/>
  <c r="H3877" i="2" l="1"/>
  <c r="I3877" i="2"/>
  <c r="J3876" i="2"/>
  <c r="F3877" i="2"/>
  <c r="G3877" i="2" s="1"/>
  <c r="K3876" i="2"/>
  <c r="E3878" i="2" l="1"/>
  <c r="G3878" i="2" s="1"/>
  <c r="H3878" i="2"/>
  <c r="I3878" i="2"/>
  <c r="J3877" i="2"/>
  <c r="K3877" i="2"/>
  <c r="E3879" i="2" l="1"/>
  <c r="G3879" i="2" s="1"/>
  <c r="H3879" i="2"/>
  <c r="I3879" i="2"/>
  <c r="J3878" i="2"/>
  <c r="K3878" i="2" s="1"/>
  <c r="E3880" i="2" l="1"/>
  <c r="G3880" i="2" s="1"/>
  <c r="I3880" i="2"/>
  <c r="H3880" i="2"/>
  <c r="J3879" i="2"/>
  <c r="K3879" i="2" s="1"/>
  <c r="E3881" i="2" l="1"/>
  <c r="G3881" i="2" s="1"/>
  <c r="H3881" i="2"/>
  <c r="I3881" i="2"/>
  <c r="J3880" i="2"/>
  <c r="K3880" i="2"/>
  <c r="E3882" i="2" l="1"/>
  <c r="G3882" i="2" s="1"/>
  <c r="H3882" i="2"/>
  <c r="I3882" i="2"/>
  <c r="J3881" i="2"/>
  <c r="K3881" i="2" s="1"/>
  <c r="H3883" i="2" l="1"/>
  <c r="I3883" i="2"/>
  <c r="J3882" i="2"/>
  <c r="K3882" i="2" s="1"/>
  <c r="F3883" i="2"/>
  <c r="G3883" i="2" s="1"/>
  <c r="H3884" i="2" l="1"/>
  <c r="I3884" i="2"/>
  <c r="J3883" i="2"/>
  <c r="E3884" i="2"/>
  <c r="G3884" i="2" s="1"/>
  <c r="K3883" i="2"/>
  <c r="H3885" i="2" l="1"/>
  <c r="I3885" i="2"/>
  <c r="J3884" i="2"/>
  <c r="F3885" i="2"/>
  <c r="G3885" i="2" s="1"/>
  <c r="K3884" i="2"/>
  <c r="F3886" i="2" l="1"/>
  <c r="G3886" i="2" s="1"/>
  <c r="H3886" i="2"/>
  <c r="I3886" i="2"/>
  <c r="J3885" i="2"/>
  <c r="K3885" i="2"/>
  <c r="F3887" i="2" l="1"/>
  <c r="G3887" i="2" s="1"/>
  <c r="H3887" i="2"/>
  <c r="I3887" i="2"/>
  <c r="J3886" i="2"/>
  <c r="K3886" i="2"/>
  <c r="E3888" i="2" l="1"/>
  <c r="G3888" i="2" s="1"/>
  <c r="I3888" i="2"/>
  <c r="H3888" i="2"/>
  <c r="J3887" i="2"/>
  <c r="K3887" i="2" s="1"/>
  <c r="F3889" i="2" l="1"/>
  <c r="G3889" i="2" s="1"/>
  <c r="H3889" i="2"/>
  <c r="I3889" i="2"/>
  <c r="J3888" i="2"/>
  <c r="K3888" i="2" s="1"/>
  <c r="E3890" i="2" l="1"/>
  <c r="G3890" i="2" s="1"/>
  <c r="H3890" i="2"/>
  <c r="I3890" i="2"/>
  <c r="J3889" i="2"/>
  <c r="K3889" i="2" s="1"/>
  <c r="H3891" i="2" l="1"/>
  <c r="I3891" i="2"/>
  <c r="J3890" i="2"/>
  <c r="K3890" i="2" s="1"/>
  <c r="E3891" i="2"/>
  <c r="G3891" i="2" s="1"/>
  <c r="H3892" i="2" l="1"/>
  <c r="I3892" i="2"/>
  <c r="J3891" i="2"/>
  <c r="F3892" i="2"/>
  <c r="G3892" i="2" s="1"/>
  <c r="K3891" i="2"/>
  <c r="H3893" i="2" l="1"/>
  <c r="I3893" i="2"/>
  <c r="J3892" i="2"/>
  <c r="F3893" i="2"/>
  <c r="G3893" i="2" s="1"/>
  <c r="K3892" i="2"/>
  <c r="E3894" i="2" l="1"/>
  <c r="G3894" i="2" s="1"/>
  <c r="H3894" i="2"/>
  <c r="I3894" i="2"/>
  <c r="J3893" i="2"/>
  <c r="K3893" i="2"/>
  <c r="E3895" i="2" l="1"/>
  <c r="G3895" i="2" s="1"/>
  <c r="H3895" i="2"/>
  <c r="I3895" i="2"/>
  <c r="J3894" i="2"/>
  <c r="K3894" i="2" s="1"/>
  <c r="E3896" i="2" l="1"/>
  <c r="G3896" i="2" s="1"/>
  <c r="I3896" i="2"/>
  <c r="H3896" i="2"/>
  <c r="J3895" i="2"/>
  <c r="K3895" i="2" s="1"/>
  <c r="F3897" i="2" l="1"/>
  <c r="G3897" i="2" s="1"/>
  <c r="H3897" i="2"/>
  <c r="I3897" i="2"/>
  <c r="J3896" i="2"/>
  <c r="K3896" i="2" s="1"/>
  <c r="F3898" i="2" l="1"/>
  <c r="G3898" i="2" s="1"/>
  <c r="H3898" i="2"/>
  <c r="I3898" i="2"/>
  <c r="J3897" i="2"/>
  <c r="K3897" i="2" s="1"/>
  <c r="I3899" i="2" l="1"/>
  <c r="H3899" i="2"/>
  <c r="J3898" i="2"/>
  <c r="K3898" i="2" s="1"/>
  <c r="F3899" i="2"/>
  <c r="G3899" i="2" s="1"/>
  <c r="I3900" i="2" l="1"/>
  <c r="H3900" i="2"/>
  <c r="J3899" i="2"/>
  <c r="K3899" i="2" s="1"/>
  <c r="F3900" i="2"/>
  <c r="G3900" i="2" s="1"/>
  <c r="H3901" i="2" l="1"/>
  <c r="I3901" i="2"/>
  <c r="J3900" i="2"/>
  <c r="K3900" i="2" s="1"/>
  <c r="E3901" i="2"/>
  <c r="G3901" i="2" s="1"/>
  <c r="E3902" i="2" l="1"/>
  <c r="G3902" i="2" s="1"/>
  <c r="I3902" i="2"/>
  <c r="J3901" i="2"/>
  <c r="H3902" i="2"/>
  <c r="K3901" i="2"/>
  <c r="F3903" i="2" l="1"/>
  <c r="G3903" i="2" s="1"/>
  <c r="H3903" i="2"/>
  <c r="I3903" i="2"/>
  <c r="J3902" i="2"/>
  <c r="K3902" i="2" s="1"/>
  <c r="E3904" i="2" l="1"/>
  <c r="G3904" i="2" s="1"/>
  <c r="I3904" i="2"/>
  <c r="H3904" i="2"/>
  <c r="J3903" i="2"/>
  <c r="K3903" i="2" s="1"/>
  <c r="E3905" i="2" l="1"/>
  <c r="G3905" i="2" s="1"/>
  <c r="H3905" i="2"/>
  <c r="I3905" i="2"/>
  <c r="J3904" i="2"/>
  <c r="K3904" i="2"/>
  <c r="E3906" i="2" l="1"/>
  <c r="G3906" i="2" s="1"/>
  <c r="H3906" i="2"/>
  <c r="I3906" i="2"/>
  <c r="J3905" i="2"/>
  <c r="K3905" i="2" s="1"/>
  <c r="H3907" i="2" l="1"/>
  <c r="I3907" i="2"/>
  <c r="J3906" i="2"/>
  <c r="K3906" i="2" s="1"/>
  <c r="E3907" i="2"/>
  <c r="G3907" i="2" s="1"/>
  <c r="H3908" i="2" l="1"/>
  <c r="I3908" i="2"/>
  <c r="J3907" i="2"/>
  <c r="F3908" i="2"/>
  <c r="G3908" i="2" s="1"/>
  <c r="K3907" i="2"/>
  <c r="H3909" i="2" l="1"/>
  <c r="I3909" i="2"/>
  <c r="J3908" i="2"/>
  <c r="F3909" i="2"/>
  <c r="G3909" i="2" s="1"/>
  <c r="K3908" i="2"/>
  <c r="F3910" i="2" l="1"/>
  <c r="G3910" i="2" s="1"/>
  <c r="H3910" i="2"/>
  <c r="I3910" i="2"/>
  <c r="J3909" i="2"/>
  <c r="K3909" i="2"/>
  <c r="E3911" i="2" l="1"/>
  <c r="G3911" i="2" s="1"/>
  <c r="H3911" i="2"/>
  <c r="I3911" i="2"/>
  <c r="J3910" i="2"/>
  <c r="K3910" i="2" s="1"/>
  <c r="K3911" i="2" l="1"/>
  <c r="E3912" i="2"/>
  <c r="G3912" i="2" s="1"/>
  <c r="I3912" i="2"/>
  <c r="J3911" i="2"/>
  <c r="H3912" i="2"/>
  <c r="E3913" i="2" l="1"/>
  <c r="G3913" i="2" s="1"/>
  <c r="H3913" i="2"/>
  <c r="I3913" i="2"/>
  <c r="J3912" i="2"/>
  <c r="K3912" i="2"/>
  <c r="F3914" i="2" l="1"/>
  <c r="G3914" i="2" s="1"/>
  <c r="H3914" i="2"/>
  <c r="I3914" i="2"/>
  <c r="J3913" i="2"/>
  <c r="K3913" i="2"/>
  <c r="I3915" i="2" l="1"/>
  <c r="H3915" i="2"/>
  <c r="J3914" i="2"/>
  <c r="K3914" i="2" s="1"/>
  <c r="E3915" i="2"/>
  <c r="G3915" i="2" s="1"/>
  <c r="H3916" i="2" l="1"/>
  <c r="I3916" i="2"/>
  <c r="J3915" i="2"/>
  <c r="E3916" i="2"/>
  <c r="G3916" i="2" s="1"/>
  <c r="K3915" i="2"/>
  <c r="H3917" i="2" l="1"/>
  <c r="I3917" i="2"/>
  <c r="J3916" i="2"/>
  <c r="K3916" i="2" s="1"/>
  <c r="E3917" i="2"/>
  <c r="G3917" i="2" s="1"/>
  <c r="F3918" i="2" l="1"/>
  <c r="G3918" i="2" s="1"/>
  <c r="H3918" i="2"/>
  <c r="I3918" i="2"/>
  <c r="J3917" i="2"/>
  <c r="K3917" i="2" s="1"/>
  <c r="E3919" i="2" l="1"/>
  <c r="G3919" i="2" s="1"/>
  <c r="H3919" i="2"/>
  <c r="I3919" i="2"/>
  <c r="J3918" i="2"/>
  <c r="K3918" i="2"/>
  <c r="E3920" i="2" l="1"/>
  <c r="G3920" i="2" s="1"/>
  <c r="I3920" i="2"/>
  <c r="H3920" i="2"/>
  <c r="J3919" i="2"/>
  <c r="K3919" i="2" s="1"/>
  <c r="E3921" i="2" l="1"/>
  <c r="G3921" i="2" s="1"/>
  <c r="H3921" i="2"/>
  <c r="I3921" i="2"/>
  <c r="J3920" i="2"/>
  <c r="K3920" i="2" s="1"/>
  <c r="E3922" i="2" l="1"/>
  <c r="G3922" i="2" s="1"/>
  <c r="H3922" i="2"/>
  <c r="I3922" i="2"/>
  <c r="J3921" i="2"/>
  <c r="K3921" i="2" s="1"/>
  <c r="I3923" i="2" l="1"/>
  <c r="H3923" i="2"/>
  <c r="J3922" i="2"/>
  <c r="K3922" i="2" s="1"/>
  <c r="E3923" i="2"/>
  <c r="G3923" i="2" s="1"/>
  <c r="I3924" i="2" l="1"/>
  <c r="H3924" i="2"/>
  <c r="J3923" i="2"/>
  <c r="E3924" i="2"/>
  <c r="G3924" i="2" s="1"/>
  <c r="K3923" i="2"/>
  <c r="H3925" i="2" l="1"/>
  <c r="I3925" i="2"/>
  <c r="J3924" i="2"/>
  <c r="E3925" i="2"/>
  <c r="G3925" i="2" s="1"/>
  <c r="K3924" i="2"/>
  <c r="E3926" i="2" l="1"/>
  <c r="G3926" i="2" s="1"/>
  <c r="H3926" i="2"/>
  <c r="I3926" i="2"/>
  <c r="J3925" i="2"/>
  <c r="K3925" i="2"/>
  <c r="F3927" i="2" l="1"/>
  <c r="G3927" i="2" s="1"/>
  <c r="H3927" i="2"/>
  <c r="J3926" i="2"/>
  <c r="K3926" i="2" s="1"/>
  <c r="I3927" i="2"/>
  <c r="F3928" i="2" l="1"/>
  <c r="G3928" i="2" s="1"/>
  <c r="H3928" i="2"/>
  <c r="I3928" i="2"/>
  <c r="J3927" i="2"/>
  <c r="K3927" i="2" s="1"/>
  <c r="K3928" i="2" l="1"/>
  <c r="E3929" i="2"/>
  <c r="G3929" i="2" s="1"/>
  <c r="H3929" i="2"/>
  <c r="I3929" i="2"/>
  <c r="J3928" i="2"/>
  <c r="F3930" i="2" l="1"/>
  <c r="G3930" i="2" s="1"/>
  <c r="H3930" i="2"/>
  <c r="I3930" i="2"/>
  <c r="J3929" i="2"/>
  <c r="K3929" i="2" s="1"/>
  <c r="H3931" i="2" l="1"/>
  <c r="I3931" i="2"/>
  <c r="J3930" i="2"/>
  <c r="K3930" i="2" s="1"/>
  <c r="F3931" i="2"/>
  <c r="G3931" i="2" s="1"/>
  <c r="H3932" i="2" l="1"/>
  <c r="I3932" i="2"/>
  <c r="J3931" i="2"/>
  <c r="E3932" i="2"/>
  <c r="G3932" i="2" s="1"/>
  <c r="K3931" i="2"/>
  <c r="H3933" i="2" l="1"/>
  <c r="I3933" i="2"/>
  <c r="J3932" i="2"/>
  <c r="E3933" i="2"/>
  <c r="G3933" i="2" s="1"/>
  <c r="K3932" i="2"/>
  <c r="E3934" i="2" l="1"/>
  <c r="G3934" i="2" s="1"/>
  <c r="H3934" i="2"/>
  <c r="I3934" i="2"/>
  <c r="J3933" i="2"/>
  <c r="K3933" i="2"/>
  <c r="F3935" i="2" l="1"/>
  <c r="G3935" i="2" s="1"/>
  <c r="H3935" i="2"/>
  <c r="I3935" i="2"/>
  <c r="J3934" i="2"/>
  <c r="K3934" i="2" s="1"/>
  <c r="F3936" i="2" l="1"/>
  <c r="G3936" i="2" s="1"/>
  <c r="I3936" i="2"/>
  <c r="H3936" i="2"/>
  <c r="J3935" i="2"/>
  <c r="K3935" i="2" s="1"/>
  <c r="F3937" i="2" l="1"/>
  <c r="G3937" i="2" s="1"/>
  <c r="I3937" i="2"/>
  <c r="H3937" i="2"/>
  <c r="J3936" i="2"/>
  <c r="K3936" i="2" s="1"/>
  <c r="E3938" i="2" l="1"/>
  <c r="G3938" i="2" s="1"/>
  <c r="H3938" i="2"/>
  <c r="I3938" i="2"/>
  <c r="J3937" i="2"/>
  <c r="K3937" i="2" s="1"/>
  <c r="H3939" i="2" l="1"/>
  <c r="I3939" i="2"/>
  <c r="J3938" i="2"/>
  <c r="K3938" i="2" s="1"/>
  <c r="E3939" i="2"/>
  <c r="G3939" i="2" s="1"/>
  <c r="K3939" i="2" l="1"/>
  <c r="H3940" i="2"/>
  <c r="I3940" i="2"/>
  <c r="J3939" i="2"/>
  <c r="F3940" i="2"/>
  <c r="G3940" i="2" s="1"/>
  <c r="H3941" i="2" l="1"/>
  <c r="I3941" i="2"/>
  <c r="J3940" i="2"/>
  <c r="E3941" i="2"/>
  <c r="G3941" i="2" s="1"/>
  <c r="K3940" i="2"/>
  <c r="F3942" i="2" l="1"/>
  <c r="G3942" i="2" s="1"/>
  <c r="H3942" i="2"/>
  <c r="I3942" i="2"/>
  <c r="J3941" i="2"/>
  <c r="K3941" i="2" s="1"/>
  <c r="F3943" i="2" l="1"/>
  <c r="G3943" i="2" s="1"/>
  <c r="H3943" i="2"/>
  <c r="I3943" i="2"/>
  <c r="J3942" i="2"/>
  <c r="K3942" i="2" s="1"/>
  <c r="E3944" i="2" l="1"/>
  <c r="G3944" i="2" s="1"/>
  <c r="I3944" i="2"/>
  <c r="H3944" i="2"/>
  <c r="J3943" i="2"/>
  <c r="K3943" i="2" s="1"/>
  <c r="E3945" i="2" l="1"/>
  <c r="G3945" i="2" s="1"/>
  <c r="I3945" i="2"/>
  <c r="H3945" i="2"/>
  <c r="J3944" i="2"/>
  <c r="K3944" i="2" s="1"/>
  <c r="F3946" i="2" l="1"/>
  <c r="G3946" i="2" s="1"/>
  <c r="H3946" i="2"/>
  <c r="I3946" i="2"/>
  <c r="J3945" i="2"/>
  <c r="K3945" i="2"/>
  <c r="I3947" i="2" l="1"/>
  <c r="H3947" i="2"/>
  <c r="J3946" i="2"/>
  <c r="K3946" i="2" s="1"/>
  <c r="F3947" i="2"/>
  <c r="G3947" i="2" s="1"/>
  <c r="I3948" i="2" l="1"/>
  <c r="H3948" i="2"/>
  <c r="J3947" i="2"/>
  <c r="K3947" i="2" s="1"/>
  <c r="E3948" i="2"/>
  <c r="G3948" i="2" s="1"/>
  <c r="H3949" i="2" l="1"/>
  <c r="I3949" i="2"/>
  <c r="J3948" i="2"/>
  <c r="F3949" i="2"/>
  <c r="G3949" i="2" s="1"/>
  <c r="K3948" i="2"/>
  <c r="F3950" i="2" l="1"/>
  <c r="G3950" i="2" s="1"/>
  <c r="H3950" i="2"/>
  <c r="I3950" i="2"/>
  <c r="J3949" i="2"/>
  <c r="K3949" i="2"/>
  <c r="E3951" i="2" l="1"/>
  <c r="G3951" i="2" s="1"/>
  <c r="H3951" i="2"/>
  <c r="I3951" i="2"/>
  <c r="J3950" i="2"/>
  <c r="K3950" i="2" s="1"/>
  <c r="F3952" i="2" l="1"/>
  <c r="G3952" i="2" s="1"/>
  <c r="I3952" i="2"/>
  <c r="H3952" i="2"/>
  <c r="J3951" i="2"/>
  <c r="K3951" i="2" s="1"/>
  <c r="F3953" i="2" l="1"/>
  <c r="G3953" i="2" s="1"/>
  <c r="I3953" i="2"/>
  <c r="H3953" i="2"/>
  <c r="J3952" i="2"/>
  <c r="K3952" i="2"/>
  <c r="E3954" i="2" l="1"/>
  <c r="G3954" i="2" s="1"/>
  <c r="H3954" i="2"/>
  <c r="I3954" i="2"/>
  <c r="J3953" i="2"/>
  <c r="K3953" i="2" s="1"/>
  <c r="I3955" i="2" l="1"/>
  <c r="H3955" i="2"/>
  <c r="J3954" i="2"/>
  <c r="K3954" i="2" s="1"/>
  <c r="F3955" i="2"/>
  <c r="G3955" i="2" s="1"/>
  <c r="I3956" i="2" l="1"/>
  <c r="H3956" i="2"/>
  <c r="J3955" i="2"/>
  <c r="F3956" i="2"/>
  <c r="G3956" i="2" s="1"/>
  <c r="K3955" i="2"/>
  <c r="H3957" i="2" l="1"/>
  <c r="I3957" i="2"/>
  <c r="J3956" i="2"/>
  <c r="F3957" i="2"/>
  <c r="G3957" i="2" s="1"/>
  <c r="K3956" i="2"/>
  <c r="F3958" i="2" l="1"/>
  <c r="G3958" i="2" s="1"/>
  <c r="H3958" i="2"/>
  <c r="I3958" i="2"/>
  <c r="J3957" i="2"/>
  <c r="K3957" i="2"/>
  <c r="F3959" i="2" l="1"/>
  <c r="G3959" i="2" s="1"/>
  <c r="H3959" i="2"/>
  <c r="I3959" i="2"/>
  <c r="J3958" i="2"/>
  <c r="K3958" i="2" s="1"/>
  <c r="E3960" i="2" l="1"/>
  <c r="G3960" i="2" s="1"/>
  <c r="H3960" i="2"/>
  <c r="I3960" i="2"/>
  <c r="J3959" i="2"/>
  <c r="K3959" i="2" s="1"/>
  <c r="F3961" i="2" l="1"/>
  <c r="G3961" i="2" s="1"/>
  <c r="H3961" i="2"/>
  <c r="I3961" i="2"/>
  <c r="J3960" i="2"/>
  <c r="K3960" i="2" s="1"/>
  <c r="F3962" i="2" l="1"/>
  <c r="G3962" i="2" s="1"/>
  <c r="H3962" i="2"/>
  <c r="I3962" i="2"/>
  <c r="J3961" i="2"/>
  <c r="K3961" i="2" s="1"/>
  <c r="H3963" i="2" l="1"/>
  <c r="I3963" i="2"/>
  <c r="J3962" i="2"/>
  <c r="K3962" i="2" s="1"/>
  <c r="F3963" i="2"/>
  <c r="G3963" i="2" s="1"/>
  <c r="K3963" i="2" l="1"/>
  <c r="H3964" i="2"/>
  <c r="I3964" i="2"/>
  <c r="J3963" i="2"/>
  <c r="E3964" i="2"/>
  <c r="G3964" i="2" s="1"/>
  <c r="H3965" i="2" l="1"/>
  <c r="I3965" i="2"/>
  <c r="J3964" i="2"/>
  <c r="F3965" i="2"/>
  <c r="G3965" i="2" s="1"/>
  <c r="K3964" i="2"/>
  <c r="E3966" i="2" l="1"/>
  <c r="G3966" i="2" s="1"/>
  <c r="H3966" i="2"/>
  <c r="I3966" i="2"/>
  <c r="J3965" i="2"/>
  <c r="K3965" i="2"/>
  <c r="F3967" i="2" l="1"/>
  <c r="G3967" i="2" s="1"/>
  <c r="H3967" i="2"/>
  <c r="I3967" i="2"/>
  <c r="J3966" i="2"/>
  <c r="K3966" i="2" s="1"/>
  <c r="F3968" i="2" l="1"/>
  <c r="G3968" i="2" s="1"/>
  <c r="I3968" i="2"/>
  <c r="H3968" i="2"/>
  <c r="J3967" i="2"/>
  <c r="K3967" i="2"/>
  <c r="E3969" i="2" l="1"/>
  <c r="G3969" i="2" s="1"/>
  <c r="H3969" i="2"/>
  <c r="I3969" i="2"/>
  <c r="J3968" i="2"/>
  <c r="K3968" i="2" s="1"/>
  <c r="F3970" i="2" l="1"/>
  <c r="G3970" i="2" s="1"/>
  <c r="H3970" i="2"/>
  <c r="I3970" i="2"/>
  <c r="J3969" i="2"/>
  <c r="K3969" i="2" s="1"/>
  <c r="H3971" i="2" l="1"/>
  <c r="I3971" i="2"/>
  <c r="J3970" i="2"/>
  <c r="K3970" i="2" s="1"/>
  <c r="F3971" i="2"/>
  <c r="G3971" i="2" s="1"/>
  <c r="H3972" i="2" l="1"/>
  <c r="I3972" i="2"/>
  <c r="J3971" i="2"/>
  <c r="E3972" i="2"/>
  <c r="G3972" i="2" s="1"/>
  <c r="K3971" i="2"/>
  <c r="H3973" i="2" l="1"/>
  <c r="I3973" i="2"/>
  <c r="J3972" i="2"/>
  <c r="E3973" i="2"/>
  <c r="G3973" i="2" s="1"/>
  <c r="K3972" i="2"/>
  <c r="F3974" i="2" l="1"/>
  <c r="G3974" i="2" s="1"/>
  <c r="H3974" i="2"/>
  <c r="I3974" i="2"/>
  <c r="J3973" i="2"/>
  <c r="K3973" i="2" s="1"/>
  <c r="F3975" i="2" l="1"/>
  <c r="G3975" i="2" s="1"/>
  <c r="H3975" i="2"/>
  <c r="I3975" i="2"/>
  <c r="J3974" i="2"/>
  <c r="K3974" i="2" s="1"/>
  <c r="E3976" i="2" l="1"/>
  <c r="G3976" i="2" s="1"/>
  <c r="I3976" i="2"/>
  <c r="H3976" i="2"/>
  <c r="J3975" i="2"/>
  <c r="K3975" i="2" s="1"/>
  <c r="E3977" i="2" l="1"/>
  <c r="G3977" i="2" s="1"/>
  <c r="H3977" i="2"/>
  <c r="I3977" i="2"/>
  <c r="J3976" i="2"/>
  <c r="K3976" i="2" s="1"/>
  <c r="E3978" i="2" l="1"/>
  <c r="G3978" i="2" s="1"/>
  <c r="H3978" i="2"/>
  <c r="I3978" i="2"/>
  <c r="J3977" i="2"/>
  <c r="K3977" i="2" s="1"/>
  <c r="I3979" i="2" l="1"/>
  <c r="H3979" i="2"/>
  <c r="J3978" i="2"/>
  <c r="K3978" i="2" s="1"/>
  <c r="E3979" i="2"/>
  <c r="G3979" i="2" s="1"/>
  <c r="I3980" i="2" l="1"/>
  <c r="H3980" i="2"/>
  <c r="J3979" i="2"/>
  <c r="F3980" i="2"/>
  <c r="G3980" i="2" s="1"/>
  <c r="K3979" i="2"/>
  <c r="H3981" i="2" l="1"/>
  <c r="I3981" i="2"/>
  <c r="J3980" i="2"/>
  <c r="K3980" i="2" s="1"/>
  <c r="E3981" i="2"/>
  <c r="G3981" i="2" s="1"/>
  <c r="E3982" i="2" l="1"/>
  <c r="G3982" i="2" s="1"/>
  <c r="H3982" i="2"/>
  <c r="I3982" i="2"/>
  <c r="J3981" i="2"/>
  <c r="K3981" i="2"/>
  <c r="F3983" i="2" l="1"/>
  <c r="G3983" i="2" s="1"/>
  <c r="H3983" i="2"/>
  <c r="I3983" i="2"/>
  <c r="J3982" i="2"/>
  <c r="K3982" i="2" s="1"/>
  <c r="F3984" i="2" l="1"/>
  <c r="G3984" i="2" s="1"/>
  <c r="I3984" i="2"/>
  <c r="H3984" i="2"/>
  <c r="J3983" i="2"/>
  <c r="K3983" i="2"/>
  <c r="E3985" i="2" l="1"/>
  <c r="G3985" i="2" s="1"/>
  <c r="H3985" i="2"/>
  <c r="I3985" i="2"/>
  <c r="J3984" i="2"/>
  <c r="K3984" i="2" s="1"/>
  <c r="F3986" i="2" l="1"/>
  <c r="G3986" i="2" s="1"/>
  <c r="H3986" i="2"/>
  <c r="I3986" i="2"/>
  <c r="J3985" i="2"/>
  <c r="K3985" i="2" s="1"/>
  <c r="I3987" i="2" l="1"/>
  <c r="H3987" i="2"/>
  <c r="J3986" i="2"/>
  <c r="K3986" i="2" s="1"/>
  <c r="F3987" i="2"/>
  <c r="G3987" i="2" s="1"/>
  <c r="H3988" i="2" l="1"/>
  <c r="I3988" i="2"/>
  <c r="J3987" i="2"/>
  <c r="K3987" i="2" s="1"/>
  <c r="F3988" i="2"/>
  <c r="G3988" i="2" s="1"/>
  <c r="H3989" i="2" l="1"/>
  <c r="I3989" i="2"/>
  <c r="J3988" i="2"/>
  <c r="K3988" i="2" s="1"/>
  <c r="F3989" i="2"/>
  <c r="G3989" i="2" s="1"/>
  <c r="F3990" i="2" l="1"/>
  <c r="G3990" i="2" s="1"/>
  <c r="H3990" i="2"/>
  <c r="I3990" i="2"/>
  <c r="J3989" i="2"/>
  <c r="K3989" i="2"/>
  <c r="F3991" i="2" l="1"/>
  <c r="G3991" i="2" s="1"/>
  <c r="H3991" i="2"/>
  <c r="I3991" i="2"/>
  <c r="J3990" i="2"/>
  <c r="K3990" i="2" s="1"/>
  <c r="F3992" i="2" l="1"/>
  <c r="G3992" i="2" s="1"/>
  <c r="H3992" i="2"/>
  <c r="I3992" i="2"/>
  <c r="J3991" i="2"/>
  <c r="K3991" i="2" s="1"/>
  <c r="F3993" i="2" l="1"/>
  <c r="G3993" i="2" s="1"/>
  <c r="H3993" i="2"/>
  <c r="I3993" i="2"/>
  <c r="J3992" i="2"/>
  <c r="K3992" i="2" s="1"/>
  <c r="E3994" i="2" l="1"/>
  <c r="G3994" i="2" s="1"/>
  <c r="H3994" i="2"/>
  <c r="I3994" i="2"/>
  <c r="J3993" i="2"/>
  <c r="K3993" i="2"/>
  <c r="H3995" i="2" l="1"/>
  <c r="I3995" i="2"/>
  <c r="J3994" i="2"/>
  <c r="K3994" i="2" s="1"/>
  <c r="F3995" i="2"/>
  <c r="G3995" i="2" s="1"/>
  <c r="H3996" i="2" l="1"/>
  <c r="I3996" i="2"/>
  <c r="J3995" i="2"/>
  <c r="E3996" i="2"/>
  <c r="G3996" i="2" s="1"/>
  <c r="K3995" i="2"/>
  <c r="H3997" i="2" l="1"/>
  <c r="I3997" i="2"/>
  <c r="J3996" i="2"/>
  <c r="E3997" i="2"/>
  <c r="G3997" i="2" s="1"/>
  <c r="K3996" i="2"/>
  <c r="F3998" i="2" l="1"/>
  <c r="G3998" i="2" s="1"/>
  <c r="H3998" i="2"/>
  <c r="I3998" i="2"/>
  <c r="J3997" i="2"/>
  <c r="K3997" i="2"/>
  <c r="F3999" i="2" l="1"/>
  <c r="G3999" i="2" s="1"/>
  <c r="H3999" i="2"/>
  <c r="I3999" i="2"/>
  <c r="J3998" i="2"/>
  <c r="K3998" i="2" s="1"/>
  <c r="E4000" i="2" l="1"/>
  <c r="G4000" i="2" s="1"/>
  <c r="I4000" i="2"/>
  <c r="H4000" i="2"/>
  <c r="J3999" i="2"/>
  <c r="K3999" i="2" s="1"/>
  <c r="E4001" i="2" l="1"/>
  <c r="G4001" i="2" s="1"/>
  <c r="I4001" i="2"/>
  <c r="H4001" i="2"/>
  <c r="J4000" i="2"/>
  <c r="K4000" i="2" s="1"/>
  <c r="E4002" i="2" l="1"/>
  <c r="G4002" i="2" s="1"/>
  <c r="H4002" i="2"/>
  <c r="I4002" i="2"/>
  <c r="J4001" i="2"/>
  <c r="K4001" i="2" s="1"/>
  <c r="H4003" i="2" l="1"/>
  <c r="I4003" i="2"/>
  <c r="J4002" i="2"/>
  <c r="K4002" i="2" s="1"/>
  <c r="E4003" i="2"/>
  <c r="G4003" i="2" s="1"/>
  <c r="H4004" i="2" l="1"/>
  <c r="I4004" i="2"/>
  <c r="J4003" i="2"/>
  <c r="K4003" i="2" s="1"/>
  <c r="F4004" i="2"/>
  <c r="G4004" i="2" s="1"/>
  <c r="H4005" i="2" l="1"/>
  <c r="I4005" i="2"/>
  <c r="J4004" i="2"/>
  <c r="K4004" i="2" s="1"/>
  <c r="F4005" i="2"/>
  <c r="G4005" i="2" s="1"/>
  <c r="E4006" i="2" l="1"/>
  <c r="G4006" i="2" s="1"/>
  <c r="H4006" i="2"/>
  <c r="I4006" i="2"/>
  <c r="J4005" i="2"/>
  <c r="K4005" i="2" s="1"/>
  <c r="F4007" i="2" l="1"/>
  <c r="G4007" i="2" s="1"/>
  <c r="H4007" i="2"/>
  <c r="I4007" i="2"/>
  <c r="J4006" i="2"/>
  <c r="K4006" i="2" s="1"/>
  <c r="E4008" i="2" l="1"/>
  <c r="G4008" i="2" s="1"/>
  <c r="I4008" i="2"/>
  <c r="H4008" i="2"/>
  <c r="J4007" i="2"/>
  <c r="K4007" i="2" s="1"/>
  <c r="F4009" i="2" l="1"/>
  <c r="G4009" i="2" s="1"/>
  <c r="H4009" i="2"/>
  <c r="I4009" i="2"/>
  <c r="J4008" i="2"/>
  <c r="K4008" i="2" s="1"/>
  <c r="F4010" i="2" l="1"/>
  <c r="G4010" i="2" s="1"/>
  <c r="H4010" i="2"/>
  <c r="I4010" i="2"/>
  <c r="J4009" i="2"/>
  <c r="K4009" i="2"/>
  <c r="I4011" i="2" l="1"/>
  <c r="H4011" i="2"/>
  <c r="J4010" i="2"/>
  <c r="K4010" i="2" s="1"/>
  <c r="E4011" i="2"/>
  <c r="G4011" i="2" s="1"/>
  <c r="I4012" i="2" l="1"/>
  <c r="H4012" i="2"/>
  <c r="J4011" i="2"/>
  <c r="F4012" i="2"/>
  <c r="G4012" i="2" s="1"/>
  <c r="K4011" i="2"/>
  <c r="H4013" i="2" l="1"/>
  <c r="I4013" i="2"/>
  <c r="J4012" i="2"/>
  <c r="F4013" i="2"/>
  <c r="G4013" i="2" s="1"/>
  <c r="K4012" i="2"/>
  <c r="F4014" i="2" l="1"/>
  <c r="G4014" i="2" s="1"/>
  <c r="H4014" i="2"/>
  <c r="I4014" i="2"/>
  <c r="J4013" i="2"/>
  <c r="K4013" i="2"/>
  <c r="E4015" i="2" l="1"/>
  <c r="G4015" i="2" s="1"/>
  <c r="H4015" i="2"/>
  <c r="I4015" i="2"/>
  <c r="J4014" i="2"/>
  <c r="K4014" i="2" s="1"/>
  <c r="E4016" i="2" l="1"/>
  <c r="G4016" i="2" s="1"/>
  <c r="I4016" i="2"/>
  <c r="H4016" i="2"/>
  <c r="J4015" i="2"/>
  <c r="K4015" i="2" s="1"/>
  <c r="E4017" i="2" l="1"/>
  <c r="G4017" i="2" s="1"/>
  <c r="H4017" i="2"/>
  <c r="I4017" i="2"/>
  <c r="J4016" i="2"/>
  <c r="K4016" i="2"/>
  <c r="F4018" i="2" l="1"/>
  <c r="G4018" i="2" s="1"/>
  <c r="H4018" i="2"/>
  <c r="I4018" i="2"/>
  <c r="J4017" i="2"/>
  <c r="K4017" i="2" s="1"/>
  <c r="I4019" i="2" l="1"/>
  <c r="H4019" i="2"/>
  <c r="J4018" i="2"/>
  <c r="K4018" i="2" s="1"/>
  <c r="F4019" i="2"/>
  <c r="G4019" i="2" s="1"/>
  <c r="H4020" i="2" l="1"/>
  <c r="I4020" i="2"/>
  <c r="J4019" i="2"/>
  <c r="K4019" i="2" s="1"/>
  <c r="F4020" i="2"/>
  <c r="G4020" i="2" s="1"/>
  <c r="I4021" i="2" l="1"/>
  <c r="H4021" i="2"/>
  <c r="J4020" i="2"/>
  <c r="F4021" i="2"/>
  <c r="G4021" i="2" s="1"/>
  <c r="K4020" i="2"/>
  <c r="E4022" i="2" l="1"/>
  <c r="G4022" i="2" s="1"/>
  <c r="H4022" i="2"/>
  <c r="I4022" i="2"/>
  <c r="J4021" i="2"/>
  <c r="K4021" i="2"/>
  <c r="F4023" i="2" l="1"/>
  <c r="G4023" i="2" s="1"/>
  <c r="H4023" i="2"/>
  <c r="I4023" i="2"/>
  <c r="J4022" i="2"/>
  <c r="K4022" i="2" s="1"/>
  <c r="K4023" i="2" l="1"/>
  <c r="F4024" i="2"/>
  <c r="G4024" i="2" s="1"/>
  <c r="I4024" i="2"/>
  <c r="H4024" i="2"/>
  <c r="J4023" i="2"/>
  <c r="F4025" i="2" l="1"/>
  <c r="G4025" i="2" s="1"/>
  <c r="H4025" i="2"/>
  <c r="I4025" i="2"/>
  <c r="J4024" i="2"/>
  <c r="K4024" i="2" s="1"/>
  <c r="E4026" i="2" l="1"/>
  <c r="G4026" i="2" s="1"/>
  <c r="H4026" i="2"/>
  <c r="I4026" i="2"/>
  <c r="J4025" i="2"/>
  <c r="K4025" i="2" s="1"/>
  <c r="I4027" i="2" l="1"/>
  <c r="H4027" i="2"/>
  <c r="J4026" i="2"/>
  <c r="E4027" i="2"/>
  <c r="G4027" i="2" s="1"/>
  <c r="K4026" i="2"/>
  <c r="H4028" i="2" l="1"/>
  <c r="I4028" i="2"/>
  <c r="J4027" i="2"/>
  <c r="K4027" i="2" s="1"/>
  <c r="F4028" i="2"/>
  <c r="G4028" i="2" s="1"/>
  <c r="I4029" i="2" l="1"/>
  <c r="H4029" i="2"/>
  <c r="J4028" i="2"/>
  <c r="K4028" i="2" s="1"/>
  <c r="F4029" i="2"/>
  <c r="G4029" i="2" s="1"/>
  <c r="F4030" i="2" l="1"/>
  <c r="G4030" i="2" s="1"/>
  <c r="I4030" i="2"/>
  <c r="H4030" i="2"/>
  <c r="J4029" i="2"/>
  <c r="K4029" i="2"/>
  <c r="F4031" i="2" l="1"/>
  <c r="G4031" i="2" s="1"/>
  <c r="H4031" i="2"/>
  <c r="I4031" i="2"/>
  <c r="J4030" i="2"/>
  <c r="K4030" i="2" s="1"/>
  <c r="E4032" i="2" l="1"/>
  <c r="G4032" i="2" s="1"/>
  <c r="I4032" i="2"/>
  <c r="H4032" i="2"/>
  <c r="J4031" i="2"/>
  <c r="K4031" i="2" s="1"/>
  <c r="E4033" i="2" l="1"/>
  <c r="G4033" i="2" s="1"/>
  <c r="H4033" i="2"/>
  <c r="I4033" i="2"/>
  <c r="J4032" i="2"/>
  <c r="K4032" i="2"/>
  <c r="F4034" i="2" l="1"/>
  <c r="G4034" i="2" s="1"/>
  <c r="H4034" i="2"/>
  <c r="I4034" i="2"/>
  <c r="J4033" i="2"/>
  <c r="K4033" i="2" s="1"/>
  <c r="H4035" i="2" l="1"/>
  <c r="I4035" i="2"/>
  <c r="J4034" i="2"/>
  <c r="K4034" i="2" s="1"/>
  <c r="F4035" i="2"/>
  <c r="G4035" i="2" s="1"/>
  <c r="H4036" i="2" l="1"/>
  <c r="I4036" i="2"/>
  <c r="J4035" i="2"/>
  <c r="E4036" i="2"/>
  <c r="G4036" i="2" s="1"/>
  <c r="K4035" i="2"/>
  <c r="H4037" i="2" l="1"/>
  <c r="I4037" i="2"/>
  <c r="J4036" i="2"/>
  <c r="F4037" i="2"/>
  <c r="G4037" i="2" s="1"/>
  <c r="K4036" i="2"/>
  <c r="F4038" i="2" l="1"/>
  <c r="G4038" i="2" s="1"/>
  <c r="H4038" i="2"/>
  <c r="J4037" i="2"/>
  <c r="I4038" i="2"/>
  <c r="K4037" i="2"/>
  <c r="F4039" i="2" l="1"/>
  <c r="G4039" i="2" s="1"/>
  <c r="H4039" i="2"/>
  <c r="J4038" i="2"/>
  <c r="K4038" i="2" s="1"/>
  <c r="I4039" i="2"/>
  <c r="E4040" i="2" l="1"/>
  <c r="G4040" i="2" s="1"/>
  <c r="H4040" i="2"/>
  <c r="I4040" i="2"/>
  <c r="J4039" i="2"/>
  <c r="K4039" i="2" s="1"/>
  <c r="F4041" i="2" l="1"/>
  <c r="G4041" i="2" s="1"/>
  <c r="H4041" i="2"/>
  <c r="I4041" i="2"/>
  <c r="J4040" i="2"/>
  <c r="K4040" i="2" s="1"/>
  <c r="E4042" i="2" l="1"/>
  <c r="G4042" i="2" s="1"/>
  <c r="H4042" i="2"/>
  <c r="I4042" i="2"/>
  <c r="J4041" i="2"/>
  <c r="K4041" i="2" s="1"/>
  <c r="H4043" i="2" l="1"/>
  <c r="I4043" i="2"/>
  <c r="J4042" i="2"/>
  <c r="K4042" i="2" s="1"/>
  <c r="F4043" i="2"/>
  <c r="G4043" i="2" s="1"/>
  <c r="H4044" i="2" l="1"/>
  <c r="I4044" i="2"/>
  <c r="J4043" i="2"/>
  <c r="E4044" i="2"/>
  <c r="G4044" i="2" s="1"/>
  <c r="K4043" i="2"/>
  <c r="H4045" i="2" l="1"/>
  <c r="I4045" i="2"/>
  <c r="J4044" i="2"/>
  <c r="F4045" i="2"/>
  <c r="G4045" i="2" s="1"/>
  <c r="K4044" i="2"/>
  <c r="E4046" i="2" l="1"/>
  <c r="G4046" i="2" s="1"/>
  <c r="H4046" i="2"/>
  <c r="I4046" i="2"/>
  <c r="J4045" i="2"/>
  <c r="K4045" i="2" s="1"/>
  <c r="E4047" i="2" l="1"/>
  <c r="G4047" i="2" s="1"/>
  <c r="H4047" i="2"/>
  <c r="I4047" i="2"/>
  <c r="J4046" i="2"/>
  <c r="K4046" i="2" s="1"/>
  <c r="F4048" i="2" l="1"/>
  <c r="G4048" i="2" s="1"/>
  <c r="I4048" i="2"/>
  <c r="H4048" i="2"/>
  <c r="J4047" i="2"/>
  <c r="K4047" i="2" s="1"/>
  <c r="E4049" i="2" l="1"/>
  <c r="G4049" i="2" s="1"/>
  <c r="H4049" i="2"/>
  <c r="I4049" i="2"/>
  <c r="J4048" i="2"/>
  <c r="K4048" i="2" s="1"/>
  <c r="F4050" i="2" l="1"/>
  <c r="G4050" i="2" s="1"/>
  <c r="H4050" i="2"/>
  <c r="I4050" i="2"/>
  <c r="J4049" i="2"/>
  <c r="K4049" i="2" s="1"/>
  <c r="H4051" i="2" l="1"/>
  <c r="I4051" i="2"/>
  <c r="J4050" i="2"/>
  <c r="F4051" i="2"/>
  <c r="G4051" i="2" s="1"/>
  <c r="K4050" i="2"/>
  <c r="H4052" i="2" l="1"/>
  <c r="I4052" i="2"/>
  <c r="J4051" i="2"/>
  <c r="E4052" i="2"/>
  <c r="G4052" i="2" s="1"/>
  <c r="K4051" i="2"/>
  <c r="H4053" i="2" l="1"/>
  <c r="I4053" i="2"/>
  <c r="J4052" i="2"/>
  <c r="F4053" i="2"/>
  <c r="G4053" i="2" s="1"/>
  <c r="K4052" i="2"/>
  <c r="F4054" i="2" l="1"/>
  <c r="G4054" i="2" s="1"/>
  <c r="H4054" i="2"/>
  <c r="I4054" i="2"/>
  <c r="J4053" i="2"/>
  <c r="K4053" i="2"/>
  <c r="E4055" i="2" l="1"/>
  <c r="G4055" i="2" s="1"/>
  <c r="H4055" i="2"/>
  <c r="I4055" i="2"/>
  <c r="J4054" i="2"/>
  <c r="K4054" i="2" s="1"/>
  <c r="F4056" i="2" l="1"/>
  <c r="G4056" i="2" s="1"/>
  <c r="I4056" i="2"/>
  <c r="H4056" i="2"/>
  <c r="J4055" i="2"/>
  <c r="K4055" i="2" s="1"/>
  <c r="F4057" i="2" l="1"/>
  <c r="G4057" i="2" s="1"/>
  <c r="H4057" i="2"/>
  <c r="I4057" i="2"/>
  <c r="J4056" i="2"/>
  <c r="K4056" i="2"/>
  <c r="F4058" i="2" l="1"/>
  <c r="G4058" i="2" s="1"/>
  <c r="H4058" i="2"/>
  <c r="I4058" i="2"/>
  <c r="J4057" i="2"/>
  <c r="K4057" i="2" s="1"/>
  <c r="H4059" i="2" l="1"/>
  <c r="I4059" i="2"/>
  <c r="J4058" i="2"/>
  <c r="K4058" i="2" s="1"/>
  <c r="F4059" i="2"/>
  <c r="G4059" i="2" s="1"/>
  <c r="H4060" i="2" l="1"/>
  <c r="I4060" i="2"/>
  <c r="J4059" i="2"/>
  <c r="F4060" i="2"/>
  <c r="G4060" i="2" s="1"/>
  <c r="K4059" i="2"/>
  <c r="H4061" i="2" l="1"/>
  <c r="I4061" i="2"/>
  <c r="J4060" i="2"/>
  <c r="F4061" i="2"/>
  <c r="G4061" i="2" s="1"/>
  <c r="K4060" i="2"/>
  <c r="F4062" i="2" l="1"/>
  <c r="G4062" i="2" s="1"/>
  <c r="H4062" i="2"/>
  <c r="I4062" i="2"/>
  <c r="J4061" i="2"/>
  <c r="K4061" i="2"/>
  <c r="E4063" i="2" l="1"/>
  <c r="G4063" i="2" s="1"/>
  <c r="H4063" i="2"/>
  <c r="I4063" i="2"/>
  <c r="J4062" i="2"/>
  <c r="K4062" i="2" s="1"/>
  <c r="F4064" i="2" l="1"/>
  <c r="G4064" i="2" s="1"/>
  <c r="I4064" i="2"/>
  <c r="H4064" i="2"/>
  <c r="J4063" i="2"/>
  <c r="K4063" i="2" s="1"/>
  <c r="E4065" i="2" l="1"/>
  <c r="G4065" i="2" s="1"/>
  <c r="I4065" i="2"/>
  <c r="H4065" i="2"/>
  <c r="J4064" i="2"/>
  <c r="K4064" i="2" s="1"/>
  <c r="E4066" i="2" l="1"/>
  <c r="G4066" i="2" s="1"/>
  <c r="I4066" i="2"/>
  <c r="J4065" i="2"/>
  <c r="K4065" i="2" s="1"/>
  <c r="H4066" i="2"/>
  <c r="K4066" i="2" l="1"/>
  <c r="H4067" i="2"/>
  <c r="I4067" i="2"/>
  <c r="J4066" i="2"/>
  <c r="F4067" i="2"/>
  <c r="G4067" i="2" s="1"/>
  <c r="H4068" i="2" l="1"/>
  <c r="I4068" i="2"/>
  <c r="J4067" i="2"/>
  <c r="F4068" i="2"/>
  <c r="G4068" i="2" s="1"/>
  <c r="K4067" i="2"/>
  <c r="H4069" i="2" l="1"/>
  <c r="I4069" i="2"/>
  <c r="J4068" i="2"/>
  <c r="F4069" i="2"/>
  <c r="G4069" i="2" s="1"/>
  <c r="K4068" i="2"/>
  <c r="E4070" i="2" l="1"/>
  <c r="G4070" i="2" s="1"/>
  <c r="H4070" i="2"/>
  <c r="I4070" i="2"/>
  <c r="J4069" i="2"/>
  <c r="K4069" i="2"/>
  <c r="K4070" i="2" l="1"/>
  <c r="F4071" i="2"/>
  <c r="G4071" i="2" s="1"/>
  <c r="H4071" i="2"/>
  <c r="J4070" i="2"/>
  <c r="I4071" i="2"/>
  <c r="F4072" i="2" l="1"/>
  <c r="G4072" i="2" s="1"/>
  <c r="H4072" i="2"/>
  <c r="I4072" i="2"/>
  <c r="J4071" i="2"/>
  <c r="K4071" i="2" s="1"/>
  <c r="E4073" i="2" l="1"/>
  <c r="G4073" i="2" s="1"/>
  <c r="I4073" i="2"/>
  <c r="H4073" i="2"/>
  <c r="J4072" i="2"/>
  <c r="K4072" i="2" s="1"/>
  <c r="E4074" i="2" l="1"/>
  <c r="G4074" i="2" s="1"/>
  <c r="I4074" i="2"/>
  <c r="H4074" i="2"/>
  <c r="J4073" i="2"/>
  <c r="K4073" i="2"/>
  <c r="K4074" i="2" l="1"/>
  <c r="H4075" i="2"/>
  <c r="I4075" i="2"/>
  <c r="J4074" i="2"/>
  <c r="E4075" i="2"/>
  <c r="G4075" i="2" s="1"/>
  <c r="H4076" i="2" l="1"/>
  <c r="I4076" i="2"/>
  <c r="J4075" i="2"/>
  <c r="E4076" i="2"/>
  <c r="G4076" i="2" s="1"/>
  <c r="K4075" i="2"/>
  <c r="H4077" i="2" l="1"/>
  <c r="I4077" i="2"/>
  <c r="J4076" i="2"/>
  <c r="E4077" i="2"/>
  <c r="G4077" i="2" s="1"/>
  <c r="K4076" i="2"/>
  <c r="F4078" i="2" l="1"/>
  <c r="G4078" i="2" s="1"/>
  <c r="H4078" i="2"/>
  <c r="I4078" i="2"/>
  <c r="J4077" i="2"/>
  <c r="K4077" i="2"/>
  <c r="E4079" i="2" l="1"/>
  <c r="G4079" i="2" s="1"/>
  <c r="H4079" i="2"/>
  <c r="J4078" i="2"/>
  <c r="K4078" i="2" s="1"/>
  <c r="I4079" i="2"/>
  <c r="F4080" i="2" l="1"/>
  <c r="G4080" i="2" s="1"/>
  <c r="H4080" i="2"/>
  <c r="I4080" i="2"/>
  <c r="J4079" i="2"/>
  <c r="K4079" i="2" s="1"/>
  <c r="F4081" i="2" l="1"/>
  <c r="G4081" i="2" s="1"/>
  <c r="H4081" i="2"/>
  <c r="I4081" i="2"/>
  <c r="J4080" i="2"/>
  <c r="K4080" i="2" s="1"/>
  <c r="E4082" i="2" l="1"/>
  <c r="G4082" i="2" s="1"/>
  <c r="I4082" i="2"/>
  <c r="H4082" i="2"/>
  <c r="J4081" i="2"/>
  <c r="K4081" i="2" s="1"/>
  <c r="H4083" i="2" l="1"/>
  <c r="I4083" i="2"/>
  <c r="J4082" i="2"/>
  <c r="K4082" i="2" s="1"/>
  <c r="E4083" i="2"/>
  <c r="G4083" i="2" s="1"/>
  <c r="K4083" i="2" l="1"/>
  <c r="H4084" i="2"/>
  <c r="I4084" i="2"/>
  <c r="J4083" i="2"/>
  <c r="F4084" i="2"/>
  <c r="G4084" i="2" s="1"/>
  <c r="H4085" i="2" l="1"/>
  <c r="I4085" i="2"/>
  <c r="J4084" i="2"/>
  <c r="K4084" i="2" s="1"/>
  <c r="E4085" i="2"/>
  <c r="G4085" i="2" s="1"/>
  <c r="E4086" i="2" l="1"/>
  <c r="G4086" i="2" s="1"/>
  <c r="H4086" i="2"/>
  <c r="I4086" i="2"/>
  <c r="J4085" i="2"/>
  <c r="K4085" i="2"/>
  <c r="E4087" i="2" l="1"/>
  <c r="G4087" i="2" s="1"/>
  <c r="H4087" i="2"/>
  <c r="I4087" i="2"/>
  <c r="J4086" i="2"/>
  <c r="K4086" i="2"/>
  <c r="K4087" i="2" l="1"/>
  <c r="F4088" i="2"/>
  <c r="G4088" i="2" s="1"/>
  <c r="H4088" i="2"/>
  <c r="I4088" i="2"/>
  <c r="J4087" i="2"/>
  <c r="E4089" i="2" l="1"/>
  <c r="G4089" i="2" s="1"/>
  <c r="H4089" i="2"/>
  <c r="I4089" i="2"/>
  <c r="J4088" i="2"/>
  <c r="K4088" i="2" s="1"/>
  <c r="E4090" i="2" l="1"/>
  <c r="G4090" i="2" s="1"/>
  <c r="I4090" i="2"/>
  <c r="H4090" i="2"/>
  <c r="J4089" i="2"/>
  <c r="K4089" i="2" s="1"/>
  <c r="H4091" i="2" l="1"/>
  <c r="I4091" i="2"/>
  <c r="J4090" i="2"/>
  <c r="F4091" i="2"/>
  <c r="G4091" i="2" s="1"/>
  <c r="K4090" i="2"/>
  <c r="H4092" i="2" l="1"/>
  <c r="I4092" i="2"/>
  <c r="J4091" i="2"/>
  <c r="E4092" i="2"/>
  <c r="G4092" i="2" s="1"/>
  <c r="K4091" i="2"/>
  <c r="H4093" i="2" l="1"/>
  <c r="I4093" i="2"/>
  <c r="J4092" i="2"/>
  <c r="E4093" i="2"/>
  <c r="G4093" i="2" s="1"/>
  <c r="K4092" i="2"/>
  <c r="E4094" i="2" l="1"/>
  <c r="G4094" i="2" s="1"/>
  <c r="H4094" i="2"/>
  <c r="I4094" i="2"/>
  <c r="J4093" i="2"/>
  <c r="K4093" i="2"/>
  <c r="F4095" i="2" l="1"/>
  <c r="G4095" i="2" s="1"/>
  <c r="H4095" i="2"/>
  <c r="I4095" i="2"/>
  <c r="J4094" i="2"/>
  <c r="K4094" i="2" s="1"/>
  <c r="F4096" i="2" l="1"/>
  <c r="G4096" i="2" s="1"/>
  <c r="H4096" i="2"/>
  <c r="I4096" i="2"/>
  <c r="J4095" i="2"/>
  <c r="K4095" i="2" s="1"/>
  <c r="K4096" i="2" l="1"/>
  <c r="E4097" i="2"/>
  <c r="G4097" i="2" s="1"/>
  <c r="I4097" i="2"/>
  <c r="H4097" i="2"/>
  <c r="J4096" i="2"/>
  <c r="E4098" i="2" l="1"/>
  <c r="G4098" i="2" s="1"/>
  <c r="I4098" i="2"/>
  <c r="H4098" i="2"/>
  <c r="J4097" i="2"/>
  <c r="K4097" i="2" s="1"/>
  <c r="H4099" i="2" l="1"/>
  <c r="I4099" i="2"/>
  <c r="J4098" i="2"/>
  <c r="K4098" i="2" s="1"/>
  <c r="F4099" i="2"/>
  <c r="G4099" i="2" s="1"/>
  <c r="H4100" i="2" l="1"/>
  <c r="I4100" i="2"/>
  <c r="J4099" i="2"/>
  <c r="E4100" i="2"/>
  <c r="G4100" i="2" s="1"/>
  <c r="K4099" i="2"/>
  <c r="H4101" i="2" l="1"/>
  <c r="I4101" i="2"/>
  <c r="J4100" i="2"/>
  <c r="E4101" i="2"/>
  <c r="G4101" i="2" s="1"/>
  <c r="K4100" i="2"/>
  <c r="F4102" i="2" l="1"/>
  <c r="G4102" i="2" s="1"/>
  <c r="H4102" i="2"/>
  <c r="J4101" i="2"/>
  <c r="I4102" i="2"/>
  <c r="K4101" i="2"/>
  <c r="F4103" i="2" l="1"/>
  <c r="G4103" i="2" s="1"/>
  <c r="H4103" i="2"/>
  <c r="I4103" i="2"/>
  <c r="J4102" i="2"/>
  <c r="K4102" i="2" s="1"/>
  <c r="E4104" i="2" l="1"/>
  <c r="G4104" i="2" s="1"/>
  <c r="H4104" i="2"/>
  <c r="I4104" i="2"/>
  <c r="J4103" i="2"/>
  <c r="K4103" i="2" s="1"/>
  <c r="E4105" i="2" l="1"/>
  <c r="G4105" i="2" s="1"/>
  <c r="I4105" i="2"/>
  <c r="H4105" i="2"/>
  <c r="J4104" i="2"/>
  <c r="K4104" i="2" s="1"/>
  <c r="F4106" i="2" l="1"/>
  <c r="G4106" i="2" s="1"/>
  <c r="I4106" i="2"/>
  <c r="H4106" i="2"/>
  <c r="J4105" i="2"/>
  <c r="K4105" i="2"/>
  <c r="H4107" i="2" l="1"/>
  <c r="I4107" i="2"/>
  <c r="J4106" i="2"/>
  <c r="K4106" i="2" s="1"/>
  <c r="F4107" i="2"/>
  <c r="G4107" i="2" s="1"/>
  <c r="H4108" i="2" l="1"/>
  <c r="I4108" i="2"/>
  <c r="J4107" i="2"/>
  <c r="E4108" i="2"/>
  <c r="G4108" i="2" s="1"/>
  <c r="K4107" i="2"/>
  <c r="H4109" i="2" l="1"/>
  <c r="I4109" i="2"/>
  <c r="J4108" i="2"/>
  <c r="F4109" i="2"/>
  <c r="G4109" i="2" s="1"/>
  <c r="K4108" i="2"/>
  <c r="F4110" i="2" l="1"/>
  <c r="G4110" i="2" s="1"/>
  <c r="H4110" i="2"/>
  <c r="I4110" i="2"/>
  <c r="J4109" i="2"/>
  <c r="K4109" i="2"/>
  <c r="F4111" i="2" l="1"/>
  <c r="G4111" i="2" s="1"/>
  <c r="H4111" i="2"/>
  <c r="I4111" i="2"/>
  <c r="J4110" i="2"/>
  <c r="K4110" i="2" s="1"/>
  <c r="E4112" i="2" l="1"/>
  <c r="G4112" i="2" s="1"/>
  <c r="H4112" i="2"/>
  <c r="I4112" i="2"/>
  <c r="J4111" i="2"/>
  <c r="K4111" i="2" s="1"/>
  <c r="F4113" i="2" l="1"/>
  <c r="G4113" i="2" s="1"/>
  <c r="H4113" i="2"/>
  <c r="I4113" i="2"/>
  <c r="J4112" i="2"/>
  <c r="K4112" i="2" s="1"/>
  <c r="E4114" i="2" l="1"/>
  <c r="G4114" i="2" s="1"/>
  <c r="I4114" i="2"/>
  <c r="H4114" i="2"/>
  <c r="J4113" i="2"/>
  <c r="K4113" i="2" s="1"/>
  <c r="H4115" i="2" l="1"/>
  <c r="I4115" i="2"/>
  <c r="J4114" i="2"/>
  <c r="K4114" i="2" s="1"/>
  <c r="E4115" i="2"/>
  <c r="G4115" i="2" s="1"/>
  <c r="H4116" i="2" l="1"/>
  <c r="I4116" i="2"/>
  <c r="J4115" i="2"/>
  <c r="K4115" i="2" s="1"/>
  <c r="E4116" i="2"/>
  <c r="G4116" i="2" s="1"/>
  <c r="H4117" i="2" l="1"/>
  <c r="I4117" i="2"/>
  <c r="J4116" i="2"/>
  <c r="K4116" i="2" s="1"/>
  <c r="F4117" i="2"/>
  <c r="G4117" i="2" s="1"/>
  <c r="E4118" i="2" l="1"/>
  <c r="G4118" i="2" s="1"/>
  <c r="H4118" i="2"/>
  <c r="I4118" i="2"/>
  <c r="J4117" i="2"/>
  <c r="K4117" i="2"/>
  <c r="F4119" i="2" l="1"/>
  <c r="G4119" i="2" s="1"/>
  <c r="H4119" i="2"/>
  <c r="I4119" i="2"/>
  <c r="J4118" i="2"/>
  <c r="K4118" i="2" s="1"/>
  <c r="F4120" i="2" l="1"/>
  <c r="G4120" i="2" s="1"/>
  <c r="H4120" i="2"/>
  <c r="I4120" i="2"/>
  <c r="J4119" i="2"/>
  <c r="K4119" i="2" s="1"/>
  <c r="E4121" i="2" l="1"/>
  <c r="G4121" i="2" s="1"/>
  <c r="H4121" i="2"/>
  <c r="I4121" i="2"/>
  <c r="J4120" i="2"/>
  <c r="K4120" i="2" s="1"/>
  <c r="E4122" i="2" l="1"/>
  <c r="G4122" i="2" s="1"/>
  <c r="I4122" i="2"/>
  <c r="H4122" i="2"/>
  <c r="J4121" i="2"/>
  <c r="K4121" i="2" s="1"/>
  <c r="H4123" i="2" l="1"/>
  <c r="I4123" i="2"/>
  <c r="J4122" i="2"/>
  <c r="K4122" i="2" s="1"/>
  <c r="F4123" i="2"/>
  <c r="G4123" i="2" s="1"/>
  <c r="H4124" i="2" l="1"/>
  <c r="I4124" i="2"/>
  <c r="J4123" i="2"/>
  <c r="E4124" i="2"/>
  <c r="G4124" i="2" s="1"/>
  <c r="K4123" i="2"/>
  <c r="H4125" i="2" l="1"/>
  <c r="I4125" i="2"/>
  <c r="J4124" i="2"/>
  <c r="F4125" i="2"/>
  <c r="G4125" i="2" s="1"/>
  <c r="K4124" i="2"/>
  <c r="F4126" i="2" l="1"/>
  <c r="G4126" i="2" s="1"/>
  <c r="H4126" i="2"/>
  <c r="I4126" i="2"/>
  <c r="J4125" i="2"/>
  <c r="K4125" i="2"/>
  <c r="E4127" i="2" l="1"/>
  <c r="G4127" i="2" s="1"/>
  <c r="H4127" i="2"/>
  <c r="I4127" i="2"/>
  <c r="J4126" i="2"/>
  <c r="K4126" i="2" s="1"/>
  <c r="F4128" i="2" l="1"/>
  <c r="G4128" i="2" s="1"/>
  <c r="H4128" i="2"/>
  <c r="I4128" i="2"/>
  <c r="J4127" i="2"/>
  <c r="K4127" i="2" s="1"/>
  <c r="E4129" i="2" l="1"/>
  <c r="G4129" i="2" s="1"/>
  <c r="I4129" i="2"/>
  <c r="H4129" i="2"/>
  <c r="J4128" i="2"/>
  <c r="K4128" i="2"/>
  <c r="E4130" i="2" l="1"/>
  <c r="G4130" i="2" s="1"/>
  <c r="I4130" i="2"/>
  <c r="H4130" i="2"/>
  <c r="J4129" i="2"/>
  <c r="K4129" i="2" s="1"/>
  <c r="H4131" i="2" l="1"/>
  <c r="I4131" i="2"/>
  <c r="J4130" i="2"/>
  <c r="E4131" i="2"/>
  <c r="G4131" i="2" s="1"/>
  <c r="K4130" i="2"/>
  <c r="H4132" i="2" l="1"/>
  <c r="I4132" i="2"/>
  <c r="J4131" i="2"/>
  <c r="F4132" i="2"/>
  <c r="G4132" i="2" s="1"/>
  <c r="K4131" i="2"/>
  <c r="H4133" i="2" l="1"/>
  <c r="I4133" i="2"/>
  <c r="J4132" i="2"/>
  <c r="F4133" i="2"/>
  <c r="G4133" i="2" s="1"/>
  <c r="K4132" i="2"/>
  <c r="F4134" i="2" l="1"/>
  <c r="G4134" i="2" s="1"/>
  <c r="H4134" i="2"/>
  <c r="J4133" i="2"/>
  <c r="I4134" i="2"/>
  <c r="K4133" i="2"/>
  <c r="E4135" i="2" l="1"/>
  <c r="G4135" i="2" s="1"/>
  <c r="H4135" i="2"/>
  <c r="I4135" i="2"/>
  <c r="J4134" i="2"/>
  <c r="K4134" i="2" s="1"/>
  <c r="F4136" i="2" l="1"/>
  <c r="G4136" i="2" s="1"/>
  <c r="H4136" i="2"/>
  <c r="I4136" i="2"/>
  <c r="J4135" i="2"/>
  <c r="K4135" i="2" s="1"/>
  <c r="E4137" i="2" l="1"/>
  <c r="G4137" i="2" s="1"/>
  <c r="I4137" i="2"/>
  <c r="H4137" i="2"/>
  <c r="J4136" i="2"/>
  <c r="K4136" i="2" s="1"/>
  <c r="K4137" i="2" l="1"/>
  <c r="F4138" i="2"/>
  <c r="G4138" i="2" s="1"/>
  <c r="I4138" i="2"/>
  <c r="H4138" i="2"/>
  <c r="J4137" i="2"/>
  <c r="H4139" i="2" l="1"/>
  <c r="I4139" i="2"/>
  <c r="J4138" i="2"/>
  <c r="K4138" i="2" s="1"/>
  <c r="E4139" i="2"/>
  <c r="G4139" i="2" s="1"/>
  <c r="H4140" i="2" l="1"/>
  <c r="I4140" i="2"/>
  <c r="J4139" i="2"/>
  <c r="E4140" i="2"/>
  <c r="G4140" i="2" s="1"/>
  <c r="K4139" i="2"/>
  <c r="H4141" i="2" l="1"/>
  <c r="I4141" i="2"/>
  <c r="J4140" i="2"/>
  <c r="F4141" i="2"/>
  <c r="G4141" i="2" s="1"/>
  <c r="K4140" i="2"/>
  <c r="F4142" i="2" l="1"/>
  <c r="G4142" i="2" s="1"/>
  <c r="H4142" i="2"/>
  <c r="I4142" i="2"/>
  <c r="J4141" i="2"/>
  <c r="K4141" i="2" s="1"/>
  <c r="F4143" i="2" l="1"/>
  <c r="G4143" i="2" s="1"/>
  <c r="H4143" i="2"/>
  <c r="I4143" i="2"/>
  <c r="J4142" i="2"/>
  <c r="K4142" i="2" s="1"/>
  <c r="E4144" i="2" l="1"/>
  <c r="G4144" i="2" s="1"/>
  <c r="H4144" i="2"/>
  <c r="I4144" i="2"/>
  <c r="J4143" i="2"/>
  <c r="K4143" i="2"/>
  <c r="E4145" i="2" l="1"/>
  <c r="G4145" i="2" s="1"/>
  <c r="H4145" i="2"/>
  <c r="I4145" i="2"/>
  <c r="J4144" i="2"/>
  <c r="K4144" i="2"/>
  <c r="F4146" i="2" l="1"/>
  <c r="G4146" i="2" s="1"/>
  <c r="I4146" i="2"/>
  <c r="H4146" i="2"/>
  <c r="J4145" i="2"/>
  <c r="K4145" i="2" s="1"/>
  <c r="H4147" i="2" l="1"/>
  <c r="I4147" i="2"/>
  <c r="J4146" i="2"/>
  <c r="K4146" i="2" s="1"/>
  <c r="E4147" i="2"/>
  <c r="G4147" i="2" s="1"/>
  <c r="H4148" i="2" l="1"/>
  <c r="I4148" i="2"/>
  <c r="J4147" i="2"/>
  <c r="E4148" i="2"/>
  <c r="G4148" i="2" s="1"/>
  <c r="K4147" i="2"/>
  <c r="H4149" i="2" l="1"/>
  <c r="I4149" i="2"/>
  <c r="J4148" i="2"/>
  <c r="E4149" i="2"/>
  <c r="G4149" i="2" s="1"/>
  <c r="K4148" i="2"/>
  <c r="F4150" i="2" l="1"/>
  <c r="G4150" i="2" s="1"/>
  <c r="H4150" i="2"/>
  <c r="I4150" i="2"/>
  <c r="J4149" i="2"/>
  <c r="K4149" i="2"/>
  <c r="E4151" i="2" l="1"/>
  <c r="G4151" i="2" s="1"/>
  <c r="H4151" i="2"/>
  <c r="I4151" i="2"/>
  <c r="J4150" i="2"/>
  <c r="K4150" i="2" s="1"/>
  <c r="F4152" i="2" l="1"/>
  <c r="G4152" i="2" s="1"/>
  <c r="H4152" i="2"/>
  <c r="I4152" i="2"/>
  <c r="J4151" i="2"/>
  <c r="K4151" i="2" s="1"/>
  <c r="E4153" i="2" l="1"/>
  <c r="G4153" i="2" s="1"/>
  <c r="H4153" i="2"/>
  <c r="I4153" i="2"/>
  <c r="J4152" i="2"/>
  <c r="K4152" i="2" s="1"/>
  <c r="E4154" i="2" l="1"/>
  <c r="G4154" i="2" s="1"/>
  <c r="I4154" i="2"/>
  <c r="H4154" i="2"/>
  <c r="J4153" i="2"/>
  <c r="K4153" i="2" s="1"/>
  <c r="H4155" i="2" l="1"/>
  <c r="I4155" i="2"/>
  <c r="J4154" i="2"/>
  <c r="K4154" i="2" s="1"/>
  <c r="F4155" i="2"/>
  <c r="G4155" i="2" s="1"/>
  <c r="K4155" i="2" l="1"/>
  <c r="H4156" i="2"/>
  <c r="I4156" i="2"/>
  <c r="J4155" i="2"/>
  <c r="E4156" i="2"/>
  <c r="G4156" i="2" s="1"/>
  <c r="H4157" i="2" l="1"/>
  <c r="I4157" i="2"/>
  <c r="J4156" i="2"/>
  <c r="F4157" i="2"/>
  <c r="G4157" i="2" s="1"/>
  <c r="K4156" i="2"/>
  <c r="F4158" i="2" l="1"/>
  <c r="G4158" i="2" s="1"/>
  <c r="H4158" i="2"/>
  <c r="I4158" i="2"/>
  <c r="J4157" i="2"/>
  <c r="K4157" i="2"/>
  <c r="F4159" i="2" l="1"/>
  <c r="G4159" i="2" s="1"/>
  <c r="H4159" i="2"/>
  <c r="I4159" i="2"/>
  <c r="J4158" i="2"/>
  <c r="K4158" i="2" s="1"/>
  <c r="K4159" i="2" l="1"/>
  <c r="F4160" i="2"/>
  <c r="G4160" i="2" s="1"/>
  <c r="H4160" i="2"/>
  <c r="I4160" i="2"/>
  <c r="J4159" i="2"/>
  <c r="E4161" i="2" l="1"/>
  <c r="G4161" i="2" s="1"/>
  <c r="I4161" i="2"/>
  <c r="H4161" i="2"/>
  <c r="J4160" i="2"/>
  <c r="K4160" i="2" s="1"/>
  <c r="F4162" i="2" l="1"/>
  <c r="G4162" i="2" s="1"/>
  <c r="I4162" i="2"/>
  <c r="H4162" i="2"/>
  <c r="J4161" i="2"/>
  <c r="K4161" i="2"/>
  <c r="H4163" i="2" l="1"/>
  <c r="I4163" i="2"/>
  <c r="J4162" i="2"/>
  <c r="K4162" i="2" s="1"/>
  <c r="F4163" i="2"/>
  <c r="G4163" i="2" s="1"/>
  <c r="H4164" i="2" l="1"/>
  <c r="I4164" i="2"/>
  <c r="J4163" i="2"/>
  <c r="E4164" i="2"/>
  <c r="G4164" i="2" s="1"/>
  <c r="K4163" i="2"/>
  <c r="H4165" i="2" l="1"/>
  <c r="I4165" i="2"/>
  <c r="J4164" i="2"/>
  <c r="F4165" i="2"/>
  <c r="G4165" i="2" s="1"/>
  <c r="K4164" i="2"/>
  <c r="E4166" i="2" l="1"/>
  <c r="G4166" i="2" s="1"/>
  <c r="H4166" i="2"/>
  <c r="I4166" i="2"/>
  <c r="J4165" i="2"/>
  <c r="K4165" i="2" s="1"/>
  <c r="E4167" i="2" l="1"/>
  <c r="G4167" i="2" s="1"/>
  <c r="H4167" i="2"/>
  <c r="I4167" i="2"/>
  <c r="J4166" i="2"/>
  <c r="K4166" i="2" s="1"/>
  <c r="F4168" i="2" l="1"/>
  <c r="G4168" i="2" s="1"/>
  <c r="H4168" i="2"/>
  <c r="I4168" i="2"/>
  <c r="J4167" i="2"/>
  <c r="K4167" i="2" s="1"/>
  <c r="E4169" i="2" l="1"/>
  <c r="G4169" i="2" s="1"/>
  <c r="I4169" i="2"/>
  <c r="H4169" i="2"/>
  <c r="J4168" i="2"/>
  <c r="K4168" i="2" s="1"/>
  <c r="F4170" i="2" l="1"/>
  <c r="G4170" i="2" s="1"/>
  <c r="I4170" i="2"/>
  <c r="H4170" i="2"/>
  <c r="J4169" i="2"/>
  <c r="K4169" i="2" s="1"/>
  <c r="H4171" i="2" l="1"/>
  <c r="I4171" i="2"/>
  <c r="J4170" i="2"/>
  <c r="K4170" i="2" s="1"/>
  <c r="E4171" i="2"/>
  <c r="G4171" i="2" s="1"/>
  <c r="H4172" i="2" l="1"/>
  <c r="I4172" i="2"/>
  <c r="J4171" i="2"/>
  <c r="E4172" i="2"/>
  <c r="G4172" i="2" s="1"/>
  <c r="K4171" i="2"/>
  <c r="H4173" i="2" l="1"/>
  <c r="I4173" i="2"/>
  <c r="J4172" i="2"/>
  <c r="F4173" i="2"/>
  <c r="G4173" i="2" s="1"/>
  <c r="K4172" i="2"/>
  <c r="E4174" i="2" l="1"/>
  <c r="G4174" i="2" s="1"/>
  <c r="H4174" i="2"/>
  <c r="I4174" i="2"/>
  <c r="J4173" i="2"/>
  <c r="K4173" i="2"/>
  <c r="F4175" i="2" l="1"/>
  <c r="G4175" i="2" s="1"/>
  <c r="H4175" i="2"/>
  <c r="J4174" i="2"/>
  <c r="K4174" i="2" s="1"/>
  <c r="I4175" i="2"/>
  <c r="E4176" i="2" l="1"/>
  <c r="G4176" i="2" s="1"/>
  <c r="H4176" i="2"/>
  <c r="J4175" i="2"/>
  <c r="K4175" i="2" s="1"/>
  <c r="I4176" i="2"/>
  <c r="F4177" i="2" l="1"/>
  <c r="G4177" i="2" s="1"/>
  <c r="H4177" i="2"/>
  <c r="I4177" i="2"/>
  <c r="J4176" i="2"/>
  <c r="K4176" i="2" s="1"/>
  <c r="E4178" i="2" l="1"/>
  <c r="G4178" i="2" s="1"/>
  <c r="H4178" i="2"/>
  <c r="I4178" i="2"/>
  <c r="J4177" i="2"/>
  <c r="K4177" i="2" s="1"/>
  <c r="H4179" i="2" l="1"/>
  <c r="I4179" i="2"/>
  <c r="J4178" i="2"/>
  <c r="K4178" i="2" s="1"/>
  <c r="F4179" i="2"/>
  <c r="G4179" i="2" s="1"/>
  <c r="K4179" i="2" l="1"/>
  <c r="H4180" i="2"/>
  <c r="I4180" i="2"/>
  <c r="J4179" i="2"/>
  <c r="F4180" i="2"/>
  <c r="G4180" i="2" s="1"/>
  <c r="H4181" i="2" l="1"/>
  <c r="I4181" i="2"/>
  <c r="J4180" i="2"/>
  <c r="F4181" i="2"/>
  <c r="G4181" i="2" s="1"/>
  <c r="K4180" i="2"/>
  <c r="F4182" i="2" l="1"/>
  <c r="G4182" i="2" s="1"/>
  <c r="H4182" i="2"/>
  <c r="I4182" i="2"/>
  <c r="J4181" i="2"/>
  <c r="K4181" i="2"/>
  <c r="E4183" i="2" l="1"/>
  <c r="G4183" i="2" s="1"/>
  <c r="H4183" i="2"/>
  <c r="I4183" i="2"/>
  <c r="J4182" i="2"/>
  <c r="K4182" i="2" s="1"/>
  <c r="E4184" i="2" l="1"/>
  <c r="G4184" i="2" s="1"/>
  <c r="H4184" i="2"/>
  <c r="I4184" i="2"/>
  <c r="J4183" i="2"/>
  <c r="K4183" i="2"/>
  <c r="F4185" i="2" l="1"/>
  <c r="G4185" i="2" s="1"/>
  <c r="H4185" i="2"/>
  <c r="I4185" i="2"/>
  <c r="J4184" i="2"/>
  <c r="K4184" i="2" s="1"/>
  <c r="K4185" i="2" l="1"/>
  <c r="E4186" i="2"/>
  <c r="G4186" i="2" s="1"/>
  <c r="H4186" i="2"/>
  <c r="I4186" i="2"/>
  <c r="J4185" i="2"/>
  <c r="H4187" i="2" l="1"/>
  <c r="I4187" i="2"/>
  <c r="J4186" i="2"/>
  <c r="K4186" i="2" s="1"/>
  <c r="F4187" i="2"/>
  <c r="G4187" i="2" s="1"/>
  <c r="H4188" i="2" l="1"/>
  <c r="I4188" i="2"/>
  <c r="J4187" i="2"/>
  <c r="E4188" i="2"/>
  <c r="G4188" i="2" s="1"/>
  <c r="K4187" i="2"/>
  <c r="H4189" i="2" l="1"/>
  <c r="I4189" i="2"/>
  <c r="J4188" i="2"/>
  <c r="F4189" i="2"/>
  <c r="G4189" i="2" s="1"/>
  <c r="K4188" i="2"/>
  <c r="E4190" i="2" l="1"/>
  <c r="G4190" i="2" s="1"/>
  <c r="H4190" i="2"/>
  <c r="I4190" i="2"/>
  <c r="J4189" i="2"/>
  <c r="K4189" i="2"/>
  <c r="E4191" i="2" l="1"/>
  <c r="G4191" i="2" s="1"/>
  <c r="H4191" i="2"/>
  <c r="I4191" i="2"/>
  <c r="J4190" i="2"/>
  <c r="K4190" i="2" s="1"/>
  <c r="E4192" i="2" l="1"/>
  <c r="G4192" i="2" s="1"/>
  <c r="H4192" i="2"/>
  <c r="I4192" i="2"/>
  <c r="J4191" i="2"/>
  <c r="K4191" i="2" s="1"/>
  <c r="E4193" i="2" l="1"/>
  <c r="G4193" i="2" s="1"/>
  <c r="H4193" i="2"/>
  <c r="I4193" i="2"/>
  <c r="J4192" i="2"/>
  <c r="K4192" i="2" s="1"/>
  <c r="E4194" i="2" l="1"/>
  <c r="G4194" i="2" s="1"/>
  <c r="I4194" i="2"/>
  <c r="H4194" i="2"/>
  <c r="J4193" i="2"/>
  <c r="K4193" i="2" s="1"/>
  <c r="H4195" i="2" l="1"/>
  <c r="I4195" i="2"/>
  <c r="J4194" i="2"/>
  <c r="K4194" i="2" s="1"/>
  <c r="F4195" i="2"/>
  <c r="G4195" i="2" s="1"/>
  <c r="H4196" i="2" l="1"/>
  <c r="I4196" i="2"/>
  <c r="J4195" i="2"/>
  <c r="K4195" i="2" s="1"/>
  <c r="F4196" i="2"/>
  <c r="G4196" i="2" s="1"/>
  <c r="H4197" i="2" l="1"/>
  <c r="I4197" i="2"/>
  <c r="J4196" i="2"/>
  <c r="K4196" i="2" s="1"/>
  <c r="E4197" i="2"/>
  <c r="G4197" i="2" s="1"/>
  <c r="E4198" i="2" l="1"/>
  <c r="G4198" i="2" s="1"/>
  <c r="H4198" i="2"/>
  <c r="I4198" i="2"/>
  <c r="J4197" i="2"/>
  <c r="K4197" i="2"/>
  <c r="F4199" i="2" l="1"/>
  <c r="G4199" i="2" s="1"/>
  <c r="H4199" i="2"/>
  <c r="I4199" i="2"/>
  <c r="J4198" i="2"/>
  <c r="K4198" i="2" s="1"/>
  <c r="E4200" i="2" l="1"/>
  <c r="G4200" i="2" s="1"/>
  <c r="H4200" i="2"/>
  <c r="I4200" i="2"/>
  <c r="J4199" i="2"/>
  <c r="K4199" i="2" s="1"/>
  <c r="E4201" i="2" l="1"/>
  <c r="G4201" i="2" s="1"/>
  <c r="I4201" i="2"/>
  <c r="H4201" i="2"/>
  <c r="J4200" i="2"/>
  <c r="K4200" i="2" s="1"/>
  <c r="F4202" i="2" l="1"/>
  <c r="G4202" i="2" s="1"/>
  <c r="H4202" i="2"/>
  <c r="I4202" i="2"/>
  <c r="J4201" i="2"/>
  <c r="K4201" i="2" s="1"/>
  <c r="H4203" i="2" l="1"/>
  <c r="I4203" i="2"/>
  <c r="J4202" i="2"/>
  <c r="K4202" i="2" s="1"/>
  <c r="E4203" i="2"/>
  <c r="G4203" i="2" s="1"/>
  <c r="H4204" i="2" l="1"/>
  <c r="I4204" i="2"/>
  <c r="J4203" i="2"/>
  <c r="K4203" i="2" s="1"/>
  <c r="F4204" i="2"/>
  <c r="G4204" i="2" s="1"/>
  <c r="H4205" i="2" l="1"/>
  <c r="I4205" i="2"/>
  <c r="J4204" i="2"/>
  <c r="E4205" i="2"/>
  <c r="G4205" i="2" s="1"/>
  <c r="K4204" i="2"/>
  <c r="F4206" i="2" l="1"/>
  <c r="G4206" i="2" s="1"/>
  <c r="H4206" i="2"/>
  <c r="J4205" i="2"/>
  <c r="I4206" i="2"/>
  <c r="K4205" i="2"/>
  <c r="E4207" i="2" l="1"/>
  <c r="G4207" i="2" s="1"/>
  <c r="H4207" i="2"/>
  <c r="I4207" i="2"/>
  <c r="J4206" i="2"/>
  <c r="K4206" i="2" s="1"/>
  <c r="F4208" i="2" l="1"/>
  <c r="G4208" i="2" s="1"/>
  <c r="H4208" i="2"/>
  <c r="I4208" i="2"/>
  <c r="J4207" i="2"/>
  <c r="K4207" i="2" s="1"/>
  <c r="F4209" i="2" l="1"/>
  <c r="G4209" i="2" s="1"/>
  <c r="H4209" i="2"/>
  <c r="I4209" i="2"/>
  <c r="J4208" i="2"/>
  <c r="K4208" i="2" s="1"/>
  <c r="E4210" i="2" l="1"/>
  <c r="G4210" i="2" s="1"/>
  <c r="H4210" i="2"/>
  <c r="I4210" i="2"/>
  <c r="J4209" i="2"/>
  <c r="K4209" i="2" s="1"/>
  <c r="H4211" i="2" l="1"/>
  <c r="I4211" i="2"/>
  <c r="J4210" i="2"/>
  <c r="K4210" i="2" s="1"/>
  <c r="F4211" i="2"/>
  <c r="G4211" i="2" s="1"/>
  <c r="H4212" i="2" l="1"/>
  <c r="I4212" i="2"/>
  <c r="J4211" i="2"/>
  <c r="K4211" i="2" s="1"/>
  <c r="F4212" i="2"/>
  <c r="G4212" i="2" s="1"/>
  <c r="H4213" i="2" l="1"/>
  <c r="I4213" i="2"/>
  <c r="J4212" i="2"/>
  <c r="E4213" i="2"/>
  <c r="G4213" i="2" s="1"/>
  <c r="K4212" i="2"/>
  <c r="F4214" i="2" l="1"/>
  <c r="G4214" i="2" s="1"/>
  <c r="H4214" i="2"/>
  <c r="I4214" i="2"/>
  <c r="J4213" i="2"/>
  <c r="K4213" i="2"/>
  <c r="E4215" i="2" l="1"/>
  <c r="G4215" i="2" s="1"/>
  <c r="H4215" i="2"/>
  <c r="I4215" i="2"/>
  <c r="J4214" i="2"/>
  <c r="K4214" i="2" s="1"/>
  <c r="F4216" i="2" l="1"/>
  <c r="G4216" i="2" s="1"/>
  <c r="H4216" i="2"/>
  <c r="I4216" i="2"/>
  <c r="J4215" i="2"/>
  <c r="K4215" i="2" s="1"/>
  <c r="E4217" i="2" l="1"/>
  <c r="G4217" i="2" s="1"/>
  <c r="H4217" i="2"/>
  <c r="I4217" i="2"/>
  <c r="J4216" i="2"/>
  <c r="K4216" i="2" s="1"/>
  <c r="F4218" i="2" l="1"/>
  <c r="G4218" i="2" s="1"/>
  <c r="H4218" i="2"/>
  <c r="I4218" i="2"/>
  <c r="J4217" i="2"/>
  <c r="K4217" i="2" s="1"/>
  <c r="H4219" i="2" l="1"/>
  <c r="I4219" i="2"/>
  <c r="J4218" i="2"/>
  <c r="F4219" i="2"/>
  <c r="G4219" i="2" s="1"/>
  <c r="K4218" i="2"/>
  <c r="H4220" i="2" l="1"/>
  <c r="I4220" i="2"/>
  <c r="J4219" i="2"/>
  <c r="F4220" i="2"/>
  <c r="G4220" i="2" s="1"/>
  <c r="K4219" i="2"/>
  <c r="H4221" i="2" l="1"/>
  <c r="I4221" i="2"/>
  <c r="J4220" i="2"/>
  <c r="E4221" i="2"/>
  <c r="G4221" i="2" s="1"/>
  <c r="K4220" i="2"/>
  <c r="E4222" i="2" l="1"/>
  <c r="G4222" i="2" s="1"/>
  <c r="H4222" i="2"/>
  <c r="I4222" i="2"/>
  <c r="J4221" i="2"/>
  <c r="K4221" i="2"/>
  <c r="E4223" i="2" l="1"/>
  <c r="G4223" i="2" s="1"/>
  <c r="H4223" i="2"/>
  <c r="I4223" i="2"/>
  <c r="J4222" i="2"/>
  <c r="K4222" i="2" s="1"/>
  <c r="F4224" i="2" l="1"/>
  <c r="G4224" i="2" s="1"/>
  <c r="H4224" i="2"/>
  <c r="I4224" i="2"/>
  <c r="J4223" i="2"/>
  <c r="K4223" i="2" s="1"/>
  <c r="F4225" i="2" l="1"/>
  <c r="G4225" i="2" s="1"/>
  <c r="I4225" i="2"/>
  <c r="H4225" i="2"/>
  <c r="J4224" i="2"/>
  <c r="K4224" i="2" s="1"/>
  <c r="F4226" i="2" l="1"/>
  <c r="G4226" i="2" s="1"/>
  <c r="I4226" i="2"/>
  <c r="H4226" i="2"/>
  <c r="J4225" i="2"/>
  <c r="K4225" i="2" s="1"/>
  <c r="K4226" i="2" l="1"/>
  <c r="H4227" i="2"/>
  <c r="I4227" i="2"/>
  <c r="J4226" i="2"/>
  <c r="E4227" i="2"/>
  <c r="G4227" i="2" s="1"/>
  <c r="H4228" i="2" l="1"/>
  <c r="I4228" i="2"/>
  <c r="J4227" i="2"/>
  <c r="E4228" i="2"/>
  <c r="G4228" i="2" s="1"/>
  <c r="K4227" i="2"/>
  <c r="H4229" i="2" l="1"/>
  <c r="I4229" i="2"/>
  <c r="J4228" i="2"/>
  <c r="F4229" i="2"/>
  <c r="G4229" i="2" s="1"/>
  <c r="K4228" i="2"/>
  <c r="F4230" i="2" l="1"/>
  <c r="G4230" i="2" s="1"/>
  <c r="H4230" i="2"/>
  <c r="J4229" i="2"/>
  <c r="K4229" i="2" s="1"/>
  <c r="I4230" i="2"/>
  <c r="E4231" i="2" l="1"/>
  <c r="G4231" i="2" s="1"/>
  <c r="H4231" i="2"/>
  <c r="J4230" i="2"/>
  <c r="I4231" i="2"/>
  <c r="K4230" i="2"/>
  <c r="E4232" i="2" l="1"/>
  <c r="G4232" i="2" s="1"/>
  <c r="H4232" i="2"/>
  <c r="I4232" i="2"/>
  <c r="J4231" i="2"/>
  <c r="K4231" i="2" s="1"/>
  <c r="E4233" i="2" l="1"/>
  <c r="G4233" i="2" s="1"/>
  <c r="I4233" i="2"/>
  <c r="H4233" i="2"/>
  <c r="J4232" i="2"/>
  <c r="K4232" i="2" s="1"/>
  <c r="E4234" i="2" l="1"/>
  <c r="G4234" i="2" s="1"/>
  <c r="I4234" i="2"/>
  <c r="H4234" i="2"/>
  <c r="J4233" i="2"/>
  <c r="K4233" i="2"/>
  <c r="H4235" i="2" l="1"/>
  <c r="I4235" i="2"/>
  <c r="J4234" i="2"/>
  <c r="K4234" i="2" s="1"/>
  <c r="E4235" i="2"/>
  <c r="G4235" i="2" s="1"/>
  <c r="H4236" i="2" l="1"/>
  <c r="I4236" i="2"/>
  <c r="J4235" i="2"/>
  <c r="F4236" i="2"/>
  <c r="G4236" i="2" s="1"/>
  <c r="K4235" i="2"/>
  <c r="H4237" i="2" l="1"/>
  <c r="I4237" i="2"/>
  <c r="J4236" i="2"/>
  <c r="K4236" i="2" s="1"/>
  <c r="F4237" i="2"/>
  <c r="G4237" i="2" s="1"/>
  <c r="E4238" i="2" l="1"/>
  <c r="G4238" i="2" s="1"/>
  <c r="H4238" i="2"/>
  <c r="I4238" i="2"/>
  <c r="J4237" i="2"/>
  <c r="K4237" i="2"/>
  <c r="E4239" i="2" l="1"/>
  <c r="G4239" i="2" s="1"/>
  <c r="H4239" i="2"/>
  <c r="I4239" i="2"/>
  <c r="J4238" i="2"/>
  <c r="K4238" i="2" s="1"/>
  <c r="E4240" i="2" l="1"/>
  <c r="G4240" i="2" s="1"/>
  <c r="H4240" i="2"/>
  <c r="I4240" i="2"/>
  <c r="J4239" i="2"/>
  <c r="K4239" i="2" s="1"/>
  <c r="E4241" i="2" l="1"/>
  <c r="G4241" i="2" s="1"/>
  <c r="H4241" i="2"/>
  <c r="I4241" i="2"/>
  <c r="J4240" i="2"/>
  <c r="K4240" i="2" s="1"/>
  <c r="E4242" i="2" l="1"/>
  <c r="G4242" i="2" s="1"/>
  <c r="H4242" i="2"/>
  <c r="I4242" i="2"/>
  <c r="J4241" i="2"/>
  <c r="K4241" i="2" s="1"/>
  <c r="H4243" i="2" l="1"/>
  <c r="I4243" i="2"/>
  <c r="J4242" i="2"/>
  <c r="K4242" i="2" s="1"/>
  <c r="E4243" i="2"/>
  <c r="G4243" i="2" s="1"/>
  <c r="H4244" i="2" l="1"/>
  <c r="I4244" i="2"/>
  <c r="J4243" i="2"/>
  <c r="K4243" i="2" s="1"/>
  <c r="E4244" i="2"/>
  <c r="G4244" i="2" s="1"/>
  <c r="H4245" i="2" l="1"/>
  <c r="I4245" i="2"/>
  <c r="J4244" i="2"/>
  <c r="F4245" i="2"/>
  <c r="G4245" i="2" s="1"/>
  <c r="K4244" i="2"/>
  <c r="F4246" i="2" l="1"/>
  <c r="G4246" i="2" s="1"/>
  <c r="H4246" i="2"/>
  <c r="I4246" i="2"/>
  <c r="J4245" i="2"/>
  <c r="K4245" i="2" s="1"/>
  <c r="F4247" i="2" l="1"/>
  <c r="G4247" i="2" s="1"/>
  <c r="H4247" i="2"/>
  <c r="I4247" i="2"/>
  <c r="J4246" i="2"/>
  <c r="K4246" i="2" s="1"/>
  <c r="F4248" i="2" l="1"/>
  <c r="G4248" i="2" s="1"/>
  <c r="H4248" i="2"/>
  <c r="I4248" i="2"/>
  <c r="J4247" i="2"/>
  <c r="K4247" i="2"/>
  <c r="F4249" i="2" l="1"/>
  <c r="G4249" i="2" s="1"/>
  <c r="H4249" i="2"/>
  <c r="I4249" i="2"/>
  <c r="J4248" i="2"/>
  <c r="K4248" i="2" s="1"/>
  <c r="F4250" i="2" l="1"/>
  <c r="G4250" i="2" s="1"/>
  <c r="H4250" i="2"/>
  <c r="I4250" i="2"/>
  <c r="J4249" i="2"/>
  <c r="K4249" i="2" s="1"/>
  <c r="H4251" i="2" l="1"/>
  <c r="I4251" i="2"/>
  <c r="J4250" i="2"/>
  <c r="F4251" i="2"/>
  <c r="G4251" i="2" s="1"/>
  <c r="K4250" i="2"/>
  <c r="H4252" i="2" l="1"/>
  <c r="I4252" i="2"/>
  <c r="J4251" i="2"/>
  <c r="E4252" i="2"/>
  <c r="G4252" i="2" s="1"/>
  <c r="K4251" i="2"/>
  <c r="H4253" i="2" l="1"/>
  <c r="I4253" i="2"/>
  <c r="J4252" i="2"/>
  <c r="E4253" i="2"/>
  <c r="G4253" i="2" s="1"/>
  <c r="K4252" i="2"/>
  <c r="E4254" i="2" l="1"/>
  <c r="G4254" i="2" s="1"/>
  <c r="H4254" i="2"/>
  <c r="I4254" i="2"/>
  <c r="J4253" i="2"/>
  <c r="K4253" i="2"/>
  <c r="F4255" i="2" l="1"/>
  <c r="G4255" i="2" s="1"/>
  <c r="H4255" i="2"/>
  <c r="I4255" i="2"/>
  <c r="J4254" i="2"/>
  <c r="K4254" i="2" s="1"/>
  <c r="F4256" i="2" l="1"/>
  <c r="G4256" i="2" s="1"/>
  <c r="H4256" i="2"/>
  <c r="I4256" i="2"/>
  <c r="J4255" i="2"/>
  <c r="K4255" i="2" s="1"/>
  <c r="F4257" i="2" l="1"/>
  <c r="G4257" i="2" s="1"/>
  <c r="I4257" i="2"/>
  <c r="H4257" i="2"/>
  <c r="J4256" i="2"/>
  <c r="K4256" i="2"/>
  <c r="F4258" i="2" l="1"/>
  <c r="G4258" i="2" s="1"/>
  <c r="I4258" i="2"/>
  <c r="H4258" i="2"/>
  <c r="J4257" i="2"/>
  <c r="K4257" i="2"/>
  <c r="H4259" i="2" l="1"/>
  <c r="I4259" i="2"/>
  <c r="J4258" i="2"/>
  <c r="K4258" i="2" s="1"/>
  <c r="E4259" i="2"/>
  <c r="G4259" i="2" s="1"/>
  <c r="H4260" i="2" l="1"/>
  <c r="I4260" i="2"/>
  <c r="J4259" i="2"/>
  <c r="K4259" i="2" s="1"/>
  <c r="F4260" i="2"/>
  <c r="G4260" i="2" s="1"/>
  <c r="H4261" i="2" l="1"/>
  <c r="I4261" i="2"/>
  <c r="J4260" i="2"/>
  <c r="F4261" i="2"/>
  <c r="G4261" i="2" s="1"/>
  <c r="K4260" i="2"/>
  <c r="E4262" i="2" l="1"/>
  <c r="G4262" i="2" s="1"/>
  <c r="H4262" i="2"/>
  <c r="I4262" i="2"/>
  <c r="J4261" i="2"/>
  <c r="K4261" i="2" s="1"/>
  <c r="E4263" i="2" l="1"/>
  <c r="G4263" i="2" s="1"/>
  <c r="H4263" i="2"/>
  <c r="I4263" i="2"/>
  <c r="J4262" i="2"/>
  <c r="K4262" i="2" s="1"/>
  <c r="E4264" i="2" l="1"/>
  <c r="G4264" i="2" s="1"/>
  <c r="H4264" i="2"/>
  <c r="I4264" i="2"/>
  <c r="J4263" i="2"/>
  <c r="K4263" i="2" s="1"/>
  <c r="E4265" i="2" l="1"/>
  <c r="G4265" i="2" s="1"/>
  <c r="I4265" i="2"/>
  <c r="H4265" i="2"/>
  <c r="J4264" i="2"/>
  <c r="K4264" i="2" s="1"/>
  <c r="F4266" i="2" l="1"/>
  <c r="G4266" i="2" s="1"/>
  <c r="I4266" i="2"/>
  <c r="H4266" i="2"/>
  <c r="J4265" i="2"/>
  <c r="K4265" i="2" s="1"/>
  <c r="H4267" i="2" l="1"/>
  <c r="I4267" i="2"/>
  <c r="J4266" i="2"/>
  <c r="K4266" i="2" s="1"/>
  <c r="F4267" i="2"/>
  <c r="G4267" i="2" s="1"/>
  <c r="H4268" i="2" l="1"/>
  <c r="I4268" i="2"/>
  <c r="J4267" i="2"/>
  <c r="F4268" i="2"/>
  <c r="G4268" i="2" s="1"/>
  <c r="K4267" i="2"/>
  <c r="H4269" i="2" l="1"/>
  <c r="I4269" i="2"/>
  <c r="J4268" i="2"/>
  <c r="F4269" i="2"/>
  <c r="G4269" i="2" s="1"/>
  <c r="K4268" i="2"/>
  <c r="F4270" i="2" l="1"/>
  <c r="G4270" i="2" s="1"/>
  <c r="H4270" i="2"/>
  <c r="J4269" i="2"/>
  <c r="I4270" i="2"/>
  <c r="K4269" i="2"/>
  <c r="F4271" i="2" l="1"/>
  <c r="G4271" i="2" s="1"/>
  <c r="H4271" i="2"/>
  <c r="I4271" i="2"/>
  <c r="J4270" i="2"/>
  <c r="K4270" i="2" s="1"/>
  <c r="E4272" i="2" l="1"/>
  <c r="G4272" i="2" s="1"/>
  <c r="H4272" i="2"/>
  <c r="I4272" i="2"/>
  <c r="J4271" i="2"/>
  <c r="K4271" i="2" s="1"/>
  <c r="E4273" i="2" l="1"/>
  <c r="G4273" i="2" s="1"/>
  <c r="H4273" i="2"/>
  <c r="I4273" i="2"/>
  <c r="J4272" i="2"/>
  <c r="K4272" i="2"/>
  <c r="F4274" i="2" l="1"/>
  <c r="G4274" i="2" s="1"/>
  <c r="H4274" i="2"/>
  <c r="I4274" i="2"/>
  <c r="J4273" i="2"/>
  <c r="K4273" i="2" s="1"/>
  <c r="H4275" i="2" l="1"/>
  <c r="I4275" i="2"/>
  <c r="J4274" i="2"/>
  <c r="K4274" i="2" s="1"/>
  <c r="E4275" i="2"/>
  <c r="G4275" i="2" s="1"/>
  <c r="H4276" i="2" l="1"/>
  <c r="I4276" i="2"/>
  <c r="J4275" i="2"/>
  <c r="K4275" i="2" s="1"/>
  <c r="E4276" i="2"/>
  <c r="G4276" i="2" s="1"/>
  <c r="H4277" i="2" l="1"/>
  <c r="I4277" i="2"/>
  <c r="J4276" i="2"/>
  <c r="F4277" i="2"/>
  <c r="G4277" i="2" s="1"/>
  <c r="K4276" i="2"/>
  <c r="E4278" i="2" l="1"/>
  <c r="G4278" i="2" s="1"/>
  <c r="H4278" i="2"/>
  <c r="I4278" i="2"/>
  <c r="J4277" i="2"/>
  <c r="K4277" i="2"/>
  <c r="F4279" i="2" l="1"/>
  <c r="G4279" i="2" s="1"/>
  <c r="H4279" i="2"/>
  <c r="I4279" i="2"/>
  <c r="J4278" i="2"/>
  <c r="K4278" i="2" s="1"/>
  <c r="F4280" i="2" l="1"/>
  <c r="G4280" i="2" s="1"/>
  <c r="H4280" i="2"/>
  <c r="I4280" i="2"/>
  <c r="J4279" i="2"/>
  <c r="K4279" i="2" s="1"/>
  <c r="F4281" i="2" l="1"/>
  <c r="G4281" i="2" s="1"/>
  <c r="H4281" i="2"/>
  <c r="I4281" i="2"/>
  <c r="J4280" i="2"/>
  <c r="K4280" i="2" s="1"/>
  <c r="K4281" i="2" l="1"/>
  <c r="F4282" i="2"/>
  <c r="G4282" i="2" s="1"/>
  <c r="H4282" i="2"/>
  <c r="I4282" i="2"/>
  <c r="J4281" i="2"/>
  <c r="F4283" i="2" l="1"/>
  <c r="G4283" i="2" s="1"/>
  <c r="H4283" i="2"/>
  <c r="I4283" i="2"/>
  <c r="J4282" i="2"/>
  <c r="K4282" i="2" s="1"/>
  <c r="H4284" i="2" l="1"/>
  <c r="I4284" i="2"/>
  <c r="J4283" i="2"/>
  <c r="K4283" i="2" s="1"/>
  <c r="E4284" i="2"/>
  <c r="G4284" i="2" s="1"/>
  <c r="H4285" i="2" l="1"/>
  <c r="I4285" i="2"/>
  <c r="J4284" i="2"/>
  <c r="F4285" i="2"/>
  <c r="G4285" i="2" s="1"/>
  <c r="K4284" i="2"/>
  <c r="E4286" i="2" l="1"/>
  <c r="G4286" i="2" s="1"/>
  <c r="H4286" i="2"/>
  <c r="I4286" i="2"/>
  <c r="J4285" i="2"/>
  <c r="K4285" i="2"/>
  <c r="F4287" i="2" l="1"/>
  <c r="G4287" i="2" s="1"/>
  <c r="H4287" i="2"/>
  <c r="I4287" i="2"/>
  <c r="J4286" i="2"/>
  <c r="K4286" i="2" s="1"/>
  <c r="F4288" i="2" l="1"/>
  <c r="G4288" i="2" s="1"/>
  <c r="H4288" i="2"/>
  <c r="I4288" i="2"/>
  <c r="J4287" i="2"/>
  <c r="K4287" i="2"/>
  <c r="F4289" i="2" l="1"/>
  <c r="G4289" i="2" s="1"/>
  <c r="I4289" i="2"/>
  <c r="H4289" i="2"/>
  <c r="J4288" i="2"/>
  <c r="K4288" i="2" s="1"/>
  <c r="E4290" i="2" l="1"/>
  <c r="G4290" i="2" s="1"/>
  <c r="I4290" i="2"/>
  <c r="H4290" i="2"/>
  <c r="J4289" i="2"/>
  <c r="K4289" i="2"/>
  <c r="H4291" i="2" l="1"/>
  <c r="I4291" i="2"/>
  <c r="J4290" i="2"/>
  <c r="K4290" i="2" s="1"/>
  <c r="F4291" i="2"/>
  <c r="G4291" i="2" s="1"/>
  <c r="H4292" i="2" l="1"/>
  <c r="I4292" i="2"/>
  <c r="J4291" i="2"/>
  <c r="E4292" i="2"/>
  <c r="G4292" i="2" s="1"/>
  <c r="K4291" i="2"/>
  <c r="H4293" i="2" l="1"/>
  <c r="I4293" i="2"/>
  <c r="J4292" i="2"/>
  <c r="F4293" i="2"/>
  <c r="G4293" i="2" s="1"/>
  <c r="K4292" i="2"/>
  <c r="E4294" i="2" l="1"/>
  <c r="G4294" i="2" s="1"/>
  <c r="H4294" i="2"/>
  <c r="J4293" i="2"/>
  <c r="I4294" i="2"/>
  <c r="K4293" i="2"/>
  <c r="E4295" i="2" l="1"/>
  <c r="G4295" i="2" s="1"/>
  <c r="H4295" i="2"/>
  <c r="I4295" i="2"/>
  <c r="J4294" i="2"/>
  <c r="K4294" i="2" s="1"/>
  <c r="F4296" i="2" l="1"/>
  <c r="G4296" i="2" s="1"/>
  <c r="H4296" i="2"/>
  <c r="I4296" i="2"/>
  <c r="J4295" i="2"/>
  <c r="K4295" i="2" s="1"/>
  <c r="E4297" i="2" l="1"/>
  <c r="G4297" i="2" s="1"/>
  <c r="I4297" i="2"/>
  <c r="H4297" i="2"/>
  <c r="J4296" i="2"/>
  <c r="K4296" i="2" s="1"/>
  <c r="F4298" i="2" l="1"/>
  <c r="G4298" i="2" s="1"/>
  <c r="I4298" i="2"/>
  <c r="H4298" i="2"/>
  <c r="J4297" i="2"/>
  <c r="K4297" i="2"/>
  <c r="H4299" i="2" l="1"/>
  <c r="I4299" i="2"/>
  <c r="J4298" i="2"/>
  <c r="K4298" i="2" s="1"/>
  <c r="E4299" i="2"/>
  <c r="G4299" i="2" s="1"/>
  <c r="H4300" i="2" l="1"/>
  <c r="I4300" i="2"/>
  <c r="J4299" i="2"/>
  <c r="K4299" i="2" s="1"/>
  <c r="F4300" i="2"/>
  <c r="G4300" i="2" s="1"/>
  <c r="H4301" i="2" l="1"/>
  <c r="I4301" i="2"/>
  <c r="J4300" i="2"/>
  <c r="E4301" i="2"/>
  <c r="G4301" i="2" s="1"/>
  <c r="K4300" i="2"/>
  <c r="F4302" i="2" l="1"/>
  <c r="G4302" i="2" s="1"/>
  <c r="H4302" i="2"/>
  <c r="I4302" i="2"/>
  <c r="J4301" i="2"/>
  <c r="K4301" i="2" s="1"/>
  <c r="F4303" i="2" l="1"/>
  <c r="G4303" i="2" s="1"/>
  <c r="H4303" i="2"/>
  <c r="I4303" i="2"/>
  <c r="J4302" i="2"/>
  <c r="K4302" i="2" s="1"/>
  <c r="F4304" i="2" l="1"/>
  <c r="G4304" i="2" s="1"/>
  <c r="H4304" i="2"/>
  <c r="I4304" i="2"/>
  <c r="J4303" i="2"/>
  <c r="K4303" i="2" s="1"/>
  <c r="E4305" i="2" l="1"/>
  <c r="G4305" i="2" s="1"/>
  <c r="H4305" i="2"/>
  <c r="I4305" i="2"/>
  <c r="J4304" i="2"/>
  <c r="K4304" i="2"/>
  <c r="F4306" i="2" l="1"/>
  <c r="G4306" i="2" s="1"/>
  <c r="H4306" i="2"/>
  <c r="I4306" i="2"/>
  <c r="J4305" i="2"/>
  <c r="K4305" i="2"/>
  <c r="H4307" i="2" l="1"/>
  <c r="I4307" i="2"/>
  <c r="J4306" i="2"/>
  <c r="K4306" i="2" s="1"/>
  <c r="E4307" i="2"/>
  <c r="G4307" i="2" s="1"/>
  <c r="H4308" i="2" l="1"/>
  <c r="I4308" i="2"/>
  <c r="J4307" i="2"/>
  <c r="F4308" i="2"/>
  <c r="G4308" i="2" s="1"/>
  <c r="K4307" i="2"/>
  <c r="H4309" i="2" l="1"/>
  <c r="I4309" i="2"/>
  <c r="J4308" i="2"/>
  <c r="E4309" i="2"/>
  <c r="G4309" i="2" s="1"/>
  <c r="K4308" i="2"/>
  <c r="F4310" i="2" l="1"/>
  <c r="G4310" i="2" s="1"/>
  <c r="H4310" i="2"/>
  <c r="I4310" i="2"/>
  <c r="J4309" i="2"/>
  <c r="K4309" i="2"/>
  <c r="F4311" i="2" l="1"/>
  <c r="G4311" i="2" s="1"/>
  <c r="H4311" i="2"/>
  <c r="I4311" i="2"/>
  <c r="J4310" i="2"/>
  <c r="K4310" i="2" s="1"/>
  <c r="E4312" i="2" l="1"/>
  <c r="G4312" i="2" s="1"/>
  <c r="H4312" i="2"/>
  <c r="I4312" i="2"/>
  <c r="J4311" i="2"/>
  <c r="K4311" i="2"/>
  <c r="F4313" i="2" l="1"/>
  <c r="G4313" i="2" s="1"/>
  <c r="H4313" i="2"/>
  <c r="I4313" i="2"/>
  <c r="J4312" i="2"/>
  <c r="K4312" i="2" s="1"/>
  <c r="F4314" i="2" l="1"/>
  <c r="G4314" i="2" s="1"/>
  <c r="H4314" i="2"/>
  <c r="I4314" i="2"/>
  <c r="J4313" i="2"/>
  <c r="K4313" i="2" s="1"/>
  <c r="H4315" i="2" l="1"/>
  <c r="I4315" i="2"/>
  <c r="J4314" i="2"/>
  <c r="K4314" i="2" s="1"/>
  <c r="F4315" i="2"/>
  <c r="G4315" i="2" s="1"/>
  <c r="H4316" i="2" l="1"/>
  <c r="I4316" i="2"/>
  <c r="J4315" i="2"/>
  <c r="E4316" i="2"/>
  <c r="G4316" i="2" s="1"/>
  <c r="K4315" i="2"/>
  <c r="H4317" i="2" l="1"/>
  <c r="I4317" i="2"/>
  <c r="J4316" i="2"/>
  <c r="F4317" i="2"/>
  <c r="G4317" i="2" s="1"/>
  <c r="K4316" i="2"/>
  <c r="E4318" i="2" l="1"/>
  <c r="G4318" i="2" s="1"/>
  <c r="H4318" i="2"/>
  <c r="I4318" i="2"/>
  <c r="J4317" i="2"/>
  <c r="K4317" i="2"/>
  <c r="E4319" i="2" l="1"/>
  <c r="G4319" i="2" s="1"/>
  <c r="H4319" i="2"/>
  <c r="J4318" i="2"/>
  <c r="K4318" i="2" s="1"/>
  <c r="I4319" i="2"/>
  <c r="E4320" i="2" l="1"/>
  <c r="G4320" i="2" s="1"/>
  <c r="H4320" i="2"/>
  <c r="I4320" i="2"/>
  <c r="J4319" i="2"/>
  <c r="K4319" i="2" s="1"/>
  <c r="E4321" i="2" l="1"/>
  <c r="G4321" i="2" s="1"/>
  <c r="H4321" i="2"/>
  <c r="J4320" i="2"/>
  <c r="K4320" i="2" s="1"/>
  <c r="I4321" i="2"/>
  <c r="E4322" i="2" l="1"/>
  <c r="G4322" i="2" s="1"/>
  <c r="I4322" i="2"/>
  <c r="H4322" i="2"/>
  <c r="J4321" i="2"/>
  <c r="K4321" i="2" s="1"/>
  <c r="H4323" i="2" l="1"/>
  <c r="I4323" i="2"/>
  <c r="J4322" i="2"/>
  <c r="K4322" i="2" s="1"/>
  <c r="F4323" i="2"/>
  <c r="G4323" i="2" s="1"/>
  <c r="H4324" i="2" l="1"/>
  <c r="I4324" i="2"/>
  <c r="J4323" i="2"/>
  <c r="E4324" i="2"/>
  <c r="G4324" i="2" s="1"/>
  <c r="K4323" i="2"/>
  <c r="H4325" i="2" l="1"/>
  <c r="I4325" i="2"/>
  <c r="J4324" i="2"/>
  <c r="K4324" i="2" s="1"/>
  <c r="F4325" i="2"/>
  <c r="G4325" i="2" s="1"/>
  <c r="E4326" i="2" l="1"/>
  <c r="G4326" i="2" s="1"/>
  <c r="H4326" i="2"/>
  <c r="I4326" i="2"/>
  <c r="J4325" i="2"/>
  <c r="K4325" i="2"/>
  <c r="E4327" i="2" l="1"/>
  <c r="G4327" i="2" s="1"/>
  <c r="H4327" i="2"/>
  <c r="I4327" i="2"/>
  <c r="J4326" i="2"/>
  <c r="K4326" i="2" s="1"/>
  <c r="E4328" i="2" l="1"/>
  <c r="G4328" i="2" s="1"/>
  <c r="H4328" i="2"/>
  <c r="I4328" i="2"/>
  <c r="J4327" i="2"/>
  <c r="K4327" i="2" s="1"/>
  <c r="F4329" i="2" l="1"/>
  <c r="G4329" i="2" s="1"/>
  <c r="I4329" i="2"/>
  <c r="J4328" i="2"/>
  <c r="K4328" i="2" s="1"/>
  <c r="H4329" i="2"/>
  <c r="E4330" i="2" l="1"/>
  <c r="G4330" i="2" s="1"/>
  <c r="I4330" i="2"/>
  <c r="H4330" i="2"/>
  <c r="J4329" i="2"/>
  <c r="K4329" i="2" s="1"/>
  <c r="H4331" i="2" l="1"/>
  <c r="I4331" i="2"/>
  <c r="J4330" i="2"/>
  <c r="K4330" i="2" s="1"/>
  <c r="E4331" i="2"/>
  <c r="G4331" i="2" s="1"/>
  <c r="H4332" i="2" l="1"/>
  <c r="I4332" i="2"/>
  <c r="J4331" i="2"/>
  <c r="E4332" i="2"/>
  <c r="G4332" i="2" s="1"/>
  <c r="K4331" i="2"/>
  <c r="H4333" i="2" l="1"/>
  <c r="I4333" i="2"/>
  <c r="J4332" i="2"/>
  <c r="E4333" i="2"/>
  <c r="G4333" i="2" s="1"/>
  <c r="K4332" i="2"/>
  <c r="E4334" i="2" l="1"/>
  <c r="G4334" i="2" s="1"/>
  <c r="H4334" i="2"/>
  <c r="I4334" i="2"/>
  <c r="J4333" i="2"/>
  <c r="K4333" i="2"/>
  <c r="E4335" i="2" l="1"/>
  <c r="G4335" i="2" s="1"/>
  <c r="H4335" i="2"/>
  <c r="I4335" i="2"/>
  <c r="J4334" i="2"/>
  <c r="K4334" i="2" s="1"/>
  <c r="E4336" i="2" l="1"/>
  <c r="G4336" i="2" s="1"/>
  <c r="H4336" i="2"/>
  <c r="I4336" i="2"/>
  <c r="J4335" i="2"/>
  <c r="K4335" i="2" s="1"/>
  <c r="F4337" i="2" l="1"/>
  <c r="G4337" i="2" s="1"/>
  <c r="H4337" i="2"/>
  <c r="I4337" i="2"/>
  <c r="J4336" i="2"/>
  <c r="K4336" i="2" s="1"/>
  <c r="F4338" i="2" l="1"/>
  <c r="G4338" i="2" s="1"/>
  <c r="H4338" i="2"/>
  <c r="I4338" i="2"/>
  <c r="J4337" i="2"/>
  <c r="K4337" i="2"/>
  <c r="H4339" i="2" l="1"/>
  <c r="I4339" i="2"/>
  <c r="J4338" i="2"/>
  <c r="K4338" i="2" s="1"/>
  <c r="E4339" i="2"/>
  <c r="G4339" i="2" s="1"/>
  <c r="H4340" i="2" l="1"/>
  <c r="I4340" i="2"/>
  <c r="J4339" i="2"/>
  <c r="K4339" i="2" s="1"/>
  <c r="F4340" i="2"/>
  <c r="G4340" i="2" s="1"/>
  <c r="H4341" i="2" l="1"/>
  <c r="I4341" i="2"/>
  <c r="J4340" i="2"/>
  <c r="E4341" i="2"/>
  <c r="G4341" i="2" s="1"/>
  <c r="K4340" i="2"/>
  <c r="E4342" i="2" l="1"/>
  <c r="G4342" i="2" s="1"/>
  <c r="H4342" i="2"/>
  <c r="I4342" i="2"/>
  <c r="J4341" i="2"/>
  <c r="K4341" i="2"/>
  <c r="F4343" i="2" l="1"/>
  <c r="G4343" i="2" s="1"/>
  <c r="H4343" i="2"/>
  <c r="I4343" i="2"/>
  <c r="J4342" i="2"/>
  <c r="K4342" i="2" s="1"/>
  <c r="E4344" i="2" l="1"/>
  <c r="G4344" i="2" s="1"/>
  <c r="H4344" i="2"/>
  <c r="I4344" i="2"/>
  <c r="J4343" i="2"/>
  <c r="K4343" i="2" s="1"/>
  <c r="F4345" i="2" l="1"/>
  <c r="G4345" i="2" s="1"/>
  <c r="H4345" i="2"/>
  <c r="I4345" i="2"/>
  <c r="J4344" i="2"/>
  <c r="K4344" i="2" s="1"/>
  <c r="E4346" i="2" l="1"/>
  <c r="G4346" i="2" s="1"/>
  <c r="H4346" i="2"/>
  <c r="I4346" i="2"/>
  <c r="J4345" i="2"/>
  <c r="K4345" i="2" s="1"/>
  <c r="H4347" i="2" l="1"/>
  <c r="I4347" i="2"/>
  <c r="J4346" i="2"/>
  <c r="K4346" i="2" s="1"/>
  <c r="E4347" i="2"/>
  <c r="G4347" i="2" s="1"/>
  <c r="H4348" i="2" l="1"/>
  <c r="I4348" i="2"/>
  <c r="J4347" i="2"/>
  <c r="K4347" i="2" s="1"/>
  <c r="F4348" i="2"/>
  <c r="G4348" i="2" s="1"/>
  <c r="H4349" i="2" l="1"/>
  <c r="I4349" i="2"/>
  <c r="J4348" i="2"/>
  <c r="E4349" i="2"/>
  <c r="G4349" i="2" s="1"/>
  <c r="K4348" i="2"/>
  <c r="E4350" i="2" l="1"/>
  <c r="G4350" i="2" s="1"/>
  <c r="H4350" i="2"/>
  <c r="I4350" i="2"/>
  <c r="J4349" i="2"/>
  <c r="K4349" i="2" s="1"/>
  <c r="F4351" i="2" l="1"/>
  <c r="G4351" i="2" s="1"/>
  <c r="H4351" i="2"/>
  <c r="I4351" i="2"/>
  <c r="J4350" i="2"/>
  <c r="K4350" i="2" s="1"/>
  <c r="E4352" i="2" l="1"/>
  <c r="G4352" i="2" s="1"/>
  <c r="H4352" i="2"/>
  <c r="I4352" i="2"/>
  <c r="J4351" i="2"/>
  <c r="K4351" i="2" s="1"/>
  <c r="K4352" i="2" l="1"/>
  <c r="E4353" i="2"/>
  <c r="G4353" i="2" s="1"/>
  <c r="H4353" i="2"/>
  <c r="I4353" i="2"/>
  <c r="J4352" i="2"/>
  <c r="E4354" i="2" l="1"/>
  <c r="G4354" i="2" s="1"/>
  <c r="I4354" i="2"/>
  <c r="H4354" i="2"/>
  <c r="J4353" i="2"/>
  <c r="K4353" i="2"/>
  <c r="H4355" i="2" l="1"/>
  <c r="I4355" i="2"/>
  <c r="J4354" i="2"/>
  <c r="K4354" i="2" s="1"/>
  <c r="F4355" i="2"/>
  <c r="G4355" i="2" s="1"/>
  <c r="H4356" i="2" l="1"/>
  <c r="I4356" i="2"/>
  <c r="J4355" i="2"/>
  <c r="F4356" i="2"/>
  <c r="G4356" i="2" s="1"/>
  <c r="K4355" i="2"/>
  <c r="H4357" i="2" l="1"/>
  <c r="I4357" i="2"/>
  <c r="J4356" i="2"/>
  <c r="E4357" i="2"/>
  <c r="G4357" i="2" s="1"/>
  <c r="K4356" i="2"/>
  <c r="E4358" i="2" l="1"/>
  <c r="G4358" i="2" s="1"/>
  <c r="H4358" i="2"/>
  <c r="I4358" i="2"/>
  <c r="J4357" i="2"/>
  <c r="K4357" i="2"/>
  <c r="E4359" i="2" l="1"/>
  <c r="G4359" i="2" s="1"/>
  <c r="H4359" i="2"/>
  <c r="I4359" i="2"/>
  <c r="J4358" i="2"/>
  <c r="K4358" i="2" s="1"/>
  <c r="E4360" i="2" l="1"/>
  <c r="G4360" i="2" s="1"/>
  <c r="H4360" i="2"/>
  <c r="I4360" i="2"/>
  <c r="J4359" i="2"/>
  <c r="K4359" i="2" s="1"/>
  <c r="F4361" i="2" l="1"/>
  <c r="G4361" i="2" s="1"/>
  <c r="H4361" i="2"/>
  <c r="I4361" i="2"/>
  <c r="J4360" i="2"/>
  <c r="K4360" i="2" s="1"/>
  <c r="E4362" i="2" l="1"/>
  <c r="G4362" i="2" s="1"/>
  <c r="I4362" i="2"/>
  <c r="H4362" i="2"/>
  <c r="J4361" i="2"/>
  <c r="K4361" i="2" s="1"/>
  <c r="H4363" i="2" l="1"/>
  <c r="I4363" i="2"/>
  <c r="J4362" i="2"/>
  <c r="E4363" i="2"/>
  <c r="G4363" i="2" s="1"/>
  <c r="K4362" i="2"/>
  <c r="H4364" i="2" l="1"/>
  <c r="I4364" i="2"/>
  <c r="J4363" i="2"/>
  <c r="E4364" i="2"/>
  <c r="G4364" i="2" s="1"/>
  <c r="K4363" i="2"/>
  <c r="H4365" i="2" l="1"/>
  <c r="I4365" i="2"/>
  <c r="J4364" i="2"/>
  <c r="K4364" i="2" s="1"/>
  <c r="F4365" i="2"/>
  <c r="G4365" i="2" s="1"/>
  <c r="F4366" i="2" l="1"/>
  <c r="G4366" i="2" s="1"/>
  <c r="H4366" i="2"/>
  <c r="I4366" i="2"/>
  <c r="J4365" i="2"/>
  <c r="K4365" i="2"/>
  <c r="E4367" i="2" l="1"/>
  <c r="G4367" i="2" s="1"/>
  <c r="H4367" i="2"/>
  <c r="I4367" i="2"/>
  <c r="J4366" i="2"/>
  <c r="K4366" i="2" s="1"/>
  <c r="E4368" i="2" l="1"/>
  <c r="G4368" i="2" s="1"/>
  <c r="H4368" i="2"/>
  <c r="I4368" i="2"/>
  <c r="J4367" i="2"/>
  <c r="K4367" i="2" s="1"/>
  <c r="F4369" i="2" l="1"/>
  <c r="G4369" i="2" s="1"/>
  <c r="H4369" i="2"/>
  <c r="I4369" i="2"/>
  <c r="J4368" i="2"/>
  <c r="K4368" i="2" s="1"/>
  <c r="E4370" i="2" l="1"/>
  <c r="G4370" i="2" s="1"/>
  <c r="H4370" i="2"/>
  <c r="I4370" i="2"/>
  <c r="J4369" i="2"/>
  <c r="K4369" i="2"/>
  <c r="H4371" i="2" l="1"/>
  <c r="I4371" i="2"/>
  <c r="J4370" i="2"/>
  <c r="K4370" i="2" s="1"/>
  <c r="E4371" i="2"/>
  <c r="G4371" i="2" s="1"/>
  <c r="H4372" i="2" l="1"/>
  <c r="I4372" i="2"/>
  <c r="J4371" i="2"/>
  <c r="K4371" i="2" s="1"/>
  <c r="F4372" i="2"/>
  <c r="G4372" i="2" s="1"/>
  <c r="H4373" i="2" l="1"/>
  <c r="I4373" i="2"/>
  <c r="J4372" i="2"/>
  <c r="F4373" i="2"/>
  <c r="G4373" i="2" s="1"/>
  <c r="K4372" i="2"/>
  <c r="F4374" i="2" l="1"/>
  <c r="G4374" i="2" s="1"/>
  <c r="H4374" i="2"/>
  <c r="I4374" i="2"/>
  <c r="J4373" i="2"/>
  <c r="K4373" i="2"/>
  <c r="F4375" i="2" l="1"/>
  <c r="G4375" i="2" s="1"/>
  <c r="H4375" i="2"/>
  <c r="I4375" i="2"/>
  <c r="J4374" i="2"/>
  <c r="K4374" i="2" s="1"/>
  <c r="E4376" i="2" l="1"/>
  <c r="G4376" i="2" s="1"/>
  <c r="H4376" i="2"/>
  <c r="I4376" i="2"/>
  <c r="J4375" i="2"/>
  <c r="K4375" i="2" s="1"/>
  <c r="E4377" i="2" l="1"/>
  <c r="G4377" i="2" s="1"/>
  <c r="H4377" i="2"/>
  <c r="I4377" i="2"/>
  <c r="J4376" i="2"/>
  <c r="K4376" i="2" s="1"/>
  <c r="E4378" i="2" l="1"/>
  <c r="G4378" i="2" s="1"/>
  <c r="H4378" i="2"/>
  <c r="I4378" i="2"/>
  <c r="J4377" i="2"/>
  <c r="K4377" i="2" s="1"/>
  <c r="H4379" i="2" l="1"/>
  <c r="I4379" i="2"/>
  <c r="J4378" i="2"/>
  <c r="E4379" i="2"/>
  <c r="G4379" i="2" s="1"/>
  <c r="K4378" i="2"/>
  <c r="H4380" i="2" l="1"/>
  <c r="I4380" i="2"/>
  <c r="J4379" i="2"/>
  <c r="E4380" i="2"/>
  <c r="G4380" i="2" s="1"/>
  <c r="K4379" i="2"/>
  <c r="H4381" i="2" l="1"/>
  <c r="I4381" i="2"/>
  <c r="J4380" i="2"/>
  <c r="F4381" i="2"/>
  <c r="G4381" i="2" s="1"/>
  <c r="K4380" i="2"/>
  <c r="E4382" i="2" l="1"/>
  <c r="G4382" i="2" s="1"/>
  <c r="H4382" i="2"/>
  <c r="I4382" i="2"/>
  <c r="J4381" i="2"/>
  <c r="K4381" i="2"/>
  <c r="K4382" i="2" l="1"/>
  <c r="E4383" i="2"/>
  <c r="G4383" i="2" s="1"/>
  <c r="H4383" i="2"/>
  <c r="I4383" i="2"/>
  <c r="J4382" i="2"/>
  <c r="E4384" i="2" l="1"/>
  <c r="G4384" i="2" s="1"/>
  <c r="H4384" i="2"/>
  <c r="I4384" i="2"/>
  <c r="J4383" i="2"/>
  <c r="K4383" i="2" s="1"/>
  <c r="E4385" i="2" l="1"/>
  <c r="G4385" i="2" s="1"/>
  <c r="H4385" i="2"/>
  <c r="I4385" i="2"/>
  <c r="J4384" i="2"/>
  <c r="K4384" i="2" s="1"/>
  <c r="F4386" i="2" l="1"/>
  <c r="G4386" i="2" s="1"/>
  <c r="H4386" i="2"/>
  <c r="I4386" i="2"/>
  <c r="J4385" i="2"/>
  <c r="K4385" i="2" s="1"/>
  <c r="H4387" i="2" l="1"/>
  <c r="I4387" i="2"/>
  <c r="J4386" i="2"/>
  <c r="K4386" i="2" s="1"/>
  <c r="E4387" i="2"/>
  <c r="G4387" i="2" s="1"/>
  <c r="H4388" i="2" l="1"/>
  <c r="I4388" i="2"/>
  <c r="J4387" i="2"/>
  <c r="F4388" i="2"/>
  <c r="G4388" i="2" s="1"/>
  <c r="K4387" i="2"/>
  <c r="H4389" i="2" l="1"/>
  <c r="I4389" i="2"/>
  <c r="J4388" i="2"/>
  <c r="E4389" i="2"/>
  <c r="G4389" i="2" s="1"/>
  <c r="K4388" i="2"/>
  <c r="F4390" i="2" l="1"/>
  <c r="G4390" i="2" s="1"/>
  <c r="H4390" i="2"/>
  <c r="J4389" i="2"/>
  <c r="K4389" i="2" s="1"/>
  <c r="I4390" i="2"/>
  <c r="E4391" i="2" l="1"/>
  <c r="G4391" i="2" s="1"/>
  <c r="H4391" i="2"/>
  <c r="J4390" i="2"/>
  <c r="K4390" i="2" s="1"/>
  <c r="I4391" i="2"/>
  <c r="F4392" i="2" l="1"/>
  <c r="G4392" i="2" s="1"/>
  <c r="H4392" i="2"/>
  <c r="I4392" i="2"/>
  <c r="J4391" i="2"/>
  <c r="K4391" i="2"/>
  <c r="F4393" i="2" l="1"/>
  <c r="G4393" i="2" s="1"/>
  <c r="I4393" i="2"/>
  <c r="H4393" i="2"/>
  <c r="J4392" i="2"/>
  <c r="K4392" i="2" s="1"/>
  <c r="E4394" i="2" l="1"/>
  <c r="G4394" i="2" s="1"/>
  <c r="H4394" i="2"/>
  <c r="I4394" i="2"/>
  <c r="J4393" i="2"/>
  <c r="K4393" i="2" s="1"/>
  <c r="H4395" i="2" l="1"/>
  <c r="I4395" i="2"/>
  <c r="J4394" i="2"/>
  <c r="K4394" i="2" s="1"/>
  <c r="F4395" i="2"/>
  <c r="G4395" i="2" s="1"/>
  <c r="H4396" i="2" l="1"/>
  <c r="I4396" i="2"/>
  <c r="J4395" i="2"/>
  <c r="E4396" i="2"/>
  <c r="G4396" i="2" s="1"/>
  <c r="K4395" i="2"/>
  <c r="H4397" i="2" l="1"/>
  <c r="I4397" i="2"/>
  <c r="J4396" i="2"/>
  <c r="E4397" i="2"/>
  <c r="G4397" i="2" s="1"/>
  <c r="K4396" i="2"/>
  <c r="F4398" i="2" l="1"/>
  <c r="G4398" i="2" s="1"/>
  <c r="H4398" i="2"/>
  <c r="J4397" i="2"/>
  <c r="I4398" i="2"/>
  <c r="K4397" i="2"/>
  <c r="F4399" i="2" l="1"/>
  <c r="G4399" i="2" s="1"/>
  <c r="H4399" i="2"/>
  <c r="J4398" i="2"/>
  <c r="K4398" i="2" s="1"/>
  <c r="I4399" i="2"/>
  <c r="E4400" i="2" l="1"/>
  <c r="G4400" i="2" s="1"/>
  <c r="H4400" i="2"/>
  <c r="I4400" i="2"/>
  <c r="J4399" i="2"/>
  <c r="K4399" i="2" s="1"/>
  <c r="F4401" i="2" l="1"/>
  <c r="G4401" i="2" s="1"/>
  <c r="H4401" i="2"/>
  <c r="I4401" i="2"/>
  <c r="J4400" i="2"/>
  <c r="K4400" i="2" s="1"/>
  <c r="K4401" i="2" l="1"/>
  <c r="F4402" i="2"/>
  <c r="G4402" i="2" s="1"/>
  <c r="H4402" i="2"/>
  <c r="I4402" i="2"/>
  <c r="J4401" i="2"/>
  <c r="H4403" i="2" l="1"/>
  <c r="I4403" i="2"/>
  <c r="J4402" i="2"/>
  <c r="K4402" i="2" s="1"/>
  <c r="E4403" i="2"/>
  <c r="G4403" i="2" s="1"/>
  <c r="H4404" i="2" l="1"/>
  <c r="I4404" i="2"/>
  <c r="J4403" i="2"/>
  <c r="F4404" i="2"/>
  <c r="G4404" i="2" s="1"/>
  <c r="K4403" i="2"/>
  <c r="H4405" i="2" l="1"/>
  <c r="I4405" i="2"/>
  <c r="J4404" i="2"/>
  <c r="E4405" i="2"/>
  <c r="G4405" i="2" s="1"/>
  <c r="K4404" i="2"/>
  <c r="F4406" i="2" l="1"/>
  <c r="G4406" i="2" s="1"/>
  <c r="H4406" i="2"/>
  <c r="J4405" i="2"/>
  <c r="I4406" i="2"/>
  <c r="K4405" i="2"/>
  <c r="E4407" i="2" l="1"/>
  <c r="G4407" i="2" s="1"/>
  <c r="H4407" i="2"/>
  <c r="J4406" i="2"/>
  <c r="K4406" i="2" s="1"/>
  <c r="I4407" i="2"/>
  <c r="E4408" i="2" l="1"/>
  <c r="G4408" i="2" s="1"/>
  <c r="H4408" i="2"/>
  <c r="I4408" i="2"/>
  <c r="J4407" i="2"/>
  <c r="K4407" i="2" s="1"/>
  <c r="E4409" i="2" l="1"/>
  <c r="G4409" i="2" s="1"/>
  <c r="H4409" i="2"/>
  <c r="I4409" i="2"/>
  <c r="J4408" i="2"/>
  <c r="K4408" i="2" s="1"/>
  <c r="E4410" i="2" l="1"/>
  <c r="G4410" i="2" s="1"/>
  <c r="H4410" i="2"/>
  <c r="I4410" i="2"/>
  <c r="J4409" i="2"/>
  <c r="K4409" i="2" s="1"/>
  <c r="H4411" i="2" l="1"/>
  <c r="I4411" i="2"/>
  <c r="J4410" i="2"/>
  <c r="E4411" i="2"/>
  <c r="G4411" i="2" s="1"/>
  <c r="K4410" i="2"/>
  <c r="K4411" i="2" l="1"/>
  <c r="H4412" i="2"/>
  <c r="I4412" i="2"/>
  <c r="J4411" i="2"/>
  <c r="F4412" i="2"/>
  <c r="G4412" i="2" s="1"/>
  <c r="H4413" i="2" l="1"/>
  <c r="I4413" i="2"/>
  <c r="J4412" i="2"/>
  <c r="E4413" i="2"/>
  <c r="G4413" i="2" s="1"/>
  <c r="K4412" i="2"/>
  <c r="F4414" i="2" l="1"/>
  <c r="G4414" i="2" s="1"/>
  <c r="H4414" i="2"/>
  <c r="J4413" i="2"/>
  <c r="I4414" i="2"/>
  <c r="K4413" i="2"/>
  <c r="F4415" i="2" l="1"/>
  <c r="G4415" i="2" s="1"/>
  <c r="H4415" i="2"/>
  <c r="I4415" i="2"/>
  <c r="J4414" i="2"/>
  <c r="K4414" i="2" s="1"/>
  <c r="E4416" i="2" l="1"/>
  <c r="G4416" i="2" s="1"/>
  <c r="H4416" i="2"/>
  <c r="I4416" i="2"/>
  <c r="J4415" i="2"/>
  <c r="K4415" i="2" s="1"/>
  <c r="F4417" i="2" l="1"/>
  <c r="G4417" i="2" s="1"/>
  <c r="H4417" i="2"/>
  <c r="I4417" i="2"/>
  <c r="J4416" i="2"/>
  <c r="K4416" i="2" s="1"/>
  <c r="F4418" i="2" l="1"/>
  <c r="G4418" i="2" s="1"/>
  <c r="I4418" i="2"/>
  <c r="H4418" i="2"/>
  <c r="J4417" i="2"/>
  <c r="K4417" i="2" s="1"/>
  <c r="H4419" i="2" l="1"/>
  <c r="I4419" i="2"/>
  <c r="J4418" i="2"/>
  <c r="K4418" i="2" s="1"/>
  <c r="E4419" i="2"/>
  <c r="G4419" i="2" s="1"/>
  <c r="H4420" i="2" l="1"/>
  <c r="I4420" i="2"/>
  <c r="J4419" i="2"/>
  <c r="F4420" i="2"/>
  <c r="G4420" i="2" s="1"/>
  <c r="K4419" i="2"/>
  <c r="H4421" i="2" l="1"/>
  <c r="I4421" i="2"/>
  <c r="J4420" i="2"/>
  <c r="E4421" i="2"/>
  <c r="G4421" i="2" s="1"/>
  <c r="K4420" i="2"/>
  <c r="E4422" i="2" l="1"/>
  <c r="G4422" i="2" s="1"/>
  <c r="H4422" i="2"/>
  <c r="J4421" i="2"/>
  <c r="I4422" i="2"/>
  <c r="K4421" i="2"/>
  <c r="F4423" i="2" l="1"/>
  <c r="G4423" i="2" s="1"/>
  <c r="H4423" i="2"/>
  <c r="J4422" i="2"/>
  <c r="K4422" i="2" s="1"/>
  <c r="I4423" i="2"/>
  <c r="E4424" i="2" l="1"/>
  <c r="G4424" i="2" s="1"/>
  <c r="H4424" i="2"/>
  <c r="I4424" i="2"/>
  <c r="J4423" i="2"/>
  <c r="K4423" i="2" s="1"/>
  <c r="E4425" i="2" l="1"/>
  <c r="G4425" i="2" s="1"/>
  <c r="I4425" i="2"/>
  <c r="H4425" i="2"/>
  <c r="J4424" i="2"/>
  <c r="K4424" i="2" s="1"/>
  <c r="E4426" i="2" l="1"/>
  <c r="G4426" i="2" s="1"/>
  <c r="H4426" i="2"/>
  <c r="I4426" i="2"/>
  <c r="J4425" i="2"/>
  <c r="K4425" i="2" s="1"/>
  <c r="H4427" i="2" l="1"/>
  <c r="I4427" i="2"/>
  <c r="J4426" i="2"/>
  <c r="E4427" i="2"/>
  <c r="G4427" i="2" s="1"/>
  <c r="K4426" i="2"/>
  <c r="H4428" i="2" l="1"/>
  <c r="I4428" i="2"/>
  <c r="J4427" i="2"/>
  <c r="F4428" i="2"/>
  <c r="G4428" i="2" s="1"/>
  <c r="K4427" i="2"/>
  <c r="H4429" i="2" l="1"/>
  <c r="I4429" i="2"/>
  <c r="J4428" i="2"/>
  <c r="E4429" i="2"/>
  <c r="G4429" i="2" s="1"/>
  <c r="K4428" i="2"/>
  <c r="E4430" i="2" l="1"/>
  <c r="G4430" i="2" s="1"/>
  <c r="H4430" i="2"/>
  <c r="J4429" i="2"/>
  <c r="I4430" i="2"/>
  <c r="K4429" i="2"/>
  <c r="E4431" i="2" l="1"/>
  <c r="G4431" i="2" s="1"/>
  <c r="H4431" i="2"/>
  <c r="J4430" i="2"/>
  <c r="K4430" i="2" s="1"/>
  <c r="I4431" i="2"/>
  <c r="E4432" i="2" l="1"/>
  <c r="G4432" i="2" s="1"/>
  <c r="H4432" i="2"/>
  <c r="I4432" i="2"/>
  <c r="J4431" i="2"/>
  <c r="K4431" i="2" s="1"/>
  <c r="E4433" i="2" l="1"/>
  <c r="G4433" i="2" s="1"/>
  <c r="H4433" i="2"/>
  <c r="I4433" i="2"/>
  <c r="J4432" i="2"/>
  <c r="K4432" i="2" s="1"/>
  <c r="E4434" i="2" l="1"/>
  <c r="G4434" i="2" s="1"/>
  <c r="H4434" i="2"/>
  <c r="I4434" i="2"/>
  <c r="J4433" i="2"/>
  <c r="K4433" i="2" s="1"/>
  <c r="H4435" i="2" l="1"/>
  <c r="I4435" i="2"/>
  <c r="J4434" i="2"/>
  <c r="E4435" i="2"/>
  <c r="G4435" i="2" s="1"/>
  <c r="K4434" i="2"/>
  <c r="H4436" i="2" l="1"/>
  <c r="I4436" i="2"/>
  <c r="J4435" i="2"/>
  <c r="E4436" i="2"/>
  <c r="G4436" i="2" s="1"/>
  <c r="K4435" i="2"/>
  <c r="H4437" i="2" l="1"/>
  <c r="I4437" i="2"/>
  <c r="J4436" i="2"/>
  <c r="F4437" i="2"/>
  <c r="G4437" i="2" s="1"/>
  <c r="K4436" i="2"/>
  <c r="F4438" i="2" l="1"/>
  <c r="G4438" i="2" s="1"/>
  <c r="H4438" i="2"/>
  <c r="J4437" i="2"/>
  <c r="I4438" i="2"/>
  <c r="K4437" i="2"/>
  <c r="E4439" i="2" l="1"/>
  <c r="G4439" i="2" s="1"/>
  <c r="H4439" i="2"/>
  <c r="J4438" i="2"/>
  <c r="I4439" i="2"/>
  <c r="K4438" i="2"/>
  <c r="E4440" i="2" l="1"/>
  <c r="G4440" i="2" s="1"/>
  <c r="H4440" i="2"/>
  <c r="I4440" i="2"/>
  <c r="J4439" i="2"/>
  <c r="K4439" i="2" s="1"/>
  <c r="F4441" i="2" l="1"/>
  <c r="G4441" i="2" s="1"/>
  <c r="H4441" i="2"/>
  <c r="I4441" i="2"/>
  <c r="J4440" i="2"/>
  <c r="K4440" i="2" s="1"/>
  <c r="F4442" i="2" l="1"/>
  <c r="G4442" i="2" s="1"/>
  <c r="H4442" i="2"/>
  <c r="I4442" i="2"/>
  <c r="J4441" i="2"/>
  <c r="K4441" i="2" s="1"/>
  <c r="H4443" i="2" l="1"/>
  <c r="I4443" i="2"/>
  <c r="J4442" i="2"/>
  <c r="E4443" i="2"/>
  <c r="G4443" i="2" s="1"/>
  <c r="K4442" i="2"/>
  <c r="H4444" i="2" l="1"/>
  <c r="I4444" i="2"/>
  <c r="J4443" i="2"/>
  <c r="E4444" i="2"/>
  <c r="G4444" i="2" s="1"/>
  <c r="K4443" i="2"/>
  <c r="H4445" i="2" l="1"/>
  <c r="I4445" i="2"/>
  <c r="J4444" i="2"/>
  <c r="F4445" i="2"/>
  <c r="G4445" i="2" s="1"/>
  <c r="K4444" i="2"/>
  <c r="F4446" i="2" l="1"/>
  <c r="G4446" i="2" s="1"/>
  <c r="H4446" i="2"/>
  <c r="J4445" i="2"/>
  <c r="I4446" i="2"/>
  <c r="K4445" i="2"/>
  <c r="E4447" i="2" l="1"/>
  <c r="G4447" i="2" s="1"/>
  <c r="H4447" i="2"/>
  <c r="I4447" i="2"/>
  <c r="J4446" i="2"/>
  <c r="K4446" i="2" s="1"/>
  <c r="F4448" i="2" l="1"/>
  <c r="G4448" i="2" s="1"/>
  <c r="H4448" i="2"/>
  <c r="I4448" i="2"/>
  <c r="J4447" i="2"/>
  <c r="K4447" i="2" s="1"/>
  <c r="F4449" i="2" l="1"/>
  <c r="G4449" i="2" s="1"/>
  <c r="H4449" i="2"/>
  <c r="I4449" i="2"/>
  <c r="J4448" i="2"/>
  <c r="K4448" i="2" s="1"/>
  <c r="E4450" i="2" l="1"/>
  <c r="G4450" i="2" s="1"/>
  <c r="I4450" i="2"/>
  <c r="J4449" i="2"/>
  <c r="K4449" i="2" s="1"/>
  <c r="H4450" i="2"/>
  <c r="H4451" i="2" l="1"/>
  <c r="I4451" i="2"/>
  <c r="J4450" i="2"/>
  <c r="K4450" i="2" s="1"/>
  <c r="E4451" i="2"/>
  <c r="G4451" i="2" s="1"/>
  <c r="H4452" i="2" l="1"/>
  <c r="I4452" i="2"/>
  <c r="J4451" i="2"/>
  <c r="F4452" i="2"/>
  <c r="G4452" i="2" s="1"/>
  <c r="K4451" i="2"/>
  <c r="H4453" i="2" l="1"/>
  <c r="I4453" i="2"/>
  <c r="J4452" i="2"/>
  <c r="F4453" i="2"/>
  <c r="G4453" i="2" s="1"/>
  <c r="K4452" i="2"/>
  <c r="F4454" i="2" l="1"/>
  <c r="G4454" i="2" s="1"/>
  <c r="H4454" i="2"/>
  <c r="J4453" i="2"/>
  <c r="I4454" i="2"/>
  <c r="K4453" i="2"/>
  <c r="F4455" i="2" l="1"/>
  <c r="G4455" i="2" s="1"/>
  <c r="H4455" i="2"/>
  <c r="J4454" i="2"/>
  <c r="K4454" i="2" s="1"/>
  <c r="I4455" i="2"/>
  <c r="E4456" i="2" l="1"/>
  <c r="G4456" i="2" s="1"/>
  <c r="H4456" i="2"/>
  <c r="I4456" i="2"/>
  <c r="J4455" i="2"/>
  <c r="K4455" i="2" s="1"/>
  <c r="E4457" i="2" l="1"/>
  <c r="G4457" i="2" s="1"/>
  <c r="I4457" i="2"/>
  <c r="J4456" i="2"/>
  <c r="K4456" i="2" s="1"/>
  <c r="H4457" i="2"/>
  <c r="E4458" i="2" l="1"/>
  <c r="G4458" i="2" s="1"/>
  <c r="H4458" i="2"/>
  <c r="I4458" i="2"/>
  <c r="J4457" i="2"/>
  <c r="K4457" i="2" s="1"/>
  <c r="H4459" i="2" l="1"/>
  <c r="I4459" i="2"/>
  <c r="J4458" i="2"/>
  <c r="K4458" i="2" s="1"/>
  <c r="E4459" i="2"/>
  <c r="G4459" i="2" s="1"/>
  <c r="H4460" i="2" l="1"/>
  <c r="I4460" i="2"/>
  <c r="J4459" i="2"/>
  <c r="K4459" i="2" s="1"/>
  <c r="F4460" i="2"/>
  <c r="G4460" i="2" s="1"/>
  <c r="H4461" i="2" l="1"/>
  <c r="I4461" i="2"/>
  <c r="J4460" i="2"/>
  <c r="F4461" i="2"/>
  <c r="G4461" i="2" s="1"/>
  <c r="K4460" i="2"/>
  <c r="E4462" i="2" l="1"/>
  <c r="G4462" i="2" s="1"/>
  <c r="H4462" i="2"/>
  <c r="J4461" i="2"/>
  <c r="I4462" i="2"/>
  <c r="K4461" i="2"/>
  <c r="E4463" i="2" l="1"/>
  <c r="G4463" i="2" s="1"/>
  <c r="H4463" i="2"/>
  <c r="J4462" i="2"/>
  <c r="K4462" i="2" s="1"/>
  <c r="I4463" i="2"/>
  <c r="F4464" i="2" l="1"/>
  <c r="G4464" i="2" s="1"/>
  <c r="H4464" i="2"/>
  <c r="I4464" i="2"/>
  <c r="J4463" i="2"/>
  <c r="K4463" i="2" s="1"/>
  <c r="F4465" i="2" l="1"/>
  <c r="G4465" i="2" s="1"/>
  <c r="H4465" i="2"/>
  <c r="I4465" i="2"/>
  <c r="J4464" i="2"/>
  <c r="K4464" i="2" s="1"/>
  <c r="E4466" i="2" l="1"/>
  <c r="G4466" i="2" s="1"/>
  <c r="H4466" i="2"/>
  <c r="I4466" i="2"/>
  <c r="J4465" i="2"/>
  <c r="K4465" i="2" s="1"/>
  <c r="F4467" i="2" l="1"/>
  <c r="G4467" i="2" s="1"/>
  <c r="H4467" i="2"/>
  <c r="I4467" i="2"/>
  <c r="J4466" i="2"/>
  <c r="K4466" i="2" s="1"/>
  <c r="H4468" i="2" l="1"/>
  <c r="I4468" i="2"/>
  <c r="J4467" i="2"/>
  <c r="K4467" i="2" s="1"/>
  <c r="F4468" i="2"/>
  <c r="G4468" i="2" s="1"/>
  <c r="H4469" i="2" l="1"/>
  <c r="I4469" i="2"/>
  <c r="J4468" i="2"/>
  <c r="K4468" i="2" s="1"/>
  <c r="E4469" i="2"/>
  <c r="G4469" i="2" s="1"/>
  <c r="E4470" i="2" l="1"/>
  <c r="G4470" i="2" s="1"/>
  <c r="H4470" i="2"/>
  <c r="J4469" i="2"/>
  <c r="I4470" i="2"/>
  <c r="K4469" i="2"/>
  <c r="F4471" i="2" l="1"/>
  <c r="G4471" i="2" s="1"/>
  <c r="H4471" i="2"/>
  <c r="J4470" i="2"/>
  <c r="K4470" i="2" s="1"/>
  <c r="I4471" i="2"/>
  <c r="E4472" i="2" l="1"/>
  <c r="G4472" i="2" s="1"/>
  <c r="H4472" i="2"/>
  <c r="I4472" i="2"/>
  <c r="J4471" i="2"/>
  <c r="K4471" i="2" s="1"/>
  <c r="F4473" i="2" l="1"/>
  <c r="G4473" i="2" s="1"/>
  <c r="H4473" i="2"/>
  <c r="I4473" i="2"/>
  <c r="J4472" i="2"/>
  <c r="K4472" i="2" s="1"/>
  <c r="F4474" i="2" l="1"/>
  <c r="G4474" i="2" s="1"/>
  <c r="H4474" i="2"/>
  <c r="I4474" i="2"/>
  <c r="J4473" i="2"/>
  <c r="K4473" i="2" s="1"/>
  <c r="H4475" i="2" l="1"/>
  <c r="I4475" i="2"/>
  <c r="J4474" i="2"/>
  <c r="K4474" i="2" s="1"/>
  <c r="E4475" i="2"/>
  <c r="G4475" i="2" s="1"/>
  <c r="H4476" i="2" l="1"/>
  <c r="I4476" i="2"/>
  <c r="J4475" i="2"/>
  <c r="F4476" i="2"/>
  <c r="G4476" i="2" s="1"/>
  <c r="K4475" i="2"/>
  <c r="H4477" i="2" l="1"/>
  <c r="I4477" i="2"/>
  <c r="J4476" i="2"/>
  <c r="F4477" i="2"/>
  <c r="G4477" i="2" s="1"/>
  <c r="K4476" i="2"/>
  <c r="F4478" i="2" l="1"/>
  <c r="G4478" i="2" s="1"/>
  <c r="H4478" i="2"/>
  <c r="J4477" i="2"/>
  <c r="I4478" i="2"/>
  <c r="K4477" i="2"/>
  <c r="F4479" i="2" l="1"/>
  <c r="G4479" i="2" s="1"/>
  <c r="H4479" i="2"/>
  <c r="I4479" i="2"/>
  <c r="J4478" i="2"/>
  <c r="K4478" i="2" s="1"/>
  <c r="E4480" i="2" l="1"/>
  <c r="G4480" i="2" s="1"/>
  <c r="H4480" i="2"/>
  <c r="I4480" i="2"/>
  <c r="J4479" i="2"/>
  <c r="K4479" i="2" s="1"/>
  <c r="F4481" i="2" l="1"/>
  <c r="G4481" i="2" s="1"/>
  <c r="H4481" i="2"/>
  <c r="I4481" i="2"/>
  <c r="J4480" i="2"/>
  <c r="K4480" i="2" s="1"/>
  <c r="F4482" i="2" l="1"/>
  <c r="G4482" i="2" s="1"/>
  <c r="I4482" i="2"/>
  <c r="H4482" i="2"/>
  <c r="J4481" i="2"/>
  <c r="K4481" i="2" s="1"/>
  <c r="H4483" i="2" l="1"/>
  <c r="I4483" i="2"/>
  <c r="J4482" i="2"/>
  <c r="E4483" i="2"/>
  <c r="G4483" i="2" s="1"/>
  <c r="K4482" i="2"/>
  <c r="H4484" i="2" l="1"/>
  <c r="I4484" i="2"/>
  <c r="J4483" i="2"/>
  <c r="E4484" i="2"/>
  <c r="G4484" i="2" s="1"/>
  <c r="K4483" i="2"/>
  <c r="H4485" i="2" l="1"/>
  <c r="I4485" i="2"/>
  <c r="J4484" i="2"/>
  <c r="E4485" i="2"/>
  <c r="G4485" i="2" s="1"/>
  <c r="K4484" i="2"/>
  <c r="E4486" i="2" l="1"/>
  <c r="G4486" i="2" s="1"/>
  <c r="H4486" i="2"/>
  <c r="J4485" i="2"/>
  <c r="I4486" i="2"/>
  <c r="K4485" i="2"/>
  <c r="E4487" i="2" l="1"/>
  <c r="G4487" i="2" s="1"/>
  <c r="H4487" i="2"/>
  <c r="J4486" i="2"/>
  <c r="K4486" i="2" s="1"/>
  <c r="I4487" i="2"/>
  <c r="K4487" i="2" l="1"/>
  <c r="F4488" i="2"/>
  <c r="G4488" i="2" s="1"/>
  <c r="H4488" i="2"/>
  <c r="I4488" i="2"/>
  <c r="J4487" i="2"/>
  <c r="E4489" i="2" l="1"/>
  <c r="G4489" i="2" s="1"/>
  <c r="H4489" i="2"/>
  <c r="I4489" i="2"/>
  <c r="J4488" i="2"/>
  <c r="K4488" i="2" s="1"/>
  <c r="K4489" i="2" l="1"/>
  <c r="F4490" i="2"/>
  <c r="G4490" i="2" s="1"/>
  <c r="H4490" i="2"/>
  <c r="I4490" i="2"/>
  <c r="J4489" i="2"/>
  <c r="H4491" i="2" l="1"/>
  <c r="I4491" i="2"/>
  <c r="J4490" i="2"/>
  <c r="K4490" i="2" s="1"/>
  <c r="E4491" i="2"/>
  <c r="G4491" i="2" s="1"/>
  <c r="H4492" i="2" l="1"/>
  <c r="I4492" i="2"/>
  <c r="J4491" i="2"/>
  <c r="F4492" i="2"/>
  <c r="G4492" i="2" s="1"/>
  <c r="K4491" i="2"/>
  <c r="H4493" i="2" l="1"/>
  <c r="I4493" i="2"/>
  <c r="J4492" i="2"/>
  <c r="K4492" i="2" s="1"/>
  <c r="F4493" i="2"/>
  <c r="G4493" i="2" s="1"/>
  <c r="F4494" i="2" l="1"/>
  <c r="G4494" i="2" s="1"/>
  <c r="H4494" i="2"/>
  <c r="J4493" i="2"/>
  <c r="I4494" i="2"/>
  <c r="K4493" i="2"/>
  <c r="E4495" i="2" l="1"/>
  <c r="G4495" i="2" s="1"/>
  <c r="H4495" i="2"/>
  <c r="J4494" i="2"/>
  <c r="K4494" i="2" s="1"/>
  <c r="I4495" i="2"/>
  <c r="E4496" i="2" l="1"/>
  <c r="G4496" i="2" s="1"/>
  <c r="H4496" i="2"/>
  <c r="I4496" i="2"/>
  <c r="J4495" i="2"/>
  <c r="K4495" i="2" s="1"/>
  <c r="F4497" i="2" l="1"/>
  <c r="G4497" i="2" s="1"/>
  <c r="H4497" i="2"/>
  <c r="I4497" i="2"/>
  <c r="J4496" i="2"/>
  <c r="K4496" i="2" s="1"/>
  <c r="E4498" i="2" l="1"/>
  <c r="G4498" i="2" s="1"/>
  <c r="H4498" i="2"/>
  <c r="I4498" i="2"/>
  <c r="J4497" i="2"/>
  <c r="K4497" i="2" s="1"/>
  <c r="H4499" i="2" l="1"/>
  <c r="I4499" i="2"/>
  <c r="J4498" i="2"/>
  <c r="K4498" i="2" s="1"/>
  <c r="F4499" i="2"/>
  <c r="G4499" i="2" s="1"/>
  <c r="H4500" i="2" l="1"/>
  <c r="I4500" i="2"/>
  <c r="J4499" i="2"/>
  <c r="F4500" i="2"/>
  <c r="G4500" i="2" s="1"/>
  <c r="K4499" i="2"/>
  <c r="H4501" i="2" l="1"/>
  <c r="I4501" i="2"/>
  <c r="J4500" i="2"/>
  <c r="K4500" i="2" s="1"/>
  <c r="E4501" i="2"/>
  <c r="G4501" i="2" s="1"/>
  <c r="E4502" i="2" l="1"/>
  <c r="G4502" i="2" s="1"/>
  <c r="H4502" i="2"/>
  <c r="J4501" i="2"/>
  <c r="K4501" i="2" s="1"/>
  <c r="I4502" i="2"/>
  <c r="E4503" i="2" l="1"/>
  <c r="G4503" i="2" s="1"/>
  <c r="H4503" i="2"/>
  <c r="J4502" i="2"/>
  <c r="K4502" i="2" s="1"/>
  <c r="I4503" i="2"/>
  <c r="F4504" i="2" l="1"/>
  <c r="G4504" i="2" s="1"/>
  <c r="H4504" i="2"/>
  <c r="I4504" i="2"/>
  <c r="J4503" i="2"/>
  <c r="K4503" i="2"/>
  <c r="F4505" i="2" l="1"/>
  <c r="G4505" i="2" s="1"/>
  <c r="H4505" i="2"/>
  <c r="I4505" i="2"/>
  <c r="J4504" i="2"/>
  <c r="K4504" i="2" s="1"/>
  <c r="F4506" i="2" l="1"/>
  <c r="G4506" i="2" s="1"/>
  <c r="H4506" i="2"/>
  <c r="I4506" i="2"/>
  <c r="J4505" i="2"/>
  <c r="K4505" i="2"/>
  <c r="H4507" i="2" l="1"/>
  <c r="I4507" i="2"/>
  <c r="J4506" i="2"/>
  <c r="K4506" i="2" s="1"/>
  <c r="E4507" i="2"/>
  <c r="G4507" i="2" s="1"/>
  <c r="H4508" i="2" l="1"/>
  <c r="I4508" i="2"/>
  <c r="J4507" i="2"/>
  <c r="F4508" i="2"/>
  <c r="G4508" i="2" s="1"/>
  <c r="K4507" i="2"/>
  <c r="H4509" i="2" l="1"/>
  <c r="I4509" i="2"/>
  <c r="J4508" i="2"/>
  <c r="E4509" i="2"/>
  <c r="G4509" i="2" s="1"/>
  <c r="K4508" i="2"/>
  <c r="F4510" i="2" l="1"/>
  <c r="G4510" i="2" s="1"/>
  <c r="H4510" i="2"/>
  <c r="J4509" i="2"/>
  <c r="I4510" i="2"/>
  <c r="K4509" i="2"/>
  <c r="K4510" i="2" l="1"/>
  <c r="F4511" i="2"/>
  <c r="G4511" i="2" s="1"/>
  <c r="H4511" i="2"/>
  <c r="I4511" i="2"/>
  <c r="J4510" i="2"/>
  <c r="E4512" i="2" l="1"/>
  <c r="G4512" i="2" s="1"/>
  <c r="H4512" i="2"/>
  <c r="I4512" i="2"/>
  <c r="J4511" i="2"/>
  <c r="K4511" i="2" s="1"/>
  <c r="F4513" i="2" l="1"/>
  <c r="G4513" i="2" s="1"/>
  <c r="H4513" i="2"/>
  <c r="I4513" i="2"/>
  <c r="J4512" i="2"/>
  <c r="K4512" i="2" s="1"/>
  <c r="F4514" i="2" l="1"/>
  <c r="G4514" i="2" s="1"/>
  <c r="H4514" i="2"/>
  <c r="I4514" i="2"/>
  <c r="J4513" i="2"/>
  <c r="K4513" i="2" s="1"/>
  <c r="H4515" i="2" l="1"/>
  <c r="I4515" i="2"/>
  <c r="J4514" i="2"/>
  <c r="K4514" i="2" s="1"/>
  <c r="E4515" i="2"/>
  <c r="G4515" i="2" s="1"/>
  <c r="H4516" i="2" l="1"/>
  <c r="I4516" i="2"/>
  <c r="J4515" i="2"/>
  <c r="K4515" i="2" s="1"/>
  <c r="E4516" i="2"/>
  <c r="G4516" i="2" s="1"/>
  <c r="H4517" i="2" l="1"/>
  <c r="I4517" i="2"/>
  <c r="J4516" i="2"/>
  <c r="F4517" i="2"/>
  <c r="G4517" i="2" s="1"/>
  <c r="K4516" i="2"/>
  <c r="E4518" i="2" l="1"/>
  <c r="G4518" i="2" s="1"/>
  <c r="H4518" i="2"/>
  <c r="J4517" i="2"/>
  <c r="I4518" i="2"/>
  <c r="K4517" i="2"/>
  <c r="E4519" i="2" l="1"/>
  <c r="G4519" i="2" s="1"/>
  <c r="H4519" i="2"/>
  <c r="J4518" i="2"/>
  <c r="K4518" i="2" s="1"/>
  <c r="I4519" i="2"/>
  <c r="E4520" i="2" l="1"/>
  <c r="G4520" i="2" s="1"/>
  <c r="H4520" i="2"/>
  <c r="I4520" i="2"/>
  <c r="J4519" i="2"/>
  <c r="K4519" i="2" s="1"/>
  <c r="E4521" i="2" l="1"/>
  <c r="G4521" i="2" s="1"/>
  <c r="I4521" i="2"/>
  <c r="H4521" i="2"/>
  <c r="J4520" i="2"/>
  <c r="K4520" i="2"/>
  <c r="E4522" i="2" l="1"/>
  <c r="G4522" i="2" s="1"/>
  <c r="H4522" i="2"/>
  <c r="I4522" i="2"/>
  <c r="J4521" i="2"/>
  <c r="K4521" i="2" s="1"/>
  <c r="H4523" i="2" l="1"/>
  <c r="I4523" i="2"/>
  <c r="J4522" i="2"/>
  <c r="K4522" i="2" s="1"/>
  <c r="E4523" i="2"/>
  <c r="G4523" i="2" s="1"/>
  <c r="H4524" i="2" l="1"/>
  <c r="I4524" i="2"/>
  <c r="J4523" i="2"/>
  <c r="K4523" i="2" s="1"/>
  <c r="F4524" i="2"/>
  <c r="G4524" i="2" s="1"/>
  <c r="H4525" i="2" l="1"/>
  <c r="I4525" i="2"/>
  <c r="J4524" i="2"/>
  <c r="E4525" i="2"/>
  <c r="G4525" i="2" s="1"/>
  <c r="K4524" i="2"/>
  <c r="F4526" i="2" l="1"/>
  <c r="G4526" i="2" s="1"/>
  <c r="H4526" i="2"/>
  <c r="J4525" i="2"/>
  <c r="I4526" i="2"/>
  <c r="K4525" i="2"/>
  <c r="F4527" i="2" l="1"/>
  <c r="G4527" i="2" s="1"/>
  <c r="H4527" i="2"/>
  <c r="J4526" i="2"/>
  <c r="K4526" i="2" s="1"/>
  <c r="I4527" i="2"/>
  <c r="F4528" i="2" l="1"/>
  <c r="G4528" i="2" s="1"/>
  <c r="H4528" i="2"/>
  <c r="I4528" i="2"/>
  <c r="J4527" i="2"/>
  <c r="K4527" i="2" s="1"/>
  <c r="E4529" i="2" l="1"/>
  <c r="G4529" i="2" s="1"/>
  <c r="H4529" i="2"/>
  <c r="I4529" i="2"/>
  <c r="J4528" i="2"/>
  <c r="K4528" i="2" s="1"/>
  <c r="F4530" i="2" l="1"/>
  <c r="G4530" i="2" s="1"/>
  <c r="H4530" i="2"/>
  <c r="I4530" i="2"/>
  <c r="J4529" i="2"/>
  <c r="K4529" i="2" s="1"/>
  <c r="H4531" i="2" l="1"/>
  <c r="I4531" i="2"/>
  <c r="J4530" i="2"/>
  <c r="K4530" i="2" s="1"/>
  <c r="F4531" i="2"/>
  <c r="G4531" i="2" s="1"/>
  <c r="K4531" i="2" l="1"/>
  <c r="H4532" i="2"/>
  <c r="I4532" i="2"/>
  <c r="J4531" i="2"/>
  <c r="F4532" i="2"/>
  <c r="G4532" i="2" s="1"/>
  <c r="H4533" i="2" l="1"/>
  <c r="I4533" i="2"/>
  <c r="J4532" i="2"/>
  <c r="E4533" i="2"/>
  <c r="G4533" i="2" s="1"/>
  <c r="K4532" i="2"/>
  <c r="E4534" i="2" l="1"/>
  <c r="G4534" i="2" s="1"/>
  <c r="H4534" i="2"/>
  <c r="J4533" i="2"/>
  <c r="K4533" i="2" s="1"/>
  <c r="I4534" i="2"/>
  <c r="F4535" i="2" l="1"/>
  <c r="G4535" i="2" s="1"/>
  <c r="H4535" i="2"/>
  <c r="J4534" i="2"/>
  <c r="K4534" i="2" s="1"/>
  <c r="I4535" i="2"/>
  <c r="E4536" i="2" l="1"/>
  <c r="G4536" i="2" s="1"/>
  <c r="H4536" i="2"/>
  <c r="I4536" i="2"/>
  <c r="J4535" i="2"/>
  <c r="K4535" i="2" s="1"/>
  <c r="E4537" i="2" l="1"/>
  <c r="G4537" i="2" s="1"/>
  <c r="H4537" i="2"/>
  <c r="I4537" i="2"/>
  <c r="J4536" i="2"/>
  <c r="K4536" i="2" s="1"/>
  <c r="E4538" i="2" l="1"/>
  <c r="G4538" i="2" s="1"/>
  <c r="H4538" i="2"/>
  <c r="I4538" i="2"/>
  <c r="J4537" i="2"/>
  <c r="K4537" i="2"/>
  <c r="H4539" i="2" l="1"/>
  <c r="I4539" i="2"/>
  <c r="J4538" i="2"/>
  <c r="K4538" i="2" s="1"/>
  <c r="F4539" i="2"/>
  <c r="G4539" i="2" s="1"/>
  <c r="H4540" i="2" l="1"/>
  <c r="I4540" i="2"/>
  <c r="J4539" i="2"/>
  <c r="F4540" i="2"/>
  <c r="G4540" i="2" s="1"/>
  <c r="K4539" i="2"/>
  <c r="H4541" i="2" l="1"/>
  <c r="I4541" i="2"/>
  <c r="J4540" i="2"/>
  <c r="E4541" i="2"/>
  <c r="G4541" i="2" s="1"/>
  <c r="K4540" i="2"/>
  <c r="F4542" i="2" l="1"/>
  <c r="G4542" i="2" s="1"/>
  <c r="H4542" i="2"/>
  <c r="J4541" i="2"/>
  <c r="I4542" i="2"/>
  <c r="K4541" i="2"/>
  <c r="F4543" i="2" l="1"/>
  <c r="G4543" i="2" s="1"/>
  <c r="H4543" i="2"/>
  <c r="I4543" i="2"/>
  <c r="J4542" i="2"/>
  <c r="K4542" i="2" s="1"/>
  <c r="E4544" i="2" l="1"/>
  <c r="G4544" i="2" s="1"/>
  <c r="J4544" i="2" s="1"/>
  <c r="H4544" i="2"/>
  <c r="I4544" i="2"/>
  <c r="J4543" i="2"/>
  <c r="K4543" i="2" s="1"/>
  <c r="K4544" i="2" l="1"/>
  <c r="N1" i="2" s="1"/>
</calcChain>
</file>

<file path=xl/sharedStrings.xml><?xml version="1.0" encoding="utf-8"?>
<sst xmlns="http://schemas.openxmlformats.org/spreadsheetml/2006/main" count="9103" uniqueCount="898">
  <si>
    <t>L44</t>
  </si>
  <si>
    <t>R26</t>
  </si>
  <si>
    <t>L38</t>
  </si>
  <si>
    <t>R44</t>
  </si>
  <si>
    <t>R3</t>
  </si>
  <si>
    <t>R1</t>
  </si>
  <si>
    <t>R49</t>
  </si>
  <si>
    <t>R14</t>
  </si>
  <si>
    <t>R18</t>
  </si>
  <si>
    <t>L9</t>
  </si>
  <si>
    <t>L35</t>
  </si>
  <si>
    <t>L34</t>
  </si>
  <si>
    <t>L11</t>
  </si>
  <si>
    <t>R12</t>
  </si>
  <si>
    <t>L43</t>
  </si>
  <si>
    <t>R36</t>
  </si>
  <si>
    <t>L10</t>
  </si>
  <si>
    <t>L50</t>
  </si>
  <si>
    <t>L46</t>
  </si>
  <si>
    <t>R47</t>
  </si>
  <si>
    <t>R46</t>
  </si>
  <si>
    <t>L36</t>
  </si>
  <si>
    <t>L37</t>
  </si>
  <si>
    <t>L8</t>
  </si>
  <si>
    <t>L49</t>
  </si>
  <si>
    <t>L20</t>
  </si>
  <si>
    <t>R6</t>
  </si>
  <si>
    <t>L14</t>
  </si>
  <si>
    <t>R30</t>
  </si>
  <si>
    <t>L33</t>
  </si>
  <si>
    <t>R48</t>
  </si>
  <si>
    <t>L13</t>
  </si>
  <si>
    <t>L28</t>
  </si>
  <si>
    <t>R22</t>
  </si>
  <si>
    <t>L15</t>
  </si>
  <si>
    <t>L2</t>
  </si>
  <si>
    <t>R50</t>
  </si>
  <si>
    <t>L42</t>
  </si>
  <si>
    <t>R15</t>
  </si>
  <si>
    <t>R32</t>
  </si>
  <si>
    <t>R52</t>
  </si>
  <si>
    <t>L7</t>
  </si>
  <si>
    <t>L27</t>
  </si>
  <si>
    <t>R90</t>
  </si>
  <si>
    <t>R96</t>
  </si>
  <si>
    <t>L96</t>
  </si>
  <si>
    <t>L97</t>
  </si>
  <si>
    <t>R97</t>
  </si>
  <si>
    <t>R81</t>
  </si>
  <si>
    <t>L93</t>
  </si>
  <si>
    <t>R78</t>
  </si>
  <si>
    <t>L25</t>
  </si>
  <si>
    <t>R11</t>
  </si>
  <si>
    <t>L56</t>
  </si>
  <si>
    <t>L75</t>
  </si>
  <si>
    <t>L82</t>
  </si>
  <si>
    <t>R42</t>
  </si>
  <si>
    <t>R29</t>
  </si>
  <si>
    <t>L30</t>
  </si>
  <si>
    <t>L6</t>
  </si>
  <si>
    <t>R86</t>
  </si>
  <si>
    <t>L16</t>
  </si>
  <si>
    <t>L57</t>
  </si>
  <si>
    <t>R57</t>
  </si>
  <si>
    <t>R10</t>
  </si>
  <si>
    <t>L19</t>
  </si>
  <si>
    <t>R45</t>
  </si>
  <si>
    <t>R33</t>
  </si>
  <si>
    <t>L80</t>
  </si>
  <si>
    <t>R27</t>
  </si>
  <si>
    <t>R73</t>
  </si>
  <si>
    <t>R23</t>
  </si>
  <si>
    <t>R43</t>
  </si>
  <si>
    <t>R21</t>
  </si>
  <si>
    <t>R93</t>
  </si>
  <si>
    <t>R2</t>
  </si>
  <si>
    <t>R37</t>
  </si>
  <si>
    <t>R74</t>
  </si>
  <si>
    <t>R478</t>
  </si>
  <si>
    <t>L45</t>
  </si>
  <si>
    <t>L48</t>
  </si>
  <si>
    <t>R17</t>
  </si>
  <si>
    <t>L55</t>
  </si>
  <si>
    <t>R79</t>
  </si>
  <si>
    <t>R88</t>
  </si>
  <si>
    <t>L717</t>
  </si>
  <si>
    <t>R760</t>
  </si>
  <si>
    <t>L485</t>
  </si>
  <si>
    <t>R53</t>
  </si>
  <si>
    <t>L91</t>
  </si>
  <si>
    <t>R114</t>
  </si>
  <si>
    <t>L22</t>
  </si>
  <si>
    <t>R265</t>
  </si>
  <si>
    <t>L910</t>
  </si>
  <si>
    <t>L71</t>
  </si>
  <si>
    <t>L78</t>
  </si>
  <si>
    <t>R671</t>
  </si>
  <si>
    <t>L197</t>
  </si>
  <si>
    <t>L65</t>
  </si>
  <si>
    <t>R126</t>
  </si>
  <si>
    <t>R58</t>
  </si>
  <si>
    <t>R148</t>
  </si>
  <si>
    <t>R39</t>
  </si>
  <si>
    <t>R761</t>
  </si>
  <si>
    <t>R59</t>
  </si>
  <si>
    <t>R98</t>
  </si>
  <si>
    <t>R41</t>
  </si>
  <si>
    <t>R928</t>
  </si>
  <si>
    <t>R66</t>
  </si>
  <si>
    <t>L766</t>
  </si>
  <si>
    <t>L81</t>
  </si>
  <si>
    <t>R64</t>
  </si>
  <si>
    <t>R833</t>
  </si>
  <si>
    <t>L330</t>
  </si>
  <si>
    <t>R70</t>
  </si>
  <si>
    <t>L29</t>
  </si>
  <si>
    <t>L58</t>
  </si>
  <si>
    <t>L313</t>
  </si>
  <si>
    <t>L492</t>
  </si>
  <si>
    <t>L77</t>
  </si>
  <si>
    <t>L23</t>
  </si>
  <si>
    <t>L69</t>
  </si>
  <si>
    <t>R75</t>
  </si>
  <si>
    <t>L63</t>
  </si>
  <si>
    <t>R599</t>
  </si>
  <si>
    <t>L76</t>
  </si>
  <si>
    <t>R65</t>
  </si>
  <si>
    <t>L62</t>
  </si>
  <si>
    <t>R92</t>
  </si>
  <si>
    <t>R8</t>
  </si>
  <si>
    <t>L350</t>
  </si>
  <si>
    <t>R99</t>
  </si>
  <si>
    <t>L51</t>
  </si>
  <si>
    <t>R677</t>
  </si>
  <si>
    <t>L95</t>
  </si>
  <si>
    <t>R69</t>
  </si>
  <si>
    <t>L72</t>
  </si>
  <si>
    <t>R28</t>
  </si>
  <si>
    <t>L94</t>
  </si>
  <si>
    <t>R38</t>
  </si>
  <si>
    <t>L61</t>
  </si>
  <si>
    <t>L90</t>
  </si>
  <si>
    <t>L745</t>
  </si>
  <si>
    <t>R398</t>
  </si>
  <si>
    <t>R579</t>
  </si>
  <si>
    <t>L83</t>
  </si>
  <si>
    <t>R4</t>
  </si>
  <si>
    <t>L244</t>
  </si>
  <si>
    <t>R80</t>
  </si>
  <si>
    <t>L415</t>
  </si>
  <si>
    <t>R953</t>
  </si>
  <si>
    <t>L74</t>
  </si>
  <si>
    <t>L992</t>
  </si>
  <si>
    <t>L241</t>
  </si>
  <si>
    <t>L206</t>
  </si>
  <si>
    <t>L18</t>
  </si>
  <si>
    <t>L458</t>
  </si>
  <si>
    <t>R68</t>
  </si>
  <si>
    <t>L24</t>
  </si>
  <si>
    <t>R24</t>
  </si>
  <si>
    <t>L965</t>
  </si>
  <si>
    <t>R76</t>
  </si>
  <si>
    <t>R871</t>
  </si>
  <si>
    <t>R553</t>
  </si>
  <si>
    <t>R85</t>
  </si>
  <si>
    <t>R55</t>
  </si>
  <si>
    <t>L922</t>
  </si>
  <si>
    <t>L59</t>
  </si>
  <si>
    <t>R254</t>
  </si>
  <si>
    <t>L261</t>
  </si>
  <si>
    <t>L642</t>
  </si>
  <si>
    <t>L73</t>
  </si>
  <si>
    <t>L66</t>
  </si>
  <si>
    <t>L549</t>
  </si>
  <si>
    <t>L92</t>
  </si>
  <si>
    <t>L1</t>
  </si>
  <si>
    <t>L967</t>
  </si>
  <si>
    <t>L417</t>
  </si>
  <si>
    <t>L921</t>
  </si>
  <si>
    <t>L54</t>
  </si>
  <si>
    <t>L181</t>
  </si>
  <si>
    <t>L53</t>
  </si>
  <si>
    <t>L3</t>
  </si>
  <si>
    <t>L67</t>
  </si>
  <si>
    <t>R728</t>
  </si>
  <si>
    <t>R61</t>
  </si>
  <si>
    <t>L84</t>
  </si>
  <si>
    <t>R20</t>
  </si>
  <si>
    <t>R5</t>
  </si>
  <si>
    <t>L838</t>
  </si>
  <si>
    <t>R278</t>
  </si>
  <si>
    <t>L5</t>
  </si>
  <si>
    <t>L52</t>
  </si>
  <si>
    <t>L12</t>
  </si>
  <si>
    <t>R51</t>
  </si>
  <si>
    <t>R40</t>
  </si>
  <si>
    <t>L583</t>
  </si>
  <si>
    <t>R597</t>
  </si>
  <si>
    <t>L319</t>
  </si>
  <si>
    <t>R517</t>
  </si>
  <si>
    <t>R567</t>
  </si>
  <si>
    <t>R31</t>
  </si>
  <si>
    <t>L302</t>
  </si>
  <si>
    <t>R737</t>
  </si>
  <si>
    <t>R320</t>
  </si>
  <si>
    <t>R83</t>
  </si>
  <si>
    <t>R62</t>
  </si>
  <si>
    <t>L89</t>
  </si>
  <si>
    <t>R639</t>
  </si>
  <si>
    <t>L86</t>
  </si>
  <si>
    <t>R89</t>
  </si>
  <si>
    <t>L781</t>
  </si>
  <si>
    <t>R77</t>
  </si>
  <si>
    <t>R87</t>
  </si>
  <si>
    <t>R848</t>
  </si>
  <si>
    <t>L314</t>
  </si>
  <si>
    <t>R54</t>
  </si>
  <si>
    <t>R91</t>
  </si>
  <si>
    <t>R35</t>
  </si>
  <si>
    <t>L64</t>
  </si>
  <si>
    <t>L290</t>
  </si>
  <si>
    <t>R815</t>
  </si>
  <si>
    <t>R401</t>
  </si>
  <si>
    <t>L87</t>
  </si>
  <si>
    <t>L158</t>
  </si>
  <si>
    <t>R437</t>
  </si>
  <si>
    <t>L31</t>
  </si>
  <si>
    <t>L448</t>
  </si>
  <si>
    <t>R916</t>
  </si>
  <si>
    <t>R775</t>
  </si>
  <si>
    <t>L798</t>
  </si>
  <si>
    <t>R498</t>
  </si>
  <si>
    <t>R893</t>
  </si>
  <si>
    <t>R124</t>
  </si>
  <si>
    <t>R82</t>
  </si>
  <si>
    <t>L909</t>
  </si>
  <si>
    <t>L948</t>
  </si>
  <si>
    <t>R228</t>
  </si>
  <si>
    <t>R684</t>
  </si>
  <si>
    <t>L376</t>
  </si>
  <si>
    <t>R495</t>
  </si>
  <si>
    <t>R60</t>
  </si>
  <si>
    <t>R813</t>
  </si>
  <si>
    <t>R529</t>
  </si>
  <si>
    <t>L98</t>
  </si>
  <si>
    <t>R71</t>
  </si>
  <si>
    <t>L490</t>
  </si>
  <si>
    <t>L854</t>
  </si>
  <si>
    <t>L184</t>
  </si>
  <si>
    <t>R419</t>
  </si>
  <si>
    <t>R222</t>
  </si>
  <si>
    <t>L908</t>
  </si>
  <si>
    <t>L99</t>
  </si>
  <si>
    <t>R94</t>
  </si>
  <si>
    <t>R84</t>
  </si>
  <si>
    <t>R16</t>
  </si>
  <si>
    <t>R13</t>
  </si>
  <si>
    <t>R527</t>
  </si>
  <si>
    <t>L268</t>
  </si>
  <si>
    <t>R640</t>
  </si>
  <si>
    <t>L85</t>
  </si>
  <si>
    <t>L737</t>
  </si>
  <si>
    <t>R396</t>
  </si>
  <si>
    <t>R670</t>
  </si>
  <si>
    <t>L21</t>
  </si>
  <si>
    <t>L480</t>
  </si>
  <si>
    <t>L665</t>
  </si>
  <si>
    <t>L39</t>
  </si>
  <si>
    <t>L393</t>
  </si>
  <si>
    <t>L707</t>
  </si>
  <si>
    <t>R977</t>
  </si>
  <si>
    <t>R307</t>
  </si>
  <si>
    <t>R56</t>
  </si>
  <si>
    <t>L360</t>
  </si>
  <si>
    <t>R140</t>
  </si>
  <si>
    <t>R397</t>
  </si>
  <si>
    <t>L60</t>
  </si>
  <si>
    <t>L260</t>
  </si>
  <si>
    <t>L40</t>
  </si>
  <si>
    <t>R34</t>
  </si>
  <si>
    <t>R208</t>
  </si>
  <si>
    <t>L141</t>
  </si>
  <si>
    <t>L856</t>
  </si>
  <si>
    <t>L438</t>
  </si>
  <si>
    <t>R866</t>
  </si>
  <si>
    <t>R541</t>
  </si>
  <si>
    <t>L553</t>
  </si>
  <si>
    <t>L978</t>
  </si>
  <si>
    <t>R25</t>
  </si>
  <si>
    <t>R721</t>
  </si>
  <si>
    <t>R207</t>
  </si>
  <si>
    <t>L251</t>
  </si>
  <si>
    <t>L288</t>
  </si>
  <si>
    <t>R67</t>
  </si>
  <si>
    <t>R591</t>
  </si>
  <si>
    <t>L88</t>
  </si>
  <si>
    <t>R19</t>
  </si>
  <si>
    <t>R230</t>
  </si>
  <si>
    <t>L188</t>
  </si>
  <si>
    <t>R854</t>
  </si>
  <si>
    <t>R843</t>
  </si>
  <si>
    <t>L709</t>
  </si>
  <si>
    <t>R633</t>
  </si>
  <si>
    <t>R930</t>
  </si>
  <si>
    <t>L26</t>
  </si>
  <si>
    <t>L872</t>
  </si>
  <si>
    <t>L790</t>
  </si>
  <si>
    <t>R694</t>
  </si>
  <si>
    <t>R731</t>
  </si>
  <si>
    <t>L41</t>
  </si>
  <si>
    <t>R212</t>
  </si>
  <si>
    <t>L423</t>
  </si>
  <si>
    <t>R643</t>
  </si>
  <si>
    <t>L660</t>
  </si>
  <si>
    <t>L594</t>
  </si>
  <si>
    <t>L750</t>
  </si>
  <si>
    <t>L932</t>
  </si>
  <si>
    <t>L939</t>
  </si>
  <si>
    <t>L352</t>
  </si>
  <si>
    <t>L79</t>
  </si>
  <si>
    <t>L169</t>
  </si>
  <si>
    <t>L550</t>
  </si>
  <si>
    <t>L576</t>
  </si>
  <si>
    <t>R137</t>
  </si>
  <si>
    <t>R896</t>
  </si>
  <si>
    <t>L68</t>
  </si>
  <si>
    <t>L409</t>
  </si>
  <si>
    <t>L919</t>
  </si>
  <si>
    <t>L457</t>
  </si>
  <si>
    <t>R933</t>
  </si>
  <si>
    <t>L47</t>
  </si>
  <si>
    <t>R680</t>
  </si>
  <si>
    <t>L754</t>
  </si>
  <si>
    <t>L140</t>
  </si>
  <si>
    <t>L326</t>
  </si>
  <si>
    <t>R171</t>
  </si>
  <si>
    <t>R95</t>
  </si>
  <si>
    <t>L138</t>
  </si>
  <si>
    <t>R261</t>
  </si>
  <si>
    <t>R809</t>
  </si>
  <si>
    <t>L526</t>
  </si>
  <si>
    <t>L558</t>
  </si>
  <si>
    <t>L725</t>
  </si>
  <si>
    <t>L633</t>
  </si>
  <si>
    <t>R9</t>
  </si>
  <si>
    <t>L678</t>
  </si>
  <si>
    <t>L161</t>
  </si>
  <si>
    <t>R125</t>
  </si>
  <si>
    <t>R748</t>
  </si>
  <si>
    <t>L789</t>
  </si>
  <si>
    <t>R292</t>
  </si>
  <si>
    <t>R308</t>
  </si>
  <si>
    <t>L199</t>
  </si>
  <si>
    <t>R7</t>
  </si>
  <si>
    <t>R274</t>
  </si>
  <si>
    <t>R499</t>
  </si>
  <si>
    <t>L351</t>
  </si>
  <si>
    <t>R72</t>
  </si>
  <si>
    <t>R127</t>
  </si>
  <si>
    <t>L532</t>
  </si>
  <si>
    <t>R510</t>
  </si>
  <si>
    <t>L637</t>
  </si>
  <si>
    <t>L315</t>
  </si>
  <si>
    <t>R63</t>
  </si>
  <si>
    <t>L70</t>
  </si>
  <si>
    <t>R837</t>
  </si>
  <si>
    <t>R923</t>
  </si>
  <si>
    <t>R647</t>
  </si>
  <si>
    <t>L559</t>
  </si>
  <si>
    <t>R438</t>
  </si>
  <si>
    <t>L306</t>
  </si>
  <si>
    <t>L953</t>
  </si>
  <si>
    <t>L310</t>
  </si>
  <si>
    <t>L444</t>
  </si>
  <si>
    <t>R264</t>
  </si>
  <si>
    <t>R705</t>
  </si>
  <si>
    <t>R283</t>
  </si>
  <si>
    <t>L844</t>
  </si>
  <si>
    <t>R236</t>
  </si>
  <si>
    <t>L4</t>
  </si>
  <si>
    <t>L536</t>
  </si>
  <si>
    <t>R773</t>
  </si>
  <si>
    <t>L876</t>
  </si>
  <si>
    <t>R778</t>
  </si>
  <si>
    <t>L688</t>
  </si>
  <si>
    <t>R593</t>
  </si>
  <si>
    <t>R999</t>
  </si>
  <si>
    <t>L882</t>
  </si>
  <si>
    <t>L683</t>
  </si>
  <si>
    <t>L614</t>
  </si>
  <si>
    <t>L452</t>
  </si>
  <si>
    <t>R872</t>
  </si>
  <si>
    <t>L136</t>
  </si>
  <si>
    <t>R584</t>
  </si>
  <si>
    <t>L727</t>
  </si>
  <si>
    <t>L823</t>
  </si>
  <si>
    <t>R384</t>
  </si>
  <si>
    <t>R882</t>
  </si>
  <si>
    <t>R327</t>
  </si>
  <si>
    <t>R395</t>
  </si>
  <si>
    <t>L495</t>
  </si>
  <si>
    <t>L404</t>
  </si>
  <si>
    <t>R191</t>
  </si>
  <si>
    <t>L402</t>
  </si>
  <si>
    <t>R313</t>
  </si>
  <si>
    <t>L32</t>
  </si>
  <si>
    <t>L135</t>
  </si>
  <si>
    <t>R836</t>
  </si>
  <si>
    <t>L405</t>
  </si>
  <si>
    <t>R947</t>
  </si>
  <si>
    <t>R710</t>
  </si>
  <si>
    <t>R339</t>
  </si>
  <si>
    <t>R412</t>
  </si>
  <si>
    <t>L215</t>
  </si>
  <si>
    <t>R504</t>
  </si>
  <si>
    <t>L591</t>
  </si>
  <si>
    <t>R494</t>
  </si>
  <si>
    <t>R105</t>
  </si>
  <si>
    <t>L564</t>
  </si>
  <si>
    <t>L858</t>
  </si>
  <si>
    <t>R260</t>
  </si>
  <si>
    <t>L701</t>
  </si>
  <si>
    <t>L116</t>
  </si>
  <si>
    <t>R469</t>
  </si>
  <si>
    <t>L225</t>
  </si>
  <si>
    <t>L732</t>
  </si>
  <si>
    <t>L579</t>
  </si>
  <si>
    <t>R237</t>
  </si>
  <si>
    <t>L193</t>
  </si>
  <si>
    <t>R824</t>
  </si>
  <si>
    <t>L624</t>
  </si>
  <si>
    <t>R156</t>
  </si>
  <si>
    <t>R702</t>
  </si>
  <si>
    <t>L180</t>
  </si>
  <si>
    <t>L722</t>
  </si>
  <si>
    <t>R434</t>
  </si>
  <si>
    <t>L697</t>
  </si>
  <si>
    <t>L256</t>
  </si>
  <si>
    <t>R409</t>
  </si>
  <si>
    <t>R827</t>
  </si>
  <si>
    <t>L149</t>
  </si>
  <si>
    <t>L782</t>
  </si>
  <si>
    <t>L171</t>
  </si>
  <si>
    <t>L132</t>
  </si>
  <si>
    <t>L194</t>
  </si>
  <si>
    <t>L821</t>
  </si>
  <si>
    <t>R689</t>
  </si>
  <si>
    <t>R328</t>
  </si>
  <si>
    <t>L987</t>
  </si>
  <si>
    <t>L103</t>
  </si>
  <si>
    <t>R859</t>
  </si>
  <si>
    <t>R699</t>
  </si>
  <si>
    <t>L499</t>
  </si>
  <si>
    <t>R349</t>
  </si>
  <si>
    <t>L582</t>
  </si>
  <si>
    <t>L226</t>
  </si>
  <si>
    <t>L662</t>
  </si>
  <si>
    <t>L426</t>
  </si>
  <si>
    <t>L385</t>
  </si>
  <si>
    <t>L229</t>
  </si>
  <si>
    <t>R972</t>
  </si>
  <si>
    <t>L577</t>
  </si>
  <si>
    <t>L17</t>
  </si>
  <si>
    <t>R996</t>
  </si>
  <si>
    <t>R744</t>
  </si>
  <si>
    <t>L339</t>
  </si>
  <si>
    <t>L972</t>
  </si>
  <si>
    <t>R382</t>
  </si>
  <si>
    <t>L254</t>
  </si>
  <si>
    <t>L147</t>
  </si>
  <si>
    <t>L743</t>
  </si>
  <si>
    <t>R155</t>
  </si>
  <si>
    <t>R887</t>
  </si>
  <si>
    <t>L152</t>
  </si>
  <si>
    <t>R948</t>
  </si>
  <si>
    <t>L667</t>
  </si>
  <si>
    <t>L554</t>
  </si>
  <si>
    <t>L971</t>
  </si>
  <si>
    <t>R780</t>
  </si>
  <si>
    <t>L395</t>
  </si>
  <si>
    <t>R630</t>
  </si>
  <si>
    <t>R258</t>
  </si>
  <si>
    <t>L986</t>
  </si>
  <si>
    <t>R514</t>
  </si>
  <si>
    <t>L325</t>
  </si>
  <si>
    <t>L904</t>
  </si>
  <si>
    <t>L555</t>
  </si>
  <si>
    <t>R790</t>
  </si>
  <si>
    <t>R459</t>
  </si>
  <si>
    <t>L258</t>
  </si>
  <si>
    <t>R749</t>
  </si>
  <si>
    <t>L463</t>
  </si>
  <si>
    <t>L990</t>
  </si>
  <si>
    <t>L166</t>
  </si>
  <si>
    <t>R415</t>
  </si>
  <si>
    <t>L323</t>
  </si>
  <si>
    <t>R944</t>
  </si>
  <si>
    <t>R992</t>
  </si>
  <si>
    <t>L851</t>
  </si>
  <si>
    <t>L734</t>
  </si>
  <si>
    <t>L518</t>
  </si>
  <si>
    <t>R281</t>
  </si>
  <si>
    <t>L580</t>
  </si>
  <si>
    <t>R179</t>
  </si>
  <si>
    <t>R994</t>
  </si>
  <si>
    <t>L991</t>
  </si>
  <si>
    <t>L814</t>
  </si>
  <si>
    <t>L897</t>
  </si>
  <si>
    <t>R259</t>
  </si>
  <si>
    <t>L832</t>
  </si>
  <si>
    <t>R490</t>
  </si>
  <si>
    <t>L947</t>
  </si>
  <si>
    <t>L736</t>
  </si>
  <si>
    <t>R655</t>
  </si>
  <si>
    <t>R938</t>
  </si>
  <si>
    <t>L952</t>
  </si>
  <si>
    <t>L956</t>
  </si>
  <si>
    <t>R309</t>
  </si>
  <si>
    <t>R754</t>
  </si>
  <si>
    <t>R284</t>
  </si>
  <si>
    <t>R688</t>
  </si>
  <si>
    <t>L387</t>
  </si>
  <si>
    <t>L713</t>
  </si>
  <si>
    <t>R146</t>
  </si>
  <si>
    <t>R958</t>
  </si>
  <si>
    <t>R826</t>
  </si>
  <si>
    <t>L265</t>
  </si>
  <si>
    <t>L343</t>
  </si>
  <si>
    <t>L729</t>
  </si>
  <si>
    <t>L767</t>
  </si>
  <si>
    <t>L622</t>
  </si>
  <si>
    <t>L115</t>
  </si>
  <si>
    <t>R804</t>
  </si>
  <si>
    <t>L927</t>
  </si>
  <si>
    <t>R323</t>
  </si>
  <si>
    <t>L150</t>
  </si>
  <si>
    <t>L822</t>
  </si>
  <si>
    <t>R816</t>
  </si>
  <si>
    <t>L446</t>
  </si>
  <si>
    <t>R578</t>
  </si>
  <si>
    <t>L619</t>
  </si>
  <si>
    <t>R123</t>
  </si>
  <si>
    <t>L304</t>
  </si>
  <si>
    <t>R650</t>
  </si>
  <si>
    <t>R766</t>
  </si>
  <si>
    <t>L639</t>
  </si>
  <si>
    <t>R576</t>
  </si>
  <si>
    <t>L848</t>
  </si>
  <si>
    <t>L864</t>
  </si>
  <si>
    <t>L212</t>
  </si>
  <si>
    <t>R720</t>
  </si>
  <si>
    <t>L521</t>
  </si>
  <si>
    <t>R572</t>
  </si>
  <si>
    <t>R830</t>
  </si>
  <si>
    <t>L824</t>
  </si>
  <si>
    <t>L776</t>
  </si>
  <si>
    <t>L537</t>
  </si>
  <si>
    <t>L771</t>
  </si>
  <si>
    <t>L710</t>
  </si>
  <si>
    <t>R632</t>
  </si>
  <si>
    <t>L232</t>
  </si>
  <si>
    <t>R162</t>
  </si>
  <si>
    <t>L816</t>
  </si>
  <si>
    <t>R960</t>
  </si>
  <si>
    <t>L884</t>
  </si>
  <si>
    <t>L249</t>
  </si>
  <si>
    <t>L934</t>
  </si>
  <si>
    <t>L493</t>
  </si>
  <si>
    <t>L859</t>
  </si>
  <si>
    <t>R587</t>
  </si>
  <si>
    <t>L574</t>
  </si>
  <si>
    <t>L785</t>
  </si>
  <si>
    <t>R483</t>
  </si>
  <si>
    <t>L271</t>
  </si>
  <si>
    <t>R891</t>
  </si>
  <si>
    <t>R240</t>
  </si>
  <si>
    <t>R867</t>
  </si>
  <si>
    <t>L488</t>
  </si>
  <si>
    <t>L345</t>
  </si>
  <si>
    <t>L606</t>
  </si>
  <si>
    <t>L651</t>
  </si>
  <si>
    <t>L386</t>
  </si>
  <si>
    <t>L422</t>
  </si>
  <si>
    <t>R302</t>
  </si>
  <si>
    <t>R796</t>
  </si>
  <si>
    <t>R290</t>
  </si>
  <si>
    <t>R885</t>
  </si>
  <si>
    <t>R432</t>
  </si>
  <si>
    <t>L647</t>
  </si>
  <si>
    <t>R149</t>
  </si>
  <si>
    <t>L510</t>
  </si>
  <si>
    <t>R393</t>
  </si>
  <si>
    <t>L253</t>
  </si>
  <si>
    <t>R122</t>
  </si>
  <si>
    <t>L607</t>
  </si>
  <si>
    <t>L942</t>
  </si>
  <si>
    <t>R912</t>
  </si>
  <si>
    <t>R786</t>
  </si>
  <si>
    <t>L779</t>
  </si>
  <si>
    <t>L960</t>
  </si>
  <si>
    <t>R701</t>
  </si>
  <si>
    <t>R209</t>
  </si>
  <si>
    <t>R756</t>
  </si>
  <si>
    <t>L748</t>
  </si>
  <si>
    <t>L435</t>
  </si>
  <si>
    <t>R637</t>
  </si>
  <si>
    <t>L797</t>
  </si>
  <si>
    <t>R570</t>
  </si>
  <si>
    <t>L778</t>
  </si>
  <si>
    <t>L106</t>
  </si>
  <si>
    <t>L714</t>
  </si>
  <si>
    <t>R170</t>
  </si>
  <si>
    <t>L401</t>
  </si>
  <si>
    <t>R420</t>
  </si>
  <si>
    <t>R480</t>
  </si>
  <si>
    <t>L126</t>
  </si>
  <si>
    <t>R226</t>
  </si>
  <si>
    <t>L924</t>
  </si>
  <si>
    <t>R853</t>
  </si>
  <si>
    <t>L796</t>
  </si>
  <si>
    <t>L813</t>
  </si>
  <si>
    <t>L752</t>
  </si>
  <si>
    <t>L850</t>
  </si>
  <si>
    <t>R267</t>
  </si>
  <si>
    <t>L963</t>
  </si>
  <si>
    <t>R879</t>
  </si>
  <si>
    <t>R486</t>
  </si>
  <si>
    <t>R426</t>
  </si>
  <si>
    <t>R739</t>
  </si>
  <si>
    <t>L396</t>
  </si>
  <si>
    <t>R552</t>
  </si>
  <si>
    <t>R986</t>
  </si>
  <si>
    <t>L889</t>
  </si>
  <si>
    <t>R547</t>
  </si>
  <si>
    <t>R263</t>
  </si>
  <si>
    <t>R823</t>
  </si>
  <si>
    <t>L427</t>
  </si>
  <si>
    <t>R973</t>
  </si>
  <si>
    <t>L491</t>
  </si>
  <si>
    <t>L335</t>
  </si>
  <si>
    <t>R506</t>
  </si>
  <si>
    <t>L597</t>
  </si>
  <si>
    <t>R372</t>
  </si>
  <si>
    <t>R678</t>
  </si>
  <si>
    <t>R634</t>
  </si>
  <si>
    <t>L741</t>
  </si>
  <si>
    <t>R657</t>
  </si>
  <si>
    <t>L828</t>
  </si>
  <si>
    <t>L849</t>
  </si>
  <si>
    <t>R182</t>
  </si>
  <si>
    <t>R774</t>
  </si>
  <si>
    <t>R524</t>
  </si>
  <si>
    <t>R961</t>
  </si>
  <si>
    <t>L110</t>
  </si>
  <si>
    <t>L356</t>
  </si>
  <si>
    <t>L756</t>
  </si>
  <si>
    <t>L911</t>
  </si>
  <si>
    <t>R416</t>
  </si>
  <si>
    <t>R793</t>
  </si>
  <si>
    <t>R352</t>
  </si>
  <si>
    <t>R360</t>
  </si>
  <si>
    <t>R248</t>
  </si>
  <si>
    <t>L661</t>
  </si>
  <si>
    <t>R516</t>
  </si>
  <si>
    <t>R355</t>
  </si>
  <si>
    <t>R807</t>
  </si>
  <si>
    <t>L878</t>
  </si>
  <si>
    <t>R383</t>
  </si>
  <si>
    <t>R474</t>
  </si>
  <si>
    <t>R863</t>
  </si>
  <si>
    <t>R521</t>
  </si>
  <si>
    <t>R583</t>
  </si>
  <si>
    <t>R573</t>
  </si>
  <si>
    <t>R852</t>
  </si>
  <si>
    <t>R232</t>
  </si>
  <si>
    <t>L186</t>
  </si>
  <si>
    <t>L264</t>
  </si>
  <si>
    <t>R990</t>
  </si>
  <si>
    <t>R747</t>
  </si>
  <si>
    <t>R971</t>
  </si>
  <si>
    <t>R964</t>
  </si>
  <si>
    <t>R138</t>
  </si>
  <si>
    <t>L123</t>
  </si>
  <si>
    <t>R618</t>
  </si>
  <si>
    <t>L613</t>
  </si>
  <si>
    <t>R341</t>
  </si>
  <si>
    <t>R544</t>
  </si>
  <si>
    <t>L760</t>
  </si>
  <si>
    <t>R481</t>
  </si>
  <si>
    <t>L358</t>
  </si>
  <si>
    <t>L334</t>
  </si>
  <si>
    <t>L787</t>
  </si>
  <si>
    <t>R669</t>
  </si>
  <si>
    <t>R216</t>
  </si>
  <si>
    <t>R463</t>
  </si>
  <si>
    <t>R932</t>
  </si>
  <si>
    <t>L366</t>
  </si>
  <si>
    <t>R312</t>
  </si>
  <si>
    <t>R849</t>
  </si>
  <si>
    <t>R475</t>
  </si>
  <si>
    <t>R241</t>
  </si>
  <si>
    <t>L941</t>
  </si>
  <si>
    <t>L227</t>
  </si>
  <si>
    <t>L735</t>
  </si>
  <si>
    <t>R366</t>
  </si>
  <si>
    <t>L413</t>
  </si>
  <si>
    <t>L105</t>
  </si>
  <si>
    <t>R532</t>
  </si>
  <si>
    <t>R496</t>
  </si>
  <si>
    <t>R387</t>
  </si>
  <si>
    <t>L802</t>
  </si>
  <si>
    <t>R289</t>
  </si>
  <si>
    <t>R358</t>
  </si>
  <si>
    <t>R356</t>
  </si>
  <si>
    <t>R116</t>
  </si>
  <si>
    <t>L831</t>
  </si>
  <si>
    <t>L548</t>
  </si>
  <si>
    <t>R665</t>
  </si>
  <si>
    <t>L224</t>
  </si>
  <si>
    <t>R198</t>
  </si>
  <si>
    <t>R615</t>
  </si>
  <si>
    <t>L920</t>
  </si>
  <si>
    <t>L272</t>
  </si>
  <si>
    <t>L346</t>
  </si>
  <si>
    <t>L765</t>
  </si>
  <si>
    <t>R376</t>
  </si>
  <si>
    <t>L239</t>
  </si>
  <si>
    <t>R347</t>
  </si>
  <si>
    <t>L925</t>
  </si>
  <si>
    <t>L168</t>
  </si>
  <si>
    <t>R133</t>
  </si>
  <si>
    <t>L775</t>
  </si>
  <si>
    <t>R805</t>
  </si>
  <si>
    <t>L835</t>
  </si>
  <si>
    <t>R443</t>
  </si>
  <si>
    <t>R282</t>
  </si>
  <si>
    <t>L763</t>
  </si>
  <si>
    <t>R508</t>
  </si>
  <si>
    <t>R368</t>
  </si>
  <si>
    <t>R505</t>
  </si>
  <si>
    <t>R987</t>
  </si>
  <si>
    <t>L129</t>
  </si>
  <si>
    <t>L238</t>
  </si>
  <si>
    <t>R934</t>
  </si>
  <si>
    <t>L870</t>
  </si>
  <si>
    <t>R886</t>
  </si>
  <si>
    <t>L394</t>
  </si>
  <si>
    <t>L362</t>
  </si>
  <si>
    <t>L826</t>
  </si>
  <si>
    <t>R883</t>
  </si>
  <si>
    <t>R617</t>
  </si>
  <si>
    <t>R979</t>
  </si>
  <si>
    <t>R713</t>
  </si>
  <si>
    <t>R696</t>
  </si>
  <si>
    <t>L506</t>
  </si>
  <si>
    <t>L108</t>
  </si>
  <si>
    <t>R157</t>
  </si>
  <si>
    <t>R982</t>
  </si>
  <si>
    <t>R945</t>
  </si>
  <si>
    <t>R454</t>
  </si>
  <si>
    <t>R865</t>
  </si>
  <si>
    <t>R858</t>
  </si>
  <si>
    <t>L390</t>
  </si>
  <si>
    <t>R614</t>
  </si>
  <si>
    <t>R176</t>
  </si>
  <si>
    <t>R782</t>
  </si>
  <si>
    <t>L780</t>
  </si>
  <si>
    <t>L584</t>
  </si>
  <si>
    <t>R625</t>
  </si>
  <si>
    <t>L894</t>
  </si>
  <si>
    <t>L974</t>
  </si>
  <si>
    <t>L333</t>
  </si>
  <si>
    <t>L895</t>
  </si>
  <si>
    <t>L761</t>
  </si>
  <si>
    <t>R331</t>
  </si>
  <si>
    <t>L252</t>
  </si>
  <si>
    <t>L686</t>
  </si>
  <si>
    <t>R605</t>
  </si>
  <si>
    <t>L603</t>
  </si>
  <si>
    <t>R219</t>
  </si>
  <si>
    <t>R430</t>
  </si>
  <si>
    <t>L464</t>
  </si>
  <si>
    <t>L243</t>
  </si>
  <si>
    <t>L588</t>
  </si>
  <si>
    <t>R536</t>
  </si>
  <si>
    <t>R765</t>
  </si>
  <si>
    <t>L599</t>
  </si>
  <si>
    <t>R192</t>
  </si>
  <si>
    <t>L985</t>
  </si>
  <si>
    <t>L515</t>
  </si>
  <si>
    <t>L204</t>
  </si>
  <si>
    <t>L414</t>
  </si>
  <si>
    <t>R492</t>
  </si>
  <si>
    <t>R421</t>
  </si>
  <si>
    <t>R184</t>
  </si>
  <si>
    <t>L379</t>
  </si>
  <si>
    <t>R473</t>
  </si>
  <si>
    <t>L432</t>
  </si>
  <si>
    <t>L860</t>
  </si>
  <si>
    <t>R197</t>
  </si>
  <si>
    <t>R151</t>
  </si>
  <si>
    <t>L995</t>
  </si>
  <si>
    <t>L716</t>
  </si>
  <si>
    <t>L233</t>
  </si>
  <si>
    <t>R802</t>
  </si>
  <si>
    <t>R719</t>
  </si>
  <si>
    <t>R147</t>
  </si>
  <si>
    <t>L419</t>
  </si>
  <si>
    <t>R565</t>
  </si>
  <si>
    <t>L742</t>
  </si>
  <si>
    <t>R966</t>
  </si>
  <si>
    <t>L698</t>
  </si>
  <si>
    <t>R502</t>
  </si>
  <si>
    <t>R620</t>
  </si>
  <si>
    <t>L598</t>
  </si>
  <si>
    <t>L192</t>
  </si>
  <si>
    <t>L270</t>
  </si>
  <si>
    <t>L465</t>
  </si>
  <si>
    <t>L795</t>
  </si>
  <si>
    <t>R175</t>
  </si>
  <si>
    <t>R598</t>
  </si>
  <si>
    <t>L174</t>
  </si>
  <si>
    <t>R825</t>
  </si>
  <si>
    <t>L407</t>
  </si>
  <si>
    <t>R294</t>
  </si>
  <si>
    <t>R150</t>
  </si>
  <si>
    <t>L730</t>
  </si>
  <si>
    <t>R926</t>
  </si>
  <si>
    <t>R369</t>
  </si>
  <si>
    <t>L958</t>
  </si>
  <si>
    <t>R403</t>
  </si>
  <si>
    <t>L861</t>
  </si>
  <si>
    <t>R513</t>
  </si>
  <si>
    <t>R128</t>
  </si>
  <si>
    <t>L431</t>
  </si>
  <si>
    <t>R345</t>
  </si>
  <si>
    <t>L891</t>
  </si>
  <si>
    <t>R250</t>
  </si>
  <si>
    <t>L744</t>
  </si>
  <si>
    <t>R855</t>
  </si>
  <si>
    <t>R954</t>
  </si>
  <si>
    <t>R108</t>
  </si>
  <si>
    <t>L541</t>
  </si>
  <si>
    <t>L119</t>
  </si>
  <si>
    <t>R642</t>
  </si>
  <si>
    <t>L945</t>
  </si>
  <si>
    <t>R927</t>
  </si>
  <si>
    <t>L605</t>
  </si>
  <si>
    <t>L724</t>
  </si>
  <si>
    <t>R726</t>
  </si>
  <si>
    <t>L183</t>
  </si>
  <si>
    <t>R450</t>
  </si>
  <si>
    <t>R730</t>
  </si>
  <si>
    <t>R993</t>
  </si>
  <si>
    <t>R344</t>
  </si>
  <si>
    <t>R940</t>
  </si>
  <si>
    <t>R457</t>
  </si>
  <si>
    <t>R656</t>
  </si>
  <si>
    <t>L262</t>
  </si>
  <si>
    <t>L297</t>
  </si>
  <si>
    <t>L511</t>
  </si>
  <si>
    <t>R325</t>
  </si>
  <si>
    <t>R110</t>
  </si>
  <si>
    <t>L337</t>
  </si>
  <si>
    <t>L625</t>
  </si>
  <si>
    <t>L863</t>
  </si>
  <si>
    <t>L494</t>
  </si>
  <si>
    <t>L449</t>
  </si>
  <si>
    <t>L586</t>
  </si>
  <si>
    <t>L455</t>
  </si>
  <si>
    <t>L380</t>
  </si>
  <si>
    <t>L467</t>
  </si>
  <si>
    <t>L516</t>
  </si>
  <si>
    <t>R602</t>
  </si>
  <si>
    <t>L695</t>
  </si>
  <si>
    <t>L528</t>
  </si>
  <si>
    <t>L209</t>
  </si>
  <si>
    <t>R925</t>
  </si>
  <si>
    <t>L773</t>
  </si>
  <si>
    <t>R428</t>
  </si>
  <si>
    <t>R899</t>
  </si>
  <si>
    <t>L185</t>
  </si>
  <si>
    <t>L203</t>
  </si>
  <si>
    <t>L196</t>
  </si>
  <si>
    <t>L587</t>
  </si>
  <si>
    <t>Input</t>
  </si>
  <si>
    <t>Direction</t>
  </si>
  <si>
    <t>Steps</t>
  </si>
  <si>
    <t>New Pos L</t>
  </si>
  <si>
    <t>New Pos R</t>
  </si>
  <si>
    <t>POS</t>
  </si>
  <si>
    <t>prefix</t>
  </si>
  <si>
    <t>Past zero L</t>
  </si>
  <si>
    <t>Past Zero R</t>
  </si>
  <si>
    <t>Is Zero</t>
  </si>
  <si>
    <t>Counter</t>
  </si>
  <si>
    <t>Part 2</t>
  </si>
  <si>
    <t>Part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</si>
</sst>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 Unicode MS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BFB54B-143B-4493-B57C-90863AECC986}" name="Table1" displayName="Table1" ref="A1:F4544" totalsRowShown="0">
  <autoFilter ref="A1:F4544" xr:uid="{73BFB54B-143B-4493-B57C-90863AECC986}"/>
  <tableColumns count="6">
    <tableColumn id="1" xr3:uid="{02EE311B-978B-4769-93E8-CE93378A03D1}" name="Input" dataDxfId="16"/>
    <tableColumn id="2" xr3:uid="{89058120-F22D-4B44-A4F6-B0E94BDDFC99}" name="Direction" dataDxfId="15">
      <calculatedColumnFormula>LEFT(Table1[[#This Row],[Input]],1)</calculatedColumnFormula>
    </tableColumn>
    <tableColumn id="3" xr3:uid="{8E20D916-2810-48CC-A96A-1B3DBF6F9EC4}" name="Steps" dataDxfId="14">
      <calculatedColumnFormula>_xlfn.LET(_xlpm.steps,SUBSTITUTE(Table1[[#This Row],[Input]],Table1[[#This Row],[Direction]],""),VALUE(IF(LEN(_xlpm.steps)&gt;2,RIGHT(_xlpm.steps,2),_xlpm.steps)))</calculatedColumnFormula>
    </tableColumn>
    <tableColumn id="4" xr3:uid="{8573BA91-A0C8-4605-BF1A-F9BDB7364C62}" name="New Pos L" dataDxfId="13">
      <calculatedColumnFormula>_xlfn.LET(_xlpm.dir,Table1[[#This Row],[Direction]],
IF(_xlpm.dir="L",
    IF(F1-Table1[[#This Row],[Steps]]&lt;0,100+(F1-Table1[[#This Row],[Steps]]),F1-Table1[[#This Row],[Steps]]),
))</calculatedColumnFormula>
    </tableColumn>
    <tableColumn id="5" xr3:uid="{F7A4938D-8DDA-4719-B316-EE9DE8CAA7A7}" name="New Pos R" dataDxfId="12">
      <calculatedColumnFormula>_xlfn.LET(_xlpm.dir,Table1[[#This Row],[Direction]],
IF(_xlpm.dir="R",
    IF(F1+Table1[[#This Row],[Steps]]&gt;99,(F1+Table1[[#This Row],[Steps]])-100,F1+Table1[[#This Row],[Steps]]),
))</calculatedColumnFormula>
    </tableColumn>
    <tableColumn id="6" xr3:uid="{6C1052D2-4B8D-4344-911C-D7F01CF265F4}" name="POS" dataDxfId="11">
      <calculatedColumnFormula>IF(Table1[[#This Row],[New Pos L]]&lt;&gt;0,Table1[[#This Row],[New Pos L]],Table1[[#This Row],[New Pos R]])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5F1A1B-66EE-42BB-9184-9C3FB4163417}" name="Table13" displayName="Table13" ref="A1:K4544" totalsRowShown="0">
  <autoFilter ref="A1:K4544" xr:uid="{73BFB54B-143B-4493-B57C-90863AECC986}"/>
  <tableColumns count="11">
    <tableColumn id="1" xr3:uid="{71C5A787-0910-4E17-83AF-158DB8D352ED}" name="Input" dataDxfId="10"/>
    <tableColumn id="2" xr3:uid="{73BE002D-8B67-48B4-B513-5F591F096D98}" name="Direction" dataDxfId="9">
      <calculatedColumnFormula>LEFT(Table13[[#This Row],[Input]],1)</calculatedColumnFormula>
    </tableColumn>
    <tableColumn id="3" xr3:uid="{32FB349D-8F70-410F-B092-54745233BD02}" name="Steps" dataDxfId="8">
      <calculatedColumnFormula>_xlfn.LET(_xlpm.steps,SUBSTITUTE(Table13[[#This Row],[Input]],Table13[[#This Row],[Direction]],""),VALUE(IF(LEN(_xlpm.steps)&gt;2,RIGHT(_xlpm.steps,2),_xlpm.steps)))</calculatedColumnFormula>
    </tableColumn>
    <tableColumn id="9" xr3:uid="{3661CD86-7F48-4F85-9FE0-CB44ECAEE932}" name="prefix" dataDxfId="7">
      <calculatedColumnFormula>_xlfn.LET(_xlpm.steps,SUBSTITUTE(Table13[[#This Row],[Input]],Table13[[#This Row],[Direction]],""),VALUE(IF(LEN(_xlpm.steps)&gt;2,LEFT(_xlpm.steps,LEN(_xlpm.steps)-2),0)))</calculatedColumnFormula>
    </tableColumn>
    <tableColumn id="4" xr3:uid="{DA13F08E-BA0A-4146-BD8D-D8948367A0C9}" name="New Pos L" dataDxfId="6">
      <calculatedColumnFormula>_xlfn.LET(_xlpm.dir,Table13[[#This Row],[Direction]],
IF(_xlpm.dir="L",
    IF(G1-Table13[[#This Row],[Steps]]&lt;0,100+(G1-Table13[[#This Row],[Steps]]),G1-Table13[[#This Row],[Steps]]),
))</calculatedColumnFormula>
    </tableColumn>
    <tableColumn id="5" xr3:uid="{D4BE1C6B-0869-463D-AD0E-5C22B438C2B7}" name="New Pos R" dataDxfId="5">
      <calculatedColumnFormula>_xlfn.LET(_xlpm.dir,Table13[[#This Row],[Direction]],
IF(_xlpm.dir="R",
    IF(G1+Table13[[#This Row],[Steps]]&gt;99,(G1+Table13[[#This Row],[Steps]])-100,G1+Table13[[#This Row],[Steps]]),
))</calculatedColumnFormula>
    </tableColumn>
    <tableColumn id="6" xr3:uid="{CB46072E-23A9-4B5A-8F01-1023DBA3836C}" name="POS" dataDxfId="4">
      <calculatedColumnFormula>IF(Table13[[#This Row],[New Pos L]]&lt;&gt;0,Table13[[#This Row],[New Pos L]],Table13[[#This Row],[New Pos R]])</calculatedColumnFormula>
    </tableColumn>
    <tableColumn id="10" xr3:uid="{D464583F-094B-4886-A3A6-0C3D1060BE4A}" name="Past zero L" dataDxfId="3">
      <calculatedColumnFormula>IF(AND(Table13[[#This Row],[Direction]]="L",Table13[[#This Row],[Steps]]&gt;G1,G1&lt;&gt;0),1,0)</calculatedColumnFormula>
    </tableColumn>
    <tableColumn id="11" xr3:uid="{B1CDEEE5-59E4-4D90-AC49-5B8C9F3FAD19}" name="Past Zero R" dataDxfId="2">
      <calculatedColumnFormula>IF(AND(Table13[[#This Row],[Direction]]="R",(G1+Table13[[#This Row],[Steps]])&gt;100),1,0)</calculatedColumnFormula>
    </tableColumn>
    <tableColumn id="12" xr3:uid="{AEB278A7-EE51-4F23-A5DA-BB77B5B29696}" name="Is Zero" dataDxfId="1">
      <calculatedColumnFormula>IF(Table13[[#This Row],[POS]]=0,1,0)</calculatedColumnFormula>
    </tableColumn>
    <tableColumn id="14" xr3:uid="{DC128CB2-1305-4723-B044-74C31562CD22}" name="Counter" dataDxfId="0">
      <calculatedColumnFormula>SUM(Table13[[#This Row],[prefix]],Table13[[#This Row],[Past zero L]],Table13[[#This Row],[Past Zero R]],Table13[[#This Row],[Is Zero]])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892EF-6766-4AAD-A589-B0D5CEAF5B39}">
  <dimension ref="A1:I4544"/>
  <sheetViews>
    <sheetView workbookViewId="0">
      <selection activeCell="H2" sqref="H2"/>
    </sheetView>
  </sheetViews>
  <sheetFormatPr baseColWidth="10" defaultColWidth="8.83203125" defaultRowHeight="15" x14ac:dyDescent="0.2"/>
  <cols>
    <col min="2" max="2" width="11.5" customWidth="1"/>
    <col min="4" max="4" width="19.5" customWidth="1"/>
    <col min="5" max="5" width="12.6640625" bestFit="1" customWidth="1"/>
  </cols>
  <sheetData>
    <row r="1" spans="1:9" ht="15.75" customHeight="1" x14ac:dyDescent="0.2">
      <c r="A1" t="s">
        <v>885</v>
      </c>
      <c r="B1" t="s">
        <v>886</v>
      </c>
      <c r="C1" t="s">
        <v>887</v>
      </c>
      <c r="D1" t="s">
        <v>888</v>
      </c>
      <c r="E1" t="s">
        <v>889</v>
      </c>
      <c r="F1" t="s">
        <v>890</v>
      </c>
      <c r="H1" t="s">
        <v>897</v>
      </c>
      <c r="I1">
        <f>COUNTIFS(Table1[POS],0)</f>
        <v>1089</v>
      </c>
    </row>
    <row r="2" spans="1:9" ht="15.75" customHeight="1" x14ac:dyDescent="0.2">
      <c r="A2" s="1"/>
      <c r="B2" t="str">
        <f>LEFT(Table1[[#This Row],[Input]],1)</f>
        <v/>
      </c>
      <c r="F2">
        <v>50</v>
      </c>
    </row>
    <row r="3" spans="1:9" ht="16" x14ac:dyDescent="0.2">
      <c r="A3" s="1" t="s">
        <v>0</v>
      </c>
      <c r="B3" t="str">
        <f>LEFT(Table1[[#This Row],[Input]],1)</f>
        <v>L</v>
      </c>
      <c r="C3">
        <f>_xlfn.LET(_xlpm.steps,SUBSTITUTE(Table1[[#This Row],[Input]],Table1[[#This Row],[Direction]],""),VALUE(IF(LEN(_xlpm.steps)&gt;2,RIGHT(_xlpm.steps,2),_xlpm.steps)))</f>
        <v>44</v>
      </c>
      <c r="D3">
        <f>_xlfn.LET(_xlpm.dir,Table1[[#This Row],[Direction]],
IF(_xlpm.dir="L",
    IF(F2-Table1[[#This Row],[Steps]]&lt;0,100+(F2-Table1[[#This Row],[Steps]]),F2-Table1[[#This Row],[Steps]]),
))</f>
        <v>6</v>
      </c>
      <c r="E3">
        <f>_xlfn.LET(_xlpm.dir,Table1[[#This Row],[Direction]],
IF(_xlpm.dir="R",
    IF(F2+Table1[[#This Row],[Steps]]&gt;99,(F2+Table1[[#This Row],[Steps]])-100,F2+Table1[[#This Row],[Steps]]),
))</f>
        <v>0</v>
      </c>
      <c r="F3">
        <f>IF(Table1[[#This Row],[New Pos L]]&lt;&gt;0,Table1[[#This Row],[New Pos L]],Table1[[#This Row],[New Pos R]])</f>
        <v>6</v>
      </c>
    </row>
    <row r="4" spans="1:9" ht="16" x14ac:dyDescent="0.2">
      <c r="A4" s="1" t="s">
        <v>1</v>
      </c>
      <c r="B4" t="str">
        <f>LEFT(Table1[[#This Row],[Input]],1)</f>
        <v>R</v>
      </c>
      <c r="C4">
        <f>_xlfn.LET(_xlpm.steps,SUBSTITUTE(Table1[[#This Row],[Input]],Table1[[#This Row],[Direction]],""),VALUE(IF(LEN(_xlpm.steps)&gt;2,RIGHT(_xlpm.steps,2),_xlpm.steps)))</f>
        <v>26</v>
      </c>
      <c r="D4">
        <f>_xlfn.LET(_xlpm.dir,Table1[[#This Row],[Direction]],
IF(_xlpm.dir="L",
    IF(F3-Table1[[#This Row],[Steps]]&lt;0,100+(F3-Table1[[#This Row],[Steps]]),F3-Table1[[#This Row],[Steps]]),
))</f>
        <v>0</v>
      </c>
      <c r="E4">
        <f>_xlfn.LET(_xlpm.dir,Table1[[#This Row],[Direction]],
IF(_xlpm.dir="R",
    IF(F3+Table1[[#This Row],[Steps]]&gt;99,(F3+Table1[[#This Row],[Steps]])-100,F3+Table1[[#This Row],[Steps]]),
))</f>
        <v>32</v>
      </c>
      <c r="F4">
        <f>IF(Table1[[#This Row],[New Pos L]]&lt;&gt;0,Table1[[#This Row],[New Pos L]],Table1[[#This Row],[New Pos R]])</f>
        <v>32</v>
      </c>
    </row>
    <row r="5" spans="1:9" ht="16" x14ac:dyDescent="0.2">
      <c r="A5" s="1" t="s">
        <v>2</v>
      </c>
      <c r="B5" t="str">
        <f>LEFT(Table1[[#This Row],[Input]],1)</f>
        <v>L</v>
      </c>
      <c r="C5">
        <f>_xlfn.LET(_xlpm.steps,SUBSTITUTE(Table1[[#This Row],[Input]],Table1[[#This Row],[Direction]],""),VALUE(IF(LEN(_xlpm.steps)&gt;2,RIGHT(_xlpm.steps,2),_xlpm.steps)))</f>
        <v>38</v>
      </c>
      <c r="D5">
        <f>_xlfn.LET(_xlpm.dir,Table1[[#This Row],[Direction]],
IF(_xlpm.dir="L",
    IF(F4-Table1[[#This Row],[Steps]]&lt;0,100+(F4-Table1[[#This Row],[Steps]]),F4-Table1[[#This Row],[Steps]]),
))</f>
        <v>94</v>
      </c>
      <c r="E5">
        <f>_xlfn.LET(_xlpm.dir,Table1[[#This Row],[Direction]],
IF(_xlpm.dir="R",
    IF(F4+Table1[[#This Row],[Steps]]&gt;99,(F4+Table1[[#This Row],[Steps]])-100,F4+Table1[[#This Row],[Steps]]),
))</f>
        <v>0</v>
      </c>
      <c r="F5">
        <f>IF(Table1[[#This Row],[New Pos L]]&lt;&gt;0,Table1[[#This Row],[New Pos L]],Table1[[#This Row],[New Pos R]])</f>
        <v>94</v>
      </c>
    </row>
    <row r="6" spans="1:9" ht="16" x14ac:dyDescent="0.2">
      <c r="A6" s="1" t="s">
        <v>3</v>
      </c>
      <c r="B6" t="str">
        <f>LEFT(Table1[[#This Row],[Input]],1)</f>
        <v>R</v>
      </c>
      <c r="C6">
        <f>_xlfn.LET(_xlpm.steps,SUBSTITUTE(Table1[[#This Row],[Input]],Table1[[#This Row],[Direction]],""),VALUE(IF(LEN(_xlpm.steps)&gt;2,RIGHT(_xlpm.steps,2),_xlpm.steps)))</f>
        <v>44</v>
      </c>
      <c r="D6">
        <f>_xlfn.LET(_xlpm.dir,Table1[[#This Row],[Direction]],
IF(_xlpm.dir="L",
    IF(F5-Table1[[#This Row],[Steps]]&lt;0,100+(F5-Table1[[#This Row],[Steps]]),F5-Table1[[#This Row],[Steps]]),
))</f>
        <v>0</v>
      </c>
      <c r="E6">
        <f>_xlfn.LET(_xlpm.dir,Table1[[#This Row],[Direction]],
IF(_xlpm.dir="R",
    IF(F5+Table1[[#This Row],[Steps]]&gt;99,(F5+Table1[[#This Row],[Steps]])-100,F5+Table1[[#This Row],[Steps]]),
))</f>
        <v>38</v>
      </c>
      <c r="F6">
        <f>IF(Table1[[#This Row],[New Pos L]]&lt;&gt;0,Table1[[#This Row],[New Pos L]],Table1[[#This Row],[New Pos R]])</f>
        <v>38</v>
      </c>
    </row>
    <row r="7" spans="1:9" ht="16" x14ac:dyDescent="0.2">
      <c r="A7" s="1" t="s">
        <v>4</v>
      </c>
      <c r="B7" t="str">
        <f>LEFT(Table1[[#This Row],[Input]],1)</f>
        <v>R</v>
      </c>
      <c r="C7">
        <f>_xlfn.LET(_xlpm.steps,SUBSTITUTE(Table1[[#This Row],[Input]],Table1[[#This Row],[Direction]],""),VALUE(IF(LEN(_xlpm.steps)&gt;2,RIGHT(_xlpm.steps,2),_xlpm.steps)))</f>
        <v>3</v>
      </c>
      <c r="D7">
        <f>_xlfn.LET(_xlpm.dir,Table1[[#This Row],[Direction]],
IF(_xlpm.dir="L",
    IF(F6-Table1[[#This Row],[Steps]]&lt;0,100+(F6-Table1[[#This Row],[Steps]]),F6-Table1[[#This Row],[Steps]]),
))</f>
        <v>0</v>
      </c>
      <c r="E7">
        <f>_xlfn.LET(_xlpm.dir,Table1[[#This Row],[Direction]],
IF(_xlpm.dir="R",
    IF(F6+Table1[[#This Row],[Steps]]&gt;99,(F6+Table1[[#This Row],[Steps]])-100,F6+Table1[[#This Row],[Steps]]),
))</f>
        <v>41</v>
      </c>
      <c r="F7">
        <f>IF(Table1[[#This Row],[New Pos L]]&lt;&gt;0,Table1[[#This Row],[New Pos L]],Table1[[#This Row],[New Pos R]])</f>
        <v>41</v>
      </c>
    </row>
    <row r="8" spans="1:9" ht="16" x14ac:dyDescent="0.2">
      <c r="A8" s="1" t="s">
        <v>5</v>
      </c>
      <c r="B8" t="str">
        <f>LEFT(Table1[[#This Row],[Input]],1)</f>
        <v>R</v>
      </c>
      <c r="C8">
        <f>_xlfn.LET(_xlpm.steps,SUBSTITUTE(Table1[[#This Row],[Input]],Table1[[#This Row],[Direction]],""),VALUE(IF(LEN(_xlpm.steps)&gt;2,RIGHT(_xlpm.steps,2),_xlpm.steps)))</f>
        <v>1</v>
      </c>
      <c r="D8">
        <f>_xlfn.LET(_xlpm.dir,Table1[[#This Row],[Direction]],
IF(_xlpm.dir="L",
    IF(F7-Table1[[#This Row],[Steps]]&lt;0,100+(F7-Table1[[#This Row],[Steps]]),F7-Table1[[#This Row],[Steps]]),
))</f>
        <v>0</v>
      </c>
      <c r="E8">
        <f>_xlfn.LET(_xlpm.dir,Table1[[#This Row],[Direction]],
IF(_xlpm.dir="R",
    IF(F7+Table1[[#This Row],[Steps]]&gt;99,(F7+Table1[[#This Row],[Steps]])-100,F7+Table1[[#This Row],[Steps]]),
))</f>
        <v>42</v>
      </c>
      <c r="F8">
        <f>IF(Table1[[#This Row],[New Pos L]]&lt;&gt;0,Table1[[#This Row],[New Pos L]],Table1[[#This Row],[New Pos R]])</f>
        <v>42</v>
      </c>
    </row>
    <row r="9" spans="1:9" ht="16" x14ac:dyDescent="0.2">
      <c r="A9" s="1" t="s">
        <v>6</v>
      </c>
      <c r="B9" t="str">
        <f>LEFT(Table1[[#This Row],[Input]],1)</f>
        <v>R</v>
      </c>
      <c r="C9">
        <f>_xlfn.LET(_xlpm.steps,SUBSTITUTE(Table1[[#This Row],[Input]],Table1[[#This Row],[Direction]],""),VALUE(IF(LEN(_xlpm.steps)&gt;2,RIGHT(_xlpm.steps,2),_xlpm.steps)))</f>
        <v>49</v>
      </c>
      <c r="D9">
        <f>_xlfn.LET(_xlpm.dir,Table1[[#This Row],[Direction]],
IF(_xlpm.dir="L",
    IF(F8-Table1[[#This Row],[Steps]]&lt;0,100+(F8-Table1[[#This Row],[Steps]]),F8-Table1[[#This Row],[Steps]]),
))</f>
        <v>0</v>
      </c>
      <c r="E9">
        <f>_xlfn.LET(_xlpm.dir,Table1[[#This Row],[Direction]],
IF(_xlpm.dir="R",
    IF(F8+Table1[[#This Row],[Steps]]&gt;99,(F8+Table1[[#This Row],[Steps]])-100,F8+Table1[[#This Row],[Steps]]),
))</f>
        <v>91</v>
      </c>
      <c r="F9">
        <f>IF(Table1[[#This Row],[New Pos L]]&lt;&gt;0,Table1[[#This Row],[New Pos L]],Table1[[#This Row],[New Pos R]])</f>
        <v>91</v>
      </c>
    </row>
    <row r="10" spans="1:9" ht="16" x14ac:dyDescent="0.2">
      <c r="A10" s="1" t="s">
        <v>7</v>
      </c>
      <c r="B10" t="str">
        <f>LEFT(Table1[[#This Row],[Input]],1)</f>
        <v>R</v>
      </c>
      <c r="C10">
        <f>_xlfn.LET(_xlpm.steps,SUBSTITUTE(Table1[[#This Row],[Input]],Table1[[#This Row],[Direction]],""),VALUE(IF(LEN(_xlpm.steps)&gt;2,RIGHT(_xlpm.steps,2),_xlpm.steps)))</f>
        <v>14</v>
      </c>
      <c r="D10">
        <f>_xlfn.LET(_xlpm.dir,Table1[[#This Row],[Direction]],
IF(_xlpm.dir="L",
    IF(F9-Table1[[#This Row],[Steps]]&lt;0,100+(F9-Table1[[#This Row],[Steps]]),F9-Table1[[#This Row],[Steps]]),
))</f>
        <v>0</v>
      </c>
      <c r="E10">
        <f>_xlfn.LET(_xlpm.dir,Table1[[#This Row],[Direction]],
IF(_xlpm.dir="R",
    IF(F9+Table1[[#This Row],[Steps]]&gt;99,(F9+Table1[[#This Row],[Steps]])-100,F9+Table1[[#This Row],[Steps]]),
))</f>
        <v>5</v>
      </c>
      <c r="F10">
        <f>IF(Table1[[#This Row],[New Pos L]]&lt;&gt;0,Table1[[#This Row],[New Pos L]],Table1[[#This Row],[New Pos R]])</f>
        <v>5</v>
      </c>
    </row>
    <row r="11" spans="1:9" ht="16" x14ac:dyDescent="0.2">
      <c r="A11" s="1" t="s">
        <v>8</v>
      </c>
      <c r="B11" t="str">
        <f>LEFT(Table1[[#This Row],[Input]],1)</f>
        <v>R</v>
      </c>
      <c r="C11">
        <f>_xlfn.LET(_xlpm.steps,SUBSTITUTE(Table1[[#This Row],[Input]],Table1[[#This Row],[Direction]],""),VALUE(IF(LEN(_xlpm.steps)&gt;2,RIGHT(_xlpm.steps,2),_xlpm.steps)))</f>
        <v>18</v>
      </c>
      <c r="D11">
        <f>_xlfn.LET(_xlpm.dir,Table1[[#This Row],[Direction]],
IF(_xlpm.dir="L",
    IF(F10-Table1[[#This Row],[Steps]]&lt;0,100+(F10-Table1[[#This Row],[Steps]]),F10-Table1[[#This Row],[Steps]]),
))</f>
        <v>0</v>
      </c>
      <c r="E11">
        <f>_xlfn.LET(_xlpm.dir,Table1[[#This Row],[Direction]],
IF(_xlpm.dir="R",
    IF(F10+Table1[[#This Row],[Steps]]&gt;99,(F10+Table1[[#This Row],[Steps]])-100,F10+Table1[[#This Row],[Steps]]),
))</f>
        <v>23</v>
      </c>
      <c r="F11">
        <f>IF(Table1[[#This Row],[New Pos L]]&lt;&gt;0,Table1[[#This Row],[New Pos L]],Table1[[#This Row],[New Pos R]])</f>
        <v>23</v>
      </c>
    </row>
    <row r="12" spans="1:9" ht="16" x14ac:dyDescent="0.2">
      <c r="A12" s="1" t="s">
        <v>9</v>
      </c>
      <c r="B12" t="str">
        <f>LEFT(Table1[[#This Row],[Input]],1)</f>
        <v>L</v>
      </c>
      <c r="C12">
        <f>_xlfn.LET(_xlpm.steps,SUBSTITUTE(Table1[[#This Row],[Input]],Table1[[#This Row],[Direction]],""),VALUE(IF(LEN(_xlpm.steps)&gt;2,RIGHT(_xlpm.steps,2),_xlpm.steps)))</f>
        <v>9</v>
      </c>
      <c r="D12">
        <f>_xlfn.LET(_xlpm.dir,Table1[[#This Row],[Direction]],
IF(_xlpm.dir="L",
    IF(F11-Table1[[#This Row],[Steps]]&lt;0,100+(F11-Table1[[#This Row],[Steps]]),F11-Table1[[#This Row],[Steps]]),
))</f>
        <v>14</v>
      </c>
      <c r="E12">
        <f>_xlfn.LET(_xlpm.dir,Table1[[#This Row],[Direction]],
IF(_xlpm.dir="R",
    IF(F11+Table1[[#This Row],[Steps]]&gt;99,(F11+Table1[[#This Row],[Steps]])-100,F11+Table1[[#This Row],[Steps]]),
))</f>
        <v>0</v>
      </c>
      <c r="F12">
        <f>IF(Table1[[#This Row],[New Pos L]]&lt;&gt;0,Table1[[#This Row],[New Pos L]],Table1[[#This Row],[New Pos R]])</f>
        <v>14</v>
      </c>
    </row>
    <row r="13" spans="1:9" ht="16" x14ac:dyDescent="0.2">
      <c r="A13" s="1" t="s">
        <v>10</v>
      </c>
      <c r="B13" t="str">
        <f>LEFT(Table1[[#This Row],[Input]],1)</f>
        <v>L</v>
      </c>
      <c r="C13">
        <f>_xlfn.LET(_xlpm.steps,SUBSTITUTE(Table1[[#This Row],[Input]],Table1[[#This Row],[Direction]],""),VALUE(IF(LEN(_xlpm.steps)&gt;2,RIGHT(_xlpm.steps,2),_xlpm.steps)))</f>
        <v>35</v>
      </c>
      <c r="D13">
        <f>_xlfn.LET(_xlpm.dir,Table1[[#This Row],[Direction]],
IF(_xlpm.dir="L",
    IF(F12-Table1[[#This Row],[Steps]]&lt;0,100+(F12-Table1[[#This Row],[Steps]]),F12-Table1[[#This Row],[Steps]]),
))</f>
        <v>79</v>
      </c>
      <c r="E13">
        <f>_xlfn.LET(_xlpm.dir,Table1[[#This Row],[Direction]],
IF(_xlpm.dir="R",
    IF(F12+Table1[[#This Row],[Steps]]&gt;99,(F12+Table1[[#This Row],[Steps]])-100,F12+Table1[[#This Row],[Steps]]),
))</f>
        <v>0</v>
      </c>
      <c r="F13">
        <f>IF(Table1[[#This Row],[New Pos L]]&lt;&gt;0,Table1[[#This Row],[New Pos L]],Table1[[#This Row],[New Pos R]])</f>
        <v>79</v>
      </c>
    </row>
    <row r="14" spans="1:9" ht="16" x14ac:dyDescent="0.2">
      <c r="A14" s="1" t="s">
        <v>11</v>
      </c>
      <c r="B14" t="str">
        <f>LEFT(Table1[[#This Row],[Input]],1)</f>
        <v>L</v>
      </c>
      <c r="C14">
        <f>_xlfn.LET(_xlpm.steps,SUBSTITUTE(Table1[[#This Row],[Input]],Table1[[#This Row],[Direction]],""),VALUE(IF(LEN(_xlpm.steps)&gt;2,RIGHT(_xlpm.steps,2),_xlpm.steps)))</f>
        <v>34</v>
      </c>
      <c r="D14">
        <f>_xlfn.LET(_xlpm.dir,Table1[[#This Row],[Direction]],
IF(_xlpm.dir="L",
    IF(F13-Table1[[#This Row],[Steps]]&lt;0,100+(F13-Table1[[#This Row],[Steps]]),F13-Table1[[#This Row],[Steps]]),
))</f>
        <v>45</v>
      </c>
      <c r="E14">
        <f>_xlfn.LET(_xlpm.dir,Table1[[#This Row],[Direction]],
IF(_xlpm.dir="R",
    IF(F13+Table1[[#This Row],[Steps]]&gt;99,(F13+Table1[[#This Row],[Steps]])-100,F13+Table1[[#This Row],[Steps]]),
))</f>
        <v>0</v>
      </c>
      <c r="F14">
        <f>IF(Table1[[#This Row],[New Pos L]]&lt;&gt;0,Table1[[#This Row],[New Pos L]],Table1[[#This Row],[New Pos R]])</f>
        <v>45</v>
      </c>
    </row>
    <row r="15" spans="1:9" ht="16" x14ac:dyDescent="0.2">
      <c r="A15" s="1" t="s">
        <v>12</v>
      </c>
      <c r="B15" t="str">
        <f>LEFT(Table1[[#This Row],[Input]],1)</f>
        <v>L</v>
      </c>
      <c r="C15">
        <f>_xlfn.LET(_xlpm.steps,SUBSTITUTE(Table1[[#This Row],[Input]],Table1[[#This Row],[Direction]],""),VALUE(IF(LEN(_xlpm.steps)&gt;2,RIGHT(_xlpm.steps,2),_xlpm.steps)))</f>
        <v>11</v>
      </c>
      <c r="D15">
        <f>_xlfn.LET(_xlpm.dir,Table1[[#This Row],[Direction]],
IF(_xlpm.dir="L",
    IF(F14-Table1[[#This Row],[Steps]]&lt;0,100+(F14-Table1[[#This Row],[Steps]]),F14-Table1[[#This Row],[Steps]]),
))</f>
        <v>34</v>
      </c>
      <c r="E15">
        <f>_xlfn.LET(_xlpm.dir,Table1[[#This Row],[Direction]],
IF(_xlpm.dir="R",
    IF(F14+Table1[[#This Row],[Steps]]&gt;99,(F14+Table1[[#This Row],[Steps]])-100,F14+Table1[[#This Row],[Steps]]),
))</f>
        <v>0</v>
      </c>
      <c r="F15">
        <f>IF(Table1[[#This Row],[New Pos L]]&lt;&gt;0,Table1[[#This Row],[New Pos L]],Table1[[#This Row],[New Pos R]])</f>
        <v>34</v>
      </c>
    </row>
    <row r="16" spans="1:9" ht="16" x14ac:dyDescent="0.2">
      <c r="A16" s="1" t="s">
        <v>13</v>
      </c>
      <c r="B16" t="str">
        <f>LEFT(Table1[[#This Row],[Input]],1)</f>
        <v>R</v>
      </c>
      <c r="C16">
        <f>_xlfn.LET(_xlpm.steps,SUBSTITUTE(Table1[[#This Row],[Input]],Table1[[#This Row],[Direction]],""),VALUE(IF(LEN(_xlpm.steps)&gt;2,RIGHT(_xlpm.steps,2),_xlpm.steps)))</f>
        <v>12</v>
      </c>
      <c r="D16">
        <f>_xlfn.LET(_xlpm.dir,Table1[[#This Row],[Direction]],
IF(_xlpm.dir="L",
    IF(F15-Table1[[#This Row],[Steps]]&lt;0,100+(F15-Table1[[#This Row],[Steps]]),F15-Table1[[#This Row],[Steps]]),
))</f>
        <v>0</v>
      </c>
      <c r="E16">
        <f>_xlfn.LET(_xlpm.dir,Table1[[#This Row],[Direction]],
IF(_xlpm.dir="R",
    IF(F15+Table1[[#This Row],[Steps]]&gt;99,(F15+Table1[[#This Row],[Steps]])-100,F15+Table1[[#This Row],[Steps]]),
))</f>
        <v>46</v>
      </c>
      <c r="F16">
        <f>IF(Table1[[#This Row],[New Pos L]]&lt;&gt;0,Table1[[#This Row],[New Pos L]],Table1[[#This Row],[New Pos R]])</f>
        <v>46</v>
      </c>
    </row>
    <row r="17" spans="1:6" ht="16" x14ac:dyDescent="0.2">
      <c r="A17" s="1" t="s">
        <v>14</v>
      </c>
      <c r="B17" t="str">
        <f>LEFT(Table1[[#This Row],[Input]],1)</f>
        <v>L</v>
      </c>
      <c r="C17">
        <f>_xlfn.LET(_xlpm.steps,SUBSTITUTE(Table1[[#This Row],[Input]],Table1[[#This Row],[Direction]],""),VALUE(IF(LEN(_xlpm.steps)&gt;2,RIGHT(_xlpm.steps,2),_xlpm.steps)))</f>
        <v>43</v>
      </c>
      <c r="D17">
        <f>_xlfn.LET(_xlpm.dir,Table1[[#This Row],[Direction]],
IF(_xlpm.dir="L",
    IF(F16-Table1[[#This Row],[Steps]]&lt;0,100+(F16-Table1[[#This Row],[Steps]]),F16-Table1[[#This Row],[Steps]]),
))</f>
        <v>3</v>
      </c>
      <c r="E17">
        <f>_xlfn.LET(_xlpm.dir,Table1[[#This Row],[Direction]],
IF(_xlpm.dir="R",
    IF(F16+Table1[[#This Row],[Steps]]&gt;99,(F16+Table1[[#This Row],[Steps]])-100,F16+Table1[[#This Row],[Steps]]),
))</f>
        <v>0</v>
      </c>
      <c r="F17">
        <f>IF(Table1[[#This Row],[New Pos L]]&lt;&gt;0,Table1[[#This Row],[New Pos L]],Table1[[#This Row],[New Pos R]])</f>
        <v>3</v>
      </c>
    </row>
    <row r="18" spans="1:6" ht="16" x14ac:dyDescent="0.2">
      <c r="A18" s="1" t="s">
        <v>15</v>
      </c>
      <c r="B18" t="str">
        <f>LEFT(Table1[[#This Row],[Input]],1)</f>
        <v>R</v>
      </c>
      <c r="C18">
        <f>_xlfn.LET(_xlpm.steps,SUBSTITUTE(Table1[[#This Row],[Input]],Table1[[#This Row],[Direction]],""),VALUE(IF(LEN(_xlpm.steps)&gt;2,RIGHT(_xlpm.steps,2),_xlpm.steps)))</f>
        <v>36</v>
      </c>
      <c r="D18">
        <f>_xlfn.LET(_xlpm.dir,Table1[[#This Row],[Direction]],
IF(_xlpm.dir="L",
    IF(F17-Table1[[#This Row],[Steps]]&lt;0,100+(F17-Table1[[#This Row],[Steps]]),F17-Table1[[#This Row],[Steps]]),
))</f>
        <v>0</v>
      </c>
      <c r="E18">
        <f>_xlfn.LET(_xlpm.dir,Table1[[#This Row],[Direction]],
IF(_xlpm.dir="R",
    IF(F17+Table1[[#This Row],[Steps]]&gt;99,(F17+Table1[[#This Row],[Steps]])-100,F17+Table1[[#This Row],[Steps]]),
))</f>
        <v>39</v>
      </c>
      <c r="F18">
        <f>IF(Table1[[#This Row],[New Pos L]]&lt;&gt;0,Table1[[#This Row],[New Pos L]],Table1[[#This Row],[New Pos R]])</f>
        <v>39</v>
      </c>
    </row>
    <row r="19" spans="1:6" ht="16" x14ac:dyDescent="0.2">
      <c r="A19" s="1" t="s">
        <v>16</v>
      </c>
      <c r="B19" t="str">
        <f>LEFT(Table1[[#This Row],[Input]],1)</f>
        <v>L</v>
      </c>
      <c r="C19">
        <f>_xlfn.LET(_xlpm.steps,SUBSTITUTE(Table1[[#This Row],[Input]],Table1[[#This Row],[Direction]],""),VALUE(IF(LEN(_xlpm.steps)&gt;2,RIGHT(_xlpm.steps,2),_xlpm.steps)))</f>
        <v>10</v>
      </c>
      <c r="D19">
        <f>_xlfn.LET(_xlpm.dir,Table1[[#This Row],[Direction]],
IF(_xlpm.dir="L",
    IF(F18-Table1[[#This Row],[Steps]]&lt;0,100+(F18-Table1[[#This Row],[Steps]]),F18-Table1[[#This Row],[Steps]]),
))</f>
        <v>29</v>
      </c>
      <c r="E19">
        <f>_xlfn.LET(_xlpm.dir,Table1[[#This Row],[Direction]],
IF(_xlpm.dir="R",
    IF(F18+Table1[[#This Row],[Steps]]&gt;99,(F18+Table1[[#This Row],[Steps]])-100,F18+Table1[[#This Row],[Steps]]),
))</f>
        <v>0</v>
      </c>
      <c r="F19">
        <f>IF(Table1[[#This Row],[New Pos L]]&lt;&gt;0,Table1[[#This Row],[New Pos L]],Table1[[#This Row],[New Pos R]])</f>
        <v>29</v>
      </c>
    </row>
    <row r="20" spans="1:6" ht="16" x14ac:dyDescent="0.2">
      <c r="A20" s="1" t="s">
        <v>17</v>
      </c>
      <c r="B20" t="str">
        <f>LEFT(Table1[[#This Row],[Input]],1)</f>
        <v>L</v>
      </c>
      <c r="C20">
        <f>_xlfn.LET(_xlpm.steps,SUBSTITUTE(Table1[[#This Row],[Input]],Table1[[#This Row],[Direction]],""),VALUE(IF(LEN(_xlpm.steps)&gt;2,RIGHT(_xlpm.steps,2),_xlpm.steps)))</f>
        <v>50</v>
      </c>
      <c r="D20">
        <f>_xlfn.LET(_xlpm.dir,Table1[[#This Row],[Direction]],
IF(_xlpm.dir="L",
    IF(F19-Table1[[#This Row],[Steps]]&lt;0,100+(F19-Table1[[#This Row],[Steps]]),F19-Table1[[#This Row],[Steps]]),
))</f>
        <v>79</v>
      </c>
      <c r="E20">
        <f>_xlfn.LET(_xlpm.dir,Table1[[#This Row],[Direction]],
IF(_xlpm.dir="R",
    IF(F19+Table1[[#This Row],[Steps]]&gt;99,(F19+Table1[[#This Row],[Steps]])-100,F19+Table1[[#This Row],[Steps]]),
))</f>
        <v>0</v>
      </c>
      <c r="F20">
        <f>IF(Table1[[#This Row],[New Pos L]]&lt;&gt;0,Table1[[#This Row],[New Pos L]],Table1[[#This Row],[New Pos R]])</f>
        <v>79</v>
      </c>
    </row>
    <row r="21" spans="1:6" ht="16" x14ac:dyDescent="0.2">
      <c r="A21" s="1" t="s">
        <v>18</v>
      </c>
      <c r="B21" t="str">
        <f>LEFT(Table1[[#This Row],[Input]],1)</f>
        <v>L</v>
      </c>
      <c r="C21">
        <f>_xlfn.LET(_xlpm.steps,SUBSTITUTE(Table1[[#This Row],[Input]],Table1[[#This Row],[Direction]],""),VALUE(IF(LEN(_xlpm.steps)&gt;2,RIGHT(_xlpm.steps,2),_xlpm.steps)))</f>
        <v>46</v>
      </c>
      <c r="D21">
        <f>_xlfn.LET(_xlpm.dir,Table1[[#This Row],[Direction]],
IF(_xlpm.dir="L",
    IF(F20-Table1[[#This Row],[Steps]]&lt;0,100+(F20-Table1[[#This Row],[Steps]]),F20-Table1[[#This Row],[Steps]]),
))</f>
        <v>33</v>
      </c>
      <c r="E21">
        <f>_xlfn.LET(_xlpm.dir,Table1[[#This Row],[Direction]],
IF(_xlpm.dir="R",
    IF(F20+Table1[[#This Row],[Steps]]&gt;99,(F20+Table1[[#This Row],[Steps]])-100,F20+Table1[[#This Row],[Steps]]),
))</f>
        <v>0</v>
      </c>
      <c r="F21">
        <f>IF(Table1[[#This Row],[New Pos L]]&lt;&gt;0,Table1[[#This Row],[New Pos L]],Table1[[#This Row],[New Pos R]])</f>
        <v>33</v>
      </c>
    </row>
    <row r="22" spans="1:6" ht="16" x14ac:dyDescent="0.2">
      <c r="A22" s="1" t="s">
        <v>19</v>
      </c>
      <c r="B22" t="str">
        <f>LEFT(Table1[[#This Row],[Input]],1)</f>
        <v>R</v>
      </c>
      <c r="C22">
        <f>_xlfn.LET(_xlpm.steps,SUBSTITUTE(Table1[[#This Row],[Input]],Table1[[#This Row],[Direction]],""),VALUE(IF(LEN(_xlpm.steps)&gt;2,RIGHT(_xlpm.steps,2),_xlpm.steps)))</f>
        <v>47</v>
      </c>
      <c r="D22">
        <f>_xlfn.LET(_xlpm.dir,Table1[[#This Row],[Direction]],
IF(_xlpm.dir="L",
    IF(F21-Table1[[#This Row],[Steps]]&lt;0,100+(F21-Table1[[#This Row],[Steps]]),F21-Table1[[#This Row],[Steps]]),
))</f>
        <v>0</v>
      </c>
      <c r="E22">
        <f>_xlfn.LET(_xlpm.dir,Table1[[#This Row],[Direction]],
IF(_xlpm.dir="R",
    IF(F21+Table1[[#This Row],[Steps]]&gt;99,(F21+Table1[[#This Row],[Steps]])-100,F21+Table1[[#This Row],[Steps]]),
))</f>
        <v>80</v>
      </c>
      <c r="F22">
        <f>IF(Table1[[#This Row],[New Pos L]]&lt;&gt;0,Table1[[#This Row],[New Pos L]],Table1[[#This Row],[New Pos R]])</f>
        <v>80</v>
      </c>
    </row>
    <row r="23" spans="1:6" ht="16" x14ac:dyDescent="0.2">
      <c r="A23" s="1" t="s">
        <v>20</v>
      </c>
      <c r="B23" t="str">
        <f>LEFT(Table1[[#This Row],[Input]],1)</f>
        <v>R</v>
      </c>
      <c r="C23">
        <f>_xlfn.LET(_xlpm.steps,SUBSTITUTE(Table1[[#This Row],[Input]],Table1[[#This Row],[Direction]],""),VALUE(IF(LEN(_xlpm.steps)&gt;2,RIGHT(_xlpm.steps,2),_xlpm.steps)))</f>
        <v>46</v>
      </c>
      <c r="D23">
        <f>_xlfn.LET(_xlpm.dir,Table1[[#This Row],[Direction]],
IF(_xlpm.dir="L",
    IF(F22-Table1[[#This Row],[Steps]]&lt;0,100+(F22-Table1[[#This Row],[Steps]]),F22-Table1[[#This Row],[Steps]]),
))</f>
        <v>0</v>
      </c>
      <c r="E23">
        <f>_xlfn.LET(_xlpm.dir,Table1[[#This Row],[Direction]],
IF(_xlpm.dir="R",
    IF(F22+Table1[[#This Row],[Steps]]&gt;99,(F22+Table1[[#This Row],[Steps]])-100,F22+Table1[[#This Row],[Steps]]),
))</f>
        <v>26</v>
      </c>
      <c r="F23">
        <f>IF(Table1[[#This Row],[New Pos L]]&lt;&gt;0,Table1[[#This Row],[New Pos L]],Table1[[#This Row],[New Pos R]])</f>
        <v>26</v>
      </c>
    </row>
    <row r="24" spans="1:6" ht="16" x14ac:dyDescent="0.2">
      <c r="A24" s="1" t="s">
        <v>0</v>
      </c>
      <c r="B24" t="str">
        <f>LEFT(Table1[[#This Row],[Input]],1)</f>
        <v>L</v>
      </c>
      <c r="C24">
        <f>_xlfn.LET(_xlpm.steps,SUBSTITUTE(Table1[[#This Row],[Input]],Table1[[#This Row],[Direction]],""),VALUE(IF(LEN(_xlpm.steps)&gt;2,RIGHT(_xlpm.steps,2),_xlpm.steps)))</f>
        <v>44</v>
      </c>
      <c r="D24">
        <f>_xlfn.LET(_xlpm.dir,Table1[[#This Row],[Direction]],
IF(_xlpm.dir="L",
    IF(F23-Table1[[#This Row],[Steps]]&lt;0,100+(F23-Table1[[#This Row],[Steps]]),F23-Table1[[#This Row],[Steps]]),
))</f>
        <v>82</v>
      </c>
      <c r="E24">
        <f>_xlfn.LET(_xlpm.dir,Table1[[#This Row],[Direction]],
IF(_xlpm.dir="R",
    IF(F23+Table1[[#This Row],[Steps]]&gt;99,(F23+Table1[[#This Row],[Steps]])-100,F23+Table1[[#This Row],[Steps]]),
))</f>
        <v>0</v>
      </c>
      <c r="F24">
        <f>IF(Table1[[#This Row],[New Pos L]]&lt;&gt;0,Table1[[#This Row],[New Pos L]],Table1[[#This Row],[New Pos R]])</f>
        <v>82</v>
      </c>
    </row>
    <row r="25" spans="1:6" ht="16" x14ac:dyDescent="0.2">
      <c r="A25" s="1" t="s">
        <v>21</v>
      </c>
      <c r="B25" t="str">
        <f>LEFT(Table1[[#This Row],[Input]],1)</f>
        <v>L</v>
      </c>
      <c r="C25">
        <f>_xlfn.LET(_xlpm.steps,SUBSTITUTE(Table1[[#This Row],[Input]],Table1[[#This Row],[Direction]],""),VALUE(IF(LEN(_xlpm.steps)&gt;2,RIGHT(_xlpm.steps,2),_xlpm.steps)))</f>
        <v>36</v>
      </c>
      <c r="D25">
        <f>_xlfn.LET(_xlpm.dir,Table1[[#This Row],[Direction]],
IF(_xlpm.dir="L",
    IF(F24-Table1[[#This Row],[Steps]]&lt;0,100+(F24-Table1[[#This Row],[Steps]]),F24-Table1[[#This Row],[Steps]]),
))</f>
        <v>46</v>
      </c>
      <c r="E25">
        <f>_xlfn.LET(_xlpm.dir,Table1[[#This Row],[Direction]],
IF(_xlpm.dir="R",
    IF(F24+Table1[[#This Row],[Steps]]&gt;99,(F24+Table1[[#This Row],[Steps]])-100,F24+Table1[[#This Row],[Steps]]),
))</f>
        <v>0</v>
      </c>
      <c r="F25">
        <f>IF(Table1[[#This Row],[New Pos L]]&lt;&gt;0,Table1[[#This Row],[New Pos L]],Table1[[#This Row],[New Pos R]])</f>
        <v>46</v>
      </c>
    </row>
    <row r="26" spans="1:6" ht="16" x14ac:dyDescent="0.2">
      <c r="A26" s="1" t="s">
        <v>22</v>
      </c>
      <c r="B26" t="str">
        <f>LEFT(Table1[[#This Row],[Input]],1)</f>
        <v>L</v>
      </c>
      <c r="C26">
        <f>_xlfn.LET(_xlpm.steps,SUBSTITUTE(Table1[[#This Row],[Input]],Table1[[#This Row],[Direction]],""),VALUE(IF(LEN(_xlpm.steps)&gt;2,RIGHT(_xlpm.steps,2),_xlpm.steps)))</f>
        <v>37</v>
      </c>
      <c r="D26">
        <f>_xlfn.LET(_xlpm.dir,Table1[[#This Row],[Direction]],
IF(_xlpm.dir="L",
    IF(F25-Table1[[#This Row],[Steps]]&lt;0,100+(F25-Table1[[#This Row],[Steps]]),F25-Table1[[#This Row],[Steps]]),
))</f>
        <v>9</v>
      </c>
      <c r="E26">
        <f>_xlfn.LET(_xlpm.dir,Table1[[#This Row],[Direction]],
IF(_xlpm.dir="R",
    IF(F25+Table1[[#This Row],[Steps]]&gt;99,(F25+Table1[[#This Row],[Steps]])-100,F25+Table1[[#This Row],[Steps]]),
))</f>
        <v>0</v>
      </c>
      <c r="F26">
        <f>IF(Table1[[#This Row],[New Pos L]]&lt;&gt;0,Table1[[#This Row],[New Pos L]],Table1[[#This Row],[New Pos R]])</f>
        <v>9</v>
      </c>
    </row>
    <row r="27" spans="1:6" ht="16" x14ac:dyDescent="0.2">
      <c r="A27" s="1" t="s">
        <v>23</v>
      </c>
      <c r="B27" t="str">
        <f>LEFT(Table1[[#This Row],[Input]],1)</f>
        <v>L</v>
      </c>
      <c r="C27">
        <f>_xlfn.LET(_xlpm.steps,SUBSTITUTE(Table1[[#This Row],[Input]],Table1[[#This Row],[Direction]],""),VALUE(IF(LEN(_xlpm.steps)&gt;2,RIGHT(_xlpm.steps,2),_xlpm.steps)))</f>
        <v>8</v>
      </c>
      <c r="D27">
        <f>_xlfn.LET(_xlpm.dir,Table1[[#This Row],[Direction]],
IF(_xlpm.dir="L",
    IF(F26-Table1[[#This Row],[Steps]]&lt;0,100+(F26-Table1[[#This Row],[Steps]]),F26-Table1[[#This Row],[Steps]]),
))</f>
        <v>1</v>
      </c>
      <c r="E27">
        <f>_xlfn.LET(_xlpm.dir,Table1[[#This Row],[Direction]],
IF(_xlpm.dir="R",
    IF(F26+Table1[[#This Row],[Steps]]&gt;99,(F26+Table1[[#This Row],[Steps]])-100,F26+Table1[[#This Row],[Steps]]),
))</f>
        <v>0</v>
      </c>
      <c r="F27">
        <f>IF(Table1[[#This Row],[New Pos L]]&lt;&gt;0,Table1[[#This Row],[New Pos L]],Table1[[#This Row],[New Pos R]])</f>
        <v>1</v>
      </c>
    </row>
    <row r="28" spans="1:6" ht="16" x14ac:dyDescent="0.2">
      <c r="A28" s="1" t="s">
        <v>24</v>
      </c>
      <c r="B28" t="str">
        <f>LEFT(Table1[[#This Row],[Input]],1)</f>
        <v>L</v>
      </c>
      <c r="C28">
        <f>_xlfn.LET(_xlpm.steps,SUBSTITUTE(Table1[[#This Row],[Input]],Table1[[#This Row],[Direction]],""),VALUE(IF(LEN(_xlpm.steps)&gt;2,RIGHT(_xlpm.steps,2),_xlpm.steps)))</f>
        <v>49</v>
      </c>
      <c r="D28">
        <f>_xlfn.LET(_xlpm.dir,Table1[[#This Row],[Direction]],
IF(_xlpm.dir="L",
    IF(F27-Table1[[#This Row],[Steps]]&lt;0,100+(F27-Table1[[#This Row],[Steps]]),F27-Table1[[#This Row],[Steps]]),
))</f>
        <v>52</v>
      </c>
      <c r="E28">
        <f>_xlfn.LET(_xlpm.dir,Table1[[#This Row],[Direction]],
IF(_xlpm.dir="R",
    IF(F27+Table1[[#This Row],[Steps]]&gt;99,(F27+Table1[[#This Row],[Steps]])-100,F27+Table1[[#This Row],[Steps]]),
))</f>
        <v>0</v>
      </c>
      <c r="F28">
        <f>IF(Table1[[#This Row],[New Pos L]]&lt;&gt;0,Table1[[#This Row],[New Pos L]],Table1[[#This Row],[New Pos R]])</f>
        <v>52</v>
      </c>
    </row>
    <row r="29" spans="1:6" ht="16" x14ac:dyDescent="0.2">
      <c r="A29" s="1" t="s">
        <v>25</v>
      </c>
      <c r="B29" t="str">
        <f>LEFT(Table1[[#This Row],[Input]],1)</f>
        <v>L</v>
      </c>
      <c r="C29">
        <f>_xlfn.LET(_xlpm.steps,SUBSTITUTE(Table1[[#This Row],[Input]],Table1[[#This Row],[Direction]],""),VALUE(IF(LEN(_xlpm.steps)&gt;2,RIGHT(_xlpm.steps,2),_xlpm.steps)))</f>
        <v>20</v>
      </c>
      <c r="D29">
        <f>_xlfn.LET(_xlpm.dir,Table1[[#This Row],[Direction]],
IF(_xlpm.dir="L",
    IF(F28-Table1[[#This Row],[Steps]]&lt;0,100+(F28-Table1[[#This Row],[Steps]]),F28-Table1[[#This Row],[Steps]]),
))</f>
        <v>32</v>
      </c>
      <c r="E29">
        <f>_xlfn.LET(_xlpm.dir,Table1[[#This Row],[Direction]],
IF(_xlpm.dir="R",
    IF(F28+Table1[[#This Row],[Steps]]&gt;99,(F28+Table1[[#This Row],[Steps]])-100,F28+Table1[[#This Row],[Steps]]),
))</f>
        <v>0</v>
      </c>
      <c r="F29">
        <f>IF(Table1[[#This Row],[New Pos L]]&lt;&gt;0,Table1[[#This Row],[New Pos L]],Table1[[#This Row],[New Pos R]])</f>
        <v>32</v>
      </c>
    </row>
    <row r="30" spans="1:6" ht="16" x14ac:dyDescent="0.2">
      <c r="A30" s="1" t="s">
        <v>26</v>
      </c>
      <c r="B30" t="str">
        <f>LEFT(Table1[[#This Row],[Input]],1)</f>
        <v>R</v>
      </c>
      <c r="C30">
        <f>_xlfn.LET(_xlpm.steps,SUBSTITUTE(Table1[[#This Row],[Input]],Table1[[#This Row],[Direction]],""),VALUE(IF(LEN(_xlpm.steps)&gt;2,RIGHT(_xlpm.steps,2),_xlpm.steps)))</f>
        <v>6</v>
      </c>
      <c r="D30">
        <f>_xlfn.LET(_xlpm.dir,Table1[[#This Row],[Direction]],
IF(_xlpm.dir="L",
    IF(F29-Table1[[#This Row],[Steps]]&lt;0,100+(F29-Table1[[#This Row],[Steps]]),F29-Table1[[#This Row],[Steps]]),
))</f>
        <v>0</v>
      </c>
      <c r="E30">
        <f>_xlfn.LET(_xlpm.dir,Table1[[#This Row],[Direction]],
IF(_xlpm.dir="R",
    IF(F29+Table1[[#This Row],[Steps]]&gt;99,(F29+Table1[[#This Row],[Steps]])-100,F29+Table1[[#This Row],[Steps]]),
))</f>
        <v>38</v>
      </c>
      <c r="F30">
        <f>IF(Table1[[#This Row],[New Pos L]]&lt;&gt;0,Table1[[#This Row],[New Pos L]],Table1[[#This Row],[New Pos R]])</f>
        <v>38</v>
      </c>
    </row>
    <row r="31" spans="1:6" ht="16" x14ac:dyDescent="0.2">
      <c r="A31" s="1" t="s">
        <v>25</v>
      </c>
      <c r="B31" t="str">
        <f>LEFT(Table1[[#This Row],[Input]],1)</f>
        <v>L</v>
      </c>
      <c r="C31">
        <f>_xlfn.LET(_xlpm.steps,SUBSTITUTE(Table1[[#This Row],[Input]],Table1[[#This Row],[Direction]],""),VALUE(IF(LEN(_xlpm.steps)&gt;2,RIGHT(_xlpm.steps,2),_xlpm.steps)))</f>
        <v>20</v>
      </c>
      <c r="D31">
        <f>_xlfn.LET(_xlpm.dir,Table1[[#This Row],[Direction]],
IF(_xlpm.dir="L",
    IF(F30-Table1[[#This Row],[Steps]]&lt;0,100+(F30-Table1[[#This Row],[Steps]]),F30-Table1[[#This Row],[Steps]]),
))</f>
        <v>18</v>
      </c>
      <c r="E31">
        <f>_xlfn.LET(_xlpm.dir,Table1[[#This Row],[Direction]],
IF(_xlpm.dir="R",
    IF(F30+Table1[[#This Row],[Steps]]&gt;99,(F30+Table1[[#This Row],[Steps]])-100,F30+Table1[[#This Row],[Steps]]),
))</f>
        <v>0</v>
      </c>
      <c r="F31">
        <f>IF(Table1[[#This Row],[New Pos L]]&lt;&gt;0,Table1[[#This Row],[New Pos L]],Table1[[#This Row],[New Pos R]])</f>
        <v>18</v>
      </c>
    </row>
    <row r="32" spans="1:6" ht="16" x14ac:dyDescent="0.2">
      <c r="A32" s="1" t="s">
        <v>27</v>
      </c>
      <c r="B32" t="str">
        <f>LEFT(Table1[[#This Row],[Input]],1)</f>
        <v>L</v>
      </c>
      <c r="C32">
        <f>_xlfn.LET(_xlpm.steps,SUBSTITUTE(Table1[[#This Row],[Input]],Table1[[#This Row],[Direction]],""),VALUE(IF(LEN(_xlpm.steps)&gt;2,RIGHT(_xlpm.steps,2),_xlpm.steps)))</f>
        <v>14</v>
      </c>
      <c r="D32">
        <f>_xlfn.LET(_xlpm.dir,Table1[[#This Row],[Direction]],
IF(_xlpm.dir="L",
    IF(F31-Table1[[#This Row],[Steps]]&lt;0,100+(F31-Table1[[#This Row],[Steps]]),F31-Table1[[#This Row],[Steps]]),
))</f>
        <v>4</v>
      </c>
      <c r="E32">
        <f>_xlfn.LET(_xlpm.dir,Table1[[#This Row],[Direction]],
IF(_xlpm.dir="R",
    IF(F31+Table1[[#This Row],[Steps]]&gt;99,(F31+Table1[[#This Row],[Steps]])-100,F31+Table1[[#This Row],[Steps]]),
))</f>
        <v>0</v>
      </c>
      <c r="F32">
        <f>IF(Table1[[#This Row],[New Pos L]]&lt;&gt;0,Table1[[#This Row],[New Pos L]],Table1[[#This Row],[New Pos R]])</f>
        <v>4</v>
      </c>
    </row>
    <row r="33" spans="1:6" ht="16" x14ac:dyDescent="0.2">
      <c r="A33" s="1" t="s">
        <v>28</v>
      </c>
      <c r="B33" t="str">
        <f>LEFT(Table1[[#This Row],[Input]],1)</f>
        <v>R</v>
      </c>
      <c r="C33">
        <f>_xlfn.LET(_xlpm.steps,SUBSTITUTE(Table1[[#This Row],[Input]],Table1[[#This Row],[Direction]],""),VALUE(IF(LEN(_xlpm.steps)&gt;2,RIGHT(_xlpm.steps,2),_xlpm.steps)))</f>
        <v>30</v>
      </c>
      <c r="D33">
        <f>_xlfn.LET(_xlpm.dir,Table1[[#This Row],[Direction]],
IF(_xlpm.dir="L",
    IF(F32-Table1[[#This Row],[Steps]]&lt;0,100+(F32-Table1[[#This Row],[Steps]]),F32-Table1[[#This Row],[Steps]]),
))</f>
        <v>0</v>
      </c>
      <c r="E33">
        <f>_xlfn.LET(_xlpm.dir,Table1[[#This Row],[Direction]],
IF(_xlpm.dir="R",
    IF(F32+Table1[[#This Row],[Steps]]&gt;99,(F32+Table1[[#This Row],[Steps]])-100,F32+Table1[[#This Row],[Steps]]),
))</f>
        <v>34</v>
      </c>
      <c r="F33">
        <f>IF(Table1[[#This Row],[New Pos L]]&lt;&gt;0,Table1[[#This Row],[New Pos L]],Table1[[#This Row],[New Pos R]])</f>
        <v>34</v>
      </c>
    </row>
    <row r="34" spans="1:6" ht="16" x14ac:dyDescent="0.2">
      <c r="A34" s="1" t="s">
        <v>29</v>
      </c>
      <c r="B34" t="str">
        <f>LEFT(Table1[[#This Row],[Input]],1)</f>
        <v>L</v>
      </c>
      <c r="C34">
        <f>_xlfn.LET(_xlpm.steps,SUBSTITUTE(Table1[[#This Row],[Input]],Table1[[#This Row],[Direction]],""),VALUE(IF(LEN(_xlpm.steps)&gt;2,RIGHT(_xlpm.steps,2),_xlpm.steps)))</f>
        <v>33</v>
      </c>
      <c r="D34">
        <f>_xlfn.LET(_xlpm.dir,Table1[[#This Row],[Direction]],
IF(_xlpm.dir="L",
    IF(F33-Table1[[#This Row],[Steps]]&lt;0,100+(F33-Table1[[#This Row],[Steps]]),F33-Table1[[#This Row],[Steps]]),
))</f>
        <v>1</v>
      </c>
      <c r="E34">
        <f>_xlfn.LET(_xlpm.dir,Table1[[#This Row],[Direction]],
IF(_xlpm.dir="R",
    IF(F33+Table1[[#This Row],[Steps]]&gt;99,(F33+Table1[[#This Row],[Steps]])-100,F33+Table1[[#This Row],[Steps]]),
))</f>
        <v>0</v>
      </c>
      <c r="F34">
        <f>IF(Table1[[#This Row],[New Pos L]]&lt;&gt;0,Table1[[#This Row],[New Pos L]],Table1[[#This Row],[New Pos R]])</f>
        <v>1</v>
      </c>
    </row>
    <row r="35" spans="1:6" ht="16" x14ac:dyDescent="0.2">
      <c r="A35" s="1" t="s">
        <v>30</v>
      </c>
      <c r="B35" t="str">
        <f>LEFT(Table1[[#This Row],[Input]],1)</f>
        <v>R</v>
      </c>
      <c r="C35">
        <f>_xlfn.LET(_xlpm.steps,SUBSTITUTE(Table1[[#This Row],[Input]],Table1[[#This Row],[Direction]],""),VALUE(IF(LEN(_xlpm.steps)&gt;2,RIGHT(_xlpm.steps,2),_xlpm.steps)))</f>
        <v>48</v>
      </c>
      <c r="D35">
        <f>_xlfn.LET(_xlpm.dir,Table1[[#This Row],[Direction]],
IF(_xlpm.dir="L",
    IF(F34-Table1[[#This Row],[Steps]]&lt;0,100+(F34-Table1[[#This Row],[Steps]]),F34-Table1[[#This Row],[Steps]]),
))</f>
        <v>0</v>
      </c>
      <c r="E35">
        <f>_xlfn.LET(_xlpm.dir,Table1[[#This Row],[Direction]],
IF(_xlpm.dir="R",
    IF(F34+Table1[[#This Row],[Steps]]&gt;99,(F34+Table1[[#This Row],[Steps]])-100,F34+Table1[[#This Row],[Steps]]),
))</f>
        <v>49</v>
      </c>
      <c r="F35">
        <f>IF(Table1[[#This Row],[New Pos L]]&lt;&gt;0,Table1[[#This Row],[New Pos L]],Table1[[#This Row],[New Pos R]])</f>
        <v>49</v>
      </c>
    </row>
    <row r="36" spans="1:6" ht="16" x14ac:dyDescent="0.2">
      <c r="A36" s="1" t="s">
        <v>31</v>
      </c>
      <c r="B36" t="str">
        <f>LEFT(Table1[[#This Row],[Input]],1)</f>
        <v>L</v>
      </c>
      <c r="C36">
        <f>_xlfn.LET(_xlpm.steps,SUBSTITUTE(Table1[[#This Row],[Input]],Table1[[#This Row],[Direction]],""),VALUE(IF(LEN(_xlpm.steps)&gt;2,RIGHT(_xlpm.steps,2),_xlpm.steps)))</f>
        <v>13</v>
      </c>
      <c r="D36">
        <f>_xlfn.LET(_xlpm.dir,Table1[[#This Row],[Direction]],
IF(_xlpm.dir="L",
    IF(F35-Table1[[#This Row],[Steps]]&lt;0,100+(F35-Table1[[#This Row],[Steps]]),F35-Table1[[#This Row],[Steps]]),
))</f>
        <v>36</v>
      </c>
      <c r="E36">
        <f>_xlfn.LET(_xlpm.dir,Table1[[#This Row],[Direction]],
IF(_xlpm.dir="R",
    IF(F35+Table1[[#This Row],[Steps]]&gt;99,(F35+Table1[[#This Row],[Steps]])-100,F35+Table1[[#This Row],[Steps]]),
))</f>
        <v>0</v>
      </c>
      <c r="F36">
        <f>IF(Table1[[#This Row],[New Pos L]]&lt;&gt;0,Table1[[#This Row],[New Pos L]],Table1[[#This Row],[New Pos R]])</f>
        <v>36</v>
      </c>
    </row>
    <row r="37" spans="1:6" ht="16" x14ac:dyDescent="0.2">
      <c r="A37" s="1" t="s">
        <v>12</v>
      </c>
      <c r="B37" t="str">
        <f>LEFT(Table1[[#This Row],[Input]],1)</f>
        <v>L</v>
      </c>
      <c r="C37">
        <f>_xlfn.LET(_xlpm.steps,SUBSTITUTE(Table1[[#This Row],[Input]],Table1[[#This Row],[Direction]],""),VALUE(IF(LEN(_xlpm.steps)&gt;2,RIGHT(_xlpm.steps,2),_xlpm.steps)))</f>
        <v>11</v>
      </c>
      <c r="D37">
        <f>_xlfn.LET(_xlpm.dir,Table1[[#This Row],[Direction]],
IF(_xlpm.dir="L",
    IF(F36-Table1[[#This Row],[Steps]]&lt;0,100+(F36-Table1[[#This Row],[Steps]]),F36-Table1[[#This Row],[Steps]]),
))</f>
        <v>25</v>
      </c>
      <c r="E37">
        <f>_xlfn.LET(_xlpm.dir,Table1[[#This Row],[Direction]],
IF(_xlpm.dir="R",
    IF(F36+Table1[[#This Row],[Steps]]&gt;99,(F36+Table1[[#This Row],[Steps]])-100,F36+Table1[[#This Row],[Steps]]),
))</f>
        <v>0</v>
      </c>
      <c r="F37">
        <f>IF(Table1[[#This Row],[New Pos L]]&lt;&gt;0,Table1[[#This Row],[New Pos L]],Table1[[#This Row],[New Pos R]])</f>
        <v>25</v>
      </c>
    </row>
    <row r="38" spans="1:6" ht="16" x14ac:dyDescent="0.2">
      <c r="A38" s="1" t="s">
        <v>30</v>
      </c>
      <c r="B38" t="str">
        <f>LEFT(Table1[[#This Row],[Input]],1)</f>
        <v>R</v>
      </c>
      <c r="C38">
        <f>_xlfn.LET(_xlpm.steps,SUBSTITUTE(Table1[[#This Row],[Input]],Table1[[#This Row],[Direction]],""),VALUE(IF(LEN(_xlpm.steps)&gt;2,RIGHT(_xlpm.steps,2),_xlpm.steps)))</f>
        <v>48</v>
      </c>
      <c r="D38">
        <f>_xlfn.LET(_xlpm.dir,Table1[[#This Row],[Direction]],
IF(_xlpm.dir="L",
    IF(F37-Table1[[#This Row],[Steps]]&lt;0,100+(F37-Table1[[#This Row],[Steps]]),F37-Table1[[#This Row],[Steps]]),
))</f>
        <v>0</v>
      </c>
      <c r="E38">
        <f>_xlfn.LET(_xlpm.dir,Table1[[#This Row],[Direction]],
IF(_xlpm.dir="R",
    IF(F37+Table1[[#This Row],[Steps]]&gt;99,(F37+Table1[[#This Row],[Steps]])-100,F37+Table1[[#This Row],[Steps]]),
))</f>
        <v>73</v>
      </c>
      <c r="F38">
        <f>IF(Table1[[#This Row],[New Pos L]]&lt;&gt;0,Table1[[#This Row],[New Pos L]],Table1[[#This Row],[New Pos R]])</f>
        <v>73</v>
      </c>
    </row>
    <row r="39" spans="1:6" ht="16" x14ac:dyDescent="0.2">
      <c r="A39" s="1" t="s">
        <v>32</v>
      </c>
      <c r="B39" t="str">
        <f>LEFT(Table1[[#This Row],[Input]],1)</f>
        <v>L</v>
      </c>
      <c r="C39">
        <f>_xlfn.LET(_xlpm.steps,SUBSTITUTE(Table1[[#This Row],[Input]],Table1[[#This Row],[Direction]],""),VALUE(IF(LEN(_xlpm.steps)&gt;2,RIGHT(_xlpm.steps,2),_xlpm.steps)))</f>
        <v>28</v>
      </c>
      <c r="D39">
        <f>_xlfn.LET(_xlpm.dir,Table1[[#This Row],[Direction]],
IF(_xlpm.dir="L",
    IF(F38-Table1[[#This Row],[Steps]]&lt;0,100+(F38-Table1[[#This Row],[Steps]]),F38-Table1[[#This Row],[Steps]]),
))</f>
        <v>45</v>
      </c>
      <c r="E39">
        <f>_xlfn.LET(_xlpm.dir,Table1[[#This Row],[Direction]],
IF(_xlpm.dir="R",
    IF(F38+Table1[[#This Row],[Steps]]&gt;99,(F38+Table1[[#This Row],[Steps]])-100,F38+Table1[[#This Row],[Steps]]),
))</f>
        <v>0</v>
      </c>
      <c r="F39">
        <f>IF(Table1[[#This Row],[New Pos L]]&lt;&gt;0,Table1[[#This Row],[New Pos L]],Table1[[#This Row],[New Pos R]])</f>
        <v>45</v>
      </c>
    </row>
    <row r="40" spans="1:6" ht="16" x14ac:dyDescent="0.2">
      <c r="A40" s="1" t="s">
        <v>33</v>
      </c>
      <c r="B40" t="str">
        <f>LEFT(Table1[[#This Row],[Input]],1)</f>
        <v>R</v>
      </c>
      <c r="C40">
        <f>_xlfn.LET(_xlpm.steps,SUBSTITUTE(Table1[[#This Row],[Input]],Table1[[#This Row],[Direction]],""),VALUE(IF(LEN(_xlpm.steps)&gt;2,RIGHT(_xlpm.steps,2),_xlpm.steps)))</f>
        <v>22</v>
      </c>
      <c r="D40">
        <f>_xlfn.LET(_xlpm.dir,Table1[[#This Row],[Direction]],
IF(_xlpm.dir="L",
    IF(F39-Table1[[#This Row],[Steps]]&lt;0,100+(F39-Table1[[#This Row],[Steps]]),F39-Table1[[#This Row],[Steps]]),
))</f>
        <v>0</v>
      </c>
      <c r="E40">
        <f>_xlfn.LET(_xlpm.dir,Table1[[#This Row],[Direction]],
IF(_xlpm.dir="R",
    IF(F39+Table1[[#This Row],[Steps]]&gt;99,(F39+Table1[[#This Row],[Steps]])-100,F39+Table1[[#This Row],[Steps]]),
))</f>
        <v>67</v>
      </c>
      <c r="F40">
        <f>IF(Table1[[#This Row],[New Pos L]]&lt;&gt;0,Table1[[#This Row],[New Pos L]],Table1[[#This Row],[New Pos R]])</f>
        <v>67</v>
      </c>
    </row>
    <row r="41" spans="1:6" ht="16" x14ac:dyDescent="0.2">
      <c r="A41" s="1" t="s">
        <v>34</v>
      </c>
      <c r="B41" t="str">
        <f>LEFT(Table1[[#This Row],[Input]],1)</f>
        <v>L</v>
      </c>
      <c r="C41">
        <f>_xlfn.LET(_xlpm.steps,SUBSTITUTE(Table1[[#This Row],[Input]],Table1[[#This Row],[Direction]],""),VALUE(IF(LEN(_xlpm.steps)&gt;2,RIGHT(_xlpm.steps,2),_xlpm.steps)))</f>
        <v>15</v>
      </c>
      <c r="D41">
        <f>_xlfn.LET(_xlpm.dir,Table1[[#This Row],[Direction]],
IF(_xlpm.dir="L",
    IF(F40-Table1[[#This Row],[Steps]]&lt;0,100+(F40-Table1[[#This Row],[Steps]]),F40-Table1[[#This Row],[Steps]]),
))</f>
        <v>52</v>
      </c>
      <c r="E41">
        <f>_xlfn.LET(_xlpm.dir,Table1[[#This Row],[Direction]],
IF(_xlpm.dir="R",
    IF(F40+Table1[[#This Row],[Steps]]&gt;99,(F40+Table1[[#This Row],[Steps]])-100,F40+Table1[[#This Row],[Steps]]),
))</f>
        <v>0</v>
      </c>
      <c r="F41">
        <f>IF(Table1[[#This Row],[New Pos L]]&lt;&gt;0,Table1[[#This Row],[New Pos L]],Table1[[#This Row],[New Pos R]])</f>
        <v>52</v>
      </c>
    </row>
    <row r="42" spans="1:6" ht="16" x14ac:dyDescent="0.2">
      <c r="A42" s="1" t="s">
        <v>35</v>
      </c>
      <c r="B42" t="str">
        <f>LEFT(Table1[[#This Row],[Input]],1)</f>
        <v>L</v>
      </c>
      <c r="C42">
        <f>_xlfn.LET(_xlpm.steps,SUBSTITUTE(Table1[[#This Row],[Input]],Table1[[#This Row],[Direction]],""),VALUE(IF(LEN(_xlpm.steps)&gt;2,RIGHT(_xlpm.steps,2),_xlpm.steps)))</f>
        <v>2</v>
      </c>
      <c r="D42">
        <f>_xlfn.LET(_xlpm.dir,Table1[[#This Row],[Direction]],
IF(_xlpm.dir="L",
    IF(F41-Table1[[#This Row],[Steps]]&lt;0,100+(F41-Table1[[#This Row],[Steps]]),F41-Table1[[#This Row],[Steps]]),
))</f>
        <v>50</v>
      </c>
      <c r="E42">
        <f>_xlfn.LET(_xlpm.dir,Table1[[#This Row],[Direction]],
IF(_xlpm.dir="R",
    IF(F41+Table1[[#This Row],[Steps]]&gt;99,(F41+Table1[[#This Row],[Steps]])-100,F41+Table1[[#This Row],[Steps]]),
))</f>
        <v>0</v>
      </c>
      <c r="F42">
        <f>IF(Table1[[#This Row],[New Pos L]]&lt;&gt;0,Table1[[#This Row],[New Pos L]],Table1[[#This Row],[New Pos R]])</f>
        <v>50</v>
      </c>
    </row>
    <row r="43" spans="1:6" ht="16" x14ac:dyDescent="0.2">
      <c r="A43" s="1" t="s">
        <v>36</v>
      </c>
      <c r="B43" t="str">
        <f>LEFT(Table1[[#This Row],[Input]],1)</f>
        <v>R</v>
      </c>
      <c r="C43">
        <f>_xlfn.LET(_xlpm.steps,SUBSTITUTE(Table1[[#This Row],[Input]],Table1[[#This Row],[Direction]],""),VALUE(IF(LEN(_xlpm.steps)&gt;2,RIGHT(_xlpm.steps,2),_xlpm.steps)))</f>
        <v>50</v>
      </c>
      <c r="D43">
        <f>_xlfn.LET(_xlpm.dir,Table1[[#This Row],[Direction]],
IF(_xlpm.dir="L",
    IF(F42-Table1[[#This Row],[Steps]]&lt;0,100+(F42-Table1[[#This Row],[Steps]]),F42-Table1[[#This Row],[Steps]]),
))</f>
        <v>0</v>
      </c>
      <c r="E43">
        <f>_xlfn.LET(_xlpm.dir,Table1[[#This Row],[Direction]],
IF(_xlpm.dir="R",
    IF(F42+Table1[[#This Row],[Steps]]&gt;99,(F42+Table1[[#This Row],[Steps]])-100,F42+Table1[[#This Row],[Steps]]),
))</f>
        <v>0</v>
      </c>
      <c r="F43">
        <f>IF(Table1[[#This Row],[New Pos L]]&lt;&gt;0,Table1[[#This Row],[New Pos L]],Table1[[#This Row],[New Pos R]])</f>
        <v>0</v>
      </c>
    </row>
    <row r="44" spans="1:6" ht="16" x14ac:dyDescent="0.2">
      <c r="A44" s="1" t="s">
        <v>37</v>
      </c>
      <c r="B44" t="str">
        <f>LEFT(Table1[[#This Row],[Input]],1)</f>
        <v>L</v>
      </c>
      <c r="C44">
        <f>_xlfn.LET(_xlpm.steps,SUBSTITUTE(Table1[[#This Row],[Input]],Table1[[#This Row],[Direction]],""),VALUE(IF(LEN(_xlpm.steps)&gt;2,RIGHT(_xlpm.steps,2),_xlpm.steps)))</f>
        <v>42</v>
      </c>
      <c r="D44">
        <f>_xlfn.LET(_xlpm.dir,Table1[[#This Row],[Direction]],
IF(_xlpm.dir="L",
    IF(F43-Table1[[#This Row],[Steps]]&lt;0,100+(F43-Table1[[#This Row],[Steps]]),F43-Table1[[#This Row],[Steps]]),
))</f>
        <v>58</v>
      </c>
      <c r="E44">
        <f>_xlfn.LET(_xlpm.dir,Table1[[#This Row],[Direction]],
IF(_xlpm.dir="R",
    IF(F43+Table1[[#This Row],[Steps]]&gt;99,(F43+Table1[[#This Row],[Steps]])-100,F43+Table1[[#This Row],[Steps]]),
))</f>
        <v>0</v>
      </c>
      <c r="F44">
        <f>IF(Table1[[#This Row],[New Pos L]]&lt;&gt;0,Table1[[#This Row],[New Pos L]],Table1[[#This Row],[New Pos R]])</f>
        <v>58</v>
      </c>
    </row>
    <row r="45" spans="1:6" ht="16" x14ac:dyDescent="0.2">
      <c r="A45" s="1" t="s">
        <v>16</v>
      </c>
      <c r="B45" t="str">
        <f>LEFT(Table1[[#This Row],[Input]],1)</f>
        <v>L</v>
      </c>
      <c r="C45">
        <f>_xlfn.LET(_xlpm.steps,SUBSTITUTE(Table1[[#This Row],[Input]],Table1[[#This Row],[Direction]],""),VALUE(IF(LEN(_xlpm.steps)&gt;2,RIGHT(_xlpm.steps,2),_xlpm.steps)))</f>
        <v>10</v>
      </c>
      <c r="D45">
        <f>_xlfn.LET(_xlpm.dir,Table1[[#This Row],[Direction]],
IF(_xlpm.dir="L",
    IF(F44-Table1[[#This Row],[Steps]]&lt;0,100+(F44-Table1[[#This Row],[Steps]]),F44-Table1[[#This Row],[Steps]]),
))</f>
        <v>48</v>
      </c>
      <c r="E45">
        <f>_xlfn.LET(_xlpm.dir,Table1[[#This Row],[Direction]],
IF(_xlpm.dir="R",
    IF(F44+Table1[[#This Row],[Steps]]&gt;99,(F44+Table1[[#This Row],[Steps]])-100,F44+Table1[[#This Row],[Steps]]),
))</f>
        <v>0</v>
      </c>
      <c r="F45">
        <f>IF(Table1[[#This Row],[New Pos L]]&lt;&gt;0,Table1[[#This Row],[New Pos L]],Table1[[#This Row],[New Pos R]])</f>
        <v>48</v>
      </c>
    </row>
    <row r="46" spans="1:6" ht="16" x14ac:dyDescent="0.2">
      <c r="A46" s="1" t="s">
        <v>27</v>
      </c>
      <c r="B46" t="str">
        <f>LEFT(Table1[[#This Row],[Input]],1)</f>
        <v>L</v>
      </c>
      <c r="C46">
        <f>_xlfn.LET(_xlpm.steps,SUBSTITUTE(Table1[[#This Row],[Input]],Table1[[#This Row],[Direction]],""),VALUE(IF(LEN(_xlpm.steps)&gt;2,RIGHT(_xlpm.steps,2),_xlpm.steps)))</f>
        <v>14</v>
      </c>
      <c r="D46">
        <f>_xlfn.LET(_xlpm.dir,Table1[[#This Row],[Direction]],
IF(_xlpm.dir="L",
    IF(F45-Table1[[#This Row],[Steps]]&lt;0,100+(F45-Table1[[#This Row],[Steps]]),F45-Table1[[#This Row],[Steps]]),
))</f>
        <v>34</v>
      </c>
      <c r="E46">
        <f>_xlfn.LET(_xlpm.dir,Table1[[#This Row],[Direction]],
IF(_xlpm.dir="R",
    IF(F45+Table1[[#This Row],[Steps]]&gt;99,(F45+Table1[[#This Row],[Steps]])-100,F45+Table1[[#This Row],[Steps]]),
))</f>
        <v>0</v>
      </c>
      <c r="F46">
        <f>IF(Table1[[#This Row],[New Pos L]]&lt;&gt;0,Table1[[#This Row],[New Pos L]],Table1[[#This Row],[New Pos R]])</f>
        <v>34</v>
      </c>
    </row>
    <row r="47" spans="1:6" ht="16" x14ac:dyDescent="0.2">
      <c r="A47" s="1" t="s">
        <v>38</v>
      </c>
      <c r="B47" t="str">
        <f>LEFT(Table1[[#This Row],[Input]],1)</f>
        <v>R</v>
      </c>
      <c r="C47">
        <f>_xlfn.LET(_xlpm.steps,SUBSTITUTE(Table1[[#This Row],[Input]],Table1[[#This Row],[Direction]],""),VALUE(IF(LEN(_xlpm.steps)&gt;2,RIGHT(_xlpm.steps,2),_xlpm.steps)))</f>
        <v>15</v>
      </c>
      <c r="D47">
        <f>_xlfn.LET(_xlpm.dir,Table1[[#This Row],[Direction]],
IF(_xlpm.dir="L",
    IF(F46-Table1[[#This Row],[Steps]]&lt;0,100+(F46-Table1[[#This Row],[Steps]]),F46-Table1[[#This Row],[Steps]]),
))</f>
        <v>0</v>
      </c>
      <c r="E47">
        <f>_xlfn.LET(_xlpm.dir,Table1[[#This Row],[Direction]],
IF(_xlpm.dir="R",
    IF(F46+Table1[[#This Row],[Steps]]&gt;99,(F46+Table1[[#This Row],[Steps]])-100,F46+Table1[[#This Row],[Steps]]),
))</f>
        <v>49</v>
      </c>
      <c r="F47">
        <f>IF(Table1[[#This Row],[New Pos L]]&lt;&gt;0,Table1[[#This Row],[New Pos L]],Table1[[#This Row],[New Pos R]])</f>
        <v>49</v>
      </c>
    </row>
    <row r="48" spans="1:6" ht="16" x14ac:dyDescent="0.2">
      <c r="A48" s="1" t="s">
        <v>39</v>
      </c>
      <c r="B48" t="str">
        <f>LEFT(Table1[[#This Row],[Input]],1)</f>
        <v>R</v>
      </c>
      <c r="C48">
        <f>_xlfn.LET(_xlpm.steps,SUBSTITUTE(Table1[[#This Row],[Input]],Table1[[#This Row],[Direction]],""),VALUE(IF(LEN(_xlpm.steps)&gt;2,RIGHT(_xlpm.steps,2),_xlpm.steps)))</f>
        <v>32</v>
      </c>
      <c r="D48">
        <f>_xlfn.LET(_xlpm.dir,Table1[[#This Row],[Direction]],
IF(_xlpm.dir="L",
    IF(F47-Table1[[#This Row],[Steps]]&lt;0,100+(F47-Table1[[#This Row],[Steps]]),F47-Table1[[#This Row],[Steps]]),
))</f>
        <v>0</v>
      </c>
      <c r="E48">
        <f>_xlfn.LET(_xlpm.dir,Table1[[#This Row],[Direction]],
IF(_xlpm.dir="R",
    IF(F47+Table1[[#This Row],[Steps]]&gt;99,(F47+Table1[[#This Row],[Steps]])-100,F47+Table1[[#This Row],[Steps]]),
))</f>
        <v>81</v>
      </c>
      <c r="F48">
        <f>IF(Table1[[#This Row],[New Pos L]]&lt;&gt;0,Table1[[#This Row],[New Pos L]],Table1[[#This Row],[New Pos R]])</f>
        <v>81</v>
      </c>
    </row>
    <row r="49" spans="1:6" ht="16" x14ac:dyDescent="0.2">
      <c r="A49" s="1" t="s">
        <v>31</v>
      </c>
      <c r="B49" t="str">
        <f>LEFT(Table1[[#This Row],[Input]],1)</f>
        <v>L</v>
      </c>
      <c r="C49">
        <f>_xlfn.LET(_xlpm.steps,SUBSTITUTE(Table1[[#This Row],[Input]],Table1[[#This Row],[Direction]],""),VALUE(IF(LEN(_xlpm.steps)&gt;2,RIGHT(_xlpm.steps,2),_xlpm.steps)))</f>
        <v>13</v>
      </c>
      <c r="D49">
        <f>_xlfn.LET(_xlpm.dir,Table1[[#This Row],[Direction]],
IF(_xlpm.dir="L",
    IF(F48-Table1[[#This Row],[Steps]]&lt;0,100+(F48-Table1[[#This Row],[Steps]]),F48-Table1[[#This Row],[Steps]]),
))</f>
        <v>68</v>
      </c>
      <c r="E49">
        <f>_xlfn.LET(_xlpm.dir,Table1[[#This Row],[Direction]],
IF(_xlpm.dir="R",
    IF(F48+Table1[[#This Row],[Steps]]&gt;99,(F48+Table1[[#This Row],[Steps]])-100,F48+Table1[[#This Row],[Steps]]),
))</f>
        <v>0</v>
      </c>
      <c r="F49">
        <f>IF(Table1[[#This Row],[New Pos L]]&lt;&gt;0,Table1[[#This Row],[New Pos L]],Table1[[#This Row],[New Pos R]])</f>
        <v>68</v>
      </c>
    </row>
    <row r="50" spans="1:6" ht="16" x14ac:dyDescent="0.2">
      <c r="A50" s="1" t="s">
        <v>13</v>
      </c>
      <c r="B50" t="str">
        <f>LEFT(Table1[[#This Row],[Input]],1)</f>
        <v>R</v>
      </c>
      <c r="C50">
        <f>_xlfn.LET(_xlpm.steps,SUBSTITUTE(Table1[[#This Row],[Input]],Table1[[#This Row],[Direction]],""),VALUE(IF(LEN(_xlpm.steps)&gt;2,RIGHT(_xlpm.steps,2),_xlpm.steps)))</f>
        <v>12</v>
      </c>
      <c r="D50">
        <f>_xlfn.LET(_xlpm.dir,Table1[[#This Row],[Direction]],
IF(_xlpm.dir="L",
    IF(F49-Table1[[#This Row],[Steps]]&lt;0,100+(F49-Table1[[#This Row],[Steps]]),F49-Table1[[#This Row],[Steps]]),
))</f>
        <v>0</v>
      </c>
      <c r="E50">
        <f>_xlfn.LET(_xlpm.dir,Table1[[#This Row],[Direction]],
IF(_xlpm.dir="R",
    IF(F49+Table1[[#This Row],[Steps]]&gt;99,(F49+Table1[[#This Row],[Steps]])-100,F49+Table1[[#This Row],[Steps]]),
))</f>
        <v>80</v>
      </c>
      <c r="F50">
        <f>IF(Table1[[#This Row],[New Pos L]]&lt;&gt;0,Table1[[#This Row],[New Pos L]],Table1[[#This Row],[New Pos R]])</f>
        <v>80</v>
      </c>
    </row>
    <row r="51" spans="1:6" ht="16" x14ac:dyDescent="0.2">
      <c r="A51" s="1" t="s">
        <v>20</v>
      </c>
      <c r="B51" t="str">
        <f>LEFT(Table1[[#This Row],[Input]],1)</f>
        <v>R</v>
      </c>
      <c r="C51">
        <f>_xlfn.LET(_xlpm.steps,SUBSTITUTE(Table1[[#This Row],[Input]],Table1[[#This Row],[Direction]],""),VALUE(IF(LEN(_xlpm.steps)&gt;2,RIGHT(_xlpm.steps,2),_xlpm.steps)))</f>
        <v>46</v>
      </c>
      <c r="D51">
        <f>_xlfn.LET(_xlpm.dir,Table1[[#This Row],[Direction]],
IF(_xlpm.dir="L",
    IF(F50-Table1[[#This Row],[Steps]]&lt;0,100+(F50-Table1[[#This Row],[Steps]]),F50-Table1[[#This Row],[Steps]]),
))</f>
        <v>0</v>
      </c>
      <c r="E51">
        <f>_xlfn.LET(_xlpm.dir,Table1[[#This Row],[Direction]],
IF(_xlpm.dir="R",
    IF(F50+Table1[[#This Row],[Steps]]&gt;99,(F50+Table1[[#This Row],[Steps]])-100,F50+Table1[[#This Row],[Steps]]),
))</f>
        <v>26</v>
      </c>
      <c r="F51">
        <f>IF(Table1[[#This Row],[New Pos L]]&lt;&gt;0,Table1[[#This Row],[New Pos L]],Table1[[#This Row],[New Pos R]])</f>
        <v>26</v>
      </c>
    </row>
    <row r="52" spans="1:6" ht="16" x14ac:dyDescent="0.2">
      <c r="A52" s="1" t="s">
        <v>40</v>
      </c>
      <c r="B52" t="str">
        <f>LEFT(Table1[[#This Row],[Input]],1)</f>
        <v>R</v>
      </c>
      <c r="C52">
        <f>_xlfn.LET(_xlpm.steps,SUBSTITUTE(Table1[[#This Row],[Input]],Table1[[#This Row],[Direction]],""),VALUE(IF(LEN(_xlpm.steps)&gt;2,RIGHT(_xlpm.steps,2),_xlpm.steps)))</f>
        <v>52</v>
      </c>
      <c r="D52">
        <f>_xlfn.LET(_xlpm.dir,Table1[[#This Row],[Direction]],
IF(_xlpm.dir="L",
    IF(F51-Table1[[#This Row],[Steps]]&lt;0,100+(F51-Table1[[#This Row],[Steps]]),F51-Table1[[#This Row],[Steps]]),
))</f>
        <v>0</v>
      </c>
      <c r="E52">
        <f>_xlfn.LET(_xlpm.dir,Table1[[#This Row],[Direction]],
IF(_xlpm.dir="R",
    IF(F51+Table1[[#This Row],[Steps]]&gt;99,(F51+Table1[[#This Row],[Steps]])-100,F51+Table1[[#This Row],[Steps]]),
))</f>
        <v>78</v>
      </c>
      <c r="F52">
        <f>IF(Table1[[#This Row],[New Pos L]]&lt;&gt;0,Table1[[#This Row],[New Pos L]],Table1[[#This Row],[New Pos R]])</f>
        <v>78</v>
      </c>
    </row>
    <row r="53" spans="1:6" ht="16" x14ac:dyDescent="0.2">
      <c r="A53" s="1" t="s">
        <v>41</v>
      </c>
      <c r="B53" t="str">
        <f>LEFT(Table1[[#This Row],[Input]],1)</f>
        <v>L</v>
      </c>
      <c r="C53">
        <f>_xlfn.LET(_xlpm.steps,SUBSTITUTE(Table1[[#This Row],[Input]],Table1[[#This Row],[Direction]],""),VALUE(IF(LEN(_xlpm.steps)&gt;2,RIGHT(_xlpm.steps,2),_xlpm.steps)))</f>
        <v>7</v>
      </c>
      <c r="D53">
        <f>_xlfn.LET(_xlpm.dir,Table1[[#This Row],[Direction]],
IF(_xlpm.dir="L",
    IF(F52-Table1[[#This Row],[Steps]]&lt;0,100+(F52-Table1[[#This Row],[Steps]]),F52-Table1[[#This Row],[Steps]]),
))</f>
        <v>71</v>
      </c>
      <c r="E53">
        <f>_xlfn.LET(_xlpm.dir,Table1[[#This Row],[Direction]],
IF(_xlpm.dir="R",
    IF(F52+Table1[[#This Row],[Steps]]&gt;99,(F52+Table1[[#This Row],[Steps]])-100,F52+Table1[[#This Row],[Steps]]),
))</f>
        <v>0</v>
      </c>
      <c r="F53">
        <f>IF(Table1[[#This Row],[New Pos L]]&lt;&gt;0,Table1[[#This Row],[New Pos L]],Table1[[#This Row],[New Pos R]])</f>
        <v>71</v>
      </c>
    </row>
    <row r="54" spans="1:6" ht="16" x14ac:dyDescent="0.2">
      <c r="A54" s="1" t="s">
        <v>11</v>
      </c>
      <c r="B54" t="str">
        <f>LEFT(Table1[[#This Row],[Input]],1)</f>
        <v>L</v>
      </c>
      <c r="C54">
        <f>_xlfn.LET(_xlpm.steps,SUBSTITUTE(Table1[[#This Row],[Input]],Table1[[#This Row],[Direction]],""),VALUE(IF(LEN(_xlpm.steps)&gt;2,RIGHT(_xlpm.steps,2),_xlpm.steps)))</f>
        <v>34</v>
      </c>
      <c r="D54">
        <f>_xlfn.LET(_xlpm.dir,Table1[[#This Row],[Direction]],
IF(_xlpm.dir="L",
    IF(F53-Table1[[#This Row],[Steps]]&lt;0,100+(F53-Table1[[#This Row],[Steps]]),F53-Table1[[#This Row],[Steps]]),
))</f>
        <v>37</v>
      </c>
      <c r="E54">
        <f>_xlfn.LET(_xlpm.dir,Table1[[#This Row],[Direction]],
IF(_xlpm.dir="R",
    IF(F53+Table1[[#This Row],[Steps]]&gt;99,(F53+Table1[[#This Row],[Steps]])-100,F53+Table1[[#This Row],[Steps]]),
))</f>
        <v>0</v>
      </c>
      <c r="F54">
        <f>IF(Table1[[#This Row],[New Pos L]]&lt;&gt;0,Table1[[#This Row],[New Pos L]],Table1[[#This Row],[New Pos R]])</f>
        <v>37</v>
      </c>
    </row>
    <row r="55" spans="1:6" ht="16" x14ac:dyDescent="0.2">
      <c r="A55" s="1" t="s">
        <v>42</v>
      </c>
      <c r="B55" t="str">
        <f>LEFT(Table1[[#This Row],[Input]],1)</f>
        <v>L</v>
      </c>
      <c r="C55">
        <f>_xlfn.LET(_xlpm.steps,SUBSTITUTE(Table1[[#This Row],[Input]],Table1[[#This Row],[Direction]],""),VALUE(IF(LEN(_xlpm.steps)&gt;2,RIGHT(_xlpm.steps,2),_xlpm.steps)))</f>
        <v>27</v>
      </c>
      <c r="D55">
        <f>_xlfn.LET(_xlpm.dir,Table1[[#This Row],[Direction]],
IF(_xlpm.dir="L",
    IF(F54-Table1[[#This Row],[Steps]]&lt;0,100+(F54-Table1[[#This Row],[Steps]]),F54-Table1[[#This Row],[Steps]]),
))</f>
        <v>10</v>
      </c>
      <c r="E55">
        <f>_xlfn.LET(_xlpm.dir,Table1[[#This Row],[Direction]],
IF(_xlpm.dir="R",
    IF(F54+Table1[[#This Row],[Steps]]&gt;99,(F54+Table1[[#This Row],[Steps]])-100,F54+Table1[[#This Row],[Steps]]),
))</f>
        <v>0</v>
      </c>
      <c r="F55">
        <f>IF(Table1[[#This Row],[New Pos L]]&lt;&gt;0,Table1[[#This Row],[New Pos L]],Table1[[#This Row],[New Pos R]])</f>
        <v>10</v>
      </c>
    </row>
    <row r="56" spans="1:6" ht="16" x14ac:dyDescent="0.2">
      <c r="A56" s="1" t="s">
        <v>43</v>
      </c>
      <c r="B56" t="str">
        <f>LEFT(Table1[[#This Row],[Input]],1)</f>
        <v>R</v>
      </c>
      <c r="C56">
        <f>_xlfn.LET(_xlpm.steps,SUBSTITUTE(Table1[[#This Row],[Input]],Table1[[#This Row],[Direction]],""),VALUE(IF(LEN(_xlpm.steps)&gt;2,RIGHT(_xlpm.steps,2),_xlpm.steps)))</f>
        <v>90</v>
      </c>
      <c r="D56">
        <f>_xlfn.LET(_xlpm.dir,Table1[[#This Row],[Direction]],
IF(_xlpm.dir="L",
    IF(F55-Table1[[#This Row],[Steps]]&lt;0,100+(F55-Table1[[#This Row],[Steps]]),F55-Table1[[#This Row],[Steps]]),
))</f>
        <v>0</v>
      </c>
      <c r="E56">
        <f>_xlfn.LET(_xlpm.dir,Table1[[#This Row],[Direction]],
IF(_xlpm.dir="R",
    IF(F55+Table1[[#This Row],[Steps]]&gt;99,(F55+Table1[[#This Row],[Steps]])-100,F55+Table1[[#This Row],[Steps]]),
))</f>
        <v>0</v>
      </c>
      <c r="F56">
        <f>IF(Table1[[#This Row],[New Pos L]]&lt;&gt;0,Table1[[#This Row],[New Pos L]],Table1[[#This Row],[New Pos R]])</f>
        <v>0</v>
      </c>
    </row>
    <row r="57" spans="1:6" ht="16" x14ac:dyDescent="0.2">
      <c r="A57" s="1" t="s">
        <v>44</v>
      </c>
      <c r="B57" t="str">
        <f>LEFT(Table1[[#This Row],[Input]],1)</f>
        <v>R</v>
      </c>
      <c r="C57">
        <f>_xlfn.LET(_xlpm.steps,SUBSTITUTE(Table1[[#This Row],[Input]],Table1[[#This Row],[Direction]],""),VALUE(IF(LEN(_xlpm.steps)&gt;2,RIGHT(_xlpm.steps,2),_xlpm.steps)))</f>
        <v>96</v>
      </c>
      <c r="D57">
        <f>_xlfn.LET(_xlpm.dir,Table1[[#This Row],[Direction]],
IF(_xlpm.dir="L",
    IF(F56-Table1[[#This Row],[Steps]]&lt;0,100+(F56-Table1[[#This Row],[Steps]]),F56-Table1[[#This Row],[Steps]]),
))</f>
        <v>0</v>
      </c>
      <c r="E57">
        <f>_xlfn.LET(_xlpm.dir,Table1[[#This Row],[Direction]],
IF(_xlpm.dir="R",
    IF(F56+Table1[[#This Row],[Steps]]&gt;99,(F56+Table1[[#This Row],[Steps]])-100,F56+Table1[[#This Row],[Steps]]),
))</f>
        <v>96</v>
      </c>
      <c r="F57">
        <f>IF(Table1[[#This Row],[New Pos L]]&lt;&gt;0,Table1[[#This Row],[New Pos L]],Table1[[#This Row],[New Pos R]])</f>
        <v>96</v>
      </c>
    </row>
    <row r="58" spans="1:6" ht="16" x14ac:dyDescent="0.2">
      <c r="A58" s="1" t="s">
        <v>45</v>
      </c>
      <c r="B58" t="str">
        <f>LEFT(Table1[[#This Row],[Input]],1)</f>
        <v>L</v>
      </c>
      <c r="C58">
        <f>_xlfn.LET(_xlpm.steps,SUBSTITUTE(Table1[[#This Row],[Input]],Table1[[#This Row],[Direction]],""),VALUE(IF(LEN(_xlpm.steps)&gt;2,RIGHT(_xlpm.steps,2),_xlpm.steps)))</f>
        <v>96</v>
      </c>
      <c r="D58">
        <f>_xlfn.LET(_xlpm.dir,Table1[[#This Row],[Direction]],
IF(_xlpm.dir="L",
    IF(F57-Table1[[#This Row],[Steps]]&lt;0,100+(F57-Table1[[#This Row],[Steps]]),F57-Table1[[#This Row],[Steps]]),
))</f>
        <v>0</v>
      </c>
      <c r="E58">
        <f>_xlfn.LET(_xlpm.dir,Table1[[#This Row],[Direction]],
IF(_xlpm.dir="R",
    IF(F57+Table1[[#This Row],[Steps]]&gt;99,(F57+Table1[[#This Row],[Steps]])-100,F57+Table1[[#This Row],[Steps]]),
))</f>
        <v>0</v>
      </c>
      <c r="F58">
        <f>IF(Table1[[#This Row],[New Pos L]]&lt;&gt;0,Table1[[#This Row],[New Pos L]],Table1[[#This Row],[New Pos R]])</f>
        <v>0</v>
      </c>
    </row>
    <row r="59" spans="1:6" ht="16" x14ac:dyDescent="0.2">
      <c r="A59" s="1" t="s">
        <v>46</v>
      </c>
      <c r="B59" t="str">
        <f>LEFT(Table1[[#This Row],[Input]],1)</f>
        <v>L</v>
      </c>
      <c r="C59">
        <f>_xlfn.LET(_xlpm.steps,SUBSTITUTE(Table1[[#This Row],[Input]],Table1[[#This Row],[Direction]],""),VALUE(IF(LEN(_xlpm.steps)&gt;2,RIGHT(_xlpm.steps,2),_xlpm.steps)))</f>
        <v>97</v>
      </c>
      <c r="D59">
        <f>_xlfn.LET(_xlpm.dir,Table1[[#This Row],[Direction]],
IF(_xlpm.dir="L",
    IF(F58-Table1[[#This Row],[Steps]]&lt;0,100+(F58-Table1[[#This Row],[Steps]]),F58-Table1[[#This Row],[Steps]]),
))</f>
        <v>3</v>
      </c>
      <c r="E59">
        <f>_xlfn.LET(_xlpm.dir,Table1[[#This Row],[Direction]],
IF(_xlpm.dir="R",
    IF(F58+Table1[[#This Row],[Steps]]&gt;99,(F58+Table1[[#This Row],[Steps]])-100,F58+Table1[[#This Row],[Steps]]),
))</f>
        <v>0</v>
      </c>
      <c r="F59">
        <f>IF(Table1[[#This Row],[New Pos L]]&lt;&gt;0,Table1[[#This Row],[New Pos L]],Table1[[#This Row],[New Pos R]])</f>
        <v>3</v>
      </c>
    </row>
    <row r="60" spans="1:6" ht="16" x14ac:dyDescent="0.2">
      <c r="A60" s="1" t="s">
        <v>47</v>
      </c>
      <c r="B60" t="str">
        <f>LEFT(Table1[[#This Row],[Input]],1)</f>
        <v>R</v>
      </c>
      <c r="C60">
        <f>_xlfn.LET(_xlpm.steps,SUBSTITUTE(Table1[[#This Row],[Input]],Table1[[#This Row],[Direction]],""),VALUE(IF(LEN(_xlpm.steps)&gt;2,RIGHT(_xlpm.steps,2),_xlpm.steps)))</f>
        <v>97</v>
      </c>
      <c r="D60">
        <f>_xlfn.LET(_xlpm.dir,Table1[[#This Row],[Direction]],
IF(_xlpm.dir="L",
    IF(F59-Table1[[#This Row],[Steps]]&lt;0,100+(F59-Table1[[#This Row],[Steps]]),F59-Table1[[#This Row],[Steps]]),
))</f>
        <v>0</v>
      </c>
      <c r="E60">
        <f>_xlfn.LET(_xlpm.dir,Table1[[#This Row],[Direction]],
IF(_xlpm.dir="R",
    IF(F59+Table1[[#This Row],[Steps]]&gt;99,(F59+Table1[[#This Row],[Steps]])-100,F59+Table1[[#This Row],[Steps]]),
))</f>
        <v>0</v>
      </c>
      <c r="F60">
        <f>IF(Table1[[#This Row],[New Pos L]]&lt;&gt;0,Table1[[#This Row],[New Pos L]],Table1[[#This Row],[New Pos R]])</f>
        <v>0</v>
      </c>
    </row>
    <row r="61" spans="1:6" ht="16" x14ac:dyDescent="0.2">
      <c r="A61" s="1" t="s">
        <v>30</v>
      </c>
      <c r="B61" t="str">
        <f>LEFT(Table1[[#This Row],[Input]],1)</f>
        <v>R</v>
      </c>
      <c r="C61">
        <f>_xlfn.LET(_xlpm.steps,SUBSTITUTE(Table1[[#This Row],[Input]],Table1[[#This Row],[Direction]],""),VALUE(IF(LEN(_xlpm.steps)&gt;2,RIGHT(_xlpm.steps,2),_xlpm.steps)))</f>
        <v>48</v>
      </c>
      <c r="D61">
        <f>_xlfn.LET(_xlpm.dir,Table1[[#This Row],[Direction]],
IF(_xlpm.dir="L",
    IF(F60-Table1[[#This Row],[Steps]]&lt;0,100+(F60-Table1[[#This Row],[Steps]]),F60-Table1[[#This Row],[Steps]]),
))</f>
        <v>0</v>
      </c>
      <c r="E61">
        <f>_xlfn.LET(_xlpm.dir,Table1[[#This Row],[Direction]],
IF(_xlpm.dir="R",
    IF(F60+Table1[[#This Row],[Steps]]&gt;99,(F60+Table1[[#This Row],[Steps]])-100,F60+Table1[[#This Row],[Steps]]),
))</f>
        <v>48</v>
      </c>
      <c r="F61">
        <f>IF(Table1[[#This Row],[New Pos L]]&lt;&gt;0,Table1[[#This Row],[New Pos L]],Table1[[#This Row],[New Pos R]])</f>
        <v>48</v>
      </c>
    </row>
    <row r="62" spans="1:6" ht="16" x14ac:dyDescent="0.2">
      <c r="A62" s="1" t="s">
        <v>48</v>
      </c>
      <c r="B62" t="str">
        <f>LEFT(Table1[[#This Row],[Input]],1)</f>
        <v>R</v>
      </c>
      <c r="C62">
        <f>_xlfn.LET(_xlpm.steps,SUBSTITUTE(Table1[[#This Row],[Input]],Table1[[#This Row],[Direction]],""),VALUE(IF(LEN(_xlpm.steps)&gt;2,RIGHT(_xlpm.steps,2),_xlpm.steps)))</f>
        <v>81</v>
      </c>
      <c r="D62">
        <f>_xlfn.LET(_xlpm.dir,Table1[[#This Row],[Direction]],
IF(_xlpm.dir="L",
    IF(F61-Table1[[#This Row],[Steps]]&lt;0,100+(F61-Table1[[#This Row],[Steps]]),F61-Table1[[#This Row],[Steps]]),
))</f>
        <v>0</v>
      </c>
      <c r="E62">
        <f>_xlfn.LET(_xlpm.dir,Table1[[#This Row],[Direction]],
IF(_xlpm.dir="R",
    IF(F61+Table1[[#This Row],[Steps]]&gt;99,(F61+Table1[[#This Row],[Steps]])-100,F61+Table1[[#This Row],[Steps]]),
))</f>
        <v>29</v>
      </c>
      <c r="F62">
        <f>IF(Table1[[#This Row],[New Pos L]]&lt;&gt;0,Table1[[#This Row],[New Pos L]],Table1[[#This Row],[New Pos R]])</f>
        <v>29</v>
      </c>
    </row>
    <row r="63" spans="1:6" ht="16" x14ac:dyDescent="0.2">
      <c r="A63" s="1" t="s">
        <v>49</v>
      </c>
      <c r="B63" t="str">
        <f>LEFT(Table1[[#This Row],[Input]],1)</f>
        <v>L</v>
      </c>
      <c r="C63">
        <f>_xlfn.LET(_xlpm.steps,SUBSTITUTE(Table1[[#This Row],[Input]],Table1[[#This Row],[Direction]],""),VALUE(IF(LEN(_xlpm.steps)&gt;2,RIGHT(_xlpm.steps,2),_xlpm.steps)))</f>
        <v>93</v>
      </c>
      <c r="D63">
        <f>_xlfn.LET(_xlpm.dir,Table1[[#This Row],[Direction]],
IF(_xlpm.dir="L",
    IF(F62-Table1[[#This Row],[Steps]]&lt;0,100+(F62-Table1[[#This Row],[Steps]]),F62-Table1[[#This Row],[Steps]]),
))</f>
        <v>36</v>
      </c>
      <c r="E63">
        <f>_xlfn.LET(_xlpm.dir,Table1[[#This Row],[Direction]],
IF(_xlpm.dir="R",
    IF(F62+Table1[[#This Row],[Steps]]&gt;99,(F62+Table1[[#This Row],[Steps]])-100,F62+Table1[[#This Row],[Steps]]),
))</f>
        <v>0</v>
      </c>
      <c r="F63">
        <f>IF(Table1[[#This Row],[New Pos L]]&lt;&gt;0,Table1[[#This Row],[New Pos L]],Table1[[#This Row],[New Pos R]])</f>
        <v>36</v>
      </c>
    </row>
    <row r="64" spans="1:6" ht="16" x14ac:dyDescent="0.2">
      <c r="A64" s="1" t="s">
        <v>50</v>
      </c>
      <c r="B64" t="str">
        <f>LEFT(Table1[[#This Row],[Input]],1)</f>
        <v>R</v>
      </c>
      <c r="C64">
        <f>_xlfn.LET(_xlpm.steps,SUBSTITUTE(Table1[[#This Row],[Input]],Table1[[#This Row],[Direction]],""),VALUE(IF(LEN(_xlpm.steps)&gt;2,RIGHT(_xlpm.steps,2),_xlpm.steps)))</f>
        <v>78</v>
      </c>
      <c r="D64">
        <f>_xlfn.LET(_xlpm.dir,Table1[[#This Row],[Direction]],
IF(_xlpm.dir="L",
    IF(F63-Table1[[#This Row],[Steps]]&lt;0,100+(F63-Table1[[#This Row],[Steps]]),F63-Table1[[#This Row],[Steps]]),
))</f>
        <v>0</v>
      </c>
      <c r="E64">
        <f>_xlfn.LET(_xlpm.dir,Table1[[#This Row],[Direction]],
IF(_xlpm.dir="R",
    IF(F63+Table1[[#This Row],[Steps]]&gt;99,(F63+Table1[[#This Row],[Steps]])-100,F63+Table1[[#This Row],[Steps]]),
))</f>
        <v>14</v>
      </c>
      <c r="F64">
        <f>IF(Table1[[#This Row],[New Pos L]]&lt;&gt;0,Table1[[#This Row],[New Pos L]],Table1[[#This Row],[New Pos R]])</f>
        <v>14</v>
      </c>
    </row>
    <row r="65" spans="1:6" ht="16" x14ac:dyDescent="0.2">
      <c r="A65" s="1" t="s">
        <v>51</v>
      </c>
      <c r="B65" t="str">
        <f>LEFT(Table1[[#This Row],[Input]],1)</f>
        <v>L</v>
      </c>
      <c r="C65">
        <f>_xlfn.LET(_xlpm.steps,SUBSTITUTE(Table1[[#This Row],[Input]],Table1[[#This Row],[Direction]],""),VALUE(IF(LEN(_xlpm.steps)&gt;2,RIGHT(_xlpm.steps,2),_xlpm.steps)))</f>
        <v>25</v>
      </c>
      <c r="D65">
        <f>_xlfn.LET(_xlpm.dir,Table1[[#This Row],[Direction]],
IF(_xlpm.dir="L",
    IF(F64-Table1[[#This Row],[Steps]]&lt;0,100+(F64-Table1[[#This Row],[Steps]]),F64-Table1[[#This Row],[Steps]]),
))</f>
        <v>89</v>
      </c>
      <c r="E65">
        <f>_xlfn.LET(_xlpm.dir,Table1[[#This Row],[Direction]],
IF(_xlpm.dir="R",
    IF(F64+Table1[[#This Row],[Steps]]&gt;99,(F64+Table1[[#This Row],[Steps]])-100,F64+Table1[[#This Row],[Steps]]),
))</f>
        <v>0</v>
      </c>
      <c r="F65">
        <f>IF(Table1[[#This Row],[New Pos L]]&lt;&gt;0,Table1[[#This Row],[New Pos L]],Table1[[#This Row],[New Pos R]])</f>
        <v>89</v>
      </c>
    </row>
    <row r="66" spans="1:6" ht="16" x14ac:dyDescent="0.2">
      <c r="A66" s="1" t="s">
        <v>52</v>
      </c>
      <c r="B66" t="str">
        <f>LEFT(Table1[[#This Row],[Input]],1)</f>
        <v>R</v>
      </c>
      <c r="C66">
        <f>_xlfn.LET(_xlpm.steps,SUBSTITUTE(Table1[[#This Row],[Input]],Table1[[#This Row],[Direction]],""),VALUE(IF(LEN(_xlpm.steps)&gt;2,RIGHT(_xlpm.steps,2),_xlpm.steps)))</f>
        <v>11</v>
      </c>
      <c r="D66">
        <f>_xlfn.LET(_xlpm.dir,Table1[[#This Row],[Direction]],
IF(_xlpm.dir="L",
    IF(F65-Table1[[#This Row],[Steps]]&lt;0,100+(F65-Table1[[#This Row],[Steps]]),F65-Table1[[#This Row],[Steps]]),
))</f>
        <v>0</v>
      </c>
      <c r="E66">
        <f>_xlfn.LET(_xlpm.dir,Table1[[#This Row],[Direction]],
IF(_xlpm.dir="R",
    IF(F65+Table1[[#This Row],[Steps]]&gt;99,(F65+Table1[[#This Row],[Steps]])-100,F65+Table1[[#This Row],[Steps]]),
))</f>
        <v>0</v>
      </c>
      <c r="F66">
        <f>IF(Table1[[#This Row],[New Pos L]]&lt;&gt;0,Table1[[#This Row],[New Pos L]],Table1[[#This Row],[New Pos R]])</f>
        <v>0</v>
      </c>
    </row>
    <row r="67" spans="1:6" ht="16" x14ac:dyDescent="0.2">
      <c r="A67" s="1" t="s">
        <v>0</v>
      </c>
      <c r="B67" t="str">
        <f>LEFT(Table1[[#This Row],[Input]],1)</f>
        <v>L</v>
      </c>
      <c r="C67">
        <f>_xlfn.LET(_xlpm.steps,SUBSTITUTE(Table1[[#This Row],[Input]],Table1[[#This Row],[Direction]],""),VALUE(IF(LEN(_xlpm.steps)&gt;2,RIGHT(_xlpm.steps,2),_xlpm.steps)))</f>
        <v>44</v>
      </c>
      <c r="D67">
        <f>_xlfn.LET(_xlpm.dir,Table1[[#This Row],[Direction]],
IF(_xlpm.dir="L",
    IF(F66-Table1[[#This Row],[Steps]]&lt;0,100+(F66-Table1[[#This Row],[Steps]]),F66-Table1[[#This Row],[Steps]]),
))</f>
        <v>56</v>
      </c>
      <c r="E67">
        <f>_xlfn.LET(_xlpm.dir,Table1[[#This Row],[Direction]],
IF(_xlpm.dir="R",
    IF(F66+Table1[[#This Row],[Steps]]&gt;99,(F66+Table1[[#This Row],[Steps]])-100,F66+Table1[[#This Row],[Steps]]),
))</f>
        <v>0</v>
      </c>
      <c r="F67">
        <f>IF(Table1[[#This Row],[New Pos L]]&lt;&gt;0,Table1[[#This Row],[New Pos L]],Table1[[#This Row],[New Pos R]])</f>
        <v>56</v>
      </c>
    </row>
    <row r="68" spans="1:6" ht="16" x14ac:dyDescent="0.2">
      <c r="A68" s="1" t="s">
        <v>53</v>
      </c>
      <c r="B68" t="str">
        <f>LEFT(Table1[[#This Row],[Input]],1)</f>
        <v>L</v>
      </c>
      <c r="C68">
        <f>_xlfn.LET(_xlpm.steps,SUBSTITUTE(Table1[[#This Row],[Input]],Table1[[#This Row],[Direction]],""),VALUE(IF(LEN(_xlpm.steps)&gt;2,RIGHT(_xlpm.steps,2),_xlpm.steps)))</f>
        <v>56</v>
      </c>
      <c r="D68">
        <f>_xlfn.LET(_xlpm.dir,Table1[[#This Row],[Direction]],
IF(_xlpm.dir="L",
    IF(F67-Table1[[#This Row],[Steps]]&lt;0,100+(F67-Table1[[#This Row],[Steps]]),F67-Table1[[#This Row],[Steps]]),
))</f>
        <v>0</v>
      </c>
      <c r="E68">
        <f>_xlfn.LET(_xlpm.dir,Table1[[#This Row],[Direction]],
IF(_xlpm.dir="R",
    IF(F67+Table1[[#This Row],[Steps]]&gt;99,(F67+Table1[[#This Row],[Steps]])-100,F67+Table1[[#This Row],[Steps]]),
))</f>
        <v>0</v>
      </c>
      <c r="F68">
        <f>IF(Table1[[#This Row],[New Pos L]]&lt;&gt;0,Table1[[#This Row],[New Pos L]],Table1[[#This Row],[New Pos R]])</f>
        <v>0</v>
      </c>
    </row>
    <row r="69" spans="1:6" ht="16" x14ac:dyDescent="0.2">
      <c r="A69" s="1" t="s">
        <v>54</v>
      </c>
      <c r="B69" t="str">
        <f>LEFT(Table1[[#This Row],[Input]],1)</f>
        <v>L</v>
      </c>
      <c r="C69">
        <f>_xlfn.LET(_xlpm.steps,SUBSTITUTE(Table1[[#This Row],[Input]],Table1[[#This Row],[Direction]],""),VALUE(IF(LEN(_xlpm.steps)&gt;2,RIGHT(_xlpm.steps,2),_xlpm.steps)))</f>
        <v>75</v>
      </c>
      <c r="D69">
        <f>_xlfn.LET(_xlpm.dir,Table1[[#This Row],[Direction]],
IF(_xlpm.dir="L",
    IF(F68-Table1[[#This Row],[Steps]]&lt;0,100+(F68-Table1[[#This Row],[Steps]]),F68-Table1[[#This Row],[Steps]]),
))</f>
        <v>25</v>
      </c>
      <c r="E69">
        <f>_xlfn.LET(_xlpm.dir,Table1[[#This Row],[Direction]],
IF(_xlpm.dir="R",
    IF(F68+Table1[[#This Row],[Steps]]&gt;99,(F68+Table1[[#This Row],[Steps]])-100,F68+Table1[[#This Row],[Steps]]),
))</f>
        <v>0</v>
      </c>
      <c r="F69">
        <f>IF(Table1[[#This Row],[New Pos L]]&lt;&gt;0,Table1[[#This Row],[New Pos L]],Table1[[#This Row],[New Pos R]])</f>
        <v>25</v>
      </c>
    </row>
    <row r="70" spans="1:6" ht="16" x14ac:dyDescent="0.2">
      <c r="A70" s="1" t="s">
        <v>55</v>
      </c>
      <c r="B70" t="str">
        <f>LEFT(Table1[[#This Row],[Input]],1)</f>
        <v>L</v>
      </c>
      <c r="C70">
        <f>_xlfn.LET(_xlpm.steps,SUBSTITUTE(Table1[[#This Row],[Input]],Table1[[#This Row],[Direction]],""),VALUE(IF(LEN(_xlpm.steps)&gt;2,RIGHT(_xlpm.steps,2),_xlpm.steps)))</f>
        <v>82</v>
      </c>
      <c r="D70">
        <f>_xlfn.LET(_xlpm.dir,Table1[[#This Row],[Direction]],
IF(_xlpm.dir="L",
    IF(F69-Table1[[#This Row],[Steps]]&lt;0,100+(F69-Table1[[#This Row],[Steps]]),F69-Table1[[#This Row],[Steps]]),
))</f>
        <v>43</v>
      </c>
      <c r="E70">
        <f>_xlfn.LET(_xlpm.dir,Table1[[#This Row],[Direction]],
IF(_xlpm.dir="R",
    IF(F69+Table1[[#This Row],[Steps]]&gt;99,(F69+Table1[[#This Row],[Steps]])-100,F69+Table1[[#This Row],[Steps]]),
))</f>
        <v>0</v>
      </c>
      <c r="F70">
        <f>IF(Table1[[#This Row],[New Pos L]]&lt;&gt;0,Table1[[#This Row],[New Pos L]],Table1[[#This Row],[New Pos R]])</f>
        <v>43</v>
      </c>
    </row>
    <row r="71" spans="1:6" ht="16" x14ac:dyDescent="0.2">
      <c r="A71" s="1" t="s">
        <v>38</v>
      </c>
      <c r="B71" t="str">
        <f>LEFT(Table1[[#This Row],[Input]],1)</f>
        <v>R</v>
      </c>
      <c r="C71">
        <f>_xlfn.LET(_xlpm.steps,SUBSTITUTE(Table1[[#This Row],[Input]],Table1[[#This Row],[Direction]],""),VALUE(IF(LEN(_xlpm.steps)&gt;2,RIGHT(_xlpm.steps,2),_xlpm.steps)))</f>
        <v>15</v>
      </c>
      <c r="D71">
        <f>_xlfn.LET(_xlpm.dir,Table1[[#This Row],[Direction]],
IF(_xlpm.dir="L",
    IF(F70-Table1[[#This Row],[Steps]]&lt;0,100+(F70-Table1[[#This Row],[Steps]]),F70-Table1[[#This Row],[Steps]]),
))</f>
        <v>0</v>
      </c>
      <c r="E71">
        <f>_xlfn.LET(_xlpm.dir,Table1[[#This Row],[Direction]],
IF(_xlpm.dir="R",
    IF(F70+Table1[[#This Row],[Steps]]&gt;99,(F70+Table1[[#This Row],[Steps]])-100,F70+Table1[[#This Row],[Steps]]),
))</f>
        <v>58</v>
      </c>
      <c r="F71">
        <f>IF(Table1[[#This Row],[New Pos L]]&lt;&gt;0,Table1[[#This Row],[New Pos L]],Table1[[#This Row],[New Pos R]])</f>
        <v>58</v>
      </c>
    </row>
    <row r="72" spans="1:6" ht="16" x14ac:dyDescent="0.2">
      <c r="A72" s="1" t="s">
        <v>56</v>
      </c>
      <c r="B72" t="str">
        <f>LEFT(Table1[[#This Row],[Input]],1)</f>
        <v>R</v>
      </c>
      <c r="C72">
        <f>_xlfn.LET(_xlpm.steps,SUBSTITUTE(Table1[[#This Row],[Input]],Table1[[#This Row],[Direction]],""),VALUE(IF(LEN(_xlpm.steps)&gt;2,RIGHT(_xlpm.steps,2),_xlpm.steps)))</f>
        <v>42</v>
      </c>
      <c r="D72">
        <f>_xlfn.LET(_xlpm.dir,Table1[[#This Row],[Direction]],
IF(_xlpm.dir="L",
    IF(F71-Table1[[#This Row],[Steps]]&lt;0,100+(F71-Table1[[#This Row],[Steps]]),F71-Table1[[#This Row],[Steps]]),
))</f>
        <v>0</v>
      </c>
      <c r="E72">
        <f>_xlfn.LET(_xlpm.dir,Table1[[#This Row],[Direction]],
IF(_xlpm.dir="R",
    IF(F71+Table1[[#This Row],[Steps]]&gt;99,(F71+Table1[[#This Row],[Steps]])-100,F71+Table1[[#This Row],[Steps]]),
))</f>
        <v>0</v>
      </c>
      <c r="F72">
        <f>IF(Table1[[#This Row],[New Pos L]]&lt;&gt;0,Table1[[#This Row],[New Pos L]],Table1[[#This Row],[New Pos R]])</f>
        <v>0</v>
      </c>
    </row>
    <row r="73" spans="1:6" ht="16" x14ac:dyDescent="0.2">
      <c r="A73" s="1" t="s">
        <v>1</v>
      </c>
      <c r="B73" t="str">
        <f>LEFT(Table1[[#This Row],[Input]],1)</f>
        <v>R</v>
      </c>
      <c r="C73">
        <f>_xlfn.LET(_xlpm.steps,SUBSTITUTE(Table1[[#This Row],[Input]],Table1[[#This Row],[Direction]],""),VALUE(IF(LEN(_xlpm.steps)&gt;2,RIGHT(_xlpm.steps,2),_xlpm.steps)))</f>
        <v>26</v>
      </c>
      <c r="D73">
        <f>_xlfn.LET(_xlpm.dir,Table1[[#This Row],[Direction]],
IF(_xlpm.dir="L",
    IF(F72-Table1[[#This Row],[Steps]]&lt;0,100+(F72-Table1[[#This Row],[Steps]]),F72-Table1[[#This Row],[Steps]]),
))</f>
        <v>0</v>
      </c>
      <c r="E73">
        <f>_xlfn.LET(_xlpm.dir,Table1[[#This Row],[Direction]],
IF(_xlpm.dir="R",
    IF(F72+Table1[[#This Row],[Steps]]&gt;99,(F72+Table1[[#This Row],[Steps]])-100,F72+Table1[[#This Row],[Steps]]),
))</f>
        <v>26</v>
      </c>
      <c r="F73">
        <f>IF(Table1[[#This Row],[New Pos L]]&lt;&gt;0,Table1[[#This Row],[New Pos L]],Table1[[#This Row],[New Pos R]])</f>
        <v>26</v>
      </c>
    </row>
    <row r="74" spans="1:6" ht="16" x14ac:dyDescent="0.2">
      <c r="A74" s="1" t="s">
        <v>14</v>
      </c>
      <c r="B74" t="str">
        <f>LEFT(Table1[[#This Row],[Input]],1)</f>
        <v>L</v>
      </c>
      <c r="C74">
        <f>_xlfn.LET(_xlpm.steps,SUBSTITUTE(Table1[[#This Row],[Input]],Table1[[#This Row],[Direction]],""),VALUE(IF(LEN(_xlpm.steps)&gt;2,RIGHT(_xlpm.steps,2),_xlpm.steps)))</f>
        <v>43</v>
      </c>
      <c r="D74">
        <f>_xlfn.LET(_xlpm.dir,Table1[[#This Row],[Direction]],
IF(_xlpm.dir="L",
    IF(F73-Table1[[#This Row],[Steps]]&lt;0,100+(F73-Table1[[#This Row],[Steps]]),F73-Table1[[#This Row],[Steps]]),
))</f>
        <v>83</v>
      </c>
      <c r="E74">
        <f>_xlfn.LET(_xlpm.dir,Table1[[#This Row],[Direction]],
IF(_xlpm.dir="R",
    IF(F73+Table1[[#This Row],[Steps]]&gt;99,(F73+Table1[[#This Row],[Steps]])-100,F73+Table1[[#This Row],[Steps]]),
))</f>
        <v>0</v>
      </c>
      <c r="F74">
        <f>IF(Table1[[#This Row],[New Pos L]]&lt;&gt;0,Table1[[#This Row],[New Pos L]],Table1[[#This Row],[New Pos R]])</f>
        <v>83</v>
      </c>
    </row>
    <row r="75" spans="1:6" ht="16" x14ac:dyDescent="0.2">
      <c r="A75" s="1" t="s">
        <v>8</v>
      </c>
      <c r="B75" t="str">
        <f>LEFT(Table1[[#This Row],[Input]],1)</f>
        <v>R</v>
      </c>
      <c r="C75">
        <f>_xlfn.LET(_xlpm.steps,SUBSTITUTE(Table1[[#This Row],[Input]],Table1[[#This Row],[Direction]],""),VALUE(IF(LEN(_xlpm.steps)&gt;2,RIGHT(_xlpm.steps,2),_xlpm.steps)))</f>
        <v>18</v>
      </c>
      <c r="D75">
        <f>_xlfn.LET(_xlpm.dir,Table1[[#This Row],[Direction]],
IF(_xlpm.dir="L",
    IF(F74-Table1[[#This Row],[Steps]]&lt;0,100+(F74-Table1[[#This Row],[Steps]]),F74-Table1[[#This Row],[Steps]]),
))</f>
        <v>0</v>
      </c>
      <c r="E75">
        <f>_xlfn.LET(_xlpm.dir,Table1[[#This Row],[Direction]],
IF(_xlpm.dir="R",
    IF(F74+Table1[[#This Row],[Steps]]&gt;99,(F74+Table1[[#This Row],[Steps]])-100,F74+Table1[[#This Row],[Steps]]),
))</f>
        <v>1</v>
      </c>
      <c r="F75">
        <f>IF(Table1[[#This Row],[New Pos L]]&lt;&gt;0,Table1[[#This Row],[New Pos L]],Table1[[#This Row],[New Pos R]])</f>
        <v>1</v>
      </c>
    </row>
    <row r="76" spans="1:6" ht="16" x14ac:dyDescent="0.2">
      <c r="A76" s="1" t="s">
        <v>57</v>
      </c>
      <c r="B76" t="str">
        <f>LEFT(Table1[[#This Row],[Input]],1)</f>
        <v>R</v>
      </c>
      <c r="C76">
        <f>_xlfn.LET(_xlpm.steps,SUBSTITUTE(Table1[[#This Row],[Input]],Table1[[#This Row],[Direction]],""),VALUE(IF(LEN(_xlpm.steps)&gt;2,RIGHT(_xlpm.steps,2),_xlpm.steps)))</f>
        <v>29</v>
      </c>
      <c r="D76">
        <f>_xlfn.LET(_xlpm.dir,Table1[[#This Row],[Direction]],
IF(_xlpm.dir="L",
    IF(F75-Table1[[#This Row],[Steps]]&lt;0,100+(F75-Table1[[#This Row],[Steps]]),F75-Table1[[#This Row],[Steps]]),
))</f>
        <v>0</v>
      </c>
      <c r="E76">
        <f>_xlfn.LET(_xlpm.dir,Table1[[#This Row],[Direction]],
IF(_xlpm.dir="R",
    IF(F75+Table1[[#This Row],[Steps]]&gt;99,(F75+Table1[[#This Row],[Steps]])-100,F75+Table1[[#This Row],[Steps]]),
))</f>
        <v>30</v>
      </c>
      <c r="F76">
        <f>IF(Table1[[#This Row],[New Pos L]]&lt;&gt;0,Table1[[#This Row],[New Pos L]],Table1[[#This Row],[New Pos R]])</f>
        <v>30</v>
      </c>
    </row>
    <row r="77" spans="1:6" ht="16" x14ac:dyDescent="0.2">
      <c r="A77" s="1" t="s">
        <v>58</v>
      </c>
      <c r="B77" t="str">
        <f>LEFT(Table1[[#This Row],[Input]],1)</f>
        <v>L</v>
      </c>
      <c r="C77">
        <f>_xlfn.LET(_xlpm.steps,SUBSTITUTE(Table1[[#This Row],[Input]],Table1[[#This Row],[Direction]],""),VALUE(IF(LEN(_xlpm.steps)&gt;2,RIGHT(_xlpm.steps,2),_xlpm.steps)))</f>
        <v>30</v>
      </c>
      <c r="D77">
        <f>_xlfn.LET(_xlpm.dir,Table1[[#This Row],[Direction]],
IF(_xlpm.dir="L",
    IF(F76-Table1[[#This Row],[Steps]]&lt;0,100+(F76-Table1[[#This Row],[Steps]]),F76-Table1[[#This Row],[Steps]]),
))</f>
        <v>0</v>
      </c>
      <c r="E77">
        <f>_xlfn.LET(_xlpm.dir,Table1[[#This Row],[Direction]],
IF(_xlpm.dir="R",
    IF(F76+Table1[[#This Row],[Steps]]&gt;99,(F76+Table1[[#This Row],[Steps]])-100,F76+Table1[[#This Row],[Steps]]),
))</f>
        <v>0</v>
      </c>
      <c r="F77">
        <f>IF(Table1[[#This Row],[New Pos L]]&lt;&gt;0,Table1[[#This Row],[New Pos L]],Table1[[#This Row],[New Pos R]])</f>
        <v>0</v>
      </c>
    </row>
    <row r="78" spans="1:6" ht="16" x14ac:dyDescent="0.2">
      <c r="A78" s="1" t="s">
        <v>15</v>
      </c>
      <c r="B78" t="str">
        <f>LEFT(Table1[[#This Row],[Input]],1)</f>
        <v>R</v>
      </c>
      <c r="C78">
        <f>_xlfn.LET(_xlpm.steps,SUBSTITUTE(Table1[[#This Row],[Input]],Table1[[#This Row],[Direction]],""),VALUE(IF(LEN(_xlpm.steps)&gt;2,RIGHT(_xlpm.steps,2),_xlpm.steps)))</f>
        <v>36</v>
      </c>
      <c r="D78">
        <f>_xlfn.LET(_xlpm.dir,Table1[[#This Row],[Direction]],
IF(_xlpm.dir="L",
    IF(F77-Table1[[#This Row],[Steps]]&lt;0,100+(F77-Table1[[#This Row],[Steps]]),F77-Table1[[#This Row],[Steps]]),
))</f>
        <v>0</v>
      </c>
      <c r="E78">
        <f>_xlfn.LET(_xlpm.dir,Table1[[#This Row],[Direction]],
IF(_xlpm.dir="R",
    IF(F77+Table1[[#This Row],[Steps]]&gt;99,(F77+Table1[[#This Row],[Steps]])-100,F77+Table1[[#This Row],[Steps]]),
))</f>
        <v>36</v>
      </c>
      <c r="F78">
        <f>IF(Table1[[#This Row],[New Pos L]]&lt;&gt;0,Table1[[#This Row],[New Pos L]],Table1[[#This Row],[New Pos R]])</f>
        <v>36</v>
      </c>
    </row>
    <row r="79" spans="1:6" ht="16" x14ac:dyDescent="0.2">
      <c r="A79" s="1" t="s">
        <v>59</v>
      </c>
      <c r="B79" t="str">
        <f>LEFT(Table1[[#This Row],[Input]],1)</f>
        <v>L</v>
      </c>
      <c r="C79">
        <f>_xlfn.LET(_xlpm.steps,SUBSTITUTE(Table1[[#This Row],[Input]],Table1[[#This Row],[Direction]],""),VALUE(IF(LEN(_xlpm.steps)&gt;2,RIGHT(_xlpm.steps,2),_xlpm.steps)))</f>
        <v>6</v>
      </c>
      <c r="D79">
        <f>_xlfn.LET(_xlpm.dir,Table1[[#This Row],[Direction]],
IF(_xlpm.dir="L",
    IF(F78-Table1[[#This Row],[Steps]]&lt;0,100+(F78-Table1[[#This Row],[Steps]]),F78-Table1[[#This Row],[Steps]]),
))</f>
        <v>30</v>
      </c>
      <c r="E79">
        <f>_xlfn.LET(_xlpm.dir,Table1[[#This Row],[Direction]],
IF(_xlpm.dir="R",
    IF(F78+Table1[[#This Row],[Steps]]&gt;99,(F78+Table1[[#This Row],[Steps]])-100,F78+Table1[[#This Row],[Steps]]),
))</f>
        <v>0</v>
      </c>
      <c r="F79">
        <f>IF(Table1[[#This Row],[New Pos L]]&lt;&gt;0,Table1[[#This Row],[New Pos L]],Table1[[#This Row],[New Pos R]])</f>
        <v>30</v>
      </c>
    </row>
    <row r="80" spans="1:6" ht="16" x14ac:dyDescent="0.2">
      <c r="A80" s="1" t="s">
        <v>60</v>
      </c>
      <c r="B80" t="str">
        <f>LEFT(Table1[[#This Row],[Input]],1)</f>
        <v>R</v>
      </c>
      <c r="C80">
        <f>_xlfn.LET(_xlpm.steps,SUBSTITUTE(Table1[[#This Row],[Input]],Table1[[#This Row],[Direction]],""),VALUE(IF(LEN(_xlpm.steps)&gt;2,RIGHT(_xlpm.steps,2),_xlpm.steps)))</f>
        <v>86</v>
      </c>
      <c r="D80">
        <f>_xlfn.LET(_xlpm.dir,Table1[[#This Row],[Direction]],
IF(_xlpm.dir="L",
    IF(F79-Table1[[#This Row],[Steps]]&lt;0,100+(F79-Table1[[#This Row],[Steps]]),F79-Table1[[#This Row],[Steps]]),
))</f>
        <v>0</v>
      </c>
      <c r="E80">
        <f>_xlfn.LET(_xlpm.dir,Table1[[#This Row],[Direction]],
IF(_xlpm.dir="R",
    IF(F79+Table1[[#This Row],[Steps]]&gt;99,(F79+Table1[[#This Row],[Steps]])-100,F79+Table1[[#This Row],[Steps]]),
))</f>
        <v>16</v>
      </c>
      <c r="F80">
        <f>IF(Table1[[#This Row],[New Pos L]]&lt;&gt;0,Table1[[#This Row],[New Pos L]],Table1[[#This Row],[New Pos R]])</f>
        <v>16</v>
      </c>
    </row>
    <row r="81" spans="1:6" ht="16" x14ac:dyDescent="0.2">
      <c r="A81" s="1" t="s">
        <v>61</v>
      </c>
      <c r="B81" t="str">
        <f>LEFT(Table1[[#This Row],[Input]],1)</f>
        <v>L</v>
      </c>
      <c r="C81">
        <f>_xlfn.LET(_xlpm.steps,SUBSTITUTE(Table1[[#This Row],[Input]],Table1[[#This Row],[Direction]],""),VALUE(IF(LEN(_xlpm.steps)&gt;2,RIGHT(_xlpm.steps,2),_xlpm.steps)))</f>
        <v>16</v>
      </c>
      <c r="D81">
        <f>_xlfn.LET(_xlpm.dir,Table1[[#This Row],[Direction]],
IF(_xlpm.dir="L",
    IF(F80-Table1[[#This Row],[Steps]]&lt;0,100+(F80-Table1[[#This Row],[Steps]]),F80-Table1[[#This Row],[Steps]]),
))</f>
        <v>0</v>
      </c>
      <c r="E81">
        <f>_xlfn.LET(_xlpm.dir,Table1[[#This Row],[Direction]],
IF(_xlpm.dir="R",
    IF(F80+Table1[[#This Row],[Steps]]&gt;99,(F80+Table1[[#This Row],[Steps]])-100,F80+Table1[[#This Row],[Steps]]),
))</f>
        <v>0</v>
      </c>
      <c r="F81">
        <f>IF(Table1[[#This Row],[New Pos L]]&lt;&gt;0,Table1[[#This Row],[New Pos L]],Table1[[#This Row],[New Pos R]])</f>
        <v>0</v>
      </c>
    </row>
    <row r="82" spans="1:6" ht="16" x14ac:dyDescent="0.2">
      <c r="A82" s="1" t="s">
        <v>62</v>
      </c>
      <c r="B82" t="str">
        <f>LEFT(Table1[[#This Row],[Input]],1)</f>
        <v>L</v>
      </c>
      <c r="C82">
        <f>_xlfn.LET(_xlpm.steps,SUBSTITUTE(Table1[[#This Row],[Input]],Table1[[#This Row],[Direction]],""),VALUE(IF(LEN(_xlpm.steps)&gt;2,RIGHT(_xlpm.steps,2),_xlpm.steps)))</f>
        <v>57</v>
      </c>
      <c r="D82">
        <f>_xlfn.LET(_xlpm.dir,Table1[[#This Row],[Direction]],
IF(_xlpm.dir="L",
    IF(F81-Table1[[#This Row],[Steps]]&lt;0,100+(F81-Table1[[#This Row],[Steps]]),F81-Table1[[#This Row],[Steps]]),
))</f>
        <v>43</v>
      </c>
      <c r="E82">
        <f>_xlfn.LET(_xlpm.dir,Table1[[#This Row],[Direction]],
IF(_xlpm.dir="R",
    IF(F81+Table1[[#This Row],[Steps]]&gt;99,(F81+Table1[[#This Row],[Steps]])-100,F81+Table1[[#This Row],[Steps]]),
))</f>
        <v>0</v>
      </c>
      <c r="F82">
        <f>IF(Table1[[#This Row],[New Pos L]]&lt;&gt;0,Table1[[#This Row],[New Pos L]],Table1[[#This Row],[New Pos R]])</f>
        <v>43</v>
      </c>
    </row>
    <row r="83" spans="1:6" ht="16" x14ac:dyDescent="0.2">
      <c r="A83" s="1" t="s">
        <v>63</v>
      </c>
      <c r="B83" t="str">
        <f>LEFT(Table1[[#This Row],[Input]],1)</f>
        <v>R</v>
      </c>
      <c r="C83">
        <f>_xlfn.LET(_xlpm.steps,SUBSTITUTE(Table1[[#This Row],[Input]],Table1[[#This Row],[Direction]],""),VALUE(IF(LEN(_xlpm.steps)&gt;2,RIGHT(_xlpm.steps,2),_xlpm.steps)))</f>
        <v>57</v>
      </c>
      <c r="D83">
        <f>_xlfn.LET(_xlpm.dir,Table1[[#This Row],[Direction]],
IF(_xlpm.dir="L",
    IF(F82-Table1[[#This Row],[Steps]]&lt;0,100+(F82-Table1[[#This Row],[Steps]]),F82-Table1[[#This Row],[Steps]]),
))</f>
        <v>0</v>
      </c>
      <c r="E83">
        <f>_xlfn.LET(_xlpm.dir,Table1[[#This Row],[Direction]],
IF(_xlpm.dir="R",
    IF(F82+Table1[[#This Row],[Steps]]&gt;99,(F82+Table1[[#This Row],[Steps]])-100,F82+Table1[[#This Row],[Steps]]),
))</f>
        <v>0</v>
      </c>
      <c r="F83">
        <f>IF(Table1[[#This Row],[New Pos L]]&lt;&gt;0,Table1[[#This Row],[New Pos L]],Table1[[#This Row],[New Pos R]])</f>
        <v>0</v>
      </c>
    </row>
    <row r="84" spans="1:6" ht="16" x14ac:dyDescent="0.2">
      <c r="A84" s="1" t="s">
        <v>62</v>
      </c>
      <c r="B84" t="str">
        <f>LEFT(Table1[[#This Row],[Input]],1)</f>
        <v>L</v>
      </c>
      <c r="C84">
        <f>_xlfn.LET(_xlpm.steps,SUBSTITUTE(Table1[[#This Row],[Input]],Table1[[#This Row],[Direction]],""),VALUE(IF(LEN(_xlpm.steps)&gt;2,RIGHT(_xlpm.steps,2),_xlpm.steps)))</f>
        <v>57</v>
      </c>
      <c r="D84">
        <f>_xlfn.LET(_xlpm.dir,Table1[[#This Row],[Direction]],
IF(_xlpm.dir="L",
    IF(F83-Table1[[#This Row],[Steps]]&lt;0,100+(F83-Table1[[#This Row],[Steps]]),F83-Table1[[#This Row],[Steps]]),
))</f>
        <v>43</v>
      </c>
      <c r="E84">
        <f>_xlfn.LET(_xlpm.dir,Table1[[#This Row],[Direction]],
IF(_xlpm.dir="R",
    IF(F83+Table1[[#This Row],[Steps]]&gt;99,(F83+Table1[[#This Row],[Steps]])-100,F83+Table1[[#This Row],[Steps]]),
))</f>
        <v>0</v>
      </c>
      <c r="F84">
        <f>IF(Table1[[#This Row],[New Pos L]]&lt;&gt;0,Table1[[#This Row],[New Pos L]],Table1[[#This Row],[New Pos R]])</f>
        <v>43</v>
      </c>
    </row>
    <row r="85" spans="1:6" ht="16" x14ac:dyDescent="0.2">
      <c r="A85" s="1" t="s">
        <v>63</v>
      </c>
      <c r="B85" t="str">
        <f>LEFT(Table1[[#This Row],[Input]],1)</f>
        <v>R</v>
      </c>
      <c r="C85">
        <f>_xlfn.LET(_xlpm.steps,SUBSTITUTE(Table1[[#This Row],[Input]],Table1[[#This Row],[Direction]],""),VALUE(IF(LEN(_xlpm.steps)&gt;2,RIGHT(_xlpm.steps,2),_xlpm.steps)))</f>
        <v>57</v>
      </c>
      <c r="D85">
        <f>_xlfn.LET(_xlpm.dir,Table1[[#This Row],[Direction]],
IF(_xlpm.dir="L",
    IF(F84-Table1[[#This Row],[Steps]]&lt;0,100+(F84-Table1[[#This Row],[Steps]]),F84-Table1[[#This Row],[Steps]]),
))</f>
        <v>0</v>
      </c>
      <c r="E85">
        <f>_xlfn.LET(_xlpm.dir,Table1[[#This Row],[Direction]],
IF(_xlpm.dir="R",
    IF(F84+Table1[[#This Row],[Steps]]&gt;99,(F84+Table1[[#This Row],[Steps]])-100,F84+Table1[[#This Row],[Steps]]),
))</f>
        <v>0</v>
      </c>
      <c r="F85">
        <f>IF(Table1[[#This Row],[New Pos L]]&lt;&gt;0,Table1[[#This Row],[New Pos L]],Table1[[#This Row],[New Pos R]])</f>
        <v>0</v>
      </c>
    </row>
    <row r="86" spans="1:6" ht="16" x14ac:dyDescent="0.2">
      <c r="A86" s="1" t="s">
        <v>64</v>
      </c>
      <c r="B86" t="str">
        <f>LEFT(Table1[[#This Row],[Input]],1)</f>
        <v>R</v>
      </c>
      <c r="C86">
        <f>_xlfn.LET(_xlpm.steps,SUBSTITUTE(Table1[[#This Row],[Input]],Table1[[#This Row],[Direction]],""),VALUE(IF(LEN(_xlpm.steps)&gt;2,RIGHT(_xlpm.steps,2),_xlpm.steps)))</f>
        <v>10</v>
      </c>
      <c r="D86">
        <f>_xlfn.LET(_xlpm.dir,Table1[[#This Row],[Direction]],
IF(_xlpm.dir="L",
    IF(F85-Table1[[#This Row],[Steps]]&lt;0,100+(F85-Table1[[#This Row],[Steps]]),F85-Table1[[#This Row],[Steps]]),
))</f>
        <v>0</v>
      </c>
      <c r="E86">
        <f>_xlfn.LET(_xlpm.dir,Table1[[#This Row],[Direction]],
IF(_xlpm.dir="R",
    IF(F85+Table1[[#This Row],[Steps]]&gt;99,(F85+Table1[[#This Row],[Steps]])-100,F85+Table1[[#This Row],[Steps]]),
))</f>
        <v>10</v>
      </c>
      <c r="F86">
        <f>IF(Table1[[#This Row],[New Pos L]]&lt;&gt;0,Table1[[#This Row],[New Pos L]],Table1[[#This Row],[New Pos R]])</f>
        <v>10</v>
      </c>
    </row>
    <row r="87" spans="1:6" ht="16" x14ac:dyDescent="0.2">
      <c r="A87" s="1" t="s">
        <v>65</v>
      </c>
      <c r="B87" t="str">
        <f>LEFT(Table1[[#This Row],[Input]],1)</f>
        <v>L</v>
      </c>
      <c r="C87">
        <f>_xlfn.LET(_xlpm.steps,SUBSTITUTE(Table1[[#This Row],[Input]],Table1[[#This Row],[Direction]],""),VALUE(IF(LEN(_xlpm.steps)&gt;2,RIGHT(_xlpm.steps,2),_xlpm.steps)))</f>
        <v>19</v>
      </c>
      <c r="D87">
        <f>_xlfn.LET(_xlpm.dir,Table1[[#This Row],[Direction]],
IF(_xlpm.dir="L",
    IF(F86-Table1[[#This Row],[Steps]]&lt;0,100+(F86-Table1[[#This Row],[Steps]]),F86-Table1[[#This Row],[Steps]]),
))</f>
        <v>91</v>
      </c>
      <c r="E87">
        <f>_xlfn.LET(_xlpm.dir,Table1[[#This Row],[Direction]],
IF(_xlpm.dir="R",
    IF(F86+Table1[[#This Row],[Steps]]&gt;99,(F86+Table1[[#This Row],[Steps]])-100,F86+Table1[[#This Row],[Steps]]),
))</f>
        <v>0</v>
      </c>
      <c r="F87">
        <f>IF(Table1[[#This Row],[New Pos L]]&lt;&gt;0,Table1[[#This Row],[New Pos L]],Table1[[#This Row],[New Pos R]])</f>
        <v>91</v>
      </c>
    </row>
    <row r="88" spans="1:6" ht="16" x14ac:dyDescent="0.2">
      <c r="A88" s="1" t="s">
        <v>66</v>
      </c>
      <c r="B88" t="str">
        <f>LEFT(Table1[[#This Row],[Input]],1)</f>
        <v>R</v>
      </c>
      <c r="C88">
        <f>_xlfn.LET(_xlpm.steps,SUBSTITUTE(Table1[[#This Row],[Input]],Table1[[#This Row],[Direction]],""),VALUE(IF(LEN(_xlpm.steps)&gt;2,RIGHT(_xlpm.steps,2),_xlpm.steps)))</f>
        <v>45</v>
      </c>
      <c r="D88">
        <f>_xlfn.LET(_xlpm.dir,Table1[[#This Row],[Direction]],
IF(_xlpm.dir="L",
    IF(F87-Table1[[#This Row],[Steps]]&lt;0,100+(F87-Table1[[#This Row],[Steps]]),F87-Table1[[#This Row],[Steps]]),
))</f>
        <v>0</v>
      </c>
      <c r="E88">
        <f>_xlfn.LET(_xlpm.dir,Table1[[#This Row],[Direction]],
IF(_xlpm.dir="R",
    IF(F87+Table1[[#This Row],[Steps]]&gt;99,(F87+Table1[[#This Row],[Steps]])-100,F87+Table1[[#This Row],[Steps]]),
))</f>
        <v>36</v>
      </c>
      <c r="F88">
        <f>IF(Table1[[#This Row],[New Pos L]]&lt;&gt;0,Table1[[#This Row],[New Pos L]],Table1[[#This Row],[New Pos R]])</f>
        <v>36</v>
      </c>
    </row>
    <row r="89" spans="1:6" ht="16" x14ac:dyDescent="0.2">
      <c r="A89" s="1" t="s">
        <v>67</v>
      </c>
      <c r="B89" t="str">
        <f>LEFT(Table1[[#This Row],[Input]],1)</f>
        <v>R</v>
      </c>
      <c r="C89">
        <f>_xlfn.LET(_xlpm.steps,SUBSTITUTE(Table1[[#This Row],[Input]],Table1[[#This Row],[Direction]],""),VALUE(IF(LEN(_xlpm.steps)&gt;2,RIGHT(_xlpm.steps,2),_xlpm.steps)))</f>
        <v>33</v>
      </c>
      <c r="D89">
        <f>_xlfn.LET(_xlpm.dir,Table1[[#This Row],[Direction]],
IF(_xlpm.dir="L",
    IF(F88-Table1[[#This Row],[Steps]]&lt;0,100+(F88-Table1[[#This Row],[Steps]]),F88-Table1[[#This Row],[Steps]]),
))</f>
        <v>0</v>
      </c>
      <c r="E89">
        <f>_xlfn.LET(_xlpm.dir,Table1[[#This Row],[Direction]],
IF(_xlpm.dir="R",
    IF(F88+Table1[[#This Row],[Steps]]&gt;99,(F88+Table1[[#This Row],[Steps]])-100,F88+Table1[[#This Row],[Steps]]),
))</f>
        <v>69</v>
      </c>
      <c r="F89">
        <f>IF(Table1[[#This Row],[New Pos L]]&lt;&gt;0,Table1[[#This Row],[New Pos L]],Table1[[#This Row],[New Pos R]])</f>
        <v>69</v>
      </c>
    </row>
    <row r="90" spans="1:6" ht="16" x14ac:dyDescent="0.2">
      <c r="A90" s="1" t="s">
        <v>68</v>
      </c>
      <c r="B90" t="str">
        <f>LEFT(Table1[[#This Row],[Input]],1)</f>
        <v>L</v>
      </c>
      <c r="C90">
        <f>_xlfn.LET(_xlpm.steps,SUBSTITUTE(Table1[[#This Row],[Input]],Table1[[#This Row],[Direction]],""),VALUE(IF(LEN(_xlpm.steps)&gt;2,RIGHT(_xlpm.steps,2),_xlpm.steps)))</f>
        <v>80</v>
      </c>
      <c r="D90">
        <f>_xlfn.LET(_xlpm.dir,Table1[[#This Row],[Direction]],
IF(_xlpm.dir="L",
    IF(F89-Table1[[#This Row],[Steps]]&lt;0,100+(F89-Table1[[#This Row],[Steps]]),F89-Table1[[#This Row],[Steps]]),
))</f>
        <v>89</v>
      </c>
      <c r="E90">
        <f>_xlfn.LET(_xlpm.dir,Table1[[#This Row],[Direction]],
IF(_xlpm.dir="R",
    IF(F89+Table1[[#This Row],[Steps]]&gt;99,(F89+Table1[[#This Row],[Steps]])-100,F89+Table1[[#This Row],[Steps]]),
))</f>
        <v>0</v>
      </c>
      <c r="F90">
        <f>IF(Table1[[#This Row],[New Pos L]]&lt;&gt;0,Table1[[#This Row],[New Pos L]],Table1[[#This Row],[New Pos R]])</f>
        <v>89</v>
      </c>
    </row>
    <row r="91" spans="1:6" ht="16" x14ac:dyDescent="0.2">
      <c r="A91" s="1" t="s">
        <v>52</v>
      </c>
      <c r="B91" t="str">
        <f>LEFT(Table1[[#This Row],[Input]],1)</f>
        <v>R</v>
      </c>
      <c r="C91">
        <f>_xlfn.LET(_xlpm.steps,SUBSTITUTE(Table1[[#This Row],[Input]],Table1[[#This Row],[Direction]],""),VALUE(IF(LEN(_xlpm.steps)&gt;2,RIGHT(_xlpm.steps,2),_xlpm.steps)))</f>
        <v>11</v>
      </c>
      <c r="D91">
        <f>_xlfn.LET(_xlpm.dir,Table1[[#This Row],[Direction]],
IF(_xlpm.dir="L",
    IF(F90-Table1[[#This Row],[Steps]]&lt;0,100+(F90-Table1[[#This Row],[Steps]]),F90-Table1[[#This Row],[Steps]]),
))</f>
        <v>0</v>
      </c>
      <c r="E91">
        <f>_xlfn.LET(_xlpm.dir,Table1[[#This Row],[Direction]],
IF(_xlpm.dir="R",
    IF(F90+Table1[[#This Row],[Steps]]&gt;99,(F90+Table1[[#This Row],[Steps]])-100,F90+Table1[[#This Row],[Steps]]),
))</f>
        <v>0</v>
      </c>
      <c r="F91">
        <f>IF(Table1[[#This Row],[New Pos L]]&lt;&gt;0,Table1[[#This Row],[New Pos L]],Table1[[#This Row],[New Pos R]])</f>
        <v>0</v>
      </c>
    </row>
    <row r="92" spans="1:6" ht="16" x14ac:dyDescent="0.2">
      <c r="A92" s="1" t="s">
        <v>69</v>
      </c>
      <c r="B92" t="str">
        <f>LEFT(Table1[[#This Row],[Input]],1)</f>
        <v>R</v>
      </c>
      <c r="C92">
        <f>_xlfn.LET(_xlpm.steps,SUBSTITUTE(Table1[[#This Row],[Input]],Table1[[#This Row],[Direction]],""),VALUE(IF(LEN(_xlpm.steps)&gt;2,RIGHT(_xlpm.steps,2),_xlpm.steps)))</f>
        <v>27</v>
      </c>
      <c r="D92">
        <f>_xlfn.LET(_xlpm.dir,Table1[[#This Row],[Direction]],
IF(_xlpm.dir="L",
    IF(F91-Table1[[#This Row],[Steps]]&lt;0,100+(F91-Table1[[#This Row],[Steps]]),F91-Table1[[#This Row],[Steps]]),
))</f>
        <v>0</v>
      </c>
      <c r="E92">
        <f>_xlfn.LET(_xlpm.dir,Table1[[#This Row],[Direction]],
IF(_xlpm.dir="R",
    IF(F91+Table1[[#This Row],[Steps]]&gt;99,(F91+Table1[[#This Row],[Steps]])-100,F91+Table1[[#This Row],[Steps]]),
))</f>
        <v>27</v>
      </c>
      <c r="F92">
        <f>IF(Table1[[#This Row],[New Pos L]]&lt;&gt;0,Table1[[#This Row],[New Pos L]],Table1[[#This Row],[New Pos R]])</f>
        <v>27</v>
      </c>
    </row>
    <row r="93" spans="1:6" ht="16" x14ac:dyDescent="0.2">
      <c r="A93" s="1" t="s">
        <v>70</v>
      </c>
      <c r="B93" t="str">
        <f>LEFT(Table1[[#This Row],[Input]],1)</f>
        <v>R</v>
      </c>
      <c r="C93">
        <f>_xlfn.LET(_xlpm.steps,SUBSTITUTE(Table1[[#This Row],[Input]],Table1[[#This Row],[Direction]],""),VALUE(IF(LEN(_xlpm.steps)&gt;2,RIGHT(_xlpm.steps,2),_xlpm.steps)))</f>
        <v>73</v>
      </c>
      <c r="D93">
        <f>_xlfn.LET(_xlpm.dir,Table1[[#This Row],[Direction]],
IF(_xlpm.dir="L",
    IF(F92-Table1[[#This Row],[Steps]]&lt;0,100+(F92-Table1[[#This Row],[Steps]]),F92-Table1[[#This Row],[Steps]]),
))</f>
        <v>0</v>
      </c>
      <c r="E93">
        <f>_xlfn.LET(_xlpm.dir,Table1[[#This Row],[Direction]],
IF(_xlpm.dir="R",
    IF(F92+Table1[[#This Row],[Steps]]&gt;99,(F92+Table1[[#This Row],[Steps]])-100,F92+Table1[[#This Row],[Steps]]),
))</f>
        <v>0</v>
      </c>
      <c r="F93">
        <f>IF(Table1[[#This Row],[New Pos L]]&lt;&gt;0,Table1[[#This Row],[New Pos L]],Table1[[#This Row],[New Pos R]])</f>
        <v>0</v>
      </c>
    </row>
    <row r="94" spans="1:6" ht="16" x14ac:dyDescent="0.2">
      <c r="A94" s="1" t="s">
        <v>71</v>
      </c>
      <c r="B94" t="str">
        <f>LEFT(Table1[[#This Row],[Input]],1)</f>
        <v>R</v>
      </c>
      <c r="C94">
        <f>_xlfn.LET(_xlpm.steps,SUBSTITUTE(Table1[[#This Row],[Input]],Table1[[#This Row],[Direction]],""),VALUE(IF(LEN(_xlpm.steps)&gt;2,RIGHT(_xlpm.steps,2),_xlpm.steps)))</f>
        <v>23</v>
      </c>
      <c r="D94">
        <f>_xlfn.LET(_xlpm.dir,Table1[[#This Row],[Direction]],
IF(_xlpm.dir="L",
    IF(F93-Table1[[#This Row],[Steps]]&lt;0,100+(F93-Table1[[#This Row],[Steps]]),F93-Table1[[#This Row],[Steps]]),
))</f>
        <v>0</v>
      </c>
      <c r="E94">
        <f>_xlfn.LET(_xlpm.dir,Table1[[#This Row],[Direction]],
IF(_xlpm.dir="R",
    IF(F93+Table1[[#This Row],[Steps]]&gt;99,(F93+Table1[[#This Row],[Steps]])-100,F93+Table1[[#This Row],[Steps]]),
))</f>
        <v>23</v>
      </c>
      <c r="F94">
        <f>IF(Table1[[#This Row],[New Pos L]]&lt;&gt;0,Table1[[#This Row],[New Pos L]],Table1[[#This Row],[New Pos R]])</f>
        <v>23</v>
      </c>
    </row>
    <row r="95" spans="1:6" ht="16" x14ac:dyDescent="0.2">
      <c r="A95" s="1" t="s">
        <v>72</v>
      </c>
      <c r="B95" t="str">
        <f>LEFT(Table1[[#This Row],[Input]],1)</f>
        <v>R</v>
      </c>
      <c r="C95">
        <f>_xlfn.LET(_xlpm.steps,SUBSTITUTE(Table1[[#This Row],[Input]],Table1[[#This Row],[Direction]],""),VALUE(IF(LEN(_xlpm.steps)&gt;2,RIGHT(_xlpm.steps,2),_xlpm.steps)))</f>
        <v>43</v>
      </c>
      <c r="D95">
        <f>_xlfn.LET(_xlpm.dir,Table1[[#This Row],[Direction]],
IF(_xlpm.dir="L",
    IF(F94-Table1[[#This Row],[Steps]]&lt;0,100+(F94-Table1[[#This Row],[Steps]]),F94-Table1[[#This Row],[Steps]]),
))</f>
        <v>0</v>
      </c>
      <c r="E95">
        <f>_xlfn.LET(_xlpm.dir,Table1[[#This Row],[Direction]],
IF(_xlpm.dir="R",
    IF(F94+Table1[[#This Row],[Steps]]&gt;99,(F94+Table1[[#This Row],[Steps]])-100,F94+Table1[[#This Row],[Steps]]),
))</f>
        <v>66</v>
      </c>
      <c r="F95">
        <f>IF(Table1[[#This Row],[New Pos L]]&lt;&gt;0,Table1[[#This Row],[New Pos L]],Table1[[#This Row],[New Pos R]])</f>
        <v>66</v>
      </c>
    </row>
    <row r="96" spans="1:6" ht="16" x14ac:dyDescent="0.2">
      <c r="A96" s="1" t="s">
        <v>73</v>
      </c>
      <c r="B96" t="str">
        <f>LEFT(Table1[[#This Row],[Input]],1)</f>
        <v>R</v>
      </c>
      <c r="C96">
        <f>_xlfn.LET(_xlpm.steps,SUBSTITUTE(Table1[[#This Row],[Input]],Table1[[#This Row],[Direction]],""),VALUE(IF(LEN(_xlpm.steps)&gt;2,RIGHT(_xlpm.steps,2),_xlpm.steps)))</f>
        <v>21</v>
      </c>
      <c r="D96">
        <f>_xlfn.LET(_xlpm.dir,Table1[[#This Row],[Direction]],
IF(_xlpm.dir="L",
    IF(F95-Table1[[#This Row],[Steps]]&lt;0,100+(F95-Table1[[#This Row],[Steps]]),F95-Table1[[#This Row],[Steps]]),
))</f>
        <v>0</v>
      </c>
      <c r="E96">
        <f>_xlfn.LET(_xlpm.dir,Table1[[#This Row],[Direction]],
IF(_xlpm.dir="R",
    IF(F95+Table1[[#This Row],[Steps]]&gt;99,(F95+Table1[[#This Row],[Steps]])-100,F95+Table1[[#This Row],[Steps]]),
))</f>
        <v>87</v>
      </c>
      <c r="F96">
        <f>IF(Table1[[#This Row],[New Pos L]]&lt;&gt;0,Table1[[#This Row],[New Pos L]],Table1[[#This Row],[New Pos R]])</f>
        <v>87</v>
      </c>
    </row>
    <row r="97" spans="1:6" ht="16" x14ac:dyDescent="0.2">
      <c r="A97" s="1" t="s">
        <v>30</v>
      </c>
      <c r="B97" t="str">
        <f>LEFT(Table1[[#This Row],[Input]],1)</f>
        <v>R</v>
      </c>
      <c r="C97">
        <f>_xlfn.LET(_xlpm.steps,SUBSTITUTE(Table1[[#This Row],[Input]],Table1[[#This Row],[Direction]],""),VALUE(IF(LEN(_xlpm.steps)&gt;2,RIGHT(_xlpm.steps,2),_xlpm.steps)))</f>
        <v>48</v>
      </c>
      <c r="D97">
        <f>_xlfn.LET(_xlpm.dir,Table1[[#This Row],[Direction]],
IF(_xlpm.dir="L",
    IF(F96-Table1[[#This Row],[Steps]]&lt;0,100+(F96-Table1[[#This Row],[Steps]]),F96-Table1[[#This Row],[Steps]]),
))</f>
        <v>0</v>
      </c>
      <c r="E97">
        <f>_xlfn.LET(_xlpm.dir,Table1[[#This Row],[Direction]],
IF(_xlpm.dir="R",
    IF(F96+Table1[[#This Row],[Steps]]&gt;99,(F96+Table1[[#This Row],[Steps]])-100,F96+Table1[[#This Row],[Steps]]),
))</f>
        <v>35</v>
      </c>
      <c r="F97">
        <f>IF(Table1[[#This Row],[New Pos L]]&lt;&gt;0,Table1[[#This Row],[New Pos L]],Table1[[#This Row],[New Pos R]])</f>
        <v>35</v>
      </c>
    </row>
    <row r="98" spans="1:6" ht="16" x14ac:dyDescent="0.2">
      <c r="A98" s="1" t="s">
        <v>74</v>
      </c>
      <c r="B98" t="str">
        <f>LEFT(Table1[[#This Row],[Input]],1)</f>
        <v>R</v>
      </c>
      <c r="C98">
        <f>_xlfn.LET(_xlpm.steps,SUBSTITUTE(Table1[[#This Row],[Input]],Table1[[#This Row],[Direction]],""),VALUE(IF(LEN(_xlpm.steps)&gt;2,RIGHT(_xlpm.steps,2),_xlpm.steps)))</f>
        <v>93</v>
      </c>
      <c r="D98">
        <f>_xlfn.LET(_xlpm.dir,Table1[[#This Row],[Direction]],
IF(_xlpm.dir="L",
    IF(F97-Table1[[#This Row],[Steps]]&lt;0,100+(F97-Table1[[#This Row],[Steps]]),F97-Table1[[#This Row],[Steps]]),
))</f>
        <v>0</v>
      </c>
      <c r="E98">
        <f>_xlfn.LET(_xlpm.dir,Table1[[#This Row],[Direction]],
IF(_xlpm.dir="R",
    IF(F97+Table1[[#This Row],[Steps]]&gt;99,(F97+Table1[[#This Row],[Steps]])-100,F97+Table1[[#This Row],[Steps]]),
))</f>
        <v>28</v>
      </c>
      <c r="F98">
        <f>IF(Table1[[#This Row],[New Pos L]]&lt;&gt;0,Table1[[#This Row],[New Pos L]],Table1[[#This Row],[New Pos R]])</f>
        <v>28</v>
      </c>
    </row>
    <row r="99" spans="1:6" ht="16" x14ac:dyDescent="0.2">
      <c r="A99" s="1" t="s">
        <v>58</v>
      </c>
      <c r="B99" t="str">
        <f>LEFT(Table1[[#This Row],[Input]],1)</f>
        <v>L</v>
      </c>
      <c r="C99">
        <f>_xlfn.LET(_xlpm.steps,SUBSTITUTE(Table1[[#This Row],[Input]],Table1[[#This Row],[Direction]],""),VALUE(IF(LEN(_xlpm.steps)&gt;2,RIGHT(_xlpm.steps,2),_xlpm.steps)))</f>
        <v>30</v>
      </c>
      <c r="D99">
        <f>_xlfn.LET(_xlpm.dir,Table1[[#This Row],[Direction]],
IF(_xlpm.dir="L",
    IF(F98-Table1[[#This Row],[Steps]]&lt;0,100+(F98-Table1[[#This Row],[Steps]]),F98-Table1[[#This Row],[Steps]]),
))</f>
        <v>98</v>
      </c>
      <c r="E99">
        <f>_xlfn.LET(_xlpm.dir,Table1[[#This Row],[Direction]],
IF(_xlpm.dir="R",
    IF(F98+Table1[[#This Row],[Steps]]&gt;99,(F98+Table1[[#This Row],[Steps]])-100,F98+Table1[[#This Row],[Steps]]),
))</f>
        <v>0</v>
      </c>
      <c r="F99">
        <f>IF(Table1[[#This Row],[New Pos L]]&lt;&gt;0,Table1[[#This Row],[New Pos L]],Table1[[#This Row],[New Pos R]])</f>
        <v>98</v>
      </c>
    </row>
    <row r="100" spans="1:6" ht="16" x14ac:dyDescent="0.2">
      <c r="A100" s="1" t="s">
        <v>75</v>
      </c>
      <c r="B100" t="str">
        <f>LEFT(Table1[[#This Row],[Input]],1)</f>
        <v>R</v>
      </c>
      <c r="C100">
        <f>_xlfn.LET(_xlpm.steps,SUBSTITUTE(Table1[[#This Row],[Input]],Table1[[#This Row],[Direction]],""),VALUE(IF(LEN(_xlpm.steps)&gt;2,RIGHT(_xlpm.steps,2),_xlpm.steps)))</f>
        <v>2</v>
      </c>
      <c r="D100">
        <f>_xlfn.LET(_xlpm.dir,Table1[[#This Row],[Direction]],
IF(_xlpm.dir="L",
    IF(F99-Table1[[#This Row],[Steps]]&lt;0,100+(F99-Table1[[#This Row],[Steps]]),F99-Table1[[#This Row],[Steps]]),
))</f>
        <v>0</v>
      </c>
      <c r="E100">
        <f>_xlfn.LET(_xlpm.dir,Table1[[#This Row],[Direction]],
IF(_xlpm.dir="R",
    IF(F99+Table1[[#This Row],[Steps]]&gt;99,(F99+Table1[[#This Row],[Steps]])-100,F99+Table1[[#This Row],[Steps]]),
))</f>
        <v>0</v>
      </c>
      <c r="F100">
        <f>IF(Table1[[#This Row],[New Pos L]]&lt;&gt;0,Table1[[#This Row],[New Pos L]],Table1[[#This Row],[New Pos R]])</f>
        <v>0</v>
      </c>
    </row>
    <row r="101" spans="1:6" ht="16" x14ac:dyDescent="0.2">
      <c r="A101" s="1" t="s">
        <v>76</v>
      </c>
      <c r="B101" t="str">
        <f>LEFT(Table1[[#This Row],[Input]],1)</f>
        <v>R</v>
      </c>
      <c r="C101">
        <f>_xlfn.LET(_xlpm.steps,SUBSTITUTE(Table1[[#This Row],[Input]],Table1[[#This Row],[Direction]],""),VALUE(IF(LEN(_xlpm.steps)&gt;2,RIGHT(_xlpm.steps,2),_xlpm.steps)))</f>
        <v>37</v>
      </c>
      <c r="D101">
        <f>_xlfn.LET(_xlpm.dir,Table1[[#This Row],[Direction]],
IF(_xlpm.dir="L",
    IF(F100-Table1[[#This Row],[Steps]]&lt;0,100+(F100-Table1[[#This Row],[Steps]]),F100-Table1[[#This Row],[Steps]]),
))</f>
        <v>0</v>
      </c>
      <c r="E101">
        <f>_xlfn.LET(_xlpm.dir,Table1[[#This Row],[Direction]],
IF(_xlpm.dir="R",
    IF(F100+Table1[[#This Row],[Steps]]&gt;99,(F100+Table1[[#This Row],[Steps]])-100,F100+Table1[[#This Row],[Steps]]),
))</f>
        <v>37</v>
      </c>
      <c r="F101">
        <f>IF(Table1[[#This Row],[New Pos L]]&lt;&gt;0,Table1[[#This Row],[New Pos L]],Table1[[#This Row],[New Pos R]])</f>
        <v>37</v>
      </c>
    </row>
    <row r="102" spans="1:6" ht="16" x14ac:dyDescent="0.2">
      <c r="A102" s="1" t="s">
        <v>12</v>
      </c>
      <c r="B102" t="str">
        <f>LEFT(Table1[[#This Row],[Input]],1)</f>
        <v>L</v>
      </c>
      <c r="C102">
        <f>_xlfn.LET(_xlpm.steps,SUBSTITUTE(Table1[[#This Row],[Input]],Table1[[#This Row],[Direction]],""),VALUE(IF(LEN(_xlpm.steps)&gt;2,RIGHT(_xlpm.steps,2),_xlpm.steps)))</f>
        <v>11</v>
      </c>
      <c r="D102">
        <f>_xlfn.LET(_xlpm.dir,Table1[[#This Row],[Direction]],
IF(_xlpm.dir="L",
    IF(F101-Table1[[#This Row],[Steps]]&lt;0,100+(F101-Table1[[#This Row],[Steps]]),F101-Table1[[#This Row],[Steps]]),
))</f>
        <v>26</v>
      </c>
      <c r="E102">
        <f>_xlfn.LET(_xlpm.dir,Table1[[#This Row],[Direction]],
IF(_xlpm.dir="R",
    IF(F101+Table1[[#This Row],[Steps]]&gt;99,(F101+Table1[[#This Row],[Steps]])-100,F101+Table1[[#This Row],[Steps]]),
))</f>
        <v>0</v>
      </c>
      <c r="F102">
        <f>IF(Table1[[#This Row],[New Pos L]]&lt;&gt;0,Table1[[#This Row],[New Pos L]],Table1[[#This Row],[New Pos R]])</f>
        <v>26</v>
      </c>
    </row>
    <row r="103" spans="1:6" ht="16" x14ac:dyDescent="0.2">
      <c r="A103" s="1" t="s">
        <v>77</v>
      </c>
      <c r="B103" t="str">
        <f>LEFT(Table1[[#This Row],[Input]],1)</f>
        <v>R</v>
      </c>
      <c r="C103">
        <f>_xlfn.LET(_xlpm.steps,SUBSTITUTE(Table1[[#This Row],[Input]],Table1[[#This Row],[Direction]],""),VALUE(IF(LEN(_xlpm.steps)&gt;2,RIGHT(_xlpm.steps,2),_xlpm.steps)))</f>
        <v>74</v>
      </c>
      <c r="D103">
        <f>_xlfn.LET(_xlpm.dir,Table1[[#This Row],[Direction]],
IF(_xlpm.dir="L",
    IF(F102-Table1[[#This Row],[Steps]]&lt;0,100+(F102-Table1[[#This Row],[Steps]]),F102-Table1[[#This Row],[Steps]]),
))</f>
        <v>0</v>
      </c>
      <c r="E103">
        <f>_xlfn.LET(_xlpm.dir,Table1[[#This Row],[Direction]],
IF(_xlpm.dir="R",
    IF(F102+Table1[[#This Row],[Steps]]&gt;99,(F102+Table1[[#This Row],[Steps]])-100,F102+Table1[[#This Row],[Steps]]),
))</f>
        <v>0</v>
      </c>
      <c r="F103">
        <f>IF(Table1[[#This Row],[New Pos L]]&lt;&gt;0,Table1[[#This Row],[New Pos L]],Table1[[#This Row],[New Pos R]])</f>
        <v>0</v>
      </c>
    </row>
    <row r="104" spans="1:6" ht="16" x14ac:dyDescent="0.2">
      <c r="A104" s="1" t="s">
        <v>33</v>
      </c>
      <c r="B104" t="str">
        <f>LEFT(Table1[[#This Row],[Input]],1)</f>
        <v>R</v>
      </c>
      <c r="C104">
        <f>_xlfn.LET(_xlpm.steps,SUBSTITUTE(Table1[[#This Row],[Input]],Table1[[#This Row],[Direction]],""),VALUE(IF(LEN(_xlpm.steps)&gt;2,RIGHT(_xlpm.steps,2),_xlpm.steps)))</f>
        <v>22</v>
      </c>
      <c r="D104">
        <f>_xlfn.LET(_xlpm.dir,Table1[[#This Row],[Direction]],
IF(_xlpm.dir="L",
    IF(F103-Table1[[#This Row],[Steps]]&lt;0,100+(F103-Table1[[#This Row],[Steps]]),F103-Table1[[#This Row],[Steps]]),
))</f>
        <v>0</v>
      </c>
      <c r="E104">
        <f>_xlfn.LET(_xlpm.dir,Table1[[#This Row],[Direction]],
IF(_xlpm.dir="R",
    IF(F103+Table1[[#This Row],[Steps]]&gt;99,(F103+Table1[[#This Row],[Steps]])-100,F103+Table1[[#This Row],[Steps]]),
))</f>
        <v>22</v>
      </c>
      <c r="F104">
        <f>IF(Table1[[#This Row],[New Pos L]]&lt;&gt;0,Table1[[#This Row],[New Pos L]],Table1[[#This Row],[New Pos R]])</f>
        <v>22</v>
      </c>
    </row>
    <row r="105" spans="1:6" ht="16" x14ac:dyDescent="0.2">
      <c r="A105" s="1" t="s">
        <v>78</v>
      </c>
      <c r="B105" t="str">
        <f>LEFT(Table1[[#This Row],[Input]],1)</f>
        <v>R</v>
      </c>
      <c r="C105">
        <f>_xlfn.LET(_xlpm.steps,SUBSTITUTE(Table1[[#This Row],[Input]],Table1[[#This Row],[Direction]],""),VALUE(IF(LEN(_xlpm.steps)&gt;2,RIGHT(_xlpm.steps,2),_xlpm.steps)))</f>
        <v>78</v>
      </c>
      <c r="D105">
        <f>_xlfn.LET(_xlpm.dir,Table1[[#This Row],[Direction]],
IF(_xlpm.dir="L",
    IF(F104-Table1[[#This Row],[Steps]]&lt;0,100+(F104-Table1[[#This Row],[Steps]]),F104-Table1[[#This Row],[Steps]]),
))</f>
        <v>0</v>
      </c>
      <c r="E105">
        <f>_xlfn.LET(_xlpm.dir,Table1[[#This Row],[Direction]],
IF(_xlpm.dir="R",
    IF(F104+Table1[[#This Row],[Steps]]&gt;99,(F104+Table1[[#This Row],[Steps]])-100,F104+Table1[[#This Row],[Steps]]),
))</f>
        <v>0</v>
      </c>
      <c r="F105">
        <f>IF(Table1[[#This Row],[New Pos L]]&lt;&gt;0,Table1[[#This Row],[New Pos L]],Table1[[#This Row],[New Pos R]])</f>
        <v>0</v>
      </c>
    </row>
    <row r="106" spans="1:6" ht="16" x14ac:dyDescent="0.2">
      <c r="A106" s="1" t="s">
        <v>16</v>
      </c>
      <c r="B106" t="str">
        <f>LEFT(Table1[[#This Row],[Input]],1)</f>
        <v>L</v>
      </c>
      <c r="C106">
        <f>_xlfn.LET(_xlpm.steps,SUBSTITUTE(Table1[[#This Row],[Input]],Table1[[#This Row],[Direction]],""),VALUE(IF(LEN(_xlpm.steps)&gt;2,RIGHT(_xlpm.steps,2),_xlpm.steps)))</f>
        <v>10</v>
      </c>
      <c r="D106">
        <f>_xlfn.LET(_xlpm.dir,Table1[[#This Row],[Direction]],
IF(_xlpm.dir="L",
    IF(F105-Table1[[#This Row],[Steps]]&lt;0,100+(F105-Table1[[#This Row],[Steps]]),F105-Table1[[#This Row],[Steps]]),
))</f>
        <v>90</v>
      </c>
      <c r="E106">
        <f>_xlfn.LET(_xlpm.dir,Table1[[#This Row],[Direction]],
IF(_xlpm.dir="R",
    IF(F105+Table1[[#This Row],[Steps]]&gt;99,(F105+Table1[[#This Row],[Steps]])-100,F105+Table1[[#This Row],[Steps]]),
))</f>
        <v>0</v>
      </c>
      <c r="F106">
        <f>IF(Table1[[#This Row],[New Pos L]]&lt;&gt;0,Table1[[#This Row],[New Pos L]],Table1[[#This Row],[New Pos R]])</f>
        <v>90</v>
      </c>
    </row>
    <row r="107" spans="1:6" ht="16" x14ac:dyDescent="0.2">
      <c r="A107" s="1" t="s">
        <v>37</v>
      </c>
      <c r="B107" t="str">
        <f>LEFT(Table1[[#This Row],[Input]],1)</f>
        <v>L</v>
      </c>
      <c r="C107">
        <f>_xlfn.LET(_xlpm.steps,SUBSTITUTE(Table1[[#This Row],[Input]],Table1[[#This Row],[Direction]],""),VALUE(IF(LEN(_xlpm.steps)&gt;2,RIGHT(_xlpm.steps,2),_xlpm.steps)))</f>
        <v>42</v>
      </c>
      <c r="D107">
        <f>_xlfn.LET(_xlpm.dir,Table1[[#This Row],[Direction]],
IF(_xlpm.dir="L",
    IF(F106-Table1[[#This Row],[Steps]]&lt;0,100+(F106-Table1[[#This Row],[Steps]]),F106-Table1[[#This Row],[Steps]]),
))</f>
        <v>48</v>
      </c>
      <c r="E107">
        <f>_xlfn.LET(_xlpm.dir,Table1[[#This Row],[Direction]],
IF(_xlpm.dir="R",
    IF(F106+Table1[[#This Row],[Steps]]&gt;99,(F106+Table1[[#This Row],[Steps]])-100,F106+Table1[[#This Row],[Steps]]),
))</f>
        <v>0</v>
      </c>
      <c r="F107">
        <f>IF(Table1[[#This Row],[New Pos L]]&lt;&gt;0,Table1[[#This Row],[New Pos L]],Table1[[#This Row],[New Pos R]])</f>
        <v>48</v>
      </c>
    </row>
    <row r="108" spans="1:6" ht="16" x14ac:dyDescent="0.2">
      <c r="A108" s="1" t="s">
        <v>47</v>
      </c>
      <c r="B108" t="str">
        <f>LEFT(Table1[[#This Row],[Input]],1)</f>
        <v>R</v>
      </c>
      <c r="C108">
        <f>_xlfn.LET(_xlpm.steps,SUBSTITUTE(Table1[[#This Row],[Input]],Table1[[#This Row],[Direction]],""),VALUE(IF(LEN(_xlpm.steps)&gt;2,RIGHT(_xlpm.steps,2),_xlpm.steps)))</f>
        <v>97</v>
      </c>
      <c r="D108">
        <f>_xlfn.LET(_xlpm.dir,Table1[[#This Row],[Direction]],
IF(_xlpm.dir="L",
    IF(F107-Table1[[#This Row],[Steps]]&lt;0,100+(F107-Table1[[#This Row],[Steps]]),F107-Table1[[#This Row],[Steps]]),
))</f>
        <v>0</v>
      </c>
      <c r="E108">
        <f>_xlfn.LET(_xlpm.dir,Table1[[#This Row],[Direction]],
IF(_xlpm.dir="R",
    IF(F107+Table1[[#This Row],[Steps]]&gt;99,(F107+Table1[[#This Row],[Steps]])-100,F107+Table1[[#This Row],[Steps]]),
))</f>
        <v>45</v>
      </c>
      <c r="F108">
        <f>IF(Table1[[#This Row],[New Pos L]]&lt;&gt;0,Table1[[#This Row],[New Pos L]],Table1[[#This Row],[New Pos R]])</f>
        <v>45</v>
      </c>
    </row>
    <row r="109" spans="1:6" ht="16" x14ac:dyDescent="0.2">
      <c r="A109" s="1" t="s">
        <v>79</v>
      </c>
      <c r="B109" t="str">
        <f>LEFT(Table1[[#This Row],[Input]],1)</f>
        <v>L</v>
      </c>
      <c r="C109">
        <f>_xlfn.LET(_xlpm.steps,SUBSTITUTE(Table1[[#This Row],[Input]],Table1[[#This Row],[Direction]],""),VALUE(IF(LEN(_xlpm.steps)&gt;2,RIGHT(_xlpm.steps,2),_xlpm.steps)))</f>
        <v>45</v>
      </c>
      <c r="D109">
        <f>_xlfn.LET(_xlpm.dir,Table1[[#This Row],[Direction]],
IF(_xlpm.dir="L",
    IF(F108-Table1[[#This Row],[Steps]]&lt;0,100+(F108-Table1[[#This Row],[Steps]]),F108-Table1[[#This Row],[Steps]]),
))</f>
        <v>0</v>
      </c>
      <c r="E109">
        <f>_xlfn.LET(_xlpm.dir,Table1[[#This Row],[Direction]],
IF(_xlpm.dir="R",
    IF(F108+Table1[[#This Row],[Steps]]&gt;99,(F108+Table1[[#This Row],[Steps]])-100,F108+Table1[[#This Row],[Steps]]),
))</f>
        <v>0</v>
      </c>
      <c r="F109">
        <f>IF(Table1[[#This Row],[New Pos L]]&lt;&gt;0,Table1[[#This Row],[New Pos L]],Table1[[#This Row],[New Pos R]])</f>
        <v>0</v>
      </c>
    </row>
    <row r="110" spans="1:6" ht="16" x14ac:dyDescent="0.2">
      <c r="A110" s="1" t="s">
        <v>80</v>
      </c>
      <c r="B110" t="str">
        <f>LEFT(Table1[[#This Row],[Input]],1)</f>
        <v>L</v>
      </c>
      <c r="C110">
        <f>_xlfn.LET(_xlpm.steps,SUBSTITUTE(Table1[[#This Row],[Input]],Table1[[#This Row],[Direction]],""),VALUE(IF(LEN(_xlpm.steps)&gt;2,RIGHT(_xlpm.steps,2),_xlpm.steps)))</f>
        <v>48</v>
      </c>
      <c r="D110">
        <f>_xlfn.LET(_xlpm.dir,Table1[[#This Row],[Direction]],
IF(_xlpm.dir="L",
    IF(F109-Table1[[#This Row],[Steps]]&lt;0,100+(F109-Table1[[#This Row],[Steps]]),F109-Table1[[#This Row],[Steps]]),
))</f>
        <v>52</v>
      </c>
      <c r="E110">
        <f>_xlfn.LET(_xlpm.dir,Table1[[#This Row],[Direction]],
IF(_xlpm.dir="R",
    IF(F109+Table1[[#This Row],[Steps]]&gt;99,(F109+Table1[[#This Row],[Steps]])-100,F109+Table1[[#This Row],[Steps]]),
))</f>
        <v>0</v>
      </c>
      <c r="F110">
        <f>IF(Table1[[#This Row],[New Pos L]]&lt;&gt;0,Table1[[#This Row],[New Pos L]],Table1[[#This Row],[New Pos R]])</f>
        <v>52</v>
      </c>
    </row>
    <row r="111" spans="1:6" ht="16" x14ac:dyDescent="0.2">
      <c r="A111" s="1" t="s">
        <v>26</v>
      </c>
      <c r="B111" t="str">
        <f>LEFT(Table1[[#This Row],[Input]],1)</f>
        <v>R</v>
      </c>
      <c r="C111">
        <f>_xlfn.LET(_xlpm.steps,SUBSTITUTE(Table1[[#This Row],[Input]],Table1[[#This Row],[Direction]],""),VALUE(IF(LEN(_xlpm.steps)&gt;2,RIGHT(_xlpm.steps,2),_xlpm.steps)))</f>
        <v>6</v>
      </c>
      <c r="D111">
        <f>_xlfn.LET(_xlpm.dir,Table1[[#This Row],[Direction]],
IF(_xlpm.dir="L",
    IF(F110-Table1[[#This Row],[Steps]]&lt;0,100+(F110-Table1[[#This Row],[Steps]]),F110-Table1[[#This Row],[Steps]]),
))</f>
        <v>0</v>
      </c>
      <c r="E111">
        <f>_xlfn.LET(_xlpm.dir,Table1[[#This Row],[Direction]],
IF(_xlpm.dir="R",
    IF(F110+Table1[[#This Row],[Steps]]&gt;99,(F110+Table1[[#This Row],[Steps]])-100,F110+Table1[[#This Row],[Steps]]),
))</f>
        <v>58</v>
      </c>
      <c r="F111">
        <f>IF(Table1[[#This Row],[New Pos L]]&lt;&gt;0,Table1[[#This Row],[New Pos L]],Table1[[#This Row],[New Pos R]])</f>
        <v>58</v>
      </c>
    </row>
    <row r="112" spans="1:6" ht="16" x14ac:dyDescent="0.2">
      <c r="A112" s="1" t="s">
        <v>81</v>
      </c>
      <c r="B112" t="str">
        <f>LEFT(Table1[[#This Row],[Input]],1)</f>
        <v>R</v>
      </c>
      <c r="C112">
        <f>_xlfn.LET(_xlpm.steps,SUBSTITUTE(Table1[[#This Row],[Input]],Table1[[#This Row],[Direction]],""),VALUE(IF(LEN(_xlpm.steps)&gt;2,RIGHT(_xlpm.steps,2),_xlpm.steps)))</f>
        <v>17</v>
      </c>
      <c r="D112">
        <f>_xlfn.LET(_xlpm.dir,Table1[[#This Row],[Direction]],
IF(_xlpm.dir="L",
    IF(F111-Table1[[#This Row],[Steps]]&lt;0,100+(F111-Table1[[#This Row],[Steps]]),F111-Table1[[#This Row],[Steps]]),
))</f>
        <v>0</v>
      </c>
      <c r="E112">
        <f>_xlfn.LET(_xlpm.dir,Table1[[#This Row],[Direction]],
IF(_xlpm.dir="R",
    IF(F111+Table1[[#This Row],[Steps]]&gt;99,(F111+Table1[[#This Row],[Steps]])-100,F111+Table1[[#This Row],[Steps]]),
))</f>
        <v>75</v>
      </c>
      <c r="F112">
        <f>IF(Table1[[#This Row],[New Pos L]]&lt;&gt;0,Table1[[#This Row],[New Pos L]],Table1[[#This Row],[New Pos R]])</f>
        <v>75</v>
      </c>
    </row>
    <row r="113" spans="1:6" ht="16" x14ac:dyDescent="0.2">
      <c r="A113" s="1" t="s">
        <v>54</v>
      </c>
      <c r="B113" t="str">
        <f>LEFT(Table1[[#This Row],[Input]],1)</f>
        <v>L</v>
      </c>
      <c r="C113">
        <f>_xlfn.LET(_xlpm.steps,SUBSTITUTE(Table1[[#This Row],[Input]],Table1[[#This Row],[Direction]],""),VALUE(IF(LEN(_xlpm.steps)&gt;2,RIGHT(_xlpm.steps,2),_xlpm.steps)))</f>
        <v>75</v>
      </c>
      <c r="D113">
        <f>_xlfn.LET(_xlpm.dir,Table1[[#This Row],[Direction]],
IF(_xlpm.dir="L",
    IF(F112-Table1[[#This Row],[Steps]]&lt;0,100+(F112-Table1[[#This Row],[Steps]]),F112-Table1[[#This Row],[Steps]]),
))</f>
        <v>0</v>
      </c>
      <c r="E113">
        <f>_xlfn.LET(_xlpm.dir,Table1[[#This Row],[Direction]],
IF(_xlpm.dir="R",
    IF(F112+Table1[[#This Row],[Steps]]&gt;99,(F112+Table1[[#This Row],[Steps]])-100,F112+Table1[[#This Row],[Steps]]),
))</f>
        <v>0</v>
      </c>
      <c r="F113">
        <f>IF(Table1[[#This Row],[New Pos L]]&lt;&gt;0,Table1[[#This Row],[New Pos L]],Table1[[#This Row],[New Pos R]])</f>
        <v>0</v>
      </c>
    </row>
    <row r="114" spans="1:6" ht="16" x14ac:dyDescent="0.2">
      <c r="A114" s="1" t="s">
        <v>37</v>
      </c>
      <c r="B114" t="str">
        <f>LEFT(Table1[[#This Row],[Input]],1)</f>
        <v>L</v>
      </c>
      <c r="C114">
        <f>_xlfn.LET(_xlpm.steps,SUBSTITUTE(Table1[[#This Row],[Input]],Table1[[#This Row],[Direction]],""),VALUE(IF(LEN(_xlpm.steps)&gt;2,RIGHT(_xlpm.steps,2),_xlpm.steps)))</f>
        <v>42</v>
      </c>
      <c r="D114">
        <f>_xlfn.LET(_xlpm.dir,Table1[[#This Row],[Direction]],
IF(_xlpm.dir="L",
    IF(F113-Table1[[#This Row],[Steps]]&lt;0,100+(F113-Table1[[#This Row],[Steps]]),F113-Table1[[#This Row],[Steps]]),
))</f>
        <v>58</v>
      </c>
      <c r="E114">
        <f>_xlfn.LET(_xlpm.dir,Table1[[#This Row],[Direction]],
IF(_xlpm.dir="R",
    IF(F113+Table1[[#This Row],[Steps]]&gt;99,(F113+Table1[[#This Row],[Steps]])-100,F113+Table1[[#This Row],[Steps]]),
))</f>
        <v>0</v>
      </c>
      <c r="F114">
        <f>IF(Table1[[#This Row],[New Pos L]]&lt;&gt;0,Table1[[#This Row],[New Pos L]],Table1[[#This Row],[New Pos R]])</f>
        <v>58</v>
      </c>
    </row>
    <row r="115" spans="1:6" ht="16" x14ac:dyDescent="0.2">
      <c r="A115" s="1" t="s">
        <v>82</v>
      </c>
      <c r="B115" t="str">
        <f>LEFT(Table1[[#This Row],[Input]],1)</f>
        <v>L</v>
      </c>
      <c r="C115">
        <f>_xlfn.LET(_xlpm.steps,SUBSTITUTE(Table1[[#This Row],[Input]],Table1[[#This Row],[Direction]],""),VALUE(IF(LEN(_xlpm.steps)&gt;2,RIGHT(_xlpm.steps,2),_xlpm.steps)))</f>
        <v>55</v>
      </c>
      <c r="D115">
        <f>_xlfn.LET(_xlpm.dir,Table1[[#This Row],[Direction]],
IF(_xlpm.dir="L",
    IF(F114-Table1[[#This Row],[Steps]]&lt;0,100+(F114-Table1[[#This Row],[Steps]]),F114-Table1[[#This Row],[Steps]]),
))</f>
        <v>3</v>
      </c>
      <c r="E115">
        <f>_xlfn.LET(_xlpm.dir,Table1[[#This Row],[Direction]],
IF(_xlpm.dir="R",
    IF(F114+Table1[[#This Row],[Steps]]&gt;99,(F114+Table1[[#This Row],[Steps]])-100,F114+Table1[[#This Row],[Steps]]),
))</f>
        <v>0</v>
      </c>
      <c r="F115">
        <f>IF(Table1[[#This Row],[New Pos L]]&lt;&gt;0,Table1[[#This Row],[New Pos L]],Table1[[#This Row],[New Pos R]])</f>
        <v>3</v>
      </c>
    </row>
    <row r="116" spans="1:6" ht="16" x14ac:dyDescent="0.2">
      <c r="A116" s="1" t="s">
        <v>83</v>
      </c>
      <c r="B116" t="str">
        <f>LEFT(Table1[[#This Row],[Input]],1)</f>
        <v>R</v>
      </c>
      <c r="C116">
        <f>_xlfn.LET(_xlpm.steps,SUBSTITUTE(Table1[[#This Row],[Input]],Table1[[#This Row],[Direction]],""),VALUE(IF(LEN(_xlpm.steps)&gt;2,RIGHT(_xlpm.steps,2),_xlpm.steps)))</f>
        <v>79</v>
      </c>
      <c r="D116">
        <f>_xlfn.LET(_xlpm.dir,Table1[[#This Row],[Direction]],
IF(_xlpm.dir="L",
    IF(F115-Table1[[#This Row],[Steps]]&lt;0,100+(F115-Table1[[#This Row],[Steps]]),F115-Table1[[#This Row],[Steps]]),
))</f>
        <v>0</v>
      </c>
      <c r="E116">
        <f>_xlfn.LET(_xlpm.dir,Table1[[#This Row],[Direction]],
IF(_xlpm.dir="R",
    IF(F115+Table1[[#This Row],[Steps]]&gt;99,(F115+Table1[[#This Row],[Steps]])-100,F115+Table1[[#This Row],[Steps]]),
))</f>
        <v>82</v>
      </c>
      <c r="F116">
        <f>IF(Table1[[#This Row],[New Pos L]]&lt;&gt;0,Table1[[#This Row],[New Pos L]],Table1[[#This Row],[New Pos R]])</f>
        <v>82</v>
      </c>
    </row>
    <row r="117" spans="1:6" ht="16" x14ac:dyDescent="0.2">
      <c r="A117" s="1" t="s">
        <v>69</v>
      </c>
      <c r="B117" t="str">
        <f>LEFT(Table1[[#This Row],[Input]],1)</f>
        <v>R</v>
      </c>
      <c r="C117">
        <f>_xlfn.LET(_xlpm.steps,SUBSTITUTE(Table1[[#This Row],[Input]],Table1[[#This Row],[Direction]],""),VALUE(IF(LEN(_xlpm.steps)&gt;2,RIGHT(_xlpm.steps,2),_xlpm.steps)))</f>
        <v>27</v>
      </c>
      <c r="D117">
        <f>_xlfn.LET(_xlpm.dir,Table1[[#This Row],[Direction]],
IF(_xlpm.dir="L",
    IF(F116-Table1[[#This Row],[Steps]]&lt;0,100+(F116-Table1[[#This Row],[Steps]]),F116-Table1[[#This Row],[Steps]]),
))</f>
        <v>0</v>
      </c>
      <c r="E117">
        <f>_xlfn.LET(_xlpm.dir,Table1[[#This Row],[Direction]],
IF(_xlpm.dir="R",
    IF(F116+Table1[[#This Row],[Steps]]&gt;99,(F116+Table1[[#This Row],[Steps]])-100,F116+Table1[[#This Row],[Steps]]),
))</f>
        <v>9</v>
      </c>
      <c r="F117">
        <f>IF(Table1[[#This Row],[New Pos L]]&lt;&gt;0,Table1[[#This Row],[New Pos L]],Table1[[#This Row],[New Pos R]])</f>
        <v>9</v>
      </c>
    </row>
    <row r="118" spans="1:6" ht="16" x14ac:dyDescent="0.2">
      <c r="A118" s="1" t="s">
        <v>55</v>
      </c>
      <c r="B118" t="str">
        <f>LEFT(Table1[[#This Row],[Input]],1)</f>
        <v>L</v>
      </c>
      <c r="C118">
        <f>_xlfn.LET(_xlpm.steps,SUBSTITUTE(Table1[[#This Row],[Input]],Table1[[#This Row],[Direction]],""),VALUE(IF(LEN(_xlpm.steps)&gt;2,RIGHT(_xlpm.steps,2),_xlpm.steps)))</f>
        <v>82</v>
      </c>
      <c r="D118">
        <f>_xlfn.LET(_xlpm.dir,Table1[[#This Row],[Direction]],
IF(_xlpm.dir="L",
    IF(F117-Table1[[#This Row],[Steps]]&lt;0,100+(F117-Table1[[#This Row],[Steps]]),F117-Table1[[#This Row],[Steps]]),
))</f>
        <v>27</v>
      </c>
      <c r="E118">
        <f>_xlfn.LET(_xlpm.dir,Table1[[#This Row],[Direction]],
IF(_xlpm.dir="R",
    IF(F117+Table1[[#This Row],[Steps]]&gt;99,(F117+Table1[[#This Row],[Steps]])-100,F117+Table1[[#This Row],[Steps]]),
))</f>
        <v>0</v>
      </c>
      <c r="F118">
        <f>IF(Table1[[#This Row],[New Pos L]]&lt;&gt;0,Table1[[#This Row],[New Pos L]],Table1[[#This Row],[New Pos R]])</f>
        <v>27</v>
      </c>
    </row>
    <row r="119" spans="1:6" ht="16" x14ac:dyDescent="0.2">
      <c r="A119" s="1" t="s">
        <v>84</v>
      </c>
      <c r="B119" t="str">
        <f>LEFT(Table1[[#This Row],[Input]],1)</f>
        <v>R</v>
      </c>
      <c r="C119">
        <f>_xlfn.LET(_xlpm.steps,SUBSTITUTE(Table1[[#This Row],[Input]],Table1[[#This Row],[Direction]],""),VALUE(IF(LEN(_xlpm.steps)&gt;2,RIGHT(_xlpm.steps,2),_xlpm.steps)))</f>
        <v>88</v>
      </c>
      <c r="D119">
        <f>_xlfn.LET(_xlpm.dir,Table1[[#This Row],[Direction]],
IF(_xlpm.dir="L",
    IF(F118-Table1[[#This Row],[Steps]]&lt;0,100+(F118-Table1[[#This Row],[Steps]]),F118-Table1[[#This Row],[Steps]]),
))</f>
        <v>0</v>
      </c>
      <c r="E119">
        <f>_xlfn.LET(_xlpm.dir,Table1[[#This Row],[Direction]],
IF(_xlpm.dir="R",
    IF(F118+Table1[[#This Row],[Steps]]&gt;99,(F118+Table1[[#This Row],[Steps]])-100,F118+Table1[[#This Row],[Steps]]),
))</f>
        <v>15</v>
      </c>
      <c r="F119">
        <f>IF(Table1[[#This Row],[New Pos L]]&lt;&gt;0,Table1[[#This Row],[New Pos L]],Table1[[#This Row],[New Pos R]])</f>
        <v>15</v>
      </c>
    </row>
    <row r="120" spans="1:6" ht="16" x14ac:dyDescent="0.2">
      <c r="A120" s="1" t="s">
        <v>85</v>
      </c>
      <c r="B120" t="str">
        <f>LEFT(Table1[[#This Row],[Input]],1)</f>
        <v>L</v>
      </c>
      <c r="C120">
        <f>_xlfn.LET(_xlpm.steps,SUBSTITUTE(Table1[[#This Row],[Input]],Table1[[#This Row],[Direction]],""),VALUE(IF(LEN(_xlpm.steps)&gt;2,RIGHT(_xlpm.steps,2),_xlpm.steps)))</f>
        <v>17</v>
      </c>
      <c r="D120">
        <f>_xlfn.LET(_xlpm.dir,Table1[[#This Row],[Direction]],
IF(_xlpm.dir="L",
    IF(F119-Table1[[#This Row],[Steps]]&lt;0,100+(F119-Table1[[#This Row],[Steps]]),F119-Table1[[#This Row],[Steps]]),
))</f>
        <v>98</v>
      </c>
      <c r="E120">
        <f>_xlfn.LET(_xlpm.dir,Table1[[#This Row],[Direction]],
IF(_xlpm.dir="R",
    IF(F119+Table1[[#This Row],[Steps]]&gt;99,(F119+Table1[[#This Row],[Steps]])-100,F119+Table1[[#This Row],[Steps]]),
))</f>
        <v>0</v>
      </c>
      <c r="F120">
        <f>IF(Table1[[#This Row],[New Pos L]]&lt;&gt;0,Table1[[#This Row],[New Pos L]],Table1[[#This Row],[New Pos R]])</f>
        <v>98</v>
      </c>
    </row>
    <row r="121" spans="1:6" ht="16" x14ac:dyDescent="0.2">
      <c r="A121" s="1" t="s">
        <v>86</v>
      </c>
      <c r="B121" t="str">
        <f>LEFT(Table1[[#This Row],[Input]],1)</f>
        <v>R</v>
      </c>
      <c r="C121">
        <f>_xlfn.LET(_xlpm.steps,SUBSTITUTE(Table1[[#This Row],[Input]],Table1[[#This Row],[Direction]],""),VALUE(IF(LEN(_xlpm.steps)&gt;2,RIGHT(_xlpm.steps,2),_xlpm.steps)))</f>
        <v>60</v>
      </c>
      <c r="D121">
        <f>_xlfn.LET(_xlpm.dir,Table1[[#This Row],[Direction]],
IF(_xlpm.dir="L",
    IF(F120-Table1[[#This Row],[Steps]]&lt;0,100+(F120-Table1[[#This Row],[Steps]]),F120-Table1[[#This Row],[Steps]]),
))</f>
        <v>0</v>
      </c>
      <c r="E121">
        <f>_xlfn.LET(_xlpm.dir,Table1[[#This Row],[Direction]],
IF(_xlpm.dir="R",
    IF(F120+Table1[[#This Row],[Steps]]&gt;99,(F120+Table1[[#This Row],[Steps]])-100,F120+Table1[[#This Row],[Steps]]),
))</f>
        <v>58</v>
      </c>
      <c r="F121">
        <f>IF(Table1[[#This Row],[New Pos L]]&lt;&gt;0,Table1[[#This Row],[New Pos L]],Table1[[#This Row],[New Pos R]])</f>
        <v>58</v>
      </c>
    </row>
    <row r="122" spans="1:6" ht="16" x14ac:dyDescent="0.2">
      <c r="A122" s="1" t="s">
        <v>87</v>
      </c>
      <c r="B122" t="str">
        <f>LEFT(Table1[[#This Row],[Input]],1)</f>
        <v>L</v>
      </c>
      <c r="C122">
        <f>_xlfn.LET(_xlpm.steps,SUBSTITUTE(Table1[[#This Row],[Input]],Table1[[#This Row],[Direction]],""),VALUE(IF(LEN(_xlpm.steps)&gt;2,RIGHT(_xlpm.steps,2),_xlpm.steps)))</f>
        <v>85</v>
      </c>
      <c r="D122">
        <f>_xlfn.LET(_xlpm.dir,Table1[[#This Row],[Direction]],
IF(_xlpm.dir="L",
    IF(F121-Table1[[#This Row],[Steps]]&lt;0,100+(F121-Table1[[#This Row],[Steps]]),F121-Table1[[#This Row],[Steps]]),
))</f>
        <v>73</v>
      </c>
      <c r="E122">
        <f>_xlfn.LET(_xlpm.dir,Table1[[#This Row],[Direction]],
IF(_xlpm.dir="R",
    IF(F121+Table1[[#This Row],[Steps]]&gt;99,(F121+Table1[[#This Row],[Steps]])-100,F121+Table1[[#This Row],[Steps]]),
))</f>
        <v>0</v>
      </c>
      <c r="F122">
        <f>IF(Table1[[#This Row],[New Pos L]]&lt;&gt;0,Table1[[#This Row],[New Pos L]],Table1[[#This Row],[New Pos R]])</f>
        <v>73</v>
      </c>
    </row>
    <row r="123" spans="1:6" ht="16" x14ac:dyDescent="0.2">
      <c r="A123" s="1" t="s">
        <v>88</v>
      </c>
      <c r="B123" t="str">
        <f>LEFT(Table1[[#This Row],[Input]],1)</f>
        <v>R</v>
      </c>
      <c r="C123">
        <f>_xlfn.LET(_xlpm.steps,SUBSTITUTE(Table1[[#This Row],[Input]],Table1[[#This Row],[Direction]],""),VALUE(IF(LEN(_xlpm.steps)&gt;2,RIGHT(_xlpm.steps,2),_xlpm.steps)))</f>
        <v>53</v>
      </c>
      <c r="D123">
        <f>_xlfn.LET(_xlpm.dir,Table1[[#This Row],[Direction]],
IF(_xlpm.dir="L",
    IF(F122-Table1[[#This Row],[Steps]]&lt;0,100+(F122-Table1[[#This Row],[Steps]]),F122-Table1[[#This Row],[Steps]]),
))</f>
        <v>0</v>
      </c>
      <c r="E123">
        <f>_xlfn.LET(_xlpm.dir,Table1[[#This Row],[Direction]],
IF(_xlpm.dir="R",
    IF(F122+Table1[[#This Row],[Steps]]&gt;99,(F122+Table1[[#This Row],[Steps]])-100,F122+Table1[[#This Row],[Steps]]),
))</f>
        <v>26</v>
      </c>
      <c r="F123">
        <f>IF(Table1[[#This Row],[New Pos L]]&lt;&gt;0,Table1[[#This Row],[New Pos L]],Table1[[#This Row],[New Pos R]])</f>
        <v>26</v>
      </c>
    </row>
    <row r="124" spans="1:6" ht="16" x14ac:dyDescent="0.2">
      <c r="A124" s="1" t="s">
        <v>89</v>
      </c>
      <c r="B124" t="str">
        <f>LEFT(Table1[[#This Row],[Input]],1)</f>
        <v>L</v>
      </c>
      <c r="C124">
        <f>_xlfn.LET(_xlpm.steps,SUBSTITUTE(Table1[[#This Row],[Input]],Table1[[#This Row],[Direction]],""),VALUE(IF(LEN(_xlpm.steps)&gt;2,RIGHT(_xlpm.steps,2),_xlpm.steps)))</f>
        <v>91</v>
      </c>
      <c r="D124">
        <f>_xlfn.LET(_xlpm.dir,Table1[[#This Row],[Direction]],
IF(_xlpm.dir="L",
    IF(F123-Table1[[#This Row],[Steps]]&lt;0,100+(F123-Table1[[#This Row],[Steps]]),F123-Table1[[#This Row],[Steps]]),
))</f>
        <v>35</v>
      </c>
      <c r="E124">
        <f>_xlfn.LET(_xlpm.dir,Table1[[#This Row],[Direction]],
IF(_xlpm.dir="R",
    IF(F123+Table1[[#This Row],[Steps]]&gt;99,(F123+Table1[[#This Row],[Steps]])-100,F123+Table1[[#This Row],[Steps]]),
))</f>
        <v>0</v>
      </c>
      <c r="F124">
        <f>IF(Table1[[#This Row],[New Pos L]]&lt;&gt;0,Table1[[#This Row],[New Pos L]],Table1[[#This Row],[New Pos R]])</f>
        <v>35</v>
      </c>
    </row>
    <row r="125" spans="1:6" ht="16" x14ac:dyDescent="0.2">
      <c r="A125" s="1" t="s">
        <v>90</v>
      </c>
      <c r="B125" t="str">
        <f>LEFT(Table1[[#This Row],[Input]],1)</f>
        <v>R</v>
      </c>
      <c r="C125">
        <f>_xlfn.LET(_xlpm.steps,SUBSTITUTE(Table1[[#This Row],[Input]],Table1[[#This Row],[Direction]],""),VALUE(IF(LEN(_xlpm.steps)&gt;2,RIGHT(_xlpm.steps,2),_xlpm.steps)))</f>
        <v>14</v>
      </c>
      <c r="D125">
        <f>_xlfn.LET(_xlpm.dir,Table1[[#This Row],[Direction]],
IF(_xlpm.dir="L",
    IF(F124-Table1[[#This Row],[Steps]]&lt;0,100+(F124-Table1[[#This Row],[Steps]]),F124-Table1[[#This Row],[Steps]]),
))</f>
        <v>0</v>
      </c>
      <c r="E125">
        <f>_xlfn.LET(_xlpm.dir,Table1[[#This Row],[Direction]],
IF(_xlpm.dir="R",
    IF(F124+Table1[[#This Row],[Steps]]&gt;99,(F124+Table1[[#This Row],[Steps]])-100,F124+Table1[[#This Row],[Steps]]),
))</f>
        <v>49</v>
      </c>
      <c r="F125">
        <f>IF(Table1[[#This Row],[New Pos L]]&lt;&gt;0,Table1[[#This Row],[New Pos L]],Table1[[#This Row],[New Pos R]])</f>
        <v>49</v>
      </c>
    </row>
    <row r="126" spans="1:6" ht="16" x14ac:dyDescent="0.2">
      <c r="A126" s="1" t="s">
        <v>43</v>
      </c>
      <c r="B126" t="str">
        <f>LEFT(Table1[[#This Row],[Input]],1)</f>
        <v>R</v>
      </c>
      <c r="C126">
        <f>_xlfn.LET(_xlpm.steps,SUBSTITUTE(Table1[[#This Row],[Input]],Table1[[#This Row],[Direction]],""),VALUE(IF(LEN(_xlpm.steps)&gt;2,RIGHT(_xlpm.steps,2),_xlpm.steps)))</f>
        <v>90</v>
      </c>
      <c r="D126">
        <f>_xlfn.LET(_xlpm.dir,Table1[[#This Row],[Direction]],
IF(_xlpm.dir="L",
    IF(F125-Table1[[#This Row],[Steps]]&lt;0,100+(F125-Table1[[#This Row],[Steps]]),F125-Table1[[#This Row],[Steps]]),
))</f>
        <v>0</v>
      </c>
      <c r="E126">
        <f>_xlfn.LET(_xlpm.dir,Table1[[#This Row],[Direction]],
IF(_xlpm.dir="R",
    IF(F125+Table1[[#This Row],[Steps]]&gt;99,(F125+Table1[[#This Row],[Steps]])-100,F125+Table1[[#This Row],[Steps]]),
))</f>
        <v>39</v>
      </c>
      <c r="F126">
        <f>IF(Table1[[#This Row],[New Pos L]]&lt;&gt;0,Table1[[#This Row],[New Pos L]],Table1[[#This Row],[New Pos R]])</f>
        <v>39</v>
      </c>
    </row>
    <row r="127" spans="1:6" ht="16" x14ac:dyDescent="0.2">
      <c r="A127" s="1" t="s">
        <v>25</v>
      </c>
      <c r="B127" t="str">
        <f>LEFT(Table1[[#This Row],[Input]],1)</f>
        <v>L</v>
      </c>
      <c r="C127">
        <f>_xlfn.LET(_xlpm.steps,SUBSTITUTE(Table1[[#This Row],[Input]],Table1[[#This Row],[Direction]],""),VALUE(IF(LEN(_xlpm.steps)&gt;2,RIGHT(_xlpm.steps,2),_xlpm.steps)))</f>
        <v>20</v>
      </c>
      <c r="D127">
        <f>_xlfn.LET(_xlpm.dir,Table1[[#This Row],[Direction]],
IF(_xlpm.dir="L",
    IF(F126-Table1[[#This Row],[Steps]]&lt;0,100+(F126-Table1[[#This Row],[Steps]]),F126-Table1[[#This Row],[Steps]]),
))</f>
        <v>19</v>
      </c>
      <c r="E127">
        <f>_xlfn.LET(_xlpm.dir,Table1[[#This Row],[Direction]],
IF(_xlpm.dir="R",
    IF(F126+Table1[[#This Row],[Steps]]&gt;99,(F126+Table1[[#This Row],[Steps]])-100,F126+Table1[[#This Row],[Steps]]),
))</f>
        <v>0</v>
      </c>
      <c r="F127">
        <f>IF(Table1[[#This Row],[New Pos L]]&lt;&gt;0,Table1[[#This Row],[New Pos L]],Table1[[#This Row],[New Pos R]])</f>
        <v>19</v>
      </c>
    </row>
    <row r="128" spans="1:6" ht="16" x14ac:dyDescent="0.2">
      <c r="A128" s="1" t="s">
        <v>65</v>
      </c>
      <c r="B128" t="str">
        <f>LEFT(Table1[[#This Row],[Input]],1)</f>
        <v>L</v>
      </c>
      <c r="C128">
        <f>_xlfn.LET(_xlpm.steps,SUBSTITUTE(Table1[[#This Row],[Input]],Table1[[#This Row],[Direction]],""),VALUE(IF(LEN(_xlpm.steps)&gt;2,RIGHT(_xlpm.steps,2),_xlpm.steps)))</f>
        <v>19</v>
      </c>
      <c r="D128">
        <f>_xlfn.LET(_xlpm.dir,Table1[[#This Row],[Direction]],
IF(_xlpm.dir="L",
    IF(F127-Table1[[#This Row],[Steps]]&lt;0,100+(F127-Table1[[#This Row],[Steps]]),F127-Table1[[#This Row],[Steps]]),
))</f>
        <v>0</v>
      </c>
      <c r="E128">
        <f>_xlfn.LET(_xlpm.dir,Table1[[#This Row],[Direction]],
IF(_xlpm.dir="R",
    IF(F127+Table1[[#This Row],[Steps]]&gt;99,(F127+Table1[[#This Row],[Steps]])-100,F127+Table1[[#This Row],[Steps]]),
))</f>
        <v>0</v>
      </c>
      <c r="F128">
        <f>IF(Table1[[#This Row],[New Pos L]]&lt;&gt;0,Table1[[#This Row],[New Pos L]],Table1[[#This Row],[New Pos R]])</f>
        <v>0</v>
      </c>
    </row>
    <row r="129" spans="1:6" ht="16" x14ac:dyDescent="0.2">
      <c r="A129" s="1" t="s">
        <v>91</v>
      </c>
      <c r="B129" t="str">
        <f>LEFT(Table1[[#This Row],[Input]],1)</f>
        <v>L</v>
      </c>
      <c r="C129">
        <f>_xlfn.LET(_xlpm.steps,SUBSTITUTE(Table1[[#This Row],[Input]],Table1[[#This Row],[Direction]],""),VALUE(IF(LEN(_xlpm.steps)&gt;2,RIGHT(_xlpm.steps,2),_xlpm.steps)))</f>
        <v>22</v>
      </c>
      <c r="D129">
        <f>_xlfn.LET(_xlpm.dir,Table1[[#This Row],[Direction]],
IF(_xlpm.dir="L",
    IF(F128-Table1[[#This Row],[Steps]]&lt;0,100+(F128-Table1[[#This Row],[Steps]]),F128-Table1[[#This Row],[Steps]]),
))</f>
        <v>78</v>
      </c>
      <c r="E129">
        <f>_xlfn.LET(_xlpm.dir,Table1[[#This Row],[Direction]],
IF(_xlpm.dir="R",
    IF(F128+Table1[[#This Row],[Steps]]&gt;99,(F128+Table1[[#This Row],[Steps]])-100,F128+Table1[[#This Row],[Steps]]),
))</f>
        <v>0</v>
      </c>
      <c r="F129">
        <f>IF(Table1[[#This Row],[New Pos L]]&lt;&gt;0,Table1[[#This Row],[New Pos L]],Table1[[#This Row],[New Pos R]])</f>
        <v>78</v>
      </c>
    </row>
    <row r="130" spans="1:6" ht="16" x14ac:dyDescent="0.2">
      <c r="A130" s="1" t="s">
        <v>23</v>
      </c>
      <c r="B130" t="str">
        <f>LEFT(Table1[[#This Row],[Input]],1)</f>
        <v>L</v>
      </c>
      <c r="C130">
        <f>_xlfn.LET(_xlpm.steps,SUBSTITUTE(Table1[[#This Row],[Input]],Table1[[#This Row],[Direction]],""),VALUE(IF(LEN(_xlpm.steps)&gt;2,RIGHT(_xlpm.steps,2),_xlpm.steps)))</f>
        <v>8</v>
      </c>
      <c r="D130">
        <f>_xlfn.LET(_xlpm.dir,Table1[[#This Row],[Direction]],
IF(_xlpm.dir="L",
    IF(F129-Table1[[#This Row],[Steps]]&lt;0,100+(F129-Table1[[#This Row],[Steps]]),F129-Table1[[#This Row],[Steps]]),
))</f>
        <v>70</v>
      </c>
      <c r="E130">
        <f>_xlfn.LET(_xlpm.dir,Table1[[#This Row],[Direction]],
IF(_xlpm.dir="R",
    IF(F129+Table1[[#This Row],[Steps]]&gt;99,(F129+Table1[[#This Row],[Steps]])-100,F129+Table1[[#This Row],[Steps]]),
))</f>
        <v>0</v>
      </c>
      <c r="F130">
        <f>IF(Table1[[#This Row],[New Pos L]]&lt;&gt;0,Table1[[#This Row],[New Pos L]],Table1[[#This Row],[New Pos R]])</f>
        <v>70</v>
      </c>
    </row>
    <row r="131" spans="1:6" ht="16" x14ac:dyDescent="0.2">
      <c r="A131" s="1" t="s">
        <v>28</v>
      </c>
      <c r="B131" t="str">
        <f>LEFT(Table1[[#This Row],[Input]],1)</f>
        <v>R</v>
      </c>
      <c r="C131">
        <f>_xlfn.LET(_xlpm.steps,SUBSTITUTE(Table1[[#This Row],[Input]],Table1[[#This Row],[Direction]],""),VALUE(IF(LEN(_xlpm.steps)&gt;2,RIGHT(_xlpm.steps,2),_xlpm.steps)))</f>
        <v>30</v>
      </c>
      <c r="D131">
        <f>_xlfn.LET(_xlpm.dir,Table1[[#This Row],[Direction]],
IF(_xlpm.dir="L",
    IF(F130-Table1[[#This Row],[Steps]]&lt;0,100+(F130-Table1[[#This Row],[Steps]]),F130-Table1[[#This Row],[Steps]]),
))</f>
        <v>0</v>
      </c>
      <c r="E131">
        <f>_xlfn.LET(_xlpm.dir,Table1[[#This Row],[Direction]],
IF(_xlpm.dir="R",
    IF(F130+Table1[[#This Row],[Steps]]&gt;99,(F130+Table1[[#This Row],[Steps]])-100,F130+Table1[[#This Row],[Steps]]),
))</f>
        <v>0</v>
      </c>
      <c r="F131">
        <f>IF(Table1[[#This Row],[New Pos L]]&lt;&gt;0,Table1[[#This Row],[New Pos L]],Table1[[#This Row],[New Pos R]])</f>
        <v>0</v>
      </c>
    </row>
    <row r="132" spans="1:6" ht="16" x14ac:dyDescent="0.2">
      <c r="A132" s="1" t="s">
        <v>92</v>
      </c>
      <c r="B132" t="str">
        <f>LEFT(Table1[[#This Row],[Input]],1)</f>
        <v>R</v>
      </c>
      <c r="C132">
        <f>_xlfn.LET(_xlpm.steps,SUBSTITUTE(Table1[[#This Row],[Input]],Table1[[#This Row],[Direction]],""),VALUE(IF(LEN(_xlpm.steps)&gt;2,RIGHT(_xlpm.steps,2),_xlpm.steps)))</f>
        <v>65</v>
      </c>
      <c r="D132">
        <f>_xlfn.LET(_xlpm.dir,Table1[[#This Row],[Direction]],
IF(_xlpm.dir="L",
    IF(F131-Table1[[#This Row],[Steps]]&lt;0,100+(F131-Table1[[#This Row],[Steps]]),F131-Table1[[#This Row],[Steps]]),
))</f>
        <v>0</v>
      </c>
      <c r="E132">
        <f>_xlfn.LET(_xlpm.dir,Table1[[#This Row],[Direction]],
IF(_xlpm.dir="R",
    IF(F131+Table1[[#This Row],[Steps]]&gt;99,(F131+Table1[[#This Row],[Steps]])-100,F131+Table1[[#This Row],[Steps]]),
))</f>
        <v>65</v>
      </c>
      <c r="F132">
        <f>IF(Table1[[#This Row],[New Pos L]]&lt;&gt;0,Table1[[#This Row],[New Pos L]],Table1[[#This Row],[New Pos R]])</f>
        <v>65</v>
      </c>
    </row>
    <row r="133" spans="1:6" ht="16" x14ac:dyDescent="0.2">
      <c r="A133" s="1" t="s">
        <v>66</v>
      </c>
      <c r="B133" t="str">
        <f>LEFT(Table1[[#This Row],[Input]],1)</f>
        <v>R</v>
      </c>
      <c r="C133">
        <f>_xlfn.LET(_xlpm.steps,SUBSTITUTE(Table1[[#This Row],[Input]],Table1[[#This Row],[Direction]],""),VALUE(IF(LEN(_xlpm.steps)&gt;2,RIGHT(_xlpm.steps,2),_xlpm.steps)))</f>
        <v>45</v>
      </c>
      <c r="D133">
        <f>_xlfn.LET(_xlpm.dir,Table1[[#This Row],[Direction]],
IF(_xlpm.dir="L",
    IF(F132-Table1[[#This Row],[Steps]]&lt;0,100+(F132-Table1[[#This Row],[Steps]]),F132-Table1[[#This Row],[Steps]]),
))</f>
        <v>0</v>
      </c>
      <c r="E133">
        <f>_xlfn.LET(_xlpm.dir,Table1[[#This Row],[Direction]],
IF(_xlpm.dir="R",
    IF(F132+Table1[[#This Row],[Steps]]&gt;99,(F132+Table1[[#This Row],[Steps]])-100,F132+Table1[[#This Row],[Steps]]),
))</f>
        <v>10</v>
      </c>
      <c r="F133">
        <f>IF(Table1[[#This Row],[New Pos L]]&lt;&gt;0,Table1[[#This Row],[New Pos L]],Table1[[#This Row],[New Pos R]])</f>
        <v>10</v>
      </c>
    </row>
    <row r="134" spans="1:6" ht="16" x14ac:dyDescent="0.2">
      <c r="A134" s="1" t="s">
        <v>93</v>
      </c>
      <c r="B134" t="str">
        <f>LEFT(Table1[[#This Row],[Input]],1)</f>
        <v>L</v>
      </c>
      <c r="C134">
        <f>_xlfn.LET(_xlpm.steps,SUBSTITUTE(Table1[[#This Row],[Input]],Table1[[#This Row],[Direction]],""),VALUE(IF(LEN(_xlpm.steps)&gt;2,RIGHT(_xlpm.steps,2),_xlpm.steps)))</f>
        <v>10</v>
      </c>
      <c r="D134">
        <f>_xlfn.LET(_xlpm.dir,Table1[[#This Row],[Direction]],
IF(_xlpm.dir="L",
    IF(F133-Table1[[#This Row],[Steps]]&lt;0,100+(F133-Table1[[#This Row],[Steps]]),F133-Table1[[#This Row],[Steps]]),
))</f>
        <v>0</v>
      </c>
      <c r="E134">
        <f>_xlfn.LET(_xlpm.dir,Table1[[#This Row],[Direction]],
IF(_xlpm.dir="R",
    IF(F133+Table1[[#This Row],[Steps]]&gt;99,(F133+Table1[[#This Row],[Steps]])-100,F133+Table1[[#This Row],[Steps]]),
))</f>
        <v>0</v>
      </c>
      <c r="F134">
        <f>IF(Table1[[#This Row],[New Pos L]]&lt;&gt;0,Table1[[#This Row],[New Pos L]],Table1[[#This Row],[New Pos R]])</f>
        <v>0</v>
      </c>
    </row>
    <row r="135" spans="1:6" ht="16" x14ac:dyDescent="0.2">
      <c r="A135" s="1" t="s">
        <v>94</v>
      </c>
      <c r="B135" t="str">
        <f>LEFT(Table1[[#This Row],[Input]],1)</f>
        <v>L</v>
      </c>
      <c r="C135">
        <f>_xlfn.LET(_xlpm.steps,SUBSTITUTE(Table1[[#This Row],[Input]],Table1[[#This Row],[Direction]],""),VALUE(IF(LEN(_xlpm.steps)&gt;2,RIGHT(_xlpm.steps,2),_xlpm.steps)))</f>
        <v>71</v>
      </c>
      <c r="D135">
        <f>_xlfn.LET(_xlpm.dir,Table1[[#This Row],[Direction]],
IF(_xlpm.dir="L",
    IF(F134-Table1[[#This Row],[Steps]]&lt;0,100+(F134-Table1[[#This Row],[Steps]]),F134-Table1[[#This Row],[Steps]]),
))</f>
        <v>29</v>
      </c>
      <c r="E135">
        <f>_xlfn.LET(_xlpm.dir,Table1[[#This Row],[Direction]],
IF(_xlpm.dir="R",
    IF(F134+Table1[[#This Row],[Steps]]&gt;99,(F134+Table1[[#This Row],[Steps]])-100,F134+Table1[[#This Row],[Steps]]),
))</f>
        <v>0</v>
      </c>
      <c r="F135">
        <f>IF(Table1[[#This Row],[New Pos L]]&lt;&gt;0,Table1[[#This Row],[New Pos L]],Table1[[#This Row],[New Pos R]])</f>
        <v>29</v>
      </c>
    </row>
    <row r="136" spans="1:6" ht="16" x14ac:dyDescent="0.2">
      <c r="A136" s="1" t="s">
        <v>95</v>
      </c>
      <c r="B136" t="str">
        <f>LEFT(Table1[[#This Row],[Input]],1)</f>
        <v>L</v>
      </c>
      <c r="C136">
        <f>_xlfn.LET(_xlpm.steps,SUBSTITUTE(Table1[[#This Row],[Input]],Table1[[#This Row],[Direction]],""),VALUE(IF(LEN(_xlpm.steps)&gt;2,RIGHT(_xlpm.steps,2),_xlpm.steps)))</f>
        <v>78</v>
      </c>
      <c r="D136">
        <f>_xlfn.LET(_xlpm.dir,Table1[[#This Row],[Direction]],
IF(_xlpm.dir="L",
    IF(F135-Table1[[#This Row],[Steps]]&lt;0,100+(F135-Table1[[#This Row],[Steps]]),F135-Table1[[#This Row],[Steps]]),
))</f>
        <v>51</v>
      </c>
      <c r="E136">
        <f>_xlfn.LET(_xlpm.dir,Table1[[#This Row],[Direction]],
IF(_xlpm.dir="R",
    IF(F135+Table1[[#This Row],[Steps]]&gt;99,(F135+Table1[[#This Row],[Steps]])-100,F135+Table1[[#This Row],[Steps]]),
))</f>
        <v>0</v>
      </c>
      <c r="F136">
        <f>IF(Table1[[#This Row],[New Pos L]]&lt;&gt;0,Table1[[#This Row],[New Pos L]],Table1[[#This Row],[New Pos R]])</f>
        <v>51</v>
      </c>
    </row>
    <row r="137" spans="1:6" ht="16" x14ac:dyDescent="0.2">
      <c r="A137" s="1" t="s">
        <v>48</v>
      </c>
      <c r="B137" t="str">
        <f>LEFT(Table1[[#This Row],[Input]],1)</f>
        <v>R</v>
      </c>
      <c r="C137">
        <f>_xlfn.LET(_xlpm.steps,SUBSTITUTE(Table1[[#This Row],[Input]],Table1[[#This Row],[Direction]],""),VALUE(IF(LEN(_xlpm.steps)&gt;2,RIGHT(_xlpm.steps,2),_xlpm.steps)))</f>
        <v>81</v>
      </c>
      <c r="D137">
        <f>_xlfn.LET(_xlpm.dir,Table1[[#This Row],[Direction]],
IF(_xlpm.dir="L",
    IF(F136-Table1[[#This Row],[Steps]]&lt;0,100+(F136-Table1[[#This Row],[Steps]]),F136-Table1[[#This Row],[Steps]]),
))</f>
        <v>0</v>
      </c>
      <c r="E137">
        <f>_xlfn.LET(_xlpm.dir,Table1[[#This Row],[Direction]],
IF(_xlpm.dir="R",
    IF(F136+Table1[[#This Row],[Steps]]&gt;99,(F136+Table1[[#This Row],[Steps]])-100,F136+Table1[[#This Row],[Steps]]),
))</f>
        <v>32</v>
      </c>
      <c r="F137">
        <f>IF(Table1[[#This Row],[New Pos L]]&lt;&gt;0,Table1[[#This Row],[New Pos L]],Table1[[#This Row],[New Pos R]])</f>
        <v>32</v>
      </c>
    </row>
    <row r="138" spans="1:6" ht="16" x14ac:dyDescent="0.2">
      <c r="A138" s="1" t="s">
        <v>96</v>
      </c>
      <c r="B138" t="str">
        <f>LEFT(Table1[[#This Row],[Input]],1)</f>
        <v>R</v>
      </c>
      <c r="C138">
        <f>_xlfn.LET(_xlpm.steps,SUBSTITUTE(Table1[[#This Row],[Input]],Table1[[#This Row],[Direction]],""),VALUE(IF(LEN(_xlpm.steps)&gt;2,RIGHT(_xlpm.steps,2),_xlpm.steps)))</f>
        <v>71</v>
      </c>
      <c r="D138">
        <f>_xlfn.LET(_xlpm.dir,Table1[[#This Row],[Direction]],
IF(_xlpm.dir="L",
    IF(F137-Table1[[#This Row],[Steps]]&lt;0,100+(F137-Table1[[#This Row],[Steps]]),F137-Table1[[#This Row],[Steps]]),
))</f>
        <v>0</v>
      </c>
      <c r="E138">
        <f>_xlfn.LET(_xlpm.dir,Table1[[#This Row],[Direction]],
IF(_xlpm.dir="R",
    IF(F137+Table1[[#This Row],[Steps]]&gt;99,(F137+Table1[[#This Row],[Steps]])-100,F137+Table1[[#This Row],[Steps]]),
))</f>
        <v>3</v>
      </c>
      <c r="F138">
        <f>IF(Table1[[#This Row],[New Pos L]]&lt;&gt;0,Table1[[#This Row],[New Pos L]],Table1[[#This Row],[New Pos R]])</f>
        <v>3</v>
      </c>
    </row>
    <row r="139" spans="1:6" ht="16" x14ac:dyDescent="0.2">
      <c r="A139" s="1" t="s">
        <v>47</v>
      </c>
      <c r="B139" t="str">
        <f>LEFT(Table1[[#This Row],[Input]],1)</f>
        <v>R</v>
      </c>
      <c r="C139">
        <f>_xlfn.LET(_xlpm.steps,SUBSTITUTE(Table1[[#This Row],[Input]],Table1[[#This Row],[Direction]],""),VALUE(IF(LEN(_xlpm.steps)&gt;2,RIGHT(_xlpm.steps,2),_xlpm.steps)))</f>
        <v>97</v>
      </c>
      <c r="D139">
        <f>_xlfn.LET(_xlpm.dir,Table1[[#This Row],[Direction]],
IF(_xlpm.dir="L",
    IF(F138-Table1[[#This Row],[Steps]]&lt;0,100+(F138-Table1[[#This Row],[Steps]]),F138-Table1[[#This Row],[Steps]]),
))</f>
        <v>0</v>
      </c>
      <c r="E139">
        <f>_xlfn.LET(_xlpm.dir,Table1[[#This Row],[Direction]],
IF(_xlpm.dir="R",
    IF(F138+Table1[[#This Row],[Steps]]&gt;99,(F138+Table1[[#This Row],[Steps]])-100,F138+Table1[[#This Row],[Steps]]),
))</f>
        <v>0</v>
      </c>
      <c r="F139">
        <f>IF(Table1[[#This Row],[New Pos L]]&lt;&gt;0,Table1[[#This Row],[New Pos L]],Table1[[#This Row],[New Pos R]])</f>
        <v>0</v>
      </c>
    </row>
    <row r="140" spans="1:6" ht="16" x14ac:dyDescent="0.2">
      <c r="A140" s="1" t="s">
        <v>23</v>
      </c>
      <c r="B140" t="str">
        <f>LEFT(Table1[[#This Row],[Input]],1)</f>
        <v>L</v>
      </c>
      <c r="C140">
        <f>_xlfn.LET(_xlpm.steps,SUBSTITUTE(Table1[[#This Row],[Input]],Table1[[#This Row],[Direction]],""),VALUE(IF(LEN(_xlpm.steps)&gt;2,RIGHT(_xlpm.steps,2),_xlpm.steps)))</f>
        <v>8</v>
      </c>
      <c r="D140">
        <f>_xlfn.LET(_xlpm.dir,Table1[[#This Row],[Direction]],
IF(_xlpm.dir="L",
    IF(F139-Table1[[#This Row],[Steps]]&lt;0,100+(F139-Table1[[#This Row],[Steps]]),F139-Table1[[#This Row],[Steps]]),
))</f>
        <v>92</v>
      </c>
      <c r="E140">
        <f>_xlfn.LET(_xlpm.dir,Table1[[#This Row],[Direction]],
IF(_xlpm.dir="R",
    IF(F139+Table1[[#This Row],[Steps]]&gt;99,(F139+Table1[[#This Row],[Steps]])-100,F139+Table1[[#This Row],[Steps]]),
))</f>
        <v>0</v>
      </c>
      <c r="F140">
        <f>IF(Table1[[#This Row],[New Pos L]]&lt;&gt;0,Table1[[#This Row],[New Pos L]],Table1[[#This Row],[New Pos R]])</f>
        <v>92</v>
      </c>
    </row>
    <row r="141" spans="1:6" ht="16" x14ac:dyDescent="0.2">
      <c r="A141" s="1" t="s">
        <v>97</v>
      </c>
      <c r="B141" t="str">
        <f>LEFT(Table1[[#This Row],[Input]],1)</f>
        <v>L</v>
      </c>
      <c r="C141">
        <f>_xlfn.LET(_xlpm.steps,SUBSTITUTE(Table1[[#This Row],[Input]],Table1[[#This Row],[Direction]],""),VALUE(IF(LEN(_xlpm.steps)&gt;2,RIGHT(_xlpm.steps,2),_xlpm.steps)))</f>
        <v>97</v>
      </c>
      <c r="D141">
        <f>_xlfn.LET(_xlpm.dir,Table1[[#This Row],[Direction]],
IF(_xlpm.dir="L",
    IF(F140-Table1[[#This Row],[Steps]]&lt;0,100+(F140-Table1[[#This Row],[Steps]]),F140-Table1[[#This Row],[Steps]]),
))</f>
        <v>95</v>
      </c>
      <c r="E141">
        <f>_xlfn.LET(_xlpm.dir,Table1[[#This Row],[Direction]],
IF(_xlpm.dir="R",
    IF(F140+Table1[[#This Row],[Steps]]&gt;99,(F140+Table1[[#This Row],[Steps]])-100,F140+Table1[[#This Row],[Steps]]),
))</f>
        <v>0</v>
      </c>
      <c r="F141">
        <f>IF(Table1[[#This Row],[New Pos L]]&lt;&gt;0,Table1[[#This Row],[New Pos L]],Table1[[#This Row],[New Pos R]])</f>
        <v>95</v>
      </c>
    </row>
    <row r="142" spans="1:6" ht="16" x14ac:dyDescent="0.2">
      <c r="A142" s="1" t="s">
        <v>84</v>
      </c>
      <c r="B142" t="str">
        <f>LEFT(Table1[[#This Row],[Input]],1)</f>
        <v>R</v>
      </c>
      <c r="C142">
        <f>_xlfn.LET(_xlpm.steps,SUBSTITUTE(Table1[[#This Row],[Input]],Table1[[#This Row],[Direction]],""),VALUE(IF(LEN(_xlpm.steps)&gt;2,RIGHT(_xlpm.steps,2),_xlpm.steps)))</f>
        <v>88</v>
      </c>
      <c r="D142">
        <f>_xlfn.LET(_xlpm.dir,Table1[[#This Row],[Direction]],
IF(_xlpm.dir="L",
    IF(F141-Table1[[#This Row],[Steps]]&lt;0,100+(F141-Table1[[#This Row],[Steps]]),F141-Table1[[#This Row],[Steps]]),
))</f>
        <v>0</v>
      </c>
      <c r="E142">
        <f>_xlfn.LET(_xlpm.dir,Table1[[#This Row],[Direction]],
IF(_xlpm.dir="R",
    IF(F141+Table1[[#This Row],[Steps]]&gt;99,(F141+Table1[[#This Row],[Steps]])-100,F141+Table1[[#This Row],[Steps]]),
))</f>
        <v>83</v>
      </c>
      <c r="F142">
        <f>IF(Table1[[#This Row],[New Pos L]]&lt;&gt;0,Table1[[#This Row],[New Pos L]],Table1[[#This Row],[New Pos R]])</f>
        <v>83</v>
      </c>
    </row>
    <row r="143" spans="1:6" ht="16" x14ac:dyDescent="0.2">
      <c r="A143" s="1" t="s">
        <v>81</v>
      </c>
      <c r="B143" t="str">
        <f>LEFT(Table1[[#This Row],[Input]],1)</f>
        <v>R</v>
      </c>
      <c r="C143">
        <f>_xlfn.LET(_xlpm.steps,SUBSTITUTE(Table1[[#This Row],[Input]],Table1[[#This Row],[Direction]],""),VALUE(IF(LEN(_xlpm.steps)&gt;2,RIGHT(_xlpm.steps,2),_xlpm.steps)))</f>
        <v>17</v>
      </c>
      <c r="D143">
        <f>_xlfn.LET(_xlpm.dir,Table1[[#This Row],[Direction]],
IF(_xlpm.dir="L",
    IF(F142-Table1[[#This Row],[Steps]]&lt;0,100+(F142-Table1[[#This Row],[Steps]]),F142-Table1[[#This Row],[Steps]]),
))</f>
        <v>0</v>
      </c>
      <c r="E143">
        <f>_xlfn.LET(_xlpm.dir,Table1[[#This Row],[Direction]],
IF(_xlpm.dir="R",
    IF(F142+Table1[[#This Row],[Steps]]&gt;99,(F142+Table1[[#This Row],[Steps]])-100,F142+Table1[[#This Row],[Steps]]),
))</f>
        <v>0</v>
      </c>
      <c r="F143">
        <f>IF(Table1[[#This Row],[New Pos L]]&lt;&gt;0,Table1[[#This Row],[New Pos L]],Table1[[#This Row],[New Pos R]])</f>
        <v>0</v>
      </c>
    </row>
    <row r="144" spans="1:6" ht="16" x14ac:dyDescent="0.2">
      <c r="A144" s="1" t="s">
        <v>98</v>
      </c>
      <c r="B144" t="str">
        <f>LEFT(Table1[[#This Row],[Input]],1)</f>
        <v>L</v>
      </c>
      <c r="C144">
        <f>_xlfn.LET(_xlpm.steps,SUBSTITUTE(Table1[[#This Row],[Input]],Table1[[#This Row],[Direction]],""),VALUE(IF(LEN(_xlpm.steps)&gt;2,RIGHT(_xlpm.steps,2),_xlpm.steps)))</f>
        <v>65</v>
      </c>
      <c r="D144">
        <f>_xlfn.LET(_xlpm.dir,Table1[[#This Row],[Direction]],
IF(_xlpm.dir="L",
    IF(F143-Table1[[#This Row],[Steps]]&lt;0,100+(F143-Table1[[#This Row],[Steps]]),F143-Table1[[#This Row],[Steps]]),
))</f>
        <v>35</v>
      </c>
      <c r="E144">
        <f>_xlfn.LET(_xlpm.dir,Table1[[#This Row],[Direction]],
IF(_xlpm.dir="R",
    IF(F143+Table1[[#This Row],[Steps]]&gt;99,(F143+Table1[[#This Row],[Steps]])-100,F143+Table1[[#This Row],[Steps]]),
))</f>
        <v>0</v>
      </c>
      <c r="F144">
        <f>IF(Table1[[#This Row],[New Pos L]]&lt;&gt;0,Table1[[#This Row],[New Pos L]],Table1[[#This Row],[New Pos R]])</f>
        <v>35</v>
      </c>
    </row>
    <row r="145" spans="1:6" ht="16" x14ac:dyDescent="0.2">
      <c r="A145" s="1" t="s">
        <v>99</v>
      </c>
      <c r="B145" t="str">
        <f>LEFT(Table1[[#This Row],[Input]],1)</f>
        <v>R</v>
      </c>
      <c r="C145">
        <f>_xlfn.LET(_xlpm.steps,SUBSTITUTE(Table1[[#This Row],[Input]],Table1[[#This Row],[Direction]],""),VALUE(IF(LEN(_xlpm.steps)&gt;2,RIGHT(_xlpm.steps,2),_xlpm.steps)))</f>
        <v>26</v>
      </c>
      <c r="D145">
        <f>_xlfn.LET(_xlpm.dir,Table1[[#This Row],[Direction]],
IF(_xlpm.dir="L",
    IF(F144-Table1[[#This Row],[Steps]]&lt;0,100+(F144-Table1[[#This Row],[Steps]]),F144-Table1[[#This Row],[Steps]]),
))</f>
        <v>0</v>
      </c>
      <c r="E145">
        <f>_xlfn.LET(_xlpm.dir,Table1[[#This Row],[Direction]],
IF(_xlpm.dir="R",
    IF(F144+Table1[[#This Row],[Steps]]&gt;99,(F144+Table1[[#This Row],[Steps]])-100,F144+Table1[[#This Row],[Steps]]),
))</f>
        <v>61</v>
      </c>
      <c r="F145">
        <f>IF(Table1[[#This Row],[New Pos L]]&lt;&gt;0,Table1[[#This Row],[New Pos L]],Table1[[#This Row],[New Pos R]])</f>
        <v>61</v>
      </c>
    </row>
    <row r="146" spans="1:6" ht="16" x14ac:dyDescent="0.2">
      <c r="A146" s="1" t="s">
        <v>67</v>
      </c>
      <c r="B146" t="str">
        <f>LEFT(Table1[[#This Row],[Input]],1)</f>
        <v>R</v>
      </c>
      <c r="C146">
        <f>_xlfn.LET(_xlpm.steps,SUBSTITUTE(Table1[[#This Row],[Input]],Table1[[#This Row],[Direction]],""),VALUE(IF(LEN(_xlpm.steps)&gt;2,RIGHT(_xlpm.steps,2),_xlpm.steps)))</f>
        <v>33</v>
      </c>
      <c r="D146">
        <f>_xlfn.LET(_xlpm.dir,Table1[[#This Row],[Direction]],
IF(_xlpm.dir="L",
    IF(F145-Table1[[#This Row],[Steps]]&lt;0,100+(F145-Table1[[#This Row],[Steps]]),F145-Table1[[#This Row],[Steps]]),
))</f>
        <v>0</v>
      </c>
      <c r="E146">
        <f>_xlfn.LET(_xlpm.dir,Table1[[#This Row],[Direction]],
IF(_xlpm.dir="R",
    IF(F145+Table1[[#This Row],[Steps]]&gt;99,(F145+Table1[[#This Row],[Steps]])-100,F145+Table1[[#This Row],[Steps]]),
))</f>
        <v>94</v>
      </c>
      <c r="F146">
        <f>IF(Table1[[#This Row],[New Pos L]]&lt;&gt;0,Table1[[#This Row],[New Pos L]],Table1[[#This Row],[New Pos R]])</f>
        <v>94</v>
      </c>
    </row>
    <row r="147" spans="1:6" ht="16" x14ac:dyDescent="0.2">
      <c r="A147" s="1" t="s">
        <v>100</v>
      </c>
      <c r="B147" t="str">
        <f>LEFT(Table1[[#This Row],[Input]],1)</f>
        <v>R</v>
      </c>
      <c r="C147">
        <f>_xlfn.LET(_xlpm.steps,SUBSTITUTE(Table1[[#This Row],[Input]],Table1[[#This Row],[Direction]],""),VALUE(IF(LEN(_xlpm.steps)&gt;2,RIGHT(_xlpm.steps,2),_xlpm.steps)))</f>
        <v>58</v>
      </c>
      <c r="D147">
        <f>_xlfn.LET(_xlpm.dir,Table1[[#This Row],[Direction]],
IF(_xlpm.dir="L",
    IF(F146-Table1[[#This Row],[Steps]]&lt;0,100+(F146-Table1[[#This Row],[Steps]]),F146-Table1[[#This Row],[Steps]]),
))</f>
        <v>0</v>
      </c>
      <c r="E147">
        <f>_xlfn.LET(_xlpm.dir,Table1[[#This Row],[Direction]],
IF(_xlpm.dir="R",
    IF(F146+Table1[[#This Row],[Steps]]&gt;99,(F146+Table1[[#This Row],[Steps]])-100,F146+Table1[[#This Row],[Steps]]),
))</f>
        <v>52</v>
      </c>
      <c r="F147">
        <f>IF(Table1[[#This Row],[New Pos L]]&lt;&gt;0,Table1[[#This Row],[New Pos L]],Table1[[#This Row],[New Pos R]])</f>
        <v>52</v>
      </c>
    </row>
    <row r="148" spans="1:6" ht="16" x14ac:dyDescent="0.2">
      <c r="A148" s="1" t="s">
        <v>101</v>
      </c>
      <c r="B148" t="str">
        <f>LEFT(Table1[[#This Row],[Input]],1)</f>
        <v>R</v>
      </c>
      <c r="C148">
        <f>_xlfn.LET(_xlpm.steps,SUBSTITUTE(Table1[[#This Row],[Input]],Table1[[#This Row],[Direction]],""),VALUE(IF(LEN(_xlpm.steps)&gt;2,RIGHT(_xlpm.steps,2),_xlpm.steps)))</f>
        <v>48</v>
      </c>
      <c r="D148">
        <f>_xlfn.LET(_xlpm.dir,Table1[[#This Row],[Direction]],
IF(_xlpm.dir="L",
    IF(F147-Table1[[#This Row],[Steps]]&lt;0,100+(F147-Table1[[#This Row],[Steps]]),F147-Table1[[#This Row],[Steps]]),
))</f>
        <v>0</v>
      </c>
      <c r="E148">
        <f>_xlfn.LET(_xlpm.dir,Table1[[#This Row],[Direction]],
IF(_xlpm.dir="R",
    IF(F147+Table1[[#This Row],[Steps]]&gt;99,(F147+Table1[[#This Row],[Steps]])-100,F147+Table1[[#This Row],[Steps]]),
))</f>
        <v>0</v>
      </c>
      <c r="F148">
        <f>IF(Table1[[#This Row],[New Pos L]]&lt;&gt;0,Table1[[#This Row],[New Pos L]],Table1[[#This Row],[New Pos R]])</f>
        <v>0</v>
      </c>
    </row>
    <row r="149" spans="1:6" ht="16" x14ac:dyDescent="0.2">
      <c r="A149" s="1" t="s">
        <v>102</v>
      </c>
      <c r="B149" t="str">
        <f>LEFT(Table1[[#This Row],[Input]],1)</f>
        <v>R</v>
      </c>
      <c r="C149">
        <f>_xlfn.LET(_xlpm.steps,SUBSTITUTE(Table1[[#This Row],[Input]],Table1[[#This Row],[Direction]],""),VALUE(IF(LEN(_xlpm.steps)&gt;2,RIGHT(_xlpm.steps,2),_xlpm.steps)))</f>
        <v>39</v>
      </c>
      <c r="D149">
        <f>_xlfn.LET(_xlpm.dir,Table1[[#This Row],[Direction]],
IF(_xlpm.dir="L",
    IF(F148-Table1[[#This Row],[Steps]]&lt;0,100+(F148-Table1[[#This Row],[Steps]]),F148-Table1[[#This Row],[Steps]]),
))</f>
        <v>0</v>
      </c>
      <c r="E149">
        <f>_xlfn.LET(_xlpm.dir,Table1[[#This Row],[Direction]],
IF(_xlpm.dir="R",
    IF(F148+Table1[[#This Row],[Steps]]&gt;99,(F148+Table1[[#This Row],[Steps]])-100,F148+Table1[[#This Row],[Steps]]),
))</f>
        <v>39</v>
      </c>
      <c r="F149">
        <f>IF(Table1[[#This Row],[New Pos L]]&lt;&gt;0,Table1[[#This Row],[New Pos L]],Table1[[#This Row],[New Pos R]])</f>
        <v>39</v>
      </c>
    </row>
    <row r="150" spans="1:6" ht="16" x14ac:dyDescent="0.2">
      <c r="A150" s="1" t="s">
        <v>103</v>
      </c>
      <c r="B150" t="str">
        <f>LEFT(Table1[[#This Row],[Input]],1)</f>
        <v>R</v>
      </c>
      <c r="C150">
        <f>_xlfn.LET(_xlpm.steps,SUBSTITUTE(Table1[[#This Row],[Input]],Table1[[#This Row],[Direction]],""),VALUE(IF(LEN(_xlpm.steps)&gt;2,RIGHT(_xlpm.steps,2),_xlpm.steps)))</f>
        <v>61</v>
      </c>
      <c r="D150">
        <f>_xlfn.LET(_xlpm.dir,Table1[[#This Row],[Direction]],
IF(_xlpm.dir="L",
    IF(F149-Table1[[#This Row],[Steps]]&lt;0,100+(F149-Table1[[#This Row],[Steps]]),F149-Table1[[#This Row],[Steps]]),
))</f>
        <v>0</v>
      </c>
      <c r="E150">
        <f>_xlfn.LET(_xlpm.dir,Table1[[#This Row],[Direction]],
IF(_xlpm.dir="R",
    IF(F149+Table1[[#This Row],[Steps]]&gt;99,(F149+Table1[[#This Row],[Steps]])-100,F149+Table1[[#This Row],[Steps]]),
))</f>
        <v>0</v>
      </c>
      <c r="F150">
        <f>IF(Table1[[#This Row],[New Pos L]]&lt;&gt;0,Table1[[#This Row],[New Pos L]],Table1[[#This Row],[New Pos R]])</f>
        <v>0</v>
      </c>
    </row>
    <row r="151" spans="1:6" ht="16" x14ac:dyDescent="0.2">
      <c r="A151" s="1" t="s">
        <v>104</v>
      </c>
      <c r="B151" t="str">
        <f>LEFT(Table1[[#This Row],[Input]],1)</f>
        <v>R</v>
      </c>
      <c r="C151">
        <f>_xlfn.LET(_xlpm.steps,SUBSTITUTE(Table1[[#This Row],[Input]],Table1[[#This Row],[Direction]],""),VALUE(IF(LEN(_xlpm.steps)&gt;2,RIGHT(_xlpm.steps,2),_xlpm.steps)))</f>
        <v>59</v>
      </c>
      <c r="D151">
        <f>_xlfn.LET(_xlpm.dir,Table1[[#This Row],[Direction]],
IF(_xlpm.dir="L",
    IF(F150-Table1[[#This Row],[Steps]]&lt;0,100+(F150-Table1[[#This Row],[Steps]]),F150-Table1[[#This Row],[Steps]]),
))</f>
        <v>0</v>
      </c>
      <c r="E151">
        <f>_xlfn.LET(_xlpm.dir,Table1[[#This Row],[Direction]],
IF(_xlpm.dir="R",
    IF(F150+Table1[[#This Row],[Steps]]&gt;99,(F150+Table1[[#This Row],[Steps]])-100,F150+Table1[[#This Row],[Steps]]),
))</f>
        <v>59</v>
      </c>
      <c r="F151">
        <f>IF(Table1[[#This Row],[New Pos L]]&lt;&gt;0,Table1[[#This Row],[New Pos L]],Table1[[#This Row],[New Pos R]])</f>
        <v>59</v>
      </c>
    </row>
    <row r="152" spans="1:6" ht="16" x14ac:dyDescent="0.2">
      <c r="A152" s="1" t="s">
        <v>79</v>
      </c>
      <c r="B152" t="str">
        <f>LEFT(Table1[[#This Row],[Input]],1)</f>
        <v>L</v>
      </c>
      <c r="C152">
        <f>_xlfn.LET(_xlpm.steps,SUBSTITUTE(Table1[[#This Row],[Input]],Table1[[#This Row],[Direction]],""),VALUE(IF(LEN(_xlpm.steps)&gt;2,RIGHT(_xlpm.steps,2),_xlpm.steps)))</f>
        <v>45</v>
      </c>
      <c r="D152">
        <f>_xlfn.LET(_xlpm.dir,Table1[[#This Row],[Direction]],
IF(_xlpm.dir="L",
    IF(F151-Table1[[#This Row],[Steps]]&lt;0,100+(F151-Table1[[#This Row],[Steps]]),F151-Table1[[#This Row],[Steps]]),
))</f>
        <v>14</v>
      </c>
      <c r="E152">
        <f>_xlfn.LET(_xlpm.dir,Table1[[#This Row],[Direction]],
IF(_xlpm.dir="R",
    IF(F151+Table1[[#This Row],[Steps]]&gt;99,(F151+Table1[[#This Row],[Steps]])-100,F151+Table1[[#This Row],[Steps]]),
))</f>
        <v>0</v>
      </c>
      <c r="F152">
        <f>IF(Table1[[#This Row],[New Pos L]]&lt;&gt;0,Table1[[#This Row],[New Pos L]],Table1[[#This Row],[New Pos R]])</f>
        <v>14</v>
      </c>
    </row>
    <row r="153" spans="1:6" ht="16" x14ac:dyDescent="0.2">
      <c r="A153" s="1" t="s">
        <v>60</v>
      </c>
      <c r="B153" t="str">
        <f>LEFT(Table1[[#This Row],[Input]],1)</f>
        <v>R</v>
      </c>
      <c r="C153">
        <f>_xlfn.LET(_xlpm.steps,SUBSTITUTE(Table1[[#This Row],[Input]],Table1[[#This Row],[Direction]],""),VALUE(IF(LEN(_xlpm.steps)&gt;2,RIGHT(_xlpm.steps,2),_xlpm.steps)))</f>
        <v>86</v>
      </c>
      <c r="D153">
        <f>_xlfn.LET(_xlpm.dir,Table1[[#This Row],[Direction]],
IF(_xlpm.dir="L",
    IF(F152-Table1[[#This Row],[Steps]]&lt;0,100+(F152-Table1[[#This Row],[Steps]]),F152-Table1[[#This Row],[Steps]]),
))</f>
        <v>0</v>
      </c>
      <c r="E153">
        <f>_xlfn.LET(_xlpm.dir,Table1[[#This Row],[Direction]],
IF(_xlpm.dir="R",
    IF(F152+Table1[[#This Row],[Steps]]&gt;99,(F152+Table1[[#This Row],[Steps]])-100,F152+Table1[[#This Row],[Steps]]),
))</f>
        <v>0</v>
      </c>
      <c r="F153">
        <f>IF(Table1[[#This Row],[New Pos L]]&lt;&gt;0,Table1[[#This Row],[New Pos L]],Table1[[#This Row],[New Pos R]])</f>
        <v>0</v>
      </c>
    </row>
    <row r="154" spans="1:6" ht="16" x14ac:dyDescent="0.2">
      <c r="A154" s="1" t="s">
        <v>19</v>
      </c>
      <c r="B154" t="str">
        <f>LEFT(Table1[[#This Row],[Input]],1)</f>
        <v>R</v>
      </c>
      <c r="C154">
        <f>_xlfn.LET(_xlpm.steps,SUBSTITUTE(Table1[[#This Row],[Input]],Table1[[#This Row],[Direction]],""),VALUE(IF(LEN(_xlpm.steps)&gt;2,RIGHT(_xlpm.steps,2),_xlpm.steps)))</f>
        <v>47</v>
      </c>
      <c r="D154">
        <f>_xlfn.LET(_xlpm.dir,Table1[[#This Row],[Direction]],
IF(_xlpm.dir="L",
    IF(F153-Table1[[#This Row],[Steps]]&lt;0,100+(F153-Table1[[#This Row],[Steps]]),F153-Table1[[#This Row],[Steps]]),
))</f>
        <v>0</v>
      </c>
      <c r="E154">
        <f>_xlfn.LET(_xlpm.dir,Table1[[#This Row],[Direction]],
IF(_xlpm.dir="R",
    IF(F153+Table1[[#This Row],[Steps]]&gt;99,(F153+Table1[[#This Row],[Steps]])-100,F153+Table1[[#This Row],[Steps]]),
))</f>
        <v>47</v>
      </c>
      <c r="F154">
        <f>IF(Table1[[#This Row],[New Pos L]]&lt;&gt;0,Table1[[#This Row],[New Pos L]],Table1[[#This Row],[New Pos R]])</f>
        <v>47</v>
      </c>
    </row>
    <row r="155" spans="1:6" ht="16" x14ac:dyDescent="0.2">
      <c r="A155" s="1" t="s">
        <v>105</v>
      </c>
      <c r="B155" t="str">
        <f>LEFT(Table1[[#This Row],[Input]],1)</f>
        <v>R</v>
      </c>
      <c r="C155">
        <f>_xlfn.LET(_xlpm.steps,SUBSTITUTE(Table1[[#This Row],[Input]],Table1[[#This Row],[Direction]],""),VALUE(IF(LEN(_xlpm.steps)&gt;2,RIGHT(_xlpm.steps,2),_xlpm.steps)))</f>
        <v>98</v>
      </c>
      <c r="D155">
        <f>_xlfn.LET(_xlpm.dir,Table1[[#This Row],[Direction]],
IF(_xlpm.dir="L",
    IF(F154-Table1[[#This Row],[Steps]]&lt;0,100+(F154-Table1[[#This Row],[Steps]]),F154-Table1[[#This Row],[Steps]]),
))</f>
        <v>0</v>
      </c>
      <c r="E155">
        <f>_xlfn.LET(_xlpm.dir,Table1[[#This Row],[Direction]],
IF(_xlpm.dir="R",
    IF(F154+Table1[[#This Row],[Steps]]&gt;99,(F154+Table1[[#This Row],[Steps]])-100,F154+Table1[[#This Row],[Steps]]),
))</f>
        <v>45</v>
      </c>
      <c r="F155">
        <f>IF(Table1[[#This Row],[New Pos L]]&lt;&gt;0,Table1[[#This Row],[New Pos L]],Table1[[#This Row],[New Pos R]])</f>
        <v>45</v>
      </c>
    </row>
    <row r="156" spans="1:6" ht="16" x14ac:dyDescent="0.2">
      <c r="A156" s="1" t="s">
        <v>106</v>
      </c>
      <c r="B156" t="str">
        <f>LEFT(Table1[[#This Row],[Input]],1)</f>
        <v>R</v>
      </c>
      <c r="C156">
        <f>_xlfn.LET(_xlpm.steps,SUBSTITUTE(Table1[[#This Row],[Input]],Table1[[#This Row],[Direction]],""),VALUE(IF(LEN(_xlpm.steps)&gt;2,RIGHT(_xlpm.steps,2),_xlpm.steps)))</f>
        <v>41</v>
      </c>
      <c r="D156">
        <f>_xlfn.LET(_xlpm.dir,Table1[[#This Row],[Direction]],
IF(_xlpm.dir="L",
    IF(F155-Table1[[#This Row],[Steps]]&lt;0,100+(F155-Table1[[#This Row],[Steps]]),F155-Table1[[#This Row],[Steps]]),
))</f>
        <v>0</v>
      </c>
      <c r="E156">
        <f>_xlfn.LET(_xlpm.dir,Table1[[#This Row],[Direction]],
IF(_xlpm.dir="R",
    IF(F155+Table1[[#This Row],[Steps]]&gt;99,(F155+Table1[[#This Row],[Steps]])-100,F155+Table1[[#This Row],[Steps]]),
))</f>
        <v>86</v>
      </c>
      <c r="F156">
        <f>IF(Table1[[#This Row],[New Pos L]]&lt;&gt;0,Table1[[#This Row],[New Pos L]],Table1[[#This Row],[New Pos R]])</f>
        <v>86</v>
      </c>
    </row>
    <row r="157" spans="1:6" ht="16" x14ac:dyDescent="0.2">
      <c r="A157" s="1" t="s">
        <v>60</v>
      </c>
      <c r="B157" t="str">
        <f>LEFT(Table1[[#This Row],[Input]],1)</f>
        <v>R</v>
      </c>
      <c r="C157">
        <f>_xlfn.LET(_xlpm.steps,SUBSTITUTE(Table1[[#This Row],[Input]],Table1[[#This Row],[Direction]],""),VALUE(IF(LEN(_xlpm.steps)&gt;2,RIGHT(_xlpm.steps,2),_xlpm.steps)))</f>
        <v>86</v>
      </c>
      <c r="D157">
        <f>_xlfn.LET(_xlpm.dir,Table1[[#This Row],[Direction]],
IF(_xlpm.dir="L",
    IF(F156-Table1[[#This Row],[Steps]]&lt;0,100+(F156-Table1[[#This Row],[Steps]]),F156-Table1[[#This Row],[Steps]]),
))</f>
        <v>0</v>
      </c>
      <c r="E157">
        <f>_xlfn.LET(_xlpm.dir,Table1[[#This Row],[Direction]],
IF(_xlpm.dir="R",
    IF(F156+Table1[[#This Row],[Steps]]&gt;99,(F156+Table1[[#This Row],[Steps]])-100,F156+Table1[[#This Row],[Steps]]),
))</f>
        <v>72</v>
      </c>
      <c r="F157">
        <f>IF(Table1[[#This Row],[New Pos L]]&lt;&gt;0,Table1[[#This Row],[New Pos L]],Table1[[#This Row],[New Pos R]])</f>
        <v>72</v>
      </c>
    </row>
    <row r="158" spans="1:6" ht="16" x14ac:dyDescent="0.2">
      <c r="A158" s="1" t="s">
        <v>107</v>
      </c>
      <c r="B158" t="str">
        <f>LEFT(Table1[[#This Row],[Input]],1)</f>
        <v>R</v>
      </c>
      <c r="C158">
        <f>_xlfn.LET(_xlpm.steps,SUBSTITUTE(Table1[[#This Row],[Input]],Table1[[#This Row],[Direction]],""),VALUE(IF(LEN(_xlpm.steps)&gt;2,RIGHT(_xlpm.steps,2),_xlpm.steps)))</f>
        <v>28</v>
      </c>
      <c r="D158">
        <f>_xlfn.LET(_xlpm.dir,Table1[[#This Row],[Direction]],
IF(_xlpm.dir="L",
    IF(F157-Table1[[#This Row],[Steps]]&lt;0,100+(F157-Table1[[#This Row],[Steps]]),F157-Table1[[#This Row],[Steps]]),
))</f>
        <v>0</v>
      </c>
      <c r="E158">
        <f>_xlfn.LET(_xlpm.dir,Table1[[#This Row],[Direction]],
IF(_xlpm.dir="R",
    IF(F157+Table1[[#This Row],[Steps]]&gt;99,(F157+Table1[[#This Row],[Steps]])-100,F157+Table1[[#This Row],[Steps]]),
))</f>
        <v>0</v>
      </c>
      <c r="F158">
        <f>IF(Table1[[#This Row],[New Pos L]]&lt;&gt;0,Table1[[#This Row],[New Pos L]],Table1[[#This Row],[New Pos R]])</f>
        <v>0</v>
      </c>
    </row>
    <row r="159" spans="1:6" ht="16" x14ac:dyDescent="0.2">
      <c r="A159" s="1" t="s">
        <v>108</v>
      </c>
      <c r="B159" t="str">
        <f>LEFT(Table1[[#This Row],[Input]],1)</f>
        <v>R</v>
      </c>
      <c r="C159">
        <f>_xlfn.LET(_xlpm.steps,SUBSTITUTE(Table1[[#This Row],[Input]],Table1[[#This Row],[Direction]],""),VALUE(IF(LEN(_xlpm.steps)&gt;2,RIGHT(_xlpm.steps,2),_xlpm.steps)))</f>
        <v>66</v>
      </c>
      <c r="D159">
        <f>_xlfn.LET(_xlpm.dir,Table1[[#This Row],[Direction]],
IF(_xlpm.dir="L",
    IF(F158-Table1[[#This Row],[Steps]]&lt;0,100+(F158-Table1[[#This Row],[Steps]]),F158-Table1[[#This Row],[Steps]]),
))</f>
        <v>0</v>
      </c>
      <c r="E159">
        <f>_xlfn.LET(_xlpm.dir,Table1[[#This Row],[Direction]],
IF(_xlpm.dir="R",
    IF(F158+Table1[[#This Row],[Steps]]&gt;99,(F158+Table1[[#This Row],[Steps]])-100,F158+Table1[[#This Row],[Steps]]),
))</f>
        <v>66</v>
      </c>
      <c r="F159">
        <f>IF(Table1[[#This Row],[New Pos L]]&lt;&gt;0,Table1[[#This Row],[New Pos L]],Table1[[#This Row],[New Pos R]])</f>
        <v>66</v>
      </c>
    </row>
    <row r="160" spans="1:6" ht="16" x14ac:dyDescent="0.2">
      <c r="A160" s="1" t="s">
        <v>109</v>
      </c>
      <c r="B160" t="str">
        <f>LEFT(Table1[[#This Row],[Input]],1)</f>
        <v>L</v>
      </c>
      <c r="C160">
        <f>_xlfn.LET(_xlpm.steps,SUBSTITUTE(Table1[[#This Row],[Input]],Table1[[#This Row],[Direction]],""),VALUE(IF(LEN(_xlpm.steps)&gt;2,RIGHT(_xlpm.steps,2),_xlpm.steps)))</f>
        <v>66</v>
      </c>
      <c r="D160">
        <f>_xlfn.LET(_xlpm.dir,Table1[[#This Row],[Direction]],
IF(_xlpm.dir="L",
    IF(F159-Table1[[#This Row],[Steps]]&lt;0,100+(F159-Table1[[#This Row],[Steps]]),F159-Table1[[#This Row],[Steps]]),
))</f>
        <v>0</v>
      </c>
      <c r="E160">
        <f>_xlfn.LET(_xlpm.dir,Table1[[#This Row],[Direction]],
IF(_xlpm.dir="R",
    IF(F159+Table1[[#This Row],[Steps]]&gt;99,(F159+Table1[[#This Row],[Steps]])-100,F159+Table1[[#This Row],[Steps]]),
))</f>
        <v>0</v>
      </c>
      <c r="F160">
        <f>IF(Table1[[#This Row],[New Pos L]]&lt;&gt;0,Table1[[#This Row],[New Pos L]],Table1[[#This Row],[New Pos R]])</f>
        <v>0</v>
      </c>
    </row>
    <row r="161" spans="1:6" ht="16" x14ac:dyDescent="0.2">
      <c r="A161" s="1" t="s">
        <v>110</v>
      </c>
      <c r="B161" t="str">
        <f>LEFT(Table1[[#This Row],[Input]],1)</f>
        <v>L</v>
      </c>
      <c r="C161">
        <f>_xlfn.LET(_xlpm.steps,SUBSTITUTE(Table1[[#This Row],[Input]],Table1[[#This Row],[Direction]],""),VALUE(IF(LEN(_xlpm.steps)&gt;2,RIGHT(_xlpm.steps,2),_xlpm.steps)))</f>
        <v>81</v>
      </c>
      <c r="D161">
        <f>_xlfn.LET(_xlpm.dir,Table1[[#This Row],[Direction]],
IF(_xlpm.dir="L",
    IF(F160-Table1[[#This Row],[Steps]]&lt;0,100+(F160-Table1[[#This Row],[Steps]]),F160-Table1[[#This Row],[Steps]]),
))</f>
        <v>19</v>
      </c>
      <c r="E161">
        <f>_xlfn.LET(_xlpm.dir,Table1[[#This Row],[Direction]],
IF(_xlpm.dir="R",
    IF(F160+Table1[[#This Row],[Steps]]&gt;99,(F160+Table1[[#This Row],[Steps]])-100,F160+Table1[[#This Row],[Steps]]),
))</f>
        <v>0</v>
      </c>
      <c r="F161">
        <f>IF(Table1[[#This Row],[New Pos L]]&lt;&gt;0,Table1[[#This Row],[New Pos L]],Table1[[#This Row],[New Pos R]])</f>
        <v>19</v>
      </c>
    </row>
    <row r="162" spans="1:6" ht="16" x14ac:dyDescent="0.2">
      <c r="A162" s="1" t="s">
        <v>65</v>
      </c>
      <c r="B162" t="str">
        <f>LEFT(Table1[[#This Row],[Input]],1)</f>
        <v>L</v>
      </c>
      <c r="C162">
        <f>_xlfn.LET(_xlpm.steps,SUBSTITUTE(Table1[[#This Row],[Input]],Table1[[#This Row],[Direction]],""),VALUE(IF(LEN(_xlpm.steps)&gt;2,RIGHT(_xlpm.steps,2),_xlpm.steps)))</f>
        <v>19</v>
      </c>
      <c r="D162">
        <f>_xlfn.LET(_xlpm.dir,Table1[[#This Row],[Direction]],
IF(_xlpm.dir="L",
    IF(F161-Table1[[#This Row],[Steps]]&lt;0,100+(F161-Table1[[#This Row],[Steps]]),F161-Table1[[#This Row],[Steps]]),
))</f>
        <v>0</v>
      </c>
      <c r="E162">
        <f>_xlfn.LET(_xlpm.dir,Table1[[#This Row],[Direction]],
IF(_xlpm.dir="R",
    IF(F161+Table1[[#This Row],[Steps]]&gt;99,(F161+Table1[[#This Row],[Steps]])-100,F161+Table1[[#This Row],[Steps]]),
))</f>
        <v>0</v>
      </c>
      <c r="F162">
        <f>IF(Table1[[#This Row],[New Pos L]]&lt;&gt;0,Table1[[#This Row],[New Pos L]],Table1[[#This Row],[New Pos R]])</f>
        <v>0</v>
      </c>
    </row>
    <row r="163" spans="1:6" ht="16" x14ac:dyDescent="0.2">
      <c r="A163" s="1" t="s">
        <v>58</v>
      </c>
      <c r="B163" t="str">
        <f>LEFT(Table1[[#This Row],[Input]],1)</f>
        <v>L</v>
      </c>
      <c r="C163">
        <f>_xlfn.LET(_xlpm.steps,SUBSTITUTE(Table1[[#This Row],[Input]],Table1[[#This Row],[Direction]],""),VALUE(IF(LEN(_xlpm.steps)&gt;2,RIGHT(_xlpm.steps,2),_xlpm.steps)))</f>
        <v>30</v>
      </c>
      <c r="D163">
        <f>_xlfn.LET(_xlpm.dir,Table1[[#This Row],[Direction]],
IF(_xlpm.dir="L",
    IF(F162-Table1[[#This Row],[Steps]]&lt;0,100+(F162-Table1[[#This Row],[Steps]]),F162-Table1[[#This Row],[Steps]]),
))</f>
        <v>70</v>
      </c>
      <c r="E163">
        <f>_xlfn.LET(_xlpm.dir,Table1[[#This Row],[Direction]],
IF(_xlpm.dir="R",
    IF(F162+Table1[[#This Row],[Steps]]&gt;99,(F162+Table1[[#This Row],[Steps]])-100,F162+Table1[[#This Row],[Steps]]),
))</f>
        <v>0</v>
      </c>
      <c r="F163">
        <f>IF(Table1[[#This Row],[New Pos L]]&lt;&gt;0,Table1[[#This Row],[New Pos L]],Table1[[#This Row],[New Pos R]])</f>
        <v>70</v>
      </c>
    </row>
    <row r="164" spans="1:6" ht="16" x14ac:dyDescent="0.2">
      <c r="A164" s="1" t="s">
        <v>111</v>
      </c>
      <c r="B164" t="str">
        <f>LEFT(Table1[[#This Row],[Input]],1)</f>
        <v>R</v>
      </c>
      <c r="C164">
        <f>_xlfn.LET(_xlpm.steps,SUBSTITUTE(Table1[[#This Row],[Input]],Table1[[#This Row],[Direction]],""),VALUE(IF(LEN(_xlpm.steps)&gt;2,RIGHT(_xlpm.steps,2),_xlpm.steps)))</f>
        <v>64</v>
      </c>
      <c r="D164">
        <f>_xlfn.LET(_xlpm.dir,Table1[[#This Row],[Direction]],
IF(_xlpm.dir="L",
    IF(F163-Table1[[#This Row],[Steps]]&lt;0,100+(F163-Table1[[#This Row],[Steps]]),F163-Table1[[#This Row],[Steps]]),
))</f>
        <v>0</v>
      </c>
      <c r="E164">
        <f>_xlfn.LET(_xlpm.dir,Table1[[#This Row],[Direction]],
IF(_xlpm.dir="R",
    IF(F163+Table1[[#This Row],[Steps]]&gt;99,(F163+Table1[[#This Row],[Steps]])-100,F163+Table1[[#This Row],[Steps]]),
))</f>
        <v>34</v>
      </c>
      <c r="F164">
        <f>IF(Table1[[#This Row],[New Pos L]]&lt;&gt;0,Table1[[#This Row],[New Pos L]],Table1[[#This Row],[New Pos R]])</f>
        <v>34</v>
      </c>
    </row>
    <row r="165" spans="1:6" ht="16" x14ac:dyDescent="0.2">
      <c r="A165" s="1" t="s">
        <v>112</v>
      </c>
      <c r="B165" t="str">
        <f>LEFT(Table1[[#This Row],[Input]],1)</f>
        <v>R</v>
      </c>
      <c r="C165">
        <f>_xlfn.LET(_xlpm.steps,SUBSTITUTE(Table1[[#This Row],[Input]],Table1[[#This Row],[Direction]],""),VALUE(IF(LEN(_xlpm.steps)&gt;2,RIGHT(_xlpm.steps,2),_xlpm.steps)))</f>
        <v>33</v>
      </c>
      <c r="D165">
        <f>_xlfn.LET(_xlpm.dir,Table1[[#This Row],[Direction]],
IF(_xlpm.dir="L",
    IF(F164-Table1[[#This Row],[Steps]]&lt;0,100+(F164-Table1[[#This Row],[Steps]]),F164-Table1[[#This Row],[Steps]]),
))</f>
        <v>0</v>
      </c>
      <c r="E165">
        <f>_xlfn.LET(_xlpm.dir,Table1[[#This Row],[Direction]],
IF(_xlpm.dir="R",
    IF(F164+Table1[[#This Row],[Steps]]&gt;99,(F164+Table1[[#This Row],[Steps]])-100,F164+Table1[[#This Row],[Steps]]),
))</f>
        <v>67</v>
      </c>
      <c r="F165">
        <f>IF(Table1[[#This Row],[New Pos L]]&lt;&gt;0,Table1[[#This Row],[New Pos L]],Table1[[#This Row],[New Pos R]])</f>
        <v>67</v>
      </c>
    </row>
    <row r="166" spans="1:6" ht="16" x14ac:dyDescent="0.2">
      <c r="A166" s="1" t="s">
        <v>113</v>
      </c>
      <c r="B166" t="str">
        <f>LEFT(Table1[[#This Row],[Input]],1)</f>
        <v>L</v>
      </c>
      <c r="C166">
        <f>_xlfn.LET(_xlpm.steps,SUBSTITUTE(Table1[[#This Row],[Input]],Table1[[#This Row],[Direction]],""),VALUE(IF(LEN(_xlpm.steps)&gt;2,RIGHT(_xlpm.steps,2),_xlpm.steps)))</f>
        <v>30</v>
      </c>
      <c r="D166">
        <f>_xlfn.LET(_xlpm.dir,Table1[[#This Row],[Direction]],
IF(_xlpm.dir="L",
    IF(F165-Table1[[#This Row],[Steps]]&lt;0,100+(F165-Table1[[#This Row],[Steps]]),F165-Table1[[#This Row],[Steps]]),
))</f>
        <v>37</v>
      </c>
      <c r="E166">
        <f>_xlfn.LET(_xlpm.dir,Table1[[#This Row],[Direction]],
IF(_xlpm.dir="R",
    IF(F165+Table1[[#This Row],[Steps]]&gt;99,(F165+Table1[[#This Row],[Steps]])-100,F165+Table1[[#This Row],[Steps]]),
))</f>
        <v>0</v>
      </c>
      <c r="F166">
        <f>IF(Table1[[#This Row],[New Pos L]]&lt;&gt;0,Table1[[#This Row],[New Pos L]],Table1[[#This Row],[New Pos R]])</f>
        <v>37</v>
      </c>
    </row>
    <row r="167" spans="1:6" ht="16" x14ac:dyDescent="0.2">
      <c r="A167" s="1" t="s">
        <v>16</v>
      </c>
      <c r="B167" t="str">
        <f>LEFT(Table1[[#This Row],[Input]],1)</f>
        <v>L</v>
      </c>
      <c r="C167">
        <f>_xlfn.LET(_xlpm.steps,SUBSTITUTE(Table1[[#This Row],[Input]],Table1[[#This Row],[Direction]],""),VALUE(IF(LEN(_xlpm.steps)&gt;2,RIGHT(_xlpm.steps,2),_xlpm.steps)))</f>
        <v>10</v>
      </c>
      <c r="D167">
        <f>_xlfn.LET(_xlpm.dir,Table1[[#This Row],[Direction]],
IF(_xlpm.dir="L",
    IF(F166-Table1[[#This Row],[Steps]]&lt;0,100+(F166-Table1[[#This Row],[Steps]]),F166-Table1[[#This Row],[Steps]]),
))</f>
        <v>27</v>
      </c>
      <c r="E167">
        <f>_xlfn.LET(_xlpm.dir,Table1[[#This Row],[Direction]],
IF(_xlpm.dir="R",
    IF(F166+Table1[[#This Row],[Steps]]&gt;99,(F166+Table1[[#This Row],[Steps]])-100,F166+Table1[[#This Row],[Steps]]),
))</f>
        <v>0</v>
      </c>
      <c r="F167">
        <f>IF(Table1[[#This Row],[New Pos L]]&lt;&gt;0,Table1[[#This Row],[New Pos L]],Table1[[#This Row],[New Pos R]])</f>
        <v>27</v>
      </c>
    </row>
    <row r="168" spans="1:6" ht="16" x14ac:dyDescent="0.2">
      <c r="A168" s="1" t="s">
        <v>42</v>
      </c>
      <c r="B168" t="str">
        <f>LEFT(Table1[[#This Row],[Input]],1)</f>
        <v>L</v>
      </c>
      <c r="C168">
        <f>_xlfn.LET(_xlpm.steps,SUBSTITUTE(Table1[[#This Row],[Input]],Table1[[#This Row],[Direction]],""),VALUE(IF(LEN(_xlpm.steps)&gt;2,RIGHT(_xlpm.steps,2),_xlpm.steps)))</f>
        <v>27</v>
      </c>
      <c r="D168">
        <f>_xlfn.LET(_xlpm.dir,Table1[[#This Row],[Direction]],
IF(_xlpm.dir="L",
    IF(F167-Table1[[#This Row],[Steps]]&lt;0,100+(F167-Table1[[#This Row],[Steps]]),F167-Table1[[#This Row],[Steps]]),
))</f>
        <v>0</v>
      </c>
      <c r="E168">
        <f>_xlfn.LET(_xlpm.dir,Table1[[#This Row],[Direction]],
IF(_xlpm.dir="R",
    IF(F167+Table1[[#This Row],[Steps]]&gt;99,(F167+Table1[[#This Row],[Steps]])-100,F167+Table1[[#This Row],[Steps]]),
))</f>
        <v>0</v>
      </c>
      <c r="F168">
        <f>IF(Table1[[#This Row],[New Pos L]]&lt;&gt;0,Table1[[#This Row],[New Pos L]],Table1[[#This Row],[New Pos R]])</f>
        <v>0</v>
      </c>
    </row>
    <row r="169" spans="1:6" ht="16" x14ac:dyDescent="0.2">
      <c r="A169" s="1" t="s">
        <v>63</v>
      </c>
      <c r="B169" t="str">
        <f>LEFT(Table1[[#This Row],[Input]],1)</f>
        <v>R</v>
      </c>
      <c r="C169">
        <f>_xlfn.LET(_xlpm.steps,SUBSTITUTE(Table1[[#This Row],[Input]],Table1[[#This Row],[Direction]],""),VALUE(IF(LEN(_xlpm.steps)&gt;2,RIGHT(_xlpm.steps,2),_xlpm.steps)))</f>
        <v>57</v>
      </c>
      <c r="D169">
        <f>_xlfn.LET(_xlpm.dir,Table1[[#This Row],[Direction]],
IF(_xlpm.dir="L",
    IF(F168-Table1[[#This Row],[Steps]]&lt;0,100+(F168-Table1[[#This Row],[Steps]]),F168-Table1[[#This Row],[Steps]]),
))</f>
        <v>0</v>
      </c>
      <c r="E169">
        <f>_xlfn.LET(_xlpm.dir,Table1[[#This Row],[Direction]],
IF(_xlpm.dir="R",
    IF(F168+Table1[[#This Row],[Steps]]&gt;99,(F168+Table1[[#This Row],[Steps]])-100,F168+Table1[[#This Row],[Steps]]),
))</f>
        <v>57</v>
      </c>
      <c r="F169">
        <f>IF(Table1[[#This Row],[New Pos L]]&lt;&gt;0,Table1[[#This Row],[New Pos L]],Table1[[#This Row],[New Pos R]])</f>
        <v>57</v>
      </c>
    </row>
    <row r="170" spans="1:6" ht="16" x14ac:dyDescent="0.2">
      <c r="A170" s="1" t="s">
        <v>54</v>
      </c>
      <c r="B170" t="str">
        <f>LEFT(Table1[[#This Row],[Input]],1)</f>
        <v>L</v>
      </c>
      <c r="C170">
        <f>_xlfn.LET(_xlpm.steps,SUBSTITUTE(Table1[[#This Row],[Input]],Table1[[#This Row],[Direction]],""),VALUE(IF(LEN(_xlpm.steps)&gt;2,RIGHT(_xlpm.steps,2),_xlpm.steps)))</f>
        <v>75</v>
      </c>
      <c r="D170">
        <f>_xlfn.LET(_xlpm.dir,Table1[[#This Row],[Direction]],
IF(_xlpm.dir="L",
    IF(F169-Table1[[#This Row],[Steps]]&lt;0,100+(F169-Table1[[#This Row],[Steps]]),F169-Table1[[#This Row],[Steps]]),
))</f>
        <v>82</v>
      </c>
      <c r="E170">
        <f>_xlfn.LET(_xlpm.dir,Table1[[#This Row],[Direction]],
IF(_xlpm.dir="R",
    IF(F169+Table1[[#This Row],[Steps]]&gt;99,(F169+Table1[[#This Row],[Steps]])-100,F169+Table1[[#This Row],[Steps]]),
))</f>
        <v>0</v>
      </c>
      <c r="F170">
        <f>IF(Table1[[#This Row],[New Pos L]]&lt;&gt;0,Table1[[#This Row],[New Pos L]],Table1[[#This Row],[New Pos R]])</f>
        <v>82</v>
      </c>
    </row>
    <row r="171" spans="1:6" ht="16" x14ac:dyDescent="0.2">
      <c r="A171" s="1" t="s">
        <v>8</v>
      </c>
      <c r="B171" t="str">
        <f>LEFT(Table1[[#This Row],[Input]],1)</f>
        <v>R</v>
      </c>
      <c r="C171">
        <f>_xlfn.LET(_xlpm.steps,SUBSTITUTE(Table1[[#This Row],[Input]],Table1[[#This Row],[Direction]],""),VALUE(IF(LEN(_xlpm.steps)&gt;2,RIGHT(_xlpm.steps,2),_xlpm.steps)))</f>
        <v>18</v>
      </c>
      <c r="D171">
        <f>_xlfn.LET(_xlpm.dir,Table1[[#This Row],[Direction]],
IF(_xlpm.dir="L",
    IF(F170-Table1[[#This Row],[Steps]]&lt;0,100+(F170-Table1[[#This Row],[Steps]]),F170-Table1[[#This Row],[Steps]]),
))</f>
        <v>0</v>
      </c>
      <c r="E171">
        <f>_xlfn.LET(_xlpm.dir,Table1[[#This Row],[Direction]],
IF(_xlpm.dir="R",
    IF(F170+Table1[[#This Row],[Steps]]&gt;99,(F170+Table1[[#This Row],[Steps]])-100,F170+Table1[[#This Row],[Steps]]),
))</f>
        <v>0</v>
      </c>
      <c r="F171">
        <f>IF(Table1[[#This Row],[New Pos L]]&lt;&gt;0,Table1[[#This Row],[New Pos L]],Table1[[#This Row],[New Pos R]])</f>
        <v>0</v>
      </c>
    </row>
    <row r="172" spans="1:6" ht="16" x14ac:dyDescent="0.2">
      <c r="A172" s="1" t="s">
        <v>28</v>
      </c>
      <c r="B172" t="str">
        <f>LEFT(Table1[[#This Row],[Input]],1)</f>
        <v>R</v>
      </c>
      <c r="C172">
        <f>_xlfn.LET(_xlpm.steps,SUBSTITUTE(Table1[[#This Row],[Input]],Table1[[#This Row],[Direction]],""),VALUE(IF(LEN(_xlpm.steps)&gt;2,RIGHT(_xlpm.steps,2),_xlpm.steps)))</f>
        <v>30</v>
      </c>
      <c r="D172">
        <f>_xlfn.LET(_xlpm.dir,Table1[[#This Row],[Direction]],
IF(_xlpm.dir="L",
    IF(F171-Table1[[#This Row],[Steps]]&lt;0,100+(F171-Table1[[#This Row],[Steps]]),F171-Table1[[#This Row],[Steps]]),
))</f>
        <v>0</v>
      </c>
      <c r="E172">
        <f>_xlfn.LET(_xlpm.dir,Table1[[#This Row],[Direction]],
IF(_xlpm.dir="R",
    IF(F171+Table1[[#This Row],[Steps]]&gt;99,(F171+Table1[[#This Row],[Steps]])-100,F171+Table1[[#This Row],[Steps]]),
))</f>
        <v>30</v>
      </c>
      <c r="F172">
        <f>IF(Table1[[#This Row],[New Pos L]]&lt;&gt;0,Table1[[#This Row],[New Pos L]],Table1[[#This Row],[New Pos R]])</f>
        <v>30</v>
      </c>
    </row>
    <row r="173" spans="1:6" ht="16" x14ac:dyDescent="0.2">
      <c r="A173" s="1" t="s">
        <v>114</v>
      </c>
      <c r="B173" t="str">
        <f>LEFT(Table1[[#This Row],[Input]],1)</f>
        <v>R</v>
      </c>
      <c r="C173">
        <f>_xlfn.LET(_xlpm.steps,SUBSTITUTE(Table1[[#This Row],[Input]],Table1[[#This Row],[Direction]],""),VALUE(IF(LEN(_xlpm.steps)&gt;2,RIGHT(_xlpm.steps,2),_xlpm.steps)))</f>
        <v>70</v>
      </c>
      <c r="D173">
        <f>_xlfn.LET(_xlpm.dir,Table1[[#This Row],[Direction]],
IF(_xlpm.dir="L",
    IF(F172-Table1[[#This Row],[Steps]]&lt;0,100+(F172-Table1[[#This Row],[Steps]]),F172-Table1[[#This Row],[Steps]]),
))</f>
        <v>0</v>
      </c>
      <c r="E173">
        <f>_xlfn.LET(_xlpm.dir,Table1[[#This Row],[Direction]],
IF(_xlpm.dir="R",
    IF(F172+Table1[[#This Row],[Steps]]&gt;99,(F172+Table1[[#This Row],[Steps]])-100,F172+Table1[[#This Row],[Steps]]),
))</f>
        <v>0</v>
      </c>
      <c r="F173">
        <f>IF(Table1[[#This Row],[New Pos L]]&lt;&gt;0,Table1[[#This Row],[New Pos L]],Table1[[#This Row],[New Pos R]])</f>
        <v>0</v>
      </c>
    </row>
    <row r="174" spans="1:6" ht="16" x14ac:dyDescent="0.2">
      <c r="A174" s="1" t="s">
        <v>115</v>
      </c>
      <c r="B174" t="str">
        <f>LEFT(Table1[[#This Row],[Input]],1)</f>
        <v>L</v>
      </c>
      <c r="C174">
        <f>_xlfn.LET(_xlpm.steps,SUBSTITUTE(Table1[[#This Row],[Input]],Table1[[#This Row],[Direction]],""),VALUE(IF(LEN(_xlpm.steps)&gt;2,RIGHT(_xlpm.steps,2),_xlpm.steps)))</f>
        <v>29</v>
      </c>
      <c r="D174">
        <f>_xlfn.LET(_xlpm.dir,Table1[[#This Row],[Direction]],
IF(_xlpm.dir="L",
    IF(F173-Table1[[#This Row],[Steps]]&lt;0,100+(F173-Table1[[#This Row],[Steps]]),F173-Table1[[#This Row],[Steps]]),
))</f>
        <v>71</v>
      </c>
      <c r="E174">
        <f>_xlfn.LET(_xlpm.dir,Table1[[#This Row],[Direction]],
IF(_xlpm.dir="R",
    IF(F173+Table1[[#This Row],[Steps]]&gt;99,(F173+Table1[[#This Row],[Steps]])-100,F173+Table1[[#This Row],[Steps]]),
))</f>
        <v>0</v>
      </c>
      <c r="F174">
        <f>IF(Table1[[#This Row],[New Pos L]]&lt;&gt;0,Table1[[#This Row],[New Pos L]],Table1[[#This Row],[New Pos R]])</f>
        <v>71</v>
      </c>
    </row>
    <row r="175" spans="1:6" ht="16" x14ac:dyDescent="0.2">
      <c r="A175" s="1" t="s">
        <v>116</v>
      </c>
      <c r="B175" t="str">
        <f>LEFT(Table1[[#This Row],[Input]],1)</f>
        <v>L</v>
      </c>
      <c r="C175">
        <f>_xlfn.LET(_xlpm.steps,SUBSTITUTE(Table1[[#This Row],[Input]],Table1[[#This Row],[Direction]],""),VALUE(IF(LEN(_xlpm.steps)&gt;2,RIGHT(_xlpm.steps,2),_xlpm.steps)))</f>
        <v>58</v>
      </c>
      <c r="D175">
        <f>_xlfn.LET(_xlpm.dir,Table1[[#This Row],[Direction]],
IF(_xlpm.dir="L",
    IF(F174-Table1[[#This Row],[Steps]]&lt;0,100+(F174-Table1[[#This Row],[Steps]]),F174-Table1[[#This Row],[Steps]]),
))</f>
        <v>13</v>
      </c>
      <c r="E175">
        <f>_xlfn.LET(_xlpm.dir,Table1[[#This Row],[Direction]],
IF(_xlpm.dir="R",
    IF(F174+Table1[[#This Row],[Steps]]&gt;99,(F174+Table1[[#This Row],[Steps]])-100,F174+Table1[[#This Row],[Steps]]),
))</f>
        <v>0</v>
      </c>
      <c r="F175">
        <f>IF(Table1[[#This Row],[New Pos L]]&lt;&gt;0,Table1[[#This Row],[New Pos L]],Table1[[#This Row],[New Pos R]])</f>
        <v>13</v>
      </c>
    </row>
    <row r="176" spans="1:6" ht="16" x14ac:dyDescent="0.2">
      <c r="A176" s="1" t="s">
        <v>117</v>
      </c>
      <c r="B176" t="str">
        <f>LEFT(Table1[[#This Row],[Input]],1)</f>
        <v>L</v>
      </c>
      <c r="C176">
        <f>_xlfn.LET(_xlpm.steps,SUBSTITUTE(Table1[[#This Row],[Input]],Table1[[#This Row],[Direction]],""),VALUE(IF(LEN(_xlpm.steps)&gt;2,RIGHT(_xlpm.steps,2),_xlpm.steps)))</f>
        <v>13</v>
      </c>
      <c r="D176">
        <f>_xlfn.LET(_xlpm.dir,Table1[[#This Row],[Direction]],
IF(_xlpm.dir="L",
    IF(F175-Table1[[#This Row],[Steps]]&lt;0,100+(F175-Table1[[#This Row],[Steps]]),F175-Table1[[#This Row],[Steps]]),
))</f>
        <v>0</v>
      </c>
      <c r="E176">
        <f>_xlfn.LET(_xlpm.dir,Table1[[#This Row],[Direction]],
IF(_xlpm.dir="R",
    IF(F175+Table1[[#This Row],[Steps]]&gt;99,(F175+Table1[[#This Row],[Steps]])-100,F175+Table1[[#This Row],[Steps]]),
))</f>
        <v>0</v>
      </c>
      <c r="F176">
        <f>IF(Table1[[#This Row],[New Pos L]]&lt;&gt;0,Table1[[#This Row],[New Pos L]],Table1[[#This Row],[New Pos R]])</f>
        <v>0</v>
      </c>
    </row>
    <row r="177" spans="1:6" ht="16" x14ac:dyDescent="0.2">
      <c r="A177" s="1" t="s">
        <v>23</v>
      </c>
      <c r="B177" t="str">
        <f>LEFT(Table1[[#This Row],[Input]],1)</f>
        <v>L</v>
      </c>
      <c r="C177">
        <f>_xlfn.LET(_xlpm.steps,SUBSTITUTE(Table1[[#This Row],[Input]],Table1[[#This Row],[Direction]],""),VALUE(IF(LEN(_xlpm.steps)&gt;2,RIGHT(_xlpm.steps,2),_xlpm.steps)))</f>
        <v>8</v>
      </c>
      <c r="D177">
        <f>_xlfn.LET(_xlpm.dir,Table1[[#This Row],[Direction]],
IF(_xlpm.dir="L",
    IF(F176-Table1[[#This Row],[Steps]]&lt;0,100+(F176-Table1[[#This Row],[Steps]]),F176-Table1[[#This Row],[Steps]]),
))</f>
        <v>92</v>
      </c>
      <c r="E177">
        <f>_xlfn.LET(_xlpm.dir,Table1[[#This Row],[Direction]],
IF(_xlpm.dir="R",
    IF(F176+Table1[[#This Row],[Steps]]&gt;99,(F176+Table1[[#This Row],[Steps]])-100,F176+Table1[[#This Row],[Steps]]),
))</f>
        <v>0</v>
      </c>
      <c r="F177">
        <f>IF(Table1[[#This Row],[New Pos L]]&lt;&gt;0,Table1[[#This Row],[New Pos L]],Table1[[#This Row],[New Pos R]])</f>
        <v>92</v>
      </c>
    </row>
    <row r="178" spans="1:6" ht="16" x14ac:dyDescent="0.2">
      <c r="A178" s="1" t="s">
        <v>118</v>
      </c>
      <c r="B178" t="str">
        <f>LEFT(Table1[[#This Row],[Input]],1)</f>
        <v>L</v>
      </c>
      <c r="C178">
        <f>_xlfn.LET(_xlpm.steps,SUBSTITUTE(Table1[[#This Row],[Input]],Table1[[#This Row],[Direction]],""),VALUE(IF(LEN(_xlpm.steps)&gt;2,RIGHT(_xlpm.steps,2),_xlpm.steps)))</f>
        <v>92</v>
      </c>
      <c r="D178">
        <f>_xlfn.LET(_xlpm.dir,Table1[[#This Row],[Direction]],
IF(_xlpm.dir="L",
    IF(F177-Table1[[#This Row],[Steps]]&lt;0,100+(F177-Table1[[#This Row],[Steps]]),F177-Table1[[#This Row],[Steps]]),
))</f>
        <v>0</v>
      </c>
      <c r="E178">
        <f>_xlfn.LET(_xlpm.dir,Table1[[#This Row],[Direction]],
IF(_xlpm.dir="R",
    IF(F177+Table1[[#This Row],[Steps]]&gt;99,(F177+Table1[[#This Row],[Steps]])-100,F177+Table1[[#This Row],[Steps]]),
))</f>
        <v>0</v>
      </c>
      <c r="F178">
        <f>IF(Table1[[#This Row],[New Pos L]]&lt;&gt;0,Table1[[#This Row],[New Pos L]],Table1[[#This Row],[New Pos R]])</f>
        <v>0</v>
      </c>
    </row>
    <row r="179" spans="1:6" ht="16" x14ac:dyDescent="0.2">
      <c r="A179" s="1" t="s">
        <v>119</v>
      </c>
      <c r="B179" t="str">
        <f>LEFT(Table1[[#This Row],[Input]],1)</f>
        <v>L</v>
      </c>
      <c r="C179">
        <f>_xlfn.LET(_xlpm.steps,SUBSTITUTE(Table1[[#This Row],[Input]],Table1[[#This Row],[Direction]],""),VALUE(IF(LEN(_xlpm.steps)&gt;2,RIGHT(_xlpm.steps,2),_xlpm.steps)))</f>
        <v>77</v>
      </c>
      <c r="D179">
        <f>_xlfn.LET(_xlpm.dir,Table1[[#This Row],[Direction]],
IF(_xlpm.dir="L",
    IF(F178-Table1[[#This Row],[Steps]]&lt;0,100+(F178-Table1[[#This Row],[Steps]]),F178-Table1[[#This Row],[Steps]]),
))</f>
        <v>23</v>
      </c>
      <c r="E179">
        <f>_xlfn.LET(_xlpm.dir,Table1[[#This Row],[Direction]],
IF(_xlpm.dir="R",
    IF(F178+Table1[[#This Row],[Steps]]&gt;99,(F178+Table1[[#This Row],[Steps]])-100,F178+Table1[[#This Row],[Steps]]),
))</f>
        <v>0</v>
      </c>
      <c r="F179">
        <f>IF(Table1[[#This Row],[New Pos L]]&lt;&gt;0,Table1[[#This Row],[New Pos L]],Table1[[#This Row],[New Pos R]])</f>
        <v>23</v>
      </c>
    </row>
    <row r="180" spans="1:6" ht="16" x14ac:dyDescent="0.2">
      <c r="A180" s="1" t="s">
        <v>120</v>
      </c>
      <c r="B180" t="str">
        <f>LEFT(Table1[[#This Row],[Input]],1)</f>
        <v>L</v>
      </c>
      <c r="C180">
        <f>_xlfn.LET(_xlpm.steps,SUBSTITUTE(Table1[[#This Row],[Input]],Table1[[#This Row],[Direction]],""),VALUE(IF(LEN(_xlpm.steps)&gt;2,RIGHT(_xlpm.steps,2),_xlpm.steps)))</f>
        <v>23</v>
      </c>
      <c r="D180">
        <f>_xlfn.LET(_xlpm.dir,Table1[[#This Row],[Direction]],
IF(_xlpm.dir="L",
    IF(F179-Table1[[#This Row],[Steps]]&lt;0,100+(F179-Table1[[#This Row],[Steps]]),F179-Table1[[#This Row],[Steps]]),
))</f>
        <v>0</v>
      </c>
      <c r="E180">
        <f>_xlfn.LET(_xlpm.dir,Table1[[#This Row],[Direction]],
IF(_xlpm.dir="R",
    IF(F179+Table1[[#This Row],[Steps]]&gt;99,(F179+Table1[[#This Row],[Steps]])-100,F179+Table1[[#This Row],[Steps]]),
))</f>
        <v>0</v>
      </c>
      <c r="F180">
        <f>IF(Table1[[#This Row],[New Pos L]]&lt;&gt;0,Table1[[#This Row],[New Pos L]],Table1[[#This Row],[New Pos R]])</f>
        <v>0</v>
      </c>
    </row>
    <row r="181" spans="1:6" ht="16" x14ac:dyDescent="0.2">
      <c r="A181" s="1" t="s">
        <v>43</v>
      </c>
      <c r="B181" t="str">
        <f>LEFT(Table1[[#This Row],[Input]],1)</f>
        <v>R</v>
      </c>
      <c r="C181">
        <f>_xlfn.LET(_xlpm.steps,SUBSTITUTE(Table1[[#This Row],[Input]],Table1[[#This Row],[Direction]],""),VALUE(IF(LEN(_xlpm.steps)&gt;2,RIGHT(_xlpm.steps,2),_xlpm.steps)))</f>
        <v>90</v>
      </c>
      <c r="D181">
        <f>_xlfn.LET(_xlpm.dir,Table1[[#This Row],[Direction]],
IF(_xlpm.dir="L",
    IF(F180-Table1[[#This Row],[Steps]]&lt;0,100+(F180-Table1[[#This Row],[Steps]]),F180-Table1[[#This Row],[Steps]]),
))</f>
        <v>0</v>
      </c>
      <c r="E181">
        <f>_xlfn.LET(_xlpm.dir,Table1[[#This Row],[Direction]],
IF(_xlpm.dir="R",
    IF(F180+Table1[[#This Row],[Steps]]&gt;99,(F180+Table1[[#This Row],[Steps]])-100,F180+Table1[[#This Row],[Steps]]),
))</f>
        <v>90</v>
      </c>
      <c r="F181">
        <f>IF(Table1[[#This Row],[New Pos L]]&lt;&gt;0,Table1[[#This Row],[New Pos L]],Table1[[#This Row],[New Pos R]])</f>
        <v>90</v>
      </c>
    </row>
    <row r="182" spans="1:6" ht="16" x14ac:dyDescent="0.2">
      <c r="A182" s="1" t="s">
        <v>121</v>
      </c>
      <c r="B182" t="str">
        <f>LEFT(Table1[[#This Row],[Input]],1)</f>
        <v>L</v>
      </c>
      <c r="C182">
        <f>_xlfn.LET(_xlpm.steps,SUBSTITUTE(Table1[[#This Row],[Input]],Table1[[#This Row],[Direction]],""),VALUE(IF(LEN(_xlpm.steps)&gt;2,RIGHT(_xlpm.steps,2),_xlpm.steps)))</f>
        <v>69</v>
      </c>
      <c r="D182">
        <f>_xlfn.LET(_xlpm.dir,Table1[[#This Row],[Direction]],
IF(_xlpm.dir="L",
    IF(F181-Table1[[#This Row],[Steps]]&lt;0,100+(F181-Table1[[#This Row],[Steps]]),F181-Table1[[#This Row],[Steps]]),
))</f>
        <v>21</v>
      </c>
      <c r="E182">
        <f>_xlfn.LET(_xlpm.dir,Table1[[#This Row],[Direction]],
IF(_xlpm.dir="R",
    IF(F181+Table1[[#This Row],[Steps]]&gt;99,(F181+Table1[[#This Row],[Steps]])-100,F181+Table1[[#This Row],[Steps]]),
))</f>
        <v>0</v>
      </c>
      <c r="F182">
        <f>IF(Table1[[#This Row],[New Pos L]]&lt;&gt;0,Table1[[#This Row],[New Pos L]],Table1[[#This Row],[New Pos R]])</f>
        <v>21</v>
      </c>
    </row>
    <row r="183" spans="1:6" ht="16" x14ac:dyDescent="0.2">
      <c r="A183" s="1" t="s">
        <v>83</v>
      </c>
      <c r="B183" t="str">
        <f>LEFT(Table1[[#This Row],[Input]],1)</f>
        <v>R</v>
      </c>
      <c r="C183">
        <f>_xlfn.LET(_xlpm.steps,SUBSTITUTE(Table1[[#This Row],[Input]],Table1[[#This Row],[Direction]],""),VALUE(IF(LEN(_xlpm.steps)&gt;2,RIGHT(_xlpm.steps,2),_xlpm.steps)))</f>
        <v>79</v>
      </c>
      <c r="D183">
        <f>_xlfn.LET(_xlpm.dir,Table1[[#This Row],[Direction]],
IF(_xlpm.dir="L",
    IF(F182-Table1[[#This Row],[Steps]]&lt;0,100+(F182-Table1[[#This Row],[Steps]]),F182-Table1[[#This Row],[Steps]]),
))</f>
        <v>0</v>
      </c>
      <c r="E183">
        <f>_xlfn.LET(_xlpm.dir,Table1[[#This Row],[Direction]],
IF(_xlpm.dir="R",
    IF(F182+Table1[[#This Row],[Steps]]&gt;99,(F182+Table1[[#This Row],[Steps]])-100,F182+Table1[[#This Row],[Steps]]),
))</f>
        <v>0</v>
      </c>
      <c r="F183">
        <f>IF(Table1[[#This Row],[New Pos L]]&lt;&gt;0,Table1[[#This Row],[New Pos L]],Table1[[#This Row],[New Pos R]])</f>
        <v>0</v>
      </c>
    </row>
    <row r="184" spans="1:6" ht="16" x14ac:dyDescent="0.2">
      <c r="A184" s="1" t="s">
        <v>122</v>
      </c>
      <c r="B184" t="str">
        <f>LEFT(Table1[[#This Row],[Input]],1)</f>
        <v>R</v>
      </c>
      <c r="C184">
        <f>_xlfn.LET(_xlpm.steps,SUBSTITUTE(Table1[[#This Row],[Input]],Table1[[#This Row],[Direction]],""),VALUE(IF(LEN(_xlpm.steps)&gt;2,RIGHT(_xlpm.steps,2),_xlpm.steps)))</f>
        <v>75</v>
      </c>
      <c r="D184">
        <f>_xlfn.LET(_xlpm.dir,Table1[[#This Row],[Direction]],
IF(_xlpm.dir="L",
    IF(F183-Table1[[#This Row],[Steps]]&lt;0,100+(F183-Table1[[#This Row],[Steps]]),F183-Table1[[#This Row],[Steps]]),
))</f>
        <v>0</v>
      </c>
      <c r="E184">
        <f>_xlfn.LET(_xlpm.dir,Table1[[#This Row],[Direction]],
IF(_xlpm.dir="R",
    IF(F183+Table1[[#This Row],[Steps]]&gt;99,(F183+Table1[[#This Row],[Steps]])-100,F183+Table1[[#This Row],[Steps]]),
))</f>
        <v>75</v>
      </c>
      <c r="F184">
        <f>IF(Table1[[#This Row],[New Pos L]]&lt;&gt;0,Table1[[#This Row],[New Pos L]],Table1[[#This Row],[New Pos R]])</f>
        <v>75</v>
      </c>
    </row>
    <row r="185" spans="1:6" ht="16" x14ac:dyDescent="0.2">
      <c r="A185" s="1" t="s">
        <v>123</v>
      </c>
      <c r="B185" t="str">
        <f>LEFT(Table1[[#This Row],[Input]],1)</f>
        <v>L</v>
      </c>
      <c r="C185">
        <f>_xlfn.LET(_xlpm.steps,SUBSTITUTE(Table1[[#This Row],[Input]],Table1[[#This Row],[Direction]],""),VALUE(IF(LEN(_xlpm.steps)&gt;2,RIGHT(_xlpm.steps,2),_xlpm.steps)))</f>
        <v>63</v>
      </c>
      <c r="D185">
        <f>_xlfn.LET(_xlpm.dir,Table1[[#This Row],[Direction]],
IF(_xlpm.dir="L",
    IF(F184-Table1[[#This Row],[Steps]]&lt;0,100+(F184-Table1[[#This Row],[Steps]]),F184-Table1[[#This Row],[Steps]]),
))</f>
        <v>12</v>
      </c>
      <c r="E185">
        <f>_xlfn.LET(_xlpm.dir,Table1[[#This Row],[Direction]],
IF(_xlpm.dir="R",
    IF(F184+Table1[[#This Row],[Steps]]&gt;99,(F184+Table1[[#This Row],[Steps]])-100,F184+Table1[[#This Row],[Steps]]),
))</f>
        <v>0</v>
      </c>
      <c r="F185">
        <f>IF(Table1[[#This Row],[New Pos L]]&lt;&gt;0,Table1[[#This Row],[New Pos L]],Table1[[#This Row],[New Pos R]])</f>
        <v>12</v>
      </c>
    </row>
    <row r="186" spans="1:6" ht="16" x14ac:dyDescent="0.2">
      <c r="A186" s="1" t="s">
        <v>124</v>
      </c>
      <c r="B186" t="str">
        <f>LEFT(Table1[[#This Row],[Input]],1)</f>
        <v>R</v>
      </c>
      <c r="C186">
        <f>_xlfn.LET(_xlpm.steps,SUBSTITUTE(Table1[[#This Row],[Input]],Table1[[#This Row],[Direction]],""),VALUE(IF(LEN(_xlpm.steps)&gt;2,RIGHT(_xlpm.steps,2),_xlpm.steps)))</f>
        <v>99</v>
      </c>
      <c r="D186">
        <f>_xlfn.LET(_xlpm.dir,Table1[[#This Row],[Direction]],
IF(_xlpm.dir="L",
    IF(F185-Table1[[#This Row],[Steps]]&lt;0,100+(F185-Table1[[#This Row],[Steps]]),F185-Table1[[#This Row],[Steps]]),
))</f>
        <v>0</v>
      </c>
      <c r="E186">
        <f>_xlfn.LET(_xlpm.dir,Table1[[#This Row],[Direction]],
IF(_xlpm.dir="R",
    IF(F185+Table1[[#This Row],[Steps]]&gt;99,(F185+Table1[[#This Row],[Steps]])-100,F185+Table1[[#This Row],[Steps]]),
))</f>
        <v>11</v>
      </c>
      <c r="F186">
        <f>IF(Table1[[#This Row],[New Pos L]]&lt;&gt;0,Table1[[#This Row],[New Pos L]],Table1[[#This Row],[New Pos R]])</f>
        <v>11</v>
      </c>
    </row>
    <row r="187" spans="1:6" ht="16" x14ac:dyDescent="0.2">
      <c r="A187" s="1" t="s">
        <v>125</v>
      </c>
      <c r="B187" t="str">
        <f>LEFT(Table1[[#This Row],[Input]],1)</f>
        <v>L</v>
      </c>
      <c r="C187">
        <f>_xlfn.LET(_xlpm.steps,SUBSTITUTE(Table1[[#This Row],[Input]],Table1[[#This Row],[Direction]],""),VALUE(IF(LEN(_xlpm.steps)&gt;2,RIGHT(_xlpm.steps,2),_xlpm.steps)))</f>
        <v>76</v>
      </c>
      <c r="D187">
        <f>_xlfn.LET(_xlpm.dir,Table1[[#This Row],[Direction]],
IF(_xlpm.dir="L",
    IF(F186-Table1[[#This Row],[Steps]]&lt;0,100+(F186-Table1[[#This Row],[Steps]]),F186-Table1[[#This Row],[Steps]]),
))</f>
        <v>35</v>
      </c>
      <c r="E187">
        <f>_xlfn.LET(_xlpm.dir,Table1[[#This Row],[Direction]],
IF(_xlpm.dir="R",
    IF(F186+Table1[[#This Row],[Steps]]&gt;99,(F186+Table1[[#This Row],[Steps]])-100,F186+Table1[[#This Row],[Steps]]),
))</f>
        <v>0</v>
      </c>
      <c r="F187">
        <f>IF(Table1[[#This Row],[New Pos L]]&lt;&gt;0,Table1[[#This Row],[New Pos L]],Table1[[#This Row],[New Pos R]])</f>
        <v>35</v>
      </c>
    </row>
    <row r="188" spans="1:6" ht="16" x14ac:dyDescent="0.2">
      <c r="A188" s="1" t="s">
        <v>126</v>
      </c>
      <c r="B188" t="str">
        <f>LEFT(Table1[[#This Row],[Input]],1)</f>
        <v>R</v>
      </c>
      <c r="C188">
        <f>_xlfn.LET(_xlpm.steps,SUBSTITUTE(Table1[[#This Row],[Input]],Table1[[#This Row],[Direction]],""),VALUE(IF(LEN(_xlpm.steps)&gt;2,RIGHT(_xlpm.steps,2),_xlpm.steps)))</f>
        <v>65</v>
      </c>
      <c r="D188">
        <f>_xlfn.LET(_xlpm.dir,Table1[[#This Row],[Direction]],
IF(_xlpm.dir="L",
    IF(F187-Table1[[#This Row],[Steps]]&lt;0,100+(F187-Table1[[#This Row],[Steps]]),F187-Table1[[#This Row],[Steps]]),
))</f>
        <v>0</v>
      </c>
      <c r="E188">
        <f>_xlfn.LET(_xlpm.dir,Table1[[#This Row],[Direction]],
IF(_xlpm.dir="R",
    IF(F187+Table1[[#This Row],[Steps]]&gt;99,(F187+Table1[[#This Row],[Steps]])-100,F187+Table1[[#This Row],[Steps]]),
))</f>
        <v>0</v>
      </c>
      <c r="F188">
        <f>IF(Table1[[#This Row],[New Pos L]]&lt;&gt;0,Table1[[#This Row],[New Pos L]],Table1[[#This Row],[New Pos R]])</f>
        <v>0</v>
      </c>
    </row>
    <row r="189" spans="1:6" ht="16" x14ac:dyDescent="0.2">
      <c r="A189" s="1" t="s">
        <v>2</v>
      </c>
      <c r="B189" t="str">
        <f>LEFT(Table1[[#This Row],[Input]],1)</f>
        <v>L</v>
      </c>
      <c r="C189">
        <f>_xlfn.LET(_xlpm.steps,SUBSTITUTE(Table1[[#This Row],[Input]],Table1[[#This Row],[Direction]],""),VALUE(IF(LEN(_xlpm.steps)&gt;2,RIGHT(_xlpm.steps,2),_xlpm.steps)))</f>
        <v>38</v>
      </c>
      <c r="D189">
        <f>_xlfn.LET(_xlpm.dir,Table1[[#This Row],[Direction]],
IF(_xlpm.dir="L",
    IF(F188-Table1[[#This Row],[Steps]]&lt;0,100+(F188-Table1[[#This Row],[Steps]]),F188-Table1[[#This Row],[Steps]]),
))</f>
        <v>62</v>
      </c>
      <c r="E189">
        <f>_xlfn.LET(_xlpm.dir,Table1[[#This Row],[Direction]],
IF(_xlpm.dir="R",
    IF(F188+Table1[[#This Row],[Steps]]&gt;99,(F188+Table1[[#This Row],[Steps]])-100,F188+Table1[[#This Row],[Steps]]),
))</f>
        <v>0</v>
      </c>
      <c r="F189">
        <f>IF(Table1[[#This Row],[New Pos L]]&lt;&gt;0,Table1[[#This Row],[New Pos L]],Table1[[#This Row],[New Pos R]])</f>
        <v>62</v>
      </c>
    </row>
    <row r="190" spans="1:6" ht="16" x14ac:dyDescent="0.2">
      <c r="A190" s="1" t="s">
        <v>127</v>
      </c>
      <c r="B190" t="str">
        <f>LEFT(Table1[[#This Row],[Input]],1)</f>
        <v>L</v>
      </c>
      <c r="C190">
        <f>_xlfn.LET(_xlpm.steps,SUBSTITUTE(Table1[[#This Row],[Input]],Table1[[#This Row],[Direction]],""),VALUE(IF(LEN(_xlpm.steps)&gt;2,RIGHT(_xlpm.steps,2),_xlpm.steps)))</f>
        <v>62</v>
      </c>
      <c r="D190">
        <f>_xlfn.LET(_xlpm.dir,Table1[[#This Row],[Direction]],
IF(_xlpm.dir="L",
    IF(F189-Table1[[#This Row],[Steps]]&lt;0,100+(F189-Table1[[#This Row],[Steps]]),F189-Table1[[#This Row],[Steps]]),
))</f>
        <v>0</v>
      </c>
      <c r="E190">
        <f>_xlfn.LET(_xlpm.dir,Table1[[#This Row],[Direction]],
IF(_xlpm.dir="R",
    IF(F189+Table1[[#This Row],[Steps]]&gt;99,(F189+Table1[[#This Row],[Steps]])-100,F189+Table1[[#This Row],[Steps]]),
))</f>
        <v>0</v>
      </c>
      <c r="F190">
        <f>IF(Table1[[#This Row],[New Pos L]]&lt;&gt;0,Table1[[#This Row],[New Pos L]],Table1[[#This Row],[New Pos R]])</f>
        <v>0</v>
      </c>
    </row>
    <row r="191" spans="1:6" ht="16" x14ac:dyDescent="0.2">
      <c r="A191" s="1" t="s">
        <v>128</v>
      </c>
      <c r="B191" t="str">
        <f>LEFT(Table1[[#This Row],[Input]],1)</f>
        <v>R</v>
      </c>
      <c r="C191">
        <f>_xlfn.LET(_xlpm.steps,SUBSTITUTE(Table1[[#This Row],[Input]],Table1[[#This Row],[Direction]],""),VALUE(IF(LEN(_xlpm.steps)&gt;2,RIGHT(_xlpm.steps,2),_xlpm.steps)))</f>
        <v>92</v>
      </c>
      <c r="D191">
        <f>_xlfn.LET(_xlpm.dir,Table1[[#This Row],[Direction]],
IF(_xlpm.dir="L",
    IF(F190-Table1[[#This Row],[Steps]]&lt;0,100+(F190-Table1[[#This Row],[Steps]]),F190-Table1[[#This Row],[Steps]]),
))</f>
        <v>0</v>
      </c>
      <c r="E191">
        <f>_xlfn.LET(_xlpm.dir,Table1[[#This Row],[Direction]],
IF(_xlpm.dir="R",
    IF(F190+Table1[[#This Row],[Steps]]&gt;99,(F190+Table1[[#This Row],[Steps]])-100,F190+Table1[[#This Row],[Steps]]),
))</f>
        <v>92</v>
      </c>
      <c r="F191">
        <f>IF(Table1[[#This Row],[New Pos L]]&lt;&gt;0,Table1[[#This Row],[New Pos L]],Table1[[#This Row],[New Pos R]])</f>
        <v>92</v>
      </c>
    </row>
    <row r="192" spans="1:6" ht="16" x14ac:dyDescent="0.2">
      <c r="A192" s="1" t="s">
        <v>129</v>
      </c>
      <c r="B192" t="str">
        <f>LEFT(Table1[[#This Row],[Input]],1)</f>
        <v>R</v>
      </c>
      <c r="C192">
        <f>_xlfn.LET(_xlpm.steps,SUBSTITUTE(Table1[[#This Row],[Input]],Table1[[#This Row],[Direction]],""),VALUE(IF(LEN(_xlpm.steps)&gt;2,RIGHT(_xlpm.steps,2),_xlpm.steps)))</f>
        <v>8</v>
      </c>
      <c r="D192">
        <f>_xlfn.LET(_xlpm.dir,Table1[[#This Row],[Direction]],
IF(_xlpm.dir="L",
    IF(F191-Table1[[#This Row],[Steps]]&lt;0,100+(F191-Table1[[#This Row],[Steps]]),F191-Table1[[#This Row],[Steps]]),
))</f>
        <v>0</v>
      </c>
      <c r="E192">
        <f>_xlfn.LET(_xlpm.dir,Table1[[#This Row],[Direction]],
IF(_xlpm.dir="R",
    IF(F191+Table1[[#This Row],[Steps]]&gt;99,(F191+Table1[[#This Row],[Steps]])-100,F191+Table1[[#This Row],[Steps]]),
))</f>
        <v>0</v>
      </c>
      <c r="F192">
        <f>IF(Table1[[#This Row],[New Pos L]]&lt;&gt;0,Table1[[#This Row],[New Pos L]],Table1[[#This Row],[New Pos R]])</f>
        <v>0</v>
      </c>
    </row>
    <row r="193" spans="1:6" ht="16" x14ac:dyDescent="0.2">
      <c r="A193" s="1" t="s">
        <v>24</v>
      </c>
      <c r="B193" t="str">
        <f>LEFT(Table1[[#This Row],[Input]],1)</f>
        <v>L</v>
      </c>
      <c r="C193">
        <f>_xlfn.LET(_xlpm.steps,SUBSTITUTE(Table1[[#This Row],[Input]],Table1[[#This Row],[Direction]],""),VALUE(IF(LEN(_xlpm.steps)&gt;2,RIGHT(_xlpm.steps,2),_xlpm.steps)))</f>
        <v>49</v>
      </c>
      <c r="D193">
        <f>_xlfn.LET(_xlpm.dir,Table1[[#This Row],[Direction]],
IF(_xlpm.dir="L",
    IF(F192-Table1[[#This Row],[Steps]]&lt;0,100+(F192-Table1[[#This Row],[Steps]]),F192-Table1[[#This Row],[Steps]]),
))</f>
        <v>51</v>
      </c>
      <c r="E193">
        <f>_xlfn.LET(_xlpm.dir,Table1[[#This Row],[Direction]],
IF(_xlpm.dir="R",
    IF(F192+Table1[[#This Row],[Steps]]&gt;99,(F192+Table1[[#This Row],[Steps]])-100,F192+Table1[[#This Row],[Steps]]),
))</f>
        <v>0</v>
      </c>
      <c r="F193">
        <f>IF(Table1[[#This Row],[New Pos L]]&lt;&gt;0,Table1[[#This Row],[New Pos L]],Table1[[#This Row],[New Pos R]])</f>
        <v>51</v>
      </c>
    </row>
    <row r="194" spans="1:6" ht="16" x14ac:dyDescent="0.2">
      <c r="A194" s="1" t="s">
        <v>130</v>
      </c>
      <c r="B194" t="str">
        <f>LEFT(Table1[[#This Row],[Input]],1)</f>
        <v>L</v>
      </c>
      <c r="C194">
        <f>_xlfn.LET(_xlpm.steps,SUBSTITUTE(Table1[[#This Row],[Input]],Table1[[#This Row],[Direction]],""),VALUE(IF(LEN(_xlpm.steps)&gt;2,RIGHT(_xlpm.steps,2),_xlpm.steps)))</f>
        <v>50</v>
      </c>
      <c r="D194">
        <f>_xlfn.LET(_xlpm.dir,Table1[[#This Row],[Direction]],
IF(_xlpm.dir="L",
    IF(F193-Table1[[#This Row],[Steps]]&lt;0,100+(F193-Table1[[#This Row],[Steps]]),F193-Table1[[#This Row],[Steps]]),
))</f>
        <v>1</v>
      </c>
      <c r="E194">
        <f>_xlfn.LET(_xlpm.dir,Table1[[#This Row],[Direction]],
IF(_xlpm.dir="R",
    IF(F193+Table1[[#This Row],[Steps]]&gt;99,(F193+Table1[[#This Row],[Steps]])-100,F193+Table1[[#This Row],[Steps]]),
))</f>
        <v>0</v>
      </c>
      <c r="F194">
        <f>IF(Table1[[#This Row],[New Pos L]]&lt;&gt;0,Table1[[#This Row],[New Pos L]],Table1[[#This Row],[New Pos R]])</f>
        <v>1</v>
      </c>
    </row>
    <row r="195" spans="1:6" ht="16" x14ac:dyDescent="0.2">
      <c r="A195" s="1" t="s">
        <v>131</v>
      </c>
      <c r="B195" t="str">
        <f>LEFT(Table1[[#This Row],[Input]],1)</f>
        <v>R</v>
      </c>
      <c r="C195">
        <f>_xlfn.LET(_xlpm.steps,SUBSTITUTE(Table1[[#This Row],[Input]],Table1[[#This Row],[Direction]],""),VALUE(IF(LEN(_xlpm.steps)&gt;2,RIGHT(_xlpm.steps,2),_xlpm.steps)))</f>
        <v>99</v>
      </c>
      <c r="D195">
        <f>_xlfn.LET(_xlpm.dir,Table1[[#This Row],[Direction]],
IF(_xlpm.dir="L",
    IF(F194-Table1[[#This Row],[Steps]]&lt;0,100+(F194-Table1[[#This Row],[Steps]]),F194-Table1[[#This Row],[Steps]]),
))</f>
        <v>0</v>
      </c>
      <c r="E195">
        <f>_xlfn.LET(_xlpm.dir,Table1[[#This Row],[Direction]],
IF(_xlpm.dir="R",
    IF(F194+Table1[[#This Row],[Steps]]&gt;99,(F194+Table1[[#This Row],[Steps]])-100,F194+Table1[[#This Row],[Steps]]),
))</f>
        <v>0</v>
      </c>
      <c r="F195">
        <f>IF(Table1[[#This Row],[New Pos L]]&lt;&gt;0,Table1[[#This Row],[New Pos L]],Table1[[#This Row],[New Pos R]])</f>
        <v>0</v>
      </c>
    </row>
    <row r="196" spans="1:6" ht="16" x14ac:dyDescent="0.2">
      <c r="A196" s="1" t="s">
        <v>132</v>
      </c>
      <c r="B196" t="str">
        <f>LEFT(Table1[[#This Row],[Input]],1)</f>
        <v>L</v>
      </c>
      <c r="C196">
        <f>_xlfn.LET(_xlpm.steps,SUBSTITUTE(Table1[[#This Row],[Input]],Table1[[#This Row],[Direction]],""),VALUE(IF(LEN(_xlpm.steps)&gt;2,RIGHT(_xlpm.steps,2),_xlpm.steps)))</f>
        <v>51</v>
      </c>
      <c r="D196">
        <f>_xlfn.LET(_xlpm.dir,Table1[[#This Row],[Direction]],
IF(_xlpm.dir="L",
    IF(F195-Table1[[#This Row],[Steps]]&lt;0,100+(F195-Table1[[#This Row],[Steps]]),F195-Table1[[#This Row],[Steps]]),
))</f>
        <v>49</v>
      </c>
      <c r="E196">
        <f>_xlfn.LET(_xlpm.dir,Table1[[#This Row],[Direction]],
IF(_xlpm.dir="R",
    IF(F195+Table1[[#This Row],[Steps]]&gt;99,(F195+Table1[[#This Row],[Steps]])-100,F195+Table1[[#This Row],[Steps]]),
))</f>
        <v>0</v>
      </c>
      <c r="F196">
        <f>IF(Table1[[#This Row],[New Pos L]]&lt;&gt;0,Table1[[#This Row],[New Pos L]],Table1[[#This Row],[New Pos R]])</f>
        <v>49</v>
      </c>
    </row>
    <row r="197" spans="1:6" ht="16" x14ac:dyDescent="0.2">
      <c r="A197" s="1" t="s">
        <v>133</v>
      </c>
      <c r="B197" t="str">
        <f>LEFT(Table1[[#This Row],[Input]],1)</f>
        <v>R</v>
      </c>
      <c r="C197">
        <f>_xlfn.LET(_xlpm.steps,SUBSTITUTE(Table1[[#This Row],[Input]],Table1[[#This Row],[Direction]],""),VALUE(IF(LEN(_xlpm.steps)&gt;2,RIGHT(_xlpm.steps,2),_xlpm.steps)))</f>
        <v>77</v>
      </c>
      <c r="D197">
        <f>_xlfn.LET(_xlpm.dir,Table1[[#This Row],[Direction]],
IF(_xlpm.dir="L",
    IF(F196-Table1[[#This Row],[Steps]]&lt;0,100+(F196-Table1[[#This Row],[Steps]]),F196-Table1[[#This Row],[Steps]]),
))</f>
        <v>0</v>
      </c>
      <c r="E197">
        <f>_xlfn.LET(_xlpm.dir,Table1[[#This Row],[Direction]],
IF(_xlpm.dir="R",
    IF(F196+Table1[[#This Row],[Steps]]&gt;99,(F196+Table1[[#This Row],[Steps]])-100,F196+Table1[[#This Row],[Steps]]),
))</f>
        <v>26</v>
      </c>
      <c r="F197">
        <f>IF(Table1[[#This Row],[New Pos L]]&lt;&gt;0,Table1[[#This Row],[New Pos L]],Table1[[#This Row],[New Pos R]])</f>
        <v>26</v>
      </c>
    </row>
    <row r="198" spans="1:6" ht="16" x14ac:dyDescent="0.2">
      <c r="A198" s="1" t="s">
        <v>134</v>
      </c>
      <c r="B198" t="str">
        <f>LEFT(Table1[[#This Row],[Input]],1)</f>
        <v>L</v>
      </c>
      <c r="C198">
        <f>_xlfn.LET(_xlpm.steps,SUBSTITUTE(Table1[[#This Row],[Input]],Table1[[#This Row],[Direction]],""),VALUE(IF(LEN(_xlpm.steps)&gt;2,RIGHT(_xlpm.steps,2),_xlpm.steps)))</f>
        <v>95</v>
      </c>
      <c r="D198">
        <f>_xlfn.LET(_xlpm.dir,Table1[[#This Row],[Direction]],
IF(_xlpm.dir="L",
    IF(F197-Table1[[#This Row],[Steps]]&lt;0,100+(F197-Table1[[#This Row],[Steps]]),F197-Table1[[#This Row],[Steps]]),
))</f>
        <v>31</v>
      </c>
      <c r="E198">
        <f>_xlfn.LET(_xlpm.dir,Table1[[#This Row],[Direction]],
IF(_xlpm.dir="R",
    IF(F197+Table1[[#This Row],[Steps]]&gt;99,(F197+Table1[[#This Row],[Steps]])-100,F197+Table1[[#This Row],[Steps]]),
))</f>
        <v>0</v>
      </c>
      <c r="F198">
        <f>IF(Table1[[#This Row],[New Pos L]]&lt;&gt;0,Table1[[#This Row],[New Pos L]],Table1[[#This Row],[New Pos R]])</f>
        <v>31</v>
      </c>
    </row>
    <row r="199" spans="1:6" ht="16" x14ac:dyDescent="0.2">
      <c r="A199" s="1" t="s">
        <v>135</v>
      </c>
      <c r="B199" t="str">
        <f>LEFT(Table1[[#This Row],[Input]],1)</f>
        <v>R</v>
      </c>
      <c r="C199">
        <f>_xlfn.LET(_xlpm.steps,SUBSTITUTE(Table1[[#This Row],[Input]],Table1[[#This Row],[Direction]],""),VALUE(IF(LEN(_xlpm.steps)&gt;2,RIGHT(_xlpm.steps,2),_xlpm.steps)))</f>
        <v>69</v>
      </c>
      <c r="D199">
        <f>_xlfn.LET(_xlpm.dir,Table1[[#This Row],[Direction]],
IF(_xlpm.dir="L",
    IF(F198-Table1[[#This Row],[Steps]]&lt;0,100+(F198-Table1[[#This Row],[Steps]]),F198-Table1[[#This Row],[Steps]]),
))</f>
        <v>0</v>
      </c>
      <c r="E199">
        <f>_xlfn.LET(_xlpm.dir,Table1[[#This Row],[Direction]],
IF(_xlpm.dir="R",
    IF(F198+Table1[[#This Row],[Steps]]&gt;99,(F198+Table1[[#This Row],[Steps]])-100,F198+Table1[[#This Row],[Steps]]),
))</f>
        <v>0</v>
      </c>
      <c r="F199">
        <f>IF(Table1[[#This Row],[New Pos L]]&lt;&gt;0,Table1[[#This Row],[New Pos L]],Table1[[#This Row],[New Pos R]])</f>
        <v>0</v>
      </c>
    </row>
    <row r="200" spans="1:6" ht="16" x14ac:dyDescent="0.2">
      <c r="A200" s="1" t="s">
        <v>123</v>
      </c>
      <c r="B200" t="str">
        <f>LEFT(Table1[[#This Row],[Input]],1)</f>
        <v>L</v>
      </c>
      <c r="C200">
        <f>_xlfn.LET(_xlpm.steps,SUBSTITUTE(Table1[[#This Row],[Input]],Table1[[#This Row],[Direction]],""),VALUE(IF(LEN(_xlpm.steps)&gt;2,RIGHT(_xlpm.steps,2),_xlpm.steps)))</f>
        <v>63</v>
      </c>
      <c r="D200">
        <f>_xlfn.LET(_xlpm.dir,Table1[[#This Row],[Direction]],
IF(_xlpm.dir="L",
    IF(F199-Table1[[#This Row],[Steps]]&lt;0,100+(F199-Table1[[#This Row],[Steps]]),F199-Table1[[#This Row],[Steps]]),
))</f>
        <v>37</v>
      </c>
      <c r="E200">
        <f>_xlfn.LET(_xlpm.dir,Table1[[#This Row],[Direction]],
IF(_xlpm.dir="R",
    IF(F199+Table1[[#This Row],[Steps]]&gt;99,(F199+Table1[[#This Row],[Steps]])-100,F199+Table1[[#This Row],[Steps]]),
))</f>
        <v>0</v>
      </c>
      <c r="F200">
        <f>IF(Table1[[#This Row],[New Pos L]]&lt;&gt;0,Table1[[#This Row],[New Pos L]],Table1[[#This Row],[New Pos R]])</f>
        <v>37</v>
      </c>
    </row>
    <row r="201" spans="1:6" ht="16" x14ac:dyDescent="0.2">
      <c r="A201" s="1" t="s">
        <v>32</v>
      </c>
      <c r="B201" t="str">
        <f>LEFT(Table1[[#This Row],[Input]],1)</f>
        <v>L</v>
      </c>
      <c r="C201">
        <f>_xlfn.LET(_xlpm.steps,SUBSTITUTE(Table1[[#This Row],[Input]],Table1[[#This Row],[Direction]],""),VALUE(IF(LEN(_xlpm.steps)&gt;2,RIGHT(_xlpm.steps,2),_xlpm.steps)))</f>
        <v>28</v>
      </c>
      <c r="D201">
        <f>_xlfn.LET(_xlpm.dir,Table1[[#This Row],[Direction]],
IF(_xlpm.dir="L",
    IF(F200-Table1[[#This Row],[Steps]]&lt;0,100+(F200-Table1[[#This Row],[Steps]]),F200-Table1[[#This Row],[Steps]]),
))</f>
        <v>9</v>
      </c>
      <c r="E201">
        <f>_xlfn.LET(_xlpm.dir,Table1[[#This Row],[Direction]],
IF(_xlpm.dir="R",
    IF(F200+Table1[[#This Row],[Steps]]&gt;99,(F200+Table1[[#This Row],[Steps]])-100,F200+Table1[[#This Row],[Steps]]),
))</f>
        <v>0</v>
      </c>
      <c r="F201">
        <f>IF(Table1[[#This Row],[New Pos L]]&lt;&gt;0,Table1[[#This Row],[New Pos L]],Table1[[#This Row],[New Pos R]])</f>
        <v>9</v>
      </c>
    </row>
    <row r="202" spans="1:6" ht="16" x14ac:dyDescent="0.2">
      <c r="A202" s="1" t="s">
        <v>9</v>
      </c>
      <c r="B202" t="str">
        <f>LEFT(Table1[[#This Row],[Input]],1)</f>
        <v>L</v>
      </c>
      <c r="C202">
        <f>_xlfn.LET(_xlpm.steps,SUBSTITUTE(Table1[[#This Row],[Input]],Table1[[#This Row],[Direction]],""),VALUE(IF(LEN(_xlpm.steps)&gt;2,RIGHT(_xlpm.steps,2),_xlpm.steps)))</f>
        <v>9</v>
      </c>
      <c r="D202">
        <f>_xlfn.LET(_xlpm.dir,Table1[[#This Row],[Direction]],
IF(_xlpm.dir="L",
    IF(F201-Table1[[#This Row],[Steps]]&lt;0,100+(F201-Table1[[#This Row],[Steps]]),F201-Table1[[#This Row],[Steps]]),
))</f>
        <v>0</v>
      </c>
      <c r="E202">
        <f>_xlfn.LET(_xlpm.dir,Table1[[#This Row],[Direction]],
IF(_xlpm.dir="R",
    IF(F201+Table1[[#This Row],[Steps]]&gt;99,(F201+Table1[[#This Row],[Steps]])-100,F201+Table1[[#This Row],[Steps]]),
))</f>
        <v>0</v>
      </c>
      <c r="F202">
        <f>IF(Table1[[#This Row],[New Pos L]]&lt;&gt;0,Table1[[#This Row],[New Pos L]],Table1[[#This Row],[New Pos R]])</f>
        <v>0</v>
      </c>
    </row>
    <row r="203" spans="1:6" ht="16" x14ac:dyDescent="0.2">
      <c r="A203" s="1" t="s">
        <v>136</v>
      </c>
      <c r="B203" t="str">
        <f>LEFT(Table1[[#This Row],[Input]],1)</f>
        <v>L</v>
      </c>
      <c r="C203">
        <f>_xlfn.LET(_xlpm.steps,SUBSTITUTE(Table1[[#This Row],[Input]],Table1[[#This Row],[Direction]],""),VALUE(IF(LEN(_xlpm.steps)&gt;2,RIGHT(_xlpm.steps,2),_xlpm.steps)))</f>
        <v>72</v>
      </c>
      <c r="D203">
        <f>_xlfn.LET(_xlpm.dir,Table1[[#This Row],[Direction]],
IF(_xlpm.dir="L",
    IF(F202-Table1[[#This Row],[Steps]]&lt;0,100+(F202-Table1[[#This Row],[Steps]]),F202-Table1[[#This Row],[Steps]]),
))</f>
        <v>28</v>
      </c>
      <c r="E203">
        <f>_xlfn.LET(_xlpm.dir,Table1[[#This Row],[Direction]],
IF(_xlpm.dir="R",
    IF(F202+Table1[[#This Row],[Steps]]&gt;99,(F202+Table1[[#This Row],[Steps]])-100,F202+Table1[[#This Row],[Steps]]),
))</f>
        <v>0</v>
      </c>
      <c r="F203">
        <f>IF(Table1[[#This Row],[New Pos L]]&lt;&gt;0,Table1[[#This Row],[New Pos L]],Table1[[#This Row],[New Pos R]])</f>
        <v>28</v>
      </c>
    </row>
    <row r="204" spans="1:6" ht="16" x14ac:dyDescent="0.2">
      <c r="A204" s="1" t="s">
        <v>137</v>
      </c>
      <c r="B204" t="str">
        <f>LEFT(Table1[[#This Row],[Input]],1)</f>
        <v>R</v>
      </c>
      <c r="C204">
        <f>_xlfn.LET(_xlpm.steps,SUBSTITUTE(Table1[[#This Row],[Input]],Table1[[#This Row],[Direction]],""),VALUE(IF(LEN(_xlpm.steps)&gt;2,RIGHT(_xlpm.steps,2),_xlpm.steps)))</f>
        <v>28</v>
      </c>
      <c r="D204">
        <f>_xlfn.LET(_xlpm.dir,Table1[[#This Row],[Direction]],
IF(_xlpm.dir="L",
    IF(F203-Table1[[#This Row],[Steps]]&lt;0,100+(F203-Table1[[#This Row],[Steps]]),F203-Table1[[#This Row],[Steps]]),
))</f>
        <v>0</v>
      </c>
      <c r="E204">
        <f>_xlfn.LET(_xlpm.dir,Table1[[#This Row],[Direction]],
IF(_xlpm.dir="R",
    IF(F203+Table1[[#This Row],[Steps]]&gt;99,(F203+Table1[[#This Row],[Steps]])-100,F203+Table1[[#This Row],[Steps]]),
))</f>
        <v>56</v>
      </c>
      <c r="F204">
        <f>IF(Table1[[#This Row],[New Pos L]]&lt;&gt;0,Table1[[#This Row],[New Pos L]],Table1[[#This Row],[New Pos R]])</f>
        <v>56</v>
      </c>
    </row>
    <row r="205" spans="1:6" ht="16" x14ac:dyDescent="0.2">
      <c r="A205" s="1" t="s">
        <v>138</v>
      </c>
      <c r="B205" t="str">
        <f>LEFT(Table1[[#This Row],[Input]],1)</f>
        <v>L</v>
      </c>
      <c r="C205">
        <f>_xlfn.LET(_xlpm.steps,SUBSTITUTE(Table1[[#This Row],[Input]],Table1[[#This Row],[Direction]],""),VALUE(IF(LEN(_xlpm.steps)&gt;2,RIGHT(_xlpm.steps,2),_xlpm.steps)))</f>
        <v>94</v>
      </c>
      <c r="D205">
        <f>_xlfn.LET(_xlpm.dir,Table1[[#This Row],[Direction]],
IF(_xlpm.dir="L",
    IF(F204-Table1[[#This Row],[Steps]]&lt;0,100+(F204-Table1[[#This Row],[Steps]]),F204-Table1[[#This Row],[Steps]]),
))</f>
        <v>62</v>
      </c>
      <c r="E205">
        <f>_xlfn.LET(_xlpm.dir,Table1[[#This Row],[Direction]],
IF(_xlpm.dir="R",
    IF(F204+Table1[[#This Row],[Steps]]&gt;99,(F204+Table1[[#This Row],[Steps]])-100,F204+Table1[[#This Row],[Steps]]),
))</f>
        <v>0</v>
      </c>
      <c r="F205">
        <f>IF(Table1[[#This Row],[New Pos L]]&lt;&gt;0,Table1[[#This Row],[New Pos L]],Table1[[#This Row],[New Pos R]])</f>
        <v>62</v>
      </c>
    </row>
    <row r="206" spans="1:6" ht="16" x14ac:dyDescent="0.2">
      <c r="A206" s="1" t="s">
        <v>139</v>
      </c>
      <c r="B206" t="str">
        <f>LEFT(Table1[[#This Row],[Input]],1)</f>
        <v>R</v>
      </c>
      <c r="C206">
        <f>_xlfn.LET(_xlpm.steps,SUBSTITUTE(Table1[[#This Row],[Input]],Table1[[#This Row],[Direction]],""),VALUE(IF(LEN(_xlpm.steps)&gt;2,RIGHT(_xlpm.steps,2),_xlpm.steps)))</f>
        <v>38</v>
      </c>
      <c r="D206">
        <f>_xlfn.LET(_xlpm.dir,Table1[[#This Row],[Direction]],
IF(_xlpm.dir="L",
    IF(F205-Table1[[#This Row],[Steps]]&lt;0,100+(F205-Table1[[#This Row],[Steps]]),F205-Table1[[#This Row],[Steps]]),
))</f>
        <v>0</v>
      </c>
      <c r="E206">
        <f>_xlfn.LET(_xlpm.dir,Table1[[#This Row],[Direction]],
IF(_xlpm.dir="R",
    IF(F205+Table1[[#This Row],[Steps]]&gt;99,(F205+Table1[[#This Row],[Steps]])-100,F205+Table1[[#This Row],[Steps]]),
))</f>
        <v>0</v>
      </c>
      <c r="F206">
        <f>IF(Table1[[#This Row],[New Pos L]]&lt;&gt;0,Table1[[#This Row],[New Pos L]],Table1[[#This Row],[New Pos R]])</f>
        <v>0</v>
      </c>
    </row>
    <row r="207" spans="1:6" ht="16" x14ac:dyDescent="0.2">
      <c r="A207" s="1" t="s">
        <v>26</v>
      </c>
      <c r="B207" t="str">
        <f>LEFT(Table1[[#This Row],[Input]],1)</f>
        <v>R</v>
      </c>
      <c r="C207">
        <f>_xlfn.LET(_xlpm.steps,SUBSTITUTE(Table1[[#This Row],[Input]],Table1[[#This Row],[Direction]],""),VALUE(IF(LEN(_xlpm.steps)&gt;2,RIGHT(_xlpm.steps,2),_xlpm.steps)))</f>
        <v>6</v>
      </c>
      <c r="D207">
        <f>_xlfn.LET(_xlpm.dir,Table1[[#This Row],[Direction]],
IF(_xlpm.dir="L",
    IF(F206-Table1[[#This Row],[Steps]]&lt;0,100+(F206-Table1[[#This Row],[Steps]]),F206-Table1[[#This Row],[Steps]]),
))</f>
        <v>0</v>
      </c>
      <c r="E207">
        <f>_xlfn.LET(_xlpm.dir,Table1[[#This Row],[Direction]],
IF(_xlpm.dir="R",
    IF(F206+Table1[[#This Row],[Steps]]&gt;99,(F206+Table1[[#This Row],[Steps]])-100,F206+Table1[[#This Row],[Steps]]),
))</f>
        <v>6</v>
      </c>
      <c r="F207">
        <f>IF(Table1[[#This Row],[New Pos L]]&lt;&gt;0,Table1[[#This Row],[New Pos L]],Table1[[#This Row],[New Pos R]])</f>
        <v>6</v>
      </c>
    </row>
    <row r="208" spans="1:6" ht="16" x14ac:dyDescent="0.2">
      <c r="A208" s="1" t="s">
        <v>114</v>
      </c>
      <c r="B208" t="str">
        <f>LEFT(Table1[[#This Row],[Input]],1)</f>
        <v>R</v>
      </c>
      <c r="C208">
        <f>_xlfn.LET(_xlpm.steps,SUBSTITUTE(Table1[[#This Row],[Input]],Table1[[#This Row],[Direction]],""),VALUE(IF(LEN(_xlpm.steps)&gt;2,RIGHT(_xlpm.steps,2),_xlpm.steps)))</f>
        <v>70</v>
      </c>
      <c r="D208">
        <f>_xlfn.LET(_xlpm.dir,Table1[[#This Row],[Direction]],
IF(_xlpm.dir="L",
    IF(F207-Table1[[#This Row],[Steps]]&lt;0,100+(F207-Table1[[#This Row],[Steps]]),F207-Table1[[#This Row],[Steps]]),
))</f>
        <v>0</v>
      </c>
      <c r="E208">
        <f>_xlfn.LET(_xlpm.dir,Table1[[#This Row],[Direction]],
IF(_xlpm.dir="R",
    IF(F207+Table1[[#This Row],[Steps]]&gt;99,(F207+Table1[[#This Row],[Steps]])-100,F207+Table1[[#This Row],[Steps]]),
))</f>
        <v>76</v>
      </c>
      <c r="F208">
        <f>IF(Table1[[#This Row],[New Pos L]]&lt;&gt;0,Table1[[#This Row],[New Pos L]],Table1[[#This Row],[New Pos R]])</f>
        <v>76</v>
      </c>
    </row>
    <row r="209" spans="1:6" ht="16" x14ac:dyDescent="0.2">
      <c r="A209" s="1" t="s">
        <v>34</v>
      </c>
      <c r="B209" t="str">
        <f>LEFT(Table1[[#This Row],[Input]],1)</f>
        <v>L</v>
      </c>
      <c r="C209">
        <f>_xlfn.LET(_xlpm.steps,SUBSTITUTE(Table1[[#This Row],[Input]],Table1[[#This Row],[Direction]],""),VALUE(IF(LEN(_xlpm.steps)&gt;2,RIGHT(_xlpm.steps,2),_xlpm.steps)))</f>
        <v>15</v>
      </c>
      <c r="D209">
        <f>_xlfn.LET(_xlpm.dir,Table1[[#This Row],[Direction]],
IF(_xlpm.dir="L",
    IF(F208-Table1[[#This Row],[Steps]]&lt;0,100+(F208-Table1[[#This Row],[Steps]]),F208-Table1[[#This Row],[Steps]]),
))</f>
        <v>61</v>
      </c>
      <c r="E209">
        <f>_xlfn.LET(_xlpm.dir,Table1[[#This Row],[Direction]],
IF(_xlpm.dir="R",
    IF(F208+Table1[[#This Row],[Steps]]&gt;99,(F208+Table1[[#This Row],[Steps]])-100,F208+Table1[[#This Row],[Steps]]),
))</f>
        <v>0</v>
      </c>
      <c r="F209">
        <f>IF(Table1[[#This Row],[New Pos L]]&lt;&gt;0,Table1[[#This Row],[New Pos L]],Table1[[#This Row],[New Pos R]])</f>
        <v>61</v>
      </c>
    </row>
    <row r="210" spans="1:6" ht="16" x14ac:dyDescent="0.2">
      <c r="A210" s="1" t="s">
        <v>140</v>
      </c>
      <c r="B210" t="str">
        <f>LEFT(Table1[[#This Row],[Input]],1)</f>
        <v>L</v>
      </c>
      <c r="C210">
        <f>_xlfn.LET(_xlpm.steps,SUBSTITUTE(Table1[[#This Row],[Input]],Table1[[#This Row],[Direction]],""),VALUE(IF(LEN(_xlpm.steps)&gt;2,RIGHT(_xlpm.steps,2),_xlpm.steps)))</f>
        <v>61</v>
      </c>
      <c r="D210">
        <f>_xlfn.LET(_xlpm.dir,Table1[[#This Row],[Direction]],
IF(_xlpm.dir="L",
    IF(F209-Table1[[#This Row],[Steps]]&lt;0,100+(F209-Table1[[#This Row],[Steps]]),F209-Table1[[#This Row],[Steps]]),
))</f>
        <v>0</v>
      </c>
      <c r="E210">
        <f>_xlfn.LET(_xlpm.dir,Table1[[#This Row],[Direction]],
IF(_xlpm.dir="R",
    IF(F209+Table1[[#This Row],[Steps]]&gt;99,(F209+Table1[[#This Row],[Steps]])-100,F209+Table1[[#This Row],[Steps]]),
))</f>
        <v>0</v>
      </c>
      <c r="F210">
        <f>IF(Table1[[#This Row],[New Pos L]]&lt;&gt;0,Table1[[#This Row],[New Pos L]],Table1[[#This Row],[New Pos R]])</f>
        <v>0</v>
      </c>
    </row>
    <row r="211" spans="1:6" ht="16" x14ac:dyDescent="0.2">
      <c r="A211" s="1" t="s">
        <v>141</v>
      </c>
      <c r="B211" t="str">
        <f>LEFT(Table1[[#This Row],[Input]],1)</f>
        <v>L</v>
      </c>
      <c r="C211">
        <f>_xlfn.LET(_xlpm.steps,SUBSTITUTE(Table1[[#This Row],[Input]],Table1[[#This Row],[Direction]],""),VALUE(IF(LEN(_xlpm.steps)&gt;2,RIGHT(_xlpm.steps,2),_xlpm.steps)))</f>
        <v>90</v>
      </c>
      <c r="D211">
        <f>_xlfn.LET(_xlpm.dir,Table1[[#This Row],[Direction]],
IF(_xlpm.dir="L",
    IF(F210-Table1[[#This Row],[Steps]]&lt;0,100+(F210-Table1[[#This Row],[Steps]]),F210-Table1[[#This Row],[Steps]]),
))</f>
        <v>10</v>
      </c>
      <c r="E211">
        <f>_xlfn.LET(_xlpm.dir,Table1[[#This Row],[Direction]],
IF(_xlpm.dir="R",
    IF(F210+Table1[[#This Row],[Steps]]&gt;99,(F210+Table1[[#This Row],[Steps]])-100,F210+Table1[[#This Row],[Steps]]),
))</f>
        <v>0</v>
      </c>
      <c r="F211">
        <f>IF(Table1[[#This Row],[New Pos L]]&lt;&gt;0,Table1[[#This Row],[New Pos L]],Table1[[#This Row],[New Pos R]])</f>
        <v>10</v>
      </c>
    </row>
    <row r="212" spans="1:6" ht="16" x14ac:dyDescent="0.2">
      <c r="A212" s="1" t="s">
        <v>43</v>
      </c>
      <c r="B212" t="str">
        <f>LEFT(Table1[[#This Row],[Input]],1)</f>
        <v>R</v>
      </c>
      <c r="C212">
        <f>_xlfn.LET(_xlpm.steps,SUBSTITUTE(Table1[[#This Row],[Input]],Table1[[#This Row],[Direction]],""),VALUE(IF(LEN(_xlpm.steps)&gt;2,RIGHT(_xlpm.steps,2),_xlpm.steps)))</f>
        <v>90</v>
      </c>
      <c r="D212">
        <f>_xlfn.LET(_xlpm.dir,Table1[[#This Row],[Direction]],
IF(_xlpm.dir="L",
    IF(F211-Table1[[#This Row],[Steps]]&lt;0,100+(F211-Table1[[#This Row],[Steps]]),F211-Table1[[#This Row],[Steps]]),
))</f>
        <v>0</v>
      </c>
      <c r="E212">
        <f>_xlfn.LET(_xlpm.dir,Table1[[#This Row],[Direction]],
IF(_xlpm.dir="R",
    IF(F211+Table1[[#This Row],[Steps]]&gt;99,(F211+Table1[[#This Row],[Steps]])-100,F211+Table1[[#This Row],[Steps]]),
))</f>
        <v>0</v>
      </c>
      <c r="F212">
        <f>IF(Table1[[#This Row],[New Pos L]]&lt;&gt;0,Table1[[#This Row],[New Pos L]],Table1[[#This Row],[New Pos R]])</f>
        <v>0</v>
      </c>
    </row>
    <row r="213" spans="1:6" ht="16" x14ac:dyDescent="0.2">
      <c r="A213" s="1" t="s">
        <v>142</v>
      </c>
      <c r="B213" t="str">
        <f>LEFT(Table1[[#This Row],[Input]],1)</f>
        <v>L</v>
      </c>
      <c r="C213">
        <f>_xlfn.LET(_xlpm.steps,SUBSTITUTE(Table1[[#This Row],[Input]],Table1[[#This Row],[Direction]],""),VALUE(IF(LEN(_xlpm.steps)&gt;2,RIGHT(_xlpm.steps,2),_xlpm.steps)))</f>
        <v>45</v>
      </c>
      <c r="D213">
        <f>_xlfn.LET(_xlpm.dir,Table1[[#This Row],[Direction]],
IF(_xlpm.dir="L",
    IF(F212-Table1[[#This Row],[Steps]]&lt;0,100+(F212-Table1[[#This Row],[Steps]]),F212-Table1[[#This Row],[Steps]]),
))</f>
        <v>55</v>
      </c>
      <c r="E213">
        <f>_xlfn.LET(_xlpm.dir,Table1[[#This Row],[Direction]],
IF(_xlpm.dir="R",
    IF(F212+Table1[[#This Row],[Steps]]&gt;99,(F212+Table1[[#This Row],[Steps]])-100,F212+Table1[[#This Row],[Steps]]),
))</f>
        <v>0</v>
      </c>
      <c r="F213">
        <f>IF(Table1[[#This Row],[New Pos L]]&lt;&gt;0,Table1[[#This Row],[New Pos L]],Table1[[#This Row],[New Pos R]])</f>
        <v>55</v>
      </c>
    </row>
    <row r="214" spans="1:6" ht="16" x14ac:dyDescent="0.2">
      <c r="A214" s="1" t="s">
        <v>143</v>
      </c>
      <c r="B214" t="str">
        <f>LEFT(Table1[[#This Row],[Input]],1)</f>
        <v>R</v>
      </c>
      <c r="C214">
        <f>_xlfn.LET(_xlpm.steps,SUBSTITUTE(Table1[[#This Row],[Input]],Table1[[#This Row],[Direction]],""),VALUE(IF(LEN(_xlpm.steps)&gt;2,RIGHT(_xlpm.steps,2),_xlpm.steps)))</f>
        <v>98</v>
      </c>
      <c r="D214">
        <f>_xlfn.LET(_xlpm.dir,Table1[[#This Row],[Direction]],
IF(_xlpm.dir="L",
    IF(F213-Table1[[#This Row],[Steps]]&lt;0,100+(F213-Table1[[#This Row],[Steps]]),F213-Table1[[#This Row],[Steps]]),
))</f>
        <v>0</v>
      </c>
      <c r="E214">
        <f>_xlfn.LET(_xlpm.dir,Table1[[#This Row],[Direction]],
IF(_xlpm.dir="R",
    IF(F213+Table1[[#This Row],[Steps]]&gt;99,(F213+Table1[[#This Row],[Steps]])-100,F213+Table1[[#This Row],[Steps]]),
))</f>
        <v>53</v>
      </c>
      <c r="F214">
        <f>IF(Table1[[#This Row],[New Pos L]]&lt;&gt;0,Table1[[#This Row],[New Pos L]],Table1[[#This Row],[New Pos R]])</f>
        <v>53</v>
      </c>
    </row>
    <row r="215" spans="1:6" ht="16" x14ac:dyDescent="0.2">
      <c r="A215" s="1" t="s">
        <v>64</v>
      </c>
      <c r="B215" t="str">
        <f>LEFT(Table1[[#This Row],[Input]],1)</f>
        <v>R</v>
      </c>
      <c r="C215">
        <f>_xlfn.LET(_xlpm.steps,SUBSTITUTE(Table1[[#This Row],[Input]],Table1[[#This Row],[Direction]],""),VALUE(IF(LEN(_xlpm.steps)&gt;2,RIGHT(_xlpm.steps,2),_xlpm.steps)))</f>
        <v>10</v>
      </c>
      <c r="D215">
        <f>_xlfn.LET(_xlpm.dir,Table1[[#This Row],[Direction]],
IF(_xlpm.dir="L",
    IF(F214-Table1[[#This Row],[Steps]]&lt;0,100+(F214-Table1[[#This Row],[Steps]]),F214-Table1[[#This Row],[Steps]]),
))</f>
        <v>0</v>
      </c>
      <c r="E215">
        <f>_xlfn.LET(_xlpm.dir,Table1[[#This Row],[Direction]],
IF(_xlpm.dir="R",
    IF(F214+Table1[[#This Row],[Steps]]&gt;99,(F214+Table1[[#This Row],[Steps]])-100,F214+Table1[[#This Row],[Steps]]),
))</f>
        <v>63</v>
      </c>
      <c r="F215">
        <f>IF(Table1[[#This Row],[New Pos L]]&lt;&gt;0,Table1[[#This Row],[New Pos L]],Table1[[#This Row],[New Pos R]])</f>
        <v>63</v>
      </c>
    </row>
    <row r="216" spans="1:6" ht="16" x14ac:dyDescent="0.2">
      <c r="A216" s="1" t="s">
        <v>76</v>
      </c>
      <c r="B216" t="str">
        <f>LEFT(Table1[[#This Row],[Input]],1)</f>
        <v>R</v>
      </c>
      <c r="C216">
        <f>_xlfn.LET(_xlpm.steps,SUBSTITUTE(Table1[[#This Row],[Input]],Table1[[#This Row],[Direction]],""),VALUE(IF(LEN(_xlpm.steps)&gt;2,RIGHT(_xlpm.steps,2),_xlpm.steps)))</f>
        <v>37</v>
      </c>
      <c r="D216">
        <f>_xlfn.LET(_xlpm.dir,Table1[[#This Row],[Direction]],
IF(_xlpm.dir="L",
    IF(F215-Table1[[#This Row],[Steps]]&lt;0,100+(F215-Table1[[#This Row],[Steps]]),F215-Table1[[#This Row],[Steps]]),
))</f>
        <v>0</v>
      </c>
      <c r="E216">
        <f>_xlfn.LET(_xlpm.dir,Table1[[#This Row],[Direction]],
IF(_xlpm.dir="R",
    IF(F215+Table1[[#This Row],[Steps]]&gt;99,(F215+Table1[[#This Row],[Steps]])-100,F215+Table1[[#This Row],[Steps]]),
))</f>
        <v>0</v>
      </c>
      <c r="F216">
        <f>IF(Table1[[#This Row],[New Pos L]]&lt;&gt;0,Table1[[#This Row],[New Pos L]],Table1[[#This Row],[New Pos R]])</f>
        <v>0</v>
      </c>
    </row>
    <row r="217" spans="1:6" ht="16" x14ac:dyDescent="0.2">
      <c r="A217" s="1" t="s">
        <v>73</v>
      </c>
      <c r="B217" t="str">
        <f>LEFT(Table1[[#This Row],[Input]],1)</f>
        <v>R</v>
      </c>
      <c r="C217">
        <f>_xlfn.LET(_xlpm.steps,SUBSTITUTE(Table1[[#This Row],[Input]],Table1[[#This Row],[Direction]],""),VALUE(IF(LEN(_xlpm.steps)&gt;2,RIGHT(_xlpm.steps,2),_xlpm.steps)))</f>
        <v>21</v>
      </c>
      <c r="D217">
        <f>_xlfn.LET(_xlpm.dir,Table1[[#This Row],[Direction]],
IF(_xlpm.dir="L",
    IF(F216-Table1[[#This Row],[Steps]]&lt;0,100+(F216-Table1[[#This Row],[Steps]]),F216-Table1[[#This Row],[Steps]]),
))</f>
        <v>0</v>
      </c>
      <c r="E217">
        <f>_xlfn.LET(_xlpm.dir,Table1[[#This Row],[Direction]],
IF(_xlpm.dir="R",
    IF(F216+Table1[[#This Row],[Steps]]&gt;99,(F216+Table1[[#This Row],[Steps]])-100,F216+Table1[[#This Row],[Steps]]),
))</f>
        <v>21</v>
      </c>
      <c r="F217">
        <f>IF(Table1[[#This Row],[New Pos L]]&lt;&gt;0,Table1[[#This Row],[New Pos L]],Table1[[#This Row],[New Pos R]])</f>
        <v>21</v>
      </c>
    </row>
    <row r="218" spans="1:6" ht="16" x14ac:dyDescent="0.2">
      <c r="A218" s="1" t="s">
        <v>74</v>
      </c>
      <c r="B218" t="str">
        <f>LEFT(Table1[[#This Row],[Input]],1)</f>
        <v>R</v>
      </c>
      <c r="C218">
        <f>_xlfn.LET(_xlpm.steps,SUBSTITUTE(Table1[[#This Row],[Input]],Table1[[#This Row],[Direction]],""),VALUE(IF(LEN(_xlpm.steps)&gt;2,RIGHT(_xlpm.steps,2),_xlpm.steps)))</f>
        <v>93</v>
      </c>
      <c r="D218">
        <f>_xlfn.LET(_xlpm.dir,Table1[[#This Row],[Direction]],
IF(_xlpm.dir="L",
    IF(F217-Table1[[#This Row],[Steps]]&lt;0,100+(F217-Table1[[#This Row],[Steps]]),F217-Table1[[#This Row],[Steps]]),
))</f>
        <v>0</v>
      </c>
      <c r="E218">
        <f>_xlfn.LET(_xlpm.dir,Table1[[#This Row],[Direction]],
IF(_xlpm.dir="R",
    IF(F217+Table1[[#This Row],[Steps]]&gt;99,(F217+Table1[[#This Row],[Steps]])-100,F217+Table1[[#This Row],[Steps]]),
))</f>
        <v>14</v>
      </c>
      <c r="F218">
        <f>IF(Table1[[#This Row],[New Pos L]]&lt;&gt;0,Table1[[#This Row],[New Pos L]],Table1[[#This Row],[New Pos R]])</f>
        <v>14</v>
      </c>
    </row>
    <row r="219" spans="1:6" ht="16" x14ac:dyDescent="0.2">
      <c r="A219" s="1" t="s">
        <v>27</v>
      </c>
      <c r="B219" t="str">
        <f>LEFT(Table1[[#This Row],[Input]],1)</f>
        <v>L</v>
      </c>
      <c r="C219">
        <f>_xlfn.LET(_xlpm.steps,SUBSTITUTE(Table1[[#This Row],[Input]],Table1[[#This Row],[Direction]],""),VALUE(IF(LEN(_xlpm.steps)&gt;2,RIGHT(_xlpm.steps,2),_xlpm.steps)))</f>
        <v>14</v>
      </c>
      <c r="D219">
        <f>_xlfn.LET(_xlpm.dir,Table1[[#This Row],[Direction]],
IF(_xlpm.dir="L",
    IF(F218-Table1[[#This Row],[Steps]]&lt;0,100+(F218-Table1[[#This Row],[Steps]]),F218-Table1[[#This Row],[Steps]]),
))</f>
        <v>0</v>
      </c>
      <c r="E219">
        <f>_xlfn.LET(_xlpm.dir,Table1[[#This Row],[Direction]],
IF(_xlpm.dir="R",
    IF(F218+Table1[[#This Row],[Steps]]&gt;99,(F218+Table1[[#This Row],[Steps]])-100,F218+Table1[[#This Row],[Steps]]),
))</f>
        <v>0</v>
      </c>
      <c r="F219">
        <f>IF(Table1[[#This Row],[New Pos L]]&lt;&gt;0,Table1[[#This Row],[New Pos L]],Table1[[#This Row],[New Pos R]])</f>
        <v>0</v>
      </c>
    </row>
    <row r="220" spans="1:6" ht="16" x14ac:dyDescent="0.2">
      <c r="A220" s="1" t="s">
        <v>16</v>
      </c>
      <c r="B220" t="str">
        <f>LEFT(Table1[[#This Row],[Input]],1)</f>
        <v>L</v>
      </c>
      <c r="C220">
        <f>_xlfn.LET(_xlpm.steps,SUBSTITUTE(Table1[[#This Row],[Input]],Table1[[#This Row],[Direction]],""),VALUE(IF(LEN(_xlpm.steps)&gt;2,RIGHT(_xlpm.steps,2),_xlpm.steps)))</f>
        <v>10</v>
      </c>
      <c r="D220">
        <f>_xlfn.LET(_xlpm.dir,Table1[[#This Row],[Direction]],
IF(_xlpm.dir="L",
    IF(F219-Table1[[#This Row],[Steps]]&lt;0,100+(F219-Table1[[#This Row],[Steps]]),F219-Table1[[#This Row],[Steps]]),
))</f>
        <v>90</v>
      </c>
      <c r="E220">
        <f>_xlfn.LET(_xlpm.dir,Table1[[#This Row],[Direction]],
IF(_xlpm.dir="R",
    IF(F219+Table1[[#This Row],[Steps]]&gt;99,(F219+Table1[[#This Row],[Steps]])-100,F219+Table1[[#This Row],[Steps]]),
))</f>
        <v>0</v>
      </c>
      <c r="F220">
        <f>IF(Table1[[#This Row],[New Pos L]]&lt;&gt;0,Table1[[#This Row],[New Pos L]],Table1[[#This Row],[New Pos R]])</f>
        <v>90</v>
      </c>
    </row>
    <row r="221" spans="1:6" ht="16" x14ac:dyDescent="0.2">
      <c r="A221" s="1" t="s">
        <v>64</v>
      </c>
      <c r="B221" t="str">
        <f>LEFT(Table1[[#This Row],[Input]],1)</f>
        <v>R</v>
      </c>
      <c r="C221">
        <f>_xlfn.LET(_xlpm.steps,SUBSTITUTE(Table1[[#This Row],[Input]],Table1[[#This Row],[Direction]],""),VALUE(IF(LEN(_xlpm.steps)&gt;2,RIGHT(_xlpm.steps,2),_xlpm.steps)))</f>
        <v>10</v>
      </c>
      <c r="D221">
        <f>_xlfn.LET(_xlpm.dir,Table1[[#This Row],[Direction]],
IF(_xlpm.dir="L",
    IF(F220-Table1[[#This Row],[Steps]]&lt;0,100+(F220-Table1[[#This Row],[Steps]]),F220-Table1[[#This Row],[Steps]]),
))</f>
        <v>0</v>
      </c>
      <c r="E221">
        <f>_xlfn.LET(_xlpm.dir,Table1[[#This Row],[Direction]],
IF(_xlpm.dir="R",
    IF(F220+Table1[[#This Row],[Steps]]&gt;99,(F220+Table1[[#This Row],[Steps]])-100,F220+Table1[[#This Row],[Steps]]),
))</f>
        <v>0</v>
      </c>
      <c r="F221">
        <f>IF(Table1[[#This Row],[New Pos L]]&lt;&gt;0,Table1[[#This Row],[New Pos L]],Table1[[#This Row],[New Pos R]])</f>
        <v>0</v>
      </c>
    </row>
    <row r="222" spans="1:6" ht="16" x14ac:dyDescent="0.2">
      <c r="A222" s="1" t="s">
        <v>144</v>
      </c>
      <c r="B222" t="str">
        <f>LEFT(Table1[[#This Row],[Input]],1)</f>
        <v>R</v>
      </c>
      <c r="C222">
        <f>_xlfn.LET(_xlpm.steps,SUBSTITUTE(Table1[[#This Row],[Input]],Table1[[#This Row],[Direction]],""),VALUE(IF(LEN(_xlpm.steps)&gt;2,RIGHT(_xlpm.steps,2),_xlpm.steps)))</f>
        <v>79</v>
      </c>
      <c r="D222">
        <f>_xlfn.LET(_xlpm.dir,Table1[[#This Row],[Direction]],
IF(_xlpm.dir="L",
    IF(F221-Table1[[#This Row],[Steps]]&lt;0,100+(F221-Table1[[#This Row],[Steps]]),F221-Table1[[#This Row],[Steps]]),
))</f>
        <v>0</v>
      </c>
      <c r="E222">
        <f>_xlfn.LET(_xlpm.dir,Table1[[#This Row],[Direction]],
IF(_xlpm.dir="R",
    IF(F221+Table1[[#This Row],[Steps]]&gt;99,(F221+Table1[[#This Row],[Steps]])-100,F221+Table1[[#This Row],[Steps]]),
))</f>
        <v>79</v>
      </c>
      <c r="F222">
        <f>IF(Table1[[#This Row],[New Pos L]]&lt;&gt;0,Table1[[#This Row],[New Pos L]],Table1[[#This Row],[New Pos R]])</f>
        <v>79</v>
      </c>
    </row>
    <row r="223" spans="1:6" ht="16" x14ac:dyDescent="0.2">
      <c r="A223" s="1" t="s">
        <v>73</v>
      </c>
      <c r="B223" t="str">
        <f>LEFT(Table1[[#This Row],[Input]],1)</f>
        <v>R</v>
      </c>
      <c r="C223">
        <f>_xlfn.LET(_xlpm.steps,SUBSTITUTE(Table1[[#This Row],[Input]],Table1[[#This Row],[Direction]],""),VALUE(IF(LEN(_xlpm.steps)&gt;2,RIGHT(_xlpm.steps,2),_xlpm.steps)))</f>
        <v>21</v>
      </c>
      <c r="D223">
        <f>_xlfn.LET(_xlpm.dir,Table1[[#This Row],[Direction]],
IF(_xlpm.dir="L",
    IF(F222-Table1[[#This Row],[Steps]]&lt;0,100+(F222-Table1[[#This Row],[Steps]]),F222-Table1[[#This Row],[Steps]]),
))</f>
        <v>0</v>
      </c>
      <c r="E223">
        <f>_xlfn.LET(_xlpm.dir,Table1[[#This Row],[Direction]],
IF(_xlpm.dir="R",
    IF(F222+Table1[[#This Row],[Steps]]&gt;99,(F222+Table1[[#This Row],[Steps]])-100,F222+Table1[[#This Row],[Steps]]),
))</f>
        <v>0</v>
      </c>
      <c r="F223">
        <f>IF(Table1[[#This Row],[New Pos L]]&lt;&gt;0,Table1[[#This Row],[New Pos L]],Table1[[#This Row],[New Pos R]])</f>
        <v>0</v>
      </c>
    </row>
    <row r="224" spans="1:6" ht="16" x14ac:dyDescent="0.2">
      <c r="A224" s="1" t="s">
        <v>119</v>
      </c>
      <c r="B224" t="str">
        <f>LEFT(Table1[[#This Row],[Input]],1)</f>
        <v>L</v>
      </c>
      <c r="C224">
        <f>_xlfn.LET(_xlpm.steps,SUBSTITUTE(Table1[[#This Row],[Input]],Table1[[#This Row],[Direction]],""),VALUE(IF(LEN(_xlpm.steps)&gt;2,RIGHT(_xlpm.steps,2),_xlpm.steps)))</f>
        <v>77</v>
      </c>
      <c r="D224">
        <f>_xlfn.LET(_xlpm.dir,Table1[[#This Row],[Direction]],
IF(_xlpm.dir="L",
    IF(F223-Table1[[#This Row],[Steps]]&lt;0,100+(F223-Table1[[#This Row],[Steps]]),F223-Table1[[#This Row],[Steps]]),
))</f>
        <v>23</v>
      </c>
      <c r="E224">
        <f>_xlfn.LET(_xlpm.dir,Table1[[#This Row],[Direction]],
IF(_xlpm.dir="R",
    IF(F223+Table1[[#This Row],[Steps]]&gt;99,(F223+Table1[[#This Row],[Steps]])-100,F223+Table1[[#This Row],[Steps]]),
))</f>
        <v>0</v>
      </c>
      <c r="F224">
        <f>IF(Table1[[#This Row],[New Pos L]]&lt;&gt;0,Table1[[#This Row],[New Pos L]],Table1[[#This Row],[New Pos R]])</f>
        <v>23</v>
      </c>
    </row>
    <row r="225" spans="1:6" ht="16" x14ac:dyDescent="0.2">
      <c r="A225" s="1" t="s">
        <v>145</v>
      </c>
      <c r="B225" t="str">
        <f>LEFT(Table1[[#This Row],[Input]],1)</f>
        <v>L</v>
      </c>
      <c r="C225">
        <f>_xlfn.LET(_xlpm.steps,SUBSTITUTE(Table1[[#This Row],[Input]],Table1[[#This Row],[Direction]],""),VALUE(IF(LEN(_xlpm.steps)&gt;2,RIGHT(_xlpm.steps,2),_xlpm.steps)))</f>
        <v>83</v>
      </c>
      <c r="D225">
        <f>_xlfn.LET(_xlpm.dir,Table1[[#This Row],[Direction]],
IF(_xlpm.dir="L",
    IF(F224-Table1[[#This Row],[Steps]]&lt;0,100+(F224-Table1[[#This Row],[Steps]]),F224-Table1[[#This Row],[Steps]]),
))</f>
        <v>40</v>
      </c>
      <c r="E225">
        <f>_xlfn.LET(_xlpm.dir,Table1[[#This Row],[Direction]],
IF(_xlpm.dir="R",
    IF(F224+Table1[[#This Row],[Steps]]&gt;99,(F224+Table1[[#This Row],[Steps]])-100,F224+Table1[[#This Row],[Steps]]),
))</f>
        <v>0</v>
      </c>
      <c r="F225">
        <f>IF(Table1[[#This Row],[New Pos L]]&lt;&gt;0,Table1[[#This Row],[New Pos L]],Table1[[#This Row],[New Pos R]])</f>
        <v>40</v>
      </c>
    </row>
    <row r="226" spans="1:6" ht="16" x14ac:dyDescent="0.2">
      <c r="A226" s="1" t="s">
        <v>146</v>
      </c>
      <c r="B226" t="str">
        <f>LEFT(Table1[[#This Row],[Input]],1)</f>
        <v>R</v>
      </c>
      <c r="C226">
        <f>_xlfn.LET(_xlpm.steps,SUBSTITUTE(Table1[[#This Row],[Input]],Table1[[#This Row],[Direction]],""),VALUE(IF(LEN(_xlpm.steps)&gt;2,RIGHT(_xlpm.steps,2),_xlpm.steps)))</f>
        <v>4</v>
      </c>
      <c r="D226">
        <f>_xlfn.LET(_xlpm.dir,Table1[[#This Row],[Direction]],
IF(_xlpm.dir="L",
    IF(F225-Table1[[#This Row],[Steps]]&lt;0,100+(F225-Table1[[#This Row],[Steps]]),F225-Table1[[#This Row],[Steps]]),
))</f>
        <v>0</v>
      </c>
      <c r="E226">
        <f>_xlfn.LET(_xlpm.dir,Table1[[#This Row],[Direction]],
IF(_xlpm.dir="R",
    IF(F225+Table1[[#This Row],[Steps]]&gt;99,(F225+Table1[[#This Row],[Steps]])-100,F225+Table1[[#This Row],[Steps]]),
))</f>
        <v>44</v>
      </c>
      <c r="F226">
        <f>IF(Table1[[#This Row],[New Pos L]]&lt;&gt;0,Table1[[#This Row],[New Pos L]],Table1[[#This Row],[New Pos R]])</f>
        <v>44</v>
      </c>
    </row>
    <row r="227" spans="1:6" ht="16" x14ac:dyDescent="0.2">
      <c r="A227" s="1" t="s">
        <v>147</v>
      </c>
      <c r="B227" t="str">
        <f>LEFT(Table1[[#This Row],[Input]],1)</f>
        <v>L</v>
      </c>
      <c r="C227">
        <f>_xlfn.LET(_xlpm.steps,SUBSTITUTE(Table1[[#This Row],[Input]],Table1[[#This Row],[Direction]],""),VALUE(IF(LEN(_xlpm.steps)&gt;2,RIGHT(_xlpm.steps,2),_xlpm.steps)))</f>
        <v>44</v>
      </c>
      <c r="D227">
        <f>_xlfn.LET(_xlpm.dir,Table1[[#This Row],[Direction]],
IF(_xlpm.dir="L",
    IF(F226-Table1[[#This Row],[Steps]]&lt;0,100+(F226-Table1[[#This Row],[Steps]]),F226-Table1[[#This Row],[Steps]]),
))</f>
        <v>0</v>
      </c>
      <c r="E227">
        <f>_xlfn.LET(_xlpm.dir,Table1[[#This Row],[Direction]],
IF(_xlpm.dir="R",
    IF(F226+Table1[[#This Row],[Steps]]&gt;99,(F226+Table1[[#This Row],[Steps]])-100,F226+Table1[[#This Row],[Steps]]),
))</f>
        <v>0</v>
      </c>
      <c r="F227">
        <f>IF(Table1[[#This Row],[New Pos L]]&lt;&gt;0,Table1[[#This Row],[New Pos L]],Table1[[#This Row],[New Pos R]])</f>
        <v>0</v>
      </c>
    </row>
    <row r="228" spans="1:6" ht="16" x14ac:dyDescent="0.2">
      <c r="A228" s="1" t="s">
        <v>148</v>
      </c>
      <c r="B228" t="str">
        <f>LEFT(Table1[[#This Row],[Input]],1)</f>
        <v>R</v>
      </c>
      <c r="C228">
        <f>_xlfn.LET(_xlpm.steps,SUBSTITUTE(Table1[[#This Row],[Input]],Table1[[#This Row],[Direction]],""),VALUE(IF(LEN(_xlpm.steps)&gt;2,RIGHT(_xlpm.steps,2),_xlpm.steps)))</f>
        <v>80</v>
      </c>
      <c r="D228">
        <f>_xlfn.LET(_xlpm.dir,Table1[[#This Row],[Direction]],
IF(_xlpm.dir="L",
    IF(F227-Table1[[#This Row],[Steps]]&lt;0,100+(F227-Table1[[#This Row],[Steps]]),F227-Table1[[#This Row],[Steps]]),
))</f>
        <v>0</v>
      </c>
      <c r="E228">
        <f>_xlfn.LET(_xlpm.dir,Table1[[#This Row],[Direction]],
IF(_xlpm.dir="R",
    IF(F227+Table1[[#This Row],[Steps]]&gt;99,(F227+Table1[[#This Row],[Steps]])-100,F227+Table1[[#This Row],[Steps]]),
))</f>
        <v>80</v>
      </c>
      <c r="F228">
        <f>IF(Table1[[#This Row],[New Pos L]]&lt;&gt;0,Table1[[#This Row],[New Pos L]],Table1[[#This Row],[New Pos R]])</f>
        <v>80</v>
      </c>
    </row>
    <row r="229" spans="1:6" ht="16" x14ac:dyDescent="0.2">
      <c r="A229" s="1" t="s">
        <v>74</v>
      </c>
      <c r="B229" t="str">
        <f>LEFT(Table1[[#This Row],[Input]],1)</f>
        <v>R</v>
      </c>
      <c r="C229">
        <f>_xlfn.LET(_xlpm.steps,SUBSTITUTE(Table1[[#This Row],[Input]],Table1[[#This Row],[Direction]],""),VALUE(IF(LEN(_xlpm.steps)&gt;2,RIGHT(_xlpm.steps,2),_xlpm.steps)))</f>
        <v>93</v>
      </c>
      <c r="D229">
        <f>_xlfn.LET(_xlpm.dir,Table1[[#This Row],[Direction]],
IF(_xlpm.dir="L",
    IF(F228-Table1[[#This Row],[Steps]]&lt;0,100+(F228-Table1[[#This Row],[Steps]]),F228-Table1[[#This Row],[Steps]]),
))</f>
        <v>0</v>
      </c>
      <c r="E229">
        <f>_xlfn.LET(_xlpm.dir,Table1[[#This Row],[Direction]],
IF(_xlpm.dir="R",
    IF(F228+Table1[[#This Row],[Steps]]&gt;99,(F228+Table1[[#This Row],[Steps]])-100,F228+Table1[[#This Row],[Steps]]),
))</f>
        <v>73</v>
      </c>
      <c r="F229">
        <f>IF(Table1[[#This Row],[New Pos L]]&lt;&gt;0,Table1[[#This Row],[New Pos L]],Table1[[#This Row],[New Pos R]])</f>
        <v>73</v>
      </c>
    </row>
    <row r="230" spans="1:6" ht="16" x14ac:dyDescent="0.2">
      <c r="A230" s="1" t="s">
        <v>149</v>
      </c>
      <c r="B230" t="str">
        <f>LEFT(Table1[[#This Row],[Input]],1)</f>
        <v>L</v>
      </c>
      <c r="C230">
        <f>_xlfn.LET(_xlpm.steps,SUBSTITUTE(Table1[[#This Row],[Input]],Table1[[#This Row],[Direction]],""),VALUE(IF(LEN(_xlpm.steps)&gt;2,RIGHT(_xlpm.steps,2),_xlpm.steps)))</f>
        <v>15</v>
      </c>
      <c r="D230">
        <f>_xlfn.LET(_xlpm.dir,Table1[[#This Row],[Direction]],
IF(_xlpm.dir="L",
    IF(F229-Table1[[#This Row],[Steps]]&lt;0,100+(F229-Table1[[#This Row],[Steps]]),F229-Table1[[#This Row],[Steps]]),
))</f>
        <v>58</v>
      </c>
      <c r="E230">
        <f>_xlfn.LET(_xlpm.dir,Table1[[#This Row],[Direction]],
IF(_xlpm.dir="R",
    IF(F229+Table1[[#This Row],[Steps]]&gt;99,(F229+Table1[[#This Row],[Steps]])-100,F229+Table1[[#This Row],[Steps]]),
))</f>
        <v>0</v>
      </c>
      <c r="F230">
        <f>IF(Table1[[#This Row],[New Pos L]]&lt;&gt;0,Table1[[#This Row],[New Pos L]],Table1[[#This Row],[New Pos R]])</f>
        <v>58</v>
      </c>
    </row>
    <row r="231" spans="1:6" ht="16" x14ac:dyDescent="0.2">
      <c r="A231" s="1" t="s">
        <v>150</v>
      </c>
      <c r="B231" t="str">
        <f>LEFT(Table1[[#This Row],[Input]],1)</f>
        <v>R</v>
      </c>
      <c r="C231">
        <f>_xlfn.LET(_xlpm.steps,SUBSTITUTE(Table1[[#This Row],[Input]],Table1[[#This Row],[Direction]],""),VALUE(IF(LEN(_xlpm.steps)&gt;2,RIGHT(_xlpm.steps,2),_xlpm.steps)))</f>
        <v>53</v>
      </c>
      <c r="D231">
        <f>_xlfn.LET(_xlpm.dir,Table1[[#This Row],[Direction]],
IF(_xlpm.dir="L",
    IF(F230-Table1[[#This Row],[Steps]]&lt;0,100+(F230-Table1[[#This Row],[Steps]]),F230-Table1[[#This Row],[Steps]]),
))</f>
        <v>0</v>
      </c>
      <c r="E231">
        <f>_xlfn.LET(_xlpm.dir,Table1[[#This Row],[Direction]],
IF(_xlpm.dir="R",
    IF(F230+Table1[[#This Row],[Steps]]&gt;99,(F230+Table1[[#This Row],[Steps]])-100,F230+Table1[[#This Row],[Steps]]),
))</f>
        <v>11</v>
      </c>
      <c r="F231">
        <f>IF(Table1[[#This Row],[New Pos L]]&lt;&gt;0,Table1[[#This Row],[New Pos L]],Table1[[#This Row],[New Pos R]])</f>
        <v>11</v>
      </c>
    </row>
    <row r="232" spans="1:6" ht="16" x14ac:dyDescent="0.2">
      <c r="A232" s="1" t="s">
        <v>151</v>
      </c>
      <c r="B232" t="str">
        <f>LEFT(Table1[[#This Row],[Input]],1)</f>
        <v>L</v>
      </c>
      <c r="C232">
        <f>_xlfn.LET(_xlpm.steps,SUBSTITUTE(Table1[[#This Row],[Input]],Table1[[#This Row],[Direction]],""),VALUE(IF(LEN(_xlpm.steps)&gt;2,RIGHT(_xlpm.steps,2),_xlpm.steps)))</f>
        <v>74</v>
      </c>
      <c r="D232">
        <f>_xlfn.LET(_xlpm.dir,Table1[[#This Row],[Direction]],
IF(_xlpm.dir="L",
    IF(F231-Table1[[#This Row],[Steps]]&lt;0,100+(F231-Table1[[#This Row],[Steps]]),F231-Table1[[#This Row],[Steps]]),
))</f>
        <v>37</v>
      </c>
      <c r="E232">
        <f>_xlfn.LET(_xlpm.dir,Table1[[#This Row],[Direction]],
IF(_xlpm.dir="R",
    IF(F231+Table1[[#This Row],[Steps]]&gt;99,(F231+Table1[[#This Row],[Steps]])-100,F231+Table1[[#This Row],[Steps]]),
))</f>
        <v>0</v>
      </c>
      <c r="F232">
        <f>IF(Table1[[#This Row],[New Pos L]]&lt;&gt;0,Table1[[#This Row],[New Pos L]],Table1[[#This Row],[New Pos R]])</f>
        <v>37</v>
      </c>
    </row>
    <row r="233" spans="1:6" ht="16" x14ac:dyDescent="0.2">
      <c r="A233" s="1" t="s">
        <v>64</v>
      </c>
      <c r="B233" t="str">
        <f>LEFT(Table1[[#This Row],[Input]],1)</f>
        <v>R</v>
      </c>
      <c r="C233">
        <f>_xlfn.LET(_xlpm.steps,SUBSTITUTE(Table1[[#This Row],[Input]],Table1[[#This Row],[Direction]],""),VALUE(IF(LEN(_xlpm.steps)&gt;2,RIGHT(_xlpm.steps,2),_xlpm.steps)))</f>
        <v>10</v>
      </c>
      <c r="D233">
        <f>_xlfn.LET(_xlpm.dir,Table1[[#This Row],[Direction]],
IF(_xlpm.dir="L",
    IF(F232-Table1[[#This Row],[Steps]]&lt;0,100+(F232-Table1[[#This Row],[Steps]]),F232-Table1[[#This Row],[Steps]]),
))</f>
        <v>0</v>
      </c>
      <c r="E233">
        <f>_xlfn.LET(_xlpm.dir,Table1[[#This Row],[Direction]],
IF(_xlpm.dir="R",
    IF(F232+Table1[[#This Row],[Steps]]&gt;99,(F232+Table1[[#This Row],[Steps]])-100,F232+Table1[[#This Row],[Steps]]),
))</f>
        <v>47</v>
      </c>
      <c r="F233">
        <f>IF(Table1[[#This Row],[New Pos L]]&lt;&gt;0,Table1[[#This Row],[New Pos L]],Table1[[#This Row],[New Pos R]])</f>
        <v>47</v>
      </c>
    </row>
    <row r="234" spans="1:6" ht="16" x14ac:dyDescent="0.2">
      <c r="A234" s="1" t="s">
        <v>79</v>
      </c>
      <c r="B234" t="str">
        <f>LEFT(Table1[[#This Row],[Input]],1)</f>
        <v>L</v>
      </c>
      <c r="C234">
        <f>_xlfn.LET(_xlpm.steps,SUBSTITUTE(Table1[[#This Row],[Input]],Table1[[#This Row],[Direction]],""),VALUE(IF(LEN(_xlpm.steps)&gt;2,RIGHT(_xlpm.steps,2),_xlpm.steps)))</f>
        <v>45</v>
      </c>
      <c r="D234">
        <f>_xlfn.LET(_xlpm.dir,Table1[[#This Row],[Direction]],
IF(_xlpm.dir="L",
    IF(F233-Table1[[#This Row],[Steps]]&lt;0,100+(F233-Table1[[#This Row],[Steps]]),F233-Table1[[#This Row],[Steps]]),
))</f>
        <v>2</v>
      </c>
      <c r="E234">
        <f>_xlfn.LET(_xlpm.dir,Table1[[#This Row],[Direction]],
IF(_xlpm.dir="R",
    IF(F233+Table1[[#This Row],[Steps]]&gt;99,(F233+Table1[[#This Row],[Steps]])-100,F233+Table1[[#This Row],[Steps]]),
))</f>
        <v>0</v>
      </c>
      <c r="F234">
        <f>IF(Table1[[#This Row],[New Pos L]]&lt;&gt;0,Table1[[#This Row],[New Pos L]],Table1[[#This Row],[New Pos R]])</f>
        <v>2</v>
      </c>
    </row>
    <row r="235" spans="1:6" ht="16" x14ac:dyDescent="0.2">
      <c r="A235" s="1" t="s">
        <v>146</v>
      </c>
      <c r="B235" t="str">
        <f>LEFT(Table1[[#This Row],[Input]],1)</f>
        <v>R</v>
      </c>
      <c r="C235">
        <f>_xlfn.LET(_xlpm.steps,SUBSTITUTE(Table1[[#This Row],[Input]],Table1[[#This Row],[Direction]],""),VALUE(IF(LEN(_xlpm.steps)&gt;2,RIGHT(_xlpm.steps,2),_xlpm.steps)))</f>
        <v>4</v>
      </c>
      <c r="D235">
        <f>_xlfn.LET(_xlpm.dir,Table1[[#This Row],[Direction]],
IF(_xlpm.dir="L",
    IF(F234-Table1[[#This Row],[Steps]]&lt;0,100+(F234-Table1[[#This Row],[Steps]]),F234-Table1[[#This Row],[Steps]]),
))</f>
        <v>0</v>
      </c>
      <c r="E235">
        <f>_xlfn.LET(_xlpm.dir,Table1[[#This Row],[Direction]],
IF(_xlpm.dir="R",
    IF(F234+Table1[[#This Row],[Steps]]&gt;99,(F234+Table1[[#This Row],[Steps]])-100,F234+Table1[[#This Row],[Steps]]),
))</f>
        <v>6</v>
      </c>
      <c r="F235">
        <f>IF(Table1[[#This Row],[New Pos L]]&lt;&gt;0,Table1[[#This Row],[New Pos L]],Table1[[#This Row],[New Pos R]])</f>
        <v>6</v>
      </c>
    </row>
    <row r="236" spans="1:6" ht="16" x14ac:dyDescent="0.2">
      <c r="A236" s="1" t="s">
        <v>138</v>
      </c>
      <c r="B236" t="str">
        <f>LEFT(Table1[[#This Row],[Input]],1)</f>
        <v>L</v>
      </c>
      <c r="C236">
        <f>_xlfn.LET(_xlpm.steps,SUBSTITUTE(Table1[[#This Row],[Input]],Table1[[#This Row],[Direction]],""),VALUE(IF(LEN(_xlpm.steps)&gt;2,RIGHT(_xlpm.steps,2),_xlpm.steps)))</f>
        <v>94</v>
      </c>
      <c r="D236">
        <f>_xlfn.LET(_xlpm.dir,Table1[[#This Row],[Direction]],
IF(_xlpm.dir="L",
    IF(F235-Table1[[#This Row],[Steps]]&lt;0,100+(F235-Table1[[#This Row],[Steps]]),F235-Table1[[#This Row],[Steps]]),
))</f>
        <v>12</v>
      </c>
      <c r="E236">
        <f>_xlfn.LET(_xlpm.dir,Table1[[#This Row],[Direction]],
IF(_xlpm.dir="R",
    IF(F235+Table1[[#This Row],[Steps]]&gt;99,(F235+Table1[[#This Row],[Steps]])-100,F235+Table1[[#This Row],[Steps]]),
))</f>
        <v>0</v>
      </c>
      <c r="F236">
        <f>IF(Table1[[#This Row],[New Pos L]]&lt;&gt;0,Table1[[#This Row],[New Pos L]],Table1[[#This Row],[New Pos R]])</f>
        <v>12</v>
      </c>
    </row>
    <row r="237" spans="1:6" ht="16" x14ac:dyDescent="0.2">
      <c r="A237" s="1" t="s">
        <v>49</v>
      </c>
      <c r="B237" t="str">
        <f>LEFT(Table1[[#This Row],[Input]],1)</f>
        <v>L</v>
      </c>
      <c r="C237">
        <f>_xlfn.LET(_xlpm.steps,SUBSTITUTE(Table1[[#This Row],[Input]],Table1[[#This Row],[Direction]],""),VALUE(IF(LEN(_xlpm.steps)&gt;2,RIGHT(_xlpm.steps,2),_xlpm.steps)))</f>
        <v>93</v>
      </c>
      <c r="D237">
        <f>_xlfn.LET(_xlpm.dir,Table1[[#This Row],[Direction]],
IF(_xlpm.dir="L",
    IF(F236-Table1[[#This Row],[Steps]]&lt;0,100+(F236-Table1[[#This Row],[Steps]]),F236-Table1[[#This Row],[Steps]]),
))</f>
        <v>19</v>
      </c>
      <c r="E237">
        <f>_xlfn.LET(_xlpm.dir,Table1[[#This Row],[Direction]],
IF(_xlpm.dir="R",
    IF(F236+Table1[[#This Row],[Steps]]&gt;99,(F236+Table1[[#This Row],[Steps]])-100,F236+Table1[[#This Row],[Steps]]),
))</f>
        <v>0</v>
      </c>
      <c r="F237">
        <f>IF(Table1[[#This Row],[New Pos L]]&lt;&gt;0,Table1[[#This Row],[New Pos L]],Table1[[#This Row],[New Pos R]])</f>
        <v>19</v>
      </c>
    </row>
    <row r="238" spans="1:6" ht="16" x14ac:dyDescent="0.2">
      <c r="A238" s="1" t="s">
        <v>152</v>
      </c>
      <c r="B238" t="str">
        <f>LEFT(Table1[[#This Row],[Input]],1)</f>
        <v>L</v>
      </c>
      <c r="C238">
        <f>_xlfn.LET(_xlpm.steps,SUBSTITUTE(Table1[[#This Row],[Input]],Table1[[#This Row],[Direction]],""),VALUE(IF(LEN(_xlpm.steps)&gt;2,RIGHT(_xlpm.steps,2),_xlpm.steps)))</f>
        <v>92</v>
      </c>
      <c r="D238">
        <f>_xlfn.LET(_xlpm.dir,Table1[[#This Row],[Direction]],
IF(_xlpm.dir="L",
    IF(F237-Table1[[#This Row],[Steps]]&lt;0,100+(F237-Table1[[#This Row],[Steps]]),F237-Table1[[#This Row],[Steps]]),
))</f>
        <v>27</v>
      </c>
      <c r="E238">
        <f>_xlfn.LET(_xlpm.dir,Table1[[#This Row],[Direction]],
IF(_xlpm.dir="R",
    IF(F237+Table1[[#This Row],[Steps]]&gt;99,(F237+Table1[[#This Row],[Steps]])-100,F237+Table1[[#This Row],[Steps]]),
))</f>
        <v>0</v>
      </c>
      <c r="F238">
        <f>IF(Table1[[#This Row],[New Pos L]]&lt;&gt;0,Table1[[#This Row],[New Pos L]],Table1[[#This Row],[New Pos R]])</f>
        <v>27</v>
      </c>
    </row>
    <row r="239" spans="1:6" ht="16" x14ac:dyDescent="0.2">
      <c r="A239" s="1" t="s">
        <v>20</v>
      </c>
      <c r="B239" t="str">
        <f>LEFT(Table1[[#This Row],[Input]],1)</f>
        <v>R</v>
      </c>
      <c r="C239">
        <f>_xlfn.LET(_xlpm.steps,SUBSTITUTE(Table1[[#This Row],[Input]],Table1[[#This Row],[Direction]],""),VALUE(IF(LEN(_xlpm.steps)&gt;2,RIGHT(_xlpm.steps,2),_xlpm.steps)))</f>
        <v>46</v>
      </c>
      <c r="D239">
        <f>_xlfn.LET(_xlpm.dir,Table1[[#This Row],[Direction]],
IF(_xlpm.dir="L",
    IF(F238-Table1[[#This Row],[Steps]]&lt;0,100+(F238-Table1[[#This Row],[Steps]]),F238-Table1[[#This Row],[Steps]]),
))</f>
        <v>0</v>
      </c>
      <c r="E239">
        <f>_xlfn.LET(_xlpm.dir,Table1[[#This Row],[Direction]],
IF(_xlpm.dir="R",
    IF(F238+Table1[[#This Row],[Steps]]&gt;99,(F238+Table1[[#This Row],[Steps]])-100,F238+Table1[[#This Row],[Steps]]),
))</f>
        <v>73</v>
      </c>
      <c r="F239">
        <f>IF(Table1[[#This Row],[New Pos L]]&lt;&gt;0,Table1[[#This Row],[New Pos L]],Table1[[#This Row],[New Pos R]])</f>
        <v>73</v>
      </c>
    </row>
    <row r="240" spans="1:6" ht="16" x14ac:dyDescent="0.2">
      <c r="A240" s="1" t="s">
        <v>146</v>
      </c>
      <c r="B240" t="str">
        <f>LEFT(Table1[[#This Row],[Input]],1)</f>
        <v>R</v>
      </c>
      <c r="C240">
        <f>_xlfn.LET(_xlpm.steps,SUBSTITUTE(Table1[[#This Row],[Input]],Table1[[#This Row],[Direction]],""),VALUE(IF(LEN(_xlpm.steps)&gt;2,RIGHT(_xlpm.steps,2),_xlpm.steps)))</f>
        <v>4</v>
      </c>
      <c r="D240">
        <f>_xlfn.LET(_xlpm.dir,Table1[[#This Row],[Direction]],
IF(_xlpm.dir="L",
    IF(F239-Table1[[#This Row],[Steps]]&lt;0,100+(F239-Table1[[#This Row],[Steps]]),F239-Table1[[#This Row],[Steps]]),
))</f>
        <v>0</v>
      </c>
      <c r="E240">
        <f>_xlfn.LET(_xlpm.dir,Table1[[#This Row],[Direction]],
IF(_xlpm.dir="R",
    IF(F239+Table1[[#This Row],[Steps]]&gt;99,(F239+Table1[[#This Row],[Steps]])-100,F239+Table1[[#This Row],[Steps]]),
))</f>
        <v>77</v>
      </c>
      <c r="F240">
        <f>IF(Table1[[#This Row],[New Pos L]]&lt;&gt;0,Table1[[#This Row],[New Pos L]],Table1[[#This Row],[New Pos R]])</f>
        <v>77</v>
      </c>
    </row>
    <row r="241" spans="1:6" ht="16" x14ac:dyDescent="0.2">
      <c r="A241" s="1" t="s">
        <v>119</v>
      </c>
      <c r="B241" t="str">
        <f>LEFT(Table1[[#This Row],[Input]],1)</f>
        <v>L</v>
      </c>
      <c r="C241">
        <f>_xlfn.LET(_xlpm.steps,SUBSTITUTE(Table1[[#This Row],[Input]],Table1[[#This Row],[Direction]],""),VALUE(IF(LEN(_xlpm.steps)&gt;2,RIGHT(_xlpm.steps,2),_xlpm.steps)))</f>
        <v>77</v>
      </c>
      <c r="D241">
        <f>_xlfn.LET(_xlpm.dir,Table1[[#This Row],[Direction]],
IF(_xlpm.dir="L",
    IF(F240-Table1[[#This Row],[Steps]]&lt;0,100+(F240-Table1[[#This Row],[Steps]]),F240-Table1[[#This Row],[Steps]]),
))</f>
        <v>0</v>
      </c>
      <c r="E241">
        <f>_xlfn.LET(_xlpm.dir,Table1[[#This Row],[Direction]],
IF(_xlpm.dir="R",
    IF(F240+Table1[[#This Row],[Steps]]&gt;99,(F240+Table1[[#This Row],[Steps]])-100,F240+Table1[[#This Row],[Steps]]),
))</f>
        <v>0</v>
      </c>
      <c r="F241">
        <f>IF(Table1[[#This Row],[New Pos L]]&lt;&gt;0,Table1[[#This Row],[New Pos L]],Table1[[#This Row],[New Pos R]])</f>
        <v>0</v>
      </c>
    </row>
    <row r="242" spans="1:6" ht="16" x14ac:dyDescent="0.2">
      <c r="A242" s="1" t="s">
        <v>153</v>
      </c>
      <c r="B242" t="str">
        <f>LEFT(Table1[[#This Row],[Input]],1)</f>
        <v>L</v>
      </c>
      <c r="C242">
        <f>_xlfn.LET(_xlpm.steps,SUBSTITUTE(Table1[[#This Row],[Input]],Table1[[#This Row],[Direction]],""),VALUE(IF(LEN(_xlpm.steps)&gt;2,RIGHT(_xlpm.steps,2),_xlpm.steps)))</f>
        <v>41</v>
      </c>
      <c r="D242">
        <f>_xlfn.LET(_xlpm.dir,Table1[[#This Row],[Direction]],
IF(_xlpm.dir="L",
    IF(F241-Table1[[#This Row],[Steps]]&lt;0,100+(F241-Table1[[#This Row],[Steps]]),F241-Table1[[#This Row],[Steps]]),
))</f>
        <v>59</v>
      </c>
      <c r="E242">
        <f>_xlfn.LET(_xlpm.dir,Table1[[#This Row],[Direction]],
IF(_xlpm.dir="R",
    IF(F241+Table1[[#This Row],[Steps]]&gt;99,(F241+Table1[[#This Row],[Steps]])-100,F241+Table1[[#This Row],[Steps]]),
))</f>
        <v>0</v>
      </c>
      <c r="F242">
        <f>IF(Table1[[#This Row],[New Pos L]]&lt;&gt;0,Table1[[#This Row],[New Pos L]],Table1[[#This Row],[New Pos R]])</f>
        <v>59</v>
      </c>
    </row>
    <row r="243" spans="1:6" ht="16" x14ac:dyDescent="0.2">
      <c r="A243" s="1" t="s">
        <v>154</v>
      </c>
      <c r="B243" t="str">
        <f>LEFT(Table1[[#This Row],[Input]],1)</f>
        <v>L</v>
      </c>
      <c r="C243">
        <f>_xlfn.LET(_xlpm.steps,SUBSTITUTE(Table1[[#This Row],[Input]],Table1[[#This Row],[Direction]],""),VALUE(IF(LEN(_xlpm.steps)&gt;2,RIGHT(_xlpm.steps,2),_xlpm.steps)))</f>
        <v>6</v>
      </c>
      <c r="D243">
        <f>_xlfn.LET(_xlpm.dir,Table1[[#This Row],[Direction]],
IF(_xlpm.dir="L",
    IF(F242-Table1[[#This Row],[Steps]]&lt;0,100+(F242-Table1[[#This Row],[Steps]]),F242-Table1[[#This Row],[Steps]]),
))</f>
        <v>53</v>
      </c>
      <c r="E243">
        <f>_xlfn.LET(_xlpm.dir,Table1[[#This Row],[Direction]],
IF(_xlpm.dir="R",
    IF(F242+Table1[[#This Row],[Steps]]&gt;99,(F242+Table1[[#This Row],[Steps]])-100,F242+Table1[[#This Row],[Steps]]),
))</f>
        <v>0</v>
      </c>
      <c r="F243">
        <f>IF(Table1[[#This Row],[New Pos L]]&lt;&gt;0,Table1[[#This Row],[New Pos L]],Table1[[#This Row],[New Pos R]])</f>
        <v>53</v>
      </c>
    </row>
    <row r="244" spans="1:6" ht="16" x14ac:dyDescent="0.2">
      <c r="A244" s="1" t="s">
        <v>155</v>
      </c>
      <c r="B244" t="str">
        <f>LEFT(Table1[[#This Row],[Input]],1)</f>
        <v>L</v>
      </c>
      <c r="C244">
        <f>_xlfn.LET(_xlpm.steps,SUBSTITUTE(Table1[[#This Row],[Input]],Table1[[#This Row],[Direction]],""),VALUE(IF(LEN(_xlpm.steps)&gt;2,RIGHT(_xlpm.steps,2),_xlpm.steps)))</f>
        <v>18</v>
      </c>
      <c r="D244">
        <f>_xlfn.LET(_xlpm.dir,Table1[[#This Row],[Direction]],
IF(_xlpm.dir="L",
    IF(F243-Table1[[#This Row],[Steps]]&lt;0,100+(F243-Table1[[#This Row],[Steps]]),F243-Table1[[#This Row],[Steps]]),
))</f>
        <v>35</v>
      </c>
      <c r="E244">
        <f>_xlfn.LET(_xlpm.dir,Table1[[#This Row],[Direction]],
IF(_xlpm.dir="R",
    IF(F243+Table1[[#This Row],[Steps]]&gt;99,(F243+Table1[[#This Row],[Steps]])-100,F243+Table1[[#This Row],[Steps]]),
))</f>
        <v>0</v>
      </c>
      <c r="F244">
        <f>IF(Table1[[#This Row],[New Pos L]]&lt;&gt;0,Table1[[#This Row],[New Pos L]],Table1[[#This Row],[New Pos R]])</f>
        <v>35</v>
      </c>
    </row>
    <row r="245" spans="1:6" ht="16" x14ac:dyDescent="0.2">
      <c r="A245" s="1" t="s">
        <v>51</v>
      </c>
      <c r="B245" t="str">
        <f>LEFT(Table1[[#This Row],[Input]],1)</f>
        <v>L</v>
      </c>
      <c r="C245">
        <f>_xlfn.LET(_xlpm.steps,SUBSTITUTE(Table1[[#This Row],[Input]],Table1[[#This Row],[Direction]],""),VALUE(IF(LEN(_xlpm.steps)&gt;2,RIGHT(_xlpm.steps,2),_xlpm.steps)))</f>
        <v>25</v>
      </c>
      <c r="D245">
        <f>_xlfn.LET(_xlpm.dir,Table1[[#This Row],[Direction]],
IF(_xlpm.dir="L",
    IF(F244-Table1[[#This Row],[Steps]]&lt;0,100+(F244-Table1[[#This Row],[Steps]]),F244-Table1[[#This Row],[Steps]]),
))</f>
        <v>10</v>
      </c>
      <c r="E245">
        <f>_xlfn.LET(_xlpm.dir,Table1[[#This Row],[Direction]],
IF(_xlpm.dir="R",
    IF(F244+Table1[[#This Row],[Steps]]&gt;99,(F244+Table1[[#This Row],[Steps]])-100,F244+Table1[[#This Row],[Steps]]),
))</f>
        <v>0</v>
      </c>
      <c r="F245">
        <f>IF(Table1[[#This Row],[New Pos L]]&lt;&gt;0,Table1[[#This Row],[New Pos L]],Table1[[#This Row],[New Pos R]])</f>
        <v>10</v>
      </c>
    </row>
    <row r="246" spans="1:6" ht="16" x14ac:dyDescent="0.2">
      <c r="A246" s="1" t="s">
        <v>43</v>
      </c>
      <c r="B246" t="str">
        <f>LEFT(Table1[[#This Row],[Input]],1)</f>
        <v>R</v>
      </c>
      <c r="C246">
        <f>_xlfn.LET(_xlpm.steps,SUBSTITUTE(Table1[[#This Row],[Input]],Table1[[#This Row],[Direction]],""),VALUE(IF(LEN(_xlpm.steps)&gt;2,RIGHT(_xlpm.steps,2),_xlpm.steps)))</f>
        <v>90</v>
      </c>
      <c r="D246">
        <f>_xlfn.LET(_xlpm.dir,Table1[[#This Row],[Direction]],
IF(_xlpm.dir="L",
    IF(F245-Table1[[#This Row],[Steps]]&lt;0,100+(F245-Table1[[#This Row],[Steps]]),F245-Table1[[#This Row],[Steps]]),
))</f>
        <v>0</v>
      </c>
      <c r="E246">
        <f>_xlfn.LET(_xlpm.dir,Table1[[#This Row],[Direction]],
IF(_xlpm.dir="R",
    IF(F245+Table1[[#This Row],[Steps]]&gt;99,(F245+Table1[[#This Row],[Steps]])-100,F245+Table1[[#This Row],[Steps]]),
))</f>
        <v>0</v>
      </c>
      <c r="F246">
        <f>IF(Table1[[#This Row],[New Pos L]]&lt;&gt;0,Table1[[#This Row],[New Pos L]],Table1[[#This Row],[New Pos R]])</f>
        <v>0</v>
      </c>
    </row>
    <row r="247" spans="1:6" ht="16" x14ac:dyDescent="0.2">
      <c r="A247" s="1" t="s">
        <v>156</v>
      </c>
      <c r="B247" t="str">
        <f>LEFT(Table1[[#This Row],[Input]],1)</f>
        <v>L</v>
      </c>
      <c r="C247">
        <f>_xlfn.LET(_xlpm.steps,SUBSTITUTE(Table1[[#This Row],[Input]],Table1[[#This Row],[Direction]],""),VALUE(IF(LEN(_xlpm.steps)&gt;2,RIGHT(_xlpm.steps,2),_xlpm.steps)))</f>
        <v>58</v>
      </c>
      <c r="D247">
        <f>_xlfn.LET(_xlpm.dir,Table1[[#This Row],[Direction]],
IF(_xlpm.dir="L",
    IF(F246-Table1[[#This Row],[Steps]]&lt;0,100+(F246-Table1[[#This Row],[Steps]]),F246-Table1[[#This Row],[Steps]]),
))</f>
        <v>42</v>
      </c>
      <c r="E247">
        <f>_xlfn.LET(_xlpm.dir,Table1[[#This Row],[Direction]],
IF(_xlpm.dir="R",
    IF(F246+Table1[[#This Row],[Steps]]&gt;99,(F246+Table1[[#This Row],[Steps]])-100,F246+Table1[[#This Row],[Steps]]),
))</f>
        <v>0</v>
      </c>
      <c r="F247">
        <f>IF(Table1[[#This Row],[New Pos L]]&lt;&gt;0,Table1[[#This Row],[New Pos L]],Table1[[#This Row],[New Pos R]])</f>
        <v>42</v>
      </c>
    </row>
    <row r="248" spans="1:6" ht="16" x14ac:dyDescent="0.2">
      <c r="A248" s="1" t="s">
        <v>157</v>
      </c>
      <c r="B248" t="str">
        <f>LEFT(Table1[[#This Row],[Input]],1)</f>
        <v>R</v>
      </c>
      <c r="C248">
        <f>_xlfn.LET(_xlpm.steps,SUBSTITUTE(Table1[[#This Row],[Input]],Table1[[#This Row],[Direction]],""),VALUE(IF(LEN(_xlpm.steps)&gt;2,RIGHT(_xlpm.steps,2),_xlpm.steps)))</f>
        <v>68</v>
      </c>
      <c r="D248">
        <f>_xlfn.LET(_xlpm.dir,Table1[[#This Row],[Direction]],
IF(_xlpm.dir="L",
    IF(F247-Table1[[#This Row],[Steps]]&lt;0,100+(F247-Table1[[#This Row],[Steps]]),F247-Table1[[#This Row],[Steps]]),
))</f>
        <v>0</v>
      </c>
      <c r="E248">
        <f>_xlfn.LET(_xlpm.dir,Table1[[#This Row],[Direction]],
IF(_xlpm.dir="R",
    IF(F247+Table1[[#This Row],[Steps]]&gt;99,(F247+Table1[[#This Row],[Steps]])-100,F247+Table1[[#This Row],[Steps]]),
))</f>
        <v>10</v>
      </c>
      <c r="F248">
        <f>IF(Table1[[#This Row],[New Pos L]]&lt;&gt;0,Table1[[#This Row],[New Pos L]],Table1[[#This Row],[New Pos R]])</f>
        <v>10</v>
      </c>
    </row>
    <row r="249" spans="1:6" ht="16" x14ac:dyDescent="0.2">
      <c r="A249" s="1" t="s">
        <v>32</v>
      </c>
      <c r="B249" t="str">
        <f>LEFT(Table1[[#This Row],[Input]],1)</f>
        <v>L</v>
      </c>
      <c r="C249">
        <f>_xlfn.LET(_xlpm.steps,SUBSTITUTE(Table1[[#This Row],[Input]],Table1[[#This Row],[Direction]],""),VALUE(IF(LEN(_xlpm.steps)&gt;2,RIGHT(_xlpm.steps,2),_xlpm.steps)))</f>
        <v>28</v>
      </c>
      <c r="D249">
        <f>_xlfn.LET(_xlpm.dir,Table1[[#This Row],[Direction]],
IF(_xlpm.dir="L",
    IF(F248-Table1[[#This Row],[Steps]]&lt;0,100+(F248-Table1[[#This Row],[Steps]]),F248-Table1[[#This Row],[Steps]]),
))</f>
        <v>82</v>
      </c>
      <c r="E249">
        <f>_xlfn.LET(_xlpm.dir,Table1[[#This Row],[Direction]],
IF(_xlpm.dir="R",
    IF(F248+Table1[[#This Row],[Steps]]&gt;99,(F248+Table1[[#This Row],[Steps]])-100,F248+Table1[[#This Row],[Steps]]),
))</f>
        <v>0</v>
      </c>
      <c r="F249">
        <f>IF(Table1[[#This Row],[New Pos L]]&lt;&gt;0,Table1[[#This Row],[New Pos L]],Table1[[#This Row],[New Pos R]])</f>
        <v>82</v>
      </c>
    </row>
    <row r="250" spans="1:6" ht="16" x14ac:dyDescent="0.2">
      <c r="A250" s="1" t="s">
        <v>158</v>
      </c>
      <c r="B250" t="str">
        <f>LEFT(Table1[[#This Row],[Input]],1)</f>
        <v>L</v>
      </c>
      <c r="C250">
        <f>_xlfn.LET(_xlpm.steps,SUBSTITUTE(Table1[[#This Row],[Input]],Table1[[#This Row],[Direction]],""),VALUE(IF(LEN(_xlpm.steps)&gt;2,RIGHT(_xlpm.steps,2),_xlpm.steps)))</f>
        <v>24</v>
      </c>
      <c r="D250">
        <f>_xlfn.LET(_xlpm.dir,Table1[[#This Row],[Direction]],
IF(_xlpm.dir="L",
    IF(F249-Table1[[#This Row],[Steps]]&lt;0,100+(F249-Table1[[#This Row],[Steps]]),F249-Table1[[#This Row],[Steps]]),
))</f>
        <v>58</v>
      </c>
      <c r="E250">
        <f>_xlfn.LET(_xlpm.dir,Table1[[#This Row],[Direction]],
IF(_xlpm.dir="R",
    IF(F249+Table1[[#This Row],[Steps]]&gt;99,(F249+Table1[[#This Row],[Steps]])-100,F249+Table1[[#This Row],[Steps]]),
))</f>
        <v>0</v>
      </c>
      <c r="F250">
        <f>IF(Table1[[#This Row],[New Pos L]]&lt;&gt;0,Table1[[#This Row],[New Pos L]],Table1[[#This Row],[New Pos R]])</f>
        <v>58</v>
      </c>
    </row>
    <row r="251" spans="1:6" ht="16" x14ac:dyDescent="0.2">
      <c r="A251" s="1" t="s">
        <v>159</v>
      </c>
      <c r="B251" t="str">
        <f>LEFT(Table1[[#This Row],[Input]],1)</f>
        <v>R</v>
      </c>
      <c r="C251">
        <f>_xlfn.LET(_xlpm.steps,SUBSTITUTE(Table1[[#This Row],[Input]],Table1[[#This Row],[Direction]],""),VALUE(IF(LEN(_xlpm.steps)&gt;2,RIGHT(_xlpm.steps,2),_xlpm.steps)))</f>
        <v>24</v>
      </c>
      <c r="D251">
        <f>_xlfn.LET(_xlpm.dir,Table1[[#This Row],[Direction]],
IF(_xlpm.dir="L",
    IF(F250-Table1[[#This Row],[Steps]]&lt;0,100+(F250-Table1[[#This Row],[Steps]]),F250-Table1[[#This Row],[Steps]]),
))</f>
        <v>0</v>
      </c>
      <c r="E251">
        <f>_xlfn.LET(_xlpm.dir,Table1[[#This Row],[Direction]],
IF(_xlpm.dir="R",
    IF(F250+Table1[[#This Row],[Steps]]&gt;99,(F250+Table1[[#This Row],[Steps]])-100,F250+Table1[[#This Row],[Steps]]),
))</f>
        <v>82</v>
      </c>
      <c r="F251">
        <f>IF(Table1[[#This Row],[New Pos L]]&lt;&gt;0,Table1[[#This Row],[New Pos L]],Table1[[#This Row],[New Pos R]])</f>
        <v>82</v>
      </c>
    </row>
    <row r="252" spans="1:6" ht="16" x14ac:dyDescent="0.2">
      <c r="A252" s="1" t="s">
        <v>55</v>
      </c>
      <c r="B252" t="str">
        <f>LEFT(Table1[[#This Row],[Input]],1)</f>
        <v>L</v>
      </c>
      <c r="C252">
        <f>_xlfn.LET(_xlpm.steps,SUBSTITUTE(Table1[[#This Row],[Input]],Table1[[#This Row],[Direction]],""),VALUE(IF(LEN(_xlpm.steps)&gt;2,RIGHT(_xlpm.steps,2),_xlpm.steps)))</f>
        <v>82</v>
      </c>
      <c r="D252">
        <f>_xlfn.LET(_xlpm.dir,Table1[[#This Row],[Direction]],
IF(_xlpm.dir="L",
    IF(F251-Table1[[#This Row],[Steps]]&lt;0,100+(F251-Table1[[#This Row],[Steps]]),F251-Table1[[#This Row],[Steps]]),
))</f>
        <v>0</v>
      </c>
      <c r="E252">
        <f>_xlfn.LET(_xlpm.dir,Table1[[#This Row],[Direction]],
IF(_xlpm.dir="R",
    IF(F251+Table1[[#This Row],[Steps]]&gt;99,(F251+Table1[[#This Row],[Steps]])-100,F251+Table1[[#This Row],[Steps]]),
))</f>
        <v>0</v>
      </c>
      <c r="F252">
        <f>IF(Table1[[#This Row],[New Pos L]]&lt;&gt;0,Table1[[#This Row],[New Pos L]],Table1[[#This Row],[New Pos R]])</f>
        <v>0</v>
      </c>
    </row>
    <row r="253" spans="1:6" ht="16" x14ac:dyDescent="0.2">
      <c r="A253" s="1" t="s">
        <v>10</v>
      </c>
      <c r="B253" t="str">
        <f>LEFT(Table1[[#This Row],[Input]],1)</f>
        <v>L</v>
      </c>
      <c r="C253">
        <f>_xlfn.LET(_xlpm.steps,SUBSTITUTE(Table1[[#This Row],[Input]],Table1[[#This Row],[Direction]],""),VALUE(IF(LEN(_xlpm.steps)&gt;2,RIGHT(_xlpm.steps,2),_xlpm.steps)))</f>
        <v>35</v>
      </c>
      <c r="D253">
        <f>_xlfn.LET(_xlpm.dir,Table1[[#This Row],[Direction]],
IF(_xlpm.dir="L",
    IF(F252-Table1[[#This Row],[Steps]]&lt;0,100+(F252-Table1[[#This Row],[Steps]]),F252-Table1[[#This Row],[Steps]]),
))</f>
        <v>65</v>
      </c>
      <c r="E253">
        <f>_xlfn.LET(_xlpm.dir,Table1[[#This Row],[Direction]],
IF(_xlpm.dir="R",
    IF(F252+Table1[[#This Row],[Steps]]&gt;99,(F252+Table1[[#This Row],[Steps]])-100,F252+Table1[[#This Row],[Steps]]),
))</f>
        <v>0</v>
      </c>
      <c r="F253">
        <f>IF(Table1[[#This Row],[New Pos L]]&lt;&gt;0,Table1[[#This Row],[New Pos L]],Table1[[#This Row],[New Pos R]])</f>
        <v>65</v>
      </c>
    </row>
    <row r="254" spans="1:6" ht="16" x14ac:dyDescent="0.2">
      <c r="A254" s="1" t="s">
        <v>160</v>
      </c>
      <c r="B254" t="str">
        <f>LEFT(Table1[[#This Row],[Input]],1)</f>
        <v>L</v>
      </c>
      <c r="C254">
        <f>_xlfn.LET(_xlpm.steps,SUBSTITUTE(Table1[[#This Row],[Input]],Table1[[#This Row],[Direction]],""),VALUE(IF(LEN(_xlpm.steps)&gt;2,RIGHT(_xlpm.steps,2),_xlpm.steps)))</f>
        <v>65</v>
      </c>
      <c r="D254">
        <f>_xlfn.LET(_xlpm.dir,Table1[[#This Row],[Direction]],
IF(_xlpm.dir="L",
    IF(F253-Table1[[#This Row],[Steps]]&lt;0,100+(F253-Table1[[#This Row],[Steps]]),F253-Table1[[#This Row],[Steps]]),
))</f>
        <v>0</v>
      </c>
      <c r="E254">
        <f>_xlfn.LET(_xlpm.dir,Table1[[#This Row],[Direction]],
IF(_xlpm.dir="R",
    IF(F253+Table1[[#This Row],[Steps]]&gt;99,(F253+Table1[[#This Row],[Steps]])-100,F253+Table1[[#This Row],[Steps]]),
))</f>
        <v>0</v>
      </c>
      <c r="F254">
        <f>IF(Table1[[#This Row],[New Pos L]]&lt;&gt;0,Table1[[#This Row],[New Pos L]],Table1[[#This Row],[New Pos R]])</f>
        <v>0</v>
      </c>
    </row>
    <row r="255" spans="1:6" ht="16" x14ac:dyDescent="0.2">
      <c r="A255" s="1" t="s">
        <v>3</v>
      </c>
      <c r="B255" t="str">
        <f>LEFT(Table1[[#This Row],[Input]],1)</f>
        <v>R</v>
      </c>
      <c r="C255">
        <f>_xlfn.LET(_xlpm.steps,SUBSTITUTE(Table1[[#This Row],[Input]],Table1[[#This Row],[Direction]],""),VALUE(IF(LEN(_xlpm.steps)&gt;2,RIGHT(_xlpm.steps,2),_xlpm.steps)))</f>
        <v>44</v>
      </c>
      <c r="D255">
        <f>_xlfn.LET(_xlpm.dir,Table1[[#This Row],[Direction]],
IF(_xlpm.dir="L",
    IF(F254-Table1[[#This Row],[Steps]]&lt;0,100+(F254-Table1[[#This Row],[Steps]]),F254-Table1[[#This Row],[Steps]]),
))</f>
        <v>0</v>
      </c>
      <c r="E255">
        <f>_xlfn.LET(_xlpm.dir,Table1[[#This Row],[Direction]],
IF(_xlpm.dir="R",
    IF(F254+Table1[[#This Row],[Steps]]&gt;99,(F254+Table1[[#This Row],[Steps]])-100,F254+Table1[[#This Row],[Steps]]),
))</f>
        <v>44</v>
      </c>
      <c r="F255">
        <f>IF(Table1[[#This Row],[New Pos L]]&lt;&gt;0,Table1[[#This Row],[New Pos L]],Table1[[#This Row],[New Pos R]])</f>
        <v>44</v>
      </c>
    </row>
    <row r="256" spans="1:6" ht="16" x14ac:dyDescent="0.2">
      <c r="A256" s="1" t="s">
        <v>0</v>
      </c>
      <c r="B256" t="str">
        <f>LEFT(Table1[[#This Row],[Input]],1)</f>
        <v>L</v>
      </c>
      <c r="C256">
        <f>_xlfn.LET(_xlpm.steps,SUBSTITUTE(Table1[[#This Row],[Input]],Table1[[#This Row],[Direction]],""),VALUE(IF(LEN(_xlpm.steps)&gt;2,RIGHT(_xlpm.steps,2),_xlpm.steps)))</f>
        <v>44</v>
      </c>
      <c r="D256">
        <f>_xlfn.LET(_xlpm.dir,Table1[[#This Row],[Direction]],
IF(_xlpm.dir="L",
    IF(F255-Table1[[#This Row],[Steps]]&lt;0,100+(F255-Table1[[#This Row],[Steps]]),F255-Table1[[#This Row],[Steps]]),
))</f>
        <v>0</v>
      </c>
      <c r="E256">
        <f>_xlfn.LET(_xlpm.dir,Table1[[#This Row],[Direction]],
IF(_xlpm.dir="R",
    IF(F255+Table1[[#This Row],[Steps]]&gt;99,(F255+Table1[[#This Row],[Steps]])-100,F255+Table1[[#This Row],[Steps]]),
))</f>
        <v>0</v>
      </c>
      <c r="F256">
        <f>IF(Table1[[#This Row],[New Pos L]]&lt;&gt;0,Table1[[#This Row],[New Pos L]],Table1[[#This Row],[New Pos R]])</f>
        <v>0</v>
      </c>
    </row>
    <row r="257" spans="1:6" ht="16" x14ac:dyDescent="0.2">
      <c r="A257" s="1" t="s">
        <v>161</v>
      </c>
      <c r="B257" t="str">
        <f>LEFT(Table1[[#This Row],[Input]],1)</f>
        <v>R</v>
      </c>
      <c r="C257">
        <f>_xlfn.LET(_xlpm.steps,SUBSTITUTE(Table1[[#This Row],[Input]],Table1[[#This Row],[Direction]],""),VALUE(IF(LEN(_xlpm.steps)&gt;2,RIGHT(_xlpm.steps,2),_xlpm.steps)))</f>
        <v>76</v>
      </c>
      <c r="D257">
        <f>_xlfn.LET(_xlpm.dir,Table1[[#This Row],[Direction]],
IF(_xlpm.dir="L",
    IF(F256-Table1[[#This Row],[Steps]]&lt;0,100+(F256-Table1[[#This Row],[Steps]]),F256-Table1[[#This Row],[Steps]]),
))</f>
        <v>0</v>
      </c>
      <c r="E257">
        <f>_xlfn.LET(_xlpm.dir,Table1[[#This Row],[Direction]],
IF(_xlpm.dir="R",
    IF(F256+Table1[[#This Row],[Steps]]&gt;99,(F256+Table1[[#This Row],[Steps]])-100,F256+Table1[[#This Row],[Steps]]),
))</f>
        <v>76</v>
      </c>
      <c r="F257">
        <f>IF(Table1[[#This Row],[New Pos L]]&lt;&gt;0,Table1[[#This Row],[New Pos L]],Table1[[#This Row],[New Pos R]])</f>
        <v>76</v>
      </c>
    </row>
    <row r="258" spans="1:6" ht="16" x14ac:dyDescent="0.2">
      <c r="A258" s="1" t="s">
        <v>162</v>
      </c>
      <c r="B258" t="str">
        <f>LEFT(Table1[[#This Row],[Input]],1)</f>
        <v>R</v>
      </c>
      <c r="C258">
        <f>_xlfn.LET(_xlpm.steps,SUBSTITUTE(Table1[[#This Row],[Input]],Table1[[#This Row],[Direction]],""),VALUE(IF(LEN(_xlpm.steps)&gt;2,RIGHT(_xlpm.steps,2),_xlpm.steps)))</f>
        <v>71</v>
      </c>
      <c r="D258">
        <f>_xlfn.LET(_xlpm.dir,Table1[[#This Row],[Direction]],
IF(_xlpm.dir="L",
    IF(F257-Table1[[#This Row],[Steps]]&lt;0,100+(F257-Table1[[#This Row],[Steps]]),F257-Table1[[#This Row],[Steps]]),
))</f>
        <v>0</v>
      </c>
      <c r="E258">
        <f>_xlfn.LET(_xlpm.dir,Table1[[#This Row],[Direction]],
IF(_xlpm.dir="R",
    IF(F257+Table1[[#This Row],[Steps]]&gt;99,(F257+Table1[[#This Row],[Steps]])-100,F257+Table1[[#This Row],[Steps]]),
))</f>
        <v>47</v>
      </c>
      <c r="F258">
        <f>IF(Table1[[#This Row],[New Pos L]]&lt;&gt;0,Table1[[#This Row],[New Pos L]],Table1[[#This Row],[New Pos R]])</f>
        <v>47</v>
      </c>
    </row>
    <row r="259" spans="1:6" ht="16" x14ac:dyDescent="0.2">
      <c r="A259" s="1" t="s">
        <v>163</v>
      </c>
      <c r="B259" t="str">
        <f>LEFT(Table1[[#This Row],[Input]],1)</f>
        <v>R</v>
      </c>
      <c r="C259">
        <f>_xlfn.LET(_xlpm.steps,SUBSTITUTE(Table1[[#This Row],[Input]],Table1[[#This Row],[Direction]],""),VALUE(IF(LEN(_xlpm.steps)&gt;2,RIGHT(_xlpm.steps,2),_xlpm.steps)))</f>
        <v>53</v>
      </c>
      <c r="D259">
        <f>_xlfn.LET(_xlpm.dir,Table1[[#This Row],[Direction]],
IF(_xlpm.dir="L",
    IF(F258-Table1[[#This Row],[Steps]]&lt;0,100+(F258-Table1[[#This Row],[Steps]]),F258-Table1[[#This Row],[Steps]]),
))</f>
        <v>0</v>
      </c>
      <c r="E259">
        <f>_xlfn.LET(_xlpm.dir,Table1[[#This Row],[Direction]],
IF(_xlpm.dir="R",
    IF(F258+Table1[[#This Row],[Steps]]&gt;99,(F258+Table1[[#This Row],[Steps]])-100,F258+Table1[[#This Row],[Steps]]),
))</f>
        <v>0</v>
      </c>
      <c r="F259">
        <f>IF(Table1[[#This Row],[New Pos L]]&lt;&gt;0,Table1[[#This Row],[New Pos L]],Table1[[#This Row],[New Pos R]])</f>
        <v>0</v>
      </c>
    </row>
    <row r="260" spans="1:6" ht="16" x14ac:dyDescent="0.2">
      <c r="A260" s="1" t="s">
        <v>5</v>
      </c>
      <c r="B260" t="str">
        <f>LEFT(Table1[[#This Row],[Input]],1)</f>
        <v>R</v>
      </c>
      <c r="C260">
        <f>_xlfn.LET(_xlpm.steps,SUBSTITUTE(Table1[[#This Row],[Input]],Table1[[#This Row],[Direction]],""),VALUE(IF(LEN(_xlpm.steps)&gt;2,RIGHT(_xlpm.steps,2),_xlpm.steps)))</f>
        <v>1</v>
      </c>
      <c r="D260">
        <f>_xlfn.LET(_xlpm.dir,Table1[[#This Row],[Direction]],
IF(_xlpm.dir="L",
    IF(F259-Table1[[#This Row],[Steps]]&lt;0,100+(F259-Table1[[#This Row],[Steps]]),F259-Table1[[#This Row],[Steps]]),
))</f>
        <v>0</v>
      </c>
      <c r="E260">
        <f>_xlfn.LET(_xlpm.dir,Table1[[#This Row],[Direction]],
IF(_xlpm.dir="R",
    IF(F259+Table1[[#This Row],[Steps]]&gt;99,(F259+Table1[[#This Row],[Steps]])-100,F259+Table1[[#This Row],[Steps]]),
))</f>
        <v>1</v>
      </c>
      <c r="F260">
        <f>IF(Table1[[#This Row],[New Pos L]]&lt;&gt;0,Table1[[#This Row],[New Pos L]],Table1[[#This Row],[New Pos R]])</f>
        <v>1</v>
      </c>
    </row>
    <row r="261" spans="1:6" ht="16" x14ac:dyDescent="0.2">
      <c r="A261" s="1" t="s">
        <v>55</v>
      </c>
      <c r="B261" t="str">
        <f>LEFT(Table1[[#This Row],[Input]],1)</f>
        <v>L</v>
      </c>
      <c r="C261">
        <f>_xlfn.LET(_xlpm.steps,SUBSTITUTE(Table1[[#This Row],[Input]],Table1[[#This Row],[Direction]],""),VALUE(IF(LEN(_xlpm.steps)&gt;2,RIGHT(_xlpm.steps,2),_xlpm.steps)))</f>
        <v>82</v>
      </c>
      <c r="D261">
        <f>_xlfn.LET(_xlpm.dir,Table1[[#This Row],[Direction]],
IF(_xlpm.dir="L",
    IF(F260-Table1[[#This Row],[Steps]]&lt;0,100+(F260-Table1[[#This Row],[Steps]]),F260-Table1[[#This Row],[Steps]]),
))</f>
        <v>19</v>
      </c>
      <c r="E261">
        <f>_xlfn.LET(_xlpm.dir,Table1[[#This Row],[Direction]],
IF(_xlpm.dir="R",
    IF(F260+Table1[[#This Row],[Steps]]&gt;99,(F260+Table1[[#This Row],[Steps]])-100,F260+Table1[[#This Row],[Steps]]),
))</f>
        <v>0</v>
      </c>
      <c r="F261">
        <f>IF(Table1[[#This Row],[New Pos L]]&lt;&gt;0,Table1[[#This Row],[New Pos L]],Table1[[#This Row],[New Pos R]])</f>
        <v>19</v>
      </c>
    </row>
    <row r="262" spans="1:6" ht="16" x14ac:dyDescent="0.2">
      <c r="A262" s="1" t="s">
        <v>48</v>
      </c>
      <c r="B262" t="str">
        <f>LEFT(Table1[[#This Row],[Input]],1)</f>
        <v>R</v>
      </c>
      <c r="C262">
        <f>_xlfn.LET(_xlpm.steps,SUBSTITUTE(Table1[[#This Row],[Input]],Table1[[#This Row],[Direction]],""),VALUE(IF(LEN(_xlpm.steps)&gt;2,RIGHT(_xlpm.steps,2),_xlpm.steps)))</f>
        <v>81</v>
      </c>
      <c r="D262">
        <f>_xlfn.LET(_xlpm.dir,Table1[[#This Row],[Direction]],
IF(_xlpm.dir="L",
    IF(F261-Table1[[#This Row],[Steps]]&lt;0,100+(F261-Table1[[#This Row],[Steps]]),F261-Table1[[#This Row],[Steps]]),
))</f>
        <v>0</v>
      </c>
      <c r="E262">
        <f>_xlfn.LET(_xlpm.dir,Table1[[#This Row],[Direction]],
IF(_xlpm.dir="R",
    IF(F261+Table1[[#This Row],[Steps]]&gt;99,(F261+Table1[[#This Row],[Steps]])-100,F261+Table1[[#This Row],[Steps]]),
))</f>
        <v>0</v>
      </c>
      <c r="F262">
        <f>IF(Table1[[#This Row],[New Pos L]]&lt;&gt;0,Table1[[#This Row],[New Pos L]],Table1[[#This Row],[New Pos R]])</f>
        <v>0</v>
      </c>
    </row>
    <row r="263" spans="1:6" ht="16" x14ac:dyDescent="0.2">
      <c r="A263" s="1" t="s">
        <v>18</v>
      </c>
      <c r="B263" t="str">
        <f>LEFT(Table1[[#This Row],[Input]],1)</f>
        <v>L</v>
      </c>
      <c r="C263">
        <f>_xlfn.LET(_xlpm.steps,SUBSTITUTE(Table1[[#This Row],[Input]],Table1[[#This Row],[Direction]],""),VALUE(IF(LEN(_xlpm.steps)&gt;2,RIGHT(_xlpm.steps,2),_xlpm.steps)))</f>
        <v>46</v>
      </c>
      <c r="D263">
        <f>_xlfn.LET(_xlpm.dir,Table1[[#This Row],[Direction]],
IF(_xlpm.dir="L",
    IF(F262-Table1[[#This Row],[Steps]]&lt;0,100+(F262-Table1[[#This Row],[Steps]]),F262-Table1[[#This Row],[Steps]]),
))</f>
        <v>54</v>
      </c>
      <c r="E263">
        <f>_xlfn.LET(_xlpm.dir,Table1[[#This Row],[Direction]],
IF(_xlpm.dir="R",
    IF(F262+Table1[[#This Row],[Steps]]&gt;99,(F262+Table1[[#This Row],[Steps]])-100,F262+Table1[[#This Row],[Steps]]),
))</f>
        <v>0</v>
      </c>
      <c r="F263">
        <f>IF(Table1[[#This Row],[New Pos L]]&lt;&gt;0,Table1[[#This Row],[New Pos L]],Table1[[#This Row],[New Pos R]])</f>
        <v>54</v>
      </c>
    </row>
    <row r="264" spans="1:6" ht="16" x14ac:dyDescent="0.2">
      <c r="A264" s="1" t="s">
        <v>10</v>
      </c>
      <c r="B264" t="str">
        <f>LEFT(Table1[[#This Row],[Input]],1)</f>
        <v>L</v>
      </c>
      <c r="C264">
        <f>_xlfn.LET(_xlpm.steps,SUBSTITUTE(Table1[[#This Row],[Input]],Table1[[#This Row],[Direction]],""),VALUE(IF(LEN(_xlpm.steps)&gt;2,RIGHT(_xlpm.steps,2),_xlpm.steps)))</f>
        <v>35</v>
      </c>
      <c r="D264">
        <f>_xlfn.LET(_xlpm.dir,Table1[[#This Row],[Direction]],
IF(_xlpm.dir="L",
    IF(F263-Table1[[#This Row],[Steps]]&lt;0,100+(F263-Table1[[#This Row],[Steps]]),F263-Table1[[#This Row],[Steps]]),
))</f>
        <v>19</v>
      </c>
      <c r="E264">
        <f>_xlfn.LET(_xlpm.dir,Table1[[#This Row],[Direction]],
IF(_xlpm.dir="R",
    IF(F263+Table1[[#This Row],[Steps]]&gt;99,(F263+Table1[[#This Row],[Steps]])-100,F263+Table1[[#This Row],[Steps]]),
))</f>
        <v>0</v>
      </c>
      <c r="F264">
        <f>IF(Table1[[#This Row],[New Pos L]]&lt;&gt;0,Table1[[#This Row],[New Pos L]],Table1[[#This Row],[New Pos R]])</f>
        <v>19</v>
      </c>
    </row>
    <row r="265" spans="1:6" ht="16" x14ac:dyDescent="0.2">
      <c r="A265" s="1" t="s">
        <v>164</v>
      </c>
      <c r="B265" t="str">
        <f>LEFT(Table1[[#This Row],[Input]],1)</f>
        <v>R</v>
      </c>
      <c r="C265">
        <f>_xlfn.LET(_xlpm.steps,SUBSTITUTE(Table1[[#This Row],[Input]],Table1[[#This Row],[Direction]],""),VALUE(IF(LEN(_xlpm.steps)&gt;2,RIGHT(_xlpm.steps,2),_xlpm.steps)))</f>
        <v>85</v>
      </c>
      <c r="D265">
        <f>_xlfn.LET(_xlpm.dir,Table1[[#This Row],[Direction]],
IF(_xlpm.dir="L",
    IF(F264-Table1[[#This Row],[Steps]]&lt;0,100+(F264-Table1[[#This Row],[Steps]]),F264-Table1[[#This Row],[Steps]]),
))</f>
        <v>0</v>
      </c>
      <c r="E265">
        <f>_xlfn.LET(_xlpm.dir,Table1[[#This Row],[Direction]],
IF(_xlpm.dir="R",
    IF(F264+Table1[[#This Row],[Steps]]&gt;99,(F264+Table1[[#This Row],[Steps]])-100,F264+Table1[[#This Row],[Steps]]),
))</f>
        <v>4</v>
      </c>
      <c r="F265">
        <f>IF(Table1[[#This Row],[New Pos L]]&lt;&gt;0,Table1[[#This Row],[New Pos L]],Table1[[#This Row],[New Pos R]])</f>
        <v>4</v>
      </c>
    </row>
    <row r="266" spans="1:6" ht="16" x14ac:dyDescent="0.2">
      <c r="A266" s="1" t="s">
        <v>51</v>
      </c>
      <c r="B266" t="str">
        <f>LEFT(Table1[[#This Row],[Input]],1)</f>
        <v>L</v>
      </c>
      <c r="C266">
        <f>_xlfn.LET(_xlpm.steps,SUBSTITUTE(Table1[[#This Row],[Input]],Table1[[#This Row],[Direction]],""),VALUE(IF(LEN(_xlpm.steps)&gt;2,RIGHT(_xlpm.steps,2),_xlpm.steps)))</f>
        <v>25</v>
      </c>
      <c r="D266">
        <f>_xlfn.LET(_xlpm.dir,Table1[[#This Row],[Direction]],
IF(_xlpm.dir="L",
    IF(F265-Table1[[#This Row],[Steps]]&lt;0,100+(F265-Table1[[#This Row],[Steps]]),F265-Table1[[#This Row],[Steps]]),
))</f>
        <v>79</v>
      </c>
      <c r="E266">
        <f>_xlfn.LET(_xlpm.dir,Table1[[#This Row],[Direction]],
IF(_xlpm.dir="R",
    IF(F265+Table1[[#This Row],[Steps]]&gt;99,(F265+Table1[[#This Row],[Steps]])-100,F265+Table1[[#This Row],[Steps]]),
))</f>
        <v>0</v>
      </c>
      <c r="F266">
        <f>IF(Table1[[#This Row],[New Pos L]]&lt;&gt;0,Table1[[#This Row],[New Pos L]],Table1[[#This Row],[New Pos R]])</f>
        <v>79</v>
      </c>
    </row>
    <row r="267" spans="1:6" ht="16" x14ac:dyDescent="0.2">
      <c r="A267" s="1" t="s">
        <v>73</v>
      </c>
      <c r="B267" t="str">
        <f>LEFT(Table1[[#This Row],[Input]],1)</f>
        <v>R</v>
      </c>
      <c r="C267">
        <f>_xlfn.LET(_xlpm.steps,SUBSTITUTE(Table1[[#This Row],[Input]],Table1[[#This Row],[Direction]],""),VALUE(IF(LEN(_xlpm.steps)&gt;2,RIGHT(_xlpm.steps,2),_xlpm.steps)))</f>
        <v>21</v>
      </c>
      <c r="D267">
        <f>_xlfn.LET(_xlpm.dir,Table1[[#This Row],[Direction]],
IF(_xlpm.dir="L",
    IF(F266-Table1[[#This Row],[Steps]]&lt;0,100+(F266-Table1[[#This Row],[Steps]]),F266-Table1[[#This Row],[Steps]]),
))</f>
        <v>0</v>
      </c>
      <c r="E267">
        <f>_xlfn.LET(_xlpm.dir,Table1[[#This Row],[Direction]],
IF(_xlpm.dir="R",
    IF(F266+Table1[[#This Row],[Steps]]&gt;99,(F266+Table1[[#This Row],[Steps]])-100,F266+Table1[[#This Row],[Steps]]),
))</f>
        <v>0</v>
      </c>
      <c r="F267">
        <f>IF(Table1[[#This Row],[New Pos L]]&lt;&gt;0,Table1[[#This Row],[New Pos L]],Table1[[#This Row],[New Pos R]])</f>
        <v>0</v>
      </c>
    </row>
    <row r="268" spans="1:6" ht="16" x14ac:dyDescent="0.2">
      <c r="A268" s="1" t="s">
        <v>54</v>
      </c>
      <c r="B268" t="str">
        <f>LEFT(Table1[[#This Row],[Input]],1)</f>
        <v>L</v>
      </c>
      <c r="C268">
        <f>_xlfn.LET(_xlpm.steps,SUBSTITUTE(Table1[[#This Row],[Input]],Table1[[#This Row],[Direction]],""),VALUE(IF(LEN(_xlpm.steps)&gt;2,RIGHT(_xlpm.steps,2),_xlpm.steps)))</f>
        <v>75</v>
      </c>
      <c r="D268">
        <f>_xlfn.LET(_xlpm.dir,Table1[[#This Row],[Direction]],
IF(_xlpm.dir="L",
    IF(F267-Table1[[#This Row],[Steps]]&lt;0,100+(F267-Table1[[#This Row],[Steps]]),F267-Table1[[#This Row],[Steps]]),
))</f>
        <v>25</v>
      </c>
      <c r="E268">
        <f>_xlfn.LET(_xlpm.dir,Table1[[#This Row],[Direction]],
IF(_xlpm.dir="R",
    IF(F267+Table1[[#This Row],[Steps]]&gt;99,(F267+Table1[[#This Row],[Steps]])-100,F267+Table1[[#This Row],[Steps]]),
))</f>
        <v>0</v>
      </c>
      <c r="F268">
        <f>IF(Table1[[#This Row],[New Pos L]]&lt;&gt;0,Table1[[#This Row],[New Pos L]],Table1[[#This Row],[New Pos R]])</f>
        <v>25</v>
      </c>
    </row>
    <row r="269" spans="1:6" ht="16" x14ac:dyDescent="0.2">
      <c r="A269" s="1" t="s">
        <v>165</v>
      </c>
      <c r="B269" t="str">
        <f>LEFT(Table1[[#This Row],[Input]],1)</f>
        <v>R</v>
      </c>
      <c r="C269">
        <f>_xlfn.LET(_xlpm.steps,SUBSTITUTE(Table1[[#This Row],[Input]],Table1[[#This Row],[Direction]],""),VALUE(IF(LEN(_xlpm.steps)&gt;2,RIGHT(_xlpm.steps,2),_xlpm.steps)))</f>
        <v>55</v>
      </c>
      <c r="D269">
        <f>_xlfn.LET(_xlpm.dir,Table1[[#This Row],[Direction]],
IF(_xlpm.dir="L",
    IF(F268-Table1[[#This Row],[Steps]]&lt;0,100+(F268-Table1[[#This Row],[Steps]]),F268-Table1[[#This Row],[Steps]]),
))</f>
        <v>0</v>
      </c>
      <c r="E269">
        <f>_xlfn.LET(_xlpm.dir,Table1[[#This Row],[Direction]],
IF(_xlpm.dir="R",
    IF(F268+Table1[[#This Row],[Steps]]&gt;99,(F268+Table1[[#This Row],[Steps]])-100,F268+Table1[[#This Row],[Steps]]),
))</f>
        <v>80</v>
      </c>
      <c r="F269">
        <f>IF(Table1[[#This Row],[New Pos L]]&lt;&gt;0,Table1[[#This Row],[New Pos L]],Table1[[#This Row],[New Pos R]])</f>
        <v>80</v>
      </c>
    </row>
    <row r="270" spans="1:6" ht="16" x14ac:dyDescent="0.2">
      <c r="A270" s="1" t="s">
        <v>19</v>
      </c>
      <c r="B270" t="str">
        <f>LEFT(Table1[[#This Row],[Input]],1)</f>
        <v>R</v>
      </c>
      <c r="C270">
        <f>_xlfn.LET(_xlpm.steps,SUBSTITUTE(Table1[[#This Row],[Input]],Table1[[#This Row],[Direction]],""),VALUE(IF(LEN(_xlpm.steps)&gt;2,RIGHT(_xlpm.steps,2),_xlpm.steps)))</f>
        <v>47</v>
      </c>
      <c r="D270">
        <f>_xlfn.LET(_xlpm.dir,Table1[[#This Row],[Direction]],
IF(_xlpm.dir="L",
    IF(F269-Table1[[#This Row],[Steps]]&lt;0,100+(F269-Table1[[#This Row],[Steps]]),F269-Table1[[#This Row],[Steps]]),
))</f>
        <v>0</v>
      </c>
      <c r="E270">
        <f>_xlfn.LET(_xlpm.dir,Table1[[#This Row],[Direction]],
IF(_xlpm.dir="R",
    IF(F269+Table1[[#This Row],[Steps]]&gt;99,(F269+Table1[[#This Row],[Steps]])-100,F269+Table1[[#This Row],[Steps]]),
))</f>
        <v>27</v>
      </c>
      <c r="F270">
        <f>IF(Table1[[#This Row],[New Pos L]]&lt;&gt;0,Table1[[#This Row],[New Pos L]],Table1[[#This Row],[New Pos R]])</f>
        <v>27</v>
      </c>
    </row>
    <row r="271" spans="1:6" ht="16" x14ac:dyDescent="0.2">
      <c r="A271" s="1" t="s">
        <v>166</v>
      </c>
      <c r="B271" t="str">
        <f>LEFT(Table1[[#This Row],[Input]],1)</f>
        <v>L</v>
      </c>
      <c r="C271">
        <f>_xlfn.LET(_xlpm.steps,SUBSTITUTE(Table1[[#This Row],[Input]],Table1[[#This Row],[Direction]],""),VALUE(IF(LEN(_xlpm.steps)&gt;2,RIGHT(_xlpm.steps,2),_xlpm.steps)))</f>
        <v>22</v>
      </c>
      <c r="D271">
        <f>_xlfn.LET(_xlpm.dir,Table1[[#This Row],[Direction]],
IF(_xlpm.dir="L",
    IF(F270-Table1[[#This Row],[Steps]]&lt;0,100+(F270-Table1[[#This Row],[Steps]]),F270-Table1[[#This Row],[Steps]]),
))</f>
        <v>5</v>
      </c>
      <c r="E271">
        <f>_xlfn.LET(_xlpm.dir,Table1[[#This Row],[Direction]],
IF(_xlpm.dir="R",
    IF(F270+Table1[[#This Row],[Steps]]&gt;99,(F270+Table1[[#This Row],[Steps]])-100,F270+Table1[[#This Row],[Steps]]),
))</f>
        <v>0</v>
      </c>
      <c r="F271">
        <f>IF(Table1[[#This Row],[New Pos L]]&lt;&gt;0,Table1[[#This Row],[New Pos L]],Table1[[#This Row],[New Pos R]])</f>
        <v>5</v>
      </c>
    </row>
    <row r="272" spans="1:6" ht="16" x14ac:dyDescent="0.2">
      <c r="A272" s="1" t="s">
        <v>167</v>
      </c>
      <c r="B272" t="str">
        <f>LEFT(Table1[[#This Row],[Input]],1)</f>
        <v>L</v>
      </c>
      <c r="C272">
        <f>_xlfn.LET(_xlpm.steps,SUBSTITUTE(Table1[[#This Row],[Input]],Table1[[#This Row],[Direction]],""),VALUE(IF(LEN(_xlpm.steps)&gt;2,RIGHT(_xlpm.steps,2),_xlpm.steps)))</f>
        <v>59</v>
      </c>
      <c r="D272">
        <f>_xlfn.LET(_xlpm.dir,Table1[[#This Row],[Direction]],
IF(_xlpm.dir="L",
    IF(F271-Table1[[#This Row],[Steps]]&lt;0,100+(F271-Table1[[#This Row],[Steps]]),F271-Table1[[#This Row],[Steps]]),
))</f>
        <v>46</v>
      </c>
      <c r="E272">
        <f>_xlfn.LET(_xlpm.dir,Table1[[#This Row],[Direction]],
IF(_xlpm.dir="R",
    IF(F271+Table1[[#This Row],[Steps]]&gt;99,(F271+Table1[[#This Row],[Steps]])-100,F271+Table1[[#This Row],[Steps]]),
))</f>
        <v>0</v>
      </c>
      <c r="F272">
        <f>IF(Table1[[#This Row],[New Pos L]]&lt;&gt;0,Table1[[#This Row],[New Pos L]],Table1[[#This Row],[New Pos R]])</f>
        <v>46</v>
      </c>
    </row>
    <row r="273" spans="1:6" ht="16" x14ac:dyDescent="0.2">
      <c r="A273" s="1" t="s">
        <v>168</v>
      </c>
      <c r="B273" t="str">
        <f>LEFT(Table1[[#This Row],[Input]],1)</f>
        <v>R</v>
      </c>
      <c r="C273">
        <f>_xlfn.LET(_xlpm.steps,SUBSTITUTE(Table1[[#This Row],[Input]],Table1[[#This Row],[Direction]],""),VALUE(IF(LEN(_xlpm.steps)&gt;2,RIGHT(_xlpm.steps,2),_xlpm.steps)))</f>
        <v>54</v>
      </c>
      <c r="D273">
        <f>_xlfn.LET(_xlpm.dir,Table1[[#This Row],[Direction]],
IF(_xlpm.dir="L",
    IF(F272-Table1[[#This Row],[Steps]]&lt;0,100+(F272-Table1[[#This Row],[Steps]]),F272-Table1[[#This Row],[Steps]]),
))</f>
        <v>0</v>
      </c>
      <c r="E273">
        <f>_xlfn.LET(_xlpm.dir,Table1[[#This Row],[Direction]],
IF(_xlpm.dir="R",
    IF(F272+Table1[[#This Row],[Steps]]&gt;99,(F272+Table1[[#This Row],[Steps]])-100,F272+Table1[[#This Row],[Steps]]),
))</f>
        <v>0</v>
      </c>
      <c r="F273">
        <f>IF(Table1[[#This Row],[New Pos L]]&lt;&gt;0,Table1[[#This Row],[New Pos L]],Table1[[#This Row],[New Pos R]])</f>
        <v>0</v>
      </c>
    </row>
    <row r="274" spans="1:6" ht="16" x14ac:dyDescent="0.2">
      <c r="A274" s="1" t="s">
        <v>151</v>
      </c>
      <c r="B274" t="str">
        <f>LEFT(Table1[[#This Row],[Input]],1)</f>
        <v>L</v>
      </c>
      <c r="C274">
        <f>_xlfn.LET(_xlpm.steps,SUBSTITUTE(Table1[[#This Row],[Input]],Table1[[#This Row],[Direction]],""),VALUE(IF(LEN(_xlpm.steps)&gt;2,RIGHT(_xlpm.steps,2),_xlpm.steps)))</f>
        <v>74</v>
      </c>
      <c r="D274">
        <f>_xlfn.LET(_xlpm.dir,Table1[[#This Row],[Direction]],
IF(_xlpm.dir="L",
    IF(F273-Table1[[#This Row],[Steps]]&lt;0,100+(F273-Table1[[#This Row],[Steps]]),F273-Table1[[#This Row],[Steps]]),
))</f>
        <v>26</v>
      </c>
      <c r="E274">
        <f>_xlfn.LET(_xlpm.dir,Table1[[#This Row],[Direction]],
IF(_xlpm.dir="R",
    IF(F273+Table1[[#This Row],[Steps]]&gt;99,(F273+Table1[[#This Row],[Steps]])-100,F273+Table1[[#This Row],[Steps]]),
))</f>
        <v>0</v>
      </c>
      <c r="F274">
        <f>IF(Table1[[#This Row],[New Pos L]]&lt;&gt;0,Table1[[#This Row],[New Pos L]],Table1[[#This Row],[New Pos R]])</f>
        <v>26</v>
      </c>
    </row>
    <row r="275" spans="1:6" ht="16" x14ac:dyDescent="0.2">
      <c r="A275" s="1" t="s">
        <v>69</v>
      </c>
      <c r="B275" t="str">
        <f>LEFT(Table1[[#This Row],[Input]],1)</f>
        <v>R</v>
      </c>
      <c r="C275">
        <f>_xlfn.LET(_xlpm.steps,SUBSTITUTE(Table1[[#This Row],[Input]],Table1[[#This Row],[Direction]],""),VALUE(IF(LEN(_xlpm.steps)&gt;2,RIGHT(_xlpm.steps,2),_xlpm.steps)))</f>
        <v>27</v>
      </c>
      <c r="D275">
        <f>_xlfn.LET(_xlpm.dir,Table1[[#This Row],[Direction]],
IF(_xlpm.dir="L",
    IF(F274-Table1[[#This Row],[Steps]]&lt;0,100+(F274-Table1[[#This Row],[Steps]]),F274-Table1[[#This Row],[Steps]]),
))</f>
        <v>0</v>
      </c>
      <c r="E275">
        <f>_xlfn.LET(_xlpm.dir,Table1[[#This Row],[Direction]],
IF(_xlpm.dir="R",
    IF(F274+Table1[[#This Row],[Steps]]&gt;99,(F274+Table1[[#This Row],[Steps]])-100,F274+Table1[[#This Row],[Steps]]),
))</f>
        <v>53</v>
      </c>
      <c r="F275">
        <f>IF(Table1[[#This Row],[New Pos L]]&lt;&gt;0,Table1[[#This Row],[New Pos L]],Table1[[#This Row],[New Pos R]])</f>
        <v>53</v>
      </c>
    </row>
    <row r="276" spans="1:6" ht="16" x14ac:dyDescent="0.2">
      <c r="A276" s="1" t="s">
        <v>169</v>
      </c>
      <c r="B276" t="str">
        <f>LEFT(Table1[[#This Row],[Input]],1)</f>
        <v>L</v>
      </c>
      <c r="C276">
        <f>_xlfn.LET(_xlpm.steps,SUBSTITUTE(Table1[[#This Row],[Input]],Table1[[#This Row],[Direction]],""),VALUE(IF(LEN(_xlpm.steps)&gt;2,RIGHT(_xlpm.steps,2),_xlpm.steps)))</f>
        <v>61</v>
      </c>
      <c r="D276">
        <f>_xlfn.LET(_xlpm.dir,Table1[[#This Row],[Direction]],
IF(_xlpm.dir="L",
    IF(F275-Table1[[#This Row],[Steps]]&lt;0,100+(F275-Table1[[#This Row],[Steps]]),F275-Table1[[#This Row],[Steps]]),
))</f>
        <v>92</v>
      </c>
      <c r="E276">
        <f>_xlfn.LET(_xlpm.dir,Table1[[#This Row],[Direction]],
IF(_xlpm.dir="R",
    IF(F275+Table1[[#This Row],[Steps]]&gt;99,(F275+Table1[[#This Row],[Steps]])-100,F275+Table1[[#This Row],[Steps]]),
))</f>
        <v>0</v>
      </c>
      <c r="F276">
        <f>IF(Table1[[#This Row],[New Pos L]]&lt;&gt;0,Table1[[#This Row],[New Pos L]],Table1[[#This Row],[New Pos R]])</f>
        <v>92</v>
      </c>
    </row>
    <row r="277" spans="1:6" ht="16" x14ac:dyDescent="0.2">
      <c r="A277" s="1" t="s">
        <v>129</v>
      </c>
      <c r="B277" t="str">
        <f>LEFT(Table1[[#This Row],[Input]],1)</f>
        <v>R</v>
      </c>
      <c r="C277">
        <f>_xlfn.LET(_xlpm.steps,SUBSTITUTE(Table1[[#This Row],[Input]],Table1[[#This Row],[Direction]],""),VALUE(IF(LEN(_xlpm.steps)&gt;2,RIGHT(_xlpm.steps,2),_xlpm.steps)))</f>
        <v>8</v>
      </c>
      <c r="D277">
        <f>_xlfn.LET(_xlpm.dir,Table1[[#This Row],[Direction]],
IF(_xlpm.dir="L",
    IF(F276-Table1[[#This Row],[Steps]]&lt;0,100+(F276-Table1[[#This Row],[Steps]]),F276-Table1[[#This Row],[Steps]]),
))</f>
        <v>0</v>
      </c>
      <c r="E277">
        <f>_xlfn.LET(_xlpm.dir,Table1[[#This Row],[Direction]],
IF(_xlpm.dir="R",
    IF(F276+Table1[[#This Row],[Steps]]&gt;99,(F276+Table1[[#This Row],[Steps]])-100,F276+Table1[[#This Row],[Steps]]),
))</f>
        <v>0</v>
      </c>
      <c r="F277">
        <f>IF(Table1[[#This Row],[New Pos L]]&lt;&gt;0,Table1[[#This Row],[New Pos L]],Table1[[#This Row],[New Pos R]])</f>
        <v>0</v>
      </c>
    </row>
    <row r="278" spans="1:6" ht="16" x14ac:dyDescent="0.2">
      <c r="A278" s="1" t="s">
        <v>170</v>
      </c>
      <c r="B278" t="str">
        <f>LEFT(Table1[[#This Row],[Input]],1)</f>
        <v>L</v>
      </c>
      <c r="C278">
        <f>_xlfn.LET(_xlpm.steps,SUBSTITUTE(Table1[[#This Row],[Input]],Table1[[#This Row],[Direction]],""),VALUE(IF(LEN(_xlpm.steps)&gt;2,RIGHT(_xlpm.steps,2),_xlpm.steps)))</f>
        <v>42</v>
      </c>
      <c r="D278">
        <f>_xlfn.LET(_xlpm.dir,Table1[[#This Row],[Direction]],
IF(_xlpm.dir="L",
    IF(F277-Table1[[#This Row],[Steps]]&lt;0,100+(F277-Table1[[#This Row],[Steps]]),F277-Table1[[#This Row],[Steps]]),
))</f>
        <v>58</v>
      </c>
      <c r="E278">
        <f>_xlfn.LET(_xlpm.dir,Table1[[#This Row],[Direction]],
IF(_xlpm.dir="R",
    IF(F277+Table1[[#This Row],[Steps]]&gt;99,(F277+Table1[[#This Row],[Steps]])-100,F277+Table1[[#This Row],[Steps]]),
))</f>
        <v>0</v>
      </c>
      <c r="F278">
        <f>IF(Table1[[#This Row],[New Pos L]]&lt;&gt;0,Table1[[#This Row],[New Pos L]],Table1[[#This Row],[New Pos R]])</f>
        <v>58</v>
      </c>
    </row>
    <row r="279" spans="1:6" ht="16" x14ac:dyDescent="0.2">
      <c r="A279" s="1" t="s">
        <v>171</v>
      </c>
      <c r="B279" t="str">
        <f>LEFT(Table1[[#This Row],[Input]],1)</f>
        <v>L</v>
      </c>
      <c r="C279">
        <f>_xlfn.LET(_xlpm.steps,SUBSTITUTE(Table1[[#This Row],[Input]],Table1[[#This Row],[Direction]],""),VALUE(IF(LEN(_xlpm.steps)&gt;2,RIGHT(_xlpm.steps,2),_xlpm.steps)))</f>
        <v>73</v>
      </c>
      <c r="D279">
        <f>_xlfn.LET(_xlpm.dir,Table1[[#This Row],[Direction]],
IF(_xlpm.dir="L",
    IF(F278-Table1[[#This Row],[Steps]]&lt;0,100+(F278-Table1[[#This Row],[Steps]]),F278-Table1[[#This Row],[Steps]]),
))</f>
        <v>85</v>
      </c>
      <c r="E279">
        <f>_xlfn.LET(_xlpm.dir,Table1[[#This Row],[Direction]],
IF(_xlpm.dir="R",
    IF(F278+Table1[[#This Row],[Steps]]&gt;99,(F278+Table1[[#This Row],[Steps]])-100,F278+Table1[[#This Row],[Steps]]),
))</f>
        <v>0</v>
      </c>
      <c r="F279">
        <f>IF(Table1[[#This Row],[New Pos L]]&lt;&gt;0,Table1[[#This Row],[New Pos L]],Table1[[#This Row],[New Pos R]])</f>
        <v>85</v>
      </c>
    </row>
    <row r="280" spans="1:6" ht="16" x14ac:dyDescent="0.2">
      <c r="A280" s="1" t="s">
        <v>38</v>
      </c>
      <c r="B280" t="str">
        <f>LEFT(Table1[[#This Row],[Input]],1)</f>
        <v>R</v>
      </c>
      <c r="C280">
        <f>_xlfn.LET(_xlpm.steps,SUBSTITUTE(Table1[[#This Row],[Input]],Table1[[#This Row],[Direction]],""),VALUE(IF(LEN(_xlpm.steps)&gt;2,RIGHT(_xlpm.steps,2),_xlpm.steps)))</f>
        <v>15</v>
      </c>
      <c r="D280">
        <f>_xlfn.LET(_xlpm.dir,Table1[[#This Row],[Direction]],
IF(_xlpm.dir="L",
    IF(F279-Table1[[#This Row],[Steps]]&lt;0,100+(F279-Table1[[#This Row],[Steps]]),F279-Table1[[#This Row],[Steps]]),
))</f>
        <v>0</v>
      </c>
      <c r="E280">
        <f>_xlfn.LET(_xlpm.dir,Table1[[#This Row],[Direction]],
IF(_xlpm.dir="R",
    IF(F279+Table1[[#This Row],[Steps]]&gt;99,(F279+Table1[[#This Row],[Steps]])-100,F279+Table1[[#This Row],[Steps]]),
))</f>
        <v>0</v>
      </c>
      <c r="F280">
        <f>IF(Table1[[#This Row],[New Pos L]]&lt;&gt;0,Table1[[#This Row],[New Pos L]],Table1[[#This Row],[New Pos R]])</f>
        <v>0</v>
      </c>
    </row>
    <row r="281" spans="1:6" ht="16" x14ac:dyDescent="0.2">
      <c r="A281" s="1" t="s">
        <v>172</v>
      </c>
      <c r="B281" t="str">
        <f>LEFT(Table1[[#This Row],[Input]],1)</f>
        <v>L</v>
      </c>
      <c r="C281">
        <f>_xlfn.LET(_xlpm.steps,SUBSTITUTE(Table1[[#This Row],[Input]],Table1[[#This Row],[Direction]],""),VALUE(IF(LEN(_xlpm.steps)&gt;2,RIGHT(_xlpm.steps,2),_xlpm.steps)))</f>
        <v>66</v>
      </c>
      <c r="D281">
        <f>_xlfn.LET(_xlpm.dir,Table1[[#This Row],[Direction]],
IF(_xlpm.dir="L",
    IF(F280-Table1[[#This Row],[Steps]]&lt;0,100+(F280-Table1[[#This Row],[Steps]]),F280-Table1[[#This Row],[Steps]]),
))</f>
        <v>34</v>
      </c>
      <c r="E281">
        <f>_xlfn.LET(_xlpm.dir,Table1[[#This Row],[Direction]],
IF(_xlpm.dir="R",
    IF(F280+Table1[[#This Row],[Steps]]&gt;99,(F280+Table1[[#This Row],[Steps]])-100,F280+Table1[[#This Row],[Steps]]),
))</f>
        <v>0</v>
      </c>
      <c r="F281">
        <f>IF(Table1[[#This Row],[New Pos L]]&lt;&gt;0,Table1[[#This Row],[New Pos L]],Table1[[#This Row],[New Pos R]])</f>
        <v>34</v>
      </c>
    </row>
    <row r="282" spans="1:6" ht="16" x14ac:dyDescent="0.2">
      <c r="A282" s="1" t="s">
        <v>173</v>
      </c>
      <c r="B282" t="str">
        <f>LEFT(Table1[[#This Row],[Input]],1)</f>
        <v>L</v>
      </c>
      <c r="C282">
        <f>_xlfn.LET(_xlpm.steps,SUBSTITUTE(Table1[[#This Row],[Input]],Table1[[#This Row],[Direction]],""),VALUE(IF(LEN(_xlpm.steps)&gt;2,RIGHT(_xlpm.steps,2),_xlpm.steps)))</f>
        <v>49</v>
      </c>
      <c r="D282">
        <f>_xlfn.LET(_xlpm.dir,Table1[[#This Row],[Direction]],
IF(_xlpm.dir="L",
    IF(F281-Table1[[#This Row],[Steps]]&lt;0,100+(F281-Table1[[#This Row],[Steps]]),F281-Table1[[#This Row],[Steps]]),
))</f>
        <v>85</v>
      </c>
      <c r="E282">
        <f>_xlfn.LET(_xlpm.dir,Table1[[#This Row],[Direction]],
IF(_xlpm.dir="R",
    IF(F281+Table1[[#This Row],[Steps]]&gt;99,(F281+Table1[[#This Row],[Steps]])-100,F281+Table1[[#This Row],[Steps]]),
))</f>
        <v>0</v>
      </c>
      <c r="F282">
        <f>IF(Table1[[#This Row],[New Pos L]]&lt;&gt;0,Table1[[#This Row],[New Pos L]],Table1[[#This Row],[New Pos R]])</f>
        <v>85</v>
      </c>
    </row>
    <row r="283" spans="1:6" ht="16" x14ac:dyDescent="0.2">
      <c r="A283" s="1" t="s">
        <v>174</v>
      </c>
      <c r="B283" t="str">
        <f>LEFT(Table1[[#This Row],[Input]],1)</f>
        <v>L</v>
      </c>
      <c r="C283">
        <f>_xlfn.LET(_xlpm.steps,SUBSTITUTE(Table1[[#This Row],[Input]],Table1[[#This Row],[Direction]],""),VALUE(IF(LEN(_xlpm.steps)&gt;2,RIGHT(_xlpm.steps,2),_xlpm.steps)))</f>
        <v>92</v>
      </c>
      <c r="D283">
        <f>_xlfn.LET(_xlpm.dir,Table1[[#This Row],[Direction]],
IF(_xlpm.dir="L",
    IF(F282-Table1[[#This Row],[Steps]]&lt;0,100+(F282-Table1[[#This Row],[Steps]]),F282-Table1[[#This Row],[Steps]]),
))</f>
        <v>93</v>
      </c>
      <c r="E283">
        <f>_xlfn.LET(_xlpm.dir,Table1[[#This Row],[Direction]],
IF(_xlpm.dir="R",
    IF(F282+Table1[[#This Row],[Steps]]&gt;99,(F282+Table1[[#This Row],[Steps]])-100,F282+Table1[[#This Row],[Steps]]),
))</f>
        <v>0</v>
      </c>
      <c r="F283">
        <f>IF(Table1[[#This Row],[New Pos L]]&lt;&gt;0,Table1[[#This Row],[New Pos L]],Table1[[#This Row],[New Pos R]])</f>
        <v>93</v>
      </c>
    </row>
    <row r="284" spans="1:6" ht="16" x14ac:dyDescent="0.2">
      <c r="A284" s="1" t="s">
        <v>175</v>
      </c>
      <c r="B284" t="str">
        <f>LEFT(Table1[[#This Row],[Input]],1)</f>
        <v>L</v>
      </c>
      <c r="C284">
        <f>_xlfn.LET(_xlpm.steps,SUBSTITUTE(Table1[[#This Row],[Input]],Table1[[#This Row],[Direction]],""),VALUE(IF(LEN(_xlpm.steps)&gt;2,RIGHT(_xlpm.steps,2),_xlpm.steps)))</f>
        <v>1</v>
      </c>
      <c r="D284">
        <f>_xlfn.LET(_xlpm.dir,Table1[[#This Row],[Direction]],
IF(_xlpm.dir="L",
    IF(F283-Table1[[#This Row],[Steps]]&lt;0,100+(F283-Table1[[#This Row],[Steps]]),F283-Table1[[#This Row],[Steps]]),
))</f>
        <v>92</v>
      </c>
      <c r="E284">
        <f>_xlfn.LET(_xlpm.dir,Table1[[#This Row],[Direction]],
IF(_xlpm.dir="R",
    IF(F283+Table1[[#This Row],[Steps]]&gt;99,(F283+Table1[[#This Row],[Steps]])-100,F283+Table1[[#This Row],[Steps]]),
))</f>
        <v>0</v>
      </c>
      <c r="F284">
        <f>IF(Table1[[#This Row],[New Pos L]]&lt;&gt;0,Table1[[#This Row],[New Pos L]],Table1[[#This Row],[New Pos R]])</f>
        <v>92</v>
      </c>
    </row>
    <row r="285" spans="1:6" ht="16" x14ac:dyDescent="0.2">
      <c r="A285" s="1" t="s">
        <v>176</v>
      </c>
      <c r="B285" t="str">
        <f>LEFT(Table1[[#This Row],[Input]],1)</f>
        <v>L</v>
      </c>
      <c r="C285">
        <f>_xlfn.LET(_xlpm.steps,SUBSTITUTE(Table1[[#This Row],[Input]],Table1[[#This Row],[Direction]],""),VALUE(IF(LEN(_xlpm.steps)&gt;2,RIGHT(_xlpm.steps,2),_xlpm.steps)))</f>
        <v>67</v>
      </c>
      <c r="D285">
        <f>_xlfn.LET(_xlpm.dir,Table1[[#This Row],[Direction]],
IF(_xlpm.dir="L",
    IF(F284-Table1[[#This Row],[Steps]]&lt;0,100+(F284-Table1[[#This Row],[Steps]]),F284-Table1[[#This Row],[Steps]]),
))</f>
        <v>25</v>
      </c>
      <c r="E285">
        <f>_xlfn.LET(_xlpm.dir,Table1[[#This Row],[Direction]],
IF(_xlpm.dir="R",
    IF(F284+Table1[[#This Row],[Steps]]&gt;99,(F284+Table1[[#This Row],[Steps]])-100,F284+Table1[[#This Row],[Steps]]),
))</f>
        <v>0</v>
      </c>
      <c r="F285">
        <f>IF(Table1[[#This Row],[New Pos L]]&lt;&gt;0,Table1[[#This Row],[New Pos L]],Table1[[#This Row],[New Pos R]])</f>
        <v>25</v>
      </c>
    </row>
    <row r="286" spans="1:6" ht="16" x14ac:dyDescent="0.2">
      <c r="A286" s="1" t="s">
        <v>177</v>
      </c>
      <c r="B286" t="str">
        <f>LEFT(Table1[[#This Row],[Input]],1)</f>
        <v>L</v>
      </c>
      <c r="C286">
        <f>_xlfn.LET(_xlpm.steps,SUBSTITUTE(Table1[[#This Row],[Input]],Table1[[#This Row],[Direction]],""),VALUE(IF(LEN(_xlpm.steps)&gt;2,RIGHT(_xlpm.steps,2),_xlpm.steps)))</f>
        <v>17</v>
      </c>
      <c r="D286">
        <f>_xlfn.LET(_xlpm.dir,Table1[[#This Row],[Direction]],
IF(_xlpm.dir="L",
    IF(F285-Table1[[#This Row],[Steps]]&lt;0,100+(F285-Table1[[#This Row],[Steps]]),F285-Table1[[#This Row],[Steps]]),
))</f>
        <v>8</v>
      </c>
      <c r="E286">
        <f>_xlfn.LET(_xlpm.dir,Table1[[#This Row],[Direction]],
IF(_xlpm.dir="R",
    IF(F285+Table1[[#This Row],[Steps]]&gt;99,(F285+Table1[[#This Row],[Steps]])-100,F285+Table1[[#This Row],[Steps]]),
))</f>
        <v>0</v>
      </c>
      <c r="F286">
        <f>IF(Table1[[#This Row],[New Pos L]]&lt;&gt;0,Table1[[#This Row],[New Pos L]],Table1[[#This Row],[New Pos R]])</f>
        <v>8</v>
      </c>
    </row>
    <row r="287" spans="1:6" ht="16" x14ac:dyDescent="0.2">
      <c r="A287" s="1" t="s">
        <v>178</v>
      </c>
      <c r="B287" t="str">
        <f>LEFT(Table1[[#This Row],[Input]],1)</f>
        <v>L</v>
      </c>
      <c r="C287">
        <f>_xlfn.LET(_xlpm.steps,SUBSTITUTE(Table1[[#This Row],[Input]],Table1[[#This Row],[Direction]],""),VALUE(IF(LEN(_xlpm.steps)&gt;2,RIGHT(_xlpm.steps,2),_xlpm.steps)))</f>
        <v>21</v>
      </c>
      <c r="D287">
        <f>_xlfn.LET(_xlpm.dir,Table1[[#This Row],[Direction]],
IF(_xlpm.dir="L",
    IF(F286-Table1[[#This Row],[Steps]]&lt;0,100+(F286-Table1[[#This Row],[Steps]]),F286-Table1[[#This Row],[Steps]]),
))</f>
        <v>87</v>
      </c>
      <c r="E287">
        <f>_xlfn.LET(_xlpm.dir,Table1[[#This Row],[Direction]],
IF(_xlpm.dir="R",
    IF(F286+Table1[[#This Row],[Steps]]&gt;99,(F286+Table1[[#This Row],[Steps]])-100,F286+Table1[[#This Row],[Steps]]),
))</f>
        <v>0</v>
      </c>
      <c r="F287">
        <f>IF(Table1[[#This Row],[New Pos L]]&lt;&gt;0,Table1[[#This Row],[New Pos L]],Table1[[#This Row],[New Pos R]])</f>
        <v>87</v>
      </c>
    </row>
    <row r="288" spans="1:6" ht="16" x14ac:dyDescent="0.2">
      <c r="A288" s="1" t="s">
        <v>135</v>
      </c>
      <c r="B288" t="str">
        <f>LEFT(Table1[[#This Row],[Input]],1)</f>
        <v>R</v>
      </c>
      <c r="C288">
        <f>_xlfn.LET(_xlpm.steps,SUBSTITUTE(Table1[[#This Row],[Input]],Table1[[#This Row],[Direction]],""),VALUE(IF(LEN(_xlpm.steps)&gt;2,RIGHT(_xlpm.steps,2),_xlpm.steps)))</f>
        <v>69</v>
      </c>
      <c r="D288">
        <f>_xlfn.LET(_xlpm.dir,Table1[[#This Row],[Direction]],
IF(_xlpm.dir="L",
    IF(F287-Table1[[#This Row],[Steps]]&lt;0,100+(F287-Table1[[#This Row],[Steps]]),F287-Table1[[#This Row],[Steps]]),
))</f>
        <v>0</v>
      </c>
      <c r="E288">
        <f>_xlfn.LET(_xlpm.dir,Table1[[#This Row],[Direction]],
IF(_xlpm.dir="R",
    IF(F287+Table1[[#This Row],[Steps]]&gt;99,(F287+Table1[[#This Row],[Steps]])-100,F287+Table1[[#This Row],[Steps]]),
))</f>
        <v>56</v>
      </c>
      <c r="F288">
        <f>IF(Table1[[#This Row],[New Pos L]]&lt;&gt;0,Table1[[#This Row],[New Pos L]],Table1[[#This Row],[New Pos R]])</f>
        <v>56</v>
      </c>
    </row>
    <row r="289" spans="1:6" ht="16" x14ac:dyDescent="0.2">
      <c r="A289" s="1" t="s">
        <v>179</v>
      </c>
      <c r="B289" t="str">
        <f>LEFT(Table1[[#This Row],[Input]],1)</f>
        <v>L</v>
      </c>
      <c r="C289">
        <f>_xlfn.LET(_xlpm.steps,SUBSTITUTE(Table1[[#This Row],[Input]],Table1[[#This Row],[Direction]],""),VALUE(IF(LEN(_xlpm.steps)&gt;2,RIGHT(_xlpm.steps,2),_xlpm.steps)))</f>
        <v>54</v>
      </c>
      <c r="D289">
        <f>_xlfn.LET(_xlpm.dir,Table1[[#This Row],[Direction]],
IF(_xlpm.dir="L",
    IF(F288-Table1[[#This Row],[Steps]]&lt;0,100+(F288-Table1[[#This Row],[Steps]]),F288-Table1[[#This Row],[Steps]]),
))</f>
        <v>2</v>
      </c>
      <c r="E289">
        <f>_xlfn.LET(_xlpm.dir,Table1[[#This Row],[Direction]],
IF(_xlpm.dir="R",
    IF(F288+Table1[[#This Row],[Steps]]&gt;99,(F288+Table1[[#This Row],[Steps]])-100,F288+Table1[[#This Row],[Steps]]),
))</f>
        <v>0</v>
      </c>
      <c r="F289">
        <f>IF(Table1[[#This Row],[New Pos L]]&lt;&gt;0,Table1[[#This Row],[New Pos L]],Table1[[#This Row],[New Pos R]])</f>
        <v>2</v>
      </c>
    </row>
    <row r="290" spans="1:6" ht="16" x14ac:dyDescent="0.2">
      <c r="A290" s="1" t="s">
        <v>35</v>
      </c>
      <c r="B290" t="str">
        <f>LEFT(Table1[[#This Row],[Input]],1)</f>
        <v>L</v>
      </c>
      <c r="C290">
        <f>_xlfn.LET(_xlpm.steps,SUBSTITUTE(Table1[[#This Row],[Input]],Table1[[#This Row],[Direction]],""),VALUE(IF(LEN(_xlpm.steps)&gt;2,RIGHT(_xlpm.steps,2),_xlpm.steps)))</f>
        <v>2</v>
      </c>
      <c r="D290">
        <f>_xlfn.LET(_xlpm.dir,Table1[[#This Row],[Direction]],
IF(_xlpm.dir="L",
    IF(F289-Table1[[#This Row],[Steps]]&lt;0,100+(F289-Table1[[#This Row],[Steps]]),F289-Table1[[#This Row],[Steps]]),
))</f>
        <v>0</v>
      </c>
      <c r="E290">
        <f>_xlfn.LET(_xlpm.dir,Table1[[#This Row],[Direction]],
IF(_xlpm.dir="R",
    IF(F289+Table1[[#This Row],[Steps]]&gt;99,(F289+Table1[[#This Row],[Steps]])-100,F289+Table1[[#This Row],[Steps]]),
))</f>
        <v>0</v>
      </c>
      <c r="F290">
        <f>IF(Table1[[#This Row],[New Pos L]]&lt;&gt;0,Table1[[#This Row],[New Pos L]],Table1[[#This Row],[New Pos R]])</f>
        <v>0</v>
      </c>
    </row>
    <row r="291" spans="1:6" ht="16" x14ac:dyDescent="0.2">
      <c r="A291" s="1" t="s">
        <v>70</v>
      </c>
      <c r="B291" t="str">
        <f>LEFT(Table1[[#This Row],[Input]],1)</f>
        <v>R</v>
      </c>
      <c r="C291">
        <f>_xlfn.LET(_xlpm.steps,SUBSTITUTE(Table1[[#This Row],[Input]],Table1[[#This Row],[Direction]],""),VALUE(IF(LEN(_xlpm.steps)&gt;2,RIGHT(_xlpm.steps,2),_xlpm.steps)))</f>
        <v>73</v>
      </c>
      <c r="D291">
        <f>_xlfn.LET(_xlpm.dir,Table1[[#This Row],[Direction]],
IF(_xlpm.dir="L",
    IF(F290-Table1[[#This Row],[Steps]]&lt;0,100+(F290-Table1[[#This Row],[Steps]]),F290-Table1[[#This Row],[Steps]]),
))</f>
        <v>0</v>
      </c>
      <c r="E291">
        <f>_xlfn.LET(_xlpm.dir,Table1[[#This Row],[Direction]],
IF(_xlpm.dir="R",
    IF(F290+Table1[[#This Row],[Steps]]&gt;99,(F290+Table1[[#This Row],[Steps]])-100,F290+Table1[[#This Row],[Steps]]),
))</f>
        <v>73</v>
      </c>
      <c r="F291">
        <f>IF(Table1[[#This Row],[New Pos L]]&lt;&gt;0,Table1[[#This Row],[New Pos L]],Table1[[#This Row],[New Pos R]])</f>
        <v>73</v>
      </c>
    </row>
    <row r="292" spans="1:6" ht="16" x14ac:dyDescent="0.2">
      <c r="A292" s="1" t="s">
        <v>180</v>
      </c>
      <c r="B292" t="str">
        <f>LEFT(Table1[[#This Row],[Input]],1)</f>
        <v>L</v>
      </c>
      <c r="C292">
        <f>_xlfn.LET(_xlpm.steps,SUBSTITUTE(Table1[[#This Row],[Input]],Table1[[#This Row],[Direction]],""),VALUE(IF(LEN(_xlpm.steps)&gt;2,RIGHT(_xlpm.steps,2),_xlpm.steps)))</f>
        <v>81</v>
      </c>
      <c r="D292">
        <f>_xlfn.LET(_xlpm.dir,Table1[[#This Row],[Direction]],
IF(_xlpm.dir="L",
    IF(F291-Table1[[#This Row],[Steps]]&lt;0,100+(F291-Table1[[#This Row],[Steps]]),F291-Table1[[#This Row],[Steps]]),
))</f>
        <v>92</v>
      </c>
      <c r="E292">
        <f>_xlfn.LET(_xlpm.dir,Table1[[#This Row],[Direction]],
IF(_xlpm.dir="R",
    IF(F291+Table1[[#This Row],[Steps]]&gt;99,(F291+Table1[[#This Row],[Steps]])-100,F291+Table1[[#This Row],[Steps]]),
))</f>
        <v>0</v>
      </c>
      <c r="F292">
        <f>IF(Table1[[#This Row],[New Pos L]]&lt;&gt;0,Table1[[#This Row],[New Pos L]],Table1[[#This Row],[New Pos R]])</f>
        <v>92</v>
      </c>
    </row>
    <row r="293" spans="1:6" ht="16" x14ac:dyDescent="0.2">
      <c r="A293" s="1" t="s">
        <v>84</v>
      </c>
      <c r="B293" t="str">
        <f>LEFT(Table1[[#This Row],[Input]],1)</f>
        <v>R</v>
      </c>
      <c r="C293">
        <f>_xlfn.LET(_xlpm.steps,SUBSTITUTE(Table1[[#This Row],[Input]],Table1[[#This Row],[Direction]],""),VALUE(IF(LEN(_xlpm.steps)&gt;2,RIGHT(_xlpm.steps,2),_xlpm.steps)))</f>
        <v>88</v>
      </c>
      <c r="D293">
        <f>_xlfn.LET(_xlpm.dir,Table1[[#This Row],[Direction]],
IF(_xlpm.dir="L",
    IF(F292-Table1[[#This Row],[Steps]]&lt;0,100+(F292-Table1[[#This Row],[Steps]]),F292-Table1[[#This Row],[Steps]]),
))</f>
        <v>0</v>
      </c>
      <c r="E293">
        <f>_xlfn.LET(_xlpm.dir,Table1[[#This Row],[Direction]],
IF(_xlpm.dir="R",
    IF(F292+Table1[[#This Row],[Steps]]&gt;99,(F292+Table1[[#This Row],[Steps]])-100,F292+Table1[[#This Row],[Steps]]),
))</f>
        <v>80</v>
      </c>
      <c r="F293">
        <f>IF(Table1[[#This Row],[New Pos L]]&lt;&gt;0,Table1[[#This Row],[New Pos L]],Table1[[#This Row],[New Pos R]])</f>
        <v>80</v>
      </c>
    </row>
    <row r="294" spans="1:6" ht="16" x14ac:dyDescent="0.2">
      <c r="A294" s="1" t="s">
        <v>68</v>
      </c>
      <c r="B294" t="str">
        <f>LEFT(Table1[[#This Row],[Input]],1)</f>
        <v>L</v>
      </c>
      <c r="C294">
        <f>_xlfn.LET(_xlpm.steps,SUBSTITUTE(Table1[[#This Row],[Input]],Table1[[#This Row],[Direction]],""),VALUE(IF(LEN(_xlpm.steps)&gt;2,RIGHT(_xlpm.steps,2),_xlpm.steps)))</f>
        <v>80</v>
      </c>
      <c r="D294">
        <f>_xlfn.LET(_xlpm.dir,Table1[[#This Row],[Direction]],
IF(_xlpm.dir="L",
    IF(F293-Table1[[#This Row],[Steps]]&lt;0,100+(F293-Table1[[#This Row],[Steps]]),F293-Table1[[#This Row],[Steps]]),
))</f>
        <v>0</v>
      </c>
      <c r="E294">
        <f>_xlfn.LET(_xlpm.dir,Table1[[#This Row],[Direction]],
IF(_xlpm.dir="R",
    IF(F293+Table1[[#This Row],[Steps]]&gt;99,(F293+Table1[[#This Row],[Steps]])-100,F293+Table1[[#This Row],[Steps]]),
))</f>
        <v>0</v>
      </c>
      <c r="F294">
        <f>IF(Table1[[#This Row],[New Pos L]]&lt;&gt;0,Table1[[#This Row],[New Pos L]],Table1[[#This Row],[New Pos R]])</f>
        <v>0</v>
      </c>
    </row>
    <row r="295" spans="1:6" ht="16" x14ac:dyDescent="0.2">
      <c r="A295" s="1" t="s">
        <v>35</v>
      </c>
      <c r="B295" t="str">
        <f>LEFT(Table1[[#This Row],[Input]],1)</f>
        <v>L</v>
      </c>
      <c r="C295">
        <f>_xlfn.LET(_xlpm.steps,SUBSTITUTE(Table1[[#This Row],[Input]],Table1[[#This Row],[Direction]],""),VALUE(IF(LEN(_xlpm.steps)&gt;2,RIGHT(_xlpm.steps,2),_xlpm.steps)))</f>
        <v>2</v>
      </c>
      <c r="D295">
        <f>_xlfn.LET(_xlpm.dir,Table1[[#This Row],[Direction]],
IF(_xlpm.dir="L",
    IF(F294-Table1[[#This Row],[Steps]]&lt;0,100+(F294-Table1[[#This Row],[Steps]]),F294-Table1[[#This Row],[Steps]]),
))</f>
        <v>98</v>
      </c>
      <c r="E295">
        <f>_xlfn.LET(_xlpm.dir,Table1[[#This Row],[Direction]],
IF(_xlpm.dir="R",
    IF(F294+Table1[[#This Row],[Steps]]&gt;99,(F294+Table1[[#This Row],[Steps]])-100,F294+Table1[[#This Row],[Steps]]),
))</f>
        <v>0</v>
      </c>
      <c r="F295">
        <f>IF(Table1[[#This Row],[New Pos L]]&lt;&gt;0,Table1[[#This Row],[New Pos L]],Table1[[#This Row],[New Pos R]])</f>
        <v>98</v>
      </c>
    </row>
    <row r="296" spans="1:6" ht="16" x14ac:dyDescent="0.2">
      <c r="A296" s="1" t="s">
        <v>181</v>
      </c>
      <c r="B296" t="str">
        <f>LEFT(Table1[[#This Row],[Input]],1)</f>
        <v>L</v>
      </c>
      <c r="C296">
        <f>_xlfn.LET(_xlpm.steps,SUBSTITUTE(Table1[[#This Row],[Input]],Table1[[#This Row],[Direction]],""),VALUE(IF(LEN(_xlpm.steps)&gt;2,RIGHT(_xlpm.steps,2),_xlpm.steps)))</f>
        <v>53</v>
      </c>
      <c r="D296">
        <f>_xlfn.LET(_xlpm.dir,Table1[[#This Row],[Direction]],
IF(_xlpm.dir="L",
    IF(F295-Table1[[#This Row],[Steps]]&lt;0,100+(F295-Table1[[#This Row],[Steps]]),F295-Table1[[#This Row],[Steps]]),
))</f>
        <v>45</v>
      </c>
      <c r="E296">
        <f>_xlfn.LET(_xlpm.dir,Table1[[#This Row],[Direction]],
IF(_xlpm.dir="R",
    IF(F295+Table1[[#This Row],[Steps]]&gt;99,(F295+Table1[[#This Row],[Steps]])-100,F295+Table1[[#This Row],[Steps]]),
))</f>
        <v>0</v>
      </c>
      <c r="F296">
        <f>IF(Table1[[#This Row],[New Pos L]]&lt;&gt;0,Table1[[#This Row],[New Pos L]],Table1[[#This Row],[New Pos R]])</f>
        <v>45</v>
      </c>
    </row>
    <row r="297" spans="1:6" ht="16" x14ac:dyDescent="0.2">
      <c r="A297" s="1" t="s">
        <v>182</v>
      </c>
      <c r="B297" t="str">
        <f>LEFT(Table1[[#This Row],[Input]],1)</f>
        <v>L</v>
      </c>
      <c r="C297">
        <f>_xlfn.LET(_xlpm.steps,SUBSTITUTE(Table1[[#This Row],[Input]],Table1[[#This Row],[Direction]],""),VALUE(IF(LEN(_xlpm.steps)&gt;2,RIGHT(_xlpm.steps,2),_xlpm.steps)))</f>
        <v>3</v>
      </c>
      <c r="D297">
        <f>_xlfn.LET(_xlpm.dir,Table1[[#This Row],[Direction]],
IF(_xlpm.dir="L",
    IF(F296-Table1[[#This Row],[Steps]]&lt;0,100+(F296-Table1[[#This Row],[Steps]]),F296-Table1[[#This Row],[Steps]]),
))</f>
        <v>42</v>
      </c>
      <c r="E297">
        <f>_xlfn.LET(_xlpm.dir,Table1[[#This Row],[Direction]],
IF(_xlpm.dir="R",
    IF(F296+Table1[[#This Row],[Steps]]&gt;99,(F296+Table1[[#This Row],[Steps]])-100,F296+Table1[[#This Row],[Steps]]),
))</f>
        <v>0</v>
      </c>
      <c r="F297">
        <f>IF(Table1[[#This Row],[New Pos L]]&lt;&gt;0,Table1[[#This Row],[New Pos L]],Table1[[#This Row],[New Pos R]])</f>
        <v>42</v>
      </c>
    </row>
    <row r="298" spans="1:6" ht="16" x14ac:dyDescent="0.2">
      <c r="A298" s="1" t="s">
        <v>37</v>
      </c>
      <c r="B298" t="str">
        <f>LEFT(Table1[[#This Row],[Input]],1)</f>
        <v>L</v>
      </c>
      <c r="C298">
        <f>_xlfn.LET(_xlpm.steps,SUBSTITUTE(Table1[[#This Row],[Input]],Table1[[#This Row],[Direction]],""),VALUE(IF(LEN(_xlpm.steps)&gt;2,RIGHT(_xlpm.steps,2),_xlpm.steps)))</f>
        <v>42</v>
      </c>
      <c r="D298">
        <f>_xlfn.LET(_xlpm.dir,Table1[[#This Row],[Direction]],
IF(_xlpm.dir="L",
    IF(F297-Table1[[#This Row],[Steps]]&lt;0,100+(F297-Table1[[#This Row],[Steps]]),F297-Table1[[#This Row],[Steps]]),
))</f>
        <v>0</v>
      </c>
      <c r="E298">
        <f>_xlfn.LET(_xlpm.dir,Table1[[#This Row],[Direction]],
IF(_xlpm.dir="R",
    IF(F297+Table1[[#This Row],[Steps]]&gt;99,(F297+Table1[[#This Row],[Steps]])-100,F297+Table1[[#This Row],[Steps]]),
))</f>
        <v>0</v>
      </c>
      <c r="F298">
        <f>IF(Table1[[#This Row],[New Pos L]]&lt;&gt;0,Table1[[#This Row],[New Pos L]],Table1[[#This Row],[New Pos R]])</f>
        <v>0</v>
      </c>
    </row>
    <row r="299" spans="1:6" ht="16" x14ac:dyDescent="0.2">
      <c r="A299" s="1" t="s">
        <v>91</v>
      </c>
      <c r="B299" t="str">
        <f>LEFT(Table1[[#This Row],[Input]],1)</f>
        <v>L</v>
      </c>
      <c r="C299">
        <f>_xlfn.LET(_xlpm.steps,SUBSTITUTE(Table1[[#This Row],[Input]],Table1[[#This Row],[Direction]],""),VALUE(IF(LEN(_xlpm.steps)&gt;2,RIGHT(_xlpm.steps,2),_xlpm.steps)))</f>
        <v>22</v>
      </c>
      <c r="D299">
        <f>_xlfn.LET(_xlpm.dir,Table1[[#This Row],[Direction]],
IF(_xlpm.dir="L",
    IF(F298-Table1[[#This Row],[Steps]]&lt;0,100+(F298-Table1[[#This Row],[Steps]]),F298-Table1[[#This Row],[Steps]]),
))</f>
        <v>78</v>
      </c>
      <c r="E299">
        <f>_xlfn.LET(_xlpm.dir,Table1[[#This Row],[Direction]],
IF(_xlpm.dir="R",
    IF(F298+Table1[[#This Row],[Steps]]&gt;99,(F298+Table1[[#This Row],[Steps]])-100,F298+Table1[[#This Row],[Steps]]),
))</f>
        <v>0</v>
      </c>
      <c r="F299">
        <f>IF(Table1[[#This Row],[New Pos L]]&lt;&gt;0,Table1[[#This Row],[New Pos L]],Table1[[#This Row],[New Pos R]])</f>
        <v>78</v>
      </c>
    </row>
    <row r="300" spans="1:6" ht="16" x14ac:dyDescent="0.2">
      <c r="A300" s="1" t="s">
        <v>183</v>
      </c>
      <c r="B300" t="str">
        <f>LEFT(Table1[[#This Row],[Input]],1)</f>
        <v>L</v>
      </c>
      <c r="C300">
        <f>_xlfn.LET(_xlpm.steps,SUBSTITUTE(Table1[[#This Row],[Input]],Table1[[#This Row],[Direction]],""),VALUE(IF(LEN(_xlpm.steps)&gt;2,RIGHT(_xlpm.steps,2),_xlpm.steps)))</f>
        <v>67</v>
      </c>
      <c r="D300">
        <f>_xlfn.LET(_xlpm.dir,Table1[[#This Row],[Direction]],
IF(_xlpm.dir="L",
    IF(F299-Table1[[#This Row],[Steps]]&lt;0,100+(F299-Table1[[#This Row],[Steps]]),F299-Table1[[#This Row],[Steps]]),
))</f>
        <v>11</v>
      </c>
      <c r="E300">
        <f>_xlfn.LET(_xlpm.dir,Table1[[#This Row],[Direction]],
IF(_xlpm.dir="R",
    IF(F299+Table1[[#This Row],[Steps]]&gt;99,(F299+Table1[[#This Row],[Steps]])-100,F299+Table1[[#This Row],[Steps]]),
))</f>
        <v>0</v>
      </c>
      <c r="F300">
        <f>IF(Table1[[#This Row],[New Pos L]]&lt;&gt;0,Table1[[#This Row],[New Pos L]],Table1[[#This Row],[New Pos R]])</f>
        <v>11</v>
      </c>
    </row>
    <row r="301" spans="1:6" ht="16" x14ac:dyDescent="0.2">
      <c r="A301" s="1" t="s">
        <v>184</v>
      </c>
      <c r="B301" t="str">
        <f>LEFT(Table1[[#This Row],[Input]],1)</f>
        <v>R</v>
      </c>
      <c r="C301">
        <f>_xlfn.LET(_xlpm.steps,SUBSTITUTE(Table1[[#This Row],[Input]],Table1[[#This Row],[Direction]],""),VALUE(IF(LEN(_xlpm.steps)&gt;2,RIGHT(_xlpm.steps,2),_xlpm.steps)))</f>
        <v>28</v>
      </c>
      <c r="D301">
        <f>_xlfn.LET(_xlpm.dir,Table1[[#This Row],[Direction]],
IF(_xlpm.dir="L",
    IF(F300-Table1[[#This Row],[Steps]]&lt;0,100+(F300-Table1[[#This Row],[Steps]]),F300-Table1[[#This Row],[Steps]]),
))</f>
        <v>0</v>
      </c>
      <c r="E301">
        <f>_xlfn.LET(_xlpm.dir,Table1[[#This Row],[Direction]],
IF(_xlpm.dir="R",
    IF(F300+Table1[[#This Row],[Steps]]&gt;99,(F300+Table1[[#This Row],[Steps]])-100,F300+Table1[[#This Row],[Steps]]),
))</f>
        <v>39</v>
      </c>
      <c r="F301">
        <f>IF(Table1[[#This Row],[New Pos L]]&lt;&gt;0,Table1[[#This Row],[New Pos L]],Table1[[#This Row],[New Pos R]])</f>
        <v>39</v>
      </c>
    </row>
    <row r="302" spans="1:6" ht="16" x14ac:dyDescent="0.2">
      <c r="A302" s="1" t="s">
        <v>185</v>
      </c>
      <c r="B302" t="str">
        <f>LEFT(Table1[[#This Row],[Input]],1)</f>
        <v>R</v>
      </c>
      <c r="C302">
        <f>_xlfn.LET(_xlpm.steps,SUBSTITUTE(Table1[[#This Row],[Input]],Table1[[#This Row],[Direction]],""),VALUE(IF(LEN(_xlpm.steps)&gt;2,RIGHT(_xlpm.steps,2),_xlpm.steps)))</f>
        <v>61</v>
      </c>
      <c r="D302">
        <f>_xlfn.LET(_xlpm.dir,Table1[[#This Row],[Direction]],
IF(_xlpm.dir="L",
    IF(F301-Table1[[#This Row],[Steps]]&lt;0,100+(F301-Table1[[#This Row],[Steps]]),F301-Table1[[#This Row],[Steps]]),
))</f>
        <v>0</v>
      </c>
      <c r="E302">
        <f>_xlfn.LET(_xlpm.dir,Table1[[#This Row],[Direction]],
IF(_xlpm.dir="R",
    IF(F301+Table1[[#This Row],[Steps]]&gt;99,(F301+Table1[[#This Row],[Steps]])-100,F301+Table1[[#This Row],[Steps]]),
))</f>
        <v>0</v>
      </c>
      <c r="F302">
        <f>IF(Table1[[#This Row],[New Pos L]]&lt;&gt;0,Table1[[#This Row],[New Pos L]],Table1[[#This Row],[New Pos R]])</f>
        <v>0</v>
      </c>
    </row>
    <row r="303" spans="1:6" ht="16" x14ac:dyDescent="0.2">
      <c r="A303" s="1" t="s">
        <v>186</v>
      </c>
      <c r="B303" t="str">
        <f>LEFT(Table1[[#This Row],[Input]],1)</f>
        <v>L</v>
      </c>
      <c r="C303">
        <f>_xlfn.LET(_xlpm.steps,SUBSTITUTE(Table1[[#This Row],[Input]],Table1[[#This Row],[Direction]],""),VALUE(IF(LEN(_xlpm.steps)&gt;2,RIGHT(_xlpm.steps,2),_xlpm.steps)))</f>
        <v>84</v>
      </c>
      <c r="D303">
        <f>_xlfn.LET(_xlpm.dir,Table1[[#This Row],[Direction]],
IF(_xlpm.dir="L",
    IF(F302-Table1[[#This Row],[Steps]]&lt;0,100+(F302-Table1[[#This Row],[Steps]]),F302-Table1[[#This Row],[Steps]]),
))</f>
        <v>16</v>
      </c>
      <c r="E303">
        <f>_xlfn.LET(_xlpm.dir,Table1[[#This Row],[Direction]],
IF(_xlpm.dir="R",
    IF(F302+Table1[[#This Row],[Steps]]&gt;99,(F302+Table1[[#This Row],[Steps]])-100,F302+Table1[[#This Row],[Steps]]),
))</f>
        <v>0</v>
      </c>
      <c r="F303">
        <f>IF(Table1[[#This Row],[New Pos L]]&lt;&gt;0,Table1[[#This Row],[New Pos L]],Table1[[#This Row],[New Pos R]])</f>
        <v>16</v>
      </c>
    </row>
    <row r="304" spans="1:6" ht="16" x14ac:dyDescent="0.2">
      <c r="A304" s="1" t="s">
        <v>187</v>
      </c>
      <c r="B304" t="str">
        <f>LEFT(Table1[[#This Row],[Input]],1)</f>
        <v>R</v>
      </c>
      <c r="C304">
        <f>_xlfn.LET(_xlpm.steps,SUBSTITUTE(Table1[[#This Row],[Input]],Table1[[#This Row],[Direction]],""),VALUE(IF(LEN(_xlpm.steps)&gt;2,RIGHT(_xlpm.steps,2),_xlpm.steps)))</f>
        <v>20</v>
      </c>
      <c r="D304">
        <f>_xlfn.LET(_xlpm.dir,Table1[[#This Row],[Direction]],
IF(_xlpm.dir="L",
    IF(F303-Table1[[#This Row],[Steps]]&lt;0,100+(F303-Table1[[#This Row],[Steps]]),F303-Table1[[#This Row],[Steps]]),
))</f>
        <v>0</v>
      </c>
      <c r="E304">
        <f>_xlfn.LET(_xlpm.dir,Table1[[#This Row],[Direction]],
IF(_xlpm.dir="R",
    IF(F303+Table1[[#This Row],[Steps]]&gt;99,(F303+Table1[[#This Row],[Steps]])-100,F303+Table1[[#This Row],[Steps]]),
))</f>
        <v>36</v>
      </c>
      <c r="F304">
        <f>IF(Table1[[#This Row],[New Pos L]]&lt;&gt;0,Table1[[#This Row],[New Pos L]],Table1[[#This Row],[New Pos R]])</f>
        <v>36</v>
      </c>
    </row>
    <row r="305" spans="1:6" ht="16" x14ac:dyDescent="0.2">
      <c r="A305" s="1" t="s">
        <v>188</v>
      </c>
      <c r="B305" t="str">
        <f>LEFT(Table1[[#This Row],[Input]],1)</f>
        <v>R</v>
      </c>
      <c r="C305">
        <f>_xlfn.LET(_xlpm.steps,SUBSTITUTE(Table1[[#This Row],[Input]],Table1[[#This Row],[Direction]],""),VALUE(IF(LEN(_xlpm.steps)&gt;2,RIGHT(_xlpm.steps,2),_xlpm.steps)))</f>
        <v>5</v>
      </c>
      <c r="D305">
        <f>_xlfn.LET(_xlpm.dir,Table1[[#This Row],[Direction]],
IF(_xlpm.dir="L",
    IF(F304-Table1[[#This Row],[Steps]]&lt;0,100+(F304-Table1[[#This Row],[Steps]]),F304-Table1[[#This Row],[Steps]]),
))</f>
        <v>0</v>
      </c>
      <c r="E305">
        <f>_xlfn.LET(_xlpm.dir,Table1[[#This Row],[Direction]],
IF(_xlpm.dir="R",
    IF(F304+Table1[[#This Row],[Steps]]&gt;99,(F304+Table1[[#This Row],[Steps]])-100,F304+Table1[[#This Row],[Steps]]),
))</f>
        <v>41</v>
      </c>
      <c r="F305">
        <f>IF(Table1[[#This Row],[New Pos L]]&lt;&gt;0,Table1[[#This Row],[New Pos L]],Table1[[#This Row],[New Pos R]])</f>
        <v>41</v>
      </c>
    </row>
    <row r="306" spans="1:6" ht="16" x14ac:dyDescent="0.2">
      <c r="A306" s="1" t="s">
        <v>182</v>
      </c>
      <c r="B306" t="str">
        <f>LEFT(Table1[[#This Row],[Input]],1)</f>
        <v>L</v>
      </c>
      <c r="C306">
        <f>_xlfn.LET(_xlpm.steps,SUBSTITUTE(Table1[[#This Row],[Input]],Table1[[#This Row],[Direction]],""),VALUE(IF(LEN(_xlpm.steps)&gt;2,RIGHT(_xlpm.steps,2),_xlpm.steps)))</f>
        <v>3</v>
      </c>
      <c r="D306">
        <f>_xlfn.LET(_xlpm.dir,Table1[[#This Row],[Direction]],
IF(_xlpm.dir="L",
    IF(F305-Table1[[#This Row],[Steps]]&lt;0,100+(F305-Table1[[#This Row],[Steps]]),F305-Table1[[#This Row],[Steps]]),
))</f>
        <v>38</v>
      </c>
      <c r="E306">
        <f>_xlfn.LET(_xlpm.dir,Table1[[#This Row],[Direction]],
IF(_xlpm.dir="R",
    IF(F305+Table1[[#This Row],[Steps]]&gt;99,(F305+Table1[[#This Row],[Steps]])-100,F305+Table1[[#This Row],[Steps]]),
))</f>
        <v>0</v>
      </c>
      <c r="F306">
        <f>IF(Table1[[#This Row],[New Pos L]]&lt;&gt;0,Table1[[#This Row],[New Pos L]],Table1[[#This Row],[New Pos R]])</f>
        <v>38</v>
      </c>
    </row>
    <row r="307" spans="1:6" ht="16" x14ac:dyDescent="0.2">
      <c r="A307" s="1" t="s">
        <v>189</v>
      </c>
      <c r="B307" t="str">
        <f>LEFT(Table1[[#This Row],[Input]],1)</f>
        <v>L</v>
      </c>
      <c r="C307">
        <f>_xlfn.LET(_xlpm.steps,SUBSTITUTE(Table1[[#This Row],[Input]],Table1[[#This Row],[Direction]],""),VALUE(IF(LEN(_xlpm.steps)&gt;2,RIGHT(_xlpm.steps,2),_xlpm.steps)))</f>
        <v>38</v>
      </c>
      <c r="D307">
        <f>_xlfn.LET(_xlpm.dir,Table1[[#This Row],[Direction]],
IF(_xlpm.dir="L",
    IF(F306-Table1[[#This Row],[Steps]]&lt;0,100+(F306-Table1[[#This Row],[Steps]]),F306-Table1[[#This Row],[Steps]]),
))</f>
        <v>0</v>
      </c>
      <c r="E307">
        <f>_xlfn.LET(_xlpm.dir,Table1[[#This Row],[Direction]],
IF(_xlpm.dir="R",
    IF(F306+Table1[[#This Row],[Steps]]&gt;99,(F306+Table1[[#This Row],[Steps]])-100,F306+Table1[[#This Row],[Steps]]),
))</f>
        <v>0</v>
      </c>
      <c r="F307">
        <f>IF(Table1[[#This Row],[New Pos L]]&lt;&gt;0,Table1[[#This Row],[New Pos L]],Table1[[#This Row],[New Pos R]])</f>
        <v>0</v>
      </c>
    </row>
    <row r="308" spans="1:6" ht="16" x14ac:dyDescent="0.2">
      <c r="A308" s="1" t="s">
        <v>84</v>
      </c>
      <c r="B308" t="str">
        <f>LEFT(Table1[[#This Row],[Input]],1)</f>
        <v>R</v>
      </c>
      <c r="C308">
        <f>_xlfn.LET(_xlpm.steps,SUBSTITUTE(Table1[[#This Row],[Input]],Table1[[#This Row],[Direction]],""),VALUE(IF(LEN(_xlpm.steps)&gt;2,RIGHT(_xlpm.steps,2),_xlpm.steps)))</f>
        <v>88</v>
      </c>
      <c r="D308">
        <f>_xlfn.LET(_xlpm.dir,Table1[[#This Row],[Direction]],
IF(_xlpm.dir="L",
    IF(F307-Table1[[#This Row],[Steps]]&lt;0,100+(F307-Table1[[#This Row],[Steps]]),F307-Table1[[#This Row],[Steps]]),
))</f>
        <v>0</v>
      </c>
      <c r="E308">
        <f>_xlfn.LET(_xlpm.dir,Table1[[#This Row],[Direction]],
IF(_xlpm.dir="R",
    IF(F307+Table1[[#This Row],[Steps]]&gt;99,(F307+Table1[[#This Row],[Steps]])-100,F307+Table1[[#This Row],[Steps]]),
))</f>
        <v>88</v>
      </c>
      <c r="F308">
        <f>IF(Table1[[#This Row],[New Pos L]]&lt;&gt;0,Table1[[#This Row],[New Pos L]],Table1[[#This Row],[New Pos R]])</f>
        <v>88</v>
      </c>
    </row>
    <row r="309" spans="1:6" ht="16" x14ac:dyDescent="0.2">
      <c r="A309" s="1" t="s">
        <v>190</v>
      </c>
      <c r="B309" t="str">
        <f>LEFT(Table1[[#This Row],[Input]],1)</f>
        <v>R</v>
      </c>
      <c r="C309">
        <f>_xlfn.LET(_xlpm.steps,SUBSTITUTE(Table1[[#This Row],[Input]],Table1[[#This Row],[Direction]],""),VALUE(IF(LEN(_xlpm.steps)&gt;2,RIGHT(_xlpm.steps,2),_xlpm.steps)))</f>
        <v>78</v>
      </c>
      <c r="D309">
        <f>_xlfn.LET(_xlpm.dir,Table1[[#This Row],[Direction]],
IF(_xlpm.dir="L",
    IF(F308-Table1[[#This Row],[Steps]]&lt;0,100+(F308-Table1[[#This Row],[Steps]]),F308-Table1[[#This Row],[Steps]]),
))</f>
        <v>0</v>
      </c>
      <c r="E309">
        <f>_xlfn.LET(_xlpm.dir,Table1[[#This Row],[Direction]],
IF(_xlpm.dir="R",
    IF(F308+Table1[[#This Row],[Steps]]&gt;99,(F308+Table1[[#This Row],[Steps]])-100,F308+Table1[[#This Row],[Steps]]),
))</f>
        <v>66</v>
      </c>
      <c r="F309">
        <f>IF(Table1[[#This Row],[New Pos L]]&lt;&gt;0,Table1[[#This Row],[New Pos L]],Table1[[#This Row],[New Pos R]])</f>
        <v>66</v>
      </c>
    </row>
    <row r="310" spans="1:6" ht="16" x14ac:dyDescent="0.2">
      <c r="A310" s="1" t="s">
        <v>129</v>
      </c>
      <c r="B310" t="str">
        <f>LEFT(Table1[[#This Row],[Input]],1)</f>
        <v>R</v>
      </c>
      <c r="C310">
        <f>_xlfn.LET(_xlpm.steps,SUBSTITUTE(Table1[[#This Row],[Input]],Table1[[#This Row],[Direction]],""),VALUE(IF(LEN(_xlpm.steps)&gt;2,RIGHT(_xlpm.steps,2),_xlpm.steps)))</f>
        <v>8</v>
      </c>
      <c r="D310">
        <f>_xlfn.LET(_xlpm.dir,Table1[[#This Row],[Direction]],
IF(_xlpm.dir="L",
    IF(F309-Table1[[#This Row],[Steps]]&lt;0,100+(F309-Table1[[#This Row],[Steps]]),F309-Table1[[#This Row],[Steps]]),
))</f>
        <v>0</v>
      </c>
      <c r="E310">
        <f>_xlfn.LET(_xlpm.dir,Table1[[#This Row],[Direction]],
IF(_xlpm.dir="R",
    IF(F309+Table1[[#This Row],[Steps]]&gt;99,(F309+Table1[[#This Row],[Steps]])-100,F309+Table1[[#This Row],[Steps]]),
))</f>
        <v>74</v>
      </c>
      <c r="F310">
        <f>IF(Table1[[#This Row],[New Pos L]]&lt;&gt;0,Table1[[#This Row],[New Pos L]],Table1[[#This Row],[New Pos R]])</f>
        <v>74</v>
      </c>
    </row>
    <row r="311" spans="1:6" ht="16" x14ac:dyDescent="0.2">
      <c r="A311" s="1" t="s">
        <v>1</v>
      </c>
      <c r="B311" t="str">
        <f>LEFT(Table1[[#This Row],[Input]],1)</f>
        <v>R</v>
      </c>
      <c r="C311">
        <f>_xlfn.LET(_xlpm.steps,SUBSTITUTE(Table1[[#This Row],[Input]],Table1[[#This Row],[Direction]],""),VALUE(IF(LEN(_xlpm.steps)&gt;2,RIGHT(_xlpm.steps,2),_xlpm.steps)))</f>
        <v>26</v>
      </c>
      <c r="D311">
        <f>_xlfn.LET(_xlpm.dir,Table1[[#This Row],[Direction]],
IF(_xlpm.dir="L",
    IF(F310-Table1[[#This Row],[Steps]]&lt;0,100+(F310-Table1[[#This Row],[Steps]]),F310-Table1[[#This Row],[Steps]]),
))</f>
        <v>0</v>
      </c>
      <c r="E311">
        <f>_xlfn.LET(_xlpm.dir,Table1[[#This Row],[Direction]],
IF(_xlpm.dir="R",
    IF(F310+Table1[[#This Row],[Steps]]&gt;99,(F310+Table1[[#This Row],[Steps]])-100,F310+Table1[[#This Row],[Steps]]),
))</f>
        <v>0</v>
      </c>
      <c r="F311">
        <f>IF(Table1[[#This Row],[New Pos L]]&lt;&gt;0,Table1[[#This Row],[New Pos L]],Table1[[#This Row],[New Pos R]])</f>
        <v>0</v>
      </c>
    </row>
    <row r="312" spans="1:6" ht="16" x14ac:dyDescent="0.2">
      <c r="A312" s="1" t="s">
        <v>191</v>
      </c>
      <c r="B312" t="str">
        <f>LEFT(Table1[[#This Row],[Input]],1)</f>
        <v>L</v>
      </c>
      <c r="C312">
        <f>_xlfn.LET(_xlpm.steps,SUBSTITUTE(Table1[[#This Row],[Input]],Table1[[#This Row],[Direction]],""),VALUE(IF(LEN(_xlpm.steps)&gt;2,RIGHT(_xlpm.steps,2),_xlpm.steps)))</f>
        <v>5</v>
      </c>
      <c r="D312">
        <f>_xlfn.LET(_xlpm.dir,Table1[[#This Row],[Direction]],
IF(_xlpm.dir="L",
    IF(F311-Table1[[#This Row],[Steps]]&lt;0,100+(F311-Table1[[#This Row],[Steps]]),F311-Table1[[#This Row],[Steps]]),
))</f>
        <v>95</v>
      </c>
      <c r="E312">
        <f>_xlfn.LET(_xlpm.dir,Table1[[#This Row],[Direction]],
IF(_xlpm.dir="R",
    IF(F311+Table1[[#This Row],[Steps]]&gt;99,(F311+Table1[[#This Row],[Steps]])-100,F311+Table1[[#This Row],[Steps]]),
))</f>
        <v>0</v>
      </c>
      <c r="F312">
        <f>IF(Table1[[#This Row],[New Pos L]]&lt;&gt;0,Table1[[#This Row],[New Pos L]],Table1[[#This Row],[New Pos R]])</f>
        <v>95</v>
      </c>
    </row>
    <row r="313" spans="1:6" ht="16" x14ac:dyDescent="0.2">
      <c r="A313" s="1" t="s">
        <v>188</v>
      </c>
      <c r="B313" t="str">
        <f>LEFT(Table1[[#This Row],[Input]],1)</f>
        <v>R</v>
      </c>
      <c r="C313">
        <f>_xlfn.LET(_xlpm.steps,SUBSTITUTE(Table1[[#This Row],[Input]],Table1[[#This Row],[Direction]],""),VALUE(IF(LEN(_xlpm.steps)&gt;2,RIGHT(_xlpm.steps,2),_xlpm.steps)))</f>
        <v>5</v>
      </c>
      <c r="D313">
        <f>_xlfn.LET(_xlpm.dir,Table1[[#This Row],[Direction]],
IF(_xlpm.dir="L",
    IF(F312-Table1[[#This Row],[Steps]]&lt;0,100+(F312-Table1[[#This Row],[Steps]]),F312-Table1[[#This Row],[Steps]]),
))</f>
        <v>0</v>
      </c>
      <c r="E313">
        <f>_xlfn.LET(_xlpm.dir,Table1[[#This Row],[Direction]],
IF(_xlpm.dir="R",
    IF(F312+Table1[[#This Row],[Steps]]&gt;99,(F312+Table1[[#This Row],[Steps]])-100,F312+Table1[[#This Row],[Steps]]),
))</f>
        <v>0</v>
      </c>
      <c r="F313">
        <f>IF(Table1[[#This Row],[New Pos L]]&lt;&gt;0,Table1[[#This Row],[New Pos L]],Table1[[#This Row],[New Pos R]])</f>
        <v>0</v>
      </c>
    </row>
    <row r="314" spans="1:6" ht="16" x14ac:dyDescent="0.2">
      <c r="A314" s="1" t="s">
        <v>128</v>
      </c>
      <c r="B314" t="str">
        <f>LEFT(Table1[[#This Row],[Input]],1)</f>
        <v>R</v>
      </c>
      <c r="C314">
        <f>_xlfn.LET(_xlpm.steps,SUBSTITUTE(Table1[[#This Row],[Input]],Table1[[#This Row],[Direction]],""),VALUE(IF(LEN(_xlpm.steps)&gt;2,RIGHT(_xlpm.steps,2),_xlpm.steps)))</f>
        <v>92</v>
      </c>
      <c r="D314">
        <f>_xlfn.LET(_xlpm.dir,Table1[[#This Row],[Direction]],
IF(_xlpm.dir="L",
    IF(F313-Table1[[#This Row],[Steps]]&lt;0,100+(F313-Table1[[#This Row],[Steps]]),F313-Table1[[#This Row],[Steps]]),
))</f>
        <v>0</v>
      </c>
      <c r="E314">
        <f>_xlfn.LET(_xlpm.dir,Table1[[#This Row],[Direction]],
IF(_xlpm.dir="R",
    IF(F313+Table1[[#This Row],[Steps]]&gt;99,(F313+Table1[[#This Row],[Steps]])-100,F313+Table1[[#This Row],[Steps]]),
))</f>
        <v>92</v>
      </c>
      <c r="F314">
        <f>IF(Table1[[#This Row],[New Pos L]]&lt;&gt;0,Table1[[#This Row],[New Pos L]],Table1[[#This Row],[New Pos R]])</f>
        <v>92</v>
      </c>
    </row>
    <row r="315" spans="1:6" ht="16" x14ac:dyDescent="0.2">
      <c r="A315" s="1" t="s">
        <v>98</v>
      </c>
      <c r="B315" t="str">
        <f>LEFT(Table1[[#This Row],[Input]],1)</f>
        <v>L</v>
      </c>
      <c r="C315">
        <f>_xlfn.LET(_xlpm.steps,SUBSTITUTE(Table1[[#This Row],[Input]],Table1[[#This Row],[Direction]],""),VALUE(IF(LEN(_xlpm.steps)&gt;2,RIGHT(_xlpm.steps,2),_xlpm.steps)))</f>
        <v>65</v>
      </c>
      <c r="D315">
        <f>_xlfn.LET(_xlpm.dir,Table1[[#This Row],[Direction]],
IF(_xlpm.dir="L",
    IF(F314-Table1[[#This Row],[Steps]]&lt;0,100+(F314-Table1[[#This Row],[Steps]]),F314-Table1[[#This Row],[Steps]]),
))</f>
        <v>27</v>
      </c>
      <c r="E315">
        <f>_xlfn.LET(_xlpm.dir,Table1[[#This Row],[Direction]],
IF(_xlpm.dir="R",
    IF(F314+Table1[[#This Row],[Steps]]&gt;99,(F314+Table1[[#This Row],[Steps]])-100,F314+Table1[[#This Row],[Steps]]),
))</f>
        <v>0</v>
      </c>
      <c r="F315">
        <f>IF(Table1[[#This Row],[New Pos L]]&lt;&gt;0,Table1[[#This Row],[New Pos L]],Table1[[#This Row],[New Pos R]])</f>
        <v>27</v>
      </c>
    </row>
    <row r="316" spans="1:6" ht="16" x14ac:dyDescent="0.2">
      <c r="A316" s="1" t="s">
        <v>70</v>
      </c>
      <c r="B316" t="str">
        <f>LEFT(Table1[[#This Row],[Input]],1)</f>
        <v>R</v>
      </c>
      <c r="C316">
        <f>_xlfn.LET(_xlpm.steps,SUBSTITUTE(Table1[[#This Row],[Input]],Table1[[#This Row],[Direction]],""),VALUE(IF(LEN(_xlpm.steps)&gt;2,RIGHT(_xlpm.steps,2),_xlpm.steps)))</f>
        <v>73</v>
      </c>
      <c r="D316">
        <f>_xlfn.LET(_xlpm.dir,Table1[[#This Row],[Direction]],
IF(_xlpm.dir="L",
    IF(F315-Table1[[#This Row],[Steps]]&lt;0,100+(F315-Table1[[#This Row],[Steps]]),F315-Table1[[#This Row],[Steps]]),
))</f>
        <v>0</v>
      </c>
      <c r="E316">
        <f>_xlfn.LET(_xlpm.dir,Table1[[#This Row],[Direction]],
IF(_xlpm.dir="R",
    IF(F315+Table1[[#This Row],[Steps]]&gt;99,(F315+Table1[[#This Row],[Steps]])-100,F315+Table1[[#This Row],[Steps]]),
))</f>
        <v>0</v>
      </c>
      <c r="F316">
        <f>IF(Table1[[#This Row],[New Pos L]]&lt;&gt;0,Table1[[#This Row],[New Pos L]],Table1[[#This Row],[New Pos R]])</f>
        <v>0</v>
      </c>
    </row>
    <row r="317" spans="1:6" ht="16" x14ac:dyDescent="0.2">
      <c r="A317" s="1" t="s">
        <v>100</v>
      </c>
      <c r="B317" t="str">
        <f>LEFT(Table1[[#This Row],[Input]],1)</f>
        <v>R</v>
      </c>
      <c r="C317">
        <f>_xlfn.LET(_xlpm.steps,SUBSTITUTE(Table1[[#This Row],[Input]],Table1[[#This Row],[Direction]],""),VALUE(IF(LEN(_xlpm.steps)&gt;2,RIGHT(_xlpm.steps,2),_xlpm.steps)))</f>
        <v>58</v>
      </c>
      <c r="D317">
        <f>_xlfn.LET(_xlpm.dir,Table1[[#This Row],[Direction]],
IF(_xlpm.dir="L",
    IF(F316-Table1[[#This Row],[Steps]]&lt;0,100+(F316-Table1[[#This Row],[Steps]]),F316-Table1[[#This Row],[Steps]]),
))</f>
        <v>0</v>
      </c>
      <c r="E317">
        <f>_xlfn.LET(_xlpm.dir,Table1[[#This Row],[Direction]],
IF(_xlpm.dir="R",
    IF(F316+Table1[[#This Row],[Steps]]&gt;99,(F316+Table1[[#This Row],[Steps]])-100,F316+Table1[[#This Row],[Steps]]),
))</f>
        <v>58</v>
      </c>
      <c r="F317">
        <f>IF(Table1[[#This Row],[New Pos L]]&lt;&gt;0,Table1[[#This Row],[New Pos L]],Table1[[#This Row],[New Pos R]])</f>
        <v>58</v>
      </c>
    </row>
    <row r="318" spans="1:6" ht="16" x14ac:dyDescent="0.2">
      <c r="A318" s="1" t="s">
        <v>192</v>
      </c>
      <c r="B318" t="str">
        <f>LEFT(Table1[[#This Row],[Input]],1)</f>
        <v>L</v>
      </c>
      <c r="C318">
        <f>_xlfn.LET(_xlpm.steps,SUBSTITUTE(Table1[[#This Row],[Input]],Table1[[#This Row],[Direction]],""),VALUE(IF(LEN(_xlpm.steps)&gt;2,RIGHT(_xlpm.steps,2),_xlpm.steps)))</f>
        <v>52</v>
      </c>
      <c r="D318">
        <f>_xlfn.LET(_xlpm.dir,Table1[[#This Row],[Direction]],
IF(_xlpm.dir="L",
    IF(F317-Table1[[#This Row],[Steps]]&lt;0,100+(F317-Table1[[#This Row],[Steps]]),F317-Table1[[#This Row],[Steps]]),
))</f>
        <v>6</v>
      </c>
      <c r="E318">
        <f>_xlfn.LET(_xlpm.dir,Table1[[#This Row],[Direction]],
IF(_xlpm.dir="R",
    IF(F317+Table1[[#This Row],[Steps]]&gt;99,(F317+Table1[[#This Row],[Steps]])-100,F317+Table1[[#This Row],[Steps]]),
))</f>
        <v>0</v>
      </c>
      <c r="F318">
        <f>IF(Table1[[#This Row],[New Pos L]]&lt;&gt;0,Table1[[#This Row],[New Pos L]],Table1[[#This Row],[New Pos R]])</f>
        <v>6</v>
      </c>
    </row>
    <row r="319" spans="1:6" ht="16" x14ac:dyDescent="0.2">
      <c r="A319" s="1" t="s">
        <v>65</v>
      </c>
      <c r="B319" t="str">
        <f>LEFT(Table1[[#This Row],[Input]],1)</f>
        <v>L</v>
      </c>
      <c r="C319">
        <f>_xlfn.LET(_xlpm.steps,SUBSTITUTE(Table1[[#This Row],[Input]],Table1[[#This Row],[Direction]],""),VALUE(IF(LEN(_xlpm.steps)&gt;2,RIGHT(_xlpm.steps,2),_xlpm.steps)))</f>
        <v>19</v>
      </c>
      <c r="D319">
        <f>_xlfn.LET(_xlpm.dir,Table1[[#This Row],[Direction]],
IF(_xlpm.dir="L",
    IF(F318-Table1[[#This Row],[Steps]]&lt;0,100+(F318-Table1[[#This Row],[Steps]]),F318-Table1[[#This Row],[Steps]]),
))</f>
        <v>87</v>
      </c>
      <c r="E319">
        <f>_xlfn.LET(_xlpm.dir,Table1[[#This Row],[Direction]],
IF(_xlpm.dir="R",
    IF(F318+Table1[[#This Row],[Steps]]&gt;99,(F318+Table1[[#This Row],[Steps]])-100,F318+Table1[[#This Row],[Steps]]),
))</f>
        <v>0</v>
      </c>
      <c r="F319">
        <f>IF(Table1[[#This Row],[New Pos L]]&lt;&gt;0,Table1[[#This Row],[New Pos L]],Table1[[#This Row],[New Pos R]])</f>
        <v>87</v>
      </c>
    </row>
    <row r="320" spans="1:6" ht="16" x14ac:dyDescent="0.2">
      <c r="A320" s="1" t="s">
        <v>54</v>
      </c>
      <c r="B320" t="str">
        <f>LEFT(Table1[[#This Row],[Input]],1)</f>
        <v>L</v>
      </c>
      <c r="C320">
        <f>_xlfn.LET(_xlpm.steps,SUBSTITUTE(Table1[[#This Row],[Input]],Table1[[#This Row],[Direction]],""),VALUE(IF(LEN(_xlpm.steps)&gt;2,RIGHT(_xlpm.steps,2),_xlpm.steps)))</f>
        <v>75</v>
      </c>
      <c r="D320">
        <f>_xlfn.LET(_xlpm.dir,Table1[[#This Row],[Direction]],
IF(_xlpm.dir="L",
    IF(F319-Table1[[#This Row],[Steps]]&lt;0,100+(F319-Table1[[#This Row],[Steps]]),F319-Table1[[#This Row],[Steps]]),
))</f>
        <v>12</v>
      </c>
      <c r="E320">
        <f>_xlfn.LET(_xlpm.dir,Table1[[#This Row],[Direction]],
IF(_xlpm.dir="R",
    IF(F319+Table1[[#This Row],[Steps]]&gt;99,(F319+Table1[[#This Row],[Steps]])-100,F319+Table1[[#This Row],[Steps]]),
))</f>
        <v>0</v>
      </c>
      <c r="F320">
        <f>IF(Table1[[#This Row],[New Pos L]]&lt;&gt;0,Table1[[#This Row],[New Pos L]],Table1[[#This Row],[New Pos R]])</f>
        <v>12</v>
      </c>
    </row>
    <row r="321" spans="1:6" ht="16" x14ac:dyDescent="0.2">
      <c r="A321" s="1" t="s">
        <v>193</v>
      </c>
      <c r="B321" t="str">
        <f>LEFT(Table1[[#This Row],[Input]],1)</f>
        <v>L</v>
      </c>
      <c r="C321">
        <f>_xlfn.LET(_xlpm.steps,SUBSTITUTE(Table1[[#This Row],[Input]],Table1[[#This Row],[Direction]],""),VALUE(IF(LEN(_xlpm.steps)&gt;2,RIGHT(_xlpm.steps,2),_xlpm.steps)))</f>
        <v>12</v>
      </c>
      <c r="D321">
        <f>_xlfn.LET(_xlpm.dir,Table1[[#This Row],[Direction]],
IF(_xlpm.dir="L",
    IF(F320-Table1[[#This Row],[Steps]]&lt;0,100+(F320-Table1[[#This Row],[Steps]]),F320-Table1[[#This Row],[Steps]]),
))</f>
        <v>0</v>
      </c>
      <c r="E321">
        <f>_xlfn.LET(_xlpm.dir,Table1[[#This Row],[Direction]],
IF(_xlpm.dir="R",
    IF(F320+Table1[[#This Row],[Steps]]&gt;99,(F320+Table1[[#This Row],[Steps]])-100,F320+Table1[[#This Row],[Steps]]),
))</f>
        <v>0</v>
      </c>
      <c r="F321">
        <f>IF(Table1[[#This Row],[New Pos L]]&lt;&gt;0,Table1[[#This Row],[New Pos L]],Table1[[#This Row],[New Pos R]])</f>
        <v>0</v>
      </c>
    </row>
    <row r="322" spans="1:6" ht="16" x14ac:dyDescent="0.2">
      <c r="A322" s="1" t="s">
        <v>183</v>
      </c>
      <c r="B322" t="str">
        <f>LEFT(Table1[[#This Row],[Input]],1)</f>
        <v>L</v>
      </c>
      <c r="C322">
        <f>_xlfn.LET(_xlpm.steps,SUBSTITUTE(Table1[[#This Row],[Input]],Table1[[#This Row],[Direction]],""),VALUE(IF(LEN(_xlpm.steps)&gt;2,RIGHT(_xlpm.steps,2),_xlpm.steps)))</f>
        <v>67</v>
      </c>
      <c r="D322">
        <f>_xlfn.LET(_xlpm.dir,Table1[[#This Row],[Direction]],
IF(_xlpm.dir="L",
    IF(F321-Table1[[#This Row],[Steps]]&lt;0,100+(F321-Table1[[#This Row],[Steps]]),F321-Table1[[#This Row],[Steps]]),
))</f>
        <v>33</v>
      </c>
      <c r="E322">
        <f>_xlfn.LET(_xlpm.dir,Table1[[#This Row],[Direction]],
IF(_xlpm.dir="R",
    IF(F321+Table1[[#This Row],[Steps]]&gt;99,(F321+Table1[[#This Row],[Steps]])-100,F321+Table1[[#This Row],[Steps]]),
))</f>
        <v>0</v>
      </c>
      <c r="F322">
        <f>IF(Table1[[#This Row],[New Pos L]]&lt;&gt;0,Table1[[#This Row],[New Pos L]],Table1[[#This Row],[New Pos R]])</f>
        <v>33</v>
      </c>
    </row>
    <row r="323" spans="1:6" ht="16" x14ac:dyDescent="0.2">
      <c r="A323" s="1" t="s">
        <v>194</v>
      </c>
      <c r="B323" t="str">
        <f>LEFT(Table1[[#This Row],[Input]],1)</f>
        <v>R</v>
      </c>
      <c r="C323">
        <f>_xlfn.LET(_xlpm.steps,SUBSTITUTE(Table1[[#This Row],[Input]],Table1[[#This Row],[Direction]],""),VALUE(IF(LEN(_xlpm.steps)&gt;2,RIGHT(_xlpm.steps,2),_xlpm.steps)))</f>
        <v>51</v>
      </c>
      <c r="D323">
        <f>_xlfn.LET(_xlpm.dir,Table1[[#This Row],[Direction]],
IF(_xlpm.dir="L",
    IF(F322-Table1[[#This Row],[Steps]]&lt;0,100+(F322-Table1[[#This Row],[Steps]]),F322-Table1[[#This Row],[Steps]]),
))</f>
        <v>0</v>
      </c>
      <c r="E323">
        <f>_xlfn.LET(_xlpm.dir,Table1[[#This Row],[Direction]],
IF(_xlpm.dir="R",
    IF(F322+Table1[[#This Row],[Steps]]&gt;99,(F322+Table1[[#This Row],[Steps]])-100,F322+Table1[[#This Row],[Steps]]),
))</f>
        <v>84</v>
      </c>
      <c r="F323">
        <f>IF(Table1[[#This Row],[New Pos L]]&lt;&gt;0,Table1[[#This Row],[New Pos L]],Table1[[#This Row],[New Pos R]])</f>
        <v>84</v>
      </c>
    </row>
    <row r="324" spans="1:6" ht="16" x14ac:dyDescent="0.2">
      <c r="A324" s="1" t="s">
        <v>183</v>
      </c>
      <c r="B324" t="str">
        <f>LEFT(Table1[[#This Row],[Input]],1)</f>
        <v>L</v>
      </c>
      <c r="C324">
        <f>_xlfn.LET(_xlpm.steps,SUBSTITUTE(Table1[[#This Row],[Input]],Table1[[#This Row],[Direction]],""),VALUE(IF(LEN(_xlpm.steps)&gt;2,RIGHT(_xlpm.steps,2),_xlpm.steps)))</f>
        <v>67</v>
      </c>
      <c r="D324">
        <f>_xlfn.LET(_xlpm.dir,Table1[[#This Row],[Direction]],
IF(_xlpm.dir="L",
    IF(F323-Table1[[#This Row],[Steps]]&lt;0,100+(F323-Table1[[#This Row],[Steps]]),F323-Table1[[#This Row],[Steps]]),
))</f>
        <v>17</v>
      </c>
      <c r="E324">
        <f>_xlfn.LET(_xlpm.dir,Table1[[#This Row],[Direction]],
IF(_xlpm.dir="R",
    IF(F323+Table1[[#This Row],[Steps]]&gt;99,(F323+Table1[[#This Row],[Steps]])-100,F323+Table1[[#This Row],[Steps]]),
))</f>
        <v>0</v>
      </c>
      <c r="F324">
        <f>IF(Table1[[#This Row],[New Pos L]]&lt;&gt;0,Table1[[#This Row],[New Pos L]],Table1[[#This Row],[New Pos R]])</f>
        <v>17</v>
      </c>
    </row>
    <row r="325" spans="1:6" ht="16" x14ac:dyDescent="0.2">
      <c r="A325" s="1" t="s">
        <v>72</v>
      </c>
      <c r="B325" t="str">
        <f>LEFT(Table1[[#This Row],[Input]],1)</f>
        <v>R</v>
      </c>
      <c r="C325">
        <f>_xlfn.LET(_xlpm.steps,SUBSTITUTE(Table1[[#This Row],[Input]],Table1[[#This Row],[Direction]],""),VALUE(IF(LEN(_xlpm.steps)&gt;2,RIGHT(_xlpm.steps,2),_xlpm.steps)))</f>
        <v>43</v>
      </c>
      <c r="D325">
        <f>_xlfn.LET(_xlpm.dir,Table1[[#This Row],[Direction]],
IF(_xlpm.dir="L",
    IF(F324-Table1[[#This Row],[Steps]]&lt;0,100+(F324-Table1[[#This Row],[Steps]]),F324-Table1[[#This Row],[Steps]]),
))</f>
        <v>0</v>
      </c>
      <c r="E325">
        <f>_xlfn.LET(_xlpm.dir,Table1[[#This Row],[Direction]],
IF(_xlpm.dir="R",
    IF(F324+Table1[[#This Row],[Steps]]&gt;99,(F324+Table1[[#This Row],[Steps]])-100,F324+Table1[[#This Row],[Steps]]),
))</f>
        <v>60</v>
      </c>
      <c r="F325">
        <f>IF(Table1[[#This Row],[New Pos L]]&lt;&gt;0,Table1[[#This Row],[New Pos L]],Table1[[#This Row],[New Pos R]])</f>
        <v>60</v>
      </c>
    </row>
    <row r="326" spans="1:6" ht="16" x14ac:dyDescent="0.2">
      <c r="A326" s="1" t="s">
        <v>195</v>
      </c>
      <c r="B326" t="str">
        <f>LEFT(Table1[[#This Row],[Input]],1)</f>
        <v>R</v>
      </c>
      <c r="C326">
        <f>_xlfn.LET(_xlpm.steps,SUBSTITUTE(Table1[[#This Row],[Input]],Table1[[#This Row],[Direction]],""),VALUE(IF(LEN(_xlpm.steps)&gt;2,RIGHT(_xlpm.steps,2),_xlpm.steps)))</f>
        <v>40</v>
      </c>
      <c r="D326">
        <f>_xlfn.LET(_xlpm.dir,Table1[[#This Row],[Direction]],
IF(_xlpm.dir="L",
    IF(F325-Table1[[#This Row],[Steps]]&lt;0,100+(F325-Table1[[#This Row],[Steps]]),F325-Table1[[#This Row],[Steps]]),
))</f>
        <v>0</v>
      </c>
      <c r="E326">
        <f>_xlfn.LET(_xlpm.dir,Table1[[#This Row],[Direction]],
IF(_xlpm.dir="R",
    IF(F325+Table1[[#This Row],[Steps]]&gt;99,(F325+Table1[[#This Row],[Steps]])-100,F325+Table1[[#This Row],[Steps]]),
))</f>
        <v>0</v>
      </c>
      <c r="F326">
        <f>IF(Table1[[#This Row],[New Pos L]]&lt;&gt;0,Table1[[#This Row],[New Pos L]],Table1[[#This Row],[New Pos R]])</f>
        <v>0</v>
      </c>
    </row>
    <row r="327" spans="1:6" ht="16" x14ac:dyDescent="0.2">
      <c r="A327" s="1" t="s">
        <v>60</v>
      </c>
      <c r="B327" t="str">
        <f>LEFT(Table1[[#This Row],[Input]],1)</f>
        <v>R</v>
      </c>
      <c r="C327">
        <f>_xlfn.LET(_xlpm.steps,SUBSTITUTE(Table1[[#This Row],[Input]],Table1[[#This Row],[Direction]],""),VALUE(IF(LEN(_xlpm.steps)&gt;2,RIGHT(_xlpm.steps,2),_xlpm.steps)))</f>
        <v>86</v>
      </c>
      <c r="D327">
        <f>_xlfn.LET(_xlpm.dir,Table1[[#This Row],[Direction]],
IF(_xlpm.dir="L",
    IF(F326-Table1[[#This Row],[Steps]]&lt;0,100+(F326-Table1[[#This Row],[Steps]]),F326-Table1[[#This Row],[Steps]]),
))</f>
        <v>0</v>
      </c>
      <c r="E327">
        <f>_xlfn.LET(_xlpm.dir,Table1[[#This Row],[Direction]],
IF(_xlpm.dir="R",
    IF(F326+Table1[[#This Row],[Steps]]&gt;99,(F326+Table1[[#This Row],[Steps]])-100,F326+Table1[[#This Row],[Steps]]),
))</f>
        <v>86</v>
      </c>
      <c r="F327">
        <f>IF(Table1[[#This Row],[New Pos L]]&lt;&gt;0,Table1[[#This Row],[New Pos L]],Table1[[#This Row],[New Pos R]])</f>
        <v>86</v>
      </c>
    </row>
    <row r="328" spans="1:6" ht="16" x14ac:dyDescent="0.2">
      <c r="A328" s="1" t="s">
        <v>196</v>
      </c>
      <c r="B328" t="str">
        <f>LEFT(Table1[[#This Row],[Input]],1)</f>
        <v>L</v>
      </c>
      <c r="C328">
        <f>_xlfn.LET(_xlpm.steps,SUBSTITUTE(Table1[[#This Row],[Input]],Table1[[#This Row],[Direction]],""),VALUE(IF(LEN(_xlpm.steps)&gt;2,RIGHT(_xlpm.steps,2),_xlpm.steps)))</f>
        <v>83</v>
      </c>
      <c r="D328">
        <f>_xlfn.LET(_xlpm.dir,Table1[[#This Row],[Direction]],
IF(_xlpm.dir="L",
    IF(F327-Table1[[#This Row],[Steps]]&lt;0,100+(F327-Table1[[#This Row],[Steps]]),F327-Table1[[#This Row],[Steps]]),
))</f>
        <v>3</v>
      </c>
      <c r="E328">
        <f>_xlfn.LET(_xlpm.dir,Table1[[#This Row],[Direction]],
IF(_xlpm.dir="R",
    IF(F327+Table1[[#This Row],[Steps]]&gt;99,(F327+Table1[[#This Row],[Steps]])-100,F327+Table1[[#This Row],[Steps]]),
))</f>
        <v>0</v>
      </c>
      <c r="F328">
        <f>IF(Table1[[#This Row],[New Pos L]]&lt;&gt;0,Table1[[#This Row],[New Pos L]],Table1[[#This Row],[New Pos R]])</f>
        <v>3</v>
      </c>
    </row>
    <row r="329" spans="1:6" ht="16" x14ac:dyDescent="0.2">
      <c r="A329" s="1" t="s">
        <v>197</v>
      </c>
      <c r="B329" t="str">
        <f>LEFT(Table1[[#This Row],[Input]],1)</f>
        <v>R</v>
      </c>
      <c r="C329">
        <f>_xlfn.LET(_xlpm.steps,SUBSTITUTE(Table1[[#This Row],[Input]],Table1[[#This Row],[Direction]],""),VALUE(IF(LEN(_xlpm.steps)&gt;2,RIGHT(_xlpm.steps,2),_xlpm.steps)))</f>
        <v>97</v>
      </c>
      <c r="D329">
        <f>_xlfn.LET(_xlpm.dir,Table1[[#This Row],[Direction]],
IF(_xlpm.dir="L",
    IF(F328-Table1[[#This Row],[Steps]]&lt;0,100+(F328-Table1[[#This Row],[Steps]]),F328-Table1[[#This Row],[Steps]]),
))</f>
        <v>0</v>
      </c>
      <c r="E329">
        <f>_xlfn.LET(_xlpm.dir,Table1[[#This Row],[Direction]],
IF(_xlpm.dir="R",
    IF(F328+Table1[[#This Row],[Steps]]&gt;99,(F328+Table1[[#This Row],[Steps]])-100,F328+Table1[[#This Row],[Steps]]),
))</f>
        <v>0</v>
      </c>
      <c r="F329">
        <f>IF(Table1[[#This Row],[New Pos L]]&lt;&gt;0,Table1[[#This Row],[New Pos L]],Table1[[#This Row],[New Pos R]])</f>
        <v>0</v>
      </c>
    </row>
    <row r="330" spans="1:6" ht="16" x14ac:dyDescent="0.2">
      <c r="A330" s="1" t="s">
        <v>198</v>
      </c>
      <c r="B330" t="str">
        <f>LEFT(Table1[[#This Row],[Input]],1)</f>
        <v>L</v>
      </c>
      <c r="C330">
        <f>_xlfn.LET(_xlpm.steps,SUBSTITUTE(Table1[[#This Row],[Input]],Table1[[#This Row],[Direction]],""),VALUE(IF(LEN(_xlpm.steps)&gt;2,RIGHT(_xlpm.steps,2),_xlpm.steps)))</f>
        <v>19</v>
      </c>
      <c r="D330">
        <f>_xlfn.LET(_xlpm.dir,Table1[[#This Row],[Direction]],
IF(_xlpm.dir="L",
    IF(F329-Table1[[#This Row],[Steps]]&lt;0,100+(F329-Table1[[#This Row],[Steps]]),F329-Table1[[#This Row],[Steps]]),
))</f>
        <v>81</v>
      </c>
      <c r="E330">
        <f>_xlfn.LET(_xlpm.dir,Table1[[#This Row],[Direction]],
IF(_xlpm.dir="R",
    IF(F329+Table1[[#This Row],[Steps]]&gt;99,(F329+Table1[[#This Row],[Steps]])-100,F329+Table1[[#This Row],[Steps]]),
))</f>
        <v>0</v>
      </c>
      <c r="F330">
        <f>IF(Table1[[#This Row],[New Pos L]]&lt;&gt;0,Table1[[#This Row],[New Pos L]],Table1[[#This Row],[New Pos R]])</f>
        <v>81</v>
      </c>
    </row>
    <row r="331" spans="1:6" ht="16" x14ac:dyDescent="0.2">
      <c r="A331" s="1" t="s">
        <v>62</v>
      </c>
      <c r="B331" t="str">
        <f>LEFT(Table1[[#This Row],[Input]],1)</f>
        <v>L</v>
      </c>
      <c r="C331">
        <f>_xlfn.LET(_xlpm.steps,SUBSTITUTE(Table1[[#This Row],[Input]],Table1[[#This Row],[Direction]],""),VALUE(IF(LEN(_xlpm.steps)&gt;2,RIGHT(_xlpm.steps,2),_xlpm.steps)))</f>
        <v>57</v>
      </c>
      <c r="D331">
        <f>_xlfn.LET(_xlpm.dir,Table1[[#This Row],[Direction]],
IF(_xlpm.dir="L",
    IF(F330-Table1[[#This Row],[Steps]]&lt;0,100+(F330-Table1[[#This Row],[Steps]]),F330-Table1[[#This Row],[Steps]]),
))</f>
        <v>24</v>
      </c>
      <c r="E331">
        <f>_xlfn.LET(_xlpm.dir,Table1[[#This Row],[Direction]],
IF(_xlpm.dir="R",
    IF(F330+Table1[[#This Row],[Steps]]&gt;99,(F330+Table1[[#This Row],[Steps]])-100,F330+Table1[[#This Row],[Steps]]),
))</f>
        <v>0</v>
      </c>
      <c r="F331">
        <f>IF(Table1[[#This Row],[New Pos L]]&lt;&gt;0,Table1[[#This Row],[New Pos L]],Table1[[#This Row],[New Pos R]])</f>
        <v>24</v>
      </c>
    </row>
    <row r="332" spans="1:6" ht="16" x14ac:dyDescent="0.2">
      <c r="A332" s="1" t="s">
        <v>199</v>
      </c>
      <c r="B332" t="str">
        <f>LEFT(Table1[[#This Row],[Input]],1)</f>
        <v>R</v>
      </c>
      <c r="C332">
        <f>_xlfn.LET(_xlpm.steps,SUBSTITUTE(Table1[[#This Row],[Input]],Table1[[#This Row],[Direction]],""),VALUE(IF(LEN(_xlpm.steps)&gt;2,RIGHT(_xlpm.steps,2),_xlpm.steps)))</f>
        <v>17</v>
      </c>
      <c r="D332">
        <f>_xlfn.LET(_xlpm.dir,Table1[[#This Row],[Direction]],
IF(_xlpm.dir="L",
    IF(F331-Table1[[#This Row],[Steps]]&lt;0,100+(F331-Table1[[#This Row],[Steps]]),F331-Table1[[#This Row],[Steps]]),
))</f>
        <v>0</v>
      </c>
      <c r="E332">
        <f>_xlfn.LET(_xlpm.dir,Table1[[#This Row],[Direction]],
IF(_xlpm.dir="R",
    IF(F331+Table1[[#This Row],[Steps]]&gt;99,(F331+Table1[[#This Row],[Steps]])-100,F331+Table1[[#This Row],[Steps]]),
))</f>
        <v>41</v>
      </c>
      <c r="F332">
        <f>IF(Table1[[#This Row],[New Pos L]]&lt;&gt;0,Table1[[#This Row],[New Pos L]],Table1[[#This Row],[New Pos R]])</f>
        <v>41</v>
      </c>
    </row>
    <row r="333" spans="1:6" ht="16" x14ac:dyDescent="0.2">
      <c r="A333" s="1" t="s">
        <v>200</v>
      </c>
      <c r="B333" t="str">
        <f>LEFT(Table1[[#This Row],[Input]],1)</f>
        <v>R</v>
      </c>
      <c r="C333">
        <f>_xlfn.LET(_xlpm.steps,SUBSTITUTE(Table1[[#This Row],[Input]],Table1[[#This Row],[Direction]],""),VALUE(IF(LEN(_xlpm.steps)&gt;2,RIGHT(_xlpm.steps,2),_xlpm.steps)))</f>
        <v>67</v>
      </c>
      <c r="D333">
        <f>_xlfn.LET(_xlpm.dir,Table1[[#This Row],[Direction]],
IF(_xlpm.dir="L",
    IF(F332-Table1[[#This Row],[Steps]]&lt;0,100+(F332-Table1[[#This Row],[Steps]]),F332-Table1[[#This Row],[Steps]]),
))</f>
        <v>0</v>
      </c>
      <c r="E333">
        <f>_xlfn.LET(_xlpm.dir,Table1[[#This Row],[Direction]],
IF(_xlpm.dir="R",
    IF(F332+Table1[[#This Row],[Steps]]&gt;99,(F332+Table1[[#This Row],[Steps]])-100,F332+Table1[[#This Row],[Steps]]),
))</f>
        <v>8</v>
      </c>
      <c r="F333">
        <f>IF(Table1[[#This Row],[New Pos L]]&lt;&gt;0,Table1[[#This Row],[New Pos L]],Table1[[#This Row],[New Pos R]])</f>
        <v>8</v>
      </c>
    </row>
    <row r="334" spans="1:6" ht="16" x14ac:dyDescent="0.2">
      <c r="A334" s="1" t="s">
        <v>183</v>
      </c>
      <c r="B334" t="str">
        <f>LEFT(Table1[[#This Row],[Input]],1)</f>
        <v>L</v>
      </c>
      <c r="C334">
        <f>_xlfn.LET(_xlpm.steps,SUBSTITUTE(Table1[[#This Row],[Input]],Table1[[#This Row],[Direction]],""),VALUE(IF(LEN(_xlpm.steps)&gt;2,RIGHT(_xlpm.steps,2),_xlpm.steps)))</f>
        <v>67</v>
      </c>
      <c r="D334">
        <f>_xlfn.LET(_xlpm.dir,Table1[[#This Row],[Direction]],
IF(_xlpm.dir="L",
    IF(F333-Table1[[#This Row],[Steps]]&lt;0,100+(F333-Table1[[#This Row],[Steps]]),F333-Table1[[#This Row],[Steps]]),
))</f>
        <v>41</v>
      </c>
      <c r="E334">
        <f>_xlfn.LET(_xlpm.dir,Table1[[#This Row],[Direction]],
IF(_xlpm.dir="R",
    IF(F333+Table1[[#This Row],[Steps]]&gt;99,(F333+Table1[[#This Row],[Steps]])-100,F333+Table1[[#This Row],[Steps]]),
))</f>
        <v>0</v>
      </c>
      <c r="F334">
        <f>IF(Table1[[#This Row],[New Pos L]]&lt;&gt;0,Table1[[#This Row],[New Pos L]],Table1[[#This Row],[New Pos R]])</f>
        <v>41</v>
      </c>
    </row>
    <row r="335" spans="1:6" ht="16" x14ac:dyDescent="0.2">
      <c r="A335" s="1" t="s">
        <v>104</v>
      </c>
      <c r="B335" t="str">
        <f>LEFT(Table1[[#This Row],[Input]],1)</f>
        <v>R</v>
      </c>
      <c r="C335">
        <f>_xlfn.LET(_xlpm.steps,SUBSTITUTE(Table1[[#This Row],[Input]],Table1[[#This Row],[Direction]],""),VALUE(IF(LEN(_xlpm.steps)&gt;2,RIGHT(_xlpm.steps,2),_xlpm.steps)))</f>
        <v>59</v>
      </c>
      <c r="D335">
        <f>_xlfn.LET(_xlpm.dir,Table1[[#This Row],[Direction]],
IF(_xlpm.dir="L",
    IF(F334-Table1[[#This Row],[Steps]]&lt;0,100+(F334-Table1[[#This Row],[Steps]]),F334-Table1[[#This Row],[Steps]]),
))</f>
        <v>0</v>
      </c>
      <c r="E335">
        <f>_xlfn.LET(_xlpm.dir,Table1[[#This Row],[Direction]],
IF(_xlpm.dir="R",
    IF(F334+Table1[[#This Row],[Steps]]&gt;99,(F334+Table1[[#This Row],[Steps]])-100,F334+Table1[[#This Row],[Steps]]),
))</f>
        <v>0</v>
      </c>
      <c r="F335">
        <f>IF(Table1[[#This Row],[New Pos L]]&lt;&gt;0,Table1[[#This Row],[New Pos L]],Table1[[#This Row],[New Pos R]])</f>
        <v>0</v>
      </c>
    </row>
    <row r="336" spans="1:6" ht="16" x14ac:dyDescent="0.2">
      <c r="A336" s="1" t="s">
        <v>201</v>
      </c>
      <c r="B336" t="str">
        <f>LEFT(Table1[[#This Row],[Input]],1)</f>
        <v>R</v>
      </c>
      <c r="C336">
        <f>_xlfn.LET(_xlpm.steps,SUBSTITUTE(Table1[[#This Row],[Input]],Table1[[#This Row],[Direction]],""),VALUE(IF(LEN(_xlpm.steps)&gt;2,RIGHT(_xlpm.steps,2),_xlpm.steps)))</f>
        <v>31</v>
      </c>
      <c r="D336">
        <f>_xlfn.LET(_xlpm.dir,Table1[[#This Row],[Direction]],
IF(_xlpm.dir="L",
    IF(F335-Table1[[#This Row],[Steps]]&lt;0,100+(F335-Table1[[#This Row],[Steps]]),F335-Table1[[#This Row],[Steps]]),
))</f>
        <v>0</v>
      </c>
      <c r="E336">
        <f>_xlfn.LET(_xlpm.dir,Table1[[#This Row],[Direction]],
IF(_xlpm.dir="R",
    IF(F335+Table1[[#This Row],[Steps]]&gt;99,(F335+Table1[[#This Row],[Steps]])-100,F335+Table1[[#This Row],[Steps]]),
))</f>
        <v>31</v>
      </c>
      <c r="F336">
        <f>IF(Table1[[#This Row],[New Pos L]]&lt;&gt;0,Table1[[#This Row],[New Pos L]],Table1[[#This Row],[New Pos R]])</f>
        <v>31</v>
      </c>
    </row>
    <row r="337" spans="1:6" ht="16" x14ac:dyDescent="0.2">
      <c r="A337" s="1" t="s">
        <v>10</v>
      </c>
      <c r="B337" t="str">
        <f>LEFT(Table1[[#This Row],[Input]],1)</f>
        <v>L</v>
      </c>
      <c r="C337">
        <f>_xlfn.LET(_xlpm.steps,SUBSTITUTE(Table1[[#This Row],[Input]],Table1[[#This Row],[Direction]],""),VALUE(IF(LEN(_xlpm.steps)&gt;2,RIGHT(_xlpm.steps,2),_xlpm.steps)))</f>
        <v>35</v>
      </c>
      <c r="D337">
        <f>_xlfn.LET(_xlpm.dir,Table1[[#This Row],[Direction]],
IF(_xlpm.dir="L",
    IF(F336-Table1[[#This Row],[Steps]]&lt;0,100+(F336-Table1[[#This Row],[Steps]]),F336-Table1[[#This Row],[Steps]]),
))</f>
        <v>96</v>
      </c>
      <c r="E337">
        <f>_xlfn.LET(_xlpm.dir,Table1[[#This Row],[Direction]],
IF(_xlpm.dir="R",
    IF(F336+Table1[[#This Row],[Steps]]&gt;99,(F336+Table1[[#This Row],[Steps]])-100,F336+Table1[[#This Row],[Steps]]),
))</f>
        <v>0</v>
      </c>
      <c r="F337">
        <f>IF(Table1[[#This Row],[New Pos L]]&lt;&gt;0,Table1[[#This Row],[New Pos L]],Table1[[#This Row],[New Pos R]])</f>
        <v>96</v>
      </c>
    </row>
    <row r="338" spans="1:6" ht="16" x14ac:dyDescent="0.2">
      <c r="A338" s="1" t="s">
        <v>146</v>
      </c>
      <c r="B338" t="str">
        <f>LEFT(Table1[[#This Row],[Input]],1)</f>
        <v>R</v>
      </c>
      <c r="C338">
        <f>_xlfn.LET(_xlpm.steps,SUBSTITUTE(Table1[[#This Row],[Input]],Table1[[#This Row],[Direction]],""),VALUE(IF(LEN(_xlpm.steps)&gt;2,RIGHT(_xlpm.steps,2),_xlpm.steps)))</f>
        <v>4</v>
      </c>
      <c r="D338">
        <f>_xlfn.LET(_xlpm.dir,Table1[[#This Row],[Direction]],
IF(_xlpm.dir="L",
    IF(F337-Table1[[#This Row],[Steps]]&lt;0,100+(F337-Table1[[#This Row],[Steps]]),F337-Table1[[#This Row],[Steps]]),
))</f>
        <v>0</v>
      </c>
      <c r="E338">
        <f>_xlfn.LET(_xlpm.dir,Table1[[#This Row],[Direction]],
IF(_xlpm.dir="R",
    IF(F337+Table1[[#This Row],[Steps]]&gt;99,(F337+Table1[[#This Row],[Steps]])-100,F337+Table1[[#This Row],[Steps]]),
))</f>
        <v>0</v>
      </c>
      <c r="F338">
        <f>IF(Table1[[#This Row],[New Pos L]]&lt;&gt;0,Table1[[#This Row],[New Pos L]],Table1[[#This Row],[New Pos R]])</f>
        <v>0</v>
      </c>
    </row>
    <row r="339" spans="1:6" ht="16" x14ac:dyDescent="0.2">
      <c r="A339" s="1" t="s">
        <v>202</v>
      </c>
      <c r="B339" t="str">
        <f>LEFT(Table1[[#This Row],[Input]],1)</f>
        <v>L</v>
      </c>
      <c r="C339">
        <f>_xlfn.LET(_xlpm.steps,SUBSTITUTE(Table1[[#This Row],[Input]],Table1[[#This Row],[Direction]],""),VALUE(IF(LEN(_xlpm.steps)&gt;2,RIGHT(_xlpm.steps,2),_xlpm.steps)))</f>
        <v>2</v>
      </c>
      <c r="D339">
        <f>_xlfn.LET(_xlpm.dir,Table1[[#This Row],[Direction]],
IF(_xlpm.dir="L",
    IF(F338-Table1[[#This Row],[Steps]]&lt;0,100+(F338-Table1[[#This Row],[Steps]]),F338-Table1[[#This Row],[Steps]]),
))</f>
        <v>98</v>
      </c>
      <c r="E339">
        <f>_xlfn.LET(_xlpm.dir,Table1[[#This Row],[Direction]],
IF(_xlpm.dir="R",
    IF(F338+Table1[[#This Row],[Steps]]&gt;99,(F338+Table1[[#This Row],[Steps]])-100,F338+Table1[[#This Row],[Steps]]),
))</f>
        <v>0</v>
      </c>
      <c r="F339">
        <f>IF(Table1[[#This Row],[New Pos L]]&lt;&gt;0,Table1[[#This Row],[New Pos L]],Table1[[#This Row],[New Pos R]])</f>
        <v>98</v>
      </c>
    </row>
    <row r="340" spans="1:6" ht="16" x14ac:dyDescent="0.2">
      <c r="A340" s="1" t="s">
        <v>3</v>
      </c>
      <c r="B340" t="str">
        <f>LEFT(Table1[[#This Row],[Input]],1)</f>
        <v>R</v>
      </c>
      <c r="C340">
        <f>_xlfn.LET(_xlpm.steps,SUBSTITUTE(Table1[[#This Row],[Input]],Table1[[#This Row],[Direction]],""),VALUE(IF(LEN(_xlpm.steps)&gt;2,RIGHT(_xlpm.steps,2),_xlpm.steps)))</f>
        <v>44</v>
      </c>
      <c r="D340">
        <f>_xlfn.LET(_xlpm.dir,Table1[[#This Row],[Direction]],
IF(_xlpm.dir="L",
    IF(F339-Table1[[#This Row],[Steps]]&lt;0,100+(F339-Table1[[#This Row],[Steps]]),F339-Table1[[#This Row],[Steps]]),
))</f>
        <v>0</v>
      </c>
      <c r="E340">
        <f>_xlfn.LET(_xlpm.dir,Table1[[#This Row],[Direction]],
IF(_xlpm.dir="R",
    IF(F339+Table1[[#This Row],[Steps]]&gt;99,(F339+Table1[[#This Row],[Steps]])-100,F339+Table1[[#This Row],[Steps]]),
))</f>
        <v>42</v>
      </c>
      <c r="F340">
        <f>IF(Table1[[#This Row],[New Pos L]]&lt;&gt;0,Table1[[#This Row],[New Pos L]],Table1[[#This Row],[New Pos R]])</f>
        <v>42</v>
      </c>
    </row>
    <row r="341" spans="1:6" ht="16" x14ac:dyDescent="0.2">
      <c r="A341" s="1" t="s">
        <v>100</v>
      </c>
      <c r="B341" t="str">
        <f>LEFT(Table1[[#This Row],[Input]],1)</f>
        <v>R</v>
      </c>
      <c r="C341">
        <f>_xlfn.LET(_xlpm.steps,SUBSTITUTE(Table1[[#This Row],[Input]],Table1[[#This Row],[Direction]],""),VALUE(IF(LEN(_xlpm.steps)&gt;2,RIGHT(_xlpm.steps,2),_xlpm.steps)))</f>
        <v>58</v>
      </c>
      <c r="D341">
        <f>_xlfn.LET(_xlpm.dir,Table1[[#This Row],[Direction]],
IF(_xlpm.dir="L",
    IF(F340-Table1[[#This Row],[Steps]]&lt;0,100+(F340-Table1[[#This Row],[Steps]]),F340-Table1[[#This Row],[Steps]]),
))</f>
        <v>0</v>
      </c>
      <c r="E341">
        <f>_xlfn.LET(_xlpm.dir,Table1[[#This Row],[Direction]],
IF(_xlpm.dir="R",
    IF(F340+Table1[[#This Row],[Steps]]&gt;99,(F340+Table1[[#This Row],[Steps]])-100,F340+Table1[[#This Row],[Steps]]),
))</f>
        <v>0</v>
      </c>
      <c r="F341">
        <f>IF(Table1[[#This Row],[New Pos L]]&lt;&gt;0,Table1[[#This Row],[New Pos L]],Table1[[#This Row],[New Pos R]])</f>
        <v>0</v>
      </c>
    </row>
    <row r="342" spans="1:6" ht="16" x14ac:dyDescent="0.2">
      <c r="A342" s="1" t="s">
        <v>31</v>
      </c>
      <c r="B342" t="str">
        <f>LEFT(Table1[[#This Row],[Input]],1)</f>
        <v>L</v>
      </c>
      <c r="C342">
        <f>_xlfn.LET(_xlpm.steps,SUBSTITUTE(Table1[[#This Row],[Input]],Table1[[#This Row],[Direction]],""),VALUE(IF(LEN(_xlpm.steps)&gt;2,RIGHT(_xlpm.steps,2),_xlpm.steps)))</f>
        <v>13</v>
      </c>
      <c r="D342">
        <f>_xlfn.LET(_xlpm.dir,Table1[[#This Row],[Direction]],
IF(_xlpm.dir="L",
    IF(F341-Table1[[#This Row],[Steps]]&lt;0,100+(F341-Table1[[#This Row],[Steps]]),F341-Table1[[#This Row],[Steps]]),
))</f>
        <v>87</v>
      </c>
      <c r="E342">
        <f>_xlfn.LET(_xlpm.dir,Table1[[#This Row],[Direction]],
IF(_xlpm.dir="R",
    IF(F341+Table1[[#This Row],[Steps]]&gt;99,(F341+Table1[[#This Row],[Steps]])-100,F341+Table1[[#This Row],[Steps]]),
))</f>
        <v>0</v>
      </c>
      <c r="F342">
        <f>IF(Table1[[#This Row],[New Pos L]]&lt;&gt;0,Table1[[#This Row],[New Pos L]],Table1[[#This Row],[New Pos R]])</f>
        <v>87</v>
      </c>
    </row>
    <row r="343" spans="1:6" ht="16" x14ac:dyDescent="0.2">
      <c r="A343" s="1" t="s">
        <v>203</v>
      </c>
      <c r="B343" t="str">
        <f>LEFT(Table1[[#This Row],[Input]],1)</f>
        <v>R</v>
      </c>
      <c r="C343">
        <f>_xlfn.LET(_xlpm.steps,SUBSTITUTE(Table1[[#This Row],[Input]],Table1[[#This Row],[Direction]],""),VALUE(IF(LEN(_xlpm.steps)&gt;2,RIGHT(_xlpm.steps,2),_xlpm.steps)))</f>
        <v>37</v>
      </c>
      <c r="D343">
        <f>_xlfn.LET(_xlpm.dir,Table1[[#This Row],[Direction]],
IF(_xlpm.dir="L",
    IF(F342-Table1[[#This Row],[Steps]]&lt;0,100+(F342-Table1[[#This Row],[Steps]]),F342-Table1[[#This Row],[Steps]]),
))</f>
        <v>0</v>
      </c>
      <c r="E343">
        <f>_xlfn.LET(_xlpm.dir,Table1[[#This Row],[Direction]],
IF(_xlpm.dir="R",
    IF(F342+Table1[[#This Row],[Steps]]&gt;99,(F342+Table1[[#This Row],[Steps]])-100,F342+Table1[[#This Row],[Steps]]),
))</f>
        <v>24</v>
      </c>
      <c r="F343">
        <f>IF(Table1[[#This Row],[New Pos L]]&lt;&gt;0,Table1[[#This Row],[New Pos L]],Table1[[#This Row],[New Pos R]])</f>
        <v>24</v>
      </c>
    </row>
    <row r="344" spans="1:6" ht="16" x14ac:dyDescent="0.2">
      <c r="A344" s="1" t="s">
        <v>161</v>
      </c>
      <c r="B344" t="str">
        <f>LEFT(Table1[[#This Row],[Input]],1)</f>
        <v>R</v>
      </c>
      <c r="C344">
        <f>_xlfn.LET(_xlpm.steps,SUBSTITUTE(Table1[[#This Row],[Input]],Table1[[#This Row],[Direction]],""),VALUE(IF(LEN(_xlpm.steps)&gt;2,RIGHT(_xlpm.steps,2),_xlpm.steps)))</f>
        <v>76</v>
      </c>
      <c r="D344">
        <f>_xlfn.LET(_xlpm.dir,Table1[[#This Row],[Direction]],
IF(_xlpm.dir="L",
    IF(F343-Table1[[#This Row],[Steps]]&lt;0,100+(F343-Table1[[#This Row],[Steps]]),F343-Table1[[#This Row],[Steps]]),
))</f>
        <v>0</v>
      </c>
      <c r="E344">
        <f>_xlfn.LET(_xlpm.dir,Table1[[#This Row],[Direction]],
IF(_xlpm.dir="R",
    IF(F343+Table1[[#This Row],[Steps]]&gt;99,(F343+Table1[[#This Row],[Steps]])-100,F343+Table1[[#This Row],[Steps]]),
))</f>
        <v>0</v>
      </c>
      <c r="F344">
        <f>IF(Table1[[#This Row],[New Pos L]]&lt;&gt;0,Table1[[#This Row],[New Pos L]],Table1[[#This Row],[New Pos R]])</f>
        <v>0</v>
      </c>
    </row>
    <row r="345" spans="1:6" ht="16" x14ac:dyDescent="0.2">
      <c r="A345" s="1" t="s">
        <v>204</v>
      </c>
      <c r="B345" t="str">
        <f>LEFT(Table1[[#This Row],[Input]],1)</f>
        <v>R</v>
      </c>
      <c r="C345">
        <f>_xlfn.LET(_xlpm.steps,SUBSTITUTE(Table1[[#This Row],[Input]],Table1[[#This Row],[Direction]],""),VALUE(IF(LEN(_xlpm.steps)&gt;2,RIGHT(_xlpm.steps,2),_xlpm.steps)))</f>
        <v>20</v>
      </c>
      <c r="D345">
        <f>_xlfn.LET(_xlpm.dir,Table1[[#This Row],[Direction]],
IF(_xlpm.dir="L",
    IF(F344-Table1[[#This Row],[Steps]]&lt;0,100+(F344-Table1[[#This Row],[Steps]]),F344-Table1[[#This Row],[Steps]]),
))</f>
        <v>0</v>
      </c>
      <c r="E345">
        <f>_xlfn.LET(_xlpm.dir,Table1[[#This Row],[Direction]],
IF(_xlpm.dir="R",
    IF(F344+Table1[[#This Row],[Steps]]&gt;99,(F344+Table1[[#This Row],[Steps]])-100,F344+Table1[[#This Row],[Steps]]),
))</f>
        <v>20</v>
      </c>
      <c r="F345">
        <f>IF(Table1[[#This Row],[New Pos L]]&lt;&gt;0,Table1[[#This Row],[New Pos L]],Table1[[#This Row],[New Pos R]])</f>
        <v>20</v>
      </c>
    </row>
    <row r="346" spans="1:6" ht="16" x14ac:dyDescent="0.2">
      <c r="A346" s="1" t="s">
        <v>205</v>
      </c>
      <c r="B346" t="str">
        <f>LEFT(Table1[[#This Row],[Input]],1)</f>
        <v>R</v>
      </c>
      <c r="C346">
        <f>_xlfn.LET(_xlpm.steps,SUBSTITUTE(Table1[[#This Row],[Input]],Table1[[#This Row],[Direction]],""),VALUE(IF(LEN(_xlpm.steps)&gt;2,RIGHT(_xlpm.steps,2),_xlpm.steps)))</f>
        <v>83</v>
      </c>
      <c r="D346">
        <f>_xlfn.LET(_xlpm.dir,Table1[[#This Row],[Direction]],
IF(_xlpm.dir="L",
    IF(F345-Table1[[#This Row],[Steps]]&lt;0,100+(F345-Table1[[#This Row],[Steps]]),F345-Table1[[#This Row],[Steps]]),
))</f>
        <v>0</v>
      </c>
      <c r="E346">
        <f>_xlfn.LET(_xlpm.dir,Table1[[#This Row],[Direction]],
IF(_xlpm.dir="R",
    IF(F345+Table1[[#This Row],[Steps]]&gt;99,(F345+Table1[[#This Row],[Steps]])-100,F345+Table1[[#This Row],[Steps]]),
))</f>
        <v>3</v>
      </c>
      <c r="F346">
        <f>IF(Table1[[#This Row],[New Pos L]]&lt;&gt;0,Table1[[#This Row],[New Pos L]],Table1[[#This Row],[New Pos R]])</f>
        <v>3</v>
      </c>
    </row>
    <row r="347" spans="1:6" ht="16" x14ac:dyDescent="0.2">
      <c r="A347" s="1" t="s">
        <v>18</v>
      </c>
      <c r="B347" t="str">
        <f>LEFT(Table1[[#This Row],[Input]],1)</f>
        <v>L</v>
      </c>
      <c r="C347">
        <f>_xlfn.LET(_xlpm.steps,SUBSTITUTE(Table1[[#This Row],[Input]],Table1[[#This Row],[Direction]],""),VALUE(IF(LEN(_xlpm.steps)&gt;2,RIGHT(_xlpm.steps,2),_xlpm.steps)))</f>
        <v>46</v>
      </c>
      <c r="D347">
        <f>_xlfn.LET(_xlpm.dir,Table1[[#This Row],[Direction]],
IF(_xlpm.dir="L",
    IF(F346-Table1[[#This Row],[Steps]]&lt;0,100+(F346-Table1[[#This Row],[Steps]]),F346-Table1[[#This Row],[Steps]]),
))</f>
        <v>57</v>
      </c>
      <c r="E347">
        <f>_xlfn.LET(_xlpm.dir,Table1[[#This Row],[Direction]],
IF(_xlpm.dir="R",
    IF(F346+Table1[[#This Row],[Steps]]&gt;99,(F346+Table1[[#This Row],[Steps]])-100,F346+Table1[[#This Row],[Steps]]),
))</f>
        <v>0</v>
      </c>
      <c r="F347">
        <f>IF(Table1[[#This Row],[New Pos L]]&lt;&gt;0,Table1[[#This Row],[New Pos L]],Table1[[#This Row],[New Pos R]])</f>
        <v>57</v>
      </c>
    </row>
    <row r="348" spans="1:6" ht="16" x14ac:dyDescent="0.2">
      <c r="A348" s="1" t="s">
        <v>206</v>
      </c>
      <c r="B348" t="str">
        <f>LEFT(Table1[[#This Row],[Input]],1)</f>
        <v>R</v>
      </c>
      <c r="C348">
        <f>_xlfn.LET(_xlpm.steps,SUBSTITUTE(Table1[[#This Row],[Input]],Table1[[#This Row],[Direction]],""),VALUE(IF(LEN(_xlpm.steps)&gt;2,RIGHT(_xlpm.steps,2),_xlpm.steps)))</f>
        <v>62</v>
      </c>
      <c r="D348">
        <f>_xlfn.LET(_xlpm.dir,Table1[[#This Row],[Direction]],
IF(_xlpm.dir="L",
    IF(F347-Table1[[#This Row],[Steps]]&lt;0,100+(F347-Table1[[#This Row],[Steps]]),F347-Table1[[#This Row],[Steps]]),
))</f>
        <v>0</v>
      </c>
      <c r="E348">
        <f>_xlfn.LET(_xlpm.dir,Table1[[#This Row],[Direction]],
IF(_xlpm.dir="R",
    IF(F347+Table1[[#This Row],[Steps]]&gt;99,(F347+Table1[[#This Row],[Steps]])-100,F347+Table1[[#This Row],[Steps]]),
))</f>
        <v>19</v>
      </c>
      <c r="F348">
        <f>IF(Table1[[#This Row],[New Pos L]]&lt;&gt;0,Table1[[#This Row],[New Pos L]],Table1[[#This Row],[New Pos R]])</f>
        <v>19</v>
      </c>
    </row>
    <row r="349" spans="1:6" ht="16" x14ac:dyDescent="0.2">
      <c r="A349" s="1" t="s">
        <v>207</v>
      </c>
      <c r="B349" t="str">
        <f>LEFT(Table1[[#This Row],[Input]],1)</f>
        <v>L</v>
      </c>
      <c r="C349">
        <f>_xlfn.LET(_xlpm.steps,SUBSTITUTE(Table1[[#This Row],[Input]],Table1[[#This Row],[Direction]],""),VALUE(IF(LEN(_xlpm.steps)&gt;2,RIGHT(_xlpm.steps,2),_xlpm.steps)))</f>
        <v>89</v>
      </c>
      <c r="D349">
        <f>_xlfn.LET(_xlpm.dir,Table1[[#This Row],[Direction]],
IF(_xlpm.dir="L",
    IF(F348-Table1[[#This Row],[Steps]]&lt;0,100+(F348-Table1[[#This Row],[Steps]]),F348-Table1[[#This Row],[Steps]]),
))</f>
        <v>30</v>
      </c>
      <c r="E349">
        <f>_xlfn.LET(_xlpm.dir,Table1[[#This Row],[Direction]],
IF(_xlpm.dir="R",
    IF(F348+Table1[[#This Row],[Steps]]&gt;99,(F348+Table1[[#This Row],[Steps]])-100,F348+Table1[[#This Row],[Steps]]),
))</f>
        <v>0</v>
      </c>
      <c r="F349">
        <f>IF(Table1[[#This Row],[New Pos L]]&lt;&gt;0,Table1[[#This Row],[New Pos L]],Table1[[#This Row],[New Pos R]])</f>
        <v>30</v>
      </c>
    </row>
    <row r="350" spans="1:6" ht="16" x14ac:dyDescent="0.2">
      <c r="A350" s="1" t="s">
        <v>114</v>
      </c>
      <c r="B350" t="str">
        <f>LEFT(Table1[[#This Row],[Input]],1)</f>
        <v>R</v>
      </c>
      <c r="C350">
        <f>_xlfn.LET(_xlpm.steps,SUBSTITUTE(Table1[[#This Row],[Input]],Table1[[#This Row],[Direction]],""),VALUE(IF(LEN(_xlpm.steps)&gt;2,RIGHT(_xlpm.steps,2),_xlpm.steps)))</f>
        <v>70</v>
      </c>
      <c r="D350">
        <f>_xlfn.LET(_xlpm.dir,Table1[[#This Row],[Direction]],
IF(_xlpm.dir="L",
    IF(F349-Table1[[#This Row],[Steps]]&lt;0,100+(F349-Table1[[#This Row],[Steps]]),F349-Table1[[#This Row],[Steps]]),
))</f>
        <v>0</v>
      </c>
      <c r="E350">
        <f>_xlfn.LET(_xlpm.dir,Table1[[#This Row],[Direction]],
IF(_xlpm.dir="R",
    IF(F349+Table1[[#This Row],[Steps]]&gt;99,(F349+Table1[[#This Row],[Steps]])-100,F349+Table1[[#This Row],[Steps]]),
))</f>
        <v>0</v>
      </c>
      <c r="F350">
        <f>IF(Table1[[#This Row],[New Pos L]]&lt;&gt;0,Table1[[#This Row],[New Pos L]],Table1[[#This Row],[New Pos R]])</f>
        <v>0</v>
      </c>
    </row>
    <row r="351" spans="1:6" ht="16" x14ac:dyDescent="0.2">
      <c r="A351" s="1" t="s">
        <v>75</v>
      </c>
      <c r="B351" t="str">
        <f>LEFT(Table1[[#This Row],[Input]],1)</f>
        <v>R</v>
      </c>
      <c r="C351">
        <f>_xlfn.LET(_xlpm.steps,SUBSTITUTE(Table1[[#This Row],[Input]],Table1[[#This Row],[Direction]],""),VALUE(IF(LEN(_xlpm.steps)&gt;2,RIGHT(_xlpm.steps,2),_xlpm.steps)))</f>
        <v>2</v>
      </c>
      <c r="D351">
        <f>_xlfn.LET(_xlpm.dir,Table1[[#This Row],[Direction]],
IF(_xlpm.dir="L",
    IF(F350-Table1[[#This Row],[Steps]]&lt;0,100+(F350-Table1[[#This Row],[Steps]]),F350-Table1[[#This Row],[Steps]]),
))</f>
        <v>0</v>
      </c>
      <c r="E351">
        <f>_xlfn.LET(_xlpm.dir,Table1[[#This Row],[Direction]],
IF(_xlpm.dir="R",
    IF(F350+Table1[[#This Row],[Steps]]&gt;99,(F350+Table1[[#This Row],[Steps]])-100,F350+Table1[[#This Row],[Steps]]),
))</f>
        <v>2</v>
      </c>
      <c r="F351">
        <f>IF(Table1[[#This Row],[New Pos L]]&lt;&gt;0,Table1[[#This Row],[New Pos L]],Table1[[#This Row],[New Pos R]])</f>
        <v>2</v>
      </c>
    </row>
    <row r="352" spans="1:6" ht="16" x14ac:dyDescent="0.2">
      <c r="A352" s="1" t="s">
        <v>31</v>
      </c>
      <c r="B352" t="str">
        <f>LEFT(Table1[[#This Row],[Input]],1)</f>
        <v>L</v>
      </c>
      <c r="C352">
        <f>_xlfn.LET(_xlpm.steps,SUBSTITUTE(Table1[[#This Row],[Input]],Table1[[#This Row],[Direction]],""),VALUE(IF(LEN(_xlpm.steps)&gt;2,RIGHT(_xlpm.steps,2),_xlpm.steps)))</f>
        <v>13</v>
      </c>
      <c r="D352">
        <f>_xlfn.LET(_xlpm.dir,Table1[[#This Row],[Direction]],
IF(_xlpm.dir="L",
    IF(F351-Table1[[#This Row],[Steps]]&lt;0,100+(F351-Table1[[#This Row],[Steps]]),F351-Table1[[#This Row],[Steps]]),
))</f>
        <v>89</v>
      </c>
      <c r="E352">
        <f>_xlfn.LET(_xlpm.dir,Table1[[#This Row],[Direction]],
IF(_xlpm.dir="R",
    IF(F351+Table1[[#This Row],[Steps]]&gt;99,(F351+Table1[[#This Row],[Steps]])-100,F351+Table1[[#This Row],[Steps]]),
))</f>
        <v>0</v>
      </c>
      <c r="F352">
        <f>IF(Table1[[#This Row],[New Pos L]]&lt;&gt;0,Table1[[#This Row],[New Pos L]],Table1[[#This Row],[New Pos R]])</f>
        <v>89</v>
      </c>
    </row>
    <row r="353" spans="1:6" ht="16" x14ac:dyDescent="0.2">
      <c r="A353" s="1" t="s">
        <v>32</v>
      </c>
      <c r="B353" t="str">
        <f>LEFT(Table1[[#This Row],[Input]],1)</f>
        <v>L</v>
      </c>
      <c r="C353">
        <f>_xlfn.LET(_xlpm.steps,SUBSTITUTE(Table1[[#This Row],[Input]],Table1[[#This Row],[Direction]],""),VALUE(IF(LEN(_xlpm.steps)&gt;2,RIGHT(_xlpm.steps,2),_xlpm.steps)))</f>
        <v>28</v>
      </c>
      <c r="D353">
        <f>_xlfn.LET(_xlpm.dir,Table1[[#This Row],[Direction]],
IF(_xlpm.dir="L",
    IF(F352-Table1[[#This Row],[Steps]]&lt;0,100+(F352-Table1[[#This Row],[Steps]]),F352-Table1[[#This Row],[Steps]]),
))</f>
        <v>61</v>
      </c>
      <c r="E353">
        <f>_xlfn.LET(_xlpm.dir,Table1[[#This Row],[Direction]],
IF(_xlpm.dir="R",
    IF(F352+Table1[[#This Row],[Steps]]&gt;99,(F352+Table1[[#This Row],[Steps]])-100,F352+Table1[[#This Row],[Steps]]),
))</f>
        <v>0</v>
      </c>
      <c r="F353">
        <f>IF(Table1[[#This Row],[New Pos L]]&lt;&gt;0,Table1[[#This Row],[New Pos L]],Table1[[#This Row],[New Pos R]])</f>
        <v>61</v>
      </c>
    </row>
    <row r="354" spans="1:6" ht="16" x14ac:dyDescent="0.2">
      <c r="A354" s="1" t="s">
        <v>208</v>
      </c>
      <c r="B354" t="str">
        <f>LEFT(Table1[[#This Row],[Input]],1)</f>
        <v>R</v>
      </c>
      <c r="C354">
        <f>_xlfn.LET(_xlpm.steps,SUBSTITUTE(Table1[[#This Row],[Input]],Table1[[#This Row],[Direction]],""),VALUE(IF(LEN(_xlpm.steps)&gt;2,RIGHT(_xlpm.steps,2),_xlpm.steps)))</f>
        <v>39</v>
      </c>
      <c r="D354">
        <f>_xlfn.LET(_xlpm.dir,Table1[[#This Row],[Direction]],
IF(_xlpm.dir="L",
    IF(F353-Table1[[#This Row],[Steps]]&lt;0,100+(F353-Table1[[#This Row],[Steps]]),F353-Table1[[#This Row],[Steps]]),
))</f>
        <v>0</v>
      </c>
      <c r="E354">
        <f>_xlfn.LET(_xlpm.dir,Table1[[#This Row],[Direction]],
IF(_xlpm.dir="R",
    IF(F353+Table1[[#This Row],[Steps]]&gt;99,(F353+Table1[[#This Row],[Steps]])-100,F353+Table1[[#This Row],[Steps]]),
))</f>
        <v>0</v>
      </c>
      <c r="F354">
        <f>IF(Table1[[#This Row],[New Pos L]]&lt;&gt;0,Table1[[#This Row],[New Pos L]],Table1[[#This Row],[New Pos R]])</f>
        <v>0</v>
      </c>
    </row>
    <row r="355" spans="1:6" ht="16" x14ac:dyDescent="0.2">
      <c r="A355" s="1" t="s">
        <v>209</v>
      </c>
      <c r="B355" t="str">
        <f>LEFT(Table1[[#This Row],[Input]],1)</f>
        <v>L</v>
      </c>
      <c r="C355">
        <f>_xlfn.LET(_xlpm.steps,SUBSTITUTE(Table1[[#This Row],[Input]],Table1[[#This Row],[Direction]],""),VALUE(IF(LEN(_xlpm.steps)&gt;2,RIGHT(_xlpm.steps,2),_xlpm.steps)))</f>
        <v>86</v>
      </c>
      <c r="D355">
        <f>_xlfn.LET(_xlpm.dir,Table1[[#This Row],[Direction]],
IF(_xlpm.dir="L",
    IF(F354-Table1[[#This Row],[Steps]]&lt;0,100+(F354-Table1[[#This Row],[Steps]]),F354-Table1[[#This Row],[Steps]]),
))</f>
        <v>14</v>
      </c>
      <c r="E355">
        <f>_xlfn.LET(_xlpm.dir,Table1[[#This Row],[Direction]],
IF(_xlpm.dir="R",
    IF(F354+Table1[[#This Row],[Steps]]&gt;99,(F354+Table1[[#This Row],[Steps]])-100,F354+Table1[[#This Row],[Steps]]),
))</f>
        <v>0</v>
      </c>
      <c r="F355">
        <f>IF(Table1[[#This Row],[New Pos L]]&lt;&gt;0,Table1[[#This Row],[New Pos L]],Table1[[#This Row],[New Pos R]])</f>
        <v>14</v>
      </c>
    </row>
    <row r="356" spans="1:6" ht="16" x14ac:dyDescent="0.2">
      <c r="A356" s="1" t="s">
        <v>60</v>
      </c>
      <c r="B356" t="str">
        <f>LEFT(Table1[[#This Row],[Input]],1)</f>
        <v>R</v>
      </c>
      <c r="C356">
        <f>_xlfn.LET(_xlpm.steps,SUBSTITUTE(Table1[[#This Row],[Input]],Table1[[#This Row],[Direction]],""),VALUE(IF(LEN(_xlpm.steps)&gt;2,RIGHT(_xlpm.steps,2),_xlpm.steps)))</f>
        <v>86</v>
      </c>
      <c r="D356">
        <f>_xlfn.LET(_xlpm.dir,Table1[[#This Row],[Direction]],
IF(_xlpm.dir="L",
    IF(F355-Table1[[#This Row],[Steps]]&lt;0,100+(F355-Table1[[#This Row],[Steps]]),F355-Table1[[#This Row],[Steps]]),
))</f>
        <v>0</v>
      </c>
      <c r="E356">
        <f>_xlfn.LET(_xlpm.dir,Table1[[#This Row],[Direction]],
IF(_xlpm.dir="R",
    IF(F355+Table1[[#This Row],[Steps]]&gt;99,(F355+Table1[[#This Row],[Steps]])-100,F355+Table1[[#This Row],[Steps]]),
))</f>
        <v>0</v>
      </c>
      <c r="F356">
        <f>IF(Table1[[#This Row],[New Pos L]]&lt;&gt;0,Table1[[#This Row],[New Pos L]],Table1[[#This Row],[New Pos R]])</f>
        <v>0</v>
      </c>
    </row>
    <row r="357" spans="1:6" ht="16" x14ac:dyDescent="0.2">
      <c r="A357" s="1" t="s">
        <v>7</v>
      </c>
      <c r="B357" t="str">
        <f>LEFT(Table1[[#This Row],[Input]],1)</f>
        <v>R</v>
      </c>
      <c r="C357">
        <f>_xlfn.LET(_xlpm.steps,SUBSTITUTE(Table1[[#This Row],[Input]],Table1[[#This Row],[Direction]],""),VALUE(IF(LEN(_xlpm.steps)&gt;2,RIGHT(_xlpm.steps,2),_xlpm.steps)))</f>
        <v>14</v>
      </c>
      <c r="D357">
        <f>_xlfn.LET(_xlpm.dir,Table1[[#This Row],[Direction]],
IF(_xlpm.dir="L",
    IF(F356-Table1[[#This Row],[Steps]]&lt;0,100+(F356-Table1[[#This Row],[Steps]]),F356-Table1[[#This Row],[Steps]]),
))</f>
        <v>0</v>
      </c>
      <c r="E357">
        <f>_xlfn.LET(_xlpm.dir,Table1[[#This Row],[Direction]],
IF(_xlpm.dir="R",
    IF(F356+Table1[[#This Row],[Steps]]&gt;99,(F356+Table1[[#This Row],[Steps]])-100,F356+Table1[[#This Row],[Steps]]),
))</f>
        <v>14</v>
      </c>
      <c r="F357">
        <f>IF(Table1[[#This Row],[New Pos L]]&lt;&gt;0,Table1[[#This Row],[New Pos L]],Table1[[#This Row],[New Pos R]])</f>
        <v>14</v>
      </c>
    </row>
    <row r="358" spans="1:6" ht="16" x14ac:dyDescent="0.2">
      <c r="A358" s="1" t="s">
        <v>60</v>
      </c>
      <c r="B358" t="str">
        <f>LEFT(Table1[[#This Row],[Input]],1)</f>
        <v>R</v>
      </c>
      <c r="C358">
        <f>_xlfn.LET(_xlpm.steps,SUBSTITUTE(Table1[[#This Row],[Input]],Table1[[#This Row],[Direction]],""),VALUE(IF(LEN(_xlpm.steps)&gt;2,RIGHT(_xlpm.steps,2),_xlpm.steps)))</f>
        <v>86</v>
      </c>
      <c r="D358">
        <f>_xlfn.LET(_xlpm.dir,Table1[[#This Row],[Direction]],
IF(_xlpm.dir="L",
    IF(F357-Table1[[#This Row],[Steps]]&lt;0,100+(F357-Table1[[#This Row],[Steps]]),F357-Table1[[#This Row],[Steps]]),
))</f>
        <v>0</v>
      </c>
      <c r="E358">
        <f>_xlfn.LET(_xlpm.dir,Table1[[#This Row],[Direction]],
IF(_xlpm.dir="R",
    IF(F357+Table1[[#This Row],[Steps]]&gt;99,(F357+Table1[[#This Row],[Steps]])-100,F357+Table1[[#This Row],[Steps]]),
))</f>
        <v>0</v>
      </c>
      <c r="F358">
        <f>IF(Table1[[#This Row],[New Pos L]]&lt;&gt;0,Table1[[#This Row],[New Pos L]],Table1[[#This Row],[New Pos R]])</f>
        <v>0</v>
      </c>
    </row>
    <row r="359" spans="1:6" ht="16" x14ac:dyDescent="0.2">
      <c r="A359" s="1" t="s">
        <v>57</v>
      </c>
      <c r="B359" t="str">
        <f>LEFT(Table1[[#This Row],[Input]],1)</f>
        <v>R</v>
      </c>
      <c r="C359">
        <f>_xlfn.LET(_xlpm.steps,SUBSTITUTE(Table1[[#This Row],[Input]],Table1[[#This Row],[Direction]],""),VALUE(IF(LEN(_xlpm.steps)&gt;2,RIGHT(_xlpm.steps,2),_xlpm.steps)))</f>
        <v>29</v>
      </c>
      <c r="D359">
        <f>_xlfn.LET(_xlpm.dir,Table1[[#This Row],[Direction]],
IF(_xlpm.dir="L",
    IF(F358-Table1[[#This Row],[Steps]]&lt;0,100+(F358-Table1[[#This Row],[Steps]]),F358-Table1[[#This Row],[Steps]]),
))</f>
        <v>0</v>
      </c>
      <c r="E359">
        <f>_xlfn.LET(_xlpm.dir,Table1[[#This Row],[Direction]],
IF(_xlpm.dir="R",
    IF(F358+Table1[[#This Row],[Steps]]&gt;99,(F358+Table1[[#This Row],[Steps]])-100,F358+Table1[[#This Row],[Steps]]),
))</f>
        <v>29</v>
      </c>
      <c r="F359">
        <f>IF(Table1[[#This Row],[New Pos L]]&lt;&gt;0,Table1[[#This Row],[New Pos L]],Table1[[#This Row],[New Pos R]])</f>
        <v>29</v>
      </c>
    </row>
    <row r="360" spans="1:6" ht="16" x14ac:dyDescent="0.2">
      <c r="A360" s="1" t="s">
        <v>22</v>
      </c>
      <c r="B360" t="str">
        <f>LEFT(Table1[[#This Row],[Input]],1)</f>
        <v>L</v>
      </c>
      <c r="C360">
        <f>_xlfn.LET(_xlpm.steps,SUBSTITUTE(Table1[[#This Row],[Input]],Table1[[#This Row],[Direction]],""),VALUE(IF(LEN(_xlpm.steps)&gt;2,RIGHT(_xlpm.steps,2),_xlpm.steps)))</f>
        <v>37</v>
      </c>
      <c r="D360">
        <f>_xlfn.LET(_xlpm.dir,Table1[[#This Row],[Direction]],
IF(_xlpm.dir="L",
    IF(F359-Table1[[#This Row],[Steps]]&lt;0,100+(F359-Table1[[#This Row],[Steps]]),F359-Table1[[#This Row],[Steps]]),
))</f>
        <v>92</v>
      </c>
      <c r="E360">
        <f>_xlfn.LET(_xlpm.dir,Table1[[#This Row],[Direction]],
IF(_xlpm.dir="R",
    IF(F359+Table1[[#This Row],[Steps]]&gt;99,(F359+Table1[[#This Row],[Steps]])-100,F359+Table1[[#This Row],[Steps]]),
))</f>
        <v>0</v>
      </c>
      <c r="F360">
        <f>IF(Table1[[#This Row],[New Pos L]]&lt;&gt;0,Table1[[#This Row],[New Pos L]],Table1[[#This Row],[New Pos R]])</f>
        <v>92</v>
      </c>
    </row>
    <row r="361" spans="1:6" ht="16" x14ac:dyDescent="0.2">
      <c r="A361" s="1" t="s">
        <v>210</v>
      </c>
      <c r="B361" t="str">
        <f>LEFT(Table1[[#This Row],[Input]],1)</f>
        <v>R</v>
      </c>
      <c r="C361">
        <f>_xlfn.LET(_xlpm.steps,SUBSTITUTE(Table1[[#This Row],[Input]],Table1[[#This Row],[Direction]],""),VALUE(IF(LEN(_xlpm.steps)&gt;2,RIGHT(_xlpm.steps,2),_xlpm.steps)))</f>
        <v>89</v>
      </c>
      <c r="D361">
        <f>_xlfn.LET(_xlpm.dir,Table1[[#This Row],[Direction]],
IF(_xlpm.dir="L",
    IF(F360-Table1[[#This Row],[Steps]]&lt;0,100+(F360-Table1[[#This Row],[Steps]]),F360-Table1[[#This Row],[Steps]]),
))</f>
        <v>0</v>
      </c>
      <c r="E361">
        <f>_xlfn.LET(_xlpm.dir,Table1[[#This Row],[Direction]],
IF(_xlpm.dir="R",
    IF(F360+Table1[[#This Row],[Steps]]&gt;99,(F360+Table1[[#This Row],[Steps]])-100,F360+Table1[[#This Row],[Steps]]),
))</f>
        <v>81</v>
      </c>
      <c r="F361">
        <f>IF(Table1[[#This Row],[New Pos L]]&lt;&gt;0,Table1[[#This Row],[New Pos L]],Table1[[#This Row],[New Pos R]])</f>
        <v>81</v>
      </c>
    </row>
    <row r="362" spans="1:6" ht="16" x14ac:dyDescent="0.2">
      <c r="A362" s="1" t="s">
        <v>211</v>
      </c>
      <c r="B362" t="str">
        <f>LEFT(Table1[[#This Row],[Input]],1)</f>
        <v>L</v>
      </c>
      <c r="C362">
        <f>_xlfn.LET(_xlpm.steps,SUBSTITUTE(Table1[[#This Row],[Input]],Table1[[#This Row],[Direction]],""),VALUE(IF(LEN(_xlpm.steps)&gt;2,RIGHT(_xlpm.steps,2),_xlpm.steps)))</f>
        <v>81</v>
      </c>
      <c r="D362">
        <f>_xlfn.LET(_xlpm.dir,Table1[[#This Row],[Direction]],
IF(_xlpm.dir="L",
    IF(F361-Table1[[#This Row],[Steps]]&lt;0,100+(F361-Table1[[#This Row],[Steps]]),F361-Table1[[#This Row],[Steps]]),
))</f>
        <v>0</v>
      </c>
      <c r="E362">
        <f>_xlfn.LET(_xlpm.dir,Table1[[#This Row],[Direction]],
IF(_xlpm.dir="R",
    IF(F361+Table1[[#This Row],[Steps]]&gt;99,(F361+Table1[[#This Row],[Steps]])-100,F361+Table1[[#This Row],[Steps]]),
))</f>
        <v>0</v>
      </c>
      <c r="F362">
        <f>IF(Table1[[#This Row],[New Pos L]]&lt;&gt;0,Table1[[#This Row],[New Pos L]],Table1[[#This Row],[New Pos R]])</f>
        <v>0</v>
      </c>
    </row>
    <row r="363" spans="1:6" ht="16" x14ac:dyDescent="0.2">
      <c r="A363" s="1" t="s">
        <v>125</v>
      </c>
      <c r="B363" t="str">
        <f>LEFT(Table1[[#This Row],[Input]],1)</f>
        <v>L</v>
      </c>
      <c r="C363">
        <f>_xlfn.LET(_xlpm.steps,SUBSTITUTE(Table1[[#This Row],[Input]],Table1[[#This Row],[Direction]],""),VALUE(IF(LEN(_xlpm.steps)&gt;2,RIGHT(_xlpm.steps,2),_xlpm.steps)))</f>
        <v>76</v>
      </c>
      <c r="D363">
        <f>_xlfn.LET(_xlpm.dir,Table1[[#This Row],[Direction]],
IF(_xlpm.dir="L",
    IF(F362-Table1[[#This Row],[Steps]]&lt;0,100+(F362-Table1[[#This Row],[Steps]]),F362-Table1[[#This Row],[Steps]]),
))</f>
        <v>24</v>
      </c>
      <c r="E363">
        <f>_xlfn.LET(_xlpm.dir,Table1[[#This Row],[Direction]],
IF(_xlpm.dir="R",
    IF(F362+Table1[[#This Row],[Steps]]&gt;99,(F362+Table1[[#This Row],[Steps]])-100,F362+Table1[[#This Row],[Steps]]),
))</f>
        <v>0</v>
      </c>
      <c r="F363">
        <f>IF(Table1[[#This Row],[New Pos L]]&lt;&gt;0,Table1[[#This Row],[New Pos L]],Table1[[#This Row],[New Pos R]])</f>
        <v>24</v>
      </c>
    </row>
    <row r="364" spans="1:6" ht="16" x14ac:dyDescent="0.2">
      <c r="A364" s="1" t="s">
        <v>212</v>
      </c>
      <c r="B364" t="str">
        <f>LEFT(Table1[[#This Row],[Input]],1)</f>
        <v>R</v>
      </c>
      <c r="C364">
        <f>_xlfn.LET(_xlpm.steps,SUBSTITUTE(Table1[[#This Row],[Input]],Table1[[#This Row],[Direction]],""),VALUE(IF(LEN(_xlpm.steps)&gt;2,RIGHT(_xlpm.steps,2),_xlpm.steps)))</f>
        <v>77</v>
      </c>
      <c r="D364">
        <f>_xlfn.LET(_xlpm.dir,Table1[[#This Row],[Direction]],
IF(_xlpm.dir="L",
    IF(F363-Table1[[#This Row],[Steps]]&lt;0,100+(F363-Table1[[#This Row],[Steps]]),F363-Table1[[#This Row],[Steps]]),
))</f>
        <v>0</v>
      </c>
      <c r="E364">
        <f>_xlfn.LET(_xlpm.dir,Table1[[#This Row],[Direction]],
IF(_xlpm.dir="R",
    IF(F363+Table1[[#This Row],[Steps]]&gt;99,(F363+Table1[[#This Row],[Steps]])-100,F363+Table1[[#This Row],[Steps]]),
))</f>
        <v>1</v>
      </c>
      <c r="F364">
        <f>IF(Table1[[#This Row],[New Pos L]]&lt;&gt;0,Table1[[#This Row],[New Pos L]],Table1[[#This Row],[New Pos R]])</f>
        <v>1</v>
      </c>
    </row>
    <row r="365" spans="1:6" ht="16" x14ac:dyDescent="0.2">
      <c r="A365" s="1" t="s">
        <v>64</v>
      </c>
      <c r="B365" t="str">
        <f>LEFT(Table1[[#This Row],[Input]],1)</f>
        <v>R</v>
      </c>
      <c r="C365">
        <f>_xlfn.LET(_xlpm.steps,SUBSTITUTE(Table1[[#This Row],[Input]],Table1[[#This Row],[Direction]],""),VALUE(IF(LEN(_xlpm.steps)&gt;2,RIGHT(_xlpm.steps,2),_xlpm.steps)))</f>
        <v>10</v>
      </c>
      <c r="D365">
        <f>_xlfn.LET(_xlpm.dir,Table1[[#This Row],[Direction]],
IF(_xlpm.dir="L",
    IF(F364-Table1[[#This Row],[Steps]]&lt;0,100+(F364-Table1[[#This Row],[Steps]]),F364-Table1[[#This Row],[Steps]]),
))</f>
        <v>0</v>
      </c>
      <c r="E365">
        <f>_xlfn.LET(_xlpm.dir,Table1[[#This Row],[Direction]],
IF(_xlpm.dir="R",
    IF(F364+Table1[[#This Row],[Steps]]&gt;99,(F364+Table1[[#This Row],[Steps]])-100,F364+Table1[[#This Row],[Steps]]),
))</f>
        <v>11</v>
      </c>
      <c r="F365">
        <f>IF(Table1[[#This Row],[New Pos L]]&lt;&gt;0,Table1[[#This Row],[New Pos L]],Table1[[#This Row],[New Pos R]])</f>
        <v>11</v>
      </c>
    </row>
    <row r="366" spans="1:6" ht="16" x14ac:dyDescent="0.2">
      <c r="A366" s="1" t="s">
        <v>213</v>
      </c>
      <c r="B366" t="str">
        <f>LEFT(Table1[[#This Row],[Input]],1)</f>
        <v>R</v>
      </c>
      <c r="C366">
        <f>_xlfn.LET(_xlpm.steps,SUBSTITUTE(Table1[[#This Row],[Input]],Table1[[#This Row],[Direction]],""),VALUE(IF(LEN(_xlpm.steps)&gt;2,RIGHT(_xlpm.steps,2),_xlpm.steps)))</f>
        <v>87</v>
      </c>
      <c r="D366">
        <f>_xlfn.LET(_xlpm.dir,Table1[[#This Row],[Direction]],
IF(_xlpm.dir="L",
    IF(F365-Table1[[#This Row],[Steps]]&lt;0,100+(F365-Table1[[#This Row],[Steps]]),F365-Table1[[#This Row],[Steps]]),
))</f>
        <v>0</v>
      </c>
      <c r="E366">
        <f>_xlfn.LET(_xlpm.dir,Table1[[#This Row],[Direction]],
IF(_xlpm.dir="R",
    IF(F365+Table1[[#This Row],[Steps]]&gt;99,(F365+Table1[[#This Row],[Steps]])-100,F365+Table1[[#This Row],[Steps]]),
))</f>
        <v>98</v>
      </c>
      <c r="F366">
        <f>IF(Table1[[#This Row],[New Pos L]]&lt;&gt;0,Table1[[#This Row],[New Pos L]],Table1[[#This Row],[New Pos R]])</f>
        <v>98</v>
      </c>
    </row>
    <row r="367" spans="1:6" ht="16" x14ac:dyDescent="0.2">
      <c r="A367" s="1" t="s">
        <v>75</v>
      </c>
      <c r="B367" t="str">
        <f>LEFT(Table1[[#This Row],[Input]],1)</f>
        <v>R</v>
      </c>
      <c r="C367">
        <f>_xlfn.LET(_xlpm.steps,SUBSTITUTE(Table1[[#This Row],[Input]],Table1[[#This Row],[Direction]],""),VALUE(IF(LEN(_xlpm.steps)&gt;2,RIGHT(_xlpm.steps,2),_xlpm.steps)))</f>
        <v>2</v>
      </c>
      <c r="D367">
        <f>_xlfn.LET(_xlpm.dir,Table1[[#This Row],[Direction]],
IF(_xlpm.dir="L",
    IF(F366-Table1[[#This Row],[Steps]]&lt;0,100+(F366-Table1[[#This Row],[Steps]]),F366-Table1[[#This Row],[Steps]]),
))</f>
        <v>0</v>
      </c>
      <c r="E367">
        <f>_xlfn.LET(_xlpm.dir,Table1[[#This Row],[Direction]],
IF(_xlpm.dir="R",
    IF(F366+Table1[[#This Row],[Steps]]&gt;99,(F366+Table1[[#This Row],[Steps]])-100,F366+Table1[[#This Row],[Steps]]),
))</f>
        <v>0</v>
      </c>
      <c r="F367">
        <f>IF(Table1[[#This Row],[New Pos L]]&lt;&gt;0,Table1[[#This Row],[New Pos L]],Table1[[#This Row],[New Pos R]])</f>
        <v>0</v>
      </c>
    </row>
    <row r="368" spans="1:6" ht="16" x14ac:dyDescent="0.2">
      <c r="A368" s="1" t="s">
        <v>61</v>
      </c>
      <c r="B368" t="str">
        <f>LEFT(Table1[[#This Row],[Input]],1)</f>
        <v>L</v>
      </c>
      <c r="C368">
        <f>_xlfn.LET(_xlpm.steps,SUBSTITUTE(Table1[[#This Row],[Input]],Table1[[#This Row],[Direction]],""),VALUE(IF(LEN(_xlpm.steps)&gt;2,RIGHT(_xlpm.steps,2),_xlpm.steps)))</f>
        <v>16</v>
      </c>
      <c r="D368">
        <f>_xlfn.LET(_xlpm.dir,Table1[[#This Row],[Direction]],
IF(_xlpm.dir="L",
    IF(F367-Table1[[#This Row],[Steps]]&lt;0,100+(F367-Table1[[#This Row],[Steps]]),F367-Table1[[#This Row],[Steps]]),
))</f>
        <v>84</v>
      </c>
      <c r="E368">
        <f>_xlfn.LET(_xlpm.dir,Table1[[#This Row],[Direction]],
IF(_xlpm.dir="R",
    IF(F367+Table1[[#This Row],[Steps]]&gt;99,(F367+Table1[[#This Row],[Steps]])-100,F367+Table1[[#This Row],[Steps]]),
))</f>
        <v>0</v>
      </c>
      <c r="F368">
        <f>IF(Table1[[#This Row],[New Pos L]]&lt;&gt;0,Table1[[#This Row],[New Pos L]],Table1[[#This Row],[New Pos R]])</f>
        <v>84</v>
      </c>
    </row>
    <row r="369" spans="1:6" ht="16" x14ac:dyDescent="0.2">
      <c r="A369" s="1" t="s">
        <v>155</v>
      </c>
      <c r="B369" t="str">
        <f>LEFT(Table1[[#This Row],[Input]],1)</f>
        <v>L</v>
      </c>
      <c r="C369">
        <f>_xlfn.LET(_xlpm.steps,SUBSTITUTE(Table1[[#This Row],[Input]],Table1[[#This Row],[Direction]],""),VALUE(IF(LEN(_xlpm.steps)&gt;2,RIGHT(_xlpm.steps,2),_xlpm.steps)))</f>
        <v>18</v>
      </c>
      <c r="D369">
        <f>_xlfn.LET(_xlpm.dir,Table1[[#This Row],[Direction]],
IF(_xlpm.dir="L",
    IF(F368-Table1[[#This Row],[Steps]]&lt;0,100+(F368-Table1[[#This Row],[Steps]]),F368-Table1[[#This Row],[Steps]]),
))</f>
        <v>66</v>
      </c>
      <c r="E369">
        <f>_xlfn.LET(_xlpm.dir,Table1[[#This Row],[Direction]],
IF(_xlpm.dir="R",
    IF(F368+Table1[[#This Row],[Steps]]&gt;99,(F368+Table1[[#This Row],[Steps]])-100,F368+Table1[[#This Row],[Steps]]),
))</f>
        <v>0</v>
      </c>
      <c r="F369">
        <f>IF(Table1[[#This Row],[New Pos L]]&lt;&gt;0,Table1[[#This Row],[New Pos L]],Table1[[#This Row],[New Pos R]])</f>
        <v>66</v>
      </c>
    </row>
    <row r="370" spans="1:6" ht="16" x14ac:dyDescent="0.2">
      <c r="A370" s="1" t="s">
        <v>214</v>
      </c>
      <c r="B370" t="str">
        <f>LEFT(Table1[[#This Row],[Input]],1)</f>
        <v>R</v>
      </c>
      <c r="C370">
        <f>_xlfn.LET(_xlpm.steps,SUBSTITUTE(Table1[[#This Row],[Input]],Table1[[#This Row],[Direction]],""),VALUE(IF(LEN(_xlpm.steps)&gt;2,RIGHT(_xlpm.steps,2),_xlpm.steps)))</f>
        <v>48</v>
      </c>
      <c r="D370">
        <f>_xlfn.LET(_xlpm.dir,Table1[[#This Row],[Direction]],
IF(_xlpm.dir="L",
    IF(F369-Table1[[#This Row],[Steps]]&lt;0,100+(F369-Table1[[#This Row],[Steps]]),F369-Table1[[#This Row],[Steps]]),
))</f>
        <v>0</v>
      </c>
      <c r="E370">
        <f>_xlfn.LET(_xlpm.dir,Table1[[#This Row],[Direction]],
IF(_xlpm.dir="R",
    IF(F369+Table1[[#This Row],[Steps]]&gt;99,(F369+Table1[[#This Row],[Steps]])-100,F369+Table1[[#This Row],[Steps]]),
))</f>
        <v>14</v>
      </c>
      <c r="F370">
        <f>IF(Table1[[#This Row],[New Pos L]]&lt;&gt;0,Table1[[#This Row],[New Pos L]],Table1[[#This Row],[New Pos R]])</f>
        <v>14</v>
      </c>
    </row>
    <row r="371" spans="1:6" ht="16" x14ac:dyDescent="0.2">
      <c r="A371" s="1" t="s">
        <v>215</v>
      </c>
      <c r="B371" t="str">
        <f>LEFT(Table1[[#This Row],[Input]],1)</f>
        <v>L</v>
      </c>
      <c r="C371">
        <f>_xlfn.LET(_xlpm.steps,SUBSTITUTE(Table1[[#This Row],[Input]],Table1[[#This Row],[Direction]],""),VALUE(IF(LEN(_xlpm.steps)&gt;2,RIGHT(_xlpm.steps,2),_xlpm.steps)))</f>
        <v>14</v>
      </c>
      <c r="D371">
        <f>_xlfn.LET(_xlpm.dir,Table1[[#This Row],[Direction]],
IF(_xlpm.dir="L",
    IF(F370-Table1[[#This Row],[Steps]]&lt;0,100+(F370-Table1[[#This Row],[Steps]]),F370-Table1[[#This Row],[Steps]]),
))</f>
        <v>0</v>
      </c>
      <c r="E371">
        <f>_xlfn.LET(_xlpm.dir,Table1[[#This Row],[Direction]],
IF(_xlpm.dir="R",
    IF(F370+Table1[[#This Row],[Steps]]&gt;99,(F370+Table1[[#This Row],[Steps]])-100,F370+Table1[[#This Row],[Steps]]),
))</f>
        <v>0</v>
      </c>
      <c r="F371">
        <f>IF(Table1[[#This Row],[New Pos L]]&lt;&gt;0,Table1[[#This Row],[New Pos L]],Table1[[#This Row],[New Pos R]])</f>
        <v>0</v>
      </c>
    </row>
    <row r="372" spans="1:6" ht="16" x14ac:dyDescent="0.2">
      <c r="A372" s="1" t="s">
        <v>216</v>
      </c>
      <c r="B372" t="str">
        <f>LEFT(Table1[[#This Row],[Input]],1)</f>
        <v>R</v>
      </c>
      <c r="C372">
        <f>_xlfn.LET(_xlpm.steps,SUBSTITUTE(Table1[[#This Row],[Input]],Table1[[#This Row],[Direction]],""),VALUE(IF(LEN(_xlpm.steps)&gt;2,RIGHT(_xlpm.steps,2),_xlpm.steps)))</f>
        <v>54</v>
      </c>
      <c r="D372">
        <f>_xlfn.LET(_xlpm.dir,Table1[[#This Row],[Direction]],
IF(_xlpm.dir="L",
    IF(F371-Table1[[#This Row],[Steps]]&lt;0,100+(F371-Table1[[#This Row],[Steps]]),F371-Table1[[#This Row],[Steps]]),
))</f>
        <v>0</v>
      </c>
      <c r="E372">
        <f>_xlfn.LET(_xlpm.dir,Table1[[#This Row],[Direction]],
IF(_xlpm.dir="R",
    IF(F371+Table1[[#This Row],[Steps]]&gt;99,(F371+Table1[[#This Row],[Steps]])-100,F371+Table1[[#This Row],[Steps]]),
))</f>
        <v>54</v>
      </c>
      <c r="F372">
        <f>IF(Table1[[#This Row],[New Pos L]]&lt;&gt;0,Table1[[#This Row],[New Pos L]],Table1[[#This Row],[New Pos R]])</f>
        <v>54</v>
      </c>
    </row>
    <row r="373" spans="1:6" ht="16" x14ac:dyDescent="0.2">
      <c r="A373" s="1" t="s">
        <v>217</v>
      </c>
      <c r="B373" t="str">
        <f>LEFT(Table1[[#This Row],[Input]],1)</f>
        <v>R</v>
      </c>
      <c r="C373">
        <f>_xlfn.LET(_xlpm.steps,SUBSTITUTE(Table1[[#This Row],[Input]],Table1[[#This Row],[Direction]],""),VALUE(IF(LEN(_xlpm.steps)&gt;2,RIGHT(_xlpm.steps,2),_xlpm.steps)))</f>
        <v>91</v>
      </c>
      <c r="D373">
        <f>_xlfn.LET(_xlpm.dir,Table1[[#This Row],[Direction]],
IF(_xlpm.dir="L",
    IF(F372-Table1[[#This Row],[Steps]]&lt;0,100+(F372-Table1[[#This Row],[Steps]]),F372-Table1[[#This Row],[Steps]]),
))</f>
        <v>0</v>
      </c>
      <c r="E373">
        <f>_xlfn.LET(_xlpm.dir,Table1[[#This Row],[Direction]],
IF(_xlpm.dir="R",
    IF(F372+Table1[[#This Row],[Steps]]&gt;99,(F372+Table1[[#This Row],[Steps]])-100,F372+Table1[[#This Row],[Steps]]),
))</f>
        <v>45</v>
      </c>
      <c r="F373">
        <f>IF(Table1[[#This Row],[New Pos L]]&lt;&gt;0,Table1[[#This Row],[New Pos L]],Table1[[#This Row],[New Pos R]])</f>
        <v>45</v>
      </c>
    </row>
    <row r="374" spans="1:6" ht="16" x14ac:dyDescent="0.2">
      <c r="A374" s="1" t="s">
        <v>171</v>
      </c>
      <c r="B374" t="str">
        <f>LEFT(Table1[[#This Row],[Input]],1)</f>
        <v>L</v>
      </c>
      <c r="C374">
        <f>_xlfn.LET(_xlpm.steps,SUBSTITUTE(Table1[[#This Row],[Input]],Table1[[#This Row],[Direction]],""),VALUE(IF(LEN(_xlpm.steps)&gt;2,RIGHT(_xlpm.steps,2),_xlpm.steps)))</f>
        <v>73</v>
      </c>
      <c r="D374">
        <f>_xlfn.LET(_xlpm.dir,Table1[[#This Row],[Direction]],
IF(_xlpm.dir="L",
    IF(F373-Table1[[#This Row],[Steps]]&lt;0,100+(F373-Table1[[#This Row],[Steps]]),F373-Table1[[#This Row],[Steps]]),
))</f>
        <v>72</v>
      </c>
      <c r="E374">
        <f>_xlfn.LET(_xlpm.dir,Table1[[#This Row],[Direction]],
IF(_xlpm.dir="R",
    IF(F373+Table1[[#This Row],[Steps]]&gt;99,(F373+Table1[[#This Row],[Steps]])-100,F373+Table1[[#This Row],[Steps]]),
))</f>
        <v>0</v>
      </c>
      <c r="F374">
        <f>IF(Table1[[#This Row],[New Pos L]]&lt;&gt;0,Table1[[#This Row],[New Pos L]],Table1[[#This Row],[New Pos R]])</f>
        <v>72</v>
      </c>
    </row>
    <row r="375" spans="1:6" ht="16" x14ac:dyDescent="0.2">
      <c r="A375" s="1" t="s">
        <v>137</v>
      </c>
      <c r="B375" t="str">
        <f>LEFT(Table1[[#This Row],[Input]],1)</f>
        <v>R</v>
      </c>
      <c r="C375">
        <f>_xlfn.LET(_xlpm.steps,SUBSTITUTE(Table1[[#This Row],[Input]],Table1[[#This Row],[Direction]],""),VALUE(IF(LEN(_xlpm.steps)&gt;2,RIGHT(_xlpm.steps,2),_xlpm.steps)))</f>
        <v>28</v>
      </c>
      <c r="D375">
        <f>_xlfn.LET(_xlpm.dir,Table1[[#This Row],[Direction]],
IF(_xlpm.dir="L",
    IF(F374-Table1[[#This Row],[Steps]]&lt;0,100+(F374-Table1[[#This Row],[Steps]]),F374-Table1[[#This Row],[Steps]]),
))</f>
        <v>0</v>
      </c>
      <c r="E375">
        <f>_xlfn.LET(_xlpm.dir,Table1[[#This Row],[Direction]],
IF(_xlpm.dir="R",
    IF(F374+Table1[[#This Row],[Steps]]&gt;99,(F374+Table1[[#This Row],[Steps]])-100,F374+Table1[[#This Row],[Steps]]),
))</f>
        <v>0</v>
      </c>
      <c r="F375">
        <f>IF(Table1[[#This Row],[New Pos L]]&lt;&gt;0,Table1[[#This Row],[New Pos L]],Table1[[#This Row],[New Pos R]])</f>
        <v>0</v>
      </c>
    </row>
    <row r="376" spans="1:6" ht="16" x14ac:dyDescent="0.2">
      <c r="A376" s="1" t="s">
        <v>165</v>
      </c>
      <c r="B376" t="str">
        <f>LEFT(Table1[[#This Row],[Input]],1)</f>
        <v>R</v>
      </c>
      <c r="C376">
        <f>_xlfn.LET(_xlpm.steps,SUBSTITUTE(Table1[[#This Row],[Input]],Table1[[#This Row],[Direction]],""),VALUE(IF(LEN(_xlpm.steps)&gt;2,RIGHT(_xlpm.steps,2),_xlpm.steps)))</f>
        <v>55</v>
      </c>
      <c r="D376">
        <f>_xlfn.LET(_xlpm.dir,Table1[[#This Row],[Direction]],
IF(_xlpm.dir="L",
    IF(F375-Table1[[#This Row],[Steps]]&lt;0,100+(F375-Table1[[#This Row],[Steps]]),F375-Table1[[#This Row],[Steps]]),
))</f>
        <v>0</v>
      </c>
      <c r="E376">
        <f>_xlfn.LET(_xlpm.dir,Table1[[#This Row],[Direction]],
IF(_xlpm.dir="R",
    IF(F375+Table1[[#This Row],[Steps]]&gt;99,(F375+Table1[[#This Row],[Steps]])-100,F375+Table1[[#This Row],[Steps]]),
))</f>
        <v>55</v>
      </c>
      <c r="F376">
        <f>IF(Table1[[#This Row],[New Pos L]]&lt;&gt;0,Table1[[#This Row],[New Pos L]],Table1[[#This Row],[New Pos R]])</f>
        <v>55</v>
      </c>
    </row>
    <row r="377" spans="1:6" ht="16" x14ac:dyDescent="0.2">
      <c r="A377" s="1" t="s">
        <v>82</v>
      </c>
      <c r="B377" t="str">
        <f>LEFT(Table1[[#This Row],[Input]],1)</f>
        <v>L</v>
      </c>
      <c r="C377">
        <f>_xlfn.LET(_xlpm.steps,SUBSTITUTE(Table1[[#This Row],[Input]],Table1[[#This Row],[Direction]],""),VALUE(IF(LEN(_xlpm.steps)&gt;2,RIGHT(_xlpm.steps,2),_xlpm.steps)))</f>
        <v>55</v>
      </c>
      <c r="D377">
        <f>_xlfn.LET(_xlpm.dir,Table1[[#This Row],[Direction]],
IF(_xlpm.dir="L",
    IF(F376-Table1[[#This Row],[Steps]]&lt;0,100+(F376-Table1[[#This Row],[Steps]]),F376-Table1[[#This Row],[Steps]]),
))</f>
        <v>0</v>
      </c>
      <c r="E377">
        <f>_xlfn.LET(_xlpm.dir,Table1[[#This Row],[Direction]],
IF(_xlpm.dir="R",
    IF(F376+Table1[[#This Row],[Steps]]&gt;99,(F376+Table1[[#This Row],[Steps]])-100,F376+Table1[[#This Row],[Steps]]),
))</f>
        <v>0</v>
      </c>
      <c r="F377">
        <f>IF(Table1[[#This Row],[New Pos L]]&lt;&gt;0,Table1[[#This Row],[New Pos L]],Table1[[#This Row],[New Pos R]])</f>
        <v>0</v>
      </c>
    </row>
    <row r="378" spans="1:6" ht="16" x14ac:dyDescent="0.2">
      <c r="A378" s="1" t="s">
        <v>108</v>
      </c>
      <c r="B378" t="str">
        <f>LEFT(Table1[[#This Row],[Input]],1)</f>
        <v>R</v>
      </c>
      <c r="C378">
        <f>_xlfn.LET(_xlpm.steps,SUBSTITUTE(Table1[[#This Row],[Input]],Table1[[#This Row],[Direction]],""),VALUE(IF(LEN(_xlpm.steps)&gt;2,RIGHT(_xlpm.steps,2),_xlpm.steps)))</f>
        <v>66</v>
      </c>
      <c r="D378">
        <f>_xlfn.LET(_xlpm.dir,Table1[[#This Row],[Direction]],
IF(_xlpm.dir="L",
    IF(F377-Table1[[#This Row],[Steps]]&lt;0,100+(F377-Table1[[#This Row],[Steps]]),F377-Table1[[#This Row],[Steps]]),
))</f>
        <v>0</v>
      </c>
      <c r="E378">
        <f>_xlfn.LET(_xlpm.dir,Table1[[#This Row],[Direction]],
IF(_xlpm.dir="R",
    IF(F377+Table1[[#This Row],[Steps]]&gt;99,(F377+Table1[[#This Row],[Steps]])-100,F377+Table1[[#This Row],[Steps]]),
))</f>
        <v>66</v>
      </c>
      <c r="F378">
        <f>IF(Table1[[#This Row],[New Pos L]]&lt;&gt;0,Table1[[#This Row],[New Pos L]],Table1[[#This Row],[New Pos R]])</f>
        <v>66</v>
      </c>
    </row>
    <row r="379" spans="1:6" ht="16" x14ac:dyDescent="0.2">
      <c r="A379" s="1" t="s">
        <v>47</v>
      </c>
      <c r="B379" t="str">
        <f>LEFT(Table1[[#This Row],[Input]],1)</f>
        <v>R</v>
      </c>
      <c r="C379">
        <f>_xlfn.LET(_xlpm.steps,SUBSTITUTE(Table1[[#This Row],[Input]],Table1[[#This Row],[Direction]],""),VALUE(IF(LEN(_xlpm.steps)&gt;2,RIGHT(_xlpm.steps,2),_xlpm.steps)))</f>
        <v>97</v>
      </c>
      <c r="D379">
        <f>_xlfn.LET(_xlpm.dir,Table1[[#This Row],[Direction]],
IF(_xlpm.dir="L",
    IF(F378-Table1[[#This Row],[Steps]]&lt;0,100+(F378-Table1[[#This Row],[Steps]]),F378-Table1[[#This Row],[Steps]]),
))</f>
        <v>0</v>
      </c>
      <c r="E379">
        <f>_xlfn.LET(_xlpm.dir,Table1[[#This Row],[Direction]],
IF(_xlpm.dir="R",
    IF(F378+Table1[[#This Row],[Steps]]&gt;99,(F378+Table1[[#This Row],[Steps]])-100,F378+Table1[[#This Row],[Steps]]),
))</f>
        <v>63</v>
      </c>
      <c r="F379">
        <f>IF(Table1[[#This Row],[New Pos L]]&lt;&gt;0,Table1[[#This Row],[New Pos L]],Table1[[#This Row],[New Pos R]])</f>
        <v>63</v>
      </c>
    </row>
    <row r="380" spans="1:6" ht="16" x14ac:dyDescent="0.2">
      <c r="A380" s="1" t="s">
        <v>218</v>
      </c>
      <c r="B380" t="str">
        <f>LEFT(Table1[[#This Row],[Input]],1)</f>
        <v>R</v>
      </c>
      <c r="C380">
        <f>_xlfn.LET(_xlpm.steps,SUBSTITUTE(Table1[[#This Row],[Input]],Table1[[#This Row],[Direction]],""),VALUE(IF(LEN(_xlpm.steps)&gt;2,RIGHT(_xlpm.steps,2),_xlpm.steps)))</f>
        <v>35</v>
      </c>
      <c r="D380">
        <f>_xlfn.LET(_xlpm.dir,Table1[[#This Row],[Direction]],
IF(_xlpm.dir="L",
    IF(F379-Table1[[#This Row],[Steps]]&lt;0,100+(F379-Table1[[#This Row],[Steps]]),F379-Table1[[#This Row],[Steps]]),
))</f>
        <v>0</v>
      </c>
      <c r="E380">
        <f>_xlfn.LET(_xlpm.dir,Table1[[#This Row],[Direction]],
IF(_xlpm.dir="R",
    IF(F379+Table1[[#This Row],[Steps]]&gt;99,(F379+Table1[[#This Row],[Steps]])-100,F379+Table1[[#This Row],[Steps]]),
))</f>
        <v>98</v>
      </c>
      <c r="F380">
        <f>IF(Table1[[#This Row],[New Pos L]]&lt;&gt;0,Table1[[#This Row],[New Pos L]],Table1[[#This Row],[New Pos R]])</f>
        <v>98</v>
      </c>
    </row>
    <row r="381" spans="1:6" ht="16" x14ac:dyDescent="0.2">
      <c r="A381" s="1" t="s">
        <v>35</v>
      </c>
      <c r="B381" t="str">
        <f>LEFT(Table1[[#This Row],[Input]],1)</f>
        <v>L</v>
      </c>
      <c r="C381">
        <f>_xlfn.LET(_xlpm.steps,SUBSTITUTE(Table1[[#This Row],[Input]],Table1[[#This Row],[Direction]],""),VALUE(IF(LEN(_xlpm.steps)&gt;2,RIGHT(_xlpm.steps,2),_xlpm.steps)))</f>
        <v>2</v>
      </c>
      <c r="D381">
        <f>_xlfn.LET(_xlpm.dir,Table1[[#This Row],[Direction]],
IF(_xlpm.dir="L",
    IF(F380-Table1[[#This Row],[Steps]]&lt;0,100+(F380-Table1[[#This Row],[Steps]]),F380-Table1[[#This Row],[Steps]]),
))</f>
        <v>96</v>
      </c>
      <c r="E381">
        <f>_xlfn.LET(_xlpm.dir,Table1[[#This Row],[Direction]],
IF(_xlpm.dir="R",
    IF(F380+Table1[[#This Row],[Steps]]&gt;99,(F380+Table1[[#This Row],[Steps]])-100,F380+Table1[[#This Row],[Steps]]),
))</f>
        <v>0</v>
      </c>
      <c r="F381">
        <f>IF(Table1[[#This Row],[New Pos L]]&lt;&gt;0,Table1[[#This Row],[New Pos L]],Table1[[#This Row],[New Pos R]])</f>
        <v>96</v>
      </c>
    </row>
    <row r="382" spans="1:6" ht="16" x14ac:dyDescent="0.2">
      <c r="A382" s="1" t="s">
        <v>26</v>
      </c>
      <c r="B382" t="str">
        <f>LEFT(Table1[[#This Row],[Input]],1)</f>
        <v>R</v>
      </c>
      <c r="C382">
        <f>_xlfn.LET(_xlpm.steps,SUBSTITUTE(Table1[[#This Row],[Input]],Table1[[#This Row],[Direction]],""),VALUE(IF(LEN(_xlpm.steps)&gt;2,RIGHT(_xlpm.steps,2),_xlpm.steps)))</f>
        <v>6</v>
      </c>
      <c r="D382">
        <f>_xlfn.LET(_xlpm.dir,Table1[[#This Row],[Direction]],
IF(_xlpm.dir="L",
    IF(F381-Table1[[#This Row],[Steps]]&lt;0,100+(F381-Table1[[#This Row],[Steps]]),F381-Table1[[#This Row],[Steps]]),
))</f>
        <v>0</v>
      </c>
      <c r="E382">
        <f>_xlfn.LET(_xlpm.dir,Table1[[#This Row],[Direction]],
IF(_xlpm.dir="R",
    IF(F381+Table1[[#This Row],[Steps]]&gt;99,(F381+Table1[[#This Row],[Steps]])-100,F381+Table1[[#This Row],[Steps]]),
))</f>
        <v>2</v>
      </c>
      <c r="F382">
        <f>IF(Table1[[#This Row],[New Pos L]]&lt;&gt;0,Table1[[#This Row],[New Pos L]],Table1[[#This Row],[New Pos R]])</f>
        <v>2</v>
      </c>
    </row>
    <row r="383" spans="1:6" ht="16" x14ac:dyDescent="0.2">
      <c r="A383" s="1" t="s">
        <v>64</v>
      </c>
      <c r="B383" t="str">
        <f>LEFT(Table1[[#This Row],[Input]],1)</f>
        <v>R</v>
      </c>
      <c r="C383">
        <f>_xlfn.LET(_xlpm.steps,SUBSTITUTE(Table1[[#This Row],[Input]],Table1[[#This Row],[Direction]],""),VALUE(IF(LEN(_xlpm.steps)&gt;2,RIGHT(_xlpm.steps,2),_xlpm.steps)))</f>
        <v>10</v>
      </c>
      <c r="D383">
        <f>_xlfn.LET(_xlpm.dir,Table1[[#This Row],[Direction]],
IF(_xlpm.dir="L",
    IF(F382-Table1[[#This Row],[Steps]]&lt;0,100+(F382-Table1[[#This Row],[Steps]]),F382-Table1[[#This Row],[Steps]]),
))</f>
        <v>0</v>
      </c>
      <c r="E383">
        <f>_xlfn.LET(_xlpm.dir,Table1[[#This Row],[Direction]],
IF(_xlpm.dir="R",
    IF(F382+Table1[[#This Row],[Steps]]&gt;99,(F382+Table1[[#This Row],[Steps]])-100,F382+Table1[[#This Row],[Steps]]),
))</f>
        <v>12</v>
      </c>
      <c r="F383">
        <f>IF(Table1[[#This Row],[New Pos L]]&lt;&gt;0,Table1[[#This Row],[New Pos L]],Table1[[#This Row],[New Pos R]])</f>
        <v>12</v>
      </c>
    </row>
    <row r="384" spans="1:6" ht="16" x14ac:dyDescent="0.2">
      <c r="A384" s="1" t="s">
        <v>88</v>
      </c>
      <c r="B384" t="str">
        <f>LEFT(Table1[[#This Row],[Input]],1)</f>
        <v>R</v>
      </c>
      <c r="C384">
        <f>_xlfn.LET(_xlpm.steps,SUBSTITUTE(Table1[[#This Row],[Input]],Table1[[#This Row],[Direction]],""),VALUE(IF(LEN(_xlpm.steps)&gt;2,RIGHT(_xlpm.steps,2),_xlpm.steps)))</f>
        <v>53</v>
      </c>
      <c r="D384">
        <f>_xlfn.LET(_xlpm.dir,Table1[[#This Row],[Direction]],
IF(_xlpm.dir="L",
    IF(F383-Table1[[#This Row],[Steps]]&lt;0,100+(F383-Table1[[#This Row],[Steps]]),F383-Table1[[#This Row],[Steps]]),
))</f>
        <v>0</v>
      </c>
      <c r="E384">
        <f>_xlfn.LET(_xlpm.dir,Table1[[#This Row],[Direction]],
IF(_xlpm.dir="R",
    IF(F383+Table1[[#This Row],[Steps]]&gt;99,(F383+Table1[[#This Row],[Steps]])-100,F383+Table1[[#This Row],[Steps]]),
))</f>
        <v>65</v>
      </c>
      <c r="F384">
        <f>IF(Table1[[#This Row],[New Pos L]]&lt;&gt;0,Table1[[#This Row],[New Pos L]],Table1[[#This Row],[New Pos R]])</f>
        <v>65</v>
      </c>
    </row>
    <row r="385" spans="1:6" ht="16" x14ac:dyDescent="0.2">
      <c r="A385" s="1" t="s">
        <v>120</v>
      </c>
      <c r="B385" t="str">
        <f>LEFT(Table1[[#This Row],[Input]],1)</f>
        <v>L</v>
      </c>
      <c r="C385">
        <f>_xlfn.LET(_xlpm.steps,SUBSTITUTE(Table1[[#This Row],[Input]],Table1[[#This Row],[Direction]],""),VALUE(IF(LEN(_xlpm.steps)&gt;2,RIGHT(_xlpm.steps,2),_xlpm.steps)))</f>
        <v>23</v>
      </c>
      <c r="D385">
        <f>_xlfn.LET(_xlpm.dir,Table1[[#This Row],[Direction]],
IF(_xlpm.dir="L",
    IF(F384-Table1[[#This Row],[Steps]]&lt;0,100+(F384-Table1[[#This Row],[Steps]]),F384-Table1[[#This Row],[Steps]]),
))</f>
        <v>42</v>
      </c>
      <c r="E385">
        <f>_xlfn.LET(_xlpm.dir,Table1[[#This Row],[Direction]],
IF(_xlpm.dir="R",
    IF(F384+Table1[[#This Row],[Steps]]&gt;99,(F384+Table1[[#This Row],[Steps]])-100,F384+Table1[[#This Row],[Steps]]),
))</f>
        <v>0</v>
      </c>
      <c r="F385">
        <f>IF(Table1[[#This Row],[New Pos L]]&lt;&gt;0,Table1[[#This Row],[New Pos L]],Table1[[#This Row],[New Pos R]])</f>
        <v>42</v>
      </c>
    </row>
    <row r="386" spans="1:6" ht="16" x14ac:dyDescent="0.2">
      <c r="A386" s="1" t="s">
        <v>13</v>
      </c>
      <c r="B386" t="str">
        <f>LEFT(Table1[[#This Row],[Input]],1)</f>
        <v>R</v>
      </c>
      <c r="C386">
        <f>_xlfn.LET(_xlpm.steps,SUBSTITUTE(Table1[[#This Row],[Input]],Table1[[#This Row],[Direction]],""),VALUE(IF(LEN(_xlpm.steps)&gt;2,RIGHT(_xlpm.steps,2),_xlpm.steps)))</f>
        <v>12</v>
      </c>
      <c r="D386">
        <f>_xlfn.LET(_xlpm.dir,Table1[[#This Row],[Direction]],
IF(_xlpm.dir="L",
    IF(F385-Table1[[#This Row],[Steps]]&lt;0,100+(F385-Table1[[#This Row],[Steps]]),F385-Table1[[#This Row],[Steps]]),
))</f>
        <v>0</v>
      </c>
      <c r="E386">
        <f>_xlfn.LET(_xlpm.dir,Table1[[#This Row],[Direction]],
IF(_xlpm.dir="R",
    IF(F385+Table1[[#This Row],[Steps]]&gt;99,(F385+Table1[[#This Row],[Steps]])-100,F385+Table1[[#This Row],[Steps]]),
))</f>
        <v>54</v>
      </c>
      <c r="F386">
        <f>IF(Table1[[#This Row],[New Pos L]]&lt;&gt;0,Table1[[#This Row],[New Pos L]],Table1[[#This Row],[New Pos R]])</f>
        <v>54</v>
      </c>
    </row>
    <row r="387" spans="1:6" ht="16" x14ac:dyDescent="0.2">
      <c r="A387" s="1" t="s">
        <v>219</v>
      </c>
      <c r="B387" t="str">
        <f>LEFT(Table1[[#This Row],[Input]],1)</f>
        <v>L</v>
      </c>
      <c r="C387">
        <f>_xlfn.LET(_xlpm.steps,SUBSTITUTE(Table1[[#This Row],[Input]],Table1[[#This Row],[Direction]],""),VALUE(IF(LEN(_xlpm.steps)&gt;2,RIGHT(_xlpm.steps,2),_xlpm.steps)))</f>
        <v>64</v>
      </c>
      <c r="D387">
        <f>_xlfn.LET(_xlpm.dir,Table1[[#This Row],[Direction]],
IF(_xlpm.dir="L",
    IF(F386-Table1[[#This Row],[Steps]]&lt;0,100+(F386-Table1[[#This Row],[Steps]]),F386-Table1[[#This Row],[Steps]]),
))</f>
        <v>90</v>
      </c>
      <c r="E387">
        <f>_xlfn.LET(_xlpm.dir,Table1[[#This Row],[Direction]],
IF(_xlpm.dir="R",
    IF(F386+Table1[[#This Row],[Steps]]&gt;99,(F386+Table1[[#This Row],[Steps]])-100,F386+Table1[[#This Row],[Steps]]),
))</f>
        <v>0</v>
      </c>
      <c r="F387">
        <f>IF(Table1[[#This Row],[New Pos L]]&lt;&gt;0,Table1[[#This Row],[New Pos L]],Table1[[#This Row],[New Pos R]])</f>
        <v>90</v>
      </c>
    </row>
    <row r="388" spans="1:6" ht="16" x14ac:dyDescent="0.2">
      <c r="A388" s="1" t="s">
        <v>220</v>
      </c>
      <c r="B388" t="str">
        <f>LEFT(Table1[[#This Row],[Input]],1)</f>
        <v>L</v>
      </c>
      <c r="C388">
        <f>_xlfn.LET(_xlpm.steps,SUBSTITUTE(Table1[[#This Row],[Input]],Table1[[#This Row],[Direction]],""),VALUE(IF(LEN(_xlpm.steps)&gt;2,RIGHT(_xlpm.steps,2),_xlpm.steps)))</f>
        <v>90</v>
      </c>
      <c r="D388">
        <f>_xlfn.LET(_xlpm.dir,Table1[[#This Row],[Direction]],
IF(_xlpm.dir="L",
    IF(F387-Table1[[#This Row],[Steps]]&lt;0,100+(F387-Table1[[#This Row],[Steps]]),F387-Table1[[#This Row],[Steps]]),
))</f>
        <v>0</v>
      </c>
      <c r="E388">
        <f>_xlfn.LET(_xlpm.dir,Table1[[#This Row],[Direction]],
IF(_xlpm.dir="R",
    IF(F387+Table1[[#This Row],[Steps]]&gt;99,(F387+Table1[[#This Row],[Steps]])-100,F387+Table1[[#This Row],[Steps]]),
))</f>
        <v>0</v>
      </c>
      <c r="F388">
        <f>IF(Table1[[#This Row],[New Pos L]]&lt;&gt;0,Table1[[#This Row],[New Pos L]],Table1[[#This Row],[New Pos R]])</f>
        <v>0</v>
      </c>
    </row>
    <row r="389" spans="1:6" ht="16" x14ac:dyDescent="0.2">
      <c r="A389" s="1" t="s">
        <v>164</v>
      </c>
      <c r="B389" t="str">
        <f>LEFT(Table1[[#This Row],[Input]],1)</f>
        <v>R</v>
      </c>
      <c r="C389">
        <f>_xlfn.LET(_xlpm.steps,SUBSTITUTE(Table1[[#This Row],[Input]],Table1[[#This Row],[Direction]],""),VALUE(IF(LEN(_xlpm.steps)&gt;2,RIGHT(_xlpm.steps,2),_xlpm.steps)))</f>
        <v>85</v>
      </c>
      <c r="D389">
        <f>_xlfn.LET(_xlpm.dir,Table1[[#This Row],[Direction]],
IF(_xlpm.dir="L",
    IF(F388-Table1[[#This Row],[Steps]]&lt;0,100+(F388-Table1[[#This Row],[Steps]]),F388-Table1[[#This Row],[Steps]]),
))</f>
        <v>0</v>
      </c>
      <c r="E389">
        <f>_xlfn.LET(_xlpm.dir,Table1[[#This Row],[Direction]],
IF(_xlpm.dir="R",
    IF(F388+Table1[[#This Row],[Steps]]&gt;99,(F388+Table1[[#This Row],[Steps]])-100,F388+Table1[[#This Row],[Steps]]),
))</f>
        <v>85</v>
      </c>
      <c r="F389">
        <f>IF(Table1[[#This Row],[New Pos L]]&lt;&gt;0,Table1[[#This Row],[New Pos L]],Table1[[#This Row],[New Pos R]])</f>
        <v>85</v>
      </c>
    </row>
    <row r="390" spans="1:6" ht="16" x14ac:dyDescent="0.2">
      <c r="A390" s="1" t="s">
        <v>221</v>
      </c>
      <c r="B390" t="str">
        <f>LEFT(Table1[[#This Row],[Input]],1)</f>
        <v>R</v>
      </c>
      <c r="C390">
        <f>_xlfn.LET(_xlpm.steps,SUBSTITUTE(Table1[[#This Row],[Input]],Table1[[#This Row],[Direction]],""),VALUE(IF(LEN(_xlpm.steps)&gt;2,RIGHT(_xlpm.steps,2),_xlpm.steps)))</f>
        <v>15</v>
      </c>
      <c r="D390">
        <f>_xlfn.LET(_xlpm.dir,Table1[[#This Row],[Direction]],
IF(_xlpm.dir="L",
    IF(F389-Table1[[#This Row],[Steps]]&lt;0,100+(F389-Table1[[#This Row],[Steps]]),F389-Table1[[#This Row],[Steps]]),
))</f>
        <v>0</v>
      </c>
      <c r="E390">
        <f>_xlfn.LET(_xlpm.dir,Table1[[#This Row],[Direction]],
IF(_xlpm.dir="R",
    IF(F389+Table1[[#This Row],[Steps]]&gt;99,(F389+Table1[[#This Row],[Steps]])-100,F389+Table1[[#This Row],[Steps]]),
))</f>
        <v>0</v>
      </c>
      <c r="F390">
        <f>IF(Table1[[#This Row],[New Pos L]]&lt;&gt;0,Table1[[#This Row],[New Pos L]],Table1[[#This Row],[New Pos R]])</f>
        <v>0</v>
      </c>
    </row>
    <row r="391" spans="1:6" ht="16" x14ac:dyDescent="0.2">
      <c r="A391" s="1" t="s">
        <v>222</v>
      </c>
      <c r="B391" t="str">
        <f>LEFT(Table1[[#This Row],[Input]],1)</f>
        <v>R</v>
      </c>
      <c r="C391">
        <f>_xlfn.LET(_xlpm.steps,SUBSTITUTE(Table1[[#This Row],[Input]],Table1[[#This Row],[Direction]],""),VALUE(IF(LEN(_xlpm.steps)&gt;2,RIGHT(_xlpm.steps,2),_xlpm.steps)))</f>
        <v>1</v>
      </c>
      <c r="D391">
        <f>_xlfn.LET(_xlpm.dir,Table1[[#This Row],[Direction]],
IF(_xlpm.dir="L",
    IF(F390-Table1[[#This Row],[Steps]]&lt;0,100+(F390-Table1[[#This Row],[Steps]]),F390-Table1[[#This Row],[Steps]]),
))</f>
        <v>0</v>
      </c>
      <c r="E391">
        <f>_xlfn.LET(_xlpm.dir,Table1[[#This Row],[Direction]],
IF(_xlpm.dir="R",
    IF(F390+Table1[[#This Row],[Steps]]&gt;99,(F390+Table1[[#This Row],[Steps]])-100,F390+Table1[[#This Row],[Steps]]),
))</f>
        <v>1</v>
      </c>
      <c r="F391">
        <f>IF(Table1[[#This Row],[New Pos L]]&lt;&gt;0,Table1[[#This Row],[New Pos L]],Table1[[#This Row],[New Pos R]])</f>
        <v>1</v>
      </c>
    </row>
    <row r="392" spans="1:6" ht="16" x14ac:dyDescent="0.2">
      <c r="A392" s="1" t="s">
        <v>131</v>
      </c>
      <c r="B392" t="str">
        <f>LEFT(Table1[[#This Row],[Input]],1)</f>
        <v>R</v>
      </c>
      <c r="C392">
        <f>_xlfn.LET(_xlpm.steps,SUBSTITUTE(Table1[[#This Row],[Input]],Table1[[#This Row],[Direction]],""),VALUE(IF(LEN(_xlpm.steps)&gt;2,RIGHT(_xlpm.steps,2),_xlpm.steps)))</f>
        <v>99</v>
      </c>
      <c r="D392">
        <f>_xlfn.LET(_xlpm.dir,Table1[[#This Row],[Direction]],
IF(_xlpm.dir="L",
    IF(F391-Table1[[#This Row],[Steps]]&lt;0,100+(F391-Table1[[#This Row],[Steps]]),F391-Table1[[#This Row],[Steps]]),
))</f>
        <v>0</v>
      </c>
      <c r="E392">
        <f>_xlfn.LET(_xlpm.dir,Table1[[#This Row],[Direction]],
IF(_xlpm.dir="R",
    IF(F391+Table1[[#This Row],[Steps]]&gt;99,(F391+Table1[[#This Row],[Steps]])-100,F391+Table1[[#This Row],[Steps]]),
))</f>
        <v>0</v>
      </c>
      <c r="F392">
        <f>IF(Table1[[#This Row],[New Pos L]]&lt;&gt;0,Table1[[#This Row],[New Pos L]],Table1[[#This Row],[New Pos R]])</f>
        <v>0</v>
      </c>
    </row>
    <row r="393" spans="1:6" ht="16" x14ac:dyDescent="0.2">
      <c r="A393" s="1" t="s">
        <v>114</v>
      </c>
      <c r="B393" t="str">
        <f>LEFT(Table1[[#This Row],[Input]],1)</f>
        <v>R</v>
      </c>
      <c r="C393">
        <f>_xlfn.LET(_xlpm.steps,SUBSTITUTE(Table1[[#This Row],[Input]],Table1[[#This Row],[Direction]],""),VALUE(IF(LEN(_xlpm.steps)&gt;2,RIGHT(_xlpm.steps,2),_xlpm.steps)))</f>
        <v>70</v>
      </c>
      <c r="D393">
        <f>_xlfn.LET(_xlpm.dir,Table1[[#This Row],[Direction]],
IF(_xlpm.dir="L",
    IF(F392-Table1[[#This Row],[Steps]]&lt;0,100+(F392-Table1[[#This Row],[Steps]]),F392-Table1[[#This Row],[Steps]]),
))</f>
        <v>0</v>
      </c>
      <c r="E393">
        <f>_xlfn.LET(_xlpm.dir,Table1[[#This Row],[Direction]],
IF(_xlpm.dir="R",
    IF(F392+Table1[[#This Row],[Steps]]&gt;99,(F392+Table1[[#This Row],[Steps]])-100,F392+Table1[[#This Row],[Steps]]),
))</f>
        <v>70</v>
      </c>
      <c r="F393">
        <f>IF(Table1[[#This Row],[New Pos L]]&lt;&gt;0,Table1[[#This Row],[New Pos L]],Table1[[#This Row],[New Pos R]])</f>
        <v>70</v>
      </c>
    </row>
    <row r="394" spans="1:6" ht="16" x14ac:dyDescent="0.2">
      <c r="A394" s="1" t="s">
        <v>28</v>
      </c>
      <c r="B394" t="str">
        <f>LEFT(Table1[[#This Row],[Input]],1)</f>
        <v>R</v>
      </c>
      <c r="C394">
        <f>_xlfn.LET(_xlpm.steps,SUBSTITUTE(Table1[[#This Row],[Input]],Table1[[#This Row],[Direction]],""),VALUE(IF(LEN(_xlpm.steps)&gt;2,RIGHT(_xlpm.steps,2),_xlpm.steps)))</f>
        <v>30</v>
      </c>
      <c r="D394">
        <f>_xlfn.LET(_xlpm.dir,Table1[[#This Row],[Direction]],
IF(_xlpm.dir="L",
    IF(F393-Table1[[#This Row],[Steps]]&lt;0,100+(F393-Table1[[#This Row],[Steps]]),F393-Table1[[#This Row],[Steps]]),
))</f>
        <v>0</v>
      </c>
      <c r="E394">
        <f>_xlfn.LET(_xlpm.dir,Table1[[#This Row],[Direction]],
IF(_xlpm.dir="R",
    IF(F393+Table1[[#This Row],[Steps]]&gt;99,(F393+Table1[[#This Row],[Steps]])-100,F393+Table1[[#This Row],[Steps]]),
))</f>
        <v>0</v>
      </c>
      <c r="F394">
        <f>IF(Table1[[#This Row],[New Pos L]]&lt;&gt;0,Table1[[#This Row],[New Pos L]],Table1[[#This Row],[New Pos R]])</f>
        <v>0</v>
      </c>
    </row>
    <row r="395" spans="1:6" ht="16" x14ac:dyDescent="0.2">
      <c r="A395" s="1" t="s">
        <v>4</v>
      </c>
      <c r="B395" t="str">
        <f>LEFT(Table1[[#This Row],[Input]],1)</f>
        <v>R</v>
      </c>
      <c r="C395">
        <f>_xlfn.LET(_xlpm.steps,SUBSTITUTE(Table1[[#This Row],[Input]],Table1[[#This Row],[Direction]],""),VALUE(IF(LEN(_xlpm.steps)&gt;2,RIGHT(_xlpm.steps,2),_xlpm.steps)))</f>
        <v>3</v>
      </c>
      <c r="D395">
        <f>_xlfn.LET(_xlpm.dir,Table1[[#This Row],[Direction]],
IF(_xlpm.dir="L",
    IF(F394-Table1[[#This Row],[Steps]]&lt;0,100+(F394-Table1[[#This Row],[Steps]]),F394-Table1[[#This Row],[Steps]]),
))</f>
        <v>0</v>
      </c>
      <c r="E395">
        <f>_xlfn.LET(_xlpm.dir,Table1[[#This Row],[Direction]],
IF(_xlpm.dir="R",
    IF(F394+Table1[[#This Row],[Steps]]&gt;99,(F394+Table1[[#This Row],[Steps]])-100,F394+Table1[[#This Row],[Steps]]),
))</f>
        <v>3</v>
      </c>
      <c r="F395">
        <f>IF(Table1[[#This Row],[New Pos L]]&lt;&gt;0,Table1[[#This Row],[New Pos L]],Table1[[#This Row],[New Pos R]])</f>
        <v>3</v>
      </c>
    </row>
    <row r="396" spans="1:6" ht="16" x14ac:dyDescent="0.2">
      <c r="A396" s="1" t="s">
        <v>100</v>
      </c>
      <c r="B396" t="str">
        <f>LEFT(Table1[[#This Row],[Input]],1)</f>
        <v>R</v>
      </c>
      <c r="C396">
        <f>_xlfn.LET(_xlpm.steps,SUBSTITUTE(Table1[[#This Row],[Input]],Table1[[#This Row],[Direction]],""),VALUE(IF(LEN(_xlpm.steps)&gt;2,RIGHT(_xlpm.steps,2),_xlpm.steps)))</f>
        <v>58</v>
      </c>
      <c r="D396">
        <f>_xlfn.LET(_xlpm.dir,Table1[[#This Row],[Direction]],
IF(_xlpm.dir="L",
    IF(F395-Table1[[#This Row],[Steps]]&lt;0,100+(F395-Table1[[#This Row],[Steps]]),F395-Table1[[#This Row],[Steps]]),
))</f>
        <v>0</v>
      </c>
      <c r="E396">
        <f>_xlfn.LET(_xlpm.dir,Table1[[#This Row],[Direction]],
IF(_xlpm.dir="R",
    IF(F395+Table1[[#This Row],[Steps]]&gt;99,(F395+Table1[[#This Row],[Steps]])-100,F395+Table1[[#This Row],[Steps]]),
))</f>
        <v>61</v>
      </c>
      <c r="F396">
        <f>IF(Table1[[#This Row],[New Pos L]]&lt;&gt;0,Table1[[#This Row],[New Pos L]],Table1[[#This Row],[New Pos R]])</f>
        <v>61</v>
      </c>
    </row>
    <row r="397" spans="1:6" ht="16" x14ac:dyDescent="0.2">
      <c r="A397" s="1" t="s">
        <v>17</v>
      </c>
      <c r="B397" t="str">
        <f>LEFT(Table1[[#This Row],[Input]],1)</f>
        <v>L</v>
      </c>
      <c r="C397">
        <f>_xlfn.LET(_xlpm.steps,SUBSTITUTE(Table1[[#This Row],[Input]],Table1[[#This Row],[Direction]],""),VALUE(IF(LEN(_xlpm.steps)&gt;2,RIGHT(_xlpm.steps,2),_xlpm.steps)))</f>
        <v>50</v>
      </c>
      <c r="D397">
        <f>_xlfn.LET(_xlpm.dir,Table1[[#This Row],[Direction]],
IF(_xlpm.dir="L",
    IF(F396-Table1[[#This Row],[Steps]]&lt;0,100+(F396-Table1[[#This Row],[Steps]]),F396-Table1[[#This Row],[Steps]]),
))</f>
        <v>11</v>
      </c>
      <c r="E397">
        <f>_xlfn.LET(_xlpm.dir,Table1[[#This Row],[Direction]],
IF(_xlpm.dir="R",
    IF(F396+Table1[[#This Row],[Steps]]&gt;99,(F396+Table1[[#This Row],[Steps]])-100,F396+Table1[[#This Row],[Steps]]),
))</f>
        <v>0</v>
      </c>
      <c r="F397">
        <f>IF(Table1[[#This Row],[New Pos L]]&lt;&gt;0,Table1[[#This Row],[New Pos L]],Table1[[#This Row],[New Pos R]])</f>
        <v>11</v>
      </c>
    </row>
    <row r="398" spans="1:6" ht="16" x14ac:dyDescent="0.2">
      <c r="A398" s="1" t="s">
        <v>158</v>
      </c>
      <c r="B398" t="str">
        <f>LEFT(Table1[[#This Row],[Input]],1)</f>
        <v>L</v>
      </c>
      <c r="C398">
        <f>_xlfn.LET(_xlpm.steps,SUBSTITUTE(Table1[[#This Row],[Input]],Table1[[#This Row],[Direction]],""),VALUE(IF(LEN(_xlpm.steps)&gt;2,RIGHT(_xlpm.steps,2),_xlpm.steps)))</f>
        <v>24</v>
      </c>
      <c r="D398">
        <f>_xlfn.LET(_xlpm.dir,Table1[[#This Row],[Direction]],
IF(_xlpm.dir="L",
    IF(F397-Table1[[#This Row],[Steps]]&lt;0,100+(F397-Table1[[#This Row],[Steps]]),F397-Table1[[#This Row],[Steps]]),
))</f>
        <v>87</v>
      </c>
      <c r="E398">
        <f>_xlfn.LET(_xlpm.dir,Table1[[#This Row],[Direction]],
IF(_xlpm.dir="R",
    IF(F397+Table1[[#This Row],[Steps]]&gt;99,(F397+Table1[[#This Row],[Steps]])-100,F397+Table1[[#This Row],[Steps]]),
))</f>
        <v>0</v>
      </c>
      <c r="F398">
        <f>IF(Table1[[#This Row],[New Pos L]]&lt;&gt;0,Table1[[#This Row],[New Pos L]],Table1[[#This Row],[New Pos R]])</f>
        <v>87</v>
      </c>
    </row>
    <row r="399" spans="1:6" ht="16" x14ac:dyDescent="0.2">
      <c r="A399" s="1" t="s">
        <v>223</v>
      </c>
      <c r="B399" t="str">
        <f>LEFT(Table1[[#This Row],[Input]],1)</f>
        <v>L</v>
      </c>
      <c r="C399">
        <f>_xlfn.LET(_xlpm.steps,SUBSTITUTE(Table1[[#This Row],[Input]],Table1[[#This Row],[Direction]],""),VALUE(IF(LEN(_xlpm.steps)&gt;2,RIGHT(_xlpm.steps,2),_xlpm.steps)))</f>
        <v>87</v>
      </c>
      <c r="D399">
        <f>_xlfn.LET(_xlpm.dir,Table1[[#This Row],[Direction]],
IF(_xlpm.dir="L",
    IF(F398-Table1[[#This Row],[Steps]]&lt;0,100+(F398-Table1[[#This Row],[Steps]]),F398-Table1[[#This Row],[Steps]]),
))</f>
        <v>0</v>
      </c>
      <c r="E399">
        <f>_xlfn.LET(_xlpm.dir,Table1[[#This Row],[Direction]],
IF(_xlpm.dir="R",
    IF(F398+Table1[[#This Row],[Steps]]&gt;99,(F398+Table1[[#This Row],[Steps]])-100,F398+Table1[[#This Row],[Steps]]),
))</f>
        <v>0</v>
      </c>
      <c r="F399">
        <f>IF(Table1[[#This Row],[New Pos L]]&lt;&gt;0,Table1[[#This Row],[New Pos L]],Table1[[#This Row],[New Pos R]])</f>
        <v>0</v>
      </c>
    </row>
    <row r="400" spans="1:6" ht="16" x14ac:dyDescent="0.2">
      <c r="A400" s="1" t="s">
        <v>79</v>
      </c>
      <c r="B400" t="str">
        <f>LEFT(Table1[[#This Row],[Input]],1)</f>
        <v>L</v>
      </c>
      <c r="C400">
        <f>_xlfn.LET(_xlpm.steps,SUBSTITUTE(Table1[[#This Row],[Input]],Table1[[#This Row],[Direction]],""),VALUE(IF(LEN(_xlpm.steps)&gt;2,RIGHT(_xlpm.steps,2),_xlpm.steps)))</f>
        <v>45</v>
      </c>
      <c r="D400">
        <f>_xlfn.LET(_xlpm.dir,Table1[[#This Row],[Direction]],
IF(_xlpm.dir="L",
    IF(F399-Table1[[#This Row],[Steps]]&lt;0,100+(F399-Table1[[#This Row],[Steps]]),F399-Table1[[#This Row],[Steps]]),
))</f>
        <v>55</v>
      </c>
      <c r="E400">
        <f>_xlfn.LET(_xlpm.dir,Table1[[#This Row],[Direction]],
IF(_xlpm.dir="R",
    IF(F399+Table1[[#This Row],[Steps]]&gt;99,(F399+Table1[[#This Row],[Steps]])-100,F399+Table1[[#This Row],[Steps]]),
))</f>
        <v>0</v>
      </c>
      <c r="F400">
        <f>IF(Table1[[#This Row],[New Pos L]]&lt;&gt;0,Table1[[#This Row],[New Pos L]],Table1[[#This Row],[New Pos R]])</f>
        <v>55</v>
      </c>
    </row>
    <row r="401" spans="1:6" ht="16" x14ac:dyDescent="0.2">
      <c r="A401" s="1" t="s">
        <v>46</v>
      </c>
      <c r="B401" t="str">
        <f>LEFT(Table1[[#This Row],[Input]],1)</f>
        <v>L</v>
      </c>
      <c r="C401">
        <f>_xlfn.LET(_xlpm.steps,SUBSTITUTE(Table1[[#This Row],[Input]],Table1[[#This Row],[Direction]],""),VALUE(IF(LEN(_xlpm.steps)&gt;2,RIGHT(_xlpm.steps,2),_xlpm.steps)))</f>
        <v>97</v>
      </c>
      <c r="D401">
        <f>_xlfn.LET(_xlpm.dir,Table1[[#This Row],[Direction]],
IF(_xlpm.dir="L",
    IF(F400-Table1[[#This Row],[Steps]]&lt;0,100+(F400-Table1[[#This Row],[Steps]]),F400-Table1[[#This Row],[Steps]]),
))</f>
        <v>58</v>
      </c>
      <c r="E401">
        <f>_xlfn.LET(_xlpm.dir,Table1[[#This Row],[Direction]],
IF(_xlpm.dir="R",
    IF(F400+Table1[[#This Row],[Steps]]&gt;99,(F400+Table1[[#This Row],[Steps]])-100,F400+Table1[[#This Row],[Steps]]),
))</f>
        <v>0</v>
      </c>
      <c r="F401">
        <f>IF(Table1[[#This Row],[New Pos L]]&lt;&gt;0,Table1[[#This Row],[New Pos L]],Table1[[#This Row],[New Pos R]])</f>
        <v>58</v>
      </c>
    </row>
    <row r="402" spans="1:6" ht="16" x14ac:dyDescent="0.2">
      <c r="A402" s="1" t="s">
        <v>116</v>
      </c>
      <c r="B402" t="str">
        <f>LEFT(Table1[[#This Row],[Input]],1)</f>
        <v>L</v>
      </c>
      <c r="C402">
        <f>_xlfn.LET(_xlpm.steps,SUBSTITUTE(Table1[[#This Row],[Input]],Table1[[#This Row],[Direction]],""),VALUE(IF(LEN(_xlpm.steps)&gt;2,RIGHT(_xlpm.steps,2),_xlpm.steps)))</f>
        <v>58</v>
      </c>
      <c r="D402">
        <f>_xlfn.LET(_xlpm.dir,Table1[[#This Row],[Direction]],
IF(_xlpm.dir="L",
    IF(F401-Table1[[#This Row],[Steps]]&lt;0,100+(F401-Table1[[#This Row],[Steps]]),F401-Table1[[#This Row],[Steps]]),
))</f>
        <v>0</v>
      </c>
      <c r="E402">
        <f>_xlfn.LET(_xlpm.dir,Table1[[#This Row],[Direction]],
IF(_xlpm.dir="R",
    IF(F401+Table1[[#This Row],[Steps]]&gt;99,(F401+Table1[[#This Row],[Steps]])-100,F401+Table1[[#This Row],[Steps]]),
))</f>
        <v>0</v>
      </c>
      <c r="F402">
        <f>IF(Table1[[#This Row],[New Pos L]]&lt;&gt;0,Table1[[#This Row],[New Pos L]],Table1[[#This Row],[New Pos R]])</f>
        <v>0</v>
      </c>
    </row>
    <row r="403" spans="1:6" ht="16" x14ac:dyDescent="0.2">
      <c r="A403" s="1" t="s">
        <v>224</v>
      </c>
      <c r="B403" t="str">
        <f>LEFT(Table1[[#This Row],[Input]],1)</f>
        <v>L</v>
      </c>
      <c r="C403">
        <f>_xlfn.LET(_xlpm.steps,SUBSTITUTE(Table1[[#This Row],[Input]],Table1[[#This Row],[Direction]],""),VALUE(IF(LEN(_xlpm.steps)&gt;2,RIGHT(_xlpm.steps,2),_xlpm.steps)))</f>
        <v>58</v>
      </c>
      <c r="D403">
        <f>_xlfn.LET(_xlpm.dir,Table1[[#This Row],[Direction]],
IF(_xlpm.dir="L",
    IF(F402-Table1[[#This Row],[Steps]]&lt;0,100+(F402-Table1[[#This Row],[Steps]]),F402-Table1[[#This Row],[Steps]]),
))</f>
        <v>42</v>
      </c>
      <c r="E403">
        <f>_xlfn.LET(_xlpm.dir,Table1[[#This Row],[Direction]],
IF(_xlpm.dir="R",
    IF(F402+Table1[[#This Row],[Steps]]&gt;99,(F402+Table1[[#This Row],[Steps]])-100,F402+Table1[[#This Row],[Steps]]),
))</f>
        <v>0</v>
      </c>
      <c r="F403">
        <f>IF(Table1[[#This Row],[New Pos L]]&lt;&gt;0,Table1[[#This Row],[New Pos L]],Table1[[#This Row],[New Pos R]])</f>
        <v>42</v>
      </c>
    </row>
    <row r="404" spans="1:6" ht="16" x14ac:dyDescent="0.2">
      <c r="A404" s="1" t="s">
        <v>225</v>
      </c>
      <c r="B404" t="str">
        <f>LEFT(Table1[[#This Row],[Input]],1)</f>
        <v>R</v>
      </c>
      <c r="C404">
        <f>_xlfn.LET(_xlpm.steps,SUBSTITUTE(Table1[[#This Row],[Input]],Table1[[#This Row],[Direction]],""),VALUE(IF(LEN(_xlpm.steps)&gt;2,RIGHT(_xlpm.steps,2),_xlpm.steps)))</f>
        <v>37</v>
      </c>
      <c r="D404">
        <f>_xlfn.LET(_xlpm.dir,Table1[[#This Row],[Direction]],
IF(_xlpm.dir="L",
    IF(F403-Table1[[#This Row],[Steps]]&lt;0,100+(F403-Table1[[#This Row],[Steps]]),F403-Table1[[#This Row],[Steps]]),
))</f>
        <v>0</v>
      </c>
      <c r="E404">
        <f>_xlfn.LET(_xlpm.dir,Table1[[#This Row],[Direction]],
IF(_xlpm.dir="R",
    IF(F403+Table1[[#This Row],[Steps]]&gt;99,(F403+Table1[[#This Row],[Steps]])-100,F403+Table1[[#This Row],[Steps]]),
))</f>
        <v>79</v>
      </c>
      <c r="F404">
        <f>IF(Table1[[#This Row],[New Pos L]]&lt;&gt;0,Table1[[#This Row],[New Pos L]],Table1[[#This Row],[New Pos R]])</f>
        <v>79</v>
      </c>
    </row>
    <row r="405" spans="1:6" ht="16" x14ac:dyDescent="0.2">
      <c r="A405" s="1" t="s">
        <v>226</v>
      </c>
      <c r="B405" t="str">
        <f>LEFT(Table1[[#This Row],[Input]],1)</f>
        <v>L</v>
      </c>
      <c r="C405">
        <f>_xlfn.LET(_xlpm.steps,SUBSTITUTE(Table1[[#This Row],[Input]],Table1[[#This Row],[Direction]],""),VALUE(IF(LEN(_xlpm.steps)&gt;2,RIGHT(_xlpm.steps,2),_xlpm.steps)))</f>
        <v>31</v>
      </c>
      <c r="D405">
        <f>_xlfn.LET(_xlpm.dir,Table1[[#This Row],[Direction]],
IF(_xlpm.dir="L",
    IF(F404-Table1[[#This Row],[Steps]]&lt;0,100+(F404-Table1[[#This Row],[Steps]]),F404-Table1[[#This Row],[Steps]]),
))</f>
        <v>48</v>
      </c>
      <c r="E405">
        <f>_xlfn.LET(_xlpm.dir,Table1[[#This Row],[Direction]],
IF(_xlpm.dir="R",
    IF(F404+Table1[[#This Row],[Steps]]&gt;99,(F404+Table1[[#This Row],[Steps]])-100,F404+Table1[[#This Row],[Steps]]),
))</f>
        <v>0</v>
      </c>
      <c r="F405">
        <f>IF(Table1[[#This Row],[New Pos L]]&lt;&gt;0,Table1[[#This Row],[New Pos L]],Table1[[#This Row],[New Pos R]])</f>
        <v>48</v>
      </c>
    </row>
    <row r="406" spans="1:6" ht="16" x14ac:dyDescent="0.2">
      <c r="A406" s="1" t="s">
        <v>227</v>
      </c>
      <c r="B406" t="str">
        <f>LEFT(Table1[[#This Row],[Input]],1)</f>
        <v>L</v>
      </c>
      <c r="C406">
        <f>_xlfn.LET(_xlpm.steps,SUBSTITUTE(Table1[[#This Row],[Input]],Table1[[#This Row],[Direction]],""),VALUE(IF(LEN(_xlpm.steps)&gt;2,RIGHT(_xlpm.steps,2),_xlpm.steps)))</f>
        <v>48</v>
      </c>
      <c r="D406">
        <f>_xlfn.LET(_xlpm.dir,Table1[[#This Row],[Direction]],
IF(_xlpm.dir="L",
    IF(F405-Table1[[#This Row],[Steps]]&lt;0,100+(F405-Table1[[#This Row],[Steps]]),F405-Table1[[#This Row],[Steps]]),
))</f>
        <v>0</v>
      </c>
      <c r="E406">
        <f>_xlfn.LET(_xlpm.dir,Table1[[#This Row],[Direction]],
IF(_xlpm.dir="R",
    IF(F405+Table1[[#This Row],[Steps]]&gt;99,(F405+Table1[[#This Row],[Steps]])-100,F405+Table1[[#This Row],[Steps]]),
))</f>
        <v>0</v>
      </c>
      <c r="F406">
        <f>IF(Table1[[#This Row],[New Pos L]]&lt;&gt;0,Table1[[#This Row],[New Pos L]],Table1[[#This Row],[New Pos R]])</f>
        <v>0</v>
      </c>
    </row>
    <row r="407" spans="1:6" ht="16" x14ac:dyDescent="0.2">
      <c r="A407" s="1" t="s">
        <v>37</v>
      </c>
      <c r="B407" t="str">
        <f>LEFT(Table1[[#This Row],[Input]],1)</f>
        <v>L</v>
      </c>
      <c r="C407">
        <f>_xlfn.LET(_xlpm.steps,SUBSTITUTE(Table1[[#This Row],[Input]],Table1[[#This Row],[Direction]],""),VALUE(IF(LEN(_xlpm.steps)&gt;2,RIGHT(_xlpm.steps,2),_xlpm.steps)))</f>
        <v>42</v>
      </c>
      <c r="D407">
        <f>_xlfn.LET(_xlpm.dir,Table1[[#This Row],[Direction]],
IF(_xlpm.dir="L",
    IF(F406-Table1[[#This Row],[Steps]]&lt;0,100+(F406-Table1[[#This Row],[Steps]]),F406-Table1[[#This Row],[Steps]]),
))</f>
        <v>58</v>
      </c>
      <c r="E407">
        <f>_xlfn.LET(_xlpm.dir,Table1[[#This Row],[Direction]],
IF(_xlpm.dir="R",
    IF(F406+Table1[[#This Row],[Steps]]&gt;99,(F406+Table1[[#This Row],[Steps]])-100,F406+Table1[[#This Row],[Steps]]),
))</f>
        <v>0</v>
      </c>
      <c r="F407">
        <f>IF(Table1[[#This Row],[New Pos L]]&lt;&gt;0,Table1[[#This Row],[New Pos L]],Table1[[#This Row],[New Pos R]])</f>
        <v>58</v>
      </c>
    </row>
    <row r="408" spans="1:6" ht="16" x14ac:dyDescent="0.2">
      <c r="A408" s="1" t="s">
        <v>46</v>
      </c>
      <c r="B408" t="str">
        <f>LEFT(Table1[[#This Row],[Input]],1)</f>
        <v>L</v>
      </c>
      <c r="C408">
        <f>_xlfn.LET(_xlpm.steps,SUBSTITUTE(Table1[[#This Row],[Input]],Table1[[#This Row],[Direction]],""),VALUE(IF(LEN(_xlpm.steps)&gt;2,RIGHT(_xlpm.steps,2),_xlpm.steps)))</f>
        <v>97</v>
      </c>
      <c r="D408">
        <f>_xlfn.LET(_xlpm.dir,Table1[[#This Row],[Direction]],
IF(_xlpm.dir="L",
    IF(F407-Table1[[#This Row],[Steps]]&lt;0,100+(F407-Table1[[#This Row],[Steps]]),F407-Table1[[#This Row],[Steps]]),
))</f>
        <v>61</v>
      </c>
      <c r="E408">
        <f>_xlfn.LET(_xlpm.dir,Table1[[#This Row],[Direction]],
IF(_xlpm.dir="R",
    IF(F407+Table1[[#This Row],[Steps]]&gt;99,(F407+Table1[[#This Row],[Steps]])-100,F407+Table1[[#This Row],[Steps]]),
))</f>
        <v>0</v>
      </c>
      <c r="F408">
        <f>IF(Table1[[#This Row],[New Pos L]]&lt;&gt;0,Table1[[#This Row],[New Pos L]],Table1[[#This Row],[New Pos R]])</f>
        <v>61</v>
      </c>
    </row>
    <row r="409" spans="1:6" ht="16" x14ac:dyDescent="0.2">
      <c r="A409" s="1" t="s">
        <v>140</v>
      </c>
      <c r="B409" t="str">
        <f>LEFT(Table1[[#This Row],[Input]],1)</f>
        <v>L</v>
      </c>
      <c r="C409">
        <f>_xlfn.LET(_xlpm.steps,SUBSTITUTE(Table1[[#This Row],[Input]],Table1[[#This Row],[Direction]],""),VALUE(IF(LEN(_xlpm.steps)&gt;2,RIGHT(_xlpm.steps,2),_xlpm.steps)))</f>
        <v>61</v>
      </c>
      <c r="D409">
        <f>_xlfn.LET(_xlpm.dir,Table1[[#This Row],[Direction]],
IF(_xlpm.dir="L",
    IF(F408-Table1[[#This Row],[Steps]]&lt;0,100+(F408-Table1[[#This Row],[Steps]]),F408-Table1[[#This Row],[Steps]]),
))</f>
        <v>0</v>
      </c>
      <c r="E409">
        <f>_xlfn.LET(_xlpm.dir,Table1[[#This Row],[Direction]],
IF(_xlpm.dir="R",
    IF(F408+Table1[[#This Row],[Steps]]&gt;99,(F408+Table1[[#This Row],[Steps]])-100,F408+Table1[[#This Row],[Steps]]),
))</f>
        <v>0</v>
      </c>
      <c r="F409">
        <f>IF(Table1[[#This Row],[New Pos L]]&lt;&gt;0,Table1[[#This Row],[New Pos L]],Table1[[#This Row],[New Pos R]])</f>
        <v>0</v>
      </c>
    </row>
    <row r="410" spans="1:6" ht="16" x14ac:dyDescent="0.2">
      <c r="A410" s="1" t="s">
        <v>88</v>
      </c>
      <c r="B410" t="str">
        <f>LEFT(Table1[[#This Row],[Input]],1)</f>
        <v>R</v>
      </c>
      <c r="C410">
        <f>_xlfn.LET(_xlpm.steps,SUBSTITUTE(Table1[[#This Row],[Input]],Table1[[#This Row],[Direction]],""),VALUE(IF(LEN(_xlpm.steps)&gt;2,RIGHT(_xlpm.steps,2),_xlpm.steps)))</f>
        <v>53</v>
      </c>
      <c r="D410">
        <f>_xlfn.LET(_xlpm.dir,Table1[[#This Row],[Direction]],
IF(_xlpm.dir="L",
    IF(F409-Table1[[#This Row],[Steps]]&lt;0,100+(F409-Table1[[#This Row],[Steps]]),F409-Table1[[#This Row],[Steps]]),
))</f>
        <v>0</v>
      </c>
      <c r="E410">
        <f>_xlfn.LET(_xlpm.dir,Table1[[#This Row],[Direction]],
IF(_xlpm.dir="R",
    IF(F409+Table1[[#This Row],[Steps]]&gt;99,(F409+Table1[[#This Row],[Steps]])-100,F409+Table1[[#This Row],[Steps]]),
))</f>
        <v>53</v>
      </c>
      <c r="F410">
        <f>IF(Table1[[#This Row],[New Pos L]]&lt;&gt;0,Table1[[#This Row],[New Pos L]],Table1[[#This Row],[New Pos R]])</f>
        <v>53</v>
      </c>
    </row>
    <row r="411" spans="1:6" ht="16" x14ac:dyDescent="0.2">
      <c r="A411" s="1" t="s">
        <v>21</v>
      </c>
      <c r="B411" t="str">
        <f>LEFT(Table1[[#This Row],[Input]],1)</f>
        <v>L</v>
      </c>
      <c r="C411">
        <f>_xlfn.LET(_xlpm.steps,SUBSTITUTE(Table1[[#This Row],[Input]],Table1[[#This Row],[Direction]],""),VALUE(IF(LEN(_xlpm.steps)&gt;2,RIGHT(_xlpm.steps,2),_xlpm.steps)))</f>
        <v>36</v>
      </c>
      <c r="D411">
        <f>_xlfn.LET(_xlpm.dir,Table1[[#This Row],[Direction]],
IF(_xlpm.dir="L",
    IF(F410-Table1[[#This Row],[Steps]]&lt;0,100+(F410-Table1[[#This Row],[Steps]]),F410-Table1[[#This Row],[Steps]]),
))</f>
        <v>17</v>
      </c>
      <c r="E411">
        <f>_xlfn.LET(_xlpm.dir,Table1[[#This Row],[Direction]],
IF(_xlpm.dir="R",
    IF(F410+Table1[[#This Row],[Steps]]&gt;99,(F410+Table1[[#This Row],[Steps]])-100,F410+Table1[[#This Row],[Steps]]),
))</f>
        <v>0</v>
      </c>
      <c r="F411">
        <f>IF(Table1[[#This Row],[New Pos L]]&lt;&gt;0,Table1[[#This Row],[New Pos L]],Table1[[#This Row],[New Pos R]])</f>
        <v>17</v>
      </c>
    </row>
    <row r="412" spans="1:6" ht="16" x14ac:dyDescent="0.2">
      <c r="A412" s="1" t="s">
        <v>84</v>
      </c>
      <c r="B412" t="str">
        <f>LEFT(Table1[[#This Row],[Input]],1)</f>
        <v>R</v>
      </c>
      <c r="C412">
        <f>_xlfn.LET(_xlpm.steps,SUBSTITUTE(Table1[[#This Row],[Input]],Table1[[#This Row],[Direction]],""),VALUE(IF(LEN(_xlpm.steps)&gt;2,RIGHT(_xlpm.steps,2),_xlpm.steps)))</f>
        <v>88</v>
      </c>
      <c r="D412">
        <f>_xlfn.LET(_xlpm.dir,Table1[[#This Row],[Direction]],
IF(_xlpm.dir="L",
    IF(F411-Table1[[#This Row],[Steps]]&lt;0,100+(F411-Table1[[#This Row],[Steps]]),F411-Table1[[#This Row],[Steps]]),
))</f>
        <v>0</v>
      </c>
      <c r="E412">
        <f>_xlfn.LET(_xlpm.dir,Table1[[#This Row],[Direction]],
IF(_xlpm.dir="R",
    IF(F411+Table1[[#This Row],[Steps]]&gt;99,(F411+Table1[[#This Row],[Steps]])-100,F411+Table1[[#This Row],[Steps]]),
))</f>
        <v>5</v>
      </c>
      <c r="F412">
        <f>IF(Table1[[#This Row],[New Pos L]]&lt;&gt;0,Table1[[#This Row],[New Pos L]],Table1[[#This Row],[New Pos R]])</f>
        <v>5</v>
      </c>
    </row>
    <row r="413" spans="1:6" ht="16" x14ac:dyDescent="0.2">
      <c r="A413" s="1" t="s">
        <v>36</v>
      </c>
      <c r="B413" t="str">
        <f>LEFT(Table1[[#This Row],[Input]],1)</f>
        <v>R</v>
      </c>
      <c r="C413">
        <f>_xlfn.LET(_xlpm.steps,SUBSTITUTE(Table1[[#This Row],[Input]],Table1[[#This Row],[Direction]],""),VALUE(IF(LEN(_xlpm.steps)&gt;2,RIGHT(_xlpm.steps,2),_xlpm.steps)))</f>
        <v>50</v>
      </c>
      <c r="D413">
        <f>_xlfn.LET(_xlpm.dir,Table1[[#This Row],[Direction]],
IF(_xlpm.dir="L",
    IF(F412-Table1[[#This Row],[Steps]]&lt;0,100+(F412-Table1[[#This Row],[Steps]]),F412-Table1[[#This Row],[Steps]]),
))</f>
        <v>0</v>
      </c>
      <c r="E413">
        <f>_xlfn.LET(_xlpm.dir,Table1[[#This Row],[Direction]],
IF(_xlpm.dir="R",
    IF(F412+Table1[[#This Row],[Steps]]&gt;99,(F412+Table1[[#This Row],[Steps]])-100,F412+Table1[[#This Row],[Steps]]),
))</f>
        <v>55</v>
      </c>
      <c r="F413">
        <f>IF(Table1[[#This Row],[New Pos L]]&lt;&gt;0,Table1[[#This Row],[New Pos L]],Table1[[#This Row],[New Pos R]])</f>
        <v>55</v>
      </c>
    </row>
    <row r="414" spans="1:6" ht="16" x14ac:dyDescent="0.2">
      <c r="A414" s="1" t="s">
        <v>66</v>
      </c>
      <c r="B414" t="str">
        <f>LEFT(Table1[[#This Row],[Input]],1)</f>
        <v>R</v>
      </c>
      <c r="C414">
        <f>_xlfn.LET(_xlpm.steps,SUBSTITUTE(Table1[[#This Row],[Input]],Table1[[#This Row],[Direction]],""),VALUE(IF(LEN(_xlpm.steps)&gt;2,RIGHT(_xlpm.steps,2),_xlpm.steps)))</f>
        <v>45</v>
      </c>
      <c r="D414">
        <f>_xlfn.LET(_xlpm.dir,Table1[[#This Row],[Direction]],
IF(_xlpm.dir="L",
    IF(F413-Table1[[#This Row],[Steps]]&lt;0,100+(F413-Table1[[#This Row],[Steps]]),F413-Table1[[#This Row],[Steps]]),
))</f>
        <v>0</v>
      </c>
      <c r="E414">
        <f>_xlfn.LET(_xlpm.dir,Table1[[#This Row],[Direction]],
IF(_xlpm.dir="R",
    IF(F413+Table1[[#This Row],[Steps]]&gt;99,(F413+Table1[[#This Row],[Steps]])-100,F413+Table1[[#This Row],[Steps]]),
))</f>
        <v>0</v>
      </c>
      <c r="F414">
        <f>IF(Table1[[#This Row],[New Pos L]]&lt;&gt;0,Table1[[#This Row],[New Pos L]],Table1[[#This Row],[New Pos R]])</f>
        <v>0</v>
      </c>
    </row>
    <row r="415" spans="1:6" ht="16" x14ac:dyDescent="0.2">
      <c r="A415" s="1" t="s">
        <v>212</v>
      </c>
      <c r="B415" t="str">
        <f>LEFT(Table1[[#This Row],[Input]],1)</f>
        <v>R</v>
      </c>
      <c r="C415">
        <f>_xlfn.LET(_xlpm.steps,SUBSTITUTE(Table1[[#This Row],[Input]],Table1[[#This Row],[Direction]],""),VALUE(IF(LEN(_xlpm.steps)&gt;2,RIGHT(_xlpm.steps,2),_xlpm.steps)))</f>
        <v>77</v>
      </c>
      <c r="D415">
        <f>_xlfn.LET(_xlpm.dir,Table1[[#This Row],[Direction]],
IF(_xlpm.dir="L",
    IF(F414-Table1[[#This Row],[Steps]]&lt;0,100+(F414-Table1[[#This Row],[Steps]]),F414-Table1[[#This Row],[Steps]]),
))</f>
        <v>0</v>
      </c>
      <c r="E415">
        <f>_xlfn.LET(_xlpm.dir,Table1[[#This Row],[Direction]],
IF(_xlpm.dir="R",
    IF(F414+Table1[[#This Row],[Steps]]&gt;99,(F414+Table1[[#This Row],[Steps]])-100,F414+Table1[[#This Row],[Steps]]),
))</f>
        <v>77</v>
      </c>
      <c r="F415">
        <f>IF(Table1[[#This Row],[New Pos L]]&lt;&gt;0,Table1[[#This Row],[New Pos L]],Table1[[#This Row],[New Pos R]])</f>
        <v>77</v>
      </c>
    </row>
    <row r="416" spans="1:6" ht="16" x14ac:dyDescent="0.2">
      <c r="A416" s="1" t="s">
        <v>119</v>
      </c>
      <c r="B416" t="str">
        <f>LEFT(Table1[[#This Row],[Input]],1)</f>
        <v>L</v>
      </c>
      <c r="C416">
        <f>_xlfn.LET(_xlpm.steps,SUBSTITUTE(Table1[[#This Row],[Input]],Table1[[#This Row],[Direction]],""),VALUE(IF(LEN(_xlpm.steps)&gt;2,RIGHT(_xlpm.steps,2),_xlpm.steps)))</f>
        <v>77</v>
      </c>
      <c r="D416">
        <f>_xlfn.LET(_xlpm.dir,Table1[[#This Row],[Direction]],
IF(_xlpm.dir="L",
    IF(F415-Table1[[#This Row],[Steps]]&lt;0,100+(F415-Table1[[#This Row],[Steps]]),F415-Table1[[#This Row],[Steps]]),
))</f>
        <v>0</v>
      </c>
      <c r="E416">
        <f>_xlfn.LET(_xlpm.dir,Table1[[#This Row],[Direction]],
IF(_xlpm.dir="R",
    IF(F415+Table1[[#This Row],[Steps]]&gt;99,(F415+Table1[[#This Row],[Steps]])-100,F415+Table1[[#This Row],[Steps]]),
))</f>
        <v>0</v>
      </c>
      <c r="F416">
        <f>IF(Table1[[#This Row],[New Pos L]]&lt;&gt;0,Table1[[#This Row],[New Pos L]],Table1[[#This Row],[New Pos R]])</f>
        <v>0</v>
      </c>
    </row>
    <row r="417" spans="1:6" ht="16" x14ac:dyDescent="0.2">
      <c r="A417" s="1" t="s">
        <v>45</v>
      </c>
      <c r="B417" t="str">
        <f>LEFT(Table1[[#This Row],[Input]],1)</f>
        <v>L</v>
      </c>
      <c r="C417">
        <f>_xlfn.LET(_xlpm.steps,SUBSTITUTE(Table1[[#This Row],[Input]],Table1[[#This Row],[Direction]],""),VALUE(IF(LEN(_xlpm.steps)&gt;2,RIGHT(_xlpm.steps,2),_xlpm.steps)))</f>
        <v>96</v>
      </c>
      <c r="D417">
        <f>_xlfn.LET(_xlpm.dir,Table1[[#This Row],[Direction]],
IF(_xlpm.dir="L",
    IF(F416-Table1[[#This Row],[Steps]]&lt;0,100+(F416-Table1[[#This Row],[Steps]]),F416-Table1[[#This Row],[Steps]]),
))</f>
        <v>4</v>
      </c>
      <c r="E417">
        <f>_xlfn.LET(_xlpm.dir,Table1[[#This Row],[Direction]],
IF(_xlpm.dir="R",
    IF(F416+Table1[[#This Row],[Steps]]&gt;99,(F416+Table1[[#This Row],[Steps]])-100,F416+Table1[[#This Row],[Steps]]),
))</f>
        <v>0</v>
      </c>
      <c r="F417">
        <f>IF(Table1[[#This Row],[New Pos L]]&lt;&gt;0,Table1[[#This Row],[New Pos L]],Table1[[#This Row],[New Pos R]])</f>
        <v>4</v>
      </c>
    </row>
    <row r="418" spans="1:6" ht="16" x14ac:dyDescent="0.2">
      <c r="A418" s="1" t="s">
        <v>14</v>
      </c>
      <c r="B418" t="str">
        <f>LEFT(Table1[[#This Row],[Input]],1)</f>
        <v>L</v>
      </c>
      <c r="C418">
        <f>_xlfn.LET(_xlpm.steps,SUBSTITUTE(Table1[[#This Row],[Input]],Table1[[#This Row],[Direction]],""),VALUE(IF(LEN(_xlpm.steps)&gt;2,RIGHT(_xlpm.steps,2),_xlpm.steps)))</f>
        <v>43</v>
      </c>
      <c r="D418">
        <f>_xlfn.LET(_xlpm.dir,Table1[[#This Row],[Direction]],
IF(_xlpm.dir="L",
    IF(F417-Table1[[#This Row],[Steps]]&lt;0,100+(F417-Table1[[#This Row],[Steps]]),F417-Table1[[#This Row],[Steps]]),
))</f>
        <v>61</v>
      </c>
      <c r="E418">
        <f>_xlfn.LET(_xlpm.dir,Table1[[#This Row],[Direction]],
IF(_xlpm.dir="R",
    IF(F417+Table1[[#This Row],[Steps]]&gt;99,(F417+Table1[[#This Row],[Steps]])-100,F417+Table1[[#This Row],[Steps]]),
))</f>
        <v>0</v>
      </c>
      <c r="F418">
        <f>IF(Table1[[#This Row],[New Pos L]]&lt;&gt;0,Table1[[#This Row],[New Pos L]],Table1[[#This Row],[New Pos R]])</f>
        <v>61</v>
      </c>
    </row>
    <row r="419" spans="1:6" ht="16" x14ac:dyDescent="0.2">
      <c r="A419" s="1" t="s">
        <v>228</v>
      </c>
      <c r="B419" t="str">
        <f>LEFT(Table1[[#This Row],[Input]],1)</f>
        <v>R</v>
      </c>
      <c r="C419">
        <f>_xlfn.LET(_xlpm.steps,SUBSTITUTE(Table1[[#This Row],[Input]],Table1[[#This Row],[Direction]],""),VALUE(IF(LEN(_xlpm.steps)&gt;2,RIGHT(_xlpm.steps,2),_xlpm.steps)))</f>
        <v>16</v>
      </c>
      <c r="D419">
        <f>_xlfn.LET(_xlpm.dir,Table1[[#This Row],[Direction]],
IF(_xlpm.dir="L",
    IF(F418-Table1[[#This Row],[Steps]]&lt;0,100+(F418-Table1[[#This Row],[Steps]]),F418-Table1[[#This Row],[Steps]]),
))</f>
        <v>0</v>
      </c>
      <c r="E419">
        <f>_xlfn.LET(_xlpm.dir,Table1[[#This Row],[Direction]],
IF(_xlpm.dir="R",
    IF(F418+Table1[[#This Row],[Steps]]&gt;99,(F418+Table1[[#This Row],[Steps]])-100,F418+Table1[[#This Row],[Steps]]),
))</f>
        <v>77</v>
      </c>
      <c r="F419">
        <f>IF(Table1[[#This Row],[New Pos L]]&lt;&gt;0,Table1[[#This Row],[New Pos L]],Table1[[#This Row],[New Pos R]])</f>
        <v>77</v>
      </c>
    </row>
    <row r="420" spans="1:6" ht="16" x14ac:dyDescent="0.2">
      <c r="A420" s="1" t="s">
        <v>145</v>
      </c>
      <c r="B420" t="str">
        <f>LEFT(Table1[[#This Row],[Input]],1)</f>
        <v>L</v>
      </c>
      <c r="C420">
        <f>_xlfn.LET(_xlpm.steps,SUBSTITUTE(Table1[[#This Row],[Input]],Table1[[#This Row],[Direction]],""),VALUE(IF(LEN(_xlpm.steps)&gt;2,RIGHT(_xlpm.steps,2),_xlpm.steps)))</f>
        <v>83</v>
      </c>
      <c r="D420">
        <f>_xlfn.LET(_xlpm.dir,Table1[[#This Row],[Direction]],
IF(_xlpm.dir="L",
    IF(F419-Table1[[#This Row],[Steps]]&lt;0,100+(F419-Table1[[#This Row],[Steps]]),F419-Table1[[#This Row],[Steps]]),
))</f>
        <v>94</v>
      </c>
      <c r="E420">
        <f>_xlfn.LET(_xlpm.dir,Table1[[#This Row],[Direction]],
IF(_xlpm.dir="R",
    IF(F419+Table1[[#This Row],[Steps]]&gt;99,(F419+Table1[[#This Row],[Steps]])-100,F419+Table1[[#This Row],[Steps]]),
))</f>
        <v>0</v>
      </c>
      <c r="F420">
        <f>IF(Table1[[#This Row],[New Pos L]]&lt;&gt;0,Table1[[#This Row],[New Pos L]],Table1[[#This Row],[New Pos R]])</f>
        <v>94</v>
      </c>
    </row>
    <row r="421" spans="1:6" ht="16" x14ac:dyDescent="0.2">
      <c r="A421" s="1" t="s">
        <v>29</v>
      </c>
      <c r="B421" t="str">
        <f>LEFT(Table1[[#This Row],[Input]],1)</f>
        <v>L</v>
      </c>
      <c r="C421">
        <f>_xlfn.LET(_xlpm.steps,SUBSTITUTE(Table1[[#This Row],[Input]],Table1[[#This Row],[Direction]],""),VALUE(IF(LEN(_xlpm.steps)&gt;2,RIGHT(_xlpm.steps,2),_xlpm.steps)))</f>
        <v>33</v>
      </c>
      <c r="D421">
        <f>_xlfn.LET(_xlpm.dir,Table1[[#This Row],[Direction]],
IF(_xlpm.dir="L",
    IF(F420-Table1[[#This Row],[Steps]]&lt;0,100+(F420-Table1[[#This Row],[Steps]]),F420-Table1[[#This Row],[Steps]]),
))</f>
        <v>61</v>
      </c>
      <c r="E421">
        <f>_xlfn.LET(_xlpm.dir,Table1[[#This Row],[Direction]],
IF(_xlpm.dir="R",
    IF(F420+Table1[[#This Row],[Steps]]&gt;99,(F420+Table1[[#This Row],[Steps]])-100,F420+Table1[[#This Row],[Steps]]),
))</f>
        <v>0</v>
      </c>
      <c r="F421">
        <f>IF(Table1[[#This Row],[New Pos L]]&lt;&gt;0,Table1[[#This Row],[New Pos L]],Table1[[#This Row],[New Pos R]])</f>
        <v>61</v>
      </c>
    </row>
    <row r="422" spans="1:6" ht="16" x14ac:dyDescent="0.2">
      <c r="A422" s="1" t="s">
        <v>223</v>
      </c>
      <c r="B422" t="str">
        <f>LEFT(Table1[[#This Row],[Input]],1)</f>
        <v>L</v>
      </c>
      <c r="C422">
        <f>_xlfn.LET(_xlpm.steps,SUBSTITUTE(Table1[[#This Row],[Input]],Table1[[#This Row],[Direction]],""),VALUE(IF(LEN(_xlpm.steps)&gt;2,RIGHT(_xlpm.steps,2),_xlpm.steps)))</f>
        <v>87</v>
      </c>
      <c r="D422">
        <f>_xlfn.LET(_xlpm.dir,Table1[[#This Row],[Direction]],
IF(_xlpm.dir="L",
    IF(F421-Table1[[#This Row],[Steps]]&lt;0,100+(F421-Table1[[#This Row],[Steps]]),F421-Table1[[#This Row],[Steps]]),
))</f>
        <v>74</v>
      </c>
      <c r="E422">
        <f>_xlfn.LET(_xlpm.dir,Table1[[#This Row],[Direction]],
IF(_xlpm.dir="R",
    IF(F421+Table1[[#This Row],[Steps]]&gt;99,(F421+Table1[[#This Row],[Steps]])-100,F421+Table1[[#This Row],[Steps]]),
))</f>
        <v>0</v>
      </c>
      <c r="F422">
        <f>IF(Table1[[#This Row],[New Pos L]]&lt;&gt;0,Table1[[#This Row],[New Pos L]],Table1[[#This Row],[New Pos R]])</f>
        <v>74</v>
      </c>
    </row>
    <row r="423" spans="1:6" ht="16" x14ac:dyDescent="0.2">
      <c r="A423" s="1" t="s">
        <v>1</v>
      </c>
      <c r="B423" t="str">
        <f>LEFT(Table1[[#This Row],[Input]],1)</f>
        <v>R</v>
      </c>
      <c r="C423">
        <f>_xlfn.LET(_xlpm.steps,SUBSTITUTE(Table1[[#This Row],[Input]],Table1[[#This Row],[Direction]],""),VALUE(IF(LEN(_xlpm.steps)&gt;2,RIGHT(_xlpm.steps,2),_xlpm.steps)))</f>
        <v>26</v>
      </c>
      <c r="D423">
        <f>_xlfn.LET(_xlpm.dir,Table1[[#This Row],[Direction]],
IF(_xlpm.dir="L",
    IF(F422-Table1[[#This Row],[Steps]]&lt;0,100+(F422-Table1[[#This Row],[Steps]]),F422-Table1[[#This Row],[Steps]]),
))</f>
        <v>0</v>
      </c>
      <c r="E423">
        <f>_xlfn.LET(_xlpm.dir,Table1[[#This Row],[Direction]],
IF(_xlpm.dir="R",
    IF(F422+Table1[[#This Row],[Steps]]&gt;99,(F422+Table1[[#This Row],[Steps]])-100,F422+Table1[[#This Row],[Steps]]),
))</f>
        <v>0</v>
      </c>
      <c r="F423">
        <f>IF(Table1[[#This Row],[New Pos L]]&lt;&gt;0,Table1[[#This Row],[New Pos L]],Table1[[#This Row],[New Pos R]])</f>
        <v>0</v>
      </c>
    </row>
    <row r="424" spans="1:6" ht="16" x14ac:dyDescent="0.2">
      <c r="A424" s="1" t="s">
        <v>27</v>
      </c>
      <c r="B424" t="str">
        <f>LEFT(Table1[[#This Row],[Input]],1)</f>
        <v>L</v>
      </c>
      <c r="C424">
        <f>_xlfn.LET(_xlpm.steps,SUBSTITUTE(Table1[[#This Row],[Input]],Table1[[#This Row],[Direction]],""),VALUE(IF(LEN(_xlpm.steps)&gt;2,RIGHT(_xlpm.steps,2),_xlpm.steps)))</f>
        <v>14</v>
      </c>
      <c r="D424">
        <f>_xlfn.LET(_xlpm.dir,Table1[[#This Row],[Direction]],
IF(_xlpm.dir="L",
    IF(F423-Table1[[#This Row],[Steps]]&lt;0,100+(F423-Table1[[#This Row],[Steps]]),F423-Table1[[#This Row],[Steps]]),
))</f>
        <v>86</v>
      </c>
      <c r="E424">
        <f>_xlfn.LET(_xlpm.dir,Table1[[#This Row],[Direction]],
IF(_xlpm.dir="R",
    IF(F423+Table1[[#This Row],[Steps]]&gt;99,(F423+Table1[[#This Row],[Steps]])-100,F423+Table1[[#This Row],[Steps]]),
))</f>
        <v>0</v>
      </c>
      <c r="F424">
        <f>IF(Table1[[#This Row],[New Pos L]]&lt;&gt;0,Table1[[#This Row],[New Pos L]],Table1[[#This Row],[New Pos R]])</f>
        <v>86</v>
      </c>
    </row>
    <row r="425" spans="1:6" ht="16" x14ac:dyDescent="0.2">
      <c r="A425" s="1" t="s">
        <v>155</v>
      </c>
      <c r="B425" t="str">
        <f>LEFT(Table1[[#This Row],[Input]],1)</f>
        <v>L</v>
      </c>
      <c r="C425">
        <f>_xlfn.LET(_xlpm.steps,SUBSTITUTE(Table1[[#This Row],[Input]],Table1[[#This Row],[Direction]],""),VALUE(IF(LEN(_xlpm.steps)&gt;2,RIGHT(_xlpm.steps,2),_xlpm.steps)))</f>
        <v>18</v>
      </c>
      <c r="D425">
        <f>_xlfn.LET(_xlpm.dir,Table1[[#This Row],[Direction]],
IF(_xlpm.dir="L",
    IF(F424-Table1[[#This Row],[Steps]]&lt;0,100+(F424-Table1[[#This Row],[Steps]]),F424-Table1[[#This Row],[Steps]]),
))</f>
        <v>68</v>
      </c>
      <c r="E425">
        <f>_xlfn.LET(_xlpm.dir,Table1[[#This Row],[Direction]],
IF(_xlpm.dir="R",
    IF(F424+Table1[[#This Row],[Steps]]&gt;99,(F424+Table1[[#This Row],[Steps]])-100,F424+Table1[[#This Row],[Steps]]),
))</f>
        <v>0</v>
      </c>
      <c r="F425">
        <f>IF(Table1[[#This Row],[New Pos L]]&lt;&gt;0,Table1[[#This Row],[New Pos L]],Table1[[#This Row],[New Pos R]])</f>
        <v>68</v>
      </c>
    </row>
    <row r="426" spans="1:6" ht="16" x14ac:dyDescent="0.2">
      <c r="A426" s="1" t="s">
        <v>38</v>
      </c>
      <c r="B426" t="str">
        <f>LEFT(Table1[[#This Row],[Input]],1)</f>
        <v>R</v>
      </c>
      <c r="C426">
        <f>_xlfn.LET(_xlpm.steps,SUBSTITUTE(Table1[[#This Row],[Input]],Table1[[#This Row],[Direction]],""),VALUE(IF(LEN(_xlpm.steps)&gt;2,RIGHT(_xlpm.steps,2),_xlpm.steps)))</f>
        <v>15</v>
      </c>
      <c r="D426">
        <f>_xlfn.LET(_xlpm.dir,Table1[[#This Row],[Direction]],
IF(_xlpm.dir="L",
    IF(F425-Table1[[#This Row],[Steps]]&lt;0,100+(F425-Table1[[#This Row],[Steps]]),F425-Table1[[#This Row],[Steps]]),
))</f>
        <v>0</v>
      </c>
      <c r="E426">
        <f>_xlfn.LET(_xlpm.dir,Table1[[#This Row],[Direction]],
IF(_xlpm.dir="R",
    IF(F425+Table1[[#This Row],[Steps]]&gt;99,(F425+Table1[[#This Row],[Steps]])-100,F425+Table1[[#This Row],[Steps]]),
))</f>
        <v>83</v>
      </c>
      <c r="F426">
        <f>IF(Table1[[#This Row],[New Pos L]]&lt;&gt;0,Table1[[#This Row],[New Pos L]],Table1[[#This Row],[New Pos R]])</f>
        <v>83</v>
      </c>
    </row>
    <row r="427" spans="1:6" ht="16" x14ac:dyDescent="0.2">
      <c r="A427" s="1" t="s">
        <v>145</v>
      </c>
      <c r="B427" t="str">
        <f>LEFT(Table1[[#This Row],[Input]],1)</f>
        <v>L</v>
      </c>
      <c r="C427">
        <f>_xlfn.LET(_xlpm.steps,SUBSTITUTE(Table1[[#This Row],[Input]],Table1[[#This Row],[Direction]],""),VALUE(IF(LEN(_xlpm.steps)&gt;2,RIGHT(_xlpm.steps,2),_xlpm.steps)))</f>
        <v>83</v>
      </c>
      <c r="D427">
        <f>_xlfn.LET(_xlpm.dir,Table1[[#This Row],[Direction]],
IF(_xlpm.dir="L",
    IF(F426-Table1[[#This Row],[Steps]]&lt;0,100+(F426-Table1[[#This Row],[Steps]]),F426-Table1[[#This Row],[Steps]]),
))</f>
        <v>0</v>
      </c>
      <c r="E427">
        <f>_xlfn.LET(_xlpm.dir,Table1[[#This Row],[Direction]],
IF(_xlpm.dir="R",
    IF(F426+Table1[[#This Row],[Steps]]&gt;99,(F426+Table1[[#This Row],[Steps]])-100,F426+Table1[[#This Row],[Steps]]),
))</f>
        <v>0</v>
      </c>
      <c r="F427">
        <f>IF(Table1[[#This Row],[New Pos L]]&lt;&gt;0,Table1[[#This Row],[New Pos L]],Table1[[#This Row],[New Pos R]])</f>
        <v>0</v>
      </c>
    </row>
    <row r="428" spans="1:6" ht="16" x14ac:dyDescent="0.2">
      <c r="A428" s="1" t="s">
        <v>3</v>
      </c>
      <c r="B428" t="str">
        <f>LEFT(Table1[[#This Row],[Input]],1)</f>
        <v>R</v>
      </c>
      <c r="C428">
        <f>_xlfn.LET(_xlpm.steps,SUBSTITUTE(Table1[[#This Row],[Input]],Table1[[#This Row],[Direction]],""),VALUE(IF(LEN(_xlpm.steps)&gt;2,RIGHT(_xlpm.steps,2),_xlpm.steps)))</f>
        <v>44</v>
      </c>
      <c r="D428">
        <f>_xlfn.LET(_xlpm.dir,Table1[[#This Row],[Direction]],
IF(_xlpm.dir="L",
    IF(F427-Table1[[#This Row],[Steps]]&lt;0,100+(F427-Table1[[#This Row],[Steps]]),F427-Table1[[#This Row],[Steps]]),
))</f>
        <v>0</v>
      </c>
      <c r="E428">
        <f>_xlfn.LET(_xlpm.dir,Table1[[#This Row],[Direction]],
IF(_xlpm.dir="R",
    IF(F427+Table1[[#This Row],[Steps]]&gt;99,(F427+Table1[[#This Row],[Steps]])-100,F427+Table1[[#This Row],[Steps]]),
))</f>
        <v>44</v>
      </c>
      <c r="F428">
        <f>IF(Table1[[#This Row],[New Pos L]]&lt;&gt;0,Table1[[#This Row],[New Pos L]],Table1[[#This Row],[New Pos R]])</f>
        <v>44</v>
      </c>
    </row>
    <row r="429" spans="1:6" ht="16" x14ac:dyDescent="0.2">
      <c r="A429" s="1" t="s">
        <v>81</v>
      </c>
      <c r="B429" t="str">
        <f>LEFT(Table1[[#This Row],[Input]],1)</f>
        <v>R</v>
      </c>
      <c r="C429">
        <f>_xlfn.LET(_xlpm.steps,SUBSTITUTE(Table1[[#This Row],[Input]],Table1[[#This Row],[Direction]],""),VALUE(IF(LEN(_xlpm.steps)&gt;2,RIGHT(_xlpm.steps,2),_xlpm.steps)))</f>
        <v>17</v>
      </c>
      <c r="D429">
        <f>_xlfn.LET(_xlpm.dir,Table1[[#This Row],[Direction]],
IF(_xlpm.dir="L",
    IF(F428-Table1[[#This Row],[Steps]]&lt;0,100+(F428-Table1[[#This Row],[Steps]]),F428-Table1[[#This Row],[Steps]]),
))</f>
        <v>0</v>
      </c>
      <c r="E429">
        <f>_xlfn.LET(_xlpm.dir,Table1[[#This Row],[Direction]],
IF(_xlpm.dir="R",
    IF(F428+Table1[[#This Row],[Steps]]&gt;99,(F428+Table1[[#This Row],[Steps]])-100,F428+Table1[[#This Row],[Steps]]),
))</f>
        <v>61</v>
      </c>
      <c r="F429">
        <f>IF(Table1[[#This Row],[New Pos L]]&lt;&gt;0,Table1[[#This Row],[New Pos L]],Table1[[#This Row],[New Pos R]])</f>
        <v>61</v>
      </c>
    </row>
    <row r="430" spans="1:6" ht="16" x14ac:dyDescent="0.2">
      <c r="A430" s="1" t="s">
        <v>12</v>
      </c>
      <c r="B430" t="str">
        <f>LEFT(Table1[[#This Row],[Input]],1)</f>
        <v>L</v>
      </c>
      <c r="C430">
        <f>_xlfn.LET(_xlpm.steps,SUBSTITUTE(Table1[[#This Row],[Input]],Table1[[#This Row],[Direction]],""),VALUE(IF(LEN(_xlpm.steps)&gt;2,RIGHT(_xlpm.steps,2),_xlpm.steps)))</f>
        <v>11</v>
      </c>
      <c r="D430">
        <f>_xlfn.LET(_xlpm.dir,Table1[[#This Row],[Direction]],
IF(_xlpm.dir="L",
    IF(F429-Table1[[#This Row],[Steps]]&lt;0,100+(F429-Table1[[#This Row],[Steps]]),F429-Table1[[#This Row],[Steps]]),
))</f>
        <v>50</v>
      </c>
      <c r="E430">
        <f>_xlfn.LET(_xlpm.dir,Table1[[#This Row],[Direction]],
IF(_xlpm.dir="R",
    IF(F429+Table1[[#This Row],[Steps]]&gt;99,(F429+Table1[[#This Row],[Steps]])-100,F429+Table1[[#This Row],[Steps]]),
))</f>
        <v>0</v>
      </c>
      <c r="F430">
        <f>IF(Table1[[#This Row],[New Pos L]]&lt;&gt;0,Table1[[#This Row],[New Pos L]],Table1[[#This Row],[New Pos R]])</f>
        <v>50</v>
      </c>
    </row>
    <row r="431" spans="1:6" ht="16" x14ac:dyDescent="0.2">
      <c r="A431" s="1" t="s">
        <v>14</v>
      </c>
      <c r="B431" t="str">
        <f>LEFT(Table1[[#This Row],[Input]],1)</f>
        <v>L</v>
      </c>
      <c r="C431">
        <f>_xlfn.LET(_xlpm.steps,SUBSTITUTE(Table1[[#This Row],[Input]],Table1[[#This Row],[Direction]],""),VALUE(IF(LEN(_xlpm.steps)&gt;2,RIGHT(_xlpm.steps,2),_xlpm.steps)))</f>
        <v>43</v>
      </c>
      <c r="D431">
        <f>_xlfn.LET(_xlpm.dir,Table1[[#This Row],[Direction]],
IF(_xlpm.dir="L",
    IF(F430-Table1[[#This Row],[Steps]]&lt;0,100+(F430-Table1[[#This Row],[Steps]]),F430-Table1[[#This Row],[Steps]]),
))</f>
        <v>7</v>
      </c>
      <c r="E431">
        <f>_xlfn.LET(_xlpm.dir,Table1[[#This Row],[Direction]],
IF(_xlpm.dir="R",
    IF(F430+Table1[[#This Row],[Steps]]&gt;99,(F430+Table1[[#This Row],[Steps]])-100,F430+Table1[[#This Row],[Steps]]),
))</f>
        <v>0</v>
      </c>
      <c r="F431">
        <f>IF(Table1[[#This Row],[New Pos L]]&lt;&gt;0,Table1[[#This Row],[New Pos L]],Table1[[#This Row],[New Pos R]])</f>
        <v>7</v>
      </c>
    </row>
    <row r="432" spans="1:6" ht="16" x14ac:dyDescent="0.2">
      <c r="A432" s="1" t="s">
        <v>123</v>
      </c>
      <c r="B432" t="str">
        <f>LEFT(Table1[[#This Row],[Input]],1)</f>
        <v>L</v>
      </c>
      <c r="C432">
        <f>_xlfn.LET(_xlpm.steps,SUBSTITUTE(Table1[[#This Row],[Input]],Table1[[#This Row],[Direction]],""),VALUE(IF(LEN(_xlpm.steps)&gt;2,RIGHT(_xlpm.steps,2),_xlpm.steps)))</f>
        <v>63</v>
      </c>
      <c r="D432">
        <f>_xlfn.LET(_xlpm.dir,Table1[[#This Row],[Direction]],
IF(_xlpm.dir="L",
    IF(F431-Table1[[#This Row],[Steps]]&lt;0,100+(F431-Table1[[#This Row],[Steps]]),F431-Table1[[#This Row],[Steps]]),
))</f>
        <v>44</v>
      </c>
      <c r="E432">
        <f>_xlfn.LET(_xlpm.dir,Table1[[#This Row],[Direction]],
IF(_xlpm.dir="R",
    IF(F431+Table1[[#This Row],[Steps]]&gt;99,(F431+Table1[[#This Row],[Steps]])-100,F431+Table1[[#This Row],[Steps]]),
))</f>
        <v>0</v>
      </c>
      <c r="F432">
        <f>IF(Table1[[#This Row],[New Pos L]]&lt;&gt;0,Table1[[#This Row],[New Pos L]],Table1[[#This Row],[New Pos R]])</f>
        <v>44</v>
      </c>
    </row>
    <row r="433" spans="1:6" ht="16" x14ac:dyDescent="0.2">
      <c r="A433" s="1" t="s">
        <v>229</v>
      </c>
      <c r="B433" t="str">
        <f>LEFT(Table1[[#This Row],[Input]],1)</f>
        <v>R</v>
      </c>
      <c r="C433">
        <f>_xlfn.LET(_xlpm.steps,SUBSTITUTE(Table1[[#This Row],[Input]],Table1[[#This Row],[Direction]],""),VALUE(IF(LEN(_xlpm.steps)&gt;2,RIGHT(_xlpm.steps,2),_xlpm.steps)))</f>
        <v>75</v>
      </c>
      <c r="D433">
        <f>_xlfn.LET(_xlpm.dir,Table1[[#This Row],[Direction]],
IF(_xlpm.dir="L",
    IF(F432-Table1[[#This Row],[Steps]]&lt;0,100+(F432-Table1[[#This Row],[Steps]]),F432-Table1[[#This Row],[Steps]]),
))</f>
        <v>0</v>
      </c>
      <c r="E433">
        <f>_xlfn.LET(_xlpm.dir,Table1[[#This Row],[Direction]],
IF(_xlpm.dir="R",
    IF(F432+Table1[[#This Row],[Steps]]&gt;99,(F432+Table1[[#This Row],[Steps]])-100,F432+Table1[[#This Row],[Steps]]),
))</f>
        <v>19</v>
      </c>
      <c r="F433">
        <f>IF(Table1[[#This Row],[New Pos L]]&lt;&gt;0,Table1[[#This Row],[New Pos L]],Table1[[#This Row],[New Pos R]])</f>
        <v>19</v>
      </c>
    </row>
    <row r="434" spans="1:6" ht="16" x14ac:dyDescent="0.2">
      <c r="A434" s="1" t="s">
        <v>65</v>
      </c>
      <c r="B434" t="str">
        <f>LEFT(Table1[[#This Row],[Input]],1)</f>
        <v>L</v>
      </c>
      <c r="C434">
        <f>_xlfn.LET(_xlpm.steps,SUBSTITUTE(Table1[[#This Row],[Input]],Table1[[#This Row],[Direction]],""),VALUE(IF(LEN(_xlpm.steps)&gt;2,RIGHT(_xlpm.steps,2),_xlpm.steps)))</f>
        <v>19</v>
      </c>
      <c r="D434">
        <f>_xlfn.LET(_xlpm.dir,Table1[[#This Row],[Direction]],
IF(_xlpm.dir="L",
    IF(F433-Table1[[#This Row],[Steps]]&lt;0,100+(F433-Table1[[#This Row],[Steps]]),F433-Table1[[#This Row],[Steps]]),
))</f>
        <v>0</v>
      </c>
      <c r="E434">
        <f>_xlfn.LET(_xlpm.dir,Table1[[#This Row],[Direction]],
IF(_xlpm.dir="R",
    IF(F433+Table1[[#This Row],[Steps]]&gt;99,(F433+Table1[[#This Row],[Steps]])-100,F433+Table1[[#This Row],[Steps]]),
))</f>
        <v>0</v>
      </c>
      <c r="F434">
        <f>IF(Table1[[#This Row],[New Pos L]]&lt;&gt;0,Table1[[#This Row],[New Pos L]],Table1[[#This Row],[New Pos R]])</f>
        <v>0</v>
      </c>
    </row>
    <row r="435" spans="1:6" ht="16" x14ac:dyDescent="0.2">
      <c r="A435" s="1" t="s">
        <v>6</v>
      </c>
      <c r="B435" t="str">
        <f>LEFT(Table1[[#This Row],[Input]],1)</f>
        <v>R</v>
      </c>
      <c r="C435">
        <f>_xlfn.LET(_xlpm.steps,SUBSTITUTE(Table1[[#This Row],[Input]],Table1[[#This Row],[Direction]],""),VALUE(IF(LEN(_xlpm.steps)&gt;2,RIGHT(_xlpm.steps,2),_xlpm.steps)))</f>
        <v>49</v>
      </c>
      <c r="D435">
        <f>_xlfn.LET(_xlpm.dir,Table1[[#This Row],[Direction]],
IF(_xlpm.dir="L",
    IF(F434-Table1[[#This Row],[Steps]]&lt;0,100+(F434-Table1[[#This Row],[Steps]]),F434-Table1[[#This Row],[Steps]]),
))</f>
        <v>0</v>
      </c>
      <c r="E435">
        <f>_xlfn.LET(_xlpm.dir,Table1[[#This Row],[Direction]],
IF(_xlpm.dir="R",
    IF(F434+Table1[[#This Row],[Steps]]&gt;99,(F434+Table1[[#This Row],[Steps]])-100,F434+Table1[[#This Row],[Steps]]),
))</f>
        <v>49</v>
      </c>
      <c r="F435">
        <f>IF(Table1[[#This Row],[New Pos L]]&lt;&gt;0,Table1[[#This Row],[New Pos L]],Table1[[#This Row],[New Pos R]])</f>
        <v>49</v>
      </c>
    </row>
    <row r="436" spans="1:6" ht="16" x14ac:dyDescent="0.2">
      <c r="A436" s="1" t="s">
        <v>127</v>
      </c>
      <c r="B436" t="str">
        <f>LEFT(Table1[[#This Row],[Input]],1)</f>
        <v>L</v>
      </c>
      <c r="C436">
        <f>_xlfn.LET(_xlpm.steps,SUBSTITUTE(Table1[[#This Row],[Input]],Table1[[#This Row],[Direction]],""),VALUE(IF(LEN(_xlpm.steps)&gt;2,RIGHT(_xlpm.steps,2),_xlpm.steps)))</f>
        <v>62</v>
      </c>
      <c r="D436">
        <f>_xlfn.LET(_xlpm.dir,Table1[[#This Row],[Direction]],
IF(_xlpm.dir="L",
    IF(F435-Table1[[#This Row],[Steps]]&lt;0,100+(F435-Table1[[#This Row],[Steps]]),F435-Table1[[#This Row],[Steps]]),
))</f>
        <v>87</v>
      </c>
      <c r="E436">
        <f>_xlfn.LET(_xlpm.dir,Table1[[#This Row],[Direction]],
IF(_xlpm.dir="R",
    IF(F435+Table1[[#This Row],[Steps]]&gt;99,(F435+Table1[[#This Row],[Steps]])-100,F435+Table1[[#This Row],[Steps]]),
))</f>
        <v>0</v>
      </c>
      <c r="F436">
        <f>IF(Table1[[#This Row],[New Pos L]]&lt;&gt;0,Table1[[#This Row],[New Pos L]],Table1[[#This Row],[New Pos R]])</f>
        <v>87</v>
      </c>
    </row>
    <row r="437" spans="1:6" ht="16" x14ac:dyDescent="0.2">
      <c r="A437" s="1" t="s">
        <v>223</v>
      </c>
      <c r="B437" t="str">
        <f>LEFT(Table1[[#This Row],[Input]],1)</f>
        <v>L</v>
      </c>
      <c r="C437">
        <f>_xlfn.LET(_xlpm.steps,SUBSTITUTE(Table1[[#This Row],[Input]],Table1[[#This Row],[Direction]],""),VALUE(IF(LEN(_xlpm.steps)&gt;2,RIGHT(_xlpm.steps,2),_xlpm.steps)))</f>
        <v>87</v>
      </c>
      <c r="D437">
        <f>_xlfn.LET(_xlpm.dir,Table1[[#This Row],[Direction]],
IF(_xlpm.dir="L",
    IF(F436-Table1[[#This Row],[Steps]]&lt;0,100+(F436-Table1[[#This Row],[Steps]]),F436-Table1[[#This Row],[Steps]]),
))</f>
        <v>0</v>
      </c>
      <c r="E437">
        <f>_xlfn.LET(_xlpm.dir,Table1[[#This Row],[Direction]],
IF(_xlpm.dir="R",
    IF(F436+Table1[[#This Row],[Steps]]&gt;99,(F436+Table1[[#This Row],[Steps]])-100,F436+Table1[[#This Row],[Steps]]),
))</f>
        <v>0</v>
      </c>
      <c r="F437">
        <f>IF(Table1[[#This Row],[New Pos L]]&lt;&gt;0,Table1[[#This Row],[New Pos L]],Table1[[#This Row],[New Pos R]])</f>
        <v>0</v>
      </c>
    </row>
    <row r="438" spans="1:6" ht="16" x14ac:dyDescent="0.2">
      <c r="A438" s="1" t="s">
        <v>230</v>
      </c>
      <c r="B438" t="str">
        <f>LEFT(Table1[[#This Row],[Input]],1)</f>
        <v>L</v>
      </c>
      <c r="C438">
        <f>_xlfn.LET(_xlpm.steps,SUBSTITUTE(Table1[[#This Row],[Input]],Table1[[#This Row],[Direction]],""),VALUE(IF(LEN(_xlpm.steps)&gt;2,RIGHT(_xlpm.steps,2),_xlpm.steps)))</f>
        <v>98</v>
      </c>
      <c r="D438">
        <f>_xlfn.LET(_xlpm.dir,Table1[[#This Row],[Direction]],
IF(_xlpm.dir="L",
    IF(F437-Table1[[#This Row],[Steps]]&lt;0,100+(F437-Table1[[#This Row],[Steps]]),F437-Table1[[#This Row],[Steps]]),
))</f>
        <v>2</v>
      </c>
      <c r="E438">
        <f>_xlfn.LET(_xlpm.dir,Table1[[#This Row],[Direction]],
IF(_xlpm.dir="R",
    IF(F437+Table1[[#This Row],[Steps]]&gt;99,(F437+Table1[[#This Row],[Steps]])-100,F437+Table1[[#This Row],[Steps]]),
))</f>
        <v>0</v>
      </c>
      <c r="F438">
        <f>IF(Table1[[#This Row],[New Pos L]]&lt;&gt;0,Table1[[#This Row],[New Pos L]],Table1[[#This Row],[New Pos R]])</f>
        <v>2</v>
      </c>
    </row>
    <row r="439" spans="1:6" ht="16" x14ac:dyDescent="0.2">
      <c r="A439" s="1" t="s">
        <v>231</v>
      </c>
      <c r="B439" t="str">
        <f>LEFT(Table1[[#This Row],[Input]],1)</f>
        <v>R</v>
      </c>
      <c r="C439">
        <f>_xlfn.LET(_xlpm.steps,SUBSTITUTE(Table1[[#This Row],[Input]],Table1[[#This Row],[Direction]],""),VALUE(IF(LEN(_xlpm.steps)&gt;2,RIGHT(_xlpm.steps,2),_xlpm.steps)))</f>
        <v>98</v>
      </c>
      <c r="D439">
        <f>_xlfn.LET(_xlpm.dir,Table1[[#This Row],[Direction]],
IF(_xlpm.dir="L",
    IF(F438-Table1[[#This Row],[Steps]]&lt;0,100+(F438-Table1[[#This Row],[Steps]]),F438-Table1[[#This Row],[Steps]]),
))</f>
        <v>0</v>
      </c>
      <c r="E439">
        <f>_xlfn.LET(_xlpm.dir,Table1[[#This Row],[Direction]],
IF(_xlpm.dir="R",
    IF(F438+Table1[[#This Row],[Steps]]&gt;99,(F438+Table1[[#This Row],[Steps]])-100,F438+Table1[[#This Row],[Steps]]),
))</f>
        <v>0</v>
      </c>
      <c r="F439">
        <f>IF(Table1[[#This Row],[New Pos L]]&lt;&gt;0,Table1[[#This Row],[New Pos L]],Table1[[#This Row],[New Pos R]])</f>
        <v>0</v>
      </c>
    </row>
    <row r="440" spans="1:6" ht="16" x14ac:dyDescent="0.2">
      <c r="A440" s="1" t="s">
        <v>74</v>
      </c>
      <c r="B440" t="str">
        <f>LEFT(Table1[[#This Row],[Input]],1)</f>
        <v>R</v>
      </c>
      <c r="C440">
        <f>_xlfn.LET(_xlpm.steps,SUBSTITUTE(Table1[[#This Row],[Input]],Table1[[#This Row],[Direction]],""),VALUE(IF(LEN(_xlpm.steps)&gt;2,RIGHT(_xlpm.steps,2),_xlpm.steps)))</f>
        <v>93</v>
      </c>
      <c r="D440">
        <f>_xlfn.LET(_xlpm.dir,Table1[[#This Row],[Direction]],
IF(_xlpm.dir="L",
    IF(F439-Table1[[#This Row],[Steps]]&lt;0,100+(F439-Table1[[#This Row],[Steps]]),F439-Table1[[#This Row],[Steps]]),
))</f>
        <v>0</v>
      </c>
      <c r="E440">
        <f>_xlfn.LET(_xlpm.dir,Table1[[#This Row],[Direction]],
IF(_xlpm.dir="R",
    IF(F439+Table1[[#This Row],[Steps]]&gt;99,(F439+Table1[[#This Row],[Steps]])-100,F439+Table1[[#This Row],[Steps]]),
))</f>
        <v>93</v>
      </c>
      <c r="F440">
        <f>IF(Table1[[#This Row],[New Pos L]]&lt;&gt;0,Table1[[#This Row],[New Pos L]],Table1[[#This Row],[New Pos R]])</f>
        <v>93</v>
      </c>
    </row>
    <row r="441" spans="1:6" ht="16" x14ac:dyDescent="0.2">
      <c r="A441" s="1" t="s">
        <v>42</v>
      </c>
      <c r="B441" t="str">
        <f>LEFT(Table1[[#This Row],[Input]],1)</f>
        <v>L</v>
      </c>
      <c r="C441">
        <f>_xlfn.LET(_xlpm.steps,SUBSTITUTE(Table1[[#This Row],[Input]],Table1[[#This Row],[Direction]],""),VALUE(IF(LEN(_xlpm.steps)&gt;2,RIGHT(_xlpm.steps,2),_xlpm.steps)))</f>
        <v>27</v>
      </c>
      <c r="D441">
        <f>_xlfn.LET(_xlpm.dir,Table1[[#This Row],[Direction]],
IF(_xlpm.dir="L",
    IF(F440-Table1[[#This Row],[Steps]]&lt;0,100+(F440-Table1[[#This Row],[Steps]]),F440-Table1[[#This Row],[Steps]]),
))</f>
        <v>66</v>
      </c>
      <c r="E441">
        <f>_xlfn.LET(_xlpm.dir,Table1[[#This Row],[Direction]],
IF(_xlpm.dir="R",
    IF(F440+Table1[[#This Row],[Steps]]&gt;99,(F440+Table1[[#This Row],[Steps]])-100,F440+Table1[[#This Row],[Steps]]),
))</f>
        <v>0</v>
      </c>
      <c r="F441">
        <f>IF(Table1[[#This Row],[New Pos L]]&lt;&gt;0,Table1[[#This Row],[New Pos L]],Table1[[#This Row],[New Pos R]])</f>
        <v>66</v>
      </c>
    </row>
    <row r="442" spans="1:6" ht="16" x14ac:dyDescent="0.2">
      <c r="A442" s="1" t="s">
        <v>223</v>
      </c>
      <c r="B442" t="str">
        <f>LEFT(Table1[[#This Row],[Input]],1)</f>
        <v>L</v>
      </c>
      <c r="C442">
        <f>_xlfn.LET(_xlpm.steps,SUBSTITUTE(Table1[[#This Row],[Input]],Table1[[#This Row],[Direction]],""),VALUE(IF(LEN(_xlpm.steps)&gt;2,RIGHT(_xlpm.steps,2),_xlpm.steps)))</f>
        <v>87</v>
      </c>
      <c r="D442">
        <f>_xlfn.LET(_xlpm.dir,Table1[[#This Row],[Direction]],
IF(_xlpm.dir="L",
    IF(F441-Table1[[#This Row],[Steps]]&lt;0,100+(F441-Table1[[#This Row],[Steps]]),F441-Table1[[#This Row],[Steps]]),
))</f>
        <v>79</v>
      </c>
      <c r="E442">
        <f>_xlfn.LET(_xlpm.dir,Table1[[#This Row],[Direction]],
IF(_xlpm.dir="R",
    IF(F441+Table1[[#This Row],[Steps]]&gt;99,(F441+Table1[[#This Row],[Steps]])-100,F441+Table1[[#This Row],[Steps]]),
))</f>
        <v>0</v>
      </c>
      <c r="F442">
        <f>IF(Table1[[#This Row],[New Pos L]]&lt;&gt;0,Table1[[#This Row],[New Pos L]],Table1[[#This Row],[New Pos R]])</f>
        <v>79</v>
      </c>
    </row>
    <row r="443" spans="1:6" ht="16" x14ac:dyDescent="0.2">
      <c r="A443" s="1" t="s">
        <v>50</v>
      </c>
      <c r="B443" t="str">
        <f>LEFT(Table1[[#This Row],[Input]],1)</f>
        <v>R</v>
      </c>
      <c r="C443">
        <f>_xlfn.LET(_xlpm.steps,SUBSTITUTE(Table1[[#This Row],[Input]],Table1[[#This Row],[Direction]],""),VALUE(IF(LEN(_xlpm.steps)&gt;2,RIGHT(_xlpm.steps,2),_xlpm.steps)))</f>
        <v>78</v>
      </c>
      <c r="D443">
        <f>_xlfn.LET(_xlpm.dir,Table1[[#This Row],[Direction]],
IF(_xlpm.dir="L",
    IF(F442-Table1[[#This Row],[Steps]]&lt;0,100+(F442-Table1[[#This Row],[Steps]]),F442-Table1[[#This Row],[Steps]]),
))</f>
        <v>0</v>
      </c>
      <c r="E443">
        <f>_xlfn.LET(_xlpm.dir,Table1[[#This Row],[Direction]],
IF(_xlpm.dir="R",
    IF(F442+Table1[[#This Row],[Steps]]&gt;99,(F442+Table1[[#This Row],[Steps]])-100,F442+Table1[[#This Row],[Steps]]),
))</f>
        <v>57</v>
      </c>
      <c r="F443">
        <f>IF(Table1[[#This Row],[New Pos L]]&lt;&gt;0,Table1[[#This Row],[New Pos L]],Table1[[#This Row],[New Pos R]])</f>
        <v>57</v>
      </c>
    </row>
    <row r="444" spans="1:6" ht="16" x14ac:dyDescent="0.2">
      <c r="A444" s="1" t="s">
        <v>232</v>
      </c>
      <c r="B444" t="str">
        <f>LEFT(Table1[[#This Row],[Input]],1)</f>
        <v>R</v>
      </c>
      <c r="C444">
        <f>_xlfn.LET(_xlpm.steps,SUBSTITUTE(Table1[[#This Row],[Input]],Table1[[#This Row],[Direction]],""),VALUE(IF(LEN(_xlpm.steps)&gt;2,RIGHT(_xlpm.steps,2),_xlpm.steps)))</f>
        <v>93</v>
      </c>
      <c r="D444">
        <f>_xlfn.LET(_xlpm.dir,Table1[[#This Row],[Direction]],
IF(_xlpm.dir="L",
    IF(F443-Table1[[#This Row],[Steps]]&lt;0,100+(F443-Table1[[#This Row],[Steps]]),F443-Table1[[#This Row],[Steps]]),
))</f>
        <v>0</v>
      </c>
      <c r="E444">
        <f>_xlfn.LET(_xlpm.dir,Table1[[#This Row],[Direction]],
IF(_xlpm.dir="R",
    IF(F443+Table1[[#This Row],[Steps]]&gt;99,(F443+Table1[[#This Row],[Steps]])-100,F443+Table1[[#This Row],[Steps]]),
))</f>
        <v>50</v>
      </c>
      <c r="F444">
        <f>IF(Table1[[#This Row],[New Pos L]]&lt;&gt;0,Table1[[#This Row],[New Pos L]],Table1[[#This Row],[New Pos R]])</f>
        <v>50</v>
      </c>
    </row>
    <row r="445" spans="1:6" ht="16" x14ac:dyDescent="0.2">
      <c r="A445" s="1" t="s">
        <v>98</v>
      </c>
      <c r="B445" t="str">
        <f>LEFT(Table1[[#This Row],[Input]],1)</f>
        <v>L</v>
      </c>
      <c r="C445">
        <f>_xlfn.LET(_xlpm.steps,SUBSTITUTE(Table1[[#This Row],[Input]],Table1[[#This Row],[Direction]],""),VALUE(IF(LEN(_xlpm.steps)&gt;2,RIGHT(_xlpm.steps,2),_xlpm.steps)))</f>
        <v>65</v>
      </c>
      <c r="D445">
        <f>_xlfn.LET(_xlpm.dir,Table1[[#This Row],[Direction]],
IF(_xlpm.dir="L",
    IF(F444-Table1[[#This Row],[Steps]]&lt;0,100+(F444-Table1[[#This Row],[Steps]]),F444-Table1[[#This Row],[Steps]]),
))</f>
        <v>85</v>
      </c>
      <c r="E445">
        <f>_xlfn.LET(_xlpm.dir,Table1[[#This Row],[Direction]],
IF(_xlpm.dir="R",
    IF(F444+Table1[[#This Row],[Steps]]&gt;99,(F444+Table1[[#This Row],[Steps]])-100,F444+Table1[[#This Row],[Steps]]),
))</f>
        <v>0</v>
      </c>
      <c r="F445">
        <f>IF(Table1[[#This Row],[New Pos L]]&lt;&gt;0,Table1[[#This Row],[New Pos L]],Table1[[#This Row],[New Pos R]])</f>
        <v>85</v>
      </c>
    </row>
    <row r="446" spans="1:6" ht="16" x14ac:dyDescent="0.2">
      <c r="A446" s="1" t="s">
        <v>151</v>
      </c>
      <c r="B446" t="str">
        <f>LEFT(Table1[[#This Row],[Input]],1)</f>
        <v>L</v>
      </c>
      <c r="C446">
        <f>_xlfn.LET(_xlpm.steps,SUBSTITUTE(Table1[[#This Row],[Input]],Table1[[#This Row],[Direction]],""),VALUE(IF(LEN(_xlpm.steps)&gt;2,RIGHT(_xlpm.steps,2),_xlpm.steps)))</f>
        <v>74</v>
      </c>
      <c r="D446">
        <f>_xlfn.LET(_xlpm.dir,Table1[[#This Row],[Direction]],
IF(_xlpm.dir="L",
    IF(F445-Table1[[#This Row],[Steps]]&lt;0,100+(F445-Table1[[#This Row],[Steps]]),F445-Table1[[#This Row],[Steps]]),
))</f>
        <v>11</v>
      </c>
      <c r="E446">
        <f>_xlfn.LET(_xlpm.dir,Table1[[#This Row],[Direction]],
IF(_xlpm.dir="R",
    IF(F445+Table1[[#This Row],[Steps]]&gt;99,(F445+Table1[[#This Row],[Steps]])-100,F445+Table1[[#This Row],[Steps]]),
))</f>
        <v>0</v>
      </c>
      <c r="F446">
        <f>IF(Table1[[#This Row],[New Pos L]]&lt;&gt;0,Table1[[#This Row],[New Pos L]],Table1[[#This Row],[New Pos R]])</f>
        <v>11</v>
      </c>
    </row>
    <row r="447" spans="1:6" ht="16" x14ac:dyDescent="0.2">
      <c r="A447" s="1" t="s">
        <v>26</v>
      </c>
      <c r="B447" t="str">
        <f>LEFT(Table1[[#This Row],[Input]],1)</f>
        <v>R</v>
      </c>
      <c r="C447">
        <f>_xlfn.LET(_xlpm.steps,SUBSTITUTE(Table1[[#This Row],[Input]],Table1[[#This Row],[Direction]],""),VALUE(IF(LEN(_xlpm.steps)&gt;2,RIGHT(_xlpm.steps,2),_xlpm.steps)))</f>
        <v>6</v>
      </c>
      <c r="D447">
        <f>_xlfn.LET(_xlpm.dir,Table1[[#This Row],[Direction]],
IF(_xlpm.dir="L",
    IF(F446-Table1[[#This Row],[Steps]]&lt;0,100+(F446-Table1[[#This Row],[Steps]]),F446-Table1[[#This Row],[Steps]]),
))</f>
        <v>0</v>
      </c>
      <c r="E447">
        <f>_xlfn.LET(_xlpm.dir,Table1[[#This Row],[Direction]],
IF(_xlpm.dir="R",
    IF(F446+Table1[[#This Row],[Steps]]&gt;99,(F446+Table1[[#This Row],[Steps]])-100,F446+Table1[[#This Row],[Steps]]),
))</f>
        <v>17</v>
      </c>
      <c r="F447">
        <f>IF(Table1[[#This Row],[New Pos L]]&lt;&gt;0,Table1[[#This Row],[New Pos L]],Table1[[#This Row],[New Pos R]])</f>
        <v>17</v>
      </c>
    </row>
    <row r="448" spans="1:6" ht="16" x14ac:dyDescent="0.2">
      <c r="A448" s="1" t="s">
        <v>79</v>
      </c>
      <c r="B448" t="str">
        <f>LEFT(Table1[[#This Row],[Input]],1)</f>
        <v>L</v>
      </c>
      <c r="C448">
        <f>_xlfn.LET(_xlpm.steps,SUBSTITUTE(Table1[[#This Row],[Input]],Table1[[#This Row],[Direction]],""),VALUE(IF(LEN(_xlpm.steps)&gt;2,RIGHT(_xlpm.steps,2),_xlpm.steps)))</f>
        <v>45</v>
      </c>
      <c r="D448">
        <f>_xlfn.LET(_xlpm.dir,Table1[[#This Row],[Direction]],
IF(_xlpm.dir="L",
    IF(F447-Table1[[#This Row],[Steps]]&lt;0,100+(F447-Table1[[#This Row],[Steps]]),F447-Table1[[#This Row],[Steps]]),
))</f>
        <v>72</v>
      </c>
      <c r="E448">
        <f>_xlfn.LET(_xlpm.dir,Table1[[#This Row],[Direction]],
IF(_xlpm.dir="R",
    IF(F447+Table1[[#This Row],[Steps]]&gt;99,(F447+Table1[[#This Row],[Steps]])-100,F447+Table1[[#This Row],[Steps]]),
))</f>
        <v>0</v>
      </c>
      <c r="F448">
        <f>IF(Table1[[#This Row],[New Pos L]]&lt;&gt;0,Table1[[#This Row],[New Pos L]],Table1[[#This Row],[New Pos R]])</f>
        <v>72</v>
      </c>
    </row>
    <row r="449" spans="1:6" ht="16" x14ac:dyDescent="0.2">
      <c r="A449" s="1" t="s">
        <v>233</v>
      </c>
      <c r="B449" t="str">
        <f>LEFT(Table1[[#This Row],[Input]],1)</f>
        <v>R</v>
      </c>
      <c r="C449">
        <f>_xlfn.LET(_xlpm.steps,SUBSTITUTE(Table1[[#This Row],[Input]],Table1[[#This Row],[Direction]],""),VALUE(IF(LEN(_xlpm.steps)&gt;2,RIGHT(_xlpm.steps,2),_xlpm.steps)))</f>
        <v>24</v>
      </c>
      <c r="D449">
        <f>_xlfn.LET(_xlpm.dir,Table1[[#This Row],[Direction]],
IF(_xlpm.dir="L",
    IF(F448-Table1[[#This Row],[Steps]]&lt;0,100+(F448-Table1[[#This Row],[Steps]]),F448-Table1[[#This Row],[Steps]]),
))</f>
        <v>0</v>
      </c>
      <c r="E449">
        <f>_xlfn.LET(_xlpm.dir,Table1[[#This Row],[Direction]],
IF(_xlpm.dir="R",
    IF(F448+Table1[[#This Row],[Steps]]&gt;99,(F448+Table1[[#This Row],[Steps]])-100,F448+Table1[[#This Row],[Steps]]),
))</f>
        <v>96</v>
      </c>
      <c r="F449">
        <f>IF(Table1[[#This Row],[New Pos L]]&lt;&gt;0,Table1[[#This Row],[New Pos L]],Table1[[#This Row],[New Pos R]])</f>
        <v>96</v>
      </c>
    </row>
    <row r="450" spans="1:6" ht="16" x14ac:dyDescent="0.2">
      <c r="A450" s="1" t="s">
        <v>146</v>
      </c>
      <c r="B450" t="str">
        <f>LEFT(Table1[[#This Row],[Input]],1)</f>
        <v>R</v>
      </c>
      <c r="C450">
        <f>_xlfn.LET(_xlpm.steps,SUBSTITUTE(Table1[[#This Row],[Input]],Table1[[#This Row],[Direction]],""),VALUE(IF(LEN(_xlpm.steps)&gt;2,RIGHT(_xlpm.steps,2),_xlpm.steps)))</f>
        <v>4</v>
      </c>
      <c r="D450">
        <f>_xlfn.LET(_xlpm.dir,Table1[[#This Row],[Direction]],
IF(_xlpm.dir="L",
    IF(F449-Table1[[#This Row],[Steps]]&lt;0,100+(F449-Table1[[#This Row],[Steps]]),F449-Table1[[#This Row],[Steps]]),
))</f>
        <v>0</v>
      </c>
      <c r="E450">
        <f>_xlfn.LET(_xlpm.dir,Table1[[#This Row],[Direction]],
IF(_xlpm.dir="R",
    IF(F449+Table1[[#This Row],[Steps]]&gt;99,(F449+Table1[[#This Row],[Steps]])-100,F449+Table1[[#This Row],[Steps]]),
))</f>
        <v>0</v>
      </c>
      <c r="F450">
        <f>IF(Table1[[#This Row],[New Pos L]]&lt;&gt;0,Table1[[#This Row],[New Pos L]],Table1[[#This Row],[New Pos R]])</f>
        <v>0</v>
      </c>
    </row>
    <row r="451" spans="1:6" ht="16" x14ac:dyDescent="0.2">
      <c r="A451" s="1" t="s">
        <v>234</v>
      </c>
      <c r="B451" t="str">
        <f>LEFT(Table1[[#This Row],[Input]],1)</f>
        <v>R</v>
      </c>
      <c r="C451">
        <f>_xlfn.LET(_xlpm.steps,SUBSTITUTE(Table1[[#This Row],[Input]],Table1[[#This Row],[Direction]],""),VALUE(IF(LEN(_xlpm.steps)&gt;2,RIGHT(_xlpm.steps,2),_xlpm.steps)))</f>
        <v>82</v>
      </c>
      <c r="D451">
        <f>_xlfn.LET(_xlpm.dir,Table1[[#This Row],[Direction]],
IF(_xlpm.dir="L",
    IF(F450-Table1[[#This Row],[Steps]]&lt;0,100+(F450-Table1[[#This Row],[Steps]]),F450-Table1[[#This Row],[Steps]]),
))</f>
        <v>0</v>
      </c>
      <c r="E451">
        <f>_xlfn.LET(_xlpm.dir,Table1[[#This Row],[Direction]],
IF(_xlpm.dir="R",
    IF(F450+Table1[[#This Row],[Steps]]&gt;99,(F450+Table1[[#This Row],[Steps]])-100,F450+Table1[[#This Row],[Steps]]),
))</f>
        <v>82</v>
      </c>
      <c r="F451">
        <f>IF(Table1[[#This Row],[New Pos L]]&lt;&gt;0,Table1[[#This Row],[New Pos L]],Table1[[#This Row],[New Pos R]])</f>
        <v>82</v>
      </c>
    </row>
    <row r="452" spans="1:6" ht="16" x14ac:dyDescent="0.2">
      <c r="A452" s="1" t="s">
        <v>51</v>
      </c>
      <c r="B452" t="str">
        <f>LEFT(Table1[[#This Row],[Input]],1)</f>
        <v>L</v>
      </c>
      <c r="C452">
        <f>_xlfn.LET(_xlpm.steps,SUBSTITUTE(Table1[[#This Row],[Input]],Table1[[#This Row],[Direction]],""),VALUE(IF(LEN(_xlpm.steps)&gt;2,RIGHT(_xlpm.steps,2),_xlpm.steps)))</f>
        <v>25</v>
      </c>
      <c r="D452">
        <f>_xlfn.LET(_xlpm.dir,Table1[[#This Row],[Direction]],
IF(_xlpm.dir="L",
    IF(F451-Table1[[#This Row],[Steps]]&lt;0,100+(F451-Table1[[#This Row],[Steps]]),F451-Table1[[#This Row],[Steps]]),
))</f>
        <v>57</v>
      </c>
      <c r="E452">
        <f>_xlfn.LET(_xlpm.dir,Table1[[#This Row],[Direction]],
IF(_xlpm.dir="R",
    IF(F451+Table1[[#This Row],[Steps]]&gt;99,(F451+Table1[[#This Row],[Steps]])-100,F451+Table1[[#This Row],[Steps]]),
))</f>
        <v>0</v>
      </c>
      <c r="F452">
        <f>IF(Table1[[#This Row],[New Pos L]]&lt;&gt;0,Table1[[#This Row],[New Pos L]],Table1[[#This Row],[New Pos R]])</f>
        <v>57</v>
      </c>
    </row>
    <row r="453" spans="1:6" ht="16" x14ac:dyDescent="0.2">
      <c r="A453" s="1" t="s">
        <v>235</v>
      </c>
      <c r="B453" t="str">
        <f>LEFT(Table1[[#This Row],[Input]],1)</f>
        <v>L</v>
      </c>
      <c r="C453">
        <f>_xlfn.LET(_xlpm.steps,SUBSTITUTE(Table1[[#This Row],[Input]],Table1[[#This Row],[Direction]],""),VALUE(IF(LEN(_xlpm.steps)&gt;2,RIGHT(_xlpm.steps,2),_xlpm.steps)))</f>
        <v>9</v>
      </c>
      <c r="D453">
        <f>_xlfn.LET(_xlpm.dir,Table1[[#This Row],[Direction]],
IF(_xlpm.dir="L",
    IF(F452-Table1[[#This Row],[Steps]]&lt;0,100+(F452-Table1[[#This Row],[Steps]]),F452-Table1[[#This Row],[Steps]]),
))</f>
        <v>48</v>
      </c>
      <c r="E453">
        <f>_xlfn.LET(_xlpm.dir,Table1[[#This Row],[Direction]],
IF(_xlpm.dir="R",
    IF(F452+Table1[[#This Row],[Steps]]&gt;99,(F452+Table1[[#This Row],[Steps]])-100,F452+Table1[[#This Row],[Steps]]),
))</f>
        <v>0</v>
      </c>
      <c r="F453">
        <f>IF(Table1[[#This Row],[New Pos L]]&lt;&gt;0,Table1[[#This Row],[New Pos L]],Table1[[#This Row],[New Pos R]])</f>
        <v>48</v>
      </c>
    </row>
    <row r="454" spans="1:6" ht="16" x14ac:dyDescent="0.2">
      <c r="A454" s="1" t="s">
        <v>16</v>
      </c>
      <c r="B454" t="str">
        <f>LEFT(Table1[[#This Row],[Input]],1)</f>
        <v>L</v>
      </c>
      <c r="C454">
        <f>_xlfn.LET(_xlpm.steps,SUBSTITUTE(Table1[[#This Row],[Input]],Table1[[#This Row],[Direction]],""),VALUE(IF(LEN(_xlpm.steps)&gt;2,RIGHT(_xlpm.steps,2),_xlpm.steps)))</f>
        <v>10</v>
      </c>
      <c r="D454">
        <f>_xlfn.LET(_xlpm.dir,Table1[[#This Row],[Direction]],
IF(_xlpm.dir="L",
    IF(F453-Table1[[#This Row],[Steps]]&lt;0,100+(F453-Table1[[#This Row],[Steps]]),F453-Table1[[#This Row],[Steps]]),
))</f>
        <v>38</v>
      </c>
      <c r="E454">
        <f>_xlfn.LET(_xlpm.dir,Table1[[#This Row],[Direction]],
IF(_xlpm.dir="R",
    IF(F453+Table1[[#This Row],[Steps]]&gt;99,(F453+Table1[[#This Row],[Steps]])-100,F453+Table1[[#This Row],[Steps]]),
))</f>
        <v>0</v>
      </c>
      <c r="F454">
        <f>IF(Table1[[#This Row],[New Pos L]]&lt;&gt;0,Table1[[#This Row],[New Pos L]],Table1[[#This Row],[New Pos R]])</f>
        <v>38</v>
      </c>
    </row>
    <row r="455" spans="1:6" ht="16" x14ac:dyDescent="0.2">
      <c r="A455" s="1" t="s">
        <v>44</v>
      </c>
      <c r="B455" t="str">
        <f>LEFT(Table1[[#This Row],[Input]],1)</f>
        <v>R</v>
      </c>
      <c r="C455">
        <f>_xlfn.LET(_xlpm.steps,SUBSTITUTE(Table1[[#This Row],[Input]],Table1[[#This Row],[Direction]],""),VALUE(IF(LEN(_xlpm.steps)&gt;2,RIGHT(_xlpm.steps,2),_xlpm.steps)))</f>
        <v>96</v>
      </c>
      <c r="D455">
        <f>_xlfn.LET(_xlpm.dir,Table1[[#This Row],[Direction]],
IF(_xlpm.dir="L",
    IF(F454-Table1[[#This Row],[Steps]]&lt;0,100+(F454-Table1[[#This Row],[Steps]]),F454-Table1[[#This Row],[Steps]]),
))</f>
        <v>0</v>
      </c>
      <c r="E455">
        <f>_xlfn.LET(_xlpm.dir,Table1[[#This Row],[Direction]],
IF(_xlpm.dir="R",
    IF(F454+Table1[[#This Row],[Steps]]&gt;99,(F454+Table1[[#This Row],[Steps]])-100,F454+Table1[[#This Row],[Steps]]),
))</f>
        <v>34</v>
      </c>
      <c r="F455">
        <f>IF(Table1[[#This Row],[New Pos L]]&lt;&gt;0,Table1[[#This Row],[New Pos L]],Table1[[#This Row],[New Pos R]])</f>
        <v>34</v>
      </c>
    </row>
    <row r="456" spans="1:6" ht="16" x14ac:dyDescent="0.2">
      <c r="A456" s="1" t="s">
        <v>236</v>
      </c>
      <c r="B456" t="str">
        <f>LEFT(Table1[[#This Row],[Input]],1)</f>
        <v>L</v>
      </c>
      <c r="C456">
        <f>_xlfn.LET(_xlpm.steps,SUBSTITUTE(Table1[[#This Row],[Input]],Table1[[#This Row],[Direction]],""),VALUE(IF(LEN(_xlpm.steps)&gt;2,RIGHT(_xlpm.steps,2),_xlpm.steps)))</f>
        <v>48</v>
      </c>
      <c r="D456">
        <f>_xlfn.LET(_xlpm.dir,Table1[[#This Row],[Direction]],
IF(_xlpm.dir="L",
    IF(F455-Table1[[#This Row],[Steps]]&lt;0,100+(F455-Table1[[#This Row],[Steps]]),F455-Table1[[#This Row],[Steps]]),
))</f>
        <v>86</v>
      </c>
      <c r="E456">
        <f>_xlfn.LET(_xlpm.dir,Table1[[#This Row],[Direction]],
IF(_xlpm.dir="R",
    IF(F455+Table1[[#This Row],[Steps]]&gt;99,(F455+Table1[[#This Row],[Steps]])-100,F455+Table1[[#This Row],[Steps]]),
))</f>
        <v>0</v>
      </c>
      <c r="F456">
        <f>IF(Table1[[#This Row],[New Pos L]]&lt;&gt;0,Table1[[#This Row],[New Pos L]],Table1[[#This Row],[New Pos R]])</f>
        <v>86</v>
      </c>
    </row>
    <row r="457" spans="1:6" ht="16" x14ac:dyDescent="0.2">
      <c r="A457" s="1" t="s">
        <v>0</v>
      </c>
      <c r="B457" t="str">
        <f>LEFT(Table1[[#This Row],[Input]],1)</f>
        <v>L</v>
      </c>
      <c r="C457">
        <f>_xlfn.LET(_xlpm.steps,SUBSTITUTE(Table1[[#This Row],[Input]],Table1[[#This Row],[Direction]],""),VALUE(IF(LEN(_xlpm.steps)&gt;2,RIGHT(_xlpm.steps,2),_xlpm.steps)))</f>
        <v>44</v>
      </c>
      <c r="D457">
        <f>_xlfn.LET(_xlpm.dir,Table1[[#This Row],[Direction]],
IF(_xlpm.dir="L",
    IF(F456-Table1[[#This Row],[Steps]]&lt;0,100+(F456-Table1[[#This Row],[Steps]]),F456-Table1[[#This Row],[Steps]]),
))</f>
        <v>42</v>
      </c>
      <c r="E457">
        <f>_xlfn.LET(_xlpm.dir,Table1[[#This Row],[Direction]],
IF(_xlpm.dir="R",
    IF(F456+Table1[[#This Row],[Steps]]&gt;99,(F456+Table1[[#This Row],[Steps]])-100,F456+Table1[[#This Row],[Steps]]),
))</f>
        <v>0</v>
      </c>
      <c r="F457">
        <f>IF(Table1[[#This Row],[New Pos L]]&lt;&gt;0,Table1[[#This Row],[New Pos L]],Table1[[#This Row],[New Pos R]])</f>
        <v>42</v>
      </c>
    </row>
    <row r="458" spans="1:6" ht="16" x14ac:dyDescent="0.2">
      <c r="A458" s="1" t="s">
        <v>237</v>
      </c>
      <c r="B458" t="str">
        <f>LEFT(Table1[[#This Row],[Input]],1)</f>
        <v>R</v>
      </c>
      <c r="C458">
        <f>_xlfn.LET(_xlpm.steps,SUBSTITUTE(Table1[[#This Row],[Input]],Table1[[#This Row],[Direction]],""),VALUE(IF(LEN(_xlpm.steps)&gt;2,RIGHT(_xlpm.steps,2),_xlpm.steps)))</f>
        <v>28</v>
      </c>
      <c r="D458">
        <f>_xlfn.LET(_xlpm.dir,Table1[[#This Row],[Direction]],
IF(_xlpm.dir="L",
    IF(F457-Table1[[#This Row],[Steps]]&lt;0,100+(F457-Table1[[#This Row],[Steps]]),F457-Table1[[#This Row],[Steps]]),
))</f>
        <v>0</v>
      </c>
      <c r="E458">
        <f>_xlfn.LET(_xlpm.dir,Table1[[#This Row],[Direction]],
IF(_xlpm.dir="R",
    IF(F457+Table1[[#This Row],[Steps]]&gt;99,(F457+Table1[[#This Row],[Steps]])-100,F457+Table1[[#This Row],[Steps]]),
))</f>
        <v>70</v>
      </c>
      <c r="F458">
        <f>IF(Table1[[#This Row],[New Pos L]]&lt;&gt;0,Table1[[#This Row],[New Pos L]],Table1[[#This Row],[New Pos R]])</f>
        <v>70</v>
      </c>
    </row>
    <row r="459" spans="1:6" ht="16" x14ac:dyDescent="0.2">
      <c r="A459" s="1" t="s">
        <v>95</v>
      </c>
      <c r="B459" t="str">
        <f>LEFT(Table1[[#This Row],[Input]],1)</f>
        <v>L</v>
      </c>
      <c r="C459">
        <f>_xlfn.LET(_xlpm.steps,SUBSTITUTE(Table1[[#This Row],[Input]],Table1[[#This Row],[Direction]],""),VALUE(IF(LEN(_xlpm.steps)&gt;2,RIGHT(_xlpm.steps,2),_xlpm.steps)))</f>
        <v>78</v>
      </c>
      <c r="D459">
        <f>_xlfn.LET(_xlpm.dir,Table1[[#This Row],[Direction]],
IF(_xlpm.dir="L",
    IF(F458-Table1[[#This Row],[Steps]]&lt;0,100+(F458-Table1[[#This Row],[Steps]]),F458-Table1[[#This Row],[Steps]]),
))</f>
        <v>92</v>
      </c>
      <c r="E459">
        <f>_xlfn.LET(_xlpm.dir,Table1[[#This Row],[Direction]],
IF(_xlpm.dir="R",
    IF(F458+Table1[[#This Row],[Steps]]&gt;99,(F458+Table1[[#This Row],[Steps]])-100,F458+Table1[[#This Row],[Steps]]),
))</f>
        <v>0</v>
      </c>
      <c r="F459">
        <f>IF(Table1[[#This Row],[New Pos L]]&lt;&gt;0,Table1[[#This Row],[New Pos L]],Table1[[#This Row],[New Pos R]])</f>
        <v>92</v>
      </c>
    </row>
    <row r="460" spans="1:6" ht="16" x14ac:dyDescent="0.2">
      <c r="A460" s="1" t="s">
        <v>129</v>
      </c>
      <c r="B460" t="str">
        <f>LEFT(Table1[[#This Row],[Input]],1)</f>
        <v>R</v>
      </c>
      <c r="C460">
        <f>_xlfn.LET(_xlpm.steps,SUBSTITUTE(Table1[[#This Row],[Input]],Table1[[#This Row],[Direction]],""),VALUE(IF(LEN(_xlpm.steps)&gt;2,RIGHT(_xlpm.steps,2),_xlpm.steps)))</f>
        <v>8</v>
      </c>
      <c r="D460">
        <f>_xlfn.LET(_xlpm.dir,Table1[[#This Row],[Direction]],
IF(_xlpm.dir="L",
    IF(F459-Table1[[#This Row],[Steps]]&lt;0,100+(F459-Table1[[#This Row],[Steps]]),F459-Table1[[#This Row],[Steps]]),
))</f>
        <v>0</v>
      </c>
      <c r="E460">
        <f>_xlfn.LET(_xlpm.dir,Table1[[#This Row],[Direction]],
IF(_xlpm.dir="R",
    IF(F459+Table1[[#This Row],[Steps]]&gt;99,(F459+Table1[[#This Row],[Steps]])-100,F459+Table1[[#This Row],[Steps]]),
))</f>
        <v>0</v>
      </c>
      <c r="F460">
        <f>IF(Table1[[#This Row],[New Pos L]]&lt;&gt;0,Table1[[#This Row],[New Pos L]],Table1[[#This Row],[New Pos R]])</f>
        <v>0</v>
      </c>
    </row>
    <row r="461" spans="1:6" ht="16" x14ac:dyDescent="0.2">
      <c r="A461" s="1" t="s">
        <v>123</v>
      </c>
      <c r="B461" t="str">
        <f>LEFT(Table1[[#This Row],[Input]],1)</f>
        <v>L</v>
      </c>
      <c r="C461">
        <f>_xlfn.LET(_xlpm.steps,SUBSTITUTE(Table1[[#This Row],[Input]],Table1[[#This Row],[Direction]],""),VALUE(IF(LEN(_xlpm.steps)&gt;2,RIGHT(_xlpm.steps,2),_xlpm.steps)))</f>
        <v>63</v>
      </c>
      <c r="D461">
        <f>_xlfn.LET(_xlpm.dir,Table1[[#This Row],[Direction]],
IF(_xlpm.dir="L",
    IF(F460-Table1[[#This Row],[Steps]]&lt;0,100+(F460-Table1[[#This Row],[Steps]]),F460-Table1[[#This Row],[Steps]]),
))</f>
        <v>37</v>
      </c>
      <c r="E461">
        <f>_xlfn.LET(_xlpm.dir,Table1[[#This Row],[Direction]],
IF(_xlpm.dir="R",
    IF(F460+Table1[[#This Row],[Steps]]&gt;99,(F460+Table1[[#This Row],[Steps]])-100,F460+Table1[[#This Row],[Steps]]),
))</f>
        <v>0</v>
      </c>
      <c r="F461">
        <f>IF(Table1[[#This Row],[New Pos L]]&lt;&gt;0,Table1[[#This Row],[New Pos L]],Table1[[#This Row],[New Pos R]])</f>
        <v>37</v>
      </c>
    </row>
    <row r="462" spans="1:6" ht="16" x14ac:dyDescent="0.2">
      <c r="A462" s="1" t="s">
        <v>238</v>
      </c>
      <c r="B462" t="str">
        <f>LEFT(Table1[[#This Row],[Input]],1)</f>
        <v>R</v>
      </c>
      <c r="C462">
        <f>_xlfn.LET(_xlpm.steps,SUBSTITUTE(Table1[[#This Row],[Input]],Table1[[#This Row],[Direction]],""),VALUE(IF(LEN(_xlpm.steps)&gt;2,RIGHT(_xlpm.steps,2),_xlpm.steps)))</f>
        <v>84</v>
      </c>
      <c r="D462">
        <f>_xlfn.LET(_xlpm.dir,Table1[[#This Row],[Direction]],
IF(_xlpm.dir="L",
    IF(F461-Table1[[#This Row],[Steps]]&lt;0,100+(F461-Table1[[#This Row],[Steps]]),F461-Table1[[#This Row],[Steps]]),
))</f>
        <v>0</v>
      </c>
      <c r="E462">
        <f>_xlfn.LET(_xlpm.dir,Table1[[#This Row],[Direction]],
IF(_xlpm.dir="R",
    IF(F461+Table1[[#This Row],[Steps]]&gt;99,(F461+Table1[[#This Row],[Steps]])-100,F461+Table1[[#This Row],[Steps]]),
))</f>
        <v>21</v>
      </c>
      <c r="F462">
        <f>IF(Table1[[#This Row],[New Pos L]]&lt;&gt;0,Table1[[#This Row],[New Pos L]],Table1[[#This Row],[New Pos R]])</f>
        <v>21</v>
      </c>
    </row>
    <row r="463" spans="1:6" ht="16" x14ac:dyDescent="0.2">
      <c r="A463" s="1" t="s">
        <v>146</v>
      </c>
      <c r="B463" t="str">
        <f>LEFT(Table1[[#This Row],[Input]],1)</f>
        <v>R</v>
      </c>
      <c r="C463">
        <f>_xlfn.LET(_xlpm.steps,SUBSTITUTE(Table1[[#This Row],[Input]],Table1[[#This Row],[Direction]],""),VALUE(IF(LEN(_xlpm.steps)&gt;2,RIGHT(_xlpm.steps,2),_xlpm.steps)))</f>
        <v>4</v>
      </c>
      <c r="D463">
        <f>_xlfn.LET(_xlpm.dir,Table1[[#This Row],[Direction]],
IF(_xlpm.dir="L",
    IF(F462-Table1[[#This Row],[Steps]]&lt;0,100+(F462-Table1[[#This Row],[Steps]]),F462-Table1[[#This Row],[Steps]]),
))</f>
        <v>0</v>
      </c>
      <c r="E463">
        <f>_xlfn.LET(_xlpm.dir,Table1[[#This Row],[Direction]],
IF(_xlpm.dir="R",
    IF(F462+Table1[[#This Row],[Steps]]&gt;99,(F462+Table1[[#This Row],[Steps]])-100,F462+Table1[[#This Row],[Steps]]),
))</f>
        <v>25</v>
      </c>
      <c r="F463">
        <f>IF(Table1[[#This Row],[New Pos L]]&lt;&gt;0,Table1[[#This Row],[New Pos L]],Table1[[#This Row],[New Pos R]])</f>
        <v>25</v>
      </c>
    </row>
    <row r="464" spans="1:6" ht="16" x14ac:dyDescent="0.2">
      <c r="A464" s="1" t="s">
        <v>239</v>
      </c>
      <c r="B464" t="str">
        <f>LEFT(Table1[[#This Row],[Input]],1)</f>
        <v>L</v>
      </c>
      <c r="C464">
        <f>_xlfn.LET(_xlpm.steps,SUBSTITUTE(Table1[[#This Row],[Input]],Table1[[#This Row],[Direction]],""),VALUE(IF(LEN(_xlpm.steps)&gt;2,RIGHT(_xlpm.steps,2),_xlpm.steps)))</f>
        <v>76</v>
      </c>
      <c r="D464">
        <f>_xlfn.LET(_xlpm.dir,Table1[[#This Row],[Direction]],
IF(_xlpm.dir="L",
    IF(F463-Table1[[#This Row],[Steps]]&lt;0,100+(F463-Table1[[#This Row],[Steps]]),F463-Table1[[#This Row],[Steps]]),
))</f>
        <v>49</v>
      </c>
      <c r="E464">
        <f>_xlfn.LET(_xlpm.dir,Table1[[#This Row],[Direction]],
IF(_xlpm.dir="R",
    IF(F463+Table1[[#This Row],[Steps]]&gt;99,(F463+Table1[[#This Row],[Steps]])-100,F463+Table1[[#This Row],[Steps]]),
))</f>
        <v>0</v>
      </c>
      <c r="F464">
        <f>IF(Table1[[#This Row],[New Pos L]]&lt;&gt;0,Table1[[#This Row],[New Pos L]],Table1[[#This Row],[New Pos R]])</f>
        <v>49</v>
      </c>
    </row>
    <row r="465" spans="1:6" ht="16" x14ac:dyDescent="0.2">
      <c r="A465" s="1" t="s">
        <v>0</v>
      </c>
      <c r="B465" t="str">
        <f>LEFT(Table1[[#This Row],[Input]],1)</f>
        <v>L</v>
      </c>
      <c r="C465">
        <f>_xlfn.LET(_xlpm.steps,SUBSTITUTE(Table1[[#This Row],[Input]],Table1[[#This Row],[Direction]],""),VALUE(IF(LEN(_xlpm.steps)&gt;2,RIGHT(_xlpm.steps,2),_xlpm.steps)))</f>
        <v>44</v>
      </c>
      <c r="D465">
        <f>_xlfn.LET(_xlpm.dir,Table1[[#This Row],[Direction]],
IF(_xlpm.dir="L",
    IF(F464-Table1[[#This Row],[Steps]]&lt;0,100+(F464-Table1[[#This Row],[Steps]]),F464-Table1[[#This Row],[Steps]]),
))</f>
        <v>5</v>
      </c>
      <c r="E465">
        <f>_xlfn.LET(_xlpm.dir,Table1[[#This Row],[Direction]],
IF(_xlpm.dir="R",
    IF(F464+Table1[[#This Row],[Steps]]&gt;99,(F464+Table1[[#This Row],[Steps]])-100,F464+Table1[[#This Row],[Steps]]),
))</f>
        <v>0</v>
      </c>
      <c r="F465">
        <f>IF(Table1[[#This Row],[New Pos L]]&lt;&gt;0,Table1[[#This Row],[New Pos L]],Table1[[#This Row],[New Pos R]])</f>
        <v>5</v>
      </c>
    </row>
    <row r="466" spans="1:6" ht="16" x14ac:dyDescent="0.2">
      <c r="A466" s="1" t="s">
        <v>240</v>
      </c>
      <c r="B466" t="str">
        <f>LEFT(Table1[[#This Row],[Input]],1)</f>
        <v>R</v>
      </c>
      <c r="C466">
        <f>_xlfn.LET(_xlpm.steps,SUBSTITUTE(Table1[[#This Row],[Input]],Table1[[#This Row],[Direction]],""),VALUE(IF(LEN(_xlpm.steps)&gt;2,RIGHT(_xlpm.steps,2),_xlpm.steps)))</f>
        <v>95</v>
      </c>
      <c r="D466">
        <f>_xlfn.LET(_xlpm.dir,Table1[[#This Row],[Direction]],
IF(_xlpm.dir="L",
    IF(F465-Table1[[#This Row],[Steps]]&lt;0,100+(F465-Table1[[#This Row],[Steps]]),F465-Table1[[#This Row],[Steps]]),
))</f>
        <v>0</v>
      </c>
      <c r="E466">
        <f>_xlfn.LET(_xlpm.dir,Table1[[#This Row],[Direction]],
IF(_xlpm.dir="R",
    IF(F465+Table1[[#This Row],[Steps]]&gt;99,(F465+Table1[[#This Row],[Steps]])-100,F465+Table1[[#This Row],[Steps]]),
))</f>
        <v>0</v>
      </c>
      <c r="F466">
        <f>IF(Table1[[#This Row],[New Pos L]]&lt;&gt;0,Table1[[#This Row],[New Pos L]],Table1[[#This Row],[New Pos R]])</f>
        <v>0</v>
      </c>
    </row>
    <row r="467" spans="1:6" ht="16" x14ac:dyDescent="0.2">
      <c r="A467" s="1" t="s">
        <v>42</v>
      </c>
      <c r="B467" t="str">
        <f>LEFT(Table1[[#This Row],[Input]],1)</f>
        <v>L</v>
      </c>
      <c r="C467">
        <f>_xlfn.LET(_xlpm.steps,SUBSTITUTE(Table1[[#This Row],[Input]],Table1[[#This Row],[Direction]],""),VALUE(IF(LEN(_xlpm.steps)&gt;2,RIGHT(_xlpm.steps,2),_xlpm.steps)))</f>
        <v>27</v>
      </c>
      <c r="D467">
        <f>_xlfn.LET(_xlpm.dir,Table1[[#This Row],[Direction]],
IF(_xlpm.dir="L",
    IF(F466-Table1[[#This Row],[Steps]]&lt;0,100+(F466-Table1[[#This Row],[Steps]]),F466-Table1[[#This Row],[Steps]]),
))</f>
        <v>73</v>
      </c>
      <c r="E467">
        <f>_xlfn.LET(_xlpm.dir,Table1[[#This Row],[Direction]],
IF(_xlpm.dir="R",
    IF(F466+Table1[[#This Row],[Steps]]&gt;99,(F466+Table1[[#This Row],[Steps]])-100,F466+Table1[[#This Row],[Steps]]),
))</f>
        <v>0</v>
      </c>
      <c r="F467">
        <f>IF(Table1[[#This Row],[New Pos L]]&lt;&gt;0,Table1[[#This Row],[New Pos L]],Table1[[#This Row],[New Pos R]])</f>
        <v>73</v>
      </c>
    </row>
    <row r="468" spans="1:6" ht="16" x14ac:dyDescent="0.2">
      <c r="A468" s="1" t="s">
        <v>100</v>
      </c>
      <c r="B468" t="str">
        <f>LEFT(Table1[[#This Row],[Input]],1)</f>
        <v>R</v>
      </c>
      <c r="C468">
        <f>_xlfn.LET(_xlpm.steps,SUBSTITUTE(Table1[[#This Row],[Input]],Table1[[#This Row],[Direction]],""),VALUE(IF(LEN(_xlpm.steps)&gt;2,RIGHT(_xlpm.steps,2),_xlpm.steps)))</f>
        <v>58</v>
      </c>
      <c r="D468">
        <f>_xlfn.LET(_xlpm.dir,Table1[[#This Row],[Direction]],
IF(_xlpm.dir="L",
    IF(F467-Table1[[#This Row],[Steps]]&lt;0,100+(F467-Table1[[#This Row],[Steps]]),F467-Table1[[#This Row],[Steps]]),
))</f>
        <v>0</v>
      </c>
      <c r="E468">
        <f>_xlfn.LET(_xlpm.dir,Table1[[#This Row],[Direction]],
IF(_xlpm.dir="R",
    IF(F467+Table1[[#This Row],[Steps]]&gt;99,(F467+Table1[[#This Row],[Steps]])-100,F467+Table1[[#This Row],[Steps]]),
))</f>
        <v>31</v>
      </c>
      <c r="F468">
        <f>IF(Table1[[#This Row],[New Pos L]]&lt;&gt;0,Table1[[#This Row],[New Pos L]],Table1[[#This Row],[New Pos R]])</f>
        <v>31</v>
      </c>
    </row>
    <row r="469" spans="1:6" ht="16" x14ac:dyDescent="0.2">
      <c r="A469" s="1" t="s">
        <v>50</v>
      </c>
      <c r="B469" t="str">
        <f>LEFT(Table1[[#This Row],[Input]],1)</f>
        <v>R</v>
      </c>
      <c r="C469">
        <f>_xlfn.LET(_xlpm.steps,SUBSTITUTE(Table1[[#This Row],[Input]],Table1[[#This Row],[Direction]],""),VALUE(IF(LEN(_xlpm.steps)&gt;2,RIGHT(_xlpm.steps,2),_xlpm.steps)))</f>
        <v>78</v>
      </c>
      <c r="D469">
        <f>_xlfn.LET(_xlpm.dir,Table1[[#This Row],[Direction]],
IF(_xlpm.dir="L",
    IF(F468-Table1[[#This Row],[Steps]]&lt;0,100+(F468-Table1[[#This Row],[Steps]]),F468-Table1[[#This Row],[Steps]]),
))</f>
        <v>0</v>
      </c>
      <c r="E469">
        <f>_xlfn.LET(_xlpm.dir,Table1[[#This Row],[Direction]],
IF(_xlpm.dir="R",
    IF(F468+Table1[[#This Row],[Steps]]&gt;99,(F468+Table1[[#This Row],[Steps]])-100,F468+Table1[[#This Row],[Steps]]),
))</f>
        <v>9</v>
      </c>
      <c r="F469">
        <f>IF(Table1[[#This Row],[New Pos L]]&lt;&gt;0,Table1[[#This Row],[New Pos L]],Table1[[#This Row],[New Pos R]])</f>
        <v>9</v>
      </c>
    </row>
    <row r="470" spans="1:6" ht="16" x14ac:dyDescent="0.2">
      <c r="A470" s="1" t="s">
        <v>138</v>
      </c>
      <c r="B470" t="str">
        <f>LEFT(Table1[[#This Row],[Input]],1)</f>
        <v>L</v>
      </c>
      <c r="C470">
        <f>_xlfn.LET(_xlpm.steps,SUBSTITUTE(Table1[[#This Row],[Input]],Table1[[#This Row],[Direction]],""),VALUE(IF(LEN(_xlpm.steps)&gt;2,RIGHT(_xlpm.steps,2),_xlpm.steps)))</f>
        <v>94</v>
      </c>
      <c r="D470">
        <f>_xlfn.LET(_xlpm.dir,Table1[[#This Row],[Direction]],
IF(_xlpm.dir="L",
    IF(F469-Table1[[#This Row],[Steps]]&lt;0,100+(F469-Table1[[#This Row],[Steps]]),F469-Table1[[#This Row],[Steps]]),
))</f>
        <v>15</v>
      </c>
      <c r="E470">
        <f>_xlfn.LET(_xlpm.dir,Table1[[#This Row],[Direction]],
IF(_xlpm.dir="R",
    IF(F469+Table1[[#This Row],[Steps]]&gt;99,(F469+Table1[[#This Row],[Steps]])-100,F469+Table1[[#This Row],[Steps]]),
))</f>
        <v>0</v>
      </c>
      <c r="F470">
        <f>IF(Table1[[#This Row],[New Pos L]]&lt;&gt;0,Table1[[#This Row],[New Pos L]],Table1[[#This Row],[New Pos R]])</f>
        <v>15</v>
      </c>
    </row>
    <row r="471" spans="1:6" ht="16" x14ac:dyDescent="0.2">
      <c r="A471" s="1" t="s">
        <v>241</v>
      </c>
      <c r="B471" t="str">
        <f>LEFT(Table1[[#This Row],[Input]],1)</f>
        <v>R</v>
      </c>
      <c r="C471">
        <f>_xlfn.LET(_xlpm.steps,SUBSTITUTE(Table1[[#This Row],[Input]],Table1[[#This Row],[Direction]],""),VALUE(IF(LEN(_xlpm.steps)&gt;2,RIGHT(_xlpm.steps,2),_xlpm.steps)))</f>
        <v>60</v>
      </c>
      <c r="D471">
        <f>_xlfn.LET(_xlpm.dir,Table1[[#This Row],[Direction]],
IF(_xlpm.dir="L",
    IF(F470-Table1[[#This Row],[Steps]]&lt;0,100+(F470-Table1[[#This Row],[Steps]]),F470-Table1[[#This Row],[Steps]]),
))</f>
        <v>0</v>
      </c>
      <c r="E471">
        <f>_xlfn.LET(_xlpm.dir,Table1[[#This Row],[Direction]],
IF(_xlpm.dir="R",
    IF(F470+Table1[[#This Row],[Steps]]&gt;99,(F470+Table1[[#This Row],[Steps]])-100,F470+Table1[[#This Row],[Steps]]),
))</f>
        <v>75</v>
      </c>
      <c r="F471">
        <f>IF(Table1[[#This Row],[New Pos L]]&lt;&gt;0,Table1[[#This Row],[New Pos L]],Table1[[#This Row],[New Pos R]])</f>
        <v>75</v>
      </c>
    </row>
    <row r="472" spans="1:6" ht="16" x14ac:dyDescent="0.2">
      <c r="A472" s="1" t="s">
        <v>3</v>
      </c>
      <c r="B472" t="str">
        <f>LEFT(Table1[[#This Row],[Input]],1)</f>
        <v>R</v>
      </c>
      <c r="C472">
        <f>_xlfn.LET(_xlpm.steps,SUBSTITUTE(Table1[[#This Row],[Input]],Table1[[#This Row],[Direction]],""),VALUE(IF(LEN(_xlpm.steps)&gt;2,RIGHT(_xlpm.steps,2),_xlpm.steps)))</f>
        <v>44</v>
      </c>
      <c r="D472">
        <f>_xlfn.LET(_xlpm.dir,Table1[[#This Row],[Direction]],
IF(_xlpm.dir="L",
    IF(F471-Table1[[#This Row],[Steps]]&lt;0,100+(F471-Table1[[#This Row],[Steps]]),F471-Table1[[#This Row],[Steps]]),
))</f>
        <v>0</v>
      </c>
      <c r="E472">
        <f>_xlfn.LET(_xlpm.dir,Table1[[#This Row],[Direction]],
IF(_xlpm.dir="R",
    IF(F471+Table1[[#This Row],[Steps]]&gt;99,(F471+Table1[[#This Row],[Steps]])-100,F471+Table1[[#This Row],[Steps]]),
))</f>
        <v>19</v>
      </c>
      <c r="F472">
        <f>IF(Table1[[#This Row],[New Pos L]]&lt;&gt;0,Table1[[#This Row],[New Pos L]],Table1[[#This Row],[New Pos R]])</f>
        <v>19</v>
      </c>
    </row>
    <row r="473" spans="1:6" ht="16" x14ac:dyDescent="0.2">
      <c r="A473" s="1" t="s">
        <v>48</v>
      </c>
      <c r="B473" t="str">
        <f>LEFT(Table1[[#This Row],[Input]],1)</f>
        <v>R</v>
      </c>
      <c r="C473">
        <f>_xlfn.LET(_xlpm.steps,SUBSTITUTE(Table1[[#This Row],[Input]],Table1[[#This Row],[Direction]],""),VALUE(IF(LEN(_xlpm.steps)&gt;2,RIGHT(_xlpm.steps,2),_xlpm.steps)))</f>
        <v>81</v>
      </c>
      <c r="D473">
        <f>_xlfn.LET(_xlpm.dir,Table1[[#This Row],[Direction]],
IF(_xlpm.dir="L",
    IF(F472-Table1[[#This Row],[Steps]]&lt;0,100+(F472-Table1[[#This Row],[Steps]]),F472-Table1[[#This Row],[Steps]]),
))</f>
        <v>0</v>
      </c>
      <c r="E473">
        <f>_xlfn.LET(_xlpm.dir,Table1[[#This Row],[Direction]],
IF(_xlpm.dir="R",
    IF(F472+Table1[[#This Row],[Steps]]&gt;99,(F472+Table1[[#This Row],[Steps]])-100,F472+Table1[[#This Row],[Steps]]),
))</f>
        <v>0</v>
      </c>
      <c r="F473">
        <f>IF(Table1[[#This Row],[New Pos L]]&lt;&gt;0,Table1[[#This Row],[New Pos L]],Table1[[#This Row],[New Pos R]])</f>
        <v>0</v>
      </c>
    </row>
    <row r="474" spans="1:6" ht="16" x14ac:dyDescent="0.2">
      <c r="A474" s="1" t="s">
        <v>242</v>
      </c>
      <c r="B474" t="str">
        <f>LEFT(Table1[[#This Row],[Input]],1)</f>
        <v>R</v>
      </c>
      <c r="C474">
        <f>_xlfn.LET(_xlpm.steps,SUBSTITUTE(Table1[[#This Row],[Input]],Table1[[#This Row],[Direction]],""),VALUE(IF(LEN(_xlpm.steps)&gt;2,RIGHT(_xlpm.steps,2),_xlpm.steps)))</f>
        <v>13</v>
      </c>
      <c r="D474">
        <f>_xlfn.LET(_xlpm.dir,Table1[[#This Row],[Direction]],
IF(_xlpm.dir="L",
    IF(F473-Table1[[#This Row],[Steps]]&lt;0,100+(F473-Table1[[#This Row],[Steps]]),F473-Table1[[#This Row],[Steps]]),
))</f>
        <v>0</v>
      </c>
      <c r="E474">
        <f>_xlfn.LET(_xlpm.dir,Table1[[#This Row],[Direction]],
IF(_xlpm.dir="R",
    IF(F473+Table1[[#This Row],[Steps]]&gt;99,(F473+Table1[[#This Row],[Steps]])-100,F473+Table1[[#This Row],[Steps]]),
))</f>
        <v>13</v>
      </c>
      <c r="F474">
        <f>IF(Table1[[#This Row],[New Pos L]]&lt;&gt;0,Table1[[#This Row],[New Pos L]],Table1[[#This Row],[New Pos R]])</f>
        <v>13</v>
      </c>
    </row>
    <row r="475" spans="1:6" ht="16" x14ac:dyDescent="0.2">
      <c r="A475" s="1" t="s">
        <v>163</v>
      </c>
      <c r="B475" t="str">
        <f>LEFT(Table1[[#This Row],[Input]],1)</f>
        <v>R</v>
      </c>
      <c r="C475">
        <f>_xlfn.LET(_xlpm.steps,SUBSTITUTE(Table1[[#This Row],[Input]],Table1[[#This Row],[Direction]],""),VALUE(IF(LEN(_xlpm.steps)&gt;2,RIGHT(_xlpm.steps,2),_xlpm.steps)))</f>
        <v>53</v>
      </c>
      <c r="D475">
        <f>_xlfn.LET(_xlpm.dir,Table1[[#This Row],[Direction]],
IF(_xlpm.dir="L",
    IF(F474-Table1[[#This Row],[Steps]]&lt;0,100+(F474-Table1[[#This Row],[Steps]]),F474-Table1[[#This Row],[Steps]]),
))</f>
        <v>0</v>
      </c>
      <c r="E475">
        <f>_xlfn.LET(_xlpm.dir,Table1[[#This Row],[Direction]],
IF(_xlpm.dir="R",
    IF(F474+Table1[[#This Row],[Steps]]&gt;99,(F474+Table1[[#This Row],[Steps]])-100,F474+Table1[[#This Row],[Steps]]),
))</f>
        <v>66</v>
      </c>
      <c r="F475">
        <f>IF(Table1[[#This Row],[New Pos L]]&lt;&gt;0,Table1[[#This Row],[New Pos L]],Table1[[#This Row],[New Pos R]])</f>
        <v>66</v>
      </c>
    </row>
    <row r="476" spans="1:6" ht="16" x14ac:dyDescent="0.2">
      <c r="A476" s="1" t="s">
        <v>138</v>
      </c>
      <c r="B476" t="str">
        <f>LEFT(Table1[[#This Row],[Input]],1)</f>
        <v>L</v>
      </c>
      <c r="C476">
        <f>_xlfn.LET(_xlpm.steps,SUBSTITUTE(Table1[[#This Row],[Input]],Table1[[#This Row],[Direction]],""),VALUE(IF(LEN(_xlpm.steps)&gt;2,RIGHT(_xlpm.steps,2),_xlpm.steps)))</f>
        <v>94</v>
      </c>
      <c r="D476">
        <f>_xlfn.LET(_xlpm.dir,Table1[[#This Row],[Direction]],
IF(_xlpm.dir="L",
    IF(F475-Table1[[#This Row],[Steps]]&lt;0,100+(F475-Table1[[#This Row],[Steps]]),F475-Table1[[#This Row],[Steps]]),
))</f>
        <v>72</v>
      </c>
      <c r="E476">
        <f>_xlfn.LET(_xlpm.dir,Table1[[#This Row],[Direction]],
IF(_xlpm.dir="R",
    IF(F475+Table1[[#This Row],[Steps]]&gt;99,(F475+Table1[[#This Row],[Steps]])-100,F475+Table1[[#This Row],[Steps]]),
))</f>
        <v>0</v>
      </c>
      <c r="F476">
        <f>IF(Table1[[#This Row],[New Pos L]]&lt;&gt;0,Table1[[#This Row],[New Pos L]],Table1[[#This Row],[New Pos R]])</f>
        <v>72</v>
      </c>
    </row>
    <row r="477" spans="1:6" ht="16" x14ac:dyDescent="0.2">
      <c r="A477" s="1" t="s">
        <v>35</v>
      </c>
      <c r="B477" t="str">
        <f>LEFT(Table1[[#This Row],[Input]],1)</f>
        <v>L</v>
      </c>
      <c r="C477">
        <f>_xlfn.LET(_xlpm.steps,SUBSTITUTE(Table1[[#This Row],[Input]],Table1[[#This Row],[Direction]],""),VALUE(IF(LEN(_xlpm.steps)&gt;2,RIGHT(_xlpm.steps,2),_xlpm.steps)))</f>
        <v>2</v>
      </c>
      <c r="D477">
        <f>_xlfn.LET(_xlpm.dir,Table1[[#This Row],[Direction]],
IF(_xlpm.dir="L",
    IF(F476-Table1[[#This Row],[Steps]]&lt;0,100+(F476-Table1[[#This Row],[Steps]]),F476-Table1[[#This Row],[Steps]]),
))</f>
        <v>70</v>
      </c>
      <c r="E477">
        <f>_xlfn.LET(_xlpm.dir,Table1[[#This Row],[Direction]],
IF(_xlpm.dir="R",
    IF(F476+Table1[[#This Row],[Steps]]&gt;99,(F476+Table1[[#This Row],[Steps]])-100,F476+Table1[[#This Row],[Steps]]),
))</f>
        <v>0</v>
      </c>
      <c r="F477">
        <f>IF(Table1[[#This Row],[New Pos L]]&lt;&gt;0,Table1[[#This Row],[New Pos L]],Table1[[#This Row],[New Pos R]])</f>
        <v>70</v>
      </c>
    </row>
    <row r="478" spans="1:6" ht="16" x14ac:dyDescent="0.2">
      <c r="A478" s="1" t="s">
        <v>91</v>
      </c>
      <c r="B478" t="str">
        <f>LEFT(Table1[[#This Row],[Input]],1)</f>
        <v>L</v>
      </c>
      <c r="C478">
        <f>_xlfn.LET(_xlpm.steps,SUBSTITUTE(Table1[[#This Row],[Input]],Table1[[#This Row],[Direction]],""),VALUE(IF(LEN(_xlpm.steps)&gt;2,RIGHT(_xlpm.steps,2),_xlpm.steps)))</f>
        <v>22</v>
      </c>
      <c r="D478">
        <f>_xlfn.LET(_xlpm.dir,Table1[[#This Row],[Direction]],
IF(_xlpm.dir="L",
    IF(F477-Table1[[#This Row],[Steps]]&lt;0,100+(F477-Table1[[#This Row],[Steps]]),F477-Table1[[#This Row],[Steps]]),
))</f>
        <v>48</v>
      </c>
      <c r="E478">
        <f>_xlfn.LET(_xlpm.dir,Table1[[#This Row],[Direction]],
IF(_xlpm.dir="R",
    IF(F477+Table1[[#This Row],[Steps]]&gt;99,(F477+Table1[[#This Row],[Steps]])-100,F477+Table1[[#This Row],[Steps]]),
))</f>
        <v>0</v>
      </c>
      <c r="F478">
        <f>IF(Table1[[#This Row],[New Pos L]]&lt;&gt;0,Table1[[#This Row],[New Pos L]],Table1[[#This Row],[New Pos R]])</f>
        <v>48</v>
      </c>
    </row>
    <row r="479" spans="1:6" ht="16" x14ac:dyDescent="0.2">
      <c r="A479" s="1" t="s">
        <v>243</v>
      </c>
      <c r="B479" t="str">
        <f>LEFT(Table1[[#This Row],[Input]],1)</f>
        <v>R</v>
      </c>
      <c r="C479">
        <f>_xlfn.LET(_xlpm.steps,SUBSTITUTE(Table1[[#This Row],[Input]],Table1[[#This Row],[Direction]],""),VALUE(IF(LEN(_xlpm.steps)&gt;2,RIGHT(_xlpm.steps,2),_xlpm.steps)))</f>
        <v>29</v>
      </c>
      <c r="D479">
        <f>_xlfn.LET(_xlpm.dir,Table1[[#This Row],[Direction]],
IF(_xlpm.dir="L",
    IF(F478-Table1[[#This Row],[Steps]]&lt;0,100+(F478-Table1[[#This Row],[Steps]]),F478-Table1[[#This Row],[Steps]]),
))</f>
        <v>0</v>
      </c>
      <c r="E479">
        <f>_xlfn.LET(_xlpm.dir,Table1[[#This Row],[Direction]],
IF(_xlpm.dir="R",
    IF(F478+Table1[[#This Row],[Steps]]&gt;99,(F478+Table1[[#This Row],[Steps]])-100,F478+Table1[[#This Row],[Steps]]),
))</f>
        <v>77</v>
      </c>
      <c r="F479">
        <f>IF(Table1[[#This Row],[New Pos L]]&lt;&gt;0,Table1[[#This Row],[New Pos L]],Table1[[#This Row],[New Pos R]])</f>
        <v>77</v>
      </c>
    </row>
    <row r="480" spans="1:6" ht="16" x14ac:dyDescent="0.2">
      <c r="A480" s="1" t="s">
        <v>44</v>
      </c>
      <c r="B480" t="str">
        <f>LEFT(Table1[[#This Row],[Input]],1)</f>
        <v>R</v>
      </c>
      <c r="C480">
        <f>_xlfn.LET(_xlpm.steps,SUBSTITUTE(Table1[[#This Row],[Input]],Table1[[#This Row],[Direction]],""),VALUE(IF(LEN(_xlpm.steps)&gt;2,RIGHT(_xlpm.steps,2),_xlpm.steps)))</f>
        <v>96</v>
      </c>
      <c r="D480">
        <f>_xlfn.LET(_xlpm.dir,Table1[[#This Row],[Direction]],
IF(_xlpm.dir="L",
    IF(F479-Table1[[#This Row],[Steps]]&lt;0,100+(F479-Table1[[#This Row],[Steps]]),F479-Table1[[#This Row],[Steps]]),
))</f>
        <v>0</v>
      </c>
      <c r="E480">
        <f>_xlfn.LET(_xlpm.dir,Table1[[#This Row],[Direction]],
IF(_xlpm.dir="R",
    IF(F479+Table1[[#This Row],[Steps]]&gt;99,(F479+Table1[[#This Row],[Steps]])-100,F479+Table1[[#This Row],[Steps]]),
))</f>
        <v>73</v>
      </c>
      <c r="F480">
        <f>IF(Table1[[#This Row],[New Pos L]]&lt;&gt;0,Table1[[#This Row],[New Pos L]],Table1[[#This Row],[New Pos R]])</f>
        <v>73</v>
      </c>
    </row>
    <row r="481" spans="1:6" ht="16" x14ac:dyDescent="0.2">
      <c r="A481" s="1" t="s">
        <v>244</v>
      </c>
      <c r="B481" t="str">
        <f>LEFT(Table1[[#This Row],[Input]],1)</f>
        <v>L</v>
      </c>
      <c r="C481">
        <f>_xlfn.LET(_xlpm.steps,SUBSTITUTE(Table1[[#This Row],[Input]],Table1[[#This Row],[Direction]],""),VALUE(IF(LEN(_xlpm.steps)&gt;2,RIGHT(_xlpm.steps,2),_xlpm.steps)))</f>
        <v>98</v>
      </c>
      <c r="D481">
        <f>_xlfn.LET(_xlpm.dir,Table1[[#This Row],[Direction]],
IF(_xlpm.dir="L",
    IF(F480-Table1[[#This Row],[Steps]]&lt;0,100+(F480-Table1[[#This Row],[Steps]]),F480-Table1[[#This Row],[Steps]]),
))</f>
        <v>75</v>
      </c>
      <c r="E481">
        <f>_xlfn.LET(_xlpm.dir,Table1[[#This Row],[Direction]],
IF(_xlpm.dir="R",
    IF(F480+Table1[[#This Row],[Steps]]&gt;99,(F480+Table1[[#This Row],[Steps]])-100,F480+Table1[[#This Row],[Steps]]),
))</f>
        <v>0</v>
      </c>
      <c r="F481">
        <f>IF(Table1[[#This Row],[New Pos L]]&lt;&gt;0,Table1[[#This Row],[New Pos L]],Table1[[#This Row],[New Pos R]])</f>
        <v>75</v>
      </c>
    </row>
    <row r="482" spans="1:6" ht="16" x14ac:dyDescent="0.2">
      <c r="A482" s="1" t="s">
        <v>54</v>
      </c>
      <c r="B482" t="str">
        <f>LEFT(Table1[[#This Row],[Input]],1)</f>
        <v>L</v>
      </c>
      <c r="C482">
        <f>_xlfn.LET(_xlpm.steps,SUBSTITUTE(Table1[[#This Row],[Input]],Table1[[#This Row],[Direction]],""),VALUE(IF(LEN(_xlpm.steps)&gt;2,RIGHT(_xlpm.steps,2),_xlpm.steps)))</f>
        <v>75</v>
      </c>
      <c r="D482">
        <f>_xlfn.LET(_xlpm.dir,Table1[[#This Row],[Direction]],
IF(_xlpm.dir="L",
    IF(F481-Table1[[#This Row],[Steps]]&lt;0,100+(F481-Table1[[#This Row],[Steps]]),F481-Table1[[#This Row],[Steps]]),
))</f>
        <v>0</v>
      </c>
      <c r="E482">
        <f>_xlfn.LET(_xlpm.dir,Table1[[#This Row],[Direction]],
IF(_xlpm.dir="R",
    IF(F481+Table1[[#This Row],[Steps]]&gt;99,(F481+Table1[[#This Row],[Steps]])-100,F481+Table1[[#This Row],[Steps]]),
))</f>
        <v>0</v>
      </c>
      <c r="F482">
        <f>IF(Table1[[#This Row],[New Pos L]]&lt;&gt;0,Table1[[#This Row],[New Pos L]],Table1[[#This Row],[New Pos R]])</f>
        <v>0</v>
      </c>
    </row>
    <row r="483" spans="1:6" ht="16" x14ac:dyDescent="0.2">
      <c r="A483" s="1" t="s">
        <v>245</v>
      </c>
      <c r="B483" t="str">
        <f>LEFT(Table1[[#This Row],[Input]],1)</f>
        <v>R</v>
      </c>
      <c r="C483">
        <f>_xlfn.LET(_xlpm.steps,SUBSTITUTE(Table1[[#This Row],[Input]],Table1[[#This Row],[Direction]],""),VALUE(IF(LEN(_xlpm.steps)&gt;2,RIGHT(_xlpm.steps,2),_xlpm.steps)))</f>
        <v>71</v>
      </c>
      <c r="D483">
        <f>_xlfn.LET(_xlpm.dir,Table1[[#This Row],[Direction]],
IF(_xlpm.dir="L",
    IF(F482-Table1[[#This Row],[Steps]]&lt;0,100+(F482-Table1[[#This Row],[Steps]]),F482-Table1[[#This Row],[Steps]]),
))</f>
        <v>0</v>
      </c>
      <c r="E483">
        <f>_xlfn.LET(_xlpm.dir,Table1[[#This Row],[Direction]],
IF(_xlpm.dir="R",
    IF(F482+Table1[[#This Row],[Steps]]&gt;99,(F482+Table1[[#This Row],[Steps]])-100,F482+Table1[[#This Row],[Steps]]),
))</f>
        <v>71</v>
      </c>
      <c r="F483">
        <f>IF(Table1[[#This Row],[New Pos L]]&lt;&gt;0,Table1[[#This Row],[New Pos L]],Table1[[#This Row],[New Pos R]])</f>
        <v>71</v>
      </c>
    </row>
    <row r="484" spans="1:6" ht="16" x14ac:dyDescent="0.2">
      <c r="A484" s="1" t="s">
        <v>139</v>
      </c>
      <c r="B484" t="str">
        <f>LEFT(Table1[[#This Row],[Input]],1)</f>
        <v>R</v>
      </c>
      <c r="C484">
        <f>_xlfn.LET(_xlpm.steps,SUBSTITUTE(Table1[[#This Row],[Input]],Table1[[#This Row],[Direction]],""),VALUE(IF(LEN(_xlpm.steps)&gt;2,RIGHT(_xlpm.steps,2),_xlpm.steps)))</f>
        <v>38</v>
      </c>
      <c r="D484">
        <f>_xlfn.LET(_xlpm.dir,Table1[[#This Row],[Direction]],
IF(_xlpm.dir="L",
    IF(F483-Table1[[#This Row],[Steps]]&lt;0,100+(F483-Table1[[#This Row],[Steps]]),F483-Table1[[#This Row],[Steps]]),
))</f>
        <v>0</v>
      </c>
      <c r="E484">
        <f>_xlfn.LET(_xlpm.dir,Table1[[#This Row],[Direction]],
IF(_xlpm.dir="R",
    IF(F483+Table1[[#This Row],[Steps]]&gt;99,(F483+Table1[[#This Row],[Steps]])-100,F483+Table1[[#This Row],[Steps]]),
))</f>
        <v>9</v>
      </c>
      <c r="F484">
        <f>IF(Table1[[#This Row],[New Pos L]]&lt;&gt;0,Table1[[#This Row],[New Pos L]],Table1[[#This Row],[New Pos R]])</f>
        <v>9</v>
      </c>
    </row>
    <row r="485" spans="1:6" ht="16" x14ac:dyDescent="0.2">
      <c r="A485" s="1" t="s">
        <v>131</v>
      </c>
      <c r="B485" t="str">
        <f>LEFT(Table1[[#This Row],[Input]],1)</f>
        <v>R</v>
      </c>
      <c r="C485">
        <f>_xlfn.LET(_xlpm.steps,SUBSTITUTE(Table1[[#This Row],[Input]],Table1[[#This Row],[Direction]],""),VALUE(IF(LEN(_xlpm.steps)&gt;2,RIGHT(_xlpm.steps,2),_xlpm.steps)))</f>
        <v>99</v>
      </c>
      <c r="D485">
        <f>_xlfn.LET(_xlpm.dir,Table1[[#This Row],[Direction]],
IF(_xlpm.dir="L",
    IF(F484-Table1[[#This Row],[Steps]]&lt;0,100+(F484-Table1[[#This Row],[Steps]]),F484-Table1[[#This Row],[Steps]]),
))</f>
        <v>0</v>
      </c>
      <c r="E485">
        <f>_xlfn.LET(_xlpm.dir,Table1[[#This Row],[Direction]],
IF(_xlpm.dir="R",
    IF(F484+Table1[[#This Row],[Steps]]&gt;99,(F484+Table1[[#This Row],[Steps]])-100,F484+Table1[[#This Row],[Steps]]),
))</f>
        <v>8</v>
      </c>
      <c r="F485">
        <f>IF(Table1[[#This Row],[New Pos L]]&lt;&gt;0,Table1[[#This Row],[New Pos L]],Table1[[#This Row],[New Pos R]])</f>
        <v>8</v>
      </c>
    </row>
    <row r="486" spans="1:6" ht="16" x14ac:dyDescent="0.2">
      <c r="A486" s="1" t="s">
        <v>217</v>
      </c>
      <c r="B486" t="str">
        <f>LEFT(Table1[[#This Row],[Input]],1)</f>
        <v>R</v>
      </c>
      <c r="C486">
        <f>_xlfn.LET(_xlpm.steps,SUBSTITUTE(Table1[[#This Row],[Input]],Table1[[#This Row],[Direction]],""),VALUE(IF(LEN(_xlpm.steps)&gt;2,RIGHT(_xlpm.steps,2),_xlpm.steps)))</f>
        <v>91</v>
      </c>
      <c r="D486">
        <f>_xlfn.LET(_xlpm.dir,Table1[[#This Row],[Direction]],
IF(_xlpm.dir="L",
    IF(F485-Table1[[#This Row],[Steps]]&lt;0,100+(F485-Table1[[#This Row],[Steps]]),F485-Table1[[#This Row],[Steps]]),
))</f>
        <v>0</v>
      </c>
      <c r="E486">
        <f>_xlfn.LET(_xlpm.dir,Table1[[#This Row],[Direction]],
IF(_xlpm.dir="R",
    IF(F485+Table1[[#This Row],[Steps]]&gt;99,(F485+Table1[[#This Row],[Steps]])-100,F485+Table1[[#This Row],[Steps]]),
))</f>
        <v>99</v>
      </c>
      <c r="F486">
        <f>IF(Table1[[#This Row],[New Pos L]]&lt;&gt;0,Table1[[#This Row],[New Pos L]],Table1[[#This Row],[New Pos R]])</f>
        <v>99</v>
      </c>
    </row>
    <row r="487" spans="1:6" ht="16" x14ac:dyDescent="0.2">
      <c r="A487" s="1" t="s">
        <v>126</v>
      </c>
      <c r="B487" t="str">
        <f>LEFT(Table1[[#This Row],[Input]],1)</f>
        <v>R</v>
      </c>
      <c r="C487">
        <f>_xlfn.LET(_xlpm.steps,SUBSTITUTE(Table1[[#This Row],[Input]],Table1[[#This Row],[Direction]],""),VALUE(IF(LEN(_xlpm.steps)&gt;2,RIGHT(_xlpm.steps,2),_xlpm.steps)))</f>
        <v>65</v>
      </c>
      <c r="D487">
        <f>_xlfn.LET(_xlpm.dir,Table1[[#This Row],[Direction]],
IF(_xlpm.dir="L",
    IF(F486-Table1[[#This Row],[Steps]]&lt;0,100+(F486-Table1[[#This Row],[Steps]]),F486-Table1[[#This Row],[Steps]]),
))</f>
        <v>0</v>
      </c>
      <c r="E487">
        <f>_xlfn.LET(_xlpm.dir,Table1[[#This Row],[Direction]],
IF(_xlpm.dir="R",
    IF(F486+Table1[[#This Row],[Steps]]&gt;99,(F486+Table1[[#This Row],[Steps]])-100,F486+Table1[[#This Row],[Steps]]),
))</f>
        <v>64</v>
      </c>
      <c r="F487">
        <f>IF(Table1[[#This Row],[New Pos L]]&lt;&gt;0,Table1[[#This Row],[New Pos L]],Table1[[#This Row],[New Pos R]])</f>
        <v>64</v>
      </c>
    </row>
    <row r="488" spans="1:6" ht="16" x14ac:dyDescent="0.2">
      <c r="A488" s="1" t="s">
        <v>219</v>
      </c>
      <c r="B488" t="str">
        <f>LEFT(Table1[[#This Row],[Input]],1)</f>
        <v>L</v>
      </c>
      <c r="C488">
        <f>_xlfn.LET(_xlpm.steps,SUBSTITUTE(Table1[[#This Row],[Input]],Table1[[#This Row],[Direction]],""),VALUE(IF(LEN(_xlpm.steps)&gt;2,RIGHT(_xlpm.steps,2),_xlpm.steps)))</f>
        <v>64</v>
      </c>
      <c r="D488">
        <f>_xlfn.LET(_xlpm.dir,Table1[[#This Row],[Direction]],
IF(_xlpm.dir="L",
    IF(F487-Table1[[#This Row],[Steps]]&lt;0,100+(F487-Table1[[#This Row],[Steps]]),F487-Table1[[#This Row],[Steps]]),
))</f>
        <v>0</v>
      </c>
      <c r="E488">
        <f>_xlfn.LET(_xlpm.dir,Table1[[#This Row],[Direction]],
IF(_xlpm.dir="R",
    IF(F487+Table1[[#This Row],[Steps]]&gt;99,(F487+Table1[[#This Row],[Steps]])-100,F487+Table1[[#This Row],[Steps]]),
))</f>
        <v>0</v>
      </c>
      <c r="F488">
        <f>IF(Table1[[#This Row],[New Pos L]]&lt;&gt;0,Table1[[#This Row],[New Pos L]],Table1[[#This Row],[New Pos R]])</f>
        <v>0</v>
      </c>
    </row>
    <row r="489" spans="1:6" ht="16" x14ac:dyDescent="0.2">
      <c r="A489" s="1" t="s">
        <v>182</v>
      </c>
      <c r="B489" t="str">
        <f>LEFT(Table1[[#This Row],[Input]],1)</f>
        <v>L</v>
      </c>
      <c r="C489">
        <f>_xlfn.LET(_xlpm.steps,SUBSTITUTE(Table1[[#This Row],[Input]],Table1[[#This Row],[Direction]],""),VALUE(IF(LEN(_xlpm.steps)&gt;2,RIGHT(_xlpm.steps,2),_xlpm.steps)))</f>
        <v>3</v>
      </c>
      <c r="D489">
        <f>_xlfn.LET(_xlpm.dir,Table1[[#This Row],[Direction]],
IF(_xlpm.dir="L",
    IF(F488-Table1[[#This Row],[Steps]]&lt;0,100+(F488-Table1[[#This Row],[Steps]]),F488-Table1[[#This Row],[Steps]]),
))</f>
        <v>97</v>
      </c>
      <c r="E489">
        <f>_xlfn.LET(_xlpm.dir,Table1[[#This Row],[Direction]],
IF(_xlpm.dir="R",
    IF(F488+Table1[[#This Row],[Steps]]&gt;99,(F488+Table1[[#This Row],[Steps]])-100,F488+Table1[[#This Row],[Steps]]),
))</f>
        <v>0</v>
      </c>
      <c r="F489">
        <f>IF(Table1[[#This Row],[New Pos L]]&lt;&gt;0,Table1[[#This Row],[New Pos L]],Table1[[#This Row],[New Pos R]])</f>
        <v>97</v>
      </c>
    </row>
    <row r="490" spans="1:6" ht="16" x14ac:dyDescent="0.2">
      <c r="A490" s="1" t="s">
        <v>41</v>
      </c>
      <c r="B490" t="str">
        <f>LEFT(Table1[[#This Row],[Input]],1)</f>
        <v>L</v>
      </c>
      <c r="C490">
        <f>_xlfn.LET(_xlpm.steps,SUBSTITUTE(Table1[[#This Row],[Input]],Table1[[#This Row],[Direction]],""),VALUE(IF(LEN(_xlpm.steps)&gt;2,RIGHT(_xlpm.steps,2),_xlpm.steps)))</f>
        <v>7</v>
      </c>
      <c r="D490">
        <f>_xlfn.LET(_xlpm.dir,Table1[[#This Row],[Direction]],
IF(_xlpm.dir="L",
    IF(F489-Table1[[#This Row],[Steps]]&lt;0,100+(F489-Table1[[#This Row],[Steps]]),F489-Table1[[#This Row],[Steps]]),
))</f>
        <v>90</v>
      </c>
      <c r="E490">
        <f>_xlfn.LET(_xlpm.dir,Table1[[#This Row],[Direction]],
IF(_xlpm.dir="R",
    IF(F489+Table1[[#This Row],[Steps]]&gt;99,(F489+Table1[[#This Row],[Steps]])-100,F489+Table1[[#This Row],[Steps]]),
))</f>
        <v>0</v>
      </c>
      <c r="F490">
        <f>IF(Table1[[#This Row],[New Pos L]]&lt;&gt;0,Table1[[#This Row],[New Pos L]],Table1[[#This Row],[New Pos R]])</f>
        <v>90</v>
      </c>
    </row>
    <row r="491" spans="1:6" ht="16" x14ac:dyDescent="0.2">
      <c r="A491" s="1" t="s">
        <v>246</v>
      </c>
      <c r="B491" t="str">
        <f>LEFT(Table1[[#This Row],[Input]],1)</f>
        <v>L</v>
      </c>
      <c r="C491">
        <f>_xlfn.LET(_xlpm.steps,SUBSTITUTE(Table1[[#This Row],[Input]],Table1[[#This Row],[Direction]],""),VALUE(IF(LEN(_xlpm.steps)&gt;2,RIGHT(_xlpm.steps,2),_xlpm.steps)))</f>
        <v>90</v>
      </c>
      <c r="D491">
        <f>_xlfn.LET(_xlpm.dir,Table1[[#This Row],[Direction]],
IF(_xlpm.dir="L",
    IF(F490-Table1[[#This Row],[Steps]]&lt;0,100+(F490-Table1[[#This Row],[Steps]]),F490-Table1[[#This Row],[Steps]]),
))</f>
        <v>0</v>
      </c>
      <c r="E491">
        <f>_xlfn.LET(_xlpm.dir,Table1[[#This Row],[Direction]],
IF(_xlpm.dir="R",
    IF(F490+Table1[[#This Row],[Steps]]&gt;99,(F490+Table1[[#This Row],[Steps]])-100,F490+Table1[[#This Row],[Steps]]),
))</f>
        <v>0</v>
      </c>
      <c r="F491">
        <f>IF(Table1[[#This Row],[New Pos L]]&lt;&gt;0,Table1[[#This Row],[New Pos L]],Table1[[#This Row],[New Pos R]])</f>
        <v>0</v>
      </c>
    </row>
    <row r="492" spans="1:6" ht="16" x14ac:dyDescent="0.2">
      <c r="A492" s="1" t="s">
        <v>183</v>
      </c>
      <c r="B492" t="str">
        <f>LEFT(Table1[[#This Row],[Input]],1)</f>
        <v>L</v>
      </c>
      <c r="C492">
        <f>_xlfn.LET(_xlpm.steps,SUBSTITUTE(Table1[[#This Row],[Input]],Table1[[#This Row],[Direction]],""),VALUE(IF(LEN(_xlpm.steps)&gt;2,RIGHT(_xlpm.steps,2),_xlpm.steps)))</f>
        <v>67</v>
      </c>
      <c r="D492">
        <f>_xlfn.LET(_xlpm.dir,Table1[[#This Row],[Direction]],
IF(_xlpm.dir="L",
    IF(F491-Table1[[#This Row],[Steps]]&lt;0,100+(F491-Table1[[#This Row],[Steps]]),F491-Table1[[#This Row],[Steps]]),
))</f>
        <v>33</v>
      </c>
      <c r="E492">
        <f>_xlfn.LET(_xlpm.dir,Table1[[#This Row],[Direction]],
IF(_xlpm.dir="R",
    IF(F491+Table1[[#This Row],[Steps]]&gt;99,(F491+Table1[[#This Row],[Steps]])-100,F491+Table1[[#This Row],[Steps]]),
))</f>
        <v>0</v>
      </c>
      <c r="F492">
        <f>IF(Table1[[#This Row],[New Pos L]]&lt;&gt;0,Table1[[#This Row],[New Pos L]],Table1[[#This Row],[New Pos R]])</f>
        <v>33</v>
      </c>
    </row>
    <row r="493" spans="1:6" ht="16" x14ac:dyDescent="0.2">
      <c r="A493" s="1" t="s">
        <v>247</v>
      </c>
      <c r="B493" t="str">
        <f>LEFT(Table1[[#This Row],[Input]],1)</f>
        <v>L</v>
      </c>
      <c r="C493">
        <f>_xlfn.LET(_xlpm.steps,SUBSTITUTE(Table1[[#This Row],[Input]],Table1[[#This Row],[Direction]],""),VALUE(IF(LEN(_xlpm.steps)&gt;2,RIGHT(_xlpm.steps,2),_xlpm.steps)))</f>
        <v>54</v>
      </c>
      <c r="D493">
        <f>_xlfn.LET(_xlpm.dir,Table1[[#This Row],[Direction]],
IF(_xlpm.dir="L",
    IF(F492-Table1[[#This Row],[Steps]]&lt;0,100+(F492-Table1[[#This Row],[Steps]]),F492-Table1[[#This Row],[Steps]]),
))</f>
        <v>79</v>
      </c>
      <c r="E493">
        <f>_xlfn.LET(_xlpm.dir,Table1[[#This Row],[Direction]],
IF(_xlpm.dir="R",
    IF(F492+Table1[[#This Row],[Steps]]&gt;99,(F492+Table1[[#This Row],[Steps]])-100,F492+Table1[[#This Row],[Steps]]),
))</f>
        <v>0</v>
      </c>
      <c r="F493">
        <f>IF(Table1[[#This Row],[New Pos L]]&lt;&gt;0,Table1[[#This Row],[New Pos L]],Table1[[#This Row],[New Pos R]])</f>
        <v>79</v>
      </c>
    </row>
    <row r="494" spans="1:6" ht="16" x14ac:dyDescent="0.2">
      <c r="A494" s="1" t="s">
        <v>248</v>
      </c>
      <c r="B494" t="str">
        <f>LEFT(Table1[[#This Row],[Input]],1)</f>
        <v>L</v>
      </c>
      <c r="C494">
        <f>_xlfn.LET(_xlpm.steps,SUBSTITUTE(Table1[[#This Row],[Input]],Table1[[#This Row],[Direction]],""),VALUE(IF(LEN(_xlpm.steps)&gt;2,RIGHT(_xlpm.steps,2),_xlpm.steps)))</f>
        <v>84</v>
      </c>
      <c r="D494">
        <f>_xlfn.LET(_xlpm.dir,Table1[[#This Row],[Direction]],
IF(_xlpm.dir="L",
    IF(F493-Table1[[#This Row],[Steps]]&lt;0,100+(F493-Table1[[#This Row],[Steps]]),F493-Table1[[#This Row],[Steps]]),
))</f>
        <v>95</v>
      </c>
      <c r="E494">
        <f>_xlfn.LET(_xlpm.dir,Table1[[#This Row],[Direction]],
IF(_xlpm.dir="R",
    IF(F493+Table1[[#This Row],[Steps]]&gt;99,(F493+Table1[[#This Row],[Steps]])-100,F493+Table1[[#This Row],[Steps]]),
))</f>
        <v>0</v>
      </c>
      <c r="F494">
        <f>IF(Table1[[#This Row],[New Pos L]]&lt;&gt;0,Table1[[#This Row],[New Pos L]],Table1[[#This Row],[New Pos R]])</f>
        <v>95</v>
      </c>
    </row>
    <row r="495" spans="1:6" ht="16" x14ac:dyDescent="0.2">
      <c r="A495" s="1" t="s">
        <v>60</v>
      </c>
      <c r="B495" t="str">
        <f>LEFT(Table1[[#This Row],[Input]],1)</f>
        <v>R</v>
      </c>
      <c r="C495">
        <f>_xlfn.LET(_xlpm.steps,SUBSTITUTE(Table1[[#This Row],[Input]],Table1[[#This Row],[Direction]],""),VALUE(IF(LEN(_xlpm.steps)&gt;2,RIGHT(_xlpm.steps,2),_xlpm.steps)))</f>
        <v>86</v>
      </c>
      <c r="D495">
        <f>_xlfn.LET(_xlpm.dir,Table1[[#This Row],[Direction]],
IF(_xlpm.dir="L",
    IF(F494-Table1[[#This Row],[Steps]]&lt;0,100+(F494-Table1[[#This Row],[Steps]]),F494-Table1[[#This Row],[Steps]]),
))</f>
        <v>0</v>
      </c>
      <c r="E495">
        <f>_xlfn.LET(_xlpm.dir,Table1[[#This Row],[Direction]],
IF(_xlpm.dir="R",
    IF(F494+Table1[[#This Row],[Steps]]&gt;99,(F494+Table1[[#This Row],[Steps]])-100,F494+Table1[[#This Row],[Steps]]),
))</f>
        <v>81</v>
      </c>
      <c r="F495">
        <f>IF(Table1[[#This Row],[New Pos L]]&lt;&gt;0,Table1[[#This Row],[New Pos L]],Table1[[#This Row],[New Pos R]])</f>
        <v>81</v>
      </c>
    </row>
    <row r="496" spans="1:6" ht="16" x14ac:dyDescent="0.2">
      <c r="A496" s="1" t="s">
        <v>249</v>
      </c>
      <c r="B496" t="str">
        <f>LEFT(Table1[[#This Row],[Input]],1)</f>
        <v>R</v>
      </c>
      <c r="C496">
        <f>_xlfn.LET(_xlpm.steps,SUBSTITUTE(Table1[[#This Row],[Input]],Table1[[#This Row],[Direction]],""),VALUE(IF(LEN(_xlpm.steps)&gt;2,RIGHT(_xlpm.steps,2),_xlpm.steps)))</f>
        <v>19</v>
      </c>
      <c r="D496">
        <f>_xlfn.LET(_xlpm.dir,Table1[[#This Row],[Direction]],
IF(_xlpm.dir="L",
    IF(F495-Table1[[#This Row],[Steps]]&lt;0,100+(F495-Table1[[#This Row],[Steps]]),F495-Table1[[#This Row],[Steps]]),
))</f>
        <v>0</v>
      </c>
      <c r="E496">
        <f>_xlfn.LET(_xlpm.dir,Table1[[#This Row],[Direction]],
IF(_xlpm.dir="R",
    IF(F495+Table1[[#This Row],[Steps]]&gt;99,(F495+Table1[[#This Row],[Steps]])-100,F495+Table1[[#This Row],[Steps]]),
))</f>
        <v>0</v>
      </c>
      <c r="F496">
        <f>IF(Table1[[#This Row],[New Pos L]]&lt;&gt;0,Table1[[#This Row],[New Pos L]],Table1[[#This Row],[New Pos R]])</f>
        <v>0</v>
      </c>
    </row>
    <row r="497" spans="1:6" ht="16" x14ac:dyDescent="0.2">
      <c r="A497" s="1" t="s">
        <v>171</v>
      </c>
      <c r="B497" t="str">
        <f>LEFT(Table1[[#This Row],[Input]],1)</f>
        <v>L</v>
      </c>
      <c r="C497">
        <f>_xlfn.LET(_xlpm.steps,SUBSTITUTE(Table1[[#This Row],[Input]],Table1[[#This Row],[Direction]],""),VALUE(IF(LEN(_xlpm.steps)&gt;2,RIGHT(_xlpm.steps,2),_xlpm.steps)))</f>
        <v>73</v>
      </c>
      <c r="D497">
        <f>_xlfn.LET(_xlpm.dir,Table1[[#This Row],[Direction]],
IF(_xlpm.dir="L",
    IF(F496-Table1[[#This Row],[Steps]]&lt;0,100+(F496-Table1[[#This Row],[Steps]]),F496-Table1[[#This Row],[Steps]]),
))</f>
        <v>27</v>
      </c>
      <c r="E497">
        <f>_xlfn.LET(_xlpm.dir,Table1[[#This Row],[Direction]],
IF(_xlpm.dir="R",
    IF(F496+Table1[[#This Row],[Steps]]&gt;99,(F496+Table1[[#This Row],[Steps]])-100,F496+Table1[[#This Row],[Steps]]),
))</f>
        <v>0</v>
      </c>
      <c r="F497">
        <f>IF(Table1[[#This Row],[New Pos L]]&lt;&gt;0,Table1[[#This Row],[New Pos L]],Table1[[#This Row],[New Pos R]])</f>
        <v>27</v>
      </c>
    </row>
    <row r="498" spans="1:6" ht="16" x14ac:dyDescent="0.2">
      <c r="A498" s="1" t="s">
        <v>42</v>
      </c>
      <c r="B498" t="str">
        <f>LEFT(Table1[[#This Row],[Input]],1)</f>
        <v>L</v>
      </c>
      <c r="C498">
        <f>_xlfn.LET(_xlpm.steps,SUBSTITUTE(Table1[[#This Row],[Input]],Table1[[#This Row],[Direction]],""),VALUE(IF(LEN(_xlpm.steps)&gt;2,RIGHT(_xlpm.steps,2),_xlpm.steps)))</f>
        <v>27</v>
      </c>
      <c r="D498">
        <f>_xlfn.LET(_xlpm.dir,Table1[[#This Row],[Direction]],
IF(_xlpm.dir="L",
    IF(F497-Table1[[#This Row],[Steps]]&lt;0,100+(F497-Table1[[#This Row],[Steps]]),F497-Table1[[#This Row],[Steps]]),
))</f>
        <v>0</v>
      </c>
      <c r="E498">
        <f>_xlfn.LET(_xlpm.dir,Table1[[#This Row],[Direction]],
IF(_xlpm.dir="R",
    IF(F497+Table1[[#This Row],[Steps]]&gt;99,(F497+Table1[[#This Row],[Steps]])-100,F497+Table1[[#This Row],[Steps]]),
))</f>
        <v>0</v>
      </c>
      <c r="F498">
        <f>IF(Table1[[#This Row],[New Pos L]]&lt;&gt;0,Table1[[#This Row],[New Pos L]],Table1[[#This Row],[New Pos R]])</f>
        <v>0</v>
      </c>
    </row>
    <row r="499" spans="1:6" ht="16" x14ac:dyDescent="0.2">
      <c r="A499" s="1" t="s">
        <v>7</v>
      </c>
      <c r="B499" t="str">
        <f>LEFT(Table1[[#This Row],[Input]],1)</f>
        <v>R</v>
      </c>
      <c r="C499">
        <f>_xlfn.LET(_xlpm.steps,SUBSTITUTE(Table1[[#This Row],[Input]],Table1[[#This Row],[Direction]],""),VALUE(IF(LEN(_xlpm.steps)&gt;2,RIGHT(_xlpm.steps,2),_xlpm.steps)))</f>
        <v>14</v>
      </c>
      <c r="D499">
        <f>_xlfn.LET(_xlpm.dir,Table1[[#This Row],[Direction]],
IF(_xlpm.dir="L",
    IF(F498-Table1[[#This Row],[Steps]]&lt;0,100+(F498-Table1[[#This Row],[Steps]]),F498-Table1[[#This Row],[Steps]]),
))</f>
        <v>0</v>
      </c>
      <c r="E499">
        <f>_xlfn.LET(_xlpm.dir,Table1[[#This Row],[Direction]],
IF(_xlpm.dir="R",
    IF(F498+Table1[[#This Row],[Steps]]&gt;99,(F498+Table1[[#This Row],[Steps]])-100,F498+Table1[[#This Row],[Steps]]),
))</f>
        <v>14</v>
      </c>
      <c r="F499">
        <f>IF(Table1[[#This Row],[New Pos L]]&lt;&gt;0,Table1[[#This Row],[New Pos L]],Table1[[#This Row],[New Pos R]])</f>
        <v>14</v>
      </c>
    </row>
    <row r="500" spans="1:6" ht="16" x14ac:dyDescent="0.2">
      <c r="A500" s="1" t="s">
        <v>29</v>
      </c>
      <c r="B500" t="str">
        <f>LEFT(Table1[[#This Row],[Input]],1)</f>
        <v>L</v>
      </c>
      <c r="C500">
        <f>_xlfn.LET(_xlpm.steps,SUBSTITUTE(Table1[[#This Row],[Input]],Table1[[#This Row],[Direction]],""),VALUE(IF(LEN(_xlpm.steps)&gt;2,RIGHT(_xlpm.steps,2),_xlpm.steps)))</f>
        <v>33</v>
      </c>
      <c r="D500">
        <f>_xlfn.LET(_xlpm.dir,Table1[[#This Row],[Direction]],
IF(_xlpm.dir="L",
    IF(F499-Table1[[#This Row],[Steps]]&lt;0,100+(F499-Table1[[#This Row],[Steps]]),F499-Table1[[#This Row],[Steps]]),
))</f>
        <v>81</v>
      </c>
      <c r="E500">
        <f>_xlfn.LET(_xlpm.dir,Table1[[#This Row],[Direction]],
IF(_xlpm.dir="R",
    IF(F499+Table1[[#This Row],[Steps]]&gt;99,(F499+Table1[[#This Row],[Steps]])-100,F499+Table1[[#This Row],[Steps]]),
))</f>
        <v>0</v>
      </c>
      <c r="F500">
        <f>IF(Table1[[#This Row],[New Pos L]]&lt;&gt;0,Table1[[#This Row],[New Pos L]],Table1[[#This Row],[New Pos R]])</f>
        <v>81</v>
      </c>
    </row>
    <row r="501" spans="1:6" ht="16" x14ac:dyDescent="0.2">
      <c r="A501" s="1" t="s">
        <v>77</v>
      </c>
      <c r="B501" t="str">
        <f>LEFT(Table1[[#This Row],[Input]],1)</f>
        <v>R</v>
      </c>
      <c r="C501">
        <f>_xlfn.LET(_xlpm.steps,SUBSTITUTE(Table1[[#This Row],[Input]],Table1[[#This Row],[Direction]],""),VALUE(IF(LEN(_xlpm.steps)&gt;2,RIGHT(_xlpm.steps,2),_xlpm.steps)))</f>
        <v>74</v>
      </c>
      <c r="D501">
        <f>_xlfn.LET(_xlpm.dir,Table1[[#This Row],[Direction]],
IF(_xlpm.dir="L",
    IF(F500-Table1[[#This Row],[Steps]]&lt;0,100+(F500-Table1[[#This Row],[Steps]]),F500-Table1[[#This Row],[Steps]]),
))</f>
        <v>0</v>
      </c>
      <c r="E501">
        <f>_xlfn.LET(_xlpm.dir,Table1[[#This Row],[Direction]],
IF(_xlpm.dir="R",
    IF(F500+Table1[[#This Row],[Steps]]&gt;99,(F500+Table1[[#This Row],[Steps]])-100,F500+Table1[[#This Row],[Steps]]),
))</f>
        <v>55</v>
      </c>
      <c r="F501">
        <f>IF(Table1[[#This Row],[New Pos L]]&lt;&gt;0,Table1[[#This Row],[New Pos L]],Table1[[#This Row],[New Pos R]])</f>
        <v>55</v>
      </c>
    </row>
    <row r="502" spans="1:6" ht="16" x14ac:dyDescent="0.2">
      <c r="A502" s="1" t="s">
        <v>40</v>
      </c>
      <c r="B502" t="str">
        <f>LEFT(Table1[[#This Row],[Input]],1)</f>
        <v>R</v>
      </c>
      <c r="C502">
        <f>_xlfn.LET(_xlpm.steps,SUBSTITUTE(Table1[[#This Row],[Input]],Table1[[#This Row],[Direction]],""),VALUE(IF(LEN(_xlpm.steps)&gt;2,RIGHT(_xlpm.steps,2),_xlpm.steps)))</f>
        <v>52</v>
      </c>
      <c r="D502">
        <f>_xlfn.LET(_xlpm.dir,Table1[[#This Row],[Direction]],
IF(_xlpm.dir="L",
    IF(F501-Table1[[#This Row],[Steps]]&lt;0,100+(F501-Table1[[#This Row],[Steps]]),F501-Table1[[#This Row],[Steps]]),
))</f>
        <v>0</v>
      </c>
      <c r="E502">
        <f>_xlfn.LET(_xlpm.dir,Table1[[#This Row],[Direction]],
IF(_xlpm.dir="R",
    IF(F501+Table1[[#This Row],[Steps]]&gt;99,(F501+Table1[[#This Row],[Steps]])-100,F501+Table1[[#This Row],[Steps]]),
))</f>
        <v>7</v>
      </c>
      <c r="F502">
        <f>IF(Table1[[#This Row],[New Pos L]]&lt;&gt;0,Table1[[#This Row],[New Pos L]],Table1[[#This Row],[New Pos R]])</f>
        <v>7</v>
      </c>
    </row>
    <row r="503" spans="1:6" ht="16" x14ac:dyDescent="0.2">
      <c r="A503" s="1" t="s">
        <v>48</v>
      </c>
      <c r="B503" t="str">
        <f>LEFT(Table1[[#This Row],[Input]],1)</f>
        <v>R</v>
      </c>
      <c r="C503">
        <f>_xlfn.LET(_xlpm.steps,SUBSTITUTE(Table1[[#This Row],[Input]],Table1[[#This Row],[Direction]],""),VALUE(IF(LEN(_xlpm.steps)&gt;2,RIGHT(_xlpm.steps,2),_xlpm.steps)))</f>
        <v>81</v>
      </c>
      <c r="D503">
        <f>_xlfn.LET(_xlpm.dir,Table1[[#This Row],[Direction]],
IF(_xlpm.dir="L",
    IF(F502-Table1[[#This Row],[Steps]]&lt;0,100+(F502-Table1[[#This Row],[Steps]]),F502-Table1[[#This Row],[Steps]]),
))</f>
        <v>0</v>
      </c>
      <c r="E503">
        <f>_xlfn.LET(_xlpm.dir,Table1[[#This Row],[Direction]],
IF(_xlpm.dir="R",
    IF(F502+Table1[[#This Row],[Steps]]&gt;99,(F502+Table1[[#This Row],[Steps]])-100,F502+Table1[[#This Row],[Steps]]),
))</f>
        <v>88</v>
      </c>
      <c r="F503">
        <f>IF(Table1[[#This Row],[New Pos L]]&lt;&gt;0,Table1[[#This Row],[New Pos L]],Table1[[#This Row],[New Pos R]])</f>
        <v>88</v>
      </c>
    </row>
    <row r="504" spans="1:6" ht="16" x14ac:dyDescent="0.2">
      <c r="A504" s="1" t="s">
        <v>2</v>
      </c>
      <c r="B504" t="str">
        <f>LEFT(Table1[[#This Row],[Input]],1)</f>
        <v>L</v>
      </c>
      <c r="C504">
        <f>_xlfn.LET(_xlpm.steps,SUBSTITUTE(Table1[[#This Row],[Input]],Table1[[#This Row],[Direction]],""),VALUE(IF(LEN(_xlpm.steps)&gt;2,RIGHT(_xlpm.steps,2),_xlpm.steps)))</f>
        <v>38</v>
      </c>
      <c r="D504">
        <f>_xlfn.LET(_xlpm.dir,Table1[[#This Row],[Direction]],
IF(_xlpm.dir="L",
    IF(F503-Table1[[#This Row],[Steps]]&lt;0,100+(F503-Table1[[#This Row],[Steps]]),F503-Table1[[#This Row],[Steps]]),
))</f>
        <v>50</v>
      </c>
      <c r="E504">
        <f>_xlfn.LET(_xlpm.dir,Table1[[#This Row],[Direction]],
IF(_xlpm.dir="R",
    IF(F503+Table1[[#This Row],[Steps]]&gt;99,(F503+Table1[[#This Row],[Steps]])-100,F503+Table1[[#This Row],[Steps]]),
))</f>
        <v>0</v>
      </c>
      <c r="F504">
        <f>IF(Table1[[#This Row],[New Pos L]]&lt;&gt;0,Table1[[#This Row],[New Pos L]],Table1[[#This Row],[New Pos R]])</f>
        <v>50</v>
      </c>
    </row>
    <row r="505" spans="1:6" ht="16" x14ac:dyDescent="0.2">
      <c r="A505" s="1" t="s">
        <v>36</v>
      </c>
      <c r="B505" t="str">
        <f>LEFT(Table1[[#This Row],[Input]],1)</f>
        <v>R</v>
      </c>
      <c r="C505">
        <f>_xlfn.LET(_xlpm.steps,SUBSTITUTE(Table1[[#This Row],[Input]],Table1[[#This Row],[Direction]],""),VALUE(IF(LEN(_xlpm.steps)&gt;2,RIGHT(_xlpm.steps,2),_xlpm.steps)))</f>
        <v>50</v>
      </c>
      <c r="D505">
        <f>_xlfn.LET(_xlpm.dir,Table1[[#This Row],[Direction]],
IF(_xlpm.dir="L",
    IF(F504-Table1[[#This Row],[Steps]]&lt;0,100+(F504-Table1[[#This Row],[Steps]]),F504-Table1[[#This Row],[Steps]]),
))</f>
        <v>0</v>
      </c>
      <c r="E505">
        <f>_xlfn.LET(_xlpm.dir,Table1[[#This Row],[Direction]],
IF(_xlpm.dir="R",
    IF(F504+Table1[[#This Row],[Steps]]&gt;99,(F504+Table1[[#This Row],[Steps]])-100,F504+Table1[[#This Row],[Steps]]),
))</f>
        <v>0</v>
      </c>
      <c r="F505">
        <f>IF(Table1[[#This Row],[New Pos L]]&lt;&gt;0,Table1[[#This Row],[New Pos L]],Table1[[#This Row],[New Pos R]])</f>
        <v>0</v>
      </c>
    </row>
    <row r="506" spans="1:6" ht="16" x14ac:dyDescent="0.2">
      <c r="A506" s="1" t="s">
        <v>44</v>
      </c>
      <c r="B506" t="str">
        <f>LEFT(Table1[[#This Row],[Input]],1)</f>
        <v>R</v>
      </c>
      <c r="C506">
        <f>_xlfn.LET(_xlpm.steps,SUBSTITUTE(Table1[[#This Row],[Input]],Table1[[#This Row],[Direction]],""),VALUE(IF(LEN(_xlpm.steps)&gt;2,RIGHT(_xlpm.steps,2),_xlpm.steps)))</f>
        <v>96</v>
      </c>
      <c r="D506">
        <f>_xlfn.LET(_xlpm.dir,Table1[[#This Row],[Direction]],
IF(_xlpm.dir="L",
    IF(F505-Table1[[#This Row],[Steps]]&lt;0,100+(F505-Table1[[#This Row],[Steps]]),F505-Table1[[#This Row],[Steps]]),
))</f>
        <v>0</v>
      </c>
      <c r="E506">
        <f>_xlfn.LET(_xlpm.dir,Table1[[#This Row],[Direction]],
IF(_xlpm.dir="R",
    IF(F505+Table1[[#This Row],[Steps]]&gt;99,(F505+Table1[[#This Row],[Steps]])-100,F505+Table1[[#This Row],[Steps]]),
))</f>
        <v>96</v>
      </c>
      <c r="F506">
        <f>IF(Table1[[#This Row],[New Pos L]]&lt;&gt;0,Table1[[#This Row],[New Pos L]],Table1[[#This Row],[New Pos R]])</f>
        <v>96</v>
      </c>
    </row>
    <row r="507" spans="1:6" ht="16" x14ac:dyDescent="0.2">
      <c r="A507" s="1" t="s">
        <v>3</v>
      </c>
      <c r="B507" t="str">
        <f>LEFT(Table1[[#This Row],[Input]],1)</f>
        <v>R</v>
      </c>
      <c r="C507">
        <f>_xlfn.LET(_xlpm.steps,SUBSTITUTE(Table1[[#This Row],[Input]],Table1[[#This Row],[Direction]],""),VALUE(IF(LEN(_xlpm.steps)&gt;2,RIGHT(_xlpm.steps,2),_xlpm.steps)))</f>
        <v>44</v>
      </c>
      <c r="D507">
        <f>_xlfn.LET(_xlpm.dir,Table1[[#This Row],[Direction]],
IF(_xlpm.dir="L",
    IF(F506-Table1[[#This Row],[Steps]]&lt;0,100+(F506-Table1[[#This Row],[Steps]]),F506-Table1[[#This Row],[Steps]]),
))</f>
        <v>0</v>
      </c>
      <c r="E507">
        <f>_xlfn.LET(_xlpm.dir,Table1[[#This Row],[Direction]],
IF(_xlpm.dir="R",
    IF(F506+Table1[[#This Row],[Steps]]&gt;99,(F506+Table1[[#This Row],[Steps]])-100,F506+Table1[[#This Row],[Steps]]),
))</f>
        <v>40</v>
      </c>
      <c r="F507">
        <f>IF(Table1[[#This Row],[New Pos L]]&lt;&gt;0,Table1[[#This Row],[New Pos L]],Table1[[#This Row],[New Pos R]])</f>
        <v>40</v>
      </c>
    </row>
    <row r="508" spans="1:6" ht="16" x14ac:dyDescent="0.2">
      <c r="A508" s="1" t="s">
        <v>127</v>
      </c>
      <c r="B508" t="str">
        <f>LEFT(Table1[[#This Row],[Input]],1)</f>
        <v>L</v>
      </c>
      <c r="C508">
        <f>_xlfn.LET(_xlpm.steps,SUBSTITUTE(Table1[[#This Row],[Input]],Table1[[#This Row],[Direction]],""),VALUE(IF(LEN(_xlpm.steps)&gt;2,RIGHT(_xlpm.steps,2),_xlpm.steps)))</f>
        <v>62</v>
      </c>
      <c r="D508">
        <f>_xlfn.LET(_xlpm.dir,Table1[[#This Row],[Direction]],
IF(_xlpm.dir="L",
    IF(F507-Table1[[#This Row],[Steps]]&lt;0,100+(F507-Table1[[#This Row],[Steps]]),F507-Table1[[#This Row],[Steps]]),
))</f>
        <v>78</v>
      </c>
      <c r="E508">
        <f>_xlfn.LET(_xlpm.dir,Table1[[#This Row],[Direction]],
IF(_xlpm.dir="R",
    IF(F507+Table1[[#This Row],[Steps]]&gt;99,(F507+Table1[[#This Row],[Steps]])-100,F507+Table1[[#This Row],[Steps]]),
))</f>
        <v>0</v>
      </c>
      <c r="F508">
        <f>IF(Table1[[#This Row],[New Pos L]]&lt;&gt;0,Table1[[#This Row],[New Pos L]],Table1[[#This Row],[New Pos R]])</f>
        <v>78</v>
      </c>
    </row>
    <row r="509" spans="1:6" ht="16" x14ac:dyDescent="0.2">
      <c r="A509" s="1" t="s">
        <v>250</v>
      </c>
      <c r="B509" t="str">
        <f>LEFT(Table1[[#This Row],[Input]],1)</f>
        <v>R</v>
      </c>
      <c r="C509">
        <f>_xlfn.LET(_xlpm.steps,SUBSTITUTE(Table1[[#This Row],[Input]],Table1[[#This Row],[Direction]],""),VALUE(IF(LEN(_xlpm.steps)&gt;2,RIGHT(_xlpm.steps,2),_xlpm.steps)))</f>
        <v>22</v>
      </c>
      <c r="D509">
        <f>_xlfn.LET(_xlpm.dir,Table1[[#This Row],[Direction]],
IF(_xlpm.dir="L",
    IF(F508-Table1[[#This Row],[Steps]]&lt;0,100+(F508-Table1[[#This Row],[Steps]]),F508-Table1[[#This Row],[Steps]]),
))</f>
        <v>0</v>
      </c>
      <c r="E509">
        <f>_xlfn.LET(_xlpm.dir,Table1[[#This Row],[Direction]],
IF(_xlpm.dir="R",
    IF(F508+Table1[[#This Row],[Steps]]&gt;99,(F508+Table1[[#This Row],[Steps]])-100,F508+Table1[[#This Row],[Steps]]),
))</f>
        <v>0</v>
      </c>
      <c r="F509">
        <f>IF(Table1[[#This Row],[New Pos L]]&lt;&gt;0,Table1[[#This Row],[New Pos L]],Table1[[#This Row],[New Pos R]])</f>
        <v>0</v>
      </c>
    </row>
    <row r="510" spans="1:6" ht="16" x14ac:dyDescent="0.2">
      <c r="A510" s="1" t="s">
        <v>102</v>
      </c>
      <c r="B510" t="str">
        <f>LEFT(Table1[[#This Row],[Input]],1)</f>
        <v>R</v>
      </c>
      <c r="C510">
        <f>_xlfn.LET(_xlpm.steps,SUBSTITUTE(Table1[[#This Row],[Input]],Table1[[#This Row],[Direction]],""),VALUE(IF(LEN(_xlpm.steps)&gt;2,RIGHT(_xlpm.steps,2),_xlpm.steps)))</f>
        <v>39</v>
      </c>
      <c r="D510">
        <f>_xlfn.LET(_xlpm.dir,Table1[[#This Row],[Direction]],
IF(_xlpm.dir="L",
    IF(F509-Table1[[#This Row],[Steps]]&lt;0,100+(F509-Table1[[#This Row],[Steps]]),F509-Table1[[#This Row],[Steps]]),
))</f>
        <v>0</v>
      </c>
      <c r="E510">
        <f>_xlfn.LET(_xlpm.dir,Table1[[#This Row],[Direction]],
IF(_xlpm.dir="R",
    IF(F509+Table1[[#This Row],[Steps]]&gt;99,(F509+Table1[[#This Row],[Steps]])-100,F509+Table1[[#This Row],[Steps]]),
))</f>
        <v>39</v>
      </c>
      <c r="F510">
        <f>IF(Table1[[#This Row],[New Pos L]]&lt;&gt;0,Table1[[#This Row],[New Pos L]],Table1[[#This Row],[New Pos R]])</f>
        <v>39</v>
      </c>
    </row>
    <row r="511" spans="1:6" ht="16" x14ac:dyDescent="0.2">
      <c r="A511" s="1" t="s">
        <v>226</v>
      </c>
      <c r="B511" t="str">
        <f>LEFT(Table1[[#This Row],[Input]],1)</f>
        <v>L</v>
      </c>
      <c r="C511">
        <f>_xlfn.LET(_xlpm.steps,SUBSTITUTE(Table1[[#This Row],[Input]],Table1[[#This Row],[Direction]],""),VALUE(IF(LEN(_xlpm.steps)&gt;2,RIGHT(_xlpm.steps,2),_xlpm.steps)))</f>
        <v>31</v>
      </c>
      <c r="D511">
        <f>_xlfn.LET(_xlpm.dir,Table1[[#This Row],[Direction]],
IF(_xlpm.dir="L",
    IF(F510-Table1[[#This Row],[Steps]]&lt;0,100+(F510-Table1[[#This Row],[Steps]]),F510-Table1[[#This Row],[Steps]]),
))</f>
        <v>8</v>
      </c>
      <c r="E511">
        <f>_xlfn.LET(_xlpm.dir,Table1[[#This Row],[Direction]],
IF(_xlpm.dir="R",
    IF(F510+Table1[[#This Row],[Steps]]&gt;99,(F510+Table1[[#This Row],[Steps]])-100,F510+Table1[[#This Row],[Steps]]),
))</f>
        <v>0</v>
      </c>
      <c r="F511">
        <f>IF(Table1[[#This Row],[New Pos L]]&lt;&gt;0,Table1[[#This Row],[New Pos L]],Table1[[#This Row],[New Pos R]])</f>
        <v>8</v>
      </c>
    </row>
    <row r="512" spans="1:6" ht="16" x14ac:dyDescent="0.2">
      <c r="A512" s="1" t="s">
        <v>251</v>
      </c>
      <c r="B512" t="str">
        <f>LEFT(Table1[[#This Row],[Input]],1)</f>
        <v>L</v>
      </c>
      <c r="C512">
        <f>_xlfn.LET(_xlpm.steps,SUBSTITUTE(Table1[[#This Row],[Input]],Table1[[#This Row],[Direction]],""),VALUE(IF(LEN(_xlpm.steps)&gt;2,RIGHT(_xlpm.steps,2),_xlpm.steps)))</f>
        <v>8</v>
      </c>
      <c r="D512">
        <f>_xlfn.LET(_xlpm.dir,Table1[[#This Row],[Direction]],
IF(_xlpm.dir="L",
    IF(F511-Table1[[#This Row],[Steps]]&lt;0,100+(F511-Table1[[#This Row],[Steps]]),F511-Table1[[#This Row],[Steps]]),
))</f>
        <v>0</v>
      </c>
      <c r="E512">
        <f>_xlfn.LET(_xlpm.dir,Table1[[#This Row],[Direction]],
IF(_xlpm.dir="R",
    IF(F511+Table1[[#This Row],[Steps]]&gt;99,(F511+Table1[[#This Row],[Steps]])-100,F511+Table1[[#This Row],[Steps]]),
))</f>
        <v>0</v>
      </c>
      <c r="F512">
        <f>IF(Table1[[#This Row],[New Pos L]]&lt;&gt;0,Table1[[#This Row],[New Pos L]],Table1[[#This Row],[New Pos R]])</f>
        <v>0</v>
      </c>
    </row>
    <row r="513" spans="1:6" ht="16" x14ac:dyDescent="0.2">
      <c r="A513" s="1" t="s">
        <v>38</v>
      </c>
      <c r="B513" t="str">
        <f>LEFT(Table1[[#This Row],[Input]],1)</f>
        <v>R</v>
      </c>
      <c r="C513">
        <f>_xlfn.LET(_xlpm.steps,SUBSTITUTE(Table1[[#This Row],[Input]],Table1[[#This Row],[Direction]],""),VALUE(IF(LEN(_xlpm.steps)&gt;2,RIGHT(_xlpm.steps,2),_xlpm.steps)))</f>
        <v>15</v>
      </c>
      <c r="D513">
        <f>_xlfn.LET(_xlpm.dir,Table1[[#This Row],[Direction]],
IF(_xlpm.dir="L",
    IF(F512-Table1[[#This Row],[Steps]]&lt;0,100+(F512-Table1[[#This Row],[Steps]]),F512-Table1[[#This Row],[Steps]]),
))</f>
        <v>0</v>
      </c>
      <c r="E513">
        <f>_xlfn.LET(_xlpm.dir,Table1[[#This Row],[Direction]],
IF(_xlpm.dir="R",
    IF(F512+Table1[[#This Row],[Steps]]&gt;99,(F512+Table1[[#This Row],[Steps]])-100,F512+Table1[[#This Row],[Steps]]),
))</f>
        <v>15</v>
      </c>
      <c r="F513">
        <f>IF(Table1[[#This Row],[New Pos L]]&lt;&gt;0,Table1[[#This Row],[New Pos L]],Table1[[#This Row],[New Pos R]])</f>
        <v>15</v>
      </c>
    </row>
    <row r="514" spans="1:6" ht="16" x14ac:dyDescent="0.2">
      <c r="A514" s="1" t="s">
        <v>164</v>
      </c>
      <c r="B514" t="str">
        <f>LEFT(Table1[[#This Row],[Input]],1)</f>
        <v>R</v>
      </c>
      <c r="C514">
        <f>_xlfn.LET(_xlpm.steps,SUBSTITUTE(Table1[[#This Row],[Input]],Table1[[#This Row],[Direction]],""),VALUE(IF(LEN(_xlpm.steps)&gt;2,RIGHT(_xlpm.steps,2),_xlpm.steps)))</f>
        <v>85</v>
      </c>
      <c r="D514">
        <f>_xlfn.LET(_xlpm.dir,Table1[[#This Row],[Direction]],
IF(_xlpm.dir="L",
    IF(F513-Table1[[#This Row],[Steps]]&lt;0,100+(F513-Table1[[#This Row],[Steps]]),F513-Table1[[#This Row],[Steps]]),
))</f>
        <v>0</v>
      </c>
      <c r="E514">
        <f>_xlfn.LET(_xlpm.dir,Table1[[#This Row],[Direction]],
IF(_xlpm.dir="R",
    IF(F513+Table1[[#This Row],[Steps]]&gt;99,(F513+Table1[[#This Row],[Steps]])-100,F513+Table1[[#This Row],[Steps]]),
))</f>
        <v>0</v>
      </c>
      <c r="F514">
        <f>IF(Table1[[#This Row],[New Pos L]]&lt;&gt;0,Table1[[#This Row],[New Pos L]],Table1[[#This Row],[New Pos R]])</f>
        <v>0</v>
      </c>
    </row>
    <row r="515" spans="1:6" ht="16" x14ac:dyDescent="0.2">
      <c r="A515" s="1" t="s">
        <v>252</v>
      </c>
      <c r="B515" t="str">
        <f>LEFT(Table1[[#This Row],[Input]],1)</f>
        <v>L</v>
      </c>
      <c r="C515">
        <f>_xlfn.LET(_xlpm.steps,SUBSTITUTE(Table1[[#This Row],[Input]],Table1[[#This Row],[Direction]],""),VALUE(IF(LEN(_xlpm.steps)&gt;2,RIGHT(_xlpm.steps,2),_xlpm.steps)))</f>
        <v>99</v>
      </c>
      <c r="D515">
        <f>_xlfn.LET(_xlpm.dir,Table1[[#This Row],[Direction]],
IF(_xlpm.dir="L",
    IF(F514-Table1[[#This Row],[Steps]]&lt;0,100+(F514-Table1[[#This Row],[Steps]]),F514-Table1[[#This Row],[Steps]]),
))</f>
        <v>1</v>
      </c>
      <c r="E515">
        <f>_xlfn.LET(_xlpm.dir,Table1[[#This Row],[Direction]],
IF(_xlpm.dir="R",
    IF(F514+Table1[[#This Row],[Steps]]&gt;99,(F514+Table1[[#This Row],[Steps]])-100,F514+Table1[[#This Row],[Steps]]),
))</f>
        <v>0</v>
      </c>
      <c r="F515">
        <f>IF(Table1[[#This Row],[New Pos L]]&lt;&gt;0,Table1[[#This Row],[New Pos L]],Table1[[#This Row],[New Pos R]])</f>
        <v>1</v>
      </c>
    </row>
    <row r="516" spans="1:6" ht="16" x14ac:dyDescent="0.2">
      <c r="A516" s="1" t="s">
        <v>253</v>
      </c>
      <c r="B516" t="str">
        <f>LEFT(Table1[[#This Row],[Input]],1)</f>
        <v>R</v>
      </c>
      <c r="C516">
        <f>_xlfn.LET(_xlpm.steps,SUBSTITUTE(Table1[[#This Row],[Input]],Table1[[#This Row],[Direction]],""),VALUE(IF(LEN(_xlpm.steps)&gt;2,RIGHT(_xlpm.steps,2),_xlpm.steps)))</f>
        <v>94</v>
      </c>
      <c r="D516">
        <f>_xlfn.LET(_xlpm.dir,Table1[[#This Row],[Direction]],
IF(_xlpm.dir="L",
    IF(F515-Table1[[#This Row],[Steps]]&lt;0,100+(F515-Table1[[#This Row],[Steps]]),F515-Table1[[#This Row],[Steps]]),
))</f>
        <v>0</v>
      </c>
      <c r="E516">
        <f>_xlfn.LET(_xlpm.dir,Table1[[#This Row],[Direction]],
IF(_xlpm.dir="R",
    IF(F515+Table1[[#This Row],[Steps]]&gt;99,(F515+Table1[[#This Row],[Steps]])-100,F515+Table1[[#This Row],[Steps]]),
))</f>
        <v>95</v>
      </c>
      <c r="F516">
        <f>IF(Table1[[#This Row],[New Pos L]]&lt;&gt;0,Table1[[#This Row],[New Pos L]],Table1[[#This Row],[New Pos R]])</f>
        <v>95</v>
      </c>
    </row>
    <row r="517" spans="1:6" ht="16" x14ac:dyDescent="0.2">
      <c r="A517" s="1" t="s">
        <v>134</v>
      </c>
      <c r="B517" t="str">
        <f>LEFT(Table1[[#This Row],[Input]],1)</f>
        <v>L</v>
      </c>
      <c r="C517">
        <f>_xlfn.LET(_xlpm.steps,SUBSTITUTE(Table1[[#This Row],[Input]],Table1[[#This Row],[Direction]],""),VALUE(IF(LEN(_xlpm.steps)&gt;2,RIGHT(_xlpm.steps,2),_xlpm.steps)))</f>
        <v>95</v>
      </c>
      <c r="D517">
        <f>_xlfn.LET(_xlpm.dir,Table1[[#This Row],[Direction]],
IF(_xlpm.dir="L",
    IF(F516-Table1[[#This Row],[Steps]]&lt;0,100+(F516-Table1[[#This Row],[Steps]]),F516-Table1[[#This Row],[Steps]]),
))</f>
        <v>0</v>
      </c>
      <c r="E517">
        <f>_xlfn.LET(_xlpm.dir,Table1[[#This Row],[Direction]],
IF(_xlpm.dir="R",
    IF(F516+Table1[[#This Row],[Steps]]&gt;99,(F516+Table1[[#This Row],[Steps]])-100,F516+Table1[[#This Row],[Steps]]),
))</f>
        <v>0</v>
      </c>
      <c r="F517">
        <f>IF(Table1[[#This Row],[New Pos L]]&lt;&gt;0,Table1[[#This Row],[New Pos L]],Table1[[#This Row],[New Pos R]])</f>
        <v>0</v>
      </c>
    </row>
    <row r="518" spans="1:6" ht="16" x14ac:dyDescent="0.2">
      <c r="A518" s="1" t="s">
        <v>254</v>
      </c>
      <c r="B518" t="str">
        <f>LEFT(Table1[[#This Row],[Input]],1)</f>
        <v>R</v>
      </c>
      <c r="C518">
        <f>_xlfn.LET(_xlpm.steps,SUBSTITUTE(Table1[[#This Row],[Input]],Table1[[#This Row],[Direction]],""),VALUE(IF(LEN(_xlpm.steps)&gt;2,RIGHT(_xlpm.steps,2),_xlpm.steps)))</f>
        <v>84</v>
      </c>
      <c r="D518">
        <f>_xlfn.LET(_xlpm.dir,Table1[[#This Row],[Direction]],
IF(_xlpm.dir="L",
    IF(F517-Table1[[#This Row],[Steps]]&lt;0,100+(F517-Table1[[#This Row],[Steps]]),F517-Table1[[#This Row],[Steps]]),
))</f>
        <v>0</v>
      </c>
      <c r="E518">
        <f>_xlfn.LET(_xlpm.dir,Table1[[#This Row],[Direction]],
IF(_xlpm.dir="R",
    IF(F517+Table1[[#This Row],[Steps]]&gt;99,(F517+Table1[[#This Row],[Steps]])-100,F517+Table1[[#This Row],[Steps]]),
))</f>
        <v>84</v>
      </c>
      <c r="F518">
        <f>IF(Table1[[#This Row],[New Pos L]]&lt;&gt;0,Table1[[#This Row],[New Pos L]],Table1[[#This Row],[New Pos R]])</f>
        <v>84</v>
      </c>
    </row>
    <row r="519" spans="1:6" ht="16" x14ac:dyDescent="0.2">
      <c r="A519" s="1" t="s">
        <v>255</v>
      </c>
      <c r="B519" t="str">
        <f>LEFT(Table1[[#This Row],[Input]],1)</f>
        <v>R</v>
      </c>
      <c r="C519">
        <f>_xlfn.LET(_xlpm.steps,SUBSTITUTE(Table1[[#This Row],[Input]],Table1[[#This Row],[Direction]],""),VALUE(IF(LEN(_xlpm.steps)&gt;2,RIGHT(_xlpm.steps,2),_xlpm.steps)))</f>
        <v>16</v>
      </c>
      <c r="D519">
        <f>_xlfn.LET(_xlpm.dir,Table1[[#This Row],[Direction]],
IF(_xlpm.dir="L",
    IF(F518-Table1[[#This Row],[Steps]]&lt;0,100+(F518-Table1[[#This Row],[Steps]]),F518-Table1[[#This Row],[Steps]]),
))</f>
        <v>0</v>
      </c>
      <c r="E519">
        <f>_xlfn.LET(_xlpm.dir,Table1[[#This Row],[Direction]],
IF(_xlpm.dir="R",
    IF(F518+Table1[[#This Row],[Steps]]&gt;99,(F518+Table1[[#This Row],[Steps]])-100,F518+Table1[[#This Row],[Steps]]),
))</f>
        <v>0</v>
      </c>
      <c r="F519">
        <f>IF(Table1[[#This Row],[New Pos L]]&lt;&gt;0,Table1[[#This Row],[New Pos L]],Table1[[#This Row],[New Pos R]])</f>
        <v>0</v>
      </c>
    </row>
    <row r="520" spans="1:6" ht="16" x14ac:dyDescent="0.2">
      <c r="A520" s="1" t="s">
        <v>256</v>
      </c>
      <c r="B520" t="str">
        <f>LEFT(Table1[[#This Row],[Input]],1)</f>
        <v>R</v>
      </c>
      <c r="C520">
        <f>_xlfn.LET(_xlpm.steps,SUBSTITUTE(Table1[[#This Row],[Input]],Table1[[#This Row],[Direction]],""),VALUE(IF(LEN(_xlpm.steps)&gt;2,RIGHT(_xlpm.steps,2),_xlpm.steps)))</f>
        <v>13</v>
      </c>
      <c r="D520">
        <f>_xlfn.LET(_xlpm.dir,Table1[[#This Row],[Direction]],
IF(_xlpm.dir="L",
    IF(F519-Table1[[#This Row],[Steps]]&lt;0,100+(F519-Table1[[#This Row],[Steps]]),F519-Table1[[#This Row],[Steps]]),
))</f>
        <v>0</v>
      </c>
      <c r="E520">
        <f>_xlfn.LET(_xlpm.dir,Table1[[#This Row],[Direction]],
IF(_xlpm.dir="R",
    IF(F519+Table1[[#This Row],[Steps]]&gt;99,(F519+Table1[[#This Row],[Steps]])-100,F519+Table1[[#This Row],[Steps]]),
))</f>
        <v>13</v>
      </c>
      <c r="F520">
        <f>IF(Table1[[#This Row],[New Pos L]]&lt;&gt;0,Table1[[#This Row],[New Pos L]],Table1[[#This Row],[New Pos R]])</f>
        <v>13</v>
      </c>
    </row>
    <row r="521" spans="1:6" ht="16" x14ac:dyDescent="0.2">
      <c r="A521" s="1" t="s">
        <v>257</v>
      </c>
      <c r="B521" t="str">
        <f>LEFT(Table1[[#This Row],[Input]],1)</f>
        <v>R</v>
      </c>
      <c r="C521">
        <f>_xlfn.LET(_xlpm.steps,SUBSTITUTE(Table1[[#This Row],[Input]],Table1[[#This Row],[Direction]],""),VALUE(IF(LEN(_xlpm.steps)&gt;2,RIGHT(_xlpm.steps,2),_xlpm.steps)))</f>
        <v>27</v>
      </c>
      <c r="D521">
        <f>_xlfn.LET(_xlpm.dir,Table1[[#This Row],[Direction]],
IF(_xlpm.dir="L",
    IF(F520-Table1[[#This Row],[Steps]]&lt;0,100+(F520-Table1[[#This Row],[Steps]]),F520-Table1[[#This Row],[Steps]]),
))</f>
        <v>0</v>
      </c>
      <c r="E521">
        <f>_xlfn.LET(_xlpm.dir,Table1[[#This Row],[Direction]],
IF(_xlpm.dir="R",
    IF(F520+Table1[[#This Row],[Steps]]&gt;99,(F520+Table1[[#This Row],[Steps]])-100,F520+Table1[[#This Row],[Steps]]),
))</f>
        <v>40</v>
      </c>
      <c r="F521">
        <f>IF(Table1[[#This Row],[New Pos L]]&lt;&gt;0,Table1[[#This Row],[New Pos L]],Table1[[#This Row],[New Pos R]])</f>
        <v>40</v>
      </c>
    </row>
    <row r="522" spans="1:6" ht="16" x14ac:dyDescent="0.2">
      <c r="A522" s="1" t="s">
        <v>258</v>
      </c>
      <c r="B522" t="str">
        <f>LEFT(Table1[[#This Row],[Input]],1)</f>
        <v>L</v>
      </c>
      <c r="C522">
        <f>_xlfn.LET(_xlpm.steps,SUBSTITUTE(Table1[[#This Row],[Input]],Table1[[#This Row],[Direction]],""),VALUE(IF(LEN(_xlpm.steps)&gt;2,RIGHT(_xlpm.steps,2),_xlpm.steps)))</f>
        <v>68</v>
      </c>
      <c r="D522">
        <f>_xlfn.LET(_xlpm.dir,Table1[[#This Row],[Direction]],
IF(_xlpm.dir="L",
    IF(F521-Table1[[#This Row],[Steps]]&lt;0,100+(F521-Table1[[#This Row],[Steps]]),F521-Table1[[#This Row],[Steps]]),
))</f>
        <v>72</v>
      </c>
      <c r="E522">
        <f>_xlfn.LET(_xlpm.dir,Table1[[#This Row],[Direction]],
IF(_xlpm.dir="R",
    IF(F521+Table1[[#This Row],[Steps]]&gt;99,(F521+Table1[[#This Row],[Steps]])-100,F521+Table1[[#This Row],[Steps]]),
))</f>
        <v>0</v>
      </c>
      <c r="F522">
        <f>IF(Table1[[#This Row],[New Pos L]]&lt;&gt;0,Table1[[#This Row],[New Pos L]],Table1[[#This Row],[New Pos R]])</f>
        <v>72</v>
      </c>
    </row>
    <row r="523" spans="1:6" ht="16" x14ac:dyDescent="0.2">
      <c r="A523" s="1" t="s">
        <v>178</v>
      </c>
      <c r="B523" t="str">
        <f>LEFT(Table1[[#This Row],[Input]],1)</f>
        <v>L</v>
      </c>
      <c r="C523">
        <f>_xlfn.LET(_xlpm.steps,SUBSTITUTE(Table1[[#This Row],[Input]],Table1[[#This Row],[Direction]],""),VALUE(IF(LEN(_xlpm.steps)&gt;2,RIGHT(_xlpm.steps,2),_xlpm.steps)))</f>
        <v>21</v>
      </c>
      <c r="D523">
        <f>_xlfn.LET(_xlpm.dir,Table1[[#This Row],[Direction]],
IF(_xlpm.dir="L",
    IF(F522-Table1[[#This Row],[Steps]]&lt;0,100+(F522-Table1[[#This Row],[Steps]]),F522-Table1[[#This Row],[Steps]]),
))</f>
        <v>51</v>
      </c>
      <c r="E523">
        <f>_xlfn.LET(_xlpm.dir,Table1[[#This Row],[Direction]],
IF(_xlpm.dir="R",
    IF(F522+Table1[[#This Row],[Steps]]&gt;99,(F522+Table1[[#This Row],[Steps]])-100,F522+Table1[[#This Row],[Steps]]),
))</f>
        <v>0</v>
      </c>
      <c r="F523">
        <f>IF(Table1[[#This Row],[New Pos L]]&lt;&gt;0,Table1[[#This Row],[New Pos L]],Table1[[#This Row],[New Pos R]])</f>
        <v>51</v>
      </c>
    </row>
    <row r="524" spans="1:6" ht="16" x14ac:dyDescent="0.2">
      <c r="A524" s="1" t="s">
        <v>132</v>
      </c>
      <c r="B524" t="str">
        <f>LEFT(Table1[[#This Row],[Input]],1)</f>
        <v>L</v>
      </c>
      <c r="C524">
        <f>_xlfn.LET(_xlpm.steps,SUBSTITUTE(Table1[[#This Row],[Input]],Table1[[#This Row],[Direction]],""),VALUE(IF(LEN(_xlpm.steps)&gt;2,RIGHT(_xlpm.steps,2),_xlpm.steps)))</f>
        <v>51</v>
      </c>
      <c r="D524">
        <f>_xlfn.LET(_xlpm.dir,Table1[[#This Row],[Direction]],
IF(_xlpm.dir="L",
    IF(F523-Table1[[#This Row],[Steps]]&lt;0,100+(F523-Table1[[#This Row],[Steps]]),F523-Table1[[#This Row],[Steps]]),
))</f>
        <v>0</v>
      </c>
      <c r="E524">
        <f>_xlfn.LET(_xlpm.dir,Table1[[#This Row],[Direction]],
IF(_xlpm.dir="R",
    IF(F523+Table1[[#This Row],[Steps]]&gt;99,(F523+Table1[[#This Row],[Steps]])-100,F523+Table1[[#This Row],[Steps]]),
))</f>
        <v>0</v>
      </c>
      <c r="F524">
        <f>IF(Table1[[#This Row],[New Pos L]]&lt;&gt;0,Table1[[#This Row],[New Pos L]],Table1[[#This Row],[New Pos R]])</f>
        <v>0</v>
      </c>
    </row>
    <row r="525" spans="1:6" ht="16" x14ac:dyDescent="0.2">
      <c r="A525" s="1" t="s">
        <v>46</v>
      </c>
      <c r="B525" t="str">
        <f>LEFT(Table1[[#This Row],[Input]],1)</f>
        <v>L</v>
      </c>
      <c r="C525">
        <f>_xlfn.LET(_xlpm.steps,SUBSTITUTE(Table1[[#This Row],[Input]],Table1[[#This Row],[Direction]],""),VALUE(IF(LEN(_xlpm.steps)&gt;2,RIGHT(_xlpm.steps,2),_xlpm.steps)))</f>
        <v>97</v>
      </c>
      <c r="D525">
        <f>_xlfn.LET(_xlpm.dir,Table1[[#This Row],[Direction]],
IF(_xlpm.dir="L",
    IF(F524-Table1[[#This Row],[Steps]]&lt;0,100+(F524-Table1[[#This Row],[Steps]]),F524-Table1[[#This Row],[Steps]]),
))</f>
        <v>3</v>
      </c>
      <c r="E525">
        <f>_xlfn.LET(_xlpm.dir,Table1[[#This Row],[Direction]],
IF(_xlpm.dir="R",
    IF(F524+Table1[[#This Row],[Steps]]&gt;99,(F524+Table1[[#This Row],[Steps]])-100,F524+Table1[[#This Row],[Steps]]),
))</f>
        <v>0</v>
      </c>
      <c r="F525">
        <f>IF(Table1[[#This Row],[New Pos L]]&lt;&gt;0,Table1[[#This Row],[New Pos L]],Table1[[#This Row],[New Pos R]])</f>
        <v>3</v>
      </c>
    </row>
    <row r="526" spans="1:6" ht="16" x14ac:dyDescent="0.2">
      <c r="A526" s="1" t="s">
        <v>259</v>
      </c>
      <c r="B526" t="str">
        <f>LEFT(Table1[[#This Row],[Input]],1)</f>
        <v>R</v>
      </c>
      <c r="C526">
        <f>_xlfn.LET(_xlpm.steps,SUBSTITUTE(Table1[[#This Row],[Input]],Table1[[#This Row],[Direction]],""),VALUE(IF(LEN(_xlpm.steps)&gt;2,RIGHT(_xlpm.steps,2),_xlpm.steps)))</f>
        <v>40</v>
      </c>
      <c r="D526">
        <f>_xlfn.LET(_xlpm.dir,Table1[[#This Row],[Direction]],
IF(_xlpm.dir="L",
    IF(F525-Table1[[#This Row],[Steps]]&lt;0,100+(F525-Table1[[#This Row],[Steps]]),F525-Table1[[#This Row],[Steps]]),
))</f>
        <v>0</v>
      </c>
      <c r="E526">
        <f>_xlfn.LET(_xlpm.dir,Table1[[#This Row],[Direction]],
IF(_xlpm.dir="R",
    IF(F525+Table1[[#This Row],[Steps]]&gt;99,(F525+Table1[[#This Row],[Steps]])-100,F525+Table1[[#This Row],[Steps]]),
))</f>
        <v>43</v>
      </c>
      <c r="F526">
        <f>IF(Table1[[#This Row],[New Pos L]]&lt;&gt;0,Table1[[#This Row],[New Pos L]],Table1[[#This Row],[New Pos R]])</f>
        <v>43</v>
      </c>
    </row>
    <row r="527" spans="1:6" ht="16" x14ac:dyDescent="0.2">
      <c r="A527" s="1" t="s">
        <v>40</v>
      </c>
      <c r="B527" t="str">
        <f>LEFT(Table1[[#This Row],[Input]],1)</f>
        <v>R</v>
      </c>
      <c r="C527">
        <f>_xlfn.LET(_xlpm.steps,SUBSTITUTE(Table1[[#This Row],[Input]],Table1[[#This Row],[Direction]],""),VALUE(IF(LEN(_xlpm.steps)&gt;2,RIGHT(_xlpm.steps,2),_xlpm.steps)))</f>
        <v>52</v>
      </c>
      <c r="D527">
        <f>_xlfn.LET(_xlpm.dir,Table1[[#This Row],[Direction]],
IF(_xlpm.dir="L",
    IF(F526-Table1[[#This Row],[Steps]]&lt;0,100+(F526-Table1[[#This Row],[Steps]]),F526-Table1[[#This Row],[Steps]]),
))</f>
        <v>0</v>
      </c>
      <c r="E527">
        <f>_xlfn.LET(_xlpm.dir,Table1[[#This Row],[Direction]],
IF(_xlpm.dir="R",
    IF(F526+Table1[[#This Row],[Steps]]&gt;99,(F526+Table1[[#This Row],[Steps]])-100,F526+Table1[[#This Row],[Steps]]),
))</f>
        <v>95</v>
      </c>
      <c r="F527">
        <f>IF(Table1[[#This Row],[New Pos L]]&lt;&gt;0,Table1[[#This Row],[New Pos L]],Table1[[#This Row],[New Pos R]])</f>
        <v>95</v>
      </c>
    </row>
    <row r="528" spans="1:6" ht="16" x14ac:dyDescent="0.2">
      <c r="A528" s="1" t="s">
        <v>19</v>
      </c>
      <c r="B528" t="str">
        <f>LEFT(Table1[[#This Row],[Input]],1)</f>
        <v>R</v>
      </c>
      <c r="C528">
        <f>_xlfn.LET(_xlpm.steps,SUBSTITUTE(Table1[[#This Row],[Input]],Table1[[#This Row],[Direction]],""),VALUE(IF(LEN(_xlpm.steps)&gt;2,RIGHT(_xlpm.steps,2),_xlpm.steps)))</f>
        <v>47</v>
      </c>
      <c r="D528">
        <f>_xlfn.LET(_xlpm.dir,Table1[[#This Row],[Direction]],
IF(_xlpm.dir="L",
    IF(F527-Table1[[#This Row],[Steps]]&lt;0,100+(F527-Table1[[#This Row],[Steps]]),F527-Table1[[#This Row],[Steps]]),
))</f>
        <v>0</v>
      </c>
      <c r="E528">
        <f>_xlfn.LET(_xlpm.dir,Table1[[#This Row],[Direction]],
IF(_xlpm.dir="R",
    IF(F527+Table1[[#This Row],[Steps]]&gt;99,(F527+Table1[[#This Row],[Steps]])-100,F527+Table1[[#This Row],[Steps]]),
))</f>
        <v>42</v>
      </c>
      <c r="F528">
        <f>IF(Table1[[#This Row],[New Pos L]]&lt;&gt;0,Table1[[#This Row],[New Pos L]],Table1[[#This Row],[New Pos R]])</f>
        <v>42</v>
      </c>
    </row>
    <row r="529" spans="1:6" ht="16" x14ac:dyDescent="0.2">
      <c r="A529" s="1" t="s">
        <v>62</v>
      </c>
      <c r="B529" t="str">
        <f>LEFT(Table1[[#This Row],[Input]],1)</f>
        <v>L</v>
      </c>
      <c r="C529">
        <f>_xlfn.LET(_xlpm.steps,SUBSTITUTE(Table1[[#This Row],[Input]],Table1[[#This Row],[Direction]],""),VALUE(IF(LEN(_xlpm.steps)&gt;2,RIGHT(_xlpm.steps,2),_xlpm.steps)))</f>
        <v>57</v>
      </c>
      <c r="D529">
        <f>_xlfn.LET(_xlpm.dir,Table1[[#This Row],[Direction]],
IF(_xlpm.dir="L",
    IF(F528-Table1[[#This Row],[Steps]]&lt;0,100+(F528-Table1[[#This Row],[Steps]]),F528-Table1[[#This Row],[Steps]]),
))</f>
        <v>85</v>
      </c>
      <c r="E529">
        <f>_xlfn.LET(_xlpm.dir,Table1[[#This Row],[Direction]],
IF(_xlpm.dir="R",
    IF(F528+Table1[[#This Row],[Steps]]&gt;99,(F528+Table1[[#This Row],[Steps]])-100,F528+Table1[[#This Row],[Steps]]),
))</f>
        <v>0</v>
      </c>
      <c r="F529">
        <f>IF(Table1[[#This Row],[New Pos L]]&lt;&gt;0,Table1[[#This Row],[New Pos L]],Table1[[#This Row],[New Pos R]])</f>
        <v>85</v>
      </c>
    </row>
    <row r="530" spans="1:6" ht="16" x14ac:dyDescent="0.2">
      <c r="A530" s="1" t="s">
        <v>260</v>
      </c>
      <c r="B530" t="str">
        <f>LEFT(Table1[[#This Row],[Input]],1)</f>
        <v>L</v>
      </c>
      <c r="C530">
        <f>_xlfn.LET(_xlpm.steps,SUBSTITUTE(Table1[[#This Row],[Input]],Table1[[#This Row],[Direction]],""),VALUE(IF(LEN(_xlpm.steps)&gt;2,RIGHT(_xlpm.steps,2),_xlpm.steps)))</f>
        <v>85</v>
      </c>
      <c r="D530">
        <f>_xlfn.LET(_xlpm.dir,Table1[[#This Row],[Direction]],
IF(_xlpm.dir="L",
    IF(F529-Table1[[#This Row],[Steps]]&lt;0,100+(F529-Table1[[#This Row],[Steps]]),F529-Table1[[#This Row],[Steps]]),
))</f>
        <v>0</v>
      </c>
      <c r="E530">
        <f>_xlfn.LET(_xlpm.dir,Table1[[#This Row],[Direction]],
IF(_xlpm.dir="R",
    IF(F529+Table1[[#This Row],[Steps]]&gt;99,(F529+Table1[[#This Row],[Steps]])-100,F529+Table1[[#This Row],[Steps]]),
))</f>
        <v>0</v>
      </c>
      <c r="F530">
        <f>IF(Table1[[#This Row],[New Pos L]]&lt;&gt;0,Table1[[#This Row],[New Pos L]],Table1[[#This Row],[New Pos R]])</f>
        <v>0</v>
      </c>
    </row>
    <row r="531" spans="1:6" ht="16" x14ac:dyDescent="0.2">
      <c r="A531" s="1" t="s">
        <v>261</v>
      </c>
      <c r="B531" t="str">
        <f>LEFT(Table1[[#This Row],[Input]],1)</f>
        <v>L</v>
      </c>
      <c r="C531">
        <f>_xlfn.LET(_xlpm.steps,SUBSTITUTE(Table1[[#This Row],[Input]],Table1[[#This Row],[Direction]],""),VALUE(IF(LEN(_xlpm.steps)&gt;2,RIGHT(_xlpm.steps,2),_xlpm.steps)))</f>
        <v>37</v>
      </c>
      <c r="D531">
        <f>_xlfn.LET(_xlpm.dir,Table1[[#This Row],[Direction]],
IF(_xlpm.dir="L",
    IF(F530-Table1[[#This Row],[Steps]]&lt;0,100+(F530-Table1[[#This Row],[Steps]]),F530-Table1[[#This Row],[Steps]]),
))</f>
        <v>63</v>
      </c>
      <c r="E531">
        <f>_xlfn.LET(_xlpm.dir,Table1[[#This Row],[Direction]],
IF(_xlpm.dir="R",
    IF(F530+Table1[[#This Row],[Steps]]&gt;99,(F530+Table1[[#This Row],[Steps]])-100,F530+Table1[[#This Row],[Steps]]),
))</f>
        <v>0</v>
      </c>
      <c r="F531">
        <f>IF(Table1[[#This Row],[New Pos L]]&lt;&gt;0,Table1[[#This Row],[New Pos L]],Table1[[#This Row],[New Pos R]])</f>
        <v>63</v>
      </c>
    </row>
    <row r="532" spans="1:6" ht="16" x14ac:dyDescent="0.2">
      <c r="A532" s="1" t="s">
        <v>151</v>
      </c>
      <c r="B532" t="str">
        <f>LEFT(Table1[[#This Row],[Input]],1)</f>
        <v>L</v>
      </c>
      <c r="C532">
        <f>_xlfn.LET(_xlpm.steps,SUBSTITUTE(Table1[[#This Row],[Input]],Table1[[#This Row],[Direction]],""),VALUE(IF(LEN(_xlpm.steps)&gt;2,RIGHT(_xlpm.steps,2),_xlpm.steps)))</f>
        <v>74</v>
      </c>
      <c r="D532">
        <f>_xlfn.LET(_xlpm.dir,Table1[[#This Row],[Direction]],
IF(_xlpm.dir="L",
    IF(F531-Table1[[#This Row],[Steps]]&lt;0,100+(F531-Table1[[#This Row],[Steps]]),F531-Table1[[#This Row],[Steps]]),
))</f>
        <v>89</v>
      </c>
      <c r="E532">
        <f>_xlfn.LET(_xlpm.dir,Table1[[#This Row],[Direction]],
IF(_xlpm.dir="R",
    IF(F531+Table1[[#This Row],[Steps]]&gt;99,(F531+Table1[[#This Row],[Steps]])-100,F531+Table1[[#This Row],[Steps]]),
))</f>
        <v>0</v>
      </c>
      <c r="F532">
        <f>IF(Table1[[#This Row],[New Pos L]]&lt;&gt;0,Table1[[#This Row],[New Pos L]],Table1[[#This Row],[New Pos R]])</f>
        <v>89</v>
      </c>
    </row>
    <row r="533" spans="1:6" ht="16" x14ac:dyDescent="0.2">
      <c r="A533" s="1" t="s">
        <v>207</v>
      </c>
      <c r="B533" t="str">
        <f>LEFT(Table1[[#This Row],[Input]],1)</f>
        <v>L</v>
      </c>
      <c r="C533">
        <f>_xlfn.LET(_xlpm.steps,SUBSTITUTE(Table1[[#This Row],[Input]],Table1[[#This Row],[Direction]],""),VALUE(IF(LEN(_xlpm.steps)&gt;2,RIGHT(_xlpm.steps,2),_xlpm.steps)))</f>
        <v>89</v>
      </c>
      <c r="D533">
        <f>_xlfn.LET(_xlpm.dir,Table1[[#This Row],[Direction]],
IF(_xlpm.dir="L",
    IF(F532-Table1[[#This Row],[Steps]]&lt;0,100+(F532-Table1[[#This Row],[Steps]]),F532-Table1[[#This Row],[Steps]]),
))</f>
        <v>0</v>
      </c>
      <c r="E533">
        <f>_xlfn.LET(_xlpm.dir,Table1[[#This Row],[Direction]],
IF(_xlpm.dir="R",
    IF(F532+Table1[[#This Row],[Steps]]&gt;99,(F532+Table1[[#This Row],[Steps]])-100,F532+Table1[[#This Row],[Steps]]),
))</f>
        <v>0</v>
      </c>
      <c r="F533">
        <f>IF(Table1[[#This Row],[New Pos L]]&lt;&gt;0,Table1[[#This Row],[New Pos L]],Table1[[#This Row],[New Pos R]])</f>
        <v>0</v>
      </c>
    </row>
    <row r="534" spans="1:6" ht="16" x14ac:dyDescent="0.2">
      <c r="A534" s="1" t="s">
        <v>262</v>
      </c>
      <c r="B534" t="str">
        <f>LEFT(Table1[[#This Row],[Input]],1)</f>
        <v>R</v>
      </c>
      <c r="C534">
        <f>_xlfn.LET(_xlpm.steps,SUBSTITUTE(Table1[[#This Row],[Input]],Table1[[#This Row],[Direction]],""),VALUE(IF(LEN(_xlpm.steps)&gt;2,RIGHT(_xlpm.steps,2),_xlpm.steps)))</f>
        <v>96</v>
      </c>
      <c r="D534">
        <f>_xlfn.LET(_xlpm.dir,Table1[[#This Row],[Direction]],
IF(_xlpm.dir="L",
    IF(F533-Table1[[#This Row],[Steps]]&lt;0,100+(F533-Table1[[#This Row],[Steps]]),F533-Table1[[#This Row],[Steps]]),
))</f>
        <v>0</v>
      </c>
      <c r="E534">
        <f>_xlfn.LET(_xlpm.dir,Table1[[#This Row],[Direction]],
IF(_xlpm.dir="R",
    IF(F533+Table1[[#This Row],[Steps]]&gt;99,(F533+Table1[[#This Row],[Steps]])-100,F533+Table1[[#This Row],[Steps]]),
))</f>
        <v>96</v>
      </c>
      <c r="F534">
        <f>IF(Table1[[#This Row],[New Pos L]]&lt;&gt;0,Table1[[#This Row],[New Pos L]],Table1[[#This Row],[New Pos R]])</f>
        <v>96</v>
      </c>
    </row>
    <row r="535" spans="1:6" ht="16" x14ac:dyDescent="0.2">
      <c r="A535" s="1" t="s">
        <v>45</v>
      </c>
      <c r="B535" t="str">
        <f>LEFT(Table1[[#This Row],[Input]],1)</f>
        <v>L</v>
      </c>
      <c r="C535">
        <f>_xlfn.LET(_xlpm.steps,SUBSTITUTE(Table1[[#This Row],[Input]],Table1[[#This Row],[Direction]],""),VALUE(IF(LEN(_xlpm.steps)&gt;2,RIGHT(_xlpm.steps,2),_xlpm.steps)))</f>
        <v>96</v>
      </c>
      <c r="D535">
        <f>_xlfn.LET(_xlpm.dir,Table1[[#This Row],[Direction]],
IF(_xlpm.dir="L",
    IF(F534-Table1[[#This Row],[Steps]]&lt;0,100+(F534-Table1[[#This Row],[Steps]]),F534-Table1[[#This Row],[Steps]]),
))</f>
        <v>0</v>
      </c>
      <c r="E535">
        <f>_xlfn.LET(_xlpm.dir,Table1[[#This Row],[Direction]],
IF(_xlpm.dir="R",
    IF(F534+Table1[[#This Row],[Steps]]&gt;99,(F534+Table1[[#This Row],[Steps]])-100,F534+Table1[[#This Row],[Steps]]),
))</f>
        <v>0</v>
      </c>
      <c r="F535">
        <f>IF(Table1[[#This Row],[New Pos L]]&lt;&gt;0,Table1[[#This Row],[New Pos L]],Table1[[#This Row],[New Pos R]])</f>
        <v>0</v>
      </c>
    </row>
    <row r="536" spans="1:6" ht="16" x14ac:dyDescent="0.2">
      <c r="A536" s="1" t="s">
        <v>122</v>
      </c>
      <c r="B536" t="str">
        <f>LEFT(Table1[[#This Row],[Input]],1)</f>
        <v>R</v>
      </c>
      <c r="C536">
        <f>_xlfn.LET(_xlpm.steps,SUBSTITUTE(Table1[[#This Row],[Input]],Table1[[#This Row],[Direction]],""),VALUE(IF(LEN(_xlpm.steps)&gt;2,RIGHT(_xlpm.steps,2),_xlpm.steps)))</f>
        <v>75</v>
      </c>
      <c r="D536">
        <f>_xlfn.LET(_xlpm.dir,Table1[[#This Row],[Direction]],
IF(_xlpm.dir="L",
    IF(F535-Table1[[#This Row],[Steps]]&lt;0,100+(F535-Table1[[#This Row],[Steps]]),F535-Table1[[#This Row],[Steps]]),
))</f>
        <v>0</v>
      </c>
      <c r="E536">
        <f>_xlfn.LET(_xlpm.dir,Table1[[#This Row],[Direction]],
IF(_xlpm.dir="R",
    IF(F535+Table1[[#This Row],[Steps]]&gt;99,(F535+Table1[[#This Row],[Steps]])-100,F535+Table1[[#This Row],[Steps]]),
))</f>
        <v>75</v>
      </c>
      <c r="F536">
        <f>IF(Table1[[#This Row],[New Pos L]]&lt;&gt;0,Table1[[#This Row],[New Pos L]],Table1[[#This Row],[New Pos R]])</f>
        <v>75</v>
      </c>
    </row>
    <row r="537" spans="1:6" ht="16" x14ac:dyDescent="0.2">
      <c r="A537" s="1" t="s">
        <v>158</v>
      </c>
      <c r="B537" t="str">
        <f>LEFT(Table1[[#This Row],[Input]],1)</f>
        <v>L</v>
      </c>
      <c r="C537">
        <f>_xlfn.LET(_xlpm.steps,SUBSTITUTE(Table1[[#This Row],[Input]],Table1[[#This Row],[Direction]],""),VALUE(IF(LEN(_xlpm.steps)&gt;2,RIGHT(_xlpm.steps,2),_xlpm.steps)))</f>
        <v>24</v>
      </c>
      <c r="D537">
        <f>_xlfn.LET(_xlpm.dir,Table1[[#This Row],[Direction]],
IF(_xlpm.dir="L",
    IF(F536-Table1[[#This Row],[Steps]]&lt;0,100+(F536-Table1[[#This Row],[Steps]]),F536-Table1[[#This Row],[Steps]]),
))</f>
        <v>51</v>
      </c>
      <c r="E537">
        <f>_xlfn.LET(_xlpm.dir,Table1[[#This Row],[Direction]],
IF(_xlpm.dir="R",
    IF(F536+Table1[[#This Row],[Steps]]&gt;99,(F536+Table1[[#This Row],[Steps]])-100,F536+Table1[[#This Row],[Steps]]),
))</f>
        <v>0</v>
      </c>
      <c r="F537">
        <f>IF(Table1[[#This Row],[New Pos L]]&lt;&gt;0,Table1[[#This Row],[New Pos L]],Table1[[#This Row],[New Pos R]])</f>
        <v>51</v>
      </c>
    </row>
    <row r="538" spans="1:6" ht="16" x14ac:dyDescent="0.2">
      <c r="A538" s="1" t="s">
        <v>263</v>
      </c>
      <c r="B538" t="str">
        <f>LEFT(Table1[[#This Row],[Input]],1)</f>
        <v>R</v>
      </c>
      <c r="C538">
        <f>_xlfn.LET(_xlpm.steps,SUBSTITUTE(Table1[[#This Row],[Input]],Table1[[#This Row],[Direction]],""),VALUE(IF(LEN(_xlpm.steps)&gt;2,RIGHT(_xlpm.steps,2),_xlpm.steps)))</f>
        <v>70</v>
      </c>
      <c r="D538">
        <f>_xlfn.LET(_xlpm.dir,Table1[[#This Row],[Direction]],
IF(_xlpm.dir="L",
    IF(F537-Table1[[#This Row],[Steps]]&lt;0,100+(F537-Table1[[#This Row],[Steps]]),F537-Table1[[#This Row],[Steps]]),
))</f>
        <v>0</v>
      </c>
      <c r="E538">
        <f>_xlfn.LET(_xlpm.dir,Table1[[#This Row],[Direction]],
IF(_xlpm.dir="R",
    IF(F537+Table1[[#This Row],[Steps]]&gt;99,(F537+Table1[[#This Row],[Steps]])-100,F537+Table1[[#This Row],[Steps]]),
))</f>
        <v>21</v>
      </c>
      <c r="F538">
        <f>IF(Table1[[#This Row],[New Pos L]]&lt;&gt;0,Table1[[#This Row],[New Pos L]],Table1[[#This Row],[New Pos R]])</f>
        <v>21</v>
      </c>
    </row>
    <row r="539" spans="1:6" ht="16" x14ac:dyDescent="0.2">
      <c r="A539" s="1" t="s">
        <v>83</v>
      </c>
      <c r="B539" t="str">
        <f>LEFT(Table1[[#This Row],[Input]],1)</f>
        <v>R</v>
      </c>
      <c r="C539">
        <f>_xlfn.LET(_xlpm.steps,SUBSTITUTE(Table1[[#This Row],[Input]],Table1[[#This Row],[Direction]],""),VALUE(IF(LEN(_xlpm.steps)&gt;2,RIGHT(_xlpm.steps,2),_xlpm.steps)))</f>
        <v>79</v>
      </c>
      <c r="D539">
        <f>_xlfn.LET(_xlpm.dir,Table1[[#This Row],[Direction]],
IF(_xlpm.dir="L",
    IF(F538-Table1[[#This Row],[Steps]]&lt;0,100+(F538-Table1[[#This Row],[Steps]]),F538-Table1[[#This Row],[Steps]]),
))</f>
        <v>0</v>
      </c>
      <c r="E539">
        <f>_xlfn.LET(_xlpm.dir,Table1[[#This Row],[Direction]],
IF(_xlpm.dir="R",
    IF(F538+Table1[[#This Row],[Steps]]&gt;99,(F538+Table1[[#This Row],[Steps]])-100,F538+Table1[[#This Row],[Steps]]),
))</f>
        <v>0</v>
      </c>
      <c r="F539">
        <f>IF(Table1[[#This Row],[New Pos L]]&lt;&gt;0,Table1[[#This Row],[New Pos L]],Table1[[#This Row],[New Pos R]])</f>
        <v>0</v>
      </c>
    </row>
    <row r="540" spans="1:6" ht="16" x14ac:dyDescent="0.2">
      <c r="A540" s="1" t="s">
        <v>28</v>
      </c>
      <c r="B540" t="str">
        <f>LEFT(Table1[[#This Row],[Input]],1)</f>
        <v>R</v>
      </c>
      <c r="C540">
        <f>_xlfn.LET(_xlpm.steps,SUBSTITUTE(Table1[[#This Row],[Input]],Table1[[#This Row],[Direction]],""),VALUE(IF(LEN(_xlpm.steps)&gt;2,RIGHT(_xlpm.steps,2),_xlpm.steps)))</f>
        <v>30</v>
      </c>
      <c r="D540">
        <f>_xlfn.LET(_xlpm.dir,Table1[[#This Row],[Direction]],
IF(_xlpm.dir="L",
    IF(F539-Table1[[#This Row],[Steps]]&lt;0,100+(F539-Table1[[#This Row],[Steps]]),F539-Table1[[#This Row],[Steps]]),
))</f>
        <v>0</v>
      </c>
      <c r="E540">
        <f>_xlfn.LET(_xlpm.dir,Table1[[#This Row],[Direction]],
IF(_xlpm.dir="R",
    IF(F539+Table1[[#This Row],[Steps]]&gt;99,(F539+Table1[[#This Row],[Steps]])-100,F539+Table1[[#This Row],[Steps]]),
))</f>
        <v>30</v>
      </c>
      <c r="F540">
        <f>IF(Table1[[#This Row],[New Pos L]]&lt;&gt;0,Table1[[#This Row],[New Pos L]],Table1[[#This Row],[New Pos R]])</f>
        <v>30</v>
      </c>
    </row>
    <row r="541" spans="1:6" ht="16" x14ac:dyDescent="0.2">
      <c r="A541" s="1" t="s">
        <v>172</v>
      </c>
      <c r="B541" t="str">
        <f>LEFT(Table1[[#This Row],[Input]],1)</f>
        <v>L</v>
      </c>
      <c r="C541">
        <f>_xlfn.LET(_xlpm.steps,SUBSTITUTE(Table1[[#This Row],[Input]],Table1[[#This Row],[Direction]],""),VALUE(IF(LEN(_xlpm.steps)&gt;2,RIGHT(_xlpm.steps,2),_xlpm.steps)))</f>
        <v>66</v>
      </c>
      <c r="D541">
        <f>_xlfn.LET(_xlpm.dir,Table1[[#This Row],[Direction]],
IF(_xlpm.dir="L",
    IF(F540-Table1[[#This Row],[Steps]]&lt;0,100+(F540-Table1[[#This Row],[Steps]]),F540-Table1[[#This Row],[Steps]]),
))</f>
        <v>64</v>
      </c>
      <c r="E541">
        <f>_xlfn.LET(_xlpm.dir,Table1[[#This Row],[Direction]],
IF(_xlpm.dir="R",
    IF(F540+Table1[[#This Row],[Steps]]&gt;99,(F540+Table1[[#This Row],[Steps]])-100,F540+Table1[[#This Row],[Steps]]),
))</f>
        <v>0</v>
      </c>
      <c r="F541">
        <f>IF(Table1[[#This Row],[New Pos L]]&lt;&gt;0,Table1[[#This Row],[New Pos L]],Table1[[#This Row],[New Pos R]])</f>
        <v>64</v>
      </c>
    </row>
    <row r="542" spans="1:6" ht="16" x14ac:dyDescent="0.2">
      <c r="A542" s="1" t="s">
        <v>264</v>
      </c>
      <c r="B542" t="str">
        <f>LEFT(Table1[[#This Row],[Input]],1)</f>
        <v>L</v>
      </c>
      <c r="C542">
        <f>_xlfn.LET(_xlpm.steps,SUBSTITUTE(Table1[[#This Row],[Input]],Table1[[#This Row],[Direction]],""),VALUE(IF(LEN(_xlpm.steps)&gt;2,RIGHT(_xlpm.steps,2),_xlpm.steps)))</f>
        <v>21</v>
      </c>
      <c r="D542">
        <f>_xlfn.LET(_xlpm.dir,Table1[[#This Row],[Direction]],
IF(_xlpm.dir="L",
    IF(F541-Table1[[#This Row],[Steps]]&lt;0,100+(F541-Table1[[#This Row],[Steps]]),F541-Table1[[#This Row],[Steps]]),
))</f>
        <v>43</v>
      </c>
      <c r="E542">
        <f>_xlfn.LET(_xlpm.dir,Table1[[#This Row],[Direction]],
IF(_xlpm.dir="R",
    IF(F541+Table1[[#This Row],[Steps]]&gt;99,(F541+Table1[[#This Row],[Steps]])-100,F541+Table1[[#This Row],[Steps]]),
))</f>
        <v>0</v>
      </c>
      <c r="F542">
        <f>IF(Table1[[#This Row],[New Pos L]]&lt;&gt;0,Table1[[#This Row],[New Pos L]],Table1[[#This Row],[New Pos R]])</f>
        <v>43</v>
      </c>
    </row>
    <row r="543" spans="1:6" ht="16" x14ac:dyDescent="0.2">
      <c r="A543" s="1" t="s">
        <v>265</v>
      </c>
      <c r="B543" t="str">
        <f>LEFT(Table1[[#This Row],[Input]],1)</f>
        <v>L</v>
      </c>
      <c r="C543">
        <f>_xlfn.LET(_xlpm.steps,SUBSTITUTE(Table1[[#This Row],[Input]],Table1[[#This Row],[Direction]],""),VALUE(IF(LEN(_xlpm.steps)&gt;2,RIGHT(_xlpm.steps,2),_xlpm.steps)))</f>
        <v>80</v>
      </c>
      <c r="D543">
        <f>_xlfn.LET(_xlpm.dir,Table1[[#This Row],[Direction]],
IF(_xlpm.dir="L",
    IF(F542-Table1[[#This Row],[Steps]]&lt;0,100+(F542-Table1[[#This Row],[Steps]]),F542-Table1[[#This Row],[Steps]]),
))</f>
        <v>63</v>
      </c>
      <c r="E543">
        <f>_xlfn.LET(_xlpm.dir,Table1[[#This Row],[Direction]],
IF(_xlpm.dir="R",
    IF(F542+Table1[[#This Row],[Steps]]&gt;99,(F542+Table1[[#This Row],[Steps]])-100,F542+Table1[[#This Row],[Steps]]),
))</f>
        <v>0</v>
      </c>
      <c r="F543">
        <f>IF(Table1[[#This Row],[New Pos L]]&lt;&gt;0,Table1[[#This Row],[New Pos L]],Table1[[#This Row],[New Pos R]])</f>
        <v>63</v>
      </c>
    </row>
    <row r="544" spans="1:6" ht="16" x14ac:dyDescent="0.2">
      <c r="A544" s="1" t="s">
        <v>44</v>
      </c>
      <c r="B544" t="str">
        <f>LEFT(Table1[[#This Row],[Input]],1)</f>
        <v>R</v>
      </c>
      <c r="C544">
        <f>_xlfn.LET(_xlpm.steps,SUBSTITUTE(Table1[[#This Row],[Input]],Table1[[#This Row],[Direction]],""),VALUE(IF(LEN(_xlpm.steps)&gt;2,RIGHT(_xlpm.steps,2),_xlpm.steps)))</f>
        <v>96</v>
      </c>
      <c r="D544">
        <f>_xlfn.LET(_xlpm.dir,Table1[[#This Row],[Direction]],
IF(_xlpm.dir="L",
    IF(F543-Table1[[#This Row],[Steps]]&lt;0,100+(F543-Table1[[#This Row],[Steps]]),F543-Table1[[#This Row],[Steps]]),
))</f>
        <v>0</v>
      </c>
      <c r="E544">
        <f>_xlfn.LET(_xlpm.dir,Table1[[#This Row],[Direction]],
IF(_xlpm.dir="R",
    IF(F543+Table1[[#This Row],[Steps]]&gt;99,(F543+Table1[[#This Row],[Steps]])-100,F543+Table1[[#This Row],[Steps]]),
))</f>
        <v>59</v>
      </c>
      <c r="F544">
        <f>IF(Table1[[#This Row],[New Pos L]]&lt;&gt;0,Table1[[#This Row],[New Pos L]],Table1[[#This Row],[New Pos R]])</f>
        <v>59</v>
      </c>
    </row>
    <row r="545" spans="1:6" ht="16" x14ac:dyDescent="0.2">
      <c r="A545" s="1" t="s">
        <v>266</v>
      </c>
      <c r="B545" t="str">
        <f>LEFT(Table1[[#This Row],[Input]],1)</f>
        <v>L</v>
      </c>
      <c r="C545">
        <f>_xlfn.LET(_xlpm.steps,SUBSTITUTE(Table1[[#This Row],[Input]],Table1[[#This Row],[Direction]],""),VALUE(IF(LEN(_xlpm.steps)&gt;2,RIGHT(_xlpm.steps,2),_xlpm.steps)))</f>
        <v>65</v>
      </c>
      <c r="D545">
        <f>_xlfn.LET(_xlpm.dir,Table1[[#This Row],[Direction]],
IF(_xlpm.dir="L",
    IF(F544-Table1[[#This Row],[Steps]]&lt;0,100+(F544-Table1[[#This Row],[Steps]]),F544-Table1[[#This Row],[Steps]]),
))</f>
        <v>94</v>
      </c>
      <c r="E545">
        <f>_xlfn.LET(_xlpm.dir,Table1[[#This Row],[Direction]],
IF(_xlpm.dir="R",
    IF(F544+Table1[[#This Row],[Steps]]&gt;99,(F544+Table1[[#This Row],[Steps]])-100,F544+Table1[[#This Row],[Steps]]),
))</f>
        <v>0</v>
      </c>
      <c r="F545">
        <f>IF(Table1[[#This Row],[New Pos L]]&lt;&gt;0,Table1[[#This Row],[New Pos L]],Table1[[#This Row],[New Pos R]])</f>
        <v>94</v>
      </c>
    </row>
    <row r="546" spans="1:6" ht="16" x14ac:dyDescent="0.2">
      <c r="A546" s="1" t="s">
        <v>138</v>
      </c>
      <c r="B546" t="str">
        <f>LEFT(Table1[[#This Row],[Input]],1)</f>
        <v>L</v>
      </c>
      <c r="C546">
        <f>_xlfn.LET(_xlpm.steps,SUBSTITUTE(Table1[[#This Row],[Input]],Table1[[#This Row],[Direction]],""),VALUE(IF(LEN(_xlpm.steps)&gt;2,RIGHT(_xlpm.steps,2),_xlpm.steps)))</f>
        <v>94</v>
      </c>
      <c r="D546">
        <f>_xlfn.LET(_xlpm.dir,Table1[[#This Row],[Direction]],
IF(_xlpm.dir="L",
    IF(F545-Table1[[#This Row],[Steps]]&lt;0,100+(F545-Table1[[#This Row],[Steps]]),F545-Table1[[#This Row],[Steps]]),
))</f>
        <v>0</v>
      </c>
      <c r="E546">
        <f>_xlfn.LET(_xlpm.dir,Table1[[#This Row],[Direction]],
IF(_xlpm.dir="R",
    IF(F545+Table1[[#This Row],[Steps]]&gt;99,(F545+Table1[[#This Row],[Steps]])-100,F545+Table1[[#This Row],[Steps]]),
))</f>
        <v>0</v>
      </c>
      <c r="F546">
        <f>IF(Table1[[#This Row],[New Pos L]]&lt;&gt;0,Table1[[#This Row],[New Pos L]],Table1[[#This Row],[New Pos R]])</f>
        <v>0</v>
      </c>
    </row>
    <row r="547" spans="1:6" ht="16" x14ac:dyDescent="0.2">
      <c r="A547" s="1" t="s">
        <v>102</v>
      </c>
      <c r="B547" t="str">
        <f>LEFT(Table1[[#This Row],[Input]],1)</f>
        <v>R</v>
      </c>
      <c r="C547">
        <f>_xlfn.LET(_xlpm.steps,SUBSTITUTE(Table1[[#This Row],[Input]],Table1[[#This Row],[Direction]],""),VALUE(IF(LEN(_xlpm.steps)&gt;2,RIGHT(_xlpm.steps,2),_xlpm.steps)))</f>
        <v>39</v>
      </c>
      <c r="D547">
        <f>_xlfn.LET(_xlpm.dir,Table1[[#This Row],[Direction]],
IF(_xlpm.dir="L",
    IF(F546-Table1[[#This Row],[Steps]]&lt;0,100+(F546-Table1[[#This Row],[Steps]]),F546-Table1[[#This Row],[Steps]]),
))</f>
        <v>0</v>
      </c>
      <c r="E547">
        <f>_xlfn.LET(_xlpm.dir,Table1[[#This Row],[Direction]],
IF(_xlpm.dir="R",
    IF(F546+Table1[[#This Row],[Steps]]&gt;99,(F546+Table1[[#This Row],[Steps]])-100,F546+Table1[[#This Row],[Steps]]),
))</f>
        <v>39</v>
      </c>
      <c r="F547">
        <f>IF(Table1[[#This Row],[New Pos L]]&lt;&gt;0,Table1[[#This Row],[New Pos L]],Table1[[#This Row],[New Pos R]])</f>
        <v>39</v>
      </c>
    </row>
    <row r="548" spans="1:6" ht="16" x14ac:dyDescent="0.2">
      <c r="A548" s="1" t="s">
        <v>267</v>
      </c>
      <c r="B548" t="str">
        <f>LEFT(Table1[[#This Row],[Input]],1)</f>
        <v>L</v>
      </c>
      <c r="C548">
        <f>_xlfn.LET(_xlpm.steps,SUBSTITUTE(Table1[[#This Row],[Input]],Table1[[#This Row],[Direction]],""),VALUE(IF(LEN(_xlpm.steps)&gt;2,RIGHT(_xlpm.steps,2),_xlpm.steps)))</f>
        <v>39</v>
      </c>
      <c r="D548">
        <f>_xlfn.LET(_xlpm.dir,Table1[[#This Row],[Direction]],
IF(_xlpm.dir="L",
    IF(F547-Table1[[#This Row],[Steps]]&lt;0,100+(F547-Table1[[#This Row],[Steps]]),F547-Table1[[#This Row],[Steps]]),
))</f>
        <v>0</v>
      </c>
      <c r="E548">
        <f>_xlfn.LET(_xlpm.dir,Table1[[#This Row],[Direction]],
IF(_xlpm.dir="R",
    IF(F547+Table1[[#This Row],[Steps]]&gt;99,(F547+Table1[[#This Row],[Steps]])-100,F547+Table1[[#This Row],[Steps]]),
))</f>
        <v>0</v>
      </c>
      <c r="F548">
        <f>IF(Table1[[#This Row],[New Pos L]]&lt;&gt;0,Table1[[#This Row],[New Pos L]],Table1[[#This Row],[New Pos R]])</f>
        <v>0</v>
      </c>
    </row>
    <row r="549" spans="1:6" ht="16" x14ac:dyDescent="0.2">
      <c r="A549" s="1" t="s">
        <v>67</v>
      </c>
      <c r="B549" t="str">
        <f>LEFT(Table1[[#This Row],[Input]],1)</f>
        <v>R</v>
      </c>
      <c r="C549">
        <f>_xlfn.LET(_xlpm.steps,SUBSTITUTE(Table1[[#This Row],[Input]],Table1[[#This Row],[Direction]],""),VALUE(IF(LEN(_xlpm.steps)&gt;2,RIGHT(_xlpm.steps,2),_xlpm.steps)))</f>
        <v>33</v>
      </c>
      <c r="D549">
        <f>_xlfn.LET(_xlpm.dir,Table1[[#This Row],[Direction]],
IF(_xlpm.dir="L",
    IF(F548-Table1[[#This Row],[Steps]]&lt;0,100+(F548-Table1[[#This Row],[Steps]]),F548-Table1[[#This Row],[Steps]]),
))</f>
        <v>0</v>
      </c>
      <c r="E549">
        <f>_xlfn.LET(_xlpm.dir,Table1[[#This Row],[Direction]],
IF(_xlpm.dir="R",
    IF(F548+Table1[[#This Row],[Steps]]&gt;99,(F548+Table1[[#This Row],[Steps]])-100,F548+Table1[[#This Row],[Steps]]),
))</f>
        <v>33</v>
      </c>
      <c r="F549">
        <f>IF(Table1[[#This Row],[New Pos L]]&lt;&gt;0,Table1[[#This Row],[New Pos L]],Table1[[#This Row],[New Pos R]])</f>
        <v>33</v>
      </c>
    </row>
    <row r="550" spans="1:6" ht="16" x14ac:dyDescent="0.2">
      <c r="A550" s="1" t="s">
        <v>187</v>
      </c>
      <c r="B550" t="str">
        <f>LEFT(Table1[[#This Row],[Input]],1)</f>
        <v>R</v>
      </c>
      <c r="C550">
        <f>_xlfn.LET(_xlpm.steps,SUBSTITUTE(Table1[[#This Row],[Input]],Table1[[#This Row],[Direction]],""),VALUE(IF(LEN(_xlpm.steps)&gt;2,RIGHT(_xlpm.steps,2),_xlpm.steps)))</f>
        <v>20</v>
      </c>
      <c r="D550">
        <f>_xlfn.LET(_xlpm.dir,Table1[[#This Row],[Direction]],
IF(_xlpm.dir="L",
    IF(F549-Table1[[#This Row],[Steps]]&lt;0,100+(F549-Table1[[#This Row],[Steps]]),F549-Table1[[#This Row],[Steps]]),
))</f>
        <v>0</v>
      </c>
      <c r="E550">
        <f>_xlfn.LET(_xlpm.dir,Table1[[#This Row],[Direction]],
IF(_xlpm.dir="R",
    IF(F549+Table1[[#This Row],[Steps]]&gt;99,(F549+Table1[[#This Row],[Steps]])-100,F549+Table1[[#This Row],[Steps]]),
))</f>
        <v>53</v>
      </c>
      <c r="F550">
        <f>IF(Table1[[#This Row],[New Pos L]]&lt;&gt;0,Table1[[#This Row],[New Pos L]],Table1[[#This Row],[New Pos R]])</f>
        <v>53</v>
      </c>
    </row>
    <row r="551" spans="1:6" ht="16" x14ac:dyDescent="0.2">
      <c r="A551" s="1" t="s">
        <v>181</v>
      </c>
      <c r="B551" t="str">
        <f>LEFT(Table1[[#This Row],[Input]],1)</f>
        <v>L</v>
      </c>
      <c r="C551">
        <f>_xlfn.LET(_xlpm.steps,SUBSTITUTE(Table1[[#This Row],[Input]],Table1[[#This Row],[Direction]],""),VALUE(IF(LEN(_xlpm.steps)&gt;2,RIGHT(_xlpm.steps,2),_xlpm.steps)))</f>
        <v>53</v>
      </c>
      <c r="D551">
        <f>_xlfn.LET(_xlpm.dir,Table1[[#This Row],[Direction]],
IF(_xlpm.dir="L",
    IF(F550-Table1[[#This Row],[Steps]]&lt;0,100+(F550-Table1[[#This Row],[Steps]]),F550-Table1[[#This Row],[Steps]]),
))</f>
        <v>0</v>
      </c>
      <c r="E551">
        <f>_xlfn.LET(_xlpm.dir,Table1[[#This Row],[Direction]],
IF(_xlpm.dir="R",
    IF(F550+Table1[[#This Row],[Steps]]&gt;99,(F550+Table1[[#This Row],[Steps]])-100,F550+Table1[[#This Row],[Steps]]),
))</f>
        <v>0</v>
      </c>
      <c r="F551">
        <f>IF(Table1[[#This Row],[New Pos L]]&lt;&gt;0,Table1[[#This Row],[New Pos L]],Table1[[#This Row],[New Pos R]])</f>
        <v>0</v>
      </c>
    </row>
    <row r="552" spans="1:6" ht="16" x14ac:dyDescent="0.2">
      <c r="A552" s="1" t="s">
        <v>181</v>
      </c>
      <c r="B552" t="str">
        <f>LEFT(Table1[[#This Row],[Input]],1)</f>
        <v>L</v>
      </c>
      <c r="C552">
        <f>_xlfn.LET(_xlpm.steps,SUBSTITUTE(Table1[[#This Row],[Input]],Table1[[#This Row],[Direction]],""),VALUE(IF(LEN(_xlpm.steps)&gt;2,RIGHT(_xlpm.steps,2),_xlpm.steps)))</f>
        <v>53</v>
      </c>
      <c r="D552">
        <f>_xlfn.LET(_xlpm.dir,Table1[[#This Row],[Direction]],
IF(_xlpm.dir="L",
    IF(F551-Table1[[#This Row],[Steps]]&lt;0,100+(F551-Table1[[#This Row],[Steps]]),F551-Table1[[#This Row],[Steps]]),
))</f>
        <v>47</v>
      </c>
      <c r="E552">
        <f>_xlfn.LET(_xlpm.dir,Table1[[#This Row],[Direction]],
IF(_xlpm.dir="R",
    IF(F551+Table1[[#This Row],[Steps]]&gt;99,(F551+Table1[[#This Row],[Steps]])-100,F551+Table1[[#This Row],[Steps]]),
))</f>
        <v>0</v>
      </c>
      <c r="F552">
        <f>IF(Table1[[#This Row],[New Pos L]]&lt;&gt;0,Table1[[#This Row],[New Pos L]],Table1[[#This Row],[New Pos R]])</f>
        <v>47</v>
      </c>
    </row>
    <row r="553" spans="1:6" ht="16" x14ac:dyDescent="0.2">
      <c r="A553" s="1" t="s">
        <v>47</v>
      </c>
      <c r="B553" t="str">
        <f>LEFT(Table1[[#This Row],[Input]],1)</f>
        <v>R</v>
      </c>
      <c r="C553">
        <f>_xlfn.LET(_xlpm.steps,SUBSTITUTE(Table1[[#This Row],[Input]],Table1[[#This Row],[Direction]],""),VALUE(IF(LEN(_xlpm.steps)&gt;2,RIGHT(_xlpm.steps,2),_xlpm.steps)))</f>
        <v>97</v>
      </c>
      <c r="D553">
        <f>_xlfn.LET(_xlpm.dir,Table1[[#This Row],[Direction]],
IF(_xlpm.dir="L",
    IF(F552-Table1[[#This Row],[Steps]]&lt;0,100+(F552-Table1[[#This Row],[Steps]]),F552-Table1[[#This Row],[Steps]]),
))</f>
        <v>0</v>
      </c>
      <c r="E553">
        <f>_xlfn.LET(_xlpm.dir,Table1[[#This Row],[Direction]],
IF(_xlpm.dir="R",
    IF(F552+Table1[[#This Row],[Steps]]&gt;99,(F552+Table1[[#This Row],[Steps]])-100,F552+Table1[[#This Row],[Steps]]),
))</f>
        <v>44</v>
      </c>
      <c r="F553">
        <f>IF(Table1[[#This Row],[New Pos L]]&lt;&gt;0,Table1[[#This Row],[New Pos L]],Table1[[#This Row],[New Pos R]])</f>
        <v>44</v>
      </c>
    </row>
    <row r="554" spans="1:6" ht="16" x14ac:dyDescent="0.2">
      <c r="A554" s="1" t="s">
        <v>23</v>
      </c>
      <c r="B554" t="str">
        <f>LEFT(Table1[[#This Row],[Input]],1)</f>
        <v>L</v>
      </c>
      <c r="C554">
        <f>_xlfn.LET(_xlpm.steps,SUBSTITUTE(Table1[[#This Row],[Input]],Table1[[#This Row],[Direction]],""),VALUE(IF(LEN(_xlpm.steps)&gt;2,RIGHT(_xlpm.steps,2),_xlpm.steps)))</f>
        <v>8</v>
      </c>
      <c r="D554">
        <f>_xlfn.LET(_xlpm.dir,Table1[[#This Row],[Direction]],
IF(_xlpm.dir="L",
    IF(F553-Table1[[#This Row],[Steps]]&lt;0,100+(F553-Table1[[#This Row],[Steps]]),F553-Table1[[#This Row],[Steps]]),
))</f>
        <v>36</v>
      </c>
      <c r="E554">
        <f>_xlfn.LET(_xlpm.dir,Table1[[#This Row],[Direction]],
IF(_xlpm.dir="R",
    IF(F553+Table1[[#This Row],[Steps]]&gt;99,(F553+Table1[[#This Row],[Steps]])-100,F553+Table1[[#This Row],[Steps]]),
))</f>
        <v>0</v>
      </c>
      <c r="F554">
        <f>IF(Table1[[#This Row],[New Pos L]]&lt;&gt;0,Table1[[#This Row],[New Pos L]],Table1[[#This Row],[New Pos R]])</f>
        <v>36</v>
      </c>
    </row>
    <row r="555" spans="1:6" ht="16" x14ac:dyDescent="0.2">
      <c r="A555" s="1" t="s">
        <v>111</v>
      </c>
      <c r="B555" t="str">
        <f>LEFT(Table1[[#This Row],[Input]],1)</f>
        <v>R</v>
      </c>
      <c r="C555">
        <f>_xlfn.LET(_xlpm.steps,SUBSTITUTE(Table1[[#This Row],[Input]],Table1[[#This Row],[Direction]],""),VALUE(IF(LEN(_xlpm.steps)&gt;2,RIGHT(_xlpm.steps,2),_xlpm.steps)))</f>
        <v>64</v>
      </c>
      <c r="D555">
        <f>_xlfn.LET(_xlpm.dir,Table1[[#This Row],[Direction]],
IF(_xlpm.dir="L",
    IF(F554-Table1[[#This Row],[Steps]]&lt;0,100+(F554-Table1[[#This Row],[Steps]]),F554-Table1[[#This Row],[Steps]]),
))</f>
        <v>0</v>
      </c>
      <c r="E555">
        <f>_xlfn.LET(_xlpm.dir,Table1[[#This Row],[Direction]],
IF(_xlpm.dir="R",
    IF(F554+Table1[[#This Row],[Steps]]&gt;99,(F554+Table1[[#This Row],[Steps]])-100,F554+Table1[[#This Row],[Steps]]),
))</f>
        <v>0</v>
      </c>
      <c r="F555">
        <f>IF(Table1[[#This Row],[New Pos L]]&lt;&gt;0,Table1[[#This Row],[New Pos L]],Table1[[#This Row],[New Pos R]])</f>
        <v>0</v>
      </c>
    </row>
    <row r="556" spans="1:6" ht="16" x14ac:dyDescent="0.2">
      <c r="A556" s="1" t="s">
        <v>99</v>
      </c>
      <c r="B556" t="str">
        <f>LEFT(Table1[[#This Row],[Input]],1)</f>
        <v>R</v>
      </c>
      <c r="C556">
        <f>_xlfn.LET(_xlpm.steps,SUBSTITUTE(Table1[[#This Row],[Input]],Table1[[#This Row],[Direction]],""),VALUE(IF(LEN(_xlpm.steps)&gt;2,RIGHT(_xlpm.steps,2),_xlpm.steps)))</f>
        <v>26</v>
      </c>
      <c r="D556">
        <f>_xlfn.LET(_xlpm.dir,Table1[[#This Row],[Direction]],
IF(_xlpm.dir="L",
    IF(F555-Table1[[#This Row],[Steps]]&lt;0,100+(F555-Table1[[#This Row],[Steps]]),F555-Table1[[#This Row],[Steps]]),
))</f>
        <v>0</v>
      </c>
      <c r="E556">
        <f>_xlfn.LET(_xlpm.dir,Table1[[#This Row],[Direction]],
IF(_xlpm.dir="R",
    IF(F555+Table1[[#This Row],[Steps]]&gt;99,(F555+Table1[[#This Row],[Steps]])-100,F555+Table1[[#This Row],[Steps]]),
))</f>
        <v>26</v>
      </c>
      <c r="F556">
        <f>IF(Table1[[#This Row],[New Pos L]]&lt;&gt;0,Table1[[#This Row],[New Pos L]],Table1[[#This Row],[New Pos R]])</f>
        <v>26</v>
      </c>
    </row>
    <row r="557" spans="1:6" ht="16" x14ac:dyDescent="0.2">
      <c r="A557" s="1" t="s">
        <v>77</v>
      </c>
      <c r="B557" t="str">
        <f>LEFT(Table1[[#This Row],[Input]],1)</f>
        <v>R</v>
      </c>
      <c r="C557">
        <f>_xlfn.LET(_xlpm.steps,SUBSTITUTE(Table1[[#This Row],[Input]],Table1[[#This Row],[Direction]],""),VALUE(IF(LEN(_xlpm.steps)&gt;2,RIGHT(_xlpm.steps,2),_xlpm.steps)))</f>
        <v>74</v>
      </c>
      <c r="D557">
        <f>_xlfn.LET(_xlpm.dir,Table1[[#This Row],[Direction]],
IF(_xlpm.dir="L",
    IF(F556-Table1[[#This Row],[Steps]]&lt;0,100+(F556-Table1[[#This Row],[Steps]]),F556-Table1[[#This Row],[Steps]]),
))</f>
        <v>0</v>
      </c>
      <c r="E557">
        <f>_xlfn.LET(_xlpm.dir,Table1[[#This Row],[Direction]],
IF(_xlpm.dir="R",
    IF(F556+Table1[[#This Row],[Steps]]&gt;99,(F556+Table1[[#This Row],[Steps]])-100,F556+Table1[[#This Row],[Steps]]),
))</f>
        <v>0</v>
      </c>
      <c r="F557">
        <f>IF(Table1[[#This Row],[New Pos L]]&lt;&gt;0,Table1[[#This Row],[New Pos L]],Table1[[#This Row],[New Pos R]])</f>
        <v>0</v>
      </c>
    </row>
    <row r="558" spans="1:6" ht="16" x14ac:dyDescent="0.2">
      <c r="A558" s="1" t="s">
        <v>268</v>
      </c>
      <c r="B558" t="str">
        <f>LEFT(Table1[[#This Row],[Input]],1)</f>
        <v>L</v>
      </c>
      <c r="C558">
        <f>_xlfn.LET(_xlpm.steps,SUBSTITUTE(Table1[[#This Row],[Input]],Table1[[#This Row],[Direction]],""),VALUE(IF(LEN(_xlpm.steps)&gt;2,RIGHT(_xlpm.steps,2),_xlpm.steps)))</f>
        <v>93</v>
      </c>
      <c r="D558">
        <f>_xlfn.LET(_xlpm.dir,Table1[[#This Row],[Direction]],
IF(_xlpm.dir="L",
    IF(F557-Table1[[#This Row],[Steps]]&lt;0,100+(F557-Table1[[#This Row],[Steps]]),F557-Table1[[#This Row],[Steps]]),
))</f>
        <v>7</v>
      </c>
      <c r="E558">
        <f>_xlfn.LET(_xlpm.dir,Table1[[#This Row],[Direction]],
IF(_xlpm.dir="R",
    IF(F557+Table1[[#This Row],[Steps]]&gt;99,(F557+Table1[[#This Row],[Steps]])-100,F557+Table1[[#This Row],[Steps]]),
))</f>
        <v>0</v>
      </c>
      <c r="F558">
        <f>IF(Table1[[#This Row],[New Pos L]]&lt;&gt;0,Table1[[#This Row],[New Pos L]],Table1[[#This Row],[New Pos R]])</f>
        <v>7</v>
      </c>
    </row>
    <row r="559" spans="1:6" ht="16" x14ac:dyDescent="0.2">
      <c r="A559" s="1" t="s">
        <v>269</v>
      </c>
      <c r="B559" t="str">
        <f>LEFT(Table1[[#This Row],[Input]],1)</f>
        <v>L</v>
      </c>
      <c r="C559">
        <f>_xlfn.LET(_xlpm.steps,SUBSTITUTE(Table1[[#This Row],[Input]],Table1[[#This Row],[Direction]],""),VALUE(IF(LEN(_xlpm.steps)&gt;2,RIGHT(_xlpm.steps,2),_xlpm.steps)))</f>
        <v>7</v>
      </c>
      <c r="D559">
        <f>_xlfn.LET(_xlpm.dir,Table1[[#This Row],[Direction]],
IF(_xlpm.dir="L",
    IF(F558-Table1[[#This Row],[Steps]]&lt;0,100+(F558-Table1[[#This Row],[Steps]]),F558-Table1[[#This Row],[Steps]]),
))</f>
        <v>0</v>
      </c>
      <c r="E559">
        <f>_xlfn.LET(_xlpm.dir,Table1[[#This Row],[Direction]],
IF(_xlpm.dir="R",
    IF(F558+Table1[[#This Row],[Steps]]&gt;99,(F558+Table1[[#This Row],[Steps]])-100,F558+Table1[[#This Row],[Steps]]),
))</f>
        <v>0</v>
      </c>
      <c r="F559">
        <f>IF(Table1[[#This Row],[New Pos L]]&lt;&gt;0,Table1[[#This Row],[New Pos L]],Table1[[#This Row],[New Pos R]])</f>
        <v>0</v>
      </c>
    </row>
    <row r="560" spans="1:6" ht="16" x14ac:dyDescent="0.2">
      <c r="A560" s="1" t="s">
        <v>256</v>
      </c>
      <c r="B560" t="str">
        <f>LEFT(Table1[[#This Row],[Input]],1)</f>
        <v>R</v>
      </c>
      <c r="C560">
        <f>_xlfn.LET(_xlpm.steps,SUBSTITUTE(Table1[[#This Row],[Input]],Table1[[#This Row],[Direction]],""),VALUE(IF(LEN(_xlpm.steps)&gt;2,RIGHT(_xlpm.steps,2),_xlpm.steps)))</f>
        <v>13</v>
      </c>
      <c r="D560">
        <f>_xlfn.LET(_xlpm.dir,Table1[[#This Row],[Direction]],
IF(_xlpm.dir="L",
    IF(F559-Table1[[#This Row],[Steps]]&lt;0,100+(F559-Table1[[#This Row],[Steps]]),F559-Table1[[#This Row],[Steps]]),
))</f>
        <v>0</v>
      </c>
      <c r="E560">
        <f>_xlfn.LET(_xlpm.dir,Table1[[#This Row],[Direction]],
IF(_xlpm.dir="R",
    IF(F559+Table1[[#This Row],[Steps]]&gt;99,(F559+Table1[[#This Row],[Steps]])-100,F559+Table1[[#This Row],[Steps]]),
))</f>
        <v>13</v>
      </c>
      <c r="F560">
        <f>IF(Table1[[#This Row],[New Pos L]]&lt;&gt;0,Table1[[#This Row],[New Pos L]],Table1[[#This Row],[New Pos R]])</f>
        <v>13</v>
      </c>
    </row>
    <row r="561" spans="1:6" ht="16" x14ac:dyDescent="0.2">
      <c r="A561" s="1" t="s">
        <v>270</v>
      </c>
      <c r="B561" t="str">
        <f>LEFT(Table1[[#This Row],[Input]],1)</f>
        <v>R</v>
      </c>
      <c r="C561">
        <f>_xlfn.LET(_xlpm.steps,SUBSTITUTE(Table1[[#This Row],[Input]],Table1[[#This Row],[Direction]],""),VALUE(IF(LEN(_xlpm.steps)&gt;2,RIGHT(_xlpm.steps,2),_xlpm.steps)))</f>
        <v>77</v>
      </c>
      <c r="D561">
        <f>_xlfn.LET(_xlpm.dir,Table1[[#This Row],[Direction]],
IF(_xlpm.dir="L",
    IF(F560-Table1[[#This Row],[Steps]]&lt;0,100+(F560-Table1[[#This Row],[Steps]]),F560-Table1[[#This Row],[Steps]]),
))</f>
        <v>0</v>
      </c>
      <c r="E561">
        <f>_xlfn.LET(_xlpm.dir,Table1[[#This Row],[Direction]],
IF(_xlpm.dir="R",
    IF(F560+Table1[[#This Row],[Steps]]&gt;99,(F560+Table1[[#This Row],[Steps]])-100,F560+Table1[[#This Row],[Steps]]),
))</f>
        <v>90</v>
      </c>
      <c r="F561">
        <f>IF(Table1[[#This Row],[New Pos L]]&lt;&gt;0,Table1[[#This Row],[New Pos L]],Table1[[#This Row],[New Pos R]])</f>
        <v>90</v>
      </c>
    </row>
    <row r="562" spans="1:6" ht="16" x14ac:dyDescent="0.2">
      <c r="A562" s="1" t="s">
        <v>256</v>
      </c>
      <c r="B562" t="str">
        <f>LEFT(Table1[[#This Row],[Input]],1)</f>
        <v>R</v>
      </c>
      <c r="C562">
        <f>_xlfn.LET(_xlpm.steps,SUBSTITUTE(Table1[[#This Row],[Input]],Table1[[#This Row],[Direction]],""),VALUE(IF(LEN(_xlpm.steps)&gt;2,RIGHT(_xlpm.steps,2),_xlpm.steps)))</f>
        <v>13</v>
      </c>
      <c r="D562">
        <f>_xlfn.LET(_xlpm.dir,Table1[[#This Row],[Direction]],
IF(_xlpm.dir="L",
    IF(F561-Table1[[#This Row],[Steps]]&lt;0,100+(F561-Table1[[#This Row],[Steps]]),F561-Table1[[#This Row],[Steps]]),
))</f>
        <v>0</v>
      </c>
      <c r="E562">
        <f>_xlfn.LET(_xlpm.dir,Table1[[#This Row],[Direction]],
IF(_xlpm.dir="R",
    IF(F561+Table1[[#This Row],[Steps]]&gt;99,(F561+Table1[[#This Row],[Steps]])-100,F561+Table1[[#This Row],[Steps]]),
))</f>
        <v>3</v>
      </c>
      <c r="F562">
        <f>IF(Table1[[#This Row],[New Pos L]]&lt;&gt;0,Table1[[#This Row],[New Pos L]],Table1[[#This Row],[New Pos R]])</f>
        <v>3</v>
      </c>
    </row>
    <row r="563" spans="1:6" ht="16" x14ac:dyDescent="0.2">
      <c r="A563" s="1" t="s">
        <v>43</v>
      </c>
      <c r="B563" t="str">
        <f>LEFT(Table1[[#This Row],[Input]],1)</f>
        <v>R</v>
      </c>
      <c r="C563">
        <f>_xlfn.LET(_xlpm.steps,SUBSTITUTE(Table1[[#This Row],[Input]],Table1[[#This Row],[Direction]],""),VALUE(IF(LEN(_xlpm.steps)&gt;2,RIGHT(_xlpm.steps,2),_xlpm.steps)))</f>
        <v>90</v>
      </c>
      <c r="D563">
        <f>_xlfn.LET(_xlpm.dir,Table1[[#This Row],[Direction]],
IF(_xlpm.dir="L",
    IF(F562-Table1[[#This Row],[Steps]]&lt;0,100+(F562-Table1[[#This Row],[Steps]]),F562-Table1[[#This Row],[Steps]]),
))</f>
        <v>0</v>
      </c>
      <c r="E563">
        <f>_xlfn.LET(_xlpm.dir,Table1[[#This Row],[Direction]],
IF(_xlpm.dir="R",
    IF(F562+Table1[[#This Row],[Steps]]&gt;99,(F562+Table1[[#This Row],[Steps]])-100,F562+Table1[[#This Row],[Steps]]),
))</f>
        <v>93</v>
      </c>
      <c r="F563">
        <f>IF(Table1[[#This Row],[New Pos L]]&lt;&gt;0,Table1[[#This Row],[New Pos L]],Table1[[#This Row],[New Pos R]])</f>
        <v>93</v>
      </c>
    </row>
    <row r="564" spans="1:6" ht="16" x14ac:dyDescent="0.2">
      <c r="A564" s="1" t="s">
        <v>25</v>
      </c>
      <c r="B564" t="str">
        <f>LEFT(Table1[[#This Row],[Input]],1)</f>
        <v>L</v>
      </c>
      <c r="C564">
        <f>_xlfn.LET(_xlpm.steps,SUBSTITUTE(Table1[[#This Row],[Input]],Table1[[#This Row],[Direction]],""),VALUE(IF(LEN(_xlpm.steps)&gt;2,RIGHT(_xlpm.steps,2),_xlpm.steps)))</f>
        <v>20</v>
      </c>
      <c r="D564">
        <f>_xlfn.LET(_xlpm.dir,Table1[[#This Row],[Direction]],
IF(_xlpm.dir="L",
    IF(F563-Table1[[#This Row],[Steps]]&lt;0,100+(F563-Table1[[#This Row],[Steps]]),F563-Table1[[#This Row],[Steps]]),
))</f>
        <v>73</v>
      </c>
      <c r="E564">
        <f>_xlfn.LET(_xlpm.dir,Table1[[#This Row],[Direction]],
IF(_xlpm.dir="R",
    IF(F563+Table1[[#This Row],[Steps]]&gt;99,(F563+Table1[[#This Row],[Steps]])-100,F563+Table1[[#This Row],[Steps]]),
))</f>
        <v>0</v>
      </c>
      <c r="F564">
        <f>IF(Table1[[#This Row],[New Pos L]]&lt;&gt;0,Table1[[#This Row],[New Pos L]],Table1[[#This Row],[New Pos R]])</f>
        <v>73</v>
      </c>
    </row>
    <row r="565" spans="1:6" ht="16" x14ac:dyDescent="0.2">
      <c r="A565" s="1" t="s">
        <v>260</v>
      </c>
      <c r="B565" t="str">
        <f>LEFT(Table1[[#This Row],[Input]],1)</f>
        <v>L</v>
      </c>
      <c r="C565">
        <f>_xlfn.LET(_xlpm.steps,SUBSTITUTE(Table1[[#This Row],[Input]],Table1[[#This Row],[Direction]],""),VALUE(IF(LEN(_xlpm.steps)&gt;2,RIGHT(_xlpm.steps,2),_xlpm.steps)))</f>
        <v>85</v>
      </c>
      <c r="D565">
        <f>_xlfn.LET(_xlpm.dir,Table1[[#This Row],[Direction]],
IF(_xlpm.dir="L",
    IF(F564-Table1[[#This Row],[Steps]]&lt;0,100+(F564-Table1[[#This Row],[Steps]]),F564-Table1[[#This Row],[Steps]]),
))</f>
        <v>88</v>
      </c>
      <c r="E565">
        <f>_xlfn.LET(_xlpm.dir,Table1[[#This Row],[Direction]],
IF(_xlpm.dir="R",
    IF(F564+Table1[[#This Row],[Steps]]&gt;99,(F564+Table1[[#This Row],[Steps]])-100,F564+Table1[[#This Row],[Steps]]),
))</f>
        <v>0</v>
      </c>
      <c r="F565">
        <f>IF(Table1[[#This Row],[New Pos L]]&lt;&gt;0,Table1[[#This Row],[New Pos L]],Table1[[#This Row],[New Pos R]])</f>
        <v>88</v>
      </c>
    </row>
    <row r="566" spans="1:6" ht="16" x14ac:dyDescent="0.2">
      <c r="A566" s="1" t="s">
        <v>13</v>
      </c>
      <c r="B566" t="str">
        <f>LEFT(Table1[[#This Row],[Input]],1)</f>
        <v>R</v>
      </c>
      <c r="C566">
        <f>_xlfn.LET(_xlpm.steps,SUBSTITUTE(Table1[[#This Row],[Input]],Table1[[#This Row],[Direction]],""),VALUE(IF(LEN(_xlpm.steps)&gt;2,RIGHT(_xlpm.steps,2),_xlpm.steps)))</f>
        <v>12</v>
      </c>
      <c r="D566">
        <f>_xlfn.LET(_xlpm.dir,Table1[[#This Row],[Direction]],
IF(_xlpm.dir="L",
    IF(F565-Table1[[#This Row],[Steps]]&lt;0,100+(F565-Table1[[#This Row],[Steps]]),F565-Table1[[#This Row],[Steps]]),
))</f>
        <v>0</v>
      </c>
      <c r="E566">
        <f>_xlfn.LET(_xlpm.dir,Table1[[#This Row],[Direction]],
IF(_xlpm.dir="R",
    IF(F565+Table1[[#This Row],[Steps]]&gt;99,(F565+Table1[[#This Row],[Steps]])-100,F565+Table1[[#This Row],[Steps]]),
))</f>
        <v>0</v>
      </c>
      <c r="F566">
        <f>IF(Table1[[#This Row],[New Pos L]]&lt;&gt;0,Table1[[#This Row],[New Pos L]],Table1[[#This Row],[New Pos R]])</f>
        <v>0</v>
      </c>
    </row>
    <row r="567" spans="1:6" ht="16" x14ac:dyDescent="0.2">
      <c r="A567" s="1" t="s">
        <v>201</v>
      </c>
      <c r="B567" t="str">
        <f>LEFT(Table1[[#This Row],[Input]],1)</f>
        <v>R</v>
      </c>
      <c r="C567">
        <f>_xlfn.LET(_xlpm.steps,SUBSTITUTE(Table1[[#This Row],[Input]],Table1[[#This Row],[Direction]],""),VALUE(IF(LEN(_xlpm.steps)&gt;2,RIGHT(_xlpm.steps,2),_xlpm.steps)))</f>
        <v>31</v>
      </c>
      <c r="D567">
        <f>_xlfn.LET(_xlpm.dir,Table1[[#This Row],[Direction]],
IF(_xlpm.dir="L",
    IF(F566-Table1[[#This Row],[Steps]]&lt;0,100+(F566-Table1[[#This Row],[Steps]]),F566-Table1[[#This Row],[Steps]]),
))</f>
        <v>0</v>
      </c>
      <c r="E567">
        <f>_xlfn.LET(_xlpm.dir,Table1[[#This Row],[Direction]],
IF(_xlpm.dir="R",
    IF(F566+Table1[[#This Row],[Steps]]&gt;99,(F566+Table1[[#This Row],[Steps]])-100,F566+Table1[[#This Row],[Steps]]),
))</f>
        <v>31</v>
      </c>
      <c r="F567">
        <f>IF(Table1[[#This Row],[New Pos L]]&lt;&gt;0,Table1[[#This Row],[New Pos L]],Table1[[#This Row],[New Pos R]])</f>
        <v>31</v>
      </c>
    </row>
    <row r="568" spans="1:6" ht="16" x14ac:dyDescent="0.2">
      <c r="A568" s="1" t="s">
        <v>172</v>
      </c>
      <c r="B568" t="str">
        <f>LEFT(Table1[[#This Row],[Input]],1)</f>
        <v>L</v>
      </c>
      <c r="C568">
        <f>_xlfn.LET(_xlpm.steps,SUBSTITUTE(Table1[[#This Row],[Input]],Table1[[#This Row],[Direction]],""),VALUE(IF(LEN(_xlpm.steps)&gt;2,RIGHT(_xlpm.steps,2),_xlpm.steps)))</f>
        <v>66</v>
      </c>
      <c r="D568">
        <f>_xlfn.LET(_xlpm.dir,Table1[[#This Row],[Direction]],
IF(_xlpm.dir="L",
    IF(F567-Table1[[#This Row],[Steps]]&lt;0,100+(F567-Table1[[#This Row],[Steps]]),F567-Table1[[#This Row],[Steps]]),
))</f>
        <v>65</v>
      </c>
      <c r="E568">
        <f>_xlfn.LET(_xlpm.dir,Table1[[#This Row],[Direction]],
IF(_xlpm.dir="R",
    IF(F567+Table1[[#This Row],[Steps]]&gt;99,(F567+Table1[[#This Row],[Steps]])-100,F567+Table1[[#This Row],[Steps]]),
))</f>
        <v>0</v>
      </c>
      <c r="F568">
        <f>IF(Table1[[#This Row],[New Pos L]]&lt;&gt;0,Table1[[#This Row],[New Pos L]],Table1[[#This Row],[New Pos R]])</f>
        <v>65</v>
      </c>
    </row>
    <row r="569" spans="1:6" ht="16" x14ac:dyDescent="0.2">
      <c r="A569" s="1" t="s">
        <v>1</v>
      </c>
      <c r="B569" t="str">
        <f>LEFT(Table1[[#This Row],[Input]],1)</f>
        <v>R</v>
      </c>
      <c r="C569">
        <f>_xlfn.LET(_xlpm.steps,SUBSTITUTE(Table1[[#This Row],[Input]],Table1[[#This Row],[Direction]],""),VALUE(IF(LEN(_xlpm.steps)&gt;2,RIGHT(_xlpm.steps,2),_xlpm.steps)))</f>
        <v>26</v>
      </c>
      <c r="D569">
        <f>_xlfn.LET(_xlpm.dir,Table1[[#This Row],[Direction]],
IF(_xlpm.dir="L",
    IF(F568-Table1[[#This Row],[Steps]]&lt;0,100+(F568-Table1[[#This Row],[Steps]]),F568-Table1[[#This Row],[Steps]]),
))</f>
        <v>0</v>
      </c>
      <c r="E569">
        <f>_xlfn.LET(_xlpm.dir,Table1[[#This Row],[Direction]],
IF(_xlpm.dir="R",
    IF(F568+Table1[[#This Row],[Steps]]&gt;99,(F568+Table1[[#This Row],[Steps]])-100,F568+Table1[[#This Row],[Steps]]),
))</f>
        <v>91</v>
      </c>
      <c r="F569">
        <f>IF(Table1[[#This Row],[New Pos L]]&lt;&gt;0,Table1[[#This Row],[New Pos L]],Table1[[#This Row],[New Pos R]])</f>
        <v>91</v>
      </c>
    </row>
    <row r="570" spans="1:6" ht="16" x14ac:dyDescent="0.2">
      <c r="A570" s="1" t="s">
        <v>244</v>
      </c>
      <c r="B570" t="str">
        <f>LEFT(Table1[[#This Row],[Input]],1)</f>
        <v>L</v>
      </c>
      <c r="C570">
        <f>_xlfn.LET(_xlpm.steps,SUBSTITUTE(Table1[[#This Row],[Input]],Table1[[#This Row],[Direction]],""),VALUE(IF(LEN(_xlpm.steps)&gt;2,RIGHT(_xlpm.steps,2),_xlpm.steps)))</f>
        <v>98</v>
      </c>
      <c r="D570">
        <f>_xlfn.LET(_xlpm.dir,Table1[[#This Row],[Direction]],
IF(_xlpm.dir="L",
    IF(F569-Table1[[#This Row],[Steps]]&lt;0,100+(F569-Table1[[#This Row],[Steps]]),F569-Table1[[#This Row],[Steps]]),
))</f>
        <v>93</v>
      </c>
      <c r="E570">
        <f>_xlfn.LET(_xlpm.dir,Table1[[#This Row],[Direction]],
IF(_xlpm.dir="R",
    IF(F569+Table1[[#This Row],[Steps]]&gt;99,(F569+Table1[[#This Row],[Steps]])-100,F569+Table1[[#This Row],[Steps]]),
))</f>
        <v>0</v>
      </c>
      <c r="F570">
        <f>IF(Table1[[#This Row],[New Pos L]]&lt;&gt;0,Table1[[#This Row],[New Pos L]],Table1[[#This Row],[New Pos R]])</f>
        <v>93</v>
      </c>
    </row>
    <row r="571" spans="1:6" ht="16" x14ac:dyDescent="0.2">
      <c r="A571" s="1" t="s">
        <v>271</v>
      </c>
      <c r="B571" t="str">
        <f>LEFT(Table1[[#This Row],[Input]],1)</f>
        <v>R</v>
      </c>
      <c r="C571">
        <f>_xlfn.LET(_xlpm.steps,SUBSTITUTE(Table1[[#This Row],[Input]],Table1[[#This Row],[Direction]],""),VALUE(IF(LEN(_xlpm.steps)&gt;2,RIGHT(_xlpm.steps,2),_xlpm.steps)))</f>
        <v>7</v>
      </c>
      <c r="D571">
        <f>_xlfn.LET(_xlpm.dir,Table1[[#This Row],[Direction]],
IF(_xlpm.dir="L",
    IF(F570-Table1[[#This Row],[Steps]]&lt;0,100+(F570-Table1[[#This Row],[Steps]]),F570-Table1[[#This Row],[Steps]]),
))</f>
        <v>0</v>
      </c>
      <c r="E571">
        <f>_xlfn.LET(_xlpm.dir,Table1[[#This Row],[Direction]],
IF(_xlpm.dir="R",
    IF(F570+Table1[[#This Row],[Steps]]&gt;99,(F570+Table1[[#This Row],[Steps]])-100,F570+Table1[[#This Row],[Steps]]),
))</f>
        <v>0</v>
      </c>
      <c r="F571">
        <f>IF(Table1[[#This Row],[New Pos L]]&lt;&gt;0,Table1[[#This Row],[New Pos L]],Table1[[#This Row],[New Pos R]])</f>
        <v>0</v>
      </c>
    </row>
    <row r="572" spans="1:6" ht="16" x14ac:dyDescent="0.2">
      <c r="A572" s="1" t="s">
        <v>174</v>
      </c>
      <c r="B572" t="str">
        <f>LEFT(Table1[[#This Row],[Input]],1)</f>
        <v>L</v>
      </c>
      <c r="C572">
        <f>_xlfn.LET(_xlpm.steps,SUBSTITUTE(Table1[[#This Row],[Input]],Table1[[#This Row],[Direction]],""),VALUE(IF(LEN(_xlpm.steps)&gt;2,RIGHT(_xlpm.steps,2),_xlpm.steps)))</f>
        <v>92</v>
      </c>
      <c r="D572">
        <f>_xlfn.LET(_xlpm.dir,Table1[[#This Row],[Direction]],
IF(_xlpm.dir="L",
    IF(F571-Table1[[#This Row],[Steps]]&lt;0,100+(F571-Table1[[#This Row],[Steps]]),F571-Table1[[#This Row],[Steps]]),
))</f>
        <v>8</v>
      </c>
      <c r="E572">
        <f>_xlfn.LET(_xlpm.dir,Table1[[#This Row],[Direction]],
IF(_xlpm.dir="R",
    IF(F571+Table1[[#This Row],[Steps]]&gt;99,(F571+Table1[[#This Row],[Steps]])-100,F571+Table1[[#This Row],[Steps]]),
))</f>
        <v>0</v>
      </c>
      <c r="F572">
        <f>IF(Table1[[#This Row],[New Pos L]]&lt;&gt;0,Table1[[#This Row],[New Pos L]],Table1[[#This Row],[New Pos R]])</f>
        <v>8</v>
      </c>
    </row>
    <row r="573" spans="1:6" ht="16" x14ac:dyDescent="0.2">
      <c r="A573" s="1" t="s">
        <v>128</v>
      </c>
      <c r="B573" t="str">
        <f>LEFT(Table1[[#This Row],[Input]],1)</f>
        <v>R</v>
      </c>
      <c r="C573">
        <f>_xlfn.LET(_xlpm.steps,SUBSTITUTE(Table1[[#This Row],[Input]],Table1[[#This Row],[Direction]],""),VALUE(IF(LEN(_xlpm.steps)&gt;2,RIGHT(_xlpm.steps,2),_xlpm.steps)))</f>
        <v>92</v>
      </c>
      <c r="D573">
        <f>_xlfn.LET(_xlpm.dir,Table1[[#This Row],[Direction]],
IF(_xlpm.dir="L",
    IF(F572-Table1[[#This Row],[Steps]]&lt;0,100+(F572-Table1[[#This Row],[Steps]]),F572-Table1[[#This Row],[Steps]]),
))</f>
        <v>0</v>
      </c>
      <c r="E573">
        <f>_xlfn.LET(_xlpm.dir,Table1[[#This Row],[Direction]],
IF(_xlpm.dir="R",
    IF(F572+Table1[[#This Row],[Steps]]&gt;99,(F572+Table1[[#This Row],[Steps]])-100,F572+Table1[[#This Row],[Steps]]),
))</f>
        <v>0</v>
      </c>
      <c r="F573">
        <f>IF(Table1[[#This Row],[New Pos L]]&lt;&gt;0,Table1[[#This Row],[New Pos L]],Table1[[#This Row],[New Pos R]])</f>
        <v>0</v>
      </c>
    </row>
    <row r="574" spans="1:6" ht="16" x14ac:dyDescent="0.2">
      <c r="A574" s="1" t="s">
        <v>272</v>
      </c>
      <c r="B574" t="str">
        <f>LEFT(Table1[[#This Row],[Input]],1)</f>
        <v>R</v>
      </c>
      <c r="C574">
        <f>_xlfn.LET(_xlpm.steps,SUBSTITUTE(Table1[[#This Row],[Input]],Table1[[#This Row],[Direction]],""),VALUE(IF(LEN(_xlpm.steps)&gt;2,RIGHT(_xlpm.steps,2),_xlpm.steps)))</f>
        <v>56</v>
      </c>
      <c r="D574">
        <f>_xlfn.LET(_xlpm.dir,Table1[[#This Row],[Direction]],
IF(_xlpm.dir="L",
    IF(F573-Table1[[#This Row],[Steps]]&lt;0,100+(F573-Table1[[#This Row],[Steps]]),F573-Table1[[#This Row],[Steps]]),
))</f>
        <v>0</v>
      </c>
      <c r="E574">
        <f>_xlfn.LET(_xlpm.dir,Table1[[#This Row],[Direction]],
IF(_xlpm.dir="R",
    IF(F573+Table1[[#This Row],[Steps]]&gt;99,(F573+Table1[[#This Row],[Steps]])-100,F573+Table1[[#This Row],[Steps]]),
))</f>
        <v>56</v>
      </c>
      <c r="F574">
        <f>IF(Table1[[#This Row],[New Pos L]]&lt;&gt;0,Table1[[#This Row],[New Pos L]],Table1[[#This Row],[New Pos R]])</f>
        <v>56</v>
      </c>
    </row>
    <row r="575" spans="1:6" ht="16" x14ac:dyDescent="0.2">
      <c r="A575" s="1" t="s">
        <v>273</v>
      </c>
      <c r="B575" t="str">
        <f>LEFT(Table1[[#This Row],[Input]],1)</f>
        <v>L</v>
      </c>
      <c r="C575">
        <f>_xlfn.LET(_xlpm.steps,SUBSTITUTE(Table1[[#This Row],[Input]],Table1[[#This Row],[Direction]],""),VALUE(IF(LEN(_xlpm.steps)&gt;2,RIGHT(_xlpm.steps,2),_xlpm.steps)))</f>
        <v>60</v>
      </c>
      <c r="D575">
        <f>_xlfn.LET(_xlpm.dir,Table1[[#This Row],[Direction]],
IF(_xlpm.dir="L",
    IF(F574-Table1[[#This Row],[Steps]]&lt;0,100+(F574-Table1[[#This Row],[Steps]]),F574-Table1[[#This Row],[Steps]]),
))</f>
        <v>96</v>
      </c>
      <c r="E575">
        <f>_xlfn.LET(_xlpm.dir,Table1[[#This Row],[Direction]],
IF(_xlpm.dir="R",
    IF(F574+Table1[[#This Row],[Steps]]&gt;99,(F574+Table1[[#This Row],[Steps]])-100,F574+Table1[[#This Row],[Steps]]),
))</f>
        <v>0</v>
      </c>
      <c r="F575">
        <f>IF(Table1[[#This Row],[New Pos L]]&lt;&gt;0,Table1[[#This Row],[New Pos L]],Table1[[#This Row],[New Pos R]])</f>
        <v>96</v>
      </c>
    </row>
    <row r="576" spans="1:6" ht="16" x14ac:dyDescent="0.2">
      <c r="A576" s="1" t="s">
        <v>36</v>
      </c>
      <c r="B576" t="str">
        <f>LEFT(Table1[[#This Row],[Input]],1)</f>
        <v>R</v>
      </c>
      <c r="C576">
        <f>_xlfn.LET(_xlpm.steps,SUBSTITUTE(Table1[[#This Row],[Input]],Table1[[#This Row],[Direction]],""),VALUE(IF(LEN(_xlpm.steps)&gt;2,RIGHT(_xlpm.steps,2),_xlpm.steps)))</f>
        <v>50</v>
      </c>
      <c r="D576">
        <f>_xlfn.LET(_xlpm.dir,Table1[[#This Row],[Direction]],
IF(_xlpm.dir="L",
    IF(F575-Table1[[#This Row],[Steps]]&lt;0,100+(F575-Table1[[#This Row],[Steps]]),F575-Table1[[#This Row],[Steps]]),
))</f>
        <v>0</v>
      </c>
      <c r="E576">
        <f>_xlfn.LET(_xlpm.dir,Table1[[#This Row],[Direction]],
IF(_xlpm.dir="R",
    IF(F575+Table1[[#This Row],[Steps]]&gt;99,(F575+Table1[[#This Row],[Steps]])-100,F575+Table1[[#This Row],[Steps]]),
))</f>
        <v>46</v>
      </c>
      <c r="F576">
        <f>IF(Table1[[#This Row],[New Pos L]]&lt;&gt;0,Table1[[#This Row],[New Pos L]],Table1[[#This Row],[New Pos R]])</f>
        <v>46</v>
      </c>
    </row>
    <row r="577" spans="1:6" ht="16" x14ac:dyDescent="0.2">
      <c r="A577" s="1" t="s">
        <v>272</v>
      </c>
      <c r="B577" t="str">
        <f>LEFT(Table1[[#This Row],[Input]],1)</f>
        <v>R</v>
      </c>
      <c r="C577">
        <f>_xlfn.LET(_xlpm.steps,SUBSTITUTE(Table1[[#This Row],[Input]],Table1[[#This Row],[Direction]],""),VALUE(IF(LEN(_xlpm.steps)&gt;2,RIGHT(_xlpm.steps,2),_xlpm.steps)))</f>
        <v>56</v>
      </c>
      <c r="D577">
        <f>_xlfn.LET(_xlpm.dir,Table1[[#This Row],[Direction]],
IF(_xlpm.dir="L",
    IF(F576-Table1[[#This Row],[Steps]]&lt;0,100+(F576-Table1[[#This Row],[Steps]]),F576-Table1[[#This Row],[Steps]]),
))</f>
        <v>0</v>
      </c>
      <c r="E577">
        <f>_xlfn.LET(_xlpm.dir,Table1[[#This Row],[Direction]],
IF(_xlpm.dir="R",
    IF(F576+Table1[[#This Row],[Steps]]&gt;99,(F576+Table1[[#This Row],[Steps]])-100,F576+Table1[[#This Row],[Steps]]),
))</f>
        <v>2</v>
      </c>
      <c r="F577">
        <f>IF(Table1[[#This Row],[New Pos L]]&lt;&gt;0,Table1[[#This Row],[New Pos L]],Table1[[#This Row],[New Pos R]])</f>
        <v>2</v>
      </c>
    </row>
    <row r="578" spans="1:6" ht="16" x14ac:dyDescent="0.2">
      <c r="A578" s="1" t="s">
        <v>146</v>
      </c>
      <c r="B578" t="str">
        <f>LEFT(Table1[[#This Row],[Input]],1)</f>
        <v>R</v>
      </c>
      <c r="C578">
        <f>_xlfn.LET(_xlpm.steps,SUBSTITUTE(Table1[[#This Row],[Input]],Table1[[#This Row],[Direction]],""),VALUE(IF(LEN(_xlpm.steps)&gt;2,RIGHT(_xlpm.steps,2),_xlpm.steps)))</f>
        <v>4</v>
      </c>
      <c r="D578">
        <f>_xlfn.LET(_xlpm.dir,Table1[[#This Row],[Direction]],
IF(_xlpm.dir="L",
    IF(F577-Table1[[#This Row],[Steps]]&lt;0,100+(F577-Table1[[#This Row],[Steps]]),F577-Table1[[#This Row],[Steps]]),
))</f>
        <v>0</v>
      </c>
      <c r="E578">
        <f>_xlfn.LET(_xlpm.dir,Table1[[#This Row],[Direction]],
IF(_xlpm.dir="R",
    IF(F577+Table1[[#This Row],[Steps]]&gt;99,(F577+Table1[[#This Row],[Steps]])-100,F577+Table1[[#This Row],[Steps]]),
))</f>
        <v>6</v>
      </c>
      <c r="F578">
        <f>IF(Table1[[#This Row],[New Pos L]]&lt;&gt;0,Table1[[#This Row],[New Pos L]],Table1[[#This Row],[New Pos R]])</f>
        <v>6</v>
      </c>
    </row>
    <row r="579" spans="1:6" ht="16" x14ac:dyDescent="0.2">
      <c r="A579" s="1" t="s">
        <v>72</v>
      </c>
      <c r="B579" t="str">
        <f>LEFT(Table1[[#This Row],[Input]],1)</f>
        <v>R</v>
      </c>
      <c r="C579">
        <f>_xlfn.LET(_xlpm.steps,SUBSTITUTE(Table1[[#This Row],[Input]],Table1[[#This Row],[Direction]],""),VALUE(IF(LEN(_xlpm.steps)&gt;2,RIGHT(_xlpm.steps,2),_xlpm.steps)))</f>
        <v>43</v>
      </c>
      <c r="D579">
        <f>_xlfn.LET(_xlpm.dir,Table1[[#This Row],[Direction]],
IF(_xlpm.dir="L",
    IF(F578-Table1[[#This Row],[Steps]]&lt;0,100+(F578-Table1[[#This Row],[Steps]]),F578-Table1[[#This Row],[Steps]]),
))</f>
        <v>0</v>
      </c>
      <c r="E579">
        <f>_xlfn.LET(_xlpm.dir,Table1[[#This Row],[Direction]],
IF(_xlpm.dir="R",
    IF(F578+Table1[[#This Row],[Steps]]&gt;99,(F578+Table1[[#This Row],[Steps]])-100,F578+Table1[[#This Row],[Steps]]),
))</f>
        <v>49</v>
      </c>
      <c r="F579">
        <f>IF(Table1[[#This Row],[New Pos L]]&lt;&gt;0,Table1[[#This Row],[New Pos L]],Table1[[#This Row],[New Pos R]])</f>
        <v>49</v>
      </c>
    </row>
    <row r="580" spans="1:6" ht="16" x14ac:dyDescent="0.2">
      <c r="A580" s="1" t="s">
        <v>182</v>
      </c>
      <c r="B580" t="str">
        <f>LEFT(Table1[[#This Row],[Input]],1)</f>
        <v>L</v>
      </c>
      <c r="C580">
        <f>_xlfn.LET(_xlpm.steps,SUBSTITUTE(Table1[[#This Row],[Input]],Table1[[#This Row],[Direction]],""),VALUE(IF(LEN(_xlpm.steps)&gt;2,RIGHT(_xlpm.steps,2),_xlpm.steps)))</f>
        <v>3</v>
      </c>
      <c r="D580">
        <f>_xlfn.LET(_xlpm.dir,Table1[[#This Row],[Direction]],
IF(_xlpm.dir="L",
    IF(F579-Table1[[#This Row],[Steps]]&lt;0,100+(F579-Table1[[#This Row],[Steps]]),F579-Table1[[#This Row],[Steps]]),
))</f>
        <v>46</v>
      </c>
      <c r="E580">
        <f>_xlfn.LET(_xlpm.dir,Table1[[#This Row],[Direction]],
IF(_xlpm.dir="R",
    IF(F579+Table1[[#This Row],[Steps]]&gt;99,(F579+Table1[[#This Row],[Steps]])-100,F579+Table1[[#This Row],[Steps]]),
))</f>
        <v>0</v>
      </c>
      <c r="F580">
        <f>IF(Table1[[#This Row],[New Pos L]]&lt;&gt;0,Table1[[#This Row],[New Pos L]],Table1[[#This Row],[New Pos R]])</f>
        <v>46</v>
      </c>
    </row>
    <row r="581" spans="1:6" ht="16" x14ac:dyDescent="0.2">
      <c r="A581" s="1" t="s">
        <v>209</v>
      </c>
      <c r="B581" t="str">
        <f>LEFT(Table1[[#This Row],[Input]],1)</f>
        <v>L</v>
      </c>
      <c r="C581">
        <f>_xlfn.LET(_xlpm.steps,SUBSTITUTE(Table1[[#This Row],[Input]],Table1[[#This Row],[Direction]],""),VALUE(IF(LEN(_xlpm.steps)&gt;2,RIGHT(_xlpm.steps,2),_xlpm.steps)))</f>
        <v>86</v>
      </c>
      <c r="D581">
        <f>_xlfn.LET(_xlpm.dir,Table1[[#This Row],[Direction]],
IF(_xlpm.dir="L",
    IF(F580-Table1[[#This Row],[Steps]]&lt;0,100+(F580-Table1[[#This Row],[Steps]]),F580-Table1[[#This Row],[Steps]]),
))</f>
        <v>60</v>
      </c>
      <c r="E581">
        <f>_xlfn.LET(_xlpm.dir,Table1[[#This Row],[Direction]],
IF(_xlpm.dir="R",
    IF(F580+Table1[[#This Row],[Steps]]&gt;99,(F580+Table1[[#This Row],[Steps]])-100,F580+Table1[[#This Row],[Steps]]),
))</f>
        <v>0</v>
      </c>
      <c r="F581">
        <f>IF(Table1[[#This Row],[New Pos L]]&lt;&gt;0,Table1[[#This Row],[New Pos L]],Table1[[#This Row],[New Pos R]])</f>
        <v>60</v>
      </c>
    </row>
    <row r="582" spans="1:6" ht="16" x14ac:dyDescent="0.2">
      <c r="A582" s="1" t="s">
        <v>274</v>
      </c>
      <c r="B582" t="str">
        <f>LEFT(Table1[[#This Row],[Input]],1)</f>
        <v>R</v>
      </c>
      <c r="C582">
        <f>_xlfn.LET(_xlpm.steps,SUBSTITUTE(Table1[[#This Row],[Input]],Table1[[#This Row],[Direction]],""),VALUE(IF(LEN(_xlpm.steps)&gt;2,RIGHT(_xlpm.steps,2),_xlpm.steps)))</f>
        <v>40</v>
      </c>
      <c r="D582">
        <f>_xlfn.LET(_xlpm.dir,Table1[[#This Row],[Direction]],
IF(_xlpm.dir="L",
    IF(F581-Table1[[#This Row],[Steps]]&lt;0,100+(F581-Table1[[#This Row],[Steps]]),F581-Table1[[#This Row],[Steps]]),
))</f>
        <v>0</v>
      </c>
      <c r="E582">
        <f>_xlfn.LET(_xlpm.dir,Table1[[#This Row],[Direction]],
IF(_xlpm.dir="R",
    IF(F581+Table1[[#This Row],[Steps]]&gt;99,(F581+Table1[[#This Row],[Steps]])-100,F581+Table1[[#This Row],[Steps]]),
))</f>
        <v>0</v>
      </c>
      <c r="F582">
        <f>IF(Table1[[#This Row],[New Pos L]]&lt;&gt;0,Table1[[#This Row],[New Pos L]],Table1[[#This Row],[New Pos R]])</f>
        <v>0</v>
      </c>
    </row>
    <row r="583" spans="1:6" ht="16" x14ac:dyDescent="0.2">
      <c r="A583" s="1" t="s">
        <v>141</v>
      </c>
      <c r="B583" t="str">
        <f>LEFT(Table1[[#This Row],[Input]],1)</f>
        <v>L</v>
      </c>
      <c r="C583">
        <f>_xlfn.LET(_xlpm.steps,SUBSTITUTE(Table1[[#This Row],[Input]],Table1[[#This Row],[Direction]],""),VALUE(IF(LEN(_xlpm.steps)&gt;2,RIGHT(_xlpm.steps,2),_xlpm.steps)))</f>
        <v>90</v>
      </c>
      <c r="D583">
        <f>_xlfn.LET(_xlpm.dir,Table1[[#This Row],[Direction]],
IF(_xlpm.dir="L",
    IF(F582-Table1[[#This Row],[Steps]]&lt;0,100+(F582-Table1[[#This Row],[Steps]]),F582-Table1[[#This Row],[Steps]]),
))</f>
        <v>10</v>
      </c>
      <c r="E583">
        <f>_xlfn.LET(_xlpm.dir,Table1[[#This Row],[Direction]],
IF(_xlpm.dir="R",
    IF(F582+Table1[[#This Row],[Steps]]&gt;99,(F582+Table1[[#This Row],[Steps]])-100,F582+Table1[[#This Row],[Steps]]),
))</f>
        <v>0</v>
      </c>
      <c r="F583">
        <f>IF(Table1[[#This Row],[New Pos L]]&lt;&gt;0,Table1[[#This Row],[New Pos L]],Table1[[#This Row],[New Pos R]])</f>
        <v>10</v>
      </c>
    </row>
    <row r="584" spans="1:6" ht="16" x14ac:dyDescent="0.2">
      <c r="A584" s="1" t="s">
        <v>16</v>
      </c>
      <c r="B584" t="str">
        <f>LEFT(Table1[[#This Row],[Input]],1)</f>
        <v>L</v>
      </c>
      <c r="C584">
        <f>_xlfn.LET(_xlpm.steps,SUBSTITUTE(Table1[[#This Row],[Input]],Table1[[#This Row],[Direction]],""),VALUE(IF(LEN(_xlpm.steps)&gt;2,RIGHT(_xlpm.steps,2),_xlpm.steps)))</f>
        <v>10</v>
      </c>
      <c r="D584">
        <f>_xlfn.LET(_xlpm.dir,Table1[[#This Row],[Direction]],
IF(_xlpm.dir="L",
    IF(F583-Table1[[#This Row],[Steps]]&lt;0,100+(F583-Table1[[#This Row],[Steps]]),F583-Table1[[#This Row],[Steps]]),
))</f>
        <v>0</v>
      </c>
      <c r="E584">
        <f>_xlfn.LET(_xlpm.dir,Table1[[#This Row],[Direction]],
IF(_xlpm.dir="R",
    IF(F583+Table1[[#This Row],[Steps]]&gt;99,(F583+Table1[[#This Row],[Steps]])-100,F583+Table1[[#This Row],[Steps]]),
))</f>
        <v>0</v>
      </c>
      <c r="F584">
        <f>IF(Table1[[#This Row],[New Pos L]]&lt;&gt;0,Table1[[#This Row],[New Pos L]],Table1[[#This Row],[New Pos R]])</f>
        <v>0</v>
      </c>
    </row>
    <row r="585" spans="1:6" ht="16" x14ac:dyDescent="0.2">
      <c r="A585" s="1" t="s">
        <v>94</v>
      </c>
      <c r="B585" t="str">
        <f>LEFT(Table1[[#This Row],[Input]],1)</f>
        <v>L</v>
      </c>
      <c r="C585">
        <f>_xlfn.LET(_xlpm.steps,SUBSTITUTE(Table1[[#This Row],[Input]],Table1[[#This Row],[Direction]],""),VALUE(IF(LEN(_xlpm.steps)&gt;2,RIGHT(_xlpm.steps,2),_xlpm.steps)))</f>
        <v>71</v>
      </c>
      <c r="D585">
        <f>_xlfn.LET(_xlpm.dir,Table1[[#This Row],[Direction]],
IF(_xlpm.dir="L",
    IF(F584-Table1[[#This Row],[Steps]]&lt;0,100+(F584-Table1[[#This Row],[Steps]]),F584-Table1[[#This Row],[Steps]]),
))</f>
        <v>29</v>
      </c>
      <c r="E585">
        <f>_xlfn.LET(_xlpm.dir,Table1[[#This Row],[Direction]],
IF(_xlpm.dir="R",
    IF(F584+Table1[[#This Row],[Steps]]&gt;99,(F584+Table1[[#This Row],[Steps]])-100,F584+Table1[[#This Row],[Steps]]),
))</f>
        <v>0</v>
      </c>
      <c r="F585">
        <f>IF(Table1[[#This Row],[New Pos L]]&lt;&gt;0,Table1[[#This Row],[New Pos L]],Table1[[#This Row],[New Pos R]])</f>
        <v>29</v>
      </c>
    </row>
    <row r="586" spans="1:6" ht="16" x14ac:dyDescent="0.2">
      <c r="A586" s="1" t="s">
        <v>115</v>
      </c>
      <c r="B586" t="str">
        <f>LEFT(Table1[[#This Row],[Input]],1)</f>
        <v>L</v>
      </c>
      <c r="C586">
        <f>_xlfn.LET(_xlpm.steps,SUBSTITUTE(Table1[[#This Row],[Input]],Table1[[#This Row],[Direction]],""),VALUE(IF(LEN(_xlpm.steps)&gt;2,RIGHT(_xlpm.steps,2),_xlpm.steps)))</f>
        <v>29</v>
      </c>
      <c r="D586">
        <f>_xlfn.LET(_xlpm.dir,Table1[[#This Row],[Direction]],
IF(_xlpm.dir="L",
    IF(F585-Table1[[#This Row],[Steps]]&lt;0,100+(F585-Table1[[#This Row],[Steps]]),F585-Table1[[#This Row],[Steps]]),
))</f>
        <v>0</v>
      </c>
      <c r="E586">
        <f>_xlfn.LET(_xlpm.dir,Table1[[#This Row],[Direction]],
IF(_xlpm.dir="R",
    IF(F585+Table1[[#This Row],[Steps]]&gt;99,(F585+Table1[[#This Row],[Steps]])-100,F585+Table1[[#This Row],[Steps]]),
))</f>
        <v>0</v>
      </c>
      <c r="F586">
        <f>IF(Table1[[#This Row],[New Pos L]]&lt;&gt;0,Table1[[#This Row],[New Pos L]],Table1[[#This Row],[New Pos R]])</f>
        <v>0</v>
      </c>
    </row>
    <row r="587" spans="1:6" ht="16" x14ac:dyDescent="0.2">
      <c r="A587" s="1" t="s">
        <v>199</v>
      </c>
      <c r="B587" t="str">
        <f>LEFT(Table1[[#This Row],[Input]],1)</f>
        <v>R</v>
      </c>
      <c r="C587">
        <f>_xlfn.LET(_xlpm.steps,SUBSTITUTE(Table1[[#This Row],[Input]],Table1[[#This Row],[Direction]],""),VALUE(IF(LEN(_xlpm.steps)&gt;2,RIGHT(_xlpm.steps,2),_xlpm.steps)))</f>
        <v>17</v>
      </c>
      <c r="D587">
        <f>_xlfn.LET(_xlpm.dir,Table1[[#This Row],[Direction]],
IF(_xlpm.dir="L",
    IF(F586-Table1[[#This Row],[Steps]]&lt;0,100+(F586-Table1[[#This Row],[Steps]]),F586-Table1[[#This Row],[Steps]]),
))</f>
        <v>0</v>
      </c>
      <c r="E587">
        <f>_xlfn.LET(_xlpm.dir,Table1[[#This Row],[Direction]],
IF(_xlpm.dir="R",
    IF(F586+Table1[[#This Row],[Steps]]&gt;99,(F586+Table1[[#This Row],[Steps]])-100,F586+Table1[[#This Row],[Steps]]),
))</f>
        <v>17</v>
      </c>
      <c r="F587">
        <f>IF(Table1[[#This Row],[New Pos L]]&lt;&gt;0,Table1[[#This Row],[New Pos L]],Table1[[#This Row],[New Pos R]])</f>
        <v>17</v>
      </c>
    </row>
    <row r="588" spans="1:6" ht="16" x14ac:dyDescent="0.2">
      <c r="A588" s="1" t="s">
        <v>60</v>
      </c>
      <c r="B588" t="str">
        <f>LEFT(Table1[[#This Row],[Input]],1)</f>
        <v>R</v>
      </c>
      <c r="C588">
        <f>_xlfn.LET(_xlpm.steps,SUBSTITUTE(Table1[[#This Row],[Input]],Table1[[#This Row],[Direction]],""),VALUE(IF(LEN(_xlpm.steps)&gt;2,RIGHT(_xlpm.steps,2),_xlpm.steps)))</f>
        <v>86</v>
      </c>
      <c r="D588">
        <f>_xlfn.LET(_xlpm.dir,Table1[[#This Row],[Direction]],
IF(_xlpm.dir="L",
    IF(F587-Table1[[#This Row],[Steps]]&lt;0,100+(F587-Table1[[#This Row],[Steps]]),F587-Table1[[#This Row],[Steps]]),
))</f>
        <v>0</v>
      </c>
      <c r="E588">
        <f>_xlfn.LET(_xlpm.dir,Table1[[#This Row],[Direction]],
IF(_xlpm.dir="R",
    IF(F587+Table1[[#This Row],[Steps]]&gt;99,(F587+Table1[[#This Row],[Steps]])-100,F587+Table1[[#This Row],[Steps]]),
))</f>
        <v>3</v>
      </c>
      <c r="F588">
        <f>IF(Table1[[#This Row],[New Pos L]]&lt;&gt;0,Table1[[#This Row],[New Pos L]],Table1[[#This Row],[New Pos R]])</f>
        <v>3</v>
      </c>
    </row>
    <row r="589" spans="1:6" ht="16" x14ac:dyDescent="0.2">
      <c r="A589" s="1" t="s">
        <v>275</v>
      </c>
      <c r="B589" t="str">
        <f>LEFT(Table1[[#This Row],[Input]],1)</f>
        <v>R</v>
      </c>
      <c r="C589">
        <f>_xlfn.LET(_xlpm.steps,SUBSTITUTE(Table1[[#This Row],[Input]],Table1[[#This Row],[Direction]],""),VALUE(IF(LEN(_xlpm.steps)&gt;2,RIGHT(_xlpm.steps,2),_xlpm.steps)))</f>
        <v>97</v>
      </c>
      <c r="D589">
        <f>_xlfn.LET(_xlpm.dir,Table1[[#This Row],[Direction]],
IF(_xlpm.dir="L",
    IF(F588-Table1[[#This Row],[Steps]]&lt;0,100+(F588-Table1[[#This Row],[Steps]]),F588-Table1[[#This Row],[Steps]]),
))</f>
        <v>0</v>
      </c>
      <c r="E589">
        <f>_xlfn.LET(_xlpm.dir,Table1[[#This Row],[Direction]],
IF(_xlpm.dir="R",
    IF(F588+Table1[[#This Row],[Steps]]&gt;99,(F588+Table1[[#This Row],[Steps]])-100,F588+Table1[[#This Row],[Steps]]),
))</f>
        <v>0</v>
      </c>
      <c r="F589">
        <f>IF(Table1[[#This Row],[New Pos L]]&lt;&gt;0,Table1[[#This Row],[New Pos L]],Table1[[#This Row],[New Pos R]])</f>
        <v>0</v>
      </c>
    </row>
    <row r="590" spans="1:6" ht="16" x14ac:dyDescent="0.2">
      <c r="A590" s="1" t="s">
        <v>213</v>
      </c>
      <c r="B590" t="str">
        <f>LEFT(Table1[[#This Row],[Input]],1)</f>
        <v>R</v>
      </c>
      <c r="C590">
        <f>_xlfn.LET(_xlpm.steps,SUBSTITUTE(Table1[[#This Row],[Input]],Table1[[#This Row],[Direction]],""),VALUE(IF(LEN(_xlpm.steps)&gt;2,RIGHT(_xlpm.steps,2),_xlpm.steps)))</f>
        <v>87</v>
      </c>
      <c r="D590">
        <f>_xlfn.LET(_xlpm.dir,Table1[[#This Row],[Direction]],
IF(_xlpm.dir="L",
    IF(F589-Table1[[#This Row],[Steps]]&lt;0,100+(F589-Table1[[#This Row],[Steps]]),F589-Table1[[#This Row],[Steps]]),
))</f>
        <v>0</v>
      </c>
      <c r="E590">
        <f>_xlfn.LET(_xlpm.dir,Table1[[#This Row],[Direction]],
IF(_xlpm.dir="R",
    IF(F589+Table1[[#This Row],[Steps]]&gt;99,(F589+Table1[[#This Row],[Steps]])-100,F589+Table1[[#This Row],[Steps]]),
))</f>
        <v>87</v>
      </c>
      <c r="F590">
        <f>IF(Table1[[#This Row],[New Pos L]]&lt;&gt;0,Table1[[#This Row],[New Pos L]],Table1[[#This Row],[New Pos R]])</f>
        <v>87</v>
      </c>
    </row>
    <row r="591" spans="1:6" ht="16" x14ac:dyDescent="0.2">
      <c r="A591" s="1" t="s">
        <v>22</v>
      </c>
      <c r="B591" t="str">
        <f>LEFT(Table1[[#This Row],[Input]],1)</f>
        <v>L</v>
      </c>
      <c r="C591">
        <f>_xlfn.LET(_xlpm.steps,SUBSTITUTE(Table1[[#This Row],[Input]],Table1[[#This Row],[Direction]],""),VALUE(IF(LEN(_xlpm.steps)&gt;2,RIGHT(_xlpm.steps,2),_xlpm.steps)))</f>
        <v>37</v>
      </c>
      <c r="D591">
        <f>_xlfn.LET(_xlpm.dir,Table1[[#This Row],[Direction]],
IF(_xlpm.dir="L",
    IF(F590-Table1[[#This Row],[Steps]]&lt;0,100+(F590-Table1[[#This Row],[Steps]]),F590-Table1[[#This Row],[Steps]]),
))</f>
        <v>50</v>
      </c>
      <c r="E591">
        <f>_xlfn.LET(_xlpm.dir,Table1[[#This Row],[Direction]],
IF(_xlpm.dir="R",
    IF(F590+Table1[[#This Row],[Steps]]&gt;99,(F590+Table1[[#This Row],[Steps]])-100,F590+Table1[[#This Row],[Steps]]),
))</f>
        <v>0</v>
      </c>
      <c r="F591">
        <f>IF(Table1[[#This Row],[New Pos L]]&lt;&gt;0,Table1[[#This Row],[New Pos L]],Table1[[#This Row],[New Pos R]])</f>
        <v>50</v>
      </c>
    </row>
    <row r="592" spans="1:6" ht="16" x14ac:dyDescent="0.2">
      <c r="A592" s="1" t="s">
        <v>14</v>
      </c>
      <c r="B592" t="str">
        <f>LEFT(Table1[[#This Row],[Input]],1)</f>
        <v>L</v>
      </c>
      <c r="C592">
        <f>_xlfn.LET(_xlpm.steps,SUBSTITUTE(Table1[[#This Row],[Input]],Table1[[#This Row],[Direction]],""),VALUE(IF(LEN(_xlpm.steps)&gt;2,RIGHT(_xlpm.steps,2),_xlpm.steps)))</f>
        <v>43</v>
      </c>
      <c r="D592">
        <f>_xlfn.LET(_xlpm.dir,Table1[[#This Row],[Direction]],
IF(_xlpm.dir="L",
    IF(F591-Table1[[#This Row],[Steps]]&lt;0,100+(F591-Table1[[#This Row],[Steps]]),F591-Table1[[#This Row],[Steps]]),
))</f>
        <v>7</v>
      </c>
      <c r="E592">
        <f>_xlfn.LET(_xlpm.dir,Table1[[#This Row],[Direction]],
IF(_xlpm.dir="R",
    IF(F591+Table1[[#This Row],[Steps]]&gt;99,(F591+Table1[[#This Row],[Steps]])-100,F591+Table1[[#This Row],[Steps]]),
))</f>
        <v>0</v>
      </c>
      <c r="F592">
        <f>IF(Table1[[#This Row],[New Pos L]]&lt;&gt;0,Table1[[#This Row],[New Pos L]],Table1[[#This Row],[New Pos R]])</f>
        <v>7</v>
      </c>
    </row>
    <row r="593" spans="1:6" ht="16" x14ac:dyDescent="0.2">
      <c r="A593" s="1" t="s">
        <v>10</v>
      </c>
      <c r="B593" t="str">
        <f>LEFT(Table1[[#This Row],[Input]],1)</f>
        <v>L</v>
      </c>
      <c r="C593">
        <f>_xlfn.LET(_xlpm.steps,SUBSTITUTE(Table1[[#This Row],[Input]],Table1[[#This Row],[Direction]],""),VALUE(IF(LEN(_xlpm.steps)&gt;2,RIGHT(_xlpm.steps,2),_xlpm.steps)))</f>
        <v>35</v>
      </c>
      <c r="D593">
        <f>_xlfn.LET(_xlpm.dir,Table1[[#This Row],[Direction]],
IF(_xlpm.dir="L",
    IF(F592-Table1[[#This Row],[Steps]]&lt;0,100+(F592-Table1[[#This Row],[Steps]]),F592-Table1[[#This Row],[Steps]]),
))</f>
        <v>72</v>
      </c>
      <c r="E593">
        <f>_xlfn.LET(_xlpm.dir,Table1[[#This Row],[Direction]],
IF(_xlpm.dir="R",
    IF(F592+Table1[[#This Row],[Steps]]&gt;99,(F592+Table1[[#This Row],[Steps]])-100,F592+Table1[[#This Row],[Steps]]),
))</f>
        <v>0</v>
      </c>
      <c r="F593">
        <f>IF(Table1[[#This Row],[New Pos L]]&lt;&gt;0,Table1[[#This Row],[New Pos L]],Table1[[#This Row],[New Pos R]])</f>
        <v>72</v>
      </c>
    </row>
    <row r="594" spans="1:6" ht="16" x14ac:dyDescent="0.2">
      <c r="A594" s="1" t="s">
        <v>137</v>
      </c>
      <c r="B594" t="str">
        <f>LEFT(Table1[[#This Row],[Input]],1)</f>
        <v>R</v>
      </c>
      <c r="C594">
        <f>_xlfn.LET(_xlpm.steps,SUBSTITUTE(Table1[[#This Row],[Input]],Table1[[#This Row],[Direction]],""),VALUE(IF(LEN(_xlpm.steps)&gt;2,RIGHT(_xlpm.steps,2),_xlpm.steps)))</f>
        <v>28</v>
      </c>
      <c r="D594">
        <f>_xlfn.LET(_xlpm.dir,Table1[[#This Row],[Direction]],
IF(_xlpm.dir="L",
    IF(F593-Table1[[#This Row],[Steps]]&lt;0,100+(F593-Table1[[#This Row],[Steps]]),F593-Table1[[#This Row],[Steps]]),
))</f>
        <v>0</v>
      </c>
      <c r="E594">
        <f>_xlfn.LET(_xlpm.dir,Table1[[#This Row],[Direction]],
IF(_xlpm.dir="R",
    IF(F593+Table1[[#This Row],[Steps]]&gt;99,(F593+Table1[[#This Row],[Steps]])-100,F593+Table1[[#This Row],[Steps]]),
))</f>
        <v>0</v>
      </c>
      <c r="F594">
        <f>IF(Table1[[#This Row],[New Pos L]]&lt;&gt;0,Table1[[#This Row],[New Pos L]],Table1[[#This Row],[New Pos R]])</f>
        <v>0</v>
      </c>
    </row>
    <row r="595" spans="1:6" ht="16" x14ac:dyDescent="0.2">
      <c r="A595" s="1" t="s">
        <v>15</v>
      </c>
      <c r="B595" t="str">
        <f>LEFT(Table1[[#This Row],[Input]],1)</f>
        <v>R</v>
      </c>
      <c r="C595">
        <f>_xlfn.LET(_xlpm.steps,SUBSTITUTE(Table1[[#This Row],[Input]],Table1[[#This Row],[Direction]],""),VALUE(IF(LEN(_xlpm.steps)&gt;2,RIGHT(_xlpm.steps,2),_xlpm.steps)))</f>
        <v>36</v>
      </c>
      <c r="D595">
        <f>_xlfn.LET(_xlpm.dir,Table1[[#This Row],[Direction]],
IF(_xlpm.dir="L",
    IF(F594-Table1[[#This Row],[Steps]]&lt;0,100+(F594-Table1[[#This Row],[Steps]]),F594-Table1[[#This Row],[Steps]]),
))</f>
        <v>0</v>
      </c>
      <c r="E595">
        <f>_xlfn.LET(_xlpm.dir,Table1[[#This Row],[Direction]],
IF(_xlpm.dir="R",
    IF(F594+Table1[[#This Row],[Steps]]&gt;99,(F594+Table1[[#This Row],[Steps]])-100,F594+Table1[[#This Row],[Steps]]),
))</f>
        <v>36</v>
      </c>
      <c r="F595">
        <f>IF(Table1[[#This Row],[New Pos L]]&lt;&gt;0,Table1[[#This Row],[New Pos L]],Table1[[#This Row],[New Pos R]])</f>
        <v>36</v>
      </c>
    </row>
    <row r="596" spans="1:6" ht="16" x14ac:dyDescent="0.2">
      <c r="A596" s="1" t="s">
        <v>276</v>
      </c>
      <c r="B596" t="str">
        <f>LEFT(Table1[[#This Row],[Input]],1)</f>
        <v>L</v>
      </c>
      <c r="C596">
        <f>_xlfn.LET(_xlpm.steps,SUBSTITUTE(Table1[[#This Row],[Input]],Table1[[#This Row],[Direction]],""),VALUE(IF(LEN(_xlpm.steps)&gt;2,RIGHT(_xlpm.steps,2),_xlpm.steps)))</f>
        <v>60</v>
      </c>
      <c r="D596">
        <f>_xlfn.LET(_xlpm.dir,Table1[[#This Row],[Direction]],
IF(_xlpm.dir="L",
    IF(F595-Table1[[#This Row],[Steps]]&lt;0,100+(F595-Table1[[#This Row],[Steps]]),F595-Table1[[#This Row],[Steps]]),
))</f>
        <v>76</v>
      </c>
      <c r="E596">
        <f>_xlfn.LET(_xlpm.dir,Table1[[#This Row],[Direction]],
IF(_xlpm.dir="R",
    IF(F595+Table1[[#This Row],[Steps]]&gt;99,(F595+Table1[[#This Row],[Steps]])-100,F595+Table1[[#This Row],[Steps]]),
))</f>
        <v>0</v>
      </c>
      <c r="F596">
        <f>IF(Table1[[#This Row],[New Pos L]]&lt;&gt;0,Table1[[#This Row],[New Pos L]],Table1[[#This Row],[New Pos R]])</f>
        <v>76</v>
      </c>
    </row>
    <row r="597" spans="1:6" ht="16" x14ac:dyDescent="0.2">
      <c r="A597" s="1" t="s">
        <v>134</v>
      </c>
      <c r="B597" t="str">
        <f>LEFT(Table1[[#This Row],[Input]],1)</f>
        <v>L</v>
      </c>
      <c r="C597">
        <f>_xlfn.LET(_xlpm.steps,SUBSTITUTE(Table1[[#This Row],[Input]],Table1[[#This Row],[Direction]],""),VALUE(IF(LEN(_xlpm.steps)&gt;2,RIGHT(_xlpm.steps,2),_xlpm.steps)))</f>
        <v>95</v>
      </c>
      <c r="D597">
        <f>_xlfn.LET(_xlpm.dir,Table1[[#This Row],[Direction]],
IF(_xlpm.dir="L",
    IF(F596-Table1[[#This Row],[Steps]]&lt;0,100+(F596-Table1[[#This Row],[Steps]]),F596-Table1[[#This Row],[Steps]]),
))</f>
        <v>81</v>
      </c>
      <c r="E597">
        <f>_xlfn.LET(_xlpm.dir,Table1[[#This Row],[Direction]],
IF(_xlpm.dir="R",
    IF(F596+Table1[[#This Row],[Steps]]&gt;99,(F596+Table1[[#This Row],[Steps]])-100,F596+Table1[[#This Row],[Steps]]),
))</f>
        <v>0</v>
      </c>
      <c r="F597">
        <f>IF(Table1[[#This Row],[New Pos L]]&lt;&gt;0,Table1[[#This Row],[New Pos L]],Table1[[#This Row],[New Pos R]])</f>
        <v>81</v>
      </c>
    </row>
    <row r="598" spans="1:6" ht="16" x14ac:dyDescent="0.2">
      <c r="A598" s="1" t="s">
        <v>121</v>
      </c>
      <c r="B598" t="str">
        <f>LEFT(Table1[[#This Row],[Input]],1)</f>
        <v>L</v>
      </c>
      <c r="C598">
        <f>_xlfn.LET(_xlpm.steps,SUBSTITUTE(Table1[[#This Row],[Input]],Table1[[#This Row],[Direction]],""),VALUE(IF(LEN(_xlpm.steps)&gt;2,RIGHT(_xlpm.steps,2),_xlpm.steps)))</f>
        <v>69</v>
      </c>
      <c r="D598">
        <f>_xlfn.LET(_xlpm.dir,Table1[[#This Row],[Direction]],
IF(_xlpm.dir="L",
    IF(F597-Table1[[#This Row],[Steps]]&lt;0,100+(F597-Table1[[#This Row],[Steps]]),F597-Table1[[#This Row],[Steps]]),
))</f>
        <v>12</v>
      </c>
      <c r="E598">
        <f>_xlfn.LET(_xlpm.dir,Table1[[#This Row],[Direction]],
IF(_xlpm.dir="R",
    IF(F597+Table1[[#This Row],[Steps]]&gt;99,(F597+Table1[[#This Row],[Steps]])-100,F597+Table1[[#This Row],[Steps]]),
))</f>
        <v>0</v>
      </c>
      <c r="F598">
        <f>IF(Table1[[#This Row],[New Pos L]]&lt;&gt;0,Table1[[#This Row],[New Pos L]],Table1[[#This Row],[New Pos R]])</f>
        <v>12</v>
      </c>
    </row>
    <row r="599" spans="1:6" ht="16" x14ac:dyDescent="0.2">
      <c r="A599" s="1" t="s">
        <v>3</v>
      </c>
      <c r="B599" t="str">
        <f>LEFT(Table1[[#This Row],[Input]],1)</f>
        <v>R</v>
      </c>
      <c r="C599">
        <f>_xlfn.LET(_xlpm.steps,SUBSTITUTE(Table1[[#This Row],[Input]],Table1[[#This Row],[Direction]],""),VALUE(IF(LEN(_xlpm.steps)&gt;2,RIGHT(_xlpm.steps,2),_xlpm.steps)))</f>
        <v>44</v>
      </c>
      <c r="D599">
        <f>_xlfn.LET(_xlpm.dir,Table1[[#This Row],[Direction]],
IF(_xlpm.dir="L",
    IF(F598-Table1[[#This Row],[Steps]]&lt;0,100+(F598-Table1[[#This Row],[Steps]]),F598-Table1[[#This Row],[Steps]]),
))</f>
        <v>0</v>
      </c>
      <c r="E599">
        <f>_xlfn.LET(_xlpm.dir,Table1[[#This Row],[Direction]],
IF(_xlpm.dir="R",
    IF(F598+Table1[[#This Row],[Steps]]&gt;99,(F598+Table1[[#This Row],[Steps]])-100,F598+Table1[[#This Row],[Steps]]),
))</f>
        <v>56</v>
      </c>
      <c r="F599">
        <f>IF(Table1[[#This Row],[New Pos L]]&lt;&gt;0,Table1[[#This Row],[New Pos L]],Table1[[#This Row],[New Pos R]])</f>
        <v>56</v>
      </c>
    </row>
    <row r="600" spans="1:6" ht="16" x14ac:dyDescent="0.2">
      <c r="A600" s="1" t="s">
        <v>218</v>
      </c>
      <c r="B600" t="str">
        <f>LEFT(Table1[[#This Row],[Input]],1)</f>
        <v>R</v>
      </c>
      <c r="C600">
        <f>_xlfn.LET(_xlpm.steps,SUBSTITUTE(Table1[[#This Row],[Input]],Table1[[#This Row],[Direction]],""),VALUE(IF(LEN(_xlpm.steps)&gt;2,RIGHT(_xlpm.steps,2),_xlpm.steps)))</f>
        <v>35</v>
      </c>
      <c r="D600">
        <f>_xlfn.LET(_xlpm.dir,Table1[[#This Row],[Direction]],
IF(_xlpm.dir="L",
    IF(F599-Table1[[#This Row],[Steps]]&lt;0,100+(F599-Table1[[#This Row],[Steps]]),F599-Table1[[#This Row],[Steps]]),
))</f>
        <v>0</v>
      </c>
      <c r="E600">
        <f>_xlfn.LET(_xlpm.dir,Table1[[#This Row],[Direction]],
IF(_xlpm.dir="R",
    IF(F599+Table1[[#This Row],[Steps]]&gt;99,(F599+Table1[[#This Row],[Steps]])-100,F599+Table1[[#This Row],[Steps]]),
))</f>
        <v>91</v>
      </c>
      <c r="F600">
        <f>IF(Table1[[#This Row],[New Pos L]]&lt;&gt;0,Table1[[#This Row],[New Pos L]],Table1[[#This Row],[New Pos R]])</f>
        <v>91</v>
      </c>
    </row>
    <row r="601" spans="1:6" ht="16" x14ac:dyDescent="0.2">
      <c r="A601" s="1" t="s">
        <v>157</v>
      </c>
      <c r="B601" t="str">
        <f>LEFT(Table1[[#This Row],[Input]],1)</f>
        <v>R</v>
      </c>
      <c r="C601">
        <f>_xlfn.LET(_xlpm.steps,SUBSTITUTE(Table1[[#This Row],[Input]],Table1[[#This Row],[Direction]],""),VALUE(IF(LEN(_xlpm.steps)&gt;2,RIGHT(_xlpm.steps,2),_xlpm.steps)))</f>
        <v>68</v>
      </c>
      <c r="D601">
        <f>_xlfn.LET(_xlpm.dir,Table1[[#This Row],[Direction]],
IF(_xlpm.dir="L",
    IF(F600-Table1[[#This Row],[Steps]]&lt;0,100+(F600-Table1[[#This Row],[Steps]]),F600-Table1[[#This Row],[Steps]]),
))</f>
        <v>0</v>
      </c>
      <c r="E601">
        <f>_xlfn.LET(_xlpm.dir,Table1[[#This Row],[Direction]],
IF(_xlpm.dir="R",
    IF(F600+Table1[[#This Row],[Steps]]&gt;99,(F600+Table1[[#This Row],[Steps]])-100,F600+Table1[[#This Row],[Steps]]),
))</f>
        <v>59</v>
      </c>
      <c r="F601">
        <f>IF(Table1[[#This Row],[New Pos L]]&lt;&gt;0,Table1[[#This Row],[New Pos L]],Table1[[#This Row],[New Pos R]])</f>
        <v>59</v>
      </c>
    </row>
    <row r="602" spans="1:6" ht="16" x14ac:dyDescent="0.2">
      <c r="A602" s="1" t="s">
        <v>123</v>
      </c>
      <c r="B602" t="str">
        <f>LEFT(Table1[[#This Row],[Input]],1)</f>
        <v>L</v>
      </c>
      <c r="C602">
        <f>_xlfn.LET(_xlpm.steps,SUBSTITUTE(Table1[[#This Row],[Input]],Table1[[#This Row],[Direction]],""),VALUE(IF(LEN(_xlpm.steps)&gt;2,RIGHT(_xlpm.steps,2),_xlpm.steps)))</f>
        <v>63</v>
      </c>
      <c r="D602">
        <f>_xlfn.LET(_xlpm.dir,Table1[[#This Row],[Direction]],
IF(_xlpm.dir="L",
    IF(F601-Table1[[#This Row],[Steps]]&lt;0,100+(F601-Table1[[#This Row],[Steps]]),F601-Table1[[#This Row],[Steps]]),
))</f>
        <v>96</v>
      </c>
      <c r="E602">
        <f>_xlfn.LET(_xlpm.dir,Table1[[#This Row],[Direction]],
IF(_xlpm.dir="R",
    IF(F601+Table1[[#This Row],[Steps]]&gt;99,(F601+Table1[[#This Row],[Steps]])-100,F601+Table1[[#This Row],[Steps]]),
))</f>
        <v>0</v>
      </c>
      <c r="F602">
        <f>IF(Table1[[#This Row],[New Pos L]]&lt;&gt;0,Table1[[#This Row],[New Pos L]],Table1[[#This Row],[New Pos R]])</f>
        <v>96</v>
      </c>
    </row>
    <row r="603" spans="1:6" ht="16" x14ac:dyDescent="0.2">
      <c r="A603" s="1" t="s">
        <v>131</v>
      </c>
      <c r="B603" t="str">
        <f>LEFT(Table1[[#This Row],[Input]],1)</f>
        <v>R</v>
      </c>
      <c r="C603">
        <f>_xlfn.LET(_xlpm.steps,SUBSTITUTE(Table1[[#This Row],[Input]],Table1[[#This Row],[Direction]],""),VALUE(IF(LEN(_xlpm.steps)&gt;2,RIGHT(_xlpm.steps,2),_xlpm.steps)))</f>
        <v>99</v>
      </c>
      <c r="D603">
        <f>_xlfn.LET(_xlpm.dir,Table1[[#This Row],[Direction]],
IF(_xlpm.dir="L",
    IF(F602-Table1[[#This Row],[Steps]]&lt;0,100+(F602-Table1[[#This Row],[Steps]]),F602-Table1[[#This Row],[Steps]]),
))</f>
        <v>0</v>
      </c>
      <c r="E603">
        <f>_xlfn.LET(_xlpm.dir,Table1[[#This Row],[Direction]],
IF(_xlpm.dir="R",
    IF(F602+Table1[[#This Row],[Steps]]&gt;99,(F602+Table1[[#This Row],[Steps]])-100,F602+Table1[[#This Row],[Steps]]),
))</f>
        <v>95</v>
      </c>
      <c r="F603">
        <f>IF(Table1[[#This Row],[New Pos L]]&lt;&gt;0,Table1[[#This Row],[New Pos L]],Table1[[#This Row],[New Pos R]])</f>
        <v>95</v>
      </c>
    </row>
    <row r="604" spans="1:6" ht="16" x14ac:dyDescent="0.2">
      <c r="A604" s="1" t="s">
        <v>134</v>
      </c>
      <c r="B604" t="str">
        <f>LEFT(Table1[[#This Row],[Input]],1)</f>
        <v>L</v>
      </c>
      <c r="C604">
        <f>_xlfn.LET(_xlpm.steps,SUBSTITUTE(Table1[[#This Row],[Input]],Table1[[#This Row],[Direction]],""),VALUE(IF(LEN(_xlpm.steps)&gt;2,RIGHT(_xlpm.steps,2),_xlpm.steps)))</f>
        <v>95</v>
      </c>
      <c r="D604">
        <f>_xlfn.LET(_xlpm.dir,Table1[[#This Row],[Direction]],
IF(_xlpm.dir="L",
    IF(F603-Table1[[#This Row],[Steps]]&lt;0,100+(F603-Table1[[#This Row],[Steps]]),F603-Table1[[#This Row],[Steps]]),
))</f>
        <v>0</v>
      </c>
      <c r="E604">
        <f>_xlfn.LET(_xlpm.dir,Table1[[#This Row],[Direction]],
IF(_xlpm.dir="R",
    IF(F603+Table1[[#This Row],[Steps]]&gt;99,(F603+Table1[[#This Row],[Steps]])-100,F603+Table1[[#This Row],[Steps]]),
))</f>
        <v>0</v>
      </c>
      <c r="F604">
        <f>IF(Table1[[#This Row],[New Pos L]]&lt;&gt;0,Table1[[#This Row],[New Pos L]],Table1[[#This Row],[New Pos R]])</f>
        <v>0</v>
      </c>
    </row>
    <row r="605" spans="1:6" ht="16" x14ac:dyDescent="0.2">
      <c r="A605" s="1" t="s">
        <v>277</v>
      </c>
      <c r="B605" t="str">
        <f>LEFT(Table1[[#This Row],[Input]],1)</f>
        <v>L</v>
      </c>
      <c r="C605">
        <f>_xlfn.LET(_xlpm.steps,SUBSTITUTE(Table1[[#This Row],[Input]],Table1[[#This Row],[Direction]],""),VALUE(IF(LEN(_xlpm.steps)&gt;2,RIGHT(_xlpm.steps,2),_xlpm.steps)))</f>
        <v>60</v>
      </c>
      <c r="D605">
        <f>_xlfn.LET(_xlpm.dir,Table1[[#This Row],[Direction]],
IF(_xlpm.dir="L",
    IF(F604-Table1[[#This Row],[Steps]]&lt;0,100+(F604-Table1[[#This Row],[Steps]]),F604-Table1[[#This Row],[Steps]]),
))</f>
        <v>40</v>
      </c>
      <c r="E605">
        <f>_xlfn.LET(_xlpm.dir,Table1[[#This Row],[Direction]],
IF(_xlpm.dir="R",
    IF(F604+Table1[[#This Row],[Steps]]&gt;99,(F604+Table1[[#This Row],[Steps]])-100,F604+Table1[[#This Row],[Steps]]),
))</f>
        <v>0</v>
      </c>
      <c r="F605">
        <f>IF(Table1[[#This Row],[New Pos L]]&lt;&gt;0,Table1[[#This Row],[New Pos L]],Table1[[#This Row],[New Pos R]])</f>
        <v>40</v>
      </c>
    </row>
    <row r="606" spans="1:6" ht="16" x14ac:dyDescent="0.2">
      <c r="A606" s="1" t="s">
        <v>278</v>
      </c>
      <c r="B606" t="str">
        <f>LEFT(Table1[[#This Row],[Input]],1)</f>
        <v>L</v>
      </c>
      <c r="C606">
        <f>_xlfn.LET(_xlpm.steps,SUBSTITUTE(Table1[[#This Row],[Input]],Table1[[#This Row],[Direction]],""),VALUE(IF(LEN(_xlpm.steps)&gt;2,RIGHT(_xlpm.steps,2),_xlpm.steps)))</f>
        <v>40</v>
      </c>
      <c r="D606">
        <f>_xlfn.LET(_xlpm.dir,Table1[[#This Row],[Direction]],
IF(_xlpm.dir="L",
    IF(F605-Table1[[#This Row],[Steps]]&lt;0,100+(F605-Table1[[#This Row],[Steps]]),F605-Table1[[#This Row],[Steps]]),
))</f>
        <v>0</v>
      </c>
      <c r="E606">
        <f>_xlfn.LET(_xlpm.dir,Table1[[#This Row],[Direction]],
IF(_xlpm.dir="R",
    IF(F605+Table1[[#This Row],[Steps]]&gt;99,(F605+Table1[[#This Row],[Steps]])-100,F605+Table1[[#This Row],[Steps]]),
))</f>
        <v>0</v>
      </c>
      <c r="F606">
        <f>IF(Table1[[#This Row],[New Pos L]]&lt;&gt;0,Table1[[#This Row],[New Pos L]],Table1[[#This Row],[New Pos R]])</f>
        <v>0</v>
      </c>
    </row>
    <row r="607" spans="1:6" ht="16" x14ac:dyDescent="0.2">
      <c r="A607" s="1" t="s">
        <v>89</v>
      </c>
      <c r="B607" t="str">
        <f>LEFT(Table1[[#This Row],[Input]],1)</f>
        <v>L</v>
      </c>
      <c r="C607">
        <f>_xlfn.LET(_xlpm.steps,SUBSTITUTE(Table1[[#This Row],[Input]],Table1[[#This Row],[Direction]],""),VALUE(IF(LEN(_xlpm.steps)&gt;2,RIGHT(_xlpm.steps,2),_xlpm.steps)))</f>
        <v>91</v>
      </c>
      <c r="D607">
        <f>_xlfn.LET(_xlpm.dir,Table1[[#This Row],[Direction]],
IF(_xlpm.dir="L",
    IF(F606-Table1[[#This Row],[Steps]]&lt;0,100+(F606-Table1[[#This Row],[Steps]]),F606-Table1[[#This Row],[Steps]]),
))</f>
        <v>9</v>
      </c>
      <c r="E607">
        <f>_xlfn.LET(_xlpm.dir,Table1[[#This Row],[Direction]],
IF(_xlpm.dir="R",
    IF(F606+Table1[[#This Row],[Steps]]&gt;99,(F606+Table1[[#This Row],[Steps]])-100,F606+Table1[[#This Row],[Steps]]),
))</f>
        <v>0</v>
      </c>
      <c r="F607">
        <f>IF(Table1[[#This Row],[New Pos L]]&lt;&gt;0,Table1[[#This Row],[New Pos L]],Table1[[#This Row],[New Pos R]])</f>
        <v>9</v>
      </c>
    </row>
    <row r="608" spans="1:6" ht="16" x14ac:dyDescent="0.2">
      <c r="A608" s="1" t="s">
        <v>216</v>
      </c>
      <c r="B608" t="str">
        <f>LEFT(Table1[[#This Row],[Input]],1)</f>
        <v>R</v>
      </c>
      <c r="C608">
        <f>_xlfn.LET(_xlpm.steps,SUBSTITUTE(Table1[[#This Row],[Input]],Table1[[#This Row],[Direction]],""),VALUE(IF(LEN(_xlpm.steps)&gt;2,RIGHT(_xlpm.steps,2),_xlpm.steps)))</f>
        <v>54</v>
      </c>
      <c r="D608">
        <f>_xlfn.LET(_xlpm.dir,Table1[[#This Row],[Direction]],
IF(_xlpm.dir="L",
    IF(F607-Table1[[#This Row],[Steps]]&lt;0,100+(F607-Table1[[#This Row],[Steps]]),F607-Table1[[#This Row],[Steps]]),
))</f>
        <v>0</v>
      </c>
      <c r="E608">
        <f>_xlfn.LET(_xlpm.dir,Table1[[#This Row],[Direction]],
IF(_xlpm.dir="R",
    IF(F607+Table1[[#This Row],[Steps]]&gt;99,(F607+Table1[[#This Row],[Steps]])-100,F607+Table1[[#This Row],[Steps]]),
))</f>
        <v>63</v>
      </c>
      <c r="F608">
        <f>IF(Table1[[#This Row],[New Pos L]]&lt;&gt;0,Table1[[#This Row],[New Pos L]],Table1[[#This Row],[New Pos R]])</f>
        <v>63</v>
      </c>
    </row>
    <row r="609" spans="1:6" ht="16" x14ac:dyDescent="0.2">
      <c r="A609" s="1" t="s">
        <v>123</v>
      </c>
      <c r="B609" t="str">
        <f>LEFT(Table1[[#This Row],[Input]],1)</f>
        <v>L</v>
      </c>
      <c r="C609">
        <f>_xlfn.LET(_xlpm.steps,SUBSTITUTE(Table1[[#This Row],[Input]],Table1[[#This Row],[Direction]],""),VALUE(IF(LEN(_xlpm.steps)&gt;2,RIGHT(_xlpm.steps,2),_xlpm.steps)))</f>
        <v>63</v>
      </c>
      <c r="D609">
        <f>_xlfn.LET(_xlpm.dir,Table1[[#This Row],[Direction]],
IF(_xlpm.dir="L",
    IF(F608-Table1[[#This Row],[Steps]]&lt;0,100+(F608-Table1[[#This Row],[Steps]]),F608-Table1[[#This Row],[Steps]]),
))</f>
        <v>0</v>
      </c>
      <c r="E609">
        <f>_xlfn.LET(_xlpm.dir,Table1[[#This Row],[Direction]],
IF(_xlpm.dir="R",
    IF(F608+Table1[[#This Row],[Steps]]&gt;99,(F608+Table1[[#This Row],[Steps]])-100,F608+Table1[[#This Row],[Steps]]),
))</f>
        <v>0</v>
      </c>
      <c r="F609">
        <f>IF(Table1[[#This Row],[New Pos L]]&lt;&gt;0,Table1[[#This Row],[New Pos L]],Table1[[#This Row],[New Pos R]])</f>
        <v>0</v>
      </c>
    </row>
    <row r="610" spans="1:6" ht="16" x14ac:dyDescent="0.2">
      <c r="A610" s="1" t="s">
        <v>279</v>
      </c>
      <c r="B610" t="str">
        <f>LEFT(Table1[[#This Row],[Input]],1)</f>
        <v>R</v>
      </c>
      <c r="C610">
        <f>_xlfn.LET(_xlpm.steps,SUBSTITUTE(Table1[[#This Row],[Input]],Table1[[#This Row],[Direction]],""),VALUE(IF(LEN(_xlpm.steps)&gt;2,RIGHT(_xlpm.steps,2),_xlpm.steps)))</f>
        <v>34</v>
      </c>
      <c r="D610">
        <f>_xlfn.LET(_xlpm.dir,Table1[[#This Row],[Direction]],
IF(_xlpm.dir="L",
    IF(F609-Table1[[#This Row],[Steps]]&lt;0,100+(F609-Table1[[#This Row],[Steps]]),F609-Table1[[#This Row],[Steps]]),
))</f>
        <v>0</v>
      </c>
      <c r="E610">
        <f>_xlfn.LET(_xlpm.dir,Table1[[#This Row],[Direction]],
IF(_xlpm.dir="R",
    IF(F609+Table1[[#This Row],[Steps]]&gt;99,(F609+Table1[[#This Row],[Steps]])-100,F609+Table1[[#This Row],[Steps]]),
))</f>
        <v>34</v>
      </c>
      <c r="F610">
        <f>IF(Table1[[#This Row],[New Pos L]]&lt;&gt;0,Table1[[#This Row],[New Pos L]],Table1[[#This Row],[New Pos R]])</f>
        <v>34</v>
      </c>
    </row>
    <row r="611" spans="1:6" ht="16" x14ac:dyDescent="0.2">
      <c r="A611" s="1" t="s">
        <v>11</v>
      </c>
      <c r="B611" t="str">
        <f>LEFT(Table1[[#This Row],[Input]],1)</f>
        <v>L</v>
      </c>
      <c r="C611">
        <f>_xlfn.LET(_xlpm.steps,SUBSTITUTE(Table1[[#This Row],[Input]],Table1[[#This Row],[Direction]],""),VALUE(IF(LEN(_xlpm.steps)&gt;2,RIGHT(_xlpm.steps,2),_xlpm.steps)))</f>
        <v>34</v>
      </c>
      <c r="D611">
        <f>_xlfn.LET(_xlpm.dir,Table1[[#This Row],[Direction]],
IF(_xlpm.dir="L",
    IF(F610-Table1[[#This Row],[Steps]]&lt;0,100+(F610-Table1[[#This Row],[Steps]]),F610-Table1[[#This Row],[Steps]]),
))</f>
        <v>0</v>
      </c>
      <c r="E611">
        <f>_xlfn.LET(_xlpm.dir,Table1[[#This Row],[Direction]],
IF(_xlpm.dir="R",
    IF(F610+Table1[[#This Row],[Steps]]&gt;99,(F610+Table1[[#This Row],[Steps]])-100,F610+Table1[[#This Row],[Steps]]),
))</f>
        <v>0</v>
      </c>
      <c r="F611">
        <f>IF(Table1[[#This Row],[New Pos L]]&lt;&gt;0,Table1[[#This Row],[New Pos L]],Table1[[#This Row],[New Pos R]])</f>
        <v>0</v>
      </c>
    </row>
    <row r="612" spans="1:6" ht="16" x14ac:dyDescent="0.2">
      <c r="A612" s="1" t="s">
        <v>194</v>
      </c>
      <c r="B612" t="str">
        <f>LEFT(Table1[[#This Row],[Input]],1)</f>
        <v>R</v>
      </c>
      <c r="C612">
        <f>_xlfn.LET(_xlpm.steps,SUBSTITUTE(Table1[[#This Row],[Input]],Table1[[#This Row],[Direction]],""),VALUE(IF(LEN(_xlpm.steps)&gt;2,RIGHT(_xlpm.steps,2),_xlpm.steps)))</f>
        <v>51</v>
      </c>
      <c r="D612">
        <f>_xlfn.LET(_xlpm.dir,Table1[[#This Row],[Direction]],
IF(_xlpm.dir="L",
    IF(F611-Table1[[#This Row],[Steps]]&lt;0,100+(F611-Table1[[#This Row],[Steps]]),F611-Table1[[#This Row],[Steps]]),
))</f>
        <v>0</v>
      </c>
      <c r="E612">
        <f>_xlfn.LET(_xlpm.dir,Table1[[#This Row],[Direction]],
IF(_xlpm.dir="R",
    IF(F611+Table1[[#This Row],[Steps]]&gt;99,(F611+Table1[[#This Row],[Steps]])-100,F611+Table1[[#This Row],[Steps]]),
))</f>
        <v>51</v>
      </c>
      <c r="F612">
        <f>IF(Table1[[#This Row],[New Pos L]]&lt;&gt;0,Table1[[#This Row],[New Pos L]],Table1[[#This Row],[New Pos R]])</f>
        <v>51</v>
      </c>
    </row>
    <row r="613" spans="1:6" ht="16" x14ac:dyDescent="0.2">
      <c r="A613" s="1" t="s">
        <v>14</v>
      </c>
      <c r="B613" t="str">
        <f>LEFT(Table1[[#This Row],[Input]],1)</f>
        <v>L</v>
      </c>
      <c r="C613">
        <f>_xlfn.LET(_xlpm.steps,SUBSTITUTE(Table1[[#This Row],[Input]],Table1[[#This Row],[Direction]],""),VALUE(IF(LEN(_xlpm.steps)&gt;2,RIGHT(_xlpm.steps,2),_xlpm.steps)))</f>
        <v>43</v>
      </c>
      <c r="D613">
        <f>_xlfn.LET(_xlpm.dir,Table1[[#This Row],[Direction]],
IF(_xlpm.dir="L",
    IF(F612-Table1[[#This Row],[Steps]]&lt;0,100+(F612-Table1[[#This Row],[Steps]]),F612-Table1[[#This Row],[Steps]]),
))</f>
        <v>8</v>
      </c>
      <c r="E613">
        <f>_xlfn.LET(_xlpm.dir,Table1[[#This Row],[Direction]],
IF(_xlpm.dir="R",
    IF(F612+Table1[[#This Row],[Steps]]&gt;99,(F612+Table1[[#This Row],[Steps]])-100,F612+Table1[[#This Row],[Steps]]),
))</f>
        <v>0</v>
      </c>
      <c r="F613">
        <f>IF(Table1[[#This Row],[New Pos L]]&lt;&gt;0,Table1[[#This Row],[New Pos L]],Table1[[#This Row],[New Pos R]])</f>
        <v>8</v>
      </c>
    </row>
    <row r="614" spans="1:6" ht="16" x14ac:dyDescent="0.2">
      <c r="A614" s="1" t="s">
        <v>280</v>
      </c>
      <c r="B614" t="str">
        <f>LEFT(Table1[[#This Row],[Input]],1)</f>
        <v>R</v>
      </c>
      <c r="C614">
        <f>_xlfn.LET(_xlpm.steps,SUBSTITUTE(Table1[[#This Row],[Input]],Table1[[#This Row],[Direction]],""),VALUE(IF(LEN(_xlpm.steps)&gt;2,RIGHT(_xlpm.steps,2),_xlpm.steps)))</f>
        <v>8</v>
      </c>
      <c r="D614">
        <f>_xlfn.LET(_xlpm.dir,Table1[[#This Row],[Direction]],
IF(_xlpm.dir="L",
    IF(F613-Table1[[#This Row],[Steps]]&lt;0,100+(F613-Table1[[#This Row],[Steps]]),F613-Table1[[#This Row],[Steps]]),
))</f>
        <v>0</v>
      </c>
      <c r="E614">
        <f>_xlfn.LET(_xlpm.dir,Table1[[#This Row],[Direction]],
IF(_xlpm.dir="R",
    IF(F613+Table1[[#This Row],[Steps]]&gt;99,(F613+Table1[[#This Row],[Steps]])-100,F613+Table1[[#This Row],[Steps]]),
))</f>
        <v>16</v>
      </c>
      <c r="F614">
        <f>IF(Table1[[#This Row],[New Pos L]]&lt;&gt;0,Table1[[#This Row],[New Pos L]],Table1[[#This Row],[New Pos R]])</f>
        <v>16</v>
      </c>
    </row>
    <row r="615" spans="1:6" ht="16" x14ac:dyDescent="0.2">
      <c r="A615" s="1" t="s">
        <v>61</v>
      </c>
      <c r="B615" t="str">
        <f>LEFT(Table1[[#This Row],[Input]],1)</f>
        <v>L</v>
      </c>
      <c r="C615">
        <f>_xlfn.LET(_xlpm.steps,SUBSTITUTE(Table1[[#This Row],[Input]],Table1[[#This Row],[Direction]],""),VALUE(IF(LEN(_xlpm.steps)&gt;2,RIGHT(_xlpm.steps,2),_xlpm.steps)))</f>
        <v>16</v>
      </c>
      <c r="D615">
        <f>_xlfn.LET(_xlpm.dir,Table1[[#This Row],[Direction]],
IF(_xlpm.dir="L",
    IF(F614-Table1[[#This Row],[Steps]]&lt;0,100+(F614-Table1[[#This Row],[Steps]]),F614-Table1[[#This Row],[Steps]]),
))</f>
        <v>0</v>
      </c>
      <c r="E615">
        <f>_xlfn.LET(_xlpm.dir,Table1[[#This Row],[Direction]],
IF(_xlpm.dir="R",
    IF(F614+Table1[[#This Row],[Steps]]&gt;99,(F614+Table1[[#This Row],[Steps]])-100,F614+Table1[[#This Row],[Steps]]),
))</f>
        <v>0</v>
      </c>
      <c r="F615">
        <f>IF(Table1[[#This Row],[New Pos L]]&lt;&gt;0,Table1[[#This Row],[New Pos L]],Table1[[#This Row],[New Pos R]])</f>
        <v>0</v>
      </c>
    </row>
    <row r="616" spans="1:6" ht="16" x14ac:dyDescent="0.2">
      <c r="A616" s="1" t="s">
        <v>281</v>
      </c>
      <c r="B616" t="str">
        <f>LEFT(Table1[[#This Row],[Input]],1)</f>
        <v>L</v>
      </c>
      <c r="C616">
        <f>_xlfn.LET(_xlpm.steps,SUBSTITUTE(Table1[[#This Row],[Input]],Table1[[#This Row],[Direction]],""),VALUE(IF(LEN(_xlpm.steps)&gt;2,RIGHT(_xlpm.steps,2),_xlpm.steps)))</f>
        <v>41</v>
      </c>
      <c r="D616">
        <f>_xlfn.LET(_xlpm.dir,Table1[[#This Row],[Direction]],
IF(_xlpm.dir="L",
    IF(F615-Table1[[#This Row],[Steps]]&lt;0,100+(F615-Table1[[#This Row],[Steps]]),F615-Table1[[#This Row],[Steps]]),
))</f>
        <v>59</v>
      </c>
      <c r="E616">
        <f>_xlfn.LET(_xlpm.dir,Table1[[#This Row],[Direction]],
IF(_xlpm.dir="R",
    IF(F615+Table1[[#This Row],[Steps]]&gt;99,(F615+Table1[[#This Row],[Steps]])-100,F615+Table1[[#This Row],[Steps]]),
))</f>
        <v>0</v>
      </c>
      <c r="F616">
        <f>IF(Table1[[#This Row],[New Pos L]]&lt;&gt;0,Table1[[#This Row],[New Pos L]],Table1[[#This Row],[New Pos R]])</f>
        <v>59</v>
      </c>
    </row>
    <row r="617" spans="1:6" ht="16" x14ac:dyDescent="0.2">
      <c r="A617" s="1" t="s">
        <v>167</v>
      </c>
      <c r="B617" t="str">
        <f>LEFT(Table1[[#This Row],[Input]],1)</f>
        <v>L</v>
      </c>
      <c r="C617">
        <f>_xlfn.LET(_xlpm.steps,SUBSTITUTE(Table1[[#This Row],[Input]],Table1[[#This Row],[Direction]],""),VALUE(IF(LEN(_xlpm.steps)&gt;2,RIGHT(_xlpm.steps,2),_xlpm.steps)))</f>
        <v>59</v>
      </c>
      <c r="D617">
        <f>_xlfn.LET(_xlpm.dir,Table1[[#This Row],[Direction]],
IF(_xlpm.dir="L",
    IF(F616-Table1[[#This Row],[Steps]]&lt;0,100+(F616-Table1[[#This Row],[Steps]]),F616-Table1[[#This Row],[Steps]]),
))</f>
        <v>0</v>
      </c>
      <c r="E617">
        <f>_xlfn.LET(_xlpm.dir,Table1[[#This Row],[Direction]],
IF(_xlpm.dir="R",
    IF(F616+Table1[[#This Row],[Steps]]&gt;99,(F616+Table1[[#This Row],[Steps]])-100,F616+Table1[[#This Row],[Steps]]),
))</f>
        <v>0</v>
      </c>
      <c r="F617">
        <f>IF(Table1[[#This Row],[New Pos L]]&lt;&gt;0,Table1[[#This Row],[New Pos L]],Table1[[#This Row],[New Pos R]])</f>
        <v>0</v>
      </c>
    </row>
    <row r="618" spans="1:6" ht="16" x14ac:dyDescent="0.2">
      <c r="A618" s="1" t="s">
        <v>245</v>
      </c>
      <c r="B618" t="str">
        <f>LEFT(Table1[[#This Row],[Input]],1)</f>
        <v>R</v>
      </c>
      <c r="C618">
        <f>_xlfn.LET(_xlpm.steps,SUBSTITUTE(Table1[[#This Row],[Input]],Table1[[#This Row],[Direction]],""),VALUE(IF(LEN(_xlpm.steps)&gt;2,RIGHT(_xlpm.steps,2),_xlpm.steps)))</f>
        <v>71</v>
      </c>
      <c r="D618">
        <f>_xlfn.LET(_xlpm.dir,Table1[[#This Row],[Direction]],
IF(_xlpm.dir="L",
    IF(F617-Table1[[#This Row],[Steps]]&lt;0,100+(F617-Table1[[#This Row],[Steps]]),F617-Table1[[#This Row],[Steps]]),
))</f>
        <v>0</v>
      </c>
      <c r="E618">
        <f>_xlfn.LET(_xlpm.dir,Table1[[#This Row],[Direction]],
IF(_xlpm.dir="R",
    IF(F617+Table1[[#This Row],[Steps]]&gt;99,(F617+Table1[[#This Row],[Steps]])-100,F617+Table1[[#This Row],[Steps]]),
))</f>
        <v>71</v>
      </c>
      <c r="F618">
        <f>IF(Table1[[#This Row],[New Pos L]]&lt;&gt;0,Table1[[#This Row],[New Pos L]],Table1[[#This Row],[New Pos R]])</f>
        <v>71</v>
      </c>
    </row>
    <row r="619" spans="1:6" ht="16" x14ac:dyDescent="0.2">
      <c r="A619" s="1" t="s">
        <v>94</v>
      </c>
      <c r="B619" t="str">
        <f>LEFT(Table1[[#This Row],[Input]],1)</f>
        <v>L</v>
      </c>
      <c r="C619">
        <f>_xlfn.LET(_xlpm.steps,SUBSTITUTE(Table1[[#This Row],[Input]],Table1[[#This Row],[Direction]],""),VALUE(IF(LEN(_xlpm.steps)&gt;2,RIGHT(_xlpm.steps,2),_xlpm.steps)))</f>
        <v>71</v>
      </c>
      <c r="D619">
        <f>_xlfn.LET(_xlpm.dir,Table1[[#This Row],[Direction]],
IF(_xlpm.dir="L",
    IF(F618-Table1[[#This Row],[Steps]]&lt;0,100+(F618-Table1[[#This Row],[Steps]]),F618-Table1[[#This Row],[Steps]]),
))</f>
        <v>0</v>
      </c>
      <c r="E619">
        <f>_xlfn.LET(_xlpm.dir,Table1[[#This Row],[Direction]],
IF(_xlpm.dir="R",
    IF(F618+Table1[[#This Row],[Steps]]&gt;99,(F618+Table1[[#This Row],[Steps]])-100,F618+Table1[[#This Row],[Steps]]),
))</f>
        <v>0</v>
      </c>
      <c r="F619">
        <f>IF(Table1[[#This Row],[New Pos L]]&lt;&gt;0,Table1[[#This Row],[New Pos L]],Table1[[#This Row],[New Pos R]])</f>
        <v>0</v>
      </c>
    </row>
    <row r="620" spans="1:6" ht="16" x14ac:dyDescent="0.2">
      <c r="A620" s="1" t="s">
        <v>171</v>
      </c>
      <c r="B620" t="str">
        <f>LEFT(Table1[[#This Row],[Input]],1)</f>
        <v>L</v>
      </c>
      <c r="C620">
        <f>_xlfn.LET(_xlpm.steps,SUBSTITUTE(Table1[[#This Row],[Input]],Table1[[#This Row],[Direction]],""),VALUE(IF(LEN(_xlpm.steps)&gt;2,RIGHT(_xlpm.steps,2),_xlpm.steps)))</f>
        <v>73</v>
      </c>
      <c r="D620">
        <f>_xlfn.LET(_xlpm.dir,Table1[[#This Row],[Direction]],
IF(_xlpm.dir="L",
    IF(F619-Table1[[#This Row],[Steps]]&lt;0,100+(F619-Table1[[#This Row],[Steps]]),F619-Table1[[#This Row],[Steps]]),
))</f>
        <v>27</v>
      </c>
      <c r="E620">
        <f>_xlfn.LET(_xlpm.dir,Table1[[#This Row],[Direction]],
IF(_xlpm.dir="R",
    IF(F619+Table1[[#This Row],[Steps]]&gt;99,(F619+Table1[[#This Row],[Steps]])-100,F619+Table1[[#This Row],[Steps]]),
))</f>
        <v>0</v>
      </c>
      <c r="F620">
        <f>IF(Table1[[#This Row],[New Pos L]]&lt;&gt;0,Table1[[#This Row],[New Pos L]],Table1[[#This Row],[New Pos R]])</f>
        <v>27</v>
      </c>
    </row>
    <row r="621" spans="1:6" ht="16" x14ac:dyDescent="0.2">
      <c r="A621" s="1" t="s">
        <v>151</v>
      </c>
      <c r="B621" t="str">
        <f>LEFT(Table1[[#This Row],[Input]],1)</f>
        <v>L</v>
      </c>
      <c r="C621">
        <f>_xlfn.LET(_xlpm.steps,SUBSTITUTE(Table1[[#This Row],[Input]],Table1[[#This Row],[Direction]],""),VALUE(IF(LEN(_xlpm.steps)&gt;2,RIGHT(_xlpm.steps,2),_xlpm.steps)))</f>
        <v>74</v>
      </c>
      <c r="D621">
        <f>_xlfn.LET(_xlpm.dir,Table1[[#This Row],[Direction]],
IF(_xlpm.dir="L",
    IF(F620-Table1[[#This Row],[Steps]]&lt;0,100+(F620-Table1[[#This Row],[Steps]]),F620-Table1[[#This Row],[Steps]]),
))</f>
        <v>53</v>
      </c>
      <c r="E621">
        <f>_xlfn.LET(_xlpm.dir,Table1[[#This Row],[Direction]],
IF(_xlpm.dir="R",
    IF(F620+Table1[[#This Row],[Steps]]&gt;99,(F620+Table1[[#This Row],[Steps]])-100,F620+Table1[[#This Row],[Steps]]),
))</f>
        <v>0</v>
      </c>
      <c r="F621">
        <f>IF(Table1[[#This Row],[New Pos L]]&lt;&gt;0,Table1[[#This Row],[New Pos L]],Table1[[#This Row],[New Pos R]])</f>
        <v>53</v>
      </c>
    </row>
    <row r="622" spans="1:6" ht="16" x14ac:dyDescent="0.2">
      <c r="A622" s="1" t="s">
        <v>31</v>
      </c>
      <c r="B622" t="str">
        <f>LEFT(Table1[[#This Row],[Input]],1)</f>
        <v>L</v>
      </c>
      <c r="C622">
        <f>_xlfn.LET(_xlpm.steps,SUBSTITUTE(Table1[[#This Row],[Input]],Table1[[#This Row],[Direction]],""),VALUE(IF(LEN(_xlpm.steps)&gt;2,RIGHT(_xlpm.steps,2),_xlpm.steps)))</f>
        <v>13</v>
      </c>
      <c r="D622">
        <f>_xlfn.LET(_xlpm.dir,Table1[[#This Row],[Direction]],
IF(_xlpm.dir="L",
    IF(F621-Table1[[#This Row],[Steps]]&lt;0,100+(F621-Table1[[#This Row],[Steps]]),F621-Table1[[#This Row],[Steps]]),
))</f>
        <v>40</v>
      </c>
      <c r="E622">
        <f>_xlfn.LET(_xlpm.dir,Table1[[#This Row],[Direction]],
IF(_xlpm.dir="R",
    IF(F621+Table1[[#This Row],[Steps]]&gt;99,(F621+Table1[[#This Row],[Steps]])-100,F621+Table1[[#This Row],[Steps]]),
))</f>
        <v>0</v>
      </c>
      <c r="F622">
        <f>IF(Table1[[#This Row],[New Pos L]]&lt;&gt;0,Table1[[#This Row],[New Pos L]],Table1[[#This Row],[New Pos R]])</f>
        <v>40</v>
      </c>
    </row>
    <row r="623" spans="1:6" ht="16" x14ac:dyDescent="0.2">
      <c r="A623" s="1" t="s">
        <v>115</v>
      </c>
      <c r="B623" t="str">
        <f>LEFT(Table1[[#This Row],[Input]],1)</f>
        <v>L</v>
      </c>
      <c r="C623">
        <f>_xlfn.LET(_xlpm.steps,SUBSTITUTE(Table1[[#This Row],[Input]],Table1[[#This Row],[Direction]],""),VALUE(IF(LEN(_xlpm.steps)&gt;2,RIGHT(_xlpm.steps,2),_xlpm.steps)))</f>
        <v>29</v>
      </c>
      <c r="D623">
        <f>_xlfn.LET(_xlpm.dir,Table1[[#This Row],[Direction]],
IF(_xlpm.dir="L",
    IF(F622-Table1[[#This Row],[Steps]]&lt;0,100+(F622-Table1[[#This Row],[Steps]]),F622-Table1[[#This Row],[Steps]]),
))</f>
        <v>11</v>
      </c>
      <c r="E623">
        <f>_xlfn.LET(_xlpm.dir,Table1[[#This Row],[Direction]],
IF(_xlpm.dir="R",
    IF(F622+Table1[[#This Row],[Steps]]&gt;99,(F622+Table1[[#This Row],[Steps]])-100,F622+Table1[[#This Row],[Steps]]),
))</f>
        <v>0</v>
      </c>
      <c r="F623">
        <f>IF(Table1[[#This Row],[New Pos L]]&lt;&gt;0,Table1[[#This Row],[New Pos L]],Table1[[#This Row],[New Pos R]])</f>
        <v>11</v>
      </c>
    </row>
    <row r="624" spans="1:6" ht="16" x14ac:dyDescent="0.2">
      <c r="A624" s="1" t="s">
        <v>24</v>
      </c>
      <c r="B624" t="str">
        <f>LEFT(Table1[[#This Row],[Input]],1)</f>
        <v>L</v>
      </c>
      <c r="C624">
        <f>_xlfn.LET(_xlpm.steps,SUBSTITUTE(Table1[[#This Row],[Input]],Table1[[#This Row],[Direction]],""),VALUE(IF(LEN(_xlpm.steps)&gt;2,RIGHT(_xlpm.steps,2),_xlpm.steps)))</f>
        <v>49</v>
      </c>
      <c r="D624">
        <f>_xlfn.LET(_xlpm.dir,Table1[[#This Row],[Direction]],
IF(_xlpm.dir="L",
    IF(F623-Table1[[#This Row],[Steps]]&lt;0,100+(F623-Table1[[#This Row],[Steps]]),F623-Table1[[#This Row],[Steps]]),
))</f>
        <v>62</v>
      </c>
      <c r="E624">
        <f>_xlfn.LET(_xlpm.dir,Table1[[#This Row],[Direction]],
IF(_xlpm.dir="R",
    IF(F623+Table1[[#This Row],[Steps]]&gt;99,(F623+Table1[[#This Row],[Steps]])-100,F623+Table1[[#This Row],[Steps]]),
))</f>
        <v>0</v>
      </c>
      <c r="F624">
        <f>IF(Table1[[#This Row],[New Pos L]]&lt;&gt;0,Table1[[#This Row],[New Pos L]],Table1[[#This Row],[New Pos R]])</f>
        <v>62</v>
      </c>
    </row>
    <row r="625" spans="1:6" ht="16" x14ac:dyDescent="0.2">
      <c r="A625" s="1" t="s">
        <v>66</v>
      </c>
      <c r="B625" t="str">
        <f>LEFT(Table1[[#This Row],[Input]],1)</f>
        <v>R</v>
      </c>
      <c r="C625">
        <f>_xlfn.LET(_xlpm.steps,SUBSTITUTE(Table1[[#This Row],[Input]],Table1[[#This Row],[Direction]],""),VALUE(IF(LEN(_xlpm.steps)&gt;2,RIGHT(_xlpm.steps,2),_xlpm.steps)))</f>
        <v>45</v>
      </c>
      <c r="D625">
        <f>_xlfn.LET(_xlpm.dir,Table1[[#This Row],[Direction]],
IF(_xlpm.dir="L",
    IF(F624-Table1[[#This Row],[Steps]]&lt;0,100+(F624-Table1[[#This Row],[Steps]]),F624-Table1[[#This Row],[Steps]]),
))</f>
        <v>0</v>
      </c>
      <c r="E625">
        <f>_xlfn.LET(_xlpm.dir,Table1[[#This Row],[Direction]],
IF(_xlpm.dir="R",
    IF(F624+Table1[[#This Row],[Steps]]&gt;99,(F624+Table1[[#This Row],[Steps]])-100,F624+Table1[[#This Row],[Steps]]),
))</f>
        <v>7</v>
      </c>
      <c r="F625">
        <f>IF(Table1[[#This Row],[New Pos L]]&lt;&gt;0,Table1[[#This Row],[New Pos L]],Table1[[#This Row],[New Pos R]])</f>
        <v>7</v>
      </c>
    </row>
    <row r="626" spans="1:6" ht="16" x14ac:dyDescent="0.2">
      <c r="A626" s="1" t="s">
        <v>16</v>
      </c>
      <c r="B626" t="str">
        <f>LEFT(Table1[[#This Row],[Input]],1)</f>
        <v>L</v>
      </c>
      <c r="C626">
        <f>_xlfn.LET(_xlpm.steps,SUBSTITUTE(Table1[[#This Row],[Input]],Table1[[#This Row],[Direction]],""),VALUE(IF(LEN(_xlpm.steps)&gt;2,RIGHT(_xlpm.steps,2),_xlpm.steps)))</f>
        <v>10</v>
      </c>
      <c r="D626">
        <f>_xlfn.LET(_xlpm.dir,Table1[[#This Row],[Direction]],
IF(_xlpm.dir="L",
    IF(F625-Table1[[#This Row],[Steps]]&lt;0,100+(F625-Table1[[#This Row],[Steps]]),F625-Table1[[#This Row],[Steps]]),
))</f>
        <v>97</v>
      </c>
      <c r="E626">
        <f>_xlfn.LET(_xlpm.dir,Table1[[#This Row],[Direction]],
IF(_xlpm.dir="R",
    IF(F625+Table1[[#This Row],[Steps]]&gt;99,(F625+Table1[[#This Row],[Steps]])-100,F625+Table1[[#This Row],[Steps]]),
))</f>
        <v>0</v>
      </c>
      <c r="F626">
        <f>IF(Table1[[#This Row],[New Pos L]]&lt;&gt;0,Table1[[#This Row],[New Pos L]],Table1[[#This Row],[New Pos R]])</f>
        <v>97</v>
      </c>
    </row>
    <row r="627" spans="1:6" ht="16" x14ac:dyDescent="0.2">
      <c r="A627" s="1" t="s">
        <v>267</v>
      </c>
      <c r="B627" t="str">
        <f>LEFT(Table1[[#This Row],[Input]],1)</f>
        <v>L</v>
      </c>
      <c r="C627">
        <f>_xlfn.LET(_xlpm.steps,SUBSTITUTE(Table1[[#This Row],[Input]],Table1[[#This Row],[Direction]],""),VALUE(IF(LEN(_xlpm.steps)&gt;2,RIGHT(_xlpm.steps,2),_xlpm.steps)))</f>
        <v>39</v>
      </c>
      <c r="D627">
        <f>_xlfn.LET(_xlpm.dir,Table1[[#This Row],[Direction]],
IF(_xlpm.dir="L",
    IF(F626-Table1[[#This Row],[Steps]]&lt;0,100+(F626-Table1[[#This Row],[Steps]]),F626-Table1[[#This Row],[Steps]]),
))</f>
        <v>58</v>
      </c>
      <c r="E627">
        <f>_xlfn.LET(_xlpm.dir,Table1[[#This Row],[Direction]],
IF(_xlpm.dir="R",
    IF(F626+Table1[[#This Row],[Steps]]&gt;99,(F626+Table1[[#This Row],[Steps]])-100,F626+Table1[[#This Row],[Steps]]),
))</f>
        <v>0</v>
      </c>
      <c r="F627">
        <f>IF(Table1[[#This Row],[New Pos L]]&lt;&gt;0,Table1[[#This Row],[New Pos L]],Table1[[#This Row],[New Pos R]])</f>
        <v>58</v>
      </c>
    </row>
    <row r="628" spans="1:6" ht="16" x14ac:dyDescent="0.2">
      <c r="A628" s="1" t="s">
        <v>123</v>
      </c>
      <c r="B628" t="str">
        <f>LEFT(Table1[[#This Row],[Input]],1)</f>
        <v>L</v>
      </c>
      <c r="C628">
        <f>_xlfn.LET(_xlpm.steps,SUBSTITUTE(Table1[[#This Row],[Input]],Table1[[#This Row],[Direction]],""),VALUE(IF(LEN(_xlpm.steps)&gt;2,RIGHT(_xlpm.steps,2),_xlpm.steps)))</f>
        <v>63</v>
      </c>
      <c r="D628">
        <f>_xlfn.LET(_xlpm.dir,Table1[[#This Row],[Direction]],
IF(_xlpm.dir="L",
    IF(F627-Table1[[#This Row],[Steps]]&lt;0,100+(F627-Table1[[#This Row],[Steps]]),F627-Table1[[#This Row],[Steps]]),
))</f>
        <v>95</v>
      </c>
      <c r="E628">
        <f>_xlfn.LET(_xlpm.dir,Table1[[#This Row],[Direction]],
IF(_xlpm.dir="R",
    IF(F627+Table1[[#This Row],[Steps]]&gt;99,(F627+Table1[[#This Row],[Steps]])-100,F627+Table1[[#This Row],[Steps]]),
))</f>
        <v>0</v>
      </c>
      <c r="F628">
        <f>IF(Table1[[#This Row],[New Pos L]]&lt;&gt;0,Table1[[#This Row],[New Pos L]],Table1[[#This Row],[New Pos R]])</f>
        <v>95</v>
      </c>
    </row>
    <row r="629" spans="1:6" ht="16" x14ac:dyDescent="0.2">
      <c r="A629" s="1" t="s">
        <v>245</v>
      </c>
      <c r="B629" t="str">
        <f>LEFT(Table1[[#This Row],[Input]],1)</f>
        <v>R</v>
      </c>
      <c r="C629">
        <f>_xlfn.LET(_xlpm.steps,SUBSTITUTE(Table1[[#This Row],[Input]],Table1[[#This Row],[Direction]],""),VALUE(IF(LEN(_xlpm.steps)&gt;2,RIGHT(_xlpm.steps,2),_xlpm.steps)))</f>
        <v>71</v>
      </c>
      <c r="D629">
        <f>_xlfn.LET(_xlpm.dir,Table1[[#This Row],[Direction]],
IF(_xlpm.dir="L",
    IF(F628-Table1[[#This Row],[Steps]]&lt;0,100+(F628-Table1[[#This Row],[Steps]]),F628-Table1[[#This Row],[Steps]]),
))</f>
        <v>0</v>
      </c>
      <c r="E629">
        <f>_xlfn.LET(_xlpm.dir,Table1[[#This Row],[Direction]],
IF(_xlpm.dir="R",
    IF(F628+Table1[[#This Row],[Steps]]&gt;99,(F628+Table1[[#This Row],[Steps]])-100,F628+Table1[[#This Row],[Steps]]),
))</f>
        <v>66</v>
      </c>
      <c r="F629">
        <f>IF(Table1[[#This Row],[New Pos L]]&lt;&gt;0,Table1[[#This Row],[New Pos L]],Table1[[#This Row],[New Pos R]])</f>
        <v>66</v>
      </c>
    </row>
    <row r="630" spans="1:6" ht="16" x14ac:dyDescent="0.2">
      <c r="A630" s="1" t="s">
        <v>279</v>
      </c>
      <c r="B630" t="str">
        <f>LEFT(Table1[[#This Row],[Input]],1)</f>
        <v>R</v>
      </c>
      <c r="C630">
        <f>_xlfn.LET(_xlpm.steps,SUBSTITUTE(Table1[[#This Row],[Input]],Table1[[#This Row],[Direction]],""),VALUE(IF(LEN(_xlpm.steps)&gt;2,RIGHT(_xlpm.steps,2),_xlpm.steps)))</f>
        <v>34</v>
      </c>
      <c r="D630">
        <f>_xlfn.LET(_xlpm.dir,Table1[[#This Row],[Direction]],
IF(_xlpm.dir="L",
    IF(F629-Table1[[#This Row],[Steps]]&lt;0,100+(F629-Table1[[#This Row],[Steps]]),F629-Table1[[#This Row],[Steps]]),
))</f>
        <v>0</v>
      </c>
      <c r="E630">
        <f>_xlfn.LET(_xlpm.dir,Table1[[#This Row],[Direction]],
IF(_xlpm.dir="R",
    IF(F629+Table1[[#This Row],[Steps]]&gt;99,(F629+Table1[[#This Row],[Steps]])-100,F629+Table1[[#This Row],[Steps]]),
))</f>
        <v>0</v>
      </c>
      <c r="F630">
        <f>IF(Table1[[#This Row],[New Pos L]]&lt;&gt;0,Table1[[#This Row],[New Pos L]],Table1[[#This Row],[New Pos R]])</f>
        <v>0</v>
      </c>
    </row>
    <row r="631" spans="1:6" ht="16" x14ac:dyDescent="0.2">
      <c r="A631" s="1" t="s">
        <v>0</v>
      </c>
      <c r="B631" t="str">
        <f>LEFT(Table1[[#This Row],[Input]],1)</f>
        <v>L</v>
      </c>
      <c r="C631">
        <f>_xlfn.LET(_xlpm.steps,SUBSTITUTE(Table1[[#This Row],[Input]],Table1[[#This Row],[Direction]],""),VALUE(IF(LEN(_xlpm.steps)&gt;2,RIGHT(_xlpm.steps,2),_xlpm.steps)))</f>
        <v>44</v>
      </c>
      <c r="D631">
        <f>_xlfn.LET(_xlpm.dir,Table1[[#This Row],[Direction]],
IF(_xlpm.dir="L",
    IF(F630-Table1[[#This Row],[Steps]]&lt;0,100+(F630-Table1[[#This Row],[Steps]]),F630-Table1[[#This Row],[Steps]]),
))</f>
        <v>56</v>
      </c>
      <c r="E631">
        <f>_xlfn.LET(_xlpm.dir,Table1[[#This Row],[Direction]],
IF(_xlpm.dir="R",
    IF(F630+Table1[[#This Row],[Steps]]&gt;99,(F630+Table1[[#This Row],[Steps]])-100,F630+Table1[[#This Row],[Steps]]),
))</f>
        <v>0</v>
      </c>
      <c r="F631">
        <f>IF(Table1[[#This Row],[New Pos L]]&lt;&gt;0,Table1[[#This Row],[New Pos L]],Table1[[#This Row],[New Pos R]])</f>
        <v>56</v>
      </c>
    </row>
    <row r="632" spans="1:6" ht="16" x14ac:dyDescent="0.2">
      <c r="A632" s="1" t="s">
        <v>282</v>
      </c>
      <c r="B632" t="str">
        <f>LEFT(Table1[[#This Row],[Input]],1)</f>
        <v>L</v>
      </c>
      <c r="C632">
        <f>_xlfn.LET(_xlpm.steps,SUBSTITUTE(Table1[[#This Row],[Input]],Table1[[#This Row],[Direction]],""),VALUE(IF(LEN(_xlpm.steps)&gt;2,RIGHT(_xlpm.steps,2),_xlpm.steps)))</f>
        <v>56</v>
      </c>
      <c r="D632">
        <f>_xlfn.LET(_xlpm.dir,Table1[[#This Row],[Direction]],
IF(_xlpm.dir="L",
    IF(F631-Table1[[#This Row],[Steps]]&lt;0,100+(F631-Table1[[#This Row],[Steps]]),F631-Table1[[#This Row],[Steps]]),
))</f>
        <v>0</v>
      </c>
      <c r="E632">
        <f>_xlfn.LET(_xlpm.dir,Table1[[#This Row],[Direction]],
IF(_xlpm.dir="R",
    IF(F631+Table1[[#This Row],[Steps]]&gt;99,(F631+Table1[[#This Row],[Steps]])-100,F631+Table1[[#This Row],[Steps]]),
))</f>
        <v>0</v>
      </c>
      <c r="F632">
        <f>IF(Table1[[#This Row],[New Pos L]]&lt;&gt;0,Table1[[#This Row],[New Pos L]],Table1[[#This Row],[New Pos R]])</f>
        <v>0</v>
      </c>
    </row>
    <row r="633" spans="1:6" ht="16" x14ac:dyDescent="0.2">
      <c r="A633" s="1" t="s">
        <v>24</v>
      </c>
      <c r="B633" t="str">
        <f>LEFT(Table1[[#This Row],[Input]],1)</f>
        <v>L</v>
      </c>
      <c r="C633">
        <f>_xlfn.LET(_xlpm.steps,SUBSTITUTE(Table1[[#This Row],[Input]],Table1[[#This Row],[Direction]],""),VALUE(IF(LEN(_xlpm.steps)&gt;2,RIGHT(_xlpm.steps,2),_xlpm.steps)))</f>
        <v>49</v>
      </c>
      <c r="D633">
        <f>_xlfn.LET(_xlpm.dir,Table1[[#This Row],[Direction]],
IF(_xlpm.dir="L",
    IF(F632-Table1[[#This Row],[Steps]]&lt;0,100+(F632-Table1[[#This Row],[Steps]]),F632-Table1[[#This Row],[Steps]]),
))</f>
        <v>51</v>
      </c>
      <c r="E633">
        <f>_xlfn.LET(_xlpm.dir,Table1[[#This Row],[Direction]],
IF(_xlpm.dir="R",
    IF(F632+Table1[[#This Row],[Steps]]&gt;99,(F632+Table1[[#This Row],[Steps]])-100,F632+Table1[[#This Row],[Steps]]),
))</f>
        <v>0</v>
      </c>
      <c r="F633">
        <f>IF(Table1[[#This Row],[New Pos L]]&lt;&gt;0,Table1[[#This Row],[New Pos L]],Table1[[#This Row],[New Pos R]])</f>
        <v>51</v>
      </c>
    </row>
    <row r="634" spans="1:6" ht="16" x14ac:dyDescent="0.2">
      <c r="A634" s="1" t="s">
        <v>283</v>
      </c>
      <c r="B634" t="str">
        <f>LEFT(Table1[[#This Row],[Input]],1)</f>
        <v>L</v>
      </c>
      <c r="C634">
        <f>_xlfn.LET(_xlpm.steps,SUBSTITUTE(Table1[[#This Row],[Input]],Table1[[#This Row],[Direction]],""),VALUE(IF(LEN(_xlpm.steps)&gt;2,RIGHT(_xlpm.steps,2),_xlpm.steps)))</f>
        <v>38</v>
      </c>
      <c r="D634">
        <f>_xlfn.LET(_xlpm.dir,Table1[[#This Row],[Direction]],
IF(_xlpm.dir="L",
    IF(F633-Table1[[#This Row],[Steps]]&lt;0,100+(F633-Table1[[#This Row],[Steps]]),F633-Table1[[#This Row],[Steps]]),
))</f>
        <v>13</v>
      </c>
      <c r="E634">
        <f>_xlfn.LET(_xlpm.dir,Table1[[#This Row],[Direction]],
IF(_xlpm.dir="R",
    IF(F633+Table1[[#This Row],[Steps]]&gt;99,(F633+Table1[[#This Row],[Steps]])-100,F633+Table1[[#This Row],[Steps]]),
))</f>
        <v>0</v>
      </c>
      <c r="F634">
        <f>IF(Table1[[#This Row],[New Pos L]]&lt;&gt;0,Table1[[#This Row],[New Pos L]],Table1[[#This Row],[New Pos R]])</f>
        <v>13</v>
      </c>
    </row>
    <row r="635" spans="1:6" ht="16" x14ac:dyDescent="0.2">
      <c r="A635" s="1" t="s">
        <v>284</v>
      </c>
      <c r="B635" t="str">
        <f>LEFT(Table1[[#This Row],[Input]],1)</f>
        <v>R</v>
      </c>
      <c r="C635">
        <f>_xlfn.LET(_xlpm.steps,SUBSTITUTE(Table1[[#This Row],[Input]],Table1[[#This Row],[Direction]],""),VALUE(IF(LEN(_xlpm.steps)&gt;2,RIGHT(_xlpm.steps,2),_xlpm.steps)))</f>
        <v>66</v>
      </c>
      <c r="D635">
        <f>_xlfn.LET(_xlpm.dir,Table1[[#This Row],[Direction]],
IF(_xlpm.dir="L",
    IF(F634-Table1[[#This Row],[Steps]]&lt;0,100+(F634-Table1[[#This Row],[Steps]]),F634-Table1[[#This Row],[Steps]]),
))</f>
        <v>0</v>
      </c>
      <c r="E635">
        <f>_xlfn.LET(_xlpm.dir,Table1[[#This Row],[Direction]],
IF(_xlpm.dir="R",
    IF(F634+Table1[[#This Row],[Steps]]&gt;99,(F634+Table1[[#This Row],[Steps]])-100,F634+Table1[[#This Row],[Steps]]),
))</f>
        <v>79</v>
      </c>
      <c r="F635">
        <f>IF(Table1[[#This Row],[New Pos L]]&lt;&gt;0,Table1[[#This Row],[New Pos L]],Table1[[#This Row],[New Pos R]])</f>
        <v>79</v>
      </c>
    </row>
    <row r="636" spans="1:6" ht="16" x14ac:dyDescent="0.2">
      <c r="A636" s="1" t="s">
        <v>209</v>
      </c>
      <c r="B636" t="str">
        <f>LEFT(Table1[[#This Row],[Input]],1)</f>
        <v>L</v>
      </c>
      <c r="C636">
        <f>_xlfn.LET(_xlpm.steps,SUBSTITUTE(Table1[[#This Row],[Input]],Table1[[#This Row],[Direction]],""),VALUE(IF(LEN(_xlpm.steps)&gt;2,RIGHT(_xlpm.steps,2),_xlpm.steps)))</f>
        <v>86</v>
      </c>
      <c r="D636">
        <f>_xlfn.LET(_xlpm.dir,Table1[[#This Row],[Direction]],
IF(_xlpm.dir="L",
    IF(F635-Table1[[#This Row],[Steps]]&lt;0,100+(F635-Table1[[#This Row],[Steps]]),F635-Table1[[#This Row],[Steps]]),
))</f>
        <v>93</v>
      </c>
      <c r="E636">
        <f>_xlfn.LET(_xlpm.dir,Table1[[#This Row],[Direction]],
IF(_xlpm.dir="R",
    IF(F635+Table1[[#This Row],[Steps]]&gt;99,(F635+Table1[[#This Row],[Steps]])-100,F635+Table1[[#This Row],[Steps]]),
))</f>
        <v>0</v>
      </c>
      <c r="F636">
        <f>IF(Table1[[#This Row],[New Pos L]]&lt;&gt;0,Table1[[#This Row],[New Pos L]],Table1[[#This Row],[New Pos R]])</f>
        <v>93</v>
      </c>
    </row>
    <row r="637" spans="1:6" ht="16" x14ac:dyDescent="0.2">
      <c r="A637" s="1" t="s">
        <v>41</v>
      </c>
      <c r="B637" t="str">
        <f>LEFT(Table1[[#This Row],[Input]],1)</f>
        <v>L</v>
      </c>
      <c r="C637">
        <f>_xlfn.LET(_xlpm.steps,SUBSTITUTE(Table1[[#This Row],[Input]],Table1[[#This Row],[Direction]],""),VALUE(IF(LEN(_xlpm.steps)&gt;2,RIGHT(_xlpm.steps,2),_xlpm.steps)))</f>
        <v>7</v>
      </c>
      <c r="D637">
        <f>_xlfn.LET(_xlpm.dir,Table1[[#This Row],[Direction]],
IF(_xlpm.dir="L",
    IF(F636-Table1[[#This Row],[Steps]]&lt;0,100+(F636-Table1[[#This Row],[Steps]]),F636-Table1[[#This Row],[Steps]]),
))</f>
        <v>86</v>
      </c>
      <c r="E637">
        <f>_xlfn.LET(_xlpm.dir,Table1[[#This Row],[Direction]],
IF(_xlpm.dir="R",
    IF(F636+Table1[[#This Row],[Steps]]&gt;99,(F636+Table1[[#This Row],[Steps]])-100,F636+Table1[[#This Row],[Steps]]),
))</f>
        <v>0</v>
      </c>
      <c r="F637">
        <f>IF(Table1[[#This Row],[New Pos L]]&lt;&gt;0,Table1[[#This Row],[New Pos L]],Table1[[#This Row],[New Pos R]])</f>
        <v>86</v>
      </c>
    </row>
    <row r="638" spans="1:6" ht="16" x14ac:dyDescent="0.2">
      <c r="A638" s="1" t="s">
        <v>209</v>
      </c>
      <c r="B638" t="str">
        <f>LEFT(Table1[[#This Row],[Input]],1)</f>
        <v>L</v>
      </c>
      <c r="C638">
        <f>_xlfn.LET(_xlpm.steps,SUBSTITUTE(Table1[[#This Row],[Input]],Table1[[#This Row],[Direction]],""),VALUE(IF(LEN(_xlpm.steps)&gt;2,RIGHT(_xlpm.steps,2),_xlpm.steps)))</f>
        <v>86</v>
      </c>
      <c r="D638">
        <f>_xlfn.LET(_xlpm.dir,Table1[[#This Row],[Direction]],
IF(_xlpm.dir="L",
    IF(F637-Table1[[#This Row],[Steps]]&lt;0,100+(F637-Table1[[#This Row],[Steps]]),F637-Table1[[#This Row],[Steps]]),
))</f>
        <v>0</v>
      </c>
      <c r="E638">
        <f>_xlfn.LET(_xlpm.dir,Table1[[#This Row],[Direction]],
IF(_xlpm.dir="R",
    IF(F637+Table1[[#This Row],[Steps]]&gt;99,(F637+Table1[[#This Row],[Steps]])-100,F637+Table1[[#This Row],[Steps]]),
))</f>
        <v>0</v>
      </c>
      <c r="F638">
        <f>IF(Table1[[#This Row],[New Pos L]]&lt;&gt;0,Table1[[#This Row],[New Pos L]],Table1[[#This Row],[New Pos R]])</f>
        <v>0</v>
      </c>
    </row>
    <row r="639" spans="1:6" ht="16" x14ac:dyDescent="0.2">
      <c r="A639" s="1" t="s">
        <v>155</v>
      </c>
      <c r="B639" t="str">
        <f>LEFT(Table1[[#This Row],[Input]],1)</f>
        <v>L</v>
      </c>
      <c r="C639">
        <f>_xlfn.LET(_xlpm.steps,SUBSTITUTE(Table1[[#This Row],[Input]],Table1[[#This Row],[Direction]],""),VALUE(IF(LEN(_xlpm.steps)&gt;2,RIGHT(_xlpm.steps,2),_xlpm.steps)))</f>
        <v>18</v>
      </c>
      <c r="D639">
        <f>_xlfn.LET(_xlpm.dir,Table1[[#This Row],[Direction]],
IF(_xlpm.dir="L",
    IF(F638-Table1[[#This Row],[Steps]]&lt;0,100+(F638-Table1[[#This Row],[Steps]]),F638-Table1[[#This Row],[Steps]]),
))</f>
        <v>82</v>
      </c>
      <c r="E639">
        <f>_xlfn.LET(_xlpm.dir,Table1[[#This Row],[Direction]],
IF(_xlpm.dir="R",
    IF(F638+Table1[[#This Row],[Steps]]&gt;99,(F638+Table1[[#This Row],[Steps]])-100,F638+Table1[[#This Row],[Steps]]),
))</f>
        <v>0</v>
      </c>
      <c r="F639">
        <f>IF(Table1[[#This Row],[New Pos L]]&lt;&gt;0,Table1[[#This Row],[New Pos L]],Table1[[#This Row],[New Pos R]])</f>
        <v>82</v>
      </c>
    </row>
    <row r="640" spans="1:6" ht="16" x14ac:dyDescent="0.2">
      <c r="A640" s="1" t="s">
        <v>194</v>
      </c>
      <c r="B640" t="str">
        <f>LEFT(Table1[[#This Row],[Input]],1)</f>
        <v>R</v>
      </c>
      <c r="C640">
        <f>_xlfn.LET(_xlpm.steps,SUBSTITUTE(Table1[[#This Row],[Input]],Table1[[#This Row],[Direction]],""),VALUE(IF(LEN(_xlpm.steps)&gt;2,RIGHT(_xlpm.steps,2),_xlpm.steps)))</f>
        <v>51</v>
      </c>
      <c r="D640">
        <f>_xlfn.LET(_xlpm.dir,Table1[[#This Row],[Direction]],
IF(_xlpm.dir="L",
    IF(F639-Table1[[#This Row],[Steps]]&lt;0,100+(F639-Table1[[#This Row],[Steps]]),F639-Table1[[#This Row],[Steps]]),
))</f>
        <v>0</v>
      </c>
      <c r="E640">
        <f>_xlfn.LET(_xlpm.dir,Table1[[#This Row],[Direction]],
IF(_xlpm.dir="R",
    IF(F639+Table1[[#This Row],[Steps]]&gt;99,(F639+Table1[[#This Row],[Steps]])-100,F639+Table1[[#This Row],[Steps]]),
))</f>
        <v>33</v>
      </c>
      <c r="F640">
        <f>IF(Table1[[#This Row],[New Pos L]]&lt;&gt;0,Table1[[#This Row],[New Pos L]],Table1[[#This Row],[New Pos R]])</f>
        <v>33</v>
      </c>
    </row>
    <row r="641" spans="1:6" ht="16" x14ac:dyDescent="0.2">
      <c r="A641" s="1" t="s">
        <v>285</v>
      </c>
      <c r="B641" t="str">
        <f>LEFT(Table1[[#This Row],[Input]],1)</f>
        <v>R</v>
      </c>
      <c r="C641">
        <f>_xlfn.LET(_xlpm.steps,SUBSTITUTE(Table1[[#This Row],[Input]],Table1[[#This Row],[Direction]],""),VALUE(IF(LEN(_xlpm.steps)&gt;2,RIGHT(_xlpm.steps,2),_xlpm.steps)))</f>
        <v>41</v>
      </c>
      <c r="D641">
        <f>_xlfn.LET(_xlpm.dir,Table1[[#This Row],[Direction]],
IF(_xlpm.dir="L",
    IF(F640-Table1[[#This Row],[Steps]]&lt;0,100+(F640-Table1[[#This Row],[Steps]]),F640-Table1[[#This Row],[Steps]]),
))</f>
        <v>0</v>
      </c>
      <c r="E641">
        <f>_xlfn.LET(_xlpm.dir,Table1[[#This Row],[Direction]],
IF(_xlpm.dir="R",
    IF(F640+Table1[[#This Row],[Steps]]&gt;99,(F640+Table1[[#This Row],[Steps]])-100,F640+Table1[[#This Row],[Steps]]),
))</f>
        <v>74</v>
      </c>
      <c r="F641">
        <f>IF(Table1[[#This Row],[New Pos L]]&lt;&gt;0,Table1[[#This Row],[New Pos L]],Table1[[#This Row],[New Pos R]])</f>
        <v>74</v>
      </c>
    </row>
    <row r="642" spans="1:6" ht="16" x14ac:dyDescent="0.2">
      <c r="A642" s="1" t="s">
        <v>151</v>
      </c>
      <c r="B642" t="str">
        <f>LEFT(Table1[[#This Row],[Input]],1)</f>
        <v>L</v>
      </c>
      <c r="C642">
        <f>_xlfn.LET(_xlpm.steps,SUBSTITUTE(Table1[[#This Row],[Input]],Table1[[#This Row],[Direction]],""),VALUE(IF(LEN(_xlpm.steps)&gt;2,RIGHT(_xlpm.steps,2),_xlpm.steps)))</f>
        <v>74</v>
      </c>
      <c r="D642">
        <f>_xlfn.LET(_xlpm.dir,Table1[[#This Row],[Direction]],
IF(_xlpm.dir="L",
    IF(F641-Table1[[#This Row],[Steps]]&lt;0,100+(F641-Table1[[#This Row],[Steps]]),F641-Table1[[#This Row],[Steps]]),
))</f>
        <v>0</v>
      </c>
      <c r="E642">
        <f>_xlfn.LET(_xlpm.dir,Table1[[#This Row],[Direction]],
IF(_xlpm.dir="R",
    IF(F641+Table1[[#This Row],[Steps]]&gt;99,(F641+Table1[[#This Row],[Steps]])-100,F641+Table1[[#This Row],[Steps]]),
))</f>
        <v>0</v>
      </c>
      <c r="F642">
        <f>IF(Table1[[#This Row],[New Pos L]]&lt;&gt;0,Table1[[#This Row],[New Pos L]],Table1[[#This Row],[New Pos R]])</f>
        <v>0</v>
      </c>
    </row>
    <row r="643" spans="1:6" ht="16" x14ac:dyDescent="0.2">
      <c r="A643" s="1" t="s">
        <v>186</v>
      </c>
      <c r="B643" t="str">
        <f>LEFT(Table1[[#This Row],[Input]],1)</f>
        <v>L</v>
      </c>
      <c r="C643">
        <f>_xlfn.LET(_xlpm.steps,SUBSTITUTE(Table1[[#This Row],[Input]],Table1[[#This Row],[Direction]],""),VALUE(IF(LEN(_xlpm.steps)&gt;2,RIGHT(_xlpm.steps,2),_xlpm.steps)))</f>
        <v>84</v>
      </c>
      <c r="D643">
        <f>_xlfn.LET(_xlpm.dir,Table1[[#This Row],[Direction]],
IF(_xlpm.dir="L",
    IF(F642-Table1[[#This Row],[Steps]]&lt;0,100+(F642-Table1[[#This Row],[Steps]]),F642-Table1[[#This Row],[Steps]]),
))</f>
        <v>16</v>
      </c>
      <c r="E643">
        <f>_xlfn.LET(_xlpm.dir,Table1[[#This Row],[Direction]],
IF(_xlpm.dir="R",
    IF(F642+Table1[[#This Row],[Steps]]&gt;99,(F642+Table1[[#This Row],[Steps]])-100,F642+Table1[[#This Row],[Steps]]),
))</f>
        <v>0</v>
      </c>
      <c r="F643">
        <f>IF(Table1[[#This Row],[New Pos L]]&lt;&gt;0,Table1[[#This Row],[New Pos L]],Table1[[#This Row],[New Pos R]])</f>
        <v>16</v>
      </c>
    </row>
    <row r="644" spans="1:6" ht="16" x14ac:dyDescent="0.2">
      <c r="A644" s="1" t="s">
        <v>254</v>
      </c>
      <c r="B644" t="str">
        <f>LEFT(Table1[[#This Row],[Input]],1)</f>
        <v>R</v>
      </c>
      <c r="C644">
        <f>_xlfn.LET(_xlpm.steps,SUBSTITUTE(Table1[[#This Row],[Input]],Table1[[#This Row],[Direction]],""),VALUE(IF(LEN(_xlpm.steps)&gt;2,RIGHT(_xlpm.steps,2),_xlpm.steps)))</f>
        <v>84</v>
      </c>
      <c r="D644">
        <f>_xlfn.LET(_xlpm.dir,Table1[[#This Row],[Direction]],
IF(_xlpm.dir="L",
    IF(F643-Table1[[#This Row],[Steps]]&lt;0,100+(F643-Table1[[#This Row],[Steps]]),F643-Table1[[#This Row],[Steps]]),
))</f>
        <v>0</v>
      </c>
      <c r="E644">
        <f>_xlfn.LET(_xlpm.dir,Table1[[#This Row],[Direction]],
IF(_xlpm.dir="R",
    IF(F643+Table1[[#This Row],[Steps]]&gt;99,(F643+Table1[[#This Row],[Steps]])-100,F643+Table1[[#This Row],[Steps]]),
))</f>
        <v>0</v>
      </c>
      <c r="F644">
        <f>IF(Table1[[#This Row],[New Pos L]]&lt;&gt;0,Table1[[#This Row],[New Pos L]],Table1[[#This Row],[New Pos R]])</f>
        <v>0</v>
      </c>
    </row>
    <row r="645" spans="1:6" ht="16" x14ac:dyDescent="0.2">
      <c r="A645" s="1" t="s">
        <v>267</v>
      </c>
      <c r="B645" t="str">
        <f>LEFT(Table1[[#This Row],[Input]],1)</f>
        <v>L</v>
      </c>
      <c r="C645">
        <f>_xlfn.LET(_xlpm.steps,SUBSTITUTE(Table1[[#This Row],[Input]],Table1[[#This Row],[Direction]],""),VALUE(IF(LEN(_xlpm.steps)&gt;2,RIGHT(_xlpm.steps,2),_xlpm.steps)))</f>
        <v>39</v>
      </c>
      <c r="D645">
        <f>_xlfn.LET(_xlpm.dir,Table1[[#This Row],[Direction]],
IF(_xlpm.dir="L",
    IF(F644-Table1[[#This Row],[Steps]]&lt;0,100+(F644-Table1[[#This Row],[Steps]]),F644-Table1[[#This Row],[Steps]]),
))</f>
        <v>61</v>
      </c>
      <c r="E645">
        <f>_xlfn.LET(_xlpm.dir,Table1[[#This Row],[Direction]],
IF(_xlpm.dir="R",
    IF(F644+Table1[[#This Row],[Steps]]&gt;99,(F644+Table1[[#This Row],[Steps]])-100,F644+Table1[[#This Row],[Steps]]),
))</f>
        <v>0</v>
      </c>
      <c r="F645">
        <f>IF(Table1[[#This Row],[New Pos L]]&lt;&gt;0,Table1[[#This Row],[New Pos L]],Table1[[#This Row],[New Pos R]])</f>
        <v>61</v>
      </c>
    </row>
    <row r="646" spans="1:6" ht="16" x14ac:dyDescent="0.2">
      <c r="A646" s="1" t="s">
        <v>140</v>
      </c>
      <c r="B646" t="str">
        <f>LEFT(Table1[[#This Row],[Input]],1)</f>
        <v>L</v>
      </c>
      <c r="C646">
        <f>_xlfn.LET(_xlpm.steps,SUBSTITUTE(Table1[[#This Row],[Input]],Table1[[#This Row],[Direction]],""),VALUE(IF(LEN(_xlpm.steps)&gt;2,RIGHT(_xlpm.steps,2),_xlpm.steps)))</f>
        <v>61</v>
      </c>
      <c r="D646">
        <f>_xlfn.LET(_xlpm.dir,Table1[[#This Row],[Direction]],
IF(_xlpm.dir="L",
    IF(F645-Table1[[#This Row],[Steps]]&lt;0,100+(F645-Table1[[#This Row],[Steps]]),F645-Table1[[#This Row],[Steps]]),
))</f>
        <v>0</v>
      </c>
      <c r="E646">
        <f>_xlfn.LET(_xlpm.dir,Table1[[#This Row],[Direction]],
IF(_xlpm.dir="R",
    IF(F645+Table1[[#This Row],[Steps]]&gt;99,(F645+Table1[[#This Row],[Steps]])-100,F645+Table1[[#This Row],[Steps]]),
))</f>
        <v>0</v>
      </c>
      <c r="F646">
        <f>IF(Table1[[#This Row],[New Pos L]]&lt;&gt;0,Table1[[#This Row],[New Pos L]],Table1[[#This Row],[New Pos R]])</f>
        <v>0</v>
      </c>
    </row>
    <row r="647" spans="1:6" ht="16" x14ac:dyDescent="0.2">
      <c r="A647" s="1" t="s">
        <v>38</v>
      </c>
      <c r="B647" t="str">
        <f>LEFT(Table1[[#This Row],[Input]],1)</f>
        <v>R</v>
      </c>
      <c r="C647">
        <f>_xlfn.LET(_xlpm.steps,SUBSTITUTE(Table1[[#This Row],[Input]],Table1[[#This Row],[Direction]],""),VALUE(IF(LEN(_xlpm.steps)&gt;2,RIGHT(_xlpm.steps,2),_xlpm.steps)))</f>
        <v>15</v>
      </c>
      <c r="D647">
        <f>_xlfn.LET(_xlpm.dir,Table1[[#This Row],[Direction]],
IF(_xlpm.dir="L",
    IF(F646-Table1[[#This Row],[Steps]]&lt;0,100+(F646-Table1[[#This Row],[Steps]]),F646-Table1[[#This Row],[Steps]]),
))</f>
        <v>0</v>
      </c>
      <c r="E647">
        <f>_xlfn.LET(_xlpm.dir,Table1[[#This Row],[Direction]],
IF(_xlpm.dir="R",
    IF(F646+Table1[[#This Row],[Steps]]&gt;99,(F646+Table1[[#This Row],[Steps]])-100,F646+Table1[[#This Row],[Steps]]),
))</f>
        <v>15</v>
      </c>
      <c r="F647">
        <f>IF(Table1[[#This Row],[New Pos L]]&lt;&gt;0,Table1[[#This Row],[New Pos L]],Table1[[#This Row],[New Pos R]])</f>
        <v>15</v>
      </c>
    </row>
    <row r="648" spans="1:6" ht="16" x14ac:dyDescent="0.2">
      <c r="A648" s="1" t="s">
        <v>34</v>
      </c>
      <c r="B648" t="str">
        <f>LEFT(Table1[[#This Row],[Input]],1)</f>
        <v>L</v>
      </c>
      <c r="C648">
        <f>_xlfn.LET(_xlpm.steps,SUBSTITUTE(Table1[[#This Row],[Input]],Table1[[#This Row],[Direction]],""),VALUE(IF(LEN(_xlpm.steps)&gt;2,RIGHT(_xlpm.steps,2),_xlpm.steps)))</f>
        <v>15</v>
      </c>
      <c r="D648">
        <f>_xlfn.LET(_xlpm.dir,Table1[[#This Row],[Direction]],
IF(_xlpm.dir="L",
    IF(F647-Table1[[#This Row],[Steps]]&lt;0,100+(F647-Table1[[#This Row],[Steps]]),F647-Table1[[#This Row],[Steps]]),
))</f>
        <v>0</v>
      </c>
      <c r="E648">
        <f>_xlfn.LET(_xlpm.dir,Table1[[#This Row],[Direction]],
IF(_xlpm.dir="R",
    IF(F647+Table1[[#This Row],[Steps]]&gt;99,(F647+Table1[[#This Row],[Steps]])-100,F647+Table1[[#This Row],[Steps]]),
))</f>
        <v>0</v>
      </c>
      <c r="F648">
        <f>IF(Table1[[#This Row],[New Pos L]]&lt;&gt;0,Table1[[#This Row],[New Pos L]],Table1[[#This Row],[New Pos R]])</f>
        <v>0</v>
      </c>
    </row>
    <row r="649" spans="1:6" ht="16" x14ac:dyDescent="0.2">
      <c r="A649" s="1" t="s">
        <v>286</v>
      </c>
      <c r="B649" t="str">
        <f>LEFT(Table1[[#This Row],[Input]],1)</f>
        <v>L</v>
      </c>
      <c r="C649">
        <f>_xlfn.LET(_xlpm.steps,SUBSTITUTE(Table1[[#This Row],[Input]],Table1[[#This Row],[Direction]],""),VALUE(IF(LEN(_xlpm.steps)&gt;2,RIGHT(_xlpm.steps,2),_xlpm.steps)))</f>
        <v>53</v>
      </c>
      <c r="D649">
        <f>_xlfn.LET(_xlpm.dir,Table1[[#This Row],[Direction]],
IF(_xlpm.dir="L",
    IF(F648-Table1[[#This Row],[Steps]]&lt;0,100+(F648-Table1[[#This Row],[Steps]]),F648-Table1[[#This Row],[Steps]]),
))</f>
        <v>47</v>
      </c>
      <c r="E649">
        <f>_xlfn.LET(_xlpm.dir,Table1[[#This Row],[Direction]],
IF(_xlpm.dir="R",
    IF(F648+Table1[[#This Row],[Steps]]&gt;99,(F648+Table1[[#This Row],[Steps]])-100,F648+Table1[[#This Row],[Steps]]),
))</f>
        <v>0</v>
      </c>
      <c r="F649">
        <f>IF(Table1[[#This Row],[New Pos L]]&lt;&gt;0,Table1[[#This Row],[New Pos L]],Table1[[#This Row],[New Pos R]])</f>
        <v>47</v>
      </c>
    </row>
    <row r="650" spans="1:6" ht="16" x14ac:dyDescent="0.2">
      <c r="A650" s="1" t="s">
        <v>287</v>
      </c>
      <c r="B650" t="str">
        <f>LEFT(Table1[[#This Row],[Input]],1)</f>
        <v>L</v>
      </c>
      <c r="C650">
        <f>_xlfn.LET(_xlpm.steps,SUBSTITUTE(Table1[[#This Row],[Input]],Table1[[#This Row],[Direction]],""),VALUE(IF(LEN(_xlpm.steps)&gt;2,RIGHT(_xlpm.steps,2),_xlpm.steps)))</f>
        <v>78</v>
      </c>
      <c r="D650">
        <f>_xlfn.LET(_xlpm.dir,Table1[[#This Row],[Direction]],
IF(_xlpm.dir="L",
    IF(F649-Table1[[#This Row],[Steps]]&lt;0,100+(F649-Table1[[#This Row],[Steps]]),F649-Table1[[#This Row],[Steps]]),
))</f>
        <v>69</v>
      </c>
      <c r="E650">
        <f>_xlfn.LET(_xlpm.dir,Table1[[#This Row],[Direction]],
IF(_xlpm.dir="R",
    IF(F649+Table1[[#This Row],[Steps]]&gt;99,(F649+Table1[[#This Row],[Steps]])-100,F649+Table1[[#This Row],[Steps]]),
))</f>
        <v>0</v>
      </c>
      <c r="F650">
        <f>IF(Table1[[#This Row],[New Pos L]]&lt;&gt;0,Table1[[#This Row],[New Pos L]],Table1[[#This Row],[New Pos R]])</f>
        <v>69</v>
      </c>
    </row>
    <row r="651" spans="1:6" ht="16" x14ac:dyDescent="0.2">
      <c r="A651" s="1" t="s">
        <v>5</v>
      </c>
      <c r="B651" t="str">
        <f>LEFT(Table1[[#This Row],[Input]],1)</f>
        <v>R</v>
      </c>
      <c r="C651">
        <f>_xlfn.LET(_xlpm.steps,SUBSTITUTE(Table1[[#This Row],[Input]],Table1[[#This Row],[Direction]],""),VALUE(IF(LEN(_xlpm.steps)&gt;2,RIGHT(_xlpm.steps,2),_xlpm.steps)))</f>
        <v>1</v>
      </c>
      <c r="D651">
        <f>_xlfn.LET(_xlpm.dir,Table1[[#This Row],[Direction]],
IF(_xlpm.dir="L",
    IF(F650-Table1[[#This Row],[Steps]]&lt;0,100+(F650-Table1[[#This Row],[Steps]]),F650-Table1[[#This Row],[Steps]]),
))</f>
        <v>0</v>
      </c>
      <c r="E651">
        <f>_xlfn.LET(_xlpm.dir,Table1[[#This Row],[Direction]],
IF(_xlpm.dir="R",
    IF(F650+Table1[[#This Row],[Steps]]&gt;99,(F650+Table1[[#This Row],[Steps]])-100,F650+Table1[[#This Row],[Steps]]),
))</f>
        <v>70</v>
      </c>
      <c r="F651">
        <f>IF(Table1[[#This Row],[New Pos L]]&lt;&gt;0,Table1[[#This Row],[New Pos L]],Table1[[#This Row],[New Pos R]])</f>
        <v>70</v>
      </c>
    </row>
    <row r="652" spans="1:6" ht="16" x14ac:dyDescent="0.2">
      <c r="A652" s="1" t="s">
        <v>264</v>
      </c>
      <c r="B652" t="str">
        <f>LEFT(Table1[[#This Row],[Input]],1)</f>
        <v>L</v>
      </c>
      <c r="C652">
        <f>_xlfn.LET(_xlpm.steps,SUBSTITUTE(Table1[[#This Row],[Input]],Table1[[#This Row],[Direction]],""),VALUE(IF(LEN(_xlpm.steps)&gt;2,RIGHT(_xlpm.steps,2),_xlpm.steps)))</f>
        <v>21</v>
      </c>
      <c r="D652">
        <f>_xlfn.LET(_xlpm.dir,Table1[[#This Row],[Direction]],
IF(_xlpm.dir="L",
    IF(F651-Table1[[#This Row],[Steps]]&lt;0,100+(F651-Table1[[#This Row],[Steps]]),F651-Table1[[#This Row],[Steps]]),
))</f>
        <v>49</v>
      </c>
      <c r="E652">
        <f>_xlfn.LET(_xlpm.dir,Table1[[#This Row],[Direction]],
IF(_xlpm.dir="R",
    IF(F651+Table1[[#This Row],[Steps]]&gt;99,(F651+Table1[[#This Row],[Steps]])-100,F651+Table1[[#This Row],[Steps]]),
))</f>
        <v>0</v>
      </c>
      <c r="F652">
        <f>IF(Table1[[#This Row],[New Pos L]]&lt;&gt;0,Table1[[#This Row],[New Pos L]],Table1[[#This Row],[New Pos R]])</f>
        <v>49</v>
      </c>
    </row>
    <row r="653" spans="1:6" ht="16" x14ac:dyDescent="0.2">
      <c r="A653" s="1" t="s">
        <v>26</v>
      </c>
      <c r="B653" t="str">
        <f>LEFT(Table1[[#This Row],[Input]],1)</f>
        <v>R</v>
      </c>
      <c r="C653">
        <f>_xlfn.LET(_xlpm.steps,SUBSTITUTE(Table1[[#This Row],[Input]],Table1[[#This Row],[Direction]],""),VALUE(IF(LEN(_xlpm.steps)&gt;2,RIGHT(_xlpm.steps,2),_xlpm.steps)))</f>
        <v>6</v>
      </c>
      <c r="D653">
        <f>_xlfn.LET(_xlpm.dir,Table1[[#This Row],[Direction]],
IF(_xlpm.dir="L",
    IF(F652-Table1[[#This Row],[Steps]]&lt;0,100+(F652-Table1[[#This Row],[Steps]]),F652-Table1[[#This Row],[Steps]]),
))</f>
        <v>0</v>
      </c>
      <c r="E653">
        <f>_xlfn.LET(_xlpm.dir,Table1[[#This Row],[Direction]],
IF(_xlpm.dir="R",
    IF(F652+Table1[[#This Row],[Steps]]&gt;99,(F652+Table1[[#This Row],[Steps]])-100,F652+Table1[[#This Row],[Steps]]),
))</f>
        <v>55</v>
      </c>
      <c r="F653">
        <f>IF(Table1[[#This Row],[New Pos L]]&lt;&gt;0,Table1[[#This Row],[New Pos L]],Table1[[#This Row],[New Pos R]])</f>
        <v>55</v>
      </c>
    </row>
    <row r="654" spans="1:6" ht="16" x14ac:dyDescent="0.2">
      <c r="A654" s="1" t="s">
        <v>187</v>
      </c>
      <c r="B654" t="str">
        <f>LEFT(Table1[[#This Row],[Input]],1)</f>
        <v>R</v>
      </c>
      <c r="C654">
        <f>_xlfn.LET(_xlpm.steps,SUBSTITUTE(Table1[[#This Row],[Input]],Table1[[#This Row],[Direction]],""),VALUE(IF(LEN(_xlpm.steps)&gt;2,RIGHT(_xlpm.steps,2),_xlpm.steps)))</f>
        <v>20</v>
      </c>
      <c r="D654">
        <f>_xlfn.LET(_xlpm.dir,Table1[[#This Row],[Direction]],
IF(_xlpm.dir="L",
    IF(F653-Table1[[#This Row],[Steps]]&lt;0,100+(F653-Table1[[#This Row],[Steps]]),F653-Table1[[#This Row],[Steps]]),
))</f>
        <v>0</v>
      </c>
      <c r="E654">
        <f>_xlfn.LET(_xlpm.dir,Table1[[#This Row],[Direction]],
IF(_xlpm.dir="R",
    IF(F653+Table1[[#This Row],[Steps]]&gt;99,(F653+Table1[[#This Row],[Steps]])-100,F653+Table1[[#This Row],[Steps]]),
))</f>
        <v>75</v>
      </c>
      <c r="F654">
        <f>IF(Table1[[#This Row],[New Pos L]]&lt;&gt;0,Table1[[#This Row],[New Pos L]],Table1[[#This Row],[New Pos R]])</f>
        <v>75</v>
      </c>
    </row>
    <row r="655" spans="1:6" ht="16" x14ac:dyDescent="0.2">
      <c r="A655" s="1" t="s">
        <v>288</v>
      </c>
      <c r="B655" t="str">
        <f>LEFT(Table1[[#This Row],[Input]],1)</f>
        <v>R</v>
      </c>
      <c r="C655">
        <f>_xlfn.LET(_xlpm.steps,SUBSTITUTE(Table1[[#This Row],[Input]],Table1[[#This Row],[Direction]],""),VALUE(IF(LEN(_xlpm.steps)&gt;2,RIGHT(_xlpm.steps,2),_xlpm.steps)))</f>
        <v>25</v>
      </c>
      <c r="D655">
        <f>_xlfn.LET(_xlpm.dir,Table1[[#This Row],[Direction]],
IF(_xlpm.dir="L",
    IF(F654-Table1[[#This Row],[Steps]]&lt;0,100+(F654-Table1[[#This Row],[Steps]]),F654-Table1[[#This Row],[Steps]]),
))</f>
        <v>0</v>
      </c>
      <c r="E655">
        <f>_xlfn.LET(_xlpm.dir,Table1[[#This Row],[Direction]],
IF(_xlpm.dir="R",
    IF(F654+Table1[[#This Row],[Steps]]&gt;99,(F654+Table1[[#This Row],[Steps]])-100,F654+Table1[[#This Row],[Steps]]),
))</f>
        <v>0</v>
      </c>
      <c r="F655">
        <f>IF(Table1[[#This Row],[New Pos L]]&lt;&gt;0,Table1[[#This Row],[New Pos L]],Table1[[#This Row],[New Pos R]])</f>
        <v>0</v>
      </c>
    </row>
    <row r="656" spans="1:6" ht="16" x14ac:dyDescent="0.2">
      <c r="A656" s="1" t="s">
        <v>264</v>
      </c>
      <c r="B656" t="str">
        <f>LEFT(Table1[[#This Row],[Input]],1)</f>
        <v>L</v>
      </c>
      <c r="C656">
        <f>_xlfn.LET(_xlpm.steps,SUBSTITUTE(Table1[[#This Row],[Input]],Table1[[#This Row],[Direction]],""),VALUE(IF(LEN(_xlpm.steps)&gt;2,RIGHT(_xlpm.steps,2),_xlpm.steps)))</f>
        <v>21</v>
      </c>
      <c r="D656">
        <f>_xlfn.LET(_xlpm.dir,Table1[[#This Row],[Direction]],
IF(_xlpm.dir="L",
    IF(F655-Table1[[#This Row],[Steps]]&lt;0,100+(F655-Table1[[#This Row],[Steps]]),F655-Table1[[#This Row],[Steps]]),
))</f>
        <v>79</v>
      </c>
      <c r="E656">
        <f>_xlfn.LET(_xlpm.dir,Table1[[#This Row],[Direction]],
IF(_xlpm.dir="R",
    IF(F655+Table1[[#This Row],[Steps]]&gt;99,(F655+Table1[[#This Row],[Steps]])-100,F655+Table1[[#This Row],[Steps]]),
))</f>
        <v>0</v>
      </c>
      <c r="F656">
        <f>IF(Table1[[#This Row],[New Pos L]]&lt;&gt;0,Table1[[#This Row],[New Pos L]],Table1[[#This Row],[New Pos R]])</f>
        <v>79</v>
      </c>
    </row>
    <row r="657" spans="1:6" ht="16" x14ac:dyDescent="0.2">
      <c r="A657" s="1" t="s">
        <v>289</v>
      </c>
      <c r="B657" t="str">
        <f>LEFT(Table1[[#This Row],[Input]],1)</f>
        <v>R</v>
      </c>
      <c r="C657">
        <f>_xlfn.LET(_xlpm.steps,SUBSTITUTE(Table1[[#This Row],[Input]],Table1[[#This Row],[Direction]],""),VALUE(IF(LEN(_xlpm.steps)&gt;2,RIGHT(_xlpm.steps,2),_xlpm.steps)))</f>
        <v>21</v>
      </c>
      <c r="D657">
        <f>_xlfn.LET(_xlpm.dir,Table1[[#This Row],[Direction]],
IF(_xlpm.dir="L",
    IF(F656-Table1[[#This Row],[Steps]]&lt;0,100+(F656-Table1[[#This Row],[Steps]]),F656-Table1[[#This Row],[Steps]]),
))</f>
        <v>0</v>
      </c>
      <c r="E657">
        <f>_xlfn.LET(_xlpm.dir,Table1[[#This Row],[Direction]],
IF(_xlpm.dir="R",
    IF(F656+Table1[[#This Row],[Steps]]&gt;99,(F656+Table1[[#This Row],[Steps]])-100,F656+Table1[[#This Row],[Steps]]),
))</f>
        <v>0</v>
      </c>
      <c r="F657">
        <f>IF(Table1[[#This Row],[New Pos L]]&lt;&gt;0,Table1[[#This Row],[New Pos L]],Table1[[#This Row],[New Pos R]])</f>
        <v>0</v>
      </c>
    </row>
    <row r="658" spans="1:6" ht="16" x14ac:dyDescent="0.2">
      <c r="A658" s="1" t="s">
        <v>290</v>
      </c>
      <c r="B658" t="str">
        <f>LEFT(Table1[[#This Row],[Input]],1)</f>
        <v>R</v>
      </c>
      <c r="C658">
        <f>_xlfn.LET(_xlpm.steps,SUBSTITUTE(Table1[[#This Row],[Input]],Table1[[#This Row],[Direction]],""),VALUE(IF(LEN(_xlpm.steps)&gt;2,RIGHT(_xlpm.steps,2),_xlpm.steps)))</f>
        <v>7</v>
      </c>
      <c r="D658">
        <f>_xlfn.LET(_xlpm.dir,Table1[[#This Row],[Direction]],
IF(_xlpm.dir="L",
    IF(F657-Table1[[#This Row],[Steps]]&lt;0,100+(F657-Table1[[#This Row],[Steps]]),F657-Table1[[#This Row],[Steps]]),
))</f>
        <v>0</v>
      </c>
      <c r="E658">
        <f>_xlfn.LET(_xlpm.dir,Table1[[#This Row],[Direction]],
IF(_xlpm.dir="R",
    IF(F657+Table1[[#This Row],[Steps]]&gt;99,(F657+Table1[[#This Row],[Steps]])-100,F657+Table1[[#This Row],[Steps]]),
))</f>
        <v>7</v>
      </c>
      <c r="F658">
        <f>IF(Table1[[#This Row],[New Pos L]]&lt;&gt;0,Table1[[#This Row],[New Pos L]],Table1[[#This Row],[New Pos R]])</f>
        <v>7</v>
      </c>
    </row>
    <row r="659" spans="1:6" ht="16" x14ac:dyDescent="0.2">
      <c r="A659" s="1" t="s">
        <v>19</v>
      </c>
      <c r="B659" t="str">
        <f>LEFT(Table1[[#This Row],[Input]],1)</f>
        <v>R</v>
      </c>
      <c r="C659">
        <f>_xlfn.LET(_xlpm.steps,SUBSTITUTE(Table1[[#This Row],[Input]],Table1[[#This Row],[Direction]],""),VALUE(IF(LEN(_xlpm.steps)&gt;2,RIGHT(_xlpm.steps,2),_xlpm.steps)))</f>
        <v>47</v>
      </c>
      <c r="D659">
        <f>_xlfn.LET(_xlpm.dir,Table1[[#This Row],[Direction]],
IF(_xlpm.dir="L",
    IF(F658-Table1[[#This Row],[Steps]]&lt;0,100+(F658-Table1[[#This Row],[Steps]]),F658-Table1[[#This Row],[Steps]]),
))</f>
        <v>0</v>
      </c>
      <c r="E659">
        <f>_xlfn.LET(_xlpm.dir,Table1[[#This Row],[Direction]],
IF(_xlpm.dir="R",
    IF(F658+Table1[[#This Row],[Steps]]&gt;99,(F658+Table1[[#This Row],[Steps]])-100,F658+Table1[[#This Row],[Steps]]),
))</f>
        <v>54</v>
      </c>
      <c r="F659">
        <f>IF(Table1[[#This Row],[New Pos L]]&lt;&gt;0,Table1[[#This Row],[New Pos L]],Table1[[#This Row],[New Pos R]])</f>
        <v>54</v>
      </c>
    </row>
    <row r="660" spans="1:6" ht="16" x14ac:dyDescent="0.2">
      <c r="A660" s="1" t="s">
        <v>179</v>
      </c>
      <c r="B660" t="str">
        <f>LEFT(Table1[[#This Row],[Input]],1)</f>
        <v>L</v>
      </c>
      <c r="C660">
        <f>_xlfn.LET(_xlpm.steps,SUBSTITUTE(Table1[[#This Row],[Input]],Table1[[#This Row],[Direction]],""),VALUE(IF(LEN(_xlpm.steps)&gt;2,RIGHT(_xlpm.steps,2),_xlpm.steps)))</f>
        <v>54</v>
      </c>
      <c r="D660">
        <f>_xlfn.LET(_xlpm.dir,Table1[[#This Row],[Direction]],
IF(_xlpm.dir="L",
    IF(F659-Table1[[#This Row],[Steps]]&lt;0,100+(F659-Table1[[#This Row],[Steps]]),F659-Table1[[#This Row],[Steps]]),
))</f>
        <v>0</v>
      </c>
      <c r="E660">
        <f>_xlfn.LET(_xlpm.dir,Table1[[#This Row],[Direction]],
IF(_xlpm.dir="R",
    IF(F659+Table1[[#This Row],[Steps]]&gt;99,(F659+Table1[[#This Row],[Steps]])-100,F659+Table1[[#This Row],[Steps]]),
))</f>
        <v>0</v>
      </c>
      <c r="F660">
        <f>IF(Table1[[#This Row],[New Pos L]]&lt;&gt;0,Table1[[#This Row],[New Pos L]],Table1[[#This Row],[New Pos R]])</f>
        <v>0</v>
      </c>
    </row>
    <row r="661" spans="1:6" ht="16" x14ac:dyDescent="0.2">
      <c r="A661" s="1" t="s">
        <v>255</v>
      </c>
      <c r="B661" t="str">
        <f>LEFT(Table1[[#This Row],[Input]],1)</f>
        <v>R</v>
      </c>
      <c r="C661">
        <f>_xlfn.LET(_xlpm.steps,SUBSTITUTE(Table1[[#This Row],[Input]],Table1[[#This Row],[Direction]],""),VALUE(IF(LEN(_xlpm.steps)&gt;2,RIGHT(_xlpm.steps,2),_xlpm.steps)))</f>
        <v>16</v>
      </c>
      <c r="D661">
        <f>_xlfn.LET(_xlpm.dir,Table1[[#This Row],[Direction]],
IF(_xlpm.dir="L",
    IF(F660-Table1[[#This Row],[Steps]]&lt;0,100+(F660-Table1[[#This Row],[Steps]]),F660-Table1[[#This Row],[Steps]]),
))</f>
        <v>0</v>
      </c>
      <c r="E661">
        <f>_xlfn.LET(_xlpm.dir,Table1[[#This Row],[Direction]],
IF(_xlpm.dir="R",
    IF(F660+Table1[[#This Row],[Steps]]&gt;99,(F660+Table1[[#This Row],[Steps]])-100,F660+Table1[[#This Row],[Steps]]),
))</f>
        <v>16</v>
      </c>
      <c r="F661">
        <f>IF(Table1[[#This Row],[New Pos L]]&lt;&gt;0,Table1[[#This Row],[New Pos L]],Table1[[#This Row],[New Pos R]])</f>
        <v>16</v>
      </c>
    </row>
    <row r="662" spans="1:6" ht="16" x14ac:dyDescent="0.2">
      <c r="A662" s="1" t="s">
        <v>61</v>
      </c>
      <c r="B662" t="str">
        <f>LEFT(Table1[[#This Row],[Input]],1)</f>
        <v>L</v>
      </c>
      <c r="C662">
        <f>_xlfn.LET(_xlpm.steps,SUBSTITUTE(Table1[[#This Row],[Input]],Table1[[#This Row],[Direction]],""),VALUE(IF(LEN(_xlpm.steps)&gt;2,RIGHT(_xlpm.steps,2),_xlpm.steps)))</f>
        <v>16</v>
      </c>
      <c r="D662">
        <f>_xlfn.LET(_xlpm.dir,Table1[[#This Row],[Direction]],
IF(_xlpm.dir="L",
    IF(F661-Table1[[#This Row],[Steps]]&lt;0,100+(F661-Table1[[#This Row],[Steps]]),F661-Table1[[#This Row],[Steps]]),
))</f>
        <v>0</v>
      </c>
      <c r="E662">
        <f>_xlfn.LET(_xlpm.dir,Table1[[#This Row],[Direction]],
IF(_xlpm.dir="R",
    IF(F661+Table1[[#This Row],[Steps]]&gt;99,(F661+Table1[[#This Row],[Steps]])-100,F661+Table1[[#This Row],[Steps]]),
))</f>
        <v>0</v>
      </c>
      <c r="F662">
        <f>IF(Table1[[#This Row],[New Pos L]]&lt;&gt;0,Table1[[#This Row],[New Pos L]],Table1[[#This Row],[New Pos R]])</f>
        <v>0</v>
      </c>
    </row>
    <row r="663" spans="1:6" ht="16" x14ac:dyDescent="0.2">
      <c r="A663" s="1" t="s">
        <v>139</v>
      </c>
      <c r="B663" t="str">
        <f>LEFT(Table1[[#This Row],[Input]],1)</f>
        <v>R</v>
      </c>
      <c r="C663">
        <f>_xlfn.LET(_xlpm.steps,SUBSTITUTE(Table1[[#This Row],[Input]],Table1[[#This Row],[Direction]],""),VALUE(IF(LEN(_xlpm.steps)&gt;2,RIGHT(_xlpm.steps,2),_xlpm.steps)))</f>
        <v>38</v>
      </c>
      <c r="D663">
        <f>_xlfn.LET(_xlpm.dir,Table1[[#This Row],[Direction]],
IF(_xlpm.dir="L",
    IF(F662-Table1[[#This Row],[Steps]]&lt;0,100+(F662-Table1[[#This Row],[Steps]]),F662-Table1[[#This Row],[Steps]]),
))</f>
        <v>0</v>
      </c>
      <c r="E663">
        <f>_xlfn.LET(_xlpm.dir,Table1[[#This Row],[Direction]],
IF(_xlpm.dir="R",
    IF(F662+Table1[[#This Row],[Steps]]&gt;99,(F662+Table1[[#This Row],[Steps]])-100,F662+Table1[[#This Row],[Steps]]),
))</f>
        <v>38</v>
      </c>
      <c r="F663">
        <f>IF(Table1[[#This Row],[New Pos L]]&lt;&gt;0,Table1[[#This Row],[New Pos L]],Table1[[#This Row],[New Pos R]])</f>
        <v>38</v>
      </c>
    </row>
    <row r="664" spans="1:6" ht="16" x14ac:dyDescent="0.2">
      <c r="A664" s="1" t="s">
        <v>291</v>
      </c>
      <c r="B664" t="str">
        <f>LEFT(Table1[[#This Row],[Input]],1)</f>
        <v>L</v>
      </c>
      <c r="C664">
        <f>_xlfn.LET(_xlpm.steps,SUBSTITUTE(Table1[[#This Row],[Input]],Table1[[#This Row],[Direction]],""),VALUE(IF(LEN(_xlpm.steps)&gt;2,RIGHT(_xlpm.steps,2),_xlpm.steps)))</f>
        <v>51</v>
      </c>
      <c r="D664">
        <f>_xlfn.LET(_xlpm.dir,Table1[[#This Row],[Direction]],
IF(_xlpm.dir="L",
    IF(F663-Table1[[#This Row],[Steps]]&lt;0,100+(F663-Table1[[#This Row],[Steps]]),F663-Table1[[#This Row],[Steps]]),
))</f>
        <v>87</v>
      </c>
      <c r="E664">
        <f>_xlfn.LET(_xlpm.dir,Table1[[#This Row],[Direction]],
IF(_xlpm.dir="R",
    IF(F663+Table1[[#This Row],[Steps]]&gt;99,(F663+Table1[[#This Row],[Steps]])-100,F663+Table1[[#This Row],[Steps]]),
))</f>
        <v>0</v>
      </c>
      <c r="F664">
        <f>IF(Table1[[#This Row],[New Pos L]]&lt;&gt;0,Table1[[#This Row],[New Pos L]],Table1[[#This Row],[New Pos R]])</f>
        <v>87</v>
      </c>
    </row>
    <row r="665" spans="1:6" ht="16" x14ac:dyDescent="0.2">
      <c r="A665" s="1" t="s">
        <v>292</v>
      </c>
      <c r="B665" t="str">
        <f>LEFT(Table1[[#This Row],[Input]],1)</f>
        <v>L</v>
      </c>
      <c r="C665">
        <f>_xlfn.LET(_xlpm.steps,SUBSTITUTE(Table1[[#This Row],[Input]],Table1[[#This Row],[Direction]],""),VALUE(IF(LEN(_xlpm.steps)&gt;2,RIGHT(_xlpm.steps,2),_xlpm.steps)))</f>
        <v>88</v>
      </c>
      <c r="D665">
        <f>_xlfn.LET(_xlpm.dir,Table1[[#This Row],[Direction]],
IF(_xlpm.dir="L",
    IF(F664-Table1[[#This Row],[Steps]]&lt;0,100+(F664-Table1[[#This Row],[Steps]]),F664-Table1[[#This Row],[Steps]]),
))</f>
        <v>99</v>
      </c>
      <c r="E665">
        <f>_xlfn.LET(_xlpm.dir,Table1[[#This Row],[Direction]],
IF(_xlpm.dir="R",
    IF(F664+Table1[[#This Row],[Steps]]&gt;99,(F664+Table1[[#This Row],[Steps]])-100,F664+Table1[[#This Row],[Steps]]),
))</f>
        <v>0</v>
      </c>
      <c r="F665">
        <f>IF(Table1[[#This Row],[New Pos L]]&lt;&gt;0,Table1[[#This Row],[New Pos L]],Table1[[#This Row],[New Pos R]])</f>
        <v>99</v>
      </c>
    </row>
    <row r="666" spans="1:6" ht="16" x14ac:dyDescent="0.2">
      <c r="A666" s="1" t="s">
        <v>201</v>
      </c>
      <c r="B666" t="str">
        <f>LEFT(Table1[[#This Row],[Input]],1)</f>
        <v>R</v>
      </c>
      <c r="C666">
        <f>_xlfn.LET(_xlpm.steps,SUBSTITUTE(Table1[[#This Row],[Input]],Table1[[#This Row],[Direction]],""),VALUE(IF(LEN(_xlpm.steps)&gt;2,RIGHT(_xlpm.steps,2),_xlpm.steps)))</f>
        <v>31</v>
      </c>
      <c r="D666">
        <f>_xlfn.LET(_xlpm.dir,Table1[[#This Row],[Direction]],
IF(_xlpm.dir="L",
    IF(F665-Table1[[#This Row],[Steps]]&lt;0,100+(F665-Table1[[#This Row],[Steps]]),F665-Table1[[#This Row],[Steps]]),
))</f>
        <v>0</v>
      </c>
      <c r="E666">
        <f>_xlfn.LET(_xlpm.dir,Table1[[#This Row],[Direction]],
IF(_xlpm.dir="R",
    IF(F665+Table1[[#This Row],[Steps]]&gt;99,(F665+Table1[[#This Row],[Steps]])-100,F665+Table1[[#This Row],[Steps]]),
))</f>
        <v>30</v>
      </c>
      <c r="F666">
        <f>IF(Table1[[#This Row],[New Pos L]]&lt;&gt;0,Table1[[#This Row],[New Pos L]],Table1[[#This Row],[New Pos R]])</f>
        <v>30</v>
      </c>
    </row>
    <row r="667" spans="1:6" ht="16" x14ac:dyDescent="0.2">
      <c r="A667" s="1" t="s">
        <v>114</v>
      </c>
      <c r="B667" t="str">
        <f>LEFT(Table1[[#This Row],[Input]],1)</f>
        <v>R</v>
      </c>
      <c r="C667">
        <f>_xlfn.LET(_xlpm.steps,SUBSTITUTE(Table1[[#This Row],[Input]],Table1[[#This Row],[Direction]],""),VALUE(IF(LEN(_xlpm.steps)&gt;2,RIGHT(_xlpm.steps,2),_xlpm.steps)))</f>
        <v>70</v>
      </c>
      <c r="D667">
        <f>_xlfn.LET(_xlpm.dir,Table1[[#This Row],[Direction]],
IF(_xlpm.dir="L",
    IF(F666-Table1[[#This Row],[Steps]]&lt;0,100+(F666-Table1[[#This Row],[Steps]]),F666-Table1[[#This Row],[Steps]]),
))</f>
        <v>0</v>
      </c>
      <c r="E667">
        <f>_xlfn.LET(_xlpm.dir,Table1[[#This Row],[Direction]],
IF(_xlpm.dir="R",
    IF(F666+Table1[[#This Row],[Steps]]&gt;99,(F666+Table1[[#This Row],[Steps]])-100,F666+Table1[[#This Row],[Steps]]),
))</f>
        <v>0</v>
      </c>
      <c r="F667">
        <f>IF(Table1[[#This Row],[New Pos L]]&lt;&gt;0,Table1[[#This Row],[New Pos L]],Table1[[#This Row],[New Pos R]])</f>
        <v>0</v>
      </c>
    </row>
    <row r="668" spans="1:6" ht="16" x14ac:dyDescent="0.2">
      <c r="A668" s="1" t="s">
        <v>1</v>
      </c>
      <c r="B668" t="str">
        <f>LEFT(Table1[[#This Row],[Input]],1)</f>
        <v>R</v>
      </c>
      <c r="C668">
        <f>_xlfn.LET(_xlpm.steps,SUBSTITUTE(Table1[[#This Row],[Input]],Table1[[#This Row],[Direction]],""),VALUE(IF(LEN(_xlpm.steps)&gt;2,RIGHT(_xlpm.steps,2),_xlpm.steps)))</f>
        <v>26</v>
      </c>
      <c r="D668">
        <f>_xlfn.LET(_xlpm.dir,Table1[[#This Row],[Direction]],
IF(_xlpm.dir="L",
    IF(F667-Table1[[#This Row],[Steps]]&lt;0,100+(F667-Table1[[#This Row],[Steps]]),F667-Table1[[#This Row],[Steps]]),
))</f>
        <v>0</v>
      </c>
      <c r="E668">
        <f>_xlfn.LET(_xlpm.dir,Table1[[#This Row],[Direction]],
IF(_xlpm.dir="R",
    IF(F667+Table1[[#This Row],[Steps]]&gt;99,(F667+Table1[[#This Row],[Steps]])-100,F667+Table1[[#This Row],[Steps]]),
))</f>
        <v>26</v>
      </c>
      <c r="F668">
        <f>IF(Table1[[#This Row],[New Pos L]]&lt;&gt;0,Table1[[#This Row],[New Pos L]],Table1[[#This Row],[New Pos R]])</f>
        <v>26</v>
      </c>
    </row>
    <row r="669" spans="1:6" ht="16" x14ac:dyDescent="0.2">
      <c r="A669" s="1" t="s">
        <v>3</v>
      </c>
      <c r="B669" t="str">
        <f>LEFT(Table1[[#This Row],[Input]],1)</f>
        <v>R</v>
      </c>
      <c r="C669">
        <f>_xlfn.LET(_xlpm.steps,SUBSTITUTE(Table1[[#This Row],[Input]],Table1[[#This Row],[Direction]],""),VALUE(IF(LEN(_xlpm.steps)&gt;2,RIGHT(_xlpm.steps,2),_xlpm.steps)))</f>
        <v>44</v>
      </c>
      <c r="D669">
        <f>_xlfn.LET(_xlpm.dir,Table1[[#This Row],[Direction]],
IF(_xlpm.dir="L",
    IF(F668-Table1[[#This Row],[Steps]]&lt;0,100+(F668-Table1[[#This Row],[Steps]]),F668-Table1[[#This Row],[Steps]]),
))</f>
        <v>0</v>
      </c>
      <c r="E669">
        <f>_xlfn.LET(_xlpm.dir,Table1[[#This Row],[Direction]],
IF(_xlpm.dir="R",
    IF(F668+Table1[[#This Row],[Steps]]&gt;99,(F668+Table1[[#This Row],[Steps]])-100,F668+Table1[[#This Row],[Steps]]),
))</f>
        <v>70</v>
      </c>
      <c r="F669">
        <f>IF(Table1[[#This Row],[New Pos L]]&lt;&gt;0,Table1[[#This Row],[New Pos L]],Table1[[#This Row],[New Pos R]])</f>
        <v>70</v>
      </c>
    </row>
    <row r="670" spans="1:6" ht="16" x14ac:dyDescent="0.2">
      <c r="A670" s="1" t="s">
        <v>28</v>
      </c>
      <c r="B670" t="str">
        <f>LEFT(Table1[[#This Row],[Input]],1)</f>
        <v>R</v>
      </c>
      <c r="C670">
        <f>_xlfn.LET(_xlpm.steps,SUBSTITUTE(Table1[[#This Row],[Input]],Table1[[#This Row],[Direction]],""),VALUE(IF(LEN(_xlpm.steps)&gt;2,RIGHT(_xlpm.steps,2),_xlpm.steps)))</f>
        <v>30</v>
      </c>
      <c r="D670">
        <f>_xlfn.LET(_xlpm.dir,Table1[[#This Row],[Direction]],
IF(_xlpm.dir="L",
    IF(F669-Table1[[#This Row],[Steps]]&lt;0,100+(F669-Table1[[#This Row],[Steps]]),F669-Table1[[#This Row],[Steps]]),
))</f>
        <v>0</v>
      </c>
      <c r="E670">
        <f>_xlfn.LET(_xlpm.dir,Table1[[#This Row],[Direction]],
IF(_xlpm.dir="R",
    IF(F669+Table1[[#This Row],[Steps]]&gt;99,(F669+Table1[[#This Row],[Steps]])-100,F669+Table1[[#This Row],[Steps]]),
))</f>
        <v>0</v>
      </c>
      <c r="F670">
        <f>IF(Table1[[#This Row],[New Pos L]]&lt;&gt;0,Table1[[#This Row],[New Pos L]],Table1[[#This Row],[New Pos R]])</f>
        <v>0</v>
      </c>
    </row>
    <row r="671" spans="1:6" ht="16" x14ac:dyDescent="0.2">
      <c r="A671" s="1" t="s">
        <v>293</v>
      </c>
      <c r="B671" t="str">
        <f>LEFT(Table1[[#This Row],[Input]],1)</f>
        <v>R</v>
      </c>
      <c r="C671">
        <f>_xlfn.LET(_xlpm.steps,SUBSTITUTE(Table1[[#This Row],[Input]],Table1[[#This Row],[Direction]],""),VALUE(IF(LEN(_xlpm.steps)&gt;2,RIGHT(_xlpm.steps,2),_xlpm.steps)))</f>
        <v>67</v>
      </c>
      <c r="D671">
        <f>_xlfn.LET(_xlpm.dir,Table1[[#This Row],[Direction]],
IF(_xlpm.dir="L",
    IF(F670-Table1[[#This Row],[Steps]]&lt;0,100+(F670-Table1[[#This Row],[Steps]]),F670-Table1[[#This Row],[Steps]]),
))</f>
        <v>0</v>
      </c>
      <c r="E671">
        <f>_xlfn.LET(_xlpm.dir,Table1[[#This Row],[Direction]],
IF(_xlpm.dir="R",
    IF(F670+Table1[[#This Row],[Steps]]&gt;99,(F670+Table1[[#This Row],[Steps]])-100,F670+Table1[[#This Row],[Steps]]),
))</f>
        <v>67</v>
      </c>
      <c r="F671">
        <f>IF(Table1[[#This Row],[New Pos L]]&lt;&gt;0,Table1[[#This Row],[New Pos L]],Table1[[#This Row],[New Pos R]])</f>
        <v>67</v>
      </c>
    </row>
    <row r="672" spans="1:6" ht="16" x14ac:dyDescent="0.2">
      <c r="A672" s="1" t="s">
        <v>20</v>
      </c>
      <c r="B672" t="str">
        <f>LEFT(Table1[[#This Row],[Input]],1)</f>
        <v>R</v>
      </c>
      <c r="C672">
        <f>_xlfn.LET(_xlpm.steps,SUBSTITUTE(Table1[[#This Row],[Input]],Table1[[#This Row],[Direction]],""),VALUE(IF(LEN(_xlpm.steps)&gt;2,RIGHT(_xlpm.steps,2),_xlpm.steps)))</f>
        <v>46</v>
      </c>
      <c r="D672">
        <f>_xlfn.LET(_xlpm.dir,Table1[[#This Row],[Direction]],
IF(_xlpm.dir="L",
    IF(F671-Table1[[#This Row],[Steps]]&lt;0,100+(F671-Table1[[#This Row],[Steps]]),F671-Table1[[#This Row],[Steps]]),
))</f>
        <v>0</v>
      </c>
      <c r="E672">
        <f>_xlfn.LET(_xlpm.dir,Table1[[#This Row],[Direction]],
IF(_xlpm.dir="R",
    IF(F671+Table1[[#This Row],[Steps]]&gt;99,(F671+Table1[[#This Row],[Steps]])-100,F671+Table1[[#This Row],[Steps]]),
))</f>
        <v>13</v>
      </c>
      <c r="F672">
        <f>IF(Table1[[#This Row],[New Pos L]]&lt;&gt;0,Table1[[#This Row],[New Pos L]],Table1[[#This Row],[New Pos R]])</f>
        <v>13</v>
      </c>
    </row>
    <row r="673" spans="1:6" ht="16" x14ac:dyDescent="0.2">
      <c r="A673" s="1" t="s">
        <v>209</v>
      </c>
      <c r="B673" t="str">
        <f>LEFT(Table1[[#This Row],[Input]],1)</f>
        <v>L</v>
      </c>
      <c r="C673">
        <f>_xlfn.LET(_xlpm.steps,SUBSTITUTE(Table1[[#This Row],[Input]],Table1[[#This Row],[Direction]],""),VALUE(IF(LEN(_xlpm.steps)&gt;2,RIGHT(_xlpm.steps,2),_xlpm.steps)))</f>
        <v>86</v>
      </c>
      <c r="D673">
        <f>_xlfn.LET(_xlpm.dir,Table1[[#This Row],[Direction]],
IF(_xlpm.dir="L",
    IF(F672-Table1[[#This Row],[Steps]]&lt;0,100+(F672-Table1[[#This Row],[Steps]]),F672-Table1[[#This Row],[Steps]]),
))</f>
        <v>27</v>
      </c>
      <c r="E673">
        <f>_xlfn.LET(_xlpm.dir,Table1[[#This Row],[Direction]],
IF(_xlpm.dir="R",
    IF(F672+Table1[[#This Row],[Steps]]&gt;99,(F672+Table1[[#This Row],[Steps]])-100,F672+Table1[[#This Row],[Steps]]),
))</f>
        <v>0</v>
      </c>
      <c r="F673">
        <f>IF(Table1[[#This Row],[New Pos L]]&lt;&gt;0,Table1[[#This Row],[New Pos L]],Table1[[#This Row],[New Pos R]])</f>
        <v>27</v>
      </c>
    </row>
    <row r="674" spans="1:6" ht="16" x14ac:dyDescent="0.2">
      <c r="A674" s="1" t="s">
        <v>64</v>
      </c>
      <c r="B674" t="str">
        <f>LEFT(Table1[[#This Row],[Input]],1)</f>
        <v>R</v>
      </c>
      <c r="C674">
        <f>_xlfn.LET(_xlpm.steps,SUBSTITUTE(Table1[[#This Row],[Input]],Table1[[#This Row],[Direction]],""),VALUE(IF(LEN(_xlpm.steps)&gt;2,RIGHT(_xlpm.steps,2),_xlpm.steps)))</f>
        <v>10</v>
      </c>
      <c r="D674">
        <f>_xlfn.LET(_xlpm.dir,Table1[[#This Row],[Direction]],
IF(_xlpm.dir="L",
    IF(F673-Table1[[#This Row],[Steps]]&lt;0,100+(F673-Table1[[#This Row],[Steps]]),F673-Table1[[#This Row],[Steps]]),
))</f>
        <v>0</v>
      </c>
      <c r="E674">
        <f>_xlfn.LET(_xlpm.dir,Table1[[#This Row],[Direction]],
IF(_xlpm.dir="R",
    IF(F673+Table1[[#This Row],[Steps]]&gt;99,(F673+Table1[[#This Row],[Steps]])-100,F673+Table1[[#This Row],[Steps]]),
))</f>
        <v>37</v>
      </c>
      <c r="F674">
        <f>IF(Table1[[#This Row],[New Pos L]]&lt;&gt;0,Table1[[#This Row],[New Pos L]],Table1[[#This Row],[New Pos R]])</f>
        <v>37</v>
      </c>
    </row>
    <row r="675" spans="1:6" ht="16" x14ac:dyDescent="0.2">
      <c r="A675" s="1" t="s">
        <v>294</v>
      </c>
      <c r="B675" t="str">
        <f>LEFT(Table1[[#This Row],[Input]],1)</f>
        <v>R</v>
      </c>
      <c r="C675">
        <f>_xlfn.LET(_xlpm.steps,SUBSTITUTE(Table1[[#This Row],[Input]],Table1[[#This Row],[Direction]],""),VALUE(IF(LEN(_xlpm.steps)&gt;2,RIGHT(_xlpm.steps,2),_xlpm.steps)))</f>
        <v>91</v>
      </c>
      <c r="D675">
        <f>_xlfn.LET(_xlpm.dir,Table1[[#This Row],[Direction]],
IF(_xlpm.dir="L",
    IF(F674-Table1[[#This Row],[Steps]]&lt;0,100+(F674-Table1[[#This Row],[Steps]]),F674-Table1[[#This Row],[Steps]]),
))</f>
        <v>0</v>
      </c>
      <c r="E675">
        <f>_xlfn.LET(_xlpm.dir,Table1[[#This Row],[Direction]],
IF(_xlpm.dir="R",
    IF(F674+Table1[[#This Row],[Steps]]&gt;99,(F674+Table1[[#This Row],[Steps]])-100,F674+Table1[[#This Row],[Steps]]),
))</f>
        <v>28</v>
      </c>
      <c r="F675">
        <f>IF(Table1[[#This Row],[New Pos L]]&lt;&gt;0,Table1[[#This Row],[New Pos L]],Table1[[#This Row],[New Pos R]])</f>
        <v>28</v>
      </c>
    </row>
    <row r="676" spans="1:6" ht="16" x14ac:dyDescent="0.2">
      <c r="A676" s="1" t="s">
        <v>165</v>
      </c>
      <c r="B676" t="str">
        <f>LEFT(Table1[[#This Row],[Input]],1)</f>
        <v>R</v>
      </c>
      <c r="C676">
        <f>_xlfn.LET(_xlpm.steps,SUBSTITUTE(Table1[[#This Row],[Input]],Table1[[#This Row],[Direction]],""),VALUE(IF(LEN(_xlpm.steps)&gt;2,RIGHT(_xlpm.steps,2),_xlpm.steps)))</f>
        <v>55</v>
      </c>
      <c r="D676">
        <f>_xlfn.LET(_xlpm.dir,Table1[[#This Row],[Direction]],
IF(_xlpm.dir="L",
    IF(F675-Table1[[#This Row],[Steps]]&lt;0,100+(F675-Table1[[#This Row],[Steps]]),F675-Table1[[#This Row],[Steps]]),
))</f>
        <v>0</v>
      </c>
      <c r="E676">
        <f>_xlfn.LET(_xlpm.dir,Table1[[#This Row],[Direction]],
IF(_xlpm.dir="R",
    IF(F675+Table1[[#This Row],[Steps]]&gt;99,(F675+Table1[[#This Row],[Steps]])-100,F675+Table1[[#This Row],[Steps]]),
))</f>
        <v>83</v>
      </c>
      <c r="F676">
        <f>IF(Table1[[#This Row],[New Pos L]]&lt;&gt;0,Table1[[#This Row],[New Pos L]],Table1[[#This Row],[New Pos R]])</f>
        <v>83</v>
      </c>
    </row>
    <row r="677" spans="1:6" ht="16" x14ac:dyDescent="0.2">
      <c r="A677" s="1" t="s">
        <v>11</v>
      </c>
      <c r="B677" t="str">
        <f>LEFT(Table1[[#This Row],[Input]],1)</f>
        <v>L</v>
      </c>
      <c r="C677">
        <f>_xlfn.LET(_xlpm.steps,SUBSTITUTE(Table1[[#This Row],[Input]],Table1[[#This Row],[Direction]],""),VALUE(IF(LEN(_xlpm.steps)&gt;2,RIGHT(_xlpm.steps,2),_xlpm.steps)))</f>
        <v>34</v>
      </c>
      <c r="D677">
        <f>_xlfn.LET(_xlpm.dir,Table1[[#This Row],[Direction]],
IF(_xlpm.dir="L",
    IF(F676-Table1[[#This Row],[Steps]]&lt;0,100+(F676-Table1[[#This Row],[Steps]]),F676-Table1[[#This Row],[Steps]]),
))</f>
        <v>49</v>
      </c>
      <c r="E677">
        <f>_xlfn.LET(_xlpm.dir,Table1[[#This Row],[Direction]],
IF(_xlpm.dir="R",
    IF(F676+Table1[[#This Row],[Steps]]&gt;99,(F676+Table1[[#This Row],[Steps]])-100,F676+Table1[[#This Row],[Steps]]),
))</f>
        <v>0</v>
      </c>
      <c r="F677">
        <f>IF(Table1[[#This Row],[New Pos L]]&lt;&gt;0,Table1[[#This Row],[New Pos L]],Table1[[#This Row],[New Pos R]])</f>
        <v>49</v>
      </c>
    </row>
    <row r="678" spans="1:6" ht="16" x14ac:dyDescent="0.2">
      <c r="A678" s="1" t="s">
        <v>194</v>
      </c>
      <c r="B678" t="str">
        <f>LEFT(Table1[[#This Row],[Input]],1)</f>
        <v>R</v>
      </c>
      <c r="C678">
        <f>_xlfn.LET(_xlpm.steps,SUBSTITUTE(Table1[[#This Row],[Input]],Table1[[#This Row],[Direction]],""),VALUE(IF(LEN(_xlpm.steps)&gt;2,RIGHT(_xlpm.steps,2),_xlpm.steps)))</f>
        <v>51</v>
      </c>
      <c r="D678">
        <f>_xlfn.LET(_xlpm.dir,Table1[[#This Row],[Direction]],
IF(_xlpm.dir="L",
    IF(F677-Table1[[#This Row],[Steps]]&lt;0,100+(F677-Table1[[#This Row],[Steps]]),F677-Table1[[#This Row],[Steps]]),
))</f>
        <v>0</v>
      </c>
      <c r="E678">
        <f>_xlfn.LET(_xlpm.dir,Table1[[#This Row],[Direction]],
IF(_xlpm.dir="R",
    IF(F677+Table1[[#This Row],[Steps]]&gt;99,(F677+Table1[[#This Row],[Steps]])-100,F677+Table1[[#This Row],[Steps]]),
))</f>
        <v>0</v>
      </c>
      <c r="F678">
        <f>IF(Table1[[#This Row],[New Pos L]]&lt;&gt;0,Table1[[#This Row],[New Pos L]],Table1[[#This Row],[New Pos R]])</f>
        <v>0</v>
      </c>
    </row>
    <row r="679" spans="1:6" ht="16" x14ac:dyDescent="0.2">
      <c r="A679" s="1" t="s">
        <v>295</v>
      </c>
      <c r="B679" t="str">
        <f>LEFT(Table1[[#This Row],[Input]],1)</f>
        <v>L</v>
      </c>
      <c r="C679">
        <f>_xlfn.LET(_xlpm.steps,SUBSTITUTE(Table1[[#This Row],[Input]],Table1[[#This Row],[Direction]],""),VALUE(IF(LEN(_xlpm.steps)&gt;2,RIGHT(_xlpm.steps,2),_xlpm.steps)))</f>
        <v>88</v>
      </c>
      <c r="D679">
        <f>_xlfn.LET(_xlpm.dir,Table1[[#This Row],[Direction]],
IF(_xlpm.dir="L",
    IF(F678-Table1[[#This Row],[Steps]]&lt;0,100+(F678-Table1[[#This Row],[Steps]]),F678-Table1[[#This Row],[Steps]]),
))</f>
        <v>12</v>
      </c>
      <c r="E679">
        <f>_xlfn.LET(_xlpm.dir,Table1[[#This Row],[Direction]],
IF(_xlpm.dir="R",
    IF(F678+Table1[[#This Row],[Steps]]&gt;99,(F678+Table1[[#This Row],[Steps]])-100,F678+Table1[[#This Row],[Steps]]),
))</f>
        <v>0</v>
      </c>
      <c r="F679">
        <f>IF(Table1[[#This Row],[New Pos L]]&lt;&gt;0,Table1[[#This Row],[New Pos L]],Table1[[#This Row],[New Pos R]])</f>
        <v>12</v>
      </c>
    </row>
    <row r="680" spans="1:6" ht="16" x14ac:dyDescent="0.2">
      <c r="A680" s="1" t="s">
        <v>84</v>
      </c>
      <c r="B680" t="str">
        <f>LEFT(Table1[[#This Row],[Input]],1)</f>
        <v>R</v>
      </c>
      <c r="C680">
        <f>_xlfn.LET(_xlpm.steps,SUBSTITUTE(Table1[[#This Row],[Input]],Table1[[#This Row],[Direction]],""),VALUE(IF(LEN(_xlpm.steps)&gt;2,RIGHT(_xlpm.steps,2),_xlpm.steps)))</f>
        <v>88</v>
      </c>
      <c r="D680">
        <f>_xlfn.LET(_xlpm.dir,Table1[[#This Row],[Direction]],
IF(_xlpm.dir="L",
    IF(F679-Table1[[#This Row],[Steps]]&lt;0,100+(F679-Table1[[#This Row],[Steps]]),F679-Table1[[#This Row],[Steps]]),
))</f>
        <v>0</v>
      </c>
      <c r="E680">
        <f>_xlfn.LET(_xlpm.dir,Table1[[#This Row],[Direction]],
IF(_xlpm.dir="R",
    IF(F679+Table1[[#This Row],[Steps]]&gt;99,(F679+Table1[[#This Row],[Steps]])-100,F679+Table1[[#This Row],[Steps]]),
))</f>
        <v>0</v>
      </c>
      <c r="F680">
        <f>IF(Table1[[#This Row],[New Pos L]]&lt;&gt;0,Table1[[#This Row],[New Pos L]],Table1[[#This Row],[New Pos R]])</f>
        <v>0</v>
      </c>
    </row>
    <row r="681" spans="1:6" ht="16" x14ac:dyDescent="0.2">
      <c r="A681" s="1" t="s">
        <v>48</v>
      </c>
      <c r="B681" t="str">
        <f>LEFT(Table1[[#This Row],[Input]],1)</f>
        <v>R</v>
      </c>
      <c r="C681">
        <f>_xlfn.LET(_xlpm.steps,SUBSTITUTE(Table1[[#This Row],[Input]],Table1[[#This Row],[Direction]],""),VALUE(IF(LEN(_xlpm.steps)&gt;2,RIGHT(_xlpm.steps,2),_xlpm.steps)))</f>
        <v>81</v>
      </c>
      <c r="D681">
        <f>_xlfn.LET(_xlpm.dir,Table1[[#This Row],[Direction]],
IF(_xlpm.dir="L",
    IF(F680-Table1[[#This Row],[Steps]]&lt;0,100+(F680-Table1[[#This Row],[Steps]]),F680-Table1[[#This Row],[Steps]]),
))</f>
        <v>0</v>
      </c>
      <c r="E681">
        <f>_xlfn.LET(_xlpm.dir,Table1[[#This Row],[Direction]],
IF(_xlpm.dir="R",
    IF(F680+Table1[[#This Row],[Steps]]&gt;99,(F680+Table1[[#This Row],[Steps]])-100,F680+Table1[[#This Row],[Steps]]),
))</f>
        <v>81</v>
      </c>
      <c r="F681">
        <f>IF(Table1[[#This Row],[New Pos L]]&lt;&gt;0,Table1[[#This Row],[New Pos L]],Table1[[#This Row],[New Pos R]])</f>
        <v>81</v>
      </c>
    </row>
    <row r="682" spans="1:6" ht="16" x14ac:dyDescent="0.2">
      <c r="A682" s="1" t="s">
        <v>296</v>
      </c>
      <c r="B682" t="str">
        <f>LEFT(Table1[[#This Row],[Input]],1)</f>
        <v>R</v>
      </c>
      <c r="C682">
        <f>_xlfn.LET(_xlpm.steps,SUBSTITUTE(Table1[[#This Row],[Input]],Table1[[#This Row],[Direction]],""),VALUE(IF(LEN(_xlpm.steps)&gt;2,RIGHT(_xlpm.steps,2),_xlpm.steps)))</f>
        <v>19</v>
      </c>
      <c r="D682">
        <f>_xlfn.LET(_xlpm.dir,Table1[[#This Row],[Direction]],
IF(_xlpm.dir="L",
    IF(F681-Table1[[#This Row],[Steps]]&lt;0,100+(F681-Table1[[#This Row],[Steps]]),F681-Table1[[#This Row],[Steps]]),
))</f>
        <v>0</v>
      </c>
      <c r="E682">
        <f>_xlfn.LET(_xlpm.dir,Table1[[#This Row],[Direction]],
IF(_xlpm.dir="R",
    IF(F681+Table1[[#This Row],[Steps]]&gt;99,(F681+Table1[[#This Row],[Steps]])-100,F681+Table1[[#This Row],[Steps]]),
))</f>
        <v>0</v>
      </c>
      <c r="F682">
        <f>IF(Table1[[#This Row],[New Pos L]]&lt;&gt;0,Table1[[#This Row],[New Pos L]],Table1[[#This Row],[New Pos R]])</f>
        <v>0</v>
      </c>
    </row>
    <row r="683" spans="1:6" ht="16" x14ac:dyDescent="0.2">
      <c r="A683" s="1" t="s">
        <v>46</v>
      </c>
      <c r="B683" t="str">
        <f>LEFT(Table1[[#This Row],[Input]],1)</f>
        <v>L</v>
      </c>
      <c r="C683">
        <f>_xlfn.LET(_xlpm.steps,SUBSTITUTE(Table1[[#This Row],[Input]],Table1[[#This Row],[Direction]],""),VALUE(IF(LEN(_xlpm.steps)&gt;2,RIGHT(_xlpm.steps,2),_xlpm.steps)))</f>
        <v>97</v>
      </c>
      <c r="D683">
        <f>_xlfn.LET(_xlpm.dir,Table1[[#This Row],[Direction]],
IF(_xlpm.dir="L",
    IF(F682-Table1[[#This Row],[Steps]]&lt;0,100+(F682-Table1[[#This Row],[Steps]]),F682-Table1[[#This Row],[Steps]]),
))</f>
        <v>3</v>
      </c>
      <c r="E683">
        <f>_xlfn.LET(_xlpm.dir,Table1[[#This Row],[Direction]],
IF(_xlpm.dir="R",
    IF(F682+Table1[[#This Row],[Steps]]&gt;99,(F682+Table1[[#This Row],[Steps]])-100,F682+Table1[[#This Row],[Steps]]),
))</f>
        <v>0</v>
      </c>
      <c r="F683">
        <f>IF(Table1[[#This Row],[New Pos L]]&lt;&gt;0,Table1[[#This Row],[New Pos L]],Table1[[#This Row],[New Pos R]])</f>
        <v>3</v>
      </c>
    </row>
    <row r="684" spans="1:6" ht="16" x14ac:dyDescent="0.2">
      <c r="A684" s="1" t="s">
        <v>60</v>
      </c>
      <c r="B684" t="str">
        <f>LEFT(Table1[[#This Row],[Input]],1)</f>
        <v>R</v>
      </c>
      <c r="C684">
        <f>_xlfn.LET(_xlpm.steps,SUBSTITUTE(Table1[[#This Row],[Input]],Table1[[#This Row],[Direction]],""),VALUE(IF(LEN(_xlpm.steps)&gt;2,RIGHT(_xlpm.steps,2),_xlpm.steps)))</f>
        <v>86</v>
      </c>
      <c r="D684">
        <f>_xlfn.LET(_xlpm.dir,Table1[[#This Row],[Direction]],
IF(_xlpm.dir="L",
    IF(F683-Table1[[#This Row],[Steps]]&lt;0,100+(F683-Table1[[#This Row],[Steps]]),F683-Table1[[#This Row],[Steps]]),
))</f>
        <v>0</v>
      </c>
      <c r="E684">
        <f>_xlfn.LET(_xlpm.dir,Table1[[#This Row],[Direction]],
IF(_xlpm.dir="R",
    IF(F683+Table1[[#This Row],[Steps]]&gt;99,(F683+Table1[[#This Row],[Steps]])-100,F683+Table1[[#This Row],[Steps]]),
))</f>
        <v>89</v>
      </c>
      <c r="F684">
        <f>IF(Table1[[#This Row],[New Pos L]]&lt;&gt;0,Table1[[#This Row],[New Pos L]],Table1[[#This Row],[New Pos R]])</f>
        <v>89</v>
      </c>
    </row>
    <row r="685" spans="1:6" ht="16" x14ac:dyDescent="0.2">
      <c r="A685" s="1" t="s">
        <v>161</v>
      </c>
      <c r="B685" t="str">
        <f>LEFT(Table1[[#This Row],[Input]],1)</f>
        <v>R</v>
      </c>
      <c r="C685">
        <f>_xlfn.LET(_xlpm.steps,SUBSTITUTE(Table1[[#This Row],[Input]],Table1[[#This Row],[Direction]],""),VALUE(IF(LEN(_xlpm.steps)&gt;2,RIGHT(_xlpm.steps,2),_xlpm.steps)))</f>
        <v>76</v>
      </c>
      <c r="D685">
        <f>_xlfn.LET(_xlpm.dir,Table1[[#This Row],[Direction]],
IF(_xlpm.dir="L",
    IF(F684-Table1[[#This Row],[Steps]]&lt;0,100+(F684-Table1[[#This Row],[Steps]]),F684-Table1[[#This Row],[Steps]]),
))</f>
        <v>0</v>
      </c>
      <c r="E685">
        <f>_xlfn.LET(_xlpm.dir,Table1[[#This Row],[Direction]],
IF(_xlpm.dir="R",
    IF(F684+Table1[[#This Row],[Steps]]&gt;99,(F684+Table1[[#This Row],[Steps]])-100,F684+Table1[[#This Row],[Steps]]),
))</f>
        <v>65</v>
      </c>
      <c r="F685">
        <f>IF(Table1[[#This Row],[New Pos L]]&lt;&gt;0,Table1[[#This Row],[New Pos L]],Table1[[#This Row],[New Pos R]])</f>
        <v>65</v>
      </c>
    </row>
    <row r="686" spans="1:6" ht="16" x14ac:dyDescent="0.2">
      <c r="A686" s="1" t="s">
        <v>116</v>
      </c>
      <c r="B686" t="str">
        <f>LEFT(Table1[[#This Row],[Input]],1)</f>
        <v>L</v>
      </c>
      <c r="C686">
        <f>_xlfn.LET(_xlpm.steps,SUBSTITUTE(Table1[[#This Row],[Input]],Table1[[#This Row],[Direction]],""),VALUE(IF(LEN(_xlpm.steps)&gt;2,RIGHT(_xlpm.steps,2),_xlpm.steps)))</f>
        <v>58</v>
      </c>
      <c r="D686">
        <f>_xlfn.LET(_xlpm.dir,Table1[[#This Row],[Direction]],
IF(_xlpm.dir="L",
    IF(F685-Table1[[#This Row],[Steps]]&lt;0,100+(F685-Table1[[#This Row],[Steps]]),F685-Table1[[#This Row],[Steps]]),
))</f>
        <v>7</v>
      </c>
      <c r="E686">
        <f>_xlfn.LET(_xlpm.dir,Table1[[#This Row],[Direction]],
IF(_xlpm.dir="R",
    IF(F685+Table1[[#This Row],[Steps]]&gt;99,(F685+Table1[[#This Row],[Steps]])-100,F685+Table1[[#This Row],[Steps]]),
))</f>
        <v>0</v>
      </c>
      <c r="F686">
        <f>IF(Table1[[#This Row],[New Pos L]]&lt;&gt;0,Table1[[#This Row],[New Pos L]],Table1[[#This Row],[New Pos R]])</f>
        <v>7</v>
      </c>
    </row>
    <row r="687" spans="1:6" ht="16" x14ac:dyDescent="0.2">
      <c r="A687" s="1" t="s">
        <v>41</v>
      </c>
      <c r="B687" t="str">
        <f>LEFT(Table1[[#This Row],[Input]],1)</f>
        <v>L</v>
      </c>
      <c r="C687">
        <f>_xlfn.LET(_xlpm.steps,SUBSTITUTE(Table1[[#This Row],[Input]],Table1[[#This Row],[Direction]],""),VALUE(IF(LEN(_xlpm.steps)&gt;2,RIGHT(_xlpm.steps,2),_xlpm.steps)))</f>
        <v>7</v>
      </c>
      <c r="D687">
        <f>_xlfn.LET(_xlpm.dir,Table1[[#This Row],[Direction]],
IF(_xlpm.dir="L",
    IF(F686-Table1[[#This Row],[Steps]]&lt;0,100+(F686-Table1[[#This Row],[Steps]]),F686-Table1[[#This Row],[Steps]]),
))</f>
        <v>0</v>
      </c>
      <c r="E687">
        <f>_xlfn.LET(_xlpm.dir,Table1[[#This Row],[Direction]],
IF(_xlpm.dir="R",
    IF(F686+Table1[[#This Row],[Steps]]&gt;99,(F686+Table1[[#This Row],[Steps]])-100,F686+Table1[[#This Row],[Steps]]),
))</f>
        <v>0</v>
      </c>
      <c r="F687">
        <f>IF(Table1[[#This Row],[New Pos L]]&lt;&gt;0,Table1[[#This Row],[New Pos L]],Table1[[#This Row],[New Pos R]])</f>
        <v>0</v>
      </c>
    </row>
    <row r="688" spans="1:6" ht="16" x14ac:dyDescent="0.2">
      <c r="A688" s="1" t="s">
        <v>194</v>
      </c>
      <c r="B688" t="str">
        <f>LEFT(Table1[[#This Row],[Input]],1)</f>
        <v>R</v>
      </c>
      <c r="C688">
        <f>_xlfn.LET(_xlpm.steps,SUBSTITUTE(Table1[[#This Row],[Input]],Table1[[#This Row],[Direction]],""),VALUE(IF(LEN(_xlpm.steps)&gt;2,RIGHT(_xlpm.steps,2),_xlpm.steps)))</f>
        <v>51</v>
      </c>
      <c r="D688">
        <f>_xlfn.LET(_xlpm.dir,Table1[[#This Row],[Direction]],
IF(_xlpm.dir="L",
    IF(F687-Table1[[#This Row],[Steps]]&lt;0,100+(F687-Table1[[#This Row],[Steps]]),F687-Table1[[#This Row],[Steps]]),
))</f>
        <v>0</v>
      </c>
      <c r="E688">
        <f>_xlfn.LET(_xlpm.dir,Table1[[#This Row],[Direction]],
IF(_xlpm.dir="R",
    IF(F687+Table1[[#This Row],[Steps]]&gt;99,(F687+Table1[[#This Row],[Steps]])-100,F687+Table1[[#This Row],[Steps]]),
))</f>
        <v>51</v>
      </c>
      <c r="F688">
        <f>IF(Table1[[#This Row],[New Pos L]]&lt;&gt;0,Table1[[#This Row],[New Pos L]],Table1[[#This Row],[New Pos R]])</f>
        <v>51</v>
      </c>
    </row>
    <row r="689" spans="1:6" ht="16" x14ac:dyDescent="0.2">
      <c r="A689" s="1" t="s">
        <v>119</v>
      </c>
      <c r="B689" t="str">
        <f>LEFT(Table1[[#This Row],[Input]],1)</f>
        <v>L</v>
      </c>
      <c r="C689">
        <f>_xlfn.LET(_xlpm.steps,SUBSTITUTE(Table1[[#This Row],[Input]],Table1[[#This Row],[Direction]],""),VALUE(IF(LEN(_xlpm.steps)&gt;2,RIGHT(_xlpm.steps,2),_xlpm.steps)))</f>
        <v>77</v>
      </c>
      <c r="D689">
        <f>_xlfn.LET(_xlpm.dir,Table1[[#This Row],[Direction]],
IF(_xlpm.dir="L",
    IF(F688-Table1[[#This Row],[Steps]]&lt;0,100+(F688-Table1[[#This Row],[Steps]]),F688-Table1[[#This Row],[Steps]]),
))</f>
        <v>74</v>
      </c>
      <c r="E689">
        <f>_xlfn.LET(_xlpm.dir,Table1[[#This Row],[Direction]],
IF(_xlpm.dir="R",
    IF(F688+Table1[[#This Row],[Steps]]&gt;99,(F688+Table1[[#This Row],[Steps]])-100,F688+Table1[[#This Row],[Steps]]),
))</f>
        <v>0</v>
      </c>
      <c r="F689">
        <f>IF(Table1[[#This Row],[New Pos L]]&lt;&gt;0,Table1[[#This Row],[New Pos L]],Table1[[#This Row],[New Pos R]])</f>
        <v>74</v>
      </c>
    </row>
    <row r="690" spans="1:6" ht="16" x14ac:dyDescent="0.2">
      <c r="A690" s="1" t="s">
        <v>297</v>
      </c>
      <c r="B690" t="str">
        <f>LEFT(Table1[[#This Row],[Input]],1)</f>
        <v>R</v>
      </c>
      <c r="C690">
        <f>_xlfn.LET(_xlpm.steps,SUBSTITUTE(Table1[[#This Row],[Input]],Table1[[#This Row],[Direction]],""),VALUE(IF(LEN(_xlpm.steps)&gt;2,RIGHT(_xlpm.steps,2),_xlpm.steps)))</f>
        <v>30</v>
      </c>
      <c r="D690">
        <f>_xlfn.LET(_xlpm.dir,Table1[[#This Row],[Direction]],
IF(_xlpm.dir="L",
    IF(F689-Table1[[#This Row],[Steps]]&lt;0,100+(F689-Table1[[#This Row],[Steps]]),F689-Table1[[#This Row],[Steps]]),
))</f>
        <v>0</v>
      </c>
      <c r="E690">
        <f>_xlfn.LET(_xlpm.dir,Table1[[#This Row],[Direction]],
IF(_xlpm.dir="R",
    IF(F689+Table1[[#This Row],[Steps]]&gt;99,(F689+Table1[[#This Row],[Steps]])-100,F689+Table1[[#This Row],[Steps]]),
))</f>
        <v>4</v>
      </c>
      <c r="F690">
        <f>IF(Table1[[#This Row],[New Pos L]]&lt;&gt;0,Table1[[#This Row],[New Pos L]],Table1[[#This Row],[New Pos R]])</f>
        <v>4</v>
      </c>
    </row>
    <row r="691" spans="1:6" ht="16" x14ac:dyDescent="0.2">
      <c r="A691" s="1" t="s">
        <v>288</v>
      </c>
      <c r="B691" t="str">
        <f>LEFT(Table1[[#This Row],[Input]],1)</f>
        <v>R</v>
      </c>
      <c r="C691">
        <f>_xlfn.LET(_xlpm.steps,SUBSTITUTE(Table1[[#This Row],[Input]],Table1[[#This Row],[Direction]],""),VALUE(IF(LEN(_xlpm.steps)&gt;2,RIGHT(_xlpm.steps,2),_xlpm.steps)))</f>
        <v>25</v>
      </c>
      <c r="D691">
        <f>_xlfn.LET(_xlpm.dir,Table1[[#This Row],[Direction]],
IF(_xlpm.dir="L",
    IF(F690-Table1[[#This Row],[Steps]]&lt;0,100+(F690-Table1[[#This Row],[Steps]]),F690-Table1[[#This Row],[Steps]]),
))</f>
        <v>0</v>
      </c>
      <c r="E691">
        <f>_xlfn.LET(_xlpm.dir,Table1[[#This Row],[Direction]],
IF(_xlpm.dir="R",
    IF(F690+Table1[[#This Row],[Steps]]&gt;99,(F690+Table1[[#This Row],[Steps]])-100,F690+Table1[[#This Row],[Steps]]),
))</f>
        <v>29</v>
      </c>
      <c r="F691">
        <f>IF(Table1[[#This Row],[New Pos L]]&lt;&gt;0,Table1[[#This Row],[New Pos L]],Table1[[#This Row],[New Pos R]])</f>
        <v>29</v>
      </c>
    </row>
    <row r="692" spans="1:6" ht="16" x14ac:dyDescent="0.2">
      <c r="A692" s="1" t="s">
        <v>115</v>
      </c>
      <c r="B692" t="str">
        <f>LEFT(Table1[[#This Row],[Input]],1)</f>
        <v>L</v>
      </c>
      <c r="C692">
        <f>_xlfn.LET(_xlpm.steps,SUBSTITUTE(Table1[[#This Row],[Input]],Table1[[#This Row],[Direction]],""),VALUE(IF(LEN(_xlpm.steps)&gt;2,RIGHT(_xlpm.steps,2),_xlpm.steps)))</f>
        <v>29</v>
      </c>
      <c r="D692">
        <f>_xlfn.LET(_xlpm.dir,Table1[[#This Row],[Direction]],
IF(_xlpm.dir="L",
    IF(F691-Table1[[#This Row],[Steps]]&lt;0,100+(F691-Table1[[#This Row],[Steps]]),F691-Table1[[#This Row],[Steps]]),
))</f>
        <v>0</v>
      </c>
      <c r="E692">
        <f>_xlfn.LET(_xlpm.dir,Table1[[#This Row],[Direction]],
IF(_xlpm.dir="R",
    IF(F691+Table1[[#This Row],[Steps]]&gt;99,(F691+Table1[[#This Row],[Steps]])-100,F691+Table1[[#This Row],[Steps]]),
))</f>
        <v>0</v>
      </c>
      <c r="F692">
        <f>IF(Table1[[#This Row],[New Pos L]]&lt;&gt;0,Table1[[#This Row],[New Pos L]],Table1[[#This Row],[New Pos R]])</f>
        <v>0</v>
      </c>
    </row>
    <row r="693" spans="1:6" ht="16" x14ac:dyDescent="0.2">
      <c r="A693" s="1" t="s">
        <v>59</v>
      </c>
      <c r="B693" t="str">
        <f>LEFT(Table1[[#This Row],[Input]],1)</f>
        <v>L</v>
      </c>
      <c r="C693">
        <f>_xlfn.LET(_xlpm.steps,SUBSTITUTE(Table1[[#This Row],[Input]],Table1[[#This Row],[Direction]],""),VALUE(IF(LEN(_xlpm.steps)&gt;2,RIGHT(_xlpm.steps,2),_xlpm.steps)))</f>
        <v>6</v>
      </c>
      <c r="D693">
        <f>_xlfn.LET(_xlpm.dir,Table1[[#This Row],[Direction]],
IF(_xlpm.dir="L",
    IF(F692-Table1[[#This Row],[Steps]]&lt;0,100+(F692-Table1[[#This Row],[Steps]]),F692-Table1[[#This Row],[Steps]]),
))</f>
        <v>94</v>
      </c>
      <c r="E693">
        <f>_xlfn.LET(_xlpm.dir,Table1[[#This Row],[Direction]],
IF(_xlpm.dir="R",
    IF(F692+Table1[[#This Row],[Steps]]&gt;99,(F692+Table1[[#This Row],[Steps]])-100,F692+Table1[[#This Row],[Steps]]),
))</f>
        <v>0</v>
      </c>
      <c r="F693">
        <f>IF(Table1[[#This Row],[New Pos L]]&lt;&gt;0,Table1[[#This Row],[New Pos L]],Table1[[#This Row],[New Pos R]])</f>
        <v>94</v>
      </c>
    </row>
    <row r="694" spans="1:6" ht="16" x14ac:dyDescent="0.2">
      <c r="A694" s="1" t="s">
        <v>26</v>
      </c>
      <c r="B694" t="str">
        <f>LEFT(Table1[[#This Row],[Input]],1)</f>
        <v>R</v>
      </c>
      <c r="C694">
        <f>_xlfn.LET(_xlpm.steps,SUBSTITUTE(Table1[[#This Row],[Input]],Table1[[#This Row],[Direction]],""),VALUE(IF(LEN(_xlpm.steps)&gt;2,RIGHT(_xlpm.steps,2),_xlpm.steps)))</f>
        <v>6</v>
      </c>
      <c r="D694">
        <f>_xlfn.LET(_xlpm.dir,Table1[[#This Row],[Direction]],
IF(_xlpm.dir="L",
    IF(F693-Table1[[#This Row],[Steps]]&lt;0,100+(F693-Table1[[#This Row],[Steps]]),F693-Table1[[#This Row],[Steps]]),
))</f>
        <v>0</v>
      </c>
      <c r="E694">
        <f>_xlfn.LET(_xlpm.dir,Table1[[#This Row],[Direction]],
IF(_xlpm.dir="R",
    IF(F693+Table1[[#This Row],[Steps]]&gt;99,(F693+Table1[[#This Row],[Steps]])-100,F693+Table1[[#This Row],[Steps]]),
))</f>
        <v>0</v>
      </c>
      <c r="F694">
        <f>IF(Table1[[#This Row],[New Pos L]]&lt;&gt;0,Table1[[#This Row],[New Pos L]],Table1[[#This Row],[New Pos R]])</f>
        <v>0</v>
      </c>
    </row>
    <row r="695" spans="1:6" ht="16" x14ac:dyDescent="0.2">
      <c r="A695" s="1" t="s">
        <v>195</v>
      </c>
      <c r="B695" t="str">
        <f>LEFT(Table1[[#This Row],[Input]],1)</f>
        <v>R</v>
      </c>
      <c r="C695">
        <f>_xlfn.LET(_xlpm.steps,SUBSTITUTE(Table1[[#This Row],[Input]],Table1[[#This Row],[Direction]],""),VALUE(IF(LEN(_xlpm.steps)&gt;2,RIGHT(_xlpm.steps,2),_xlpm.steps)))</f>
        <v>40</v>
      </c>
      <c r="D695">
        <f>_xlfn.LET(_xlpm.dir,Table1[[#This Row],[Direction]],
IF(_xlpm.dir="L",
    IF(F694-Table1[[#This Row],[Steps]]&lt;0,100+(F694-Table1[[#This Row],[Steps]]),F694-Table1[[#This Row],[Steps]]),
))</f>
        <v>0</v>
      </c>
      <c r="E695">
        <f>_xlfn.LET(_xlpm.dir,Table1[[#This Row],[Direction]],
IF(_xlpm.dir="R",
    IF(F694+Table1[[#This Row],[Steps]]&gt;99,(F694+Table1[[#This Row],[Steps]])-100,F694+Table1[[#This Row],[Steps]]),
))</f>
        <v>40</v>
      </c>
      <c r="F695">
        <f>IF(Table1[[#This Row],[New Pos L]]&lt;&gt;0,Table1[[#This Row],[New Pos L]],Table1[[#This Row],[New Pos R]])</f>
        <v>40</v>
      </c>
    </row>
    <row r="696" spans="1:6" ht="16" x14ac:dyDescent="0.2">
      <c r="A696" s="1" t="s">
        <v>298</v>
      </c>
      <c r="B696" t="str">
        <f>LEFT(Table1[[#This Row],[Input]],1)</f>
        <v>L</v>
      </c>
      <c r="C696">
        <f>_xlfn.LET(_xlpm.steps,SUBSTITUTE(Table1[[#This Row],[Input]],Table1[[#This Row],[Direction]],""),VALUE(IF(LEN(_xlpm.steps)&gt;2,RIGHT(_xlpm.steps,2),_xlpm.steps)))</f>
        <v>88</v>
      </c>
      <c r="D696">
        <f>_xlfn.LET(_xlpm.dir,Table1[[#This Row],[Direction]],
IF(_xlpm.dir="L",
    IF(F695-Table1[[#This Row],[Steps]]&lt;0,100+(F695-Table1[[#This Row],[Steps]]),F695-Table1[[#This Row],[Steps]]),
))</f>
        <v>52</v>
      </c>
      <c r="E696">
        <f>_xlfn.LET(_xlpm.dir,Table1[[#This Row],[Direction]],
IF(_xlpm.dir="R",
    IF(F695+Table1[[#This Row],[Steps]]&gt;99,(F695+Table1[[#This Row],[Steps]])-100,F695+Table1[[#This Row],[Steps]]),
))</f>
        <v>0</v>
      </c>
      <c r="F696">
        <f>IF(Table1[[#This Row],[New Pos L]]&lt;&gt;0,Table1[[#This Row],[New Pos L]],Table1[[#This Row],[New Pos R]])</f>
        <v>52</v>
      </c>
    </row>
    <row r="697" spans="1:6" ht="16" x14ac:dyDescent="0.2">
      <c r="A697" s="1" t="s">
        <v>206</v>
      </c>
      <c r="B697" t="str">
        <f>LEFT(Table1[[#This Row],[Input]],1)</f>
        <v>R</v>
      </c>
      <c r="C697">
        <f>_xlfn.LET(_xlpm.steps,SUBSTITUTE(Table1[[#This Row],[Input]],Table1[[#This Row],[Direction]],""),VALUE(IF(LEN(_xlpm.steps)&gt;2,RIGHT(_xlpm.steps,2),_xlpm.steps)))</f>
        <v>62</v>
      </c>
      <c r="D697">
        <f>_xlfn.LET(_xlpm.dir,Table1[[#This Row],[Direction]],
IF(_xlpm.dir="L",
    IF(F696-Table1[[#This Row],[Steps]]&lt;0,100+(F696-Table1[[#This Row],[Steps]]),F696-Table1[[#This Row],[Steps]]),
))</f>
        <v>0</v>
      </c>
      <c r="E697">
        <f>_xlfn.LET(_xlpm.dir,Table1[[#This Row],[Direction]],
IF(_xlpm.dir="R",
    IF(F696+Table1[[#This Row],[Steps]]&gt;99,(F696+Table1[[#This Row],[Steps]])-100,F696+Table1[[#This Row],[Steps]]),
))</f>
        <v>14</v>
      </c>
      <c r="F697">
        <f>IF(Table1[[#This Row],[New Pos L]]&lt;&gt;0,Table1[[#This Row],[New Pos L]],Table1[[#This Row],[New Pos R]])</f>
        <v>14</v>
      </c>
    </row>
    <row r="698" spans="1:6" ht="16" x14ac:dyDescent="0.2">
      <c r="A698" s="1" t="s">
        <v>299</v>
      </c>
      <c r="B698" t="str">
        <f>LEFT(Table1[[#This Row],[Input]],1)</f>
        <v>R</v>
      </c>
      <c r="C698">
        <f>_xlfn.LET(_xlpm.steps,SUBSTITUTE(Table1[[#This Row],[Input]],Table1[[#This Row],[Direction]],""),VALUE(IF(LEN(_xlpm.steps)&gt;2,RIGHT(_xlpm.steps,2),_xlpm.steps)))</f>
        <v>54</v>
      </c>
      <c r="D698">
        <f>_xlfn.LET(_xlpm.dir,Table1[[#This Row],[Direction]],
IF(_xlpm.dir="L",
    IF(F697-Table1[[#This Row],[Steps]]&lt;0,100+(F697-Table1[[#This Row],[Steps]]),F697-Table1[[#This Row],[Steps]]),
))</f>
        <v>0</v>
      </c>
      <c r="E698">
        <f>_xlfn.LET(_xlpm.dir,Table1[[#This Row],[Direction]],
IF(_xlpm.dir="R",
    IF(F697+Table1[[#This Row],[Steps]]&gt;99,(F697+Table1[[#This Row],[Steps]])-100,F697+Table1[[#This Row],[Steps]]),
))</f>
        <v>68</v>
      </c>
      <c r="F698">
        <f>IF(Table1[[#This Row],[New Pos L]]&lt;&gt;0,Table1[[#This Row],[New Pos L]],Table1[[#This Row],[New Pos R]])</f>
        <v>68</v>
      </c>
    </row>
    <row r="699" spans="1:6" ht="16" x14ac:dyDescent="0.2">
      <c r="A699" s="1" t="s">
        <v>63</v>
      </c>
      <c r="B699" t="str">
        <f>LEFT(Table1[[#This Row],[Input]],1)</f>
        <v>R</v>
      </c>
      <c r="C699">
        <f>_xlfn.LET(_xlpm.steps,SUBSTITUTE(Table1[[#This Row],[Input]],Table1[[#This Row],[Direction]],""),VALUE(IF(LEN(_xlpm.steps)&gt;2,RIGHT(_xlpm.steps,2),_xlpm.steps)))</f>
        <v>57</v>
      </c>
      <c r="D699">
        <f>_xlfn.LET(_xlpm.dir,Table1[[#This Row],[Direction]],
IF(_xlpm.dir="L",
    IF(F698-Table1[[#This Row],[Steps]]&lt;0,100+(F698-Table1[[#This Row],[Steps]]),F698-Table1[[#This Row],[Steps]]),
))</f>
        <v>0</v>
      </c>
      <c r="E699">
        <f>_xlfn.LET(_xlpm.dir,Table1[[#This Row],[Direction]],
IF(_xlpm.dir="R",
    IF(F698+Table1[[#This Row],[Steps]]&gt;99,(F698+Table1[[#This Row],[Steps]])-100,F698+Table1[[#This Row],[Steps]]),
))</f>
        <v>25</v>
      </c>
      <c r="F699">
        <f>IF(Table1[[#This Row],[New Pos L]]&lt;&gt;0,Table1[[#This Row],[New Pos L]],Table1[[#This Row],[New Pos R]])</f>
        <v>25</v>
      </c>
    </row>
    <row r="700" spans="1:6" ht="16" x14ac:dyDescent="0.2">
      <c r="A700" s="1" t="s">
        <v>122</v>
      </c>
      <c r="B700" t="str">
        <f>LEFT(Table1[[#This Row],[Input]],1)</f>
        <v>R</v>
      </c>
      <c r="C700">
        <f>_xlfn.LET(_xlpm.steps,SUBSTITUTE(Table1[[#This Row],[Input]],Table1[[#This Row],[Direction]],""),VALUE(IF(LEN(_xlpm.steps)&gt;2,RIGHT(_xlpm.steps,2),_xlpm.steps)))</f>
        <v>75</v>
      </c>
      <c r="D700">
        <f>_xlfn.LET(_xlpm.dir,Table1[[#This Row],[Direction]],
IF(_xlpm.dir="L",
    IF(F699-Table1[[#This Row],[Steps]]&lt;0,100+(F699-Table1[[#This Row],[Steps]]),F699-Table1[[#This Row],[Steps]]),
))</f>
        <v>0</v>
      </c>
      <c r="E700">
        <f>_xlfn.LET(_xlpm.dir,Table1[[#This Row],[Direction]],
IF(_xlpm.dir="R",
    IF(F699+Table1[[#This Row],[Steps]]&gt;99,(F699+Table1[[#This Row],[Steps]])-100,F699+Table1[[#This Row],[Steps]]),
))</f>
        <v>0</v>
      </c>
      <c r="F700">
        <f>IF(Table1[[#This Row],[New Pos L]]&lt;&gt;0,Table1[[#This Row],[New Pos L]],Table1[[#This Row],[New Pos R]])</f>
        <v>0</v>
      </c>
    </row>
    <row r="701" spans="1:6" ht="16" x14ac:dyDescent="0.2">
      <c r="A701" s="1" t="s">
        <v>26</v>
      </c>
      <c r="B701" t="str">
        <f>LEFT(Table1[[#This Row],[Input]],1)</f>
        <v>R</v>
      </c>
      <c r="C701">
        <f>_xlfn.LET(_xlpm.steps,SUBSTITUTE(Table1[[#This Row],[Input]],Table1[[#This Row],[Direction]],""),VALUE(IF(LEN(_xlpm.steps)&gt;2,RIGHT(_xlpm.steps,2),_xlpm.steps)))</f>
        <v>6</v>
      </c>
      <c r="D701">
        <f>_xlfn.LET(_xlpm.dir,Table1[[#This Row],[Direction]],
IF(_xlpm.dir="L",
    IF(F700-Table1[[#This Row],[Steps]]&lt;0,100+(F700-Table1[[#This Row],[Steps]]),F700-Table1[[#This Row],[Steps]]),
))</f>
        <v>0</v>
      </c>
      <c r="E701">
        <f>_xlfn.LET(_xlpm.dir,Table1[[#This Row],[Direction]],
IF(_xlpm.dir="R",
    IF(F700+Table1[[#This Row],[Steps]]&gt;99,(F700+Table1[[#This Row],[Steps]])-100,F700+Table1[[#This Row],[Steps]]),
))</f>
        <v>6</v>
      </c>
      <c r="F701">
        <f>IF(Table1[[#This Row],[New Pos L]]&lt;&gt;0,Table1[[#This Row],[New Pos L]],Table1[[#This Row],[New Pos R]])</f>
        <v>6</v>
      </c>
    </row>
    <row r="702" spans="1:6" ht="16" x14ac:dyDescent="0.2">
      <c r="A702" s="1" t="s">
        <v>125</v>
      </c>
      <c r="B702" t="str">
        <f>LEFT(Table1[[#This Row],[Input]],1)</f>
        <v>L</v>
      </c>
      <c r="C702">
        <f>_xlfn.LET(_xlpm.steps,SUBSTITUTE(Table1[[#This Row],[Input]],Table1[[#This Row],[Direction]],""),VALUE(IF(LEN(_xlpm.steps)&gt;2,RIGHT(_xlpm.steps,2),_xlpm.steps)))</f>
        <v>76</v>
      </c>
      <c r="D702">
        <f>_xlfn.LET(_xlpm.dir,Table1[[#This Row],[Direction]],
IF(_xlpm.dir="L",
    IF(F701-Table1[[#This Row],[Steps]]&lt;0,100+(F701-Table1[[#This Row],[Steps]]),F701-Table1[[#This Row],[Steps]]),
))</f>
        <v>30</v>
      </c>
      <c r="E702">
        <f>_xlfn.LET(_xlpm.dir,Table1[[#This Row],[Direction]],
IF(_xlpm.dir="R",
    IF(F701+Table1[[#This Row],[Steps]]&gt;99,(F701+Table1[[#This Row],[Steps]])-100,F701+Table1[[#This Row],[Steps]]),
))</f>
        <v>0</v>
      </c>
      <c r="F702">
        <f>IF(Table1[[#This Row],[New Pos L]]&lt;&gt;0,Table1[[#This Row],[New Pos L]],Table1[[#This Row],[New Pos R]])</f>
        <v>30</v>
      </c>
    </row>
    <row r="703" spans="1:6" ht="16" x14ac:dyDescent="0.2">
      <c r="A703" s="1" t="s">
        <v>41</v>
      </c>
      <c r="B703" t="str">
        <f>LEFT(Table1[[#This Row],[Input]],1)</f>
        <v>L</v>
      </c>
      <c r="C703">
        <f>_xlfn.LET(_xlpm.steps,SUBSTITUTE(Table1[[#This Row],[Input]],Table1[[#This Row],[Direction]],""),VALUE(IF(LEN(_xlpm.steps)&gt;2,RIGHT(_xlpm.steps,2),_xlpm.steps)))</f>
        <v>7</v>
      </c>
      <c r="D703">
        <f>_xlfn.LET(_xlpm.dir,Table1[[#This Row],[Direction]],
IF(_xlpm.dir="L",
    IF(F702-Table1[[#This Row],[Steps]]&lt;0,100+(F702-Table1[[#This Row],[Steps]]),F702-Table1[[#This Row],[Steps]]),
))</f>
        <v>23</v>
      </c>
      <c r="E703">
        <f>_xlfn.LET(_xlpm.dir,Table1[[#This Row],[Direction]],
IF(_xlpm.dir="R",
    IF(F702+Table1[[#This Row],[Steps]]&gt;99,(F702+Table1[[#This Row],[Steps]])-100,F702+Table1[[#This Row],[Steps]]),
))</f>
        <v>0</v>
      </c>
      <c r="F703">
        <f>IF(Table1[[#This Row],[New Pos L]]&lt;&gt;0,Table1[[#This Row],[New Pos L]],Table1[[#This Row],[New Pos R]])</f>
        <v>23</v>
      </c>
    </row>
    <row r="704" spans="1:6" ht="16" x14ac:dyDescent="0.2">
      <c r="A704" s="1" t="s">
        <v>120</v>
      </c>
      <c r="B704" t="str">
        <f>LEFT(Table1[[#This Row],[Input]],1)</f>
        <v>L</v>
      </c>
      <c r="C704">
        <f>_xlfn.LET(_xlpm.steps,SUBSTITUTE(Table1[[#This Row],[Input]],Table1[[#This Row],[Direction]],""),VALUE(IF(LEN(_xlpm.steps)&gt;2,RIGHT(_xlpm.steps,2),_xlpm.steps)))</f>
        <v>23</v>
      </c>
      <c r="D704">
        <f>_xlfn.LET(_xlpm.dir,Table1[[#This Row],[Direction]],
IF(_xlpm.dir="L",
    IF(F703-Table1[[#This Row],[Steps]]&lt;0,100+(F703-Table1[[#This Row],[Steps]]),F703-Table1[[#This Row],[Steps]]),
))</f>
        <v>0</v>
      </c>
      <c r="E704">
        <f>_xlfn.LET(_xlpm.dir,Table1[[#This Row],[Direction]],
IF(_xlpm.dir="R",
    IF(F703+Table1[[#This Row],[Steps]]&gt;99,(F703+Table1[[#This Row],[Steps]])-100,F703+Table1[[#This Row],[Steps]]),
))</f>
        <v>0</v>
      </c>
      <c r="F704">
        <f>IF(Table1[[#This Row],[New Pos L]]&lt;&gt;0,Table1[[#This Row],[New Pos L]],Table1[[#This Row],[New Pos R]])</f>
        <v>0</v>
      </c>
    </row>
    <row r="705" spans="1:6" ht="16" x14ac:dyDescent="0.2">
      <c r="A705" s="1" t="s">
        <v>300</v>
      </c>
      <c r="B705" t="str">
        <f>LEFT(Table1[[#This Row],[Input]],1)</f>
        <v>R</v>
      </c>
      <c r="C705">
        <f>_xlfn.LET(_xlpm.steps,SUBSTITUTE(Table1[[#This Row],[Input]],Table1[[#This Row],[Direction]],""),VALUE(IF(LEN(_xlpm.steps)&gt;2,RIGHT(_xlpm.steps,2),_xlpm.steps)))</f>
        <v>43</v>
      </c>
      <c r="D705">
        <f>_xlfn.LET(_xlpm.dir,Table1[[#This Row],[Direction]],
IF(_xlpm.dir="L",
    IF(F704-Table1[[#This Row],[Steps]]&lt;0,100+(F704-Table1[[#This Row],[Steps]]),F704-Table1[[#This Row],[Steps]]),
))</f>
        <v>0</v>
      </c>
      <c r="E705">
        <f>_xlfn.LET(_xlpm.dir,Table1[[#This Row],[Direction]],
IF(_xlpm.dir="R",
    IF(F704+Table1[[#This Row],[Steps]]&gt;99,(F704+Table1[[#This Row],[Steps]])-100,F704+Table1[[#This Row],[Steps]]),
))</f>
        <v>43</v>
      </c>
      <c r="F705">
        <f>IF(Table1[[#This Row],[New Pos L]]&lt;&gt;0,Table1[[#This Row],[New Pos L]],Table1[[#This Row],[New Pos R]])</f>
        <v>43</v>
      </c>
    </row>
    <row r="706" spans="1:6" ht="16" x14ac:dyDescent="0.2">
      <c r="A706" s="1" t="s">
        <v>11</v>
      </c>
      <c r="B706" t="str">
        <f>LEFT(Table1[[#This Row],[Input]],1)</f>
        <v>L</v>
      </c>
      <c r="C706">
        <f>_xlfn.LET(_xlpm.steps,SUBSTITUTE(Table1[[#This Row],[Input]],Table1[[#This Row],[Direction]],""),VALUE(IF(LEN(_xlpm.steps)&gt;2,RIGHT(_xlpm.steps,2),_xlpm.steps)))</f>
        <v>34</v>
      </c>
      <c r="D706">
        <f>_xlfn.LET(_xlpm.dir,Table1[[#This Row],[Direction]],
IF(_xlpm.dir="L",
    IF(F705-Table1[[#This Row],[Steps]]&lt;0,100+(F705-Table1[[#This Row],[Steps]]),F705-Table1[[#This Row],[Steps]]),
))</f>
        <v>9</v>
      </c>
      <c r="E706">
        <f>_xlfn.LET(_xlpm.dir,Table1[[#This Row],[Direction]],
IF(_xlpm.dir="R",
    IF(F705+Table1[[#This Row],[Steps]]&gt;99,(F705+Table1[[#This Row],[Steps]])-100,F705+Table1[[#This Row],[Steps]]),
))</f>
        <v>0</v>
      </c>
      <c r="F706">
        <f>IF(Table1[[#This Row],[New Pos L]]&lt;&gt;0,Table1[[#This Row],[New Pos L]],Table1[[#This Row],[New Pos R]])</f>
        <v>9</v>
      </c>
    </row>
    <row r="707" spans="1:6" ht="16" x14ac:dyDescent="0.2">
      <c r="A707" s="1" t="s">
        <v>301</v>
      </c>
      <c r="B707" t="str">
        <f>LEFT(Table1[[#This Row],[Input]],1)</f>
        <v>L</v>
      </c>
      <c r="C707">
        <f>_xlfn.LET(_xlpm.steps,SUBSTITUTE(Table1[[#This Row],[Input]],Table1[[#This Row],[Direction]],""),VALUE(IF(LEN(_xlpm.steps)&gt;2,RIGHT(_xlpm.steps,2),_xlpm.steps)))</f>
        <v>9</v>
      </c>
      <c r="D707">
        <f>_xlfn.LET(_xlpm.dir,Table1[[#This Row],[Direction]],
IF(_xlpm.dir="L",
    IF(F706-Table1[[#This Row],[Steps]]&lt;0,100+(F706-Table1[[#This Row],[Steps]]),F706-Table1[[#This Row],[Steps]]),
))</f>
        <v>0</v>
      </c>
      <c r="E707">
        <f>_xlfn.LET(_xlpm.dir,Table1[[#This Row],[Direction]],
IF(_xlpm.dir="R",
    IF(F706+Table1[[#This Row],[Steps]]&gt;99,(F706+Table1[[#This Row],[Steps]])-100,F706+Table1[[#This Row],[Steps]]),
))</f>
        <v>0</v>
      </c>
      <c r="F707">
        <f>IF(Table1[[#This Row],[New Pos L]]&lt;&gt;0,Table1[[#This Row],[New Pos L]],Table1[[#This Row],[New Pos R]])</f>
        <v>0</v>
      </c>
    </row>
    <row r="708" spans="1:6" ht="16" x14ac:dyDescent="0.2">
      <c r="A708" s="1" t="s">
        <v>20</v>
      </c>
      <c r="B708" t="str">
        <f>LEFT(Table1[[#This Row],[Input]],1)</f>
        <v>R</v>
      </c>
      <c r="C708">
        <f>_xlfn.LET(_xlpm.steps,SUBSTITUTE(Table1[[#This Row],[Input]],Table1[[#This Row],[Direction]],""),VALUE(IF(LEN(_xlpm.steps)&gt;2,RIGHT(_xlpm.steps,2),_xlpm.steps)))</f>
        <v>46</v>
      </c>
      <c r="D708">
        <f>_xlfn.LET(_xlpm.dir,Table1[[#This Row],[Direction]],
IF(_xlpm.dir="L",
    IF(F707-Table1[[#This Row],[Steps]]&lt;0,100+(F707-Table1[[#This Row],[Steps]]),F707-Table1[[#This Row],[Steps]]),
))</f>
        <v>0</v>
      </c>
      <c r="E708">
        <f>_xlfn.LET(_xlpm.dir,Table1[[#This Row],[Direction]],
IF(_xlpm.dir="R",
    IF(F707+Table1[[#This Row],[Steps]]&gt;99,(F707+Table1[[#This Row],[Steps]])-100,F707+Table1[[#This Row],[Steps]]),
))</f>
        <v>46</v>
      </c>
      <c r="F708">
        <f>IF(Table1[[#This Row],[New Pos L]]&lt;&gt;0,Table1[[#This Row],[New Pos L]],Table1[[#This Row],[New Pos R]])</f>
        <v>46</v>
      </c>
    </row>
    <row r="709" spans="1:6" ht="16" x14ac:dyDescent="0.2">
      <c r="A709" s="1" t="s">
        <v>84</v>
      </c>
      <c r="B709" t="str">
        <f>LEFT(Table1[[#This Row],[Input]],1)</f>
        <v>R</v>
      </c>
      <c r="C709">
        <f>_xlfn.LET(_xlpm.steps,SUBSTITUTE(Table1[[#This Row],[Input]],Table1[[#This Row],[Direction]],""),VALUE(IF(LEN(_xlpm.steps)&gt;2,RIGHT(_xlpm.steps,2),_xlpm.steps)))</f>
        <v>88</v>
      </c>
      <c r="D709">
        <f>_xlfn.LET(_xlpm.dir,Table1[[#This Row],[Direction]],
IF(_xlpm.dir="L",
    IF(F708-Table1[[#This Row],[Steps]]&lt;0,100+(F708-Table1[[#This Row],[Steps]]),F708-Table1[[#This Row],[Steps]]),
))</f>
        <v>0</v>
      </c>
      <c r="E709">
        <f>_xlfn.LET(_xlpm.dir,Table1[[#This Row],[Direction]],
IF(_xlpm.dir="R",
    IF(F708+Table1[[#This Row],[Steps]]&gt;99,(F708+Table1[[#This Row],[Steps]])-100,F708+Table1[[#This Row],[Steps]]),
))</f>
        <v>34</v>
      </c>
      <c r="F709">
        <f>IF(Table1[[#This Row],[New Pos L]]&lt;&gt;0,Table1[[#This Row],[New Pos L]],Table1[[#This Row],[New Pos R]])</f>
        <v>34</v>
      </c>
    </row>
    <row r="710" spans="1:6" ht="16" x14ac:dyDescent="0.2">
      <c r="A710" s="1" t="s">
        <v>108</v>
      </c>
      <c r="B710" t="str">
        <f>LEFT(Table1[[#This Row],[Input]],1)</f>
        <v>R</v>
      </c>
      <c r="C710">
        <f>_xlfn.LET(_xlpm.steps,SUBSTITUTE(Table1[[#This Row],[Input]],Table1[[#This Row],[Direction]],""),VALUE(IF(LEN(_xlpm.steps)&gt;2,RIGHT(_xlpm.steps,2),_xlpm.steps)))</f>
        <v>66</v>
      </c>
      <c r="D710">
        <f>_xlfn.LET(_xlpm.dir,Table1[[#This Row],[Direction]],
IF(_xlpm.dir="L",
    IF(F709-Table1[[#This Row],[Steps]]&lt;0,100+(F709-Table1[[#This Row],[Steps]]),F709-Table1[[#This Row],[Steps]]),
))</f>
        <v>0</v>
      </c>
      <c r="E710">
        <f>_xlfn.LET(_xlpm.dir,Table1[[#This Row],[Direction]],
IF(_xlpm.dir="R",
    IF(F709+Table1[[#This Row],[Steps]]&gt;99,(F709+Table1[[#This Row],[Steps]])-100,F709+Table1[[#This Row],[Steps]]),
))</f>
        <v>0</v>
      </c>
      <c r="F710">
        <f>IF(Table1[[#This Row],[New Pos L]]&lt;&gt;0,Table1[[#This Row],[New Pos L]],Table1[[#This Row],[New Pos R]])</f>
        <v>0</v>
      </c>
    </row>
    <row r="711" spans="1:6" ht="16" x14ac:dyDescent="0.2">
      <c r="A711" s="1" t="s">
        <v>302</v>
      </c>
      <c r="B711" t="str">
        <f>LEFT(Table1[[#This Row],[Input]],1)</f>
        <v>R</v>
      </c>
      <c r="C711">
        <f>_xlfn.LET(_xlpm.steps,SUBSTITUTE(Table1[[#This Row],[Input]],Table1[[#This Row],[Direction]],""),VALUE(IF(LEN(_xlpm.steps)&gt;2,RIGHT(_xlpm.steps,2),_xlpm.steps)))</f>
        <v>33</v>
      </c>
      <c r="D711">
        <f>_xlfn.LET(_xlpm.dir,Table1[[#This Row],[Direction]],
IF(_xlpm.dir="L",
    IF(F710-Table1[[#This Row],[Steps]]&lt;0,100+(F710-Table1[[#This Row],[Steps]]),F710-Table1[[#This Row],[Steps]]),
))</f>
        <v>0</v>
      </c>
      <c r="E711">
        <f>_xlfn.LET(_xlpm.dir,Table1[[#This Row],[Direction]],
IF(_xlpm.dir="R",
    IF(F710+Table1[[#This Row],[Steps]]&gt;99,(F710+Table1[[#This Row],[Steps]])-100,F710+Table1[[#This Row],[Steps]]),
))</f>
        <v>33</v>
      </c>
      <c r="F711">
        <f>IF(Table1[[#This Row],[New Pos L]]&lt;&gt;0,Table1[[#This Row],[New Pos L]],Table1[[#This Row],[New Pos R]])</f>
        <v>33</v>
      </c>
    </row>
    <row r="712" spans="1:6" ht="16" x14ac:dyDescent="0.2">
      <c r="A712" s="1" t="s">
        <v>223</v>
      </c>
      <c r="B712" t="str">
        <f>LEFT(Table1[[#This Row],[Input]],1)</f>
        <v>L</v>
      </c>
      <c r="C712">
        <f>_xlfn.LET(_xlpm.steps,SUBSTITUTE(Table1[[#This Row],[Input]],Table1[[#This Row],[Direction]],""),VALUE(IF(LEN(_xlpm.steps)&gt;2,RIGHT(_xlpm.steps,2),_xlpm.steps)))</f>
        <v>87</v>
      </c>
      <c r="D712">
        <f>_xlfn.LET(_xlpm.dir,Table1[[#This Row],[Direction]],
IF(_xlpm.dir="L",
    IF(F711-Table1[[#This Row],[Steps]]&lt;0,100+(F711-Table1[[#This Row],[Steps]]),F711-Table1[[#This Row],[Steps]]),
))</f>
        <v>46</v>
      </c>
      <c r="E712">
        <f>_xlfn.LET(_xlpm.dir,Table1[[#This Row],[Direction]],
IF(_xlpm.dir="R",
    IF(F711+Table1[[#This Row],[Steps]]&gt;99,(F711+Table1[[#This Row],[Steps]])-100,F711+Table1[[#This Row],[Steps]]),
))</f>
        <v>0</v>
      </c>
      <c r="F712">
        <f>IF(Table1[[#This Row],[New Pos L]]&lt;&gt;0,Table1[[#This Row],[New Pos L]],Table1[[#This Row],[New Pos R]])</f>
        <v>46</v>
      </c>
    </row>
    <row r="713" spans="1:6" ht="16" x14ac:dyDescent="0.2">
      <c r="A713" s="1" t="s">
        <v>216</v>
      </c>
      <c r="B713" t="str">
        <f>LEFT(Table1[[#This Row],[Input]],1)</f>
        <v>R</v>
      </c>
      <c r="C713">
        <f>_xlfn.LET(_xlpm.steps,SUBSTITUTE(Table1[[#This Row],[Input]],Table1[[#This Row],[Direction]],""),VALUE(IF(LEN(_xlpm.steps)&gt;2,RIGHT(_xlpm.steps,2),_xlpm.steps)))</f>
        <v>54</v>
      </c>
      <c r="D713">
        <f>_xlfn.LET(_xlpm.dir,Table1[[#This Row],[Direction]],
IF(_xlpm.dir="L",
    IF(F712-Table1[[#This Row],[Steps]]&lt;0,100+(F712-Table1[[#This Row],[Steps]]),F712-Table1[[#This Row],[Steps]]),
))</f>
        <v>0</v>
      </c>
      <c r="E713">
        <f>_xlfn.LET(_xlpm.dir,Table1[[#This Row],[Direction]],
IF(_xlpm.dir="R",
    IF(F712+Table1[[#This Row],[Steps]]&gt;99,(F712+Table1[[#This Row],[Steps]])-100,F712+Table1[[#This Row],[Steps]]),
))</f>
        <v>0</v>
      </c>
      <c r="F713">
        <f>IF(Table1[[#This Row],[New Pos L]]&lt;&gt;0,Table1[[#This Row],[New Pos L]],Table1[[#This Row],[New Pos R]])</f>
        <v>0</v>
      </c>
    </row>
    <row r="714" spans="1:6" ht="16" x14ac:dyDescent="0.2">
      <c r="A714" s="1" t="s">
        <v>57</v>
      </c>
      <c r="B714" t="str">
        <f>LEFT(Table1[[#This Row],[Input]],1)</f>
        <v>R</v>
      </c>
      <c r="C714">
        <f>_xlfn.LET(_xlpm.steps,SUBSTITUTE(Table1[[#This Row],[Input]],Table1[[#This Row],[Direction]],""),VALUE(IF(LEN(_xlpm.steps)&gt;2,RIGHT(_xlpm.steps,2),_xlpm.steps)))</f>
        <v>29</v>
      </c>
      <c r="D714">
        <f>_xlfn.LET(_xlpm.dir,Table1[[#This Row],[Direction]],
IF(_xlpm.dir="L",
    IF(F713-Table1[[#This Row],[Steps]]&lt;0,100+(F713-Table1[[#This Row],[Steps]]),F713-Table1[[#This Row],[Steps]]),
))</f>
        <v>0</v>
      </c>
      <c r="E714">
        <f>_xlfn.LET(_xlpm.dir,Table1[[#This Row],[Direction]],
IF(_xlpm.dir="R",
    IF(F713+Table1[[#This Row],[Steps]]&gt;99,(F713+Table1[[#This Row],[Steps]])-100,F713+Table1[[#This Row],[Steps]]),
))</f>
        <v>29</v>
      </c>
      <c r="F714">
        <f>IF(Table1[[#This Row],[New Pos L]]&lt;&gt;0,Table1[[#This Row],[New Pos L]],Table1[[#This Row],[New Pos R]])</f>
        <v>29</v>
      </c>
    </row>
    <row r="715" spans="1:6" ht="16" x14ac:dyDescent="0.2">
      <c r="A715" s="1" t="s">
        <v>29</v>
      </c>
      <c r="B715" t="str">
        <f>LEFT(Table1[[#This Row],[Input]],1)</f>
        <v>L</v>
      </c>
      <c r="C715">
        <f>_xlfn.LET(_xlpm.steps,SUBSTITUTE(Table1[[#This Row],[Input]],Table1[[#This Row],[Direction]],""),VALUE(IF(LEN(_xlpm.steps)&gt;2,RIGHT(_xlpm.steps,2),_xlpm.steps)))</f>
        <v>33</v>
      </c>
      <c r="D715">
        <f>_xlfn.LET(_xlpm.dir,Table1[[#This Row],[Direction]],
IF(_xlpm.dir="L",
    IF(F714-Table1[[#This Row],[Steps]]&lt;0,100+(F714-Table1[[#This Row],[Steps]]),F714-Table1[[#This Row],[Steps]]),
))</f>
        <v>96</v>
      </c>
      <c r="E715">
        <f>_xlfn.LET(_xlpm.dir,Table1[[#This Row],[Direction]],
IF(_xlpm.dir="R",
    IF(F714+Table1[[#This Row],[Steps]]&gt;99,(F714+Table1[[#This Row],[Steps]])-100,F714+Table1[[#This Row],[Steps]]),
))</f>
        <v>0</v>
      </c>
      <c r="F715">
        <f>IF(Table1[[#This Row],[New Pos L]]&lt;&gt;0,Table1[[#This Row],[New Pos L]],Table1[[#This Row],[New Pos R]])</f>
        <v>96</v>
      </c>
    </row>
    <row r="716" spans="1:6" ht="16" x14ac:dyDescent="0.2">
      <c r="A716" s="1" t="s">
        <v>172</v>
      </c>
      <c r="B716" t="str">
        <f>LEFT(Table1[[#This Row],[Input]],1)</f>
        <v>L</v>
      </c>
      <c r="C716">
        <f>_xlfn.LET(_xlpm.steps,SUBSTITUTE(Table1[[#This Row],[Input]],Table1[[#This Row],[Direction]],""),VALUE(IF(LEN(_xlpm.steps)&gt;2,RIGHT(_xlpm.steps,2),_xlpm.steps)))</f>
        <v>66</v>
      </c>
      <c r="D716">
        <f>_xlfn.LET(_xlpm.dir,Table1[[#This Row],[Direction]],
IF(_xlpm.dir="L",
    IF(F715-Table1[[#This Row],[Steps]]&lt;0,100+(F715-Table1[[#This Row],[Steps]]),F715-Table1[[#This Row],[Steps]]),
))</f>
        <v>30</v>
      </c>
      <c r="E716">
        <f>_xlfn.LET(_xlpm.dir,Table1[[#This Row],[Direction]],
IF(_xlpm.dir="R",
    IF(F715+Table1[[#This Row],[Steps]]&gt;99,(F715+Table1[[#This Row],[Steps]])-100,F715+Table1[[#This Row],[Steps]]),
))</f>
        <v>0</v>
      </c>
      <c r="F716">
        <f>IF(Table1[[#This Row],[New Pos L]]&lt;&gt;0,Table1[[#This Row],[New Pos L]],Table1[[#This Row],[New Pos R]])</f>
        <v>30</v>
      </c>
    </row>
    <row r="717" spans="1:6" ht="16" x14ac:dyDescent="0.2">
      <c r="A717" s="1" t="s">
        <v>128</v>
      </c>
      <c r="B717" t="str">
        <f>LEFT(Table1[[#This Row],[Input]],1)</f>
        <v>R</v>
      </c>
      <c r="C717">
        <f>_xlfn.LET(_xlpm.steps,SUBSTITUTE(Table1[[#This Row],[Input]],Table1[[#This Row],[Direction]],""),VALUE(IF(LEN(_xlpm.steps)&gt;2,RIGHT(_xlpm.steps,2),_xlpm.steps)))</f>
        <v>92</v>
      </c>
      <c r="D717">
        <f>_xlfn.LET(_xlpm.dir,Table1[[#This Row],[Direction]],
IF(_xlpm.dir="L",
    IF(F716-Table1[[#This Row],[Steps]]&lt;0,100+(F716-Table1[[#This Row],[Steps]]),F716-Table1[[#This Row],[Steps]]),
))</f>
        <v>0</v>
      </c>
      <c r="E717">
        <f>_xlfn.LET(_xlpm.dir,Table1[[#This Row],[Direction]],
IF(_xlpm.dir="R",
    IF(F716+Table1[[#This Row],[Steps]]&gt;99,(F716+Table1[[#This Row],[Steps]])-100,F716+Table1[[#This Row],[Steps]]),
))</f>
        <v>22</v>
      </c>
      <c r="F717">
        <f>IF(Table1[[#This Row],[New Pos L]]&lt;&gt;0,Table1[[#This Row],[New Pos L]],Table1[[#This Row],[New Pos R]])</f>
        <v>22</v>
      </c>
    </row>
    <row r="718" spans="1:6" ht="16" x14ac:dyDescent="0.2">
      <c r="A718" s="1" t="s">
        <v>4</v>
      </c>
      <c r="B718" t="str">
        <f>LEFT(Table1[[#This Row],[Input]],1)</f>
        <v>R</v>
      </c>
      <c r="C718">
        <f>_xlfn.LET(_xlpm.steps,SUBSTITUTE(Table1[[#This Row],[Input]],Table1[[#This Row],[Direction]],""),VALUE(IF(LEN(_xlpm.steps)&gt;2,RIGHT(_xlpm.steps,2),_xlpm.steps)))</f>
        <v>3</v>
      </c>
      <c r="D718">
        <f>_xlfn.LET(_xlpm.dir,Table1[[#This Row],[Direction]],
IF(_xlpm.dir="L",
    IF(F717-Table1[[#This Row],[Steps]]&lt;0,100+(F717-Table1[[#This Row],[Steps]]),F717-Table1[[#This Row],[Steps]]),
))</f>
        <v>0</v>
      </c>
      <c r="E718">
        <f>_xlfn.LET(_xlpm.dir,Table1[[#This Row],[Direction]],
IF(_xlpm.dir="R",
    IF(F717+Table1[[#This Row],[Steps]]&gt;99,(F717+Table1[[#This Row],[Steps]])-100,F717+Table1[[#This Row],[Steps]]),
))</f>
        <v>25</v>
      </c>
      <c r="F718">
        <f>IF(Table1[[#This Row],[New Pos L]]&lt;&gt;0,Table1[[#This Row],[New Pos L]],Table1[[#This Row],[New Pos R]])</f>
        <v>25</v>
      </c>
    </row>
    <row r="719" spans="1:6" ht="16" x14ac:dyDescent="0.2">
      <c r="A719" s="1" t="s">
        <v>9</v>
      </c>
      <c r="B719" t="str">
        <f>LEFT(Table1[[#This Row],[Input]],1)</f>
        <v>L</v>
      </c>
      <c r="C719">
        <f>_xlfn.LET(_xlpm.steps,SUBSTITUTE(Table1[[#This Row],[Input]],Table1[[#This Row],[Direction]],""),VALUE(IF(LEN(_xlpm.steps)&gt;2,RIGHT(_xlpm.steps,2),_xlpm.steps)))</f>
        <v>9</v>
      </c>
      <c r="D719">
        <f>_xlfn.LET(_xlpm.dir,Table1[[#This Row],[Direction]],
IF(_xlpm.dir="L",
    IF(F718-Table1[[#This Row],[Steps]]&lt;0,100+(F718-Table1[[#This Row],[Steps]]),F718-Table1[[#This Row],[Steps]]),
))</f>
        <v>16</v>
      </c>
      <c r="E719">
        <f>_xlfn.LET(_xlpm.dir,Table1[[#This Row],[Direction]],
IF(_xlpm.dir="R",
    IF(F718+Table1[[#This Row],[Steps]]&gt;99,(F718+Table1[[#This Row],[Steps]])-100,F718+Table1[[#This Row],[Steps]]),
))</f>
        <v>0</v>
      </c>
      <c r="F719">
        <f>IF(Table1[[#This Row],[New Pos L]]&lt;&gt;0,Table1[[#This Row],[New Pos L]],Table1[[#This Row],[New Pos R]])</f>
        <v>16</v>
      </c>
    </row>
    <row r="720" spans="1:6" ht="16" x14ac:dyDescent="0.2">
      <c r="A720" s="1" t="s">
        <v>279</v>
      </c>
      <c r="B720" t="str">
        <f>LEFT(Table1[[#This Row],[Input]],1)</f>
        <v>R</v>
      </c>
      <c r="C720">
        <f>_xlfn.LET(_xlpm.steps,SUBSTITUTE(Table1[[#This Row],[Input]],Table1[[#This Row],[Direction]],""),VALUE(IF(LEN(_xlpm.steps)&gt;2,RIGHT(_xlpm.steps,2),_xlpm.steps)))</f>
        <v>34</v>
      </c>
      <c r="D720">
        <f>_xlfn.LET(_xlpm.dir,Table1[[#This Row],[Direction]],
IF(_xlpm.dir="L",
    IF(F719-Table1[[#This Row],[Steps]]&lt;0,100+(F719-Table1[[#This Row],[Steps]]),F719-Table1[[#This Row],[Steps]]),
))</f>
        <v>0</v>
      </c>
      <c r="E720">
        <f>_xlfn.LET(_xlpm.dir,Table1[[#This Row],[Direction]],
IF(_xlpm.dir="R",
    IF(F719+Table1[[#This Row],[Steps]]&gt;99,(F719+Table1[[#This Row],[Steps]])-100,F719+Table1[[#This Row],[Steps]]),
))</f>
        <v>50</v>
      </c>
      <c r="F720">
        <f>IF(Table1[[#This Row],[New Pos L]]&lt;&gt;0,Table1[[#This Row],[New Pos L]],Table1[[#This Row],[New Pos R]])</f>
        <v>50</v>
      </c>
    </row>
    <row r="721" spans="1:6" ht="16" x14ac:dyDescent="0.2">
      <c r="A721" s="1" t="s">
        <v>2</v>
      </c>
      <c r="B721" t="str">
        <f>LEFT(Table1[[#This Row],[Input]],1)</f>
        <v>L</v>
      </c>
      <c r="C721">
        <f>_xlfn.LET(_xlpm.steps,SUBSTITUTE(Table1[[#This Row],[Input]],Table1[[#This Row],[Direction]],""),VALUE(IF(LEN(_xlpm.steps)&gt;2,RIGHT(_xlpm.steps,2),_xlpm.steps)))</f>
        <v>38</v>
      </c>
      <c r="D721">
        <f>_xlfn.LET(_xlpm.dir,Table1[[#This Row],[Direction]],
IF(_xlpm.dir="L",
    IF(F720-Table1[[#This Row],[Steps]]&lt;0,100+(F720-Table1[[#This Row],[Steps]]),F720-Table1[[#This Row],[Steps]]),
))</f>
        <v>12</v>
      </c>
      <c r="E721">
        <f>_xlfn.LET(_xlpm.dir,Table1[[#This Row],[Direction]],
IF(_xlpm.dir="R",
    IF(F720+Table1[[#This Row],[Steps]]&gt;99,(F720+Table1[[#This Row],[Steps]])-100,F720+Table1[[#This Row],[Steps]]),
))</f>
        <v>0</v>
      </c>
      <c r="F721">
        <f>IF(Table1[[#This Row],[New Pos L]]&lt;&gt;0,Table1[[#This Row],[New Pos L]],Table1[[#This Row],[New Pos R]])</f>
        <v>12</v>
      </c>
    </row>
    <row r="722" spans="1:6" ht="16" x14ac:dyDescent="0.2">
      <c r="A722" s="1" t="s">
        <v>84</v>
      </c>
      <c r="B722" t="str">
        <f>LEFT(Table1[[#This Row],[Input]],1)</f>
        <v>R</v>
      </c>
      <c r="C722">
        <f>_xlfn.LET(_xlpm.steps,SUBSTITUTE(Table1[[#This Row],[Input]],Table1[[#This Row],[Direction]],""),VALUE(IF(LEN(_xlpm.steps)&gt;2,RIGHT(_xlpm.steps,2),_xlpm.steps)))</f>
        <v>88</v>
      </c>
      <c r="D722">
        <f>_xlfn.LET(_xlpm.dir,Table1[[#This Row],[Direction]],
IF(_xlpm.dir="L",
    IF(F721-Table1[[#This Row],[Steps]]&lt;0,100+(F721-Table1[[#This Row],[Steps]]),F721-Table1[[#This Row],[Steps]]),
))</f>
        <v>0</v>
      </c>
      <c r="E722">
        <f>_xlfn.LET(_xlpm.dir,Table1[[#This Row],[Direction]],
IF(_xlpm.dir="R",
    IF(F721+Table1[[#This Row],[Steps]]&gt;99,(F721+Table1[[#This Row],[Steps]])-100,F721+Table1[[#This Row],[Steps]]),
))</f>
        <v>0</v>
      </c>
      <c r="F722">
        <f>IF(Table1[[#This Row],[New Pos L]]&lt;&gt;0,Table1[[#This Row],[New Pos L]],Table1[[#This Row],[New Pos R]])</f>
        <v>0</v>
      </c>
    </row>
    <row r="723" spans="1:6" ht="16" x14ac:dyDescent="0.2">
      <c r="A723" s="1" t="s">
        <v>7</v>
      </c>
      <c r="B723" t="str">
        <f>LEFT(Table1[[#This Row],[Input]],1)</f>
        <v>R</v>
      </c>
      <c r="C723">
        <f>_xlfn.LET(_xlpm.steps,SUBSTITUTE(Table1[[#This Row],[Input]],Table1[[#This Row],[Direction]],""),VALUE(IF(LEN(_xlpm.steps)&gt;2,RIGHT(_xlpm.steps,2),_xlpm.steps)))</f>
        <v>14</v>
      </c>
      <c r="D723">
        <f>_xlfn.LET(_xlpm.dir,Table1[[#This Row],[Direction]],
IF(_xlpm.dir="L",
    IF(F722-Table1[[#This Row],[Steps]]&lt;0,100+(F722-Table1[[#This Row],[Steps]]),F722-Table1[[#This Row],[Steps]]),
))</f>
        <v>0</v>
      </c>
      <c r="E723">
        <f>_xlfn.LET(_xlpm.dir,Table1[[#This Row],[Direction]],
IF(_xlpm.dir="R",
    IF(F722+Table1[[#This Row],[Steps]]&gt;99,(F722+Table1[[#This Row],[Steps]])-100,F722+Table1[[#This Row],[Steps]]),
))</f>
        <v>14</v>
      </c>
      <c r="F723">
        <f>IF(Table1[[#This Row],[New Pos L]]&lt;&gt;0,Table1[[#This Row],[New Pos L]],Table1[[#This Row],[New Pos R]])</f>
        <v>14</v>
      </c>
    </row>
    <row r="724" spans="1:6" ht="16" x14ac:dyDescent="0.2">
      <c r="A724" s="1" t="s">
        <v>303</v>
      </c>
      <c r="B724" t="str">
        <f>LEFT(Table1[[#This Row],[Input]],1)</f>
        <v>R</v>
      </c>
      <c r="C724">
        <f>_xlfn.LET(_xlpm.steps,SUBSTITUTE(Table1[[#This Row],[Input]],Table1[[#This Row],[Direction]],""),VALUE(IF(LEN(_xlpm.steps)&gt;2,RIGHT(_xlpm.steps,2),_xlpm.steps)))</f>
        <v>30</v>
      </c>
      <c r="D724">
        <f>_xlfn.LET(_xlpm.dir,Table1[[#This Row],[Direction]],
IF(_xlpm.dir="L",
    IF(F723-Table1[[#This Row],[Steps]]&lt;0,100+(F723-Table1[[#This Row],[Steps]]),F723-Table1[[#This Row],[Steps]]),
))</f>
        <v>0</v>
      </c>
      <c r="E724">
        <f>_xlfn.LET(_xlpm.dir,Table1[[#This Row],[Direction]],
IF(_xlpm.dir="R",
    IF(F723+Table1[[#This Row],[Steps]]&gt;99,(F723+Table1[[#This Row],[Steps]])-100,F723+Table1[[#This Row],[Steps]]),
))</f>
        <v>44</v>
      </c>
      <c r="F724">
        <f>IF(Table1[[#This Row],[New Pos L]]&lt;&gt;0,Table1[[#This Row],[New Pos L]],Table1[[#This Row],[New Pos R]])</f>
        <v>44</v>
      </c>
    </row>
    <row r="725" spans="1:6" ht="16" x14ac:dyDescent="0.2">
      <c r="A725" s="1" t="s">
        <v>304</v>
      </c>
      <c r="B725" t="str">
        <f>LEFT(Table1[[#This Row],[Input]],1)</f>
        <v>L</v>
      </c>
      <c r="C725">
        <f>_xlfn.LET(_xlpm.steps,SUBSTITUTE(Table1[[#This Row],[Input]],Table1[[#This Row],[Direction]],""),VALUE(IF(LEN(_xlpm.steps)&gt;2,RIGHT(_xlpm.steps,2),_xlpm.steps)))</f>
        <v>26</v>
      </c>
      <c r="D725">
        <f>_xlfn.LET(_xlpm.dir,Table1[[#This Row],[Direction]],
IF(_xlpm.dir="L",
    IF(F724-Table1[[#This Row],[Steps]]&lt;0,100+(F724-Table1[[#This Row],[Steps]]),F724-Table1[[#This Row],[Steps]]),
))</f>
        <v>18</v>
      </c>
      <c r="E725">
        <f>_xlfn.LET(_xlpm.dir,Table1[[#This Row],[Direction]],
IF(_xlpm.dir="R",
    IF(F724+Table1[[#This Row],[Steps]]&gt;99,(F724+Table1[[#This Row],[Steps]])-100,F724+Table1[[#This Row],[Steps]]),
))</f>
        <v>0</v>
      </c>
      <c r="F725">
        <f>IF(Table1[[#This Row],[New Pos L]]&lt;&gt;0,Table1[[#This Row],[New Pos L]],Table1[[#This Row],[New Pos R]])</f>
        <v>18</v>
      </c>
    </row>
    <row r="726" spans="1:6" ht="16" x14ac:dyDescent="0.2">
      <c r="A726" s="1" t="s">
        <v>57</v>
      </c>
      <c r="B726" t="str">
        <f>LEFT(Table1[[#This Row],[Input]],1)</f>
        <v>R</v>
      </c>
      <c r="C726">
        <f>_xlfn.LET(_xlpm.steps,SUBSTITUTE(Table1[[#This Row],[Input]],Table1[[#This Row],[Direction]],""),VALUE(IF(LEN(_xlpm.steps)&gt;2,RIGHT(_xlpm.steps,2),_xlpm.steps)))</f>
        <v>29</v>
      </c>
      <c r="D726">
        <f>_xlfn.LET(_xlpm.dir,Table1[[#This Row],[Direction]],
IF(_xlpm.dir="L",
    IF(F725-Table1[[#This Row],[Steps]]&lt;0,100+(F725-Table1[[#This Row],[Steps]]),F725-Table1[[#This Row],[Steps]]),
))</f>
        <v>0</v>
      </c>
      <c r="E726">
        <f>_xlfn.LET(_xlpm.dir,Table1[[#This Row],[Direction]],
IF(_xlpm.dir="R",
    IF(F725+Table1[[#This Row],[Steps]]&gt;99,(F725+Table1[[#This Row],[Steps]])-100,F725+Table1[[#This Row],[Steps]]),
))</f>
        <v>47</v>
      </c>
      <c r="F726">
        <f>IF(Table1[[#This Row],[New Pos L]]&lt;&gt;0,Table1[[#This Row],[New Pos L]],Table1[[#This Row],[New Pos R]])</f>
        <v>47</v>
      </c>
    </row>
    <row r="727" spans="1:6" ht="16" x14ac:dyDescent="0.2">
      <c r="A727" s="1" t="s">
        <v>108</v>
      </c>
      <c r="B727" t="str">
        <f>LEFT(Table1[[#This Row],[Input]],1)</f>
        <v>R</v>
      </c>
      <c r="C727">
        <f>_xlfn.LET(_xlpm.steps,SUBSTITUTE(Table1[[#This Row],[Input]],Table1[[#This Row],[Direction]],""),VALUE(IF(LEN(_xlpm.steps)&gt;2,RIGHT(_xlpm.steps,2),_xlpm.steps)))</f>
        <v>66</v>
      </c>
      <c r="D727">
        <f>_xlfn.LET(_xlpm.dir,Table1[[#This Row],[Direction]],
IF(_xlpm.dir="L",
    IF(F726-Table1[[#This Row],[Steps]]&lt;0,100+(F726-Table1[[#This Row],[Steps]]),F726-Table1[[#This Row],[Steps]]),
))</f>
        <v>0</v>
      </c>
      <c r="E727">
        <f>_xlfn.LET(_xlpm.dir,Table1[[#This Row],[Direction]],
IF(_xlpm.dir="R",
    IF(F726+Table1[[#This Row],[Steps]]&gt;99,(F726+Table1[[#This Row],[Steps]])-100,F726+Table1[[#This Row],[Steps]]),
))</f>
        <v>13</v>
      </c>
      <c r="F727">
        <f>IF(Table1[[#This Row],[New Pos L]]&lt;&gt;0,Table1[[#This Row],[New Pos L]],Table1[[#This Row],[New Pos R]])</f>
        <v>13</v>
      </c>
    </row>
    <row r="728" spans="1:6" ht="16" x14ac:dyDescent="0.2">
      <c r="A728" s="1" t="s">
        <v>213</v>
      </c>
      <c r="B728" t="str">
        <f>LEFT(Table1[[#This Row],[Input]],1)</f>
        <v>R</v>
      </c>
      <c r="C728">
        <f>_xlfn.LET(_xlpm.steps,SUBSTITUTE(Table1[[#This Row],[Input]],Table1[[#This Row],[Direction]],""),VALUE(IF(LEN(_xlpm.steps)&gt;2,RIGHT(_xlpm.steps,2),_xlpm.steps)))</f>
        <v>87</v>
      </c>
      <c r="D728">
        <f>_xlfn.LET(_xlpm.dir,Table1[[#This Row],[Direction]],
IF(_xlpm.dir="L",
    IF(F727-Table1[[#This Row],[Steps]]&lt;0,100+(F727-Table1[[#This Row],[Steps]]),F727-Table1[[#This Row],[Steps]]),
))</f>
        <v>0</v>
      </c>
      <c r="E728">
        <f>_xlfn.LET(_xlpm.dir,Table1[[#This Row],[Direction]],
IF(_xlpm.dir="R",
    IF(F727+Table1[[#This Row],[Steps]]&gt;99,(F727+Table1[[#This Row],[Steps]])-100,F727+Table1[[#This Row],[Steps]]),
))</f>
        <v>0</v>
      </c>
      <c r="F728">
        <f>IF(Table1[[#This Row],[New Pos L]]&lt;&gt;0,Table1[[#This Row],[New Pos L]],Table1[[#This Row],[New Pos R]])</f>
        <v>0</v>
      </c>
    </row>
    <row r="729" spans="1:6" ht="16" x14ac:dyDescent="0.2">
      <c r="A729" s="1" t="s">
        <v>205</v>
      </c>
      <c r="B729" t="str">
        <f>LEFT(Table1[[#This Row],[Input]],1)</f>
        <v>R</v>
      </c>
      <c r="C729">
        <f>_xlfn.LET(_xlpm.steps,SUBSTITUTE(Table1[[#This Row],[Input]],Table1[[#This Row],[Direction]],""),VALUE(IF(LEN(_xlpm.steps)&gt;2,RIGHT(_xlpm.steps,2),_xlpm.steps)))</f>
        <v>83</v>
      </c>
      <c r="D729">
        <f>_xlfn.LET(_xlpm.dir,Table1[[#This Row],[Direction]],
IF(_xlpm.dir="L",
    IF(F728-Table1[[#This Row],[Steps]]&lt;0,100+(F728-Table1[[#This Row],[Steps]]),F728-Table1[[#This Row],[Steps]]),
))</f>
        <v>0</v>
      </c>
      <c r="E729">
        <f>_xlfn.LET(_xlpm.dir,Table1[[#This Row],[Direction]],
IF(_xlpm.dir="R",
    IF(F728+Table1[[#This Row],[Steps]]&gt;99,(F728+Table1[[#This Row],[Steps]])-100,F728+Table1[[#This Row],[Steps]]),
))</f>
        <v>83</v>
      </c>
      <c r="F729">
        <f>IF(Table1[[#This Row],[New Pos L]]&lt;&gt;0,Table1[[#This Row],[New Pos L]],Table1[[#This Row],[New Pos R]])</f>
        <v>83</v>
      </c>
    </row>
    <row r="730" spans="1:6" ht="16" x14ac:dyDescent="0.2">
      <c r="A730" s="1" t="s">
        <v>187</v>
      </c>
      <c r="B730" t="str">
        <f>LEFT(Table1[[#This Row],[Input]],1)</f>
        <v>R</v>
      </c>
      <c r="C730">
        <f>_xlfn.LET(_xlpm.steps,SUBSTITUTE(Table1[[#This Row],[Input]],Table1[[#This Row],[Direction]],""),VALUE(IF(LEN(_xlpm.steps)&gt;2,RIGHT(_xlpm.steps,2),_xlpm.steps)))</f>
        <v>20</v>
      </c>
      <c r="D730">
        <f>_xlfn.LET(_xlpm.dir,Table1[[#This Row],[Direction]],
IF(_xlpm.dir="L",
    IF(F729-Table1[[#This Row],[Steps]]&lt;0,100+(F729-Table1[[#This Row],[Steps]]),F729-Table1[[#This Row],[Steps]]),
))</f>
        <v>0</v>
      </c>
      <c r="E730">
        <f>_xlfn.LET(_xlpm.dir,Table1[[#This Row],[Direction]],
IF(_xlpm.dir="R",
    IF(F729+Table1[[#This Row],[Steps]]&gt;99,(F729+Table1[[#This Row],[Steps]])-100,F729+Table1[[#This Row],[Steps]]),
))</f>
        <v>3</v>
      </c>
      <c r="F730">
        <f>IF(Table1[[#This Row],[New Pos L]]&lt;&gt;0,Table1[[#This Row],[New Pos L]],Table1[[#This Row],[New Pos R]])</f>
        <v>3</v>
      </c>
    </row>
    <row r="731" spans="1:6" ht="16" x14ac:dyDescent="0.2">
      <c r="A731" s="1" t="s">
        <v>293</v>
      </c>
      <c r="B731" t="str">
        <f>LEFT(Table1[[#This Row],[Input]],1)</f>
        <v>R</v>
      </c>
      <c r="C731">
        <f>_xlfn.LET(_xlpm.steps,SUBSTITUTE(Table1[[#This Row],[Input]],Table1[[#This Row],[Direction]],""),VALUE(IF(LEN(_xlpm.steps)&gt;2,RIGHT(_xlpm.steps,2),_xlpm.steps)))</f>
        <v>67</v>
      </c>
      <c r="D731">
        <f>_xlfn.LET(_xlpm.dir,Table1[[#This Row],[Direction]],
IF(_xlpm.dir="L",
    IF(F730-Table1[[#This Row],[Steps]]&lt;0,100+(F730-Table1[[#This Row],[Steps]]),F730-Table1[[#This Row],[Steps]]),
))</f>
        <v>0</v>
      </c>
      <c r="E731">
        <f>_xlfn.LET(_xlpm.dir,Table1[[#This Row],[Direction]],
IF(_xlpm.dir="R",
    IF(F730+Table1[[#This Row],[Steps]]&gt;99,(F730+Table1[[#This Row],[Steps]])-100,F730+Table1[[#This Row],[Steps]]),
))</f>
        <v>70</v>
      </c>
      <c r="F731">
        <f>IF(Table1[[#This Row],[New Pos L]]&lt;&gt;0,Table1[[#This Row],[New Pos L]],Table1[[#This Row],[New Pos R]])</f>
        <v>70</v>
      </c>
    </row>
    <row r="732" spans="1:6" ht="16" x14ac:dyDescent="0.2">
      <c r="A732" s="1" t="s">
        <v>305</v>
      </c>
      <c r="B732" t="str">
        <f>LEFT(Table1[[#This Row],[Input]],1)</f>
        <v>L</v>
      </c>
      <c r="C732">
        <f>_xlfn.LET(_xlpm.steps,SUBSTITUTE(Table1[[#This Row],[Input]],Table1[[#This Row],[Direction]],""),VALUE(IF(LEN(_xlpm.steps)&gt;2,RIGHT(_xlpm.steps,2),_xlpm.steps)))</f>
        <v>72</v>
      </c>
      <c r="D732">
        <f>_xlfn.LET(_xlpm.dir,Table1[[#This Row],[Direction]],
IF(_xlpm.dir="L",
    IF(F731-Table1[[#This Row],[Steps]]&lt;0,100+(F731-Table1[[#This Row],[Steps]]),F731-Table1[[#This Row],[Steps]]),
))</f>
        <v>98</v>
      </c>
      <c r="E732">
        <f>_xlfn.LET(_xlpm.dir,Table1[[#This Row],[Direction]],
IF(_xlpm.dir="R",
    IF(F731+Table1[[#This Row],[Steps]]&gt;99,(F731+Table1[[#This Row],[Steps]])-100,F731+Table1[[#This Row],[Steps]]),
))</f>
        <v>0</v>
      </c>
      <c r="F732">
        <f>IF(Table1[[#This Row],[New Pos L]]&lt;&gt;0,Table1[[#This Row],[New Pos L]],Table1[[#This Row],[New Pos R]])</f>
        <v>98</v>
      </c>
    </row>
    <row r="733" spans="1:6" ht="16" x14ac:dyDescent="0.2">
      <c r="A733" s="1" t="s">
        <v>1</v>
      </c>
      <c r="B733" t="str">
        <f>LEFT(Table1[[#This Row],[Input]],1)</f>
        <v>R</v>
      </c>
      <c r="C733">
        <f>_xlfn.LET(_xlpm.steps,SUBSTITUTE(Table1[[#This Row],[Input]],Table1[[#This Row],[Direction]],""),VALUE(IF(LEN(_xlpm.steps)&gt;2,RIGHT(_xlpm.steps,2),_xlpm.steps)))</f>
        <v>26</v>
      </c>
      <c r="D733">
        <f>_xlfn.LET(_xlpm.dir,Table1[[#This Row],[Direction]],
IF(_xlpm.dir="L",
    IF(F732-Table1[[#This Row],[Steps]]&lt;0,100+(F732-Table1[[#This Row],[Steps]]),F732-Table1[[#This Row],[Steps]]),
))</f>
        <v>0</v>
      </c>
      <c r="E733">
        <f>_xlfn.LET(_xlpm.dir,Table1[[#This Row],[Direction]],
IF(_xlpm.dir="R",
    IF(F732+Table1[[#This Row],[Steps]]&gt;99,(F732+Table1[[#This Row],[Steps]])-100,F732+Table1[[#This Row],[Steps]]),
))</f>
        <v>24</v>
      </c>
      <c r="F733">
        <f>IF(Table1[[#This Row],[New Pos L]]&lt;&gt;0,Table1[[#This Row],[New Pos L]],Table1[[#This Row],[New Pos R]])</f>
        <v>24</v>
      </c>
    </row>
    <row r="734" spans="1:6" ht="16" x14ac:dyDescent="0.2">
      <c r="A734" s="1" t="s">
        <v>306</v>
      </c>
      <c r="B734" t="str">
        <f>LEFT(Table1[[#This Row],[Input]],1)</f>
        <v>L</v>
      </c>
      <c r="C734">
        <f>_xlfn.LET(_xlpm.steps,SUBSTITUTE(Table1[[#This Row],[Input]],Table1[[#This Row],[Direction]],""),VALUE(IF(LEN(_xlpm.steps)&gt;2,RIGHT(_xlpm.steps,2),_xlpm.steps)))</f>
        <v>90</v>
      </c>
      <c r="D734">
        <f>_xlfn.LET(_xlpm.dir,Table1[[#This Row],[Direction]],
IF(_xlpm.dir="L",
    IF(F733-Table1[[#This Row],[Steps]]&lt;0,100+(F733-Table1[[#This Row],[Steps]]),F733-Table1[[#This Row],[Steps]]),
))</f>
        <v>34</v>
      </c>
      <c r="E734">
        <f>_xlfn.LET(_xlpm.dir,Table1[[#This Row],[Direction]],
IF(_xlpm.dir="R",
    IF(F733+Table1[[#This Row],[Steps]]&gt;99,(F733+Table1[[#This Row],[Steps]])-100,F733+Table1[[#This Row],[Steps]]),
))</f>
        <v>0</v>
      </c>
      <c r="F734">
        <f>IF(Table1[[#This Row],[New Pos L]]&lt;&gt;0,Table1[[#This Row],[New Pos L]],Table1[[#This Row],[New Pos R]])</f>
        <v>34</v>
      </c>
    </row>
    <row r="735" spans="1:6" ht="16" x14ac:dyDescent="0.2">
      <c r="A735" s="1" t="s">
        <v>110</v>
      </c>
      <c r="B735" t="str">
        <f>LEFT(Table1[[#This Row],[Input]],1)</f>
        <v>L</v>
      </c>
      <c r="C735">
        <f>_xlfn.LET(_xlpm.steps,SUBSTITUTE(Table1[[#This Row],[Input]],Table1[[#This Row],[Direction]],""),VALUE(IF(LEN(_xlpm.steps)&gt;2,RIGHT(_xlpm.steps,2),_xlpm.steps)))</f>
        <v>81</v>
      </c>
      <c r="D735">
        <f>_xlfn.LET(_xlpm.dir,Table1[[#This Row],[Direction]],
IF(_xlpm.dir="L",
    IF(F734-Table1[[#This Row],[Steps]]&lt;0,100+(F734-Table1[[#This Row],[Steps]]),F734-Table1[[#This Row],[Steps]]),
))</f>
        <v>53</v>
      </c>
      <c r="E735">
        <f>_xlfn.LET(_xlpm.dir,Table1[[#This Row],[Direction]],
IF(_xlpm.dir="R",
    IF(F734+Table1[[#This Row],[Steps]]&gt;99,(F734+Table1[[#This Row],[Steps]])-100,F734+Table1[[#This Row],[Steps]]),
))</f>
        <v>0</v>
      </c>
      <c r="F735">
        <f>IF(Table1[[#This Row],[New Pos L]]&lt;&gt;0,Table1[[#This Row],[New Pos L]],Table1[[#This Row],[New Pos R]])</f>
        <v>53</v>
      </c>
    </row>
    <row r="736" spans="1:6" ht="16" x14ac:dyDescent="0.2">
      <c r="A736" s="1" t="s">
        <v>19</v>
      </c>
      <c r="B736" t="str">
        <f>LEFT(Table1[[#This Row],[Input]],1)</f>
        <v>R</v>
      </c>
      <c r="C736">
        <f>_xlfn.LET(_xlpm.steps,SUBSTITUTE(Table1[[#This Row],[Input]],Table1[[#This Row],[Direction]],""),VALUE(IF(LEN(_xlpm.steps)&gt;2,RIGHT(_xlpm.steps,2),_xlpm.steps)))</f>
        <v>47</v>
      </c>
      <c r="D736">
        <f>_xlfn.LET(_xlpm.dir,Table1[[#This Row],[Direction]],
IF(_xlpm.dir="L",
    IF(F735-Table1[[#This Row],[Steps]]&lt;0,100+(F735-Table1[[#This Row],[Steps]]),F735-Table1[[#This Row],[Steps]]),
))</f>
        <v>0</v>
      </c>
      <c r="E736">
        <f>_xlfn.LET(_xlpm.dir,Table1[[#This Row],[Direction]],
IF(_xlpm.dir="R",
    IF(F735+Table1[[#This Row],[Steps]]&gt;99,(F735+Table1[[#This Row],[Steps]])-100,F735+Table1[[#This Row],[Steps]]),
))</f>
        <v>0</v>
      </c>
      <c r="F736">
        <f>IF(Table1[[#This Row],[New Pos L]]&lt;&gt;0,Table1[[#This Row],[New Pos L]],Table1[[#This Row],[New Pos R]])</f>
        <v>0</v>
      </c>
    </row>
    <row r="737" spans="1:6" ht="16" x14ac:dyDescent="0.2">
      <c r="A737" s="1" t="s">
        <v>272</v>
      </c>
      <c r="B737" t="str">
        <f>LEFT(Table1[[#This Row],[Input]],1)</f>
        <v>R</v>
      </c>
      <c r="C737">
        <f>_xlfn.LET(_xlpm.steps,SUBSTITUTE(Table1[[#This Row],[Input]],Table1[[#This Row],[Direction]],""),VALUE(IF(LEN(_xlpm.steps)&gt;2,RIGHT(_xlpm.steps,2),_xlpm.steps)))</f>
        <v>56</v>
      </c>
      <c r="D737">
        <f>_xlfn.LET(_xlpm.dir,Table1[[#This Row],[Direction]],
IF(_xlpm.dir="L",
    IF(F736-Table1[[#This Row],[Steps]]&lt;0,100+(F736-Table1[[#This Row],[Steps]]),F736-Table1[[#This Row],[Steps]]),
))</f>
        <v>0</v>
      </c>
      <c r="E737">
        <f>_xlfn.LET(_xlpm.dir,Table1[[#This Row],[Direction]],
IF(_xlpm.dir="R",
    IF(F736+Table1[[#This Row],[Steps]]&gt;99,(F736+Table1[[#This Row],[Steps]])-100,F736+Table1[[#This Row],[Steps]]),
))</f>
        <v>56</v>
      </c>
      <c r="F737">
        <f>IF(Table1[[#This Row],[New Pos L]]&lt;&gt;0,Table1[[#This Row],[New Pos L]],Table1[[#This Row],[New Pos R]])</f>
        <v>56</v>
      </c>
    </row>
    <row r="738" spans="1:6" ht="16" x14ac:dyDescent="0.2">
      <c r="A738" s="1" t="s">
        <v>256</v>
      </c>
      <c r="B738" t="str">
        <f>LEFT(Table1[[#This Row],[Input]],1)</f>
        <v>R</v>
      </c>
      <c r="C738">
        <f>_xlfn.LET(_xlpm.steps,SUBSTITUTE(Table1[[#This Row],[Input]],Table1[[#This Row],[Direction]],""),VALUE(IF(LEN(_xlpm.steps)&gt;2,RIGHT(_xlpm.steps,2),_xlpm.steps)))</f>
        <v>13</v>
      </c>
      <c r="D738">
        <f>_xlfn.LET(_xlpm.dir,Table1[[#This Row],[Direction]],
IF(_xlpm.dir="L",
    IF(F737-Table1[[#This Row],[Steps]]&lt;0,100+(F737-Table1[[#This Row],[Steps]]),F737-Table1[[#This Row],[Steps]]),
))</f>
        <v>0</v>
      </c>
      <c r="E738">
        <f>_xlfn.LET(_xlpm.dir,Table1[[#This Row],[Direction]],
IF(_xlpm.dir="R",
    IF(F737+Table1[[#This Row],[Steps]]&gt;99,(F737+Table1[[#This Row],[Steps]])-100,F737+Table1[[#This Row],[Steps]]),
))</f>
        <v>69</v>
      </c>
      <c r="F738">
        <f>IF(Table1[[#This Row],[New Pos L]]&lt;&gt;0,Table1[[#This Row],[New Pos L]],Table1[[#This Row],[New Pos R]])</f>
        <v>69</v>
      </c>
    </row>
    <row r="739" spans="1:6" ht="16" x14ac:dyDescent="0.2">
      <c r="A739" s="1" t="s">
        <v>307</v>
      </c>
      <c r="B739" t="str">
        <f>LEFT(Table1[[#This Row],[Input]],1)</f>
        <v>R</v>
      </c>
      <c r="C739">
        <f>_xlfn.LET(_xlpm.steps,SUBSTITUTE(Table1[[#This Row],[Input]],Table1[[#This Row],[Direction]],""),VALUE(IF(LEN(_xlpm.steps)&gt;2,RIGHT(_xlpm.steps,2),_xlpm.steps)))</f>
        <v>94</v>
      </c>
      <c r="D739">
        <f>_xlfn.LET(_xlpm.dir,Table1[[#This Row],[Direction]],
IF(_xlpm.dir="L",
    IF(F738-Table1[[#This Row],[Steps]]&lt;0,100+(F738-Table1[[#This Row],[Steps]]),F738-Table1[[#This Row],[Steps]]),
))</f>
        <v>0</v>
      </c>
      <c r="E739">
        <f>_xlfn.LET(_xlpm.dir,Table1[[#This Row],[Direction]],
IF(_xlpm.dir="R",
    IF(F738+Table1[[#This Row],[Steps]]&gt;99,(F738+Table1[[#This Row],[Steps]])-100,F738+Table1[[#This Row],[Steps]]),
))</f>
        <v>63</v>
      </c>
      <c r="F739">
        <f>IF(Table1[[#This Row],[New Pos L]]&lt;&gt;0,Table1[[#This Row],[New Pos L]],Table1[[#This Row],[New Pos R]])</f>
        <v>63</v>
      </c>
    </row>
    <row r="740" spans="1:6" ht="16" x14ac:dyDescent="0.2">
      <c r="A740" s="1" t="s">
        <v>131</v>
      </c>
      <c r="B740" t="str">
        <f>LEFT(Table1[[#This Row],[Input]],1)</f>
        <v>R</v>
      </c>
      <c r="C740">
        <f>_xlfn.LET(_xlpm.steps,SUBSTITUTE(Table1[[#This Row],[Input]],Table1[[#This Row],[Direction]],""),VALUE(IF(LEN(_xlpm.steps)&gt;2,RIGHT(_xlpm.steps,2),_xlpm.steps)))</f>
        <v>99</v>
      </c>
      <c r="D740">
        <f>_xlfn.LET(_xlpm.dir,Table1[[#This Row],[Direction]],
IF(_xlpm.dir="L",
    IF(F739-Table1[[#This Row],[Steps]]&lt;0,100+(F739-Table1[[#This Row],[Steps]]),F739-Table1[[#This Row],[Steps]]),
))</f>
        <v>0</v>
      </c>
      <c r="E740">
        <f>_xlfn.LET(_xlpm.dir,Table1[[#This Row],[Direction]],
IF(_xlpm.dir="R",
    IF(F739+Table1[[#This Row],[Steps]]&gt;99,(F739+Table1[[#This Row],[Steps]])-100,F739+Table1[[#This Row],[Steps]]),
))</f>
        <v>62</v>
      </c>
      <c r="F740">
        <f>IF(Table1[[#This Row],[New Pos L]]&lt;&gt;0,Table1[[#This Row],[New Pos L]],Table1[[#This Row],[New Pos R]])</f>
        <v>62</v>
      </c>
    </row>
    <row r="741" spans="1:6" ht="16" x14ac:dyDescent="0.2">
      <c r="A741" s="1" t="s">
        <v>127</v>
      </c>
      <c r="B741" t="str">
        <f>LEFT(Table1[[#This Row],[Input]],1)</f>
        <v>L</v>
      </c>
      <c r="C741">
        <f>_xlfn.LET(_xlpm.steps,SUBSTITUTE(Table1[[#This Row],[Input]],Table1[[#This Row],[Direction]],""),VALUE(IF(LEN(_xlpm.steps)&gt;2,RIGHT(_xlpm.steps,2),_xlpm.steps)))</f>
        <v>62</v>
      </c>
      <c r="D741">
        <f>_xlfn.LET(_xlpm.dir,Table1[[#This Row],[Direction]],
IF(_xlpm.dir="L",
    IF(F740-Table1[[#This Row],[Steps]]&lt;0,100+(F740-Table1[[#This Row],[Steps]]),F740-Table1[[#This Row],[Steps]]),
))</f>
        <v>0</v>
      </c>
      <c r="E741">
        <f>_xlfn.LET(_xlpm.dir,Table1[[#This Row],[Direction]],
IF(_xlpm.dir="R",
    IF(F740+Table1[[#This Row],[Steps]]&gt;99,(F740+Table1[[#This Row],[Steps]])-100,F740+Table1[[#This Row],[Steps]]),
))</f>
        <v>0</v>
      </c>
      <c r="F741">
        <f>IF(Table1[[#This Row],[New Pos L]]&lt;&gt;0,Table1[[#This Row],[New Pos L]],Table1[[#This Row],[New Pos R]])</f>
        <v>0</v>
      </c>
    </row>
    <row r="742" spans="1:6" ht="16" x14ac:dyDescent="0.2">
      <c r="A742" s="1" t="s">
        <v>100</v>
      </c>
      <c r="B742" t="str">
        <f>LEFT(Table1[[#This Row],[Input]],1)</f>
        <v>R</v>
      </c>
      <c r="C742">
        <f>_xlfn.LET(_xlpm.steps,SUBSTITUTE(Table1[[#This Row],[Input]],Table1[[#This Row],[Direction]],""),VALUE(IF(LEN(_xlpm.steps)&gt;2,RIGHT(_xlpm.steps,2),_xlpm.steps)))</f>
        <v>58</v>
      </c>
      <c r="D742">
        <f>_xlfn.LET(_xlpm.dir,Table1[[#This Row],[Direction]],
IF(_xlpm.dir="L",
    IF(F741-Table1[[#This Row],[Steps]]&lt;0,100+(F741-Table1[[#This Row],[Steps]]),F741-Table1[[#This Row],[Steps]]),
))</f>
        <v>0</v>
      </c>
      <c r="E742">
        <f>_xlfn.LET(_xlpm.dir,Table1[[#This Row],[Direction]],
IF(_xlpm.dir="R",
    IF(F741+Table1[[#This Row],[Steps]]&gt;99,(F741+Table1[[#This Row],[Steps]])-100,F741+Table1[[#This Row],[Steps]]),
))</f>
        <v>58</v>
      </c>
      <c r="F742">
        <f>IF(Table1[[#This Row],[New Pos L]]&lt;&gt;0,Table1[[#This Row],[New Pos L]],Table1[[#This Row],[New Pos R]])</f>
        <v>58</v>
      </c>
    </row>
    <row r="743" spans="1:6" ht="16" x14ac:dyDescent="0.2">
      <c r="A743" s="1" t="s">
        <v>207</v>
      </c>
      <c r="B743" t="str">
        <f>LEFT(Table1[[#This Row],[Input]],1)</f>
        <v>L</v>
      </c>
      <c r="C743">
        <f>_xlfn.LET(_xlpm.steps,SUBSTITUTE(Table1[[#This Row],[Input]],Table1[[#This Row],[Direction]],""),VALUE(IF(LEN(_xlpm.steps)&gt;2,RIGHT(_xlpm.steps,2),_xlpm.steps)))</f>
        <v>89</v>
      </c>
      <c r="D743">
        <f>_xlfn.LET(_xlpm.dir,Table1[[#This Row],[Direction]],
IF(_xlpm.dir="L",
    IF(F742-Table1[[#This Row],[Steps]]&lt;0,100+(F742-Table1[[#This Row],[Steps]]),F742-Table1[[#This Row],[Steps]]),
))</f>
        <v>69</v>
      </c>
      <c r="E743">
        <f>_xlfn.LET(_xlpm.dir,Table1[[#This Row],[Direction]],
IF(_xlpm.dir="R",
    IF(F742+Table1[[#This Row],[Steps]]&gt;99,(F742+Table1[[#This Row],[Steps]])-100,F742+Table1[[#This Row],[Steps]]),
))</f>
        <v>0</v>
      </c>
      <c r="F743">
        <f>IF(Table1[[#This Row],[New Pos L]]&lt;&gt;0,Table1[[#This Row],[New Pos L]],Table1[[#This Row],[New Pos R]])</f>
        <v>69</v>
      </c>
    </row>
    <row r="744" spans="1:6" ht="16" x14ac:dyDescent="0.2">
      <c r="A744" s="1" t="s">
        <v>308</v>
      </c>
      <c r="B744" t="str">
        <f>LEFT(Table1[[#This Row],[Input]],1)</f>
        <v>R</v>
      </c>
      <c r="C744">
        <f>_xlfn.LET(_xlpm.steps,SUBSTITUTE(Table1[[#This Row],[Input]],Table1[[#This Row],[Direction]],""),VALUE(IF(LEN(_xlpm.steps)&gt;2,RIGHT(_xlpm.steps,2),_xlpm.steps)))</f>
        <v>31</v>
      </c>
      <c r="D744">
        <f>_xlfn.LET(_xlpm.dir,Table1[[#This Row],[Direction]],
IF(_xlpm.dir="L",
    IF(F743-Table1[[#This Row],[Steps]]&lt;0,100+(F743-Table1[[#This Row],[Steps]]),F743-Table1[[#This Row],[Steps]]),
))</f>
        <v>0</v>
      </c>
      <c r="E744">
        <f>_xlfn.LET(_xlpm.dir,Table1[[#This Row],[Direction]],
IF(_xlpm.dir="R",
    IF(F743+Table1[[#This Row],[Steps]]&gt;99,(F743+Table1[[#This Row],[Steps]])-100,F743+Table1[[#This Row],[Steps]]),
))</f>
        <v>0</v>
      </c>
      <c r="F744">
        <f>IF(Table1[[#This Row],[New Pos L]]&lt;&gt;0,Table1[[#This Row],[New Pos L]],Table1[[#This Row],[New Pos R]])</f>
        <v>0</v>
      </c>
    </row>
    <row r="745" spans="1:6" ht="16" x14ac:dyDescent="0.2">
      <c r="A745" s="1" t="s">
        <v>201</v>
      </c>
      <c r="B745" t="str">
        <f>LEFT(Table1[[#This Row],[Input]],1)</f>
        <v>R</v>
      </c>
      <c r="C745">
        <f>_xlfn.LET(_xlpm.steps,SUBSTITUTE(Table1[[#This Row],[Input]],Table1[[#This Row],[Direction]],""),VALUE(IF(LEN(_xlpm.steps)&gt;2,RIGHT(_xlpm.steps,2),_xlpm.steps)))</f>
        <v>31</v>
      </c>
      <c r="D745">
        <f>_xlfn.LET(_xlpm.dir,Table1[[#This Row],[Direction]],
IF(_xlpm.dir="L",
    IF(F744-Table1[[#This Row],[Steps]]&lt;0,100+(F744-Table1[[#This Row],[Steps]]),F744-Table1[[#This Row],[Steps]]),
))</f>
        <v>0</v>
      </c>
      <c r="E745">
        <f>_xlfn.LET(_xlpm.dir,Table1[[#This Row],[Direction]],
IF(_xlpm.dir="R",
    IF(F744+Table1[[#This Row],[Steps]]&gt;99,(F744+Table1[[#This Row],[Steps]])-100,F744+Table1[[#This Row],[Steps]]),
))</f>
        <v>31</v>
      </c>
      <c r="F745">
        <f>IF(Table1[[#This Row],[New Pos L]]&lt;&gt;0,Table1[[#This Row],[New Pos L]],Table1[[#This Row],[New Pos R]])</f>
        <v>31</v>
      </c>
    </row>
    <row r="746" spans="1:6" ht="16" x14ac:dyDescent="0.2">
      <c r="A746" s="1" t="s">
        <v>309</v>
      </c>
      <c r="B746" t="str">
        <f>LEFT(Table1[[#This Row],[Input]],1)</f>
        <v>L</v>
      </c>
      <c r="C746">
        <f>_xlfn.LET(_xlpm.steps,SUBSTITUTE(Table1[[#This Row],[Input]],Table1[[#This Row],[Direction]],""),VALUE(IF(LEN(_xlpm.steps)&gt;2,RIGHT(_xlpm.steps,2),_xlpm.steps)))</f>
        <v>41</v>
      </c>
      <c r="D746">
        <f>_xlfn.LET(_xlpm.dir,Table1[[#This Row],[Direction]],
IF(_xlpm.dir="L",
    IF(F745-Table1[[#This Row],[Steps]]&lt;0,100+(F745-Table1[[#This Row],[Steps]]),F745-Table1[[#This Row],[Steps]]),
))</f>
        <v>90</v>
      </c>
      <c r="E746">
        <f>_xlfn.LET(_xlpm.dir,Table1[[#This Row],[Direction]],
IF(_xlpm.dir="R",
    IF(F745+Table1[[#This Row],[Steps]]&gt;99,(F745+Table1[[#This Row],[Steps]])-100,F745+Table1[[#This Row],[Steps]]),
))</f>
        <v>0</v>
      </c>
      <c r="F746">
        <f>IF(Table1[[#This Row],[New Pos L]]&lt;&gt;0,Table1[[#This Row],[New Pos L]],Table1[[#This Row],[New Pos R]])</f>
        <v>90</v>
      </c>
    </row>
    <row r="747" spans="1:6" ht="16" x14ac:dyDescent="0.2">
      <c r="A747" s="1" t="s">
        <v>141</v>
      </c>
      <c r="B747" t="str">
        <f>LEFT(Table1[[#This Row],[Input]],1)</f>
        <v>L</v>
      </c>
      <c r="C747">
        <f>_xlfn.LET(_xlpm.steps,SUBSTITUTE(Table1[[#This Row],[Input]],Table1[[#This Row],[Direction]],""),VALUE(IF(LEN(_xlpm.steps)&gt;2,RIGHT(_xlpm.steps,2),_xlpm.steps)))</f>
        <v>90</v>
      </c>
      <c r="D747">
        <f>_xlfn.LET(_xlpm.dir,Table1[[#This Row],[Direction]],
IF(_xlpm.dir="L",
    IF(F746-Table1[[#This Row],[Steps]]&lt;0,100+(F746-Table1[[#This Row],[Steps]]),F746-Table1[[#This Row],[Steps]]),
))</f>
        <v>0</v>
      </c>
      <c r="E747">
        <f>_xlfn.LET(_xlpm.dir,Table1[[#This Row],[Direction]],
IF(_xlpm.dir="R",
    IF(F746+Table1[[#This Row],[Steps]]&gt;99,(F746+Table1[[#This Row],[Steps]])-100,F746+Table1[[#This Row],[Steps]]),
))</f>
        <v>0</v>
      </c>
      <c r="F747">
        <f>IF(Table1[[#This Row],[New Pos L]]&lt;&gt;0,Table1[[#This Row],[New Pos L]],Table1[[#This Row],[New Pos R]])</f>
        <v>0</v>
      </c>
    </row>
    <row r="748" spans="1:6" ht="16" x14ac:dyDescent="0.2">
      <c r="A748" s="1" t="s">
        <v>128</v>
      </c>
      <c r="B748" t="str">
        <f>LEFT(Table1[[#This Row],[Input]],1)</f>
        <v>R</v>
      </c>
      <c r="C748">
        <f>_xlfn.LET(_xlpm.steps,SUBSTITUTE(Table1[[#This Row],[Input]],Table1[[#This Row],[Direction]],""),VALUE(IF(LEN(_xlpm.steps)&gt;2,RIGHT(_xlpm.steps,2),_xlpm.steps)))</f>
        <v>92</v>
      </c>
      <c r="D748">
        <f>_xlfn.LET(_xlpm.dir,Table1[[#This Row],[Direction]],
IF(_xlpm.dir="L",
    IF(F747-Table1[[#This Row],[Steps]]&lt;0,100+(F747-Table1[[#This Row],[Steps]]),F747-Table1[[#This Row],[Steps]]),
))</f>
        <v>0</v>
      </c>
      <c r="E748">
        <f>_xlfn.LET(_xlpm.dir,Table1[[#This Row],[Direction]],
IF(_xlpm.dir="R",
    IF(F747+Table1[[#This Row],[Steps]]&gt;99,(F747+Table1[[#This Row],[Steps]])-100,F747+Table1[[#This Row],[Steps]]),
))</f>
        <v>92</v>
      </c>
      <c r="F748">
        <f>IF(Table1[[#This Row],[New Pos L]]&lt;&gt;0,Table1[[#This Row],[New Pos L]],Table1[[#This Row],[New Pos R]])</f>
        <v>92</v>
      </c>
    </row>
    <row r="749" spans="1:6" ht="16" x14ac:dyDescent="0.2">
      <c r="A749" s="1" t="s">
        <v>62</v>
      </c>
      <c r="B749" t="str">
        <f>LEFT(Table1[[#This Row],[Input]],1)</f>
        <v>L</v>
      </c>
      <c r="C749">
        <f>_xlfn.LET(_xlpm.steps,SUBSTITUTE(Table1[[#This Row],[Input]],Table1[[#This Row],[Direction]],""),VALUE(IF(LEN(_xlpm.steps)&gt;2,RIGHT(_xlpm.steps,2),_xlpm.steps)))</f>
        <v>57</v>
      </c>
      <c r="D749">
        <f>_xlfn.LET(_xlpm.dir,Table1[[#This Row],[Direction]],
IF(_xlpm.dir="L",
    IF(F748-Table1[[#This Row],[Steps]]&lt;0,100+(F748-Table1[[#This Row],[Steps]]),F748-Table1[[#This Row],[Steps]]),
))</f>
        <v>35</v>
      </c>
      <c r="E749">
        <f>_xlfn.LET(_xlpm.dir,Table1[[#This Row],[Direction]],
IF(_xlpm.dir="R",
    IF(F748+Table1[[#This Row],[Steps]]&gt;99,(F748+Table1[[#This Row],[Steps]])-100,F748+Table1[[#This Row],[Steps]]),
))</f>
        <v>0</v>
      </c>
      <c r="F749">
        <f>IF(Table1[[#This Row],[New Pos L]]&lt;&gt;0,Table1[[#This Row],[New Pos L]],Table1[[#This Row],[New Pos R]])</f>
        <v>35</v>
      </c>
    </row>
    <row r="750" spans="1:6" ht="16" x14ac:dyDescent="0.2">
      <c r="A750" s="1" t="s">
        <v>13</v>
      </c>
      <c r="B750" t="str">
        <f>LEFT(Table1[[#This Row],[Input]],1)</f>
        <v>R</v>
      </c>
      <c r="C750">
        <f>_xlfn.LET(_xlpm.steps,SUBSTITUTE(Table1[[#This Row],[Input]],Table1[[#This Row],[Direction]],""),VALUE(IF(LEN(_xlpm.steps)&gt;2,RIGHT(_xlpm.steps,2),_xlpm.steps)))</f>
        <v>12</v>
      </c>
      <c r="D750">
        <f>_xlfn.LET(_xlpm.dir,Table1[[#This Row],[Direction]],
IF(_xlpm.dir="L",
    IF(F749-Table1[[#This Row],[Steps]]&lt;0,100+(F749-Table1[[#This Row],[Steps]]),F749-Table1[[#This Row],[Steps]]),
))</f>
        <v>0</v>
      </c>
      <c r="E750">
        <f>_xlfn.LET(_xlpm.dir,Table1[[#This Row],[Direction]],
IF(_xlpm.dir="R",
    IF(F749+Table1[[#This Row],[Steps]]&gt;99,(F749+Table1[[#This Row],[Steps]])-100,F749+Table1[[#This Row],[Steps]]),
))</f>
        <v>47</v>
      </c>
      <c r="F750">
        <f>IF(Table1[[#This Row],[New Pos L]]&lt;&gt;0,Table1[[#This Row],[New Pos L]],Table1[[#This Row],[New Pos R]])</f>
        <v>47</v>
      </c>
    </row>
    <row r="751" spans="1:6" ht="16" x14ac:dyDescent="0.2">
      <c r="A751" s="1" t="s">
        <v>126</v>
      </c>
      <c r="B751" t="str">
        <f>LEFT(Table1[[#This Row],[Input]],1)</f>
        <v>R</v>
      </c>
      <c r="C751">
        <f>_xlfn.LET(_xlpm.steps,SUBSTITUTE(Table1[[#This Row],[Input]],Table1[[#This Row],[Direction]],""),VALUE(IF(LEN(_xlpm.steps)&gt;2,RIGHT(_xlpm.steps,2),_xlpm.steps)))</f>
        <v>65</v>
      </c>
      <c r="D751">
        <f>_xlfn.LET(_xlpm.dir,Table1[[#This Row],[Direction]],
IF(_xlpm.dir="L",
    IF(F750-Table1[[#This Row],[Steps]]&lt;0,100+(F750-Table1[[#This Row],[Steps]]),F750-Table1[[#This Row],[Steps]]),
))</f>
        <v>0</v>
      </c>
      <c r="E751">
        <f>_xlfn.LET(_xlpm.dir,Table1[[#This Row],[Direction]],
IF(_xlpm.dir="R",
    IF(F750+Table1[[#This Row],[Steps]]&gt;99,(F750+Table1[[#This Row],[Steps]])-100,F750+Table1[[#This Row],[Steps]]),
))</f>
        <v>12</v>
      </c>
      <c r="F751">
        <f>IF(Table1[[#This Row],[New Pos L]]&lt;&gt;0,Table1[[#This Row],[New Pos L]],Table1[[#This Row],[New Pos R]])</f>
        <v>12</v>
      </c>
    </row>
    <row r="752" spans="1:6" ht="16" x14ac:dyDescent="0.2">
      <c r="A752" s="1" t="s">
        <v>84</v>
      </c>
      <c r="B752" t="str">
        <f>LEFT(Table1[[#This Row],[Input]],1)</f>
        <v>R</v>
      </c>
      <c r="C752">
        <f>_xlfn.LET(_xlpm.steps,SUBSTITUTE(Table1[[#This Row],[Input]],Table1[[#This Row],[Direction]],""),VALUE(IF(LEN(_xlpm.steps)&gt;2,RIGHT(_xlpm.steps,2),_xlpm.steps)))</f>
        <v>88</v>
      </c>
      <c r="D752">
        <f>_xlfn.LET(_xlpm.dir,Table1[[#This Row],[Direction]],
IF(_xlpm.dir="L",
    IF(F751-Table1[[#This Row],[Steps]]&lt;0,100+(F751-Table1[[#This Row],[Steps]]),F751-Table1[[#This Row],[Steps]]),
))</f>
        <v>0</v>
      </c>
      <c r="E752">
        <f>_xlfn.LET(_xlpm.dir,Table1[[#This Row],[Direction]],
IF(_xlpm.dir="R",
    IF(F751+Table1[[#This Row],[Steps]]&gt;99,(F751+Table1[[#This Row],[Steps]])-100,F751+Table1[[#This Row],[Steps]]),
))</f>
        <v>0</v>
      </c>
      <c r="F752">
        <f>IF(Table1[[#This Row],[New Pos L]]&lt;&gt;0,Table1[[#This Row],[New Pos L]],Table1[[#This Row],[New Pos R]])</f>
        <v>0</v>
      </c>
    </row>
    <row r="753" spans="1:6" ht="16" x14ac:dyDescent="0.2">
      <c r="A753" s="1" t="s">
        <v>276</v>
      </c>
      <c r="B753" t="str">
        <f>LEFT(Table1[[#This Row],[Input]],1)</f>
        <v>L</v>
      </c>
      <c r="C753">
        <f>_xlfn.LET(_xlpm.steps,SUBSTITUTE(Table1[[#This Row],[Input]],Table1[[#This Row],[Direction]],""),VALUE(IF(LEN(_xlpm.steps)&gt;2,RIGHT(_xlpm.steps,2),_xlpm.steps)))</f>
        <v>60</v>
      </c>
      <c r="D753">
        <f>_xlfn.LET(_xlpm.dir,Table1[[#This Row],[Direction]],
IF(_xlpm.dir="L",
    IF(F752-Table1[[#This Row],[Steps]]&lt;0,100+(F752-Table1[[#This Row],[Steps]]),F752-Table1[[#This Row],[Steps]]),
))</f>
        <v>40</v>
      </c>
      <c r="E753">
        <f>_xlfn.LET(_xlpm.dir,Table1[[#This Row],[Direction]],
IF(_xlpm.dir="R",
    IF(F752+Table1[[#This Row],[Steps]]&gt;99,(F752+Table1[[#This Row],[Steps]])-100,F752+Table1[[#This Row],[Steps]]),
))</f>
        <v>0</v>
      </c>
      <c r="F753">
        <f>IF(Table1[[#This Row],[New Pos L]]&lt;&gt;0,Table1[[#This Row],[New Pos L]],Table1[[#This Row],[New Pos R]])</f>
        <v>40</v>
      </c>
    </row>
    <row r="754" spans="1:6" ht="16" x14ac:dyDescent="0.2">
      <c r="A754" s="1" t="s">
        <v>278</v>
      </c>
      <c r="B754" t="str">
        <f>LEFT(Table1[[#This Row],[Input]],1)</f>
        <v>L</v>
      </c>
      <c r="C754">
        <f>_xlfn.LET(_xlpm.steps,SUBSTITUTE(Table1[[#This Row],[Input]],Table1[[#This Row],[Direction]],""),VALUE(IF(LEN(_xlpm.steps)&gt;2,RIGHT(_xlpm.steps,2),_xlpm.steps)))</f>
        <v>40</v>
      </c>
      <c r="D754">
        <f>_xlfn.LET(_xlpm.dir,Table1[[#This Row],[Direction]],
IF(_xlpm.dir="L",
    IF(F753-Table1[[#This Row],[Steps]]&lt;0,100+(F753-Table1[[#This Row],[Steps]]),F753-Table1[[#This Row],[Steps]]),
))</f>
        <v>0</v>
      </c>
      <c r="E754">
        <f>_xlfn.LET(_xlpm.dir,Table1[[#This Row],[Direction]],
IF(_xlpm.dir="R",
    IF(F753+Table1[[#This Row],[Steps]]&gt;99,(F753+Table1[[#This Row],[Steps]])-100,F753+Table1[[#This Row],[Steps]]),
))</f>
        <v>0</v>
      </c>
      <c r="F754">
        <f>IF(Table1[[#This Row],[New Pos L]]&lt;&gt;0,Table1[[#This Row],[New Pos L]],Table1[[#This Row],[New Pos R]])</f>
        <v>0</v>
      </c>
    </row>
    <row r="755" spans="1:6" ht="16" x14ac:dyDescent="0.2">
      <c r="A755" s="1" t="s">
        <v>310</v>
      </c>
      <c r="B755" t="str">
        <f>LEFT(Table1[[#This Row],[Input]],1)</f>
        <v>R</v>
      </c>
      <c r="C755">
        <f>_xlfn.LET(_xlpm.steps,SUBSTITUTE(Table1[[#This Row],[Input]],Table1[[#This Row],[Direction]],""),VALUE(IF(LEN(_xlpm.steps)&gt;2,RIGHT(_xlpm.steps,2),_xlpm.steps)))</f>
        <v>12</v>
      </c>
      <c r="D755">
        <f>_xlfn.LET(_xlpm.dir,Table1[[#This Row],[Direction]],
IF(_xlpm.dir="L",
    IF(F754-Table1[[#This Row],[Steps]]&lt;0,100+(F754-Table1[[#This Row],[Steps]]),F754-Table1[[#This Row],[Steps]]),
))</f>
        <v>0</v>
      </c>
      <c r="E755">
        <f>_xlfn.LET(_xlpm.dir,Table1[[#This Row],[Direction]],
IF(_xlpm.dir="R",
    IF(F754+Table1[[#This Row],[Steps]]&gt;99,(F754+Table1[[#This Row],[Steps]])-100,F754+Table1[[#This Row],[Steps]]),
))</f>
        <v>12</v>
      </c>
      <c r="F755">
        <f>IF(Table1[[#This Row],[New Pos L]]&lt;&gt;0,Table1[[#This Row],[New Pos L]],Table1[[#This Row],[New Pos R]])</f>
        <v>12</v>
      </c>
    </row>
    <row r="756" spans="1:6" ht="16" x14ac:dyDescent="0.2">
      <c r="A756" s="1" t="s">
        <v>187</v>
      </c>
      <c r="B756" t="str">
        <f>LEFT(Table1[[#This Row],[Input]],1)</f>
        <v>R</v>
      </c>
      <c r="C756">
        <f>_xlfn.LET(_xlpm.steps,SUBSTITUTE(Table1[[#This Row],[Input]],Table1[[#This Row],[Direction]],""),VALUE(IF(LEN(_xlpm.steps)&gt;2,RIGHT(_xlpm.steps,2),_xlpm.steps)))</f>
        <v>20</v>
      </c>
      <c r="D756">
        <f>_xlfn.LET(_xlpm.dir,Table1[[#This Row],[Direction]],
IF(_xlpm.dir="L",
    IF(F755-Table1[[#This Row],[Steps]]&lt;0,100+(F755-Table1[[#This Row],[Steps]]),F755-Table1[[#This Row],[Steps]]),
))</f>
        <v>0</v>
      </c>
      <c r="E756">
        <f>_xlfn.LET(_xlpm.dir,Table1[[#This Row],[Direction]],
IF(_xlpm.dir="R",
    IF(F755+Table1[[#This Row],[Steps]]&gt;99,(F755+Table1[[#This Row],[Steps]])-100,F755+Table1[[#This Row],[Steps]]),
))</f>
        <v>32</v>
      </c>
      <c r="F756">
        <f>IF(Table1[[#This Row],[New Pos L]]&lt;&gt;0,Table1[[#This Row],[New Pos L]],Table1[[#This Row],[New Pos R]])</f>
        <v>32</v>
      </c>
    </row>
    <row r="757" spans="1:6" ht="16" x14ac:dyDescent="0.2">
      <c r="A757" s="1" t="s">
        <v>120</v>
      </c>
      <c r="B757" t="str">
        <f>LEFT(Table1[[#This Row],[Input]],1)</f>
        <v>L</v>
      </c>
      <c r="C757">
        <f>_xlfn.LET(_xlpm.steps,SUBSTITUTE(Table1[[#This Row],[Input]],Table1[[#This Row],[Direction]],""),VALUE(IF(LEN(_xlpm.steps)&gt;2,RIGHT(_xlpm.steps,2),_xlpm.steps)))</f>
        <v>23</v>
      </c>
      <c r="D757">
        <f>_xlfn.LET(_xlpm.dir,Table1[[#This Row],[Direction]],
IF(_xlpm.dir="L",
    IF(F756-Table1[[#This Row],[Steps]]&lt;0,100+(F756-Table1[[#This Row],[Steps]]),F756-Table1[[#This Row],[Steps]]),
))</f>
        <v>9</v>
      </c>
      <c r="E757">
        <f>_xlfn.LET(_xlpm.dir,Table1[[#This Row],[Direction]],
IF(_xlpm.dir="R",
    IF(F756+Table1[[#This Row],[Steps]]&gt;99,(F756+Table1[[#This Row],[Steps]])-100,F756+Table1[[#This Row],[Steps]]),
))</f>
        <v>0</v>
      </c>
      <c r="F757">
        <f>IF(Table1[[#This Row],[New Pos L]]&lt;&gt;0,Table1[[#This Row],[New Pos L]],Table1[[#This Row],[New Pos R]])</f>
        <v>9</v>
      </c>
    </row>
    <row r="758" spans="1:6" ht="16" x14ac:dyDescent="0.2">
      <c r="A758" s="1" t="s">
        <v>68</v>
      </c>
      <c r="B758" t="str">
        <f>LEFT(Table1[[#This Row],[Input]],1)</f>
        <v>L</v>
      </c>
      <c r="C758">
        <f>_xlfn.LET(_xlpm.steps,SUBSTITUTE(Table1[[#This Row],[Input]],Table1[[#This Row],[Direction]],""),VALUE(IF(LEN(_xlpm.steps)&gt;2,RIGHT(_xlpm.steps,2),_xlpm.steps)))</f>
        <v>80</v>
      </c>
      <c r="D758">
        <f>_xlfn.LET(_xlpm.dir,Table1[[#This Row],[Direction]],
IF(_xlpm.dir="L",
    IF(F757-Table1[[#This Row],[Steps]]&lt;0,100+(F757-Table1[[#This Row],[Steps]]),F757-Table1[[#This Row],[Steps]]),
))</f>
        <v>29</v>
      </c>
      <c r="E758">
        <f>_xlfn.LET(_xlpm.dir,Table1[[#This Row],[Direction]],
IF(_xlpm.dir="R",
    IF(F757+Table1[[#This Row],[Steps]]&gt;99,(F757+Table1[[#This Row],[Steps]])-100,F757+Table1[[#This Row],[Steps]]),
))</f>
        <v>0</v>
      </c>
      <c r="F758">
        <f>IF(Table1[[#This Row],[New Pos L]]&lt;&gt;0,Table1[[#This Row],[New Pos L]],Table1[[#This Row],[New Pos R]])</f>
        <v>29</v>
      </c>
    </row>
    <row r="759" spans="1:6" ht="16" x14ac:dyDescent="0.2">
      <c r="A759" s="1" t="s">
        <v>115</v>
      </c>
      <c r="B759" t="str">
        <f>LEFT(Table1[[#This Row],[Input]],1)</f>
        <v>L</v>
      </c>
      <c r="C759">
        <f>_xlfn.LET(_xlpm.steps,SUBSTITUTE(Table1[[#This Row],[Input]],Table1[[#This Row],[Direction]],""),VALUE(IF(LEN(_xlpm.steps)&gt;2,RIGHT(_xlpm.steps,2),_xlpm.steps)))</f>
        <v>29</v>
      </c>
      <c r="D759">
        <f>_xlfn.LET(_xlpm.dir,Table1[[#This Row],[Direction]],
IF(_xlpm.dir="L",
    IF(F758-Table1[[#This Row],[Steps]]&lt;0,100+(F758-Table1[[#This Row],[Steps]]),F758-Table1[[#This Row],[Steps]]),
))</f>
        <v>0</v>
      </c>
      <c r="E759">
        <f>_xlfn.LET(_xlpm.dir,Table1[[#This Row],[Direction]],
IF(_xlpm.dir="R",
    IF(F758+Table1[[#This Row],[Steps]]&gt;99,(F758+Table1[[#This Row],[Steps]])-100,F758+Table1[[#This Row],[Steps]]),
))</f>
        <v>0</v>
      </c>
      <c r="F759">
        <f>IF(Table1[[#This Row],[New Pos L]]&lt;&gt;0,Table1[[#This Row],[New Pos L]],Table1[[#This Row],[New Pos R]])</f>
        <v>0</v>
      </c>
    </row>
    <row r="760" spans="1:6" ht="16" x14ac:dyDescent="0.2">
      <c r="A760" s="1" t="s">
        <v>311</v>
      </c>
      <c r="B760" t="str">
        <f>LEFT(Table1[[#This Row],[Input]],1)</f>
        <v>L</v>
      </c>
      <c r="C760">
        <f>_xlfn.LET(_xlpm.steps,SUBSTITUTE(Table1[[#This Row],[Input]],Table1[[#This Row],[Direction]],""),VALUE(IF(LEN(_xlpm.steps)&gt;2,RIGHT(_xlpm.steps,2),_xlpm.steps)))</f>
        <v>23</v>
      </c>
      <c r="D760">
        <f>_xlfn.LET(_xlpm.dir,Table1[[#This Row],[Direction]],
IF(_xlpm.dir="L",
    IF(F759-Table1[[#This Row],[Steps]]&lt;0,100+(F759-Table1[[#This Row],[Steps]]),F759-Table1[[#This Row],[Steps]]),
))</f>
        <v>77</v>
      </c>
      <c r="E760">
        <f>_xlfn.LET(_xlpm.dir,Table1[[#This Row],[Direction]],
IF(_xlpm.dir="R",
    IF(F759+Table1[[#This Row],[Steps]]&gt;99,(F759+Table1[[#This Row],[Steps]])-100,F759+Table1[[#This Row],[Steps]]),
))</f>
        <v>0</v>
      </c>
      <c r="F760">
        <f>IF(Table1[[#This Row],[New Pos L]]&lt;&gt;0,Table1[[#This Row],[New Pos L]],Table1[[#This Row],[New Pos R]])</f>
        <v>77</v>
      </c>
    </row>
    <row r="761" spans="1:6" ht="16" x14ac:dyDescent="0.2">
      <c r="A761" s="1" t="s">
        <v>119</v>
      </c>
      <c r="B761" t="str">
        <f>LEFT(Table1[[#This Row],[Input]],1)</f>
        <v>L</v>
      </c>
      <c r="C761">
        <f>_xlfn.LET(_xlpm.steps,SUBSTITUTE(Table1[[#This Row],[Input]],Table1[[#This Row],[Direction]],""),VALUE(IF(LEN(_xlpm.steps)&gt;2,RIGHT(_xlpm.steps,2),_xlpm.steps)))</f>
        <v>77</v>
      </c>
      <c r="D761">
        <f>_xlfn.LET(_xlpm.dir,Table1[[#This Row],[Direction]],
IF(_xlpm.dir="L",
    IF(F760-Table1[[#This Row],[Steps]]&lt;0,100+(F760-Table1[[#This Row],[Steps]]),F760-Table1[[#This Row],[Steps]]),
))</f>
        <v>0</v>
      </c>
      <c r="E761">
        <f>_xlfn.LET(_xlpm.dir,Table1[[#This Row],[Direction]],
IF(_xlpm.dir="R",
    IF(F760+Table1[[#This Row],[Steps]]&gt;99,(F760+Table1[[#This Row],[Steps]])-100,F760+Table1[[#This Row],[Steps]]),
))</f>
        <v>0</v>
      </c>
      <c r="F761">
        <f>IF(Table1[[#This Row],[New Pos L]]&lt;&gt;0,Table1[[#This Row],[New Pos L]],Table1[[#This Row],[New Pos R]])</f>
        <v>0</v>
      </c>
    </row>
    <row r="762" spans="1:6" ht="16" x14ac:dyDescent="0.2">
      <c r="A762" s="1" t="s">
        <v>70</v>
      </c>
      <c r="B762" t="str">
        <f>LEFT(Table1[[#This Row],[Input]],1)</f>
        <v>R</v>
      </c>
      <c r="C762">
        <f>_xlfn.LET(_xlpm.steps,SUBSTITUTE(Table1[[#This Row],[Input]],Table1[[#This Row],[Direction]],""),VALUE(IF(LEN(_xlpm.steps)&gt;2,RIGHT(_xlpm.steps,2),_xlpm.steps)))</f>
        <v>73</v>
      </c>
      <c r="D762">
        <f>_xlfn.LET(_xlpm.dir,Table1[[#This Row],[Direction]],
IF(_xlpm.dir="L",
    IF(F761-Table1[[#This Row],[Steps]]&lt;0,100+(F761-Table1[[#This Row],[Steps]]),F761-Table1[[#This Row],[Steps]]),
))</f>
        <v>0</v>
      </c>
      <c r="E762">
        <f>_xlfn.LET(_xlpm.dir,Table1[[#This Row],[Direction]],
IF(_xlpm.dir="R",
    IF(F761+Table1[[#This Row],[Steps]]&gt;99,(F761+Table1[[#This Row],[Steps]])-100,F761+Table1[[#This Row],[Steps]]),
))</f>
        <v>73</v>
      </c>
      <c r="F762">
        <f>IF(Table1[[#This Row],[New Pos L]]&lt;&gt;0,Table1[[#This Row],[New Pos L]],Table1[[#This Row],[New Pos R]])</f>
        <v>73</v>
      </c>
    </row>
    <row r="763" spans="1:6" ht="16" x14ac:dyDescent="0.2">
      <c r="A763" s="1" t="s">
        <v>312</v>
      </c>
      <c r="B763" t="str">
        <f>LEFT(Table1[[#This Row],[Input]],1)</f>
        <v>R</v>
      </c>
      <c r="C763">
        <f>_xlfn.LET(_xlpm.steps,SUBSTITUTE(Table1[[#This Row],[Input]],Table1[[#This Row],[Direction]],""),VALUE(IF(LEN(_xlpm.steps)&gt;2,RIGHT(_xlpm.steps,2),_xlpm.steps)))</f>
        <v>43</v>
      </c>
      <c r="D763">
        <f>_xlfn.LET(_xlpm.dir,Table1[[#This Row],[Direction]],
IF(_xlpm.dir="L",
    IF(F762-Table1[[#This Row],[Steps]]&lt;0,100+(F762-Table1[[#This Row],[Steps]]),F762-Table1[[#This Row],[Steps]]),
))</f>
        <v>0</v>
      </c>
      <c r="E763">
        <f>_xlfn.LET(_xlpm.dir,Table1[[#This Row],[Direction]],
IF(_xlpm.dir="R",
    IF(F762+Table1[[#This Row],[Steps]]&gt;99,(F762+Table1[[#This Row],[Steps]])-100,F762+Table1[[#This Row],[Steps]]),
))</f>
        <v>16</v>
      </c>
      <c r="F763">
        <f>IF(Table1[[#This Row],[New Pos L]]&lt;&gt;0,Table1[[#This Row],[New Pos L]],Table1[[#This Row],[New Pos R]])</f>
        <v>16</v>
      </c>
    </row>
    <row r="764" spans="1:6" ht="16" x14ac:dyDescent="0.2">
      <c r="A764" s="1" t="s">
        <v>254</v>
      </c>
      <c r="B764" t="str">
        <f>LEFT(Table1[[#This Row],[Input]],1)</f>
        <v>R</v>
      </c>
      <c r="C764">
        <f>_xlfn.LET(_xlpm.steps,SUBSTITUTE(Table1[[#This Row],[Input]],Table1[[#This Row],[Direction]],""),VALUE(IF(LEN(_xlpm.steps)&gt;2,RIGHT(_xlpm.steps,2),_xlpm.steps)))</f>
        <v>84</v>
      </c>
      <c r="D764">
        <f>_xlfn.LET(_xlpm.dir,Table1[[#This Row],[Direction]],
IF(_xlpm.dir="L",
    IF(F763-Table1[[#This Row],[Steps]]&lt;0,100+(F763-Table1[[#This Row],[Steps]]),F763-Table1[[#This Row],[Steps]]),
))</f>
        <v>0</v>
      </c>
      <c r="E764">
        <f>_xlfn.LET(_xlpm.dir,Table1[[#This Row],[Direction]],
IF(_xlpm.dir="R",
    IF(F763+Table1[[#This Row],[Steps]]&gt;99,(F763+Table1[[#This Row],[Steps]])-100,F763+Table1[[#This Row],[Steps]]),
))</f>
        <v>0</v>
      </c>
      <c r="F764">
        <f>IF(Table1[[#This Row],[New Pos L]]&lt;&gt;0,Table1[[#This Row],[New Pos L]],Table1[[#This Row],[New Pos R]])</f>
        <v>0</v>
      </c>
    </row>
    <row r="765" spans="1:6" ht="16" x14ac:dyDescent="0.2">
      <c r="A765" s="1" t="s">
        <v>5</v>
      </c>
      <c r="B765" t="str">
        <f>LEFT(Table1[[#This Row],[Input]],1)</f>
        <v>R</v>
      </c>
      <c r="C765">
        <f>_xlfn.LET(_xlpm.steps,SUBSTITUTE(Table1[[#This Row],[Input]],Table1[[#This Row],[Direction]],""),VALUE(IF(LEN(_xlpm.steps)&gt;2,RIGHT(_xlpm.steps,2),_xlpm.steps)))</f>
        <v>1</v>
      </c>
      <c r="D765">
        <f>_xlfn.LET(_xlpm.dir,Table1[[#This Row],[Direction]],
IF(_xlpm.dir="L",
    IF(F764-Table1[[#This Row],[Steps]]&lt;0,100+(F764-Table1[[#This Row],[Steps]]),F764-Table1[[#This Row],[Steps]]),
))</f>
        <v>0</v>
      </c>
      <c r="E765">
        <f>_xlfn.LET(_xlpm.dir,Table1[[#This Row],[Direction]],
IF(_xlpm.dir="R",
    IF(F764+Table1[[#This Row],[Steps]]&gt;99,(F764+Table1[[#This Row],[Steps]])-100,F764+Table1[[#This Row],[Steps]]),
))</f>
        <v>1</v>
      </c>
      <c r="F765">
        <f>IF(Table1[[#This Row],[New Pos L]]&lt;&gt;0,Table1[[#This Row],[New Pos L]],Table1[[#This Row],[New Pos R]])</f>
        <v>1</v>
      </c>
    </row>
    <row r="766" spans="1:6" ht="16" x14ac:dyDescent="0.2">
      <c r="A766" s="1" t="s">
        <v>28</v>
      </c>
      <c r="B766" t="str">
        <f>LEFT(Table1[[#This Row],[Input]],1)</f>
        <v>R</v>
      </c>
      <c r="C766">
        <f>_xlfn.LET(_xlpm.steps,SUBSTITUTE(Table1[[#This Row],[Input]],Table1[[#This Row],[Direction]],""),VALUE(IF(LEN(_xlpm.steps)&gt;2,RIGHT(_xlpm.steps,2),_xlpm.steps)))</f>
        <v>30</v>
      </c>
      <c r="D766">
        <f>_xlfn.LET(_xlpm.dir,Table1[[#This Row],[Direction]],
IF(_xlpm.dir="L",
    IF(F765-Table1[[#This Row],[Steps]]&lt;0,100+(F765-Table1[[#This Row],[Steps]]),F765-Table1[[#This Row],[Steps]]),
))</f>
        <v>0</v>
      </c>
      <c r="E766">
        <f>_xlfn.LET(_xlpm.dir,Table1[[#This Row],[Direction]],
IF(_xlpm.dir="R",
    IF(F765+Table1[[#This Row],[Steps]]&gt;99,(F765+Table1[[#This Row],[Steps]])-100,F765+Table1[[#This Row],[Steps]]),
))</f>
        <v>31</v>
      </c>
      <c r="F766">
        <f>IF(Table1[[#This Row],[New Pos L]]&lt;&gt;0,Table1[[#This Row],[New Pos L]],Table1[[#This Row],[New Pos R]])</f>
        <v>31</v>
      </c>
    </row>
    <row r="767" spans="1:6" ht="16" x14ac:dyDescent="0.2">
      <c r="A767" s="1" t="s">
        <v>226</v>
      </c>
      <c r="B767" t="str">
        <f>LEFT(Table1[[#This Row],[Input]],1)</f>
        <v>L</v>
      </c>
      <c r="C767">
        <f>_xlfn.LET(_xlpm.steps,SUBSTITUTE(Table1[[#This Row],[Input]],Table1[[#This Row],[Direction]],""),VALUE(IF(LEN(_xlpm.steps)&gt;2,RIGHT(_xlpm.steps,2),_xlpm.steps)))</f>
        <v>31</v>
      </c>
      <c r="D767">
        <f>_xlfn.LET(_xlpm.dir,Table1[[#This Row],[Direction]],
IF(_xlpm.dir="L",
    IF(F766-Table1[[#This Row],[Steps]]&lt;0,100+(F766-Table1[[#This Row],[Steps]]),F766-Table1[[#This Row],[Steps]]),
))</f>
        <v>0</v>
      </c>
      <c r="E767">
        <f>_xlfn.LET(_xlpm.dir,Table1[[#This Row],[Direction]],
IF(_xlpm.dir="R",
    IF(F766+Table1[[#This Row],[Steps]]&gt;99,(F766+Table1[[#This Row],[Steps]])-100,F766+Table1[[#This Row],[Steps]]),
))</f>
        <v>0</v>
      </c>
      <c r="F767">
        <f>IF(Table1[[#This Row],[New Pos L]]&lt;&gt;0,Table1[[#This Row],[New Pos L]],Table1[[#This Row],[New Pos R]])</f>
        <v>0</v>
      </c>
    </row>
    <row r="768" spans="1:6" ht="16" x14ac:dyDescent="0.2">
      <c r="A768" s="1" t="s">
        <v>183</v>
      </c>
      <c r="B768" t="str">
        <f>LEFT(Table1[[#This Row],[Input]],1)</f>
        <v>L</v>
      </c>
      <c r="C768">
        <f>_xlfn.LET(_xlpm.steps,SUBSTITUTE(Table1[[#This Row],[Input]],Table1[[#This Row],[Direction]],""),VALUE(IF(LEN(_xlpm.steps)&gt;2,RIGHT(_xlpm.steps,2),_xlpm.steps)))</f>
        <v>67</v>
      </c>
      <c r="D768">
        <f>_xlfn.LET(_xlpm.dir,Table1[[#This Row],[Direction]],
IF(_xlpm.dir="L",
    IF(F767-Table1[[#This Row],[Steps]]&lt;0,100+(F767-Table1[[#This Row],[Steps]]),F767-Table1[[#This Row],[Steps]]),
))</f>
        <v>33</v>
      </c>
      <c r="E768">
        <f>_xlfn.LET(_xlpm.dir,Table1[[#This Row],[Direction]],
IF(_xlpm.dir="R",
    IF(F767+Table1[[#This Row],[Steps]]&gt;99,(F767+Table1[[#This Row],[Steps]])-100,F767+Table1[[#This Row],[Steps]]),
))</f>
        <v>0</v>
      </c>
      <c r="F768">
        <f>IF(Table1[[#This Row],[New Pos L]]&lt;&gt;0,Table1[[#This Row],[New Pos L]],Table1[[#This Row],[New Pos R]])</f>
        <v>33</v>
      </c>
    </row>
    <row r="769" spans="1:6" ht="16" x14ac:dyDescent="0.2">
      <c r="A769" s="1" t="s">
        <v>6</v>
      </c>
      <c r="B769" t="str">
        <f>LEFT(Table1[[#This Row],[Input]],1)</f>
        <v>R</v>
      </c>
      <c r="C769">
        <f>_xlfn.LET(_xlpm.steps,SUBSTITUTE(Table1[[#This Row],[Input]],Table1[[#This Row],[Direction]],""),VALUE(IF(LEN(_xlpm.steps)&gt;2,RIGHT(_xlpm.steps,2),_xlpm.steps)))</f>
        <v>49</v>
      </c>
      <c r="D769">
        <f>_xlfn.LET(_xlpm.dir,Table1[[#This Row],[Direction]],
IF(_xlpm.dir="L",
    IF(F768-Table1[[#This Row],[Steps]]&lt;0,100+(F768-Table1[[#This Row],[Steps]]),F768-Table1[[#This Row],[Steps]]),
))</f>
        <v>0</v>
      </c>
      <c r="E769">
        <f>_xlfn.LET(_xlpm.dir,Table1[[#This Row],[Direction]],
IF(_xlpm.dir="R",
    IF(F768+Table1[[#This Row],[Steps]]&gt;99,(F768+Table1[[#This Row],[Steps]])-100,F768+Table1[[#This Row],[Steps]]),
))</f>
        <v>82</v>
      </c>
      <c r="F769">
        <f>IF(Table1[[#This Row],[New Pos L]]&lt;&gt;0,Table1[[#This Row],[New Pos L]],Table1[[#This Row],[New Pos R]])</f>
        <v>82</v>
      </c>
    </row>
    <row r="770" spans="1:6" ht="16" x14ac:dyDescent="0.2">
      <c r="A770" s="1" t="s">
        <v>139</v>
      </c>
      <c r="B770" t="str">
        <f>LEFT(Table1[[#This Row],[Input]],1)</f>
        <v>R</v>
      </c>
      <c r="C770">
        <f>_xlfn.LET(_xlpm.steps,SUBSTITUTE(Table1[[#This Row],[Input]],Table1[[#This Row],[Direction]],""),VALUE(IF(LEN(_xlpm.steps)&gt;2,RIGHT(_xlpm.steps,2),_xlpm.steps)))</f>
        <v>38</v>
      </c>
      <c r="D770">
        <f>_xlfn.LET(_xlpm.dir,Table1[[#This Row],[Direction]],
IF(_xlpm.dir="L",
    IF(F769-Table1[[#This Row],[Steps]]&lt;0,100+(F769-Table1[[#This Row],[Steps]]),F769-Table1[[#This Row],[Steps]]),
))</f>
        <v>0</v>
      </c>
      <c r="E770">
        <f>_xlfn.LET(_xlpm.dir,Table1[[#This Row],[Direction]],
IF(_xlpm.dir="R",
    IF(F769+Table1[[#This Row],[Steps]]&gt;99,(F769+Table1[[#This Row],[Steps]])-100,F769+Table1[[#This Row],[Steps]]),
))</f>
        <v>20</v>
      </c>
      <c r="F770">
        <f>IF(Table1[[#This Row],[New Pos L]]&lt;&gt;0,Table1[[#This Row],[New Pos L]],Table1[[#This Row],[New Pos R]])</f>
        <v>20</v>
      </c>
    </row>
    <row r="771" spans="1:6" ht="16" x14ac:dyDescent="0.2">
      <c r="A771" s="1" t="s">
        <v>158</v>
      </c>
      <c r="B771" t="str">
        <f>LEFT(Table1[[#This Row],[Input]],1)</f>
        <v>L</v>
      </c>
      <c r="C771">
        <f>_xlfn.LET(_xlpm.steps,SUBSTITUTE(Table1[[#This Row],[Input]],Table1[[#This Row],[Direction]],""),VALUE(IF(LEN(_xlpm.steps)&gt;2,RIGHT(_xlpm.steps,2),_xlpm.steps)))</f>
        <v>24</v>
      </c>
      <c r="D771">
        <f>_xlfn.LET(_xlpm.dir,Table1[[#This Row],[Direction]],
IF(_xlpm.dir="L",
    IF(F770-Table1[[#This Row],[Steps]]&lt;0,100+(F770-Table1[[#This Row],[Steps]]),F770-Table1[[#This Row],[Steps]]),
))</f>
        <v>96</v>
      </c>
      <c r="E771">
        <f>_xlfn.LET(_xlpm.dir,Table1[[#This Row],[Direction]],
IF(_xlpm.dir="R",
    IF(F770+Table1[[#This Row],[Steps]]&gt;99,(F770+Table1[[#This Row],[Steps]])-100,F770+Table1[[#This Row],[Steps]]),
))</f>
        <v>0</v>
      </c>
      <c r="F771">
        <f>IF(Table1[[#This Row],[New Pos L]]&lt;&gt;0,Table1[[#This Row],[New Pos L]],Table1[[#This Row],[New Pos R]])</f>
        <v>96</v>
      </c>
    </row>
    <row r="772" spans="1:6" ht="16" x14ac:dyDescent="0.2">
      <c r="A772" s="1" t="s">
        <v>205</v>
      </c>
      <c r="B772" t="str">
        <f>LEFT(Table1[[#This Row],[Input]],1)</f>
        <v>R</v>
      </c>
      <c r="C772">
        <f>_xlfn.LET(_xlpm.steps,SUBSTITUTE(Table1[[#This Row],[Input]],Table1[[#This Row],[Direction]],""),VALUE(IF(LEN(_xlpm.steps)&gt;2,RIGHT(_xlpm.steps,2),_xlpm.steps)))</f>
        <v>83</v>
      </c>
      <c r="D772">
        <f>_xlfn.LET(_xlpm.dir,Table1[[#This Row],[Direction]],
IF(_xlpm.dir="L",
    IF(F771-Table1[[#This Row],[Steps]]&lt;0,100+(F771-Table1[[#This Row],[Steps]]),F771-Table1[[#This Row],[Steps]]),
))</f>
        <v>0</v>
      </c>
      <c r="E772">
        <f>_xlfn.LET(_xlpm.dir,Table1[[#This Row],[Direction]],
IF(_xlpm.dir="R",
    IF(F771+Table1[[#This Row],[Steps]]&gt;99,(F771+Table1[[#This Row],[Steps]])-100,F771+Table1[[#This Row],[Steps]]),
))</f>
        <v>79</v>
      </c>
      <c r="F772">
        <f>IF(Table1[[#This Row],[New Pos L]]&lt;&gt;0,Table1[[#This Row],[New Pos L]],Table1[[#This Row],[New Pos R]])</f>
        <v>79</v>
      </c>
    </row>
    <row r="773" spans="1:6" ht="16" x14ac:dyDescent="0.2">
      <c r="A773" s="1" t="s">
        <v>186</v>
      </c>
      <c r="B773" t="str">
        <f>LEFT(Table1[[#This Row],[Input]],1)</f>
        <v>L</v>
      </c>
      <c r="C773">
        <f>_xlfn.LET(_xlpm.steps,SUBSTITUTE(Table1[[#This Row],[Input]],Table1[[#This Row],[Direction]],""),VALUE(IF(LEN(_xlpm.steps)&gt;2,RIGHT(_xlpm.steps,2),_xlpm.steps)))</f>
        <v>84</v>
      </c>
      <c r="D773">
        <f>_xlfn.LET(_xlpm.dir,Table1[[#This Row],[Direction]],
IF(_xlpm.dir="L",
    IF(F772-Table1[[#This Row],[Steps]]&lt;0,100+(F772-Table1[[#This Row],[Steps]]),F772-Table1[[#This Row],[Steps]]),
))</f>
        <v>95</v>
      </c>
      <c r="E773">
        <f>_xlfn.LET(_xlpm.dir,Table1[[#This Row],[Direction]],
IF(_xlpm.dir="R",
    IF(F772+Table1[[#This Row],[Steps]]&gt;99,(F772+Table1[[#This Row],[Steps]])-100,F772+Table1[[#This Row],[Steps]]),
))</f>
        <v>0</v>
      </c>
      <c r="F773">
        <f>IF(Table1[[#This Row],[New Pos L]]&lt;&gt;0,Table1[[#This Row],[New Pos L]],Table1[[#This Row],[New Pos R]])</f>
        <v>95</v>
      </c>
    </row>
    <row r="774" spans="1:6" ht="16" x14ac:dyDescent="0.2">
      <c r="A774" s="1" t="s">
        <v>108</v>
      </c>
      <c r="B774" t="str">
        <f>LEFT(Table1[[#This Row],[Input]],1)</f>
        <v>R</v>
      </c>
      <c r="C774">
        <f>_xlfn.LET(_xlpm.steps,SUBSTITUTE(Table1[[#This Row],[Input]],Table1[[#This Row],[Direction]],""),VALUE(IF(LEN(_xlpm.steps)&gt;2,RIGHT(_xlpm.steps,2),_xlpm.steps)))</f>
        <v>66</v>
      </c>
      <c r="D774">
        <f>_xlfn.LET(_xlpm.dir,Table1[[#This Row],[Direction]],
IF(_xlpm.dir="L",
    IF(F773-Table1[[#This Row],[Steps]]&lt;0,100+(F773-Table1[[#This Row],[Steps]]),F773-Table1[[#This Row],[Steps]]),
))</f>
        <v>0</v>
      </c>
      <c r="E774">
        <f>_xlfn.LET(_xlpm.dir,Table1[[#This Row],[Direction]],
IF(_xlpm.dir="R",
    IF(F773+Table1[[#This Row],[Steps]]&gt;99,(F773+Table1[[#This Row],[Steps]])-100,F773+Table1[[#This Row],[Steps]]),
))</f>
        <v>61</v>
      </c>
      <c r="F774">
        <f>IF(Table1[[#This Row],[New Pos L]]&lt;&gt;0,Table1[[#This Row],[New Pos L]],Table1[[#This Row],[New Pos R]])</f>
        <v>61</v>
      </c>
    </row>
    <row r="775" spans="1:6" ht="16" x14ac:dyDescent="0.2">
      <c r="A775" s="1" t="s">
        <v>102</v>
      </c>
      <c r="B775" t="str">
        <f>LEFT(Table1[[#This Row],[Input]],1)</f>
        <v>R</v>
      </c>
      <c r="C775">
        <f>_xlfn.LET(_xlpm.steps,SUBSTITUTE(Table1[[#This Row],[Input]],Table1[[#This Row],[Direction]],""),VALUE(IF(LEN(_xlpm.steps)&gt;2,RIGHT(_xlpm.steps,2),_xlpm.steps)))</f>
        <v>39</v>
      </c>
      <c r="D775">
        <f>_xlfn.LET(_xlpm.dir,Table1[[#This Row],[Direction]],
IF(_xlpm.dir="L",
    IF(F774-Table1[[#This Row],[Steps]]&lt;0,100+(F774-Table1[[#This Row],[Steps]]),F774-Table1[[#This Row],[Steps]]),
))</f>
        <v>0</v>
      </c>
      <c r="E775">
        <f>_xlfn.LET(_xlpm.dir,Table1[[#This Row],[Direction]],
IF(_xlpm.dir="R",
    IF(F774+Table1[[#This Row],[Steps]]&gt;99,(F774+Table1[[#This Row],[Steps]])-100,F774+Table1[[#This Row],[Steps]]),
))</f>
        <v>0</v>
      </c>
      <c r="F775">
        <f>IF(Table1[[#This Row],[New Pos L]]&lt;&gt;0,Table1[[#This Row],[New Pos L]],Table1[[#This Row],[New Pos R]])</f>
        <v>0</v>
      </c>
    </row>
    <row r="776" spans="1:6" ht="16" x14ac:dyDescent="0.2">
      <c r="A776" s="1" t="s">
        <v>313</v>
      </c>
      <c r="B776" t="str">
        <f>LEFT(Table1[[#This Row],[Input]],1)</f>
        <v>L</v>
      </c>
      <c r="C776">
        <f>_xlfn.LET(_xlpm.steps,SUBSTITUTE(Table1[[#This Row],[Input]],Table1[[#This Row],[Direction]],""),VALUE(IF(LEN(_xlpm.steps)&gt;2,RIGHT(_xlpm.steps,2),_xlpm.steps)))</f>
        <v>60</v>
      </c>
      <c r="D776">
        <f>_xlfn.LET(_xlpm.dir,Table1[[#This Row],[Direction]],
IF(_xlpm.dir="L",
    IF(F775-Table1[[#This Row],[Steps]]&lt;0,100+(F775-Table1[[#This Row],[Steps]]),F775-Table1[[#This Row],[Steps]]),
))</f>
        <v>40</v>
      </c>
      <c r="E776">
        <f>_xlfn.LET(_xlpm.dir,Table1[[#This Row],[Direction]],
IF(_xlpm.dir="R",
    IF(F775+Table1[[#This Row],[Steps]]&gt;99,(F775+Table1[[#This Row],[Steps]])-100,F775+Table1[[#This Row],[Steps]]),
))</f>
        <v>0</v>
      </c>
      <c r="F776">
        <f>IF(Table1[[#This Row],[New Pos L]]&lt;&gt;0,Table1[[#This Row],[New Pos L]],Table1[[#This Row],[New Pos R]])</f>
        <v>40</v>
      </c>
    </row>
    <row r="777" spans="1:6" ht="16" x14ac:dyDescent="0.2">
      <c r="A777" s="1" t="s">
        <v>314</v>
      </c>
      <c r="B777" t="str">
        <f>LEFT(Table1[[#This Row],[Input]],1)</f>
        <v>L</v>
      </c>
      <c r="C777">
        <f>_xlfn.LET(_xlpm.steps,SUBSTITUTE(Table1[[#This Row],[Input]],Table1[[#This Row],[Direction]],""),VALUE(IF(LEN(_xlpm.steps)&gt;2,RIGHT(_xlpm.steps,2),_xlpm.steps)))</f>
        <v>94</v>
      </c>
      <c r="D777">
        <f>_xlfn.LET(_xlpm.dir,Table1[[#This Row],[Direction]],
IF(_xlpm.dir="L",
    IF(F776-Table1[[#This Row],[Steps]]&lt;0,100+(F776-Table1[[#This Row],[Steps]]),F776-Table1[[#This Row],[Steps]]),
))</f>
        <v>46</v>
      </c>
      <c r="E777">
        <f>_xlfn.LET(_xlpm.dir,Table1[[#This Row],[Direction]],
IF(_xlpm.dir="R",
    IF(F776+Table1[[#This Row],[Steps]]&gt;99,(F776+Table1[[#This Row],[Steps]])-100,F776+Table1[[#This Row],[Steps]]),
))</f>
        <v>0</v>
      </c>
      <c r="F777">
        <f>IF(Table1[[#This Row],[New Pos L]]&lt;&gt;0,Table1[[#This Row],[New Pos L]],Table1[[#This Row],[New Pos R]])</f>
        <v>46</v>
      </c>
    </row>
    <row r="778" spans="1:6" ht="16" x14ac:dyDescent="0.2">
      <c r="A778" s="1" t="s">
        <v>108</v>
      </c>
      <c r="B778" t="str">
        <f>LEFT(Table1[[#This Row],[Input]],1)</f>
        <v>R</v>
      </c>
      <c r="C778">
        <f>_xlfn.LET(_xlpm.steps,SUBSTITUTE(Table1[[#This Row],[Input]],Table1[[#This Row],[Direction]],""),VALUE(IF(LEN(_xlpm.steps)&gt;2,RIGHT(_xlpm.steps,2),_xlpm.steps)))</f>
        <v>66</v>
      </c>
      <c r="D778">
        <f>_xlfn.LET(_xlpm.dir,Table1[[#This Row],[Direction]],
IF(_xlpm.dir="L",
    IF(F777-Table1[[#This Row],[Steps]]&lt;0,100+(F777-Table1[[#This Row],[Steps]]),F777-Table1[[#This Row],[Steps]]),
))</f>
        <v>0</v>
      </c>
      <c r="E778">
        <f>_xlfn.LET(_xlpm.dir,Table1[[#This Row],[Direction]],
IF(_xlpm.dir="R",
    IF(F777+Table1[[#This Row],[Steps]]&gt;99,(F777+Table1[[#This Row],[Steps]])-100,F777+Table1[[#This Row],[Steps]]),
))</f>
        <v>12</v>
      </c>
      <c r="F778">
        <f>IF(Table1[[#This Row],[New Pos L]]&lt;&gt;0,Table1[[#This Row],[New Pos L]],Table1[[#This Row],[New Pos R]])</f>
        <v>12</v>
      </c>
    </row>
    <row r="779" spans="1:6" ht="16" x14ac:dyDescent="0.2">
      <c r="A779" s="1" t="s">
        <v>8</v>
      </c>
      <c r="B779" t="str">
        <f>LEFT(Table1[[#This Row],[Input]],1)</f>
        <v>R</v>
      </c>
      <c r="C779">
        <f>_xlfn.LET(_xlpm.steps,SUBSTITUTE(Table1[[#This Row],[Input]],Table1[[#This Row],[Direction]],""),VALUE(IF(LEN(_xlpm.steps)&gt;2,RIGHT(_xlpm.steps,2),_xlpm.steps)))</f>
        <v>18</v>
      </c>
      <c r="D779">
        <f>_xlfn.LET(_xlpm.dir,Table1[[#This Row],[Direction]],
IF(_xlpm.dir="L",
    IF(F778-Table1[[#This Row],[Steps]]&lt;0,100+(F778-Table1[[#This Row],[Steps]]),F778-Table1[[#This Row],[Steps]]),
))</f>
        <v>0</v>
      </c>
      <c r="E779">
        <f>_xlfn.LET(_xlpm.dir,Table1[[#This Row],[Direction]],
IF(_xlpm.dir="R",
    IF(F778+Table1[[#This Row],[Steps]]&gt;99,(F778+Table1[[#This Row],[Steps]])-100,F778+Table1[[#This Row],[Steps]]),
))</f>
        <v>30</v>
      </c>
      <c r="F779">
        <f>IF(Table1[[#This Row],[New Pos L]]&lt;&gt;0,Table1[[#This Row],[New Pos L]],Table1[[#This Row],[New Pos R]])</f>
        <v>30</v>
      </c>
    </row>
    <row r="780" spans="1:6" ht="16" x14ac:dyDescent="0.2">
      <c r="A780" s="1" t="s">
        <v>53</v>
      </c>
      <c r="B780" t="str">
        <f>LEFT(Table1[[#This Row],[Input]],1)</f>
        <v>L</v>
      </c>
      <c r="C780">
        <f>_xlfn.LET(_xlpm.steps,SUBSTITUTE(Table1[[#This Row],[Input]],Table1[[#This Row],[Direction]],""),VALUE(IF(LEN(_xlpm.steps)&gt;2,RIGHT(_xlpm.steps,2),_xlpm.steps)))</f>
        <v>56</v>
      </c>
      <c r="D780">
        <f>_xlfn.LET(_xlpm.dir,Table1[[#This Row],[Direction]],
IF(_xlpm.dir="L",
    IF(F779-Table1[[#This Row],[Steps]]&lt;0,100+(F779-Table1[[#This Row],[Steps]]),F779-Table1[[#This Row],[Steps]]),
))</f>
        <v>74</v>
      </c>
      <c r="E780">
        <f>_xlfn.LET(_xlpm.dir,Table1[[#This Row],[Direction]],
IF(_xlpm.dir="R",
    IF(F779+Table1[[#This Row],[Steps]]&gt;99,(F779+Table1[[#This Row],[Steps]])-100,F779+Table1[[#This Row],[Steps]]),
))</f>
        <v>0</v>
      </c>
      <c r="F780">
        <f>IF(Table1[[#This Row],[New Pos L]]&lt;&gt;0,Table1[[#This Row],[New Pos L]],Table1[[#This Row],[New Pos R]])</f>
        <v>74</v>
      </c>
    </row>
    <row r="781" spans="1:6" ht="16" x14ac:dyDescent="0.2">
      <c r="A781" s="1" t="s">
        <v>151</v>
      </c>
      <c r="B781" t="str">
        <f>LEFT(Table1[[#This Row],[Input]],1)</f>
        <v>L</v>
      </c>
      <c r="C781">
        <f>_xlfn.LET(_xlpm.steps,SUBSTITUTE(Table1[[#This Row],[Input]],Table1[[#This Row],[Direction]],""),VALUE(IF(LEN(_xlpm.steps)&gt;2,RIGHT(_xlpm.steps,2),_xlpm.steps)))</f>
        <v>74</v>
      </c>
      <c r="D781">
        <f>_xlfn.LET(_xlpm.dir,Table1[[#This Row],[Direction]],
IF(_xlpm.dir="L",
    IF(F780-Table1[[#This Row],[Steps]]&lt;0,100+(F780-Table1[[#This Row],[Steps]]),F780-Table1[[#This Row],[Steps]]),
))</f>
        <v>0</v>
      </c>
      <c r="E781">
        <f>_xlfn.LET(_xlpm.dir,Table1[[#This Row],[Direction]],
IF(_xlpm.dir="R",
    IF(F780+Table1[[#This Row],[Steps]]&gt;99,(F780+Table1[[#This Row],[Steps]])-100,F780+Table1[[#This Row],[Steps]]),
))</f>
        <v>0</v>
      </c>
      <c r="F781">
        <f>IF(Table1[[#This Row],[New Pos L]]&lt;&gt;0,Table1[[#This Row],[New Pos L]],Table1[[#This Row],[New Pos R]])</f>
        <v>0</v>
      </c>
    </row>
    <row r="782" spans="1:6" ht="16" x14ac:dyDescent="0.2">
      <c r="A782" s="1" t="s">
        <v>35</v>
      </c>
      <c r="B782" t="str">
        <f>LEFT(Table1[[#This Row],[Input]],1)</f>
        <v>L</v>
      </c>
      <c r="C782">
        <f>_xlfn.LET(_xlpm.steps,SUBSTITUTE(Table1[[#This Row],[Input]],Table1[[#This Row],[Direction]],""),VALUE(IF(LEN(_xlpm.steps)&gt;2,RIGHT(_xlpm.steps,2),_xlpm.steps)))</f>
        <v>2</v>
      </c>
      <c r="D782">
        <f>_xlfn.LET(_xlpm.dir,Table1[[#This Row],[Direction]],
IF(_xlpm.dir="L",
    IF(F781-Table1[[#This Row],[Steps]]&lt;0,100+(F781-Table1[[#This Row],[Steps]]),F781-Table1[[#This Row],[Steps]]),
))</f>
        <v>98</v>
      </c>
      <c r="E782">
        <f>_xlfn.LET(_xlpm.dir,Table1[[#This Row],[Direction]],
IF(_xlpm.dir="R",
    IF(F781+Table1[[#This Row],[Steps]]&gt;99,(F781+Table1[[#This Row],[Steps]])-100,F781+Table1[[#This Row],[Steps]]),
))</f>
        <v>0</v>
      </c>
      <c r="F782">
        <f>IF(Table1[[#This Row],[New Pos L]]&lt;&gt;0,Table1[[#This Row],[New Pos L]],Table1[[#This Row],[New Pos R]])</f>
        <v>98</v>
      </c>
    </row>
    <row r="783" spans="1:6" ht="16" x14ac:dyDescent="0.2">
      <c r="A783" s="1" t="s">
        <v>75</v>
      </c>
      <c r="B783" t="str">
        <f>LEFT(Table1[[#This Row],[Input]],1)</f>
        <v>R</v>
      </c>
      <c r="C783">
        <f>_xlfn.LET(_xlpm.steps,SUBSTITUTE(Table1[[#This Row],[Input]],Table1[[#This Row],[Direction]],""),VALUE(IF(LEN(_xlpm.steps)&gt;2,RIGHT(_xlpm.steps,2),_xlpm.steps)))</f>
        <v>2</v>
      </c>
      <c r="D783">
        <f>_xlfn.LET(_xlpm.dir,Table1[[#This Row],[Direction]],
IF(_xlpm.dir="L",
    IF(F782-Table1[[#This Row],[Steps]]&lt;0,100+(F782-Table1[[#This Row],[Steps]]),F782-Table1[[#This Row],[Steps]]),
))</f>
        <v>0</v>
      </c>
      <c r="E783">
        <f>_xlfn.LET(_xlpm.dir,Table1[[#This Row],[Direction]],
IF(_xlpm.dir="R",
    IF(F782+Table1[[#This Row],[Steps]]&gt;99,(F782+Table1[[#This Row],[Steps]])-100,F782+Table1[[#This Row],[Steps]]),
))</f>
        <v>0</v>
      </c>
      <c r="F783">
        <f>IF(Table1[[#This Row],[New Pos L]]&lt;&gt;0,Table1[[#This Row],[New Pos L]],Table1[[#This Row],[New Pos R]])</f>
        <v>0</v>
      </c>
    </row>
    <row r="784" spans="1:6" ht="16" x14ac:dyDescent="0.2">
      <c r="A784" s="1" t="s">
        <v>65</v>
      </c>
      <c r="B784" t="str">
        <f>LEFT(Table1[[#This Row],[Input]],1)</f>
        <v>L</v>
      </c>
      <c r="C784">
        <f>_xlfn.LET(_xlpm.steps,SUBSTITUTE(Table1[[#This Row],[Input]],Table1[[#This Row],[Direction]],""),VALUE(IF(LEN(_xlpm.steps)&gt;2,RIGHT(_xlpm.steps,2),_xlpm.steps)))</f>
        <v>19</v>
      </c>
      <c r="D784">
        <f>_xlfn.LET(_xlpm.dir,Table1[[#This Row],[Direction]],
IF(_xlpm.dir="L",
    IF(F783-Table1[[#This Row],[Steps]]&lt;0,100+(F783-Table1[[#This Row],[Steps]]),F783-Table1[[#This Row],[Steps]]),
))</f>
        <v>81</v>
      </c>
      <c r="E784">
        <f>_xlfn.LET(_xlpm.dir,Table1[[#This Row],[Direction]],
IF(_xlpm.dir="R",
    IF(F783+Table1[[#This Row],[Steps]]&gt;99,(F783+Table1[[#This Row],[Steps]])-100,F783+Table1[[#This Row],[Steps]]),
))</f>
        <v>0</v>
      </c>
      <c r="F784">
        <f>IF(Table1[[#This Row],[New Pos L]]&lt;&gt;0,Table1[[#This Row],[New Pos L]],Table1[[#This Row],[New Pos R]])</f>
        <v>81</v>
      </c>
    </row>
    <row r="785" spans="1:6" ht="16" x14ac:dyDescent="0.2">
      <c r="A785" s="1" t="s">
        <v>110</v>
      </c>
      <c r="B785" t="str">
        <f>LEFT(Table1[[#This Row],[Input]],1)</f>
        <v>L</v>
      </c>
      <c r="C785">
        <f>_xlfn.LET(_xlpm.steps,SUBSTITUTE(Table1[[#This Row],[Input]],Table1[[#This Row],[Direction]],""),VALUE(IF(LEN(_xlpm.steps)&gt;2,RIGHT(_xlpm.steps,2),_xlpm.steps)))</f>
        <v>81</v>
      </c>
      <c r="D785">
        <f>_xlfn.LET(_xlpm.dir,Table1[[#This Row],[Direction]],
IF(_xlpm.dir="L",
    IF(F784-Table1[[#This Row],[Steps]]&lt;0,100+(F784-Table1[[#This Row],[Steps]]),F784-Table1[[#This Row],[Steps]]),
))</f>
        <v>0</v>
      </c>
      <c r="E785">
        <f>_xlfn.LET(_xlpm.dir,Table1[[#This Row],[Direction]],
IF(_xlpm.dir="R",
    IF(F784+Table1[[#This Row],[Steps]]&gt;99,(F784+Table1[[#This Row],[Steps]])-100,F784+Table1[[#This Row],[Steps]]),
))</f>
        <v>0</v>
      </c>
      <c r="F785">
        <f>IF(Table1[[#This Row],[New Pos L]]&lt;&gt;0,Table1[[#This Row],[New Pos L]],Table1[[#This Row],[New Pos R]])</f>
        <v>0</v>
      </c>
    </row>
    <row r="786" spans="1:6" ht="16" x14ac:dyDescent="0.2">
      <c r="A786" s="1" t="s">
        <v>192</v>
      </c>
      <c r="B786" t="str">
        <f>LEFT(Table1[[#This Row],[Input]],1)</f>
        <v>L</v>
      </c>
      <c r="C786">
        <f>_xlfn.LET(_xlpm.steps,SUBSTITUTE(Table1[[#This Row],[Input]],Table1[[#This Row],[Direction]],""),VALUE(IF(LEN(_xlpm.steps)&gt;2,RIGHT(_xlpm.steps,2),_xlpm.steps)))</f>
        <v>52</v>
      </c>
      <c r="D786">
        <f>_xlfn.LET(_xlpm.dir,Table1[[#This Row],[Direction]],
IF(_xlpm.dir="L",
    IF(F785-Table1[[#This Row],[Steps]]&lt;0,100+(F785-Table1[[#This Row],[Steps]]),F785-Table1[[#This Row],[Steps]]),
))</f>
        <v>48</v>
      </c>
      <c r="E786">
        <f>_xlfn.LET(_xlpm.dir,Table1[[#This Row],[Direction]],
IF(_xlpm.dir="R",
    IF(F785+Table1[[#This Row],[Steps]]&gt;99,(F785+Table1[[#This Row],[Steps]])-100,F785+Table1[[#This Row],[Steps]]),
))</f>
        <v>0</v>
      </c>
      <c r="F786">
        <f>IF(Table1[[#This Row],[New Pos L]]&lt;&gt;0,Table1[[#This Row],[New Pos L]],Table1[[#This Row],[New Pos R]])</f>
        <v>48</v>
      </c>
    </row>
    <row r="787" spans="1:6" ht="16" x14ac:dyDescent="0.2">
      <c r="A787" s="1" t="s">
        <v>207</v>
      </c>
      <c r="B787" t="str">
        <f>LEFT(Table1[[#This Row],[Input]],1)</f>
        <v>L</v>
      </c>
      <c r="C787">
        <f>_xlfn.LET(_xlpm.steps,SUBSTITUTE(Table1[[#This Row],[Input]],Table1[[#This Row],[Direction]],""),VALUE(IF(LEN(_xlpm.steps)&gt;2,RIGHT(_xlpm.steps,2),_xlpm.steps)))</f>
        <v>89</v>
      </c>
      <c r="D787">
        <f>_xlfn.LET(_xlpm.dir,Table1[[#This Row],[Direction]],
IF(_xlpm.dir="L",
    IF(F786-Table1[[#This Row],[Steps]]&lt;0,100+(F786-Table1[[#This Row],[Steps]]),F786-Table1[[#This Row],[Steps]]),
))</f>
        <v>59</v>
      </c>
      <c r="E787">
        <f>_xlfn.LET(_xlpm.dir,Table1[[#This Row],[Direction]],
IF(_xlpm.dir="R",
    IF(F786+Table1[[#This Row],[Steps]]&gt;99,(F786+Table1[[#This Row],[Steps]])-100,F786+Table1[[#This Row],[Steps]]),
))</f>
        <v>0</v>
      </c>
      <c r="F787">
        <f>IF(Table1[[#This Row],[New Pos L]]&lt;&gt;0,Table1[[#This Row],[New Pos L]],Table1[[#This Row],[New Pos R]])</f>
        <v>59</v>
      </c>
    </row>
    <row r="788" spans="1:6" ht="16" x14ac:dyDescent="0.2">
      <c r="A788" s="1" t="s">
        <v>315</v>
      </c>
      <c r="B788" t="str">
        <f>LEFT(Table1[[#This Row],[Input]],1)</f>
        <v>L</v>
      </c>
      <c r="C788">
        <f>_xlfn.LET(_xlpm.steps,SUBSTITUTE(Table1[[#This Row],[Input]],Table1[[#This Row],[Direction]],""),VALUE(IF(LEN(_xlpm.steps)&gt;2,RIGHT(_xlpm.steps,2),_xlpm.steps)))</f>
        <v>50</v>
      </c>
      <c r="D788">
        <f>_xlfn.LET(_xlpm.dir,Table1[[#This Row],[Direction]],
IF(_xlpm.dir="L",
    IF(F787-Table1[[#This Row],[Steps]]&lt;0,100+(F787-Table1[[#This Row],[Steps]]),F787-Table1[[#This Row],[Steps]]),
))</f>
        <v>9</v>
      </c>
      <c r="E788">
        <f>_xlfn.LET(_xlpm.dir,Table1[[#This Row],[Direction]],
IF(_xlpm.dir="R",
    IF(F787+Table1[[#This Row],[Steps]]&gt;99,(F787+Table1[[#This Row],[Steps]])-100,F787+Table1[[#This Row],[Steps]]),
))</f>
        <v>0</v>
      </c>
      <c r="F788">
        <f>IF(Table1[[#This Row],[New Pos L]]&lt;&gt;0,Table1[[#This Row],[New Pos L]],Table1[[#This Row],[New Pos R]])</f>
        <v>9</v>
      </c>
    </row>
    <row r="789" spans="1:6" ht="16" x14ac:dyDescent="0.2">
      <c r="A789" s="1" t="s">
        <v>4</v>
      </c>
      <c r="B789" t="str">
        <f>LEFT(Table1[[#This Row],[Input]],1)</f>
        <v>R</v>
      </c>
      <c r="C789">
        <f>_xlfn.LET(_xlpm.steps,SUBSTITUTE(Table1[[#This Row],[Input]],Table1[[#This Row],[Direction]],""),VALUE(IF(LEN(_xlpm.steps)&gt;2,RIGHT(_xlpm.steps,2),_xlpm.steps)))</f>
        <v>3</v>
      </c>
      <c r="D789">
        <f>_xlfn.LET(_xlpm.dir,Table1[[#This Row],[Direction]],
IF(_xlpm.dir="L",
    IF(F788-Table1[[#This Row],[Steps]]&lt;0,100+(F788-Table1[[#This Row],[Steps]]),F788-Table1[[#This Row],[Steps]]),
))</f>
        <v>0</v>
      </c>
      <c r="E789">
        <f>_xlfn.LET(_xlpm.dir,Table1[[#This Row],[Direction]],
IF(_xlpm.dir="R",
    IF(F788+Table1[[#This Row],[Steps]]&gt;99,(F788+Table1[[#This Row],[Steps]])-100,F788+Table1[[#This Row],[Steps]]),
))</f>
        <v>12</v>
      </c>
      <c r="F789">
        <f>IF(Table1[[#This Row],[New Pos L]]&lt;&gt;0,Table1[[#This Row],[New Pos L]],Table1[[#This Row],[New Pos R]])</f>
        <v>12</v>
      </c>
    </row>
    <row r="790" spans="1:6" ht="16" x14ac:dyDescent="0.2">
      <c r="A790" s="1" t="s">
        <v>129</v>
      </c>
      <c r="B790" t="str">
        <f>LEFT(Table1[[#This Row],[Input]],1)</f>
        <v>R</v>
      </c>
      <c r="C790">
        <f>_xlfn.LET(_xlpm.steps,SUBSTITUTE(Table1[[#This Row],[Input]],Table1[[#This Row],[Direction]],""),VALUE(IF(LEN(_xlpm.steps)&gt;2,RIGHT(_xlpm.steps,2),_xlpm.steps)))</f>
        <v>8</v>
      </c>
      <c r="D790">
        <f>_xlfn.LET(_xlpm.dir,Table1[[#This Row],[Direction]],
IF(_xlpm.dir="L",
    IF(F789-Table1[[#This Row],[Steps]]&lt;0,100+(F789-Table1[[#This Row],[Steps]]),F789-Table1[[#This Row],[Steps]]),
))</f>
        <v>0</v>
      </c>
      <c r="E790">
        <f>_xlfn.LET(_xlpm.dir,Table1[[#This Row],[Direction]],
IF(_xlpm.dir="R",
    IF(F789+Table1[[#This Row],[Steps]]&gt;99,(F789+Table1[[#This Row],[Steps]])-100,F789+Table1[[#This Row],[Steps]]),
))</f>
        <v>20</v>
      </c>
      <c r="F790">
        <f>IF(Table1[[#This Row],[New Pos L]]&lt;&gt;0,Table1[[#This Row],[New Pos L]],Table1[[#This Row],[New Pos R]])</f>
        <v>20</v>
      </c>
    </row>
    <row r="791" spans="1:6" ht="16" x14ac:dyDescent="0.2">
      <c r="A791" s="1" t="s">
        <v>80</v>
      </c>
      <c r="B791" t="str">
        <f>LEFT(Table1[[#This Row],[Input]],1)</f>
        <v>L</v>
      </c>
      <c r="C791">
        <f>_xlfn.LET(_xlpm.steps,SUBSTITUTE(Table1[[#This Row],[Input]],Table1[[#This Row],[Direction]],""),VALUE(IF(LEN(_xlpm.steps)&gt;2,RIGHT(_xlpm.steps,2),_xlpm.steps)))</f>
        <v>48</v>
      </c>
      <c r="D791">
        <f>_xlfn.LET(_xlpm.dir,Table1[[#This Row],[Direction]],
IF(_xlpm.dir="L",
    IF(F790-Table1[[#This Row],[Steps]]&lt;0,100+(F790-Table1[[#This Row],[Steps]]),F790-Table1[[#This Row],[Steps]]),
))</f>
        <v>72</v>
      </c>
      <c r="E791">
        <f>_xlfn.LET(_xlpm.dir,Table1[[#This Row],[Direction]],
IF(_xlpm.dir="R",
    IF(F790+Table1[[#This Row],[Steps]]&gt;99,(F790+Table1[[#This Row],[Steps]])-100,F790+Table1[[#This Row],[Steps]]),
))</f>
        <v>0</v>
      </c>
      <c r="F791">
        <f>IF(Table1[[#This Row],[New Pos L]]&lt;&gt;0,Table1[[#This Row],[New Pos L]],Table1[[#This Row],[New Pos R]])</f>
        <v>72</v>
      </c>
    </row>
    <row r="792" spans="1:6" ht="16" x14ac:dyDescent="0.2">
      <c r="A792" s="1" t="s">
        <v>151</v>
      </c>
      <c r="B792" t="str">
        <f>LEFT(Table1[[#This Row],[Input]],1)</f>
        <v>L</v>
      </c>
      <c r="C792">
        <f>_xlfn.LET(_xlpm.steps,SUBSTITUTE(Table1[[#This Row],[Input]],Table1[[#This Row],[Direction]],""),VALUE(IF(LEN(_xlpm.steps)&gt;2,RIGHT(_xlpm.steps,2),_xlpm.steps)))</f>
        <v>74</v>
      </c>
      <c r="D792">
        <f>_xlfn.LET(_xlpm.dir,Table1[[#This Row],[Direction]],
IF(_xlpm.dir="L",
    IF(F791-Table1[[#This Row],[Steps]]&lt;0,100+(F791-Table1[[#This Row],[Steps]]),F791-Table1[[#This Row],[Steps]]),
))</f>
        <v>98</v>
      </c>
      <c r="E792">
        <f>_xlfn.LET(_xlpm.dir,Table1[[#This Row],[Direction]],
IF(_xlpm.dir="R",
    IF(F791+Table1[[#This Row],[Steps]]&gt;99,(F791+Table1[[#This Row],[Steps]])-100,F791+Table1[[#This Row],[Steps]]),
))</f>
        <v>0</v>
      </c>
      <c r="F792">
        <f>IF(Table1[[#This Row],[New Pos L]]&lt;&gt;0,Table1[[#This Row],[New Pos L]],Table1[[#This Row],[New Pos R]])</f>
        <v>98</v>
      </c>
    </row>
    <row r="793" spans="1:6" ht="16" x14ac:dyDescent="0.2">
      <c r="A793" s="1" t="s">
        <v>316</v>
      </c>
      <c r="B793" t="str">
        <f>LEFT(Table1[[#This Row],[Input]],1)</f>
        <v>L</v>
      </c>
      <c r="C793">
        <f>_xlfn.LET(_xlpm.steps,SUBSTITUTE(Table1[[#This Row],[Input]],Table1[[#This Row],[Direction]],""),VALUE(IF(LEN(_xlpm.steps)&gt;2,RIGHT(_xlpm.steps,2),_xlpm.steps)))</f>
        <v>32</v>
      </c>
      <c r="D793">
        <f>_xlfn.LET(_xlpm.dir,Table1[[#This Row],[Direction]],
IF(_xlpm.dir="L",
    IF(F792-Table1[[#This Row],[Steps]]&lt;0,100+(F792-Table1[[#This Row],[Steps]]),F792-Table1[[#This Row],[Steps]]),
))</f>
        <v>66</v>
      </c>
      <c r="E793">
        <f>_xlfn.LET(_xlpm.dir,Table1[[#This Row],[Direction]],
IF(_xlpm.dir="R",
    IF(F792+Table1[[#This Row],[Steps]]&gt;99,(F792+Table1[[#This Row],[Steps]])-100,F792+Table1[[#This Row],[Steps]]),
))</f>
        <v>0</v>
      </c>
      <c r="F793">
        <f>IF(Table1[[#This Row],[New Pos L]]&lt;&gt;0,Table1[[#This Row],[New Pos L]],Table1[[#This Row],[New Pos R]])</f>
        <v>66</v>
      </c>
    </row>
    <row r="794" spans="1:6" ht="16" x14ac:dyDescent="0.2">
      <c r="A794" s="1" t="s">
        <v>216</v>
      </c>
      <c r="B794" t="str">
        <f>LEFT(Table1[[#This Row],[Input]],1)</f>
        <v>R</v>
      </c>
      <c r="C794">
        <f>_xlfn.LET(_xlpm.steps,SUBSTITUTE(Table1[[#This Row],[Input]],Table1[[#This Row],[Direction]],""),VALUE(IF(LEN(_xlpm.steps)&gt;2,RIGHT(_xlpm.steps,2),_xlpm.steps)))</f>
        <v>54</v>
      </c>
      <c r="D794">
        <f>_xlfn.LET(_xlpm.dir,Table1[[#This Row],[Direction]],
IF(_xlpm.dir="L",
    IF(F793-Table1[[#This Row],[Steps]]&lt;0,100+(F793-Table1[[#This Row],[Steps]]),F793-Table1[[#This Row],[Steps]]),
))</f>
        <v>0</v>
      </c>
      <c r="E794">
        <f>_xlfn.LET(_xlpm.dir,Table1[[#This Row],[Direction]],
IF(_xlpm.dir="R",
    IF(F793+Table1[[#This Row],[Steps]]&gt;99,(F793+Table1[[#This Row],[Steps]])-100,F793+Table1[[#This Row],[Steps]]),
))</f>
        <v>20</v>
      </c>
      <c r="F794">
        <f>IF(Table1[[#This Row],[New Pos L]]&lt;&gt;0,Table1[[#This Row],[New Pos L]],Table1[[#This Row],[New Pos R]])</f>
        <v>20</v>
      </c>
    </row>
    <row r="795" spans="1:6" ht="16" x14ac:dyDescent="0.2">
      <c r="A795" s="1" t="s">
        <v>19</v>
      </c>
      <c r="B795" t="str">
        <f>LEFT(Table1[[#This Row],[Input]],1)</f>
        <v>R</v>
      </c>
      <c r="C795">
        <f>_xlfn.LET(_xlpm.steps,SUBSTITUTE(Table1[[#This Row],[Input]],Table1[[#This Row],[Direction]],""),VALUE(IF(LEN(_xlpm.steps)&gt;2,RIGHT(_xlpm.steps,2),_xlpm.steps)))</f>
        <v>47</v>
      </c>
      <c r="D795">
        <f>_xlfn.LET(_xlpm.dir,Table1[[#This Row],[Direction]],
IF(_xlpm.dir="L",
    IF(F794-Table1[[#This Row],[Steps]]&lt;0,100+(F794-Table1[[#This Row],[Steps]]),F794-Table1[[#This Row],[Steps]]),
))</f>
        <v>0</v>
      </c>
      <c r="E795">
        <f>_xlfn.LET(_xlpm.dir,Table1[[#This Row],[Direction]],
IF(_xlpm.dir="R",
    IF(F794+Table1[[#This Row],[Steps]]&gt;99,(F794+Table1[[#This Row],[Steps]])-100,F794+Table1[[#This Row],[Steps]]),
))</f>
        <v>67</v>
      </c>
      <c r="F795">
        <f>IF(Table1[[#This Row],[New Pos L]]&lt;&gt;0,Table1[[#This Row],[New Pos L]],Table1[[#This Row],[New Pos R]])</f>
        <v>67</v>
      </c>
    </row>
    <row r="796" spans="1:6" ht="16" x14ac:dyDescent="0.2">
      <c r="A796" s="1" t="s">
        <v>252</v>
      </c>
      <c r="B796" t="str">
        <f>LEFT(Table1[[#This Row],[Input]],1)</f>
        <v>L</v>
      </c>
      <c r="C796">
        <f>_xlfn.LET(_xlpm.steps,SUBSTITUTE(Table1[[#This Row],[Input]],Table1[[#This Row],[Direction]],""),VALUE(IF(LEN(_xlpm.steps)&gt;2,RIGHT(_xlpm.steps,2),_xlpm.steps)))</f>
        <v>99</v>
      </c>
      <c r="D796">
        <f>_xlfn.LET(_xlpm.dir,Table1[[#This Row],[Direction]],
IF(_xlpm.dir="L",
    IF(F795-Table1[[#This Row],[Steps]]&lt;0,100+(F795-Table1[[#This Row],[Steps]]),F795-Table1[[#This Row],[Steps]]),
))</f>
        <v>68</v>
      </c>
      <c r="E796">
        <f>_xlfn.LET(_xlpm.dir,Table1[[#This Row],[Direction]],
IF(_xlpm.dir="R",
    IF(F795+Table1[[#This Row],[Steps]]&gt;99,(F795+Table1[[#This Row],[Steps]])-100,F795+Table1[[#This Row],[Steps]]),
))</f>
        <v>0</v>
      </c>
      <c r="F796">
        <f>IF(Table1[[#This Row],[New Pos L]]&lt;&gt;0,Table1[[#This Row],[New Pos L]],Table1[[#This Row],[New Pos R]])</f>
        <v>68</v>
      </c>
    </row>
    <row r="797" spans="1:6" ht="16" x14ac:dyDescent="0.2">
      <c r="A797" s="1" t="s">
        <v>258</v>
      </c>
      <c r="B797" t="str">
        <f>LEFT(Table1[[#This Row],[Input]],1)</f>
        <v>L</v>
      </c>
      <c r="C797">
        <f>_xlfn.LET(_xlpm.steps,SUBSTITUTE(Table1[[#This Row],[Input]],Table1[[#This Row],[Direction]],""),VALUE(IF(LEN(_xlpm.steps)&gt;2,RIGHT(_xlpm.steps,2),_xlpm.steps)))</f>
        <v>68</v>
      </c>
      <c r="D797">
        <f>_xlfn.LET(_xlpm.dir,Table1[[#This Row],[Direction]],
IF(_xlpm.dir="L",
    IF(F796-Table1[[#This Row],[Steps]]&lt;0,100+(F796-Table1[[#This Row],[Steps]]),F796-Table1[[#This Row],[Steps]]),
))</f>
        <v>0</v>
      </c>
      <c r="E797">
        <f>_xlfn.LET(_xlpm.dir,Table1[[#This Row],[Direction]],
IF(_xlpm.dir="R",
    IF(F796+Table1[[#This Row],[Steps]]&gt;99,(F796+Table1[[#This Row],[Steps]])-100,F796+Table1[[#This Row],[Steps]]),
))</f>
        <v>0</v>
      </c>
      <c r="F797">
        <f>IF(Table1[[#This Row],[New Pos L]]&lt;&gt;0,Table1[[#This Row],[New Pos L]],Table1[[#This Row],[New Pos R]])</f>
        <v>0</v>
      </c>
    </row>
    <row r="798" spans="1:6" ht="16" x14ac:dyDescent="0.2">
      <c r="A798" s="1" t="s">
        <v>102</v>
      </c>
      <c r="B798" t="str">
        <f>LEFT(Table1[[#This Row],[Input]],1)</f>
        <v>R</v>
      </c>
      <c r="C798">
        <f>_xlfn.LET(_xlpm.steps,SUBSTITUTE(Table1[[#This Row],[Input]],Table1[[#This Row],[Direction]],""),VALUE(IF(LEN(_xlpm.steps)&gt;2,RIGHT(_xlpm.steps,2),_xlpm.steps)))</f>
        <v>39</v>
      </c>
      <c r="D798">
        <f>_xlfn.LET(_xlpm.dir,Table1[[#This Row],[Direction]],
IF(_xlpm.dir="L",
    IF(F797-Table1[[#This Row],[Steps]]&lt;0,100+(F797-Table1[[#This Row],[Steps]]),F797-Table1[[#This Row],[Steps]]),
))</f>
        <v>0</v>
      </c>
      <c r="E798">
        <f>_xlfn.LET(_xlpm.dir,Table1[[#This Row],[Direction]],
IF(_xlpm.dir="R",
    IF(F797+Table1[[#This Row],[Steps]]&gt;99,(F797+Table1[[#This Row],[Steps]])-100,F797+Table1[[#This Row],[Steps]]),
))</f>
        <v>39</v>
      </c>
      <c r="F798">
        <f>IF(Table1[[#This Row],[New Pos L]]&lt;&gt;0,Table1[[#This Row],[New Pos L]],Table1[[#This Row],[New Pos R]])</f>
        <v>39</v>
      </c>
    </row>
    <row r="799" spans="1:6" ht="16" x14ac:dyDescent="0.2">
      <c r="A799" s="1" t="s">
        <v>317</v>
      </c>
      <c r="B799" t="str">
        <f>LEFT(Table1[[#This Row],[Input]],1)</f>
        <v>L</v>
      </c>
      <c r="C799">
        <f>_xlfn.LET(_xlpm.steps,SUBSTITUTE(Table1[[#This Row],[Input]],Table1[[#This Row],[Direction]],""),VALUE(IF(LEN(_xlpm.steps)&gt;2,RIGHT(_xlpm.steps,2),_xlpm.steps)))</f>
        <v>39</v>
      </c>
      <c r="D799">
        <f>_xlfn.LET(_xlpm.dir,Table1[[#This Row],[Direction]],
IF(_xlpm.dir="L",
    IF(F798-Table1[[#This Row],[Steps]]&lt;0,100+(F798-Table1[[#This Row],[Steps]]),F798-Table1[[#This Row],[Steps]]),
))</f>
        <v>0</v>
      </c>
      <c r="E799">
        <f>_xlfn.LET(_xlpm.dir,Table1[[#This Row],[Direction]],
IF(_xlpm.dir="R",
    IF(F798+Table1[[#This Row],[Steps]]&gt;99,(F798+Table1[[#This Row],[Steps]])-100,F798+Table1[[#This Row],[Steps]]),
))</f>
        <v>0</v>
      </c>
      <c r="F799">
        <f>IF(Table1[[#This Row],[New Pos L]]&lt;&gt;0,Table1[[#This Row],[New Pos L]],Table1[[#This Row],[New Pos R]])</f>
        <v>0</v>
      </c>
    </row>
    <row r="800" spans="1:6" ht="16" x14ac:dyDescent="0.2">
      <c r="A800" s="1" t="s">
        <v>318</v>
      </c>
      <c r="B800" t="str">
        <f>LEFT(Table1[[#This Row],[Input]],1)</f>
        <v>L</v>
      </c>
      <c r="C800">
        <f>_xlfn.LET(_xlpm.steps,SUBSTITUTE(Table1[[#This Row],[Input]],Table1[[#This Row],[Direction]],""),VALUE(IF(LEN(_xlpm.steps)&gt;2,RIGHT(_xlpm.steps,2),_xlpm.steps)))</f>
        <v>52</v>
      </c>
      <c r="D800">
        <f>_xlfn.LET(_xlpm.dir,Table1[[#This Row],[Direction]],
IF(_xlpm.dir="L",
    IF(F799-Table1[[#This Row],[Steps]]&lt;0,100+(F799-Table1[[#This Row],[Steps]]),F799-Table1[[#This Row],[Steps]]),
))</f>
        <v>48</v>
      </c>
      <c r="E800">
        <f>_xlfn.LET(_xlpm.dir,Table1[[#This Row],[Direction]],
IF(_xlpm.dir="R",
    IF(F799+Table1[[#This Row],[Steps]]&gt;99,(F799+Table1[[#This Row],[Steps]])-100,F799+Table1[[#This Row],[Steps]]),
))</f>
        <v>0</v>
      </c>
      <c r="F800">
        <f>IF(Table1[[#This Row],[New Pos L]]&lt;&gt;0,Table1[[#This Row],[New Pos L]],Table1[[#This Row],[New Pos R]])</f>
        <v>48</v>
      </c>
    </row>
    <row r="801" spans="1:6" ht="16" x14ac:dyDescent="0.2">
      <c r="A801" s="1" t="s">
        <v>201</v>
      </c>
      <c r="B801" t="str">
        <f>LEFT(Table1[[#This Row],[Input]],1)</f>
        <v>R</v>
      </c>
      <c r="C801">
        <f>_xlfn.LET(_xlpm.steps,SUBSTITUTE(Table1[[#This Row],[Input]],Table1[[#This Row],[Direction]],""),VALUE(IF(LEN(_xlpm.steps)&gt;2,RIGHT(_xlpm.steps,2),_xlpm.steps)))</f>
        <v>31</v>
      </c>
      <c r="D801">
        <f>_xlfn.LET(_xlpm.dir,Table1[[#This Row],[Direction]],
IF(_xlpm.dir="L",
    IF(F800-Table1[[#This Row],[Steps]]&lt;0,100+(F800-Table1[[#This Row],[Steps]]),F800-Table1[[#This Row],[Steps]]),
))</f>
        <v>0</v>
      </c>
      <c r="E801">
        <f>_xlfn.LET(_xlpm.dir,Table1[[#This Row],[Direction]],
IF(_xlpm.dir="R",
    IF(F800+Table1[[#This Row],[Steps]]&gt;99,(F800+Table1[[#This Row],[Steps]])-100,F800+Table1[[#This Row],[Steps]]),
))</f>
        <v>79</v>
      </c>
      <c r="F801">
        <f>IF(Table1[[#This Row],[New Pos L]]&lt;&gt;0,Table1[[#This Row],[New Pos L]],Table1[[#This Row],[New Pos R]])</f>
        <v>79</v>
      </c>
    </row>
    <row r="802" spans="1:6" ht="16" x14ac:dyDescent="0.2">
      <c r="A802" s="1" t="s">
        <v>319</v>
      </c>
      <c r="B802" t="str">
        <f>LEFT(Table1[[#This Row],[Input]],1)</f>
        <v>L</v>
      </c>
      <c r="C802">
        <f>_xlfn.LET(_xlpm.steps,SUBSTITUTE(Table1[[#This Row],[Input]],Table1[[#This Row],[Direction]],""),VALUE(IF(LEN(_xlpm.steps)&gt;2,RIGHT(_xlpm.steps,2),_xlpm.steps)))</f>
        <v>79</v>
      </c>
      <c r="D802">
        <f>_xlfn.LET(_xlpm.dir,Table1[[#This Row],[Direction]],
IF(_xlpm.dir="L",
    IF(F801-Table1[[#This Row],[Steps]]&lt;0,100+(F801-Table1[[#This Row],[Steps]]),F801-Table1[[#This Row],[Steps]]),
))</f>
        <v>0</v>
      </c>
      <c r="E802">
        <f>_xlfn.LET(_xlpm.dir,Table1[[#This Row],[Direction]],
IF(_xlpm.dir="R",
    IF(F801+Table1[[#This Row],[Steps]]&gt;99,(F801+Table1[[#This Row],[Steps]])-100,F801+Table1[[#This Row],[Steps]]),
))</f>
        <v>0</v>
      </c>
      <c r="F802">
        <f>IF(Table1[[#This Row],[New Pos L]]&lt;&gt;0,Table1[[#This Row],[New Pos L]],Table1[[#This Row],[New Pos R]])</f>
        <v>0</v>
      </c>
    </row>
    <row r="803" spans="1:6" ht="16" x14ac:dyDescent="0.2">
      <c r="A803" s="1" t="s">
        <v>67</v>
      </c>
      <c r="B803" t="str">
        <f>LEFT(Table1[[#This Row],[Input]],1)</f>
        <v>R</v>
      </c>
      <c r="C803">
        <f>_xlfn.LET(_xlpm.steps,SUBSTITUTE(Table1[[#This Row],[Input]],Table1[[#This Row],[Direction]],""),VALUE(IF(LEN(_xlpm.steps)&gt;2,RIGHT(_xlpm.steps,2),_xlpm.steps)))</f>
        <v>33</v>
      </c>
      <c r="D803">
        <f>_xlfn.LET(_xlpm.dir,Table1[[#This Row],[Direction]],
IF(_xlpm.dir="L",
    IF(F802-Table1[[#This Row],[Steps]]&lt;0,100+(F802-Table1[[#This Row],[Steps]]),F802-Table1[[#This Row],[Steps]]),
))</f>
        <v>0</v>
      </c>
      <c r="E803">
        <f>_xlfn.LET(_xlpm.dir,Table1[[#This Row],[Direction]],
IF(_xlpm.dir="R",
    IF(F802+Table1[[#This Row],[Steps]]&gt;99,(F802+Table1[[#This Row],[Steps]])-100,F802+Table1[[#This Row],[Steps]]),
))</f>
        <v>33</v>
      </c>
      <c r="F803">
        <f>IF(Table1[[#This Row],[New Pos L]]&lt;&gt;0,Table1[[#This Row],[New Pos L]],Table1[[#This Row],[New Pos R]])</f>
        <v>33</v>
      </c>
    </row>
    <row r="804" spans="1:6" ht="16" x14ac:dyDescent="0.2">
      <c r="A804" s="1" t="s">
        <v>135</v>
      </c>
      <c r="B804" t="str">
        <f>LEFT(Table1[[#This Row],[Input]],1)</f>
        <v>R</v>
      </c>
      <c r="C804">
        <f>_xlfn.LET(_xlpm.steps,SUBSTITUTE(Table1[[#This Row],[Input]],Table1[[#This Row],[Direction]],""),VALUE(IF(LEN(_xlpm.steps)&gt;2,RIGHT(_xlpm.steps,2),_xlpm.steps)))</f>
        <v>69</v>
      </c>
      <c r="D804">
        <f>_xlfn.LET(_xlpm.dir,Table1[[#This Row],[Direction]],
IF(_xlpm.dir="L",
    IF(F803-Table1[[#This Row],[Steps]]&lt;0,100+(F803-Table1[[#This Row],[Steps]]),F803-Table1[[#This Row],[Steps]]),
))</f>
        <v>0</v>
      </c>
      <c r="E804">
        <f>_xlfn.LET(_xlpm.dir,Table1[[#This Row],[Direction]],
IF(_xlpm.dir="R",
    IF(F803+Table1[[#This Row],[Steps]]&gt;99,(F803+Table1[[#This Row],[Steps]])-100,F803+Table1[[#This Row],[Steps]]),
))</f>
        <v>2</v>
      </c>
      <c r="F804">
        <f>IF(Table1[[#This Row],[New Pos L]]&lt;&gt;0,Table1[[#This Row],[New Pos L]],Table1[[#This Row],[New Pos R]])</f>
        <v>2</v>
      </c>
    </row>
    <row r="805" spans="1:6" ht="16" x14ac:dyDescent="0.2">
      <c r="A805" s="1" t="s">
        <v>199</v>
      </c>
      <c r="B805" t="str">
        <f>LEFT(Table1[[#This Row],[Input]],1)</f>
        <v>R</v>
      </c>
      <c r="C805">
        <f>_xlfn.LET(_xlpm.steps,SUBSTITUTE(Table1[[#This Row],[Input]],Table1[[#This Row],[Direction]],""),VALUE(IF(LEN(_xlpm.steps)&gt;2,RIGHT(_xlpm.steps,2),_xlpm.steps)))</f>
        <v>17</v>
      </c>
      <c r="D805">
        <f>_xlfn.LET(_xlpm.dir,Table1[[#This Row],[Direction]],
IF(_xlpm.dir="L",
    IF(F804-Table1[[#This Row],[Steps]]&lt;0,100+(F804-Table1[[#This Row],[Steps]]),F804-Table1[[#This Row],[Steps]]),
))</f>
        <v>0</v>
      </c>
      <c r="E805">
        <f>_xlfn.LET(_xlpm.dir,Table1[[#This Row],[Direction]],
IF(_xlpm.dir="R",
    IF(F804+Table1[[#This Row],[Steps]]&gt;99,(F804+Table1[[#This Row],[Steps]])-100,F804+Table1[[#This Row],[Steps]]),
))</f>
        <v>19</v>
      </c>
      <c r="F805">
        <f>IF(Table1[[#This Row],[New Pos L]]&lt;&gt;0,Table1[[#This Row],[New Pos L]],Table1[[#This Row],[New Pos R]])</f>
        <v>19</v>
      </c>
    </row>
    <row r="806" spans="1:6" ht="16" x14ac:dyDescent="0.2">
      <c r="A806" s="1" t="s">
        <v>81</v>
      </c>
      <c r="B806" t="str">
        <f>LEFT(Table1[[#This Row],[Input]],1)</f>
        <v>R</v>
      </c>
      <c r="C806">
        <f>_xlfn.LET(_xlpm.steps,SUBSTITUTE(Table1[[#This Row],[Input]],Table1[[#This Row],[Direction]],""),VALUE(IF(LEN(_xlpm.steps)&gt;2,RIGHT(_xlpm.steps,2),_xlpm.steps)))</f>
        <v>17</v>
      </c>
      <c r="D806">
        <f>_xlfn.LET(_xlpm.dir,Table1[[#This Row],[Direction]],
IF(_xlpm.dir="L",
    IF(F805-Table1[[#This Row],[Steps]]&lt;0,100+(F805-Table1[[#This Row],[Steps]]),F805-Table1[[#This Row],[Steps]]),
))</f>
        <v>0</v>
      </c>
      <c r="E806">
        <f>_xlfn.LET(_xlpm.dir,Table1[[#This Row],[Direction]],
IF(_xlpm.dir="R",
    IF(F805+Table1[[#This Row],[Steps]]&gt;99,(F805+Table1[[#This Row],[Steps]])-100,F805+Table1[[#This Row],[Steps]]),
))</f>
        <v>36</v>
      </c>
      <c r="F806">
        <f>IF(Table1[[#This Row],[New Pos L]]&lt;&gt;0,Table1[[#This Row],[New Pos L]],Table1[[#This Row],[New Pos R]])</f>
        <v>36</v>
      </c>
    </row>
    <row r="807" spans="1:6" ht="16" x14ac:dyDescent="0.2">
      <c r="A807" s="1" t="s">
        <v>157</v>
      </c>
      <c r="B807" t="str">
        <f>LEFT(Table1[[#This Row],[Input]],1)</f>
        <v>R</v>
      </c>
      <c r="C807">
        <f>_xlfn.LET(_xlpm.steps,SUBSTITUTE(Table1[[#This Row],[Input]],Table1[[#This Row],[Direction]],""),VALUE(IF(LEN(_xlpm.steps)&gt;2,RIGHT(_xlpm.steps,2),_xlpm.steps)))</f>
        <v>68</v>
      </c>
      <c r="D807">
        <f>_xlfn.LET(_xlpm.dir,Table1[[#This Row],[Direction]],
IF(_xlpm.dir="L",
    IF(F806-Table1[[#This Row],[Steps]]&lt;0,100+(F806-Table1[[#This Row],[Steps]]),F806-Table1[[#This Row],[Steps]]),
))</f>
        <v>0</v>
      </c>
      <c r="E807">
        <f>_xlfn.LET(_xlpm.dir,Table1[[#This Row],[Direction]],
IF(_xlpm.dir="R",
    IF(F806+Table1[[#This Row],[Steps]]&gt;99,(F806+Table1[[#This Row],[Steps]])-100,F806+Table1[[#This Row],[Steps]]),
))</f>
        <v>4</v>
      </c>
      <c r="F807">
        <f>IF(Table1[[#This Row],[New Pos L]]&lt;&gt;0,Table1[[#This Row],[New Pos L]],Table1[[#This Row],[New Pos R]])</f>
        <v>4</v>
      </c>
    </row>
    <row r="808" spans="1:6" ht="16" x14ac:dyDescent="0.2">
      <c r="A808" s="1" t="s">
        <v>171</v>
      </c>
      <c r="B808" t="str">
        <f>LEFT(Table1[[#This Row],[Input]],1)</f>
        <v>L</v>
      </c>
      <c r="C808">
        <f>_xlfn.LET(_xlpm.steps,SUBSTITUTE(Table1[[#This Row],[Input]],Table1[[#This Row],[Direction]],""),VALUE(IF(LEN(_xlpm.steps)&gt;2,RIGHT(_xlpm.steps,2),_xlpm.steps)))</f>
        <v>73</v>
      </c>
      <c r="D808">
        <f>_xlfn.LET(_xlpm.dir,Table1[[#This Row],[Direction]],
IF(_xlpm.dir="L",
    IF(F807-Table1[[#This Row],[Steps]]&lt;0,100+(F807-Table1[[#This Row],[Steps]]),F807-Table1[[#This Row],[Steps]]),
))</f>
        <v>31</v>
      </c>
      <c r="E808">
        <f>_xlfn.LET(_xlpm.dir,Table1[[#This Row],[Direction]],
IF(_xlpm.dir="R",
    IF(F807+Table1[[#This Row],[Steps]]&gt;99,(F807+Table1[[#This Row],[Steps]])-100,F807+Table1[[#This Row],[Steps]]),
))</f>
        <v>0</v>
      </c>
      <c r="F808">
        <f>IF(Table1[[#This Row],[New Pos L]]&lt;&gt;0,Table1[[#This Row],[New Pos L]],Table1[[#This Row],[New Pos R]])</f>
        <v>31</v>
      </c>
    </row>
    <row r="809" spans="1:6" ht="16" x14ac:dyDescent="0.2">
      <c r="A809" s="1" t="s">
        <v>288</v>
      </c>
      <c r="B809" t="str">
        <f>LEFT(Table1[[#This Row],[Input]],1)</f>
        <v>R</v>
      </c>
      <c r="C809">
        <f>_xlfn.LET(_xlpm.steps,SUBSTITUTE(Table1[[#This Row],[Input]],Table1[[#This Row],[Direction]],""),VALUE(IF(LEN(_xlpm.steps)&gt;2,RIGHT(_xlpm.steps,2),_xlpm.steps)))</f>
        <v>25</v>
      </c>
      <c r="D809">
        <f>_xlfn.LET(_xlpm.dir,Table1[[#This Row],[Direction]],
IF(_xlpm.dir="L",
    IF(F808-Table1[[#This Row],[Steps]]&lt;0,100+(F808-Table1[[#This Row],[Steps]]),F808-Table1[[#This Row],[Steps]]),
))</f>
        <v>0</v>
      </c>
      <c r="E809">
        <f>_xlfn.LET(_xlpm.dir,Table1[[#This Row],[Direction]],
IF(_xlpm.dir="R",
    IF(F808+Table1[[#This Row],[Steps]]&gt;99,(F808+Table1[[#This Row],[Steps]])-100,F808+Table1[[#This Row],[Steps]]),
))</f>
        <v>56</v>
      </c>
      <c r="F809">
        <f>IF(Table1[[#This Row],[New Pos L]]&lt;&gt;0,Table1[[#This Row],[New Pos L]],Table1[[#This Row],[New Pos R]])</f>
        <v>56</v>
      </c>
    </row>
    <row r="810" spans="1:6" ht="16" x14ac:dyDescent="0.2">
      <c r="A810" s="1" t="s">
        <v>278</v>
      </c>
      <c r="B810" t="str">
        <f>LEFT(Table1[[#This Row],[Input]],1)</f>
        <v>L</v>
      </c>
      <c r="C810">
        <f>_xlfn.LET(_xlpm.steps,SUBSTITUTE(Table1[[#This Row],[Input]],Table1[[#This Row],[Direction]],""),VALUE(IF(LEN(_xlpm.steps)&gt;2,RIGHT(_xlpm.steps,2),_xlpm.steps)))</f>
        <v>40</v>
      </c>
      <c r="D810">
        <f>_xlfn.LET(_xlpm.dir,Table1[[#This Row],[Direction]],
IF(_xlpm.dir="L",
    IF(F809-Table1[[#This Row],[Steps]]&lt;0,100+(F809-Table1[[#This Row],[Steps]]),F809-Table1[[#This Row],[Steps]]),
))</f>
        <v>16</v>
      </c>
      <c r="E810">
        <f>_xlfn.LET(_xlpm.dir,Table1[[#This Row],[Direction]],
IF(_xlpm.dir="R",
    IF(F809+Table1[[#This Row],[Steps]]&gt;99,(F809+Table1[[#This Row],[Steps]])-100,F809+Table1[[#This Row],[Steps]]),
))</f>
        <v>0</v>
      </c>
      <c r="F810">
        <f>IF(Table1[[#This Row],[New Pos L]]&lt;&gt;0,Table1[[#This Row],[New Pos L]],Table1[[#This Row],[New Pos R]])</f>
        <v>16</v>
      </c>
    </row>
    <row r="811" spans="1:6" ht="16" x14ac:dyDescent="0.2">
      <c r="A811" s="1" t="s">
        <v>61</v>
      </c>
      <c r="B811" t="str">
        <f>LEFT(Table1[[#This Row],[Input]],1)</f>
        <v>L</v>
      </c>
      <c r="C811">
        <f>_xlfn.LET(_xlpm.steps,SUBSTITUTE(Table1[[#This Row],[Input]],Table1[[#This Row],[Direction]],""),VALUE(IF(LEN(_xlpm.steps)&gt;2,RIGHT(_xlpm.steps,2),_xlpm.steps)))</f>
        <v>16</v>
      </c>
      <c r="D811">
        <f>_xlfn.LET(_xlpm.dir,Table1[[#This Row],[Direction]],
IF(_xlpm.dir="L",
    IF(F810-Table1[[#This Row],[Steps]]&lt;0,100+(F810-Table1[[#This Row],[Steps]]),F810-Table1[[#This Row],[Steps]]),
))</f>
        <v>0</v>
      </c>
      <c r="E811">
        <f>_xlfn.LET(_xlpm.dir,Table1[[#This Row],[Direction]],
IF(_xlpm.dir="R",
    IF(F810+Table1[[#This Row],[Steps]]&gt;99,(F810+Table1[[#This Row],[Steps]])-100,F810+Table1[[#This Row],[Steps]]),
))</f>
        <v>0</v>
      </c>
      <c r="F811">
        <f>IF(Table1[[#This Row],[New Pos L]]&lt;&gt;0,Table1[[#This Row],[New Pos L]],Table1[[#This Row],[New Pos R]])</f>
        <v>0</v>
      </c>
    </row>
    <row r="812" spans="1:6" ht="16" x14ac:dyDescent="0.2">
      <c r="A812" s="1" t="s">
        <v>35</v>
      </c>
      <c r="B812" t="str">
        <f>LEFT(Table1[[#This Row],[Input]],1)</f>
        <v>L</v>
      </c>
      <c r="C812">
        <f>_xlfn.LET(_xlpm.steps,SUBSTITUTE(Table1[[#This Row],[Input]],Table1[[#This Row],[Direction]],""),VALUE(IF(LEN(_xlpm.steps)&gt;2,RIGHT(_xlpm.steps,2),_xlpm.steps)))</f>
        <v>2</v>
      </c>
      <c r="D812">
        <f>_xlfn.LET(_xlpm.dir,Table1[[#This Row],[Direction]],
IF(_xlpm.dir="L",
    IF(F811-Table1[[#This Row],[Steps]]&lt;0,100+(F811-Table1[[#This Row],[Steps]]),F811-Table1[[#This Row],[Steps]]),
))</f>
        <v>98</v>
      </c>
      <c r="E812">
        <f>_xlfn.LET(_xlpm.dir,Table1[[#This Row],[Direction]],
IF(_xlpm.dir="R",
    IF(F811+Table1[[#This Row],[Steps]]&gt;99,(F811+Table1[[#This Row],[Steps]])-100,F811+Table1[[#This Row],[Steps]]),
))</f>
        <v>0</v>
      </c>
      <c r="F812">
        <f>IF(Table1[[#This Row],[New Pos L]]&lt;&gt;0,Table1[[#This Row],[New Pos L]],Table1[[#This Row],[New Pos R]])</f>
        <v>98</v>
      </c>
    </row>
    <row r="813" spans="1:6" ht="16" x14ac:dyDescent="0.2">
      <c r="A813" s="1" t="s">
        <v>127</v>
      </c>
      <c r="B813" t="str">
        <f>LEFT(Table1[[#This Row],[Input]],1)</f>
        <v>L</v>
      </c>
      <c r="C813">
        <f>_xlfn.LET(_xlpm.steps,SUBSTITUTE(Table1[[#This Row],[Input]],Table1[[#This Row],[Direction]],""),VALUE(IF(LEN(_xlpm.steps)&gt;2,RIGHT(_xlpm.steps,2),_xlpm.steps)))</f>
        <v>62</v>
      </c>
      <c r="D813">
        <f>_xlfn.LET(_xlpm.dir,Table1[[#This Row],[Direction]],
IF(_xlpm.dir="L",
    IF(F812-Table1[[#This Row],[Steps]]&lt;0,100+(F812-Table1[[#This Row],[Steps]]),F812-Table1[[#This Row],[Steps]]),
))</f>
        <v>36</v>
      </c>
      <c r="E813">
        <f>_xlfn.LET(_xlpm.dir,Table1[[#This Row],[Direction]],
IF(_xlpm.dir="R",
    IF(F812+Table1[[#This Row],[Steps]]&gt;99,(F812+Table1[[#This Row],[Steps]])-100,F812+Table1[[#This Row],[Steps]]),
))</f>
        <v>0</v>
      </c>
      <c r="F813">
        <f>IF(Table1[[#This Row],[New Pos L]]&lt;&gt;0,Table1[[#This Row],[New Pos L]],Table1[[#This Row],[New Pos R]])</f>
        <v>36</v>
      </c>
    </row>
    <row r="814" spans="1:6" ht="16" x14ac:dyDescent="0.2">
      <c r="A814" s="1" t="s">
        <v>302</v>
      </c>
      <c r="B814" t="str">
        <f>LEFT(Table1[[#This Row],[Input]],1)</f>
        <v>R</v>
      </c>
      <c r="C814">
        <f>_xlfn.LET(_xlpm.steps,SUBSTITUTE(Table1[[#This Row],[Input]],Table1[[#This Row],[Direction]],""),VALUE(IF(LEN(_xlpm.steps)&gt;2,RIGHT(_xlpm.steps,2),_xlpm.steps)))</f>
        <v>33</v>
      </c>
      <c r="D814">
        <f>_xlfn.LET(_xlpm.dir,Table1[[#This Row],[Direction]],
IF(_xlpm.dir="L",
    IF(F813-Table1[[#This Row],[Steps]]&lt;0,100+(F813-Table1[[#This Row],[Steps]]),F813-Table1[[#This Row],[Steps]]),
))</f>
        <v>0</v>
      </c>
      <c r="E814">
        <f>_xlfn.LET(_xlpm.dir,Table1[[#This Row],[Direction]],
IF(_xlpm.dir="R",
    IF(F813+Table1[[#This Row],[Steps]]&gt;99,(F813+Table1[[#This Row],[Steps]])-100,F813+Table1[[#This Row],[Steps]]),
))</f>
        <v>69</v>
      </c>
      <c r="F814">
        <f>IF(Table1[[#This Row],[New Pos L]]&lt;&gt;0,Table1[[#This Row],[New Pos L]],Table1[[#This Row],[New Pos R]])</f>
        <v>69</v>
      </c>
    </row>
    <row r="815" spans="1:6" ht="16" x14ac:dyDescent="0.2">
      <c r="A815" s="1" t="s">
        <v>320</v>
      </c>
      <c r="B815" t="str">
        <f>LEFT(Table1[[#This Row],[Input]],1)</f>
        <v>L</v>
      </c>
      <c r="C815">
        <f>_xlfn.LET(_xlpm.steps,SUBSTITUTE(Table1[[#This Row],[Input]],Table1[[#This Row],[Direction]],""),VALUE(IF(LEN(_xlpm.steps)&gt;2,RIGHT(_xlpm.steps,2),_xlpm.steps)))</f>
        <v>69</v>
      </c>
      <c r="D815">
        <f>_xlfn.LET(_xlpm.dir,Table1[[#This Row],[Direction]],
IF(_xlpm.dir="L",
    IF(F814-Table1[[#This Row],[Steps]]&lt;0,100+(F814-Table1[[#This Row],[Steps]]),F814-Table1[[#This Row],[Steps]]),
))</f>
        <v>0</v>
      </c>
      <c r="E815">
        <f>_xlfn.LET(_xlpm.dir,Table1[[#This Row],[Direction]],
IF(_xlpm.dir="R",
    IF(F814+Table1[[#This Row],[Steps]]&gt;99,(F814+Table1[[#This Row],[Steps]])-100,F814+Table1[[#This Row],[Steps]]),
))</f>
        <v>0</v>
      </c>
      <c r="F815">
        <f>IF(Table1[[#This Row],[New Pos L]]&lt;&gt;0,Table1[[#This Row],[New Pos L]],Table1[[#This Row],[New Pos R]])</f>
        <v>0</v>
      </c>
    </row>
    <row r="816" spans="1:6" ht="16" x14ac:dyDescent="0.2">
      <c r="A816" s="1" t="s">
        <v>36</v>
      </c>
      <c r="B816" t="str">
        <f>LEFT(Table1[[#This Row],[Input]],1)</f>
        <v>R</v>
      </c>
      <c r="C816">
        <f>_xlfn.LET(_xlpm.steps,SUBSTITUTE(Table1[[#This Row],[Input]],Table1[[#This Row],[Direction]],""),VALUE(IF(LEN(_xlpm.steps)&gt;2,RIGHT(_xlpm.steps,2),_xlpm.steps)))</f>
        <v>50</v>
      </c>
      <c r="D816">
        <f>_xlfn.LET(_xlpm.dir,Table1[[#This Row],[Direction]],
IF(_xlpm.dir="L",
    IF(F815-Table1[[#This Row],[Steps]]&lt;0,100+(F815-Table1[[#This Row],[Steps]]),F815-Table1[[#This Row],[Steps]]),
))</f>
        <v>0</v>
      </c>
      <c r="E816">
        <f>_xlfn.LET(_xlpm.dir,Table1[[#This Row],[Direction]],
IF(_xlpm.dir="R",
    IF(F815+Table1[[#This Row],[Steps]]&gt;99,(F815+Table1[[#This Row],[Steps]])-100,F815+Table1[[#This Row],[Steps]]),
))</f>
        <v>50</v>
      </c>
      <c r="F816">
        <f>IF(Table1[[#This Row],[New Pos L]]&lt;&gt;0,Table1[[#This Row],[New Pos L]],Table1[[#This Row],[New Pos R]])</f>
        <v>50</v>
      </c>
    </row>
    <row r="817" spans="1:6" ht="16" x14ac:dyDescent="0.2">
      <c r="A817" s="1" t="s">
        <v>321</v>
      </c>
      <c r="B817" t="str">
        <f>LEFT(Table1[[#This Row],[Input]],1)</f>
        <v>L</v>
      </c>
      <c r="C817">
        <f>_xlfn.LET(_xlpm.steps,SUBSTITUTE(Table1[[#This Row],[Input]],Table1[[#This Row],[Direction]],""),VALUE(IF(LEN(_xlpm.steps)&gt;2,RIGHT(_xlpm.steps,2),_xlpm.steps)))</f>
        <v>50</v>
      </c>
      <c r="D817">
        <f>_xlfn.LET(_xlpm.dir,Table1[[#This Row],[Direction]],
IF(_xlpm.dir="L",
    IF(F816-Table1[[#This Row],[Steps]]&lt;0,100+(F816-Table1[[#This Row],[Steps]]),F816-Table1[[#This Row],[Steps]]),
))</f>
        <v>0</v>
      </c>
      <c r="E817">
        <f>_xlfn.LET(_xlpm.dir,Table1[[#This Row],[Direction]],
IF(_xlpm.dir="R",
    IF(F816+Table1[[#This Row],[Steps]]&gt;99,(F816+Table1[[#This Row],[Steps]])-100,F816+Table1[[#This Row],[Steps]]),
))</f>
        <v>0</v>
      </c>
      <c r="F817">
        <f>IF(Table1[[#This Row],[New Pos L]]&lt;&gt;0,Table1[[#This Row],[New Pos L]],Table1[[#This Row],[New Pos R]])</f>
        <v>0</v>
      </c>
    </row>
    <row r="818" spans="1:6" ht="16" x14ac:dyDescent="0.2">
      <c r="A818" s="1" t="s">
        <v>58</v>
      </c>
      <c r="B818" t="str">
        <f>LEFT(Table1[[#This Row],[Input]],1)</f>
        <v>L</v>
      </c>
      <c r="C818">
        <f>_xlfn.LET(_xlpm.steps,SUBSTITUTE(Table1[[#This Row],[Input]],Table1[[#This Row],[Direction]],""),VALUE(IF(LEN(_xlpm.steps)&gt;2,RIGHT(_xlpm.steps,2),_xlpm.steps)))</f>
        <v>30</v>
      </c>
      <c r="D818">
        <f>_xlfn.LET(_xlpm.dir,Table1[[#This Row],[Direction]],
IF(_xlpm.dir="L",
    IF(F817-Table1[[#This Row],[Steps]]&lt;0,100+(F817-Table1[[#This Row],[Steps]]),F817-Table1[[#This Row],[Steps]]),
))</f>
        <v>70</v>
      </c>
      <c r="E818">
        <f>_xlfn.LET(_xlpm.dir,Table1[[#This Row],[Direction]],
IF(_xlpm.dir="R",
    IF(F817+Table1[[#This Row],[Steps]]&gt;99,(F817+Table1[[#This Row],[Steps]])-100,F817+Table1[[#This Row],[Steps]]),
))</f>
        <v>0</v>
      </c>
      <c r="F818">
        <f>IF(Table1[[#This Row],[New Pos L]]&lt;&gt;0,Table1[[#This Row],[New Pos L]],Table1[[#This Row],[New Pos R]])</f>
        <v>70</v>
      </c>
    </row>
    <row r="819" spans="1:6" ht="16" x14ac:dyDescent="0.2">
      <c r="A819" s="1" t="s">
        <v>138</v>
      </c>
      <c r="B819" t="str">
        <f>LEFT(Table1[[#This Row],[Input]],1)</f>
        <v>L</v>
      </c>
      <c r="C819">
        <f>_xlfn.LET(_xlpm.steps,SUBSTITUTE(Table1[[#This Row],[Input]],Table1[[#This Row],[Direction]],""),VALUE(IF(LEN(_xlpm.steps)&gt;2,RIGHT(_xlpm.steps,2),_xlpm.steps)))</f>
        <v>94</v>
      </c>
      <c r="D819">
        <f>_xlfn.LET(_xlpm.dir,Table1[[#This Row],[Direction]],
IF(_xlpm.dir="L",
    IF(F818-Table1[[#This Row],[Steps]]&lt;0,100+(F818-Table1[[#This Row],[Steps]]),F818-Table1[[#This Row],[Steps]]),
))</f>
        <v>76</v>
      </c>
      <c r="E819">
        <f>_xlfn.LET(_xlpm.dir,Table1[[#This Row],[Direction]],
IF(_xlpm.dir="R",
    IF(F818+Table1[[#This Row],[Steps]]&gt;99,(F818+Table1[[#This Row],[Steps]])-100,F818+Table1[[#This Row],[Steps]]),
))</f>
        <v>0</v>
      </c>
      <c r="F819">
        <f>IF(Table1[[#This Row],[New Pos L]]&lt;&gt;0,Table1[[#This Row],[New Pos L]],Table1[[#This Row],[New Pos R]])</f>
        <v>76</v>
      </c>
    </row>
    <row r="820" spans="1:6" ht="16" x14ac:dyDescent="0.2">
      <c r="A820" s="1" t="s">
        <v>322</v>
      </c>
      <c r="B820" t="str">
        <f>LEFT(Table1[[#This Row],[Input]],1)</f>
        <v>L</v>
      </c>
      <c r="C820">
        <f>_xlfn.LET(_xlpm.steps,SUBSTITUTE(Table1[[#This Row],[Input]],Table1[[#This Row],[Direction]],""),VALUE(IF(LEN(_xlpm.steps)&gt;2,RIGHT(_xlpm.steps,2),_xlpm.steps)))</f>
        <v>76</v>
      </c>
      <c r="D820">
        <f>_xlfn.LET(_xlpm.dir,Table1[[#This Row],[Direction]],
IF(_xlpm.dir="L",
    IF(F819-Table1[[#This Row],[Steps]]&lt;0,100+(F819-Table1[[#This Row],[Steps]]),F819-Table1[[#This Row],[Steps]]),
))</f>
        <v>0</v>
      </c>
      <c r="E820">
        <f>_xlfn.LET(_xlpm.dir,Table1[[#This Row],[Direction]],
IF(_xlpm.dir="R",
    IF(F819+Table1[[#This Row],[Steps]]&gt;99,(F819+Table1[[#This Row],[Steps]])-100,F819+Table1[[#This Row],[Steps]]),
))</f>
        <v>0</v>
      </c>
      <c r="F820">
        <f>IF(Table1[[#This Row],[New Pos L]]&lt;&gt;0,Table1[[#This Row],[New Pos L]],Table1[[#This Row],[New Pos R]])</f>
        <v>0</v>
      </c>
    </row>
    <row r="821" spans="1:6" ht="16" x14ac:dyDescent="0.2">
      <c r="A821" s="1" t="s">
        <v>38</v>
      </c>
      <c r="B821" t="str">
        <f>LEFT(Table1[[#This Row],[Input]],1)</f>
        <v>R</v>
      </c>
      <c r="C821">
        <f>_xlfn.LET(_xlpm.steps,SUBSTITUTE(Table1[[#This Row],[Input]],Table1[[#This Row],[Direction]],""),VALUE(IF(LEN(_xlpm.steps)&gt;2,RIGHT(_xlpm.steps,2),_xlpm.steps)))</f>
        <v>15</v>
      </c>
      <c r="D821">
        <f>_xlfn.LET(_xlpm.dir,Table1[[#This Row],[Direction]],
IF(_xlpm.dir="L",
    IF(F820-Table1[[#This Row],[Steps]]&lt;0,100+(F820-Table1[[#This Row],[Steps]]),F820-Table1[[#This Row],[Steps]]),
))</f>
        <v>0</v>
      </c>
      <c r="E821">
        <f>_xlfn.LET(_xlpm.dir,Table1[[#This Row],[Direction]],
IF(_xlpm.dir="R",
    IF(F820+Table1[[#This Row],[Steps]]&gt;99,(F820+Table1[[#This Row],[Steps]])-100,F820+Table1[[#This Row],[Steps]]),
))</f>
        <v>15</v>
      </c>
      <c r="F821">
        <f>IF(Table1[[#This Row],[New Pos L]]&lt;&gt;0,Table1[[#This Row],[New Pos L]],Table1[[#This Row],[New Pos R]])</f>
        <v>15</v>
      </c>
    </row>
    <row r="822" spans="1:6" ht="16" x14ac:dyDescent="0.2">
      <c r="A822" s="1" t="s">
        <v>129</v>
      </c>
      <c r="B822" t="str">
        <f>LEFT(Table1[[#This Row],[Input]],1)</f>
        <v>R</v>
      </c>
      <c r="C822">
        <f>_xlfn.LET(_xlpm.steps,SUBSTITUTE(Table1[[#This Row],[Input]],Table1[[#This Row],[Direction]],""),VALUE(IF(LEN(_xlpm.steps)&gt;2,RIGHT(_xlpm.steps,2),_xlpm.steps)))</f>
        <v>8</v>
      </c>
      <c r="D822">
        <f>_xlfn.LET(_xlpm.dir,Table1[[#This Row],[Direction]],
IF(_xlpm.dir="L",
    IF(F821-Table1[[#This Row],[Steps]]&lt;0,100+(F821-Table1[[#This Row],[Steps]]),F821-Table1[[#This Row],[Steps]]),
))</f>
        <v>0</v>
      </c>
      <c r="E822">
        <f>_xlfn.LET(_xlpm.dir,Table1[[#This Row],[Direction]],
IF(_xlpm.dir="R",
    IF(F821+Table1[[#This Row],[Steps]]&gt;99,(F821+Table1[[#This Row],[Steps]])-100,F821+Table1[[#This Row],[Steps]]),
))</f>
        <v>23</v>
      </c>
      <c r="F822">
        <f>IF(Table1[[#This Row],[New Pos L]]&lt;&gt;0,Table1[[#This Row],[New Pos L]],Table1[[#This Row],[New Pos R]])</f>
        <v>23</v>
      </c>
    </row>
    <row r="823" spans="1:6" ht="16" x14ac:dyDescent="0.2">
      <c r="A823" s="1" t="s">
        <v>120</v>
      </c>
      <c r="B823" t="str">
        <f>LEFT(Table1[[#This Row],[Input]],1)</f>
        <v>L</v>
      </c>
      <c r="C823">
        <f>_xlfn.LET(_xlpm.steps,SUBSTITUTE(Table1[[#This Row],[Input]],Table1[[#This Row],[Direction]],""),VALUE(IF(LEN(_xlpm.steps)&gt;2,RIGHT(_xlpm.steps,2),_xlpm.steps)))</f>
        <v>23</v>
      </c>
      <c r="D823">
        <f>_xlfn.LET(_xlpm.dir,Table1[[#This Row],[Direction]],
IF(_xlpm.dir="L",
    IF(F822-Table1[[#This Row],[Steps]]&lt;0,100+(F822-Table1[[#This Row],[Steps]]),F822-Table1[[#This Row],[Steps]]),
))</f>
        <v>0</v>
      </c>
      <c r="E823">
        <f>_xlfn.LET(_xlpm.dir,Table1[[#This Row],[Direction]],
IF(_xlpm.dir="R",
    IF(F822+Table1[[#This Row],[Steps]]&gt;99,(F822+Table1[[#This Row],[Steps]])-100,F822+Table1[[#This Row],[Steps]]),
))</f>
        <v>0</v>
      </c>
      <c r="F823">
        <f>IF(Table1[[#This Row],[New Pos L]]&lt;&gt;0,Table1[[#This Row],[New Pos L]],Table1[[#This Row],[New Pos R]])</f>
        <v>0</v>
      </c>
    </row>
    <row r="824" spans="1:6" ht="16" x14ac:dyDescent="0.2">
      <c r="A824" s="1" t="s">
        <v>255</v>
      </c>
      <c r="B824" t="str">
        <f>LEFT(Table1[[#This Row],[Input]],1)</f>
        <v>R</v>
      </c>
      <c r="C824">
        <f>_xlfn.LET(_xlpm.steps,SUBSTITUTE(Table1[[#This Row],[Input]],Table1[[#This Row],[Direction]],""),VALUE(IF(LEN(_xlpm.steps)&gt;2,RIGHT(_xlpm.steps,2),_xlpm.steps)))</f>
        <v>16</v>
      </c>
      <c r="D824">
        <f>_xlfn.LET(_xlpm.dir,Table1[[#This Row],[Direction]],
IF(_xlpm.dir="L",
    IF(F823-Table1[[#This Row],[Steps]]&lt;0,100+(F823-Table1[[#This Row],[Steps]]),F823-Table1[[#This Row],[Steps]]),
))</f>
        <v>0</v>
      </c>
      <c r="E824">
        <f>_xlfn.LET(_xlpm.dir,Table1[[#This Row],[Direction]],
IF(_xlpm.dir="R",
    IF(F823+Table1[[#This Row],[Steps]]&gt;99,(F823+Table1[[#This Row],[Steps]])-100,F823+Table1[[#This Row],[Steps]]),
))</f>
        <v>16</v>
      </c>
      <c r="F824">
        <f>IF(Table1[[#This Row],[New Pos L]]&lt;&gt;0,Table1[[#This Row],[New Pos L]],Table1[[#This Row],[New Pos R]])</f>
        <v>16</v>
      </c>
    </row>
    <row r="825" spans="1:6" ht="16" x14ac:dyDescent="0.2">
      <c r="A825" s="1" t="s">
        <v>217</v>
      </c>
      <c r="B825" t="str">
        <f>LEFT(Table1[[#This Row],[Input]],1)</f>
        <v>R</v>
      </c>
      <c r="C825">
        <f>_xlfn.LET(_xlpm.steps,SUBSTITUTE(Table1[[#This Row],[Input]],Table1[[#This Row],[Direction]],""),VALUE(IF(LEN(_xlpm.steps)&gt;2,RIGHT(_xlpm.steps,2),_xlpm.steps)))</f>
        <v>91</v>
      </c>
      <c r="D825">
        <f>_xlfn.LET(_xlpm.dir,Table1[[#This Row],[Direction]],
IF(_xlpm.dir="L",
    IF(F824-Table1[[#This Row],[Steps]]&lt;0,100+(F824-Table1[[#This Row],[Steps]]),F824-Table1[[#This Row],[Steps]]),
))</f>
        <v>0</v>
      </c>
      <c r="E825">
        <f>_xlfn.LET(_xlpm.dir,Table1[[#This Row],[Direction]],
IF(_xlpm.dir="R",
    IF(F824+Table1[[#This Row],[Steps]]&gt;99,(F824+Table1[[#This Row],[Steps]])-100,F824+Table1[[#This Row],[Steps]]),
))</f>
        <v>7</v>
      </c>
      <c r="F825">
        <f>IF(Table1[[#This Row],[New Pos L]]&lt;&gt;0,Table1[[#This Row],[New Pos L]],Table1[[#This Row],[New Pos R]])</f>
        <v>7</v>
      </c>
    </row>
    <row r="826" spans="1:6" ht="16" x14ac:dyDescent="0.2">
      <c r="A826" s="1" t="s">
        <v>0</v>
      </c>
      <c r="B826" t="str">
        <f>LEFT(Table1[[#This Row],[Input]],1)</f>
        <v>L</v>
      </c>
      <c r="C826">
        <f>_xlfn.LET(_xlpm.steps,SUBSTITUTE(Table1[[#This Row],[Input]],Table1[[#This Row],[Direction]],""),VALUE(IF(LEN(_xlpm.steps)&gt;2,RIGHT(_xlpm.steps,2),_xlpm.steps)))</f>
        <v>44</v>
      </c>
      <c r="D826">
        <f>_xlfn.LET(_xlpm.dir,Table1[[#This Row],[Direction]],
IF(_xlpm.dir="L",
    IF(F825-Table1[[#This Row],[Steps]]&lt;0,100+(F825-Table1[[#This Row],[Steps]]),F825-Table1[[#This Row],[Steps]]),
))</f>
        <v>63</v>
      </c>
      <c r="E826">
        <f>_xlfn.LET(_xlpm.dir,Table1[[#This Row],[Direction]],
IF(_xlpm.dir="R",
    IF(F825+Table1[[#This Row],[Steps]]&gt;99,(F825+Table1[[#This Row],[Steps]])-100,F825+Table1[[#This Row],[Steps]]),
))</f>
        <v>0</v>
      </c>
      <c r="F826">
        <f>IF(Table1[[#This Row],[New Pos L]]&lt;&gt;0,Table1[[#This Row],[New Pos L]],Table1[[#This Row],[New Pos R]])</f>
        <v>63</v>
      </c>
    </row>
    <row r="827" spans="1:6" ht="16" x14ac:dyDescent="0.2">
      <c r="A827" s="1" t="s">
        <v>323</v>
      </c>
      <c r="B827" t="str">
        <f>LEFT(Table1[[#This Row],[Input]],1)</f>
        <v>R</v>
      </c>
      <c r="C827">
        <f>_xlfn.LET(_xlpm.steps,SUBSTITUTE(Table1[[#This Row],[Input]],Table1[[#This Row],[Direction]],""),VALUE(IF(LEN(_xlpm.steps)&gt;2,RIGHT(_xlpm.steps,2),_xlpm.steps)))</f>
        <v>37</v>
      </c>
      <c r="D827">
        <f>_xlfn.LET(_xlpm.dir,Table1[[#This Row],[Direction]],
IF(_xlpm.dir="L",
    IF(F826-Table1[[#This Row],[Steps]]&lt;0,100+(F826-Table1[[#This Row],[Steps]]),F826-Table1[[#This Row],[Steps]]),
))</f>
        <v>0</v>
      </c>
      <c r="E827">
        <f>_xlfn.LET(_xlpm.dir,Table1[[#This Row],[Direction]],
IF(_xlpm.dir="R",
    IF(F826+Table1[[#This Row],[Steps]]&gt;99,(F826+Table1[[#This Row],[Steps]])-100,F826+Table1[[#This Row],[Steps]]),
))</f>
        <v>0</v>
      </c>
      <c r="F827">
        <f>IF(Table1[[#This Row],[New Pos L]]&lt;&gt;0,Table1[[#This Row],[New Pos L]],Table1[[#This Row],[New Pos R]])</f>
        <v>0</v>
      </c>
    </row>
    <row r="828" spans="1:6" ht="16" x14ac:dyDescent="0.2">
      <c r="A828" s="1" t="s">
        <v>324</v>
      </c>
      <c r="B828" t="str">
        <f>LEFT(Table1[[#This Row],[Input]],1)</f>
        <v>R</v>
      </c>
      <c r="C828">
        <f>_xlfn.LET(_xlpm.steps,SUBSTITUTE(Table1[[#This Row],[Input]],Table1[[#This Row],[Direction]],""),VALUE(IF(LEN(_xlpm.steps)&gt;2,RIGHT(_xlpm.steps,2),_xlpm.steps)))</f>
        <v>96</v>
      </c>
      <c r="D828">
        <f>_xlfn.LET(_xlpm.dir,Table1[[#This Row],[Direction]],
IF(_xlpm.dir="L",
    IF(F827-Table1[[#This Row],[Steps]]&lt;0,100+(F827-Table1[[#This Row],[Steps]]),F827-Table1[[#This Row],[Steps]]),
))</f>
        <v>0</v>
      </c>
      <c r="E828">
        <f>_xlfn.LET(_xlpm.dir,Table1[[#This Row],[Direction]],
IF(_xlpm.dir="R",
    IF(F827+Table1[[#This Row],[Steps]]&gt;99,(F827+Table1[[#This Row],[Steps]])-100,F827+Table1[[#This Row],[Steps]]),
))</f>
        <v>96</v>
      </c>
      <c r="F828">
        <f>IF(Table1[[#This Row],[New Pos L]]&lt;&gt;0,Table1[[#This Row],[New Pos L]],Table1[[#This Row],[New Pos R]])</f>
        <v>96</v>
      </c>
    </row>
    <row r="829" spans="1:6" ht="16" x14ac:dyDescent="0.2">
      <c r="A829" s="1" t="s">
        <v>98</v>
      </c>
      <c r="B829" t="str">
        <f>LEFT(Table1[[#This Row],[Input]],1)</f>
        <v>L</v>
      </c>
      <c r="C829">
        <f>_xlfn.LET(_xlpm.steps,SUBSTITUTE(Table1[[#This Row],[Input]],Table1[[#This Row],[Direction]],""),VALUE(IF(LEN(_xlpm.steps)&gt;2,RIGHT(_xlpm.steps,2),_xlpm.steps)))</f>
        <v>65</v>
      </c>
      <c r="D829">
        <f>_xlfn.LET(_xlpm.dir,Table1[[#This Row],[Direction]],
IF(_xlpm.dir="L",
    IF(F828-Table1[[#This Row],[Steps]]&lt;0,100+(F828-Table1[[#This Row],[Steps]]),F828-Table1[[#This Row],[Steps]]),
))</f>
        <v>31</v>
      </c>
      <c r="E829">
        <f>_xlfn.LET(_xlpm.dir,Table1[[#This Row],[Direction]],
IF(_xlpm.dir="R",
    IF(F828+Table1[[#This Row],[Steps]]&gt;99,(F828+Table1[[#This Row],[Steps]])-100,F828+Table1[[#This Row],[Steps]]),
))</f>
        <v>0</v>
      </c>
      <c r="F829">
        <f>IF(Table1[[#This Row],[New Pos L]]&lt;&gt;0,Table1[[#This Row],[New Pos L]],Table1[[#This Row],[New Pos R]])</f>
        <v>31</v>
      </c>
    </row>
    <row r="830" spans="1:6" ht="16" x14ac:dyDescent="0.2">
      <c r="A830" s="1" t="s">
        <v>98</v>
      </c>
      <c r="B830" t="str">
        <f>LEFT(Table1[[#This Row],[Input]],1)</f>
        <v>L</v>
      </c>
      <c r="C830">
        <f>_xlfn.LET(_xlpm.steps,SUBSTITUTE(Table1[[#This Row],[Input]],Table1[[#This Row],[Direction]],""),VALUE(IF(LEN(_xlpm.steps)&gt;2,RIGHT(_xlpm.steps,2),_xlpm.steps)))</f>
        <v>65</v>
      </c>
      <c r="D830">
        <f>_xlfn.LET(_xlpm.dir,Table1[[#This Row],[Direction]],
IF(_xlpm.dir="L",
    IF(F829-Table1[[#This Row],[Steps]]&lt;0,100+(F829-Table1[[#This Row],[Steps]]),F829-Table1[[#This Row],[Steps]]),
))</f>
        <v>66</v>
      </c>
      <c r="E830">
        <f>_xlfn.LET(_xlpm.dir,Table1[[#This Row],[Direction]],
IF(_xlpm.dir="R",
    IF(F829+Table1[[#This Row],[Steps]]&gt;99,(F829+Table1[[#This Row],[Steps]])-100,F829+Table1[[#This Row],[Steps]]),
))</f>
        <v>0</v>
      </c>
      <c r="F830">
        <f>IF(Table1[[#This Row],[New Pos L]]&lt;&gt;0,Table1[[#This Row],[New Pos L]],Table1[[#This Row],[New Pos R]])</f>
        <v>66</v>
      </c>
    </row>
    <row r="831" spans="1:6" ht="16" x14ac:dyDescent="0.2">
      <c r="A831" s="1" t="s">
        <v>279</v>
      </c>
      <c r="B831" t="str">
        <f>LEFT(Table1[[#This Row],[Input]],1)</f>
        <v>R</v>
      </c>
      <c r="C831">
        <f>_xlfn.LET(_xlpm.steps,SUBSTITUTE(Table1[[#This Row],[Input]],Table1[[#This Row],[Direction]],""),VALUE(IF(LEN(_xlpm.steps)&gt;2,RIGHT(_xlpm.steps,2),_xlpm.steps)))</f>
        <v>34</v>
      </c>
      <c r="D831">
        <f>_xlfn.LET(_xlpm.dir,Table1[[#This Row],[Direction]],
IF(_xlpm.dir="L",
    IF(F830-Table1[[#This Row],[Steps]]&lt;0,100+(F830-Table1[[#This Row],[Steps]]),F830-Table1[[#This Row],[Steps]]),
))</f>
        <v>0</v>
      </c>
      <c r="E831">
        <f>_xlfn.LET(_xlpm.dir,Table1[[#This Row],[Direction]],
IF(_xlpm.dir="R",
    IF(F830+Table1[[#This Row],[Steps]]&gt;99,(F830+Table1[[#This Row],[Steps]])-100,F830+Table1[[#This Row],[Steps]]),
))</f>
        <v>0</v>
      </c>
      <c r="F831">
        <f>IF(Table1[[#This Row],[New Pos L]]&lt;&gt;0,Table1[[#This Row],[New Pos L]],Table1[[#This Row],[New Pos R]])</f>
        <v>0</v>
      </c>
    </row>
    <row r="832" spans="1:6" ht="16" x14ac:dyDescent="0.2">
      <c r="A832" s="1" t="s">
        <v>325</v>
      </c>
      <c r="B832" t="str">
        <f>LEFT(Table1[[#This Row],[Input]],1)</f>
        <v>L</v>
      </c>
      <c r="C832">
        <f>_xlfn.LET(_xlpm.steps,SUBSTITUTE(Table1[[#This Row],[Input]],Table1[[#This Row],[Direction]],""),VALUE(IF(LEN(_xlpm.steps)&gt;2,RIGHT(_xlpm.steps,2),_xlpm.steps)))</f>
        <v>68</v>
      </c>
      <c r="D832">
        <f>_xlfn.LET(_xlpm.dir,Table1[[#This Row],[Direction]],
IF(_xlpm.dir="L",
    IF(F831-Table1[[#This Row],[Steps]]&lt;0,100+(F831-Table1[[#This Row],[Steps]]),F831-Table1[[#This Row],[Steps]]),
))</f>
        <v>32</v>
      </c>
      <c r="E832">
        <f>_xlfn.LET(_xlpm.dir,Table1[[#This Row],[Direction]],
IF(_xlpm.dir="R",
    IF(F831+Table1[[#This Row],[Steps]]&gt;99,(F831+Table1[[#This Row],[Steps]])-100,F831+Table1[[#This Row],[Steps]]),
))</f>
        <v>0</v>
      </c>
      <c r="F832">
        <f>IF(Table1[[#This Row],[New Pos L]]&lt;&gt;0,Table1[[#This Row],[New Pos L]],Table1[[#This Row],[New Pos R]])</f>
        <v>32</v>
      </c>
    </row>
    <row r="833" spans="1:6" ht="16" x14ac:dyDescent="0.2">
      <c r="A833" s="1" t="s">
        <v>157</v>
      </c>
      <c r="B833" t="str">
        <f>LEFT(Table1[[#This Row],[Input]],1)</f>
        <v>R</v>
      </c>
      <c r="C833">
        <f>_xlfn.LET(_xlpm.steps,SUBSTITUTE(Table1[[#This Row],[Input]],Table1[[#This Row],[Direction]],""),VALUE(IF(LEN(_xlpm.steps)&gt;2,RIGHT(_xlpm.steps,2),_xlpm.steps)))</f>
        <v>68</v>
      </c>
      <c r="D833">
        <f>_xlfn.LET(_xlpm.dir,Table1[[#This Row],[Direction]],
IF(_xlpm.dir="L",
    IF(F832-Table1[[#This Row],[Steps]]&lt;0,100+(F832-Table1[[#This Row],[Steps]]),F832-Table1[[#This Row],[Steps]]),
))</f>
        <v>0</v>
      </c>
      <c r="E833">
        <f>_xlfn.LET(_xlpm.dir,Table1[[#This Row],[Direction]],
IF(_xlpm.dir="R",
    IF(F832+Table1[[#This Row],[Steps]]&gt;99,(F832+Table1[[#This Row],[Steps]])-100,F832+Table1[[#This Row],[Steps]]),
))</f>
        <v>0</v>
      </c>
      <c r="F833">
        <f>IF(Table1[[#This Row],[New Pos L]]&lt;&gt;0,Table1[[#This Row],[New Pos L]],Table1[[#This Row],[New Pos R]])</f>
        <v>0</v>
      </c>
    </row>
    <row r="834" spans="1:6" ht="16" x14ac:dyDescent="0.2">
      <c r="A834" s="1" t="s">
        <v>89</v>
      </c>
      <c r="B834" t="str">
        <f>LEFT(Table1[[#This Row],[Input]],1)</f>
        <v>L</v>
      </c>
      <c r="C834">
        <f>_xlfn.LET(_xlpm.steps,SUBSTITUTE(Table1[[#This Row],[Input]],Table1[[#This Row],[Direction]],""),VALUE(IF(LEN(_xlpm.steps)&gt;2,RIGHT(_xlpm.steps,2),_xlpm.steps)))</f>
        <v>91</v>
      </c>
      <c r="D834">
        <f>_xlfn.LET(_xlpm.dir,Table1[[#This Row],[Direction]],
IF(_xlpm.dir="L",
    IF(F833-Table1[[#This Row],[Steps]]&lt;0,100+(F833-Table1[[#This Row],[Steps]]),F833-Table1[[#This Row],[Steps]]),
))</f>
        <v>9</v>
      </c>
      <c r="E834">
        <f>_xlfn.LET(_xlpm.dir,Table1[[#This Row],[Direction]],
IF(_xlpm.dir="R",
    IF(F833+Table1[[#This Row],[Steps]]&gt;99,(F833+Table1[[#This Row],[Steps]])-100,F833+Table1[[#This Row],[Steps]]),
))</f>
        <v>0</v>
      </c>
      <c r="F834">
        <f>IF(Table1[[#This Row],[New Pos L]]&lt;&gt;0,Table1[[#This Row],[New Pos L]],Table1[[#This Row],[New Pos R]])</f>
        <v>9</v>
      </c>
    </row>
    <row r="835" spans="1:6" ht="16" x14ac:dyDescent="0.2">
      <c r="A835" s="1" t="s">
        <v>326</v>
      </c>
      <c r="B835" t="str">
        <f>LEFT(Table1[[#This Row],[Input]],1)</f>
        <v>L</v>
      </c>
      <c r="C835">
        <f>_xlfn.LET(_xlpm.steps,SUBSTITUTE(Table1[[#This Row],[Input]],Table1[[#This Row],[Direction]],""),VALUE(IF(LEN(_xlpm.steps)&gt;2,RIGHT(_xlpm.steps,2),_xlpm.steps)))</f>
        <v>9</v>
      </c>
      <c r="D835">
        <f>_xlfn.LET(_xlpm.dir,Table1[[#This Row],[Direction]],
IF(_xlpm.dir="L",
    IF(F834-Table1[[#This Row],[Steps]]&lt;0,100+(F834-Table1[[#This Row],[Steps]]),F834-Table1[[#This Row],[Steps]]),
))</f>
        <v>0</v>
      </c>
      <c r="E835">
        <f>_xlfn.LET(_xlpm.dir,Table1[[#This Row],[Direction]],
IF(_xlpm.dir="R",
    IF(F834+Table1[[#This Row],[Steps]]&gt;99,(F834+Table1[[#This Row],[Steps]])-100,F834+Table1[[#This Row],[Steps]]),
))</f>
        <v>0</v>
      </c>
      <c r="F835">
        <f>IF(Table1[[#This Row],[New Pos L]]&lt;&gt;0,Table1[[#This Row],[New Pos L]],Table1[[#This Row],[New Pos R]])</f>
        <v>0</v>
      </c>
    </row>
    <row r="836" spans="1:6" ht="16" x14ac:dyDescent="0.2">
      <c r="A836" s="1" t="s">
        <v>75</v>
      </c>
      <c r="B836" t="str">
        <f>LEFT(Table1[[#This Row],[Input]],1)</f>
        <v>R</v>
      </c>
      <c r="C836">
        <f>_xlfn.LET(_xlpm.steps,SUBSTITUTE(Table1[[#This Row],[Input]],Table1[[#This Row],[Direction]],""),VALUE(IF(LEN(_xlpm.steps)&gt;2,RIGHT(_xlpm.steps,2),_xlpm.steps)))</f>
        <v>2</v>
      </c>
      <c r="D836">
        <f>_xlfn.LET(_xlpm.dir,Table1[[#This Row],[Direction]],
IF(_xlpm.dir="L",
    IF(F835-Table1[[#This Row],[Steps]]&lt;0,100+(F835-Table1[[#This Row],[Steps]]),F835-Table1[[#This Row],[Steps]]),
))</f>
        <v>0</v>
      </c>
      <c r="E836">
        <f>_xlfn.LET(_xlpm.dir,Table1[[#This Row],[Direction]],
IF(_xlpm.dir="R",
    IF(F835+Table1[[#This Row],[Steps]]&gt;99,(F835+Table1[[#This Row],[Steps]])-100,F835+Table1[[#This Row],[Steps]]),
))</f>
        <v>2</v>
      </c>
      <c r="F836">
        <f>IF(Table1[[#This Row],[New Pos L]]&lt;&gt;0,Table1[[#This Row],[New Pos L]],Table1[[#This Row],[New Pos R]])</f>
        <v>2</v>
      </c>
    </row>
    <row r="837" spans="1:6" ht="16" x14ac:dyDescent="0.2">
      <c r="A837" s="1" t="s">
        <v>104</v>
      </c>
      <c r="B837" t="str">
        <f>LEFT(Table1[[#This Row],[Input]],1)</f>
        <v>R</v>
      </c>
      <c r="C837">
        <f>_xlfn.LET(_xlpm.steps,SUBSTITUTE(Table1[[#This Row],[Input]],Table1[[#This Row],[Direction]],""),VALUE(IF(LEN(_xlpm.steps)&gt;2,RIGHT(_xlpm.steps,2),_xlpm.steps)))</f>
        <v>59</v>
      </c>
      <c r="D837">
        <f>_xlfn.LET(_xlpm.dir,Table1[[#This Row],[Direction]],
IF(_xlpm.dir="L",
    IF(F836-Table1[[#This Row],[Steps]]&lt;0,100+(F836-Table1[[#This Row],[Steps]]),F836-Table1[[#This Row],[Steps]]),
))</f>
        <v>0</v>
      </c>
      <c r="E837">
        <f>_xlfn.LET(_xlpm.dir,Table1[[#This Row],[Direction]],
IF(_xlpm.dir="R",
    IF(F836+Table1[[#This Row],[Steps]]&gt;99,(F836+Table1[[#This Row],[Steps]])-100,F836+Table1[[#This Row],[Steps]]),
))</f>
        <v>61</v>
      </c>
      <c r="F837">
        <f>IF(Table1[[#This Row],[New Pos L]]&lt;&gt;0,Table1[[#This Row],[New Pos L]],Table1[[#This Row],[New Pos R]])</f>
        <v>61</v>
      </c>
    </row>
    <row r="838" spans="1:6" ht="16" x14ac:dyDescent="0.2">
      <c r="A838" s="1" t="s">
        <v>140</v>
      </c>
      <c r="B838" t="str">
        <f>LEFT(Table1[[#This Row],[Input]],1)</f>
        <v>L</v>
      </c>
      <c r="C838">
        <f>_xlfn.LET(_xlpm.steps,SUBSTITUTE(Table1[[#This Row],[Input]],Table1[[#This Row],[Direction]],""),VALUE(IF(LEN(_xlpm.steps)&gt;2,RIGHT(_xlpm.steps,2),_xlpm.steps)))</f>
        <v>61</v>
      </c>
      <c r="D838">
        <f>_xlfn.LET(_xlpm.dir,Table1[[#This Row],[Direction]],
IF(_xlpm.dir="L",
    IF(F837-Table1[[#This Row],[Steps]]&lt;0,100+(F837-Table1[[#This Row],[Steps]]),F837-Table1[[#This Row],[Steps]]),
))</f>
        <v>0</v>
      </c>
      <c r="E838">
        <f>_xlfn.LET(_xlpm.dir,Table1[[#This Row],[Direction]],
IF(_xlpm.dir="R",
    IF(F837+Table1[[#This Row],[Steps]]&gt;99,(F837+Table1[[#This Row],[Steps]])-100,F837+Table1[[#This Row],[Steps]]),
))</f>
        <v>0</v>
      </c>
      <c r="F838">
        <f>IF(Table1[[#This Row],[New Pos L]]&lt;&gt;0,Table1[[#This Row],[New Pos L]],Table1[[#This Row],[New Pos R]])</f>
        <v>0</v>
      </c>
    </row>
    <row r="839" spans="1:6" ht="16" x14ac:dyDescent="0.2">
      <c r="A839" s="1" t="s">
        <v>327</v>
      </c>
      <c r="B839" t="str">
        <f>LEFT(Table1[[#This Row],[Input]],1)</f>
        <v>L</v>
      </c>
      <c r="C839">
        <f>_xlfn.LET(_xlpm.steps,SUBSTITUTE(Table1[[#This Row],[Input]],Table1[[#This Row],[Direction]],""),VALUE(IF(LEN(_xlpm.steps)&gt;2,RIGHT(_xlpm.steps,2),_xlpm.steps)))</f>
        <v>19</v>
      </c>
      <c r="D839">
        <f>_xlfn.LET(_xlpm.dir,Table1[[#This Row],[Direction]],
IF(_xlpm.dir="L",
    IF(F838-Table1[[#This Row],[Steps]]&lt;0,100+(F838-Table1[[#This Row],[Steps]]),F838-Table1[[#This Row],[Steps]]),
))</f>
        <v>81</v>
      </c>
      <c r="E839">
        <f>_xlfn.LET(_xlpm.dir,Table1[[#This Row],[Direction]],
IF(_xlpm.dir="R",
    IF(F838+Table1[[#This Row],[Steps]]&gt;99,(F838+Table1[[#This Row],[Steps]])-100,F838+Table1[[#This Row],[Steps]]),
))</f>
        <v>0</v>
      </c>
      <c r="F839">
        <f>IF(Table1[[#This Row],[New Pos L]]&lt;&gt;0,Table1[[#This Row],[New Pos L]],Table1[[#This Row],[New Pos R]])</f>
        <v>81</v>
      </c>
    </row>
    <row r="840" spans="1:6" ht="16" x14ac:dyDescent="0.2">
      <c r="A840" s="1" t="s">
        <v>244</v>
      </c>
      <c r="B840" t="str">
        <f>LEFT(Table1[[#This Row],[Input]],1)</f>
        <v>L</v>
      </c>
      <c r="C840">
        <f>_xlfn.LET(_xlpm.steps,SUBSTITUTE(Table1[[#This Row],[Input]],Table1[[#This Row],[Direction]],""),VALUE(IF(LEN(_xlpm.steps)&gt;2,RIGHT(_xlpm.steps,2),_xlpm.steps)))</f>
        <v>98</v>
      </c>
      <c r="D840">
        <f>_xlfn.LET(_xlpm.dir,Table1[[#This Row],[Direction]],
IF(_xlpm.dir="L",
    IF(F839-Table1[[#This Row],[Steps]]&lt;0,100+(F839-Table1[[#This Row],[Steps]]),F839-Table1[[#This Row],[Steps]]),
))</f>
        <v>83</v>
      </c>
      <c r="E840">
        <f>_xlfn.LET(_xlpm.dir,Table1[[#This Row],[Direction]],
IF(_xlpm.dir="R",
    IF(F839+Table1[[#This Row],[Steps]]&gt;99,(F839+Table1[[#This Row],[Steps]])-100,F839+Table1[[#This Row],[Steps]]),
))</f>
        <v>0</v>
      </c>
      <c r="F840">
        <f>IF(Table1[[#This Row],[New Pos L]]&lt;&gt;0,Table1[[#This Row],[New Pos L]],Table1[[#This Row],[New Pos R]])</f>
        <v>83</v>
      </c>
    </row>
    <row r="841" spans="1:6" ht="16" x14ac:dyDescent="0.2">
      <c r="A841" s="1" t="s">
        <v>74</v>
      </c>
      <c r="B841" t="str">
        <f>LEFT(Table1[[#This Row],[Input]],1)</f>
        <v>R</v>
      </c>
      <c r="C841">
        <f>_xlfn.LET(_xlpm.steps,SUBSTITUTE(Table1[[#This Row],[Input]],Table1[[#This Row],[Direction]],""),VALUE(IF(LEN(_xlpm.steps)&gt;2,RIGHT(_xlpm.steps,2),_xlpm.steps)))</f>
        <v>93</v>
      </c>
      <c r="D841">
        <f>_xlfn.LET(_xlpm.dir,Table1[[#This Row],[Direction]],
IF(_xlpm.dir="L",
    IF(F840-Table1[[#This Row],[Steps]]&lt;0,100+(F840-Table1[[#This Row],[Steps]]),F840-Table1[[#This Row],[Steps]]),
))</f>
        <v>0</v>
      </c>
      <c r="E841">
        <f>_xlfn.LET(_xlpm.dir,Table1[[#This Row],[Direction]],
IF(_xlpm.dir="R",
    IF(F840+Table1[[#This Row],[Steps]]&gt;99,(F840+Table1[[#This Row],[Steps]])-100,F840+Table1[[#This Row],[Steps]]),
))</f>
        <v>76</v>
      </c>
      <c r="F841">
        <f>IF(Table1[[#This Row],[New Pos L]]&lt;&gt;0,Table1[[#This Row],[New Pos L]],Table1[[#This Row],[New Pos R]])</f>
        <v>76</v>
      </c>
    </row>
    <row r="842" spans="1:6" ht="16" x14ac:dyDescent="0.2">
      <c r="A842" s="1" t="s">
        <v>159</v>
      </c>
      <c r="B842" t="str">
        <f>LEFT(Table1[[#This Row],[Input]],1)</f>
        <v>R</v>
      </c>
      <c r="C842">
        <f>_xlfn.LET(_xlpm.steps,SUBSTITUTE(Table1[[#This Row],[Input]],Table1[[#This Row],[Direction]],""),VALUE(IF(LEN(_xlpm.steps)&gt;2,RIGHT(_xlpm.steps,2),_xlpm.steps)))</f>
        <v>24</v>
      </c>
      <c r="D842">
        <f>_xlfn.LET(_xlpm.dir,Table1[[#This Row],[Direction]],
IF(_xlpm.dir="L",
    IF(F841-Table1[[#This Row],[Steps]]&lt;0,100+(F841-Table1[[#This Row],[Steps]]),F841-Table1[[#This Row],[Steps]]),
))</f>
        <v>0</v>
      </c>
      <c r="E842">
        <f>_xlfn.LET(_xlpm.dir,Table1[[#This Row],[Direction]],
IF(_xlpm.dir="R",
    IF(F841+Table1[[#This Row],[Steps]]&gt;99,(F841+Table1[[#This Row],[Steps]])-100,F841+Table1[[#This Row],[Steps]]),
))</f>
        <v>0</v>
      </c>
      <c r="F842">
        <f>IF(Table1[[#This Row],[New Pos L]]&lt;&gt;0,Table1[[#This Row],[New Pos L]],Table1[[#This Row],[New Pos R]])</f>
        <v>0</v>
      </c>
    </row>
    <row r="843" spans="1:6" ht="16" x14ac:dyDescent="0.2">
      <c r="A843" s="1" t="s">
        <v>194</v>
      </c>
      <c r="B843" t="str">
        <f>LEFT(Table1[[#This Row],[Input]],1)</f>
        <v>R</v>
      </c>
      <c r="C843">
        <f>_xlfn.LET(_xlpm.steps,SUBSTITUTE(Table1[[#This Row],[Input]],Table1[[#This Row],[Direction]],""),VALUE(IF(LEN(_xlpm.steps)&gt;2,RIGHT(_xlpm.steps,2),_xlpm.steps)))</f>
        <v>51</v>
      </c>
      <c r="D843">
        <f>_xlfn.LET(_xlpm.dir,Table1[[#This Row],[Direction]],
IF(_xlpm.dir="L",
    IF(F842-Table1[[#This Row],[Steps]]&lt;0,100+(F842-Table1[[#This Row],[Steps]]),F842-Table1[[#This Row],[Steps]]),
))</f>
        <v>0</v>
      </c>
      <c r="E843">
        <f>_xlfn.LET(_xlpm.dir,Table1[[#This Row],[Direction]],
IF(_xlpm.dir="R",
    IF(F842+Table1[[#This Row],[Steps]]&gt;99,(F842+Table1[[#This Row],[Steps]])-100,F842+Table1[[#This Row],[Steps]]),
))</f>
        <v>51</v>
      </c>
      <c r="F843">
        <f>IF(Table1[[#This Row],[New Pos L]]&lt;&gt;0,Table1[[#This Row],[New Pos L]],Table1[[#This Row],[New Pos R]])</f>
        <v>51</v>
      </c>
    </row>
    <row r="844" spans="1:6" ht="16" x14ac:dyDescent="0.2">
      <c r="A844" s="1" t="s">
        <v>26</v>
      </c>
      <c r="B844" t="str">
        <f>LEFT(Table1[[#This Row],[Input]],1)</f>
        <v>R</v>
      </c>
      <c r="C844">
        <f>_xlfn.LET(_xlpm.steps,SUBSTITUTE(Table1[[#This Row],[Input]],Table1[[#This Row],[Direction]],""),VALUE(IF(LEN(_xlpm.steps)&gt;2,RIGHT(_xlpm.steps,2),_xlpm.steps)))</f>
        <v>6</v>
      </c>
      <c r="D844">
        <f>_xlfn.LET(_xlpm.dir,Table1[[#This Row],[Direction]],
IF(_xlpm.dir="L",
    IF(F843-Table1[[#This Row],[Steps]]&lt;0,100+(F843-Table1[[#This Row],[Steps]]),F843-Table1[[#This Row],[Steps]]),
))</f>
        <v>0</v>
      </c>
      <c r="E844">
        <f>_xlfn.LET(_xlpm.dir,Table1[[#This Row],[Direction]],
IF(_xlpm.dir="R",
    IF(F843+Table1[[#This Row],[Steps]]&gt;99,(F843+Table1[[#This Row],[Steps]])-100,F843+Table1[[#This Row],[Steps]]),
))</f>
        <v>57</v>
      </c>
      <c r="F844">
        <f>IF(Table1[[#This Row],[New Pos L]]&lt;&gt;0,Table1[[#This Row],[New Pos L]],Table1[[#This Row],[New Pos R]])</f>
        <v>57</v>
      </c>
    </row>
    <row r="845" spans="1:6" ht="16" x14ac:dyDescent="0.2">
      <c r="A845" s="1" t="s">
        <v>328</v>
      </c>
      <c r="B845" t="str">
        <f>LEFT(Table1[[#This Row],[Input]],1)</f>
        <v>L</v>
      </c>
      <c r="C845">
        <f>_xlfn.LET(_xlpm.steps,SUBSTITUTE(Table1[[#This Row],[Input]],Table1[[#This Row],[Direction]],""),VALUE(IF(LEN(_xlpm.steps)&gt;2,RIGHT(_xlpm.steps,2),_xlpm.steps)))</f>
        <v>57</v>
      </c>
      <c r="D845">
        <f>_xlfn.LET(_xlpm.dir,Table1[[#This Row],[Direction]],
IF(_xlpm.dir="L",
    IF(F844-Table1[[#This Row],[Steps]]&lt;0,100+(F844-Table1[[#This Row],[Steps]]),F844-Table1[[#This Row],[Steps]]),
))</f>
        <v>0</v>
      </c>
      <c r="E845">
        <f>_xlfn.LET(_xlpm.dir,Table1[[#This Row],[Direction]],
IF(_xlpm.dir="R",
    IF(F844+Table1[[#This Row],[Steps]]&gt;99,(F844+Table1[[#This Row],[Steps]])-100,F844+Table1[[#This Row],[Steps]]),
))</f>
        <v>0</v>
      </c>
      <c r="F845">
        <f>IF(Table1[[#This Row],[New Pos L]]&lt;&gt;0,Table1[[#This Row],[New Pos L]],Table1[[#This Row],[New Pos R]])</f>
        <v>0</v>
      </c>
    </row>
    <row r="846" spans="1:6" ht="16" x14ac:dyDescent="0.2">
      <c r="A846" s="1" t="s">
        <v>138</v>
      </c>
      <c r="B846" t="str">
        <f>LEFT(Table1[[#This Row],[Input]],1)</f>
        <v>L</v>
      </c>
      <c r="C846">
        <f>_xlfn.LET(_xlpm.steps,SUBSTITUTE(Table1[[#This Row],[Input]],Table1[[#This Row],[Direction]],""),VALUE(IF(LEN(_xlpm.steps)&gt;2,RIGHT(_xlpm.steps,2),_xlpm.steps)))</f>
        <v>94</v>
      </c>
      <c r="D846">
        <f>_xlfn.LET(_xlpm.dir,Table1[[#This Row],[Direction]],
IF(_xlpm.dir="L",
    IF(F845-Table1[[#This Row],[Steps]]&lt;0,100+(F845-Table1[[#This Row],[Steps]]),F845-Table1[[#This Row],[Steps]]),
))</f>
        <v>6</v>
      </c>
      <c r="E846">
        <f>_xlfn.LET(_xlpm.dir,Table1[[#This Row],[Direction]],
IF(_xlpm.dir="R",
    IF(F845+Table1[[#This Row],[Steps]]&gt;99,(F845+Table1[[#This Row],[Steps]])-100,F845+Table1[[#This Row],[Steps]]),
))</f>
        <v>0</v>
      </c>
      <c r="F846">
        <f>IF(Table1[[#This Row],[New Pos L]]&lt;&gt;0,Table1[[#This Row],[New Pos L]],Table1[[#This Row],[New Pos R]])</f>
        <v>6</v>
      </c>
    </row>
    <row r="847" spans="1:6" ht="16" x14ac:dyDescent="0.2">
      <c r="A847" s="1" t="s">
        <v>11</v>
      </c>
      <c r="B847" t="str">
        <f>LEFT(Table1[[#This Row],[Input]],1)</f>
        <v>L</v>
      </c>
      <c r="C847">
        <f>_xlfn.LET(_xlpm.steps,SUBSTITUTE(Table1[[#This Row],[Input]],Table1[[#This Row],[Direction]],""),VALUE(IF(LEN(_xlpm.steps)&gt;2,RIGHT(_xlpm.steps,2),_xlpm.steps)))</f>
        <v>34</v>
      </c>
      <c r="D847">
        <f>_xlfn.LET(_xlpm.dir,Table1[[#This Row],[Direction]],
IF(_xlpm.dir="L",
    IF(F846-Table1[[#This Row],[Steps]]&lt;0,100+(F846-Table1[[#This Row],[Steps]]),F846-Table1[[#This Row],[Steps]]),
))</f>
        <v>72</v>
      </c>
      <c r="E847">
        <f>_xlfn.LET(_xlpm.dir,Table1[[#This Row],[Direction]],
IF(_xlpm.dir="R",
    IF(F846+Table1[[#This Row],[Steps]]&gt;99,(F846+Table1[[#This Row],[Steps]])-100,F846+Table1[[#This Row],[Steps]]),
))</f>
        <v>0</v>
      </c>
      <c r="F847">
        <f>IF(Table1[[#This Row],[New Pos L]]&lt;&gt;0,Table1[[#This Row],[New Pos L]],Table1[[#This Row],[New Pos R]])</f>
        <v>72</v>
      </c>
    </row>
    <row r="848" spans="1:6" ht="16" x14ac:dyDescent="0.2">
      <c r="A848" s="1" t="s">
        <v>136</v>
      </c>
      <c r="B848" t="str">
        <f>LEFT(Table1[[#This Row],[Input]],1)</f>
        <v>L</v>
      </c>
      <c r="C848">
        <f>_xlfn.LET(_xlpm.steps,SUBSTITUTE(Table1[[#This Row],[Input]],Table1[[#This Row],[Direction]],""),VALUE(IF(LEN(_xlpm.steps)&gt;2,RIGHT(_xlpm.steps,2),_xlpm.steps)))</f>
        <v>72</v>
      </c>
      <c r="D848">
        <f>_xlfn.LET(_xlpm.dir,Table1[[#This Row],[Direction]],
IF(_xlpm.dir="L",
    IF(F847-Table1[[#This Row],[Steps]]&lt;0,100+(F847-Table1[[#This Row],[Steps]]),F847-Table1[[#This Row],[Steps]]),
))</f>
        <v>0</v>
      </c>
      <c r="E848">
        <f>_xlfn.LET(_xlpm.dir,Table1[[#This Row],[Direction]],
IF(_xlpm.dir="R",
    IF(F847+Table1[[#This Row],[Steps]]&gt;99,(F847+Table1[[#This Row],[Steps]])-100,F847+Table1[[#This Row],[Steps]]),
))</f>
        <v>0</v>
      </c>
      <c r="F848">
        <f>IF(Table1[[#This Row],[New Pos L]]&lt;&gt;0,Table1[[#This Row],[New Pos L]],Table1[[#This Row],[New Pos R]])</f>
        <v>0</v>
      </c>
    </row>
    <row r="849" spans="1:6" ht="16" x14ac:dyDescent="0.2">
      <c r="A849" s="1" t="s">
        <v>4</v>
      </c>
      <c r="B849" t="str">
        <f>LEFT(Table1[[#This Row],[Input]],1)</f>
        <v>R</v>
      </c>
      <c r="C849">
        <f>_xlfn.LET(_xlpm.steps,SUBSTITUTE(Table1[[#This Row],[Input]],Table1[[#This Row],[Direction]],""),VALUE(IF(LEN(_xlpm.steps)&gt;2,RIGHT(_xlpm.steps,2),_xlpm.steps)))</f>
        <v>3</v>
      </c>
      <c r="D849">
        <f>_xlfn.LET(_xlpm.dir,Table1[[#This Row],[Direction]],
IF(_xlpm.dir="L",
    IF(F848-Table1[[#This Row],[Steps]]&lt;0,100+(F848-Table1[[#This Row],[Steps]]),F848-Table1[[#This Row],[Steps]]),
))</f>
        <v>0</v>
      </c>
      <c r="E849">
        <f>_xlfn.LET(_xlpm.dir,Table1[[#This Row],[Direction]],
IF(_xlpm.dir="R",
    IF(F848+Table1[[#This Row],[Steps]]&gt;99,(F848+Table1[[#This Row],[Steps]])-100,F848+Table1[[#This Row],[Steps]]),
))</f>
        <v>3</v>
      </c>
      <c r="F849">
        <f>IF(Table1[[#This Row],[New Pos L]]&lt;&gt;0,Table1[[#This Row],[New Pos L]],Table1[[#This Row],[New Pos R]])</f>
        <v>3</v>
      </c>
    </row>
    <row r="850" spans="1:6" ht="16" x14ac:dyDescent="0.2">
      <c r="A850" s="1" t="s">
        <v>296</v>
      </c>
      <c r="B850" t="str">
        <f>LEFT(Table1[[#This Row],[Input]],1)</f>
        <v>R</v>
      </c>
      <c r="C850">
        <f>_xlfn.LET(_xlpm.steps,SUBSTITUTE(Table1[[#This Row],[Input]],Table1[[#This Row],[Direction]],""),VALUE(IF(LEN(_xlpm.steps)&gt;2,RIGHT(_xlpm.steps,2),_xlpm.steps)))</f>
        <v>19</v>
      </c>
      <c r="D850">
        <f>_xlfn.LET(_xlpm.dir,Table1[[#This Row],[Direction]],
IF(_xlpm.dir="L",
    IF(F849-Table1[[#This Row],[Steps]]&lt;0,100+(F849-Table1[[#This Row],[Steps]]),F849-Table1[[#This Row],[Steps]]),
))</f>
        <v>0</v>
      </c>
      <c r="E850">
        <f>_xlfn.LET(_xlpm.dir,Table1[[#This Row],[Direction]],
IF(_xlpm.dir="R",
    IF(F849+Table1[[#This Row],[Steps]]&gt;99,(F849+Table1[[#This Row],[Steps]])-100,F849+Table1[[#This Row],[Steps]]),
))</f>
        <v>22</v>
      </c>
      <c r="F850">
        <f>IF(Table1[[#This Row],[New Pos L]]&lt;&gt;0,Table1[[#This Row],[New Pos L]],Table1[[#This Row],[New Pos R]])</f>
        <v>22</v>
      </c>
    </row>
    <row r="851" spans="1:6" ht="16" x14ac:dyDescent="0.2">
      <c r="A851" s="1" t="s">
        <v>38</v>
      </c>
      <c r="B851" t="str">
        <f>LEFT(Table1[[#This Row],[Input]],1)</f>
        <v>R</v>
      </c>
      <c r="C851">
        <f>_xlfn.LET(_xlpm.steps,SUBSTITUTE(Table1[[#This Row],[Input]],Table1[[#This Row],[Direction]],""),VALUE(IF(LEN(_xlpm.steps)&gt;2,RIGHT(_xlpm.steps,2),_xlpm.steps)))</f>
        <v>15</v>
      </c>
      <c r="D851">
        <f>_xlfn.LET(_xlpm.dir,Table1[[#This Row],[Direction]],
IF(_xlpm.dir="L",
    IF(F850-Table1[[#This Row],[Steps]]&lt;0,100+(F850-Table1[[#This Row],[Steps]]),F850-Table1[[#This Row],[Steps]]),
))</f>
        <v>0</v>
      </c>
      <c r="E851">
        <f>_xlfn.LET(_xlpm.dir,Table1[[#This Row],[Direction]],
IF(_xlpm.dir="R",
    IF(F850+Table1[[#This Row],[Steps]]&gt;99,(F850+Table1[[#This Row],[Steps]])-100,F850+Table1[[#This Row],[Steps]]),
))</f>
        <v>37</v>
      </c>
      <c r="F851">
        <f>IF(Table1[[#This Row],[New Pos L]]&lt;&gt;0,Table1[[#This Row],[New Pos L]],Table1[[#This Row],[New Pos R]])</f>
        <v>37</v>
      </c>
    </row>
    <row r="852" spans="1:6" ht="16" x14ac:dyDescent="0.2">
      <c r="A852" s="1" t="s">
        <v>329</v>
      </c>
      <c r="B852" t="str">
        <f>LEFT(Table1[[#This Row],[Input]],1)</f>
        <v>R</v>
      </c>
      <c r="C852">
        <f>_xlfn.LET(_xlpm.steps,SUBSTITUTE(Table1[[#This Row],[Input]],Table1[[#This Row],[Direction]],""),VALUE(IF(LEN(_xlpm.steps)&gt;2,RIGHT(_xlpm.steps,2),_xlpm.steps)))</f>
        <v>33</v>
      </c>
      <c r="D852">
        <f>_xlfn.LET(_xlpm.dir,Table1[[#This Row],[Direction]],
IF(_xlpm.dir="L",
    IF(F851-Table1[[#This Row],[Steps]]&lt;0,100+(F851-Table1[[#This Row],[Steps]]),F851-Table1[[#This Row],[Steps]]),
))</f>
        <v>0</v>
      </c>
      <c r="E852">
        <f>_xlfn.LET(_xlpm.dir,Table1[[#This Row],[Direction]],
IF(_xlpm.dir="R",
    IF(F851+Table1[[#This Row],[Steps]]&gt;99,(F851+Table1[[#This Row],[Steps]])-100,F851+Table1[[#This Row],[Steps]]),
))</f>
        <v>70</v>
      </c>
      <c r="F852">
        <f>IF(Table1[[#This Row],[New Pos L]]&lt;&gt;0,Table1[[#This Row],[New Pos L]],Table1[[#This Row],[New Pos R]])</f>
        <v>70</v>
      </c>
    </row>
    <row r="853" spans="1:6" ht="16" x14ac:dyDescent="0.2">
      <c r="A853" s="1" t="s">
        <v>47</v>
      </c>
      <c r="B853" t="str">
        <f>LEFT(Table1[[#This Row],[Input]],1)</f>
        <v>R</v>
      </c>
      <c r="C853">
        <f>_xlfn.LET(_xlpm.steps,SUBSTITUTE(Table1[[#This Row],[Input]],Table1[[#This Row],[Direction]],""),VALUE(IF(LEN(_xlpm.steps)&gt;2,RIGHT(_xlpm.steps,2),_xlpm.steps)))</f>
        <v>97</v>
      </c>
      <c r="D853">
        <f>_xlfn.LET(_xlpm.dir,Table1[[#This Row],[Direction]],
IF(_xlpm.dir="L",
    IF(F852-Table1[[#This Row],[Steps]]&lt;0,100+(F852-Table1[[#This Row],[Steps]]),F852-Table1[[#This Row],[Steps]]),
))</f>
        <v>0</v>
      </c>
      <c r="E853">
        <f>_xlfn.LET(_xlpm.dir,Table1[[#This Row],[Direction]],
IF(_xlpm.dir="R",
    IF(F852+Table1[[#This Row],[Steps]]&gt;99,(F852+Table1[[#This Row],[Steps]])-100,F852+Table1[[#This Row],[Steps]]),
))</f>
        <v>67</v>
      </c>
      <c r="F853">
        <f>IF(Table1[[#This Row],[New Pos L]]&lt;&gt;0,Table1[[#This Row],[New Pos L]],Table1[[#This Row],[New Pos R]])</f>
        <v>67</v>
      </c>
    </row>
    <row r="854" spans="1:6" ht="16" x14ac:dyDescent="0.2">
      <c r="A854" s="1" t="s">
        <v>183</v>
      </c>
      <c r="B854" t="str">
        <f>LEFT(Table1[[#This Row],[Input]],1)</f>
        <v>L</v>
      </c>
      <c r="C854">
        <f>_xlfn.LET(_xlpm.steps,SUBSTITUTE(Table1[[#This Row],[Input]],Table1[[#This Row],[Direction]],""),VALUE(IF(LEN(_xlpm.steps)&gt;2,RIGHT(_xlpm.steps,2),_xlpm.steps)))</f>
        <v>67</v>
      </c>
      <c r="D854">
        <f>_xlfn.LET(_xlpm.dir,Table1[[#This Row],[Direction]],
IF(_xlpm.dir="L",
    IF(F853-Table1[[#This Row],[Steps]]&lt;0,100+(F853-Table1[[#This Row],[Steps]]),F853-Table1[[#This Row],[Steps]]),
))</f>
        <v>0</v>
      </c>
      <c r="E854">
        <f>_xlfn.LET(_xlpm.dir,Table1[[#This Row],[Direction]],
IF(_xlpm.dir="R",
    IF(F853+Table1[[#This Row],[Steps]]&gt;99,(F853+Table1[[#This Row],[Steps]])-100,F853+Table1[[#This Row],[Steps]]),
))</f>
        <v>0</v>
      </c>
      <c r="F854">
        <f>IF(Table1[[#This Row],[New Pos L]]&lt;&gt;0,Table1[[#This Row],[New Pos L]],Table1[[#This Row],[New Pos R]])</f>
        <v>0</v>
      </c>
    </row>
    <row r="855" spans="1:6" ht="16" x14ac:dyDescent="0.2">
      <c r="A855" s="1" t="s">
        <v>57</v>
      </c>
      <c r="B855" t="str">
        <f>LEFT(Table1[[#This Row],[Input]],1)</f>
        <v>R</v>
      </c>
      <c r="C855">
        <f>_xlfn.LET(_xlpm.steps,SUBSTITUTE(Table1[[#This Row],[Input]],Table1[[#This Row],[Direction]],""),VALUE(IF(LEN(_xlpm.steps)&gt;2,RIGHT(_xlpm.steps,2),_xlpm.steps)))</f>
        <v>29</v>
      </c>
      <c r="D855">
        <f>_xlfn.LET(_xlpm.dir,Table1[[#This Row],[Direction]],
IF(_xlpm.dir="L",
    IF(F854-Table1[[#This Row],[Steps]]&lt;0,100+(F854-Table1[[#This Row],[Steps]]),F854-Table1[[#This Row],[Steps]]),
))</f>
        <v>0</v>
      </c>
      <c r="E855">
        <f>_xlfn.LET(_xlpm.dir,Table1[[#This Row],[Direction]],
IF(_xlpm.dir="R",
    IF(F854+Table1[[#This Row],[Steps]]&gt;99,(F854+Table1[[#This Row],[Steps]])-100,F854+Table1[[#This Row],[Steps]]),
))</f>
        <v>29</v>
      </c>
      <c r="F855">
        <f>IF(Table1[[#This Row],[New Pos L]]&lt;&gt;0,Table1[[#This Row],[New Pos L]],Table1[[#This Row],[New Pos R]])</f>
        <v>29</v>
      </c>
    </row>
    <row r="856" spans="1:6" ht="16" x14ac:dyDescent="0.2">
      <c r="A856" s="1" t="s">
        <v>174</v>
      </c>
      <c r="B856" t="str">
        <f>LEFT(Table1[[#This Row],[Input]],1)</f>
        <v>L</v>
      </c>
      <c r="C856">
        <f>_xlfn.LET(_xlpm.steps,SUBSTITUTE(Table1[[#This Row],[Input]],Table1[[#This Row],[Direction]],""),VALUE(IF(LEN(_xlpm.steps)&gt;2,RIGHT(_xlpm.steps,2),_xlpm.steps)))</f>
        <v>92</v>
      </c>
      <c r="D856">
        <f>_xlfn.LET(_xlpm.dir,Table1[[#This Row],[Direction]],
IF(_xlpm.dir="L",
    IF(F855-Table1[[#This Row],[Steps]]&lt;0,100+(F855-Table1[[#This Row],[Steps]]),F855-Table1[[#This Row],[Steps]]),
))</f>
        <v>37</v>
      </c>
      <c r="E856">
        <f>_xlfn.LET(_xlpm.dir,Table1[[#This Row],[Direction]],
IF(_xlpm.dir="R",
    IF(F855+Table1[[#This Row],[Steps]]&gt;99,(F855+Table1[[#This Row],[Steps]])-100,F855+Table1[[#This Row],[Steps]]),
))</f>
        <v>0</v>
      </c>
      <c r="F856">
        <f>IF(Table1[[#This Row],[New Pos L]]&lt;&gt;0,Table1[[#This Row],[New Pos L]],Table1[[#This Row],[New Pos R]])</f>
        <v>37</v>
      </c>
    </row>
    <row r="857" spans="1:6" ht="16" x14ac:dyDescent="0.2">
      <c r="A857" s="1" t="s">
        <v>141</v>
      </c>
      <c r="B857" t="str">
        <f>LEFT(Table1[[#This Row],[Input]],1)</f>
        <v>L</v>
      </c>
      <c r="C857">
        <f>_xlfn.LET(_xlpm.steps,SUBSTITUTE(Table1[[#This Row],[Input]],Table1[[#This Row],[Direction]],""),VALUE(IF(LEN(_xlpm.steps)&gt;2,RIGHT(_xlpm.steps,2),_xlpm.steps)))</f>
        <v>90</v>
      </c>
      <c r="D857">
        <f>_xlfn.LET(_xlpm.dir,Table1[[#This Row],[Direction]],
IF(_xlpm.dir="L",
    IF(F856-Table1[[#This Row],[Steps]]&lt;0,100+(F856-Table1[[#This Row],[Steps]]),F856-Table1[[#This Row],[Steps]]),
))</f>
        <v>47</v>
      </c>
      <c r="E857">
        <f>_xlfn.LET(_xlpm.dir,Table1[[#This Row],[Direction]],
IF(_xlpm.dir="R",
    IF(F856+Table1[[#This Row],[Steps]]&gt;99,(F856+Table1[[#This Row],[Steps]])-100,F856+Table1[[#This Row],[Steps]]),
))</f>
        <v>0</v>
      </c>
      <c r="F857">
        <f>IF(Table1[[#This Row],[New Pos L]]&lt;&gt;0,Table1[[#This Row],[New Pos L]],Table1[[#This Row],[New Pos R]])</f>
        <v>47</v>
      </c>
    </row>
    <row r="858" spans="1:6" ht="16" x14ac:dyDescent="0.2">
      <c r="A858" s="1" t="s">
        <v>330</v>
      </c>
      <c r="B858" t="str">
        <f>LEFT(Table1[[#This Row],[Input]],1)</f>
        <v>L</v>
      </c>
      <c r="C858">
        <f>_xlfn.LET(_xlpm.steps,SUBSTITUTE(Table1[[#This Row],[Input]],Table1[[#This Row],[Direction]],""),VALUE(IF(LEN(_xlpm.steps)&gt;2,RIGHT(_xlpm.steps,2),_xlpm.steps)))</f>
        <v>47</v>
      </c>
      <c r="D858">
        <f>_xlfn.LET(_xlpm.dir,Table1[[#This Row],[Direction]],
IF(_xlpm.dir="L",
    IF(F857-Table1[[#This Row],[Steps]]&lt;0,100+(F857-Table1[[#This Row],[Steps]]),F857-Table1[[#This Row],[Steps]]),
))</f>
        <v>0</v>
      </c>
      <c r="E858">
        <f>_xlfn.LET(_xlpm.dir,Table1[[#This Row],[Direction]],
IF(_xlpm.dir="R",
    IF(F857+Table1[[#This Row],[Steps]]&gt;99,(F857+Table1[[#This Row],[Steps]])-100,F857+Table1[[#This Row],[Steps]]),
))</f>
        <v>0</v>
      </c>
      <c r="F858">
        <f>IF(Table1[[#This Row],[New Pos L]]&lt;&gt;0,Table1[[#This Row],[New Pos L]],Table1[[#This Row],[New Pos R]])</f>
        <v>0</v>
      </c>
    </row>
    <row r="859" spans="1:6" ht="16" x14ac:dyDescent="0.2">
      <c r="A859" s="1" t="s">
        <v>26</v>
      </c>
      <c r="B859" t="str">
        <f>LEFT(Table1[[#This Row],[Input]],1)</f>
        <v>R</v>
      </c>
      <c r="C859">
        <f>_xlfn.LET(_xlpm.steps,SUBSTITUTE(Table1[[#This Row],[Input]],Table1[[#This Row],[Direction]],""),VALUE(IF(LEN(_xlpm.steps)&gt;2,RIGHT(_xlpm.steps,2),_xlpm.steps)))</f>
        <v>6</v>
      </c>
      <c r="D859">
        <f>_xlfn.LET(_xlpm.dir,Table1[[#This Row],[Direction]],
IF(_xlpm.dir="L",
    IF(F858-Table1[[#This Row],[Steps]]&lt;0,100+(F858-Table1[[#This Row],[Steps]]),F858-Table1[[#This Row],[Steps]]),
))</f>
        <v>0</v>
      </c>
      <c r="E859">
        <f>_xlfn.LET(_xlpm.dir,Table1[[#This Row],[Direction]],
IF(_xlpm.dir="R",
    IF(F858+Table1[[#This Row],[Steps]]&gt;99,(F858+Table1[[#This Row],[Steps]])-100,F858+Table1[[#This Row],[Steps]]),
))</f>
        <v>6</v>
      </c>
      <c r="F859">
        <f>IF(Table1[[#This Row],[New Pos L]]&lt;&gt;0,Table1[[#This Row],[New Pos L]],Table1[[#This Row],[New Pos R]])</f>
        <v>6</v>
      </c>
    </row>
    <row r="860" spans="1:6" ht="16" x14ac:dyDescent="0.2">
      <c r="A860" s="1" t="s">
        <v>209</v>
      </c>
      <c r="B860" t="str">
        <f>LEFT(Table1[[#This Row],[Input]],1)</f>
        <v>L</v>
      </c>
      <c r="C860">
        <f>_xlfn.LET(_xlpm.steps,SUBSTITUTE(Table1[[#This Row],[Input]],Table1[[#This Row],[Direction]],""),VALUE(IF(LEN(_xlpm.steps)&gt;2,RIGHT(_xlpm.steps,2),_xlpm.steps)))</f>
        <v>86</v>
      </c>
      <c r="D860">
        <f>_xlfn.LET(_xlpm.dir,Table1[[#This Row],[Direction]],
IF(_xlpm.dir="L",
    IF(F859-Table1[[#This Row],[Steps]]&lt;0,100+(F859-Table1[[#This Row],[Steps]]),F859-Table1[[#This Row],[Steps]]),
))</f>
        <v>20</v>
      </c>
      <c r="E860">
        <f>_xlfn.LET(_xlpm.dir,Table1[[#This Row],[Direction]],
IF(_xlpm.dir="R",
    IF(F859+Table1[[#This Row],[Steps]]&gt;99,(F859+Table1[[#This Row],[Steps]])-100,F859+Table1[[#This Row],[Steps]]),
))</f>
        <v>0</v>
      </c>
      <c r="F860">
        <f>IF(Table1[[#This Row],[New Pos L]]&lt;&gt;0,Table1[[#This Row],[New Pos L]],Table1[[#This Row],[New Pos R]])</f>
        <v>20</v>
      </c>
    </row>
    <row r="861" spans="1:6" ht="16" x14ac:dyDescent="0.2">
      <c r="A861" s="1" t="s">
        <v>331</v>
      </c>
      <c r="B861" t="str">
        <f>LEFT(Table1[[#This Row],[Input]],1)</f>
        <v>R</v>
      </c>
      <c r="C861">
        <f>_xlfn.LET(_xlpm.steps,SUBSTITUTE(Table1[[#This Row],[Input]],Table1[[#This Row],[Direction]],""),VALUE(IF(LEN(_xlpm.steps)&gt;2,RIGHT(_xlpm.steps,2),_xlpm.steps)))</f>
        <v>80</v>
      </c>
      <c r="D861">
        <f>_xlfn.LET(_xlpm.dir,Table1[[#This Row],[Direction]],
IF(_xlpm.dir="L",
    IF(F860-Table1[[#This Row],[Steps]]&lt;0,100+(F860-Table1[[#This Row],[Steps]]),F860-Table1[[#This Row],[Steps]]),
))</f>
        <v>0</v>
      </c>
      <c r="E861">
        <f>_xlfn.LET(_xlpm.dir,Table1[[#This Row],[Direction]],
IF(_xlpm.dir="R",
    IF(F860+Table1[[#This Row],[Steps]]&gt;99,(F860+Table1[[#This Row],[Steps]])-100,F860+Table1[[#This Row],[Steps]]),
))</f>
        <v>0</v>
      </c>
      <c r="F861">
        <f>IF(Table1[[#This Row],[New Pos L]]&lt;&gt;0,Table1[[#This Row],[New Pos L]],Table1[[#This Row],[New Pos R]])</f>
        <v>0</v>
      </c>
    </row>
    <row r="862" spans="1:6" ht="16" x14ac:dyDescent="0.2">
      <c r="A862" s="1" t="s">
        <v>212</v>
      </c>
      <c r="B862" t="str">
        <f>LEFT(Table1[[#This Row],[Input]],1)</f>
        <v>R</v>
      </c>
      <c r="C862">
        <f>_xlfn.LET(_xlpm.steps,SUBSTITUTE(Table1[[#This Row],[Input]],Table1[[#This Row],[Direction]],""),VALUE(IF(LEN(_xlpm.steps)&gt;2,RIGHT(_xlpm.steps,2),_xlpm.steps)))</f>
        <v>77</v>
      </c>
      <c r="D862">
        <f>_xlfn.LET(_xlpm.dir,Table1[[#This Row],[Direction]],
IF(_xlpm.dir="L",
    IF(F861-Table1[[#This Row],[Steps]]&lt;0,100+(F861-Table1[[#This Row],[Steps]]),F861-Table1[[#This Row],[Steps]]),
))</f>
        <v>0</v>
      </c>
      <c r="E862">
        <f>_xlfn.LET(_xlpm.dir,Table1[[#This Row],[Direction]],
IF(_xlpm.dir="R",
    IF(F861+Table1[[#This Row],[Steps]]&gt;99,(F861+Table1[[#This Row],[Steps]])-100,F861+Table1[[#This Row],[Steps]]),
))</f>
        <v>77</v>
      </c>
      <c r="F862">
        <f>IF(Table1[[#This Row],[New Pos L]]&lt;&gt;0,Table1[[#This Row],[New Pos L]],Table1[[#This Row],[New Pos R]])</f>
        <v>77</v>
      </c>
    </row>
    <row r="863" spans="1:6" ht="16" x14ac:dyDescent="0.2">
      <c r="A863" s="1" t="s">
        <v>119</v>
      </c>
      <c r="B863" t="str">
        <f>LEFT(Table1[[#This Row],[Input]],1)</f>
        <v>L</v>
      </c>
      <c r="C863">
        <f>_xlfn.LET(_xlpm.steps,SUBSTITUTE(Table1[[#This Row],[Input]],Table1[[#This Row],[Direction]],""),VALUE(IF(LEN(_xlpm.steps)&gt;2,RIGHT(_xlpm.steps,2),_xlpm.steps)))</f>
        <v>77</v>
      </c>
      <c r="D863">
        <f>_xlfn.LET(_xlpm.dir,Table1[[#This Row],[Direction]],
IF(_xlpm.dir="L",
    IF(F862-Table1[[#This Row],[Steps]]&lt;0,100+(F862-Table1[[#This Row],[Steps]]),F862-Table1[[#This Row],[Steps]]),
))</f>
        <v>0</v>
      </c>
      <c r="E863">
        <f>_xlfn.LET(_xlpm.dir,Table1[[#This Row],[Direction]],
IF(_xlpm.dir="R",
    IF(F862+Table1[[#This Row],[Steps]]&gt;99,(F862+Table1[[#This Row],[Steps]])-100,F862+Table1[[#This Row],[Steps]]),
))</f>
        <v>0</v>
      </c>
      <c r="F863">
        <f>IF(Table1[[#This Row],[New Pos L]]&lt;&gt;0,Table1[[#This Row],[New Pos L]],Table1[[#This Row],[New Pos R]])</f>
        <v>0</v>
      </c>
    </row>
    <row r="864" spans="1:6" ht="16" x14ac:dyDescent="0.2">
      <c r="A864" s="1" t="s">
        <v>136</v>
      </c>
      <c r="B864" t="str">
        <f>LEFT(Table1[[#This Row],[Input]],1)</f>
        <v>L</v>
      </c>
      <c r="C864">
        <f>_xlfn.LET(_xlpm.steps,SUBSTITUTE(Table1[[#This Row],[Input]],Table1[[#This Row],[Direction]],""),VALUE(IF(LEN(_xlpm.steps)&gt;2,RIGHT(_xlpm.steps,2),_xlpm.steps)))</f>
        <v>72</v>
      </c>
      <c r="D864">
        <f>_xlfn.LET(_xlpm.dir,Table1[[#This Row],[Direction]],
IF(_xlpm.dir="L",
    IF(F863-Table1[[#This Row],[Steps]]&lt;0,100+(F863-Table1[[#This Row],[Steps]]),F863-Table1[[#This Row],[Steps]]),
))</f>
        <v>28</v>
      </c>
      <c r="E864">
        <f>_xlfn.LET(_xlpm.dir,Table1[[#This Row],[Direction]],
IF(_xlpm.dir="R",
    IF(F863+Table1[[#This Row],[Steps]]&gt;99,(F863+Table1[[#This Row],[Steps]])-100,F863+Table1[[#This Row],[Steps]]),
))</f>
        <v>0</v>
      </c>
      <c r="F864">
        <f>IF(Table1[[#This Row],[New Pos L]]&lt;&gt;0,Table1[[#This Row],[New Pos L]],Table1[[#This Row],[New Pos R]])</f>
        <v>28</v>
      </c>
    </row>
    <row r="865" spans="1:6" ht="16" x14ac:dyDescent="0.2">
      <c r="A865" s="1" t="s">
        <v>115</v>
      </c>
      <c r="B865" t="str">
        <f>LEFT(Table1[[#This Row],[Input]],1)</f>
        <v>L</v>
      </c>
      <c r="C865">
        <f>_xlfn.LET(_xlpm.steps,SUBSTITUTE(Table1[[#This Row],[Input]],Table1[[#This Row],[Direction]],""),VALUE(IF(LEN(_xlpm.steps)&gt;2,RIGHT(_xlpm.steps,2),_xlpm.steps)))</f>
        <v>29</v>
      </c>
      <c r="D865">
        <f>_xlfn.LET(_xlpm.dir,Table1[[#This Row],[Direction]],
IF(_xlpm.dir="L",
    IF(F864-Table1[[#This Row],[Steps]]&lt;0,100+(F864-Table1[[#This Row],[Steps]]),F864-Table1[[#This Row],[Steps]]),
))</f>
        <v>99</v>
      </c>
      <c r="E865">
        <f>_xlfn.LET(_xlpm.dir,Table1[[#This Row],[Direction]],
IF(_xlpm.dir="R",
    IF(F864+Table1[[#This Row],[Steps]]&gt;99,(F864+Table1[[#This Row],[Steps]])-100,F864+Table1[[#This Row],[Steps]]),
))</f>
        <v>0</v>
      </c>
      <c r="F865">
        <f>IF(Table1[[#This Row],[New Pos L]]&lt;&gt;0,Table1[[#This Row],[New Pos L]],Table1[[#This Row],[New Pos R]])</f>
        <v>99</v>
      </c>
    </row>
    <row r="866" spans="1:6" ht="16" x14ac:dyDescent="0.2">
      <c r="A866" s="1" t="s">
        <v>134</v>
      </c>
      <c r="B866" t="str">
        <f>LEFT(Table1[[#This Row],[Input]],1)</f>
        <v>L</v>
      </c>
      <c r="C866">
        <f>_xlfn.LET(_xlpm.steps,SUBSTITUTE(Table1[[#This Row],[Input]],Table1[[#This Row],[Direction]],""),VALUE(IF(LEN(_xlpm.steps)&gt;2,RIGHT(_xlpm.steps,2),_xlpm.steps)))</f>
        <v>95</v>
      </c>
      <c r="D866">
        <f>_xlfn.LET(_xlpm.dir,Table1[[#This Row],[Direction]],
IF(_xlpm.dir="L",
    IF(F865-Table1[[#This Row],[Steps]]&lt;0,100+(F865-Table1[[#This Row],[Steps]]),F865-Table1[[#This Row],[Steps]]),
))</f>
        <v>4</v>
      </c>
      <c r="E866">
        <f>_xlfn.LET(_xlpm.dir,Table1[[#This Row],[Direction]],
IF(_xlpm.dir="R",
    IF(F865+Table1[[#This Row],[Steps]]&gt;99,(F865+Table1[[#This Row],[Steps]])-100,F865+Table1[[#This Row],[Steps]]),
))</f>
        <v>0</v>
      </c>
      <c r="F866">
        <f>IF(Table1[[#This Row],[New Pos L]]&lt;&gt;0,Table1[[#This Row],[New Pos L]],Table1[[#This Row],[New Pos R]])</f>
        <v>4</v>
      </c>
    </row>
    <row r="867" spans="1:6" ht="16" x14ac:dyDescent="0.2">
      <c r="A867" s="1" t="s">
        <v>58</v>
      </c>
      <c r="B867" t="str">
        <f>LEFT(Table1[[#This Row],[Input]],1)</f>
        <v>L</v>
      </c>
      <c r="C867">
        <f>_xlfn.LET(_xlpm.steps,SUBSTITUTE(Table1[[#This Row],[Input]],Table1[[#This Row],[Direction]],""),VALUE(IF(LEN(_xlpm.steps)&gt;2,RIGHT(_xlpm.steps,2),_xlpm.steps)))</f>
        <v>30</v>
      </c>
      <c r="D867">
        <f>_xlfn.LET(_xlpm.dir,Table1[[#This Row],[Direction]],
IF(_xlpm.dir="L",
    IF(F866-Table1[[#This Row],[Steps]]&lt;0,100+(F866-Table1[[#This Row],[Steps]]),F866-Table1[[#This Row],[Steps]]),
))</f>
        <v>74</v>
      </c>
      <c r="E867">
        <f>_xlfn.LET(_xlpm.dir,Table1[[#This Row],[Direction]],
IF(_xlpm.dir="R",
    IF(F866+Table1[[#This Row],[Steps]]&gt;99,(F866+Table1[[#This Row],[Steps]])-100,F866+Table1[[#This Row],[Steps]]),
))</f>
        <v>0</v>
      </c>
      <c r="F867">
        <f>IF(Table1[[#This Row],[New Pos L]]&lt;&gt;0,Table1[[#This Row],[New Pos L]],Table1[[#This Row],[New Pos R]])</f>
        <v>74</v>
      </c>
    </row>
    <row r="868" spans="1:6" ht="16" x14ac:dyDescent="0.2">
      <c r="A868" s="1" t="s">
        <v>332</v>
      </c>
      <c r="B868" t="str">
        <f>LEFT(Table1[[#This Row],[Input]],1)</f>
        <v>L</v>
      </c>
      <c r="C868">
        <f>_xlfn.LET(_xlpm.steps,SUBSTITUTE(Table1[[#This Row],[Input]],Table1[[#This Row],[Direction]],""),VALUE(IF(LEN(_xlpm.steps)&gt;2,RIGHT(_xlpm.steps,2),_xlpm.steps)))</f>
        <v>54</v>
      </c>
      <c r="D868">
        <f>_xlfn.LET(_xlpm.dir,Table1[[#This Row],[Direction]],
IF(_xlpm.dir="L",
    IF(F867-Table1[[#This Row],[Steps]]&lt;0,100+(F867-Table1[[#This Row],[Steps]]),F867-Table1[[#This Row],[Steps]]),
))</f>
        <v>20</v>
      </c>
      <c r="E868">
        <f>_xlfn.LET(_xlpm.dir,Table1[[#This Row],[Direction]],
IF(_xlpm.dir="R",
    IF(F867+Table1[[#This Row],[Steps]]&gt;99,(F867+Table1[[#This Row],[Steps]])-100,F867+Table1[[#This Row],[Steps]]),
))</f>
        <v>0</v>
      </c>
      <c r="F868">
        <f>IF(Table1[[#This Row],[New Pos L]]&lt;&gt;0,Table1[[#This Row],[New Pos L]],Table1[[#This Row],[New Pos R]])</f>
        <v>20</v>
      </c>
    </row>
    <row r="869" spans="1:6" ht="16" x14ac:dyDescent="0.2">
      <c r="A869" s="1" t="s">
        <v>333</v>
      </c>
      <c r="B869" t="str">
        <f>LEFT(Table1[[#This Row],[Input]],1)</f>
        <v>L</v>
      </c>
      <c r="C869">
        <f>_xlfn.LET(_xlpm.steps,SUBSTITUTE(Table1[[#This Row],[Input]],Table1[[#This Row],[Direction]],""),VALUE(IF(LEN(_xlpm.steps)&gt;2,RIGHT(_xlpm.steps,2),_xlpm.steps)))</f>
        <v>40</v>
      </c>
      <c r="D869">
        <f>_xlfn.LET(_xlpm.dir,Table1[[#This Row],[Direction]],
IF(_xlpm.dir="L",
    IF(F868-Table1[[#This Row],[Steps]]&lt;0,100+(F868-Table1[[#This Row],[Steps]]),F868-Table1[[#This Row],[Steps]]),
))</f>
        <v>80</v>
      </c>
      <c r="E869">
        <f>_xlfn.LET(_xlpm.dir,Table1[[#This Row],[Direction]],
IF(_xlpm.dir="R",
    IF(F868+Table1[[#This Row],[Steps]]&gt;99,(F868+Table1[[#This Row],[Steps]])-100,F868+Table1[[#This Row],[Steps]]),
))</f>
        <v>0</v>
      </c>
      <c r="F869">
        <f>IF(Table1[[#This Row],[New Pos L]]&lt;&gt;0,Table1[[#This Row],[New Pos L]],Table1[[#This Row],[New Pos R]])</f>
        <v>80</v>
      </c>
    </row>
    <row r="870" spans="1:6" ht="16" x14ac:dyDescent="0.2">
      <c r="A870" s="1" t="s">
        <v>135</v>
      </c>
      <c r="B870" t="str">
        <f>LEFT(Table1[[#This Row],[Input]],1)</f>
        <v>R</v>
      </c>
      <c r="C870">
        <f>_xlfn.LET(_xlpm.steps,SUBSTITUTE(Table1[[#This Row],[Input]],Table1[[#This Row],[Direction]],""),VALUE(IF(LEN(_xlpm.steps)&gt;2,RIGHT(_xlpm.steps,2),_xlpm.steps)))</f>
        <v>69</v>
      </c>
      <c r="D870">
        <f>_xlfn.LET(_xlpm.dir,Table1[[#This Row],[Direction]],
IF(_xlpm.dir="L",
    IF(F869-Table1[[#This Row],[Steps]]&lt;0,100+(F869-Table1[[#This Row],[Steps]]),F869-Table1[[#This Row],[Steps]]),
))</f>
        <v>0</v>
      </c>
      <c r="E870">
        <f>_xlfn.LET(_xlpm.dir,Table1[[#This Row],[Direction]],
IF(_xlpm.dir="R",
    IF(F869+Table1[[#This Row],[Steps]]&gt;99,(F869+Table1[[#This Row],[Steps]])-100,F869+Table1[[#This Row],[Steps]]),
))</f>
        <v>49</v>
      </c>
      <c r="F870">
        <f>IF(Table1[[#This Row],[New Pos L]]&lt;&gt;0,Table1[[#This Row],[New Pos L]],Table1[[#This Row],[New Pos R]])</f>
        <v>49</v>
      </c>
    </row>
    <row r="871" spans="1:6" ht="16" x14ac:dyDescent="0.2">
      <c r="A871" s="1" t="s">
        <v>24</v>
      </c>
      <c r="B871" t="str">
        <f>LEFT(Table1[[#This Row],[Input]],1)</f>
        <v>L</v>
      </c>
      <c r="C871">
        <f>_xlfn.LET(_xlpm.steps,SUBSTITUTE(Table1[[#This Row],[Input]],Table1[[#This Row],[Direction]],""),VALUE(IF(LEN(_xlpm.steps)&gt;2,RIGHT(_xlpm.steps,2),_xlpm.steps)))</f>
        <v>49</v>
      </c>
      <c r="D871">
        <f>_xlfn.LET(_xlpm.dir,Table1[[#This Row],[Direction]],
IF(_xlpm.dir="L",
    IF(F870-Table1[[#This Row],[Steps]]&lt;0,100+(F870-Table1[[#This Row],[Steps]]),F870-Table1[[#This Row],[Steps]]),
))</f>
        <v>0</v>
      </c>
      <c r="E871">
        <f>_xlfn.LET(_xlpm.dir,Table1[[#This Row],[Direction]],
IF(_xlpm.dir="R",
    IF(F870+Table1[[#This Row],[Steps]]&gt;99,(F870+Table1[[#This Row],[Steps]])-100,F870+Table1[[#This Row],[Steps]]),
))</f>
        <v>0</v>
      </c>
      <c r="F871">
        <f>IF(Table1[[#This Row],[New Pos L]]&lt;&gt;0,Table1[[#This Row],[New Pos L]],Table1[[#This Row],[New Pos R]])</f>
        <v>0</v>
      </c>
    </row>
    <row r="872" spans="1:6" ht="16" x14ac:dyDescent="0.2">
      <c r="A872" s="1" t="s">
        <v>254</v>
      </c>
      <c r="B872" t="str">
        <f>LEFT(Table1[[#This Row],[Input]],1)</f>
        <v>R</v>
      </c>
      <c r="C872">
        <f>_xlfn.LET(_xlpm.steps,SUBSTITUTE(Table1[[#This Row],[Input]],Table1[[#This Row],[Direction]],""),VALUE(IF(LEN(_xlpm.steps)&gt;2,RIGHT(_xlpm.steps,2),_xlpm.steps)))</f>
        <v>84</v>
      </c>
      <c r="D872">
        <f>_xlfn.LET(_xlpm.dir,Table1[[#This Row],[Direction]],
IF(_xlpm.dir="L",
    IF(F871-Table1[[#This Row],[Steps]]&lt;0,100+(F871-Table1[[#This Row],[Steps]]),F871-Table1[[#This Row],[Steps]]),
))</f>
        <v>0</v>
      </c>
      <c r="E872">
        <f>_xlfn.LET(_xlpm.dir,Table1[[#This Row],[Direction]],
IF(_xlpm.dir="R",
    IF(F871+Table1[[#This Row],[Steps]]&gt;99,(F871+Table1[[#This Row],[Steps]])-100,F871+Table1[[#This Row],[Steps]]),
))</f>
        <v>84</v>
      </c>
      <c r="F872">
        <f>IF(Table1[[#This Row],[New Pos L]]&lt;&gt;0,Table1[[#This Row],[New Pos L]],Table1[[#This Row],[New Pos R]])</f>
        <v>84</v>
      </c>
    </row>
    <row r="873" spans="1:6" ht="16" x14ac:dyDescent="0.2">
      <c r="A873" s="1" t="s">
        <v>334</v>
      </c>
      <c r="B873" t="str">
        <f>LEFT(Table1[[#This Row],[Input]],1)</f>
        <v>L</v>
      </c>
      <c r="C873">
        <f>_xlfn.LET(_xlpm.steps,SUBSTITUTE(Table1[[#This Row],[Input]],Table1[[#This Row],[Direction]],""),VALUE(IF(LEN(_xlpm.steps)&gt;2,RIGHT(_xlpm.steps,2),_xlpm.steps)))</f>
        <v>26</v>
      </c>
      <c r="D873">
        <f>_xlfn.LET(_xlpm.dir,Table1[[#This Row],[Direction]],
IF(_xlpm.dir="L",
    IF(F872-Table1[[#This Row],[Steps]]&lt;0,100+(F872-Table1[[#This Row],[Steps]]),F872-Table1[[#This Row],[Steps]]),
))</f>
        <v>58</v>
      </c>
      <c r="E873">
        <f>_xlfn.LET(_xlpm.dir,Table1[[#This Row],[Direction]],
IF(_xlpm.dir="R",
    IF(F872+Table1[[#This Row],[Steps]]&gt;99,(F872+Table1[[#This Row],[Steps]])-100,F872+Table1[[#This Row],[Steps]]),
))</f>
        <v>0</v>
      </c>
      <c r="F873">
        <f>IF(Table1[[#This Row],[New Pos L]]&lt;&gt;0,Table1[[#This Row],[New Pos L]],Table1[[#This Row],[New Pos R]])</f>
        <v>58</v>
      </c>
    </row>
    <row r="874" spans="1:6" ht="16" x14ac:dyDescent="0.2">
      <c r="A874" s="1" t="s">
        <v>116</v>
      </c>
      <c r="B874" t="str">
        <f>LEFT(Table1[[#This Row],[Input]],1)</f>
        <v>L</v>
      </c>
      <c r="C874">
        <f>_xlfn.LET(_xlpm.steps,SUBSTITUTE(Table1[[#This Row],[Input]],Table1[[#This Row],[Direction]],""),VALUE(IF(LEN(_xlpm.steps)&gt;2,RIGHT(_xlpm.steps,2),_xlpm.steps)))</f>
        <v>58</v>
      </c>
      <c r="D874">
        <f>_xlfn.LET(_xlpm.dir,Table1[[#This Row],[Direction]],
IF(_xlpm.dir="L",
    IF(F873-Table1[[#This Row],[Steps]]&lt;0,100+(F873-Table1[[#This Row],[Steps]]),F873-Table1[[#This Row],[Steps]]),
))</f>
        <v>0</v>
      </c>
      <c r="E874">
        <f>_xlfn.LET(_xlpm.dir,Table1[[#This Row],[Direction]],
IF(_xlpm.dir="R",
    IF(F873+Table1[[#This Row],[Steps]]&gt;99,(F873+Table1[[#This Row],[Steps]])-100,F873+Table1[[#This Row],[Steps]]),
))</f>
        <v>0</v>
      </c>
      <c r="F874">
        <f>IF(Table1[[#This Row],[New Pos L]]&lt;&gt;0,Table1[[#This Row],[New Pos L]],Table1[[#This Row],[New Pos R]])</f>
        <v>0</v>
      </c>
    </row>
    <row r="875" spans="1:6" ht="16" x14ac:dyDescent="0.2">
      <c r="A875" s="1" t="s">
        <v>2</v>
      </c>
      <c r="B875" t="str">
        <f>LEFT(Table1[[#This Row],[Input]],1)</f>
        <v>L</v>
      </c>
      <c r="C875">
        <f>_xlfn.LET(_xlpm.steps,SUBSTITUTE(Table1[[#This Row],[Input]],Table1[[#This Row],[Direction]],""),VALUE(IF(LEN(_xlpm.steps)&gt;2,RIGHT(_xlpm.steps,2),_xlpm.steps)))</f>
        <v>38</v>
      </c>
      <c r="D875">
        <f>_xlfn.LET(_xlpm.dir,Table1[[#This Row],[Direction]],
IF(_xlpm.dir="L",
    IF(F874-Table1[[#This Row],[Steps]]&lt;0,100+(F874-Table1[[#This Row],[Steps]]),F874-Table1[[#This Row],[Steps]]),
))</f>
        <v>62</v>
      </c>
      <c r="E875">
        <f>_xlfn.LET(_xlpm.dir,Table1[[#This Row],[Direction]],
IF(_xlpm.dir="R",
    IF(F874+Table1[[#This Row],[Steps]]&gt;99,(F874+Table1[[#This Row],[Steps]])-100,F874+Table1[[#This Row],[Steps]]),
))</f>
        <v>0</v>
      </c>
      <c r="F875">
        <f>IF(Table1[[#This Row],[New Pos L]]&lt;&gt;0,Table1[[#This Row],[New Pos L]],Table1[[#This Row],[New Pos R]])</f>
        <v>62</v>
      </c>
    </row>
    <row r="876" spans="1:6" ht="16" x14ac:dyDescent="0.2">
      <c r="A876" s="1" t="s">
        <v>48</v>
      </c>
      <c r="B876" t="str">
        <f>LEFT(Table1[[#This Row],[Input]],1)</f>
        <v>R</v>
      </c>
      <c r="C876">
        <f>_xlfn.LET(_xlpm.steps,SUBSTITUTE(Table1[[#This Row],[Input]],Table1[[#This Row],[Direction]],""),VALUE(IF(LEN(_xlpm.steps)&gt;2,RIGHT(_xlpm.steps,2),_xlpm.steps)))</f>
        <v>81</v>
      </c>
      <c r="D876">
        <f>_xlfn.LET(_xlpm.dir,Table1[[#This Row],[Direction]],
IF(_xlpm.dir="L",
    IF(F875-Table1[[#This Row],[Steps]]&lt;0,100+(F875-Table1[[#This Row],[Steps]]),F875-Table1[[#This Row],[Steps]]),
))</f>
        <v>0</v>
      </c>
      <c r="E876">
        <f>_xlfn.LET(_xlpm.dir,Table1[[#This Row],[Direction]],
IF(_xlpm.dir="R",
    IF(F875+Table1[[#This Row],[Steps]]&gt;99,(F875+Table1[[#This Row],[Steps]])-100,F875+Table1[[#This Row],[Steps]]),
))</f>
        <v>43</v>
      </c>
      <c r="F876">
        <f>IF(Table1[[#This Row],[New Pos L]]&lt;&gt;0,Table1[[#This Row],[New Pos L]],Table1[[#This Row],[New Pos R]])</f>
        <v>43</v>
      </c>
    </row>
    <row r="877" spans="1:6" ht="16" x14ac:dyDescent="0.2">
      <c r="A877" s="1" t="s">
        <v>63</v>
      </c>
      <c r="B877" t="str">
        <f>LEFT(Table1[[#This Row],[Input]],1)</f>
        <v>R</v>
      </c>
      <c r="C877">
        <f>_xlfn.LET(_xlpm.steps,SUBSTITUTE(Table1[[#This Row],[Input]],Table1[[#This Row],[Direction]],""),VALUE(IF(LEN(_xlpm.steps)&gt;2,RIGHT(_xlpm.steps,2),_xlpm.steps)))</f>
        <v>57</v>
      </c>
      <c r="D877">
        <f>_xlfn.LET(_xlpm.dir,Table1[[#This Row],[Direction]],
IF(_xlpm.dir="L",
    IF(F876-Table1[[#This Row],[Steps]]&lt;0,100+(F876-Table1[[#This Row],[Steps]]),F876-Table1[[#This Row],[Steps]]),
))</f>
        <v>0</v>
      </c>
      <c r="E877">
        <f>_xlfn.LET(_xlpm.dir,Table1[[#This Row],[Direction]],
IF(_xlpm.dir="R",
    IF(F876+Table1[[#This Row],[Steps]]&gt;99,(F876+Table1[[#This Row],[Steps]])-100,F876+Table1[[#This Row],[Steps]]),
))</f>
        <v>0</v>
      </c>
      <c r="F877">
        <f>IF(Table1[[#This Row],[New Pos L]]&lt;&gt;0,Table1[[#This Row],[New Pos L]],Table1[[#This Row],[New Pos R]])</f>
        <v>0</v>
      </c>
    </row>
    <row r="878" spans="1:6" ht="16" x14ac:dyDescent="0.2">
      <c r="A878" s="1" t="s">
        <v>89</v>
      </c>
      <c r="B878" t="str">
        <f>LEFT(Table1[[#This Row],[Input]],1)</f>
        <v>L</v>
      </c>
      <c r="C878">
        <f>_xlfn.LET(_xlpm.steps,SUBSTITUTE(Table1[[#This Row],[Input]],Table1[[#This Row],[Direction]],""),VALUE(IF(LEN(_xlpm.steps)&gt;2,RIGHT(_xlpm.steps,2),_xlpm.steps)))</f>
        <v>91</v>
      </c>
      <c r="D878">
        <f>_xlfn.LET(_xlpm.dir,Table1[[#This Row],[Direction]],
IF(_xlpm.dir="L",
    IF(F877-Table1[[#This Row],[Steps]]&lt;0,100+(F877-Table1[[#This Row],[Steps]]),F877-Table1[[#This Row],[Steps]]),
))</f>
        <v>9</v>
      </c>
      <c r="E878">
        <f>_xlfn.LET(_xlpm.dir,Table1[[#This Row],[Direction]],
IF(_xlpm.dir="R",
    IF(F877+Table1[[#This Row],[Steps]]&gt;99,(F877+Table1[[#This Row],[Steps]])-100,F877+Table1[[#This Row],[Steps]]),
))</f>
        <v>0</v>
      </c>
      <c r="F878">
        <f>IF(Table1[[#This Row],[New Pos L]]&lt;&gt;0,Table1[[#This Row],[New Pos L]],Table1[[#This Row],[New Pos R]])</f>
        <v>9</v>
      </c>
    </row>
    <row r="879" spans="1:6" ht="16" x14ac:dyDescent="0.2">
      <c r="A879" s="1" t="s">
        <v>217</v>
      </c>
      <c r="B879" t="str">
        <f>LEFT(Table1[[#This Row],[Input]],1)</f>
        <v>R</v>
      </c>
      <c r="C879">
        <f>_xlfn.LET(_xlpm.steps,SUBSTITUTE(Table1[[#This Row],[Input]],Table1[[#This Row],[Direction]],""),VALUE(IF(LEN(_xlpm.steps)&gt;2,RIGHT(_xlpm.steps,2),_xlpm.steps)))</f>
        <v>91</v>
      </c>
      <c r="D879">
        <f>_xlfn.LET(_xlpm.dir,Table1[[#This Row],[Direction]],
IF(_xlpm.dir="L",
    IF(F878-Table1[[#This Row],[Steps]]&lt;0,100+(F878-Table1[[#This Row],[Steps]]),F878-Table1[[#This Row],[Steps]]),
))</f>
        <v>0</v>
      </c>
      <c r="E879">
        <f>_xlfn.LET(_xlpm.dir,Table1[[#This Row],[Direction]],
IF(_xlpm.dir="R",
    IF(F878+Table1[[#This Row],[Steps]]&gt;99,(F878+Table1[[#This Row],[Steps]])-100,F878+Table1[[#This Row],[Steps]]),
))</f>
        <v>0</v>
      </c>
      <c r="F879">
        <f>IF(Table1[[#This Row],[New Pos L]]&lt;&gt;0,Table1[[#This Row],[New Pos L]],Table1[[#This Row],[New Pos R]])</f>
        <v>0</v>
      </c>
    </row>
    <row r="880" spans="1:6" ht="16" x14ac:dyDescent="0.2">
      <c r="A880" s="1" t="s">
        <v>335</v>
      </c>
      <c r="B880" t="str">
        <f>LEFT(Table1[[#This Row],[Input]],1)</f>
        <v>R</v>
      </c>
      <c r="C880">
        <f>_xlfn.LET(_xlpm.steps,SUBSTITUTE(Table1[[#This Row],[Input]],Table1[[#This Row],[Direction]],""),VALUE(IF(LEN(_xlpm.steps)&gt;2,RIGHT(_xlpm.steps,2),_xlpm.steps)))</f>
        <v>71</v>
      </c>
      <c r="D880">
        <f>_xlfn.LET(_xlpm.dir,Table1[[#This Row],[Direction]],
IF(_xlpm.dir="L",
    IF(F879-Table1[[#This Row],[Steps]]&lt;0,100+(F879-Table1[[#This Row],[Steps]]),F879-Table1[[#This Row],[Steps]]),
))</f>
        <v>0</v>
      </c>
      <c r="E880">
        <f>_xlfn.LET(_xlpm.dir,Table1[[#This Row],[Direction]],
IF(_xlpm.dir="R",
    IF(F879+Table1[[#This Row],[Steps]]&gt;99,(F879+Table1[[#This Row],[Steps]])-100,F879+Table1[[#This Row],[Steps]]),
))</f>
        <v>71</v>
      </c>
      <c r="F880">
        <f>IF(Table1[[#This Row],[New Pos L]]&lt;&gt;0,Table1[[#This Row],[New Pos L]],Table1[[#This Row],[New Pos R]])</f>
        <v>71</v>
      </c>
    </row>
    <row r="881" spans="1:6" ht="16" x14ac:dyDescent="0.2">
      <c r="A881" s="1" t="s">
        <v>49</v>
      </c>
      <c r="B881" t="str">
        <f>LEFT(Table1[[#This Row],[Input]],1)</f>
        <v>L</v>
      </c>
      <c r="C881">
        <f>_xlfn.LET(_xlpm.steps,SUBSTITUTE(Table1[[#This Row],[Input]],Table1[[#This Row],[Direction]],""),VALUE(IF(LEN(_xlpm.steps)&gt;2,RIGHT(_xlpm.steps,2),_xlpm.steps)))</f>
        <v>93</v>
      </c>
      <c r="D881">
        <f>_xlfn.LET(_xlpm.dir,Table1[[#This Row],[Direction]],
IF(_xlpm.dir="L",
    IF(F880-Table1[[#This Row],[Steps]]&lt;0,100+(F880-Table1[[#This Row],[Steps]]),F880-Table1[[#This Row],[Steps]]),
))</f>
        <v>78</v>
      </c>
      <c r="E881">
        <f>_xlfn.LET(_xlpm.dir,Table1[[#This Row],[Direction]],
IF(_xlpm.dir="R",
    IF(F880+Table1[[#This Row],[Steps]]&gt;99,(F880+Table1[[#This Row],[Steps]])-100,F880+Table1[[#This Row],[Steps]]),
))</f>
        <v>0</v>
      </c>
      <c r="F881">
        <f>IF(Table1[[#This Row],[New Pos L]]&lt;&gt;0,Table1[[#This Row],[New Pos L]],Table1[[#This Row],[New Pos R]])</f>
        <v>78</v>
      </c>
    </row>
    <row r="882" spans="1:6" ht="16" x14ac:dyDescent="0.2">
      <c r="A882" s="1" t="s">
        <v>213</v>
      </c>
      <c r="B882" t="str">
        <f>LEFT(Table1[[#This Row],[Input]],1)</f>
        <v>R</v>
      </c>
      <c r="C882">
        <f>_xlfn.LET(_xlpm.steps,SUBSTITUTE(Table1[[#This Row],[Input]],Table1[[#This Row],[Direction]],""),VALUE(IF(LEN(_xlpm.steps)&gt;2,RIGHT(_xlpm.steps,2),_xlpm.steps)))</f>
        <v>87</v>
      </c>
      <c r="D882">
        <f>_xlfn.LET(_xlpm.dir,Table1[[#This Row],[Direction]],
IF(_xlpm.dir="L",
    IF(F881-Table1[[#This Row],[Steps]]&lt;0,100+(F881-Table1[[#This Row],[Steps]]),F881-Table1[[#This Row],[Steps]]),
))</f>
        <v>0</v>
      </c>
      <c r="E882">
        <f>_xlfn.LET(_xlpm.dir,Table1[[#This Row],[Direction]],
IF(_xlpm.dir="R",
    IF(F881+Table1[[#This Row],[Steps]]&gt;99,(F881+Table1[[#This Row],[Steps]])-100,F881+Table1[[#This Row],[Steps]]),
))</f>
        <v>65</v>
      </c>
      <c r="F882">
        <f>IF(Table1[[#This Row],[New Pos L]]&lt;&gt;0,Table1[[#This Row],[New Pos L]],Table1[[#This Row],[New Pos R]])</f>
        <v>65</v>
      </c>
    </row>
    <row r="883" spans="1:6" ht="16" x14ac:dyDescent="0.2">
      <c r="A883" s="1" t="s">
        <v>336</v>
      </c>
      <c r="B883" t="str">
        <f>LEFT(Table1[[#This Row],[Input]],1)</f>
        <v>R</v>
      </c>
      <c r="C883">
        <f>_xlfn.LET(_xlpm.steps,SUBSTITUTE(Table1[[#This Row],[Input]],Table1[[#This Row],[Direction]],""),VALUE(IF(LEN(_xlpm.steps)&gt;2,RIGHT(_xlpm.steps,2),_xlpm.steps)))</f>
        <v>95</v>
      </c>
      <c r="D883">
        <f>_xlfn.LET(_xlpm.dir,Table1[[#This Row],[Direction]],
IF(_xlpm.dir="L",
    IF(F882-Table1[[#This Row],[Steps]]&lt;0,100+(F882-Table1[[#This Row],[Steps]]),F882-Table1[[#This Row],[Steps]]),
))</f>
        <v>0</v>
      </c>
      <c r="E883">
        <f>_xlfn.LET(_xlpm.dir,Table1[[#This Row],[Direction]],
IF(_xlpm.dir="R",
    IF(F882+Table1[[#This Row],[Steps]]&gt;99,(F882+Table1[[#This Row],[Steps]])-100,F882+Table1[[#This Row],[Steps]]),
))</f>
        <v>60</v>
      </c>
      <c r="F883">
        <f>IF(Table1[[#This Row],[New Pos L]]&lt;&gt;0,Table1[[#This Row],[New Pos L]],Table1[[#This Row],[New Pos R]])</f>
        <v>60</v>
      </c>
    </row>
    <row r="884" spans="1:6" ht="16" x14ac:dyDescent="0.2">
      <c r="A884" s="1" t="s">
        <v>138</v>
      </c>
      <c r="B884" t="str">
        <f>LEFT(Table1[[#This Row],[Input]],1)</f>
        <v>L</v>
      </c>
      <c r="C884">
        <f>_xlfn.LET(_xlpm.steps,SUBSTITUTE(Table1[[#This Row],[Input]],Table1[[#This Row],[Direction]],""),VALUE(IF(LEN(_xlpm.steps)&gt;2,RIGHT(_xlpm.steps,2),_xlpm.steps)))</f>
        <v>94</v>
      </c>
      <c r="D884">
        <f>_xlfn.LET(_xlpm.dir,Table1[[#This Row],[Direction]],
IF(_xlpm.dir="L",
    IF(F883-Table1[[#This Row],[Steps]]&lt;0,100+(F883-Table1[[#This Row],[Steps]]),F883-Table1[[#This Row],[Steps]]),
))</f>
        <v>66</v>
      </c>
      <c r="E884">
        <f>_xlfn.LET(_xlpm.dir,Table1[[#This Row],[Direction]],
IF(_xlpm.dir="R",
    IF(F883+Table1[[#This Row],[Steps]]&gt;99,(F883+Table1[[#This Row],[Steps]])-100,F883+Table1[[#This Row],[Steps]]),
))</f>
        <v>0</v>
      </c>
      <c r="F884">
        <f>IF(Table1[[#This Row],[New Pos L]]&lt;&gt;0,Table1[[#This Row],[New Pos L]],Table1[[#This Row],[New Pos R]])</f>
        <v>66</v>
      </c>
    </row>
    <row r="885" spans="1:6" ht="16" x14ac:dyDescent="0.2">
      <c r="A885" s="1" t="s">
        <v>172</v>
      </c>
      <c r="B885" t="str">
        <f>LEFT(Table1[[#This Row],[Input]],1)</f>
        <v>L</v>
      </c>
      <c r="C885">
        <f>_xlfn.LET(_xlpm.steps,SUBSTITUTE(Table1[[#This Row],[Input]],Table1[[#This Row],[Direction]],""),VALUE(IF(LEN(_xlpm.steps)&gt;2,RIGHT(_xlpm.steps,2),_xlpm.steps)))</f>
        <v>66</v>
      </c>
      <c r="D885">
        <f>_xlfn.LET(_xlpm.dir,Table1[[#This Row],[Direction]],
IF(_xlpm.dir="L",
    IF(F884-Table1[[#This Row],[Steps]]&lt;0,100+(F884-Table1[[#This Row],[Steps]]),F884-Table1[[#This Row],[Steps]]),
))</f>
        <v>0</v>
      </c>
      <c r="E885">
        <f>_xlfn.LET(_xlpm.dir,Table1[[#This Row],[Direction]],
IF(_xlpm.dir="R",
    IF(F884+Table1[[#This Row],[Steps]]&gt;99,(F884+Table1[[#This Row],[Steps]])-100,F884+Table1[[#This Row],[Steps]]),
))</f>
        <v>0</v>
      </c>
      <c r="F885">
        <f>IF(Table1[[#This Row],[New Pos L]]&lt;&gt;0,Table1[[#This Row],[New Pos L]],Table1[[#This Row],[New Pos R]])</f>
        <v>0</v>
      </c>
    </row>
    <row r="886" spans="1:6" ht="16" x14ac:dyDescent="0.2">
      <c r="A886" s="1" t="s">
        <v>135</v>
      </c>
      <c r="B886" t="str">
        <f>LEFT(Table1[[#This Row],[Input]],1)</f>
        <v>R</v>
      </c>
      <c r="C886">
        <f>_xlfn.LET(_xlpm.steps,SUBSTITUTE(Table1[[#This Row],[Input]],Table1[[#This Row],[Direction]],""),VALUE(IF(LEN(_xlpm.steps)&gt;2,RIGHT(_xlpm.steps,2),_xlpm.steps)))</f>
        <v>69</v>
      </c>
      <c r="D886">
        <f>_xlfn.LET(_xlpm.dir,Table1[[#This Row],[Direction]],
IF(_xlpm.dir="L",
    IF(F885-Table1[[#This Row],[Steps]]&lt;0,100+(F885-Table1[[#This Row],[Steps]]),F885-Table1[[#This Row],[Steps]]),
))</f>
        <v>0</v>
      </c>
      <c r="E886">
        <f>_xlfn.LET(_xlpm.dir,Table1[[#This Row],[Direction]],
IF(_xlpm.dir="R",
    IF(F885+Table1[[#This Row],[Steps]]&gt;99,(F885+Table1[[#This Row],[Steps]])-100,F885+Table1[[#This Row],[Steps]]),
))</f>
        <v>69</v>
      </c>
      <c r="F886">
        <f>IF(Table1[[#This Row],[New Pos L]]&lt;&gt;0,Table1[[#This Row],[New Pos L]],Table1[[#This Row],[New Pos R]])</f>
        <v>69</v>
      </c>
    </row>
    <row r="887" spans="1:6" ht="16" x14ac:dyDescent="0.2">
      <c r="A887" s="1" t="s">
        <v>121</v>
      </c>
      <c r="B887" t="str">
        <f>LEFT(Table1[[#This Row],[Input]],1)</f>
        <v>L</v>
      </c>
      <c r="C887">
        <f>_xlfn.LET(_xlpm.steps,SUBSTITUTE(Table1[[#This Row],[Input]],Table1[[#This Row],[Direction]],""),VALUE(IF(LEN(_xlpm.steps)&gt;2,RIGHT(_xlpm.steps,2),_xlpm.steps)))</f>
        <v>69</v>
      </c>
      <c r="D887">
        <f>_xlfn.LET(_xlpm.dir,Table1[[#This Row],[Direction]],
IF(_xlpm.dir="L",
    IF(F886-Table1[[#This Row],[Steps]]&lt;0,100+(F886-Table1[[#This Row],[Steps]]),F886-Table1[[#This Row],[Steps]]),
))</f>
        <v>0</v>
      </c>
      <c r="E887">
        <f>_xlfn.LET(_xlpm.dir,Table1[[#This Row],[Direction]],
IF(_xlpm.dir="R",
    IF(F886+Table1[[#This Row],[Steps]]&gt;99,(F886+Table1[[#This Row],[Steps]])-100,F886+Table1[[#This Row],[Steps]]),
))</f>
        <v>0</v>
      </c>
      <c r="F887">
        <f>IF(Table1[[#This Row],[New Pos L]]&lt;&gt;0,Table1[[#This Row],[New Pos L]],Table1[[#This Row],[New Pos R]])</f>
        <v>0</v>
      </c>
    </row>
    <row r="888" spans="1:6" ht="16" x14ac:dyDescent="0.2">
      <c r="A888" s="1" t="s">
        <v>115</v>
      </c>
      <c r="B888" t="str">
        <f>LEFT(Table1[[#This Row],[Input]],1)</f>
        <v>L</v>
      </c>
      <c r="C888">
        <f>_xlfn.LET(_xlpm.steps,SUBSTITUTE(Table1[[#This Row],[Input]],Table1[[#This Row],[Direction]],""),VALUE(IF(LEN(_xlpm.steps)&gt;2,RIGHT(_xlpm.steps,2),_xlpm.steps)))</f>
        <v>29</v>
      </c>
      <c r="D888">
        <f>_xlfn.LET(_xlpm.dir,Table1[[#This Row],[Direction]],
IF(_xlpm.dir="L",
    IF(F887-Table1[[#This Row],[Steps]]&lt;0,100+(F887-Table1[[#This Row],[Steps]]),F887-Table1[[#This Row],[Steps]]),
))</f>
        <v>71</v>
      </c>
      <c r="E888">
        <f>_xlfn.LET(_xlpm.dir,Table1[[#This Row],[Direction]],
IF(_xlpm.dir="R",
    IF(F887+Table1[[#This Row],[Steps]]&gt;99,(F887+Table1[[#This Row],[Steps]])-100,F887+Table1[[#This Row],[Steps]]),
))</f>
        <v>0</v>
      </c>
      <c r="F888">
        <f>IF(Table1[[#This Row],[New Pos L]]&lt;&gt;0,Table1[[#This Row],[New Pos L]],Table1[[#This Row],[New Pos R]])</f>
        <v>71</v>
      </c>
    </row>
    <row r="889" spans="1:6" ht="16" x14ac:dyDescent="0.2">
      <c r="A889" s="1" t="s">
        <v>330</v>
      </c>
      <c r="B889" t="str">
        <f>LEFT(Table1[[#This Row],[Input]],1)</f>
        <v>L</v>
      </c>
      <c r="C889">
        <f>_xlfn.LET(_xlpm.steps,SUBSTITUTE(Table1[[#This Row],[Input]],Table1[[#This Row],[Direction]],""),VALUE(IF(LEN(_xlpm.steps)&gt;2,RIGHT(_xlpm.steps,2),_xlpm.steps)))</f>
        <v>47</v>
      </c>
      <c r="D889">
        <f>_xlfn.LET(_xlpm.dir,Table1[[#This Row],[Direction]],
IF(_xlpm.dir="L",
    IF(F888-Table1[[#This Row],[Steps]]&lt;0,100+(F888-Table1[[#This Row],[Steps]]),F888-Table1[[#This Row],[Steps]]),
))</f>
        <v>24</v>
      </c>
      <c r="E889">
        <f>_xlfn.LET(_xlpm.dir,Table1[[#This Row],[Direction]],
IF(_xlpm.dir="R",
    IF(F888+Table1[[#This Row],[Steps]]&gt;99,(F888+Table1[[#This Row],[Steps]])-100,F888+Table1[[#This Row],[Steps]]),
))</f>
        <v>0</v>
      </c>
      <c r="F889">
        <f>IF(Table1[[#This Row],[New Pos L]]&lt;&gt;0,Table1[[#This Row],[New Pos L]],Table1[[#This Row],[New Pos R]])</f>
        <v>24</v>
      </c>
    </row>
    <row r="890" spans="1:6" ht="16" x14ac:dyDescent="0.2">
      <c r="A890" s="1" t="s">
        <v>221</v>
      </c>
      <c r="B890" t="str">
        <f>LEFT(Table1[[#This Row],[Input]],1)</f>
        <v>R</v>
      </c>
      <c r="C890">
        <f>_xlfn.LET(_xlpm.steps,SUBSTITUTE(Table1[[#This Row],[Input]],Table1[[#This Row],[Direction]],""),VALUE(IF(LEN(_xlpm.steps)&gt;2,RIGHT(_xlpm.steps,2),_xlpm.steps)))</f>
        <v>15</v>
      </c>
      <c r="D890">
        <f>_xlfn.LET(_xlpm.dir,Table1[[#This Row],[Direction]],
IF(_xlpm.dir="L",
    IF(F889-Table1[[#This Row],[Steps]]&lt;0,100+(F889-Table1[[#This Row],[Steps]]),F889-Table1[[#This Row],[Steps]]),
))</f>
        <v>0</v>
      </c>
      <c r="E890">
        <f>_xlfn.LET(_xlpm.dir,Table1[[#This Row],[Direction]],
IF(_xlpm.dir="R",
    IF(F889+Table1[[#This Row],[Steps]]&gt;99,(F889+Table1[[#This Row],[Steps]])-100,F889+Table1[[#This Row],[Steps]]),
))</f>
        <v>39</v>
      </c>
      <c r="F890">
        <f>IF(Table1[[#This Row],[New Pos L]]&lt;&gt;0,Table1[[#This Row],[New Pos L]],Table1[[#This Row],[New Pos R]])</f>
        <v>39</v>
      </c>
    </row>
    <row r="891" spans="1:6" ht="16" x14ac:dyDescent="0.2">
      <c r="A891" s="1" t="s">
        <v>255</v>
      </c>
      <c r="B891" t="str">
        <f>LEFT(Table1[[#This Row],[Input]],1)</f>
        <v>R</v>
      </c>
      <c r="C891">
        <f>_xlfn.LET(_xlpm.steps,SUBSTITUTE(Table1[[#This Row],[Input]],Table1[[#This Row],[Direction]],""),VALUE(IF(LEN(_xlpm.steps)&gt;2,RIGHT(_xlpm.steps,2),_xlpm.steps)))</f>
        <v>16</v>
      </c>
      <c r="D891">
        <f>_xlfn.LET(_xlpm.dir,Table1[[#This Row],[Direction]],
IF(_xlpm.dir="L",
    IF(F890-Table1[[#This Row],[Steps]]&lt;0,100+(F890-Table1[[#This Row],[Steps]]),F890-Table1[[#This Row],[Steps]]),
))</f>
        <v>0</v>
      </c>
      <c r="E891">
        <f>_xlfn.LET(_xlpm.dir,Table1[[#This Row],[Direction]],
IF(_xlpm.dir="R",
    IF(F890+Table1[[#This Row],[Steps]]&gt;99,(F890+Table1[[#This Row],[Steps]])-100,F890+Table1[[#This Row],[Steps]]),
))</f>
        <v>55</v>
      </c>
      <c r="F891">
        <f>IF(Table1[[#This Row],[New Pos L]]&lt;&gt;0,Table1[[#This Row],[New Pos L]],Table1[[#This Row],[New Pos R]])</f>
        <v>55</v>
      </c>
    </row>
    <row r="892" spans="1:6" ht="16" x14ac:dyDescent="0.2">
      <c r="A892" s="1" t="s">
        <v>337</v>
      </c>
      <c r="B892" t="str">
        <f>LEFT(Table1[[#This Row],[Input]],1)</f>
        <v>L</v>
      </c>
      <c r="C892">
        <f>_xlfn.LET(_xlpm.steps,SUBSTITUTE(Table1[[#This Row],[Input]],Table1[[#This Row],[Direction]],""),VALUE(IF(LEN(_xlpm.steps)&gt;2,RIGHT(_xlpm.steps,2),_xlpm.steps)))</f>
        <v>38</v>
      </c>
      <c r="D892">
        <f>_xlfn.LET(_xlpm.dir,Table1[[#This Row],[Direction]],
IF(_xlpm.dir="L",
    IF(F891-Table1[[#This Row],[Steps]]&lt;0,100+(F891-Table1[[#This Row],[Steps]]),F891-Table1[[#This Row],[Steps]]),
))</f>
        <v>17</v>
      </c>
      <c r="E892">
        <f>_xlfn.LET(_xlpm.dir,Table1[[#This Row],[Direction]],
IF(_xlpm.dir="R",
    IF(F891+Table1[[#This Row],[Steps]]&gt;99,(F891+Table1[[#This Row],[Steps]])-100,F891+Table1[[#This Row],[Steps]]),
))</f>
        <v>0</v>
      </c>
      <c r="F892">
        <f>IF(Table1[[#This Row],[New Pos L]]&lt;&gt;0,Table1[[#This Row],[New Pos L]],Table1[[#This Row],[New Pos R]])</f>
        <v>17</v>
      </c>
    </row>
    <row r="893" spans="1:6" ht="16" x14ac:dyDescent="0.2">
      <c r="A893" s="1" t="s">
        <v>205</v>
      </c>
      <c r="B893" t="str">
        <f>LEFT(Table1[[#This Row],[Input]],1)</f>
        <v>R</v>
      </c>
      <c r="C893">
        <f>_xlfn.LET(_xlpm.steps,SUBSTITUTE(Table1[[#This Row],[Input]],Table1[[#This Row],[Direction]],""),VALUE(IF(LEN(_xlpm.steps)&gt;2,RIGHT(_xlpm.steps,2),_xlpm.steps)))</f>
        <v>83</v>
      </c>
      <c r="D893">
        <f>_xlfn.LET(_xlpm.dir,Table1[[#This Row],[Direction]],
IF(_xlpm.dir="L",
    IF(F892-Table1[[#This Row],[Steps]]&lt;0,100+(F892-Table1[[#This Row],[Steps]]),F892-Table1[[#This Row],[Steps]]),
))</f>
        <v>0</v>
      </c>
      <c r="E893">
        <f>_xlfn.LET(_xlpm.dir,Table1[[#This Row],[Direction]],
IF(_xlpm.dir="R",
    IF(F892+Table1[[#This Row],[Steps]]&gt;99,(F892+Table1[[#This Row],[Steps]])-100,F892+Table1[[#This Row],[Steps]]),
))</f>
        <v>0</v>
      </c>
      <c r="F893">
        <f>IF(Table1[[#This Row],[New Pos L]]&lt;&gt;0,Table1[[#This Row],[New Pos L]],Table1[[#This Row],[New Pos R]])</f>
        <v>0</v>
      </c>
    </row>
    <row r="894" spans="1:6" ht="16" x14ac:dyDescent="0.2">
      <c r="A894" s="1" t="s">
        <v>174</v>
      </c>
      <c r="B894" t="str">
        <f>LEFT(Table1[[#This Row],[Input]],1)</f>
        <v>L</v>
      </c>
      <c r="C894">
        <f>_xlfn.LET(_xlpm.steps,SUBSTITUTE(Table1[[#This Row],[Input]],Table1[[#This Row],[Direction]],""),VALUE(IF(LEN(_xlpm.steps)&gt;2,RIGHT(_xlpm.steps,2),_xlpm.steps)))</f>
        <v>92</v>
      </c>
      <c r="D894">
        <f>_xlfn.LET(_xlpm.dir,Table1[[#This Row],[Direction]],
IF(_xlpm.dir="L",
    IF(F893-Table1[[#This Row],[Steps]]&lt;0,100+(F893-Table1[[#This Row],[Steps]]),F893-Table1[[#This Row],[Steps]]),
))</f>
        <v>8</v>
      </c>
      <c r="E894">
        <f>_xlfn.LET(_xlpm.dir,Table1[[#This Row],[Direction]],
IF(_xlpm.dir="R",
    IF(F893+Table1[[#This Row],[Steps]]&gt;99,(F893+Table1[[#This Row],[Steps]])-100,F893+Table1[[#This Row],[Steps]]),
))</f>
        <v>0</v>
      </c>
      <c r="F894">
        <f>IF(Table1[[#This Row],[New Pos L]]&lt;&gt;0,Table1[[#This Row],[New Pos L]],Table1[[#This Row],[New Pos R]])</f>
        <v>8</v>
      </c>
    </row>
    <row r="895" spans="1:6" ht="16" x14ac:dyDescent="0.2">
      <c r="A895" s="1" t="s">
        <v>123</v>
      </c>
      <c r="B895" t="str">
        <f>LEFT(Table1[[#This Row],[Input]],1)</f>
        <v>L</v>
      </c>
      <c r="C895">
        <f>_xlfn.LET(_xlpm.steps,SUBSTITUTE(Table1[[#This Row],[Input]],Table1[[#This Row],[Direction]],""),VALUE(IF(LEN(_xlpm.steps)&gt;2,RIGHT(_xlpm.steps,2),_xlpm.steps)))</f>
        <v>63</v>
      </c>
      <c r="D895">
        <f>_xlfn.LET(_xlpm.dir,Table1[[#This Row],[Direction]],
IF(_xlpm.dir="L",
    IF(F894-Table1[[#This Row],[Steps]]&lt;0,100+(F894-Table1[[#This Row],[Steps]]),F894-Table1[[#This Row],[Steps]]),
))</f>
        <v>45</v>
      </c>
      <c r="E895">
        <f>_xlfn.LET(_xlpm.dir,Table1[[#This Row],[Direction]],
IF(_xlpm.dir="R",
    IF(F894+Table1[[#This Row],[Steps]]&gt;99,(F894+Table1[[#This Row],[Steps]])-100,F894+Table1[[#This Row],[Steps]]),
))</f>
        <v>0</v>
      </c>
      <c r="F895">
        <f>IF(Table1[[#This Row],[New Pos L]]&lt;&gt;0,Table1[[#This Row],[New Pos L]],Table1[[#This Row],[New Pos R]])</f>
        <v>45</v>
      </c>
    </row>
    <row r="896" spans="1:6" ht="16" x14ac:dyDescent="0.2">
      <c r="A896" s="1" t="s">
        <v>59</v>
      </c>
      <c r="B896" t="str">
        <f>LEFT(Table1[[#This Row],[Input]],1)</f>
        <v>L</v>
      </c>
      <c r="C896">
        <f>_xlfn.LET(_xlpm.steps,SUBSTITUTE(Table1[[#This Row],[Input]],Table1[[#This Row],[Direction]],""),VALUE(IF(LEN(_xlpm.steps)&gt;2,RIGHT(_xlpm.steps,2),_xlpm.steps)))</f>
        <v>6</v>
      </c>
      <c r="D896">
        <f>_xlfn.LET(_xlpm.dir,Table1[[#This Row],[Direction]],
IF(_xlpm.dir="L",
    IF(F895-Table1[[#This Row],[Steps]]&lt;0,100+(F895-Table1[[#This Row],[Steps]]),F895-Table1[[#This Row],[Steps]]),
))</f>
        <v>39</v>
      </c>
      <c r="E896">
        <f>_xlfn.LET(_xlpm.dir,Table1[[#This Row],[Direction]],
IF(_xlpm.dir="R",
    IF(F895+Table1[[#This Row],[Steps]]&gt;99,(F895+Table1[[#This Row],[Steps]])-100,F895+Table1[[#This Row],[Steps]]),
))</f>
        <v>0</v>
      </c>
      <c r="F896">
        <f>IF(Table1[[#This Row],[New Pos L]]&lt;&gt;0,Table1[[#This Row],[New Pos L]],Table1[[#This Row],[New Pos R]])</f>
        <v>39</v>
      </c>
    </row>
    <row r="897" spans="1:6" ht="16" x14ac:dyDescent="0.2">
      <c r="A897" s="1" t="s">
        <v>185</v>
      </c>
      <c r="B897" t="str">
        <f>LEFT(Table1[[#This Row],[Input]],1)</f>
        <v>R</v>
      </c>
      <c r="C897">
        <f>_xlfn.LET(_xlpm.steps,SUBSTITUTE(Table1[[#This Row],[Input]],Table1[[#This Row],[Direction]],""),VALUE(IF(LEN(_xlpm.steps)&gt;2,RIGHT(_xlpm.steps,2),_xlpm.steps)))</f>
        <v>61</v>
      </c>
      <c r="D897">
        <f>_xlfn.LET(_xlpm.dir,Table1[[#This Row],[Direction]],
IF(_xlpm.dir="L",
    IF(F896-Table1[[#This Row],[Steps]]&lt;0,100+(F896-Table1[[#This Row],[Steps]]),F896-Table1[[#This Row],[Steps]]),
))</f>
        <v>0</v>
      </c>
      <c r="E897">
        <f>_xlfn.LET(_xlpm.dir,Table1[[#This Row],[Direction]],
IF(_xlpm.dir="R",
    IF(F896+Table1[[#This Row],[Steps]]&gt;99,(F896+Table1[[#This Row],[Steps]])-100,F896+Table1[[#This Row],[Steps]]),
))</f>
        <v>0</v>
      </c>
      <c r="F897">
        <f>IF(Table1[[#This Row],[New Pos L]]&lt;&gt;0,Table1[[#This Row],[New Pos L]],Table1[[#This Row],[New Pos R]])</f>
        <v>0</v>
      </c>
    </row>
    <row r="898" spans="1:6" ht="16" x14ac:dyDescent="0.2">
      <c r="A898" s="1" t="s">
        <v>187</v>
      </c>
      <c r="B898" t="str">
        <f>LEFT(Table1[[#This Row],[Input]],1)</f>
        <v>R</v>
      </c>
      <c r="C898">
        <f>_xlfn.LET(_xlpm.steps,SUBSTITUTE(Table1[[#This Row],[Input]],Table1[[#This Row],[Direction]],""),VALUE(IF(LEN(_xlpm.steps)&gt;2,RIGHT(_xlpm.steps,2),_xlpm.steps)))</f>
        <v>20</v>
      </c>
      <c r="D898">
        <f>_xlfn.LET(_xlpm.dir,Table1[[#This Row],[Direction]],
IF(_xlpm.dir="L",
    IF(F897-Table1[[#This Row],[Steps]]&lt;0,100+(F897-Table1[[#This Row],[Steps]]),F897-Table1[[#This Row],[Steps]]),
))</f>
        <v>0</v>
      </c>
      <c r="E898">
        <f>_xlfn.LET(_xlpm.dir,Table1[[#This Row],[Direction]],
IF(_xlpm.dir="R",
    IF(F897+Table1[[#This Row],[Steps]]&gt;99,(F897+Table1[[#This Row],[Steps]])-100,F897+Table1[[#This Row],[Steps]]),
))</f>
        <v>20</v>
      </c>
      <c r="F898">
        <f>IF(Table1[[#This Row],[New Pos L]]&lt;&gt;0,Table1[[#This Row],[New Pos L]],Table1[[#This Row],[New Pos R]])</f>
        <v>20</v>
      </c>
    </row>
    <row r="899" spans="1:6" ht="16" x14ac:dyDescent="0.2">
      <c r="A899" s="1" t="s">
        <v>338</v>
      </c>
      <c r="B899" t="str">
        <f>LEFT(Table1[[#This Row],[Input]],1)</f>
        <v>R</v>
      </c>
      <c r="C899">
        <f>_xlfn.LET(_xlpm.steps,SUBSTITUTE(Table1[[#This Row],[Input]],Table1[[#This Row],[Direction]],""),VALUE(IF(LEN(_xlpm.steps)&gt;2,RIGHT(_xlpm.steps,2),_xlpm.steps)))</f>
        <v>61</v>
      </c>
      <c r="D899">
        <f>_xlfn.LET(_xlpm.dir,Table1[[#This Row],[Direction]],
IF(_xlpm.dir="L",
    IF(F898-Table1[[#This Row],[Steps]]&lt;0,100+(F898-Table1[[#This Row],[Steps]]),F898-Table1[[#This Row],[Steps]]),
))</f>
        <v>0</v>
      </c>
      <c r="E899">
        <f>_xlfn.LET(_xlpm.dir,Table1[[#This Row],[Direction]],
IF(_xlpm.dir="R",
    IF(F898+Table1[[#This Row],[Steps]]&gt;99,(F898+Table1[[#This Row],[Steps]])-100,F898+Table1[[#This Row],[Steps]]),
))</f>
        <v>81</v>
      </c>
      <c r="F899">
        <f>IF(Table1[[#This Row],[New Pos L]]&lt;&gt;0,Table1[[#This Row],[New Pos L]],Table1[[#This Row],[New Pos R]])</f>
        <v>81</v>
      </c>
    </row>
    <row r="900" spans="1:6" ht="16" x14ac:dyDescent="0.2">
      <c r="A900" s="1" t="s">
        <v>339</v>
      </c>
      <c r="B900" t="str">
        <f>LEFT(Table1[[#This Row],[Input]],1)</f>
        <v>R</v>
      </c>
      <c r="C900">
        <f>_xlfn.LET(_xlpm.steps,SUBSTITUTE(Table1[[#This Row],[Input]],Table1[[#This Row],[Direction]],""),VALUE(IF(LEN(_xlpm.steps)&gt;2,RIGHT(_xlpm.steps,2),_xlpm.steps)))</f>
        <v>9</v>
      </c>
      <c r="D900">
        <f>_xlfn.LET(_xlpm.dir,Table1[[#This Row],[Direction]],
IF(_xlpm.dir="L",
    IF(F899-Table1[[#This Row],[Steps]]&lt;0,100+(F899-Table1[[#This Row],[Steps]]),F899-Table1[[#This Row],[Steps]]),
))</f>
        <v>0</v>
      </c>
      <c r="E900">
        <f>_xlfn.LET(_xlpm.dir,Table1[[#This Row],[Direction]],
IF(_xlpm.dir="R",
    IF(F899+Table1[[#This Row],[Steps]]&gt;99,(F899+Table1[[#This Row],[Steps]])-100,F899+Table1[[#This Row],[Steps]]),
))</f>
        <v>90</v>
      </c>
      <c r="F900">
        <f>IF(Table1[[#This Row],[New Pos L]]&lt;&gt;0,Table1[[#This Row],[New Pos L]],Table1[[#This Row],[New Pos R]])</f>
        <v>90</v>
      </c>
    </row>
    <row r="901" spans="1:6" ht="16" x14ac:dyDescent="0.2">
      <c r="A901" s="1" t="s">
        <v>179</v>
      </c>
      <c r="B901" t="str">
        <f>LEFT(Table1[[#This Row],[Input]],1)</f>
        <v>L</v>
      </c>
      <c r="C901">
        <f>_xlfn.LET(_xlpm.steps,SUBSTITUTE(Table1[[#This Row],[Input]],Table1[[#This Row],[Direction]],""),VALUE(IF(LEN(_xlpm.steps)&gt;2,RIGHT(_xlpm.steps,2),_xlpm.steps)))</f>
        <v>54</v>
      </c>
      <c r="D901">
        <f>_xlfn.LET(_xlpm.dir,Table1[[#This Row],[Direction]],
IF(_xlpm.dir="L",
    IF(F900-Table1[[#This Row],[Steps]]&lt;0,100+(F900-Table1[[#This Row],[Steps]]),F900-Table1[[#This Row],[Steps]]),
))</f>
        <v>36</v>
      </c>
      <c r="E901">
        <f>_xlfn.LET(_xlpm.dir,Table1[[#This Row],[Direction]],
IF(_xlpm.dir="R",
    IF(F900+Table1[[#This Row],[Steps]]&gt;99,(F900+Table1[[#This Row],[Steps]])-100,F900+Table1[[#This Row],[Steps]]),
))</f>
        <v>0</v>
      </c>
      <c r="F901">
        <f>IF(Table1[[#This Row],[New Pos L]]&lt;&gt;0,Table1[[#This Row],[New Pos L]],Table1[[#This Row],[New Pos R]])</f>
        <v>36</v>
      </c>
    </row>
    <row r="902" spans="1:6" ht="16" x14ac:dyDescent="0.2">
      <c r="A902" s="1" t="s">
        <v>128</v>
      </c>
      <c r="B902" t="str">
        <f>LEFT(Table1[[#This Row],[Input]],1)</f>
        <v>R</v>
      </c>
      <c r="C902">
        <f>_xlfn.LET(_xlpm.steps,SUBSTITUTE(Table1[[#This Row],[Input]],Table1[[#This Row],[Direction]],""),VALUE(IF(LEN(_xlpm.steps)&gt;2,RIGHT(_xlpm.steps,2),_xlpm.steps)))</f>
        <v>92</v>
      </c>
      <c r="D902">
        <f>_xlfn.LET(_xlpm.dir,Table1[[#This Row],[Direction]],
IF(_xlpm.dir="L",
    IF(F901-Table1[[#This Row],[Steps]]&lt;0,100+(F901-Table1[[#This Row],[Steps]]),F901-Table1[[#This Row],[Steps]]),
))</f>
        <v>0</v>
      </c>
      <c r="E902">
        <f>_xlfn.LET(_xlpm.dir,Table1[[#This Row],[Direction]],
IF(_xlpm.dir="R",
    IF(F901+Table1[[#This Row],[Steps]]&gt;99,(F901+Table1[[#This Row],[Steps]])-100,F901+Table1[[#This Row],[Steps]]),
))</f>
        <v>28</v>
      </c>
      <c r="F902">
        <f>IF(Table1[[#This Row],[New Pos L]]&lt;&gt;0,Table1[[#This Row],[New Pos L]],Table1[[#This Row],[New Pos R]])</f>
        <v>28</v>
      </c>
    </row>
    <row r="903" spans="1:6" ht="16" x14ac:dyDescent="0.2">
      <c r="A903" s="1" t="s">
        <v>32</v>
      </c>
      <c r="B903" t="str">
        <f>LEFT(Table1[[#This Row],[Input]],1)</f>
        <v>L</v>
      </c>
      <c r="C903">
        <f>_xlfn.LET(_xlpm.steps,SUBSTITUTE(Table1[[#This Row],[Input]],Table1[[#This Row],[Direction]],""),VALUE(IF(LEN(_xlpm.steps)&gt;2,RIGHT(_xlpm.steps,2),_xlpm.steps)))</f>
        <v>28</v>
      </c>
      <c r="D903">
        <f>_xlfn.LET(_xlpm.dir,Table1[[#This Row],[Direction]],
IF(_xlpm.dir="L",
    IF(F902-Table1[[#This Row],[Steps]]&lt;0,100+(F902-Table1[[#This Row],[Steps]]),F902-Table1[[#This Row],[Steps]]),
))</f>
        <v>0</v>
      </c>
      <c r="E903">
        <f>_xlfn.LET(_xlpm.dir,Table1[[#This Row],[Direction]],
IF(_xlpm.dir="R",
    IF(F902+Table1[[#This Row],[Steps]]&gt;99,(F902+Table1[[#This Row],[Steps]])-100,F902+Table1[[#This Row],[Steps]]),
))</f>
        <v>0</v>
      </c>
      <c r="F903">
        <f>IF(Table1[[#This Row],[New Pos L]]&lt;&gt;0,Table1[[#This Row],[New Pos L]],Table1[[#This Row],[New Pos R]])</f>
        <v>0</v>
      </c>
    </row>
    <row r="904" spans="1:6" ht="16" x14ac:dyDescent="0.2">
      <c r="A904" s="1" t="s">
        <v>0</v>
      </c>
      <c r="B904" t="str">
        <f>LEFT(Table1[[#This Row],[Input]],1)</f>
        <v>L</v>
      </c>
      <c r="C904">
        <f>_xlfn.LET(_xlpm.steps,SUBSTITUTE(Table1[[#This Row],[Input]],Table1[[#This Row],[Direction]],""),VALUE(IF(LEN(_xlpm.steps)&gt;2,RIGHT(_xlpm.steps,2),_xlpm.steps)))</f>
        <v>44</v>
      </c>
      <c r="D904">
        <f>_xlfn.LET(_xlpm.dir,Table1[[#This Row],[Direction]],
IF(_xlpm.dir="L",
    IF(F903-Table1[[#This Row],[Steps]]&lt;0,100+(F903-Table1[[#This Row],[Steps]]),F903-Table1[[#This Row],[Steps]]),
))</f>
        <v>56</v>
      </c>
      <c r="E904">
        <f>_xlfn.LET(_xlpm.dir,Table1[[#This Row],[Direction]],
IF(_xlpm.dir="R",
    IF(F903+Table1[[#This Row],[Steps]]&gt;99,(F903+Table1[[#This Row],[Steps]])-100,F903+Table1[[#This Row],[Steps]]),
))</f>
        <v>0</v>
      </c>
      <c r="F904">
        <f>IF(Table1[[#This Row],[New Pos L]]&lt;&gt;0,Table1[[#This Row],[New Pos L]],Table1[[#This Row],[New Pos R]])</f>
        <v>56</v>
      </c>
    </row>
    <row r="905" spans="1:6" ht="16" x14ac:dyDescent="0.2">
      <c r="A905" s="1" t="s">
        <v>185</v>
      </c>
      <c r="B905" t="str">
        <f>LEFT(Table1[[#This Row],[Input]],1)</f>
        <v>R</v>
      </c>
      <c r="C905">
        <f>_xlfn.LET(_xlpm.steps,SUBSTITUTE(Table1[[#This Row],[Input]],Table1[[#This Row],[Direction]],""),VALUE(IF(LEN(_xlpm.steps)&gt;2,RIGHT(_xlpm.steps,2),_xlpm.steps)))</f>
        <v>61</v>
      </c>
      <c r="D905">
        <f>_xlfn.LET(_xlpm.dir,Table1[[#This Row],[Direction]],
IF(_xlpm.dir="L",
    IF(F904-Table1[[#This Row],[Steps]]&lt;0,100+(F904-Table1[[#This Row],[Steps]]),F904-Table1[[#This Row],[Steps]]),
))</f>
        <v>0</v>
      </c>
      <c r="E905">
        <f>_xlfn.LET(_xlpm.dir,Table1[[#This Row],[Direction]],
IF(_xlpm.dir="R",
    IF(F904+Table1[[#This Row],[Steps]]&gt;99,(F904+Table1[[#This Row],[Steps]])-100,F904+Table1[[#This Row],[Steps]]),
))</f>
        <v>17</v>
      </c>
      <c r="F905">
        <f>IF(Table1[[#This Row],[New Pos L]]&lt;&gt;0,Table1[[#This Row],[New Pos L]],Table1[[#This Row],[New Pos R]])</f>
        <v>17</v>
      </c>
    </row>
    <row r="906" spans="1:6" ht="16" x14ac:dyDescent="0.2">
      <c r="A906" s="1" t="s">
        <v>98</v>
      </c>
      <c r="B906" t="str">
        <f>LEFT(Table1[[#This Row],[Input]],1)</f>
        <v>L</v>
      </c>
      <c r="C906">
        <f>_xlfn.LET(_xlpm.steps,SUBSTITUTE(Table1[[#This Row],[Input]],Table1[[#This Row],[Direction]],""),VALUE(IF(LEN(_xlpm.steps)&gt;2,RIGHT(_xlpm.steps,2),_xlpm.steps)))</f>
        <v>65</v>
      </c>
      <c r="D906">
        <f>_xlfn.LET(_xlpm.dir,Table1[[#This Row],[Direction]],
IF(_xlpm.dir="L",
    IF(F905-Table1[[#This Row],[Steps]]&lt;0,100+(F905-Table1[[#This Row],[Steps]]),F905-Table1[[#This Row],[Steps]]),
))</f>
        <v>52</v>
      </c>
      <c r="E906">
        <f>_xlfn.LET(_xlpm.dir,Table1[[#This Row],[Direction]],
IF(_xlpm.dir="R",
    IF(F905+Table1[[#This Row],[Steps]]&gt;99,(F905+Table1[[#This Row],[Steps]])-100,F905+Table1[[#This Row],[Steps]]),
))</f>
        <v>0</v>
      </c>
      <c r="F906">
        <f>IF(Table1[[#This Row],[New Pos L]]&lt;&gt;0,Table1[[#This Row],[New Pos L]],Table1[[#This Row],[New Pos R]])</f>
        <v>52</v>
      </c>
    </row>
    <row r="907" spans="1:6" ht="16" x14ac:dyDescent="0.2">
      <c r="A907" s="1" t="s">
        <v>30</v>
      </c>
      <c r="B907" t="str">
        <f>LEFT(Table1[[#This Row],[Input]],1)</f>
        <v>R</v>
      </c>
      <c r="C907">
        <f>_xlfn.LET(_xlpm.steps,SUBSTITUTE(Table1[[#This Row],[Input]],Table1[[#This Row],[Direction]],""),VALUE(IF(LEN(_xlpm.steps)&gt;2,RIGHT(_xlpm.steps,2),_xlpm.steps)))</f>
        <v>48</v>
      </c>
      <c r="D907">
        <f>_xlfn.LET(_xlpm.dir,Table1[[#This Row],[Direction]],
IF(_xlpm.dir="L",
    IF(F906-Table1[[#This Row],[Steps]]&lt;0,100+(F906-Table1[[#This Row],[Steps]]),F906-Table1[[#This Row],[Steps]]),
))</f>
        <v>0</v>
      </c>
      <c r="E907">
        <f>_xlfn.LET(_xlpm.dir,Table1[[#This Row],[Direction]],
IF(_xlpm.dir="R",
    IF(F906+Table1[[#This Row],[Steps]]&gt;99,(F906+Table1[[#This Row],[Steps]])-100,F906+Table1[[#This Row],[Steps]]),
))</f>
        <v>0</v>
      </c>
      <c r="F907">
        <f>IF(Table1[[#This Row],[New Pos L]]&lt;&gt;0,Table1[[#This Row],[New Pos L]],Table1[[#This Row],[New Pos R]])</f>
        <v>0</v>
      </c>
    </row>
    <row r="908" spans="1:6" ht="16" x14ac:dyDescent="0.2">
      <c r="A908" s="1" t="s">
        <v>254</v>
      </c>
      <c r="B908" t="str">
        <f>LEFT(Table1[[#This Row],[Input]],1)</f>
        <v>R</v>
      </c>
      <c r="C908">
        <f>_xlfn.LET(_xlpm.steps,SUBSTITUTE(Table1[[#This Row],[Input]],Table1[[#This Row],[Direction]],""),VALUE(IF(LEN(_xlpm.steps)&gt;2,RIGHT(_xlpm.steps,2),_xlpm.steps)))</f>
        <v>84</v>
      </c>
      <c r="D908">
        <f>_xlfn.LET(_xlpm.dir,Table1[[#This Row],[Direction]],
IF(_xlpm.dir="L",
    IF(F907-Table1[[#This Row],[Steps]]&lt;0,100+(F907-Table1[[#This Row],[Steps]]),F907-Table1[[#This Row],[Steps]]),
))</f>
        <v>0</v>
      </c>
      <c r="E908">
        <f>_xlfn.LET(_xlpm.dir,Table1[[#This Row],[Direction]],
IF(_xlpm.dir="R",
    IF(F907+Table1[[#This Row],[Steps]]&gt;99,(F907+Table1[[#This Row],[Steps]])-100,F907+Table1[[#This Row],[Steps]]),
))</f>
        <v>84</v>
      </c>
      <c r="F908">
        <f>IF(Table1[[#This Row],[New Pos L]]&lt;&gt;0,Table1[[#This Row],[New Pos L]],Table1[[#This Row],[New Pos R]])</f>
        <v>84</v>
      </c>
    </row>
    <row r="909" spans="1:6" ht="16" x14ac:dyDescent="0.2">
      <c r="A909" s="1" t="s">
        <v>340</v>
      </c>
      <c r="B909" t="str">
        <f>LEFT(Table1[[#This Row],[Input]],1)</f>
        <v>L</v>
      </c>
      <c r="C909">
        <f>_xlfn.LET(_xlpm.steps,SUBSTITUTE(Table1[[#This Row],[Input]],Table1[[#This Row],[Direction]],""),VALUE(IF(LEN(_xlpm.steps)&gt;2,RIGHT(_xlpm.steps,2),_xlpm.steps)))</f>
        <v>26</v>
      </c>
      <c r="D909">
        <f>_xlfn.LET(_xlpm.dir,Table1[[#This Row],[Direction]],
IF(_xlpm.dir="L",
    IF(F908-Table1[[#This Row],[Steps]]&lt;0,100+(F908-Table1[[#This Row],[Steps]]),F908-Table1[[#This Row],[Steps]]),
))</f>
        <v>58</v>
      </c>
      <c r="E909">
        <f>_xlfn.LET(_xlpm.dir,Table1[[#This Row],[Direction]],
IF(_xlpm.dir="R",
    IF(F908+Table1[[#This Row],[Steps]]&gt;99,(F908+Table1[[#This Row],[Steps]])-100,F908+Table1[[#This Row],[Steps]]),
))</f>
        <v>0</v>
      </c>
      <c r="F909">
        <f>IF(Table1[[#This Row],[New Pos L]]&lt;&gt;0,Table1[[#This Row],[New Pos L]],Table1[[#This Row],[New Pos R]])</f>
        <v>58</v>
      </c>
    </row>
    <row r="910" spans="1:6" ht="16" x14ac:dyDescent="0.2">
      <c r="A910" s="1" t="s">
        <v>341</v>
      </c>
      <c r="B910" t="str">
        <f>LEFT(Table1[[#This Row],[Input]],1)</f>
        <v>L</v>
      </c>
      <c r="C910">
        <f>_xlfn.LET(_xlpm.steps,SUBSTITUTE(Table1[[#This Row],[Input]],Table1[[#This Row],[Direction]],""),VALUE(IF(LEN(_xlpm.steps)&gt;2,RIGHT(_xlpm.steps,2),_xlpm.steps)))</f>
        <v>58</v>
      </c>
      <c r="D910">
        <f>_xlfn.LET(_xlpm.dir,Table1[[#This Row],[Direction]],
IF(_xlpm.dir="L",
    IF(F909-Table1[[#This Row],[Steps]]&lt;0,100+(F909-Table1[[#This Row],[Steps]]),F909-Table1[[#This Row],[Steps]]),
))</f>
        <v>0</v>
      </c>
      <c r="E910">
        <f>_xlfn.LET(_xlpm.dir,Table1[[#This Row],[Direction]],
IF(_xlpm.dir="R",
    IF(F909+Table1[[#This Row],[Steps]]&gt;99,(F909+Table1[[#This Row],[Steps]])-100,F909+Table1[[#This Row],[Steps]]),
))</f>
        <v>0</v>
      </c>
      <c r="F910">
        <f>IF(Table1[[#This Row],[New Pos L]]&lt;&gt;0,Table1[[#This Row],[New Pos L]],Table1[[#This Row],[New Pos R]])</f>
        <v>0</v>
      </c>
    </row>
    <row r="911" spans="1:6" ht="16" x14ac:dyDescent="0.2">
      <c r="A911" s="1" t="s">
        <v>186</v>
      </c>
      <c r="B911" t="str">
        <f>LEFT(Table1[[#This Row],[Input]],1)</f>
        <v>L</v>
      </c>
      <c r="C911">
        <f>_xlfn.LET(_xlpm.steps,SUBSTITUTE(Table1[[#This Row],[Input]],Table1[[#This Row],[Direction]],""),VALUE(IF(LEN(_xlpm.steps)&gt;2,RIGHT(_xlpm.steps,2),_xlpm.steps)))</f>
        <v>84</v>
      </c>
      <c r="D911">
        <f>_xlfn.LET(_xlpm.dir,Table1[[#This Row],[Direction]],
IF(_xlpm.dir="L",
    IF(F910-Table1[[#This Row],[Steps]]&lt;0,100+(F910-Table1[[#This Row],[Steps]]),F910-Table1[[#This Row],[Steps]]),
))</f>
        <v>16</v>
      </c>
      <c r="E911">
        <f>_xlfn.LET(_xlpm.dir,Table1[[#This Row],[Direction]],
IF(_xlpm.dir="R",
    IF(F910+Table1[[#This Row],[Steps]]&gt;99,(F910+Table1[[#This Row],[Steps]])-100,F910+Table1[[#This Row],[Steps]]),
))</f>
        <v>0</v>
      </c>
      <c r="F911">
        <f>IF(Table1[[#This Row],[New Pos L]]&lt;&gt;0,Table1[[#This Row],[New Pos L]],Table1[[#This Row],[New Pos R]])</f>
        <v>16</v>
      </c>
    </row>
    <row r="912" spans="1:6" ht="16" x14ac:dyDescent="0.2">
      <c r="A912" s="1" t="s">
        <v>254</v>
      </c>
      <c r="B912" t="str">
        <f>LEFT(Table1[[#This Row],[Input]],1)</f>
        <v>R</v>
      </c>
      <c r="C912">
        <f>_xlfn.LET(_xlpm.steps,SUBSTITUTE(Table1[[#This Row],[Input]],Table1[[#This Row],[Direction]],""),VALUE(IF(LEN(_xlpm.steps)&gt;2,RIGHT(_xlpm.steps,2),_xlpm.steps)))</f>
        <v>84</v>
      </c>
      <c r="D912">
        <f>_xlfn.LET(_xlpm.dir,Table1[[#This Row],[Direction]],
IF(_xlpm.dir="L",
    IF(F911-Table1[[#This Row],[Steps]]&lt;0,100+(F911-Table1[[#This Row],[Steps]]),F911-Table1[[#This Row],[Steps]]),
))</f>
        <v>0</v>
      </c>
      <c r="E912">
        <f>_xlfn.LET(_xlpm.dir,Table1[[#This Row],[Direction]],
IF(_xlpm.dir="R",
    IF(F911+Table1[[#This Row],[Steps]]&gt;99,(F911+Table1[[#This Row],[Steps]])-100,F911+Table1[[#This Row],[Steps]]),
))</f>
        <v>0</v>
      </c>
      <c r="F912">
        <f>IF(Table1[[#This Row],[New Pos L]]&lt;&gt;0,Table1[[#This Row],[New Pos L]],Table1[[#This Row],[New Pos R]])</f>
        <v>0</v>
      </c>
    </row>
    <row r="913" spans="1:6" ht="16" x14ac:dyDescent="0.2">
      <c r="A913" s="1" t="s">
        <v>21</v>
      </c>
      <c r="B913" t="str">
        <f>LEFT(Table1[[#This Row],[Input]],1)</f>
        <v>L</v>
      </c>
      <c r="C913">
        <f>_xlfn.LET(_xlpm.steps,SUBSTITUTE(Table1[[#This Row],[Input]],Table1[[#This Row],[Direction]],""),VALUE(IF(LEN(_xlpm.steps)&gt;2,RIGHT(_xlpm.steps,2),_xlpm.steps)))</f>
        <v>36</v>
      </c>
      <c r="D913">
        <f>_xlfn.LET(_xlpm.dir,Table1[[#This Row],[Direction]],
IF(_xlpm.dir="L",
    IF(F912-Table1[[#This Row],[Steps]]&lt;0,100+(F912-Table1[[#This Row],[Steps]]),F912-Table1[[#This Row],[Steps]]),
))</f>
        <v>64</v>
      </c>
      <c r="E913">
        <f>_xlfn.LET(_xlpm.dir,Table1[[#This Row],[Direction]],
IF(_xlpm.dir="R",
    IF(F912+Table1[[#This Row],[Steps]]&gt;99,(F912+Table1[[#This Row],[Steps]])-100,F912+Table1[[#This Row],[Steps]]),
))</f>
        <v>0</v>
      </c>
      <c r="F913">
        <f>IF(Table1[[#This Row],[New Pos L]]&lt;&gt;0,Table1[[#This Row],[New Pos L]],Table1[[#This Row],[New Pos R]])</f>
        <v>64</v>
      </c>
    </row>
    <row r="914" spans="1:6" ht="16" x14ac:dyDescent="0.2">
      <c r="A914" s="1" t="s">
        <v>342</v>
      </c>
      <c r="B914" t="str">
        <f>LEFT(Table1[[#This Row],[Input]],1)</f>
        <v>L</v>
      </c>
      <c r="C914">
        <f>_xlfn.LET(_xlpm.steps,SUBSTITUTE(Table1[[#This Row],[Input]],Table1[[#This Row],[Direction]],""),VALUE(IF(LEN(_xlpm.steps)&gt;2,RIGHT(_xlpm.steps,2),_xlpm.steps)))</f>
        <v>25</v>
      </c>
      <c r="D914">
        <f>_xlfn.LET(_xlpm.dir,Table1[[#This Row],[Direction]],
IF(_xlpm.dir="L",
    IF(F913-Table1[[#This Row],[Steps]]&lt;0,100+(F913-Table1[[#This Row],[Steps]]),F913-Table1[[#This Row],[Steps]]),
))</f>
        <v>39</v>
      </c>
      <c r="E914">
        <f>_xlfn.LET(_xlpm.dir,Table1[[#This Row],[Direction]],
IF(_xlpm.dir="R",
    IF(F913+Table1[[#This Row],[Steps]]&gt;99,(F913+Table1[[#This Row],[Steps]])-100,F913+Table1[[#This Row],[Steps]]),
))</f>
        <v>0</v>
      </c>
      <c r="F914">
        <f>IF(Table1[[#This Row],[New Pos L]]&lt;&gt;0,Table1[[#This Row],[New Pos L]],Table1[[#This Row],[New Pos R]])</f>
        <v>39</v>
      </c>
    </row>
    <row r="915" spans="1:6" ht="16" x14ac:dyDescent="0.2">
      <c r="A915" s="1" t="s">
        <v>343</v>
      </c>
      <c r="B915" t="str">
        <f>LEFT(Table1[[#This Row],[Input]],1)</f>
        <v>L</v>
      </c>
      <c r="C915">
        <f>_xlfn.LET(_xlpm.steps,SUBSTITUTE(Table1[[#This Row],[Input]],Table1[[#This Row],[Direction]],""),VALUE(IF(LEN(_xlpm.steps)&gt;2,RIGHT(_xlpm.steps,2),_xlpm.steps)))</f>
        <v>33</v>
      </c>
      <c r="D915">
        <f>_xlfn.LET(_xlpm.dir,Table1[[#This Row],[Direction]],
IF(_xlpm.dir="L",
    IF(F914-Table1[[#This Row],[Steps]]&lt;0,100+(F914-Table1[[#This Row],[Steps]]),F914-Table1[[#This Row],[Steps]]),
))</f>
        <v>6</v>
      </c>
      <c r="E915">
        <f>_xlfn.LET(_xlpm.dir,Table1[[#This Row],[Direction]],
IF(_xlpm.dir="R",
    IF(F914+Table1[[#This Row],[Steps]]&gt;99,(F914+Table1[[#This Row],[Steps]])-100,F914+Table1[[#This Row],[Steps]]),
))</f>
        <v>0</v>
      </c>
      <c r="F915">
        <f>IF(Table1[[#This Row],[New Pos L]]&lt;&gt;0,Table1[[#This Row],[New Pos L]],Table1[[#This Row],[New Pos R]])</f>
        <v>6</v>
      </c>
    </row>
    <row r="916" spans="1:6" ht="16" x14ac:dyDescent="0.2">
      <c r="A916" s="1" t="s">
        <v>253</v>
      </c>
      <c r="B916" t="str">
        <f>LEFT(Table1[[#This Row],[Input]],1)</f>
        <v>R</v>
      </c>
      <c r="C916">
        <f>_xlfn.LET(_xlpm.steps,SUBSTITUTE(Table1[[#This Row],[Input]],Table1[[#This Row],[Direction]],""),VALUE(IF(LEN(_xlpm.steps)&gt;2,RIGHT(_xlpm.steps,2),_xlpm.steps)))</f>
        <v>94</v>
      </c>
      <c r="D916">
        <f>_xlfn.LET(_xlpm.dir,Table1[[#This Row],[Direction]],
IF(_xlpm.dir="L",
    IF(F915-Table1[[#This Row],[Steps]]&lt;0,100+(F915-Table1[[#This Row],[Steps]]),F915-Table1[[#This Row],[Steps]]),
))</f>
        <v>0</v>
      </c>
      <c r="E916">
        <f>_xlfn.LET(_xlpm.dir,Table1[[#This Row],[Direction]],
IF(_xlpm.dir="R",
    IF(F915+Table1[[#This Row],[Steps]]&gt;99,(F915+Table1[[#This Row],[Steps]])-100,F915+Table1[[#This Row],[Steps]]),
))</f>
        <v>0</v>
      </c>
      <c r="F916">
        <f>IF(Table1[[#This Row],[New Pos L]]&lt;&gt;0,Table1[[#This Row],[New Pos L]],Table1[[#This Row],[New Pos R]])</f>
        <v>0</v>
      </c>
    </row>
    <row r="917" spans="1:6" ht="16" x14ac:dyDescent="0.2">
      <c r="A917" s="1" t="s">
        <v>53</v>
      </c>
      <c r="B917" t="str">
        <f>LEFT(Table1[[#This Row],[Input]],1)</f>
        <v>L</v>
      </c>
      <c r="C917">
        <f>_xlfn.LET(_xlpm.steps,SUBSTITUTE(Table1[[#This Row],[Input]],Table1[[#This Row],[Direction]],""),VALUE(IF(LEN(_xlpm.steps)&gt;2,RIGHT(_xlpm.steps,2),_xlpm.steps)))</f>
        <v>56</v>
      </c>
      <c r="D917">
        <f>_xlfn.LET(_xlpm.dir,Table1[[#This Row],[Direction]],
IF(_xlpm.dir="L",
    IF(F916-Table1[[#This Row],[Steps]]&lt;0,100+(F916-Table1[[#This Row],[Steps]]),F916-Table1[[#This Row],[Steps]]),
))</f>
        <v>44</v>
      </c>
      <c r="E917">
        <f>_xlfn.LET(_xlpm.dir,Table1[[#This Row],[Direction]],
IF(_xlpm.dir="R",
    IF(F916+Table1[[#This Row],[Steps]]&gt;99,(F916+Table1[[#This Row],[Steps]])-100,F916+Table1[[#This Row],[Steps]]),
))</f>
        <v>0</v>
      </c>
      <c r="F917">
        <f>IF(Table1[[#This Row],[New Pos L]]&lt;&gt;0,Table1[[#This Row],[New Pos L]],Table1[[#This Row],[New Pos R]])</f>
        <v>44</v>
      </c>
    </row>
    <row r="918" spans="1:6" ht="16" x14ac:dyDescent="0.2">
      <c r="A918" s="1" t="s">
        <v>0</v>
      </c>
      <c r="B918" t="str">
        <f>LEFT(Table1[[#This Row],[Input]],1)</f>
        <v>L</v>
      </c>
      <c r="C918">
        <f>_xlfn.LET(_xlpm.steps,SUBSTITUTE(Table1[[#This Row],[Input]],Table1[[#This Row],[Direction]],""),VALUE(IF(LEN(_xlpm.steps)&gt;2,RIGHT(_xlpm.steps,2),_xlpm.steps)))</f>
        <v>44</v>
      </c>
      <c r="D918">
        <f>_xlfn.LET(_xlpm.dir,Table1[[#This Row],[Direction]],
IF(_xlpm.dir="L",
    IF(F917-Table1[[#This Row],[Steps]]&lt;0,100+(F917-Table1[[#This Row],[Steps]]),F917-Table1[[#This Row],[Steps]]),
))</f>
        <v>0</v>
      </c>
      <c r="E918">
        <f>_xlfn.LET(_xlpm.dir,Table1[[#This Row],[Direction]],
IF(_xlpm.dir="R",
    IF(F917+Table1[[#This Row],[Steps]]&gt;99,(F917+Table1[[#This Row],[Steps]])-100,F917+Table1[[#This Row],[Steps]]),
))</f>
        <v>0</v>
      </c>
      <c r="F918">
        <f>IF(Table1[[#This Row],[New Pos L]]&lt;&gt;0,Table1[[#This Row],[New Pos L]],Table1[[#This Row],[New Pos R]])</f>
        <v>0</v>
      </c>
    </row>
    <row r="919" spans="1:6" ht="16" x14ac:dyDescent="0.2">
      <c r="A919" s="1" t="s">
        <v>50</v>
      </c>
      <c r="B919" t="str">
        <f>LEFT(Table1[[#This Row],[Input]],1)</f>
        <v>R</v>
      </c>
      <c r="C919">
        <f>_xlfn.LET(_xlpm.steps,SUBSTITUTE(Table1[[#This Row],[Input]],Table1[[#This Row],[Direction]],""),VALUE(IF(LEN(_xlpm.steps)&gt;2,RIGHT(_xlpm.steps,2),_xlpm.steps)))</f>
        <v>78</v>
      </c>
      <c r="D919">
        <f>_xlfn.LET(_xlpm.dir,Table1[[#This Row],[Direction]],
IF(_xlpm.dir="L",
    IF(F918-Table1[[#This Row],[Steps]]&lt;0,100+(F918-Table1[[#This Row],[Steps]]),F918-Table1[[#This Row],[Steps]]),
))</f>
        <v>0</v>
      </c>
      <c r="E919">
        <f>_xlfn.LET(_xlpm.dir,Table1[[#This Row],[Direction]],
IF(_xlpm.dir="R",
    IF(F918+Table1[[#This Row],[Steps]]&gt;99,(F918+Table1[[#This Row],[Steps]])-100,F918+Table1[[#This Row],[Steps]]),
))</f>
        <v>78</v>
      </c>
      <c r="F919">
        <f>IF(Table1[[#This Row],[New Pos L]]&lt;&gt;0,Table1[[#This Row],[New Pos L]],Table1[[#This Row],[New Pos R]])</f>
        <v>78</v>
      </c>
    </row>
    <row r="920" spans="1:6" ht="16" x14ac:dyDescent="0.2">
      <c r="A920" s="1" t="s">
        <v>9</v>
      </c>
      <c r="B920" t="str">
        <f>LEFT(Table1[[#This Row],[Input]],1)</f>
        <v>L</v>
      </c>
      <c r="C920">
        <f>_xlfn.LET(_xlpm.steps,SUBSTITUTE(Table1[[#This Row],[Input]],Table1[[#This Row],[Direction]],""),VALUE(IF(LEN(_xlpm.steps)&gt;2,RIGHT(_xlpm.steps,2),_xlpm.steps)))</f>
        <v>9</v>
      </c>
      <c r="D920">
        <f>_xlfn.LET(_xlpm.dir,Table1[[#This Row],[Direction]],
IF(_xlpm.dir="L",
    IF(F919-Table1[[#This Row],[Steps]]&lt;0,100+(F919-Table1[[#This Row],[Steps]]),F919-Table1[[#This Row],[Steps]]),
))</f>
        <v>69</v>
      </c>
      <c r="E920">
        <f>_xlfn.LET(_xlpm.dir,Table1[[#This Row],[Direction]],
IF(_xlpm.dir="R",
    IF(F919+Table1[[#This Row],[Steps]]&gt;99,(F919+Table1[[#This Row],[Steps]])-100,F919+Table1[[#This Row],[Steps]]),
))</f>
        <v>0</v>
      </c>
      <c r="F920">
        <f>IF(Table1[[#This Row],[New Pos L]]&lt;&gt;0,Table1[[#This Row],[New Pos L]],Table1[[#This Row],[New Pos R]])</f>
        <v>69</v>
      </c>
    </row>
    <row r="921" spans="1:6" ht="16" x14ac:dyDescent="0.2">
      <c r="A921" s="1" t="s">
        <v>344</v>
      </c>
      <c r="B921" t="str">
        <f>LEFT(Table1[[#This Row],[Input]],1)</f>
        <v>R</v>
      </c>
      <c r="C921">
        <f>_xlfn.LET(_xlpm.steps,SUBSTITUTE(Table1[[#This Row],[Input]],Table1[[#This Row],[Direction]],""),VALUE(IF(LEN(_xlpm.steps)&gt;2,RIGHT(_xlpm.steps,2),_xlpm.steps)))</f>
        <v>9</v>
      </c>
      <c r="D921">
        <f>_xlfn.LET(_xlpm.dir,Table1[[#This Row],[Direction]],
IF(_xlpm.dir="L",
    IF(F920-Table1[[#This Row],[Steps]]&lt;0,100+(F920-Table1[[#This Row],[Steps]]),F920-Table1[[#This Row],[Steps]]),
))</f>
        <v>0</v>
      </c>
      <c r="E921">
        <f>_xlfn.LET(_xlpm.dir,Table1[[#This Row],[Direction]],
IF(_xlpm.dir="R",
    IF(F920+Table1[[#This Row],[Steps]]&gt;99,(F920+Table1[[#This Row],[Steps]])-100,F920+Table1[[#This Row],[Steps]]),
))</f>
        <v>78</v>
      </c>
      <c r="F921">
        <f>IF(Table1[[#This Row],[New Pos L]]&lt;&gt;0,Table1[[#This Row],[New Pos L]],Table1[[#This Row],[New Pos R]])</f>
        <v>78</v>
      </c>
    </row>
    <row r="922" spans="1:6" ht="16" x14ac:dyDescent="0.2">
      <c r="A922" s="1" t="s">
        <v>345</v>
      </c>
      <c r="B922" t="str">
        <f>LEFT(Table1[[#This Row],[Input]],1)</f>
        <v>L</v>
      </c>
      <c r="C922">
        <f>_xlfn.LET(_xlpm.steps,SUBSTITUTE(Table1[[#This Row],[Input]],Table1[[#This Row],[Direction]],""),VALUE(IF(LEN(_xlpm.steps)&gt;2,RIGHT(_xlpm.steps,2),_xlpm.steps)))</f>
        <v>78</v>
      </c>
      <c r="D922">
        <f>_xlfn.LET(_xlpm.dir,Table1[[#This Row],[Direction]],
IF(_xlpm.dir="L",
    IF(F921-Table1[[#This Row],[Steps]]&lt;0,100+(F921-Table1[[#This Row],[Steps]]),F921-Table1[[#This Row],[Steps]]),
))</f>
        <v>0</v>
      </c>
      <c r="E922">
        <f>_xlfn.LET(_xlpm.dir,Table1[[#This Row],[Direction]],
IF(_xlpm.dir="R",
    IF(F921+Table1[[#This Row],[Steps]]&gt;99,(F921+Table1[[#This Row],[Steps]])-100,F921+Table1[[#This Row],[Steps]]),
))</f>
        <v>0</v>
      </c>
      <c r="F922">
        <f>IF(Table1[[#This Row],[New Pos L]]&lt;&gt;0,Table1[[#This Row],[New Pos L]],Table1[[#This Row],[New Pos R]])</f>
        <v>0</v>
      </c>
    </row>
    <row r="923" spans="1:6" ht="16" x14ac:dyDescent="0.2">
      <c r="A923" s="1" t="s">
        <v>36</v>
      </c>
      <c r="B923" t="str">
        <f>LEFT(Table1[[#This Row],[Input]],1)</f>
        <v>R</v>
      </c>
      <c r="C923">
        <f>_xlfn.LET(_xlpm.steps,SUBSTITUTE(Table1[[#This Row],[Input]],Table1[[#This Row],[Direction]],""),VALUE(IF(LEN(_xlpm.steps)&gt;2,RIGHT(_xlpm.steps,2),_xlpm.steps)))</f>
        <v>50</v>
      </c>
      <c r="D923">
        <f>_xlfn.LET(_xlpm.dir,Table1[[#This Row],[Direction]],
IF(_xlpm.dir="L",
    IF(F922-Table1[[#This Row],[Steps]]&lt;0,100+(F922-Table1[[#This Row],[Steps]]),F922-Table1[[#This Row],[Steps]]),
))</f>
        <v>0</v>
      </c>
      <c r="E923">
        <f>_xlfn.LET(_xlpm.dir,Table1[[#This Row],[Direction]],
IF(_xlpm.dir="R",
    IF(F922+Table1[[#This Row],[Steps]]&gt;99,(F922+Table1[[#This Row],[Steps]])-100,F922+Table1[[#This Row],[Steps]]),
))</f>
        <v>50</v>
      </c>
      <c r="F923">
        <f>IF(Table1[[#This Row],[New Pos L]]&lt;&gt;0,Table1[[#This Row],[New Pos L]],Table1[[#This Row],[New Pos R]])</f>
        <v>50</v>
      </c>
    </row>
    <row r="924" spans="1:6" ht="16" x14ac:dyDescent="0.2">
      <c r="A924" s="1" t="s">
        <v>17</v>
      </c>
      <c r="B924" t="str">
        <f>LEFT(Table1[[#This Row],[Input]],1)</f>
        <v>L</v>
      </c>
      <c r="C924">
        <f>_xlfn.LET(_xlpm.steps,SUBSTITUTE(Table1[[#This Row],[Input]],Table1[[#This Row],[Direction]],""),VALUE(IF(LEN(_xlpm.steps)&gt;2,RIGHT(_xlpm.steps,2),_xlpm.steps)))</f>
        <v>50</v>
      </c>
      <c r="D924">
        <f>_xlfn.LET(_xlpm.dir,Table1[[#This Row],[Direction]],
IF(_xlpm.dir="L",
    IF(F923-Table1[[#This Row],[Steps]]&lt;0,100+(F923-Table1[[#This Row],[Steps]]),F923-Table1[[#This Row],[Steps]]),
))</f>
        <v>0</v>
      </c>
      <c r="E924">
        <f>_xlfn.LET(_xlpm.dir,Table1[[#This Row],[Direction]],
IF(_xlpm.dir="R",
    IF(F923+Table1[[#This Row],[Steps]]&gt;99,(F923+Table1[[#This Row],[Steps]])-100,F923+Table1[[#This Row],[Steps]]),
))</f>
        <v>0</v>
      </c>
      <c r="F924">
        <f>IF(Table1[[#This Row],[New Pos L]]&lt;&gt;0,Table1[[#This Row],[New Pos L]],Table1[[#This Row],[New Pos R]])</f>
        <v>0</v>
      </c>
    </row>
    <row r="925" spans="1:6" ht="16" x14ac:dyDescent="0.2">
      <c r="A925" s="1" t="s">
        <v>52</v>
      </c>
      <c r="B925" t="str">
        <f>LEFT(Table1[[#This Row],[Input]],1)</f>
        <v>R</v>
      </c>
      <c r="C925">
        <f>_xlfn.LET(_xlpm.steps,SUBSTITUTE(Table1[[#This Row],[Input]],Table1[[#This Row],[Direction]],""),VALUE(IF(LEN(_xlpm.steps)&gt;2,RIGHT(_xlpm.steps,2),_xlpm.steps)))</f>
        <v>11</v>
      </c>
      <c r="D925">
        <f>_xlfn.LET(_xlpm.dir,Table1[[#This Row],[Direction]],
IF(_xlpm.dir="L",
    IF(F924-Table1[[#This Row],[Steps]]&lt;0,100+(F924-Table1[[#This Row],[Steps]]),F924-Table1[[#This Row],[Steps]]),
))</f>
        <v>0</v>
      </c>
      <c r="E925">
        <f>_xlfn.LET(_xlpm.dir,Table1[[#This Row],[Direction]],
IF(_xlpm.dir="R",
    IF(F924+Table1[[#This Row],[Steps]]&gt;99,(F924+Table1[[#This Row],[Steps]])-100,F924+Table1[[#This Row],[Steps]]),
))</f>
        <v>11</v>
      </c>
      <c r="F925">
        <f>IF(Table1[[#This Row],[New Pos L]]&lt;&gt;0,Table1[[#This Row],[New Pos L]],Table1[[#This Row],[New Pos R]])</f>
        <v>11</v>
      </c>
    </row>
    <row r="926" spans="1:6" ht="16" x14ac:dyDescent="0.2">
      <c r="A926" s="1" t="s">
        <v>129</v>
      </c>
      <c r="B926" t="str">
        <f>LEFT(Table1[[#This Row],[Input]],1)</f>
        <v>R</v>
      </c>
      <c r="C926">
        <f>_xlfn.LET(_xlpm.steps,SUBSTITUTE(Table1[[#This Row],[Input]],Table1[[#This Row],[Direction]],""),VALUE(IF(LEN(_xlpm.steps)&gt;2,RIGHT(_xlpm.steps,2),_xlpm.steps)))</f>
        <v>8</v>
      </c>
      <c r="D926">
        <f>_xlfn.LET(_xlpm.dir,Table1[[#This Row],[Direction]],
IF(_xlpm.dir="L",
    IF(F925-Table1[[#This Row],[Steps]]&lt;0,100+(F925-Table1[[#This Row],[Steps]]),F925-Table1[[#This Row],[Steps]]),
))</f>
        <v>0</v>
      </c>
      <c r="E926">
        <f>_xlfn.LET(_xlpm.dir,Table1[[#This Row],[Direction]],
IF(_xlpm.dir="R",
    IF(F925+Table1[[#This Row],[Steps]]&gt;99,(F925+Table1[[#This Row],[Steps]])-100,F925+Table1[[#This Row],[Steps]]),
))</f>
        <v>19</v>
      </c>
      <c r="F926">
        <f>IF(Table1[[#This Row],[New Pos L]]&lt;&gt;0,Table1[[#This Row],[New Pos L]],Table1[[#This Row],[New Pos R]])</f>
        <v>19</v>
      </c>
    </row>
    <row r="927" spans="1:6" ht="16" x14ac:dyDescent="0.2">
      <c r="A927" s="1" t="s">
        <v>325</v>
      </c>
      <c r="B927" t="str">
        <f>LEFT(Table1[[#This Row],[Input]],1)</f>
        <v>L</v>
      </c>
      <c r="C927">
        <f>_xlfn.LET(_xlpm.steps,SUBSTITUTE(Table1[[#This Row],[Input]],Table1[[#This Row],[Direction]],""),VALUE(IF(LEN(_xlpm.steps)&gt;2,RIGHT(_xlpm.steps,2),_xlpm.steps)))</f>
        <v>68</v>
      </c>
      <c r="D927">
        <f>_xlfn.LET(_xlpm.dir,Table1[[#This Row],[Direction]],
IF(_xlpm.dir="L",
    IF(F926-Table1[[#This Row],[Steps]]&lt;0,100+(F926-Table1[[#This Row],[Steps]]),F926-Table1[[#This Row],[Steps]]),
))</f>
        <v>51</v>
      </c>
      <c r="E927">
        <f>_xlfn.LET(_xlpm.dir,Table1[[#This Row],[Direction]],
IF(_xlpm.dir="R",
    IF(F926+Table1[[#This Row],[Steps]]&gt;99,(F926+Table1[[#This Row],[Steps]])-100,F926+Table1[[#This Row],[Steps]]),
))</f>
        <v>0</v>
      </c>
      <c r="F927">
        <f>IF(Table1[[#This Row],[New Pos L]]&lt;&gt;0,Table1[[#This Row],[New Pos L]],Table1[[#This Row],[New Pos R]])</f>
        <v>51</v>
      </c>
    </row>
    <row r="928" spans="1:6" ht="16" x14ac:dyDescent="0.2">
      <c r="A928" s="1" t="s">
        <v>346</v>
      </c>
      <c r="B928" t="str">
        <f>LEFT(Table1[[#This Row],[Input]],1)</f>
        <v>L</v>
      </c>
      <c r="C928">
        <f>_xlfn.LET(_xlpm.steps,SUBSTITUTE(Table1[[#This Row],[Input]],Table1[[#This Row],[Direction]],""),VALUE(IF(LEN(_xlpm.steps)&gt;2,RIGHT(_xlpm.steps,2),_xlpm.steps)))</f>
        <v>61</v>
      </c>
      <c r="D928">
        <f>_xlfn.LET(_xlpm.dir,Table1[[#This Row],[Direction]],
IF(_xlpm.dir="L",
    IF(F927-Table1[[#This Row],[Steps]]&lt;0,100+(F927-Table1[[#This Row],[Steps]]),F927-Table1[[#This Row],[Steps]]),
))</f>
        <v>90</v>
      </c>
      <c r="E928">
        <f>_xlfn.LET(_xlpm.dir,Table1[[#This Row],[Direction]],
IF(_xlpm.dir="R",
    IF(F927+Table1[[#This Row],[Steps]]&gt;99,(F927+Table1[[#This Row],[Steps]])-100,F927+Table1[[#This Row],[Steps]]),
))</f>
        <v>0</v>
      </c>
      <c r="F928">
        <f>IF(Table1[[#This Row],[New Pos L]]&lt;&gt;0,Table1[[#This Row],[New Pos L]],Table1[[#This Row],[New Pos R]])</f>
        <v>90</v>
      </c>
    </row>
    <row r="929" spans="1:6" ht="16" x14ac:dyDescent="0.2">
      <c r="A929" s="1" t="s">
        <v>64</v>
      </c>
      <c r="B929" t="str">
        <f>LEFT(Table1[[#This Row],[Input]],1)</f>
        <v>R</v>
      </c>
      <c r="C929">
        <f>_xlfn.LET(_xlpm.steps,SUBSTITUTE(Table1[[#This Row],[Input]],Table1[[#This Row],[Direction]],""),VALUE(IF(LEN(_xlpm.steps)&gt;2,RIGHT(_xlpm.steps,2),_xlpm.steps)))</f>
        <v>10</v>
      </c>
      <c r="D929">
        <f>_xlfn.LET(_xlpm.dir,Table1[[#This Row],[Direction]],
IF(_xlpm.dir="L",
    IF(F928-Table1[[#This Row],[Steps]]&lt;0,100+(F928-Table1[[#This Row],[Steps]]),F928-Table1[[#This Row],[Steps]]),
))</f>
        <v>0</v>
      </c>
      <c r="E929">
        <f>_xlfn.LET(_xlpm.dir,Table1[[#This Row],[Direction]],
IF(_xlpm.dir="R",
    IF(F928+Table1[[#This Row],[Steps]]&gt;99,(F928+Table1[[#This Row],[Steps]])-100,F928+Table1[[#This Row],[Steps]]),
))</f>
        <v>0</v>
      </c>
      <c r="F929">
        <f>IF(Table1[[#This Row],[New Pos L]]&lt;&gt;0,Table1[[#This Row],[New Pos L]],Table1[[#This Row],[New Pos R]])</f>
        <v>0</v>
      </c>
    </row>
    <row r="930" spans="1:6" ht="16" x14ac:dyDescent="0.2">
      <c r="A930" s="1" t="s">
        <v>218</v>
      </c>
      <c r="B930" t="str">
        <f>LEFT(Table1[[#This Row],[Input]],1)</f>
        <v>R</v>
      </c>
      <c r="C930">
        <f>_xlfn.LET(_xlpm.steps,SUBSTITUTE(Table1[[#This Row],[Input]],Table1[[#This Row],[Direction]],""),VALUE(IF(LEN(_xlpm.steps)&gt;2,RIGHT(_xlpm.steps,2),_xlpm.steps)))</f>
        <v>35</v>
      </c>
      <c r="D930">
        <f>_xlfn.LET(_xlpm.dir,Table1[[#This Row],[Direction]],
IF(_xlpm.dir="L",
    IF(F929-Table1[[#This Row],[Steps]]&lt;0,100+(F929-Table1[[#This Row],[Steps]]),F929-Table1[[#This Row],[Steps]]),
))</f>
        <v>0</v>
      </c>
      <c r="E930">
        <f>_xlfn.LET(_xlpm.dir,Table1[[#This Row],[Direction]],
IF(_xlpm.dir="R",
    IF(F929+Table1[[#This Row],[Steps]]&gt;99,(F929+Table1[[#This Row],[Steps]])-100,F929+Table1[[#This Row],[Steps]]),
))</f>
        <v>35</v>
      </c>
      <c r="F930">
        <f>IF(Table1[[#This Row],[New Pos L]]&lt;&gt;0,Table1[[#This Row],[New Pos L]],Table1[[#This Row],[New Pos R]])</f>
        <v>35</v>
      </c>
    </row>
    <row r="931" spans="1:6" ht="16" x14ac:dyDescent="0.2">
      <c r="A931" s="1" t="s">
        <v>126</v>
      </c>
      <c r="B931" t="str">
        <f>LEFT(Table1[[#This Row],[Input]],1)</f>
        <v>R</v>
      </c>
      <c r="C931">
        <f>_xlfn.LET(_xlpm.steps,SUBSTITUTE(Table1[[#This Row],[Input]],Table1[[#This Row],[Direction]],""),VALUE(IF(LEN(_xlpm.steps)&gt;2,RIGHT(_xlpm.steps,2),_xlpm.steps)))</f>
        <v>65</v>
      </c>
      <c r="D931">
        <f>_xlfn.LET(_xlpm.dir,Table1[[#This Row],[Direction]],
IF(_xlpm.dir="L",
    IF(F930-Table1[[#This Row],[Steps]]&lt;0,100+(F930-Table1[[#This Row],[Steps]]),F930-Table1[[#This Row],[Steps]]),
))</f>
        <v>0</v>
      </c>
      <c r="E931">
        <f>_xlfn.LET(_xlpm.dir,Table1[[#This Row],[Direction]],
IF(_xlpm.dir="R",
    IF(F930+Table1[[#This Row],[Steps]]&gt;99,(F930+Table1[[#This Row],[Steps]])-100,F930+Table1[[#This Row],[Steps]]),
))</f>
        <v>0</v>
      </c>
      <c r="F931">
        <f>IF(Table1[[#This Row],[New Pos L]]&lt;&gt;0,Table1[[#This Row],[New Pos L]],Table1[[#This Row],[New Pos R]])</f>
        <v>0</v>
      </c>
    </row>
    <row r="932" spans="1:6" ht="16" x14ac:dyDescent="0.2">
      <c r="A932" s="1" t="s">
        <v>80</v>
      </c>
      <c r="B932" t="str">
        <f>LEFT(Table1[[#This Row],[Input]],1)</f>
        <v>L</v>
      </c>
      <c r="C932">
        <f>_xlfn.LET(_xlpm.steps,SUBSTITUTE(Table1[[#This Row],[Input]],Table1[[#This Row],[Direction]],""),VALUE(IF(LEN(_xlpm.steps)&gt;2,RIGHT(_xlpm.steps,2),_xlpm.steps)))</f>
        <v>48</v>
      </c>
      <c r="D932">
        <f>_xlfn.LET(_xlpm.dir,Table1[[#This Row],[Direction]],
IF(_xlpm.dir="L",
    IF(F931-Table1[[#This Row],[Steps]]&lt;0,100+(F931-Table1[[#This Row],[Steps]]),F931-Table1[[#This Row],[Steps]]),
))</f>
        <v>52</v>
      </c>
      <c r="E932">
        <f>_xlfn.LET(_xlpm.dir,Table1[[#This Row],[Direction]],
IF(_xlpm.dir="R",
    IF(F931+Table1[[#This Row],[Steps]]&gt;99,(F931+Table1[[#This Row],[Steps]])-100,F931+Table1[[#This Row],[Steps]]),
))</f>
        <v>0</v>
      </c>
      <c r="F932">
        <f>IF(Table1[[#This Row],[New Pos L]]&lt;&gt;0,Table1[[#This Row],[New Pos L]],Table1[[#This Row],[New Pos R]])</f>
        <v>52</v>
      </c>
    </row>
    <row r="933" spans="1:6" ht="16" x14ac:dyDescent="0.2">
      <c r="A933" s="1" t="s">
        <v>255</v>
      </c>
      <c r="B933" t="str">
        <f>LEFT(Table1[[#This Row],[Input]],1)</f>
        <v>R</v>
      </c>
      <c r="C933">
        <f>_xlfn.LET(_xlpm.steps,SUBSTITUTE(Table1[[#This Row],[Input]],Table1[[#This Row],[Direction]],""),VALUE(IF(LEN(_xlpm.steps)&gt;2,RIGHT(_xlpm.steps,2),_xlpm.steps)))</f>
        <v>16</v>
      </c>
      <c r="D933">
        <f>_xlfn.LET(_xlpm.dir,Table1[[#This Row],[Direction]],
IF(_xlpm.dir="L",
    IF(F932-Table1[[#This Row],[Steps]]&lt;0,100+(F932-Table1[[#This Row],[Steps]]),F932-Table1[[#This Row],[Steps]]),
))</f>
        <v>0</v>
      </c>
      <c r="E933">
        <f>_xlfn.LET(_xlpm.dir,Table1[[#This Row],[Direction]],
IF(_xlpm.dir="R",
    IF(F932+Table1[[#This Row],[Steps]]&gt;99,(F932+Table1[[#This Row],[Steps]])-100,F932+Table1[[#This Row],[Steps]]),
))</f>
        <v>68</v>
      </c>
      <c r="F933">
        <f>IF(Table1[[#This Row],[New Pos L]]&lt;&gt;0,Table1[[#This Row],[New Pos L]],Table1[[#This Row],[New Pos R]])</f>
        <v>68</v>
      </c>
    </row>
    <row r="934" spans="1:6" ht="16" x14ac:dyDescent="0.2">
      <c r="A934" s="1" t="s">
        <v>256</v>
      </c>
      <c r="B934" t="str">
        <f>LEFT(Table1[[#This Row],[Input]],1)</f>
        <v>R</v>
      </c>
      <c r="C934">
        <f>_xlfn.LET(_xlpm.steps,SUBSTITUTE(Table1[[#This Row],[Input]],Table1[[#This Row],[Direction]],""),VALUE(IF(LEN(_xlpm.steps)&gt;2,RIGHT(_xlpm.steps,2),_xlpm.steps)))</f>
        <v>13</v>
      </c>
      <c r="D934">
        <f>_xlfn.LET(_xlpm.dir,Table1[[#This Row],[Direction]],
IF(_xlpm.dir="L",
    IF(F933-Table1[[#This Row],[Steps]]&lt;0,100+(F933-Table1[[#This Row],[Steps]]),F933-Table1[[#This Row],[Steps]]),
))</f>
        <v>0</v>
      </c>
      <c r="E934">
        <f>_xlfn.LET(_xlpm.dir,Table1[[#This Row],[Direction]],
IF(_xlpm.dir="R",
    IF(F933+Table1[[#This Row],[Steps]]&gt;99,(F933+Table1[[#This Row],[Steps]])-100,F933+Table1[[#This Row],[Steps]]),
))</f>
        <v>81</v>
      </c>
      <c r="F934">
        <f>IF(Table1[[#This Row],[New Pos L]]&lt;&gt;0,Table1[[#This Row],[New Pos L]],Table1[[#This Row],[New Pos R]])</f>
        <v>81</v>
      </c>
    </row>
    <row r="935" spans="1:6" ht="16" x14ac:dyDescent="0.2">
      <c r="A935" s="1" t="s">
        <v>139</v>
      </c>
      <c r="B935" t="str">
        <f>LEFT(Table1[[#This Row],[Input]],1)</f>
        <v>R</v>
      </c>
      <c r="C935">
        <f>_xlfn.LET(_xlpm.steps,SUBSTITUTE(Table1[[#This Row],[Input]],Table1[[#This Row],[Direction]],""),VALUE(IF(LEN(_xlpm.steps)&gt;2,RIGHT(_xlpm.steps,2),_xlpm.steps)))</f>
        <v>38</v>
      </c>
      <c r="D935">
        <f>_xlfn.LET(_xlpm.dir,Table1[[#This Row],[Direction]],
IF(_xlpm.dir="L",
    IF(F934-Table1[[#This Row],[Steps]]&lt;0,100+(F934-Table1[[#This Row],[Steps]]),F934-Table1[[#This Row],[Steps]]),
))</f>
        <v>0</v>
      </c>
      <c r="E935">
        <f>_xlfn.LET(_xlpm.dir,Table1[[#This Row],[Direction]],
IF(_xlpm.dir="R",
    IF(F934+Table1[[#This Row],[Steps]]&gt;99,(F934+Table1[[#This Row],[Steps]])-100,F934+Table1[[#This Row],[Steps]]),
))</f>
        <v>19</v>
      </c>
      <c r="F935">
        <f>IF(Table1[[#This Row],[New Pos L]]&lt;&gt;0,Table1[[#This Row],[New Pos L]],Table1[[#This Row],[New Pos R]])</f>
        <v>19</v>
      </c>
    </row>
    <row r="936" spans="1:6" ht="16" x14ac:dyDescent="0.2">
      <c r="A936" s="1" t="s">
        <v>309</v>
      </c>
      <c r="B936" t="str">
        <f>LEFT(Table1[[#This Row],[Input]],1)</f>
        <v>L</v>
      </c>
      <c r="C936">
        <f>_xlfn.LET(_xlpm.steps,SUBSTITUTE(Table1[[#This Row],[Input]],Table1[[#This Row],[Direction]],""),VALUE(IF(LEN(_xlpm.steps)&gt;2,RIGHT(_xlpm.steps,2),_xlpm.steps)))</f>
        <v>41</v>
      </c>
      <c r="D936">
        <f>_xlfn.LET(_xlpm.dir,Table1[[#This Row],[Direction]],
IF(_xlpm.dir="L",
    IF(F935-Table1[[#This Row],[Steps]]&lt;0,100+(F935-Table1[[#This Row],[Steps]]),F935-Table1[[#This Row],[Steps]]),
))</f>
        <v>78</v>
      </c>
      <c r="E936">
        <f>_xlfn.LET(_xlpm.dir,Table1[[#This Row],[Direction]],
IF(_xlpm.dir="R",
    IF(F935+Table1[[#This Row],[Steps]]&gt;99,(F935+Table1[[#This Row],[Steps]])-100,F935+Table1[[#This Row],[Steps]]),
))</f>
        <v>0</v>
      </c>
      <c r="F936">
        <f>IF(Table1[[#This Row],[New Pos L]]&lt;&gt;0,Table1[[#This Row],[New Pos L]],Table1[[#This Row],[New Pos R]])</f>
        <v>78</v>
      </c>
    </row>
    <row r="937" spans="1:6" ht="16" x14ac:dyDescent="0.2">
      <c r="A937" s="1" t="s">
        <v>95</v>
      </c>
      <c r="B937" t="str">
        <f>LEFT(Table1[[#This Row],[Input]],1)</f>
        <v>L</v>
      </c>
      <c r="C937">
        <f>_xlfn.LET(_xlpm.steps,SUBSTITUTE(Table1[[#This Row],[Input]],Table1[[#This Row],[Direction]],""),VALUE(IF(LEN(_xlpm.steps)&gt;2,RIGHT(_xlpm.steps,2),_xlpm.steps)))</f>
        <v>78</v>
      </c>
      <c r="D937">
        <f>_xlfn.LET(_xlpm.dir,Table1[[#This Row],[Direction]],
IF(_xlpm.dir="L",
    IF(F936-Table1[[#This Row],[Steps]]&lt;0,100+(F936-Table1[[#This Row],[Steps]]),F936-Table1[[#This Row],[Steps]]),
))</f>
        <v>0</v>
      </c>
      <c r="E937">
        <f>_xlfn.LET(_xlpm.dir,Table1[[#This Row],[Direction]],
IF(_xlpm.dir="R",
    IF(F936+Table1[[#This Row],[Steps]]&gt;99,(F936+Table1[[#This Row],[Steps]])-100,F936+Table1[[#This Row],[Steps]]),
))</f>
        <v>0</v>
      </c>
      <c r="F937">
        <f>IF(Table1[[#This Row],[New Pos L]]&lt;&gt;0,Table1[[#This Row],[New Pos L]],Table1[[#This Row],[New Pos R]])</f>
        <v>0</v>
      </c>
    </row>
    <row r="938" spans="1:6" ht="16" x14ac:dyDescent="0.2">
      <c r="A938" s="1" t="s">
        <v>347</v>
      </c>
      <c r="B938" t="str">
        <f>LEFT(Table1[[#This Row],[Input]],1)</f>
        <v>R</v>
      </c>
      <c r="C938">
        <f>_xlfn.LET(_xlpm.steps,SUBSTITUTE(Table1[[#This Row],[Input]],Table1[[#This Row],[Direction]],""),VALUE(IF(LEN(_xlpm.steps)&gt;2,RIGHT(_xlpm.steps,2),_xlpm.steps)))</f>
        <v>25</v>
      </c>
      <c r="D938">
        <f>_xlfn.LET(_xlpm.dir,Table1[[#This Row],[Direction]],
IF(_xlpm.dir="L",
    IF(F937-Table1[[#This Row],[Steps]]&lt;0,100+(F937-Table1[[#This Row],[Steps]]),F937-Table1[[#This Row],[Steps]]),
))</f>
        <v>0</v>
      </c>
      <c r="E938">
        <f>_xlfn.LET(_xlpm.dir,Table1[[#This Row],[Direction]],
IF(_xlpm.dir="R",
    IF(F937+Table1[[#This Row],[Steps]]&gt;99,(F937+Table1[[#This Row],[Steps]])-100,F937+Table1[[#This Row],[Steps]]),
))</f>
        <v>25</v>
      </c>
      <c r="F938">
        <f>IF(Table1[[#This Row],[New Pos L]]&lt;&gt;0,Table1[[#This Row],[New Pos L]],Table1[[#This Row],[New Pos R]])</f>
        <v>25</v>
      </c>
    </row>
    <row r="939" spans="1:6" ht="16" x14ac:dyDescent="0.2">
      <c r="A939" s="1" t="s">
        <v>348</v>
      </c>
      <c r="B939" t="str">
        <f>LEFT(Table1[[#This Row],[Input]],1)</f>
        <v>R</v>
      </c>
      <c r="C939">
        <f>_xlfn.LET(_xlpm.steps,SUBSTITUTE(Table1[[#This Row],[Input]],Table1[[#This Row],[Direction]],""),VALUE(IF(LEN(_xlpm.steps)&gt;2,RIGHT(_xlpm.steps,2),_xlpm.steps)))</f>
        <v>48</v>
      </c>
      <c r="D939">
        <f>_xlfn.LET(_xlpm.dir,Table1[[#This Row],[Direction]],
IF(_xlpm.dir="L",
    IF(F938-Table1[[#This Row],[Steps]]&lt;0,100+(F938-Table1[[#This Row],[Steps]]),F938-Table1[[#This Row],[Steps]]),
))</f>
        <v>0</v>
      </c>
      <c r="E939">
        <f>_xlfn.LET(_xlpm.dir,Table1[[#This Row],[Direction]],
IF(_xlpm.dir="R",
    IF(F938+Table1[[#This Row],[Steps]]&gt;99,(F938+Table1[[#This Row],[Steps]])-100,F938+Table1[[#This Row],[Steps]]),
))</f>
        <v>73</v>
      </c>
      <c r="F939">
        <f>IF(Table1[[#This Row],[New Pos L]]&lt;&gt;0,Table1[[#This Row],[New Pos L]],Table1[[#This Row],[New Pos R]])</f>
        <v>73</v>
      </c>
    </row>
    <row r="940" spans="1:6" ht="16" x14ac:dyDescent="0.2">
      <c r="A940" s="1" t="s">
        <v>7</v>
      </c>
      <c r="B940" t="str">
        <f>LEFT(Table1[[#This Row],[Input]],1)</f>
        <v>R</v>
      </c>
      <c r="C940">
        <f>_xlfn.LET(_xlpm.steps,SUBSTITUTE(Table1[[#This Row],[Input]],Table1[[#This Row],[Direction]],""),VALUE(IF(LEN(_xlpm.steps)&gt;2,RIGHT(_xlpm.steps,2),_xlpm.steps)))</f>
        <v>14</v>
      </c>
      <c r="D940">
        <f>_xlfn.LET(_xlpm.dir,Table1[[#This Row],[Direction]],
IF(_xlpm.dir="L",
    IF(F939-Table1[[#This Row],[Steps]]&lt;0,100+(F939-Table1[[#This Row],[Steps]]),F939-Table1[[#This Row],[Steps]]),
))</f>
        <v>0</v>
      </c>
      <c r="E940">
        <f>_xlfn.LET(_xlpm.dir,Table1[[#This Row],[Direction]],
IF(_xlpm.dir="R",
    IF(F939+Table1[[#This Row],[Steps]]&gt;99,(F939+Table1[[#This Row],[Steps]])-100,F939+Table1[[#This Row],[Steps]]),
))</f>
        <v>87</v>
      </c>
      <c r="F940">
        <f>IF(Table1[[#This Row],[New Pos L]]&lt;&gt;0,Table1[[#This Row],[New Pos L]],Table1[[#This Row],[New Pos R]])</f>
        <v>87</v>
      </c>
    </row>
    <row r="941" spans="1:6" ht="16" x14ac:dyDescent="0.2">
      <c r="A941" s="1" t="s">
        <v>244</v>
      </c>
      <c r="B941" t="str">
        <f>LEFT(Table1[[#This Row],[Input]],1)</f>
        <v>L</v>
      </c>
      <c r="C941">
        <f>_xlfn.LET(_xlpm.steps,SUBSTITUTE(Table1[[#This Row],[Input]],Table1[[#This Row],[Direction]],""),VALUE(IF(LEN(_xlpm.steps)&gt;2,RIGHT(_xlpm.steps,2),_xlpm.steps)))</f>
        <v>98</v>
      </c>
      <c r="D941">
        <f>_xlfn.LET(_xlpm.dir,Table1[[#This Row],[Direction]],
IF(_xlpm.dir="L",
    IF(F940-Table1[[#This Row],[Steps]]&lt;0,100+(F940-Table1[[#This Row],[Steps]]),F940-Table1[[#This Row],[Steps]]),
))</f>
        <v>89</v>
      </c>
      <c r="E941">
        <f>_xlfn.LET(_xlpm.dir,Table1[[#This Row],[Direction]],
IF(_xlpm.dir="R",
    IF(F940+Table1[[#This Row],[Steps]]&gt;99,(F940+Table1[[#This Row],[Steps]])-100,F940+Table1[[#This Row],[Steps]]),
))</f>
        <v>0</v>
      </c>
      <c r="F941">
        <f>IF(Table1[[#This Row],[New Pos L]]&lt;&gt;0,Table1[[#This Row],[New Pos L]],Table1[[#This Row],[New Pos R]])</f>
        <v>89</v>
      </c>
    </row>
    <row r="942" spans="1:6" ht="16" x14ac:dyDescent="0.2">
      <c r="A942" s="1" t="s">
        <v>349</v>
      </c>
      <c r="B942" t="str">
        <f>LEFT(Table1[[#This Row],[Input]],1)</f>
        <v>L</v>
      </c>
      <c r="C942">
        <f>_xlfn.LET(_xlpm.steps,SUBSTITUTE(Table1[[#This Row],[Input]],Table1[[#This Row],[Direction]],""),VALUE(IF(LEN(_xlpm.steps)&gt;2,RIGHT(_xlpm.steps,2),_xlpm.steps)))</f>
        <v>89</v>
      </c>
      <c r="D942">
        <f>_xlfn.LET(_xlpm.dir,Table1[[#This Row],[Direction]],
IF(_xlpm.dir="L",
    IF(F941-Table1[[#This Row],[Steps]]&lt;0,100+(F941-Table1[[#This Row],[Steps]]),F941-Table1[[#This Row],[Steps]]),
))</f>
        <v>0</v>
      </c>
      <c r="E942">
        <f>_xlfn.LET(_xlpm.dir,Table1[[#This Row],[Direction]],
IF(_xlpm.dir="R",
    IF(F941+Table1[[#This Row],[Steps]]&gt;99,(F941+Table1[[#This Row],[Steps]])-100,F941+Table1[[#This Row],[Steps]]),
))</f>
        <v>0</v>
      </c>
      <c r="F942">
        <f>IF(Table1[[#This Row],[New Pos L]]&lt;&gt;0,Table1[[#This Row],[New Pos L]],Table1[[#This Row],[New Pos R]])</f>
        <v>0</v>
      </c>
    </row>
    <row r="943" spans="1:6" ht="16" x14ac:dyDescent="0.2">
      <c r="A943" s="1" t="s">
        <v>267</v>
      </c>
      <c r="B943" t="str">
        <f>LEFT(Table1[[#This Row],[Input]],1)</f>
        <v>L</v>
      </c>
      <c r="C943">
        <f>_xlfn.LET(_xlpm.steps,SUBSTITUTE(Table1[[#This Row],[Input]],Table1[[#This Row],[Direction]],""),VALUE(IF(LEN(_xlpm.steps)&gt;2,RIGHT(_xlpm.steps,2),_xlpm.steps)))</f>
        <v>39</v>
      </c>
      <c r="D943">
        <f>_xlfn.LET(_xlpm.dir,Table1[[#This Row],[Direction]],
IF(_xlpm.dir="L",
    IF(F942-Table1[[#This Row],[Steps]]&lt;0,100+(F942-Table1[[#This Row],[Steps]]),F942-Table1[[#This Row],[Steps]]),
))</f>
        <v>61</v>
      </c>
      <c r="E943">
        <f>_xlfn.LET(_xlpm.dir,Table1[[#This Row],[Direction]],
IF(_xlpm.dir="R",
    IF(F942+Table1[[#This Row],[Steps]]&gt;99,(F942+Table1[[#This Row],[Steps]])-100,F942+Table1[[#This Row],[Steps]]),
))</f>
        <v>0</v>
      </c>
      <c r="F943">
        <f>IF(Table1[[#This Row],[New Pos L]]&lt;&gt;0,Table1[[#This Row],[New Pos L]],Table1[[#This Row],[New Pos R]])</f>
        <v>61</v>
      </c>
    </row>
    <row r="944" spans="1:6" ht="16" x14ac:dyDescent="0.2">
      <c r="A944" s="1" t="s">
        <v>102</v>
      </c>
      <c r="B944" t="str">
        <f>LEFT(Table1[[#This Row],[Input]],1)</f>
        <v>R</v>
      </c>
      <c r="C944">
        <f>_xlfn.LET(_xlpm.steps,SUBSTITUTE(Table1[[#This Row],[Input]],Table1[[#This Row],[Direction]],""),VALUE(IF(LEN(_xlpm.steps)&gt;2,RIGHT(_xlpm.steps,2),_xlpm.steps)))</f>
        <v>39</v>
      </c>
      <c r="D944">
        <f>_xlfn.LET(_xlpm.dir,Table1[[#This Row],[Direction]],
IF(_xlpm.dir="L",
    IF(F943-Table1[[#This Row],[Steps]]&lt;0,100+(F943-Table1[[#This Row],[Steps]]),F943-Table1[[#This Row],[Steps]]),
))</f>
        <v>0</v>
      </c>
      <c r="E944">
        <f>_xlfn.LET(_xlpm.dir,Table1[[#This Row],[Direction]],
IF(_xlpm.dir="R",
    IF(F943+Table1[[#This Row],[Steps]]&gt;99,(F943+Table1[[#This Row],[Steps]])-100,F943+Table1[[#This Row],[Steps]]),
))</f>
        <v>0</v>
      </c>
      <c r="F944">
        <f>IF(Table1[[#This Row],[New Pos L]]&lt;&gt;0,Table1[[#This Row],[New Pos L]],Table1[[#This Row],[New Pos R]])</f>
        <v>0</v>
      </c>
    </row>
    <row r="945" spans="1:6" ht="16" x14ac:dyDescent="0.2">
      <c r="A945" s="1" t="s">
        <v>350</v>
      </c>
      <c r="B945" t="str">
        <f>LEFT(Table1[[#This Row],[Input]],1)</f>
        <v>R</v>
      </c>
      <c r="C945">
        <f>_xlfn.LET(_xlpm.steps,SUBSTITUTE(Table1[[#This Row],[Input]],Table1[[#This Row],[Direction]],""),VALUE(IF(LEN(_xlpm.steps)&gt;2,RIGHT(_xlpm.steps,2),_xlpm.steps)))</f>
        <v>92</v>
      </c>
      <c r="D945">
        <f>_xlfn.LET(_xlpm.dir,Table1[[#This Row],[Direction]],
IF(_xlpm.dir="L",
    IF(F944-Table1[[#This Row],[Steps]]&lt;0,100+(F944-Table1[[#This Row],[Steps]]),F944-Table1[[#This Row],[Steps]]),
))</f>
        <v>0</v>
      </c>
      <c r="E945">
        <f>_xlfn.LET(_xlpm.dir,Table1[[#This Row],[Direction]],
IF(_xlpm.dir="R",
    IF(F944+Table1[[#This Row],[Steps]]&gt;99,(F944+Table1[[#This Row],[Steps]])-100,F944+Table1[[#This Row],[Steps]]),
))</f>
        <v>92</v>
      </c>
      <c r="F945">
        <f>IF(Table1[[#This Row],[New Pos L]]&lt;&gt;0,Table1[[#This Row],[New Pos L]],Table1[[#This Row],[New Pos R]])</f>
        <v>92</v>
      </c>
    </row>
    <row r="946" spans="1:6" ht="16" x14ac:dyDescent="0.2">
      <c r="A946" s="1" t="s">
        <v>351</v>
      </c>
      <c r="B946" t="str">
        <f>LEFT(Table1[[#This Row],[Input]],1)</f>
        <v>R</v>
      </c>
      <c r="C946">
        <f>_xlfn.LET(_xlpm.steps,SUBSTITUTE(Table1[[#This Row],[Input]],Table1[[#This Row],[Direction]],""),VALUE(IF(LEN(_xlpm.steps)&gt;2,RIGHT(_xlpm.steps,2),_xlpm.steps)))</f>
        <v>8</v>
      </c>
      <c r="D946">
        <f>_xlfn.LET(_xlpm.dir,Table1[[#This Row],[Direction]],
IF(_xlpm.dir="L",
    IF(F945-Table1[[#This Row],[Steps]]&lt;0,100+(F945-Table1[[#This Row],[Steps]]),F945-Table1[[#This Row],[Steps]]),
))</f>
        <v>0</v>
      </c>
      <c r="E946">
        <f>_xlfn.LET(_xlpm.dir,Table1[[#This Row],[Direction]],
IF(_xlpm.dir="R",
    IF(F945+Table1[[#This Row],[Steps]]&gt;99,(F945+Table1[[#This Row],[Steps]])-100,F945+Table1[[#This Row],[Steps]]),
))</f>
        <v>0</v>
      </c>
      <c r="F946">
        <f>IF(Table1[[#This Row],[New Pos L]]&lt;&gt;0,Table1[[#This Row],[New Pos L]],Table1[[#This Row],[New Pos R]])</f>
        <v>0</v>
      </c>
    </row>
    <row r="947" spans="1:6" ht="16" x14ac:dyDescent="0.2">
      <c r="A947" s="1" t="s">
        <v>7</v>
      </c>
      <c r="B947" t="str">
        <f>LEFT(Table1[[#This Row],[Input]],1)</f>
        <v>R</v>
      </c>
      <c r="C947">
        <f>_xlfn.LET(_xlpm.steps,SUBSTITUTE(Table1[[#This Row],[Input]],Table1[[#This Row],[Direction]],""),VALUE(IF(LEN(_xlpm.steps)&gt;2,RIGHT(_xlpm.steps,2),_xlpm.steps)))</f>
        <v>14</v>
      </c>
      <c r="D947">
        <f>_xlfn.LET(_xlpm.dir,Table1[[#This Row],[Direction]],
IF(_xlpm.dir="L",
    IF(F946-Table1[[#This Row],[Steps]]&lt;0,100+(F946-Table1[[#This Row],[Steps]]),F946-Table1[[#This Row],[Steps]]),
))</f>
        <v>0</v>
      </c>
      <c r="E947">
        <f>_xlfn.LET(_xlpm.dir,Table1[[#This Row],[Direction]],
IF(_xlpm.dir="R",
    IF(F946+Table1[[#This Row],[Steps]]&gt;99,(F946+Table1[[#This Row],[Steps]])-100,F946+Table1[[#This Row],[Steps]]),
))</f>
        <v>14</v>
      </c>
      <c r="F947">
        <f>IF(Table1[[#This Row],[New Pos L]]&lt;&gt;0,Table1[[#This Row],[New Pos L]],Table1[[#This Row],[New Pos R]])</f>
        <v>14</v>
      </c>
    </row>
    <row r="948" spans="1:6" ht="16" x14ac:dyDescent="0.2">
      <c r="A948" s="1" t="s">
        <v>352</v>
      </c>
      <c r="B948" t="str">
        <f>LEFT(Table1[[#This Row],[Input]],1)</f>
        <v>L</v>
      </c>
      <c r="C948">
        <f>_xlfn.LET(_xlpm.steps,SUBSTITUTE(Table1[[#This Row],[Input]],Table1[[#This Row],[Direction]],""),VALUE(IF(LEN(_xlpm.steps)&gt;2,RIGHT(_xlpm.steps,2),_xlpm.steps)))</f>
        <v>99</v>
      </c>
      <c r="D948">
        <f>_xlfn.LET(_xlpm.dir,Table1[[#This Row],[Direction]],
IF(_xlpm.dir="L",
    IF(F947-Table1[[#This Row],[Steps]]&lt;0,100+(F947-Table1[[#This Row],[Steps]]),F947-Table1[[#This Row],[Steps]]),
))</f>
        <v>15</v>
      </c>
      <c r="E948">
        <f>_xlfn.LET(_xlpm.dir,Table1[[#This Row],[Direction]],
IF(_xlpm.dir="R",
    IF(F947+Table1[[#This Row],[Steps]]&gt;99,(F947+Table1[[#This Row],[Steps]])-100,F947+Table1[[#This Row],[Steps]]),
))</f>
        <v>0</v>
      </c>
      <c r="F948">
        <f>IF(Table1[[#This Row],[New Pos L]]&lt;&gt;0,Table1[[#This Row],[New Pos L]],Table1[[#This Row],[New Pos R]])</f>
        <v>15</v>
      </c>
    </row>
    <row r="949" spans="1:6" ht="16" x14ac:dyDescent="0.2">
      <c r="A949" s="1" t="s">
        <v>148</v>
      </c>
      <c r="B949" t="str">
        <f>LEFT(Table1[[#This Row],[Input]],1)</f>
        <v>R</v>
      </c>
      <c r="C949">
        <f>_xlfn.LET(_xlpm.steps,SUBSTITUTE(Table1[[#This Row],[Input]],Table1[[#This Row],[Direction]],""),VALUE(IF(LEN(_xlpm.steps)&gt;2,RIGHT(_xlpm.steps,2),_xlpm.steps)))</f>
        <v>80</v>
      </c>
      <c r="D949">
        <f>_xlfn.LET(_xlpm.dir,Table1[[#This Row],[Direction]],
IF(_xlpm.dir="L",
    IF(F948-Table1[[#This Row],[Steps]]&lt;0,100+(F948-Table1[[#This Row],[Steps]]),F948-Table1[[#This Row],[Steps]]),
))</f>
        <v>0</v>
      </c>
      <c r="E949">
        <f>_xlfn.LET(_xlpm.dir,Table1[[#This Row],[Direction]],
IF(_xlpm.dir="R",
    IF(F948+Table1[[#This Row],[Steps]]&gt;99,(F948+Table1[[#This Row],[Steps]])-100,F948+Table1[[#This Row],[Steps]]),
))</f>
        <v>95</v>
      </c>
      <c r="F949">
        <f>IF(Table1[[#This Row],[New Pos L]]&lt;&gt;0,Table1[[#This Row],[New Pos L]],Table1[[#This Row],[New Pos R]])</f>
        <v>95</v>
      </c>
    </row>
    <row r="950" spans="1:6" ht="16" x14ac:dyDescent="0.2">
      <c r="A950" s="1" t="s">
        <v>134</v>
      </c>
      <c r="B950" t="str">
        <f>LEFT(Table1[[#This Row],[Input]],1)</f>
        <v>L</v>
      </c>
      <c r="C950">
        <f>_xlfn.LET(_xlpm.steps,SUBSTITUTE(Table1[[#This Row],[Input]],Table1[[#This Row],[Direction]],""),VALUE(IF(LEN(_xlpm.steps)&gt;2,RIGHT(_xlpm.steps,2),_xlpm.steps)))</f>
        <v>95</v>
      </c>
      <c r="D950">
        <f>_xlfn.LET(_xlpm.dir,Table1[[#This Row],[Direction]],
IF(_xlpm.dir="L",
    IF(F949-Table1[[#This Row],[Steps]]&lt;0,100+(F949-Table1[[#This Row],[Steps]]),F949-Table1[[#This Row],[Steps]]),
))</f>
        <v>0</v>
      </c>
      <c r="E950">
        <f>_xlfn.LET(_xlpm.dir,Table1[[#This Row],[Direction]],
IF(_xlpm.dir="R",
    IF(F949+Table1[[#This Row],[Steps]]&gt;99,(F949+Table1[[#This Row],[Steps]])-100,F949+Table1[[#This Row],[Steps]]),
))</f>
        <v>0</v>
      </c>
      <c r="F950">
        <f>IF(Table1[[#This Row],[New Pos L]]&lt;&gt;0,Table1[[#This Row],[New Pos L]],Table1[[#This Row],[New Pos R]])</f>
        <v>0</v>
      </c>
    </row>
    <row r="951" spans="1:6" ht="16" x14ac:dyDescent="0.2">
      <c r="A951" s="1" t="s">
        <v>0</v>
      </c>
      <c r="B951" t="str">
        <f>LEFT(Table1[[#This Row],[Input]],1)</f>
        <v>L</v>
      </c>
      <c r="C951">
        <f>_xlfn.LET(_xlpm.steps,SUBSTITUTE(Table1[[#This Row],[Input]],Table1[[#This Row],[Direction]],""),VALUE(IF(LEN(_xlpm.steps)&gt;2,RIGHT(_xlpm.steps,2),_xlpm.steps)))</f>
        <v>44</v>
      </c>
      <c r="D951">
        <f>_xlfn.LET(_xlpm.dir,Table1[[#This Row],[Direction]],
IF(_xlpm.dir="L",
    IF(F950-Table1[[#This Row],[Steps]]&lt;0,100+(F950-Table1[[#This Row],[Steps]]),F950-Table1[[#This Row],[Steps]]),
))</f>
        <v>56</v>
      </c>
      <c r="E951">
        <f>_xlfn.LET(_xlpm.dir,Table1[[#This Row],[Direction]],
IF(_xlpm.dir="R",
    IF(F950+Table1[[#This Row],[Steps]]&gt;99,(F950+Table1[[#This Row],[Steps]])-100,F950+Table1[[#This Row],[Steps]]),
))</f>
        <v>0</v>
      </c>
      <c r="F951">
        <f>IF(Table1[[#This Row],[New Pos L]]&lt;&gt;0,Table1[[#This Row],[New Pos L]],Table1[[#This Row],[New Pos R]])</f>
        <v>56</v>
      </c>
    </row>
    <row r="952" spans="1:6" ht="16" x14ac:dyDescent="0.2">
      <c r="A952" s="1" t="s">
        <v>76</v>
      </c>
      <c r="B952" t="str">
        <f>LEFT(Table1[[#This Row],[Input]],1)</f>
        <v>R</v>
      </c>
      <c r="C952">
        <f>_xlfn.LET(_xlpm.steps,SUBSTITUTE(Table1[[#This Row],[Input]],Table1[[#This Row],[Direction]],""),VALUE(IF(LEN(_xlpm.steps)&gt;2,RIGHT(_xlpm.steps,2),_xlpm.steps)))</f>
        <v>37</v>
      </c>
      <c r="D952">
        <f>_xlfn.LET(_xlpm.dir,Table1[[#This Row],[Direction]],
IF(_xlpm.dir="L",
    IF(F951-Table1[[#This Row],[Steps]]&lt;0,100+(F951-Table1[[#This Row],[Steps]]),F951-Table1[[#This Row],[Steps]]),
))</f>
        <v>0</v>
      </c>
      <c r="E952">
        <f>_xlfn.LET(_xlpm.dir,Table1[[#This Row],[Direction]],
IF(_xlpm.dir="R",
    IF(F951+Table1[[#This Row],[Steps]]&gt;99,(F951+Table1[[#This Row],[Steps]])-100,F951+Table1[[#This Row],[Steps]]),
))</f>
        <v>93</v>
      </c>
      <c r="F952">
        <f>IF(Table1[[#This Row],[New Pos L]]&lt;&gt;0,Table1[[#This Row],[New Pos L]],Table1[[#This Row],[New Pos R]])</f>
        <v>93</v>
      </c>
    </row>
    <row r="953" spans="1:6" ht="16" x14ac:dyDescent="0.2">
      <c r="A953" s="1" t="s">
        <v>353</v>
      </c>
      <c r="B953" t="str">
        <f>LEFT(Table1[[#This Row],[Input]],1)</f>
        <v>R</v>
      </c>
      <c r="C953">
        <f>_xlfn.LET(_xlpm.steps,SUBSTITUTE(Table1[[#This Row],[Input]],Table1[[#This Row],[Direction]],""),VALUE(IF(LEN(_xlpm.steps)&gt;2,RIGHT(_xlpm.steps,2),_xlpm.steps)))</f>
        <v>7</v>
      </c>
      <c r="D953">
        <f>_xlfn.LET(_xlpm.dir,Table1[[#This Row],[Direction]],
IF(_xlpm.dir="L",
    IF(F952-Table1[[#This Row],[Steps]]&lt;0,100+(F952-Table1[[#This Row],[Steps]]),F952-Table1[[#This Row],[Steps]]),
))</f>
        <v>0</v>
      </c>
      <c r="E953">
        <f>_xlfn.LET(_xlpm.dir,Table1[[#This Row],[Direction]],
IF(_xlpm.dir="R",
    IF(F952+Table1[[#This Row],[Steps]]&gt;99,(F952+Table1[[#This Row],[Steps]])-100,F952+Table1[[#This Row],[Steps]]),
))</f>
        <v>0</v>
      </c>
      <c r="F953">
        <f>IF(Table1[[#This Row],[New Pos L]]&lt;&gt;0,Table1[[#This Row],[New Pos L]],Table1[[#This Row],[New Pos R]])</f>
        <v>0</v>
      </c>
    </row>
    <row r="954" spans="1:6" ht="16" x14ac:dyDescent="0.2">
      <c r="A954" s="1" t="s">
        <v>105</v>
      </c>
      <c r="B954" t="str">
        <f>LEFT(Table1[[#This Row],[Input]],1)</f>
        <v>R</v>
      </c>
      <c r="C954">
        <f>_xlfn.LET(_xlpm.steps,SUBSTITUTE(Table1[[#This Row],[Input]],Table1[[#This Row],[Direction]],""),VALUE(IF(LEN(_xlpm.steps)&gt;2,RIGHT(_xlpm.steps,2),_xlpm.steps)))</f>
        <v>98</v>
      </c>
      <c r="D954">
        <f>_xlfn.LET(_xlpm.dir,Table1[[#This Row],[Direction]],
IF(_xlpm.dir="L",
    IF(F953-Table1[[#This Row],[Steps]]&lt;0,100+(F953-Table1[[#This Row],[Steps]]),F953-Table1[[#This Row],[Steps]]),
))</f>
        <v>0</v>
      </c>
      <c r="E954">
        <f>_xlfn.LET(_xlpm.dir,Table1[[#This Row],[Direction]],
IF(_xlpm.dir="R",
    IF(F953+Table1[[#This Row],[Steps]]&gt;99,(F953+Table1[[#This Row],[Steps]])-100,F953+Table1[[#This Row],[Steps]]),
))</f>
        <v>98</v>
      </c>
      <c r="F954">
        <f>IF(Table1[[#This Row],[New Pos L]]&lt;&gt;0,Table1[[#This Row],[New Pos L]],Table1[[#This Row],[New Pos R]])</f>
        <v>98</v>
      </c>
    </row>
    <row r="955" spans="1:6" ht="16" x14ac:dyDescent="0.2">
      <c r="A955" s="1" t="s">
        <v>69</v>
      </c>
      <c r="B955" t="str">
        <f>LEFT(Table1[[#This Row],[Input]],1)</f>
        <v>R</v>
      </c>
      <c r="C955">
        <f>_xlfn.LET(_xlpm.steps,SUBSTITUTE(Table1[[#This Row],[Input]],Table1[[#This Row],[Direction]],""),VALUE(IF(LEN(_xlpm.steps)&gt;2,RIGHT(_xlpm.steps,2),_xlpm.steps)))</f>
        <v>27</v>
      </c>
      <c r="D955">
        <f>_xlfn.LET(_xlpm.dir,Table1[[#This Row],[Direction]],
IF(_xlpm.dir="L",
    IF(F954-Table1[[#This Row],[Steps]]&lt;0,100+(F954-Table1[[#This Row],[Steps]]),F954-Table1[[#This Row],[Steps]]),
))</f>
        <v>0</v>
      </c>
      <c r="E955">
        <f>_xlfn.LET(_xlpm.dir,Table1[[#This Row],[Direction]],
IF(_xlpm.dir="R",
    IF(F954+Table1[[#This Row],[Steps]]&gt;99,(F954+Table1[[#This Row],[Steps]])-100,F954+Table1[[#This Row],[Steps]]),
))</f>
        <v>25</v>
      </c>
      <c r="F955">
        <f>IF(Table1[[#This Row],[New Pos L]]&lt;&gt;0,Table1[[#This Row],[New Pos L]],Table1[[#This Row],[New Pos R]])</f>
        <v>25</v>
      </c>
    </row>
    <row r="956" spans="1:6" ht="16" x14ac:dyDescent="0.2">
      <c r="A956" s="1" t="s">
        <v>354</v>
      </c>
      <c r="B956" t="str">
        <f>LEFT(Table1[[#This Row],[Input]],1)</f>
        <v>R</v>
      </c>
      <c r="C956">
        <f>_xlfn.LET(_xlpm.steps,SUBSTITUTE(Table1[[#This Row],[Input]],Table1[[#This Row],[Direction]],""),VALUE(IF(LEN(_xlpm.steps)&gt;2,RIGHT(_xlpm.steps,2),_xlpm.steps)))</f>
        <v>74</v>
      </c>
      <c r="D956">
        <f>_xlfn.LET(_xlpm.dir,Table1[[#This Row],[Direction]],
IF(_xlpm.dir="L",
    IF(F955-Table1[[#This Row],[Steps]]&lt;0,100+(F955-Table1[[#This Row],[Steps]]),F955-Table1[[#This Row],[Steps]]),
))</f>
        <v>0</v>
      </c>
      <c r="E956">
        <f>_xlfn.LET(_xlpm.dir,Table1[[#This Row],[Direction]],
IF(_xlpm.dir="R",
    IF(F955+Table1[[#This Row],[Steps]]&gt;99,(F955+Table1[[#This Row],[Steps]])-100,F955+Table1[[#This Row],[Steps]]),
))</f>
        <v>99</v>
      </c>
      <c r="F956">
        <f>IF(Table1[[#This Row],[New Pos L]]&lt;&gt;0,Table1[[#This Row],[New Pos L]],Table1[[#This Row],[New Pos R]])</f>
        <v>99</v>
      </c>
    </row>
    <row r="957" spans="1:6" ht="16" x14ac:dyDescent="0.2">
      <c r="A957" s="1" t="s">
        <v>110</v>
      </c>
      <c r="B957" t="str">
        <f>LEFT(Table1[[#This Row],[Input]],1)</f>
        <v>L</v>
      </c>
      <c r="C957">
        <f>_xlfn.LET(_xlpm.steps,SUBSTITUTE(Table1[[#This Row],[Input]],Table1[[#This Row],[Direction]],""),VALUE(IF(LEN(_xlpm.steps)&gt;2,RIGHT(_xlpm.steps,2),_xlpm.steps)))</f>
        <v>81</v>
      </c>
      <c r="D957">
        <f>_xlfn.LET(_xlpm.dir,Table1[[#This Row],[Direction]],
IF(_xlpm.dir="L",
    IF(F956-Table1[[#This Row],[Steps]]&lt;0,100+(F956-Table1[[#This Row],[Steps]]),F956-Table1[[#This Row],[Steps]]),
))</f>
        <v>18</v>
      </c>
      <c r="E957">
        <f>_xlfn.LET(_xlpm.dir,Table1[[#This Row],[Direction]],
IF(_xlpm.dir="R",
    IF(F956+Table1[[#This Row],[Steps]]&gt;99,(F956+Table1[[#This Row],[Steps]])-100,F956+Table1[[#This Row],[Steps]]),
))</f>
        <v>0</v>
      </c>
      <c r="F957">
        <f>IF(Table1[[#This Row],[New Pos L]]&lt;&gt;0,Table1[[#This Row],[New Pos L]],Table1[[#This Row],[New Pos R]])</f>
        <v>18</v>
      </c>
    </row>
    <row r="958" spans="1:6" ht="16" x14ac:dyDescent="0.2">
      <c r="A958" s="1" t="s">
        <v>155</v>
      </c>
      <c r="B958" t="str">
        <f>LEFT(Table1[[#This Row],[Input]],1)</f>
        <v>L</v>
      </c>
      <c r="C958">
        <f>_xlfn.LET(_xlpm.steps,SUBSTITUTE(Table1[[#This Row],[Input]],Table1[[#This Row],[Direction]],""),VALUE(IF(LEN(_xlpm.steps)&gt;2,RIGHT(_xlpm.steps,2),_xlpm.steps)))</f>
        <v>18</v>
      </c>
      <c r="D958">
        <f>_xlfn.LET(_xlpm.dir,Table1[[#This Row],[Direction]],
IF(_xlpm.dir="L",
    IF(F957-Table1[[#This Row],[Steps]]&lt;0,100+(F957-Table1[[#This Row],[Steps]]),F957-Table1[[#This Row],[Steps]]),
))</f>
        <v>0</v>
      </c>
      <c r="E958">
        <f>_xlfn.LET(_xlpm.dir,Table1[[#This Row],[Direction]],
IF(_xlpm.dir="R",
    IF(F957+Table1[[#This Row],[Steps]]&gt;99,(F957+Table1[[#This Row],[Steps]])-100,F957+Table1[[#This Row],[Steps]]),
))</f>
        <v>0</v>
      </c>
      <c r="F958">
        <f>IF(Table1[[#This Row],[New Pos L]]&lt;&gt;0,Table1[[#This Row],[New Pos L]],Table1[[#This Row],[New Pos R]])</f>
        <v>0</v>
      </c>
    </row>
    <row r="959" spans="1:6" ht="16" x14ac:dyDescent="0.2">
      <c r="A959" s="1" t="s">
        <v>47</v>
      </c>
      <c r="B959" t="str">
        <f>LEFT(Table1[[#This Row],[Input]],1)</f>
        <v>R</v>
      </c>
      <c r="C959">
        <f>_xlfn.LET(_xlpm.steps,SUBSTITUTE(Table1[[#This Row],[Input]],Table1[[#This Row],[Direction]],""),VALUE(IF(LEN(_xlpm.steps)&gt;2,RIGHT(_xlpm.steps,2),_xlpm.steps)))</f>
        <v>97</v>
      </c>
      <c r="D959">
        <f>_xlfn.LET(_xlpm.dir,Table1[[#This Row],[Direction]],
IF(_xlpm.dir="L",
    IF(F958-Table1[[#This Row],[Steps]]&lt;0,100+(F958-Table1[[#This Row],[Steps]]),F958-Table1[[#This Row],[Steps]]),
))</f>
        <v>0</v>
      </c>
      <c r="E959">
        <f>_xlfn.LET(_xlpm.dir,Table1[[#This Row],[Direction]],
IF(_xlpm.dir="R",
    IF(F958+Table1[[#This Row],[Steps]]&gt;99,(F958+Table1[[#This Row],[Steps]])-100,F958+Table1[[#This Row],[Steps]]),
))</f>
        <v>97</v>
      </c>
      <c r="F959">
        <f>IF(Table1[[#This Row],[New Pos L]]&lt;&gt;0,Table1[[#This Row],[New Pos L]],Table1[[#This Row],[New Pos R]])</f>
        <v>97</v>
      </c>
    </row>
    <row r="960" spans="1:6" ht="16" x14ac:dyDescent="0.2">
      <c r="A960" s="1" t="s">
        <v>146</v>
      </c>
      <c r="B960" t="str">
        <f>LEFT(Table1[[#This Row],[Input]],1)</f>
        <v>R</v>
      </c>
      <c r="C960">
        <f>_xlfn.LET(_xlpm.steps,SUBSTITUTE(Table1[[#This Row],[Input]],Table1[[#This Row],[Direction]],""),VALUE(IF(LEN(_xlpm.steps)&gt;2,RIGHT(_xlpm.steps,2),_xlpm.steps)))</f>
        <v>4</v>
      </c>
      <c r="D960">
        <f>_xlfn.LET(_xlpm.dir,Table1[[#This Row],[Direction]],
IF(_xlpm.dir="L",
    IF(F959-Table1[[#This Row],[Steps]]&lt;0,100+(F959-Table1[[#This Row],[Steps]]),F959-Table1[[#This Row],[Steps]]),
))</f>
        <v>0</v>
      </c>
      <c r="E960">
        <f>_xlfn.LET(_xlpm.dir,Table1[[#This Row],[Direction]],
IF(_xlpm.dir="R",
    IF(F959+Table1[[#This Row],[Steps]]&gt;99,(F959+Table1[[#This Row],[Steps]])-100,F959+Table1[[#This Row],[Steps]]),
))</f>
        <v>1</v>
      </c>
      <c r="F960">
        <f>IF(Table1[[#This Row],[New Pos L]]&lt;&gt;0,Table1[[#This Row],[New Pos L]],Table1[[#This Row],[New Pos R]])</f>
        <v>1</v>
      </c>
    </row>
    <row r="961" spans="1:6" ht="16" x14ac:dyDescent="0.2">
      <c r="A961" s="1" t="s">
        <v>355</v>
      </c>
      <c r="B961" t="str">
        <f>LEFT(Table1[[#This Row],[Input]],1)</f>
        <v>R</v>
      </c>
      <c r="C961">
        <f>_xlfn.LET(_xlpm.steps,SUBSTITUTE(Table1[[#This Row],[Input]],Table1[[#This Row],[Direction]],""),VALUE(IF(LEN(_xlpm.steps)&gt;2,RIGHT(_xlpm.steps,2),_xlpm.steps)))</f>
        <v>99</v>
      </c>
      <c r="D961">
        <f>_xlfn.LET(_xlpm.dir,Table1[[#This Row],[Direction]],
IF(_xlpm.dir="L",
    IF(F960-Table1[[#This Row],[Steps]]&lt;0,100+(F960-Table1[[#This Row],[Steps]]),F960-Table1[[#This Row],[Steps]]),
))</f>
        <v>0</v>
      </c>
      <c r="E961">
        <f>_xlfn.LET(_xlpm.dir,Table1[[#This Row],[Direction]],
IF(_xlpm.dir="R",
    IF(F960+Table1[[#This Row],[Steps]]&gt;99,(F960+Table1[[#This Row],[Steps]])-100,F960+Table1[[#This Row],[Steps]]),
))</f>
        <v>0</v>
      </c>
      <c r="F961">
        <f>IF(Table1[[#This Row],[New Pos L]]&lt;&gt;0,Table1[[#This Row],[New Pos L]],Table1[[#This Row],[New Pos R]])</f>
        <v>0</v>
      </c>
    </row>
    <row r="962" spans="1:6" ht="16" x14ac:dyDescent="0.2">
      <c r="A962" s="1" t="s">
        <v>140</v>
      </c>
      <c r="B962" t="str">
        <f>LEFT(Table1[[#This Row],[Input]],1)</f>
        <v>L</v>
      </c>
      <c r="C962">
        <f>_xlfn.LET(_xlpm.steps,SUBSTITUTE(Table1[[#This Row],[Input]],Table1[[#This Row],[Direction]],""),VALUE(IF(LEN(_xlpm.steps)&gt;2,RIGHT(_xlpm.steps,2),_xlpm.steps)))</f>
        <v>61</v>
      </c>
      <c r="D962">
        <f>_xlfn.LET(_xlpm.dir,Table1[[#This Row],[Direction]],
IF(_xlpm.dir="L",
    IF(F961-Table1[[#This Row],[Steps]]&lt;0,100+(F961-Table1[[#This Row],[Steps]]),F961-Table1[[#This Row],[Steps]]),
))</f>
        <v>39</v>
      </c>
      <c r="E962">
        <f>_xlfn.LET(_xlpm.dir,Table1[[#This Row],[Direction]],
IF(_xlpm.dir="R",
    IF(F961+Table1[[#This Row],[Steps]]&gt;99,(F961+Table1[[#This Row],[Steps]])-100,F961+Table1[[#This Row],[Steps]]),
))</f>
        <v>0</v>
      </c>
      <c r="F962">
        <f>IF(Table1[[#This Row],[New Pos L]]&lt;&gt;0,Table1[[#This Row],[New Pos L]],Table1[[#This Row],[New Pos R]])</f>
        <v>39</v>
      </c>
    </row>
    <row r="963" spans="1:6" ht="16" x14ac:dyDescent="0.2">
      <c r="A963" s="1" t="s">
        <v>148</v>
      </c>
      <c r="B963" t="str">
        <f>LEFT(Table1[[#This Row],[Input]],1)</f>
        <v>R</v>
      </c>
      <c r="C963">
        <f>_xlfn.LET(_xlpm.steps,SUBSTITUTE(Table1[[#This Row],[Input]],Table1[[#This Row],[Direction]],""),VALUE(IF(LEN(_xlpm.steps)&gt;2,RIGHT(_xlpm.steps,2),_xlpm.steps)))</f>
        <v>80</v>
      </c>
      <c r="D963">
        <f>_xlfn.LET(_xlpm.dir,Table1[[#This Row],[Direction]],
IF(_xlpm.dir="L",
    IF(F962-Table1[[#This Row],[Steps]]&lt;0,100+(F962-Table1[[#This Row],[Steps]]),F962-Table1[[#This Row],[Steps]]),
))</f>
        <v>0</v>
      </c>
      <c r="E963">
        <f>_xlfn.LET(_xlpm.dir,Table1[[#This Row],[Direction]],
IF(_xlpm.dir="R",
    IF(F962+Table1[[#This Row],[Steps]]&gt;99,(F962+Table1[[#This Row],[Steps]])-100,F962+Table1[[#This Row],[Steps]]),
))</f>
        <v>19</v>
      </c>
      <c r="F963">
        <f>IF(Table1[[#This Row],[New Pos L]]&lt;&gt;0,Table1[[#This Row],[New Pos L]],Table1[[#This Row],[New Pos R]])</f>
        <v>19</v>
      </c>
    </row>
    <row r="964" spans="1:6" ht="16" x14ac:dyDescent="0.2">
      <c r="A964" s="1" t="s">
        <v>134</v>
      </c>
      <c r="B964" t="str">
        <f>LEFT(Table1[[#This Row],[Input]],1)</f>
        <v>L</v>
      </c>
      <c r="C964">
        <f>_xlfn.LET(_xlpm.steps,SUBSTITUTE(Table1[[#This Row],[Input]],Table1[[#This Row],[Direction]],""),VALUE(IF(LEN(_xlpm.steps)&gt;2,RIGHT(_xlpm.steps,2),_xlpm.steps)))</f>
        <v>95</v>
      </c>
      <c r="D964">
        <f>_xlfn.LET(_xlpm.dir,Table1[[#This Row],[Direction]],
IF(_xlpm.dir="L",
    IF(F963-Table1[[#This Row],[Steps]]&lt;0,100+(F963-Table1[[#This Row],[Steps]]),F963-Table1[[#This Row],[Steps]]),
))</f>
        <v>24</v>
      </c>
      <c r="E964">
        <f>_xlfn.LET(_xlpm.dir,Table1[[#This Row],[Direction]],
IF(_xlpm.dir="R",
    IF(F963+Table1[[#This Row],[Steps]]&gt;99,(F963+Table1[[#This Row],[Steps]])-100,F963+Table1[[#This Row],[Steps]]),
))</f>
        <v>0</v>
      </c>
      <c r="F964">
        <f>IF(Table1[[#This Row],[New Pos L]]&lt;&gt;0,Table1[[#This Row],[New Pos L]],Table1[[#This Row],[New Pos R]])</f>
        <v>24</v>
      </c>
    </row>
    <row r="965" spans="1:6" ht="16" x14ac:dyDescent="0.2">
      <c r="A965" s="1" t="s">
        <v>54</v>
      </c>
      <c r="B965" t="str">
        <f>LEFT(Table1[[#This Row],[Input]],1)</f>
        <v>L</v>
      </c>
      <c r="C965">
        <f>_xlfn.LET(_xlpm.steps,SUBSTITUTE(Table1[[#This Row],[Input]],Table1[[#This Row],[Direction]],""),VALUE(IF(LEN(_xlpm.steps)&gt;2,RIGHT(_xlpm.steps,2),_xlpm.steps)))</f>
        <v>75</v>
      </c>
      <c r="D965">
        <f>_xlfn.LET(_xlpm.dir,Table1[[#This Row],[Direction]],
IF(_xlpm.dir="L",
    IF(F964-Table1[[#This Row],[Steps]]&lt;0,100+(F964-Table1[[#This Row],[Steps]]),F964-Table1[[#This Row],[Steps]]),
))</f>
        <v>49</v>
      </c>
      <c r="E965">
        <f>_xlfn.LET(_xlpm.dir,Table1[[#This Row],[Direction]],
IF(_xlpm.dir="R",
    IF(F964+Table1[[#This Row],[Steps]]&gt;99,(F964+Table1[[#This Row],[Steps]])-100,F964+Table1[[#This Row],[Steps]]),
))</f>
        <v>0</v>
      </c>
      <c r="F965">
        <f>IF(Table1[[#This Row],[New Pos L]]&lt;&gt;0,Table1[[#This Row],[New Pos L]],Table1[[#This Row],[New Pos R]])</f>
        <v>49</v>
      </c>
    </row>
    <row r="966" spans="1:6" ht="16" x14ac:dyDescent="0.2">
      <c r="A966" s="1" t="s">
        <v>19</v>
      </c>
      <c r="B966" t="str">
        <f>LEFT(Table1[[#This Row],[Input]],1)</f>
        <v>R</v>
      </c>
      <c r="C966">
        <f>_xlfn.LET(_xlpm.steps,SUBSTITUTE(Table1[[#This Row],[Input]],Table1[[#This Row],[Direction]],""),VALUE(IF(LEN(_xlpm.steps)&gt;2,RIGHT(_xlpm.steps,2),_xlpm.steps)))</f>
        <v>47</v>
      </c>
      <c r="D966">
        <f>_xlfn.LET(_xlpm.dir,Table1[[#This Row],[Direction]],
IF(_xlpm.dir="L",
    IF(F965-Table1[[#This Row],[Steps]]&lt;0,100+(F965-Table1[[#This Row],[Steps]]),F965-Table1[[#This Row],[Steps]]),
))</f>
        <v>0</v>
      </c>
      <c r="E966">
        <f>_xlfn.LET(_xlpm.dir,Table1[[#This Row],[Direction]],
IF(_xlpm.dir="R",
    IF(F965+Table1[[#This Row],[Steps]]&gt;99,(F965+Table1[[#This Row],[Steps]])-100,F965+Table1[[#This Row],[Steps]]),
))</f>
        <v>96</v>
      </c>
      <c r="F966">
        <f>IF(Table1[[#This Row],[New Pos L]]&lt;&gt;0,Table1[[#This Row],[New Pos L]],Table1[[#This Row],[New Pos R]])</f>
        <v>96</v>
      </c>
    </row>
    <row r="967" spans="1:6" ht="16" x14ac:dyDescent="0.2">
      <c r="A967" s="1" t="s">
        <v>81</v>
      </c>
      <c r="B967" t="str">
        <f>LEFT(Table1[[#This Row],[Input]],1)</f>
        <v>R</v>
      </c>
      <c r="C967">
        <f>_xlfn.LET(_xlpm.steps,SUBSTITUTE(Table1[[#This Row],[Input]],Table1[[#This Row],[Direction]],""),VALUE(IF(LEN(_xlpm.steps)&gt;2,RIGHT(_xlpm.steps,2),_xlpm.steps)))</f>
        <v>17</v>
      </c>
      <c r="D967">
        <f>_xlfn.LET(_xlpm.dir,Table1[[#This Row],[Direction]],
IF(_xlpm.dir="L",
    IF(F966-Table1[[#This Row],[Steps]]&lt;0,100+(F966-Table1[[#This Row],[Steps]]),F966-Table1[[#This Row],[Steps]]),
))</f>
        <v>0</v>
      </c>
      <c r="E967">
        <f>_xlfn.LET(_xlpm.dir,Table1[[#This Row],[Direction]],
IF(_xlpm.dir="R",
    IF(F966+Table1[[#This Row],[Steps]]&gt;99,(F966+Table1[[#This Row],[Steps]])-100,F966+Table1[[#This Row],[Steps]]),
))</f>
        <v>13</v>
      </c>
      <c r="F967">
        <f>IF(Table1[[#This Row],[New Pos L]]&lt;&gt;0,Table1[[#This Row],[New Pos L]],Table1[[#This Row],[New Pos R]])</f>
        <v>13</v>
      </c>
    </row>
    <row r="968" spans="1:6" ht="16" x14ac:dyDescent="0.2">
      <c r="A968" s="1" t="s">
        <v>116</v>
      </c>
      <c r="B968" t="str">
        <f>LEFT(Table1[[#This Row],[Input]],1)</f>
        <v>L</v>
      </c>
      <c r="C968">
        <f>_xlfn.LET(_xlpm.steps,SUBSTITUTE(Table1[[#This Row],[Input]],Table1[[#This Row],[Direction]],""),VALUE(IF(LEN(_xlpm.steps)&gt;2,RIGHT(_xlpm.steps,2),_xlpm.steps)))</f>
        <v>58</v>
      </c>
      <c r="D968">
        <f>_xlfn.LET(_xlpm.dir,Table1[[#This Row],[Direction]],
IF(_xlpm.dir="L",
    IF(F967-Table1[[#This Row],[Steps]]&lt;0,100+(F967-Table1[[#This Row],[Steps]]),F967-Table1[[#This Row],[Steps]]),
))</f>
        <v>55</v>
      </c>
      <c r="E968">
        <f>_xlfn.LET(_xlpm.dir,Table1[[#This Row],[Direction]],
IF(_xlpm.dir="R",
    IF(F967+Table1[[#This Row],[Steps]]&gt;99,(F967+Table1[[#This Row],[Steps]])-100,F967+Table1[[#This Row],[Steps]]),
))</f>
        <v>0</v>
      </c>
      <c r="F968">
        <f>IF(Table1[[#This Row],[New Pos L]]&lt;&gt;0,Table1[[#This Row],[New Pos L]],Table1[[#This Row],[New Pos R]])</f>
        <v>55</v>
      </c>
    </row>
    <row r="969" spans="1:6" ht="16" x14ac:dyDescent="0.2">
      <c r="A969" s="1" t="s">
        <v>38</v>
      </c>
      <c r="B969" t="str">
        <f>LEFT(Table1[[#This Row],[Input]],1)</f>
        <v>R</v>
      </c>
      <c r="C969">
        <f>_xlfn.LET(_xlpm.steps,SUBSTITUTE(Table1[[#This Row],[Input]],Table1[[#This Row],[Direction]],""),VALUE(IF(LEN(_xlpm.steps)&gt;2,RIGHT(_xlpm.steps,2),_xlpm.steps)))</f>
        <v>15</v>
      </c>
      <c r="D969">
        <f>_xlfn.LET(_xlpm.dir,Table1[[#This Row],[Direction]],
IF(_xlpm.dir="L",
    IF(F968-Table1[[#This Row],[Steps]]&lt;0,100+(F968-Table1[[#This Row],[Steps]]),F968-Table1[[#This Row],[Steps]]),
))</f>
        <v>0</v>
      </c>
      <c r="E969">
        <f>_xlfn.LET(_xlpm.dir,Table1[[#This Row],[Direction]],
IF(_xlpm.dir="R",
    IF(F968+Table1[[#This Row],[Steps]]&gt;99,(F968+Table1[[#This Row],[Steps]])-100,F968+Table1[[#This Row],[Steps]]),
))</f>
        <v>70</v>
      </c>
      <c r="F969">
        <f>IF(Table1[[#This Row],[New Pos L]]&lt;&gt;0,Table1[[#This Row],[New Pos L]],Table1[[#This Row],[New Pos R]])</f>
        <v>70</v>
      </c>
    </row>
    <row r="970" spans="1:6" ht="16" x14ac:dyDescent="0.2">
      <c r="A970" s="1" t="s">
        <v>136</v>
      </c>
      <c r="B970" t="str">
        <f>LEFT(Table1[[#This Row],[Input]],1)</f>
        <v>L</v>
      </c>
      <c r="C970">
        <f>_xlfn.LET(_xlpm.steps,SUBSTITUTE(Table1[[#This Row],[Input]],Table1[[#This Row],[Direction]],""),VALUE(IF(LEN(_xlpm.steps)&gt;2,RIGHT(_xlpm.steps,2),_xlpm.steps)))</f>
        <v>72</v>
      </c>
      <c r="D970">
        <f>_xlfn.LET(_xlpm.dir,Table1[[#This Row],[Direction]],
IF(_xlpm.dir="L",
    IF(F969-Table1[[#This Row],[Steps]]&lt;0,100+(F969-Table1[[#This Row],[Steps]]),F969-Table1[[#This Row],[Steps]]),
))</f>
        <v>98</v>
      </c>
      <c r="E970">
        <f>_xlfn.LET(_xlpm.dir,Table1[[#This Row],[Direction]],
IF(_xlpm.dir="R",
    IF(F969+Table1[[#This Row],[Steps]]&gt;99,(F969+Table1[[#This Row],[Steps]])-100,F969+Table1[[#This Row],[Steps]]),
))</f>
        <v>0</v>
      </c>
      <c r="F970">
        <f>IF(Table1[[#This Row],[New Pos L]]&lt;&gt;0,Table1[[#This Row],[New Pos L]],Table1[[#This Row],[New Pos R]])</f>
        <v>98</v>
      </c>
    </row>
    <row r="971" spans="1:6" ht="16" x14ac:dyDescent="0.2">
      <c r="A971" s="1" t="s">
        <v>73</v>
      </c>
      <c r="B971" t="str">
        <f>LEFT(Table1[[#This Row],[Input]],1)</f>
        <v>R</v>
      </c>
      <c r="C971">
        <f>_xlfn.LET(_xlpm.steps,SUBSTITUTE(Table1[[#This Row],[Input]],Table1[[#This Row],[Direction]],""),VALUE(IF(LEN(_xlpm.steps)&gt;2,RIGHT(_xlpm.steps,2),_xlpm.steps)))</f>
        <v>21</v>
      </c>
      <c r="D971">
        <f>_xlfn.LET(_xlpm.dir,Table1[[#This Row],[Direction]],
IF(_xlpm.dir="L",
    IF(F970-Table1[[#This Row],[Steps]]&lt;0,100+(F970-Table1[[#This Row],[Steps]]),F970-Table1[[#This Row],[Steps]]),
))</f>
        <v>0</v>
      </c>
      <c r="E971">
        <f>_xlfn.LET(_xlpm.dir,Table1[[#This Row],[Direction]],
IF(_xlpm.dir="R",
    IF(F970+Table1[[#This Row],[Steps]]&gt;99,(F970+Table1[[#This Row],[Steps]])-100,F970+Table1[[#This Row],[Steps]]),
))</f>
        <v>19</v>
      </c>
      <c r="F971">
        <f>IF(Table1[[#This Row],[New Pos L]]&lt;&gt;0,Table1[[#This Row],[New Pos L]],Table1[[#This Row],[New Pos R]])</f>
        <v>19</v>
      </c>
    </row>
    <row r="972" spans="1:6" ht="16" x14ac:dyDescent="0.2">
      <c r="A972" s="1" t="s">
        <v>325</v>
      </c>
      <c r="B972" t="str">
        <f>LEFT(Table1[[#This Row],[Input]],1)</f>
        <v>L</v>
      </c>
      <c r="C972">
        <f>_xlfn.LET(_xlpm.steps,SUBSTITUTE(Table1[[#This Row],[Input]],Table1[[#This Row],[Direction]],""),VALUE(IF(LEN(_xlpm.steps)&gt;2,RIGHT(_xlpm.steps,2),_xlpm.steps)))</f>
        <v>68</v>
      </c>
      <c r="D972">
        <f>_xlfn.LET(_xlpm.dir,Table1[[#This Row],[Direction]],
IF(_xlpm.dir="L",
    IF(F971-Table1[[#This Row],[Steps]]&lt;0,100+(F971-Table1[[#This Row],[Steps]]),F971-Table1[[#This Row],[Steps]]),
))</f>
        <v>51</v>
      </c>
      <c r="E972">
        <f>_xlfn.LET(_xlpm.dir,Table1[[#This Row],[Direction]],
IF(_xlpm.dir="R",
    IF(F971+Table1[[#This Row],[Steps]]&gt;99,(F971+Table1[[#This Row],[Steps]])-100,F971+Table1[[#This Row],[Steps]]),
))</f>
        <v>0</v>
      </c>
      <c r="F972">
        <f>IF(Table1[[#This Row],[New Pos L]]&lt;&gt;0,Table1[[#This Row],[New Pos L]],Table1[[#This Row],[New Pos R]])</f>
        <v>51</v>
      </c>
    </row>
    <row r="973" spans="1:6" ht="16" x14ac:dyDescent="0.2">
      <c r="A973" s="1" t="s">
        <v>356</v>
      </c>
      <c r="B973" t="str">
        <f>LEFT(Table1[[#This Row],[Input]],1)</f>
        <v>L</v>
      </c>
      <c r="C973">
        <f>_xlfn.LET(_xlpm.steps,SUBSTITUTE(Table1[[#This Row],[Input]],Table1[[#This Row],[Direction]],""),VALUE(IF(LEN(_xlpm.steps)&gt;2,RIGHT(_xlpm.steps,2),_xlpm.steps)))</f>
        <v>51</v>
      </c>
      <c r="D973">
        <f>_xlfn.LET(_xlpm.dir,Table1[[#This Row],[Direction]],
IF(_xlpm.dir="L",
    IF(F972-Table1[[#This Row],[Steps]]&lt;0,100+(F972-Table1[[#This Row],[Steps]]),F972-Table1[[#This Row],[Steps]]),
))</f>
        <v>0</v>
      </c>
      <c r="E973">
        <f>_xlfn.LET(_xlpm.dir,Table1[[#This Row],[Direction]],
IF(_xlpm.dir="R",
    IF(F972+Table1[[#This Row],[Steps]]&gt;99,(F972+Table1[[#This Row],[Steps]])-100,F972+Table1[[#This Row],[Steps]]),
))</f>
        <v>0</v>
      </c>
      <c r="F973">
        <f>IF(Table1[[#This Row],[New Pos L]]&lt;&gt;0,Table1[[#This Row],[New Pos L]],Table1[[#This Row],[New Pos R]])</f>
        <v>0</v>
      </c>
    </row>
    <row r="974" spans="1:6" ht="16" x14ac:dyDescent="0.2">
      <c r="A974" s="1" t="s">
        <v>40</v>
      </c>
      <c r="B974" t="str">
        <f>LEFT(Table1[[#This Row],[Input]],1)</f>
        <v>R</v>
      </c>
      <c r="C974">
        <f>_xlfn.LET(_xlpm.steps,SUBSTITUTE(Table1[[#This Row],[Input]],Table1[[#This Row],[Direction]],""),VALUE(IF(LEN(_xlpm.steps)&gt;2,RIGHT(_xlpm.steps,2),_xlpm.steps)))</f>
        <v>52</v>
      </c>
      <c r="D974">
        <f>_xlfn.LET(_xlpm.dir,Table1[[#This Row],[Direction]],
IF(_xlpm.dir="L",
    IF(F973-Table1[[#This Row],[Steps]]&lt;0,100+(F973-Table1[[#This Row],[Steps]]),F973-Table1[[#This Row],[Steps]]),
))</f>
        <v>0</v>
      </c>
      <c r="E974">
        <f>_xlfn.LET(_xlpm.dir,Table1[[#This Row],[Direction]],
IF(_xlpm.dir="R",
    IF(F973+Table1[[#This Row],[Steps]]&gt;99,(F973+Table1[[#This Row],[Steps]])-100,F973+Table1[[#This Row],[Steps]]),
))</f>
        <v>52</v>
      </c>
      <c r="F974">
        <f>IF(Table1[[#This Row],[New Pos L]]&lt;&gt;0,Table1[[#This Row],[New Pos L]],Table1[[#This Row],[New Pos R]])</f>
        <v>52</v>
      </c>
    </row>
    <row r="975" spans="1:6" ht="16" x14ac:dyDescent="0.2">
      <c r="A975" s="1" t="s">
        <v>192</v>
      </c>
      <c r="B975" t="str">
        <f>LEFT(Table1[[#This Row],[Input]],1)</f>
        <v>L</v>
      </c>
      <c r="C975">
        <f>_xlfn.LET(_xlpm.steps,SUBSTITUTE(Table1[[#This Row],[Input]],Table1[[#This Row],[Direction]],""),VALUE(IF(LEN(_xlpm.steps)&gt;2,RIGHT(_xlpm.steps,2),_xlpm.steps)))</f>
        <v>52</v>
      </c>
      <c r="D975">
        <f>_xlfn.LET(_xlpm.dir,Table1[[#This Row],[Direction]],
IF(_xlpm.dir="L",
    IF(F974-Table1[[#This Row],[Steps]]&lt;0,100+(F974-Table1[[#This Row],[Steps]]),F974-Table1[[#This Row],[Steps]]),
))</f>
        <v>0</v>
      </c>
      <c r="E975">
        <f>_xlfn.LET(_xlpm.dir,Table1[[#This Row],[Direction]],
IF(_xlpm.dir="R",
    IF(F974+Table1[[#This Row],[Steps]]&gt;99,(F974+Table1[[#This Row],[Steps]])-100,F974+Table1[[#This Row],[Steps]]),
))</f>
        <v>0</v>
      </c>
      <c r="F975">
        <f>IF(Table1[[#This Row],[New Pos L]]&lt;&gt;0,Table1[[#This Row],[New Pos L]],Table1[[#This Row],[New Pos R]])</f>
        <v>0</v>
      </c>
    </row>
    <row r="976" spans="1:6" ht="16" x14ac:dyDescent="0.2">
      <c r="A976" s="1" t="s">
        <v>42</v>
      </c>
      <c r="B976" t="str">
        <f>LEFT(Table1[[#This Row],[Input]],1)</f>
        <v>L</v>
      </c>
      <c r="C976">
        <f>_xlfn.LET(_xlpm.steps,SUBSTITUTE(Table1[[#This Row],[Input]],Table1[[#This Row],[Direction]],""),VALUE(IF(LEN(_xlpm.steps)&gt;2,RIGHT(_xlpm.steps,2),_xlpm.steps)))</f>
        <v>27</v>
      </c>
      <c r="D976">
        <f>_xlfn.LET(_xlpm.dir,Table1[[#This Row],[Direction]],
IF(_xlpm.dir="L",
    IF(F975-Table1[[#This Row],[Steps]]&lt;0,100+(F975-Table1[[#This Row],[Steps]]),F975-Table1[[#This Row],[Steps]]),
))</f>
        <v>73</v>
      </c>
      <c r="E976">
        <f>_xlfn.LET(_xlpm.dir,Table1[[#This Row],[Direction]],
IF(_xlpm.dir="R",
    IF(F975+Table1[[#This Row],[Steps]]&gt;99,(F975+Table1[[#This Row],[Steps]])-100,F975+Table1[[#This Row],[Steps]]),
))</f>
        <v>0</v>
      </c>
      <c r="F976">
        <f>IF(Table1[[#This Row],[New Pos L]]&lt;&gt;0,Table1[[#This Row],[New Pos L]],Table1[[#This Row],[New Pos R]])</f>
        <v>73</v>
      </c>
    </row>
    <row r="977" spans="1:6" ht="16" x14ac:dyDescent="0.2">
      <c r="A977" s="1" t="s">
        <v>309</v>
      </c>
      <c r="B977" t="str">
        <f>LEFT(Table1[[#This Row],[Input]],1)</f>
        <v>L</v>
      </c>
      <c r="C977">
        <f>_xlfn.LET(_xlpm.steps,SUBSTITUTE(Table1[[#This Row],[Input]],Table1[[#This Row],[Direction]],""),VALUE(IF(LEN(_xlpm.steps)&gt;2,RIGHT(_xlpm.steps,2),_xlpm.steps)))</f>
        <v>41</v>
      </c>
      <c r="D977">
        <f>_xlfn.LET(_xlpm.dir,Table1[[#This Row],[Direction]],
IF(_xlpm.dir="L",
    IF(F976-Table1[[#This Row],[Steps]]&lt;0,100+(F976-Table1[[#This Row],[Steps]]),F976-Table1[[#This Row],[Steps]]),
))</f>
        <v>32</v>
      </c>
      <c r="E977">
        <f>_xlfn.LET(_xlpm.dir,Table1[[#This Row],[Direction]],
IF(_xlpm.dir="R",
    IF(F976+Table1[[#This Row],[Steps]]&gt;99,(F976+Table1[[#This Row],[Steps]])-100,F976+Table1[[#This Row],[Steps]]),
))</f>
        <v>0</v>
      </c>
      <c r="F977">
        <f>IF(Table1[[#This Row],[New Pos L]]&lt;&gt;0,Table1[[#This Row],[New Pos L]],Table1[[#This Row],[New Pos R]])</f>
        <v>32</v>
      </c>
    </row>
    <row r="978" spans="1:6" ht="16" x14ac:dyDescent="0.2">
      <c r="A978" s="1" t="s">
        <v>344</v>
      </c>
      <c r="B978" t="str">
        <f>LEFT(Table1[[#This Row],[Input]],1)</f>
        <v>R</v>
      </c>
      <c r="C978">
        <f>_xlfn.LET(_xlpm.steps,SUBSTITUTE(Table1[[#This Row],[Input]],Table1[[#This Row],[Direction]],""),VALUE(IF(LEN(_xlpm.steps)&gt;2,RIGHT(_xlpm.steps,2),_xlpm.steps)))</f>
        <v>9</v>
      </c>
      <c r="D978">
        <f>_xlfn.LET(_xlpm.dir,Table1[[#This Row],[Direction]],
IF(_xlpm.dir="L",
    IF(F977-Table1[[#This Row],[Steps]]&lt;0,100+(F977-Table1[[#This Row],[Steps]]),F977-Table1[[#This Row],[Steps]]),
))</f>
        <v>0</v>
      </c>
      <c r="E978">
        <f>_xlfn.LET(_xlpm.dir,Table1[[#This Row],[Direction]],
IF(_xlpm.dir="R",
    IF(F977+Table1[[#This Row],[Steps]]&gt;99,(F977+Table1[[#This Row],[Steps]])-100,F977+Table1[[#This Row],[Steps]]),
))</f>
        <v>41</v>
      </c>
      <c r="F978">
        <f>IF(Table1[[#This Row],[New Pos L]]&lt;&gt;0,Table1[[#This Row],[New Pos L]],Table1[[#This Row],[New Pos R]])</f>
        <v>41</v>
      </c>
    </row>
    <row r="979" spans="1:6" ht="16" x14ac:dyDescent="0.2">
      <c r="A979" s="1" t="s">
        <v>104</v>
      </c>
      <c r="B979" t="str">
        <f>LEFT(Table1[[#This Row],[Input]],1)</f>
        <v>R</v>
      </c>
      <c r="C979">
        <f>_xlfn.LET(_xlpm.steps,SUBSTITUTE(Table1[[#This Row],[Input]],Table1[[#This Row],[Direction]],""),VALUE(IF(LEN(_xlpm.steps)&gt;2,RIGHT(_xlpm.steps,2),_xlpm.steps)))</f>
        <v>59</v>
      </c>
      <c r="D979">
        <f>_xlfn.LET(_xlpm.dir,Table1[[#This Row],[Direction]],
IF(_xlpm.dir="L",
    IF(F978-Table1[[#This Row],[Steps]]&lt;0,100+(F978-Table1[[#This Row],[Steps]]),F978-Table1[[#This Row],[Steps]]),
))</f>
        <v>0</v>
      </c>
      <c r="E979">
        <f>_xlfn.LET(_xlpm.dir,Table1[[#This Row],[Direction]],
IF(_xlpm.dir="R",
    IF(F978+Table1[[#This Row],[Steps]]&gt;99,(F978+Table1[[#This Row],[Steps]])-100,F978+Table1[[#This Row],[Steps]]),
))</f>
        <v>0</v>
      </c>
      <c r="F979">
        <f>IF(Table1[[#This Row],[New Pos L]]&lt;&gt;0,Table1[[#This Row],[New Pos L]],Table1[[#This Row],[New Pos R]])</f>
        <v>0</v>
      </c>
    </row>
    <row r="980" spans="1:6" ht="16" x14ac:dyDescent="0.2">
      <c r="A980" s="1" t="s">
        <v>185</v>
      </c>
      <c r="B980" t="str">
        <f>LEFT(Table1[[#This Row],[Input]],1)</f>
        <v>R</v>
      </c>
      <c r="C980">
        <f>_xlfn.LET(_xlpm.steps,SUBSTITUTE(Table1[[#This Row],[Input]],Table1[[#This Row],[Direction]],""),VALUE(IF(LEN(_xlpm.steps)&gt;2,RIGHT(_xlpm.steps,2),_xlpm.steps)))</f>
        <v>61</v>
      </c>
      <c r="D980">
        <f>_xlfn.LET(_xlpm.dir,Table1[[#This Row],[Direction]],
IF(_xlpm.dir="L",
    IF(F979-Table1[[#This Row],[Steps]]&lt;0,100+(F979-Table1[[#This Row],[Steps]]),F979-Table1[[#This Row],[Steps]]),
))</f>
        <v>0</v>
      </c>
      <c r="E980">
        <f>_xlfn.LET(_xlpm.dir,Table1[[#This Row],[Direction]],
IF(_xlpm.dir="R",
    IF(F979+Table1[[#This Row],[Steps]]&gt;99,(F979+Table1[[#This Row],[Steps]])-100,F979+Table1[[#This Row],[Steps]]),
))</f>
        <v>61</v>
      </c>
      <c r="F980">
        <f>IF(Table1[[#This Row],[New Pos L]]&lt;&gt;0,Table1[[#This Row],[New Pos L]],Table1[[#This Row],[New Pos R]])</f>
        <v>61</v>
      </c>
    </row>
    <row r="981" spans="1:6" ht="16" x14ac:dyDescent="0.2">
      <c r="A981" s="1" t="s">
        <v>41</v>
      </c>
      <c r="B981" t="str">
        <f>LEFT(Table1[[#This Row],[Input]],1)</f>
        <v>L</v>
      </c>
      <c r="C981">
        <f>_xlfn.LET(_xlpm.steps,SUBSTITUTE(Table1[[#This Row],[Input]],Table1[[#This Row],[Direction]],""),VALUE(IF(LEN(_xlpm.steps)&gt;2,RIGHT(_xlpm.steps,2),_xlpm.steps)))</f>
        <v>7</v>
      </c>
      <c r="D981">
        <f>_xlfn.LET(_xlpm.dir,Table1[[#This Row],[Direction]],
IF(_xlpm.dir="L",
    IF(F980-Table1[[#This Row],[Steps]]&lt;0,100+(F980-Table1[[#This Row],[Steps]]),F980-Table1[[#This Row],[Steps]]),
))</f>
        <v>54</v>
      </c>
      <c r="E981">
        <f>_xlfn.LET(_xlpm.dir,Table1[[#This Row],[Direction]],
IF(_xlpm.dir="R",
    IF(F980+Table1[[#This Row],[Steps]]&gt;99,(F980+Table1[[#This Row],[Steps]])-100,F980+Table1[[#This Row],[Steps]]),
))</f>
        <v>0</v>
      </c>
      <c r="F981">
        <f>IF(Table1[[#This Row],[New Pos L]]&lt;&gt;0,Table1[[#This Row],[New Pos L]],Table1[[#This Row],[New Pos R]])</f>
        <v>54</v>
      </c>
    </row>
    <row r="982" spans="1:6" ht="16" x14ac:dyDescent="0.2">
      <c r="A982" s="1" t="s">
        <v>179</v>
      </c>
      <c r="B982" t="str">
        <f>LEFT(Table1[[#This Row],[Input]],1)</f>
        <v>L</v>
      </c>
      <c r="C982">
        <f>_xlfn.LET(_xlpm.steps,SUBSTITUTE(Table1[[#This Row],[Input]],Table1[[#This Row],[Direction]],""),VALUE(IF(LEN(_xlpm.steps)&gt;2,RIGHT(_xlpm.steps,2),_xlpm.steps)))</f>
        <v>54</v>
      </c>
      <c r="D982">
        <f>_xlfn.LET(_xlpm.dir,Table1[[#This Row],[Direction]],
IF(_xlpm.dir="L",
    IF(F981-Table1[[#This Row],[Steps]]&lt;0,100+(F981-Table1[[#This Row],[Steps]]),F981-Table1[[#This Row],[Steps]]),
))</f>
        <v>0</v>
      </c>
      <c r="E982">
        <f>_xlfn.LET(_xlpm.dir,Table1[[#This Row],[Direction]],
IF(_xlpm.dir="R",
    IF(F981+Table1[[#This Row],[Steps]]&gt;99,(F981+Table1[[#This Row],[Steps]])-100,F981+Table1[[#This Row],[Steps]]),
))</f>
        <v>0</v>
      </c>
      <c r="F982">
        <f>IF(Table1[[#This Row],[New Pos L]]&lt;&gt;0,Table1[[#This Row],[New Pos L]],Table1[[#This Row],[New Pos R]])</f>
        <v>0</v>
      </c>
    </row>
    <row r="983" spans="1:6" ht="16" x14ac:dyDescent="0.2">
      <c r="A983" s="1" t="s">
        <v>331</v>
      </c>
      <c r="B983" t="str">
        <f>LEFT(Table1[[#This Row],[Input]],1)</f>
        <v>R</v>
      </c>
      <c r="C983">
        <f>_xlfn.LET(_xlpm.steps,SUBSTITUTE(Table1[[#This Row],[Input]],Table1[[#This Row],[Direction]],""),VALUE(IF(LEN(_xlpm.steps)&gt;2,RIGHT(_xlpm.steps,2),_xlpm.steps)))</f>
        <v>80</v>
      </c>
      <c r="D983">
        <f>_xlfn.LET(_xlpm.dir,Table1[[#This Row],[Direction]],
IF(_xlpm.dir="L",
    IF(F982-Table1[[#This Row],[Steps]]&lt;0,100+(F982-Table1[[#This Row],[Steps]]),F982-Table1[[#This Row],[Steps]]),
))</f>
        <v>0</v>
      </c>
      <c r="E983">
        <f>_xlfn.LET(_xlpm.dir,Table1[[#This Row],[Direction]],
IF(_xlpm.dir="R",
    IF(F982+Table1[[#This Row],[Steps]]&gt;99,(F982+Table1[[#This Row],[Steps]])-100,F982+Table1[[#This Row],[Steps]]),
))</f>
        <v>80</v>
      </c>
      <c r="F983">
        <f>IF(Table1[[#This Row],[New Pos L]]&lt;&gt;0,Table1[[#This Row],[New Pos L]],Table1[[#This Row],[New Pos R]])</f>
        <v>80</v>
      </c>
    </row>
    <row r="984" spans="1:6" ht="16" x14ac:dyDescent="0.2">
      <c r="A984" s="1" t="s">
        <v>187</v>
      </c>
      <c r="B984" t="str">
        <f>LEFT(Table1[[#This Row],[Input]],1)</f>
        <v>R</v>
      </c>
      <c r="C984">
        <f>_xlfn.LET(_xlpm.steps,SUBSTITUTE(Table1[[#This Row],[Input]],Table1[[#This Row],[Direction]],""),VALUE(IF(LEN(_xlpm.steps)&gt;2,RIGHT(_xlpm.steps,2),_xlpm.steps)))</f>
        <v>20</v>
      </c>
      <c r="D984">
        <f>_xlfn.LET(_xlpm.dir,Table1[[#This Row],[Direction]],
IF(_xlpm.dir="L",
    IF(F983-Table1[[#This Row],[Steps]]&lt;0,100+(F983-Table1[[#This Row],[Steps]]),F983-Table1[[#This Row],[Steps]]),
))</f>
        <v>0</v>
      </c>
      <c r="E984">
        <f>_xlfn.LET(_xlpm.dir,Table1[[#This Row],[Direction]],
IF(_xlpm.dir="R",
    IF(F983+Table1[[#This Row],[Steps]]&gt;99,(F983+Table1[[#This Row],[Steps]])-100,F983+Table1[[#This Row],[Steps]]),
))</f>
        <v>0</v>
      </c>
      <c r="F984">
        <f>IF(Table1[[#This Row],[New Pos L]]&lt;&gt;0,Table1[[#This Row],[New Pos L]],Table1[[#This Row],[New Pos R]])</f>
        <v>0</v>
      </c>
    </row>
    <row r="985" spans="1:6" ht="16" x14ac:dyDescent="0.2">
      <c r="A985" s="1" t="s">
        <v>11</v>
      </c>
      <c r="B985" t="str">
        <f>LEFT(Table1[[#This Row],[Input]],1)</f>
        <v>L</v>
      </c>
      <c r="C985">
        <f>_xlfn.LET(_xlpm.steps,SUBSTITUTE(Table1[[#This Row],[Input]],Table1[[#This Row],[Direction]],""),VALUE(IF(LEN(_xlpm.steps)&gt;2,RIGHT(_xlpm.steps,2),_xlpm.steps)))</f>
        <v>34</v>
      </c>
      <c r="D985">
        <f>_xlfn.LET(_xlpm.dir,Table1[[#This Row],[Direction]],
IF(_xlpm.dir="L",
    IF(F984-Table1[[#This Row],[Steps]]&lt;0,100+(F984-Table1[[#This Row],[Steps]]),F984-Table1[[#This Row],[Steps]]),
))</f>
        <v>66</v>
      </c>
      <c r="E985">
        <f>_xlfn.LET(_xlpm.dir,Table1[[#This Row],[Direction]],
IF(_xlpm.dir="R",
    IF(F984+Table1[[#This Row],[Steps]]&gt;99,(F984+Table1[[#This Row],[Steps]])-100,F984+Table1[[#This Row],[Steps]]),
))</f>
        <v>0</v>
      </c>
      <c r="F985">
        <f>IF(Table1[[#This Row],[New Pos L]]&lt;&gt;0,Table1[[#This Row],[New Pos L]],Table1[[#This Row],[New Pos R]])</f>
        <v>66</v>
      </c>
    </row>
    <row r="986" spans="1:6" ht="16" x14ac:dyDescent="0.2">
      <c r="A986" s="1" t="s">
        <v>279</v>
      </c>
      <c r="B986" t="str">
        <f>LEFT(Table1[[#This Row],[Input]],1)</f>
        <v>R</v>
      </c>
      <c r="C986">
        <f>_xlfn.LET(_xlpm.steps,SUBSTITUTE(Table1[[#This Row],[Input]],Table1[[#This Row],[Direction]],""),VALUE(IF(LEN(_xlpm.steps)&gt;2,RIGHT(_xlpm.steps,2),_xlpm.steps)))</f>
        <v>34</v>
      </c>
      <c r="D986">
        <f>_xlfn.LET(_xlpm.dir,Table1[[#This Row],[Direction]],
IF(_xlpm.dir="L",
    IF(F985-Table1[[#This Row],[Steps]]&lt;0,100+(F985-Table1[[#This Row],[Steps]]),F985-Table1[[#This Row],[Steps]]),
))</f>
        <v>0</v>
      </c>
      <c r="E986">
        <f>_xlfn.LET(_xlpm.dir,Table1[[#This Row],[Direction]],
IF(_xlpm.dir="R",
    IF(F985+Table1[[#This Row],[Steps]]&gt;99,(F985+Table1[[#This Row],[Steps]])-100,F985+Table1[[#This Row],[Steps]]),
))</f>
        <v>0</v>
      </c>
      <c r="F986">
        <f>IF(Table1[[#This Row],[New Pos L]]&lt;&gt;0,Table1[[#This Row],[New Pos L]],Table1[[#This Row],[New Pos R]])</f>
        <v>0</v>
      </c>
    </row>
    <row r="987" spans="1:6" ht="16" x14ac:dyDescent="0.2">
      <c r="A987" s="1" t="s">
        <v>127</v>
      </c>
      <c r="B987" t="str">
        <f>LEFT(Table1[[#This Row],[Input]],1)</f>
        <v>L</v>
      </c>
      <c r="C987">
        <f>_xlfn.LET(_xlpm.steps,SUBSTITUTE(Table1[[#This Row],[Input]],Table1[[#This Row],[Direction]],""),VALUE(IF(LEN(_xlpm.steps)&gt;2,RIGHT(_xlpm.steps,2),_xlpm.steps)))</f>
        <v>62</v>
      </c>
      <c r="D987">
        <f>_xlfn.LET(_xlpm.dir,Table1[[#This Row],[Direction]],
IF(_xlpm.dir="L",
    IF(F986-Table1[[#This Row],[Steps]]&lt;0,100+(F986-Table1[[#This Row],[Steps]]),F986-Table1[[#This Row],[Steps]]),
))</f>
        <v>38</v>
      </c>
      <c r="E987">
        <f>_xlfn.LET(_xlpm.dir,Table1[[#This Row],[Direction]],
IF(_xlpm.dir="R",
    IF(F986+Table1[[#This Row],[Steps]]&gt;99,(F986+Table1[[#This Row],[Steps]])-100,F986+Table1[[#This Row],[Steps]]),
))</f>
        <v>0</v>
      </c>
      <c r="F987">
        <f>IF(Table1[[#This Row],[New Pos L]]&lt;&gt;0,Table1[[#This Row],[New Pos L]],Table1[[#This Row],[New Pos R]])</f>
        <v>38</v>
      </c>
    </row>
    <row r="988" spans="1:6" ht="16" x14ac:dyDescent="0.2">
      <c r="A988" s="1" t="s">
        <v>43</v>
      </c>
      <c r="B988" t="str">
        <f>LEFT(Table1[[#This Row],[Input]],1)</f>
        <v>R</v>
      </c>
      <c r="C988">
        <f>_xlfn.LET(_xlpm.steps,SUBSTITUTE(Table1[[#This Row],[Input]],Table1[[#This Row],[Direction]],""),VALUE(IF(LEN(_xlpm.steps)&gt;2,RIGHT(_xlpm.steps,2),_xlpm.steps)))</f>
        <v>90</v>
      </c>
      <c r="D988">
        <f>_xlfn.LET(_xlpm.dir,Table1[[#This Row],[Direction]],
IF(_xlpm.dir="L",
    IF(F987-Table1[[#This Row],[Steps]]&lt;0,100+(F987-Table1[[#This Row],[Steps]]),F987-Table1[[#This Row],[Steps]]),
))</f>
        <v>0</v>
      </c>
      <c r="E988">
        <f>_xlfn.LET(_xlpm.dir,Table1[[#This Row],[Direction]],
IF(_xlpm.dir="R",
    IF(F987+Table1[[#This Row],[Steps]]&gt;99,(F987+Table1[[#This Row],[Steps]])-100,F987+Table1[[#This Row],[Steps]]),
))</f>
        <v>28</v>
      </c>
      <c r="F988">
        <f>IF(Table1[[#This Row],[New Pos L]]&lt;&gt;0,Table1[[#This Row],[New Pos L]],Table1[[#This Row],[New Pos R]])</f>
        <v>28</v>
      </c>
    </row>
    <row r="989" spans="1:6" ht="16" x14ac:dyDescent="0.2">
      <c r="A989" s="1" t="s">
        <v>357</v>
      </c>
      <c r="B989" t="str">
        <f>LEFT(Table1[[#This Row],[Input]],1)</f>
        <v>R</v>
      </c>
      <c r="C989">
        <f>_xlfn.LET(_xlpm.steps,SUBSTITUTE(Table1[[#This Row],[Input]],Table1[[#This Row],[Direction]],""),VALUE(IF(LEN(_xlpm.steps)&gt;2,RIGHT(_xlpm.steps,2),_xlpm.steps)))</f>
        <v>72</v>
      </c>
      <c r="D989">
        <f>_xlfn.LET(_xlpm.dir,Table1[[#This Row],[Direction]],
IF(_xlpm.dir="L",
    IF(F988-Table1[[#This Row],[Steps]]&lt;0,100+(F988-Table1[[#This Row],[Steps]]),F988-Table1[[#This Row],[Steps]]),
))</f>
        <v>0</v>
      </c>
      <c r="E989">
        <f>_xlfn.LET(_xlpm.dir,Table1[[#This Row],[Direction]],
IF(_xlpm.dir="R",
    IF(F988+Table1[[#This Row],[Steps]]&gt;99,(F988+Table1[[#This Row],[Steps]])-100,F988+Table1[[#This Row],[Steps]]),
))</f>
        <v>0</v>
      </c>
      <c r="F989">
        <f>IF(Table1[[#This Row],[New Pos L]]&lt;&gt;0,Table1[[#This Row],[New Pos L]],Table1[[#This Row],[New Pos R]])</f>
        <v>0</v>
      </c>
    </row>
    <row r="990" spans="1:6" ht="16" x14ac:dyDescent="0.2">
      <c r="A990" s="1" t="s">
        <v>5</v>
      </c>
      <c r="B990" t="str">
        <f>LEFT(Table1[[#This Row],[Input]],1)</f>
        <v>R</v>
      </c>
      <c r="C990">
        <f>_xlfn.LET(_xlpm.steps,SUBSTITUTE(Table1[[#This Row],[Input]],Table1[[#This Row],[Direction]],""),VALUE(IF(LEN(_xlpm.steps)&gt;2,RIGHT(_xlpm.steps,2),_xlpm.steps)))</f>
        <v>1</v>
      </c>
      <c r="D990">
        <f>_xlfn.LET(_xlpm.dir,Table1[[#This Row],[Direction]],
IF(_xlpm.dir="L",
    IF(F989-Table1[[#This Row],[Steps]]&lt;0,100+(F989-Table1[[#This Row],[Steps]]),F989-Table1[[#This Row],[Steps]]),
))</f>
        <v>0</v>
      </c>
      <c r="E990">
        <f>_xlfn.LET(_xlpm.dir,Table1[[#This Row],[Direction]],
IF(_xlpm.dir="R",
    IF(F989+Table1[[#This Row],[Steps]]&gt;99,(F989+Table1[[#This Row],[Steps]])-100,F989+Table1[[#This Row],[Steps]]),
))</f>
        <v>1</v>
      </c>
      <c r="F990">
        <f>IF(Table1[[#This Row],[New Pos L]]&lt;&gt;0,Table1[[#This Row],[New Pos L]],Table1[[#This Row],[New Pos R]])</f>
        <v>1</v>
      </c>
    </row>
    <row r="991" spans="1:6" ht="16" x14ac:dyDescent="0.2">
      <c r="A991" s="1" t="s">
        <v>358</v>
      </c>
      <c r="B991" t="str">
        <f>LEFT(Table1[[#This Row],[Input]],1)</f>
        <v>R</v>
      </c>
      <c r="C991">
        <f>_xlfn.LET(_xlpm.steps,SUBSTITUTE(Table1[[#This Row],[Input]],Table1[[#This Row],[Direction]],""),VALUE(IF(LEN(_xlpm.steps)&gt;2,RIGHT(_xlpm.steps,2),_xlpm.steps)))</f>
        <v>27</v>
      </c>
      <c r="D991">
        <f>_xlfn.LET(_xlpm.dir,Table1[[#This Row],[Direction]],
IF(_xlpm.dir="L",
    IF(F990-Table1[[#This Row],[Steps]]&lt;0,100+(F990-Table1[[#This Row],[Steps]]),F990-Table1[[#This Row],[Steps]]),
))</f>
        <v>0</v>
      </c>
      <c r="E991">
        <f>_xlfn.LET(_xlpm.dir,Table1[[#This Row],[Direction]],
IF(_xlpm.dir="R",
    IF(F990+Table1[[#This Row],[Steps]]&gt;99,(F990+Table1[[#This Row],[Steps]])-100,F990+Table1[[#This Row],[Steps]]),
))</f>
        <v>28</v>
      </c>
      <c r="F991">
        <f>IF(Table1[[#This Row],[New Pos L]]&lt;&gt;0,Table1[[#This Row],[New Pos L]],Table1[[#This Row],[New Pos R]])</f>
        <v>28</v>
      </c>
    </row>
    <row r="992" spans="1:6" ht="16" x14ac:dyDescent="0.2">
      <c r="A992" s="1" t="s">
        <v>32</v>
      </c>
      <c r="B992" t="str">
        <f>LEFT(Table1[[#This Row],[Input]],1)</f>
        <v>L</v>
      </c>
      <c r="C992">
        <f>_xlfn.LET(_xlpm.steps,SUBSTITUTE(Table1[[#This Row],[Input]],Table1[[#This Row],[Direction]],""),VALUE(IF(LEN(_xlpm.steps)&gt;2,RIGHT(_xlpm.steps,2),_xlpm.steps)))</f>
        <v>28</v>
      </c>
      <c r="D992">
        <f>_xlfn.LET(_xlpm.dir,Table1[[#This Row],[Direction]],
IF(_xlpm.dir="L",
    IF(F991-Table1[[#This Row],[Steps]]&lt;0,100+(F991-Table1[[#This Row],[Steps]]),F991-Table1[[#This Row],[Steps]]),
))</f>
        <v>0</v>
      </c>
      <c r="E992">
        <f>_xlfn.LET(_xlpm.dir,Table1[[#This Row],[Direction]],
IF(_xlpm.dir="R",
    IF(F991+Table1[[#This Row],[Steps]]&gt;99,(F991+Table1[[#This Row],[Steps]])-100,F991+Table1[[#This Row],[Steps]]),
))</f>
        <v>0</v>
      </c>
      <c r="F992">
        <f>IF(Table1[[#This Row],[New Pos L]]&lt;&gt;0,Table1[[#This Row],[New Pos L]],Table1[[#This Row],[New Pos R]])</f>
        <v>0</v>
      </c>
    </row>
    <row r="993" spans="1:6" ht="16" x14ac:dyDescent="0.2">
      <c r="A993" s="1" t="s">
        <v>359</v>
      </c>
      <c r="B993" t="str">
        <f>LEFT(Table1[[#This Row],[Input]],1)</f>
        <v>L</v>
      </c>
      <c r="C993">
        <f>_xlfn.LET(_xlpm.steps,SUBSTITUTE(Table1[[#This Row],[Input]],Table1[[#This Row],[Direction]],""),VALUE(IF(LEN(_xlpm.steps)&gt;2,RIGHT(_xlpm.steps,2),_xlpm.steps)))</f>
        <v>32</v>
      </c>
      <c r="D993">
        <f>_xlfn.LET(_xlpm.dir,Table1[[#This Row],[Direction]],
IF(_xlpm.dir="L",
    IF(F992-Table1[[#This Row],[Steps]]&lt;0,100+(F992-Table1[[#This Row],[Steps]]),F992-Table1[[#This Row],[Steps]]),
))</f>
        <v>68</v>
      </c>
      <c r="E993">
        <f>_xlfn.LET(_xlpm.dir,Table1[[#This Row],[Direction]],
IF(_xlpm.dir="R",
    IF(F992+Table1[[#This Row],[Steps]]&gt;99,(F992+Table1[[#This Row],[Steps]])-100,F992+Table1[[#This Row],[Steps]]),
))</f>
        <v>0</v>
      </c>
      <c r="F993">
        <f>IF(Table1[[#This Row],[New Pos L]]&lt;&gt;0,Table1[[#This Row],[New Pos L]],Table1[[#This Row],[New Pos R]])</f>
        <v>68</v>
      </c>
    </row>
    <row r="994" spans="1:6" ht="16" x14ac:dyDescent="0.2">
      <c r="A994" s="1" t="s">
        <v>325</v>
      </c>
      <c r="B994" t="str">
        <f>LEFT(Table1[[#This Row],[Input]],1)</f>
        <v>L</v>
      </c>
      <c r="C994">
        <f>_xlfn.LET(_xlpm.steps,SUBSTITUTE(Table1[[#This Row],[Input]],Table1[[#This Row],[Direction]],""),VALUE(IF(LEN(_xlpm.steps)&gt;2,RIGHT(_xlpm.steps,2),_xlpm.steps)))</f>
        <v>68</v>
      </c>
      <c r="D994">
        <f>_xlfn.LET(_xlpm.dir,Table1[[#This Row],[Direction]],
IF(_xlpm.dir="L",
    IF(F993-Table1[[#This Row],[Steps]]&lt;0,100+(F993-Table1[[#This Row],[Steps]]),F993-Table1[[#This Row],[Steps]]),
))</f>
        <v>0</v>
      </c>
      <c r="E994">
        <f>_xlfn.LET(_xlpm.dir,Table1[[#This Row],[Direction]],
IF(_xlpm.dir="R",
    IF(F993+Table1[[#This Row],[Steps]]&gt;99,(F993+Table1[[#This Row],[Steps]])-100,F993+Table1[[#This Row],[Steps]]),
))</f>
        <v>0</v>
      </c>
      <c r="F994">
        <f>IF(Table1[[#This Row],[New Pos L]]&lt;&gt;0,Table1[[#This Row],[New Pos L]],Table1[[#This Row],[New Pos R]])</f>
        <v>0</v>
      </c>
    </row>
    <row r="995" spans="1:6" ht="16" x14ac:dyDescent="0.2">
      <c r="A995" s="1" t="s">
        <v>48</v>
      </c>
      <c r="B995" t="str">
        <f>LEFT(Table1[[#This Row],[Input]],1)</f>
        <v>R</v>
      </c>
      <c r="C995">
        <f>_xlfn.LET(_xlpm.steps,SUBSTITUTE(Table1[[#This Row],[Input]],Table1[[#This Row],[Direction]],""),VALUE(IF(LEN(_xlpm.steps)&gt;2,RIGHT(_xlpm.steps,2),_xlpm.steps)))</f>
        <v>81</v>
      </c>
      <c r="D995">
        <f>_xlfn.LET(_xlpm.dir,Table1[[#This Row],[Direction]],
IF(_xlpm.dir="L",
    IF(F994-Table1[[#This Row],[Steps]]&lt;0,100+(F994-Table1[[#This Row],[Steps]]),F994-Table1[[#This Row],[Steps]]),
))</f>
        <v>0</v>
      </c>
      <c r="E995">
        <f>_xlfn.LET(_xlpm.dir,Table1[[#This Row],[Direction]],
IF(_xlpm.dir="R",
    IF(F994+Table1[[#This Row],[Steps]]&gt;99,(F994+Table1[[#This Row],[Steps]])-100,F994+Table1[[#This Row],[Steps]]),
))</f>
        <v>81</v>
      </c>
      <c r="F995">
        <f>IF(Table1[[#This Row],[New Pos L]]&lt;&gt;0,Table1[[#This Row],[New Pos L]],Table1[[#This Row],[New Pos R]])</f>
        <v>81</v>
      </c>
    </row>
    <row r="996" spans="1:6" ht="16" x14ac:dyDescent="0.2">
      <c r="A996" s="1" t="s">
        <v>360</v>
      </c>
      <c r="B996" t="str">
        <f>LEFT(Table1[[#This Row],[Input]],1)</f>
        <v>R</v>
      </c>
      <c r="C996">
        <f>_xlfn.LET(_xlpm.steps,SUBSTITUTE(Table1[[#This Row],[Input]],Table1[[#This Row],[Direction]],""),VALUE(IF(LEN(_xlpm.steps)&gt;2,RIGHT(_xlpm.steps,2),_xlpm.steps)))</f>
        <v>10</v>
      </c>
      <c r="D996">
        <f>_xlfn.LET(_xlpm.dir,Table1[[#This Row],[Direction]],
IF(_xlpm.dir="L",
    IF(F995-Table1[[#This Row],[Steps]]&lt;0,100+(F995-Table1[[#This Row],[Steps]]),F995-Table1[[#This Row],[Steps]]),
))</f>
        <v>0</v>
      </c>
      <c r="E996">
        <f>_xlfn.LET(_xlpm.dir,Table1[[#This Row],[Direction]],
IF(_xlpm.dir="R",
    IF(F995+Table1[[#This Row],[Steps]]&gt;99,(F995+Table1[[#This Row],[Steps]])-100,F995+Table1[[#This Row],[Steps]]),
))</f>
        <v>91</v>
      </c>
      <c r="F996">
        <f>IF(Table1[[#This Row],[New Pos L]]&lt;&gt;0,Table1[[#This Row],[New Pos L]],Table1[[#This Row],[New Pos R]])</f>
        <v>91</v>
      </c>
    </row>
    <row r="997" spans="1:6" ht="16" x14ac:dyDescent="0.2">
      <c r="A997" s="1" t="s">
        <v>344</v>
      </c>
      <c r="B997" t="str">
        <f>LEFT(Table1[[#This Row],[Input]],1)</f>
        <v>R</v>
      </c>
      <c r="C997">
        <f>_xlfn.LET(_xlpm.steps,SUBSTITUTE(Table1[[#This Row],[Input]],Table1[[#This Row],[Direction]],""),VALUE(IF(LEN(_xlpm.steps)&gt;2,RIGHT(_xlpm.steps,2),_xlpm.steps)))</f>
        <v>9</v>
      </c>
      <c r="D997">
        <f>_xlfn.LET(_xlpm.dir,Table1[[#This Row],[Direction]],
IF(_xlpm.dir="L",
    IF(F996-Table1[[#This Row],[Steps]]&lt;0,100+(F996-Table1[[#This Row],[Steps]]),F996-Table1[[#This Row],[Steps]]),
))</f>
        <v>0</v>
      </c>
      <c r="E997">
        <f>_xlfn.LET(_xlpm.dir,Table1[[#This Row],[Direction]],
IF(_xlpm.dir="R",
    IF(F996+Table1[[#This Row],[Steps]]&gt;99,(F996+Table1[[#This Row],[Steps]])-100,F996+Table1[[#This Row],[Steps]]),
))</f>
        <v>0</v>
      </c>
      <c r="F997">
        <f>IF(Table1[[#This Row],[New Pos L]]&lt;&gt;0,Table1[[#This Row],[New Pos L]],Table1[[#This Row],[New Pos R]])</f>
        <v>0</v>
      </c>
    </row>
    <row r="998" spans="1:6" ht="16" x14ac:dyDescent="0.2">
      <c r="A998" s="1" t="s">
        <v>295</v>
      </c>
      <c r="B998" t="str">
        <f>LEFT(Table1[[#This Row],[Input]],1)</f>
        <v>L</v>
      </c>
      <c r="C998">
        <f>_xlfn.LET(_xlpm.steps,SUBSTITUTE(Table1[[#This Row],[Input]],Table1[[#This Row],[Direction]],""),VALUE(IF(LEN(_xlpm.steps)&gt;2,RIGHT(_xlpm.steps,2),_xlpm.steps)))</f>
        <v>88</v>
      </c>
      <c r="D998">
        <f>_xlfn.LET(_xlpm.dir,Table1[[#This Row],[Direction]],
IF(_xlpm.dir="L",
    IF(F997-Table1[[#This Row],[Steps]]&lt;0,100+(F997-Table1[[#This Row],[Steps]]),F997-Table1[[#This Row],[Steps]]),
))</f>
        <v>12</v>
      </c>
      <c r="E998">
        <f>_xlfn.LET(_xlpm.dir,Table1[[#This Row],[Direction]],
IF(_xlpm.dir="R",
    IF(F997+Table1[[#This Row],[Steps]]&gt;99,(F997+Table1[[#This Row],[Steps]])-100,F997+Table1[[#This Row],[Steps]]),
))</f>
        <v>0</v>
      </c>
      <c r="F998">
        <f>IF(Table1[[#This Row],[New Pos L]]&lt;&gt;0,Table1[[#This Row],[New Pos L]],Table1[[#This Row],[New Pos R]])</f>
        <v>12</v>
      </c>
    </row>
    <row r="999" spans="1:6" ht="16" x14ac:dyDescent="0.2">
      <c r="A999" s="1" t="s">
        <v>213</v>
      </c>
      <c r="B999" t="str">
        <f>LEFT(Table1[[#This Row],[Input]],1)</f>
        <v>R</v>
      </c>
      <c r="C999">
        <f>_xlfn.LET(_xlpm.steps,SUBSTITUTE(Table1[[#This Row],[Input]],Table1[[#This Row],[Direction]],""),VALUE(IF(LEN(_xlpm.steps)&gt;2,RIGHT(_xlpm.steps,2),_xlpm.steps)))</f>
        <v>87</v>
      </c>
      <c r="D999">
        <f>_xlfn.LET(_xlpm.dir,Table1[[#This Row],[Direction]],
IF(_xlpm.dir="L",
    IF(F998-Table1[[#This Row],[Steps]]&lt;0,100+(F998-Table1[[#This Row],[Steps]]),F998-Table1[[#This Row],[Steps]]),
))</f>
        <v>0</v>
      </c>
      <c r="E999">
        <f>_xlfn.LET(_xlpm.dir,Table1[[#This Row],[Direction]],
IF(_xlpm.dir="R",
    IF(F998+Table1[[#This Row],[Steps]]&gt;99,(F998+Table1[[#This Row],[Steps]])-100,F998+Table1[[#This Row],[Steps]]),
))</f>
        <v>99</v>
      </c>
      <c r="F999">
        <f>IF(Table1[[#This Row],[New Pos L]]&lt;&gt;0,Table1[[#This Row],[New Pos L]],Table1[[#This Row],[New Pos R]])</f>
        <v>99</v>
      </c>
    </row>
    <row r="1000" spans="1:6" ht="16" x14ac:dyDescent="0.2">
      <c r="A1000" s="1" t="s">
        <v>127</v>
      </c>
      <c r="B1000" t="str">
        <f>LEFT(Table1[[#This Row],[Input]],1)</f>
        <v>L</v>
      </c>
      <c r="C1000">
        <f>_xlfn.LET(_xlpm.steps,SUBSTITUTE(Table1[[#This Row],[Input]],Table1[[#This Row],[Direction]],""),VALUE(IF(LEN(_xlpm.steps)&gt;2,RIGHT(_xlpm.steps,2),_xlpm.steps)))</f>
        <v>62</v>
      </c>
      <c r="D1000">
        <f>_xlfn.LET(_xlpm.dir,Table1[[#This Row],[Direction]],
IF(_xlpm.dir="L",
    IF(F999-Table1[[#This Row],[Steps]]&lt;0,100+(F999-Table1[[#This Row],[Steps]]),F999-Table1[[#This Row],[Steps]]),
))</f>
        <v>37</v>
      </c>
      <c r="E1000">
        <f>_xlfn.LET(_xlpm.dir,Table1[[#This Row],[Direction]],
IF(_xlpm.dir="R",
    IF(F999+Table1[[#This Row],[Steps]]&gt;99,(F999+Table1[[#This Row],[Steps]])-100,F999+Table1[[#This Row],[Steps]]),
))</f>
        <v>0</v>
      </c>
      <c r="F1000">
        <f>IF(Table1[[#This Row],[New Pos L]]&lt;&gt;0,Table1[[#This Row],[New Pos L]],Table1[[#This Row],[New Pos R]])</f>
        <v>37</v>
      </c>
    </row>
    <row r="1001" spans="1:6" ht="16" x14ac:dyDescent="0.2">
      <c r="A1001" s="1" t="s">
        <v>186</v>
      </c>
      <c r="B1001" t="str">
        <f>LEFT(Table1[[#This Row],[Input]],1)</f>
        <v>L</v>
      </c>
      <c r="C1001">
        <f>_xlfn.LET(_xlpm.steps,SUBSTITUTE(Table1[[#This Row],[Input]],Table1[[#This Row],[Direction]],""),VALUE(IF(LEN(_xlpm.steps)&gt;2,RIGHT(_xlpm.steps,2),_xlpm.steps)))</f>
        <v>84</v>
      </c>
      <c r="D1001">
        <f>_xlfn.LET(_xlpm.dir,Table1[[#This Row],[Direction]],
IF(_xlpm.dir="L",
    IF(F1000-Table1[[#This Row],[Steps]]&lt;0,100+(F1000-Table1[[#This Row],[Steps]]),F1000-Table1[[#This Row],[Steps]]),
))</f>
        <v>53</v>
      </c>
      <c r="E1001">
        <f>_xlfn.LET(_xlpm.dir,Table1[[#This Row],[Direction]],
IF(_xlpm.dir="R",
    IF(F1000+Table1[[#This Row],[Steps]]&gt;99,(F1000+Table1[[#This Row],[Steps]])-100,F1000+Table1[[#This Row],[Steps]]),
))</f>
        <v>0</v>
      </c>
      <c r="F1001">
        <f>IF(Table1[[#This Row],[New Pos L]]&lt;&gt;0,Table1[[#This Row],[New Pos L]],Table1[[#This Row],[New Pos R]])</f>
        <v>53</v>
      </c>
    </row>
    <row r="1002" spans="1:6" ht="16" x14ac:dyDescent="0.2">
      <c r="A1002" s="1" t="s">
        <v>191</v>
      </c>
      <c r="B1002" t="str">
        <f>LEFT(Table1[[#This Row],[Input]],1)</f>
        <v>L</v>
      </c>
      <c r="C1002">
        <f>_xlfn.LET(_xlpm.steps,SUBSTITUTE(Table1[[#This Row],[Input]],Table1[[#This Row],[Direction]],""),VALUE(IF(LEN(_xlpm.steps)&gt;2,RIGHT(_xlpm.steps,2),_xlpm.steps)))</f>
        <v>5</v>
      </c>
      <c r="D1002">
        <f>_xlfn.LET(_xlpm.dir,Table1[[#This Row],[Direction]],
IF(_xlpm.dir="L",
    IF(F1001-Table1[[#This Row],[Steps]]&lt;0,100+(F1001-Table1[[#This Row],[Steps]]),F1001-Table1[[#This Row],[Steps]]),
))</f>
        <v>48</v>
      </c>
      <c r="E1002">
        <f>_xlfn.LET(_xlpm.dir,Table1[[#This Row],[Direction]],
IF(_xlpm.dir="R",
    IF(F1001+Table1[[#This Row],[Steps]]&gt;99,(F1001+Table1[[#This Row],[Steps]])-100,F1001+Table1[[#This Row],[Steps]]),
))</f>
        <v>0</v>
      </c>
      <c r="F1002">
        <f>IF(Table1[[#This Row],[New Pos L]]&lt;&gt;0,Table1[[#This Row],[New Pos L]],Table1[[#This Row],[New Pos R]])</f>
        <v>48</v>
      </c>
    </row>
    <row r="1003" spans="1:6" ht="16" x14ac:dyDescent="0.2">
      <c r="A1003" s="1" t="s">
        <v>12</v>
      </c>
      <c r="B1003" t="str">
        <f>LEFT(Table1[[#This Row],[Input]],1)</f>
        <v>L</v>
      </c>
      <c r="C1003">
        <f>_xlfn.LET(_xlpm.steps,SUBSTITUTE(Table1[[#This Row],[Input]],Table1[[#This Row],[Direction]],""),VALUE(IF(LEN(_xlpm.steps)&gt;2,RIGHT(_xlpm.steps,2),_xlpm.steps)))</f>
        <v>11</v>
      </c>
      <c r="D1003">
        <f>_xlfn.LET(_xlpm.dir,Table1[[#This Row],[Direction]],
IF(_xlpm.dir="L",
    IF(F1002-Table1[[#This Row],[Steps]]&lt;0,100+(F1002-Table1[[#This Row],[Steps]]),F1002-Table1[[#This Row],[Steps]]),
))</f>
        <v>37</v>
      </c>
      <c r="E1003">
        <f>_xlfn.LET(_xlpm.dir,Table1[[#This Row],[Direction]],
IF(_xlpm.dir="R",
    IF(F1002+Table1[[#This Row],[Steps]]&gt;99,(F1002+Table1[[#This Row],[Steps]])-100,F1002+Table1[[#This Row],[Steps]]),
))</f>
        <v>0</v>
      </c>
      <c r="F1003">
        <f>IF(Table1[[#This Row],[New Pos L]]&lt;&gt;0,Table1[[#This Row],[New Pos L]],Table1[[#This Row],[New Pos R]])</f>
        <v>37</v>
      </c>
    </row>
    <row r="1004" spans="1:6" ht="16" x14ac:dyDescent="0.2">
      <c r="A1004" s="1" t="s">
        <v>361</v>
      </c>
      <c r="B1004" t="str">
        <f>LEFT(Table1[[#This Row],[Input]],1)</f>
        <v>L</v>
      </c>
      <c r="C1004">
        <f>_xlfn.LET(_xlpm.steps,SUBSTITUTE(Table1[[#This Row],[Input]],Table1[[#This Row],[Direction]],""),VALUE(IF(LEN(_xlpm.steps)&gt;2,RIGHT(_xlpm.steps,2),_xlpm.steps)))</f>
        <v>37</v>
      </c>
      <c r="D1004">
        <f>_xlfn.LET(_xlpm.dir,Table1[[#This Row],[Direction]],
IF(_xlpm.dir="L",
    IF(F1003-Table1[[#This Row],[Steps]]&lt;0,100+(F1003-Table1[[#This Row],[Steps]]),F1003-Table1[[#This Row],[Steps]]),
))</f>
        <v>0</v>
      </c>
      <c r="E1004">
        <f>_xlfn.LET(_xlpm.dir,Table1[[#This Row],[Direction]],
IF(_xlpm.dir="R",
    IF(F1003+Table1[[#This Row],[Steps]]&gt;99,(F1003+Table1[[#This Row],[Steps]])-100,F1003+Table1[[#This Row],[Steps]]),
))</f>
        <v>0</v>
      </c>
      <c r="F1004">
        <f>IF(Table1[[#This Row],[New Pos L]]&lt;&gt;0,Table1[[#This Row],[New Pos L]],Table1[[#This Row],[New Pos R]])</f>
        <v>0</v>
      </c>
    </row>
    <row r="1005" spans="1:6" ht="16" x14ac:dyDescent="0.2">
      <c r="A1005" s="1" t="s">
        <v>3</v>
      </c>
      <c r="B1005" t="str">
        <f>LEFT(Table1[[#This Row],[Input]],1)</f>
        <v>R</v>
      </c>
      <c r="C1005">
        <f>_xlfn.LET(_xlpm.steps,SUBSTITUTE(Table1[[#This Row],[Input]],Table1[[#This Row],[Direction]],""),VALUE(IF(LEN(_xlpm.steps)&gt;2,RIGHT(_xlpm.steps,2),_xlpm.steps)))</f>
        <v>44</v>
      </c>
      <c r="D1005">
        <f>_xlfn.LET(_xlpm.dir,Table1[[#This Row],[Direction]],
IF(_xlpm.dir="L",
    IF(F1004-Table1[[#This Row],[Steps]]&lt;0,100+(F1004-Table1[[#This Row],[Steps]]),F1004-Table1[[#This Row],[Steps]]),
))</f>
        <v>0</v>
      </c>
      <c r="E1005">
        <f>_xlfn.LET(_xlpm.dir,Table1[[#This Row],[Direction]],
IF(_xlpm.dir="R",
    IF(F1004+Table1[[#This Row],[Steps]]&gt;99,(F1004+Table1[[#This Row],[Steps]])-100,F1004+Table1[[#This Row],[Steps]]),
))</f>
        <v>44</v>
      </c>
      <c r="F1005">
        <f>IF(Table1[[#This Row],[New Pos L]]&lt;&gt;0,Table1[[#This Row],[New Pos L]],Table1[[#This Row],[New Pos R]])</f>
        <v>44</v>
      </c>
    </row>
    <row r="1006" spans="1:6" ht="16" x14ac:dyDescent="0.2">
      <c r="A1006" s="1" t="s">
        <v>362</v>
      </c>
      <c r="B1006" t="str">
        <f>LEFT(Table1[[#This Row],[Input]],1)</f>
        <v>L</v>
      </c>
      <c r="C1006">
        <f>_xlfn.LET(_xlpm.steps,SUBSTITUTE(Table1[[#This Row],[Input]],Table1[[#This Row],[Direction]],""),VALUE(IF(LEN(_xlpm.steps)&gt;2,RIGHT(_xlpm.steps,2),_xlpm.steps)))</f>
        <v>15</v>
      </c>
      <c r="D1006">
        <f>_xlfn.LET(_xlpm.dir,Table1[[#This Row],[Direction]],
IF(_xlpm.dir="L",
    IF(F1005-Table1[[#This Row],[Steps]]&lt;0,100+(F1005-Table1[[#This Row],[Steps]]),F1005-Table1[[#This Row],[Steps]]),
))</f>
        <v>29</v>
      </c>
      <c r="E1006">
        <f>_xlfn.LET(_xlpm.dir,Table1[[#This Row],[Direction]],
IF(_xlpm.dir="R",
    IF(F1005+Table1[[#This Row],[Steps]]&gt;99,(F1005+Table1[[#This Row],[Steps]])-100,F1005+Table1[[#This Row],[Steps]]),
))</f>
        <v>0</v>
      </c>
      <c r="F1006">
        <f>IF(Table1[[#This Row],[New Pos L]]&lt;&gt;0,Table1[[#This Row],[New Pos L]],Table1[[#This Row],[New Pos R]])</f>
        <v>29</v>
      </c>
    </row>
    <row r="1007" spans="1:6" ht="16" x14ac:dyDescent="0.2">
      <c r="A1007" s="1" t="s">
        <v>129</v>
      </c>
      <c r="B1007" t="str">
        <f>LEFT(Table1[[#This Row],[Input]],1)</f>
        <v>R</v>
      </c>
      <c r="C1007">
        <f>_xlfn.LET(_xlpm.steps,SUBSTITUTE(Table1[[#This Row],[Input]],Table1[[#This Row],[Direction]],""),VALUE(IF(LEN(_xlpm.steps)&gt;2,RIGHT(_xlpm.steps,2),_xlpm.steps)))</f>
        <v>8</v>
      </c>
      <c r="D1007">
        <f>_xlfn.LET(_xlpm.dir,Table1[[#This Row],[Direction]],
IF(_xlpm.dir="L",
    IF(F1006-Table1[[#This Row],[Steps]]&lt;0,100+(F1006-Table1[[#This Row],[Steps]]),F1006-Table1[[#This Row],[Steps]]),
))</f>
        <v>0</v>
      </c>
      <c r="E1007">
        <f>_xlfn.LET(_xlpm.dir,Table1[[#This Row],[Direction]],
IF(_xlpm.dir="R",
    IF(F1006+Table1[[#This Row],[Steps]]&gt;99,(F1006+Table1[[#This Row],[Steps]])-100,F1006+Table1[[#This Row],[Steps]]),
))</f>
        <v>37</v>
      </c>
      <c r="F1007">
        <f>IF(Table1[[#This Row],[New Pos L]]&lt;&gt;0,Table1[[#This Row],[New Pos L]],Table1[[#This Row],[New Pos R]])</f>
        <v>37</v>
      </c>
    </row>
    <row r="1008" spans="1:6" ht="16" x14ac:dyDescent="0.2">
      <c r="A1008" s="1" t="s">
        <v>363</v>
      </c>
      <c r="B1008" t="str">
        <f>LEFT(Table1[[#This Row],[Input]],1)</f>
        <v>R</v>
      </c>
      <c r="C1008">
        <f>_xlfn.LET(_xlpm.steps,SUBSTITUTE(Table1[[#This Row],[Input]],Table1[[#This Row],[Direction]],""),VALUE(IF(LEN(_xlpm.steps)&gt;2,RIGHT(_xlpm.steps,2),_xlpm.steps)))</f>
        <v>63</v>
      </c>
      <c r="D1008">
        <f>_xlfn.LET(_xlpm.dir,Table1[[#This Row],[Direction]],
IF(_xlpm.dir="L",
    IF(F1007-Table1[[#This Row],[Steps]]&lt;0,100+(F1007-Table1[[#This Row],[Steps]]),F1007-Table1[[#This Row],[Steps]]),
))</f>
        <v>0</v>
      </c>
      <c r="E1008">
        <f>_xlfn.LET(_xlpm.dir,Table1[[#This Row],[Direction]],
IF(_xlpm.dir="R",
    IF(F1007+Table1[[#This Row],[Steps]]&gt;99,(F1007+Table1[[#This Row],[Steps]])-100,F1007+Table1[[#This Row],[Steps]]),
))</f>
        <v>0</v>
      </c>
      <c r="F1008">
        <f>IF(Table1[[#This Row],[New Pos L]]&lt;&gt;0,Table1[[#This Row],[New Pos L]],Table1[[#This Row],[New Pos R]])</f>
        <v>0</v>
      </c>
    </row>
    <row r="1009" spans="1:6" ht="16" x14ac:dyDescent="0.2">
      <c r="A1009" s="1" t="s">
        <v>37</v>
      </c>
      <c r="B1009" t="str">
        <f>LEFT(Table1[[#This Row],[Input]],1)</f>
        <v>L</v>
      </c>
      <c r="C1009">
        <f>_xlfn.LET(_xlpm.steps,SUBSTITUTE(Table1[[#This Row],[Input]],Table1[[#This Row],[Direction]],""),VALUE(IF(LEN(_xlpm.steps)&gt;2,RIGHT(_xlpm.steps,2),_xlpm.steps)))</f>
        <v>42</v>
      </c>
      <c r="D1009">
        <f>_xlfn.LET(_xlpm.dir,Table1[[#This Row],[Direction]],
IF(_xlpm.dir="L",
    IF(F1008-Table1[[#This Row],[Steps]]&lt;0,100+(F1008-Table1[[#This Row],[Steps]]),F1008-Table1[[#This Row],[Steps]]),
))</f>
        <v>58</v>
      </c>
      <c r="E1009">
        <f>_xlfn.LET(_xlpm.dir,Table1[[#This Row],[Direction]],
IF(_xlpm.dir="R",
    IF(F1008+Table1[[#This Row],[Steps]]&gt;99,(F1008+Table1[[#This Row],[Steps]])-100,F1008+Table1[[#This Row],[Steps]]),
))</f>
        <v>0</v>
      </c>
      <c r="F1009">
        <f>IF(Table1[[#This Row],[New Pos L]]&lt;&gt;0,Table1[[#This Row],[New Pos L]],Table1[[#This Row],[New Pos R]])</f>
        <v>58</v>
      </c>
    </row>
    <row r="1010" spans="1:6" ht="16" x14ac:dyDescent="0.2">
      <c r="A1010" s="1" t="s">
        <v>116</v>
      </c>
      <c r="B1010" t="str">
        <f>LEFT(Table1[[#This Row],[Input]],1)</f>
        <v>L</v>
      </c>
      <c r="C1010">
        <f>_xlfn.LET(_xlpm.steps,SUBSTITUTE(Table1[[#This Row],[Input]],Table1[[#This Row],[Direction]],""),VALUE(IF(LEN(_xlpm.steps)&gt;2,RIGHT(_xlpm.steps,2),_xlpm.steps)))</f>
        <v>58</v>
      </c>
      <c r="D1010">
        <f>_xlfn.LET(_xlpm.dir,Table1[[#This Row],[Direction]],
IF(_xlpm.dir="L",
    IF(F1009-Table1[[#This Row],[Steps]]&lt;0,100+(F1009-Table1[[#This Row],[Steps]]),F1009-Table1[[#This Row],[Steps]]),
))</f>
        <v>0</v>
      </c>
      <c r="E1010">
        <f>_xlfn.LET(_xlpm.dir,Table1[[#This Row],[Direction]],
IF(_xlpm.dir="R",
    IF(F1009+Table1[[#This Row],[Steps]]&gt;99,(F1009+Table1[[#This Row],[Steps]])-100,F1009+Table1[[#This Row],[Steps]]),
))</f>
        <v>0</v>
      </c>
      <c r="F1010">
        <f>IF(Table1[[#This Row],[New Pos L]]&lt;&gt;0,Table1[[#This Row],[New Pos L]],Table1[[#This Row],[New Pos R]])</f>
        <v>0</v>
      </c>
    </row>
    <row r="1011" spans="1:6" ht="16" x14ac:dyDescent="0.2">
      <c r="A1011" s="1" t="s">
        <v>364</v>
      </c>
      <c r="B1011" t="str">
        <f>LEFT(Table1[[#This Row],[Input]],1)</f>
        <v>L</v>
      </c>
      <c r="C1011">
        <f>_xlfn.LET(_xlpm.steps,SUBSTITUTE(Table1[[#This Row],[Input]],Table1[[#This Row],[Direction]],""),VALUE(IF(LEN(_xlpm.steps)&gt;2,RIGHT(_xlpm.steps,2),_xlpm.steps)))</f>
        <v>70</v>
      </c>
      <c r="D1011">
        <f>_xlfn.LET(_xlpm.dir,Table1[[#This Row],[Direction]],
IF(_xlpm.dir="L",
    IF(F1010-Table1[[#This Row],[Steps]]&lt;0,100+(F1010-Table1[[#This Row],[Steps]]),F1010-Table1[[#This Row],[Steps]]),
))</f>
        <v>30</v>
      </c>
      <c r="E1011">
        <f>_xlfn.LET(_xlpm.dir,Table1[[#This Row],[Direction]],
IF(_xlpm.dir="R",
    IF(F1010+Table1[[#This Row],[Steps]]&gt;99,(F1010+Table1[[#This Row],[Steps]])-100,F1010+Table1[[#This Row],[Steps]]),
))</f>
        <v>0</v>
      </c>
      <c r="F1011">
        <f>IF(Table1[[#This Row],[New Pos L]]&lt;&gt;0,Table1[[#This Row],[New Pos L]],Table1[[#This Row],[New Pos R]])</f>
        <v>30</v>
      </c>
    </row>
    <row r="1012" spans="1:6" ht="16" x14ac:dyDescent="0.2">
      <c r="A1012" s="1" t="s">
        <v>58</v>
      </c>
      <c r="B1012" t="str">
        <f>LEFT(Table1[[#This Row],[Input]],1)</f>
        <v>L</v>
      </c>
      <c r="C1012">
        <f>_xlfn.LET(_xlpm.steps,SUBSTITUTE(Table1[[#This Row],[Input]],Table1[[#This Row],[Direction]],""),VALUE(IF(LEN(_xlpm.steps)&gt;2,RIGHT(_xlpm.steps,2),_xlpm.steps)))</f>
        <v>30</v>
      </c>
      <c r="D1012">
        <f>_xlfn.LET(_xlpm.dir,Table1[[#This Row],[Direction]],
IF(_xlpm.dir="L",
    IF(F1011-Table1[[#This Row],[Steps]]&lt;0,100+(F1011-Table1[[#This Row],[Steps]]),F1011-Table1[[#This Row],[Steps]]),
))</f>
        <v>0</v>
      </c>
      <c r="E1012">
        <f>_xlfn.LET(_xlpm.dir,Table1[[#This Row],[Direction]],
IF(_xlpm.dir="R",
    IF(F1011+Table1[[#This Row],[Steps]]&gt;99,(F1011+Table1[[#This Row],[Steps]])-100,F1011+Table1[[#This Row],[Steps]]),
))</f>
        <v>0</v>
      </c>
      <c r="F1012">
        <f>IF(Table1[[#This Row],[New Pos L]]&lt;&gt;0,Table1[[#This Row],[New Pos L]],Table1[[#This Row],[New Pos R]])</f>
        <v>0</v>
      </c>
    </row>
    <row r="1013" spans="1:6" ht="16" x14ac:dyDescent="0.2">
      <c r="A1013" s="1" t="s">
        <v>114</v>
      </c>
      <c r="B1013" t="str">
        <f>LEFT(Table1[[#This Row],[Input]],1)</f>
        <v>R</v>
      </c>
      <c r="C1013">
        <f>_xlfn.LET(_xlpm.steps,SUBSTITUTE(Table1[[#This Row],[Input]],Table1[[#This Row],[Direction]],""),VALUE(IF(LEN(_xlpm.steps)&gt;2,RIGHT(_xlpm.steps,2),_xlpm.steps)))</f>
        <v>70</v>
      </c>
      <c r="D1013">
        <f>_xlfn.LET(_xlpm.dir,Table1[[#This Row],[Direction]],
IF(_xlpm.dir="L",
    IF(F1012-Table1[[#This Row],[Steps]]&lt;0,100+(F1012-Table1[[#This Row],[Steps]]),F1012-Table1[[#This Row],[Steps]]),
))</f>
        <v>0</v>
      </c>
      <c r="E1013">
        <f>_xlfn.LET(_xlpm.dir,Table1[[#This Row],[Direction]],
IF(_xlpm.dir="R",
    IF(F1012+Table1[[#This Row],[Steps]]&gt;99,(F1012+Table1[[#This Row],[Steps]])-100,F1012+Table1[[#This Row],[Steps]]),
))</f>
        <v>70</v>
      </c>
      <c r="F1013">
        <f>IF(Table1[[#This Row],[New Pos L]]&lt;&gt;0,Table1[[#This Row],[New Pos L]],Table1[[#This Row],[New Pos R]])</f>
        <v>70</v>
      </c>
    </row>
    <row r="1014" spans="1:6" ht="16" x14ac:dyDescent="0.2">
      <c r="A1014" s="1" t="s">
        <v>89</v>
      </c>
      <c r="B1014" t="str">
        <f>LEFT(Table1[[#This Row],[Input]],1)</f>
        <v>L</v>
      </c>
      <c r="C1014">
        <f>_xlfn.LET(_xlpm.steps,SUBSTITUTE(Table1[[#This Row],[Input]],Table1[[#This Row],[Direction]],""),VALUE(IF(LEN(_xlpm.steps)&gt;2,RIGHT(_xlpm.steps,2),_xlpm.steps)))</f>
        <v>91</v>
      </c>
      <c r="D1014">
        <f>_xlfn.LET(_xlpm.dir,Table1[[#This Row],[Direction]],
IF(_xlpm.dir="L",
    IF(F1013-Table1[[#This Row],[Steps]]&lt;0,100+(F1013-Table1[[#This Row],[Steps]]),F1013-Table1[[#This Row],[Steps]]),
))</f>
        <v>79</v>
      </c>
      <c r="E1014">
        <f>_xlfn.LET(_xlpm.dir,Table1[[#This Row],[Direction]],
IF(_xlpm.dir="R",
    IF(F1013+Table1[[#This Row],[Steps]]&gt;99,(F1013+Table1[[#This Row],[Steps]])-100,F1013+Table1[[#This Row],[Steps]]),
))</f>
        <v>0</v>
      </c>
      <c r="F1014">
        <f>IF(Table1[[#This Row],[New Pos L]]&lt;&gt;0,Table1[[#This Row],[New Pos L]],Table1[[#This Row],[New Pos R]])</f>
        <v>79</v>
      </c>
    </row>
    <row r="1015" spans="1:6" ht="16" x14ac:dyDescent="0.2">
      <c r="A1015" s="1" t="s">
        <v>365</v>
      </c>
      <c r="B1015" t="str">
        <f>LEFT(Table1[[#This Row],[Input]],1)</f>
        <v>R</v>
      </c>
      <c r="C1015">
        <f>_xlfn.LET(_xlpm.steps,SUBSTITUTE(Table1[[#This Row],[Input]],Table1[[#This Row],[Direction]],""),VALUE(IF(LEN(_xlpm.steps)&gt;2,RIGHT(_xlpm.steps,2),_xlpm.steps)))</f>
        <v>37</v>
      </c>
      <c r="D1015">
        <f>_xlfn.LET(_xlpm.dir,Table1[[#This Row],[Direction]],
IF(_xlpm.dir="L",
    IF(F1014-Table1[[#This Row],[Steps]]&lt;0,100+(F1014-Table1[[#This Row],[Steps]]),F1014-Table1[[#This Row],[Steps]]),
))</f>
        <v>0</v>
      </c>
      <c r="E1015">
        <f>_xlfn.LET(_xlpm.dir,Table1[[#This Row],[Direction]],
IF(_xlpm.dir="R",
    IF(F1014+Table1[[#This Row],[Steps]]&gt;99,(F1014+Table1[[#This Row],[Steps]])-100,F1014+Table1[[#This Row],[Steps]]),
))</f>
        <v>16</v>
      </c>
      <c r="F1015">
        <f>IF(Table1[[#This Row],[New Pos L]]&lt;&gt;0,Table1[[#This Row],[New Pos L]],Table1[[#This Row],[New Pos R]])</f>
        <v>16</v>
      </c>
    </row>
    <row r="1016" spans="1:6" ht="16" x14ac:dyDescent="0.2">
      <c r="A1016" s="1" t="s">
        <v>79</v>
      </c>
      <c r="B1016" t="str">
        <f>LEFT(Table1[[#This Row],[Input]],1)</f>
        <v>L</v>
      </c>
      <c r="C1016">
        <f>_xlfn.LET(_xlpm.steps,SUBSTITUTE(Table1[[#This Row],[Input]],Table1[[#This Row],[Direction]],""),VALUE(IF(LEN(_xlpm.steps)&gt;2,RIGHT(_xlpm.steps,2),_xlpm.steps)))</f>
        <v>45</v>
      </c>
      <c r="D1016">
        <f>_xlfn.LET(_xlpm.dir,Table1[[#This Row],[Direction]],
IF(_xlpm.dir="L",
    IF(F1015-Table1[[#This Row],[Steps]]&lt;0,100+(F1015-Table1[[#This Row],[Steps]]),F1015-Table1[[#This Row],[Steps]]),
))</f>
        <v>71</v>
      </c>
      <c r="E1016">
        <f>_xlfn.LET(_xlpm.dir,Table1[[#This Row],[Direction]],
IF(_xlpm.dir="R",
    IF(F1015+Table1[[#This Row],[Steps]]&gt;99,(F1015+Table1[[#This Row],[Steps]])-100,F1015+Table1[[#This Row],[Steps]]),
))</f>
        <v>0</v>
      </c>
      <c r="F1016">
        <f>IF(Table1[[#This Row],[New Pos L]]&lt;&gt;0,Table1[[#This Row],[New Pos L]],Table1[[#This Row],[New Pos R]])</f>
        <v>71</v>
      </c>
    </row>
    <row r="1017" spans="1:6" ht="16" x14ac:dyDescent="0.2">
      <c r="A1017" s="1" t="s">
        <v>17</v>
      </c>
      <c r="B1017" t="str">
        <f>LEFT(Table1[[#This Row],[Input]],1)</f>
        <v>L</v>
      </c>
      <c r="C1017">
        <f>_xlfn.LET(_xlpm.steps,SUBSTITUTE(Table1[[#This Row],[Input]],Table1[[#This Row],[Direction]],""),VALUE(IF(LEN(_xlpm.steps)&gt;2,RIGHT(_xlpm.steps,2),_xlpm.steps)))</f>
        <v>50</v>
      </c>
      <c r="D1017">
        <f>_xlfn.LET(_xlpm.dir,Table1[[#This Row],[Direction]],
IF(_xlpm.dir="L",
    IF(F1016-Table1[[#This Row],[Steps]]&lt;0,100+(F1016-Table1[[#This Row],[Steps]]),F1016-Table1[[#This Row],[Steps]]),
))</f>
        <v>21</v>
      </c>
      <c r="E1017">
        <f>_xlfn.LET(_xlpm.dir,Table1[[#This Row],[Direction]],
IF(_xlpm.dir="R",
    IF(F1016+Table1[[#This Row],[Steps]]&gt;99,(F1016+Table1[[#This Row],[Steps]])-100,F1016+Table1[[#This Row],[Steps]]),
))</f>
        <v>0</v>
      </c>
      <c r="F1017">
        <f>IF(Table1[[#This Row],[New Pos L]]&lt;&gt;0,Table1[[#This Row],[New Pos L]],Table1[[#This Row],[New Pos R]])</f>
        <v>21</v>
      </c>
    </row>
    <row r="1018" spans="1:6" ht="16" x14ac:dyDescent="0.2">
      <c r="A1018" s="1" t="s">
        <v>83</v>
      </c>
      <c r="B1018" t="str">
        <f>LEFT(Table1[[#This Row],[Input]],1)</f>
        <v>R</v>
      </c>
      <c r="C1018">
        <f>_xlfn.LET(_xlpm.steps,SUBSTITUTE(Table1[[#This Row],[Input]],Table1[[#This Row],[Direction]],""),VALUE(IF(LEN(_xlpm.steps)&gt;2,RIGHT(_xlpm.steps,2),_xlpm.steps)))</f>
        <v>79</v>
      </c>
      <c r="D1018">
        <f>_xlfn.LET(_xlpm.dir,Table1[[#This Row],[Direction]],
IF(_xlpm.dir="L",
    IF(F1017-Table1[[#This Row],[Steps]]&lt;0,100+(F1017-Table1[[#This Row],[Steps]]),F1017-Table1[[#This Row],[Steps]]),
))</f>
        <v>0</v>
      </c>
      <c r="E1018">
        <f>_xlfn.LET(_xlpm.dir,Table1[[#This Row],[Direction]],
IF(_xlpm.dir="R",
    IF(F1017+Table1[[#This Row],[Steps]]&gt;99,(F1017+Table1[[#This Row],[Steps]])-100,F1017+Table1[[#This Row],[Steps]]),
))</f>
        <v>0</v>
      </c>
      <c r="F1018">
        <f>IF(Table1[[#This Row],[New Pos L]]&lt;&gt;0,Table1[[#This Row],[New Pos L]],Table1[[#This Row],[New Pos R]])</f>
        <v>0</v>
      </c>
    </row>
    <row r="1019" spans="1:6" ht="16" x14ac:dyDescent="0.2">
      <c r="A1019" s="1" t="s">
        <v>60</v>
      </c>
      <c r="B1019" t="str">
        <f>LEFT(Table1[[#This Row],[Input]],1)</f>
        <v>R</v>
      </c>
      <c r="C1019">
        <f>_xlfn.LET(_xlpm.steps,SUBSTITUTE(Table1[[#This Row],[Input]],Table1[[#This Row],[Direction]],""),VALUE(IF(LEN(_xlpm.steps)&gt;2,RIGHT(_xlpm.steps,2),_xlpm.steps)))</f>
        <v>86</v>
      </c>
      <c r="D1019">
        <f>_xlfn.LET(_xlpm.dir,Table1[[#This Row],[Direction]],
IF(_xlpm.dir="L",
    IF(F1018-Table1[[#This Row],[Steps]]&lt;0,100+(F1018-Table1[[#This Row],[Steps]]),F1018-Table1[[#This Row],[Steps]]),
))</f>
        <v>0</v>
      </c>
      <c r="E1019">
        <f>_xlfn.LET(_xlpm.dir,Table1[[#This Row],[Direction]],
IF(_xlpm.dir="R",
    IF(F1018+Table1[[#This Row],[Steps]]&gt;99,(F1018+Table1[[#This Row],[Steps]])-100,F1018+Table1[[#This Row],[Steps]]),
))</f>
        <v>86</v>
      </c>
      <c r="F1019">
        <f>IF(Table1[[#This Row],[New Pos L]]&lt;&gt;0,Table1[[#This Row],[New Pos L]],Table1[[#This Row],[New Pos R]])</f>
        <v>86</v>
      </c>
    </row>
    <row r="1020" spans="1:6" ht="16" x14ac:dyDescent="0.2">
      <c r="A1020" s="1" t="s">
        <v>191</v>
      </c>
      <c r="B1020" t="str">
        <f>LEFT(Table1[[#This Row],[Input]],1)</f>
        <v>L</v>
      </c>
      <c r="C1020">
        <f>_xlfn.LET(_xlpm.steps,SUBSTITUTE(Table1[[#This Row],[Input]],Table1[[#This Row],[Direction]],""),VALUE(IF(LEN(_xlpm.steps)&gt;2,RIGHT(_xlpm.steps,2),_xlpm.steps)))</f>
        <v>5</v>
      </c>
      <c r="D1020">
        <f>_xlfn.LET(_xlpm.dir,Table1[[#This Row],[Direction]],
IF(_xlpm.dir="L",
    IF(F1019-Table1[[#This Row],[Steps]]&lt;0,100+(F1019-Table1[[#This Row],[Steps]]),F1019-Table1[[#This Row],[Steps]]),
))</f>
        <v>81</v>
      </c>
      <c r="E1020">
        <f>_xlfn.LET(_xlpm.dir,Table1[[#This Row],[Direction]],
IF(_xlpm.dir="R",
    IF(F1019+Table1[[#This Row],[Steps]]&gt;99,(F1019+Table1[[#This Row],[Steps]])-100,F1019+Table1[[#This Row],[Steps]]),
))</f>
        <v>0</v>
      </c>
      <c r="F1020">
        <f>IF(Table1[[#This Row],[New Pos L]]&lt;&gt;0,Table1[[#This Row],[New Pos L]],Table1[[#This Row],[New Pos R]])</f>
        <v>81</v>
      </c>
    </row>
    <row r="1021" spans="1:6" ht="16" x14ac:dyDescent="0.2">
      <c r="A1021" s="1" t="s">
        <v>363</v>
      </c>
      <c r="B1021" t="str">
        <f>LEFT(Table1[[#This Row],[Input]],1)</f>
        <v>R</v>
      </c>
      <c r="C1021">
        <f>_xlfn.LET(_xlpm.steps,SUBSTITUTE(Table1[[#This Row],[Input]],Table1[[#This Row],[Direction]],""),VALUE(IF(LEN(_xlpm.steps)&gt;2,RIGHT(_xlpm.steps,2),_xlpm.steps)))</f>
        <v>63</v>
      </c>
      <c r="D1021">
        <f>_xlfn.LET(_xlpm.dir,Table1[[#This Row],[Direction]],
IF(_xlpm.dir="L",
    IF(F1020-Table1[[#This Row],[Steps]]&lt;0,100+(F1020-Table1[[#This Row],[Steps]]),F1020-Table1[[#This Row],[Steps]]),
))</f>
        <v>0</v>
      </c>
      <c r="E1021">
        <f>_xlfn.LET(_xlpm.dir,Table1[[#This Row],[Direction]],
IF(_xlpm.dir="R",
    IF(F1020+Table1[[#This Row],[Steps]]&gt;99,(F1020+Table1[[#This Row],[Steps]])-100,F1020+Table1[[#This Row],[Steps]]),
))</f>
        <v>44</v>
      </c>
      <c r="F1021">
        <f>IF(Table1[[#This Row],[New Pos L]]&lt;&gt;0,Table1[[#This Row],[New Pos L]],Table1[[#This Row],[New Pos R]])</f>
        <v>44</v>
      </c>
    </row>
    <row r="1022" spans="1:6" ht="16" x14ac:dyDescent="0.2">
      <c r="A1022" s="1" t="s">
        <v>172</v>
      </c>
      <c r="B1022" t="str">
        <f>LEFT(Table1[[#This Row],[Input]],1)</f>
        <v>L</v>
      </c>
      <c r="C1022">
        <f>_xlfn.LET(_xlpm.steps,SUBSTITUTE(Table1[[#This Row],[Input]],Table1[[#This Row],[Direction]],""),VALUE(IF(LEN(_xlpm.steps)&gt;2,RIGHT(_xlpm.steps,2),_xlpm.steps)))</f>
        <v>66</v>
      </c>
      <c r="D1022">
        <f>_xlfn.LET(_xlpm.dir,Table1[[#This Row],[Direction]],
IF(_xlpm.dir="L",
    IF(F1021-Table1[[#This Row],[Steps]]&lt;0,100+(F1021-Table1[[#This Row],[Steps]]),F1021-Table1[[#This Row],[Steps]]),
))</f>
        <v>78</v>
      </c>
      <c r="E1022">
        <f>_xlfn.LET(_xlpm.dir,Table1[[#This Row],[Direction]],
IF(_xlpm.dir="R",
    IF(F1021+Table1[[#This Row],[Steps]]&gt;99,(F1021+Table1[[#This Row],[Steps]])-100,F1021+Table1[[#This Row],[Steps]]),
))</f>
        <v>0</v>
      </c>
      <c r="F1022">
        <f>IF(Table1[[#This Row],[New Pos L]]&lt;&gt;0,Table1[[#This Row],[New Pos L]],Table1[[#This Row],[New Pos R]])</f>
        <v>78</v>
      </c>
    </row>
    <row r="1023" spans="1:6" ht="16" x14ac:dyDescent="0.2">
      <c r="A1023" s="1" t="s">
        <v>366</v>
      </c>
      <c r="B1023" t="str">
        <f>LEFT(Table1[[#This Row],[Input]],1)</f>
        <v>R</v>
      </c>
      <c r="C1023">
        <f>_xlfn.LET(_xlpm.steps,SUBSTITUTE(Table1[[#This Row],[Input]],Table1[[#This Row],[Direction]],""),VALUE(IF(LEN(_xlpm.steps)&gt;2,RIGHT(_xlpm.steps,2),_xlpm.steps)))</f>
        <v>23</v>
      </c>
      <c r="D1023">
        <f>_xlfn.LET(_xlpm.dir,Table1[[#This Row],[Direction]],
IF(_xlpm.dir="L",
    IF(F1022-Table1[[#This Row],[Steps]]&lt;0,100+(F1022-Table1[[#This Row],[Steps]]),F1022-Table1[[#This Row],[Steps]]),
))</f>
        <v>0</v>
      </c>
      <c r="E1023">
        <f>_xlfn.LET(_xlpm.dir,Table1[[#This Row],[Direction]],
IF(_xlpm.dir="R",
    IF(F1022+Table1[[#This Row],[Steps]]&gt;99,(F1022+Table1[[#This Row],[Steps]])-100,F1022+Table1[[#This Row],[Steps]]),
))</f>
        <v>1</v>
      </c>
      <c r="F1023">
        <f>IF(Table1[[#This Row],[New Pos L]]&lt;&gt;0,Table1[[#This Row],[New Pos L]],Table1[[#This Row],[New Pos R]])</f>
        <v>1</v>
      </c>
    </row>
    <row r="1024" spans="1:6" ht="16" x14ac:dyDescent="0.2">
      <c r="A1024" s="1" t="s">
        <v>295</v>
      </c>
      <c r="B1024" t="str">
        <f>LEFT(Table1[[#This Row],[Input]],1)</f>
        <v>L</v>
      </c>
      <c r="C1024">
        <f>_xlfn.LET(_xlpm.steps,SUBSTITUTE(Table1[[#This Row],[Input]],Table1[[#This Row],[Direction]],""),VALUE(IF(LEN(_xlpm.steps)&gt;2,RIGHT(_xlpm.steps,2),_xlpm.steps)))</f>
        <v>88</v>
      </c>
      <c r="D1024">
        <f>_xlfn.LET(_xlpm.dir,Table1[[#This Row],[Direction]],
IF(_xlpm.dir="L",
    IF(F1023-Table1[[#This Row],[Steps]]&lt;0,100+(F1023-Table1[[#This Row],[Steps]]),F1023-Table1[[#This Row],[Steps]]),
))</f>
        <v>13</v>
      </c>
      <c r="E1024">
        <f>_xlfn.LET(_xlpm.dir,Table1[[#This Row],[Direction]],
IF(_xlpm.dir="R",
    IF(F1023+Table1[[#This Row],[Steps]]&gt;99,(F1023+Table1[[#This Row],[Steps]])-100,F1023+Table1[[#This Row],[Steps]]),
))</f>
        <v>0</v>
      </c>
      <c r="F1024">
        <f>IF(Table1[[#This Row],[New Pos L]]&lt;&gt;0,Table1[[#This Row],[New Pos L]],Table1[[#This Row],[New Pos R]])</f>
        <v>13</v>
      </c>
    </row>
    <row r="1025" spans="1:6" ht="16" x14ac:dyDescent="0.2">
      <c r="A1025" s="1" t="s">
        <v>39</v>
      </c>
      <c r="B1025" t="str">
        <f>LEFT(Table1[[#This Row],[Input]],1)</f>
        <v>R</v>
      </c>
      <c r="C1025">
        <f>_xlfn.LET(_xlpm.steps,SUBSTITUTE(Table1[[#This Row],[Input]],Table1[[#This Row],[Direction]],""),VALUE(IF(LEN(_xlpm.steps)&gt;2,RIGHT(_xlpm.steps,2),_xlpm.steps)))</f>
        <v>32</v>
      </c>
      <c r="D1025">
        <f>_xlfn.LET(_xlpm.dir,Table1[[#This Row],[Direction]],
IF(_xlpm.dir="L",
    IF(F1024-Table1[[#This Row],[Steps]]&lt;0,100+(F1024-Table1[[#This Row],[Steps]]),F1024-Table1[[#This Row],[Steps]]),
))</f>
        <v>0</v>
      </c>
      <c r="E1025">
        <f>_xlfn.LET(_xlpm.dir,Table1[[#This Row],[Direction]],
IF(_xlpm.dir="R",
    IF(F1024+Table1[[#This Row],[Steps]]&gt;99,(F1024+Table1[[#This Row],[Steps]])-100,F1024+Table1[[#This Row],[Steps]]),
))</f>
        <v>45</v>
      </c>
      <c r="F1025">
        <f>IF(Table1[[#This Row],[New Pos L]]&lt;&gt;0,Table1[[#This Row],[New Pos L]],Table1[[#This Row],[New Pos R]])</f>
        <v>45</v>
      </c>
    </row>
    <row r="1026" spans="1:6" ht="16" x14ac:dyDescent="0.2">
      <c r="A1026" s="1" t="s">
        <v>79</v>
      </c>
      <c r="B1026" t="str">
        <f>LEFT(Table1[[#This Row],[Input]],1)</f>
        <v>L</v>
      </c>
      <c r="C1026">
        <f>_xlfn.LET(_xlpm.steps,SUBSTITUTE(Table1[[#This Row],[Input]],Table1[[#This Row],[Direction]],""),VALUE(IF(LEN(_xlpm.steps)&gt;2,RIGHT(_xlpm.steps,2),_xlpm.steps)))</f>
        <v>45</v>
      </c>
      <c r="D1026">
        <f>_xlfn.LET(_xlpm.dir,Table1[[#This Row],[Direction]],
IF(_xlpm.dir="L",
    IF(F1025-Table1[[#This Row],[Steps]]&lt;0,100+(F1025-Table1[[#This Row],[Steps]]),F1025-Table1[[#This Row],[Steps]]),
))</f>
        <v>0</v>
      </c>
      <c r="E1026">
        <f>_xlfn.LET(_xlpm.dir,Table1[[#This Row],[Direction]],
IF(_xlpm.dir="R",
    IF(F1025+Table1[[#This Row],[Steps]]&gt;99,(F1025+Table1[[#This Row],[Steps]])-100,F1025+Table1[[#This Row],[Steps]]),
))</f>
        <v>0</v>
      </c>
      <c r="F1026">
        <f>IF(Table1[[#This Row],[New Pos L]]&lt;&gt;0,Table1[[#This Row],[New Pos L]],Table1[[#This Row],[New Pos R]])</f>
        <v>0</v>
      </c>
    </row>
    <row r="1027" spans="1:6" ht="16" x14ac:dyDescent="0.2">
      <c r="A1027" s="1" t="s">
        <v>5</v>
      </c>
      <c r="B1027" t="str">
        <f>LEFT(Table1[[#This Row],[Input]],1)</f>
        <v>R</v>
      </c>
      <c r="C1027">
        <f>_xlfn.LET(_xlpm.steps,SUBSTITUTE(Table1[[#This Row],[Input]],Table1[[#This Row],[Direction]],""),VALUE(IF(LEN(_xlpm.steps)&gt;2,RIGHT(_xlpm.steps,2),_xlpm.steps)))</f>
        <v>1</v>
      </c>
      <c r="D1027">
        <f>_xlfn.LET(_xlpm.dir,Table1[[#This Row],[Direction]],
IF(_xlpm.dir="L",
    IF(F1026-Table1[[#This Row],[Steps]]&lt;0,100+(F1026-Table1[[#This Row],[Steps]]),F1026-Table1[[#This Row],[Steps]]),
))</f>
        <v>0</v>
      </c>
      <c r="E1027">
        <f>_xlfn.LET(_xlpm.dir,Table1[[#This Row],[Direction]],
IF(_xlpm.dir="R",
    IF(F1026+Table1[[#This Row],[Steps]]&gt;99,(F1026+Table1[[#This Row],[Steps]])-100,F1026+Table1[[#This Row],[Steps]]),
))</f>
        <v>1</v>
      </c>
      <c r="F1027">
        <f>IF(Table1[[#This Row],[New Pos L]]&lt;&gt;0,Table1[[#This Row],[New Pos L]],Table1[[#This Row],[New Pos R]])</f>
        <v>1</v>
      </c>
    </row>
    <row r="1028" spans="1:6" ht="16" x14ac:dyDescent="0.2">
      <c r="A1028" s="1" t="s">
        <v>39</v>
      </c>
      <c r="B1028" t="str">
        <f>LEFT(Table1[[#This Row],[Input]],1)</f>
        <v>R</v>
      </c>
      <c r="C1028">
        <f>_xlfn.LET(_xlpm.steps,SUBSTITUTE(Table1[[#This Row],[Input]],Table1[[#This Row],[Direction]],""),VALUE(IF(LEN(_xlpm.steps)&gt;2,RIGHT(_xlpm.steps,2),_xlpm.steps)))</f>
        <v>32</v>
      </c>
      <c r="D1028">
        <f>_xlfn.LET(_xlpm.dir,Table1[[#This Row],[Direction]],
IF(_xlpm.dir="L",
    IF(F1027-Table1[[#This Row],[Steps]]&lt;0,100+(F1027-Table1[[#This Row],[Steps]]),F1027-Table1[[#This Row],[Steps]]),
))</f>
        <v>0</v>
      </c>
      <c r="E1028">
        <f>_xlfn.LET(_xlpm.dir,Table1[[#This Row],[Direction]],
IF(_xlpm.dir="R",
    IF(F1027+Table1[[#This Row],[Steps]]&gt;99,(F1027+Table1[[#This Row],[Steps]])-100,F1027+Table1[[#This Row],[Steps]]),
))</f>
        <v>33</v>
      </c>
      <c r="F1028">
        <f>IF(Table1[[#This Row],[New Pos L]]&lt;&gt;0,Table1[[#This Row],[New Pos L]],Table1[[#This Row],[New Pos R]])</f>
        <v>33</v>
      </c>
    </row>
    <row r="1029" spans="1:6" ht="16" x14ac:dyDescent="0.2">
      <c r="A1029" s="1" t="s">
        <v>42</v>
      </c>
      <c r="B1029" t="str">
        <f>LEFT(Table1[[#This Row],[Input]],1)</f>
        <v>L</v>
      </c>
      <c r="C1029">
        <f>_xlfn.LET(_xlpm.steps,SUBSTITUTE(Table1[[#This Row],[Input]],Table1[[#This Row],[Direction]],""),VALUE(IF(LEN(_xlpm.steps)&gt;2,RIGHT(_xlpm.steps,2),_xlpm.steps)))</f>
        <v>27</v>
      </c>
      <c r="D1029">
        <f>_xlfn.LET(_xlpm.dir,Table1[[#This Row],[Direction]],
IF(_xlpm.dir="L",
    IF(F1028-Table1[[#This Row],[Steps]]&lt;0,100+(F1028-Table1[[#This Row],[Steps]]),F1028-Table1[[#This Row],[Steps]]),
))</f>
        <v>6</v>
      </c>
      <c r="E1029">
        <f>_xlfn.LET(_xlpm.dir,Table1[[#This Row],[Direction]],
IF(_xlpm.dir="R",
    IF(F1028+Table1[[#This Row],[Steps]]&gt;99,(F1028+Table1[[#This Row],[Steps]])-100,F1028+Table1[[#This Row],[Steps]]),
))</f>
        <v>0</v>
      </c>
      <c r="F1029">
        <f>IF(Table1[[#This Row],[New Pos L]]&lt;&gt;0,Table1[[#This Row],[New Pos L]],Table1[[#This Row],[New Pos R]])</f>
        <v>6</v>
      </c>
    </row>
    <row r="1030" spans="1:6" ht="16" x14ac:dyDescent="0.2">
      <c r="A1030" s="1" t="s">
        <v>59</v>
      </c>
      <c r="B1030" t="str">
        <f>LEFT(Table1[[#This Row],[Input]],1)</f>
        <v>L</v>
      </c>
      <c r="C1030">
        <f>_xlfn.LET(_xlpm.steps,SUBSTITUTE(Table1[[#This Row],[Input]],Table1[[#This Row],[Direction]],""),VALUE(IF(LEN(_xlpm.steps)&gt;2,RIGHT(_xlpm.steps,2),_xlpm.steps)))</f>
        <v>6</v>
      </c>
      <c r="D1030">
        <f>_xlfn.LET(_xlpm.dir,Table1[[#This Row],[Direction]],
IF(_xlpm.dir="L",
    IF(F1029-Table1[[#This Row],[Steps]]&lt;0,100+(F1029-Table1[[#This Row],[Steps]]),F1029-Table1[[#This Row],[Steps]]),
))</f>
        <v>0</v>
      </c>
      <c r="E1030">
        <f>_xlfn.LET(_xlpm.dir,Table1[[#This Row],[Direction]],
IF(_xlpm.dir="R",
    IF(F1029+Table1[[#This Row],[Steps]]&gt;99,(F1029+Table1[[#This Row],[Steps]])-100,F1029+Table1[[#This Row],[Steps]]),
))</f>
        <v>0</v>
      </c>
      <c r="F1030">
        <f>IF(Table1[[#This Row],[New Pos L]]&lt;&gt;0,Table1[[#This Row],[New Pos L]],Table1[[#This Row],[New Pos R]])</f>
        <v>0</v>
      </c>
    </row>
    <row r="1031" spans="1:6" ht="16" x14ac:dyDescent="0.2">
      <c r="A1031" s="1" t="s">
        <v>60</v>
      </c>
      <c r="B1031" t="str">
        <f>LEFT(Table1[[#This Row],[Input]],1)</f>
        <v>R</v>
      </c>
      <c r="C1031">
        <f>_xlfn.LET(_xlpm.steps,SUBSTITUTE(Table1[[#This Row],[Input]],Table1[[#This Row],[Direction]],""),VALUE(IF(LEN(_xlpm.steps)&gt;2,RIGHT(_xlpm.steps,2),_xlpm.steps)))</f>
        <v>86</v>
      </c>
      <c r="D1031">
        <f>_xlfn.LET(_xlpm.dir,Table1[[#This Row],[Direction]],
IF(_xlpm.dir="L",
    IF(F1030-Table1[[#This Row],[Steps]]&lt;0,100+(F1030-Table1[[#This Row],[Steps]]),F1030-Table1[[#This Row],[Steps]]),
))</f>
        <v>0</v>
      </c>
      <c r="E1031">
        <f>_xlfn.LET(_xlpm.dir,Table1[[#This Row],[Direction]],
IF(_xlpm.dir="R",
    IF(F1030+Table1[[#This Row],[Steps]]&gt;99,(F1030+Table1[[#This Row],[Steps]])-100,F1030+Table1[[#This Row],[Steps]]),
))</f>
        <v>86</v>
      </c>
      <c r="F1031">
        <f>IF(Table1[[#This Row],[New Pos L]]&lt;&gt;0,Table1[[#This Row],[New Pos L]],Table1[[#This Row],[New Pos R]])</f>
        <v>86</v>
      </c>
    </row>
    <row r="1032" spans="1:6" ht="16" x14ac:dyDescent="0.2">
      <c r="A1032" s="1" t="s">
        <v>367</v>
      </c>
      <c r="B1032" t="str">
        <f>LEFT(Table1[[#This Row],[Input]],1)</f>
        <v>R</v>
      </c>
      <c r="C1032">
        <f>_xlfn.LET(_xlpm.steps,SUBSTITUTE(Table1[[#This Row],[Input]],Table1[[#This Row],[Direction]],""),VALUE(IF(LEN(_xlpm.steps)&gt;2,RIGHT(_xlpm.steps,2),_xlpm.steps)))</f>
        <v>47</v>
      </c>
      <c r="D1032">
        <f>_xlfn.LET(_xlpm.dir,Table1[[#This Row],[Direction]],
IF(_xlpm.dir="L",
    IF(F1031-Table1[[#This Row],[Steps]]&lt;0,100+(F1031-Table1[[#This Row],[Steps]]),F1031-Table1[[#This Row],[Steps]]),
))</f>
        <v>0</v>
      </c>
      <c r="E1032">
        <f>_xlfn.LET(_xlpm.dir,Table1[[#This Row],[Direction]],
IF(_xlpm.dir="R",
    IF(F1031+Table1[[#This Row],[Steps]]&gt;99,(F1031+Table1[[#This Row],[Steps]])-100,F1031+Table1[[#This Row],[Steps]]),
))</f>
        <v>33</v>
      </c>
      <c r="F1032">
        <f>IF(Table1[[#This Row],[New Pos L]]&lt;&gt;0,Table1[[#This Row],[New Pos L]],Table1[[#This Row],[New Pos R]])</f>
        <v>33</v>
      </c>
    </row>
    <row r="1033" spans="1:6" ht="16" x14ac:dyDescent="0.2">
      <c r="A1033" s="1" t="s">
        <v>253</v>
      </c>
      <c r="B1033" t="str">
        <f>LEFT(Table1[[#This Row],[Input]],1)</f>
        <v>R</v>
      </c>
      <c r="C1033">
        <f>_xlfn.LET(_xlpm.steps,SUBSTITUTE(Table1[[#This Row],[Input]],Table1[[#This Row],[Direction]],""),VALUE(IF(LEN(_xlpm.steps)&gt;2,RIGHT(_xlpm.steps,2),_xlpm.steps)))</f>
        <v>94</v>
      </c>
      <c r="D1033">
        <f>_xlfn.LET(_xlpm.dir,Table1[[#This Row],[Direction]],
IF(_xlpm.dir="L",
    IF(F1032-Table1[[#This Row],[Steps]]&lt;0,100+(F1032-Table1[[#This Row],[Steps]]),F1032-Table1[[#This Row],[Steps]]),
))</f>
        <v>0</v>
      </c>
      <c r="E1033">
        <f>_xlfn.LET(_xlpm.dir,Table1[[#This Row],[Direction]],
IF(_xlpm.dir="R",
    IF(F1032+Table1[[#This Row],[Steps]]&gt;99,(F1032+Table1[[#This Row],[Steps]])-100,F1032+Table1[[#This Row],[Steps]]),
))</f>
        <v>27</v>
      </c>
      <c r="F1033">
        <f>IF(Table1[[#This Row],[New Pos L]]&lt;&gt;0,Table1[[#This Row],[New Pos L]],Table1[[#This Row],[New Pos R]])</f>
        <v>27</v>
      </c>
    </row>
    <row r="1034" spans="1:6" ht="16" x14ac:dyDescent="0.2">
      <c r="A1034" s="1" t="s">
        <v>194</v>
      </c>
      <c r="B1034" t="str">
        <f>LEFT(Table1[[#This Row],[Input]],1)</f>
        <v>R</v>
      </c>
      <c r="C1034">
        <f>_xlfn.LET(_xlpm.steps,SUBSTITUTE(Table1[[#This Row],[Input]],Table1[[#This Row],[Direction]],""),VALUE(IF(LEN(_xlpm.steps)&gt;2,RIGHT(_xlpm.steps,2),_xlpm.steps)))</f>
        <v>51</v>
      </c>
      <c r="D1034">
        <f>_xlfn.LET(_xlpm.dir,Table1[[#This Row],[Direction]],
IF(_xlpm.dir="L",
    IF(F1033-Table1[[#This Row],[Steps]]&lt;0,100+(F1033-Table1[[#This Row],[Steps]]),F1033-Table1[[#This Row],[Steps]]),
))</f>
        <v>0</v>
      </c>
      <c r="E1034">
        <f>_xlfn.LET(_xlpm.dir,Table1[[#This Row],[Direction]],
IF(_xlpm.dir="R",
    IF(F1033+Table1[[#This Row],[Steps]]&gt;99,(F1033+Table1[[#This Row],[Steps]])-100,F1033+Table1[[#This Row],[Steps]]),
))</f>
        <v>78</v>
      </c>
      <c r="F1034">
        <f>IF(Table1[[#This Row],[New Pos L]]&lt;&gt;0,Table1[[#This Row],[New Pos L]],Table1[[#This Row],[New Pos R]])</f>
        <v>78</v>
      </c>
    </row>
    <row r="1035" spans="1:6" ht="16" x14ac:dyDescent="0.2">
      <c r="A1035" s="1" t="s">
        <v>9</v>
      </c>
      <c r="B1035" t="str">
        <f>LEFT(Table1[[#This Row],[Input]],1)</f>
        <v>L</v>
      </c>
      <c r="C1035">
        <f>_xlfn.LET(_xlpm.steps,SUBSTITUTE(Table1[[#This Row],[Input]],Table1[[#This Row],[Direction]],""),VALUE(IF(LEN(_xlpm.steps)&gt;2,RIGHT(_xlpm.steps,2),_xlpm.steps)))</f>
        <v>9</v>
      </c>
      <c r="D1035">
        <f>_xlfn.LET(_xlpm.dir,Table1[[#This Row],[Direction]],
IF(_xlpm.dir="L",
    IF(F1034-Table1[[#This Row],[Steps]]&lt;0,100+(F1034-Table1[[#This Row],[Steps]]),F1034-Table1[[#This Row],[Steps]]),
))</f>
        <v>69</v>
      </c>
      <c r="E1035">
        <f>_xlfn.LET(_xlpm.dir,Table1[[#This Row],[Direction]],
IF(_xlpm.dir="R",
    IF(F1034+Table1[[#This Row],[Steps]]&gt;99,(F1034+Table1[[#This Row],[Steps]])-100,F1034+Table1[[#This Row],[Steps]]),
))</f>
        <v>0</v>
      </c>
      <c r="F1035">
        <f>IF(Table1[[#This Row],[New Pos L]]&lt;&gt;0,Table1[[#This Row],[New Pos L]],Table1[[#This Row],[New Pos R]])</f>
        <v>69</v>
      </c>
    </row>
    <row r="1036" spans="1:6" ht="16" x14ac:dyDescent="0.2">
      <c r="A1036" s="1" t="s">
        <v>35</v>
      </c>
      <c r="B1036" t="str">
        <f>LEFT(Table1[[#This Row],[Input]],1)</f>
        <v>L</v>
      </c>
      <c r="C1036">
        <f>_xlfn.LET(_xlpm.steps,SUBSTITUTE(Table1[[#This Row],[Input]],Table1[[#This Row],[Direction]],""),VALUE(IF(LEN(_xlpm.steps)&gt;2,RIGHT(_xlpm.steps,2),_xlpm.steps)))</f>
        <v>2</v>
      </c>
      <c r="D1036">
        <f>_xlfn.LET(_xlpm.dir,Table1[[#This Row],[Direction]],
IF(_xlpm.dir="L",
    IF(F1035-Table1[[#This Row],[Steps]]&lt;0,100+(F1035-Table1[[#This Row],[Steps]]),F1035-Table1[[#This Row],[Steps]]),
))</f>
        <v>67</v>
      </c>
      <c r="E1036">
        <f>_xlfn.LET(_xlpm.dir,Table1[[#This Row],[Direction]],
IF(_xlpm.dir="R",
    IF(F1035+Table1[[#This Row],[Steps]]&gt;99,(F1035+Table1[[#This Row],[Steps]])-100,F1035+Table1[[#This Row],[Steps]]),
))</f>
        <v>0</v>
      </c>
      <c r="F1036">
        <f>IF(Table1[[#This Row],[New Pos L]]&lt;&gt;0,Table1[[#This Row],[New Pos L]],Table1[[#This Row],[New Pos R]])</f>
        <v>67</v>
      </c>
    </row>
    <row r="1037" spans="1:6" ht="16" x14ac:dyDescent="0.2">
      <c r="A1037" s="1" t="s">
        <v>288</v>
      </c>
      <c r="B1037" t="str">
        <f>LEFT(Table1[[#This Row],[Input]],1)</f>
        <v>R</v>
      </c>
      <c r="C1037">
        <f>_xlfn.LET(_xlpm.steps,SUBSTITUTE(Table1[[#This Row],[Input]],Table1[[#This Row],[Direction]],""),VALUE(IF(LEN(_xlpm.steps)&gt;2,RIGHT(_xlpm.steps,2),_xlpm.steps)))</f>
        <v>25</v>
      </c>
      <c r="D1037">
        <f>_xlfn.LET(_xlpm.dir,Table1[[#This Row],[Direction]],
IF(_xlpm.dir="L",
    IF(F1036-Table1[[#This Row],[Steps]]&lt;0,100+(F1036-Table1[[#This Row],[Steps]]),F1036-Table1[[#This Row],[Steps]]),
))</f>
        <v>0</v>
      </c>
      <c r="E1037">
        <f>_xlfn.LET(_xlpm.dir,Table1[[#This Row],[Direction]],
IF(_xlpm.dir="R",
    IF(F1036+Table1[[#This Row],[Steps]]&gt;99,(F1036+Table1[[#This Row],[Steps]])-100,F1036+Table1[[#This Row],[Steps]]),
))</f>
        <v>92</v>
      </c>
      <c r="F1037">
        <f>IF(Table1[[#This Row],[New Pos L]]&lt;&gt;0,Table1[[#This Row],[New Pos L]],Table1[[#This Row],[New Pos R]])</f>
        <v>92</v>
      </c>
    </row>
    <row r="1038" spans="1:6" ht="16" x14ac:dyDescent="0.2">
      <c r="A1038" s="1" t="s">
        <v>174</v>
      </c>
      <c r="B1038" t="str">
        <f>LEFT(Table1[[#This Row],[Input]],1)</f>
        <v>L</v>
      </c>
      <c r="C1038">
        <f>_xlfn.LET(_xlpm.steps,SUBSTITUTE(Table1[[#This Row],[Input]],Table1[[#This Row],[Direction]],""),VALUE(IF(LEN(_xlpm.steps)&gt;2,RIGHT(_xlpm.steps,2),_xlpm.steps)))</f>
        <v>92</v>
      </c>
      <c r="D1038">
        <f>_xlfn.LET(_xlpm.dir,Table1[[#This Row],[Direction]],
IF(_xlpm.dir="L",
    IF(F1037-Table1[[#This Row],[Steps]]&lt;0,100+(F1037-Table1[[#This Row],[Steps]]),F1037-Table1[[#This Row],[Steps]]),
))</f>
        <v>0</v>
      </c>
      <c r="E1038">
        <f>_xlfn.LET(_xlpm.dir,Table1[[#This Row],[Direction]],
IF(_xlpm.dir="R",
    IF(F1037+Table1[[#This Row],[Steps]]&gt;99,(F1037+Table1[[#This Row],[Steps]])-100,F1037+Table1[[#This Row],[Steps]]),
))</f>
        <v>0</v>
      </c>
      <c r="F1038">
        <f>IF(Table1[[#This Row],[New Pos L]]&lt;&gt;0,Table1[[#This Row],[New Pos L]],Table1[[#This Row],[New Pos R]])</f>
        <v>0</v>
      </c>
    </row>
    <row r="1039" spans="1:6" ht="16" x14ac:dyDescent="0.2">
      <c r="A1039" s="1" t="s">
        <v>161</v>
      </c>
      <c r="B1039" t="str">
        <f>LEFT(Table1[[#This Row],[Input]],1)</f>
        <v>R</v>
      </c>
      <c r="C1039">
        <f>_xlfn.LET(_xlpm.steps,SUBSTITUTE(Table1[[#This Row],[Input]],Table1[[#This Row],[Direction]],""),VALUE(IF(LEN(_xlpm.steps)&gt;2,RIGHT(_xlpm.steps,2),_xlpm.steps)))</f>
        <v>76</v>
      </c>
      <c r="D1039">
        <f>_xlfn.LET(_xlpm.dir,Table1[[#This Row],[Direction]],
IF(_xlpm.dir="L",
    IF(F1038-Table1[[#This Row],[Steps]]&lt;0,100+(F1038-Table1[[#This Row],[Steps]]),F1038-Table1[[#This Row],[Steps]]),
))</f>
        <v>0</v>
      </c>
      <c r="E1039">
        <f>_xlfn.LET(_xlpm.dir,Table1[[#This Row],[Direction]],
IF(_xlpm.dir="R",
    IF(F1038+Table1[[#This Row],[Steps]]&gt;99,(F1038+Table1[[#This Row],[Steps]])-100,F1038+Table1[[#This Row],[Steps]]),
))</f>
        <v>76</v>
      </c>
      <c r="F1039">
        <f>IF(Table1[[#This Row],[New Pos L]]&lt;&gt;0,Table1[[#This Row],[New Pos L]],Table1[[#This Row],[New Pos R]])</f>
        <v>76</v>
      </c>
    </row>
    <row r="1040" spans="1:6" ht="16" x14ac:dyDescent="0.2">
      <c r="A1040" s="1" t="s">
        <v>368</v>
      </c>
      <c r="B1040" t="str">
        <f>LEFT(Table1[[#This Row],[Input]],1)</f>
        <v>L</v>
      </c>
      <c r="C1040">
        <f>_xlfn.LET(_xlpm.steps,SUBSTITUTE(Table1[[#This Row],[Input]],Table1[[#This Row],[Direction]],""),VALUE(IF(LEN(_xlpm.steps)&gt;2,RIGHT(_xlpm.steps,2),_xlpm.steps)))</f>
        <v>59</v>
      </c>
      <c r="D1040">
        <f>_xlfn.LET(_xlpm.dir,Table1[[#This Row],[Direction]],
IF(_xlpm.dir="L",
    IF(F1039-Table1[[#This Row],[Steps]]&lt;0,100+(F1039-Table1[[#This Row],[Steps]]),F1039-Table1[[#This Row],[Steps]]),
))</f>
        <v>17</v>
      </c>
      <c r="E1040">
        <f>_xlfn.LET(_xlpm.dir,Table1[[#This Row],[Direction]],
IF(_xlpm.dir="R",
    IF(F1039+Table1[[#This Row],[Steps]]&gt;99,(F1039+Table1[[#This Row],[Steps]])-100,F1039+Table1[[#This Row],[Steps]]),
))</f>
        <v>0</v>
      </c>
      <c r="F1040">
        <f>IF(Table1[[#This Row],[New Pos L]]&lt;&gt;0,Table1[[#This Row],[New Pos L]],Table1[[#This Row],[New Pos R]])</f>
        <v>17</v>
      </c>
    </row>
    <row r="1041" spans="1:6" ht="16" x14ac:dyDescent="0.2">
      <c r="A1041" s="1" t="s">
        <v>205</v>
      </c>
      <c r="B1041" t="str">
        <f>LEFT(Table1[[#This Row],[Input]],1)</f>
        <v>R</v>
      </c>
      <c r="C1041">
        <f>_xlfn.LET(_xlpm.steps,SUBSTITUTE(Table1[[#This Row],[Input]],Table1[[#This Row],[Direction]],""),VALUE(IF(LEN(_xlpm.steps)&gt;2,RIGHT(_xlpm.steps,2),_xlpm.steps)))</f>
        <v>83</v>
      </c>
      <c r="D1041">
        <f>_xlfn.LET(_xlpm.dir,Table1[[#This Row],[Direction]],
IF(_xlpm.dir="L",
    IF(F1040-Table1[[#This Row],[Steps]]&lt;0,100+(F1040-Table1[[#This Row],[Steps]]),F1040-Table1[[#This Row],[Steps]]),
))</f>
        <v>0</v>
      </c>
      <c r="E1041">
        <f>_xlfn.LET(_xlpm.dir,Table1[[#This Row],[Direction]],
IF(_xlpm.dir="R",
    IF(F1040+Table1[[#This Row],[Steps]]&gt;99,(F1040+Table1[[#This Row],[Steps]])-100,F1040+Table1[[#This Row],[Steps]]),
))</f>
        <v>0</v>
      </c>
      <c r="F1041">
        <f>IF(Table1[[#This Row],[New Pos L]]&lt;&gt;0,Table1[[#This Row],[New Pos L]],Table1[[#This Row],[New Pos R]])</f>
        <v>0</v>
      </c>
    </row>
    <row r="1042" spans="1:6" ht="16" x14ac:dyDescent="0.2">
      <c r="A1042" s="1" t="s">
        <v>19</v>
      </c>
      <c r="B1042" t="str">
        <f>LEFT(Table1[[#This Row],[Input]],1)</f>
        <v>R</v>
      </c>
      <c r="C1042">
        <f>_xlfn.LET(_xlpm.steps,SUBSTITUTE(Table1[[#This Row],[Input]],Table1[[#This Row],[Direction]],""),VALUE(IF(LEN(_xlpm.steps)&gt;2,RIGHT(_xlpm.steps,2),_xlpm.steps)))</f>
        <v>47</v>
      </c>
      <c r="D1042">
        <f>_xlfn.LET(_xlpm.dir,Table1[[#This Row],[Direction]],
IF(_xlpm.dir="L",
    IF(F1041-Table1[[#This Row],[Steps]]&lt;0,100+(F1041-Table1[[#This Row],[Steps]]),F1041-Table1[[#This Row],[Steps]]),
))</f>
        <v>0</v>
      </c>
      <c r="E1042">
        <f>_xlfn.LET(_xlpm.dir,Table1[[#This Row],[Direction]],
IF(_xlpm.dir="R",
    IF(F1041+Table1[[#This Row],[Steps]]&gt;99,(F1041+Table1[[#This Row],[Steps]])-100,F1041+Table1[[#This Row],[Steps]]),
))</f>
        <v>47</v>
      </c>
      <c r="F1042">
        <f>IF(Table1[[#This Row],[New Pos L]]&lt;&gt;0,Table1[[#This Row],[New Pos L]],Table1[[#This Row],[New Pos R]])</f>
        <v>47</v>
      </c>
    </row>
    <row r="1043" spans="1:6" ht="16" x14ac:dyDescent="0.2">
      <c r="A1043" s="1" t="s">
        <v>88</v>
      </c>
      <c r="B1043" t="str">
        <f>LEFT(Table1[[#This Row],[Input]],1)</f>
        <v>R</v>
      </c>
      <c r="C1043">
        <f>_xlfn.LET(_xlpm.steps,SUBSTITUTE(Table1[[#This Row],[Input]],Table1[[#This Row],[Direction]],""),VALUE(IF(LEN(_xlpm.steps)&gt;2,RIGHT(_xlpm.steps,2),_xlpm.steps)))</f>
        <v>53</v>
      </c>
      <c r="D1043">
        <f>_xlfn.LET(_xlpm.dir,Table1[[#This Row],[Direction]],
IF(_xlpm.dir="L",
    IF(F1042-Table1[[#This Row],[Steps]]&lt;0,100+(F1042-Table1[[#This Row],[Steps]]),F1042-Table1[[#This Row],[Steps]]),
))</f>
        <v>0</v>
      </c>
      <c r="E1043">
        <f>_xlfn.LET(_xlpm.dir,Table1[[#This Row],[Direction]],
IF(_xlpm.dir="R",
    IF(F1042+Table1[[#This Row],[Steps]]&gt;99,(F1042+Table1[[#This Row],[Steps]])-100,F1042+Table1[[#This Row],[Steps]]),
))</f>
        <v>0</v>
      </c>
      <c r="F1043">
        <f>IF(Table1[[#This Row],[New Pos L]]&lt;&gt;0,Table1[[#This Row],[New Pos L]],Table1[[#This Row],[New Pos R]])</f>
        <v>0</v>
      </c>
    </row>
    <row r="1044" spans="1:6" ht="16" x14ac:dyDescent="0.2">
      <c r="A1044" s="1" t="s">
        <v>71</v>
      </c>
      <c r="B1044" t="str">
        <f>LEFT(Table1[[#This Row],[Input]],1)</f>
        <v>R</v>
      </c>
      <c r="C1044">
        <f>_xlfn.LET(_xlpm.steps,SUBSTITUTE(Table1[[#This Row],[Input]],Table1[[#This Row],[Direction]],""),VALUE(IF(LEN(_xlpm.steps)&gt;2,RIGHT(_xlpm.steps,2),_xlpm.steps)))</f>
        <v>23</v>
      </c>
      <c r="D1044">
        <f>_xlfn.LET(_xlpm.dir,Table1[[#This Row],[Direction]],
IF(_xlpm.dir="L",
    IF(F1043-Table1[[#This Row],[Steps]]&lt;0,100+(F1043-Table1[[#This Row],[Steps]]),F1043-Table1[[#This Row],[Steps]]),
))</f>
        <v>0</v>
      </c>
      <c r="E1044">
        <f>_xlfn.LET(_xlpm.dir,Table1[[#This Row],[Direction]],
IF(_xlpm.dir="R",
    IF(F1043+Table1[[#This Row],[Steps]]&gt;99,(F1043+Table1[[#This Row],[Steps]])-100,F1043+Table1[[#This Row],[Steps]]),
))</f>
        <v>23</v>
      </c>
      <c r="F1044">
        <f>IF(Table1[[#This Row],[New Pos L]]&lt;&gt;0,Table1[[#This Row],[New Pos L]],Table1[[#This Row],[New Pos R]])</f>
        <v>23</v>
      </c>
    </row>
    <row r="1045" spans="1:6" ht="16" x14ac:dyDescent="0.2">
      <c r="A1045" s="1" t="s">
        <v>223</v>
      </c>
      <c r="B1045" t="str">
        <f>LEFT(Table1[[#This Row],[Input]],1)</f>
        <v>L</v>
      </c>
      <c r="C1045">
        <f>_xlfn.LET(_xlpm.steps,SUBSTITUTE(Table1[[#This Row],[Input]],Table1[[#This Row],[Direction]],""),VALUE(IF(LEN(_xlpm.steps)&gt;2,RIGHT(_xlpm.steps,2),_xlpm.steps)))</f>
        <v>87</v>
      </c>
      <c r="D1045">
        <f>_xlfn.LET(_xlpm.dir,Table1[[#This Row],[Direction]],
IF(_xlpm.dir="L",
    IF(F1044-Table1[[#This Row],[Steps]]&lt;0,100+(F1044-Table1[[#This Row],[Steps]]),F1044-Table1[[#This Row],[Steps]]),
))</f>
        <v>36</v>
      </c>
      <c r="E1045">
        <f>_xlfn.LET(_xlpm.dir,Table1[[#This Row],[Direction]],
IF(_xlpm.dir="R",
    IF(F1044+Table1[[#This Row],[Steps]]&gt;99,(F1044+Table1[[#This Row],[Steps]])-100,F1044+Table1[[#This Row],[Steps]]),
))</f>
        <v>0</v>
      </c>
      <c r="F1045">
        <f>IF(Table1[[#This Row],[New Pos L]]&lt;&gt;0,Table1[[#This Row],[New Pos L]],Table1[[#This Row],[New Pos R]])</f>
        <v>36</v>
      </c>
    </row>
    <row r="1046" spans="1:6" ht="16" x14ac:dyDescent="0.2">
      <c r="A1046" s="1" t="s">
        <v>127</v>
      </c>
      <c r="B1046" t="str">
        <f>LEFT(Table1[[#This Row],[Input]],1)</f>
        <v>L</v>
      </c>
      <c r="C1046">
        <f>_xlfn.LET(_xlpm.steps,SUBSTITUTE(Table1[[#This Row],[Input]],Table1[[#This Row],[Direction]],""),VALUE(IF(LEN(_xlpm.steps)&gt;2,RIGHT(_xlpm.steps,2),_xlpm.steps)))</f>
        <v>62</v>
      </c>
      <c r="D1046">
        <f>_xlfn.LET(_xlpm.dir,Table1[[#This Row],[Direction]],
IF(_xlpm.dir="L",
    IF(F1045-Table1[[#This Row],[Steps]]&lt;0,100+(F1045-Table1[[#This Row],[Steps]]),F1045-Table1[[#This Row],[Steps]]),
))</f>
        <v>74</v>
      </c>
      <c r="E1046">
        <f>_xlfn.LET(_xlpm.dir,Table1[[#This Row],[Direction]],
IF(_xlpm.dir="R",
    IF(F1045+Table1[[#This Row],[Steps]]&gt;99,(F1045+Table1[[#This Row],[Steps]])-100,F1045+Table1[[#This Row],[Steps]]),
))</f>
        <v>0</v>
      </c>
      <c r="F1046">
        <f>IF(Table1[[#This Row],[New Pos L]]&lt;&gt;0,Table1[[#This Row],[New Pos L]],Table1[[#This Row],[New Pos R]])</f>
        <v>74</v>
      </c>
    </row>
    <row r="1047" spans="1:6" ht="16" x14ac:dyDescent="0.2">
      <c r="A1047" s="1" t="s">
        <v>119</v>
      </c>
      <c r="B1047" t="str">
        <f>LEFT(Table1[[#This Row],[Input]],1)</f>
        <v>L</v>
      </c>
      <c r="C1047">
        <f>_xlfn.LET(_xlpm.steps,SUBSTITUTE(Table1[[#This Row],[Input]],Table1[[#This Row],[Direction]],""),VALUE(IF(LEN(_xlpm.steps)&gt;2,RIGHT(_xlpm.steps,2),_xlpm.steps)))</f>
        <v>77</v>
      </c>
      <c r="D1047">
        <f>_xlfn.LET(_xlpm.dir,Table1[[#This Row],[Direction]],
IF(_xlpm.dir="L",
    IF(F1046-Table1[[#This Row],[Steps]]&lt;0,100+(F1046-Table1[[#This Row],[Steps]]),F1046-Table1[[#This Row],[Steps]]),
))</f>
        <v>97</v>
      </c>
      <c r="E1047">
        <f>_xlfn.LET(_xlpm.dir,Table1[[#This Row],[Direction]],
IF(_xlpm.dir="R",
    IF(F1046+Table1[[#This Row],[Steps]]&gt;99,(F1046+Table1[[#This Row],[Steps]])-100,F1046+Table1[[#This Row],[Steps]]),
))</f>
        <v>0</v>
      </c>
      <c r="F1047">
        <f>IF(Table1[[#This Row],[New Pos L]]&lt;&gt;0,Table1[[#This Row],[New Pos L]],Table1[[#This Row],[New Pos R]])</f>
        <v>97</v>
      </c>
    </row>
    <row r="1048" spans="1:6" ht="16" x14ac:dyDescent="0.2">
      <c r="A1048" s="1" t="s">
        <v>106</v>
      </c>
      <c r="B1048" t="str">
        <f>LEFT(Table1[[#This Row],[Input]],1)</f>
        <v>R</v>
      </c>
      <c r="C1048">
        <f>_xlfn.LET(_xlpm.steps,SUBSTITUTE(Table1[[#This Row],[Input]],Table1[[#This Row],[Direction]],""),VALUE(IF(LEN(_xlpm.steps)&gt;2,RIGHT(_xlpm.steps,2),_xlpm.steps)))</f>
        <v>41</v>
      </c>
      <c r="D1048">
        <f>_xlfn.LET(_xlpm.dir,Table1[[#This Row],[Direction]],
IF(_xlpm.dir="L",
    IF(F1047-Table1[[#This Row],[Steps]]&lt;0,100+(F1047-Table1[[#This Row],[Steps]]),F1047-Table1[[#This Row],[Steps]]),
))</f>
        <v>0</v>
      </c>
      <c r="E1048">
        <f>_xlfn.LET(_xlpm.dir,Table1[[#This Row],[Direction]],
IF(_xlpm.dir="R",
    IF(F1047+Table1[[#This Row],[Steps]]&gt;99,(F1047+Table1[[#This Row],[Steps]])-100,F1047+Table1[[#This Row],[Steps]]),
))</f>
        <v>38</v>
      </c>
      <c r="F1048">
        <f>IF(Table1[[#This Row],[New Pos L]]&lt;&gt;0,Table1[[#This Row],[New Pos L]],Table1[[#This Row],[New Pos R]])</f>
        <v>38</v>
      </c>
    </row>
    <row r="1049" spans="1:6" ht="16" x14ac:dyDescent="0.2">
      <c r="A1049" s="1" t="s">
        <v>179</v>
      </c>
      <c r="B1049" t="str">
        <f>LEFT(Table1[[#This Row],[Input]],1)</f>
        <v>L</v>
      </c>
      <c r="C1049">
        <f>_xlfn.LET(_xlpm.steps,SUBSTITUTE(Table1[[#This Row],[Input]],Table1[[#This Row],[Direction]],""),VALUE(IF(LEN(_xlpm.steps)&gt;2,RIGHT(_xlpm.steps,2),_xlpm.steps)))</f>
        <v>54</v>
      </c>
      <c r="D1049">
        <f>_xlfn.LET(_xlpm.dir,Table1[[#This Row],[Direction]],
IF(_xlpm.dir="L",
    IF(F1048-Table1[[#This Row],[Steps]]&lt;0,100+(F1048-Table1[[#This Row],[Steps]]),F1048-Table1[[#This Row],[Steps]]),
))</f>
        <v>84</v>
      </c>
      <c r="E1049">
        <f>_xlfn.LET(_xlpm.dir,Table1[[#This Row],[Direction]],
IF(_xlpm.dir="R",
    IF(F1048+Table1[[#This Row],[Steps]]&gt;99,(F1048+Table1[[#This Row],[Steps]])-100,F1048+Table1[[#This Row],[Steps]]),
))</f>
        <v>0</v>
      </c>
      <c r="F1049">
        <f>IF(Table1[[#This Row],[New Pos L]]&lt;&gt;0,Table1[[#This Row],[New Pos L]],Table1[[#This Row],[New Pos R]])</f>
        <v>84</v>
      </c>
    </row>
    <row r="1050" spans="1:6" ht="16" x14ac:dyDescent="0.2">
      <c r="A1050" s="1" t="s">
        <v>161</v>
      </c>
      <c r="B1050" t="str">
        <f>LEFT(Table1[[#This Row],[Input]],1)</f>
        <v>R</v>
      </c>
      <c r="C1050">
        <f>_xlfn.LET(_xlpm.steps,SUBSTITUTE(Table1[[#This Row],[Input]],Table1[[#This Row],[Direction]],""),VALUE(IF(LEN(_xlpm.steps)&gt;2,RIGHT(_xlpm.steps,2),_xlpm.steps)))</f>
        <v>76</v>
      </c>
      <c r="D1050">
        <f>_xlfn.LET(_xlpm.dir,Table1[[#This Row],[Direction]],
IF(_xlpm.dir="L",
    IF(F1049-Table1[[#This Row],[Steps]]&lt;0,100+(F1049-Table1[[#This Row],[Steps]]),F1049-Table1[[#This Row],[Steps]]),
))</f>
        <v>0</v>
      </c>
      <c r="E1050">
        <f>_xlfn.LET(_xlpm.dir,Table1[[#This Row],[Direction]],
IF(_xlpm.dir="R",
    IF(F1049+Table1[[#This Row],[Steps]]&gt;99,(F1049+Table1[[#This Row],[Steps]])-100,F1049+Table1[[#This Row],[Steps]]),
))</f>
        <v>60</v>
      </c>
      <c r="F1050">
        <f>IF(Table1[[#This Row],[New Pos L]]&lt;&gt;0,Table1[[#This Row],[New Pos L]],Table1[[#This Row],[New Pos R]])</f>
        <v>60</v>
      </c>
    </row>
    <row r="1051" spans="1:6" ht="16" x14ac:dyDescent="0.2">
      <c r="A1051" s="1" t="s">
        <v>126</v>
      </c>
      <c r="B1051" t="str">
        <f>LEFT(Table1[[#This Row],[Input]],1)</f>
        <v>R</v>
      </c>
      <c r="C1051">
        <f>_xlfn.LET(_xlpm.steps,SUBSTITUTE(Table1[[#This Row],[Input]],Table1[[#This Row],[Direction]],""),VALUE(IF(LEN(_xlpm.steps)&gt;2,RIGHT(_xlpm.steps,2),_xlpm.steps)))</f>
        <v>65</v>
      </c>
      <c r="D1051">
        <f>_xlfn.LET(_xlpm.dir,Table1[[#This Row],[Direction]],
IF(_xlpm.dir="L",
    IF(F1050-Table1[[#This Row],[Steps]]&lt;0,100+(F1050-Table1[[#This Row],[Steps]]),F1050-Table1[[#This Row],[Steps]]),
))</f>
        <v>0</v>
      </c>
      <c r="E1051">
        <f>_xlfn.LET(_xlpm.dir,Table1[[#This Row],[Direction]],
IF(_xlpm.dir="R",
    IF(F1050+Table1[[#This Row],[Steps]]&gt;99,(F1050+Table1[[#This Row],[Steps]])-100,F1050+Table1[[#This Row],[Steps]]),
))</f>
        <v>25</v>
      </c>
      <c r="F1051">
        <f>IF(Table1[[#This Row],[New Pos L]]&lt;&gt;0,Table1[[#This Row],[New Pos L]],Table1[[#This Row],[New Pos R]])</f>
        <v>25</v>
      </c>
    </row>
    <row r="1052" spans="1:6" ht="16" x14ac:dyDescent="0.2">
      <c r="A1052" s="1" t="s">
        <v>16</v>
      </c>
      <c r="B1052" t="str">
        <f>LEFT(Table1[[#This Row],[Input]],1)</f>
        <v>L</v>
      </c>
      <c r="C1052">
        <f>_xlfn.LET(_xlpm.steps,SUBSTITUTE(Table1[[#This Row],[Input]],Table1[[#This Row],[Direction]],""),VALUE(IF(LEN(_xlpm.steps)&gt;2,RIGHT(_xlpm.steps,2),_xlpm.steps)))</f>
        <v>10</v>
      </c>
      <c r="D1052">
        <f>_xlfn.LET(_xlpm.dir,Table1[[#This Row],[Direction]],
IF(_xlpm.dir="L",
    IF(F1051-Table1[[#This Row],[Steps]]&lt;0,100+(F1051-Table1[[#This Row],[Steps]]),F1051-Table1[[#This Row],[Steps]]),
))</f>
        <v>15</v>
      </c>
      <c r="E1052">
        <f>_xlfn.LET(_xlpm.dir,Table1[[#This Row],[Direction]],
IF(_xlpm.dir="R",
    IF(F1051+Table1[[#This Row],[Steps]]&gt;99,(F1051+Table1[[#This Row],[Steps]])-100,F1051+Table1[[#This Row],[Steps]]),
))</f>
        <v>0</v>
      </c>
      <c r="F1052">
        <f>IF(Table1[[#This Row],[New Pos L]]&lt;&gt;0,Table1[[#This Row],[New Pos L]],Table1[[#This Row],[New Pos R]])</f>
        <v>15</v>
      </c>
    </row>
    <row r="1053" spans="1:6" ht="16" x14ac:dyDescent="0.2">
      <c r="A1053" s="1" t="s">
        <v>139</v>
      </c>
      <c r="B1053" t="str">
        <f>LEFT(Table1[[#This Row],[Input]],1)</f>
        <v>R</v>
      </c>
      <c r="C1053">
        <f>_xlfn.LET(_xlpm.steps,SUBSTITUTE(Table1[[#This Row],[Input]],Table1[[#This Row],[Direction]],""),VALUE(IF(LEN(_xlpm.steps)&gt;2,RIGHT(_xlpm.steps,2),_xlpm.steps)))</f>
        <v>38</v>
      </c>
      <c r="D1053">
        <f>_xlfn.LET(_xlpm.dir,Table1[[#This Row],[Direction]],
IF(_xlpm.dir="L",
    IF(F1052-Table1[[#This Row],[Steps]]&lt;0,100+(F1052-Table1[[#This Row],[Steps]]),F1052-Table1[[#This Row],[Steps]]),
))</f>
        <v>0</v>
      </c>
      <c r="E1053">
        <f>_xlfn.LET(_xlpm.dir,Table1[[#This Row],[Direction]],
IF(_xlpm.dir="R",
    IF(F1052+Table1[[#This Row],[Steps]]&gt;99,(F1052+Table1[[#This Row],[Steps]])-100,F1052+Table1[[#This Row],[Steps]]),
))</f>
        <v>53</v>
      </c>
      <c r="F1053">
        <f>IF(Table1[[#This Row],[New Pos L]]&lt;&gt;0,Table1[[#This Row],[New Pos L]],Table1[[#This Row],[New Pos R]])</f>
        <v>53</v>
      </c>
    </row>
    <row r="1054" spans="1:6" ht="16" x14ac:dyDescent="0.2">
      <c r="A1054" s="1" t="s">
        <v>344</v>
      </c>
      <c r="B1054" t="str">
        <f>LEFT(Table1[[#This Row],[Input]],1)</f>
        <v>R</v>
      </c>
      <c r="C1054">
        <f>_xlfn.LET(_xlpm.steps,SUBSTITUTE(Table1[[#This Row],[Input]],Table1[[#This Row],[Direction]],""),VALUE(IF(LEN(_xlpm.steps)&gt;2,RIGHT(_xlpm.steps,2),_xlpm.steps)))</f>
        <v>9</v>
      </c>
      <c r="D1054">
        <f>_xlfn.LET(_xlpm.dir,Table1[[#This Row],[Direction]],
IF(_xlpm.dir="L",
    IF(F1053-Table1[[#This Row],[Steps]]&lt;0,100+(F1053-Table1[[#This Row],[Steps]]),F1053-Table1[[#This Row],[Steps]]),
))</f>
        <v>0</v>
      </c>
      <c r="E1054">
        <f>_xlfn.LET(_xlpm.dir,Table1[[#This Row],[Direction]],
IF(_xlpm.dir="R",
    IF(F1053+Table1[[#This Row],[Steps]]&gt;99,(F1053+Table1[[#This Row],[Steps]])-100,F1053+Table1[[#This Row],[Steps]]),
))</f>
        <v>62</v>
      </c>
      <c r="F1054">
        <f>IF(Table1[[#This Row],[New Pos L]]&lt;&gt;0,Table1[[#This Row],[New Pos L]],Table1[[#This Row],[New Pos R]])</f>
        <v>62</v>
      </c>
    </row>
    <row r="1055" spans="1:6" ht="16" x14ac:dyDescent="0.2">
      <c r="A1055" s="1" t="s">
        <v>369</v>
      </c>
      <c r="B1055" t="str">
        <f>LEFT(Table1[[#This Row],[Input]],1)</f>
        <v>R</v>
      </c>
      <c r="C1055">
        <f>_xlfn.LET(_xlpm.steps,SUBSTITUTE(Table1[[#This Row],[Input]],Table1[[#This Row],[Direction]],""),VALUE(IF(LEN(_xlpm.steps)&gt;2,RIGHT(_xlpm.steps,2),_xlpm.steps)))</f>
        <v>38</v>
      </c>
      <c r="D1055">
        <f>_xlfn.LET(_xlpm.dir,Table1[[#This Row],[Direction]],
IF(_xlpm.dir="L",
    IF(F1054-Table1[[#This Row],[Steps]]&lt;0,100+(F1054-Table1[[#This Row],[Steps]]),F1054-Table1[[#This Row],[Steps]]),
))</f>
        <v>0</v>
      </c>
      <c r="E1055">
        <f>_xlfn.LET(_xlpm.dir,Table1[[#This Row],[Direction]],
IF(_xlpm.dir="R",
    IF(F1054+Table1[[#This Row],[Steps]]&gt;99,(F1054+Table1[[#This Row],[Steps]])-100,F1054+Table1[[#This Row],[Steps]]),
))</f>
        <v>0</v>
      </c>
      <c r="F1055">
        <f>IF(Table1[[#This Row],[New Pos L]]&lt;&gt;0,Table1[[#This Row],[New Pos L]],Table1[[#This Row],[New Pos R]])</f>
        <v>0</v>
      </c>
    </row>
    <row r="1056" spans="1:6" ht="16" x14ac:dyDescent="0.2">
      <c r="A1056" s="1" t="s">
        <v>49</v>
      </c>
      <c r="B1056" t="str">
        <f>LEFT(Table1[[#This Row],[Input]],1)</f>
        <v>L</v>
      </c>
      <c r="C1056">
        <f>_xlfn.LET(_xlpm.steps,SUBSTITUTE(Table1[[#This Row],[Input]],Table1[[#This Row],[Direction]],""),VALUE(IF(LEN(_xlpm.steps)&gt;2,RIGHT(_xlpm.steps,2),_xlpm.steps)))</f>
        <v>93</v>
      </c>
      <c r="D1056">
        <f>_xlfn.LET(_xlpm.dir,Table1[[#This Row],[Direction]],
IF(_xlpm.dir="L",
    IF(F1055-Table1[[#This Row],[Steps]]&lt;0,100+(F1055-Table1[[#This Row],[Steps]]),F1055-Table1[[#This Row],[Steps]]),
))</f>
        <v>7</v>
      </c>
      <c r="E1056">
        <f>_xlfn.LET(_xlpm.dir,Table1[[#This Row],[Direction]],
IF(_xlpm.dir="R",
    IF(F1055+Table1[[#This Row],[Steps]]&gt;99,(F1055+Table1[[#This Row],[Steps]])-100,F1055+Table1[[#This Row],[Steps]]),
))</f>
        <v>0</v>
      </c>
      <c r="F1056">
        <f>IF(Table1[[#This Row],[New Pos L]]&lt;&gt;0,Table1[[#This Row],[New Pos L]],Table1[[#This Row],[New Pos R]])</f>
        <v>7</v>
      </c>
    </row>
    <row r="1057" spans="1:6" ht="16" x14ac:dyDescent="0.2">
      <c r="A1057" s="1" t="s">
        <v>3</v>
      </c>
      <c r="B1057" t="str">
        <f>LEFT(Table1[[#This Row],[Input]],1)</f>
        <v>R</v>
      </c>
      <c r="C1057">
        <f>_xlfn.LET(_xlpm.steps,SUBSTITUTE(Table1[[#This Row],[Input]],Table1[[#This Row],[Direction]],""),VALUE(IF(LEN(_xlpm.steps)&gt;2,RIGHT(_xlpm.steps,2),_xlpm.steps)))</f>
        <v>44</v>
      </c>
      <c r="D1057">
        <f>_xlfn.LET(_xlpm.dir,Table1[[#This Row],[Direction]],
IF(_xlpm.dir="L",
    IF(F1056-Table1[[#This Row],[Steps]]&lt;0,100+(F1056-Table1[[#This Row],[Steps]]),F1056-Table1[[#This Row],[Steps]]),
))</f>
        <v>0</v>
      </c>
      <c r="E1057">
        <f>_xlfn.LET(_xlpm.dir,Table1[[#This Row],[Direction]],
IF(_xlpm.dir="R",
    IF(F1056+Table1[[#This Row],[Steps]]&gt;99,(F1056+Table1[[#This Row],[Steps]])-100,F1056+Table1[[#This Row],[Steps]]),
))</f>
        <v>51</v>
      </c>
      <c r="F1057">
        <f>IF(Table1[[#This Row],[New Pos L]]&lt;&gt;0,Table1[[#This Row],[New Pos L]],Table1[[#This Row],[New Pos R]])</f>
        <v>51</v>
      </c>
    </row>
    <row r="1058" spans="1:6" ht="16" x14ac:dyDescent="0.2">
      <c r="A1058" s="1" t="s">
        <v>370</v>
      </c>
      <c r="B1058" t="str">
        <f>LEFT(Table1[[#This Row],[Input]],1)</f>
        <v>L</v>
      </c>
      <c r="C1058">
        <f>_xlfn.LET(_xlpm.steps,SUBSTITUTE(Table1[[#This Row],[Input]],Table1[[#This Row],[Direction]],""),VALUE(IF(LEN(_xlpm.steps)&gt;2,RIGHT(_xlpm.steps,2),_xlpm.steps)))</f>
        <v>6</v>
      </c>
      <c r="D1058">
        <f>_xlfn.LET(_xlpm.dir,Table1[[#This Row],[Direction]],
IF(_xlpm.dir="L",
    IF(F1057-Table1[[#This Row],[Steps]]&lt;0,100+(F1057-Table1[[#This Row],[Steps]]),F1057-Table1[[#This Row],[Steps]]),
))</f>
        <v>45</v>
      </c>
      <c r="E1058">
        <f>_xlfn.LET(_xlpm.dir,Table1[[#This Row],[Direction]],
IF(_xlpm.dir="R",
    IF(F1057+Table1[[#This Row],[Steps]]&gt;99,(F1057+Table1[[#This Row],[Steps]])-100,F1057+Table1[[#This Row],[Steps]]),
))</f>
        <v>0</v>
      </c>
      <c r="F1058">
        <f>IF(Table1[[#This Row],[New Pos L]]&lt;&gt;0,Table1[[#This Row],[New Pos L]],Table1[[#This Row],[New Pos R]])</f>
        <v>45</v>
      </c>
    </row>
    <row r="1059" spans="1:6" ht="16" x14ac:dyDescent="0.2">
      <c r="A1059" s="1" t="s">
        <v>181</v>
      </c>
      <c r="B1059" t="str">
        <f>LEFT(Table1[[#This Row],[Input]],1)</f>
        <v>L</v>
      </c>
      <c r="C1059">
        <f>_xlfn.LET(_xlpm.steps,SUBSTITUTE(Table1[[#This Row],[Input]],Table1[[#This Row],[Direction]],""),VALUE(IF(LEN(_xlpm.steps)&gt;2,RIGHT(_xlpm.steps,2),_xlpm.steps)))</f>
        <v>53</v>
      </c>
      <c r="D1059">
        <f>_xlfn.LET(_xlpm.dir,Table1[[#This Row],[Direction]],
IF(_xlpm.dir="L",
    IF(F1058-Table1[[#This Row],[Steps]]&lt;0,100+(F1058-Table1[[#This Row],[Steps]]),F1058-Table1[[#This Row],[Steps]]),
))</f>
        <v>92</v>
      </c>
      <c r="E1059">
        <f>_xlfn.LET(_xlpm.dir,Table1[[#This Row],[Direction]],
IF(_xlpm.dir="R",
    IF(F1058+Table1[[#This Row],[Steps]]&gt;99,(F1058+Table1[[#This Row],[Steps]])-100,F1058+Table1[[#This Row],[Steps]]),
))</f>
        <v>0</v>
      </c>
      <c r="F1059">
        <f>IF(Table1[[#This Row],[New Pos L]]&lt;&gt;0,Table1[[#This Row],[New Pos L]],Table1[[#This Row],[New Pos R]])</f>
        <v>92</v>
      </c>
    </row>
    <row r="1060" spans="1:6" ht="16" x14ac:dyDescent="0.2">
      <c r="A1060" s="1" t="s">
        <v>296</v>
      </c>
      <c r="B1060" t="str">
        <f>LEFT(Table1[[#This Row],[Input]],1)</f>
        <v>R</v>
      </c>
      <c r="C1060">
        <f>_xlfn.LET(_xlpm.steps,SUBSTITUTE(Table1[[#This Row],[Input]],Table1[[#This Row],[Direction]],""),VALUE(IF(LEN(_xlpm.steps)&gt;2,RIGHT(_xlpm.steps,2),_xlpm.steps)))</f>
        <v>19</v>
      </c>
      <c r="D1060">
        <f>_xlfn.LET(_xlpm.dir,Table1[[#This Row],[Direction]],
IF(_xlpm.dir="L",
    IF(F1059-Table1[[#This Row],[Steps]]&lt;0,100+(F1059-Table1[[#This Row],[Steps]]),F1059-Table1[[#This Row],[Steps]]),
))</f>
        <v>0</v>
      </c>
      <c r="E1060">
        <f>_xlfn.LET(_xlpm.dir,Table1[[#This Row],[Direction]],
IF(_xlpm.dir="R",
    IF(F1059+Table1[[#This Row],[Steps]]&gt;99,(F1059+Table1[[#This Row],[Steps]])-100,F1059+Table1[[#This Row],[Steps]]),
))</f>
        <v>11</v>
      </c>
      <c r="F1060">
        <f>IF(Table1[[#This Row],[New Pos L]]&lt;&gt;0,Table1[[#This Row],[New Pos L]],Table1[[#This Row],[New Pos R]])</f>
        <v>11</v>
      </c>
    </row>
    <row r="1061" spans="1:6" ht="16" x14ac:dyDescent="0.2">
      <c r="A1061" s="1" t="s">
        <v>210</v>
      </c>
      <c r="B1061" t="str">
        <f>LEFT(Table1[[#This Row],[Input]],1)</f>
        <v>R</v>
      </c>
      <c r="C1061">
        <f>_xlfn.LET(_xlpm.steps,SUBSTITUTE(Table1[[#This Row],[Input]],Table1[[#This Row],[Direction]],""),VALUE(IF(LEN(_xlpm.steps)&gt;2,RIGHT(_xlpm.steps,2),_xlpm.steps)))</f>
        <v>89</v>
      </c>
      <c r="D1061">
        <f>_xlfn.LET(_xlpm.dir,Table1[[#This Row],[Direction]],
IF(_xlpm.dir="L",
    IF(F1060-Table1[[#This Row],[Steps]]&lt;0,100+(F1060-Table1[[#This Row],[Steps]]),F1060-Table1[[#This Row],[Steps]]),
))</f>
        <v>0</v>
      </c>
      <c r="E1061">
        <f>_xlfn.LET(_xlpm.dir,Table1[[#This Row],[Direction]],
IF(_xlpm.dir="R",
    IF(F1060+Table1[[#This Row],[Steps]]&gt;99,(F1060+Table1[[#This Row],[Steps]])-100,F1060+Table1[[#This Row],[Steps]]),
))</f>
        <v>0</v>
      </c>
      <c r="F1061">
        <f>IF(Table1[[#This Row],[New Pos L]]&lt;&gt;0,Table1[[#This Row],[New Pos L]],Table1[[#This Row],[New Pos R]])</f>
        <v>0</v>
      </c>
    </row>
    <row r="1062" spans="1:6" ht="16" x14ac:dyDescent="0.2">
      <c r="A1062" s="1" t="s">
        <v>139</v>
      </c>
      <c r="B1062" t="str">
        <f>LEFT(Table1[[#This Row],[Input]],1)</f>
        <v>R</v>
      </c>
      <c r="C1062">
        <f>_xlfn.LET(_xlpm.steps,SUBSTITUTE(Table1[[#This Row],[Input]],Table1[[#This Row],[Direction]],""),VALUE(IF(LEN(_xlpm.steps)&gt;2,RIGHT(_xlpm.steps,2),_xlpm.steps)))</f>
        <v>38</v>
      </c>
      <c r="D1062">
        <f>_xlfn.LET(_xlpm.dir,Table1[[#This Row],[Direction]],
IF(_xlpm.dir="L",
    IF(F1061-Table1[[#This Row],[Steps]]&lt;0,100+(F1061-Table1[[#This Row],[Steps]]),F1061-Table1[[#This Row],[Steps]]),
))</f>
        <v>0</v>
      </c>
      <c r="E1062">
        <f>_xlfn.LET(_xlpm.dir,Table1[[#This Row],[Direction]],
IF(_xlpm.dir="R",
    IF(F1061+Table1[[#This Row],[Steps]]&gt;99,(F1061+Table1[[#This Row],[Steps]])-100,F1061+Table1[[#This Row],[Steps]]),
))</f>
        <v>38</v>
      </c>
      <c r="F1062">
        <f>IF(Table1[[#This Row],[New Pos L]]&lt;&gt;0,Table1[[#This Row],[New Pos L]],Table1[[#This Row],[New Pos R]])</f>
        <v>38</v>
      </c>
    </row>
    <row r="1063" spans="1:6" ht="16" x14ac:dyDescent="0.2">
      <c r="A1063" s="1" t="s">
        <v>38</v>
      </c>
      <c r="B1063" t="str">
        <f>LEFT(Table1[[#This Row],[Input]],1)</f>
        <v>R</v>
      </c>
      <c r="C1063">
        <f>_xlfn.LET(_xlpm.steps,SUBSTITUTE(Table1[[#This Row],[Input]],Table1[[#This Row],[Direction]],""),VALUE(IF(LEN(_xlpm.steps)&gt;2,RIGHT(_xlpm.steps,2),_xlpm.steps)))</f>
        <v>15</v>
      </c>
      <c r="D1063">
        <f>_xlfn.LET(_xlpm.dir,Table1[[#This Row],[Direction]],
IF(_xlpm.dir="L",
    IF(F1062-Table1[[#This Row],[Steps]]&lt;0,100+(F1062-Table1[[#This Row],[Steps]]),F1062-Table1[[#This Row],[Steps]]),
))</f>
        <v>0</v>
      </c>
      <c r="E1063">
        <f>_xlfn.LET(_xlpm.dir,Table1[[#This Row],[Direction]],
IF(_xlpm.dir="R",
    IF(F1062+Table1[[#This Row],[Steps]]&gt;99,(F1062+Table1[[#This Row],[Steps]])-100,F1062+Table1[[#This Row],[Steps]]),
))</f>
        <v>53</v>
      </c>
      <c r="F1063">
        <f>IF(Table1[[#This Row],[New Pos L]]&lt;&gt;0,Table1[[#This Row],[New Pos L]],Table1[[#This Row],[New Pos R]])</f>
        <v>53</v>
      </c>
    </row>
    <row r="1064" spans="1:6" ht="16" x14ac:dyDescent="0.2">
      <c r="A1064" s="1" t="s">
        <v>371</v>
      </c>
      <c r="B1064" t="str">
        <f>LEFT(Table1[[#This Row],[Input]],1)</f>
        <v>L</v>
      </c>
      <c r="C1064">
        <f>_xlfn.LET(_xlpm.steps,SUBSTITUTE(Table1[[#This Row],[Input]],Table1[[#This Row],[Direction]],""),VALUE(IF(LEN(_xlpm.steps)&gt;2,RIGHT(_xlpm.steps,2),_xlpm.steps)))</f>
        <v>53</v>
      </c>
      <c r="D1064">
        <f>_xlfn.LET(_xlpm.dir,Table1[[#This Row],[Direction]],
IF(_xlpm.dir="L",
    IF(F1063-Table1[[#This Row],[Steps]]&lt;0,100+(F1063-Table1[[#This Row],[Steps]]),F1063-Table1[[#This Row],[Steps]]),
))</f>
        <v>0</v>
      </c>
      <c r="E1064">
        <f>_xlfn.LET(_xlpm.dir,Table1[[#This Row],[Direction]],
IF(_xlpm.dir="R",
    IF(F1063+Table1[[#This Row],[Steps]]&gt;99,(F1063+Table1[[#This Row],[Steps]])-100,F1063+Table1[[#This Row],[Steps]]),
))</f>
        <v>0</v>
      </c>
      <c r="F1064">
        <f>IF(Table1[[#This Row],[New Pos L]]&lt;&gt;0,Table1[[#This Row],[New Pos L]],Table1[[#This Row],[New Pos R]])</f>
        <v>0</v>
      </c>
    </row>
    <row r="1065" spans="1:6" ht="16" x14ac:dyDescent="0.2">
      <c r="A1065" s="1" t="s">
        <v>77</v>
      </c>
      <c r="B1065" t="str">
        <f>LEFT(Table1[[#This Row],[Input]],1)</f>
        <v>R</v>
      </c>
      <c r="C1065">
        <f>_xlfn.LET(_xlpm.steps,SUBSTITUTE(Table1[[#This Row],[Input]],Table1[[#This Row],[Direction]],""),VALUE(IF(LEN(_xlpm.steps)&gt;2,RIGHT(_xlpm.steps,2),_xlpm.steps)))</f>
        <v>74</v>
      </c>
      <c r="D1065">
        <f>_xlfn.LET(_xlpm.dir,Table1[[#This Row],[Direction]],
IF(_xlpm.dir="L",
    IF(F1064-Table1[[#This Row],[Steps]]&lt;0,100+(F1064-Table1[[#This Row],[Steps]]),F1064-Table1[[#This Row],[Steps]]),
))</f>
        <v>0</v>
      </c>
      <c r="E1065">
        <f>_xlfn.LET(_xlpm.dir,Table1[[#This Row],[Direction]],
IF(_xlpm.dir="R",
    IF(F1064+Table1[[#This Row],[Steps]]&gt;99,(F1064+Table1[[#This Row],[Steps]])-100,F1064+Table1[[#This Row],[Steps]]),
))</f>
        <v>74</v>
      </c>
      <c r="F1065">
        <f>IF(Table1[[#This Row],[New Pos L]]&lt;&gt;0,Table1[[#This Row],[New Pos L]],Table1[[#This Row],[New Pos R]])</f>
        <v>74</v>
      </c>
    </row>
    <row r="1066" spans="1:6" ht="16" x14ac:dyDescent="0.2">
      <c r="A1066" s="1" t="s">
        <v>31</v>
      </c>
      <c r="B1066" t="str">
        <f>LEFT(Table1[[#This Row],[Input]],1)</f>
        <v>L</v>
      </c>
      <c r="C1066">
        <f>_xlfn.LET(_xlpm.steps,SUBSTITUTE(Table1[[#This Row],[Input]],Table1[[#This Row],[Direction]],""),VALUE(IF(LEN(_xlpm.steps)&gt;2,RIGHT(_xlpm.steps,2),_xlpm.steps)))</f>
        <v>13</v>
      </c>
      <c r="D1066">
        <f>_xlfn.LET(_xlpm.dir,Table1[[#This Row],[Direction]],
IF(_xlpm.dir="L",
    IF(F1065-Table1[[#This Row],[Steps]]&lt;0,100+(F1065-Table1[[#This Row],[Steps]]),F1065-Table1[[#This Row],[Steps]]),
))</f>
        <v>61</v>
      </c>
      <c r="E1066">
        <f>_xlfn.LET(_xlpm.dir,Table1[[#This Row],[Direction]],
IF(_xlpm.dir="R",
    IF(F1065+Table1[[#This Row],[Steps]]&gt;99,(F1065+Table1[[#This Row],[Steps]])-100,F1065+Table1[[#This Row],[Steps]]),
))</f>
        <v>0</v>
      </c>
      <c r="F1066">
        <f>IF(Table1[[#This Row],[New Pos L]]&lt;&gt;0,Table1[[#This Row],[New Pos L]],Table1[[#This Row],[New Pos R]])</f>
        <v>61</v>
      </c>
    </row>
    <row r="1067" spans="1:6" ht="16" x14ac:dyDescent="0.2">
      <c r="A1067" s="1" t="s">
        <v>59</v>
      </c>
      <c r="B1067" t="str">
        <f>LEFT(Table1[[#This Row],[Input]],1)</f>
        <v>L</v>
      </c>
      <c r="C1067">
        <f>_xlfn.LET(_xlpm.steps,SUBSTITUTE(Table1[[#This Row],[Input]],Table1[[#This Row],[Direction]],""),VALUE(IF(LEN(_xlpm.steps)&gt;2,RIGHT(_xlpm.steps,2),_xlpm.steps)))</f>
        <v>6</v>
      </c>
      <c r="D1067">
        <f>_xlfn.LET(_xlpm.dir,Table1[[#This Row],[Direction]],
IF(_xlpm.dir="L",
    IF(F1066-Table1[[#This Row],[Steps]]&lt;0,100+(F1066-Table1[[#This Row],[Steps]]),F1066-Table1[[#This Row],[Steps]]),
))</f>
        <v>55</v>
      </c>
      <c r="E1067">
        <f>_xlfn.LET(_xlpm.dir,Table1[[#This Row],[Direction]],
IF(_xlpm.dir="R",
    IF(F1066+Table1[[#This Row],[Steps]]&gt;99,(F1066+Table1[[#This Row],[Steps]])-100,F1066+Table1[[#This Row],[Steps]]),
))</f>
        <v>0</v>
      </c>
      <c r="F1067">
        <f>IF(Table1[[#This Row],[New Pos L]]&lt;&gt;0,Table1[[#This Row],[New Pos L]],Table1[[#This Row],[New Pos R]])</f>
        <v>55</v>
      </c>
    </row>
    <row r="1068" spans="1:6" ht="16" x14ac:dyDescent="0.2">
      <c r="A1068" s="1" t="s">
        <v>86</v>
      </c>
      <c r="B1068" t="str">
        <f>LEFT(Table1[[#This Row],[Input]],1)</f>
        <v>R</v>
      </c>
      <c r="C1068">
        <f>_xlfn.LET(_xlpm.steps,SUBSTITUTE(Table1[[#This Row],[Input]],Table1[[#This Row],[Direction]],""),VALUE(IF(LEN(_xlpm.steps)&gt;2,RIGHT(_xlpm.steps,2),_xlpm.steps)))</f>
        <v>60</v>
      </c>
      <c r="D1068">
        <f>_xlfn.LET(_xlpm.dir,Table1[[#This Row],[Direction]],
IF(_xlpm.dir="L",
    IF(F1067-Table1[[#This Row],[Steps]]&lt;0,100+(F1067-Table1[[#This Row],[Steps]]),F1067-Table1[[#This Row],[Steps]]),
))</f>
        <v>0</v>
      </c>
      <c r="E1068">
        <f>_xlfn.LET(_xlpm.dir,Table1[[#This Row],[Direction]],
IF(_xlpm.dir="R",
    IF(F1067+Table1[[#This Row],[Steps]]&gt;99,(F1067+Table1[[#This Row],[Steps]])-100,F1067+Table1[[#This Row],[Steps]]),
))</f>
        <v>15</v>
      </c>
      <c r="F1068">
        <f>IF(Table1[[#This Row],[New Pos L]]&lt;&gt;0,Table1[[#This Row],[New Pos L]],Table1[[#This Row],[New Pos R]])</f>
        <v>15</v>
      </c>
    </row>
    <row r="1069" spans="1:6" ht="16" x14ac:dyDescent="0.2">
      <c r="A1069" s="1" t="s">
        <v>34</v>
      </c>
      <c r="B1069" t="str">
        <f>LEFT(Table1[[#This Row],[Input]],1)</f>
        <v>L</v>
      </c>
      <c r="C1069">
        <f>_xlfn.LET(_xlpm.steps,SUBSTITUTE(Table1[[#This Row],[Input]],Table1[[#This Row],[Direction]],""),VALUE(IF(LEN(_xlpm.steps)&gt;2,RIGHT(_xlpm.steps,2),_xlpm.steps)))</f>
        <v>15</v>
      </c>
      <c r="D1069">
        <f>_xlfn.LET(_xlpm.dir,Table1[[#This Row],[Direction]],
IF(_xlpm.dir="L",
    IF(F1068-Table1[[#This Row],[Steps]]&lt;0,100+(F1068-Table1[[#This Row],[Steps]]),F1068-Table1[[#This Row],[Steps]]),
))</f>
        <v>0</v>
      </c>
      <c r="E1069">
        <f>_xlfn.LET(_xlpm.dir,Table1[[#This Row],[Direction]],
IF(_xlpm.dir="R",
    IF(F1068+Table1[[#This Row],[Steps]]&gt;99,(F1068+Table1[[#This Row],[Steps]])-100,F1068+Table1[[#This Row],[Steps]]),
))</f>
        <v>0</v>
      </c>
      <c r="F1069">
        <f>IF(Table1[[#This Row],[New Pos L]]&lt;&gt;0,Table1[[#This Row],[New Pos L]],Table1[[#This Row],[New Pos R]])</f>
        <v>0</v>
      </c>
    </row>
    <row r="1070" spans="1:6" ht="16" x14ac:dyDescent="0.2">
      <c r="A1070" s="1" t="s">
        <v>183</v>
      </c>
      <c r="B1070" t="str">
        <f>LEFT(Table1[[#This Row],[Input]],1)</f>
        <v>L</v>
      </c>
      <c r="C1070">
        <f>_xlfn.LET(_xlpm.steps,SUBSTITUTE(Table1[[#This Row],[Input]],Table1[[#This Row],[Direction]],""),VALUE(IF(LEN(_xlpm.steps)&gt;2,RIGHT(_xlpm.steps,2),_xlpm.steps)))</f>
        <v>67</v>
      </c>
      <c r="D1070">
        <f>_xlfn.LET(_xlpm.dir,Table1[[#This Row],[Direction]],
IF(_xlpm.dir="L",
    IF(F1069-Table1[[#This Row],[Steps]]&lt;0,100+(F1069-Table1[[#This Row],[Steps]]),F1069-Table1[[#This Row],[Steps]]),
))</f>
        <v>33</v>
      </c>
      <c r="E1070">
        <f>_xlfn.LET(_xlpm.dir,Table1[[#This Row],[Direction]],
IF(_xlpm.dir="R",
    IF(F1069+Table1[[#This Row],[Steps]]&gt;99,(F1069+Table1[[#This Row],[Steps]])-100,F1069+Table1[[#This Row],[Steps]]),
))</f>
        <v>0</v>
      </c>
      <c r="F1070">
        <f>IF(Table1[[#This Row],[New Pos L]]&lt;&gt;0,Table1[[#This Row],[New Pos L]],Table1[[#This Row],[New Pos R]])</f>
        <v>33</v>
      </c>
    </row>
    <row r="1071" spans="1:6" ht="16" x14ac:dyDescent="0.2">
      <c r="A1071" s="1" t="s">
        <v>29</v>
      </c>
      <c r="B1071" t="str">
        <f>LEFT(Table1[[#This Row],[Input]],1)</f>
        <v>L</v>
      </c>
      <c r="C1071">
        <f>_xlfn.LET(_xlpm.steps,SUBSTITUTE(Table1[[#This Row],[Input]],Table1[[#This Row],[Direction]],""),VALUE(IF(LEN(_xlpm.steps)&gt;2,RIGHT(_xlpm.steps,2),_xlpm.steps)))</f>
        <v>33</v>
      </c>
      <c r="D1071">
        <f>_xlfn.LET(_xlpm.dir,Table1[[#This Row],[Direction]],
IF(_xlpm.dir="L",
    IF(F1070-Table1[[#This Row],[Steps]]&lt;0,100+(F1070-Table1[[#This Row],[Steps]]),F1070-Table1[[#This Row],[Steps]]),
))</f>
        <v>0</v>
      </c>
      <c r="E1071">
        <f>_xlfn.LET(_xlpm.dir,Table1[[#This Row],[Direction]],
IF(_xlpm.dir="R",
    IF(F1070+Table1[[#This Row],[Steps]]&gt;99,(F1070+Table1[[#This Row],[Steps]])-100,F1070+Table1[[#This Row],[Steps]]),
))</f>
        <v>0</v>
      </c>
      <c r="F1071">
        <f>IF(Table1[[#This Row],[New Pos L]]&lt;&gt;0,Table1[[#This Row],[New Pos L]],Table1[[#This Row],[New Pos R]])</f>
        <v>0</v>
      </c>
    </row>
    <row r="1072" spans="1:6" ht="16" x14ac:dyDescent="0.2">
      <c r="A1072" s="1" t="s">
        <v>253</v>
      </c>
      <c r="B1072" t="str">
        <f>LEFT(Table1[[#This Row],[Input]],1)</f>
        <v>R</v>
      </c>
      <c r="C1072">
        <f>_xlfn.LET(_xlpm.steps,SUBSTITUTE(Table1[[#This Row],[Input]],Table1[[#This Row],[Direction]],""),VALUE(IF(LEN(_xlpm.steps)&gt;2,RIGHT(_xlpm.steps,2),_xlpm.steps)))</f>
        <v>94</v>
      </c>
      <c r="D1072">
        <f>_xlfn.LET(_xlpm.dir,Table1[[#This Row],[Direction]],
IF(_xlpm.dir="L",
    IF(F1071-Table1[[#This Row],[Steps]]&lt;0,100+(F1071-Table1[[#This Row],[Steps]]),F1071-Table1[[#This Row],[Steps]]),
))</f>
        <v>0</v>
      </c>
      <c r="E1072">
        <f>_xlfn.LET(_xlpm.dir,Table1[[#This Row],[Direction]],
IF(_xlpm.dir="R",
    IF(F1071+Table1[[#This Row],[Steps]]&gt;99,(F1071+Table1[[#This Row],[Steps]])-100,F1071+Table1[[#This Row],[Steps]]),
))</f>
        <v>94</v>
      </c>
      <c r="F1072">
        <f>IF(Table1[[#This Row],[New Pos L]]&lt;&gt;0,Table1[[#This Row],[New Pos L]],Table1[[#This Row],[New Pos R]])</f>
        <v>94</v>
      </c>
    </row>
    <row r="1073" spans="1:6" ht="16" x14ac:dyDescent="0.2">
      <c r="A1073" s="1" t="s">
        <v>71</v>
      </c>
      <c r="B1073" t="str">
        <f>LEFT(Table1[[#This Row],[Input]],1)</f>
        <v>R</v>
      </c>
      <c r="C1073">
        <f>_xlfn.LET(_xlpm.steps,SUBSTITUTE(Table1[[#This Row],[Input]],Table1[[#This Row],[Direction]],""),VALUE(IF(LEN(_xlpm.steps)&gt;2,RIGHT(_xlpm.steps,2),_xlpm.steps)))</f>
        <v>23</v>
      </c>
      <c r="D1073">
        <f>_xlfn.LET(_xlpm.dir,Table1[[#This Row],[Direction]],
IF(_xlpm.dir="L",
    IF(F1072-Table1[[#This Row],[Steps]]&lt;0,100+(F1072-Table1[[#This Row],[Steps]]),F1072-Table1[[#This Row],[Steps]]),
))</f>
        <v>0</v>
      </c>
      <c r="E1073">
        <f>_xlfn.LET(_xlpm.dir,Table1[[#This Row],[Direction]],
IF(_xlpm.dir="R",
    IF(F1072+Table1[[#This Row],[Steps]]&gt;99,(F1072+Table1[[#This Row],[Steps]])-100,F1072+Table1[[#This Row],[Steps]]),
))</f>
        <v>17</v>
      </c>
      <c r="F1073">
        <f>IF(Table1[[#This Row],[New Pos L]]&lt;&gt;0,Table1[[#This Row],[New Pos L]],Table1[[#This Row],[New Pos R]])</f>
        <v>17</v>
      </c>
    </row>
    <row r="1074" spans="1:6" ht="16" x14ac:dyDescent="0.2">
      <c r="A1074" s="1" t="s">
        <v>58</v>
      </c>
      <c r="B1074" t="str">
        <f>LEFT(Table1[[#This Row],[Input]],1)</f>
        <v>L</v>
      </c>
      <c r="C1074">
        <f>_xlfn.LET(_xlpm.steps,SUBSTITUTE(Table1[[#This Row],[Input]],Table1[[#This Row],[Direction]],""),VALUE(IF(LEN(_xlpm.steps)&gt;2,RIGHT(_xlpm.steps,2),_xlpm.steps)))</f>
        <v>30</v>
      </c>
      <c r="D1074">
        <f>_xlfn.LET(_xlpm.dir,Table1[[#This Row],[Direction]],
IF(_xlpm.dir="L",
    IF(F1073-Table1[[#This Row],[Steps]]&lt;0,100+(F1073-Table1[[#This Row],[Steps]]),F1073-Table1[[#This Row],[Steps]]),
))</f>
        <v>87</v>
      </c>
      <c r="E1074">
        <f>_xlfn.LET(_xlpm.dir,Table1[[#This Row],[Direction]],
IF(_xlpm.dir="R",
    IF(F1073+Table1[[#This Row],[Steps]]&gt;99,(F1073+Table1[[#This Row],[Steps]])-100,F1073+Table1[[#This Row],[Steps]]),
))</f>
        <v>0</v>
      </c>
      <c r="F1074">
        <f>IF(Table1[[#This Row],[New Pos L]]&lt;&gt;0,Table1[[#This Row],[New Pos L]],Table1[[#This Row],[New Pos R]])</f>
        <v>87</v>
      </c>
    </row>
    <row r="1075" spans="1:6" ht="16" x14ac:dyDescent="0.2">
      <c r="A1075" s="1" t="s">
        <v>256</v>
      </c>
      <c r="B1075" t="str">
        <f>LEFT(Table1[[#This Row],[Input]],1)</f>
        <v>R</v>
      </c>
      <c r="C1075">
        <f>_xlfn.LET(_xlpm.steps,SUBSTITUTE(Table1[[#This Row],[Input]],Table1[[#This Row],[Direction]],""),VALUE(IF(LEN(_xlpm.steps)&gt;2,RIGHT(_xlpm.steps,2),_xlpm.steps)))</f>
        <v>13</v>
      </c>
      <c r="D1075">
        <f>_xlfn.LET(_xlpm.dir,Table1[[#This Row],[Direction]],
IF(_xlpm.dir="L",
    IF(F1074-Table1[[#This Row],[Steps]]&lt;0,100+(F1074-Table1[[#This Row],[Steps]]),F1074-Table1[[#This Row],[Steps]]),
))</f>
        <v>0</v>
      </c>
      <c r="E1075">
        <f>_xlfn.LET(_xlpm.dir,Table1[[#This Row],[Direction]],
IF(_xlpm.dir="R",
    IF(F1074+Table1[[#This Row],[Steps]]&gt;99,(F1074+Table1[[#This Row],[Steps]])-100,F1074+Table1[[#This Row],[Steps]]),
))</f>
        <v>0</v>
      </c>
      <c r="F1075">
        <f>IF(Table1[[#This Row],[New Pos L]]&lt;&gt;0,Table1[[#This Row],[New Pos L]],Table1[[#This Row],[New Pos R]])</f>
        <v>0</v>
      </c>
    </row>
    <row r="1076" spans="1:6" ht="16" x14ac:dyDescent="0.2">
      <c r="A1076" s="1" t="s">
        <v>148</v>
      </c>
      <c r="B1076" t="str">
        <f>LEFT(Table1[[#This Row],[Input]],1)</f>
        <v>R</v>
      </c>
      <c r="C1076">
        <f>_xlfn.LET(_xlpm.steps,SUBSTITUTE(Table1[[#This Row],[Input]],Table1[[#This Row],[Direction]],""),VALUE(IF(LEN(_xlpm.steps)&gt;2,RIGHT(_xlpm.steps,2),_xlpm.steps)))</f>
        <v>80</v>
      </c>
      <c r="D1076">
        <f>_xlfn.LET(_xlpm.dir,Table1[[#This Row],[Direction]],
IF(_xlpm.dir="L",
    IF(F1075-Table1[[#This Row],[Steps]]&lt;0,100+(F1075-Table1[[#This Row],[Steps]]),F1075-Table1[[#This Row],[Steps]]),
))</f>
        <v>0</v>
      </c>
      <c r="E1076">
        <f>_xlfn.LET(_xlpm.dir,Table1[[#This Row],[Direction]],
IF(_xlpm.dir="R",
    IF(F1075+Table1[[#This Row],[Steps]]&gt;99,(F1075+Table1[[#This Row],[Steps]])-100,F1075+Table1[[#This Row],[Steps]]),
))</f>
        <v>80</v>
      </c>
      <c r="F1076">
        <f>IF(Table1[[#This Row],[New Pos L]]&lt;&gt;0,Table1[[#This Row],[New Pos L]],Table1[[#This Row],[New Pos R]])</f>
        <v>80</v>
      </c>
    </row>
    <row r="1077" spans="1:6" ht="16" x14ac:dyDescent="0.2">
      <c r="A1077" s="1" t="s">
        <v>69</v>
      </c>
      <c r="B1077" t="str">
        <f>LEFT(Table1[[#This Row],[Input]],1)</f>
        <v>R</v>
      </c>
      <c r="C1077">
        <f>_xlfn.LET(_xlpm.steps,SUBSTITUTE(Table1[[#This Row],[Input]],Table1[[#This Row],[Direction]],""),VALUE(IF(LEN(_xlpm.steps)&gt;2,RIGHT(_xlpm.steps,2),_xlpm.steps)))</f>
        <v>27</v>
      </c>
      <c r="D1077">
        <f>_xlfn.LET(_xlpm.dir,Table1[[#This Row],[Direction]],
IF(_xlpm.dir="L",
    IF(F1076-Table1[[#This Row],[Steps]]&lt;0,100+(F1076-Table1[[#This Row],[Steps]]),F1076-Table1[[#This Row],[Steps]]),
))</f>
        <v>0</v>
      </c>
      <c r="E1077">
        <f>_xlfn.LET(_xlpm.dir,Table1[[#This Row],[Direction]],
IF(_xlpm.dir="R",
    IF(F1076+Table1[[#This Row],[Steps]]&gt;99,(F1076+Table1[[#This Row],[Steps]])-100,F1076+Table1[[#This Row],[Steps]]),
))</f>
        <v>7</v>
      </c>
      <c r="F1077">
        <f>IF(Table1[[#This Row],[New Pos L]]&lt;&gt;0,Table1[[#This Row],[New Pos L]],Table1[[#This Row],[New Pos R]])</f>
        <v>7</v>
      </c>
    </row>
    <row r="1078" spans="1:6" ht="16" x14ac:dyDescent="0.2">
      <c r="A1078" s="1" t="s">
        <v>105</v>
      </c>
      <c r="B1078" t="str">
        <f>LEFT(Table1[[#This Row],[Input]],1)</f>
        <v>R</v>
      </c>
      <c r="C1078">
        <f>_xlfn.LET(_xlpm.steps,SUBSTITUTE(Table1[[#This Row],[Input]],Table1[[#This Row],[Direction]],""),VALUE(IF(LEN(_xlpm.steps)&gt;2,RIGHT(_xlpm.steps,2),_xlpm.steps)))</f>
        <v>98</v>
      </c>
      <c r="D1078">
        <f>_xlfn.LET(_xlpm.dir,Table1[[#This Row],[Direction]],
IF(_xlpm.dir="L",
    IF(F1077-Table1[[#This Row],[Steps]]&lt;0,100+(F1077-Table1[[#This Row],[Steps]]),F1077-Table1[[#This Row],[Steps]]),
))</f>
        <v>0</v>
      </c>
      <c r="E1078">
        <f>_xlfn.LET(_xlpm.dir,Table1[[#This Row],[Direction]],
IF(_xlpm.dir="R",
    IF(F1077+Table1[[#This Row],[Steps]]&gt;99,(F1077+Table1[[#This Row],[Steps]])-100,F1077+Table1[[#This Row],[Steps]]),
))</f>
        <v>5</v>
      </c>
      <c r="F1078">
        <f>IF(Table1[[#This Row],[New Pos L]]&lt;&gt;0,Table1[[#This Row],[New Pos L]],Table1[[#This Row],[New Pos R]])</f>
        <v>5</v>
      </c>
    </row>
    <row r="1079" spans="1:6" ht="16" x14ac:dyDescent="0.2">
      <c r="A1079" s="1" t="s">
        <v>131</v>
      </c>
      <c r="B1079" t="str">
        <f>LEFT(Table1[[#This Row],[Input]],1)</f>
        <v>R</v>
      </c>
      <c r="C1079">
        <f>_xlfn.LET(_xlpm.steps,SUBSTITUTE(Table1[[#This Row],[Input]],Table1[[#This Row],[Direction]],""),VALUE(IF(LEN(_xlpm.steps)&gt;2,RIGHT(_xlpm.steps,2),_xlpm.steps)))</f>
        <v>99</v>
      </c>
      <c r="D1079">
        <f>_xlfn.LET(_xlpm.dir,Table1[[#This Row],[Direction]],
IF(_xlpm.dir="L",
    IF(F1078-Table1[[#This Row],[Steps]]&lt;0,100+(F1078-Table1[[#This Row],[Steps]]),F1078-Table1[[#This Row],[Steps]]),
))</f>
        <v>0</v>
      </c>
      <c r="E1079">
        <f>_xlfn.LET(_xlpm.dir,Table1[[#This Row],[Direction]],
IF(_xlpm.dir="R",
    IF(F1078+Table1[[#This Row],[Steps]]&gt;99,(F1078+Table1[[#This Row],[Steps]])-100,F1078+Table1[[#This Row],[Steps]]),
))</f>
        <v>4</v>
      </c>
      <c r="F1079">
        <f>IF(Table1[[#This Row],[New Pos L]]&lt;&gt;0,Table1[[#This Row],[New Pos L]],Table1[[#This Row],[New Pos R]])</f>
        <v>4</v>
      </c>
    </row>
    <row r="1080" spans="1:6" ht="16" x14ac:dyDescent="0.2">
      <c r="A1080" s="1" t="s">
        <v>44</v>
      </c>
      <c r="B1080" t="str">
        <f>LEFT(Table1[[#This Row],[Input]],1)</f>
        <v>R</v>
      </c>
      <c r="C1080">
        <f>_xlfn.LET(_xlpm.steps,SUBSTITUTE(Table1[[#This Row],[Input]],Table1[[#This Row],[Direction]],""),VALUE(IF(LEN(_xlpm.steps)&gt;2,RIGHT(_xlpm.steps,2),_xlpm.steps)))</f>
        <v>96</v>
      </c>
      <c r="D1080">
        <f>_xlfn.LET(_xlpm.dir,Table1[[#This Row],[Direction]],
IF(_xlpm.dir="L",
    IF(F1079-Table1[[#This Row],[Steps]]&lt;0,100+(F1079-Table1[[#This Row],[Steps]]),F1079-Table1[[#This Row],[Steps]]),
))</f>
        <v>0</v>
      </c>
      <c r="E1080">
        <f>_xlfn.LET(_xlpm.dir,Table1[[#This Row],[Direction]],
IF(_xlpm.dir="R",
    IF(F1079+Table1[[#This Row],[Steps]]&gt;99,(F1079+Table1[[#This Row],[Steps]])-100,F1079+Table1[[#This Row],[Steps]]),
))</f>
        <v>0</v>
      </c>
      <c r="F1080">
        <f>IF(Table1[[#This Row],[New Pos L]]&lt;&gt;0,Table1[[#This Row],[New Pos L]],Table1[[#This Row],[New Pos R]])</f>
        <v>0</v>
      </c>
    </row>
    <row r="1081" spans="1:6" ht="16" x14ac:dyDescent="0.2">
      <c r="A1081" s="1" t="s">
        <v>29</v>
      </c>
      <c r="B1081" t="str">
        <f>LEFT(Table1[[#This Row],[Input]],1)</f>
        <v>L</v>
      </c>
      <c r="C1081">
        <f>_xlfn.LET(_xlpm.steps,SUBSTITUTE(Table1[[#This Row],[Input]],Table1[[#This Row],[Direction]],""),VALUE(IF(LEN(_xlpm.steps)&gt;2,RIGHT(_xlpm.steps,2),_xlpm.steps)))</f>
        <v>33</v>
      </c>
      <c r="D1081">
        <f>_xlfn.LET(_xlpm.dir,Table1[[#This Row],[Direction]],
IF(_xlpm.dir="L",
    IF(F1080-Table1[[#This Row],[Steps]]&lt;0,100+(F1080-Table1[[#This Row],[Steps]]),F1080-Table1[[#This Row],[Steps]]),
))</f>
        <v>67</v>
      </c>
      <c r="E1081">
        <f>_xlfn.LET(_xlpm.dir,Table1[[#This Row],[Direction]],
IF(_xlpm.dir="R",
    IF(F1080+Table1[[#This Row],[Steps]]&gt;99,(F1080+Table1[[#This Row],[Steps]])-100,F1080+Table1[[#This Row],[Steps]]),
))</f>
        <v>0</v>
      </c>
      <c r="F1081">
        <f>IF(Table1[[#This Row],[New Pos L]]&lt;&gt;0,Table1[[#This Row],[New Pos L]],Table1[[#This Row],[New Pos R]])</f>
        <v>67</v>
      </c>
    </row>
    <row r="1082" spans="1:6" ht="16" x14ac:dyDescent="0.2">
      <c r="A1082" s="1" t="s">
        <v>67</v>
      </c>
      <c r="B1082" t="str">
        <f>LEFT(Table1[[#This Row],[Input]],1)</f>
        <v>R</v>
      </c>
      <c r="C1082">
        <f>_xlfn.LET(_xlpm.steps,SUBSTITUTE(Table1[[#This Row],[Input]],Table1[[#This Row],[Direction]],""),VALUE(IF(LEN(_xlpm.steps)&gt;2,RIGHT(_xlpm.steps,2),_xlpm.steps)))</f>
        <v>33</v>
      </c>
      <c r="D1082">
        <f>_xlfn.LET(_xlpm.dir,Table1[[#This Row],[Direction]],
IF(_xlpm.dir="L",
    IF(F1081-Table1[[#This Row],[Steps]]&lt;0,100+(F1081-Table1[[#This Row],[Steps]]),F1081-Table1[[#This Row],[Steps]]),
))</f>
        <v>0</v>
      </c>
      <c r="E1082">
        <f>_xlfn.LET(_xlpm.dir,Table1[[#This Row],[Direction]],
IF(_xlpm.dir="R",
    IF(F1081+Table1[[#This Row],[Steps]]&gt;99,(F1081+Table1[[#This Row],[Steps]])-100,F1081+Table1[[#This Row],[Steps]]),
))</f>
        <v>0</v>
      </c>
      <c r="F1082">
        <f>IF(Table1[[#This Row],[New Pos L]]&lt;&gt;0,Table1[[#This Row],[New Pos L]],Table1[[#This Row],[New Pos R]])</f>
        <v>0</v>
      </c>
    </row>
    <row r="1083" spans="1:6" ht="16" x14ac:dyDescent="0.2">
      <c r="A1083" s="1" t="s">
        <v>134</v>
      </c>
      <c r="B1083" t="str">
        <f>LEFT(Table1[[#This Row],[Input]],1)</f>
        <v>L</v>
      </c>
      <c r="C1083">
        <f>_xlfn.LET(_xlpm.steps,SUBSTITUTE(Table1[[#This Row],[Input]],Table1[[#This Row],[Direction]],""),VALUE(IF(LEN(_xlpm.steps)&gt;2,RIGHT(_xlpm.steps,2),_xlpm.steps)))</f>
        <v>95</v>
      </c>
      <c r="D1083">
        <f>_xlfn.LET(_xlpm.dir,Table1[[#This Row],[Direction]],
IF(_xlpm.dir="L",
    IF(F1082-Table1[[#This Row],[Steps]]&lt;0,100+(F1082-Table1[[#This Row],[Steps]]),F1082-Table1[[#This Row],[Steps]]),
))</f>
        <v>5</v>
      </c>
      <c r="E1083">
        <f>_xlfn.LET(_xlpm.dir,Table1[[#This Row],[Direction]],
IF(_xlpm.dir="R",
    IF(F1082+Table1[[#This Row],[Steps]]&gt;99,(F1082+Table1[[#This Row],[Steps]])-100,F1082+Table1[[#This Row],[Steps]]),
))</f>
        <v>0</v>
      </c>
      <c r="F1083">
        <f>IF(Table1[[#This Row],[New Pos L]]&lt;&gt;0,Table1[[#This Row],[New Pos L]],Table1[[#This Row],[New Pos R]])</f>
        <v>5</v>
      </c>
    </row>
    <row r="1084" spans="1:6" ht="16" x14ac:dyDescent="0.2">
      <c r="A1084" s="1" t="s">
        <v>39</v>
      </c>
      <c r="B1084" t="str">
        <f>LEFT(Table1[[#This Row],[Input]],1)</f>
        <v>R</v>
      </c>
      <c r="C1084">
        <f>_xlfn.LET(_xlpm.steps,SUBSTITUTE(Table1[[#This Row],[Input]],Table1[[#This Row],[Direction]],""),VALUE(IF(LEN(_xlpm.steps)&gt;2,RIGHT(_xlpm.steps,2),_xlpm.steps)))</f>
        <v>32</v>
      </c>
      <c r="D1084">
        <f>_xlfn.LET(_xlpm.dir,Table1[[#This Row],[Direction]],
IF(_xlpm.dir="L",
    IF(F1083-Table1[[#This Row],[Steps]]&lt;0,100+(F1083-Table1[[#This Row],[Steps]]),F1083-Table1[[#This Row],[Steps]]),
))</f>
        <v>0</v>
      </c>
      <c r="E1084">
        <f>_xlfn.LET(_xlpm.dir,Table1[[#This Row],[Direction]],
IF(_xlpm.dir="R",
    IF(F1083+Table1[[#This Row],[Steps]]&gt;99,(F1083+Table1[[#This Row],[Steps]])-100,F1083+Table1[[#This Row],[Steps]]),
))</f>
        <v>37</v>
      </c>
      <c r="F1084">
        <f>IF(Table1[[#This Row],[New Pos L]]&lt;&gt;0,Table1[[#This Row],[New Pos L]],Table1[[#This Row],[New Pos R]])</f>
        <v>37</v>
      </c>
    </row>
    <row r="1085" spans="1:6" ht="16" x14ac:dyDescent="0.2">
      <c r="A1085" s="1" t="s">
        <v>372</v>
      </c>
      <c r="B1085" t="str">
        <f>LEFT(Table1[[#This Row],[Input]],1)</f>
        <v>L</v>
      </c>
      <c r="C1085">
        <f>_xlfn.LET(_xlpm.steps,SUBSTITUTE(Table1[[#This Row],[Input]],Table1[[#This Row],[Direction]],""),VALUE(IF(LEN(_xlpm.steps)&gt;2,RIGHT(_xlpm.steps,2),_xlpm.steps)))</f>
        <v>10</v>
      </c>
      <c r="D1085">
        <f>_xlfn.LET(_xlpm.dir,Table1[[#This Row],[Direction]],
IF(_xlpm.dir="L",
    IF(F1084-Table1[[#This Row],[Steps]]&lt;0,100+(F1084-Table1[[#This Row],[Steps]]),F1084-Table1[[#This Row],[Steps]]),
))</f>
        <v>27</v>
      </c>
      <c r="E1085">
        <f>_xlfn.LET(_xlpm.dir,Table1[[#This Row],[Direction]],
IF(_xlpm.dir="R",
    IF(F1084+Table1[[#This Row],[Steps]]&gt;99,(F1084+Table1[[#This Row],[Steps]])-100,F1084+Table1[[#This Row],[Steps]]),
))</f>
        <v>0</v>
      </c>
      <c r="F1085">
        <f>IF(Table1[[#This Row],[New Pos L]]&lt;&gt;0,Table1[[#This Row],[New Pos L]],Table1[[#This Row],[New Pos R]])</f>
        <v>27</v>
      </c>
    </row>
    <row r="1086" spans="1:6" ht="16" x14ac:dyDescent="0.2">
      <c r="A1086" s="1" t="s">
        <v>91</v>
      </c>
      <c r="B1086" t="str">
        <f>LEFT(Table1[[#This Row],[Input]],1)</f>
        <v>L</v>
      </c>
      <c r="C1086">
        <f>_xlfn.LET(_xlpm.steps,SUBSTITUTE(Table1[[#This Row],[Input]],Table1[[#This Row],[Direction]],""),VALUE(IF(LEN(_xlpm.steps)&gt;2,RIGHT(_xlpm.steps,2),_xlpm.steps)))</f>
        <v>22</v>
      </c>
      <c r="D1086">
        <f>_xlfn.LET(_xlpm.dir,Table1[[#This Row],[Direction]],
IF(_xlpm.dir="L",
    IF(F1085-Table1[[#This Row],[Steps]]&lt;0,100+(F1085-Table1[[#This Row],[Steps]]),F1085-Table1[[#This Row],[Steps]]),
))</f>
        <v>5</v>
      </c>
      <c r="E1086">
        <f>_xlfn.LET(_xlpm.dir,Table1[[#This Row],[Direction]],
IF(_xlpm.dir="R",
    IF(F1085+Table1[[#This Row],[Steps]]&gt;99,(F1085+Table1[[#This Row],[Steps]])-100,F1085+Table1[[#This Row],[Steps]]),
))</f>
        <v>0</v>
      </c>
      <c r="F1086">
        <f>IF(Table1[[#This Row],[New Pos L]]&lt;&gt;0,Table1[[#This Row],[New Pos L]],Table1[[#This Row],[New Pos R]])</f>
        <v>5</v>
      </c>
    </row>
    <row r="1087" spans="1:6" ht="16" x14ac:dyDescent="0.2">
      <c r="A1087" s="1" t="s">
        <v>191</v>
      </c>
      <c r="B1087" t="str">
        <f>LEFT(Table1[[#This Row],[Input]],1)</f>
        <v>L</v>
      </c>
      <c r="C1087">
        <f>_xlfn.LET(_xlpm.steps,SUBSTITUTE(Table1[[#This Row],[Input]],Table1[[#This Row],[Direction]],""),VALUE(IF(LEN(_xlpm.steps)&gt;2,RIGHT(_xlpm.steps,2),_xlpm.steps)))</f>
        <v>5</v>
      </c>
      <c r="D1087">
        <f>_xlfn.LET(_xlpm.dir,Table1[[#This Row],[Direction]],
IF(_xlpm.dir="L",
    IF(F1086-Table1[[#This Row],[Steps]]&lt;0,100+(F1086-Table1[[#This Row],[Steps]]),F1086-Table1[[#This Row],[Steps]]),
))</f>
        <v>0</v>
      </c>
      <c r="E1087">
        <f>_xlfn.LET(_xlpm.dir,Table1[[#This Row],[Direction]],
IF(_xlpm.dir="R",
    IF(F1086+Table1[[#This Row],[Steps]]&gt;99,(F1086+Table1[[#This Row],[Steps]])-100,F1086+Table1[[#This Row],[Steps]]),
))</f>
        <v>0</v>
      </c>
      <c r="F1087">
        <f>IF(Table1[[#This Row],[New Pos L]]&lt;&gt;0,Table1[[#This Row],[New Pos L]],Table1[[#This Row],[New Pos R]])</f>
        <v>0</v>
      </c>
    </row>
    <row r="1088" spans="1:6" ht="16" x14ac:dyDescent="0.2">
      <c r="A1088" s="1" t="s">
        <v>223</v>
      </c>
      <c r="B1088" t="str">
        <f>LEFT(Table1[[#This Row],[Input]],1)</f>
        <v>L</v>
      </c>
      <c r="C1088">
        <f>_xlfn.LET(_xlpm.steps,SUBSTITUTE(Table1[[#This Row],[Input]],Table1[[#This Row],[Direction]],""),VALUE(IF(LEN(_xlpm.steps)&gt;2,RIGHT(_xlpm.steps,2),_xlpm.steps)))</f>
        <v>87</v>
      </c>
      <c r="D1088">
        <f>_xlfn.LET(_xlpm.dir,Table1[[#This Row],[Direction]],
IF(_xlpm.dir="L",
    IF(F1087-Table1[[#This Row],[Steps]]&lt;0,100+(F1087-Table1[[#This Row],[Steps]]),F1087-Table1[[#This Row],[Steps]]),
))</f>
        <v>13</v>
      </c>
      <c r="E1088">
        <f>_xlfn.LET(_xlpm.dir,Table1[[#This Row],[Direction]],
IF(_xlpm.dir="R",
    IF(F1087+Table1[[#This Row],[Steps]]&gt;99,(F1087+Table1[[#This Row],[Steps]])-100,F1087+Table1[[#This Row],[Steps]]),
))</f>
        <v>0</v>
      </c>
      <c r="F1088">
        <f>IF(Table1[[#This Row],[New Pos L]]&lt;&gt;0,Table1[[#This Row],[New Pos L]],Table1[[#This Row],[New Pos R]])</f>
        <v>13</v>
      </c>
    </row>
    <row r="1089" spans="1:6" ht="16" x14ac:dyDescent="0.2">
      <c r="A1089" s="1" t="s">
        <v>68</v>
      </c>
      <c r="B1089" t="str">
        <f>LEFT(Table1[[#This Row],[Input]],1)</f>
        <v>L</v>
      </c>
      <c r="C1089">
        <f>_xlfn.LET(_xlpm.steps,SUBSTITUTE(Table1[[#This Row],[Input]],Table1[[#This Row],[Direction]],""),VALUE(IF(LEN(_xlpm.steps)&gt;2,RIGHT(_xlpm.steps,2),_xlpm.steps)))</f>
        <v>80</v>
      </c>
      <c r="D1089">
        <f>_xlfn.LET(_xlpm.dir,Table1[[#This Row],[Direction]],
IF(_xlpm.dir="L",
    IF(F1088-Table1[[#This Row],[Steps]]&lt;0,100+(F1088-Table1[[#This Row],[Steps]]),F1088-Table1[[#This Row],[Steps]]),
))</f>
        <v>33</v>
      </c>
      <c r="E1089">
        <f>_xlfn.LET(_xlpm.dir,Table1[[#This Row],[Direction]],
IF(_xlpm.dir="R",
    IF(F1088+Table1[[#This Row],[Steps]]&gt;99,(F1088+Table1[[#This Row],[Steps]])-100,F1088+Table1[[#This Row],[Steps]]),
))</f>
        <v>0</v>
      </c>
      <c r="F1089">
        <f>IF(Table1[[#This Row],[New Pos L]]&lt;&gt;0,Table1[[#This Row],[New Pos L]],Table1[[#This Row],[New Pos R]])</f>
        <v>33</v>
      </c>
    </row>
    <row r="1090" spans="1:6" ht="16" x14ac:dyDescent="0.2">
      <c r="A1090" s="1" t="s">
        <v>29</v>
      </c>
      <c r="B1090" t="str">
        <f>LEFT(Table1[[#This Row],[Input]],1)</f>
        <v>L</v>
      </c>
      <c r="C1090">
        <f>_xlfn.LET(_xlpm.steps,SUBSTITUTE(Table1[[#This Row],[Input]],Table1[[#This Row],[Direction]],""),VALUE(IF(LEN(_xlpm.steps)&gt;2,RIGHT(_xlpm.steps,2),_xlpm.steps)))</f>
        <v>33</v>
      </c>
      <c r="D1090">
        <f>_xlfn.LET(_xlpm.dir,Table1[[#This Row],[Direction]],
IF(_xlpm.dir="L",
    IF(F1089-Table1[[#This Row],[Steps]]&lt;0,100+(F1089-Table1[[#This Row],[Steps]]),F1089-Table1[[#This Row],[Steps]]),
))</f>
        <v>0</v>
      </c>
      <c r="E1090">
        <f>_xlfn.LET(_xlpm.dir,Table1[[#This Row],[Direction]],
IF(_xlpm.dir="R",
    IF(F1089+Table1[[#This Row],[Steps]]&gt;99,(F1089+Table1[[#This Row],[Steps]])-100,F1089+Table1[[#This Row],[Steps]]),
))</f>
        <v>0</v>
      </c>
      <c r="F1090">
        <f>IF(Table1[[#This Row],[New Pos L]]&lt;&gt;0,Table1[[#This Row],[New Pos L]],Table1[[#This Row],[New Pos R]])</f>
        <v>0</v>
      </c>
    </row>
    <row r="1091" spans="1:6" ht="16" x14ac:dyDescent="0.2">
      <c r="A1091" s="1" t="s">
        <v>373</v>
      </c>
      <c r="B1091" t="str">
        <f>LEFT(Table1[[#This Row],[Input]],1)</f>
        <v>L</v>
      </c>
      <c r="C1091">
        <f>_xlfn.LET(_xlpm.steps,SUBSTITUTE(Table1[[#This Row],[Input]],Table1[[#This Row],[Direction]],""),VALUE(IF(LEN(_xlpm.steps)&gt;2,RIGHT(_xlpm.steps,2),_xlpm.steps)))</f>
        <v>44</v>
      </c>
      <c r="D1091">
        <f>_xlfn.LET(_xlpm.dir,Table1[[#This Row],[Direction]],
IF(_xlpm.dir="L",
    IF(F1090-Table1[[#This Row],[Steps]]&lt;0,100+(F1090-Table1[[#This Row],[Steps]]),F1090-Table1[[#This Row],[Steps]]),
))</f>
        <v>56</v>
      </c>
      <c r="E1091">
        <f>_xlfn.LET(_xlpm.dir,Table1[[#This Row],[Direction]],
IF(_xlpm.dir="R",
    IF(F1090+Table1[[#This Row],[Steps]]&gt;99,(F1090+Table1[[#This Row],[Steps]])-100,F1090+Table1[[#This Row],[Steps]]),
))</f>
        <v>0</v>
      </c>
      <c r="F1091">
        <f>IF(Table1[[#This Row],[New Pos L]]&lt;&gt;0,Table1[[#This Row],[New Pos L]],Table1[[#This Row],[New Pos R]])</f>
        <v>56</v>
      </c>
    </row>
    <row r="1092" spans="1:6" ht="16" x14ac:dyDescent="0.2">
      <c r="A1092" s="1" t="s">
        <v>295</v>
      </c>
      <c r="B1092" t="str">
        <f>LEFT(Table1[[#This Row],[Input]],1)</f>
        <v>L</v>
      </c>
      <c r="C1092">
        <f>_xlfn.LET(_xlpm.steps,SUBSTITUTE(Table1[[#This Row],[Input]],Table1[[#This Row],[Direction]],""),VALUE(IF(LEN(_xlpm.steps)&gt;2,RIGHT(_xlpm.steps,2),_xlpm.steps)))</f>
        <v>88</v>
      </c>
      <c r="D1092">
        <f>_xlfn.LET(_xlpm.dir,Table1[[#This Row],[Direction]],
IF(_xlpm.dir="L",
    IF(F1091-Table1[[#This Row],[Steps]]&lt;0,100+(F1091-Table1[[#This Row],[Steps]]),F1091-Table1[[#This Row],[Steps]]),
))</f>
        <v>68</v>
      </c>
      <c r="E1092">
        <f>_xlfn.LET(_xlpm.dir,Table1[[#This Row],[Direction]],
IF(_xlpm.dir="R",
    IF(F1091+Table1[[#This Row],[Steps]]&gt;99,(F1091+Table1[[#This Row],[Steps]])-100,F1091+Table1[[#This Row],[Steps]]),
))</f>
        <v>0</v>
      </c>
      <c r="F1092">
        <f>IF(Table1[[#This Row],[New Pos L]]&lt;&gt;0,Table1[[#This Row],[New Pos L]],Table1[[#This Row],[New Pos R]])</f>
        <v>68</v>
      </c>
    </row>
    <row r="1093" spans="1:6" ht="16" x14ac:dyDescent="0.2">
      <c r="A1093" s="1" t="s">
        <v>230</v>
      </c>
      <c r="B1093" t="str">
        <f>LEFT(Table1[[#This Row],[Input]],1)</f>
        <v>L</v>
      </c>
      <c r="C1093">
        <f>_xlfn.LET(_xlpm.steps,SUBSTITUTE(Table1[[#This Row],[Input]],Table1[[#This Row],[Direction]],""),VALUE(IF(LEN(_xlpm.steps)&gt;2,RIGHT(_xlpm.steps,2),_xlpm.steps)))</f>
        <v>98</v>
      </c>
      <c r="D1093">
        <f>_xlfn.LET(_xlpm.dir,Table1[[#This Row],[Direction]],
IF(_xlpm.dir="L",
    IF(F1092-Table1[[#This Row],[Steps]]&lt;0,100+(F1092-Table1[[#This Row],[Steps]]),F1092-Table1[[#This Row],[Steps]]),
))</f>
        <v>70</v>
      </c>
      <c r="E1093">
        <f>_xlfn.LET(_xlpm.dir,Table1[[#This Row],[Direction]],
IF(_xlpm.dir="R",
    IF(F1092+Table1[[#This Row],[Steps]]&gt;99,(F1092+Table1[[#This Row],[Steps]])-100,F1092+Table1[[#This Row],[Steps]]),
))</f>
        <v>0</v>
      </c>
      <c r="F1093">
        <f>IF(Table1[[#This Row],[New Pos L]]&lt;&gt;0,Table1[[#This Row],[New Pos L]],Table1[[#This Row],[New Pos R]])</f>
        <v>70</v>
      </c>
    </row>
    <row r="1094" spans="1:6" ht="16" x14ac:dyDescent="0.2">
      <c r="A1094" s="1" t="s">
        <v>364</v>
      </c>
      <c r="B1094" t="str">
        <f>LEFT(Table1[[#This Row],[Input]],1)</f>
        <v>L</v>
      </c>
      <c r="C1094">
        <f>_xlfn.LET(_xlpm.steps,SUBSTITUTE(Table1[[#This Row],[Input]],Table1[[#This Row],[Direction]],""),VALUE(IF(LEN(_xlpm.steps)&gt;2,RIGHT(_xlpm.steps,2),_xlpm.steps)))</f>
        <v>70</v>
      </c>
      <c r="D1094">
        <f>_xlfn.LET(_xlpm.dir,Table1[[#This Row],[Direction]],
IF(_xlpm.dir="L",
    IF(F1093-Table1[[#This Row],[Steps]]&lt;0,100+(F1093-Table1[[#This Row],[Steps]]),F1093-Table1[[#This Row],[Steps]]),
))</f>
        <v>0</v>
      </c>
      <c r="E1094">
        <f>_xlfn.LET(_xlpm.dir,Table1[[#This Row],[Direction]],
IF(_xlpm.dir="R",
    IF(F1093+Table1[[#This Row],[Steps]]&gt;99,(F1093+Table1[[#This Row],[Steps]])-100,F1093+Table1[[#This Row],[Steps]]),
))</f>
        <v>0</v>
      </c>
      <c r="F1094">
        <f>IF(Table1[[#This Row],[New Pos L]]&lt;&gt;0,Table1[[#This Row],[New Pos L]],Table1[[#This Row],[New Pos R]])</f>
        <v>0</v>
      </c>
    </row>
    <row r="1095" spans="1:6" ht="16" x14ac:dyDescent="0.2">
      <c r="A1095" s="1" t="s">
        <v>319</v>
      </c>
      <c r="B1095" t="str">
        <f>LEFT(Table1[[#This Row],[Input]],1)</f>
        <v>L</v>
      </c>
      <c r="C1095">
        <f>_xlfn.LET(_xlpm.steps,SUBSTITUTE(Table1[[#This Row],[Input]],Table1[[#This Row],[Direction]],""),VALUE(IF(LEN(_xlpm.steps)&gt;2,RIGHT(_xlpm.steps,2),_xlpm.steps)))</f>
        <v>79</v>
      </c>
      <c r="D1095">
        <f>_xlfn.LET(_xlpm.dir,Table1[[#This Row],[Direction]],
IF(_xlpm.dir="L",
    IF(F1094-Table1[[#This Row],[Steps]]&lt;0,100+(F1094-Table1[[#This Row],[Steps]]),F1094-Table1[[#This Row],[Steps]]),
))</f>
        <v>21</v>
      </c>
      <c r="E1095">
        <f>_xlfn.LET(_xlpm.dir,Table1[[#This Row],[Direction]],
IF(_xlpm.dir="R",
    IF(F1094+Table1[[#This Row],[Steps]]&gt;99,(F1094+Table1[[#This Row],[Steps]])-100,F1094+Table1[[#This Row],[Steps]]),
))</f>
        <v>0</v>
      </c>
      <c r="F1095">
        <f>IF(Table1[[#This Row],[New Pos L]]&lt;&gt;0,Table1[[#This Row],[New Pos L]],Table1[[#This Row],[New Pos R]])</f>
        <v>21</v>
      </c>
    </row>
    <row r="1096" spans="1:6" ht="16" x14ac:dyDescent="0.2">
      <c r="A1096" s="1" t="s">
        <v>374</v>
      </c>
      <c r="B1096" t="str">
        <f>LEFT(Table1[[#This Row],[Input]],1)</f>
        <v>R</v>
      </c>
      <c r="C1096">
        <f>_xlfn.LET(_xlpm.steps,SUBSTITUTE(Table1[[#This Row],[Input]],Table1[[#This Row],[Direction]],""),VALUE(IF(LEN(_xlpm.steps)&gt;2,RIGHT(_xlpm.steps,2),_xlpm.steps)))</f>
        <v>64</v>
      </c>
      <c r="D1096">
        <f>_xlfn.LET(_xlpm.dir,Table1[[#This Row],[Direction]],
IF(_xlpm.dir="L",
    IF(F1095-Table1[[#This Row],[Steps]]&lt;0,100+(F1095-Table1[[#This Row],[Steps]]),F1095-Table1[[#This Row],[Steps]]),
))</f>
        <v>0</v>
      </c>
      <c r="E1096">
        <f>_xlfn.LET(_xlpm.dir,Table1[[#This Row],[Direction]],
IF(_xlpm.dir="R",
    IF(F1095+Table1[[#This Row],[Steps]]&gt;99,(F1095+Table1[[#This Row],[Steps]])-100,F1095+Table1[[#This Row],[Steps]]),
))</f>
        <v>85</v>
      </c>
      <c r="F1096">
        <f>IF(Table1[[#This Row],[New Pos L]]&lt;&gt;0,Table1[[#This Row],[New Pos L]],Table1[[#This Row],[New Pos R]])</f>
        <v>85</v>
      </c>
    </row>
    <row r="1097" spans="1:6" ht="16" x14ac:dyDescent="0.2">
      <c r="A1097" s="1" t="s">
        <v>260</v>
      </c>
      <c r="B1097" t="str">
        <f>LEFT(Table1[[#This Row],[Input]],1)</f>
        <v>L</v>
      </c>
      <c r="C1097">
        <f>_xlfn.LET(_xlpm.steps,SUBSTITUTE(Table1[[#This Row],[Input]],Table1[[#This Row],[Direction]],""),VALUE(IF(LEN(_xlpm.steps)&gt;2,RIGHT(_xlpm.steps,2),_xlpm.steps)))</f>
        <v>85</v>
      </c>
      <c r="D1097">
        <f>_xlfn.LET(_xlpm.dir,Table1[[#This Row],[Direction]],
IF(_xlpm.dir="L",
    IF(F1096-Table1[[#This Row],[Steps]]&lt;0,100+(F1096-Table1[[#This Row],[Steps]]),F1096-Table1[[#This Row],[Steps]]),
))</f>
        <v>0</v>
      </c>
      <c r="E1097">
        <f>_xlfn.LET(_xlpm.dir,Table1[[#This Row],[Direction]],
IF(_xlpm.dir="R",
    IF(F1096+Table1[[#This Row],[Steps]]&gt;99,(F1096+Table1[[#This Row],[Steps]])-100,F1096+Table1[[#This Row],[Steps]]),
))</f>
        <v>0</v>
      </c>
      <c r="F1097">
        <f>IF(Table1[[#This Row],[New Pos L]]&lt;&gt;0,Table1[[#This Row],[New Pos L]],Table1[[#This Row],[New Pos R]])</f>
        <v>0</v>
      </c>
    </row>
    <row r="1098" spans="1:6" ht="16" x14ac:dyDescent="0.2">
      <c r="A1098" s="1" t="s">
        <v>13</v>
      </c>
      <c r="B1098" t="str">
        <f>LEFT(Table1[[#This Row],[Input]],1)</f>
        <v>R</v>
      </c>
      <c r="C1098">
        <f>_xlfn.LET(_xlpm.steps,SUBSTITUTE(Table1[[#This Row],[Input]],Table1[[#This Row],[Direction]],""),VALUE(IF(LEN(_xlpm.steps)&gt;2,RIGHT(_xlpm.steps,2),_xlpm.steps)))</f>
        <v>12</v>
      </c>
      <c r="D1098">
        <f>_xlfn.LET(_xlpm.dir,Table1[[#This Row],[Direction]],
IF(_xlpm.dir="L",
    IF(F1097-Table1[[#This Row],[Steps]]&lt;0,100+(F1097-Table1[[#This Row],[Steps]]),F1097-Table1[[#This Row],[Steps]]),
))</f>
        <v>0</v>
      </c>
      <c r="E1098">
        <f>_xlfn.LET(_xlpm.dir,Table1[[#This Row],[Direction]],
IF(_xlpm.dir="R",
    IF(F1097+Table1[[#This Row],[Steps]]&gt;99,(F1097+Table1[[#This Row],[Steps]])-100,F1097+Table1[[#This Row],[Steps]]),
))</f>
        <v>12</v>
      </c>
      <c r="F1098">
        <f>IF(Table1[[#This Row],[New Pos L]]&lt;&gt;0,Table1[[#This Row],[New Pos L]],Table1[[#This Row],[New Pos R]])</f>
        <v>12</v>
      </c>
    </row>
    <row r="1099" spans="1:6" ht="16" x14ac:dyDescent="0.2">
      <c r="A1099" s="1" t="s">
        <v>375</v>
      </c>
      <c r="B1099" t="str">
        <f>LEFT(Table1[[#This Row],[Input]],1)</f>
        <v>R</v>
      </c>
      <c r="C1099">
        <f>_xlfn.LET(_xlpm.steps,SUBSTITUTE(Table1[[#This Row],[Input]],Table1[[#This Row],[Direction]],""),VALUE(IF(LEN(_xlpm.steps)&gt;2,RIGHT(_xlpm.steps,2),_xlpm.steps)))</f>
        <v>5</v>
      </c>
      <c r="D1099">
        <f>_xlfn.LET(_xlpm.dir,Table1[[#This Row],[Direction]],
IF(_xlpm.dir="L",
    IF(F1098-Table1[[#This Row],[Steps]]&lt;0,100+(F1098-Table1[[#This Row],[Steps]]),F1098-Table1[[#This Row],[Steps]]),
))</f>
        <v>0</v>
      </c>
      <c r="E1099">
        <f>_xlfn.LET(_xlpm.dir,Table1[[#This Row],[Direction]],
IF(_xlpm.dir="R",
    IF(F1098+Table1[[#This Row],[Steps]]&gt;99,(F1098+Table1[[#This Row],[Steps]])-100,F1098+Table1[[#This Row],[Steps]]),
))</f>
        <v>17</v>
      </c>
      <c r="F1099">
        <f>IF(Table1[[#This Row],[New Pos L]]&lt;&gt;0,Table1[[#This Row],[New Pos L]],Table1[[#This Row],[New Pos R]])</f>
        <v>17</v>
      </c>
    </row>
    <row r="1100" spans="1:6" ht="16" x14ac:dyDescent="0.2">
      <c r="A1100" s="1" t="s">
        <v>376</v>
      </c>
      <c r="B1100" t="str">
        <f>LEFT(Table1[[#This Row],[Input]],1)</f>
        <v>R</v>
      </c>
      <c r="C1100">
        <f>_xlfn.LET(_xlpm.steps,SUBSTITUTE(Table1[[#This Row],[Input]],Table1[[#This Row],[Direction]],""),VALUE(IF(LEN(_xlpm.steps)&gt;2,RIGHT(_xlpm.steps,2),_xlpm.steps)))</f>
        <v>83</v>
      </c>
      <c r="D1100">
        <f>_xlfn.LET(_xlpm.dir,Table1[[#This Row],[Direction]],
IF(_xlpm.dir="L",
    IF(F1099-Table1[[#This Row],[Steps]]&lt;0,100+(F1099-Table1[[#This Row],[Steps]]),F1099-Table1[[#This Row],[Steps]]),
))</f>
        <v>0</v>
      </c>
      <c r="E1100">
        <f>_xlfn.LET(_xlpm.dir,Table1[[#This Row],[Direction]],
IF(_xlpm.dir="R",
    IF(F1099+Table1[[#This Row],[Steps]]&gt;99,(F1099+Table1[[#This Row],[Steps]])-100,F1099+Table1[[#This Row],[Steps]]),
))</f>
        <v>0</v>
      </c>
      <c r="F1100">
        <f>IF(Table1[[#This Row],[New Pos L]]&lt;&gt;0,Table1[[#This Row],[New Pos L]],Table1[[#This Row],[New Pos R]])</f>
        <v>0</v>
      </c>
    </row>
    <row r="1101" spans="1:6" ht="16" x14ac:dyDescent="0.2">
      <c r="A1101" s="1" t="s">
        <v>14</v>
      </c>
      <c r="B1101" t="str">
        <f>LEFT(Table1[[#This Row],[Input]],1)</f>
        <v>L</v>
      </c>
      <c r="C1101">
        <f>_xlfn.LET(_xlpm.steps,SUBSTITUTE(Table1[[#This Row],[Input]],Table1[[#This Row],[Direction]],""),VALUE(IF(LEN(_xlpm.steps)&gt;2,RIGHT(_xlpm.steps,2),_xlpm.steps)))</f>
        <v>43</v>
      </c>
      <c r="D1101">
        <f>_xlfn.LET(_xlpm.dir,Table1[[#This Row],[Direction]],
IF(_xlpm.dir="L",
    IF(F1100-Table1[[#This Row],[Steps]]&lt;0,100+(F1100-Table1[[#This Row],[Steps]]),F1100-Table1[[#This Row],[Steps]]),
))</f>
        <v>57</v>
      </c>
      <c r="E1101">
        <f>_xlfn.LET(_xlpm.dir,Table1[[#This Row],[Direction]],
IF(_xlpm.dir="R",
    IF(F1100+Table1[[#This Row],[Steps]]&gt;99,(F1100+Table1[[#This Row],[Steps]])-100,F1100+Table1[[#This Row],[Steps]]),
))</f>
        <v>0</v>
      </c>
      <c r="F1101">
        <f>IF(Table1[[#This Row],[New Pos L]]&lt;&gt;0,Table1[[#This Row],[New Pos L]],Table1[[#This Row],[New Pos R]])</f>
        <v>57</v>
      </c>
    </row>
    <row r="1102" spans="1:6" ht="16" x14ac:dyDescent="0.2">
      <c r="A1102" s="1" t="s">
        <v>72</v>
      </c>
      <c r="B1102" t="str">
        <f>LEFT(Table1[[#This Row],[Input]],1)</f>
        <v>R</v>
      </c>
      <c r="C1102">
        <f>_xlfn.LET(_xlpm.steps,SUBSTITUTE(Table1[[#This Row],[Input]],Table1[[#This Row],[Direction]],""),VALUE(IF(LEN(_xlpm.steps)&gt;2,RIGHT(_xlpm.steps,2),_xlpm.steps)))</f>
        <v>43</v>
      </c>
      <c r="D1102">
        <f>_xlfn.LET(_xlpm.dir,Table1[[#This Row],[Direction]],
IF(_xlpm.dir="L",
    IF(F1101-Table1[[#This Row],[Steps]]&lt;0,100+(F1101-Table1[[#This Row],[Steps]]),F1101-Table1[[#This Row],[Steps]]),
))</f>
        <v>0</v>
      </c>
      <c r="E1102">
        <f>_xlfn.LET(_xlpm.dir,Table1[[#This Row],[Direction]],
IF(_xlpm.dir="R",
    IF(F1101+Table1[[#This Row],[Steps]]&gt;99,(F1101+Table1[[#This Row],[Steps]])-100,F1101+Table1[[#This Row],[Steps]]),
))</f>
        <v>0</v>
      </c>
      <c r="F1102">
        <f>IF(Table1[[#This Row],[New Pos L]]&lt;&gt;0,Table1[[#This Row],[New Pos L]],Table1[[#This Row],[New Pos R]])</f>
        <v>0</v>
      </c>
    </row>
    <row r="1103" spans="1:6" ht="16" x14ac:dyDescent="0.2">
      <c r="A1103" s="1" t="s">
        <v>94</v>
      </c>
      <c r="B1103" t="str">
        <f>LEFT(Table1[[#This Row],[Input]],1)</f>
        <v>L</v>
      </c>
      <c r="C1103">
        <f>_xlfn.LET(_xlpm.steps,SUBSTITUTE(Table1[[#This Row],[Input]],Table1[[#This Row],[Direction]],""),VALUE(IF(LEN(_xlpm.steps)&gt;2,RIGHT(_xlpm.steps,2),_xlpm.steps)))</f>
        <v>71</v>
      </c>
      <c r="D1103">
        <f>_xlfn.LET(_xlpm.dir,Table1[[#This Row],[Direction]],
IF(_xlpm.dir="L",
    IF(F1102-Table1[[#This Row],[Steps]]&lt;0,100+(F1102-Table1[[#This Row],[Steps]]),F1102-Table1[[#This Row],[Steps]]),
))</f>
        <v>29</v>
      </c>
      <c r="E1103">
        <f>_xlfn.LET(_xlpm.dir,Table1[[#This Row],[Direction]],
IF(_xlpm.dir="R",
    IF(F1102+Table1[[#This Row],[Steps]]&gt;99,(F1102+Table1[[#This Row],[Steps]])-100,F1102+Table1[[#This Row],[Steps]]),
))</f>
        <v>0</v>
      </c>
      <c r="F1103">
        <f>IF(Table1[[#This Row],[New Pos L]]&lt;&gt;0,Table1[[#This Row],[New Pos L]],Table1[[#This Row],[New Pos R]])</f>
        <v>29</v>
      </c>
    </row>
    <row r="1104" spans="1:6" ht="16" x14ac:dyDescent="0.2">
      <c r="A1104" s="1" t="s">
        <v>272</v>
      </c>
      <c r="B1104" t="str">
        <f>LEFT(Table1[[#This Row],[Input]],1)</f>
        <v>R</v>
      </c>
      <c r="C1104">
        <f>_xlfn.LET(_xlpm.steps,SUBSTITUTE(Table1[[#This Row],[Input]],Table1[[#This Row],[Direction]],""),VALUE(IF(LEN(_xlpm.steps)&gt;2,RIGHT(_xlpm.steps,2),_xlpm.steps)))</f>
        <v>56</v>
      </c>
      <c r="D1104">
        <f>_xlfn.LET(_xlpm.dir,Table1[[#This Row],[Direction]],
IF(_xlpm.dir="L",
    IF(F1103-Table1[[#This Row],[Steps]]&lt;0,100+(F1103-Table1[[#This Row],[Steps]]),F1103-Table1[[#This Row],[Steps]]),
))</f>
        <v>0</v>
      </c>
      <c r="E1104">
        <f>_xlfn.LET(_xlpm.dir,Table1[[#This Row],[Direction]],
IF(_xlpm.dir="R",
    IF(F1103+Table1[[#This Row],[Steps]]&gt;99,(F1103+Table1[[#This Row],[Steps]])-100,F1103+Table1[[#This Row],[Steps]]),
))</f>
        <v>85</v>
      </c>
      <c r="F1104">
        <f>IF(Table1[[#This Row],[New Pos L]]&lt;&gt;0,Table1[[#This Row],[New Pos L]],Table1[[#This Row],[New Pos R]])</f>
        <v>85</v>
      </c>
    </row>
    <row r="1105" spans="1:6" ht="16" x14ac:dyDescent="0.2">
      <c r="A1105" s="1" t="s">
        <v>260</v>
      </c>
      <c r="B1105" t="str">
        <f>LEFT(Table1[[#This Row],[Input]],1)</f>
        <v>L</v>
      </c>
      <c r="C1105">
        <f>_xlfn.LET(_xlpm.steps,SUBSTITUTE(Table1[[#This Row],[Input]],Table1[[#This Row],[Direction]],""),VALUE(IF(LEN(_xlpm.steps)&gt;2,RIGHT(_xlpm.steps,2),_xlpm.steps)))</f>
        <v>85</v>
      </c>
      <c r="D1105">
        <f>_xlfn.LET(_xlpm.dir,Table1[[#This Row],[Direction]],
IF(_xlpm.dir="L",
    IF(F1104-Table1[[#This Row],[Steps]]&lt;0,100+(F1104-Table1[[#This Row],[Steps]]),F1104-Table1[[#This Row],[Steps]]),
))</f>
        <v>0</v>
      </c>
      <c r="E1105">
        <f>_xlfn.LET(_xlpm.dir,Table1[[#This Row],[Direction]],
IF(_xlpm.dir="R",
    IF(F1104+Table1[[#This Row],[Steps]]&gt;99,(F1104+Table1[[#This Row],[Steps]])-100,F1104+Table1[[#This Row],[Steps]]),
))</f>
        <v>0</v>
      </c>
      <c r="F1105">
        <f>IF(Table1[[#This Row],[New Pos L]]&lt;&gt;0,Table1[[#This Row],[New Pos L]],Table1[[#This Row],[New Pos R]])</f>
        <v>0</v>
      </c>
    </row>
    <row r="1106" spans="1:6" ht="16" x14ac:dyDescent="0.2">
      <c r="A1106" s="1" t="s">
        <v>371</v>
      </c>
      <c r="B1106" t="str">
        <f>LEFT(Table1[[#This Row],[Input]],1)</f>
        <v>L</v>
      </c>
      <c r="C1106">
        <f>_xlfn.LET(_xlpm.steps,SUBSTITUTE(Table1[[#This Row],[Input]],Table1[[#This Row],[Direction]],""),VALUE(IF(LEN(_xlpm.steps)&gt;2,RIGHT(_xlpm.steps,2),_xlpm.steps)))</f>
        <v>53</v>
      </c>
      <c r="D1106">
        <f>_xlfn.LET(_xlpm.dir,Table1[[#This Row],[Direction]],
IF(_xlpm.dir="L",
    IF(F1105-Table1[[#This Row],[Steps]]&lt;0,100+(F1105-Table1[[#This Row],[Steps]]),F1105-Table1[[#This Row],[Steps]]),
))</f>
        <v>47</v>
      </c>
      <c r="E1106">
        <f>_xlfn.LET(_xlpm.dir,Table1[[#This Row],[Direction]],
IF(_xlpm.dir="R",
    IF(F1105+Table1[[#This Row],[Steps]]&gt;99,(F1105+Table1[[#This Row],[Steps]])-100,F1105+Table1[[#This Row],[Steps]]),
))</f>
        <v>0</v>
      </c>
      <c r="F1106">
        <f>IF(Table1[[#This Row],[New Pos L]]&lt;&gt;0,Table1[[#This Row],[New Pos L]],Table1[[#This Row],[New Pos R]])</f>
        <v>47</v>
      </c>
    </row>
    <row r="1107" spans="1:6" ht="16" x14ac:dyDescent="0.2">
      <c r="A1107" s="1" t="s">
        <v>148</v>
      </c>
      <c r="B1107" t="str">
        <f>LEFT(Table1[[#This Row],[Input]],1)</f>
        <v>R</v>
      </c>
      <c r="C1107">
        <f>_xlfn.LET(_xlpm.steps,SUBSTITUTE(Table1[[#This Row],[Input]],Table1[[#This Row],[Direction]],""),VALUE(IF(LEN(_xlpm.steps)&gt;2,RIGHT(_xlpm.steps,2),_xlpm.steps)))</f>
        <v>80</v>
      </c>
      <c r="D1107">
        <f>_xlfn.LET(_xlpm.dir,Table1[[#This Row],[Direction]],
IF(_xlpm.dir="L",
    IF(F1106-Table1[[#This Row],[Steps]]&lt;0,100+(F1106-Table1[[#This Row],[Steps]]),F1106-Table1[[#This Row],[Steps]]),
))</f>
        <v>0</v>
      </c>
      <c r="E1107">
        <f>_xlfn.LET(_xlpm.dir,Table1[[#This Row],[Direction]],
IF(_xlpm.dir="R",
    IF(F1106+Table1[[#This Row],[Steps]]&gt;99,(F1106+Table1[[#This Row],[Steps]])-100,F1106+Table1[[#This Row],[Steps]]),
))</f>
        <v>27</v>
      </c>
      <c r="F1107">
        <f>IF(Table1[[#This Row],[New Pos L]]&lt;&gt;0,Table1[[#This Row],[New Pos L]],Table1[[#This Row],[New Pos R]])</f>
        <v>27</v>
      </c>
    </row>
    <row r="1108" spans="1:6" ht="16" x14ac:dyDescent="0.2">
      <c r="A1108" s="1" t="s">
        <v>148</v>
      </c>
      <c r="B1108" t="str">
        <f>LEFT(Table1[[#This Row],[Input]],1)</f>
        <v>R</v>
      </c>
      <c r="C1108">
        <f>_xlfn.LET(_xlpm.steps,SUBSTITUTE(Table1[[#This Row],[Input]],Table1[[#This Row],[Direction]],""),VALUE(IF(LEN(_xlpm.steps)&gt;2,RIGHT(_xlpm.steps,2),_xlpm.steps)))</f>
        <v>80</v>
      </c>
      <c r="D1108">
        <f>_xlfn.LET(_xlpm.dir,Table1[[#This Row],[Direction]],
IF(_xlpm.dir="L",
    IF(F1107-Table1[[#This Row],[Steps]]&lt;0,100+(F1107-Table1[[#This Row],[Steps]]),F1107-Table1[[#This Row],[Steps]]),
))</f>
        <v>0</v>
      </c>
      <c r="E1108">
        <f>_xlfn.LET(_xlpm.dir,Table1[[#This Row],[Direction]],
IF(_xlpm.dir="R",
    IF(F1107+Table1[[#This Row],[Steps]]&gt;99,(F1107+Table1[[#This Row],[Steps]])-100,F1107+Table1[[#This Row],[Steps]]),
))</f>
        <v>7</v>
      </c>
      <c r="F1108">
        <f>IF(Table1[[#This Row],[New Pos L]]&lt;&gt;0,Table1[[#This Row],[New Pos L]],Table1[[#This Row],[New Pos R]])</f>
        <v>7</v>
      </c>
    </row>
    <row r="1109" spans="1:6" ht="16" x14ac:dyDescent="0.2">
      <c r="A1109" s="1" t="s">
        <v>62</v>
      </c>
      <c r="B1109" t="str">
        <f>LEFT(Table1[[#This Row],[Input]],1)</f>
        <v>L</v>
      </c>
      <c r="C1109">
        <f>_xlfn.LET(_xlpm.steps,SUBSTITUTE(Table1[[#This Row],[Input]],Table1[[#This Row],[Direction]],""),VALUE(IF(LEN(_xlpm.steps)&gt;2,RIGHT(_xlpm.steps,2),_xlpm.steps)))</f>
        <v>57</v>
      </c>
      <c r="D1109">
        <f>_xlfn.LET(_xlpm.dir,Table1[[#This Row],[Direction]],
IF(_xlpm.dir="L",
    IF(F1108-Table1[[#This Row],[Steps]]&lt;0,100+(F1108-Table1[[#This Row],[Steps]]),F1108-Table1[[#This Row],[Steps]]),
))</f>
        <v>50</v>
      </c>
      <c r="E1109">
        <f>_xlfn.LET(_xlpm.dir,Table1[[#This Row],[Direction]],
IF(_xlpm.dir="R",
    IF(F1108+Table1[[#This Row],[Steps]]&gt;99,(F1108+Table1[[#This Row],[Steps]])-100,F1108+Table1[[#This Row],[Steps]]),
))</f>
        <v>0</v>
      </c>
      <c r="F1109">
        <f>IF(Table1[[#This Row],[New Pos L]]&lt;&gt;0,Table1[[#This Row],[New Pos L]],Table1[[#This Row],[New Pos R]])</f>
        <v>50</v>
      </c>
    </row>
    <row r="1110" spans="1:6" ht="16" x14ac:dyDescent="0.2">
      <c r="A1110" s="1" t="s">
        <v>89</v>
      </c>
      <c r="B1110" t="str">
        <f>LEFT(Table1[[#This Row],[Input]],1)</f>
        <v>L</v>
      </c>
      <c r="C1110">
        <f>_xlfn.LET(_xlpm.steps,SUBSTITUTE(Table1[[#This Row],[Input]],Table1[[#This Row],[Direction]],""),VALUE(IF(LEN(_xlpm.steps)&gt;2,RIGHT(_xlpm.steps,2),_xlpm.steps)))</f>
        <v>91</v>
      </c>
      <c r="D1110">
        <f>_xlfn.LET(_xlpm.dir,Table1[[#This Row],[Direction]],
IF(_xlpm.dir="L",
    IF(F1109-Table1[[#This Row],[Steps]]&lt;0,100+(F1109-Table1[[#This Row],[Steps]]),F1109-Table1[[#This Row],[Steps]]),
))</f>
        <v>59</v>
      </c>
      <c r="E1110">
        <f>_xlfn.LET(_xlpm.dir,Table1[[#This Row],[Direction]],
IF(_xlpm.dir="R",
    IF(F1109+Table1[[#This Row],[Steps]]&gt;99,(F1109+Table1[[#This Row],[Steps]])-100,F1109+Table1[[#This Row],[Steps]]),
))</f>
        <v>0</v>
      </c>
      <c r="F1110">
        <f>IF(Table1[[#This Row],[New Pos L]]&lt;&gt;0,Table1[[#This Row],[New Pos L]],Table1[[#This Row],[New Pos R]])</f>
        <v>59</v>
      </c>
    </row>
    <row r="1111" spans="1:6" ht="16" x14ac:dyDescent="0.2">
      <c r="A1111" s="1" t="s">
        <v>244</v>
      </c>
      <c r="B1111" t="str">
        <f>LEFT(Table1[[#This Row],[Input]],1)</f>
        <v>L</v>
      </c>
      <c r="C1111">
        <f>_xlfn.LET(_xlpm.steps,SUBSTITUTE(Table1[[#This Row],[Input]],Table1[[#This Row],[Direction]],""),VALUE(IF(LEN(_xlpm.steps)&gt;2,RIGHT(_xlpm.steps,2),_xlpm.steps)))</f>
        <v>98</v>
      </c>
      <c r="D1111">
        <f>_xlfn.LET(_xlpm.dir,Table1[[#This Row],[Direction]],
IF(_xlpm.dir="L",
    IF(F1110-Table1[[#This Row],[Steps]]&lt;0,100+(F1110-Table1[[#This Row],[Steps]]),F1110-Table1[[#This Row],[Steps]]),
))</f>
        <v>61</v>
      </c>
      <c r="E1111">
        <f>_xlfn.LET(_xlpm.dir,Table1[[#This Row],[Direction]],
IF(_xlpm.dir="R",
    IF(F1110+Table1[[#This Row],[Steps]]&gt;99,(F1110+Table1[[#This Row],[Steps]])-100,F1110+Table1[[#This Row],[Steps]]),
))</f>
        <v>0</v>
      </c>
      <c r="F1111">
        <f>IF(Table1[[#This Row],[New Pos L]]&lt;&gt;0,Table1[[#This Row],[New Pos L]],Table1[[#This Row],[New Pos R]])</f>
        <v>61</v>
      </c>
    </row>
    <row r="1112" spans="1:6" ht="16" x14ac:dyDescent="0.2">
      <c r="A1112" s="1" t="s">
        <v>102</v>
      </c>
      <c r="B1112" t="str">
        <f>LEFT(Table1[[#This Row],[Input]],1)</f>
        <v>R</v>
      </c>
      <c r="C1112">
        <f>_xlfn.LET(_xlpm.steps,SUBSTITUTE(Table1[[#This Row],[Input]],Table1[[#This Row],[Direction]],""),VALUE(IF(LEN(_xlpm.steps)&gt;2,RIGHT(_xlpm.steps,2),_xlpm.steps)))</f>
        <v>39</v>
      </c>
      <c r="D1112">
        <f>_xlfn.LET(_xlpm.dir,Table1[[#This Row],[Direction]],
IF(_xlpm.dir="L",
    IF(F1111-Table1[[#This Row],[Steps]]&lt;0,100+(F1111-Table1[[#This Row],[Steps]]),F1111-Table1[[#This Row],[Steps]]),
))</f>
        <v>0</v>
      </c>
      <c r="E1112">
        <f>_xlfn.LET(_xlpm.dir,Table1[[#This Row],[Direction]],
IF(_xlpm.dir="R",
    IF(F1111+Table1[[#This Row],[Steps]]&gt;99,(F1111+Table1[[#This Row],[Steps]])-100,F1111+Table1[[#This Row],[Steps]]),
))</f>
        <v>0</v>
      </c>
      <c r="F1112">
        <f>IF(Table1[[#This Row],[New Pos L]]&lt;&gt;0,Table1[[#This Row],[New Pos L]],Table1[[#This Row],[New Pos R]])</f>
        <v>0</v>
      </c>
    </row>
    <row r="1113" spans="1:6" ht="16" x14ac:dyDescent="0.2">
      <c r="A1113" s="1" t="s">
        <v>34</v>
      </c>
      <c r="B1113" t="str">
        <f>LEFT(Table1[[#This Row],[Input]],1)</f>
        <v>L</v>
      </c>
      <c r="C1113">
        <f>_xlfn.LET(_xlpm.steps,SUBSTITUTE(Table1[[#This Row],[Input]],Table1[[#This Row],[Direction]],""),VALUE(IF(LEN(_xlpm.steps)&gt;2,RIGHT(_xlpm.steps,2),_xlpm.steps)))</f>
        <v>15</v>
      </c>
      <c r="D1113">
        <f>_xlfn.LET(_xlpm.dir,Table1[[#This Row],[Direction]],
IF(_xlpm.dir="L",
    IF(F1112-Table1[[#This Row],[Steps]]&lt;0,100+(F1112-Table1[[#This Row],[Steps]]),F1112-Table1[[#This Row],[Steps]]),
))</f>
        <v>85</v>
      </c>
      <c r="E1113">
        <f>_xlfn.LET(_xlpm.dir,Table1[[#This Row],[Direction]],
IF(_xlpm.dir="R",
    IF(F1112+Table1[[#This Row],[Steps]]&gt;99,(F1112+Table1[[#This Row],[Steps]])-100,F1112+Table1[[#This Row],[Steps]]),
))</f>
        <v>0</v>
      </c>
      <c r="F1113">
        <f>IF(Table1[[#This Row],[New Pos L]]&lt;&gt;0,Table1[[#This Row],[New Pos L]],Table1[[#This Row],[New Pos R]])</f>
        <v>85</v>
      </c>
    </row>
    <row r="1114" spans="1:6" ht="16" x14ac:dyDescent="0.2">
      <c r="A1114" s="1" t="s">
        <v>260</v>
      </c>
      <c r="B1114" t="str">
        <f>LEFT(Table1[[#This Row],[Input]],1)</f>
        <v>L</v>
      </c>
      <c r="C1114">
        <f>_xlfn.LET(_xlpm.steps,SUBSTITUTE(Table1[[#This Row],[Input]],Table1[[#This Row],[Direction]],""),VALUE(IF(LEN(_xlpm.steps)&gt;2,RIGHT(_xlpm.steps,2),_xlpm.steps)))</f>
        <v>85</v>
      </c>
      <c r="D1114">
        <f>_xlfn.LET(_xlpm.dir,Table1[[#This Row],[Direction]],
IF(_xlpm.dir="L",
    IF(F1113-Table1[[#This Row],[Steps]]&lt;0,100+(F1113-Table1[[#This Row],[Steps]]),F1113-Table1[[#This Row],[Steps]]),
))</f>
        <v>0</v>
      </c>
      <c r="E1114">
        <f>_xlfn.LET(_xlpm.dir,Table1[[#This Row],[Direction]],
IF(_xlpm.dir="R",
    IF(F1113+Table1[[#This Row],[Steps]]&gt;99,(F1113+Table1[[#This Row],[Steps]])-100,F1113+Table1[[#This Row],[Steps]]),
))</f>
        <v>0</v>
      </c>
      <c r="F1114">
        <f>IF(Table1[[#This Row],[New Pos L]]&lt;&gt;0,Table1[[#This Row],[New Pos L]],Table1[[#This Row],[New Pos R]])</f>
        <v>0</v>
      </c>
    </row>
    <row r="1115" spans="1:6" ht="16" x14ac:dyDescent="0.2">
      <c r="A1115" s="1" t="s">
        <v>213</v>
      </c>
      <c r="B1115" t="str">
        <f>LEFT(Table1[[#This Row],[Input]],1)</f>
        <v>R</v>
      </c>
      <c r="C1115">
        <f>_xlfn.LET(_xlpm.steps,SUBSTITUTE(Table1[[#This Row],[Input]],Table1[[#This Row],[Direction]],""),VALUE(IF(LEN(_xlpm.steps)&gt;2,RIGHT(_xlpm.steps,2),_xlpm.steps)))</f>
        <v>87</v>
      </c>
      <c r="D1115">
        <f>_xlfn.LET(_xlpm.dir,Table1[[#This Row],[Direction]],
IF(_xlpm.dir="L",
    IF(F1114-Table1[[#This Row],[Steps]]&lt;0,100+(F1114-Table1[[#This Row],[Steps]]),F1114-Table1[[#This Row],[Steps]]),
))</f>
        <v>0</v>
      </c>
      <c r="E1115">
        <f>_xlfn.LET(_xlpm.dir,Table1[[#This Row],[Direction]],
IF(_xlpm.dir="R",
    IF(F1114+Table1[[#This Row],[Steps]]&gt;99,(F1114+Table1[[#This Row],[Steps]])-100,F1114+Table1[[#This Row],[Steps]]),
))</f>
        <v>87</v>
      </c>
      <c r="F1115">
        <f>IF(Table1[[#This Row],[New Pos L]]&lt;&gt;0,Table1[[#This Row],[New Pos L]],Table1[[#This Row],[New Pos R]])</f>
        <v>87</v>
      </c>
    </row>
    <row r="1116" spans="1:6" ht="16" x14ac:dyDescent="0.2">
      <c r="A1116" s="1" t="s">
        <v>212</v>
      </c>
      <c r="B1116" t="str">
        <f>LEFT(Table1[[#This Row],[Input]],1)</f>
        <v>R</v>
      </c>
      <c r="C1116">
        <f>_xlfn.LET(_xlpm.steps,SUBSTITUTE(Table1[[#This Row],[Input]],Table1[[#This Row],[Direction]],""),VALUE(IF(LEN(_xlpm.steps)&gt;2,RIGHT(_xlpm.steps,2),_xlpm.steps)))</f>
        <v>77</v>
      </c>
      <c r="D1116">
        <f>_xlfn.LET(_xlpm.dir,Table1[[#This Row],[Direction]],
IF(_xlpm.dir="L",
    IF(F1115-Table1[[#This Row],[Steps]]&lt;0,100+(F1115-Table1[[#This Row],[Steps]]),F1115-Table1[[#This Row],[Steps]]),
))</f>
        <v>0</v>
      </c>
      <c r="E1116">
        <f>_xlfn.LET(_xlpm.dir,Table1[[#This Row],[Direction]],
IF(_xlpm.dir="R",
    IF(F1115+Table1[[#This Row],[Steps]]&gt;99,(F1115+Table1[[#This Row],[Steps]])-100,F1115+Table1[[#This Row],[Steps]]),
))</f>
        <v>64</v>
      </c>
      <c r="F1116">
        <f>IF(Table1[[#This Row],[New Pos L]]&lt;&gt;0,Table1[[#This Row],[New Pos L]],Table1[[#This Row],[New Pos R]])</f>
        <v>64</v>
      </c>
    </row>
    <row r="1117" spans="1:6" ht="16" x14ac:dyDescent="0.2">
      <c r="A1117" s="1" t="s">
        <v>223</v>
      </c>
      <c r="B1117" t="str">
        <f>LEFT(Table1[[#This Row],[Input]],1)</f>
        <v>L</v>
      </c>
      <c r="C1117">
        <f>_xlfn.LET(_xlpm.steps,SUBSTITUTE(Table1[[#This Row],[Input]],Table1[[#This Row],[Direction]],""),VALUE(IF(LEN(_xlpm.steps)&gt;2,RIGHT(_xlpm.steps,2),_xlpm.steps)))</f>
        <v>87</v>
      </c>
      <c r="D1117">
        <f>_xlfn.LET(_xlpm.dir,Table1[[#This Row],[Direction]],
IF(_xlpm.dir="L",
    IF(F1116-Table1[[#This Row],[Steps]]&lt;0,100+(F1116-Table1[[#This Row],[Steps]]),F1116-Table1[[#This Row],[Steps]]),
))</f>
        <v>77</v>
      </c>
      <c r="E1117">
        <f>_xlfn.LET(_xlpm.dir,Table1[[#This Row],[Direction]],
IF(_xlpm.dir="R",
    IF(F1116+Table1[[#This Row],[Steps]]&gt;99,(F1116+Table1[[#This Row],[Steps]])-100,F1116+Table1[[#This Row],[Steps]]),
))</f>
        <v>0</v>
      </c>
      <c r="F1117">
        <f>IF(Table1[[#This Row],[New Pos L]]&lt;&gt;0,Table1[[#This Row],[New Pos L]],Table1[[#This Row],[New Pos R]])</f>
        <v>77</v>
      </c>
    </row>
    <row r="1118" spans="1:6" ht="16" x14ac:dyDescent="0.2">
      <c r="A1118" s="1" t="s">
        <v>81</v>
      </c>
      <c r="B1118" t="str">
        <f>LEFT(Table1[[#This Row],[Input]],1)</f>
        <v>R</v>
      </c>
      <c r="C1118">
        <f>_xlfn.LET(_xlpm.steps,SUBSTITUTE(Table1[[#This Row],[Input]],Table1[[#This Row],[Direction]],""),VALUE(IF(LEN(_xlpm.steps)&gt;2,RIGHT(_xlpm.steps,2),_xlpm.steps)))</f>
        <v>17</v>
      </c>
      <c r="D1118">
        <f>_xlfn.LET(_xlpm.dir,Table1[[#This Row],[Direction]],
IF(_xlpm.dir="L",
    IF(F1117-Table1[[#This Row],[Steps]]&lt;0,100+(F1117-Table1[[#This Row],[Steps]]),F1117-Table1[[#This Row],[Steps]]),
))</f>
        <v>0</v>
      </c>
      <c r="E1118">
        <f>_xlfn.LET(_xlpm.dir,Table1[[#This Row],[Direction]],
IF(_xlpm.dir="R",
    IF(F1117+Table1[[#This Row],[Steps]]&gt;99,(F1117+Table1[[#This Row],[Steps]])-100,F1117+Table1[[#This Row],[Steps]]),
))</f>
        <v>94</v>
      </c>
      <c r="F1118">
        <f>IF(Table1[[#This Row],[New Pos L]]&lt;&gt;0,Table1[[#This Row],[New Pos L]],Table1[[#This Row],[New Pos R]])</f>
        <v>94</v>
      </c>
    </row>
    <row r="1119" spans="1:6" ht="16" x14ac:dyDescent="0.2">
      <c r="A1119" s="1" t="s">
        <v>26</v>
      </c>
      <c r="B1119" t="str">
        <f>LEFT(Table1[[#This Row],[Input]],1)</f>
        <v>R</v>
      </c>
      <c r="C1119">
        <f>_xlfn.LET(_xlpm.steps,SUBSTITUTE(Table1[[#This Row],[Input]],Table1[[#This Row],[Direction]],""),VALUE(IF(LEN(_xlpm.steps)&gt;2,RIGHT(_xlpm.steps,2),_xlpm.steps)))</f>
        <v>6</v>
      </c>
      <c r="D1119">
        <f>_xlfn.LET(_xlpm.dir,Table1[[#This Row],[Direction]],
IF(_xlpm.dir="L",
    IF(F1118-Table1[[#This Row],[Steps]]&lt;0,100+(F1118-Table1[[#This Row],[Steps]]),F1118-Table1[[#This Row],[Steps]]),
))</f>
        <v>0</v>
      </c>
      <c r="E1119">
        <f>_xlfn.LET(_xlpm.dir,Table1[[#This Row],[Direction]],
IF(_xlpm.dir="R",
    IF(F1118+Table1[[#This Row],[Steps]]&gt;99,(F1118+Table1[[#This Row],[Steps]])-100,F1118+Table1[[#This Row],[Steps]]),
))</f>
        <v>0</v>
      </c>
      <c r="F1119">
        <f>IF(Table1[[#This Row],[New Pos L]]&lt;&gt;0,Table1[[#This Row],[New Pos L]],Table1[[#This Row],[New Pos R]])</f>
        <v>0</v>
      </c>
    </row>
    <row r="1120" spans="1:6" ht="16" x14ac:dyDescent="0.2">
      <c r="A1120" s="1" t="s">
        <v>377</v>
      </c>
      <c r="B1120" t="str">
        <f>LEFT(Table1[[#This Row],[Input]],1)</f>
        <v>L</v>
      </c>
      <c r="C1120">
        <f>_xlfn.LET(_xlpm.steps,SUBSTITUTE(Table1[[#This Row],[Input]],Table1[[#This Row],[Direction]],""),VALUE(IF(LEN(_xlpm.steps)&gt;2,RIGHT(_xlpm.steps,2),_xlpm.steps)))</f>
        <v>44</v>
      </c>
      <c r="D1120">
        <f>_xlfn.LET(_xlpm.dir,Table1[[#This Row],[Direction]],
IF(_xlpm.dir="L",
    IF(F1119-Table1[[#This Row],[Steps]]&lt;0,100+(F1119-Table1[[#This Row],[Steps]]),F1119-Table1[[#This Row],[Steps]]),
))</f>
        <v>56</v>
      </c>
      <c r="E1120">
        <f>_xlfn.LET(_xlpm.dir,Table1[[#This Row],[Direction]],
IF(_xlpm.dir="R",
    IF(F1119+Table1[[#This Row],[Steps]]&gt;99,(F1119+Table1[[#This Row],[Steps]])-100,F1119+Table1[[#This Row],[Steps]]),
))</f>
        <v>0</v>
      </c>
      <c r="F1120">
        <f>IF(Table1[[#This Row],[New Pos L]]&lt;&gt;0,Table1[[#This Row],[New Pos L]],Table1[[#This Row],[New Pos R]])</f>
        <v>56</v>
      </c>
    </row>
    <row r="1121" spans="1:6" ht="16" x14ac:dyDescent="0.2">
      <c r="A1121" s="1" t="s">
        <v>53</v>
      </c>
      <c r="B1121" t="str">
        <f>LEFT(Table1[[#This Row],[Input]],1)</f>
        <v>L</v>
      </c>
      <c r="C1121">
        <f>_xlfn.LET(_xlpm.steps,SUBSTITUTE(Table1[[#This Row],[Input]],Table1[[#This Row],[Direction]],""),VALUE(IF(LEN(_xlpm.steps)&gt;2,RIGHT(_xlpm.steps,2),_xlpm.steps)))</f>
        <v>56</v>
      </c>
      <c r="D1121">
        <f>_xlfn.LET(_xlpm.dir,Table1[[#This Row],[Direction]],
IF(_xlpm.dir="L",
    IF(F1120-Table1[[#This Row],[Steps]]&lt;0,100+(F1120-Table1[[#This Row],[Steps]]),F1120-Table1[[#This Row],[Steps]]),
))</f>
        <v>0</v>
      </c>
      <c r="E1121">
        <f>_xlfn.LET(_xlpm.dir,Table1[[#This Row],[Direction]],
IF(_xlpm.dir="R",
    IF(F1120+Table1[[#This Row],[Steps]]&gt;99,(F1120+Table1[[#This Row],[Steps]])-100,F1120+Table1[[#This Row],[Steps]]),
))</f>
        <v>0</v>
      </c>
      <c r="F1121">
        <f>IF(Table1[[#This Row],[New Pos L]]&lt;&gt;0,Table1[[#This Row],[New Pos L]],Table1[[#This Row],[New Pos R]])</f>
        <v>0</v>
      </c>
    </row>
    <row r="1122" spans="1:6" ht="16" x14ac:dyDescent="0.2">
      <c r="A1122" s="1" t="s">
        <v>111</v>
      </c>
      <c r="B1122" t="str">
        <f>LEFT(Table1[[#This Row],[Input]],1)</f>
        <v>R</v>
      </c>
      <c r="C1122">
        <f>_xlfn.LET(_xlpm.steps,SUBSTITUTE(Table1[[#This Row],[Input]],Table1[[#This Row],[Direction]],""),VALUE(IF(LEN(_xlpm.steps)&gt;2,RIGHT(_xlpm.steps,2),_xlpm.steps)))</f>
        <v>64</v>
      </c>
      <c r="D1122">
        <f>_xlfn.LET(_xlpm.dir,Table1[[#This Row],[Direction]],
IF(_xlpm.dir="L",
    IF(F1121-Table1[[#This Row],[Steps]]&lt;0,100+(F1121-Table1[[#This Row],[Steps]]),F1121-Table1[[#This Row],[Steps]]),
))</f>
        <v>0</v>
      </c>
      <c r="E1122">
        <f>_xlfn.LET(_xlpm.dir,Table1[[#This Row],[Direction]],
IF(_xlpm.dir="R",
    IF(F1121+Table1[[#This Row],[Steps]]&gt;99,(F1121+Table1[[#This Row],[Steps]])-100,F1121+Table1[[#This Row],[Steps]]),
))</f>
        <v>64</v>
      </c>
      <c r="F1122">
        <f>IF(Table1[[#This Row],[New Pos L]]&lt;&gt;0,Table1[[#This Row],[New Pos L]],Table1[[#This Row],[New Pos R]])</f>
        <v>64</v>
      </c>
    </row>
    <row r="1123" spans="1:6" ht="16" x14ac:dyDescent="0.2">
      <c r="A1123" s="1" t="s">
        <v>141</v>
      </c>
      <c r="B1123" t="str">
        <f>LEFT(Table1[[#This Row],[Input]],1)</f>
        <v>L</v>
      </c>
      <c r="C1123">
        <f>_xlfn.LET(_xlpm.steps,SUBSTITUTE(Table1[[#This Row],[Input]],Table1[[#This Row],[Direction]],""),VALUE(IF(LEN(_xlpm.steps)&gt;2,RIGHT(_xlpm.steps,2),_xlpm.steps)))</f>
        <v>90</v>
      </c>
      <c r="D1123">
        <f>_xlfn.LET(_xlpm.dir,Table1[[#This Row],[Direction]],
IF(_xlpm.dir="L",
    IF(F1122-Table1[[#This Row],[Steps]]&lt;0,100+(F1122-Table1[[#This Row],[Steps]]),F1122-Table1[[#This Row],[Steps]]),
))</f>
        <v>74</v>
      </c>
      <c r="E1123">
        <f>_xlfn.LET(_xlpm.dir,Table1[[#This Row],[Direction]],
IF(_xlpm.dir="R",
    IF(F1122+Table1[[#This Row],[Steps]]&gt;99,(F1122+Table1[[#This Row],[Steps]])-100,F1122+Table1[[#This Row],[Steps]]),
))</f>
        <v>0</v>
      </c>
      <c r="F1123">
        <f>IF(Table1[[#This Row],[New Pos L]]&lt;&gt;0,Table1[[#This Row],[New Pos L]],Table1[[#This Row],[New Pos R]])</f>
        <v>74</v>
      </c>
    </row>
    <row r="1124" spans="1:6" ht="16" x14ac:dyDescent="0.2">
      <c r="A1124" s="1" t="s">
        <v>378</v>
      </c>
      <c r="B1124" t="str">
        <f>LEFT(Table1[[#This Row],[Input]],1)</f>
        <v>R</v>
      </c>
      <c r="C1124">
        <f>_xlfn.LET(_xlpm.steps,SUBSTITUTE(Table1[[#This Row],[Input]],Table1[[#This Row],[Direction]],""),VALUE(IF(LEN(_xlpm.steps)&gt;2,RIGHT(_xlpm.steps,2),_xlpm.steps)))</f>
        <v>36</v>
      </c>
      <c r="D1124">
        <f>_xlfn.LET(_xlpm.dir,Table1[[#This Row],[Direction]],
IF(_xlpm.dir="L",
    IF(F1123-Table1[[#This Row],[Steps]]&lt;0,100+(F1123-Table1[[#This Row],[Steps]]),F1123-Table1[[#This Row],[Steps]]),
))</f>
        <v>0</v>
      </c>
      <c r="E1124">
        <f>_xlfn.LET(_xlpm.dir,Table1[[#This Row],[Direction]],
IF(_xlpm.dir="R",
    IF(F1123+Table1[[#This Row],[Steps]]&gt;99,(F1123+Table1[[#This Row],[Steps]])-100,F1123+Table1[[#This Row],[Steps]]),
))</f>
        <v>10</v>
      </c>
      <c r="F1124">
        <f>IF(Table1[[#This Row],[New Pos L]]&lt;&gt;0,Table1[[#This Row],[New Pos L]],Table1[[#This Row],[New Pos R]])</f>
        <v>10</v>
      </c>
    </row>
    <row r="1125" spans="1:6" ht="16" x14ac:dyDescent="0.2">
      <c r="A1125" s="1" t="s">
        <v>28</v>
      </c>
      <c r="B1125" t="str">
        <f>LEFT(Table1[[#This Row],[Input]],1)</f>
        <v>R</v>
      </c>
      <c r="C1125">
        <f>_xlfn.LET(_xlpm.steps,SUBSTITUTE(Table1[[#This Row],[Input]],Table1[[#This Row],[Direction]],""),VALUE(IF(LEN(_xlpm.steps)&gt;2,RIGHT(_xlpm.steps,2),_xlpm.steps)))</f>
        <v>30</v>
      </c>
      <c r="D1125">
        <f>_xlfn.LET(_xlpm.dir,Table1[[#This Row],[Direction]],
IF(_xlpm.dir="L",
    IF(F1124-Table1[[#This Row],[Steps]]&lt;0,100+(F1124-Table1[[#This Row],[Steps]]),F1124-Table1[[#This Row],[Steps]]),
))</f>
        <v>0</v>
      </c>
      <c r="E1125">
        <f>_xlfn.LET(_xlpm.dir,Table1[[#This Row],[Direction]],
IF(_xlpm.dir="R",
    IF(F1124+Table1[[#This Row],[Steps]]&gt;99,(F1124+Table1[[#This Row],[Steps]])-100,F1124+Table1[[#This Row],[Steps]]),
))</f>
        <v>40</v>
      </c>
      <c r="F1125">
        <f>IF(Table1[[#This Row],[New Pos L]]&lt;&gt;0,Table1[[#This Row],[New Pos L]],Table1[[#This Row],[New Pos R]])</f>
        <v>40</v>
      </c>
    </row>
    <row r="1126" spans="1:6" ht="16" x14ac:dyDescent="0.2">
      <c r="A1126" s="1" t="s">
        <v>379</v>
      </c>
      <c r="B1126" t="str">
        <f>LEFT(Table1[[#This Row],[Input]],1)</f>
        <v>L</v>
      </c>
      <c r="C1126">
        <f>_xlfn.LET(_xlpm.steps,SUBSTITUTE(Table1[[#This Row],[Input]],Table1[[#This Row],[Direction]],""),VALUE(IF(LEN(_xlpm.steps)&gt;2,RIGHT(_xlpm.steps,2),_xlpm.steps)))</f>
        <v>4</v>
      </c>
      <c r="D1126">
        <f>_xlfn.LET(_xlpm.dir,Table1[[#This Row],[Direction]],
IF(_xlpm.dir="L",
    IF(F1125-Table1[[#This Row],[Steps]]&lt;0,100+(F1125-Table1[[#This Row],[Steps]]),F1125-Table1[[#This Row],[Steps]]),
))</f>
        <v>36</v>
      </c>
      <c r="E1126">
        <f>_xlfn.LET(_xlpm.dir,Table1[[#This Row],[Direction]],
IF(_xlpm.dir="R",
    IF(F1125+Table1[[#This Row],[Steps]]&gt;99,(F1125+Table1[[#This Row],[Steps]])-100,F1125+Table1[[#This Row],[Steps]]),
))</f>
        <v>0</v>
      </c>
      <c r="F1126">
        <f>IF(Table1[[#This Row],[New Pos L]]&lt;&gt;0,Table1[[#This Row],[New Pos L]],Table1[[#This Row],[New Pos R]])</f>
        <v>36</v>
      </c>
    </row>
    <row r="1127" spans="1:6" ht="16" x14ac:dyDescent="0.2">
      <c r="A1127" s="1" t="s">
        <v>80</v>
      </c>
      <c r="B1127" t="str">
        <f>LEFT(Table1[[#This Row],[Input]],1)</f>
        <v>L</v>
      </c>
      <c r="C1127">
        <f>_xlfn.LET(_xlpm.steps,SUBSTITUTE(Table1[[#This Row],[Input]],Table1[[#This Row],[Direction]],""),VALUE(IF(LEN(_xlpm.steps)&gt;2,RIGHT(_xlpm.steps,2),_xlpm.steps)))</f>
        <v>48</v>
      </c>
      <c r="D1127">
        <f>_xlfn.LET(_xlpm.dir,Table1[[#This Row],[Direction]],
IF(_xlpm.dir="L",
    IF(F1126-Table1[[#This Row],[Steps]]&lt;0,100+(F1126-Table1[[#This Row],[Steps]]),F1126-Table1[[#This Row],[Steps]]),
))</f>
        <v>88</v>
      </c>
      <c r="E1127">
        <f>_xlfn.LET(_xlpm.dir,Table1[[#This Row],[Direction]],
IF(_xlpm.dir="R",
    IF(F1126+Table1[[#This Row],[Steps]]&gt;99,(F1126+Table1[[#This Row],[Steps]])-100,F1126+Table1[[#This Row],[Steps]]),
))</f>
        <v>0</v>
      </c>
      <c r="F1127">
        <f>IF(Table1[[#This Row],[New Pos L]]&lt;&gt;0,Table1[[#This Row],[New Pos L]],Table1[[#This Row],[New Pos R]])</f>
        <v>88</v>
      </c>
    </row>
    <row r="1128" spans="1:6" ht="16" x14ac:dyDescent="0.2">
      <c r="A1128" s="1" t="s">
        <v>73</v>
      </c>
      <c r="B1128" t="str">
        <f>LEFT(Table1[[#This Row],[Input]],1)</f>
        <v>R</v>
      </c>
      <c r="C1128">
        <f>_xlfn.LET(_xlpm.steps,SUBSTITUTE(Table1[[#This Row],[Input]],Table1[[#This Row],[Direction]],""),VALUE(IF(LEN(_xlpm.steps)&gt;2,RIGHT(_xlpm.steps,2),_xlpm.steps)))</f>
        <v>21</v>
      </c>
      <c r="D1128">
        <f>_xlfn.LET(_xlpm.dir,Table1[[#This Row],[Direction]],
IF(_xlpm.dir="L",
    IF(F1127-Table1[[#This Row],[Steps]]&lt;0,100+(F1127-Table1[[#This Row],[Steps]]),F1127-Table1[[#This Row],[Steps]]),
))</f>
        <v>0</v>
      </c>
      <c r="E1128">
        <f>_xlfn.LET(_xlpm.dir,Table1[[#This Row],[Direction]],
IF(_xlpm.dir="R",
    IF(F1127+Table1[[#This Row],[Steps]]&gt;99,(F1127+Table1[[#This Row],[Steps]])-100,F1127+Table1[[#This Row],[Steps]]),
))</f>
        <v>9</v>
      </c>
      <c r="F1128">
        <f>IF(Table1[[#This Row],[New Pos L]]&lt;&gt;0,Table1[[#This Row],[New Pos L]],Table1[[#This Row],[New Pos R]])</f>
        <v>9</v>
      </c>
    </row>
    <row r="1129" spans="1:6" ht="16" x14ac:dyDescent="0.2">
      <c r="A1129" s="1" t="s">
        <v>83</v>
      </c>
      <c r="B1129" t="str">
        <f>LEFT(Table1[[#This Row],[Input]],1)</f>
        <v>R</v>
      </c>
      <c r="C1129">
        <f>_xlfn.LET(_xlpm.steps,SUBSTITUTE(Table1[[#This Row],[Input]],Table1[[#This Row],[Direction]],""),VALUE(IF(LEN(_xlpm.steps)&gt;2,RIGHT(_xlpm.steps,2),_xlpm.steps)))</f>
        <v>79</v>
      </c>
      <c r="D1129">
        <f>_xlfn.LET(_xlpm.dir,Table1[[#This Row],[Direction]],
IF(_xlpm.dir="L",
    IF(F1128-Table1[[#This Row],[Steps]]&lt;0,100+(F1128-Table1[[#This Row],[Steps]]),F1128-Table1[[#This Row],[Steps]]),
))</f>
        <v>0</v>
      </c>
      <c r="E1129">
        <f>_xlfn.LET(_xlpm.dir,Table1[[#This Row],[Direction]],
IF(_xlpm.dir="R",
    IF(F1128+Table1[[#This Row],[Steps]]&gt;99,(F1128+Table1[[#This Row],[Steps]])-100,F1128+Table1[[#This Row],[Steps]]),
))</f>
        <v>88</v>
      </c>
      <c r="F1129">
        <f>IF(Table1[[#This Row],[New Pos L]]&lt;&gt;0,Table1[[#This Row],[New Pos L]],Table1[[#This Row],[New Pos R]])</f>
        <v>88</v>
      </c>
    </row>
    <row r="1130" spans="1:6" ht="16" x14ac:dyDescent="0.2">
      <c r="A1130" s="1" t="s">
        <v>26</v>
      </c>
      <c r="B1130" t="str">
        <f>LEFT(Table1[[#This Row],[Input]],1)</f>
        <v>R</v>
      </c>
      <c r="C1130">
        <f>_xlfn.LET(_xlpm.steps,SUBSTITUTE(Table1[[#This Row],[Input]],Table1[[#This Row],[Direction]],""),VALUE(IF(LEN(_xlpm.steps)&gt;2,RIGHT(_xlpm.steps,2),_xlpm.steps)))</f>
        <v>6</v>
      </c>
      <c r="D1130">
        <f>_xlfn.LET(_xlpm.dir,Table1[[#This Row],[Direction]],
IF(_xlpm.dir="L",
    IF(F1129-Table1[[#This Row],[Steps]]&lt;0,100+(F1129-Table1[[#This Row],[Steps]]),F1129-Table1[[#This Row],[Steps]]),
))</f>
        <v>0</v>
      </c>
      <c r="E1130">
        <f>_xlfn.LET(_xlpm.dir,Table1[[#This Row],[Direction]],
IF(_xlpm.dir="R",
    IF(F1129+Table1[[#This Row],[Steps]]&gt;99,(F1129+Table1[[#This Row],[Steps]])-100,F1129+Table1[[#This Row],[Steps]]),
))</f>
        <v>94</v>
      </c>
      <c r="F1130">
        <f>IF(Table1[[#This Row],[New Pos L]]&lt;&gt;0,Table1[[#This Row],[New Pos L]],Table1[[#This Row],[New Pos R]])</f>
        <v>94</v>
      </c>
    </row>
    <row r="1131" spans="1:6" ht="16" x14ac:dyDescent="0.2">
      <c r="A1131" s="1" t="s">
        <v>22</v>
      </c>
      <c r="B1131" t="str">
        <f>LEFT(Table1[[#This Row],[Input]],1)</f>
        <v>L</v>
      </c>
      <c r="C1131">
        <f>_xlfn.LET(_xlpm.steps,SUBSTITUTE(Table1[[#This Row],[Input]],Table1[[#This Row],[Direction]],""),VALUE(IF(LEN(_xlpm.steps)&gt;2,RIGHT(_xlpm.steps,2),_xlpm.steps)))</f>
        <v>37</v>
      </c>
      <c r="D1131">
        <f>_xlfn.LET(_xlpm.dir,Table1[[#This Row],[Direction]],
IF(_xlpm.dir="L",
    IF(F1130-Table1[[#This Row],[Steps]]&lt;0,100+(F1130-Table1[[#This Row],[Steps]]),F1130-Table1[[#This Row],[Steps]]),
))</f>
        <v>57</v>
      </c>
      <c r="E1131">
        <f>_xlfn.LET(_xlpm.dir,Table1[[#This Row],[Direction]],
IF(_xlpm.dir="R",
    IF(F1130+Table1[[#This Row],[Steps]]&gt;99,(F1130+Table1[[#This Row],[Steps]])-100,F1130+Table1[[#This Row],[Steps]]),
))</f>
        <v>0</v>
      </c>
      <c r="F1131">
        <f>IF(Table1[[#This Row],[New Pos L]]&lt;&gt;0,Table1[[#This Row],[New Pos L]],Table1[[#This Row],[New Pos R]])</f>
        <v>57</v>
      </c>
    </row>
    <row r="1132" spans="1:6" ht="16" x14ac:dyDescent="0.2">
      <c r="A1132" s="1" t="s">
        <v>309</v>
      </c>
      <c r="B1132" t="str">
        <f>LEFT(Table1[[#This Row],[Input]],1)</f>
        <v>L</v>
      </c>
      <c r="C1132">
        <f>_xlfn.LET(_xlpm.steps,SUBSTITUTE(Table1[[#This Row],[Input]],Table1[[#This Row],[Direction]],""),VALUE(IF(LEN(_xlpm.steps)&gt;2,RIGHT(_xlpm.steps,2),_xlpm.steps)))</f>
        <v>41</v>
      </c>
      <c r="D1132">
        <f>_xlfn.LET(_xlpm.dir,Table1[[#This Row],[Direction]],
IF(_xlpm.dir="L",
    IF(F1131-Table1[[#This Row],[Steps]]&lt;0,100+(F1131-Table1[[#This Row],[Steps]]),F1131-Table1[[#This Row],[Steps]]),
))</f>
        <v>16</v>
      </c>
      <c r="E1132">
        <f>_xlfn.LET(_xlpm.dir,Table1[[#This Row],[Direction]],
IF(_xlpm.dir="R",
    IF(F1131+Table1[[#This Row],[Steps]]&gt;99,(F1131+Table1[[#This Row],[Steps]])-100,F1131+Table1[[#This Row],[Steps]]),
))</f>
        <v>0</v>
      </c>
      <c r="F1132">
        <f>IF(Table1[[#This Row],[New Pos L]]&lt;&gt;0,Table1[[#This Row],[New Pos L]],Table1[[#This Row],[New Pos R]])</f>
        <v>16</v>
      </c>
    </row>
    <row r="1133" spans="1:6" ht="16" x14ac:dyDescent="0.2">
      <c r="A1133" s="1" t="s">
        <v>42</v>
      </c>
      <c r="B1133" t="str">
        <f>LEFT(Table1[[#This Row],[Input]],1)</f>
        <v>L</v>
      </c>
      <c r="C1133">
        <f>_xlfn.LET(_xlpm.steps,SUBSTITUTE(Table1[[#This Row],[Input]],Table1[[#This Row],[Direction]],""),VALUE(IF(LEN(_xlpm.steps)&gt;2,RIGHT(_xlpm.steps,2),_xlpm.steps)))</f>
        <v>27</v>
      </c>
      <c r="D1133">
        <f>_xlfn.LET(_xlpm.dir,Table1[[#This Row],[Direction]],
IF(_xlpm.dir="L",
    IF(F1132-Table1[[#This Row],[Steps]]&lt;0,100+(F1132-Table1[[#This Row],[Steps]]),F1132-Table1[[#This Row],[Steps]]),
))</f>
        <v>89</v>
      </c>
      <c r="E1133">
        <f>_xlfn.LET(_xlpm.dir,Table1[[#This Row],[Direction]],
IF(_xlpm.dir="R",
    IF(F1132+Table1[[#This Row],[Steps]]&gt;99,(F1132+Table1[[#This Row],[Steps]])-100,F1132+Table1[[#This Row],[Steps]]),
))</f>
        <v>0</v>
      </c>
      <c r="F1133">
        <f>IF(Table1[[#This Row],[New Pos L]]&lt;&gt;0,Table1[[#This Row],[New Pos L]],Table1[[#This Row],[New Pos R]])</f>
        <v>89</v>
      </c>
    </row>
    <row r="1134" spans="1:6" ht="16" x14ac:dyDescent="0.2">
      <c r="A1134" s="1" t="s">
        <v>137</v>
      </c>
      <c r="B1134" t="str">
        <f>LEFT(Table1[[#This Row],[Input]],1)</f>
        <v>R</v>
      </c>
      <c r="C1134">
        <f>_xlfn.LET(_xlpm.steps,SUBSTITUTE(Table1[[#This Row],[Input]],Table1[[#This Row],[Direction]],""),VALUE(IF(LEN(_xlpm.steps)&gt;2,RIGHT(_xlpm.steps,2),_xlpm.steps)))</f>
        <v>28</v>
      </c>
      <c r="D1134">
        <f>_xlfn.LET(_xlpm.dir,Table1[[#This Row],[Direction]],
IF(_xlpm.dir="L",
    IF(F1133-Table1[[#This Row],[Steps]]&lt;0,100+(F1133-Table1[[#This Row],[Steps]]),F1133-Table1[[#This Row],[Steps]]),
))</f>
        <v>0</v>
      </c>
      <c r="E1134">
        <f>_xlfn.LET(_xlpm.dir,Table1[[#This Row],[Direction]],
IF(_xlpm.dir="R",
    IF(F1133+Table1[[#This Row],[Steps]]&gt;99,(F1133+Table1[[#This Row],[Steps]])-100,F1133+Table1[[#This Row],[Steps]]),
))</f>
        <v>17</v>
      </c>
      <c r="F1134">
        <f>IF(Table1[[#This Row],[New Pos L]]&lt;&gt;0,Table1[[#This Row],[New Pos L]],Table1[[#This Row],[New Pos R]])</f>
        <v>17</v>
      </c>
    </row>
    <row r="1135" spans="1:6" ht="16" x14ac:dyDescent="0.2">
      <c r="A1135" s="1" t="s">
        <v>219</v>
      </c>
      <c r="B1135" t="str">
        <f>LEFT(Table1[[#This Row],[Input]],1)</f>
        <v>L</v>
      </c>
      <c r="C1135">
        <f>_xlfn.LET(_xlpm.steps,SUBSTITUTE(Table1[[#This Row],[Input]],Table1[[#This Row],[Direction]],""),VALUE(IF(LEN(_xlpm.steps)&gt;2,RIGHT(_xlpm.steps,2),_xlpm.steps)))</f>
        <v>64</v>
      </c>
      <c r="D1135">
        <f>_xlfn.LET(_xlpm.dir,Table1[[#This Row],[Direction]],
IF(_xlpm.dir="L",
    IF(F1134-Table1[[#This Row],[Steps]]&lt;0,100+(F1134-Table1[[#This Row],[Steps]]),F1134-Table1[[#This Row],[Steps]]),
))</f>
        <v>53</v>
      </c>
      <c r="E1135">
        <f>_xlfn.LET(_xlpm.dir,Table1[[#This Row],[Direction]],
IF(_xlpm.dir="R",
    IF(F1134+Table1[[#This Row],[Steps]]&gt;99,(F1134+Table1[[#This Row],[Steps]])-100,F1134+Table1[[#This Row],[Steps]]),
))</f>
        <v>0</v>
      </c>
      <c r="F1135">
        <f>IF(Table1[[#This Row],[New Pos L]]&lt;&gt;0,Table1[[#This Row],[New Pos L]],Table1[[#This Row],[New Pos R]])</f>
        <v>53</v>
      </c>
    </row>
    <row r="1136" spans="1:6" ht="16" x14ac:dyDescent="0.2">
      <c r="A1136" s="1" t="s">
        <v>325</v>
      </c>
      <c r="B1136" t="str">
        <f>LEFT(Table1[[#This Row],[Input]],1)</f>
        <v>L</v>
      </c>
      <c r="C1136">
        <f>_xlfn.LET(_xlpm.steps,SUBSTITUTE(Table1[[#This Row],[Input]],Table1[[#This Row],[Direction]],""),VALUE(IF(LEN(_xlpm.steps)&gt;2,RIGHT(_xlpm.steps,2),_xlpm.steps)))</f>
        <v>68</v>
      </c>
      <c r="D1136">
        <f>_xlfn.LET(_xlpm.dir,Table1[[#This Row],[Direction]],
IF(_xlpm.dir="L",
    IF(F1135-Table1[[#This Row],[Steps]]&lt;0,100+(F1135-Table1[[#This Row],[Steps]]),F1135-Table1[[#This Row],[Steps]]),
))</f>
        <v>85</v>
      </c>
      <c r="E1136">
        <f>_xlfn.LET(_xlpm.dir,Table1[[#This Row],[Direction]],
IF(_xlpm.dir="R",
    IF(F1135+Table1[[#This Row],[Steps]]&gt;99,(F1135+Table1[[#This Row],[Steps]])-100,F1135+Table1[[#This Row],[Steps]]),
))</f>
        <v>0</v>
      </c>
      <c r="F1136">
        <f>IF(Table1[[#This Row],[New Pos L]]&lt;&gt;0,Table1[[#This Row],[New Pos L]],Table1[[#This Row],[New Pos R]])</f>
        <v>85</v>
      </c>
    </row>
    <row r="1137" spans="1:6" ht="16" x14ac:dyDescent="0.2">
      <c r="A1137" s="1" t="s">
        <v>38</v>
      </c>
      <c r="B1137" t="str">
        <f>LEFT(Table1[[#This Row],[Input]],1)</f>
        <v>R</v>
      </c>
      <c r="C1137">
        <f>_xlfn.LET(_xlpm.steps,SUBSTITUTE(Table1[[#This Row],[Input]],Table1[[#This Row],[Direction]],""),VALUE(IF(LEN(_xlpm.steps)&gt;2,RIGHT(_xlpm.steps,2),_xlpm.steps)))</f>
        <v>15</v>
      </c>
      <c r="D1137">
        <f>_xlfn.LET(_xlpm.dir,Table1[[#This Row],[Direction]],
IF(_xlpm.dir="L",
    IF(F1136-Table1[[#This Row],[Steps]]&lt;0,100+(F1136-Table1[[#This Row],[Steps]]),F1136-Table1[[#This Row],[Steps]]),
))</f>
        <v>0</v>
      </c>
      <c r="E1137">
        <f>_xlfn.LET(_xlpm.dir,Table1[[#This Row],[Direction]],
IF(_xlpm.dir="R",
    IF(F1136+Table1[[#This Row],[Steps]]&gt;99,(F1136+Table1[[#This Row],[Steps]])-100,F1136+Table1[[#This Row],[Steps]]),
))</f>
        <v>0</v>
      </c>
      <c r="F1137">
        <f>IF(Table1[[#This Row],[New Pos L]]&lt;&gt;0,Table1[[#This Row],[New Pos L]],Table1[[#This Row],[New Pos R]])</f>
        <v>0</v>
      </c>
    </row>
    <row r="1138" spans="1:6" ht="16" x14ac:dyDescent="0.2">
      <c r="A1138" s="1" t="s">
        <v>59</v>
      </c>
      <c r="B1138" t="str">
        <f>LEFT(Table1[[#This Row],[Input]],1)</f>
        <v>L</v>
      </c>
      <c r="C1138">
        <f>_xlfn.LET(_xlpm.steps,SUBSTITUTE(Table1[[#This Row],[Input]],Table1[[#This Row],[Direction]],""),VALUE(IF(LEN(_xlpm.steps)&gt;2,RIGHT(_xlpm.steps,2),_xlpm.steps)))</f>
        <v>6</v>
      </c>
      <c r="D1138">
        <f>_xlfn.LET(_xlpm.dir,Table1[[#This Row],[Direction]],
IF(_xlpm.dir="L",
    IF(F1137-Table1[[#This Row],[Steps]]&lt;0,100+(F1137-Table1[[#This Row],[Steps]]),F1137-Table1[[#This Row],[Steps]]),
))</f>
        <v>94</v>
      </c>
      <c r="E1138">
        <f>_xlfn.LET(_xlpm.dir,Table1[[#This Row],[Direction]],
IF(_xlpm.dir="R",
    IF(F1137+Table1[[#This Row],[Steps]]&gt;99,(F1137+Table1[[#This Row],[Steps]])-100,F1137+Table1[[#This Row],[Steps]]),
))</f>
        <v>0</v>
      </c>
      <c r="F1138">
        <f>IF(Table1[[#This Row],[New Pos L]]&lt;&gt;0,Table1[[#This Row],[New Pos L]],Table1[[#This Row],[New Pos R]])</f>
        <v>94</v>
      </c>
    </row>
    <row r="1139" spans="1:6" ht="16" x14ac:dyDescent="0.2">
      <c r="A1139" s="1" t="s">
        <v>138</v>
      </c>
      <c r="B1139" t="str">
        <f>LEFT(Table1[[#This Row],[Input]],1)</f>
        <v>L</v>
      </c>
      <c r="C1139">
        <f>_xlfn.LET(_xlpm.steps,SUBSTITUTE(Table1[[#This Row],[Input]],Table1[[#This Row],[Direction]],""),VALUE(IF(LEN(_xlpm.steps)&gt;2,RIGHT(_xlpm.steps,2),_xlpm.steps)))</f>
        <v>94</v>
      </c>
      <c r="D1139">
        <f>_xlfn.LET(_xlpm.dir,Table1[[#This Row],[Direction]],
IF(_xlpm.dir="L",
    IF(F1138-Table1[[#This Row],[Steps]]&lt;0,100+(F1138-Table1[[#This Row],[Steps]]),F1138-Table1[[#This Row],[Steps]]),
))</f>
        <v>0</v>
      </c>
      <c r="E1139">
        <f>_xlfn.LET(_xlpm.dir,Table1[[#This Row],[Direction]],
IF(_xlpm.dir="R",
    IF(F1138+Table1[[#This Row],[Steps]]&gt;99,(F1138+Table1[[#This Row],[Steps]])-100,F1138+Table1[[#This Row],[Steps]]),
))</f>
        <v>0</v>
      </c>
      <c r="F1139">
        <f>IF(Table1[[#This Row],[New Pos L]]&lt;&gt;0,Table1[[#This Row],[New Pos L]],Table1[[#This Row],[New Pos R]])</f>
        <v>0</v>
      </c>
    </row>
    <row r="1140" spans="1:6" ht="16" x14ac:dyDescent="0.2">
      <c r="A1140" s="1" t="s">
        <v>56</v>
      </c>
      <c r="B1140" t="str">
        <f>LEFT(Table1[[#This Row],[Input]],1)</f>
        <v>R</v>
      </c>
      <c r="C1140">
        <f>_xlfn.LET(_xlpm.steps,SUBSTITUTE(Table1[[#This Row],[Input]],Table1[[#This Row],[Direction]],""),VALUE(IF(LEN(_xlpm.steps)&gt;2,RIGHT(_xlpm.steps,2),_xlpm.steps)))</f>
        <v>42</v>
      </c>
      <c r="D1140">
        <f>_xlfn.LET(_xlpm.dir,Table1[[#This Row],[Direction]],
IF(_xlpm.dir="L",
    IF(F1139-Table1[[#This Row],[Steps]]&lt;0,100+(F1139-Table1[[#This Row],[Steps]]),F1139-Table1[[#This Row],[Steps]]),
))</f>
        <v>0</v>
      </c>
      <c r="E1140">
        <f>_xlfn.LET(_xlpm.dir,Table1[[#This Row],[Direction]],
IF(_xlpm.dir="R",
    IF(F1139+Table1[[#This Row],[Steps]]&gt;99,(F1139+Table1[[#This Row],[Steps]])-100,F1139+Table1[[#This Row],[Steps]]),
))</f>
        <v>42</v>
      </c>
      <c r="F1140">
        <f>IF(Table1[[#This Row],[New Pos L]]&lt;&gt;0,Table1[[#This Row],[New Pos L]],Table1[[#This Row],[New Pos R]])</f>
        <v>42</v>
      </c>
    </row>
    <row r="1141" spans="1:6" ht="16" x14ac:dyDescent="0.2">
      <c r="A1141" s="1" t="s">
        <v>207</v>
      </c>
      <c r="B1141" t="str">
        <f>LEFT(Table1[[#This Row],[Input]],1)</f>
        <v>L</v>
      </c>
      <c r="C1141">
        <f>_xlfn.LET(_xlpm.steps,SUBSTITUTE(Table1[[#This Row],[Input]],Table1[[#This Row],[Direction]],""),VALUE(IF(LEN(_xlpm.steps)&gt;2,RIGHT(_xlpm.steps,2),_xlpm.steps)))</f>
        <v>89</v>
      </c>
      <c r="D1141">
        <f>_xlfn.LET(_xlpm.dir,Table1[[#This Row],[Direction]],
IF(_xlpm.dir="L",
    IF(F1140-Table1[[#This Row],[Steps]]&lt;0,100+(F1140-Table1[[#This Row],[Steps]]),F1140-Table1[[#This Row],[Steps]]),
))</f>
        <v>53</v>
      </c>
      <c r="E1141">
        <f>_xlfn.LET(_xlpm.dir,Table1[[#This Row],[Direction]],
IF(_xlpm.dir="R",
    IF(F1140+Table1[[#This Row],[Steps]]&gt;99,(F1140+Table1[[#This Row],[Steps]])-100,F1140+Table1[[#This Row],[Steps]]),
))</f>
        <v>0</v>
      </c>
      <c r="F1141">
        <f>IF(Table1[[#This Row],[New Pos L]]&lt;&gt;0,Table1[[#This Row],[New Pos L]],Table1[[#This Row],[New Pos R]])</f>
        <v>53</v>
      </c>
    </row>
    <row r="1142" spans="1:6" ht="16" x14ac:dyDescent="0.2">
      <c r="A1142" s="1" t="s">
        <v>145</v>
      </c>
      <c r="B1142" t="str">
        <f>LEFT(Table1[[#This Row],[Input]],1)</f>
        <v>L</v>
      </c>
      <c r="C1142">
        <f>_xlfn.LET(_xlpm.steps,SUBSTITUTE(Table1[[#This Row],[Input]],Table1[[#This Row],[Direction]],""),VALUE(IF(LEN(_xlpm.steps)&gt;2,RIGHT(_xlpm.steps,2),_xlpm.steps)))</f>
        <v>83</v>
      </c>
      <c r="D1142">
        <f>_xlfn.LET(_xlpm.dir,Table1[[#This Row],[Direction]],
IF(_xlpm.dir="L",
    IF(F1141-Table1[[#This Row],[Steps]]&lt;0,100+(F1141-Table1[[#This Row],[Steps]]),F1141-Table1[[#This Row],[Steps]]),
))</f>
        <v>70</v>
      </c>
      <c r="E1142">
        <f>_xlfn.LET(_xlpm.dir,Table1[[#This Row],[Direction]],
IF(_xlpm.dir="R",
    IF(F1141+Table1[[#This Row],[Steps]]&gt;99,(F1141+Table1[[#This Row],[Steps]])-100,F1141+Table1[[#This Row],[Steps]]),
))</f>
        <v>0</v>
      </c>
      <c r="F1142">
        <f>IF(Table1[[#This Row],[New Pos L]]&lt;&gt;0,Table1[[#This Row],[New Pos L]],Table1[[#This Row],[New Pos R]])</f>
        <v>70</v>
      </c>
    </row>
    <row r="1143" spans="1:6" ht="16" x14ac:dyDescent="0.2">
      <c r="A1143" s="1" t="s">
        <v>11</v>
      </c>
      <c r="B1143" t="str">
        <f>LEFT(Table1[[#This Row],[Input]],1)</f>
        <v>L</v>
      </c>
      <c r="C1143">
        <f>_xlfn.LET(_xlpm.steps,SUBSTITUTE(Table1[[#This Row],[Input]],Table1[[#This Row],[Direction]],""),VALUE(IF(LEN(_xlpm.steps)&gt;2,RIGHT(_xlpm.steps,2),_xlpm.steps)))</f>
        <v>34</v>
      </c>
      <c r="D1143">
        <f>_xlfn.LET(_xlpm.dir,Table1[[#This Row],[Direction]],
IF(_xlpm.dir="L",
    IF(F1142-Table1[[#This Row],[Steps]]&lt;0,100+(F1142-Table1[[#This Row],[Steps]]),F1142-Table1[[#This Row],[Steps]]),
))</f>
        <v>36</v>
      </c>
      <c r="E1143">
        <f>_xlfn.LET(_xlpm.dir,Table1[[#This Row],[Direction]],
IF(_xlpm.dir="R",
    IF(F1142+Table1[[#This Row],[Steps]]&gt;99,(F1142+Table1[[#This Row],[Steps]])-100,F1142+Table1[[#This Row],[Steps]]),
))</f>
        <v>0</v>
      </c>
      <c r="F1143">
        <f>IF(Table1[[#This Row],[New Pos L]]&lt;&gt;0,Table1[[#This Row],[New Pos L]],Table1[[#This Row],[New Pos R]])</f>
        <v>36</v>
      </c>
    </row>
    <row r="1144" spans="1:6" ht="16" x14ac:dyDescent="0.2">
      <c r="A1144" s="1" t="s">
        <v>380</v>
      </c>
      <c r="B1144" t="str">
        <f>LEFT(Table1[[#This Row],[Input]],1)</f>
        <v>L</v>
      </c>
      <c r="C1144">
        <f>_xlfn.LET(_xlpm.steps,SUBSTITUTE(Table1[[#This Row],[Input]],Table1[[#This Row],[Direction]],""),VALUE(IF(LEN(_xlpm.steps)&gt;2,RIGHT(_xlpm.steps,2),_xlpm.steps)))</f>
        <v>36</v>
      </c>
      <c r="D1144">
        <f>_xlfn.LET(_xlpm.dir,Table1[[#This Row],[Direction]],
IF(_xlpm.dir="L",
    IF(F1143-Table1[[#This Row],[Steps]]&lt;0,100+(F1143-Table1[[#This Row],[Steps]]),F1143-Table1[[#This Row],[Steps]]),
))</f>
        <v>0</v>
      </c>
      <c r="E1144">
        <f>_xlfn.LET(_xlpm.dir,Table1[[#This Row],[Direction]],
IF(_xlpm.dir="R",
    IF(F1143+Table1[[#This Row],[Steps]]&gt;99,(F1143+Table1[[#This Row],[Steps]])-100,F1143+Table1[[#This Row],[Steps]]),
))</f>
        <v>0</v>
      </c>
      <c r="F1144">
        <f>IF(Table1[[#This Row],[New Pos L]]&lt;&gt;0,Table1[[#This Row],[New Pos L]],Table1[[#This Row],[New Pos R]])</f>
        <v>0</v>
      </c>
    </row>
    <row r="1145" spans="1:6" ht="16" x14ac:dyDescent="0.2">
      <c r="A1145" s="1" t="s">
        <v>381</v>
      </c>
      <c r="B1145" t="str">
        <f>LEFT(Table1[[#This Row],[Input]],1)</f>
        <v>R</v>
      </c>
      <c r="C1145">
        <f>_xlfn.LET(_xlpm.steps,SUBSTITUTE(Table1[[#This Row],[Input]],Table1[[#This Row],[Direction]],""),VALUE(IF(LEN(_xlpm.steps)&gt;2,RIGHT(_xlpm.steps,2),_xlpm.steps)))</f>
        <v>73</v>
      </c>
      <c r="D1145">
        <f>_xlfn.LET(_xlpm.dir,Table1[[#This Row],[Direction]],
IF(_xlpm.dir="L",
    IF(F1144-Table1[[#This Row],[Steps]]&lt;0,100+(F1144-Table1[[#This Row],[Steps]]),F1144-Table1[[#This Row],[Steps]]),
))</f>
        <v>0</v>
      </c>
      <c r="E1145">
        <f>_xlfn.LET(_xlpm.dir,Table1[[#This Row],[Direction]],
IF(_xlpm.dir="R",
    IF(F1144+Table1[[#This Row],[Steps]]&gt;99,(F1144+Table1[[#This Row],[Steps]])-100,F1144+Table1[[#This Row],[Steps]]),
))</f>
        <v>73</v>
      </c>
      <c r="F1145">
        <f>IF(Table1[[#This Row],[New Pos L]]&lt;&gt;0,Table1[[#This Row],[New Pos L]],Table1[[#This Row],[New Pos R]])</f>
        <v>73</v>
      </c>
    </row>
    <row r="1146" spans="1:6" ht="16" x14ac:dyDescent="0.2">
      <c r="A1146" s="1" t="s">
        <v>69</v>
      </c>
      <c r="B1146" t="str">
        <f>LEFT(Table1[[#This Row],[Input]],1)</f>
        <v>R</v>
      </c>
      <c r="C1146">
        <f>_xlfn.LET(_xlpm.steps,SUBSTITUTE(Table1[[#This Row],[Input]],Table1[[#This Row],[Direction]],""),VALUE(IF(LEN(_xlpm.steps)&gt;2,RIGHT(_xlpm.steps,2),_xlpm.steps)))</f>
        <v>27</v>
      </c>
      <c r="D1146">
        <f>_xlfn.LET(_xlpm.dir,Table1[[#This Row],[Direction]],
IF(_xlpm.dir="L",
    IF(F1145-Table1[[#This Row],[Steps]]&lt;0,100+(F1145-Table1[[#This Row],[Steps]]),F1145-Table1[[#This Row],[Steps]]),
))</f>
        <v>0</v>
      </c>
      <c r="E1146">
        <f>_xlfn.LET(_xlpm.dir,Table1[[#This Row],[Direction]],
IF(_xlpm.dir="R",
    IF(F1145+Table1[[#This Row],[Steps]]&gt;99,(F1145+Table1[[#This Row],[Steps]])-100,F1145+Table1[[#This Row],[Steps]]),
))</f>
        <v>0</v>
      </c>
      <c r="F1146">
        <f>IF(Table1[[#This Row],[New Pos L]]&lt;&gt;0,Table1[[#This Row],[New Pos L]],Table1[[#This Row],[New Pos R]])</f>
        <v>0</v>
      </c>
    </row>
    <row r="1147" spans="1:6" ht="16" x14ac:dyDescent="0.2">
      <c r="A1147" s="1" t="s">
        <v>201</v>
      </c>
      <c r="B1147" t="str">
        <f>LEFT(Table1[[#This Row],[Input]],1)</f>
        <v>R</v>
      </c>
      <c r="C1147">
        <f>_xlfn.LET(_xlpm.steps,SUBSTITUTE(Table1[[#This Row],[Input]],Table1[[#This Row],[Direction]],""),VALUE(IF(LEN(_xlpm.steps)&gt;2,RIGHT(_xlpm.steps,2),_xlpm.steps)))</f>
        <v>31</v>
      </c>
      <c r="D1147">
        <f>_xlfn.LET(_xlpm.dir,Table1[[#This Row],[Direction]],
IF(_xlpm.dir="L",
    IF(F1146-Table1[[#This Row],[Steps]]&lt;0,100+(F1146-Table1[[#This Row],[Steps]]),F1146-Table1[[#This Row],[Steps]]),
))</f>
        <v>0</v>
      </c>
      <c r="E1147">
        <f>_xlfn.LET(_xlpm.dir,Table1[[#This Row],[Direction]],
IF(_xlpm.dir="R",
    IF(F1146+Table1[[#This Row],[Steps]]&gt;99,(F1146+Table1[[#This Row],[Steps]])-100,F1146+Table1[[#This Row],[Steps]]),
))</f>
        <v>31</v>
      </c>
      <c r="F1147">
        <f>IF(Table1[[#This Row],[New Pos L]]&lt;&gt;0,Table1[[#This Row],[New Pos L]],Table1[[#This Row],[New Pos R]])</f>
        <v>31</v>
      </c>
    </row>
    <row r="1148" spans="1:6" ht="16" x14ac:dyDescent="0.2">
      <c r="A1148" s="1" t="s">
        <v>79</v>
      </c>
      <c r="B1148" t="str">
        <f>LEFT(Table1[[#This Row],[Input]],1)</f>
        <v>L</v>
      </c>
      <c r="C1148">
        <f>_xlfn.LET(_xlpm.steps,SUBSTITUTE(Table1[[#This Row],[Input]],Table1[[#This Row],[Direction]],""),VALUE(IF(LEN(_xlpm.steps)&gt;2,RIGHT(_xlpm.steps,2),_xlpm.steps)))</f>
        <v>45</v>
      </c>
      <c r="D1148">
        <f>_xlfn.LET(_xlpm.dir,Table1[[#This Row],[Direction]],
IF(_xlpm.dir="L",
    IF(F1147-Table1[[#This Row],[Steps]]&lt;0,100+(F1147-Table1[[#This Row],[Steps]]),F1147-Table1[[#This Row],[Steps]]),
))</f>
        <v>86</v>
      </c>
      <c r="E1148">
        <f>_xlfn.LET(_xlpm.dir,Table1[[#This Row],[Direction]],
IF(_xlpm.dir="R",
    IF(F1147+Table1[[#This Row],[Steps]]&gt;99,(F1147+Table1[[#This Row],[Steps]])-100,F1147+Table1[[#This Row],[Steps]]),
))</f>
        <v>0</v>
      </c>
      <c r="F1148">
        <f>IF(Table1[[#This Row],[New Pos L]]&lt;&gt;0,Table1[[#This Row],[New Pos L]],Table1[[#This Row],[New Pos R]])</f>
        <v>86</v>
      </c>
    </row>
    <row r="1149" spans="1:6" ht="16" x14ac:dyDescent="0.2">
      <c r="A1149" s="1" t="s">
        <v>7</v>
      </c>
      <c r="B1149" t="str">
        <f>LEFT(Table1[[#This Row],[Input]],1)</f>
        <v>R</v>
      </c>
      <c r="C1149">
        <f>_xlfn.LET(_xlpm.steps,SUBSTITUTE(Table1[[#This Row],[Input]],Table1[[#This Row],[Direction]],""),VALUE(IF(LEN(_xlpm.steps)&gt;2,RIGHT(_xlpm.steps,2),_xlpm.steps)))</f>
        <v>14</v>
      </c>
      <c r="D1149">
        <f>_xlfn.LET(_xlpm.dir,Table1[[#This Row],[Direction]],
IF(_xlpm.dir="L",
    IF(F1148-Table1[[#This Row],[Steps]]&lt;0,100+(F1148-Table1[[#This Row],[Steps]]),F1148-Table1[[#This Row],[Steps]]),
))</f>
        <v>0</v>
      </c>
      <c r="E1149">
        <f>_xlfn.LET(_xlpm.dir,Table1[[#This Row],[Direction]],
IF(_xlpm.dir="R",
    IF(F1148+Table1[[#This Row],[Steps]]&gt;99,(F1148+Table1[[#This Row],[Steps]])-100,F1148+Table1[[#This Row],[Steps]]),
))</f>
        <v>0</v>
      </c>
      <c r="F1149">
        <f>IF(Table1[[#This Row],[New Pos L]]&lt;&gt;0,Table1[[#This Row],[New Pos L]],Table1[[#This Row],[New Pos R]])</f>
        <v>0</v>
      </c>
    </row>
    <row r="1150" spans="1:6" ht="16" x14ac:dyDescent="0.2">
      <c r="A1150" s="1" t="s">
        <v>382</v>
      </c>
      <c r="B1150" t="str">
        <f>LEFT(Table1[[#This Row],[Input]],1)</f>
        <v>L</v>
      </c>
      <c r="C1150">
        <f>_xlfn.LET(_xlpm.steps,SUBSTITUTE(Table1[[#This Row],[Input]],Table1[[#This Row],[Direction]],""),VALUE(IF(LEN(_xlpm.steps)&gt;2,RIGHT(_xlpm.steps,2),_xlpm.steps)))</f>
        <v>76</v>
      </c>
      <c r="D1150">
        <f>_xlfn.LET(_xlpm.dir,Table1[[#This Row],[Direction]],
IF(_xlpm.dir="L",
    IF(F1149-Table1[[#This Row],[Steps]]&lt;0,100+(F1149-Table1[[#This Row],[Steps]]),F1149-Table1[[#This Row],[Steps]]),
))</f>
        <v>24</v>
      </c>
      <c r="E1150">
        <f>_xlfn.LET(_xlpm.dir,Table1[[#This Row],[Direction]],
IF(_xlpm.dir="R",
    IF(F1149+Table1[[#This Row],[Steps]]&gt;99,(F1149+Table1[[#This Row],[Steps]])-100,F1149+Table1[[#This Row],[Steps]]),
))</f>
        <v>0</v>
      </c>
      <c r="F1150">
        <f>IF(Table1[[#This Row],[New Pos L]]&lt;&gt;0,Table1[[#This Row],[New Pos L]],Table1[[#This Row],[New Pos R]])</f>
        <v>24</v>
      </c>
    </row>
    <row r="1151" spans="1:6" ht="16" x14ac:dyDescent="0.2">
      <c r="A1151" s="1" t="s">
        <v>43</v>
      </c>
      <c r="B1151" t="str">
        <f>LEFT(Table1[[#This Row],[Input]],1)</f>
        <v>R</v>
      </c>
      <c r="C1151">
        <f>_xlfn.LET(_xlpm.steps,SUBSTITUTE(Table1[[#This Row],[Input]],Table1[[#This Row],[Direction]],""),VALUE(IF(LEN(_xlpm.steps)&gt;2,RIGHT(_xlpm.steps,2),_xlpm.steps)))</f>
        <v>90</v>
      </c>
      <c r="D1151">
        <f>_xlfn.LET(_xlpm.dir,Table1[[#This Row],[Direction]],
IF(_xlpm.dir="L",
    IF(F1150-Table1[[#This Row],[Steps]]&lt;0,100+(F1150-Table1[[#This Row],[Steps]]),F1150-Table1[[#This Row],[Steps]]),
))</f>
        <v>0</v>
      </c>
      <c r="E1151">
        <f>_xlfn.LET(_xlpm.dir,Table1[[#This Row],[Direction]],
IF(_xlpm.dir="R",
    IF(F1150+Table1[[#This Row],[Steps]]&gt;99,(F1150+Table1[[#This Row],[Steps]])-100,F1150+Table1[[#This Row],[Steps]]),
))</f>
        <v>14</v>
      </c>
      <c r="F1151">
        <f>IF(Table1[[#This Row],[New Pos L]]&lt;&gt;0,Table1[[#This Row],[New Pos L]],Table1[[#This Row],[New Pos R]])</f>
        <v>14</v>
      </c>
    </row>
    <row r="1152" spans="1:6" ht="16" x14ac:dyDescent="0.2">
      <c r="A1152" s="1" t="s">
        <v>174</v>
      </c>
      <c r="B1152" t="str">
        <f>LEFT(Table1[[#This Row],[Input]],1)</f>
        <v>L</v>
      </c>
      <c r="C1152">
        <f>_xlfn.LET(_xlpm.steps,SUBSTITUTE(Table1[[#This Row],[Input]],Table1[[#This Row],[Direction]],""),VALUE(IF(LEN(_xlpm.steps)&gt;2,RIGHT(_xlpm.steps,2),_xlpm.steps)))</f>
        <v>92</v>
      </c>
      <c r="D1152">
        <f>_xlfn.LET(_xlpm.dir,Table1[[#This Row],[Direction]],
IF(_xlpm.dir="L",
    IF(F1151-Table1[[#This Row],[Steps]]&lt;0,100+(F1151-Table1[[#This Row],[Steps]]),F1151-Table1[[#This Row],[Steps]]),
))</f>
        <v>22</v>
      </c>
      <c r="E1152">
        <f>_xlfn.LET(_xlpm.dir,Table1[[#This Row],[Direction]],
IF(_xlpm.dir="R",
    IF(F1151+Table1[[#This Row],[Steps]]&gt;99,(F1151+Table1[[#This Row],[Steps]])-100,F1151+Table1[[#This Row],[Steps]]),
))</f>
        <v>0</v>
      </c>
      <c r="F1152">
        <f>IF(Table1[[#This Row],[New Pos L]]&lt;&gt;0,Table1[[#This Row],[New Pos L]],Table1[[#This Row],[New Pos R]])</f>
        <v>22</v>
      </c>
    </row>
    <row r="1153" spans="1:6" ht="16" x14ac:dyDescent="0.2">
      <c r="A1153" s="1" t="s">
        <v>383</v>
      </c>
      <c r="B1153" t="str">
        <f>LEFT(Table1[[#This Row],[Input]],1)</f>
        <v>R</v>
      </c>
      <c r="C1153">
        <f>_xlfn.LET(_xlpm.steps,SUBSTITUTE(Table1[[#This Row],[Input]],Table1[[#This Row],[Direction]],""),VALUE(IF(LEN(_xlpm.steps)&gt;2,RIGHT(_xlpm.steps,2),_xlpm.steps)))</f>
        <v>78</v>
      </c>
      <c r="D1153">
        <f>_xlfn.LET(_xlpm.dir,Table1[[#This Row],[Direction]],
IF(_xlpm.dir="L",
    IF(F1152-Table1[[#This Row],[Steps]]&lt;0,100+(F1152-Table1[[#This Row],[Steps]]),F1152-Table1[[#This Row],[Steps]]),
))</f>
        <v>0</v>
      </c>
      <c r="E1153">
        <f>_xlfn.LET(_xlpm.dir,Table1[[#This Row],[Direction]],
IF(_xlpm.dir="R",
    IF(F1152+Table1[[#This Row],[Steps]]&gt;99,(F1152+Table1[[#This Row],[Steps]])-100,F1152+Table1[[#This Row],[Steps]]),
))</f>
        <v>0</v>
      </c>
      <c r="F1153">
        <f>IF(Table1[[#This Row],[New Pos L]]&lt;&gt;0,Table1[[#This Row],[New Pos L]],Table1[[#This Row],[New Pos R]])</f>
        <v>0</v>
      </c>
    </row>
    <row r="1154" spans="1:6" ht="16" x14ac:dyDescent="0.2">
      <c r="A1154" s="1" t="s">
        <v>151</v>
      </c>
      <c r="B1154" t="str">
        <f>LEFT(Table1[[#This Row],[Input]],1)</f>
        <v>L</v>
      </c>
      <c r="C1154">
        <f>_xlfn.LET(_xlpm.steps,SUBSTITUTE(Table1[[#This Row],[Input]],Table1[[#This Row],[Direction]],""),VALUE(IF(LEN(_xlpm.steps)&gt;2,RIGHT(_xlpm.steps,2),_xlpm.steps)))</f>
        <v>74</v>
      </c>
      <c r="D1154">
        <f>_xlfn.LET(_xlpm.dir,Table1[[#This Row],[Direction]],
IF(_xlpm.dir="L",
    IF(F1153-Table1[[#This Row],[Steps]]&lt;0,100+(F1153-Table1[[#This Row],[Steps]]),F1153-Table1[[#This Row],[Steps]]),
))</f>
        <v>26</v>
      </c>
      <c r="E1154">
        <f>_xlfn.LET(_xlpm.dir,Table1[[#This Row],[Direction]],
IF(_xlpm.dir="R",
    IF(F1153+Table1[[#This Row],[Steps]]&gt;99,(F1153+Table1[[#This Row],[Steps]])-100,F1153+Table1[[#This Row],[Steps]]),
))</f>
        <v>0</v>
      </c>
      <c r="F1154">
        <f>IF(Table1[[#This Row],[New Pos L]]&lt;&gt;0,Table1[[#This Row],[New Pos L]],Table1[[#This Row],[New Pos R]])</f>
        <v>26</v>
      </c>
    </row>
    <row r="1155" spans="1:6" ht="16" x14ac:dyDescent="0.2">
      <c r="A1155" s="1" t="s">
        <v>148</v>
      </c>
      <c r="B1155" t="str">
        <f>LEFT(Table1[[#This Row],[Input]],1)</f>
        <v>R</v>
      </c>
      <c r="C1155">
        <f>_xlfn.LET(_xlpm.steps,SUBSTITUTE(Table1[[#This Row],[Input]],Table1[[#This Row],[Direction]],""),VALUE(IF(LEN(_xlpm.steps)&gt;2,RIGHT(_xlpm.steps,2),_xlpm.steps)))</f>
        <v>80</v>
      </c>
      <c r="D1155">
        <f>_xlfn.LET(_xlpm.dir,Table1[[#This Row],[Direction]],
IF(_xlpm.dir="L",
    IF(F1154-Table1[[#This Row],[Steps]]&lt;0,100+(F1154-Table1[[#This Row],[Steps]]),F1154-Table1[[#This Row],[Steps]]),
))</f>
        <v>0</v>
      </c>
      <c r="E1155">
        <f>_xlfn.LET(_xlpm.dir,Table1[[#This Row],[Direction]],
IF(_xlpm.dir="R",
    IF(F1154+Table1[[#This Row],[Steps]]&gt;99,(F1154+Table1[[#This Row],[Steps]])-100,F1154+Table1[[#This Row],[Steps]]),
))</f>
        <v>6</v>
      </c>
      <c r="F1155">
        <f>IF(Table1[[#This Row],[New Pos L]]&lt;&gt;0,Table1[[#This Row],[New Pos L]],Table1[[#This Row],[New Pos R]])</f>
        <v>6</v>
      </c>
    </row>
    <row r="1156" spans="1:6" ht="16" x14ac:dyDescent="0.2">
      <c r="A1156" s="1" t="s">
        <v>384</v>
      </c>
      <c r="B1156" t="str">
        <f>LEFT(Table1[[#This Row],[Input]],1)</f>
        <v>L</v>
      </c>
      <c r="C1156">
        <f>_xlfn.LET(_xlpm.steps,SUBSTITUTE(Table1[[#This Row],[Input]],Table1[[#This Row],[Direction]],""),VALUE(IF(LEN(_xlpm.steps)&gt;2,RIGHT(_xlpm.steps,2),_xlpm.steps)))</f>
        <v>88</v>
      </c>
      <c r="D1156">
        <f>_xlfn.LET(_xlpm.dir,Table1[[#This Row],[Direction]],
IF(_xlpm.dir="L",
    IF(F1155-Table1[[#This Row],[Steps]]&lt;0,100+(F1155-Table1[[#This Row],[Steps]]),F1155-Table1[[#This Row],[Steps]]),
))</f>
        <v>18</v>
      </c>
      <c r="E1156">
        <f>_xlfn.LET(_xlpm.dir,Table1[[#This Row],[Direction]],
IF(_xlpm.dir="R",
    IF(F1155+Table1[[#This Row],[Steps]]&gt;99,(F1155+Table1[[#This Row],[Steps]])-100,F1155+Table1[[#This Row],[Steps]]),
))</f>
        <v>0</v>
      </c>
      <c r="F1156">
        <f>IF(Table1[[#This Row],[New Pos L]]&lt;&gt;0,Table1[[#This Row],[New Pos L]],Table1[[#This Row],[New Pos R]])</f>
        <v>18</v>
      </c>
    </row>
    <row r="1157" spans="1:6" ht="16" x14ac:dyDescent="0.2">
      <c r="A1157" s="1" t="s">
        <v>175</v>
      </c>
      <c r="B1157" t="str">
        <f>LEFT(Table1[[#This Row],[Input]],1)</f>
        <v>L</v>
      </c>
      <c r="C1157">
        <f>_xlfn.LET(_xlpm.steps,SUBSTITUTE(Table1[[#This Row],[Input]],Table1[[#This Row],[Direction]],""),VALUE(IF(LEN(_xlpm.steps)&gt;2,RIGHT(_xlpm.steps,2),_xlpm.steps)))</f>
        <v>1</v>
      </c>
      <c r="D1157">
        <f>_xlfn.LET(_xlpm.dir,Table1[[#This Row],[Direction]],
IF(_xlpm.dir="L",
    IF(F1156-Table1[[#This Row],[Steps]]&lt;0,100+(F1156-Table1[[#This Row],[Steps]]),F1156-Table1[[#This Row],[Steps]]),
))</f>
        <v>17</v>
      </c>
      <c r="E1157">
        <f>_xlfn.LET(_xlpm.dir,Table1[[#This Row],[Direction]],
IF(_xlpm.dir="R",
    IF(F1156+Table1[[#This Row],[Steps]]&gt;99,(F1156+Table1[[#This Row],[Steps]])-100,F1156+Table1[[#This Row],[Steps]]),
))</f>
        <v>0</v>
      </c>
      <c r="F1157">
        <f>IF(Table1[[#This Row],[New Pos L]]&lt;&gt;0,Table1[[#This Row],[New Pos L]],Table1[[#This Row],[New Pos R]])</f>
        <v>17</v>
      </c>
    </row>
    <row r="1158" spans="1:6" ht="16" x14ac:dyDescent="0.2">
      <c r="A1158" s="1" t="s">
        <v>385</v>
      </c>
      <c r="B1158" t="str">
        <f>LEFT(Table1[[#This Row],[Input]],1)</f>
        <v>R</v>
      </c>
      <c r="C1158">
        <f>_xlfn.LET(_xlpm.steps,SUBSTITUTE(Table1[[#This Row],[Input]],Table1[[#This Row],[Direction]],""),VALUE(IF(LEN(_xlpm.steps)&gt;2,RIGHT(_xlpm.steps,2),_xlpm.steps)))</f>
        <v>93</v>
      </c>
      <c r="D1158">
        <f>_xlfn.LET(_xlpm.dir,Table1[[#This Row],[Direction]],
IF(_xlpm.dir="L",
    IF(F1157-Table1[[#This Row],[Steps]]&lt;0,100+(F1157-Table1[[#This Row],[Steps]]),F1157-Table1[[#This Row],[Steps]]),
))</f>
        <v>0</v>
      </c>
      <c r="E1158">
        <f>_xlfn.LET(_xlpm.dir,Table1[[#This Row],[Direction]],
IF(_xlpm.dir="R",
    IF(F1157+Table1[[#This Row],[Steps]]&gt;99,(F1157+Table1[[#This Row],[Steps]])-100,F1157+Table1[[#This Row],[Steps]]),
))</f>
        <v>10</v>
      </c>
      <c r="F1158">
        <f>IF(Table1[[#This Row],[New Pos L]]&lt;&gt;0,Table1[[#This Row],[New Pos L]],Table1[[#This Row],[New Pos R]])</f>
        <v>10</v>
      </c>
    </row>
    <row r="1159" spans="1:6" ht="16" x14ac:dyDescent="0.2">
      <c r="A1159" s="1" t="s">
        <v>386</v>
      </c>
      <c r="B1159" t="str">
        <f>LEFT(Table1[[#This Row],[Input]],1)</f>
        <v>R</v>
      </c>
      <c r="C1159">
        <f>_xlfn.LET(_xlpm.steps,SUBSTITUTE(Table1[[#This Row],[Input]],Table1[[#This Row],[Direction]],""),VALUE(IF(LEN(_xlpm.steps)&gt;2,RIGHT(_xlpm.steps,2),_xlpm.steps)))</f>
        <v>99</v>
      </c>
      <c r="D1159">
        <f>_xlfn.LET(_xlpm.dir,Table1[[#This Row],[Direction]],
IF(_xlpm.dir="L",
    IF(F1158-Table1[[#This Row],[Steps]]&lt;0,100+(F1158-Table1[[#This Row],[Steps]]),F1158-Table1[[#This Row],[Steps]]),
))</f>
        <v>0</v>
      </c>
      <c r="E1159">
        <f>_xlfn.LET(_xlpm.dir,Table1[[#This Row],[Direction]],
IF(_xlpm.dir="R",
    IF(F1158+Table1[[#This Row],[Steps]]&gt;99,(F1158+Table1[[#This Row],[Steps]])-100,F1158+Table1[[#This Row],[Steps]]),
))</f>
        <v>9</v>
      </c>
      <c r="F1159">
        <f>IF(Table1[[#This Row],[New Pos L]]&lt;&gt;0,Table1[[#This Row],[New Pos L]],Table1[[#This Row],[New Pos R]])</f>
        <v>9</v>
      </c>
    </row>
    <row r="1160" spans="1:6" ht="16" x14ac:dyDescent="0.2">
      <c r="A1160" s="1" t="s">
        <v>70</v>
      </c>
      <c r="B1160" t="str">
        <f>LEFT(Table1[[#This Row],[Input]],1)</f>
        <v>R</v>
      </c>
      <c r="C1160">
        <f>_xlfn.LET(_xlpm.steps,SUBSTITUTE(Table1[[#This Row],[Input]],Table1[[#This Row],[Direction]],""),VALUE(IF(LEN(_xlpm.steps)&gt;2,RIGHT(_xlpm.steps,2),_xlpm.steps)))</f>
        <v>73</v>
      </c>
      <c r="D1160">
        <f>_xlfn.LET(_xlpm.dir,Table1[[#This Row],[Direction]],
IF(_xlpm.dir="L",
    IF(F1159-Table1[[#This Row],[Steps]]&lt;0,100+(F1159-Table1[[#This Row],[Steps]]),F1159-Table1[[#This Row],[Steps]]),
))</f>
        <v>0</v>
      </c>
      <c r="E1160">
        <f>_xlfn.LET(_xlpm.dir,Table1[[#This Row],[Direction]],
IF(_xlpm.dir="R",
    IF(F1159+Table1[[#This Row],[Steps]]&gt;99,(F1159+Table1[[#This Row],[Steps]])-100,F1159+Table1[[#This Row],[Steps]]),
))</f>
        <v>82</v>
      </c>
      <c r="F1160">
        <f>IF(Table1[[#This Row],[New Pos L]]&lt;&gt;0,Table1[[#This Row],[New Pos L]],Table1[[#This Row],[New Pos R]])</f>
        <v>82</v>
      </c>
    </row>
    <row r="1161" spans="1:6" ht="16" x14ac:dyDescent="0.2">
      <c r="A1161" s="1" t="s">
        <v>387</v>
      </c>
      <c r="B1161" t="str">
        <f>LEFT(Table1[[#This Row],[Input]],1)</f>
        <v>L</v>
      </c>
      <c r="C1161">
        <f>_xlfn.LET(_xlpm.steps,SUBSTITUTE(Table1[[#This Row],[Input]],Table1[[#This Row],[Direction]],""),VALUE(IF(LEN(_xlpm.steps)&gt;2,RIGHT(_xlpm.steps,2),_xlpm.steps)))</f>
        <v>82</v>
      </c>
      <c r="D1161">
        <f>_xlfn.LET(_xlpm.dir,Table1[[#This Row],[Direction]],
IF(_xlpm.dir="L",
    IF(F1160-Table1[[#This Row],[Steps]]&lt;0,100+(F1160-Table1[[#This Row],[Steps]]),F1160-Table1[[#This Row],[Steps]]),
))</f>
        <v>0</v>
      </c>
      <c r="E1161">
        <f>_xlfn.LET(_xlpm.dir,Table1[[#This Row],[Direction]],
IF(_xlpm.dir="R",
    IF(F1160+Table1[[#This Row],[Steps]]&gt;99,(F1160+Table1[[#This Row],[Steps]])-100,F1160+Table1[[#This Row],[Steps]]),
))</f>
        <v>0</v>
      </c>
      <c r="F1161">
        <f>IF(Table1[[#This Row],[New Pos L]]&lt;&gt;0,Table1[[#This Row],[New Pos L]],Table1[[#This Row],[New Pos R]])</f>
        <v>0</v>
      </c>
    </row>
    <row r="1162" spans="1:6" ht="16" x14ac:dyDescent="0.2">
      <c r="A1162" s="1" t="s">
        <v>80</v>
      </c>
      <c r="B1162" t="str">
        <f>LEFT(Table1[[#This Row],[Input]],1)</f>
        <v>L</v>
      </c>
      <c r="C1162">
        <f>_xlfn.LET(_xlpm.steps,SUBSTITUTE(Table1[[#This Row],[Input]],Table1[[#This Row],[Direction]],""),VALUE(IF(LEN(_xlpm.steps)&gt;2,RIGHT(_xlpm.steps,2),_xlpm.steps)))</f>
        <v>48</v>
      </c>
      <c r="D1162">
        <f>_xlfn.LET(_xlpm.dir,Table1[[#This Row],[Direction]],
IF(_xlpm.dir="L",
    IF(F1161-Table1[[#This Row],[Steps]]&lt;0,100+(F1161-Table1[[#This Row],[Steps]]),F1161-Table1[[#This Row],[Steps]]),
))</f>
        <v>52</v>
      </c>
      <c r="E1162">
        <f>_xlfn.LET(_xlpm.dir,Table1[[#This Row],[Direction]],
IF(_xlpm.dir="R",
    IF(F1161+Table1[[#This Row],[Steps]]&gt;99,(F1161+Table1[[#This Row],[Steps]])-100,F1161+Table1[[#This Row],[Steps]]),
))</f>
        <v>0</v>
      </c>
      <c r="F1162">
        <f>IF(Table1[[#This Row],[New Pos L]]&lt;&gt;0,Table1[[#This Row],[New Pos L]],Table1[[#This Row],[New Pos R]])</f>
        <v>52</v>
      </c>
    </row>
    <row r="1163" spans="1:6" ht="16" x14ac:dyDescent="0.2">
      <c r="A1163" s="1" t="s">
        <v>71</v>
      </c>
      <c r="B1163" t="str">
        <f>LEFT(Table1[[#This Row],[Input]],1)</f>
        <v>R</v>
      </c>
      <c r="C1163">
        <f>_xlfn.LET(_xlpm.steps,SUBSTITUTE(Table1[[#This Row],[Input]],Table1[[#This Row],[Direction]],""),VALUE(IF(LEN(_xlpm.steps)&gt;2,RIGHT(_xlpm.steps,2),_xlpm.steps)))</f>
        <v>23</v>
      </c>
      <c r="D1163">
        <f>_xlfn.LET(_xlpm.dir,Table1[[#This Row],[Direction]],
IF(_xlpm.dir="L",
    IF(F1162-Table1[[#This Row],[Steps]]&lt;0,100+(F1162-Table1[[#This Row],[Steps]]),F1162-Table1[[#This Row],[Steps]]),
))</f>
        <v>0</v>
      </c>
      <c r="E1163">
        <f>_xlfn.LET(_xlpm.dir,Table1[[#This Row],[Direction]],
IF(_xlpm.dir="R",
    IF(F1162+Table1[[#This Row],[Steps]]&gt;99,(F1162+Table1[[#This Row],[Steps]])-100,F1162+Table1[[#This Row],[Steps]]),
))</f>
        <v>75</v>
      </c>
      <c r="F1163">
        <f>IF(Table1[[#This Row],[New Pos L]]&lt;&gt;0,Table1[[#This Row],[New Pos L]],Table1[[#This Row],[New Pos R]])</f>
        <v>75</v>
      </c>
    </row>
    <row r="1164" spans="1:6" ht="16" x14ac:dyDescent="0.2">
      <c r="A1164" s="1" t="s">
        <v>82</v>
      </c>
      <c r="B1164" t="str">
        <f>LEFT(Table1[[#This Row],[Input]],1)</f>
        <v>L</v>
      </c>
      <c r="C1164">
        <f>_xlfn.LET(_xlpm.steps,SUBSTITUTE(Table1[[#This Row],[Input]],Table1[[#This Row],[Direction]],""),VALUE(IF(LEN(_xlpm.steps)&gt;2,RIGHT(_xlpm.steps,2),_xlpm.steps)))</f>
        <v>55</v>
      </c>
      <c r="D1164">
        <f>_xlfn.LET(_xlpm.dir,Table1[[#This Row],[Direction]],
IF(_xlpm.dir="L",
    IF(F1163-Table1[[#This Row],[Steps]]&lt;0,100+(F1163-Table1[[#This Row],[Steps]]),F1163-Table1[[#This Row],[Steps]]),
))</f>
        <v>20</v>
      </c>
      <c r="E1164">
        <f>_xlfn.LET(_xlpm.dir,Table1[[#This Row],[Direction]],
IF(_xlpm.dir="R",
    IF(F1163+Table1[[#This Row],[Steps]]&gt;99,(F1163+Table1[[#This Row],[Steps]])-100,F1163+Table1[[#This Row],[Steps]]),
))</f>
        <v>0</v>
      </c>
      <c r="F1164">
        <f>IF(Table1[[#This Row],[New Pos L]]&lt;&gt;0,Table1[[#This Row],[New Pos L]],Table1[[#This Row],[New Pos R]])</f>
        <v>20</v>
      </c>
    </row>
    <row r="1165" spans="1:6" ht="16" x14ac:dyDescent="0.2">
      <c r="A1165" s="1" t="s">
        <v>17</v>
      </c>
      <c r="B1165" t="str">
        <f>LEFT(Table1[[#This Row],[Input]],1)</f>
        <v>L</v>
      </c>
      <c r="C1165">
        <f>_xlfn.LET(_xlpm.steps,SUBSTITUTE(Table1[[#This Row],[Input]],Table1[[#This Row],[Direction]],""),VALUE(IF(LEN(_xlpm.steps)&gt;2,RIGHT(_xlpm.steps,2),_xlpm.steps)))</f>
        <v>50</v>
      </c>
      <c r="D1165">
        <f>_xlfn.LET(_xlpm.dir,Table1[[#This Row],[Direction]],
IF(_xlpm.dir="L",
    IF(F1164-Table1[[#This Row],[Steps]]&lt;0,100+(F1164-Table1[[#This Row],[Steps]]),F1164-Table1[[#This Row],[Steps]]),
))</f>
        <v>70</v>
      </c>
      <c r="E1165">
        <f>_xlfn.LET(_xlpm.dir,Table1[[#This Row],[Direction]],
IF(_xlpm.dir="R",
    IF(F1164+Table1[[#This Row],[Steps]]&gt;99,(F1164+Table1[[#This Row],[Steps]])-100,F1164+Table1[[#This Row],[Steps]]),
))</f>
        <v>0</v>
      </c>
      <c r="F1165">
        <f>IF(Table1[[#This Row],[New Pos L]]&lt;&gt;0,Table1[[#This Row],[New Pos L]],Table1[[#This Row],[New Pos R]])</f>
        <v>70</v>
      </c>
    </row>
    <row r="1166" spans="1:6" ht="16" x14ac:dyDescent="0.2">
      <c r="A1166" s="1" t="s">
        <v>388</v>
      </c>
      <c r="B1166" t="str">
        <f>LEFT(Table1[[#This Row],[Input]],1)</f>
        <v>L</v>
      </c>
      <c r="C1166">
        <f>_xlfn.LET(_xlpm.steps,SUBSTITUTE(Table1[[#This Row],[Input]],Table1[[#This Row],[Direction]],""),VALUE(IF(LEN(_xlpm.steps)&gt;2,RIGHT(_xlpm.steps,2),_xlpm.steps)))</f>
        <v>83</v>
      </c>
      <c r="D1166">
        <f>_xlfn.LET(_xlpm.dir,Table1[[#This Row],[Direction]],
IF(_xlpm.dir="L",
    IF(F1165-Table1[[#This Row],[Steps]]&lt;0,100+(F1165-Table1[[#This Row],[Steps]]),F1165-Table1[[#This Row],[Steps]]),
))</f>
        <v>87</v>
      </c>
      <c r="E1166">
        <f>_xlfn.LET(_xlpm.dir,Table1[[#This Row],[Direction]],
IF(_xlpm.dir="R",
    IF(F1165+Table1[[#This Row],[Steps]]&gt;99,(F1165+Table1[[#This Row],[Steps]])-100,F1165+Table1[[#This Row],[Steps]]),
))</f>
        <v>0</v>
      </c>
      <c r="F1166">
        <f>IF(Table1[[#This Row],[New Pos L]]&lt;&gt;0,Table1[[#This Row],[New Pos L]],Table1[[#This Row],[New Pos R]])</f>
        <v>87</v>
      </c>
    </row>
    <row r="1167" spans="1:6" ht="16" x14ac:dyDescent="0.2">
      <c r="A1167" s="1" t="s">
        <v>210</v>
      </c>
      <c r="B1167" t="str">
        <f>LEFT(Table1[[#This Row],[Input]],1)</f>
        <v>R</v>
      </c>
      <c r="C1167">
        <f>_xlfn.LET(_xlpm.steps,SUBSTITUTE(Table1[[#This Row],[Input]],Table1[[#This Row],[Direction]],""),VALUE(IF(LEN(_xlpm.steps)&gt;2,RIGHT(_xlpm.steps,2),_xlpm.steps)))</f>
        <v>89</v>
      </c>
      <c r="D1167">
        <f>_xlfn.LET(_xlpm.dir,Table1[[#This Row],[Direction]],
IF(_xlpm.dir="L",
    IF(F1166-Table1[[#This Row],[Steps]]&lt;0,100+(F1166-Table1[[#This Row],[Steps]]),F1166-Table1[[#This Row],[Steps]]),
))</f>
        <v>0</v>
      </c>
      <c r="E1167">
        <f>_xlfn.LET(_xlpm.dir,Table1[[#This Row],[Direction]],
IF(_xlpm.dir="R",
    IF(F1166+Table1[[#This Row],[Steps]]&gt;99,(F1166+Table1[[#This Row],[Steps]])-100,F1166+Table1[[#This Row],[Steps]]),
))</f>
        <v>76</v>
      </c>
      <c r="F1167">
        <f>IF(Table1[[#This Row],[New Pos L]]&lt;&gt;0,Table1[[#This Row],[New Pos L]],Table1[[#This Row],[New Pos R]])</f>
        <v>76</v>
      </c>
    </row>
    <row r="1168" spans="1:6" ht="16" x14ac:dyDescent="0.2">
      <c r="A1168" s="1" t="s">
        <v>330</v>
      </c>
      <c r="B1168" t="str">
        <f>LEFT(Table1[[#This Row],[Input]],1)</f>
        <v>L</v>
      </c>
      <c r="C1168">
        <f>_xlfn.LET(_xlpm.steps,SUBSTITUTE(Table1[[#This Row],[Input]],Table1[[#This Row],[Direction]],""),VALUE(IF(LEN(_xlpm.steps)&gt;2,RIGHT(_xlpm.steps,2),_xlpm.steps)))</f>
        <v>47</v>
      </c>
      <c r="D1168">
        <f>_xlfn.LET(_xlpm.dir,Table1[[#This Row],[Direction]],
IF(_xlpm.dir="L",
    IF(F1167-Table1[[#This Row],[Steps]]&lt;0,100+(F1167-Table1[[#This Row],[Steps]]),F1167-Table1[[#This Row],[Steps]]),
))</f>
        <v>29</v>
      </c>
      <c r="E1168">
        <f>_xlfn.LET(_xlpm.dir,Table1[[#This Row],[Direction]],
IF(_xlpm.dir="R",
    IF(F1167+Table1[[#This Row],[Steps]]&gt;99,(F1167+Table1[[#This Row],[Steps]])-100,F1167+Table1[[#This Row],[Steps]]),
))</f>
        <v>0</v>
      </c>
      <c r="F1168">
        <f>IF(Table1[[#This Row],[New Pos L]]&lt;&gt;0,Table1[[#This Row],[New Pos L]],Table1[[#This Row],[New Pos R]])</f>
        <v>29</v>
      </c>
    </row>
    <row r="1169" spans="1:6" ht="16" x14ac:dyDescent="0.2">
      <c r="A1169" s="1" t="s">
        <v>146</v>
      </c>
      <c r="B1169" t="str">
        <f>LEFT(Table1[[#This Row],[Input]],1)</f>
        <v>R</v>
      </c>
      <c r="C1169">
        <f>_xlfn.LET(_xlpm.steps,SUBSTITUTE(Table1[[#This Row],[Input]],Table1[[#This Row],[Direction]],""),VALUE(IF(LEN(_xlpm.steps)&gt;2,RIGHT(_xlpm.steps,2),_xlpm.steps)))</f>
        <v>4</v>
      </c>
      <c r="D1169">
        <f>_xlfn.LET(_xlpm.dir,Table1[[#This Row],[Direction]],
IF(_xlpm.dir="L",
    IF(F1168-Table1[[#This Row],[Steps]]&lt;0,100+(F1168-Table1[[#This Row],[Steps]]),F1168-Table1[[#This Row],[Steps]]),
))</f>
        <v>0</v>
      </c>
      <c r="E1169">
        <f>_xlfn.LET(_xlpm.dir,Table1[[#This Row],[Direction]],
IF(_xlpm.dir="R",
    IF(F1168+Table1[[#This Row],[Steps]]&gt;99,(F1168+Table1[[#This Row],[Steps]])-100,F1168+Table1[[#This Row],[Steps]]),
))</f>
        <v>33</v>
      </c>
      <c r="F1169">
        <f>IF(Table1[[#This Row],[New Pos L]]&lt;&gt;0,Table1[[#This Row],[New Pos L]],Table1[[#This Row],[New Pos R]])</f>
        <v>33</v>
      </c>
    </row>
    <row r="1170" spans="1:6" ht="16" x14ac:dyDescent="0.2">
      <c r="A1170" s="1" t="s">
        <v>48</v>
      </c>
      <c r="B1170" t="str">
        <f>LEFT(Table1[[#This Row],[Input]],1)</f>
        <v>R</v>
      </c>
      <c r="C1170">
        <f>_xlfn.LET(_xlpm.steps,SUBSTITUTE(Table1[[#This Row],[Input]],Table1[[#This Row],[Direction]],""),VALUE(IF(LEN(_xlpm.steps)&gt;2,RIGHT(_xlpm.steps,2),_xlpm.steps)))</f>
        <v>81</v>
      </c>
      <c r="D1170">
        <f>_xlfn.LET(_xlpm.dir,Table1[[#This Row],[Direction]],
IF(_xlpm.dir="L",
    IF(F1169-Table1[[#This Row],[Steps]]&lt;0,100+(F1169-Table1[[#This Row],[Steps]]),F1169-Table1[[#This Row],[Steps]]),
))</f>
        <v>0</v>
      </c>
      <c r="E1170">
        <f>_xlfn.LET(_xlpm.dir,Table1[[#This Row],[Direction]],
IF(_xlpm.dir="R",
    IF(F1169+Table1[[#This Row],[Steps]]&gt;99,(F1169+Table1[[#This Row],[Steps]])-100,F1169+Table1[[#This Row],[Steps]]),
))</f>
        <v>14</v>
      </c>
      <c r="F1170">
        <f>IF(Table1[[#This Row],[New Pos L]]&lt;&gt;0,Table1[[#This Row],[New Pos L]],Table1[[#This Row],[New Pos R]])</f>
        <v>14</v>
      </c>
    </row>
    <row r="1171" spans="1:6" ht="16" x14ac:dyDescent="0.2">
      <c r="A1171" s="1" t="s">
        <v>389</v>
      </c>
      <c r="B1171" t="str">
        <f>LEFT(Table1[[#This Row],[Input]],1)</f>
        <v>L</v>
      </c>
      <c r="C1171">
        <f>_xlfn.LET(_xlpm.steps,SUBSTITUTE(Table1[[#This Row],[Input]],Table1[[#This Row],[Direction]],""),VALUE(IF(LEN(_xlpm.steps)&gt;2,RIGHT(_xlpm.steps,2),_xlpm.steps)))</f>
        <v>14</v>
      </c>
      <c r="D1171">
        <f>_xlfn.LET(_xlpm.dir,Table1[[#This Row],[Direction]],
IF(_xlpm.dir="L",
    IF(F1170-Table1[[#This Row],[Steps]]&lt;0,100+(F1170-Table1[[#This Row],[Steps]]),F1170-Table1[[#This Row],[Steps]]),
))</f>
        <v>0</v>
      </c>
      <c r="E1171">
        <f>_xlfn.LET(_xlpm.dir,Table1[[#This Row],[Direction]],
IF(_xlpm.dir="R",
    IF(F1170+Table1[[#This Row],[Steps]]&gt;99,(F1170+Table1[[#This Row],[Steps]])-100,F1170+Table1[[#This Row],[Steps]]),
))</f>
        <v>0</v>
      </c>
      <c r="F1171">
        <f>IF(Table1[[#This Row],[New Pos L]]&lt;&gt;0,Table1[[#This Row],[New Pos L]],Table1[[#This Row],[New Pos R]])</f>
        <v>0</v>
      </c>
    </row>
    <row r="1172" spans="1:6" ht="16" x14ac:dyDescent="0.2">
      <c r="A1172" s="1" t="s">
        <v>158</v>
      </c>
      <c r="B1172" t="str">
        <f>LEFT(Table1[[#This Row],[Input]],1)</f>
        <v>L</v>
      </c>
      <c r="C1172">
        <f>_xlfn.LET(_xlpm.steps,SUBSTITUTE(Table1[[#This Row],[Input]],Table1[[#This Row],[Direction]],""),VALUE(IF(LEN(_xlpm.steps)&gt;2,RIGHT(_xlpm.steps,2),_xlpm.steps)))</f>
        <v>24</v>
      </c>
      <c r="D1172">
        <f>_xlfn.LET(_xlpm.dir,Table1[[#This Row],[Direction]],
IF(_xlpm.dir="L",
    IF(F1171-Table1[[#This Row],[Steps]]&lt;0,100+(F1171-Table1[[#This Row],[Steps]]),F1171-Table1[[#This Row],[Steps]]),
))</f>
        <v>76</v>
      </c>
      <c r="E1172">
        <f>_xlfn.LET(_xlpm.dir,Table1[[#This Row],[Direction]],
IF(_xlpm.dir="R",
    IF(F1171+Table1[[#This Row],[Steps]]&gt;99,(F1171+Table1[[#This Row],[Steps]])-100,F1171+Table1[[#This Row],[Steps]]),
))</f>
        <v>0</v>
      </c>
      <c r="F1172">
        <f>IF(Table1[[#This Row],[New Pos L]]&lt;&gt;0,Table1[[#This Row],[New Pos L]],Table1[[#This Row],[New Pos R]])</f>
        <v>76</v>
      </c>
    </row>
    <row r="1173" spans="1:6" ht="16" x14ac:dyDescent="0.2">
      <c r="A1173" s="1" t="s">
        <v>14</v>
      </c>
      <c r="B1173" t="str">
        <f>LEFT(Table1[[#This Row],[Input]],1)</f>
        <v>L</v>
      </c>
      <c r="C1173">
        <f>_xlfn.LET(_xlpm.steps,SUBSTITUTE(Table1[[#This Row],[Input]],Table1[[#This Row],[Direction]],""),VALUE(IF(LEN(_xlpm.steps)&gt;2,RIGHT(_xlpm.steps,2),_xlpm.steps)))</f>
        <v>43</v>
      </c>
      <c r="D1173">
        <f>_xlfn.LET(_xlpm.dir,Table1[[#This Row],[Direction]],
IF(_xlpm.dir="L",
    IF(F1172-Table1[[#This Row],[Steps]]&lt;0,100+(F1172-Table1[[#This Row],[Steps]]),F1172-Table1[[#This Row],[Steps]]),
))</f>
        <v>33</v>
      </c>
      <c r="E1173">
        <f>_xlfn.LET(_xlpm.dir,Table1[[#This Row],[Direction]],
IF(_xlpm.dir="R",
    IF(F1172+Table1[[#This Row],[Steps]]&gt;99,(F1172+Table1[[#This Row],[Steps]])-100,F1172+Table1[[#This Row],[Steps]]),
))</f>
        <v>0</v>
      </c>
      <c r="F1173">
        <f>IF(Table1[[#This Row],[New Pos L]]&lt;&gt;0,Table1[[#This Row],[New Pos L]],Table1[[#This Row],[New Pos R]])</f>
        <v>33</v>
      </c>
    </row>
    <row r="1174" spans="1:6" ht="16" x14ac:dyDescent="0.2">
      <c r="A1174" s="1" t="s">
        <v>66</v>
      </c>
      <c r="B1174" t="str">
        <f>LEFT(Table1[[#This Row],[Input]],1)</f>
        <v>R</v>
      </c>
      <c r="C1174">
        <f>_xlfn.LET(_xlpm.steps,SUBSTITUTE(Table1[[#This Row],[Input]],Table1[[#This Row],[Direction]],""),VALUE(IF(LEN(_xlpm.steps)&gt;2,RIGHT(_xlpm.steps,2),_xlpm.steps)))</f>
        <v>45</v>
      </c>
      <c r="D1174">
        <f>_xlfn.LET(_xlpm.dir,Table1[[#This Row],[Direction]],
IF(_xlpm.dir="L",
    IF(F1173-Table1[[#This Row],[Steps]]&lt;0,100+(F1173-Table1[[#This Row],[Steps]]),F1173-Table1[[#This Row],[Steps]]),
))</f>
        <v>0</v>
      </c>
      <c r="E1174">
        <f>_xlfn.LET(_xlpm.dir,Table1[[#This Row],[Direction]],
IF(_xlpm.dir="R",
    IF(F1173+Table1[[#This Row],[Steps]]&gt;99,(F1173+Table1[[#This Row],[Steps]])-100,F1173+Table1[[#This Row],[Steps]]),
))</f>
        <v>78</v>
      </c>
      <c r="F1174">
        <f>IF(Table1[[#This Row],[New Pos L]]&lt;&gt;0,Table1[[#This Row],[New Pos L]],Table1[[#This Row],[New Pos R]])</f>
        <v>78</v>
      </c>
    </row>
    <row r="1175" spans="1:6" ht="16" x14ac:dyDescent="0.2">
      <c r="A1175" s="1" t="s">
        <v>77</v>
      </c>
      <c r="B1175" t="str">
        <f>LEFT(Table1[[#This Row],[Input]],1)</f>
        <v>R</v>
      </c>
      <c r="C1175">
        <f>_xlfn.LET(_xlpm.steps,SUBSTITUTE(Table1[[#This Row],[Input]],Table1[[#This Row],[Direction]],""),VALUE(IF(LEN(_xlpm.steps)&gt;2,RIGHT(_xlpm.steps,2),_xlpm.steps)))</f>
        <v>74</v>
      </c>
      <c r="D1175">
        <f>_xlfn.LET(_xlpm.dir,Table1[[#This Row],[Direction]],
IF(_xlpm.dir="L",
    IF(F1174-Table1[[#This Row],[Steps]]&lt;0,100+(F1174-Table1[[#This Row],[Steps]]),F1174-Table1[[#This Row],[Steps]]),
))</f>
        <v>0</v>
      </c>
      <c r="E1175">
        <f>_xlfn.LET(_xlpm.dir,Table1[[#This Row],[Direction]],
IF(_xlpm.dir="R",
    IF(F1174+Table1[[#This Row],[Steps]]&gt;99,(F1174+Table1[[#This Row],[Steps]])-100,F1174+Table1[[#This Row],[Steps]]),
))</f>
        <v>52</v>
      </c>
      <c r="F1175">
        <f>IF(Table1[[#This Row],[New Pos L]]&lt;&gt;0,Table1[[#This Row],[New Pos L]],Table1[[#This Row],[New Pos R]])</f>
        <v>52</v>
      </c>
    </row>
    <row r="1176" spans="1:6" ht="16" x14ac:dyDescent="0.2">
      <c r="A1176" s="1" t="s">
        <v>390</v>
      </c>
      <c r="B1176" t="str">
        <f>LEFT(Table1[[#This Row],[Input]],1)</f>
        <v>L</v>
      </c>
      <c r="C1176">
        <f>_xlfn.LET(_xlpm.steps,SUBSTITUTE(Table1[[#This Row],[Input]],Table1[[#This Row],[Direction]],""),VALUE(IF(LEN(_xlpm.steps)&gt;2,RIGHT(_xlpm.steps,2),_xlpm.steps)))</f>
        <v>52</v>
      </c>
      <c r="D1176">
        <f>_xlfn.LET(_xlpm.dir,Table1[[#This Row],[Direction]],
IF(_xlpm.dir="L",
    IF(F1175-Table1[[#This Row],[Steps]]&lt;0,100+(F1175-Table1[[#This Row],[Steps]]),F1175-Table1[[#This Row],[Steps]]),
))</f>
        <v>0</v>
      </c>
      <c r="E1176">
        <f>_xlfn.LET(_xlpm.dir,Table1[[#This Row],[Direction]],
IF(_xlpm.dir="R",
    IF(F1175+Table1[[#This Row],[Steps]]&gt;99,(F1175+Table1[[#This Row],[Steps]])-100,F1175+Table1[[#This Row],[Steps]]),
))</f>
        <v>0</v>
      </c>
      <c r="F1176">
        <f>IF(Table1[[#This Row],[New Pos L]]&lt;&gt;0,Table1[[#This Row],[New Pos L]],Table1[[#This Row],[New Pos R]])</f>
        <v>0</v>
      </c>
    </row>
    <row r="1177" spans="1:6" ht="16" x14ac:dyDescent="0.2">
      <c r="A1177" s="1" t="s">
        <v>74</v>
      </c>
      <c r="B1177" t="str">
        <f>LEFT(Table1[[#This Row],[Input]],1)</f>
        <v>R</v>
      </c>
      <c r="C1177">
        <f>_xlfn.LET(_xlpm.steps,SUBSTITUTE(Table1[[#This Row],[Input]],Table1[[#This Row],[Direction]],""),VALUE(IF(LEN(_xlpm.steps)&gt;2,RIGHT(_xlpm.steps,2),_xlpm.steps)))</f>
        <v>93</v>
      </c>
      <c r="D1177">
        <f>_xlfn.LET(_xlpm.dir,Table1[[#This Row],[Direction]],
IF(_xlpm.dir="L",
    IF(F1176-Table1[[#This Row],[Steps]]&lt;0,100+(F1176-Table1[[#This Row],[Steps]]),F1176-Table1[[#This Row],[Steps]]),
))</f>
        <v>0</v>
      </c>
      <c r="E1177">
        <f>_xlfn.LET(_xlpm.dir,Table1[[#This Row],[Direction]],
IF(_xlpm.dir="R",
    IF(F1176+Table1[[#This Row],[Steps]]&gt;99,(F1176+Table1[[#This Row],[Steps]])-100,F1176+Table1[[#This Row],[Steps]]),
))</f>
        <v>93</v>
      </c>
      <c r="F1177">
        <f>IF(Table1[[#This Row],[New Pos L]]&lt;&gt;0,Table1[[#This Row],[New Pos L]],Table1[[#This Row],[New Pos R]])</f>
        <v>93</v>
      </c>
    </row>
    <row r="1178" spans="1:6" ht="16" x14ac:dyDescent="0.2">
      <c r="A1178" s="1" t="s">
        <v>167</v>
      </c>
      <c r="B1178" t="str">
        <f>LEFT(Table1[[#This Row],[Input]],1)</f>
        <v>L</v>
      </c>
      <c r="C1178">
        <f>_xlfn.LET(_xlpm.steps,SUBSTITUTE(Table1[[#This Row],[Input]],Table1[[#This Row],[Direction]],""),VALUE(IF(LEN(_xlpm.steps)&gt;2,RIGHT(_xlpm.steps,2),_xlpm.steps)))</f>
        <v>59</v>
      </c>
      <c r="D1178">
        <f>_xlfn.LET(_xlpm.dir,Table1[[#This Row],[Direction]],
IF(_xlpm.dir="L",
    IF(F1177-Table1[[#This Row],[Steps]]&lt;0,100+(F1177-Table1[[#This Row],[Steps]]),F1177-Table1[[#This Row],[Steps]]),
))</f>
        <v>34</v>
      </c>
      <c r="E1178">
        <f>_xlfn.LET(_xlpm.dir,Table1[[#This Row],[Direction]],
IF(_xlpm.dir="R",
    IF(F1177+Table1[[#This Row],[Steps]]&gt;99,(F1177+Table1[[#This Row],[Steps]])-100,F1177+Table1[[#This Row],[Steps]]),
))</f>
        <v>0</v>
      </c>
      <c r="F1178">
        <f>IF(Table1[[#This Row],[New Pos L]]&lt;&gt;0,Table1[[#This Row],[New Pos L]],Table1[[#This Row],[New Pos R]])</f>
        <v>34</v>
      </c>
    </row>
    <row r="1179" spans="1:6" ht="16" x14ac:dyDescent="0.2">
      <c r="A1179" s="1" t="s">
        <v>61</v>
      </c>
      <c r="B1179" t="str">
        <f>LEFT(Table1[[#This Row],[Input]],1)</f>
        <v>L</v>
      </c>
      <c r="C1179">
        <f>_xlfn.LET(_xlpm.steps,SUBSTITUTE(Table1[[#This Row],[Input]],Table1[[#This Row],[Direction]],""),VALUE(IF(LEN(_xlpm.steps)&gt;2,RIGHT(_xlpm.steps,2),_xlpm.steps)))</f>
        <v>16</v>
      </c>
      <c r="D1179">
        <f>_xlfn.LET(_xlpm.dir,Table1[[#This Row],[Direction]],
IF(_xlpm.dir="L",
    IF(F1178-Table1[[#This Row],[Steps]]&lt;0,100+(F1178-Table1[[#This Row],[Steps]]),F1178-Table1[[#This Row],[Steps]]),
))</f>
        <v>18</v>
      </c>
      <c r="E1179">
        <f>_xlfn.LET(_xlpm.dir,Table1[[#This Row],[Direction]],
IF(_xlpm.dir="R",
    IF(F1178+Table1[[#This Row],[Steps]]&gt;99,(F1178+Table1[[#This Row],[Steps]])-100,F1178+Table1[[#This Row],[Steps]]),
))</f>
        <v>0</v>
      </c>
      <c r="F1179">
        <f>IF(Table1[[#This Row],[New Pos L]]&lt;&gt;0,Table1[[#This Row],[New Pos L]],Table1[[#This Row],[New Pos R]])</f>
        <v>18</v>
      </c>
    </row>
    <row r="1180" spans="1:6" ht="16" x14ac:dyDescent="0.2">
      <c r="A1180" s="1" t="s">
        <v>234</v>
      </c>
      <c r="B1180" t="str">
        <f>LEFT(Table1[[#This Row],[Input]],1)</f>
        <v>R</v>
      </c>
      <c r="C1180">
        <f>_xlfn.LET(_xlpm.steps,SUBSTITUTE(Table1[[#This Row],[Input]],Table1[[#This Row],[Direction]],""),VALUE(IF(LEN(_xlpm.steps)&gt;2,RIGHT(_xlpm.steps,2),_xlpm.steps)))</f>
        <v>82</v>
      </c>
      <c r="D1180">
        <f>_xlfn.LET(_xlpm.dir,Table1[[#This Row],[Direction]],
IF(_xlpm.dir="L",
    IF(F1179-Table1[[#This Row],[Steps]]&lt;0,100+(F1179-Table1[[#This Row],[Steps]]),F1179-Table1[[#This Row],[Steps]]),
))</f>
        <v>0</v>
      </c>
      <c r="E1180">
        <f>_xlfn.LET(_xlpm.dir,Table1[[#This Row],[Direction]],
IF(_xlpm.dir="R",
    IF(F1179+Table1[[#This Row],[Steps]]&gt;99,(F1179+Table1[[#This Row],[Steps]])-100,F1179+Table1[[#This Row],[Steps]]),
))</f>
        <v>0</v>
      </c>
      <c r="F1180">
        <f>IF(Table1[[#This Row],[New Pos L]]&lt;&gt;0,Table1[[#This Row],[New Pos L]],Table1[[#This Row],[New Pos R]])</f>
        <v>0</v>
      </c>
    </row>
    <row r="1181" spans="1:6" ht="16" x14ac:dyDescent="0.2">
      <c r="A1181" s="1" t="s">
        <v>217</v>
      </c>
      <c r="B1181" t="str">
        <f>LEFT(Table1[[#This Row],[Input]],1)</f>
        <v>R</v>
      </c>
      <c r="C1181">
        <f>_xlfn.LET(_xlpm.steps,SUBSTITUTE(Table1[[#This Row],[Input]],Table1[[#This Row],[Direction]],""),VALUE(IF(LEN(_xlpm.steps)&gt;2,RIGHT(_xlpm.steps,2),_xlpm.steps)))</f>
        <v>91</v>
      </c>
      <c r="D1181">
        <f>_xlfn.LET(_xlpm.dir,Table1[[#This Row],[Direction]],
IF(_xlpm.dir="L",
    IF(F1180-Table1[[#This Row],[Steps]]&lt;0,100+(F1180-Table1[[#This Row],[Steps]]),F1180-Table1[[#This Row],[Steps]]),
))</f>
        <v>0</v>
      </c>
      <c r="E1181">
        <f>_xlfn.LET(_xlpm.dir,Table1[[#This Row],[Direction]],
IF(_xlpm.dir="R",
    IF(F1180+Table1[[#This Row],[Steps]]&gt;99,(F1180+Table1[[#This Row],[Steps]])-100,F1180+Table1[[#This Row],[Steps]]),
))</f>
        <v>91</v>
      </c>
      <c r="F1181">
        <f>IF(Table1[[#This Row],[New Pos L]]&lt;&gt;0,Table1[[#This Row],[New Pos L]],Table1[[#This Row],[New Pos R]])</f>
        <v>91</v>
      </c>
    </row>
    <row r="1182" spans="1:6" ht="16" x14ac:dyDescent="0.2">
      <c r="A1182" s="1" t="s">
        <v>8</v>
      </c>
      <c r="B1182" t="str">
        <f>LEFT(Table1[[#This Row],[Input]],1)</f>
        <v>R</v>
      </c>
      <c r="C1182">
        <f>_xlfn.LET(_xlpm.steps,SUBSTITUTE(Table1[[#This Row],[Input]],Table1[[#This Row],[Direction]],""),VALUE(IF(LEN(_xlpm.steps)&gt;2,RIGHT(_xlpm.steps,2),_xlpm.steps)))</f>
        <v>18</v>
      </c>
      <c r="D1182">
        <f>_xlfn.LET(_xlpm.dir,Table1[[#This Row],[Direction]],
IF(_xlpm.dir="L",
    IF(F1181-Table1[[#This Row],[Steps]]&lt;0,100+(F1181-Table1[[#This Row],[Steps]]),F1181-Table1[[#This Row],[Steps]]),
))</f>
        <v>0</v>
      </c>
      <c r="E1182">
        <f>_xlfn.LET(_xlpm.dir,Table1[[#This Row],[Direction]],
IF(_xlpm.dir="R",
    IF(F1181+Table1[[#This Row],[Steps]]&gt;99,(F1181+Table1[[#This Row],[Steps]])-100,F1181+Table1[[#This Row],[Steps]]),
))</f>
        <v>9</v>
      </c>
      <c r="F1182">
        <f>IF(Table1[[#This Row],[New Pos L]]&lt;&gt;0,Table1[[#This Row],[New Pos L]],Table1[[#This Row],[New Pos R]])</f>
        <v>9</v>
      </c>
    </row>
    <row r="1183" spans="1:6" ht="16" x14ac:dyDescent="0.2">
      <c r="A1183" s="1" t="s">
        <v>91</v>
      </c>
      <c r="B1183" t="str">
        <f>LEFT(Table1[[#This Row],[Input]],1)</f>
        <v>L</v>
      </c>
      <c r="C1183">
        <f>_xlfn.LET(_xlpm.steps,SUBSTITUTE(Table1[[#This Row],[Input]],Table1[[#This Row],[Direction]],""),VALUE(IF(LEN(_xlpm.steps)&gt;2,RIGHT(_xlpm.steps,2),_xlpm.steps)))</f>
        <v>22</v>
      </c>
      <c r="D1183">
        <f>_xlfn.LET(_xlpm.dir,Table1[[#This Row],[Direction]],
IF(_xlpm.dir="L",
    IF(F1182-Table1[[#This Row],[Steps]]&lt;0,100+(F1182-Table1[[#This Row],[Steps]]),F1182-Table1[[#This Row],[Steps]]),
))</f>
        <v>87</v>
      </c>
      <c r="E1183">
        <f>_xlfn.LET(_xlpm.dir,Table1[[#This Row],[Direction]],
IF(_xlpm.dir="R",
    IF(F1182+Table1[[#This Row],[Steps]]&gt;99,(F1182+Table1[[#This Row],[Steps]])-100,F1182+Table1[[#This Row],[Steps]]),
))</f>
        <v>0</v>
      </c>
      <c r="F1183">
        <f>IF(Table1[[#This Row],[New Pos L]]&lt;&gt;0,Table1[[#This Row],[New Pos L]],Table1[[#This Row],[New Pos R]])</f>
        <v>87</v>
      </c>
    </row>
    <row r="1184" spans="1:6" ht="16" x14ac:dyDescent="0.2">
      <c r="A1184" s="1" t="s">
        <v>247</v>
      </c>
      <c r="B1184" t="str">
        <f>LEFT(Table1[[#This Row],[Input]],1)</f>
        <v>L</v>
      </c>
      <c r="C1184">
        <f>_xlfn.LET(_xlpm.steps,SUBSTITUTE(Table1[[#This Row],[Input]],Table1[[#This Row],[Direction]],""),VALUE(IF(LEN(_xlpm.steps)&gt;2,RIGHT(_xlpm.steps,2),_xlpm.steps)))</f>
        <v>54</v>
      </c>
      <c r="D1184">
        <f>_xlfn.LET(_xlpm.dir,Table1[[#This Row],[Direction]],
IF(_xlpm.dir="L",
    IF(F1183-Table1[[#This Row],[Steps]]&lt;0,100+(F1183-Table1[[#This Row],[Steps]]),F1183-Table1[[#This Row],[Steps]]),
))</f>
        <v>33</v>
      </c>
      <c r="E1184">
        <f>_xlfn.LET(_xlpm.dir,Table1[[#This Row],[Direction]],
IF(_xlpm.dir="R",
    IF(F1183+Table1[[#This Row],[Steps]]&gt;99,(F1183+Table1[[#This Row],[Steps]])-100,F1183+Table1[[#This Row],[Steps]]),
))</f>
        <v>0</v>
      </c>
      <c r="F1184">
        <f>IF(Table1[[#This Row],[New Pos L]]&lt;&gt;0,Table1[[#This Row],[New Pos L]],Table1[[#This Row],[New Pos R]])</f>
        <v>33</v>
      </c>
    </row>
    <row r="1185" spans="1:6" ht="16" x14ac:dyDescent="0.2">
      <c r="A1185" s="1" t="s">
        <v>36</v>
      </c>
      <c r="B1185" t="str">
        <f>LEFT(Table1[[#This Row],[Input]],1)</f>
        <v>R</v>
      </c>
      <c r="C1185">
        <f>_xlfn.LET(_xlpm.steps,SUBSTITUTE(Table1[[#This Row],[Input]],Table1[[#This Row],[Direction]],""),VALUE(IF(LEN(_xlpm.steps)&gt;2,RIGHT(_xlpm.steps,2),_xlpm.steps)))</f>
        <v>50</v>
      </c>
      <c r="D1185">
        <f>_xlfn.LET(_xlpm.dir,Table1[[#This Row],[Direction]],
IF(_xlpm.dir="L",
    IF(F1184-Table1[[#This Row],[Steps]]&lt;0,100+(F1184-Table1[[#This Row],[Steps]]),F1184-Table1[[#This Row],[Steps]]),
))</f>
        <v>0</v>
      </c>
      <c r="E1185">
        <f>_xlfn.LET(_xlpm.dir,Table1[[#This Row],[Direction]],
IF(_xlpm.dir="R",
    IF(F1184+Table1[[#This Row],[Steps]]&gt;99,(F1184+Table1[[#This Row],[Steps]])-100,F1184+Table1[[#This Row],[Steps]]),
))</f>
        <v>83</v>
      </c>
      <c r="F1185">
        <f>IF(Table1[[#This Row],[New Pos L]]&lt;&gt;0,Table1[[#This Row],[New Pos L]],Table1[[#This Row],[New Pos R]])</f>
        <v>83</v>
      </c>
    </row>
    <row r="1186" spans="1:6" ht="16" x14ac:dyDescent="0.2">
      <c r="A1186" s="1" t="s">
        <v>81</v>
      </c>
      <c r="B1186" t="str">
        <f>LEFT(Table1[[#This Row],[Input]],1)</f>
        <v>R</v>
      </c>
      <c r="C1186">
        <f>_xlfn.LET(_xlpm.steps,SUBSTITUTE(Table1[[#This Row],[Input]],Table1[[#This Row],[Direction]],""),VALUE(IF(LEN(_xlpm.steps)&gt;2,RIGHT(_xlpm.steps,2),_xlpm.steps)))</f>
        <v>17</v>
      </c>
      <c r="D1186">
        <f>_xlfn.LET(_xlpm.dir,Table1[[#This Row],[Direction]],
IF(_xlpm.dir="L",
    IF(F1185-Table1[[#This Row],[Steps]]&lt;0,100+(F1185-Table1[[#This Row],[Steps]]),F1185-Table1[[#This Row],[Steps]]),
))</f>
        <v>0</v>
      </c>
      <c r="E1186">
        <f>_xlfn.LET(_xlpm.dir,Table1[[#This Row],[Direction]],
IF(_xlpm.dir="R",
    IF(F1185+Table1[[#This Row],[Steps]]&gt;99,(F1185+Table1[[#This Row],[Steps]])-100,F1185+Table1[[#This Row],[Steps]]),
))</f>
        <v>0</v>
      </c>
      <c r="F1186">
        <f>IF(Table1[[#This Row],[New Pos L]]&lt;&gt;0,Table1[[#This Row],[New Pos L]],Table1[[#This Row],[New Pos R]])</f>
        <v>0</v>
      </c>
    </row>
    <row r="1187" spans="1:6" ht="16" x14ac:dyDescent="0.2">
      <c r="A1187" s="1" t="s">
        <v>353</v>
      </c>
      <c r="B1187" t="str">
        <f>LEFT(Table1[[#This Row],[Input]],1)</f>
        <v>R</v>
      </c>
      <c r="C1187">
        <f>_xlfn.LET(_xlpm.steps,SUBSTITUTE(Table1[[#This Row],[Input]],Table1[[#This Row],[Direction]],""),VALUE(IF(LEN(_xlpm.steps)&gt;2,RIGHT(_xlpm.steps,2),_xlpm.steps)))</f>
        <v>7</v>
      </c>
      <c r="D1187">
        <f>_xlfn.LET(_xlpm.dir,Table1[[#This Row],[Direction]],
IF(_xlpm.dir="L",
    IF(F1186-Table1[[#This Row],[Steps]]&lt;0,100+(F1186-Table1[[#This Row],[Steps]]),F1186-Table1[[#This Row],[Steps]]),
))</f>
        <v>0</v>
      </c>
      <c r="E1187">
        <f>_xlfn.LET(_xlpm.dir,Table1[[#This Row],[Direction]],
IF(_xlpm.dir="R",
    IF(F1186+Table1[[#This Row],[Steps]]&gt;99,(F1186+Table1[[#This Row],[Steps]])-100,F1186+Table1[[#This Row],[Steps]]),
))</f>
        <v>7</v>
      </c>
      <c r="F1187">
        <f>IF(Table1[[#This Row],[New Pos L]]&lt;&gt;0,Table1[[#This Row],[New Pos L]],Table1[[#This Row],[New Pos R]])</f>
        <v>7</v>
      </c>
    </row>
    <row r="1188" spans="1:6" ht="16" x14ac:dyDescent="0.2">
      <c r="A1188" s="1" t="s">
        <v>2</v>
      </c>
      <c r="B1188" t="str">
        <f>LEFT(Table1[[#This Row],[Input]],1)</f>
        <v>L</v>
      </c>
      <c r="C1188">
        <f>_xlfn.LET(_xlpm.steps,SUBSTITUTE(Table1[[#This Row],[Input]],Table1[[#This Row],[Direction]],""),VALUE(IF(LEN(_xlpm.steps)&gt;2,RIGHT(_xlpm.steps,2),_xlpm.steps)))</f>
        <v>38</v>
      </c>
      <c r="D1188">
        <f>_xlfn.LET(_xlpm.dir,Table1[[#This Row],[Direction]],
IF(_xlpm.dir="L",
    IF(F1187-Table1[[#This Row],[Steps]]&lt;0,100+(F1187-Table1[[#This Row],[Steps]]),F1187-Table1[[#This Row],[Steps]]),
))</f>
        <v>69</v>
      </c>
      <c r="E1188">
        <f>_xlfn.LET(_xlpm.dir,Table1[[#This Row],[Direction]],
IF(_xlpm.dir="R",
    IF(F1187+Table1[[#This Row],[Steps]]&gt;99,(F1187+Table1[[#This Row],[Steps]])-100,F1187+Table1[[#This Row],[Steps]]),
))</f>
        <v>0</v>
      </c>
      <c r="F1188">
        <f>IF(Table1[[#This Row],[New Pos L]]&lt;&gt;0,Table1[[#This Row],[New Pos L]],Table1[[#This Row],[New Pos R]])</f>
        <v>69</v>
      </c>
    </row>
    <row r="1189" spans="1:6" ht="16" x14ac:dyDescent="0.2">
      <c r="A1189" s="1" t="s">
        <v>382</v>
      </c>
      <c r="B1189" t="str">
        <f>LEFT(Table1[[#This Row],[Input]],1)</f>
        <v>L</v>
      </c>
      <c r="C1189">
        <f>_xlfn.LET(_xlpm.steps,SUBSTITUTE(Table1[[#This Row],[Input]],Table1[[#This Row],[Direction]],""),VALUE(IF(LEN(_xlpm.steps)&gt;2,RIGHT(_xlpm.steps,2),_xlpm.steps)))</f>
        <v>76</v>
      </c>
      <c r="D1189">
        <f>_xlfn.LET(_xlpm.dir,Table1[[#This Row],[Direction]],
IF(_xlpm.dir="L",
    IF(F1188-Table1[[#This Row],[Steps]]&lt;0,100+(F1188-Table1[[#This Row],[Steps]]),F1188-Table1[[#This Row],[Steps]]),
))</f>
        <v>93</v>
      </c>
      <c r="E1189">
        <f>_xlfn.LET(_xlpm.dir,Table1[[#This Row],[Direction]],
IF(_xlpm.dir="R",
    IF(F1188+Table1[[#This Row],[Steps]]&gt;99,(F1188+Table1[[#This Row],[Steps]])-100,F1188+Table1[[#This Row],[Steps]]),
))</f>
        <v>0</v>
      </c>
      <c r="F1189">
        <f>IF(Table1[[#This Row],[New Pos L]]&lt;&gt;0,Table1[[#This Row],[New Pos L]],Table1[[#This Row],[New Pos R]])</f>
        <v>93</v>
      </c>
    </row>
    <row r="1190" spans="1:6" ht="16" x14ac:dyDescent="0.2">
      <c r="A1190" s="1" t="s">
        <v>98</v>
      </c>
      <c r="B1190" t="str">
        <f>LEFT(Table1[[#This Row],[Input]],1)</f>
        <v>L</v>
      </c>
      <c r="C1190">
        <f>_xlfn.LET(_xlpm.steps,SUBSTITUTE(Table1[[#This Row],[Input]],Table1[[#This Row],[Direction]],""),VALUE(IF(LEN(_xlpm.steps)&gt;2,RIGHT(_xlpm.steps,2),_xlpm.steps)))</f>
        <v>65</v>
      </c>
      <c r="D1190">
        <f>_xlfn.LET(_xlpm.dir,Table1[[#This Row],[Direction]],
IF(_xlpm.dir="L",
    IF(F1189-Table1[[#This Row],[Steps]]&lt;0,100+(F1189-Table1[[#This Row],[Steps]]),F1189-Table1[[#This Row],[Steps]]),
))</f>
        <v>28</v>
      </c>
      <c r="E1190">
        <f>_xlfn.LET(_xlpm.dir,Table1[[#This Row],[Direction]],
IF(_xlpm.dir="R",
    IF(F1189+Table1[[#This Row],[Steps]]&gt;99,(F1189+Table1[[#This Row],[Steps]])-100,F1189+Table1[[#This Row],[Steps]]),
))</f>
        <v>0</v>
      </c>
      <c r="F1190">
        <f>IF(Table1[[#This Row],[New Pos L]]&lt;&gt;0,Table1[[#This Row],[New Pos L]],Table1[[#This Row],[New Pos R]])</f>
        <v>28</v>
      </c>
    </row>
    <row r="1191" spans="1:6" ht="16" x14ac:dyDescent="0.2">
      <c r="A1191" s="1" t="s">
        <v>391</v>
      </c>
      <c r="B1191" t="str">
        <f>LEFT(Table1[[#This Row],[Input]],1)</f>
        <v>R</v>
      </c>
      <c r="C1191">
        <f>_xlfn.LET(_xlpm.steps,SUBSTITUTE(Table1[[#This Row],[Input]],Table1[[#This Row],[Direction]],""),VALUE(IF(LEN(_xlpm.steps)&gt;2,RIGHT(_xlpm.steps,2),_xlpm.steps)))</f>
        <v>72</v>
      </c>
      <c r="D1191">
        <f>_xlfn.LET(_xlpm.dir,Table1[[#This Row],[Direction]],
IF(_xlpm.dir="L",
    IF(F1190-Table1[[#This Row],[Steps]]&lt;0,100+(F1190-Table1[[#This Row],[Steps]]),F1190-Table1[[#This Row],[Steps]]),
))</f>
        <v>0</v>
      </c>
      <c r="E1191">
        <f>_xlfn.LET(_xlpm.dir,Table1[[#This Row],[Direction]],
IF(_xlpm.dir="R",
    IF(F1190+Table1[[#This Row],[Steps]]&gt;99,(F1190+Table1[[#This Row],[Steps]])-100,F1190+Table1[[#This Row],[Steps]]),
))</f>
        <v>0</v>
      </c>
      <c r="F1191">
        <f>IF(Table1[[#This Row],[New Pos L]]&lt;&gt;0,Table1[[#This Row],[New Pos L]],Table1[[#This Row],[New Pos R]])</f>
        <v>0</v>
      </c>
    </row>
    <row r="1192" spans="1:6" ht="16" x14ac:dyDescent="0.2">
      <c r="A1192" s="1" t="s">
        <v>50</v>
      </c>
      <c r="B1192" t="str">
        <f>LEFT(Table1[[#This Row],[Input]],1)</f>
        <v>R</v>
      </c>
      <c r="C1192">
        <f>_xlfn.LET(_xlpm.steps,SUBSTITUTE(Table1[[#This Row],[Input]],Table1[[#This Row],[Direction]],""),VALUE(IF(LEN(_xlpm.steps)&gt;2,RIGHT(_xlpm.steps,2),_xlpm.steps)))</f>
        <v>78</v>
      </c>
      <c r="D1192">
        <f>_xlfn.LET(_xlpm.dir,Table1[[#This Row],[Direction]],
IF(_xlpm.dir="L",
    IF(F1191-Table1[[#This Row],[Steps]]&lt;0,100+(F1191-Table1[[#This Row],[Steps]]),F1191-Table1[[#This Row],[Steps]]),
))</f>
        <v>0</v>
      </c>
      <c r="E1192">
        <f>_xlfn.LET(_xlpm.dir,Table1[[#This Row],[Direction]],
IF(_xlpm.dir="R",
    IF(F1191+Table1[[#This Row],[Steps]]&gt;99,(F1191+Table1[[#This Row],[Steps]])-100,F1191+Table1[[#This Row],[Steps]]),
))</f>
        <v>78</v>
      </c>
      <c r="F1192">
        <f>IF(Table1[[#This Row],[New Pos L]]&lt;&gt;0,Table1[[#This Row],[New Pos L]],Table1[[#This Row],[New Pos R]])</f>
        <v>78</v>
      </c>
    </row>
    <row r="1193" spans="1:6" ht="16" x14ac:dyDescent="0.2">
      <c r="A1193" s="1" t="s">
        <v>34</v>
      </c>
      <c r="B1193" t="str">
        <f>LEFT(Table1[[#This Row],[Input]],1)</f>
        <v>L</v>
      </c>
      <c r="C1193">
        <f>_xlfn.LET(_xlpm.steps,SUBSTITUTE(Table1[[#This Row],[Input]],Table1[[#This Row],[Direction]],""),VALUE(IF(LEN(_xlpm.steps)&gt;2,RIGHT(_xlpm.steps,2),_xlpm.steps)))</f>
        <v>15</v>
      </c>
      <c r="D1193">
        <f>_xlfn.LET(_xlpm.dir,Table1[[#This Row],[Direction]],
IF(_xlpm.dir="L",
    IF(F1192-Table1[[#This Row],[Steps]]&lt;0,100+(F1192-Table1[[#This Row],[Steps]]),F1192-Table1[[#This Row],[Steps]]),
))</f>
        <v>63</v>
      </c>
      <c r="E1193">
        <f>_xlfn.LET(_xlpm.dir,Table1[[#This Row],[Direction]],
IF(_xlpm.dir="R",
    IF(F1192+Table1[[#This Row],[Steps]]&gt;99,(F1192+Table1[[#This Row],[Steps]])-100,F1192+Table1[[#This Row],[Steps]]),
))</f>
        <v>0</v>
      </c>
      <c r="F1193">
        <f>IF(Table1[[#This Row],[New Pos L]]&lt;&gt;0,Table1[[#This Row],[New Pos L]],Table1[[#This Row],[New Pos R]])</f>
        <v>63</v>
      </c>
    </row>
    <row r="1194" spans="1:6" ht="16" x14ac:dyDescent="0.2">
      <c r="A1194" s="1" t="s">
        <v>33</v>
      </c>
      <c r="B1194" t="str">
        <f>LEFT(Table1[[#This Row],[Input]],1)</f>
        <v>R</v>
      </c>
      <c r="C1194">
        <f>_xlfn.LET(_xlpm.steps,SUBSTITUTE(Table1[[#This Row],[Input]],Table1[[#This Row],[Direction]],""),VALUE(IF(LEN(_xlpm.steps)&gt;2,RIGHT(_xlpm.steps,2),_xlpm.steps)))</f>
        <v>22</v>
      </c>
      <c r="D1194">
        <f>_xlfn.LET(_xlpm.dir,Table1[[#This Row],[Direction]],
IF(_xlpm.dir="L",
    IF(F1193-Table1[[#This Row],[Steps]]&lt;0,100+(F1193-Table1[[#This Row],[Steps]]),F1193-Table1[[#This Row],[Steps]]),
))</f>
        <v>0</v>
      </c>
      <c r="E1194">
        <f>_xlfn.LET(_xlpm.dir,Table1[[#This Row],[Direction]],
IF(_xlpm.dir="R",
    IF(F1193+Table1[[#This Row],[Steps]]&gt;99,(F1193+Table1[[#This Row],[Steps]])-100,F1193+Table1[[#This Row],[Steps]]),
))</f>
        <v>85</v>
      </c>
      <c r="F1194">
        <f>IF(Table1[[#This Row],[New Pos L]]&lt;&gt;0,Table1[[#This Row],[New Pos L]],Table1[[#This Row],[New Pos R]])</f>
        <v>85</v>
      </c>
    </row>
    <row r="1195" spans="1:6" ht="16" x14ac:dyDescent="0.2">
      <c r="A1195" s="1" t="s">
        <v>194</v>
      </c>
      <c r="B1195" t="str">
        <f>LEFT(Table1[[#This Row],[Input]],1)</f>
        <v>R</v>
      </c>
      <c r="C1195">
        <f>_xlfn.LET(_xlpm.steps,SUBSTITUTE(Table1[[#This Row],[Input]],Table1[[#This Row],[Direction]],""),VALUE(IF(LEN(_xlpm.steps)&gt;2,RIGHT(_xlpm.steps,2),_xlpm.steps)))</f>
        <v>51</v>
      </c>
      <c r="D1195">
        <f>_xlfn.LET(_xlpm.dir,Table1[[#This Row],[Direction]],
IF(_xlpm.dir="L",
    IF(F1194-Table1[[#This Row],[Steps]]&lt;0,100+(F1194-Table1[[#This Row],[Steps]]),F1194-Table1[[#This Row],[Steps]]),
))</f>
        <v>0</v>
      </c>
      <c r="E1195">
        <f>_xlfn.LET(_xlpm.dir,Table1[[#This Row],[Direction]],
IF(_xlpm.dir="R",
    IF(F1194+Table1[[#This Row],[Steps]]&gt;99,(F1194+Table1[[#This Row],[Steps]])-100,F1194+Table1[[#This Row],[Steps]]),
))</f>
        <v>36</v>
      </c>
      <c r="F1195">
        <f>IF(Table1[[#This Row],[New Pos L]]&lt;&gt;0,Table1[[#This Row],[New Pos L]],Table1[[#This Row],[New Pos R]])</f>
        <v>36</v>
      </c>
    </row>
    <row r="1196" spans="1:6" ht="16" x14ac:dyDescent="0.2">
      <c r="A1196" s="1" t="s">
        <v>111</v>
      </c>
      <c r="B1196" t="str">
        <f>LEFT(Table1[[#This Row],[Input]],1)</f>
        <v>R</v>
      </c>
      <c r="C1196">
        <f>_xlfn.LET(_xlpm.steps,SUBSTITUTE(Table1[[#This Row],[Input]],Table1[[#This Row],[Direction]],""),VALUE(IF(LEN(_xlpm.steps)&gt;2,RIGHT(_xlpm.steps,2),_xlpm.steps)))</f>
        <v>64</v>
      </c>
      <c r="D1196">
        <f>_xlfn.LET(_xlpm.dir,Table1[[#This Row],[Direction]],
IF(_xlpm.dir="L",
    IF(F1195-Table1[[#This Row],[Steps]]&lt;0,100+(F1195-Table1[[#This Row],[Steps]]),F1195-Table1[[#This Row],[Steps]]),
))</f>
        <v>0</v>
      </c>
      <c r="E1196">
        <f>_xlfn.LET(_xlpm.dir,Table1[[#This Row],[Direction]],
IF(_xlpm.dir="R",
    IF(F1195+Table1[[#This Row],[Steps]]&gt;99,(F1195+Table1[[#This Row],[Steps]])-100,F1195+Table1[[#This Row],[Steps]]),
))</f>
        <v>0</v>
      </c>
      <c r="F1196">
        <f>IF(Table1[[#This Row],[New Pos L]]&lt;&gt;0,Table1[[#This Row],[New Pos L]],Table1[[#This Row],[New Pos R]])</f>
        <v>0</v>
      </c>
    </row>
    <row r="1197" spans="1:6" ht="16" x14ac:dyDescent="0.2">
      <c r="A1197" s="1" t="s">
        <v>135</v>
      </c>
      <c r="B1197" t="str">
        <f>LEFT(Table1[[#This Row],[Input]],1)</f>
        <v>R</v>
      </c>
      <c r="C1197">
        <f>_xlfn.LET(_xlpm.steps,SUBSTITUTE(Table1[[#This Row],[Input]],Table1[[#This Row],[Direction]],""),VALUE(IF(LEN(_xlpm.steps)&gt;2,RIGHT(_xlpm.steps,2),_xlpm.steps)))</f>
        <v>69</v>
      </c>
      <c r="D1197">
        <f>_xlfn.LET(_xlpm.dir,Table1[[#This Row],[Direction]],
IF(_xlpm.dir="L",
    IF(F1196-Table1[[#This Row],[Steps]]&lt;0,100+(F1196-Table1[[#This Row],[Steps]]),F1196-Table1[[#This Row],[Steps]]),
))</f>
        <v>0</v>
      </c>
      <c r="E1197">
        <f>_xlfn.LET(_xlpm.dir,Table1[[#This Row],[Direction]],
IF(_xlpm.dir="R",
    IF(F1196+Table1[[#This Row],[Steps]]&gt;99,(F1196+Table1[[#This Row],[Steps]])-100,F1196+Table1[[#This Row],[Steps]]),
))</f>
        <v>69</v>
      </c>
      <c r="F1197">
        <f>IF(Table1[[#This Row],[New Pos L]]&lt;&gt;0,Table1[[#This Row],[New Pos L]],Table1[[#This Row],[New Pos R]])</f>
        <v>69</v>
      </c>
    </row>
    <row r="1198" spans="1:6" ht="16" x14ac:dyDescent="0.2">
      <c r="A1198" s="1" t="s">
        <v>205</v>
      </c>
      <c r="B1198" t="str">
        <f>LEFT(Table1[[#This Row],[Input]],1)</f>
        <v>R</v>
      </c>
      <c r="C1198">
        <f>_xlfn.LET(_xlpm.steps,SUBSTITUTE(Table1[[#This Row],[Input]],Table1[[#This Row],[Direction]],""),VALUE(IF(LEN(_xlpm.steps)&gt;2,RIGHT(_xlpm.steps,2),_xlpm.steps)))</f>
        <v>83</v>
      </c>
      <c r="D1198">
        <f>_xlfn.LET(_xlpm.dir,Table1[[#This Row],[Direction]],
IF(_xlpm.dir="L",
    IF(F1197-Table1[[#This Row],[Steps]]&lt;0,100+(F1197-Table1[[#This Row],[Steps]]),F1197-Table1[[#This Row],[Steps]]),
))</f>
        <v>0</v>
      </c>
      <c r="E1198">
        <f>_xlfn.LET(_xlpm.dir,Table1[[#This Row],[Direction]],
IF(_xlpm.dir="R",
    IF(F1197+Table1[[#This Row],[Steps]]&gt;99,(F1197+Table1[[#This Row],[Steps]])-100,F1197+Table1[[#This Row],[Steps]]),
))</f>
        <v>52</v>
      </c>
      <c r="F1198">
        <f>IF(Table1[[#This Row],[New Pos L]]&lt;&gt;0,Table1[[#This Row],[New Pos L]],Table1[[#This Row],[New Pos R]])</f>
        <v>52</v>
      </c>
    </row>
    <row r="1199" spans="1:6" ht="16" x14ac:dyDescent="0.2">
      <c r="A1199" s="1" t="s">
        <v>392</v>
      </c>
      <c r="B1199" t="str">
        <f>LEFT(Table1[[#This Row],[Input]],1)</f>
        <v>L</v>
      </c>
      <c r="C1199">
        <f>_xlfn.LET(_xlpm.steps,SUBSTITUTE(Table1[[#This Row],[Input]],Table1[[#This Row],[Direction]],""),VALUE(IF(LEN(_xlpm.steps)&gt;2,RIGHT(_xlpm.steps,2),_xlpm.steps)))</f>
        <v>36</v>
      </c>
      <c r="D1199">
        <f>_xlfn.LET(_xlpm.dir,Table1[[#This Row],[Direction]],
IF(_xlpm.dir="L",
    IF(F1198-Table1[[#This Row],[Steps]]&lt;0,100+(F1198-Table1[[#This Row],[Steps]]),F1198-Table1[[#This Row],[Steps]]),
))</f>
        <v>16</v>
      </c>
      <c r="E1199">
        <f>_xlfn.LET(_xlpm.dir,Table1[[#This Row],[Direction]],
IF(_xlpm.dir="R",
    IF(F1198+Table1[[#This Row],[Steps]]&gt;99,(F1198+Table1[[#This Row],[Steps]])-100,F1198+Table1[[#This Row],[Steps]]),
))</f>
        <v>0</v>
      </c>
      <c r="F1199">
        <f>IF(Table1[[#This Row],[New Pos L]]&lt;&gt;0,Table1[[#This Row],[New Pos L]],Table1[[#This Row],[New Pos R]])</f>
        <v>16</v>
      </c>
    </row>
    <row r="1200" spans="1:6" ht="16" x14ac:dyDescent="0.2">
      <c r="A1200" s="1" t="s">
        <v>393</v>
      </c>
      <c r="B1200" t="str">
        <f>LEFT(Table1[[#This Row],[Input]],1)</f>
        <v>R</v>
      </c>
      <c r="C1200">
        <f>_xlfn.LET(_xlpm.steps,SUBSTITUTE(Table1[[#This Row],[Input]],Table1[[#This Row],[Direction]],""),VALUE(IF(LEN(_xlpm.steps)&gt;2,RIGHT(_xlpm.steps,2),_xlpm.steps)))</f>
        <v>84</v>
      </c>
      <c r="D1200">
        <f>_xlfn.LET(_xlpm.dir,Table1[[#This Row],[Direction]],
IF(_xlpm.dir="L",
    IF(F1199-Table1[[#This Row],[Steps]]&lt;0,100+(F1199-Table1[[#This Row],[Steps]]),F1199-Table1[[#This Row],[Steps]]),
))</f>
        <v>0</v>
      </c>
      <c r="E1200">
        <f>_xlfn.LET(_xlpm.dir,Table1[[#This Row],[Direction]],
IF(_xlpm.dir="R",
    IF(F1199+Table1[[#This Row],[Steps]]&gt;99,(F1199+Table1[[#This Row],[Steps]])-100,F1199+Table1[[#This Row],[Steps]]),
))</f>
        <v>0</v>
      </c>
      <c r="F1200">
        <f>IF(Table1[[#This Row],[New Pos L]]&lt;&gt;0,Table1[[#This Row],[New Pos L]],Table1[[#This Row],[New Pos R]])</f>
        <v>0</v>
      </c>
    </row>
    <row r="1201" spans="1:6" ht="16" x14ac:dyDescent="0.2">
      <c r="A1201" s="1" t="s">
        <v>16</v>
      </c>
      <c r="B1201" t="str">
        <f>LEFT(Table1[[#This Row],[Input]],1)</f>
        <v>L</v>
      </c>
      <c r="C1201">
        <f>_xlfn.LET(_xlpm.steps,SUBSTITUTE(Table1[[#This Row],[Input]],Table1[[#This Row],[Direction]],""),VALUE(IF(LEN(_xlpm.steps)&gt;2,RIGHT(_xlpm.steps,2),_xlpm.steps)))</f>
        <v>10</v>
      </c>
      <c r="D1201">
        <f>_xlfn.LET(_xlpm.dir,Table1[[#This Row],[Direction]],
IF(_xlpm.dir="L",
    IF(F1200-Table1[[#This Row],[Steps]]&lt;0,100+(F1200-Table1[[#This Row],[Steps]]),F1200-Table1[[#This Row],[Steps]]),
))</f>
        <v>90</v>
      </c>
      <c r="E1201">
        <f>_xlfn.LET(_xlpm.dir,Table1[[#This Row],[Direction]],
IF(_xlpm.dir="R",
    IF(F1200+Table1[[#This Row],[Steps]]&gt;99,(F1200+Table1[[#This Row],[Steps]])-100,F1200+Table1[[#This Row],[Steps]]),
))</f>
        <v>0</v>
      </c>
      <c r="F1201">
        <f>IF(Table1[[#This Row],[New Pos L]]&lt;&gt;0,Table1[[#This Row],[New Pos L]],Table1[[#This Row],[New Pos R]])</f>
        <v>90</v>
      </c>
    </row>
    <row r="1202" spans="1:6" ht="16" x14ac:dyDescent="0.2">
      <c r="A1202" s="1" t="s">
        <v>64</v>
      </c>
      <c r="B1202" t="str">
        <f>LEFT(Table1[[#This Row],[Input]],1)</f>
        <v>R</v>
      </c>
      <c r="C1202">
        <f>_xlfn.LET(_xlpm.steps,SUBSTITUTE(Table1[[#This Row],[Input]],Table1[[#This Row],[Direction]],""),VALUE(IF(LEN(_xlpm.steps)&gt;2,RIGHT(_xlpm.steps,2),_xlpm.steps)))</f>
        <v>10</v>
      </c>
      <c r="D1202">
        <f>_xlfn.LET(_xlpm.dir,Table1[[#This Row],[Direction]],
IF(_xlpm.dir="L",
    IF(F1201-Table1[[#This Row],[Steps]]&lt;0,100+(F1201-Table1[[#This Row],[Steps]]),F1201-Table1[[#This Row],[Steps]]),
))</f>
        <v>0</v>
      </c>
      <c r="E1202">
        <f>_xlfn.LET(_xlpm.dir,Table1[[#This Row],[Direction]],
IF(_xlpm.dir="R",
    IF(F1201+Table1[[#This Row],[Steps]]&gt;99,(F1201+Table1[[#This Row],[Steps]])-100,F1201+Table1[[#This Row],[Steps]]),
))</f>
        <v>0</v>
      </c>
      <c r="F1202">
        <f>IF(Table1[[#This Row],[New Pos L]]&lt;&gt;0,Table1[[#This Row],[New Pos L]],Table1[[#This Row],[New Pos R]])</f>
        <v>0</v>
      </c>
    </row>
    <row r="1203" spans="1:6" ht="16" x14ac:dyDescent="0.2">
      <c r="A1203" s="1" t="s">
        <v>115</v>
      </c>
      <c r="B1203" t="str">
        <f>LEFT(Table1[[#This Row],[Input]],1)</f>
        <v>L</v>
      </c>
      <c r="C1203">
        <f>_xlfn.LET(_xlpm.steps,SUBSTITUTE(Table1[[#This Row],[Input]],Table1[[#This Row],[Direction]],""),VALUE(IF(LEN(_xlpm.steps)&gt;2,RIGHT(_xlpm.steps,2),_xlpm.steps)))</f>
        <v>29</v>
      </c>
      <c r="D1203">
        <f>_xlfn.LET(_xlpm.dir,Table1[[#This Row],[Direction]],
IF(_xlpm.dir="L",
    IF(F1202-Table1[[#This Row],[Steps]]&lt;0,100+(F1202-Table1[[#This Row],[Steps]]),F1202-Table1[[#This Row],[Steps]]),
))</f>
        <v>71</v>
      </c>
      <c r="E1203">
        <f>_xlfn.LET(_xlpm.dir,Table1[[#This Row],[Direction]],
IF(_xlpm.dir="R",
    IF(F1202+Table1[[#This Row],[Steps]]&gt;99,(F1202+Table1[[#This Row],[Steps]])-100,F1202+Table1[[#This Row],[Steps]]),
))</f>
        <v>0</v>
      </c>
      <c r="F1203">
        <f>IF(Table1[[#This Row],[New Pos L]]&lt;&gt;0,Table1[[#This Row],[New Pos L]],Table1[[#This Row],[New Pos R]])</f>
        <v>71</v>
      </c>
    </row>
    <row r="1204" spans="1:6" ht="16" x14ac:dyDescent="0.2">
      <c r="A1204" s="1" t="s">
        <v>94</v>
      </c>
      <c r="B1204" t="str">
        <f>LEFT(Table1[[#This Row],[Input]],1)</f>
        <v>L</v>
      </c>
      <c r="C1204">
        <f>_xlfn.LET(_xlpm.steps,SUBSTITUTE(Table1[[#This Row],[Input]],Table1[[#This Row],[Direction]],""),VALUE(IF(LEN(_xlpm.steps)&gt;2,RIGHT(_xlpm.steps,2),_xlpm.steps)))</f>
        <v>71</v>
      </c>
      <c r="D1204">
        <f>_xlfn.LET(_xlpm.dir,Table1[[#This Row],[Direction]],
IF(_xlpm.dir="L",
    IF(F1203-Table1[[#This Row],[Steps]]&lt;0,100+(F1203-Table1[[#This Row],[Steps]]),F1203-Table1[[#This Row],[Steps]]),
))</f>
        <v>0</v>
      </c>
      <c r="E1204">
        <f>_xlfn.LET(_xlpm.dir,Table1[[#This Row],[Direction]],
IF(_xlpm.dir="R",
    IF(F1203+Table1[[#This Row],[Steps]]&gt;99,(F1203+Table1[[#This Row],[Steps]])-100,F1203+Table1[[#This Row],[Steps]]),
))</f>
        <v>0</v>
      </c>
      <c r="F1204">
        <f>IF(Table1[[#This Row],[New Pos L]]&lt;&gt;0,Table1[[#This Row],[New Pos L]],Table1[[#This Row],[New Pos R]])</f>
        <v>0</v>
      </c>
    </row>
    <row r="1205" spans="1:6" ht="16" x14ac:dyDescent="0.2">
      <c r="A1205" s="1" t="s">
        <v>370</v>
      </c>
      <c r="B1205" t="str">
        <f>LEFT(Table1[[#This Row],[Input]],1)</f>
        <v>L</v>
      </c>
      <c r="C1205">
        <f>_xlfn.LET(_xlpm.steps,SUBSTITUTE(Table1[[#This Row],[Input]],Table1[[#This Row],[Direction]],""),VALUE(IF(LEN(_xlpm.steps)&gt;2,RIGHT(_xlpm.steps,2),_xlpm.steps)))</f>
        <v>6</v>
      </c>
      <c r="D1205">
        <f>_xlfn.LET(_xlpm.dir,Table1[[#This Row],[Direction]],
IF(_xlpm.dir="L",
    IF(F1204-Table1[[#This Row],[Steps]]&lt;0,100+(F1204-Table1[[#This Row],[Steps]]),F1204-Table1[[#This Row],[Steps]]),
))</f>
        <v>94</v>
      </c>
      <c r="E1205">
        <f>_xlfn.LET(_xlpm.dir,Table1[[#This Row],[Direction]],
IF(_xlpm.dir="R",
    IF(F1204+Table1[[#This Row],[Steps]]&gt;99,(F1204+Table1[[#This Row],[Steps]])-100,F1204+Table1[[#This Row],[Steps]]),
))</f>
        <v>0</v>
      </c>
      <c r="F1205">
        <f>IF(Table1[[#This Row],[New Pos L]]&lt;&gt;0,Table1[[#This Row],[New Pos L]],Table1[[#This Row],[New Pos R]])</f>
        <v>94</v>
      </c>
    </row>
    <row r="1206" spans="1:6" ht="16" x14ac:dyDescent="0.2">
      <c r="A1206" s="1" t="s">
        <v>244</v>
      </c>
      <c r="B1206" t="str">
        <f>LEFT(Table1[[#This Row],[Input]],1)</f>
        <v>L</v>
      </c>
      <c r="C1206">
        <f>_xlfn.LET(_xlpm.steps,SUBSTITUTE(Table1[[#This Row],[Input]],Table1[[#This Row],[Direction]],""),VALUE(IF(LEN(_xlpm.steps)&gt;2,RIGHT(_xlpm.steps,2),_xlpm.steps)))</f>
        <v>98</v>
      </c>
      <c r="D1206">
        <f>_xlfn.LET(_xlpm.dir,Table1[[#This Row],[Direction]],
IF(_xlpm.dir="L",
    IF(F1205-Table1[[#This Row],[Steps]]&lt;0,100+(F1205-Table1[[#This Row],[Steps]]),F1205-Table1[[#This Row],[Steps]]),
))</f>
        <v>96</v>
      </c>
      <c r="E1206">
        <f>_xlfn.LET(_xlpm.dir,Table1[[#This Row],[Direction]],
IF(_xlpm.dir="R",
    IF(F1205+Table1[[#This Row],[Steps]]&gt;99,(F1205+Table1[[#This Row],[Steps]])-100,F1205+Table1[[#This Row],[Steps]]),
))</f>
        <v>0</v>
      </c>
      <c r="F1206">
        <f>IF(Table1[[#This Row],[New Pos L]]&lt;&gt;0,Table1[[#This Row],[New Pos L]],Table1[[#This Row],[New Pos R]])</f>
        <v>96</v>
      </c>
    </row>
    <row r="1207" spans="1:6" ht="16" x14ac:dyDescent="0.2">
      <c r="A1207" s="1" t="s">
        <v>146</v>
      </c>
      <c r="B1207" t="str">
        <f>LEFT(Table1[[#This Row],[Input]],1)</f>
        <v>R</v>
      </c>
      <c r="C1207">
        <f>_xlfn.LET(_xlpm.steps,SUBSTITUTE(Table1[[#This Row],[Input]],Table1[[#This Row],[Direction]],""),VALUE(IF(LEN(_xlpm.steps)&gt;2,RIGHT(_xlpm.steps,2),_xlpm.steps)))</f>
        <v>4</v>
      </c>
      <c r="D1207">
        <f>_xlfn.LET(_xlpm.dir,Table1[[#This Row],[Direction]],
IF(_xlpm.dir="L",
    IF(F1206-Table1[[#This Row],[Steps]]&lt;0,100+(F1206-Table1[[#This Row],[Steps]]),F1206-Table1[[#This Row],[Steps]]),
))</f>
        <v>0</v>
      </c>
      <c r="E1207">
        <f>_xlfn.LET(_xlpm.dir,Table1[[#This Row],[Direction]],
IF(_xlpm.dir="R",
    IF(F1206+Table1[[#This Row],[Steps]]&gt;99,(F1206+Table1[[#This Row],[Steps]])-100,F1206+Table1[[#This Row],[Steps]]),
))</f>
        <v>0</v>
      </c>
      <c r="F1207">
        <f>IF(Table1[[#This Row],[New Pos L]]&lt;&gt;0,Table1[[#This Row],[New Pos L]],Table1[[#This Row],[New Pos R]])</f>
        <v>0</v>
      </c>
    </row>
    <row r="1208" spans="1:6" ht="16" x14ac:dyDescent="0.2">
      <c r="A1208" s="1" t="s">
        <v>54</v>
      </c>
      <c r="B1208" t="str">
        <f>LEFT(Table1[[#This Row],[Input]],1)</f>
        <v>L</v>
      </c>
      <c r="C1208">
        <f>_xlfn.LET(_xlpm.steps,SUBSTITUTE(Table1[[#This Row],[Input]],Table1[[#This Row],[Direction]],""),VALUE(IF(LEN(_xlpm.steps)&gt;2,RIGHT(_xlpm.steps,2),_xlpm.steps)))</f>
        <v>75</v>
      </c>
      <c r="D1208">
        <f>_xlfn.LET(_xlpm.dir,Table1[[#This Row],[Direction]],
IF(_xlpm.dir="L",
    IF(F1207-Table1[[#This Row],[Steps]]&lt;0,100+(F1207-Table1[[#This Row],[Steps]]),F1207-Table1[[#This Row],[Steps]]),
))</f>
        <v>25</v>
      </c>
      <c r="E1208">
        <f>_xlfn.LET(_xlpm.dir,Table1[[#This Row],[Direction]],
IF(_xlpm.dir="R",
    IF(F1207+Table1[[#This Row],[Steps]]&gt;99,(F1207+Table1[[#This Row],[Steps]])-100,F1207+Table1[[#This Row],[Steps]]),
))</f>
        <v>0</v>
      </c>
      <c r="F1208">
        <f>IF(Table1[[#This Row],[New Pos L]]&lt;&gt;0,Table1[[#This Row],[New Pos L]],Table1[[#This Row],[New Pos R]])</f>
        <v>25</v>
      </c>
    </row>
    <row r="1209" spans="1:6" ht="16" x14ac:dyDescent="0.2">
      <c r="A1209" s="1" t="s">
        <v>122</v>
      </c>
      <c r="B1209" t="str">
        <f>LEFT(Table1[[#This Row],[Input]],1)</f>
        <v>R</v>
      </c>
      <c r="C1209">
        <f>_xlfn.LET(_xlpm.steps,SUBSTITUTE(Table1[[#This Row],[Input]],Table1[[#This Row],[Direction]],""),VALUE(IF(LEN(_xlpm.steps)&gt;2,RIGHT(_xlpm.steps,2),_xlpm.steps)))</f>
        <v>75</v>
      </c>
      <c r="D1209">
        <f>_xlfn.LET(_xlpm.dir,Table1[[#This Row],[Direction]],
IF(_xlpm.dir="L",
    IF(F1208-Table1[[#This Row],[Steps]]&lt;0,100+(F1208-Table1[[#This Row],[Steps]]),F1208-Table1[[#This Row],[Steps]]),
))</f>
        <v>0</v>
      </c>
      <c r="E1209">
        <f>_xlfn.LET(_xlpm.dir,Table1[[#This Row],[Direction]],
IF(_xlpm.dir="R",
    IF(F1208+Table1[[#This Row],[Steps]]&gt;99,(F1208+Table1[[#This Row],[Steps]])-100,F1208+Table1[[#This Row],[Steps]]),
))</f>
        <v>0</v>
      </c>
      <c r="F1209">
        <f>IF(Table1[[#This Row],[New Pos L]]&lt;&gt;0,Table1[[#This Row],[New Pos L]],Table1[[#This Row],[New Pos R]])</f>
        <v>0</v>
      </c>
    </row>
    <row r="1210" spans="1:6" ht="16" x14ac:dyDescent="0.2">
      <c r="A1210" s="1" t="s">
        <v>255</v>
      </c>
      <c r="B1210" t="str">
        <f>LEFT(Table1[[#This Row],[Input]],1)</f>
        <v>R</v>
      </c>
      <c r="C1210">
        <f>_xlfn.LET(_xlpm.steps,SUBSTITUTE(Table1[[#This Row],[Input]],Table1[[#This Row],[Direction]],""),VALUE(IF(LEN(_xlpm.steps)&gt;2,RIGHT(_xlpm.steps,2),_xlpm.steps)))</f>
        <v>16</v>
      </c>
      <c r="D1210">
        <f>_xlfn.LET(_xlpm.dir,Table1[[#This Row],[Direction]],
IF(_xlpm.dir="L",
    IF(F1209-Table1[[#This Row],[Steps]]&lt;0,100+(F1209-Table1[[#This Row],[Steps]]),F1209-Table1[[#This Row],[Steps]]),
))</f>
        <v>0</v>
      </c>
      <c r="E1210">
        <f>_xlfn.LET(_xlpm.dir,Table1[[#This Row],[Direction]],
IF(_xlpm.dir="R",
    IF(F1209+Table1[[#This Row],[Steps]]&gt;99,(F1209+Table1[[#This Row],[Steps]])-100,F1209+Table1[[#This Row],[Steps]]),
))</f>
        <v>16</v>
      </c>
      <c r="F1210">
        <f>IF(Table1[[#This Row],[New Pos L]]&lt;&gt;0,Table1[[#This Row],[New Pos L]],Table1[[#This Row],[New Pos R]])</f>
        <v>16</v>
      </c>
    </row>
    <row r="1211" spans="1:6" ht="16" x14ac:dyDescent="0.2">
      <c r="A1211" s="1" t="s">
        <v>108</v>
      </c>
      <c r="B1211" t="str">
        <f>LEFT(Table1[[#This Row],[Input]],1)</f>
        <v>R</v>
      </c>
      <c r="C1211">
        <f>_xlfn.LET(_xlpm.steps,SUBSTITUTE(Table1[[#This Row],[Input]],Table1[[#This Row],[Direction]],""),VALUE(IF(LEN(_xlpm.steps)&gt;2,RIGHT(_xlpm.steps,2),_xlpm.steps)))</f>
        <v>66</v>
      </c>
      <c r="D1211">
        <f>_xlfn.LET(_xlpm.dir,Table1[[#This Row],[Direction]],
IF(_xlpm.dir="L",
    IF(F1210-Table1[[#This Row],[Steps]]&lt;0,100+(F1210-Table1[[#This Row],[Steps]]),F1210-Table1[[#This Row],[Steps]]),
))</f>
        <v>0</v>
      </c>
      <c r="E1211">
        <f>_xlfn.LET(_xlpm.dir,Table1[[#This Row],[Direction]],
IF(_xlpm.dir="R",
    IF(F1210+Table1[[#This Row],[Steps]]&gt;99,(F1210+Table1[[#This Row],[Steps]])-100,F1210+Table1[[#This Row],[Steps]]),
))</f>
        <v>82</v>
      </c>
      <c r="F1211">
        <f>IF(Table1[[#This Row],[New Pos L]]&lt;&gt;0,Table1[[#This Row],[New Pos L]],Table1[[#This Row],[New Pos R]])</f>
        <v>82</v>
      </c>
    </row>
    <row r="1212" spans="1:6" ht="16" x14ac:dyDescent="0.2">
      <c r="A1212" s="1" t="s">
        <v>46</v>
      </c>
      <c r="B1212" t="str">
        <f>LEFT(Table1[[#This Row],[Input]],1)</f>
        <v>L</v>
      </c>
      <c r="C1212">
        <f>_xlfn.LET(_xlpm.steps,SUBSTITUTE(Table1[[#This Row],[Input]],Table1[[#This Row],[Direction]],""),VALUE(IF(LEN(_xlpm.steps)&gt;2,RIGHT(_xlpm.steps,2),_xlpm.steps)))</f>
        <v>97</v>
      </c>
      <c r="D1212">
        <f>_xlfn.LET(_xlpm.dir,Table1[[#This Row],[Direction]],
IF(_xlpm.dir="L",
    IF(F1211-Table1[[#This Row],[Steps]]&lt;0,100+(F1211-Table1[[#This Row],[Steps]]),F1211-Table1[[#This Row],[Steps]]),
))</f>
        <v>85</v>
      </c>
      <c r="E1212">
        <f>_xlfn.LET(_xlpm.dir,Table1[[#This Row],[Direction]],
IF(_xlpm.dir="R",
    IF(F1211+Table1[[#This Row],[Steps]]&gt;99,(F1211+Table1[[#This Row],[Steps]])-100,F1211+Table1[[#This Row],[Steps]]),
))</f>
        <v>0</v>
      </c>
      <c r="F1212">
        <f>IF(Table1[[#This Row],[New Pos L]]&lt;&gt;0,Table1[[#This Row],[New Pos L]],Table1[[#This Row],[New Pos R]])</f>
        <v>85</v>
      </c>
    </row>
    <row r="1213" spans="1:6" ht="16" x14ac:dyDescent="0.2">
      <c r="A1213" s="1" t="s">
        <v>87</v>
      </c>
      <c r="B1213" t="str">
        <f>LEFT(Table1[[#This Row],[Input]],1)</f>
        <v>L</v>
      </c>
      <c r="C1213">
        <f>_xlfn.LET(_xlpm.steps,SUBSTITUTE(Table1[[#This Row],[Input]],Table1[[#This Row],[Direction]],""),VALUE(IF(LEN(_xlpm.steps)&gt;2,RIGHT(_xlpm.steps,2),_xlpm.steps)))</f>
        <v>85</v>
      </c>
      <c r="D1213">
        <f>_xlfn.LET(_xlpm.dir,Table1[[#This Row],[Direction]],
IF(_xlpm.dir="L",
    IF(F1212-Table1[[#This Row],[Steps]]&lt;0,100+(F1212-Table1[[#This Row],[Steps]]),F1212-Table1[[#This Row],[Steps]]),
))</f>
        <v>0</v>
      </c>
      <c r="E1213">
        <f>_xlfn.LET(_xlpm.dir,Table1[[#This Row],[Direction]],
IF(_xlpm.dir="R",
    IF(F1212+Table1[[#This Row],[Steps]]&gt;99,(F1212+Table1[[#This Row],[Steps]])-100,F1212+Table1[[#This Row],[Steps]]),
))</f>
        <v>0</v>
      </c>
      <c r="F1213">
        <f>IF(Table1[[#This Row],[New Pos L]]&lt;&gt;0,Table1[[#This Row],[New Pos L]],Table1[[#This Row],[New Pos R]])</f>
        <v>0</v>
      </c>
    </row>
    <row r="1214" spans="1:6" ht="16" x14ac:dyDescent="0.2">
      <c r="A1214" s="1" t="s">
        <v>141</v>
      </c>
      <c r="B1214" t="str">
        <f>LEFT(Table1[[#This Row],[Input]],1)</f>
        <v>L</v>
      </c>
      <c r="C1214">
        <f>_xlfn.LET(_xlpm.steps,SUBSTITUTE(Table1[[#This Row],[Input]],Table1[[#This Row],[Direction]],""),VALUE(IF(LEN(_xlpm.steps)&gt;2,RIGHT(_xlpm.steps,2),_xlpm.steps)))</f>
        <v>90</v>
      </c>
      <c r="D1214">
        <f>_xlfn.LET(_xlpm.dir,Table1[[#This Row],[Direction]],
IF(_xlpm.dir="L",
    IF(F1213-Table1[[#This Row],[Steps]]&lt;0,100+(F1213-Table1[[#This Row],[Steps]]),F1213-Table1[[#This Row],[Steps]]),
))</f>
        <v>10</v>
      </c>
      <c r="E1214">
        <f>_xlfn.LET(_xlpm.dir,Table1[[#This Row],[Direction]],
IF(_xlpm.dir="R",
    IF(F1213+Table1[[#This Row],[Steps]]&gt;99,(F1213+Table1[[#This Row],[Steps]])-100,F1213+Table1[[#This Row],[Steps]]),
))</f>
        <v>0</v>
      </c>
      <c r="F1214">
        <f>IF(Table1[[#This Row],[New Pos L]]&lt;&gt;0,Table1[[#This Row],[New Pos L]],Table1[[#This Row],[New Pos R]])</f>
        <v>10</v>
      </c>
    </row>
    <row r="1215" spans="1:6" ht="16" x14ac:dyDescent="0.2">
      <c r="A1215" s="1" t="s">
        <v>81</v>
      </c>
      <c r="B1215" t="str">
        <f>LEFT(Table1[[#This Row],[Input]],1)</f>
        <v>R</v>
      </c>
      <c r="C1215">
        <f>_xlfn.LET(_xlpm.steps,SUBSTITUTE(Table1[[#This Row],[Input]],Table1[[#This Row],[Direction]],""),VALUE(IF(LEN(_xlpm.steps)&gt;2,RIGHT(_xlpm.steps,2),_xlpm.steps)))</f>
        <v>17</v>
      </c>
      <c r="D1215">
        <f>_xlfn.LET(_xlpm.dir,Table1[[#This Row],[Direction]],
IF(_xlpm.dir="L",
    IF(F1214-Table1[[#This Row],[Steps]]&lt;0,100+(F1214-Table1[[#This Row],[Steps]]),F1214-Table1[[#This Row],[Steps]]),
))</f>
        <v>0</v>
      </c>
      <c r="E1215">
        <f>_xlfn.LET(_xlpm.dir,Table1[[#This Row],[Direction]],
IF(_xlpm.dir="R",
    IF(F1214+Table1[[#This Row],[Steps]]&gt;99,(F1214+Table1[[#This Row],[Steps]])-100,F1214+Table1[[#This Row],[Steps]]),
))</f>
        <v>27</v>
      </c>
      <c r="F1215">
        <f>IF(Table1[[#This Row],[New Pos L]]&lt;&gt;0,Table1[[#This Row],[New Pos L]],Table1[[#This Row],[New Pos R]])</f>
        <v>27</v>
      </c>
    </row>
    <row r="1216" spans="1:6" ht="16" x14ac:dyDescent="0.2">
      <c r="A1216" s="1" t="s">
        <v>394</v>
      </c>
      <c r="B1216" t="str">
        <f>LEFT(Table1[[#This Row],[Input]],1)</f>
        <v>L</v>
      </c>
      <c r="C1216">
        <f>_xlfn.LET(_xlpm.steps,SUBSTITUTE(Table1[[#This Row],[Input]],Table1[[#This Row],[Direction]],""),VALUE(IF(LEN(_xlpm.steps)&gt;2,RIGHT(_xlpm.steps,2),_xlpm.steps)))</f>
        <v>27</v>
      </c>
      <c r="D1216">
        <f>_xlfn.LET(_xlpm.dir,Table1[[#This Row],[Direction]],
IF(_xlpm.dir="L",
    IF(F1215-Table1[[#This Row],[Steps]]&lt;0,100+(F1215-Table1[[#This Row],[Steps]]),F1215-Table1[[#This Row],[Steps]]),
))</f>
        <v>0</v>
      </c>
      <c r="E1216">
        <f>_xlfn.LET(_xlpm.dir,Table1[[#This Row],[Direction]],
IF(_xlpm.dir="R",
    IF(F1215+Table1[[#This Row],[Steps]]&gt;99,(F1215+Table1[[#This Row],[Steps]])-100,F1215+Table1[[#This Row],[Steps]]),
))</f>
        <v>0</v>
      </c>
      <c r="F1216">
        <f>IF(Table1[[#This Row],[New Pos L]]&lt;&gt;0,Table1[[#This Row],[New Pos L]],Table1[[#This Row],[New Pos R]])</f>
        <v>0</v>
      </c>
    </row>
    <row r="1217" spans="1:6" ht="16" x14ac:dyDescent="0.2">
      <c r="A1217" s="1" t="s">
        <v>179</v>
      </c>
      <c r="B1217" t="str">
        <f>LEFT(Table1[[#This Row],[Input]],1)</f>
        <v>L</v>
      </c>
      <c r="C1217">
        <f>_xlfn.LET(_xlpm.steps,SUBSTITUTE(Table1[[#This Row],[Input]],Table1[[#This Row],[Direction]],""),VALUE(IF(LEN(_xlpm.steps)&gt;2,RIGHT(_xlpm.steps,2),_xlpm.steps)))</f>
        <v>54</v>
      </c>
      <c r="D1217">
        <f>_xlfn.LET(_xlpm.dir,Table1[[#This Row],[Direction]],
IF(_xlpm.dir="L",
    IF(F1216-Table1[[#This Row],[Steps]]&lt;0,100+(F1216-Table1[[#This Row],[Steps]]),F1216-Table1[[#This Row],[Steps]]),
))</f>
        <v>46</v>
      </c>
      <c r="E1217">
        <f>_xlfn.LET(_xlpm.dir,Table1[[#This Row],[Direction]],
IF(_xlpm.dir="R",
    IF(F1216+Table1[[#This Row],[Steps]]&gt;99,(F1216+Table1[[#This Row],[Steps]])-100,F1216+Table1[[#This Row],[Steps]]),
))</f>
        <v>0</v>
      </c>
      <c r="F1217">
        <f>IF(Table1[[#This Row],[New Pos L]]&lt;&gt;0,Table1[[#This Row],[New Pos L]],Table1[[#This Row],[New Pos R]])</f>
        <v>46</v>
      </c>
    </row>
    <row r="1218" spans="1:6" ht="16" x14ac:dyDescent="0.2">
      <c r="A1218" s="1" t="s">
        <v>136</v>
      </c>
      <c r="B1218" t="str">
        <f>LEFT(Table1[[#This Row],[Input]],1)</f>
        <v>L</v>
      </c>
      <c r="C1218">
        <f>_xlfn.LET(_xlpm.steps,SUBSTITUTE(Table1[[#This Row],[Input]],Table1[[#This Row],[Direction]],""),VALUE(IF(LEN(_xlpm.steps)&gt;2,RIGHT(_xlpm.steps,2),_xlpm.steps)))</f>
        <v>72</v>
      </c>
      <c r="D1218">
        <f>_xlfn.LET(_xlpm.dir,Table1[[#This Row],[Direction]],
IF(_xlpm.dir="L",
    IF(F1217-Table1[[#This Row],[Steps]]&lt;0,100+(F1217-Table1[[#This Row],[Steps]]),F1217-Table1[[#This Row],[Steps]]),
))</f>
        <v>74</v>
      </c>
      <c r="E1218">
        <f>_xlfn.LET(_xlpm.dir,Table1[[#This Row],[Direction]],
IF(_xlpm.dir="R",
    IF(F1217+Table1[[#This Row],[Steps]]&gt;99,(F1217+Table1[[#This Row],[Steps]])-100,F1217+Table1[[#This Row],[Steps]]),
))</f>
        <v>0</v>
      </c>
      <c r="F1218">
        <f>IF(Table1[[#This Row],[New Pos L]]&lt;&gt;0,Table1[[#This Row],[New Pos L]],Table1[[#This Row],[New Pos R]])</f>
        <v>74</v>
      </c>
    </row>
    <row r="1219" spans="1:6" ht="16" x14ac:dyDescent="0.2">
      <c r="A1219" s="1" t="s">
        <v>151</v>
      </c>
      <c r="B1219" t="str">
        <f>LEFT(Table1[[#This Row],[Input]],1)</f>
        <v>L</v>
      </c>
      <c r="C1219">
        <f>_xlfn.LET(_xlpm.steps,SUBSTITUTE(Table1[[#This Row],[Input]],Table1[[#This Row],[Direction]],""),VALUE(IF(LEN(_xlpm.steps)&gt;2,RIGHT(_xlpm.steps,2),_xlpm.steps)))</f>
        <v>74</v>
      </c>
      <c r="D1219">
        <f>_xlfn.LET(_xlpm.dir,Table1[[#This Row],[Direction]],
IF(_xlpm.dir="L",
    IF(F1218-Table1[[#This Row],[Steps]]&lt;0,100+(F1218-Table1[[#This Row],[Steps]]),F1218-Table1[[#This Row],[Steps]]),
))</f>
        <v>0</v>
      </c>
      <c r="E1219">
        <f>_xlfn.LET(_xlpm.dir,Table1[[#This Row],[Direction]],
IF(_xlpm.dir="R",
    IF(F1218+Table1[[#This Row],[Steps]]&gt;99,(F1218+Table1[[#This Row],[Steps]])-100,F1218+Table1[[#This Row],[Steps]]),
))</f>
        <v>0</v>
      </c>
      <c r="F1219">
        <f>IF(Table1[[#This Row],[New Pos L]]&lt;&gt;0,Table1[[#This Row],[New Pos L]],Table1[[#This Row],[New Pos R]])</f>
        <v>0</v>
      </c>
    </row>
    <row r="1220" spans="1:6" ht="16" x14ac:dyDescent="0.2">
      <c r="A1220" s="1" t="s">
        <v>53</v>
      </c>
      <c r="B1220" t="str">
        <f>LEFT(Table1[[#This Row],[Input]],1)</f>
        <v>L</v>
      </c>
      <c r="C1220">
        <f>_xlfn.LET(_xlpm.steps,SUBSTITUTE(Table1[[#This Row],[Input]],Table1[[#This Row],[Direction]],""),VALUE(IF(LEN(_xlpm.steps)&gt;2,RIGHT(_xlpm.steps,2),_xlpm.steps)))</f>
        <v>56</v>
      </c>
      <c r="D1220">
        <f>_xlfn.LET(_xlpm.dir,Table1[[#This Row],[Direction]],
IF(_xlpm.dir="L",
    IF(F1219-Table1[[#This Row],[Steps]]&lt;0,100+(F1219-Table1[[#This Row],[Steps]]),F1219-Table1[[#This Row],[Steps]]),
))</f>
        <v>44</v>
      </c>
      <c r="E1220">
        <f>_xlfn.LET(_xlpm.dir,Table1[[#This Row],[Direction]],
IF(_xlpm.dir="R",
    IF(F1219+Table1[[#This Row],[Steps]]&gt;99,(F1219+Table1[[#This Row],[Steps]])-100,F1219+Table1[[#This Row],[Steps]]),
))</f>
        <v>0</v>
      </c>
      <c r="F1220">
        <f>IF(Table1[[#This Row],[New Pos L]]&lt;&gt;0,Table1[[#This Row],[New Pos L]],Table1[[#This Row],[New Pos R]])</f>
        <v>44</v>
      </c>
    </row>
    <row r="1221" spans="1:6" ht="16" x14ac:dyDescent="0.2">
      <c r="A1221" s="1" t="s">
        <v>0</v>
      </c>
      <c r="B1221" t="str">
        <f>LEFT(Table1[[#This Row],[Input]],1)</f>
        <v>L</v>
      </c>
      <c r="C1221">
        <f>_xlfn.LET(_xlpm.steps,SUBSTITUTE(Table1[[#This Row],[Input]],Table1[[#This Row],[Direction]],""),VALUE(IF(LEN(_xlpm.steps)&gt;2,RIGHT(_xlpm.steps,2),_xlpm.steps)))</f>
        <v>44</v>
      </c>
      <c r="D1221">
        <f>_xlfn.LET(_xlpm.dir,Table1[[#This Row],[Direction]],
IF(_xlpm.dir="L",
    IF(F1220-Table1[[#This Row],[Steps]]&lt;0,100+(F1220-Table1[[#This Row],[Steps]]),F1220-Table1[[#This Row],[Steps]]),
))</f>
        <v>0</v>
      </c>
      <c r="E1221">
        <f>_xlfn.LET(_xlpm.dir,Table1[[#This Row],[Direction]],
IF(_xlpm.dir="R",
    IF(F1220+Table1[[#This Row],[Steps]]&gt;99,(F1220+Table1[[#This Row],[Steps]])-100,F1220+Table1[[#This Row],[Steps]]),
))</f>
        <v>0</v>
      </c>
      <c r="F1221">
        <f>IF(Table1[[#This Row],[New Pos L]]&lt;&gt;0,Table1[[#This Row],[New Pos L]],Table1[[#This Row],[New Pos R]])</f>
        <v>0</v>
      </c>
    </row>
    <row r="1222" spans="1:6" ht="16" x14ac:dyDescent="0.2">
      <c r="A1222" s="1" t="s">
        <v>129</v>
      </c>
      <c r="B1222" t="str">
        <f>LEFT(Table1[[#This Row],[Input]],1)</f>
        <v>R</v>
      </c>
      <c r="C1222">
        <f>_xlfn.LET(_xlpm.steps,SUBSTITUTE(Table1[[#This Row],[Input]],Table1[[#This Row],[Direction]],""),VALUE(IF(LEN(_xlpm.steps)&gt;2,RIGHT(_xlpm.steps,2),_xlpm.steps)))</f>
        <v>8</v>
      </c>
      <c r="D1222">
        <f>_xlfn.LET(_xlpm.dir,Table1[[#This Row],[Direction]],
IF(_xlpm.dir="L",
    IF(F1221-Table1[[#This Row],[Steps]]&lt;0,100+(F1221-Table1[[#This Row],[Steps]]),F1221-Table1[[#This Row],[Steps]]),
))</f>
        <v>0</v>
      </c>
      <c r="E1222">
        <f>_xlfn.LET(_xlpm.dir,Table1[[#This Row],[Direction]],
IF(_xlpm.dir="R",
    IF(F1221+Table1[[#This Row],[Steps]]&gt;99,(F1221+Table1[[#This Row],[Steps]])-100,F1221+Table1[[#This Row],[Steps]]),
))</f>
        <v>8</v>
      </c>
      <c r="F1222">
        <f>IF(Table1[[#This Row],[New Pos L]]&lt;&gt;0,Table1[[#This Row],[New Pos L]],Table1[[#This Row],[New Pos R]])</f>
        <v>8</v>
      </c>
    </row>
    <row r="1223" spans="1:6" ht="16" x14ac:dyDescent="0.2">
      <c r="A1223" s="1" t="s">
        <v>128</v>
      </c>
      <c r="B1223" t="str">
        <f>LEFT(Table1[[#This Row],[Input]],1)</f>
        <v>R</v>
      </c>
      <c r="C1223">
        <f>_xlfn.LET(_xlpm.steps,SUBSTITUTE(Table1[[#This Row],[Input]],Table1[[#This Row],[Direction]],""),VALUE(IF(LEN(_xlpm.steps)&gt;2,RIGHT(_xlpm.steps,2),_xlpm.steps)))</f>
        <v>92</v>
      </c>
      <c r="D1223">
        <f>_xlfn.LET(_xlpm.dir,Table1[[#This Row],[Direction]],
IF(_xlpm.dir="L",
    IF(F1222-Table1[[#This Row],[Steps]]&lt;0,100+(F1222-Table1[[#This Row],[Steps]]),F1222-Table1[[#This Row],[Steps]]),
))</f>
        <v>0</v>
      </c>
      <c r="E1223">
        <f>_xlfn.LET(_xlpm.dir,Table1[[#This Row],[Direction]],
IF(_xlpm.dir="R",
    IF(F1222+Table1[[#This Row],[Steps]]&gt;99,(F1222+Table1[[#This Row],[Steps]])-100,F1222+Table1[[#This Row],[Steps]]),
))</f>
        <v>0</v>
      </c>
      <c r="F1223">
        <f>IF(Table1[[#This Row],[New Pos L]]&lt;&gt;0,Table1[[#This Row],[New Pos L]],Table1[[#This Row],[New Pos R]])</f>
        <v>0</v>
      </c>
    </row>
    <row r="1224" spans="1:6" ht="16" x14ac:dyDescent="0.2">
      <c r="A1224" s="1" t="s">
        <v>205</v>
      </c>
      <c r="B1224" t="str">
        <f>LEFT(Table1[[#This Row],[Input]],1)</f>
        <v>R</v>
      </c>
      <c r="C1224">
        <f>_xlfn.LET(_xlpm.steps,SUBSTITUTE(Table1[[#This Row],[Input]],Table1[[#This Row],[Direction]],""),VALUE(IF(LEN(_xlpm.steps)&gt;2,RIGHT(_xlpm.steps,2),_xlpm.steps)))</f>
        <v>83</v>
      </c>
      <c r="D1224">
        <f>_xlfn.LET(_xlpm.dir,Table1[[#This Row],[Direction]],
IF(_xlpm.dir="L",
    IF(F1223-Table1[[#This Row],[Steps]]&lt;0,100+(F1223-Table1[[#This Row],[Steps]]),F1223-Table1[[#This Row],[Steps]]),
))</f>
        <v>0</v>
      </c>
      <c r="E1224">
        <f>_xlfn.LET(_xlpm.dir,Table1[[#This Row],[Direction]],
IF(_xlpm.dir="R",
    IF(F1223+Table1[[#This Row],[Steps]]&gt;99,(F1223+Table1[[#This Row],[Steps]])-100,F1223+Table1[[#This Row],[Steps]]),
))</f>
        <v>83</v>
      </c>
      <c r="F1224">
        <f>IF(Table1[[#This Row],[New Pos L]]&lt;&gt;0,Table1[[#This Row],[New Pos L]],Table1[[#This Row],[New Pos R]])</f>
        <v>83</v>
      </c>
    </row>
    <row r="1225" spans="1:6" ht="16" x14ac:dyDescent="0.2">
      <c r="A1225" s="1" t="s">
        <v>19</v>
      </c>
      <c r="B1225" t="str">
        <f>LEFT(Table1[[#This Row],[Input]],1)</f>
        <v>R</v>
      </c>
      <c r="C1225">
        <f>_xlfn.LET(_xlpm.steps,SUBSTITUTE(Table1[[#This Row],[Input]],Table1[[#This Row],[Direction]],""),VALUE(IF(LEN(_xlpm.steps)&gt;2,RIGHT(_xlpm.steps,2),_xlpm.steps)))</f>
        <v>47</v>
      </c>
      <c r="D1225">
        <f>_xlfn.LET(_xlpm.dir,Table1[[#This Row],[Direction]],
IF(_xlpm.dir="L",
    IF(F1224-Table1[[#This Row],[Steps]]&lt;0,100+(F1224-Table1[[#This Row],[Steps]]),F1224-Table1[[#This Row],[Steps]]),
))</f>
        <v>0</v>
      </c>
      <c r="E1225">
        <f>_xlfn.LET(_xlpm.dir,Table1[[#This Row],[Direction]],
IF(_xlpm.dir="R",
    IF(F1224+Table1[[#This Row],[Steps]]&gt;99,(F1224+Table1[[#This Row],[Steps]])-100,F1224+Table1[[#This Row],[Steps]]),
))</f>
        <v>30</v>
      </c>
      <c r="F1225">
        <f>IF(Table1[[#This Row],[New Pos L]]&lt;&gt;0,Table1[[#This Row],[New Pos L]],Table1[[#This Row],[New Pos R]])</f>
        <v>30</v>
      </c>
    </row>
    <row r="1226" spans="1:6" ht="16" x14ac:dyDescent="0.2">
      <c r="A1226" s="1" t="s">
        <v>58</v>
      </c>
      <c r="B1226" t="str">
        <f>LEFT(Table1[[#This Row],[Input]],1)</f>
        <v>L</v>
      </c>
      <c r="C1226">
        <f>_xlfn.LET(_xlpm.steps,SUBSTITUTE(Table1[[#This Row],[Input]],Table1[[#This Row],[Direction]],""),VALUE(IF(LEN(_xlpm.steps)&gt;2,RIGHT(_xlpm.steps,2),_xlpm.steps)))</f>
        <v>30</v>
      </c>
      <c r="D1226">
        <f>_xlfn.LET(_xlpm.dir,Table1[[#This Row],[Direction]],
IF(_xlpm.dir="L",
    IF(F1225-Table1[[#This Row],[Steps]]&lt;0,100+(F1225-Table1[[#This Row],[Steps]]),F1225-Table1[[#This Row],[Steps]]),
))</f>
        <v>0</v>
      </c>
      <c r="E1226">
        <f>_xlfn.LET(_xlpm.dir,Table1[[#This Row],[Direction]],
IF(_xlpm.dir="R",
    IF(F1225+Table1[[#This Row],[Steps]]&gt;99,(F1225+Table1[[#This Row],[Steps]])-100,F1225+Table1[[#This Row],[Steps]]),
))</f>
        <v>0</v>
      </c>
      <c r="F1226">
        <f>IF(Table1[[#This Row],[New Pos L]]&lt;&gt;0,Table1[[#This Row],[New Pos L]],Table1[[#This Row],[New Pos R]])</f>
        <v>0</v>
      </c>
    </row>
    <row r="1227" spans="1:6" ht="16" x14ac:dyDescent="0.2">
      <c r="A1227" s="1" t="s">
        <v>58</v>
      </c>
      <c r="B1227" t="str">
        <f>LEFT(Table1[[#This Row],[Input]],1)</f>
        <v>L</v>
      </c>
      <c r="C1227">
        <f>_xlfn.LET(_xlpm.steps,SUBSTITUTE(Table1[[#This Row],[Input]],Table1[[#This Row],[Direction]],""),VALUE(IF(LEN(_xlpm.steps)&gt;2,RIGHT(_xlpm.steps,2),_xlpm.steps)))</f>
        <v>30</v>
      </c>
      <c r="D1227">
        <f>_xlfn.LET(_xlpm.dir,Table1[[#This Row],[Direction]],
IF(_xlpm.dir="L",
    IF(F1226-Table1[[#This Row],[Steps]]&lt;0,100+(F1226-Table1[[#This Row],[Steps]]),F1226-Table1[[#This Row],[Steps]]),
))</f>
        <v>70</v>
      </c>
      <c r="E1227">
        <f>_xlfn.LET(_xlpm.dir,Table1[[#This Row],[Direction]],
IF(_xlpm.dir="R",
    IF(F1226+Table1[[#This Row],[Steps]]&gt;99,(F1226+Table1[[#This Row],[Steps]])-100,F1226+Table1[[#This Row],[Steps]]),
))</f>
        <v>0</v>
      </c>
      <c r="F1227">
        <f>IF(Table1[[#This Row],[New Pos L]]&lt;&gt;0,Table1[[#This Row],[New Pos L]],Table1[[#This Row],[New Pos R]])</f>
        <v>70</v>
      </c>
    </row>
    <row r="1228" spans="1:6" ht="16" x14ac:dyDescent="0.2">
      <c r="A1228" s="1" t="s">
        <v>104</v>
      </c>
      <c r="B1228" t="str">
        <f>LEFT(Table1[[#This Row],[Input]],1)</f>
        <v>R</v>
      </c>
      <c r="C1228">
        <f>_xlfn.LET(_xlpm.steps,SUBSTITUTE(Table1[[#This Row],[Input]],Table1[[#This Row],[Direction]],""),VALUE(IF(LEN(_xlpm.steps)&gt;2,RIGHT(_xlpm.steps,2),_xlpm.steps)))</f>
        <v>59</v>
      </c>
      <c r="D1228">
        <f>_xlfn.LET(_xlpm.dir,Table1[[#This Row],[Direction]],
IF(_xlpm.dir="L",
    IF(F1227-Table1[[#This Row],[Steps]]&lt;0,100+(F1227-Table1[[#This Row],[Steps]]),F1227-Table1[[#This Row],[Steps]]),
))</f>
        <v>0</v>
      </c>
      <c r="E1228">
        <f>_xlfn.LET(_xlpm.dir,Table1[[#This Row],[Direction]],
IF(_xlpm.dir="R",
    IF(F1227+Table1[[#This Row],[Steps]]&gt;99,(F1227+Table1[[#This Row],[Steps]])-100,F1227+Table1[[#This Row],[Steps]]),
))</f>
        <v>29</v>
      </c>
      <c r="F1228">
        <f>IF(Table1[[#This Row],[New Pos L]]&lt;&gt;0,Table1[[#This Row],[New Pos L]],Table1[[#This Row],[New Pos R]])</f>
        <v>29</v>
      </c>
    </row>
    <row r="1229" spans="1:6" ht="16" x14ac:dyDescent="0.2">
      <c r="A1229" s="1" t="s">
        <v>153</v>
      </c>
      <c r="B1229" t="str">
        <f>LEFT(Table1[[#This Row],[Input]],1)</f>
        <v>L</v>
      </c>
      <c r="C1229">
        <f>_xlfn.LET(_xlpm.steps,SUBSTITUTE(Table1[[#This Row],[Input]],Table1[[#This Row],[Direction]],""),VALUE(IF(LEN(_xlpm.steps)&gt;2,RIGHT(_xlpm.steps,2),_xlpm.steps)))</f>
        <v>41</v>
      </c>
      <c r="D1229">
        <f>_xlfn.LET(_xlpm.dir,Table1[[#This Row],[Direction]],
IF(_xlpm.dir="L",
    IF(F1228-Table1[[#This Row],[Steps]]&lt;0,100+(F1228-Table1[[#This Row],[Steps]]),F1228-Table1[[#This Row],[Steps]]),
))</f>
        <v>88</v>
      </c>
      <c r="E1229">
        <f>_xlfn.LET(_xlpm.dir,Table1[[#This Row],[Direction]],
IF(_xlpm.dir="R",
    IF(F1228+Table1[[#This Row],[Steps]]&gt;99,(F1228+Table1[[#This Row],[Steps]])-100,F1228+Table1[[#This Row],[Steps]]),
))</f>
        <v>0</v>
      </c>
      <c r="F1229">
        <f>IF(Table1[[#This Row],[New Pos L]]&lt;&gt;0,Table1[[#This Row],[New Pos L]],Table1[[#This Row],[New Pos R]])</f>
        <v>88</v>
      </c>
    </row>
    <row r="1230" spans="1:6" ht="16" x14ac:dyDescent="0.2">
      <c r="A1230" s="1" t="s">
        <v>395</v>
      </c>
      <c r="B1230" t="str">
        <f>LEFT(Table1[[#This Row],[Input]],1)</f>
        <v>L</v>
      </c>
      <c r="C1230">
        <f>_xlfn.LET(_xlpm.steps,SUBSTITUTE(Table1[[#This Row],[Input]],Table1[[#This Row],[Direction]],""),VALUE(IF(LEN(_xlpm.steps)&gt;2,RIGHT(_xlpm.steps,2),_xlpm.steps)))</f>
        <v>23</v>
      </c>
      <c r="D1230">
        <f>_xlfn.LET(_xlpm.dir,Table1[[#This Row],[Direction]],
IF(_xlpm.dir="L",
    IF(F1229-Table1[[#This Row],[Steps]]&lt;0,100+(F1229-Table1[[#This Row],[Steps]]),F1229-Table1[[#This Row],[Steps]]),
))</f>
        <v>65</v>
      </c>
      <c r="E1230">
        <f>_xlfn.LET(_xlpm.dir,Table1[[#This Row],[Direction]],
IF(_xlpm.dir="R",
    IF(F1229+Table1[[#This Row],[Steps]]&gt;99,(F1229+Table1[[#This Row],[Steps]])-100,F1229+Table1[[#This Row],[Steps]]),
))</f>
        <v>0</v>
      </c>
      <c r="F1230">
        <f>IF(Table1[[#This Row],[New Pos L]]&lt;&gt;0,Table1[[#This Row],[New Pos L]],Table1[[#This Row],[New Pos R]])</f>
        <v>65</v>
      </c>
    </row>
    <row r="1231" spans="1:6" ht="16" x14ac:dyDescent="0.2">
      <c r="A1231" s="1" t="s">
        <v>396</v>
      </c>
      <c r="B1231" t="str">
        <f>LEFT(Table1[[#This Row],[Input]],1)</f>
        <v>R</v>
      </c>
      <c r="C1231">
        <f>_xlfn.LET(_xlpm.steps,SUBSTITUTE(Table1[[#This Row],[Input]],Table1[[#This Row],[Direction]],""),VALUE(IF(LEN(_xlpm.steps)&gt;2,RIGHT(_xlpm.steps,2),_xlpm.steps)))</f>
        <v>84</v>
      </c>
      <c r="D1231">
        <f>_xlfn.LET(_xlpm.dir,Table1[[#This Row],[Direction]],
IF(_xlpm.dir="L",
    IF(F1230-Table1[[#This Row],[Steps]]&lt;0,100+(F1230-Table1[[#This Row],[Steps]]),F1230-Table1[[#This Row],[Steps]]),
))</f>
        <v>0</v>
      </c>
      <c r="E1231">
        <f>_xlfn.LET(_xlpm.dir,Table1[[#This Row],[Direction]],
IF(_xlpm.dir="R",
    IF(F1230+Table1[[#This Row],[Steps]]&gt;99,(F1230+Table1[[#This Row],[Steps]])-100,F1230+Table1[[#This Row],[Steps]]),
))</f>
        <v>49</v>
      </c>
      <c r="F1231">
        <f>IF(Table1[[#This Row],[New Pos L]]&lt;&gt;0,Table1[[#This Row],[New Pos L]],Table1[[#This Row],[New Pos R]])</f>
        <v>49</v>
      </c>
    </row>
    <row r="1232" spans="1:6" ht="16" x14ac:dyDescent="0.2">
      <c r="A1232" s="1" t="s">
        <v>75</v>
      </c>
      <c r="B1232" t="str">
        <f>LEFT(Table1[[#This Row],[Input]],1)</f>
        <v>R</v>
      </c>
      <c r="C1232">
        <f>_xlfn.LET(_xlpm.steps,SUBSTITUTE(Table1[[#This Row],[Input]],Table1[[#This Row],[Direction]],""),VALUE(IF(LEN(_xlpm.steps)&gt;2,RIGHT(_xlpm.steps,2),_xlpm.steps)))</f>
        <v>2</v>
      </c>
      <c r="D1232">
        <f>_xlfn.LET(_xlpm.dir,Table1[[#This Row],[Direction]],
IF(_xlpm.dir="L",
    IF(F1231-Table1[[#This Row],[Steps]]&lt;0,100+(F1231-Table1[[#This Row],[Steps]]),F1231-Table1[[#This Row],[Steps]]),
))</f>
        <v>0</v>
      </c>
      <c r="E1232">
        <f>_xlfn.LET(_xlpm.dir,Table1[[#This Row],[Direction]],
IF(_xlpm.dir="R",
    IF(F1231+Table1[[#This Row],[Steps]]&gt;99,(F1231+Table1[[#This Row],[Steps]])-100,F1231+Table1[[#This Row],[Steps]]),
))</f>
        <v>51</v>
      </c>
      <c r="F1232">
        <f>IF(Table1[[#This Row],[New Pos L]]&lt;&gt;0,Table1[[#This Row],[New Pos L]],Table1[[#This Row],[New Pos R]])</f>
        <v>51</v>
      </c>
    </row>
    <row r="1233" spans="1:6" ht="16" x14ac:dyDescent="0.2">
      <c r="A1233" s="1" t="s">
        <v>314</v>
      </c>
      <c r="B1233" t="str">
        <f>LEFT(Table1[[#This Row],[Input]],1)</f>
        <v>L</v>
      </c>
      <c r="C1233">
        <f>_xlfn.LET(_xlpm.steps,SUBSTITUTE(Table1[[#This Row],[Input]],Table1[[#This Row],[Direction]],""),VALUE(IF(LEN(_xlpm.steps)&gt;2,RIGHT(_xlpm.steps,2),_xlpm.steps)))</f>
        <v>94</v>
      </c>
      <c r="D1233">
        <f>_xlfn.LET(_xlpm.dir,Table1[[#This Row],[Direction]],
IF(_xlpm.dir="L",
    IF(F1232-Table1[[#This Row],[Steps]]&lt;0,100+(F1232-Table1[[#This Row],[Steps]]),F1232-Table1[[#This Row],[Steps]]),
))</f>
        <v>57</v>
      </c>
      <c r="E1233">
        <f>_xlfn.LET(_xlpm.dir,Table1[[#This Row],[Direction]],
IF(_xlpm.dir="R",
    IF(F1232+Table1[[#This Row],[Steps]]&gt;99,(F1232+Table1[[#This Row],[Steps]])-100,F1232+Table1[[#This Row],[Steps]]),
))</f>
        <v>0</v>
      </c>
      <c r="F1233">
        <f>IF(Table1[[#This Row],[New Pos L]]&lt;&gt;0,Table1[[#This Row],[New Pos L]],Table1[[#This Row],[New Pos R]])</f>
        <v>57</v>
      </c>
    </row>
    <row r="1234" spans="1:6" ht="16" x14ac:dyDescent="0.2">
      <c r="A1234" s="1" t="s">
        <v>135</v>
      </c>
      <c r="B1234" t="str">
        <f>LEFT(Table1[[#This Row],[Input]],1)</f>
        <v>R</v>
      </c>
      <c r="C1234">
        <f>_xlfn.LET(_xlpm.steps,SUBSTITUTE(Table1[[#This Row],[Input]],Table1[[#This Row],[Direction]],""),VALUE(IF(LEN(_xlpm.steps)&gt;2,RIGHT(_xlpm.steps,2),_xlpm.steps)))</f>
        <v>69</v>
      </c>
      <c r="D1234">
        <f>_xlfn.LET(_xlpm.dir,Table1[[#This Row],[Direction]],
IF(_xlpm.dir="L",
    IF(F1233-Table1[[#This Row],[Steps]]&lt;0,100+(F1233-Table1[[#This Row],[Steps]]),F1233-Table1[[#This Row],[Steps]]),
))</f>
        <v>0</v>
      </c>
      <c r="E1234">
        <f>_xlfn.LET(_xlpm.dir,Table1[[#This Row],[Direction]],
IF(_xlpm.dir="R",
    IF(F1233+Table1[[#This Row],[Steps]]&gt;99,(F1233+Table1[[#This Row],[Steps]])-100,F1233+Table1[[#This Row],[Steps]]),
))</f>
        <v>26</v>
      </c>
      <c r="F1234">
        <f>IF(Table1[[#This Row],[New Pos L]]&lt;&gt;0,Table1[[#This Row],[New Pos L]],Table1[[#This Row],[New Pos R]])</f>
        <v>26</v>
      </c>
    </row>
    <row r="1235" spans="1:6" ht="16" x14ac:dyDescent="0.2">
      <c r="A1235" s="1" t="s">
        <v>77</v>
      </c>
      <c r="B1235" t="str">
        <f>LEFT(Table1[[#This Row],[Input]],1)</f>
        <v>R</v>
      </c>
      <c r="C1235">
        <f>_xlfn.LET(_xlpm.steps,SUBSTITUTE(Table1[[#This Row],[Input]],Table1[[#This Row],[Direction]],""),VALUE(IF(LEN(_xlpm.steps)&gt;2,RIGHT(_xlpm.steps,2),_xlpm.steps)))</f>
        <v>74</v>
      </c>
      <c r="D1235">
        <f>_xlfn.LET(_xlpm.dir,Table1[[#This Row],[Direction]],
IF(_xlpm.dir="L",
    IF(F1234-Table1[[#This Row],[Steps]]&lt;0,100+(F1234-Table1[[#This Row],[Steps]]),F1234-Table1[[#This Row],[Steps]]),
))</f>
        <v>0</v>
      </c>
      <c r="E1235">
        <f>_xlfn.LET(_xlpm.dir,Table1[[#This Row],[Direction]],
IF(_xlpm.dir="R",
    IF(F1234+Table1[[#This Row],[Steps]]&gt;99,(F1234+Table1[[#This Row],[Steps]])-100,F1234+Table1[[#This Row],[Steps]]),
))</f>
        <v>0</v>
      </c>
      <c r="F1235">
        <f>IF(Table1[[#This Row],[New Pos L]]&lt;&gt;0,Table1[[#This Row],[New Pos L]],Table1[[#This Row],[New Pos R]])</f>
        <v>0</v>
      </c>
    </row>
    <row r="1236" spans="1:6" ht="16" x14ac:dyDescent="0.2">
      <c r="A1236" s="1" t="s">
        <v>379</v>
      </c>
      <c r="B1236" t="str">
        <f>LEFT(Table1[[#This Row],[Input]],1)</f>
        <v>L</v>
      </c>
      <c r="C1236">
        <f>_xlfn.LET(_xlpm.steps,SUBSTITUTE(Table1[[#This Row],[Input]],Table1[[#This Row],[Direction]],""),VALUE(IF(LEN(_xlpm.steps)&gt;2,RIGHT(_xlpm.steps,2),_xlpm.steps)))</f>
        <v>4</v>
      </c>
      <c r="D1236">
        <f>_xlfn.LET(_xlpm.dir,Table1[[#This Row],[Direction]],
IF(_xlpm.dir="L",
    IF(F1235-Table1[[#This Row],[Steps]]&lt;0,100+(F1235-Table1[[#This Row],[Steps]]),F1235-Table1[[#This Row],[Steps]]),
))</f>
        <v>96</v>
      </c>
      <c r="E1236">
        <f>_xlfn.LET(_xlpm.dir,Table1[[#This Row],[Direction]],
IF(_xlpm.dir="R",
    IF(F1235+Table1[[#This Row],[Steps]]&gt;99,(F1235+Table1[[#This Row],[Steps]])-100,F1235+Table1[[#This Row],[Steps]]),
))</f>
        <v>0</v>
      </c>
      <c r="F1236">
        <f>IF(Table1[[#This Row],[New Pos L]]&lt;&gt;0,Table1[[#This Row],[New Pos L]],Table1[[#This Row],[New Pos R]])</f>
        <v>96</v>
      </c>
    </row>
    <row r="1237" spans="1:6" ht="16" x14ac:dyDescent="0.2">
      <c r="A1237" s="1" t="s">
        <v>62</v>
      </c>
      <c r="B1237" t="str">
        <f>LEFT(Table1[[#This Row],[Input]],1)</f>
        <v>L</v>
      </c>
      <c r="C1237">
        <f>_xlfn.LET(_xlpm.steps,SUBSTITUTE(Table1[[#This Row],[Input]],Table1[[#This Row],[Direction]],""),VALUE(IF(LEN(_xlpm.steps)&gt;2,RIGHT(_xlpm.steps,2),_xlpm.steps)))</f>
        <v>57</v>
      </c>
      <c r="D1237">
        <f>_xlfn.LET(_xlpm.dir,Table1[[#This Row],[Direction]],
IF(_xlpm.dir="L",
    IF(F1236-Table1[[#This Row],[Steps]]&lt;0,100+(F1236-Table1[[#This Row],[Steps]]),F1236-Table1[[#This Row],[Steps]]),
))</f>
        <v>39</v>
      </c>
      <c r="E1237">
        <f>_xlfn.LET(_xlpm.dir,Table1[[#This Row],[Direction]],
IF(_xlpm.dir="R",
    IF(F1236+Table1[[#This Row],[Steps]]&gt;99,(F1236+Table1[[#This Row],[Steps]])-100,F1236+Table1[[#This Row],[Steps]]),
))</f>
        <v>0</v>
      </c>
      <c r="F1237">
        <f>IF(Table1[[#This Row],[New Pos L]]&lt;&gt;0,Table1[[#This Row],[New Pos L]],Table1[[#This Row],[New Pos R]])</f>
        <v>39</v>
      </c>
    </row>
    <row r="1238" spans="1:6" ht="16" x14ac:dyDescent="0.2">
      <c r="A1238" s="1" t="s">
        <v>185</v>
      </c>
      <c r="B1238" t="str">
        <f>LEFT(Table1[[#This Row],[Input]],1)</f>
        <v>R</v>
      </c>
      <c r="C1238">
        <f>_xlfn.LET(_xlpm.steps,SUBSTITUTE(Table1[[#This Row],[Input]],Table1[[#This Row],[Direction]],""),VALUE(IF(LEN(_xlpm.steps)&gt;2,RIGHT(_xlpm.steps,2),_xlpm.steps)))</f>
        <v>61</v>
      </c>
      <c r="D1238">
        <f>_xlfn.LET(_xlpm.dir,Table1[[#This Row],[Direction]],
IF(_xlpm.dir="L",
    IF(F1237-Table1[[#This Row],[Steps]]&lt;0,100+(F1237-Table1[[#This Row],[Steps]]),F1237-Table1[[#This Row],[Steps]]),
))</f>
        <v>0</v>
      </c>
      <c r="E1238">
        <f>_xlfn.LET(_xlpm.dir,Table1[[#This Row],[Direction]],
IF(_xlpm.dir="R",
    IF(F1237+Table1[[#This Row],[Steps]]&gt;99,(F1237+Table1[[#This Row],[Steps]])-100,F1237+Table1[[#This Row],[Steps]]),
))</f>
        <v>0</v>
      </c>
      <c r="F1238">
        <f>IF(Table1[[#This Row],[New Pos L]]&lt;&gt;0,Table1[[#This Row],[New Pos L]],Table1[[#This Row],[New Pos R]])</f>
        <v>0</v>
      </c>
    </row>
    <row r="1239" spans="1:6" ht="16" x14ac:dyDescent="0.2">
      <c r="A1239" s="1" t="s">
        <v>132</v>
      </c>
      <c r="B1239" t="str">
        <f>LEFT(Table1[[#This Row],[Input]],1)</f>
        <v>L</v>
      </c>
      <c r="C1239">
        <f>_xlfn.LET(_xlpm.steps,SUBSTITUTE(Table1[[#This Row],[Input]],Table1[[#This Row],[Direction]],""),VALUE(IF(LEN(_xlpm.steps)&gt;2,RIGHT(_xlpm.steps,2),_xlpm.steps)))</f>
        <v>51</v>
      </c>
      <c r="D1239">
        <f>_xlfn.LET(_xlpm.dir,Table1[[#This Row],[Direction]],
IF(_xlpm.dir="L",
    IF(F1238-Table1[[#This Row],[Steps]]&lt;0,100+(F1238-Table1[[#This Row],[Steps]]),F1238-Table1[[#This Row],[Steps]]),
))</f>
        <v>49</v>
      </c>
      <c r="E1239">
        <f>_xlfn.LET(_xlpm.dir,Table1[[#This Row],[Direction]],
IF(_xlpm.dir="R",
    IF(F1238+Table1[[#This Row],[Steps]]&gt;99,(F1238+Table1[[#This Row],[Steps]])-100,F1238+Table1[[#This Row],[Steps]]),
))</f>
        <v>0</v>
      </c>
      <c r="F1239">
        <f>IF(Table1[[#This Row],[New Pos L]]&lt;&gt;0,Table1[[#This Row],[New Pos L]],Table1[[#This Row],[New Pos R]])</f>
        <v>49</v>
      </c>
    </row>
    <row r="1240" spans="1:6" ht="16" x14ac:dyDescent="0.2">
      <c r="A1240" s="1" t="s">
        <v>246</v>
      </c>
      <c r="B1240" t="str">
        <f>LEFT(Table1[[#This Row],[Input]],1)</f>
        <v>L</v>
      </c>
      <c r="C1240">
        <f>_xlfn.LET(_xlpm.steps,SUBSTITUTE(Table1[[#This Row],[Input]],Table1[[#This Row],[Direction]],""),VALUE(IF(LEN(_xlpm.steps)&gt;2,RIGHT(_xlpm.steps,2),_xlpm.steps)))</f>
        <v>90</v>
      </c>
      <c r="D1240">
        <f>_xlfn.LET(_xlpm.dir,Table1[[#This Row],[Direction]],
IF(_xlpm.dir="L",
    IF(F1239-Table1[[#This Row],[Steps]]&lt;0,100+(F1239-Table1[[#This Row],[Steps]]),F1239-Table1[[#This Row],[Steps]]),
))</f>
        <v>59</v>
      </c>
      <c r="E1240">
        <f>_xlfn.LET(_xlpm.dir,Table1[[#This Row],[Direction]],
IF(_xlpm.dir="R",
    IF(F1239+Table1[[#This Row],[Steps]]&gt;99,(F1239+Table1[[#This Row],[Steps]])-100,F1239+Table1[[#This Row],[Steps]]),
))</f>
        <v>0</v>
      </c>
      <c r="F1240">
        <f>IF(Table1[[#This Row],[New Pos L]]&lt;&gt;0,Table1[[#This Row],[New Pos L]],Table1[[#This Row],[New Pos R]])</f>
        <v>59</v>
      </c>
    </row>
    <row r="1241" spans="1:6" ht="16" x14ac:dyDescent="0.2">
      <c r="A1241" s="1" t="s">
        <v>155</v>
      </c>
      <c r="B1241" t="str">
        <f>LEFT(Table1[[#This Row],[Input]],1)</f>
        <v>L</v>
      </c>
      <c r="C1241">
        <f>_xlfn.LET(_xlpm.steps,SUBSTITUTE(Table1[[#This Row],[Input]],Table1[[#This Row],[Direction]],""),VALUE(IF(LEN(_xlpm.steps)&gt;2,RIGHT(_xlpm.steps,2),_xlpm.steps)))</f>
        <v>18</v>
      </c>
      <c r="D1241">
        <f>_xlfn.LET(_xlpm.dir,Table1[[#This Row],[Direction]],
IF(_xlpm.dir="L",
    IF(F1240-Table1[[#This Row],[Steps]]&lt;0,100+(F1240-Table1[[#This Row],[Steps]]),F1240-Table1[[#This Row],[Steps]]),
))</f>
        <v>41</v>
      </c>
      <c r="E1241">
        <f>_xlfn.LET(_xlpm.dir,Table1[[#This Row],[Direction]],
IF(_xlpm.dir="R",
    IF(F1240+Table1[[#This Row],[Steps]]&gt;99,(F1240+Table1[[#This Row],[Steps]])-100,F1240+Table1[[#This Row],[Steps]]),
))</f>
        <v>0</v>
      </c>
      <c r="F1241">
        <f>IF(Table1[[#This Row],[New Pos L]]&lt;&gt;0,Table1[[#This Row],[New Pos L]],Table1[[#This Row],[New Pos R]])</f>
        <v>41</v>
      </c>
    </row>
    <row r="1242" spans="1:6" ht="16" x14ac:dyDescent="0.2">
      <c r="A1242" s="1" t="s">
        <v>397</v>
      </c>
      <c r="B1242" t="str">
        <f>LEFT(Table1[[#This Row],[Input]],1)</f>
        <v>R</v>
      </c>
      <c r="C1242">
        <f>_xlfn.LET(_xlpm.steps,SUBSTITUTE(Table1[[#This Row],[Input]],Table1[[#This Row],[Direction]],""),VALUE(IF(LEN(_xlpm.steps)&gt;2,RIGHT(_xlpm.steps,2),_xlpm.steps)))</f>
        <v>82</v>
      </c>
      <c r="D1242">
        <f>_xlfn.LET(_xlpm.dir,Table1[[#This Row],[Direction]],
IF(_xlpm.dir="L",
    IF(F1241-Table1[[#This Row],[Steps]]&lt;0,100+(F1241-Table1[[#This Row],[Steps]]),F1241-Table1[[#This Row],[Steps]]),
))</f>
        <v>0</v>
      </c>
      <c r="E1242">
        <f>_xlfn.LET(_xlpm.dir,Table1[[#This Row],[Direction]],
IF(_xlpm.dir="R",
    IF(F1241+Table1[[#This Row],[Steps]]&gt;99,(F1241+Table1[[#This Row],[Steps]])-100,F1241+Table1[[#This Row],[Steps]]),
))</f>
        <v>23</v>
      </c>
      <c r="F1242">
        <f>IF(Table1[[#This Row],[New Pos L]]&lt;&gt;0,Table1[[#This Row],[New Pos L]],Table1[[#This Row],[New Pos R]])</f>
        <v>23</v>
      </c>
    </row>
    <row r="1243" spans="1:6" ht="16" x14ac:dyDescent="0.2">
      <c r="A1243" s="1" t="s">
        <v>2</v>
      </c>
      <c r="B1243" t="str">
        <f>LEFT(Table1[[#This Row],[Input]],1)</f>
        <v>L</v>
      </c>
      <c r="C1243">
        <f>_xlfn.LET(_xlpm.steps,SUBSTITUTE(Table1[[#This Row],[Input]],Table1[[#This Row],[Direction]],""),VALUE(IF(LEN(_xlpm.steps)&gt;2,RIGHT(_xlpm.steps,2),_xlpm.steps)))</f>
        <v>38</v>
      </c>
      <c r="D1243">
        <f>_xlfn.LET(_xlpm.dir,Table1[[#This Row],[Direction]],
IF(_xlpm.dir="L",
    IF(F1242-Table1[[#This Row],[Steps]]&lt;0,100+(F1242-Table1[[#This Row],[Steps]]),F1242-Table1[[#This Row],[Steps]]),
))</f>
        <v>85</v>
      </c>
      <c r="E1243">
        <f>_xlfn.LET(_xlpm.dir,Table1[[#This Row],[Direction]],
IF(_xlpm.dir="R",
    IF(F1242+Table1[[#This Row],[Steps]]&gt;99,(F1242+Table1[[#This Row],[Steps]])-100,F1242+Table1[[#This Row],[Steps]]),
))</f>
        <v>0</v>
      </c>
      <c r="F1243">
        <f>IF(Table1[[#This Row],[New Pos L]]&lt;&gt;0,Table1[[#This Row],[New Pos L]],Table1[[#This Row],[New Pos R]])</f>
        <v>85</v>
      </c>
    </row>
    <row r="1244" spans="1:6" ht="16" x14ac:dyDescent="0.2">
      <c r="A1244" s="1" t="s">
        <v>175</v>
      </c>
      <c r="B1244" t="str">
        <f>LEFT(Table1[[#This Row],[Input]],1)</f>
        <v>L</v>
      </c>
      <c r="C1244">
        <f>_xlfn.LET(_xlpm.steps,SUBSTITUTE(Table1[[#This Row],[Input]],Table1[[#This Row],[Direction]],""),VALUE(IF(LEN(_xlpm.steps)&gt;2,RIGHT(_xlpm.steps,2),_xlpm.steps)))</f>
        <v>1</v>
      </c>
      <c r="D1244">
        <f>_xlfn.LET(_xlpm.dir,Table1[[#This Row],[Direction]],
IF(_xlpm.dir="L",
    IF(F1243-Table1[[#This Row],[Steps]]&lt;0,100+(F1243-Table1[[#This Row],[Steps]]),F1243-Table1[[#This Row],[Steps]]),
))</f>
        <v>84</v>
      </c>
      <c r="E1244">
        <f>_xlfn.LET(_xlpm.dir,Table1[[#This Row],[Direction]],
IF(_xlpm.dir="R",
    IF(F1243+Table1[[#This Row],[Steps]]&gt;99,(F1243+Table1[[#This Row],[Steps]])-100,F1243+Table1[[#This Row],[Steps]]),
))</f>
        <v>0</v>
      </c>
      <c r="F1244">
        <f>IF(Table1[[#This Row],[New Pos L]]&lt;&gt;0,Table1[[#This Row],[New Pos L]],Table1[[#This Row],[New Pos R]])</f>
        <v>84</v>
      </c>
    </row>
    <row r="1245" spans="1:6" ht="16" x14ac:dyDescent="0.2">
      <c r="A1245" s="1" t="s">
        <v>15</v>
      </c>
      <c r="B1245" t="str">
        <f>LEFT(Table1[[#This Row],[Input]],1)</f>
        <v>R</v>
      </c>
      <c r="C1245">
        <f>_xlfn.LET(_xlpm.steps,SUBSTITUTE(Table1[[#This Row],[Input]],Table1[[#This Row],[Direction]],""),VALUE(IF(LEN(_xlpm.steps)&gt;2,RIGHT(_xlpm.steps,2),_xlpm.steps)))</f>
        <v>36</v>
      </c>
      <c r="D1245">
        <f>_xlfn.LET(_xlpm.dir,Table1[[#This Row],[Direction]],
IF(_xlpm.dir="L",
    IF(F1244-Table1[[#This Row],[Steps]]&lt;0,100+(F1244-Table1[[#This Row],[Steps]]),F1244-Table1[[#This Row],[Steps]]),
))</f>
        <v>0</v>
      </c>
      <c r="E1245">
        <f>_xlfn.LET(_xlpm.dir,Table1[[#This Row],[Direction]],
IF(_xlpm.dir="R",
    IF(F1244+Table1[[#This Row],[Steps]]&gt;99,(F1244+Table1[[#This Row],[Steps]])-100,F1244+Table1[[#This Row],[Steps]]),
))</f>
        <v>20</v>
      </c>
      <c r="F1245">
        <f>IF(Table1[[#This Row],[New Pos L]]&lt;&gt;0,Table1[[#This Row],[New Pos L]],Table1[[#This Row],[New Pos R]])</f>
        <v>20</v>
      </c>
    </row>
    <row r="1246" spans="1:6" ht="16" x14ac:dyDescent="0.2">
      <c r="A1246" s="1" t="s">
        <v>88</v>
      </c>
      <c r="B1246" t="str">
        <f>LEFT(Table1[[#This Row],[Input]],1)</f>
        <v>R</v>
      </c>
      <c r="C1246">
        <f>_xlfn.LET(_xlpm.steps,SUBSTITUTE(Table1[[#This Row],[Input]],Table1[[#This Row],[Direction]],""),VALUE(IF(LEN(_xlpm.steps)&gt;2,RIGHT(_xlpm.steps,2),_xlpm.steps)))</f>
        <v>53</v>
      </c>
      <c r="D1246">
        <f>_xlfn.LET(_xlpm.dir,Table1[[#This Row],[Direction]],
IF(_xlpm.dir="L",
    IF(F1245-Table1[[#This Row],[Steps]]&lt;0,100+(F1245-Table1[[#This Row],[Steps]]),F1245-Table1[[#This Row],[Steps]]),
))</f>
        <v>0</v>
      </c>
      <c r="E1246">
        <f>_xlfn.LET(_xlpm.dir,Table1[[#This Row],[Direction]],
IF(_xlpm.dir="R",
    IF(F1245+Table1[[#This Row],[Steps]]&gt;99,(F1245+Table1[[#This Row],[Steps]])-100,F1245+Table1[[#This Row],[Steps]]),
))</f>
        <v>73</v>
      </c>
      <c r="F1246">
        <f>IF(Table1[[#This Row],[New Pos L]]&lt;&gt;0,Table1[[#This Row],[New Pos L]],Table1[[#This Row],[New Pos R]])</f>
        <v>73</v>
      </c>
    </row>
    <row r="1247" spans="1:6" ht="16" x14ac:dyDescent="0.2">
      <c r="A1247" s="1" t="s">
        <v>398</v>
      </c>
      <c r="B1247" t="str">
        <f>LEFT(Table1[[#This Row],[Input]],1)</f>
        <v>R</v>
      </c>
      <c r="C1247">
        <f>_xlfn.LET(_xlpm.steps,SUBSTITUTE(Table1[[#This Row],[Input]],Table1[[#This Row],[Direction]],""),VALUE(IF(LEN(_xlpm.steps)&gt;2,RIGHT(_xlpm.steps,2),_xlpm.steps)))</f>
        <v>27</v>
      </c>
      <c r="D1247">
        <f>_xlfn.LET(_xlpm.dir,Table1[[#This Row],[Direction]],
IF(_xlpm.dir="L",
    IF(F1246-Table1[[#This Row],[Steps]]&lt;0,100+(F1246-Table1[[#This Row],[Steps]]),F1246-Table1[[#This Row],[Steps]]),
))</f>
        <v>0</v>
      </c>
      <c r="E1247">
        <f>_xlfn.LET(_xlpm.dir,Table1[[#This Row],[Direction]],
IF(_xlpm.dir="R",
    IF(F1246+Table1[[#This Row],[Steps]]&gt;99,(F1246+Table1[[#This Row],[Steps]])-100,F1246+Table1[[#This Row],[Steps]]),
))</f>
        <v>0</v>
      </c>
      <c r="F1247">
        <f>IF(Table1[[#This Row],[New Pos L]]&lt;&gt;0,Table1[[#This Row],[New Pos L]],Table1[[#This Row],[New Pos R]])</f>
        <v>0</v>
      </c>
    </row>
    <row r="1248" spans="1:6" ht="16" x14ac:dyDescent="0.2">
      <c r="A1248" s="1" t="s">
        <v>155</v>
      </c>
      <c r="B1248" t="str">
        <f>LEFT(Table1[[#This Row],[Input]],1)</f>
        <v>L</v>
      </c>
      <c r="C1248">
        <f>_xlfn.LET(_xlpm.steps,SUBSTITUTE(Table1[[#This Row],[Input]],Table1[[#This Row],[Direction]],""),VALUE(IF(LEN(_xlpm.steps)&gt;2,RIGHT(_xlpm.steps,2),_xlpm.steps)))</f>
        <v>18</v>
      </c>
      <c r="D1248">
        <f>_xlfn.LET(_xlpm.dir,Table1[[#This Row],[Direction]],
IF(_xlpm.dir="L",
    IF(F1247-Table1[[#This Row],[Steps]]&lt;0,100+(F1247-Table1[[#This Row],[Steps]]),F1247-Table1[[#This Row],[Steps]]),
))</f>
        <v>82</v>
      </c>
      <c r="E1248">
        <f>_xlfn.LET(_xlpm.dir,Table1[[#This Row],[Direction]],
IF(_xlpm.dir="R",
    IF(F1247+Table1[[#This Row],[Steps]]&gt;99,(F1247+Table1[[#This Row],[Steps]])-100,F1247+Table1[[#This Row],[Steps]]),
))</f>
        <v>0</v>
      </c>
      <c r="F1248">
        <f>IF(Table1[[#This Row],[New Pos L]]&lt;&gt;0,Table1[[#This Row],[New Pos L]],Table1[[#This Row],[New Pos R]])</f>
        <v>82</v>
      </c>
    </row>
    <row r="1249" spans="1:6" ht="16" x14ac:dyDescent="0.2">
      <c r="A1249" s="1" t="s">
        <v>8</v>
      </c>
      <c r="B1249" t="str">
        <f>LEFT(Table1[[#This Row],[Input]],1)</f>
        <v>R</v>
      </c>
      <c r="C1249">
        <f>_xlfn.LET(_xlpm.steps,SUBSTITUTE(Table1[[#This Row],[Input]],Table1[[#This Row],[Direction]],""),VALUE(IF(LEN(_xlpm.steps)&gt;2,RIGHT(_xlpm.steps,2),_xlpm.steps)))</f>
        <v>18</v>
      </c>
      <c r="D1249">
        <f>_xlfn.LET(_xlpm.dir,Table1[[#This Row],[Direction]],
IF(_xlpm.dir="L",
    IF(F1248-Table1[[#This Row],[Steps]]&lt;0,100+(F1248-Table1[[#This Row],[Steps]]),F1248-Table1[[#This Row],[Steps]]),
))</f>
        <v>0</v>
      </c>
      <c r="E1249">
        <f>_xlfn.LET(_xlpm.dir,Table1[[#This Row],[Direction]],
IF(_xlpm.dir="R",
    IF(F1248+Table1[[#This Row],[Steps]]&gt;99,(F1248+Table1[[#This Row],[Steps]])-100,F1248+Table1[[#This Row],[Steps]]),
))</f>
        <v>0</v>
      </c>
      <c r="F1249">
        <f>IF(Table1[[#This Row],[New Pos L]]&lt;&gt;0,Table1[[#This Row],[New Pos L]],Table1[[#This Row],[New Pos R]])</f>
        <v>0</v>
      </c>
    </row>
    <row r="1250" spans="1:6" ht="16" x14ac:dyDescent="0.2">
      <c r="A1250" s="1" t="s">
        <v>126</v>
      </c>
      <c r="B1250" t="str">
        <f>LEFT(Table1[[#This Row],[Input]],1)</f>
        <v>R</v>
      </c>
      <c r="C1250">
        <f>_xlfn.LET(_xlpm.steps,SUBSTITUTE(Table1[[#This Row],[Input]],Table1[[#This Row],[Direction]],""),VALUE(IF(LEN(_xlpm.steps)&gt;2,RIGHT(_xlpm.steps,2),_xlpm.steps)))</f>
        <v>65</v>
      </c>
      <c r="D1250">
        <f>_xlfn.LET(_xlpm.dir,Table1[[#This Row],[Direction]],
IF(_xlpm.dir="L",
    IF(F1249-Table1[[#This Row],[Steps]]&lt;0,100+(F1249-Table1[[#This Row],[Steps]]),F1249-Table1[[#This Row],[Steps]]),
))</f>
        <v>0</v>
      </c>
      <c r="E1250">
        <f>_xlfn.LET(_xlpm.dir,Table1[[#This Row],[Direction]],
IF(_xlpm.dir="R",
    IF(F1249+Table1[[#This Row],[Steps]]&gt;99,(F1249+Table1[[#This Row],[Steps]])-100,F1249+Table1[[#This Row],[Steps]]),
))</f>
        <v>65</v>
      </c>
      <c r="F1250">
        <f>IF(Table1[[#This Row],[New Pos L]]&lt;&gt;0,Table1[[#This Row],[New Pos L]],Table1[[#This Row],[New Pos R]])</f>
        <v>65</v>
      </c>
    </row>
    <row r="1251" spans="1:6" ht="16" x14ac:dyDescent="0.2">
      <c r="A1251" s="1" t="s">
        <v>67</v>
      </c>
      <c r="B1251" t="str">
        <f>LEFT(Table1[[#This Row],[Input]],1)</f>
        <v>R</v>
      </c>
      <c r="C1251">
        <f>_xlfn.LET(_xlpm.steps,SUBSTITUTE(Table1[[#This Row],[Input]],Table1[[#This Row],[Direction]],""),VALUE(IF(LEN(_xlpm.steps)&gt;2,RIGHT(_xlpm.steps,2),_xlpm.steps)))</f>
        <v>33</v>
      </c>
      <c r="D1251">
        <f>_xlfn.LET(_xlpm.dir,Table1[[#This Row],[Direction]],
IF(_xlpm.dir="L",
    IF(F1250-Table1[[#This Row],[Steps]]&lt;0,100+(F1250-Table1[[#This Row],[Steps]]),F1250-Table1[[#This Row],[Steps]]),
))</f>
        <v>0</v>
      </c>
      <c r="E1251">
        <f>_xlfn.LET(_xlpm.dir,Table1[[#This Row],[Direction]],
IF(_xlpm.dir="R",
    IF(F1250+Table1[[#This Row],[Steps]]&gt;99,(F1250+Table1[[#This Row],[Steps]])-100,F1250+Table1[[#This Row],[Steps]]),
))</f>
        <v>98</v>
      </c>
      <c r="F1251">
        <f>IF(Table1[[#This Row],[New Pos L]]&lt;&gt;0,Table1[[#This Row],[New Pos L]],Table1[[#This Row],[New Pos R]])</f>
        <v>98</v>
      </c>
    </row>
    <row r="1252" spans="1:6" ht="16" x14ac:dyDescent="0.2">
      <c r="A1252" s="1" t="s">
        <v>65</v>
      </c>
      <c r="B1252" t="str">
        <f>LEFT(Table1[[#This Row],[Input]],1)</f>
        <v>L</v>
      </c>
      <c r="C1252">
        <f>_xlfn.LET(_xlpm.steps,SUBSTITUTE(Table1[[#This Row],[Input]],Table1[[#This Row],[Direction]],""),VALUE(IF(LEN(_xlpm.steps)&gt;2,RIGHT(_xlpm.steps,2),_xlpm.steps)))</f>
        <v>19</v>
      </c>
      <c r="D1252">
        <f>_xlfn.LET(_xlpm.dir,Table1[[#This Row],[Direction]],
IF(_xlpm.dir="L",
    IF(F1251-Table1[[#This Row],[Steps]]&lt;0,100+(F1251-Table1[[#This Row],[Steps]]),F1251-Table1[[#This Row],[Steps]]),
))</f>
        <v>79</v>
      </c>
      <c r="E1252">
        <f>_xlfn.LET(_xlpm.dir,Table1[[#This Row],[Direction]],
IF(_xlpm.dir="R",
    IF(F1251+Table1[[#This Row],[Steps]]&gt;99,(F1251+Table1[[#This Row],[Steps]])-100,F1251+Table1[[#This Row],[Steps]]),
))</f>
        <v>0</v>
      </c>
      <c r="F1252">
        <f>IF(Table1[[#This Row],[New Pos L]]&lt;&gt;0,Table1[[#This Row],[New Pos L]],Table1[[#This Row],[New Pos R]])</f>
        <v>79</v>
      </c>
    </row>
    <row r="1253" spans="1:6" ht="16" x14ac:dyDescent="0.2">
      <c r="A1253" s="1" t="s">
        <v>399</v>
      </c>
      <c r="B1253" t="str">
        <f>LEFT(Table1[[#This Row],[Input]],1)</f>
        <v>R</v>
      </c>
      <c r="C1253">
        <f>_xlfn.LET(_xlpm.steps,SUBSTITUTE(Table1[[#This Row],[Input]],Table1[[#This Row],[Direction]],""),VALUE(IF(LEN(_xlpm.steps)&gt;2,RIGHT(_xlpm.steps,2),_xlpm.steps)))</f>
        <v>95</v>
      </c>
      <c r="D1253">
        <f>_xlfn.LET(_xlpm.dir,Table1[[#This Row],[Direction]],
IF(_xlpm.dir="L",
    IF(F1252-Table1[[#This Row],[Steps]]&lt;0,100+(F1252-Table1[[#This Row],[Steps]]),F1252-Table1[[#This Row],[Steps]]),
))</f>
        <v>0</v>
      </c>
      <c r="E1253">
        <f>_xlfn.LET(_xlpm.dir,Table1[[#This Row],[Direction]],
IF(_xlpm.dir="R",
    IF(F1252+Table1[[#This Row],[Steps]]&gt;99,(F1252+Table1[[#This Row],[Steps]])-100,F1252+Table1[[#This Row],[Steps]]),
))</f>
        <v>74</v>
      </c>
      <c r="F1253">
        <f>IF(Table1[[#This Row],[New Pos L]]&lt;&gt;0,Table1[[#This Row],[New Pos L]],Table1[[#This Row],[New Pos R]])</f>
        <v>74</v>
      </c>
    </row>
    <row r="1254" spans="1:6" ht="16" x14ac:dyDescent="0.2">
      <c r="A1254" s="1" t="s">
        <v>319</v>
      </c>
      <c r="B1254" t="str">
        <f>LEFT(Table1[[#This Row],[Input]],1)</f>
        <v>L</v>
      </c>
      <c r="C1254">
        <f>_xlfn.LET(_xlpm.steps,SUBSTITUTE(Table1[[#This Row],[Input]],Table1[[#This Row],[Direction]],""),VALUE(IF(LEN(_xlpm.steps)&gt;2,RIGHT(_xlpm.steps,2),_xlpm.steps)))</f>
        <v>79</v>
      </c>
      <c r="D1254">
        <f>_xlfn.LET(_xlpm.dir,Table1[[#This Row],[Direction]],
IF(_xlpm.dir="L",
    IF(F1253-Table1[[#This Row],[Steps]]&lt;0,100+(F1253-Table1[[#This Row],[Steps]]),F1253-Table1[[#This Row],[Steps]]),
))</f>
        <v>95</v>
      </c>
      <c r="E1254">
        <f>_xlfn.LET(_xlpm.dir,Table1[[#This Row],[Direction]],
IF(_xlpm.dir="R",
    IF(F1253+Table1[[#This Row],[Steps]]&gt;99,(F1253+Table1[[#This Row],[Steps]])-100,F1253+Table1[[#This Row],[Steps]]),
))</f>
        <v>0</v>
      </c>
      <c r="F1254">
        <f>IF(Table1[[#This Row],[New Pos L]]&lt;&gt;0,Table1[[#This Row],[New Pos L]],Table1[[#This Row],[New Pos R]])</f>
        <v>95</v>
      </c>
    </row>
    <row r="1255" spans="1:6" ht="16" x14ac:dyDescent="0.2">
      <c r="A1255" s="1" t="s">
        <v>188</v>
      </c>
      <c r="B1255" t="str">
        <f>LEFT(Table1[[#This Row],[Input]],1)</f>
        <v>R</v>
      </c>
      <c r="C1255">
        <f>_xlfn.LET(_xlpm.steps,SUBSTITUTE(Table1[[#This Row],[Input]],Table1[[#This Row],[Direction]],""),VALUE(IF(LEN(_xlpm.steps)&gt;2,RIGHT(_xlpm.steps,2),_xlpm.steps)))</f>
        <v>5</v>
      </c>
      <c r="D1255">
        <f>_xlfn.LET(_xlpm.dir,Table1[[#This Row],[Direction]],
IF(_xlpm.dir="L",
    IF(F1254-Table1[[#This Row],[Steps]]&lt;0,100+(F1254-Table1[[#This Row],[Steps]]),F1254-Table1[[#This Row],[Steps]]),
))</f>
        <v>0</v>
      </c>
      <c r="E1255">
        <f>_xlfn.LET(_xlpm.dir,Table1[[#This Row],[Direction]],
IF(_xlpm.dir="R",
    IF(F1254+Table1[[#This Row],[Steps]]&gt;99,(F1254+Table1[[#This Row],[Steps]])-100,F1254+Table1[[#This Row],[Steps]]),
))</f>
        <v>0</v>
      </c>
      <c r="F1255">
        <f>IF(Table1[[#This Row],[New Pos L]]&lt;&gt;0,Table1[[#This Row],[New Pos L]],Table1[[#This Row],[New Pos R]])</f>
        <v>0</v>
      </c>
    </row>
    <row r="1256" spans="1:6" ht="16" x14ac:dyDescent="0.2">
      <c r="A1256" s="1" t="s">
        <v>9</v>
      </c>
      <c r="B1256" t="str">
        <f>LEFT(Table1[[#This Row],[Input]],1)</f>
        <v>L</v>
      </c>
      <c r="C1256">
        <f>_xlfn.LET(_xlpm.steps,SUBSTITUTE(Table1[[#This Row],[Input]],Table1[[#This Row],[Direction]],""),VALUE(IF(LEN(_xlpm.steps)&gt;2,RIGHT(_xlpm.steps,2),_xlpm.steps)))</f>
        <v>9</v>
      </c>
      <c r="D1256">
        <f>_xlfn.LET(_xlpm.dir,Table1[[#This Row],[Direction]],
IF(_xlpm.dir="L",
    IF(F1255-Table1[[#This Row],[Steps]]&lt;0,100+(F1255-Table1[[#This Row],[Steps]]),F1255-Table1[[#This Row],[Steps]]),
))</f>
        <v>91</v>
      </c>
      <c r="E1256">
        <f>_xlfn.LET(_xlpm.dir,Table1[[#This Row],[Direction]],
IF(_xlpm.dir="R",
    IF(F1255+Table1[[#This Row],[Steps]]&gt;99,(F1255+Table1[[#This Row],[Steps]])-100,F1255+Table1[[#This Row],[Steps]]),
))</f>
        <v>0</v>
      </c>
      <c r="F1256">
        <f>IF(Table1[[#This Row],[New Pos L]]&lt;&gt;0,Table1[[#This Row],[New Pos L]],Table1[[#This Row],[New Pos R]])</f>
        <v>91</v>
      </c>
    </row>
    <row r="1257" spans="1:6" ht="16" x14ac:dyDescent="0.2">
      <c r="A1257" s="1" t="s">
        <v>344</v>
      </c>
      <c r="B1257" t="str">
        <f>LEFT(Table1[[#This Row],[Input]],1)</f>
        <v>R</v>
      </c>
      <c r="C1257">
        <f>_xlfn.LET(_xlpm.steps,SUBSTITUTE(Table1[[#This Row],[Input]],Table1[[#This Row],[Direction]],""),VALUE(IF(LEN(_xlpm.steps)&gt;2,RIGHT(_xlpm.steps,2),_xlpm.steps)))</f>
        <v>9</v>
      </c>
      <c r="D1257">
        <f>_xlfn.LET(_xlpm.dir,Table1[[#This Row],[Direction]],
IF(_xlpm.dir="L",
    IF(F1256-Table1[[#This Row],[Steps]]&lt;0,100+(F1256-Table1[[#This Row],[Steps]]),F1256-Table1[[#This Row],[Steps]]),
))</f>
        <v>0</v>
      </c>
      <c r="E1257">
        <f>_xlfn.LET(_xlpm.dir,Table1[[#This Row],[Direction]],
IF(_xlpm.dir="R",
    IF(F1256+Table1[[#This Row],[Steps]]&gt;99,(F1256+Table1[[#This Row],[Steps]])-100,F1256+Table1[[#This Row],[Steps]]),
))</f>
        <v>0</v>
      </c>
      <c r="F1257">
        <f>IF(Table1[[#This Row],[New Pos L]]&lt;&gt;0,Table1[[#This Row],[New Pos L]],Table1[[#This Row],[New Pos R]])</f>
        <v>0</v>
      </c>
    </row>
    <row r="1258" spans="1:6" ht="16" x14ac:dyDescent="0.2">
      <c r="A1258" s="1" t="s">
        <v>59</v>
      </c>
      <c r="B1258" t="str">
        <f>LEFT(Table1[[#This Row],[Input]],1)</f>
        <v>L</v>
      </c>
      <c r="C1258">
        <f>_xlfn.LET(_xlpm.steps,SUBSTITUTE(Table1[[#This Row],[Input]],Table1[[#This Row],[Direction]],""),VALUE(IF(LEN(_xlpm.steps)&gt;2,RIGHT(_xlpm.steps,2),_xlpm.steps)))</f>
        <v>6</v>
      </c>
      <c r="D1258">
        <f>_xlfn.LET(_xlpm.dir,Table1[[#This Row],[Direction]],
IF(_xlpm.dir="L",
    IF(F1257-Table1[[#This Row],[Steps]]&lt;0,100+(F1257-Table1[[#This Row],[Steps]]),F1257-Table1[[#This Row],[Steps]]),
))</f>
        <v>94</v>
      </c>
      <c r="E1258">
        <f>_xlfn.LET(_xlpm.dir,Table1[[#This Row],[Direction]],
IF(_xlpm.dir="R",
    IF(F1257+Table1[[#This Row],[Steps]]&gt;99,(F1257+Table1[[#This Row],[Steps]])-100,F1257+Table1[[#This Row],[Steps]]),
))</f>
        <v>0</v>
      </c>
      <c r="F1258">
        <f>IF(Table1[[#This Row],[New Pos L]]&lt;&gt;0,Table1[[#This Row],[New Pos L]],Table1[[#This Row],[New Pos R]])</f>
        <v>94</v>
      </c>
    </row>
    <row r="1259" spans="1:6" ht="16" x14ac:dyDescent="0.2">
      <c r="A1259" s="1" t="s">
        <v>400</v>
      </c>
      <c r="B1259" t="str">
        <f>LEFT(Table1[[#This Row],[Input]],1)</f>
        <v>L</v>
      </c>
      <c r="C1259">
        <f>_xlfn.LET(_xlpm.steps,SUBSTITUTE(Table1[[#This Row],[Input]],Table1[[#This Row],[Direction]],""),VALUE(IF(LEN(_xlpm.steps)&gt;2,RIGHT(_xlpm.steps,2),_xlpm.steps)))</f>
        <v>95</v>
      </c>
      <c r="D1259">
        <f>_xlfn.LET(_xlpm.dir,Table1[[#This Row],[Direction]],
IF(_xlpm.dir="L",
    IF(F1258-Table1[[#This Row],[Steps]]&lt;0,100+(F1258-Table1[[#This Row],[Steps]]),F1258-Table1[[#This Row],[Steps]]),
))</f>
        <v>99</v>
      </c>
      <c r="E1259">
        <f>_xlfn.LET(_xlpm.dir,Table1[[#This Row],[Direction]],
IF(_xlpm.dir="R",
    IF(F1258+Table1[[#This Row],[Steps]]&gt;99,(F1258+Table1[[#This Row],[Steps]])-100,F1258+Table1[[#This Row],[Steps]]),
))</f>
        <v>0</v>
      </c>
      <c r="F1259">
        <f>IF(Table1[[#This Row],[New Pos L]]&lt;&gt;0,Table1[[#This Row],[New Pos L]],Table1[[#This Row],[New Pos R]])</f>
        <v>99</v>
      </c>
    </row>
    <row r="1260" spans="1:6" ht="16" x14ac:dyDescent="0.2">
      <c r="A1260" s="1" t="s">
        <v>252</v>
      </c>
      <c r="B1260" t="str">
        <f>LEFT(Table1[[#This Row],[Input]],1)</f>
        <v>L</v>
      </c>
      <c r="C1260">
        <f>_xlfn.LET(_xlpm.steps,SUBSTITUTE(Table1[[#This Row],[Input]],Table1[[#This Row],[Direction]],""),VALUE(IF(LEN(_xlpm.steps)&gt;2,RIGHT(_xlpm.steps,2),_xlpm.steps)))</f>
        <v>99</v>
      </c>
      <c r="D1260">
        <f>_xlfn.LET(_xlpm.dir,Table1[[#This Row],[Direction]],
IF(_xlpm.dir="L",
    IF(F1259-Table1[[#This Row],[Steps]]&lt;0,100+(F1259-Table1[[#This Row],[Steps]]),F1259-Table1[[#This Row],[Steps]]),
))</f>
        <v>0</v>
      </c>
      <c r="E1260">
        <f>_xlfn.LET(_xlpm.dir,Table1[[#This Row],[Direction]],
IF(_xlpm.dir="R",
    IF(F1259+Table1[[#This Row],[Steps]]&gt;99,(F1259+Table1[[#This Row],[Steps]])-100,F1259+Table1[[#This Row],[Steps]]),
))</f>
        <v>0</v>
      </c>
      <c r="F1260">
        <f>IF(Table1[[#This Row],[New Pos L]]&lt;&gt;0,Table1[[#This Row],[New Pos L]],Table1[[#This Row],[New Pos R]])</f>
        <v>0</v>
      </c>
    </row>
    <row r="1261" spans="1:6" ht="16" x14ac:dyDescent="0.2">
      <c r="A1261" s="1" t="s">
        <v>62</v>
      </c>
      <c r="B1261" t="str">
        <f>LEFT(Table1[[#This Row],[Input]],1)</f>
        <v>L</v>
      </c>
      <c r="C1261">
        <f>_xlfn.LET(_xlpm.steps,SUBSTITUTE(Table1[[#This Row],[Input]],Table1[[#This Row],[Direction]],""),VALUE(IF(LEN(_xlpm.steps)&gt;2,RIGHT(_xlpm.steps,2),_xlpm.steps)))</f>
        <v>57</v>
      </c>
      <c r="D1261">
        <f>_xlfn.LET(_xlpm.dir,Table1[[#This Row],[Direction]],
IF(_xlpm.dir="L",
    IF(F1260-Table1[[#This Row],[Steps]]&lt;0,100+(F1260-Table1[[#This Row],[Steps]]),F1260-Table1[[#This Row],[Steps]]),
))</f>
        <v>43</v>
      </c>
      <c r="E1261">
        <f>_xlfn.LET(_xlpm.dir,Table1[[#This Row],[Direction]],
IF(_xlpm.dir="R",
    IF(F1260+Table1[[#This Row],[Steps]]&gt;99,(F1260+Table1[[#This Row],[Steps]])-100,F1260+Table1[[#This Row],[Steps]]),
))</f>
        <v>0</v>
      </c>
      <c r="F1261">
        <f>IF(Table1[[#This Row],[New Pos L]]&lt;&gt;0,Table1[[#This Row],[New Pos L]],Table1[[#This Row],[New Pos R]])</f>
        <v>43</v>
      </c>
    </row>
    <row r="1262" spans="1:6" ht="16" x14ac:dyDescent="0.2">
      <c r="A1262" s="1" t="s">
        <v>75</v>
      </c>
      <c r="B1262" t="str">
        <f>LEFT(Table1[[#This Row],[Input]],1)</f>
        <v>R</v>
      </c>
      <c r="C1262">
        <f>_xlfn.LET(_xlpm.steps,SUBSTITUTE(Table1[[#This Row],[Input]],Table1[[#This Row],[Direction]],""),VALUE(IF(LEN(_xlpm.steps)&gt;2,RIGHT(_xlpm.steps,2),_xlpm.steps)))</f>
        <v>2</v>
      </c>
      <c r="D1262">
        <f>_xlfn.LET(_xlpm.dir,Table1[[#This Row],[Direction]],
IF(_xlpm.dir="L",
    IF(F1261-Table1[[#This Row],[Steps]]&lt;0,100+(F1261-Table1[[#This Row],[Steps]]),F1261-Table1[[#This Row],[Steps]]),
))</f>
        <v>0</v>
      </c>
      <c r="E1262">
        <f>_xlfn.LET(_xlpm.dir,Table1[[#This Row],[Direction]],
IF(_xlpm.dir="R",
    IF(F1261+Table1[[#This Row],[Steps]]&gt;99,(F1261+Table1[[#This Row],[Steps]])-100,F1261+Table1[[#This Row],[Steps]]),
))</f>
        <v>45</v>
      </c>
      <c r="F1262">
        <f>IF(Table1[[#This Row],[New Pos L]]&lt;&gt;0,Table1[[#This Row],[New Pos L]],Table1[[#This Row],[New Pos R]])</f>
        <v>45</v>
      </c>
    </row>
    <row r="1263" spans="1:6" ht="16" x14ac:dyDescent="0.2">
      <c r="A1263" s="1" t="s">
        <v>79</v>
      </c>
      <c r="B1263" t="str">
        <f>LEFT(Table1[[#This Row],[Input]],1)</f>
        <v>L</v>
      </c>
      <c r="C1263">
        <f>_xlfn.LET(_xlpm.steps,SUBSTITUTE(Table1[[#This Row],[Input]],Table1[[#This Row],[Direction]],""),VALUE(IF(LEN(_xlpm.steps)&gt;2,RIGHT(_xlpm.steps,2),_xlpm.steps)))</f>
        <v>45</v>
      </c>
      <c r="D1263">
        <f>_xlfn.LET(_xlpm.dir,Table1[[#This Row],[Direction]],
IF(_xlpm.dir="L",
    IF(F1262-Table1[[#This Row],[Steps]]&lt;0,100+(F1262-Table1[[#This Row],[Steps]]),F1262-Table1[[#This Row],[Steps]]),
))</f>
        <v>0</v>
      </c>
      <c r="E1263">
        <f>_xlfn.LET(_xlpm.dir,Table1[[#This Row],[Direction]],
IF(_xlpm.dir="R",
    IF(F1262+Table1[[#This Row],[Steps]]&gt;99,(F1262+Table1[[#This Row],[Steps]])-100,F1262+Table1[[#This Row],[Steps]]),
))</f>
        <v>0</v>
      </c>
      <c r="F1263">
        <f>IF(Table1[[#This Row],[New Pos L]]&lt;&gt;0,Table1[[#This Row],[New Pos L]],Table1[[#This Row],[New Pos R]])</f>
        <v>0</v>
      </c>
    </row>
    <row r="1264" spans="1:6" ht="16" x14ac:dyDescent="0.2">
      <c r="A1264" s="1" t="s">
        <v>401</v>
      </c>
      <c r="B1264" t="str">
        <f>LEFT(Table1[[#This Row],[Input]],1)</f>
        <v>L</v>
      </c>
      <c r="C1264">
        <f>_xlfn.LET(_xlpm.steps,SUBSTITUTE(Table1[[#This Row],[Input]],Table1[[#This Row],[Direction]],""),VALUE(IF(LEN(_xlpm.steps)&gt;2,RIGHT(_xlpm.steps,2),_xlpm.steps)))</f>
        <v>4</v>
      </c>
      <c r="D1264">
        <f>_xlfn.LET(_xlpm.dir,Table1[[#This Row],[Direction]],
IF(_xlpm.dir="L",
    IF(F1263-Table1[[#This Row],[Steps]]&lt;0,100+(F1263-Table1[[#This Row],[Steps]]),F1263-Table1[[#This Row],[Steps]]),
))</f>
        <v>96</v>
      </c>
      <c r="E1264">
        <f>_xlfn.LET(_xlpm.dir,Table1[[#This Row],[Direction]],
IF(_xlpm.dir="R",
    IF(F1263+Table1[[#This Row],[Steps]]&gt;99,(F1263+Table1[[#This Row],[Steps]])-100,F1263+Table1[[#This Row],[Steps]]),
))</f>
        <v>0</v>
      </c>
      <c r="F1264">
        <f>IF(Table1[[#This Row],[New Pos L]]&lt;&gt;0,Table1[[#This Row],[New Pos L]],Table1[[#This Row],[New Pos R]])</f>
        <v>96</v>
      </c>
    </row>
    <row r="1265" spans="1:6" ht="16" x14ac:dyDescent="0.2">
      <c r="A1265" s="1" t="s">
        <v>74</v>
      </c>
      <c r="B1265" t="str">
        <f>LEFT(Table1[[#This Row],[Input]],1)</f>
        <v>R</v>
      </c>
      <c r="C1265">
        <f>_xlfn.LET(_xlpm.steps,SUBSTITUTE(Table1[[#This Row],[Input]],Table1[[#This Row],[Direction]],""),VALUE(IF(LEN(_xlpm.steps)&gt;2,RIGHT(_xlpm.steps,2),_xlpm.steps)))</f>
        <v>93</v>
      </c>
      <c r="D1265">
        <f>_xlfn.LET(_xlpm.dir,Table1[[#This Row],[Direction]],
IF(_xlpm.dir="L",
    IF(F1264-Table1[[#This Row],[Steps]]&lt;0,100+(F1264-Table1[[#This Row],[Steps]]),F1264-Table1[[#This Row],[Steps]]),
))</f>
        <v>0</v>
      </c>
      <c r="E1265">
        <f>_xlfn.LET(_xlpm.dir,Table1[[#This Row],[Direction]],
IF(_xlpm.dir="R",
    IF(F1264+Table1[[#This Row],[Steps]]&gt;99,(F1264+Table1[[#This Row],[Steps]])-100,F1264+Table1[[#This Row],[Steps]]),
))</f>
        <v>89</v>
      </c>
      <c r="F1265">
        <f>IF(Table1[[#This Row],[New Pos L]]&lt;&gt;0,Table1[[#This Row],[New Pos L]],Table1[[#This Row],[New Pos R]])</f>
        <v>89</v>
      </c>
    </row>
    <row r="1266" spans="1:6" ht="16" x14ac:dyDescent="0.2">
      <c r="A1266" s="1" t="s">
        <v>379</v>
      </c>
      <c r="B1266" t="str">
        <f>LEFT(Table1[[#This Row],[Input]],1)</f>
        <v>L</v>
      </c>
      <c r="C1266">
        <f>_xlfn.LET(_xlpm.steps,SUBSTITUTE(Table1[[#This Row],[Input]],Table1[[#This Row],[Direction]],""),VALUE(IF(LEN(_xlpm.steps)&gt;2,RIGHT(_xlpm.steps,2),_xlpm.steps)))</f>
        <v>4</v>
      </c>
      <c r="D1266">
        <f>_xlfn.LET(_xlpm.dir,Table1[[#This Row],[Direction]],
IF(_xlpm.dir="L",
    IF(F1265-Table1[[#This Row],[Steps]]&lt;0,100+(F1265-Table1[[#This Row],[Steps]]),F1265-Table1[[#This Row],[Steps]]),
))</f>
        <v>85</v>
      </c>
      <c r="E1266">
        <f>_xlfn.LET(_xlpm.dir,Table1[[#This Row],[Direction]],
IF(_xlpm.dir="R",
    IF(F1265+Table1[[#This Row],[Steps]]&gt;99,(F1265+Table1[[#This Row],[Steps]])-100,F1265+Table1[[#This Row],[Steps]]),
))</f>
        <v>0</v>
      </c>
      <c r="F1266">
        <f>IF(Table1[[#This Row],[New Pos L]]&lt;&gt;0,Table1[[#This Row],[New Pos L]],Table1[[#This Row],[New Pos R]])</f>
        <v>85</v>
      </c>
    </row>
    <row r="1267" spans="1:6" ht="16" x14ac:dyDescent="0.2">
      <c r="A1267" s="1" t="s">
        <v>125</v>
      </c>
      <c r="B1267" t="str">
        <f>LEFT(Table1[[#This Row],[Input]],1)</f>
        <v>L</v>
      </c>
      <c r="C1267">
        <f>_xlfn.LET(_xlpm.steps,SUBSTITUTE(Table1[[#This Row],[Input]],Table1[[#This Row],[Direction]],""),VALUE(IF(LEN(_xlpm.steps)&gt;2,RIGHT(_xlpm.steps,2),_xlpm.steps)))</f>
        <v>76</v>
      </c>
      <c r="D1267">
        <f>_xlfn.LET(_xlpm.dir,Table1[[#This Row],[Direction]],
IF(_xlpm.dir="L",
    IF(F1266-Table1[[#This Row],[Steps]]&lt;0,100+(F1266-Table1[[#This Row],[Steps]]),F1266-Table1[[#This Row],[Steps]]),
))</f>
        <v>9</v>
      </c>
      <c r="E1267">
        <f>_xlfn.LET(_xlpm.dir,Table1[[#This Row],[Direction]],
IF(_xlpm.dir="R",
    IF(F1266+Table1[[#This Row],[Steps]]&gt;99,(F1266+Table1[[#This Row],[Steps]])-100,F1266+Table1[[#This Row],[Steps]]),
))</f>
        <v>0</v>
      </c>
      <c r="F1267">
        <f>IF(Table1[[#This Row],[New Pos L]]&lt;&gt;0,Table1[[#This Row],[New Pos L]],Table1[[#This Row],[New Pos R]])</f>
        <v>9</v>
      </c>
    </row>
    <row r="1268" spans="1:6" ht="16" x14ac:dyDescent="0.2">
      <c r="A1268" s="1" t="s">
        <v>402</v>
      </c>
      <c r="B1268" t="str">
        <f>LEFT(Table1[[#This Row],[Input]],1)</f>
        <v>R</v>
      </c>
      <c r="C1268">
        <f>_xlfn.LET(_xlpm.steps,SUBSTITUTE(Table1[[#This Row],[Input]],Table1[[#This Row],[Direction]],""),VALUE(IF(LEN(_xlpm.steps)&gt;2,RIGHT(_xlpm.steps,2),_xlpm.steps)))</f>
        <v>91</v>
      </c>
      <c r="D1268">
        <f>_xlfn.LET(_xlpm.dir,Table1[[#This Row],[Direction]],
IF(_xlpm.dir="L",
    IF(F1267-Table1[[#This Row],[Steps]]&lt;0,100+(F1267-Table1[[#This Row],[Steps]]),F1267-Table1[[#This Row],[Steps]]),
))</f>
        <v>0</v>
      </c>
      <c r="E1268">
        <f>_xlfn.LET(_xlpm.dir,Table1[[#This Row],[Direction]],
IF(_xlpm.dir="R",
    IF(F1267+Table1[[#This Row],[Steps]]&gt;99,(F1267+Table1[[#This Row],[Steps]])-100,F1267+Table1[[#This Row],[Steps]]),
))</f>
        <v>0</v>
      </c>
      <c r="F1268">
        <f>IF(Table1[[#This Row],[New Pos L]]&lt;&gt;0,Table1[[#This Row],[New Pos L]],Table1[[#This Row],[New Pos R]])</f>
        <v>0</v>
      </c>
    </row>
    <row r="1269" spans="1:6" ht="16" x14ac:dyDescent="0.2">
      <c r="A1269" s="1" t="s">
        <v>129</v>
      </c>
      <c r="B1269" t="str">
        <f>LEFT(Table1[[#This Row],[Input]],1)</f>
        <v>R</v>
      </c>
      <c r="C1269">
        <f>_xlfn.LET(_xlpm.steps,SUBSTITUTE(Table1[[#This Row],[Input]],Table1[[#This Row],[Direction]],""),VALUE(IF(LEN(_xlpm.steps)&gt;2,RIGHT(_xlpm.steps,2),_xlpm.steps)))</f>
        <v>8</v>
      </c>
      <c r="D1269">
        <f>_xlfn.LET(_xlpm.dir,Table1[[#This Row],[Direction]],
IF(_xlpm.dir="L",
    IF(F1268-Table1[[#This Row],[Steps]]&lt;0,100+(F1268-Table1[[#This Row],[Steps]]),F1268-Table1[[#This Row],[Steps]]),
))</f>
        <v>0</v>
      </c>
      <c r="E1269">
        <f>_xlfn.LET(_xlpm.dir,Table1[[#This Row],[Direction]],
IF(_xlpm.dir="R",
    IF(F1268+Table1[[#This Row],[Steps]]&gt;99,(F1268+Table1[[#This Row],[Steps]])-100,F1268+Table1[[#This Row],[Steps]]),
))</f>
        <v>8</v>
      </c>
      <c r="F1269">
        <f>IF(Table1[[#This Row],[New Pos L]]&lt;&gt;0,Table1[[#This Row],[New Pos L]],Table1[[#This Row],[New Pos R]])</f>
        <v>8</v>
      </c>
    </row>
    <row r="1270" spans="1:6" ht="16" x14ac:dyDescent="0.2">
      <c r="A1270" s="1" t="s">
        <v>59</v>
      </c>
      <c r="B1270" t="str">
        <f>LEFT(Table1[[#This Row],[Input]],1)</f>
        <v>L</v>
      </c>
      <c r="C1270">
        <f>_xlfn.LET(_xlpm.steps,SUBSTITUTE(Table1[[#This Row],[Input]],Table1[[#This Row],[Direction]],""),VALUE(IF(LEN(_xlpm.steps)&gt;2,RIGHT(_xlpm.steps,2),_xlpm.steps)))</f>
        <v>6</v>
      </c>
      <c r="D1270">
        <f>_xlfn.LET(_xlpm.dir,Table1[[#This Row],[Direction]],
IF(_xlpm.dir="L",
    IF(F1269-Table1[[#This Row],[Steps]]&lt;0,100+(F1269-Table1[[#This Row],[Steps]]),F1269-Table1[[#This Row],[Steps]]),
))</f>
        <v>2</v>
      </c>
      <c r="E1270">
        <f>_xlfn.LET(_xlpm.dir,Table1[[#This Row],[Direction]],
IF(_xlpm.dir="R",
    IF(F1269+Table1[[#This Row],[Steps]]&gt;99,(F1269+Table1[[#This Row],[Steps]])-100,F1269+Table1[[#This Row],[Steps]]),
))</f>
        <v>0</v>
      </c>
      <c r="F1270">
        <f>IF(Table1[[#This Row],[New Pos L]]&lt;&gt;0,Table1[[#This Row],[New Pos L]],Table1[[#This Row],[New Pos R]])</f>
        <v>2</v>
      </c>
    </row>
    <row r="1271" spans="1:6" ht="16" x14ac:dyDescent="0.2">
      <c r="A1271" s="1" t="s">
        <v>403</v>
      </c>
      <c r="B1271" t="str">
        <f>LEFT(Table1[[#This Row],[Input]],1)</f>
        <v>L</v>
      </c>
      <c r="C1271">
        <f>_xlfn.LET(_xlpm.steps,SUBSTITUTE(Table1[[#This Row],[Input]],Table1[[#This Row],[Direction]],""),VALUE(IF(LEN(_xlpm.steps)&gt;2,RIGHT(_xlpm.steps,2),_xlpm.steps)))</f>
        <v>2</v>
      </c>
      <c r="D1271">
        <f>_xlfn.LET(_xlpm.dir,Table1[[#This Row],[Direction]],
IF(_xlpm.dir="L",
    IF(F1270-Table1[[#This Row],[Steps]]&lt;0,100+(F1270-Table1[[#This Row],[Steps]]),F1270-Table1[[#This Row],[Steps]]),
))</f>
        <v>0</v>
      </c>
      <c r="E1271">
        <f>_xlfn.LET(_xlpm.dir,Table1[[#This Row],[Direction]],
IF(_xlpm.dir="R",
    IF(F1270+Table1[[#This Row],[Steps]]&gt;99,(F1270+Table1[[#This Row],[Steps]])-100,F1270+Table1[[#This Row],[Steps]]),
))</f>
        <v>0</v>
      </c>
      <c r="F1271">
        <f>IF(Table1[[#This Row],[New Pos L]]&lt;&gt;0,Table1[[#This Row],[New Pos L]],Table1[[#This Row],[New Pos R]])</f>
        <v>0</v>
      </c>
    </row>
    <row r="1272" spans="1:6" ht="16" x14ac:dyDescent="0.2">
      <c r="A1272" s="1" t="s">
        <v>167</v>
      </c>
      <c r="B1272" t="str">
        <f>LEFT(Table1[[#This Row],[Input]],1)</f>
        <v>L</v>
      </c>
      <c r="C1272">
        <f>_xlfn.LET(_xlpm.steps,SUBSTITUTE(Table1[[#This Row],[Input]],Table1[[#This Row],[Direction]],""),VALUE(IF(LEN(_xlpm.steps)&gt;2,RIGHT(_xlpm.steps,2),_xlpm.steps)))</f>
        <v>59</v>
      </c>
      <c r="D1272">
        <f>_xlfn.LET(_xlpm.dir,Table1[[#This Row],[Direction]],
IF(_xlpm.dir="L",
    IF(F1271-Table1[[#This Row],[Steps]]&lt;0,100+(F1271-Table1[[#This Row],[Steps]]),F1271-Table1[[#This Row],[Steps]]),
))</f>
        <v>41</v>
      </c>
      <c r="E1272">
        <f>_xlfn.LET(_xlpm.dir,Table1[[#This Row],[Direction]],
IF(_xlpm.dir="R",
    IF(F1271+Table1[[#This Row],[Steps]]&gt;99,(F1271+Table1[[#This Row],[Steps]])-100,F1271+Table1[[#This Row],[Steps]]),
))</f>
        <v>0</v>
      </c>
      <c r="F1272">
        <f>IF(Table1[[#This Row],[New Pos L]]&lt;&gt;0,Table1[[#This Row],[New Pos L]],Table1[[#This Row],[New Pos R]])</f>
        <v>41</v>
      </c>
    </row>
    <row r="1273" spans="1:6" ht="16" x14ac:dyDescent="0.2">
      <c r="A1273" s="1" t="s">
        <v>194</v>
      </c>
      <c r="B1273" t="str">
        <f>LEFT(Table1[[#This Row],[Input]],1)</f>
        <v>R</v>
      </c>
      <c r="C1273">
        <f>_xlfn.LET(_xlpm.steps,SUBSTITUTE(Table1[[#This Row],[Input]],Table1[[#This Row],[Direction]],""),VALUE(IF(LEN(_xlpm.steps)&gt;2,RIGHT(_xlpm.steps,2),_xlpm.steps)))</f>
        <v>51</v>
      </c>
      <c r="D1273">
        <f>_xlfn.LET(_xlpm.dir,Table1[[#This Row],[Direction]],
IF(_xlpm.dir="L",
    IF(F1272-Table1[[#This Row],[Steps]]&lt;0,100+(F1272-Table1[[#This Row],[Steps]]),F1272-Table1[[#This Row],[Steps]]),
))</f>
        <v>0</v>
      </c>
      <c r="E1273">
        <f>_xlfn.LET(_xlpm.dir,Table1[[#This Row],[Direction]],
IF(_xlpm.dir="R",
    IF(F1272+Table1[[#This Row],[Steps]]&gt;99,(F1272+Table1[[#This Row],[Steps]])-100,F1272+Table1[[#This Row],[Steps]]),
))</f>
        <v>92</v>
      </c>
      <c r="F1273">
        <f>IF(Table1[[#This Row],[New Pos L]]&lt;&gt;0,Table1[[#This Row],[New Pos L]],Table1[[#This Row],[New Pos R]])</f>
        <v>92</v>
      </c>
    </row>
    <row r="1274" spans="1:6" ht="16" x14ac:dyDescent="0.2">
      <c r="A1274" s="1" t="s">
        <v>35</v>
      </c>
      <c r="B1274" t="str">
        <f>LEFT(Table1[[#This Row],[Input]],1)</f>
        <v>L</v>
      </c>
      <c r="C1274">
        <f>_xlfn.LET(_xlpm.steps,SUBSTITUTE(Table1[[#This Row],[Input]],Table1[[#This Row],[Direction]],""),VALUE(IF(LEN(_xlpm.steps)&gt;2,RIGHT(_xlpm.steps,2),_xlpm.steps)))</f>
        <v>2</v>
      </c>
      <c r="D1274">
        <f>_xlfn.LET(_xlpm.dir,Table1[[#This Row],[Direction]],
IF(_xlpm.dir="L",
    IF(F1273-Table1[[#This Row],[Steps]]&lt;0,100+(F1273-Table1[[#This Row],[Steps]]),F1273-Table1[[#This Row],[Steps]]),
))</f>
        <v>90</v>
      </c>
      <c r="E1274">
        <f>_xlfn.LET(_xlpm.dir,Table1[[#This Row],[Direction]],
IF(_xlpm.dir="R",
    IF(F1273+Table1[[#This Row],[Steps]]&gt;99,(F1273+Table1[[#This Row],[Steps]])-100,F1273+Table1[[#This Row],[Steps]]),
))</f>
        <v>0</v>
      </c>
      <c r="F1274">
        <f>IF(Table1[[#This Row],[New Pos L]]&lt;&gt;0,Table1[[#This Row],[New Pos L]],Table1[[#This Row],[New Pos R]])</f>
        <v>90</v>
      </c>
    </row>
    <row r="1275" spans="1:6" ht="16" x14ac:dyDescent="0.2">
      <c r="A1275" s="1" t="s">
        <v>64</v>
      </c>
      <c r="B1275" t="str">
        <f>LEFT(Table1[[#This Row],[Input]],1)</f>
        <v>R</v>
      </c>
      <c r="C1275">
        <f>_xlfn.LET(_xlpm.steps,SUBSTITUTE(Table1[[#This Row],[Input]],Table1[[#This Row],[Direction]],""),VALUE(IF(LEN(_xlpm.steps)&gt;2,RIGHT(_xlpm.steps,2),_xlpm.steps)))</f>
        <v>10</v>
      </c>
      <c r="D1275">
        <f>_xlfn.LET(_xlpm.dir,Table1[[#This Row],[Direction]],
IF(_xlpm.dir="L",
    IF(F1274-Table1[[#This Row],[Steps]]&lt;0,100+(F1274-Table1[[#This Row],[Steps]]),F1274-Table1[[#This Row],[Steps]]),
))</f>
        <v>0</v>
      </c>
      <c r="E1275">
        <f>_xlfn.LET(_xlpm.dir,Table1[[#This Row],[Direction]],
IF(_xlpm.dir="R",
    IF(F1274+Table1[[#This Row],[Steps]]&gt;99,(F1274+Table1[[#This Row],[Steps]])-100,F1274+Table1[[#This Row],[Steps]]),
))</f>
        <v>0</v>
      </c>
      <c r="F1275">
        <f>IF(Table1[[#This Row],[New Pos L]]&lt;&gt;0,Table1[[#This Row],[New Pos L]],Table1[[#This Row],[New Pos R]])</f>
        <v>0</v>
      </c>
    </row>
    <row r="1276" spans="1:6" ht="16" x14ac:dyDescent="0.2">
      <c r="A1276" s="1" t="s">
        <v>404</v>
      </c>
      <c r="B1276" t="str">
        <f>LEFT(Table1[[#This Row],[Input]],1)</f>
        <v>R</v>
      </c>
      <c r="C1276">
        <f>_xlfn.LET(_xlpm.steps,SUBSTITUTE(Table1[[#This Row],[Input]],Table1[[#This Row],[Direction]],""),VALUE(IF(LEN(_xlpm.steps)&gt;2,RIGHT(_xlpm.steps,2),_xlpm.steps)))</f>
        <v>13</v>
      </c>
      <c r="D1276">
        <f>_xlfn.LET(_xlpm.dir,Table1[[#This Row],[Direction]],
IF(_xlpm.dir="L",
    IF(F1275-Table1[[#This Row],[Steps]]&lt;0,100+(F1275-Table1[[#This Row],[Steps]]),F1275-Table1[[#This Row],[Steps]]),
))</f>
        <v>0</v>
      </c>
      <c r="E1276">
        <f>_xlfn.LET(_xlpm.dir,Table1[[#This Row],[Direction]],
IF(_xlpm.dir="R",
    IF(F1275+Table1[[#This Row],[Steps]]&gt;99,(F1275+Table1[[#This Row],[Steps]])-100,F1275+Table1[[#This Row],[Steps]]),
))</f>
        <v>13</v>
      </c>
      <c r="F1276">
        <f>IF(Table1[[#This Row],[New Pos L]]&lt;&gt;0,Table1[[#This Row],[New Pos L]],Table1[[#This Row],[New Pos R]])</f>
        <v>13</v>
      </c>
    </row>
    <row r="1277" spans="1:6" ht="16" x14ac:dyDescent="0.2">
      <c r="A1277" s="1" t="s">
        <v>117</v>
      </c>
      <c r="B1277" t="str">
        <f>LEFT(Table1[[#This Row],[Input]],1)</f>
        <v>L</v>
      </c>
      <c r="C1277">
        <f>_xlfn.LET(_xlpm.steps,SUBSTITUTE(Table1[[#This Row],[Input]],Table1[[#This Row],[Direction]],""),VALUE(IF(LEN(_xlpm.steps)&gt;2,RIGHT(_xlpm.steps,2),_xlpm.steps)))</f>
        <v>13</v>
      </c>
      <c r="D1277">
        <f>_xlfn.LET(_xlpm.dir,Table1[[#This Row],[Direction]],
IF(_xlpm.dir="L",
    IF(F1276-Table1[[#This Row],[Steps]]&lt;0,100+(F1276-Table1[[#This Row],[Steps]]),F1276-Table1[[#This Row],[Steps]]),
))</f>
        <v>0</v>
      </c>
      <c r="E1277">
        <f>_xlfn.LET(_xlpm.dir,Table1[[#This Row],[Direction]],
IF(_xlpm.dir="R",
    IF(F1276+Table1[[#This Row],[Steps]]&gt;99,(F1276+Table1[[#This Row],[Steps]])-100,F1276+Table1[[#This Row],[Steps]]),
))</f>
        <v>0</v>
      </c>
      <c r="F1277">
        <f>IF(Table1[[#This Row],[New Pos L]]&lt;&gt;0,Table1[[#This Row],[New Pos L]],Table1[[#This Row],[New Pos R]])</f>
        <v>0</v>
      </c>
    </row>
    <row r="1278" spans="1:6" ht="16" x14ac:dyDescent="0.2">
      <c r="A1278" s="1" t="s">
        <v>138</v>
      </c>
      <c r="B1278" t="str">
        <f>LEFT(Table1[[#This Row],[Input]],1)</f>
        <v>L</v>
      </c>
      <c r="C1278">
        <f>_xlfn.LET(_xlpm.steps,SUBSTITUTE(Table1[[#This Row],[Input]],Table1[[#This Row],[Direction]],""),VALUE(IF(LEN(_xlpm.steps)&gt;2,RIGHT(_xlpm.steps,2),_xlpm.steps)))</f>
        <v>94</v>
      </c>
      <c r="D1278">
        <f>_xlfn.LET(_xlpm.dir,Table1[[#This Row],[Direction]],
IF(_xlpm.dir="L",
    IF(F1277-Table1[[#This Row],[Steps]]&lt;0,100+(F1277-Table1[[#This Row],[Steps]]),F1277-Table1[[#This Row],[Steps]]),
))</f>
        <v>6</v>
      </c>
      <c r="E1278">
        <f>_xlfn.LET(_xlpm.dir,Table1[[#This Row],[Direction]],
IF(_xlpm.dir="R",
    IF(F1277+Table1[[#This Row],[Steps]]&gt;99,(F1277+Table1[[#This Row],[Steps]])-100,F1277+Table1[[#This Row],[Steps]]),
))</f>
        <v>0</v>
      </c>
      <c r="F1278">
        <f>IF(Table1[[#This Row],[New Pos L]]&lt;&gt;0,Table1[[#This Row],[New Pos L]],Table1[[#This Row],[New Pos R]])</f>
        <v>6</v>
      </c>
    </row>
    <row r="1279" spans="1:6" ht="16" x14ac:dyDescent="0.2">
      <c r="A1279" s="1" t="s">
        <v>253</v>
      </c>
      <c r="B1279" t="str">
        <f>LEFT(Table1[[#This Row],[Input]],1)</f>
        <v>R</v>
      </c>
      <c r="C1279">
        <f>_xlfn.LET(_xlpm.steps,SUBSTITUTE(Table1[[#This Row],[Input]],Table1[[#This Row],[Direction]],""),VALUE(IF(LEN(_xlpm.steps)&gt;2,RIGHT(_xlpm.steps,2),_xlpm.steps)))</f>
        <v>94</v>
      </c>
      <c r="D1279">
        <f>_xlfn.LET(_xlpm.dir,Table1[[#This Row],[Direction]],
IF(_xlpm.dir="L",
    IF(F1278-Table1[[#This Row],[Steps]]&lt;0,100+(F1278-Table1[[#This Row],[Steps]]),F1278-Table1[[#This Row],[Steps]]),
))</f>
        <v>0</v>
      </c>
      <c r="E1279">
        <f>_xlfn.LET(_xlpm.dir,Table1[[#This Row],[Direction]],
IF(_xlpm.dir="R",
    IF(F1278+Table1[[#This Row],[Steps]]&gt;99,(F1278+Table1[[#This Row],[Steps]])-100,F1278+Table1[[#This Row],[Steps]]),
))</f>
        <v>0</v>
      </c>
      <c r="F1279">
        <f>IF(Table1[[#This Row],[New Pos L]]&lt;&gt;0,Table1[[#This Row],[New Pos L]],Table1[[#This Row],[New Pos R]])</f>
        <v>0</v>
      </c>
    </row>
    <row r="1280" spans="1:6" ht="16" x14ac:dyDescent="0.2">
      <c r="A1280" s="1" t="s">
        <v>405</v>
      </c>
      <c r="B1280" t="str">
        <f>LEFT(Table1[[#This Row],[Input]],1)</f>
        <v>L</v>
      </c>
      <c r="C1280">
        <f>_xlfn.LET(_xlpm.steps,SUBSTITUTE(Table1[[#This Row],[Input]],Table1[[#This Row],[Direction]],""),VALUE(IF(LEN(_xlpm.steps)&gt;2,RIGHT(_xlpm.steps,2),_xlpm.steps)))</f>
        <v>32</v>
      </c>
      <c r="D1280">
        <f>_xlfn.LET(_xlpm.dir,Table1[[#This Row],[Direction]],
IF(_xlpm.dir="L",
    IF(F1279-Table1[[#This Row],[Steps]]&lt;0,100+(F1279-Table1[[#This Row],[Steps]]),F1279-Table1[[#This Row],[Steps]]),
))</f>
        <v>68</v>
      </c>
      <c r="E1280">
        <f>_xlfn.LET(_xlpm.dir,Table1[[#This Row],[Direction]],
IF(_xlpm.dir="R",
    IF(F1279+Table1[[#This Row],[Steps]]&gt;99,(F1279+Table1[[#This Row],[Steps]])-100,F1279+Table1[[#This Row],[Steps]]),
))</f>
        <v>0</v>
      </c>
      <c r="F1280">
        <f>IF(Table1[[#This Row],[New Pos L]]&lt;&gt;0,Table1[[#This Row],[New Pos L]],Table1[[#This Row],[New Pos R]])</f>
        <v>68</v>
      </c>
    </row>
    <row r="1281" spans="1:6" ht="16" x14ac:dyDescent="0.2">
      <c r="A1281" s="1" t="s">
        <v>39</v>
      </c>
      <c r="B1281" t="str">
        <f>LEFT(Table1[[#This Row],[Input]],1)</f>
        <v>R</v>
      </c>
      <c r="C1281">
        <f>_xlfn.LET(_xlpm.steps,SUBSTITUTE(Table1[[#This Row],[Input]],Table1[[#This Row],[Direction]],""),VALUE(IF(LEN(_xlpm.steps)&gt;2,RIGHT(_xlpm.steps,2),_xlpm.steps)))</f>
        <v>32</v>
      </c>
      <c r="D1281">
        <f>_xlfn.LET(_xlpm.dir,Table1[[#This Row],[Direction]],
IF(_xlpm.dir="L",
    IF(F1280-Table1[[#This Row],[Steps]]&lt;0,100+(F1280-Table1[[#This Row],[Steps]]),F1280-Table1[[#This Row],[Steps]]),
))</f>
        <v>0</v>
      </c>
      <c r="E1281">
        <f>_xlfn.LET(_xlpm.dir,Table1[[#This Row],[Direction]],
IF(_xlpm.dir="R",
    IF(F1280+Table1[[#This Row],[Steps]]&gt;99,(F1280+Table1[[#This Row],[Steps]])-100,F1280+Table1[[#This Row],[Steps]]),
))</f>
        <v>0</v>
      </c>
      <c r="F1281">
        <f>IF(Table1[[#This Row],[New Pos L]]&lt;&gt;0,Table1[[#This Row],[New Pos L]],Table1[[#This Row],[New Pos R]])</f>
        <v>0</v>
      </c>
    </row>
    <row r="1282" spans="1:6" ht="16" x14ac:dyDescent="0.2">
      <c r="A1282" s="1" t="s">
        <v>42</v>
      </c>
      <c r="B1282" t="str">
        <f>LEFT(Table1[[#This Row],[Input]],1)</f>
        <v>L</v>
      </c>
      <c r="C1282">
        <f>_xlfn.LET(_xlpm.steps,SUBSTITUTE(Table1[[#This Row],[Input]],Table1[[#This Row],[Direction]],""),VALUE(IF(LEN(_xlpm.steps)&gt;2,RIGHT(_xlpm.steps,2),_xlpm.steps)))</f>
        <v>27</v>
      </c>
      <c r="D1282">
        <f>_xlfn.LET(_xlpm.dir,Table1[[#This Row],[Direction]],
IF(_xlpm.dir="L",
    IF(F1281-Table1[[#This Row],[Steps]]&lt;0,100+(F1281-Table1[[#This Row],[Steps]]),F1281-Table1[[#This Row],[Steps]]),
))</f>
        <v>73</v>
      </c>
      <c r="E1282">
        <f>_xlfn.LET(_xlpm.dir,Table1[[#This Row],[Direction]],
IF(_xlpm.dir="R",
    IF(F1281+Table1[[#This Row],[Steps]]&gt;99,(F1281+Table1[[#This Row],[Steps]])-100,F1281+Table1[[#This Row],[Steps]]),
))</f>
        <v>0</v>
      </c>
      <c r="F1282">
        <f>IF(Table1[[#This Row],[New Pos L]]&lt;&gt;0,Table1[[#This Row],[New Pos L]],Table1[[#This Row],[New Pos R]])</f>
        <v>73</v>
      </c>
    </row>
    <row r="1283" spans="1:6" ht="16" x14ac:dyDescent="0.2">
      <c r="A1283" s="1" t="s">
        <v>13</v>
      </c>
      <c r="B1283" t="str">
        <f>LEFT(Table1[[#This Row],[Input]],1)</f>
        <v>R</v>
      </c>
      <c r="C1283">
        <f>_xlfn.LET(_xlpm.steps,SUBSTITUTE(Table1[[#This Row],[Input]],Table1[[#This Row],[Direction]],""),VALUE(IF(LEN(_xlpm.steps)&gt;2,RIGHT(_xlpm.steps,2),_xlpm.steps)))</f>
        <v>12</v>
      </c>
      <c r="D1283">
        <f>_xlfn.LET(_xlpm.dir,Table1[[#This Row],[Direction]],
IF(_xlpm.dir="L",
    IF(F1282-Table1[[#This Row],[Steps]]&lt;0,100+(F1282-Table1[[#This Row],[Steps]]),F1282-Table1[[#This Row],[Steps]]),
))</f>
        <v>0</v>
      </c>
      <c r="E1283">
        <f>_xlfn.LET(_xlpm.dir,Table1[[#This Row],[Direction]],
IF(_xlpm.dir="R",
    IF(F1282+Table1[[#This Row],[Steps]]&gt;99,(F1282+Table1[[#This Row],[Steps]])-100,F1282+Table1[[#This Row],[Steps]]),
))</f>
        <v>85</v>
      </c>
      <c r="F1283">
        <f>IF(Table1[[#This Row],[New Pos L]]&lt;&gt;0,Table1[[#This Row],[New Pos L]],Table1[[#This Row],[New Pos R]])</f>
        <v>85</v>
      </c>
    </row>
    <row r="1284" spans="1:6" ht="16" x14ac:dyDescent="0.2">
      <c r="A1284" s="1" t="s">
        <v>260</v>
      </c>
      <c r="B1284" t="str">
        <f>LEFT(Table1[[#This Row],[Input]],1)</f>
        <v>L</v>
      </c>
      <c r="C1284">
        <f>_xlfn.LET(_xlpm.steps,SUBSTITUTE(Table1[[#This Row],[Input]],Table1[[#This Row],[Direction]],""),VALUE(IF(LEN(_xlpm.steps)&gt;2,RIGHT(_xlpm.steps,2),_xlpm.steps)))</f>
        <v>85</v>
      </c>
      <c r="D1284">
        <f>_xlfn.LET(_xlpm.dir,Table1[[#This Row],[Direction]],
IF(_xlpm.dir="L",
    IF(F1283-Table1[[#This Row],[Steps]]&lt;0,100+(F1283-Table1[[#This Row],[Steps]]),F1283-Table1[[#This Row],[Steps]]),
))</f>
        <v>0</v>
      </c>
      <c r="E1284">
        <f>_xlfn.LET(_xlpm.dir,Table1[[#This Row],[Direction]],
IF(_xlpm.dir="R",
    IF(F1283+Table1[[#This Row],[Steps]]&gt;99,(F1283+Table1[[#This Row],[Steps]])-100,F1283+Table1[[#This Row],[Steps]]),
))</f>
        <v>0</v>
      </c>
      <c r="F1284">
        <f>IF(Table1[[#This Row],[New Pos L]]&lt;&gt;0,Table1[[#This Row],[New Pos L]],Table1[[#This Row],[New Pos R]])</f>
        <v>0</v>
      </c>
    </row>
    <row r="1285" spans="1:6" ht="16" x14ac:dyDescent="0.2">
      <c r="A1285" s="1" t="s">
        <v>276</v>
      </c>
      <c r="B1285" t="str">
        <f>LEFT(Table1[[#This Row],[Input]],1)</f>
        <v>L</v>
      </c>
      <c r="C1285">
        <f>_xlfn.LET(_xlpm.steps,SUBSTITUTE(Table1[[#This Row],[Input]],Table1[[#This Row],[Direction]],""),VALUE(IF(LEN(_xlpm.steps)&gt;2,RIGHT(_xlpm.steps,2),_xlpm.steps)))</f>
        <v>60</v>
      </c>
      <c r="D1285">
        <f>_xlfn.LET(_xlpm.dir,Table1[[#This Row],[Direction]],
IF(_xlpm.dir="L",
    IF(F1284-Table1[[#This Row],[Steps]]&lt;0,100+(F1284-Table1[[#This Row],[Steps]]),F1284-Table1[[#This Row],[Steps]]),
))</f>
        <v>40</v>
      </c>
      <c r="E1285">
        <f>_xlfn.LET(_xlpm.dir,Table1[[#This Row],[Direction]],
IF(_xlpm.dir="R",
    IF(F1284+Table1[[#This Row],[Steps]]&gt;99,(F1284+Table1[[#This Row],[Steps]])-100,F1284+Table1[[#This Row],[Steps]]),
))</f>
        <v>0</v>
      </c>
      <c r="F1285">
        <f>IF(Table1[[#This Row],[New Pos L]]&lt;&gt;0,Table1[[#This Row],[New Pos L]],Table1[[#This Row],[New Pos R]])</f>
        <v>40</v>
      </c>
    </row>
    <row r="1286" spans="1:6" ht="16" x14ac:dyDescent="0.2">
      <c r="A1286" s="1" t="s">
        <v>75</v>
      </c>
      <c r="B1286" t="str">
        <f>LEFT(Table1[[#This Row],[Input]],1)</f>
        <v>R</v>
      </c>
      <c r="C1286">
        <f>_xlfn.LET(_xlpm.steps,SUBSTITUTE(Table1[[#This Row],[Input]],Table1[[#This Row],[Direction]],""),VALUE(IF(LEN(_xlpm.steps)&gt;2,RIGHT(_xlpm.steps,2),_xlpm.steps)))</f>
        <v>2</v>
      </c>
      <c r="D1286">
        <f>_xlfn.LET(_xlpm.dir,Table1[[#This Row],[Direction]],
IF(_xlpm.dir="L",
    IF(F1285-Table1[[#This Row],[Steps]]&lt;0,100+(F1285-Table1[[#This Row],[Steps]]),F1285-Table1[[#This Row],[Steps]]),
))</f>
        <v>0</v>
      </c>
      <c r="E1286">
        <f>_xlfn.LET(_xlpm.dir,Table1[[#This Row],[Direction]],
IF(_xlpm.dir="R",
    IF(F1285+Table1[[#This Row],[Steps]]&gt;99,(F1285+Table1[[#This Row],[Steps]])-100,F1285+Table1[[#This Row],[Steps]]),
))</f>
        <v>42</v>
      </c>
      <c r="F1286">
        <f>IF(Table1[[#This Row],[New Pos L]]&lt;&gt;0,Table1[[#This Row],[New Pos L]],Table1[[#This Row],[New Pos R]])</f>
        <v>42</v>
      </c>
    </row>
    <row r="1287" spans="1:6" ht="16" x14ac:dyDescent="0.2">
      <c r="A1287" s="1" t="s">
        <v>151</v>
      </c>
      <c r="B1287" t="str">
        <f>LEFT(Table1[[#This Row],[Input]],1)</f>
        <v>L</v>
      </c>
      <c r="C1287">
        <f>_xlfn.LET(_xlpm.steps,SUBSTITUTE(Table1[[#This Row],[Input]],Table1[[#This Row],[Direction]],""),VALUE(IF(LEN(_xlpm.steps)&gt;2,RIGHT(_xlpm.steps,2),_xlpm.steps)))</f>
        <v>74</v>
      </c>
      <c r="D1287">
        <f>_xlfn.LET(_xlpm.dir,Table1[[#This Row],[Direction]],
IF(_xlpm.dir="L",
    IF(F1286-Table1[[#This Row],[Steps]]&lt;0,100+(F1286-Table1[[#This Row],[Steps]]),F1286-Table1[[#This Row],[Steps]]),
))</f>
        <v>68</v>
      </c>
      <c r="E1287">
        <f>_xlfn.LET(_xlpm.dir,Table1[[#This Row],[Direction]],
IF(_xlpm.dir="R",
    IF(F1286+Table1[[#This Row],[Steps]]&gt;99,(F1286+Table1[[#This Row],[Steps]])-100,F1286+Table1[[#This Row],[Steps]]),
))</f>
        <v>0</v>
      </c>
      <c r="F1287">
        <f>IF(Table1[[#This Row],[New Pos L]]&lt;&gt;0,Table1[[#This Row],[New Pos L]],Table1[[#This Row],[New Pos R]])</f>
        <v>68</v>
      </c>
    </row>
    <row r="1288" spans="1:6" ht="16" x14ac:dyDescent="0.2">
      <c r="A1288" s="1" t="s">
        <v>127</v>
      </c>
      <c r="B1288" t="str">
        <f>LEFT(Table1[[#This Row],[Input]],1)</f>
        <v>L</v>
      </c>
      <c r="C1288">
        <f>_xlfn.LET(_xlpm.steps,SUBSTITUTE(Table1[[#This Row],[Input]],Table1[[#This Row],[Direction]],""),VALUE(IF(LEN(_xlpm.steps)&gt;2,RIGHT(_xlpm.steps,2),_xlpm.steps)))</f>
        <v>62</v>
      </c>
      <c r="D1288">
        <f>_xlfn.LET(_xlpm.dir,Table1[[#This Row],[Direction]],
IF(_xlpm.dir="L",
    IF(F1287-Table1[[#This Row],[Steps]]&lt;0,100+(F1287-Table1[[#This Row],[Steps]]),F1287-Table1[[#This Row],[Steps]]),
))</f>
        <v>6</v>
      </c>
      <c r="E1288">
        <f>_xlfn.LET(_xlpm.dir,Table1[[#This Row],[Direction]],
IF(_xlpm.dir="R",
    IF(F1287+Table1[[#This Row],[Steps]]&gt;99,(F1287+Table1[[#This Row],[Steps]])-100,F1287+Table1[[#This Row],[Steps]]),
))</f>
        <v>0</v>
      </c>
      <c r="F1288">
        <f>IF(Table1[[#This Row],[New Pos L]]&lt;&gt;0,Table1[[#This Row],[New Pos L]],Table1[[#This Row],[New Pos R]])</f>
        <v>6</v>
      </c>
    </row>
    <row r="1289" spans="1:6" ht="16" x14ac:dyDescent="0.2">
      <c r="A1289" s="1" t="s">
        <v>79</v>
      </c>
      <c r="B1289" t="str">
        <f>LEFT(Table1[[#This Row],[Input]],1)</f>
        <v>L</v>
      </c>
      <c r="C1289">
        <f>_xlfn.LET(_xlpm.steps,SUBSTITUTE(Table1[[#This Row],[Input]],Table1[[#This Row],[Direction]],""),VALUE(IF(LEN(_xlpm.steps)&gt;2,RIGHT(_xlpm.steps,2),_xlpm.steps)))</f>
        <v>45</v>
      </c>
      <c r="D1289">
        <f>_xlfn.LET(_xlpm.dir,Table1[[#This Row],[Direction]],
IF(_xlpm.dir="L",
    IF(F1288-Table1[[#This Row],[Steps]]&lt;0,100+(F1288-Table1[[#This Row],[Steps]]),F1288-Table1[[#This Row],[Steps]]),
))</f>
        <v>61</v>
      </c>
      <c r="E1289">
        <f>_xlfn.LET(_xlpm.dir,Table1[[#This Row],[Direction]],
IF(_xlpm.dir="R",
    IF(F1288+Table1[[#This Row],[Steps]]&gt;99,(F1288+Table1[[#This Row],[Steps]])-100,F1288+Table1[[#This Row],[Steps]]),
))</f>
        <v>0</v>
      </c>
      <c r="F1289">
        <f>IF(Table1[[#This Row],[New Pos L]]&lt;&gt;0,Table1[[#This Row],[New Pos L]],Table1[[#This Row],[New Pos R]])</f>
        <v>61</v>
      </c>
    </row>
    <row r="1290" spans="1:6" ht="16" x14ac:dyDescent="0.2">
      <c r="A1290" s="1" t="s">
        <v>357</v>
      </c>
      <c r="B1290" t="str">
        <f>LEFT(Table1[[#This Row],[Input]],1)</f>
        <v>R</v>
      </c>
      <c r="C1290">
        <f>_xlfn.LET(_xlpm.steps,SUBSTITUTE(Table1[[#This Row],[Input]],Table1[[#This Row],[Direction]],""),VALUE(IF(LEN(_xlpm.steps)&gt;2,RIGHT(_xlpm.steps,2),_xlpm.steps)))</f>
        <v>72</v>
      </c>
      <c r="D1290">
        <f>_xlfn.LET(_xlpm.dir,Table1[[#This Row],[Direction]],
IF(_xlpm.dir="L",
    IF(F1289-Table1[[#This Row],[Steps]]&lt;0,100+(F1289-Table1[[#This Row],[Steps]]),F1289-Table1[[#This Row],[Steps]]),
))</f>
        <v>0</v>
      </c>
      <c r="E1290">
        <f>_xlfn.LET(_xlpm.dir,Table1[[#This Row],[Direction]],
IF(_xlpm.dir="R",
    IF(F1289+Table1[[#This Row],[Steps]]&gt;99,(F1289+Table1[[#This Row],[Steps]])-100,F1289+Table1[[#This Row],[Steps]]),
))</f>
        <v>33</v>
      </c>
      <c r="F1290">
        <f>IF(Table1[[#This Row],[New Pos L]]&lt;&gt;0,Table1[[#This Row],[New Pos L]],Table1[[#This Row],[New Pos R]])</f>
        <v>33</v>
      </c>
    </row>
    <row r="1291" spans="1:6" ht="16" x14ac:dyDescent="0.2">
      <c r="A1291" s="1" t="s">
        <v>81</v>
      </c>
      <c r="B1291" t="str">
        <f>LEFT(Table1[[#This Row],[Input]],1)</f>
        <v>R</v>
      </c>
      <c r="C1291">
        <f>_xlfn.LET(_xlpm.steps,SUBSTITUTE(Table1[[#This Row],[Input]],Table1[[#This Row],[Direction]],""),VALUE(IF(LEN(_xlpm.steps)&gt;2,RIGHT(_xlpm.steps,2),_xlpm.steps)))</f>
        <v>17</v>
      </c>
      <c r="D1291">
        <f>_xlfn.LET(_xlpm.dir,Table1[[#This Row],[Direction]],
IF(_xlpm.dir="L",
    IF(F1290-Table1[[#This Row],[Steps]]&lt;0,100+(F1290-Table1[[#This Row],[Steps]]),F1290-Table1[[#This Row],[Steps]]),
))</f>
        <v>0</v>
      </c>
      <c r="E1291">
        <f>_xlfn.LET(_xlpm.dir,Table1[[#This Row],[Direction]],
IF(_xlpm.dir="R",
    IF(F1290+Table1[[#This Row],[Steps]]&gt;99,(F1290+Table1[[#This Row],[Steps]])-100,F1290+Table1[[#This Row],[Steps]]),
))</f>
        <v>50</v>
      </c>
      <c r="F1291">
        <f>IF(Table1[[#This Row],[New Pos L]]&lt;&gt;0,Table1[[#This Row],[New Pos L]],Table1[[#This Row],[New Pos R]])</f>
        <v>50</v>
      </c>
    </row>
    <row r="1292" spans="1:6" ht="16" x14ac:dyDescent="0.2">
      <c r="A1292" s="1" t="s">
        <v>53</v>
      </c>
      <c r="B1292" t="str">
        <f>LEFT(Table1[[#This Row],[Input]],1)</f>
        <v>L</v>
      </c>
      <c r="C1292">
        <f>_xlfn.LET(_xlpm.steps,SUBSTITUTE(Table1[[#This Row],[Input]],Table1[[#This Row],[Direction]],""),VALUE(IF(LEN(_xlpm.steps)&gt;2,RIGHT(_xlpm.steps,2),_xlpm.steps)))</f>
        <v>56</v>
      </c>
      <c r="D1292">
        <f>_xlfn.LET(_xlpm.dir,Table1[[#This Row],[Direction]],
IF(_xlpm.dir="L",
    IF(F1291-Table1[[#This Row],[Steps]]&lt;0,100+(F1291-Table1[[#This Row],[Steps]]),F1291-Table1[[#This Row],[Steps]]),
))</f>
        <v>94</v>
      </c>
      <c r="E1292">
        <f>_xlfn.LET(_xlpm.dir,Table1[[#This Row],[Direction]],
IF(_xlpm.dir="R",
    IF(F1291+Table1[[#This Row],[Steps]]&gt;99,(F1291+Table1[[#This Row],[Steps]])-100,F1291+Table1[[#This Row],[Steps]]),
))</f>
        <v>0</v>
      </c>
      <c r="F1292">
        <f>IF(Table1[[#This Row],[New Pos L]]&lt;&gt;0,Table1[[#This Row],[New Pos L]],Table1[[#This Row],[New Pos R]])</f>
        <v>94</v>
      </c>
    </row>
    <row r="1293" spans="1:6" ht="16" x14ac:dyDescent="0.2">
      <c r="A1293" s="1" t="s">
        <v>46</v>
      </c>
      <c r="B1293" t="str">
        <f>LEFT(Table1[[#This Row],[Input]],1)</f>
        <v>L</v>
      </c>
      <c r="C1293">
        <f>_xlfn.LET(_xlpm.steps,SUBSTITUTE(Table1[[#This Row],[Input]],Table1[[#This Row],[Direction]],""),VALUE(IF(LEN(_xlpm.steps)&gt;2,RIGHT(_xlpm.steps,2),_xlpm.steps)))</f>
        <v>97</v>
      </c>
      <c r="D1293">
        <f>_xlfn.LET(_xlpm.dir,Table1[[#This Row],[Direction]],
IF(_xlpm.dir="L",
    IF(F1292-Table1[[#This Row],[Steps]]&lt;0,100+(F1292-Table1[[#This Row],[Steps]]),F1292-Table1[[#This Row],[Steps]]),
))</f>
        <v>97</v>
      </c>
      <c r="E1293">
        <f>_xlfn.LET(_xlpm.dir,Table1[[#This Row],[Direction]],
IF(_xlpm.dir="R",
    IF(F1292+Table1[[#This Row],[Steps]]&gt;99,(F1292+Table1[[#This Row],[Steps]])-100,F1292+Table1[[#This Row],[Steps]]),
))</f>
        <v>0</v>
      </c>
      <c r="F1293">
        <f>IF(Table1[[#This Row],[New Pos L]]&lt;&gt;0,Table1[[#This Row],[New Pos L]],Table1[[#This Row],[New Pos R]])</f>
        <v>97</v>
      </c>
    </row>
    <row r="1294" spans="1:6" ht="16" x14ac:dyDescent="0.2">
      <c r="A1294" s="1" t="s">
        <v>15</v>
      </c>
      <c r="B1294" t="str">
        <f>LEFT(Table1[[#This Row],[Input]],1)</f>
        <v>R</v>
      </c>
      <c r="C1294">
        <f>_xlfn.LET(_xlpm.steps,SUBSTITUTE(Table1[[#This Row],[Input]],Table1[[#This Row],[Direction]],""),VALUE(IF(LEN(_xlpm.steps)&gt;2,RIGHT(_xlpm.steps,2),_xlpm.steps)))</f>
        <v>36</v>
      </c>
      <c r="D1294">
        <f>_xlfn.LET(_xlpm.dir,Table1[[#This Row],[Direction]],
IF(_xlpm.dir="L",
    IF(F1293-Table1[[#This Row],[Steps]]&lt;0,100+(F1293-Table1[[#This Row],[Steps]]),F1293-Table1[[#This Row],[Steps]]),
))</f>
        <v>0</v>
      </c>
      <c r="E1294">
        <f>_xlfn.LET(_xlpm.dir,Table1[[#This Row],[Direction]],
IF(_xlpm.dir="R",
    IF(F1293+Table1[[#This Row],[Steps]]&gt;99,(F1293+Table1[[#This Row],[Steps]])-100,F1293+Table1[[#This Row],[Steps]]),
))</f>
        <v>33</v>
      </c>
      <c r="F1294">
        <f>IF(Table1[[#This Row],[New Pos L]]&lt;&gt;0,Table1[[#This Row],[New Pos L]],Table1[[#This Row],[New Pos R]])</f>
        <v>33</v>
      </c>
    </row>
    <row r="1295" spans="1:6" ht="16" x14ac:dyDescent="0.2">
      <c r="A1295" s="1" t="s">
        <v>379</v>
      </c>
      <c r="B1295" t="str">
        <f>LEFT(Table1[[#This Row],[Input]],1)</f>
        <v>L</v>
      </c>
      <c r="C1295">
        <f>_xlfn.LET(_xlpm.steps,SUBSTITUTE(Table1[[#This Row],[Input]],Table1[[#This Row],[Direction]],""),VALUE(IF(LEN(_xlpm.steps)&gt;2,RIGHT(_xlpm.steps,2),_xlpm.steps)))</f>
        <v>4</v>
      </c>
      <c r="D1295">
        <f>_xlfn.LET(_xlpm.dir,Table1[[#This Row],[Direction]],
IF(_xlpm.dir="L",
    IF(F1294-Table1[[#This Row],[Steps]]&lt;0,100+(F1294-Table1[[#This Row],[Steps]]),F1294-Table1[[#This Row],[Steps]]),
))</f>
        <v>29</v>
      </c>
      <c r="E1295">
        <f>_xlfn.LET(_xlpm.dir,Table1[[#This Row],[Direction]],
IF(_xlpm.dir="R",
    IF(F1294+Table1[[#This Row],[Steps]]&gt;99,(F1294+Table1[[#This Row],[Steps]])-100,F1294+Table1[[#This Row],[Steps]]),
))</f>
        <v>0</v>
      </c>
      <c r="F1295">
        <f>IF(Table1[[#This Row],[New Pos L]]&lt;&gt;0,Table1[[#This Row],[New Pos L]],Table1[[#This Row],[New Pos R]])</f>
        <v>29</v>
      </c>
    </row>
    <row r="1296" spans="1:6" ht="16" x14ac:dyDescent="0.2">
      <c r="A1296" s="1" t="s">
        <v>245</v>
      </c>
      <c r="B1296" t="str">
        <f>LEFT(Table1[[#This Row],[Input]],1)</f>
        <v>R</v>
      </c>
      <c r="C1296">
        <f>_xlfn.LET(_xlpm.steps,SUBSTITUTE(Table1[[#This Row],[Input]],Table1[[#This Row],[Direction]],""),VALUE(IF(LEN(_xlpm.steps)&gt;2,RIGHT(_xlpm.steps,2),_xlpm.steps)))</f>
        <v>71</v>
      </c>
      <c r="D1296">
        <f>_xlfn.LET(_xlpm.dir,Table1[[#This Row],[Direction]],
IF(_xlpm.dir="L",
    IF(F1295-Table1[[#This Row],[Steps]]&lt;0,100+(F1295-Table1[[#This Row],[Steps]]),F1295-Table1[[#This Row],[Steps]]),
))</f>
        <v>0</v>
      </c>
      <c r="E1296">
        <f>_xlfn.LET(_xlpm.dir,Table1[[#This Row],[Direction]],
IF(_xlpm.dir="R",
    IF(F1295+Table1[[#This Row],[Steps]]&gt;99,(F1295+Table1[[#This Row],[Steps]])-100,F1295+Table1[[#This Row],[Steps]]),
))</f>
        <v>0</v>
      </c>
      <c r="F1296">
        <f>IF(Table1[[#This Row],[New Pos L]]&lt;&gt;0,Table1[[#This Row],[New Pos L]],Table1[[#This Row],[New Pos R]])</f>
        <v>0</v>
      </c>
    </row>
    <row r="1297" spans="1:6" ht="16" x14ac:dyDescent="0.2">
      <c r="A1297" s="1" t="s">
        <v>174</v>
      </c>
      <c r="B1297" t="str">
        <f>LEFT(Table1[[#This Row],[Input]],1)</f>
        <v>L</v>
      </c>
      <c r="C1297">
        <f>_xlfn.LET(_xlpm.steps,SUBSTITUTE(Table1[[#This Row],[Input]],Table1[[#This Row],[Direction]],""),VALUE(IF(LEN(_xlpm.steps)&gt;2,RIGHT(_xlpm.steps,2),_xlpm.steps)))</f>
        <v>92</v>
      </c>
      <c r="D1297">
        <f>_xlfn.LET(_xlpm.dir,Table1[[#This Row],[Direction]],
IF(_xlpm.dir="L",
    IF(F1296-Table1[[#This Row],[Steps]]&lt;0,100+(F1296-Table1[[#This Row],[Steps]]),F1296-Table1[[#This Row],[Steps]]),
))</f>
        <v>8</v>
      </c>
      <c r="E1297">
        <f>_xlfn.LET(_xlpm.dir,Table1[[#This Row],[Direction]],
IF(_xlpm.dir="R",
    IF(F1296+Table1[[#This Row],[Steps]]&gt;99,(F1296+Table1[[#This Row],[Steps]])-100,F1296+Table1[[#This Row],[Steps]]),
))</f>
        <v>0</v>
      </c>
      <c r="F1297">
        <f>IF(Table1[[#This Row],[New Pos L]]&lt;&gt;0,Table1[[#This Row],[New Pos L]],Table1[[#This Row],[New Pos R]])</f>
        <v>8</v>
      </c>
    </row>
    <row r="1298" spans="1:6" ht="16" x14ac:dyDescent="0.2">
      <c r="A1298" s="1" t="s">
        <v>108</v>
      </c>
      <c r="B1298" t="str">
        <f>LEFT(Table1[[#This Row],[Input]],1)</f>
        <v>R</v>
      </c>
      <c r="C1298">
        <f>_xlfn.LET(_xlpm.steps,SUBSTITUTE(Table1[[#This Row],[Input]],Table1[[#This Row],[Direction]],""),VALUE(IF(LEN(_xlpm.steps)&gt;2,RIGHT(_xlpm.steps,2),_xlpm.steps)))</f>
        <v>66</v>
      </c>
      <c r="D1298">
        <f>_xlfn.LET(_xlpm.dir,Table1[[#This Row],[Direction]],
IF(_xlpm.dir="L",
    IF(F1297-Table1[[#This Row],[Steps]]&lt;0,100+(F1297-Table1[[#This Row],[Steps]]),F1297-Table1[[#This Row],[Steps]]),
))</f>
        <v>0</v>
      </c>
      <c r="E1298">
        <f>_xlfn.LET(_xlpm.dir,Table1[[#This Row],[Direction]],
IF(_xlpm.dir="R",
    IF(F1297+Table1[[#This Row],[Steps]]&gt;99,(F1297+Table1[[#This Row],[Steps]])-100,F1297+Table1[[#This Row],[Steps]]),
))</f>
        <v>74</v>
      </c>
      <c r="F1298">
        <f>IF(Table1[[#This Row],[New Pos L]]&lt;&gt;0,Table1[[#This Row],[New Pos L]],Table1[[#This Row],[New Pos R]])</f>
        <v>74</v>
      </c>
    </row>
    <row r="1299" spans="1:6" ht="16" x14ac:dyDescent="0.2">
      <c r="A1299" s="1" t="s">
        <v>145</v>
      </c>
      <c r="B1299" t="str">
        <f>LEFT(Table1[[#This Row],[Input]],1)</f>
        <v>L</v>
      </c>
      <c r="C1299">
        <f>_xlfn.LET(_xlpm.steps,SUBSTITUTE(Table1[[#This Row],[Input]],Table1[[#This Row],[Direction]],""),VALUE(IF(LEN(_xlpm.steps)&gt;2,RIGHT(_xlpm.steps,2),_xlpm.steps)))</f>
        <v>83</v>
      </c>
      <c r="D1299">
        <f>_xlfn.LET(_xlpm.dir,Table1[[#This Row],[Direction]],
IF(_xlpm.dir="L",
    IF(F1298-Table1[[#This Row],[Steps]]&lt;0,100+(F1298-Table1[[#This Row],[Steps]]),F1298-Table1[[#This Row],[Steps]]),
))</f>
        <v>91</v>
      </c>
      <c r="E1299">
        <f>_xlfn.LET(_xlpm.dir,Table1[[#This Row],[Direction]],
IF(_xlpm.dir="R",
    IF(F1298+Table1[[#This Row],[Steps]]&gt;99,(F1298+Table1[[#This Row],[Steps]])-100,F1298+Table1[[#This Row],[Steps]]),
))</f>
        <v>0</v>
      </c>
      <c r="F1299">
        <f>IF(Table1[[#This Row],[New Pos L]]&lt;&gt;0,Table1[[#This Row],[New Pos L]],Table1[[#This Row],[New Pos R]])</f>
        <v>91</v>
      </c>
    </row>
    <row r="1300" spans="1:6" ht="16" x14ac:dyDescent="0.2">
      <c r="A1300" s="1" t="s">
        <v>53</v>
      </c>
      <c r="B1300" t="str">
        <f>LEFT(Table1[[#This Row],[Input]],1)</f>
        <v>L</v>
      </c>
      <c r="C1300">
        <f>_xlfn.LET(_xlpm.steps,SUBSTITUTE(Table1[[#This Row],[Input]],Table1[[#This Row],[Direction]],""),VALUE(IF(LEN(_xlpm.steps)&gt;2,RIGHT(_xlpm.steps,2),_xlpm.steps)))</f>
        <v>56</v>
      </c>
      <c r="D1300">
        <f>_xlfn.LET(_xlpm.dir,Table1[[#This Row],[Direction]],
IF(_xlpm.dir="L",
    IF(F1299-Table1[[#This Row],[Steps]]&lt;0,100+(F1299-Table1[[#This Row],[Steps]]),F1299-Table1[[#This Row],[Steps]]),
))</f>
        <v>35</v>
      </c>
      <c r="E1300">
        <f>_xlfn.LET(_xlpm.dir,Table1[[#This Row],[Direction]],
IF(_xlpm.dir="R",
    IF(F1299+Table1[[#This Row],[Steps]]&gt;99,(F1299+Table1[[#This Row],[Steps]])-100,F1299+Table1[[#This Row],[Steps]]),
))</f>
        <v>0</v>
      </c>
      <c r="F1300">
        <f>IF(Table1[[#This Row],[New Pos L]]&lt;&gt;0,Table1[[#This Row],[New Pos L]],Table1[[#This Row],[New Pos R]])</f>
        <v>35</v>
      </c>
    </row>
    <row r="1301" spans="1:6" ht="16" x14ac:dyDescent="0.2">
      <c r="A1301" s="1" t="s">
        <v>406</v>
      </c>
      <c r="B1301" t="str">
        <f>LEFT(Table1[[#This Row],[Input]],1)</f>
        <v>L</v>
      </c>
      <c r="C1301">
        <f>_xlfn.LET(_xlpm.steps,SUBSTITUTE(Table1[[#This Row],[Input]],Table1[[#This Row],[Direction]],""),VALUE(IF(LEN(_xlpm.steps)&gt;2,RIGHT(_xlpm.steps,2),_xlpm.steps)))</f>
        <v>35</v>
      </c>
      <c r="D1301">
        <f>_xlfn.LET(_xlpm.dir,Table1[[#This Row],[Direction]],
IF(_xlpm.dir="L",
    IF(F1300-Table1[[#This Row],[Steps]]&lt;0,100+(F1300-Table1[[#This Row],[Steps]]),F1300-Table1[[#This Row],[Steps]]),
))</f>
        <v>0</v>
      </c>
      <c r="E1301">
        <f>_xlfn.LET(_xlpm.dir,Table1[[#This Row],[Direction]],
IF(_xlpm.dir="R",
    IF(F1300+Table1[[#This Row],[Steps]]&gt;99,(F1300+Table1[[#This Row],[Steps]])-100,F1300+Table1[[#This Row],[Steps]]),
))</f>
        <v>0</v>
      </c>
      <c r="F1301">
        <f>IF(Table1[[#This Row],[New Pos L]]&lt;&gt;0,Table1[[#This Row],[New Pos L]],Table1[[#This Row],[New Pos R]])</f>
        <v>0</v>
      </c>
    </row>
    <row r="1302" spans="1:6" ht="16" x14ac:dyDescent="0.2">
      <c r="A1302" s="1" t="s">
        <v>407</v>
      </c>
      <c r="B1302" t="str">
        <f>LEFT(Table1[[#This Row],[Input]],1)</f>
        <v>R</v>
      </c>
      <c r="C1302">
        <f>_xlfn.LET(_xlpm.steps,SUBSTITUTE(Table1[[#This Row],[Input]],Table1[[#This Row],[Direction]],""),VALUE(IF(LEN(_xlpm.steps)&gt;2,RIGHT(_xlpm.steps,2),_xlpm.steps)))</f>
        <v>36</v>
      </c>
      <c r="D1302">
        <f>_xlfn.LET(_xlpm.dir,Table1[[#This Row],[Direction]],
IF(_xlpm.dir="L",
    IF(F1301-Table1[[#This Row],[Steps]]&lt;0,100+(F1301-Table1[[#This Row],[Steps]]),F1301-Table1[[#This Row],[Steps]]),
))</f>
        <v>0</v>
      </c>
      <c r="E1302">
        <f>_xlfn.LET(_xlpm.dir,Table1[[#This Row],[Direction]],
IF(_xlpm.dir="R",
    IF(F1301+Table1[[#This Row],[Steps]]&gt;99,(F1301+Table1[[#This Row],[Steps]])-100,F1301+Table1[[#This Row],[Steps]]),
))</f>
        <v>36</v>
      </c>
      <c r="F1302">
        <f>IF(Table1[[#This Row],[New Pos L]]&lt;&gt;0,Table1[[#This Row],[New Pos L]],Table1[[#This Row],[New Pos R]])</f>
        <v>36</v>
      </c>
    </row>
    <row r="1303" spans="1:6" ht="16" x14ac:dyDescent="0.2">
      <c r="A1303" s="1" t="s">
        <v>276</v>
      </c>
      <c r="B1303" t="str">
        <f>LEFT(Table1[[#This Row],[Input]],1)</f>
        <v>L</v>
      </c>
      <c r="C1303">
        <f>_xlfn.LET(_xlpm.steps,SUBSTITUTE(Table1[[#This Row],[Input]],Table1[[#This Row],[Direction]],""),VALUE(IF(LEN(_xlpm.steps)&gt;2,RIGHT(_xlpm.steps,2),_xlpm.steps)))</f>
        <v>60</v>
      </c>
      <c r="D1303">
        <f>_xlfn.LET(_xlpm.dir,Table1[[#This Row],[Direction]],
IF(_xlpm.dir="L",
    IF(F1302-Table1[[#This Row],[Steps]]&lt;0,100+(F1302-Table1[[#This Row],[Steps]]),F1302-Table1[[#This Row],[Steps]]),
))</f>
        <v>76</v>
      </c>
      <c r="E1303">
        <f>_xlfn.LET(_xlpm.dir,Table1[[#This Row],[Direction]],
IF(_xlpm.dir="R",
    IF(F1302+Table1[[#This Row],[Steps]]&gt;99,(F1302+Table1[[#This Row],[Steps]])-100,F1302+Table1[[#This Row],[Steps]]),
))</f>
        <v>0</v>
      </c>
      <c r="F1303">
        <f>IF(Table1[[#This Row],[New Pos L]]&lt;&gt;0,Table1[[#This Row],[New Pos L]],Table1[[#This Row],[New Pos R]])</f>
        <v>76</v>
      </c>
    </row>
    <row r="1304" spans="1:6" ht="16" x14ac:dyDescent="0.2">
      <c r="A1304" s="1" t="s">
        <v>57</v>
      </c>
      <c r="B1304" t="str">
        <f>LEFT(Table1[[#This Row],[Input]],1)</f>
        <v>R</v>
      </c>
      <c r="C1304">
        <f>_xlfn.LET(_xlpm.steps,SUBSTITUTE(Table1[[#This Row],[Input]],Table1[[#This Row],[Direction]],""),VALUE(IF(LEN(_xlpm.steps)&gt;2,RIGHT(_xlpm.steps,2),_xlpm.steps)))</f>
        <v>29</v>
      </c>
      <c r="D1304">
        <f>_xlfn.LET(_xlpm.dir,Table1[[#This Row],[Direction]],
IF(_xlpm.dir="L",
    IF(F1303-Table1[[#This Row],[Steps]]&lt;0,100+(F1303-Table1[[#This Row],[Steps]]),F1303-Table1[[#This Row],[Steps]]),
))</f>
        <v>0</v>
      </c>
      <c r="E1304">
        <f>_xlfn.LET(_xlpm.dir,Table1[[#This Row],[Direction]],
IF(_xlpm.dir="R",
    IF(F1303+Table1[[#This Row],[Steps]]&gt;99,(F1303+Table1[[#This Row],[Steps]])-100,F1303+Table1[[#This Row],[Steps]]),
))</f>
        <v>5</v>
      </c>
      <c r="F1304">
        <f>IF(Table1[[#This Row],[New Pos L]]&lt;&gt;0,Table1[[#This Row],[New Pos L]],Table1[[#This Row],[New Pos R]])</f>
        <v>5</v>
      </c>
    </row>
    <row r="1305" spans="1:6" ht="16" x14ac:dyDescent="0.2">
      <c r="A1305" s="1" t="s">
        <v>408</v>
      </c>
      <c r="B1305" t="str">
        <f>LEFT(Table1[[#This Row],[Input]],1)</f>
        <v>L</v>
      </c>
      <c r="C1305">
        <f>_xlfn.LET(_xlpm.steps,SUBSTITUTE(Table1[[#This Row],[Input]],Table1[[#This Row],[Direction]],""),VALUE(IF(LEN(_xlpm.steps)&gt;2,RIGHT(_xlpm.steps,2),_xlpm.steps)))</f>
        <v>5</v>
      </c>
      <c r="D1305">
        <f>_xlfn.LET(_xlpm.dir,Table1[[#This Row],[Direction]],
IF(_xlpm.dir="L",
    IF(F1304-Table1[[#This Row],[Steps]]&lt;0,100+(F1304-Table1[[#This Row],[Steps]]),F1304-Table1[[#This Row],[Steps]]),
))</f>
        <v>0</v>
      </c>
      <c r="E1305">
        <f>_xlfn.LET(_xlpm.dir,Table1[[#This Row],[Direction]],
IF(_xlpm.dir="R",
    IF(F1304+Table1[[#This Row],[Steps]]&gt;99,(F1304+Table1[[#This Row],[Steps]])-100,F1304+Table1[[#This Row],[Steps]]),
))</f>
        <v>0</v>
      </c>
      <c r="F1305">
        <f>IF(Table1[[#This Row],[New Pos L]]&lt;&gt;0,Table1[[#This Row],[New Pos L]],Table1[[#This Row],[New Pos R]])</f>
        <v>0</v>
      </c>
    </row>
    <row r="1306" spans="1:6" ht="16" x14ac:dyDescent="0.2">
      <c r="A1306" s="1" t="s">
        <v>57</v>
      </c>
      <c r="B1306" t="str">
        <f>LEFT(Table1[[#This Row],[Input]],1)</f>
        <v>R</v>
      </c>
      <c r="C1306">
        <f>_xlfn.LET(_xlpm.steps,SUBSTITUTE(Table1[[#This Row],[Input]],Table1[[#This Row],[Direction]],""),VALUE(IF(LEN(_xlpm.steps)&gt;2,RIGHT(_xlpm.steps,2),_xlpm.steps)))</f>
        <v>29</v>
      </c>
      <c r="D1306">
        <f>_xlfn.LET(_xlpm.dir,Table1[[#This Row],[Direction]],
IF(_xlpm.dir="L",
    IF(F1305-Table1[[#This Row],[Steps]]&lt;0,100+(F1305-Table1[[#This Row],[Steps]]),F1305-Table1[[#This Row],[Steps]]),
))</f>
        <v>0</v>
      </c>
      <c r="E1306">
        <f>_xlfn.LET(_xlpm.dir,Table1[[#This Row],[Direction]],
IF(_xlpm.dir="R",
    IF(F1305+Table1[[#This Row],[Steps]]&gt;99,(F1305+Table1[[#This Row],[Steps]])-100,F1305+Table1[[#This Row],[Steps]]),
))</f>
        <v>29</v>
      </c>
      <c r="F1306">
        <f>IF(Table1[[#This Row],[New Pos L]]&lt;&gt;0,Table1[[#This Row],[New Pos L]],Table1[[#This Row],[New Pos R]])</f>
        <v>29</v>
      </c>
    </row>
    <row r="1307" spans="1:6" ht="16" x14ac:dyDescent="0.2">
      <c r="A1307" s="1" t="s">
        <v>114</v>
      </c>
      <c r="B1307" t="str">
        <f>LEFT(Table1[[#This Row],[Input]],1)</f>
        <v>R</v>
      </c>
      <c r="C1307">
        <f>_xlfn.LET(_xlpm.steps,SUBSTITUTE(Table1[[#This Row],[Input]],Table1[[#This Row],[Direction]],""),VALUE(IF(LEN(_xlpm.steps)&gt;2,RIGHT(_xlpm.steps,2),_xlpm.steps)))</f>
        <v>70</v>
      </c>
      <c r="D1307">
        <f>_xlfn.LET(_xlpm.dir,Table1[[#This Row],[Direction]],
IF(_xlpm.dir="L",
    IF(F1306-Table1[[#This Row],[Steps]]&lt;0,100+(F1306-Table1[[#This Row],[Steps]]),F1306-Table1[[#This Row],[Steps]]),
))</f>
        <v>0</v>
      </c>
      <c r="E1307">
        <f>_xlfn.LET(_xlpm.dir,Table1[[#This Row],[Direction]],
IF(_xlpm.dir="R",
    IF(F1306+Table1[[#This Row],[Steps]]&gt;99,(F1306+Table1[[#This Row],[Steps]])-100,F1306+Table1[[#This Row],[Steps]]),
))</f>
        <v>99</v>
      </c>
      <c r="F1307">
        <f>IF(Table1[[#This Row],[New Pos L]]&lt;&gt;0,Table1[[#This Row],[New Pos L]],Table1[[#This Row],[New Pos R]])</f>
        <v>99</v>
      </c>
    </row>
    <row r="1308" spans="1:6" ht="16" x14ac:dyDescent="0.2">
      <c r="A1308" s="1" t="s">
        <v>409</v>
      </c>
      <c r="B1308" t="str">
        <f>LEFT(Table1[[#This Row],[Input]],1)</f>
        <v>R</v>
      </c>
      <c r="C1308">
        <f>_xlfn.LET(_xlpm.steps,SUBSTITUTE(Table1[[#This Row],[Input]],Table1[[#This Row],[Direction]],""),VALUE(IF(LEN(_xlpm.steps)&gt;2,RIGHT(_xlpm.steps,2),_xlpm.steps)))</f>
        <v>47</v>
      </c>
      <c r="D1308">
        <f>_xlfn.LET(_xlpm.dir,Table1[[#This Row],[Direction]],
IF(_xlpm.dir="L",
    IF(F1307-Table1[[#This Row],[Steps]]&lt;0,100+(F1307-Table1[[#This Row],[Steps]]),F1307-Table1[[#This Row],[Steps]]),
))</f>
        <v>0</v>
      </c>
      <c r="E1308">
        <f>_xlfn.LET(_xlpm.dir,Table1[[#This Row],[Direction]],
IF(_xlpm.dir="R",
    IF(F1307+Table1[[#This Row],[Steps]]&gt;99,(F1307+Table1[[#This Row],[Steps]])-100,F1307+Table1[[#This Row],[Steps]]),
))</f>
        <v>46</v>
      </c>
      <c r="F1308">
        <f>IF(Table1[[#This Row],[New Pos L]]&lt;&gt;0,Table1[[#This Row],[New Pos L]],Table1[[#This Row],[New Pos R]])</f>
        <v>46</v>
      </c>
    </row>
    <row r="1309" spans="1:6" ht="16" x14ac:dyDescent="0.2">
      <c r="A1309" s="1" t="s">
        <v>18</v>
      </c>
      <c r="B1309" t="str">
        <f>LEFT(Table1[[#This Row],[Input]],1)</f>
        <v>L</v>
      </c>
      <c r="C1309">
        <f>_xlfn.LET(_xlpm.steps,SUBSTITUTE(Table1[[#This Row],[Input]],Table1[[#This Row],[Direction]],""),VALUE(IF(LEN(_xlpm.steps)&gt;2,RIGHT(_xlpm.steps,2),_xlpm.steps)))</f>
        <v>46</v>
      </c>
      <c r="D1309">
        <f>_xlfn.LET(_xlpm.dir,Table1[[#This Row],[Direction]],
IF(_xlpm.dir="L",
    IF(F1308-Table1[[#This Row],[Steps]]&lt;0,100+(F1308-Table1[[#This Row],[Steps]]),F1308-Table1[[#This Row],[Steps]]),
))</f>
        <v>0</v>
      </c>
      <c r="E1309">
        <f>_xlfn.LET(_xlpm.dir,Table1[[#This Row],[Direction]],
IF(_xlpm.dir="R",
    IF(F1308+Table1[[#This Row],[Steps]]&gt;99,(F1308+Table1[[#This Row],[Steps]])-100,F1308+Table1[[#This Row],[Steps]]),
))</f>
        <v>0</v>
      </c>
      <c r="F1309">
        <f>IF(Table1[[#This Row],[New Pos L]]&lt;&gt;0,Table1[[#This Row],[New Pos L]],Table1[[#This Row],[New Pos R]])</f>
        <v>0</v>
      </c>
    </row>
    <row r="1310" spans="1:6" ht="16" x14ac:dyDescent="0.2">
      <c r="A1310" s="1" t="s">
        <v>410</v>
      </c>
      <c r="B1310" t="str">
        <f>LEFT(Table1[[#This Row],[Input]],1)</f>
        <v>R</v>
      </c>
      <c r="C1310">
        <f>_xlfn.LET(_xlpm.steps,SUBSTITUTE(Table1[[#This Row],[Input]],Table1[[#This Row],[Direction]],""),VALUE(IF(LEN(_xlpm.steps)&gt;2,RIGHT(_xlpm.steps,2),_xlpm.steps)))</f>
        <v>10</v>
      </c>
      <c r="D1310">
        <f>_xlfn.LET(_xlpm.dir,Table1[[#This Row],[Direction]],
IF(_xlpm.dir="L",
    IF(F1309-Table1[[#This Row],[Steps]]&lt;0,100+(F1309-Table1[[#This Row],[Steps]]),F1309-Table1[[#This Row],[Steps]]),
))</f>
        <v>0</v>
      </c>
      <c r="E1310">
        <f>_xlfn.LET(_xlpm.dir,Table1[[#This Row],[Direction]],
IF(_xlpm.dir="R",
    IF(F1309+Table1[[#This Row],[Steps]]&gt;99,(F1309+Table1[[#This Row],[Steps]])-100,F1309+Table1[[#This Row],[Steps]]),
))</f>
        <v>10</v>
      </c>
      <c r="F1310">
        <f>IF(Table1[[#This Row],[New Pos L]]&lt;&gt;0,Table1[[#This Row],[New Pos L]],Table1[[#This Row],[New Pos R]])</f>
        <v>10</v>
      </c>
    </row>
    <row r="1311" spans="1:6" ht="16" x14ac:dyDescent="0.2">
      <c r="A1311" s="1" t="s">
        <v>43</v>
      </c>
      <c r="B1311" t="str">
        <f>LEFT(Table1[[#This Row],[Input]],1)</f>
        <v>R</v>
      </c>
      <c r="C1311">
        <f>_xlfn.LET(_xlpm.steps,SUBSTITUTE(Table1[[#This Row],[Input]],Table1[[#This Row],[Direction]],""),VALUE(IF(LEN(_xlpm.steps)&gt;2,RIGHT(_xlpm.steps,2),_xlpm.steps)))</f>
        <v>90</v>
      </c>
      <c r="D1311">
        <f>_xlfn.LET(_xlpm.dir,Table1[[#This Row],[Direction]],
IF(_xlpm.dir="L",
    IF(F1310-Table1[[#This Row],[Steps]]&lt;0,100+(F1310-Table1[[#This Row],[Steps]]),F1310-Table1[[#This Row],[Steps]]),
))</f>
        <v>0</v>
      </c>
      <c r="E1311">
        <f>_xlfn.LET(_xlpm.dir,Table1[[#This Row],[Direction]],
IF(_xlpm.dir="R",
    IF(F1310+Table1[[#This Row],[Steps]]&gt;99,(F1310+Table1[[#This Row],[Steps]])-100,F1310+Table1[[#This Row],[Steps]]),
))</f>
        <v>0</v>
      </c>
      <c r="F1311">
        <f>IF(Table1[[#This Row],[New Pos L]]&lt;&gt;0,Table1[[#This Row],[New Pos L]],Table1[[#This Row],[New Pos R]])</f>
        <v>0</v>
      </c>
    </row>
    <row r="1312" spans="1:6" ht="16" x14ac:dyDescent="0.2">
      <c r="A1312" s="1" t="s">
        <v>411</v>
      </c>
      <c r="B1312" t="str">
        <f>LEFT(Table1[[#This Row],[Input]],1)</f>
        <v>R</v>
      </c>
      <c r="C1312">
        <f>_xlfn.LET(_xlpm.steps,SUBSTITUTE(Table1[[#This Row],[Input]],Table1[[#This Row],[Direction]],""),VALUE(IF(LEN(_xlpm.steps)&gt;2,RIGHT(_xlpm.steps,2),_xlpm.steps)))</f>
        <v>39</v>
      </c>
      <c r="D1312">
        <f>_xlfn.LET(_xlpm.dir,Table1[[#This Row],[Direction]],
IF(_xlpm.dir="L",
    IF(F1311-Table1[[#This Row],[Steps]]&lt;0,100+(F1311-Table1[[#This Row],[Steps]]),F1311-Table1[[#This Row],[Steps]]),
))</f>
        <v>0</v>
      </c>
      <c r="E1312">
        <f>_xlfn.LET(_xlpm.dir,Table1[[#This Row],[Direction]],
IF(_xlpm.dir="R",
    IF(F1311+Table1[[#This Row],[Steps]]&gt;99,(F1311+Table1[[#This Row],[Steps]])-100,F1311+Table1[[#This Row],[Steps]]),
))</f>
        <v>39</v>
      </c>
      <c r="F1312">
        <f>IF(Table1[[#This Row],[New Pos L]]&lt;&gt;0,Table1[[#This Row],[New Pos L]],Table1[[#This Row],[New Pos R]])</f>
        <v>39</v>
      </c>
    </row>
    <row r="1313" spans="1:6" ht="16" x14ac:dyDescent="0.2">
      <c r="A1313" s="1" t="s">
        <v>206</v>
      </c>
      <c r="B1313" t="str">
        <f>LEFT(Table1[[#This Row],[Input]],1)</f>
        <v>R</v>
      </c>
      <c r="C1313">
        <f>_xlfn.LET(_xlpm.steps,SUBSTITUTE(Table1[[#This Row],[Input]],Table1[[#This Row],[Direction]],""),VALUE(IF(LEN(_xlpm.steps)&gt;2,RIGHT(_xlpm.steps,2),_xlpm.steps)))</f>
        <v>62</v>
      </c>
      <c r="D1313">
        <f>_xlfn.LET(_xlpm.dir,Table1[[#This Row],[Direction]],
IF(_xlpm.dir="L",
    IF(F1312-Table1[[#This Row],[Steps]]&lt;0,100+(F1312-Table1[[#This Row],[Steps]]),F1312-Table1[[#This Row],[Steps]]),
))</f>
        <v>0</v>
      </c>
      <c r="E1313">
        <f>_xlfn.LET(_xlpm.dir,Table1[[#This Row],[Direction]],
IF(_xlpm.dir="R",
    IF(F1312+Table1[[#This Row],[Steps]]&gt;99,(F1312+Table1[[#This Row],[Steps]])-100,F1312+Table1[[#This Row],[Steps]]),
))</f>
        <v>1</v>
      </c>
      <c r="F1313">
        <f>IF(Table1[[#This Row],[New Pos L]]&lt;&gt;0,Table1[[#This Row],[New Pos L]],Table1[[#This Row],[New Pos R]])</f>
        <v>1</v>
      </c>
    </row>
    <row r="1314" spans="1:6" ht="16" x14ac:dyDescent="0.2">
      <c r="A1314" s="1" t="s">
        <v>131</v>
      </c>
      <c r="B1314" t="str">
        <f>LEFT(Table1[[#This Row],[Input]],1)</f>
        <v>R</v>
      </c>
      <c r="C1314">
        <f>_xlfn.LET(_xlpm.steps,SUBSTITUTE(Table1[[#This Row],[Input]],Table1[[#This Row],[Direction]],""),VALUE(IF(LEN(_xlpm.steps)&gt;2,RIGHT(_xlpm.steps,2),_xlpm.steps)))</f>
        <v>99</v>
      </c>
      <c r="D1314">
        <f>_xlfn.LET(_xlpm.dir,Table1[[#This Row],[Direction]],
IF(_xlpm.dir="L",
    IF(F1313-Table1[[#This Row],[Steps]]&lt;0,100+(F1313-Table1[[#This Row],[Steps]]),F1313-Table1[[#This Row],[Steps]]),
))</f>
        <v>0</v>
      </c>
      <c r="E1314">
        <f>_xlfn.LET(_xlpm.dir,Table1[[#This Row],[Direction]],
IF(_xlpm.dir="R",
    IF(F1313+Table1[[#This Row],[Steps]]&gt;99,(F1313+Table1[[#This Row],[Steps]])-100,F1313+Table1[[#This Row],[Steps]]),
))</f>
        <v>0</v>
      </c>
      <c r="F1314">
        <f>IF(Table1[[#This Row],[New Pos L]]&lt;&gt;0,Table1[[#This Row],[New Pos L]],Table1[[#This Row],[New Pos R]])</f>
        <v>0</v>
      </c>
    </row>
    <row r="1315" spans="1:6" ht="16" x14ac:dyDescent="0.2">
      <c r="A1315" s="1" t="s">
        <v>80</v>
      </c>
      <c r="B1315" t="str">
        <f>LEFT(Table1[[#This Row],[Input]],1)</f>
        <v>L</v>
      </c>
      <c r="C1315">
        <f>_xlfn.LET(_xlpm.steps,SUBSTITUTE(Table1[[#This Row],[Input]],Table1[[#This Row],[Direction]],""),VALUE(IF(LEN(_xlpm.steps)&gt;2,RIGHT(_xlpm.steps,2),_xlpm.steps)))</f>
        <v>48</v>
      </c>
      <c r="D1315">
        <f>_xlfn.LET(_xlpm.dir,Table1[[#This Row],[Direction]],
IF(_xlpm.dir="L",
    IF(F1314-Table1[[#This Row],[Steps]]&lt;0,100+(F1314-Table1[[#This Row],[Steps]]),F1314-Table1[[#This Row],[Steps]]),
))</f>
        <v>52</v>
      </c>
      <c r="E1315">
        <f>_xlfn.LET(_xlpm.dir,Table1[[#This Row],[Direction]],
IF(_xlpm.dir="R",
    IF(F1314+Table1[[#This Row],[Steps]]&gt;99,(F1314+Table1[[#This Row],[Steps]])-100,F1314+Table1[[#This Row],[Steps]]),
))</f>
        <v>0</v>
      </c>
      <c r="F1315">
        <f>IF(Table1[[#This Row],[New Pos L]]&lt;&gt;0,Table1[[#This Row],[New Pos L]],Table1[[#This Row],[New Pos R]])</f>
        <v>52</v>
      </c>
    </row>
    <row r="1316" spans="1:6" ht="16" x14ac:dyDescent="0.2">
      <c r="A1316" s="1" t="s">
        <v>8</v>
      </c>
      <c r="B1316" t="str">
        <f>LEFT(Table1[[#This Row],[Input]],1)</f>
        <v>R</v>
      </c>
      <c r="C1316">
        <f>_xlfn.LET(_xlpm.steps,SUBSTITUTE(Table1[[#This Row],[Input]],Table1[[#This Row],[Direction]],""),VALUE(IF(LEN(_xlpm.steps)&gt;2,RIGHT(_xlpm.steps,2),_xlpm.steps)))</f>
        <v>18</v>
      </c>
      <c r="D1316">
        <f>_xlfn.LET(_xlpm.dir,Table1[[#This Row],[Direction]],
IF(_xlpm.dir="L",
    IF(F1315-Table1[[#This Row],[Steps]]&lt;0,100+(F1315-Table1[[#This Row],[Steps]]),F1315-Table1[[#This Row],[Steps]]),
))</f>
        <v>0</v>
      </c>
      <c r="E1316">
        <f>_xlfn.LET(_xlpm.dir,Table1[[#This Row],[Direction]],
IF(_xlpm.dir="R",
    IF(F1315+Table1[[#This Row],[Steps]]&gt;99,(F1315+Table1[[#This Row],[Steps]])-100,F1315+Table1[[#This Row],[Steps]]),
))</f>
        <v>70</v>
      </c>
      <c r="F1316">
        <f>IF(Table1[[#This Row],[New Pos L]]&lt;&gt;0,Table1[[#This Row],[New Pos L]],Table1[[#This Row],[New Pos R]])</f>
        <v>70</v>
      </c>
    </row>
    <row r="1317" spans="1:6" ht="16" x14ac:dyDescent="0.2">
      <c r="A1317" s="1" t="s">
        <v>28</v>
      </c>
      <c r="B1317" t="str">
        <f>LEFT(Table1[[#This Row],[Input]],1)</f>
        <v>R</v>
      </c>
      <c r="C1317">
        <f>_xlfn.LET(_xlpm.steps,SUBSTITUTE(Table1[[#This Row],[Input]],Table1[[#This Row],[Direction]],""),VALUE(IF(LEN(_xlpm.steps)&gt;2,RIGHT(_xlpm.steps,2),_xlpm.steps)))</f>
        <v>30</v>
      </c>
      <c r="D1317">
        <f>_xlfn.LET(_xlpm.dir,Table1[[#This Row],[Direction]],
IF(_xlpm.dir="L",
    IF(F1316-Table1[[#This Row],[Steps]]&lt;0,100+(F1316-Table1[[#This Row],[Steps]]),F1316-Table1[[#This Row],[Steps]]),
))</f>
        <v>0</v>
      </c>
      <c r="E1317">
        <f>_xlfn.LET(_xlpm.dir,Table1[[#This Row],[Direction]],
IF(_xlpm.dir="R",
    IF(F1316+Table1[[#This Row],[Steps]]&gt;99,(F1316+Table1[[#This Row],[Steps]])-100,F1316+Table1[[#This Row],[Steps]]),
))</f>
        <v>0</v>
      </c>
      <c r="F1317">
        <f>IF(Table1[[#This Row],[New Pos L]]&lt;&gt;0,Table1[[#This Row],[New Pos L]],Table1[[#This Row],[New Pos R]])</f>
        <v>0</v>
      </c>
    </row>
    <row r="1318" spans="1:6" ht="16" x14ac:dyDescent="0.2">
      <c r="A1318" s="1" t="s">
        <v>272</v>
      </c>
      <c r="B1318" t="str">
        <f>LEFT(Table1[[#This Row],[Input]],1)</f>
        <v>R</v>
      </c>
      <c r="C1318">
        <f>_xlfn.LET(_xlpm.steps,SUBSTITUTE(Table1[[#This Row],[Input]],Table1[[#This Row],[Direction]],""),VALUE(IF(LEN(_xlpm.steps)&gt;2,RIGHT(_xlpm.steps,2),_xlpm.steps)))</f>
        <v>56</v>
      </c>
      <c r="D1318">
        <f>_xlfn.LET(_xlpm.dir,Table1[[#This Row],[Direction]],
IF(_xlpm.dir="L",
    IF(F1317-Table1[[#This Row],[Steps]]&lt;0,100+(F1317-Table1[[#This Row],[Steps]]),F1317-Table1[[#This Row],[Steps]]),
))</f>
        <v>0</v>
      </c>
      <c r="E1318">
        <f>_xlfn.LET(_xlpm.dir,Table1[[#This Row],[Direction]],
IF(_xlpm.dir="R",
    IF(F1317+Table1[[#This Row],[Steps]]&gt;99,(F1317+Table1[[#This Row],[Steps]])-100,F1317+Table1[[#This Row],[Steps]]),
))</f>
        <v>56</v>
      </c>
      <c r="F1318">
        <f>IF(Table1[[#This Row],[New Pos L]]&lt;&gt;0,Table1[[#This Row],[New Pos L]],Table1[[#This Row],[New Pos R]])</f>
        <v>56</v>
      </c>
    </row>
    <row r="1319" spans="1:6" ht="16" x14ac:dyDescent="0.2">
      <c r="A1319" s="1" t="s">
        <v>10</v>
      </c>
      <c r="B1319" t="str">
        <f>LEFT(Table1[[#This Row],[Input]],1)</f>
        <v>L</v>
      </c>
      <c r="C1319">
        <f>_xlfn.LET(_xlpm.steps,SUBSTITUTE(Table1[[#This Row],[Input]],Table1[[#This Row],[Direction]],""),VALUE(IF(LEN(_xlpm.steps)&gt;2,RIGHT(_xlpm.steps,2),_xlpm.steps)))</f>
        <v>35</v>
      </c>
      <c r="D1319">
        <f>_xlfn.LET(_xlpm.dir,Table1[[#This Row],[Direction]],
IF(_xlpm.dir="L",
    IF(F1318-Table1[[#This Row],[Steps]]&lt;0,100+(F1318-Table1[[#This Row],[Steps]]),F1318-Table1[[#This Row],[Steps]]),
))</f>
        <v>21</v>
      </c>
      <c r="E1319">
        <f>_xlfn.LET(_xlpm.dir,Table1[[#This Row],[Direction]],
IF(_xlpm.dir="R",
    IF(F1318+Table1[[#This Row],[Steps]]&gt;99,(F1318+Table1[[#This Row],[Steps]])-100,F1318+Table1[[#This Row],[Steps]]),
))</f>
        <v>0</v>
      </c>
      <c r="F1319">
        <f>IF(Table1[[#This Row],[New Pos L]]&lt;&gt;0,Table1[[#This Row],[New Pos L]],Table1[[#This Row],[New Pos R]])</f>
        <v>21</v>
      </c>
    </row>
    <row r="1320" spans="1:6" ht="16" x14ac:dyDescent="0.2">
      <c r="A1320" s="1" t="s">
        <v>83</v>
      </c>
      <c r="B1320" t="str">
        <f>LEFT(Table1[[#This Row],[Input]],1)</f>
        <v>R</v>
      </c>
      <c r="C1320">
        <f>_xlfn.LET(_xlpm.steps,SUBSTITUTE(Table1[[#This Row],[Input]],Table1[[#This Row],[Direction]],""),VALUE(IF(LEN(_xlpm.steps)&gt;2,RIGHT(_xlpm.steps,2),_xlpm.steps)))</f>
        <v>79</v>
      </c>
      <c r="D1320">
        <f>_xlfn.LET(_xlpm.dir,Table1[[#This Row],[Direction]],
IF(_xlpm.dir="L",
    IF(F1319-Table1[[#This Row],[Steps]]&lt;0,100+(F1319-Table1[[#This Row],[Steps]]),F1319-Table1[[#This Row],[Steps]]),
))</f>
        <v>0</v>
      </c>
      <c r="E1320">
        <f>_xlfn.LET(_xlpm.dir,Table1[[#This Row],[Direction]],
IF(_xlpm.dir="R",
    IF(F1319+Table1[[#This Row],[Steps]]&gt;99,(F1319+Table1[[#This Row],[Steps]])-100,F1319+Table1[[#This Row],[Steps]]),
))</f>
        <v>0</v>
      </c>
      <c r="F1320">
        <f>IF(Table1[[#This Row],[New Pos L]]&lt;&gt;0,Table1[[#This Row],[New Pos L]],Table1[[#This Row],[New Pos R]])</f>
        <v>0</v>
      </c>
    </row>
    <row r="1321" spans="1:6" ht="16" x14ac:dyDescent="0.2">
      <c r="A1321" s="1" t="s">
        <v>179</v>
      </c>
      <c r="B1321" t="str">
        <f>LEFT(Table1[[#This Row],[Input]],1)</f>
        <v>L</v>
      </c>
      <c r="C1321">
        <f>_xlfn.LET(_xlpm.steps,SUBSTITUTE(Table1[[#This Row],[Input]],Table1[[#This Row],[Direction]],""),VALUE(IF(LEN(_xlpm.steps)&gt;2,RIGHT(_xlpm.steps,2),_xlpm.steps)))</f>
        <v>54</v>
      </c>
      <c r="D1321">
        <f>_xlfn.LET(_xlpm.dir,Table1[[#This Row],[Direction]],
IF(_xlpm.dir="L",
    IF(F1320-Table1[[#This Row],[Steps]]&lt;0,100+(F1320-Table1[[#This Row],[Steps]]),F1320-Table1[[#This Row],[Steps]]),
))</f>
        <v>46</v>
      </c>
      <c r="E1321">
        <f>_xlfn.LET(_xlpm.dir,Table1[[#This Row],[Direction]],
IF(_xlpm.dir="R",
    IF(F1320+Table1[[#This Row],[Steps]]&gt;99,(F1320+Table1[[#This Row],[Steps]])-100,F1320+Table1[[#This Row],[Steps]]),
))</f>
        <v>0</v>
      </c>
      <c r="F1321">
        <f>IF(Table1[[#This Row],[New Pos L]]&lt;&gt;0,Table1[[#This Row],[New Pos L]],Table1[[#This Row],[New Pos R]])</f>
        <v>46</v>
      </c>
    </row>
    <row r="1322" spans="1:6" ht="16" x14ac:dyDescent="0.2">
      <c r="A1322" s="1" t="s">
        <v>216</v>
      </c>
      <c r="B1322" t="str">
        <f>LEFT(Table1[[#This Row],[Input]],1)</f>
        <v>R</v>
      </c>
      <c r="C1322">
        <f>_xlfn.LET(_xlpm.steps,SUBSTITUTE(Table1[[#This Row],[Input]],Table1[[#This Row],[Direction]],""),VALUE(IF(LEN(_xlpm.steps)&gt;2,RIGHT(_xlpm.steps,2),_xlpm.steps)))</f>
        <v>54</v>
      </c>
      <c r="D1322">
        <f>_xlfn.LET(_xlpm.dir,Table1[[#This Row],[Direction]],
IF(_xlpm.dir="L",
    IF(F1321-Table1[[#This Row],[Steps]]&lt;0,100+(F1321-Table1[[#This Row],[Steps]]),F1321-Table1[[#This Row],[Steps]]),
))</f>
        <v>0</v>
      </c>
      <c r="E1322">
        <f>_xlfn.LET(_xlpm.dir,Table1[[#This Row],[Direction]],
IF(_xlpm.dir="R",
    IF(F1321+Table1[[#This Row],[Steps]]&gt;99,(F1321+Table1[[#This Row],[Steps]])-100,F1321+Table1[[#This Row],[Steps]]),
))</f>
        <v>0</v>
      </c>
      <c r="F1322">
        <f>IF(Table1[[#This Row],[New Pos L]]&lt;&gt;0,Table1[[#This Row],[New Pos L]],Table1[[#This Row],[New Pos R]])</f>
        <v>0</v>
      </c>
    </row>
    <row r="1323" spans="1:6" ht="16" x14ac:dyDescent="0.2">
      <c r="A1323" s="1" t="s">
        <v>63</v>
      </c>
      <c r="B1323" t="str">
        <f>LEFT(Table1[[#This Row],[Input]],1)</f>
        <v>R</v>
      </c>
      <c r="C1323">
        <f>_xlfn.LET(_xlpm.steps,SUBSTITUTE(Table1[[#This Row],[Input]],Table1[[#This Row],[Direction]],""),VALUE(IF(LEN(_xlpm.steps)&gt;2,RIGHT(_xlpm.steps,2),_xlpm.steps)))</f>
        <v>57</v>
      </c>
      <c r="D1323">
        <f>_xlfn.LET(_xlpm.dir,Table1[[#This Row],[Direction]],
IF(_xlpm.dir="L",
    IF(F1322-Table1[[#This Row],[Steps]]&lt;0,100+(F1322-Table1[[#This Row],[Steps]]),F1322-Table1[[#This Row],[Steps]]),
))</f>
        <v>0</v>
      </c>
      <c r="E1323">
        <f>_xlfn.LET(_xlpm.dir,Table1[[#This Row],[Direction]],
IF(_xlpm.dir="R",
    IF(F1322+Table1[[#This Row],[Steps]]&gt;99,(F1322+Table1[[#This Row],[Steps]])-100,F1322+Table1[[#This Row],[Steps]]),
))</f>
        <v>57</v>
      </c>
      <c r="F1323">
        <f>IF(Table1[[#This Row],[New Pos L]]&lt;&gt;0,Table1[[#This Row],[New Pos L]],Table1[[#This Row],[New Pos R]])</f>
        <v>57</v>
      </c>
    </row>
    <row r="1324" spans="1:6" ht="16" x14ac:dyDescent="0.2">
      <c r="A1324" s="1" t="s">
        <v>60</v>
      </c>
      <c r="B1324" t="str">
        <f>LEFT(Table1[[#This Row],[Input]],1)</f>
        <v>R</v>
      </c>
      <c r="C1324">
        <f>_xlfn.LET(_xlpm.steps,SUBSTITUTE(Table1[[#This Row],[Input]],Table1[[#This Row],[Direction]],""),VALUE(IF(LEN(_xlpm.steps)&gt;2,RIGHT(_xlpm.steps,2),_xlpm.steps)))</f>
        <v>86</v>
      </c>
      <c r="D1324">
        <f>_xlfn.LET(_xlpm.dir,Table1[[#This Row],[Direction]],
IF(_xlpm.dir="L",
    IF(F1323-Table1[[#This Row],[Steps]]&lt;0,100+(F1323-Table1[[#This Row],[Steps]]),F1323-Table1[[#This Row],[Steps]]),
))</f>
        <v>0</v>
      </c>
      <c r="E1324">
        <f>_xlfn.LET(_xlpm.dir,Table1[[#This Row],[Direction]],
IF(_xlpm.dir="R",
    IF(F1323+Table1[[#This Row],[Steps]]&gt;99,(F1323+Table1[[#This Row],[Steps]])-100,F1323+Table1[[#This Row],[Steps]]),
))</f>
        <v>43</v>
      </c>
      <c r="F1324">
        <f>IF(Table1[[#This Row],[New Pos L]]&lt;&gt;0,Table1[[#This Row],[New Pos L]],Table1[[#This Row],[New Pos R]])</f>
        <v>43</v>
      </c>
    </row>
    <row r="1325" spans="1:6" ht="16" x14ac:dyDescent="0.2">
      <c r="A1325" s="1" t="s">
        <v>412</v>
      </c>
      <c r="B1325" t="str">
        <f>LEFT(Table1[[#This Row],[Input]],1)</f>
        <v>R</v>
      </c>
      <c r="C1325">
        <f>_xlfn.LET(_xlpm.steps,SUBSTITUTE(Table1[[#This Row],[Input]],Table1[[#This Row],[Direction]],""),VALUE(IF(LEN(_xlpm.steps)&gt;2,RIGHT(_xlpm.steps,2),_xlpm.steps)))</f>
        <v>12</v>
      </c>
      <c r="D1325">
        <f>_xlfn.LET(_xlpm.dir,Table1[[#This Row],[Direction]],
IF(_xlpm.dir="L",
    IF(F1324-Table1[[#This Row],[Steps]]&lt;0,100+(F1324-Table1[[#This Row],[Steps]]),F1324-Table1[[#This Row],[Steps]]),
))</f>
        <v>0</v>
      </c>
      <c r="E1325">
        <f>_xlfn.LET(_xlpm.dir,Table1[[#This Row],[Direction]],
IF(_xlpm.dir="R",
    IF(F1324+Table1[[#This Row],[Steps]]&gt;99,(F1324+Table1[[#This Row],[Steps]])-100,F1324+Table1[[#This Row],[Steps]]),
))</f>
        <v>55</v>
      </c>
      <c r="F1325">
        <f>IF(Table1[[#This Row],[New Pos L]]&lt;&gt;0,Table1[[#This Row],[New Pos L]],Table1[[#This Row],[New Pos R]])</f>
        <v>55</v>
      </c>
    </row>
    <row r="1326" spans="1:6" ht="16" x14ac:dyDescent="0.2">
      <c r="A1326" s="1" t="s">
        <v>82</v>
      </c>
      <c r="B1326" t="str">
        <f>LEFT(Table1[[#This Row],[Input]],1)</f>
        <v>L</v>
      </c>
      <c r="C1326">
        <f>_xlfn.LET(_xlpm.steps,SUBSTITUTE(Table1[[#This Row],[Input]],Table1[[#This Row],[Direction]],""),VALUE(IF(LEN(_xlpm.steps)&gt;2,RIGHT(_xlpm.steps,2),_xlpm.steps)))</f>
        <v>55</v>
      </c>
      <c r="D1326">
        <f>_xlfn.LET(_xlpm.dir,Table1[[#This Row],[Direction]],
IF(_xlpm.dir="L",
    IF(F1325-Table1[[#This Row],[Steps]]&lt;0,100+(F1325-Table1[[#This Row],[Steps]]),F1325-Table1[[#This Row],[Steps]]),
))</f>
        <v>0</v>
      </c>
      <c r="E1326">
        <f>_xlfn.LET(_xlpm.dir,Table1[[#This Row],[Direction]],
IF(_xlpm.dir="R",
    IF(F1325+Table1[[#This Row],[Steps]]&gt;99,(F1325+Table1[[#This Row],[Steps]])-100,F1325+Table1[[#This Row],[Steps]]),
))</f>
        <v>0</v>
      </c>
      <c r="F1326">
        <f>IF(Table1[[#This Row],[New Pos L]]&lt;&gt;0,Table1[[#This Row],[New Pos L]],Table1[[#This Row],[New Pos R]])</f>
        <v>0</v>
      </c>
    </row>
    <row r="1327" spans="1:6" ht="16" x14ac:dyDescent="0.2">
      <c r="A1327" s="1" t="s">
        <v>155</v>
      </c>
      <c r="B1327" t="str">
        <f>LEFT(Table1[[#This Row],[Input]],1)</f>
        <v>L</v>
      </c>
      <c r="C1327">
        <f>_xlfn.LET(_xlpm.steps,SUBSTITUTE(Table1[[#This Row],[Input]],Table1[[#This Row],[Direction]],""),VALUE(IF(LEN(_xlpm.steps)&gt;2,RIGHT(_xlpm.steps,2),_xlpm.steps)))</f>
        <v>18</v>
      </c>
      <c r="D1327">
        <f>_xlfn.LET(_xlpm.dir,Table1[[#This Row],[Direction]],
IF(_xlpm.dir="L",
    IF(F1326-Table1[[#This Row],[Steps]]&lt;0,100+(F1326-Table1[[#This Row],[Steps]]),F1326-Table1[[#This Row],[Steps]]),
))</f>
        <v>82</v>
      </c>
      <c r="E1327">
        <f>_xlfn.LET(_xlpm.dir,Table1[[#This Row],[Direction]],
IF(_xlpm.dir="R",
    IF(F1326+Table1[[#This Row],[Steps]]&gt;99,(F1326+Table1[[#This Row],[Steps]])-100,F1326+Table1[[#This Row],[Steps]]),
))</f>
        <v>0</v>
      </c>
      <c r="F1327">
        <f>IF(Table1[[#This Row],[New Pos L]]&lt;&gt;0,Table1[[#This Row],[New Pos L]],Table1[[#This Row],[New Pos R]])</f>
        <v>82</v>
      </c>
    </row>
    <row r="1328" spans="1:6" ht="16" x14ac:dyDescent="0.2">
      <c r="A1328" s="1" t="s">
        <v>309</v>
      </c>
      <c r="B1328" t="str">
        <f>LEFT(Table1[[#This Row],[Input]],1)</f>
        <v>L</v>
      </c>
      <c r="C1328">
        <f>_xlfn.LET(_xlpm.steps,SUBSTITUTE(Table1[[#This Row],[Input]],Table1[[#This Row],[Direction]],""),VALUE(IF(LEN(_xlpm.steps)&gt;2,RIGHT(_xlpm.steps,2),_xlpm.steps)))</f>
        <v>41</v>
      </c>
      <c r="D1328">
        <f>_xlfn.LET(_xlpm.dir,Table1[[#This Row],[Direction]],
IF(_xlpm.dir="L",
    IF(F1327-Table1[[#This Row],[Steps]]&lt;0,100+(F1327-Table1[[#This Row],[Steps]]),F1327-Table1[[#This Row],[Steps]]),
))</f>
        <v>41</v>
      </c>
      <c r="E1328">
        <f>_xlfn.LET(_xlpm.dir,Table1[[#This Row],[Direction]],
IF(_xlpm.dir="R",
    IF(F1327+Table1[[#This Row],[Steps]]&gt;99,(F1327+Table1[[#This Row],[Steps]])-100,F1327+Table1[[#This Row],[Steps]]),
))</f>
        <v>0</v>
      </c>
      <c r="F1328">
        <f>IF(Table1[[#This Row],[New Pos L]]&lt;&gt;0,Table1[[#This Row],[New Pos L]],Table1[[#This Row],[New Pos R]])</f>
        <v>41</v>
      </c>
    </row>
    <row r="1329" spans="1:6" ht="16" x14ac:dyDescent="0.2">
      <c r="A1329" s="1" t="s">
        <v>153</v>
      </c>
      <c r="B1329" t="str">
        <f>LEFT(Table1[[#This Row],[Input]],1)</f>
        <v>L</v>
      </c>
      <c r="C1329">
        <f>_xlfn.LET(_xlpm.steps,SUBSTITUTE(Table1[[#This Row],[Input]],Table1[[#This Row],[Direction]],""),VALUE(IF(LEN(_xlpm.steps)&gt;2,RIGHT(_xlpm.steps,2),_xlpm.steps)))</f>
        <v>41</v>
      </c>
      <c r="D1329">
        <f>_xlfn.LET(_xlpm.dir,Table1[[#This Row],[Direction]],
IF(_xlpm.dir="L",
    IF(F1328-Table1[[#This Row],[Steps]]&lt;0,100+(F1328-Table1[[#This Row],[Steps]]),F1328-Table1[[#This Row],[Steps]]),
))</f>
        <v>0</v>
      </c>
      <c r="E1329">
        <f>_xlfn.LET(_xlpm.dir,Table1[[#This Row],[Direction]],
IF(_xlpm.dir="R",
    IF(F1328+Table1[[#This Row],[Steps]]&gt;99,(F1328+Table1[[#This Row],[Steps]])-100,F1328+Table1[[#This Row],[Steps]]),
))</f>
        <v>0</v>
      </c>
      <c r="F1329">
        <f>IF(Table1[[#This Row],[New Pos L]]&lt;&gt;0,Table1[[#This Row],[New Pos L]],Table1[[#This Row],[New Pos R]])</f>
        <v>0</v>
      </c>
    </row>
    <row r="1330" spans="1:6" ht="16" x14ac:dyDescent="0.2">
      <c r="A1330" s="1" t="s">
        <v>413</v>
      </c>
      <c r="B1330" t="str">
        <f>LEFT(Table1[[#This Row],[Input]],1)</f>
        <v>L</v>
      </c>
      <c r="C1330">
        <f>_xlfn.LET(_xlpm.steps,SUBSTITUTE(Table1[[#This Row],[Input]],Table1[[#This Row],[Direction]],""),VALUE(IF(LEN(_xlpm.steps)&gt;2,RIGHT(_xlpm.steps,2),_xlpm.steps)))</f>
        <v>15</v>
      </c>
      <c r="D1330">
        <f>_xlfn.LET(_xlpm.dir,Table1[[#This Row],[Direction]],
IF(_xlpm.dir="L",
    IF(F1329-Table1[[#This Row],[Steps]]&lt;0,100+(F1329-Table1[[#This Row],[Steps]]),F1329-Table1[[#This Row],[Steps]]),
))</f>
        <v>85</v>
      </c>
      <c r="E1330">
        <f>_xlfn.LET(_xlpm.dir,Table1[[#This Row],[Direction]],
IF(_xlpm.dir="R",
    IF(F1329+Table1[[#This Row],[Steps]]&gt;99,(F1329+Table1[[#This Row],[Steps]])-100,F1329+Table1[[#This Row],[Steps]]),
))</f>
        <v>0</v>
      </c>
      <c r="F1330">
        <f>IF(Table1[[#This Row],[New Pos L]]&lt;&gt;0,Table1[[#This Row],[New Pos L]],Table1[[#This Row],[New Pos R]])</f>
        <v>85</v>
      </c>
    </row>
    <row r="1331" spans="1:6" ht="16" x14ac:dyDescent="0.2">
      <c r="A1331" s="1" t="s">
        <v>414</v>
      </c>
      <c r="B1331" t="str">
        <f>LEFT(Table1[[#This Row],[Input]],1)</f>
        <v>R</v>
      </c>
      <c r="C1331">
        <f>_xlfn.LET(_xlpm.steps,SUBSTITUTE(Table1[[#This Row],[Input]],Table1[[#This Row],[Direction]],""),VALUE(IF(LEN(_xlpm.steps)&gt;2,RIGHT(_xlpm.steps,2),_xlpm.steps)))</f>
        <v>4</v>
      </c>
      <c r="D1331">
        <f>_xlfn.LET(_xlpm.dir,Table1[[#This Row],[Direction]],
IF(_xlpm.dir="L",
    IF(F1330-Table1[[#This Row],[Steps]]&lt;0,100+(F1330-Table1[[#This Row],[Steps]]),F1330-Table1[[#This Row],[Steps]]),
))</f>
        <v>0</v>
      </c>
      <c r="E1331">
        <f>_xlfn.LET(_xlpm.dir,Table1[[#This Row],[Direction]],
IF(_xlpm.dir="R",
    IF(F1330+Table1[[#This Row],[Steps]]&gt;99,(F1330+Table1[[#This Row],[Steps]])-100,F1330+Table1[[#This Row],[Steps]]),
))</f>
        <v>89</v>
      </c>
      <c r="F1331">
        <f>IF(Table1[[#This Row],[New Pos L]]&lt;&gt;0,Table1[[#This Row],[New Pos L]],Table1[[#This Row],[New Pos R]])</f>
        <v>89</v>
      </c>
    </row>
    <row r="1332" spans="1:6" ht="16" x14ac:dyDescent="0.2">
      <c r="A1332" s="1" t="s">
        <v>185</v>
      </c>
      <c r="B1332" t="str">
        <f>LEFT(Table1[[#This Row],[Input]],1)</f>
        <v>R</v>
      </c>
      <c r="C1332">
        <f>_xlfn.LET(_xlpm.steps,SUBSTITUTE(Table1[[#This Row],[Input]],Table1[[#This Row],[Direction]],""),VALUE(IF(LEN(_xlpm.steps)&gt;2,RIGHT(_xlpm.steps,2),_xlpm.steps)))</f>
        <v>61</v>
      </c>
      <c r="D1332">
        <f>_xlfn.LET(_xlpm.dir,Table1[[#This Row],[Direction]],
IF(_xlpm.dir="L",
    IF(F1331-Table1[[#This Row],[Steps]]&lt;0,100+(F1331-Table1[[#This Row],[Steps]]),F1331-Table1[[#This Row],[Steps]]),
))</f>
        <v>0</v>
      </c>
      <c r="E1332">
        <f>_xlfn.LET(_xlpm.dir,Table1[[#This Row],[Direction]],
IF(_xlpm.dir="R",
    IF(F1331+Table1[[#This Row],[Steps]]&gt;99,(F1331+Table1[[#This Row],[Steps]])-100,F1331+Table1[[#This Row],[Steps]]),
))</f>
        <v>50</v>
      </c>
      <c r="F1332">
        <f>IF(Table1[[#This Row],[New Pos L]]&lt;&gt;0,Table1[[#This Row],[New Pos L]],Table1[[#This Row],[New Pos R]])</f>
        <v>50</v>
      </c>
    </row>
    <row r="1333" spans="1:6" ht="16" x14ac:dyDescent="0.2">
      <c r="A1333" s="1" t="s">
        <v>91</v>
      </c>
      <c r="B1333" t="str">
        <f>LEFT(Table1[[#This Row],[Input]],1)</f>
        <v>L</v>
      </c>
      <c r="C1333">
        <f>_xlfn.LET(_xlpm.steps,SUBSTITUTE(Table1[[#This Row],[Input]],Table1[[#This Row],[Direction]],""),VALUE(IF(LEN(_xlpm.steps)&gt;2,RIGHT(_xlpm.steps,2),_xlpm.steps)))</f>
        <v>22</v>
      </c>
      <c r="D1333">
        <f>_xlfn.LET(_xlpm.dir,Table1[[#This Row],[Direction]],
IF(_xlpm.dir="L",
    IF(F1332-Table1[[#This Row],[Steps]]&lt;0,100+(F1332-Table1[[#This Row],[Steps]]),F1332-Table1[[#This Row],[Steps]]),
))</f>
        <v>28</v>
      </c>
      <c r="E1333">
        <f>_xlfn.LET(_xlpm.dir,Table1[[#This Row],[Direction]],
IF(_xlpm.dir="R",
    IF(F1332+Table1[[#This Row],[Steps]]&gt;99,(F1332+Table1[[#This Row],[Steps]])-100,F1332+Table1[[#This Row],[Steps]]),
))</f>
        <v>0</v>
      </c>
      <c r="F1333">
        <f>IF(Table1[[#This Row],[New Pos L]]&lt;&gt;0,Table1[[#This Row],[New Pos L]],Table1[[#This Row],[New Pos R]])</f>
        <v>28</v>
      </c>
    </row>
    <row r="1334" spans="1:6" ht="16" x14ac:dyDescent="0.2">
      <c r="A1334" s="1" t="s">
        <v>357</v>
      </c>
      <c r="B1334" t="str">
        <f>LEFT(Table1[[#This Row],[Input]],1)</f>
        <v>R</v>
      </c>
      <c r="C1334">
        <f>_xlfn.LET(_xlpm.steps,SUBSTITUTE(Table1[[#This Row],[Input]],Table1[[#This Row],[Direction]],""),VALUE(IF(LEN(_xlpm.steps)&gt;2,RIGHT(_xlpm.steps,2),_xlpm.steps)))</f>
        <v>72</v>
      </c>
      <c r="D1334">
        <f>_xlfn.LET(_xlpm.dir,Table1[[#This Row],[Direction]],
IF(_xlpm.dir="L",
    IF(F1333-Table1[[#This Row],[Steps]]&lt;0,100+(F1333-Table1[[#This Row],[Steps]]),F1333-Table1[[#This Row],[Steps]]),
))</f>
        <v>0</v>
      </c>
      <c r="E1334">
        <f>_xlfn.LET(_xlpm.dir,Table1[[#This Row],[Direction]],
IF(_xlpm.dir="R",
    IF(F1333+Table1[[#This Row],[Steps]]&gt;99,(F1333+Table1[[#This Row],[Steps]])-100,F1333+Table1[[#This Row],[Steps]]),
))</f>
        <v>0</v>
      </c>
      <c r="F1334">
        <f>IF(Table1[[#This Row],[New Pos L]]&lt;&gt;0,Table1[[#This Row],[New Pos L]],Table1[[#This Row],[New Pos R]])</f>
        <v>0</v>
      </c>
    </row>
    <row r="1335" spans="1:6" ht="16" x14ac:dyDescent="0.2">
      <c r="A1335" s="1" t="s">
        <v>415</v>
      </c>
      <c r="B1335" t="str">
        <f>LEFT(Table1[[#This Row],[Input]],1)</f>
        <v>L</v>
      </c>
      <c r="C1335">
        <f>_xlfn.LET(_xlpm.steps,SUBSTITUTE(Table1[[#This Row],[Input]],Table1[[#This Row],[Direction]],""),VALUE(IF(LEN(_xlpm.steps)&gt;2,RIGHT(_xlpm.steps,2),_xlpm.steps)))</f>
        <v>91</v>
      </c>
      <c r="D1335">
        <f>_xlfn.LET(_xlpm.dir,Table1[[#This Row],[Direction]],
IF(_xlpm.dir="L",
    IF(F1334-Table1[[#This Row],[Steps]]&lt;0,100+(F1334-Table1[[#This Row],[Steps]]),F1334-Table1[[#This Row],[Steps]]),
))</f>
        <v>9</v>
      </c>
      <c r="E1335">
        <f>_xlfn.LET(_xlpm.dir,Table1[[#This Row],[Direction]],
IF(_xlpm.dir="R",
    IF(F1334+Table1[[#This Row],[Steps]]&gt;99,(F1334+Table1[[#This Row],[Steps]])-100,F1334+Table1[[#This Row],[Steps]]),
))</f>
        <v>0</v>
      </c>
      <c r="F1335">
        <f>IF(Table1[[#This Row],[New Pos L]]&lt;&gt;0,Table1[[#This Row],[New Pos L]],Table1[[#This Row],[New Pos R]])</f>
        <v>9</v>
      </c>
    </row>
    <row r="1336" spans="1:6" ht="16" x14ac:dyDescent="0.2">
      <c r="A1336" s="1" t="s">
        <v>295</v>
      </c>
      <c r="B1336" t="str">
        <f>LEFT(Table1[[#This Row],[Input]],1)</f>
        <v>L</v>
      </c>
      <c r="C1336">
        <f>_xlfn.LET(_xlpm.steps,SUBSTITUTE(Table1[[#This Row],[Input]],Table1[[#This Row],[Direction]],""),VALUE(IF(LEN(_xlpm.steps)&gt;2,RIGHT(_xlpm.steps,2),_xlpm.steps)))</f>
        <v>88</v>
      </c>
      <c r="D1336">
        <f>_xlfn.LET(_xlpm.dir,Table1[[#This Row],[Direction]],
IF(_xlpm.dir="L",
    IF(F1335-Table1[[#This Row],[Steps]]&lt;0,100+(F1335-Table1[[#This Row],[Steps]]),F1335-Table1[[#This Row],[Steps]]),
))</f>
        <v>21</v>
      </c>
      <c r="E1336">
        <f>_xlfn.LET(_xlpm.dir,Table1[[#This Row],[Direction]],
IF(_xlpm.dir="R",
    IF(F1335+Table1[[#This Row],[Steps]]&gt;99,(F1335+Table1[[#This Row],[Steps]])-100,F1335+Table1[[#This Row],[Steps]]),
))</f>
        <v>0</v>
      </c>
      <c r="F1336">
        <f>IF(Table1[[#This Row],[New Pos L]]&lt;&gt;0,Table1[[#This Row],[New Pos L]],Table1[[#This Row],[New Pos R]])</f>
        <v>21</v>
      </c>
    </row>
    <row r="1337" spans="1:6" ht="16" x14ac:dyDescent="0.2">
      <c r="A1337" s="1" t="s">
        <v>404</v>
      </c>
      <c r="B1337" t="str">
        <f>LEFT(Table1[[#This Row],[Input]],1)</f>
        <v>R</v>
      </c>
      <c r="C1337">
        <f>_xlfn.LET(_xlpm.steps,SUBSTITUTE(Table1[[#This Row],[Input]],Table1[[#This Row],[Direction]],""),VALUE(IF(LEN(_xlpm.steps)&gt;2,RIGHT(_xlpm.steps,2),_xlpm.steps)))</f>
        <v>13</v>
      </c>
      <c r="D1337">
        <f>_xlfn.LET(_xlpm.dir,Table1[[#This Row],[Direction]],
IF(_xlpm.dir="L",
    IF(F1336-Table1[[#This Row],[Steps]]&lt;0,100+(F1336-Table1[[#This Row],[Steps]]),F1336-Table1[[#This Row],[Steps]]),
))</f>
        <v>0</v>
      </c>
      <c r="E1337">
        <f>_xlfn.LET(_xlpm.dir,Table1[[#This Row],[Direction]],
IF(_xlpm.dir="R",
    IF(F1336+Table1[[#This Row],[Steps]]&gt;99,(F1336+Table1[[#This Row],[Steps]])-100,F1336+Table1[[#This Row],[Steps]]),
))</f>
        <v>34</v>
      </c>
      <c r="F1337">
        <f>IF(Table1[[#This Row],[New Pos L]]&lt;&gt;0,Table1[[#This Row],[New Pos L]],Table1[[#This Row],[New Pos R]])</f>
        <v>34</v>
      </c>
    </row>
    <row r="1338" spans="1:6" ht="16" x14ac:dyDescent="0.2">
      <c r="A1338" s="1" t="s">
        <v>17</v>
      </c>
      <c r="B1338" t="str">
        <f>LEFT(Table1[[#This Row],[Input]],1)</f>
        <v>L</v>
      </c>
      <c r="C1338">
        <f>_xlfn.LET(_xlpm.steps,SUBSTITUTE(Table1[[#This Row],[Input]],Table1[[#This Row],[Direction]],""),VALUE(IF(LEN(_xlpm.steps)&gt;2,RIGHT(_xlpm.steps,2),_xlpm.steps)))</f>
        <v>50</v>
      </c>
      <c r="D1338">
        <f>_xlfn.LET(_xlpm.dir,Table1[[#This Row],[Direction]],
IF(_xlpm.dir="L",
    IF(F1337-Table1[[#This Row],[Steps]]&lt;0,100+(F1337-Table1[[#This Row],[Steps]]),F1337-Table1[[#This Row],[Steps]]),
))</f>
        <v>84</v>
      </c>
      <c r="E1338">
        <f>_xlfn.LET(_xlpm.dir,Table1[[#This Row],[Direction]],
IF(_xlpm.dir="R",
    IF(F1337+Table1[[#This Row],[Steps]]&gt;99,(F1337+Table1[[#This Row],[Steps]])-100,F1337+Table1[[#This Row],[Steps]]),
))</f>
        <v>0</v>
      </c>
      <c r="F1338">
        <f>IF(Table1[[#This Row],[New Pos L]]&lt;&gt;0,Table1[[#This Row],[New Pos L]],Table1[[#This Row],[New Pos R]])</f>
        <v>84</v>
      </c>
    </row>
    <row r="1339" spans="1:6" ht="16" x14ac:dyDescent="0.2">
      <c r="A1339" s="1" t="s">
        <v>379</v>
      </c>
      <c r="B1339" t="str">
        <f>LEFT(Table1[[#This Row],[Input]],1)</f>
        <v>L</v>
      </c>
      <c r="C1339">
        <f>_xlfn.LET(_xlpm.steps,SUBSTITUTE(Table1[[#This Row],[Input]],Table1[[#This Row],[Direction]],""),VALUE(IF(LEN(_xlpm.steps)&gt;2,RIGHT(_xlpm.steps,2),_xlpm.steps)))</f>
        <v>4</v>
      </c>
      <c r="D1339">
        <f>_xlfn.LET(_xlpm.dir,Table1[[#This Row],[Direction]],
IF(_xlpm.dir="L",
    IF(F1338-Table1[[#This Row],[Steps]]&lt;0,100+(F1338-Table1[[#This Row],[Steps]]),F1338-Table1[[#This Row],[Steps]]),
))</f>
        <v>80</v>
      </c>
      <c r="E1339">
        <f>_xlfn.LET(_xlpm.dir,Table1[[#This Row],[Direction]],
IF(_xlpm.dir="R",
    IF(F1338+Table1[[#This Row],[Steps]]&gt;99,(F1338+Table1[[#This Row],[Steps]])-100,F1338+Table1[[#This Row],[Steps]]),
))</f>
        <v>0</v>
      </c>
      <c r="F1339">
        <f>IF(Table1[[#This Row],[New Pos L]]&lt;&gt;0,Table1[[#This Row],[New Pos L]],Table1[[#This Row],[New Pos R]])</f>
        <v>80</v>
      </c>
    </row>
    <row r="1340" spans="1:6" ht="16" x14ac:dyDescent="0.2">
      <c r="A1340" s="1" t="s">
        <v>68</v>
      </c>
      <c r="B1340" t="str">
        <f>LEFT(Table1[[#This Row],[Input]],1)</f>
        <v>L</v>
      </c>
      <c r="C1340">
        <f>_xlfn.LET(_xlpm.steps,SUBSTITUTE(Table1[[#This Row],[Input]],Table1[[#This Row],[Direction]],""),VALUE(IF(LEN(_xlpm.steps)&gt;2,RIGHT(_xlpm.steps,2),_xlpm.steps)))</f>
        <v>80</v>
      </c>
      <c r="D1340">
        <f>_xlfn.LET(_xlpm.dir,Table1[[#This Row],[Direction]],
IF(_xlpm.dir="L",
    IF(F1339-Table1[[#This Row],[Steps]]&lt;0,100+(F1339-Table1[[#This Row],[Steps]]),F1339-Table1[[#This Row],[Steps]]),
))</f>
        <v>0</v>
      </c>
      <c r="E1340">
        <f>_xlfn.LET(_xlpm.dir,Table1[[#This Row],[Direction]],
IF(_xlpm.dir="R",
    IF(F1339+Table1[[#This Row],[Steps]]&gt;99,(F1339+Table1[[#This Row],[Steps]])-100,F1339+Table1[[#This Row],[Steps]]),
))</f>
        <v>0</v>
      </c>
      <c r="F1340">
        <f>IF(Table1[[#This Row],[New Pos L]]&lt;&gt;0,Table1[[#This Row],[New Pos L]],Table1[[#This Row],[New Pos R]])</f>
        <v>0</v>
      </c>
    </row>
    <row r="1341" spans="1:6" ht="16" x14ac:dyDescent="0.2">
      <c r="A1341" s="1" t="s">
        <v>416</v>
      </c>
      <c r="B1341" t="str">
        <f>LEFT(Table1[[#This Row],[Input]],1)</f>
        <v>R</v>
      </c>
      <c r="C1341">
        <f>_xlfn.LET(_xlpm.steps,SUBSTITUTE(Table1[[#This Row],[Input]],Table1[[#This Row],[Direction]],""),VALUE(IF(LEN(_xlpm.steps)&gt;2,RIGHT(_xlpm.steps,2),_xlpm.steps)))</f>
        <v>94</v>
      </c>
      <c r="D1341">
        <f>_xlfn.LET(_xlpm.dir,Table1[[#This Row],[Direction]],
IF(_xlpm.dir="L",
    IF(F1340-Table1[[#This Row],[Steps]]&lt;0,100+(F1340-Table1[[#This Row],[Steps]]),F1340-Table1[[#This Row],[Steps]]),
))</f>
        <v>0</v>
      </c>
      <c r="E1341">
        <f>_xlfn.LET(_xlpm.dir,Table1[[#This Row],[Direction]],
IF(_xlpm.dir="R",
    IF(F1340+Table1[[#This Row],[Steps]]&gt;99,(F1340+Table1[[#This Row],[Steps]])-100,F1340+Table1[[#This Row],[Steps]]),
))</f>
        <v>94</v>
      </c>
      <c r="F1341">
        <f>IF(Table1[[#This Row],[New Pos L]]&lt;&gt;0,Table1[[#This Row],[New Pos L]],Table1[[#This Row],[New Pos R]])</f>
        <v>94</v>
      </c>
    </row>
    <row r="1342" spans="1:6" ht="16" x14ac:dyDescent="0.2">
      <c r="A1342" s="1" t="s">
        <v>417</v>
      </c>
      <c r="B1342" t="str">
        <f>LEFT(Table1[[#This Row],[Input]],1)</f>
        <v>R</v>
      </c>
      <c r="C1342">
        <f>_xlfn.LET(_xlpm.steps,SUBSTITUTE(Table1[[#This Row],[Input]],Table1[[#This Row],[Direction]],""),VALUE(IF(LEN(_xlpm.steps)&gt;2,RIGHT(_xlpm.steps,2),_xlpm.steps)))</f>
        <v>5</v>
      </c>
      <c r="D1342">
        <f>_xlfn.LET(_xlpm.dir,Table1[[#This Row],[Direction]],
IF(_xlpm.dir="L",
    IF(F1341-Table1[[#This Row],[Steps]]&lt;0,100+(F1341-Table1[[#This Row],[Steps]]),F1341-Table1[[#This Row],[Steps]]),
))</f>
        <v>0</v>
      </c>
      <c r="E1342">
        <f>_xlfn.LET(_xlpm.dir,Table1[[#This Row],[Direction]],
IF(_xlpm.dir="R",
    IF(F1341+Table1[[#This Row],[Steps]]&gt;99,(F1341+Table1[[#This Row],[Steps]])-100,F1341+Table1[[#This Row],[Steps]]),
))</f>
        <v>99</v>
      </c>
      <c r="F1342">
        <f>IF(Table1[[#This Row],[New Pos L]]&lt;&gt;0,Table1[[#This Row],[New Pos L]],Table1[[#This Row],[New Pos R]])</f>
        <v>99</v>
      </c>
    </row>
    <row r="1343" spans="1:6" ht="16" x14ac:dyDescent="0.2">
      <c r="A1343" s="1" t="s">
        <v>418</v>
      </c>
      <c r="B1343" t="str">
        <f>LEFT(Table1[[#This Row],[Input]],1)</f>
        <v>L</v>
      </c>
      <c r="C1343">
        <f>_xlfn.LET(_xlpm.steps,SUBSTITUTE(Table1[[#This Row],[Input]],Table1[[#This Row],[Direction]],""),VALUE(IF(LEN(_xlpm.steps)&gt;2,RIGHT(_xlpm.steps,2),_xlpm.steps)))</f>
        <v>64</v>
      </c>
      <c r="D1343">
        <f>_xlfn.LET(_xlpm.dir,Table1[[#This Row],[Direction]],
IF(_xlpm.dir="L",
    IF(F1342-Table1[[#This Row],[Steps]]&lt;0,100+(F1342-Table1[[#This Row],[Steps]]),F1342-Table1[[#This Row],[Steps]]),
))</f>
        <v>35</v>
      </c>
      <c r="E1343">
        <f>_xlfn.LET(_xlpm.dir,Table1[[#This Row],[Direction]],
IF(_xlpm.dir="R",
    IF(F1342+Table1[[#This Row],[Steps]]&gt;99,(F1342+Table1[[#This Row],[Steps]])-100,F1342+Table1[[#This Row],[Steps]]),
))</f>
        <v>0</v>
      </c>
      <c r="F1343">
        <f>IF(Table1[[#This Row],[New Pos L]]&lt;&gt;0,Table1[[#This Row],[New Pos L]],Table1[[#This Row],[New Pos R]])</f>
        <v>35</v>
      </c>
    </row>
    <row r="1344" spans="1:6" ht="16" x14ac:dyDescent="0.2">
      <c r="A1344" s="1" t="s">
        <v>40</v>
      </c>
      <c r="B1344" t="str">
        <f>LEFT(Table1[[#This Row],[Input]],1)</f>
        <v>R</v>
      </c>
      <c r="C1344">
        <f>_xlfn.LET(_xlpm.steps,SUBSTITUTE(Table1[[#This Row],[Input]],Table1[[#This Row],[Direction]],""),VALUE(IF(LEN(_xlpm.steps)&gt;2,RIGHT(_xlpm.steps,2),_xlpm.steps)))</f>
        <v>52</v>
      </c>
      <c r="D1344">
        <f>_xlfn.LET(_xlpm.dir,Table1[[#This Row],[Direction]],
IF(_xlpm.dir="L",
    IF(F1343-Table1[[#This Row],[Steps]]&lt;0,100+(F1343-Table1[[#This Row],[Steps]]),F1343-Table1[[#This Row],[Steps]]),
))</f>
        <v>0</v>
      </c>
      <c r="E1344">
        <f>_xlfn.LET(_xlpm.dir,Table1[[#This Row],[Direction]],
IF(_xlpm.dir="R",
    IF(F1343+Table1[[#This Row],[Steps]]&gt;99,(F1343+Table1[[#This Row],[Steps]])-100,F1343+Table1[[#This Row],[Steps]]),
))</f>
        <v>87</v>
      </c>
      <c r="F1344">
        <f>IF(Table1[[#This Row],[New Pos L]]&lt;&gt;0,Table1[[#This Row],[New Pos L]],Table1[[#This Row],[New Pos R]])</f>
        <v>87</v>
      </c>
    </row>
    <row r="1345" spans="1:6" ht="16" x14ac:dyDescent="0.2">
      <c r="A1345" s="1" t="s">
        <v>223</v>
      </c>
      <c r="B1345" t="str">
        <f>LEFT(Table1[[#This Row],[Input]],1)</f>
        <v>L</v>
      </c>
      <c r="C1345">
        <f>_xlfn.LET(_xlpm.steps,SUBSTITUTE(Table1[[#This Row],[Input]],Table1[[#This Row],[Direction]],""),VALUE(IF(LEN(_xlpm.steps)&gt;2,RIGHT(_xlpm.steps,2),_xlpm.steps)))</f>
        <v>87</v>
      </c>
      <c r="D1345">
        <f>_xlfn.LET(_xlpm.dir,Table1[[#This Row],[Direction]],
IF(_xlpm.dir="L",
    IF(F1344-Table1[[#This Row],[Steps]]&lt;0,100+(F1344-Table1[[#This Row],[Steps]]),F1344-Table1[[#This Row],[Steps]]),
))</f>
        <v>0</v>
      </c>
      <c r="E1345">
        <f>_xlfn.LET(_xlpm.dir,Table1[[#This Row],[Direction]],
IF(_xlpm.dir="R",
    IF(F1344+Table1[[#This Row],[Steps]]&gt;99,(F1344+Table1[[#This Row],[Steps]])-100,F1344+Table1[[#This Row],[Steps]]),
))</f>
        <v>0</v>
      </c>
      <c r="F1345">
        <f>IF(Table1[[#This Row],[New Pos L]]&lt;&gt;0,Table1[[#This Row],[New Pos L]],Table1[[#This Row],[New Pos R]])</f>
        <v>0</v>
      </c>
    </row>
    <row r="1346" spans="1:6" ht="16" x14ac:dyDescent="0.2">
      <c r="A1346" s="1" t="s">
        <v>37</v>
      </c>
      <c r="B1346" t="str">
        <f>LEFT(Table1[[#This Row],[Input]],1)</f>
        <v>L</v>
      </c>
      <c r="C1346">
        <f>_xlfn.LET(_xlpm.steps,SUBSTITUTE(Table1[[#This Row],[Input]],Table1[[#This Row],[Direction]],""),VALUE(IF(LEN(_xlpm.steps)&gt;2,RIGHT(_xlpm.steps,2),_xlpm.steps)))</f>
        <v>42</v>
      </c>
      <c r="D1346">
        <f>_xlfn.LET(_xlpm.dir,Table1[[#This Row],[Direction]],
IF(_xlpm.dir="L",
    IF(F1345-Table1[[#This Row],[Steps]]&lt;0,100+(F1345-Table1[[#This Row],[Steps]]),F1345-Table1[[#This Row],[Steps]]),
))</f>
        <v>58</v>
      </c>
      <c r="E1346">
        <f>_xlfn.LET(_xlpm.dir,Table1[[#This Row],[Direction]],
IF(_xlpm.dir="R",
    IF(F1345+Table1[[#This Row],[Steps]]&gt;99,(F1345+Table1[[#This Row],[Steps]])-100,F1345+Table1[[#This Row],[Steps]]),
))</f>
        <v>0</v>
      </c>
      <c r="F1346">
        <f>IF(Table1[[#This Row],[New Pos L]]&lt;&gt;0,Table1[[#This Row],[New Pos L]],Table1[[#This Row],[New Pos R]])</f>
        <v>58</v>
      </c>
    </row>
    <row r="1347" spans="1:6" ht="16" x14ac:dyDescent="0.2">
      <c r="A1347" s="1" t="s">
        <v>254</v>
      </c>
      <c r="B1347" t="str">
        <f>LEFT(Table1[[#This Row],[Input]],1)</f>
        <v>R</v>
      </c>
      <c r="C1347">
        <f>_xlfn.LET(_xlpm.steps,SUBSTITUTE(Table1[[#This Row],[Input]],Table1[[#This Row],[Direction]],""),VALUE(IF(LEN(_xlpm.steps)&gt;2,RIGHT(_xlpm.steps,2),_xlpm.steps)))</f>
        <v>84</v>
      </c>
      <c r="D1347">
        <f>_xlfn.LET(_xlpm.dir,Table1[[#This Row],[Direction]],
IF(_xlpm.dir="L",
    IF(F1346-Table1[[#This Row],[Steps]]&lt;0,100+(F1346-Table1[[#This Row],[Steps]]),F1346-Table1[[#This Row],[Steps]]),
))</f>
        <v>0</v>
      </c>
      <c r="E1347">
        <f>_xlfn.LET(_xlpm.dir,Table1[[#This Row],[Direction]],
IF(_xlpm.dir="R",
    IF(F1346+Table1[[#This Row],[Steps]]&gt;99,(F1346+Table1[[#This Row],[Steps]])-100,F1346+Table1[[#This Row],[Steps]]),
))</f>
        <v>42</v>
      </c>
      <c r="F1347">
        <f>IF(Table1[[#This Row],[New Pos L]]&lt;&gt;0,Table1[[#This Row],[New Pos L]],Table1[[#This Row],[New Pos R]])</f>
        <v>42</v>
      </c>
    </row>
    <row r="1348" spans="1:6" ht="16" x14ac:dyDescent="0.2">
      <c r="A1348" s="1" t="s">
        <v>37</v>
      </c>
      <c r="B1348" t="str">
        <f>LEFT(Table1[[#This Row],[Input]],1)</f>
        <v>L</v>
      </c>
      <c r="C1348">
        <f>_xlfn.LET(_xlpm.steps,SUBSTITUTE(Table1[[#This Row],[Input]],Table1[[#This Row],[Direction]],""),VALUE(IF(LEN(_xlpm.steps)&gt;2,RIGHT(_xlpm.steps,2),_xlpm.steps)))</f>
        <v>42</v>
      </c>
      <c r="D1348">
        <f>_xlfn.LET(_xlpm.dir,Table1[[#This Row],[Direction]],
IF(_xlpm.dir="L",
    IF(F1347-Table1[[#This Row],[Steps]]&lt;0,100+(F1347-Table1[[#This Row],[Steps]]),F1347-Table1[[#This Row],[Steps]]),
))</f>
        <v>0</v>
      </c>
      <c r="E1348">
        <f>_xlfn.LET(_xlpm.dir,Table1[[#This Row],[Direction]],
IF(_xlpm.dir="R",
    IF(F1347+Table1[[#This Row],[Steps]]&gt;99,(F1347+Table1[[#This Row],[Steps]])-100,F1347+Table1[[#This Row],[Steps]]),
))</f>
        <v>0</v>
      </c>
      <c r="F1348">
        <f>IF(Table1[[#This Row],[New Pos L]]&lt;&gt;0,Table1[[#This Row],[New Pos L]],Table1[[#This Row],[New Pos R]])</f>
        <v>0</v>
      </c>
    </row>
    <row r="1349" spans="1:6" ht="16" x14ac:dyDescent="0.2">
      <c r="A1349" s="1" t="s">
        <v>123</v>
      </c>
      <c r="B1349" t="str">
        <f>LEFT(Table1[[#This Row],[Input]],1)</f>
        <v>L</v>
      </c>
      <c r="C1349">
        <f>_xlfn.LET(_xlpm.steps,SUBSTITUTE(Table1[[#This Row],[Input]],Table1[[#This Row],[Direction]],""),VALUE(IF(LEN(_xlpm.steps)&gt;2,RIGHT(_xlpm.steps,2),_xlpm.steps)))</f>
        <v>63</v>
      </c>
      <c r="D1349">
        <f>_xlfn.LET(_xlpm.dir,Table1[[#This Row],[Direction]],
IF(_xlpm.dir="L",
    IF(F1348-Table1[[#This Row],[Steps]]&lt;0,100+(F1348-Table1[[#This Row],[Steps]]),F1348-Table1[[#This Row],[Steps]]),
))</f>
        <v>37</v>
      </c>
      <c r="E1349">
        <f>_xlfn.LET(_xlpm.dir,Table1[[#This Row],[Direction]],
IF(_xlpm.dir="R",
    IF(F1348+Table1[[#This Row],[Steps]]&gt;99,(F1348+Table1[[#This Row],[Steps]])-100,F1348+Table1[[#This Row],[Steps]]),
))</f>
        <v>0</v>
      </c>
      <c r="F1349">
        <f>IF(Table1[[#This Row],[New Pos L]]&lt;&gt;0,Table1[[#This Row],[New Pos L]],Table1[[#This Row],[New Pos R]])</f>
        <v>37</v>
      </c>
    </row>
    <row r="1350" spans="1:6" ht="16" x14ac:dyDescent="0.2">
      <c r="A1350" s="1" t="s">
        <v>22</v>
      </c>
      <c r="B1350" t="str">
        <f>LEFT(Table1[[#This Row],[Input]],1)</f>
        <v>L</v>
      </c>
      <c r="C1350">
        <f>_xlfn.LET(_xlpm.steps,SUBSTITUTE(Table1[[#This Row],[Input]],Table1[[#This Row],[Direction]],""),VALUE(IF(LEN(_xlpm.steps)&gt;2,RIGHT(_xlpm.steps,2),_xlpm.steps)))</f>
        <v>37</v>
      </c>
      <c r="D1350">
        <f>_xlfn.LET(_xlpm.dir,Table1[[#This Row],[Direction]],
IF(_xlpm.dir="L",
    IF(F1349-Table1[[#This Row],[Steps]]&lt;0,100+(F1349-Table1[[#This Row],[Steps]]),F1349-Table1[[#This Row],[Steps]]),
))</f>
        <v>0</v>
      </c>
      <c r="E1350">
        <f>_xlfn.LET(_xlpm.dir,Table1[[#This Row],[Direction]],
IF(_xlpm.dir="R",
    IF(F1349+Table1[[#This Row],[Steps]]&gt;99,(F1349+Table1[[#This Row],[Steps]])-100,F1349+Table1[[#This Row],[Steps]]),
))</f>
        <v>0</v>
      </c>
      <c r="F1350">
        <f>IF(Table1[[#This Row],[New Pos L]]&lt;&gt;0,Table1[[#This Row],[New Pos L]],Table1[[#This Row],[New Pos R]])</f>
        <v>0</v>
      </c>
    </row>
    <row r="1351" spans="1:6" ht="16" x14ac:dyDescent="0.2">
      <c r="A1351" s="1" t="s">
        <v>205</v>
      </c>
      <c r="B1351" t="str">
        <f>LEFT(Table1[[#This Row],[Input]],1)</f>
        <v>R</v>
      </c>
      <c r="C1351">
        <f>_xlfn.LET(_xlpm.steps,SUBSTITUTE(Table1[[#This Row],[Input]],Table1[[#This Row],[Direction]],""),VALUE(IF(LEN(_xlpm.steps)&gt;2,RIGHT(_xlpm.steps,2),_xlpm.steps)))</f>
        <v>83</v>
      </c>
      <c r="D1351">
        <f>_xlfn.LET(_xlpm.dir,Table1[[#This Row],[Direction]],
IF(_xlpm.dir="L",
    IF(F1350-Table1[[#This Row],[Steps]]&lt;0,100+(F1350-Table1[[#This Row],[Steps]]),F1350-Table1[[#This Row],[Steps]]),
))</f>
        <v>0</v>
      </c>
      <c r="E1351">
        <f>_xlfn.LET(_xlpm.dir,Table1[[#This Row],[Direction]],
IF(_xlpm.dir="R",
    IF(F1350+Table1[[#This Row],[Steps]]&gt;99,(F1350+Table1[[#This Row],[Steps]])-100,F1350+Table1[[#This Row],[Steps]]),
))</f>
        <v>83</v>
      </c>
      <c r="F1351">
        <f>IF(Table1[[#This Row],[New Pos L]]&lt;&gt;0,Table1[[#This Row],[New Pos L]],Table1[[#This Row],[New Pos R]])</f>
        <v>83</v>
      </c>
    </row>
    <row r="1352" spans="1:6" ht="16" x14ac:dyDescent="0.2">
      <c r="A1352" s="1" t="s">
        <v>81</v>
      </c>
      <c r="B1352" t="str">
        <f>LEFT(Table1[[#This Row],[Input]],1)</f>
        <v>R</v>
      </c>
      <c r="C1352">
        <f>_xlfn.LET(_xlpm.steps,SUBSTITUTE(Table1[[#This Row],[Input]],Table1[[#This Row],[Direction]],""),VALUE(IF(LEN(_xlpm.steps)&gt;2,RIGHT(_xlpm.steps,2),_xlpm.steps)))</f>
        <v>17</v>
      </c>
      <c r="D1352">
        <f>_xlfn.LET(_xlpm.dir,Table1[[#This Row],[Direction]],
IF(_xlpm.dir="L",
    IF(F1351-Table1[[#This Row],[Steps]]&lt;0,100+(F1351-Table1[[#This Row],[Steps]]),F1351-Table1[[#This Row],[Steps]]),
))</f>
        <v>0</v>
      </c>
      <c r="E1352">
        <f>_xlfn.LET(_xlpm.dir,Table1[[#This Row],[Direction]],
IF(_xlpm.dir="R",
    IF(F1351+Table1[[#This Row],[Steps]]&gt;99,(F1351+Table1[[#This Row],[Steps]])-100,F1351+Table1[[#This Row],[Steps]]),
))</f>
        <v>0</v>
      </c>
      <c r="F1352">
        <f>IF(Table1[[#This Row],[New Pos L]]&lt;&gt;0,Table1[[#This Row],[New Pos L]],Table1[[#This Row],[New Pos R]])</f>
        <v>0</v>
      </c>
    </row>
    <row r="1353" spans="1:6" ht="16" x14ac:dyDescent="0.2">
      <c r="A1353" s="1" t="s">
        <v>330</v>
      </c>
      <c r="B1353" t="str">
        <f>LEFT(Table1[[#This Row],[Input]],1)</f>
        <v>L</v>
      </c>
      <c r="C1353">
        <f>_xlfn.LET(_xlpm.steps,SUBSTITUTE(Table1[[#This Row],[Input]],Table1[[#This Row],[Direction]],""),VALUE(IF(LEN(_xlpm.steps)&gt;2,RIGHT(_xlpm.steps,2),_xlpm.steps)))</f>
        <v>47</v>
      </c>
      <c r="D1353">
        <f>_xlfn.LET(_xlpm.dir,Table1[[#This Row],[Direction]],
IF(_xlpm.dir="L",
    IF(F1352-Table1[[#This Row],[Steps]]&lt;0,100+(F1352-Table1[[#This Row],[Steps]]),F1352-Table1[[#This Row],[Steps]]),
))</f>
        <v>53</v>
      </c>
      <c r="E1353">
        <f>_xlfn.LET(_xlpm.dir,Table1[[#This Row],[Direction]],
IF(_xlpm.dir="R",
    IF(F1352+Table1[[#This Row],[Steps]]&gt;99,(F1352+Table1[[#This Row],[Steps]])-100,F1352+Table1[[#This Row],[Steps]]),
))</f>
        <v>0</v>
      </c>
      <c r="F1353">
        <f>IF(Table1[[#This Row],[New Pos L]]&lt;&gt;0,Table1[[#This Row],[New Pos L]],Table1[[#This Row],[New Pos R]])</f>
        <v>53</v>
      </c>
    </row>
    <row r="1354" spans="1:6" ht="16" x14ac:dyDescent="0.2">
      <c r="A1354" s="1" t="s">
        <v>134</v>
      </c>
      <c r="B1354" t="str">
        <f>LEFT(Table1[[#This Row],[Input]],1)</f>
        <v>L</v>
      </c>
      <c r="C1354">
        <f>_xlfn.LET(_xlpm.steps,SUBSTITUTE(Table1[[#This Row],[Input]],Table1[[#This Row],[Direction]],""),VALUE(IF(LEN(_xlpm.steps)&gt;2,RIGHT(_xlpm.steps,2),_xlpm.steps)))</f>
        <v>95</v>
      </c>
      <c r="D1354">
        <f>_xlfn.LET(_xlpm.dir,Table1[[#This Row],[Direction]],
IF(_xlpm.dir="L",
    IF(F1353-Table1[[#This Row],[Steps]]&lt;0,100+(F1353-Table1[[#This Row],[Steps]]),F1353-Table1[[#This Row],[Steps]]),
))</f>
        <v>58</v>
      </c>
      <c r="E1354">
        <f>_xlfn.LET(_xlpm.dir,Table1[[#This Row],[Direction]],
IF(_xlpm.dir="R",
    IF(F1353+Table1[[#This Row],[Steps]]&gt;99,(F1353+Table1[[#This Row],[Steps]])-100,F1353+Table1[[#This Row],[Steps]]),
))</f>
        <v>0</v>
      </c>
      <c r="F1354">
        <f>IF(Table1[[#This Row],[New Pos L]]&lt;&gt;0,Table1[[#This Row],[New Pos L]],Table1[[#This Row],[New Pos R]])</f>
        <v>58</v>
      </c>
    </row>
    <row r="1355" spans="1:6" ht="16" x14ac:dyDescent="0.2">
      <c r="A1355" s="1" t="s">
        <v>419</v>
      </c>
      <c r="B1355" t="str">
        <f>LEFT(Table1[[#This Row],[Input]],1)</f>
        <v>L</v>
      </c>
      <c r="C1355">
        <f>_xlfn.LET(_xlpm.steps,SUBSTITUTE(Table1[[#This Row],[Input]],Table1[[#This Row],[Direction]],""),VALUE(IF(LEN(_xlpm.steps)&gt;2,RIGHT(_xlpm.steps,2),_xlpm.steps)))</f>
        <v>58</v>
      </c>
      <c r="D1355">
        <f>_xlfn.LET(_xlpm.dir,Table1[[#This Row],[Direction]],
IF(_xlpm.dir="L",
    IF(F1354-Table1[[#This Row],[Steps]]&lt;0,100+(F1354-Table1[[#This Row],[Steps]]),F1354-Table1[[#This Row],[Steps]]),
))</f>
        <v>0</v>
      </c>
      <c r="E1355">
        <f>_xlfn.LET(_xlpm.dir,Table1[[#This Row],[Direction]],
IF(_xlpm.dir="R",
    IF(F1354+Table1[[#This Row],[Steps]]&gt;99,(F1354+Table1[[#This Row],[Steps]])-100,F1354+Table1[[#This Row],[Steps]]),
))</f>
        <v>0</v>
      </c>
      <c r="F1355">
        <f>IF(Table1[[#This Row],[New Pos L]]&lt;&gt;0,Table1[[#This Row],[New Pos L]],Table1[[#This Row],[New Pos R]])</f>
        <v>0</v>
      </c>
    </row>
    <row r="1356" spans="1:6" ht="16" x14ac:dyDescent="0.2">
      <c r="A1356" s="1" t="s">
        <v>116</v>
      </c>
      <c r="B1356" t="str">
        <f>LEFT(Table1[[#This Row],[Input]],1)</f>
        <v>L</v>
      </c>
      <c r="C1356">
        <f>_xlfn.LET(_xlpm.steps,SUBSTITUTE(Table1[[#This Row],[Input]],Table1[[#This Row],[Direction]],""),VALUE(IF(LEN(_xlpm.steps)&gt;2,RIGHT(_xlpm.steps,2),_xlpm.steps)))</f>
        <v>58</v>
      </c>
      <c r="D1356">
        <f>_xlfn.LET(_xlpm.dir,Table1[[#This Row],[Direction]],
IF(_xlpm.dir="L",
    IF(F1355-Table1[[#This Row],[Steps]]&lt;0,100+(F1355-Table1[[#This Row],[Steps]]),F1355-Table1[[#This Row],[Steps]]),
))</f>
        <v>42</v>
      </c>
      <c r="E1356">
        <f>_xlfn.LET(_xlpm.dir,Table1[[#This Row],[Direction]],
IF(_xlpm.dir="R",
    IF(F1355+Table1[[#This Row],[Steps]]&gt;99,(F1355+Table1[[#This Row],[Steps]])-100,F1355+Table1[[#This Row],[Steps]]),
))</f>
        <v>0</v>
      </c>
      <c r="F1356">
        <f>IF(Table1[[#This Row],[New Pos L]]&lt;&gt;0,Table1[[#This Row],[New Pos L]],Table1[[#This Row],[New Pos R]])</f>
        <v>42</v>
      </c>
    </row>
    <row r="1357" spans="1:6" ht="16" x14ac:dyDescent="0.2">
      <c r="A1357" s="1" t="s">
        <v>121</v>
      </c>
      <c r="B1357" t="str">
        <f>LEFT(Table1[[#This Row],[Input]],1)</f>
        <v>L</v>
      </c>
      <c r="C1357">
        <f>_xlfn.LET(_xlpm.steps,SUBSTITUTE(Table1[[#This Row],[Input]],Table1[[#This Row],[Direction]],""),VALUE(IF(LEN(_xlpm.steps)&gt;2,RIGHT(_xlpm.steps,2),_xlpm.steps)))</f>
        <v>69</v>
      </c>
      <c r="D1357">
        <f>_xlfn.LET(_xlpm.dir,Table1[[#This Row],[Direction]],
IF(_xlpm.dir="L",
    IF(F1356-Table1[[#This Row],[Steps]]&lt;0,100+(F1356-Table1[[#This Row],[Steps]]),F1356-Table1[[#This Row],[Steps]]),
))</f>
        <v>73</v>
      </c>
      <c r="E1357">
        <f>_xlfn.LET(_xlpm.dir,Table1[[#This Row],[Direction]],
IF(_xlpm.dir="R",
    IF(F1356+Table1[[#This Row],[Steps]]&gt;99,(F1356+Table1[[#This Row],[Steps]])-100,F1356+Table1[[#This Row],[Steps]]),
))</f>
        <v>0</v>
      </c>
      <c r="F1357">
        <f>IF(Table1[[#This Row],[New Pos L]]&lt;&gt;0,Table1[[#This Row],[New Pos L]],Table1[[#This Row],[New Pos R]])</f>
        <v>73</v>
      </c>
    </row>
    <row r="1358" spans="1:6" ht="16" x14ac:dyDescent="0.2">
      <c r="A1358" s="1" t="s">
        <v>217</v>
      </c>
      <c r="B1358" t="str">
        <f>LEFT(Table1[[#This Row],[Input]],1)</f>
        <v>R</v>
      </c>
      <c r="C1358">
        <f>_xlfn.LET(_xlpm.steps,SUBSTITUTE(Table1[[#This Row],[Input]],Table1[[#This Row],[Direction]],""),VALUE(IF(LEN(_xlpm.steps)&gt;2,RIGHT(_xlpm.steps,2),_xlpm.steps)))</f>
        <v>91</v>
      </c>
      <c r="D1358">
        <f>_xlfn.LET(_xlpm.dir,Table1[[#This Row],[Direction]],
IF(_xlpm.dir="L",
    IF(F1357-Table1[[#This Row],[Steps]]&lt;0,100+(F1357-Table1[[#This Row],[Steps]]),F1357-Table1[[#This Row],[Steps]]),
))</f>
        <v>0</v>
      </c>
      <c r="E1358">
        <f>_xlfn.LET(_xlpm.dir,Table1[[#This Row],[Direction]],
IF(_xlpm.dir="R",
    IF(F1357+Table1[[#This Row],[Steps]]&gt;99,(F1357+Table1[[#This Row],[Steps]])-100,F1357+Table1[[#This Row],[Steps]]),
))</f>
        <v>64</v>
      </c>
      <c r="F1358">
        <f>IF(Table1[[#This Row],[New Pos L]]&lt;&gt;0,Table1[[#This Row],[New Pos L]],Table1[[#This Row],[New Pos R]])</f>
        <v>64</v>
      </c>
    </row>
    <row r="1359" spans="1:6" ht="16" x14ac:dyDescent="0.2">
      <c r="A1359" s="1" t="s">
        <v>420</v>
      </c>
      <c r="B1359" t="str">
        <f>LEFT(Table1[[#This Row],[Input]],1)</f>
        <v>R</v>
      </c>
      <c r="C1359">
        <f>_xlfn.LET(_xlpm.steps,SUBSTITUTE(Table1[[#This Row],[Input]],Table1[[#This Row],[Direction]],""),VALUE(IF(LEN(_xlpm.steps)&gt;2,RIGHT(_xlpm.steps,2),_xlpm.steps)))</f>
        <v>60</v>
      </c>
      <c r="D1359">
        <f>_xlfn.LET(_xlpm.dir,Table1[[#This Row],[Direction]],
IF(_xlpm.dir="L",
    IF(F1358-Table1[[#This Row],[Steps]]&lt;0,100+(F1358-Table1[[#This Row],[Steps]]),F1358-Table1[[#This Row],[Steps]]),
))</f>
        <v>0</v>
      </c>
      <c r="E1359">
        <f>_xlfn.LET(_xlpm.dir,Table1[[#This Row],[Direction]],
IF(_xlpm.dir="R",
    IF(F1358+Table1[[#This Row],[Steps]]&gt;99,(F1358+Table1[[#This Row],[Steps]])-100,F1358+Table1[[#This Row],[Steps]]),
))</f>
        <v>24</v>
      </c>
      <c r="F1359">
        <f>IF(Table1[[#This Row],[New Pos L]]&lt;&gt;0,Table1[[#This Row],[New Pos L]],Table1[[#This Row],[New Pos R]])</f>
        <v>24</v>
      </c>
    </row>
    <row r="1360" spans="1:6" ht="16" x14ac:dyDescent="0.2">
      <c r="A1360" s="1" t="s">
        <v>161</v>
      </c>
      <c r="B1360" t="str">
        <f>LEFT(Table1[[#This Row],[Input]],1)</f>
        <v>R</v>
      </c>
      <c r="C1360">
        <f>_xlfn.LET(_xlpm.steps,SUBSTITUTE(Table1[[#This Row],[Input]],Table1[[#This Row],[Direction]],""),VALUE(IF(LEN(_xlpm.steps)&gt;2,RIGHT(_xlpm.steps,2),_xlpm.steps)))</f>
        <v>76</v>
      </c>
      <c r="D1360">
        <f>_xlfn.LET(_xlpm.dir,Table1[[#This Row],[Direction]],
IF(_xlpm.dir="L",
    IF(F1359-Table1[[#This Row],[Steps]]&lt;0,100+(F1359-Table1[[#This Row],[Steps]]),F1359-Table1[[#This Row],[Steps]]),
))</f>
        <v>0</v>
      </c>
      <c r="E1360">
        <f>_xlfn.LET(_xlpm.dir,Table1[[#This Row],[Direction]],
IF(_xlpm.dir="R",
    IF(F1359+Table1[[#This Row],[Steps]]&gt;99,(F1359+Table1[[#This Row],[Steps]])-100,F1359+Table1[[#This Row],[Steps]]),
))</f>
        <v>0</v>
      </c>
      <c r="F1360">
        <f>IF(Table1[[#This Row],[New Pos L]]&lt;&gt;0,Table1[[#This Row],[New Pos L]],Table1[[#This Row],[New Pos R]])</f>
        <v>0</v>
      </c>
    </row>
    <row r="1361" spans="1:6" ht="16" x14ac:dyDescent="0.2">
      <c r="A1361" s="1" t="s">
        <v>179</v>
      </c>
      <c r="B1361" t="str">
        <f>LEFT(Table1[[#This Row],[Input]],1)</f>
        <v>L</v>
      </c>
      <c r="C1361">
        <f>_xlfn.LET(_xlpm.steps,SUBSTITUTE(Table1[[#This Row],[Input]],Table1[[#This Row],[Direction]],""),VALUE(IF(LEN(_xlpm.steps)&gt;2,RIGHT(_xlpm.steps,2),_xlpm.steps)))</f>
        <v>54</v>
      </c>
      <c r="D1361">
        <f>_xlfn.LET(_xlpm.dir,Table1[[#This Row],[Direction]],
IF(_xlpm.dir="L",
    IF(F1360-Table1[[#This Row],[Steps]]&lt;0,100+(F1360-Table1[[#This Row],[Steps]]),F1360-Table1[[#This Row],[Steps]]),
))</f>
        <v>46</v>
      </c>
      <c r="E1361">
        <f>_xlfn.LET(_xlpm.dir,Table1[[#This Row],[Direction]],
IF(_xlpm.dir="R",
    IF(F1360+Table1[[#This Row],[Steps]]&gt;99,(F1360+Table1[[#This Row],[Steps]])-100,F1360+Table1[[#This Row],[Steps]]),
))</f>
        <v>0</v>
      </c>
      <c r="F1361">
        <f>IF(Table1[[#This Row],[New Pos L]]&lt;&gt;0,Table1[[#This Row],[New Pos L]],Table1[[#This Row],[New Pos R]])</f>
        <v>46</v>
      </c>
    </row>
    <row r="1362" spans="1:6" ht="16" x14ac:dyDescent="0.2">
      <c r="A1362" s="1" t="s">
        <v>405</v>
      </c>
      <c r="B1362" t="str">
        <f>LEFT(Table1[[#This Row],[Input]],1)</f>
        <v>L</v>
      </c>
      <c r="C1362">
        <f>_xlfn.LET(_xlpm.steps,SUBSTITUTE(Table1[[#This Row],[Input]],Table1[[#This Row],[Direction]],""),VALUE(IF(LEN(_xlpm.steps)&gt;2,RIGHT(_xlpm.steps,2),_xlpm.steps)))</f>
        <v>32</v>
      </c>
      <c r="D1362">
        <f>_xlfn.LET(_xlpm.dir,Table1[[#This Row],[Direction]],
IF(_xlpm.dir="L",
    IF(F1361-Table1[[#This Row],[Steps]]&lt;0,100+(F1361-Table1[[#This Row],[Steps]]),F1361-Table1[[#This Row],[Steps]]),
))</f>
        <v>14</v>
      </c>
      <c r="E1362">
        <f>_xlfn.LET(_xlpm.dir,Table1[[#This Row],[Direction]],
IF(_xlpm.dir="R",
    IF(F1361+Table1[[#This Row],[Steps]]&gt;99,(F1361+Table1[[#This Row],[Steps]])-100,F1361+Table1[[#This Row],[Steps]]),
))</f>
        <v>0</v>
      </c>
      <c r="F1362">
        <f>IF(Table1[[#This Row],[New Pos L]]&lt;&gt;0,Table1[[#This Row],[New Pos L]],Table1[[#This Row],[New Pos R]])</f>
        <v>14</v>
      </c>
    </row>
    <row r="1363" spans="1:6" ht="16" x14ac:dyDescent="0.2">
      <c r="A1363" s="1" t="s">
        <v>421</v>
      </c>
      <c r="B1363" t="str">
        <f>LEFT(Table1[[#This Row],[Input]],1)</f>
        <v>L</v>
      </c>
      <c r="C1363">
        <f>_xlfn.LET(_xlpm.steps,SUBSTITUTE(Table1[[#This Row],[Input]],Table1[[#This Row],[Direction]],""),VALUE(IF(LEN(_xlpm.steps)&gt;2,RIGHT(_xlpm.steps,2),_xlpm.steps)))</f>
        <v>1</v>
      </c>
      <c r="D1363">
        <f>_xlfn.LET(_xlpm.dir,Table1[[#This Row],[Direction]],
IF(_xlpm.dir="L",
    IF(F1362-Table1[[#This Row],[Steps]]&lt;0,100+(F1362-Table1[[#This Row],[Steps]]),F1362-Table1[[#This Row],[Steps]]),
))</f>
        <v>13</v>
      </c>
      <c r="E1363">
        <f>_xlfn.LET(_xlpm.dir,Table1[[#This Row],[Direction]],
IF(_xlpm.dir="R",
    IF(F1362+Table1[[#This Row],[Steps]]&gt;99,(F1362+Table1[[#This Row],[Steps]])-100,F1362+Table1[[#This Row],[Steps]]),
))</f>
        <v>0</v>
      </c>
      <c r="F1363">
        <f>IF(Table1[[#This Row],[New Pos L]]&lt;&gt;0,Table1[[#This Row],[New Pos L]],Table1[[#This Row],[New Pos R]])</f>
        <v>13</v>
      </c>
    </row>
    <row r="1364" spans="1:6" ht="16" x14ac:dyDescent="0.2">
      <c r="A1364" s="1" t="s">
        <v>31</v>
      </c>
      <c r="B1364" t="str">
        <f>LEFT(Table1[[#This Row],[Input]],1)</f>
        <v>L</v>
      </c>
      <c r="C1364">
        <f>_xlfn.LET(_xlpm.steps,SUBSTITUTE(Table1[[#This Row],[Input]],Table1[[#This Row],[Direction]],""),VALUE(IF(LEN(_xlpm.steps)&gt;2,RIGHT(_xlpm.steps,2),_xlpm.steps)))</f>
        <v>13</v>
      </c>
      <c r="D1364">
        <f>_xlfn.LET(_xlpm.dir,Table1[[#This Row],[Direction]],
IF(_xlpm.dir="L",
    IF(F1363-Table1[[#This Row],[Steps]]&lt;0,100+(F1363-Table1[[#This Row],[Steps]]),F1363-Table1[[#This Row],[Steps]]),
))</f>
        <v>0</v>
      </c>
      <c r="E1364">
        <f>_xlfn.LET(_xlpm.dir,Table1[[#This Row],[Direction]],
IF(_xlpm.dir="R",
    IF(F1363+Table1[[#This Row],[Steps]]&gt;99,(F1363+Table1[[#This Row],[Steps]])-100,F1363+Table1[[#This Row],[Steps]]),
))</f>
        <v>0</v>
      </c>
      <c r="F1364">
        <f>IF(Table1[[#This Row],[New Pos L]]&lt;&gt;0,Table1[[#This Row],[New Pos L]],Table1[[#This Row],[New Pos R]])</f>
        <v>0</v>
      </c>
    </row>
    <row r="1365" spans="1:6" ht="16" x14ac:dyDescent="0.2">
      <c r="A1365" s="1" t="s">
        <v>39</v>
      </c>
      <c r="B1365" t="str">
        <f>LEFT(Table1[[#This Row],[Input]],1)</f>
        <v>R</v>
      </c>
      <c r="C1365">
        <f>_xlfn.LET(_xlpm.steps,SUBSTITUTE(Table1[[#This Row],[Input]],Table1[[#This Row],[Direction]],""),VALUE(IF(LEN(_xlpm.steps)&gt;2,RIGHT(_xlpm.steps,2),_xlpm.steps)))</f>
        <v>32</v>
      </c>
      <c r="D1365">
        <f>_xlfn.LET(_xlpm.dir,Table1[[#This Row],[Direction]],
IF(_xlpm.dir="L",
    IF(F1364-Table1[[#This Row],[Steps]]&lt;0,100+(F1364-Table1[[#This Row],[Steps]]),F1364-Table1[[#This Row],[Steps]]),
))</f>
        <v>0</v>
      </c>
      <c r="E1365">
        <f>_xlfn.LET(_xlpm.dir,Table1[[#This Row],[Direction]],
IF(_xlpm.dir="R",
    IF(F1364+Table1[[#This Row],[Steps]]&gt;99,(F1364+Table1[[#This Row],[Steps]])-100,F1364+Table1[[#This Row],[Steps]]),
))</f>
        <v>32</v>
      </c>
      <c r="F1365">
        <f>IF(Table1[[#This Row],[New Pos L]]&lt;&gt;0,Table1[[#This Row],[New Pos L]],Table1[[#This Row],[New Pos R]])</f>
        <v>32</v>
      </c>
    </row>
    <row r="1366" spans="1:6" ht="16" x14ac:dyDescent="0.2">
      <c r="A1366" s="1" t="s">
        <v>405</v>
      </c>
      <c r="B1366" t="str">
        <f>LEFT(Table1[[#This Row],[Input]],1)</f>
        <v>L</v>
      </c>
      <c r="C1366">
        <f>_xlfn.LET(_xlpm.steps,SUBSTITUTE(Table1[[#This Row],[Input]],Table1[[#This Row],[Direction]],""),VALUE(IF(LEN(_xlpm.steps)&gt;2,RIGHT(_xlpm.steps,2),_xlpm.steps)))</f>
        <v>32</v>
      </c>
      <c r="D1366">
        <f>_xlfn.LET(_xlpm.dir,Table1[[#This Row],[Direction]],
IF(_xlpm.dir="L",
    IF(F1365-Table1[[#This Row],[Steps]]&lt;0,100+(F1365-Table1[[#This Row],[Steps]]),F1365-Table1[[#This Row],[Steps]]),
))</f>
        <v>0</v>
      </c>
      <c r="E1366">
        <f>_xlfn.LET(_xlpm.dir,Table1[[#This Row],[Direction]],
IF(_xlpm.dir="R",
    IF(F1365+Table1[[#This Row],[Steps]]&gt;99,(F1365+Table1[[#This Row],[Steps]])-100,F1365+Table1[[#This Row],[Steps]]),
))</f>
        <v>0</v>
      </c>
      <c r="F1366">
        <f>IF(Table1[[#This Row],[New Pos L]]&lt;&gt;0,Table1[[#This Row],[New Pos L]],Table1[[#This Row],[New Pos R]])</f>
        <v>0</v>
      </c>
    </row>
    <row r="1367" spans="1:6" ht="16" x14ac:dyDescent="0.2">
      <c r="A1367" s="1" t="s">
        <v>422</v>
      </c>
      <c r="B1367" t="str">
        <f>LEFT(Table1[[#This Row],[Input]],1)</f>
        <v>L</v>
      </c>
      <c r="C1367">
        <f>_xlfn.LET(_xlpm.steps,SUBSTITUTE(Table1[[#This Row],[Input]],Table1[[#This Row],[Direction]],""),VALUE(IF(LEN(_xlpm.steps)&gt;2,RIGHT(_xlpm.steps,2),_xlpm.steps)))</f>
        <v>16</v>
      </c>
      <c r="D1367">
        <f>_xlfn.LET(_xlpm.dir,Table1[[#This Row],[Direction]],
IF(_xlpm.dir="L",
    IF(F1366-Table1[[#This Row],[Steps]]&lt;0,100+(F1366-Table1[[#This Row],[Steps]]),F1366-Table1[[#This Row],[Steps]]),
))</f>
        <v>84</v>
      </c>
      <c r="E1367">
        <f>_xlfn.LET(_xlpm.dir,Table1[[#This Row],[Direction]],
IF(_xlpm.dir="R",
    IF(F1366+Table1[[#This Row],[Steps]]&gt;99,(F1366+Table1[[#This Row],[Steps]])-100,F1366+Table1[[#This Row],[Steps]]),
))</f>
        <v>0</v>
      </c>
      <c r="F1367">
        <f>IF(Table1[[#This Row],[New Pos L]]&lt;&gt;0,Table1[[#This Row],[New Pos L]],Table1[[#This Row],[New Pos R]])</f>
        <v>84</v>
      </c>
    </row>
    <row r="1368" spans="1:6" ht="16" x14ac:dyDescent="0.2">
      <c r="A1368" s="1" t="s">
        <v>60</v>
      </c>
      <c r="B1368" t="str">
        <f>LEFT(Table1[[#This Row],[Input]],1)</f>
        <v>R</v>
      </c>
      <c r="C1368">
        <f>_xlfn.LET(_xlpm.steps,SUBSTITUTE(Table1[[#This Row],[Input]],Table1[[#This Row],[Direction]],""),VALUE(IF(LEN(_xlpm.steps)&gt;2,RIGHT(_xlpm.steps,2),_xlpm.steps)))</f>
        <v>86</v>
      </c>
      <c r="D1368">
        <f>_xlfn.LET(_xlpm.dir,Table1[[#This Row],[Direction]],
IF(_xlpm.dir="L",
    IF(F1367-Table1[[#This Row],[Steps]]&lt;0,100+(F1367-Table1[[#This Row],[Steps]]),F1367-Table1[[#This Row],[Steps]]),
))</f>
        <v>0</v>
      </c>
      <c r="E1368">
        <f>_xlfn.LET(_xlpm.dir,Table1[[#This Row],[Direction]],
IF(_xlpm.dir="R",
    IF(F1367+Table1[[#This Row],[Steps]]&gt;99,(F1367+Table1[[#This Row],[Steps]])-100,F1367+Table1[[#This Row],[Steps]]),
))</f>
        <v>70</v>
      </c>
      <c r="F1368">
        <f>IF(Table1[[#This Row],[New Pos L]]&lt;&gt;0,Table1[[#This Row],[New Pos L]],Table1[[#This Row],[New Pos R]])</f>
        <v>70</v>
      </c>
    </row>
    <row r="1369" spans="1:6" ht="16" x14ac:dyDescent="0.2">
      <c r="A1369" s="1" t="s">
        <v>423</v>
      </c>
      <c r="B1369" t="str">
        <f>LEFT(Table1[[#This Row],[Input]],1)</f>
        <v>R</v>
      </c>
      <c r="C1369">
        <f>_xlfn.LET(_xlpm.steps,SUBSTITUTE(Table1[[#This Row],[Input]],Table1[[#This Row],[Direction]],""),VALUE(IF(LEN(_xlpm.steps)&gt;2,RIGHT(_xlpm.steps,2),_xlpm.steps)))</f>
        <v>69</v>
      </c>
      <c r="D1369">
        <f>_xlfn.LET(_xlpm.dir,Table1[[#This Row],[Direction]],
IF(_xlpm.dir="L",
    IF(F1368-Table1[[#This Row],[Steps]]&lt;0,100+(F1368-Table1[[#This Row],[Steps]]),F1368-Table1[[#This Row],[Steps]]),
))</f>
        <v>0</v>
      </c>
      <c r="E1369">
        <f>_xlfn.LET(_xlpm.dir,Table1[[#This Row],[Direction]],
IF(_xlpm.dir="R",
    IF(F1368+Table1[[#This Row],[Steps]]&gt;99,(F1368+Table1[[#This Row],[Steps]])-100,F1368+Table1[[#This Row],[Steps]]),
))</f>
        <v>39</v>
      </c>
      <c r="F1369">
        <f>IF(Table1[[#This Row],[New Pos L]]&lt;&gt;0,Table1[[#This Row],[New Pos L]],Table1[[#This Row],[New Pos R]])</f>
        <v>39</v>
      </c>
    </row>
    <row r="1370" spans="1:6" ht="16" x14ac:dyDescent="0.2">
      <c r="A1370" s="1" t="s">
        <v>185</v>
      </c>
      <c r="B1370" t="str">
        <f>LEFT(Table1[[#This Row],[Input]],1)</f>
        <v>R</v>
      </c>
      <c r="C1370">
        <f>_xlfn.LET(_xlpm.steps,SUBSTITUTE(Table1[[#This Row],[Input]],Table1[[#This Row],[Direction]],""),VALUE(IF(LEN(_xlpm.steps)&gt;2,RIGHT(_xlpm.steps,2),_xlpm.steps)))</f>
        <v>61</v>
      </c>
      <c r="D1370">
        <f>_xlfn.LET(_xlpm.dir,Table1[[#This Row],[Direction]],
IF(_xlpm.dir="L",
    IF(F1369-Table1[[#This Row],[Steps]]&lt;0,100+(F1369-Table1[[#This Row],[Steps]]),F1369-Table1[[#This Row],[Steps]]),
))</f>
        <v>0</v>
      </c>
      <c r="E1370">
        <f>_xlfn.LET(_xlpm.dir,Table1[[#This Row],[Direction]],
IF(_xlpm.dir="R",
    IF(F1369+Table1[[#This Row],[Steps]]&gt;99,(F1369+Table1[[#This Row],[Steps]])-100,F1369+Table1[[#This Row],[Steps]]),
))</f>
        <v>0</v>
      </c>
      <c r="F1370">
        <f>IF(Table1[[#This Row],[New Pos L]]&lt;&gt;0,Table1[[#This Row],[New Pos L]],Table1[[#This Row],[New Pos R]])</f>
        <v>0</v>
      </c>
    </row>
    <row r="1371" spans="1:6" ht="16" x14ac:dyDescent="0.2">
      <c r="A1371" s="1" t="s">
        <v>293</v>
      </c>
      <c r="B1371" t="str">
        <f>LEFT(Table1[[#This Row],[Input]],1)</f>
        <v>R</v>
      </c>
      <c r="C1371">
        <f>_xlfn.LET(_xlpm.steps,SUBSTITUTE(Table1[[#This Row],[Input]],Table1[[#This Row],[Direction]],""),VALUE(IF(LEN(_xlpm.steps)&gt;2,RIGHT(_xlpm.steps,2),_xlpm.steps)))</f>
        <v>67</v>
      </c>
      <c r="D1371">
        <f>_xlfn.LET(_xlpm.dir,Table1[[#This Row],[Direction]],
IF(_xlpm.dir="L",
    IF(F1370-Table1[[#This Row],[Steps]]&lt;0,100+(F1370-Table1[[#This Row],[Steps]]),F1370-Table1[[#This Row],[Steps]]),
))</f>
        <v>0</v>
      </c>
      <c r="E1371">
        <f>_xlfn.LET(_xlpm.dir,Table1[[#This Row],[Direction]],
IF(_xlpm.dir="R",
    IF(F1370+Table1[[#This Row],[Steps]]&gt;99,(F1370+Table1[[#This Row],[Steps]])-100,F1370+Table1[[#This Row],[Steps]]),
))</f>
        <v>67</v>
      </c>
      <c r="F1371">
        <f>IF(Table1[[#This Row],[New Pos L]]&lt;&gt;0,Table1[[#This Row],[New Pos L]],Table1[[#This Row],[New Pos R]])</f>
        <v>67</v>
      </c>
    </row>
    <row r="1372" spans="1:6" ht="16" x14ac:dyDescent="0.2">
      <c r="A1372" s="1" t="s">
        <v>193</v>
      </c>
      <c r="B1372" t="str">
        <f>LEFT(Table1[[#This Row],[Input]],1)</f>
        <v>L</v>
      </c>
      <c r="C1372">
        <f>_xlfn.LET(_xlpm.steps,SUBSTITUTE(Table1[[#This Row],[Input]],Table1[[#This Row],[Direction]],""),VALUE(IF(LEN(_xlpm.steps)&gt;2,RIGHT(_xlpm.steps,2),_xlpm.steps)))</f>
        <v>12</v>
      </c>
      <c r="D1372">
        <f>_xlfn.LET(_xlpm.dir,Table1[[#This Row],[Direction]],
IF(_xlpm.dir="L",
    IF(F1371-Table1[[#This Row],[Steps]]&lt;0,100+(F1371-Table1[[#This Row],[Steps]]),F1371-Table1[[#This Row],[Steps]]),
))</f>
        <v>55</v>
      </c>
      <c r="E1372">
        <f>_xlfn.LET(_xlpm.dir,Table1[[#This Row],[Direction]],
IF(_xlpm.dir="R",
    IF(F1371+Table1[[#This Row],[Steps]]&gt;99,(F1371+Table1[[#This Row],[Steps]])-100,F1371+Table1[[#This Row],[Steps]]),
))</f>
        <v>0</v>
      </c>
      <c r="F1372">
        <f>IF(Table1[[#This Row],[New Pos L]]&lt;&gt;0,Table1[[#This Row],[New Pos L]],Table1[[#This Row],[New Pos R]])</f>
        <v>55</v>
      </c>
    </row>
    <row r="1373" spans="1:6" ht="16" x14ac:dyDescent="0.2">
      <c r="A1373" s="1" t="s">
        <v>12</v>
      </c>
      <c r="B1373" t="str">
        <f>LEFT(Table1[[#This Row],[Input]],1)</f>
        <v>L</v>
      </c>
      <c r="C1373">
        <f>_xlfn.LET(_xlpm.steps,SUBSTITUTE(Table1[[#This Row],[Input]],Table1[[#This Row],[Direction]],""),VALUE(IF(LEN(_xlpm.steps)&gt;2,RIGHT(_xlpm.steps,2),_xlpm.steps)))</f>
        <v>11</v>
      </c>
      <c r="D1373">
        <f>_xlfn.LET(_xlpm.dir,Table1[[#This Row],[Direction]],
IF(_xlpm.dir="L",
    IF(F1372-Table1[[#This Row],[Steps]]&lt;0,100+(F1372-Table1[[#This Row],[Steps]]),F1372-Table1[[#This Row],[Steps]]),
))</f>
        <v>44</v>
      </c>
      <c r="E1373">
        <f>_xlfn.LET(_xlpm.dir,Table1[[#This Row],[Direction]],
IF(_xlpm.dir="R",
    IF(F1372+Table1[[#This Row],[Steps]]&gt;99,(F1372+Table1[[#This Row],[Steps]])-100,F1372+Table1[[#This Row],[Steps]]),
))</f>
        <v>0</v>
      </c>
      <c r="F1373">
        <f>IF(Table1[[#This Row],[New Pos L]]&lt;&gt;0,Table1[[#This Row],[New Pos L]],Table1[[#This Row],[New Pos R]])</f>
        <v>44</v>
      </c>
    </row>
    <row r="1374" spans="1:6" ht="16" x14ac:dyDescent="0.2">
      <c r="A1374" s="1" t="s">
        <v>50</v>
      </c>
      <c r="B1374" t="str">
        <f>LEFT(Table1[[#This Row],[Input]],1)</f>
        <v>R</v>
      </c>
      <c r="C1374">
        <f>_xlfn.LET(_xlpm.steps,SUBSTITUTE(Table1[[#This Row],[Input]],Table1[[#This Row],[Direction]],""),VALUE(IF(LEN(_xlpm.steps)&gt;2,RIGHT(_xlpm.steps,2),_xlpm.steps)))</f>
        <v>78</v>
      </c>
      <c r="D1374">
        <f>_xlfn.LET(_xlpm.dir,Table1[[#This Row],[Direction]],
IF(_xlpm.dir="L",
    IF(F1373-Table1[[#This Row],[Steps]]&lt;0,100+(F1373-Table1[[#This Row],[Steps]]),F1373-Table1[[#This Row],[Steps]]),
))</f>
        <v>0</v>
      </c>
      <c r="E1374">
        <f>_xlfn.LET(_xlpm.dir,Table1[[#This Row],[Direction]],
IF(_xlpm.dir="R",
    IF(F1373+Table1[[#This Row],[Steps]]&gt;99,(F1373+Table1[[#This Row],[Steps]])-100,F1373+Table1[[#This Row],[Steps]]),
))</f>
        <v>22</v>
      </c>
      <c r="F1374">
        <f>IF(Table1[[#This Row],[New Pos L]]&lt;&gt;0,Table1[[#This Row],[New Pos L]],Table1[[#This Row],[New Pos R]])</f>
        <v>22</v>
      </c>
    </row>
    <row r="1375" spans="1:6" ht="16" x14ac:dyDescent="0.2">
      <c r="A1375" s="1" t="s">
        <v>91</v>
      </c>
      <c r="B1375" t="str">
        <f>LEFT(Table1[[#This Row],[Input]],1)</f>
        <v>L</v>
      </c>
      <c r="C1375">
        <f>_xlfn.LET(_xlpm.steps,SUBSTITUTE(Table1[[#This Row],[Input]],Table1[[#This Row],[Direction]],""),VALUE(IF(LEN(_xlpm.steps)&gt;2,RIGHT(_xlpm.steps,2),_xlpm.steps)))</f>
        <v>22</v>
      </c>
      <c r="D1375">
        <f>_xlfn.LET(_xlpm.dir,Table1[[#This Row],[Direction]],
IF(_xlpm.dir="L",
    IF(F1374-Table1[[#This Row],[Steps]]&lt;0,100+(F1374-Table1[[#This Row],[Steps]]),F1374-Table1[[#This Row],[Steps]]),
))</f>
        <v>0</v>
      </c>
      <c r="E1375">
        <f>_xlfn.LET(_xlpm.dir,Table1[[#This Row],[Direction]],
IF(_xlpm.dir="R",
    IF(F1374+Table1[[#This Row],[Steps]]&gt;99,(F1374+Table1[[#This Row],[Steps]])-100,F1374+Table1[[#This Row],[Steps]]),
))</f>
        <v>0</v>
      </c>
      <c r="F1375">
        <f>IF(Table1[[#This Row],[New Pos L]]&lt;&gt;0,Table1[[#This Row],[New Pos L]],Table1[[#This Row],[New Pos R]])</f>
        <v>0</v>
      </c>
    </row>
    <row r="1376" spans="1:6" ht="16" x14ac:dyDescent="0.2">
      <c r="A1376" s="1" t="s">
        <v>83</v>
      </c>
      <c r="B1376" t="str">
        <f>LEFT(Table1[[#This Row],[Input]],1)</f>
        <v>R</v>
      </c>
      <c r="C1376">
        <f>_xlfn.LET(_xlpm.steps,SUBSTITUTE(Table1[[#This Row],[Input]],Table1[[#This Row],[Direction]],""),VALUE(IF(LEN(_xlpm.steps)&gt;2,RIGHT(_xlpm.steps,2),_xlpm.steps)))</f>
        <v>79</v>
      </c>
      <c r="D1376">
        <f>_xlfn.LET(_xlpm.dir,Table1[[#This Row],[Direction]],
IF(_xlpm.dir="L",
    IF(F1375-Table1[[#This Row],[Steps]]&lt;0,100+(F1375-Table1[[#This Row],[Steps]]),F1375-Table1[[#This Row],[Steps]]),
))</f>
        <v>0</v>
      </c>
      <c r="E1376">
        <f>_xlfn.LET(_xlpm.dir,Table1[[#This Row],[Direction]],
IF(_xlpm.dir="R",
    IF(F1375+Table1[[#This Row],[Steps]]&gt;99,(F1375+Table1[[#This Row],[Steps]])-100,F1375+Table1[[#This Row],[Steps]]),
))</f>
        <v>79</v>
      </c>
      <c r="F1376">
        <f>IF(Table1[[#This Row],[New Pos L]]&lt;&gt;0,Table1[[#This Row],[New Pos L]],Table1[[#This Row],[New Pos R]])</f>
        <v>79</v>
      </c>
    </row>
    <row r="1377" spans="1:6" ht="16" x14ac:dyDescent="0.2">
      <c r="A1377" s="1" t="s">
        <v>293</v>
      </c>
      <c r="B1377" t="str">
        <f>LEFT(Table1[[#This Row],[Input]],1)</f>
        <v>R</v>
      </c>
      <c r="C1377">
        <f>_xlfn.LET(_xlpm.steps,SUBSTITUTE(Table1[[#This Row],[Input]],Table1[[#This Row],[Direction]],""),VALUE(IF(LEN(_xlpm.steps)&gt;2,RIGHT(_xlpm.steps,2),_xlpm.steps)))</f>
        <v>67</v>
      </c>
      <c r="D1377">
        <f>_xlfn.LET(_xlpm.dir,Table1[[#This Row],[Direction]],
IF(_xlpm.dir="L",
    IF(F1376-Table1[[#This Row],[Steps]]&lt;0,100+(F1376-Table1[[#This Row],[Steps]]),F1376-Table1[[#This Row],[Steps]]),
))</f>
        <v>0</v>
      </c>
      <c r="E1377">
        <f>_xlfn.LET(_xlpm.dir,Table1[[#This Row],[Direction]],
IF(_xlpm.dir="R",
    IF(F1376+Table1[[#This Row],[Steps]]&gt;99,(F1376+Table1[[#This Row],[Steps]])-100,F1376+Table1[[#This Row],[Steps]]),
))</f>
        <v>46</v>
      </c>
      <c r="F1377">
        <f>IF(Table1[[#This Row],[New Pos L]]&lt;&gt;0,Table1[[#This Row],[New Pos L]],Table1[[#This Row],[New Pos R]])</f>
        <v>46</v>
      </c>
    </row>
    <row r="1378" spans="1:6" ht="16" x14ac:dyDescent="0.2">
      <c r="A1378" s="1" t="s">
        <v>59</v>
      </c>
      <c r="B1378" t="str">
        <f>LEFT(Table1[[#This Row],[Input]],1)</f>
        <v>L</v>
      </c>
      <c r="C1378">
        <f>_xlfn.LET(_xlpm.steps,SUBSTITUTE(Table1[[#This Row],[Input]],Table1[[#This Row],[Direction]],""),VALUE(IF(LEN(_xlpm.steps)&gt;2,RIGHT(_xlpm.steps,2),_xlpm.steps)))</f>
        <v>6</v>
      </c>
      <c r="D1378">
        <f>_xlfn.LET(_xlpm.dir,Table1[[#This Row],[Direction]],
IF(_xlpm.dir="L",
    IF(F1377-Table1[[#This Row],[Steps]]&lt;0,100+(F1377-Table1[[#This Row],[Steps]]),F1377-Table1[[#This Row],[Steps]]),
))</f>
        <v>40</v>
      </c>
      <c r="E1378">
        <f>_xlfn.LET(_xlpm.dir,Table1[[#This Row],[Direction]],
IF(_xlpm.dir="R",
    IF(F1377+Table1[[#This Row],[Steps]]&gt;99,(F1377+Table1[[#This Row],[Steps]])-100,F1377+Table1[[#This Row],[Steps]]),
))</f>
        <v>0</v>
      </c>
      <c r="F1378">
        <f>IF(Table1[[#This Row],[New Pos L]]&lt;&gt;0,Table1[[#This Row],[New Pos L]],Table1[[#This Row],[New Pos R]])</f>
        <v>40</v>
      </c>
    </row>
    <row r="1379" spans="1:6" ht="16" x14ac:dyDescent="0.2">
      <c r="A1379" s="1" t="s">
        <v>241</v>
      </c>
      <c r="B1379" t="str">
        <f>LEFT(Table1[[#This Row],[Input]],1)</f>
        <v>R</v>
      </c>
      <c r="C1379">
        <f>_xlfn.LET(_xlpm.steps,SUBSTITUTE(Table1[[#This Row],[Input]],Table1[[#This Row],[Direction]],""),VALUE(IF(LEN(_xlpm.steps)&gt;2,RIGHT(_xlpm.steps,2),_xlpm.steps)))</f>
        <v>60</v>
      </c>
      <c r="D1379">
        <f>_xlfn.LET(_xlpm.dir,Table1[[#This Row],[Direction]],
IF(_xlpm.dir="L",
    IF(F1378-Table1[[#This Row],[Steps]]&lt;0,100+(F1378-Table1[[#This Row],[Steps]]),F1378-Table1[[#This Row],[Steps]]),
))</f>
        <v>0</v>
      </c>
      <c r="E1379">
        <f>_xlfn.LET(_xlpm.dir,Table1[[#This Row],[Direction]],
IF(_xlpm.dir="R",
    IF(F1378+Table1[[#This Row],[Steps]]&gt;99,(F1378+Table1[[#This Row],[Steps]])-100,F1378+Table1[[#This Row],[Steps]]),
))</f>
        <v>0</v>
      </c>
      <c r="F1379">
        <f>IF(Table1[[#This Row],[New Pos L]]&lt;&gt;0,Table1[[#This Row],[New Pos L]],Table1[[#This Row],[New Pos R]])</f>
        <v>0</v>
      </c>
    </row>
    <row r="1380" spans="1:6" ht="16" x14ac:dyDescent="0.2">
      <c r="A1380" s="1" t="s">
        <v>139</v>
      </c>
      <c r="B1380" t="str">
        <f>LEFT(Table1[[#This Row],[Input]],1)</f>
        <v>R</v>
      </c>
      <c r="C1380">
        <f>_xlfn.LET(_xlpm.steps,SUBSTITUTE(Table1[[#This Row],[Input]],Table1[[#This Row],[Direction]],""),VALUE(IF(LEN(_xlpm.steps)&gt;2,RIGHT(_xlpm.steps,2),_xlpm.steps)))</f>
        <v>38</v>
      </c>
      <c r="D1380">
        <f>_xlfn.LET(_xlpm.dir,Table1[[#This Row],[Direction]],
IF(_xlpm.dir="L",
    IF(F1379-Table1[[#This Row],[Steps]]&lt;0,100+(F1379-Table1[[#This Row],[Steps]]),F1379-Table1[[#This Row],[Steps]]),
))</f>
        <v>0</v>
      </c>
      <c r="E1380">
        <f>_xlfn.LET(_xlpm.dir,Table1[[#This Row],[Direction]],
IF(_xlpm.dir="R",
    IF(F1379+Table1[[#This Row],[Steps]]&gt;99,(F1379+Table1[[#This Row],[Steps]])-100,F1379+Table1[[#This Row],[Steps]]),
))</f>
        <v>38</v>
      </c>
      <c r="F1380">
        <f>IF(Table1[[#This Row],[New Pos L]]&lt;&gt;0,Table1[[#This Row],[New Pos L]],Table1[[#This Row],[New Pos R]])</f>
        <v>38</v>
      </c>
    </row>
    <row r="1381" spans="1:6" ht="16" x14ac:dyDescent="0.2">
      <c r="A1381" s="1" t="s">
        <v>138</v>
      </c>
      <c r="B1381" t="str">
        <f>LEFT(Table1[[#This Row],[Input]],1)</f>
        <v>L</v>
      </c>
      <c r="C1381">
        <f>_xlfn.LET(_xlpm.steps,SUBSTITUTE(Table1[[#This Row],[Input]],Table1[[#This Row],[Direction]],""),VALUE(IF(LEN(_xlpm.steps)&gt;2,RIGHT(_xlpm.steps,2),_xlpm.steps)))</f>
        <v>94</v>
      </c>
      <c r="D1381">
        <f>_xlfn.LET(_xlpm.dir,Table1[[#This Row],[Direction]],
IF(_xlpm.dir="L",
    IF(F1380-Table1[[#This Row],[Steps]]&lt;0,100+(F1380-Table1[[#This Row],[Steps]]),F1380-Table1[[#This Row],[Steps]]),
))</f>
        <v>44</v>
      </c>
      <c r="E1381">
        <f>_xlfn.LET(_xlpm.dir,Table1[[#This Row],[Direction]],
IF(_xlpm.dir="R",
    IF(F1380+Table1[[#This Row],[Steps]]&gt;99,(F1380+Table1[[#This Row],[Steps]])-100,F1380+Table1[[#This Row],[Steps]]),
))</f>
        <v>0</v>
      </c>
      <c r="F1381">
        <f>IF(Table1[[#This Row],[New Pos L]]&lt;&gt;0,Table1[[#This Row],[New Pos L]],Table1[[#This Row],[New Pos R]])</f>
        <v>44</v>
      </c>
    </row>
    <row r="1382" spans="1:6" ht="16" x14ac:dyDescent="0.2">
      <c r="A1382" s="1" t="s">
        <v>424</v>
      </c>
      <c r="B1382" t="str">
        <f>LEFT(Table1[[#This Row],[Input]],1)</f>
        <v>L</v>
      </c>
      <c r="C1382">
        <f>_xlfn.LET(_xlpm.steps,SUBSTITUTE(Table1[[#This Row],[Input]],Table1[[#This Row],[Direction]],""),VALUE(IF(LEN(_xlpm.steps)&gt;2,RIGHT(_xlpm.steps,2),_xlpm.steps)))</f>
        <v>25</v>
      </c>
      <c r="D1382">
        <f>_xlfn.LET(_xlpm.dir,Table1[[#This Row],[Direction]],
IF(_xlpm.dir="L",
    IF(F1381-Table1[[#This Row],[Steps]]&lt;0,100+(F1381-Table1[[#This Row],[Steps]]),F1381-Table1[[#This Row],[Steps]]),
))</f>
        <v>19</v>
      </c>
      <c r="E1382">
        <f>_xlfn.LET(_xlpm.dir,Table1[[#This Row],[Direction]],
IF(_xlpm.dir="R",
    IF(F1381+Table1[[#This Row],[Steps]]&gt;99,(F1381+Table1[[#This Row],[Steps]])-100,F1381+Table1[[#This Row],[Steps]]),
))</f>
        <v>0</v>
      </c>
      <c r="F1382">
        <f>IF(Table1[[#This Row],[New Pos L]]&lt;&gt;0,Table1[[#This Row],[New Pos L]],Table1[[#This Row],[New Pos R]])</f>
        <v>19</v>
      </c>
    </row>
    <row r="1383" spans="1:6" ht="16" x14ac:dyDescent="0.2">
      <c r="A1383" s="1" t="s">
        <v>77</v>
      </c>
      <c r="B1383" t="str">
        <f>LEFT(Table1[[#This Row],[Input]],1)</f>
        <v>R</v>
      </c>
      <c r="C1383">
        <f>_xlfn.LET(_xlpm.steps,SUBSTITUTE(Table1[[#This Row],[Input]],Table1[[#This Row],[Direction]],""),VALUE(IF(LEN(_xlpm.steps)&gt;2,RIGHT(_xlpm.steps,2),_xlpm.steps)))</f>
        <v>74</v>
      </c>
      <c r="D1383">
        <f>_xlfn.LET(_xlpm.dir,Table1[[#This Row],[Direction]],
IF(_xlpm.dir="L",
    IF(F1382-Table1[[#This Row],[Steps]]&lt;0,100+(F1382-Table1[[#This Row],[Steps]]),F1382-Table1[[#This Row],[Steps]]),
))</f>
        <v>0</v>
      </c>
      <c r="E1383">
        <f>_xlfn.LET(_xlpm.dir,Table1[[#This Row],[Direction]],
IF(_xlpm.dir="R",
    IF(F1382+Table1[[#This Row],[Steps]]&gt;99,(F1382+Table1[[#This Row],[Steps]])-100,F1382+Table1[[#This Row],[Steps]]),
))</f>
        <v>93</v>
      </c>
      <c r="F1383">
        <f>IF(Table1[[#This Row],[New Pos L]]&lt;&gt;0,Table1[[#This Row],[New Pos L]],Table1[[#This Row],[New Pos R]])</f>
        <v>93</v>
      </c>
    </row>
    <row r="1384" spans="1:6" ht="16" x14ac:dyDescent="0.2">
      <c r="A1384" s="1" t="s">
        <v>122</v>
      </c>
      <c r="B1384" t="str">
        <f>LEFT(Table1[[#This Row],[Input]],1)</f>
        <v>R</v>
      </c>
      <c r="C1384">
        <f>_xlfn.LET(_xlpm.steps,SUBSTITUTE(Table1[[#This Row],[Input]],Table1[[#This Row],[Direction]],""),VALUE(IF(LEN(_xlpm.steps)&gt;2,RIGHT(_xlpm.steps,2),_xlpm.steps)))</f>
        <v>75</v>
      </c>
      <c r="D1384">
        <f>_xlfn.LET(_xlpm.dir,Table1[[#This Row],[Direction]],
IF(_xlpm.dir="L",
    IF(F1383-Table1[[#This Row],[Steps]]&lt;0,100+(F1383-Table1[[#This Row],[Steps]]),F1383-Table1[[#This Row],[Steps]]),
))</f>
        <v>0</v>
      </c>
      <c r="E1384">
        <f>_xlfn.LET(_xlpm.dir,Table1[[#This Row],[Direction]],
IF(_xlpm.dir="R",
    IF(F1383+Table1[[#This Row],[Steps]]&gt;99,(F1383+Table1[[#This Row],[Steps]])-100,F1383+Table1[[#This Row],[Steps]]),
))</f>
        <v>68</v>
      </c>
      <c r="F1384">
        <f>IF(Table1[[#This Row],[New Pos L]]&lt;&gt;0,Table1[[#This Row],[New Pos L]],Table1[[#This Row],[New Pos R]])</f>
        <v>68</v>
      </c>
    </row>
    <row r="1385" spans="1:6" ht="16" x14ac:dyDescent="0.2">
      <c r="A1385" s="1" t="s">
        <v>68</v>
      </c>
      <c r="B1385" t="str">
        <f>LEFT(Table1[[#This Row],[Input]],1)</f>
        <v>L</v>
      </c>
      <c r="C1385">
        <f>_xlfn.LET(_xlpm.steps,SUBSTITUTE(Table1[[#This Row],[Input]],Table1[[#This Row],[Direction]],""),VALUE(IF(LEN(_xlpm.steps)&gt;2,RIGHT(_xlpm.steps,2),_xlpm.steps)))</f>
        <v>80</v>
      </c>
      <c r="D1385">
        <f>_xlfn.LET(_xlpm.dir,Table1[[#This Row],[Direction]],
IF(_xlpm.dir="L",
    IF(F1384-Table1[[#This Row],[Steps]]&lt;0,100+(F1384-Table1[[#This Row],[Steps]]),F1384-Table1[[#This Row],[Steps]]),
))</f>
        <v>88</v>
      </c>
      <c r="E1385">
        <f>_xlfn.LET(_xlpm.dir,Table1[[#This Row],[Direction]],
IF(_xlpm.dir="R",
    IF(F1384+Table1[[#This Row],[Steps]]&gt;99,(F1384+Table1[[#This Row],[Steps]])-100,F1384+Table1[[#This Row],[Steps]]),
))</f>
        <v>0</v>
      </c>
      <c r="F1385">
        <f>IF(Table1[[#This Row],[New Pos L]]&lt;&gt;0,Table1[[#This Row],[New Pos L]],Table1[[#This Row],[New Pos R]])</f>
        <v>88</v>
      </c>
    </row>
    <row r="1386" spans="1:6" ht="16" x14ac:dyDescent="0.2">
      <c r="A1386" s="1" t="s">
        <v>14</v>
      </c>
      <c r="B1386" t="str">
        <f>LEFT(Table1[[#This Row],[Input]],1)</f>
        <v>L</v>
      </c>
      <c r="C1386">
        <f>_xlfn.LET(_xlpm.steps,SUBSTITUTE(Table1[[#This Row],[Input]],Table1[[#This Row],[Direction]],""),VALUE(IF(LEN(_xlpm.steps)&gt;2,RIGHT(_xlpm.steps,2),_xlpm.steps)))</f>
        <v>43</v>
      </c>
      <c r="D1386">
        <f>_xlfn.LET(_xlpm.dir,Table1[[#This Row],[Direction]],
IF(_xlpm.dir="L",
    IF(F1385-Table1[[#This Row],[Steps]]&lt;0,100+(F1385-Table1[[#This Row],[Steps]]),F1385-Table1[[#This Row],[Steps]]),
))</f>
        <v>45</v>
      </c>
      <c r="E1386">
        <f>_xlfn.LET(_xlpm.dir,Table1[[#This Row],[Direction]],
IF(_xlpm.dir="R",
    IF(F1385+Table1[[#This Row],[Steps]]&gt;99,(F1385+Table1[[#This Row],[Steps]])-100,F1385+Table1[[#This Row],[Steps]]),
))</f>
        <v>0</v>
      </c>
      <c r="F1386">
        <f>IF(Table1[[#This Row],[New Pos L]]&lt;&gt;0,Table1[[#This Row],[New Pos L]],Table1[[#This Row],[New Pos R]])</f>
        <v>45</v>
      </c>
    </row>
    <row r="1387" spans="1:6" ht="16" x14ac:dyDescent="0.2">
      <c r="A1387" s="1" t="s">
        <v>79</v>
      </c>
      <c r="B1387" t="str">
        <f>LEFT(Table1[[#This Row],[Input]],1)</f>
        <v>L</v>
      </c>
      <c r="C1387">
        <f>_xlfn.LET(_xlpm.steps,SUBSTITUTE(Table1[[#This Row],[Input]],Table1[[#This Row],[Direction]],""),VALUE(IF(LEN(_xlpm.steps)&gt;2,RIGHT(_xlpm.steps,2),_xlpm.steps)))</f>
        <v>45</v>
      </c>
      <c r="D1387">
        <f>_xlfn.LET(_xlpm.dir,Table1[[#This Row],[Direction]],
IF(_xlpm.dir="L",
    IF(F1386-Table1[[#This Row],[Steps]]&lt;0,100+(F1386-Table1[[#This Row],[Steps]]),F1386-Table1[[#This Row],[Steps]]),
))</f>
        <v>0</v>
      </c>
      <c r="E1387">
        <f>_xlfn.LET(_xlpm.dir,Table1[[#This Row],[Direction]],
IF(_xlpm.dir="R",
    IF(F1386+Table1[[#This Row],[Steps]]&gt;99,(F1386+Table1[[#This Row],[Steps]])-100,F1386+Table1[[#This Row],[Steps]]),
))</f>
        <v>0</v>
      </c>
      <c r="F1387">
        <f>IF(Table1[[#This Row],[New Pos L]]&lt;&gt;0,Table1[[#This Row],[New Pos L]],Table1[[#This Row],[New Pos R]])</f>
        <v>0</v>
      </c>
    </row>
    <row r="1388" spans="1:6" ht="16" x14ac:dyDescent="0.2">
      <c r="A1388" s="1" t="s">
        <v>6</v>
      </c>
      <c r="B1388" t="str">
        <f>LEFT(Table1[[#This Row],[Input]],1)</f>
        <v>R</v>
      </c>
      <c r="C1388">
        <f>_xlfn.LET(_xlpm.steps,SUBSTITUTE(Table1[[#This Row],[Input]],Table1[[#This Row],[Direction]],""),VALUE(IF(LEN(_xlpm.steps)&gt;2,RIGHT(_xlpm.steps,2),_xlpm.steps)))</f>
        <v>49</v>
      </c>
      <c r="D1388">
        <f>_xlfn.LET(_xlpm.dir,Table1[[#This Row],[Direction]],
IF(_xlpm.dir="L",
    IF(F1387-Table1[[#This Row],[Steps]]&lt;0,100+(F1387-Table1[[#This Row],[Steps]]),F1387-Table1[[#This Row],[Steps]]),
))</f>
        <v>0</v>
      </c>
      <c r="E1388">
        <f>_xlfn.LET(_xlpm.dir,Table1[[#This Row],[Direction]],
IF(_xlpm.dir="R",
    IF(F1387+Table1[[#This Row],[Steps]]&gt;99,(F1387+Table1[[#This Row],[Steps]])-100,F1387+Table1[[#This Row],[Steps]]),
))</f>
        <v>49</v>
      </c>
      <c r="F1388">
        <f>IF(Table1[[#This Row],[New Pos L]]&lt;&gt;0,Table1[[#This Row],[New Pos L]],Table1[[#This Row],[New Pos R]])</f>
        <v>49</v>
      </c>
    </row>
    <row r="1389" spans="1:6" ht="16" x14ac:dyDescent="0.2">
      <c r="A1389" s="1" t="s">
        <v>24</v>
      </c>
      <c r="B1389" t="str">
        <f>LEFT(Table1[[#This Row],[Input]],1)</f>
        <v>L</v>
      </c>
      <c r="C1389">
        <f>_xlfn.LET(_xlpm.steps,SUBSTITUTE(Table1[[#This Row],[Input]],Table1[[#This Row],[Direction]],""),VALUE(IF(LEN(_xlpm.steps)&gt;2,RIGHT(_xlpm.steps,2),_xlpm.steps)))</f>
        <v>49</v>
      </c>
      <c r="D1389">
        <f>_xlfn.LET(_xlpm.dir,Table1[[#This Row],[Direction]],
IF(_xlpm.dir="L",
    IF(F1388-Table1[[#This Row],[Steps]]&lt;0,100+(F1388-Table1[[#This Row],[Steps]]),F1388-Table1[[#This Row],[Steps]]),
))</f>
        <v>0</v>
      </c>
      <c r="E1389">
        <f>_xlfn.LET(_xlpm.dir,Table1[[#This Row],[Direction]],
IF(_xlpm.dir="R",
    IF(F1388+Table1[[#This Row],[Steps]]&gt;99,(F1388+Table1[[#This Row],[Steps]])-100,F1388+Table1[[#This Row],[Steps]]),
))</f>
        <v>0</v>
      </c>
      <c r="F1389">
        <f>IF(Table1[[#This Row],[New Pos L]]&lt;&gt;0,Table1[[#This Row],[New Pos L]],Table1[[#This Row],[New Pos R]])</f>
        <v>0</v>
      </c>
    </row>
    <row r="1390" spans="1:6" ht="16" x14ac:dyDescent="0.2">
      <c r="A1390" s="1" t="s">
        <v>194</v>
      </c>
      <c r="B1390" t="str">
        <f>LEFT(Table1[[#This Row],[Input]],1)</f>
        <v>R</v>
      </c>
      <c r="C1390">
        <f>_xlfn.LET(_xlpm.steps,SUBSTITUTE(Table1[[#This Row],[Input]],Table1[[#This Row],[Direction]],""),VALUE(IF(LEN(_xlpm.steps)&gt;2,RIGHT(_xlpm.steps,2),_xlpm.steps)))</f>
        <v>51</v>
      </c>
      <c r="D1390">
        <f>_xlfn.LET(_xlpm.dir,Table1[[#This Row],[Direction]],
IF(_xlpm.dir="L",
    IF(F1389-Table1[[#This Row],[Steps]]&lt;0,100+(F1389-Table1[[#This Row],[Steps]]),F1389-Table1[[#This Row],[Steps]]),
))</f>
        <v>0</v>
      </c>
      <c r="E1390">
        <f>_xlfn.LET(_xlpm.dir,Table1[[#This Row],[Direction]],
IF(_xlpm.dir="R",
    IF(F1389+Table1[[#This Row],[Steps]]&gt;99,(F1389+Table1[[#This Row],[Steps]])-100,F1389+Table1[[#This Row],[Steps]]),
))</f>
        <v>51</v>
      </c>
      <c r="F1390">
        <f>IF(Table1[[#This Row],[New Pos L]]&lt;&gt;0,Table1[[#This Row],[New Pos L]],Table1[[#This Row],[New Pos R]])</f>
        <v>51</v>
      </c>
    </row>
    <row r="1391" spans="1:6" ht="16" x14ac:dyDescent="0.2">
      <c r="A1391" s="1" t="s">
        <v>174</v>
      </c>
      <c r="B1391" t="str">
        <f>LEFT(Table1[[#This Row],[Input]],1)</f>
        <v>L</v>
      </c>
      <c r="C1391">
        <f>_xlfn.LET(_xlpm.steps,SUBSTITUTE(Table1[[#This Row],[Input]],Table1[[#This Row],[Direction]],""),VALUE(IF(LEN(_xlpm.steps)&gt;2,RIGHT(_xlpm.steps,2),_xlpm.steps)))</f>
        <v>92</v>
      </c>
      <c r="D1391">
        <f>_xlfn.LET(_xlpm.dir,Table1[[#This Row],[Direction]],
IF(_xlpm.dir="L",
    IF(F1390-Table1[[#This Row],[Steps]]&lt;0,100+(F1390-Table1[[#This Row],[Steps]]),F1390-Table1[[#This Row],[Steps]]),
))</f>
        <v>59</v>
      </c>
      <c r="E1391">
        <f>_xlfn.LET(_xlpm.dir,Table1[[#This Row],[Direction]],
IF(_xlpm.dir="R",
    IF(F1390+Table1[[#This Row],[Steps]]&gt;99,(F1390+Table1[[#This Row],[Steps]])-100,F1390+Table1[[#This Row],[Steps]]),
))</f>
        <v>0</v>
      </c>
      <c r="F1391">
        <f>IF(Table1[[#This Row],[New Pos L]]&lt;&gt;0,Table1[[#This Row],[New Pos L]],Table1[[#This Row],[New Pos R]])</f>
        <v>59</v>
      </c>
    </row>
    <row r="1392" spans="1:6" ht="16" x14ac:dyDescent="0.2">
      <c r="A1392" s="1" t="s">
        <v>100</v>
      </c>
      <c r="B1392" t="str">
        <f>LEFT(Table1[[#This Row],[Input]],1)</f>
        <v>R</v>
      </c>
      <c r="C1392">
        <f>_xlfn.LET(_xlpm.steps,SUBSTITUTE(Table1[[#This Row],[Input]],Table1[[#This Row],[Direction]],""),VALUE(IF(LEN(_xlpm.steps)&gt;2,RIGHT(_xlpm.steps,2),_xlpm.steps)))</f>
        <v>58</v>
      </c>
      <c r="D1392">
        <f>_xlfn.LET(_xlpm.dir,Table1[[#This Row],[Direction]],
IF(_xlpm.dir="L",
    IF(F1391-Table1[[#This Row],[Steps]]&lt;0,100+(F1391-Table1[[#This Row],[Steps]]),F1391-Table1[[#This Row],[Steps]]),
))</f>
        <v>0</v>
      </c>
      <c r="E1392">
        <f>_xlfn.LET(_xlpm.dir,Table1[[#This Row],[Direction]],
IF(_xlpm.dir="R",
    IF(F1391+Table1[[#This Row],[Steps]]&gt;99,(F1391+Table1[[#This Row],[Steps]])-100,F1391+Table1[[#This Row],[Steps]]),
))</f>
        <v>17</v>
      </c>
      <c r="F1392">
        <f>IF(Table1[[#This Row],[New Pos L]]&lt;&gt;0,Table1[[#This Row],[New Pos L]],Table1[[#This Row],[New Pos R]])</f>
        <v>17</v>
      </c>
    </row>
    <row r="1393" spans="1:6" ht="16" x14ac:dyDescent="0.2">
      <c r="A1393" s="1" t="s">
        <v>187</v>
      </c>
      <c r="B1393" t="str">
        <f>LEFT(Table1[[#This Row],[Input]],1)</f>
        <v>R</v>
      </c>
      <c r="C1393">
        <f>_xlfn.LET(_xlpm.steps,SUBSTITUTE(Table1[[#This Row],[Input]],Table1[[#This Row],[Direction]],""),VALUE(IF(LEN(_xlpm.steps)&gt;2,RIGHT(_xlpm.steps,2),_xlpm.steps)))</f>
        <v>20</v>
      </c>
      <c r="D1393">
        <f>_xlfn.LET(_xlpm.dir,Table1[[#This Row],[Direction]],
IF(_xlpm.dir="L",
    IF(F1392-Table1[[#This Row],[Steps]]&lt;0,100+(F1392-Table1[[#This Row],[Steps]]),F1392-Table1[[#This Row],[Steps]]),
))</f>
        <v>0</v>
      </c>
      <c r="E1393">
        <f>_xlfn.LET(_xlpm.dir,Table1[[#This Row],[Direction]],
IF(_xlpm.dir="R",
    IF(F1392+Table1[[#This Row],[Steps]]&gt;99,(F1392+Table1[[#This Row],[Steps]])-100,F1392+Table1[[#This Row],[Steps]]),
))</f>
        <v>37</v>
      </c>
      <c r="F1393">
        <f>IF(Table1[[#This Row],[New Pos L]]&lt;&gt;0,Table1[[#This Row],[New Pos L]],Table1[[#This Row],[New Pos R]])</f>
        <v>37</v>
      </c>
    </row>
    <row r="1394" spans="1:6" ht="16" x14ac:dyDescent="0.2">
      <c r="A1394" s="1" t="s">
        <v>106</v>
      </c>
      <c r="B1394" t="str">
        <f>LEFT(Table1[[#This Row],[Input]],1)</f>
        <v>R</v>
      </c>
      <c r="C1394">
        <f>_xlfn.LET(_xlpm.steps,SUBSTITUTE(Table1[[#This Row],[Input]],Table1[[#This Row],[Direction]],""),VALUE(IF(LEN(_xlpm.steps)&gt;2,RIGHT(_xlpm.steps,2),_xlpm.steps)))</f>
        <v>41</v>
      </c>
      <c r="D1394">
        <f>_xlfn.LET(_xlpm.dir,Table1[[#This Row],[Direction]],
IF(_xlpm.dir="L",
    IF(F1393-Table1[[#This Row],[Steps]]&lt;0,100+(F1393-Table1[[#This Row],[Steps]]),F1393-Table1[[#This Row],[Steps]]),
))</f>
        <v>0</v>
      </c>
      <c r="E1394">
        <f>_xlfn.LET(_xlpm.dir,Table1[[#This Row],[Direction]],
IF(_xlpm.dir="R",
    IF(F1393+Table1[[#This Row],[Steps]]&gt;99,(F1393+Table1[[#This Row],[Steps]])-100,F1393+Table1[[#This Row],[Steps]]),
))</f>
        <v>78</v>
      </c>
      <c r="F1394">
        <f>IF(Table1[[#This Row],[New Pos L]]&lt;&gt;0,Table1[[#This Row],[New Pos L]],Table1[[#This Row],[New Pos R]])</f>
        <v>78</v>
      </c>
    </row>
    <row r="1395" spans="1:6" ht="16" x14ac:dyDescent="0.2">
      <c r="A1395" s="1" t="s">
        <v>425</v>
      </c>
      <c r="B1395" t="str">
        <f>LEFT(Table1[[#This Row],[Input]],1)</f>
        <v>L</v>
      </c>
      <c r="C1395">
        <f>_xlfn.LET(_xlpm.steps,SUBSTITUTE(Table1[[#This Row],[Input]],Table1[[#This Row],[Direction]],""),VALUE(IF(LEN(_xlpm.steps)&gt;2,RIGHT(_xlpm.steps,2),_xlpm.steps)))</f>
        <v>32</v>
      </c>
      <c r="D1395">
        <f>_xlfn.LET(_xlpm.dir,Table1[[#This Row],[Direction]],
IF(_xlpm.dir="L",
    IF(F1394-Table1[[#This Row],[Steps]]&lt;0,100+(F1394-Table1[[#This Row],[Steps]]),F1394-Table1[[#This Row],[Steps]]),
))</f>
        <v>46</v>
      </c>
      <c r="E1395">
        <f>_xlfn.LET(_xlpm.dir,Table1[[#This Row],[Direction]],
IF(_xlpm.dir="R",
    IF(F1394+Table1[[#This Row],[Steps]]&gt;99,(F1394+Table1[[#This Row],[Steps]])-100,F1394+Table1[[#This Row],[Steps]]),
))</f>
        <v>0</v>
      </c>
      <c r="F1395">
        <f>IF(Table1[[#This Row],[New Pos L]]&lt;&gt;0,Table1[[#This Row],[New Pos L]],Table1[[#This Row],[New Pos R]])</f>
        <v>46</v>
      </c>
    </row>
    <row r="1396" spans="1:6" ht="16" x14ac:dyDescent="0.2">
      <c r="A1396" s="1" t="s">
        <v>77</v>
      </c>
      <c r="B1396" t="str">
        <f>LEFT(Table1[[#This Row],[Input]],1)</f>
        <v>R</v>
      </c>
      <c r="C1396">
        <f>_xlfn.LET(_xlpm.steps,SUBSTITUTE(Table1[[#This Row],[Input]],Table1[[#This Row],[Direction]],""),VALUE(IF(LEN(_xlpm.steps)&gt;2,RIGHT(_xlpm.steps,2),_xlpm.steps)))</f>
        <v>74</v>
      </c>
      <c r="D1396">
        <f>_xlfn.LET(_xlpm.dir,Table1[[#This Row],[Direction]],
IF(_xlpm.dir="L",
    IF(F1395-Table1[[#This Row],[Steps]]&lt;0,100+(F1395-Table1[[#This Row],[Steps]]),F1395-Table1[[#This Row],[Steps]]),
))</f>
        <v>0</v>
      </c>
      <c r="E1396">
        <f>_xlfn.LET(_xlpm.dir,Table1[[#This Row],[Direction]],
IF(_xlpm.dir="R",
    IF(F1395+Table1[[#This Row],[Steps]]&gt;99,(F1395+Table1[[#This Row],[Steps]])-100,F1395+Table1[[#This Row],[Steps]]),
))</f>
        <v>20</v>
      </c>
      <c r="F1396">
        <f>IF(Table1[[#This Row],[New Pos L]]&lt;&gt;0,Table1[[#This Row],[New Pos L]],Table1[[#This Row],[New Pos R]])</f>
        <v>20</v>
      </c>
    </row>
    <row r="1397" spans="1:6" ht="16" x14ac:dyDescent="0.2">
      <c r="A1397" s="1" t="s">
        <v>25</v>
      </c>
      <c r="B1397" t="str">
        <f>LEFT(Table1[[#This Row],[Input]],1)</f>
        <v>L</v>
      </c>
      <c r="C1397">
        <f>_xlfn.LET(_xlpm.steps,SUBSTITUTE(Table1[[#This Row],[Input]],Table1[[#This Row],[Direction]],""),VALUE(IF(LEN(_xlpm.steps)&gt;2,RIGHT(_xlpm.steps,2),_xlpm.steps)))</f>
        <v>20</v>
      </c>
      <c r="D1397">
        <f>_xlfn.LET(_xlpm.dir,Table1[[#This Row],[Direction]],
IF(_xlpm.dir="L",
    IF(F1396-Table1[[#This Row],[Steps]]&lt;0,100+(F1396-Table1[[#This Row],[Steps]]),F1396-Table1[[#This Row],[Steps]]),
))</f>
        <v>0</v>
      </c>
      <c r="E1397">
        <f>_xlfn.LET(_xlpm.dir,Table1[[#This Row],[Direction]],
IF(_xlpm.dir="R",
    IF(F1396+Table1[[#This Row],[Steps]]&gt;99,(F1396+Table1[[#This Row],[Steps]])-100,F1396+Table1[[#This Row],[Steps]]),
))</f>
        <v>0</v>
      </c>
      <c r="F1397">
        <f>IF(Table1[[#This Row],[New Pos L]]&lt;&gt;0,Table1[[#This Row],[New Pos L]],Table1[[#This Row],[New Pos R]])</f>
        <v>0</v>
      </c>
    </row>
    <row r="1398" spans="1:6" ht="16" x14ac:dyDescent="0.2">
      <c r="A1398" s="1" t="s">
        <v>80</v>
      </c>
      <c r="B1398" t="str">
        <f>LEFT(Table1[[#This Row],[Input]],1)</f>
        <v>L</v>
      </c>
      <c r="C1398">
        <f>_xlfn.LET(_xlpm.steps,SUBSTITUTE(Table1[[#This Row],[Input]],Table1[[#This Row],[Direction]],""),VALUE(IF(LEN(_xlpm.steps)&gt;2,RIGHT(_xlpm.steps,2),_xlpm.steps)))</f>
        <v>48</v>
      </c>
      <c r="D1398">
        <f>_xlfn.LET(_xlpm.dir,Table1[[#This Row],[Direction]],
IF(_xlpm.dir="L",
    IF(F1397-Table1[[#This Row],[Steps]]&lt;0,100+(F1397-Table1[[#This Row],[Steps]]),F1397-Table1[[#This Row],[Steps]]),
))</f>
        <v>52</v>
      </c>
      <c r="E1398">
        <f>_xlfn.LET(_xlpm.dir,Table1[[#This Row],[Direction]],
IF(_xlpm.dir="R",
    IF(F1397+Table1[[#This Row],[Steps]]&gt;99,(F1397+Table1[[#This Row],[Steps]])-100,F1397+Table1[[#This Row],[Steps]]),
))</f>
        <v>0</v>
      </c>
      <c r="F1398">
        <f>IF(Table1[[#This Row],[New Pos L]]&lt;&gt;0,Table1[[#This Row],[New Pos L]],Table1[[#This Row],[New Pos R]])</f>
        <v>52</v>
      </c>
    </row>
    <row r="1399" spans="1:6" ht="16" x14ac:dyDescent="0.2">
      <c r="A1399" s="1" t="s">
        <v>2</v>
      </c>
      <c r="B1399" t="str">
        <f>LEFT(Table1[[#This Row],[Input]],1)</f>
        <v>L</v>
      </c>
      <c r="C1399">
        <f>_xlfn.LET(_xlpm.steps,SUBSTITUTE(Table1[[#This Row],[Input]],Table1[[#This Row],[Direction]],""),VALUE(IF(LEN(_xlpm.steps)&gt;2,RIGHT(_xlpm.steps,2),_xlpm.steps)))</f>
        <v>38</v>
      </c>
      <c r="D1399">
        <f>_xlfn.LET(_xlpm.dir,Table1[[#This Row],[Direction]],
IF(_xlpm.dir="L",
    IF(F1398-Table1[[#This Row],[Steps]]&lt;0,100+(F1398-Table1[[#This Row],[Steps]]),F1398-Table1[[#This Row],[Steps]]),
))</f>
        <v>14</v>
      </c>
      <c r="E1399">
        <f>_xlfn.LET(_xlpm.dir,Table1[[#This Row],[Direction]],
IF(_xlpm.dir="R",
    IF(F1398+Table1[[#This Row],[Steps]]&gt;99,(F1398+Table1[[#This Row],[Steps]])-100,F1398+Table1[[#This Row],[Steps]]),
))</f>
        <v>0</v>
      </c>
      <c r="F1399">
        <f>IF(Table1[[#This Row],[New Pos L]]&lt;&gt;0,Table1[[#This Row],[New Pos L]],Table1[[#This Row],[New Pos R]])</f>
        <v>14</v>
      </c>
    </row>
    <row r="1400" spans="1:6" ht="16" x14ac:dyDescent="0.2">
      <c r="A1400" s="1" t="s">
        <v>27</v>
      </c>
      <c r="B1400" t="str">
        <f>LEFT(Table1[[#This Row],[Input]],1)</f>
        <v>L</v>
      </c>
      <c r="C1400">
        <f>_xlfn.LET(_xlpm.steps,SUBSTITUTE(Table1[[#This Row],[Input]],Table1[[#This Row],[Direction]],""),VALUE(IF(LEN(_xlpm.steps)&gt;2,RIGHT(_xlpm.steps,2),_xlpm.steps)))</f>
        <v>14</v>
      </c>
      <c r="D1400">
        <f>_xlfn.LET(_xlpm.dir,Table1[[#This Row],[Direction]],
IF(_xlpm.dir="L",
    IF(F1399-Table1[[#This Row],[Steps]]&lt;0,100+(F1399-Table1[[#This Row],[Steps]]),F1399-Table1[[#This Row],[Steps]]),
))</f>
        <v>0</v>
      </c>
      <c r="E1400">
        <f>_xlfn.LET(_xlpm.dir,Table1[[#This Row],[Direction]],
IF(_xlpm.dir="R",
    IF(F1399+Table1[[#This Row],[Steps]]&gt;99,(F1399+Table1[[#This Row],[Steps]])-100,F1399+Table1[[#This Row],[Steps]]),
))</f>
        <v>0</v>
      </c>
      <c r="F1400">
        <f>IF(Table1[[#This Row],[New Pos L]]&lt;&gt;0,Table1[[#This Row],[New Pos L]],Table1[[#This Row],[New Pos R]])</f>
        <v>0</v>
      </c>
    </row>
    <row r="1401" spans="1:6" ht="16" x14ac:dyDescent="0.2">
      <c r="A1401" s="1" t="s">
        <v>125</v>
      </c>
      <c r="B1401" t="str">
        <f>LEFT(Table1[[#This Row],[Input]],1)</f>
        <v>L</v>
      </c>
      <c r="C1401">
        <f>_xlfn.LET(_xlpm.steps,SUBSTITUTE(Table1[[#This Row],[Input]],Table1[[#This Row],[Direction]],""),VALUE(IF(LEN(_xlpm.steps)&gt;2,RIGHT(_xlpm.steps,2),_xlpm.steps)))</f>
        <v>76</v>
      </c>
      <c r="D1401">
        <f>_xlfn.LET(_xlpm.dir,Table1[[#This Row],[Direction]],
IF(_xlpm.dir="L",
    IF(F1400-Table1[[#This Row],[Steps]]&lt;0,100+(F1400-Table1[[#This Row],[Steps]]),F1400-Table1[[#This Row],[Steps]]),
))</f>
        <v>24</v>
      </c>
      <c r="E1401">
        <f>_xlfn.LET(_xlpm.dir,Table1[[#This Row],[Direction]],
IF(_xlpm.dir="R",
    IF(F1400+Table1[[#This Row],[Steps]]&gt;99,(F1400+Table1[[#This Row],[Steps]])-100,F1400+Table1[[#This Row],[Steps]]),
))</f>
        <v>0</v>
      </c>
      <c r="F1401">
        <f>IF(Table1[[#This Row],[New Pos L]]&lt;&gt;0,Table1[[#This Row],[New Pos L]],Table1[[#This Row],[New Pos R]])</f>
        <v>24</v>
      </c>
    </row>
    <row r="1402" spans="1:6" ht="16" x14ac:dyDescent="0.2">
      <c r="A1402" s="1" t="s">
        <v>344</v>
      </c>
      <c r="B1402" t="str">
        <f>LEFT(Table1[[#This Row],[Input]],1)</f>
        <v>R</v>
      </c>
      <c r="C1402">
        <f>_xlfn.LET(_xlpm.steps,SUBSTITUTE(Table1[[#This Row],[Input]],Table1[[#This Row],[Direction]],""),VALUE(IF(LEN(_xlpm.steps)&gt;2,RIGHT(_xlpm.steps,2),_xlpm.steps)))</f>
        <v>9</v>
      </c>
      <c r="D1402">
        <f>_xlfn.LET(_xlpm.dir,Table1[[#This Row],[Direction]],
IF(_xlpm.dir="L",
    IF(F1401-Table1[[#This Row],[Steps]]&lt;0,100+(F1401-Table1[[#This Row],[Steps]]),F1401-Table1[[#This Row],[Steps]]),
))</f>
        <v>0</v>
      </c>
      <c r="E1402">
        <f>_xlfn.LET(_xlpm.dir,Table1[[#This Row],[Direction]],
IF(_xlpm.dir="R",
    IF(F1401+Table1[[#This Row],[Steps]]&gt;99,(F1401+Table1[[#This Row],[Steps]])-100,F1401+Table1[[#This Row],[Steps]]),
))</f>
        <v>33</v>
      </c>
      <c r="F1402">
        <f>IF(Table1[[#This Row],[New Pos L]]&lt;&gt;0,Table1[[#This Row],[New Pos L]],Table1[[#This Row],[New Pos R]])</f>
        <v>33</v>
      </c>
    </row>
    <row r="1403" spans="1:6" ht="16" x14ac:dyDescent="0.2">
      <c r="A1403" s="1" t="s">
        <v>332</v>
      </c>
      <c r="B1403" t="str">
        <f>LEFT(Table1[[#This Row],[Input]],1)</f>
        <v>L</v>
      </c>
      <c r="C1403">
        <f>_xlfn.LET(_xlpm.steps,SUBSTITUTE(Table1[[#This Row],[Input]],Table1[[#This Row],[Direction]],""),VALUE(IF(LEN(_xlpm.steps)&gt;2,RIGHT(_xlpm.steps,2),_xlpm.steps)))</f>
        <v>54</v>
      </c>
      <c r="D1403">
        <f>_xlfn.LET(_xlpm.dir,Table1[[#This Row],[Direction]],
IF(_xlpm.dir="L",
    IF(F1402-Table1[[#This Row],[Steps]]&lt;0,100+(F1402-Table1[[#This Row],[Steps]]),F1402-Table1[[#This Row],[Steps]]),
))</f>
        <v>79</v>
      </c>
      <c r="E1403">
        <f>_xlfn.LET(_xlpm.dir,Table1[[#This Row],[Direction]],
IF(_xlpm.dir="R",
    IF(F1402+Table1[[#This Row],[Steps]]&gt;99,(F1402+Table1[[#This Row],[Steps]])-100,F1402+Table1[[#This Row],[Steps]]),
))</f>
        <v>0</v>
      </c>
      <c r="F1403">
        <f>IF(Table1[[#This Row],[New Pos L]]&lt;&gt;0,Table1[[#This Row],[New Pos L]],Table1[[#This Row],[New Pos R]])</f>
        <v>79</v>
      </c>
    </row>
    <row r="1404" spans="1:6" ht="16" x14ac:dyDescent="0.2">
      <c r="A1404" s="1" t="s">
        <v>426</v>
      </c>
      <c r="B1404" t="str">
        <f>LEFT(Table1[[#This Row],[Input]],1)</f>
        <v>L</v>
      </c>
      <c r="C1404">
        <f>_xlfn.LET(_xlpm.steps,SUBSTITUTE(Table1[[#This Row],[Input]],Table1[[#This Row],[Direction]],""),VALUE(IF(LEN(_xlpm.steps)&gt;2,RIGHT(_xlpm.steps,2),_xlpm.steps)))</f>
        <v>79</v>
      </c>
      <c r="D1404">
        <f>_xlfn.LET(_xlpm.dir,Table1[[#This Row],[Direction]],
IF(_xlpm.dir="L",
    IF(F1403-Table1[[#This Row],[Steps]]&lt;0,100+(F1403-Table1[[#This Row],[Steps]]),F1403-Table1[[#This Row],[Steps]]),
))</f>
        <v>0</v>
      </c>
      <c r="E1404">
        <f>_xlfn.LET(_xlpm.dir,Table1[[#This Row],[Direction]],
IF(_xlpm.dir="R",
    IF(F1403+Table1[[#This Row],[Steps]]&gt;99,(F1403+Table1[[#This Row],[Steps]])-100,F1403+Table1[[#This Row],[Steps]]),
))</f>
        <v>0</v>
      </c>
      <c r="F1404">
        <f>IF(Table1[[#This Row],[New Pos L]]&lt;&gt;0,Table1[[#This Row],[New Pos L]],Table1[[#This Row],[New Pos R]])</f>
        <v>0</v>
      </c>
    </row>
    <row r="1405" spans="1:6" ht="16" x14ac:dyDescent="0.2">
      <c r="A1405" s="1" t="s">
        <v>40</v>
      </c>
      <c r="B1405" t="str">
        <f>LEFT(Table1[[#This Row],[Input]],1)</f>
        <v>R</v>
      </c>
      <c r="C1405">
        <f>_xlfn.LET(_xlpm.steps,SUBSTITUTE(Table1[[#This Row],[Input]],Table1[[#This Row],[Direction]],""),VALUE(IF(LEN(_xlpm.steps)&gt;2,RIGHT(_xlpm.steps,2),_xlpm.steps)))</f>
        <v>52</v>
      </c>
      <c r="D1405">
        <f>_xlfn.LET(_xlpm.dir,Table1[[#This Row],[Direction]],
IF(_xlpm.dir="L",
    IF(F1404-Table1[[#This Row],[Steps]]&lt;0,100+(F1404-Table1[[#This Row],[Steps]]),F1404-Table1[[#This Row],[Steps]]),
))</f>
        <v>0</v>
      </c>
      <c r="E1405">
        <f>_xlfn.LET(_xlpm.dir,Table1[[#This Row],[Direction]],
IF(_xlpm.dir="R",
    IF(F1404+Table1[[#This Row],[Steps]]&gt;99,(F1404+Table1[[#This Row],[Steps]])-100,F1404+Table1[[#This Row],[Steps]]),
))</f>
        <v>52</v>
      </c>
      <c r="F1405">
        <f>IF(Table1[[#This Row],[New Pos L]]&lt;&gt;0,Table1[[#This Row],[New Pos L]],Table1[[#This Row],[New Pos R]])</f>
        <v>52</v>
      </c>
    </row>
    <row r="1406" spans="1:6" ht="16" x14ac:dyDescent="0.2">
      <c r="A1406" s="1" t="s">
        <v>165</v>
      </c>
      <c r="B1406" t="str">
        <f>LEFT(Table1[[#This Row],[Input]],1)</f>
        <v>R</v>
      </c>
      <c r="C1406">
        <f>_xlfn.LET(_xlpm.steps,SUBSTITUTE(Table1[[#This Row],[Input]],Table1[[#This Row],[Direction]],""),VALUE(IF(LEN(_xlpm.steps)&gt;2,RIGHT(_xlpm.steps,2),_xlpm.steps)))</f>
        <v>55</v>
      </c>
      <c r="D1406">
        <f>_xlfn.LET(_xlpm.dir,Table1[[#This Row],[Direction]],
IF(_xlpm.dir="L",
    IF(F1405-Table1[[#This Row],[Steps]]&lt;0,100+(F1405-Table1[[#This Row],[Steps]]),F1405-Table1[[#This Row],[Steps]]),
))</f>
        <v>0</v>
      </c>
      <c r="E1406">
        <f>_xlfn.LET(_xlpm.dir,Table1[[#This Row],[Direction]],
IF(_xlpm.dir="R",
    IF(F1405+Table1[[#This Row],[Steps]]&gt;99,(F1405+Table1[[#This Row],[Steps]])-100,F1405+Table1[[#This Row],[Steps]]),
))</f>
        <v>7</v>
      </c>
      <c r="F1406">
        <f>IF(Table1[[#This Row],[New Pos L]]&lt;&gt;0,Table1[[#This Row],[New Pos L]],Table1[[#This Row],[New Pos R]])</f>
        <v>7</v>
      </c>
    </row>
    <row r="1407" spans="1:6" ht="16" x14ac:dyDescent="0.2">
      <c r="A1407" s="1" t="s">
        <v>217</v>
      </c>
      <c r="B1407" t="str">
        <f>LEFT(Table1[[#This Row],[Input]],1)</f>
        <v>R</v>
      </c>
      <c r="C1407">
        <f>_xlfn.LET(_xlpm.steps,SUBSTITUTE(Table1[[#This Row],[Input]],Table1[[#This Row],[Direction]],""),VALUE(IF(LEN(_xlpm.steps)&gt;2,RIGHT(_xlpm.steps,2),_xlpm.steps)))</f>
        <v>91</v>
      </c>
      <c r="D1407">
        <f>_xlfn.LET(_xlpm.dir,Table1[[#This Row],[Direction]],
IF(_xlpm.dir="L",
    IF(F1406-Table1[[#This Row],[Steps]]&lt;0,100+(F1406-Table1[[#This Row],[Steps]]),F1406-Table1[[#This Row],[Steps]]),
))</f>
        <v>0</v>
      </c>
      <c r="E1407">
        <f>_xlfn.LET(_xlpm.dir,Table1[[#This Row],[Direction]],
IF(_xlpm.dir="R",
    IF(F1406+Table1[[#This Row],[Steps]]&gt;99,(F1406+Table1[[#This Row],[Steps]])-100,F1406+Table1[[#This Row],[Steps]]),
))</f>
        <v>98</v>
      </c>
      <c r="F1407">
        <f>IF(Table1[[#This Row],[New Pos L]]&lt;&gt;0,Table1[[#This Row],[New Pos L]],Table1[[#This Row],[New Pos R]])</f>
        <v>98</v>
      </c>
    </row>
    <row r="1408" spans="1:6" ht="16" x14ac:dyDescent="0.2">
      <c r="A1408" s="1" t="s">
        <v>26</v>
      </c>
      <c r="B1408" t="str">
        <f>LEFT(Table1[[#This Row],[Input]],1)</f>
        <v>R</v>
      </c>
      <c r="C1408">
        <f>_xlfn.LET(_xlpm.steps,SUBSTITUTE(Table1[[#This Row],[Input]],Table1[[#This Row],[Direction]],""),VALUE(IF(LEN(_xlpm.steps)&gt;2,RIGHT(_xlpm.steps,2),_xlpm.steps)))</f>
        <v>6</v>
      </c>
      <c r="D1408">
        <f>_xlfn.LET(_xlpm.dir,Table1[[#This Row],[Direction]],
IF(_xlpm.dir="L",
    IF(F1407-Table1[[#This Row],[Steps]]&lt;0,100+(F1407-Table1[[#This Row],[Steps]]),F1407-Table1[[#This Row],[Steps]]),
))</f>
        <v>0</v>
      </c>
      <c r="E1408">
        <f>_xlfn.LET(_xlpm.dir,Table1[[#This Row],[Direction]],
IF(_xlpm.dir="R",
    IF(F1407+Table1[[#This Row],[Steps]]&gt;99,(F1407+Table1[[#This Row],[Steps]])-100,F1407+Table1[[#This Row],[Steps]]),
))</f>
        <v>4</v>
      </c>
      <c r="F1408">
        <f>IF(Table1[[#This Row],[New Pos L]]&lt;&gt;0,Table1[[#This Row],[New Pos L]],Table1[[#This Row],[New Pos R]])</f>
        <v>4</v>
      </c>
    </row>
    <row r="1409" spans="1:6" ht="16" x14ac:dyDescent="0.2">
      <c r="A1409" s="1" t="s">
        <v>80</v>
      </c>
      <c r="B1409" t="str">
        <f>LEFT(Table1[[#This Row],[Input]],1)</f>
        <v>L</v>
      </c>
      <c r="C1409">
        <f>_xlfn.LET(_xlpm.steps,SUBSTITUTE(Table1[[#This Row],[Input]],Table1[[#This Row],[Direction]],""),VALUE(IF(LEN(_xlpm.steps)&gt;2,RIGHT(_xlpm.steps,2),_xlpm.steps)))</f>
        <v>48</v>
      </c>
      <c r="D1409">
        <f>_xlfn.LET(_xlpm.dir,Table1[[#This Row],[Direction]],
IF(_xlpm.dir="L",
    IF(F1408-Table1[[#This Row],[Steps]]&lt;0,100+(F1408-Table1[[#This Row],[Steps]]),F1408-Table1[[#This Row],[Steps]]),
))</f>
        <v>56</v>
      </c>
      <c r="E1409">
        <f>_xlfn.LET(_xlpm.dir,Table1[[#This Row],[Direction]],
IF(_xlpm.dir="R",
    IF(F1408+Table1[[#This Row],[Steps]]&gt;99,(F1408+Table1[[#This Row],[Steps]])-100,F1408+Table1[[#This Row],[Steps]]),
))</f>
        <v>0</v>
      </c>
      <c r="F1409">
        <f>IF(Table1[[#This Row],[New Pos L]]&lt;&gt;0,Table1[[#This Row],[New Pos L]],Table1[[#This Row],[New Pos R]])</f>
        <v>56</v>
      </c>
    </row>
    <row r="1410" spans="1:6" ht="16" x14ac:dyDescent="0.2">
      <c r="A1410" s="1" t="s">
        <v>427</v>
      </c>
      <c r="B1410" t="str">
        <f>LEFT(Table1[[#This Row],[Input]],1)</f>
        <v>R</v>
      </c>
      <c r="C1410">
        <f>_xlfn.LET(_xlpm.steps,SUBSTITUTE(Table1[[#This Row],[Input]],Table1[[#This Row],[Direction]],""),VALUE(IF(LEN(_xlpm.steps)&gt;2,RIGHT(_xlpm.steps,2),_xlpm.steps)))</f>
        <v>37</v>
      </c>
      <c r="D1410">
        <f>_xlfn.LET(_xlpm.dir,Table1[[#This Row],[Direction]],
IF(_xlpm.dir="L",
    IF(F1409-Table1[[#This Row],[Steps]]&lt;0,100+(F1409-Table1[[#This Row],[Steps]]),F1409-Table1[[#This Row],[Steps]]),
))</f>
        <v>0</v>
      </c>
      <c r="E1410">
        <f>_xlfn.LET(_xlpm.dir,Table1[[#This Row],[Direction]],
IF(_xlpm.dir="R",
    IF(F1409+Table1[[#This Row],[Steps]]&gt;99,(F1409+Table1[[#This Row],[Steps]])-100,F1409+Table1[[#This Row],[Steps]]),
))</f>
        <v>93</v>
      </c>
      <c r="F1410">
        <f>IF(Table1[[#This Row],[New Pos L]]&lt;&gt;0,Table1[[#This Row],[New Pos L]],Table1[[#This Row],[New Pos R]])</f>
        <v>93</v>
      </c>
    </row>
    <row r="1411" spans="1:6" ht="16" x14ac:dyDescent="0.2">
      <c r="A1411" s="1" t="s">
        <v>428</v>
      </c>
      <c r="B1411" t="str">
        <f>LEFT(Table1[[#This Row],[Input]],1)</f>
        <v>L</v>
      </c>
      <c r="C1411">
        <f>_xlfn.LET(_xlpm.steps,SUBSTITUTE(Table1[[#This Row],[Input]],Table1[[#This Row],[Direction]],""),VALUE(IF(LEN(_xlpm.steps)&gt;2,RIGHT(_xlpm.steps,2),_xlpm.steps)))</f>
        <v>93</v>
      </c>
      <c r="D1411">
        <f>_xlfn.LET(_xlpm.dir,Table1[[#This Row],[Direction]],
IF(_xlpm.dir="L",
    IF(F1410-Table1[[#This Row],[Steps]]&lt;0,100+(F1410-Table1[[#This Row],[Steps]]),F1410-Table1[[#This Row],[Steps]]),
))</f>
        <v>0</v>
      </c>
      <c r="E1411">
        <f>_xlfn.LET(_xlpm.dir,Table1[[#This Row],[Direction]],
IF(_xlpm.dir="R",
    IF(F1410+Table1[[#This Row],[Steps]]&gt;99,(F1410+Table1[[#This Row],[Steps]])-100,F1410+Table1[[#This Row],[Steps]]),
))</f>
        <v>0</v>
      </c>
      <c r="F1411">
        <f>IF(Table1[[#This Row],[New Pos L]]&lt;&gt;0,Table1[[#This Row],[New Pos L]],Table1[[#This Row],[New Pos R]])</f>
        <v>0</v>
      </c>
    </row>
    <row r="1412" spans="1:6" ht="16" x14ac:dyDescent="0.2">
      <c r="A1412" s="1" t="s">
        <v>167</v>
      </c>
      <c r="B1412" t="str">
        <f>LEFT(Table1[[#This Row],[Input]],1)</f>
        <v>L</v>
      </c>
      <c r="C1412">
        <f>_xlfn.LET(_xlpm.steps,SUBSTITUTE(Table1[[#This Row],[Input]],Table1[[#This Row],[Direction]],""),VALUE(IF(LEN(_xlpm.steps)&gt;2,RIGHT(_xlpm.steps,2),_xlpm.steps)))</f>
        <v>59</v>
      </c>
      <c r="D1412">
        <f>_xlfn.LET(_xlpm.dir,Table1[[#This Row],[Direction]],
IF(_xlpm.dir="L",
    IF(F1411-Table1[[#This Row],[Steps]]&lt;0,100+(F1411-Table1[[#This Row],[Steps]]),F1411-Table1[[#This Row],[Steps]]),
))</f>
        <v>41</v>
      </c>
      <c r="E1412">
        <f>_xlfn.LET(_xlpm.dir,Table1[[#This Row],[Direction]],
IF(_xlpm.dir="R",
    IF(F1411+Table1[[#This Row],[Steps]]&gt;99,(F1411+Table1[[#This Row],[Steps]])-100,F1411+Table1[[#This Row],[Steps]]),
))</f>
        <v>0</v>
      </c>
      <c r="F1412">
        <f>IF(Table1[[#This Row],[New Pos L]]&lt;&gt;0,Table1[[#This Row],[New Pos L]],Table1[[#This Row],[New Pos R]])</f>
        <v>41</v>
      </c>
    </row>
    <row r="1413" spans="1:6" ht="16" x14ac:dyDescent="0.2">
      <c r="A1413" s="1" t="s">
        <v>429</v>
      </c>
      <c r="B1413" t="str">
        <f>LEFT(Table1[[#This Row],[Input]],1)</f>
        <v>R</v>
      </c>
      <c r="C1413">
        <f>_xlfn.LET(_xlpm.steps,SUBSTITUTE(Table1[[#This Row],[Input]],Table1[[#This Row],[Direction]],""),VALUE(IF(LEN(_xlpm.steps)&gt;2,RIGHT(_xlpm.steps,2),_xlpm.steps)))</f>
        <v>24</v>
      </c>
      <c r="D1413">
        <f>_xlfn.LET(_xlpm.dir,Table1[[#This Row],[Direction]],
IF(_xlpm.dir="L",
    IF(F1412-Table1[[#This Row],[Steps]]&lt;0,100+(F1412-Table1[[#This Row],[Steps]]),F1412-Table1[[#This Row],[Steps]]),
))</f>
        <v>0</v>
      </c>
      <c r="E1413">
        <f>_xlfn.LET(_xlpm.dir,Table1[[#This Row],[Direction]],
IF(_xlpm.dir="R",
    IF(F1412+Table1[[#This Row],[Steps]]&gt;99,(F1412+Table1[[#This Row],[Steps]])-100,F1412+Table1[[#This Row],[Steps]]),
))</f>
        <v>65</v>
      </c>
      <c r="F1413">
        <f>IF(Table1[[#This Row],[New Pos L]]&lt;&gt;0,Table1[[#This Row],[New Pos L]],Table1[[#This Row],[New Pos R]])</f>
        <v>65</v>
      </c>
    </row>
    <row r="1414" spans="1:6" ht="16" x14ac:dyDescent="0.2">
      <c r="A1414" s="1" t="s">
        <v>29</v>
      </c>
      <c r="B1414" t="str">
        <f>LEFT(Table1[[#This Row],[Input]],1)</f>
        <v>L</v>
      </c>
      <c r="C1414">
        <f>_xlfn.LET(_xlpm.steps,SUBSTITUTE(Table1[[#This Row],[Input]],Table1[[#This Row],[Direction]],""),VALUE(IF(LEN(_xlpm.steps)&gt;2,RIGHT(_xlpm.steps,2),_xlpm.steps)))</f>
        <v>33</v>
      </c>
      <c r="D1414">
        <f>_xlfn.LET(_xlpm.dir,Table1[[#This Row],[Direction]],
IF(_xlpm.dir="L",
    IF(F1413-Table1[[#This Row],[Steps]]&lt;0,100+(F1413-Table1[[#This Row],[Steps]]),F1413-Table1[[#This Row],[Steps]]),
))</f>
        <v>32</v>
      </c>
      <c r="E1414">
        <f>_xlfn.LET(_xlpm.dir,Table1[[#This Row],[Direction]],
IF(_xlpm.dir="R",
    IF(F1413+Table1[[#This Row],[Steps]]&gt;99,(F1413+Table1[[#This Row],[Steps]])-100,F1413+Table1[[#This Row],[Steps]]),
))</f>
        <v>0</v>
      </c>
      <c r="F1414">
        <f>IF(Table1[[#This Row],[New Pos L]]&lt;&gt;0,Table1[[#This Row],[New Pos L]],Table1[[#This Row],[New Pos R]])</f>
        <v>32</v>
      </c>
    </row>
    <row r="1415" spans="1:6" ht="16" x14ac:dyDescent="0.2">
      <c r="A1415" s="1" t="s">
        <v>23</v>
      </c>
      <c r="B1415" t="str">
        <f>LEFT(Table1[[#This Row],[Input]],1)</f>
        <v>L</v>
      </c>
      <c r="C1415">
        <f>_xlfn.LET(_xlpm.steps,SUBSTITUTE(Table1[[#This Row],[Input]],Table1[[#This Row],[Direction]],""),VALUE(IF(LEN(_xlpm.steps)&gt;2,RIGHT(_xlpm.steps,2),_xlpm.steps)))</f>
        <v>8</v>
      </c>
      <c r="D1415">
        <f>_xlfn.LET(_xlpm.dir,Table1[[#This Row],[Direction]],
IF(_xlpm.dir="L",
    IF(F1414-Table1[[#This Row],[Steps]]&lt;0,100+(F1414-Table1[[#This Row],[Steps]]),F1414-Table1[[#This Row],[Steps]]),
))</f>
        <v>24</v>
      </c>
      <c r="E1415">
        <f>_xlfn.LET(_xlpm.dir,Table1[[#This Row],[Direction]],
IF(_xlpm.dir="R",
    IF(F1414+Table1[[#This Row],[Steps]]&gt;99,(F1414+Table1[[#This Row],[Steps]])-100,F1414+Table1[[#This Row],[Steps]]),
))</f>
        <v>0</v>
      </c>
      <c r="F1415">
        <f>IF(Table1[[#This Row],[New Pos L]]&lt;&gt;0,Table1[[#This Row],[New Pos L]],Table1[[#This Row],[New Pos R]])</f>
        <v>24</v>
      </c>
    </row>
    <row r="1416" spans="1:6" ht="16" x14ac:dyDescent="0.2">
      <c r="A1416" s="1" t="s">
        <v>430</v>
      </c>
      <c r="B1416" t="str">
        <f>LEFT(Table1[[#This Row],[Input]],1)</f>
        <v>L</v>
      </c>
      <c r="C1416">
        <f>_xlfn.LET(_xlpm.steps,SUBSTITUTE(Table1[[#This Row],[Input]],Table1[[#This Row],[Direction]],""),VALUE(IF(LEN(_xlpm.steps)&gt;2,RIGHT(_xlpm.steps,2),_xlpm.steps)))</f>
        <v>24</v>
      </c>
      <c r="D1416">
        <f>_xlfn.LET(_xlpm.dir,Table1[[#This Row],[Direction]],
IF(_xlpm.dir="L",
    IF(F1415-Table1[[#This Row],[Steps]]&lt;0,100+(F1415-Table1[[#This Row],[Steps]]),F1415-Table1[[#This Row],[Steps]]),
))</f>
        <v>0</v>
      </c>
      <c r="E1416">
        <f>_xlfn.LET(_xlpm.dir,Table1[[#This Row],[Direction]],
IF(_xlpm.dir="R",
    IF(F1415+Table1[[#This Row],[Steps]]&gt;99,(F1415+Table1[[#This Row],[Steps]])-100,F1415+Table1[[#This Row],[Steps]]),
))</f>
        <v>0</v>
      </c>
      <c r="F1416">
        <f>IF(Table1[[#This Row],[New Pos L]]&lt;&gt;0,Table1[[#This Row],[New Pos L]],Table1[[#This Row],[New Pos R]])</f>
        <v>0</v>
      </c>
    </row>
    <row r="1417" spans="1:6" ht="16" x14ac:dyDescent="0.2">
      <c r="A1417" s="1" t="s">
        <v>36</v>
      </c>
      <c r="B1417" t="str">
        <f>LEFT(Table1[[#This Row],[Input]],1)</f>
        <v>R</v>
      </c>
      <c r="C1417">
        <f>_xlfn.LET(_xlpm.steps,SUBSTITUTE(Table1[[#This Row],[Input]],Table1[[#This Row],[Direction]],""),VALUE(IF(LEN(_xlpm.steps)&gt;2,RIGHT(_xlpm.steps,2),_xlpm.steps)))</f>
        <v>50</v>
      </c>
      <c r="D1417">
        <f>_xlfn.LET(_xlpm.dir,Table1[[#This Row],[Direction]],
IF(_xlpm.dir="L",
    IF(F1416-Table1[[#This Row],[Steps]]&lt;0,100+(F1416-Table1[[#This Row],[Steps]]),F1416-Table1[[#This Row],[Steps]]),
))</f>
        <v>0</v>
      </c>
      <c r="E1417">
        <f>_xlfn.LET(_xlpm.dir,Table1[[#This Row],[Direction]],
IF(_xlpm.dir="R",
    IF(F1416+Table1[[#This Row],[Steps]]&gt;99,(F1416+Table1[[#This Row],[Steps]])-100,F1416+Table1[[#This Row],[Steps]]),
))</f>
        <v>50</v>
      </c>
      <c r="F1417">
        <f>IF(Table1[[#This Row],[New Pos L]]&lt;&gt;0,Table1[[#This Row],[New Pos L]],Table1[[#This Row],[New Pos R]])</f>
        <v>50</v>
      </c>
    </row>
    <row r="1418" spans="1:6" ht="16" x14ac:dyDescent="0.2">
      <c r="A1418" s="1" t="s">
        <v>35</v>
      </c>
      <c r="B1418" t="str">
        <f>LEFT(Table1[[#This Row],[Input]],1)</f>
        <v>L</v>
      </c>
      <c r="C1418">
        <f>_xlfn.LET(_xlpm.steps,SUBSTITUTE(Table1[[#This Row],[Input]],Table1[[#This Row],[Direction]],""),VALUE(IF(LEN(_xlpm.steps)&gt;2,RIGHT(_xlpm.steps,2),_xlpm.steps)))</f>
        <v>2</v>
      </c>
      <c r="D1418">
        <f>_xlfn.LET(_xlpm.dir,Table1[[#This Row],[Direction]],
IF(_xlpm.dir="L",
    IF(F1417-Table1[[#This Row],[Steps]]&lt;0,100+(F1417-Table1[[#This Row],[Steps]]),F1417-Table1[[#This Row],[Steps]]),
))</f>
        <v>48</v>
      </c>
      <c r="E1418">
        <f>_xlfn.LET(_xlpm.dir,Table1[[#This Row],[Direction]],
IF(_xlpm.dir="R",
    IF(F1417+Table1[[#This Row],[Steps]]&gt;99,(F1417+Table1[[#This Row],[Steps]])-100,F1417+Table1[[#This Row],[Steps]]),
))</f>
        <v>0</v>
      </c>
      <c r="F1418">
        <f>IF(Table1[[#This Row],[New Pos L]]&lt;&gt;0,Table1[[#This Row],[New Pos L]],Table1[[#This Row],[New Pos R]])</f>
        <v>48</v>
      </c>
    </row>
    <row r="1419" spans="1:6" ht="16" x14ac:dyDescent="0.2">
      <c r="A1419" s="1" t="s">
        <v>62</v>
      </c>
      <c r="B1419" t="str">
        <f>LEFT(Table1[[#This Row],[Input]],1)</f>
        <v>L</v>
      </c>
      <c r="C1419">
        <f>_xlfn.LET(_xlpm.steps,SUBSTITUTE(Table1[[#This Row],[Input]],Table1[[#This Row],[Direction]],""),VALUE(IF(LEN(_xlpm.steps)&gt;2,RIGHT(_xlpm.steps,2),_xlpm.steps)))</f>
        <v>57</v>
      </c>
      <c r="D1419">
        <f>_xlfn.LET(_xlpm.dir,Table1[[#This Row],[Direction]],
IF(_xlpm.dir="L",
    IF(F1418-Table1[[#This Row],[Steps]]&lt;0,100+(F1418-Table1[[#This Row],[Steps]]),F1418-Table1[[#This Row],[Steps]]),
))</f>
        <v>91</v>
      </c>
      <c r="E1419">
        <f>_xlfn.LET(_xlpm.dir,Table1[[#This Row],[Direction]],
IF(_xlpm.dir="R",
    IF(F1418+Table1[[#This Row],[Steps]]&gt;99,(F1418+Table1[[#This Row],[Steps]])-100,F1418+Table1[[#This Row],[Steps]]),
))</f>
        <v>0</v>
      </c>
      <c r="F1419">
        <f>IF(Table1[[#This Row],[New Pos L]]&lt;&gt;0,Table1[[#This Row],[New Pos L]],Table1[[#This Row],[New Pos R]])</f>
        <v>91</v>
      </c>
    </row>
    <row r="1420" spans="1:6" ht="16" x14ac:dyDescent="0.2">
      <c r="A1420" s="1" t="s">
        <v>379</v>
      </c>
      <c r="B1420" t="str">
        <f>LEFT(Table1[[#This Row],[Input]],1)</f>
        <v>L</v>
      </c>
      <c r="C1420">
        <f>_xlfn.LET(_xlpm.steps,SUBSTITUTE(Table1[[#This Row],[Input]],Table1[[#This Row],[Direction]],""),VALUE(IF(LEN(_xlpm.steps)&gt;2,RIGHT(_xlpm.steps,2),_xlpm.steps)))</f>
        <v>4</v>
      </c>
      <c r="D1420">
        <f>_xlfn.LET(_xlpm.dir,Table1[[#This Row],[Direction]],
IF(_xlpm.dir="L",
    IF(F1419-Table1[[#This Row],[Steps]]&lt;0,100+(F1419-Table1[[#This Row],[Steps]]),F1419-Table1[[#This Row],[Steps]]),
))</f>
        <v>87</v>
      </c>
      <c r="E1420">
        <f>_xlfn.LET(_xlpm.dir,Table1[[#This Row],[Direction]],
IF(_xlpm.dir="R",
    IF(F1419+Table1[[#This Row],[Steps]]&gt;99,(F1419+Table1[[#This Row],[Steps]])-100,F1419+Table1[[#This Row],[Steps]]),
))</f>
        <v>0</v>
      </c>
      <c r="F1420">
        <f>IF(Table1[[#This Row],[New Pos L]]&lt;&gt;0,Table1[[#This Row],[New Pos L]],Table1[[#This Row],[New Pos R]])</f>
        <v>87</v>
      </c>
    </row>
    <row r="1421" spans="1:6" ht="16" x14ac:dyDescent="0.2">
      <c r="A1421" s="1" t="s">
        <v>188</v>
      </c>
      <c r="B1421" t="str">
        <f>LEFT(Table1[[#This Row],[Input]],1)</f>
        <v>R</v>
      </c>
      <c r="C1421">
        <f>_xlfn.LET(_xlpm.steps,SUBSTITUTE(Table1[[#This Row],[Input]],Table1[[#This Row],[Direction]],""),VALUE(IF(LEN(_xlpm.steps)&gt;2,RIGHT(_xlpm.steps,2),_xlpm.steps)))</f>
        <v>5</v>
      </c>
      <c r="D1421">
        <f>_xlfn.LET(_xlpm.dir,Table1[[#This Row],[Direction]],
IF(_xlpm.dir="L",
    IF(F1420-Table1[[#This Row],[Steps]]&lt;0,100+(F1420-Table1[[#This Row],[Steps]]),F1420-Table1[[#This Row],[Steps]]),
))</f>
        <v>0</v>
      </c>
      <c r="E1421">
        <f>_xlfn.LET(_xlpm.dir,Table1[[#This Row],[Direction]],
IF(_xlpm.dir="R",
    IF(F1420+Table1[[#This Row],[Steps]]&gt;99,(F1420+Table1[[#This Row],[Steps]])-100,F1420+Table1[[#This Row],[Steps]]),
))</f>
        <v>92</v>
      </c>
      <c r="F1421">
        <f>IF(Table1[[#This Row],[New Pos L]]&lt;&gt;0,Table1[[#This Row],[New Pos L]],Table1[[#This Row],[New Pos R]])</f>
        <v>92</v>
      </c>
    </row>
    <row r="1422" spans="1:6" ht="16" x14ac:dyDescent="0.2">
      <c r="A1422" s="1" t="s">
        <v>188</v>
      </c>
      <c r="B1422" t="str">
        <f>LEFT(Table1[[#This Row],[Input]],1)</f>
        <v>R</v>
      </c>
      <c r="C1422">
        <f>_xlfn.LET(_xlpm.steps,SUBSTITUTE(Table1[[#This Row],[Input]],Table1[[#This Row],[Direction]],""),VALUE(IF(LEN(_xlpm.steps)&gt;2,RIGHT(_xlpm.steps,2),_xlpm.steps)))</f>
        <v>5</v>
      </c>
      <c r="D1422">
        <f>_xlfn.LET(_xlpm.dir,Table1[[#This Row],[Direction]],
IF(_xlpm.dir="L",
    IF(F1421-Table1[[#This Row],[Steps]]&lt;0,100+(F1421-Table1[[#This Row],[Steps]]),F1421-Table1[[#This Row],[Steps]]),
))</f>
        <v>0</v>
      </c>
      <c r="E1422">
        <f>_xlfn.LET(_xlpm.dir,Table1[[#This Row],[Direction]],
IF(_xlpm.dir="R",
    IF(F1421+Table1[[#This Row],[Steps]]&gt;99,(F1421+Table1[[#This Row],[Steps]])-100,F1421+Table1[[#This Row],[Steps]]),
))</f>
        <v>97</v>
      </c>
      <c r="F1422">
        <f>IF(Table1[[#This Row],[New Pos L]]&lt;&gt;0,Table1[[#This Row],[New Pos L]],Table1[[#This Row],[New Pos R]])</f>
        <v>97</v>
      </c>
    </row>
    <row r="1423" spans="1:6" ht="16" x14ac:dyDescent="0.2">
      <c r="A1423" s="1" t="s">
        <v>4</v>
      </c>
      <c r="B1423" t="str">
        <f>LEFT(Table1[[#This Row],[Input]],1)</f>
        <v>R</v>
      </c>
      <c r="C1423">
        <f>_xlfn.LET(_xlpm.steps,SUBSTITUTE(Table1[[#This Row],[Input]],Table1[[#This Row],[Direction]],""),VALUE(IF(LEN(_xlpm.steps)&gt;2,RIGHT(_xlpm.steps,2),_xlpm.steps)))</f>
        <v>3</v>
      </c>
      <c r="D1423">
        <f>_xlfn.LET(_xlpm.dir,Table1[[#This Row],[Direction]],
IF(_xlpm.dir="L",
    IF(F1422-Table1[[#This Row],[Steps]]&lt;0,100+(F1422-Table1[[#This Row],[Steps]]),F1422-Table1[[#This Row],[Steps]]),
))</f>
        <v>0</v>
      </c>
      <c r="E1423">
        <f>_xlfn.LET(_xlpm.dir,Table1[[#This Row],[Direction]],
IF(_xlpm.dir="R",
    IF(F1422+Table1[[#This Row],[Steps]]&gt;99,(F1422+Table1[[#This Row],[Steps]])-100,F1422+Table1[[#This Row],[Steps]]),
))</f>
        <v>0</v>
      </c>
      <c r="F1423">
        <f>IF(Table1[[#This Row],[New Pos L]]&lt;&gt;0,Table1[[#This Row],[New Pos L]],Table1[[#This Row],[New Pos R]])</f>
        <v>0</v>
      </c>
    </row>
    <row r="1424" spans="1:6" ht="16" x14ac:dyDescent="0.2">
      <c r="A1424" s="1" t="s">
        <v>91</v>
      </c>
      <c r="B1424" t="str">
        <f>LEFT(Table1[[#This Row],[Input]],1)</f>
        <v>L</v>
      </c>
      <c r="C1424">
        <f>_xlfn.LET(_xlpm.steps,SUBSTITUTE(Table1[[#This Row],[Input]],Table1[[#This Row],[Direction]],""),VALUE(IF(LEN(_xlpm.steps)&gt;2,RIGHT(_xlpm.steps,2),_xlpm.steps)))</f>
        <v>22</v>
      </c>
      <c r="D1424">
        <f>_xlfn.LET(_xlpm.dir,Table1[[#This Row],[Direction]],
IF(_xlpm.dir="L",
    IF(F1423-Table1[[#This Row],[Steps]]&lt;0,100+(F1423-Table1[[#This Row],[Steps]]),F1423-Table1[[#This Row],[Steps]]),
))</f>
        <v>78</v>
      </c>
      <c r="E1424">
        <f>_xlfn.LET(_xlpm.dir,Table1[[#This Row],[Direction]],
IF(_xlpm.dir="R",
    IF(F1423+Table1[[#This Row],[Steps]]&gt;99,(F1423+Table1[[#This Row],[Steps]])-100,F1423+Table1[[#This Row],[Steps]]),
))</f>
        <v>0</v>
      </c>
      <c r="F1424">
        <f>IF(Table1[[#This Row],[New Pos L]]&lt;&gt;0,Table1[[#This Row],[New Pos L]],Table1[[#This Row],[New Pos R]])</f>
        <v>78</v>
      </c>
    </row>
    <row r="1425" spans="1:6" ht="16" x14ac:dyDescent="0.2">
      <c r="A1425" s="1" t="s">
        <v>17</v>
      </c>
      <c r="B1425" t="str">
        <f>LEFT(Table1[[#This Row],[Input]],1)</f>
        <v>L</v>
      </c>
      <c r="C1425">
        <f>_xlfn.LET(_xlpm.steps,SUBSTITUTE(Table1[[#This Row],[Input]],Table1[[#This Row],[Direction]],""),VALUE(IF(LEN(_xlpm.steps)&gt;2,RIGHT(_xlpm.steps,2),_xlpm.steps)))</f>
        <v>50</v>
      </c>
      <c r="D1425">
        <f>_xlfn.LET(_xlpm.dir,Table1[[#This Row],[Direction]],
IF(_xlpm.dir="L",
    IF(F1424-Table1[[#This Row],[Steps]]&lt;0,100+(F1424-Table1[[#This Row],[Steps]]),F1424-Table1[[#This Row],[Steps]]),
))</f>
        <v>28</v>
      </c>
      <c r="E1425">
        <f>_xlfn.LET(_xlpm.dir,Table1[[#This Row],[Direction]],
IF(_xlpm.dir="R",
    IF(F1424+Table1[[#This Row],[Steps]]&gt;99,(F1424+Table1[[#This Row],[Steps]])-100,F1424+Table1[[#This Row],[Steps]]),
))</f>
        <v>0</v>
      </c>
      <c r="F1425">
        <f>IF(Table1[[#This Row],[New Pos L]]&lt;&gt;0,Table1[[#This Row],[New Pos L]],Table1[[#This Row],[New Pos R]])</f>
        <v>28</v>
      </c>
    </row>
    <row r="1426" spans="1:6" ht="16" x14ac:dyDescent="0.2">
      <c r="A1426" s="1" t="s">
        <v>32</v>
      </c>
      <c r="B1426" t="str">
        <f>LEFT(Table1[[#This Row],[Input]],1)</f>
        <v>L</v>
      </c>
      <c r="C1426">
        <f>_xlfn.LET(_xlpm.steps,SUBSTITUTE(Table1[[#This Row],[Input]],Table1[[#This Row],[Direction]],""),VALUE(IF(LEN(_xlpm.steps)&gt;2,RIGHT(_xlpm.steps,2),_xlpm.steps)))</f>
        <v>28</v>
      </c>
      <c r="D1426">
        <f>_xlfn.LET(_xlpm.dir,Table1[[#This Row],[Direction]],
IF(_xlpm.dir="L",
    IF(F1425-Table1[[#This Row],[Steps]]&lt;0,100+(F1425-Table1[[#This Row],[Steps]]),F1425-Table1[[#This Row],[Steps]]),
))</f>
        <v>0</v>
      </c>
      <c r="E1426">
        <f>_xlfn.LET(_xlpm.dir,Table1[[#This Row],[Direction]],
IF(_xlpm.dir="R",
    IF(F1425+Table1[[#This Row],[Steps]]&gt;99,(F1425+Table1[[#This Row],[Steps]])-100,F1425+Table1[[#This Row],[Steps]]),
))</f>
        <v>0</v>
      </c>
      <c r="F1426">
        <f>IF(Table1[[#This Row],[New Pos L]]&lt;&gt;0,Table1[[#This Row],[New Pos L]],Table1[[#This Row],[New Pos R]])</f>
        <v>0</v>
      </c>
    </row>
    <row r="1427" spans="1:6" ht="16" x14ac:dyDescent="0.2">
      <c r="A1427" s="1" t="s">
        <v>3</v>
      </c>
      <c r="B1427" t="str">
        <f>LEFT(Table1[[#This Row],[Input]],1)</f>
        <v>R</v>
      </c>
      <c r="C1427">
        <f>_xlfn.LET(_xlpm.steps,SUBSTITUTE(Table1[[#This Row],[Input]],Table1[[#This Row],[Direction]],""),VALUE(IF(LEN(_xlpm.steps)&gt;2,RIGHT(_xlpm.steps,2),_xlpm.steps)))</f>
        <v>44</v>
      </c>
      <c r="D1427">
        <f>_xlfn.LET(_xlpm.dir,Table1[[#This Row],[Direction]],
IF(_xlpm.dir="L",
    IF(F1426-Table1[[#This Row],[Steps]]&lt;0,100+(F1426-Table1[[#This Row],[Steps]]),F1426-Table1[[#This Row],[Steps]]),
))</f>
        <v>0</v>
      </c>
      <c r="E1427">
        <f>_xlfn.LET(_xlpm.dir,Table1[[#This Row],[Direction]],
IF(_xlpm.dir="R",
    IF(F1426+Table1[[#This Row],[Steps]]&gt;99,(F1426+Table1[[#This Row],[Steps]])-100,F1426+Table1[[#This Row],[Steps]]),
))</f>
        <v>44</v>
      </c>
      <c r="F1427">
        <f>IF(Table1[[#This Row],[New Pos L]]&lt;&gt;0,Table1[[#This Row],[New Pos L]],Table1[[#This Row],[New Pos R]])</f>
        <v>44</v>
      </c>
    </row>
    <row r="1428" spans="1:6" ht="16" x14ac:dyDescent="0.2">
      <c r="A1428" s="1" t="s">
        <v>431</v>
      </c>
      <c r="B1428" t="str">
        <f>LEFT(Table1[[#This Row],[Input]],1)</f>
        <v>R</v>
      </c>
      <c r="C1428">
        <f>_xlfn.LET(_xlpm.steps,SUBSTITUTE(Table1[[#This Row],[Input]],Table1[[#This Row],[Direction]],""),VALUE(IF(LEN(_xlpm.steps)&gt;2,RIGHT(_xlpm.steps,2),_xlpm.steps)))</f>
        <v>56</v>
      </c>
      <c r="D1428">
        <f>_xlfn.LET(_xlpm.dir,Table1[[#This Row],[Direction]],
IF(_xlpm.dir="L",
    IF(F1427-Table1[[#This Row],[Steps]]&lt;0,100+(F1427-Table1[[#This Row],[Steps]]),F1427-Table1[[#This Row],[Steps]]),
))</f>
        <v>0</v>
      </c>
      <c r="E1428">
        <f>_xlfn.LET(_xlpm.dir,Table1[[#This Row],[Direction]],
IF(_xlpm.dir="R",
    IF(F1427+Table1[[#This Row],[Steps]]&gt;99,(F1427+Table1[[#This Row],[Steps]])-100,F1427+Table1[[#This Row],[Steps]]),
))</f>
        <v>0</v>
      </c>
      <c r="F1428">
        <f>IF(Table1[[#This Row],[New Pos L]]&lt;&gt;0,Table1[[#This Row],[New Pos L]],Table1[[#This Row],[New Pos R]])</f>
        <v>0</v>
      </c>
    </row>
    <row r="1429" spans="1:6" ht="16" x14ac:dyDescent="0.2">
      <c r="A1429" s="1" t="s">
        <v>353</v>
      </c>
      <c r="B1429" t="str">
        <f>LEFT(Table1[[#This Row],[Input]],1)</f>
        <v>R</v>
      </c>
      <c r="C1429">
        <f>_xlfn.LET(_xlpm.steps,SUBSTITUTE(Table1[[#This Row],[Input]],Table1[[#This Row],[Direction]],""),VALUE(IF(LEN(_xlpm.steps)&gt;2,RIGHT(_xlpm.steps,2),_xlpm.steps)))</f>
        <v>7</v>
      </c>
      <c r="D1429">
        <f>_xlfn.LET(_xlpm.dir,Table1[[#This Row],[Direction]],
IF(_xlpm.dir="L",
    IF(F1428-Table1[[#This Row],[Steps]]&lt;0,100+(F1428-Table1[[#This Row],[Steps]]),F1428-Table1[[#This Row],[Steps]]),
))</f>
        <v>0</v>
      </c>
      <c r="E1429">
        <f>_xlfn.LET(_xlpm.dir,Table1[[#This Row],[Direction]],
IF(_xlpm.dir="R",
    IF(F1428+Table1[[#This Row],[Steps]]&gt;99,(F1428+Table1[[#This Row],[Steps]])-100,F1428+Table1[[#This Row],[Steps]]),
))</f>
        <v>7</v>
      </c>
      <c r="F1429">
        <f>IF(Table1[[#This Row],[New Pos L]]&lt;&gt;0,Table1[[#This Row],[New Pos L]],Table1[[#This Row],[New Pos R]])</f>
        <v>7</v>
      </c>
    </row>
    <row r="1430" spans="1:6" ht="16" x14ac:dyDescent="0.2">
      <c r="A1430" s="1" t="s">
        <v>128</v>
      </c>
      <c r="B1430" t="str">
        <f>LEFT(Table1[[#This Row],[Input]],1)</f>
        <v>R</v>
      </c>
      <c r="C1430">
        <f>_xlfn.LET(_xlpm.steps,SUBSTITUTE(Table1[[#This Row],[Input]],Table1[[#This Row],[Direction]],""),VALUE(IF(LEN(_xlpm.steps)&gt;2,RIGHT(_xlpm.steps,2),_xlpm.steps)))</f>
        <v>92</v>
      </c>
      <c r="D1430">
        <f>_xlfn.LET(_xlpm.dir,Table1[[#This Row],[Direction]],
IF(_xlpm.dir="L",
    IF(F1429-Table1[[#This Row],[Steps]]&lt;0,100+(F1429-Table1[[#This Row],[Steps]]),F1429-Table1[[#This Row],[Steps]]),
))</f>
        <v>0</v>
      </c>
      <c r="E1430">
        <f>_xlfn.LET(_xlpm.dir,Table1[[#This Row],[Direction]],
IF(_xlpm.dir="R",
    IF(F1429+Table1[[#This Row],[Steps]]&gt;99,(F1429+Table1[[#This Row],[Steps]])-100,F1429+Table1[[#This Row],[Steps]]),
))</f>
        <v>99</v>
      </c>
      <c r="F1430">
        <f>IF(Table1[[#This Row],[New Pos L]]&lt;&gt;0,Table1[[#This Row],[New Pos L]],Table1[[#This Row],[New Pos R]])</f>
        <v>99</v>
      </c>
    </row>
    <row r="1431" spans="1:6" ht="16" x14ac:dyDescent="0.2">
      <c r="A1431" s="1" t="s">
        <v>5</v>
      </c>
      <c r="B1431" t="str">
        <f>LEFT(Table1[[#This Row],[Input]],1)</f>
        <v>R</v>
      </c>
      <c r="C1431">
        <f>_xlfn.LET(_xlpm.steps,SUBSTITUTE(Table1[[#This Row],[Input]],Table1[[#This Row],[Direction]],""),VALUE(IF(LEN(_xlpm.steps)&gt;2,RIGHT(_xlpm.steps,2),_xlpm.steps)))</f>
        <v>1</v>
      </c>
      <c r="D1431">
        <f>_xlfn.LET(_xlpm.dir,Table1[[#This Row],[Direction]],
IF(_xlpm.dir="L",
    IF(F1430-Table1[[#This Row],[Steps]]&lt;0,100+(F1430-Table1[[#This Row],[Steps]]),F1430-Table1[[#This Row],[Steps]]),
))</f>
        <v>0</v>
      </c>
      <c r="E1431">
        <f>_xlfn.LET(_xlpm.dir,Table1[[#This Row],[Direction]],
IF(_xlpm.dir="R",
    IF(F1430+Table1[[#This Row],[Steps]]&gt;99,(F1430+Table1[[#This Row],[Steps]])-100,F1430+Table1[[#This Row],[Steps]]),
))</f>
        <v>0</v>
      </c>
      <c r="F1431">
        <f>IF(Table1[[#This Row],[New Pos L]]&lt;&gt;0,Table1[[#This Row],[New Pos L]],Table1[[#This Row],[New Pos R]])</f>
        <v>0</v>
      </c>
    </row>
    <row r="1432" spans="1:6" ht="16" x14ac:dyDescent="0.2">
      <c r="A1432" s="1" t="s">
        <v>432</v>
      </c>
      <c r="B1432" t="str">
        <f>LEFT(Table1[[#This Row],[Input]],1)</f>
        <v>R</v>
      </c>
      <c r="C1432">
        <f>_xlfn.LET(_xlpm.steps,SUBSTITUTE(Table1[[#This Row],[Input]],Table1[[#This Row],[Direction]],""),VALUE(IF(LEN(_xlpm.steps)&gt;2,RIGHT(_xlpm.steps,2),_xlpm.steps)))</f>
        <v>2</v>
      </c>
      <c r="D1432">
        <f>_xlfn.LET(_xlpm.dir,Table1[[#This Row],[Direction]],
IF(_xlpm.dir="L",
    IF(F1431-Table1[[#This Row],[Steps]]&lt;0,100+(F1431-Table1[[#This Row],[Steps]]),F1431-Table1[[#This Row],[Steps]]),
))</f>
        <v>0</v>
      </c>
      <c r="E1432">
        <f>_xlfn.LET(_xlpm.dir,Table1[[#This Row],[Direction]],
IF(_xlpm.dir="R",
    IF(F1431+Table1[[#This Row],[Steps]]&gt;99,(F1431+Table1[[#This Row],[Steps]])-100,F1431+Table1[[#This Row],[Steps]]),
))</f>
        <v>2</v>
      </c>
      <c r="F1432">
        <f>IF(Table1[[#This Row],[New Pos L]]&lt;&gt;0,Table1[[#This Row],[New Pos L]],Table1[[#This Row],[New Pos R]])</f>
        <v>2</v>
      </c>
    </row>
    <row r="1433" spans="1:6" ht="16" x14ac:dyDescent="0.2">
      <c r="A1433" s="1" t="s">
        <v>137</v>
      </c>
      <c r="B1433" t="str">
        <f>LEFT(Table1[[#This Row],[Input]],1)</f>
        <v>R</v>
      </c>
      <c r="C1433">
        <f>_xlfn.LET(_xlpm.steps,SUBSTITUTE(Table1[[#This Row],[Input]],Table1[[#This Row],[Direction]],""),VALUE(IF(LEN(_xlpm.steps)&gt;2,RIGHT(_xlpm.steps,2),_xlpm.steps)))</f>
        <v>28</v>
      </c>
      <c r="D1433">
        <f>_xlfn.LET(_xlpm.dir,Table1[[#This Row],[Direction]],
IF(_xlpm.dir="L",
    IF(F1432-Table1[[#This Row],[Steps]]&lt;0,100+(F1432-Table1[[#This Row],[Steps]]),F1432-Table1[[#This Row],[Steps]]),
))</f>
        <v>0</v>
      </c>
      <c r="E1433">
        <f>_xlfn.LET(_xlpm.dir,Table1[[#This Row],[Direction]],
IF(_xlpm.dir="R",
    IF(F1432+Table1[[#This Row],[Steps]]&gt;99,(F1432+Table1[[#This Row],[Steps]])-100,F1432+Table1[[#This Row],[Steps]]),
))</f>
        <v>30</v>
      </c>
      <c r="F1433">
        <f>IF(Table1[[#This Row],[New Pos L]]&lt;&gt;0,Table1[[#This Row],[New Pos L]],Table1[[#This Row],[New Pos R]])</f>
        <v>30</v>
      </c>
    </row>
    <row r="1434" spans="1:6" ht="16" x14ac:dyDescent="0.2">
      <c r="A1434" s="1" t="s">
        <v>111</v>
      </c>
      <c r="B1434" t="str">
        <f>LEFT(Table1[[#This Row],[Input]],1)</f>
        <v>R</v>
      </c>
      <c r="C1434">
        <f>_xlfn.LET(_xlpm.steps,SUBSTITUTE(Table1[[#This Row],[Input]],Table1[[#This Row],[Direction]],""),VALUE(IF(LEN(_xlpm.steps)&gt;2,RIGHT(_xlpm.steps,2),_xlpm.steps)))</f>
        <v>64</v>
      </c>
      <c r="D1434">
        <f>_xlfn.LET(_xlpm.dir,Table1[[#This Row],[Direction]],
IF(_xlpm.dir="L",
    IF(F1433-Table1[[#This Row],[Steps]]&lt;0,100+(F1433-Table1[[#This Row],[Steps]]),F1433-Table1[[#This Row],[Steps]]),
))</f>
        <v>0</v>
      </c>
      <c r="E1434">
        <f>_xlfn.LET(_xlpm.dir,Table1[[#This Row],[Direction]],
IF(_xlpm.dir="R",
    IF(F1433+Table1[[#This Row],[Steps]]&gt;99,(F1433+Table1[[#This Row],[Steps]])-100,F1433+Table1[[#This Row],[Steps]]),
))</f>
        <v>94</v>
      </c>
      <c r="F1434">
        <f>IF(Table1[[#This Row],[New Pos L]]&lt;&gt;0,Table1[[#This Row],[New Pos L]],Table1[[#This Row],[New Pos R]])</f>
        <v>94</v>
      </c>
    </row>
    <row r="1435" spans="1:6" ht="16" x14ac:dyDescent="0.2">
      <c r="A1435" s="1" t="s">
        <v>139</v>
      </c>
      <c r="B1435" t="str">
        <f>LEFT(Table1[[#This Row],[Input]],1)</f>
        <v>R</v>
      </c>
      <c r="C1435">
        <f>_xlfn.LET(_xlpm.steps,SUBSTITUTE(Table1[[#This Row],[Input]],Table1[[#This Row],[Direction]],""),VALUE(IF(LEN(_xlpm.steps)&gt;2,RIGHT(_xlpm.steps,2),_xlpm.steps)))</f>
        <v>38</v>
      </c>
      <c r="D1435">
        <f>_xlfn.LET(_xlpm.dir,Table1[[#This Row],[Direction]],
IF(_xlpm.dir="L",
    IF(F1434-Table1[[#This Row],[Steps]]&lt;0,100+(F1434-Table1[[#This Row],[Steps]]),F1434-Table1[[#This Row],[Steps]]),
))</f>
        <v>0</v>
      </c>
      <c r="E1435">
        <f>_xlfn.LET(_xlpm.dir,Table1[[#This Row],[Direction]],
IF(_xlpm.dir="R",
    IF(F1434+Table1[[#This Row],[Steps]]&gt;99,(F1434+Table1[[#This Row],[Steps]])-100,F1434+Table1[[#This Row],[Steps]]),
))</f>
        <v>32</v>
      </c>
      <c r="F1435">
        <f>IF(Table1[[#This Row],[New Pos L]]&lt;&gt;0,Table1[[#This Row],[New Pos L]],Table1[[#This Row],[New Pos R]])</f>
        <v>32</v>
      </c>
    </row>
    <row r="1436" spans="1:6" ht="16" x14ac:dyDescent="0.2">
      <c r="A1436" s="1" t="s">
        <v>157</v>
      </c>
      <c r="B1436" t="str">
        <f>LEFT(Table1[[#This Row],[Input]],1)</f>
        <v>R</v>
      </c>
      <c r="C1436">
        <f>_xlfn.LET(_xlpm.steps,SUBSTITUTE(Table1[[#This Row],[Input]],Table1[[#This Row],[Direction]],""),VALUE(IF(LEN(_xlpm.steps)&gt;2,RIGHT(_xlpm.steps,2),_xlpm.steps)))</f>
        <v>68</v>
      </c>
      <c r="D1436">
        <f>_xlfn.LET(_xlpm.dir,Table1[[#This Row],[Direction]],
IF(_xlpm.dir="L",
    IF(F1435-Table1[[#This Row],[Steps]]&lt;0,100+(F1435-Table1[[#This Row],[Steps]]),F1435-Table1[[#This Row],[Steps]]),
))</f>
        <v>0</v>
      </c>
      <c r="E1436">
        <f>_xlfn.LET(_xlpm.dir,Table1[[#This Row],[Direction]],
IF(_xlpm.dir="R",
    IF(F1435+Table1[[#This Row],[Steps]]&gt;99,(F1435+Table1[[#This Row],[Steps]])-100,F1435+Table1[[#This Row],[Steps]]),
))</f>
        <v>0</v>
      </c>
      <c r="F1436">
        <f>IF(Table1[[#This Row],[New Pos L]]&lt;&gt;0,Table1[[#This Row],[New Pos L]],Table1[[#This Row],[New Pos R]])</f>
        <v>0</v>
      </c>
    </row>
    <row r="1437" spans="1:6" ht="16" x14ac:dyDescent="0.2">
      <c r="A1437" s="1" t="s">
        <v>241</v>
      </c>
      <c r="B1437" t="str">
        <f>LEFT(Table1[[#This Row],[Input]],1)</f>
        <v>R</v>
      </c>
      <c r="C1437">
        <f>_xlfn.LET(_xlpm.steps,SUBSTITUTE(Table1[[#This Row],[Input]],Table1[[#This Row],[Direction]],""),VALUE(IF(LEN(_xlpm.steps)&gt;2,RIGHT(_xlpm.steps,2),_xlpm.steps)))</f>
        <v>60</v>
      </c>
      <c r="D1437">
        <f>_xlfn.LET(_xlpm.dir,Table1[[#This Row],[Direction]],
IF(_xlpm.dir="L",
    IF(F1436-Table1[[#This Row],[Steps]]&lt;0,100+(F1436-Table1[[#This Row],[Steps]]),F1436-Table1[[#This Row],[Steps]]),
))</f>
        <v>0</v>
      </c>
      <c r="E1437">
        <f>_xlfn.LET(_xlpm.dir,Table1[[#This Row],[Direction]],
IF(_xlpm.dir="R",
    IF(F1436+Table1[[#This Row],[Steps]]&gt;99,(F1436+Table1[[#This Row],[Steps]])-100,F1436+Table1[[#This Row],[Steps]]),
))</f>
        <v>60</v>
      </c>
      <c r="F1437">
        <f>IF(Table1[[#This Row],[New Pos L]]&lt;&gt;0,Table1[[#This Row],[New Pos L]],Table1[[#This Row],[New Pos R]])</f>
        <v>60</v>
      </c>
    </row>
    <row r="1438" spans="1:6" ht="16" x14ac:dyDescent="0.2">
      <c r="A1438" s="1" t="s">
        <v>119</v>
      </c>
      <c r="B1438" t="str">
        <f>LEFT(Table1[[#This Row],[Input]],1)</f>
        <v>L</v>
      </c>
      <c r="C1438">
        <f>_xlfn.LET(_xlpm.steps,SUBSTITUTE(Table1[[#This Row],[Input]],Table1[[#This Row],[Direction]],""),VALUE(IF(LEN(_xlpm.steps)&gt;2,RIGHT(_xlpm.steps,2),_xlpm.steps)))</f>
        <v>77</v>
      </c>
      <c r="D1438">
        <f>_xlfn.LET(_xlpm.dir,Table1[[#This Row],[Direction]],
IF(_xlpm.dir="L",
    IF(F1437-Table1[[#This Row],[Steps]]&lt;0,100+(F1437-Table1[[#This Row],[Steps]]),F1437-Table1[[#This Row],[Steps]]),
))</f>
        <v>83</v>
      </c>
      <c r="E1438">
        <f>_xlfn.LET(_xlpm.dir,Table1[[#This Row],[Direction]],
IF(_xlpm.dir="R",
    IF(F1437+Table1[[#This Row],[Steps]]&gt;99,(F1437+Table1[[#This Row],[Steps]])-100,F1437+Table1[[#This Row],[Steps]]),
))</f>
        <v>0</v>
      </c>
      <c r="F1438">
        <f>IF(Table1[[#This Row],[New Pos L]]&lt;&gt;0,Table1[[#This Row],[New Pos L]],Table1[[#This Row],[New Pos R]])</f>
        <v>83</v>
      </c>
    </row>
    <row r="1439" spans="1:6" ht="16" x14ac:dyDescent="0.2">
      <c r="A1439" s="1" t="s">
        <v>187</v>
      </c>
      <c r="B1439" t="str">
        <f>LEFT(Table1[[#This Row],[Input]],1)</f>
        <v>R</v>
      </c>
      <c r="C1439">
        <f>_xlfn.LET(_xlpm.steps,SUBSTITUTE(Table1[[#This Row],[Input]],Table1[[#This Row],[Direction]],""),VALUE(IF(LEN(_xlpm.steps)&gt;2,RIGHT(_xlpm.steps,2),_xlpm.steps)))</f>
        <v>20</v>
      </c>
      <c r="D1439">
        <f>_xlfn.LET(_xlpm.dir,Table1[[#This Row],[Direction]],
IF(_xlpm.dir="L",
    IF(F1438-Table1[[#This Row],[Steps]]&lt;0,100+(F1438-Table1[[#This Row],[Steps]]),F1438-Table1[[#This Row],[Steps]]),
))</f>
        <v>0</v>
      </c>
      <c r="E1439">
        <f>_xlfn.LET(_xlpm.dir,Table1[[#This Row],[Direction]],
IF(_xlpm.dir="R",
    IF(F1438+Table1[[#This Row],[Steps]]&gt;99,(F1438+Table1[[#This Row],[Steps]])-100,F1438+Table1[[#This Row],[Steps]]),
))</f>
        <v>3</v>
      </c>
      <c r="F1439">
        <f>IF(Table1[[#This Row],[New Pos L]]&lt;&gt;0,Table1[[#This Row],[New Pos L]],Table1[[#This Row],[New Pos R]])</f>
        <v>3</v>
      </c>
    </row>
    <row r="1440" spans="1:6" ht="16" x14ac:dyDescent="0.2">
      <c r="A1440" s="1" t="s">
        <v>33</v>
      </c>
      <c r="B1440" t="str">
        <f>LEFT(Table1[[#This Row],[Input]],1)</f>
        <v>R</v>
      </c>
      <c r="C1440">
        <f>_xlfn.LET(_xlpm.steps,SUBSTITUTE(Table1[[#This Row],[Input]],Table1[[#This Row],[Direction]],""),VALUE(IF(LEN(_xlpm.steps)&gt;2,RIGHT(_xlpm.steps,2),_xlpm.steps)))</f>
        <v>22</v>
      </c>
      <c r="D1440">
        <f>_xlfn.LET(_xlpm.dir,Table1[[#This Row],[Direction]],
IF(_xlpm.dir="L",
    IF(F1439-Table1[[#This Row],[Steps]]&lt;0,100+(F1439-Table1[[#This Row],[Steps]]),F1439-Table1[[#This Row],[Steps]]),
))</f>
        <v>0</v>
      </c>
      <c r="E1440">
        <f>_xlfn.LET(_xlpm.dir,Table1[[#This Row],[Direction]],
IF(_xlpm.dir="R",
    IF(F1439+Table1[[#This Row],[Steps]]&gt;99,(F1439+Table1[[#This Row],[Steps]])-100,F1439+Table1[[#This Row],[Steps]]),
))</f>
        <v>25</v>
      </c>
      <c r="F1440">
        <f>IF(Table1[[#This Row],[New Pos L]]&lt;&gt;0,Table1[[#This Row],[New Pos L]],Table1[[#This Row],[New Pos R]])</f>
        <v>25</v>
      </c>
    </row>
    <row r="1441" spans="1:6" ht="16" x14ac:dyDescent="0.2">
      <c r="A1441" s="1" t="s">
        <v>433</v>
      </c>
      <c r="B1441" t="str">
        <f>LEFT(Table1[[#This Row],[Input]],1)</f>
        <v>L</v>
      </c>
      <c r="C1441">
        <f>_xlfn.LET(_xlpm.steps,SUBSTITUTE(Table1[[#This Row],[Input]],Table1[[#This Row],[Direction]],""),VALUE(IF(LEN(_xlpm.steps)&gt;2,RIGHT(_xlpm.steps,2),_xlpm.steps)))</f>
        <v>80</v>
      </c>
      <c r="D1441">
        <f>_xlfn.LET(_xlpm.dir,Table1[[#This Row],[Direction]],
IF(_xlpm.dir="L",
    IF(F1440-Table1[[#This Row],[Steps]]&lt;0,100+(F1440-Table1[[#This Row],[Steps]]),F1440-Table1[[#This Row],[Steps]]),
))</f>
        <v>45</v>
      </c>
      <c r="E1441">
        <f>_xlfn.LET(_xlpm.dir,Table1[[#This Row],[Direction]],
IF(_xlpm.dir="R",
    IF(F1440+Table1[[#This Row],[Steps]]&gt;99,(F1440+Table1[[#This Row],[Steps]])-100,F1440+Table1[[#This Row],[Steps]]),
))</f>
        <v>0</v>
      </c>
      <c r="F1441">
        <f>IF(Table1[[#This Row],[New Pos L]]&lt;&gt;0,Table1[[#This Row],[New Pos L]],Table1[[#This Row],[New Pos R]])</f>
        <v>45</v>
      </c>
    </row>
    <row r="1442" spans="1:6" ht="16" x14ac:dyDescent="0.2">
      <c r="A1442" s="1" t="s">
        <v>434</v>
      </c>
      <c r="B1442" t="str">
        <f>LEFT(Table1[[#This Row],[Input]],1)</f>
        <v>L</v>
      </c>
      <c r="C1442">
        <f>_xlfn.LET(_xlpm.steps,SUBSTITUTE(Table1[[#This Row],[Input]],Table1[[#This Row],[Direction]],""),VALUE(IF(LEN(_xlpm.steps)&gt;2,RIGHT(_xlpm.steps,2),_xlpm.steps)))</f>
        <v>22</v>
      </c>
      <c r="D1442">
        <f>_xlfn.LET(_xlpm.dir,Table1[[#This Row],[Direction]],
IF(_xlpm.dir="L",
    IF(F1441-Table1[[#This Row],[Steps]]&lt;0,100+(F1441-Table1[[#This Row],[Steps]]),F1441-Table1[[#This Row],[Steps]]),
))</f>
        <v>23</v>
      </c>
      <c r="E1442">
        <f>_xlfn.LET(_xlpm.dir,Table1[[#This Row],[Direction]],
IF(_xlpm.dir="R",
    IF(F1441+Table1[[#This Row],[Steps]]&gt;99,(F1441+Table1[[#This Row],[Steps]])-100,F1441+Table1[[#This Row],[Steps]]),
))</f>
        <v>0</v>
      </c>
      <c r="F1442">
        <f>IF(Table1[[#This Row],[New Pos L]]&lt;&gt;0,Table1[[#This Row],[New Pos L]],Table1[[#This Row],[New Pos R]])</f>
        <v>23</v>
      </c>
    </row>
    <row r="1443" spans="1:6" ht="16" x14ac:dyDescent="0.2">
      <c r="A1443" s="1" t="s">
        <v>212</v>
      </c>
      <c r="B1443" t="str">
        <f>LEFT(Table1[[#This Row],[Input]],1)</f>
        <v>R</v>
      </c>
      <c r="C1443">
        <f>_xlfn.LET(_xlpm.steps,SUBSTITUTE(Table1[[#This Row],[Input]],Table1[[#This Row],[Direction]],""),VALUE(IF(LEN(_xlpm.steps)&gt;2,RIGHT(_xlpm.steps,2),_xlpm.steps)))</f>
        <v>77</v>
      </c>
      <c r="D1443">
        <f>_xlfn.LET(_xlpm.dir,Table1[[#This Row],[Direction]],
IF(_xlpm.dir="L",
    IF(F1442-Table1[[#This Row],[Steps]]&lt;0,100+(F1442-Table1[[#This Row],[Steps]]),F1442-Table1[[#This Row],[Steps]]),
))</f>
        <v>0</v>
      </c>
      <c r="E1443">
        <f>_xlfn.LET(_xlpm.dir,Table1[[#This Row],[Direction]],
IF(_xlpm.dir="R",
    IF(F1442+Table1[[#This Row],[Steps]]&gt;99,(F1442+Table1[[#This Row],[Steps]])-100,F1442+Table1[[#This Row],[Steps]]),
))</f>
        <v>0</v>
      </c>
      <c r="F1443">
        <f>IF(Table1[[#This Row],[New Pos L]]&lt;&gt;0,Table1[[#This Row],[New Pos L]],Table1[[#This Row],[New Pos R]])</f>
        <v>0</v>
      </c>
    </row>
    <row r="1444" spans="1:6" ht="16" x14ac:dyDescent="0.2">
      <c r="A1444" s="1" t="s">
        <v>11</v>
      </c>
      <c r="B1444" t="str">
        <f>LEFT(Table1[[#This Row],[Input]],1)</f>
        <v>L</v>
      </c>
      <c r="C1444">
        <f>_xlfn.LET(_xlpm.steps,SUBSTITUTE(Table1[[#This Row],[Input]],Table1[[#This Row],[Direction]],""),VALUE(IF(LEN(_xlpm.steps)&gt;2,RIGHT(_xlpm.steps,2),_xlpm.steps)))</f>
        <v>34</v>
      </c>
      <c r="D1444">
        <f>_xlfn.LET(_xlpm.dir,Table1[[#This Row],[Direction]],
IF(_xlpm.dir="L",
    IF(F1443-Table1[[#This Row],[Steps]]&lt;0,100+(F1443-Table1[[#This Row],[Steps]]),F1443-Table1[[#This Row],[Steps]]),
))</f>
        <v>66</v>
      </c>
      <c r="E1444">
        <f>_xlfn.LET(_xlpm.dir,Table1[[#This Row],[Direction]],
IF(_xlpm.dir="R",
    IF(F1443+Table1[[#This Row],[Steps]]&gt;99,(F1443+Table1[[#This Row],[Steps]])-100,F1443+Table1[[#This Row],[Steps]]),
))</f>
        <v>0</v>
      </c>
      <c r="F1444">
        <f>IF(Table1[[#This Row],[New Pos L]]&lt;&gt;0,Table1[[#This Row],[New Pos L]],Table1[[#This Row],[New Pos R]])</f>
        <v>66</v>
      </c>
    </row>
    <row r="1445" spans="1:6" ht="16" x14ac:dyDescent="0.2">
      <c r="A1445" s="1" t="s">
        <v>435</v>
      </c>
      <c r="B1445" t="str">
        <f>LEFT(Table1[[#This Row],[Input]],1)</f>
        <v>R</v>
      </c>
      <c r="C1445">
        <f>_xlfn.LET(_xlpm.steps,SUBSTITUTE(Table1[[#This Row],[Input]],Table1[[#This Row],[Direction]],""),VALUE(IF(LEN(_xlpm.steps)&gt;2,RIGHT(_xlpm.steps,2),_xlpm.steps)))</f>
        <v>34</v>
      </c>
      <c r="D1445">
        <f>_xlfn.LET(_xlpm.dir,Table1[[#This Row],[Direction]],
IF(_xlpm.dir="L",
    IF(F1444-Table1[[#This Row],[Steps]]&lt;0,100+(F1444-Table1[[#This Row],[Steps]]),F1444-Table1[[#This Row],[Steps]]),
))</f>
        <v>0</v>
      </c>
      <c r="E1445">
        <f>_xlfn.LET(_xlpm.dir,Table1[[#This Row],[Direction]],
IF(_xlpm.dir="R",
    IF(F1444+Table1[[#This Row],[Steps]]&gt;99,(F1444+Table1[[#This Row],[Steps]])-100,F1444+Table1[[#This Row],[Steps]]),
))</f>
        <v>0</v>
      </c>
      <c r="F1445">
        <f>IF(Table1[[#This Row],[New Pos L]]&lt;&gt;0,Table1[[#This Row],[New Pos L]],Table1[[#This Row],[New Pos R]])</f>
        <v>0</v>
      </c>
    </row>
    <row r="1446" spans="1:6" ht="16" x14ac:dyDescent="0.2">
      <c r="A1446" s="1" t="s">
        <v>296</v>
      </c>
      <c r="B1446" t="str">
        <f>LEFT(Table1[[#This Row],[Input]],1)</f>
        <v>R</v>
      </c>
      <c r="C1446">
        <f>_xlfn.LET(_xlpm.steps,SUBSTITUTE(Table1[[#This Row],[Input]],Table1[[#This Row],[Direction]],""),VALUE(IF(LEN(_xlpm.steps)&gt;2,RIGHT(_xlpm.steps,2),_xlpm.steps)))</f>
        <v>19</v>
      </c>
      <c r="D1446">
        <f>_xlfn.LET(_xlpm.dir,Table1[[#This Row],[Direction]],
IF(_xlpm.dir="L",
    IF(F1445-Table1[[#This Row],[Steps]]&lt;0,100+(F1445-Table1[[#This Row],[Steps]]),F1445-Table1[[#This Row],[Steps]]),
))</f>
        <v>0</v>
      </c>
      <c r="E1446">
        <f>_xlfn.LET(_xlpm.dir,Table1[[#This Row],[Direction]],
IF(_xlpm.dir="R",
    IF(F1445+Table1[[#This Row],[Steps]]&gt;99,(F1445+Table1[[#This Row],[Steps]])-100,F1445+Table1[[#This Row],[Steps]]),
))</f>
        <v>19</v>
      </c>
      <c r="F1446">
        <f>IF(Table1[[#This Row],[New Pos L]]&lt;&gt;0,Table1[[#This Row],[New Pos L]],Table1[[#This Row],[New Pos R]])</f>
        <v>19</v>
      </c>
    </row>
    <row r="1447" spans="1:6" ht="16" x14ac:dyDescent="0.2">
      <c r="A1447" s="1" t="s">
        <v>244</v>
      </c>
      <c r="B1447" t="str">
        <f>LEFT(Table1[[#This Row],[Input]],1)</f>
        <v>L</v>
      </c>
      <c r="C1447">
        <f>_xlfn.LET(_xlpm.steps,SUBSTITUTE(Table1[[#This Row],[Input]],Table1[[#This Row],[Direction]],""),VALUE(IF(LEN(_xlpm.steps)&gt;2,RIGHT(_xlpm.steps,2),_xlpm.steps)))</f>
        <v>98</v>
      </c>
      <c r="D1447">
        <f>_xlfn.LET(_xlpm.dir,Table1[[#This Row],[Direction]],
IF(_xlpm.dir="L",
    IF(F1446-Table1[[#This Row],[Steps]]&lt;0,100+(F1446-Table1[[#This Row],[Steps]]),F1446-Table1[[#This Row],[Steps]]),
))</f>
        <v>21</v>
      </c>
      <c r="E1447">
        <f>_xlfn.LET(_xlpm.dir,Table1[[#This Row],[Direction]],
IF(_xlpm.dir="R",
    IF(F1446+Table1[[#This Row],[Steps]]&gt;99,(F1446+Table1[[#This Row],[Steps]])-100,F1446+Table1[[#This Row],[Steps]]),
))</f>
        <v>0</v>
      </c>
      <c r="F1447">
        <f>IF(Table1[[#This Row],[New Pos L]]&lt;&gt;0,Table1[[#This Row],[New Pos L]],Table1[[#This Row],[New Pos R]])</f>
        <v>21</v>
      </c>
    </row>
    <row r="1448" spans="1:6" ht="16" x14ac:dyDescent="0.2">
      <c r="A1448" s="1" t="s">
        <v>436</v>
      </c>
      <c r="B1448" t="str">
        <f>LEFT(Table1[[#This Row],[Input]],1)</f>
        <v>L</v>
      </c>
      <c r="C1448">
        <f>_xlfn.LET(_xlpm.steps,SUBSTITUTE(Table1[[#This Row],[Input]],Table1[[#This Row],[Direction]],""),VALUE(IF(LEN(_xlpm.steps)&gt;2,RIGHT(_xlpm.steps,2),_xlpm.steps)))</f>
        <v>97</v>
      </c>
      <c r="D1448">
        <f>_xlfn.LET(_xlpm.dir,Table1[[#This Row],[Direction]],
IF(_xlpm.dir="L",
    IF(F1447-Table1[[#This Row],[Steps]]&lt;0,100+(F1447-Table1[[#This Row],[Steps]]),F1447-Table1[[#This Row],[Steps]]),
))</f>
        <v>24</v>
      </c>
      <c r="E1448">
        <f>_xlfn.LET(_xlpm.dir,Table1[[#This Row],[Direction]],
IF(_xlpm.dir="R",
    IF(F1447+Table1[[#This Row],[Steps]]&gt;99,(F1447+Table1[[#This Row],[Steps]])-100,F1447+Table1[[#This Row],[Steps]]),
))</f>
        <v>0</v>
      </c>
      <c r="F1448">
        <f>IF(Table1[[#This Row],[New Pos L]]&lt;&gt;0,Table1[[#This Row],[New Pos L]],Table1[[#This Row],[New Pos R]])</f>
        <v>24</v>
      </c>
    </row>
    <row r="1449" spans="1:6" ht="16" x14ac:dyDescent="0.2">
      <c r="A1449" s="1" t="s">
        <v>206</v>
      </c>
      <c r="B1449" t="str">
        <f>LEFT(Table1[[#This Row],[Input]],1)</f>
        <v>R</v>
      </c>
      <c r="C1449">
        <f>_xlfn.LET(_xlpm.steps,SUBSTITUTE(Table1[[#This Row],[Input]],Table1[[#This Row],[Direction]],""),VALUE(IF(LEN(_xlpm.steps)&gt;2,RIGHT(_xlpm.steps,2),_xlpm.steps)))</f>
        <v>62</v>
      </c>
      <c r="D1449">
        <f>_xlfn.LET(_xlpm.dir,Table1[[#This Row],[Direction]],
IF(_xlpm.dir="L",
    IF(F1448-Table1[[#This Row],[Steps]]&lt;0,100+(F1448-Table1[[#This Row],[Steps]]),F1448-Table1[[#This Row],[Steps]]),
))</f>
        <v>0</v>
      </c>
      <c r="E1449">
        <f>_xlfn.LET(_xlpm.dir,Table1[[#This Row],[Direction]],
IF(_xlpm.dir="R",
    IF(F1448+Table1[[#This Row],[Steps]]&gt;99,(F1448+Table1[[#This Row],[Steps]])-100,F1448+Table1[[#This Row],[Steps]]),
))</f>
        <v>86</v>
      </c>
      <c r="F1449">
        <f>IF(Table1[[#This Row],[New Pos L]]&lt;&gt;0,Table1[[#This Row],[New Pos L]],Table1[[#This Row],[New Pos R]])</f>
        <v>86</v>
      </c>
    </row>
    <row r="1450" spans="1:6" ht="16" x14ac:dyDescent="0.2">
      <c r="A1450" s="1" t="s">
        <v>128</v>
      </c>
      <c r="B1450" t="str">
        <f>LEFT(Table1[[#This Row],[Input]],1)</f>
        <v>R</v>
      </c>
      <c r="C1450">
        <f>_xlfn.LET(_xlpm.steps,SUBSTITUTE(Table1[[#This Row],[Input]],Table1[[#This Row],[Direction]],""),VALUE(IF(LEN(_xlpm.steps)&gt;2,RIGHT(_xlpm.steps,2),_xlpm.steps)))</f>
        <v>92</v>
      </c>
      <c r="D1450">
        <f>_xlfn.LET(_xlpm.dir,Table1[[#This Row],[Direction]],
IF(_xlpm.dir="L",
    IF(F1449-Table1[[#This Row],[Steps]]&lt;0,100+(F1449-Table1[[#This Row],[Steps]]),F1449-Table1[[#This Row],[Steps]]),
))</f>
        <v>0</v>
      </c>
      <c r="E1450">
        <f>_xlfn.LET(_xlpm.dir,Table1[[#This Row],[Direction]],
IF(_xlpm.dir="R",
    IF(F1449+Table1[[#This Row],[Steps]]&gt;99,(F1449+Table1[[#This Row],[Steps]])-100,F1449+Table1[[#This Row],[Steps]]),
))</f>
        <v>78</v>
      </c>
      <c r="F1450">
        <f>IF(Table1[[#This Row],[New Pos L]]&lt;&gt;0,Table1[[#This Row],[New Pos L]],Table1[[#This Row],[New Pos R]])</f>
        <v>78</v>
      </c>
    </row>
    <row r="1451" spans="1:6" ht="16" x14ac:dyDescent="0.2">
      <c r="A1451" s="1" t="s">
        <v>252</v>
      </c>
      <c r="B1451" t="str">
        <f>LEFT(Table1[[#This Row],[Input]],1)</f>
        <v>L</v>
      </c>
      <c r="C1451">
        <f>_xlfn.LET(_xlpm.steps,SUBSTITUTE(Table1[[#This Row],[Input]],Table1[[#This Row],[Direction]],""),VALUE(IF(LEN(_xlpm.steps)&gt;2,RIGHT(_xlpm.steps,2),_xlpm.steps)))</f>
        <v>99</v>
      </c>
      <c r="D1451">
        <f>_xlfn.LET(_xlpm.dir,Table1[[#This Row],[Direction]],
IF(_xlpm.dir="L",
    IF(F1450-Table1[[#This Row],[Steps]]&lt;0,100+(F1450-Table1[[#This Row],[Steps]]),F1450-Table1[[#This Row],[Steps]]),
))</f>
        <v>79</v>
      </c>
      <c r="E1451">
        <f>_xlfn.LET(_xlpm.dir,Table1[[#This Row],[Direction]],
IF(_xlpm.dir="R",
    IF(F1450+Table1[[#This Row],[Steps]]&gt;99,(F1450+Table1[[#This Row],[Steps]])-100,F1450+Table1[[#This Row],[Steps]]),
))</f>
        <v>0</v>
      </c>
      <c r="F1451">
        <f>IF(Table1[[#This Row],[New Pos L]]&lt;&gt;0,Table1[[#This Row],[New Pos L]],Table1[[#This Row],[New Pos R]])</f>
        <v>79</v>
      </c>
    </row>
    <row r="1452" spans="1:6" ht="16" x14ac:dyDescent="0.2">
      <c r="A1452" s="1" t="s">
        <v>319</v>
      </c>
      <c r="B1452" t="str">
        <f>LEFT(Table1[[#This Row],[Input]],1)</f>
        <v>L</v>
      </c>
      <c r="C1452">
        <f>_xlfn.LET(_xlpm.steps,SUBSTITUTE(Table1[[#This Row],[Input]],Table1[[#This Row],[Direction]],""),VALUE(IF(LEN(_xlpm.steps)&gt;2,RIGHT(_xlpm.steps,2),_xlpm.steps)))</f>
        <v>79</v>
      </c>
      <c r="D1452">
        <f>_xlfn.LET(_xlpm.dir,Table1[[#This Row],[Direction]],
IF(_xlpm.dir="L",
    IF(F1451-Table1[[#This Row],[Steps]]&lt;0,100+(F1451-Table1[[#This Row],[Steps]]),F1451-Table1[[#This Row],[Steps]]),
))</f>
        <v>0</v>
      </c>
      <c r="E1452">
        <f>_xlfn.LET(_xlpm.dir,Table1[[#This Row],[Direction]],
IF(_xlpm.dir="R",
    IF(F1451+Table1[[#This Row],[Steps]]&gt;99,(F1451+Table1[[#This Row],[Steps]])-100,F1451+Table1[[#This Row],[Steps]]),
))</f>
        <v>0</v>
      </c>
      <c r="F1452">
        <f>IF(Table1[[#This Row],[New Pos L]]&lt;&gt;0,Table1[[#This Row],[New Pos L]],Table1[[#This Row],[New Pos R]])</f>
        <v>0</v>
      </c>
    </row>
    <row r="1453" spans="1:6" ht="16" x14ac:dyDescent="0.2">
      <c r="A1453" s="1" t="s">
        <v>0</v>
      </c>
      <c r="B1453" t="str">
        <f>LEFT(Table1[[#This Row],[Input]],1)</f>
        <v>L</v>
      </c>
      <c r="C1453">
        <f>_xlfn.LET(_xlpm.steps,SUBSTITUTE(Table1[[#This Row],[Input]],Table1[[#This Row],[Direction]],""),VALUE(IF(LEN(_xlpm.steps)&gt;2,RIGHT(_xlpm.steps,2),_xlpm.steps)))</f>
        <v>44</v>
      </c>
      <c r="D1453">
        <f>_xlfn.LET(_xlpm.dir,Table1[[#This Row],[Direction]],
IF(_xlpm.dir="L",
    IF(F1452-Table1[[#This Row],[Steps]]&lt;0,100+(F1452-Table1[[#This Row],[Steps]]),F1452-Table1[[#This Row],[Steps]]),
))</f>
        <v>56</v>
      </c>
      <c r="E1453">
        <f>_xlfn.LET(_xlpm.dir,Table1[[#This Row],[Direction]],
IF(_xlpm.dir="R",
    IF(F1452+Table1[[#This Row],[Steps]]&gt;99,(F1452+Table1[[#This Row],[Steps]])-100,F1452+Table1[[#This Row],[Steps]]),
))</f>
        <v>0</v>
      </c>
      <c r="F1453">
        <f>IF(Table1[[#This Row],[New Pos L]]&lt;&gt;0,Table1[[#This Row],[New Pos L]],Table1[[#This Row],[New Pos R]])</f>
        <v>56</v>
      </c>
    </row>
    <row r="1454" spans="1:6" ht="16" x14ac:dyDescent="0.2">
      <c r="A1454" s="1" t="s">
        <v>437</v>
      </c>
      <c r="B1454" t="str">
        <f>LEFT(Table1[[#This Row],[Input]],1)</f>
        <v>L</v>
      </c>
      <c r="C1454">
        <f>_xlfn.LET(_xlpm.steps,SUBSTITUTE(Table1[[#This Row],[Input]],Table1[[#This Row],[Direction]],""),VALUE(IF(LEN(_xlpm.steps)&gt;2,RIGHT(_xlpm.steps,2),_xlpm.steps)))</f>
        <v>56</v>
      </c>
      <c r="D1454">
        <f>_xlfn.LET(_xlpm.dir,Table1[[#This Row],[Direction]],
IF(_xlpm.dir="L",
    IF(F1453-Table1[[#This Row],[Steps]]&lt;0,100+(F1453-Table1[[#This Row],[Steps]]),F1453-Table1[[#This Row],[Steps]]),
))</f>
        <v>0</v>
      </c>
      <c r="E1454">
        <f>_xlfn.LET(_xlpm.dir,Table1[[#This Row],[Direction]],
IF(_xlpm.dir="R",
    IF(F1453+Table1[[#This Row],[Steps]]&gt;99,(F1453+Table1[[#This Row],[Steps]])-100,F1453+Table1[[#This Row],[Steps]]),
))</f>
        <v>0</v>
      </c>
      <c r="F1454">
        <f>IF(Table1[[#This Row],[New Pos L]]&lt;&gt;0,Table1[[#This Row],[New Pos L]],Table1[[#This Row],[New Pos R]])</f>
        <v>0</v>
      </c>
    </row>
    <row r="1455" spans="1:6" ht="16" x14ac:dyDescent="0.2">
      <c r="A1455" s="1" t="s">
        <v>136</v>
      </c>
      <c r="B1455" t="str">
        <f>LEFT(Table1[[#This Row],[Input]],1)</f>
        <v>L</v>
      </c>
      <c r="C1455">
        <f>_xlfn.LET(_xlpm.steps,SUBSTITUTE(Table1[[#This Row],[Input]],Table1[[#This Row],[Direction]],""),VALUE(IF(LEN(_xlpm.steps)&gt;2,RIGHT(_xlpm.steps,2),_xlpm.steps)))</f>
        <v>72</v>
      </c>
      <c r="D1455">
        <f>_xlfn.LET(_xlpm.dir,Table1[[#This Row],[Direction]],
IF(_xlpm.dir="L",
    IF(F1454-Table1[[#This Row],[Steps]]&lt;0,100+(F1454-Table1[[#This Row],[Steps]]),F1454-Table1[[#This Row],[Steps]]),
))</f>
        <v>28</v>
      </c>
      <c r="E1455">
        <f>_xlfn.LET(_xlpm.dir,Table1[[#This Row],[Direction]],
IF(_xlpm.dir="R",
    IF(F1454+Table1[[#This Row],[Steps]]&gt;99,(F1454+Table1[[#This Row],[Steps]])-100,F1454+Table1[[#This Row],[Steps]]),
))</f>
        <v>0</v>
      </c>
      <c r="F1455">
        <f>IF(Table1[[#This Row],[New Pos L]]&lt;&gt;0,Table1[[#This Row],[New Pos L]],Table1[[#This Row],[New Pos R]])</f>
        <v>28</v>
      </c>
    </row>
    <row r="1456" spans="1:6" ht="16" x14ac:dyDescent="0.2">
      <c r="A1456" s="1" t="s">
        <v>22</v>
      </c>
      <c r="B1456" t="str">
        <f>LEFT(Table1[[#This Row],[Input]],1)</f>
        <v>L</v>
      </c>
      <c r="C1456">
        <f>_xlfn.LET(_xlpm.steps,SUBSTITUTE(Table1[[#This Row],[Input]],Table1[[#This Row],[Direction]],""),VALUE(IF(LEN(_xlpm.steps)&gt;2,RIGHT(_xlpm.steps,2),_xlpm.steps)))</f>
        <v>37</v>
      </c>
      <c r="D1456">
        <f>_xlfn.LET(_xlpm.dir,Table1[[#This Row],[Direction]],
IF(_xlpm.dir="L",
    IF(F1455-Table1[[#This Row],[Steps]]&lt;0,100+(F1455-Table1[[#This Row],[Steps]]),F1455-Table1[[#This Row],[Steps]]),
))</f>
        <v>91</v>
      </c>
      <c r="E1456">
        <f>_xlfn.LET(_xlpm.dir,Table1[[#This Row],[Direction]],
IF(_xlpm.dir="R",
    IF(F1455+Table1[[#This Row],[Steps]]&gt;99,(F1455+Table1[[#This Row],[Steps]])-100,F1455+Table1[[#This Row],[Steps]]),
))</f>
        <v>0</v>
      </c>
      <c r="F1456">
        <f>IF(Table1[[#This Row],[New Pos L]]&lt;&gt;0,Table1[[#This Row],[New Pos L]],Table1[[#This Row],[New Pos R]])</f>
        <v>91</v>
      </c>
    </row>
    <row r="1457" spans="1:6" ht="16" x14ac:dyDescent="0.2">
      <c r="A1457" s="1" t="s">
        <v>81</v>
      </c>
      <c r="B1457" t="str">
        <f>LEFT(Table1[[#This Row],[Input]],1)</f>
        <v>R</v>
      </c>
      <c r="C1457">
        <f>_xlfn.LET(_xlpm.steps,SUBSTITUTE(Table1[[#This Row],[Input]],Table1[[#This Row],[Direction]],""),VALUE(IF(LEN(_xlpm.steps)&gt;2,RIGHT(_xlpm.steps,2),_xlpm.steps)))</f>
        <v>17</v>
      </c>
      <c r="D1457">
        <f>_xlfn.LET(_xlpm.dir,Table1[[#This Row],[Direction]],
IF(_xlpm.dir="L",
    IF(F1456-Table1[[#This Row],[Steps]]&lt;0,100+(F1456-Table1[[#This Row],[Steps]]),F1456-Table1[[#This Row],[Steps]]),
))</f>
        <v>0</v>
      </c>
      <c r="E1457">
        <f>_xlfn.LET(_xlpm.dir,Table1[[#This Row],[Direction]],
IF(_xlpm.dir="R",
    IF(F1456+Table1[[#This Row],[Steps]]&gt;99,(F1456+Table1[[#This Row],[Steps]])-100,F1456+Table1[[#This Row],[Steps]]),
))</f>
        <v>8</v>
      </c>
      <c r="F1457">
        <f>IF(Table1[[#This Row],[New Pos L]]&lt;&gt;0,Table1[[#This Row],[New Pos L]],Table1[[#This Row],[New Pos R]])</f>
        <v>8</v>
      </c>
    </row>
    <row r="1458" spans="1:6" ht="16" x14ac:dyDescent="0.2">
      <c r="A1458" s="1" t="s">
        <v>179</v>
      </c>
      <c r="B1458" t="str">
        <f>LEFT(Table1[[#This Row],[Input]],1)</f>
        <v>L</v>
      </c>
      <c r="C1458">
        <f>_xlfn.LET(_xlpm.steps,SUBSTITUTE(Table1[[#This Row],[Input]],Table1[[#This Row],[Direction]],""),VALUE(IF(LEN(_xlpm.steps)&gt;2,RIGHT(_xlpm.steps,2),_xlpm.steps)))</f>
        <v>54</v>
      </c>
      <c r="D1458">
        <f>_xlfn.LET(_xlpm.dir,Table1[[#This Row],[Direction]],
IF(_xlpm.dir="L",
    IF(F1457-Table1[[#This Row],[Steps]]&lt;0,100+(F1457-Table1[[#This Row],[Steps]]),F1457-Table1[[#This Row],[Steps]]),
))</f>
        <v>54</v>
      </c>
      <c r="E1458">
        <f>_xlfn.LET(_xlpm.dir,Table1[[#This Row],[Direction]],
IF(_xlpm.dir="R",
    IF(F1457+Table1[[#This Row],[Steps]]&gt;99,(F1457+Table1[[#This Row],[Steps]])-100,F1457+Table1[[#This Row],[Steps]]),
))</f>
        <v>0</v>
      </c>
      <c r="F1458">
        <f>IF(Table1[[#This Row],[New Pos L]]&lt;&gt;0,Table1[[#This Row],[New Pos L]],Table1[[#This Row],[New Pos R]])</f>
        <v>54</v>
      </c>
    </row>
    <row r="1459" spans="1:6" ht="16" x14ac:dyDescent="0.2">
      <c r="A1459" s="1" t="s">
        <v>179</v>
      </c>
      <c r="B1459" t="str">
        <f>LEFT(Table1[[#This Row],[Input]],1)</f>
        <v>L</v>
      </c>
      <c r="C1459">
        <f>_xlfn.LET(_xlpm.steps,SUBSTITUTE(Table1[[#This Row],[Input]],Table1[[#This Row],[Direction]],""),VALUE(IF(LEN(_xlpm.steps)&gt;2,RIGHT(_xlpm.steps,2),_xlpm.steps)))</f>
        <v>54</v>
      </c>
      <c r="D1459">
        <f>_xlfn.LET(_xlpm.dir,Table1[[#This Row],[Direction]],
IF(_xlpm.dir="L",
    IF(F1458-Table1[[#This Row],[Steps]]&lt;0,100+(F1458-Table1[[#This Row],[Steps]]),F1458-Table1[[#This Row],[Steps]]),
))</f>
        <v>0</v>
      </c>
      <c r="E1459">
        <f>_xlfn.LET(_xlpm.dir,Table1[[#This Row],[Direction]],
IF(_xlpm.dir="R",
    IF(F1458+Table1[[#This Row],[Steps]]&gt;99,(F1458+Table1[[#This Row],[Steps]])-100,F1458+Table1[[#This Row],[Steps]]),
))</f>
        <v>0</v>
      </c>
      <c r="F1459">
        <f>IF(Table1[[#This Row],[New Pos L]]&lt;&gt;0,Table1[[#This Row],[New Pos L]],Table1[[#This Row],[New Pos R]])</f>
        <v>0</v>
      </c>
    </row>
    <row r="1460" spans="1:6" ht="16" x14ac:dyDescent="0.2">
      <c r="A1460" s="1" t="s">
        <v>37</v>
      </c>
      <c r="B1460" t="str">
        <f>LEFT(Table1[[#This Row],[Input]],1)</f>
        <v>L</v>
      </c>
      <c r="C1460">
        <f>_xlfn.LET(_xlpm.steps,SUBSTITUTE(Table1[[#This Row],[Input]],Table1[[#This Row],[Direction]],""),VALUE(IF(LEN(_xlpm.steps)&gt;2,RIGHT(_xlpm.steps,2),_xlpm.steps)))</f>
        <v>42</v>
      </c>
      <c r="D1460">
        <f>_xlfn.LET(_xlpm.dir,Table1[[#This Row],[Direction]],
IF(_xlpm.dir="L",
    IF(F1459-Table1[[#This Row],[Steps]]&lt;0,100+(F1459-Table1[[#This Row],[Steps]]),F1459-Table1[[#This Row],[Steps]]),
))</f>
        <v>58</v>
      </c>
      <c r="E1460">
        <f>_xlfn.LET(_xlpm.dir,Table1[[#This Row],[Direction]],
IF(_xlpm.dir="R",
    IF(F1459+Table1[[#This Row],[Steps]]&gt;99,(F1459+Table1[[#This Row],[Steps]])-100,F1459+Table1[[#This Row],[Steps]]),
))</f>
        <v>0</v>
      </c>
      <c r="F1460">
        <f>IF(Table1[[#This Row],[New Pos L]]&lt;&gt;0,Table1[[#This Row],[New Pos L]],Table1[[#This Row],[New Pos R]])</f>
        <v>58</v>
      </c>
    </row>
    <row r="1461" spans="1:6" ht="16" x14ac:dyDescent="0.2">
      <c r="A1461" s="1" t="s">
        <v>1</v>
      </c>
      <c r="B1461" t="str">
        <f>LEFT(Table1[[#This Row],[Input]],1)</f>
        <v>R</v>
      </c>
      <c r="C1461">
        <f>_xlfn.LET(_xlpm.steps,SUBSTITUTE(Table1[[#This Row],[Input]],Table1[[#This Row],[Direction]],""),VALUE(IF(LEN(_xlpm.steps)&gt;2,RIGHT(_xlpm.steps,2),_xlpm.steps)))</f>
        <v>26</v>
      </c>
      <c r="D1461">
        <f>_xlfn.LET(_xlpm.dir,Table1[[#This Row],[Direction]],
IF(_xlpm.dir="L",
    IF(F1460-Table1[[#This Row],[Steps]]&lt;0,100+(F1460-Table1[[#This Row],[Steps]]),F1460-Table1[[#This Row],[Steps]]),
))</f>
        <v>0</v>
      </c>
      <c r="E1461">
        <f>_xlfn.LET(_xlpm.dir,Table1[[#This Row],[Direction]],
IF(_xlpm.dir="R",
    IF(F1460+Table1[[#This Row],[Steps]]&gt;99,(F1460+Table1[[#This Row],[Steps]])-100,F1460+Table1[[#This Row],[Steps]]),
))</f>
        <v>84</v>
      </c>
      <c r="F1461">
        <f>IF(Table1[[#This Row],[New Pos L]]&lt;&gt;0,Table1[[#This Row],[New Pos L]],Table1[[#This Row],[New Pos R]])</f>
        <v>84</v>
      </c>
    </row>
    <row r="1462" spans="1:6" ht="16" x14ac:dyDescent="0.2">
      <c r="A1462" s="1" t="s">
        <v>438</v>
      </c>
      <c r="B1462" t="str">
        <f>LEFT(Table1[[#This Row],[Input]],1)</f>
        <v>R</v>
      </c>
      <c r="C1462">
        <f>_xlfn.LET(_xlpm.steps,SUBSTITUTE(Table1[[#This Row],[Input]],Table1[[#This Row],[Direction]],""),VALUE(IF(LEN(_xlpm.steps)&gt;2,RIGHT(_xlpm.steps,2),_xlpm.steps)))</f>
        <v>9</v>
      </c>
      <c r="D1462">
        <f>_xlfn.LET(_xlpm.dir,Table1[[#This Row],[Direction]],
IF(_xlpm.dir="L",
    IF(F1461-Table1[[#This Row],[Steps]]&lt;0,100+(F1461-Table1[[#This Row],[Steps]]),F1461-Table1[[#This Row],[Steps]]),
))</f>
        <v>0</v>
      </c>
      <c r="E1462">
        <f>_xlfn.LET(_xlpm.dir,Table1[[#This Row],[Direction]],
IF(_xlpm.dir="R",
    IF(F1461+Table1[[#This Row],[Steps]]&gt;99,(F1461+Table1[[#This Row],[Steps]])-100,F1461+Table1[[#This Row],[Steps]]),
))</f>
        <v>93</v>
      </c>
      <c r="F1462">
        <f>IF(Table1[[#This Row],[New Pos L]]&lt;&gt;0,Table1[[#This Row],[New Pos L]],Table1[[#This Row],[New Pos R]])</f>
        <v>93</v>
      </c>
    </row>
    <row r="1463" spans="1:6" ht="16" x14ac:dyDescent="0.2">
      <c r="A1463" s="1" t="s">
        <v>19</v>
      </c>
      <c r="B1463" t="str">
        <f>LEFT(Table1[[#This Row],[Input]],1)</f>
        <v>R</v>
      </c>
      <c r="C1463">
        <f>_xlfn.LET(_xlpm.steps,SUBSTITUTE(Table1[[#This Row],[Input]],Table1[[#This Row],[Direction]],""),VALUE(IF(LEN(_xlpm.steps)&gt;2,RIGHT(_xlpm.steps,2),_xlpm.steps)))</f>
        <v>47</v>
      </c>
      <c r="D1463">
        <f>_xlfn.LET(_xlpm.dir,Table1[[#This Row],[Direction]],
IF(_xlpm.dir="L",
    IF(F1462-Table1[[#This Row],[Steps]]&lt;0,100+(F1462-Table1[[#This Row],[Steps]]),F1462-Table1[[#This Row],[Steps]]),
))</f>
        <v>0</v>
      </c>
      <c r="E1463">
        <f>_xlfn.LET(_xlpm.dir,Table1[[#This Row],[Direction]],
IF(_xlpm.dir="R",
    IF(F1462+Table1[[#This Row],[Steps]]&gt;99,(F1462+Table1[[#This Row],[Steps]])-100,F1462+Table1[[#This Row],[Steps]]),
))</f>
        <v>40</v>
      </c>
      <c r="F1463">
        <f>IF(Table1[[#This Row],[New Pos L]]&lt;&gt;0,Table1[[#This Row],[New Pos L]],Table1[[#This Row],[New Pos R]])</f>
        <v>40</v>
      </c>
    </row>
    <row r="1464" spans="1:6" ht="16" x14ac:dyDescent="0.2">
      <c r="A1464" s="1" t="s">
        <v>126</v>
      </c>
      <c r="B1464" t="str">
        <f>LEFT(Table1[[#This Row],[Input]],1)</f>
        <v>R</v>
      </c>
      <c r="C1464">
        <f>_xlfn.LET(_xlpm.steps,SUBSTITUTE(Table1[[#This Row],[Input]],Table1[[#This Row],[Direction]],""),VALUE(IF(LEN(_xlpm.steps)&gt;2,RIGHT(_xlpm.steps,2),_xlpm.steps)))</f>
        <v>65</v>
      </c>
      <c r="D1464">
        <f>_xlfn.LET(_xlpm.dir,Table1[[#This Row],[Direction]],
IF(_xlpm.dir="L",
    IF(F1463-Table1[[#This Row],[Steps]]&lt;0,100+(F1463-Table1[[#This Row],[Steps]]),F1463-Table1[[#This Row],[Steps]]),
))</f>
        <v>0</v>
      </c>
      <c r="E1464">
        <f>_xlfn.LET(_xlpm.dir,Table1[[#This Row],[Direction]],
IF(_xlpm.dir="R",
    IF(F1463+Table1[[#This Row],[Steps]]&gt;99,(F1463+Table1[[#This Row],[Steps]])-100,F1463+Table1[[#This Row],[Steps]]),
))</f>
        <v>5</v>
      </c>
      <c r="F1464">
        <f>IF(Table1[[#This Row],[New Pos L]]&lt;&gt;0,Table1[[#This Row],[New Pos L]],Table1[[#This Row],[New Pos R]])</f>
        <v>5</v>
      </c>
    </row>
    <row r="1465" spans="1:6" ht="16" x14ac:dyDescent="0.2">
      <c r="A1465" s="1" t="s">
        <v>157</v>
      </c>
      <c r="B1465" t="str">
        <f>LEFT(Table1[[#This Row],[Input]],1)</f>
        <v>R</v>
      </c>
      <c r="C1465">
        <f>_xlfn.LET(_xlpm.steps,SUBSTITUTE(Table1[[#This Row],[Input]],Table1[[#This Row],[Direction]],""),VALUE(IF(LEN(_xlpm.steps)&gt;2,RIGHT(_xlpm.steps,2),_xlpm.steps)))</f>
        <v>68</v>
      </c>
      <c r="D1465">
        <f>_xlfn.LET(_xlpm.dir,Table1[[#This Row],[Direction]],
IF(_xlpm.dir="L",
    IF(F1464-Table1[[#This Row],[Steps]]&lt;0,100+(F1464-Table1[[#This Row],[Steps]]),F1464-Table1[[#This Row],[Steps]]),
))</f>
        <v>0</v>
      </c>
      <c r="E1465">
        <f>_xlfn.LET(_xlpm.dir,Table1[[#This Row],[Direction]],
IF(_xlpm.dir="R",
    IF(F1464+Table1[[#This Row],[Steps]]&gt;99,(F1464+Table1[[#This Row],[Steps]])-100,F1464+Table1[[#This Row],[Steps]]),
))</f>
        <v>73</v>
      </c>
      <c r="F1465">
        <f>IF(Table1[[#This Row],[New Pos L]]&lt;&gt;0,Table1[[#This Row],[New Pos L]],Table1[[#This Row],[New Pos R]])</f>
        <v>73</v>
      </c>
    </row>
    <row r="1466" spans="1:6" ht="16" x14ac:dyDescent="0.2">
      <c r="A1466" s="1" t="s">
        <v>439</v>
      </c>
      <c r="B1466" t="str">
        <f>LEFT(Table1[[#This Row],[Input]],1)</f>
        <v>R</v>
      </c>
      <c r="C1466">
        <f>_xlfn.LET(_xlpm.steps,SUBSTITUTE(Table1[[#This Row],[Input]],Table1[[#This Row],[Direction]],""),VALUE(IF(LEN(_xlpm.steps)&gt;2,RIGHT(_xlpm.steps,2),_xlpm.steps)))</f>
        <v>27</v>
      </c>
      <c r="D1466">
        <f>_xlfn.LET(_xlpm.dir,Table1[[#This Row],[Direction]],
IF(_xlpm.dir="L",
    IF(F1465-Table1[[#This Row],[Steps]]&lt;0,100+(F1465-Table1[[#This Row],[Steps]]),F1465-Table1[[#This Row],[Steps]]),
))</f>
        <v>0</v>
      </c>
      <c r="E1466">
        <f>_xlfn.LET(_xlpm.dir,Table1[[#This Row],[Direction]],
IF(_xlpm.dir="R",
    IF(F1465+Table1[[#This Row],[Steps]]&gt;99,(F1465+Table1[[#This Row],[Steps]])-100,F1465+Table1[[#This Row],[Steps]]),
))</f>
        <v>0</v>
      </c>
      <c r="F1466">
        <f>IF(Table1[[#This Row],[New Pos L]]&lt;&gt;0,Table1[[#This Row],[New Pos L]],Table1[[#This Row],[New Pos R]])</f>
        <v>0</v>
      </c>
    </row>
    <row r="1467" spans="1:6" ht="16" x14ac:dyDescent="0.2">
      <c r="A1467" s="1" t="s">
        <v>17</v>
      </c>
      <c r="B1467" t="str">
        <f>LEFT(Table1[[#This Row],[Input]],1)</f>
        <v>L</v>
      </c>
      <c r="C1467">
        <f>_xlfn.LET(_xlpm.steps,SUBSTITUTE(Table1[[#This Row],[Input]],Table1[[#This Row],[Direction]],""),VALUE(IF(LEN(_xlpm.steps)&gt;2,RIGHT(_xlpm.steps,2),_xlpm.steps)))</f>
        <v>50</v>
      </c>
      <c r="D1467">
        <f>_xlfn.LET(_xlpm.dir,Table1[[#This Row],[Direction]],
IF(_xlpm.dir="L",
    IF(F1466-Table1[[#This Row],[Steps]]&lt;0,100+(F1466-Table1[[#This Row],[Steps]]),F1466-Table1[[#This Row],[Steps]]),
))</f>
        <v>50</v>
      </c>
      <c r="E1467">
        <f>_xlfn.LET(_xlpm.dir,Table1[[#This Row],[Direction]],
IF(_xlpm.dir="R",
    IF(F1466+Table1[[#This Row],[Steps]]&gt;99,(F1466+Table1[[#This Row],[Steps]])-100,F1466+Table1[[#This Row],[Steps]]),
))</f>
        <v>0</v>
      </c>
      <c r="F1467">
        <f>IF(Table1[[#This Row],[New Pos L]]&lt;&gt;0,Table1[[#This Row],[New Pos L]],Table1[[#This Row],[New Pos R]])</f>
        <v>50</v>
      </c>
    </row>
    <row r="1468" spans="1:6" ht="16" x14ac:dyDescent="0.2">
      <c r="A1468" s="1" t="s">
        <v>64</v>
      </c>
      <c r="B1468" t="str">
        <f>LEFT(Table1[[#This Row],[Input]],1)</f>
        <v>R</v>
      </c>
      <c r="C1468">
        <f>_xlfn.LET(_xlpm.steps,SUBSTITUTE(Table1[[#This Row],[Input]],Table1[[#This Row],[Direction]],""),VALUE(IF(LEN(_xlpm.steps)&gt;2,RIGHT(_xlpm.steps,2),_xlpm.steps)))</f>
        <v>10</v>
      </c>
      <c r="D1468">
        <f>_xlfn.LET(_xlpm.dir,Table1[[#This Row],[Direction]],
IF(_xlpm.dir="L",
    IF(F1467-Table1[[#This Row],[Steps]]&lt;0,100+(F1467-Table1[[#This Row],[Steps]]),F1467-Table1[[#This Row],[Steps]]),
))</f>
        <v>0</v>
      </c>
      <c r="E1468">
        <f>_xlfn.LET(_xlpm.dir,Table1[[#This Row],[Direction]],
IF(_xlpm.dir="R",
    IF(F1467+Table1[[#This Row],[Steps]]&gt;99,(F1467+Table1[[#This Row],[Steps]])-100,F1467+Table1[[#This Row],[Steps]]),
))</f>
        <v>60</v>
      </c>
      <c r="F1468">
        <f>IF(Table1[[#This Row],[New Pos L]]&lt;&gt;0,Table1[[#This Row],[New Pos L]],Table1[[#This Row],[New Pos R]])</f>
        <v>60</v>
      </c>
    </row>
    <row r="1469" spans="1:6" ht="16" x14ac:dyDescent="0.2">
      <c r="A1469" s="1" t="s">
        <v>12</v>
      </c>
      <c r="B1469" t="str">
        <f>LEFT(Table1[[#This Row],[Input]],1)</f>
        <v>L</v>
      </c>
      <c r="C1469">
        <f>_xlfn.LET(_xlpm.steps,SUBSTITUTE(Table1[[#This Row],[Input]],Table1[[#This Row],[Direction]],""),VALUE(IF(LEN(_xlpm.steps)&gt;2,RIGHT(_xlpm.steps,2),_xlpm.steps)))</f>
        <v>11</v>
      </c>
      <c r="D1469">
        <f>_xlfn.LET(_xlpm.dir,Table1[[#This Row],[Direction]],
IF(_xlpm.dir="L",
    IF(F1468-Table1[[#This Row],[Steps]]&lt;0,100+(F1468-Table1[[#This Row],[Steps]]),F1468-Table1[[#This Row],[Steps]]),
))</f>
        <v>49</v>
      </c>
      <c r="E1469">
        <f>_xlfn.LET(_xlpm.dir,Table1[[#This Row],[Direction]],
IF(_xlpm.dir="R",
    IF(F1468+Table1[[#This Row],[Steps]]&gt;99,(F1468+Table1[[#This Row],[Steps]])-100,F1468+Table1[[#This Row],[Steps]]),
))</f>
        <v>0</v>
      </c>
      <c r="F1469">
        <f>IF(Table1[[#This Row],[New Pos L]]&lt;&gt;0,Table1[[#This Row],[New Pos L]],Table1[[#This Row],[New Pos R]])</f>
        <v>49</v>
      </c>
    </row>
    <row r="1470" spans="1:6" ht="16" x14ac:dyDescent="0.2">
      <c r="A1470" s="1" t="s">
        <v>440</v>
      </c>
      <c r="B1470" t="str">
        <f>LEFT(Table1[[#This Row],[Input]],1)</f>
        <v>L</v>
      </c>
      <c r="C1470">
        <f>_xlfn.LET(_xlpm.steps,SUBSTITUTE(Table1[[#This Row],[Input]],Table1[[#This Row],[Direction]],""),VALUE(IF(LEN(_xlpm.steps)&gt;2,RIGHT(_xlpm.steps,2),_xlpm.steps)))</f>
        <v>49</v>
      </c>
      <c r="D1470">
        <f>_xlfn.LET(_xlpm.dir,Table1[[#This Row],[Direction]],
IF(_xlpm.dir="L",
    IF(F1469-Table1[[#This Row],[Steps]]&lt;0,100+(F1469-Table1[[#This Row],[Steps]]),F1469-Table1[[#This Row],[Steps]]),
))</f>
        <v>0</v>
      </c>
      <c r="E1470">
        <f>_xlfn.LET(_xlpm.dir,Table1[[#This Row],[Direction]],
IF(_xlpm.dir="R",
    IF(F1469+Table1[[#This Row],[Steps]]&gt;99,(F1469+Table1[[#This Row],[Steps]])-100,F1469+Table1[[#This Row],[Steps]]),
))</f>
        <v>0</v>
      </c>
      <c r="F1470">
        <f>IF(Table1[[#This Row],[New Pos L]]&lt;&gt;0,Table1[[#This Row],[New Pos L]],Table1[[#This Row],[New Pos R]])</f>
        <v>0</v>
      </c>
    </row>
    <row r="1471" spans="1:6" ht="16" x14ac:dyDescent="0.2">
      <c r="A1471" s="1" t="s">
        <v>82</v>
      </c>
      <c r="B1471" t="str">
        <f>LEFT(Table1[[#This Row],[Input]],1)</f>
        <v>L</v>
      </c>
      <c r="C1471">
        <f>_xlfn.LET(_xlpm.steps,SUBSTITUTE(Table1[[#This Row],[Input]],Table1[[#This Row],[Direction]],""),VALUE(IF(LEN(_xlpm.steps)&gt;2,RIGHT(_xlpm.steps,2),_xlpm.steps)))</f>
        <v>55</v>
      </c>
      <c r="D1471">
        <f>_xlfn.LET(_xlpm.dir,Table1[[#This Row],[Direction]],
IF(_xlpm.dir="L",
    IF(F1470-Table1[[#This Row],[Steps]]&lt;0,100+(F1470-Table1[[#This Row],[Steps]]),F1470-Table1[[#This Row],[Steps]]),
))</f>
        <v>45</v>
      </c>
      <c r="E1471">
        <f>_xlfn.LET(_xlpm.dir,Table1[[#This Row],[Direction]],
IF(_xlpm.dir="R",
    IF(F1470+Table1[[#This Row],[Steps]]&gt;99,(F1470+Table1[[#This Row],[Steps]])-100,F1470+Table1[[#This Row],[Steps]]),
))</f>
        <v>0</v>
      </c>
      <c r="F1471">
        <f>IF(Table1[[#This Row],[New Pos L]]&lt;&gt;0,Table1[[#This Row],[New Pos L]],Table1[[#This Row],[New Pos R]])</f>
        <v>45</v>
      </c>
    </row>
    <row r="1472" spans="1:6" ht="16" x14ac:dyDescent="0.2">
      <c r="A1472" s="1" t="s">
        <v>89</v>
      </c>
      <c r="B1472" t="str">
        <f>LEFT(Table1[[#This Row],[Input]],1)</f>
        <v>L</v>
      </c>
      <c r="C1472">
        <f>_xlfn.LET(_xlpm.steps,SUBSTITUTE(Table1[[#This Row],[Input]],Table1[[#This Row],[Direction]],""),VALUE(IF(LEN(_xlpm.steps)&gt;2,RIGHT(_xlpm.steps,2),_xlpm.steps)))</f>
        <v>91</v>
      </c>
      <c r="D1472">
        <f>_xlfn.LET(_xlpm.dir,Table1[[#This Row],[Direction]],
IF(_xlpm.dir="L",
    IF(F1471-Table1[[#This Row],[Steps]]&lt;0,100+(F1471-Table1[[#This Row],[Steps]]),F1471-Table1[[#This Row],[Steps]]),
))</f>
        <v>54</v>
      </c>
      <c r="E1472">
        <f>_xlfn.LET(_xlpm.dir,Table1[[#This Row],[Direction]],
IF(_xlpm.dir="R",
    IF(F1471+Table1[[#This Row],[Steps]]&gt;99,(F1471+Table1[[#This Row],[Steps]])-100,F1471+Table1[[#This Row],[Steps]]),
))</f>
        <v>0</v>
      </c>
      <c r="F1472">
        <f>IF(Table1[[#This Row],[New Pos L]]&lt;&gt;0,Table1[[#This Row],[New Pos L]],Table1[[#This Row],[New Pos R]])</f>
        <v>54</v>
      </c>
    </row>
    <row r="1473" spans="1:6" ht="16" x14ac:dyDescent="0.2">
      <c r="A1473" s="1" t="s">
        <v>441</v>
      </c>
      <c r="B1473" t="str">
        <f>LEFT(Table1[[#This Row],[Input]],1)</f>
        <v>L</v>
      </c>
      <c r="C1473">
        <f>_xlfn.LET(_xlpm.steps,SUBSTITUTE(Table1[[#This Row],[Input]],Table1[[#This Row],[Direction]],""),VALUE(IF(LEN(_xlpm.steps)&gt;2,RIGHT(_xlpm.steps,2),_xlpm.steps)))</f>
        <v>82</v>
      </c>
      <c r="D1473">
        <f>_xlfn.LET(_xlpm.dir,Table1[[#This Row],[Direction]],
IF(_xlpm.dir="L",
    IF(F1472-Table1[[#This Row],[Steps]]&lt;0,100+(F1472-Table1[[#This Row],[Steps]]),F1472-Table1[[#This Row],[Steps]]),
))</f>
        <v>72</v>
      </c>
      <c r="E1473">
        <f>_xlfn.LET(_xlpm.dir,Table1[[#This Row],[Direction]],
IF(_xlpm.dir="R",
    IF(F1472+Table1[[#This Row],[Steps]]&gt;99,(F1472+Table1[[#This Row],[Steps]])-100,F1472+Table1[[#This Row],[Steps]]),
))</f>
        <v>0</v>
      </c>
      <c r="F1473">
        <f>IF(Table1[[#This Row],[New Pos L]]&lt;&gt;0,Table1[[#This Row],[New Pos L]],Table1[[#This Row],[New Pos R]])</f>
        <v>72</v>
      </c>
    </row>
    <row r="1474" spans="1:6" ht="16" x14ac:dyDescent="0.2">
      <c r="A1474" s="1" t="s">
        <v>20</v>
      </c>
      <c r="B1474" t="str">
        <f>LEFT(Table1[[#This Row],[Input]],1)</f>
        <v>R</v>
      </c>
      <c r="C1474">
        <f>_xlfn.LET(_xlpm.steps,SUBSTITUTE(Table1[[#This Row],[Input]],Table1[[#This Row],[Direction]],""),VALUE(IF(LEN(_xlpm.steps)&gt;2,RIGHT(_xlpm.steps,2),_xlpm.steps)))</f>
        <v>46</v>
      </c>
      <c r="D1474">
        <f>_xlfn.LET(_xlpm.dir,Table1[[#This Row],[Direction]],
IF(_xlpm.dir="L",
    IF(F1473-Table1[[#This Row],[Steps]]&lt;0,100+(F1473-Table1[[#This Row],[Steps]]),F1473-Table1[[#This Row],[Steps]]),
))</f>
        <v>0</v>
      </c>
      <c r="E1474">
        <f>_xlfn.LET(_xlpm.dir,Table1[[#This Row],[Direction]],
IF(_xlpm.dir="R",
    IF(F1473+Table1[[#This Row],[Steps]]&gt;99,(F1473+Table1[[#This Row],[Steps]])-100,F1473+Table1[[#This Row],[Steps]]),
))</f>
        <v>18</v>
      </c>
      <c r="F1474">
        <f>IF(Table1[[#This Row],[New Pos L]]&lt;&gt;0,Table1[[#This Row],[New Pos L]],Table1[[#This Row],[New Pos R]])</f>
        <v>18</v>
      </c>
    </row>
    <row r="1475" spans="1:6" ht="16" x14ac:dyDescent="0.2">
      <c r="A1475" s="1" t="s">
        <v>234</v>
      </c>
      <c r="B1475" t="str">
        <f>LEFT(Table1[[#This Row],[Input]],1)</f>
        <v>R</v>
      </c>
      <c r="C1475">
        <f>_xlfn.LET(_xlpm.steps,SUBSTITUTE(Table1[[#This Row],[Input]],Table1[[#This Row],[Direction]],""),VALUE(IF(LEN(_xlpm.steps)&gt;2,RIGHT(_xlpm.steps,2),_xlpm.steps)))</f>
        <v>82</v>
      </c>
      <c r="D1475">
        <f>_xlfn.LET(_xlpm.dir,Table1[[#This Row],[Direction]],
IF(_xlpm.dir="L",
    IF(F1474-Table1[[#This Row],[Steps]]&lt;0,100+(F1474-Table1[[#This Row],[Steps]]),F1474-Table1[[#This Row],[Steps]]),
))</f>
        <v>0</v>
      </c>
      <c r="E1475">
        <f>_xlfn.LET(_xlpm.dir,Table1[[#This Row],[Direction]],
IF(_xlpm.dir="R",
    IF(F1474+Table1[[#This Row],[Steps]]&gt;99,(F1474+Table1[[#This Row],[Steps]])-100,F1474+Table1[[#This Row],[Steps]]),
))</f>
        <v>0</v>
      </c>
      <c r="F1475">
        <f>IF(Table1[[#This Row],[New Pos L]]&lt;&gt;0,Table1[[#This Row],[New Pos L]],Table1[[#This Row],[New Pos R]])</f>
        <v>0</v>
      </c>
    </row>
    <row r="1476" spans="1:6" ht="16" x14ac:dyDescent="0.2">
      <c r="A1476" s="1" t="s">
        <v>59</v>
      </c>
      <c r="B1476" t="str">
        <f>LEFT(Table1[[#This Row],[Input]],1)</f>
        <v>L</v>
      </c>
      <c r="C1476">
        <f>_xlfn.LET(_xlpm.steps,SUBSTITUTE(Table1[[#This Row],[Input]],Table1[[#This Row],[Direction]],""),VALUE(IF(LEN(_xlpm.steps)&gt;2,RIGHT(_xlpm.steps,2),_xlpm.steps)))</f>
        <v>6</v>
      </c>
      <c r="D1476">
        <f>_xlfn.LET(_xlpm.dir,Table1[[#This Row],[Direction]],
IF(_xlpm.dir="L",
    IF(F1475-Table1[[#This Row],[Steps]]&lt;0,100+(F1475-Table1[[#This Row],[Steps]]),F1475-Table1[[#This Row],[Steps]]),
))</f>
        <v>94</v>
      </c>
      <c r="E1476">
        <f>_xlfn.LET(_xlpm.dir,Table1[[#This Row],[Direction]],
IF(_xlpm.dir="R",
    IF(F1475+Table1[[#This Row],[Steps]]&gt;99,(F1475+Table1[[#This Row],[Steps]])-100,F1475+Table1[[#This Row],[Steps]]),
))</f>
        <v>0</v>
      </c>
      <c r="F1476">
        <f>IF(Table1[[#This Row],[New Pos L]]&lt;&gt;0,Table1[[#This Row],[New Pos L]],Table1[[#This Row],[New Pos R]])</f>
        <v>94</v>
      </c>
    </row>
    <row r="1477" spans="1:6" ht="16" x14ac:dyDescent="0.2">
      <c r="A1477" s="1" t="s">
        <v>158</v>
      </c>
      <c r="B1477" t="str">
        <f>LEFT(Table1[[#This Row],[Input]],1)</f>
        <v>L</v>
      </c>
      <c r="C1477">
        <f>_xlfn.LET(_xlpm.steps,SUBSTITUTE(Table1[[#This Row],[Input]],Table1[[#This Row],[Direction]],""),VALUE(IF(LEN(_xlpm.steps)&gt;2,RIGHT(_xlpm.steps,2),_xlpm.steps)))</f>
        <v>24</v>
      </c>
      <c r="D1477">
        <f>_xlfn.LET(_xlpm.dir,Table1[[#This Row],[Direction]],
IF(_xlpm.dir="L",
    IF(F1476-Table1[[#This Row],[Steps]]&lt;0,100+(F1476-Table1[[#This Row],[Steps]]),F1476-Table1[[#This Row],[Steps]]),
))</f>
        <v>70</v>
      </c>
      <c r="E1477">
        <f>_xlfn.LET(_xlpm.dir,Table1[[#This Row],[Direction]],
IF(_xlpm.dir="R",
    IF(F1476+Table1[[#This Row],[Steps]]&gt;99,(F1476+Table1[[#This Row],[Steps]])-100,F1476+Table1[[#This Row],[Steps]]),
))</f>
        <v>0</v>
      </c>
      <c r="F1477">
        <f>IF(Table1[[#This Row],[New Pos L]]&lt;&gt;0,Table1[[#This Row],[New Pos L]],Table1[[#This Row],[New Pos R]])</f>
        <v>70</v>
      </c>
    </row>
    <row r="1478" spans="1:6" ht="16" x14ac:dyDescent="0.2">
      <c r="A1478" s="1" t="s">
        <v>241</v>
      </c>
      <c r="B1478" t="str">
        <f>LEFT(Table1[[#This Row],[Input]],1)</f>
        <v>R</v>
      </c>
      <c r="C1478">
        <f>_xlfn.LET(_xlpm.steps,SUBSTITUTE(Table1[[#This Row],[Input]],Table1[[#This Row],[Direction]],""),VALUE(IF(LEN(_xlpm.steps)&gt;2,RIGHT(_xlpm.steps,2),_xlpm.steps)))</f>
        <v>60</v>
      </c>
      <c r="D1478">
        <f>_xlfn.LET(_xlpm.dir,Table1[[#This Row],[Direction]],
IF(_xlpm.dir="L",
    IF(F1477-Table1[[#This Row],[Steps]]&lt;0,100+(F1477-Table1[[#This Row],[Steps]]),F1477-Table1[[#This Row],[Steps]]),
))</f>
        <v>0</v>
      </c>
      <c r="E1478">
        <f>_xlfn.LET(_xlpm.dir,Table1[[#This Row],[Direction]],
IF(_xlpm.dir="R",
    IF(F1477+Table1[[#This Row],[Steps]]&gt;99,(F1477+Table1[[#This Row],[Steps]])-100,F1477+Table1[[#This Row],[Steps]]),
))</f>
        <v>30</v>
      </c>
      <c r="F1478">
        <f>IF(Table1[[#This Row],[New Pos L]]&lt;&gt;0,Table1[[#This Row],[New Pos L]],Table1[[#This Row],[New Pos R]])</f>
        <v>30</v>
      </c>
    </row>
    <row r="1479" spans="1:6" ht="16" x14ac:dyDescent="0.2">
      <c r="A1479" s="1" t="s">
        <v>29</v>
      </c>
      <c r="B1479" t="str">
        <f>LEFT(Table1[[#This Row],[Input]],1)</f>
        <v>L</v>
      </c>
      <c r="C1479">
        <f>_xlfn.LET(_xlpm.steps,SUBSTITUTE(Table1[[#This Row],[Input]],Table1[[#This Row],[Direction]],""),VALUE(IF(LEN(_xlpm.steps)&gt;2,RIGHT(_xlpm.steps,2),_xlpm.steps)))</f>
        <v>33</v>
      </c>
      <c r="D1479">
        <f>_xlfn.LET(_xlpm.dir,Table1[[#This Row],[Direction]],
IF(_xlpm.dir="L",
    IF(F1478-Table1[[#This Row],[Steps]]&lt;0,100+(F1478-Table1[[#This Row],[Steps]]),F1478-Table1[[#This Row],[Steps]]),
))</f>
        <v>97</v>
      </c>
      <c r="E1479">
        <f>_xlfn.LET(_xlpm.dir,Table1[[#This Row],[Direction]],
IF(_xlpm.dir="R",
    IF(F1478+Table1[[#This Row],[Steps]]&gt;99,(F1478+Table1[[#This Row],[Steps]])-100,F1478+Table1[[#This Row],[Steps]]),
))</f>
        <v>0</v>
      </c>
      <c r="F1479">
        <f>IF(Table1[[#This Row],[New Pos L]]&lt;&gt;0,Table1[[#This Row],[New Pos L]],Table1[[#This Row],[New Pos R]])</f>
        <v>97</v>
      </c>
    </row>
    <row r="1480" spans="1:6" ht="16" x14ac:dyDescent="0.2">
      <c r="A1480" s="1" t="s">
        <v>77</v>
      </c>
      <c r="B1480" t="str">
        <f>LEFT(Table1[[#This Row],[Input]],1)</f>
        <v>R</v>
      </c>
      <c r="C1480">
        <f>_xlfn.LET(_xlpm.steps,SUBSTITUTE(Table1[[#This Row],[Input]],Table1[[#This Row],[Direction]],""),VALUE(IF(LEN(_xlpm.steps)&gt;2,RIGHT(_xlpm.steps,2),_xlpm.steps)))</f>
        <v>74</v>
      </c>
      <c r="D1480">
        <f>_xlfn.LET(_xlpm.dir,Table1[[#This Row],[Direction]],
IF(_xlpm.dir="L",
    IF(F1479-Table1[[#This Row],[Steps]]&lt;0,100+(F1479-Table1[[#This Row],[Steps]]),F1479-Table1[[#This Row],[Steps]]),
))</f>
        <v>0</v>
      </c>
      <c r="E1480">
        <f>_xlfn.LET(_xlpm.dir,Table1[[#This Row],[Direction]],
IF(_xlpm.dir="R",
    IF(F1479+Table1[[#This Row],[Steps]]&gt;99,(F1479+Table1[[#This Row],[Steps]])-100,F1479+Table1[[#This Row],[Steps]]),
))</f>
        <v>71</v>
      </c>
      <c r="F1480">
        <f>IF(Table1[[#This Row],[New Pos L]]&lt;&gt;0,Table1[[#This Row],[New Pos L]],Table1[[#This Row],[New Pos R]])</f>
        <v>71</v>
      </c>
    </row>
    <row r="1481" spans="1:6" ht="16" x14ac:dyDescent="0.2">
      <c r="A1481" s="1" t="s">
        <v>442</v>
      </c>
      <c r="B1481" t="str">
        <f>LEFT(Table1[[#This Row],[Input]],1)</f>
        <v>L</v>
      </c>
      <c r="C1481">
        <f>_xlfn.LET(_xlpm.steps,SUBSTITUTE(Table1[[#This Row],[Input]],Table1[[#This Row],[Direction]],""),VALUE(IF(LEN(_xlpm.steps)&gt;2,RIGHT(_xlpm.steps,2),_xlpm.steps)))</f>
        <v>71</v>
      </c>
      <c r="D1481">
        <f>_xlfn.LET(_xlpm.dir,Table1[[#This Row],[Direction]],
IF(_xlpm.dir="L",
    IF(F1480-Table1[[#This Row],[Steps]]&lt;0,100+(F1480-Table1[[#This Row],[Steps]]),F1480-Table1[[#This Row],[Steps]]),
))</f>
        <v>0</v>
      </c>
      <c r="E1481">
        <f>_xlfn.LET(_xlpm.dir,Table1[[#This Row],[Direction]],
IF(_xlpm.dir="R",
    IF(F1480+Table1[[#This Row],[Steps]]&gt;99,(F1480+Table1[[#This Row],[Steps]])-100,F1480+Table1[[#This Row],[Steps]]),
))</f>
        <v>0</v>
      </c>
      <c r="F1481">
        <f>IF(Table1[[#This Row],[New Pos L]]&lt;&gt;0,Table1[[#This Row],[New Pos L]],Table1[[#This Row],[New Pos R]])</f>
        <v>0</v>
      </c>
    </row>
    <row r="1482" spans="1:6" ht="16" x14ac:dyDescent="0.2">
      <c r="A1482" s="1" t="s">
        <v>443</v>
      </c>
      <c r="B1482" t="str">
        <f>LEFT(Table1[[#This Row],[Input]],1)</f>
        <v>L</v>
      </c>
      <c r="C1482">
        <f>_xlfn.LET(_xlpm.steps,SUBSTITUTE(Table1[[#This Row],[Input]],Table1[[#This Row],[Direction]],""),VALUE(IF(LEN(_xlpm.steps)&gt;2,RIGHT(_xlpm.steps,2),_xlpm.steps)))</f>
        <v>32</v>
      </c>
      <c r="D1482">
        <f>_xlfn.LET(_xlpm.dir,Table1[[#This Row],[Direction]],
IF(_xlpm.dir="L",
    IF(F1481-Table1[[#This Row],[Steps]]&lt;0,100+(F1481-Table1[[#This Row],[Steps]]),F1481-Table1[[#This Row],[Steps]]),
))</f>
        <v>68</v>
      </c>
      <c r="E1482">
        <f>_xlfn.LET(_xlpm.dir,Table1[[#This Row],[Direction]],
IF(_xlpm.dir="R",
    IF(F1481+Table1[[#This Row],[Steps]]&gt;99,(F1481+Table1[[#This Row],[Steps]])-100,F1481+Table1[[#This Row],[Steps]]),
))</f>
        <v>0</v>
      </c>
      <c r="F1482">
        <f>IF(Table1[[#This Row],[New Pos L]]&lt;&gt;0,Table1[[#This Row],[New Pos L]],Table1[[#This Row],[New Pos R]])</f>
        <v>68</v>
      </c>
    </row>
    <row r="1483" spans="1:6" ht="16" x14ac:dyDescent="0.2">
      <c r="A1483" s="1" t="s">
        <v>73</v>
      </c>
      <c r="B1483" t="str">
        <f>LEFT(Table1[[#This Row],[Input]],1)</f>
        <v>R</v>
      </c>
      <c r="C1483">
        <f>_xlfn.LET(_xlpm.steps,SUBSTITUTE(Table1[[#This Row],[Input]],Table1[[#This Row],[Direction]],""),VALUE(IF(LEN(_xlpm.steps)&gt;2,RIGHT(_xlpm.steps,2),_xlpm.steps)))</f>
        <v>21</v>
      </c>
      <c r="D1483">
        <f>_xlfn.LET(_xlpm.dir,Table1[[#This Row],[Direction]],
IF(_xlpm.dir="L",
    IF(F1482-Table1[[#This Row],[Steps]]&lt;0,100+(F1482-Table1[[#This Row],[Steps]]),F1482-Table1[[#This Row],[Steps]]),
))</f>
        <v>0</v>
      </c>
      <c r="E1483">
        <f>_xlfn.LET(_xlpm.dir,Table1[[#This Row],[Direction]],
IF(_xlpm.dir="R",
    IF(F1482+Table1[[#This Row],[Steps]]&gt;99,(F1482+Table1[[#This Row],[Steps]])-100,F1482+Table1[[#This Row],[Steps]]),
))</f>
        <v>89</v>
      </c>
      <c r="F1483">
        <f>IF(Table1[[#This Row],[New Pos L]]&lt;&gt;0,Table1[[#This Row],[New Pos L]],Table1[[#This Row],[New Pos R]])</f>
        <v>89</v>
      </c>
    </row>
    <row r="1484" spans="1:6" ht="16" x14ac:dyDescent="0.2">
      <c r="A1484" s="1" t="s">
        <v>40</v>
      </c>
      <c r="B1484" t="str">
        <f>LEFT(Table1[[#This Row],[Input]],1)</f>
        <v>R</v>
      </c>
      <c r="C1484">
        <f>_xlfn.LET(_xlpm.steps,SUBSTITUTE(Table1[[#This Row],[Input]],Table1[[#This Row],[Direction]],""),VALUE(IF(LEN(_xlpm.steps)&gt;2,RIGHT(_xlpm.steps,2),_xlpm.steps)))</f>
        <v>52</v>
      </c>
      <c r="D1484">
        <f>_xlfn.LET(_xlpm.dir,Table1[[#This Row],[Direction]],
IF(_xlpm.dir="L",
    IF(F1483-Table1[[#This Row],[Steps]]&lt;0,100+(F1483-Table1[[#This Row],[Steps]]),F1483-Table1[[#This Row],[Steps]]),
))</f>
        <v>0</v>
      </c>
      <c r="E1484">
        <f>_xlfn.LET(_xlpm.dir,Table1[[#This Row],[Direction]],
IF(_xlpm.dir="R",
    IF(F1483+Table1[[#This Row],[Steps]]&gt;99,(F1483+Table1[[#This Row],[Steps]])-100,F1483+Table1[[#This Row],[Steps]]),
))</f>
        <v>41</v>
      </c>
      <c r="F1484">
        <f>IF(Table1[[#This Row],[New Pos L]]&lt;&gt;0,Table1[[#This Row],[New Pos L]],Table1[[#This Row],[New Pos R]])</f>
        <v>41</v>
      </c>
    </row>
    <row r="1485" spans="1:6" ht="16" x14ac:dyDescent="0.2">
      <c r="A1485" s="1" t="s">
        <v>330</v>
      </c>
      <c r="B1485" t="str">
        <f>LEFT(Table1[[#This Row],[Input]],1)</f>
        <v>L</v>
      </c>
      <c r="C1485">
        <f>_xlfn.LET(_xlpm.steps,SUBSTITUTE(Table1[[#This Row],[Input]],Table1[[#This Row],[Direction]],""),VALUE(IF(LEN(_xlpm.steps)&gt;2,RIGHT(_xlpm.steps,2),_xlpm.steps)))</f>
        <v>47</v>
      </c>
      <c r="D1485">
        <f>_xlfn.LET(_xlpm.dir,Table1[[#This Row],[Direction]],
IF(_xlpm.dir="L",
    IF(F1484-Table1[[#This Row],[Steps]]&lt;0,100+(F1484-Table1[[#This Row],[Steps]]),F1484-Table1[[#This Row],[Steps]]),
))</f>
        <v>94</v>
      </c>
      <c r="E1485">
        <f>_xlfn.LET(_xlpm.dir,Table1[[#This Row],[Direction]],
IF(_xlpm.dir="R",
    IF(F1484+Table1[[#This Row],[Steps]]&gt;99,(F1484+Table1[[#This Row],[Steps]])-100,F1484+Table1[[#This Row],[Steps]]),
))</f>
        <v>0</v>
      </c>
      <c r="F1485">
        <f>IF(Table1[[#This Row],[New Pos L]]&lt;&gt;0,Table1[[#This Row],[New Pos L]],Table1[[#This Row],[New Pos R]])</f>
        <v>94</v>
      </c>
    </row>
    <row r="1486" spans="1:6" ht="16" x14ac:dyDescent="0.2">
      <c r="A1486" s="1" t="s">
        <v>444</v>
      </c>
      <c r="B1486" t="str">
        <f>LEFT(Table1[[#This Row],[Input]],1)</f>
        <v>L</v>
      </c>
      <c r="C1486">
        <f>_xlfn.LET(_xlpm.steps,SUBSTITUTE(Table1[[#This Row],[Input]],Table1[[#This Row],[Direction]],""),VALUE(IF(LEN(_xlpm.steps)&gt;2,RIGHT(_xlpm.steps,2),_xlpm.steps)))</f>
        <v>94</v>
      </c>
      <c r="D1486">
        <f>_xlfn.LET(_xlpm.dir,Table1[[#This Row],[Direction]],
IF(_xlpm.dir="L",
    IF(F1485-Table1[[#This Row],[Steps]]&lt;0,100+(F1485-Table1[[#This Row],[Steps]]),F1485-Table1[[#This Row],[Steps]]),
))</f>
        <v>0</v>
      </c>
      <c r="E1486">
        <f>_xlfn.LET(_xlpm.dir,Table1[[#This Row],[Direction]],
IF(_xlpm.dir="R",
    IF(F1485+Table1[[#This Row],[Steps]]&gt;99,(F1485+Table1[[#This Row],[Steps]])-100,F1485+Table1[[#This Row],[Steps]]),
))</f>
        <v>0</v>
      </c>
      <c r="F1486">
        <f>IF(Table1[[#This Row],[New Pos L]]&lt;&gt;0,Table1[[#This Row],[New Pos L]],Table1[[#This Row],[New Pos R]])</f>
        <v>0</v>
      </c>
    </row>
    <row r="1487" spans="1:6" ht="16" x14ac:dyDescent="0.2">
      <c r="A1487" s="1" t="s">
        <v>69</v>
      </c>
      <c r="B1487" t="str">
        <f>LEFT(Table1[[#This Row],[Input]],1)</f>
        <v>R</v>
      </c>
      <c r="C1487">
        <f>_xlfn.LET(_xlpm.steps,SUBSTITUTE(Table1[[#This Row],[Input]],Table1[[#This Row],[Direction]],""),VALUE(IF(LEN(_xlpm.steps)&gt;2,RIGHT(_xlpm.steps,2),_xlpm.steps)))</f>
        <v>27</v>
      </c>
      <c r="D1487">
        <f>_xlfn.LET(_xlpm.dir,Table1[[#This Row],[Direction]],
IF(_xlpm.dir="L",
    IF(F1486-Table1[[#This Row],[Steps]]&lt;0,100+(F1486-Table1[[#This Row],[Steps]]),F1486-Table1[[#This Row],[Steps]]),
))</f>
        <v>0</v>
      </c>
      <c r="E1487">
        <f>_xlfn.LET(_xlpm.dir,Table1[[#This Row],[Direction]],
IF(_xlpm.dir="R",
    IF(F1486+Table1[[#This Row],[Steps]]&gt;99,(F1486+Table1[[#This Row],[Steps]])-100,F1486+Table1[[#This Row],[Steps]]),
))</f>
        <v>27</v>
      </c>
      <c r="F1487">
        <f>IF(Table1[[#This Row],[New Pos L]]&lt;&gt;0,Table1[[#This Row],[New Pos L]],Table1[[#This Row],[New Pos R]])</f>
        <v>27</v>
      </c>
    </row>
    <row r="1488" spans="1:6" ht="16" x14ac:dyDescent="0.2">
      <c r="A1488" s="1" t="s">
        <v>445</v>
      </c>
      <c r="B1488" t="str">
        <f>LEFT(Table1[[#This Row],[Input]],1)</f>
        <v>L</v>
      </c>
      <c r="C1488">
        <f>_xlfn.LET(_xlpm.steps,SUBSTITUTE(Table1[[#This Row],[Input]],Table1[[#This Row],[Direction]],""),VALUE(IF(LEN(_xlpm.steps)&gt;2,RIGHT(_xlpm.steps,2),_xlpm.steps)))</f>
        <v>21</v>
      </c>
      <c r="D1488">
        <f>_xlfn.LET(_xlpm.dir,Table1[[#This Row],[Direction]],
IF(_xlpm.dir="L",
    IF(F1487-Table1[[#This Row],[Steps]]&lt;0,100+(F1487-Table1[[#This Row],[Steps]]),F1487-Table1[[#This Row],[Steps]]),
))</f>
        <v>6</v>
      </c>
      <c r="E1488">
        <f>_xlfn.LET(_xlpm.dir,Table1[[#This Row],[Direction]],
IF(_xlpm.dir="R",
    IF(F1487+Table1[[#This Row],[Steps]]&gt;99,(F1487+Table1[[#This Row],[Steps]])-100,F1487+Table1[[#This Row],[Steps]]),
))</f>
        <v>0</v>
      </c>
      <c r="F1488">
        <f>IF(Table1[[#This Row],[New Pos L]]&lt;&gt;0,Table1[[#This Row],[New Pos L]],Table1[[#This Row],[New Pos R]])</f>
        <v>6</v>
      </c>
    </row>
    <row r="1489" spans="1:6" ht="16" x14ac:dyDescent="0.2">
      <c r="A1489" s="1" t="s">
        <v>179</v>
      </c>
      <c r="B1489" t="str">
        <f>LEFT(Table1[[#This Row],[Input]],1)</f>
        <v>L</v>
      </c>
      <c r="C1489">
        <f>_xlfn.LET(_xlpm.steps,SUBSTITUTE(Table1[[#This Row],[Input]],Table1[[#This Row],[Direction]],""),VALUE(IF(LEN(_xlpm.steps)&gt;2,RIGHT(_xlpm.steps,2),_xlpm.steps)))</f>
        <v>54</v>
      </c>
      <c r="D1489">
        <f>_xlfn.LET(_xlpm.dir,Table1[[#This Row],[Direction]],
IF(_xlpm.dir="L",
    IF(F1488-Table1[[#This Row],[Steps]]&lt;0,100+(F1488-Table1[[#This Row],[Steps]]),F1488-Table1[[#This Row],[Steps]]),
))</f>
        <v>52</v>
      </c>
      <c r="E1489">
        <f>_xlfn.LET(_xlpm.dir,Table1[[#This Row],[Direction]],
IF(_xlpm.dir="R",
    IF(F1488+Table1[[#This Row],[Steps]]&gt;99,(F1488+Table1[[#This Row],[Steps]])-100,F1488+Table1[[#This Row],[Steps]]),
))</f>
        <v>0</v>
      </c>
      <c r="F1489">
        <f>IF(Table1[[#This Row],[New Pos L]]&lt;&gt;0,Table1[[#This Row],[New Pos L]],Table1[[#This Row],[New Pos R]])</f>
        <v>52</v>
      </c>
    </row>
    <row r="1490" spans="1:6" ht="16" x14ac:dyDescent="0.2">
      <c r="A1490" s="1" t="s">
        <v>67</v>
      </c>
      <c r="B1490" t="str">
        <f>LEFT(Table1[[#This Row],[Input]],1)</f>
        <v>R</v>
      </c>
      <c r="C1490">
        <f>_xlfn.LET(_xlpm.steps,SUBSTITUTE(Table1[[#This Row],[Input]],Table1[[#This Row],[Direction]],""),VALUE(IF(LEN(_xlpm.steps)&gt;2,RIGHT(_xlpm.steps,2),_xlpm.steps)))</f>
        <v>33</v>
      </c>
      <c r="D1490">
        <f>_xlfn.LET(_xlpm.dir,Table1[[#This Row],[Direction]],
IF(_xlpm.dir="L",
    IF(F1489-Table1[[#This Row],[Steps]]&lt;0,100+(F1489-Table1[[#This Row],[Steps]]),F1489-Table1[[#This Row],[Steps]]),
))</f>
        <v>0</v>
      </c>
      <c r="E1490">
        <f>_xlfn.LET(_xlpm.dir,Table1[[#This Row],[Direction]],
IF(_xlpm.dir="R",
    IF(F1489+Table1[[#This Row],[Steps]]&gt;99,(F1489+Table1[[#This Row],[Steps]])-100,F1489+Table1[[#This Row],[Steps]]),
))</f>
        <v>85</v>
      </c>
      <c r="F1490">
        <f>IF(Table1[[#This Row],[New Pos L]]&lt;&gt;0,Table1[[#This Row],[New Pos L]],Table1[[#This Row],[New Pos R]])</f>
        <v>85</v>
      </c>
    </row>
    <row r="1491" spans="1:6" ht="16" x14ac:dyDescent="0.2">
      <c r="A1491" s="1" t="s">
        <v>446</v>
      </c>
      <c r="B1491" t="str">
        <f>LEFT(Table1[[#This Row],[Input]],1)</f>
        <v>R</v>
      </c>
      <c r="C1491">
        <f>_xlfn.LET(_xlpm.steps,SUBSTITUTE(Table1[[#This Row],[Input]],Table1[[#This Row],[Direction]],""),VALUE(IF(LEN(_xlpm.steps)&gt;2,RIGHT(_xlpm.steps,2),_xlpm.steps)))</f>
        <v>89</v>
      </c>
      <c r="D1491">
        <f>_xlfn.LET(_xlpm.dir,Table1[[#This Row],[Direction]],
IF(_xlpm.dir="L",
    IF(F1490-Table1[[#This Row],[Steps]]&lt;0,100+(F1490-Table1[[#This Row],[Steps]]),F1490-Table1[[#This Row],[Steps]]),
))</f>
        <v>0</v>
      </c>
      <c r="E1491">
        <f>_xlfn.LET(_xlpm.dir,Table1[[#This Row],[Direction]],
IF(_xlpm.dir="R",
    IF(F1490+Table1[[#This Row],[Steps]]&gt;99,(F1490+Table1[[#This Row],[Steps]])-100,F1490+Table1[[#This Row],[Steps]]),
))</f>
        <v>74</v>
      </c>
      <c r="F1491">
        <f>IF(Table1[[#This Row],[New Pos L]]&lt;&gt;0,Table1[[#This Row],[New Pos L]],Table1[[#This Row],[New Pos R]])</f>
        <v>74</v>
      </c>
    </row>
    <row r="1492" spans="1:6" ht="16" x14ac:dyDescent="0.2">
      <c r="A1492" s="1" t="s">
        <v>213</v>
      </c>
      <c r="B1492" t="str">
        <f>LEFT(Table1[[#This Row],[Input]],1)</f>
        <v>R</v>
      </c>
      <c r="C1492">
        <f>_xlfn.LET(_xlpm.steps,SUBSTITUTE(Table1[[#This Row],[Input]],Table1[[#This Row],[Direction]],""),VALUE(IF(LEN(_xlpm.steps)&gt;2,RIGHT(_xlpm.steps,2),_xlpm.steps)))</f>
        <v>87</v>
      </c>
      <c r="D1492">
        <f>_xlfn.LET(_xlpm.dir,Table1[[#This Row],[Direction]],
IF(_xlpm.dir="L",
    IF(F1491-Table1[[#This Row],[Steps]]&lt;0,100+(F1491-Table1[[#This Row],[Steps]]),F1491-Table1[[#This Row],[Steps]]),
))</f>
        <v>0</v>
      </c>
      <c r="E1492">
        <f>_xlfn.LET(_xlpm.dir,Table1[[#This Row],[Direction]],
IF(_xlpm.dir="R",
    IF(F1491+Table1[[#This Row],[Steps]]&gt;99,(F1491+Table1[[#This Row],[Steps]])-100,F1491+Table1[[#This Row],[Steps]]),
))</f>
        <v>61</v>
      </c>
      <c r="F1492">
        <f>IF(Table1[[#This Row],[New Pos L]]&lt;&gt;0,Table1[[#This Row],[New Pos L]],Table1[[#This Row],[New Pos R]])</f>
        <v>61</v>
      </c>
    </row>
    <row r="1493" spans="1:6" ht="16" x14ac:dyDescent="0.2">
      <c r="A1493" s="1" t="s">
        <v>256</v>
      </c>
      <c r="B1493" t="str">
        <f>LEFT(Table1[[#This Row],[Input]],1)</f>
        <v>R</v>
      </c>
      <c r="C1493">
        <f>_xlfn.LET(_xlpm.steps,SUBSTITUTE(Table1[[#This Row],[Input]],Table1[[#This Row],[Direction]],""),VALUE(IF(LEN(_xlpm.steps)&gt;2,RIGHT(_xlpm.steps,2),_xlpm.steps)))</f>
        <v>13</v>
      </c>
      <c r="D1493">
        <f>_xlfn.LET(_xlpm.dir,Table1[[#This Row],[Direction]],
IF(_xlpm.dir="L",
    IF(F1492-Table1[[#This Row],[Steps]]&lt;0,100+(F1492-Table1[[#This Row],[Steps]]),F1492-Table1[[#This Row],[Steps]]),
))</f>
        <v>0</v>
      </c>
      <c r="E1493">
        <f>_xlfn.LET(_xlpm.dir,Table1[[#This Row],[Direction]],
IF(_xlpm.dir="R",
    IF(F1492+Table1[[#This Row],[Steps]]&gt;99,(F1492+Table1[[#This Row],[Steps]])-100,F1492+Table1[[#This Row],[Steps]]),
))</f>
        <v>74</v>
      </c>
      <c r="F1493">
        <f>IF(Table1[[#This Row],[New Pos L]]&lt;&gt;0,Table1[[#This Row],[New Pos L]],Table1[[#This Row],[New Pos R]])</f>
        <v>74</v>
      </c>
    </row>
    <row r="1494" spans="1:6" ht="16" x14ac:dyDescent="0.2">
      <c r="A1494" s="1" t="s">
        <v>1</v>
      </c>
      <c r="B1494" t="str">
        <f>LEFT(Table1[[#This Row],[Input]],1)</f>
        <v>R</v>
      </c>
      <c r="C1494">
        <f>_xlfn.LET(_xlpm.steps,SUBSTITUTE(Table1[[#This Row],[Input]],Table1[[#This Row],[Direction]],""),VALUE(IF(LEN(_xlpm.steps)&gt;2,RIGHT(_xlpm.steps,2),_xlpm.steps)))</f>
        <v>26</v>
      </c>
      <c r="D1494">
        <f>_xlfn.LET(_xlpm.dir,Table1[[#This Row],[Direction]],
IF(_xlpm.dir="L",
    IF(F1493-Table1[[#This Row],[Steps]]&lt;0,100+(F1493-Table1[[#This Row],[Steps]]),F1493-Table1[[#This Row],[Steps]]),
))</f>
        <v>0</v>
      </c>
      <c r="E1494">
        <f>_xlfn.LET(_xlpm.dir,Table1[[#This Row],[Direction]],
IF(_xlpm.dir="R",
    IF(F1493+Table1[[#This Row],[Steps]]&gt;99,(F1493+Table1[[#This Row],[Steps]])-100,F1493+Table1[[#This Row],[Steps]]),
))</f>
        <v>0</v>
      </c>
      <c r="F1494">
        <f>IF(Table1[[#This Row],[New Pos L]]&lt;&gt;0,Table1[[#This Row],[New Pos L]],Table1[[#This Row],[New Pos R]])</f>
        <v>0</v>
      </c>
    </row>
    <row r="1495" spans="1:6" ht="16" x14ac:dyDescent="0.2">
      <c r="A1495" s="1" t="s">
        <v>364</v>
      </c>
      <c r="B1495" t="str">
        <f>LEFT(Table1[[#This Row],[Input]],1)</f>
        <v>L</v>
      </c>
      <c r="C1495">
        <f>_xlfn.LET(_xlpm.steps,SUBSTITUTE(Table1[[#This Row],[Input]],Table1[[#This Row],[Direction]],""),VALUE(IF(LEN(_xlpm.steps)&gt;2,RIGHT(_xlpm.steps,2),_xlpm.steps)))</f>
        <v>70</v>
      </c>
      <c r="D1495">
        <f>_xlfn.LET(_xlpm.dir,Table1[[#This Row],[Direction]],
IF(_xlpm.dir="L",
    IF(F1494-Table1[[#This Row],[Steps]]&lt;0,100+(F1494-Table1[[#This Row],[Steps]]),F1494-Table1[[#This Row],[Steps]]),
))</f>
        <v>30</v>
      </c>
      <c r="E1495">
        <f>_xlfn.LET(_xlpm.dir,Table1[[#This Row],[Direction]],
IF(_xlpm.dir="R",
    IF(F1494+Table1[[#This Row],[Steps]]&gt;99,(F1494+Table1[[#This Row],[Steps]])-100,F1494+Table1[[#This Row],[Steps]]),
))</f>
        <v>0</v>
      </c>
      <c r="F1495">
        <f>IF(Table1[[#This Row],[New Pos L]]&lt;&gt;0,Table1[[#This Row],[New Pos L]],Table1[[#This Row],[New Pos R]])</f>
        <v>30</v>
      </c>
    </row>
    <row r="1496" spans="1:6" ht="16" x14ac:dyDescent="0.2">
      <c r="A1496" s="1" t="s">
        <v>56</v>
      </c>
      <c r="B1496" t="str">
        <f>LEFT(Table1[[#This Row],[Input]],1)</f>
        <v>R</v>
      </c>
      <c r="C1496">
        <f>_xlfn.LET(_xlpm.steps,SUBSTITUTE(Table1[[#This Row],[Input]],Table1[[#This Row],[Direction]],""),VALUE(IF(LEN(_xlpm.steps)&gt;2,RIGHT(_xlpm.steps,2),_xlpm.steps)))</f>
        <v>42</v>
      </c>
      <c r="D1496">
        <f>_xlfn.LET(_xlpm.dir,Table1[[#This Row],[Direction]],
IF(_xlpm.dir="L",
    IF(F1495-Table1[[#This Row],[Steps]]&lt;0,100+(F1495-Table1[[#This Row],[Steps]]),F1495-Table1[[#This Row],[Steps]]),
))</f>
        <v>0</v>
      </c>
      <c r="E1496">
        <f>_xlfn.LET(_xlpm.dir,Table1[[#This Row],[Direction]],
IF(_xlpm.dir="R",
    IF(F1495+Table1[[#This Row],[Steps]]&gt;99,(F1495+Table1[[#This Row],[Steps]])-100,F1495+Table1[[#This Row],[Steps]]),
))</f>
        <v>72</v>
      </c>
      <c r="F1496">
        <f>IF(Table1[[#This Row],[New Pos L]]&lt;&gt;0,Table1[[#This Row],[New Pos L]],Table1[[#This Row],[New Pos R]])</f>
        <v>72</v>
      </c>
    </row>
    <row r="1497" spans="1:6" ht="16" x14ac:dyDescent="0.2">
      <c r="A1497" s="1" t="s">
        <v>447</v>
      </c>
      <c r="B1497" t="str">
        <f>LEFT(Table1[[#This Row],[Input]],1)</f>
        <v>R</v>
      </c>
      <c r="C1497">
        <f>_xlfn.LET(_xlpm.steps,SUBSTITUTE(Table1[[#This Row],[Input]],Table1[[#This Row],[Direction]],""),VALUE(IF(LEN(_xlpm.steps)&gt;2,RIGHT(_xlpm.steps,2),_xlpm.steps)))</f>
        <v>28</v>
      </c>
      <c r="D1497">
        <f>_xlfn.LET(_xlpm.dir,Table1[[#This Row],[Direction]],
IF(_xlpm.dir="L",
    IF(F1496-Table1[[#This Row],[Steps]]&lt;0,100+(F1496-Table1[[#This Row],[Steps]]),F1496-Table1[[#This Row],[Steps]]),
))</f>
        <v>0</v>
      </c>
      <c r="E1497">
        <f>_xlfn.LET(_xlpm.dir,Table1[[#This Row],[Direction]],
IF(_xlpm.dir="R",
    IF(F1496+Table1[[#This Row],[Steps]]&gt;99,(F1496+Table1[[#This Row],[Steps]])-100,F1496+Table1[[#This Row],[Steps]]),
))</f>
        <v>0</v>
      </c>
      <c r="F1497">
        <f>IF(Table1[[#This Row],[New Pos L]]&lt;&gt;0,Table1[[#This Row],[New Pos L]],Table1[[#This Row],[New Pos R]])</f>
        <v>0</v>
      </c>
    </row>
    <row r="1498" spans="1:6" ht="16" x14ac:dyDescent="0.2">
      <c r="A1498" s="1" t="s">
        <v>288</v>
      </c>
      <c r="B1498" t="str">
        <f>LEFT(Table1[[#This Row],[Input]],1)</f>
        <v>R</v>
      </c>
      <c r="C1498">
        <f>_xlfn.LET(_xlpm.steps,SUBSTITUTE(Table1[[#This Row],[Input]],Table1[[#This Row],[Direction]],""),VALUE(IF(LEN(_xlpm.steps)&gt;2,RIGHT(_xlpm.steps,2),_xlpm.steps)))</f>
        <v>25</v>
      </c>
      <c r="D1498">
        <f>_xlfn.LET(_xlpm.dir,Table1[[#This Row],[Direction]],
IF(_xlpm.dir="L",
    IF(F1497-Table1[[#This Row],[Steps]]&lt;0,100+(F1497-Table1[[#This Row],[Steps]]),F1497-Table1[[#This Row],[Steps]]),
))</f>
        <v>0</v>
      </c>
      <c r="E1498">
        <f>_xlfn.LET(_xlpm.dir,Table1[[#This Row],[Direction]],
IF(_xlpm.dir="R",
    IF(F1497+Table1[[#This Row],[Steps]]&gt;99,(F1497+Table1[[#This Row],[Steps]])-100,F1497+Table1[[#This Row],[Steps]]),
))</f>
        <v>25</v>
      </c>
      <c r="F1498">
        <f>IF(Table1[[#This Row],[New Pos L]]&lt;&gt;0,Table1[[#This Row],[New Pos L]],Table1[[#This Row],[New Pos R]])</f>
        <v>25</v>
      </c>
    </row>
    <row r="1499" spans="1:6" ht="16" x14ac:dyDescent="0.2">
      <c r="A1499" s="1" t="s">
        <v>51</v>
      </c>
      <c r="B1499" t="str">
        <f>LEFT(Table1[[#This Row],[Input]],1)</f>
        <v>L</v>
      </c>
      <c r="C1499">
        <f>_xlfn.LET(_xlpm.steps,SUBSTITUTE(Table1[[#This Row],[Input]],Table1[[#This Row],[Direction]],""),VALUE(IF(LEN(_xlpm.steps)&gt;2,RIGHT(_xlpm.steps,2),_xlpm.steps)))</f>
        <v>25</v>
      </c>
      <c r="D1499">
        <f>_xlfn.LET(_xlpm.dir,Table1[[#This Row],[Direction]],
IF(_xlpm.dir="L",
    IF(F1498-Table1[[#This Row],[Steps]]&lt;0,100+(F1498-Table1[[#This Row],[Steps]]),F1498-Table1[[#This Row],[Steps]]),
))</f>
        <v>0</v>
      </c>
      <c r="E1499">
        <f>_xlfn.LET(_xlpm.dir,Table1[[#This Row],[Direction]],
IF(_xlpm.dir="R",
    IF(F1498+Table1[[#This Row],[Steps]]&gt;99,(F1498+Table1[[#This Row],[Steps]])-100,F1498+Table1[[#This Row],[Steps]]),
))</f>
        <v>0</v>
      </c>
      <c r="F1499">
        <f>IF(Table1[[#This Row],[New Pos L]]&lt;&gt;0,Table1[[#This Row],[New Pos L]],Table1[[#This Row],[New Pos R]])</f>
        <v>0</v>
      </c>
    </row>
    <row r="1500" spans="1:6" ht="16" x14ac:dyDescent="0.2">
      <c r="A1500" s="1" t="s">
        <v>155</v>
      </c>
      <c r="B1500" t="str">
        <f>LEFT(Table1[[#This Row],[Input]],1)</f>
        <v>L</v>
      </c>
      <c r="C1500">
        <f>_xlfn.LET(_xlpm.steps,SUBSTITUTE(Table1[[#This Row],[Input]],Table1[[#This Row],[Direction]],""),VALUE(IF(LEN(_xlpm.steps)&gt;2,RIGHT(_xlpm.steps,2),_xlpm.steps)))</f>
        <v>18</v>
      </c>
      <c r="D1500">
        <f>_xlfn.LET(_xlpm.dir,Table1[[#This Row],[Direction]],
IF(_xlpm.dir="L",
    IF(F1499-Table1[[#This Row],[Steps]]&lt;0,100+(F1499-Table1[[#This Row],[Steps]]),F1499-Table1[[#This Row],[Steps]]),
))</f>
        <v>82</v>
      </c>
      <c r="E1500">
        <f>_xlfn.LET(_xlpm.dir,Table1[[#This Row],[Direction]],
IF(_xlpm.dir="R",
    IF(F1499+Table1[[#This Row],[Steps]]&gt;99,(F1499+Table1[[#This Row],[Steps]])-100,F1499+Table1[[#This Row],[Steps]]),
))</f>
        <v>0</v>
      </c>
      <c r="F1500">
        <f>IF(Table1[[#This Row],[New Pos L]]&lt;&gt;0,Table1[[#This Row],[New Pos L]],Table1[[#This Row],[New Pos R]])</f>
        <v>82</v>
      </c>
    </row>
    <row r="1501" spans="1:6" ht="16" x14ac:dyDescent="0.2">
      <c r="A1501" s="1" t="s">
        <v>58</v>
      </c>
      <c r="B1501" t="str">
        <f>LEFT(Table1[[#This Row],[Input]],1)</f>
        <v>L</v>
      </c>
      <c r="C1501">
        <f>_xlfn.LET(_xlpm.steps,SUBSTITUTE(Table1[[#This Row],[Input]],Table1[[#This Row],[Direction]],""),VALUE(IF(LEN(_xlpm.steps)&gt;2,RIGHT(_xlpm.steps,2),_xlpm.steps)))</f>
        <v>30</v>
      </c>
      <c r="D1501">
        <f>_xlfn.LET(_xlpm.dir,Table1[[#This Row],[Direction]],
IF(_xlpm.dir="L",
    IF(F1500-Table1[[#This Row],[Steps]]&lt;0,100+(F1500-Table1[[#This Row],[Steps]]),F1500-Table1[[#This Row],[Steps]]),
))</f>
        <v>52</v>
      </c>
      <c r="E1501">
        <f>_xlfn.LET(_xlpm.dir,Table1[[#This Row],[Direction]],
IF(_xlpm.dir="R",
    IF(F1500+Table1[[#This Row],[Steps]]&gt;99,(F1500+Table1[[#This Row],[Steps]])-100,F1500+Table1[[#This Row],[Steps]]),
))</f>
        <v>0</v>
      </c>
      <c r="F1501">
        <f>IF(Table1[[#This Row],[New Pos L]]&lt;&gt;0,Table1[[#This Row],[New Pos L]],Table1[[#This Row],[New Pos R]])</f>
        <v>52</v>
      </c>
    </row>
    <row r="1502" spans="1:6" ht="16" x14ac:dyDescent="0.2">
      <c r="A1502" s="1" t="s">
        <v>45</v>
      </c>
      <c r="B1502" t="str">
        <f>LEFT(Table1[[#This Row],[Input]],1)</f>
        <v>L</v>
      </c>
      <c r="C1502">
        <f>_xlfn.LET(_xlpm.steps,SUBSTITUTE(Table1[[#This Row],[Input]],Table1[[#This Row],[Direction]],""),VALUE(IF(LEN(_xlpm.steps)&gt;2,RIGHT(_xlpm.steps,2),_xlpm.steps)))</f>
        <v>96</v>
      </c>
      <c r="D1502">
        <f>_xlfn.LET(_xlpm.dir,Table1[[#This Row],[Direction]],
IF(_xlpm.dir="L",
    IF(F1501-Table1[[#This Row],[Steps]]&lt;0,100+(F1501-Table1[[#This Row],[Steps]]),F1501-Table1[[#This Row],[Steps]]),
))</f>
        <v>56</v>
      </c>
      <c r="E1502">
        <f>_xlfn.LET(_xlpm.dir,Table1[[#This Row],[Direction]],
IF(_xlpm.dir="R",
    IF(F1501+Table1[[#This Row],[Steps]]&gt;99,(F1501+Table1[[#This Row],[Steps]])-100,F1501+Table1[[#This Row],[Steps]]),
))</f>
        <v>0</v>
      </c>
      <c r="F1502">
        <f>IF(Table1[[#This Row],[New Pos L]]&lt;&gt;0,Table1[[#This Row],[New Pos L]],Table1[[#This Row],[New Pos R]])</f>
        <v>56</v>
      </c>
    </row>
    <row r="1503" spans="1:6" ht="16" x14ac:dyDescent="0.2">
      <c r="A1503" s="1" t="s">
        <v>74</v>
      </c>
      <c r="B1503" t="str">
        <f>LEFT(Table1[[#This Row],[Input]],1)</f>
        <v>R</v>
      </c>
      <c r="C1503">
        <f>_xlfn.LET(_xlpm.steps,SUBSTITUTE(Table1[[#This Row],[Input]],Table1[[#This Row],[Direction]],""),VALUE(IF(LEN(_xlpm.steps)&gt;2,RIGHT(_xlpm.steps,2),_xlpm.steps)))</f>
        <v>93</v>
      </c>
      <c r="D1503">
        <f>_xlfn.LET(_xlpm.dir,Table1[[#This Row],[Direction]],
IF(_xlpm.dir="L",
    IF(F1502-Table1[[#This Row],[Steps]]&lt;0,100+(F1502-Table1[[#This Row],[Steps]]),F1502-Table1[[#This Row],[Steps]]),
))</f>
        <v>0</v>
      </c>
      <c r="E1503">
        <f>_xlfn.LET(_xlpm.dir,Table1[[#This Row],[Direction]],
IF(_xlpm.dir="R",
    IF(F1502+Table1[[#This Row],[Steps]]&gt;99,(F1502+Table1[[#This Row],[Steps]])-100,F1502+Table1[[#This Row],[Steps]]),
))</f>
        <v>49</v>
      </c>
      <c r="F1503">
        <f>IF(Table1[[#This Row],[New Pos L]]&lt;&gt;0,Table1[[#This Row],[New Pos L]],Table1[[#This Row],[New Pos R]])</f>
        <v>49</v>
      </c>
    </row>
    <row r="1504" spans="1:6" ht="16" x14ac:dyDescent="0.2">
      <c r="A1504" s="1" t="s">
        <v>194</v>
      </c>
      <c r="B1504" t="str">
        <f>LEFT(Table1[[#This Row],[Input]],1)</f>
        <v>R</v>
      </c>
      <c r="C1504">
        <f>_xlfn.LET(_xlpm.steps,SUBSTITUTE(Table1[[#This Row],[Input]],Table1[[#This Row],[Direction]],""),VALUE(IF(LEN(_xlpm.steps)&gt;2,RIGHT(_xlpm.steps,2),_xlpm.steps)))</f>
        <v>51</v>
      </c>
      <c r="D1504">
        <f>_xlfn.LET(_xlpm.dir,Table1[[#This Row],[Direction]],
IF(_xlpm.dir="L",
    IF(F1503-Table1[[#This Row],[Steps]]&lt;0,100+(F1503-Table1[[#This Row],[Steps]]),F1503-Table1[[#This Row],[Steps]]),
))</f>
        <v>0</v>
      </c>
      <c r="E1504">
        <f>_xlfn.LET(_xlpm.dir,Table1[[#This Row],[Direction]],
IF(_xlpm.dir="R",
    IF(F1503+Table1[[#This Row],[Steps]]&gt;99,(F1503+Table1[[#This Row],[Steps]])-100,F1503+Table1[[#This Row],[Steps]]),
))</f>
        <v>0</v>
      </c>
      <c r="F1504">
        <f>IF(Table1[[#This Row],[New Pos L]]&lt;&gt;0,Table1[[#This Row],[New Pos L]],Table1[[#This Row],[New Pos R]])</f>
        <v>0</v>
      </c>
    </row>
    <row r="1505" spans="1:6" ht="16" x14ac:dyDescent="0.2">
      <c r="A1505" s="1" t="s">
        <v>57</v>
      </c>
      <c r="B1505" t="str">
        <f>LEFT(Table1[[#This Row],[Input]],1)</f>
        <v>R</v>
      </c>
      <c r="C1505">
        <f>_xlfn.LET(_xlpm.steps,SUBSTITUTE(Table1[[#This Row],[Input]],Table1[[#This Row],[Direction]],""),VALUE(IF(LEN(_xlpm.steps)&gt;2,RIGHT(_xlpm.steps,2),_xlpm.steps)))</f>
        <v>29</v>
      </c>
      <c r="D1505">
        <f>_xlfn.LET(_xlpm.dir,Table1[[#This Row],[Direction]],
IF(_xlpm.dir="L",
    IF(F1504-Table1[[#This Row],[Steps]]&lt;0,100+(F1504-Table1[[#This Row],[Steps]]),F1504-Table1[[#This Row],[Steps]]),
))</f>
        <v>0</v>
      </c>
      <c r="E1505">
        <f>_xlfn.LET(_xlpm.dir,Table1[[#This Row],[Direction]],
IF(_xlpm.dir="R",
    IF(F1504+Table1[[#This Row],[Steps]]&gt;99,(F1504+Table1[[#This Row],[Steps]])-100,F1504+Table1[[#This Row],[Steps]]),
))</f>
        <v>29</v>
      </c>
      <c r="F1505">
        <f>IF(Table1[[#This Row],[New Pos L]]&lt;&gt;0,Table1[[#This Row],[New Pos L]],Table1[[#This Row],[New Pos R]])</f>
        <v>29</v>
      </c>
    </row>
    <row r="1506" spans="1:6" ht="16" x14ac:dyDescent="0.2">
      <c r="A1506" s="1" t="s">
        <v>88</v>
      </c>
      <c r="B1506" t="str">
        <f>LEFT(Table1[[#This Row],[Input]],1)</f>
        <v>R</v>
      </c>
      <c r="C1506">
        <f>_xlfn.LET(_xlpm.steps,SUBSTITUTE(Table1[[#This Row],[Input]],Table1[[#This Row],[Direction]],""),VALUE(IF(LEN(_xlpm.steps)&gt;2,RIGHT(_xlpm.steps,2),_xlpm.steps)))</f>
        <v>53</v>
      </c>
      <c r="D1506">
        <f>_xlfn.LET(_xlpm.dir,Table1[[#This Row],[Direction]],
IF(_xlpm.dir="L",
    IF(F1505-Table1[[#This Row],[Steps]]&lt;0,100+(F1505-Table1[[#This Row],[Steps]]),F1505-Table1[[#This Row],[Steps]]),
))</f>
        <v>0</v>
      </c>
      <c r="E1506">
        <f>_xlfn.LET(_xlpm.dir,Table1[[#This Row],[Direction]],
IF(_xlpm.dir="R",
    IF(F1505+Table1[[#This Row],[Steps]]&gt;99,(F1505+Table1[[#This Row],[Steps]])-100,F1505+Table1[[#This Row],[Steps]]),
))</f>
        <v>82</v>
      </c>
      <c r="F1506">
        <f>IF(Table1[[#This Row],[New Pos L]]&lt;&gt;0,Table1[[#This Row],[New Pos L]],Table1[[#This Row],[New Pos R]])</f>
        <v>82</v>
      </c>
    </row>
    <row r="1507" spans="1:6" ht="16" x14ac:dyDescent="0.2">
      <c r="A1507" s="1" t="s">
        <v>55</v>
      </c>
      <c r="B1507" t="str">
        <f>LEFT(Table1[[#This Row],[Input]],1)</f>
        <v>L</v>
      </c>
      <c r="C1507">
        <f>_xlfn.LET(_xlpm.steps,SUBSTITUTE(Table1[[#This Row],[Input]],Table1[[#This Row],[Direction]],""),VALUE(IF(LEN(_xlpm.steps)&gt;2,RIGHT(_xlpm.steps,2),_xlpm.steps)))</f>
        <v>82</v>
      </c>
      <c r="D1507">
        <f>_xlfn.LET(_xlpm.dir,Table1[[#This Row],[Direction]],
IF(_xlpm.dir="L",
    IF(F1506-Table1[[#This Row],[Steps]]&lt;0,100+(F1506-Table1[[#This Row],[Steps]]),F1506-Table1[[#This Row],[Steps]]),
))</f>
        <v>0</v>
      </c>
      <c r="E1507">
        <f>_xlfn.LET(_xlpm.dir,Table1[[#This Row],[Direction]],
IF(_xlpm.dir="R",
    IF(F1506+Table1[[#This Row],[Steps]]&gt;99,(F1506+Table1[[#This Row],[Steps]])-100,F1506+Table1[[#This Row],[Steps]]),
))</f>
        <v>0</v>
      </c>
      <c r="F1507">
        <f>IF(Table1[[#This Row],[New Pos L]]&lt;&gt;0,Table1[[#This Row],[New Pos L]],Table1[[#This Row],[New Pos R]])</f>
        <v>0</v>
      </c>
    </row>
    <row r="1508" spans="1:6" ht="16" x14ac:dyDescent="0.2">
      <c r="A1508" s="1" t="s">
        <v>187</v>
      </c>
      <c r="B1508" t="str">
        <f>LEFT(Table1[[#This Row],[Input]],1)</f>
        <v>R</v>
      </c>
      <c r="C1508">
        <f>_xlfn.LET(_xlpm.steps,SUBSTITUTE(Table1[[#This Row],[Input]],Table1[[#This Row],[Direction]],""),VALUE(IF(LEN(_xlpm.steps)&gt;2,RIGHT(_xlpm.steps,2),_xlpm.steps)))</f>
        <v>20</v>
      </c>
      <c r="D1508">
        <f>_xlfn.LET(_xlpm.dir,Table1[[#This Row],[Direction]],
IF(_xlpm.dir="L",
    IF(F1507-Table1[[#This Row],[Steps]]&lt;0,100+(F1507-Table1[[#This Row],[Steps]]),F1507-Table1[[#This Row],[Steps]]),
))</f>
        <v>0</v>
      </c>
      <c r="E1508">
        <f>_xlfn.LET(_xlpm.dir,Table1[[#This Row],[Direction]],
IF(_xlpm.dir="R",
    IF(F1507+Table1[[#This Row],[Steps]]&gt;99,(F1507+Table1[[#This Row],[Steps]])-100,F1507+Table1[[#This Row],[Steps]]),
))</f>
        <v>20</v>
      </c>
      <c r="F1508">
        <f>IF(Table1[[#This Row],[New Pos L]]&lt;&gt;0,Table1[[#This Row],[New Pos L]],Table1[[#This Row],[New Pos R]])</f>
        <v>20</v>
      </c>
    </row>
    <row r="1509" spans="1:6" ht="16" x14ac:dyDescent="0.2">
      <c r="A1509" s="1" t="s">
        <v>293</v>
      </c>
      <c r="B1509" t="str">
        <f>LEFT(Table1[[#This Row],[Input]],1)</f>
        <v>R</v>
      </c>
      <c r="C1509">
        <f>_xlfn.LET(_xlpm.steps,SUBSTITUTE(Table1[[#This Row],[Input]],Table1[[#This Row],[Direction]],""),VALUE(IF(LEN(_xlpm.steps)&gt;2,RIGHT(_xlpm.steps,2),_xlpm.steps)))</f>
        <v>67</v>
      </c>
      <c r="D1509">
        <f>_xlfn.LET(_xlpm.dir,Table1[[#This Row],[Direction]],
IF(_xlpm.dir="L",
    IF(F1508-Table1[[#This Row],[Steps]]&lt;0,100+(F1508-Table1[[#This Row],[Steps]]),F1508-Table1[[#This Row],[Steps]]),
))</f>
        <v>0</v>
      </c>
      <c r="E1509">
        <f>_xlfn.LET(_xlpm.dir,Table1[[#This Row],[Direction]],
IF(_xlpm.dir="R",
    IF(F1508+Table1[[#This Row],[Steps]]&gt;99,(F1508+Table1[[#This Row],[Steps]])-100,F1508+Table1[[#This Row],[Steps]]),
))</f>
        <v>87</v>
      </c>
      <c r="F1509">
        <f>IF(Table1[[#This Row],[New Pos L]]&lt;&gt;0,Table1[[#This Row],[New Pos L]],Table1[[#This Row],[New Pos R]])</f>
        <v>87</v>
      </c>
    </row>
    <row r="1510" spans="1:6" ht="16" x14ac:dyDescent="0.2">
      <c r="A1510" s="1" t="s">
        <v>448</v>
      </c>
      <c r="B1510" t="str">
        <f>LEFT(Table1[[#This Row],[Input]],1)</f>
        <v>L</v>
      </c>
      <c r="C1510">
        <f>_xlfn.LET(_xlpm.steps,SUBSTITUTE(Table1[[#This Row],[Input]],Table1[[#This Row],[Direction]],""),VALUE(IF(LEN(_xlpm.steps)&gt;2,RIGHT(_xlpm.steps,2),_xlpm.steps)))</f>
        <v>87</v>
      </c>
      <c r="D1510">
        <f>_xlfn.LET(_xlpm.dir,Table1[[#This Row],[Direction]],
IF(_xlpm.dir="L",
    IF(F1509-Table1[[#This Row],[Steps]]&lt;0,100+(F1509-Table1[[#This Row],[Steps]]),F1509-Table1[[#This Row],[Steps]]),
))</f>
        <v>0</v>
      </c>
      <c r="E1510">
        <f>_xlfn.LET(_xlpm.dir,Table1[[#This Row],[Direction]],
IF(_xlpm.dir="R",
    IF(F1509+Table1[[#This Row],[Steps]]&gt;99,(F1509+Table1[[#This Row],[Steps]])-100,F1509+Table1[[#This Row],[Steps]]),
))</f>
        <v>0</v>
      </c>
      <c r="F1510">
        <f>IF(Table1[[#This Row],[New Pos L]]&lt;&gt;0,Table1[[#This Row],[New Pos L]],Table1[[#This Row],[New Pos R]])</f>
        <v>0</v>
      </c>
    </row>
    <row r="1511" spans="1:6" ht="16" x14ac:dyDescent="0.2">
      <c r="A1511" s="1" t="s">
        <v>47</v>
      </c>
      <c r="B1511" t="str">
        <f>LEFT(Table1[[#This Row],[Input]],1)</f>
        <v>R</v>
      </c>
      <c r="C1511">
        <f>_xlfn.LET(_xlpm.steps,SUBSTITUTE(Table1[[#This Row],[Input]],Table1[[#This Row],[Direction]],""),VALUE(IF(LEN(_xlpm.steps)&gt;2,RIGHT(_xlpm.steps,2),_xlpm.steps)))</f>
        <v>97</v>
      </c>
      <c r="D1511">
        <f>_xlfn.LET(_xlpm.dir,Table1[[#This Row],[Direction]],
IF(_xlpm.dir="L",
    IF(F1510-Table1[[#This Row],[Steps]]&lt;0,100+(F1510-Table1[[#This Row],[Steps]]),F1510-Table1[[#This Row],[Steps]]),
))</f>
        <v>0</v>
      </c>
      <c r="E1511">
        <f>_xlfn.LET(_xlpm.dir,Table1[[#This Row],[Direction]],
IF(_xlpm.dir="R",
    IF(F1510+Table1[[#This Row],[Steps]]&gt;99,(F1510+Table1[[#This Row],[Steps]])-100,F1510+Table1[[#This Row],[Steps]]),
))</f>
        <v>97</v>
      </c>
      <c r="F1511">
        <f>IF(Table1[[#This Row],[New Pos L]]&lt;&gt;0,Table1[[#This Row],[New Pos L]],Table1[[#This Row],[New Pos R]])</f>
        <v>97</v>
      </c>
    </row>
    <row r="1512" spans="1:6" ht="16" x14ac:dyDescent="0.2">
      <c r="A1512" s="1" t="s">
        <v>22</v>
      </c>
      <c r="B1512" t="str">
        <f>LEFT(Table1[[#This Row],[Input]],1)</f>
        <v>L</v>
      </c>
      <c r="C1512">
        <f>_xlfn.LET(_xlpm.steps,SUBSTITUTE(Table1[[#This Row],[Input]],Table1[[#This Row],[Direction]],""),VALUE(IF(LEN(_xlpm.steps)&gt;2,RIGHT(_xlpm.steps,2),_xlpm.steps)))</f>
        <v>37</v>
      </c>
      <c r="D1512">
        <f>_xlfn.LET(_xlpm.dir,Table1[[#This Row],[Direction]],
IF(_xlpm.dir="L",
    IF(F1511-Table1[[#This Row],[Steps]]&lt;0,100+(F1511-Table1[[#This Row],[Steps]]),F1511-Table1[[#This Row],[Steps]]),
))</f>
        <v>60</v>
      </c>
      <c r="E1512">
        <f>_xlfn.LET(_xlpm.dir,Table1[[#This Row],[Direction]],
IF(_xlpm.dir="R",
    IF(F1511+Table1[[#This Row],[Steps]]&gt;99,(F1511+Table1[[#This Row],[Steps]])-100,F1511+Table1[[#This Row],[Steps]]),
))</f>
        <v>0</v>
      </c>
      <c r="F1512">
        <f>IF(Table1[[#This Row],[New Pos L]]&lt;&gt;0,Table1[[#This Row],[New Pos L]],Table1[[#This Row],[New Pos R]])</f>
        <v>60</v>
      </c>
    </row>
    <row r="1513" spans="1:6" ht="16" x14ac:dyDescent="0.2">
      <c r="A1513" s="1" t="s">
        <v>276</v>
      </c>
      <c r="B1513" t="str">
        <f>LEFT(Table1[[#This Row],[Input]],1)</f>
        <v>L</v>
      </c>
      <c r="C1513">
        <f>_xlfn.LET(_xlpm.steps,SUBSTITUTE(Table1[[#This Row],[Input]],Table1[[#This Row],[Direction]],""),VALUE(IF(LEN(_xlpm.steps)&gt;2,RIGHT(_xlpm.steps,2),_xlpm.steps)))</f>
        <v>60</v>
      </c>
      <c r="D1513">
        <f>_xlfn.LET(_xlpm.dir,Table1[[#This Row],[Direction]],
IF(_xlpm.dir="L",
    IF(F1512-Table1[[#This Row],[Steps]]&lt;0,100+(F1512-Table1[[#This Row],[Steps]]),F1512-Table1[[#This Row],[Steps]]),
))</f>
        <v>0</v>
      </c>
      <c r="E1513">
        <f>_xlfn.LET(_xlpm.dir,Table1[[#This Row],[Direction]],
IF(_xlpm.dir="R",
    IF(F1512+Table1[[#This Row],[Steps]]&gt;99,(F1512+Table1[[#This Row],[Steps]])-100,F1512+Table1[[#This Row],[Steps]]),
))</f>
        <v>0</v>
      </c>
      <c r="F1513">
        <f>IF(Table1[[#This Row],[New Pos L]]&lt;&gt;0,Table1[[#This Row],[New Pos L]],Table1[[#This Row],[New Pos R]])</f>
        <v>0</v>
      </c>
    </row>
    <row r="1514" spans="1:6" ht="16" x14ac:dyDescent="0.2">
      <c r="A1514" s="1" t="s">
        <v>120</v>
      </c>
      <c r="B1514" t="str">
        <f>LEFT(Table1[[#This Row],[Input]],1)</f>
        <v>L</v>
      </c>
      <c r="C1514">
        <f>_xlfn.LET(_xlpm.steps,SUBSTITUTE(Table1[[#This Row],[Input]],Table1[[#This Row],[Direction]],""),VALUE(IF(LEN(_xlpm.steps)&gt;2,RIGHT(_xlpm.steps,2),_xlpm.steps)))</f>
        <v>23</v>
      </c>
      <c r="D1514">
        <f>_xlfn.LET(_xlpm.dir,Table1[[#This Row],[Direction]],
IF(_xlpm.dir="L",
    IF(F1513-Table1[[#This Row],[Steps]]&lt;0,100+(F1513-Table1[[#This Row],[Steps]]),F1513-Table1[[#This Row],[Steps]]),
))</f>
        <v>77</v>
      </c>
      <c r="E1514">
        <f>_xlfn.LET(_xlpm.dir,Table1[[#This Row],[Direction]],
IF(_xlpm.dir="R",
    IF(F1513+Table1[[#This Row],[Steps]]&gt;99,(F1513+Table1[[#This Row],[Steps]])-100,F1513+Table1[[#This Row],[Steps]]),
))</f>
        <v>0</v>
      </c>
      <c r="F1514">
        <f>IF(Table1[[#This Row],[New Pos L]]&lt;&gt;0,Table1[[#This Row],[New Pos L]],Table1[[#This Row],[New Pos R]])</f>
        <v>77</v>
      </c>
    </row>
    <row r="1515" spans="1:6" ht="16" x14ac:dyDescent="0.2">
      <c r="A1515" s="1" t="s">
        <v>163</v>
      </c>
      <c r="B1515" t="str">
        <f>LEFT(Table1[[#This Row],[Input]],1)</f>
        <v>R</v>
      </c>
      <c r="C1515">
        <f>_xlfn.LET(_xlpm.steps,SUBSTITUTE(Table1[[#This Row],[Input]],Table1[[#This Row],[Direction]],""),VALUE(IF(LEN(_xlpm.steps)&gt;2,RIGHT(_xlpm.steps,2),_xlpm.steps)))</f>
        <v>53</v>
      </c>
      <c r="D1515">
        <f>_xlfn.LET(_xlpm.dir,Table1[[#This Row],[Direction]],
IF(_xlpm.dir="L",
    IF(F1514-Table1[[#This Row],[Steps]]&lt;0,100+(F1514-Table1[[#This Row],[Steps]]),F1514-Table1[[#This Row],[Steps]]),
))</f>
        <v>0</v>
      </c>
      <c r="E1515">
        <f>_xlfn.LET(_xlpm.dir,Table1[[#This Row],[Direction]],
IF(_xlpm.dir="R",
    IF(F1514+Table1[[#This Row],[Steps]]&gt;99,(F1514+Table1[[#This Row],[Steps]])-100,F1514+Table1[[#This Row],[Steps]]),
))</f>
        <v>30</v>
      </c>
      <c r="F1515">
        <f>IF(Table1[[#This Row],[New Pos L]]&lt;&gt;0,Table1[[#This Row],[New Pos L]],Table1[[#This Row],[New Pos R]])</f>
        <v>30</v>
      </c>
    </row>
    <row r="1516" spans="1:6" ht="16" x14ac:dyDescent="0.2">
      <c r="A1516" s="1" t="s">
        <v>209</v>
      </c>
      <c r="B1516" t="str">
        <f>LEFT(Table1[[#This Row],[Input]],1)</f>
        <v>L</v>
      </c>
      <c r="C1516">
        <f>_xlfn.LET(_xlpm.steps,SUBSTITUTE(Table1[[#This Row],[Input]],Table1[[#This Row],[Direction]],""),VALUE(IF(LEN(_xlpm.steps)&gt;2,RIGHT(_xlpm.steps,2),_xlpm.steps)))</f>
        <v>86</v>
      </c>
      <c r="D1516">
        <f>_xlfn.LET(_xlpm.dir,Table1[[#This Row],[Direction]],
IF(_xlpm.dir="L",
    IF(F1515-Table1[[#This Row],[Steps]]&lt;0,100+(F1515-Table1[[#This Row],[Steps]]),F1515-Table1[[#This Row],[Steps]]),
))</f>
        <v>44</v>
      </c>
      <c r="E1516">
        <f>_xlfn.LET(_xlpm.dir,Table1[[#This Row],[Direction]],
IF(_xlpm.dir="R",
    IF(F1515+Table1[[#This Row],[Steps]]&gt;99,(F1515+Table1[[#This Row],[Steps]])-100,F1515+Table1[[#This Row],[Steps]]),
))</f>
        <v>0</v>
      </c>
      <c r="F1516">
        <f>IF(Table1[[#This Row],[New Pos L]]&lt;&gt;0,Table1[[#This Row],[New Pos L]],Table1[[#This Row],[New Pos R]])</f>
        <v>44</v>
      </c>
    </row>
    <row r="1517" spans="1:6" ht="16" x14ac:dyDescent="0.2">
      <c r="A1517" s="1" t="s">
        <v>449</v>
      </c>
      <c r="B1517" t="str">
        <f>LEFT(Table1[[#This Row],[Input]],1)</f>
        <v>L</v>
      </c>
      <c r="C1517">
        <f>_xlfn.LET(_xlpm.steps,SUBSTITUTE(Table1[[#This Row],[Input]],Table1[[#This Row],[Direction]],""),VALUE(IF(LEN(_xlpm.steps)&gt;2,RIGHT(_xlpm.steps,2),_xlpm.steps)))</f>
        <v>3</v>
      </c>
      <c r="D1517">
        <f>_xlfn.LET(_xlpm.dir,Table1[[#This Row],[Direction]],
IF(_xlpm.dir="L",
    IF(F1516-Table1[[#This Row],[Steps]]&lt;0,100+(F1516-Table1[[#This Row],[Steps]]),F1516-Table1[[#This Row],[Steps]]),
))</f>
        <v>41</v>
      </c>
      <c r="E1517">
        <f>_xlfn.LET(_xlpm.dir,Table1[[#This Row],[Direction]],
IF(_xlpm.dir="R",
    IF(F1516+Table1[[#This Row],[Steps]]&gt;99,(F1516+Table1[[#This Row],[Steps]])-100,F1516+Table1[[#This Row],[Steps]]),
))</f>
        <v>0</v>
      </c>
      <c r="F1517">
        <f>IF(Table1[[#This Row],[New Pos L]]&lt;&gt;0,Table1[[#This Row],[New Pos L]],Table1[[#This Row],[New Pos R]])</f>
        <v>41</v>
      </c>
    </row>
    <row r="1518" spans="1:6" ht="16" x14ac:dyDescent="0.2">
      <c r="A1518" s="1" t="s">
        <v>450</v>
      </c>
      <c r="B1518" t="str">
        <f>LEFT(Table1[[#This Row],[Input]],1)</f>
        <v>R</v>
      </c>
      <c r="C1518">
        <f>_xlfn.LET(_xlpm.steps,SUBSTITUTE(Table1[[#This Row],[Input]],Table1[[#This Row],[Direction]],""),VALUE(IF(LEN(_xlpm.steps)&gt;2,RIGHT(_xlpm.steps,2),_xlpm.steps)))</f>
        <v>59</v>
      </c>
      <c r="D1518">
        <f>_xlfn.LET(_xlpm.dir,Table1[[#This Row],[Direction]],
IF(_xlpm.dir="L",
    IF(F1517-Table1[[#This Row],[Steps]]&lt;0,100+(F1517-Table1[[#This Row],[Steps]]),F1517-Table1[[#This Row],[Steps]]),
))</f>
        <v>0</v>
      </c>
      <c r="E1518">
        <f>_xlfn.LET(_xlpm.dir,Table1[[#This Row],[Direction]],
IF(_xlpm.dir="R",
    IF(F1517+Table1[[#This Row],[Steps]]&gt;99,(F1517+Table1[[#This Row],[Steps]])-100,F1517+Table1[[#This Row],[Steps]]),
))</f>
        <v>0</v>
      </c>
      <c r="F1518">
        <f>IF(Table1[[#This Row],[New Pos L]]&lt;&gt;0,Table1[[#This Row],[New Pos L]],Table1[[#This Row],[New Pos R]])</f>
        <v>0</v>
      </c>
    </row>
    <row r="1519" spans="1:6" ht="16" x14ac:dyDescent="0.2">
      <c r="A1519" s="1" t="s">
        <v>49</v>
      </c>
      <c r="B1519" t="str">
        <f>LEFT(Table1[[#This Row],[Input]],1)</f>
        <v>L</v>
      </c>
      <c r="C1519">
        <f>_xlfn.LET(_xlpm.steps,SUBSTITUTE(Table1[[#This Row],[Input]],Table1[[#This Row],[Direction]],""),VALUE(IF(LEN(_xlpm.steps)&gt;2,RIGHT(_xlpm.steps,2),_xlpm.steps)))</f>
        <v>93</v>
      </c>
      <c r="D1519">
        <f>_xlfn.LET(_xlpm.dir,Table1[[#This Row],[Direction]],
IF(_xlpm.dir="L",
    IF(F1518-Table1[[#This Row],[Steps]]&lt;0,100+(F1518-Table1[[#This Row],[Steps]]),F1518-Table1[[#This Row],[Steps]]),
))</f>
        <v>7</v>
      </c>
      <c r="E1519">
        <f>_xlfn.LET(_xlpm.dir,Table1[[#This Row],[Direction]],
IF(_xlpm.dir="R",
    IF(F1518+Table1[[#This Row],[Steps]]&gt;99,(F1518+Table1[[#This Row],[Steps]])-100,F1518+Table1[[#This Row],[Steps]]),
))</f>
        <v>0</v>
      </c>
      <c r="F1519">
        <f>IF(Table1[[#This Row],[New Pos L]]&lt;&gt;0,Table1[[#This Row],[New Pos L]],Table1[[#This Row],[New Pos R]])</f>
        <v>7</v>
      </c>
    </row>
    <row r="1520" spans="1:6" ht="16" x14ac:dyDescent="0.2">
      <c r="A1520" s="1" t="s">
        <v>74</v>
      </c>
      <c r="B1520" t="str">
        <f>LEFT(Table1[[#This Row],[Input]],1)</f>
        <v>R</v>
      </c>
      <c r="C1520">
        <f>_xlfn.LET(_xlpm.steps,SUBSTITUTE(Table1[[#This Row],[Input]],Table1[[#This Row],[Direction]],""),VALUE(IF(LEN(_xlpm.steps)&gt;2,RIGHT(_xlpm.steps,2),_xlpm.steps)))</f>
        <v>93</v>
      </c>
      <c r="D1520">
        <f>_xlfn.LET(_xlpm.dir,Table1[[#This Row],[Direction]],
IF(_xlpm.dir="L",
    IF(F1519-Table1[[#This Row],[Steps]]&lt;0,100+(F1519-Table1[[#This Row],[Steps]]),F1519-Table1[[#This Row],[Steps]]),
))</f>
        <v>0</v>
      </c>
      <c r="E1520">
        <f>_xlfn.LET(_xlpm.dir,Table1[[#This Row],[Direction]],
IF(_xlpm.dir="R",
    IF(F1519+Table1[[#This Row],[Steps]]&gt;99,(F1519+Table1[[#This Row],[Steps]])-100,F1519+Table1[[#This Row],[Steps]]),
))</f>
        <v>0</v>
      </c>
      <c r="F1520">
        <f>IF(Table1[[#This Row],[New Pos L]]&lt;&gt;0,Table1[[#This Row],[New Pos L]],Table1[[#This Row],[New Pos R]])</f>
        <v>0</v>
      </c>
    </row>
    <row r="1521" spans="1:6" ht="16" x14ac:dyDescent="0.2">
      <c r="A1521" s="1" t="s">
        <v>451</v>
      </c>
      <c r="B1521" t="str">
        <f>LEFT(Table1[[#This Row],[Input]],1)</f>
        <v>R</v>
      </c>
      <c r="C1521">
        <f>_xlfn.LET(_xlpm.steps,SUBSTITUTE(Table1[[#This Row],[Input]],Table1[[#This Row],[Direction]],""),VALUE(IF(LEN(_xlpm.steps)&gt;2,RIGHT(_xlpm.steps,2),_xlpm.steps)))</f>
        <v>99</v>
      </c>
      <c r="D1521">
        <f>_xlfn.LET(_xlpm.dir,Table1[[#This Row],[Direction]],
IF(_xlpm.dir="L",
    IF(F1520-Table1[[#This Row],[Steps]]&lt;0,100+(F1520-Table1[[#This Row],[Steps]]),F1520-Table1[[#This Row],[Steps]]),
))</f>
        <v>0</v>
      </c>
      <c r="E1521">
        <f>_xlfn.LET(_xlpm.dir,Table1[[#This Row],[Direction]],
IF(_xlpm.dir="R",
    IF(F1520+Table1[[#This Row],[Steps]]&gt;99,(F1520+Table1[[#This Row],[Steps]])-100,F1520+Table1[[#This Row],[Steps]]),
))</f>
        <v>99</v>
      </c>
      <c r="F1521">
        <f>IF(Table1[[#This Row],[New Pos L]]&lt;&gt;0,Table1[[#This Row],[New Pos L]],Table1[[#This Row],[New Pos R]])</f>
        <v>99</v>
      </c>
    </row>
    <row r="1522" spans="1:6" ht="16" x14ac:dyDescent="0.2">
      <c r="A1522" s="1" t="s">
        <v>452</v>
      </c>
      <c r="B1522" t="str">
        <f>LEFT(Table1[[#This Row],[Input]],1)</f>
        <v>L</v>
      </c>
      <c r="C1522">
        <f>_xlfn.LET(_xlpm.steps,SUBSTITUTE(Table1[[#This Row],[Input]],Table1[[#This Row],[Direction]],""),VALUE(IF(LEN(_xlpm.steps)&gt;2,RIGHT(_xlpm.steps,2),_xlpm.steps)))</f>
        <v>99</v>
      </c>
      <c r="D1522">
        <f>_xlfn.LET(_xlpm.dir,Table1[[#This Row],[Direction]],
IF(_xlpm.dir="L",
    IF(F1521-Table1[[#This Row],[Steps]]&lt;0,100+(F1521-Table1[[#This Row],[Steps]]),F1521-Table1[[#This Row],[Steps]]),
))</f>
        <v>0</v>
      </c>
      <c r="E1522">
        <f>_xlfn.LET(_xlpm.dir,Table1[[#This Row],[Direction]],
IF(_xlpm.dir="R",
    IF(F1521+Table1[[#This Row],[Steps]]&gt;99,(F1521+Table1[[#This Row],[Steps]])-100,F1521+Table1[[#This Row],[Steps]]),
))</f>
        <v>0</v>
      </c>
      <c r="F1522">
        <f>IF(Table1[[#This Row],[New Pos L]]&lt;&gt;0,Table1[[#This Row],[New Pos L]],Table1[[#This Row],[New Pos R]])</f>
        <v>0</v>
      </c>
    </row>
    <row r="1523" spans="1:6" ht="16" x14ac:dyDescent="0.2">
      <c r="A1523" s="1" t="s">
        <v>256</v>
      </c>
      <c r="B1523" t="str">
        <f>LEFT(Table1[[#This Row],[Input]],1)</f>
        <v>R</v>
      </c>
      <c r="C1523">
        <f>_xlfn.LET(_xlpm.steps,SUBSTITUTE(Table1[[#This Row],[Input]],Table1[[#This Row],[Direction]],""),VALUE(IF(LEN(_xlpm.steps)&gt;2,RIGHT(_xlpm.steps,2),_xlpm.steps)))</f>
        <v>13</v>
      </c>
      <c r="D1523">
        <f>_xlfn.LET(_xlpm.dir,Table1[[#This Row],[Direction]],
IF(_xlpm.dir="L",
    IF(F1522-Table1[[#This Row],[Steps]]&lt;0,100+(F1522-Table1[[#This Row],[Steps]]),F1522-Table1[[#This Row],[Steps]]),
))</f>
        <v>0</v>
      </c>
      <c r="E1523">
        <f>_xlfn.LET(_xlpm.dir,Table1[[#This Row],[Direction]],
IF(_xlpm.dir="R",
    IF(F1522+Table1[[#This Row],[Steps]]&gt;99,(F1522+Table1[[#This Row],[Steps]])-100,F1522+Table1[[#This Row],[Steps]]),
))</f>
        <v>13</v>
      </c>
      <c r="F1523">
        <f>IF(Table1[[#This Row],[New Pos L]]&lt;&gt;0,Table1[[#This Row],[New Pos L]],Table1[[#This Row],[New Pos R]])</f>
        <v>13</v>
      </c>
    </row>
    <row r="1524" spans="1:6" ht="16" x14ac:dyDescent="0.2">
      <c r="A1524" s="1" t="s">
        <v>51</v>
      </c>
      <c r="B1524" t="str">
        <f>LEFT(Table1[[#This Row],[Input]],1)</f>
        <v>L</v>
      </c>
      <c r="C1524">
        <f>_xlfn.LET(_xlpm.steps,SUBSTITUTE(Table1[[#This Row],[Input]],Table1[[#This Row],[Direction]],""),VALUE(IF(LEN(_xlpm.steps)&gt;2,RIGHT(_xlpm.steps,2),_xlpm.steps)))</f>
        <v>25</v>
      </c>
      <c r="D1524">
        <f>_xlfn.LET(_xlpm.dir,Table1[[#This Row],[Direction]],
IF(_xlpm.dir="L",
    IF(F1523-Table1[[#This Row],[Steps]]&lt;0,100+(F1523-Table1[[#This Row],[Steps]]),F1523-Table1[[#This Row],[Steps]]),
))</f>
        <v>88</v>
      </c>
      <c r="E1524">
        <f>_xlfn.LET(_xlpm.dir,Table1[[#This Row],[Direction]],
IF(_xlpm.dir="R",
    IF(F1523+Table1[[#This Row],[Steps]]&gt;99,(F1523+Table1[[#This Row],[Steps]])-100,F1523+Table1[[#This Row],[Steps]]),
))</f>
        <v>0</v>
      </c>
      <c r="F1524">
        <f>IF(Table1[[#This Row],[New Pos L]]&lt;&gt;0,Table1[[#This Row],[New Pos L]],Table1[[#This Row],[New Pos R]])</f>
        <v>88</v>
      </c>
    </row>
    <row r="1525" spans="1:6" ht="16" x14ac:dyDescent="0.2">
      <c r="A1525" s="1" t="s">
        <v>384</v>
      </c>
      <c r="B1525" t="str">
        <f>LEFT(Table1[[#This Row],[Input]],1)</f>
        <v>L</v>
      </c>
      <c r="C1525">
        <f>_xlfn.LET(_xlpm.steps,SUBSTITUTE(Table1[[#This Row],[Input]],Table1[[#This Row],[Direction]],""),VALUE(IF(LEN(_xlpm.steps)&gt;2,RIGHT(_xlpm.steps,2),_xlpm.steps)))</f>
        <v>88</v>
      </c>
      <c r="D1525">
        <f>_xlfn.LET(_xlpm.dir,Table1[[#This Row],[Direction]],
IF(_xlpm.dir="L",
    IF(F1524-Table1[[#This Row],[Steps]]&lt;0,100+(F1524-Table1[[#This Row],[Steps]]),F1524-Table1[[#This Row],[Steps]]),
))</f>
        <v>0</v>
      </c>
      <c r="E1525">
        <f>_xlfn.LET(_xlpm.dir,Table1[[#This Row],[Direction]],
IF(_xlpm.dir="R",
    IF(F1524+Table1[[#This Row],[Steps]]&gt;99,(F1524+Table1[[#This Row],[Steps]])-100,F1524+Table1[[#This Row],[Steps]]),
))</f>
        <v>0</v>
      </c>
      <c r="F1525">
        <f>IF(Table1[[#This Row],[New Pos L]]&lt;&gt;0,Table1[[#This Row],[New Pos L]],Table1[[#This Row],[New Pos R]])</f>
        <v>0</v>
      </c>
    </row>
    <row r="1526" spans="1:6" ht="16" x14ac:dyDescent="0.2">
      <c r="A1526" s="1" t="s">
        <v>453</v>
      </c>
      <c r="B1526" t="str">
        <f>LEFT(Table1[[#This Row],[Input]],1)</f>
        <v>R</v>
      </c>
      <c r="C1526">
        <f>_xlfn.LET(_xlpm.steps,SUBSTITUTE(Table1[[#This Row],[Input]],Table1[[#This Row],[Direction]],""),VALUE(IF(LEN(_xlpm.steps)&gt;2,RIGHT(_xlpm.steps,2),_xlpm.steps)))</f>
        <v>49</v>
      </c>
      <c r="D1526">
        <f>_xlfn.LET(_xlpm.dir,Table1[[#This Row],[Direction]],
IF(_xlpm.dir="L",
    IF(F1525-Table1[[#This Row],[Steps]]&lt;0,100+(F1525-Table1[[#This Row],[Steps]]),F1525-Table1[[#This Row],[Steps]]),
))</f>
        <v>0</v>
      </c>
      <c r="E1526">
        <f>_xlfn.LET(_xlpm.dir,Table1[[#This Row],[Direction]],
IF(_xlpm.dir="R",
    IF(F1525+Table1[[#This Row],[Steps]]&gt;99,(F1525+Table1[[#This Row],[Steps]])-100,F1525+Table1[[#This Row],[Steps]]),
))</f>
        <v>49</v>
      </c>
      <c r="F1526">
        <f>IF(Table1[[#This Row],[New Pos L]]&lt;&gt;0,Table1[[#This Row],[New Pos L]],Table1[[#This Row],[New Pos R]])</f>
        <v>49</v>
      </c>
    </row>
    <row r="1527" spans="1:6" ht="16" x14ac:dyDescent="0.2">
      <c r="A1527" s="1" t="s">
        <v>194</v>
      </c>
      <c r="B1527" t="str">
        <f>LEFT(Table1[[#This Row],[Input]],1)</f>
        <v>R</v>
      </c>
      <c r="C1527">
        <f>_xlfn.LET(_xlpm.steps,SUBSTITUTE(Table1[[#This Row],[Input]],Table1[[#This Row],[Direction]],""),VALUE(IF(LEN(_xlpm.steps)&gt;2,RIGHT(_xlpm.steps,2),_xlpm.steps)))</f>
        <v>51</v>
      </c>
      <c r="D1527">
        <f>_xlfn.LET(_xlpm.dir,Table1[[#This Row],[Direction]],
IF(_xlpm.dir="L",
    IF(F1526-Table1[[#This Row],[Steps]]&lt;0,100+(F1526-Table1[[#This Row],[Steps]]),F1526-Table1[[#This Row],[Steps]]),
))</f>
        <v>0</v>
      </c>
      <c r="E1527">
        <f>_xlfn.LET(_xlpm.dir,Table1[[#This Row],[Direction]],
IF(_xlpm.dir="R",
    IF(F1526+Table1[[#This Row],[Steps]]&gt;99,(F1526+Table1[[#This Row],[Steps]])-100,F1526+Table1[[#This Row],[Steps]]),
))</f>
        <v>0</v>
      </c>
      <c r="F1527">
        <f>IF(Table1[[#This Row],[New Pos L]]&lt;&gt;0,Table1[[#This Row],[New Pos L]],Table1[[#This Row],[New Pos R]])</f>
        <v>0</v>
      </c>
    </row>
    <row r="1528" spans="1:6" ht="16" x14ac:dyDescent="0.2">
      <c r="A1528" s="1" t="s">
        <v>293</v>
      </c>
      <c r="B1528" t="str">
        <f>LEFT(Table1[[#This Row],[Input]],1)</f>
        <v>R</v>
      </c>
      <c r="C1528">
        <f>_xlfn.LET(_xlpm.steps,SUBSTITUTE(Table1[[#This Row],[Input]],Table1[[#This Row],[Direction]],""),VALUE(IF(LEN(_xlpm.steps)&gt;2,RIGHT(_xlpm.steps,2),_xlpm.steps)))</f>
        <v>67</v>
      </c>
      <c r="D1528">
        <f>_xlfn.LET(_xlpm.dir,Table1[[#This Row],[Direction]],
IF(_xlpm.dir="L",
    IF(F1527-Table1[[#This Row],[Steps]]&lt;0,100+(F1527-Table1[[#This Row],[Steps]]),F1527-Table1[[#This Row],[Steps]]),
))</f>
        <v>0</v>
      </c>
      <c r="E1528">
        <f>_xlfn.LET(_xlpm.dir,Table1[[#This Row],[Direction]],
IF(_xlpm.dir="R",
    IF(F1527+Table1[[#This Row],[Steps]]&gt;99,(F1527+Table1[[#This Row],[Steps]])-100,F1527+Table1[[#This Row],[Steps]]),
))</f>
        <v>67</v>
      </c>
      <c r="F1528">
        <f>IF(Table1[[#This Row],[New Pos L]]&lt;&gt;0,Table1[[#This Row],[New Pos L]],Table1[[#This Row],[New Pos R]])</f>
        <v>67</v>
      </c>
    </row>
    <row r="1529" spans="1:6" ht="16" x14ac:dyDescent="0.2">
      <c r="A1529" s="1" t="s">
        <v>296</v>
      </c>
      <c r="B1529" t="str">
        <f>LEFT(Table1[[#This Row],[Input]],1)</f>
        <v>R</v>
      </c>
      <c r="C1529">
        <f>_xlfn.LET(_xlpm.steps,SUBSTITUTE(Table1[[#This Row],[Input]],Table1[[#This Row],[Direction]],""),VALUE(IF(LEN(_xlpm.steps)&gt;2,RIGHT(_xlpm.steps,2),_xlpm.steps)))</f>
        <v>19</v>
      </c>
      <c r="D1529">
        <f>_xlfn.LET(_xlpm.dir,Table1[[#This Row],[Direction]],
IF(_xlpm.dir="L",
    IF(F1528-Table1[[#This Row],[Steps]]&lt;0,100+(F1528-Table1[[#This Row],[Steps]]),F1528-Table1[[#This Row],[Steps]]),
))</f>
        <v>0</v>
      </c>
      <c r="E1529">
        <f>_xlfn.LET(_xlpm.dir,Table1[[#This Row],[Direction]],
IF(_xlpm.dir="R",
    IF(F1528+Table1[[#This Row],[Steps]]&gt;99,(F1528+Table1[[#This Row],[Steps]])-100,F1528+Table1[[#This Row],[Steps]]),
))</f>
        <v>86</v>
      </c>
      <c r="F1529">
        <f>IF(Table1[[#This Row],[New Pos L]]&lt;&gt;0,Table1[[#This Row],[New Pos L]],Table1[[#This Row],[New Pos R]])</f>
        <v>86</v>
      </c>
    </row>
    <row r="1530" spans="1:6" ht="16" x14ac:dyDescent="0.2">
      <c r="A1530" s="1" t="s">
        <v>48</v>
      </c>
      <c r="B1530" t="str">
        <f>LEFT(Table1[[#This Row],[Input]],1)</f>
        <v>R</v>
      </c>
      <c r="C1530">
        <f>_xlfn.LET(_xlpm.steps,SUBSTITUTE(Table1[[#This Row],[Input]],Table1[[#This Row],[Direction]],""),VALUE(IF(LEN(_xlpm.steps)&gt;2,RIGHT(_xlpm.steps,2),_xlpm.steps)))</f>
        <v>81</v>
      </c>
      <c r="D1530">
        <f>_xlfn.LET(_xlpm.dir,Table1[[#This Row],[Direction]],
IF(_xlpm.dir="L",
    IF(F1529-Table1[[#This Row],[Steps]]&lt;0,100+(F1529-Table1[[#This Row],[Steps]]),F1529-Table1[[#This Row],[Steps]]),
))</f>
        <v>0</v>
      </c>
      <c r="E1530">
        <f>_xlfn.LET(_xlpm.dir,Table1[[#This Row],[Direction]],
IF(_xlpm.dir="R",
    IF(F1529+Table1[[#This Row],[Steps]]&gt;99,(F1529+Table1[[#This Row],[Steps]])-100,F1529+Table1[[#This Row],[Steps]]),
))</f>
        <v>67</v>
      </c>
      <c r="F1530">
        <f>IF(Table1[[#This Row],[New Pos L]]&lt;&gt;0,Table1[[#This Row],[New Pos L]],Table1[[#This Row],[New Pos R]])</f>
        <v>67</v>
      </c>
    </row>
    <row r="1531" spans="1:6" ht="16" x14ac:dyDescent="0.2">
      <c r="A1531" s="1" t="s">
        <v>454</v>
      </c>
      <c r="B1531" t="str">
        <f>LEFT(Table1[[#This Row],[Input]],1)</f>
        <v>L</v>
      </c>
      <c r="C1531">
        <f>_xlfn.LET(_xlpm.steps,SUBSTITUTE(Table1[[#This Row],[Input]],Table1[[#This Row],[Direction]],""),VALUE(IF(LEN(_xlpm.steps)&gt;2,RIGHT(_xlpm.steps,2),_xlpm.steps)))</f>
        <v>82</v>
      </c>
      <c r="D1531">
        <f>_xlfn.LET(_xlpm.dir,Table1[[#This Row],[Direction]],
IF(_xlpm.dir="L",
    IF(F1530-Table1[[#This Row],[Steps]]&lt;0,100+(F1530-Table1[[#This Row],[Steps]]),F1530-Table1[[#This Row],[Steps]]),
))</f>
        <v>85</v>
      </c>
      <c r="E1531">
        <f>_xlfn.LET(_xlpm.dir,Table1[[#This Row],[Direction]],
IF(_xlpm.dir="R",
    IF(F1530+Table1[[#This Row],[Steps]]&gt;99,(F1530+Table1[[#This Row],[Steps]])-100,F1530+Table1[[#This Row],[Steps]]),
))</f>
        <v>0</v>
      </c>
      <c r="F1531">
        <f>IF(Table1[[#This Row],[New Pos L]]&lt;&gt;0,Table1[[#This Row],[New Pos L]],Table1[[#This Row],[New Pos R]])</f>
        <v>85</v>
      </c>
    </row>
    <row r="1532" spans="1:6" ht="16" x14ac:dyDescent="0.2">
      <c r="A1532" s="1" t="s">
        <v>164</v>
      </c>
      <c r="B1532" t="str">
        <f>LEFT(Table1[[#This Row],[Input]],1)</f>
        <v>R</v>
      </c>
      <c r="C1532">
        <f>_xlfn.LET(_xlpm.steps,SUBSTITUTE(Table1[[#This Row],[Input]],Table1[[#This Row],[Direction]],""),VALUE(IF(LEN(_xlpm.steps)&gt;2,RIGHT(_xlpm.steps,2),_xlpm.steps)))</f>
        <v>85</v>
      </c>
      <c r="D1532">
        <f>_xlfn.LET(_xlpm.dir,Table1[[#This Row],[Direction]],
IF(_xlpm.dir="L",
    IF(F1531-Table1[[#This Row],[Steps]]&lt;0,100+(F1531-Table1[[#This Row],[Steps]]),F1531-Table1[[#This Row],[Steps]]),
))</f>
        <v>0</v>
      </c>
      <c r="E1532">
        <f>_xlfn.LET(_xlpm.dir,Table1[[#This Row],[Direction]],
IF(_xlpm.dir="R",
    IF(F1531+Table1[[#This Row],[Steps]]&gt;99,(F1531+Table1[[#This Row],[Steps]])-100,F1531+Table1[[#This Row],[Steps]]),
))</f>
        <v>70</v>
      </c>
      <c r="F1532">
        <f>IF(Table1[[#This Row],[New Pos L]]&lt;&gt;0,Table1[[#This Row],[New Pos L]],Table1[[#This Row],[New Pos R]])</f>
        <v>70</v>
      </c>
    </row>
    <row r="1533" spans="1:6" ht="16" x14ac:dyDescent="0.2">
      <c r="A1533" s="1" t="s">
        <v>71</v>
      </c>
      <c r="B1533" t="str">
        <f>LEFT(Table1[[#This Row],[Input]],1)</f>
        <v>R</v>
      </c>
      <c r="C1533">
        <f>_xlfn.LET(_xlpm.steps,SUBSTITUTE(Table1[[#This Row],[Input]],Table1[[#This Row],[Direction]],""),VALUE(IF(LEN(_xlpm.steps)&gt;2,RIGHT(_xlpm.steps,2),_xlpm.steps)))</f>
        <v>23</v>
      </c>
      <c r="D1533">
        <f>_xlfn.LET(_xlpm.dir,Table1[[#This Row],[Direction]],
IF(_xlpm.dir="L",
    IF(F1532-Table1[[#This Row],[Steps]]&lt;0,100+(F1532-Table1[[#This Row],[Steps]]),F1532-Table1[[#This Row],[Steps]]),
))</f>
        <v>0</v>
      </c>
      <c r="E1533">
        <f>_xlfn.LET(_xlpm.dir,Table1[[#This Row],[Direction]],
IF(_xlpm.dir="R",
    IF(F1532+Table1[[#This Row],[Steps]]&gt;99,(F1532+Table1[[#This Row],[Steps]])-100,F1532+Table1[[#This Row],[Steps]]),
))</f>
        <v>93</v>
      </c>
      <c r="F1533">
        <f>IF(Table1[[#This Row],[New Pos L]]&lt;&gt;0,Table1[[#This Row],[New Pos L]],Table1[[#This Row],[New Pos R]])</f>
        <v>93</v>
      </c>
    </row>
    <row r="1534" spans="1:6" ht="16" x14ac:dyDescent="0.2">
      <c r="A1534" s="1" t="s">
        <v>353</v>
      </c>
      <c r="B1534" t="str">
        <f>LEFT(Table1[[#This Row],[Input]],1)</f>
        <v>R</v>
      </c>
      <c r="C1534">
        <f>_xlfn.LET(_xlpm.steps,SUBSTITUTE(Table1[[#This Row],[Input]],Table1[[#This Row],[Direction]],""),VALUE(IF(LEN(_xlpm.steps)&gt;2,RIGHT(_xlpm.steps,2),_xlpm.steps)))</f>
        <v>7</v>
      </c>
      <c r="D1534">
        <f>_xlfn.LET(_xlpm.dir,Table1[[#This Row],[Direction]],
IF(_xlpm.dir="L",
    IF(F1533-Table1[[#This Row],[Steps]]&lt;0,100+(F1533-Table1[[#This Row],[Steps]]),F1533-Table1[[#This Row],[Steps]]),
))</f>
        <v>0</v>
      </c>
      <c r="E1534">
        <f>_xlfn.LET(_xlpm.dir,Table1[[#This Row],[Direction]],
IF(_xlpm.dir="R",
    IF(F1533+Table1[[#This Row],[Steps]]&gt;99,(F1533+Table1[[#This Row],[Steps]])-100,F1533+Table1[[#This Row],[Steps]]),
))</f>
        <v>0</v>
      </c>
      <c r="F1534">
        <f>IF(Table1[[#This Row],[New Pos L]]&lt;&gt;0,Table1[[#This Row],[New Pos L]],Table1[[#This Row],[New Pos R]])</f>
        <v>0</v>
      </c>
    </row>
    <row r="1535" spans="1:6" ht="16" x14ac:dyDescent="0.2">
      <c r="A1535" s="1" t="s">
        <v>179</v>
      </c>
      <c r="B1535" t="str">
        <f>LEFT(Table1[[#This Row],[Input]],1)</f>
        <v>L</v>
      </c>
      <c r="C1535">
        <f>_xlfn.LET(_xlpm.steps,SUBSTITUTE(Table1[[#This Row],[Input]],Table1[[#This Row],[Direction]],""),VALUE(IF(LEN(_xlpm.steps)&gt;2,RIGHT(_xlpm.steps,2),_xlpm.steps)))</f>
        <v>54</v>
      </c>
      <c r="D1535">
        <f>_xlfn.LET(_xlpm.dir,Table1[[#This Row],[Direction]],
IF(_xlpm.dir="L",
    IF(F1534-Table1[[#This Row],[Steps]]&lt;0,100+(F1534-Table1[[#This Row],[Steps]]),F1534-Table1[[#This Row],[Steps]]),
))</f>
        <v>46</v>
      </c>
      <c r="E1535">
        <f>_xlfn.LET(_xlpm.dir,Table1[[#This Row],[Direction]],
IF(_xlpm.dir="R",
    IF(F1534+Table1[[#This Row],[Steps]]&gt;99,(F1534+Table1[[#This Row],[Steps]])-100,F1534+Table1[[#This Row],[Steps]]),
))</f>
        <v>0</v>
      </c>
      <c r="F1535">
        <f>IF(Table1[[#This Row],[New Pos L]]&lt;&gt;0,Table1[[#This Row],[New Pos L]],Table1[[#This Row],[New Pos R]])</f>
        <v>46</v>
      </c>
    </row>
    <row r="1536" spans="1:6" ht="16" x14ac:dyDescent="0.2">
      <c r="A1536" s="1" t="s">
        <v>18</v>
      </c>
      <c r="B1536" t="str">
        <f>LEFT(Table1[[#This Row],[Input]],1)</f>
        <v>L</v>
      </c>
      <c r="C1536">
        <f>_xlfn.LET(_xlpm.steps,SUBSTITUTE(Table1[[#This Row],[Input]],Table1[[#This Row],[Direction]],""),VALUE(IF(LEN(_xlpm.steps)&gt;2,RIGHT(_xlpm.steps,2),_xlpm.steps)))</f>
        <v>46</v>
      </c>
      <c r="D1536">
        <f>_xlfn.LET(_xlpm.dir,Table1[[#This Row],[Direction]],
IF(_xlpm.dir="L",
    IF(F1535-Table1[[#This Row],[Steps]]&lt;0,100+(F1535-Table1[[#This Row],[Steps]]),F1535-Table1[[#This Row],[Steps]]),
))</f>
        <v>0</v>
      </c>
      <c r="E1536">
        <f>_xlfn.LET(_xlpm.dir,Table1[[#This Row],[Direction]],
IF(_xlpm.dir="R",
    IF(F1535+Table1[[#This Row],[Steps]]&gt;99,(F1535+Table1[[#This Row],[Steps]])-100,F1535+Table1[[#This Row],[Steps]]),
))</f>
        <v>0</v>
      </c>
      <c r="F1536">
        <f>IF(Table1[[#This Row],[New Pos L]]&lt;&gt;0,Table1[[#This Row],[New Pos L]],Table1[[#This Row],[New Pos R]])</f>
        <v>0</v>
      </c>
    </row>
    <row r="1537" spans="1:6" ht="16" x14ac:dyDescent="0.2">
      <c r="A1537" s="1" t="s">
        <v>161</v>
      </c>
      <c r="B1537" t="str">
        <f>LEFT(Table1[[#This Row],[Input]],1)</f>
        <v>R</v>
      </c>
      <c r="C1537">
        <f>_xlfn.LET(_xlpm.steps,SUBSTITUTE(Table1[[#This Row],[Input]],Table1[[#This Row],[Direction]],""),VALUE(IF(LEN(_xlpm.steps)&gt;2,RIGHT(_xlpm.steps,2),_xlpm.steps)))</f>
        <v>76</v>
      </c>
      <c r="D1537">
        <f>_xlfn.LET(_xlpm.dir,Table1[[#This Row],[Direction]],
IF(_xlpm.dir="L",
    IF(F1536-Table1[[#This Row],[Steps]]&lt;0,100+(F1536-Table1[[#This Row],[Steps]]),F1536-Table1[[#This Row],[Steps]]),
))</f>
        <v>0</v>
      </c>
      <c r="E1537">
        <f>_xlfn.LET(_xlpm.dir,Table1[[#This Row],[Direction]],
IF(_xlpm.dir="R",
    IF(F1536+Table1[[#This Row],[Steps]]&gt;99,(F1536+Table1[[#This Row],[Steps]])-100,F1536+Table1[[#This Row],[Steps]]),
))</f>
        <v>76</v>
      </c>
      <c r="F1537">
        <f>IF(Table1[[#This Row],[New Pos L]]&lt;&gt;0,Table1[[#This Row],[New Pos L]],Table1[[#This Row],[New Pos R]])</f>
        <v>76</v>
      </c>
    </row>
    <row r="1538" spans="1:6" ht="16" x14ac:dyDescent="0.2">
      <c r="A1538" s="1" t="s">
        <v>105</v>
      </c>
      <c r="B1538" t="str">
        <f>LEFT(Table1[[#This Row],[Input]],1)</f>
        <v>R</v>
      </c>
      <c r="C1538">
        <f>_xlfn.LET(_xlpm.steps,SUBSTITUTE(Table1[[#This Row],[Input]],Table1[[#This Row],[Direction]],""),VALUE(IF(LEN(_xlpm.steps)&gt;2,RIGHT(_xlpm.steps,2),_xlpm.steps)))</f>
        <v>98</v>
      </c>
      <c r="D1538">
        <f>_xlfn.LET(_xlpm.dir,Table1[[#This Row],[Direction]],
IF(_xlpm.dir="L",
    IF(F1537-Table1[[#This Row],[Steps]]&lt;0,100+(F1537-Table1[[#This Row],[Steps]]),F1537-Table1[[#This Row],[Steps]]),
))</f>
        <v>0</v>
      </c>
      <c r="E1538">
        <f>_xlfn.LET(_xlpm.dir,Table1[[#This Row],[Direction]],
IF(_xlpm.dir="R",
    IF(F1537+Table1[[#This Row],[Steps]]&gt;99,(F1537+Table1[[#This Row],[Steps]])-100,F1537+Table1[[#This Row],[Steps]]),
))</f>
        <v>74</v>
      </c>
      <c r="F1538">
        <f>IF(Table1[[#This Row],[New Pos L]]&lt;&gt;0,Table1[[#This Row],[New Pos L]],Table1[[#This Row],[New Pos R]])</f>
        <v>74</v>
      </c>
    </row>
    <row r="1539" spans="1:6" ht="16" x14ac:dyDescent="0.2">
      <c r="A1539" s="1" t="s">
        <v>7</v>
      </c>
      <c r="B1539" t="str">
        <f>LEFT(Table1[[#This Row],[Input]],1)</f>
        <v>R</v>
      </c>
      <c r="C1539">
        <f>_xlfn.LET(_xlpm.steps,SUBSTITUTE(Table1[[#This Row],[Input]],Table1[[#This Row],[Direction]],""),VALUE(IF(LEN(_xlpm.steps)&gt;2,RIGHT(_xlpm.steps,2),_xlpm.steps)))</f>
        <v>14</v>
      </c>
      <c r="D1539">
        <f>_xlfn.LET(_xlpm.dir,Table1[[#This Row],[Direction]],
IF(_xlpm.dir="L",
    IF(F1538-Table1[[#This Row],[Steps]]&lt;0,100+(F1538-Table1[[#This Row],[Steps]]),F1538-Table1[[#This Row],[Steps]]),
))</f>
        <v>0</v>
      </c>
      <c r="E1539">
        <f>_xlfn.LET(_xlpm.dir,Table1[[#This Row],[Direction]],
IF(_xlpm.dir="R",
    IF(F1538+Table1[[#This Row],[Steps]]&gt;99,(F1538+Table1[[#This Row],[Steps]])-100,F1538+Table1[[#This Row],[Steps]]),
))</f>
        <v>88</v>
      </c>
      <c r="F1539">
        <f>IF(Table1[[#This Row],[New Pos L]]&lt;&gt;0,Table1[[#This Row],[New Pos L]],Table1[[#This Row],[New Pos R]])</f>
        <v>88</v>
      </c>
    </row>
    <row r="1540" spans="1:6" ht="16" x14ac:dyDescent="0.2">
      <c r="A1540" s="1" t="s">
        <v>455</v>
      </c>
      <c r="B1540" t="str">
        <f>LEFT(Table1[[#This Row],[Input]],1)</f>
        <v>L</v>
      </c>
      <c r="C1540">
        <f>_xlfn.LET(_xlpm.steps,SUBSTITUTE(Table1[[#This Row],[Input]],Table1[[#This Row],[Direction]],""),VALUE(IF(LEN(_xlpm.steps)&gt;2,RIGHT(_xlpm.steps,2),_xlpm.steps)))</f>
        <v>26</v>
      </c>
      <c r="D1540">
        <f>_xlfn.LET(_xlpm.dir,Table1[[#This Row],[Direction]],
IF(_xlpm.dir="L",
    IF(F1539-Table1[[#This Row],[Steps]]&lt;0,100+(F1539-Table1[[#This Row],[Steps]]),F1539-Table1[[#This Row],[Steps]]),
))</f>
        <v>62</v>
      </c>
      <c r="E1540">
        <f>_xlfn.LET(_xlpm.dir,Table1[[#This Row],[Direction]],
IF(_xlpm.dir="R",
    IF(F1539+Table1[[#This Row],[Steps]]&gt;99,(F1539+Table1[[#This Row],[Steps]])-100,F1539+Table1[[#This Row],[Steps]]),
))</f>
        <v>0</v>
      </c>
      <c r="F1540">
        <f>IF(Table1[[#This Row],[New Pos L]]&lt;&gt;0,Table1[[#This Row],[New Pos L]],Table1[[#This Row],[New Pos R]])</f>
        <v>62</v>
      </c>
    </row>
    <row r="1541" spans="1:6" ht="16" x14ac:dyDescent="0.2">
      <c r="A1541" s="1" t="s">
        <v>76</v>
      </c>
      <c r="B1541" t="str">
        <f>LEFT(Table1[[#This Row],[Input]],1)</f>
        <v>R</v>
      </c>
      <c r="C1541">
        <f>_xlfn.LET(_xlpm.steps,SUBSTITUTE(Table1[[#This Row],[Input]],Table1[[#This Row],[Direction]],""),VALUE(IF(LEN(_xlpm.steps)&gt;2,RIGHT(_xlpm.steps,2),_xlpm.steps)))</f>
        <v>37</v>
      </c>
      <c r="D1541">
        <f>_xlfn.LET(_xlpm.dir,Table1[[#This Row],[Direction]],
IF(_xlpm.dir="L",
    IF(F1540-Table1[[#This Row],[Steps]]&lt;0,100+(F1540-Table1[[#This Row],[Steps]]),F1540-Table1[[#This Row],[Steps]]),
))</f>
        <v>0</v>
      </c>
      <c r="E1541">
        <f>_xlfn.LET(_xlpm.dir,Table1[[#This Row],[Direction]],
IF(_xlpm.dir="R",
    IF(F1540+Table1[[#This Row],[Steps]]&gt;99,(F1540+Table1[[#This Row],[Steps]])-100,F1540+Table1[[#This Row],[Steps]]),
))</f>
        <v>99</v>
      </c>
      <c r="F1541">
        <f>IF(Table1[[#This Row],[New Pos L]]&lt;&gt;0,Table1[[#This Row],[New Pos L]],Table1[[#This Row],[New Pos R]])</f>
        <v>99</v>
      </c>
    </row>
    <row r="1542" spans="1:6" ht="16" x14ac:dyDescent="0.2">
      <c r="A1542" s="1" t="s">
        <v>363</v>
      </c>
      <c r="B1542" t="str">
        <f>LEFT(Table1[[#This Row],[Input]],1)</f>
        <v>R</v>
      </c>
      <c r="C1542">
        <f>_xlfn.LET(_xlpm.steps,SUBSTITUTE(Table1[[#This Row],[Input]],Table1[[#This Row],[Direction]],""),VALUE(IF(LEN(_xlpm.steps)&gt;2,RIGHT(_xlpm.steps,2),_xlpm.steps)))</f>
        <v>63</v>
      </c>
      <c r="D1542">
        <f>_xlfn.LET(_xlpm.dir,Table1[[#This Row],[Direction]],
IF(_xlpm.dir="L",
    IF(F1541-Table1[[#This Row],[Steps]]&lt;0,100+(F1541-Table1[[#This Row],[Steps]]),F1541-Table1[[#This Row],[Steps]]),
))</f>
        <v>0</v>
      </c>
      <c r="E1542">
        <f>_xlfn.LET(_xlpm.dir,Table1[[#This Row],[Direction]],
IF(_xlpm.dir="R",
    IF(F1541+Table1[[#This Row],[Steps]]&gt;99,(F1541+Table1[[#This Row],[Steps]])-100,F1541+Table1[[#This Row],[Steps]]),
))</f>
        <v>62</v>
      </c>
      <c r="F1542">
        <f>IF(Table1[[#This Row],[New Pos L]]&lt;&gt;0,Table1[[#This Row],[New Pos L]],Table1[[#This Row],[New Pos R]])</f>
        <v>62</v>
      </c>
    </row>
    <row r="1543" spans="1:6" ht="16" x14ac:dyDescent="0.2">
      <c r="A1543" s="1" t="s">
        <v>456</v>
      </c>
      <c r="B1543" t="str">
        <f>LEFT(Table1[[#This Row],[Input]],1)</f>
        <v>L</v>
      </c>
      <c r="C1543">
        <f>_xlfn.LET(_xlpm.steps,SUBSTITUTE(Table1[[#This Row],[Input]],Table1[[#This Row],[Direction]],""),VALUE(IF(LEN(_xlpm.steps)&gt;2,RIGHT(_xlpm.steps,2),_xlpm.steps)))</f>
        <v>62</v>
      </c>
      <c r="D1543">
        <f>_xlfn.LET(_xlpm.dir,Table1[[#This Row],[Direction]],
IF(_xlpm.dir="L",
    IF(F1542-Table1[[#This Row],[Steps]]&lt;0,100+(F1542-Table1[[#This Row],[Steps]]),F1542-Table1[[#This Row],[Steps]]),
))</f>
        <v>0</v>
      </c>
      <c r="E1543">
        <f>_xlfn.LET(_xlpm.dir,Table1[[#This Row],[Direction]],
IF(_xlpm.dir="R",
    IF(F1542+Table1[[#This Row],[Steps]]&gt;99,(F1542+Table1[[#This Row],[Steps]])-100,F1542+Table1[[#This Row],[Steps]]),
))</f>
        <v>0</v>
      </c>
      <c r="F1543">
        <f>IF(Table1[[#This Row],[New Pos L]]&lt;&gt;0,Table1[[#This Row],[New Pos L]],Table1[[#This Row],[New Pos R]])</f>
        <v>0</v>
      </c>
    </row>
    <row r="1544" spans="1:6" ht="16" x14ac:dyDescent="0.2">
      <c r="A1544" s="1" t="s">
        <v>457</v>
      </c>
      <c r="B1544" t="str">
        <f>LEFT(Table1[[#This Row],[Input]],1)</f>
        <v>L</v>
      </c>
      <c r="C1544">
        <f>_xlfn.LET(_xlpm.steps,SUBSTITUTE(Table1[[#This Row],[Input]],Table1[[#This Row],[Direction]],""),VALUE(IF(LEN(_xlpm.steps)&gt;2,RIGHT(_xlpm.steps,2),_xlpm.steps)))</f>
        <v>26</v>
      </c>
      <c r="D1544">
        <f>_xlfn.LET(_xlpm.dir,Table1[[#This Row],[Direction]],
IF(_xlpm.dir="L",
    IF(F1543-Table1[[#This Row],[Steps]]&lt;0,100+(F1543-Table1[[#This Row],[Steps]]),F1543-Table1[[#This Row],[Steps]]),
))</f>
        <v>74</v>
      </c>
      <c r="E1544">
        <f>_xlfn.LET(_xlpm.dir,Table1[[#This Row],[Direction]],
IF(_xlpm.dir="R",
    IF(F1543+Table1[[#This Row],[Steps]]&gt;99,(F1543+Table1[[#This Row],[Steps]])-100,F1543+Table1[[#This Row],[Steps]]),
))</f>
        <v>0</v>
      </c>
      <c r="F1544">
        <f>IF(Table1[[#This Row],[New Pos L]]&lt;&gt;0,Table1[[#This Row],[New Pos L]],Table1[[#This Row],[New Pos R]])</f>
        <v>74</v>
      </c>
    </row>
    <row r="1545" spans="1:6" ht="16" x14ac:dyDescent="0.2">
      <c r="A1545" s="1" t="s">
        <v>151</v>
      </c>
      <c r="B1545" t="str">
        <f>LEFT(Table1[[#This Row],[Input]],1)</f>
        <v>L</v>
      </c>
      <c r="C1545">
        <f>_xlfn.LET(_xlpm.steps,SUBSTITUTE(Table1[[#This Row],[Input]],Table1[[#This Row],[Direction]],""),VALUE(IF(LEN(_xlpm.steps)&gt;2,RIGHT(_xlpm.steps,2),_xlpm.steps)))</f>
        <v>74</v>
      </c>
      <c r="D1545">
        <f>_xlfn.LET(_xlpm.dir,Table1[[#This Row],[Direction]],
IF(_xlpm.dir="L",
    IF(F1544-Table1[[#This Row],[Steps]]&lt;0,100+(F1544-Table1[[#This Row],[Steps]]),F1544-Table1[[#This Row],[Steps]]),
))</f>
        <v>0</v>
      </c>
      <c r="E1545">
        <f>_xlfn.LET(_xlpm.dir,Table1[[#This Row],[Direction]],
IF(_xlpm.dir="R",
    IF(F1544+Table1[[#This Row],[Steps]]&gt;99,(F1544+Table1[[#This Row],[Steps]])-100,F1544+Table1[[#This Row],[Steps]]),
))</f>
        <v>0</v>
      </c>
      <c r="F1545">
        <f>IF(Table1[[#This Row],[New Pos L]]&lt;&gt;0,Table1[[#This Row],[New Pos L]],Table1[[#This Row],[New Pos R]])</f>
        <v>0</v>
      </c>
    </row>
    <row r="1546" spans="1:6" ht="16" x14ac:dyDescent="0.2">
      <c r="A1546" s="1" t="s">
        <v>207</v>
      </c>
      <c r="B1546" t="str">
        <f>LEFT(Table1[[#This Row],[Input]],1)</f>
        <v>L</v>
      </c>
      <c r="C1546">
        <f>_xlfn.LET(_xlpm.steps,SUBSTITUTE(Table1[[#This Row],[Input]],Table1[[#This Row],[Direction]],""),VALUE(IF(LEN(_xlpm.steps)&gt;2,RIGHT(_xlpm.steps,2),_xlpm.steps)))</f>
        <v>89</v>
      </c>
      <c r="D1546">
        <f>_xlfn.LET(_xlpm.dir,Table1[[#This Row],[Direction]],
IF(_xlpm.dir="L",
    IF(F1545-Table1[[#This Row],[Steps]]&lt;0,100+(F1545-Table1[[#This Row],[Steps]]),F1545-Table1[[#This Row],[Steps]]),
))</f>
        <v>11</v>
      </c>
      <c r="E1546">
        <f>_xlfn.LET(_xlpm.dir,Table1[[#This Row],[Direction]],
IF(_xlpm.dir="R",
    IF(F1545+Table1[[#This Row],[Steps]]&gt;99,(F1545+Table1[[#This Row],[Steps]])-100,F1545+Table1[[#This Row],[Steps]]),
))</f>
        <v>0</v>
      </c>
      <c r="F1546">
        <f>IF(Table1[[#This Row],[New Pos L]]&lt;&gt;0,Table1[[#This Row],[New Pos L]],Table1[[#This Row],[New Pos R]])</f>
        <v>11</v>
      </c>
    </row>
    <row r="1547" spans="1:6" ht="16" x14ac:dyDescent="0.2">
      <c r="A1547" s="1" t="s">
        <v>12</v>
      </c>
      <c r="B1547" t="str">
        <f>LEFT(Table1[[#This Row],[Input]],1)</f>
        <v>L</v>
      </c>
      <c r="C1547">
        <f>_xlfn.LET(_xlpm.steps,SUBSTITUTE(Table1[[#This Row],[Input]],Table1[[#This Row],[Direction]],""),VALUE(IF(LEN(_xlpm.steps)&gt;2,RIGHT(_xlpm.steps,2),_xlpm.steps)))</f>
        <v>11</v>
      </c>
      <c r="D1547">
        <f>_xlfn.LET(_xlpm.dir,Table1[[#This Row],[Direction]],
IF(_xlpm.dir="L",
    IF(F1546-Table1[[#This Row],[Steps]]&lt;0,100+(F1546-Table1[[#This Row],[Steps]]),F1546-Table1[[#This Row],[Steps]]),
))</f>
        <v>0</v>
      </c>
      <c r="E1547">
        <f>_xlfn.LET(_xlpm.dir,Table1[[#This Row],[Direction]],
IF(_xlpm.dir="R",
    IF(F1546+Table1[[#This Row],[Steps]]&gt;99,(F1546+Table1[[#This Row],[Steps]])-100,F1546+Table1[[#This Row],[Steps]]),
))</f>
        <v>0</v>
      </c>
      <c r="F1547">
        <f>IF(Table1[[#This Row],[New Pos L]]&lt;&gt;0,Table1[[#This Row],[New Pos L]],Table1[[#This Row],[New Pos R]])</f>
        <v>0</v>
      </c>
    </row>
    <row r="1548" spans="1:6" ht="16" x14ac:dyDescent="0.2">
      <c r="A1548" s="1" t="s">
        <v>132</v>
      </c>
      <c r="B1548" t="str">
        <f>LEFT(Table1[[#This Row],[Input]],1)</f>
        <v>L</v>
      </c>
      <c r="C1548">
        <f>_xlfn.LET(_xlpm.steps,SUBSTITUTE(Table1[[#This Row],[Input]],Table1[[#This Row],[Direction]],""),VALUE(IF(LEN(_xlpm.steps)&gt;2,RIGHT(_xlpm.steps,2),_xlpm.steps)))</f>
        <v>51</v>
      </c>
      <c r="D1548">
        <f>_xlfn.LET(_xlpm.dir,Table1[[#This Row],[Direction]],
IF(_xlpm.dir="L",
    IF(F1547-Table1[[#This Row],[Steps]]&lt;0,100+(F1547-Table1[[#This Row],[Steps]]),F1547-Table1[[#This Row],[Steps]]),
))</f>
        <v>49</v>
      </c>
      <c r="E1548">
        <f>_xlfn.LET(_xlpm.dir,Table1[[#This Row],[Direction]],
IF(_xlpm.dir="R",
    IF(F1547+Table1[[#This Row],[Steps]]&gt;99,(F1547+Table1[[#This Row],[Steps]])-100,F1547+Table1[[#This Row],[Steps]]),
))</f>
        <v>0</v>
      </c>
      <c r="F1548">
        <f>IF(Table1[[#This Row],[New Pos L]]&lt;&gt;0,Table1[[#This Row],[New Pos L]],Table1[[#This Row],[New Pos R]])</f>
        <v>49</v>
      </c>
    </row>
    <row r="1549" spans="1:6" ht="16" x14ac:dyDescent="0.2">
      <c r="A1549" s="1" t="s">
        <v>186</v>
      </c>
      <c r="B1549" t="str">
        <f>LEFT(Table1[[#This Row],[Input]],1)</f>
        <v>L</v>
      </c>
      <c r="C1549">
        <f>_xlfn.LET(_xlpm.steps,SUBSTITUTE(Table1[[#This Row],[Input]],Table1[[#This Row],[Direction]],""),VALUE(IF(LEN(_xlpm.steps)&gt;2,RIGHT(_xlpm.steps,2),_xlpm.steps)))</f>
        <v>84</v>
      </c>
      <c r="D1549">
        <f>_xlfn.LET(_xlpm.dir,Table1[[#This Row],[Direction]],
IF(_xlpm.dir="L",
    IF(F1548-Table1[[#This Row],[Steps]]&lt;0,100+(F1548-Table1[[#This Row],[Steps]]),F1548-Table1[[#This Row],[Steps]]),
))</f>
        <v>65</v>
      </c>
      <c r="E1549">
        <f>_xlfn.LET(_xlpm.dir,Table1[[#This Row],[Direction]],
IF(_xlpm.dir="R",
    IF(F1548+Table1[[#This Row],[Steps]]&gt;99,(F1548+Table1[[#This Row],[Steps]])-100,F1548+Table1[[#This Row],[Steps]]),
))</f>
        <v>0</v>
      </c>
      <c r="F1549">
        <f>IF(Table1[[#This Row],[New Pos L]]&lt;&gt;0,Table1[[#This Row],[New Pos L]],Table1[[#This Row],[New Pos R]])</f>
        <v>65</v>
      </c>
    </row>
    <row r="1550" spans="1:6" ht="16" x14ac:dyDescent="0.2">
      <c r="A1550" s="1" t="s">
        <v>252</v>
      </c>
      <c r="B1550" t="str">
        <f>LEFT(Table1[[#This Row],[Input]],1)</f>
        <v>L</v>
      </c>
      <c r="C1550">
        <f>_xlfn.LET(_xlpm.steps,SUBSTITUTE(Table1[[#This Row],[Input]],Table1[[#This Row],[Direction]],""),VALUE(IF(LEN(_xlpm.steps)&gt;2,RIGHT(_xlpm.steps,2),_xlpm.steps)))</f>
        <v>99</v>
      </c>
      <c r="D1550">
        <f>_xlfn.LET(_xlpm.dir,Table1[[#This Row],[Direction]],
IF(_xlpm.dir="L",
    IF(F1549-Table1[[#This Row],[Steps]]&lt;0,100+(F1549-Table1[[#This Row],[Steps]]),F1549-Table1[[#This Row],[Steps]]),
))</f>
        <v>66</v>
      </c>
      <c r="E1550">
        <f>_xlfn.LET(_xlpm.dir,Table1[[#This Row],[Direction]],
IF(_xlpm.dir="R",
    IF(F1549+Table1[[#This Row],[Steps]]&gt;99,(F1549+Table1[[#This Row],[Steps]])-100,F1549+Table1[[#This Row],[Steps]]),
))</f>
        <v>0</v>
      </c>
      <c r="F1550">
        <f>IF(Table1[[#This Row],[New Pos L]]&lt;&gt;0,Table1[[#This Row],[New Pos L]],Table1[[#This Row],[New Pos R]])</f>
        <v>66</v>
      </c>
    </row>
    <row r="1551" spans="1:6" ht="16" x14ac:dyDescent="0.2">
      <c r="A1551" s="1" t="s">
        <v>241</v>
      </c>
      <c r="B1551" t="str">
        <f>LEFT(Table1[[#This Row],[Input]],1)</f>
        <v>R</v>
      </c>
      <c r="C1551">
        <f>_xlfn.LET(_xlpm.steps,SUBSTITUTE(Table1[[#This Row],[Input]],Table1[[#This Row],[Direction]],""),VALUE(IF(LEN(_xlpm.steps)&gt;2,RIGHT(_xlpm.steps,2),_xlpm.steps)))</f>
        <v>60</v>
      </c>
      <c r="D1551">
        <f>_xlfn.LET(_xlpm.dir,Table1[[#This Row],[Direction]],
IF(_xlpm.dir="L",
    IF(F1550-Table1[[#This Row],[Steps]]&lt;0,100+(F1550-Table1[[#This Row],[Steps]]),F1550-Table1[[#This Row],[Steps]]),
))</f>
        <v>0</v>
      </c>
      <c r="E1551">
        <f>_xlfn.LET(_xlpm.dir,Table1[[#This Row],[Direction]],
IF(_xlpm.dir="R",
    IF(F1550+Table1[[#This Row],[Steps]]&gt;99,(F1550+Table1[[#This Row],[Steps]])-100,F1550+Table1[[#This Row],[Steps]]),
))</f>
        <v>26</v>
      </c>
      <c r="F1551">
        <f>IF(Table1[[#This Row],[New Pos L]]&lt;&gt;0,Table1[[#This Row],[New Pos L]],Table1[[#This Row],[New Pos R]])</f>
        <v>26</v>
      </c>
    </row>
    <row r="1552" spans="1:6" ht="16" x14ac:dyDescent="0.2">
      <c r="A1552" s="1" t="s">
        <v>53</v>
      </c>
      <c r="B1552" t="str">
        <f>LEFT(Table1[[#This Row],[Input]],1)</f>
        <v>L</v>
      </c>
      <c r="C1552">
        <f>_xlfn.LET(_xlpm.steps,SUBSTITUTE(Table1[[#This Row],[Input]],Table1[[#This Row],[Direction]],""),VALUE(IF(LEN(_xlpm.steps)&gt;2,RIGHT(_xlpm.steps,2),_xlpm.steps)))</f>
        <v>56</v>
      </c>
      <c r="D1552">
        <f>_xlfn.LET(_xlpm.dir,Table1[[#This Row],[Direction]],
IF(_xlpm.dir="L",
    IF(F1551-Table1[[#This Row],[Steps]]&lt;0,100+(F1551-Table1[[#This Row],[Steps]]),F1551-Table1[[#This Row],[Steps]]),
))</f>
        <v>70</v>
      </c>
      <c r="E1552">
        <f>_xlfn.LET(_xlpm.dir,Table1[[#This Row],[Direction]],
IF(_xlpm.dir="R",
    IF(F1551+Table1[[#This Row],[Steps]]&gt;99,(F1551+Table1[[#This Row],[Steps]])-100,F1551+Table1[[#This Row],[Steps]]),
))</f>
        <v>0</v>
      </c>
      <c r="F1552">
        <f>IF(Table1[[#This Row],[New Pos L]]&lt;&gt;0,Table1[[#This Row],[New Pos L]],Table1[[#This Row],[New Pos R]])</f>
        <v>70</v>
      </c>
    </row>
    <row r="1553" spans="1:6" ht="16" x14ac:dyDescent="0.2">
      <c r="A1553" s="1" t="s">
        <v>458</v>
      </c>
      <c r="B1553" t="str">
        <f>LEFT(Table1[[#This Row],[Input]],1)</f>
        <v>L</v>
      </c>
      <c r="C1553">
        <f>_xlfn.LET(_xlpm.steps,SUBSTITUTE(Table1[[#This Row],[Input]],Table1[[#This Row],[Direction]],""),VALUE(IF(LEN(_xlpm.steps)&gt;2,RIGHT(_xlpm.steps,2),_xlpm.steps)))</f>
        <v>85</v>
      </c>
      <c r="D1553">
        <f>_xlfn.LET(_xlpm.dir,Table1[[#This Row],[Direction]],
IF(_xlpm.dir="L",
    IF(F1552-Table1[[#This Row],[Steps]]&lt;0,100+(F1552-Table1[[#This Row],[Steps]]),F1552-Table1[[#This Row],[Steps]]),
))</f>
        <v>85</v>
      </c>
      <c r="E1553">
        <f>_xlfn.LET(_xlpm.dir,Table1[[#This Row],[Direction]],
IF(_xlpm.dir="R",
    IF(F1552+Table1[[#This Row],[Steps]]&gt;99,(F1552+Table1[[#This Row],[Steps]])-100,F1552+Table1[[#This Row],[Steps]]),
))</f>
        <v>0</v>
      </c>
      <c r="F1553">
        <f>IF(Table1[[#This Row],[New Pos L]]&lt;&gt;0,Table1[[#This Row],[New Pos L]],Table1[[#This Row],[New Pos R]])</f>
        <v>85</v>
      </c>
    </row>
    <row r="1554" spans="1:6" ht="16" x14ac:dyDescent="0.2">
      <c r="A1554" s="1" t="s">
        <v>260</v>
      </c>
      <c r="B1554" t="str">
        <f>LEFT(Table1[[#This Row],[Input]],1)</f>
        <v>L</v>
      </c>
      <c r="C1554">
        <f>_xlfn.LET(_xlpm.steps,SUBSTITUTE(Table1[[#This Row],[Input]],Table1[[#This Row],[Direction]],""),VALUE(IF(LEN(_xlpm.steps)&gt;2,RIGHT(_xlpm.steps,2),_xlpm.steps)))</f>
        <v>85</v>
      </c>
      <c r="D1554">
        <f>_xlfn.LET(_xlpm.dir,Table1[[#This Row],[Direction]],
IF(_xlpm.dir="L",
    IF(F1553-Table1[[#This Row],[Steps]]&lt;0,100+(F1553-Table1[[#This Row],[Steps]]),F1553-Table1[[#This Row],[Steps]]),
))</f>
        <v>0</v>
      </c>
      <c r="E1554">
        <f>_xlfn.LET(_xlpm.dir,Table1[[#This Row],[Direction]],
IF(_xlpm.dir="R",
    IF(F1553+Table1[[#This Row],[Steps]]&gt;99,(F1553+Table1[[#This Row],[Steps]])-100,F1553+Table1[[#This Row],[Steps]]),
))</f>
        <v>0</v>
      </c>
      <c r="F1554">
        <f>IF(Table1[[#This Row],[New Pos L]]&lt;&gt;0,Table1[[#This Row],[New Pos L]],Table1[[#This Row],[New Pos R]])</f>
        <v>0</v>
      </c>
    </row>
    <row r="1555" spans="1:6" ht="16" x14ac:dyDescent="0.2">
      <c r="A1555" s="1" t="s">
        <v>217</v>
      </c>
      <c r="B1555" t="str">
        <f>LEFT(Table1[[#This Row],[Input]],1)</f>
        <v>R</v>
      </c>
      <c r="C1555">
        <f>_xlfn.LET(_xlpm.steps,SUBSTITUTE(Table1[[#This Row],[Input]],Table1[[#This Row],[Direction]],""),VALUE(IF(LEN(_xlpm.steps)&gt;2,RIGHT(_xlpm.steps,2),_xlpm.steps)))</f>
        <v>91</v>
      </c>
      <c r="D1555">
        <f>_xlfn.LET(_xlpm.dir,Table1[[#This Row],[Direction]],
IF(_xlpm.dir="L",
    IF(F1554-Table1[[#This Row],[Steps]]&lt;0,100+(F1554-Table1[[#This Row],[Steps]]),F1554-Table1[[#This Row],[Steps]]),
))</f>
        <v>0</v>
      </c>
      <c r="E1555">
        <f>_xlfn.LET(_xlpm.dir,Table1[[#This Row],[Direction]],
IF(_xlpm.dir="R",
    IF(F1554+Table1[[#This Row],[Steps]]&gt;99,(F1554+Table1[[#This Row],[Steps]])-100,F1554+Table1[[#This Row],[Steps]]),
))</f>
        <v>91</v>
      </c>
      <c r="F1555">
        <f>IF(Table1[[#This Row],[New Pos L]]&lt;&gt;0,Table1[[#This Row],[New Pos L]],Table1[[#This Row],[New Pos R]])</f>
        <v>91</v>
      </c>
    </row>
    <row r="1556" spans="1:6" ht="16" x14ac:dyDescent="0.2">
      <c r="A1556" s="1" t="s">
        <v>36</v>
      </c>
      <c r="B1556" t="str">
        <f>LEFT(Table1[[#This Row],[Input]],1)</f>
        <v>R</v>
      </c>
      <c r="C1556">
        <f>_xlfn.LET(_xlpm.steps,SUBSTITUTE(Table1[[#This Row],[Input]],Table1[[#This Row],[Direction]],""),VALUE(IF(LEN(_xlpm.steps)&gt;2,RIGHT(_xlpm.steps,2),_xlpm.steps)))</f>
        <v>50</v>
      </c>
      <c r="D1556">
        <f>_xlfn.LET(_xlpm.dir,Table1[[#This Row],[Direction]],
IF(_xlpm.dir="L",
    IF(F1555-Table1[[#This Row],[Steps]]&lt;0,100+(F1555-Table1[[#This Row],[Steps]]),F1555-Table1[[#This Row],[Steps]]),
))</f>
        <v>0</v>
      </c>
      <c r="E1556">
        <f>_xlfn.LET(_xlpm.dir,Table1[[#This Row],[Direction]],
IF(_xlpm.dir="R",
    IF(F1555+Table1[[#This Row],[Steps]]&gt;99,(F1555+Table1[[#This Row],[Steps]])-100,F1555+Table1[[#This Row],[Steps]]),
))</f>
        <v>41</v>
      </c>
      <c r="F1556">
        <f>IF(Table1[[#This Row],[New Pos L]]&lt;&gt;0,Table1[[#This Row],[New Pos L]],Table1[[#This Row],[New Pos R]])</f>
        <v>41</v>
      </c>
    </row>
    <row r="1557" spans="1:6" ht="16" x14ac:dyDescent="0.2">
      <c r="A1557" s="1" t="s">
        <v>104</v>
      </c>
      <c r="B1557" t="str">
        <f>LEFT(Table1[[#This Row],[Input]],1)</f>
        <v>R</v>
      </c>
      <c r="C1557">
        <f>_xlfn.LET(_xlpm.steps,SUBSTITUTE(Table1[[#This Row],[Input]],Table1[[#This Row],[Direction]],""),VALUE(IF(LEN(_xlpm.steps)&gt;2,RIGHT(_xlpm.steps,2),_xlpm.steps)))</f>
        <v>59</v>
      </c>
      <c r="D1557">
        <f>_xlfn.LET(_xlpm.dir,Table1[[#This Row],[Direction]],
IF(_xlpm.dir="L",
    IF(F1556-Table1[[#This Row],[Steps]]&lt;0,100+(F1556-Table1[[#This Row],[Steps]]),F1556-Table1[[#This Row],[Steps]]),
))</f>
        <v>0</v>
      </c>
      <c r="E1557">
        <f>_xlfn.LET(_xlpm.dir,Table1[[#This Row],[Direction]],
IF(_xlpm.dir="R",
    IF(F1556+Table1[[#This Row],[Steps]]&gt;99,(F1556+Table1[[#This Row],[Steps]])-100,F1556+Table1[[#This Row],[Steps]]),
))</f>
        <v>0</v>
      </c>
      <c r="F1557">
        <f>IF(Table1[[#This Row],[New Pos L]]&lt;&gt;0,Table1[[#This Row],[New Pos L]],Table1[[#This Row],[New Pos R]])</f>
        <v>0</v>
      </c>
    </row>
    <row r="1558" spans="1:6" ht="16" x14ac:dyDescent="0.2">
      <c r="A1558" s="1" t="s">
        <v>57</v>
      </c>
      <c r="B1558" t="str">
        <f>LEFT(Table1[[#This Row],[Input]],1)</f>
        <v>R</v>
      </c>
      <c r="C1558">
        <f>_xlfn.LET(_xlpm.steps,SUBSTITUTE(Table1[[#This Row],[Input]],Table1[[#This Row],[Direction]],""),VALUE(IF(LEN(_xlpm.steps)&gt;2,RIGHT(_xlpm.steps,2),_xlpm.steps)))</f>
        <v>29</v>
      </c>
      <c r="D1558">
        <f>_xlfn.LET(_xlpm.dir,Table1[[#This Row],[Direction]],
IF(_xlpm.dir="L",
    IF(F1557-Table1[[#This Row],[Steps]]&lt;0,100+(F1557-Table1[[#This Row],[Steps]]),F1557-Table1[[#This Row],[Steps]]),
))</f>
        <v>0</v>
      </c>
      <c r="E1558">
        <f>_xlfn.LET(_xlpm.dir,Table1[[#This Row],[Direction]],
IF(_xlpm.dir="R",
    IF(F1557+Table1[[#This Row],[Steps]]&gt;99,(F1557+Table1[[#This Row],[Steps]])-100,F1557+Table1[[#This Row],[Steps]]),
))</f>
        <v>29</v>
      </c>
      <c r="F1558">
        <f>IF(Table1[[#This Row],[New Pos L]]&lt;&gt;0,Table1[[#This Row],[New Pos L]],Table1[[#This Row],[New Pos R]])</f>
        <v>29</v>
      </c>
    </row>
    <row r="1559" spans="1:6" ht="16" x14ac:dyDescent="0.2">
      <c r="A1559" s="1" t="s">
        <v>459</v>
      </c>
      <c r="B1559" t="str">
        <f>LEFT(Table1[[#This Row],[Input]],1)</f>
        <v>L</v>
      </c>
      <c r="C1559">
        <f>_xlfn.LET(_xlpm.steps,SUBSTITUTE(Table1[[#This Row],[Input]],Table1[[#This Row],[Direction]],""),VALUE(IF(LEN(_xlpm.steps)&gt;2,RIGHT(_xlpm.steps,2),_xlpm.steps)))</f>
        <v>29</v>
      </c>
      <c r="D1559">
        <f>_xlfn.LET(_xlpm.dir,Table1[[#This Row],[Direction]],
IF(_xlpm.dir="L",
    IF(F1558-Table1[[#This Row],[Steps]]&lt;0,100+(F1558-Table1[[#This Row],[Steps]]),F1558-Table1[[#This Row],[Steps]]),
))</f>
        <v>0</v>
      </c>
      <c r="E1559">
        <f>_xlfn.LET(_xlpm.dir,Table1[[#This Row],[Direction]],
IF(_xlpm.dir="R",
    IF(F1558+Table1[[#This Row],[Steps]]&gt;99,(F1558+Table1[[#This Row],[Steps]])-100,F1558+Table1[[#This Row],[Steps]]),
))</f>
        <v>0</v>
      </c>
      <c r="F1559">
        <f>IF(Table1[[#This Row],[New Pos L]]&lt;&gt;0,Table1[[#This Row],[New Pos L]],Table1[[#This Row],[New Pos R]])</f>
        <v>0</v>
      </c>
    </row>
    <row r="1560" spans="1:6" ht="16" x14ac:dyDescent="0.2">
      <c r="A1560" s="1" t="s">
        <v>39</v>
      </c>
      <c r="B1560" t="str">
        <f>LEFT(Table1[[#This Row],[Input]],1)</f>
        <v>R</v>
      </c>
      <c r="C1560">
        <f>_xlfn.LET(_xlpm.steps,SUBSTITUTE(Table1[[#This Row],[Input]],Table1[[#This Row],[Direction]],""),VALUE(IF(LEN(_xlpm.steps)&gt;2,RIGHT(_xlpm.steps,2),_xlpm.steps)))</f>
        <v>32</v>
      </c>
      <c r="D1560">
        <f>_xlfn.LET(_xlpm.dir,Table1[[#This Row],[Direction]],
IF(_xlpm.dir="L",
    IF(F1559-Table1[[#This Row],[Steps]]&lt;0,100+(F1559-Table1[[#This Row],[Steps]]),F1559-Table1[[#This Row],[Steps]]),
))</f>
        <v>0</v>
      </c>
      <c r="E1560">
        <f>_xlfn.LET(_xlpm.dir,Table1[[#This Row],[Direction]],
IF(_xlpm.dir="R",
    IF(F1559+Table1[[#This Row],[Steps]]&gt;99,(F1559+Table1[[#This Row],[Steps]])-100,F1559+Table1[[#This Row],[Steps]]),
))</f>
        <v>32</v>
      </c>
      <c r="F1560">
        <f>IF(Table1[[#This Row],[New Pos L]]&lt;&gt;0,Table1[[#This Row],[New Pos L]],Table1[[#This Row],[New Pos R]])</f>
        <v>32</v>
      </c>
    </row>
    <row r="1561" spans="1:6" ht="16" x14ac:dyDescent="0.2">
      <c r="A1561" s="1" t="s">
        <v>157</v>
      </c>
      <c r="B1561" t="str">
        <f>LEFT(Table1[[#This Row],[Input]],1)</f>
        <v>R</v>
      </c>
      <c r="C1561">
        <f>_xlfn.LET(_xlpm.steps,SUBSTITUTE(Table1[[#This Row],[Input]],Table1[[#This Row],[Direction]],""),VALUE(IF(LEN(_xlpm.steps)&gt;2,RIGHT(_xlpm.steps,2),_xlpm.steps)))</f>
        <v>68</v>
      </c>
      <c r="D1561">
        <f>_xlfn.LET(_xlpm.dir,Table1[[#This Row],[Direction]],
IF(_xlpm.dir="L",
    IF(F1560-Table1[[#This Row],[Steps]]&lt;0,100+(F1560-Table1[[#This Row],[Steps]]),F1560-Table1[[#This Row],[Steps]]),
))</f>
        <v>0</v>
      </c>
      <c r="E1561">
        <f>_xlfn.LET(_xlpm.dir,Table1[[#This Row],[Direction]],
IF(_xlpm.dir="R",
    IF(F1560+Table1[[#This Row],[Steps]]&gt;99,(F1560+Table1[[#This Row],[Steps]])-100,F1560+Table1[[#This Row],[Steps]]),
))</f>
        <v>0</v>
      </c>
      <c r="F1561">
        <f>IF(Table1[[#This Row],[New Pos L]]&lt;&gt;0,Table1[[#This Row],[New Pos L]],Table1[[#This Row],[New Pos R]])</f>
        <v>0</v>
      </c>
    </row>
    <row r="1562" spans="1:6" ht="16" x14ac:dyDescent="0.2">
      <c r="A1562" s="1" t="s">
        <v>255</v>
      </c>
      <c r="B1562" t="str">
        <f>LEFT(Table1[[#This Row],[Input]],1)</f>
        <v>R</v>
      </c>
      <c r="C1562">
        <f>_xlfn.LET(_xlpm.steps,SUBSTITUTE(Table1[[#This Row],[Input]],Table1[[#This Row],[Direction]],""),VALUE(IF(LEN(_xlpm.steps)&gt;2,RIGHT(_xlpm.steps,2),_xlpm.steps)))</f>
        <v>16</v>
      </c>
      <c r="D1562">
        <f>_xlfn.LET(_xlpm.dir,Table1[[#This Row],[Direction]],
IF(_xlpm.dir="L",
    IF(F1561-Table1[[#This Row],[Steps]]&lt;0,100+(F1561-Table1[[#This Row],[Steps]]),F1561-Table1[[#This Row],[Steps]]),
))</f>
        <v>0</v>
      </c>
      <c r="E1562">
        <f>_xlfn.LET(_xlpm.dir,Table1[[#This Row],[Direction]],
IF(_xlpm.dir="R",
    IF(F1561+Table1[[#This Row],[Steps]]&gt;99,(F1561+Table1[[#This Row],[Steps]])-100,F1561+Table1[[#This Row],[Steps]]),
))</f>
        <v>16</v>
      </c>
      <c r="F1562">
        <f>IF(Table1[[#This Row],[New Pos L]]&lt;&gt;0,Table1[[#This Row],[New Pos L]],Table1[[#This Row],[New Pos R]])</f>
        <v>16</v>
      </c>
    </row>
    <row r="1563" spans="1:6" ht="16" x14ac:dyDescent="0.2">
      <c r="A1563" s="1" t="s">
        <v>61</v>
      </c>
      <c r="B1563" t="str">
        <f>LEFT(Table1[[#This Row],[Input]],1)</f>
        <v>L</v>
      </c>
      <c r="C1563">
        <f>_xlfn.LET(_xlpm.steps,SUBSTITUTE(Table1[[#This Row],[Input]],Table1[[#This Row],[Direction]],""),VALUE(IF(LEN(_xlpm.steps)&gt;2,RIGHT(_xlpm.steps,2),_xlpm.steps)))</f>
        <v>16</v>
      </c>
      <c r="D1563">
        <f>_xlfn.LET(_xlpm.dir,Table1[[#This Row],[Direction]],
IF(_xlpm.dir="L",
    IF(F1562-Table1[[#This Row],[Steps]]&lt;0,100+(F1562-Table1[[#This Row],[Steps]]),F1562-Table1[[#This Row],[Steps]]),
))</f>
        <v>0</v>
      </c>
      <c r="E1563">
        <f>_xlfn.LET(_xlpm.dir,Table1[[#This Row],[Direction]],
IF(_xlpm.dir="R",
    IF(F1562+Table1[[#This Row],[Steps]]&gt;99,(F1562+Table1[[#This Row],[Steps]])-100,F1562+Table1[[#This Row],[Steps]]),
))</f>
        <v>0</v>
      </c>
      <c r="F1563">
        <f>IF(Table1[[#This Row],[New Pos L]]&lt;&gt;0,Table1[[#This Row],[New Pos L]],Table1[[#This Row],[New Pos R]])</f>
        <v>0</v>
      </c>
    </row>
    <row r="1564" spans="1:6" ht="16" x14ac:dyDescent="0.2">
      <c r="A1564" s="1" t="s">
        <v>460</v>
      </c>
      <c r="B1564" t="str">
        <f>LEFT(Table1[[#This Row],[Input]],1)</f>
        <v>R</v>
      </c>
      <c r="C1564">
        <f>_xlfn.LET(_xlpm.steps,SUBSTITUTE(Table1[[#This Row],[Input]],Table1[[#This Row],[Direction]],""),VALUE(IF(LEN(_xlpm.steps)&gt;2,RIGHT(_xlpm.steps,2),_xlpm.steps)))</f>
        <v>72</v>
      </c>
      <c r="D1564">
        <f>_xlfn.LET(_xlpm.dir,Table1[[#This Row],[Direction]],
IF(_xlpm.dir="L",
    IF(F1563-Table1[[#This Row],[Steps]]&lt;0,100+(F1563-Table1[[#This Row],[Steps]]),F1563-Table1[[#This Row],[Steps]]),
))</f>
        <v>0</v>
      </c>
      <c r="E1564">
        <f>_xlfn.LET(_xlpm.dir,Table1[[#This Row],[Direction]],
IF(_xlpm.dir="R",
    IF(F1563+Table1[[#This Row],[Steps]]&gt;99,(F1563+Table1[[#This Row],[Steps]])-100,F1563+Table1[[#This Row],[Steps]]),
))</f>
        <v>72</v>
      </c>
      <c r="F1564">
        <f>IF(Table1[[#This Row],[New Pos L]]&lt;&gt;0,Table1[[#This Row],[New Pos L]],Table1[[#This Row],[New Pos R]])</f>
        <v>72</v>
      </c>
    </row>
    <row r="1565" spans="1:6" ht="16" x14ac:dyDescent="0.2">
      <c r="A1565" s="1" t="s">
        <v>136</v>
      </c>
      <c r="B1565" t="str">
        <f>LEFT(Table1[[#This Row],[Input]],1)</f>
        <v>L</v>
      </c>
      <c r="C1565">
        <f>_xlfn.LET(_xlpm.steps,SUBSTITUTE(Table1[[#This Row],[Input]],Table1[[#This Row],[Direction]],""),VALUE(IF(LEN(_xlpm.steps)&gt;2,RIGHT(_xlpm.steps,2),_xlpm.steps)))</f>
        <v>72</v>
      </c>
      <c r="D1565">
        <f>_xlfn.LET(_xlpm.dir,Table1[[#This Row],[Direction]],
IF(_xlpm.dir="L",
    IF(F1564-Table1[[#This Row],[Steps]]&lt;0,100+(F1564-Table1[[#This Row],[Steps]]),F1564-Table1[[#This Row],[Steps]]),
))</f>
        <v>0</v>
      </c>
      <c r="E1565">
        <f>_xlfn.LET(_xlpm.dir,Table1[[#This Row],[Direction]],
IF(_xlpm.dir="R",
    IF(F1564+Table1[[#This Row],[Steps]]&gt;99,(F1564+Table1[[#This Row],[Steps]])-100,F1564+Table1[[#This Row],[Steps]]),
))</f>
        <v>0</v>
      </c>
      <c r="F1565">
        <f>IF(Table1[[#This Row],[New Pos L]]&lt;&gt;0,Table1[[#This Row],[New Pos L]],Table1[[#This Row],[New Pos R]])</f>
        <v>0</v>
      </c>
    </row>
    <row r="1566" spans="1:6" ht="16" x14ac:dyDescent="0.2">
      <c r="A1566" s="1" t="s">
        <v>234</v>
      </c>
      <c r="B1566" t="str">
        <f>LEFT(Table1[[#This Row],[Input]],1)</f>
        <v>R</v>
      </c>
      <c r="C1566">
        <f>_xlfn.LET(_xlpm.steps,SUBSTITUTE(Table1[[#This Row],[Input]],Table1[[#This Row],[Direction]],""),VALUE(IF(LEN(_xlpm.steps)&gt;2,RIGHT(_xlpm.steps,2),_xlpm.steps)))</f>
        <v>82</v>
      </c>
      <c r="D1566">
        <f>_xlfn.LET(_xlpm.dir,Table1[[#This Row],[Direction]],
IF(_xlpm.dir="L",
    IF(F1565-Table1[[#This Row],[Steps]]&lt;0,100+(F1565-Table1[[#This Row],[Steps]]),F1565-Table1[[#This Row],[Steps]]),
))</f>
        <v>0</v>
      </c>
      <c r="E1566">
        <f>_xlfn.LET(_xlpm.dir,Table1[[#This Row],[Direction]],
IF(_xlpm.dir="R",
    IF(F1565+Table1[[#This Row],[Steps]]&gt;99,(F1565+Table1[[#This Row],[Steps]])-100,F1565+Table1[[#This Row],[Steps]]),
))</f>
        <v>82</v>
      </c>
      <c r="F1566">
        <f>IF(Table1[[#This Row],[New Pos L]]&lt;&gt;0,Table1[[#This Row],[New Pos L]],Table1[[#This Row],[New Pos R]])</f>
        <v>82</v>
      </c>
    </row>
    <row r="1567" spans="1:6" ht="16" x14ac:dyDescent="0.2">
      <c r="A1567" s="1" t="s">
        <v>8</v>
      </c>
      <c r="B1567" t="str">
        <f>LEFT(Table1[[#This Row],[Input]],1)</f>
        <v>R</v>
      </c>
      <c r="C1567">
        <f>_xlfn.LET(_xlpm.steps,SUBSTITUTE(Table1[[#This Row],[Input]],Table1[[#This Row],[Direction]],""),VALUE(IF(LEN(_xlpm.steps)&gt;2,RIGHT(_xlpm.steps,2),_xlpm.steps)))</f>
        <v>18</v>
      </c>
      <c r="D1567">
        <f>_xlfn.LET(_xlpm.dir,Table1[[#This Row],[Direction]],
IF(_xlpm.dir="L",
    IF(F1566-Table1[[#This Row],[Steps]]&lt;0,100+(F1566-Table1[[#This Row],[Steps]]),F1566-Table1[[#This Row],[Steps]]),
))</f>
        <v>0</v>
      </c>
      <c r="E1567">
        <f>_xlfn.LET(_xlpm.dir,Table1[[#This Row],[Direction]],
IF(_xlpm.dir="R",
    IF(F1566+Table1[[#This Row],[Steps]]&gt;99,(F1566+Table1[[#This Row],[Steps]])-100,F1566+Table1[[#This Row],[Steps]]),
))</f>
        <v>0</v>
      </c>
      <c r="F1567">
        <f>IF(Table1[[#This Row],[New Pos L]]&lt;&gt;0,Table1[[#This Row],[New Pos L]],Table1[[#This Row],[New Pos R]])</f>
        <v>0</v>
      </c>
    </row>
    <row r="1568" spans="1:6" ht="16" x14ac:dyDescent="0.2">
      <c r="A1568" s="1" t="s">
        <v>193</v>
      </c>
      <c r="B1568" t="str">
        <f>LEFT(Table1[[#This Row],[Input]],1)</f>
        <v>L</v>
      </c>
      <c r="C1568">
        <f>_xlfn.LET(_xlpm.steps,SUBSTITUTE(Table1[[#This Row],[Input]],Table1[[#This Row],[Direction]],""),VALUE(IF(LEN(_xlpm.steps)&gt;2,RIGHT(_xlpm.steps,2),_xlpm.steps)))</f>
        <v>12</v>
      </c>
      <c r="D1568">
        <f>_xlfn.LET(_xlpm.dir,Table1[[#This Row],[Direction]],
IF(_xlpm.dir="L",
    IF(F1567-Table1[[#This Row],[Steps]]&lt;0,100+(F1567-Table1[[#This Row],[Steps]]),F1567-Table1[[#This Row],[Steps]]),
))</f>
        <v>88</v>
      </c>
      <c r="E1568">
        <f>_xlfn.LET(_xlpm.dir,Table1[[#This Row],[Direction]],
IF(_xlpm.dir="R",
    IF(F1567+Table1[[#This Row],[Steps]]&gt;99,(F1567+Table1[[#This Row],[Steps]])-100,F1567+Table1[[#This Row],[Steps]]),
))</f>
        <v>0</v>
      </c>
      <c r="F1568">
        <f>IF(Table1[[#This Row],[New Pos L]]&lt;&gt;0,Table1[[#This Row],[New Pos L]],Table1[[#This Row],[New Pos R]])</f>
        <v>88</v>
      </c>
    </row>
    <row r="1569" spans="1:6" ht="16" x14ac:dyDescent="0.2">
      <c r="A1569" s="1" t="s">
        <v>461</v>
      </c>
      <c r="B1569" t="str">
        <f>LEFT(Table1[[#This Row],[Input]],1)</f>
        <v>L</v>
      </c>
      <c r="C1569">
        <f>_xlfn.LET(_xlpm.steps,SUBSTITUTE(Table1[[#This Row],[Input]],Table1[[#This Row],[Direction]],""),VALUE(IF(LEN(_xlpm.steps)&gt;2,RIGHT(_xlpm.steps,2),_xlpm.steps)))</f>
        <v>77</v>
      </c>
      <c r="D1569">
        <f>_xlfn.LET(_xlpm.dir,Table1[[#This Row],[Direction]],
IF(_xlpm.dir="L",
    IF(F1568-Table1[[#This Row],[Steps]]&lt;0,100+(F1568-Table1[[#This Row],[Steps]]),F1568-Table1[[#This Row],[Steps]]),
))</f>
        <v>11</v>
      </c>
      <c r="E1569">
        <f>_xlfn.LET(_xlpm.dir,Table1[[#This Row],[Direction]],
IF(_xlpm.dir="R",
    IF(F1568+Table1[[#This Row],[Steps]]&gt;99,(F1568+Table1[[#This Row],[Steps]])-100,F1568+Table1[[#This Row],[Steps]]),
))</f>
        <v>0</v>
      </c>
      <c r="F1569">
        <f>IF(Table1[[#This Row],[New Pos L]]&lt;&gt;0,Table1[[#This Row],[New Pos L]],Table1[[#This Row],[New Pos R]])</f>
        <v>11</v>
      </c>
    </row>
    <row r="1570" spans="1:6" ht="16" x14ac:dyDescent="0.2">
      <c r="A1570" s="1" t="s">
        <v>210</v>
      </c>
      <c r="B1570" t="str">
        <f>LEFT(Table1[[#This Row],[Input]],1)</f>
        <v>R</v>
      </c>
      <c r="C1570">
        <f>_xlfn.LET(_xlpm.steps,SUBSTITUTE(Table1[[#This Row],[Input]],Table1[[#This Row],[Direction]],""),VALUE(IF(LEN(_xlpm.steps)&gt;2,RIGHT(_xlpm.steps,2),_xlpm.steps)))</f>
        <v>89</v>
      </c>
      <c r="D1570">
        <f>_xlfn.LET(_xlpm.dir,Table1[[#This Row],[Direction]],
IF(_xlpm.dir="L",
    IF(F1569-Table1[[#This Row],[Steps]]&lt;0,100+(F1569-Table1[[#This Row],[Steps]]),F1569-Table1[[#This Row],[Steps]]),
))</f>
        <v>0</v>
      </c>
      <c r="E1570">
        <f>_xlfn.LET(_xlpm.dir,Table1[[#This Row],[Direction]],
IF(_xlpm.dir="R",
    IF(F1569+Table1[[#This Row],[Steps]]&gt;99,(F1569+Table1[[#This Row],[Steps]])-100,F1569+Table1[[#This Row],[Steps]]),
))</f>
        <v>0</v>
      </c>
      <c r="F1570">
        <f>IF(Table1[[#This Row],[New Pos L]]&lt;&gt;0,Table1[[#This Row],[New Pos L]],Table1[[#This Row],[New Pos R]])</f>
        <v>0</v>
      </c>
    </row>
    <row r="1571" spans="1:6" ht="16" x14ac:dyDescent="0.2">
      <c r="A1571" s="1" t="s">
        <v>15</v>
      </c>
      <c r="B1571" t="str">
        <f>LEFT(Table1[[#This Row],[Input]],1)</f>
        <v>R</v>
      </c>
      <c r="C1571">
        <f>_xlfn.LET(_xlpm.steps,SUBSTITUTE(Table1[[#This Row],[Input]],Table1[[#This Row],[Direction]],""),VALUE(IF(LEN(_xlpm.steps)&gt;2,RIGHT(_xlpm.steps,2),_xlpm.steps)))</f>
        <v>36</v>
      </c>
      <c r="D1571">
        <f>_xlfn.LET(_xlpm.dir,Table1[[#This Row],[Direction]],
IF(_xlpm.dir="L",
    IF(F1570-Table1[[#This Row],[Steps]]&lt;0,100+(F1570-Table1[[#This Row],[Steps]]),F1570-Table1[[#This Row],[Steps]]),
))</f>
        <v>0</v>
      </c>
      <c r="E1571">
        <f>_xlfn.LET(_xlpm.dir,Table1[[#This Row],[Direction]],
IF(_xlpm.dir="R",
    IF(F1570+Table1[[#This Row],[Steps]]&gt;99,(F1570+Table1[[#This Row],[Steps]])-100,F1570+Table1[[#This Row],[Steps]]),
))</f>
        <v>36</v>
      </c>
      <c r="F1571">
        <f>IF(Table1[[#This Row],[New Pos L]]&lt;&gt;0,Table1[[#This Row],[New Pos L]],Table1[[#This Row],[New Pos R]])</f>
        <v>36</v>
      </c>
    </row>
    <row r="1572" spans="1:6" ht="16" x14ac:dyDescent="0.2">
      <c r="A1572" s="1" t="s">
        <v>14</v>
      </c>
      <c r="B1572" t="str">
        <f>LEFT(Table1[[#This Row],[Input]],1)</f>
        <v>L</v>
      </c>
      <c r="C1572">
        <f>_xlfn.LET(_xlpm.steps,SUBSTITUTE(Table1[[#This Row],[Input]],Table1[[#This Row],[Direction]],""),VALUE(IF(LEN(_xlpm.steps)&gt;2,RIGHT(_xlpm.steps,2),_xlpm.steps)))</f>
        <v>43</v>
      </c>
      <c r="D1572">
        <f>_xlfn.LET(_xlpm.dir,Table1[[#This Row],[Direction]],
IF(_xlpm.dir="L",
    IF(F1571-Table1[[#This Row],[Steps]]&lt;0,100+(F1571-Table1[[#This Row],[Steps]]),F1571-Table1[[#This Row],[Steps]]),
))</f>
        <v>93</v>
      </c>
      <c r="E1572">
        <f>_xlfn.LET(_xlpm.dir,Table1[[#This Row],[Direction]],
IF(_xlpm.dir="R",
    IF(F1571+Table1[[#This Row],[Steps]]&gt;99,(F1571+Table1[[#This Row],[Steps]])-100,F1571+Table1[[#This Row],[Steps]]),
))</f>
        <v>0</v>
      </c>
      <c r="F1572">
        <f>IF(Table1[[#This Row],[New Pos L]]&lt;&gt;0,Table1[[#This Row],[New Pos L]],Table1[[#This Row],[New Pos R]])</f>
        <v>93</v>
      </c>
    </row>
    <row r="1573" spans="1:6" ht="16" x14ac:dyDescent="0.2">
      <c r="A1573" s="1" t="s">
        <v>24</v>
      </c>
      <c r="B1573" t="str">
        <f>LEFT(Table1[[#This Row],[Input]],1)</f>
        <v>L</v>
      </c>
      <c r="C1573">
        <f>_xlfn.LET(_xlpm.steps,SUBSTITUTE(Table1[[#This Row],[Input]],Table1[[#This Row],[Direction]],""),VALUE(IF(LEN(_xlpm.steps)&gt;2,RIGHT(_xlpm.steps,2),_xlpm.steps)))</f>
        <v>49</v>
      </c>
      <c r="D1573">
        <f>_xlfn.LET(_xlpm.dir,Table1[[#This Row],[Direction]],
IF(_xlpm.dir="L",
    IF(F1572-Table1[[#This Row],[Steps]]&lt;0,100+(F1572-Table1[[#This Row],[Steps]]),F1572-Table1[[#This Row],[Steps]]),
))</f>
        <v>44</v>
      </c>
      <c r="E1573">
        <f>_xlfn.LET(_xlpm.dir,Table1[[#This Row],[Direction]],
IF(_xlpm.dir="R",
    IF(F1572+Table1[[#This Row],[Steps]]&gt;99,(F1572+Table1[[#This Row],[Steps]])-100,F1572+Table1[[#This Row],[Steps]]),
))</f>
        <v>0</v>
      </c>
      <c r="F1573">
        <f>IF(Table1[[#This Row],[New Pos L]]&lt;&gt;0,Table1[[#This Row],[New Pos L]],Table1[[#This Row],[New Pos R]])</f>
        <v>44</v>
      </c>
    </row>
    <row r="1574" spans="1:6" ht="16" x14ac:dyDescent="0.2">
      <c r="A1574" s="1" t="s">
        <v>201</v>
      </c>
      <c r="B1574" t="str">
        <f>LEFT(Table1[[#This Row],[Input]],1)</f>
        <v>R</v>
      </c>
      <c r="C1574">
        <f>_xlfn.LET(_xlpm.steps,SUBSTITUTE(Table1[[#This Row],[Input]],Table1[[#This Row],[Direction]],""),VALUE(IF(LEN(_xlpm.steps)&gt;2,RIGHT(_xlpm.steps,2),_xlpm.steps)))</f>
        <v>31</v>
      </c>
      <c r="D1574">
        <f>_xlfn.LET(_xlpm.dir,Table1[[#This Row],[Direction]],
IF(_xlpm.dir="L",
    IF(F1573-Table1[[#This Row],[Steps]]&lt;0,100+(F1573-Table1[[#This Row],[Steps]]),F1573-Table1[[#This Row],[Steps]]),
))</f>
        <v>0</v>
      </c>
      <c r="E1574">
        <f>_xlfn.LET(_xlpm.dir,Table1[[#This Row],[Direction]],
IF(_xlpm.dir="R",
    IF(F1573+Table1[[#This Row],[Steps]]&gt;99,(F1573+Table1[[#This Row],[Steps]])-100,F1573+Table1[[#This Row],[Steps]]),
))</f>
        <v>75</v>
      </c>
      <c r="F1574">
        <f>IF(Table1[[#This Row],[New Pos L]]&lt;&gt;0,Table1[[#This Row],[New Pos L]],Table1[[#This Row],[New Pos R]])</f>
        <v>75</v>
      </c>
    </row>
    <row r="1575" spans="1:6" ht="16" x14ac:dyDescent="0.2">
      <c r="A1575" s="1" t="s">
        <v>61</v>
      </c>
      <c r="B1575" t="str">
        <f>LEFT(Table1[[#This Row],[Input]],1)</f>
        <v>L</v>
      </c>
      <c r="C1575">
        <f>_xlfn.LET(_xlpm.steps,SUBSTITUTE(Table1[[#This Row],[Input]],Table1[[#This Row],[Direction]],""),VALUE(IF(LEN(_xlpm.steps)&gt;2,RIGHT(_xlpm.steps,2),_xlpm.steps)))</f>
        <v>16</v>
      </c>
      <c r="D1575">
        <f>_xlfn.LET(_xlpm.dir,Table1[[#This Row],[Direction]],
IF(_xlpm.dir="L",
    IF(F1574-Table1[[#This Row],[Steps]]&lt;0,100+(F1574-Table1[[#This Row],[Steps]]),F1574-Table1[[#This Row],[Steps]]),
))</f>
        <v>59</v>
      </c>
      <c r="E1575">
        <f>_xlfn.LET(_xlpm.dir,Table1[[#This Row],[Direction]],
IF(_xlpm.dir="R",
    IF(F1574+Table1[[#This Row],[Steps]]&gt;99,(F1574+Table1[[#This Row],[Steps]])-100,F1574+Table1[[#This Row],[Steps]]),
))</f>
        <v>0</v>
      </c>
      <c r="F1575">
        <f>IF(Table1[[#This Row],[New Pos L]]&lt;&gt;0,Table1[[#This Row],[New Pos L]],Table1[[#This Row],[New Pos R]])</f>
        <v>59</v>
      </c>
    </row>
    <row r="1576" spans="1:6" ht="16" x14ac:dyDescent="0.2">
      <c r="A1576" s="1" t="s">
        <v>106</v>
      </c>
      <c r="B1576" t="str">
        <f>LEFT(Table1[[#This Row],[Input]],1)</f>
        <v>R</v>
      </c>
      <c r="C1576">
        <f>_xlfn.LET(_xlpm.steps,SUBSTITUTE(Table1[[#This Row],[Input]],Table1[[#This Row],[Direction]],""),VALUE(IF(LEN(_xlpm.steps)&gt;2,RIGHT(_xlpm.steps,2),_xlpm.steps)))</f>
        <v>41</v>
      </c>
      <c r="D1576">
        <f>_xlfn.LET(_xlpm.dir,Table1[[#This Row],[Direction]],
IF(_xlpm.dir="L",
    IF(F1575-Table1[[#This Row],[Steps]]&lt;0,100+(F1575-Table1[[#This Row],[Steps]]),F1575-Table1[[#This Row],[Steps]]),
))</f>
        <v>0</v>
      </c>
      <c r="E1576">
        <f>_xlfn.LET(_xlpm.dir,Table1[[#This Row],[Direction]],
IF(_xlpm.dir="R",
    IF(F1575+Table1[[#This Row],[Steps]]&gt;99,(F1575+Table1[[#This Row],[Steps]])-100,F1575+Table1[[#This Row],[Steps]]),
))</f>
        <v>0</v>
      </c>
      <c r="F1576">
        <f>IF(Table1[[#This Row],[New Pos L]]&lt;&gt;0,Table1[[#This Row],[New Pos L]],Table1[[#This Row],[New Pos R]])</f>
        <v>0</v>
      </c>
    </row>
    <row r="1577" spans="1:6" ht="16" x14ac:dyDescent="0.2">
      <c r="A1577" s="1" t="s">
        <v>462</v>
      </c>
      <c r="B1577" t="str">
        <f>LEFT(Table1[[#This Row],[Input]],1)</f>
        <v>L</v>
      </c>
      <c r="C1577">
        <f>_xlfn.LET(_xlpm.steps,SUBSTITUTE(Table1[[#This Row],[Input]],Table1[[#This Row],[Direction]],""),VALUE(IF(LEN(_xlpm.steps)&gt;2,RIGHT(_xlpm.steps,2),_xlpm.steps)))</f>
        <v>17</v>
      </c>
      <c r="D1577">
        <f>_xlfn.LET(_xlpm.dir,Table1[[#This Row],[Direction]],
IF(_xlpm.dir="L",
    IF(F1576-Table1[[#This Row],[Steps]]&lt;0,100+(F1576-Table1[[#This Row],[Steps]]),F1576-Table1[[#This Row],[Steps]]),
))</f>
        <v>83</v>
      </c>
      <c r="E1577">
        <f>_xlfn.LET(_xlpm.dir,Table1[[#This Row],[Direction]],
IF(_xlpm.dir="R",
    IF(F1576+Table1[[#This Row],[Steps]]&gt;99,(F1576+Table1[[#This Row],[Steps]])-100,F1576+Table1[[#This Row],[Steps]]),
))</f>
        <v>0</v>
      </c>
      <c r="F1577">
        <f>IF(Table1[[#This Row],[New Pos L]]&lt;&gt;0,Table1[[#This Row],[New Pos L]],Table1[[#This Row],[New Pos R]])</f>
        <v>83</v>
      </c>
    </row>
    <row r="1578" spans="1:6" ht="16" x14ac:dyDescent="0.2">
      <c r="A1578" s="1" t="s">
        <v>76</v>
      </c>
      <c r="B1578" t="str">
        <f>LEFT(Table1[[#This Row],[Input]],1)</f>
        <v>R</v>
      </c>
      <c r="C1578">
        <f>_xlfn.LET(_xlpm.steps,SUBSTITUTE(Table1[[#This Row],[Input]],Table1[[#This Row],[Direction]],""),VALUE(IF(LEN(_xlpm.steps)&gt;2,RIGHT(_xlpm.steps,2),_xlpm.steps)))</f>
        <v>37</v>
      </c>
      <c r="D1578">
        <f>_xlfn.LET(_xlpm.dir,Table1[[#This Row],[Direction]],
IF(_xlpm.dir="L",
    IF(F1577-Table1[[#This Row],[Steps]]&lt;0,100+(F1577-Table1[[#This Row],[Steps]]),F1577-Table1[[#This Row],[Steps]]),
))</f>
        <v>0</v>
      </c>
      <c r="E1578">
        <f>_xlfn.LET(_xlpm.dir,Table1[[#This Row],[Direction]],
IF(_xlpm.dir="R",
    IF(F1577+Table1[[#This Row],[Steps]]&gt;99,(F1577+Table1[[#This Row],[Steps]])-100,F1577+Table1[[#This Row],[Steps]]),
))</f>
        <v>20</v>
      </c>
      <c r="F1578">
        <f>IF(Table1[[#This Row],[New Pos L]]&lt;&gt;0,Table1[[#This Row],[New Pos L]],Table1[[#This Row],[New Pos R]])</f>
        <v>20</v>
      </c>
    </row>
    <row r="1579" spans="1:6" ht="16" x14ac:dyDescent="0.2">
      <c r="A1579" s="1" t="s">
        <v>75</v>
      </c>
      <c r="B1579" t="str">
        <f>LEFT(Table1[[#This Row],[Input]],1)</f>
        <v>R</v>
      </c>
      <c r="C1579">
        <f>_xlfn.LET(_xlpm.steps,SUBSTITUTE(Table1[[#This Row],[Input]],Table1[[#This Row],[Direction]],""),VALUE(IF(LEN(_xlpm.steps)&gt;2,RIGHT(_xlpm.steps,2),_xlpm.steps)))</f>
        <v>2</v>
      </c>
      <c r="D1579">
        <f>_xlfn.LET(_xlpm.dir,Table1[[#This Row],[Direction]],
IF(_xlpm.dir="L",
    IF(F1578-Table1[[#This Row],[Steps]]&lt;0,100+(F1578-Table1[[#This Row],[Steps]]),F1578-Table1[[#This Row],[Steps]]),
))</f>
        <v>0</v>
      </c>
      <c r="E1579">
        <f>_xlfn.LET(_xlpm.dir,Table1[[#This Row],[Direction]],
IF(_xlpm.dir="R",
    IF(F1578+Table1[[#This Row],[Steps]]&gt;99,(F1578+Table1[[#This Row],[Steps]])-100,F1578+Table1[[#This Row],[Steps]]),
))</f>
        <v>22</v>
      </c>
      <c r="F1579">
        <f>IF(Table1[[#This Row],[New Pos L]]&lt;&gt;0,Table1[[#This Row],[New Pos L]],Table1[[#This Row],[New Pos R]])</f>
        <v>22</v>
      </c>
    </row>
    <row r="1580" spans="1:6" ht="16" x14ac:dyDescent="0.2">
      <c r="A1580" s="1" t="s">
        <v>126</v>
      </c>
      <c r="B1580" t="str">
        <f>LEFT(Table1[[#This Row],[Input]],1)</f>
        <v>R</v>
      </c>
      <c r="C1580">
        <f>_xlfn.LET(_xlpm.steps,SUBSTITUTE(Table1[[#This Row],[Input]],Table1[[#This Row],[Direction]],""),VALUE(IF(LEN(_xlpm.steps)&gt;2,RIGHT(_xlpm.steps,2),_xlpm.steps)))</f>
        <v>65</v>
      </c>
      <c r="D1580">
        <f>_xlfn.LET(_xlpm.dir,Table1[[#This Row],[Direction]],
IF(_xlpm.dir="L",
    IF(F1579-Table1[[#This Row],[Steps]]&lt;0,100+(F1579-Table1[[#This Row],[Steps]]),F1579-Table1[[#This Row],[Steps]]),
))</f>
        <v>0</v>
      </c>
      <c r="E1580">
        <f>_xlfn.LET(_xlpm.dir,Table1[[#This Row],[Direction]],
IF(_xlpm.dir="R",
    IF(F1579+Table1[[#This Row],[Steps]]&gt;99,(F1579+Table1[[#This Row],[Steps]])-100,F1579+Table1[[#This Row],[Steps]]),
))</f>
        <v>87</v>
      </c>
      <c r="F1580">
        <f>IF(Table1[[#This Row],[New Pos L]]&lt;&gt;0,Table1[[#This Row],[New Pos L]],Table1[[#This Row],[New Pos R]])</f>
        <v>87</v>
      </c>
    </row>
    <row r="1581" spans="1:6" ht="16" x14ac:dyDescent="0.2">
      <c r="A1581" s="1" t="s">
        <v>115</v>
      </c>
      <c r="B1581" t="str">
        <f>LEFT(Table1[[#This Row],[Input]],1)</f>
        <v>L</v>
      </c>
      <c r="C1581">
        <f>_xlfn.LET(_xlpm.steps,SUBSTITUTE(Table1[[#This Row],[Input]],Table1[[#This Row],[Direction]],""),VALUE(IF(LEN(_xlpm.steps)&gt;2,RIGHT(_xlpm.steps,2),_xlpm.steps)))</f>
        <v>29</v>
      </c>
      <c r="D1581">
        <f>_xlfn.LET(_xlpm.dir,Table1[[#This Row],[Direction]],
IF(_xlpm.dir="L",
    IF(F1580-Table1[[#This Row],[Steps]]&lt;0,100+(F1580-Table1[[#This Row],[Steps]]),F1580-Table1[[#This Row],[Steps]]),
))</f>
        <v>58</v>
      </c>
      <c r="E1581">
        <f>_xlfn.LET(_xlpm.dir,Table1[[#This Row],[Direction]],
IF(_xlpm.dir="R",
    IF(F1580+Table1[[#This Row],[Steps]]&gt;99,(F1580+Table1[[#This Row],[Steps]])-100,F1580+Table1[[#This Row],[Steps]]),
))</f>
        <v>0</v>
      </c>
      <c r="F1581">
        <f>IF(Table1[[#This Row],[New Pos L]]&lt;&gt;0,Table1[[#This Row],[New Pos L]],Table1[[#This Row],[New Pos R]])</f>
        <v>58</v>
      </c>
    </row>
    <row r="1582" spans="1:6" ht="16" x14ac:dyDescent="0.2">
      <c r="A1582" s="1" t="s">
        <v>56</v>
      </c>
      <c r="B1582" t="str">
        <f>LEFT(Table1[[#This Row],[Input]],1)</f>
        <v>R</v>
      </c>
      <c r="C1582">
        <f>_xlfn.LET(_xlpm.steps,SUBSTITUTE(Table1[[#This Row],[Input]],Table1[[#This Row],[Direction]],""),VALUE(IF(LEN(_xlpm.steps)&gt;2,RIGHT(_xlpm.steps,2),_xlpm.steps)))</f>
        <v>42</v>
      </c>
      <c r="D1582">
        <f>_xlfn.LET(_xlpm.dir,Table1[[#This Row],[Direction]],
IF(_xlpm.dir="L",
    IF(F1581-Table1[[#This Row],[Steps]]&lt;0,100+(F1581-Table1[[#This Row],[Steps]]),F1581-Table1[[#This Row],[Steps]]),
))</f>
        <v>0</v>
      </c>
      <c r="E1582">
        <f>_xlfn.LET(_xlpm.dir,Table1[[#This Row],[Direction]],
IF(_xlpm.dir="R",
    IF(F1581+Table1[[#This Row],[Steps]]&gt;99,(F1581+Table1[[#This Row],[Steps]])-100,F1581+Table1[[#This Row],[Steps]]),
))</f>
        <v>0</v>
      </c>
      <c r="F1582">
        <f>IF(Table1[[#This Row],[New Pos L]]&lt;&gt;0,Table1[[#This Row],[New Pos L]],Table1[[#This Row],[New Pos R]])</f>
        <v>0</v>
      </c>
    </row>
    <row r="1583" spans="1:6" ht="16" x14ac:dyDescent="0.2">
      <c r="A1583" s="1" t="s">
        <v>45</v>
      </c>
      <c r="B1583" t="str">
        <f>LEFT(Table1[[#This Row],[Input]],1)</f>
        <v>L</v>
      </c>
      <c r="C1583">
        <f>_xlfn.LET(_xlpm.steps,SUBSTITUTE(Table1[[#This Row],[Input]],Table1[[#This Row],[Direction]],""),VALUE(IF(LEN(_xlpm.steps)&gt;2,RIGHT(_xlpm.steps,2),_xlpm.steps)))</f>
        <v>96</v>
      </c>
      <c r="D1583">
        <f>_xlfn.LET(_xlpm.dir,Table1[[#This Row],[Direction]],
IF(_xlpm.dir="L",
    IF(F1582-Table1[[#This Row],[Steps]]&lt;0,100+(F1582-Table1[[#This Row],[Steps]]),F1582-Table1[[#This Row],[Steps]]),
))</f>
        <v>4</v>
      </c>
      <c r="E1583">
        <f>_xlfn.LET(_xlpm.dir,Table1[[#This Row],[Direction]],
IF(_xlpm.dir="R",
    IF(F1582+Table1[[#This Row],[Steps]]&gt;99,(F1582+Table1[[#This Row],[Steps]])-100,F1582+Table1[[#This Row],[Steps]]),
))</f>
        <v>0</v>
      </c>
      <c r="F1583">
        <f>IF(Table1[[#This Row],[New Pos L]]&lt;&gt;0,Table1[[#This Row],[New Pos L]],Table1[[#This Row],[New Pos R]])</f>
        <v>4</v>
      </c>
    </row>
    <row r="1584" spans="1:6" ht="16" x14ac:dyDescent="0.2">
      <c r="A1584" s="1" t="s">
        <v>463</v>
      </c>
      <c r="B1584" t="str">
        <f>LEFT(Table1[[#This Row],[Input]],1)</f>
        <v>R</v>
      </c>
      <c r="C1584">
        <f>_xlfn.LET(_xlpm.steps,SUBSTITUTE(Table1[[#This Row],[Input]],Table1[[#This Row],[Direction]],""),VALUE(IF(LEN(_xlpm.steps)&gt;2,RIGHT(_xlpm.steps,2),_xlpm.steps)))</f>
        <v>96</v>
      </c>
      <c r="D1584">
        <f>_xlfn.LET(_xlpm.dir,Table1[[#This Row],[Direction]],
IF(_xlpm.dir="L",
    IF(F1583-Table1[[#This Row],[Steps]]&lt;0,100+(F1583-Table1[[#This Row],[Steps]]),F1583-Table1[[#This Row],[Steps]]),
))</f>
        <v>0</v>
      </c>
      <c r="E1584">
        <f>_xlfn.LET(_xlpm.dir,Table1[[#This Row],[Direction]],
IF(_xlpm.dir="R",
    IF(F1583+Table1[[#This Row],[Steps]]&gt;99,(F1583+Table1[[#This Row],[Steps]])-100,F1583+Table1[[#This Row],[Steps]]),
))</f>
        <v>0</v>
      </c>
      <c r="F1584">
        <f>IF(Table1[[#This Row],[New Pos L]]&lt;&gt;0,Table1[[#This Row],[New Pos L]],Table1[[#This Row],[New Pos R]])</f>
        <v>0</v>
      </c>
    </row>
    <row r="1585" spans="1:6" ht="16" x14ac:dyDescent="0.2">
      <c r="A1585" s="1" t="s">
        <v>57</v>
      </c>
      <c r="B1585" t="str">
        <f>LEFT(Table1[[#This Row],[Input]],1)</f>
        <v>R</v>
      </c>
      <c r="C1585">
        <f>_xlfn.LET(_xlpm.steps,SUBSTITUTE(Table1[[#This Row],[Input]],Table1[[#This Row],[Direction]],""),VALUE(IF(LEN(_xlpm.steps)&gt;2,RIGHT(_xlpm.steps,2),_xlpm.steps)))</f>
        <v>29</v>
      </c>
      <c r="D1585">
        <f>_xlfn.LET(_xlpm.dir,Table1[[#This Row],[Direction]],
IF(_xlpm.dir="L",
    IF(F1584-Table1[[#This Row],[Steps]]&lt;0,100+(F1584-Table1[[#This Row],[Steps]]),F1584-Table1[[#This Row],[Steps]]),
))</f>
        <v>0</v>
      </c>
      <c r="E1585">
        <f>_xlfn.LET(_xlpm.dir,Table1[[#This Row],[Direction]],
IF(_xlpm.dir="R",
    IF(F1584+Table1[[#This Row],[Steps]]&gt;99,(F1584+Table1[[#This Row],[Steps]])-100,F1584+Table1[[#This Row],[Steps]]),
))</f>
        <v>29</v>
      </c>
      <c r="F1585">
        <f>IF(Table1[[#This Row],[New Pos L]]&lt;&gt;0,Table1[[#This Row],[New Pos L]],Table1[[#This Row],[New Pos R]])</f>
        <v>29</v>
      </c>
    </row>
    <row r="1586" spans="1:6" ht="16" x14ac:dyDescent="0.2">
      <c r="A1586" s="1" t="s">
        <v>52</v>
      </c>
      <c r="B1586" t="str">
        <f>LEFT(Table1[[#This Row],[Input]],1)</f>
        <v>R</v>
      </c>
      <c r="C1586">
        <f>_xlfn.LET(_xlpm.steps,SUBSTITUTE(Table1[[#This Row],[Input]],Table1[[#This Row],[Direction]],""),VALUE(IF(LEN(_xlpm.steps)&gt;2,RIGHT(_xlpm.steps,2),_xlpm.steps)))</f>
        <v>11</v>
      </c>
      <c r="D1586">
        <f>_xlfn.LET(_xlpm.dir,Table1[[#This Row],[Direction]],
IF(_xlpm.dir="L",
    IF(F1585-Table1[[#This Row],[Steps]]&lt;0,100+(F1585-Table1[[#This Row],[Steps]]),F1585-Table1[[#This Row],[Steps]]),
))</f>
        <v>0</v>
      </c>
      <c r="E1586">
        <f>_xlfn.LET(_xlpm.dir,Table1[[#This Row],[Direction]],
IF(_xlpm.dir="R",
    IF(F1585+Table1[[#This Row],[Steps]]&gt;99,(F1585+Table1[[#This Row],[Steps]])-100,F1585+Table1[[#This Row],[Steps]]),
))</f>
        <v>40</v>
      </c>
      <c r="F1586">
        <f>IF(Table1[[#This Row],[New Pos L]]&lt;&gt;0,Table1[[#This Row],[New Pos L]],Table1[[#This Row],[New Pos R]])</f>
        <v>40</v>
      </c>
    </row>
    <row r="1587" spans="1:6" ht="16" x14ac:dyDescent="0.2">
      <c r="A1587" s="1" t="s">
        <v>94</v>
      </c>
      <c r="B1587" t="str">
        <f>LEFT(Table1[[#This Row],[Input]],1)</f>
        <v>L</v>
      </c>
      <c r="C1587">
        <f>_xlfn.LET(_xlpm.steps,SUBSTITUTE(Table1[[#This Row],[Input]],Table1[[#This Row],[Direction]],""),VALUE(IF(LEN(_xlpm.steps)&gt;2,RIGHT(_xlpm.steps,2),_xlpm.steps)))</f>
        <v>71</v>
      </c>
      <c r="D1587">
        <f>_xlfn.LET(_xlpm.dir,Table1[[#This Row],[Direction]],
IF(_xlpm.dir="L",
    IF(F1586-Table1[[#This Row],[Steps]]&lt;0,100+(F1586-Table1[[#This Row],[Steps]]),F1586-Table1[[#This Row],[Steps]]),
))</f>
        <v>69</v>
      </c>
      <c r="E1587">
        <f>_xlfn.LET(_xlpm.dir,Table1[[#This Row],[Direction]],
IF(_xlpm.dir="R",
    IF(F1586+Table1[[#This Row],[Steps]]&gt;99,(F1586+Table1[[#This Row],[Steps]])-100,F1586+Table1[[#This Row],[Steps]]),
))</f>
        <v>0</v>
      </c>
      <c r="F1587">
        <f>IF(Table1[[#This Row],[New Pos L]]&lt;&gt;0,Table1[[#This Row],[New Pos L]],Table1[[#This Row],[New Pos R]])</f>
        <v>69</v>
      </c>
    </row>
    <row r="1588" spans="1:6" ht="16" x14ac:dyDescent="0.2">
      <c r="A1588" s="1" t="s">
        <v>86</v>
      </c>
      <c r="B1588" t="str">
        <f>LEFT(Table1[[#This Row],[Input]],1)</f>
        <v>R</v>
      </c>
      <c r="C1588">
        <f>_xlfn.LET(_xlpm.steps,SUBSTITUTE(Table1[[#This Row],[Input]],Table1[[#This Row],[Direction]],""),VALUE(IF(LEN(_xlpm.steps)&gt;2,RIGHT(_xlpm.steps,2),_xlpm.steps)))</f>
        <v>60</v>
      </c>
      <c r="D1588">
        <f>_xlfn.LET(_xlpm.dir,Table1[[#This Row],[Direction]],
IF(_xlpm.dir="L",
    IF(F1587-Table1[[#This Row],[Steps]]&lt;0,100+(F1587-Table1[[#This Row],[Steps]]),F1587-Table1[[#This Row],[Steps]]),
))</f>
        <v>0</v>
      </c>
      <c r="E1588">
        <f>_xlfn.LET(_xlpm.dir,Table1[[#This Row],[Direction]],
IF(_xlpm.dir="R",
    IF(F1587+Table1[[#This Row],[Steps]]&gt;99,(F1587+Table1[[#This Row],[Steps]])-100,F1587+Table1[[#This Row],[Steps]]),
))</f>
        <v>29</v>
      </c>
      <c r="F1588">
        <f>IF(Table1[[#This Row],[New Pos L]]&lt;&gt;0,Table1[[#This Row],[New Pos L]],Table1[[#This Row],[New Pos R]])</f>
        <v>29</v>
      </c>
    </row>
    <row r="1589" spans="1:6" ht="16" x14ac:dyDescent="0.2">
      <c r="A1589" s="1" t="s">
        <v>464</v>
      </c>
      <c r="B1589" t="str">
        <f>LEFT(Table1[[#This Row],[Input]],1)</f>
        <v>R</v>
      </c>
      <c r="C1589">
        <f>_xlfn.LET(_xlpm.steps,SUBSTITUTE(Table1[[#This Row],[Input]],Table1[[#This Row],[Direction]],""),VALUE(IF(LEN(_xlpm.steps)&gt;2,RIGHT(_xlpm.steps,2),_xlpm.steps)))</f>
        <v>44</v>
      </c>
      <c r="D1589">
        <f>_xlfn.LET(_xlpm.dir,Table1[[#This Row],[Direction]],
IF(_xlpm.dir="L",
    IF(F1588-Table1[[#This Row],[Steps]]&lt;0,100+(F1588-Table1[[#This Row],[Steps]]),F1588-Table1[[#This Row],[Steps]]),
))</f>
        <v>0</v>
      </c>
      <c r="E1589">
        <f>_xlfn.LET(_xlpm.dir,Table1[[#This Row],[Direction]],
IF(_xlpm.dir="R",
    IF(F1588+Table1[[#This Row],[Steps]]&gt;99,(F1588+Table1[[#This Row],[Steps]])-100,F1588+Table1[[#This Row],[Steps]]),
))</f>
        <v>73</v>
      </c>
      <c r="F1589">
        <f>IF(Table1[[#This Row],[New Pos L]]&lt;&gt;0,Table1[[#This Row],[New Pos L]],Table1[[#This Row],[New Pos R]])</f>
        <v>73</v>
      </c>
    </row>
    <row r="1590" spans="1:6" ht="16" x14ac:dyDescent="0.2">
      <c r="A1590" s="1" t="s">
        <v>171</v>
      </c>
      <c r="B1590" t="str">
        <f>LEFT(Table1[[#This Row],[Input]],1)</f>
        <v>L</v>
      </c>
      <c r="C1590">
        <f>_xlfn.LET(_xlpm.steps,SUBSTITUTE(Table1[[#This Row],[Input]],Table1[[#This Row],[Direction]],""),VALUE(IF(LEN(_xlpm.steps)&gt;2,RIGHT(_xlpm.steps,2),_xlpm.steps)))</f>
        <v>73</v>
      </c>
      <c r="D1590">
        <f>_xlfn.LET(_xlpm.dir,Table1[[#This Row],[Direction]],
IF(_xlpm.dir="L",
    IF(F1589-Table1[[#This Row],[Steps]]&lt;0,100+(F1589-Table1[[#This Row],[Steps]]),F1589-Table1[[#This Row],[Steps]]),
))</f>
        <v>0</v>
      </c>
      <c r="E1590">
        <f>_xlfn.LET(_xlpm.dir,Table1[[#This Row],[Direction]],
IF(_xlpm.dir="R",
    IF(F1589+Table1[[#This Row],[Steps]]&gt;99,(F1589+Table1[[#This Row],[Steps]])-100,F1589+Table1[[#This Row],[Steps]]),
))</f>
        <v>0</v>
      </c>
      <c r="F1590">
        <f>IF(Table1[[#This Row],[New Pos L]]&lt;&gt;0,Table1[[#This Row],[New Pos L]],Table1[[#This Row],[New Pos R]])</f>
        <v>0</v>
      </c>
    </row>
    <row r="1591" spans="1:6" ht="16" x14ac:dyDescent="0.2">
      <c r="A1591" s="1" t="s">
        <v>241</v>
      </c>
      <c r="B1591" t="str">
        <f>LEFT(Table1[[#This Row],[Input]],1)</f>
        <v>R</v>
      </c>
      <c r="C1591">
        <f>_xlfn.LET(_xlpm.steps,SUBSTITUTE(Table1[[#This Row],[Input]],Table1[[#This Row],[Direction]],""),VALUE(IF(LEN(_xlpm.steps)&gt;2,RIGHT(_xlpm.steps,2),_xlpm.steps)))</f>
        <v>60</v>
      </c>
      <c r="D1591">
        <f>_xlfn.LET(_xlpm.dir,Table1[[#This Row],[Direction]],
IF(_xlpm.dir="L",
    IF(F1590-Table1[[#This Row],[Steps]]&lt;0,100+(F1590-Table1[[#This Row],[Steps]]),F1590-Table1[[#This Row],[Steps]]),
))</f>
        <v>0</v>
      </c>
      <c r="E1591">
        <f>_xlfn.LET(_xlpm.dir,Table1[[#This Row],[Direction]],
IF(_xlpm.dir="R",
    IF(F1590+Table1[[#This Row],[Steps]]&gt;99,(F1590+Table1[[#This Row],[Steps]])-100,F1590+Table1[[#This Row],[Steps]]),
))</f>
        <v>60</v>
      </c>
      <c r="F1591">
        <f>IF(Table1[[#This Row],[New Pos L]]&lt;&gt;0,Table1[[#This Row],[New Pos L]],Table1[[#This Row],[New Pos R]])</f>
        <v>60</v>
      </c>
    </row>
    <row r="1592" spans="1:6" ht="16" x14ac:dyDescent="0.2">
      <c r="A1592" s="1" t="s">
        <v>336</v>
      </c>
      <c r="B1592" t="str">
        <f>LEFT(Table1[[#This Row],[Input]],1)</f>
        <v>R</v>
      </c>
      <c r="C1592">
        <f>_xlfn.LET(_xlpm.steps,SUBSTITUTE(Table1[[#This Row],[Input]],Table1[[#This Row],[Direction]],""),VALUE(IF(LEN(_xlpm.steps)&gt;2,RIGHT(_xlpm.steps,2),_xlpm.steps)))</f>
        <v>95</v>
      </c>
      <c r="D1592">
        <f>_xlfn.LET(_xlpm.dir,Table1[[#This Row],[Direction]],
IF(_xlpm.dir="L",
    IF(F1591-Table1[[#This Row],[Steps]]&lt;0,100+(F1591-Table1[[#This Row],[Steps]]),F1591-Table1[[#This Row],[Steps]]),
))</f>
        <v>0</v>
      </c>
      <c r="E1592">
        <f>_xlfn.LET(_xlpm.dir,Table1[[#This Row],[Direction]],
IF(_xlpm.dir="R",
    IF(F1591+Table1[[#This Row],[Steps]]&gt;99,(F1591+Table1[[#This Row],[Steps]])-100,F1591+Table1[[#This Row],[Steps]]),
))</f>
        <v>55</v>
      </c>
      <c r="F1592">
        <f>IF(Table1[[#This Row],[New Pos L]]&lt;&gt;0,Table1[[#This Row],[New Pos L]],Table1[[#This Row],[New Pos R]])</f>
        <v>55</v>
      </c>
    </row>
    <row r="1593" spans="1:6" ht="16" x14ac:dyDescent="0.2">
      <c r="A1593" s="1" t="s">
        <v>223</v>
      </c>
      <c r="B1593" t="str">
        <f>LEFT(Table1[[#This Row],[Input]],1)</f>
        <v>L</v>
      </c>
      <c r="C1593">
        <f>_xlfn.LET(_xlpm.steps,SUBSTITUTE(Table1[[#This Row],[Input]],Table1[[#This Row],[Direction]],""),VALUE(IF(LEN(_xlpm.steps)&gt;2,RIGHT(_xlpm.steps,2),_xlpm.steps)))</f>
        <v>87</v>
      </c>
      <c r="D1593">
        <f>_xlfn.LET(_xlpm.dir,Table1[[#This Row],[Direction]],
IF(_xlpm.dir="L",
    IF(F1592-Table1[[#This Row],[Steps]]&lt;0,100+(F1592-Table1[[#This Row],[Steps]]),F1592-Table1[[#This Row],[Steps]]),
))</f>
        <v>68</v>
      </c>
      <c r="E1593">
        <f>_xlfn.LET(_xlpm.dir,Table1[[#This Row],[Direction]],
IF(_xlpm.dir="R",
    IF(F1592+Table1[[#This Row],[Steps]]&gt;99,(F1592+Table1[[#This Row],[Steps]])-100,F1592+Table1[[#This Row],[Steps]]),
))</f>
        <v>0</v>
      </c>
      <c r="F1593">
        <f>IF(Table1[[#This Row],[New Pos L]]&lt;&gt;0,Table1[[#This Row],[New Pos L]],Table1[[#This Row],[New Pos R]])</f>
        <v>68</v>
      </c>
    </row>
    <row r="1594" spans="1:6" ht="16" x14ac:dyDescent="0.2">
      <c r="A1594" s="1" t="s">
        <v>158</v>
      </c>
      <c r="B1594" t="str">
        <f>LEFT(Table1[[#This Row],[Input]],1)</f>
        <v>L</v>
      </c>
      <c r="C1594">
        <f>_xlfn.LET(_xlpm.steps,SUBSTITUTE(Table1[[#This Row],[Input]],Table1[[#This Row],[Direction]],""),VALUE(IF(LEN(_xlpm.steps)&gt;2,RIGHT(_xlpm.steps,2),_xlpm.steps)))</f>
        <v>24</v>
      </c>
      <c r="D1594">
        <f>_xlfn.LET(_xlpm.dir,Table1[[#This Row],[Direction]],
IF(_xlpm.dir="L",
    IF(F1593-Table1[[#This Row],[Steps]]&lt;0,100+(F1593-Table1[[#This Row],[Steps]]),F1593-Table1[[#This Row],[Steps]]),
))</f>
        <v>44</v>
      </c>
      <c r="E1594">
        <f>_xlfn.LET(_xlpm.dir,Table1[[#This Row],[Direction]],
IF(_xlpm.dir="R",
    IF(F1593+Table1[[#This Row],[Steps]]&gt;99,(F1593+Table1[[#This Row],[Steps]])-100,F1593+Table1[[#This Row],[Steps]]),
))</f>
        <v>0</v>
      </c>
      <c r="F1594">
        <f>IF(Table1[[#This Row],[New Pos L]]&lt;&gt;0,Table1[[#This Row],[New Pos L]],Table1[[#This Row],[New Pos R]])</f>
        <v>44</v>
      </c>
    </row>
    <row r="1595" spans="1:6" ht="16" x14ac:dyDescent="0.2">
      <c r="A1595" s="1" t="s">
        <v>272</v>
      </c>
      <c r="B1595" t="str">
        <f>LEFT(Table1[[#This Row],[Input]],1)</f>
        <v>R</v>
      </c>
      <c r="C1595">
        <f>_xlfn.LET(_xlpm.steps,SUBSTITUTE(Table1[[#This Row],[Input]],Table1[[#This Row],[Direction]],""),VALUE(IF(LEN(_xlpm.steps)&gt;2,RIGHT(_xlpm.steps,2),_xlpm.steps)))</f>
        <v>56</v>
      </c>
      <c r="D1595">
        <f>_xlfn.LET(_xlpm.dir,Table1[[#This Row],[Direction]],
IF(_xlpm.dir="L",
    IF(F1594-Table1[[#This Row],[Steps]]&lt;0,100+(F1594-Table1[[#This Row],[Steps]]),F1594-Table1[[#This Row],[Steps]]),
))</f>
        <v>0</v>
      </c>
      <c r="E1595">
        <f>_xlfn.LET(_xlpm.dir,Table1[[#This Row],[Direction]],
IF(_xlpm.dir="R",
    IF(F1594+Table1[[#This Row],[Steps]]&gt;99,(F1594+Table1[[#This Row],[Steps]])-100,F1594+Table1[[#This Row],[Steps]]),
))</f>
        <v>0</v>
      </c>
      <c r="F1595">
        <f>IF(Table1[[#This Row],[New Pos L]]&lt;&gt;0,Table1[[#This Row],[New Pos L]],Table1[[#This Row],[New Pos R]])</f>
        <v>0</v>
      </c>
    </row>
    <row r="1596" spans="1:6" ht="16" x14ac:dyDescent="0.2">
      <c r="A1596" s="1" t="s">
        <v>76</v>
      </c>
      <c r="B1596" t="str">
        <f>LEFT(Table1[[#This Row],[Input]],1)</f>
        <v>R</v>
      </c>
      <c r="C1596">
        <f>_xlfn.LET(_xlpm.steps,SUBSTITUTE(Table1[[#This Row],[Input]],Table1[[#This Row],[Direction]],""),VALUE(IF(LEN(_xlpm.steps)&gt;2,RIGHT(_xlpm.steps,2),_xlpm.steps)))</f>
        <v>37</v>
      </c>
      <c r="D1596">
        <f>_xlfn.LET(_xlpm.dir,Table1[[#This Row],[Direction]],
IF(_xlpm.dir="L",
    IF(F1595-Table1[[#This Row],[Steps]]&lt;0,100+(F1595-Table1[[#This Row],[Steps]]),F1595-Table1[[#This Row],[Steps]]),
))</f>
        <v>0</v>
      </c>
      <c r="E1596">
        <f>_xlfn.LET(_xlpm.dir,Table1[[#This Row],[Direction]],
IF(_xlpm.dir="R",
    IF(F1595+Table1[[#This Row],[Steps]]&gt;99,(F1595+Table1[[#This Row],[Steps]])-100,F1595+Table1[[#This Row],[Steps]]),
))</f>
        <v>37</v>
      </c>
      <c r="F1596">
        <f>IF(Table1[[#This Row],[New Pos L]]&lt;&gt;0,Table1[[#This Row],[New Pos L]],Table1[[#This Row],[New Pos R]])</f>
        <v>37</v>
      </c>
    </row>
    <row r="1597" spans="1:6" ht="16" x14ac:dyDescent="0.2">
      <c r="A1597" s="1" t="s">
        <v>363</v>
      </c>
      <c r="B1597" t="str">
        <f>LEFT(Table1[[#This Row],[Input]],1)</f>
        <v>R</v>
      </c>
      <c r="C1597">
        <f>_xlfn.LET(_xlpm.steps,SUBSTITUTE(Table1[[#This Row],[Input]],Table1[[#This Row],[Direction]],""),VALUE(IF(LEN(_xlpm.steps)&gt;2,RIGHT(_xlpm.steps,2),_xlpm.steps)))</f>
        <v>63</v>
      </c>
      <c r="D1597">
        <f>_xlfn.LET(_xlpm.dir,Table1[[#This Row],[Direction]],
IF(_xlpm.dir="L",
    IF(F1596-Table1[[#This Row],[Steps]]&lt;0,100+(F1596-Table1[[#This Row],[Steps]]),F1596-Table1[[#This Row],[Steps]]),
))</f>
        <v>0</v>
      </c>
      <c r="E1597">
        <f>_xlfn.LET(_xlpm.dir,Table1[[#This Row],[Direction]],
IF(_xlpm.dir="R",
    IF(F1596+Table1[[#This Row],[Steps]]&gt;99,(F1596+Table1[[#This Row],[Steps]])-100,F1596+Table1[[#This Row],[Steps]]),
))</f>
        <v>0</v>
      </c>
      <c r="F1597">
        <f>IF(Table1[[#This Row],[New Pos L]]&lt;&gt;0,Table1[[#This Row],[New Pos L]],Table1[[#This Row],[New Pos R]])</f>
        <v>0</v>
      </c>
    </row>
    <row r="1598" spans="1:6" ht="16" x14ac:dyDescent="0.2">
      <c r="A1598" s="1" t="s">
        <v>465</v>
      </c>
      <c r="B1598" t="str">
        <f>LEFT(Table1[[#This Row],[Input]],1)</f>
        <v>L</v>
      </c>
      <c r="C1598">
        <f>_xlfn.LET(_xlpm.steps,SUBSTITUTE(Table1[[#This Row],[Input]],Table1[[#This Row],[Direction]],""),VALUE(IF(LEN(_xlpm.steps)&gt;2,RIGHT(_xlpm.steps,2),_xlpm.steps)))</f>
        <v>39</v>
      </c>
      <c r="D1598">
        <f>_xlfn.LET(_xlpm.dir,Table1[[#This Row],[Direction]],
IF(_xlpm.dir="L",
    IF(F1597-Table1[[#This Row],[Steps]]&lt;0,100+(F1597-Table1[[#This Row],[Steps]]),F1597-Table1[[#This Row],[Steps]]),
))</f>
        <v>61</v>
      </c>
      <c r="E1598">
        <f>_xlfn.LET(_xlpm.dir,Table1[[#This Row],[Direction]],
IF(_xlpm.dir="R",
    IF(F1597+Table1[[#This Row],[Steps]]&gt;99,(F1597+Table1[[#This Row],[Steps]])-100,F1597+Table1[[#This Row],[Steps]]),
))</f>
        <v>0</v>
      </c>
      <c r="F1598">
        <f>IF(Table1[[#This Row],[New Pos L]]&lt;&gt;0,Table1[[#This Row],[New Pos L]],Table1[[#This Row],[New Pos R]])</f>
        <v>61</v>
      </c>
    </row>
    <row r="1599" spans="1:6" ht="16" x14ac:dyDescent="0.2">
      <c r="A1599" s="1" t="s">
        <v>111</v>
      </c>
      <c r="B1599" t="str">
        <f>LEFT(Table1[[#This Row],[Input]],1)</f>
        <v>R</v>
      </c>
      <c r="C1599">
        <f>_xlfn.LET(_xlpm.steps,SUBSTITUTE(Table1[[#This Row],[Input]],Table1[[#This Row],[Direction]],""),VALUE(IF(LEN(_xlpm.steps)&gt;2,RIGHT(_xlpm.steps,2),_xlpm.steps)))</f>
        <v>64</v>
      </c>
      <c r="D1599">
        <f>_xlfn.LET(_xlpm.dir,Table1[[#This Row],[Direction]],
IF(_xlpm.dir="L",
    IF(F1598-Table1[[#This Row],[Steps]]&lt;0,100+(F1598-Table1[[#This Row],[Steps]]),F1598-Table1[[#This Row],[Steps]]),
))</f>
        <v>0</v>
      </c>
      <c r="E1599">
        <f>_xlfn.LET(_xlpm.dir,Table1[[#This Row],[Direction]],
IF(_xlpm.dir="R",
    IF(F1598+Table1[[#This Row],[Steps]]&gt;99,(F1598+Table1[[#This Row],[Steps]])-100,F1598+Table1[[#This Row],[Steps]]),
))</f>
        <v>25</v>
      </c>
      <c r="F1599">
        <f>IF(Table1[[#This Row],[New Pos L]]&lt;&gt;0,Table1[[#This Row],[New Pos L]],Table1[[#This Row],[New Pos R]])</f>
        <v>25</v>
      </c>
    </row>
    <row r="1600" spans="1:6" ht="16" x14ac:dyDescent="0.2">
      <c r="A1600" s="1" t="s">
        <v>466</v>
      </c>
      <c r="B1600" t="str">
        <f>LEFT(Table1[[#This Row],[Input]],1)</f>
        <v>L</v>
      </c>
      <c r="C1600">
        <f>_xlfn.LET(_xlpm.steps,SUBSTITUTE(Table1[[#This Row],[Input]],Table1[[#This Row],[Direction]],""),VALUE(IF(LEN(_xlpm.steps)&gt;2,RIGHT(_xlpm.steps,2),_xlpm.steps)))</f>
        <v>72</v>
      </c>
      <c r="D1600">
        <f>_xlfn.LET(_xlpm.dir,Table1[[#This Row],[Direction]],
IF(_xlpm.dir="L",
    IF(F1599-Table1[[#This Row],[Steps]]&lt;0,100+(F1599-Table1[[#This Row],[Steps]]),F1599-Table1[[#This Row],[Steps]]),
))</f>
        <v>53</v>
      </c>
      <c r="E1600">
        <f>_xlfn.LET(_xlpm.dir,Table1[[#This Row],[Direction]],
IF(_xlpm.dir="R",
    IF(F1599+Table1[[#This Row],[Steps]]&gt;99,(F1599+Table1[[#This Row],[Steps]])-100,F1599+Table1[[#This Row],[Steps]]),
))</f>
        <v>0</v>
      </c>
      <c r="F1600">
        <f>IF(Table1[[#This Row],[New Pos L]]&lt;&gt;0,Table1[[#This Row],[New Pos L]],Table1[[#This Row],[New Pos R]])</f>
        <v>53</v>
      </c>
    </row>
    <row r="1601" spans="1:6" ht="16" x14ac:dyDescent="0.2">
      <c r="A1601" s="1" t="s">
        <v>467</v>
      </c>
      <c r="B1601" t="str">
        <f>LEFT(Table1[[#This Row],[Input]],1)</f>
        <v>R</v>
      </c>
      <c r="C1601">
        <f>_xlfn.LET(_xlpm.steps,SUBSTITUTE(Table1[[#This Row],[Input]],Table1[[#This Row],[Direction]],""),VALUE(IF(LEN(_xlpm.steps)&gt;2,RIGHT(_xlpm.steps,2),_xlpm.steps)))</f>
        <v>82</v>
      </c>
      <c r="D1601">
        <f>_xlfn.LET(_xlpm.dir,Table1[[#This Row],[Direction]],
IF(_xlpm.dir="L",
    IF(F1600-Table1[[#This Row],[Steps]]&lt;0,100+(F1600-Table1[[#This Row],[Steps]]),F1600-Table1[[#This Row],[Steps]]),
))</f>
        <v>0</v>
      </c>
      <c r="E1601">
        <f>_xlfn.LET(_xlpm.dir,Table1[[#This Row],[Direction]],
IF(_xlpm.dir="R",
    IF(F1600+Table1[[#This Row],[Steps]]&gt;99,(F1600+Table1[[#This Row],[Steps]])-100,F1600+Table1[[#This Row],[Steps]]),
))</f>
        <v>35</v>
      </c>
      <c r="F1601">
        <f>IF(Table1[[#This Row],[New Pos L]]&lt;&gt;0,Table1[[#This Row],[New Pos L]],Table1[[#This Row],[New Pos R]])</f>
        <v>35</v>
      </c>
    </row>
    <row r="1602" spans="1:6" ht="16" x14ac:dyDescent="0.2">
      <c r="A1602" s="1" t="s">
        <v>10</v>
      </c>
      <c r="B1602" t="str">
        <f>LEFT(Table1[[#This Row],[Input]],1)</f>
        <v>L</v>
      </c>
      <c r="C1602">
        <f>_xlfn.LET(_xlpm.steps,SUBSTITUTE(Table1[[#This Row],[Input]],Table1[[#This Row],[Direction]],""),VALUE(IF(LEN(_xlpm.steps)&gt;2,RIGHT(_xlpm.steps,2),_xlpm.steps)))</f>
        <v>35</v>
      </c>
      <c r="D1602">
        <f>_xlfn.LET(_xlpm.dir,Table1[[#This Row],[Direction]],
IF(_xlpm.dir="L",
    IF(F1601-Table1[[#This Row],[Steps]]&lt;0,100+(F1601-Table1[[#This Row],[Steps]]),F1601-Table1[[#This Row],[Steps]]),
))</f>
        <v>0</v>
      </c>
      <c r="E1602">
        <f>_xlfn.LET(_xlpm.dir,Table1[[#This Row],[Direction]],
IF(_xlpm.dir="R",
    IF(F1601+Table1[[#This Row],[Steps]]&gt;99,(F1601+Table1[[#This Row],[Steps]])-100,F1601+Table1[[#This Row],[Steps]]),
))</f>
        <v>0</v>
      </c>
      <c r="F1602">
        <f>IF(Table1[[#This Row],[New Pos L]]&lt;&gt;0,Table1[[#This Row],[New Pos L]],Table1[[#This Row],[New Pos R]])</f>
        <v>0</v>
      </c>
    </row>
    <row r="1603" spans="1:6" ht="16" x14ac:dyDescent="0.2">
      <c r="A1603" s="1" t="s">
        <v>241</v>
      </c>
      <c r="B1603" t="str">
        <f>LEFT(Table1[[#This Row],[Input]],1)</f>
        <v>R</v>
      </c>
      <c r="C1603">
        <f>_xlfn.LET(_xlpm.steps,SUBSTITUTE(Table1[[#This Row],[Input]],Table1[[#This Row],[Direction]],""),VALUE(IF(LEN(_xlpm.steps)&gt;2,RIGHT(_xlpm.steps,2),_xlpm.steps)))</f>
        <v>60</v>
      </c>
      <c r="D1603">
        <f>_xlfn.LET(_xlpm.dir,Table1[[#This Row],[Direction]],
IF(_xlpm.dir="L",
    IF(F1602-Table1[[#This Row],[Steps]]&lt;0,100+(F1602-Table1[[#This Row],[Steps]]),F1602-Table1[[#This Row],[Steps]]),
))</f>
        <v>0</v>
      </c>
      <c r="E1603">
        <f>_xlfn.LET(_xlpm.dir,Table1[[#This Row],[Direction]],
IF(_xlpm.dir="R",
    IF(F1602+Table1[[#This Row],[Steps]]&gt;99,(F1602+Table1[[#This Row],[Steps]])-100,F1602+Table1[[#This Row],[Steps]]),
))</f>
        <v>60</v>
      </c>
      <c r="F1603">
        <f>IF(Table1[[#This Row],[New Pos L]]&lt;&gt;0,Table1[[#This Row],[New Pos L]],Table1[[#This Row],[New Pos R]])</f>
        <v>60</v>
      </c>
    </row>
    <row r="1604" spans="1:6" ht="16" x14ac:dyDescent="0.2">
      <c r="A1604" s="1" t="s">
        <v>468</v>
      </c>
      <c r="B1604" t="str">
        <f>LEFT(Table1[[#This Row],[Input]],1)</f>
        <v>L</v>
      </c>
      <c r="C1604">
        <f>_xlfn.LET(_xlpm.steps,SUBSTITUTE(Table1[[#This Row],[Input]],Table1[[#This Row],[Direction]],""),VALUE(IF(LEN(_xlpm.steps)&gt;2,RIGHT(_xlpm.steps,2),_xlpm.steps)))</f>
        <v>54</v>
      </c>
      <c r="D1604">
        <f>_xlfn.LET(_xlpm.dir,Table1[[#This Row],[Direction]],
IF(_xlpm.dir="L",
    IF(F1603-Table1[[#This Row],[Steps]]&lt;0,100+(F1603-Table1[[#This Row],[Steps]]),F1603-Table1[[#This Row],[Steps]]),
))</f>
        <v>6</v>
      </c>
      <c r="E1604">
        <f>_xlfn.LET(_xlpm.dir,Table1[[#This Row],[Direction]],
IF(_xlpm.dir="R",
    IF(F1603+Table1[[#This Row],[Steps]]&gt;99,(F1603+Table1[[#This Row],[Steps]])-100,F1603+Table1[[#This Row],[Steps]]),
))</f>
        <v>0</v>
      </c>
      <c r="F1604">
        <f>IF(Table1[[#This Row],[New Pos L]]&lt;&gt;0,Table1[[#This Row],[New Pos L]],Table1[[#This Row],[New Pos R]])</f>
        <v>6</v>
      </c>
    </row>
    <row r="1605" spans="1:6" ht="16" x14ac:dyDescent="0.2">
      <c r="A1605" s="1" t="s">
        <v>469</v>
      </c>
      <c r="B1605" t="str">
        <f>LEFT(Table1[[#This Row],[Input]],1)</f>
        <v>L</v>
      </c>
      <c r="C1605">
        <f>_xlfn.LET(_xlpm.steps,SUBSTITUTE(Table1[[#This Row],[Input]],Table1[[#This Row],[Direction]],""),VALUE(IF(LEN(_xlpm.steps)&gt;2,RIGHT(_xlpm.steps,2),_xlpm.steps)))</f>
        <v>47</v>
      </c>
      <c r="D1605">
        <f>_xlfn.LET(_xlpm.dir,Table1[[#This Row],[Direction]],
IF(_xlpm.dir="L",
    IF(F1604-Table1[[#This Row],[Steps]]&lt;0,100+(F1604-Table1[[#This Row],[Steps]]),F1604-Table1[[#This Row],[Steps]]),
))</f>
        <v>59</v>
      </c>
      <c r="E1605">
        <f>_xlfn.LET(_xlpm.dir,Table1[[#This Row],[Direction]],
IF(_xlpm.dir="R",
    IF(F1604+Table1[[#This Row],[Steps]]&gt;99,(F1604+Table1[[#This Row],[Steps]])-100,F1604+Table1[[#This Row],[Steps]]),
))</f>
        <v>0</v>
      </c>
      <c r="F1605">
        <f>IF(Table1[[#This Row],[New Pos L]]&lt;&gt;0,Table1[[#This Row],[New Pos L]],Table1[[#This Row],[New Pos R]])</f>
        <v>59</v>
      </c>
    </row>
    <row r="1606" spans="1:6" ht="16" x14ac:dyDescent="0.2">
      <c r="A1606" s="1" t="s">
        <v>35</v>
      </c>
      <c r="B1606" t="str">
        <f>LEFT(Table1[[#This Row],[Input]],1)</f>
        <v>L</v>
      </c>
      <c r="C1606">
        <f>_xlfn.LET(_xlpm.steps,SUBSTITUTE(Table1[[#This Row],[Input]],Table1[[#This Row],[Direction]],""),VALUE(IF(LEN(_xlpm.steps)&gt;2,RIGHT(_xlpm.steps,2),_xlpm.steps)))</f>
        <v>2</v>
      </c>
      <c r="D1606">
        <f>_xlfn.LET(_xlpm.dir,Table1[[#This Row],[Direction]],
IF(_xlpm.dir="L",
    IF(F1605-Table1[[#This Row],[Steps]]&lt;0,100+(F1605-Table1[[#This Row],[Steps]]),F1605-Table1[[#This Row],[Steps]]),
))</f>
        <v>57</v>
      </c>
      <c r="E1606">
        <f>_xlfn.LET(_xlpm.dir,Table1[[#This Row],[Direction]],
IF(_xlpm.dir="R",
    IF(F1605+Table1[[#This Row],[Steps]]&gt;99,(F1605+Table1[[#This Row],[Steps]])-100,F1605+Table1[[#This Row],[Steps]]),
))</f>
        <v>0</v>
      </c>
      <c r="F1606">
        <f>IF(Table1[[#This Row],[New Pos L]]&lt;&gt;0,Table1[[#This Row],[New Pos L]],Table1[[#This Row],[New Pos R]])</f>
        <v>57</v>
      </c>
    </row>
    <row r="1607" spans="1:6" ht="16" x14ac:dyDescent="0.2">
      <c r="A1607" s="1" t="s">
        <v>254</v>
      </c>
      <c r="B1607" t="str">
        <f>LEFT(Table1[[#This Row],[Input]],1)</f>
        <v>R</v>
      </c>
      <c r="C1607">
        <f>_xlfn.LET(_xlpm.steps,SUBSTITUTE(Table1[[#This Row],[Input]],Table1[[#This Row],[Direction]],""),VALUE(IF(LEN(_xlpm.steps)&gt;2,RIGHT(_xlpm.steps,2),_xlpm.steps)))</f>
        <v>84</v>
      </c>
      <c r="D1607">
        <f>_xlfn.LET(_xlpm.dir,Table1[[#This Row],[Direction]],
IF(_xlpm.dir="L",
    IF(F1606-Table1[[#This Row],[Steps]]&lt;0,100+(F1606-Table1[[#This Row],[Steps]]),F1606-Table1[[#This Row],[Steps]]),
))</f>
        <v>0</v>
      </c>
      <c r="E1607">
        <f>_xlfn.LET(_xlpm.dir,Table1[[#This Row],[Direction]],
IF(_xlpm.dir="R",
    IF(F1606+Table1[[#This Row],[Steps]]&gt;99,(F1606+Table1[[#This Row],[Steps]])-100,F1606+Table1[[#This Row],[Steps]]),
))</f>
        <v>41</v>
      </c>
      <c r="F1607">
        <f>IF(Table1[[#This Row],[New Pos L]]&lt;&gt;0,Table1[[#This Row],[New Pos L]],Table1[[#This Row],[New Pos R]])</f>
        <v>41</v>
      </c>
    </row>
    <row r="1608" spans="1:6" ht="16" x14ac:dyDescent="0.2">
      <c r="A1608" s="1" t="s">
        <v>155</v>
      </c>
      <c r="B1608" t="str">
        <f>LEFT(Table1[[#This Row],[Input]],1)</f>
        <v>L</v>
      </c>
      <c r="C1608">
        <f>_xlfn.LET(_xlpm.steps,SUBSTITUTE(Table1[[#This Row],[Input]],Table1[[#This Row],[Direction]],""),VALUE(IF(LEN(_xlpm.steps)&gt;2,RIGHT(_xlpm.steps,2),_xlpm.steps)))</f>
        <v>18</v>
      </c>
      <c r="D1608">
        <f>_xlfn.LET(_xlpm.dir,Table1[[#This Row],[Direction]],
IF(_xlpm.dir="L",
    IF(F1607-Table1[[#This Row],[Steps]]&lt;0,100+(F1607-Table1[[#This Row],[Steps]]),F1607-Table1[[#This Row],[Steps]]),
))</f>
        <v>23</v>
      </c>
      <c r="E1608">
        <f>_xlfn.LET(_xlpm.dir,Table1[[#This Row],[Direction]],
IF(_xlpm.dir="R",
    IF(F1607+Table1[[#This Row],[Steps]]&gt;99,(F1607+Table1[[#This Row],[Steps]])-100,F1607+Table1[[#This Row],[Steps]]),
))</f>
        <v>0</v>
      </c>
      <c r="F1608">
        <f>IF(Table1[[#This Row],[New Pos L]]&lt;&gt;0,Table1[[#This Row],[New Pos L]],Table1[[#This Row],[New Pos R]])</f>
        <v>23</v>
      </c>
    </row>
    <row r="1609" spans="1:6" ht="16" x14ac:dyDescent="0.2">
      <c r="A1609" s="1" t="s">
        <v>22</v>
      </c>
      <c r="B1609" t="str">
        <f>LEFT(Table1[[#This Row],[Input]],1)</f>
        <v>L</v>
      </c>
      <c r="C1609">
        <f>_xlfn.LET(_xlpm.steps,SUBSTITUTE(Table1[[#This Row],[Input]],Table1[[#This Row],[Direction]],""),VALUE(IF(LEN(_xlpm.steps)&gt;2,RIGHT(_xlpm.steps,2),_xlpm.steps)))</f>
        <v>37</v>
      </c>
      <c r="D1609">
        <f>_xlfn.LET(_xlpm.dir,Table1[[#This Row],[Direction]],
IF(_xlpm.dir="L",
    IF(F1608-Table1[[#This Row],[Steps]]&lt;0,100+(F1608-Table1[[#This Row],[Steps]]),F1608-Table1[[#This Row],[Steps]]),
))</f>
        <v>86</v>
      </c>
      <c r="E1609">
        <f>_xlfn.LET(_xlpm.dir,Table1[[#This Row],[Direction]],
IF(_xlpm.dir="R",
    IF(F1608+Table1[[#This Row],[Steps]]&gt;99,(F1608+Table1[[#This Row],[Steps]])-100,F1608+Table1[[#This Row],[Steps]]),
))</f>
        <v>0</v>
      </c>
      <c r="F1609">
        <f>IF(Table1[[#This Row],[New Pos L]]&lt;&gt;0,Table1[[#This Row],[New Pos L]],Table1[[#This Row],[New Pos R]])</f>
        <v>86</v>
      </c>
    </row>
    <row r="1610" spans="1:6" ht="16" x14ac:dyDescent="0.2">
      <c r="A1610" s="1" t="s">
        <v>67</v>
      </c>
      <c r="B1610" t="str">
        <f>LEFT(Table1[[#This Row],[Input]],1)</f>
        <v>R</v>
      </c>
      <c r="C1610">
        <f>_xlfn.LET(_xlpm.steps,SUBSTITUTE(Table1[[#This Row],[Input]],Table1[[#This Row],[Direction]],""),VALUE(IF(LEN(_xlpm.steps)&gt;2,RIGHT(_xlpm.steps,2),_xlpm.steps)))</f>
        <v>33</v>
      </c>
      <c r="D1610">
        <f>_xlfn.LET(_xlpm.dir,Table1[[#This Row],[Direction]],
IF(_xlpm.dir="L",
    IF(F1609-Table1[[#This Row],[Steps]]&lt;0,100+(F1609-Table1[[#This Row],[Steps]]),F1609-Table1[[#This Row],[Steps]]),
))</f>
        <v>0</v>
      </c>
      <c r="E1610">
        <f>_xlfn.LET(_xlpm.dir,Table1[[#This Row],[Direction]],
IF(_xlpm.dir="R",
    IF(F1609+Table1[[#This Row],[Steps]]&gt;99,(F1609+Table1[[#This Row],[Steps]])-100,F1609+Table1[[#This Row],[Steps]]),
))</f>
        <v>19</v>
      </c>
      <c r="F1610">
        <f>IF(Table1[[#This Row],[New Pos L]]&lt;&gt;0,Table1[[#This Row],[New Pos L]],Table1[[#This Row],[New Pos R]])</f>
        <v>19</v>
      </c>
    </row>
    <row r="1611" spans="1:6" ht="16" x14ac:dyDescent="0.2">
      <c r="A1611" s="1" t="s">
        <v>63</v>
      </c>
      <c r="B1611" t="str">
        <f>LEFT(Table1[[#This Row],[Input]],1)</f>
        <v>R</v>
      </c>
      <c r="C1611">
        <f>_xlfn.LET(_xlpm.steps,SUBSTITUTE(Table1[[#This Row],[Input]],Table1[[#This Row],[Direction]],""),VALUE(IF(LEN(_xlpm.steps)&gt;2,RIGHT(_xlpm.steps,2),_xlpm.steps)))</f>
        <v>57</v>
      </c>
      <c r="D1611">
        <f>_xlfn.LET(_xlpm.dir,Table1[[#This Row],[Direction]],
IF(_xlpm.dir="L",
    IF(F1610-Table1[[#This Row],[Steps]]&lt;0,100+(F1610-Table1[[#This Row],[Steps]]),F1610-Table1[[#This Row],[Steps]]),
))</f>
        <v>0</v>
      </c>
      <c r="E1611">
        <f>_xlfn.LET(_xlpm.dir,Table1[[#This Row],[Direction]],
IF(_xlpm.dir="R",
    IF(F1610+Table1[[#This Row],[Steps]]&gt;99,(F1610+Table1[[#This Row],[Steps]])-100,F1610+Table1[[#This Row],[Steps]]),
))</f>
        <v>76</v>
      </c>
      <c r="F1611">
        <f>IF(Table1[[#This Row],[New Pos L]]&lt;&gt;0,Table1[[#This Row],[New Pos L]],Table1[[#This Row],[New Pos R]])</f>
        <v>76</v>
      </c>
    </row>
    <row r="1612" spans="1:6" ht="16" x14ac:dyDescent="0.2">
      <c r="A1612" s="1" t="s">
        <v>279</v>
      </c>
      <c r="B1612" t="str">
        <f>LEFT(Table1[[#This Row],[Input]],1)</f>
        <v>R</v>
      </c>
      <c r="C1612">
        <f>_xlfn.LET(_xlpm.steps,SUBSTITUTE(Table1[[#This Row],[Input]],Table1[[#This Row],[Direction]],""),VALUE(IF(LEN(_xlpm.steps)&gt;2,RIGHT(_xlpm.steps,2),_xlpm.steps)))</f>
        <v>34</v>
      </c>
      <c r="D1612">
        <f>_xlfn.LET(_xlpm.dir,Table1[[#This Row],[Direction]],
IF(_xlpm.dir="L",
    IF(F1611-Table1[[#This Row],[Steps]]&lt;0,100+(F1611-Table1[[#This Row],[Steps]]),F1611-Table1[[#This Row],[Steps]]),
))</f>
        <v>0</v>
      </c>
      <c r="E1612">
        <f>_xlfn.LET(_xlpm.dir,Table1[[#This Row],[Direction]],
IF(_xlpm.dir="R",
    IF(F1611+Table1[[#This Row],[Steps]]&gt;99,(F1611+Table1[[#This Row],[Steps]])-100,F1611+Table1[[#This Row],[Steps]]),
))</f>
        <v>10</v>
      </c>
      <c r="F1612">
        <f>IF(Table1[[#This Row],[New Pos L]]&lt;&gt;0,Table1[[#This Row],[New Pos L]],Table1[[#This Row],[New Pos R]])</f>
        <v>10</v>
      </c>
    </row>
    <row r="1613" spans="1:6" ht="16" x14ac:dyDescent="0.2">
      <c r="A1613" s="1" t="s">
        <v>470</v>
      </c>
      <c r="B1613" t="str">
        <f>LEFT(Table1[[#This Row],[Input]],1)</f>
        <v>L</v>
      </c>
      <c r="C1613">
        <f>_xlfn.LET(_xlpm.steps,SUBSTITUTE(Table1[[#This Row],[Input]],Table1[[#This Row],[Direction]],""),VALUE(IF(LEN(_xlpm.steps)&gt;2,RIGHT(_xlpm.steps,2),_xlpm.steps)))</f>
        <v>43</v>
      </c>
      <c r="D1613">
        <f>_xlfn.LET(_xlpm.dir,Table1[[#This Row],[Direction]],
IF(_xlpm.dir="L",
    IF(F1612-Table1[[#This Row],[Steps]]&lt;0,100+(F1612-Table1[[#This Row],[Steps]]),F1612-Table1[[#This Row],[Steps]]),
))</f>
        <v>67</v>
      </c>
      <c r="E1613">
        <f>_xlfn.LET(_xlpm.dir,Table1[[#This Row],[Direction]],
IF(_xlpm.dir="R",
    IF(F1612+Table1[[#This Row],[Steps]]&gt;99,(F1612+Table1[[#This Row],[Steps]])-100,F1612+Table1[[#This Row],[Steps]]),
))</f>
        <v>0</v>
      </c>
      <c r="F1613">
        <f>IF(Table1[[#This Row],[New Pos L]]&lt;&gt;0,Table1[[#This Row],[New Pos L]],Table1[[#This Row],[New Pos R]])</f>
        <v>67</v>
      </c>
    </row>
    <row r="1614" spans="1:6" ht="16" x14ac:dyDescent="0.2">
      <c r="A1614" s="1" t="s">
        <v>5</v>
      </c>
      <c r="B1614" t="str">
        <f>LEFT(Table1[[#This Row],[Input]],1)</f>
        <v>R</v>
      </c>
      <c r="C1614">
        <f>_xlfn.LET(_xlpm.steps,SUBSTITUTE(Table1[[#This Row],[Input]],Table1[[#This Row],[Direction]],""),VALUE(IF(LEN(_xlpm.steps)&gt;2,RIGHT(_xlpm.steps,2),_xlpm.steps)))</f>
        <v>1</v>
      </c>
      <c r="D1614">
        <f>_xlfn.LET(_xlpm.dir,Table1[[#This Row],[Direction]],
IF(_xlpm.dir="L",
    IF(F1613-Table1[[#This Row],[Steps]]&lt;0,100+(F1613-Table1[[#This Row],[Steps]]),F1613-Table1[[#This Row],[Steps]]),
))</f>
        <v>0</v>
      </c>
      <c r="E1614">
        <f>_xlfn.LET(_xlpm.dir,Table1[[#This Row],[Direction]],
IF(_xlpm.dir="R",
    IF(F1613+Table1[[#This Row],[Steps]]&gt;99,(F1613+Table1[[#This Row],[Steps]])-100,F1613+Table1[[#This Row],[Steps]]),
))</f>
        <v>68</v>
      </c>
      <c r="F1614">
        <f>IF(Table1[[#This Row],[New Pos L]]&lt;&gt;0,Table1[[#This Row],[New Pos L]],Table1[[#This Row],[New Pos R]])</f>
        <v>68</v>
      </c>
    </row>
    <row r="1615" spans="1:6" ht="16" x14ac:dyDescent="0.2">
      <c r="A1615" s="1" t="s">
        <v>19</v>
      </c>
      <c r="B1615" t="str">
        <f>LEFT(Table1[[#This Row],[Input]],1)</f>
        <v>R</v>
      </c>
      <c r="C1615">
        <f>_xlfn.LET(_xlpm.steps,SUBSTITUTE(Table1[[#This Row],[Input]],Table1[[#This Row],[Direction]],""),VALUE(IF(LEN(_xlpm.steps)&gt;2,RIGHT(_xlpm.steps,2),_xlpm.steps)))</f>
        <v>47</v>
      </c>
      <c r="D1615">
        <f>_xlfn.LET(_xlpm.dir,Table1[[#This Row],[Direction]],
IF(_xlpm.dir="L",
    IF(F1614-Table1[[#This Row],[Steps]]&lt;0,100+(F1614-Table1[[#This Row],[Steps]]),F1614-Table1[[#This Row],[Steps]]),
))</f>
        <v>0</v>
      </c>
      <c r="E1615">
        <f>_xlfn.LET(_xlpm.dir,Table1[[#This Row],[Direction]],
IF(_xlpm.dir="R",
    IF(F1614+Table1[[#This Row],[Steps]]&gt;99,(F1614+Table1[[#This Row],[Steps]])-100,F1614+Table1[[#This Row],[Steps]]),
))</f>
        <v>15</v>
      </c>
      <c r="F1615">
        <f>IF(Table1[[#This Row],[New Pos L]]&lt;&gt;0,Table1[[#This Row],[New Pos L]],Table1[[#This Row],[New Pos R]])</f>
        <v>15</v>
      </c>
    </row>
    <row r="1616" spans="1:6" ht="16" x14ac:dyDescent="0.2">
      <c r="A1616" s="1" t="s">
        <v>164</v>
      </c>
      <c r="B1616" t="str">
        <f>LEFT(Table1[[#This Row],[Input]],1)</f>
        <v>R</v>
      </c>
      <c r="C1616">
        <f>_xlfn.LET(_xlpm.steps,SUBSTITUTE(Table1[[#This Row],[Input]],Table1[[#This Row],[Direction]],""),VALUE(IF(LEN(_xlpm.steps)&gt;2,RIGHT(_xlpm.steps,2),_xlpm.steps)))</f>
        <v>85</v>
      </c>
      <c r="D1616">
        <f>_xlfn.LET(_xlpm.dir,Table1[[#This Row],[Direction]],
IF(_xlpm.dir="L",
    IF(F1615-Table1[[#This Row],[Steps]]&lt;0,100+(F1615-Table1[[#This Row],[Steps]]),F1615-Table1[[#This Row],[Steps]]),
))</f>
        <v>0</v>
      </c>
      <c r="E1616">
        <f>_xlfn.LET(_xlpm.dir,Table1[[#This Row],[Direction]],
IF(_xlpm.dir="R",
    IF(F1615+Table1[[#This Row],[Steps]]&gt;99,(F1615+Table1[[#This Row],[Steps]])-100,F1615+Table1[[#This Row],[Steps]]),
))</f>
        <v>0</v>
      </c>
      <c r="F1616">
        <f>IF(Table1[[#This Row],[New Pos L]]&lt;&gt;0,Table1[[#This Row],[New Pos L]],Table1[[#This Row],[New Pos R]])</f>
        <v>0</v>
      </c>
    </row>
    <row r="1617" spans="1:6" ht="16" x14ac:dyDescent="0.2">
      <c r="A1617" s="1" t="s">
        <v>471</v>
      </c>
      <c r="B1617" t="str">
        <f>LEFT(Table1[[#This Row],[Input]],1)</f>
        <v>R</v>
      </c>
      <c r="C1617">
        <f>_xlfn.LET(_xlpm.steps,SUBSTITUTE(Table1[[#This Row],[Input]],Table1[[#This Row],[Direction]],""),VALUE(IF(LEN(_xlpm.steps)&gt;2,RIGHT(_xlpm.steps,2),_xlpm.steps)))</f>
        <v>55</v>
      </c>
      <c r="D1617">
        <f>_xlfn.LET(_xlpm.dir,Table1[[#This Row],[Direction]],
IF(_xlpm.dir="L",
    IF(F1616-Table1[[#This Row],[Steps]]&lt;0,100+(F1616-Table1[[#This Row],[Steps]]),F1616-Table1[[#This Row],[Steps]]),
))</f>
        <v>0</v>
      </c>
      <c r="E1617">
        <f>_xlfn.LET(_xlpm.dir,Table1[[#This Row],[Direction]],
IF(_xlpm.dir="R",
    IF(F1616+Table1[[#This Row],[Steps]]&gt;99,(F1616+Table1[[#This Row],[Steps]])-100,F1616+Table1[[#This Row],[Steps]]),
))</f>
        <v>55</v>
      </c>
      <c r="F1617">
        <f>IF(Table1[[#This Row],[New Pos L]]&lt;&gt;0,Table1[[#This Row],[New Pos L]],Table1[[#This Row],[New Pos R]])</f>
        <v>55</v>
      </c>
    </row>
    <row r="1618" spans="1:6" ht="16" x14ac:dyDescent="0.2">
      <c r="A1618" s="1" t="s">
        <v>82</v>
      </c>
      <c r="B1618" t="str">
        <f>LEFT(Table1[[#This Row],[Input]],1)</f>
        <v>L</v>
      </c>
      <c r="C1618">
        <f>_xlfn.LET(_xlpm.steps,SUBSTITUTE(Table1[[#This Row],[Input]],Table1[[#This Row],[Direction]],""),VALUE(IF(LEN(_xlpm.steps)&gt;2,RIGHT(_xlpm.steps,2),_xlpm.steps)))</f>
        <v>55</v>
      </c>
      <c r="D1618">
        <f>_xlfn.LET(_xlpm.dir,Table1[[#This Row],[Direction]],
IF(_xlpm.dir="L",
    IF(F1617-Table1[[#This Row],[Steps]]&lt;0,100+(F1617-Table1[[#This Row],[Steps]]),F1617-Table1[[#This Row],[Steps]]),
))</f>
        <v>0</v>
      </c>
      <c r="E1618">
        <f>_xlfn.LET(_xlpm.dir,Table1[[#This Row],[Direction]],
IF(_xlpm.dir="R",
    IF(F1617+Table1[[#This Row],[Steps]]&gt;99,(F1617+Table1[[#This Row],[Steps]])-100,F1617+Table1[[#This Row],[Steps]]),
))</f>
        <v>0</v>
      </c>
      <c r="F1618">
        <f>IF(Table1[[#This Row],[New Pos L]]&lt;&gt;0,Table1[[#This Row],[New Pos L]],Table1[[#This Row],[New Pos R]])</f>
        <v>0</v>
      </c>
    </row>
    <row r="1619" spans="1:6" ht="16" x14ac:dyDescent="0.2">
      <c r="A1619" s="1" t="s">
        <v>67</v>
      </c>
      <c r="B1619" t="str">
        <f>LEFT(Table1[[#This Row],[Input]],1)</f>
        <v>R</v>
      </c>
      <c r="C1619">
        <f>_xlfn.LET(_xlpm.steps,SUBSTITUTE(Table1[[#This Row],[Input]],Table1[[#This Row],[Direction]],""),VALUE(IF(LEN(_xlpm.steps)&gt;2,RIGHT(_xlpm.steps,2),_xlpm.steps)))</f>
        <v>33</v>
      </c>
      <c r="D1619">
        <f>_xlfn.LET(_xlpm.dir,Table1[[#This Row],[Direction]],
IF(_xlpm.dir="L",
    IF(F1618-Table1[[#This Row],[Steps]]&lt;0,100+(F1618-Table1[[#This Row],[Steps]]),F1618-Table1[[#This Row],[Steps]]),
))</f>
        <v>0</v>
      </c>
      <c r="E1619">
        <f>_xlfn.LET(_xlpm.dir,Table1[[#This Row],[Direction]],
IF(_xlpm.dir="R",
    IF(F1618+Table1[[#This Row],[Steps]]&gt;99,(F1618+Table1[[#This Row],[Steps]])-100,F1618+Table1[[#This Row],[Steps]]),
))</f>
        <v>33</v>
      </c>
      <c r="F1619">
        <f>IF(Table1[[#This Row],[New Pos L]]&lt;&gt;0,Table1[[#This Row],[New Pos L]],Table1[[#This Row],[New Pos R]])</f>
        <v>33</v>
      </c>
    </row>
    <row r="1620" spans="1:6" ht="16" x14ac:dyDescent="0.2">
      <c r="A1620" s="1" t="s">
        <v>159</v>
      </c>
      <c r="B1620" t="str">
        <f>LEFT(Table1[[#This Row],[Input]],1)</f>
        <v>R</v>
      </c>
      <c r="C1620">
        <f>_xlfn.LET(_xlpm.steps,SUBSTITUTE(Table1[[#This Row],[Input]],Table1[[#This Row],[Direction]],""),VALUE(IF(LEN(_xlpm.steps)&gt;2,RIGHT(_xlpm.steps,2),_xlpm.steps)))</f>
        <v>24</v>
      </c>
      <c r="D1620">
        <f>_xlfn.LET(_xlpm.dir,Table1[[#This Row],[Direction]],
IF(_xlpm.dir="L",
    IF(F1619-Table1[[#This Row],[Steps]]&lt;0,100+(F1619-Table1[[#This Row],[Steps]]),F1619-Table1[[#This Row],[Steps]]),
))</f>
        <v>0</v>
      </c>
      <c r="E1620">
        <f>_xlfn.LET(_xlpm.dir,Table1[[#This Row],[Direction]],
IF(_xlpm.dir="R",
    IF(F1619+Table1[[#This Row],[Steps]]&gt;99,(F1619+Table1[[#This Row],[Steps]])-100,F1619+Table1[[#This Row],[Steps]]),
))</f>
        <v>57</v>
      </c>
      <c r="F1620">
        <f>IF(Table1[[#This Row],[New Pos L]]&lt;&gt;0,Table1[[#This Row],[New Pos L]],Table1[[#This Row],[New Pos R]])</f>
        <v>57</v>
      </c>
    </row>
    <row r="1621" spans="1:6" ht="16" x14ac:dyDescent="0.2">
      <c r="A1621" s="1" t="s">
        <v>62</v>
      </c>
      <c r="B1621" t="str">
        <f>LEFT(Table1[[#This Row],[Input]],1)</f>
        <v>L</v>
      </c>
      <c r="C1621">
        <f>_xlfn.LET(_xlpm.steps,SUBSTITUTE(Table1[[#This Row],[Input]],Table1[[#This Row],[Direction]],""),VALUE(IF(LEN(_xlpm.steps)&gt;2,RIGHT(_xlpm.steps,2),_xlpm.steps)))</f>
        <v>57</v>
      </c>
      <c r="D1621">
        <f>_xlfn.LET(_xlpm.dir,Table1[[#This Row],[Direction]],
IF(_xlpm.dir="L",
    IF(F1620-Table1[[#This Row],[Steps]]&lt;0,100+(F1620-Table1[[#This Row],[Steps]]),F1620-Table1[[#This Row],[Steps]]),
))</f>
        <v>0</v>
      </c>
      <c r="E1621">
        <f>_xlfn.LET(_xlpm.dir,Table1[[#This Row],[Direction]],
IF(_xlpm.dir="R",
    IF(F1620+Table1[[#This Row],[Steps]]&gt;99,(F1620+Table1[[#This Row],[Steps]])-100,F1620+Table1[[#This Row],[Steps]]),
))</f>
        <v>0</v>
      </c>
      <c r="F1621">
        <f>IF(Table1[[#This Row],[New Pos L]]&lt;&gt;0,Table1[[#This Row],[New Pos L]],Table1[[#This Row],[New Pos R]])</f>
        <v>0</v>
      </c>
    </row>
    <row r="1622" spans="1:6" ht="16" x14ac:dyDescent="0.2">
      <c r="A1622" s="1" t="s">
        <v>73</v>
      </c>
      <c r="B1622" t="str">
        <f>LEFT(Table1[[#This Row],[Input]],1)</f>
        <v>R</v>
      </c>
      <c r="C1622">
        <f>_xlfn.LET(_xlpm.steps,SUBSTITUTE(Table1[[#This Row],[Input]],Table1[[#This Row],[Direction]],""),VALUE(IF(LEN(_xlpm.steps)&gt;2,RIGHT(_xlpm.steps,2),_xlpm.steps)))</f>
        <v>21</v>
      </c>
      <c r="D1622">
        <f>_xlfn.LET(_xlpm.dir,Table1[[#This Row],[Direction]],
IF(_xlpm.dir="L",
    IF(F1621-Table1[[#This Row],[Steps]]&lt;0,100+(F1621-Table1[[#This Row],[Steps]]),F1621-Table1[[#This Row],[Steps]]),
))</f>
        <v>0</v>
      </c>
      <c r="E1622">
        <f>_xlfn.LET(_xlpm.dir,Table1[[#This Row],[Direction]],
IF(_xlpm.dir="R",
    IF(F1621+Table1[[#This Row],[Steps]]&gt;99,(F1621+Table1[[#This Row],[Steps]])-100,F1621+Table1[[#This Row],[Steps]]),
))</f>
        <v>21</v>
      </c>
      <c r="F1622">
        <f>IF(Table1[[#This Row],[New Pos L]]&lt;&gt;0,Table1[[#This Row],[New Pos L]],Table1[[#This Row],[New Pos R]])</f>
        <v>21</v>
      </c>
    </row>
    <row r="1623" spans="1:6" ht="16" x14ac:dyDescent="0.2">
      <c r="A1623" s="1" t="s">
        <v>472</v>
      </c>
      <c r="B1623" t="str">
        <f>LEFT(Table1[[#This Row],[Input]],1)</f>
        <v>R</v>
      </c>
      <c r="C1623">
        <f>_xlfn.LET(_xlpm.steps,SUBSTITUTE(Table1[[#This Row],[Input]],Table1[[#This Row],[Direction]],""),VALUE(IF(LEN(_xlpm.steps)&gt;2,RIGHT(_xlpm.steps,2),_xlpm.steps)))</f>
        <v>87</v>
      </c>
      <c r="D1623">
        <f>_xlfn.LET(_xlpm.dir,Table1[[#This Row],[Direction]],
IF(_xlpm.dir="L",
    IF(F1622-Table1[[#This Row],[Steps]]&lt;0,100+(F1622-Table1[[#This Row],[Steps]]),F1622-Table1[[#This Row],[Steps]]),
))</f>
        <v>0</v>
      </c>
      <c r="E1623">
        <f>_xlfn.LET(_xlpm.dir,Table1[[#This Row],[Direction]],
IF(_xlpm.dir="R",
    IF(F1622+Table1[[#This Row],[Steps]]&gt;99,(F1622+Table1[[#This Row],[Steps]])-100,F1622+Table1[[#This Row],[Steps]]),
))</f>
        <v>8</v>
      </c>
      <c r="F1623">
        <f>IF(Table1[[#This Row],[New Pos L]]&lt;&gt;0,Table1[[#This Row],[New Pos L]],Table1[[#This Row],[New Pos R]])</f>
        <v>8</v>
      </c>
    </row>
    <row r="1624" spans="1:6" ht="16" x14ac:dyDescent="0.2">
      <c r="A1624" s="1" t="s">
        <v>128</v>
      </c>
      <c r="B1624" t="str">
        <f>LEFT(Table1[[#This Row],[Input]],1)</f>
        <v>R</v>
      </c>
      <c r="C1624">
        <f>_xlfn.LET(_xlpm.steps,SUBSTITUTE(Table1[[#This Row],[Input]],Table1[[#This Row],[Direction]],""),VALUE(IF(LEN(_xlpm.steps)&gt;2,RIGHT(_xlpm.steps,2),_xlpm.steps)))</f>
        <v>92</v>
      </c>
      <c r="D1624">
        <f>_xlfn.LET(_xlpm.dir,Table1[[#This Row],[Direction]],
IF(_xlpm.dir="L",
    IF(F1623-Table1[[#This Row],[Steps]]&lt;0,100+(F1623-Table1[[#This Row],[Steps]]),F1623-Table1[[#This Row],[Steps]]),
))</f>
        <v>0</v>
      </c>
      <c r="E1624">
        <f>_xlfn.LET(_xlpm.dir,Table1[[#This Row],[Direction]],
IF(_xlpm.dir="R",
    IF(F1623+Table1[[#This Row],[Steps]]&gt;99,(F1623+Table1[[#This Row],[Steps]])-100,F1623+Table1[[#This Row],[Steps]]),
))</f>
        <v>0</v>
      </c>
      <c r="F1624">
        <f>IF(Table1[[#This Row],[New Pos L]]&lt;&gt;0,Table1[[#This Row],[New Pos L]],Table1[[#This Row],[New Pos R]])</f>
        <v>0</v>
      </c>
    </row>
    <row r="1625" spans="1:6" ht="16" x14ac:dyDescent="0.2">
      <c r="A1625" s="1" t="s">
        <v>473</v>
      </c>
      <c r="B1625" t="str">
        <f>LEFT(Table1[[#This Row],[Input]],1)</f>
        <v>L</v>
      </c>
      <c r="C1625">
        <f>_xlfn.LET(_xlpm.steps,SUBSTITUTE(Table1[[#This Row],[Input]],Table1[[#This Row],[Direction]],""),VALUE(IF(LEN(_xlpm.steps)&gt;2,RIGHT(_xlpm.steps,2),_xlpm.steps)))</f>
        <v>52</v>
      </c>
      <c r="D1625">
        <f>_xlfn.LET(_xlpm.dir,Table1[[#This Row],[Direction]],
IF(_xlpm.dir="L",
    IF(F1624-Table1[[#This Row],[Steps]]&lt;0,100+(F1624-Table1[[#This Row],[Steps]]),F1624-Table1[[#This Row],[Steps]]),
))</f>
        <v>48</v>
      </c>
      <c r="E1625">
        <f>_xlfn.LET(_xlpm.dir,Table1[[#This Row],[Direction]],
IF(_xlpm.dir="R",
    IF(F1624+Table1[[#This Row],[Steps]]&gt;99,(F1624+Table1[[#This Row],[Steps]])-100,F1624+Table1[[#This Row],[Steps]]),
))</f>
        <v>0</v>
      </c>
      <c r="F1625">
        <f>IF(Table1[[#This Row],[New Pos L]]&lt;&gt;0,Table1[[#This Row],[New Pos L]],Table1[[#This Row],[New Pos R]])</f>
        <v>48</v>
      </c>
    </row>
    <row r="1626" spans="1:6" ht="16" x14ac:dyDescent="0.2">
      <c r="A1626" s="1" t="s">
        <v>146</v>
      </c>
      <c r="B1626" t="str">
        <f>LEFT(Table1[[#This Row],[Input]],1)</f>
        <v>R</v>
      </c>
      <c r="C1626">
        <f>_xlfn.LET(_xlpm.steps,SUBSTITUTE(Table1[[#This Row],[Input]],Table1[[#This Row],[Direction]],""),VALUE(IF(LEN(_xlpm.steps)&gt;2,RIGHT(_xlpm.steps,2),_xlpm.steps)))</f>
        <v>4</v>
      </c>
      <c r="D1626">
        <f>_xlfn.LET(_xlpm.dir,Table1[[#This Row],[Direction]],
IF(_xlpm.dir="L",
    IF(F1625-Table1[[#This Row],[Steps]]&lt;0,100+(F1625-Table1[[#This Row],[Steps]]),F1625-Table1[[#This Row],[Steps]]),
))</f>
        <v>0</v>
      </c>
      <c r="E1626">
        <f>_xlfn.LET(_xlpm.dir,Table1[[#This Row],[Direction]],
IF(_xlpm.dir="R",
    IF(F1625+Table1[[#This Row],[Steps]]&gt;99,(F1625+Table1[[#This Row],[Steps]])-100,F1625+Table1[[#This Row],[Steps]]),
))</f>
        <v>52</v>
      </c>
      <c r="F1626">
        <f>IF(Table1[[#This Row],[New Pos L]]&lt;&gt;0,Table1[[#This Row],[New Pos L]],Table1[[#This Row],[New Pos R]])</f>
        <v>52</v>
      </c>
    </row>
    <row r="1627" spans="1:6" ht="16" x14ac:dyDescent="0.2">
      <c r="A1627" s="1" t="s">
        <v>474</v>
      </c>
      <c r="B1627" t="str">
        <f>LEFT(Table1[[#This Row],[Input]],1)</f>
        <v>R</v>
      </c>
      <c r="C1627">
        <f>_xlfn.LET(_xlpm.steps,SUBSTITUTE(Table1[[#This Row],[Input]],Table1[[#This Row],[Direction]],""),VALUE(IF(LEN(_xlpm.steps)&gt;2,RIGHT(_xlpm.steps,2),_xlpm.steps)))</f>
        <v>48</v>
      </c>
      <c r="D1627">
        <f>_xlfn.LET(_xlpm.dir,Table1[[#This Row],[Direction]],
IF(_xlpm.dir="L",
    IF(F1626-Table1[[#This Row],[Steps]]&lt;0,100+(F1626-Table1[[#This Row],[Steps]]),F1626-Table1[[#This Row],[Steps]]),
))</f>
        <v>0</v>
      </c>
      <c r="E1627">
        <f>_xlfn.LET(_xlpm.dir,Table1[[#This Row],[Direction]],
IF(_xlpm.dir="R",
    IF(F1626+Table1[[#This Row],[Steps]]&gt;99,(F1626+Table1[[#This Row],[Steps]])-100,F1626+Table1[[#This Row],[Steps]]),
))</f>
        <v>0</v>
      </c>
      <c r="F1627">
        <f>IF(Table1[[#This Row],[New Pos L]]&lt;&gt;0,Table1[[#This Row],[New Pos L]],Table1[[#This Row],[New Pos R]])</f>
        <v>0</v>
      </c>
    </row>
    <row r="1628" spans="1:6" ht="16" x14ac:dyDescent="0.2">
      <c r="A1628" s="1" t="s">
        <v>123</v>
      </c>
      <c r="B1628" t="str">
        <f>LEFT(Table1[[#This Row],[Input]],1)</f>
        <v>L</v>
      </c>
      <c r="C1628">
        <f>_xlfn.LET(_xlpm.steps,SUBSTITUTE(Table1[[#This Row],[Input]],Table1[[#This Row],[Direction]],""),VALUE(IF(LEN(_xlpm.steps)&gt;2,RIGHT(_xlpm.steps,2),_xlpm.steps)))</f>
        <v>63</v>
      </c>
      <c r="D1628">
        <f>_xlfn.LET(_xlpm.dir,Table1[[#This Row],[Direction]],
IF(_xlpm.dir="L",
    IF(F1627-Table1[[#This Row],[Steps]]&lt;0,100+(F1627-Table1[[#This Row],[Steps]]),F1627-Table1[[#This Row],[Steps]]),
))</f>
        <v>37</v>
      </c>
      <c r="E1628">
        <f>_xlfn.LET(_xlpm.dir,Table1[[#This Row],[Direction]],
IF(_xlpm.dir="R",
    IF(F1627+Table1[[#This Row],[Steps]]&gt;99,(F1627+Table1[[#This Row],[Steps]])-100,F1627+Table1[[#This Row],[Steps]]),
))</f>
        <v>0</v>
      </c>
      <c r="F1628">
        <f>IF(Table1[[#This Row],[New Pos L]]&lt;&gt;0,Table1[[#This Row],[New Pos L]],Table1[[#This Row],[New Pos R]])</f>
        <v>37</v>
      </c>
    </row>
    <row r="1629" spans="1:6" ht="16" x14ac:dyDescent="0.2">
      <c r="A1629" s="1" t="s">
        <v>272</v>
      </c>
      <c r="B1629" t="str">
        <f>LEFT(Table1[[#This Row],[Input]],1)</f>
        <v>R</v>
      </c>
      <c r="C1629">
        <f>_xlfn.LET(_xlpm.steps,SUBSTITUTE(Table1[[#This Row],[Input]],Table1[[#This Row],[Direction]],""),VALUE(IF(LEN(_xlpm.steps)&gt;2,RIGHT(_xlpm.steps,2),_xlpm.steps)))</f>
        <v>56</v>
      </c>
      <c r="D1629">
        <f>_xlfn.LET(_xlpm.dir,Table1[[#This Row],[Direction]],
IF(_xlpm.dir="L",
    IF(F1628-Table1[[#This Row],[Steps]]&lt;0,100+(F1628-Table1[[#This Row],[Steps]]),F1628-Table1[[#This Row],[Steps]]),
))</f>
        <v>0</v>
      </c>
      <c r="E1629">
        <f>_xlfn.LET(_xlpm.dir,Table1[[#This Row],[Direction]],
IF(_xlpm.dir="R",
    IF(F1628+Table1[[#This Row],[Steps]]&gt;99,(F1628+Table1[[#This Row],[Steps]])-100,F1628+Table1[[#This Row],[Steps]]),
))</f>
        <v>93</v>
      </c>
      <c r="F1629">
        <f>IF(Table1[[#This Row],[New Pos L]]&lt;&gt;0,Table1[[#This Row],[New Pos L]],Table1[[#This Row],[New Pos R]])</f>
        <v>93</v>
      </c>
    </row>
    <row r="1630" spans="1:6" ht="16" x14ac:dyDescent="0.2">
      <c r="A1630" s="1" t="s">
        <v>71</v>
      </c>
      <c r="B1630" t="str">
        <f>LEFT(Table1[[#This Row],[Input]],1)</f>
        <v>R</v>
      </c>
      <c r="C1630">
        <f>_xlfn.LET(_xlpm.steps,SUBSTITUTE(Table1[[#This Row],[Input]],Table1[[#This Row],[Direction]],""),VALUE(IF(LEN(_xlpm.steps)&gt;2,RIGHT(_xlpm.steps,2),_xlpm.steps)))</f>
        <v>23</v>
      </c>
      <c r="D1630">
        <f>_xlfn.LET(_xlpm.dir,Table1[[#This Row],[Direction]],
IF(_xlpm.dir="L",
    IF(F1629-Table1[[#This Row],[Steps]]&lt;0,100+(F1629-Table1[[#This Row],[Steps]]),F1629-Table1[[#This Row],[Steps]]),
))</f>
        <v>0</v>
      </c>
      <c r="E1630">
        <f>_xlfn.LET(_xlpm.dir,Table1[[#This Row],[Direction]],
IF(_xlpm.dir="R",
    IF(F1629+Table1[[#This Row],[Steps]]&gt;99,(F1629+Table1[[#This Row],[Steps]])-100,F1629+Table1[[#This Row],[Steps]]),
))</f>
        <v>16</v>
      </c>
      <c r="F1630">
        <f>IF(Table1[[#This Row],[New Pos L]]&lt;&gt;0,Table1[[#This Row],[New Pos L]],Table1[[#This Row],[New Pos R]])</f>
        <v>16</v>
      </c>
    </row>
    <row r="1631" spans="1:6" ht="16" x14ac:dyDescent="0.2">
      <c r="A1631" s="1" t="s">
        <v>11</v>
      </c>
      <c r="B1631" t="str">
        <f>LEFT(Table1[[#This Row],[Input]],1)</f>
        <v>L</v>
      </c>
      <c r="C1631">
        <f>_xlfn.LET(_xlpm.steps,SUBSTITUTE(Table1[[#This Row],[Input]],Table1[[#This Row],[Direction]],""),VALUE(IF(LEN(_xlpm.steps)&gt;2,RIGHT(_xlpm.steps,2),_xlpm.steps)))</f>
        <v>34</v>
      </c>
      <c r="D1631">
        <f>_xlfn.LET(_xlpm.dir,Table1[[#This Row],[Direction]],
IF(_xlpm.dir="L",
    IF(F1630-Table1[[#This Row],[Steps]]&lt;0,100+(F1630-Table1[[#This Row],[Steps]]),F1630-Table1[[#This Row],[Steps]]),
))</f>
        <v>82</v>
      </c>
      <c r="E1631">
        <f>_xlfn.LET(_xlpm.dir,Table1[[#This Row],[Direction]],
IF(_xlpm.dir="R",
    IF(F1630+Table1[[#This Row],[Steps]]&gt;99,(F1630+Table1[[#This Row],[Steps]])-100,F1630+Table1[[#This Row],[Steps]]),
))</f>
        <v>0</v>
      </c>
      <c r="F1631">
        <f>IF(Table1[[#This Row],[New Pos L]]&lt;&gt;0,Table1[[#This Row],[New Pos L]],Table1[[#This Row],[New Pos R]])</f>
        <v>82</v>
      </c>
    </row>
    <row r="1632" spans="1:6" ht="16" x14ac:dyDescent="0.2">
      <c r="A1632" s="1" t="s">
        <v>49</v>
      </c>
      <c r="B1632" t="str">
        <f>LEFT(Table1[[#This Row],[Input]],1)</f>
        <v>L</v>
      </c>
      <c r="C1632">
        <f>_xlfn.LET(_xlpm.steps,SUBSTITUTE(Table1[[#This Row],[Input]],Table1[[#This Row],[Direction]],""),VALUE(IF(LEN(_xlpm.steps)&gt;2,RIGHT(_xlpm.steps,2),_xlpm.steps)))</f>
        <v>93</v>
      </c>
      <c r="D1632">
        <f>_xlfn.LET(_xlpm.dir,Table1[[#This Row],[Direction]],
IF(_xlpm.dir="L",
    IF(F1631-Table1[[#This Row],[Steps]]&lt;0,100+(F1631-Table1[[#This Row],[Steps]]),F1631-Table1[[#This Row],[Steps]]),
))</f>
        <v>89</v>
      </c>
      <c r="E1632">
        <f>_xlfn.LET(_xlpm.dir,Table1[[#This Row],[Direction]],
IF(_xlpm.dir="R",
    IF(F1631+Table1[[#This Row],[Steps]]&gt;99,(F1631+Table1[[#This Row],[Steps]])-100,F1631+Table1[[#This Row],[Steps]]),
))</f>
        <v>0</v>
      </c>
      <c r="F1632">
        <f>IF(Table1[[#This Row],[New Pos L]]&lt;&gt;0,Table1[[#This Row],[New Pos L]],Table1[[#This Row],[New Pos R]])</f>
        <v>89</v>
      </c>
    </row>
    <row r="1633" spans="1:6" ht="16" x14ac:dyDescent="0.2">
      <c r="A1633" s="1" t="s">
        <v>52</v>
      </c>
      <c r="B1633" t="str">
        <f>LEFT(Table1[[#This Row],[Input]],1)</f>
        <v>R</v>
      </c>
      <c r="C1633">
        <f>_xlfn.LET(_xlpm.steps,SUBSTITUTE(Table1[[#This Row],[Input]],Table1[[#This Row],[Direction]],""),VALUE(IF(LEN(_xlpm.steps)&gt;2,RIGHT(_xlpm.steps,2),_xlpm.steps)))</f>
        <v>11</v>
      </c>
      <c r="D1633">
        <f>_xlfn.LET(_xlpm.dir,Table1[[#This Row],[Direction]],
IF(_xlpm.dir="L",
    IF(F1632-Table1[[#This Row],[Steps]]&lt;0,100+(F1632-Table1[[#This Row],[Steps]]),F1632-Table1[[#This Row],[Steps]]),
))</f>
        <v>0</v>
      </c>
      <c r="E1633">
        <f>_xlfn.LET(_xlpm.dir,Table1[[#This Row],[Direction]],
IF(_xlpm.dir="R",
    IF(F1632+Table1[[#This Row],[Steps]]&gt;99,(F1632+Table1[[#This Row],[Steps]])-100,F1632+Table1[[#This Row],[Steps]]),
))</f>
        <v>0</v>
      </c>
      <c r="F1633">
        <f>IF(Table1[[#This Row],[New Pos L]]&lt;&gt;0,Table1[[#This Row],[New Pos L]],Table1[[#This Row],[New Pos R]])</f>
        <v>0</v>
      </c>
    </row>
    <row r="1634" spans="1:6" ht="16" x14ac:dyDescent="0.2">
      <c r="A1634" s="1" t="s">
        <v>26</v>
      </c>
      <c r="B1634" t="str">
        <f>LEFT(Table1[[#This Row],[Input]],1)</f>
        <v>R</v>
      </c>
      <c r="C1634">
        <f>_xlfn.LET(_xlpm.steps,SUBSTITUTE(Table1[[#This Row],[Input]],Table1[[#This Row],[Direction]],""),VALUE(IF(LEN(_xlpm.steps)&gt;2,RIGHT(_xlpm.steps,2),_xlpm.steps)))</f>
        <v>6</v>
      </c>
      <c r="D1634">
        <f>_xlfn.LET(_xlpm.dir,Table1[[#This Row],[Direction]],
IF(_xlpm.dir="L",
    IF(F1633-Table1[[#This Row],[Steps]]&lt;0,100+(F1633-Table1[[#This Row],[Steps]]),F1633-Table1[[#This Row],[Steps]]),
))</f>
        <v>0</v>
      </c>
      <c r="E1634">
        <f>_xlfn.LET(_xlpm.dir,Table1[[#This Row],[Direction]],
IF(_xlpm.dir="R",
    IF(F1633+Table1[[#This Row],[Steps]]&gt;99,(F1633+Table1[[#This Row],[Steps]])-100,F1633+Table1[[#This Row],[Steps]]),
))</f>
        <v>6</v>
      </c>
      <c r="F1634">
        <f>IF(Table1[[#This Row],[New Pos L]]&lt;&gt;0,Table1[[#This Row],[New Pos L]],Table1[[#This Row],[New Pos R]])</f>
        <v>6</v>
      </c>
    </row>
    <row r="1635" spans="1:6" ht="16" x14ac:dyDescent="0.2">
      <c r="A1635" s="1" t="s">
        <v>296</v>
      </c>
      <c r="B1635" t="str">
        <f>LEFT(Table1[[#This Row],[Input]],1)</f>
        <v>R</v>
      </c>
      <c r="C1635">
        <f>_xlfn.LET(_xlpm.steps,SUBSTITUTE(Table1[[#This Row],[Input]],Table1[[#This Row],[Direction]],""),VALUE(IF(LEN(_xlpm.steps)&gt;2,RIGHT(_xlpm.steps,2),_xlpm.steps)))</f>
        <v>19</v>
      </c>
      <c r="D1635">
        <f>_xlfn.LET(_xlpm.dir,Table1[[#This Row],[Direction]],
IF(_xlpm.dir="L",
    IF(F1634-Table1[[#This Row],[Steps]]&lt;0,100+(F1634-Table1[[#This Row],[Steps]]),F1634-Table1[[#This Row],[Steps]]),
))</f>
        <v>0</v>
      </c>
      <c r="E1635">
        <f>_xlfn.LET(_xlpm.dir,Table1[[#This Row],[Direction]],
IF(_xlpm.dir="R",
    IF(F1634+Table1[[#This Row],[Steps]]&gt;99,(F1634+Table1[[#This Row],[Steps]])-100,F1634+Table1[[#This Row],[Steps]]),
))</f>
        <v>25</v>
      </c>
      <c r="F1635">
        <f>IF(Table1[[#This Row],[New Pos L]]&lt;&gt;0,Table1[[#This Row],[New Pos L]],Table1[[#This Row],[New Pos R]])</f>
        <v>25</v>
      </c>
    </row>
    <row r="1636" spans="1:6" ht="16" x14ac:dyDescent="0.2">
      <c r="A1636" s="1" t="s">
        <v>244</v>
      </c>
      <c r="B1636" t="str">
        <f>LEFT(Table1[[#This Row],[Input]],1)</f>
        <v>L</v>
      </c>
      <c r="C1636">
        <f>_xlfn.LET(_xlpm.steps,SUBSTITUTE(Table1[[#This Row],[Input]],Table1[[#This Row],[Direction]],""),VALUE(IF(LEN(_xlpm.steps)&gt;2,RIGHT(_xlpm.steps,2),_xlpm.steps)))</f>
        <v>98</v>
      </c>
      <c r="D1636">
        <f>_xlfn.LET(_xlpm.dir,Table1[[#This Row],[Direction]],
IF(_xlpm.dir="L",
    IF(F1635-Table1[[#This Row],[Steps]]&lt;0,100+(F1635-Table1[[#This Row],[Steps]]),F1635-Table1[[#This Row],[Steps]]),
))</f>
        <v>27</v>
      </c>
      <c r="E1636">
        <f>_xlfn.LET(_xlpm.dir,Table1[[#This Row],[Direction]],
IF(_xlpm.dir="R",
    IF(F1635+Table1[[#This Row],[Steps]]&gt;99,(F1635+Table1[[#This Row],[Steps]])-100,F1635+Table1[[#This Row],[Steps]]),
))</f>
        <v>0</v>
      </c>
      <c r="F1636">
        <f>IF(Table1[[#This Row],[New Pos L]]&lt;&gt;0,Table1[[#This Row],[New Pos L]],Table1[[#This Row],[New Pos R]])</f>
        <v>27</v>
      </c>
    </row>
    <row r="1637" spans="1:6" ht="16" x14ac:dyDescent="0.2">
      <c r="A1637" s="1" t="s">
        <v>475</v>
      </c>
      <c r="B1637" t="str">
        <f>LEFT(Table1[[#This Row],[Input]],1)</f>
        <v>L</v>
      </c>
      <c r="C1637">
        <f>_xlfn.LET(_xlpm.steps,SUBSTITUTE(Table1[[#This Row],[Input]],Table1[[#This Row],[Direction]],""),VALUE(IF(LEN(_xlpm.steps)&gt;2,RIGHT(_xlpm.steps,2),_xlpm.steps)))</f>
        <v>67</v>
      </c>
      <c r="D1637">
        <f>_xlfn.LET(_xlpm.dir,Table1[[#This Row],[Direction]],
IF(_xlpm.dir="L",
    IF(F1636-Table1[[#This Row],[Steps]]&lt;0,100+(F1636-Table1[[#This Row],[Steps]]),F1636-Table1[[#This Row],[Steps]]),
))</f>
        <v>60</v>
      </c>
      <c r="E1637">
        <f>_xlfn.LET(_xlpm.dir,Table1[[#This Row],[Direction]],
IF(_xlpm.dir="R",
    IF(F1636+Table1[[#This Row],[Steps]]&gt;99,(F1636+Table1[[#This Row],[Steps]])-100,F1636+Table1[[#This Row],[Steps]]),
))</f>
        <v>0</v>
      </c>
      <c r="F1637">
        <f>IF(Table1[[#This Row],[New Pos L]]&lt;&gt;0,Table1[[#This Row],[New Pos L]],Table1[[#This Row],[New Pos R]])</f>
        <v>60</v>
      </c>
    </row>
    <row r="1638" spans="1:6" ht="16" x14ac:dyDescent="0.2">
      <c r="A1638" s="1" t="s">
        <v>276</v>
      </c>
      <c r="B1638" t="str">
        <f>LEFT(Table1[[#This Row],[Input]],1)</f>
        <v>L</v>
      </c>
      <c r="C1638">
        <f>_xlfn.LET(_xlpm.steps,SUBSTITUTE(Table1[[#This Row],[Input]],Table1[[#This Row],[Direction]],""),VALUE(IF(LEN(_xlpm.steps)&gt;2,RIGHT(_xlpm.steps,2),_xlpm.steps)))</f>
        <v>60</v>
      </c>
      <c r="D1638">
        <f>_xlfn.LET(_xlpm.dir,Table1[[#This Row],[Direction]],
IF(_xlpm.dir="L",
    IF(F1637-Table1[[#This Row],[Steps]]&lt;0,100+(F1637-Table1[[#This Row],[Steps]]),F1637-Table1[[#This Row],[Steps]]),
))</f>
        <v>0</v>
      </c>
      <c r="E1638">
        <f>_xlfn.LET(_xlpm.dir,Table1[[#This Row],[Direction]],
IF(_xlpm.dir="R",
    IF(F1637+Table1[[#This Row],[Steps]]&gt;99,(F1637+Table1[[#This Row],[Steps]])-100,F1637+Table1[[#This Row],[Steps]]),
))</f>
        <v>0</v>
      </c>
      <c r="F1638">
        <f>IF(Table1[[#This Row],[New Pos L]]&lt;&gt;0,Table1[[#This Row],[New Pos L]],Table1[[#This Row],[New Pos R]])</f>
        <v>0</v>
      </c>
    </row>
    <row r="1639" spans="1:6" ht="16" x14ac:dyDescent="0.2">
      <c r="A1639" s="1" t="s">
        <v>217</v>
      </c>
      <c r="B1639" t="str">
        <f>LEFT(Table1[[#This Row],[Input]],1)</f>
        <v>R</v>
      </c>
      <c r="C1639">
        <f>_xlfn.LET(_xlpm.steps,SUBSTITUTE(Table1[[#This Row],[Input]],Table1[[#This Row],[Direction]],""),VALUE(IF(LEN(_xlpm.steps)&gt;2,RIGHT(_xlpm.steps,2),_xlpm.steps)))</f>
        <v>91</v>
      </c>
      <c r="D1639">
        <f>_xlfn.LET(_xlpm.dir,Table1[[#This Row],[Direction]],
IF(_xlpm.dir="L",
    IF(F1638-Table1[[#This Row],[Steps]]&lt;0,100+(F1638-Table1[[#This Row],[Steps]]),F1638-Table1[[#This Row],[Steps]]),
))</f>
        <v>0</v>
      </c>
      <c r="E1639">
        <f>_xlfn.LET(_xlpm.dir,Table1[[#This Row],[Direction]],
IF(_xlpm.dir="R",
    IF(F1638+Table1[[#This Row],[Steps]]&gt;99,(F1638+Table1[[#This Row],[Steps]])-100,F1638+Table1[[#This Row],[Steps]]),
))</f>
        <v>91</v>
      </c>
      <c r="F1639">
        <f>IF(Table1[[#This Row],[New Pos L]]&lt;&gt;0,Table1[[#This Row],[New Pos L]],Table1[[#This Row],[New Pos R]])</f>
        <v>91</v>
      </c>
    </row>
    <row r="1640" spans="1:6" ht="16" x14ac:dyDescent="0.2">
      <c r="A1640" s="1" t="s">
        <v>63</v>
      </c>
      <c r="B1640" t="str">
        <f>LEFT(Table1[[#This Row],[Input]],1)</f>
        <v>R</v>
      </c>
      <c r="C1640">
        <f>_xlfn.LET(_xlpm.steps,SUBSTITUTE(Table1[[#This Row],[Input]],Table1[[#This Row],[Direction]],""),VALUE(IF(LEN(_xlpm.steps)&gt;2,RIGHT(_xlpm.steps,2),_xlpm.steps)))</f>
        <v>57</v>
      </c>
      <c r="D1640">
        <f>_xlfn.LET(_xlpm.dir,Table1[[#This Row],[Direction]],
IF(_xlpm.dir="L",
    IF(F1639-Table1[[#This Row],[Steps]]&lt;0,100+(F1639-Table1[[#This Row],[Steps]]),F1639-Table1[[#This Row],[Steps]]),
))</f>
        <v>0</v>
      </c>
      <c r="E1640">
        <f>_xlfn.LET(_xlpm.dir,Table1[[#This Row],[Direction]],
IF(_xlpm.dir="R",
    IF(F1639+Table1[[#This Row],[Steps]]&gt;99,(F1639+Table1[[#This Row],[Steps]])-100,F1639+Table1[[#This Row],[Steps]]),
))</f>
        <v>48</v>
      </c>
      <c r="F1640">
        <f>IF(Table1[[#This Row],[New Pos L]]&lt;&gt;0,Table1[[#This Row],[New Pos L]],Table1[[#This Row],[New Pos R]])</f>
        <v>48</v>
      </c>
    </row>
    <row r="1641" spans="1:6" ht="16" x14ac:dyDescent="0.2">
      <c r="A1641" s="1" t="s">
        <v>80</v>
      </c>
      <c r="B1641" t="str">
        <f>LEFT(Table1[[#This Row],[Input]],1)</f>
        <v>L</v>
      </c>
      <c r="C1641">
        <f>_xlfn.LET(_xlpm.steps,SUBSTITUTE(Table1[[#This Row],[Input]],Table1[[#This Row],[Direction]],""),VALUE(IF(LEN(_xlpm.steps)&gt;2,RIGHT(_xlpm.steps,2),_xlpm.steps)))</f>
        <v>48</v>
      </c>
      <c r="D1641">
        <f>_xlfn.LET(_xlpm.dir,Table1[[#This Row],[Direction]],
IF(_xlpm.dir="L",
    IF(F1640-Table1[[#This Row],[Steps]]&lt;0,100+(F1640-Table1[[#This Row],[Steps]]),F1640-Table1[[#This Row],[Steps]]),
))</f>
        <v>0</v>
      </c>
      <c r="E1641">
        <f>_xlfn.LET(_xlpm.dir,Table1[[#This Row],[Direction]],
IF(_xlpm.dir="R",
    IF(F1640+Table1[[#This Row],[Steps]]&gt;99,(F1640+Table1[[#This Row],[Steps]])-100,F1640+Table1[[#This Row],[Steps]]),
))</f>
        <v>0</v>
      </c>
      <c r="F1641">
        <f>IF(Table1[[#This Row],[New Pos L]]&lt;&gt;0,Table1[[#This Row],[New Pos L]],Table1[[#This Row],[New Pos R]])</f>
        <v>0</v>
      </c>
    </row>
    <row r="1642" spans="1:6" ht="16" x14ac:dyDescent="0.2">
      <c r="A1642" s="1" t="s">
        <v>476</v>
      </c>
      <c r="B1642" t="str">
        <f>LEFT(Table1[[#This Row],[Input]],1)</f>
        <v>L</v>
      </c>
      <c r="C1642">
        <f>_xlfn.LET(_xlpm.steps,SUBSTITUTE(Table1[[#This Row],[Input]],Table1[[#This Row],[Direction]],""),VALUE(IF(LEN(_xlpm.steps)&gt;2,RIGHT(_xlpm.steps,2),_xlpm.steps)))</f>
        <v>54</v>
      </c>
      <c r="D1642">
        <f>_xlfn.LET(_xlpm.dir,Table1[[#This Row],[Direction]],
IF(_xlpm.dir="L",
    IF(F1641-Table1[[#This Row],[Steps]]&lt;0,100+(F1641-Table1[[#This Row],[Steps]]),F1641-Table1[[#This Row],[Steps]]),
))</f>
        <v>46</v>
      </c>
      <c r="E1642">
        <f>_xlfn.LET(_xlpm.dir,Table1[[#This Row],[Direction]],
IF(_xlpm.dir="R",
    IF(F1641+Table1[[#This Row],[Steps]]&gt;99,(F1641+Table1[[#This Row],[Steps]])-100,F1641+Table1[[#This Row],[Steps]]),
))</f>
        <v>0</v>
      </c>
      <c r="F1642">
        <f>IF(Table1[[#This Row],[New Pos L]]&lt;&gt;0,Table1[[#This Row],[New Pos L]],Table1[[#This Row],[New Pos R]])</f>
        <v>46</v>
      </c>
    </row>
    <row r="1643" spans="1:6" ht="16" x14ac:dyDescent="0.2">
      <c r="A1643" s="1" t="s">
        <v>58</v>
      </c>
      <c r="B1643" t="str">
        <f>LEFT(Table1[[#This Row],[Input]],1)</f>
        <v>L</v>
      </c>
      <c r="C1643">
        <f>_xlfn.LET(_xlpm.steps,SUBSTITUTE(Table1[[#This Row],[Input]],Table1[[#This Row],[Direction]],""),VALUE(IF(LEN(_xlpm.steps)&gt;2,RIGHT(_xlpm.steps,2),_xlpm.steps)))</f>
        <v>30</v>
      </c>
      <c r="D1643">
        <f>_xlfn.LET(_xlpm.dir,Table1[[#This Row],[Direction]],
IF(_xlpm.dir="L",
    IF(F1642-Table1[[#This Row],[Steps]]&lt;0,100+(F1642-Table1[[#This Row],[Steps]]),F1642-Table1[[#This Row],[Steps]]),
))</f>
        <v>16</v>
      </c>
      <c r="E1643">
        <f>_xlfn.LET(_xlpm.dir,Table1[[#This Row],[Direction]],
IF(_xlpm.dir="R",
    IF(F1642+Table1[[#This Row],[Steps]]&gt;99,(F1642+Table1[[#This Row],[Steps]])-100,F1642+Table1[[#This Row],[Steps]]),
))</f>
        <v>0</v>
      </c>
      <c r="F1643">
        <f>IF(Table1[[#This Row],[New Pos L]]&lt;&gt;0,Table1[[#This Row],[New Pos L]],Table1[[#This Row],[New Pos R]])</f>
        <v>16</v>
      </c>
    </row>
    <row r="1644" spans="1:6" ht="16" x14ac:dyDescent="0.2">
      <c r="A1644" s="1" t="s">
        <v>35</v>
      </c>
      <c r="B1644" t="str">
        <f>LEFT(Table1[[#This Row],[Input]],1)</f>
        <v>L</v>
      </c>
      <c r="C1644">
        <f>_xlfn.LET(_xlpm.steps,SUBSTITUTE(Table1[[#This Row],[Input]],Table1[[#This Row],[Direction]],""),VALUE(IF(LEN(_xlpm.steps)&gt;2,RIGHT(_xlpm.steps,2),_xlpm.steps)))</f>
        <v>2</v>
      </c>
      <c r="D1644">
        <f>_xlfn.LET(_xlpm.dir,Table1[[#This Row],[Direction]],
IF(_xlpm.dir="L",
    IF(F1643-Table1[[#This Row],[Steps]]&lt;0,100+(F1643-Table1[[#This Row],[Steps]]),F1643-Table1[[#This Row],[Steps]]),
))</f>
        <v>14</v>
      </c>
      <c r="E1644">
        <f>_xlfn.LET(_xlpm.dir,Table1[[#This Row],[Direction]],
IF(_xlpm.dir="R",
    IF(F1643+Table1[[#This Row],[Steps]]&gt;99,(F1643+Table1[[#This Row],[Steps]])-100,F1643+Table1[[#This Row],[Steps]]),
))</f>
        <v>0</v>
      </c>
      <c r="F1644">
        <f>IF(Table1[[#This Row],[New Pos L]]&lt;&gt;0,Table1[[#This Row],[New Pos L]],Table1[[#This Row],[New Pos R]])</f>
        <v>14</v>
      </c>
    </row>
    <row r="1645" spans="1:6" ht="16" x14ac:dyDescent="0.2">
      <c r="A1645" s="1" t="s">
        <v>477</v>
      </c>
      <c r="B1645" t="str">
        <f>LEFT(Table1[[#This Row],[Input]],1)</f>
        <v>L</v>
      </c>
      <c r="C1645">
        <f>_xlfn.LET(_xlpm.steps,SUBSTITUTE(Table1[[#This Row],[Input]],Table1[[#This Row],[Direction]],""),VALUE(IF(LEN(_xlpm.steps)&gt;2,RIGHT(_xlpm.steps,2),_xlpm.steps)))</f>
        <v>71</v>
      </c>
      <c r="D1645">
        <f>_xlfn.LET(_xlpm.dir,Table1[[#This Row],[Direction]],
IF(_xlpm.dir="L",
    IF(F1644-Table1[[#This Row],[Steps]]&lt;0,100+(F1644-Table1[[#This Row],[Steps]]),F1644-Table1[[#This Row],[Steps]]),
))</f>
        <v>43</v>
      </c>
      <c r="E1645">
        <f>_xlfn.LET(_xlpm.dir,Table1[[#This Row],[Direction]],
IF(_xlpm.dir="R",
    IF(F1644+Table1[[#This Row],[Steps]]&gt;99,(F1644+Table1[[#This Row],[Steps]])-100,F1644+Table1[[#This Row],[Steps]]),
))</f>
        <v>0</v>
      </c>
      <c r="F1645">
        <f>IF(Table1[[#This Row],[New Pos L]]&lt;&gt;0,Table1[[#This Row],[New Pos L]],Table1[[#This Row],[New Pos R]])</f>
        <v>43</v>
      </c>
    </row>
    <row r="1646" spans="1:6" ht="16" x14ac:dyDescent="0.2">
      <c r="A1646" s="1" t="s">
        <v>185</v>
      </c>
      <c r="B1646" t="str">
        <f>LEFT(Table1[[#This Row],[Input]],1)</f>
        <v>R</v>
      </c>
      <c r="C1646">
        <f>_xlfn.LET(_xlpm.steps,SUBSTITUTE(Table1[[#This Row],[Input]],Table1[[#This Row],[Direction]],""),VALUE(IF(LEN(_xlpm.steps)&gt;2,RIGHT(_xlpm.steps,2),_xlpm.steps)))</f>
        <v>61</v>
      </c>
      <c r="D1646">
        <f>_xlfn.LET(_xlpm.dir,Table1[[#This Row],[Direction]],
IF(_xlpm.dir="L",
    IF(F1645-Table1[[#This Row],[Steps]]&lt;0,100+(F1645-Table1[[#This Row],[Steps]]),F1645-Table1[[#This Row],[Steps]]),
))</f>
        <v>0</v>
      </c>
      <c r="E1646">
        <f>_xlfn.LET(_xlpm.dir,Table1[[#This Row],[Direction]],
IF(_xlpm.dir="R",
    IF(F1645+Table1[[#This Row],[Steps]]&gt;99,(F1645+Table1[[#This Row],[Steps]])-100,F1645+Table1[[#This Row],[Steps]]),
))</f>
        <v>4</v>
      </c>
      <c r="F1646">
        <f>IF(Table1[[#This Row],[New Pos L]]&lt;&gt;0,Table1[[#This Row],[New Pos L]],Table1[[#This Row],[New Pos R]])</f>
        <v>4</v>
      </c>
    </row>
    <row r="1647" spans="1:6" ht="16" x14ac:dyDescent="0.2">
      <c r="A1647" s="1" t="s">
        <v>478</v>
      </c>
      <c r="B1647" t="str">
        <f>LEFT(Table1[[#This Row],[Input]],1)</f>
        <v>R</v>
      </c>
      <c r="C1647">
        <f>_xlfn.LET(_xlpm.steps,SUBSTITUTE(Table1[[#This Row],[Input]],Table1[[#This Row],[Direction]],""),VALUE(IF(LEN(_xlpm.steps)&gt;2,RIGHT(_xlpm.steps,2),_xlpm.steps)))</f>
        <v>80</v>
      </c>
      <c r="D1647">
        <f>_xlfn.LET(_xlpm.dir,Table1[[#This Row],[Direction]],
IF(_xlpm.dir="L",
    IF(F1646-Table1[[#This Row],[Steps]]&lt;0,100+(F1646-Table1[[#This Row],[Steps]]),F1646-Table1[[#This Row],[Steps]]),
))</f>
        <v>0</v>
      </c>
      <c r="E1647">
        <f>_xlfn.LET(_xlpm.dir,Table1[[#This Row],[Direction]],
IF(_xlpm.dir="R",
    IF(F1646+Table1[[#This Row],[Steps]]&gt;99,(F1646+Table1[[#This Row],[Steps]])-100,F1646+Table1[[#This Row],[Steps]]),
))</f>
        <v>84</v>
      </c>
      <c r="F1647">
        <f>IF(Table1[[#This Row],[New Pos L]]&lt;&gt;0,Table1[[#This Row],[New Pos L]],Table1[[#This Row],[New Pos R]])</f>
        <v>84</v>
      </c>
    </row>
    <row r="1648" spans="1:6" ht="16" x14ac:dyDescent="0.2">
      <c r="A1648" s="1" t="s">
        <v>264</v>
      </c>
      <c r="B1648" t="str">
        <f>LEFT(Table1[[#This Row],[Input]],1)</f>
        <v>L</v>
      </c>
      <c r="C1648">
        <f>_xlfn.LET(_xlpm.steps,SUBSTITUTE(Table1[[#This Row],[Input]],Table1[[#This Row],[Direction]],""),VALUE(IF(LEN(_xlpm.steps)&gt;2,RIGHT(_xlpm.steps,2),_xlpm.steps)))</f>
        <v>21</v>
      </c>
      <c r="D1648">
        <f>_xlfn.LET(_xlpm.dir,Table1[[#This Row],[Direction]],
IF(_xlpm.dir="L",
    IF(F1647-Table1[[#This Row],[Steps]]&lt;0,100+(F1647-Table1[[#This Row],[Steps]]),F1647-Table1[[#This Row],[Steps]]),
))</f>
        <v>63</v>
      </c>
      <c r="E1648">
        <f>_xlfn.LET(_xlpm.dir,Table1[[#This Row],[Direction]],
IF(_xlpm.dir="R",
    IF(F1647+Table1[[#This Row],[Steps]]&gt;99,(F1647+Table1[[#This Row],[Steps]])-100,F1647+Table1[[#This Row],[Steps]]),
))</f>
        <v>0</v>
      </c>
      <c r="F1648">
        <f>IF(Table1[[#This Row],[New Pos L]]&lt;&gt;0,Table1[[#This Row],[New Pos L]],Table1[[#This Row],[New Pos R]])</f>
        <v>63</v>
      </c>
    </row>
    <row r="1649" spans="1:6" ht="16" x14ac:dyDescent="0.2">
      <c r="A1649" s="1" t="s">
        <v>123</v>
      </c>
      <c r="B1649" t="str">
        <f>LEFT(Table1[[#This Row],[Input]],1)</f>
        <v>L</v>
      </c>
      <c r="C1649">
        <f>_xlfn.LET(_xlpm.steps,SUBSTITUTE(Table1[[#This Row],[Input]],Table1[[#This Row],[Direction]],""),VALUE(IF(LEN(_xlpm.steps)&gt;2,RIGHT(_xlpm.steps,2),_xlpm.steps)))</f>
        <v>63</v>
      </c>
      <c r="D1649">
        <f>_xlfn.LET(_xlpm.dir,Table1[[#This Row],[Direction]],
IF(_xlpm.dir="L",
    IF(F1648-Table1[[#This Row],[Steps]]&lt;0,100+(F1648-Table1[[#This Row],[Steps]]),F1648-Table1[[#This Row],[Steps]]),
))</f>
        <v>0</v>
      </c>
      <c r="E1649">
        <f>_xlfn.LET(_xlpm.dir,Table1[[#This Row],[Direction]],
IF(_xlpm.dir="R",
    IF(F1648+Table1[[#This Row],[Steps]]&gt;99,(F1648+Table1[[#This Row],[Steps]])-100,F1648+Table1[[#This Row],[Steps]]),
))</f>
        <v>0</v>
      </c>
      <c r="F1649">
        <f>IF(Table1[[#This Row],[New Pos L]]&lt;&gt;0,Table1[[#This Row],[New Pos L]],Table1[[#This Row],[New Pos R]])</f>
        <v>0</v>
      </c>
    </row>
    <row r="1650" spans="1:6" ht="16" x14ac:dyDescent="0.2">
      <c r="A1650" s="1" t="s">
        <v>110</v>
      </c>
      <c r="B1650" t="str">
        <f>LEFT(Table1[[#This Row],[Input]],1)</f>
        <v>L</v>
      </c>
      <c r="C1650">
        <f>_xlfn.LET(_xlpm.steps,SUBSTITUTE(Table1[[#This Row],[Input]],Table1[[#This Row],[Direction]],""),VALUE(IF(LEN(_xlpm.steps)&gt;2,RIGHT(_xlpm.steps,2),_xlpm.steps)))</f>
        <v>81</v>
      </c>
      <c r="D1650">
        <f>_xlfn.LET(_xlpm.dir,Table1[[#This Row],[Direction]],
IF(_xlpm.dir="L",
    IF(F1649-Table1[[#This Row],[Steps]]&lt;0,100+(F1649-Table1[[#This Row],[Steps]]),F1649-Table1[[#This Row],[Steps]]),
))</f>
        <v>19</v>
      </c>
      <c r="E1650">
        <f>_xlfn.LET(_xlpm.dir,Table1[[#This Row],[Direction]],
IF(_xlpm.dir="R",
    IF(F1649+Table1[[#This Row],[Steps]]&gt;99,(F1649+Table1[[#This Row],[Steps]])-100,F1649+Table1[[#This Row],[Steps]]),
))</f>
        <v>0</v>
      </c>
      <c r="F1650">
        <f>IF(Table1[[#This Row],[New Pos L]]&lt;&gt;0,Table1[[#This Row],[New Pos L]],Table1[[#This Row],[New Pos R]])</f>
        <v>19</v>
      </c>
    </row>
    <row r="1651" spans="1:6" ht="16" x14ac:dyDescent="0.2">
      <c r="A1651" s="1" t="s">
        <v>479</v>
      </c>
      <c r="B1651" t="str">
        <f>LEFT(Table1[[#This Row],[Input]],1)</f>
        <v>L</v>
      </c>
      <c r="C1651">
        <f>_xlfn.LET(_xlpm.steps,SUBSTITUTE(Table1[[#This Row],[Input]],Table1[[#This Row],[Direction]],""),VALUE(IF(LEN(_xlpm.steps)&gt;2,RIGHT(_xlpm.steps,2),_xlpm.steps)))</f>
        <v>95</v>
      </c>
      <c r="D1651">
        <f>_xlfn.LET(_xlpm.dir,Table1[[#This Row],[Direction]],
IF(_xlpm.dir="L",
    IF(F1650-Table1[[#This Row],[Steps]]&lt;0,100+(F1650-Table1[[#This Row],[Steps]]),F1650-Table1[[#This Row],[Steps]]),
))</f>
        <v>24</v>
      </c>
      <c r="E1651">
        <f>_xlfn.LET(_xlpm.dir,Table1[[#This Row],[Direction]],
IF(_xlpm.dir="R",
    IF(F1650+Table1[[#This Row],[Steps]]&gt;99,(F1650+Table1[[#This Row],[Steps]])-100,F1650+Table1[[#This Row],[Steps]]),
))</f>
        <v>0</v>
      </c>
      <c r="F1651">
        <f>IF(Table1[[#This Row],[New Pos L]]&lt;&gt;0,Table1[[#This Row],[New Pos L]],Table1[[#This Row],[New Pos R]])</f>
        <v>24</v>
      </c>
    </row>
    <row r="1652" spans="1:6" ht="16" x14ac:dyDescent="0.2">
      <c r="A1652" s="1" t="s">
        <v>59</v>
      </c>
      <c r="B1652" t="str">
        <f>LEFT(Table1[[#This Row],[Input]],1)</f>
        <v>L</v>
      </c>
      <c r="C1652">
        <f>_xlfn.LET(_xlpm.steps,SUBSTITUTE(Table1[[#This Row],[Input]],Table1[[#This Row],[Direction]],""),VALUE(IF(LEN(_xlpm.steps)&gt;2,RIGHT(_xlpm.steps,2),_xlpm.steps)))</f>
        <v>6</v>
      </c>
      <c r="D1652">
        <f>_xlfn.LET(_xlpm.dir,Table1[[#This Row],[Direction]],
IF(_xlpm.dir="L",
    IF(F1651-Table1[[#This Row],[Steps]]&lt;0,100+(F1651-Table1[[#This Row],[Steps]]),F1651-Table1[[#This Row],[Steps]]),
))</f>
        <v>18</v>
      </c>
      <c r="E1652">
        <f>_xlfn.LET(_xlpm.dir,Table1[[#This Row],[Direction]],
IF(_xlpm.dir="R",
    IF(F1651+Table1[[#This Row],[Steps]]&gt;99,(F1651+Table1[[#This Row],[Steps]])-100,F1651+Table1[[#This Row],[Steps]]),
))</f>
        <v>0</v>
      </c>
      <c r="F1652">
        <f>IF(Table1[[#This Row],[New Pos L]]&lt;&gt;0,Table1[[#This Row],[New Pos L]],Table1[[#This Row],[New Pos R]])</f>
        <v>18</v>
      </c>
    </row>
    <row r="1653" spans="1:6" ht="16" x14ac:dyDescent="0.2">
      <c r="A1653" s="1" t="s">
        <v>80</v>
      </c>
      <c r="B1653" t="str">
        <f>LEFT(Table1[[#This Row],[Input]],1)</f>
        <v>L</v>
      </c>
      <c r="C1653">
        <f>_xlfn.LET(_xlpm.steps,SUBSTITUTE(Table1[[#This Row],[Input]],Table1[[#This Row],[Direction]],""),VALUE(IF(LEN(_xlpm.steps)&gt;2,RIGHT(_xlpm.steps,2),_xlpm.steps)))</f>
        <v>48</v>
      </c>
      <c r="D1653">
        <f>_xlfn.LET(_xlpm.dir,Table1[[#This Row],[Direction]],
IF(_xlpm.dir="L",
    IF(F1652-Table1[[#This Row],[Steps]]&lt;0,100+(F1652-Table1[[#This Row],[Steps]]),F1652-Table1[[#This Row],[Steps]]),
))</f>
        <v>70</v>
      </c>
      <c r="E1653">
        <f>_xlfn.LET(_xlpm.dir,Table1[[#This Row],[Direction]],
IF(_xlpm.dir="R",
    IF(F1652+Table1[[#This Row],[Steps]]&gt;99,(F1652+Table1[[#This Row],[Steps]])-100,F1652+Table1[[#This Row],[Steps]]),
))</f>
        <v>0</v>
      </c>
      <c r="F1653">
        <f>IF(Table1[[#This Row],[New Pos L]]&lt;&gt;0,Table1[[#This Row],[New Pos L]],Table1[[#This Row],[New Pos R]])</f>
        <v>70</v>
      </c>
    </row>
    <row r="1654" spans="1:6" ht="16" x14ac:dyDescent="0.2">
      <c r="A1654" s="1" t="s">
        <v>7</v>
      </c>
      <c r="B1654" t="str">
        <f>LEFT(Table1[[#This Row],[Input]],1)</f>
        <v>R</v>
      </c>
      <c r="C1654">
        <f>_xlfn.LET(_xlpm.steps,SUBSTITUTE(Table1[[#This Row],[Input]],Table1[[#This Row],[Direction]],""),VALUE(IF(LEN(_xlpm.steps)&gt;2,RIGHT(_xlpm.steps,2),_xlpm.steps)))</f>
        <v>14</v>
      </c>
      <c r="D1654">
        <f>_xlfn.LET(_xlpm.dir,Table1[[#This Row],[Direction]],
IF(_xlpm.dir="L",
    IF(F1653-Table1[[#This Row],[Steps]]&lt;0,100+(F1653-Table1[[#This Row],[Steps]]),F1653-Table1[[#This Row],[Steps]]),
))</f>
        <v>0</v>
      </c>
      <c r="E1654">
        <f>_xlfn.LET(_xlpm.dir,Table1[[#This Row],[Direction]],
IF(_xlpm.dir="R",
    IF(F1653+Table1[[#This Row],[Steps]]&gt;99,(F1653+Table1[[#This Row],[Steps]])-100,F1653+Table1[[#This Row],[Steps]]),
))</f>
        <v>84</v>
      </c>
      <c r="F1654">
        <f>IF(Table1[[#This Row],[New Pos L]]&lt;&gt;0,Table1[[#This Row],[New Pos L]],Table1[[#This Row],[New Pos R]])</f>
        <v>84</v>
      </c>
    </row>
    <row r="1655" spans="1:6" ht="16" x14ac:dyDescent="0.2">
      <c r="A1655" s="1" t="s">
        <v>46</v>
      </c>
      <c r="B1655" t="str">
        <f>LEFT(Table1[[#This Row],[Input]],1)</f>
        <v>L</v>
      </c>
      <c r="C1655">
        <f>_xlfn.LET(_xlpm.steps,SUBSTITUTE(Table1[[#This Row],[Input]],Table1[[#This Row],[Direction]],""),VALUE(IF(LEN(_xlpm.steps)&gt;2,RIGHT(_xlpm.steps,2),_xlpm.steps)))</f>
        <v>97</v>
      </c>
      <c r="D1655">
        <f>_xlfn.LET(_xlpm.dir,Table1[[#This Row],[Direction]],
IF(_xlpm.dir="L",
    IF(F1654-Table1[[#This Row],[Steps]]&lt;0,100+(F1654-Table1[[#This Row],[Steps]]),F1654-Table1[[#This Row],[Steps]]),
))</f>
        <v>87</v>
      </c>
      <c r="E1655">
        <f>_xlfn.LET(_xlpm.dir,Table1[[#This Row],[Direction]],
IF(_xlpm.dir="R",
    IF(F1654+Table1[[#This Row],[Steps]]&gt;99,(F1654+Table1[[#This Row],[Steps]])-100,F1654+Table1[[#This Row],[Steps]]),
))</f>
        <v>0</v>
      </c>
      <c r="F1655">
        <f>IF(Table1[[#This Row],[New Pos L]]&lt;&gt;0,Table1[[#This Row],[New Pos L]],Table1[[#This Row],[New Pos R]])</f>
        <v>87</v>
      </c>
    </row>
    <row r="1656" spans="1:6" ht="16" x14ac:dyDescent="0.2">
      <c r="A1656" s="1" t="s">
        <v>187</v>
      </c>
      <c r="B1656" t="str">
        <f>LEFT(Table1[[#This Row],[Input]],1)</f>
        <v>R</v>
      </c>
      <c r="C1656">
        <f>_xlfn.LET(_xlpm.steps,SUBSTITUTE(Table1[[#This Row],[Input]],Table1[[#This Row],[Direction]],""),VALUE(IF(LEN(_xlpm.steps)&gt;2,RIGHT(_xlpm.steps,2),_xlpm.steps)))</f>
        <v>20</v>
      </c>
      <c r="D1656">
        <f>_xlfn.LET(_xlpm.dir,Table1[[#This Row],[Direction]],
IF(_xlpm.dir="L",
    IF(F1655-Table1[[#This Row],[Steps]]&lt;0,100+(F1655-Table1[[#This Row],[Steps]]),F1655-Table1[[#This Row],[Steps]]),
))</f>
        <v>0</v>
      </c>
      <c r="E1656">
        <f>_xlfn.LET(_xlpm.dir,Table1[[#This Row],[Direction]],
IF(_xlpm.dir="R",
    IF(F1655+Table1[[#This Row],[Steps]]&gt;99,(F1655+Table1[[#This Row],[Steps]])-100,F1655+Table1[[#This Row],[Steps]]),
))</f>
        <v>7</v>
      </c>
      <c r="F1656">
        <f>IF(Table1[[#This Row],[New Pos L]]&lt;&gt;0,Table1[[#This Row],[New Pos L]],Table1[[#This Row],[New Pos R]])</f>
        <v>7</v>
      </c>
    </row>
    <row r="1657" spans="1:6" ht="16" x14ac:dyDescent="0.2">
      <c r="A1657" s="1" t="s">
        <v>74</v>
      </c>
      <c r="B1657" t="str">
        <f>LEFT(Table1[[#This Row],[Input]],1)</f>
        <v>R</v>
      </c>
      <c r="C1657">
        <f>_xlfn.LET(_xlpm.steps,SUBSTITUTE(Table1[[#This Row],[Input]],Table1[[#This Row],[Direction]],""),VALUE(IF(LEN(_xlpm.steps)&gt;2,RIGHT(_xlpm.steps,2),_xlpm.steps)))</f>
        <v>93</v>
      </c>
      <c r="D1657">
        <f>_xlfn.LET(_xlpm.dir,Table1[[#This Row],[Direction]],
IF(_xlpm.dir="L",
    IF(F1656-Table1[[#This Row],[Steps]]&lt;0,100+(F1656-Table1[[#This Row],[Steps]]),F1656-Table1[[#This Row],[Steps]]),
))</f>
        <v>0</v>
      </c>
      <c r="E1657">
        <f>_xlfn.LET(_xlpm.dir,Table1[[#This Row],[Direction]],
IF(_xlpm.dir="R",
    IF(F1656+Table1[[#This Row],[Steps]]&gt;99,(F1656+Table1[[#This Row],[Steps]])-100,F1656+Table1[[#This Row],[Steps]]),
))</f>
        <v>0</v>
      </c>
      <c r="F1657">
        <f>IF(Table1[[#This Row],[New Pos L]]&lt;&gt;0,Table1[[#This Row],[New Pos L]],Table1[[#This Row],[New Pos R]])</f>
        <v>0</v>
      </c>
    </row>
    <row r="1658" spans="1:6" ht="16" x14ac:dyDescent="0.2">
      <c r="A1658" s="1" t="s">
        <v>165</v>
      </c>
      <c r="B1658" t="str">
        <f>LEFT(Table1[[#This Row],[Input]],1)</f>
        <v>R</v>
      </c>
      <c r="C1658">
        <f>_xlfn.LET(_xlpm.steps,SUBSTITUTE(Table1[[#This Row],[Input]],Table1[[#This Row],[Direction]],""),VALUE(IF(LEN(_xlpm.steps)&gt;2,RIGHT(_xlpm.steps,2),_xlpm.steps)))</f>
        <v>55</v>
      </c>
      <c r="D1658">
        <f>_xlfn.LET(_xlpm.dir,Table1[[#This Row],[Direction]],
IF(_xlpm.dir="L",
    IF(F1657-Table1[[#This Row],[Steps]]&lt;0,100+(F1657-Table1[[#This Row],[Steps]]),F1657-Table1[[#This Row],[Steps]]),
))</f>
        <v>0</v>
      </c>
      <c r="E1658">
        <f>_xlfn.LET(_xlpm.dir,Table1[[#This Row],[Direction]],
IF(_xlpm.dir="R",
    IF(F1657+Table1[[#This Row],[Steps]]&gt;99,(F1657+Table1[[#This Row],[Steps]])-100,F1657+Table1[[#This Row],[Steps]]),
))</f>
        <v>55</v>
      </c>
      <c r="F1658">
        <f>IF(Table1[[#This Row],[New Pos L]]&lt;&gt;0,Table1[[#This Row],[New Pos L]],Table1[[#This Row],[New Pos R]])</f>
        <v>55</v>
      </c>
    </row>
    <row r="1659" spans="1:6" ht="16" x14ac:dyDescent="0.2">
      <c r="A1659" s="1" t="s">
        <v>480</v>
      </c>
      <c r="B1659" t="str">
        <f>LEFT(Table1[[#This Row],[Input]],1)</f>
        <v>R</v>
      </c>
      <c r="C1659">
        <f>_xlfn.LET(_xlpm.steps,SUBSTITUTE(Table1[[#This Row],[Input]],Table1[[#This Row],[Direction]],""),VALUE(IF(LEN(_xlpm.steps)&gt;2,RIGHT(_xlpm.steps,2),_xlpm.steps)))</f>
        <v>30</v>
      </c>
      <c r="D1659">
        <f>_xlfn.LET(_xlpm.dir,Table1[[#This Row],[Direction]],
IF(_xlpm.dir="L",
    IF(F1658-Table1[[#This Row],[Steps]]&lt;0,100+(F1658-Table1[[#This Row],[Steps]]),F1658-Table1[[#This Row],[Steps]]),
))</f>
        <v>0</v>
      </c>
      <c r="E1659">
        <f>_xlfn.LET(_xlpm.dir,Table1[[#This Row],[Direction]],
IF(_xlpm.dir="R",
    IF(F1658+Table1[[#This Row],[Steps]]&gt;99,(F1658+Table1[[#This Row],[Steps]])-100,F1658+Table1[[#This Row],[Steps]]),
))</f>
        <v>85</v>
      </c>
      <c r="F1659">
        <f>IF(Table1[[#This Row],[New Pos L]]&lt;&gt;0,Table1[[#This Row],[New Pos L]],Table1[[#This Row],[New Pos R]])</f>
        <v>85</v>
      </c>
    </row>
    <row r="1660" spans="1:6" ht="16" x14ac:dyDescent="0.2">
      <c r="A1660" s="1" t="s">
        <v>364</v>
      </c>
      <c r="B1660" t="str">
        <f>LEFT(Table1[[#This Row],[Input]],1)</f>
        <v>L</v>
      </c>
      <c r="C1660">
        <f>_xlfn.LET(_xlpm.steps,SUBSTITUTE(Table1[[#This Row],[Input]],Table1[[#This Row],[Direction]],""),VALUE(IF(LEN(_xlpm.steps)&gt;2,RIGHT(_xlpm.steps,2),_xlpm.steps)))</f>
        <v>70</v>
      </c>
      <c r="D1660">
        <f>_xlfn.LET(_xlpm.dir,Table1[[#This Row],[Direction]],
IF(_xlpm.dir="L",
    IF(F1659-Table1[[#This Row],[Steps]]&lt;0,100+(F1659-Table1[[#This Row],[Steps]]),F1659-Table1[[#This Row],[Steps]]),
))</f>
        <v>15</v>
      </c>
      <c r="E1660">
        <f>_xlfn.LET(_xlpm.dir,Table1[[#This Row],[Direction]],
IF(_xlpm.dir="R",
    IF(F1659+Table1[[#This Row],[Steps]]&gt;99,(F1659+Table1[[#This Row],[Steps]])-100,F1659+Table1[[#This Row],[Steps]]),
))</f>
        <v>0</v>
      </c>
      <c r="F1660">
        <f>IF(Table1[[#This Row],[New Pos L]]&lt;&gt;0,Table1[[#This Row],[New Pos L]],Table1[[#This Row],[New Pos R]])</f>
        <v>15</v>
      </c>
    </row>
    <row r="1661" spans="1:6" ht="16" x14ac:dyDescent="0.2">
      <c r="A1661" s="1" t="s">
        <v>353</v>
      </c>
      <c r="B1661" t="str">
        <f>LEFT(Table1[[#This Row],[Input]],1)</f>
        <v>R</v>
      </c>
      <c r="C1661">
        <f>_xlfn.LET(_xlpm.steps,SUBSTITUTE(Table1[[#This Row],[Input]],Table1[[#This Row],[Direction]],""),VALUE(IF(LEN(_xlpm.steps)&gt;2,RIGHT(_xlpm.steps,2),_xlpm.steps)))</f>
        <v>7</v>
      </c>
      <c r="D1661">
        <f>_xlfn.LET(_xlpm.dir,Table1[[#This Row],[Direction]],
IF(_xlpm.dir="L",
    IF(F1660-Table1[[#This Row],[Steps]]&lt;0,100+(F1660-Table1[[#This Row],[Steps]]),F1660-Table1[[#This Row],[Steps]]),
))</f>
        <v>0</v>
      </c>
      <c r="E1661">
        <f>_xlfn.LET(_xlpm.dir,Table1[[#This Row],[Direction]],
IF(_xlpm.dir="R",
    IF(F1660+Table1[[#This Row],[Steps]]&gt;99,(F1660+Table1[[#This Row],[Steps]])-100,F1660+Table1[[#This Row],[Steps]]),
))</f>
        <v>22</v>
      </c>
      <c r="F1661">
        <f>IF(Table1[[#This Row],[New Pos L]]&lt;&gt;0,Table1[[#This Row],[New Pos L]],Table1[[#This Row],[New Pos R]])</f>
        <v>22</v>
      </c>
    </row>
    <row r="1662" spans="1:6" ht="16" x14ac:dyDescent="0.2">
      <c r="A1662" s="1" t="s">
        <v>91</v>
      </c>
      <c r="B1662" t="str">
        <f>LEFT(Table1[[#This Row],[Input]],1)</f>
        <v>L</v>
      </c>
      <c r="C1662">
        <f>_xlfn.LET(_xlpm.steps,SUBSTITUTE(Table1[[#This Row],[Input]],Table1[[#This Row],[Direction]],""),VALUE(IF(LEN(_xlpm.steps)&gt;2,RIGHT(_xlpm.steps,2),_xlpm.steps)))</f>
        <v>22</v>
      </c>
      <c r="D1662">
        <f>_xlfn.LET(_xlpm.dir,Table1[[#This Row],[Direction]],
IF(_xlpm.dir="L",
    IF(F1661-Table1[[#This Row],[Steps]]&lt;0,100+(F1661-Table1[[#This Row],[Steps]]),F1661-Table1[[#This Row],[Steps]]),
))</f>
        <v>0</v>
      </c>
      <c r="E1662">
        <f>_xlfn.LET(_xlpm.dir,Table1[[#This Row],[Direction]],
IF(_xlpm.dir="R",
    IF(F1661+Table1[[#This Row],[Steps]]&gt;99,(F1661+Table1[[#This Row],[Steps]])-100,F1661+Table1[[#This Row],[Steps]]),
))</f>
        <v>0</v>
      </c>
      <c r="F1662">
        <f>IF(Table1[[#This Row],[New Pos L]]&lt;&gt;0,Table1[[#This Row],[New Pos L]],Table1[[#This Row],[New Pos R]])</f>
        <v>0</v>
      </c>
    </row>
    <row r="1663" spans="1:6" ht="16" x14ac:dyDescent="0.2">
      <c r="A1663" s="1" t="s">
        <v>126</v>
      </c>
      <c r="B1663" t="str">
        <f>LEFT(Table1[[#This Row],[Input]],1)</f>
        <v>R</v>
      </c>
      <c r="C1663">
        <f>_xlfn.LET(_xlpm.steps,SUBSTITUTE(Table1[[#This Row],[Input]],Table1[[#This Row],[Direction]],""),VALUE(IF(LEN(_xlpm.steps)&gt;2,RIGHT(_xlpm.steps,2),_xlpm.steps)))</f>
        <v>65</v>
      </c>
      <c r="D1663">
        <f>_xlfn.LET(_xlpm.dir,Table1[[#This Row],[Direction]],
IF(_xlpm.dir="L",
    IF(F1662-Table1[[#This Row],[Steps]]&lt;0,100+(F1662-Table1[[#This Row],[Steps]]),F1662-Table1[[#This Row],[Steps]]),
))</f>
        <v>0</v>
      </c>
      <c r="E1663">
        <f>_xlfn.LET(_xlpm.dir,Table1[[#This Row],[Direction]],
IF(_xlpm.dir="R",
    IF(F1662+Table1[[#This Row],[Steps]]&gt;99,(F1662+Table1[[#This Row],[Steps]])-100,F1662+Table1[[#This Row],[Steps]]),
))</f>
        <v>65</v>
      </c>
      <c r="F1663">
        <f>IF(Table1[[#This Row],[New Pos L]]&lt;&gt;0,Table1[[#This Row],[New Pos L]],Table1[[#This Row],[New Pos R]])</f>
        <v>65</v>
      </c>
    </row>
    <row r="1664" spans="1:6" ht="16" x14ac:dyDescent="0.2">
      <c r="A1664" s="1" t="s">
        <v>481</v>
      </c>
      <c r="B1664" t="str">
        <f>LEFT(Table1[[#This Row],[Input]],1)</f>
        <v>R</v>
      </c>
      <c r="C1664">
        <f>_xlfn.LET(_xlpm.steps,SUBSTITUTE(Table1[[#This Row],[Input]],Table1[[#This Row],[Direction]],""),VALUE(IF(LEN(_xlpm.steps)&gt;2,RIGHT(_xlpm.steps,2),_xlpm.steps)))</f>
        <v>58</v>
      </c>
      <c r="D1664">
        <f>_xlfn.LET(_xlpm.dir,Table1[[#This Row],[Direction]],
IF(_xlpm.dir="L",
    IF(F1663-Table1[[#This Row],[Steps]]&lt;0,100+(F1663-Table1[[#This Row],[Steps]]),F1663-Table1[[#This Row],[Steps]]),
))</f>
        <v>0</v>
      </c>
      <c r="E1664">
        <f>_xlfn.LET(_xlpm.dir,Table1[[#This Row],[Direction]],
IF(_xlpm.dir="R",
    IF(F1663+Table1[[#This Row],[Steps]]&gt;99,(F1663+Table1[[#This Row],[Steps]])-100,F1663+Table1[[#This Row],[Steps]]),
))</f>
        <v>23</v>
      </c>
      <c r="F1664">
        <f>IF(Table1[[#This Row],[New Pos L]]&lt;&gt;0,Table1[[#This Row],[New Pos L]],Table1[[#This Row],[New Pos R]])</f>
        <v>23</v>
      </c>
    </row>
    <row r="1665" spans="1:6" ht="16" x14ac:dyDescent="0.2">
      <c r="A1665" s="1" t="s">
        <v>482</v>
      </c>
      <c r="B1665" t="str">
        <f>LEFT(Table1[[#This Row],[Input]],1)</f>
        <v>L</v>
      </c>
      <c r="C1665">
        <f>_xlfn.LET(_xlpm.steps,SUBSTITUTE(Table1[[#This Row],[Input]],Table1[[#This Row],[Direction]],""),VALUE(IF(LEN(_xlpm.steps)&gt;2,RIGHT(_xlpm.steps,2),_xlpm.steps)))</f>
        <v>86</v>
      </c>
      <c r="D1665">
        <f>_xlfn.LET(_xlpm.dir,Table1[[#This Row],[Direction]],
IF(_xlpm.dir="L",
    IF(F1664-Table1[[#This Row],[Steps]]&lt;0,100+(F1664-Table1[[#This Row],[Steps]]),F1664-Table1[[#This Row],[Steps]]),
))</f>
        <v>37</v>
      </c>
      <c r="E1665">
        <f>_xlfn.LET(_xlpm.dir,Table1[[#This Row],[Direction]],
IF(_xlpm.dir="R",
    IF(F1664+Table1[[#This Row],[Steps]]&gt;99,(F1664+Table1[[#This Row],[Steps]])-100,F1664+Table1[[#This Row],[Steps]]),
))</f>
        <v>0</v>
      </c>
      <c r="F1665">
        <f>IF(Table1[[#This Row],[New Pos L]]&lt;&gt;0,Table1[[#This Row],[New Pos L]],Table1[[#This Row],[New Pos R]])</f>
        <v>37</v>
      </c>
    </row>
    <row r="1666" spans="1:6" ht="16" x14ac:dyDescent="0.2">
      <c r="A1666" s="1" t="s">
        <v>59</v>
      </c>
      <c r="B1666" t="str">
        <f>LEFT(Table1[[#This Row],[Input]],1)</f>
        <v>L</v>
      </c>
      <c r="C1666">
        <f>_xlfn.LET(_xlpm.steps,SUBSTITUTE(Table1[[#This Row],[Input]],Table1[[#This Row],[Direction]],""),VALUE(IF(LEN(_xlpm.steps)&gt;2,RIGHT(_xlpm.steps,2),_xlpm.steps)))</f>
        <v>6</v>
      </c>
      <c r="D1666">
        <f>_xlfn.LET(_xlpm.dir,Table1[[#This Row],[Direction]],
IF(_xlpm.dir="L",
    IF(F1665-Table1[[#This Row],[Steps]]&lt;0,100+(F1665-Table1[[#This Row],[Steps]]),F1665-Table1[[#This Row],[Steps]]),
))</f>
        <v>31</v>
      </c>
      <c r="E1666">
        <f>_xlfn.LET(_xlpm.dir,Table1[[#This Row],[Direction]],
IF(_xlpm.dir="R",
    IF(F1665+Table1[[#This Row],[Steps]]&gt;99,(F1665+Table1[[#This Row],[Steps]])-100,F1665+Table1[[#This Row],[Steps]]),
))</f>
        <v>0</v>
      </c>
      <c r="F1666">
        <f>IF(Table1[[#This Row],[New Pos L]]&lt;&gt;0,Table1[[#This Row],[New Pos L]],Table1[[#This Row],[New Pos R]])</f>
        <v>31</v>
      </c>
    </row>
    <row r="1667" spans="1:6" ht="16" x14ac:dyDescent="0.2">
      <c r="A1667" s="1" t="s">
        <v>390</v>
      </c>
      <c r="B1667" t="str">
        <f>LEFT(Table1[[#This Row],[Input]],1)</f>
        <v>L</v>
      </c>
      <c r="C1667">
        <f>_xlfn.LET(_xlpm.steps,SUBSTITUTE(Table1[[#This Row],[Input]],Table1[[#This Row],[Direction]],""),VALUE(IF(LEN(_xlpm.steps)&gt;2,RIGHT(_xlpm.steps,2),_xlpm.steps)))</f>
        <v>52</v>
      </c>
      <c r="D1667">
        <f>_xlfn.LET(_xlpm.dir,Table1[[#This Row],[Direction]],
IF(_xlpm.dir="L",
    IF(F1666-Table1[[#This Row],[Steps]]&lt;0,100+(F1666-Table1[[#This Row],[Steps]]),F1666-Table1[[#This Row],[Steps]]),
))</f>
        <v>79</v>
      </c>
      <c r="E1667">
        <f>_xlfn.LET(_xlpm.dir,Table1[[#This Row],[Direction]],
IF(_xlpm.dir="R",
    IF(F1666+Table1[[#This Row],[Steps]]&gt;99,(F1666+Table1[[#This Row],[Steps]])-100,F1666+Table1[[#This Row],[Steps]]),
))</f>
        <v>0</v>
      </c>
      <c r="F1667">
        <f>IF(Table1[[#This Row],[New Pos L]]&lt;&gt;0,Table1[[#This Row],[New Pos L]],Table1[[#This Row],[New Pos R]])</f>
        <v>79</v>
      </c>
    </row>
    <row r="1668" spans="1:6" ht="16" x14ac:dyDescent="0.2">
      <c r="A1668" s="1" t="s">
        <v>319</v>
      </c>
      <c r="B1668" t="str">
        <f>LEFT(Table1[[#This Row],[Input]],1)</f>
        <v>L</v>
      </c>
      <c r="C1668">
        <f>_xlfn.LET(_xlpm.steps,SUBSTITUTE(Table1[[#This Row],[Input]],Table1[[#This Row],[Direction]],""),VALUE(IF(LEN(_xlpm.steps)&gt;2,RIGHT(_xlpm.steps,2),_xlpm.steps)))</f>
        <v>79</v>
      </c>
      <c r="D1668">
        <f>_xlfn.LET(_xlpm.dir,Table1[[#This Row],[Direction]],
IF(_xlpm.dir="L",
    IF(F1667-Table1[[#This Row],[Steps]]&lt;0,100+(F1667-Table1[[#This Row],[Steps]]),F1667-Table1[[#This Row],[Steps]]),
))</f>
        <v>0</v>
      </c>
      <c r="E1668">
        <f>_xlfn.LET(_xlpm.dir,Table1[[#This Row],[Direction]],
IF(_xlpm.dir="R",
    IF(F1667+Table1[[#This Row],[Steps]]&gt;99,(F1667+Table1[[#This Row],[Steps]])-100,F1667+Table1[[#This Row],[Steps]]),
))</f>
        <v>0</v>
      </c>
      <c r="F1668">
        <f>IF(Table1[[#This Row],[New Pos L]]&lt;&gt;0,Table1[[#This Row],[New Pos L]],Table1[[#This Row],[New Pos R]])</f>
        <v>0</v>
      </c>
    </row>
    <row r="1669" spans="1:6" ht="16" x14ac:dyDescent="0.2">
      <c r="A1669" s="1" t="s">
        <v>174</v>
      </c>
      <c r="B1669" t="str">
        <f>LEFT(Table1[[#This Row],[Input]],1)</f>
        <v>L</v>
      </c>
      <c r="C1669">
        <f>_xlfn.LET(_xlpm.steps,SUBSTITUTE(Table1[[#This Row],[Input]],Table1[[#This Row],[Direction]],""),VALUE(IF(LEN(_xlpm.steps)&gt;2,RIGHT(_xlpm.steps,2),_xlpm.steps)))</f>
        <v>92</v>
      </c>
      <c r="D1669">
        <f>_xlfn.LET(_xlpm.dir,Table1[[#This Row],[Direction]],
IF(_xlpm.dir="L",
    IF(F1668-Table1[[#This Row],[Steps]]&lt;0,100+(F1668-Table1[[#This Row],[Steps]]),F1668-Table1[[#This Row],[Steps]]),
))</f>
        <v>8</v>
      </c>
      <c r="E1669">
        <f>_xlfn.LET(_xlpm.dir,Table1[[#This Row],[Direction]],
IF(_xlpm.dir="R",
    IF(F1668+Table1[[#This Row],[Steps]]&gt;99,(F1668+Table1[[#This Row],[Steps]])-100,F1668+Table1[[#This Row],[Steps]]),
))</f>
        <v>0</v>
      </c>
      <c r="F1669">
        <f>IF(Table1[[#This Row],[New Pos L]]&lt;&gt;0,Table1[[#This Row],[New Pos L]],Table1[[#This Row],[New Pos R]])</f>
        <v>8</v>
      </c>
    </row>
    <row r="1670" spans="1:6" ht="16" x14ac:dyDescent="0.2">
      <c r="A1670" s="1" t="s">
        <v>0</v>
      </c>
      <c r="B1670" t="str">
        <f>LEFT(Table1[[#This Row],[Input]],1)</f>
        <v>L</v>
      </c>
      <c r="C1670">
        <f>_xlfn.LET(_xlpm.steps,SUBSTITUTE(Table1[[#This Row],[Input]],Table1[[#This Row],[Direction]],""),VALUE(IF(LEN(_xlpm.steps)&gt;2,RIGHT(_xlpm.steps,2),_xlpm.steps)))</f>
        <v>44</v>
      </c>
      <c r="D1670">
        <f>_xlfn.LET(_xlpm.dir,Table1[[#This Row],[Direction]],
IF(_xlpm.dir="L",
    IF(F1669-Table1[[#This Row],[Steps]]&lt;0,100+(F1669-Table1[[#This Row],[Steps]]),F1669-Table1[[#This Row],[Steps]]),
))</f>
        <v>64</v>
      </c>
      <c r="E1670">
        <f>_xlfn.LET(_xlpm.dir,Table1[[#This Row],[Direction]],
IF(_xlpm.dir="R",
    IF(F1669+Table1[[#This Row],[Steps]]&gt;99,(F1669+Table1[[#This Row],[Steps]])-100,F1669+Table1[[#This Row],[Steps]]),
))</f>
        <v>0</v>
      </c>
      <c r="F1670">
        <f>IF(Table1[[#This Row],[New Pos L]]&lt;&gt;0,Table1[[#This Row],[New Pos L]],Table1[[#This Row],[New Pos R]])</f>
        <v>64</v>
      </c>
    </row>
    <row r="1671" spans="1:6" ht="16" x14ac:dyDescent="0.2">
      <c r="A1671" s="1" t="s">
        <v>219</v>
      </c>
      <c r="B1671" t="str">
        <f>LEFT(Table1[[#This Row],[Input]],1)</f>
        <v>L</v>
      </c>
      <c r="C1671">
        <f>_xlfn.LET(_xlpm.steps,SUBSTITUTE(Table1[[#This Row],[Input]],Table1[[#This Row],[Direction]],""),VALUE(IF(LEN(_xlpm.steps)&gt;2,RIGHT(_xlpm.steps,2),_xlpm.steps)))</f>
        <v>64</v>
      </c>
      <c r="D1671">
        <f>_xlfn.LET(_xlpm.dir,Table1[[#This Row],[Direction]],
IF(_xlpm.dir="L",
    IF(F1670-Table1[[#This Row],[Steps]]&lt;0,100+(F1670-Table1[[#This Row],[Steps]]),F1670-Table1[[#This Row],[Steps]]),
))</f>
        <v>0</v>
      </c>
      <c r="E1671">
        <f>_xlfn.LET(_xlpm.dir,Table1[[#This Row],[Direction]],
IF(_xlpm.dir="R",
    IF(F1670+Table1[[#This Row],[Steps]]&gt;99,(F1670+Table1[[#This Row],[Steps]])-100,F1670+Table1[[#This Row],[Steps]]),
))</f>
        <v>0</v>
      </c>
      <c r="F1671">
        <f>IF(Table1[[#This Row],[New Pos L]]&lt;&gt;0,Table1[[#This Row],[New Pos L]],Table1[[#This Row],[New Pos R]])</f>
        <v>0</v>
      </c>
    </row>
    <row r="1672" spans="1:6" ht="16" x14ac:dyDescent="0.2">
      <c r="A1672" s="1" t="s">
        <v>218</v>
      </c>
      <c r="B1672" t="str">
        <f>LEFT(Table1[[#This Row],[Input]],1)</f>
        <v>R</v>
      </c>
      <c r="C1672">
        <f>_xlfn.LET(_xlpm.steps,SUBSTITUTE(Table1[[#This Row],[Input]],Table1[[#This Row],[Direction]],""),VALUE(IF(LEN(_xlpm.steps)&gt;2,RIGHT(_xlpm.steps,2),_xlpm.steps)))</f>
        <v>35</v>
      </c>
      <c r="D1672">
        <f>_xlfn.LET(_xlpm.dir,Table1[[#This Row],[Direction]],
IF(_xlpm.dir="L",
    IF(F1671-Table1[[#This Row],[Steps]]&lt;0,100+(F1671-Table1[[#This Row],[Steps]]),F1671-Table1[[#This Row],[Steps]]),
))</f>
        <v>0</v>
      </c>
      <c r="E1672">
        <f>_xlfn.LET(_xlpm.dir,Table1[[#This Row],[Direction]],
IF(_xlpm.dir="R",
    IF(F1671+Table1[[#This Row],[Steps]]&gt;99,(F1671+Table1[[#This Row],[Steps]])-100,F1671+Table1[[#This Row],[Steps]]),
))</f>
        <v>35</v>
      </c>
      <c r="F1672">
        <f>IF(Table1[[#This Row],[New Pos L]]&lt;&gt;0,Table1[[#This Row],[New Pos L]],Table1[[#This Row],[New Pos R]])</f>
        <v>35</v>
      </c>
    </row>
    <row r="1673" spans="1:6" ht="16" x14ac:dyDescent="0.2">
      <c r="A1673" s="1" t="s">
        <v>52</v>
      </c>
      <c r="B1673" t="str">
        <f>LEFT(Table1[[#This Row],[Input]],1)</f>
        <v>R</v>
      </c>
      <c r="C1673">
        <f>_xlfn.LET(_xlpm.steps,SUBSTITUTE(Table1[[#This Row],[Input]],Table1[[#This Row],[Direction]],""),VALUE(IF(LEN(_xlpm.steps)&gt;2,RIGHT(_xlpm.steps,2),_xlpm.steps)))</f>
        <v>11</v>
      </c>
      <c r="D1673">
        <f>_xlfn.LET(_xlpm.dir,Table1[[#This Row],[Direction]],
IF(_xlpm.dir="L",
    IF(F1672-Table1[[#This Row],[Steps]]&lt;0,100+(F1672-Table1[[#This Row],[Steps]]),F1672-Table1[[#This Row],[Steps]]),
))</f>
        <v>0</v>
      </c>
      <c r="E1673">
        <f>_xlfn.LET(_xlpm.dir,Table1[[#This Row],[Direction]],
IF(_xlpm.dir="R",
    IF(F1672+Table1[[#This Row],[Steps]]&gt;99,(F1672+Table1[[#This Row],[Steps]])-100,F1672+Table1[[#This Row],[Steps]]),
))</f>
        <v>46</v>
      </c>
      <c r="F1673">
        <f>IF(Table1[[#This Row],[New Pos L]]&lt;&gt;0,Table1[[#This Row],[New Pos L]],Table1[[#This Row],[New Pos R]])</f>
        <v>46</v>
      </c>
    </row>
    <row r="1674" spans="1:6" ht="16" x14ac:dyDescent="0.2">
      <c r="A1674" s="1" t="s">
        <v>1</v>
      </c>
      <c r="B1674" t="str">
        <f>LEFT(Table1[[#This Row],[Input]],1)</f>
        <v>R</v>
      </c>
      <c r="C1674">
        <f>_xlfn.LET(_xlpm.steps,SUBSTITUTE(Table1[[#This Row],[Input]],Table1[[#This Row],[Direction]],""),VALUE(IF(LEN(_xlpm.steps)&gt;2,RIGHT(_xlpm.steps,2),_xlpm.steps)))</f>
        <v>26</v>
      </c>
      <c r="D1674">
        <f>_xlfn.LET(_xlpm.dir,Table1[[#This Row],[Direction]],
IF(_xlpm.dir="L",
    IF(F1673-Table1[[#This Row],[Steps]]&lt;0,100+(F1673-Table1[[#This Row],[Steps]]),F1673-Table1[[#This Row],[Steps]]),
))</f>
        <v>0</v>
      </c>
      <c r="E1674">
        <f>_xlfn.LET(_xlpm.dir,Table1[[#This Row],[Direction]],
IF(_xlpm.dir="R",
    IF(F1673+Table1[[#This Row],[Steps]]&gt;99,(F1673+Table1[[#This Row],[Steps]])-100,F1673+Table1[[#This Row],[Steps]]),
))</f>
        <v>72</v>
      </c>
      <c r="F1674">
        <f>IF(Table1[[#This Row],[New Pos L]]&lt;&gt;0,Table1[[#This Row],[New Pos L]],Table1[[#This Row],[New Pos R]])</f>
        <v>72</v>
      </c>
    </row>
    <row r="1675" spans="1:6" ht="16" x14ac:dyDescent="0.2">
      <c r="A1675" s="1" t="s">
        <v>25</v>
      </c>
      <c r="B1675" t="str">
        <f>LEFT(Table1[[#This Row],[Input]],1)</f>
        <v>L</v>
      </c>
      <c r="C1675">
        <f>_xlfn.LET(_xlpm.steps,SUBSTITUTE(Table1[[#This Row],[Input]],Table1[[#This Row],[Direction]],""),VALUE(IF(LEN(_xlpm.steps)&gt;2,RIGHT(_xlpm.steps,2),_xlpm.steps)))</f>
        <v>20</v>
      </c>
      <c r="D1675">
        <f>_xlfn.LET(_xlpm.dir,Table1[[#This Row],[Direction]],
IF(_xlpm.dir="L",
    IF(F1674-Table1[[#This Row],[Steps]]&lt;0,100+(F1674-Table1[[#This Row],[Steps]]),F1674-Table1[[#This Row],[Steps]]),
))</f>
        <v>52</v>
      </c>
      <c r="E1675">
        <f>_xlfn.LET(_xlpm.dir,Table1[[#This Row],[Direction]],
IF(_xlpm.dir="R",
    IF(F1674+Table1[[#This Row],[Steps]]&gt;99,(F1674+Table1[[#This Row],[Steps]])-100,F1674+Table1[[#This Row],[Steps]]),
))</f>
        <v>0</v>
      </c>
      <c r="F1675">
        <f>IF(Table1[[#This Row],[New Pos L]]&lt;&gt;0,Table1[[#This Row],[New Pos L]],Table1[[#This Row],[New Pos R]])</f>
        <v>52</v>
      </c>
    </row>
    <row r="1676" spans="1:6" ht="16" x14ac:dyDescent="0.2">
      <c r="A1676" s="1" t="s">
        <v>272</v>
      </c>
      <c r="B1676" t="str">
        <f>LEFT(Table1[[#This Row],[Input]],1)</f>
        <v>R</v>
      </c>
      <c r="C1676">
        <f>_xlfn.LET(_xlpm.steps,SUBSTITUTE(Table1[[#This Row],[Input]],Table1[[#This Row],[Direction]],""),VALUE(IF(LEN(_xlpm.steps)&gt;2,RIGHT(_xlpm.steps,2),_xlpm.steps)))</f>
        <v>56</v>
      </c>
      <c r="D1676">
        <f>_xlfn.LET(_xlpm.dir,Table1[[#This Row],[Direction]],
IF(_xlpm.dir="L",
    IF(F1675-Table1[[#This Row],[Steps]]&lt;0,100+(F1675-Table1[[#This Row],[Steps]]),F1675-Table1[[#This Row],[Steps]]),
))</f>
        <v>0</v>
      </c>
      <c r="E1676">
        <f>_xlfn.LET(_xlpm.dir,Table1[[#This Row],[Direction]],
IF(_xlpm.dir="R",
    IF(F1675+Table1[[#This Row],[Steps]]&gt;99,(F1675+Table1[[#This Row],[Steps]])-100,F1675+Table1[[#This Row],[Steps]]),
))</f>
        <v>8</v>
      </c>
      <c r="F1676">
        <f>IF(Table1[[#This Row],[New Pos L]]&lt;&gt;0,Table1[[#This Row],[New Pos L]],Table1[[#This Row],[New Pos R]])</f>
        <v>8</v>
      </c>
    </row>
    <row r="1677" spans="1:6" ht="16" x14ac:dyDescent="0.2">
      <c r="A1677" s="1" t="s">
        <v>350</v>
      </c>
      <c r="B1677" t="str">
        <f>LEFT(Table1[[#This Row],[Input]],1)</f>
        <v>R</v>
      </c>
      <c r="C1677">
        <f>_xlfn.LET(_xlpm.steps,SUBSTITUTE(Table1[[#This Row],[Input]],Table1[[#This Row],[Direction]],""),VALUE(IF(LEN(_xlpm.steps)&gt;2,RIGHT(_xlpm.steps,2),_xlpm.steps)))</f>
        <v>92</v>
      </c>
      <c r="D1677">
        <f>_xlfn.LET(_xlpm.dir,Table1[[#This Row],[Direction]],
IF(_xlpm.dir="L",
    IF(F1676-Table1[[#This Row],[Steps]]&lt;0,100+(F1676-Table1[[#This Row],[Steps]]),F1676-Table1[[#This Row],[Steps]]),
))</f>
        <v>0</v>
      </c>
      <c r="E1677">
        <f>_xlfn.LET(_xlpm.dir,Table1[[#This Row],[Direction]],
IF(_xlpm.dir="R",
    IF(F1676+Table1[[#This Row],[Steps]]&gt;99,(F1676+Table1[[#This Row],[Steps]])-100,F1676+Table1[[#This Row],[Steps]]),
))</f>
        <v>0</v>
      </c>
      <c r="F1677">
        <f>IF(Table1[[#This Row],[New Pos L]]&lt;&gt;0,Table1[[#This Row],[New Pos L]],Table1[[#This Row],[New Pos R]])</f>
        <v>0</v>
      </c>
    </row>
    <row r="1678" spans="1:6" ht="16" x14ac:dyDescent="0.2">
      <c r="A1678" s="1" t="s">
        <v>16</v>
      </c>
      <c r="B1678" t="str">
        <f>LEFT(Table1[[#This Row],[Input]],1)</f>
        <v>L</v>
      </c>
      <c r="C1678">
        <f>_xlfn.LET(_xlpm.steps,SUBSTITUTE(Table1[[#This Row],[Input]],Table1[[#This Row],[Direction]],""),VALUE(IF(LEN(_xlpm.steps)&gt;2,RIGHT(_xlpm.steps,2),_xlpm.steps)))</f>
        <v>10</v>
      </c>
      <c r="D1678">
        <f>_xlfn.LET(_xlpm.dir,Table1[[#This Row],[Direction]],
IF(_xlpm.dir="L",
    IF(F1677-Table1[[#This Row],[Steps]]&lt;0,100+(F1677-Table1[[#This Row],[Steps]]),F1677-Table1[[#This Row],[Steps]]),
))</f>
        <v>90</v>
      </c>
      <c r="E1678">
        <f>_xlfn.LET(_xlpm.dir,Table1[[#This Row],[Direction]],
IF(_xlpm.dir="R",
    IF(F1677+Table1[[#This Row],[Steps]]&gt;99,(F1677+Table1[[#This Row],[Steps]])-100,F1677+Table1[[#This Row],[Steps]]),
))</f>
        <v>0</v>
      </c>
      <c r="F1678">
        <f>IF(Table1[[#This Row],[New Pos L]]&lt;&gt;0,Table1[[#This Row],[New Pos L]],Table1[[#This Row],[New Pos R]])</f>
        <v>90</v>
      </c>
    </row>
    <row r="1679" spans="1:6" ht="16" x14ac:dyDescent="0.2">
      <c r="A1679" s="1" t="s">
        <v>139</v>
      </c>
      <c r="B1679" t="str">
        <f>LEFT(Table1[[#This Row],[Input]],1)</f>
        <v>R</v>
      </c>
      <c r="C1679">
        <f>_xlfn.LET(_xlpm.steps,SUBSTITUTE(Table1[[#This Row],[Input]],Table1[[#This Row],[Direction]],""),VALUE(IF(LEN(_xlpm.steps)&gt;2,RIGHT(_xlpm.steps,2),_xlpm.steps)))</f>
        <v>38</v>
      </c>
      <c r="D1679">
        <f>_xlfn.LET(_xlpm.dir,Table1[[#This Row],[Direction]],
IF(_xlpm.dir="L",
    IF(F1678-Table1[[#This Row],[Steps]]&lt;0,100+(F1678-Table1[[#This Row],[Steps]]),F1678-Table1[[#This Row],[Steps]]),
))</f>
        <v>0</v>
      </c>
      <c r="E1679">
        <f>_xlfn.LET(_xlpm.dir,Table1[[#This Row],[Direction]],
IF(_xlpm.dir="R",
    IF(F1678+Table1[[#This Row],[Steps]]&gt;99,(F1678+Table1[[#This Row],[Steps]])-100,F1678+Table1[[#This Row],[Steps]]),
))</f>
        <v>28</v>
      </c>
      <c r="F1679">
        <f>IF(Table1[[#This Row],[New Pos L]]&lt;&gt;0,Table1[[#This Row],[New Pos L]],Table1[[#This Row],[New Pos R]])</f>
        <v>28</v>
      </c>
    </row>
    <row r="1680" spans="1:6" ht="16" x14ac:dyDescent="0.2">
      <c r="A1680" s="1" t="s">
        <v>66</v>
      </c>
      <c r="B1680" t="str">
        <f>LEFT(Table1[[#This Row],[Input]],1)</f>
        <v>R</v>
      </c>
      <c r="C1680">
        <f>_xlfn.LET(_xlpm.steps,SUBSTITUTE(Table1[[#This Row],[Input]],Table1[[#This Row],[Direction]],""),VALUE(IF(LEN(_xlpm.steps)&gt;2,RIGHT(_xlpm.steps,2),_xlpm.steps)))</f>
        <v>45</v>
      </c>
      <c r="D1680">
        <f>_xlfn.LET(_xlpm.dir,Table1[[#This Row],[Direction]],
IF(_xlpm.dir="L",
    IF(F1679-Table1[[#This Row],[Steps]]&lt;0,100+(F1679-Table1[[#This Row],[Steps]]),F1679-Table1[[#This Row],[Steps]]),
))</f>
        <v>0</v>
      </c>
      <c r="E1680">
        <f>_xlfn.LET(_xlpm.dir,Table1[[#This Row],[Direction]],
IF(_xlpm.dir="R",
    IF(F1679+Table1[[#This Row],[Steps]]&gt;99,(F1679+Table1[[#This Row],[Steps]])-100,F1679+Table1[[#This Row],[Steps]]),
))</f>
        <v>73</v>
      </c>
      <c r="F1680">
        <f>IF(Table1[[#This Row],[New Pos L]]&lt;&gt;0,Table1[[#This Row],[New Pos L]],Table1[[#This Row],[New Pos R]])</f>
        <v>73</v>
      </c>
    </row>
    <row r="1681" spans="1:6" ht="16" x14ac:dyDescent="0.2">
      <c r="A1681" s="1" t="s">
        <v>69</v>
      </c>
      <c r="B1681" t="str">
        <f>LEFT(Table1[[#This Row],[Input]],1)</f>
        <v>R</v>
      </c>
      <c r="C1681">
        <f>_xlfn.LET(_xlpm.steps,SUBSTITUTE(Table1[[#This Row],[Input]],Table1[[#This Row],[Direction]],""),VALUE(IF(LEN(_xlpm.steps)&gt;2,RIGHT(_xlpm.steps,2),_xlpm.steps)))</f>
        <v>27</v>
      </c>
      <c r="D1681">
        <f>_xlfn.LET(_xlpm.dir,Table1[[#This Row],[Direction]],
IF(_xlpm.dir="L",
    IF(F1680-Table1[[#This Row],[Steps]]&lt;0,100+(F1680-Table1[[#This Row],[Steps]]),F1680-Table1[[#This Row],[Steps]]),
))</f>
        <v>0</v>
      </c>
      <c r="E1681">
        <f>_xlfn.LET(_xlpm.dir,Table1[[#This Row],[Direction]],
IF(_xlpm.dir="R",
    IF(F1680+Table1[[#This Row],[Steps]]&gt;99,(F1680+Table1[[#This Row],[Steps]])-100,F1680+Table1[[#This Row],[Steps]]),
))</f>
        <v>0</v>
      </c>
      <c r="F1681">
        <f>IF(Table1[[#This Row],[New Pos L]]&lt;&gt;0,Table1[[#This Row],[New Pos L]],Table1[[#This Row],[New Pos R]])</f>
        <v>0</v>
      </c>
    </row>
    <row r="1682" spans="1:6" ht="16" x14ac:dyDescent="0.2">
      <c r="A1682" s="1" t="s">
        <v>201</v>
      </c>
      <c r="B1682" t="str">
        <f>LEFT(Table1[[#This Row],[Input]],1)</f>
        <v>R</v>
      </c>
      <c r="C1682">
        <f>_xlfn.LET(_xlpm.steps,SUBSTITUTE(Table1[[#This Row],[Input]],Table1[[#This Row],[Direction]],""),VALUE(IF(LEN(_xlpm.steps)&gt;2,RIGHT(_xlpm.steps,2),_xlpm.steps)))</f>
        <v>31</v>
      </c>
      <c r="D1682">
        <f>_xlfn.LET(_xlpm.dir,Table1[[#This Row],[Direction]],
IF(_xlpm.dir="L",
    IF(F1681-Table1[[#This Row],[Steps]]&lt;0,100+(F1681-Table1[[#This Row],[Steps]]),F1681-Table1[[#This Row],[Steps]]),
))</f>
        <v>0</v>
      </c>
      <c r="E1682">
        <f>_xlfn.LET(_xlpm.dir,Table1[[#This Row],[Direction]],
IF(_xlpm.dir="R",
    IF(F1681+Table1[[#This Row],[Steps]]&gt;99,(F1681+Table1[[#This Row],[Steps]])-100,F1681+Table1[[#This Row],[Steps]]),
))</f>
        <v>31</v>
      </c>
      <c r="F1682">
        <f>IF(Table1[[#This Row],[New Pos L]]&lt;&gt;0,Table1[[#This Row],[New Pos L]],Table1[[#This Row],[New Pos R]])</f>
        <v>31</v>
      </c>
    </row>
    <row r="1683" spans="1:6" ht="16" x14ac:dyDescent="0.2">
      <c r="A1683" s="1" t="s">
        <v>36</v>
      </c>
      <c r="B1683" t="str">
        <f>LEFT(Table1[[#This Row],[Input]],1)</f>
        <v>R</v>
      </c>
      <c r="C1683">
        <f>_xlfn.LET(_xlpm.steps,SUBSTITUTE(Table1[[#This Row],[Input]],Table1[[#This Row],[Direction]],""),VALUE(IF(LEN(_xlpm.steps)&gt;2,RIGHT(_xlpm.steps,2),_xlpm.steps)))</f>
        <v>50</v>
      </c>
      <c r="D1683">
        <f>_xlfn.LET(_xlpm.dir,Table1[[#This Row],[Direction]],
IF(_xlpm.dir="L",
    IF(F1682-Table1[[#This Row],[Steps]]&lt;0,100+(F1682-Table1[[#This Row],[Steps]]),F1682-Table1[[#This Row],[Steps]]),
))</f>
        <v>0</v>
      </c>
      <c r="E1683">
        <f>_xlfn.LET(_xlpm.dir,Table1[[#This Row],[Direction]],
IF(_xlpm.dir="R",
    IF(F1682+Table1[[#This Row],[Steps]]&gt;99,(F1682+Table1[[#This Row],[Steps]])-100,F1682+Table1[[#This Row],[Steps]]),
))</f>
        <v>81</v>
      </c>
      <c r="F1683">
        <f>IF(Table1[[#This Row],[New Pos L]]&lt;&gt;0,Table1[[#This Row],[New Pos L]],Table1[[#This Row],[New Pos R]])</f>
        <v>81</v>
      </c>
    </row>
    <row r="1684" spans="1:6" ht="16" x14ac:dyDescent="0.2">
      <c r="A1684" s="1" t="s">
        <v>356</v>
      </c>
      <c r="B1684" t="str">
        <f>LEFT(Table1[[#This Row],[Input]],1)</f>
        <v>L</v>
      </c>
      <c r="C1684">
        <f>_xlfn.LET(_xlpm.steps,SUBSTITUTE(Table1[[#This Row],[Input]],Table1[[#This Row],[Direction]],""),VALUE(IF(LEN(_xlpm.steps)&gt;2,RIGHT(_xlpm.steps,2),_xlpm.steps)))</f>
        <v>51</v>
      </c>
      <c r="D1684">
        <f>_xlfn.LET(_xlpm.dir,Table1[[#This Row],[Direction]],
IF(_xlpm.dir="L",
    IF(F1683-Table1[[#This Row],[Steps]]&lt;0,100+(F1683-Table1[[#This Row],[Steps]]),F1683-Table1[[#This Row],[Steps]]),
))</f>
        <v>30</v>
      </c>
      <c r="E1684">
        <f>_xlfn.LET(_xlpm.dir,Table1[[#This Row],[Direction]],
IF(_xlpm.dir="R",
    IF(F1683+Table1[[#This Row],[Steps]]&gt;99,(F1683+Table1[[#This Row],[Steps]])-100,F1683+Table1[[#This Row],[Steps]]),
))</f>
        <v>0</v>
      </c>
      <c r="F1684">
        <f>IF(Table1[[#This Row],[New Pos L]]&lt;&gt;0,Table1[[#This Row],[New Pos L]],Table1[[#This Row],[New Pos R]])</f>
        <v>30</v>
      </c>
    </row>
    <row r="1685" spans="1:6" ht="16" x14ac:dyDescent="0.2">
      <c r="A1685" s="1" t="s">
        <v>66</v>
      </c>
      <c r="B1685" t="str">
        <f>LEFT(Table1[[#This Row],[Input]],1)</f>
        <v>R</v>
      </c>
      <c r="C1685">
        <f>_xlfn.LET(_xlpm.steps,SUBSTITUTE(Table1[[#This Row],[Input]],Table1[[#This Row],[Direction]],""),VALUE(IF(LEN(_xlpm.steps)&gt;2,RIGHT(_xlpm.steps,2),_xlpm.steps)))</f>
        <v>45</v>
      </c>
      <c r="D1685">
        <f>_xlfn.LET(_xlpm.dir,Table1[[#This Row],[Direction]],
IF(_xlpm.dir="L",
    IF(F1684-Table1[[#This Row],[Steps]]&lt;0,100+(F1684-Table1[[#This Row],[Steps]]),F1684-Table1[[#This Row],[Steps]]),
))</f>
        <v>0</v>
      </c>
      <c r="E1685">
        <f>_xlfn.LET(_xlpm.dir,Table1[[#This Row],[Direction]],
IF(_xlpm.dir="R",
    IF(F1684+Table1[[#This Row],[Steps]]&gt;99,(F1684+Table1[[#This Row],[Steps]])-100,F1684+Table1[[#This Row],[Steps]]),
))</f>
        <v>75</v>
      </c>
      <c r="F1685">
        <f>IF(Table1[[#This Row],[New Pos L]]&lt;&gt;0,Table1[[#This Row],[New Pos L]],Table1[[#This Row],[New Pos R]])</f>
        <v>75</v>
      </c>
    </row>
    <row r="1686" spans="1:6" ht="16" x14ac:dyDescent="0.2">
      <c r="A1686" s="1" t="s">
        <v>54</v>
      </c>
      <c r="B1686" t="str">
        <f>LEFT(Table1[[#This Row],[Input]],1)</f>
        <v>L</v>
      </c>
      <c r="C1686">
        <f>_xlfn.LET(_xlpm.steps,SUBSTITUTE(Table1[[#This Row],[Input]],Table1[[#This Row],[Direction]],""),VALUE(IF(LEN(_xlpm.steps)&gt;2,RIGHT(_xlpm.steps,2),_xlpm.steps)))</f>
        <v>75</v>
      </c>
      <c r="D1686">
        <f>_xlfn.LET(_xlpm.dir,Table1[[#This Row],[Direction]],
IF(_xlpm.dir="L",
    IF(F1685-Table1[[#This Row],[Steps]]&lt;0,100+(F1685-Table1[[#This Row],[Steps]]),F1685-Table1[[#This Row],[Steps]]),
))</f>
        <v>0</v>
      </c>
      <c r="E1686">
        <f>_xlfn.LET(_xlpm.dir,Table1[[#This Row],[Direction]],
IF(_xlpm.dir="R",
    IF(F1685+Table1[[#This Row],[Steps]]&gt;99,(F1685+Table1[[#This Row],[Steps]])-100,F1685+Table1[[#This Row],[Steps]]),
))</f>
        <v>0</v>
      </c>
      <c r="F1686">
        <f>IF(Table1[[#This Row],[New Pos L]]&lt;&gt;0,Table1[[#This Row],[New Pos L]],Table1[[#This Row],[New Pos R]])</f>
        <v>0</v>
      </c>
    </row>
    <row r="1687" spans="1:6" ht="16" x14ac:dyDescent="0.2">
      <c r="A1687" s="1" t="s">
        <v>120</v>
      </c>
      <c r="B1687" t="str">
        <f>LEFT(Table1[[#This Row],[Input]],1)</f>
        <v>L</v>
      </c>
      <c r="C1687">
        <f>_xlfn.LET(_xlpm.steps,SUBSTITUTE(Table1[[#This Row],[Input]],Table1[[#This Row],[Direction]],""),VALUE(IF(LEN(_xlpm.steps)&gt;2,RIGHT(_xlpm.steps,2),_xlpm.steps)))</f>
        <v>23</v>
      </c>
      <c r="D1687">
        <f>_xlfn.LET(_xlpm.dir,Table1[[#This Row],[Direction]],
IF(_xlpm.dir="L",
    IF(F1686-Table1[[#This Row],[Steps]]&lt;0,100+(F1686-Table1[[#This Row],[Steps]]),F1686-Table1[[#This Row],[Steps]]),
))</f>
        <v>77</v>
      </c>
      <c r="E1687">
        <f>_xlfn.LET(_xlpm.dir,Table1[[#This Row],[Direction]],
IF(_xlpm.dir="R",
    IF(F1686+Table1[[#This Row],[Steps]]&gt;99,(F1686+Table1[[#This Row],[Steps]])-100,F1686+Table1[[#This Row],[Steps]]),
))</f>
        <v>0</v>
      </c>
      <c r="F1687">
        <f>IF(Table1[[#This Row],[New Pos L]]&lt;&gt;0,Table1[[#This Row],[New Pos L]],Table1[[#This Row],[New Pos R]])</f>
        <v>77</v>
      </c>
    </row>
    <row r="1688" spans="1:6" ht="16" x14ac:dyDescent="0.2">
      <c r="A1688" s="1" t="s">
        <v>119</v>
      </c>
      <c r="B1688" t="str">
        <f>LEFT(Table1[[#This Row],[Input]],1)</f>
        <v>L</v>
      </c>
      <c r="C1688">
        <f>_xlfn.LET(_xlpm.steps,SUBSTITUTE(Table1[[#This Row],[Input]],Table1[[#This Row],[Direction]],""),VALUE(IF(LEN(_xlpm.steps)&gt;2,RIGHT(_xlpm.steps,2),_xlpm.steps)))</f>
        <v>77</v>
      </c>
      <c r="D1688">
        <f>_xlfn.LET(_xlpm.dir,Table1[[#This Row],[Direction]],
IF(_xlpm.dir="L",
    IF(F1687-Table1[[#This Row],[Steps]]&lt;0,100+(F1687-Table1[[#This Row],[Steps]]),F1687-Table1[[#This Row],[Steps]]),
))</f>
        <v>0</v>
      </c>
      <c r="E1688">
        <f>_xlfn.LET(_xlpm.dir,Table1[[#This Row],[Direction]],
IF(_xlpm.dir="R",
    IF(F1687+Table1[[#This Row],[Steps]]&gt;99,(F1687+Table1[[#This Row],[Steps]])-100,F1687+Table1[[#This Row],[Steps]]),
))</f>
        <v>0</v>
      </c>
      <c r="F1688">
        <f>IF(Table1[[#This Row],[New Pos L]]&lt;&gt;0,Table1[[#This Row],[New Pos L]],Table1[[#This Row],[New Pos R]])</f>
        <v>0</v>
      </c>
    </row>
    <row r="1689" spans="1:6" ht="16" x14ac:dyDescent="0.2">
      <c r="A1689" s="1" t="s">
        <v>483</v>
      </c>
      <c r="B1689" t="str">
        <f>LEFT(Table1[[#This Row],[Input]],1)</f>
        <v>R</v>
      </c>
      <c r="C1689">
        <f>_xlfn.LET(_xlpm.steps,SUBSTITUTE(Table1[[#This Row],[Input]],Table1[[#This Row],[Direction]],""),VALUE(IF(LEN(_xlpm.steps)&gt;2,RIGHT(_xlpm.steps,2),_xlpm.steps)))</f>
        <v>14</v>
      </c>
      <c r="D1689">
        <f>_xlfn.LET(_xlpm.dir,Table1[[#This Row],[Direction]],
IF(_xlpm.dir="L",
    IF(F1688-Table1[[#This Row],[Steps]]&lt;0,100+(F1688-Table1[[#This Row],[Steps]]),F1688-Table1[[#This Row],[Steps]]),
))</f>
        <v>0</v>
      </c>
      <c r="E1689">
        <f>_xlfn.LET(_xlpm.dir,Table1[[#This Row],[Direction]],
IF(_xlpm.dir="R",
    IF(F1688+Table1[[#This Row],[Steps]]&gt;99,(F1688+Table1[[#This Row],[Steps]])-100,F1688+Table1[[#This Row],[Steps]]),
))</f>
        <v>14</v>
      </c>
      <c r="F1689">
        <f>IF(Table1[[#This Row],[New Pos L]]&lt;&gt;0,Table1[[#This Row],[New Pos L]],Table1[[#This Row],[New Pos R]])</f>
        <v>14</v>
      </c>
    </row>
    <row r="1690" spans="1:6" ht="16" x14ac:dyDescent="0.2">
      <c r="A1690" s="1" t="s">
        <v>60</v>
      </c>
      <c r="B1690" t="str">
        <f>LEFT(Table1[[#This Row],[Input]],1)</f>
        <v>R</v>
      </c>
      <c r="C1690">
        <f>_xlfn.LET(_xlpm.steps,SUBSTITUTE(Table1[[#This Row],[Input]],Table1[[#This Row],[Direction]],""),VALUE(IF(LEN(_xlpm.steps)&gt;2,RIGHT(_xlpm.steps,2),_xlpm.steps)))</f>
        <v>86</v>
      </c>
      <c r="D1690">
        <f>_xlfn.LET(_xlpm.dir,Table1[[#This Row],[Direction]],
IF(_xlpm.dir="L",
    IF(F1689-Table1[[#This Row],[Steps]]&lt;0,100+(F1689-Table1[[#This Row],[Steps]]),F1689-Table1[[#This Row],[Steps]]),
))</f>
        <v>0</v>
      </c>
      <c r="E1690">
        <f>_xlfn.LET(_xlpm.dir,Table1[[#This Row],[Direction]],
IF(_xlpm.dir="R",
    IF(F1689+Table1[[#This Row],[Steps]]&gt;99,(F1689+Table1[[#This Row],[Steps]])-100,F1689+Table1[[#This Row],[Steps]]),
))</f>
        <v>0</v>
      </c>
      <c r="F1690">
        <f>IF(Table1[[#This Row],[New Pos L]]&lt;&gt;0,Table1[[#This Row],[New Pos L]],Table1[[#This Row],[New Pos R]])</f>
        <v>0</v>
      </c>
    </row>
    <row r="1691" spans="1:6" ht="16" x14ac:dyDescent="0.2">
      <c r="A1691" s="1" t="s">
        <v>33</v>
      </c>
      <c r="B1691" t="str">
        <f>LEFT(Table1[[#This Row],[Input]],1)</f>
        <v>R</v>
      </c>
      <c r="C1691">
        <f>_xlfn.LET(_xlpm.steps,SUBSTITUTE(Table1[[#This Row],[Input]],Table1[[#This Row],[Direction]],""),VALUE(IF(LEN(_xlpm.steps)&gt;2,RIGHT(_xlpm.steps,2),_xlpm.steps)))</f>
        <v>22</v>
      </c>
      <c r="D1691">
        <f>_xlfn.LET(_xlpm.dir,Table1[[#This Row],[Direction]],
IF(_xlpm.dir="L",
    IF(F1690-Table1[[#This Row],[Steps]]&lt;0,100+(F1690-Table1[[#This Row],[Steps]]),F1690-Table1[[#This Row],[Steps]]),
))</f>
        <v>0</v>
      </c>
      <c r="E1691">
        <f>_xlfn.LET(_xlpm.dir,Table1[[#This Row],[Direction]],
IF(_xlpm.dir="R",
    IF(F1690+Table1[[#This Row],[Steps]]&gt;99,(F1690+Table1[[#This Row],[Steps]])-100,F1690+Table1[[#This Row],[Steps]]),
))</f>
        <v>22</v>
      </c>
      <c r="F1691">
        <f>IF(Table1[[#This Row],[New Pos L]]&lt;&gt;0,Table1[[#This Row],[New Pos L]],Table1[[#This Row],[New Pos R]])</f>
        <v>22</v>
      </c>
    </row>
    <row r="1692" spans="1:6" ht="16" x14ac:dyDescent="0.2">
      <c r="A1692" s="1" t="s">
        <v>50</v>
      </c>
      <c r="B1692" t="str">
        <f>LEFT(Table1[[#This Row],[Input]],1)</f>
        <v>R</v>
      </c>
      <c r="C1692">
        <f>_xlfn.LET(_xlpm.steps,SUBSTITUTE(Table1[[#This Row],[Input]],Table1[[#This Row],[Direction]],""),VALUE(IF(LEN(_xlpm.steps)&gt;2,RIGHT(_xlpm.steps,2),_xlpm.steps)))</f>
        <v>78</v>
      </c>
      <c r="D1692">
        <f>_xlfn.LET(_xlpm.dir,Table1[[#This Row],[Direction]],
IF(_xlpm.dir="L",
    IF(F1691-Table1[[#This Row],[Steps]]&lt;0,100+(F1691-Table1[[#This Row],[Steps]]),F1691-Table1[[#This Row],[Steps]]),
))</f>
        <v>0</v>
      </c>
      <c r="E1692">
        <f>_xlfn.LET(_xlpm.dir,Table1[[#This Row],[Direction]],
IF(_xlpm.dir="R",
    IF(F1691+Table1[[#This Row],[Steps]]&gt;99,(F1691+Table1[[#This Row],[Steps]])-100,F1691+Table1[[#This Row],[Steps]]),
))</f>
        <v>0</v>
      </c>
      <c r="F1692">
        <f>IF(Table1[[#This Row],[New Pos L]]&lt;&gt;0,Table1[[#This Row],[New Pos L]],Table1[[#This Row],[New Pos R]])</f>
        <v>0</v>
      </c>
    </row>
    <row r="1693" spans="1:6" ht="16" x14ac:dyDescent="0.2">
      <c r="A1693" s="1" t="s">
        <v>94</v>
      </c>
      <c r="B1693" t="str">
        <f>LEFT(Table1[[#This Row],[Input]],1)</f>
        <v>L</v>
      </c>
      <c r="C1693">
        <f>_xlfn.LET(_xlpm.steps,SUBSTITUTE(Table1[[#This Row],[Input]],Table1[[#This Row],[Direction]],""),VALUE(IF(LEN(_xlpm.steps)&gt;2,RIGHT(_xlpm.steps,2),_xlpm.steps)))</f>
        <v>71</v>
      </c>
      <c r="D1693">
        <f>_xlfn.LET(_xlpm.dir,Table1[[#This Row],[Direction]],
IF(_xlpm.dir="L",
    IF(F1692-Table1[[#This Row],[Steps]]&lt;0,100+(F1692-Table1[[#This Row],[Steps]]),F1692-Table1[[#This Row],[Steps]]),
))</f>
        <v>29</v>
      </c>
      <c r="E1693">
        <f>_xlfn.LET(_xlpm.dir,Table1[[#This Row],[Direction]],
IF(_xlpm.dir="R",
    IF(F1692+Table1[[#This Row],[Steps]]&gt;99,(F1692+Table1[[#This Row],[Steps]])-100,F1692+Table1[[#This Row],[Steps]]),
))</f>
        <v>0</v>
      </c>
      <c r="F1693">
        <f>IF(Table1[[#This Row],[New Pos L]]&lt;&gt;0,Table1[[#This Row],[New Pos L]],Table1[[#This Row],[New Pos R]])</f>
        <v>29</v>
      </c>
    </row>
    <row r="1694" spans="1:6" ht="16" x14ac:dyDescent="0.2">
      <c r="A1694" s="1" t="s">
        <v>484</v>
      </c>
      <c r="B1694" t="str">
        <f>LEFT(Table1[[#This Row],[Input]],1)</f>
        <v>L</v>
      </c>
      <c r="C1694">
        <f>_xlfn.LET(_xlpm.steps,SUBSTITUTE(Table1[[#This Row],[Input]],Table1[[#This Row],[Direction]],""),VALUE(IF(LEN(_xlpm.steps)&gt;2,RIGHT(_xlpm.steps,2),_xlpm.steps)))</f>
        <v>25</v>
      </c>
      <c r="D1694">
        <f>_xlfn.LET(_xlpm.dir,Table1[[#This Row],[Direction]],
IF(_xlpm.dir="L",
    IF(F1693-Table1[[#This Row],[Steps]]&lt;0,100+(F1693-Table1[[#This Row],[Steps]]),F1693-Table1[[#This Row],[Steps]]),
))</f>
        <v>4</v>
      </c>
      <c r="E1694">
        <f>_xlfn.LET(_xlpm.dir,Table1[[#This Row],[Direction]],
IF(_xlpm.dir="R",
    IF(F1693+Table1[[#This Row],[Steps]]&gt;99,(F1693+Table1[[#This Row],[Steps]])-100,F1693+Table1[[#This Row],[Steps]]),
))</f>
        <v>0</v>
      </c>
      <c r="F1694">
        <f>IF(Table1[[#This Row],[New Pos L]]&lt;&gt;0,Table1[[#This Row],[New Pos L]],Table1[[#This Row],[New Pos R]])</f>
        <v>4</v>
      </c>
    </row>
    <row r="1695" spans="1:6" ht="16" x14ac:dyDescent="0.2">
      <c r="A1695" s="1" t="s">
        <v>485</v>
      </c>
      <c r="B1695" t="str">
        <f>LEFT(Table1[[#This Row],[Input]],1)</f>
        <v>L</v>
      </c>
      <c r="C1695">
        <f>_xlfn.LET(_xlpm.steps,SUBSTITUTE(Table1[[#This Row],[Input]],Table1[[#This Row],[Direction]],""),VALUE(IF(LEN(_xlpm.steps)&gt;2,RIGHT(_xlpm.steps,2),_xlpm.steps)))</f>
        <v>4</v>
      </c>
      <c r="D1695">
        <f>_xlfn.LET(_xlpm.dir,Table1[[#This Row],[Direction]],
IF(_xlpm.dir="L",
    IF(F1694-Table1[[#This Row],[Steps]]&lt;0,100+(F1694-Table1[[#This Row],[Steps]]),F1694-Table1[[#This Row],[Steps]]),
))</f>
        <v>0</v>
      </c>
      <c r="E1695">
        <f>_xlfn.LET(_xlpm.dir,Table1[[#This Row],[Direction]],
IF(_xlpm.dir="R",
    IF(F1694+Table1[[#This Row],[Steps]]&gt;99,(F1694+Table1[[#This Row],[Steps]])-100,F1694+Table1[[#This Row],[Steps]]),
))</f>
        <v>0</v>
      </c>
      <c r="F1695">
        <f>IF(Table1[[#This Row],[New Pos L]]&lt;&gt;0,Table1[[#This Row],[New Pos L]],Table1[[#This Row],[New Pos R]])</f>
        <v>0</v>
      </c>
    </row>
    <row r="1696" spans="1:6" ht="16" x14ac:dyDescent="0.2">
      <c r="A1696" s="1" t="s">
        <v>486</v>
      </c>
      <c r="B1696" t="str">
        <f>LEFT(Table1[[#This Row],[Input]],1)</f>
        <v>L</v>
      </c>
      <c r="C1696">
        <f>_xlfn.LET(_xlpm.steps,SUBSTITUTE(Table1[[#This Row],[Input]],Table1[[#This Row],[Direction]],""),VALUE(IF(LEN(_xlpm.steps)&gt;2,RIGHT(_xlpm.steps,2),_xlpm.steps)))</f>
        <v>55</v>
      </c>
      <c r="D1696">
        <f>_xlfn.LET(_xlpm.dir,Table1[[#This Row],[Direction]],
IF(_xlpm.dir="L",
    IF(F1695-Table1[[#This Row],[Steps]]&lt;0,100+(F1695-Table1[[#This Row],[Steps]]),F1695-Table1[[#This Row],[Steps]]),
))</f>
        <v>45</v>
      </c>
      <c r="E1696">
        <f>_xlfn.LET(_xlpm.dir,Table1[[#This Row],[Direction]],
IF(_xlpm.dir="R",
    IF(F1695+Table1[[#This Row],[Steps]]&gt;99,(F1695+Table1[[#This Row],[Steps]])-100,F1695+Table1[[#This Row],[Steps]]),
))</f>
        <v>0</v>
      </c>
      <c r="F1696">
        <f>IF(Table1[[#This Row],[New Pos L]]&lt;&gt;0,Table1[[#This Row],[New Pos L]],Table1[[#This Row],[New Pos R]])</f>
        <v>45</v>
      </c>
    </row>
    <row r="1697" spans="1:6" ht="16" x14ac:dyDescent="0.2">
      <c r="A1697" s="1" t="s">
        <v>79</v>
      </c>
      <c r="B1697" t="str">
        <f>LEFT(Table1[[#This Row],[Input]],1)</f>
        <v>L</v>
      </c>
      <c r="C1697">
        <f>_xlfn.LET(_xlpm.steps,SUBSTITUTE(Table1[[#This Row],[Input]],Table1[[#This Row],[Direction]],""),VALUE(IF(LEN(_xlpm.steps)&gt;2,RIGHT(_xlpm.steps,2),_xlpm.steps)))</f>
        <v>45</v>
      </c>
      <c r="D1697">
        <f>_xlfn.LET(_xlpm.dir,Table1[[#This Row],[Direction]],
IF(_xlpm.dir="L",
    IF(F1696-Table1[[#This Row],[Steps]]&lt;0,100+(F1696-Table1[[#This Row],[Steps]]),F1696-Table1[[#This Row],[Steps]]),
))</f>
        <v>0</v>
      </c>
      <c r="E1697">
        <f>_xlfn.LET(_xlpm.dir,Table1[[#This Row],[Direction]],
IF(_xlpm.dir="R",
    IF(F1696+Table1[[#This Row],[Steps]]&gt;99,(F1696+Table1[[#This Row],[Steps]])-100,F1696+Table1[[#This Row],[Steps]]),
))</f>
        <v>0</v>
      </c>
      <c r="F1697">
        <f>IF(Table1[[#This Row],[New Pos L]]&lt;&gt;0,Table1[[#This Row],[New Pos L]],Table1[[#This Row],[New Pos R]])</f>
        <v>0</v>
      </c>
    </row>
    <row r="1698" spans="1:6" ht="16" x14ac:dyDescent="0.2">
      <c r="A1698" s="1" t="s">
        <v>134</v>
      </c>
      <c r="B1698" t="str">
        <f>LEFT(Table1[[#This Row],[Input]],1)</f>
        <v>L</v>
      </c>
      <c r="C1698">
        <f>_xlfn.LET(_xlpm.steps,SUBSTITUTE(Table1[[#This Row],[Input]],Table1[[#This Row],[Direction]],""),VALUE(IF(LEN(_xlpm.steps)&gt;2,RIGHT(_xlpm.steps,2),_xlpm.steps)))</f>
        <v>95</v>
      </c>
      <c r="D1698">
        <f>_xlfn.LET(_xlpm.dir,Table1[[#This Row],[Direction]],
IF(_xlpm.dir="L",
    IF(F1697-Table1[[#This Row],[Steps]]&lt;0,100+(F1697-Table1[[#This Row],[Steps]]),F1697-Table1[[#This Row],[Steps]]),
))</f>
        <v>5</v>
      </c>
      <c r="E1698">
        <f>_xlfn.LET(_xlpm.dir,Table1[[#This Row],[Direction]],
IF(_xlpm.dir="R",
    IF(F1697+Table1[[#This Row],[Steps]]&gt;99,(F1697+Table1[[#This Row],[Steps]])-100,F1697+Table1[[#This Row],[Steps]]),
))</f>
        <v>0</v>
      </c>
      <c r="F1698">
        <f>IF(Table1[[#This Row],[New Pos L]]&lt;&gt;0,Table1[[#This Row],[New Pos L]],Table1[[#This Row],[New Pos R]])</f>
        <v>5</v>
      </c>
    </row>
    <row r="1699" spans="1:6" ht="16" x14ac:dyDescent="0.2">
      <c r="A1699" s="1" t="s">
        <v>241</v>
      </c>
      <c r="B1699" t="str">
        <f>LEFT(Table1[[#This Row],[Input]],1)</f>
        <v>R</v>
      </c>
      <c r="C1699">
        <f>_xlfn.LET(_xlpm.steps,SUBSTITUTE(Table1[[#This Row],[Input]],Table1[[#This Row],[Direction]],""),VALUE(IF(LEN(_xlpm.steps)&gt;2,RIGHT(_xlpm.steps,2),_xlpm.steps)))</f>
        <v>60</v>
      </c>
      <c r="D1699">
        <f>_xlfn.LET(_xlpm.dir,Table1[[#This Row],[Direction]],
IF(_xlpm.dir="L",
    IF(F1698-Table1[[#This Row],[Steps]]&lt;0,100+(F1698-Table1[[#This Row],[Steps]]),F1698-Table1[[#This Row],[Steps]]),
))</f>
        <v>0</v>
      </c>
      <c r="E1699">
        <f>_xlfn.LET(_xlpm.dir,Table1[[#This Row],[Direction]],
IF(_xlpm.dir="R",
    IF(F1698+Table1[[#This Row],[Steps]]&gt;99,(F1698+Table1[[#This Row],[Steps]])-100,F1698+Table1[[#This Row],[Steps]]),
))</f>
        <v>65</v>
      </c>
      <c r="F1699">
        <f>IF(Table1[[#This Row],[New Pos L]]&lt;&gt;0,Table1[[#This Row],[New Pos L]],Table1[[#This Row],[New Pos R]])</f>
        <v>65</v>
      </c>
    </row>
    <row r="1700" spans="1:6" ht="16" x14ac:dyDescent="0.2">
      <c r="A1700" s="1" t="s">
        <v>252</v>
      </c>
      <c r="B1700" t="str">
        <f>LEFT(Table1[[#This Row],[Input]],1)</f>
        <v>L</v>
      </c>
      <c r="C1700">
        <f>_xlfn.LET(_xlpm.steps,SUBSTITUTE(Table1[[#This Row],[Input]],Table1[[#This Row],[Direction]],""),VALUE(IF(LEN(_xlpm.steps)&gt;2,RIGHT(_xlpm.steps,2),_xlpm.steps)))</f>
        <v>99</v>
      </c>
      <c r="D1700">
        <f>_xlfn.LET(_xlpm.dir,Table1[[#This Row],[Direction]],
IF(_xlpm.dir="L",
    IF(F1699-Table1[[#This Row],[Steps]]&lt;0,100+(F1699-Table1[[#This Row],[Steps]]),F1699-Table1[[#This Row],[Steps]]),
))</f>
        <v>66</v>
      </c>
      <c r="E1700">
        <f>_xlfn.LET(_xlpm.dir,Table1[[#This Row],[Direction]],
IF(_xlpm.dir="R",
    IF(F1699+Table1[[#This Row],[Steps]]&gt;99,(F1699+Table1[[#This Row],[Steps]])-100,F1699+Table1[[#This Row],[Steps]]),
))</f>
        <v>0</v>
      </c>
      <c r="F1700">
        <f>IF(Table1[[#This Row],[New Pos L]]&lt;&gt;0,Table1[[#This Row],[New Pos L]],Table1[[#This Row],[New Pos R]])</f>
        <v>66</v>
      </c>
    </row>
    <row r="1701" spans="1:6" ht="16" x14ac:dyDescent="0.2">
      <c r="A1701" s="1" t="s">
        <v>75</v>
      </c>
      <c r="B1701" t="str">
        <f>LEFT(Table1[[#This Row],[Input]],1)</f>
        <v>R</v>
      </c>
      <c r="C1701">
        <f>_xlfn.LET(_xlpm.steps,SUBSTITUTE(Table1[[#This Row],[Input]],Table1[[#This Row],[Direction]],""),VALUE(IF(LEN(_xlpm.steps)&gt;2,RIGHT(_xlpm.steps,2),_xlpm.steps)))</f>
        <v>2</v>
      </c>
      <c r="D1701">
        <f>_xlfn.LET(_xlpm.dir,Table1[[#This Row],[Direction]],
IF(_xlpm.dir="L",
    IF(F1700-Table1[[#This Row],[Steps]]&lt;0,100+(F1700-Table1[[#This Row],[Steps]]),F1700-Table1[[#This Row],[Steps]]),
))</f>
        <v>0</v>
      </c>
      <c r="E1701">
        <f>_xlfn.LET(_xlpm.dir,Table1[[#This Row],[Direction]],
IF(_xlpm.dir="R",
    IF(F1700+Table1[[#This Row],[Steps]]&gt;99,(F1700+Table1[[#This Row],[Steps]])-100,F1700+Table1[[#This Row],[Steps]]),
))</f>
        <v>68</v>
      </c>
      <c r="F1701">
        <f>IF(Table1[[#This Row],[New Pos L]]&lt;&gt;0,Table1[[#This Row],[New Pos L]],Table1[[#This Row],[New Pos R]])</f>
        <v>68</v>
      </c>
    </row>
    <row r="1702" spans="1:6" ht="16" x14ac:dyDescent="0.2">
      <c r="A1702" s="1" t="s">
        <v>39</v>
      </c>
      <c r="B1702" t="str">
        <f>LEFT(Table1[[#This Row],[Input]],1)</f>
        <v>R</v>
      </c>
      <c r="C1702">
        <f>_xlfn.LET(_xlpm.steps,SUBSTITUTE(Table1[[#This Row],[Input]],Table1[[#This Row],[Direction]],""),VALUE(IF(LEN(_xlpm.steps)&gt;2,RIGHT(_xlpm.steps,2),_xlpm.steps)))</f>
        <v>32</v>
      </c>
      <c r="D1702">
        <f>_xlfn.LET(_xlpm.dir,Table1[[#This Row],[Direction]],
IF(_xlpm.dir="L",
    IF(F1701-Table1[[#This Row],[Steps]]&lt;0,100+(F1701-Table1[[#This Row],[Steps]]),F1701-Table1[[#This Row],[Steps]]),
))</f>
        <v>0</v>
      </c>
      <c r="E1702">
        <f>_xlfn.LET(_xlpm.dir,Table1[[#This Row],[Direction]],
IF(_xlpm.dir="R",
    IF(F1701+Table1[[#This Row],[Steps]]&gt;99,(F1701+Table1[[#This Row],[Steps]])-100,F1701+Table1[[#This Row],[Steps]]),
))</f>
        <v>0</v>
      </c>
      <c r="F1702">
        <f>IF(Table1[[#This Row],[New Pos L]]&lt;&gt;0,Table1[[#This Row],[New Pos L]],Table1[[#This Row],[New Pos R]])</f>
        <v>0</v>
      </c>
    </row>
    <row r="1703" spans="1:6" ht="16" x14ac:dyDescent="0.2">
      <c r="A1703" s="1" t="s">
        <v>6</v>
      </c>
      <c r="B1703" t="str">
        <f>LEFT(Table1[[#This Row],[Input]],1)</f>
        <v>R</v>
      </c>
      <c r="C1703">
        <f>_xlfn.LET(_xlpm.steps,SUBSTITUTE(Table1[[#This Row],[Input]],Table1[[#This Row],[Direction]],""),VALUE(IF(LEN(_xlpm.steps)&gt;2,RIGHT(_xlpm.steps,2),_xlpm.steps)))</f>
        <v>49</v>
      </c>
      <c r="D1703">
        <f>_xlfn.LET(_xlpm.dir,Table1[[#This Row],[Direction]],
IF(_xlpm.dir="L",
    IF(F1702-Table1[[#This Row],[Steps]]&lt;0,100+(F1702-Table1[[#This Row],[Steps]]),F1702-Table1[[#This Row],[Steps]]),
))</f>
        <v>0</v>
      </c>
      <c r="E1703">
        <f>_xlfn.LET(_xlpm.dir,Table1[[#This Row],[Direction]],
IF(_xlpm.dir="R",
    IF(F1702+Table1[[#This Row],[Steps]]&gt;99,(F1702+Table1[[#This Row],[Steps]])-100,F1702+Table1[[#This Row],[Steps]]),
))</f>
        <v>49</v>
      </c>
      <c r="F1703">
        <f>IF(Table1[[#This Row],[New Pos L]]&lt;&gt;0,Table1[[#This Row],[New Pos L]],Table1[[#This Row],[New Pos R]])</f>
        <v>49</v>
      </c>
    </row>
    <row r="1704" spans="1:6" ht="16" x14ac:dyDescent="0.2">
      <c r="A1704" s="1" t="s">
        <v>24</v>
      </c>
      <c r="B1704" t="str">
        <f>LEFT(Table1[[#This Row],[Input]],1)</f>
        <v>L</v>
      </c>
      <c r="C1704">
        <f>_xlfn.LET(_xlpm.steps,SUBSTITUTE(Table1[[#This Row],[Input]],Table1[[#This Row],[Direction]],""),VALUE(IF(LEN(_xlpm.steps)&gt;2,RIGHT(_xlpm.steps,2),_xlpm.steps)))</f>
        <v>49</v>
      </c>
      <c r="D1704">
        <f>_xlfn.LET(_xlpm.dir,Table1[[#This Row],[Direction]],
IF(_xlpm.dir="L",
    IF(F1703-Table1[[#This Row],[Steps]]&lt;0,100+(F1703-Table1[[#This Row],[Steps]]),F1703-Table1[[#This Row],[Steps]]),
))</f>
        <v>0</v>
      </c>
      <c r="E1704">
        <f>_xlfn.LET(_xlpm.dir,Table1[[#This Row],[Direction]],
IF(_xlpm.dir="R",
    IF(F1703+Table1[[#This Row],[Steps]]&gt;99,(F1703+Table1[[#This Row],[Steps]])-100,F1703+Table1[[#This Row],[Steps]]),
))</f>
        <v>0</v>
      </c>
      <c r="F1704">
        <f>IF(Table1[[#This Row],[New Pos L]]&lt;&gt;0,Table1[[#This Row],[New Pos L]],Table1[[#This Row],[New Pos R]])</f>
        <v>0</v>
      </c>
    </row>
    <row r="1705" spans="1:6" ht="16" x14ac:dyDescent="0.2">
      <c r="A1705" s="1" t="s">
        <v>127</v>
      </c>
      <c r="B1705" t="str">
        <f>LEFT(Table1[[#This Row],[Input]],1)</f>
        <v>L</v>
      </c>
      <c r="C1705">
        <f>_xlfn.LET(_xlpm.steps,SUBSTITUTE(Table1[[#This Row],[Input]],Table1[[#This Row],[Direction]],""),VALUE(IF(LEN(_xlpm.steps)&gt;2,RIGHT(_xlpm.steps,2),_xlpm.steps)))</f>
        <v>62</v>
      </c>
      <c r="D1705">
        <f>_xlfn.LET(_xlpm.dir,Table1[[#This Row],[Direction]],
IF(_xlpm.dir="L",
    IF(F1704-Table1[[#This Row],[Steps]]&lt;0,100+(F1704-Table1[[#This Row],[Steps]]),F1704-Table1[[#This Row],[Steps]]),
))</f>
        <v>38</v>
      </c>
      <c r="E1705">
        <f>_xlfn.LET(_xlpm.dir,Table1[[#This Row],[Direction]],
IF(_xlpm.dir="R",
    IF(F1704+Table1[[#This Row],[Steps]]&gt;99,(F1704+Table1[[#This Row],[Steps]])-100,F1704+Table1[[#This Row],[Steps]]),
))</f>
        <v>0</v>
      </c>
      <c r="F1705">
        <f>IF(Table1[[#This Row],[New Pos L]]&lt;&gt;0,Table1[[#This Row],[New Pos L]],Table1[[#This Row],[New Pos R]])</f>
        <v>38</v>
      </c>
    </row>
    <row r="1706" spans="1:6" ht="16" x14ac:dyDescent="0.2">
      <c r="A1706" s="1" t="s">
        <v>64</v>
      </c>
      <c r="B1706" t="str">
        <f>LEFT(Table1[[#This Row],[Input]],1)</f>
        <v>R</v>
      </c>
      <c r="C1706">
        <f>_xlfn.LET(_xlpm.steps,SUBSTITUTE(Table1[[#This Row],[Input]],Table1[[#This Row],[Direction]],""),VALUE(IF(LEN(_xlpm.steps)&gt;2,RIGHT(_xlpm.steps,2),_xlpm.steps)))</f>
        <v>10</v>
      </c>
      <c r="D1706">
        <f>_xlfn.LET(_xlpm.dir,Table1[[#This Row],[Direction]],
IF(_xlpm.dir="L",
    IF(F1705-Table1[[#This Row],[Steps]]&lt;0,100+(F1705-Table1[[#This Row],[Steps]]),F1705-Table1[[#This Row],[Steps]]),
))</f>
        <v>0</v>
      </c>
      <c r="E1706">
        <f>_xlfn.LET(_xlpm.dir,Table1[[#This Row],[Direction]],
IF(_xlpm.dir="R",
    IF(F1705+Table1[[#This Row],[Steps]]&gt;99,(F1705+Table1[[#This Row],[Steps]])-100,F1705+Table1[[#This Row],[Steps]]),
))</f>
        <v>48</v>
      </c>
      <c r="F1706">
        <f>IF(Table1[[#This Row],[New Pos L]]&lt;&gt;0,Table1[[#This Row],[New Pos L]],Table1[[#This Row],[New Pos R]])</f>
        <v>48</v>
      </c>
    </row>
    <row r="1707" spans="1:6" ht="16" x14ac:dyDescent="0.2">
      <c r="A1707" s="1" t="s">
        <v>42</v>
      </c>
      <c r="B1707" t="str">
        <f>LEFT(Table1[[#This Row],[Input]],1)</f>
        <v>L</v>
      </c>
      <c r="C1707">
        <f>_xlfn.LET(_xlpm.steps,SUBSTITUTE(Table1[[#This Row],[Input]],Table1[[#This Row],[Direction]],""),VALUE(IF(LEN(_xlpm.steps)&gt;2,RIGHT(_xlpm.steps,2),_xlpm.steps)))</f>
        <v>27</v>
      </c>
      <c r="D1707">
        <f>_xlfn.LET(_xlpm.dir,Table1[[#This Row],[Direction]],
IF(_xlpm.dir="L",
    IF(F1706-Table1[[#This Row],[Steps]]&lt;0,100+(F1706-Table1[[#This Row],[Steps]]),F1706-Table1[[#This Row],[Steps]]),
))</f>
        <v>21</v>
      </c>
      <c r="E1707">
        <f>_xlfn.LET(_xlpm.dir,Table1[[#This Row],[Direction]],
IF(_xlpm.dir="R",
    IF(F1706+Table1[[#This Row],[Steps]]&gt;99,(F1706+Table1[[#This Row],[Steps]])-100,F1706+Table1[[#This Row],[Steps]]),
))</f>
        <v>0</v>
      </c>
      <c r="F1707">
        <f>IF(Table1[[#This Row],[New Pos L]]&lt;&gt;0,Table1[[#This Row],[New Pos L]],Table1[[#This Row],[New Pos R]])</f>
        <v>21</v>
      </c>
    </row>
    <row r="1708" spans="1:6" ht="16" x14ac:dyDescent="0.2">
      <c r="A1708" s="1" t="s">
        <v>385</v>
      </c>
      <c r="B1708" t="str">
        <f>LEFT(Table1[[#This Row],[Input]],1)</f>
        <v>R</v>
      </c>
      <c r="C1708">
        <f>_xlfn.LET(_xlpm.steps,SUBSTITUTE(Table1[[#This Row],[Input]],Table1[[#This Row],[Direction]],""),VALUE(IF(LEN(_xlpm.steps)&gt;2,RIGHT(_xlpm.steps,2),_xlpm.steps)))</f>
        <v>93</v>
      </c>
      <c r="D1708">
        <f>_xlfn.LET(_xlpm.dir,Table1[[#This Row],[Direction]],
IF(_xlpm.dir="L",
    IF(F1707-Table1[[#This Row],[Steps]]&lt;0,100+(F1707-Table1[[#This Row],[Steps]]),F1707-Table1[[#This Row],[Steps]]),
))</f>
        <v>0</v>
      </c>
      <c r="E1708">
        <f>_xlfn.LET(_xlpm.dir,Table1[[#This Row],[Direction]],
IF(_xlpm.dir="R",
    IF(F1707+Table1[[#This Row],[Steps]]&gt;99,(F1707+Table1[[#This Row],[Steps]])-100,F1707+Table1[[#This Row],[Steps]]),
))</f>
        <v>14</v>
      </c>
      <c r="F1708">
        <f>IF(Table1[[#This Row],[New Pos L]]&lt;&gt;0,Table1[[#This Row],[New Pos L]],Table1[[#This Row],[New Pos R]])</f>
        <v>14</v>
      </c>
    </row>
    <row r="1709" spans="1:6" ht="16" x14ac:dyDescent="0.2">
      <c r="A1709" s="1" t="s">
        <v>122</v>
      </c>
      <c r="B1709" t="str">
        <f>LEFT(Table1[[#This Row],[Input]],1)</f>
        <v>R</v>
      </c>
      <c r="C1709">
        <f>_xlfn.LET(_xlpm.steps,SUBSTITUTE(Table1[[#This Row],[Input]],Table1[[#This Row],[Direction]],""),VALUE(IF(LEN(_xlpm.steps)&gt;2,RIGHT(_xlpm.steps,2),_xlpm.steps)))</f>
        <v>75</v>
      </c>
      <c r="D1709">
        <f>_xlfn.LET(_xlpm.dir,Table1[[#This Row],[Direction]],
IF(_xlpm.dir="L",
    IF(F1708-Table1[[#This Row],[Steps]]&lt;0,100+(F1708-Table1[[#This Row],[Steps]]),F1708-Table1[[#This Row],[Steps]]),
))</f>
        <v>0</v>
      </c>
      <c r="E1709">
        <f>_xlfn.LET(_xlpm.dir,Table1[[#This Row],[Direction]],
IF(_xlpm.dir="R",
    IF(F1708+Table1[[#This Row],[Steps]]&gt;99,(F1708+Table1[[#This Row],[Steps]])-100,F1708+Table1[[#This Row],[Steps]]),
))</f>
        <v>89</v>
      </c>
      <c r="F1709">
        <f>IF(Table1[[#This Row],[New Pos L]]&lt;&gt;0,Table1[[#This Row],[New Pos L]],Table1[[#This Row],[New Pos R]])</f>
        <v>89</v>
      </c>
    </row>
    <row r="1710" spans="1:6" ht="16" x14ac:dyDescent="0.2">
      <c r="A1710" s="1" t="s">
        <v>68</v>
      </c>
      <c r="B1710" t="str">
        <f>LEFT(Table1[[#This Row],[Input]],1)</f>
        <v>L</v>
      </c>
      <c r="C1710">
        <f>_xlfn.LET(_xlpm.steps,SUBSTITUTE(Table1[[#This Row],[Input]],Table1[[#This Row],[Direction]],""),VALUE(IF(LEN(_xlpm.steps)&gt;2,RIGHT(_xlpm.steps,2),_xlpm.steps)))</f>
        <v>80</v>
      </c>
      <c r="D1710">
        <f>_xlfn.LET(_xlpm.dir,Table1[[#This Row],[Direction]],
IF(_xlpm.dir="L",
    IF(F1709-Table1[[#This Row],[Steps]]&lt;0,100+(F1709-Table1[[#This Row],[Steps]]),F1709-Table1[[#This Row],[Steps]]),
))</f>
        <v>9</v>
      </c>
      <c r="E1710">
        <f>_xlfn.LET(_xlpm.dir,Table1[[#This Row],[Direction]],
IF(_xlpm.dir="R",
    IF(F1709+Table1[[#This Row],[Steps]]&gt;99,(F1709+Table1[[#This Row],[Steps]])-100,F1709+Table1[[#This Row],[Steps]]),
))</f>
        <v>0</v>
      </c>
      <c r="F1710">
        <f>IF(Table1[[#This Row],[New Pos L]]&lt;&gt;0,Table1[[#This Row],[New Pos L]],Table1[[#This Row],[New Pos R]])</f>
        <v>9</v>
      </c>
    </row>
    <row r="1711" spans="1:6" ht="16" x14ac:dyDescent="0.2">
      <c r="A1711" s="1" t="s">
        <v>9</v>
      </c>
      <c r="B1711" t="str">
        <f>LEFT(Table1[[#This Row],[Input]],1)</f>
        <v>L</v>
      </c>
      <c r="C1711">
        <f>_xlfn.LET(_xlpm.steps,SUBSTITUTE(Table1[[#This Row],[Input]],Table1[[#This Row],[Direction]],""),VALUE(IF(LEN(_xlpm.steps)&gt;2,RIGHT(_xlpm.steps,2),_xlpm.steps)))</f>
        <v>9</v>
      </c>
      <c r="D1711">
        <f>_xlfn.LET(_xlpm.dir,Table1[[#This Row],[Direction]],
IF(_xlpm.dir="L",
    IF(F1710-Table1[[#This Row],[Steps]]&lt;0,100+(F1710-Table1[[#This Row],[Steps]]),F1710-Table1[[#This Row],[Steps]]),
))</f>
        <v>0</v>
      </c>
      <c r="E1711">
        <f>_xlfn.LET(_xlpm.dir,Table1[[#This Row],[Direction]],
IF(_xlpm.dir="R",
    IF(F1710+Table1[[#This Row],[Steps]]&gt;99,(F1710+Table1[[#This Row],[Steps]])-100,F1710+Table1[[#This Row],[Steps]]),
))</f>
        <v>0</v>
      </c>
      <c r="F1711">
        <f>IF(Table1[[#This Row],[New Pos L]]&lt;&gt;0,Table1[[#This Row],[New Pos L]],Table1[[#This Row],[New Pos R]])</f>
        <v>0</v>
      </c>
    </row>
    <row r="1712" spans="1:6" ht="16" x14ac:dyDescent="0.2">
      <c r="A1712" s="1" t="s">
        <v>141</v>
      </c>
      <c r="B1712" t="str">
        <f>LEFT(Table1[[#This Row],[Input]],1)</f>
        <v>L</v>
      </c>
      <c r="C1712">
        <f>_xlfn.LET(_xlpm.steps,SUBSTITUTE(Table1[[#This Row],[Input]],Table1[[#This Row],[Direction]],""),VALUE(IF(LEN(_xlpm.steps)&gt;2,RIGHT(_xlpm.steps,2),_xlpm.steps)))</f>
        <v>90</v>
      </c>
      <c r="D1712">
        <f>_xlfn.LET(_xlpm.dir,Table1[[#This Row],[Direction]],
IF(_xlpm.dir="L",
    IF(F1711-Table1[[#This Row],[Steps]]&lt;0,100+(F1711-Table1[[#This Row],[Steps]]),F1711-Table1[[#This Row],[Steps]]),
))</f>
        <v>10</v>
      </c>
      <c r="E1712">
        <f>_xlfn.LET(_xlpm.dir,Table1[[#This Row],[Direction]],
IF(_xlpm.dir="R",
    IF(F1711+Table1[[#This Row],[Steps]]&gt;99,(F1711+Table1[[#This Row],[Steps]])-100,F1711+Table1[[#This Row],[Steps]]),
))</f>
        <v>0</v>
      </c>
      <c r="F1712">
        <f>IF(Table1[[#This Row],[New Pos L]]&lt;&gt;0,Table1[[#This Row],[New Pos L]],Table1[[#This Row],[New Pos R]])</f>
        <v>10</v>
      </c>
    </row>
    <row r="1713" spans="1:6" ht="16" x14ac:dyDescent="0.2">
      <c r="A1713" s="1" t="s">
        <v>487</v>
      </c>
      <c r="B1713" t="str">
        <f>LEFT(Table1[[#This Row],[Input]],1)</f>
        <v>R</v>
      </c>
      <c r="C1713">
        <f>_xlfn.LET(_xlpm.steps,SUBSTITUTE(Table1[[#This Row],[Input]],Table1[[#This Row],[Direction]],""),VALUE(IF(LEN(_xlpm.steps)&gt;2,RIGHT(_xlpm.steps,2),_xlpm.steps)))</f>
        <v>90</v>
      </c>
      <c r="D1713">
        <f>_xlfn.LET(_xlpm.dir,Table1[[#This Row],[Direction]],
IF(_xlpm.dir="L",
    IF(F1712-Table1[[#This Row],[Steps]]&lt;0,100+(F1712-Table1[[#This Row],[Steps]]),F1712-Table1[[#This Row],[Steps]]),
))</f>
        <v>0</v>
      </c>
      <c r="E1713">
        <f>_xlfn.LET(_xlpm.dir,Table1[[#This Row],[Direction]],
IF(_xlpm.dir="R",
    IF(F1712+Table1[[#This Row],[Steps]]&gt;99,(F1712+Table1[[#This Row],[Steps]])-100,F1712+Table1[[#This Row],[Steps]]),
))</f>
        <v>0</v>
      </c>
      <c r="F1713">
        <f>IF(Table1[[#This Row],[New Pos L]]&lt;&gt;0,Table1[[#This Row],[New Pos L]],Table1[[#This Row],[New Pos R]])</f>
        <v>0</v>
      </c>
    </row>
    <row r="1714" spans="1:6" ht="16" x14ac:dyDescent="0.2">
      <c r="A1714" s="1" t="s">
        <v>69</v>
      </c>
      <c r="B1714" t="str">
        <f>LEFT(Table1[[#This Row],[Input]],1)</f>
        <v>R</v>
      </c>
      <c r="C1714">
        <f>_xlfn.LET(_xlpm.steps,SUBSTITUTE(Table1[[#This Row],[Input]],Table1[[#This Row],[Direction]],""),VALUE(IF(LEN(_xlpm.steps)&gt;2,RIGHT(_xlpm.steps,2),_xlpm.steps)))</f>
        <v>27</v>
      </c>
      <c r="D1714">
        <f>_xlfn.LET(_xlpm.dir,Table1[[#This Row],[Direction]],
IF(_xlpm.dir="L",
    IF(F1713-Table1[[#This Row],[Steps]]&lt;0,100+(F1713-Table1[[#This Row],[Steps]]),F1713-Table1[[#This Row],[Steps]]),
))</f>
        <v>0</v>
      </c>
      <c r="E1714">
        <f>_xlfn.LET(_xlpm.dir,Table1[[#This Row],[Direction]],
IF(_xlpm.dir="R",
    IF(F1713+Table1[[#This Row],[Steps]]&gt;99,(F1713+Table1[[#This Row],[Steps]])-100,F1713+Table1[[#This Row],[Steps]]),
))</f>
        <v>27</v>
      </c>
      <c r="F1714">
        <f>IF(Table1[[#This Row],[New Pos L]]&lt;&gt;0,Table1[[#This Row],[New Pos L]],Table1[[#This Row],[New Pos R]])</f>
        <v>27</v>
      </c>
    </row>
    <row r="1715" spans="1:6" ht="16" x14ac:dyDescent="0.2">
      <c r="A1715" s="1" t="s">
        <v>186</v>
      </c>
      <c r="B1715" t="str">
        <f>LEFT(Table1[[#This Row],[Input]],1)</f>
        <v>L</v>
      </c>
      <c r="C1715">
        <f>_xlfn.LET(_xlpm.steps,SUBSTITUTE(Table1[[#This Row],[Input]],Table1[[#This Row],[Direction]],""),VALUE(IF(LEN(_xlpm.steps)&gt;2,RIGHT(_xlpm.steps,2),_xlpm.steps)))</f>
        <v>84</v>
      </c>
      <c r="D1715">
        <f>_xlfn.LET(_xlpm.dir,Table1[[#This Row],[Direction]],
IF(_xlpm.dir="L",
    IF(F1714-Table1[[#This Row],[Steps]]&lt;0,100+(F1714-Table1[[#This Row],[Steps]]),F1714-Table1[[#This Row],[Steps]]),
))</f>
        <v>43</v>
      </c>
      <c r="E1715">
        <f>_xlfn.LET(_xlpm.dir,Table1[[#This Row],[Direction]],
IF(_xlpm.dir="R",
    IF(F1714+Table1[[#This Row],[Steps]]&gt;99,(F1714+Table1[[#This Row],[Steps]])-100,F1714+Table1[[#This Row],[Steps]]),
))</f>
        <v>0</v>
      </c>
      <c r="F1715">
        <f>IF(Table1[[#This Row],[New Pos L]]&lt;&gt;0,Table1[[#This Row],[New Pos L]],Table1[[#This Row],[New Pos R]])</f>
        <v>43</v>
      </c>
    </row>
    <row r="1716" spans="1:6" ht="16" x14ac:dyDescent="0.2">
      <c r="A1716" s="1" t="s">
        <v>205</v>
      </c>
      <c r="B1716" t="str">
        <f>LEFT(Table1[[#This Row],[Input]],1)</f>
        <v>R</v>
      </c>
      <c r="C1716">
        <f>_xlfn.LET(_xlpm.steps,SUBSTITUTE(Table1[[#This Row],[Input]],Table1[[#This Row],[Direction]],""),VALUE(IF(LEN(_xlpm.steps)&gt;2,RIGHT(_xlpm.steps,2),_xlpm.steps)))</f>
        <v>83</v>
      </c>
      <c r="D1716">
        <f>_xlfn.LET(_xlpm.dir,Table1[[#This Row],[Direction]],
IF(_xlpm.dir="L",
    IF(F1715-Table1[[#This Row],[Steps]]&lt;0,100+(F1715-Table1[[#This Row],[Steps]]),F1715-Table1[[#This Row],[Steps]]),
))</f>
        <v>0</v>
      </c>
      <c r="E1716">
        <f>_xlfn.LET(_xlpm.dir,Table1[[#This Row],[Direction]],
IF(_xlpm.dir="R",
    IF(F1715+Table1[[#This Row],[Steps]]&gt;99,(F1715+Table1[[#This Row],[Steps]])-100,F1715+Table1[[#This Row],[Steps]]),
))</f>
        <v>26</v>
      </c>
      <c r="F1716">
        <f>IF(Table1[[#This Row],[New Pos L]]&lt;&gt;0,Table1[[#This Row],[New Pos L]],Table1[[#This Row],[New Pos R]])</f>
        <v>26</v>
      </c>
    </row>
    <row r="1717" spans="1:6" ht="16" x14ac:dyDescent="0.2">
      <c r="A1717" s="1" t="s">
        <v>488</v>
      </c>
      <c r="B1717" t="str">
        <f>LEFT(Table1[[#This Row],[Input]],1)</f>
        <v>R</v>
      </c>
      <c r="C1717">
        <f>_xlfn.LET(_xlpm.steps,SUBSTITUTE(Table1[[#This Row],[Input]],Table1[[#This Row],[Direction]],""),VALUE(IF(LEN(_xlpm.steps)&gt;2,RIGHT(_xlpm.steps,2),_xlpm.steps)))</f>
        <v>59</v>
      </c>
      <c r="D1717">
        <f>_xlfn.LET(_xlpm.dir,Table1[[#This Row],[Direction]],
IF(_xlpm.dir="L",
    IF(F1716-Table1[[#This Row],[Steps]]&lt;0,100+(F1716-Table1[[#This Row],[Steps]]),F1716-Table1[[#This Row],[Steps]]),
))</f>
        <v>0</v>
      </c>
      <c r="E1717">
        <f>_xlfn.LET(_xlpm.dir,Table1[[#This Row],[Direction]],
IF(_xlpm.dir="R",
    IF(F1716+Table1[[#This Row],[Steps]]&gt;99,(F1716+Table1[[#This Row],[Steps]])-100,F1716+Table1[[#This Row],[Steps]]),
))</f>
        <v>85</v>
      </c>
      <c r="F1717">
        <f>IF(Table1[[#This Row],[New Pos L]]&lt;&gt;0,Table1[[#This Row],[New Pos L]],Table1[[#This Row],[New Pos R]])</f>
        <v>85</v>
      </c>
    </row>
    <row r="1718" spans="1:6" ht="16" x14ac:dyDescent="0.2">
      <c r="A1718" s="1" t="s">
        <v>205</v>
      </c>
      <c r="B1718" t="str">
        <f>LEFT(Table1[[#This Row],[Input]],1)</f>
        <v>R</v>
      </c>
      <c r="C1718">
        <f>_xlfn.LET(_xlpm.steps,SUBSTITUTE(Table1[[#This Row],[Input]],Table1[[#This Row],[Direction]],""),VALUE(IF(LEN(_xlpm.steps)&gt;2,RIGHT(_xlpm.steps,2),_xlpm.steps)))</f>
        <v>83</v>
      </c>
      <c r="D1718">
        <f>_xlfn.LET(_xlpm.dir,Table1[[#This Row],[Direction]],
IF(_xlpm.dir="L",
    IF(F1717-Table1[[#This Row],[Steps]]&lt;0,100+(F1717-Table1[[#This Row],[Steps]]),F1717-Table1[[#This Row],[Steps]]),
))</f>
        <v>0</v>
      </c>
      <c r="E1718">
        <f>_xlfn.LET(_xlpm.dir,Table1[[#This Row],[Direction]],
IF(_xlpm.dir="R",
    IF(F1717+Table1[[#This Row],[Steps]]&gt;99,(F1717+Table1[[#This Row],[Steps]])-100,F1717+Table1[[#This Row],[Steps]]),
))</f>
        <v>68</v>
      </c>
      <c r="F1718">
        <f>IF(Table1[[#This Row],[New Pos L]]&lt;&gt;0,Table1[[#This Row],[New Pos L]],Table1[[#This Row],[New Pos R]])</f>
        <v>68</v>
      </c>
    </row>
    <row r="1719" spans="1:6" ht="16" x14ac:dyDescent="0.2">
      <c r="A1719" s="1" t="s">
        <v>320</v>
      </c>
      <c r="B1719" t="str">
        <f>LEFT(Table1[[#This Row],[Input]],1)</f>
        <v>L</v>
      </c>
      <c r="C1719">
        <f>_xlfn.LET(_xlpm.steps,SUBSTITUTE(Table1[[#This Row],[Input]],Table1[[#This Row],[Direction]],""),VALUE(IF(LEN(_xlpm.steps)&gt;2,RIGHT(_xlpm.steps,2),_xlpm.steps)))</f>
        <v>69</v>
      </c>
      <c r="D1719">
        <f>_xlfn.LET(_xlpm.dir,Table1[[#This Row],[Direction]],
IF(_xlpm.dir="L",
    IF(F1718-Table1[[#This Row],[Steps]]&lt;0,100+(F1718-Table1[[#This Row],[Steps]]),F1718-Table1[[#This Row],[Steps]]),
))</f>
        <v>99</v>
      </c>
      <c r="E1719">
        <f>_xlfn.LET(_xlpm.dir,Table1[[#This Row],[Direction]],
IF(_xlpm.dir="R",
    IF(F1718+Table1[[#This Row],[Steps]]&gt;99,(F1718+Table1[[#This Row],[Steps]])-100,F1718+Table1[[#This Row],[Steps]]),
))</f>
        <v>0</v>
      </c>
      <c r="F1719">
        <f>IF(Table1[[#This Row],[New Pos L]]&lt;&gt;0,Table1[[#This Row],[New Pos L]],Table1[[#This Row],[New Pos R]])</f>
        <v>99</v>
      </c>
    </row>
    <row r="1720" spans="1:6" ht="16" x14ac:dyDescent="0.2">
      <c r="A1720" s="1" t="s">
        <v>106</v>
      </c>
      <c r="B1720" t="str">
        <f>LEFT(Table1[[#This Row],[Input]],1)</f>
        <v>R</v>
      </c>
      <c r="C1720">
        <f>_xlfn.LET(_xlpm.steps,SUBSTITUTE(Table1[[#This Row],[Input]],Table1[[#This Row],[Direction]],""),VALUE(IF(LEN(_xlpm.steps)&gt;2,RIGHT(_xlpm.steps,2),_xlpm.steps)))</f>
        <v>41</v>
      </c>
      <c r="D1720">
        <f>_xlfn.LET(_xlpm.dir,Table1[[#This Row],[Direction]],
IF(_xlpm.dir="L",
    IF(F1719-Table1[[#This Row],[Steps]]&lt;0,100+(F1719-Table1[[#This Row],[Steps]]),F1719-Table1[[#This Row],[Steps]]),
))</f>
        <v>0</v>
      </c>
      <c r="E1720">
        <f>_xlfn.LET(_xlpm.dir,Table1[[#This Row],[Direction]],
IF(_xlpm.dir="R",
    IF(F1719+Table1[[#This Row],[Steps]]&gt;99,(F1719+Table1[[#This Row],[Steps]])-100,F1719+Table1[[#This Row],[Steps]]),
))</f>
        <v>40</v>
      </c>
      <c r="F1720">
        <f>IF(Table1[[#This Row],[New Pos L]]&lt;&gt;0,Table1[[#This Row],[New Pos L]],Table1[[#This Row],[New Pos R]])</f>
        <v>40</v>
      </c>
    </row>
    <row r="1721" spans="1:6" ht="16" x14ac:dyDescent="0.2">
      <c r="A1721" s="1" t="s">
        <v>39</v>
      </c>
      <c r="B1721" t="str">
        <f>LEFT(Table1[[#This Row],[Input]],1)</f>
        <v>R</v>
      </c>
      <c r="C1721">
        <f>_xlfn.LET(_xlpm.steps,SUBSTITUTE(Table1[[#This Row],[Input]],Table1[[#This Row],[Direction]],""),VALUE(IF(LEN(_xlpm.steps)&gt;2,RIGHT(_xlpm.steps,2),_xlpm.steps)))</f>
        <v>32</v>
      </c>
      <c r="D1721">
        <f>_xlfn.LET(_xlpm.dir,Table1[[#This Row],[Direction]],
IF(_xlpm.dir="L",
    IF(F1720-Table1[[#This Row],[Steps]]&lt;0,100+(F1720-Table1[[#This Row],[Steps]]),F1720-Table1[[#This Row],[Steps]]),
))</f>
        <v>0</v>
      </c>
      <c r="E1721">
        <f>_xlfn.LET(_xlpm.dir,Table1[[#This Row],[Direction]],
IF(_xlpm.dir="R",
    IF(F1720+Table1[[#This Row],[Steps]]&gt;99,(F1720+Table1[[#This Row],[Steps]])-100,F1720+Table1[[#This Row],[Steps]]),
))</f>
        <v>72</v>
      </c>
      <c r="F1721">
        <f>IF(Table1[[#This Row],[New Pos L]]&lt;&gt;0,Table1[[#This Row],[New Pos L]],Table1[[#This Row],[New Pos R]])</f>
        <v>72</v>
      </c>
    </row>
    <row r="1722" spans="1:6" ht="16" x14ac:dyDescent="0.2">
      <c r="A1722" s="1" t="s">
        <v>79</v>
      </c>
      <c r="B1722" t="str">
        <f>LEFT(Table1[[#This Row],[Input]],1)</f>
        <v>L</v>
      </c>
      <c r="C1722">
        <f>_xlfn.LET(_xlpm.steps,SUBSTITUTE(Table1[[#This Row],[Input]],Table1[[#This Row],[Direction]],""),VALUE(IF(LEN(_xlpm.steps)&gt;2,RIGHT(_xlpm.steps,2),_xlpm.steps)))</f>
        <v>45</v>
      </c>
      <c r="D1722">
        <f>_xlfn.LET(_xlpm.dir,Table1[[#This Row],[Direction]],
IF(_xlpm.dir="L",
    IF(F1721-Table1[[#This Row],[Steps]]&lt;0,100+(F1721-Table1[[#This Row],[Steps]]),F1721-Table1[[#This Row],[Steps]]),
))</f>
        <v>27</v>
      </c>
      <c r="E1722">
        <f>_xlfn.LET(_xlpm.dir,Table1[[#This Row],[Direction]],
IF(_xlpm.dir="R",
    IF(F1721+Table1[[#This Row],[Steps]]&gt;99,(F1721+Table1[[#This Row],[Steps]])-100,F1721+Table1[[#This Row],[Steps]]),
))</f>
        <v>0</v>
      </c>
      <c r="F1722">
        <f>IF(Table1[[#This Row],[New Pos L]]&lt;&gt;0,Table1[[#This Row],[New Pos L]],Table1[[#This Row],[New Pos R]])</f>
        <v>27</v>
      </c>
    </row>
    <row r="1723" spans="1:6" ht="16" x14ac:dyDescent="0.2">
      <c r="A1723" s="1" t="s">
        <v>234</v>
      </c>
      <c r="B1723" t="str">
        <f>LEFT(Table1[[#This Row],[Input]],1)</f>
        <v>R</v>
      </c>
      <c r="C1723">
        <f>_xlfn.LET(_xlpm.steps,SUBSTITUTE(Table1[[#This Row],[Input]],Table1[[#This Row],[Direction]],""),VALUE(IF(LEN(_xlpm.steps)&gt;2,RIGHT(_xlpm.steps,2),_xlpm.steps)))</f>
        <v>82</v>
      </c>
      <c r="D1723">
        <f>_xlfn.LET(_xlpm.dir,Table1[[#This Row],[Direction]],
IF(_xlpm.dir="L",
    IF(F1722-Table1[[#This Row],[Steps]]&lt;0,100+(F1722-Table1[[#This Row],[Steps]]),F1722-Table1[[#This Row],[Steps]]),
))</f>
        <v>0</v>
      </c>
      <c r="E1723">
        <f>_xlfn.LET(_xlpm.dir,Table1[[#This Row],[Direction]],
IF(_xlpm.dir="R",
    IF(F1722+Table1[[#This Row],[Steps]]&gt;99,(F1722+Table1[[#This Row],[Steps]])-100,F1722+Table1[[#This Row],[Steps]]),
))</f>
        <v>9</v>
      </c>
      <c r="F1723">
        <f>IF(Table1[[#This Row],[New Pos L]]&lt;&gt;0,Table1[[#This Row],[New Pos L]],Table1[[#This Row],[New Pos R]])</f>
        <v>9</v>
      </c>
    </row>
    <row r="1724" spans="1:6" ht="16" x14ac:dyDescent="0.2">
      <c r="A1724" s="1" t="s">
        <v>489</v>
      </c>
      <c r="B1724" t="str">
        <f>LEFT(Table1[[#This Row],[Input]],1)</f>
        <v>L</v>
      </c>
      <c r="C1724">
        <f>_xlfn.LET(_xlpm.steps,SUBSTITUTE(Table1[[#This Row],[Input]],Table1[[#This Row],[Direction]],""),VALUE(IF(LEN(_xlpm.steps)&gt;2,RIGHT(_xlpm.steps,2),_xlpm.steps)))</f>
        <v>58</v>
      </c>
      <c r="D1724">
        <f>_xlfn.LET(_xlpm.dir,Table1[[#This Row],[Direction]],
IF(_xlpm.dir="L",
    IF(F1723-Table1[[#This Row],[Steps]]&lt;0,100+(F1723-Table1[[#This Row],[Steps]]),F1723-Table1[[#This Row],[Steps]]),
))</f>
        <v>51</v>
      </c>
      <c r="E1724">
        <f>_xlfn.LET(_xlpm.dir,Table1[[#This Row],[Direction]],
IF(_xlpm.dir="R",
    IF(F1723+Table1[[#This Row],[Steps]]&gt;99,(F1723+Table1[[#This Row],[Steps]])-100,F1723+Table1[[#This Row],[Steps]]),
))</f>
        <v>0</v>
      </c>
      <c r="F1724">
        <f>IF(Table1[[#This Row],[New Pos L]]&lt;&gt;0,Table1[[#This Row],[New Pos L]],Table1[[#This Row],[New Pos R]])</f>
        <v>51</v>
      </c>
    </row>
    <row r="1725" spans="1:6" ht="16" x14ac:dyDescent="0.2">
      <c r="A1725" s="1" t="s">
        <v>490</v>
      </c>
      <c r="B1725" t="str">
        <f>LEFT(Table1[[#This Row],[Input]],1)</f>
        <v>R</v>
      </c>
      <c r="C1725">
        <f>_xlfn.LET(_xlpm.steps,SUBSTITUTE(Table1[[#This Row],[Input]],Table1[[#This Row],[Direction]],""),VALUE(IF(LEN(_xlpm.steps)&gt;2,RIGHT(_xlpm.steps,2),_xlpm.steps)))</f>
        <v>49</v>
      </c>
      <c r="D1725">
        <f>_xlfn.LET(_xlpm.dir,Table1[[#This Row],[Direction]],
IF(_xlpm.dir="L",
    IF(F1724-Table1[[#This Row],[Steps]]&lt;0,100+(F1724-Table1[[#This Row],[Steps]]),F1724-Table1[[#This Row],[Steps]]),
))</f>
        <v>0</v>
      </c>
      <c r="E1725">
        <f>_xlfn.LET(_xlpm.dir,Table1[[#This Row],[Direction]],
IF(_xlpm.dir="R",
    IF(F1724+Table1[[#This Row],[Steps]]&gt;99,(F1724+Table1[[#This Row],[Steps]])-100,F1724+Table1[[#This Row],[Steps]]),
))</f>
        <v>0</v>
      </c>
      <c r="F1725">
        <f>IF(Table1[[#This Row],[New Pos L]]&lt;&gt;0,Table1[[#This Row],[New Pos L]],Table1[[#This Row],[New Pos R]])</f>
        <v>0</v>
      </c>
    </row>
    <row r="1726" spans="1:6" ht="16" x14ac:dyDescent="0.2">
      <c r="A1726" s="1" t="s">
        <v>41</v>
      </c>
      <c r="B1726" t="str">
        <f>LEFT(Table1[[#This Row],[Input]],1)</f>
        <v>L</v>
      </c>
      <c r="C1726">
        <f>_xlfn.LET(_xlpm.steps,SUBSTITUTE(Table1[[#This Row],[Input]],Table1[[#This Row],[Direction]],""),VALUE(IF(LEN(_xlpm.steps)&gt;2,RIGHT(_xlpm.steps,2),_xlpm.steps)))</f>
        <v>7</v>
      </c>
      <c r="D1726">
        <f>_xlfn.LET(_xlpm.dir,Table1[[#This Row],[Direction]],
IF(_xlpm.dir="L",
    IF(F1725-Table1[[#This Row],[Steps]]&lt;0,100+(F1725-Table1[[#This Row],[Steps]]),F1725-Table1[[#This Row],[Steps]]),
))</f>
        <v>93</v>
      </c>
      <c r="E1726">
        <f>_xlfn.LET(_xlpm.dir,Table1[[#This Row],[Direction]],
IF(_xlpm.dir="R",
    IF(F1725+Table1[[#This Row],[Steps]]&gt;99,(F1725+Table1[[#This Row],[Steps]])-100,F1725+Table1[[#This Row],[Steps]]),
))</f>
        <v>0</v>
      </c>
      <c r="F1726">
        <f>IF(Table1[[#This Row],[New Pos L]]&lt;&gt;0,Table1[[#This Row],[New Pos L]],Table1[[#This Row],[New Pos R]])</f>
        <v>93</v>
      </c>
    </row>
    <row r="1727" spans="1:6" ht="16" x14ac:dyDescent="0.2">
      <c r="A1727" s="1" t="s">
        <v>278</v>
      </c>
      <c r="B1727" t="str">
        <f>LEFT(Table1[[#This Row],[Input]],1)</f>
        <v>L</v>
      </c>
      <c r="C1727">
        <f>_xlfn.LET(_xlpm.steps,SUBSTITUTE(Table1[[#This Row],[Input]],Table1[[#This Row],[Direction]],""),VALUE(IF(LEN(_xlpm.steps)&gt;2,RIGHT(_xlpm.steps,2),_xlpm.steps)))</f>
        <v>40</v>
      </c>
      <c r="D1727">
        <f>_xlfn.LET(_xlpm.dir,Table1[[#This Row],[Direction]],
IF(_xlpm.dir="L",
    IF(F1726-Table1[[#This Row],[Steps]]&lt;0,100+(F1726-Table1[[#This Row],[Steps]]),F1726-Table1[[#This Row],[Steps]]),
))</f>
        <v>53</v>
      </c>
      <c r="E1727">
        <f>_xlfn.LET(_xlpm.dir,Table1[[#This Row],[Direction]],
IF(_xlpm.dir="R",
    IF(F1726+Table1[[#This Row],[Steps]]&gt;99,(F1726+Table1[[#This Row],[Steps]])-100,F1726+Table1[[#This Row],[Steps]]),
))</f>
        <v>0</v>
      </c>
      <c r="F1727">
        <f>IF(Table1[[#This Row],[New Pos L]]&lt;&gt;0,Table1[[#This Row],[New Pos L]],Table1[[#This Row],[New Pos R]])</f>
        <v>53</v>
      </c>
    </row>
    <row r="1728" spans="1:6" ht="16" x14ac:dyDescent="0.2">
      <c r="A1728" s="1" t="s">
        <v>491</v>
      </c>
      <c r="B1728" t="str">
        <f>LEFT(Table1[[#This Row],[Input]],1)</f>
        <v>L</v>
      </c>
      <c r="C1728">
        <f>_xlfn.LET(_xlpm.steps,SUBSTITUTE(Table1[[#This Row],[Input]],Table1[[#This Row],[Direction]],""),VALUE(IF(LEN(_xlpm.steps)&gt;2,RIGHT(_xlpm.steps,2),_xlpm.steps)))</f>
        <v>63</v>
      </c>
      <c r="D1728">
        <f>_xlfn.LET(_xlpm.dir,Table1[[#This Row],[Direction]],
IF(_xlpm.dir="L",
    IF(F1727-Table1[[#This Row],[Steps]]&lt;0,100+(F1727-Table1[[#This Row],[Steps]]),F1727-Table1[[#This Row],[Steps]]),
))</f>
        <v>90</v>
      </c>
      <c r="E1728">
        <f>_xlfn.LET(_xlpm.dir,Table1[[#This Row],[Direction]],
IF(_xlpm.dir="R",
    IF(F1727+Table1[[#This Row],[Steps]]&gt;99,(F1727+Table1[[#This Row],[Steps]])-100,F1727+Table1[[#This Row],[Steps]]),
))</f>
        <v>0</v>
      </c>
      <c r="F1728">
        <f>IF(Table1[[#This Row],[New Pos L]]&lt;&gt;0,Table1[[#This Row],[New Pos L]],Table1[[#This Row],[New Pos R]])</f>
        <v>90</v>
      </c>
    </row>
    <row r="1729" spans="1:6" ht="16" x14ac:dyDescent="0.2">
      <c r="A1729" s="1" t="s">
        <v>492</v>
      </c>
      <c r="B1729" t="str">
        <f>LEFT(Table1[[#This Row],[Input]],1)</f>
        <v>L</v>
      </c>
      <c r="C1729">
        <f>_xlfn.LET(_xlpm.steps,SUBSTITUTE(Table1[[#This Row],[Input]],Table1[[#This Row],[Direction]],""),VALUE(IF(LEN(_xlpm.steps)&gt;2,RIGHT(_xlpm.steps,2),_xlpm.steps)))</f>
        <v>90</v>
      </c>
      <c r="D1729">
        <f>_xlfn.LET(_xlpm.dir,Table1[[#This Row],[Direction]],
IF(_xlpm.dir="L",
    IF(F1728-Table1[[#This Row],[Steps]]&lt;0,100+(F1728-Table1[[#This Row],[Steps]]),F1728-Table1[[#This Row],[Steps]]),
))</f>
        <v>0</v>
      </c>
      <c r="E1729">
        <f>_xlfn.LET(_xlpm.dir,Table1[[#This Row],[Direction]],
IF(_xlpm.dir="R",
    IF(F1728+Table1[[#This Row],[Steps]]&gt;99,(F1728+Table1[[#This Row],[Steps]])-100,F1728+Table1[[#This Row],[Steps]]),
))</f>
        <v>0</v>
      </c>
      <c r="F1729">
        <f>IF(Table1[[#This Row],[New Pos L]]&lt;&gt;0,Table1[[#This Row],[New Pos L]],Table1[[#This Row],[New Pos R]])</f>
        <v>0</v>
      </c>
    </row>
    <row r="1730" spans="1:6" ht="16" x14ac:dyDescent="0.2">
      <c r="A1730" s="1" t="s">
        <v>41</v>
      </c>
      <c r="B1730" t="str">
        <f>LEFT(Table1[[#This Row],[Input]],1)</f>
        <v>L</v>
      </c>
      <c r="C1730">
        <f>_xlfn.LET(_xlpm.steps,SUBSTITUTE(Table1[[#This Row],[Input]],Table1[[#This Row],[Direction]],""),VALUE(IF(LEN(_xlpm.steps)&gt;2,RIGHT(_xlpm.steps,2),_xlpm.steps)))</f>
        <v>7</v>
      </c>
      <c r="D1730">
        <f>_xlfn.LET(_xlpm.dir,Table1[[#This Row],[Direction]],
IF(_xlpm.dir="L",
    IF(F1729-Table1[[#This Row],[Steps]]&lt;0,100+(F1729-Table1[[#This Row],[Steps]]),F1729-Table1[[#This Row],[Steps]]),
))</f>
        <v>93</v>
      </c>
      <c r="E1730">
        <f>_xlfn.LET(_xlpm.dir,Table1[[#This Row],[Direction]],
IF(_xlpm.dir="R",
    IF(F1729+Table1[[#This Row],[Steps]]&gt;99,(F1729+Table1[[#This Row],[Steps]])-100,F1729+Table1[[#This Row],[Steps]]),
))</f>
        <v>0</v>
      </c>
      <c r="F1730">
        <f>IF(Table1[[#This Row],[New Pos L]]&lt;&gt;0,Table1[[#This Row],[New Pos L]],Table1[[#This Row],[New Pos R]])</f>
        <v>93</v>
      </c>
    </row>
    <row r="1731" spans="1:6" ht="16" x14ac:dyDescent="0.2">
      <c r="A1731" s="1" t="s">
        <v>493</v>
      </c>
      <c r="B1731" t="str">
        <f>LEFT(Table1[[#This Row],[Input]],1)</f>
        <v>L</v>
      </c>
      <c r="C1731">
        <f>_xlfn.LET(_xlpm.steps,SUBSTITUTE(Table1[[#This Row],[Input]],Table1[[#This Row],[Direction]],""),VALUE(IF(LEN(_xlpm.steps)&gt;2,RIGHT(_xlpm.steps,2),_xlpm.steps)))</f>
        <v>66</v>
      </c>
      <c r="D1731">
        <f>_xlfn.LET(_xlpm.dir,Table1[[#This Row],[Direction]],
IF(_xlpm.dir="L",
    IF(F1730-Table1[[#This Row],[Steps]]&lt;0,100+(F1730-Table1[[#This Row],[Steps]]),F1730-Table1[[#This Row],[Steps]]),
))</f>
        <v>27</v>
      </c>
      <c r="E1731">
        <f>_xlfn.LET(_xlpm.dir,Table1[[#This Row],[Direction]],
IF(_xlpm.dir="R",
    IF(F1730+Table1[[#This Row],[Steps]]&gt;99,(F1730+Table1[[#This Row],[Steps]])-100,F1730+Table1[[#This Row],[Steps]]),
))</f>
        <v>0</v>
      </c>
      <c r="F1731">
        <f>IF(Table1[[#This Row],[New Pos L]]&lt;&gt;0,Table1[[#This Row],[New Pos L]],Table1[[#This Row],[New Pos R]])</f>
        <v>27</v>
      </c>
    </row>
    <row r="1732" spans="1:6" ht="16" x14ac:dyDescent="0.2">
      <c r="A1732" s="1" t="s">
        <v>136</v>
      </c>
      <c r="B1732" t="str">
        <f>LEFT(Table1[[#This Row],[Input]],1)</f>
        <v>L</v>
      </c>
      <c r="C1732">
        <f>_xlfn.LET(_xlpm.steps,SUBSTITUTE(Table1[[#This Row],[Input]],Table1[[#This Row],[Direction]],""),VALUE(IF(LEN(_xlpm.steps)&gt;2,RIGHT(_xlpm.steps,2),_xlpm.steps)))</f>
        <v>72</v>
      </c>
      <c r="D1732">
        <f>_xlfn.LET(_xlpm.dir,Table1[[#This Row],[Direction]],
IF(_xlpm.dir="L",
    IF(F1731-Table1[[#This Row],[Steps]]&lt;0,100+(F1731-Table1[[#This Row],[Steps]]),F1731-Table1[[#This Row],[Steps]]),
))</f>
        <v>55</v>
      </c>
      <c r="E1732">
        <f>_xlfn.LET(_xlpm.dir,Table1[[#This Row],[Direction]],
IF(_xlpm.dir="R",
    IF(F1731+Table1[[#This Row],[Steps]]&gt;99,(F1731+Table1[[#This Row],[Steps]])-100,F1731+Table1[[#This Row],[Steps]]),
))</f>
        <v>0</v>
      </c>
      <c r="F1732">
        <f>IF(Table1[[#This Row],[New Pos L]]&lt;&gt;0,Table1[[#This Row],[New Pos L]],Table1[[#This Row],[New Pos R]])</f>
        <v>55</v>
      </c>
    </row>
    <row r="1733" spans="1:6" ht="16" x14ac:dyDescent="0.2">
      <c r="A1733" s="1" t="s">
        <v>66</v>
      </c>
      <c r="B1733" t="str">
        <f>LEFT(Table1[[#This Row],[Input]],1)</f>
        <v>R</v>
      </c>
      <c r="C1733">
        <f>_xlfn.LET(_xlpm.steps,SUBSTITUTE(Table1[[#This Row],[Input]],Table1[[#This Row],[Direction]],""),VALUE(IF(LEN(_xlpm.steps)&gt;2,RIGHT(_xlpm.steps,2),_xlpm.steps)))</f>
        <v>45</v>
      </c>
      <c r="D1733">
        <f>_xlfn.LET(_xlpm.dir,Table1[[#This Row],[Direction]],
IF(_xlpm.dir="L",
    IF(F1732-Table1[[#This Row],[Steps]]&lt;0,100+(F1732-Table1[[#This Row],[Steps]]),F1732-Table1[[#This Row],[Steps]]),
))</f>
        <v>0</v>
      </c>
      <c r="E1733">
        <f>_xlfn.LET(_xlpm.dir,Table1[[#This Row],[Direction]],
IF(_xlpm.dir="R",
    IF(F1732+Table1[[#This Row],[Steps]]&gt;99,(F1732+Table1[[#This Row],[Steps]])-100,F1732+Table1[[#This Row],[Steps]]),
))</f>
        <v>0</v>
      </c>
      <c r="F1733">
        <f>IF(Table1[[#This Row],[New Pos L]]&lt;&gt;0,Table1[[#This Row],[New Pos L]],Table1[[#This Row],[New Pos R]])</f>
        <v>0</v>
      </c>
    </row>
    <row r="1734" spans="1:6" ht="16" x14ac:dyDescent="0.2">
      <c r="A1734" s="1" t="s">
        <v>71</v>
      </c>
      <c r="B1734" t="str">
        <f>LEFT(Table1[[#This Row],[Input]],1)</f>
        <v>R</v>
      </c>
      <c r="C1734">
        <f>_xlfn.LET(_xlpm.steps,SUBSTITUTE(Table1[[#This Row],[Input]],Table1[[#This Row],[Direction]],""),VALUE(IF(LEN(_xlpm.steps)&gt;2,RIGHT(_xlpm.steps,2),_xlpm.steps)))</f>
        <v>23</v>
      </c>
      <c r="D1734">
        <f>_xlfn.LET(_xlpm.dir,Table1[[#This Row],[Direction]],
IF(_xlpm.dir="L",
    IF(F1733-Table1[[#This Row],[Steps]]&lt;0,100+(F1733-Table1[[#This Row],[Steps]]),F1733-Table1[[#This Row],[Steps]]),
))</f>
        <v>0</v>
      </c>
      <c r="E1734">
        <f>_xlfn.LET(_xlpm.dir,Table1[[#This Row],[Direction]],
IF(_xlpm.dir="R",
    IF(F1733+Table1[[#This Row],[Steps]]&gt;99,(F1733+Table1[[#This Row],[Steps]])-100,F1733+Table1[[#This Row],[Steps]]),
))</f>
        <v>23</v>
      </c>
      <c r="F1734">
        <f>IF(Table1[[#This Row],[New Pos L]]&lt;&gt;0,Table1[[#This Row],[New Pos L]],Table1[[#This Row],[New Pos R]])</f>
        <v>23</v>
      </c>
    </row>
    <row r="1735" spans="1:6" ht="16" x14ac:dyDescent="0.2">
      <c r="A1735" s="1" t="s">
        <v>120</v>
      </c>
      <c r="B1735" t="str">
        <f>LEFT(Table1[[#This Row],[Input]],1)</f>
        <v>L</v>
      </c>
      <c r="C1735">
        <f>_xlfn.LET(_xlpm.steps,SUBSTITUTE(Table1[[#This Row],[Input]],Table1[[#This Row],[Direction]],""),VALUE(IF(LEN(_xlpm.steps)&gt;2,RIGHT(_xlpm.steps,2),_xlpm.steps)))</f>
        <v>23</v>
      </c>
      <c r="D1735">
        <f>_xlfn.LET(_xlpm.dir,Table1[[#This Row],[Direction]],
IF(_xlpm.dir="L",
    IF(F1734-Table1[[#This Row],[Steps]]&lt;0,100+(F1734-Table1[[#This Row],[Steps]]),F1734-Table1[[#This Row],[Steps]]),
))</f>
        <v>0</v>
      </c>
      <c r="E1735">
        <f>_xlfn.LET(_xlpm.dir,Table1[[#This Row],[Direction]],
IF(_xlpm.dir="R",
    IF(F1734+Table1[[#This Row],[Steps]]&gt;99,(F1734+Table1[[#This Row],[Steps]])-100,F1734+Table1[[#This Row],[Steps]]),
))</f>
        <v>0</v>
      </c>
      <c r="F1735">
        <f>IF(Table1[[#This Row],[New Pos L]]&lt;&gt;0,Table1[[#This Row],[New Pos L]],Table1[[#This Row],[New Pos R]])</f>
        <v>0</v>
      </c>
    </row>
    <row r="1736" spans="1:6" ht="16" x14ac:dyDescent="0.2">
      <c r="A1736" s="1" t="s">
        <v>164</v>
      </c>
      <c r="B1736" t="str">
        <f>LEFT(Table1[[#This Row],[Input]],1)</f>
        <v>R</v>
      </c>
      <c r="C1736">
        <f>_xlfn.LET(_xlpm.steps,SUBSTITUTE(Table1[[#This Row],[Input]],Table1[[#This Row],[Direction]],""),VALUE(IF(LEN(_xlpm.steps)&gt;2,RIGHT(_xlpm.steps,2),_xlpm.steps)))</f>
        <v>85</v>
      </c>
      <c r="D1736">
        <f>_xlfn.LET(_xlpm.dir,Table1[[#This Row],[Direction]],
IF(_xlpm.dir="L",
    IF(F1735-Table1[[#This Row],[Steps]]&lt;0,100+(F1735-Table1[[#This Row],[Steps]]),F1735-Table1[[#This Row],[Steps]]),
))</f>
        <v>0</v>
      </c>
      <c r="E1736">
        <f>_xlfn.LET(_xlpm.dir,Table1[[#This Row],[Direction]],
IF(_xlpm.dir="R",
    IF(F1735+Table1[[#This Row],[Steps]]&gt;99,(F1735+Table1[[#This Row],[Steps]])-100,F1735+Table1[[#This Row],[Steps]]),
))</f>
        <v>85</v>
      </c>
      <c r="F1736">
        <f>IF(Table1[[#This Row],[New Pos L]]&lt;&gt;0,Table1[[#This Row],[New Pos L]],Table1[[#This Row],[New Pos R]])</f>
        <v>85</v>
      </c>
    </row>
    <row r="1737" spans="1:6" ht="16" x14ac:dyDescent="0.2">
      <c r="A1737" s="1" t="s">
        <v>494</v>
      </c>
      <c r="B1737" t="str">
        <f>LEFT(Table1[[#This Row],[Input]],1)</f>
        <v>R</v>
      </c>
      <c r="C1737">
        <f>_xlfn.LET(_xlpm.steps,SUBSTITUTE(Table1[[#This Row],[Input]],Table1[[#This Row],[Direction]],""),VALUE(IF(LEN(_xlpm.steps)&gt;2,RIGHT(_xlpm.steps,2),_xlpm.steps)))</f>
        <v>15</v>
      </c>
      <c r="D1737">
        <f>_xlfn.LET(_xlpm.dir,Table1[[#This Row],[Direction]],
IF(_xlpm.dir="L",
    IF(F1736-Table1[[#This Row],[Steps]]&lt;0,100+(F1736-Table1[[#This Row],[Steps]]),F1736-Table1[[#This Row],[Steps]]),
))</f>
        <v>0</v>
      </c>
      <c r="E1737">
        <f>_xlfn.LET(_xlpm.dir,Table1[[#This Row],[Direction]],
IF(_xlpm.dir="R",
    IF(F1736+Table1[[#This Row],[Steps]]&gt;99,(F1736+Table1[[#This Row],[Steps]])-100,F1736+Table1[[#This Row],[Steps]]),
))</f>
        <v>0</v>
      </c>
      <c r="F1737">
        <f>IF(Table1[[#This Row],[New Pos L]]&lt;&gt;0,Table1[[#This Row],[New Pos L]],Table1[[#This Row],[New Pos R]])</f>
        <v>0</v>
      </c>
    </row>
    <row r="1738" spans="1:6" ht="16" x14ac:dyDescent="0.2">
      <c r="A1738" s="1" t="s">
        <v>151</v>
      </c>
      <c r="B1738" t="str">
        <f>LEFT(Table1[[#This Row],[Input]],1)</f>
        <v>L</v>
      </c>
      <c r="C1738">
        <f>_xlfn.LET(_xlpm.steps,SUBSTITUTE(Table1[[#This Row],[Input]],Table1[[#This Row],[Direction]],""),VALUE(IF(LEN(_xlpm.steps)&gt;2,RIGHT(_xlpm.steps,2),_xlpm.steps)))</f>
        <v>74</v>
      </c>
      <c r="D1738">
        <f>_xlfn.LET(_xlpm.dir,Table1[[#This Row],[Direction]],
IF(_xlpm.dir="L",
    IF(F1737-Table1[[#This Row],[Steps]]&lt;0,100+(F1737-Table1[[#This Row],[Steps]]),F1737-Table1[[#This Row],[Steps]]),
))</f>
        <v>26</v>
      </c>
      <c r="E1738">
        <f>_xlfn.LET(_xlpm.dir,Table1[[#This Row],[Direction]],
IF(_xlpm.dir="R",
    IF(F1737+Table1[[#This Row],[Steps]]&gt;99,(F1737+Table1[[#This Row],[Steps]])-100,F1737+Table1[[#This Row],[Steps]]),
))</f>
        <v>0</v>
      </c>
      <c r="F1738">
        <f>IF(Table1[[#This Row],[New Pos L]]&lt;&gt;0,Table1[[#This Row],[New Pos L]],Table1[[#This Row],[New Pos R]])</f>
        <v>26</v>
      </c>
    </row>
    <row r="1739" spans="1:6" ht="16" x14ac:dyDescent="0.2">
      <c r="A1739" s="1" t="s">
        <v>304</v>
      </c>
      <c r="B1739" t="str">
        <f>LEFT(Table1[[#This Row],[Input]],1)</f>
        <v>L</v>
      </c>
      <c r="C1739">
        <f>_xlfn.LET(_xlpm.steps,SUBSTITUTE(Table1[[#This Row],[Input]],Table1[[#This Row],[Direction]],""),VALUE(IF(LEN(_xlpm.steps)&gt;2,RIGHT(_xlpm.steps,2),_xlpm.steps)))</f>
        <v>26</v>
      </c>
      <c r="D1739">
        <f>_xlfn.LET(_xlpm.dir,Table1[[#This Row],[Direction]],
IF(_xlpm.dir="L",
    IF(F1738-Table1[[#This Row],[Steps]]&lt;0,100+(F1738-Table1[[#This Row],[Steps]]),F1738-Table1[[#This Row],[Steps]]),
))</f>
        <v>0</v>
      </c>
      <c r="E1739">
        <f>_xlfn.LET(_xlpm.dir,Table1[[#This Row],[Direction]],
IF(_xlpm.dir="R",
    IF(F1738+Table1[[#This Row],[Steps]]&gt;99,(F1738+Table1[[#This Row],[Steps]])-100,F1738+Table1[[#This Row],[Steps]]),
))</f>
        <v>0</v>
      </c>
      <c r="F1739">
        <f>IF(Table1[[#This Row],[New Pos L]]&lt;&gt;0,Table1[[#This Row],[New Pos L]],Table1[[#This Row],[New Pos R]])</f>
        <v>0</v>
      </c>
    </row>
    <row r="1740" spans="1:6" ht="16" x14ac:dyDescent="0.2">
      <c r="A1740" s="1" t="s">
        <v>79</v>
      </c>
      <c r="B1740" t="str">
        <f>LEFT(Table1[[#This Row],[Input]],1)</f>
        <v>L</v>
      </c>
      <c r="C1740">
        <f>_xlfn.LET(_xlpm.steps,SUBSTITUTE(Table1[[#This Row],[Input]],Table1[[#This Row],[Direction]],""),VALUE(IF(LEN(_xlpm.steps)&gt;2,RIGHT(_xlpm.steps,2),_xlpm.steps)))</f>
        <v>45</v>
      </c>
      <c r="D1740">
        <f>_xlfn.LET(_xlpm.dir,Table1[[#This Row],[Direction]],
IF(_xlpm.dir="L",
    IF(F1739-Table1[[#This Row],[Steps]]&lt;0,100+(F1739-Table1[[#This Row],[Steps]]),F1739-Table1[[#This Row],[Steps]]),
))</f>
        <v>55</v>
      </c>
      <c r="E1740">
        <f>_xlfn.LET(_xlpm.dir,Table1[[#This Row],[Direction]],
IF(_xlpm.dir="R",
    IF(F1739+Table1[[#This Row],[Steps]]&gt;99,(F1739+Table1[[#This Row],[Steps]])-100,F1739+Table1[[#This Row],[Steps]]),
))</f>
        <v>0</v>
      </c>
      <c r="F1740">
        <f>IF(Table1[[#This Row],[New Pos L]]&lt;&gt;0,Table1[[#This Row],[New Pos L]],Table1[[#This Row],[New Pos R]])</f>
        <v>55</v>
      </c>
    </row>
    <row r="1741" spans="1:6" ht="16" x14ac:dyDescent="0.2">
      <c r="A1741" s="1" t="s">
        <v>104</v>
      </c>
      <c r="B1741" t="str">
        <f>LEFT(Table1[[#This Row],[Input]],1)</f>
        <v>R</v>
      </c>
      <c r="C1741">
        <f>_xlfn.LET(_xlpm.steps,SUBSTITUTE(Table1[[#This Row],[Input]],Table1[[#This Row],[Direction]],""),VALUE(IF(LEN(_xlpm.steps)&gt;2,RIGHT(_xlpm.steps,2),_xlpm.steps)))</f>
        <v>59</v>
      </c>
      <c r="D1741">
        <f>_xlfn.LET(_xlpm.dir,Table1[[#This Row],[Direction]],
IF(_xlpm.dir="L",
    IF(F1740-Table1[[#This Row],[Steps]]&lt;0,100+(F1740-Table1[[#This Row],[Steps]]),F1740-Table1[[#This Row],[Steps]]),
))</f>
        <v>0</v>
      </c>
      <c r="E1741">
        <f>_xlfn.LET(_xlpm.dir,Table1[[#This Row],[Direction]],
IF(_xlpm.dir="R",
    IF(F1740+Table1[[#This Row],[Steps]]&gt;99,(F1740+Table1[[#This Row],[Steps]])-100,F1740+Table1[[#This Row],[Steps]]),
))</f>
        <v>14</v>
      </c>
      <c r="F1741">
        <f>IF(Table1[[#This Row],[New Pos L]]&lt;&gt;0,Table1[[#This Row],[New Pos L]],Table1[[#This Row],[New Pos R]])</f>
        <v>14</v>
      </c>
    </row>
    <row r="1742" spans="1:6" ht="16" x14ac:dyDescent="0.2">
      <c r="A1742" s="1" t="s">
        <v>495</v>
      </c>
      <c r="B1742" t="str">
        <f>LEFT(Table1[[#This Row],[Input]],1)</f>
        <v>L</v>
      </c>
      <c r="C1742">
        <f>_xlfn.LET(_xlpm.steps,SUBSTITUTE(Table1[[#This Row],[Input]],Table1[[#This Row],[Direction]],""),VALUE(IF(LEN(_xlpm.steps)&gt;2,RIGHT(_xlpm.steps,2),_xlpm.steps)))</f>
        <v>23</v>
      </c>
      <c r="D1742">
        <f>_xlfn.LET(_xlpm.dir,Table1[[#This Row],[Direction]],
IF(_xlpm.dir="L",
    IF(F1741-Table1[[#This Row],[Steps]]&lt;0,100+(F1741-Table1[[#This Row],[Steps]]),F1741-Table1[[#This Row],[Steps]]),
))</f>
        <v>91</v>
      </c>
      <c r="E1742">
        <f>_xlfn.LET(_xlpm.dir,Table1[[#This Row],[Direction]],
IF(_xlpm.dir="R",
    IF(F1741+Table1[[#This Row],[Steps]]&gt;99,(F1741+Table1[[#This Row],[Steps]])-100,F1741+Table1[[#This Row],[Steps]]),
))</f>
        <v>0</v>
      </c>
      <c r="F1742">
        <f>IF(Table1[[#This Row],[New Pos L]]&lt;&gt;0,Table1[[#This Row],[New Pos L]],Table1[[#This Row],[New Pos R]])</f>
        <v>91</v>
      </c>
    </row>
    <row r="1743" spans="1:6" ht="16" x14ac:dyDescent="0.2">
      <c r="A1743" s="1" t="s">
        <v>244</v>
      </c>
      <c r="B1743" t="str">
        <f>LEFT(Table1[[#This Row],[Input]],1)</f>
        <v>L</v>
      </c>
      <c r="C1743">
        <f>_xlfn.LET(_xlpm.steps,SUBSTITUTE(Table1[[#This Row],[Input]],Table1[[#This Row],[Direction]],""),VALUE(IF(LEN(_xlpm.steps)&gt;2,RIGHT(_xlpm.steps,2),_xlpm.steps)))</f>
        <v>98</v>
      </c>
      <c r="D1743">
        <f>_xlfn.LET(_xlpm.dir,Table1[[#This Row],[Direction]],
IF(_xlpm.dir="L",
    IF(F1742-Table1[[#This Row],[Steps]]&lt;0,100+(F1742-Table1[[#This Row],[Steps]]),F1742-Table1[[#This Row],[Steps]]),
))</f>
        <v>93</v>
      </c>
      <c r="E1743">
        <f>_xlfn.LET(_xlpm.dir,Table1[[#This Row],[Direction]],
IF(_xlpm.dir="R",
    IF(F1742+Table1[[#This Row],[Steps]]&gt;99,(F1742+Table1[[#This Row],[Steps]])-100,F1742+Table1[[#This Row],[Steps]]),
))</f>
        <v>0</v>
      </c>
      <c r="F1743">
        <f>IF(Table1[[#This Row],[New Pos L]]&lt;&gt;0,Table1[[#This Row],[New Pos L]],Table1[[#This Row],[New Pos R]])</f>
        <v>93</v>
      </c>
    </row>
    <row r="1744" spans="1:6" ht="16" x14ac:dyDescent="0.2">
      <c r="A1744" s="1" t="s">
        <v>49</v>
      </c>
      <c r="B1744" t="str">
        <f>LEFT(Table1[[#This Row],[Input]],1)</f>
        <v>L</v>
      </c>
      <c r="C1744">
        <f>_xlfn.LET(_xlpm.steps,SUBSTITUTE(Table1[[#This Row],[Input]],Table1[[#This Row],[Direction]],""),VALUE(IF(LEN(_xlpm.steps)&gt;2,RIGHT(_xlpm.steps,2),_xlpm.steps)))</f>
        <v>93</v>
      </c>
      <c r="D1744">
        <f>_xlfn.LET(_xlpm.dir,Table1[[#This Row],[Direction]],
IF(_xlpm.dir="L",
    IF(F1743-Table1[[#This Row],[Steps]]&lt;0,100+(F1743-Table1[[#This Row],[Steps]]),F1743-Table1[[#This Row],[Steps]]),
))</f>
        <v>0</v>
      </c>
      <c r="E1744">
        <f>_xlfn.LET(_xlpm.dir,Table1[[#This Row],[Direction]],
IF(_xlpm.dir="R",
    IF(F1743+Table1[[#This Row],[Steps]]&gt;99,(F1743+Table1[[#This Row],[Steps]])-100,F1743+Table1[[#This Row],[Steps]]),
))</f>
        <v>0</v>
      </c>
      <c r="F1744">
        <f>IF(Table1[[#This Row],[New Pos L]]&lt;&gt;0,Table1[[#This Row],[New Pos L]],Table1[[#This Row],[New Pos R]])</f>
        <v>0</v>
      </c>
    </row>
    <row r="1745" spans="1:6" ht="16" x14ac:dyDescent="0.2">
      <c r="A1745" s="1" t="s">
        <v>496</v>
      </c>
      <c r="B1745" t="str">
        <f>LEFT(Table1[[#This Row],[Input]],1)</f>
        <v>R</v>
      </c>
      <c r="C1745">
        <f>_xlfn.LET(_xlpm.steps,SUBSTITUTE(Table1[[#This Row],[Input]],Table1[[#This Row],[Direction]],""),VALUE(IF(LEN(_xlpm.steps)&gt;2,RIGHT(_xlpm.steps,2),_xlpm.steps)))</f>
        <v>44</v>
      </c>
      <c r="D1745">
        <f>_xlfn.LET(_xlpm.dir,Table1[[#This Row],[Direction]],
IF(_xlpm.dir="L",
    IF(F1744-Table1[[#This Row],[Steps]]&lt;0,100+(F1744-Table1[[#This Row],[Steps]]),F1744-Table1[[#This Row],[Steps]]),
))</f>
        <v>0</v>
      </c>
      <c r="E1745">
        <f>_xlfn.LET(_xlpm.dir,Table1[[#This Row],[Direction]],
IF(_xlpm.dir="R",
    IF(F1744+Table1[[#This Row],[Steps]]&gt;99,(F1744+Table1[[#This Row],[Steps]])-100,F1744+Table1[[#This Row],[Steps]]),
))</f>
        <v>44</v>
      </c>
      <c r="F1745">
        <f>IF(Table1[[#This Row],[New Pos L]]&lt;&gt;0,Table1[[#This Row],[New Pos L]],Table1[[#This Row],[New Pos R]])</f>
        <v>44</v>
      </c>
    </row>
    <row r="1746" spans="1:6" ht="16" x14ac:dyDescent="0.2">
      <c r="A1746" s="1" t="s">
        <v>12</v>
      </c>
      <c r="B1746" t="str">
        <f>LEFT(Table1[[#This Row],[Input]],1)</f>
        <v>L</v>
      </c>
      <c r="C1746">
        <f>_xlfn.LET(_xlpm.steps,SUBSTITUTE(Table1[[#This Row],[Input]],Table1[[#This Row],[Direction]],""),VALUE(IF(LEN(_xlpm.steps)&gt;2,RIGHT(_xlpm.steps,2),_xlpm.steps)))</f>
        <v>11</v>
      </c>
      <c r="D1746">
        <f>_xlfn.LET(_xlpm.dir,Table1[[#This Row],[Direction]],
IF(_xlpm.dir="L",
    IF(F1745-Table1[[#This Row],[Steps]]&lt;0,100+(F1745-Table1[[#This Row],[Steps]]),F1745-Table1[[#This Row],[Steps]]),
))</f>
        <v>33</v>
      </c>
      <c r="E1746">
        <f>_xlfn.LET(_xlpm.dir,Table1[[#This Row],[Direction]],
IF(_xlpm.dir="R",
    IF(F1745+Table1[[#This Row],[Steps]]&gt;99,(F1745+Table1[[#This Row],[Steps]])-100,F1745+Table1[[#This Row],[Steps]]),
))</f>
        <v>0</v>
      </c>
      <c r="F1746">
        <f>IF(Table1[[#This Row],[New Pos L]]&lt;&gt;0,Table1[[#This Row],[New Pos L]],Table1[[#This Row],[New Pos R]])</f>
        <v>33</v>
      </c>
    </row>
    <row r="1747" spans="1:6" ht="16" x14ac:dyDescent="0.2">
      <c r="A1747" s="1" t="s">
        <v>119</v>
      </c>
      <c r="B1747" t="str">
        <f>LEFT(Table1[[#This Row],[Input]],1)</f>
        <v>L</v>
      </c>
      <c r="C1747">
        <f>_xlfn.LET(_xlpm.steps,SUBSTITUTE(Table1[[#This Row],[Input]],Table1[[#This Row],[Direction]],""),VALUE(IF(LEN(_xlpm.steps)&gt;2,RIGHT(_xlpm.steps,2),_xlpm.steps)))</f>
        <v>77</v>
      </c>
      <c r="D1747">
        <f>_xlfn.LET(_xlpm.dir,Table1[[#This Row],[Direction]],
IF(_xlpm.dir="L",
    IF(F1746-Table1[[#This Row],[Steps]]&lt;0,100+(F1746-Table1[[#This Row],[Steps]]),F1746-Table1[[#This Row],[Steps]]),
))</f>
        <v>56</v>
      </c>
      <c r="E1747">
        <f>_xlfn.LET(_xlpm.dir,Table1[[#This Row],[Direction]],
IF(_xlpm.dir="R",
    IF(F1746+Table1[[#This Row],[Steps]]&gt;99,(F1746+Table1[[#This Row],[Steps]])-100,F1746+Table1[[#This Row],[Steps]]),
))</f>
        <v>0</v>
      </c>
      <c r="F1747">
        <f>IF(Table1[[#This Row],[New Pos L]]&lt;&gt;0,Table1[[#This Row],[New Pos L]],Table1[[#This Row],[New Pos R]])</f>
        <v>56</v>
      </c>
    </row>
    <row r="1748" spans="1:6" ht="16" x14ac:dyDescent="0.2">
      <c r="A1748" s="1" t="s">
        <v>9</v>
      </c>
      <c r="B1748" t="str">
        <f>LEFT(Table1[[#This Row],[Input]],1)</f>
        <v>L</v>
      </c>
      <c r="C1748">
        <f>_xlfn.LET(_xlpm.steps,SUBSTITUTE(Table1[[#This Row],[Input]],Table1[[#This Row],[Direction]],""),VALUE(IF(LEN(_xlpm.steps)&gt;2,RIGHT(_xlpm.steps,2),_xlpm.steps)))</f>
        <v>9</v>
      </c>
      <c r="D1748">
        <f>_xlfn.LET(_xlpm.dir,Table1[[#This Row],[Direction]],
IF(_xlpm.dir="L",
    IF(F1747-Table1[[#This Row],[Steps]]&lt;0,100+(F1747-Table1[[#This Row],[Steps]]),F1747-Table1[[#This Row],[Steps]]),
))</f>
        <v>47</v>
      </c>
      <c r="E1748">
        <f>_xlfn.LET(_xlpm.dir,Table1[[#This Row],[Direction]],
IF(_xlpm.dir="R",
    IF(F1747+Table1[[#This Row],[Steps]]&gt;99,(F1747+Table1[[#This Row],[Steps]])-100,F1747+Table1[[#This Row],[Steps]]),
))</f>
        <v>0</v>
      </c>
      <c r="F1748">
        <f>IF(Table1[[#This Row],[New Pos L]]&lt;&gt;0,Table1[[#This Row],[New Pos L]],Table1[[#This Row],[New Pos R]])</f>
        <v>47</v>
      </c>
    </row>
    <row r="1749" spans="1:6" ht="16" x14ac:dyDescent="0.2">
      <c r="A1749" s="1" t="s">
        <v>88</v>
      </c>
      <c r="B1749" t="str">
        <f>LEFT(Table1[[#This Row],[Input]],1)</f>
        <v>R</v>
      </c>
      <c r="C1749">
        <f>_xlfn.LET(_xlpm.steps,SUBSTITUTE(Table1[[#This Row],[Input]],Table1[[#This Row],[Direction]],""),VALUE(IF(LEN(_xlpm.steps)&gt;2,RIGHT(_xlpm.steps,2),_xlpm.steps)))</f>
        <v>53</v>
      </c>
      <c r="D1749">
        <f>_xlfn.LET(_xlpm.dir,Table1[[#This Row],[Direction]],
IF(_xlpm.dir="L",
    IF(F1748-Table1[[#This Row],[Steps]]&lt;0,100+(F1748-Table1[[#This Row],[Steps]]),F1748-Table1[[#This Row],[Steps]]),
))</f>
        <v>0</v>
      </c>
      <c r="E1749">
        <f>_xlfn.LET(_xlpm.dir,Table1[[#This Row],[Direction]],
IF(_xlpm.dir="R",
    IF(F1748+Table1[[#This Row],[Steps]]&gt;99,(F1748+Table1[[#This Row],[Steps]])-100,F1748+Table1[[#This Row],[Steps]]),
))</f>
        <v>0</v>
      </c>
      <c r="F1749">
        <f>IF(Table1[[#This Row],[New Pos L]]&lt;&gt;0,Table1[[#This Row],[New Pos L]],Table1[[#This Row],[New Pos R]])</f>
        <v>0</v>
      </c>
    </row>
    <row r="1750" spans="1:6" ht="16" x14ac:dyDescent="0.2">
      <c r="A1750" s="1" t="s">
        <v>137</v>
      </c>
      <c r="B1750" t="str">
        <f>LEFT(Table1[[#This Row],[Input]],1)</f>
        <v>R</v>
      </c>
      <c r="C1750">
        <f>_xlfn.LET(_xlpm.steps,SUBSTITUTE(Table1[[#This Row],[Input]],Table1[[#This Row],[Direction]],""),VALUE(IF(LEN(_xlpm.steps)&gt;2,RIGHT(_xlpm.steps,2),_xlpm.steps)))</f>
        <v>28</v>
      </c>
      <c r="D1750">
        <f>_xlfn.LET(_xlpm.dir,Table1[[#This Row],[Direction]],
IF(_xlpm.dir="L",
    IF(F1749-Table1[[#This Row],[Steps]]&lt;0,100+(F1749-Table1[[#This Row],[Steps]]),F1749-Table1[[#This Row],[Steps]]),
))</f>
        <v>0</v>
      </c>
      <c r="E1750">
        <f>_xlfn.LET(_xlpm.dir,Table1[[#This Row],[Direction]],
IF(_xlpm.dir="R",
    IF(F1749+Table1[[#This Row],[Steps]]&gt;99,(F1749+Table1[[#This Row],[Steps]])-100,F1749+Table1[[#This Row],[Steps]]),
))</f>
        <v>28</v>
      </c>
      <c r="F1750">
        <f>IF(Table1[[#This Row],[New Pos L]]&lt;&gt;0,Table1[[#This Row],[New Pos L]],Table1[[#This Row],[New Pos R]])</f>
        <v>28</v>
      </c>
    </row>
    <row r="1751" spans="1:6" ht="16" x14ac:dyDescent="0.2">
      <c r="A1751" s="1" t="s">
        <v>106</v>
      </c>
      <c r="B1751" t="str">
        <f>LEFT(Table1[[#This Row],[Input]],1)</f>
        <v>R</v>
      </c>
      <c r="C1751">
        <f>_xlfn.LET(_xlpm.steps,SUBSTITUTE(Table1[[#This Row],[Input]],Table1[[#This Row],[Direction]],""),VALUE(IF(LEN(_xlpm.steps)&gt;2,RIGHT(_xlpm.steps,2),_xlpm.steps)))</f>
        <v>41</v>
      </c>
      <c r="D1751">
        <f>_xlfn.LET(_xlpm.dir,Table1[[#This Row],[Direction]],
IF(_xlpm.dir="L",
    IF(F1750-Table1[[#This Row],[Steps]]&lt;0,100+(F1750-Table1[[#This Row],[Steps]]),F1750-Table1[[#This Row],[Steps]]),
))</f>
        <v>0</v>
      </c>
      <c r="E1751">
        <f>_xlfn.LET(_xlpm.dir,Table1[[#This Row],[Direction]],
IF(_xlpm.dir="R",
    IF(F1750+Table1[[#This Row],[Steps]]&gt;99,(F1750+Table1[[#This Row],[Steps]])-100,F1750+Table1[[#This Row],[Steps]]),
))</f>
        <v>69</v>
      </c>
      <c r="F1751">
        <f>IF(Table1[[#This Row],[New Pos L]]&lt;&gt;0,Table1[[#This Row],[New Pos L]],Table1[[#This Row],[New Pos R]])</f>
        <v>69</v>
      </c>
    </row>
    <row r="1752" spans="1:6" ht="16" x14ac:dyDescent="0.2">
      <c r="A1752" s="1" t="s">
        <v>127</v>
      </c>
      <c r="B1752" t="str">
        <f>LEFT(Table1[[#This Row],[Input]],1)</f>
        <v>L</v>
      </c>
      <c r="C1752">
        <f>_xlfn.LET(_xlpm.steps,SUBSTITUTE(Table1[[#This Row],[Input]],Table1[[#This Row],[Direction]],""),VALUE(IF(LEN(_xlpm.steps)&gt;2,RIGHT(_xlpm.steps,2),_xlpm.steps)))</f>
        <v>62</v>
      </c>
      <c r="D1752">
        <f>_xlfn.LET(_xlpm.dir,Table1[[#This Row],[Direction]],
IF(_xlpm.dir="L",
    IF(F1751-Table1[[#This Row],[Steps]]&lt;0,100+(F1751-Table1[[#This Row],[Steps]]),F1751-Table1[[#This Row],[Steps]]),
))</f>
        <v>7</v>
      </c>
      <c r="E1752">
        <f>_xlfn.LET(_xlpm.dir,Table1[[#This Row],[Direction]],
IF(_xlpm.dir="R",
    IF(F1751+Table1[[#This Row],[Steps]]&gt;99,(F1751+Table1[[#This Row],[Steps]])-100,F1751+Table1[[#This Row],[Steps]]),
))</f>
        <v>0</v>
      </c>
      <c r="F1752">
        <f>IF(Table1[[#This Row],[New Pos L]]&lt;&gt;0,Table1[[#This Row],[New Pos L]],Table1[[#This Row],[New Pos R]])</f>
        <v>7</v>
      </c>
    </row>
    <row r="1753" spans="1:6" ht="16" x14ac:dyDescent="0.2">
      <c r="A1753" s="1" t="s">
        <v>47</v>
      </c>
      <c r="B1753" t="str">
        <f>LEFT(Table1[[#This Row],[Input]],1)</f>
        <v>R</v>
      </c>
      <c r="C1753">
        <f>_xlfn.LET(_xlpm.steps,SUBSTITUTE(Table1[[#This Row],[Input]],Table1[[#This Row],[Direction]],""),VALUE(IF(LEN(_xlpm.steps)&gt;2,RIGHT(_xlpm.steps,2),_xlpm.steps)))</f>
        <v>97</v>
      </c>
      <c r="D1753">
        <f>_xlfn.LET(_xlpm.dir,Table1[[#This Row],[Direction]],
IF(_xlpm.dir="L",
    IF(F1752-Table1[[#This Row],[Steps]]&lt;0,100+(F1752-Table1[[#This Row],[Steps]]),F1752-Table1[[#This Row],[Steps]]),
))</f>
        <v>0</v>
      </c>
      <c r="E1753">
        <f>_xlfn.LET(_xlpm.dir,Table1[[#This Row],[Direction]],
IF(_xlpm.dir="R",
    IF(F1752+Table1[[#This Row],[Steps]]&gt;99,(F1752+Table1[[#This Row],[Steps]])-100,F1752+Table1[[#This Row],[Steps]]),
))</f>
        <v>4</v>
      </c>
      <c r="F1753">
        <f>IF(Table1[[#This Row],[New Pos L]]&lt;&gt;0,Table1[[#This Row],[New Pos L]],Table1[[#This Row],[New Pos R]])</f>
        <v>4</v>
      </c>
    </row>
    <row r="1754" spans="1:6" ht="16" x14ac:dyDescent="0.2">
      <c r="A1754" s="1" t="s">
        <v>165</v>
      </c>
      <c r="B1754" t="str">
        <f>LEFT(Table1[[#This Row],[Input]],1)</f>
        <v>R</v>
      </c>
      <c r="C1754">
        <f>_xlfn.LET(_xlpm.steps,SUBSTITUTE(Table1[[#This Row],[Input]],Table1[[#This Row],[Direction]],""),VALUE(IF(LEN(_xlpm.steps)&gt;2,RIGHT(_xlpm.steps,2),_xlpm.steps)))</f>
        <v>55</v>
      </c>
      <c r="D1754">
        <f>_xlfn.LET(_xlpm.dir,Table1[[#This Row],[Direction]],
IF(_xlpm.dir="L",
    IF(F1753-Table1[[#This Row],[Steps]]&lt;0,100+(F1753-Table1[[#This Row],[Steps]]),F1753-Table1[[#This Row],[Steps]]),
))</f>
        <v>0</v>
      </c>
      <c r="E1754">
        <f>_xlfn.LET(_xlpm.dir,Table1[[#This Row],[Direction]],
IF(_xlpm.dir="R",
    IF(F1753+Table1[[#This Row],[Steps]]&gt;99,(F1753+Table1[[#This Row],[Steps]])-100,F1753+Table1[[#This Row],[Steps]]),
))</f>
        <v>59</v>
      </c>
      <c r="F1754">
        <f>IF(Table1[[#This Row],[New Pos L]]&lt;&gt;0,Table1[[#This Row],[New Pos L]],Table1[[#This Row],[New Pos R]])</f>
        <v>59</v>
      </c>
    </row>
    <row r="1755" spans="1:6" ht="16" x14ac:dyDescent="0.2">
      <c r="A1755" s="1" t="s">
        <v>192</v>
      </c>
      <c r="B1755" t="str">
        <f>LEFT(Table1[[#This Row],[Input]],1)</f>
        <v>L</v>
      </c>
      <c r="C1755">
        <f>_xlfn.LET(_xlpm.steps,SUBSTITUTE(Table1[[#This Row],[Input]],Table1[[#This Row],[Direction]],""),VALUE(IF(LEN(_xlpm.steps)&gt;2,RIGHT(_xlpm.steps,2),_xlpm.steps)))</f>
        <v>52</v>
      </c>
      <c r="D1755">
        <f>_xlfn.LET(_xlpm.dir,Table1[[#This Row],[Direction]],
IF(_xlpm.dir="L",
    IF(F1754-Table1[[#This Row],[Steps]]&lt;0,100+(F1754-Table1[[#This Row],[Steps]]),F1754-Table1[[#This Row],[Steps]]),
))</f>
        <v>7</v>
      </c>
      <c r="E1755">
        <f>_xlfn.LET(_xlpm.dir,Table1[[#This Row],[Direction]],
IF(_xlpm.dir="R",
    IF(F1754+Table1[[#This Row],[Steps]]&gt;99,(F1754+Table1[[#This Row],[Steps]])-100,F1754+Table1[[#This Row],[Steps]]),
))</f>
        <v>0</v>
      </c>
      <c r="F1755">
        <f>IF(Table1[[#This Row],[New Pos L]]&lt;&gt;0,Table1[[#This Row],[New Pos L]],Table1[[#This Row],[New Pos R]])</f>
        <v>7</v>
      </c>
    </row>
    <row r="1756" spans="1:6" ht="16" x14ac:dyDescent="0.2">
      <c r="A1756" s="1" t="s">
        <v>497</v>
      </c>
      <c r="B1756" t="str">
        <f>LEFT(Table1[[#This Row],[Input]],1)</f>
        <v>R</v>
      </c>
      <c r="C1756">
        <f>_xlfn.LET(_xlpm.steps,SUBSTITUTE(Table1[[#This Row],[Input]],Table1[[#This Row],[Direction]],""),VALUE(IF(LEN(_xlpm.steps)&gt;2,RIGHT(_xlpm.steps,2),_xlpm.steps)))</f>
        <v>92</v>
      </c>
      <c r="D1756">
        <f>_xlfn.LET(_xlpm.dir,Table1[[#This Row],[Direction]],
IF(_xlpm.dir="L",
    IF(F1755-Table1[[#This Row],[Steps]]&lt;0,100+(F1755-Table1[[#This Row],[Steps]]),F1755-Table1[[#This Row],[Steps]]),
))</f>
        <v>0</v>
      </c>
      <c r="E1756">
        <f>_xlfn.LET(_xlpm.dir,Table1[[#This Row],[Direction]],
IF(_xlpm.dir="R",
    IF(F1755+Table1[[#This Row],[Steps]]&gt;99,(F1755+Table1[[#This Row],[Steps]])-100,F1755+Table1[[#This Row],[Steps]]),
))</f>
        <v>99</v>
      </c>
      <c r="F1756">
        <f>IF(Table1[[#This Row],[New Pos L]]&lt;&gt;0,Table1[[#This Row],[New Pos L]],Table1[[#This Row],[New Pos R]])</f>
        <v>99</v>
      </c>
    </row>
    <row r="1757" spans="1:6" ht="16" x14ac:dyDescent="0.2">
      <c r="A1757" s="1" t="s">
        <v>252</v>
      </c>
      <c r="B1757" t="str">
        <f>LEFT(Table1[[#This Row],[Input]],1)</f>
        <v>L</v>
      </c>
      <c r="C1757">
        <f>_xlfn.LET(_xlpm.steps,SUBSTITUTE(Table1[[#This Row],[Input]],Table1[[#This Row],[Direction]],""),VALUE(IF(LEN(_xlpm.steps)&gt;2,RIGHT(_xlpm.steps,2),_xlpm.steps)))</f>
        <v>99</v>
      </c>
      <c r="D1757">
        <f>_xlfn.LET(_xlpm.dir,Table1[[#This Row],[Direction]],
IF(_xlpm.dir="L",
    IF(F1756-Table1[[#This Row],[Steps]]&lt;0,100+(F1756-Table1[[#This Row],[Steps]]),F1756-Table1[[#This Row],[Steps]]),
))</f>
        <v>0</v>
      </c>
      <c r="E1757">
        <f>_xlfn.LET(_xlpm.dir,Table1[[#This Row],[Direction]],
IF(_xlpm.dir="R",
    IF(F1756+Table1[[#This Row],[Steps]]&gt;99,(F1756+Table1[[#This Row],[Steps]])-100,F1756+Table1[[#This Row],[Steps]]),
))</f>
        <v>0</v>
      </c>
      <c r="F1757">
        <f>IF(Table1[[#This Row],[New Pos L]]&lt;&gt;0,Table1[[#This Row],[New Pos L]],Table1[[#This Row],[New Pos R]])</f>
        <v>0</v>
      </c>
    </row>
    <row r="1758" spans="1:6" ht="16" x14ac:dyDescent="0.2">
      <c r="A1758" s="1" t="s">
        <v>498</v>
      </c>
      <c r="B1758" t="str">
        <f>LEFT(Table1[[#This Row],[Input]],1)</f>
        <v>L</v>
      </c>
      <c r="C1758">
        <f>_xlfn.LET(_xlpm.steps,SUBSTITUTE(Table1[[#This Row],[Input]],Table1[[#This Row],[Direction]],""),VALUE(IF(LEN(_xlpm.steps)&gt;2,RIGHT(_xlpm.steps,2),_xlpm.steps)))</f>
        <v>51</v>
      </c>
      <c r="D1758">
        <f>_xlfn.LET(_xlpm.dir,Table1[[#This Row],[Direction]],
IF(_xlpm.dir="L",
    IF(F1757-Table1[[#This Row],[Steps]]&lt;0,100+(F1757-Table1[[#This Row],[Steps]]),F1757-Table1[[#This Row],[Steps]]),
))</f>
        <v>49</v>
      </c>
      <c r="E1758">
        <f>_xlfn.LET(_xlpm.dir,Table1[[#This Row],[Direction]],
IF(_xlpm.dir="R",
    IF(F1757+Table1[[#This Row],[Steps]]&gt;99,(F1757+Table1[[#This Row],[Steps]])-100,F1757+Table1[[#This Row],[Steps]]),
))</f>
        <v>0</v>
      </c>
      <c r="F1758">
        <f>IF(Table1[[#This Row],[New Pos L]]&lt;&gt;0,Table1[[#This Row],[New Pos L]],Table1[[#This Row],[New Pos R]])</f>
        <v>49</v>
      </c>
    </row>
    <row r="1759" spans="1:6" ht="16" x14ac:dyDescent="0.2">
      <c r="A1759" s="1" t="s">
        <v>194</v>
      </c>
      <c r="B1759" t="str">
        <f>LEFT(Table1[[#This Row],[Input]],1)</f>
        <v>R</v>
      </c>
      <c r="C1759">
        <f>_xlfn.LET(_xlpm.steps,SUBSTITUTE(Table1[[#This Row],[Input]],Table1[[#This Row],[Direction]],""),VALUE(IF(LEN(_xlpm.steps)&gt;2,RIGHT(_xlpm.steps,2),_xlpm.steps)))</f>
        <v>51</v>
      </c>
      <c r="D1759">
        <f>_xlfn.LET(_xlpm.dir,Table1[[#This Row],[Direction]],
IF(_xlpm.dir="L",
    IF(F1758-Table1[[#This Row],[Steps]]&lt;0,100+(F1758-Table1[[#This Row],[Steps]]),F1758-Table1[[#This Row],[Steps]]),
))</f>
        <v>0</v>
      </c>
      <c r="E1759">
        <f>_xlfn.LET(_xlpm.dir,Table1[[#This Row],[Direction]],
IF(_xlpm.dir="R",
    IF(F1758+Table1[[#This Row],[Steps]]&gt;99,(F1758+Table1[[#This Row],[Steps]])-100,F1758+Table1[[#This Row],[Steps]]),
))</f>
        <v>0</v>
      </c>
      <c r="F1759">
        <f>IF(Table1[[#This Row],[New Pos L]]&lt;&gt;0,Table1[[#This Row],[New Pos L]],Table1[[#This Row],[New Pos R]])</f>
        <v>0</v>
      </c>
    </row>
    <row r="1760" spans="1:6" ht="16" x14ac:dyDescent="0.2">
      <c r="A1760" s="1" t="s">
        <v>257</v>
      </c>
      <c r="B1760" t="str">
        <f>LEFT(Table1[[#This Row],[Input]],1)</f>
        <v>R</v>
      </c>
      <c r="C1760">
        <f>_xlfn.LET(_xlpm.steps,SUBSTITUTE(Table1[[#This Row],[Input]],Table1[[#This Row],[Direction]],""),VALUE(IF(LEN(_xlpm.steps)&gt;2,RIGHT(_xlpm.steps,2),_xlpm.steps)))</f>
        <v>27</v>
      </c>
      <c r="D1760">
        <f>_xlfn.LET(_xlpm.dir,Table1[[#This Row],[Direction]],
IF(_xlpm.dir="L",
    IF(F1759-Table1[[#This Row],[Steps]]&lt;0,100+(F1759-Table1[[#This Row],[Steps]]),F1759-Table1[[#This Row],[Steps]]),
))</f>
        <v>0</v>
      </c>
      <c r="E1760">
        <f>_xlfn.LET(_xlpm.dir,Table1[[#This Row],[Direction]],
IF(_xlpm.dir="R",
    IF(F1759+Table1[[#This Row],[Steps]]&gt;99,(F1759+Table1[[#This Row],[Steps]])-100,F1759+Table1[[#This Row],[Steps]]),
))</f>
        <v>27</v>
      </c>
      <c r="F1760">
        <f>IF(Table1[[#This Row],[New Pos L]]&lt;&gt;0,Table1[[#This Row],[New Pos L]],Table1[[#This Row],[New Pos R]])</f>
        <v>27</v>
      </c>
    </row>
    <row r="1761" spans="1:6" ht="16" x14ac:dyDescent="0.2">
      <c r="A1761" s="1" t="s">
        <v>47</v>
      </c>
      <c r="B1761" t="str">
        <f>LEFT(Table1[[#This Row],[Input]],1)</f>
        <v>R</v>
      </c>
      <c r="C1761">
        <f>_xlfn.LET(_xlpm.steps,SUBSTITUTE(Table1[[#This Row],[Input]],Table1[[#This Row],[Direction]],""),VALUE(IF(LEN(_xlpm.steps)&gt;2,RIGHT(_xlpm.steps,2),_xlpm.steps)))</f>
        <v>97</v>
      </c>
      <c r="D1761">
        <f>_xlfn.LET(_xlpm.dir,Table1[[#This Row],[Direction]],
IF(_xlpm.dir="L",
    IF(F1760-Table1[[#This Row],[Steps]]&lt;0,100+(F1760-Table1[[#This Row],[Steps]]),F1760-Table1[[#This Row],[Steps]]),
))</f>
        <v>0</v>
      </c>
      <c r="E1761">
        <f>_xlfn.LET(_xlpm.dir,Table1[[#This Row],[Direction]],
IF(_xlpm.dir="R",
    IF(F1760+Table1[[#This Row],[Steps]]&gt;99,(F1760+Table1[[#This Row],[Steps]])-100,F1760+Table1[[#This Row],[Steps]]),
))</f>
        <v>24</v>
      </c>
      <c r="F1761">
        <f>IF(Table1[[#This Row],[New Pos L]]&lt;&gt;0,Table1[[#This Row],[New Pos L]],Table1[[#This Row],[New Pos R]])</f>
        <v>24</v>
      </c>
    </row>
    <row r="1762" spans="1:6" ht="16" x14ac:dyDescent="0.2">
      <c r="A1762" s="1" t="s">
        <v>158</v>
      </c>
      <c r="B1762" t="str">
        <f>LEFT(Table1[[#This Row],[Input]],1)</f>
        <v>L</v>
      </c>
      <c r="C1762">
        <f>_xlfn.LET(_xlpm.steps,SUBSTITUTE(Table1[[#This Row],[Input]],Table1[[#This Row],[Direction]],""),VALUE(IF(LEN(_xlpm.steps)&gt;2,RIGHT(_xlpm.steps,2),_xlpm.steps)))</f>
        <v>24</v>
      </c>
      <c r="D1762">
        <f>_xlfn.LET(_xlpm.dir,Table1[[#This Row],[Direction]],
IF(_xlpm.dir="L",
    IF(F1761-Table1[[#This Row],[Steps]]&lt;0,100+(F1761-Table1[[#This Row],[Steps]]),F1761-Table1[[#This Row],[Steps]]),
))</f>
        <v>0</v>
      </c>
      <c r="E1762">
        <f>_xlfn.LET(_xlpm.dir,Table1[[#This Row],[Direction]],
IF(_xlpm.dir="R",
    IF(F1761+Table1[[#This Row],[Steps]]&gt;99,(F1761+Table1[[#This Row],[Steps]])-100,F1761+Table1[[#This Row],[Steps]]),
))</f>
        <v>0</v>
      </c>
      <c r="F1762">
        <f>IF(Table1[[#This Row],[New Pos L]]&lt;&gt;0,Table1[[#This Row],[New Pos L]],Table1[[#This Row],[New Pos R]])</f>
        <v>0</v>
      </c>
    </row>
    <row r="1763" spans="1:6" ht="16" x14ac:dyDescent="0.2">
      <c r="A1763" s="1" t="s">
        <v>499</v>
      </c>
      <c r="B1763" t="str">
        <f>LEFT(Table1[[#This Row],[Input]],1)</f>
        <v>L</v>
      </c>
      <c r="C1763">
        <f>_xlfn.LET(_xlpm.steps,SUBSTITUTE(Table1[[#This Row],[Input]],Table1[[#This Row],[Direction]],""),VALUE(IF(LEN(_xlpm.steps)&gt;2,RIGHT(_xlpm.steps,2),_xlpm.steps)))</f>
        <v>34</v>
      </c>
      <c r="D1763">
        <f>_xlfn.LET(_xlpm.dir,Table1[[#This Row],[Direction]],
IF(_xlpm.dir="L",
    IF(F1762-Table1[[#This Row],[Steps]]&lt;0,100+(F1762-Table1[[#This Row],[Steps]]),F1762-Table1[[#This Row],[Steps]]),
))</f>
        <v>66</v>
      </c>
      <c r="E1763">
        <f>_xlfn.LET(_xlpm.dir,Table1[[#This Row],[Direction]],
IF(_xlpm.dir="R",
    IF(F1762+Table1[[#This Row],[Steps]]&gt;99,(F1762+Table1[[#This Row],[Steps]])-100,F1762+Table1[[#This Row],[Steps]]),
))</f>
        <v>0</v>
      </c>
      <c r="F1763">
        <f>IF(Table1[[#This Row],[New Pos L]]&lt;&gt;0,Table1[[#This Row],[New Pos L]],Table1[[#This Row],[New Pos R]])</f>
        <v>66</v>
      </c>
    </row>
    <row r="1764" spans="1:6" ht="16" x14ac:dyDescent="0.2">
      <c r="A1764" s="1" t="s">
        <v>245</v>
      </c>
      <c r="B1764" t="str">
        <f>LEFT(Table1[[#This Row],[Input]],1)</f>
        <v>R</v>
      </c>
      <c r="C1764">
        <f>_xlfn.LET(_xlpm.steps,SUBSTITUTE(Table1[[#This Row],[Input]],Table1[[#This Row],[Direction]],""),VALUE(IF(LEN(_xlpm.steps)&gt;2,RIGHT(_xlpm.steps,2),_xlpm.steps)))</f>
        <v>71</v>
      </c>
      <c r="D1764">
        <f>_xlfn.LET(_xlpm.dir,Table1[[#This Row],[Direction]],
IF(_xlpm.dir="L",
    IF(F1763-Table1[[#This Row],[Steps]]&lt;0,100+(F1763-Table1[[#This Row],[Steps]]),F1763-Table1[[#This Row],[Steps]]),
))</f>
        <v>0</v>
      </c>
      <c r="E1764">
        <f>_xlfn.LET(_xlpm.dir,Table1[[#This Row],[Direction]],
IF(_xlpm.dir="R",
    IF(F1763+Table1[[#This Row],[Steps]]&gt;99,(F1763+Table1[[#This Row],[Steps]])-100,F1763+Table1[[#This Row],[Steps]]),
))</f>
        <v>37</v>
      </c>
      <c r="F1764">
        <f>IF(Table1[[#This Row],[New Pos L]]&lt;&gt;0,Table1[[#This Row],[New Pos L]],Table1[[#This Row],[New Pos R]])</f>
        <v>37</v>
      </c>
    </row>
    <row r="1765" spans="1:6" ht="16" x14ac:dyDescent="0.2">
      <c r="A1765" s="1" t="s">
        <v>500</v>
      </c>
      <c r="B1765" t="str">
        <f>LEFT(Table1[[#This Row],[Input]],1)</f>
        <v>L</v>
      </c>
      <c r="C1765">
        <f>_xlfn.LET(_xlpm.steps,SUBSTITUTE(Table1[[#This Row],[Input]],Table1[[#This Row],[Direction]],""),VALUE(IF(LEN(_xlpm.steps)&gt;2,RIGHT(_xlpm.steps,2),_xlpm.steps)))</f>
        <v>18</v>
      </c>
      <c r="D1765">
        <f>_xlfn.LET(_xlpm.dir,Table1[[#This Row],[Direction]],
IF(_xlpm.dir="L",
    IF(F1764-Table1[[#This Row],[Steps]]&lt;0,100+(F1764-Table1[[#This Row],[Steps]]),F1764-Table1[[#This Row],[Steps]]),
))</f>
        <v>19</v>
      </c>
      <c r="E1765">
        <f>_xlfn.LET(_xlpm.dir,Table1[[#This Row],[Direction]],
IF(_xlpm.dir="R",
    IF(F1764+Table1[[#This Row],[Steps]]&gt;99,(F1764+Table1[[#This Row],[Steps]])-100,F1764+Table1[[#This Row],[Steps]]),
))</f>
        <v>0</v>
      </c>
      <c r="F1765">
        <f>IF(Table1[[#This Row],[New Pos L]]&lt;&gt;0,Table1[[#This Row],[New Pos L]],Table1[[#This Row],[New Pos R]])</f>
        <v>19</v>
      </c>
    </row>
    <row r="1766" spans="1:6" ht="16" x14ac:dyDescent="0.2">
      <c r="A1766" s="1" t="s">
        <v>501</v>
      </c>
      <c r="B1766" t="str">
        <f>LEFT(Table1[[#This Row],[Input]],1)</f>
        <v>R</v>
      </c>
      <c r="C1766">
        <f>_xlfn.LET(_xlpm.steps,SUBSTITUTE(Table1[[#This Row],[Input]],Table1[[#This Row],[Direction]],""),VALUE(IF(LEN(_xlpm.steps)&gt;2,RIGHT(_xlpm.steps,2),_xlpm.steps)))</f>
        <v>81</v>
      </c>
      <c r="D1766">
        <f>_xlfn.LET(_xlpm.dir,Table1[[#This Row],[Direction]],
IF(_xlpm.dir="L",
    IF(F1765-Table1[[#This Row],[Steps]]&lt;0,100+(F1765-Table1[[#This Row],[Steps]]),F1765-Table1[[#This Row],[Steps]]),
))</f>
        <v>0</v>
      </c>
      <c r="E1766">
        <f>_xlfn.LET(_xlpm.dir,Table1[[#This Row],[Direction]],
IF(_xlpm.dir="R",
    IF(F1765+Table1[[#This Row],[Steps]]&gt;99,(F1765+Table1[[#This Row],[Steps]])-100,F1765+Table1[[#This Row],[Steps]]),
))</f>
        <v>0</v>
      </c>
      <c r="F1766">
        <f>IF(Table1[[#This Row],[New Pos L]]&lt;&gt;0,Table1[[#This Row],[New Pos L]],Table1[[#This Row],[New Pos R]])</f>
        <v>0</v>
      </c>
    </row>
    <row r="1767" spans="1:6" ht="16" x14ac:dyDescent="0.2">
      <c r="A1767" s="1" t="s">
        <v>379</v>
      </c>
      <c r="B1767" t="str">
        <f>LEFT(Table1[[#This Row],[Input]],1)</f>
        <v>L</v>
      </c>
      <c r="C1767">
        <f>_xlfn.LET(_xlpm.steps,SUBSTITUTE(Table1[[#This Row],[Input]],Table1[[#This Row],[Direction]],""),VALUE(IF(LEN(_xlpm.steps)&gt;2,RIGHT(_xlpm.steps,2),_xlpm.steps)))</f>
        <v>4</v>
      </c>
      <c r="D1767">
        <f>_xlfn.LET(_xlpm.dir,Table1[[#This Row],[Direction]],
IF(_xlpm.dir="L",
    IF(F1766-Table1[[#This Row],[Steps]]&lt;0,100+(F1766-Table1[[#This Row],[Steps]]),F1766-Table1[[#This Row],[Steps]]),
))</f>
        <v>96</v>
      </c>
      <c r="E1767">
        <f>_xlfn.LET(_xlpm.dir,Table1[[#This Row],[Direction]],
IF(_xlpm.dir="R",
    IF(F1766+Table1[[#This Row],[Steps]]&gt;99,(F1766+Table1[[#This Row],[Steps]])-100,F1766+Table1[[#This Row],[Steps]]),
))</f>
        <v>0</v>
      </c>
      <c r="F1767">
        <f>IF(Table1[[#This Row],[New Pos L]]&lt;&gt;0,Table1[[#This Row],[New Pos L]],Table1[[#This Row],[New Pos R]])</f>
        <v>96</v>
      </c>
    </row>
    <row r="1768" spans="1:6" ht="16" x14ac:dyDescent="0.2">
      <c r="A1768" s="1" t="s">
        <v>69</v>
      </c>
      <c r="B1768" t="str">
        <f>LEFT(Table1[[#This Row],[Input]],1)</f>
        <v>R</v>
      </c>
      <c r="C1768">
        <f>_xlfn.LET(_xlpm.steps,SUBSTITUTE(Table1[[#This Row],[Input]],Table1[[#This Row],[Direction]],""),VALUE(IF(LEN(_xlpm.steps)&gt;2,RIGHT(_xlpm.steps,2),_xlpm.steps)))</f>
        <v>27</v>
      </c>
      <c r="D1768">
        <f>_xlfn.LET(_xlpm.dir,Table1[[#This Row],[Direction]],
IF(_xlpm.dir="L",
    IF(F1767-Table1[[#This Row],[Steps]]&lt;0,100+(F1767-Table1[[#This Row],[Steps]]),F1767-Table1[[#This Row],[Steps]]),
))</f>
        <v>0</v>
      </c>
      <c r="E1768">
        <f>_xlfn.LET(_xlpm.dir,Table1[[#This Row],[Direction]],
IF(_xlpm.dir="R",
    IF(F1767+Table1[[#This Row],[Steps]]&gt;99,(F1767+Table1[[#This Row],[Steps]])-100,F1767+Table1[[#This Row],[Steps]]),
))</f>
        <v>23</v>
      </c>
      <c r="F1768">
        <f>IF(Table1[[#This Row],[New Pos L]]&lt;&gt;0,Table1[[#This Row],[New Pos L]],Table1[[#This Row],[New Pos R]])</f>
        <v>23</v>
      </c>
    </row>
    <row r="1769" spans="1:6" ht="16" x14ac:dyDescent="0.2">
      <c r="A1769" s="1" t="s">
        <v>133</v>
      </c>
      <c r="B1769" t="str">
        <f>LEFT(Table1[[#This Row],[Input]],1)</f>
        <v>R</v>
      </c>
      <c r="C1769">
        <f>_xlfn.LET(_xlpm.steps,SUBSTITUTE(Table1[[#This Row],[Input]],Table1[[#This Row],[Direction]],""),VALUE(IF(LEN(_xlpm.steps)&gt;2,RIGHT(_xlpm.steps,2),_xlpm.steps)))</f>
        <v>77</v>
      </c>
      <c r="D1769">
        <f>_xlfn.LET(_xlpm.dir,Table1[[#This Row],[Direction]],
IF(_xlpm.dir="L",
    IF(F1768-Table1[[#This Row],[Steps]]&lt;0,100+(F1768-Table1[[#This Row],[Steps]]),F1768-Table1[[#This Row],[Steps]]),
))</f>
        <v>0</v>
      </c>
      <c r="E1769">
        <f>_xlfn.LET(_xlpm.dir,Table1[[#This Row],[Direction]],
IF(_xlpm.dir="R",
    IF(F1768+Table1[[#This Row],[Steps]]&gt;99,(F1768+Table1[[#This Row],[Steps]])-100,F1768+Table1[[#This Row],[Steps]]),
))</f>
        <v>0</v>
      </c>
      <c r="F1769">
        <f>IF(Table1[[#This Row],[New Pos L]]&lt;&gt;0,Table1[[#This Row],[New Pos L]],Table1[[#This Row],[New Pos R]])</f>
        <v>0</v>
      </c>
    </row>
    <row r="1770" spans="1:6" ht="16" x14ac:dyDescent="0.2">
      <c r="A1770" s="1" t="s">
        <v>95</v>
      </c>
      <c r="B1770" t="str">
        <f>LEFT(Table1[[#This Row],[Input]],1)</f>
        <v>L</v>
      </c>
      <c r="C1770">
        <f>_xlfn.LET(_xlpm.steps,SUBSTITUTE(Table1[[#This Row],[Input]],Table1[[#This Row],[Direction]],""),VALUE(IF(LEN(_xlpm.steps)&gt;2,RIGHT(_xlpm.steps,2),_xlpm.steps)))</f>
        <v>78</v>
      </c>
      <c r="D1770">
        <f>_xlfn.LET(_xlpm.dir,Table1[[#This Row],[Direction]],
IF(_xlpm.dir="L",
    IF(F1769-Table1[[#This Row],[Steps]]&lt;0,100+(F1769-Table1[[#This Row],[Steps]]),F1769-Table1[[#This Row],[Steps]]),
))</f>
        <v>22</v>
      </c>
      <c r="E1770">
        <f>_xlfn.LET(_xlpm.dir,Table1[[#This Row],[Direction]],
IF(_xlpm.dir="R",
    IF(F1769+Table1[[#This Row],[Steps]]&gt;99,(F1769+Table1[[#This Row],[Steps]])-100,F1769+Table1[[#This Row],[Steps]]),
))</f>
        <v>0</v>
      </c>
      <c r="F1770">
        <f>IF(Table1[[#This Row],[New Pos L]]&lt;&gt;0,Table1[[#This Row],[New Pos L]],Table1[[#This Row],[New Pos R]])</f>
        <v>22</v>
      </c>
    </row>
    <row r="1771" spans="1:6" ht="16" x14ac:dyDescent="0.2">
      <c r="A1771" s="1" t="s">
        <v>405</v>
      </c>
      <c r="B1771" t="str">
        <f>LEFT(Table1[[#This Row],[Input]],1)</f>
        <v>L</v>
      </c>
      <c r="C1771">
        <f>_xlfn.LET(_xlpm.steps,SUBSTITUTE(Table1[[#This Row],[Input]],Table1[[#This Row],[Direction]],""),VALUE(IF(LEN(_xlpm.steps)&gt;2,RIGHT(_xlpm.steps,2),_xlpm.steps)))</f>
        <v>32</v>
      </c>
      <c r="D1771">
        <f>_xlfn.LET(_xlpm.dir,Table1[[#This Row],[Direction]],
IF(_xlpm.dir="L",
    IF(F1770-Table1[[#This Row],[Steps]]&lt;0,100+(F1770-Table1[[#This Row],[Steps]]),F1770-Table1[[#This Row],[Steps]]),
))</f>
        <v>90</v>
      </c>
      <c r="E1771">
        <f>_xlfn.LET(_xlpm.dir,Table1[[#This Row],[Direction]],
IF(_xlpm.dir="R",
    IF(F1770+Table1[[#This Row],[Steps]]&gt;99,(F1770+Table1[[#This Row],[Steps]])-100,F1770+Table1[[#This Row],[Steps]]),
))</f>
        <v>0</v>
      </c>
      <c r="F1771">
        <f>IF(Table1[[#This Row],[New Pos L]]&lt;&gt;0,Table1[[#This Row],[New Pos L]],Table1[[#This Row],[New Pos R]])</f>
        <v>90</v>
      </c>
    </row>
    <row r="1772" spans="1:6" ht="16" x14ac:dyDescent="0.2">
      <c r="A1772" s="1" t="s">
        <v>54</v>
      </c>
      <c r="B1772" t="str">
        <f>LEFT(Table1[[#This Row],[Input]],1)</f>
        <v>L</v>
      </c>
      <c r="C1772">
        <f>_xlfn.LET(_xlpm.steps,SUBSTITUTE(Table1[[#This Row],[Input]],Table1[[#This Row],[Direction]],""),VALUE(IF(LEN(_xlpm.steps)&gt;2,RIGHT(_xlpm.steps,2),_xlpm.steps)))</f>
        <v>75</v>
      </c>
      <c r="D1772">
        <f>_xlfn.LET(_xlpm.dir,Table1[[#This Row],[Direction]],
IF(_xlpm.dir="L",
    IF(F1771-Table1[[#This Row],[Steps]]&lt;0,100+(F1771-Table1[[#This Row],[Steps]]),F1771-Table1[[#This Row],[Steps]]),
))</f>
        <v>15</v>
      </c>
      <c r="E1772">
        <f>_xlfn.LET(_xlpm.dir,Table1[[#This Row],[Direction]],
IF(_xlpm.dir="R",
    IF(F1771+Table1[[#This Row],[Steps]]&gt;99,(F1771+Table1[[#This Row],[Steps]])-100,F1771+Table1[[#This Row],[Steps]]),
))</f>
        <v>0</v>
      </c>
      <c r="F1772">
        <f>IF(Table1[[#This Row],[New Pos L]]&lt;&gt;0,Table1[[#This Row],[New Pos L]],Table1[[#This Row],[New Pos R]])</f>
        <v>15</v>
      </c>
    </row>
    <row r="1773" spans="1:6" ht="16" x14ac:dyDescent="0.2">
      <c r="A1773" s="1" t="s">
        <v>502</v>
      </c>
      <c r="B1773" t="str">
        <f>LEFT(Table1[[#This Row],[Input]],1)</f>
        <v>L</v>
      </c>
      <c r="C1773">
        <f>_xlfn.LET(_xlpm.steps,SUBSTITUTE(Table1[[#This Row],[Input]],Table1[[#This Row],[Direction]],""),VALUE(IF(LEN(_xlpm.steps)&gt;2,RIGHT(_xlpm.steps,2),_xlpm.steps)))</f>
        <v>80</v>
      </c>
      <c r="D1773">
        <f>_xlfn.LET(_xlpm.dir,Table1[[#This Row],[Direction]],
IF(_xlpm.dir="L",
    IF(F1772-Table1[[#This Row],[Steps]]&lt;0,100+(F1772-Table1[[#This Row],[Steps]]),F1772-Table1[[#This Row],[Steps]]),
))</f>
        <v>35</v>
      </c>
      <c r="E1773">
        <f>_xlfn.LET(_xlpm.dir,Table1[[#This Row],[Direction]],
IF(_xlpm.dir="R",
    IF(F1772+Table1[[#This Row],[Steps]]&gt;99,(F1772+Table1[[#This Row],[Steps]])-100,F1772+Table1[[#This Row],[Steps]]),
))</f>
        <v>0</v>
      </c>
      <c r="F1773">
        <f>IF(Table1[[#This Row],[New Pos L]]&lt;&gt;0,Table1[[#This Row],[New Pos L]],Table1[[#This Row],[New Pos R]])</f>
        <v>35</v>
      </c>
    </row>
    <row r="1774" spans="1:6" ht="16" x14ac:dyDescent="0.2">
      <c r="A1774" s="1" t="s">
        <v>60</v>
      </c>
      <c r="B1774" t="str">
        <f>LEFT(Table1[[#This Row],[Input]],1)</f>
        <v>R</v>
      </c>
      <c r="C1774">
        <f>_xlfn.LET(_xlpm.steps,SUBSTITUTE(Table1[[#This Row],[Input]],Table1[[#This Row],[Direction]],""),VALUE(IF(LEN(_xlpm.steps)&gt;2,RIGHT(_xlpm.steps,2),_xlpm.steps)))</f>
        <v>86</v>
      </c>
      <c r="D1774">
        <f>_xlfn.LET(_xlpm.dir,Table1[[#This Row],[Direction]],
IF(_xlpm.dir="L",
    IF(F1773-Table1[[#This Row],[Steps]]&lt;0,100+(F1773-Table1[[#This Row],[Steps]]),F1773-Table1[[#This Row],[Steps]]),
))</f>
        <v>0</v>
      </c>
      <c r="E1774">
        <f>_xlfn.LET(_xlpm.dir,Table1[[#This Row],[Direction]],
IF(_xlpm.dir="R",
    IF(F1773+Table1[[#This Row],[Steps]]&gt;99,(F1773+Table1[[#This Row],[Steps]])-100,F1773+Table1[[#This Row],[Steps]]),
))</f>
        <v>21</v>
      </c>
      <c r="F1774">
        <f>IF(Table1[[#This Row],[New Pos L]]&lt;&gt;0,Table1[[#This Row],[New Pos L]],Table1[[#This Row],[New Pos R]])</f>
        <v>21</v>
      </c>
    </row>
    <row r="1775" spans="1:6" ht="16" x14ac:dyDescent="0.2">
      <c r="A1775" s="1" t="s">
        <v>503</v>
      </c>
      <c r="B1775" t="str">
        <f>LEFT(Table1[[#This Row],[Input]],1)</f>
        <v>R</v>
      </c>
      <c r="C1775">
        <f>_xlfn.LET(_xlpm.steps,SUBSTITUTE(Table1[[#This Row],[Input]],Table1[[#This Row],[Direction]],""),VALUE(IF(LEN(_xlpm.steps)&gt;2,RIGHT(_xlpm.steps,2),_xlpm.steps)))</f>
        <v>79</v>
      </c>
      <c r="D1775">
        <f>_xlfn.LET(_xlpm.dir,Table1[[#This Row],[Direction]],
IF(_xlpm.dir="L",
    IF(F1774-Table1[[#This Row],[Steps]]&lt;0,100+(F1774-Table1[[#This Row],[Steps]]),F1774-Table1[[#This Row],[Steps]]),
))</f>
        <v>0</v>
      </c>
      <c r="E1775">
        <f>_xlfn.LET(_xlpm.dir,Table1[[#This Row],[Direction]],
IF(_xlpm.dir="R",
    IF(F1774+Table1[[#This Row],[Steps]]&gt;99,(F1774+Table1[[#This Row],[Steps]])-100,F1774+Table1[[#This Row],[Steps]]),
))</f>
        <v>0</v>
      </c>
      <c r="F1775">
        <f>IF(Table1[[#This Row],[New Pos L]]&lt;&gt;0,Table1[[#This Row],[New Pos L]],Table1[[#This Row],[New Pos R]])</f>
        <v>0</v>
      </c>
    </row>
    <row r="1776" spans="1:6" ht="16" x14ac:dyDescent="0.2">
      <c r="A1776" s="1" t="s">
        <v>59</v>
      </c>
      <c r="B1776" t="str">
        <f>LEFT(Table1[[#This Row],[Input]],1)</f>
        <v>L</v>
      </c>
      <c r="C1776">
        <f>_xlfn.LET(_xlpm.steps,SUBSTITUTE(Table1[[#This Row],[Input]],Table1[[#This Row],[Direction]],""),VALUE(IF(LEN(_xlpm.steps)&gt;2,RIGHT(_xlpm.steps,2),_xlpm.steps)))</f>
        <v>6</v>
      </c>
      <c r="D1776">
        <f>_xlfn.LET(_xlpm.dir,Table1[[#This Row],[Direction]],
IF(_xlpm.dir="L",
    IF(F1775-Table1[[#This Row],[Steps]]&lt;0,100+(F1775-Table1[[#This Row],[Steps]]),F1775-Table1[[#This Row],[Steps]]),
))</f>
        <v>94</v>
      </c>
      <c r="E1776">
        <f>_xlfn.LET(_xlpm.dir,Table1[[#This Row],[Direction]],
IF(_xlpm.dir="R",
    IF(F1775+Table1[[#This Row],[Steps]]&gt;99,(F1775+Table1[[#This Row],[Steps]])-100,F1775+Table1[[#This Row],[Steps]]),
))</f>
        <v>0</v>
      </c>
      <c r="F1776">
        <f>IF(Table1[[#This Row],[New Pos L]]&lt;&gt;0,Table1[[#This Row],[New Pos L]],Table1[[#This Row],[New Pos R]])</f>
        <v>94</v>
      </c>
    </row>
    <row r="1777" spans="1:6" ht="16" x14ac:dyDescent="0.2">
      <c r="A1777" s="1" t="s">
        <v>60</v>
      </c>
      <c r="B1777" t="str">
        <f>LEFT(Table1[[#This Row],[Input]],1)</f>
        <v>R</v>
      </c>
      <c r="C1777">
        <f>_xlfn.LET(_xlpm.steps,SUBSTITUTE(Table1[[#This Row],[Input]],Table1[[#This Row],[Direction]],""),VALUE(IF(LEN(_xlpm.steps)&gt;2,RIGHT(_xlpm.steps,2),_xlpm.steps)))</f>
        <v>86</v>
      </c>
      <c r="D1777">
        <f>_xlfn.LET(_xlpm.dir,Table1[[#This Row],[Direction]],
IF(_xlpm.dir="L",
    IF(F1776-Table1[[#This Row],[Steps]]&lt;0,100+(F1776-Table1[[#This Row],[Steps]]),F1776-Table1[[#This Row],[Steps]]),
))</f>
        <v>0</v>
      </c>
      <c r="E1777">
        <f>_xlfn.LET(_xlpm.dir,Table1[[#This Row],[Direction]],
IF(_xlpm.dir="R",
    IF(F1776+Table1[[#This Row],[Steps]]&gt;99,(F1776+Table1[[#This Row],[Steps]])-100,F1776+Table1[[#This Row],[Steps]]),
))</f>
        <v>80</v>
      </c>
      <c r="F1777">
        <f>IF(Table1[[#This Row],[New Pos L]]&lt;&gt;0,Table1[[#This Row],[New Pos L]],Table1[[#This Row],[New Pos R]])</f>
        <v>80</v>
      </c>
    </row>
    <row r="1778" spans="1:6" ht="16" x14ac:dyDescent="0.2">
      <c r="A1778" s="1" t="s">
        <v>187</v>
      </c>
      <c r="B1778" t="str">
        <f>LEFT(Table1[[#This Row],[Input]],1)</f>
        <v>R</v>
      </c>
      <c r="C1778">
        <f>_xlfn.LET(_xlpm.steps,SUBSTITUTE(Table1[[#This Row],[Input]],Table1[[#This Row],[Direction]],""),VALUE(IF(LEN(_xlpm.steps)&gt;2,RIGHT(_xlpm.steps,2),_xlpm.steps)))</f>
        <v>20</v>
      </c>
      <c r="D1778">
        <f>_xlfn.LET(_xlpm.dir,Table1[[#This Row],[Direction]],
IF(_xlpm.dir="L",
    IF(F1777-Table1[[#This Row],[Steps]]&lt;0,100+(F1777-Table1[[#This Row],[Steps]]),F1777-Table1[[#This Row],[Steps]]),
))</f>
        <v>0</v>
      </c>
      <c r="E1778">
        <f>_xlfn.LET(_xlpm.dir,Table1[[#This Row],[Direction]],
IF(_xlpm.dir="R",
    IF(F1777+Table1[[#This Row],[Steps]]&gt;99,(F1777+Table1[[#This Row],[Steps]])-100,F1777+Table1[[#This Row],[Steps]]),
))</f>
        <v>0</v>
      </c>
      <c r="F1778">
        <f>IF(Table1[[#This Row],[New Pos L]]&lt;&gt;0,Table1[[#This Row],[New Pos L]],Table1[[#This Row],[New Pos R]])</f>
        <v>0</v>
      </c>
    </row>
    <row r="1779" spans="1:6" ht="16" x14ac:dyDescent="0.2">
      <c r="A1779" s="1" t="s">
        <v>504</v>
      </c>
      <c r="B1779" t="str">
        <f>LEFT(Table1[[#This Row],[Input]],1)</f>
        <v>R</v>
      </c>
      <c r="C1779">
        <f>_xlfn.LET(_xlpm.steps,SUBSTITUTE(Table1[[#This Row],[Input]],Table1[[#This Row],[Direction]],""),VALUE(IF(LEN(_xlpm.steps)&gt;2,RIGHT(_xlpm.steps,2),_xlpm.steps)))</f>
        <v>94</v>
      </c>
      <c r="D1779">
        <f>_xlfn.LET(_xlpm.dir,Table1[[#This Row],[Direction]],
IF(_xlpm.dir="L",
    IF(F1778-Table1[[#This Row],[Steps]]&lt;0,100+(F1778-Table1[[#This Row],[Steps]]),F1778-Table1[[#This Row],[Steps]]),
))</f>
        <v>0</v>
      </c>
      <c r="E1779">
        <f>_xlfn.LET(_xlpm.dir,Table1[[#This Row],[Direction]],
IF(_xlpm.dir="R",
    IF(F1778+Table1[[#This Row],[Steps]]&gt;99,(F1778+Table1[[#This Row],[Steps]])-100,F1778+Table1[[#This Row],[Steps]]),
))</f>
        <v>94</v>
      </c>
      <c r="F1779">
        <f>IF(Table1[[#This Row],[New Pos L]]&lt;&gt;0,Table1[[#This Row],[New Pos L]],Table1[[#This Row],[New Pos R]])</f>
        <v>94</v>
      </c>
    </row>
    <row r="1780" spans="1:6" ht="16" x14ac:dyDescent="0.2">
      <c r="A1780" s="1" t="s">
        <v>209</v>
      </c>
      <c r="B1780" t="str">
        <f>LEFT(Table1[[#This Row],[Input]],1)</f>
        <v>L</v>
      </c>
      <c r="C1780">
        <f>_xlfn.LET(_xlpm.steps,SUBSTITUTE(Table1[[#This Row],[Input]],Table1[[#This Row],[Direction]],""),VALUE(IF(LEN(_xlpm.steps)&gt;2,RIGHT(_xlpm.steps,2),_xlpm.steps)))</f>
        <v>86</v>
      </c>
      <c r="D1780">
        <f>_xlfn.LET(_xlpm.dir,Table1[[#This Row],[Direction]],
IF(_xlpm.dir="L",
    IF(F1779-Table1[[#This Row],[Steps]]&lt;0,100+(F1779-Table1[[#This Row],[Steps]]),F1779-Table1[[#This Row],[Steps]]),
))</f>
        <v>8</v>
      </c>
      <c r="E1780">
        <f>_xlfn.LET(_xlpm.dir,Table1[[#This Row],[Direction]],
IF(_xlpm.dir="R",
    IF(F1779+Table1[[#This Row],[Steps]]&gt;99,(F1779+Table1[[#This Row],[Steps]])-100,F1779+Table1[[#This Row],[Steps]]),
))</f>
        <v>0</v>
      </c>
      <c r="F1780">
        <f>IF(Table1[[#This Row],[New Pos L]]&lt;&gt;0,Table1[[#This Row],[New Pos L]],Table1[[#This Row],[New Pos R]])</f>
        <v>8</v>
      </c>
    </row>
    <row r="1781" spans="1:6" ht="16" x14ac:dyDescent="0.2">
      <c r="A1781" s="1" t="s">
        <v>364</v>
      </c>
      <c r="B1781" t="str">
        <f>LEFT(Table1[[#This Row],[Input]],1)</f>
        <v>L</v>
      </c>
      <c r="C1781">
        <f>_xlfn.LET(_xlpm.steps,SUBSTITUTE(Table1[[#This Row],[Input]],Table1[[#This Row],[Direction]],""),VALUE(IF(LEN(_xlpm.steps)&gt;2,RIGHT(_xlpm.steps,2),_xlpm.steps)))</f>
        <v>70</v>
      </c>
      <c r="D1781">
        <f>_xlfn.LET(_xlpm.dir,Table1[[#This Row],[Direction]],
IF(_xlpm.dir="L",
    IF(F1780-Table1[[#This Row],[Steps]]&lt;0,100+(F1780-Table1[[#This Row],[Steps]]),F1780-Table1[[#This Row],[Steps]]),
))</f>
        <v>38</v>
      </c>
      <c r="E1781">
        <f>_xlfn.LET(_xlpm.dir,Table1[[#This Row],[Direction]],
IF(_xlpm.dir="R",
    IF(F1780+Table1[[#This Row],[Steps]]&gt;99,(F1780+Table1[[#This Row],[Steps]])-100,F1780+Table1[[#This Row],[Steps]]),
))</f>
        <v>0</v>
      </c>
      <c r="F1781">
        <f>IF(Table1[[#This Row],[New Pos L]]&lt;&gt;0,Table1[[#This Row],[New Pos L]],Table1[[#This Row],[New Pos R]])</f>
        <v>38</v>
      </c>
    </row>
    <row r="1782" spans="1:6" ht="16" x14ac:dyDescent="0.2">
      <c r="A1782" s="1" t="s">
        <v>234</v>
      </c>
      <c r="B1782" t="str">
        <f>LEFT(Table1[[#This Row],[Input]],1)</f>
        <v>R</v>
      </c>
      <c r="C1782">
        <f>_xlfn.LET(_xlpm.steps,SUBSTITUTE(Table1[[#This Row],[Input]],Table1[[#This Row],[Direction]],""),VALUE(IF(LEN(_xlpm.steps)&gt;2,RIGHT(_xlpm.steps,2),_xlpm.steps)))</f>
        <v>82</v>
      </c>
      <c r="D1782">
        <f>_xlfn.LET(_xlpm.dir,Table1[[#This Row],[Direction]],
IF(_xlpm.dir="L",
    IF(F1781-Table1[[#This Row],[Steps]]&lt;0,100+(F1781-Table1[[#This Row],[Steps]]),F1781-Table1[[#This Row],[Steps]]),
))</f>
        <v>0</v>
      </c>
      <c r="E1782">
        <f>_xlfn.LET(_xlpm.dir,Table1[[#This Row],[Direction]],
IF(_xlpm.dir="R",
    IF(F1781+Table1[[#This Row],[Steps]]&gt;99,(F1781+Table1[[#This Row],[Steps]])-100,F1781+Table1[[#This Row],[Steps]]),
))</f>
        <v>20</v>
      </c>
      <c r="F1782">
        <f>IF(Table1[[#This Row],[New Pos L]]&lt;&gt;0,Table1[[#This Row],[New Pos L]],Table1[[#This Row],[New Pos R]])</f>
        <v>20</v>
      </c>
    </row>
    <row r="1783" spans="1:6" ht="16" x14ac:dyDescent="0.2">
      <c r="A1783" s="1" t="s">
        <v>148</v>
      </c>
      <c r="B1783" t="str">
        <f>LEFT(Table1[[#This Row],[Input]],1)</f>
        <v>R</v>
      </c>
      <c r="C1783">
        <f>_xlfn.LET(_xlpm.steps,SUBSTITUTE(Table1[[#This Row],[Input]],Table1[[#This Row],[Direction]],""),VALUE(IF(LEN(_xlpm.steps)&gt;2,RIGHT(_xlpm.steps,2),_xlpm.steps)))</f>
        <v>80</v>
      </c>
      <c r="D1783">
        <f>_xlfn.LET(_xlpm.dir,Table1[[#This Row],[Direction]],
IF(_xlpm.dir="L",
    IF(F1782-Table1[[#This Row],[Steps]]&lt;0,100+(F1782-Table1[[#This Row],[Steps]]),F1782-Table1[[#This Row],[Steps]]),
))</f>
        <v>0</v>
      </c>
      <c r="E1783">
        <f>_xlfn.LET(_xlpm.dir,Table1[[#This Row],[Direction]],
IF(_xlpm.dir="R",
    IF(F1782+Table1[[#This Row],[Steps]]&gt;99,(F1782+Table1[[#This Row],[Steps]])-100,F1782+Table1[[#This Row],[Steps]]),
))</f>
        <v>0</v>
      </c>
      <c r="F1783">
        <f>IF(Table1[[#This Row],[New Pos L]]&lt;&gt;0,Table1[[#This Row],[New Pos L]],Table1[[#This Row],[New Pos R]])</f>
        <v>0</v>
      </c>
    </row>
    <row r="1784" spans="1:6" ht="16" x14ac:dyDescent="0.2">
      <c r="A1784" s="1" t="s">
        <v>9</v>
      </c>
      <c r="B1784" t="str">
        <f>LEFT(Table1[[#This Row],[Input]],1)</f>
        <v>L</v>
      </c>
      <c r="C1784">
        <f>_xlfn.LET(_xlpm.steps,SUBSTITUTE(Table1[[#This Row],[Input]],Table1[[#This Row],[Direction]],""),VALUE(IF(LEN(_xlpm.steps)&gt;2,RIGHT(_xlpm.steps,2),_xlpm.steps)))</f>
        <v>9</v>
      </c>
      <c r="D1784">
        <f>_xlfn.LET(_xlpm.dir,Table1[[#This Row],[Direction]],
IF(_xlpm.dir="L",
    IF(F1783-Table1[[#This Row],[Steps]]&lt;0,100+(F1783-Table1[[#This Row],[Steps]]),F1783-Table1[[#This Row],[Steps]]),
))</f>
        <v>91</v>
      </c>
      <c r="E1784">
        <f>_xlfn.LET(_xlpm.dir,Table1[[#This Row],[Direction]],
IF(_xlpm.dir="R",
    IF(F1783+Table1[[#This Row],[Steps]]&gt;99,(F1783+Table1[[#This Row],[Steps]])-100,F1783+Table1[[#This Row],[Steps]]),
))</f>
        <v>0</v>
      </c>
      <c r="F1784">
        <f>IF(Table1[[#This Row],[New Pos L]]&lt;&gt;0,Table1[[#This Row],[New Pos L]],Table1[[#This Row],[New Pos R]])</f>
        <v>91</v>
      </c>
    </row>
    <row r="1785" spans="1:6" ht="16" x14ac:dyDescent="0.2">
      <c r="A1785" s="1" t="s">
        <v>505</v>
      </c>
      <c r="B1785" t="str">
        <f>LEFT(Table1[[#This Row],[Input]],1)</f>
        <v>L</v>
      </c>
      <c r="C1785">
        <f>_xlfn.LET(_xlpm.steps,SUBSTITUTE(Table1[[#This Row],[Input]],Table1[[#This Row],[Direction]],""),VALUE(IF(LEN(_xlpm.steps)&gt;2,RIGHT(_xlpm.steps,2),_xlpm.steps)))</f>
        <v>91</v>
      </c>
      <c r="D1785">
        <f>_xlfn.LET(_xlpm.dir,Table1[[#This Row],[Direction]],
IF(_xlpm.dir="L",
    IF(F1784-Table1[[#This Row],[Steps]]&lt;0,100+(F1784-Table1[[#This Row],[Steps]]),F1784-Table1[[#This Row],[Steps]]),
))</f>
        <v>0</v>
      </c>
      <c r="E1785">
        <f>_xlfn.LET(_xlpm.dir,Table1[[#This Row],[Direction]],
IF(_xlpm.dir="R",
    IF(F1784+Table1[[#This Row],[Steps]]&gt;99,(F1784+Table1[[#This Row],[Steps]])-100,F1784+Table1[[#This Row],[Steps]]),
))</f>
        <v>0</v>
      </c>
      <c r="F1785">
        <f>IF(Table1[[#This Row],[New Pos L]]&lt;&gt;0,Table1[[#This Row],[New Pos L]],Table1[[#This Row],[New Pos R]])</f>
        <v>0</v>
      </c>
    </row>
    <row r="1786" spans="1:6" ht="16" x14ac:dyDescent="0.2">
      <c r="A1786" s="1" t="s">
        <v>60</v>
      </c>
      <c r="B1786" t="str">
        <f>LEFT(Table1[[#This Row],[Input]],1)</f>
        <v>R</v>
      </c>
      <c r="C1786">
        <f>_xlfn.LET(_xlpm.steps,SUBSTITUTE(Table1[[#This Row],[Input]],Table1[[#This Row],[Direction]],""),VALUE(IF(LEN(_xlpm.steps)&gt;2,RIGHT(_xlpm.steps,2),_xlpm.steps)))</f>
        <v>86</v>
      </c>
      <c r="D1786">
        <f>_xlfn.LET(_xlpm.dir,Table1[[#This Row],[Direction]],
IF(_xlpm.dir="L",
    IF(F1785-Table1[[#This Row],[Steps]]&lt;0,100+(F1785-Table1[[#This Row],[Steps]]),F1785-Table1[[#This Row],[Steps]]),
))</f>
        <v>0</v>
      </c>
      <c r="E1786">
        <f>_xlfn.LET(_xlpm.dir,Table1[[#This Row],[Direction]],
IF(_xlpm.dir="R",
    IF(F1785+Table1[[#This Row],[Steps]]&gt;99,(F1785+Table1[[#This Row],[Steps]])-100,F1785+Table1[[#This Row],[Steps]]),
))</f>
        <v>86</v>
      </c>
      <c r="F1786">
        <f>IF(Table1[[#This Row],[New Pos L]]&lt;&gt;0,Table1[[#This Row],[New Pos L]],Table1[[#This Row],[New Pos R]])</f>
        <v>86</v>
      </c>
    </row>
    <row r="1787" spans="1:6" ht="16" x14ac:dyDescent="0.2">
      <c r="A1787" s="1" t="s">
        <v>136</v>
      </c>
      <c r="B1787" t="str">
        <f>LEFT(Table1[[#This Row],[Input]],1)</f>
        <v>L</v>
      </c>
      <c r="C1787">
        <f>_xlfn.LET(_xlpm.steps,SUBSTITUTE(Table1[[#This Row],[Input]],Table1[[#This Row],[Direction]],""),VALUE(IF(LEN(_xlpm.steps)&gt;2,RIGHT(_xlpm.steps,2),_xlpm.steps)))</f>
        <v>72</v>
      </c>
      <c r="D1787">
        <f>_xlfn.LET(_xlpm.dir,Table1[[#This Row],[Direction]],
IF(_xlpm.dir="L",
    IF(F1786-Table1[[#This Row],[Steps]]&lt;0,100+(F1786-Table1[[#This Row],[Steps]]),F1786-Table1[[#This Row],[Steps]]),
))</f>
        <v>14</v>
      </c>
      <c r="E1787">
        <f>_xlfn.LET(_xlpm.dir,Table1[[#This Row],[Direction]],
IF(_xlpm.dir="R",
    IF(F1786+Table1[[#This Row],[Steps]]&gt;99,(F1786+Table1[[#This Row],[Steps]])-100,F1786+Table1[[#This Row],[Steps]]),
))</f>
        <v>0</v>
      </c>
      <c r="F1787">
        <f>IF(Table1[[#This Row],[New Pos L]]&lt;&gt;0,Table1[[#This Row],[New Pos L]],Table1[[#This Row],[New Pos R]])</f>
        <v>14</v>
      </c>
    </row>
    <row r="1788" spans="1:6" ht="16" x14ac:dyDescent="0.2">
      <c r="A1788" s="1" t="s">
        <v>506</v>
      </c>
      <c r="B1788" t="str">
        <f>LEFT(Table1[[#This Row],[Input]],1)</f>
        <v>L</v>
      </c>
      <c r="C1788">
        <f>_xlfn.LET(_xlpm.steps,SUBSTITUTE(Table1[[#This Row],[Input]],Table1[[#This Row],[Direction]],""),VALUE(IF(LEN(_xlpm.steps)&gt;2,RIGHT(_xlpm.steps,2),_xlpm.steps)))</f>
        <v>14</v>
      </c>
      <c r="D1788">
        <f>_xlfn.LET(_xlpm.dir,Table1[[#This Row],[Direction]],
IF(_xlpm.dir="L",
    IF(F1787-Table1[[#This Row],[Steps]]&lt;0,100+(F1787-Table1[[#This Row],[Steps]]),F1787-Table1[[#This Row],[Steps]]),
))</f>
        <v>0</v>
      </c>
      <c r="E1788">
        <f>_xlfn.LET(_xlpm.dir,Table1[[#This Row],[Direction]],
IF(_xlpm.dir="R",
    IF(F1787+Table1[[#This Row],[Steps]]&gt;99,(F1787+Table1[[#This Row],[Steps]])-100,F1787+Table1[[#This Row],[Steps]]),
))</f>
        <v>0</v>
      </c>
      <c r="F1788">
        <f>IF(Table1[[#This Row],[New Pos L]]&lt;&gt;0,Table1[[#This Row],[New Pos L]],Table1[[#This Row],[New Pos R]])</f>
        <v>0</v>
      </c>
    </row>
    <row r="1789" spans="1:6" ht="16" x14ac:dyDescent="0.2">
      <c r="A1789" s="1" t="s">
        <v>158</v>
      </c>
      <c r="B1789" t="str">
        <f>LEFT(Table1[[#This Row],[Input]],1)</f>
        <v>L</v>
      </c>
      <c r="C1789">
        <f>_xlfn.LET(_xlpm.steps,SUBSTITUTE(Table1[[#This Row],[Input]],Table1[[#This Row],[Direction]],""),VALUE(IF(LEN(_xlpm.steps)&gt;2,RIGHT(_xlpm.steps,2),_xlpm.steps)))</f>
        <v>24</v>
      </c>
      <c r="D1789">
        <f>_xlfn.LET(_xlpm.dir,Table1[[#This Row],[Direction]],
IF(_xlpm.dir="L",
    IF(F1788-Table1[[#This Row],[Steps]]&lt;0,100+(F1788-Table1[[#This Row],[Steps]]),F1788-Table1[[#This Row],[Steps]]),
))</f>
        <v>76</v>
      </c>
      <c r="E1789">
        <f>_xlfn.LET(_xlpm.dir,Table1[[#This Row],[Direction]],
IF(_xlpm.dir="R",
    IF(F1788+Table1[[#This Row],[Steps]]&gt;99,(F1788+Table1[[#This Row],[Steps]])-100,F1788+Table1[[#This Row],[Steps]]),
))</f>
        <v>0</v>
      </c>
      <c r="F1789">
        <f>IF(Table1[[#This Row],[New Pos L]]&lt;&gt;0,Table1[[#This Row],[New Pos L]],Table1[[#This Row],[New Pos R]])</f>
        <v>76</v>
      </c>
    </row>
    <row r="1790" spans="1:6" ht="16" x14ac:dyDescent="0.2">
      <c r="A1790" s="1" t="s">
        <v>172</v>
      </c>
      <c r="B1790" t="str">
        <f>LEFT(Table1[[#This Row],[Input]],1)</f>
        <v>L</v>
      </c>
      <c r="C1790">
        <f>_xlfn.LET(_xlpm.steps,SUBSTITUTE(Table1[[#This Row],[Input]],Table1[[#This Row],[Direction]],""),VALUE(IF(LEN(_xlpm.steps)&gt;2,RIGHT(_xlpm.steps,2),_xlpm.steps)))</f>
        <v>66</v>
      </c>
      <c r="D1790">
        <f>_xlfn.LET(_xlpm.dir,Table1[[#This Row],[Direction]],
IF(_xlpm.dir="L",
    IF(F1789-Table1[[#This Row],[Steps]]&lt;0,100+(F1789-Table1[[#This Row],[Steps]]),F1789-Table1[[#This Row],[Steps]]),
))</f>
        <v>10</v>
      </c>
      <c r="E1790">
        <f>_xlfn.LET(_xlpm.dir,Table1[[#This Row],[Direction]],
IF(_xlpm.dir="R",
    IF(F1789+Table1[[#This Row],[Steps]]&gt;99,(F1789+Table1[[#This Row],[Steps]])-100,F1789+Table1[[#This Row],[Steps]]),
))</f>
        <v>0</v>
      </c>
      <c r="F1790">
        <f>IF(Table1[[#This Row],[New Pos L]]&lt;&gt;0,Table1[[#This Row],[New Pos L]],Table1[[#This Row],[New Pos R]])</f>
        <v>10</v>
      </c>
    </row>
    <row r="1791" spans="1:6" ht="16" x14ac:dyDescent="0.2">
      <c r="A1791" s="1" t="s">
        <v>309</v>
      </c>
      <c r="B1791" t="str">
        <f>LEFT(Table1[[#This Row],[Input]],1)</f>
        <v>L</v>
      </c>
      <c r="C1791">
        <f>_xlfn.LET(_xlpm.steps,SUBSTITUTE(Table1[[#This Row],[Input]],Table1[[#This Row],[Direction]],""),VALUE(IF(LEN(_xlpm.steps)&gt;2,RIGHT(_xlpm.steps,2),_xlpm.steps)))</f>
        <v>41</v>
      </c>
      <c r="D1791">
        <f>_xlfn.LET(_xlpm.dir,Table1[[#This Row],[Direction]],
IF(_xlpm.dir="L",
    IF(F1790-Table1[[#This Row],[Steps]]&lt;0,100+(F1790-Table1[[#This Row],[Steps]]),F1790-Table1[[#This Row],[Steps]]),
))</f>
        <v>69</v>
      </c>
      <c r="E1791">
        <f>_xlfn.LET(_xlpm.dir,Table1[[#This Row],[Direction]],
IF(_xlpm.dir="R",
    IF(F1790+Table1[[#This Row],[Steps]]&gt;99,(F1790+Table1[[#This Row],[Steps]])-100,F1790+Table1[[#This Row],[Steps]]),
))</f>
        <v>0</v>
      </c>
      <c r="F1791">
        <f>IF(Table1[[#This Row],[New Pos L]]&lt;&gt;0,Table1[[#This Row],[New Pos L]],Table1[[#This Row],[New Pos R]])</f>
        <v>69</v>
      </c>
    </row>
    <row r="1792" spans="1:6" ht="16" x14ac:dyDescent="0.2">
      <c r="A1792" s="1" t="s">
        <v>121</v>
      </c>
      <c r="B1792" t="str">
        <f>LEFT(Table1[[#This Row],[Input]],1)</f>
        <v>L</v>
      </c>
      <c r="C1792">
        <f>_xlfn.LET(_xlpm.steps,SUBSTITUTE(Table1[[#This Row],[Input]],Table1[[#This Row],[Direction]],""),VALUE(IF(LEN(_xlpm.steps)&gt;2,RIGHT(_xlpm.steps,2),_xlpm.steps)))</f>
        <v>69</v>
      </c>
      <c r="D1792">
        <f>_xlfn.LET(_xlpm.dir,Table1[[#This Row],[Direction]],
IF(_xlpm.dir="L",
    IF(F1791-Table1[[#This Row],[Steps]]&lt;0,100+(F1791-Table1[[#This Row],[Steps]]),F1791-Table1[[#This Row],[Steps]]),
))</f>
        <v>0</v>
      </c>
      <c r="E1792">
        <f>_xlfn.LET(_xlpm.dir,Table1[[#This Row],[Direction]],
IF(_xlpm.dir="R",
    IF(F1791+Table1[[#This Row],[Steps]]&gt;99,(F1791+Table1[[#This Row],[Steps]])-100,F1791+Table1[[#This Row],[Steps]]),
))</f>
        <v>0</v>
      </c>
      <c r="F1792">
        <f>IF(Table1[[#This Row],[New Pos L]]&lt;&gt;0,Table1[[#This Row],[New Pos L]],Table1[[#This Row],[New Pos R]])</f>
        <v>0</v>
      </c>
    </row>
    <row r="1793" spans="1:6" ht="16" x14ac:dyDescent="0.2">
      <c r="A1793" s="1" t="s">
        <v>507</v>
      </c>
      <c r="B1793" t="str">
        <f>LEFT(Table1[[#This Row],[Input]],1)</f>
        <v>L</v>
      </c>
      <c r="C1793">
        <f>_xlfn.LET(_xlpm.steps,SUBSTITUTE(Table1[[#This Row],[Input]],Table1[[#This Row],[Direction]],""),VALUE(IF(LEN(_xlpm.steps)&gt;2,RIGHT(_xlpm.steps,2),_xlpm.steps)))</f>
        <v>97</v>
      </c>
      <c r="D1793">
        <f>_xlfn.LET(_xlpm.dir,Table1[[#This Row],[Direction]],
IF(_xlpm.dir="L",
    IF(F1792-Table1[[#This Row],[Steps]]&lt;0,100+(F1792-Table1[[#This Row],[Steps]]),F1792-Table1[[#This Row],[Steps]]),
))</f>
        <v>3</v>
      </c>
      <c r="E1793">
        <f>_xlfn.LET(_xlpm.dir,Table1[[#This Row],[Direction]],
IF(_xlpm.dir="R",
    IF(F1792+Table1[[#This Row],[Steps]]&gt;99,(F1792+Table1[[#This Row],[Steps]])-100,F1792+Table1[[#This Row],[Steps]]),
))</f>
        <v>0</v>
      </c>
      <c r="F1793">
        <f>IF(Table1[[#This Row],[New Pos L]]&lt;&gt;0,Table1[[#This Row],[New Pos L]],Table1[[#This Row],[New Pos R]])</f>
        <v>3</v>
      </c>
    </row>
    <row r="1794" spans="1:6" ht="16" x14ac:dyDescent="0.2">
      <c r="A1794" s="1" t="s">
        <v>508</v>
      </c>
      <c r="B1794" t="str">
        <f>LEFT(Table1[[#This Row],[Input]],1)</f>
        <v>R</v>
      </c>
      <c r="C1794">
        <f>_xlfn.LET(_xlpm.steps,SUBSTITUTE(Table1[[#This Row],[Input]],Table1[[#This Row],[Direction]],""),VALUE(IF(LEN(_xlpm.steps)&gt;2,RIGHT(_xlpm.steps,2),_xlpm.steps)))</f>
        <v>59</v>
      </c>
      <c r="D1794">
        <f>_xlfn.LET(_xlpm.dir,Table1[[#This Row],[Direction]],
IF(_xlpm.dir="L",
    IF(F1793-Table1[[#This Row],[Steps]]&lt;0,100+(F1793-Table1[[#This Row],[Steps]]),F1793-Table1[[#This Row],[Steps]]),
))</f>
        <v>0</v>
      </c>
      <c r="E1794">
        <f>_xlfn.LET(_xlpm.dir,Table1[[#This Row],[Direction]],
IF(_xlpm.dir="R",
    IF(F1793+Table1[[#This Row],[Steps]]&gt;99,(F1793+Table1[[#This Row],[Steps]])-100,F1793+Table1[[#This Row],[Steps]]),
))</f>
        <v>62</v>
      </c>
      <c r="F1794">
        <f>IF(Table1[[#This Row],[New Pos L]]&lt;&gt;0,Table1[[#This Row],[New Pos L]],Table1[[#This Row],[New Pos R]])</f>
        <v>62</v>
      </c>
    </row>
    <row r="1795" spans="1:6" ht="16" x14ac:dyDescent="0.2">
      <c r="A1795" s="1" t="s">
        <v>129</v>
      </c>
      <c r="B1795" t="str">
        <f>LEFT(Table1[[#This Row],[Input]],1)</f>
        <v>R</v>
      </c>
      <c r="C1795">
        <f>_xlfn.LET(_xlpm.steps,SUBSTITUTE(Table1[[#This Row],[Input]],Table1[[#This Row],[Direction]],""),VALUE(IF(LEN(_xlpm.steps)&gt;2,RIGHT(_xlpm.steps,2),_xlpm.steps)))</f>
        <v>8</v>
      </c>
      <c r="D1795">
        <f>_xlfn.LET(_xlpm.dir,Table1[[#This Row],[Direction]],
IF(_xlpm.dir="L",
    IF(F1794-Table1[[#This Row],[Steps]]&lt;0,100+(F1794-Table1[[#This Row],[Steps]]),F1794-Table1[[#This Row],[Steps]]),
))</f>
        <v>0</v>
      </c>
      <c r="E1795">
        <f>_xlfn.LET(_xlpm.dir,Table1[[#This Row],[Direction]],
IF(_xlpm.dir="R",
    IF(F1794+Table1[[#This Row],[Steps]]&gt;99,(F1794+Table1[[#This Row],[Steps]])-100,F1794+Table1[[#This Row],[Steps]]),
))</f>
        <v>70</v>
      </c>
      <c r="F1795">
        <f>IF(Table1[[#This Row],[New Pos L]]&lt;&gt;0,Table1[[#This Row],[New Pos L]],Table1[[#This Row],[New Pos R]])</f>
        <v>70</v>
      </c>
    </row>
    <row r="1796" spans="1:6" ht="16" x14ac:dyDescent="0.2">
      <c r="A1796" s="1" t="s">
        <v>364</v>
      </c>
      <c r="B1796" t="str">
        <f>LEFT(Table1[[#This Row],[Input]],1)</f>
        <v>L</v>
      </c>
      <c r="C1796">
        <f>_xlfn.LET(_xlpm.steps,SUBSTITUTE(Table1[[#This Row],[Input]],Table1[[#This Row],[Direction]],""),VALUE(IF(LEN(_xlpm.steps)&gt;2,RIGHT(_xlpm.steps,2),_xlpm.steps)))</f>
        <v>70</v>
      </c>
      <c r="D1796">
        <f>_xlfn.LET(_xlpm.dir,Table1[[#This Row],[Direction]],
IF(_xlpm.dir="L",
    IF(F1795-Table1[[#This Row],[Steps]]&lt;0,100+(F1795-Table1[[#This Row],[Steps]]),F1795-Table1[[#This Row],[Steps]]),
))</f>
        <v>0</v>
      </c>
      <c r="E1796">
        <f>_xlfn.LET(_xlpm.dir,Table1[[#This Row],[Direction]],
IF(_xlpm.dir="R",
    IF(F1795+Table1[[#This Row],[Steps]]&gt;99,(F1795+Table1[[#This Row],[Steps]])-100,F1795+Table1[[#This Row],[Steps]]),
))</f>
        <v>0</v>
      </c>
      <c r="F1796">
        <f>IF(Table1[[#This Row],[New Pos L]]&lt;&gt;0,Table1[[#This Row],[New Pos L]],Table1[[#This Row],[New Pos R]])</f>
        <v>0</v>
      </c>
    </row>
    <row r="1797" spans="1:6" ht="16" x14ac:dyDescent="0.2">
      <c r="A1797" s="1" t="s">
        <v>44</v>
      </c>
      <c r="B1797" t="str">
        <f>LEFT(Table1[[#This Row],[Input]],1)</f>
        <v>R</v>
      </c>
      <c r="C1797">
        <f>_xlfn.LET(_xlpm.steps,SUBSTITUTE(Table1[[#This Row],[Input]],Table1[[#This Row],[Direction]],""),VALUE(IF(LEN(_xlpm.steps)&gt;2,RIGHT(_xlpm.steps,2),_xlpm.steps)))</f>
        <v>96</v>
      </c>
      <c r="D1797">
        <f>_xlfn.LET(_xlpm.dir,Table1[[#This Row],[Direction]],
IF(_xlpm.dir="L",
    IF(F1796-Table1[[#This Row],[Steps]]&lt;0,100+(F1796-Table1[[#This Row],[Steps]]),F1796-Table1[[#This Row],[Steps]]),
))</f>
        <v>0</v>
      </c>
      <c r="E1797">
        <f>_xlfn.LET(_xlpm.dir,Table1[[#This Row],[Direction]],
IF(_xlpm.dir="R",
    IF(F1796+Table1[[#This Row],[Steps]]&gt;99,(F1796+Table1[[#This Row],[Steps]])-100,F1796+Table1[[#This Row],[Steps]]),
))</f>
        <v>96</v>
      </c>
      <c r="F1797">
        <f>IF(Table1[[#This Row],[New Pos L]]&lt;&gt;0,Table1[[#This Row],[New Pos L]],Table1[[#This Row],[New Pos R]])</f>
        <v>96</v>
      </c>
    </row>
    <row r="1798" spans="1:6" ht="16" x14ac:dyDescent="0.2">
      <c r="A1798" s="1" t="s">
        <v>157</v>
      </c>
      <c r="B1798" t="str">
        <f>LEFT(Table1[[#This Row],[Input]],1)</f>
        <v>R</v>
      </c>
      <c r="C1798">
        <f>_xlfn.LET(_xlpm.steps,SUBSTITUTE(Table1[[#This Row],[Input]],Table1[[#This Row],[Direction]],""),VALUE(IF(LEN(_xlpm.steps)&gt;2,RIGHT(_xlpm.steps,2),_xlpm.steps)))</f>
        <v>68</v>
      </c>
      <c r="D1798">
        <f>_xlfn.LET(_xlpm.dir,Table1[[#This Row],[Direction]],
IF(_xlpm.dir="L",
    IF(F1797-Table1[[#This Row],[Steps]]&lt;0,100+(F1797-Table1[[#This Row],[Steps]]),F1797-Table1[[#This Row],[Steps]]),
))</f>
        <v>0</v>
      </c>
      <c r="E1798">
        <f>_xlfn.LET(_xlpm.dir,Table1[[#This Row],[Direction]],
IF(_xlpm.dir="R",
    IF(F1797+Table1[[#This Row],[Steps]]&gt;99,(F1797+Table1[[#This Row],[Steps]])-100,F1797+Table1[[#This Row],[Steps]]),
))</f>
        <v>64</v>
      </c>
      <c r="F1798">
        <f>IF(Table1[[#This Row],[New Pos L]]&lt;&gt;0,Table1[[#This Row],[New Pos L]],Table1[[#This Row],[New Pos R]])</f>
        <v>64</v>
      </c>
    </row>
    <row r="1799" spans="1:6" ht="16" x14ac:dyDescent="0.2">
      <c r="A1799" s="1" t="s">
        <v>155</v>
      </c>
      <c r="B1799" t="str">
        <f>LEFT(Table1[[#This Row],[Input]],1)</f>
        <v>L</v>
      </c>
      <c r="C1799">
        <f>_xlfn.LET(_xlpm.steps,SUBSTITUTE(Table1[[#This Row],[Input]],Table1[[#This Row],[Direction]],""),VALUE(IF(LEN(_xlpm.steps)&gt;2,RIGHT(_xlpm.steps,2),_xlpm.steps)))</f>
        <v>18</v>
      </c>
      <c r="D1799">
        <f>_xlfn.LET(_xlpm.dir,Table1[[#This Row],[Direction]],
IF(_xlpm.dir="L",
    IF(F1798-Table1[[#This Row],[Steps]]&lt;0,100+(F1798-Table1[[#This Row],[Steps]]),F1798-Table1[[#This Row],[Steps]]),
))</f>
        <v>46</v>
      </c>
      <c r="E1799">
        <f>_xlfn.LET(_xlpm.dir,Table1[[#This Row],[Direction]],
IF(_xlpm.dir="R",
    IF(F1798+Table1[[#This Row],[Steps]]&gt;99,(F1798+Table1[[#This Row],[Steps]])-100,F1798+Table1[[#This Row],[Steps]]),
))</f>
        <v>0</v>
      </c>
      <c r="F1799">
        <f>IF(Table1[[#This Row],[New Pos L]]&lt;&gt;0,Table1[[#This Row],[New Pos L]],Table1[[#This Row],[New Pos R]])</f>
        <v>46</v>
      </c>
    </row>
    <row r="1800" spans="1:6" ht="16" x14ac:dyDescent="0.2">
      <c r="A1800" s="1" t="s">
        <v>27</v>
      </c>
      <c r="B1800" t="str">
        <f>LEFT(Table1[[#This Row],[Input]],1)</f>
        <v>L</v>
      </c>
      <c r="C1800">
        <f>_xlfn.LET(_xlpm.steps,SUBSTITUTE(Table1[[#This Row],[Input]],Table1[[#This Row],[Direction]],""),VALUE(IF(LEN(_xlpm.steps)&gt;2,RIGHT(_xlpm.steps,2),_xlpm.steps)))</f>
        <v>14</v>
      </c>
      <c r="D1800">
        <f>_xlfn.LET(_xlpm.dir,Table1[[#This Row],[Direction]],
IF(_xlpm.dir="L",
    IF(F1799-Table1[[#This Row],[Steps]]&lt;0,100+(F1799-Table1[[#This Row],[Steps]]),F1799-Table1[[#This Row],[Steps]]),
))</f>
        <v>32</v>
      </c>
      <c r="E1800">
        <f>_xlfn.LET(_xlpm.dir,Table1[[#This Row],[Direction]],
IF(_xlpm.dir="R",
    IF(F1799+Table1[[#This Row],[Steps]]&gt;99,(F1799+Table1[[#This Row],[Steps]])-100,F1799+Table1[[#This Row],[Steps]]),
))</f>
        <v>0</v>
      </c>
      <c r="F1800">
        <f>IF(Table1[[#This Row],[New Pos L]]&lt;&gt;0,Table1[[#This Row],[New Pos L]],Table1[[#This Row],[New Pos R]])</f>
        <v>32</v>
      </c>
    </row>
    <row r="1801" spans="1:6" ht="16" x14ac:dyDescent="0.2">
      <c r="A1801" s="1" t="s">
        <v>509</v>
      </c>
      <c r="B1801" t="str">
        <f>LEFT(Table1[[#This Row],[Input]],1)</f>
        <v>L</v>
      </c>
      <c r="C1801">
        <f>_xlfn.LET(_xlpm.steps,SUBSTITUTE(Table1[[#This Row],[Input]],Table1[[#This Row],[Direction]],""),VALUE(IF(LEN(_xlpm.steps)&gt;2,RIGHT(_xlpm.steps,2),_xlpm.steps)))</f>
        <v>32</v>
      </c>
      <c r="D1801">
        <f>_xlfn.LET(_xlpm.dir,Table1[[#This Row],[Direction]],
IF(_xlpm.dir="L",
    IF(F1800-Table1[[#This Row],[Steps]]&lt;0,100+(F1800-Table1[[#This Row],[Steps]]),F1800-Table1[[#This Row],[Steps]]),
))</f>
        <v>0</v>
      </c>
      <c r="E1801">
        <f>_xlfn.LET(_xlpm.dir,Table1[[#This Row],[Direction]],
IF(_xlpm.dir="R",
    IF(F1800+Table1[[#This Row],[Steps]]&gt;99,(F1800+Table1[[#This Row],[Steps]])-100,F1800+Table1[[#This Row],[Steps]]),
))</f>
        <v>0</v>
      </c>
      <c r="F1801">
        <f>IF(Table1[[#This Row],[New Pos L]]&lt;&gt;0,Table1[[#This Row],[New Pos L]],Table1[[#This Row],[New Pos R]])</f>
        <v>0</v>
      </c>
    </row>
    <row r="1802" spans="1:6" ht="16" x14ac:dyDescent="0.2">
      <c r="A1802" s="1" t="s">
        <v>362</v>
      </c>
      <c r="B1802" t="str">
        <f>LEFT(Table1[[#This Row],[Input]],1)</f>
        <v>L</v>
      </c>
      <c r="C1802">
        <f>_xlfn.LET(_xlpm.steps,SUBSTITUTE(Table1[[#This Row],[Input]],Table1[[#This Row],[Direction]],""),VALUE(IF(LEN(_xlpm.steps)&gt;2,RIGHT(_xlpm.steps,2),_xlpm.steps)))</f>
        <v>15</v>
      </c>
      <c r="D1802">
        <f>_xlfn.LET(_xlpm.dir,Table1[[#This Row],[Direction]],
IF(_xlpm.dir="L",
    IF(F1801-Table1[[#This Row],[Steps]]&lt;0,100+(F1801-Table1[[#This Row],[Steps]]),F1801-Table1[[#This Row],[Steps]]),
))</f>
        <v>85</v>
      </c>
      <c r="E1802">
        <f>_xlfn.LET(_xlpm.dir,Table1[[#This Row],[Direction]],
IF(_xlpm.dir="R",
    IF(F1801+Table1[[#This Row],[Steps]]&gt;99,(F1801+Table1[[#This Row],[Steps]])-100,F1801+Table1[[#This Row],[Steps]]),
))</f>
        <v>0</v>
      </c>
      <c r="F1802">
        <f>IF(Table1[[#This Row],[New Pos L]]&lt;&gt;0,Table1[[#This Row],[New Pos L]],Table1[[#This Row],[New Pos R]])</f>
        <v>85</v>
      </c>
    </row>
    <row r="1803" spans="1:6" ht="16" x14ac:dyDescent="0.2">
      <c r="A1803" s="1" t="s">
        <v>260</v>
      </c>
      <c r="B1803" t="str">
        <f>LEFT(Table1[[#This Row],[Input]],1)</f>
        <v>L</v>
      </c>
      <c r="C1803">
        <f>_xlfn.LET(_xlpm.steps,SUBSTITUTE(Table1[[#This Row],[Input]],Table1[[#This Row],[Direction]],""),VALUE(IF(LEN(_xlpm.steps)&gt;2,RIGHT(_xlpm.steps,2),_xlpm.steps)))</f>
        <v>85</v>
      </c>
      <c r="D1803">
        <f>_xlfn.LET(_xlpm.dir,Table1[[#This Row],[Direction]],
IF(_xlpm.dir="L",
    IF(F1802-Table1[[#This Row],[Steps]]&lt;0,100+(F1802-Table1[[#This Row],[Steps]]),F1802-Table1[[#This Row],[Steps]]),
))</f>
        <v>0</v>
      </c>
      <c r="E1803">
        <f>_xlfn.LET(_xlpm.dir,Table1[[#This Row],[Direction]],
IF(_xlpm.dir="R",
    IF(F1802+Table1[[#This Row],[Steps]]&gt;99,(F1802+Table1[[#This Row],[Steps]])-100,F1802+Table1[[#This Row],[Steps]]),
))</f>
        <v>0</v>
      </c>
      <c r="F1803">
        <f>IF(Table1[[#This Row],[New Pos L]]&lt;&gt;0,Table1[[#This Row],[New Pos L]],Table1[[#This Row],[New Pos R]])</f>
        <v>0</v>
      </c>
    </row>
    <row r="1804" spans="1:6" ht="16" x14ac:dyDescent="0.2">
      <c r="A1804" s="1" t="s">
        <v>272</v>
      </c>
      <c r="B1804" t="str">
        <f>LEFT(Table1[[#This Row],[Input]],1)</f>
        <v>R</v>
      </c>
      <c r="C1804">
        <f>_xlfn.LET(_xlpm.steps,SUBSTITUTE(Table1[[#This Row],[Input]],Table1[[#This Row],[Direction]],""),VALUE(IF(LEN(_xlpm.steps)&gt;2,RIGHT(_xlpm.steps,2),_xlpm.steps)))</f>
        <v>56</v>
      </c>
      <c r="D1804">
        <f>_xlfn.LET(_xlpm.dir,Table1[[#This Row],[Direction]],
IF(_xlpm.dir="L",
    IF(F1803-Table1[[#This Row],[Steps]]&lt;0,100+(F1803-Table1[[#This Row],[Steps]]),F1803-Table1[[#This Row],[Steps]]),
))</f>
        <v>0</v>
      </c>
      <c r="E1804">
        <f>_xlfn.LET(_xlpm.dir,Table1[[#This Row],[Direction]],
IF(_xlpm.dir="R",
    IF(F1803+Table1[[#This Row],[Steps]]&gt;99,(F1803+Table1[[#This Row],[Steps]])-100,F1803+Table1[[#This Row],[Steps]]),
))</f>
        <v>56</v>
      </c>
      <c r="F1804">
        <f>IF(Table1[[#This Row],[New Pos L]]&lt;&gt;0,Table1[[#This Row],[New Pos L]],Table1[[#This Row],[New Pos R]])</f>
        <v>56</v>
      </c>
    </row>
    <row r="1805" spans="1:6" ht="16" x14ac:dyDescent="0.2">
      <c r="A1805" s="1" t="s">
        <v>53</v>
      </c>
      <c r="B1805" t="str">
        <f>LEFT(Table1[[#This Row],[Input]],1)</f>
        <v>L</v>
      </c>
      <c r="C1805">
        <f>_xlfn.LET(_xlpm.steps,SUBSTITUTE(Table1[[#This Row],[Input]],Table1[[#This Row],[Direction]],""),VALUE(IF(LEN(_xlpm.steps)&gt;2,RIGHT(_xlpm.steps,2),_xlpm.steps)))</f>
        <v>56</v>
      </c>
      <c r="D1805">
        <f>_xlfn.LET(_xlpm.dir,Table1[[#This Row],[Direction]],
IF(_xlpm.dir="L",
    IF(F1804-Table1[[#This Row],[Steps]]&lt;0,100+(F1804-Table1[[#This Row],[Steps]]),F1804-Table1[[#This Row],[Steps]]),
))</f>
        <v>0</v>
      </c>
      <c r="E1805">
        <f>_xlfn.LET(_xlpm.dir,Table1[[#This Row],[Direction]],
IF(_xlpm.dir="R",
    IF(F1804+Table1[[#This Row],[Steps]]&gt;99,(F1804+Table1[[#This Row],[Steps]])-100,F1804+Table1[[#This Row],[Steps]]),
))</f>
        <v>0</v>
      </c>
      <c r="F1805">
        <f>IF(Table1[[#This Row],[New Pos L]]&lt;&gt;0,Table1[[#This Row],[New Pos L]],Table1[[#This Row],[New Pos R]])</f>
        <v>0</v>
      </c>
    </row>
    <row r="1806" spans="1:6" ht="16" x14ac:dyDescent="0.2">
      <c r="A1806" s="1" t="s">
        <v>191</v>
      </c>
      <c r="B1806" t="str">
        <f>LEFT(Table1[[#This Row],[Input]],1)</f>
        <v>L</v>
      </c>
      <c r="C1806">
        <f>_xlfn.LET(_xlpm.steps,SUBSTITUTE(Table1[[#This Row],[Input]],Table1[[#This Row],[Direction]],""),VALUE(IF(LEN(_xlpm.steps)&gt;2,RIGHT(_xlpm.steps,2),_xlpm.steps)))</f>
        <v>5</v>
      </c>
      <c r="D1806">
        <f>_xlfn.LET(_xlpm.dir,Table1[[#This Row],[Direction]],
IF(_xlpm.dir="L",
    IF(F1805-Table1[[#This Row],[Steps]]&lt;0,100+(F1805-Table1[[#This Row],[Steps]]),F1805-Table1[[#This Row],[Steps]]),
))</f>
        <v>95</v>
      </c>
      <c r="E1806">
        <f>_xlfn.LET(_xlpm.dir,Table1[[#This Row],[Direction]],
IF(_xlpm.dir="R",
    IF(F1805+Table1[[#This Row],[Steps]]&gt;99,(F1805+Table1[[#This Row],[Steps]])-100,F1805+Table1[[#This Row],[Steps]]),
))</f>
        <v>0</v>
      </c>
      <c r="F1806">
        <f>IF(Table1[[#This Row],[New Pos L]]&lt;&gt;0,Table1[[#This Row],[New Pos L]],Table1[[#This Row],[New Pos R]])</f>
        <v>95</v>
      </c>
    </row>
    <row r="1807" spans="1:6" ht="16" x14ac:dyDescent="0.2">
      <c r="A1807" s="1" t="s">
        <v>41</v>
      </c>
      <c r="B1807" t="str">
        <f>LEFT(Table1[[#This Row],[Input]],1)</f>
        <v>L</v>
      </c>
      <c r="C1807">
        <f>_xlfn.LET(_xlpm.steps,SUBSTITUTE(Table1[[#This Row],[Input]],Table1[[#This Row],[Direction]],""),VALUE(IF(LEN(_xlpm.steps)&gt;2,RIGHT(_xlpm.steps,2),_xlpm.steps)))</f>
        <v>7</v>
      </c>
      <c r="D1807">
        <f>_xlfn.LET(_xlpm.dir,Table1[[#This Row],[Direction]],
IF(_xlpm.dir="L",
    IF(F1806-Table1[[#This Row],[Steps]]&lt;0,100+(F1806-Table1[[#This Row],[Steps]]),F1806-Table1[[#This Row],[Steps]]),
))</f>
        <v>88</v>
      </c>
      <c r="E1807">
        <f>_xlfn.LET(_xlpm.dir,Table1[[#This Row],[Direction]],
IF(_xlpm.dir="R",
    IF(F1806+Table1[[#This Row],[Steps]]&gt;99,(F1806+Table1[[#This Row],[Steps]])-100,F1806+Table1[[#This Row],[Steps]]),
))</f>
        <v>0</v>
      </c>
      <c r="F1807">
        <f>IF(Table1[[#This Row],[New Pos L]]&lt;&gt;0,Table1[[#This Row],[New Pos L]],Table1[[#This Row],[New Pos R]])</f>
        <v>88</v>
      </c>
    </row>
    <row r="1808" spans="1:6" ht="16" x14ac:dyDescent="0.2">
      <c r="A1808" s="1" t="s">
        <v>172</v>
      </c>
      <c r="B1808" t="str">
        <f>LEFT(Table1[[#This Row],[Input]],1)</f>
        <v>L</v>
      </c>
      <c r="C1808">
        <f>_xlfn.LET(_xlpm.steps,SUBSTITUTE(Table1[[#This Row],[Input]],Table1[[#This Row],[Direction]],""),VALUE(IF(LEN(_xlpm.steps)&gt;2,RIGHT(_xlpm.steps,2),_xlpm.steps)))</f>
        <v>66</v>
      </c>
      <c r="D1808">
        <f>_xlfn.LET(_xlpm.dir,Table1[[#This Row],[Direction]],
IF(_xlpm.dir="L",
    IF(F1807-Table1[[#This Row],[Steps]]&lt;0,100+(F1807-Table1[[#This Row],[Steps]]),F1807-Table1[[#This Row],[Steps]]),
))</f>
        <v>22</v>
      </c>
      <c r="E1808">
        <f>_xlfn.LET(_xlpm.dir,Table1[[#This Row],[Direction]],
IF(_xlpm.dir="R",
    IF(F1807+Table1[[#This Row],[Steps]]&gt;99,(F1807+Table1[[#This Row],[Steps]])-100,F1807+Table1[[#This Row],[Steps]]),
))</f>
        <v>0</v>
      </c>
      <c r="F1808">
        <f>IF(Table1[[#This Row],[New Pos L]]&lt;&gt;0,Table1[[#This Row],[New Pos L]],Table1[[#This Row],[New Pos R]])</f>
        <v>22</v>
      </c>
    </row>
    <row r="1809" spans="1:6" ht="16" x14ac:dyDescent="0.2">
      <c r="A1809" s="1" t="s">
        <v>0</v>
      </c>
      <c r="B1809" t="str">
        <f>LEFT(Table1[[#This Row],[Input]],1)</f>
        <v>L</v>
      </c>
      <c r="C1809">
        <f>_xlfn.LET(_xlpm.steps,SUBSTITUTE(Table1[[#This Row],[Input]],Table1[[#This Row],[Direction]],""),VALUE(IF(LEN(_xlpm.steps)&gt;2,RIGHT(_xlpm.steps,2),_xlpm.steps)))</f>
        <v>44</v>
      </c>
      <c r="D1809">
        <f>_xlfn.LET(_xlpm.dir,Table1[[#This Row],[Direction]],
IF(_xlpm.dir="L",
    IF(F1808-Table1[[#This Row],[Steps]]&lt;0,100+(F1808-Table1[[#This Row],[Steps]]),F1808-Table1[[#This Row],[Steps]]),
))</f>
        <v>78</v>
      </c>
      <c r="E1809">
        <f>_xlfn.LET(_xlpm.dir,Table1[[#This Row],[Direction]],
IF(_xlpm.dir="R",
    IF(F1808+Table1[[#This Row],[Steps]]&gt;99,(F1808+Table1[[#This Row],[Steps]])-100,F1808+Table1[[#This Row],[Steps]]),
))</f>
        <v>0</v>
      </c>
      <c r="F1809">
        <f>IF(Table1[[#This Row],[New Pos L]]&lt;&gt;0,Table1[[#This Row],[New Pos L]],Table1[[#This Row],[New Pos R]])</f>
        <v>78</v>
      </c>
    </row>
    <row r="1810" spans="1:6" ht="16" x14ac:dyDescent="0.2">
      <c r="A1810" s="1" t="s">
        <v>293</v>
      </c>
      <c r="B1810" t="str">
        <f>LEFT(Table1[[#This Row],[Input]],1)</f>
        <v>R</v>
      </c>
      <c r="C1810">
        <f>_xlfn.LET(_xlpm.steps,SUBSTITUTE(Table1[[#This Row],[Input]],Table1[[#This Row],[Direction]],""),VALUE(IF(LEN(_xlpm.steps)&gt;2,RIGHT(_xlpm.steps,2),_xlpm.steps)))</f>
        <v>67</v>
      </c>
      <c r="D1810">
        <f>_xlfn.LET(_xlpm.dir,Table1[[#This Row],[Direction]],
IF(_xlpm.dir="L",
    IF(F1809-Table1[[#This Row],[Steps]]&lt;0,100+(F1809-Table1[[#This Row],[Steps]]),F1809-Table1[[#This Row],[Steps]]),
))</f>
        <v>0</v>
      </c>
      <c r="E1810">
        <f>_xlfn.LET(_xlpm.dir,Table1[[#This Row],[Direction]],
IF(_xlpm.dir="R",
    IF(F1809+Table1[[#This Row],[Steps]]&gt;99,(F1809+Table1[[#This Row],[Steps]])-100,F1809+Table1[[#This Row],[Steps]]),
))</f>
        <v>45</v>
      </c>
      <c r="F1810">
        <f>IF(Table1[[#This Row],[New Pos L]]&lt;&gt;0,Table1[[#This Row],[New Pos L]],Table1[[#This Row],[New Pos R]])</f>
        <v>45</v>
      </c>
    </row>
    <row r="1811" spans="1:6" ht="16" x14ac:dyDescent="0.2">
      <c r="A1811" s="1" t="s">
        <v>105</v>
      </c>
      <c r="B1811" t="str">
        <f>LEFT(Table1[[#This Row],[Input]],1)</f>
        <v>R</v>
      </c>
      <c r="C1811">
        <f>_xlfn.LET(_xlpm.steps,SUBSTITUTE(Table1[[#This Row],[Input]],Table1[[#This Row],[Direction]],""),VALUE(IF(LEN(_xlpm.steps)&gt;2,RIGHT(_xlpm.steps,2),_xlpm.steps)))</f>
        <v>98</v>
      </c>
      <c r="D1811">
        <f>_xlfn.LET(_xlpm.dir,Table1[[#This Row],[Direction]],
IF(_xlpm.dir="L",
    IF(F1810-Table1[[#This Row],[Steps]]&lt;0,100+(F1810-Table1[[#This Row],[Steps]]),F1810-Table1[[#This Row],[Steps]]),
))</f>
        <v>0</v>
      </c>
      <c r="E1811">
        <f>_xlfn.LET(_xlpm.dir,Table1[[#This Row],[Direction]],
IF(_xlpm.dir="R",
    IF(F1810+Table1[[#This Row],[Steps]]&gt;99,(F1810+Table1[[#This Row],[Steps]])-100,F1810+Table1[[#This Row],[Steps]]),
))</f>
        <v>43</v>
      </c>
      <c r="F1811">
        <f>IF(Table1[[#This Row],[New Pos L]]&lt;&gt;0,Table1[[#This Row],[New Pos L]],Table1[[#This Row],[New Pos R]])</f>
        <v>43</v>
      </c>
    </row>
    <row r="1812" spans="1:6" ht="16" x14ac:dyDescent="0.2">
      <c r="A1812" s="1" t="s">
        <v>63</v>
      </c>
      <c r="B1812" t="str">
        <f>LEFT(Table1[[#This Row],[Input]],1)</f>
        <v>R</v>
      </c>
      <c r="C1812">
        <f>_xlfn.LET(_xlpm.steps,SUBSTITUTE(Table1[[#This Row],[Input]],Table1[[#This Row],[Direction]],""),VALUE(IF(LEN(_xlpm.steps)&gt;2,RIGHT(_xlpm.steps,2),_xlpm.steps)))</f>
        <v>57</v>
      </c>
      <c r="D1812">
        <f>_xlfn.LET(_xlpm.dir,Table1[[#This Row],[Direction]],
IF(_xlpm.dir="L",
    IF(F1811-Table1[[#This Row],[Steps]]&lt;0,100+(F1811-Table1[[#This Row],[Steps]]),F1811-Table1[[#This Row],[Steps]]),
))</f>
        <v>0</v>
      </c>
      <c r="E1812">
        <f>_xlfn.LET(_xlpm.dir,Table1[[#This Row],[Direction]],
IF(_xlpm.dir="R",
    IF(F1811+Table1[[#This Row],[Steps]]&gt;99,(F1811+Table1[[#This Row],[Steps]])-100,F1811+Table1[[#This Row],[Steps]]),
))</f>
        <v>0</v>
      </c>
      <c r="F1812">
        <f>IF(Table1[[#This Row],[New Pos L]]&lt;&gt;0,Table1[[#This Row],[New Pos L]],Table1[[#This Row],[New Pos R]])</f>
        <v>0</v>
      </c>
    </row>
    <row r="1813" spans="1:6" ht="16" x14ac:dyDescent="0.2">
      <c r="A1813" s="1" t="s">
        <v>64</v>
      </c>
      <c r="B1813" t="str">
        <f>LEFT(Table1[[#This Row],[Input]],1)</f>
        <v>R</v>
      </c>
      <c r="C1813">
        <f>_xlfn.LET(_xlpm.steps,SUBSTITUTE(Table1[[#This Row],[Input]],Table1[[#This Row],[Direction]],""),VALUE(IF(LEN(_xlpm.steps)&gt;2,RIGHT(_xlpm.steps,2),_xlpm.steps)))</f>
        <v>10</v>
      </c>
      <c r="D1813">
        <f>_xlfn.LET(_xlpm.dir,Table1[[#This Row],[Direction]],
IF(_xlpm.dir="L",
    IF(F1812-Table1[[#This Row],[Steps]]&lt;0,100+(F1812-Table1[[#This Row],[Steps]]),F1812-Table1[[#This Row],[Steps]]),
))</f>
        <v>0</v>
      </c>
      <c r="E1813">
        <f>_xlfn.LET(_xlpm.dir,Table1[[#This Row],[Direction]],
IF(_xlpm.dir="R",
    IF(F1812+Table1[[#This Row],[Steps]]&gt;99,(F1812+Table1[[#This Row],[Steps]])-100,F1812+Table1[[#This Row],[Steps]]),
))</f>
        <v>10</v>
      </c>
      <c r="F1813">
        <f>IF(Table1[[#This Row],[New Pos L]]&lt;&gt;0,Table1[[#This Row],[New Pos L]],Table1[[#This Row],[New Pos R]])</f>
        <v>10</v>
      </c>
    </row>
    <row r="1814" spans="1:6" ht="16" x14ac:dyDescent="0.2">
      <c r="A1814" s="1" t="s">
        <v>510</v>
      </c>
      <c r="B1814" t="str">
        <f>LEFT(Table1[[#This Row],[Input]],1)</f>
        <v>R</v>
      </c>
      <c r="C1814">
        <f>_xlfn.LET(_xlpm.steps,SUBSTITUTE(Table1[[#This Row],[Input]],Table1[[#This Row],[Direction]],""),VALUE(IF(LEN(_xlpm.steps)&gt;2,RIGHT(_xlpm.steps,2),_xlpm.steps)))</f>
        <v>90</v>
      </c>
      <c r="D1814">
        <f>_xlfn.LET(_xlpm.dir,Table1[[#This Row],[Direction]],
IF(_xlpm.dir="L",
    IF(F1813-Table1[[#This Row],[Steps]]&lt;0,100+(F1813-Table1[[#This Row],[Steps]]),F1813-Table1[[#This Row],[Steps]]),
))</f>
        <v>0</v>
      </c>
      <c r="E1814">
        <f>_xlfn.LET(_xlpm.dir,Table1[[#This Row],[Direction]],
IF(_xlpm.dir="R",
    IF(F1813+Table1[[#This Row],[Steps]]&gt;99,(F1813+Table1[[#This Row],[Steps]])-100,F1813+Table1[[#This Row],[Steps]]),
))</f>
        <v>0</v>
      </c>
      <c r="F1814">
        <f>IF(Table1[[#This Row],[New Pos L]]&lt;&gt;0,Table1[[#This Row],[New Pos L]],Table1[[#This Row],[New Pos R]])</f>
        <v>0</v>
      </c>
    </row>
    <row r="1815" spans="1:6" ht="16" x14ac:dyDescent="0.2">
      <c r="A1815" s="1" t="s">
        <v>110</v>
      </c>
      <c r="B1815" t="str">
        <f>LEFT(Table1[[#This Row],[Input]],1)</f>
        <v>L</v>
      </c>
      <c r="C1815">
        <f>_xlfn.LET(_xlpm.steps,SUBSTITUTE(Table1[[#This Row],[Input]],Table1[[#This Row],[Direction]],""),VALUE(IF(LEN(_xlpm.steps)&gt;2,RIGHT(_xlpm.steps,2),_xlpm.steps)))</f>
        <v>81</v>
      </c>
      <c r="D1815">
        <f>_xlfn.LET(_xlpm.dir,Table1[[#This Row],[Direction]],
IF(_xlpm.dir="L",
    IF(F1814-Table1[[#This Row],[Steps]]&lt;0,100+(F1814-Table1[[#This Row],[Steps]]),F1814-Table1[[#This Row],[Steps]]),
))</f>
        <v>19</v>
      </c>
      <c r="E1815">
        <f>_xlfn.LET(_xlpm.dir,Table1[[#This Row],[Direction]],
IF(_xlpm.dir="R",
    IF(F1814+Table1[[#This Row],[Steps]]&gt;99,(F1814+Table1[[#This Row],[Steps]])-100,F1814+Table1[[#This Row],[Steps]]),
))</f>
        <v>0</v>
      </c>
      <c r="F1815">
        <f>IF(Table1[[#This Row],[New Pos L]]&lt;&gt;0,Table1[[#This Row],[New Pos L]],Table1[[#This Row],[New Pos R]])</f>
        <v>19</v>
      </c>
    </row>
    <row r="1816" spans="1:6" ht="16" x14ac:dyDescent="0.2">
      <c r="A1816" s="1" t="s">
        <v>207</v>
      </c>
      <c r="B1816" t="str">
        <f>LEFT(Table1[[#This Row],[Input]],1)</f>
        <v>L</v>
      </c>
      <c r="C1816">
        <f>_xlfn.LET(_xlpm.steps,SUBSTITUTE(Table1[[#This Row],[Input]],Table1[[#This Row],[Direction]],""),VALUE(IF(LEN(_xlpm.steps)&gt;2,RIGHT(_xlpm.steps,2),_xlpm.steps)))</f>
        <v>89</v>
      </c>
      <c r="D1816">
        <f>_xlfn.LET(_xlpm.dir,Table1[[#This Row],[Direction]],
IF(_xlpm.dir="L",
    IF(F1815-Table1[[#This Row],[Steps]]&lt;0,100+(F1815-Table1[[#This Row],[Steps]]),F1815-Table1[[#This Row],[Steps]]),
))</f>
        <v>30</v>
      </c>
      <c r="E1816">
        <f>_xlfn.LET(_xlpm.dir,Table1[[#This Row],[Direction]],
IF(_xlpm.dir="R",
    IF(F1815+Table1[[#This Row],[Steps]]&gt;99,(F1815+Table1[[#This Row],[Steps]])-100,F1815+Table1[[#This Row],[Steps]]),
))</f>
        <v>0</v>
      </c>
      <c r="F1816">
        <f>IF(Table1[[#This Row],[New Pos L]]&lt;&gt;0,Table1[[#This Row],[New Pos L]],Table1[[#This Row],[New Pos R]])</f>
        <v>30</v>
      </c>
    </row>
    <row r="1817" spans="1:6" ht="16" x14ac:dyDescent="0.2">
      <c r="A1817" s="1" t="s">
        <v>115</v>
      </c>
      <c r="B1817" t="str">
        <f>LEFT(Table1[[#This Row],[Input]],1)</f>
        <v>L</v>
      </c>
      <c r="C1817">
        <f>_xlfn.LET(_xlpm.steps,SUBSTITUTE(Table1[[#This Row],[Input]],Table1[[#This Row],[Direction]],""),VALUE(IF(LEN(_xlpm.steps)&gt;2,RIGHT(_xlpm.steps,2),_xlpm.steps)))</f>
        <v>29</v>
      </c>
      <c r="D1817">
        <f>_xlfn.LET(_xlpm.dir,Table1[[#This Row],[Direction]],
IF(_xlpm.dir="L",
    IF(F1816-Table1[[#This Row],[Steps]]&lt;0,100+(F1816-Table1[[#This Row],[Steps]]),F1816-Table1[[#This Row],[Steps]]),
))</f>
        <v>1</v>
      </c>
      <c r="E1817">
        <f>_xlfn.LET(_xlpm.dir,Table1[[#This Row],[Direction]],
IF(_xlpm.dir="R",
    IF(F1816+Table1[[#This Row],[Steps]]&gt;99,(F1816+Table1[[#This Row],[Steps]])-100,F1816+Table1[[#This Row],[Steps]]),
))</f>
        <v>0</v>
      </c>
      <c r="F1817">
        <f>IF(Table1[[#This Row],[New Pos L]]&lt;&gt;0,Table1[[#This Row],[New Pos L]],Table1[[#This Row],[New Pos R]])</f>
        <v>1</v>
      </c>
    </row>
    <row r="1818" spans="1:6" ht="16" x14ac:dyDescent="0.2">
      <c r="A1818" s="1" t="s">
        <v>131</v>
      </c>
      <c r="B1818" t="str">
        <f>LEFT(Table1[[#This Row],[Input]],1)</f>
        <v>R</v>
      </c>
      <c r="C1818">
        <f>_xlfn.LET(_xlpm.steps,SUBSTITUTE(Table1[[#This Row],[Input]],Table1[[#This Row],[Direction]],""),VALUE(IF(LEN(_xlpm.steps)&gt;2,RIGHT(_xlpm.steps,2),_xlpm.steps)))</f>
        <v>99</v>
      </c>
      <c r="D1818">
        <f>_xlfn.LET(_xlpm.dir,Table1[[#This Row],[Direction]],
IF(_xlpm.dir="L",
    IF(F1817-Table1[[#This Row],[Steps]]&lt;0,100+(F1817-Table1[[#This Row],[Steps]]),F1817-Table1[[#This Row],[Steps]]),
))</f>
        <v>0</v>
      </c>
      <c r="E1818">
        <f>_xlfn.LET(_xlpm.dir,Table1[[#This Row],[Direction]],
IF(_xlpm.dir="R",
    IF(F1817+Table1[[#This Row],[Steps]]&gt;99,(F1817+Table1[[#This Row],[Steps]])-100,F1817+Table1[[#This Row],[Steps]]),
))</f>
        <v>0</v>
      </c>
      <c r="F1818">
        <f>IF(Table1[[#This Row],[New Pos L]]&lt;&gt;0,Table1[[#This Row],[New Pos L]],Table1[[#This Row],[New Pos R]])</f>
        <v>0</v>
      </c>
    </row>
    <row r="1819" spans="1:6" ht="16" x14ac:dyDescent="0.2">
      <c r="A1819" s="1" t="s">
        <v>186</v>
      </c>
      <c r="B1819" t="str">
        <f>LEFT(Table1[[#This Row],[Input]],1)</f>
        <v>L</v>
      </c>
      <c r="C1819">
        <f>_xlfn.LET(_xlpm.steps,SUBSTITUTE(Table1[[#This Row],[Input]],Table1[[#This Row],[Direction]],""),VALUE(IF(LEN(_xlpm.steps)&gt;2,RIGHT(_xlpm.steps,2),_xlpm.steps)))</f>
        <v>84</v>
      </c>
      <c r="D1819">
        <f>_xlfn.LET(_xlpm.dir,Table1[[#This Row],[Direction]],
IF(_xlpm.dir="L",
    IF(F1818-Table1[[#This Row],[Steps]]&lt;0,100+(F1818-Table1[[#This Row],[Steps]]),F1818-Table1[[#This Row],[Steps]]),
))</f>
        <v>16</v>
      </c>
      <c r="E1819">
        <f>_xlfn.LET(_xlpm.dir,Table1[[#This Row],[Direction]],
IF(_xlpm.dir="R",
    IF(F1818+Table1[[#This Row],[Steps]]&gt;99,(F1818+Table1[[#This Row],[Steps]])-100,F1818+Table1[[#This Row],[Steps]]),
))</f>
        <v>0</v>
      </c>
      <c r="F1819">
        <f>IF(Table1[[#This Row],[New Pos L]]&lt;&gt;0,Table1[[#This Row],[New Pos L]],Table1[[#This Row],[New Pos R]])</f>
        <v>16</v>
      </c>
    </row>
    <row r="1820" spans="1:6" ht="16" x14ac:dyDescent="0.2">
      <c r="A1820" s="1" t="s">
        <v>121</v>
      </c>
      <c r="B1820" t="str">
        <f>LEFT(Table1[[#This Row],[Input]],1)</f>
        <v>L</v>
      </c>
      <c r="C1820">
        <f>_xlfn.LET(_xlpm.steps,SUBSTITUTE(Table1[[#This Row],[Input]],Table1[[#This Row],[Direction]],""),VALUE(IF(LEN(_xlpm.steps)&gt;2,RIGHT(_xlpm.steps,2),_xlpm.steps)))</f>
        <v>69</v>
      </c>
      <c r="D1820">
        <f>_xlfn.LET(_xlpm.dir,Table1[[#This Row],[Direction]],
IF(_xlpm.dir="L",
    IF(F1819-Table1[[#This Row],[Steps]]&lt;0,100+(F1819-Table1[[#This Row],[Steps]]),F1819-Table1[[#This Row],[Steps]]),
))</f>
        <v>47</v>
      </c>
      <c r="E1820">
        <f>_xlfn.LET(_xlpm.dir,Table1[[#This Row],[Direction]],
IF(_xlpm.dir="R",
    IF(F1819+Table1[[#This Row],[Steps]]&gt;99,(F1819+Table1[[#This Row],[Steps]])-100,F1819+Table1[[#This Row],[Steps]]),
))</f>
        <v>0</v>
      </c>
      <c r="F1820">
        <f>IF(Table1[[#This Row],[New Pos L]]&lt;&gt;0,Table1[[#This Row],[New Pos L]],Table1[[#This Row],[New Pos R]])</f>
        <v>47</v>
      </c>
    </row>
    <row r="1821" spans="1:6" ht="16" x14ac:dyDescent="0.2">
      <c r="A1821" s="1" t="s">
        <v>511</v>
      </c>
      <c r="B1821" t="str">
        <f>LEFT(Table1[[#This Row],[Input]],1)</f>
        <v>L</v>
      </c>
      <c r="C1821">
        <f>_xlfn.LET(_xlpm.steps,SUBSTITUTE(Table1[[#This Row],[Input]],Table1[[#This Row],[Direction]],""),VALUE(IF(LEN(_xlpm.steps)&gt;2,RIGHT(_xlpm.steps,2),_xlpm.steps)))</f>
        <v>47</v>
      </c>
      <c r="D1821">
        <f>_xlfn.LET(_xlpm.dir,Table1[[#This Row],[Direction]],
IF(_xlpm.dir="L",
    IF(F1820-Table1[[#This Row],[Steps]]&lt;0,100+(F1820-Table1[[#This Row],[Steps]]),F1820-Table1[[#This Row],[Steps]]),
))</f>
        <v>0</v>
      </c>
      <c r="E1821">
        <f>_xlfn.LET(_xlpm.dir,Table1[[#This Row],[Direction]],
IF(_xlpm.dir="R",
    IF(F1820+Table1[[#This Row],[Steps]]&gt;99,(F1820+Table1[[#This Row],[Steps]])-100,F1820+Table1[[#This Row],[Steps]]),
))</f>
        <v>0</v>
      </c>
      <c r="F1821">
        <f>IF(Table1[[#This Row],[New Pos L]]&lt;&gt;0,Table1[[#This Row],[New Pos L]],Table1[[#This Row],[New Pos R]])</f>
        <v>0</v>
      </c>
    </row>
    <row r="1822" spans="1:6" ht="16" x14ac:dyDescent="0.2">
      <c r="A1822" s="1" t="s">
        <v>131</v>
      </c>
      <c r="B1822" t="str">
        <f>LEFT(Table1[[#This Row],[Input]],1)</f>
        <v>R</v>
      </c>
      <c r="C1822">
        <f>_xlfn.LET(_xlpm.steps,SUBSTITUTE(Table1[[#This Row],[Input]],Table1[[#This Row],[Direction]],""),VALUE(IF(LEN(_xlpm.steps)&gt;2,RIGHT(_xlpm.steps,2),_xlpm.steps)))</f>
        <v>99</v>
      </c>
      <c r="D1822">
        <f>_xlfn.LET(_xlpm.dir,Table1[[#This Row],[Direction]],
IF(_xlpm.dir="L",
    IF(F1821-Table1[[#This Row],[Steps]]&lt;0,100+(F1821-Table1[[#This Row],[Steps]]),F1821-Table1[[#This Row],[Steps]]),
))</f>
        <v>0</v>
      </c>
      <c r="E1822">
        <f>_xlfn.LET(_xlpm.dir,Table1[[#This Row],[Direction]],
IF(_xlpm.dir="R",
    IF(F1821+Table1[[#This Row],[Steps]]&gt;99,(F1821+Table1[[#This Row],[Steps]])-100,F1821+Table1[[#This Row],[Steps]]),
))</f>
        <v>99</v>
      </c>
      <c r="F1822">
        <f>IF(Table1[[#This Row],[New Pos L]]&lt;&gt;0,Table1[[#This Row],[New Pos L]],Table1[[#This Row],[New Pos R]])</f>
        <v>99</v>
      </c>
    </row>
    <row r="1823" spans="1:6" ht="16" x14ac:dyDescent="0.2">
      <c r="A1823" s="1" t="s">
        <v>38</v>
      </c>
      <c r="B1823" t="str">
        <f>LEFT(Table1[[#This Row],[Input]],1)</f>
        <v>R</v>
      </c>
      <c r="C1823">
        <f>_xlfn.LET(_xlpm.steps,SUBSTITUTE(Table1[[#This Row],[Input]],Table1[[#This Row],[Direction]],""),VALUE(IF(LEN(_xlpm.steps)&gt;2,RIGHT(_xlpm.steps,2),_xlpm.steps)))</f>
        <v>15</v>
      </c>
      <c r="D1823">
        <f>_xlfn.LET(_xlpm.dir,Table1[[#This Row],[Direction]],
IF(_xlpm.dir="L",
    IF(F1822-Table1[[#This Row],[Steps]]&lt;0,100+(F1822-Table1[[#This Row],[Steps]]),F1822-Table1[[#This Row],[Steps]]),
))</f>
        <v>0</v>
      </c>
      <c r="E1823">
        <f>_xlfn.LET(_xlpm.dir,Table1[[#This Row],[Direction]],
IF(_xlpm.dir="R",
    IF(F1822+Table1[[#This Row],[Steps]]&gt;99,(F1822+Table1[[#This Row],[Steps]])-100,F1822+Table1[[#This Row],[Steps]]),
))</f>
        <v>14</v>
      </c>
      <c r="F1823">
        <f>IF(Table1[[#This Row],[New Pos L]]&lt;&gt;0,Table1[[#This Row],[New Pos L]],Table1[[#This Row],[New Pos R]])</f>
        <v>14</v>
      </c>
    </row>
    <row r="1824" spans="1:6" ht="16" x14ac:dyDescent="0.2">
      <c r="A1824" s="1" t="s">
        <v>309</v>
      </c>
      <c r="B1824" t="str">
        <f>LEFT(Table1[[#This Row],[Input]],1)</f>
        <v>L</v>
      </c>
      <c r="C1824">
        <f>_xlfn.LET(_xlpm.steps,SUBSTITUTE(Table1[[#This Row],[Input]],Table1[[#This Row],[Direction]],""),VALUE(IF(LEN(_xlpm.steps)&gt;2,RIGHT(_xlpm.steps,2),_xlpm.steps)))</f>
        <v>41</v>
      </c>
      <c r="D1824">
        <f>_xlfn.LET(_xlpm.dir,Table1[[#This Row],[Direction]],
IF(_xlpm.dir="L",
    IF(F1823-Table1[[#This Row],[Steps]]&lt;0,100+(F1823-Table1[[#This Row],[Steps]]),F1823-Table1[[#This Row],[Steps]]),
))</f>
        <v>73</v>
      </c>
      <c r="E1824">
        <f>_xlfn.LET(_xlpm.dir,Table1[[#This Row],[Direction]],
IF(_xlpm.dir="R",
    IF(F1823+Table1[[#This Row],[Steps]]&gt;99,(F1823+Table1[[#This Row],[Steps]])-100,F1823+Table1[[#This Row],[Steps]]),
))</f>
        <v>0</v>
      </c>
      <c r="F1824">
        <f>IF(Table1[[#This Row],[New Pos L]]&lt;&gt;0,Table1[[#This Row],[New Pos L]],Table1[[#This Row],[New Pos R]])</f>
        <v>73</v>
      </c>
    </row>
    <row r="1825" spans="1:6" ht="16" x14ac:dyDescent="0.2">
      <c r="A1825" s="1" t="s">
        <v>95</v>
      </c>
      <c r="B1825" t="str">
        <f>LEFT(Table1[[#This Row],[Input]],1)</f>
        <v>L</v>
      </c>
      <c r="C1825">
        <f>_xlfn.LET(_xlpm.steps,SUBSTITUTE(Table1[[#This Row],[Input]],Table1[[#This Row],[Direction]],""),VALUE(IF(LEN(_xlpm.steps)&gt;2,RIGHT(_xlpm.steps,2),_xlpm.steps)))</f>
        <v>78</v>
      </c>
      <c r="D1825">
        <f>_xlfn.LET(_xlpm.dir,Table1[[#This Row],[Direction]],
IF(_xlpm.dir="L",
    IF(F1824-Table1[[#This Row],[Steps]]&lt;0,100+(F1824-Table1[[#This Row],[Steps]]),F1824-Table1[[#This Row],[Steps]]),
))</f>
        <v>95</v>
      </c>
      <c r="E1825">
        <f>_xlfn.LET(_xlpm.dir,Table1[[#This Row],[Direction]],
IF(_xlpm.dir="R",
    IF(F1824+Table1[[#This Row],[Steps]]&gt;99,(F1824+Table1[[#This Row],[Steps]])-100,F1824+Table1[[#This Row],[Steps]]),
))</f>
        <v>0</v>
      </c>
      <c r="F1825">
        <f>IF(Table1[[#This Row],[New Pos L]]&lt;&gt;0,Table1[[#This Row],[New Pos L]],Table1[[#This Row],[New Pos R]])</f>
        <v>95</v>
      </c>
    </row>
    <row r="1826" spans="1:6" ht="16" x14ac:dyDescent="0.2">
      <c r="A1826" s="1" t="s">
        <v>100</v>
      </c>
      <c r="B1826" t="str">
        <f>LEFT(Table1[[#This Row],[Input]],1)</f>
        <v>R</v>
      </c>
      <c r="C1826">
        <f>_xlfn.LET(_xlpm.steps,SUBSTITUTE(Table1[[#This Row],[Input]],Table1[[#This Row],[Direction]],""),VALUE(IF(LEN(_xlpm.steps)&gt;2,RIGHT(_xlpm.steps,2),_xlpm.steps)))</f>
        <v>58</v>
      </c>
      <c r="D1826">
        <f>_xlfn.LET(_xlpm.dir,Table1[[#This Row],[Direction]],
IF(_xlpm.dir="L",
    IF(F1825-Table1[[#This Row],[Steps]]&lt;0,100+(F1825-Table1[[#This Row],[Steps]]),F1825-Table1[[#This Row],[Steps]]),
))</f>
        <v>0</v>
      </c>
      <c r="E1826">
        <f>_xlfn.LET(_xlpm.dir,Table1[[#This Row],[Direction]],
IF(_xlpm.dir="R",
    IF(F1825+Table1[[#This Row],[Steps]]&gt;99,(F1825+Table1[[#This Row],[Steps]])-100,F1825+Table1[[#This Row],[Steps]]),
))</f>
        <v>53</v>
      </c>
      <c r="F1826">
        <f>IF(Table1[[#This Row],[New Pos L]]&lt;&gt;0,Table1[[#This Row],[New Pos L]],Table1[[#This Row],[New Pos R]])</f>
        <v>53</v>
      </c>
    </row>
    <row r="1827" spans="1:6" ht="16" x14ac:dyDescent="0.2">
      <c r="A1827" s="1" t="s">
        <v>65</v>
      </c>
      <c r="B1827" t="str">
        <f>LEFT(Table1[[#This Row],[Input]],1)</f>
        <v>L</v>
      </c>
      <c r="C1827">
        <f>_xlfn.LET(_xlpm.steps,SUBSTITUTE(Table1[[#This Row],[Input]],Table1[[#This Row],[Direction]],""),VALUE(IF(LEN(_xlpm.steps)&gt;2,RIGHT(_xlpm.steps,2),_xlpm.steps)))</f>
        <v>19</v>
      </c>
      <c r="D1827">
        <f>_xlfn.LET(_xlpm.dir,Table1[[#This Row],[Direction]],
IF(_xlpm.dir="L",
    IF(F1826-Table1[[#This Row],[Steps]]&lt;0,100+(F1826-Table1[[#This Row],[Steps]]),F1826-Table1[[#This Row],[Steps]]),
))</f>
        <v>34</v>
      </c>
      <c r="E1827">
        <f>_xlfn.LET(_xlpm.dir,Table1[[#This Row],[Direction]],
IF(_xlpm.dir="R",
    IF(F1826+Table1[[#This Row],[Steps]]&gt;99,(F1826+Table1[[#This Row],[Steps]])-100,F1826+Table1[[#This Row],[Steps]]),
))</f>
        <v>0</v>
      </c>
      <c r="F1827">
        <f>IF(Table1[[#This Row],[New Pos L]]&lt;&gt;0,Table1[[#This Row],[New Pos L]],Table1[[#This Row],[New Pos R]])</f>
        <v>34</v>
      </c>
    </row>
    <row r="1828" spans="1:6" ht="16" x14ac:dyDescent="0.2">
      <c r="A1828" s="1" t="s">
        <v>63</v>
      </c>
      <c r="B1828" t="str">
        <f>LEFT(Table1[[#This Row],[Input]],1)</f>
        <v>R</v>
      </c>
      <c r="C1828">
        <f>_xlfn.LET(_xlpm.steps,SUBSTITUTE(Table1[[#This Row],[Input]],Table1[[#This Row],[Direction]],""),VALUE(IF(LEN(_xlpm.steps)&gt;2,RIGHT(_xlpm.steps,2),_xlpm.steps)))</f>
        <v>57</v>
      </c>
      <c r="D1828">
        <f>_xlfn.LET(_xlpm.dir,Table1[[#This Row],[Direction]],
IF(_xlpm.dir="L",
    IF(F1827-Table1[[#This Row],[Steps]]&lt;0,100+(F1827-Table1[[#This Row],[Steps]]),F1827-Table1[[#This Row],[Steps]]),
))</f>
        <v>0</v>
      </c>
      <c r="E1828">
        <f>_xlfn.LET(_xlpm.dir,Table1[[#This Row],[Direction]],
IF(_xlpm.dir="R",
    IF(F1827+Table1[[#This Row],[Steps]]&gt;99,(F1827+Table1[[#This Row],[Steps]])-100,F1827+Table1[[#This Row],[Steps]]),
))</f>
        <v>91</v>
      </c>
      <c r="F1828">
        <f>IF(Table1[[#This Row],[New Pos L]]&lt;&gt;0,Table1[[#This Row],[New Pos L]],Table1[[#This Row],[New Pos R]])</f>
        <v>91</v>
      </c>
    </row>
    <row r="1829" spans="1:6" ht="16" x14ac:dyDescent="0.2">
      <c r="A1829" s="1" t="s">
        <v>512</v>
      </c>
      <c r="B1829" t="str">
        <f>LEFT(Table1[[#This Row],[Input]],1)</f>
        <v>L</v>
      </c>
      <c r="C1829">
        <f>_xlfn.LET(_xlpm.steps,SUBSTITUTE(Table1[[#This Row],[Input]],Table1[[#This Row],[Direction]],""),VALUE(IF(LEN(_xlpm.steps)&gt;2,RIGHT(_xlpm.steps,2),_xlpm.steps)))</f>
        <v>36</v>
      </c>
      <c r="D1829">
        <f>_xlfn.LET(_xlpm.dir,Table1[[#This Row],[Direction]],
IF(_xlpm.dir="L",
    IF(F1828-Table1[[#This Row],[Steps]]&lt;0,100+(F1828-Table1[[#This Row],[Steps]]),F1828-Table1[[#This Row],[Steps]]),
))</f>
        <v>55</v>
      </c>
      <c r="E1829">
        <f>_xlfn.LET(_xlpm.dir,Table1[[#This Row],[Direction]],
IF(_xlpm.dir="R",
    IF(F1828+Table1[[#This Row],[Steps]]&gt;99,(F1828+Table1[[#This Row],[Steps]])-100,F1828+Table1[[#This Row],[Steps]]),
))</f>
        <v>0</v>
      </c>
      <c r="F1829">
        <f>IF(Table1[[#This Row],[New Pos L]]&lt;&gt;0,Table1[[#This Row],[New Pos L]],Table1[[#This Row],[New Pos R]])</f>
        <v>55</v>
      </c>
    </row>
    <row r="1830" spans="1:6" ht="16" x14ac:dyDescent="0.2">
      <c r="A1830" s="1" t="s">
        <v>91</v>
      </c>
      <c r="B1830" t="str">
        <f>LEFT(Table1[[#This Row],[Input]],1)</f>
        <v>L</v>
      </c>
      <c r="C1830">
        <f>_xlfn.LET(_xlpm.steps,SUBSTITUTE(Table1[[#This Row],[Input]],Table1[[#This Row],[Direction]],""),VALUE(IF(LEN(_xlpm.steps)&gt;2,RIGHT(_xlpm.steps,2),_xlpm.steps)))</f>
        <v>22</v>
      </c>
      <c r="D1830">
        <f>_xlfn.LET(_xlpm.dir,Table1[[#This Row],[Direction]],
IF(_xlpm.dir="L",
    IF(F1829-Table1[[#This Row],[Steps]]&lt;0,100+(F1829-Table1[[#This Row],[Steps]]),F1829-Table1[[#This Row],[Steps]]),
))</f>
        <v>33</v>
      </c>
      <c r="E1830">
        <f>_xlfn.LET(_xlpm.dir,Table1[[#This Row],[Direction]],
IF(_xlpm.dir="R",
    IF(F1829+Table1[[#This Row],[Steps]]&gt;99,(F1829+Table1[[#This Row],[Steps]])-100,F1829+Table1[[#This Row],[Steps]]),
))</f>
        <v>0</v>
      </c>
      <c r="F1830">
        <f>IF(Table1[[#This Row],[New Pos L]]&lt;&gt;0,Table1[[#This Row],[New Pos L]],Table1[[#This Row],[New Pos R]])</f>
        <v>33</v>
      </c>
    </row>
    <row r="1831" spans="1:6" ht="16" x14ac:dyDescent="0.2">
      <c r="A1831" s="1" t="s">
        <v>44</v>
      </c>
      <c r="B1831" t="str">
        <f>LEFT(Table1[[#This Row],[Input]],1)</f>
        <v>R</v>
      </c>
      <c r="C1831">
        <f>_xlfn.LET(_xlpm.steps,SUBSTITUTE(Table1[[#This Row],[Input]],Table1[[#This Row],[Direction]],""),VALUE(IF(LEN(_xlpm.steps)&gt;2,RIGHT(_xlpm.steps,2),_xlpm.steps)))</f>
        <v>96</v>
      </c>
      <c r="D1831">
        <f>_xlfn.LET(_xlpm.dir,Table1[[#This Row],[Direction]],
IF(_xlpm.dir="L",
    IF(F1830-Table1[[#This Row],[Steps]]&lt;0,100+(F1830-Table1[[#This Row],[Steps]]),F1830-Table1[[#This Row],[Steps]]),
))</f>
        <v>0</v>
      </c>
      <c r="E1831">
        <f>_xlfn.LET(_xlpm.dir,Table1[[#This Row],[Direction]],
IF(_xlpm.dir="R",
    IF(F1830+Table1[[#This Row],[Steps]]&gt;99,(F1830+Table1[[#This Row],[Steps]])-100,F1830+Table1[[#This Row],[Steps]]),
))</f>
        <v>29</v>
      </c>
      <c r="F1831">
        <f>IF(Table1[[#This Row],[New Pos L]]&lt;&gt;0,Table1[[#This Row],[New Pos L]],Table1[[#This Row],[New Pos R]])</f>
        <v>29</v>
      </c>
    </row>
    <row r="1832" spans="1:6" ht="16" x14ac:dyDescent="0.2">
      <c r="A1832" s="1" t="s">
        <v>245</v>
      </c>
      <c r="B1832" t="str">
        <f>LEFT(Table1[[#This Row],[Input]],1)</f>
        <v>R</v>
      </c>
      <c r="C1832">
        <f>_xlfn.LET(_xlpm.steps,SUBSTITUTE(Table1[[#This Row],[Input]],Table1[[#This Row],[Direction]],""),VALUE(IF(LEN(_xlpm.steps)&gt;2,RIGHT(_xlpm.steps,2),_xlpm.steps)))</f>
        <v>71</v>
      </c>
      <c r="D1832">
        <f>_xlfn.LET(_xlpm.dir,Table1[[#This Row],[Direction]],
IF(_xlpm.dir="L",
    IF(F1831-Table1[[#This Row],[Steps]]&lt;0,100+(F1831-Table1[[#This Row],[Steps]]),F1831-Table1[[#This Row],[Steps]]),
))</f>
        <v>0</v>
      </c>
      <c r="E1832">
        <f>_xlfn.LET(_xlpm.dir,Table1[[#This Row],[Direction]],
IF(_xlpm.dir="R",
    IF(F1831+Table1[[#This Row],[Steps]]&gt;99,(F1831+Table1[[#This Row],[Steps]])-100,F1831+Table1[[#This Row],[Steps]]),
))</f>
        <v>0</v>
      </c>
      <c r="F1832">
        <f>IF(Table1[[#This Row],[New Pos L]]&lt;&gt;0,Table1[[#This Row],[New Pos L]],Table1[[#This Row],[New Pos R]])</f>
        <v>0</v>
      </c>
    </row>
    <row r="1833" spans="1:6" ht="16" x14ac:dyDescent="0.2">
      <c r="A1833" s="1" t="s">
        <v>167</v>
      </c>
      <c r="B1833" t="str">
        <f>LEFT(Table1[[#This Row],[Input]],1)</f>
        <v>L</v>
      </c>
      <c r="C1833">
        <f>_xlfn.LET(_xlpm.steps,SUBSTITUTE(Table1[[#This Row],[Input]],Table1[[#This Row],[Direction]],""),VALUE(IF(LEN(_xlpm.steps)&gt;2,RIGHT(_xlpm.steps,2),_xlpm.steps)))</f>
        <v>59</v>
      </c>
      <c r="D1833">
        <f>_xlfn.LET(_xlpm.dir,Table1[[#This Row],[Direction]],
IF(_xlpm.dir="L",
    IF(F1832-Table1[[#This Row],[Steps]]&lt;0,100+(F1832-Table1[[#This Row],[Steps]]),F1832-Table1[[#This Row],[Steps]]),
))</f>
        <v>41</v>
      </c>
      <c r="E1833">
        <f>_xlfn.LET(_xlpm.dir,Table1[[#This Row],[Direction]],
IF(_xlpm.dir="R",
    IF(F1832+Table1[[#This Row],[Steps]]&gt;99,(F1832+Table1[[#This Row],[Steps]])-100,F1832+Table1[[#This Row],[Steps]]),
))</f>
        <v>0</v>
      </c>
      <c r="F1833">
        <f>IF(Table1[[#This Row],[New Pos L]]&lt;&gt;0,Table1[[#This Row],[New Pos L]],Table1[[#This Row],[New Pos R]])</f>
        <v>41</v>
      </c>
    </row>
    <row r="1834" spans="1:6" ht="16" x14ac:dyDescent="0.2">
      <c r="A1834" s="1" t="s">
        <v>213</v>
      </c>
      <c r="B1834" t="str">
        <f>LEFT(Table1[[#This Row],[Input]],1)</f>
        <v>R</v>
      </c>
      <c r="C1834">
        <f>_xlfn.LET(_xlpm.steps,SUBSTITUTE(Table1[[#This Row],[Input]],Table1[[#This Row],[Direction]],""),VALUE(IF(LEN(_xlpm.steps)&gt;2,RIGHT(_xlpm.steps,2),_xlpm.steps)))</f>
        <v>87</v>
      </c>
      <c r="D1834">
        <f>_xlfn.LET(_xlpm.dir,Table1[[#This Row],[Direction]],
IF(_xlpm.dir="L",
    IF(F1833-Table1[[#This Row],[Steps]]&lt;0,100+(F1833-Table1[[#This Row],[Steps]]),F1833-Table1[[#This Row],[Steps]]),
))</f>
        <v>0</v>
      </c>
      <c r="E1834">
        <f>_xlfn.LET(_xlpm.dir,Table1[[#This Row],[Direction]],
IF(_xlpm.dir="R",
    IF(F1833+Table1[[#This Row],[Steps]]&gt;99,(F1833+Table1[[#This Row],[Steps]])-100,F1833+Table1[[#This Row],[Steps]]),
))</f>
        <v>28</v>
      </c>
      <c r="F1834">
        <f>IF(Table1[[#This Row],[New Pos L]]&lt;&gt;0,Table1[[#This Row],[New Pos L]],Table1[[#This Row],[New Pos R]])</f>
        <v>28</v>
      </c>
    </row>
    <row r="1835" spans="1:6" ht="16" x14ac:dyDescent="0.2">
      <c r="A1835" s="1" t="s">
        <v>102</v>
      </c>
      <c r="B1835" t="str">
        <f>LEFT(Table1[[#This Row],[Input]],1)</f>
        <v>R</v>
      </c>
      <c r="C1835">
        <f>_xlfn.LET(_xlpm.steps,SUBSTITUTE(Table1[[#This Row],[Input]],Table1[[#This Row],[Direction]],""),VALUE(IF(LEN(_xlpm.steps)&gt;2,RIGHT(_xlpm.steps,2),_xlpm.steps)))</f>
        <v>39</v>
      </c>
      <c r="D1835">
        <f>_xlfn.LET(_xlpm.dir,Table1[[#This Row],[Direction]],
IF(_xlpm.dir="L",
    IF(F1834-Table1[[#This Row],[Steps]]&lt;0,100+(F1834-Table1[[#This Row],[Steps]]),F1834-Table1[[#This Row],[Steps]]),
))</f>
        <v>0</v>
      </c>
      <c r="E1835">
        <f>_xlfn.LET(_xlpm.dir,Table1[[#This Row],[Direction]],
IF(_xlpm.dir="R",
    IF(F1834+Table1[[#This Row],[Steps]]&gt;99,(F1834+Table1[[#This Row],[Steps]])-100,F1834+Table1[[#This Row],[Steps]]),
))</f>
        <v>67</v>
      </c>
      <c r="F1835">
        <f>IF(Table1[[#This Row],[New Pos L]]&lt;&gt;0,Table1[[#This Row],[New Pos L]],Table1[[#This Row],[New Pos R]])</f>
        <v>67</v>
      </c>
    </row>
    <row r="1836" spans="1:6" ht="16" x14ac:dyDescent="0.2">
      <c r="A1836" s="1" t="s">
        <v>513</v>
      </c>
      <c r="B1836" t="str">
        <f>LEFT(Table1[[#This Row],[Input]],1)</f>
        <v>R</v>
      </c>
      <c r="C1836">
        <f>_xlfn.LET(_xlpm.steps,SUBSTITUTE(Table1[[#This Row],[Input]],Table1[[#This Row],[Direction]],""),VALUE(IF(LEN(_xlpm.steps)&gt;2,RIGHT(_xlpm.steps,2),_xlpm.steps)))</f>
        <v>55</v>
      </c>
      <c r="D1836">
        <f>_xlfn.LET(_xlpm.dir,Table1[[#This Row],[Direction]],
IF(_xlpm.dir="L",
    IF(F1835-Table1[[#This Row],[Steps]]&lt;0,100+(F1835-Table1[[#This Row],[Steps]]),F1835-Table1[[#This Row],[Steps]]),
))</f>
        <v>0</v>
      </c>
      <c r="E1836">
        <f>_xlfn.LET(_xlpm.dir,Table1[[#This Row],[Direction]],
IF(_xlpm.dir="R",
    IF(F1835+Table1[[#This Row],[Steps]]&gt;99,(F1835+Table1[[#This Row],[Steps]])-100,F1835+Table1[[#This Row],[Steps]]),
))</f>
        <v>22</v>
      </c>
      <c r="F1836">
        <f>IF(Table1[[#This Row],[New Pos L]]&lt;&gt;0,Table1[[#This Row],[New Pos L]],Table1[[#This Row],[New Pos R]])</f>
        <v>22</v>
      </c>
    </row>
    <row r="1837" spans="1:6" ht="16" x14ac:dyDescent="0.2">
      <c r="A1837" s="1" t="s">
        <v>254</v>
      </c>
      <c r="B1837" t="str">
        <f>LEFT(Table1[[#This Row],[Input]],1)</f>
        <v>R</v>
      </c>
      <c r="C1837">
        <f>_xlfn.LET(_xlpm.steps,SUBSTITUTE(Table1[[#This Row],[Input]],Table1[[#This Row],[Direction]],""),VALUE(IF(LEN(_xlpm.steps)&gt;2,RIGHT(_xlpm.steps,2),_xlpm.steps)))</f>
        <v>84</v>
      </c>
      <c r="D1837">
        <f>_xlfn.LET(_xlpm.dir,Table1[[#This Row],[Direction]],
IF(_xlpm.dir="L",
    IF(F1836-Table1[[#This Row],[Steps]]&lt;0,100+(F1836-Table1[[#This Row],[Steps]]),F1836-Table1[[#This Row],[Steps]]),
))</f>
        <v>0</v>
      </c>
      <c r="E1837">
        <f>_xlfn.LET(_xlpm.dir,Table1[[#This Row],[Direction]],
IF(_xlpm.dir="R",
    IF(F1836+Table1[[#This Row],[Steps]]&gt;99,(F1836+Table1[[#This Row],[Steps]])-100,F1836+Table1[[#This Row],[Steps]]),
))</f>
        <v>6</v>
      </c>
      <c r="F1837">
        <f>IF(Table1[[#This Row],[New Pos L]]&lt;&gt;0,Table1[[#This Row],[New Pos L]],Table1[[#This Row],[New Pos R]])</f>
        <v>6</v>
      </c>
    </row>
    <row r="1838" spans="1:6" ht="16" x14ac:dyDescent="0.2">
      <c r="A1838" s="1" t="s">
        <v>46</v>
      </c>
      <c r="B1838" t="str">
        <f>LEFT(Table1[[#This Row],[Input]],1)</f>
        <v>L</v>
      </c>
      <c r="C1838">
        <f>_xlfn.LET(_xlpm.steps,SUBSTITUTE(Table1[[#This Row],[Input]],Table1[[#This Row],[Direction]],""),VALUE(IF(LEN(_xlpm.steps)&gt;2,RIGHT(_xlpm.steps,2),_xlpm.steps)))</f>
        <v>97</v>
      </c>
      <c r="D1838">
        <f>_xlfn.LET(_xlpm.dir,Table1[[#This Row],[Direction]],
IF(_xlpm.dir="L",
    IF(F1837-Table1[[#This Row],[Steps]]&lt;0,100+(F1837-Table1[[#This Row],[Steps]]),F1837-Table1[[#This Row],[Steps]]),
))</f>
        <v>9</v>
      </c>
      <c r="E1838">
        <f>_xlfn.LET(_xlpm.dir,Table1[[#This Row],[Direction]],
IF(_xlpm.dir="R",
    IF(F1837+Table1[[#This Row],[Steps]]&gt;99,(F1837+Table1[[#This Row],[Steps]])-100,F1837+Table1[[#This Row],[Steps]]),
))</f>
        <v>0</v>
      </c>
      <c r="F1838">
        <f>IF(Table1[[#This Row],[New Pos L]]&lt;&gt;0,Table1[[#This Row],[New Pos L]],Table1[[#This Row],[New Pos R]])</f>
        <v>9</v>
      </c>
    </row>
    <row r="1839" spans="1:6" ht="16" x14ac:dyDescent="0.2">
      <c r="A1839" s="1" t="s">
        <v>195</v>
      </c>
      <c r="B1839" t="str">
        <f>LEFT(Table1[[#This Row],[Input]],1)</f>
        <v>R</v>
      </c>
      <c r="C1839">
        <f>_xlfn.LET(_xlpm.steps,SUBSTITUTE(Table1[[#This Row],[Input]],Table1[[#This Row],[Direction]],""),VALUE(IF(LEN(_xlpm.steps)&gt;2,RIGHT(_xlpm.steps,2),_xlpm.steps)))</f>
        <v>40</v>
      </c>
      <c r="D1839">
        <f>_xlfn.LET(_xlpm.dir,Table1[[#This Row],[Direction]],
IF(_xlpm.dir="L",
    IF(F1838-Table1[[#This Row],[Steps]]&lt;0,100+(F1838-Table1[[#This Row],[Steps]]),F1838-Table1[[#This Row],[Steps]]),
))</f>
        <v>0</v>
      </c>
      <c r="E1839">
        <f>_xlfn.LET(_xlpm.dir,Table1[[#This Row],[Direction]],
IF(_xlpm.dir="R",
    IF(F1838+Table1[[#This Row],[Steps]]&gt;99,(F1838+Table1[[#This Row],[Steps]])-100,F1838+Table1[[#This Row],[Steps]]),
))</f>
        <v>49</v>
      </c>
      <c r="F1839">
        <f>IF(Table1[[#This Row],[New Pos L]]&lt;&gt;0,Table1[[#This Row],[New Pos L]],Table1[[#This Row],[New Pos R]])</f>
        <v>49</v>
      </c>
    </row>
    <row r="1840" spans="1:6" ht="16" x14ac:dyDescent="0.2">
      <c r="A1840" s="1" t="s">
        <v>514</v>
      </c>
      <c r="B1840" t="str">
        <f>LEFT(Table1[[#This Row],[Input]],1)</f>
        <v>R</v>
      </c>
      <c r="C1840">
        <f>_xlfn.LET(_xlpm.steps,SUBSTITUTE(Table1[[#This Row],[Input]],Table1[[#This Row],[Direction]],""),VALUE(IF(LEN(_xlpm.steps)&gt;2,RIGHT(_xlpm.steps,2),_xlpm.steps)))</f>
        <v>38</v>
      </c>
      <c r="D1840">
        <f>_xlfn.LET(_xlpm.dir,Table1[[#This Row],[Direction]],
IF(_xlpm.dir="L",
    IF(F1839-Table1[[#This Row],[Steps]]&lt;0,100+(F1839-Table1[[#This Row],[Steps]]),F1839-Table1[[#This Row],[Steps]]),
))</f>
        <v>0</v>
      </c>
      <c r="E1840">
        <f>_xlfn.LET(_xlpm.dir,Table1[[#This Row],[Direction]],
IF(_xlpm.dir="R",
    IF(F1839+Table1[[#This Row],[Steps]]&gt;99,(F1839+Table1[[#This Row],[Steps]])-100,F1839+Table1[[#This Row],[Steps]]),
))</f>
        <v>87</v>
      </c>
      <c r="F1840">
        <f>IF(Table1[[#This Row],[New Pos L]]&lt;&gt;0,Table1[[#This Row],[New Pos L]],Table1[[#This Row],[New Pos R]])</f>
        <v>87</v>
      </c>
    </row>
    <row r="1841" spans="1:6" ht="16" x14ac:dyDescent="0.2">
      <c r="A1841" s="1" t="s">
        <v>191</v>
      </c>
      <c r="B1841" t="str">
        <f>LEFT(Table1[[#This Row],[Input]],1)</f>
        <v>L</v>
      </c>
      <c r="C1841">
        <f>_xlfn.LET(_xlpm.steps,SUBSTITUTE(Table1[[#This Row],[Input]],Table1[[#This Row],[Direction]],""),VALUE(IF(LEN(_xlpm.steps)&gt;2,RIGHT(_xlpm.steps,2),_xlpm.steps)))</f>
        <v>5</v>
      </c>
      <c r="D1841">
        <f>_xlfn.LET(_xlpm.dir,Table1[[#This Row],[Direction]],
IF(_xlpm.dir="L",
    IF(F1840-Table1[[#This Row],[Steps]]&lt;0,100+(F1840-Table1[[#This Row],[Steps]]),F1840-Table1[[#This Row],[Steps]]),
))</f>
        <v>82</v>
      </c>
      <c r="E1841">
        <f>_xlfn.LET(_xlpm.dir,Table1[[#This Row],[Direction]],
IF(_xlpm.dir="R",
    IF(F1840+Table1[[#This Row],[Steps]]&gt;99,(F1840+Table1[[#This Row],[Steps]])-100,F1840+Table1[[#This Row],[Steps]]),
))</f>
        <v>0</v>
      </c>
      <c r="F1841">
        <f>IF(Table1[[#This Row],[New Pos L]]&lt;&gt;0,Table1[[#This Row],[New Pos L]],Table1[[#This Row],[New Pos R]])</f>
        <v>82</v>
      </c>
    </row>
    <row r="1842" spans="1:6" ht="16" x14ac:dyDescent="0.2">
      <c r="A1842" s="1" t="s">
        <v>16</v>
      </c>
      <c r="B1842" t="str">
        <f>LEFT(Table1[[#This Row],[Input]],1)</f>
        <v>L</v>
      </c>
      <c r="C1842">
        <f>_xlfn.LET(_xlpm.steps,SUBSTITUTE(Table1[[#This Row],[Input]],Table1[[#This Row],[Direction]],""),VALUE(IF(LEN(_xlpm.steps)&gt;2,RIGHT(_xlpm.steps,2),_xlpm.steps)))</f>
        <v>10</v>
      </c>
      <c r="D1842">
        <f>_xlfn.LET(_xlpm.dir,Table1[[#This Row],[Direction]],
IF(_xlpm.dir="L",
    IF(F1841-Table1[[#This Row],[Steps]]&lt;0,100+(F1841-Table1[[#This Row],[Steps]]),F1841-Table1[[#This Row],[Steps]]),
))</f>
        <v>72</v>
      </c>
      <c r="E1842">
        <f>_xlfn.LET(_xlpm.dir,Table1[[#This Row],[Direction]],
IF(_xlpm.dir="R",
    IF(F1841+Table1[[#This Row],[Steps]]&gt;99,(F1841+Table1[[#This Row],[Steps]])-100,F1841+Table1[[#This Row],[Steps]]),
))</f>
        <v>0</v>
      </c>
      <c r="F1842">
        <f>IF(Table1[[#This Row],[New Pos L]]&lt;&gt;0,Table1[[#This Row],[New Pos L]],Table1[[#This Row],[New Pos R]])</f>
        <v>72</v>
      </c>
    </row>
    <row r="1843" spans="1:6" ht="16" x14ac:dyDescent="0.2">
      <c r="A1843" s="1" t="s">
        <v>272</v>
      </c>
      <c r="B1843" t="str">
        <f>LEFT(Table1[[#This Row],[Input]],1)</f>
        <v>R</v>
      </c>
      <c r="C1843">
        <f>_xlfn.LET(_xlpm.steps,SUBSTITUTE(Table1[[#This Row],[Input]],Table1[[#This Row],[Direction]],""),VALUE(IF(LEN(_xlpm.steps)&gt;2,RIGHT(_xlpm.steps,2),_xlpm.steps)))</f>
        <v>56</v>
      </c>
      <c r="D1843">
        <f>_xlfn.LET(_xlpm.dir,Table1[[#This Row],[Direction]],
IF(_xlpm.dir="L",
    IF(F1842-Table1[[#This Row],[Steps]]&lt;0,100+(F1842-Table1[[#This Row],[Steps]]),F1842-Table1[[#This Row],[Steps]]),
))</f>
        <v>0</v>
      </c>
      <c r="E1843">
        <f>_xlfn.LET(_xlpm.dir,Table1[[#This Row],[Direction]],
IF(_xlpm.dir="R",
    IF(F1842+Table1[[#This Row],[Steps]]&gt;99,(F1842+Table1[[#This Row],[Steps]])-100,F1842+Table1[[#This Row],[Steps]]),
))</f>
        <v>28</v>
      </c>
      <c r="F1843">
        <f>IF(Table1[[#This Row],[New Pos L]]&lt;&gt;0,Table1[[#This Row],[New Pos L]],Table1[[#This Row],[New Pos R]])</f>
        <v>28</v>
      </c>
    </row>
    <row r="1844" spans="1:6" ht="16" x14ac:dyDescent="0.2">
      <c r="A1844" s="1" t="s">
        <v>159</v>
      </c>
      <c r="B1844" t="str">
        <f>LEFT(Table1[[#This Row],[Input]],1)</f>
        <v>R</v>
      </c>
      <c r="C1844">
        <f>_xlfn.LET(_xlpm.steps,SUBSTITUTE(Table1[[#This Row],[Input]],Table1[[#This Row],[Direction]],""),VALUE(IF(LEN(_xlpm.steps)&gt;2,RIGHT(_xlpm.steps,2),_xlpm.steps)))</f>
        <v>24</v>
      </c>
      <c r="D1844">
        <f>_xlfn.LET(_xlpm.dir,Table1[[#This Row],[Direction]],
IF(_xlpm.dir="L",
    IF(F1843-Table1[[#This Row],[Steps]]&lt;0,100+(F1843-Table1[[#This Row],[Steps]]),F1843-Table1[[#This Row],[Steps]]),
))</f>
        <v>0</v>
      </c>
      <c r="E1844">
        <f>_xlfn.LET(_xlpm.dir,Table1[[#This Row],[Direction]],
IF(_xlpm.dir="R",
    IF(F1843+Table1[[#This Row],[Steps]]&gt;99,(F1843+Table1[[#This Row],[Steps]])-100,F1843+Table1[[#This Row],[Steps]]),
))</f>
        <v>52</v>
      </c>
      <c r="F1844">
        <f>IF(Table1[[#This Row],[New Pos L]]&lt;&gt;0,Table1[[#This Row],[New Pos L]],Table1[[#This Row],[New Pos R]])</f>
        <v>52</v>
      </c>
    </row>
    <row r="1845" spans="1:6" ht="16" x14ac:dyDescent="0.2">
      <c r="A1845" s="1" t="s">
        <v>515</v>
      </c>
      <c r="B1845" t="str">
        <f>LEFT(Table1[[#This Row],[Input]],1)</f>
        <v>L</v>
      </c>
      <c r="C1845">
        <f>_xlfn.LET(_xlpm.steps,SUBSTITUTE(Table1[[#This Row],[Input]],Table1[[#This Row],[Direction]],""),VALUE(IF(LEN(_xlpm.steps)&gt;2,RIGHT(_xlpm.steps,2),_xlpm.steps)))</f>
        <v>52</v>
      </c>
      <c r="D1845">
        <f>_xlfn.LET(_xlpm.dir,Table1[[#This Row],[Direction]],
IF(_xlpm.dir="L",
    IF(F1844-Table1[[#This Row],[Steps]]&lt;0,100+(F1844-Table1[[#This Row],[Steps]]),F1844-Table1[[#This Row],[Steps]]),
))</f>
        <v>0</v>
      </c>
      <c r="E1845">
        <f>_xlfn.LET(_xlpm.dir,Table1[[#This Row],[Direction]],
IF(_xlpm.dir="R",
    IF(F1844+Table1[[#This Row],[Steps]]&gt;99,(F1844+Table1[[#This Row],[Steps]])-100,F1844+Table1[[#This Row],[Steps]]),
))</f>
        <v>0</v>
      </c>
      <c r="F1845">
        <f>IF(Table1[[#This Row],[New Pos L]]&lt;&gt;0,Table1[[#This Row],[New Pos L]],Table1[[#This Row],[New Pos R]])</f>
        <v>0</v>
      </c>
    </row>
    <row r="1846" spans="1:6" ht="16" x14ac:dyDescent="0.2">
      <c r="A1846" s="1" t="s">
        <v>25</v>
      </c>
      <c r="B1846" t="str">
        <f>LEFT(Table1[[#This Row],[Input]],1)</f>
        <v>L</v>
      </c>
      <c r="C1846">
        <f>_xlfn.LET(_xlpm.steps,SUBSTITUTE(Table1[[#This Row],[Input]],Table1[[#This Row],[Direction]],""),VALUE(IF(LEN(_xlpm.steps)&gt;2,RIGHT(_xlpm.steps,2),_xlpm.steps)))</f>
        <v>20</v>
      </c>
      <c r="D1846">
        <f>_xlfn.LET(_xlpm.dir,Table1[[#This Row],[Direction]],
IF(_xlpm.dir="L",
    IF(F1845-Table1[[#This Row],[Steps]]&lt;0,100+(F1845-Table1[[#This Row],[Steps]]),F1845-Table1[[#This Row],[Steps]]),
))</f>
        <v>80</v>
      </c>
      <c r="E1846">
        <f>_xlfn.LET(_xlpm.dir,Table1[[#This Row],[Direction]],
IF(_xlpm.dir="R",
    IF(F1845+Table1[[#This Row],[Steps]]&gt;99,(F1845+Table1[[#This Row],[Steps]])-100,F1845+Table1[[#This Row],[Steps]]),
))</f>
        <v>0</v>
      </c>
      <c r="F1846">
        <f>IF(Table1[[#This Row],[New Pos L]]&lt;&gt;0,Table1[[#This Row],[New Pos L]],Table1[[#This Row],[New Pos R]])</f>
        <v>80</v>
      </c>
    </row>
    <row r="1847" spans="1:6" ht="16" x14ac:dyDescent="0.2">
      <c r="A1847" s="1" t="s">
        <v>516</v>
      </c>
      <c r="B1847" t="str">
        <f>LEFT(Table1[[#This Row],[Input]],1)</f>
        <v>L</v>
      </c>
      <c r="C1847">
        <f>_xlfn.LET(_xlpm.steps,SUBSTITUTE(Table1[[#This Row],[Input]],Table1[[#This Row],[Direction]],""),VALUE(IF(LEN(_xlpm.steps)&gt;2,RIGHT(_xlpm.steps,2),_xlpm.steps)))</f>
        <v>56</v>
      </c>
      <c r="D1847">
        <f>_xlfn.LET(_xlpm.dir,Table1[[#This Row],[Direction]],
IF(_xlpm.dir="L",
    IF(F1846-Table1[[#This Row],[Steps]]&lt;0,100+(F1846-Table1[[#This Row],[Steps]]),F1846-Table1[[#This Row],[Steps]]),
))</f>
        <v>24</v>
      </c>
      <c r="E1847">
        <f>_xlfn.LET(_xlpm.dir,Table1[[#This Row],[Direction]],
IF(_xlpm.dir="R",
    IF(F1846+Table1[[#This Row],[Steps]]&gt;99,(F1846+Table1[[#This Row],[Steps]])-100,F1846+Table1[[#This Row],[Steps]]),
))</f>
        <v>0</v>
      </c>
      <c r="F1847">
        <f>IF(Table1[[#This Row],[New Pos L]]&lt;&gt;0,Table1[[#This Row],[New Pos L]],Table1[[#This Row],[New Pos R]])</f>
        <v>24</v>
      </c>
    </row>
    <row r="1848" spans="1:6" ht="16" x14ac:dyDescent="0.2">
      <c r="A1848" s="1" t="s">
        <v>119</v>
      </c>
      <c r="B1848" t="str">
        <f>LEFT(Table1[[#This Row],[Input]],1)</f>
        <v>L</v>
      </c>
      <c r="C1848">
        <f>_xlfn.LET(_xlpm.steps,SUBSTITUTE(Table1[[#This Row],[Input]],Table1[[#This Row],[Direction]],""),VALUE(IF(LEN(_xlpm.steps)&gt;2,RIGHT(_xlpm.steps,2),_xlpm.steps)))</f>
        <v>77</v>
      </c>
      <c r="D1848">
        <f>_xlfn.LET(_xlpm.dir,Table1[[#This Row],[Direction]],
IF(_xlpm.dir="L",
    IF(F1847-Table1[[#This Row],[Steps]]&lt;0,100+(F1847-Table1[[#This Row],[Steps]]),F1847-Table1[[#This Row],[Steps]]),
))</f>
        <v>47</v>
      </c>
      <c r="E1848">
        <f>_xlfn.LET(_xlpm.dir,Table1[[#This Row],[Direction]],
IF(_xlpm.dir="R",
    IF(F1847+Table1[[#This Row],[Steps]]&gt;99,(F1847+Table1[[#This Row],[Steps]])-100,F1847+Table1[[#This Row],[Steps]]),
))</f>
        <v>0</v>
      </c>
      <c r="F1848">
        <f>IF(Table1[[#This Row],[New Pos L]]&lt;&gt;0,Table1[[#This Row],[New Pos L]],Table1[[#This Row],[New Pos R]])</f>
        <v>47</v>
      </c>
    </row>
    <row r="1849" spans="1:6" ht="16" x14ac:dyDescent="0.2">
      <c r="A1849" s="1" t="s">
        <v>330</v>
      </c>
      <c r="B1849" t="str">
        <f>LEFT(Table1[[#This Row],[Input]],1)</f>
        <v>L</v>
      </c>
      <c r="C1849">
        <f>_xlfn.LET(_xlpm.steps,SUBSTITUTE(Table1[[#This Row],[Input]],Table1[[#This Row],[Direction]],""),VALUE(IF(LEN(_xlpm.steps)&gt;2,RIGHT(_xlpm.steps,2),_xlpm.steps)))</f>
        <v>47</v>
      </c>
      <c r="D1849">
        <f>_xlfn.LET(_xlpm.dir,Table1[[#This Row],[Direction]],
IF(_xlpm.dir="L",
    IF(F1848-Table1[[#This Row],[Steps]]&lt;0,100+(F1848-Table1[[#This Row],[Steps]]),F1848-Table1[[#This Row],[Steps]]),
))</f>
        <v>0</v>
      </c>
      <c r="E1849">
        <f>_xlfn.LET(_xlpm.dir,Table1[[#This Row],[Direction]],
IF(_xlpm.dir="R",
    IF(F1848+Table1[[#This Row],[Steps]]&gt;99,(F1848+Table1[[#This Row],[Steps]])-100,F1848+Table1[[#This Row],[Steps]]),
))</f>
        <v>0</v>
      </c>
      <c r="F1849">
        <f>IF(Table1[[#This Row],[New Pos L]]&lt;&gt;0,Table1[[#This Row],[New Pos L]],Table1[[#This Row],[New Pos R]])</f>
        <v>0</v>
      </c>
    </row>
    <row r="1850" spans="1:6" ht="16" x14ac:dyDescent="0.2">
      <c r="A1850" s="1" t="s">
        <v>70</v>
      </c>
      <c r="B1850" t="str">
        <f>LEFT(Table1[[#This Row],[Input]],1)</f>
        <v>R</v>
      </c>
      <c r="C1850">
        <f>_xlfn.LET(_xlpm.steps,SUBSTITUTE(Table1[[#This Row],[Input]],Table1[[#This Row],[Direction]],""),VALUE(IF(LEN(_xlpm.steps)&gt;2,RIGHT(_xlpm.steps,2),_xlpm.steps)))</f>
        <v>73</v>
      </c>
      <c r="D1850">
        <f>_xlfn.LET(_xlpm.dir,Table1[[#This Row],[Direction]],
IF(_xlpm.dir="L",
    IF(F1849-Table1[[#This Row],[Steps]]&lt;0,100+(F1849-Table1[[#This Row],[Steps]]),F1849-Table1[[#This Row],[Steps]]),
))</f>
        <v>0</v>
      </c>
      <c r="E1850">
        <f>_xlfn.LET(_xlpm.dir,Table1[[#This Row],[Direction]],
IF(_xlpm.dir="R",
    IF(F1849+Table1[[#This Row],[Steps]]&gt;99,(F1849+Table1[[#This Row],[Steps]])-100,F1849+Table1[[#This Row],[Steps]]),
))</f>
        <v>73</v>
      </c>
      <c r="F1850">
        <f>IF(Table1[[#This Row],[New Pos L]]&lt;&gt;0,Table1[[#This Row],[New Pos L]],Table1[[#This Row],[New Pos R]])</f>
        <v>73</v>
      </c>
    </row>
    <row r="1851" spans="1:6" ht="16" x14ac:dyDescent="0.2">
      <c r="A1851" s="1" t="s">
        <v>69</v>
      </c>
      <c r="B1851" t="str">
        <f>LEFT(Table1[[#This Row],[Input]],1)</f>
        <v>R</v>
      </c>
      <c r="C1851">
        <f>_xlfn.LET(_xlpm.steps,SUBSTITUTE(Table1[[#This Row],[Input]],Table1[[#This Row],[Direction]],""),VALUE(IF(LEN(_xlpm.steps)&gt;2,RIGHT(_xlpm.steps,2),_xlpm.steps)))</f>
        <v>27</v>
      </c>
      <c r="D1851">
        <f>_xlfn.LET(_xlpm.dir,Table1[[#This Row],[Direction]],
IF(_xlpm.dir="L",
    IF(F1850-Table1[[#This Row],[Steps]]&lt;0,100+(F1850-Table1[[#This Row],[Steps]]),F1850-Table1[[#This Row],[Steps]]),
))</f>
        <v>0</v>
      </c>
      <c r="E1851">
        <f>_xlfn.LET(_xlpm.dir,Table1[[#This Row],[Direction]],
IF(_xlpm.dir="R",
    IF(F1850+Table1[[#This Row],[Steps]]&gt;99,(F1850+Table1[[#This Row],[Steps]])-100,F1850+Table1[[#This Row],[Steps]]),
))</f>
        <v>0</v>
      </c>
      <c r="F1851">
        <f>IF(Table1[[#This Row],[New Pos L]]&lt;&gt;0,Table1[[#This Row],[New Pos L]],Table1[[#This Row],[New Pos R]])</f>
        <v>0</v>
      </c>
    </row>
    <row r="1852" spans="1:6" ht="16" x14ac:dyDescent="0.2">
      <c r="A1852" s="1" t="s">
        <v>9</v>
      </c>
      <c r="B1852" t="str">
        <f>LEFT(Table1[[#This Row],[Input]],1)</f>
        <v>L</v>
      </c>
      <c r="C1852">
        <f>_xlfn.LET(_xlpm.steps,SUBSTITUTE(Table1[[#This Row],[Input]],Table1[[#This Row],[Direction]],""),VALUE(IF(LEN(_xlpm.steps)&gt;2,RIGHT(_xlpm.steps,2),_xlpm.steps)))</f>
        <v>9</v>
      </c>
      <c r="D1852">
        <f>_xlfn.LET(_xlpm.dir,Table1[[#This Row],[Direction]],
IF(_xlpm.dir="L",
    IF(F1851-Table1[[#This Row],[Steps]]&lt;0,100+(F1851-Table1[[#This Row],[Steps]]),F1851-Table1[[#This Row],[Steps]]),
))</f>
        <v>91</v>
      </c>
      <c r="E1852">
        <f>_xlfn.LET(_xlpm.dir,Table1[[#This Row],[Direction]],
IF(_xlpm.dir="R",
    IF(F1851+Table1[[#This Row],[Steps]]&gt;99,(F1851+Table1[[#This Row],[Steps]])-100,F1851+Table1[[#This Row],[Steps]]),
))</f>
        <v>0</v>
      </c>
      <c r="F1852">
        <f>IF(Table1[[#This Row],[New Pos L]]&lt;&gt;0,Table1[[#This Row],[New Pos L]],Table1[[#This Row],[New Pos R]])</f>
        <v>91</v>
      </c>
    </row>
    <row r="1853" spans="1:6" ht="16" x14ac:dyDescent="0.2">
      <c r="A1853" s="1" t="s">
        <v>517</v>
      </c>
      <c r="B1853" t="str">
        <f>LEFT(Table1[[#This Row],[Input]],1)</f>
        <v>R</v>
      </c>
      <c r="C1853">
        <f>_xlfn.LET(_xlpm.steps,SUBSTITUTE(Table1[[#This Row],[Input]],Table1[[#This Row],[Direction]],""),VALUE(IF(LEN(_xlpm.steps)&gt;2,RIGHT(_xlpm.steps,2),_xlpm.steps)))</f>
        <v>9</v>
      </c>
      <c r="D1853">
        <f>_xlfn.LET(_xlpm.dir,Table1[[#This Row],[Direction]],
IF(_xlpm.dir="L",
    IF(F1852-Table1[[#This Row],[Steps]]&lt;0,100+(F1852-Table1[[#This Row],[Steps]]),F1852-Table1[[#This Row],[Steps]]),
))</f>
        <v>0</v>
      </c>
      <c r="E1853">
        <f>_xlfn.LET(_xlpm.dir,Table1[[#This Row],[Direction]],
IF(_xlpm.dir="R",
    IF(F1852+Table1[[#This Row],[Steps]]&gt;99,(F1852+Table1[[#This Row],[Steps]])-100,F1852+Table1[[#This Row],[Steps]]),
))</f>
        <v>0</v>
      </c>
      <c r="F1853">
        <f>IF(Table1[[#This Row],[New Pos L]]&lt;&gt;0,Table1[[#This Row],[New Pos L]],Table1[[#This Row],[New Pos R]])</f>
        <v>0</v>
      </c>
    </row>
    <row r="1854" spans="1:6" ht="16" x14ac:dyDescent="0.2">
      <c r="A1854" s="1" t="s">
        <v>74</v>
      </c>
      <c r="B1854" t="str">
        <f>LEFT(Table1[[#This Row],[Input]],1)</f>
        <v>R</v>
      </c>
      <c r="C1854">
        <f>_xlfn.LET(_xlpm.steps,SUBSTITUTE(Table1[[#This Row],[Input]],Table1[[#This Row],[Direction]],""),VALUE(IF(LEN(_xlpm.steps)&gt;2,RIGHT(_xlpm.steps,2),_xlpm.steps)))</f>
        <v>93</v>
      </c>
      <c r="D1854">
        <f>_xlfn.LET(_xlpm.dir,Table1[[#This Row],[Direction]],
IF(_xlpm.dir="L",
    IF(F1853-Table1[[#This Row],[Steps]]&lt;0,100+(F1853-Table1[[#This Row],[Steps]]),F1853-Table1[[#This Row],[Steps]]),
))</f>
        <v>0</v>
      </c>
      <c r="E1854">
        <f>_xlfn.LET(_xlpm.dir,Table1[[#This Row],[Direction]],
IF(_xlpm.dir="R",
    IF(F1853+Table1[[#This Row],[Steps]]&gt;99,(F1853+Table1[[#This Row],[Steps]])-100,F1853+Table1[[#This Row],[Steps]]),
))</f>
        <v>93</v>
      </c>
      <c r="F1854">
        <f>IF(Table1[[#This Row],[New Pos L]]&lt;&gt;0,Table1[[#This Row],[New Pos L]],Table1[[#This Row],[New Pos R]])</f>
        <v>93</v>
      </c>
    </row>
    <row r="1855" spans="1:6" ht="16" x14ac:dyDescent="0.2">
      <c r="A1855" s="1" t="s">
        <v>17</v>
      </c>
      <c r="B1855" t="str">
        <f>LEFT(Table1[[#This Row],[Input]],1)</f>
        <v>L</v>
      </c>
      <c r="C1855">
        <f>_xlfn.LET(_xlpm.steps,SUBSTITUTE(Table1[[#This Row],[Input]],Table1[[#This Row],[Direction]],""),VALUE(IF(LEN(_xlpm.steps)&gt;2,RIGHT(_xlpm.steps,2),_xlpm.steps)))</f>
        <v>50</v>
      </c>
      <c r="D1855">
        <f>_xlfn.LET(_xlpm.dir,Table1[[#This Row],[Direction]],
IF(_xlpm.dir="L",
    IF(F1854-Table1[[#This Row],[Steps]]&lt;0,100+(F1854-Table1[[#This Row],[Steps]]),F1854-Table1[[#This Row],[Steps]]),
))</f>
        <v>43</v>
      </c>
      <c r="E1855">
        <f>_xlfn.LET(_xlpm.dir,Table1[[#This Row],[Direction]],
IF(_xlpm.dir="R",
    IF(F1854+Table1[[#This Row],[Steps]]&gt;99,(F1854+Table1[[#This Row],[Steps]])-100,F1854+Table1[[#This Row],[Steps]]),
))</f>
        <v>0</v>
      </c>
      <c r="F1855">
        <f>IF(Table1[[#This Row],[New Pos L]]&lt;&gt;0,Table1[[#This Row],[New Pos L]],Table1[[#This Row],[New Pos R]])</f>
        <v>43</v>
      </c>
    </row>
    <row r="1856" spans="1:6" ht="16" x14ac:dyDescent="0.2">
      <c r="A1856" s="1" t="s">
        <v>68</v>
      </c>
      <c r="B1856" t="str">
        <f>LEFT(Table1[[#This Row],[Input]],1)</f>
        <v>L</v>
      </c>
      <c r="C1856">
        <f>_xlfn.LET(_xlpm.steps,SUBSTITUTE(Table1[[#This Row],[Input]],Table1[[#This Row],[Direction]],""),VALUE(IF(LEN(_xlpm.steps)&gt;2,RIGHT(_xlpm.steps,2),_xlpm.steps)))</f>
        <v>80</v>
      </c>
      <c r="D1856">
        <f>_xlfn.LET(_xlpm.dir,Table1[[#This Row],[Direction]],
IF(_xlpm.dir="L",
    IF(F1855-Table1[[#This Row],[Steps]]&lt;0,100+(F1855-Table1[[#This Row],[Steps]]),F1855-Table1[[#This Row],[Steps]]),
))</f>
        <v>63</v>
      </c>
      <c r="E1856">
        <f>_xlfn.LET(_xlpm.dir,Table1[[#This Row],[Direction]],
IF(_xlpm.dir="R",
    IF(F1855+Table1[[#This Row],[Steps]]&gt;99,(F1855+Table1[[#This Row],[Steps]])-100,F1855+Table1[[#This Row],[Steps]]),
))</f>
        <v>0</v>
      </c>
      <c r="F1856">
        <f>IF(Table1[[#This Row],[New Pos L]]&lt;&gt;0,Table1[[#This Row],[New Pos L]],Table1[[#This Row],[New Pos R]])</f>
        <v>63</v>
      </c>
    </row>
    <row r="1857" spans="1:6" ht="16" x14ac:dyDescent="0.2">
      <c r="A1857" s="1" t="s">
        <v>39</v>
      </c>
      <c r="B1857" t="str">
        <f>LEFT(Table1[[#This Row],[Input]],1)</f>
        <v>R</v>
      </c>
      <c r="C1857">
        <f>_xlfn.LET(_xlpm.steps,SUBSTITUTE(Table1[[#This Row],[Input]],Table1[[#This Row],[Direction]],""),VALUE(IF(LEN(_xlpm.steps)&gt;2,RIGHT(_xlpm.steps,2),_xlpm.steps)))</f>
        <v>32</v>
      </c>
      <c r="D1857">
        <f>_xlfn.LET(_xlpm.dir,Table1[[#This Row],[Direction]],
IF(_xlpm.dir="L",
    IF(F1856-Table1[[#This Row],[Steps]]&lt;0,100+(F1856-Table1[[#This Row],[Steps]]),F1856-Table1[[#This Row],[Steps]]),
))</f>
        <v>0</v>
      </c>
      <c r="E1857">
        <f>_xlfn.LET(_xlpm.dir,Table1[[#This Row],[Direction]],
IF(_xlpm.dir="R",
    IF(F1856+Table1[[#This Row],[Steps]]&gt;99,(F1856+Table1[[#This Row],[Steps]])-100,F1856+Table1[[#This Row],[Steps]]),
))</f>
        <v>95</v>
      </c>
      <c r="F1857">
        <f>IF(Table1[[#This Row],[New Pos L]]&lt;&gt;0,Table1[[#This Row],[New Pos L]],Table1[[#This Row],[New Pos R]])</f>
        <v>95</v>
      </c>
    </row>
    <row r="1858" spans="1:6" ht="16" x14ac:dyDescent="0.2">
      <c r="A1858" s="1" t="s">
        <v>4</v>
      </c>
      <c r="B1858" t="str">
        <f>LEFT(Table1[[#This Row],[Input]],1)</f>
        <v>R</v>
      </c>
      <c r="C1858">
        <f>_xlfn.LET(_xlpm.steps,SUBSTITUTE(Table1[[#This Row],[Input]],Table1[[#This Row],[Direction]],""),VALUE(IF(LEN(_xlpm.steps)&gt;2,RIGHT(_xlpm.steps,2),_xlpm.steps)))</f>
        <v>3</v>
      </c>
      <c r="D1858">
        <f>_xlfn.LET(_xlpm.dir,Table1[[#This Row],[Direction]],
IF(_xlpm.dir="L",
    IF(F1857-Table1[[#This Row],[Steps]]&lt;0,100+(F1857-Table1[[#This Row],[Steps]]),F1857-Table1[[#This Row],[Steps]]),
))</f>
        <v>0</v>
      </c>
      <c r="E1858">
        <f>_xlfn.LET(_xlpm.dir,Table1[[#This Row],[Direction]],
IF(_xlpm.dir="R",
    IF(F1857+Table1[[#This Row],[Steps]]&gt;99,(F1857+Table1[[#This Row],[Steps]])-100,F1857+Table1[[#This Row],[Steps]]),
))</f>
        <v>98</v>
      </c>
      <c r="F1858">
        <f>IF(Table1[[#This Row],[New Pos L]]&lt;&gt;0,Table1[[#This Row],[New Pos L]],Table1[[#This Row],[New Pos R]])</f>
        <v>98</v>
      </c>
    </row>
    <row r="1859" spans="1:6" ht="16" x14ac:dyDescent="0.2">
      <c r="A1859" s="1" t="s">
        <v>518</v>
      </c>
      <c r="B1859" t="str">
        <f>LEFT(Table1[[#This Row],[Input]],1)</f>
        <v>R</v>
      </c>
      <c r="C1859">
        <f>_xlfn.LET(_xlpm.steps,SUBSTITUTE(Table1[[#This Row],[Input]],Table1[[#This Row],[Direction]],""),VALUE(IF(LEN(_xlpm.steps)&gt;2,RIGHT(_xlpm.steps,2),_xlpm.steps)))</f>
        <v>54</v>
      </c>
      <c r="D1859">
        <f>_xlfn.LET(_xlpm.dir,Table1[[#This Row],[Direction]],
IF(_xlpm.dir="L",
    IF(F1858-Table1[[#This Row],[Steps]]&lt;0,100+(F1858-Table1[[#This Row],[Steps]]),F1858-Table1[[#This Row],[Steps]]),
))</f>
        <v>0</v>
      </c>
      <c r="E1859">
        <f>_xlfn.LET(_xlpm.dir,Table1[[#This Row],[Direction]],
IF(_xlpm.dir="R",
    IF(F1858+Table1[[#This Row],[Steps]]&gt;99,(F1858+Table1[[#This Row],[Steps]])-100,F1858+Table1[[#This Row],[Steps]]),
))</f>
        <v>52</v>
      </c>
      <c r="F1859">
        <f>IF(Table1[[#This Row],[New Pos L]]&lt;&gt;0,Table1[[#This Row],[New Pos L]],Table1[[#This Row],[New Pos R]])</f>
        <v>52</v>
      </c>
    </row>
    <row r="1860" spans="1:6" ht="16" x14ac:dyDescent="0.2">
      <c r="A1860" s="1" t="s">
        <v>88</v>
      </c>
      <c r="B1860" t="str">
        <f>LEFT(Table1[[#This Row],[Input]],1)</f>
        <v>R</v>
      </c>
      <c r="C1860">
        <f>_xlfn.LET(_xlpm.steps,SUBSTITUTE(Table1[[#This Row],[Input]],Table1[[#This Row],[Direction]],""),VALUE(IF(LEN(_xlpm.steps)&gt;2,RIGHT(_xlpm.steps,2),_xlpm.steps)))</f>
        <v>53</v>
      </c>
      <c r="D1860">
        <f>_xlfn.LET(_xlpm.dir,Table1[[#This Row],[Direction]],
IF(_xlpm.dir="L",
    IF(F1859-Table1[[#This Row],[Steps]]&lt;0,100+(F1859-Table1[[#This Row],[Steps]]),F1859-Table1[[#This Row],[Steps]]),
))</f>
        <v>0</v>
      </c>
      <c r="E1860">
        <f>_xlfn.LET(_xlpm.dir,Table1[[#This Row],[Direction]],
IF(_xlpm.dir="R",
    IF(F1859+Table1[[#This Row],[Steps]]&gt;99,(F1859+Table1[[#This Row],[Steps]])-100,F1859+Table1[[#This Row],[Steps]]),
))</f>
        <v>5</v>
      </c>
      <c r="F1860">
        <f>IF(Table1[[#This Row],[New Pos L]]&lt;&gt;0,Table1[[#This Row],[New Pos L]],Table1[[#This Row],[New Pos R]])</f>
        <v>5</v>
      </c>
    </row>
    <row r="1861" spans="1:6" ht="16" x14ac:dyDescent="0.2">
      <c r="A1861" s="1" t="s">
        <v>336</v>
      </c>
      <c r="B1861" t="str">
        <f>LEFT(Table1[[#This Row],[Input]],1)</f>
        <v>R</v>
      </c>
      <c r="C1861">
        <f>_xlfn.LET(_xlpm.steps,SUBSTITUTE(Table1[[#This Row],[Input]],Table1[[#This Row],[Direction]],""),VALUE(IF(LEN(_xlpm.steps)&gt;2,RIGHT(_xlpm.steps,2),_xlpm.steps)))</f>
        <v>95</v>
      </c>
      <c r="D1861">
        <f>_xlfn.LET(_xlpm.dir,Table1[[#This Row],[Direction]],
IF(_xlpm.dir="L",
    IF(F1860-Table1[[#This Row],[Steps]]&lt;0,100+(F1860-Table1[[#This Row],[Steps]]),F1860-Table1[[#This Row],[Steps]]),
))</f>
        <v>0</v>
      </c>
      <c r="E1861">
        <f>_xlfn.LET(_xlpm.dir,Table1[[#This Row],[Direction]],
IF(_xlpm.dir="R",
    IF(F1860+Table1[[#This Row],[Steps]]&gt;99,(F1860+Table1[[#This Row],[Steps]])-100,F1860+Table1[[#This Row],[Steps]]),
))</f>
        <v>0</v>
      </c>
      <c r="F1861">
        <f>IF(Table1[[#This Row],[New Pos L]]&lt;&gt;0,Table1[[#This Row],[New Pos L]],Table1[[#This Row],[New Pos R]])</f>
        <v>0</v>
      </c>
    </row>
    <row r="1862" spans="1:6" ht="16" x14ac:dyDescent="0.2">
      <c r="A1862" s="1" t="s">
        <v>40</v>
      </c>
      <c r="B1862" t="str">
        <f>LEFT(Table1[[#This Row],[Input]],1)</f>
        <v>R</v>
      </c>
      <c r="C1862">
        <f>_xlfn.LET(_xlpm.steps,SUBSTITUTE(Table1[[#This Row],[Input]],Table1[[#This Row],[Direction]],""),VALUE(IF(LEN(_xlpm.steps)&gt;2,RIGHT(_xlpm.steps,2),_xlpm.steps)))</f>
        <v>52</v>
      </c>
      <c r="D1862">
        <f>_xlfn.LET(_xlpm.dir,Table1[[#This Row],[Direction]],
IF(_xlpm.dir="L",
    IF(F1861-Table1[[#This Row],[Steps]]&lt;0,100+(F1861-Table1[[#This Row],[Steps]]),F1861-Table1[[#This Row],[Steps]]),
))</f>
        <v>0</v>
      </c>
      <c r="E1862">
        <f>_xlfn.LET(_xlpm.dir,Table1[[#This Row],[Direction]],
IF(_xlpm.dir="R",
    IF(F1861+Table1[[#This Row],[Steps]]&gt;99,(F1861+Table1[[#This Row],[Steps]])-100,F1861+Table1[[#This Row],[Steps]]),
))</f>
        <v>52</v>
      </c>
      <c r="F1862">
        <f>IF(Table1[[#This Row],[New Pos L]]&lt;&gt;0,Table1[[#This Row],[New Pos L]],Table1[[#This Row],[New Pos R]])</f>
        <v>52</v>
      </c>
    </row>
    <row r="1863" spans="1:6" ht="16" x14ac:dyDescent="0.2">
      <c r="A1863" s="1" t="s">
        <v>30</v>
      </c>
      <c r="B1863" t="str">
        <f>LEFT(Table1[[#This Row],[Input]],1)</f>
        <v>R</v>
      </c>
      <c r="C1863">
        <f>_xlfn.LET(_xlpm.steps,SUBSTITUTE(Table1[[#This Row],[Input]],Table1[[#This Row],[Direction]],""),VALUE(IF(LEN(_xlpm.steps)&gt;2,RIGHT(_xlpm.steps,2),_xlpm.steps)))</f>
        <v>48</v>
      </c>
      <c r="D1863">
        <f>_xlfn.LET(_xlpm.dir,Table1[[#This Row],[Direction]],
IF(_xlpm.dir="L",
    IF(F1862-Table1[[#This Row],[Steps]]&lt;0,100+(F1862-Table1[[#This Row],[Steps]]),F1862-Table1[[#This Row],[Steps]]),
))</f>
        <v>0</v>
      </c>
      <c r="E1863">
        <f>_xlfn.LET(_xlpm.dir,Table1[[#This Row],[Direction]],
IF(_xlpm.dir="R",
    IF(F1862+Table1[[#This Row],[Steps]]&gt;99,(F1862+Table1[[#This Row],[Steps]])-100,F1862+Table1[[#This Row],[Steps]]),
))</f>
        <v>0</v>
      </c>
      <c r="F1863">
        <f>IF(Table1[[#This Row],[New Pos L]]&lt;&gt;0,Table1[[#This Row],[New Pos L]],Table1[[#This Row],[New Pos R]])</f>
        <v>0</v>
      </c>
    </row>
    <row r="1864" spans="1:6" ht="16" x14ac:dyDescent="0.2">
      <c r="A1864" s="1" t="s">
        <v>2</v>
      </c>
      <c r="B1864" t="str">
        <f>LEFT(Table1[[#This Row],[Input]],1)</f>
        <v>L</v>
      </c>
      <c r="C1864">
        <f>_xlfn.LET(_xlpm.steps,SUBSTITUTE(Table1[[#This Row],[Input]],Table1[[#This Row],[Direction]],""),VALUE(IF(LEN(_xlpm.steps)&gt;2,RIGHT(_xlpm.steps,2),_xlpm.steps)))</f>
        <v>38</v>
      </c>
      <c r="D1864">
        <f>_xlfn.LET(_xlpm.dir,Table1[[#This Row],[Direction]],
IF(_xlpm.dir="L",
    IF(F1863-Table1[[#This Row],[Steps]]&lt;0,100+(F1863-Table1[[#This Row],[Steps]]),F1863-Table1[[#This Row],[Steps]]),
))</f>
        <v>62</v>
      </c>
      <c r="E1864">
        <f>_xlfn.LET(_xlpm.dir,Table1[[#This Row],[Direction]],
IF(_xlpm.dir="R",
    IF(F1863+Table1[[#This Row],[Steps]]&gt;99,(F1863+Table1[[#This Row],[Steps]])-100,F1863+Table1[[#This Row],[Steps]]),
))</f>
        <v>0</v>
      </c>
      <c r="F1864">
        <f>IF(Table1[[#This Row],[New Pos L]]&lt;&gt;0,Table1[[#This Row],[New Pos L]],Table1[[#This Row],[New Pos R]])</f>
        <v>62</v>
      </c>
    </row>
    <row r="1865" spans="1:6" ht="16" x14ac:dyDescent="0.2">
      <c r="A1865" s="1" t="s">
        <v>519</v>
      </c>
      <c r="B1865" t="str">
        <f>LEFT(Table1[[#This Row],[Input]],1)</f>
        <v>R</v>
      </c>
      <c r="C1865">
        <f>_xlfn.LET(_xlpm.steps,SUBSTITUTE(Table1[[#This Row],[Input]],Table1[[#This Row],[Direction]],""),VALUE(IF(LEN(_xlpm.steps)&gt;2,RIGHT(_xlpm.steps,2),_xlpm.steps)))</f>
        <v>84</v>
      </c>
      <c r="D1865">
        <f>_xlfn.LET(_xlpm.dir,Table1[[#This Row],[Direction]],
IF(_xlpm.dir="L",
    IF(F1864-Table1[[#This Row],[Steps]]&lt;0,100+(F1864-Table1[[#This Row],[Steps]]),F1864-Table1[[#This Row],[Steps]]),
))</f>
        <v>0</v>
      </c>
      <c r="E1865">
        <f>_xlfn.LET(_xlpm.dir,Table1[[#This Row],[Direction]],
IF(_xlpm.dir="R",
    IF(F1864+Table1[[#This Row],[Steps]]&gt;99,(F1864+Table1[[#This Row],[Steps]])-100,F1864+Table1[[#This Row],[Steps]]),
))</f>
        <v>46</v>
      </c>
      <c r="F1865">
        <f>IF(Table1[[#This Row],[New Pos L]]&lt;&gt;0,Table1[[#This Row],[New Pos L]],Table1[[#This Row],[New Pos R]])</f>
        <v>46</v>
      </c>
    </row>
    <row r="1866" spans="1:6" ht="16" x14ac:dyDescent="0.2">
      <c r="A1866" s="1" t="s">
        <v>520</v>
      </c>
      <c r="B1866" t="str">
        <f>LEFT(Table1[[#This Row],[Input]],1)</f>
        <v>R</v>
      </c>
      <c r="C1866">
        <f>_xlfn.LET(_xlpm.steps,SUBSTITUTE(Table1[[#This Row],[Input]],Table1[[#This Row],[Direction]],""),VALUE(IF(LEN(_xlpm.steps)&gt;2,RIGHT(_xlpm.steps,2),_xlpm.steps)))</f>
        <v>88</v>
      </c>
      <c r="D1866">
        <f>_xlfn.LET(_xlpm.dir,Table1[[#This Row],[Direction]],
IF(_xlpm.dir="L",
    IF(F1865-Table1[[#This Row],[Steps]]&lt;0,100+(F1865-Table1[[#This Row],[Steps]]),F1865-Table1[[#This Row],[Steps]]),
))</f>
        <v>0</v>
      </c>
      <c r="E1866">
        <f>_xlfn.LET(_xlpm.dir,Table1[[#This Row],[Direction]],
IF(_xlpm.dir="R",
    IF(F1865+Table1[[#This Row],[Steps]]&gt;99,(F1865+Table1[[#This Row],[Steps]])-100,F1865+Table1[[#This Row],[Steps]]),
))</f>
        <v>34</v>
      </c>
      <c r="F1866">
        <f>IF(Table1[[#This Row],[New Pos L]]&lt;&gt;0,Table1[[#This Row],[New Pos L]],Table1[[#This Row],[New Pos R]])</f>
        <v>34</v>
      </c>
    </row>
    <row r="1867" spans="1:6" ht="16" x14ac:dyDescent="0.2">
      <c r="A1867" s="1" t="s">
        <v>344</v>
      </c>
      <c r="B1867" t="str">
        <f>LEFT(Table1[[#This Row],[Input]],1)</f>
        <v>R</v>
      </c>
      <c r="C1867">
        <f>_xlfn.LET(_xlpm.steps,SUBSTITUTE(Table1[[#This Row],[Input]],Table1[[#This Row],[Direction]],""),VALUE(IF(LEN(_xlpm.steps)&gt;2,RIGHT(_xlpm.steps,2),_xlpm.steps)))</f>
        <v>9</v>
      </c>
      <c r="D1867">
        <f>_xlfn.LET(_xlpm.dir,Table1[[#This Row],[Direction]],
IF(_xlpm.dir="L",
    IF(F1866-Table1[[#This Row],[Steps]]&lt;0,100+(F1866-Table1[[#This Row],[Steps]]),F1866-Table1[[#This Row],[Steps]]),
))</f>
        <v>0</v>
      </c>
      <c r="E1867">
        <f>_xlfn.LET(_xlpm.dir,Table1[[#This Row],[Direction]],
IF(_xlpm.dir="R",
    IF(F1866+Table1[[#This Row],[Steps]]&gt;99,(F1866+Table1[[#This Row],[Steps]])-100,F1866+Table1[[#This Row],[Steps]]),
))</f>
        <v>43</v>
      </c>
      <c r="F1867">
        <f>IF(Table1[[#This Row],[New Pos L]]&lt;&gt;0,Table1[[#This Row],[New Pos L]],Table1[[#This Row],[New Pos R]])</f>
        <v>43</v>
      </c>
    </row>
    <row r="1868" spans="1:6" ht="16" x14ac:dyDescent="0.2">
      <c r="A1868" s="1" t="s">
        <v>48</v>
      </c>
      <c r="B1868" t="str">
        <f>LEFT(Table1[[#This Row],[Input]],1)</f>
        <v>R</v>
      </c>
      <c r="C1868">
        <f>_xlfn.LET(_xlpm.steps,SUBSTITUTE(Table1[[#This Row],[Input]],Table1[[#This Row],[Direction]],""),VALUE(IF(LEN(_xlpm.steps)&gt;2,RIGHT(_xlpm.steps,2),_xlpm.steps)))</f>
        <v>81</v>
      </c>
      <c r="D1868">
        <f>_xlfn.LET(_xlpm.dir,Table1[[#This Row],[Direction]],
IF(_xlpm.dir="L",
    IF(F1867-Table1[[#This Row],[Steps]]&lt;0,100+(F1867-Table1[[#This Row],[Steps]]),F1867-Table1[[#This Row],[Steps]]),
))</f>
        <v>0</v>
      </c>
      <c r="E1868">
        <f>_xlfn.LET(_xlpm.dir,Table1[[#This Row],[Direction]],
IF(_xlpm.dir="R",
    IF(F1867+Table1[[#This Row],[Steps]]&gt;99,(F1867+Table1[[#This Row],[Steps]])-100,F1867+Table1[[#This Row],[Steps]]),
))</f>
        <v>24</v>
      </c>
      <c r="F1868">
        <f>IF(Table1[[#This Row],[New Pos L]]&lt;&gt;0,Table1[[#This Row],[New Pos L]],Table1[[#This Row],[New Pos R]])</f>
        <v>24</v>
      </c>
    </row>
    <row r="1869" spans="1:6" ht="16" x14ac:dyDescent="0.2">
      <c r="A1869" s="1" t="s">
        <v>74</v>
      </c>
      <c r="B1869" t="str">
        <f>LEFT(Table1[[#This Row],[Input]],1)</f>
        <v>R</v>
      </c>
      <c r="C1869">
        <f>_xlfn.LET(_xlpm.steps,SUBSTITUTE(Table1[[#This Row],[Input]],Table1[[#This Row],[Direction]],""),VALUE(IF(LEN(_xlpm.steps)&gt;2,RIGHT(_xlpm.steps,2),_xlpm.steps)))</f>
        <v>93</v>
      </c>
      <c r="D1869">
        <f>_xlfn.LET(_xlpm.dir,Table1[[#This Row],[Direction]],
IF(_xlpm.dir="L",
    IF(F1868-Table1[[#This Row],[Steps]]&lt;0,100+(F1868-Table1[[#This Row],[Steps]]),F1868-Table1[[#This Row],[Steps]]),
))</f>
        <v>0</v>
      </c>
      <c r="E1869">
        <f>_xlfn.LET(_xlpm.dir,Table1[[#This Row],[Direction]],
IF(_xlpm.dir="R",
    IF(F1868+Table1[[#This Row],[Steps]]&gt;99,(F1868+Table1[[#This Row],[Steps]])-100,F1868+Table1[[#This Row],[Steps]]),
))</f>
        <v>17</v>
      </c>
      <c r="F1869">
        <f>IF(Table1[[#This Row],[New Pos L]]&lt;&gt;0,Table1[[#This Row],[New Pos L]],Table1[[#This Row],[New Pos R]])</f>
        <v>17</v>
      </c>
    </row>
    <row r="1870" spans="1:6" ht="16" x14ac:dyDescent="0.2">
      <c r="A1870" s="1" t="s">
        <v>462</v>
      </c>
      <c r="B1870" t="str">
        <f>LEFT(Table1[[#This Row],[Input]],1)</f>
        <v>L</v>
      </c>
      <c r="C1870">
        <f>_xlfn.LET(_xlpm.steps,SUBSTITUTE(Table1[[#This Row],[Input]],Table1[[#This Row],[Direction]],""),VALUE(IF(LEN(_xlpm.steps)&gt;2,RIGHT(_xlpm.steps,2),_xlpm.steps)))</f>
        <v>17</v>
      </c>
      <c r="D1870">
        <f>_xlfn.LET(_xlpm.dir,Table1[[#This Row],[Direction]],
IF(_xlpm.dir="L",
    IF(F1869-Table1[[#This Row],[Steps]]&lt;0,100+(F1869-Table1[[#This Row],[Steps]]),F1869-Table1[[#This Row],[Steps]]),
))</f>
        <v>0</v>
      </c>
      <c r="E1870">
        <f>_xlfn.LET(_xlpm.dir,Table1[[#This Row],[Direction]],
IF(_xlpm.dir="R",
    IF(F1869+Table1[[#This Row],[Steps]]&gt;99,(F1869+Table1[[#This Row],[Steps]])-100,F1869+Table1[[#This Row],[Steps]]),
))</f>
        <v>0</v>
      </c>
      <c r="F1870">
        <f>IF(Table1[[#This Row],[New Pos L]]&lt;&gt;0,Table1[[#This Row],[New Pos L]],Table1[[#This Row],[New Pos R]])</f>
        <v>0</v>
      </c>
    </row>
    <row r="1871" spans="1:6" ht="16" x14ac:dyDescent="0.2">
      <c r="A1871" s="1" t="s">
        <v>521</v>
      </c>
      <c r="B1871" t="str">
        <f>LEFT(Table1[[#This Row],[Input]],1)</f>
        <v>L</v>
      </c>
      <c r="C1871">
        <f>_xlfn.LET(_xlpm.steps,SUBSTITUTE(Table1[[#This Row],[Input]],Table1[[#This Row],[Direction]],""),VALUE(IF(LEN(_xlpm.steps)&gt;2,RIGHT(_xlpm.steps,2),_xlpm.steps)))</f>
        <v>87</v>
      </c>
      <c r="D1871">
        <f>_xlfn.LET(_xlpm.dir,Table1[[#This Row],[Direction]],
IF(_xlpm.dir="L",
    IF(F1870-Table1[[#This Row],[Steps]]&lt;0,100+(F1870-Table1[[#This Row],[Steps]]),F1870-Table1[[#This Row],[Steps]]),
))</f>
        <v>13</v>
      </c>
      <c r="E1871">
        <f>_xlfn.LET(_xlpm.dir,Table1[[#This Row],[Direction]],
IF(_xlpm.dir="R",
    IF(F1870+Table1[[#This Row],[Steps]]&gt;99,(F1870+Table1[[#This Row],[Steps]])-100,F1870+Table1[[#This Row],[Steps]]),
))</f>
        <v>0</v>
      </c>
      <c r="F1871">
        <f>IF(Table1[[#This Row],[New Pos L]]&lt;&gt;0,Table1[[#This Row],[New Pos L]],Table1[[#This Row],[New Pos R]])</f>
        <v>13</v>
      </c>
    </row>
    <row r="1872" spans="1:6" ht="16" x14ac:dyDescent="0.2">
      <c r="A1872" s="1" t="s">
        <v>522</v>
      </c>
      <c r="B1872" t="str">
        <f>LEFT(Table1[[#This Row],[Input]],1)</f>
        <v>L</v>
      </c>
      <c r="C1872">
        <f>_xlfn.LET(_xlpm.steps,SUBSTITUTE(Table1[[#This Row],[Input]],Table1[[#This Row],[Direction]],""),VALUE(IF(LEN(_xlpm.steps)&gt;2,RIGHT(_xlpm.steps,2),_xlpm.steps)))</f>
        <v>13</v>
      </c>
      <c r="D1872">
        <f>_xlfn.LET(_xlpm.dir,Table1[[#This Row],[Direction]],
IF(_xlpm.dir="L",
    IF(F1871-Table1[[#This Row],[Steps]]&lt;0,100+(F1871-Table1[[#This Row],[Steps]]),F1871-Table1[[#This Row],[Steps]]),
))</f>
        <v>0</v>
      </c>
      <c r="E1872">
        <f>_xlfn.LET(_xlpm.dir,Table1[[#This Row],[Direction]],
IF(_xlpm.dir="R",
    IF(F1871+Table1[[#This Row],[Steps]]&gt;99,(F1871+Table1[[#This Row],[Steps]])-100,F1871+Table1[[#This Row],[Steps]]),
))</f>
        <v>0</v>
      </c>
      <c r="F1872">
        <f>IF(Table1[[#This Row],[New Pos L]]&lt;&gt;0,Table1[[#This Row],[New Pos L]],Table1[[#This Row],[New Pos R]])</f>
        <v>0</v>
      </c>
    </row>
    <row r="1873" spans="1:6" ht="16" x14ac:dyDescent="0.2">
      <c r="A1873" s="1" t="s">
        <v>175</v>
      </c>
      <c r="B1873" t="str">
        <f>LEFT(Table1[[#This Row],[Input]],1)</f>
        <v>L</v>
      </c>
      <c r="C1873">
        <f>_xlfn.LET(_xlpm.steps,SUBSTITUTE(Table1[[#This Row],[Input]],Table1[[#This Row],[Direction]],""),VALUE(IF(LEN(_xlpm.steps)&gt;2,RIGHT(_xlpm.steps,2),_xlpm.steps)))</f>
        <v>1</v>
      </c>
      <c r="D1873">
        <f>_xlfn.LET(_xlpm.dir,Table1[[#This Row],[Direction]],
IF(_xlpm.dir="L",
    IF(F1872-Table1[[#This Row],[Steps]]&lt;0,100+(F1872-Table1[[#This Row],[Steps]]),F1872-Table1[[#This Row],[Steps]]),
))</f>
        <v>99</v>
      </c>
      <c r="E1873">
        <f>_xlfn.LET(_xlpm.dir,Table1[[#This Row],[Direction]],
IF(_xlpm.dir="R",
    IF(F1872+Table1[[#This Row],[Steps]]&gt;99,(F1872+Table1[[#This Row],[Steps]])-100,F1872+Table1[[#This Row],[Steps]]),
))</f>
        <v>0</v>
      </c>
      <c r="F1873">
        <f>IF(Table1[[#This Row],[New Pos L]]&lt;&gt;0,Table1[[#This Row],[New Pos L]],Table1[[#This Row],[New Pos R]])</f>
        <v>99</v>
      </c>
    </row>
    <row r="1874" spans="1:6" ht="16" x14ac:dyDescent="0.2">
      <c r="A1874" s="1" t="s">
        <v>252</v>
      </c>
      <c r="B1874" t="str">
        <f>LEFT(Table1[[#This Row],[Input]],1)</f>
        <v>L</v>
      </c>
      <c r="C1874">
        <f>_xlfn.LET(_xlpm.steps,SUBSTITUTE(Table1[[#This Row],[Input]],Table1[[#This Row],[Direction]],""),VALUE(IF(LEN(_xlpm.steps)&gt;2,RIGHT(_xlpm.steps,2),_xlpm.steps)))</f>
        <v>99</v>
      </c>
      <c r="D1874">
        <f>_xlfn.LET(_xlpm.dir,Table1[[#This Row],[Direction]],
IF(_xlpm.dir="L",
    IF(F1873-Table1[[#This Row],[Steps]]&lt;0,100+(F1873-Table1[[#This Row],[Steps]]),F1873-Table1[[#This Row],[Steps]]),
))</f>
        <v>0</v>
      </c>
      <c r="E1874">
        <f>_xlfn.LET(_xlpm.dir,Table1[[#This Row],[Direction]],
IF(_xlpm.dir="R",
    IF(F1873+Table1[[#This Row],[Steps]]&gt;99,(F1873+Table1[[#This Row],[Steps]])-100,F1873+Table1[[#This Row],[Steps]]),
))</f>
        <v>0</v>
      </c>
      <c r="F1874">
        <f>IF(Table1[[#This Row],[New Pos L]]&lt;&gt;0,Table1[[#This Row],[New Pos L]],Table1[[#This Row],[New Pos R]])</f>
        <v>0</v>
      </c>
    </row>
    <row r="1875" spans="1:6" ht="16" x14ac:dyDescent="0.2">
      <c r="A1875" s="1" t="s">
        <v>10</v>
      </c>
      <c r="B1875" t="str">
        <f>LEFT(Table1[[#This Row],[Input]],1)</f>
        <v>L</v>
      </c>
      <c r="C1875">
        <f>_xlfn.LET(_xlpm.steps,SUBSTITUTE(Table1[[#This Row],[Input]],Table1[[#This Row],[Direction]],""),VALUE(IF(LEN(_xlpm.steps)&gt;2,RIGHT(_xlpm.steps,2),_xlpm.steps)))</f>
        <v>35</v>
      </c>
      <c r="D1875">
        <f>_xlfn.LET(_xlpm.dir,Table1[[#This Row],[Direction]],
IF(_xlpm.dir="L",
    IF(F1874-Table1[[#This Row],[Steps]]&lt;0,100+(F1874-Table1[[#This Row],[Steps]]),F1874-Table1[[#This Row],[Steps]]),
))</f>
        <v>65</v>
      </c>
      <c r="E1875">
        <f>_xlfn.LET(_xlpm.dir,Table1[[#This Row],[Direction]],
IF(_xlpm.dir="R",
    IF(F1874+Table1[[#This Row],[Steps]]&gt;99,(F1874+Table1[[#This Row],[Steps]])-100,F1874+Table1[[#This Row],[Steps]]),
))</f>
        <v>0</v>
      </c>
      <c r="F1875">
        <f>IF(Table1[[#This Row],[New Pos L]]&lt;&gt;0,Table1[[#This Row],[New Pos L]],Table1[[#This Row],[New Pos R]])</f>
        <v>65</v>
      </c>
    </row>
    <row r="1876" spans="1:6" ht="16" x14ac:dyDescent="0.2">
      <c r="A1876" s="1" t="s">
        <v>218</v>
      </c>
      <c r="B1876" t="str">
        <f>LEFT(Table1[[#This Row],[Input]],1)</f>
        <v>R</v>
      </c>
      <c r="C1876">
        <f>_xlfn.LET(_xlpm.steps,SUBSTITUTE(Table1[[#This Row],[Input]],Table1[[#This Row],[Direction]],""),VALUE(IF(LEN(_xlpm.steps)&gt;2,RIGHT(_xlpm.steps,2),_xlpm.steps)))</f>
        <v>35</v>
      </c>
      <c r="D1876">
        <f>_xlfn.LET(_xlpm.dir,Table1[[#This Row],[Direction]],
IF(_xlpm.dir="L",
    IF(F1875-Table1[[#This Row],[Steps]]&lt;0,100+(F1875-Table1[[#This Row],[Steps]]),F1875-Table1[[#This Row],[Steps]]),
))</f>
        <v>0</v>
      </c>
      <c r="E1876">
        <f>_xlfn.LET(_xlpm.dir,Table1[[#This Row],[Direction]],
IF(_xlpm.dir="R",
    IF(F1875+Table1[[#This Row],[Steps]]&gt;99,(F1875+Table1[[#This Row],[Steps]])-100,F1875+Table1[[#This Row],[Steps]]),
))</f>
        <v>0</v>
      </c>
      <c r="F1876">
        <f>IF(Table1[[#This Row],[New Pos L]]&lt;&gt;0,Table1[[#This Row],[New Pos L]],Table1[[#This Row],[New Pos R]])</f>
        <v>0</v>
      </c>
    </row>
    <row r="1877" spans="1:6" ht="16" x14ac:dyDescent="0.2">
      <c r="A1877" s="1" t="s">
        <v>523</v>
      </c>
      <c r="B1877" t="str">
        <f>LEFT(Table1[[#This Row],[Input]],1)</f>
        <v>R</v>
      </c>
      <c r="C1877">
        <f>_xlfn.LET(_xlpm.steps,SUBSTITUTE(Table1[[#This Row],[Input]],Table1[[#This Row],[Direction]],""),VALUE(IF(LEN(_xlpm.steps)&gt;2,RIGHT(_xlpm.steps,2),_xlpm.steps)))</f>
        <v>46</v>
      </c>
      <c r="D1877">
        <f>_xlfn.LET(_xlpm.dir,Table1[[#This Row],[Direction]],
IF(_xlpm.dir="L",
    IF(F1876-Table1[[#This Row],[Steps]]&lt;0,100+(F1876-Table1[[#This Row],[Steps]]),F1876-Table1[[#This Row],[Steps]]),
))</f>
        <v>0</v>
      </c>
      <c r="E1877">
        <f>_xlfn.LET(_xlpm.dir,Table1[[#This Row],[Direction]],
IF(_xlpm.dir="R",
    IF(F1876+Table1[[#This Row],[Steps]]&gt;99,(F1876+Table1[[#This Row],[Steps]])-100,F1876+Table1[[#This Row],[Steps]]),
))</f>
        <v>46</v>
      </c>
      <c r="F1877">
        <f>IF(Table1[[#This Row],[New Pos L]]&lt;&gt;0,Table1[[#This Row],[New Pos L]],Table1[[#This Row],[New Pos R]])</f>
        <v>46</v>
      </c>
    </row>
    <row r="1878" spans="1:6" ht="16" x14ac:dyDescent="0.2">
      <c r="A1878" s="1" t="s">
        <v>524</v>
      </c>
      <c r="B1878" t="str">
        <f>LEFT(Table1[[#This Row],[Input]],1)</f>
        <v>R</v>
      </c>
      <c r="C1878">
        <f>_xlfn.LET(_xlpm.steps,SUBSTITUTE(Table1[[#This Row],[Input]],Table1[[#This Row],[Direction]],""),VALUE(IF(LEN(_xlpm.steps)&gt;2,RIGHT(_xlpm.steps,2),_xlpm.steps)))</f>
        <v>58</v>
      </c>
      <c r="D1878">
        <f>_xlfn.LET(_xlpm.dir,Table1[[#This Row],[Direction]],
IF(_xlpm.dir="L",
    IF(F1877-Table1[[#This Row],[Steps]]&lt;0,100+(F1877-Table1[[#This Row],[Steps]]),F1877-Table1[[#This Row],[Steps]]),
))</f>
        <v>0</v>
      </c>
      <c r="E1878">
        <f>_xlfn.LET(_xlpm.dir,Table1[[#This Row],[Direction]],
IF(_xlpm.dir="R",
    IF(F1877+Table1[[#This Row],[Steps]]&gt;99,(F1877+Table1[[#This Row],[Steps]])-100,F1877+Table1[[#This Row],[Steps]]),
))</f>
        <v>4</v>
      </c>
      <c r="F1878">
        <f>IF(Table1[[#This Row],[New Pos L]]&lt;&gt;0,Table1[[#This Row],[New Pos L]],Table1[[#This Row],[New Pos R]])</f>
        <v>4</v>
      </c>
    </row>
    <row r="1879" spans="1:6" ht="16" x14ac:dyDescent="0.2">
      <c r="A1879" s="1" t="s">
        <v>44</v>
      </c>
      <c r="B1879" t="str">
        <f>LEFT(Table1[[#This Row],[Input]],1)</f>
        <v>R</v>
      </c>
      <c r="C1879">
        <f>_xlfn.LET(_xlpm.steps,SUBSTITUTE(Table1[[#This Row],[Input]],Table1[[#This Row],[Direction]],""),VALUE(IF(LEN(_xlpm.steps)&gt;2,RIGHT(_xlpm.steps,2),_xlpm.steps)))</f>
        <v>96</v>
      </c>
      <c r="D1879">
        <f>_xlfn.LET(_xlpm.dir,Table1[[#This Row],[Direction]],
IF(_xlpm.dir="L",
    IF(F1878-Table1[[#This Row],[Steps]]&lt;0,100+(F1878-Table1[[#This Row],[Steps]]),F1878-Table1[[#This Row],[Steps]]),
))</f>
        <v>0</v>
      </c>
      <c r="E1879">
        <f>_xlfn.LET(_xlpm.dir,Table1[[#This Row],[Direction]],
IF(_xlpm.dir="R",
    IF(F1878+Table1[[#This Row],[Steps]]&gt;99,(F1878+Table1[[#This Row],[Steps]])-100,F1878+Table1[[#This Row],[Steps]]),
))</f>
        <v>0</v>
      </c>
      <c r="F1879">
        <f>IF(Table1[[#This Row],[New Pos L]]&lt;&gt;0,Table1[[#This Row],[New Pos L]],Table1[[#This Row],[New Pos R]])</f>
        <v>0</v>
      </c>
    </row>
    <row r="1880" spans="1:6" ht="16" x14ac:dyDescent="0.2">
      <c r="A1880" s="1" t="s">
        <v>41</v>
      </c>
      <c r="B1880" t="str">
        <f>LEFT(Table1[[#This Row],[Input]],1)</f>
        <v>L</v>
      </c>
      <c r="C1880">
        <f>_xlfn.LET(_xlpm.steps,SUBSTITUTE(Table1[[#This Row],[Input]],Table1[[#This Row],[Direction]],""),VALUE(IF(LEN(_xlpm.steps)&gt;2,RIGHT(_xlpm.steps,2),_xlpm.steps)))</f>
        <v>7</v>
      </c>
      <c r="D1880">
        <f>_xlfn.LET(_xlpm.dir,Table1[[#This Row],[Direction]],
IF(_xlpm.dir="L",
    IF(F1879-Table1[[#This Row],[Steps]]&lt;0,100+(F1879-Table1[[#This Row],[Steps]]),F1879-Table1[[#This Row],[Steps]]),
))</f>
        <v>93</v>
      </c>
      <c r="E1880">
        <f>_xlfn.LET(_xlpm.dir,Table1[[#This Row],[Direction]],
IF(_xlpm.dir="R",
    IF(F1879+Table1[[#This Row],[Steps]]&gt;99,(F1879+Table1[[#This Row],[Steps]])-100,F1879+Table1[[#This Row],[Steps]]),
))</f>
        <v>0</v>
      </c>
      <c r="F1880">
        <f>IF(Table1[[#This Row],[New Pos L]]&lt;&gt;0,Table1[[#This Row],[New Pos L]],Table1[[#This Row],[New Pos R]])</f>
        <v>93</v>
      </c>
    </row>
    <row r="1881" spans="1:6" ht="16" x14ac:dyDescent="0.2">
      <c r="A1881" s="1" t="s">
        <v>116</v>
      </c>
      <c r="B1881" t="str">
        <f>LEFT(Table1[[#This Row],[Input]],1)</f>
        <v>L</v>
      </c>
      <c r="C1881">
        <f>_xlfn.LET(_xlpm.steps,SUBSTITUTE(Table1[[#This Row],[Input]],Table1[[#This Row],[Direction]],""),VALUE(IF(LEN(_xlpm.steps)&gt;2,RIGHT(_xlpm.steps,2),_xlpm.steps)))</f>
        <v>58</v>
      </c>
      <c r="D1881">
        <f>_xlfn.LET(_xlpm.dir,Table1[[#This Row],[Direction]],
IF(_xlpm.dir="L",
    IF(F1880-Table1[[#This Row],[Steps]]&lt;0,100+(F1880-Table1[[#This Row],[Steps]]),F1880-Table1[[#This Row],[Steps]]),
))</f>
        <v>35</v>
      </c>
      <c r="E1881">
        <f>_xlfn.LET(_xlpm.dir,Table1[[#This Row],[Direction]],
IF(_xlpm.dir="R",
    IF(F1880+Table1[[#This Row],[Steps]]&gt;99,(F1880+Table1[[#This Row],[Steps]])-100,F1880+Table1[[#This Row],[Steps]]),
))</f>
        <v>0</v>
      </c>
      <c r="F1881">
        <f>IF(Table1[[#This Row],[New Pos L]]&lt;&gt;0,Table1[[#This Row],[New Pos L]],Table1[[#This Row],[New Pos R]])</f>
        <v>35</v>
      </c>
    </row>
    <row r="1882" spans="1:6" ht="16" x14ac:dyDescent="0.2">
      <c r="A1882" s="1" t="s">
        <v>126</v>
      </c>
      <c r="B1882" t="str">
        <f>LEFT(Table1[[#This Row],[Input]],1)</f>
        <v>R</v>
      </c>
      <c r="C1882">
        <f>_xlfn.LET(_xlpm.steps,SUBSTITUTE(Table1[[#This Row],[Input]],Table1[[#This Row],[Direction]],""),VALUE(IF(LEN(_xlpm.steps)&gt;2,RIGHT(_xlpm.steps,2),_xlpm.steps)))</f>
        <v>65</v>
      </c>
      <c r="D1882">
        <f>_xlfn.LET(_xlpm.dir,Table1[[#This Row],[Direction]],
IF(_xlpm.dir="L",
    IF(F1881-Table1[[#This Row],[Steps]]&lt;0,100+(F1881-Table1[[#This Row],[Steps]]),F1881-Table1[[#This Row],[Steps]]),
))</f>
        <v>0</v>
      </c>
      <c r="E1882">
        <f>_xlfn.LET(_xlpm.dir,Table1[[#This Row],[Direction]],
IF(_xlpm.dir="R",
    IF(F1881+Table1[[#This Row],[Steps]]&gt;99,(F1881+Table1[[#This Row],[Steps]])-100,F1881+Table1[[#This Row],[Steps]]),
))</f>
        <v>0</v>
      </c>
      <c r="F1882">
        <f>IF(Table1[[#This Row],[New Pos L]]&lt;&gt;0,Table1[[#This Row],[New Pos L]],Table1[[#This Row],[New Pos R]])</f>
        <v>0</v>
      </c>
    </row>
    <row r="1883" spans="1:6" ht="16" x14ac:dyDescent="0.2">
      <c r="A1883" s="1" t="s">
        <v>193</v>
      </c>
      <c r="B1883" t="str">
        <f>LEFT(Table1[[#This Row],[Input]],1)</f>
        <v>L</v>
      </c>
      <c r="C1883">
        <f>_xlfn.LET(_xlpm.steps,SUBSTITUTE(Table1[[#This Row],[Input]],Table1[[#This Row],[Direction]],""),VALUE(IF(LEN(_xlpm.steps)&gt;2,RIGHT(_xlpm.steps,2),_xlpm.steps)))</f>
        <v>12</v>
      </c>
      <c r="D1883">
        <f>_xlfn.LET(_xlpm.dir,Table1[[#This Row],[Direction]],
IF(_xlpm.dir="L",
    IF(F1882-Table1[[#This Row],[Steps]]&lt;0,100+(F1882-Table1[[#This Row],[Steps]]),F1882-Table1[[#This Row],[Steps]]),
))</f>
        <v>88</v>
      </c>
      <c r="E1883">
        <f>_xlfn.LET(_xlpm.dir,Table1[[#This Row],[Direction]],
IF(_xlpm.dir="R",
    IF(F1882+Table1[[#This Row],[Steps]]&gt;99,(F1882+Table1[[#This Row],[Steps]])-100,F1882+Table1[[#This Row],[Steps]]),
))</f>
        <v>0</v>
      </c>
      <c r="F1883">
        <f>IF(Table1[[#This Row],[New Pos L]]&lt;&gt;0,Table1[[#This Row],[New Pos L]],Table1[[#This Row],[New Pos R]])</f>
        <v>88</v>
      </c>
    </row>
    <row r="1884" spans="1:6" ht="16" x14ac:dyDescent="0.2">
      <c r="A1884" s="1" t="s">
        <v>525</v>
      </c>
      <c r="B1884" t="str">
        <f>LEFT(Table1[[#This Row],[Input]],1)</f>
        <v>R</v>
      </c>
      <c r="C1884">
        <f>_xlfn.LET(_xlpm.steps,SUBSTITUTE(Table1[[#This Row],[Input]],Table1[[#This Row],[Direction]],""),VALUE(IF(LEN(_xlpm.steps)&gt;2,RIGHT(_xlpm.steps,2),_xlpm.steps)))</f>
        <v>26</v>
      </c>
      <c r="D1884">
        <f>_xlfn.LET(_xlpm.dir,Table1[[#This Row],[Direction]],
IF(_xlpm.dir="L",
    IF(F1883-Table1[[#This Row],[Steps]]&lt;0,100+(F1883-Table1[[#This Row],[Steps]]),F1883-Table1[[#This Row],[Steps]]),
))</f>
        <v>0</v>
      </c>
      <c r="E1884">
        <f>_xlfn.LET(_xlpm.dir,Table1[[#This Row],[Direction]],
IF(_xlpm.dir="R",
    IF(F1883+Table1[[#This Row],[Steps]]&gt;99,(F1883+Table1[[#This Row],[Steps]])-100,F1883+Table1[[#This Row],[Steps]]),
))</f>
        <v>14</v>
      </c>
      <c r="F1884">
        <f>IF(Table1[[#This Row],[New Pos L]]&lt;&gt;0,Table1[[#This Row],[New Pos L]],Table1[[#This Row],[New Pos R]])</f>
        <v>14</v>
      </c>
    </row>
    <row r="1885" spans="1:6" ht="16" x14ac:dyDescent="0.2">
      <c r="A1885" s="1" t="s">
        <v>27</v>
      </c>
      <c r="B1885" t="str">
        <f>LEFT(Table1[[#This Row],[Input]],1)</f>
        <v>L</v>
      </c>
      <c r="C1885">
        <f>_xlfn.LET(_xlpm.steps,SUBSTITUTE(Table1[[#This Row],[Input]],Table1[[#This Row],[Direction]],""),VALUE(IF(LEN(_xlpm.steps)&gt;2,RIGHT(_xlpm.steps,2),_xlpm.steps)))</f>
        <v>14</v>
      </c>
      <c r="D1885">
        <f>_xlfn.LET(_xlpm.dir,Table1[[#This Row],[Direction]],
IF(_xlpm.dir="L",
    IF(F1884-Table1[[#This Row],[Steps]]&lt;0,100+(F1884-Table1[[#This Row],[Steps]]),F1884-Table1[[#This Row],[Steps]]),
))</f>
        <v>0</v>
      </c>
      <c r="E1885">
        <f>_xlfn.LET(_xlpm.dir,Table1[[#This Row],[Direction]],
IF(_xlpm.dir="R",
    IF(F1884+Table1[[#This Row],[Steps]]&gt;99,(F1884+Table1[[#This Row],[Steps]])-100,F1884+Table1[[#This Row],[Steps]]),
))</f>
        <v>0</v>
      </c>
      <c r="F1885">
        <f>IF(Table1[[#This Row],[New Pos L]]&lt;&gt;0,Table1[[#This Row],[New Pos L]],Table1[[#This Row],[New Pos R]])</f>
        <v>0</v>
      </c>
    </row>
    <row r="1886" spans="1:6" ht="16" x14ac:dyDescent="0.2">
      <c r="A1886" s="1" t="s">
        <v>34</v>
      </c>
      <c r="B1886" t="str">
        <f>LEFT(Table1[[#This Row],[Input]],1)</f>
        <v>L</v>
      </c>
      <c r="C1886">
        <f>_xlfn.LET(_xlpm.steps,SUBSTITUTE(Table1[[#This Row],[Input]],Table1[[#This Row],[Direction]],""),VALUE(IF(LEN(_xlpm.steps)&gt;2,RIGHT(_xlpm.steps,2),_xlpm.steps)))</f>
        <v>15</v>
      </c>
      <c r="D1886">
        <f>_xlfn.LET(_xlpm.dir,Table1[[#This Row],[Direction]],
IF(_xlpm.dir="L",
    IF(F1885-Table1[[#This Row],[Steps]]&lt;0,100+(F1885-Table1[[#This Row],[Steps]]),F1885-Table1[[#This Row],[Steps]]),
))</f>
        <v>85</v>
      </c>
      <c r="E1886">
        <f>_xlfn.LET(_xlpm.dir,Table1[[#This Row],[Direction]],
IF(_xlpm.dir="R",
    IF(F1885+Table1[[#This Row],[Steps]]&gt;99,(F1885+Table1[[#This Row],[Steps]])-100,F1885+Table1[[#This Row],[Steps]]),
))</f>
        <v>0</v>
      </c>
      <c r="F1886">
        <f>IF(Table1[[#This Row],[New Pos L]]&lt;&gt;0,Table1[[#This Row],[New Pos L]],Table1[[#This Row],[New Pos R]])</f>
        <v>85</v>
      </c>
    </row>
    <row r="1887" spans="1:6" ht="16" x14ac:dyDescent="0.2">
      <c r="A1887" s="1" t="s">
        <v>88</v>
      </c>
      <c r="B1887" t="str">
        <f>LEFT(Table1[[#This Row],[Input]],1)</f>
        <v>R</v>
      </c>
      <c r="C1887">
        <f>_xlfn.LET(_xlpm.steps,SUBSTITUTE(Table1[[#This Row],[Input]],Table1[[#This Row],[Direction]],""),VALUE(IF(LEN(_xlpm.steps)&gt;2,RIGHT(_xlpm.steps,2),_xlpm.steps)))</f>
        <v>53</v>
      </c>
      <c r="D1887">
        <f>_xlfn.LET(_xlpm.dir,Table1[[#This Row],[Direction]],
IF(_xlpm.dir="L",
    IF(F1886-Table1[[#This Row],[Steps]]&lt;0,100+(F1886-Table1[[#This Row],[Steps]]),F1886-Table1[[#This Row],[Steps]]),
))</f>
        <v>0</v>
      </c>
      <c r="E1887">
        <f>_xlfn.LET(_xlpm.dir,Table1[[#This Row],[Direction]],
IF(_xlpm.dir="R",
    IF(F1886+Table1[[#This Row],[Steps]]&gt;99,(F1886+Table1[[#This Row],[Steps]])-100,F1886+Table1[[#This Row],[Steps]]),
))</f>
        <v>38</v>
      </c>
      <c r="F1887">
        <f>IF(Table1[[#This Row],[New Pos L]]&lt;&gt;0,Table1[[#This Row],[New Pos L]],Table1[[#This Row],[New Pos R]])</f>
        <v>38</v>
      </c>
    </row>
    <row r="1888" spans="1:6" ht="16" x14ac:dyDescent="0.2">
      <c r="A1888" s="1" t="s">
        <v>38</v>
      </c>
      <c r="B1888" t="str">
        <f>LEFT(Table1[[#This Row],[Input]],1)</f>
        <v>R</v>
      </c>
      <c r="C1888">
        <f>_xlfn.LET(_xlpm.steps,SUBSTITUTE(Table1[[#This Row],[Input]],Table1[[#This Row],[Direction]],""),VALUE(IF(LEN(_xlpm.steps)&gt;2,RIGHT(_xlpm.steps,2),_xlpm.steps)))</f>
        <v>15</v>
      </c>
      <c r="D1888">
        <f>_xlfn.LET(_xlpm.dir,Table1[[#This Row],[Direction]],
IF(_xlpm.dir="L",
    IF(F1887-Table1[[#This Row],[Steps]]&lt;0,100+(F1887-Table1[[#This Row],[Steps]]),F1887-Table1[[#This Row],[Steps]]),
))</f>
        <v>0</v>
      </c>
      <c r="E1888">
        <f>_xlfn.LET(_xlpm.dir,Table1[[#This Row],[Direction]],
IF(_xlpm.dir="R",
    IF(F1887+Table1[[#This Row],[Steps]]&gt;99,(F1887+Table1[[#This Row],[Steps]])-100,F1887+Table1[[#This Row],[Steps]]),
))</f>
        <v>53</v>
      </c>
      <c r="F1888">
        <f>IF(Table1[[#This Row],[New Pos L]]&lt;&gt;0,Table1[[#This Row],[New Pos L]],Table1[[#This Row],[New Pos R]])</f>
        <v>53</v>
      </c>
    </row>
    <row r="1889" spans="1:6" ht="16" x14ac:dyDescent="0.2">
      <c r="A1889" s="1" t="s">
        <v>526</v>
      </c>
      <c r="B1889" t="str">
        <f>LEFT(Table1[[#This Row],[Input]],1)</f>
        <v>L</v>
      </c>
      <c r="C1889">
        <f>_xlfn.LET(_xlpm.steps,SUBSTITUTE(Table1[[#This Row],[Input]],Table1[[#This Row],[Direction]],""),VALUE(IF(LEN(_xlpm.steps)&gt;2,RIGHT(_xlpm.steps,2),_xlpm.steps)))</f>
        <v>65</v>
      </c>
      <c r="D1889">
        <f>_xlfn.LET(_xlpm.dir,Table1[[#This Row],[Direction]],
IF(_xlpm.dir="L",
    IF(F1888-Table1[[#This Row],[Steps]]&lt;0,100+(F1888-Table1[[#This Row],[Steps]]),F1888-Table1[[#This Row],[Steps]]),
))</f>
        <v>88</v>
      </c>
      <c r="E1889">
        <f>_xlfn.LET(_xlpm.dir,Table1[[#This Row],[Direction]],
IF(_xlpm.dir="R",
    IF(F1888+Table1[[#This Row],[Steps]]&gt;99,(F1888+Table1[[#This Row],[Steps]])-100,F1888+Table1[[#This Row],[Steps]]),
))</f>
        <v>0</v>
      </c>
      <c r="F1889">
        <f>IF(Table1[[#This Row],[New Pos L]]&lt;&gt;0,Table1[[#This Row],[New Pos L]],Table1[[#This Row],[New Pos R]])</f>
        <v>88</v>
      </c>
    </row>
    <row r="1890" spans="1:6" ht="16" x14ac:dyDescent="0.2">
      <c r="A1890" s="1" t="s">
        <v>245</v>
      </c>
      <c r="B1890" t="str">
        <f>LEFT(Table1[[#This Row],[Input]],1)</f>
        <v>R</v>
      </c>
      <c r="C1890">
        <f>_xlfn.LET(_xlpm.steps,SUBSTITUTE(Table1[[#This Row],[Input]],Table1[[#This Row],[Direction]],""),VALUE(IF(LEN(_xlpm.steps)&gt;2,RIGHT(_xlpm.steps,2),_xlpm.steps)))</f>
        <v>71</v>
      </c>
      <c r="D1890">
        <f>_xlfn.LET(_xlpm.dir,Table1[[#This Row],[Direction]],
IF(_xlpm.dir="L",
    IF(F1889-Table1[[#This Row],[Steps]]&lt;0,100+(F1889-Table1[[#This Row],[Steps]]),F1889-Table1[[#This Row],[Steps]]),
))</f>
        <v>0</v>
      </c>
      <c r="E1890">
        <f>_xlfn.LET(_xlpm.dir,Table1[[#This Row],[Direction]],
IF(_xlpm.dir="R",
    IF(F1889+Table1[[#This Row],[Steps]]&gt;99,(F1889+Table1[[#This Row],[Steps]])-100,F1889+Table1[[#This Row],[Steps]]),
))</f>
        <v>59</v>
      </c>
      <c r="F1890">
        <f>IF(Table1[[#This Row],[New Pos L]]&lt;&gt;0,Table1[[#This Row],[New Pos L]],Table1[[#This Row],[New Pos R]])</f>
        <v>59</v>
      </c>
    </row>
    <row r="1891" spans="1:6" ht="16" x14ac:dyDescent="0.2">
      <c r="A1891" s="1" t="s">
        <v>106</v>
      </c>
      <c r="B1891" t="str">
        <f>LEFT(Table1[[#This Row],[Input]],1)</f>
        <v>R</v>
      </c>
      <c r="C1891">
        <f>_xlfn.LET(_xlpm.steps,SUBSTITUTE(Table1[[#This Row],[Input]],Table1[[#This Row],[Direction]],""),VALUE(IF(LEN(_xlpm.steps)&gt;2,RIGHT(_xlpm.steps,2),_xlpm.steps)))</f>
        <v>41</v>
      </c>
      <c r="D1891">
        <f>_xlfn.LET(_xlpm.dir,Table1[[#This Row],[Direction]],
IF(_xlpm.dir="L",
    IF(F1890-Table1[[#This Row],[Steps]]&lt;0,100+(F1890-Table1[[#This Row],[Steps]]),F1890-Table1[[#This Row],[Steps]]),
))</f>
        <v>0</v>
      </c>
      <c r="E1891">
        <f>_xlfn.LET(_xlpm.dir,Table1[[#This Row],[Direction]],
IF(_xlpm.dir="R",
    IF(F1890+Table1[[#This Row],[Steps]]&gt;99,(F1890+Table1[[#This Row],[Steps]])-100,F1890+Table1[[#This Row],[Steps]]),
))</f>
        <v>0</v>
      </c>
      <c r="F1891">
        <f>IF(Table1[[#This Row],[New Pos L]]&lt;&gt;0,Table1[[#This Row],[New Pos L]],Table1[[#This Row],[New Pos R]])</f>
        <v>0</v>
      </c>
    </row>
    <row r="1892" spans="1:6" ht="16" x14ac:dyDescent="0.2">
      <c r="A1892" s="1" t="s">
        <v>114</v>
      </c>
      <c r="B1892" t="str">
        <f>LEFT(Table1[[#This Row],[Input]],1)</f>
        <v>R</v>
      </c>
      <c r="C1892">
        <f>_xlfn.LET(_xlpm.steps,SUBSTITUTE(Table1[[#This Row],[Input]],Table1[[#This Row],[Direction]],""),VALUE(IF(LEN(_xlpm.steps)&gt;2,RIGHT(_xlpm.steps,2),_xlpm.steps)))</f>
        <v>70</v>
      </c>
      <c r="D1892">
        <f>_xlfn.LET(_xlpm.dir,Table1[[#This Row],[Direction]],
IF(_xlpm.dir="L",
    IF(F1891-Table1[[#This Row],[Steps]]&lt;0,100+(F1891-Table1[[#This Row],[Steps]]),F1891-Table1[[#This Row],[Steps]]),
))</f>
        <v>0</v>
      </c>
      <c r="E1892">
        <f>_xlfn.LET(_xlpm.dir,Table1[[#This Row],[Direction]],
IF(_xlpm.dir="R",
    IF(F1891+Table1[[#This Row],[Steps]]&gt;99,(F1891+Table1[[#This Row],[Steps]])-100,F1891+Table1[[#This Row],[Steps]]),
))</f>
        <v>70</v>
      </c>
      <c r="F1892">
        <f>IF(Table1[[#This Row],[New Pos L]]&lt;&gt;0,Table1[[#This Row],[New Pos L]],Table1[[#This Row],[New Pos R]])</f>
        <v>70</v>
      </c>
    </row>
    <row r="1893" spans="1:6" ht="16" x14ac:dyDescent="0.2">
      <c r="A1893" s="1" t="s">
        <v>303</v>
      </c>
      <c r="B1893" t="str">
        <f>LEFT(Table1[[#This Row],[Input]],1)</f>
        <v>R</v>
      </c>
      <c r="C1893">
        <f>_xlfn.LET(_xlpm.steps,SUBSTITUTE(Table1[[#This Row],[Input]],Table1[[#This Row],[Direction]],""),VALUE(IF(LEN(_xlpm.steps)&gt;2,RIGHT(_xlpm.steps,2),_xlpm.steps)))</f>
        <v>30</v>
      </c>
      <c r="D1893">
        <f>_xlfn.LET(_xlpm.dir,Table1[[#This Row],[Direction]],
IF(_xlpm.dir="L",
    IF(F1892-Table1[[#This Row],[Steps]]&lt;0,100+(F1892-Table1[[#This Row],[Steps]]),F1892-Table1[[#This Row],[Steps]]),
))</f>
        <v>0</v>
      </c>
      <c r="E1893">
        <f>_xlfn.LET(_xlpm.dir,Table1[[#This Row],[Direction]],
IF(_xlpm.dir="R",
    IF(F1892+Table1[[#This Row],[Steps]]&gt;99,(F1892+Table1[[#This Row],[Steps]])-100,F1892+Table1[[#This Row],[Steps]]),
))</f>
        <v>0</v>
      </c>
      <c r="F1893">
        <f>IF(Table1[[#This Row],[New Pos L]]&lt;&gt;0,Table1[[#This Row],[New Pos L]],Table1[[#This Row],[New Pos R]])</f>
        <v>0</v>
      </c>
    </row>
    <row r="1894" spans="1:6" ht="16" x14ac:dyDescent="0.2">
      <c r="A1894" s="1" t="s">
        <v>26</v>
      </c>
      <c r="B1894" t="str">
        <f>LEFT(Table1[[#This Row],[Input]],1)</f>
        <v>R</v>
      </c>
      <c r="C1894">
        <f>_xlfn.LET(_xlpm.steps,SUBSTITUTE(Table1[[#This Row],[Input]],Table1[[#This Row],[Direction]],""),VALUE(IF(LEN(_xlpm.steps)&gt;2,RIGHT(_xlpm.steps,2),_xlpm.steps)))</f>
        <v>6</v>
      </c>
      <c r="D1894">
        <f>_xlfn.LET(_xlpm.dir,Table1[[#This Row],[Direction]],
IF(_xlpm.dir="L",
    IF(F1893-Table1[[#This Row],[Steps]]&lt;0,100+(F1893-Table1[[#This Row],[Steps]]),F1893-Table1[[#This Row],[Steps]]),
))</f>
        <v>0</v>
      </c>
      <c r="E1894">
        <f>_xlfn.LET(_xlpm.dir,Table1[[#This Row],[Direction]],
IF(_xlpm.dir="R",
    IF(F1893+Table1[[#This Row],[Steps]]&gt;99,(F1893+Table1[[#This Row],[Steps]])-100,F1893+Table1[[#This Row],[Steps]]),
))</f>
        <v>6</v>
      </c>
      <c r="F1894">
        <f>IF(Table1[[#This Row],[New Pos L]]&lt;&gt;0,Table1[[#This Row],[New Pos L]],Table1[[#This Row],[New Pos R]])</f>
        <v>6</v>
      </c>
    </row>
    <row r="1895" spans="1:6" ht="16" x14ac:dyDescent="0.2">
      <c r="A1895" s="1" t="s">
        <v>253</v>
      </c>
      <c r="B1895" t="str">
        <f>LEFT(Table1[[#This Row],[Input]],1)</f>
        <v>R</v>
      </c>
      <c r="C1895">
        <f>_xlfn.LET(_xlpm.steps,SUBSTITUTE(Table1[[#This Row],[Input]],Table1[[#This Row],[Direction]],""),VALUE(IF(LEN(_xlpm.steps)&gt;2,RIGHT(_xlpm.steps,2),_xlpm.steps)))</f>
        <v>94</v>
      </c>
      <c r="D1895">
        <f>_xlfn.LET(_xlpm.dir,Table1[[#This Row],[Direction]],
IF(_xlpm.dir="L",
    IF(F1894-Table1[[#This Row],[Steps]]&lt;0,100+(F1894-Table1[[#This Row],[Steps]]),F1894-Table1[[#This Row],[Steps]]),
))</f>
        <v>0</v>
      </c>
      <c r="E1895">
        <f>_xlfn.LET(_xlpm.dir,Table1[[#This Row],[Direction]],
IF(_xlpm.dir="R",
    IF(F1894+Table1[[#This Row],[Steps]]&gt;99,(F1894+Table1[[#This Row],[Steps]])-100,F1894+Table1[[#This Row],[Steps]]),
))</f>
        <v>0</v>
      </c>
      <c r="F1895">
        <f>IF(Table1[[#This Row],[New Pos L]]&lt;&gt;0,Table1[[#This Row],[New Pos L]],Table1[[#This Row],[New Pos R]])</f>
        <v>0</v>
      </c>
    </row>
    <row r="1896" spans="1:6" ht="16" x14ac:dyDescent="0.2">
      <c r="A1896" s="1" t="s">
        <v>244</v>
      </c>
      <c r="B1896" t="str">
        <f>LEFT(Table1[[#This Row],[Input]],1)</f>
        <v>L</v>
      </c>
      <c r="C1896">
        <f>_xlfn.LET(_xlpm.steps,SUBSTITUTE(Table1[[#This Row],[Input]],Table1[[#This Row],[Direction]],""),VALUE(IF(LEN(_xlpm.steps)&gt;2,RIGHT(_xlpm.steps,2),_xlpm.steps)))</f>
        <v>98</v>
      </c>
      <c r="D1896">
        <f>_xlfn.LET(_xlpm.dir,Table1[[#This Row],[Direction]],
IF(_xlpm.dir="L",
    IF(F1895-Table1[[#This Row],[Steps]]&lt;0,100+(F1895-Table1[[#This Row],[Steps]]),F1895-Table1[[#This Row],[Steps]]),
))</f>
        <v>2</v>
      </c>
      <c r="E1896">
        <f>_xlfn.LET(_xlpm.dir,Table1[[#This Row],[Direction]],
IF(_xlpm.dir="R",
    IF(F1895+Table1[[#This Row],[Steps]]&gt;99,(F1895+Table1[[#This Row],[Steps]])-100,F1895+Table1[[#This Row],[Steps]]),
))</f>
        <v>0</v>
      </c>
      <c r="F1896">
        <f>IF(Table1[[#This Row],[New Pos L]]&lt;&gt;0,Table1[[#This Row],[New Pos L]],Table1[[#This Row],[New Pos R]])</f>
        <v>2</v>
      </c>
    </row>
    <row r="1897" spans="1:6" ht="16" x14ac:dyDescent="0.2">
      <c r="A1897" s="1" t="s">
        <v>307</v>
      </c>
      <c r="B1897" t="str">
        <f>LEFT(Table1[[#This Row],[Input]],1)</f>
        <v>R</v>
      </c>
      <c r="C1897">
        <f>_xlfn.LET(_xlpm.steps,SUBSTITUTE(Table1[[#This Row],[Input]],Table1[[#This Row],[Direction]],""),VALUE(IF(LEN(_xlpm.steps)&gt;2,RIGHT(_xlpm.steps,2),_xlpm.steps)))</f>
        <v>94</v>
      </c>
      <c r="D1897">
        <f>_xlfn.LET(_xlpm.dir,Table1[[#This Row],[Direction]],
IF(_xlpm.dir="L",
    IF(F1896-Table1[[#This Row],[Steps]]&lt;0,100+(F1896-Table1[[#This Row],[Steps]]),F1896-Table1[[#This Row],[Steps]]),
))</f>
        <v>0</v>
      </c>
      <c r="E1897">
        <f>_xlfn.LET(_xlpm.dir,Table1[[#This Row],[Direction]],
IF(_xlpm.dir="R",
    IF(F1896+Table1[[#This Row],[Steps]]&gt;99,(F1896+Table1[[#This Row],[Steps]])-100,F1896+Table1[[#This Row],[Steps]]),
))</f>
        <v>96</v>
      </c>
      <c r="F1897">
        <f>IF(Table1[[#This Row],[New Pos L]]&lt;&gt;0,Table1[[#This Row],[New Pos L]],Table1[[#This Row],[New Pos R]])</f>
        <v>96</v>
      </c>
    </row>
    <row r="1898" spans="1:6" ht="16" x14ac:dyDescent="0.2">
      <c r="A1898" s="1" t="s">
        <v>45</v>
      </c>
      <c r="B1898" t="str">
        <f>LEFT(Table1[[#This Row],[Input]],1)</f>
        <v>L</v>
      </c>
      <c r="C1898">
        <f>_xlfn.LET(_xlpm.steps,SUBSTITUTE(Table1[[#This Row],[Input]],Table1[[#This Row],[Direction]],""),VALUE(IF(LEN(_xlpm.steps)&gt;2,RIGHT(_xlpm.steps,2),_xlpm.steps)))</f>
        <v>96</v>
      </c>
      <c r="D1898">
        <f>_xlfn.LET(_xlpm.dir,Table1[[#This Row],[Direction]],
IF(_xlpm.dir="L",
    IF(F1897-Table1[[#This Row],[Steps]]&lt;0,100+(F1897-Table1[[#This Row],[Steps]]),F1897-Table1[[#This Row],[Steps]]),
))</f>
        <v>0</v>
      </c>
      <c r="E1898">
        <f>_xlfn.LET(_xlpm.dir,Table1[[#This Row],[Direction]],
IF(_xlpm.dir="R",
    IF(F1897+Table1[[#This Row],[Steps]]&gt;99,(F1897+Table1[[#This Row],[Steps]])-100,F1897+Table1[[#This Row],[Steps]]),
))</f>
        <v>0</v>
      </c>
      <c r="F1898">
        <f>IF(Table1[[#This Row],[New Pos L]]&lt;&gt;0,Table1[[#This Row],[New Pos L]],Table1[[#This Row],[New Pos R]])</f>
        <v>0</v>
      </c>
    </row>
    <row r="1899" spans="1:6" ht="16" x14ac:dyDescent="0.2">
      <c r="A1899" s="1" t="s">
        <v>9</v>
      </c>
      <c r="B1899" t="str">
        <f>LEFT(Table1[[#This Row],[Input]],1)</f>
        <v>L</v>
      </c>
      <c r="C1899">
        <f>_xlfn.LET(_xlpm.steps,SUBSTITUTE(Table1[[#This Row],[Input]],Table1[[#This Row],[Direction]],""),VALUE(IF(LEN(_xlpm.steps)&gt;2,RIGHT(_xlpm.steps,2),_xlpm.steps)))</f>
        <v>9</v>
      </c>
      <c r="D1899">
        <f>_xlfn.LET(_xlpm.dir,Table1[[#This Row],[Direction]],
IF(_xlpm.dir="L",
    IF(F1898-Table1[[#This Row],[Steps]]&lt;0,100+(F1898-Table1[[#This Row],[Steps]]),F1898-Table1[[#This Row],[Steps]]),
))</f>
        <v>91</v>
      </c>
      <c r="E1899">
        <f>_xlfn.LET(_xlpm.dir,Table1[[#This Row],[Direction]],
IF(_xlpm.dir="R",
    IF(F1898+Table1[[#This Row],[Steps]]&gt;99,(F1898+Table1[[#This Row],[Steps]])-100,F1898+Table1[[#This Row],[Steps]]),
))</f>
        <v>0</v>
      </c>
      <c r="F1899">
        <f>IF(Table1[[#This Row],[New Pos L]]&lt;&gt;0,Table1[[#This Row],[New Pos L]],Table1[[#This Row],[New Pos R]])</f>
        <v>91</v>
      </c>
    </row>
    <row r="1900" spans="1:6" ht="16" x14ac:dyDescent="0.2">
      <c r="A1900" s="1" t="s">
        <v>505</v>
      </c>
      <c r="B1900" t="str">
        <f>LEFT(Table1[[#This Row],[Input]],1)</f>
        <v>L</v>
      </c>
      <c r="C1900">
        <f>_xlfn.LET(_xlpm.steps,SUBSTITUTE(Table1[[#This Row],[Input]],Table1[[#This Row],[Direction]],""),VALUE(IF(LEN(_xlpm.steps)&gt;2,RIGHT(_xlpm.steps,2),_xlpm.steps)))</f>
        <v>91</v>
      </c>
      <c r="D1900">
        <f>_xlfn.LET(_xlpm.dir,Table1[[#This Row],[Direction]],
IF(_xlpm.dir="L",
    IF(F1899-Table1[[#This Row],[Steps]]&lt;0,100+(F1899-Table1[[#This Row],[Steps]]),F1899-Table1[[#This Row],[Steps]]),
))</f>
        <v>0</v>
      </c>
      <c r="E1900">
        <f>_xlfn.LET(_xlpm.dir,Table1[[#This Row],[Direction]],
IF(_xlpm.dir="R",
    IF(F1899+Table1[[#This Row],[Steps]]&gt;99,(F1899+Table1[[#This Row],[Steps]])-100,F1899+Table1[[#This Row],[Steps]]),
))</f>
        <v>0</v>
      </c>
      <c r="F1900">
        <f>IF(Table1[[#This Row],[New Pos L]]&lt;&gt;0,Table1[[#This Row],[New Pos L]],Table1[[#This Row],[New Pos R]])</f>
        <v>0</v>
      </c>
    </row>
    <row r="1901" spans="1:6" ht="16" x14ac:dyDescent="0.2">
      <c r="A1901" s="1" t="s">
        <v>11</v>
      </c>
      <c r="B1901" t="str">
        <f>LEFT(Table1[[#This Row],[Input]],1)</f>
        <v>L</v>
      </c>
      <c r="C1901">
        <f>_xlfn.LET(_xlpm.steps,SUBSTITUTE(Table1[[#This Row],[Input]],Table1[[#This Row],[Direction]],""),VALUE(IF(LEN(_xlpm.steps)&gt;2,RIGHT(_xlpm.steps,2),_xlpm.steps)))</f>
        <v>34</v>
      </c>
      <c r="D1901">
        <f>_xlfn.LET(_xlpm.dir,Table1[[#This Row],[Direction]],
IF(_xlpm.dir="L",
    IF(F1900-Table1[[#This Row],[Steps]]&lt;0,100+(F1900-Table1[[#This Row],[Steps]]),F1900-Table1[[#This Row],[Steps]]),
))</f>
        <v>66</v>
      </c>
      <c r="E1901">
        <f>_xlfn.LET(_xlpm.dir,Table1[[#This Row],[Direction]],
IF(_xlpm.dir="R",
    IF(F1900+Table1[[#This Row],[Steps]]&gt;99,(F1900+Table1[[#This Row],[Steps]])-100,F1900+Table1[[#This Row],[Steps]]),
))</f>
        <v>0</v>
      </c>
      <c r="F1901">
        <f>IF(Table1[[#This Row],[New Pos L]]&lt;&gt;0,Table1[[#This Row],[New Pos L]],Table1[[#This Row],[New Pos R]])</f>
        <v>66</v>
      </c>
    </row>
    <row r="1902" spans="1:6" ht="16" x14ac:dyDescent="0.2">
      <c r="A1902" s="1" t="s">
        <v>172</v>
      </c>
      <c r="B1902" t="str">
        <f>LEFT(Table1[[#This Row],[Input]],1)</f>
        <v>L</v>
      </c>
      <c r="C1902">
        <f>_xlfn.LET(_xlpm.steps,SUBSTITUTE(Table1[[#This Row],[Input]],Table1[[#This Row],[Direction]],""),VALUE(IF(LEN(_xlpm.steps)&gt;2,RIGHT(_xlpm.steps,2),_xlpm.steps)))</f>
        <v>66</v>
      </c>
      <c r="D1902">
        <f>_xlfn.LET(_xlpm.dir,Table1[[#This Row],[Direction]],
IF(_xlpm.dir="L",
    IF(F1901-Table1[[#This Row],[Steps]]&lt;0,100+(F1901-Table1[[#This Row],[Steps]]),F1901-Table1[[#This Row],[Steps]]),
))</f>
        <v>0</v>
      </c>
      <c r="E1902">
        <f>_xlfn.LET(_xlpm.dir,Table1[[#This Row],[Direction]],
IF(_xlpm.dir="R",
    IF(F1901+Table1[[#This Row],[Steps]]&gt;99,(F1901+Table1[[#This Row],[Steps]])-100,F1901+Table1[[#This Row],[Steps]]),
))</f>
        <v>0</v>
      </c>
      <c r="F1902">
        <f>IF(Table1[[#This Row],[New Pos L]]&lt;&gt;0,Table1[[#This Row],[New Pos L]],Table1[[#This Row],[New Pos R]])</f>
        <v>0</v>
      </c>
    </row>
    <row r="1903" spans="1:6" ht="16" x14ac:dyDescent="0.2">
      <c r="A1903" s="1" t="s">
        <v>115</v>
      </c>
      <c r="B1903" t="str">
        <f>LEFT(Table1[[#This Row],[Input]],1)</f>
        <v>L</v>
      </c>
      <c r="C1903">
        <f>_xlfn.LET(_xlpm.steps,SUBSTITUTE(Table1[[#This Row],[Input]],Table1[[#This Row],[Direction]],""),VALUE(IF(LEN(_xlpm.steps)&gt;2,RIGHT(_xlpm.steps,2),_xlpm.steps)))</f>
        <v>29</v>
      </c>
      <c r="D1903">
        <f>_xlfn.LET(_xlpm.dir,Table1[[#This Row],[Direction]],
IF(_xlpm.dir="L",
    IF(F1902-Table1[[#This Row],[Steps]]&lt;0,100+(F1902-Table1[[#This Row],[Steps]]),F1902-Table1[[#This Row],[Steps]]),
))</f>
        <v>71</v>
      </c>
      <c r="E1903">
        <f>_xlfn.LET(_xlpm.dir,Table1[[#This Row],[Direction]],
IF(_xlpm.dir="R",
    IF(F1902+Table1[[#This Row],[Steps]]&gt;99,(F1902+Table1[[#This Row],[Steps]])-100,F1902+Table1[[#This Row],[Steps]]),
))</f>
        <v>0</v>
      </c>
      <c r="F1903">
        <f>IF(Table1[[#This Row],[New Pos L]]&lt;&gt;0,Table1[[#This Row],[New Pos L]],Table1[[#This Row],[New Pos R]])</f>
        <v>71</v>
      </c>
    </row>
    <row r="1904" spans="1:6" ht="16" x14ac:dyDescent="0.2">
      <c r="A1904" s="1" t="s">
        <v>88</v>
      </c>
      <c r="B1904" t="str">
        <f>LEFT(Table1[[#This Row],[Input]],1)</f>
        <v>R</v>
      </c>
      <c r="C1904">
        <f>_xlfn.LET(_xlpm.steps,SUBSTITUTE(Table1[[#This Row],[Input]],Table1[[#This Row],[Direction]],""),VALUE(IF(LEN(_xlpm.steps)&gt;2,RIGHT(_xlpm.steps,2),_xlpm.steps)))</f>
        <v>53</v>
      </c>
      <c r="D1904">
        <f>_xlfn.LET(_xlpm.dir,Table1[[#This Row],[Direction]],
IF(_xlpm.dir="L",
    IF(F1903-Table1[[#This Row],[Steps]]&lt;0,100+(F1903-Table1[[#This Row],[Steps]]),F1903-Table1[[#This Row],[Steps]]),
))</f>
        <v>0</v>
      </c>
      <c r="E1904">
        <f>_xlfn.LET(_xlpm.dir,Table1[[#This Row],[Direction]],
IF(_xlpm.dir="R",
    IF(F1903+Table1[[#This Row],[Steps]]&gt;99,(F1903+Table1[[#This Row],[Steps]])-100,F1903+Table1[[#This Row],[Steps]]),
))</f>
        <v>24</v>
      </c>
      <c r="F1904">
        <f>IF(Table1[[#This Row],[New Pos L]]&lt;&gt;0,Table1[[#This Row],[New Pos L]],Table1[[#This Row],[New Pos R]])</f>
        <v>24</v>
      </c>
    </row>
    <row r="1905" spans="1:6" ht="16" x14ac:dyDescent="0.2">
      <c r="A1905" s="1" t="s">
        <v>161</v>
      </c>
      <c r="B1905" t="str">
        <f>LEFT(Table1[[#This Row],[Input]],1)</f>
        <v>R</v>
      </c>
      <c r="C1905">
        <f>_xlfn.LET(_xlpm.steps,SUBSTITUTE(Table1[[#This Row],[Input]],Table1[[#This Row],[Direction]],""),VALUE(IF(LEN(_xlpm.steps)&gt;2,RIGHT(_xlpm.steps,2),_xlpm.steps)))</f>
        <v>76</v>
      </c>
      <c r="D1905">
        <f>_xlfn.LET(_xlpm.dir,Table1[[#This Row],[Direction]],
IF(_xlpm.dir="L",
    IF(F1904-Table1[[#This Row],[Steps]]&lt;0,100+(F1904-Table1[[#This Row],[Steps]]),F1904-Table1[[#This Row],[Steps]]),
))</f>
        <v>0</v>
      </c>
      <c r="E1905">
        <f>_xlfn.LET(_xlpm.dir,Table1[[#This Row],[Direction]],
IF(_xlpm.dir="R",
    IF(F1904+Table1[[#This Row],[Steps]]&gt;99,(F1904+Table1[[#This Row],[Steps]])-100,F1904+Table1[[#This Row],[Steps]]),
))</f>
        <v>0</v>
      </c>
      <c r="F1905">
        <f>IF(Table1[[#This Row],[New Pos L]]&lt;&gt;0,Table1[[#This Row],[New Pos L]],Table1[[#This Row],[New Pos R]])</f>
        <v>0</v>
      </c>
    </row>
    <row r="1906" spans="1:6" ht="16" x14ac:dyDescent="0.2">
      <c r="A1906" s="1" t="s">
        <v>185</v>
      </c>
      <c r="B1906" t="str">
        <f>LEFT(Table1[[#This Row],[Input]],1)</f>
        <v>R</v>
      </c>
      <c r="C1906">
        <f>_xlfn.LET(_xlpm.steps,SUBSTITUTE(Table1[[#This Row],[Input]],Table1[[#This Row],[Direction]],""),VALUE(IF(LEN(_xlpm.steps)&gt;2,RIGHT(_xlpm.steps,2),_xlpm.steps)))</f>
        <v>61</v>
      </c>
      <c r="D1906">
        <f>_xlfn.LET(_xlpm.dir,Table1[[#This Row],[Direction]],
IF(_xlpm.dir="L",
    IF(F1905-Table1[[#This Row],[Steps]]&lt;0,100+(F1905-Table1[[#This Row],[Steps]]),F1905-Table1[[#This Row],[Steps]]),
))</f>
        <v>0</v>
      </c>
      <c r="E1906">
        <f>_xlfn.LET(_xlpm.dir,Table1[[#This Row],[Direction]],
IF(_xlpm.dir="R",
    IF(F1905+Table1[[#This Row],[Steps]]&gt;99,(F1905+Table1[[#This Row],[Steps]])-100,F1905+Table1[[#This Row],[Steps]]),
))</f>
        <v>61</v>
      </c>
      <c r="F1906">
        <f>IF(Table1[[#This Row],[New Pos L]]&lt;&gt;0,Table1[[#This Row],[New Pos L]],Table1[[#This Row],[New Pos R]])</f>
        <v>61</v>
      </c>
    </row>
    <row r="1907" spans="1:6" ht="16" x14ac:dyDescent="0.2">
      <c r="A1907" s="1" t="s">
        <v>102</v>
      </c>
      <c r="B1907" t="str">
        <f>LEFT(Table1[[#This Row],[Input]],1)</f>
        <v>R</v>
      </c>
      <c r="C1907">
        <f>_xlfn.LET(_xlpm.steps,SUBSTITUTE(Table1[[#This Row],[Input]],Table1[[#This Row],[Direction]],""),VALUE(IF(LEN(_xlpm.steps)&gt;2,RIGHT(_xlpm.steps,2),_xlpm.steps)))</f>
        <v>39</v>
      </c>
      <c r="D1907">
        <f>_xlfn.LET(_xlpm.dir,Table1[[#This Row],[Direction]],
IF(_xlpm.dir="L",
    IF(F1906-Table1[[#This Row],[Steps]]&lt;0,100+(F1906-Table1[[#This Row],[Steps]]),F1906-Table1[[#This Row],[Steps]]),
))</f>
        <v>0</v>
      </c>
      <c r="E1907">
        <f>_xlfn.LET(_xlpm.dir,Table1[[#This Row],[Direction]],
IF(_xlpm.dir="R",
    IF(F1906+Table1[[#This Row],[Steps]]&gt;99,(F1906+Table1[[#This Row],[Steps]])-100,F1906+Table1[[#This Row],[Steps]]),
))</f>
        <v>0</v>
      </c>
      <c r="F1907">
        <f>IF(Table1[[#This Row],[New Pos L]]&lt;&gt;0,Table1[[#This Row],[New Pos L]],Table1[[#This Row],[New Pos R]])</f>
        <v>0</v>
      </c>
    </row>
    <row r="1908" spans="1:6" ht="16" x14ac:dyDescent="0.2">
      <c r="A1908" s="1" t="s">
        <v>357</v>
      </c>
      <c r="B1908" t="str">
        <f>LEFT(Table1[[#This Row],[Input]],1)</f>
        <v>R</v>
      </c>
      <c r="C1908">
        <f>_xlfn.LET(_xlpm.steps,SUBSTITUTE(Table1[[#This Row],[Input]],Table1[[#This Row],[Direction]],""),VALUE(IF(LEN(_xlpm.steps)&gt;2,RIGHT(_xlpm.steps,2),_xlpm.steps)))</f>
        <v>72</v>
      </c>
      <c r="D1908">
        <f>_xlfn.LET(_xlpm.dir,Table1[[#This Row],[Direction]],
IF(_xlpm.dir="L",
    IF(F1907-Table1[[#This Row],[Steps]]&lt;0,100+(F1907-Table1[[#This Row],[Steps]]),F1907-Table1[[#This Row],[Steps]]),
))</f>
        <v>0</v>
      </c>
      <c r="E1908">
        <f>_xlfn.LET(_xlpm.dir,Table1[[#This Row],[Direction]],
IF(_xlpm.dir="R",
    IF(F1907+Table1[[#This Row],[Steps]]&gt;99,(F1907+Table1[[#This Row],[Steps]])-100,F1907+Table1[[#This Row],[Steps]]),
))</f>
        <v>72</v>
      </c>
      <c r="F1908">
        <f>IF(Table1[[#This Row],[New Pos L]]&lt;&gt;0,Table1[[#This Row],[New Pos L]],Table1[[#This Row],[New Pos R]])</f>
        <v>72</v>
      </c>
    </row>
    <row r="1909" spans="1:6" ht="16" x14ac:dyDescent="0.2">
      <c r="A1909" s="1" t="s">
        <v>527</v>
      </c>
      <c r="B1909" t="str">
        <f>LEFT(Table1[[#This Row],[Input]],1)</f>
        <v>L</v>
      </c>
      <c r="C1909">
        <f>_xlfn.LET(_xlpm.steps,SUBSTITUTE(Table1[[#This Row],[Input]],Table1[[#This Row],[Direction]],""),VALUE(IF(LEN(_xlpm.steps)&gt;2,RIGHT(_xlpm.steps,2),_xlpm.steps)))</f>
        <v>43</v>
      </c>
      <c r="D1909">
        <f>_xlfn.LET(_xlpm.dir,Table1[[#This Row],[Direction]],
IF(_xlpm.dir="L",
    IF(F1908-Table1[[#This Row],[Steps]]&lt;0,100+(F1908-Table1[[#This Row],[Steps]]),F1908-Table1[[#This Row],[Steps]]),
))</f>
        <v>29</v>
      </c>
      <c r="E1909">
        <f>_xlfn.LET(_xlpm.dir,Table1[[#This Row],[Direction]],
IF(_xlpm.dir="R",
    IF(F1908+Table1[[#This Row],[Steps]]&gt;99,(F1908+Table1[[#This Row],[Steps]])-100,F1908+Table1[[#This Row],[Steps]]),
))</f>
        <v>0</v>
      </c>
      <c r="F1909">
        <f>IF(Table1[[#This Row],[New Pos L]]&lt;&gt;0,Table1[[#This Row],[New Pos L]],Table1[[#This Row],[New Pos R]])</f>
        <v>29</v>
      </c>
    </row>
    <row r="1910" spans="1:6" ht="16" x14ac:dyDescent="0.2">
      <c r="A1910" s="1" t="s">
        <v>528</v>
      </c>
      <c r="B1910" t="str">
        <f>LEFT(Table1[[#This Row],[Input]],1)</f>
        <v>L</v>
      </c>
      <c r="C1910">
        <f>_xlfn.LET(_xlpm.steps,SUBSTITUTE(Table1[[#This Row],[Input]],Table1[[#This Row],[Direction]],""),VALUE(IF(LEN(_xlpm.steps)&gt;2,RIGHT(_xlpm.steps,2),_xlpm.steps)))</f>
        <v>29</v>
      </c>
      <c r="D1910">
        <f>_xlfn.LET(_xlpm.dir,Table1[[#This Row],[Direction]],
IF(_xlpm.dir="L",
    IF(F1909-Table1[[#This Row],[Steps]]&lt;0,100+(F1909-Table1[[#This Row],[Steps]]),F1909-Table1[[#This Row],[Steps]]),
))</f>
        <v>0</v>
      </c>
      <c r="E1910">
        <f>_xlfn.LET(_xlpm.dir,Table1[[#This Row],[Direction]],
IF(_xlpm.dir="R",
    IF(F1909+Table1[[#This Row],[Steps]]&gt;99,(F1909+Table1[[#This Row],[Steps]])-100,F1909+Table1[[#This Row],[Steps]]),
))</f>
        <v>0</v>
      </c>
      <c r="F1910">
        <f>IF(Table1[[#This Row],[New Pos L]]&lt;&gt;0,Table1[[#This Row],[New Pos L]],Table1[[#This Row],[New Pos R]])</f>
        <v>0</v>
      </c>
    </row>
    <row r="1911" spans="1:6" ht="16" x14ac:dyDescent="0.2">
      <c r="A1911" s="1" t="s">
        <v>89</v>
      </c>
      <c r="B1911" t="str">
        <f>LEFT(Table1[[#This Row],[Input]],1)</f>
        <v>L</v>
      </c>
      <c r="C1911">
        <f>_xlfn.LET(_xlpm.steps,SUBSTITUTE(Table1[[#This Row],[Input]],Table1[[#This Row],[Direction]],""),VALUE(IF(LEN(_xlpm.steps)&gt;2,RIGHT(_xlpm.steps,2),_xlpm.steps)))</f>
        <v>91</v>
      </c>
      <c r="D1911">
        <f>_xlfn.LET(_xlpm.dir,Table1[[#This Row],[Direction]],
IF(_xlpm.dir="L",
    IF(F1910-Table1[[#This Row],[Steps]]&lt;0,100+(F1910-Table1[[#This Row],[Steps]]),F1910-Table1[[#This Row],[Steps]]),
))</f>
        <v>9</v>
      </c>
      <c r="E1911">
        <f>_xlfn.LET(_xlpm.dir,Table1[[#This Row],[Direction]],
IF(_xlpm.dir="R",
    IF(F1910+Table1[[#This Row],[Steps]]&gt;99,(F1910+Table1[[#This Row],[Steps]])-100,F1910+Table1[[#This Row],[Steps]]),
))</f>
        <v>0</v>
      </c>
      <c r="F1911">
        <f>IF(Table1[[#This Row],[New Pos L]]&lt;&gt;0,Table1[[#This Row],[New Pos L]],Table1[[#This Row],[New Pos R]])</f>
        <v>9</v>
      </c>
    </row>
    <row r="1912" spans="1:6" ht="16" x14ac:dyDescent="0.2">
      <c r="A1912" s="1" t="s">
        <v>529</v>
      </c>
      <c r="B1912" t="str">
        <f>LEFT(Table1[[#This Row],[Input]],1)</f>
        <v>L</v>
      </c>
      <c r="C1912">
        <f>_xlfn.LET(_xlpm.steps,SUBSTITUTE(Table1[[#This Row],[Input]],Table1[[#This Row],[Direction]],""),VALUE(IF(LEN(_xlpm.steps)&gt;2,RIGHT(_xlpm.steps,2),_xlpm.steps)))</f>
        <v>67</v>
      </c>
      <c r="D1912">
        <f>_xlfn.LET(_xlpm.dir,Table1[[#This Row],[Direction]],
IF(_xlpm.dir="L",
    IF(F1911-Table1[[#This Row],[Steps]]&lt;0,100+(F1911-Table1[[#This Row],[Steps]]),F1911-Table1[[#This Row],[Steps]]),
))</f>
        <v>42</v>
      </c>
      <c r="E1912">
        <f>_xlfn.LET(_xlpm.dir,Table1[[#This Row],[Direction]],
IF(_xlpm.dir="R",
    IF(F1911+Table1[[#This Row],[Steps]]&gt;99,(F1911+Table1[[#This Row],[Steps]])-100,F1911+Table1[[#This Row],[Steps]]),
))</f>
        <v>0</v>
      </c>
      <c r="F1912">
        <f>IF(Table1[[#This Row],[New Pos L]]&lt;&gt;0,Table1[[#This Row],[New Pos L]],Table1[[#This Row],[New Pos R]])</f>
        <v>42</v>
      </c>
    </row>
    <row r="1913" spans="1:6" ht="16" x14ac:dyDescent="0.2">
      <c r="A1913" s="1" t="s">
        <v>16</v>
      </c>
      <c r="B1913" t="str">
        <f>LEFT(Table1[[#This Row],[Input]],1)</f>
        <v>L</v>
      </c>
      <c r="C1913">
        <f>_xlfn.LET(_xlpm.steps,SUBSTITUTE(Table1[[#This Row],[Input]],Table1[[#This Row],[Direction]],""),VALUE(IF(LEN(_xlpm.steps)&gt;2,RIGHT(_xlpm.steps,2),_xlpm.steps)))</f>
        <v>10</v>
      </c>
      <c r="D1913">
        <f>_xlfn.LET(_xlpm.dir,Table1[[#This Row],[Direction]],
IF(_xlpm.dir="L",
    IF(F1912-Table1[[#This Row],[Steps]]&lt;0,100+(F1912-Table1[[#This Row],[Steps]]),F1912-Table1[[#This Row],[Steps]]),
))</f>
        <v>32</v>
      </c>
      <c r="E1913">
        <f>_xlfn.LET(_xlpm.dir,Table1[[#This Row],[Direction]],
IF(_xlpm.dir="R",
    IF(F1912+Table1[[#This Row],[Steps]]&gt;99,(F1912+Table1[[#This Row],[Steps]])-100,F1912+Table1[[#This Row],[Steps]]),
))</f>
        <v>0</v>
      </c>
      <c r="F1913">
        <f>IF(Table1[[#This Row],[New Pos L]]&lt;&gt;0,Table1[[#This Row],[New Pos L]],Table1[[#This Row],[New Pos R]])</f>
        <v>32</v>
      </c>
    </row>
    <row r="1914" spans="1:6" ht="16" x14ac:dyDescent="0.2">
      <c r="A1914" s="1" t="s">
        <v>20</v>
      </c>
      <c r="B1914" t="str">
        <f>LEFT(Table1[[#This Row],[Input]],1)</f>
        <v>R</v>
      </c>
      <c r="C1914">
        <f>_xlfn.LET(_xlpm.steps,SUBSTITUTE(Table1[[#This Row],[Input]],Table1[[#This Row],[Direction]],""),VALUE(IF(LEN(_xlpm.steps)&gt;2,RIGHT(_xlpm.steps,2),_xlpm.steps)))</f>
        <v>46</v>
      </c>
      <c r="D1914">
        <f>_xlfn.LET(_xlpm.dir,Table1[[#This Row],[Direction]],
IF(_xlpm.dir="L",
    IF(F1913-Table1[[#This Row],[Steps]]&lt;0,100+(F1913-Table1[[#This Row],[Steps]]),F1913-Table1[[#This Row],[Steps]]),
))</f>
        <v>0</v>
      </c>
      <c r="E1914">
        <f>_xlfn.LET(_xlpm.dir,Table1[[#This Row],[Direction]],
IF(_xlpm.dir="R",
    IF(F1913+Table1[[#This Row],[Steps]]&gt;99,(F1913+Table1[[#This Row],[Steps]])-100,F1913+Table1[[#This Row],[Steps]]),
))</f>
        <v>78</v>
      </c>
      <c r="F1914">
        <f>IF(Table1[[#This Row],[New Pos L]]&lt;&gt;0,Table1[[#This Row],[New Pos L]],Table1[[#This Row],[New Pos R]])</f>
        <v>78</v>
      </c>
    </row>
    <row r="1915" spans="1:6" ht="16" x14ac:dyDescent="0.2">
      <c r="A1915" s="1" t="s">
        <v>95</v>
      </c>
      <c r="B1915" t="str">
        <f>LEFT(Table1[[#This Row],[Input]],1)</f>
        <v>L</v>
      </c>
      <c r="C1915">
        <f>_xlfn.LET(_xlpm.steps,SUBSTITUTE(Table1[[#This Row],[Input]],Table1[[#This Row],[Direction]],""),VALUE(IF(LEN(_xlpm.steps)&gt;2,RIGHT(_xlpm.steps,2),_xlpm.steps)))</f>
        <v>78</v>
      </c>
      <c r="D1915">
        <f>_xlfn.LET(_xlpm.dir,Table1[[#This Row],[Direction]],
IF(_xlpm.dir="L",
    IF(F1914-Table1[[#This Row],[Steps]]&lt;0,100+(F1914-Table1[[#This Row],[Steps]]),F1914-Table1[[#This Row],[Steps]]),
))</f>
        <v>0</v>
      </c>
      <c r="E1915">
        <f>_xlfn.LET(_xlpm.dir,Table1[[#This Row],[Direction]],
IF(_xlpm.dir="R",
    IF(F1914+Table1[[#This Row],[Steps]]&gt;99,(F1914+Table1[[#This Row],[Steps]])-100,F1914+Table1[[#This Row],[Steps]]),
))</f>
        <v>0</v>
      </c>
      <c r="F1915">
        <f>IF(Table1[[#This Row],[New Pos L]]&lt;&gt;0,Table1[[#This Row],[New Pos L]],Table1[[#This Row],[New Pos R]])</f>
        <v>0</v>
      </c>
    </row>
    <row r="1916" spans="1:6" ht="16" x14ac:dyDescent="0.2">
      <c r="A1916" s="1" t="s">
        <v>344</v>
      </c>
      <c r="B1916" t="str">
        <f>LEFT(Table1[[#This Row],[Input]],1)</f>
        <v>R</v>
      </c>
      <c r="C1916">
        <f>_xlfn.LET(_xlpm.steps,SUBSTITUTE(Table1[[#This Row],[Input]],Table1[[#This Row],[Direction]],""),VALUE(IF(LEN(_xlpm.steps)&gt;2,RIGHT(_xlpm.steps,2),_xlpm.steps)))</f>
        <v>9</v>
      </c>
      <c r="D1916">
        <f>_xlfn.LET(_xlpm.dir,Table1[[#This Row],[Direction]],
IF(_xlpm.dir="L",
    IF(F1915-Table1[[#This Row],[Steps]]&lt;0,100+(F1915-Table1[[#This Row],[Steps]]),F1915-Table1[[#This Row],[Steps]]),
))</f>
        <v>0</v>
      </c>
      <c r="E1916">
        <f>_xlfn.LET(_xlpm.dir,Table1[[#This Row],[Direction]],
IF(_xlpm.dir="R",
    IF(F1915+Table1[[#This Row],[Steps]]&gt;99,(F1915+Table1[[#This Row],[Steps]])-100,F1915+Table1[[#This Row],[Steps]]),
))</f>
        <v>9</v>
      </c>
      <c r="F1916">
        <f>IF(Table1[[#This Row],[New Pos L]]&lt;&gt;0,Table1[[#This Row],[New Pos L]],Table1[[#This Row],[New Pos R]])</f>
        <v>9</v>
      </c>
    </row>
    <row r="1917" spans="1:6" ht="16" x14ac:dyDescent="0.2">
      <c r="A1917" s="1" t="s">
        <v>217</v>
      </c>
      <c r="B1917" t="str">
        <f>LEFT(Table1[[#This Row],[Input]],1)</f>
        <v>R</v>
      </c>
      <c r="C1917">
        <f>_xlfn.LET(_xlpm.steps,SUBSTITUTE(Table1[[#This Row],[Input]],Table1[[#This Row],[Direction]],""),VALUE(IF(LEN(_xlpm.steps)&gt;2,RIGHT(_xlpm.steps,2),_xlpm.steps)))</f>
        <v>91</v>
      </c>
      <c r="D1917">
        <f>_xlfn.LET(_xlpm.dir,Table1[[#This Row],[Direction]],
IF(_xlpm.dir="L",
    IF(F1916-Table1[[#This Row],[Steps]]&lt;0,100+(F1916-Table1[[#This Row],[Steps]]),F1916-Table1[[#This Row],[Steps]]),
))</f>
        <v>0</v>
      </c>
      <c r="E1917">
        <f>_xlfn.LET(_xlpm.dir,Table1[[#This Row],[Direction]],
IF(_xlpm.dir="R",
    IF(F1916+Table1[[#This Row],[Steps]]&gt;99,(F1916+Table1[[#This Row],[Steps]])-100,F1916+Table1[[#This Row],[Steps]]),
))</f>
        <v>0</v>
      </c>
      <c r="F1917">
        <f>IF(Table1[[#This Row],[New Pos L]]&lt;&gt;0,Table1[[#This Row],[New Pos L]],Table1[[#This Row],[New Pos R]])</f>
        <v>0</v>
      </c>
    </row>
    <row r="1918" spans="1:6" ht="16" x14ac:dyDescent="0.2">
      <c r="A1918" s="1" t="s">
        <v>89</v>
      </c>
      <c r="B1918" t="str">
        <f>LEFT(Table1[[#This Row],[Input]],1)</f>
        <v>L</v>
      </c>
      <c r="C1918">
        <f>_xlfn.LET(_xlpm.steps,SUBSTITUTE(Table1[[#This Row],[Input]],Table1[[#This Row],[Direction]],""),VALUE(IF(LEN(_xlpm.steps)&gt;2,RIGHT(_xlpm.steps,2),_xlpm.steps)))</f>
        <v>91</v>
      </c>
      <c r="D1918">
        <f>_xlfn.LET(_xlpm.dir,Table1[[#This Row],[Direction]],
IF(_xlpm.dir="L",
    IF(F1917-Table1[[#This Row],[Steps]]&lt;0,100+(F1917-Table1[[#This Row],[Steps]]),F1917-Table1[[#This Row],[Steps]]),
))</f>
        <v>9</v>
      </c>
      <c r="E1918">
        <f>_xlfn.LET(_xlpm.dir,Table1[[#This Row],[Direction]],
IF(_xlpm.dir="R",
    IF(F1917+Table1[[#This Row],[Steps]]&gt;99,(F1917+Table1[[#This Row],[Steps]])-100,F1917+Table1[[#This Row],[Steps]]),
))</f>
        <v>0</v>
      </c>
      <c r="F1918">
        <f>IF(Table1[[#This Row],[New Pos L]]&lt;&gt;0,Table1[[#This Row],[New Pos L]],Table1[[#This Row],[New Pos R]])</f>
        <v>9</v>
      </c>
    </row>
    <row r="1919" spans="1:6" ht="16" x14ac:dyDescent="0.2">
      <c r="A1919" s="1" t="s">
        <v>223</v>
      </c>
      <c r="B1919" t="str">
        <f>LEFT(Table1[[#This Row],[Input]],1)</f>
        <v>L</v>
      </c>
      <c r="C1919">
        <f>_xlfn.LET(_xlpm.steps,SUBSTITUTE(Table1[[#This Row],[Input]],Table1[[#This Row],[Direction]],""),VALUE(IF(LEN(_xlpm.steps)&gt;2,RIGHT(_xlpm.steps,2),_xlpm.steps)))</f>
        <v>87</v>
      </c>
      <c r="D1919">
        <f>_xlfn.LET(_xlpm.dir,Table1[[#This Row],[Direction]],
IF(_xlpm.dir="L",
    IF(F1918-Table1[[#This Row],[Steps]]&lt;0,100+(F1918-Table1[[#This Row],[Steps]]),F1918-Table1[[#This Row],[Steps]]),
))</f>
        <v>22</v>
      </c>
      <c r="E1919">
        <f>_xlfn.LET(_xlpm.dir,Table1[[#This Row],[Direction]],
IF(_xlpm.dir="R",
    IF(F1918+Table1[[#This Row],[Steps]]&gt;99,(F1918+Table1[[#This Row],[Steps]])-100,F1918+Table1[[#This Row],[Steps]]),
))</f>
        <v>0</v>
      </c>
      <c r="F1919">
        <f>IF(Table1[[#This Row],[New Pos L]]&lt;&gt;0,Table1[[#This Row],[New Pos L]],Table1[[#This Row],[New Pos R]])</f>
        <v>22</v>
      </c>
    </row>
    <row r="1920" spans="1:6" ht="16" x14ac:dyDescent="0.2">
      <c r="A1920" s="1" t="s">
        <v>530</v>
      </c>
      <c r="B1920" t="str">
        <f>LEFT(Table1[[#This Row],[Input]],1)</f>
        <v>L</v>
      </c>
      <c r="C1920">
        <f>_xlfn.LET(_xlpm.steps,SUBSTITUTE(Table1[[#This Row],[Input]],Table1[[#This Row],[Direction]],""),VALUE(IF(LEN(_xlpm.steps)&gt;2,RIGHT(_xlpm.steps,2),_xlpm.steps)))</f>
        <v>22</v>
      </c>
      <c r="D1920">
        <f>_xlfn.LET(_xlpm.dir,Table1[[#This Row],[Direction]],
IF(_xlpm.dir="L",
    IF(F1919-Table1[[#This Row],[Steps]]&lt;0,100+(F1919-Table1[[#This Row],[Steps]]),F1919-Table1[[#This Row],[Steps]]),
))</f>
        <v>0</v>
      </c>
      <c r="E1920">
        <f>_xlfn.LET(_xlpm.dir,Table1[[#This Row],[Direction]],
IF(_xlpm.dir="R",
    IF(F1919+Table1[[#This Row],[Steps]]&gt;99,(F1919+Table1[[#This Row],[Steps]])-100,F1919+Table1[[#This Row],[Steps]]),
))</f>
        <v>0</v>
      </c>
      <c r="F1920">
        <f>IF(Table1[[#This Row],[New Pos L]]&lt;&gt;0,Table1[[#This Row],[New Pos L]],Table1[[#This Row],[New Pos R]])</f>
        <v>0</v>
      </c>
    </row>
    <row r="1921" spans="1:6" ht="16" x14ac:dyDescent="0.2">
      <c r="A1921" s="1" t="s">
        <v>19</v>
      </c>
      <c r="B1921" t="str">
        <f>LEFT(Table1[[#This Row],[Input]],1)</f>
        <v>R</v>
      </c>
      <c r="C1921">
        <f>_xlfn.LET(_xlpm.steps,SUBSTITUTE(Table1[[#This Row],[Input]],Table1[[#This Row],[Direction]],""),VALUE(IF(LEN(_xlpm.steps)&gt;2,RIGHT(_xlpm.steps,2),_xlpm.steps)))</f>
        <v>47</v>
      </c>
      <c r="D1921">
        <f>_xlfn.LET(_xlpm.dir,Table1[[#This Row],[Direction]],
IF(_xlpm.dir="L",
    IF(F1920-Table1[[#This Row],[Steps]]&lt;0,100+(F1920-Table1[[#This Row],[Steps]]),F1920-Table1[[#This Row],[Steps]]),
))</f>
        <v>0</v>
      </c>
      <c r="E1921">
        <f>_xlfn.LET(_xlpm.dir,Table1[[#This Row],[Direction]],
IF(_xlpm.dir="R",
    IF(F1920+Table1[[#This Row],[Steps]]&gt;99,(F1920+Table1[[#This Row],[Steps]])-100,F1920+Table1[[#This Row],[Steps]]),
))</f>
        <v>47</v>
      </c>
      <c r="F1921">
        <f>IF(Table1[[#This Row],[New Pos L]]&lt;&gt;0,Table1[[#This Row],[New Pos L]],Table1[[#This Row],[New Pos R]])</f>
        <v>47</v>
      </c>
    </row>
    <row r="1922" spans="1:6" ht="16" x14ac:dyDescent="0.2">
      <c r="A1922" s="1" t="s">
        <v>330</v>
      </c>
      <c r="B1922" t="str">
        <f>LEFT(Table1[[#This Row],[Input]],1)</f>
        <v>L</v>
      </c>
      <c r="C1922">
        <f>_xlfn.LET(_xlpm.steps,SUBSTITUTE(Table1[[#This Row],[Input]],Table1[[#This Row],[Direction]],""),VALUE(IF(LEN(_xlpm.steps)&gt;2,RIGHT(_xlpm.steps,2),_xlpm.steps)))</f>
        <v>47</v>
      </c>
      <c r="D1922">
        <f>_xlfn.LET(_xlpm.dir,Table1[[#This Row],[Direction]],
IF(_xlpm.dir="L",
    IF(F1921-Table1[[#This Row],[Steps]]&lt;0,100+(F1921-Table1[[#This Row],[Steps]]),F1921-Table1[[#This Row],[Steps]]),
))</f>
        <v>0</v>
      </c>
      <c r="E1922">
        <f>_xlfn.LET(_xlpm.dir,Table1[[#This Row],[Direction]],
IF(_xlpm.dir="R",
    IF(F1921+Table1[[#This Row],[Steps]]&gt;99,(F1921+Table1[[#This Row],[Steps]])-100,F1921+Table1[[#This Row],[Steps]]),
))</f>
        <v>0</v>
      </c>
      <c r="F1922">
        <f>IF(Table1[[#This Row],[New Pos L]]&lt;&gt;0,Table1[[#This Row],[New Pos L]],Table1[[#This Row],[New Pos R]])</f>
        <v>0</v>
      </c>
    </row>
    <row r="1923" spans="1:6" ht="16" x14ac:dyDescent="0.2">
      <c r="A1923" s="1" t="s">
        <v>525</v>
      </c>
      <c r="B1923" t="str">
        <f>LEFT(Table1[[#This Row],[Input]],1)</f>
        <v>R</v>
      </c>
      <c r="C1923">
        <f>_xlfn.LET(_xlpm.steps,SUBSTITUTE(Table1[[#This Row],[Input]],Table1[[#This Row],[Direction]],""),VALUE(IF(LEN(_xlpm.steps)&gt;2,RIGHT(_xlpm.steps,2),_xlpm.steps)))</f>
        <v>26</v>
      </c>
      <c r="D1923">
        <f>_xlfn.LET(_xlpm.dir,Table1[[#This Row],[Direction]],
IF(_xlpm.dir="L",
    IF(F1922-Table1[[#This Row],[Steps]]&lt;0,100+(F1922-Table1[[#This Row],[Steps]]),F1922-Table1[[#This Row],[Steps]]),
))</f>
        <v>0</v>
      </c>
      <c r="E1923">
        <f>_xlfn.LET(_xlpm.dir,Table1[[#This Row],[Direction]],
IF(_xlpm.dir="R",
    IF(F1922+Table1[[#This Row],[Steps]]&gt;99,(F1922+Table1[[#This Row],[Steps]])-100,F1922+Table1[[#This Row],[Steps]]),
))</f>
        <v>26</v>
      </c>
      <c r="F1923">
        <f>IF(Table1[[#This Row],[New Pos L]]&lt;&gt;0,Table1[[#This Row],[New Pos L]],Table1[[#This Row],[New Pos R]])</f>
        <v>26</v>
      </c>
    </row>
    <row r="1924" spans="1:6" ht="16" x14ac:dyDescent="0.2">
      <c r="A1924" s="1" t="s">
        <v>45</v>
      </c>
      <c r="B1924" t="str">
        <f>LEFT(Table1[[#This Row],[Input]],1)</f>
        <v>L</v>
      </c>
      <c r="C1924">
        <f>_xlfn.LET(_xlpm.steps,SUBSTITUTE(Table1[[#This Row],[Input]],Table1[[#This Row],[Direction]],""),VALUE(IF(LEN(_xlpm.steps)&gt;2,RIGHT(_xlpm.steps,2),_xlpm.steps)))</f>
        <v>96</v>
      </c>
      <c r="D1924">
        <f>_xlfn.LET(_xlpm.dir,Table1[[#This Row],[Direction]],
IF(_xlpm.dir="L",
    IF(F1923-Table1[[#This Row],[Steps]]&lt;0,100+(F1923-Table1[[#This Row],[Steps]]),F1923-Table1[[#This Row],[Steps]]),
))</f>
        <v>30</v>
      </c>
      <c r="E1924">
        <f>_xlfn.LET(_xlpm.dir,Table1[[#This Row],[Direction]],
IF(_xlpm.dir="R",
    IF(F1923+Table1[[#This Row],[Steps]]&gt;99,(F1923+Table1[[#This Row],[Steps]])-100,F1923+Table1[[#This Row],[Steps]]),
))</f>
        <v>0</v>
      </c>
      <c r="F1924">
        <f>IF(Table1[[#This Row],[New Pos L]]&lt;&gt;0,Table1[[#This Row],[New Pos L]],Table1[[#This Row],[New Pos R]])</f>
        <v>30</v>
      </c>
    </row>
    <row r="1925" spans="1:6" ht="16" x14ac:dyDescent="0.2">
      <c r="A1925" s="1" t="s">
        <v>357</v>
      </c>
      <c r="B1925" t="str">
        <f>LEFT(Table1[[#This Row],[Input]],1)</f>
        <v>R</v>
      </c>
      <c r="C1925">
        <f>_xlfn.LET(_xlpm.steps,SUBSTITUTE(Table1[[#This Row],[Input]],Table1[[#This Row],[Direction]],""),VALUE(IF(LEN(_xlpm.steps)&gt;2,RIGHT(_xlpm.steps,2),_xlpm.steps)))</f>
        <v>72</v>
      </c>
      <c r="D1925">
        <f>_xlfn.LET(_xlpm.dir,Table1[[#This Row],[Direction]],
IF(_xlpm.dir="L",
    IF(F1924-Table1[[#This Row],[Steps]]&lt;0,100+(F1924-Table1[[#This Row],[Steps]]),F1924-Table1[[#This Row],[Steps]]),
))</f>
        <v>0</v>
      </c>
      <c r="E1925">
        <f>_xlfn.LET(_xlpm.dir,Table1[[#This Row],[Direction]],
IF(_xlpm.dir="R",
    IF(F1924+Table1[[#This Row],[Steps]]&gt;99,(F1924+Table1[[#This Row],[Steps]])-100,F1924+Table1[[#This Row],[Steps]]),
))</f>
        <v>2</v>
      </c>
      <c r="F1925">
        <f>IF(Table1[[#This Row],[New Pos L]]&lt;&gt;0,Table1[[#This Row],[New Pos L]],Table1[[#This Row],[New Pos R]])</f>
        <v>2</v>
      </c>
    </row>
    <row r="1926" spans="1:6" ht="16" x14ac:dyDescent="0.2">
      <c r="A1926" s="1" t="s">
        <v>278</v>
      </c>
      <c r="B1926" t="str">
        <f>LEFT(Table1[[#This Row],[Input]],1)</f>
        <v>L</v>
      </c>
      <c r="C1926">
        <f>_xlfn.LET(_xlpm.steps,SUBSTITUTE(Table1[[#This Row],[Input]],Table1[[#This Row],[Direction]],""),VALUE(IF(LEN(_xlpm.steps)&gt;2,RIGHT(_xlpm.steps,2),_xlpm.steps)))</f>
        <v>40</v>
      </c>
      <c r="D1926">
        <f>_xlfn.LET(_xlpm.dir,Table1[[#This Row],[Direction]],
IF(_xlpm.dir="L",
    IF(F1925-Table1[[#This Row],[Steps]]&lt;0,100+(F1925-Table1[[#This Row],[Steps]]),F1925-Table1[[#This Row],[Steps]]),
))</f>
        <v>62</v>
      </c>
      <c r="E1926">
        <f>_xlfn.LET(_xlpm.dir,Table1[[#This Row],[Direction]],
IF(_xlpm.dir="R",
    IF(F1925+Table1[[#This Row],[Steps]]&gt;99,(F1925+Table1[[#This Row],[Steps]])-100,F1925+Table1[[#This Row],[Steps]]),
))</f>
        <v>0</v>
      </c>
      <c r="F1926">
        <f>IF(Table1[[#This Row],[New Pos L]]&lt;&gt;0,Table1[[#This Row],[New Pos L]],Table1[[#This Row],[New Pos R]])</f>
        <v>62</v>
      </c>
    </row>
    <row r="1927" spans="1:6" ht="16" x14ac:dyDescent="0.2">
      <c r="A1927" s="1" t="s">
        <v>21</v>
      </c>
      <c r="B1927" t="str">
        <f>LEFT(Table1[[#This Row],[Input]],1)</f>
        <v>L</v>
      </c>
      <c r="C1927">
        <f>_xlfn.LET(_xlpm.steps,SUBSTITUTE(Table1[[#This Row],[Input]],Table1[[#This Row],[Direction]],""),VALUE(IF(LEN(_xlpm.steps)&gt;2,RIGHT(_xlpm.steps,2),_xlpm.steps)))</f>
        <v>36</v>
      </c>
      <c r="D1927">
        <f>_xlfn.LET(_xlpm.dir,Table1[[#This Row],[Direction]],
IF(_xlpm.dir="L",
    IF(F1926-Table1[[#This Row],[Steps]]&lt;0,100+(F1926-Table1[[#This Row],[Steps]]),F1926-Table1[[#This Row],[Steps]]),
))</f>
        <v>26</v>
      </c>
      <c r="E1927">
        <f>_xlfn.LET(_xlpm.dir,Table1[[#This Row],[Direction]],
IF(_xlpm.dir="R",
    IF(F1926+Table1[[#This Row],[Steps]]&gt;99,(F1926+Table1[[#This Row],[Steps]])-100,F1926+Table1[[#This Row],[Steps]]),
))</f>
        <v>0</v>
      </c>
      <c r="F1927">
        <f>IF(Table1[[#This Row],[New Pos L]]&lt;&gt;0,Table1[[#This Row],[New Pos L]],Table1[[#This Row],[New Pos R]])</f>
        <v>26</v>
      </c>
    </row>
    <row r="1928" spans="1:6" ht="16" x14ac:dyDescent="0.2">
      <c r="A1928" s="1" t="s">
        <v>77</v>
      </c>
      <c r="B1928" t="str">
        <f>LEFT(Table1[[#This Row],[Input]],1)</f>
        <v>R</v>
      </c>
      <c r="C1928">
        <f>_xlfn.LET(_xlpm.steps,SUBSTITUTE(Table1[[#This Row],[Input]],Table1[[#This Row],[Direction]],""),VALUE(IF(LEN(_xlpm.steps)&gt;2,RIGHT(_xlpm.steps,2),_xlpm.steps)))</f>
        <v>74</v>
      </c>
      <c r="D1928">
        <f>_xlfn.LET(_xlpm.dir,Table1[[#This Row],[Direction]],
IF(_xlpm.dir="L",
    IF(F1927-Table1[[#This Row],[Steps]]&lt;0,100+(F1927-Table1[[#This Row],[Steps]]),F1927-Table1[[#This Row],[Steps]]),
))</f>
        <v>0</v>
      </c>
      <c r="E1928">
        <f>_xlfn.LET(_xlpm.dir,Table1[[#This Row],[Direction]],
IF(_xlpm.dir="R",
    IF(F1927+Table1[[#This Row],[Steps]]&gt;99,(F1927+Table1[[#This Row],[Steps]])-100,F1927+Table1[[#This Row],[Steps]]),
))</f>
        <v>0</v>
      </c>
      <c r="F1928">
        <f>IF(Table1[[#This Row],[New Pos L]]&lt;&gt;0,Table1[[#This Row],[New Pos L]],Table1[[#This Row],[New Pos R]])</f>
        <v>0</v>
      </c>
    </row>
    <row r="1929" spans="1:6" ht="16" x14ac:dyDescent="0.2">
      <c r="A1929" s="1" t="s">
        <v>13</v>
      </c>
      <c r="B1929" t="str">
        <f>LEFT(Table1[[#This Row],[Input]],1)</f>
        <v>R</v>
      </c>
      <c r="C1929">
        <f>_xlfn.LET(_xlpm.steps,SUBSTITUTE(Table1[[#This Row],[Input]],Table1[[#This Row],[Direction]],""),VALUE(IF(LEN(_xlpm.steps)&gt;2,RIGHT(_xlpm.steps,2),_xlpm.steps)))</f>
        <v>12</v>
      </c>
      <c r="D1929">
        <f>_xlfn.LET(_xlpm.dir,Table1[[#This Row],[Direction]],
IF(_xlpm.dir="L",
    IF(F1928-Table1[[#This Row],[Steps]]&lt;0,100+(F1928-Table1[[#This Row],[Steps]]),F1928-Table1[[#This Row],[Steps]]),
))</f>
        <v>0</v>
      </c>
      <c r="E1929">
        <f>_xlfn.LET(_xlpm.dir,Table1[[#This Row],[Direction]],
IF(_xlpm.dir="R",
    IF(F1928+Table1[[#This Row],[Steps]]&gt;99,(F1928+Table1[[#This Row],[Steps]])-100,F1928+Table1[[#This Row],[Steps]]),
))</f>
        <v>12</v>
      </c>
      <c r="F1929">
        <f>IF(Table1[[#This Row],[New Pos L]]&lt;&gt;0,Table1[[#This Row],[New Pos L]],Table1[[#This Row],[New Pos R]])</f>
        <v>12</v>
      </c>
    </row>
    <row r="1930" spans="1:6" ht="16" x14ac:dyDescent="0.2">
      <c r="A1930" s="1" t="s">
        <v>357</v>
      </c>
      <c r="B1930" t="str">
        <f>LEFT(Table1[[#This Row],[Input]],1)</f>
        <v>R</v>
      </c>
      <c r="C1930">
        <f>_xlfn.LET(_xlpm.steps,SUBSTITUTE(Table1[[#This Row],[Input]],Table1[[#This Row],[Direction]],""),VALUE(IF(LEN(_xlpm.steps)&gt;2,RIGHT(_xlpm.steps,2),_xlpm.steps)))</f>
        <v>72</v>
      </c>
      <c r="D1930">
        <f>_xlfn.LET(_xlpm.dir,Table1[[#This Row],[Direction]],
IF(_xlpm.dir="L",
    IF(F1929-Table1[[#This Row],[Steps]]&lt;0,100+(F1929-Table1[[#This Row],[Steps]]),F1929-Table1[[#This Row],[Steps]]),
))</f>
        <v>0</v>
      </c>
      <c r="E1930">
        <f>_xlfn.LET(_xlpm.dir,Table1[[#This Row],[Direction]],
IF(_xlpm.dir="R",
    IF(F1929+Table1[[#This Row],[Steps]]&gt;99,(F1929+Table1[[#This Row],[Steps]])-100,F1929+Table1[[#This Row],[Steps]]),
))</f>
        <v>84</v>
      </c>
      <c r="F1930">
        <f>IF(Table1[[#This Row],[New Pos L]]&lt;&gt;0,Table1[[#This Row],[New Pos L]],Table1[[#This Row],[New Pos R]])</f>
        <v>84</v>
      </c>
    </row>
    <row r="1931" spans="1:6" ht="16" x14ac:dyDescent="0.2">
      <c r="A1931" s="1" t="s">
        <v>336</v>
      </c>
      <c r="B1931" t="str">
        <f>LEFT(Table1[[#This Row],[Input]],1)</f>
        <v>R</v>
      </c>
      <c r="C1931">
        <f>_xlfn.LET(_xlpm.steps,SUBSTITUTE(Table1[[#This Row],[Input]],Table1[[#This Row],[Direction]],""),VALUE(IF(LEN(_xlpm.steps)&gt;2,RIGHT(_xlpm.steps,2),_xlpm.steps)))</f>
        <v>95</v>
      </c>
      <c r="D1931">
        <f>_xlfn.LET(_xlpm.dir,Table1[[#This Row],[Direction]],
IF(_xlpm.dir="L",
    IF(F1930-Table1[[#This Row],[Steps]]&lt;0,100+(F1930-Table1[[#This Row],[Steps]]),F1930-Table1[[#This Row],[Steps]]),
))</f>
        <v>0</v>
      </c>
      <c r="E1931">
        <f>_xlfn.LET(_xlpm.dir,Table1[[#This Row],[Direction]],
IF(_xlpm.dir="R",
    IF(F1930+Table1[[#This Row],[Steps]]&gt;99,(F1930+Table1[[#This Row],[Steps]])-100,F1930+Table1[[#This Row],[Steps]]),
))</f>
        <v>79</v>
      </c>
      <c r="F1931">
        <f>IF(Table1[[#This Row],[New Pos L]]&lt;&gt;0,Table1[[#This Row],[New Pos L]],Table1[[#This Row],[New Pos R]])</f>
        <v>79</v>
      </c>
    </row>
    <row r="1932" spans="1:6" ht="16" x14ac:dyDescent="0.2">
      <c r="A1932" s="1" t="s">
        <v>531</v>
      </c>
      <c r="B1932" t="str">
        <f>LEFT(Table1[[#This Row],[Input]],1)</f>
        <v>L</v>
      </c>
      <c r="C1932">
        <f>_xlfn.LET(_xlpm.steps,SUBSTITUTE(Table1[[#This Row],[Input]],Table1[[#This Row],[Direction]],""),VALUE(IF(LEN(_xlpm.steps)&gt;2,RIGHT(_xlpm.steps,2),_xlpm.steps)))</f>
        <v>15</v>
      </c>
      <c r="D1932">
        <f>_xlfn.LET(_xlpm.dir,Table1[[#This Row],[Direction]],
IF(_xlpm.dir="L",
    IF(F1931-Table1[[#This Row],[Steps]]&lt;0,100+(F1931-Table1[[#This Row],[Steps]]),F1931-Table1[[#This Row],[Steps]]),
))</f>
        <v>64</v>
      </c>
      <c r="E1932">
        <f>_xlfn.LET(_xlpm.dir,Table1[[#This Row],[Direction]],
IF(_xlpm.dir="R",
    IF(F1931+Table1[[#This Row],[Steps]]&gt;99,(F1931+Table1[[#This Row],[Steps]])-100,F1931+Table1[[#This Row],[Steps]]),
))</f>
        <v>0</v>
      </c>
      <c r="F1932">
        <f>IF(Table1[[#This Row],[New Pos L]]&lt;&gt;0,Table1[[#This Row],[New Pos L]],Table1[[#This Row],[New Pos R]])</f>
        <v>64</v>
      </c>
    </row>
    <row r="1933" spans="1:6" ht="16" x14ac:dyDescent="0.2">
      <c r="A1933" s="1" t="s">
        <v>39</v>
      </c>
      <c r="B1933" t="str">
        <f>LEFT(Table1[[#This Row],[Input]],1)</f>
        <v>R</v>
      </c>
      <c r="C1933">
        <f>_xlfn.LET(_xlpm.steps,SUBSTITUTE(Table1[[#This Row],[Input]],Table1[[#This Row],[Direction]],""),VALUE(IF(LEN(_xlpm.steps)&gt;2,RIGHT(_xlpm.steps,2),_xlpm.steps)))</f>
        <v>32</v>
      </c>
      <c r="D1933">
        <f>_xlfn.LET(_xlpm.dir,Table1[[#This Row],[Direction]],
IF(_xlpm.dir="L",
    IF(F1932-Table1[[#This Row],[Steps]]&lt;0,100+(F1932-Table1[[#This Row],[Steps]]),F1932-Table1[[#This Row],[Steps]]),
))</f>
        <v>0</v>
      </c>
      <c r="E1933">
        <f>_xlfn.LET(_xlpm.dir,Table1[[#This Row],[Direction]],
IF(_xlpm.dir="R",
    IF(F1932+Table1[[#This Row],[Steps]]&gt;99,(F1932+Table1[[#This Row],[Steps]])-100,F1932+Table1[[#This Row],[Steps]]),
))</f>
        <v>96</v>
      </c>
      <c r="F1933">
        <f>IF(Table1[[#This Row],[New Pos L]]&lt;&gt;0,Table1[[#This Row],[New Pos L]],Table1[[#This Row],[New Pos R]])</f>
        <v>96</v>
      </c>
    </row>
    <row r="1934" spans="1:6" ht="16" x14ac:dyDescent="0.2">
      <c r="A1934" s="1" t="s">
        <v>532</v>
      </c>
      <c r="B1934" t="str">
        <f>LEFT(Table1[[#This Row],[Input]],1)</f>
        <v>R</v>
      </c>
      <c r="C1934">
        <f>_xlfn.LET(_xlpm.steps,SUBSTITUTE(Table1[[#This Row],[Input]],Table1[[#This Row],[Direction]],""),VALUE(IF(LEN(_xlpm.steps)&gt;2,RIGHT(_xlpm.steps,2),_xlpm.steps)))</f>
        <v>4</v>
      </c>
      <c r="D1934">
        <f>_xlfn.LET(_xlpm.dir,Table1[[#This Row],[Direction]],
IF(_xlpm.dir="L",
    IF(F1933-Table1[[#This Row],[Steps]]&lt;0,100+(F1933-Table1[[#This Row],[Steps]]),F1933-Table1[[#This Row],[Steps]]),
))</f>
        <v>0</v>
      </c>
      <c r="E1934">
        <f>_xlfn.LET(_xlpm.dir,Table1[[#This Row],[Direction]],
IF(_xlpm.dir="R",
    IF(F1933+Table1[[#This Row],[Steps]]&gt;99,(F1933+Table1[[#This Row],[Steps]])-100,F1933+Table1[[#This Row],[Steps]]),
))</f>
        <v>0</v>
      </c>
      <c r="F1934">
        <f>IF(Table1[[#This Row],[New Pos L]]&lt;&gt;0,Table1[[#This Row],[New Pos L]],Table1[[#This Row],[New Pos R]])</f>
        <v>0</v>
      </c>
    </row>
    <row r="1935" spans="1:6" ht="16" x14ac:dyDescent="0.2">
      <c r="A1935" s="1" t="s">
        <v>533</v>
      </c>
      <c r="B1935" t="str">
        <f>LEFT(Table1[[#This Row],[Input]],1)</f>
        <v>L</v>
      </c>
      <c r="C1935">
        <f>_xlfn.LET(_xlpm.steps,SUBSTITUTE(Table1[[#This Row],[Input]],Table1[[#This Row],[Direction]],""),VALUE(IF(LEN(_xlpm.steps)&gt;2,RIGHT(_xlpm.steps,2),_xlpm.steps)))</f>
        <v>27</v>
      </c>
      <c r="D1935">
        <f>_xlfn.LET(_xlpm.dir,Table1[[#This Row],[Direction]],
IF(_xlpm.dir="L",
    IF(F1934-Table1[[#This Row],[Steps]]&lt;0,100+(F1934-Table1[[#This Row],[Steps]]),F1934-Table1[[#This Row],[Steps]]),
))</f>
        <v>73</v>
      </c>
      <c r="E1935">
        <f>_xlfn.LET(_xlpm.dir,Table1[[#This Row],[Direction]],
IF(_xlpm.dir="R",
    IF(F1934+Table1[[#This Row],[Steps]]&gt;99,(F1934+Table1[[#This Row],[Steps]])-100,F1934+Table1[[#This Row],[Steps]]),
))</f>
        <v>0</v>
      </c>
      <c r="F1935">
        <f>IF(Table1[[#This Row],[New Pos L]]&lt;&gt;0,Table1[[#This Row],[New Pos L]],Table1[[#This Row],[New Pos R]])</f>
        <v>73</v>
      </c>
    </row>
    <row r="1936" spans="1:6" ht="16" x14ac:dyDescent="0.2">
      <c r="A1936" s="1" t="s">
        <v>171</v>
      </c>
      <c r="B1936" t="str">
        <f>LEFT(Table1[[#This Row],[Input]],1)</f>
        <v>L</v>
      </c>
      <c r="C1936">
        <f>_xlfn.LET(_xlpm.steps,SUBSTITUTE(Table1[[#This Row],[Input]],Table1[[#This Row],[Direction]],""),VALUE(IF(LEN(_xlpm.steps)&gt;2,RIGHT(_xlpm.steps,2),_xlpm.steps)))</f>
        <v>73</v>
      </c>
      <c r="D1936">
        <f>_xlfn.LET(_xlpm.dir,Table1[[#This Row],[Direction]],
IF(_xlpm.dir="L",
    IF(F1935-Table1[[#This Row],[Steps]]&lt;0,100+(F1935-Table1[[#This Row],[Steps]]),F1935-Table1[[#This Row],[Steps]]),
))</f>
        <v>0</v>
      </c>
      <c r="E1936">
        <f>_xlfn.LET(_xlpm.dir,Table1[[#This Row],[Direction]],
IF(_xlpm.dir="R",
    IF(F1935+Table1[[#This Row],[Steps]]&gt;99,(F1935+Table1[[#This Row],[Steps]])-100,F1935+Table1[[#This Row],[Steps]]),
))</f>
        <v>0</v>
      </c>
      <c r="F1936">
        <f>IF(Table1[[#This Row],[New Pos L]]&lt;&gt;0,Table1[[#This Row],[New Pos L]],Table1[[#This Row],[New Pos R]])</f>
        <v>0</v>
      </c>
    </row>
    <row r="1937" spans="1:6" ht="16" x14ac:dyDescent="0.2">
      <c r="A1937" s="1" t="s">
        <v>174</v>
      </c>
      <c r="B1937" t="str">
        <f>LEFT(Table1[[#This Row],[Input]],1)</f>
        <v>L</v>
      </c>
      <c r="C1937">
        <f>_xlfn.LET(_xlpm.steps,SUBSTITUTE(Table1[[#This Row],[Input]],Table1[[#This Row],[Direction]],""),VALUE(IF(LEN(_xlpm.steps)&gt;2,RIGHT(_xlpm.steps,2),_xlpm.steps)))</f>
        <v>92</v>
      </c>
      <c r="D1937">
        <f>_xlfn.LET(_xlpm.dir,Table1[[#This Row],[Direction]],
IF(_xlpm.dir="L",
    IF(F1936-Table1[[#This Row],[Steps]]&lt;0,100+(F1936-Table1[[#This Row],[Steps]]),F1936-Table1[[#This Row],[Steps]]),
))</f>
        <v>8</v>
      </c>
      <c r="E1937">
        <f>_xlfn.LET(_xlpm.dir,Table1[[#This Row],[Direction]],
IF(_xlpm.dir="R",
    IF(F1936+Table1[[#This Row],[Steps]]&gt;99,(F1936+Table1[[#This Row],[Steps]])-100,F1936+Table1[[#This Row],[Steps]]),
))</f>
        <v>0</v>
      </c>
      <c r="F1937">
        <f>IF(Table1[[#This Row],[New Pos L]]&lt;&gt;0,Table1[[#This Row],[New Pos L]],Table1[[#This Row],[New Pos R]])</f>
        <v>8</v>
      </c>
    </row>
    <row r="1938" spans="1:6" ht="16" x14ac:dyDescent="0.2">
      <c r="A1938" s="1" t="s">
        <v>275</v>
      </c>
      <c r="B1938" t="str">
        <f>LEFT(Table1[[#This Row],[Input]],1)</f>
        <v>R</v>
      </c>
      <c r="C1938">
        <f>_xlfn.LET(_xlpm.steps,SUBSTITUTE(Table1[[#This Row],[Input]],Table1[[#This Row],[Direction]],""),VALUE(IF(LEN(_xlpm.steps)&gt;2,RIGHT(_xlpm.steps,2),_xlpm.steps)))</f>
        <v>97</v>
      </c>
      <c r="D1938">
        <f>_xlfn.LET(_xlpm.dir,Table1[[#This Row],[Direction]],
IF(_xlpm.dir="L",
    IF(F1937-Table1[[#This Row],[Steps]]&lt;0,100+(F1937-Table1[[#This Row],[Steps]]),F1937-Table1[[#This Row],[Steps]]),
))</f>
        <v>0</v>
      </c>
      <c r="E1938">
        <f>_xlfn.LET(_xlpm.dir,Table1[[#This Row],[Direction]],
IF(_xlpm.dir="R",
    IF(F1937+Table1[[#This Row],[Steps]]&gt;99,(F1937+Table1[[#This Row],[Steps]])-100,F1937+Table1[[#This Row],[Steps]]),
))</f>
        <v>5</v>
      </c>
      <c r="F1938">
        <f>IF(Table1[[#This Row],[New Pos L]]&lt;&gt;0,Table1[[#This Row],[New Pos L]],Table1[[#This Row],[New Pos R]])</f>
        <v>5</v>
      </c>
    </row>
    <row r="1939" spans="1:6" ht="16" x14ac:dyDescent="0.2">
      <c r="A1939" s="1" t="s">
        <v>336</v>
      </c>
      <c r="B1939" t="str">
        <f>LEFT(Table1[[#This Row],[Input]],1)</f>
        <v>R</v>
      </c>
      <c r="C1939">
        <f>_xlfn.LET(_xlpm.steps,SUBSTITUTE(Table1[[#This Row],[Input]],Table1[[#This Row],[Direction]],""),VALUE(IF(LEN(_xlpm.steps)&gt;2,RIGHT(_xlpm.steps,2),_xlpm.steps)))</f>
        <v>95</v>
      </c>
      <c r="D1939">
        <f>_xlfn.LET(_xlpm.dir,Table1[[#This Row],[Direction]],
IF(_xlpm.dir="L",
    IF(F1938-Table1[[#This Row],[Steps]]&lt;0,100+(F1938-Table1[[#This Row],[Steps]]),F1938-Table1[[#This Row],[Steps]]),
))</f>
        <v>0</v>
      </c>
      <c r="E1939">
        <f>_xlfn.LET(_xlpm.dir,Table1[[#This Row],[Direction]],
IF(_xlpm.dir="R",
    IF(F1938+Table1[[#This Row],[Steps]]&gt;99,(F1938+Table1[[#This Row],[Steps]])-100,F1938+Table1[[#This Row],[Steps]]),
))</f>
        <v>0</v>
      </c>
      <c r="F1939">
        <f>IF(Table1[[#This Row],[New Pos L]]&lt;&gt;0,Table1[[#This Row],[New Pos L]],Table1[[#This Row],[New Pos R]])</f>
        <v>0</v>
      </c>
    </row>
    <row r="1940" spans="1:6" ht="16" x14ac:dyDescent="0.2">
      <c r="A1940" s="1" t="s">
        <v>98</v>
      </c>
      <c r="B1940" t="str">
        <f>LEFT(Table1[[#This Row],[Input]],1)</f>
        <v>L</v>
      </c>
      <c r="C1940">
        <f>_xlfn.LET(_xlpm.steps,SUBSTITUTE(Table1[[#This Row],[Input]],Table1[[#This Row],[Direction]],""),VALUE(IF(LEN(_xlpm.steps)&gt;2,RIGHT(_xlpm.steps,2),_xlpm.steps)))</f>
        <v>65</v>
      </c>
      <c r="D1940">
        <f>_xlfn.LET(_xlpm.dir,Table1[[#This Row],[Direction]],
IF(_xlpm.dir="L",
    IF(F1939-Table1[[#This Row],[Steps]]&lt;0,100+(F1939-Table1[[#This Row],[Steps]]),F1939-Table1[[#This Row],[Steps]]),
))</f>
        <v>35</v>
      </c>
      <c r="E1940">
        <f>_xlfn.LET(_xlpm.dir,Table1[[#This Row],[Direction]],
IF(_xlpm.dir="R",
    IF(F1939+Table1[[#This Row],[Steps]]&gt;99,(F1939+Table1[[#This Row],[Steps]])-100,F1939+Table1[[#This Row],[Steps]]),
))</f>
        <v>0</v>
      </c>
      <c r="F1940">
        <f>IF(Table1[[#This Row],[New Pos L]]&lt;&gt;0,Table1[[#This Row],[New Pos L]],Table1[[#This Row],[New Pos R]])</f>
        <v>35</v>
      </c>
    </row>
    <row r="1941" spans="1:6" ht="16" x14ac:dyDescent="0.2">
      <c r="A1941" s="1" t="s">
        <v>108</v>
      </c>
      <c r="B1941" t="str">
        <f>LEFT(Table1[[#This Row],[Input]],1)</f>
        <v>R</v>
      </c>
      <c r="C1941">
        <f>_xlfn.LET(_xlpm.steps,SUBSTITUTE(Table1[[#This Row],[Input]],Table1[[#This Row],[Direction]],""),VALUE(IF(LEN(_xlpm.steps)&gt;2,RIGHT(_xlpm.steps,2),_xlpm.steps)))</f>
        <v>66</v>
      </c>
      <c r="D1941">
        <f>_xlfn.LET(_xlpm.dir,Table1[[#This Row],[Direction]],
IF(_xlpm.dir="L",
    IF(F1940-Table1[[#This Row],[Steps]]&lt;0,100+(F1940-Table1[[#This Row],[Steps]]),F1940-Table1[[#This Row],[Steps]]),
))</f>
        <v>0</v>
      </c>
      <c r="E1941">
        <f>_xlfn.LET(_xlpm.dir,Table1[[#This Row],[Direction]],
IF(_xlpm.dir="R",
    IF(F1940+Table1[[#This Row],[Steps]]&gt;99,(F1940+Table1[[#This Row],[Steps]])-100,F1940+Table1[[#This Row],[Steps]]),
))</f>
        <v>1</v>
      </c>
      <c r="F1941">
        <f>IF(Table1[[#This Row],[New Pos L]]&lt;&gt;0,Table1[[#This Row],[New Pos L]],Table1[[#This Row],[New Pos R]])</f>
        <v>1</v>
      </c>
    </row>
    <row r="1942" spans="1:6" ht="16" x14ac:dyDescent="0.2">
      <c r="A1942" s="1" t="s">
        <v>357</v>
      </c>
      <c r="B1942" t="str">
        <f>LEFT(Table1[[#This Row],[Input]],1)</f>
        <v>R</v>
      </c>
      <c r="C1942">
        <f>_xlfn.LET(_xlpm.steps,SUBSTITUTE(Table1[[#This Row],[Input]],Table1[[#This Row],[Direction]],""),VALUE(IF(LEN(_xlpm.steps)&gt;2,RIGHT(_xlpm.steps,2),_xlpm.steps)))</f>
        <v>72</v>
      </c>
      <c r="D1942">
        <f>_xlfn.LET(_xlpm.dir,Table1[[#This Row],[Direction]],
IF(_xlpm.dir="L",
    IF(F1941-Table1[[#This Row],[Steps]]&lt;0,100+(F1941-Table1[[#This Row],[Steps]]),F1941-Table1[[#This Row],[Steps]]),
))</f>
        <v>0</v>
      </c>
      <c r="E1942">
        <f>_xlfn.LET(_xlpm.dir,Table1[[#This Row],[Direction]],
IF(_xlpm.dir="R",
    IF(F1941+Table1[[#This Row],[Steps]]&gt;99,(F1941+Table1[[#This Row],[Steps]])-100,F1941+Table1[[#This Row],[Steps]]),
))</f>
        <v>73</v>
      </c>
      <c r="F1942">
        <f>IF(Table1[[#This Row],[New Pos L]]&lt;&gt;0,Table1[[#This Row],[New Pos L]],Table1[[#This Row],[New Pos R]])</f>
        <v>73</v>
      </c>
    </row>
    <row r="1943" spans="1:6" ht="16" x14ac:dyDescent="0.2">
      <c r="A1943" s="1" t="s">
        <v>534</v>
      </c>
      <c r="B1943" t="str">
        <f>LEFT(Table1[[#This Row],[Input]],1)</f>
        <v>R</v>
      </c>
      <c r="C1943">
        <f>_xlfn.LET(_xlpm.steps,SUBSTITUTE(Table1[[#This Row],[Input]],Table1[[#This Row],[Direction]],""),VALUE(IF(LEN(_xlpm.steps)&gt;2,RIGHT(_xlpm.steps,2),_xlpm.steps)))</f>
        <v>23</v>
      </c>
      <c r="D1943">
        <f>_xlfn.LET(_xlpm.dir,Table1[[#This Row],[Direction]],
IF(_xlpm.dir="L",
    IF(F1942-Table1[[#This Row],[Steps]]&lt;0,100+(F1942-Table1[[#This Row],[Steps]]),F1942-Table1[[#This Row],[Steps]]),
))</f>
        <v>0</v>
      </c>
      <c r="E1943">
        <f>_xlfn.LET(_xlpm.dir,Table1[[#This Row],[Direction]],
IF(_xlpm.dir="R",
    IF(F1942+Table1[[#This Row],[Steps]]&gt;99,(F1942+Table1[[#This Row],[Steps]])-100,F1942+Table1[[#This Row],[Steps]]),
))</f>
        <v>96</v>
      </c>
      <c r="F1943">
        <f>IF(Table1[[#This Row],[New Pos L]]&lt;&gt;0,Table1[[#This Row],[New Pos L]],Table1[[#This Row],[New Pos R]])</f>
        <v>96</v>
      </c>
    </row>
    <row r="1944" spans="1:6" ht="16" x14ac:dyDescent="0.2">
      <c r="A1944" s="1" t="s">
        <v>95</v>
      </c>
      <c r="B1944" t="str">
        <f>LEFT(Table1[[#This Row],[Input]],1)</f>
        <v>L</v>
      </c>
      <c r="C1944">
        <f>_xlfn.LET(_xlpm.steps,SUBSTITUTE(Table1[[#This Row],[Input]],Table1[[#This Row],[Direction]],""),VALUE(IF(LEN(_xlpm.steps)&gt;2,RIGHT(_xlpm.steps,2),_xlpm.steps)))</f>
        <v>78</v>
      </c>
      <c r="D1944">
        <f>_xlfn.LET(_xlpm.dir,Table1[[#This Row],[Direction]],
IF(_xlpm.dir="L",
    IF(F1943-Table1[[#This Row],[Steps]]&lt;0,100+(F1943-Table1[[#This Row],[Steps]]),F1943-Table1[[#This Row],[Steps]]),
))</f>
        <v>18</v>
      </c>
      <c r="E1944">
        <f>_xlfn.LET(_xlpm.dir,Table1[[#This Row],[Direction]],
IF(_xlpm.dir="R",
    IF(F1943+Table1[[#This Row],[Steps]]&gt;99,(F1943+Table1[[#This Row],[Steps]])-100,F1943+Table1[[#This Row],[Steps]]),
))</f>
        <v>0</v>
      </c>
      <c r="F1944">
        <f>IF(Table1[[#This Row],[New Pos L]]&lt;&gt;0,Table1[[#This Row],[New Pos L]],Table1[[#This Row],[New Pos R]])</f>
        <v>18</v>
      </c>
    </row>
    <row r="1945" spans="1:6" ht="16" x14ac:dyDescent="0.2">
      <c r="A1945" s="1" t="s">
        <v>18</v>
      </c>
      <c r="B1945" t="str">
        <f>LEFT(Table1[[#This Row],[Input]],1)</f>
        <v>L</v>
      </c>
      <c r="C1945">
        <f>_xlfn.LET(_xlpm.steps,SUBSTITUTE(Table1[[#This Row],[Input]],Table1[[#This Row],[Direction]],""),VALUE(IF(LEN(_xlpm.steps)&gt;2,RIGHT(_xlpm.steps,2),_xlpm.steps)))</f>
        <v>46</v>
      </c>
      <c r="D1945">
        <f>_xlfn.LET(_xlpm.dir,Table1[[#This Row],[Direction]],
IF(_xlpm.dir="L",
    IF(F1944-Table1[[#This Row],[Steps]]&lt;0,100+(F1944-Table1[[#This Row],[Steps]]),F1944-Table1[[#This Row],[Steps]]),
))</f>
        <v>72</v>
      </c>
      <c r="E1945">
        <f>_xlfn.LET(_xlpm.dir,Table1[[#This Row],[Direction]],
IF(_xlpm.dir="R",
    IF(F1944+Table1[[#This Row],[Steps]]&gt;99,(F1944+Table1[[#This Row],[Steps]])-100,F1944+Table1[[#This Row],[Steps]]),
))</f>
        <v>0</v>
      </c>
      <c r="F1945">
        <f>IF(Table1[[#This Row],[New Pos L]]&lt;&gt;0,Table1[[#This Row],[New Pos L]],Table1[[#This Row],[New Pos R]])</f>
        <v>72</v>
      </c>
    </row>
    <row r="1946" spans="1:6" ht="16" x14ac:dyDescent="0.2">
      <c r="A1946" s="1" t="s">
        <v>26</v>
      </c>
      <c r="B1946" t="str">
        <f>LEFT(Table1[[#This Row],[Input]],1)</f>
        <v>R</v>
      </c>
      <c r="C1946">
        <f>_xlfn.LET(_xlpm.steps,SUBSTITUTE(Table1[[#This Row],[Input]],Table1[[#This Row],[Direction]],""),VALUE(IF(LEN(_xlpm.steps)&gt;2,RIGHT(_xlpm.steps,2),_xlpm.steps)))</f>
        <v>6</v>
      </c>
      <c r="D1946">
        <f>_xlfn.LET(_xlpm.dir,Table1[[#This Row],[Direction]],
IF(_xlpm.dir="L",
    IF(F1945-Table1[[#This Row],[Steps]]&lt;0,100+(F1945-Table1[[#This Row],[Steps]]),F1945-Table1[[#This Row],[Steps]]),
))</f>
        <v>0</v>
      </c>
      <c r="E1946">
        <f>_xlfn.LET(_xlpm.dir,Table1[[#This Row],[Direction]],
IF(_xlpm.dir="R",
    IF(F1945+Table1[[#This Row],[Steps]]&gt;99,(F1945+Table1[[#This Row],[Steps]])-100,F1945+Table1[[#This Row],[Steps]]),
))</f>
        <v>78</v>
      </c>
      <c r="F1946">
        <f>IF(Table1[[#This Row],[New Pos L]]&lt;&gt;0,Table1[[#This Row],[New Pos L]],Table1[[#This Row],[New Pos R]])</f>
        <v>78</v>
      </c>
    </row>
    <row r="1947" spans="1:6" ht="16" x14ac:dyDescent="0.2">
      <c r="A1947" s="1" t="s">
        <v>182</v>
      </c>
      <c r="B1947" t="str">
        <f>LEFT(Table1[[#This Row],[Input]],1)</f>
        <v>L</v>
      </c>
      <c r="C1947">
        <f>_xlfn.LET(_xlpm.steps,SUBSTITUTE(Table1[[#This Row],[Input]],Table1[[#This Row],[Direction]],""),VALUE(IF(LEN(_xlpm.steps)&gt;2,RIGHT(_xlpm.steps,2),_xlpm.steps)))</f>
        <v>3</v>
      </c>
      <c r="D1947">
        <f>_xlfn.LET(_xlpm.dir,Table1[[#This Row],[Direction]],
IF(_xlpm.dir="L",
    IF(F1946-Table1[[#This Row],[Steps]]&lt;0,100+(F1946-Table1[[#This Row],[Steps]]),F1946-Table1[[#This Row],[Steps]]),
))</f>
        <v>75</v>
      </c>
      <c r="E1947">
        <f>_xlfn.LET(_xlpm.dir,Table1[[#This Row],[Direction]],
IF(_xlpm.dir="R",
    IF(F1946+Table1[[#This Row],[Steps]]&gt;99,(F1946+Table1[[#This Row],[Steps]])-100,F1946+Table1[[#This Row],[Steps]]),
))</f>
        <v>0</v>
      </c>
      <c r="F1947">
        <f>IF(Table1[[#This Row],[New Pos L]]&lt;&gt;0,Table1[[#This Row],[New Pos L]],Table1[[#This Row],[New Pos R]])</f>
        <v>75</v>
      </c>
    </row>
    <row r="1948" spans="1:6" ht="16" x14ac:dyDescent="0.2">
      <c r="A1948" s="1" t="s">
        <v>50</v>
      </c>
      <c r="B1948" t="str">
        <f>LEFT(Table1[[#This Row],[Input]],1)</f>
        <v>R</v>
      </c>
      <c r="C1948">
        <f>_xlfn.LET(_xlpm.steps,SUBSTITUTE(Table1[[#This Row],[Input]],Table1[[#This Row],[Direction]],""),VALUE(IF(LEN(_xlpm.steps)&gt;2,RIGHT(_xlpm.steps,2),_xlpm.steps)))</f>
        <v>78</v>
      </c>
      <c r="D1948">
        <f>_xlfn.LET(_xlpm.dir,Table1[[#This Row],[Direction]],
IF(_xlpm.dir="L",
    IF(F1947-Table1[[#This Row],[Steps]]&lt;0,100+(F1947-Table1[[#This Row],[Steps]]),F1947-Table1[[#This Row],[Steps]]),
))</f>
        <v>0</v>
      </c>
      <c r="E1948">
        <f>_xlfn.LET(_xlpm.dir,Table1[[#This Row],[Direction]],
IF(_xlpm.dir="R",
    IF(F1947+Table1[[#This Row],[Steps]]&gt;99,(F1947+Table1[[#This Row],[Steps]])-100,F1947+Table1[[#This Row],[Steps]]),
))</f>
        <v>53</v>
      </c>
      <c r="F1948">
        <f>IF(Table1[[#This Row],[New Pos L]]&lt;&gt;0,Table1[[#This Row],[New Pos L]],Table1[[#This Row],[New Pos R]])</f>
        <v>53</v>
      </c>
    </row>
    <row r="1949" spans="1:6" ht="16" x14ac:dyDescent="0.2">
      <c r="A1949" s="1" t="s">
        <v>51</v>
      </c>
      <c r="B1949" t="str">
        <f>LEFT(Table1[[#This Row],[Input]],1)</f>
        <v>L</v>
      </c>
      <c r="C1949">
        <f>_xlfn.LET(_xlpm.steps,SUBSTITUTE(Table1[[#This Row],[Input]],Table1[[#This Row],[Direction]],""),VALUE(IF(LEN(_xlpm.steps)&gt;2,RIGHT(_xlpm.steps,2),_xlpm.steps)))</f>
        <v>25</v>
      </c>
      <c r="D1949">
        <f>_xlfn.LET(_xlpm.dir,Table1[[#This Row],[Direction]],
IF(_xlpm.dir="L",
    IF(F1948-Table1[[#This Row],[Steps]]&lt;0,100+(F1948-Table1[[#This Row],[Steps]]),F1948-Table1[[#This Row],[Steps]]),
))</f>
        <v>28</v>
      </c>
      <c r="E1949">
        <f>_xlfn.LET(_xlpm.dir,Table1[[#This Row],[Direction]],
IF(_xlpm.dir="R",
    IF(F1948+Table1[[#This Row],[Steps]]&gt;99,(F1948+Table1[[#This Row],[Steps]])-100,F1948+Table1[[#This Row],[Steps]]),
))</f>
        <v>0</v>
      </c>
      <c r="F1949">
        <f>IF(Table1[[#This Row],[New Pos L]]&lt;&gt;0,Table1[[#This Row],[New Pos L]],Table1[[#This Row],[New Pos R]])</f>
        <v>28</v>
      </c>
    </row>
    <row r="1950" spans="1:6" ht="16" x14ac:dyDescent="0.2">
      <c r="A1950" s="1" t="s">
        <v>119</v>
      </c>
      <c r="B1950" t="str">
        <f>LEFT(Table1[[#This Row],[Input]],1)</f>
        <v>L</v>
      </c>
      <c r="C1950">
        <f>_xlfn.LET(_xlpm.steps,SUBSTITUTE(Table1[[#This Row],[Input]],Table1[[#This Row],[Direction]],""),VALUE(IF(LEN(_xlpm.steps)&gt;2,RIGHT(_xlpm.steps,2),_xlpm.steps)))</f>
        <v>77</v>
      </c>
      <c r="D1950">
        <f>_xlfn.LET(_xlpm.dir,Table1[[#This Row],[Direction]],
IF(_xlpm.dir="L",
    IF(F1949-Table1[[#This Row],[Steps]]&lt;0,100+(F1949-Table1[[#This Row],[Steps]]),F1949-Table1[[#This Row],[Steps]]),
))</f>
        <v>51</v>
      </c>
      <c r="E1950">
        <f>_xlfn.LET(_xlpm.dir,Table1[[#This Row],[Direction]],
IF(_xlpm.dir="R",
    IF(F1949+Table1[[#This Row],[Steps]]&gt;99,(F1949+Table1[[#This Row],[Steps]])-100,F1949+Table1[[#This Row],[Steps]]),
))</f>
        <v>0</v>
      </c>
      <c r="F1950">
        <f>IF(Table1[[#This Row],[New Pos L]]&lt;&gt;0,Table1[[#This Row],[New Pos L]],Table1[[#This Row],[New Pos R]])</f>
        <v>51</v>
      </c>
    </row>
    <row r="1951" spans="1:6" ht="16" x14ac:dyDescent="0.2">
      <c r="A1951" s="1" t="s">
        <v>126</v>
      </c>
      <c r="B1951" t="str">
        <f>LEFT(Table1[[#This Row],[Input]],1)</f>
        <v>R</v>
      </c>
      <c r="C1951">
        <f>_xlfn.LET(_xlpm.steps,SUBSTITUTE(Table1[[#This Row],[Input]],Table1[[#This Row],[Direction]],""),VALUE(IF(LEN(_xlpm.steps)&gt;2,RIGHT(_xlpm.steps,2),_xlpm.steps)))</f>
        <v>65</v>
      </c>
      <c r="D1951">
        <f>_xlfn.LET(_xlpm.dir,Table1[[#This Row],[Direction]],
IF(_xlpm.dir="L",
    IF(F1950-Table1[[#This Row],[Steps]]&lt;0,100+(F1950-Table1[[#This Row],[Steps]]),F1950-Table1[[#This Row],[Steps]]),
))</f>
        <v>0</v>
      </c>
      <c r="E1951">
        <f>_xlfn.LET(_xlpm.dir,Table1[[#This Row],[Direction]],
IF(_xlpm.dir="R",
    IF(F1950+Table1[[#This Row],[Steps]]&gt;99,(F1950+Table1[[#This Row],[Steps]])-100,F1950+Table1[[#This Row],[Steps]]),
))</f>
        <v>16</v>
      </c>
      <c r="F1951">
        <f>IF(Table1[[#This Row],[New Pos L]]&lt;&gt;0,Table1[[#This Row],[New Pos L]],Table1[[#This Row],[New Pos R]])</f>
        <v>16</v>
      </c>
    </row>
    <row r="1952" spans="1:6" ht="16" x14ac:dyDescent="0.2">
      <c r="A1952" s="1" t="s">
        <v>61</v>
      </c>
      <c r="B1952" t="str">
        <f>LEFT(Table1[[#This Row],[Input]],1)</f>
        <v>L</v>
      </c>
      <c r="C1952">
        <f>_xlfn.LET(_xlpm.steps,SUBSTITUTE(Table1[[#This Row],[Input]],Table1[[#This Row],[Direction]],""),VALUE(IF(LEN(_xlpm.steps)&gt;2,RIGHT(_xlpm.steps,2),_xlpm.steps)))</f>
        <v>16</v>
      </c>
      <c r="D1952">
        <f>_xlfn.LET(_xlpm.dir,Table1[[#This Row],[Direction]],
IF(_xlpm.dir="L",
    IF(F1951-Table1[[#This Row],[Steps]]&lt;0,100+(F1951-Table1[[#This Row],[Steps]]),F1951-Table1[[#This Row],[Steps]]),
))</f>
        <v>0</v>
      </c>
      <c r="E1952">
        <f>_xlfn.LET(_xlpm.dir,Table1[[#This Row],[Direction]],
IF(_xlpm.dir="R",
    IF(F1951+Table1[[#This Row],[Steps]]&gt;99,(F1951+Table1[[#This Row],[Steps]])-100,F1951+Table1[[#This Row],[Steps]]),
))</f>
        <v>0</v>
      </c>
      <c r="F1952">
        <f>IF(Table1[[#This Row],[New Pos L]]&lt;&gt;0,Table1[[#This Row],[New Pos L]],Table1[[#This Row],[New Pos R]])</f>
        <v>0</v>
      </c>
    </row>
    <row r="1953" spans="1:6" ht="16" x14ac:dyDescent="0.2">
      <c r="A1953" s="1" t="s">
        <v>36</v>
      </c>
      <c r="B1953" t="str">
        <f>LEFT(Table1[[#This Row],[Input]],1)</f>
        <v>R</v>
      </c>
      <c r="C1953">
        <f>_xlfn.LET(_xlpm.steps,SUBSTITUTE(Table1[[#This Row],[Input]],Table1[[#This Row],[Direction]],""),VALUE(IF(LEN(_xlpm.steps)&gt;2,RIGHT(_xlpm.steps,2),_xlpm.steps)))</f>
        <v>50</v>
      </c>
      <c r="D1953">
        <f>_xlfn.LET(_xlpm.dir,Table1[[#This Row],[Direction]],
IF(_xlpm.dir="L",
    IF(F1952-Table1[[#This Row],[Steps]]&lt;0,100+(F1952-Table1[[#This Row],[Steps]]),F1952-Table1[[#This Row],[Steps]]),
))</f>
        <v>0</v>
      </c>
      <c r="E1953">
        <f>_xlfn.LET(_xlpm.dir,Table1[[#This Row],[Direction]],
IF(_xlpm.dir="R",
    IF(F1952+Table1[[#This Row],[Steps]]&gt;99,(F1952+Table1[[#This Row],[Steps]])-100,F1952+Table1[[#This Row],[Steps]]),
))</f>
        <v>50</v>
      </c>
      <c r="F1953">
        <f>IF(Table1[[#This Row],[New Pos L]]&lt;&gt;0,Table1[[#This Row],[New Pos L]],Table1[[#This Row],[New Pos R]])</f>
        <v>50</v>
      </c>
    </row>
    <row r="1954" spans="1:6" ht="16" x14ac:dyDescent="0.2">
      <c r="A1954" s="1" t="s">
        <v>535</v>
      </c>
      <c r="B1954" t="str">
        <f>LEFT(Table1[[#This Row],[Input]],1)</f>
        <v>L</v>
      </c>
      <c r="C1954">
        <f>_xlfn.LET(_xlpm.steps,SUBSTITUTE(Table1[[#This Row],[Input]],Table1[[#This Row],[Direction]],""),VALUE(IF(LEN(_xlpm.steps)&gt;2,RIGHT(_xlpm.steps,2),_xlpm.steps)))</f>
        <v>50</v>
      </c>
      <c r="D1954">
        <f>_xlfn.LET(_xlpm.dir,Table1[[#This Row],[Direction]],
IF(_xlpm.dir="L",
    IF(F1953-Table1[[#This Row],[Steps]]&lt;0,100+(F1953-Table1[[#This Row],[Steps]]),F1953-Table1[[#This Row],[Steps]]),
))</f>
        <v>0</v>
      </c>
      <c r="E1954">
        <f>_xlfn.LET(_xlpm.dir,Table1[[#This Row],[Direction]],
IF(_xlpm.dir="R",
    IF(F1953+Table1[[#This Row],[Steps]]&gt;99,(F1953+Table1[[#This Row],[Steps]])-100,F1953+Table1[[#This Row],[Steps]]),
))</f>
        <v>0</v>
      </c>
      <c r="F1954">
        <f>IF(Table1[[#This Row],[New Pos L]]&lt;&gt;0,Table1[[#This Row],[New Pos L]],Table1[[#This Row],[New Pos R]])</f>
        <v>0</v>
      </c>
    </row>
    <row r="1955" spans="1:6" ht="16" x14ac:dyDescent="0.2">
      <c r="A1955" s="1" t="s">
        <v>382</v>
      </c>
      <c r="B1955" t="str">
        <f>LEFT(Table1[[#This Row],[Input]],1)</f>
        <v>L</v>
      </c>
      <c r="C1955">
        <f>_xlfn.LET(_xlpm.steps,SUBSTITUTE(Table1[[#This Row],[Input]],Table1[[#This Row],[Direction]],""),VALUE(IF(LEN(_xlpm.steps)&gt;2,RIGHT(_xlpm.steps,2),_xlpm.steps)))</f>
        <v>76</v>
      </c>
      <c r="D1955">
        <f>_xlfn.LET(_xlpm.dir,Table1[[#This Row],[Direction]],
IF(_xlpm.dir="L",
    IF(F1954-Table1[[#This Row],[Steps]]&lt;0,100+(F1954-Table1[[#This Row],[Steps]]),F1954-Table1[[#This Row],[Steps]]),
))</f>
        <v>24</v>
      </c>
      <c r="E1955">
        <f>_xlfn.LET(_xlpm.dir,Table1[[#This Row],[Direction]],
IF(_xlpm.dir="R",
    IF(F1954+Table1[[#This Row],[Steps]]&gt;99,(F1954+Table1[[#This Row],[Steps]])-100,F1954+Table1[[#This Row],[Steps]]),
))</f>
        <v>0</v>
      </c>
      <c r="F1955">
        <f>IF(Table1[[#This Row],[New Pos L]]&lt;&gt;0,Table1[[#This Row],[New Pos L]],Table1[[#This Row],[New Pos R]])</f>
        <v>24</v>
      </c>
    </row>
    <row r="1956" spans="1:6" ht="16" x14ac:dyDescent="0.2">
      <c r="A1956" s="1" t="s">
        <v>134</v>
      </c>
      <c r="B1956" t="str">
        <f>LEFT(Table1[[#This Row],[Input]],1)</f>
        <v>L</v>
      </c>
      <c r="C1956">
        <f>_xlfn.LET(_xlpm.steps,SUBSTITUTE(Table1[[#This Row],[Input]],Table1[[#This Row],[Direction]],""),VALUE(IF(LEN(_xlpm.steps)&gt;2,RIGHT(_xlpm.steps,2),_xlpm.steps)))</f>
        <v>95</v>
      </c>
      <c r="D1956">
        <f>_xlfn.LET(_xlpm.dir,Table1[[#This Row],[Direction]],
IF(_xlpm.dir="L",
    IF(F1955-Table1[[#This Row],[Steps]]&lt;0,100+(F1955-Table1[[#This Row],[Steps]]),F1955-Table1[[#This Row],[Steps]]),
))</f>
        <v>29</v>
      </c>
      <c r="E1956">
        <f>_xlfn.LET(_xlpm.dir,Table1[[#This Row],[Direction]],
IF(_xlpm.dir="R",
    IF(F1955+Table1[[#This Row],[Steps]]&gt;99,(F1955+Table1[[#This Row],[Steps]])-100,F1955+Table1[[#This Row],[Steps]]),
))</f>
        <v>0</v>
      </c>
      <c r="F1956">
        <f>IF(Table1[[#This Row],[New Pos L]]&lt;&gt;0,Table1[[#This Row],[New Pos L]],Table1[[#This Row],[New Pos R]])</f>
        <v>29</v>
      </c>
    </row>
    <row r="1957" spans="1:6" ht="16" x14ac:dyDescent="0.2">
      <c r="A1957" s="1" t="s">
        <v>83</v>
      </c>
      <c r="B1957" t="str">
        <f>LEFT(Table1[[#This Row],[Input]],1)</f>
        <v>R</v>
      </c>
      <c r="C1957">
        <f>_xlfn.LET(_xlpm.steps,SUBSTITUTE(Table1[[#This Row],[Input]],Table1[[#This Row],[Direction]],""),VALUE(IF(LEN(_xlpm.steps)&gt;2,RIGHT(_xlpm.steps,2),_xlpm.steps)))</f>
        <v>79</v>
      </c>
      <c r="D1957">
        <f>_xlfn.LET(_xlpm.dir,Table1[[#This Row],[Direction]],
IF(_xlpm.dir="L",
    IF(F1956-Table1[[#This Row],[Steps]]&lt;0,100+(F1956-Table1[[#This Row],[Steps]]),F1956-Table1[[#This Row],[Steps]]),
))</f>
        <v>0</v>
      </c>
      <c r="E1957">
        <f>_xlfn.LET(_xlpm.dir,Table1[[#This Row],[Direction]],
IF(_xlpm.dir="R",
    IF(F1956+Table1[[#This Row],[Steps]]&gt;99,(F1956+Table1[[#This Row],[Steps]])-100,F1956+Table1[[#This Row],[Steps]]),
))</f>
        <v>8</v>
      </c>
      <c r="F1957">
        <f>IF(Table1[[#This Row],[New Pos L]]&lt;&gt;0,Table1[[#This Row],[New Pos L]],Table1[[#This Row],[New Pos R]])</f>
        <v>8</v>
      </c>
    </row>
    <row r="1958" spans="1:6" ht="16" x14ac:dyDescent="0.2">
      <c r="A1958" s="1" t="s">
        <v>15</v>
      </c>
      <c r="B1958" t="str">
        <f>LEFT(Table1[[#This Row],[Input]],1)</f>
        <v>R</v>
      </c>
      <c r="C1958">
        <f>_xlfn.LET(_xlpm.steps,SUBSTITUTE(Table1[[#This Row],[Input]],Table1[[#This Row],[Direction]],""),VALUE(IF(LEN(_xlpm.steps)&gt;2,RIGHT(_xlpm.steps,2),_xlpm.steps)))</f>
        <v>36</v>
      </c>
      <c r="D1958">
        <f>_xlfn.LET(_xlpm.dir,Table1[[#This Row],[Direction]],
IF(_xlpm.dir="L",
    IF(F1957-Table1[[#This Row],[Steps]]&lt;0,100+(F1957-Table1[[#This Row],[Steps]]),F1957-Table1[[#This Row],[Steps]]),
))</f>
        <v>0</v>
      </c>
      <c r="E1958">
        <f>_xlfn.LET(_xlpm.dir,Table1[[#This Row],[Direction]],
IF(_xlpm.dir="R",
    IF(F1957+Table1[[#This Row],[Steps]]&gt;99,(F1957+Table1[[#This Row],[Steps]])-100,F1957+Table1[[#This Row],[Steps]]),
))</f>
        <v>44</v>
      </c>
      <c r="F1958">
        <f>IF(Table1[[#This Row],[New Pos L]]&lt;&gt;0,Table1[[#This Row],[New Pos L]],Table1[[#This Row],[New Pos R]])</f>
        <v>44</v>
      </c>
    </row>
    <row r="1959" spans="1:6" ht="16" x14ac:dyDescent="0.2">
      <c r="A1959" s="1" t="s">
        <v>0</v>
      </c>
      <c r="B1959" t="str">
        <f>LEFT(Table1[[#This Row],[Input]],1)</f>
        <v>L</v>
      </c>
      <c r="C1959">
        <f>_xlfn.LET(_xlpm.steps,SUBSTITUTE(Table1[[#This Row],[Input]],Table1[[#This Row],[Direction]],""),VALUE(IF(LEN(_xlpm.steps)&gt;2,RIGHT(_xlpm.steps,2),_xlpm.steps)))</f>
        <v>44</v>
      </c>
      <c r="D1959">
        <f>_xlfn.LET(_xlpm.dir,Table1[[#This Row],[Direction]],
IF(_xlpm.dir="L",
    IF(F1958-Table1[[#This Row],[Steps]]&lt;0,100+(F1958-Table1[[#This Row],[Steps]]),F1958-Table1[[#This Row],[Steps]]),
))</f>
        <v>0</v>
      </c>
      <c r="E1959">
        <f>_xlfn.LET(_xlpm.dir,Table1[[#This Row],[Direction]],
IF(_xlpm.dir="R",
    IF(F1958+Table1[[#This Row],[Steps]]&gt;99,(F1958+Table1[[#This Row],[Steps]])-100,F1958+Table1[[#This Row],[Steps]]),
))</f>
        <v>0</v>
      </c>
      <c r="F1959">
        <f>IF(Table1[[#This Row],[New Pos L]]&lt;&gt;0,Table1[[#This Row],[New Pos L]],Table1[[#This Row],[New Pos R]])</f>
        <v>0</v>
      </c>
    </row>
    <row r="1960" spans="1:6" ht="16" x14ac:dyDescent="0.2">
      <c r="A1960" s="1" t="s">
        <v>59</v>
      </c>
      <c r="B1960" t="str">
        <f>LEFT(Table1[[#This Row],[Input]],1)</f>
        <v>L</v>
      </c>
      <c r="C1960">
        <f>_xlfn.LET(_xlpm.steps,SUBSTITUTE(Table1[[#This Row],[Input]],Table1[[#This Row],[Direction]],""),VALUE(IF(LEN(_xlpm.steps)&gt;2,RIGHT(_xlpm.steps,2),_xlpm.steps)))</f>
        <v>6</v>
      </c>
      <c r="D1960">
        <f>_xlfn.LET(_xlpm.dir,Table1[[#This Row],[Direction]],
IF(_xlpm.dir="L",
    IF(F1959-Table1[[#This Row],[Steps]]&lt;0,100+(F1959-Table1[[#This Row],[Steps]]),F1959-Table1[[#This Row],[Steps]]),
))</f>
        <v>94</v>
      </c>
      <c r="E1960">
        <f>_xlfn.LET(_xlpm.dir,Table1[[#This Row],[Direction]],
IF(_xlpm.dir="R",
    IF(F1959+Table1[[#This Row],[Steps]]&gt;99,(F1959+Table1[[#This Row],[Steps]])-100,F1959+Table1[[#This Row],[Steps]]),
))</f>
        <v>0</v>
      </c>
      <c r="F1960">
        <f>IF(Table1[[#This Row],[New Pos L]]&lt;&gt;0,Table1[[#This Row],[New Pos L]],Table1[[#This Row],[New Pos R]])</f>
        <v>94</v>
      </c>
    </row>
    <row r="1961" spans="1:6" ht="16" x14ac:dyDescent="0.2">
      <c r="A1961" s="1" t="s">
        <v>255</v>
      </c>
      <c r="B1961" t="str">
        <f>LEFT(Table1[[#This Row],[Input]],1)</f>
        <v>R</v>
      </c>
      <c r="C1961">
        <f>_xlfn.LET(_xlpm.steps,SUBSTITUTE(Table1[[#This Row],[Input]],Table1[[#This Row],[Direction]],""),VALUE(IF(LEN(_xlpm.steps)&gt;2,RIGHT(_xlpm.steps,2),_xlpm.steps)))</f>
        <v>16</v>
      </c>
      <c r="D1961">
        <f>_xlfn.LET(_xlpm.dir,Table1[[#This Row],[Direction]],
IF(_xlpm.dir="L",
    IF(F1960-Table1[[#This Row],[Steps]]&lt;0,100+(F1960-Table1[[#This Row],[Steps]]),F1960-Table1[[#This Row],[Steps]]),
))</f>
        <v>0</v>
      </c>
      <c r="E1961">
        <f>_xlfn.LET(_xlpm.dir,Table1[[#This Row],[Direction]],
IF(_xlpm.dir="R",
    IF(F1960+Table1[[#This Row],[Steps]]&gt;99,(F1960+Table1[[#This Row],[Steps]])-100,F1960+Table1[[#This Row],[Steps]]),
))</f>
        <v>10</v>
      </c>
      <c r="F1961">
        <f>IF(Table1[[#This Row],[New Pos L]]&lt;&gt;0,Table1[[#This Row],[New Pos L]],Table1[[#This Row],[New Pos R]])</f>
        <v>10</v>
      </c>
    </row>
    <row r="1962" spans="1:6" ht="16" x14ac:dyDescent="0.2">
      <c r="A1962" s="1" t="s">
        <v>43</v>
      </c>
      <c r="B1962" t="str">
        <f>LEFT(Table1[[#This Row],[Input]],1)</f>
        <v>R</v>
      </c>
      <c r="C1962">
        <f>_xlfn.LET(_xlpm.steps,SUBSTITUTE(Table1[[#This Row],[Input]],Table1[[#This Row],[Direction]],""),VALUE(IF(LEN(_xlpm.steps)&gt;2,RIGHT(_xlpm.steps,2),_xlpm.steps)))</f>
        <v>90</v>
      </c>
      <c r="D1962">
        <f>_xlfn.LET(_xlpm.dir,Table1[[#This Row],[Direction]],
IF(_xlpm.dir="L",
    IF(F1961-Table1[[#This Row],[Steps]]&lt;0,100+(F1961-Table1[[#This Row],[Steps]]),F1961-Table1[[#This Row],[Steps]]),
))</f>
        <v>0</v>
      </c>
      <c r="E1962">
        <f>_xlfn.LET(_xlpm.dir,Table1[[#This Row],[Direction]],
IF(_xlpm.dir="R",
    IF(F1961+Table1[[#This Row],[Steps]]&gt;99,(F1961+Table1[[#This Row],[Steps]])-100,F1961+Table1[[#This Row],[Steps]]),
))</f>
        <v>0</v>
      </c>
      <c r="F1962">
        <f>IF(Table1[[#This Row],[New Pos L]]&lt;&gt;0,Table1[[#This Row],[New Pos L]],Table1[[#This Row],[New Pos R]])</f>
        <v>0</v>
      </c>
    </row>
    <row r="1963" spans="1:6" ht="16" x14ac:dyDescent="0.2">
      <c r="A1963" s="1" t="s">
        <v>138</v>
      </c>
      <c r="B1963" t="str">
        <f>LEFT(Table1[[#This Row],[Input]],1)</f>
        <v>L</v>
      </c>
      <c r="C1963">
        <f>_xlfn.LET(_xlpm.steps,SUBSTITUTE(Table1[[#This Row],[Input]],Table1[[#This Row],[Direction]],""),VALUE(IF(LEN(_xlpm.steps)&gt;2,RIGHT(_xlpm.steps,2),_xlpm.steps)))</f>
        <v>94</v>
      </c>
      <c r="D1963">
        <f>_xlfn.LET(_xlpm.dir,Table1[[#This Row],[Direction]],
IF(_xlpm.dir="L",
    IF(F1962-Table1[[#This Row],[Steps]]&lt;0,100+(F1962-Table1[[#This Row],[Steps]]),F1962-Table1[[#This Row],[Steps]]),
))</f>
        <v>6</v>
      </c>
      <c r="E1963">
        <f>_xlfn.LET(_xlpm.dir,Table1[[#This Row],[Direction]],
IF(_xlpm.dir="R",
    IF(F1962+Table1[[#This Row],[Steps]]&gt;99,(F1962+Table1[[#This Row],[Steps]])-100,F1962+Table1[[#This Row],[Steps]]),
))</f>
        <v>0</v>
      </c>
      <c r="F1963">
        <f>IF(Table1[[#This Row],[New Pos L]]&lt;&gt;0,Table1[[#This Row],[New Pos L]],Table1[[#This Row],[New Pos R]])</f>
        <v>6</v>
      </c>
    </row>
    <row r="1964" spans="1:6" ht="16" x14ac:dyDescent="0.2">
      <c r="A1964" s="1" t="s">
        <v>16</v>
      </c>
      <c r="B1964" t="str">
        <f>LEFT(Table1[[#This Row],[Input]],1)</f>
        <v>L</v>
      </c>
      <c r="C1964">
        <f>_xlfn.LET(_xlpm.steps,SUBSTITUTE(Table1[[#This Row],[Input]],Table1[[#This Row],[Direction]],""),VALUE(IF(LEN(_xlpm.steps)&gt;2,RIGHT(_xlpm.steps,2),_xlpm.steps)))</f>
        <v>10</v>
      </c>
      <c r="D1964">
        <f>_xlfn.LET(_xlpm.dir,Table1[[#This Row],[Direction]],
IF(_xlpm.dir="L",
    IF(F1963-Table1[[#This Row],[Steps]]&lt;0,100+(F1963-Table1[[#This Row],[Steps]]),F1963-Table1[[#This Row],[Steps]]),
))</f>
        <v>96</v>
      </c>
      <c r="E1964">
        <f>_xlfn.LET(_xlpm.dir,Table1[[#This Row],[Direction]],
IF(_xlpm.dir="R",
    IF(F1963+Table1[[#This Row],[Steps]]&gt;99,(F1963+Table1[[#This Row],[Steps]])-100,F1963+Table1[[#This Row],[Steps]]),
))</f>
        <v>0</v>
      </c>
      <c r="F1964">
        <f>IF(Table1[[#This Row],[New Pos L]]&lt;&gt;0,Table1[[#This Row],[New Pos L]],Table1[[#This Row],[New Pos R]])</f>
        <v>96</v>
      </c>
    </row>
    <row r="1965" spans="1:6" ht="16" x14ac:dyDescent="0.2">
      <c r="A1965" s="1" t="s">
        <v>72</v>
      </c>
      <c r="B1965" t="str">
        <f>LEFT(Table1[[#This Row],[Input]],1)</f>
        <v>R</v>
      </c>
      <c r="C1965">
        <f>_xlfn.LET(_xlpm.steps,SUBSTITUTE(Table1[[#This Row],[Input]],Table1[[#This Row],[Direction]],""),VALUE(IF(LEN(_xlpm.steps)&gt;2,RIGHT(_xlpm.steps,2),_xlpm.steps)))</f>
        <v>43</v>
      </c>
      <c r="D1965">
        <f>_xlfn.LET(_xlpm.dir,Table1[[#This Row],[Direction]],
IF(_xlpm.dir="L",
    IF(F1964-Table1[[#This Row],[Steps]]&lt;0,100+(F1964-Table1[[#This Row],[Steps]]),F1964-Table1[[#This Row],[Steps]]),
))</f>
        <v>0</v>
      </c>
      <c r="E1965">
        <f>_xlfn.LET(_xlpm.dir,Table1[[#This Row],[Direction]],
IF(_xlpm.dir="R",
    IF(F1964+Table1[[#This Row],[Steps]]&gt;99,(F1964+Table1[[#This Row],[Steps]])-100,F1964+Table1[[#This Row],[Steps]]),
))</f>
        <v>39</v>
      </c>
      <c r="F1965">
        <f>IF(Table1[[#This Row],[New Pos L]]&lt;&gt;0,Table1[[#This Row],[New Pos L]],Table1[[#This Row],[New Pos R]])</f>
        <v>39</v>
      </c>
    </row>
    <row r="1966" spans="1:6" ht="16" x14ac:dyDescent="0.2">
      <c r="A1966" s="1" t="s">
        <v>185</v>
      </c>
      <c r="B1966" t="str">
        <f>LEFT(Table1[[#This Row],[Input]],1)</f>
        <v>R</v>
      </c>
      <c r="C1966">
        <f>_xlfn.LET(_xlpm.steps,SUBSTITUTE(Table1[[#This Row],[Input]],Table1[[#This Row],[Direction]],""),VALUE(IF(LEN(_xlpm.steps)&gt;2,RIGHT(_xlpm.steps,2),_xlpm.steps)))</f>
        <v>61</v>
      </c>
      <c r="D1966">
        <f>_xlfn.LET(_xlpm.dir,Table1[[#This Row],[Direction]],
IF(_xlpm.dir="L",
    IF(F1965-Table1[[#This Row],[Steps]]&lt;0,100+(F1965-Table1[[#This Row],[Steps]]),F1965-Table1[[#This Row],[Steps]]),
))</f>
        <v>0</v>
      </c>
      <c r="E1966">
        <f>_xlfn.LET(_xlpm.dir,Table1[[#This Row],[Direction]],
IF(_xlpm.dir="R",
    IF(F1965+Table1[[#This Row],[Steps]]&gt;99,(F1965+Table1[[#This Row],[Steps]])-100,F1965+Table1[[#This Row],[Steps]]),
))</f>
        <v>0</v>
      </c>
      <c r="F1966">
        <f>IF(Table1[[#This Row],[New Pos L]]&lt;&gt;0,Table1[[#This Row],[New Pos L]],Table1[[#This Row],[New Pos R]])</f>
        <v>0</v>
      </c>
    </row>
    <row r="1967" spans="1:6" ht="16" x14ac:dyDescent="0.2">
      <c r="A1967" s="1" t="s">
        <v>3</v>
      </c>
      <c r="B1967" t="str">
        <f>LEFT(Table1[[#This Row],[Input]],1)</f>
        <v>R</v>
      </c>
      <c r="C1967">
        <f>_xlfn.LET(_xlpm.steps,SUBSTITUTE(Table1[[#This Row],[Input]],Table1[[#This Row],[Direction]],""),VALUE(IF(LEN(_xlpm.steps)&gt;2,RIGHT(_xlpm.steps,2),_xlpm.steps)))</f>
        <v>44</v>
      </c>
      <c r="D1967">
        <f>_xlfn.LET(_xlpm.dir,Table1[[#This Row],[Direction]],
IF(_xlpm.dir="L",
    IF(F1966-Table1[[#This Row],[Steps]]&lt;0,100+(F1966-Table1[[#This Row],[Steps]]),F1966-Table1[[#This Row],[Steps]]),
))</f>
        <v>0</v>
      </c>
      <c r="E1967">
        <f>_xlfn.LET(_xlpm.dir,Table1[[#This Row],[Direction]],
IF(_xlpm.dir="R",
    IF(F1966+Table1[[#This Row],[Steps]]&gt;99,(F1966+Table1[[#This Row],[Steps]])-100,F1966+Table1[[#This Row],[Steps]]),
))</f>
        <v>44</v>
      </c>
      <c r="F1967">
        <f>IF(Table1[[#This Row],[New Pos L]]&lt;&gt;0,Table1[[#This Row],[New Pos L]],Table1[[#This Row],[New Pos R]])</f>
        <v>44</v>
      </c>
    </row>
    <row r="1968" spans="1:6" ht="16" x14ac:dyDescent="0.2">
      <c r="A1968" s="1" t="s">
        <v>33</v>
      </c>
      <c r="B1968" t="str">
        <f>LEFT(Table1[[#This Row],[Input]],1)</f>
        <v>R</v>
      </c>
      <c r="C1968">
        <f>_xlfn.LET(_xlpm.steps,SUBSTITUTE(Table1[[#This Row],[Input]],Table1[[#This Row],[Direction]],""),VALUE(IF(LEN(_xlpm.steps)&gt;2,RIGHT(_xlpm.steps,2),_xlpm.steps)))</f>
        <v>22</v>
      </c>
      <c r="D1968">
        <f>_xlfn.LET(_xlpm.dir,Table1[[#This Row],[Direction]],
IF(_xlpm.dir="L",
    IF(F1967-Table1[[#This Row],[Steps]]&lt;0,100+(F1967-Table1[[#This Row],[Steps]]),F1967-Table1[[#This Row],[Steps]]),
))</f>
        <v>0</v>
      </c>
      <c r="E1968">
        <f>_xlfn.LET(_xlpm.dir,Table1[[#This Row],[Direction]],
IF(_xlpm.dir="R",
    IF(F1967+Table1[[#This Row],[Steps]]&gt;99,(F1967+Table1[[#This Row],[Steps]])-100,F1967+Table1[[#This Row],[Steps]]),
))</f>
        <v>66</v>
      </c>
      <c r="F1968">
        <f>IF(Table1[[#This Row],[New Pos L]]&lt;&gt;0,Table1[[#This Row],[New Pos L]],Table1[[#This Row],[New Pos R]])</f>
        <v>66</v>
      </c>
    </row>
    <row r="1969" spans="1:6" ht="16" x14ac:dyDescent="0.2">
      <c r="A1969" s="1" t="s">
        <v>536</v>
      </c>
      <c r="B1969" t="str">
        <f>LEFT(Table1[[#This Row],[Input]],1)</f>
        <v>L</v>
      </c>
      <c r="C1969">
        <f>_xlfn.LET(_xlpm.steps,SUBSTITUTE(Table1[[#This Row],[Input]],Table1[[#This Row],[Direction]],""),VALUE(IF(LEN(_xlpm.steps)&gt;2,RIGHT(_xlpm.steps,2),_xlpm.steps)))</f>
        <v>22</v>
      </c>
      <c r="D1969">
        <f>_xlfn.LET(_xlpm.dir,Table1[[#This Row],[Direction]],
IF(_xlpm.dir="L",
    IF(F1968-Table1[[#This Row],[Steps]]&lt;0,100+(F1968-Table1[[#This Row],[Steps]]),F1968-Table1[[#This Row],[Steps]]),
))</f>
        <v>44</v>
      </c>
      <c r="E1969">
        <f>_xlfn.LET(_xlpm.dir,Table1[[#This Row],[Direction]],
IF(_xlpm.dir="R",
    IF(F1968+Table1[[#This Row],[Steps]]&gt;99,(F1968+Table1[[#This Row],[Steps]])-100,F1968+Table1[[#This Row],[Steps]]),
))</f>
        <v>0</v>
      </c>
      <c r="F1969">
        <f>IF(Table1[[#This Row],[New Pos L]]&lt;&gt;0,Table1[[#This Row],[New Pos L]],Table1[[#This Row],[New Pos R]])</f>
        <v>44</v>
      </c>
    </row>
    <row r="1970" spans="1:6" ht="16" x14ac:dyDescent="0.2">
      <c r="A1970" s="1" t="s">
        <v>27</v>
      </c>
      <c r="B1970" t="str">
        <f>LEFT(Table1[[#This Row],[Input]],1)</f>
        <v>L</v>
      </c>
      <c r="C1970">
        <f>_xlfn.LET(_xlpm.steps,SUBSTITUTE(Table1[[#This Row],[Input]],Table1[[#This Row],[Direction]],""),VALUE(IF(LEN(_xlpm.steps)&gt;2,RIGHT(_xlpm.steps,2),_xlpm.steps)))</f>
        <v>14</v>
      </c>
      <c r="D1970">
        <f>_xlfn.LET(_xlpm.dir,Table1[[#This Row],[Direction]],
IF(_xlpm.dir="L",
    IF(F1969-Table1[[#This Row],[Steps]]&lt;0,100+(F1969-Table1[[#This Row],[Steps]]),F1969-Table1[[#This Row],[Steps]]),
))</f>
        <v>30</v>
      </c>
      <c r="E1970">
        <f>_xlfn.LET(_xlpm.dir,Table1[[#This Row],[Direction]],
IF(_xlpm.dir="R",
    IF(F1969+Table1[[#This Row],[Steps]]&gt;99,(F1969+Table1[[#This Row],[Steps]])-100,F1969+Table1[[#This Row],[Steps]]),
))</f>
        <v>0</v>
      </c>
      <c r="F1970">
        <f>IF(Table1[[#This Row],[New Pos L]]&lt;&gt;0,Table1[[#This Row],[New Pos L]],Table1[[#This Row],[New Pos R]])</f>
        <v>30</v>
      </c>
    </row>
    <row r="1971" spans="1:6" ht="16" x14ac:dyDescent="0.2">
      <c r="A1971" s="1" t="s">
        <v>234</v>
      </c>
      <c r="B1971" t="str">
        <f>LEFT(Table1[[#This Row],[Input]],1)</f>
        <v>R</v>
      </c>
      <c r="C1971">
        <f>_xlfn.LET(_xlpm.steps,SUBSTITUTE(Table1[[#This Row],[Input]],Table1[[#This Row],[Direction]],""),VALUE(IF(LEN(_xlpm.steps)&gt;2,RIGHT(_xlpm.steps,2),_xlpm.steps)))</f>
        <v>82</v>
      </c>
      <c r="D1971">
        <f>_xlfn.LET(_xlpm.dir,Table1[[#This Row],[Direction]],
IF(_xlpm.dir="L",
    IF(F1970-Table1[[#This Row],[Steps]]&lt;0,100+(F1970-Table1[[#This Row],[Steps]]),F1970-Table1[[#This Row],[Steps]]),
))</f>
        <v>0</v>
      </c>
      <c r="E1971">
        <f>_xlfn.LET(_xlpm.dir,Table1[[#This Row],[Direction]],
IF(_xlpm.dir="R",
    IF(F1970+Table1[[#This Row],[Steps]]&gt;99,(F1970+Table1[[#This Row],[Steps]])-100,F1970+Table1[[#This Row],[Steps]]),
))</f>
        <v>12</v>
      </c>
      <c r="F1971">
        <f>IF(Table1[[#This Row],[New Pos L]]&lt;&gt;0,Table1[[#This Row],[New Pos L]],Table1[[#This Row],[New Pos R]])</f>
        <v>12</v>
      </c>
    </row>
    <row r="1972" spans="1:6" ht="16" x14ac:dyDescent="0.2">
      <c r="A1972" s="1" t="s">
        <v>47</v>
      </c>
      <c r="B1972" t="str">
        <f>LEFT(Table1[[#This Row],[Input]],1)</f>
        <v>R</v>
      </c>
      <c r="C1972">
        <f>_xlfn.LET(_xlpm.steps,SUBSTITUTE(Table1[[#This Row],[Input]],Table1[[#This Row],[Direction]],""),VALUE(IF(LEN(_xlpm.steps)&gt;2,RIGHT(_xlpm.steps,2),_xlpm.steps)))</f>
        <v>97</v>
      </c>
      <c r="D1972">
        <f>_xlfn.LET(_xlpm.dir,Table1[[#This Row],[Direction]],
IF(_xlpm.dir="L",
    IF(F1971-Table1[[#This Row],[Steps]]&lt;0,100+(F1971-Table1[[#This Row],[Steps]]),F1971-Table1[[#This Row],[Steps]]),
))</f>
        <v>0</v>
      </c>
      <c r="E1972">
        <f>_xlfn.LET(_xlpm.dir,Table1[[#This Row],[Direction]],
IF(_xlpm.dir="R",
    IF(F1971+Table1[[#This Row],[Steps]]&gt;99,(F1971+Table1[[#This Row],[Steps]])-100,F1971+Table1[[#This Row],[Steps]]),
))</f>
        <v>9</v>
      </c>
      <c r="F1972">
        <f>IF(Table1[[#This Row],[New Pos L]]&lt;&gt;0,Table1[[#This Row],[New Pos L]],Table1[[#This Row],[New Pos R]])</f>
        <v>9</v>
      </c>
    </row>
    <row r="1973" spans="1:6" ht="16" x14ac:dyDescent="0.2">
      <c r="A1973" s="1" t="s">
        <v>217</v>
      </c>
      <c r="B1973" t="str">
        <f>LEFT(Table1[[#This Row],[Input]],1)</f>
        <v>R</v>
      </c>
      <c r="C1973">
        <f>_xlfn.LET(_xlpm.steps,SUBSTITUTE(Table1[[#This Row],[Input]],Table1[[#This Row],[Direction]],""),VALUE(IF(LEN(_xlpm.steps)&gt;2,RIGHT(_xlpm.steps,2),_xlpm.steps)))</f>
        <v>91</v>
      </c>
      <c r="D1973">
        <f>_xlfn.LET(_xlpm.dir,Table1[[#This Row],[Direction]],
IF(_xlpm.dir="L",
    IF(F1972-Table1[[#This Row],[Steps]]&lt;0,100+(F1972-Table1[[#This Row],[Steps]]),F1972-Table1[[#This Row],[Steps]]),
))</f>
        <v>0</v>
      </c>
      <c r="E1973">
        <f>_xlfn.LET(_xlpm.dir,Table1[[#This Row],[Direction]],
IF(_xlpm.dir="R",
    IF(F1972+Table1[[#This Row],[Steps]]&gt;99,(F1972+Table1[[#This Row],[Steps]])-100,F1972+Table1[[#This Row],[Steps]]),
))</f>
        <v>0</v>
      </c>
      <c r="F1973">
        <f>IF(Table1[[#This Row],[New Pos L]]&lt;&gt;0,Table1[[#This Row],[New Pos L]],Table1[[#This Row],[New Pos R]])</f>
        <v>0</v>
      </c>
    </row>
    <row r="1974" spans="1:6" ht="16" x14ac:dyDescent="0.2">
      <c r="A1974" s="1" t="s">
        <v>537</v>
      </c>
      <c r="B1974" t="str">
        <f>LEFT(Table1[[#This Row],[Input]],1)</f>
        <v>R</v>
      </c>
      <c r="C1974">
        <f>_xlfn.LET(_xlpm.steps,SUBSTITUTE(Table1[[#This Row],[Input]],Table1[[#This Row],[Direction]],""),VALUE(IF(LEN(_xlpm.steps)&gt;2,RIGHT(_xlpm.steps,2),_xlpm.steps)))</f>
        <v>16</v>
      </c>
      <c r="D1974">
        <f>_xlfn.LET(_xlpm.dir,Table1[[#This Row],[Direction]],
IF(_xlpm.dir="L",
    IF(F1973-Table1[[#This Row],[Steps]]&lt;0,100+(F1973-Table1[[#This Row],[Steps]]),F1973-Table1[[#This Row],[Steps]]),
))</f>
        <v>0</v>
      </c>
      <c r="E1974">
        <f>_xlfn.LET(_xlpm.dir,Table1[[#This Row],[Direction]],
IF(_xlpm.dir="R",
    IF(F1973+Table1[[#This Row],[Steps]]&gt;99,(F1973+Table1[[#This Row],[Steps]])-100,F1973+Table1[[#This Row],[Steps]]),
))</f>
        <v>16</v>
      </c>
      <c r="F1974">
        <f>IF(Table1[[#This Row],[New Pos L]]&lt;&gt;0,Table1[[#This Row],[New Pos L]],Table1[[#This Row],[New Pos R]])</f>
        <v>16</v>
      </c>
    </row>
    <row r="1975" spans="1:6" ht="16" x14ac:dyDescent="0.2">
      <c r="A1975" s="1" t="s">
        <v>538</v>
      </c>
      <c r="B1975" t="str">
        <f>LEFT(Table1[[#This Row],[Input]],1)</f>
        <v>L</v>
      </c>
      <c r="C1975">
        <f>_xlfn.LET(_xlpm.steps,SUBSTITUTE(Table1[[#This Row],[Input]],Table1[[#This Row],[Direction]],""),VALUE(IF(LEN(_xlpm.steps)&gt;2,RIGHT(_xlpm.steps,2),_xlpm.steps)))</f>
        <v>46</v>
      </c>
      <c r="D1975">
        <f>_xlfn.LET(_xlpm.dir,Table1[[#This Row],[Direction]],
IF(_xlpm.dir="L",
    IF(F1974-Table1[[#This Row],[Steps]]&lt;0,100+(F1974-Table1[[#This Row],[Steps]]),F1974-Table1[[#This Row],[Steps]]),
))</f>
        <v>70</v>
      </c>
      <c r="E1975">
        <f>_xlfn.LET(_xlpm.dir,Table1[[#This Row],[Direction]],
IF(_xlpm.dir="R",
    IF(F1974+Table1[[#This Row],[Steps]]&gt;99,(F1974+Table1[[#This Row],[Steps]])-100,F1974+Table1[[#This Row],[Steps]]),
))</f>
        <v>0</v>
      </c>
      <c r="F1975">
        <f>IF(Table1[[#This Row],[New Pos L]]&lt;&gt;0,Table1[[#This Row],[New Pos L]],Table1[[#This Row],[New Pos R]])</f>
        <v>70</v>
      </c>
    </row>
    <row r="1976" spans="1:6" ht="16" x14ac:dyDescent="0.2">
      <c r="A1976" s="1" t="s">
        <v>416</v>
      </c>
      <c r="B1976" t="str">
        <f>LEFT(Table1[[#This Row],[Input]],1)</f>
        <v>R</v>
      </c>
      <c r="C1976">
        <f>_xlfn.LET(_xlpm.steps,SUBSTITUTE(Table1[[#This Row],[Input]],Table1[[#This Row],[Direction]],""),VALUE(IF(LEN(_xlpm.steps)&gt;2,RIGHT(_xlpm.steps,2),_xlpm.steps)))</f>
        <v>94</v>
      </c>
      <c r="D1976">
        <f>_xlfn.LET(_xlpm.dir,Table1[[#This Row],[Direction]],
IF(_xlpm.dir="L",
    IF(F1975-Table1[[#This Row],[Steps]]&lt;0,100+(F1975-Table1[[#This Row],[Steps]]),F1975-Table1[[#This Row],[Steps]]),
))</f>
        <v>0</v>
      </c>
      <c r="E1976">
        <f>_xlfn.LET(_xlpm.dir,Table1[[#This Row],[Direction]],
IF(_xlpm.dir="R",
    IF(F1975+Table1[[#This Row],[Steps]]&gt;99,(F1975+Table1[[#This Row],[Steps]])-100,F1975+Table1[[#This Row],[Steps]]),
))</f>
        <v>64</v>
      </c>
      <c r="F1976">
        <f>IF(Table1[[#This Row],[New Pos L]]&lt;&gt;0,Table1[[#This Row],[New Pos L]],Table1[[#This Row],[New Pos R]])</f>
        <v>64</v>
      </c>
    </row>
    <row r="1977" spans="1:6" ht="16" x14ac:dyDescent="0.2">
      <c r="A1977" s="1" t="s">
        <v>15</v>
      </c>
      <c r="B1977" t="str">
        <f>LEFT(Table1[[#This Row],[Input]],1)</f>
        <v>R</v>
      </c>
      <c r="C1977">
        <f>_xlfn.LET(_xlpm.steps,SUBSTITUTE(Table1[[#This Row],[Input]],Table1[[#This Row],[Direction]],""),VALUE(IF(LEN(_xlpm.steps)&gt;2,RIGHT(_xlpm.steps,2),_xlpm.steps)))</f>
        <v>36</v>
      </c>
      <c r="D1977">
        <f>_xlfn.LET(_xlpm.dir,Table1[[#This Row],[Direction]],
IF(_xlpm.dir="L",
    IF(F1976-Table1[[#This Row],[Steps]]&lt;0,100+(F1976-Table1[[#This Row],[Steps]]),F1976-Table1[[#This Row],[Steps]]),
))</f>
        <v>0</v>
      </c>
      <c r="E1977">
        <f>_xlfn.LET(_xlpm.dir,Table1[[#This Row],[Direction]],
IF(_xlpm.dir="R",
    IF(F1976+Table1[[#This Row],[Steps]]&gt;99,(F1976+Table1[[#This Row],[Steps]])-100,F1976+Table1[[#This Row],[Steps]]),
))</f>
        <v>0</v>
      </c>
      <c r="F1977">
        <f>IF(Table1[[#This Row],[New Pos L]]&lt;&gt;0,Table1[[#This Row],[New Pos L]],Table1[[#This Row],[New Pos R]])</f>
        <v>0</v>
      </c>
    </row>
    <row r="1978" spans="1:6" ht="16" x14ac:dyDescent="0.2">
      <c r="A1978" s="1" t="s">
        <v>33</v>
      </c>
      <c r="B1978" t="str">
        <f>LEFT(Table1[[#This Row],[Input]],1)</f>
        <v>R</v>
      </c>
      <c r="C1978">
        <f>_xlfn.LET(_xlpm.steps,SUBSTITUTE(Table1[[#This Row],[Input]],Table1[[#This Row],[Direction]],""),VALUE(IF(LEN(_xlpm.steps)&gt;2,RIGHT(_xlpm.steps,2),_xlpm.steps)))</f>
        <v>22</v>
      </c>
      <c r="D1978">
        <f>_xlfn.LET(_xlpm.dir,Table1[[#This Row],[Direction]],
IF(_xlpm.dir="L",
    IF(F1977-Table1[[#This Row],[Steps]]&lt;0,100+(F1977-Table1[[#This Row],[Steps]]),F1977-Table1[[#This Row],[Steps]]),
))</f>
        <v>0</v>
      </c>
      <c r="E1978">
        <f>_xlfn.LET(_xlpm.dir,Table1[[#This Row],[Direction]],
IF(_xlpm.dir="R",
    IF(F1977+Table1[[#This Row],[Steps]]&gt;99,(F1977+Table1[[#This Row],[Steps]])-100,F1977+Table1[[#This Row],[Steps]]),
))</f>
        <v>22</v>
      </c>
      <c r="F1978">
        <f>IF(Table1[[#This Row],[New Pos L]]&lt;&gt;0,Table1[[#This Row],[New Pos L]],Table1[[#This Row],[New Pos R]])</f>
        <v>22</v>
      </c>
    </row>
    <row r="1979" spans="1:6" ht="16" x14ac:dyDescent="0.2">
      <c r="A1979" s="1" t="s">
        <v>539</v>
      </c>
      <c r="B1979" t="str">
        <f>LEFT(Table1[[#This Row],[Input]],1)</f>
        <v>R</v>
      </c>
      <c r="C1979">
        <f>_xlfn.LET(_xlpm.steps,SUBSTITUTE(Table1[[#This Row],[Input]],Table1[[#This Row],[Direction]],""),VALUE(IF(LEN(_xlpm.steps)&gt;2,RIGHT(_xlpm.steps,2),_xlpm.steps)))</f>
        <v>78</v>
      </c>
      <c r="D1979">
        <f>_xlfn.LET(_xlpm.dir,Table1[[#This Row],[Direction]],
IF(_xlpm.dir="L",
    IF(F1978-Table1[[#This Row],[Steps]]&lt;0,100+(F1978-Table1[[#This Row],[Steps]]),F1978-Table1[[#This Row],[Steps]]),
))</f>
        <v>0</v>
      </c>
      <c r="E1979">
        <f>_xlfn.LET(_xlpm.dir,Table1[[#This Row],[Direction]],
IF(_xlpm.dir="R",
    IF(F1978+Table1[[#This Row],[Steps]]&gt;99,(F1978+Table1[[#This Row],[Steps]])-100,F1978+Table1[[#This Row],[Steps]]),
))</f>
        <v>0</v>
      </c>
      <c r="F1979">
        <f>IF(Table1[[#This Row],[New Pos L]]&lt;&gt;0,Table1[[#This Row],[New Pos L]],Table1[[#This Row],[New Pos R]])</f>
        <v>0</v>
      </c>
    </row>
    <row r="1980" spans="1:6" ht="16" x14ac:dyDescent="0.2">
      <c r="A1980" s="1" t="s">
        <v>540</v>
      </c>
      <c r="B1980" t="str">
        <f>LEFT(Table1[[#This Row],[Input]],1)</f>
        <v>L</v>
      </c>
      <c r="C1980">
        <f>_xlfn.LET(_xlpm.steps,SUBSTITUTE(Table1[[#This Row],[Input]],Table1[[#This Row],[Direction]],""),VALUE(IF(LEN(_xlpm.steps)&gt;2,RIGHT(_xlpm.steps,2),_xlpm.steps)))</f>
        <v>19</v>
      </c>
      <c r="D1980">
        <f>_xlfn.LET(_xlpm.dir,Table1[[#This Row],[Direction]],
IF(_xlpm.dir="L",
    IF(F1979-Table1[[#This Row],[Steps]]&lt;0,100+(F1979-Table1[[#This Row],[Steps]]),F1979-Table1[[#This Row],[Steps]]),
))</f>
        <v>81</v>
      </c>
      <c r="E1980">
        <f>_xlfn.LET(_xlpm.dir,Table1[[#This Row],[Direction]],
IF(_xlpm.dir="R",
    IF(F1979+Table1[[#This Row],[Steps]]&gt;99,(F1979+Table1[[#This Row],[Steps]])-100,F1979+Table1[[#This Row],[Steps]]),
))</f>
        <v>0</v>
      </c>
      <c r="F1980">
        <f>IF(Table1[[#This Row],[New Pos L]]&lt;&gt;0,Table1[[#This Row],[New Pos L]],Table1[[#This Row],[New Pos R]])</f>
        <v>81</v>
      </c>
    </row>
    <row r="1981" spans="1:6" ht="16" x14ac:dyDescent="0.2">
      <c r="A1981" s="1" t="s">
        <v>48</v>
      </c>
      <c r="B1981" t="str">
        <f>LEFT(Table1[[#This Row],[Input]],1)</f>
        <v>R</v>
      </c>
      <c r="C1981">
        <f>_xlfn.LET(_xlpm.steps,SUBSTITUTE(Table1[[#This Row],[Input]],Table1[[#This Row],[Direction]],""),VALUE(IF(LEN(_xlpm.steps)&gt;2,RIGHT(_xlpm.steps,2),_xlpm.steps)))</f>
        <v>81</v>
      </c>
      <c r="D1981">
        <f>_xlfn.LET(_xlpm.dir,Table1[[#This Row],[Direction]],
IF(_xlpm.dir="L",
    IF(F1980-Table1[[#This Row],[Steps]]&lt;0,100+(F1980-Table1[[#This Row],[Steps]]),F1980-Table1[[#This Row],[Steps]]),
))</f>
        <v>0</v>
      </c>
      <c r="E1981">
        <f>_xlfn.LET(_xlpm.dir,Table1[[#This Row],[Direction]],
IF(_xlpm.dir="R",
    IF(F1980+Table1[[#This Row],[Steps]]&gt;99,(F1980+Table1[[#This Row],[Steps]])-100,F1980+Table1[[#This Row],[Steps]]),
))</f>
        <v>62</v>
      </c>
      <c r="F1981">
        <f>IF(Table1[[#This Row],[New Pos L]]&lt;&gt;0,Table1[[#This Row],[New Pos L]],Table1[[#This Row],[New Pos R]])</f>
        <v>62</v>
      </c>
    </row>
    <row r="1982" spans="1:6" ht="16" x14ac:dyDescent="0.2">
      <c r="A1982" s="1" t="s">
        <v>139</v>
      </c>
      <c r="B1982" t="str">
        <f>LEFT(Table1[[#This Row],[Input]],1)</f>
        <v>R</v>
      </c>
      <c r="C1982">
        <f>_xlfn.LET(_xlpm.steps,SUBSTITUTE(Table1[[#This Row],[Input]],Table1[[#This Row],[Direction]],""),VALUE(IF(LEN(_xlpm.steps)&gt;2,RIGHT(_xlpm.steps,2),_xlpm.steps)))</f>
        <v>38</v>
      </c>
      <c r="D1982">
        <f>_xlfn.LET(_xlpm.dir,Table1[[#This Row],[Direction]],
IF(_xlpm.dir="L",
    IF(F1981-Table1[[#This Row],[Steps]]&lt;0,100+(F1981-Table1[[#This Row],[Steps]]),F1981-Table1[[#This Row],[Steps]]),
))</f>
        <v>0</v>
      </c>
      <c r="E1982">
        <f>_xlfn.LET(_xlpm.dir,Table1[[#This Row],[Direction]],
IF(_xlpm.dir="R",
    IF(F1981+Table1[[#This Row],[Steps]]&gt;99,(F1981+Table1[[#This Row],[Steps]])-100,F1981+Table1[[#This Row],[Steps]]),
))</f>
        <v>0</v>
      </c>
      <c r="F1982">
        <f>IF(Table1[[#This Row],[New Pos L]]&lt;&gt;0,Table1[[#This Row],[New Pos L]],Table1[[#This Row],[New Pos R]])</f>
        <v>0</v>
      </c>
    </row>
    <row r="1983" spans="1:6" ht="16" x14ac:dyDescent="0.2">
      <c r="A1983" s="1" t="s">
        <v>541</v>
      </c>
      <c r="B1983" t="str">
        <f>LEFT(Table1[[#This Row],[Input]],1)</f>
        <v>R</v>
      </c>
      <c r="C1983">
        <f>_xlfn.LET(_xlpm.steps,SUBSTITUTE(Table1[[#This Row],[Input]],Table1[[#This Row],[Direction]],""),VALUE(IF(LEN(_xlpm.steps)&gt;2,RIGHT(_xlpm.steps,2),_xlpm.steps)))</f>
        <v>23</v>
      </c>
      <c r="D1983">
        <f>_xlfn.LET(_xlpm.dir,Table1[[#This Row],[Direction]],
IF(_xlpm.dir="L",
    IF(F1982-Table1[[#This Row],[Steps]]&lt;0,100+(F1982-Table1[[#This Row],[Steps]]),F1982-Table1[[#This Row],[Steps]]),
))</f>
        <v>0</v>
      </c>
      <c r="E1983">
        <f>_xlfn.LET(_xlpm.dir,Table1[[#This Row],[Direction]],
IF(_xlpm.dir="R",
    IF(F1982+Table1[[#This Row],[Steps]]&gt;99,(F1982+Table1[[#This Row],[Steps]])-100,F1982+Table1[[#This Row],[Steps]]),
))</f>
        <v>23</v>
      </c>
      <c r="F1983">
        <f>IF(Table1[[#This Row],[New Pos L]]&lt;&gt;0,Table1[[#This Row],[New Pos L]],Table1[[#This Row],[New Pos R]])</f>
        <v>23</v>
      </c>
    </row>
    <row r="1984" spans="1:6" ht="16" x14ac:dyDescent="0.2">
      <c r="A1984" s="1" t="s">
        <v>181</v>
      </c>
      <c r="B1984" t="str">
        <f>LEFT(Table1[[#This Row],[Input]],1)</f>
        <v>L</v>
      </c>
      <c r="C1984">
        <f>_xlfn.LET(_xlpm.steps,SUBSTITUTE(Table1[[#This Row],[Input]],Table1[[#This Row],[Direction]],""),VALUE(IF(LEN(_xlpm.steps)&gt;2,RIGHT(_xlpm.steps,2),_xlpm.steps)))</f>
        <v>53</v>
      </c>
      <c r="D1984">
        <f>_xlfn.LET(_xlpm.dir,Table1[[#This Row],[Direction]],
IF(_xlpm.dir="L",
    IF(F1983-Table1[[#This Row],[Steps]]&lt;0,100+(F1983-Table1[[#This Row],[Steps]]),F1983-Table1[[#This Row],[Steps]]),
))</f>
        <v>70</v>
      </c>
      <c r="E1984">
        <f>_xlfn.LET(_xlpm.dir,Table1[[#This Row],[Direction]],
IF(_xlpm.dir="R",
    IF(F1983+Table1[[#This Row],[Steps]]&gt;99,(F1983+Table1[[#This Row],[Steps]])-100,F1983+Table1[[#This Row],[Steps]]),
))</f>
        <v>0</v>
      </c>
      <c r="F1984">
        <f>IF(Table1[[#This Row],[New Pos L]]&lt;&gt;0,Table1[[#This Row],[New Pos L]],Table1[[#This Row],[New Pos R]])</f>
        <v>70</v>
      </c>
    </row>
    <row r="1985" spans="1:6" ht="16" x14ac:dyDescent="0.2">
      <c r="A1985" s="1" t="s">
        <v>26</v>
      </c>
      <c r="B1985" t="str">
        <f>LEFT(Table1[[#This Row],[Input]],1)</f>
        <v>R</v>
      </c>
      <c r="C1985">
        <f>_xlfn.LET(_xlpm.steps,SUBSTITUTE(Table1[[#This Row],[Input]],Table1[[#This Row],[Direction]],""),VALUE(IF(LEN(_xlpm.steps)&gt;2,RIGHT(_xlpm.steps,2),_xlpm.steps)))</f>
        <v>6</v>
      </c>
      <c r="D1985">
        <f>_xlfn.LET(_xlpm.dir,Table1[[#This Row],[Direction]],
IF(_xlpm.dir="L",
    IF(F1984-Table1[[#This Row],[Steps]]&lt;0,100+(F1984-Table1[[#This Row],[Steps]]),F1984-Table1[[#This Row],[Steps]]),
))</f>
        <v>0</v>
      </c>
      <c r="E1985">
        <f>_xlfn.LET(_xlpm.dir,Table1[[#This Row],[Direction]],
IF(_xlpm.dir="R",
    IF(F1984+Table1[[#This Row],[Steps]]&gt;99,(F1984+Table1[[#This Row],[Steps]])-100,F1984+Table1[[#This Row],[Steps]]),
))</f>
        <v>76</v>
      </c>
      <c r="F1985">
        <f>IF(Table1[[#This Row],[New Pos L]]&lt;&gt;0,Table1[[#This Row],[New Pos L]],Table1[[#This Row],[New Pos R]])</f>
        <v>76</v>
      </c>
    </row>
    <row r="1986" spans="1:6" ht="16" x14ac:dyDescent="0.2">
      <c r="A1986" s="1" t="s">
        <v>40</v>
      </c>
      <c r="B1986" t="str">
        <f>LEFT(Table1[[#This Row],[Input]],1)</f>
        <v>R</v>
      </c>
      <c r="C1986">
        <f>_xlfn.LET(_xlpm.steps,SUBSTITUTE(Table1[[#This Row],[Input]],Table1[[#This Row],[Direction]],""),VALUE(IF(LEN(_xlpm.steps)&gt;2,RIGHT(_xlpm.steps,2),_xlpm.steps)))</f>
        <v>52</v>
      </c>
      <c r="D1986">
        <f>_xlfn.LET(_xlpm.dir,Table1[[#This Row],[Direction]],
IF(_xlpm.dir="L",
    IF(F1985-Table1[[#This Row],[Steps]]&lt;0,100+(F1985-Table1[[#This Row],[Steps]]),F1985-Table1[[#This Row],[Steps]]),
))</f>
        <v>0</v>
      </c>
      <c r="E1986">
        <f>_xlfn.LET(_xlpm.dir,Table1[[#This Row],[Direction]],
IF(_xlpm.dir="R",
    IF(F1985+Table1[[#This Row],[Steps]]&gt;99,(F1985+Table1[[#This Row],[Steps]])-100,F1985+Table1[[#This Row],[Steps]]),
))</f>
        <v>28</v>
      </c>
      <c r="F1986">
        <f>IF(Table1[[#This Row],[New Pos L]]&lt;&gt;0,Table1[[#This Row],[New Pos L]],Table1[[#This Row],[New Pos R]])</f>
        <v>28</v>
      </c>
    </row>
    <row r="1987" spans="1:6" ht="16" x14ac:dyDescent="0.2">
      <c r="A1987" s="1" t="s">
        <v>267</v>
      </c>
      <c r="B1987" t="str">
        <f>LEFT(Table1[[#This Row],[Input]],1)</f>
        <v>L</v>
      </c>
      <c r="C1987">
        <f>_xlfn.LET(_xlpm.steps,SUBSTITUTE(Table1[[#This Row],[Input]],Table1[[#This Row],[Direction]],""),VALUE(IF(LEN(_xlpm.steps)&gt;2,RIGHT(_xlpm.steps,2),_xlpm.steps)))</f>
        <v>39</v>
      </c>
      <c r="D1987">
        <f>_xlfn.LET(_xlpm.dir,Table1[[#This Row],[Direction]],
IF(_xlpm.dir="L",
    IF(F1986-Table1[[#This Row],[Steps]]&lt;0,100+(F1986-Table1[[#This Row],[Steps]]),F1986-Table1[[#This Row],[Steps]]),
))</f>
        <v>89</v>
      </c>
      <c r="E1987">
        <f>_xlfn.LET(_xlpm.dir,Table1[[#This Row],[Direction]],
IF(_xlpm.dir="R",
    IF(F1986+Table1[[#This Row],[Steps]]&gt;99,(F1986+Table1[[#This Row],[Steps]])-100,F1986+Table1[[#This Row],[Steps]]),
))</f>
        <v>0</v>
      </c>
      <c r="F1987">
        <f>IF(Table1[[#This Row],[New Pos L]]&lt;&gt;0,Table1[[#This Row],[New Pos L]],Table1[[#This Row],[New Pos R]])</f>
        <v>89</v>
      </c>
    </row>
    <row r="1988" spans="1:6" ht="16" x14ac:dyDescent="0.2">
      <c r="A1988" s="1" t="s">
        <v>542</v>
      </c>
      <c r="B1988" t="str">
        <f>LEFT(Table1[[#This Row],[Input]],1)</f>
        <v>L</v>
      </c>
      <c r="C1988">
        <f>_xlfn.LET(_xlpm.steps,SUBSTITUTE(Table1[[#This Row],[Input]],Table1[[#This Row],[Direction]],""),VALUE(IF(LEN(_xlpm.steps)&gt;2,RIGHT(_xlpm.steps,2),_xlpm.steps)))</f>
        <v>4</v>
      </c>
      <c r="D1988">
        <f>_xlfn.LET(_xlpm.dir,Table1[[#This Row],[Direction]],
IF(_xlpm.dir="L",
    IF(F1987-Table1[[#This Row],[Steps]]&lt;0,100+(F1987-Table1[[#This Row],[Steps]]),F1987-Table1[[#This Row],[Steps]]),
))</f>
        <v>85</v>
      </c>
      <c r="E1988">
        <f>_xlfn.LET(_xlpm.dir,Table1[[#This Row],[Direction]],
IF(_xlpm.dir="R",
    IF(F1987+Table1[[#This Row],[Steps]]&gt;99,(F1987+Table1[[#This Row],[Steps]])-100,F1987+Table1[[#This Row],[Steps]]),
))</f>
        <v>0</v>
      </c>
      <c r="F1988">
        <f>IF(Table1[[#This Row],[New Pos L]]&lt;&gt;0,Table1[[#This Row],[New Pos L]],Table1[[#This Row],[New Pos R]])</f>
        <v>85</v>
      </c>
    </row>
    <row r="1989" spans="1:6" ht="16" x14ac:dyDescent="0.2">
      <c r="A1989" s="1" t="s">
        <v>121</v>
      </c>
      <c r="B1989" t="str">
        <f>LEFT(Table1[[#This Row],[Input]],1)</f>
        <v>L</v>
      </c>
      <c r="C1989">
        <f>_xlfn.LET(_xlpm.steps,SUBSTITUTE(Table1[[#This Row],[Input]],Table1[[#This Row],[Direction]],""),VALUE(IF(LEN(_xlpm.steps)&gt;2,RIGHT(_xlpm.steps,2),_xlpm.steps)))</f>
        <v>69</v>
      </c>
      <c r="D1989">
        <f>_xlfn.LET(_xlpm.dir,Table1[[#This Row],[Direction]],
IF(_xlpm.dir="L",
    IF(F1988-Table1[[#This Row],[Steps]]&lt;0,100+(F1988-Table1[[#This Row],[Steps]]),F1988-Table1[[#This Row],[Steps]]),
))</f>
        <v>16</v>
      </c>
      <c r="E1989">
        <f>_xlfn.LET(_xlpm.dir,Table1[[#This Row],[Direction]],
IF(_xlpm.dir="R",
    IF(F1988+Table1[[#This Row],[Steps]]&gt;99,(F1988+Table1[[#This Row],[Steps]])-100,F1988+Table1[[#This Row],[Steps]]),
))</f>
        <v>0</v>
      </c>
      <c r="F1989">
        <f>IF(Table1[[#This Row],[New Pos L]]&lt;&gt;0,Table1[[#This Row],[New Pos L]],Table1[[#This Row],[New Pos R]])</f>
        <v>16</v>
      </c>
    </row>
    <row r="1990" spans="1:6" ht="16" x14ac:dyDescent="0.2">
      <c r="A1990" s="1" t="s">
        <v>336</v>
      </c>
      <c r="B1990" t="str">
        <f>LEFT(Table1[[#This Row],[Input]],1)</f>
        <v>R</v>
      </c>
      <c r="C1990">
        <f>_xlfn.LET(_xlpm.steps,SUBSTITUTE(Table1[[#This Row],[Input]],Table1[[#This Row],[Direction]],""),VALUE(IF(LEN(_xlpm.steps)&gt;2,RIGHT(_xlpm.steps,2),_xlpm.steps)))</f>
        <v>95</v>
      </c>
      <c r="D1990">
        <f>_xlfn.LET(_xlpm.dir,Table1[[#This Row],[Direction]],
IF(_xlpm.dir="L",
    IF(F1989-Table1[[#This Row],[Steps]]&lt;0,100+(F1989-Table1[[#This Row],[Steps]]),F1989-Table1[[#This Row],[Steps]]),
))</f>
        <v>0</v>
      </c>
      <c r="E1990">
        <f>_xlfn.LET(_xlpm.dir,Table1[[#This Row],[Direction]],
IF(_xlpm.dir="R",
    IF(F1989+Table1[[#This Row],[Steps]]&gt;99,(F1989+Table1[[#This Row],[Steps]])-100,F1989+Table1[[#This Row],[Steps]]),
))</f>
        <v>11</v>
      </c>
      <c r="F1990">
        <f>IF(Table1[[#This Row],[New Pos L]]&lt;&gt;0,Table1[[#This Row],[New Pos L]],Table1[[#This Row],[New Pos R]])</f>
        <v>11</v>
      </c>
    </row>
    <row r="1991" spans="1:6" ht="16" x14ac:dyDescent="0.2">
      <c r="A1991" s="1" t="s">
        <v>108</v>
      </c>
      <c r="B1991" t="str">
        <f>LEFT(Table1[[#This Row],[Input]],1)</f>
        <v>R</v>
      </c>
      <c r="C1991">
        <f>_xlfn.LET(_xlpm.steps,SUBSTITUTE(Table1[[#This Row],[Input]],Table1[[#This Row],[Direction]],""),VALUE(IF(LEN(_xlpm.steps)&gt;2,RIGHT(_xlpm.steps,2),_xlpm.steps)))</f>
        <v>66</v>
      </c>
      <c r="D1991">
        <f>_xlfn.LET(_xlpm.dir,Table1[[#This Row],[Direction]],
IF(_xlpm.dir="L",
    IF(F1990-Table1[[#This Row],[Steps]]&lt;0,100+(F1990-Table1[[#This Row],[Steps]]),F1990-Table1[[#This Row],[Steps]]),
))</f>
        <v>0</v>
      </c>
      <c r="E1991">
        <f>_xlfn.LET(_xlpm.dir,Table1[[#This Row],[Direction]],
IF(_xlpm.dir="R",
    IF(F1990+Table1[[#This Row],[Steps]]&gt;99,(F1990+Table1[[#This Row],[Steps]])-100,F1990+Table1[[#This Row],[Steps]]),
))</f>
        <v>77</v>
      </c>
      <c r="F1991">
        <f>IF(Table1[[#This Row],[New Pos L]]&lt;&gt;0,Table1[[#This Row],[New Pos L]],Table1[[#This Row],[New Pos R]])</f>
        <v>77</v>
      </c>
    </row>
    <row r="1992" spans="1:6" ht="16" x14ac:dyDescent="0.2">
      <c r="A1992" s="1" t="s">
        <v>71</v>
      </c>
      <c r="B1992" t="str">
        <f>LEFT(Table1[[#This Row],[Input]],1)</f>
        <v>R</v>
      </c>
      <c r="C1992">
        <f>_xlfn.LET(_xlpm.steps,SUBSTITUTE(Table1[[#This Row],[Input]],Table1[[#This Row],[Direction]],""),VALUE(IF(LEN(_xlpm.steps)&gt;2,RIGHT(_xlpm.steps,2),_xlpm.steps)))</f>
        <v>23</v>
      </c>
      <c r="D1992">
        <f>_xlfn.LET(_xlpm.dir,Table1[[#This Row],[Direction]],
IF(_xlpm.dir="L",
    IF(F1991-Table1[[#This Row],[Steps]]&lt;0,100+(F1991-Table1[[#This Row],[Steps]]),F1991-Table1[[#This Row],[Steps]]),
))</f>
        <v>0</v>
      </c>
      <c r="E1992">
        <f>_xlfn.LET(_xlpm.dir,Table1[[#This Row],[Direction]],
IF(_xlpm.dir="R",
    IF(F1991+Table1[[#This Row],[Steps]]&gt;99,(F1991+Table1[[#This Row],[Steps]])-100,F1991+Table1[[#This Row],[Steps]]),
))</f>
        <v>0</v>
      </c>
      <c r="F1992">
        <f>IF(Table1[[#This Row],[New Pos L]]&lt;&gt;0,Table1[[#This Row],[New Pos L]],Table1[[#This Row],[New Pos R]])</f>
        <v>0</v>
      </c>
    </row>
    <row r="1993" spans="1:6" ht="16" x14ac:dyDescent="0.2">
      <c r="A1993" s="1" t="s">
        <v>72</v>
      </c>
      <c r="B1993" t="str">
        <f>LEFT(Table1[[#This Row],[Input]],1)</f>
        <v>R</v>
      </c>
      <c r="C1993">
        <f>_xlfn.LET(_xlpm.steps,SUBSTITUTE(Table1[[#This Row],[Input]],Table1[[#This Row],[Direction]],""),VALUE(IF(LEN(_xlpm.steps)&gt;2,RIGHT(_xlpm.steps,2),_xlpm.steps)))</f>
        <v>43</v>
      </c>
      <c r="D1993">
        <f>_xlfn.LET(_xlpm.dir,Table1[[#This Row],[Direction]],
IF(_xlpm.dir="L",
    IF(F1992-Table1[[#This Row],[Steps]]&lt;0,100+(F1992-Table1[[#This Row],[Steps]]),F1992-Table1[[#This Row],[Steps]]),
))</f>
        <v>0</v>
      </c>
      <c r="E1993">
        <f>_xlfn.LET(_xlpm.dir,Table1[[#This Row],[Direction]],
IF(_xlpm.dir="R",
    IF(F1992+Table1[[#This Row],[Steps]]&gt;99,(F1992+Table1[[#This Row],[Steps]])-100,F1992+Table1[[#This Row],[Steps]]),
))</f>
        <v>43</v>
      </c>
      <c r="F1993">
        <f>IF(Table1[[#This Row],[New Pos L]]&lt;&gt;0,Table1[[#This Row],[New Pos L]],Table1[[#This Row],[New Pos R]])</f>
        <v>43</v>
      </c>
    </row>
    <row r="1994" spans="1:6" ht="16" x14ac:dyDescent="0.2">
      <c r="A1994" s="1" t="s">
        <v>543</v>
      </c>
      <c r="B1994" t="str">
        <f>LEFT(Table1[[#This Row],[Input]],1)</f>
        <v>R</v>
      </c>
      <c r="C1994">
        <f>_xlfn.LET(_xlpm.steps,SUBSTITUTE(Table1[[#This Row],[Input]],Table1[[#This Row],[Direction]],""),VALUE(IF(LEN(_xlpm.steps)&gt;2,RIGHT(_xlpm.steps,2),_xlpm.steps)))</f>
        <v>50</v>
      </c>
      <c r="D1994">
        <f>_xlfn.LET(_xlpm.dir,Table1[[#This Row],[Direction]],
IF(_xlpm.dir="L",
    IF(F1993-Table1[[#This Row],[Steps]]&lt;0,100+(F1993-Table1[[#This Row],[Steps]]),F1993-Table1[[#This Row],[Steps]]),
))</f>
        <v>0</v>
      </c>
      <c r="E1994">
        <f>_xlfn.LET(_xlpm.dir,Table1[[#This Row],[Direction]],
IF(_xlpm.dir="R",
    IF(F1993+Table1[[#This Row],[Steps]]&gt;99,(F1993+Table1[[#This Row],[Steps]])-100,F1993+Table1[[#This Row],[Steps]]),
))</f>
        <v>93</v>
      </c>
      <c r="F1994">
        <f>IF(Table1[[#This Row],[New Pos L]]&lt;&gt;0,Table1[[#This Row],[New Pos L]],Table1[[#This Row],[New Pos R]])</f>
        <v>93</v>
      </c>
    </row>
    <row r="1995" spans="1:6" ht="16" x14ac:dyDescent="0.2">
      <c r="A1995" s="1" t="s">
        <v>330</v>
      </c>
      <c r="B1995" t="str">
        <f>LEFT(Table1[[#This Row],[Input]],1)</f>
        <v>L</v>
      </c>
      <c r="C1995">
        <f>_xlfn.LET(_xlpm.steps,SUBSTITUTE(Table1[[#This Row],[Input]],Table1[[#This Row],[Direction]],""),VALUE(IF(LEN(_xlpm.steps)&gt;2,RIGHT(_xlpm.steps,2),_xlpm.steps)))</f>
        <v>47</v>
      </c>
      <c r="D1995">
        <f>_xlfn.LET(_xlpm.dir,Table1[[#This Row],[Direction]],
IF(_xlpm.dir="L",
    IF(F1994-Table1[[#This Row],[Steps]]&lt;0,100+(F1994-Table1[[#This Row],[Steps]]),F1994-Table1[[#This Row],[Steps]]),
))</f>
        <v>46</v>
      </c>
      <c r="E1995">
        <f>_xlfn.LET(_xlpm.dir,Table1[[#This Row],[Direction]],
IF(_xlpm.dir="R",
    IF(F1994+Table1[[#This Row],[Steps]]&gt;99,(F1994+Table1[[#This Row],[Steps]])-100,F1994+Table1[[#This Row],[Steps]]),
))</f>
        <v>0</v>
      </c>
      <c r="F1995">
        <f>IF(Table1[[#This Row],[New Pos L]]&lt;&gt;0,Table1[[#This Row],[New Pos L]],Table1[[#This Row],[New Pos R]])</f>
        <v>46</v>
      </c>
    </row>
    <row r="1996" spans="1:6" ht="16" x14ac:dyDescent="0.2">
      <c r="A1996" s="1" t="s">
        <v>18</v>
      </c>
      <c r="B1996" t="str">
        <f>LEFT(Table1[[#This Row],[Input]],1)</f>
        <v>L</v>
      </c>
      <c r="C1996">
        <f>_xlfn.LET(_xlpm.steps,SUBSTITUTE(Table1[[#This Row],[Input]],Table1[[#This Row],[Direction]],""),VALUE(IF(LEN(_xlpm.steps)&gt;2,RIGHT(_xlpm.steps,2),_xlpm.steps)))</f>
        <v>46</v>
      </c>
      <c r="D1996">
        <f>_xlfn.LET(_xlpm.dir,Table1[[#This Row],[Direction]],
IF(_xlpm.dir="L",
    IF(F1995-Table1[[#This Row],[Steps]]&lt;0,100+(F1995-Table1[[#This Row],[Steps]]),F1995-Table1[[#This Row],[Steps]]),
))</f>
        <v>0</v>
      </c>
      <c r="E1996">
        <f>_xlfn.LET(_xlpm.dir,Table1[[#This Row],[Direction]],
IF(_xlpm.dir="R",
    IF(F1995+Table1[[#This Row],[Steps]]&gt;99,(F1995+Table1[[#This Row],[Steps]])-100,F1995+Table1[[#This Row],[Steps]]),
))</f>
        <v>0</v>
      </c>
      <c r="F1996">
        <f>IF(Table1[[#This Row],[New Pos L]]&lt;&gt;0,Table1[[#This Row],[New Pos L]],Table1[[#This Row],[New Pos R]])</f>
        <v>0</v>
      </c>
    </row>
    <row r="1997" spans="1:6" ht="16" x14ac:dyDescent="0.2">
      <c r="A1997" s="1" t="s">
        <v>39</v>
      </c>
      <c r="B1997" t="str">
        <f>LEFT(Table1[[#This Row],[Input]],1)</f>
        <v>R</v>
      </c>
      <c r="C1997">
        <f>_xlfn.LET(_xlpm.steps,SUBSTITUTE(Table1[[#This Row],[Input]],Table1[[#This Row],[Direction]],""),VALUE(IF(LEN(_xlpm.steps)&gt;2,RIGHT(_xlpm.steps,2),_xlpm.steps)))</f>
        <v>32</v>
      </c>
      <c r="D1997">
        <f>_xlfn.LET(_xlpm.dir,Table1[[#This Row],[Direction]],
IF(_xlpm.dir="L",
    IF(F1996-Table1[[#This Row],[Steps]]&lt;0,100+(F1996-Table1[[#This Row],[Steps]]),F1996-Table1[[#This Row],[Steps]]),
))</f>
        <v>0</v>
      </c>
      <c r="E1997">
        <f>_xlfn.LET(_xlpm.dir,Table1[[#This Row],[Direction]],
IF(_xlpm.dir="R",
    IF(F1996+Table1[[#This Row],[Steps]]&gt;99,(F1996+Table1[[#This Row],[Steps]])-100,F1996+Table1[[#This Row],[Steps]]),
))</f>
        <v>32</v>
      </c>
      <c r="F1997">
        <f>IF(Table1[[#This Row],[New Pos L]]&lt;&gt;0,Table1[[#This Row],[New Pos L]],Table1[[#This Row],[New Pos R]])</f>
        <v>32</v>
      </c>
    </row>
    <row r="1998" spans="1:6" ht="16" x14ac:dyDescent="0.2">
      <c r="A1998" s="1" t="s">
        <v>405</v>
      </c>
      <c r="B1998" t="str">
        <f>LEFT(Table1[[#This Row],[Input]],1)</f>
        <v>L</v>
      </c>
      <c r="C1998">
        <f>_xlfn.LET(_xlpm.steps,SUBSTITUTE(Table1[[#This Row],[Input]],Table1[[#This Row],[Direction]],""),VALUE(IF(LEN(_xlpm.steps)&gt;2,RIGHT(_xlpm.steps,2),_xlpm.steps)))</f>
        <v>32</v>
      </c>
      <c r="D1998">
        <f>_xlfn.LET(_xlpm.dir,Table1[[#This Row],[Direction]],
IF(_xlpm.dir="L",
    IF(F1997-Table1[[#This Row],[Steps]]&lt;0,100+(F1997-Table1[[#This Row],[Steps]]),F1997-Table1[[#This Row],[Steps]]),
))</f>
        <v>0</v>
      </c>
      <c r="E1998">
        <f>_xlfn.LET(_xlpm.dir,Table1[[#This Row],[Direction]],
IF(_xlpm.dir="R",
    IF(F1997+Table1[[#This Row],[Steps]]&gt;99,(F1997+Table1[[#This Row],[Steps]])-100,F1997+Table1[[#This Row],[Steps]]),
))</f>
        <v>0</v>
      </c>
      <c r="F1998">
        <f>IF(Table1[[#This Row],[New Pos L]]&lt;&gt;0,Table1[[#This Row],[New Pos L]],Table1[[#This Row],[New Pos R]])</f>
        <v>0</v>
      </c>
    </row>
    <row r="1999" spans="1:6" ht="16" x14ac:dyDescent="0.2">
      <c r="A1999" s="1" t="s">
        <v>58</v>
      </c>
      <c r="B1999" t="str">
        <f>LEFT(Table1[[#This Row],[Input]],1)</f>
        <v>L</v>
      </c>
      <c r="C1999">
        <f>_xlfn.LET(_xlpm.steps,SUBSTITUTE(Table1[[#This Row],[Input]],Table1[[#This Row],[Direction]],""),VALUE(IF(LEN(_xlpm.steps)&gt;2,RIGHT(_xlpm.steps,2),_xlpm.steps)))</f>
        <v>30</v>
      </c>
      <c r="D1999">
        <f>_xlfn.LET(_xlpm.dir,Table1[[#This Row],[Direction]],
IF(_xlpm.dir="L",
    IF(F1998-Table1[[#This Row],[Steps]]&lt;0,100+(F1998-Table1[[#This Row],[Steps]]),F1998-Table1[[#This Row],[Steps]]),
))</f>
        <v>70</v>
      </c>
      <c r="E1999">
        <f>_xlfn.LET(_xlpm.dir,Table1[[#This Row],[Direction]],
IF(_xlpm.dir="R",
    IF(F1998+Table1[[#This Row],[Steps]]&gt;99,(F1998+Table1[[#This Row],[Steps]])-100,F1998+Table1[[#This Row],[Steps]]),
))</f>
        <v>0</v>
      </c>
      <c r="F1999">
        <f>IF(Table1[[#This Row],[New Pos L]]&lt;&gt;0,Table1[[#This Row],[New Pos L]],Table1[[#This Row],[New Pos R]])</f>
        <v>70</v>
      </c>
    </row>
    <row r="2000" spans="1:6" ht="16" x14ac:dyDescent="0.2">
      <c r="A2000" s="1" t="s">
        <v>108</v>
      </c>
      <c r="B2000" t="str">
        <f>LEFT(Table1[[#This Row],[Input]],1)</f>
        <v>R</v>
      </c>
      <c r="C2000">
        <f>_xlfn.LET(_xlpm.steps,SUBSTITUTE(Table1[[#This Row],[Input]],Table1[[#This Row],[Direction]],""),VALUE(IF(LEN(_xlpm.steps)&gt;2,RIGHT(_xlpm.steps,2),_xlpm.steps)))</f>
        <v>66</v>
      </c>
      <c r="D2000">
        <f>_xlfn.LET(_xlpm.dir,Table1[[#This Row],[Direction]],
IF(_xlpm.dir="L",
    IF(F1999-Table1[[#This Row],[Steps]]&lt;0,100+(F1999-Table1[[#This Row],[Steps]]),F1999-Table1[[#This Row],[Steps]]),
))</f>
        <v>0</v>
      </c>
      <c r="E2000">
        <f>_xlfn.LET(_xlpm.dir,Table1[[#This Row],[Direction]],
IF(_xlpm.dir="R",
    IF(F1999+Table1[[#This Row],[Steps]]&gt;99,(F1999+Table1[[#This Row],[Steps]])-100,F1999+Table1[[#This Row],[Steps]]),
))</f>
        <v>36</v>
      </c>
      <c r="F2000">
        <f>IF(Table1[[#This Row],[New Pos L]]&lt;&gt;0,Table1[[#This Row],[New Pos L]],Table1[[#This Row],[New Pos R]])</f>
        <v>36</v>
      </c>
    </row>
    <row r="2001" spans="1:6" ht="16" x14ac:dyDescent="0.2">
      <c r="A2001" s="1" t="s">
        <v>21</v>
      </c>
      <c r="B2001" t="str">
        <f>LEFT(Table1[[#This Row],[Input]],1)</f>
        <v>L</v>
      </c>
      <c r="C2001">
        <f>_xlfn.LET(_xlpm.steps,SUBSTITUTE(Table1[[#This Row],[Input]],Table1[[#This Row],[Direction]],""),VALUE(IF(LEN(_xlpm.steps)&gt;2,RIGHT(_xlpm.steps,2),_xlpm.steps)))</f>
        <v>36</v>
      </c>
      <c r="D2001">
        <f>_xlfn.LET(_xlpm.dir,Table1[[#This Row],[Direction]],
IF(_xlpm.dir="L",
    IF(F2000-Table1[[#This Row],[Steps]]&lt;0,100+(F2000-Table1[[#This Row],[Steps]]),F2000-Table1[[#This Row],[Steps]]),
))</f>
        <v>0</v>
      </c>
      <c r="E2001">
        <f>_xlfn.LET(_xlpm.dir,Table1[[#This Row],[Direction]],
IF(_xlpm.dir="R",
    IF(F2000+Table1[[#This Row],[Steps]]&gt;99,(F2000+Table1[[#This Row],[Steps]])-100,F2000+Table1[[#This Row],[Steps]]),
))</f>
        <v>0</v>
      </c>
      <c r="F2001">
        <f>IF(Table1[[#This Row],[New Pos L]]&lt;&gt;0,Table1[[#This Row],[New Pos L]],Table1[[#This Row],[New Pos R]])</f>
        <v>0</v>
      </c>
    </row>
    <row r="2002" spans="1:6" ht="16" x14ac:dyDescent="0.2">
      <c r="A2002" s="1" t="s">
        <v>73</v>
      </c>
      <c r="B2002" t="str">
        <f>LEFT(Table1[[#This Row],[Input]],1)</f>
        <v>R</v>
      </c>
      <c r="C2002">
        <f>_xlfn.LET(_xlpm.steps,SUBSTITUTE(Table1[[#This Row],[Input]],Table1[[#This Row],[Direction]],""),VALUE(IF(LEN(_xlpm.steps)&gt;2,RIGHT(_xlpm.steps,2),_xlpm.steps)))</f>
        <v>21</v>
      </c>
      <c r="D2002">
        <f>_xlfn.LET(_xlpm.dir,Table1[[#This Row],[Direction]],
IF(_xlpm.dir="L",
    IF(F2001-Table1[[#This Row],[Steps]]&lt;0,100+(F2001-Table1[[#This Row],[Steps]]),F2001-Table1[[#This Row],[Steps]]),
))</f>
        <v>0</v>
      </c>
      <c r="E2002">
        <f>_xlfn.LET(_xlpm.dir,Table1[[#This Row],[Direction]],
IF(_xlpm.dir="R",
    IF(F2001+Table1[[#This Row],[Steps]]&gt;99,(F2001+Table1[[#This Row],[Steps]])-100,F2001+Table1[[#This Row],[Steps]]),
))</f>
        <v>21</v>
      </c>
      <c r="F2002">
        <f>IF(Table1[[#This Row],[New Pos L]]&lt;&gt;0,Table1[[#This Row],[New Pos L]],Table1[[#This Row],[New Pos R]])</f>
        <v>21</v>
      </c>
    </row>
    <row r="2003" spans="1:6" ht="16" x14ac:dyDescent="0.2">
      <c r="A2003" s="1" t="s">
        <v>264</v>
      </c>
      <c r="B2003" t="str">
        <f>LEFT(Table1[[#This Row],[Input]],1)</f>
        <v>L</v>
      </c>
      <c r="C2003">
        <f>_xlfn.LET(_xlpm.steps,SUBSTITUTE(Table1[[#This Row],[Input]],Table1[[#This Row],[Direction]],""),VALUE(IF(LEN(_xlpm.steps)&gt;2,RIGHT(_xlpm.steps,2),_xlpm.steps)))</f>
        <v>21</v>
      </c>
      <c r="D2003">
        <f>_xlfn.LET(_xlpm.dir,Table1[[#This Row],[Direction]],
IF(_xlpm.dir="L",
    IF(F2002-Table1[[#This Row],[Steps]]&lt;0,100+(F2002-Table1[[#This Row],[Steps]]),F2002-Table1[[#This Row],[Steps]]),
))</f>
        <v>0</v>
      </c>
      <c r="E2003">
        <f>_xlfn.LET(_xlpm.dir,Table1[[#This Row],[Direction]],
IF(_xlpm.dir="R",
    IF(F2002+Table1[[#This Row],[Steps]]&gt;99,(F2002+Table1[[#This Row],[Steps]])-100,F2002+Table1[[#This Row],[Steps]]),
))</f>
        <v>0</v>
      </c>
      <c r="F2003">
        <f>IF(Table1[[#This Row],[New Pos L]]&lt;&gt;0,Table1[[#This Row],[New Pos L]],Table1[[#This Row],[New Pos R]])</f>
        <v>0</v>
      </c>
    </row>
    <row r="2004" spans="1:6" ht="16" x14ac:dyDescent="0.2">
      <c r="A2004" s="1" t="s">
        <v>57</v>
      </c>
      <c r="B2004" t="str">
        <f>LEFT(Table1[[#This Row],[Input]],1)</f>
        <v>R</v>
      </c>
      <c r="C2004">
        <f>_xlfn.LET(_xlpm.steps,SUBSTITUTE(Table1[[#This Row],[Input]],Table1[[#This Row],[Direction]],""),VALUE(IF(LEN(_xlpm.steps)&gt;2,RIGHT(_xlpm.steps,2),_xlpm.steps)))</f>
        <v>29</v>
      </c>
      <c r="D2004">
        <f>_xlfn.LET(_xlpm.dir,Table1[[#This Row],[Direction]],
IF(_xlpm.dir="L",
    IF(F2003-Table1[[#This Row],[Steps]]&lt;0,100+(F2003-Table1[[#This Row],[Steps]]),F2003-Table1[[#This Row],[Steps]]),
))</f>
        <v>0</v>
      </c>
      <c r="E2004">
        <f>_xlfn.LET(_xlpm.dir,Table1[[#This Row],[Direction]],
IF(_xlpm.dir="R",
    IF(F2003+Table1[[#This Row],[Steps]]&gt;99,(F2003+Table1[[#This Row],[Steps]])-100,F2003+Table1[[#This Row],[Steps]]),
))</f>
        <v>29</v>
      </c>
      <c r="F2004">
        <f>IF(Table1[[#This Row],[New Pos L]]&lt;&gt;0,Table1[[#This Row],[New Pos L]],Table1[[#This Row],[New Pos R]])</f>
        <v>29</v>
      </c>
    </row>
    <row r="2005" spans="1:6" ht="16" x14ac:dyDescent="0.2">
      <c r="A2005" s="1" t="s">
        <v>544</v>
      </c>
      <c r="B2005" t="str">
        <f>LEFT(Table1[[#This Row],[Input]],1)</f>
        <v>R</v>
      </c>
      <c r="C2005">
        <f>_xlfn.LET(_xlpm.steps,SUBSTITUTE(Table1[[#This Row],[Input]],Table1[[#This Row],[Direction]],""),VALUE(IF(LEN(_xlpm.steps)&gt;2,RIGHT(_xlpm.steps,2),_xlpm.steps)))</f>
        <v>66</v>
      </c>
      <c r="D2005">
        <f>_xlfn.LET(_xlpm.dir,Table1[[#This Row],[Direction]],
IF(_xlpm.dir="L",
    IF(F2004-Table1[[#This Row],[Steps]]&lt;0,100+(F2004-Table1[[#This Row],[Steps]]),F2004-Table1[[#This Row],[Steps]]),
))</f>
        <v>0</v>
      </c>
      <c r="E2005">
        <f>_xlfn.LET(_xlpm.dir,Table1[[#This Row],[Direction]],
IF(_xlpm.dir="R",
    IF(F2004+Table1[[#This Row],[Steps]]&gt;99,(F2004+Table1[[#This Row],[Steps]])-100,F2004+Table1[[#This Row],[Steps]]),
))</f>
        <v>95</v>
      </c>
      <c r="F2005">
        <f>IF(Table1[[#This Row],[New Pos L]]&lt;&gt;0,Table1[[#This Row],[New Pos L]],Table1[[#This Row],[New Pos R]])</f>
        <v>95</v>
      </c>
    </row>
    <row r="2006" spans="1:6" ht="16" x14ac:dyDescent="0.2">
      <c r="A2006" s="1" t="s">
        <v>34</v>
      </c>
      <c r="B2006" t="str">
        <f>LEFT(Table1[[#This Row],[Input]],1)</f>
        <v>L</v>
      </c>
      <c r="C2006">
        <f>_xlfn.LET(_xlpm.steps,SUBSTITUTE(Table1[[#This Row],[Input]],Table1[[#This Row],[Direction]],""),VALUE(IF(LEN(_xlpm.steps)&gt;2,RIGHT(_xlpm.steps,2),_xlpm.steps)))</f>
        <v>15</v>
      </c>
      <c r="D2006">
        <f>_xlfn.LET(_xlpm.dir,Table1[[#This Row],[Direction]],
IF(_xlpm.dir="L",
    IF(F2005-Table1[[#This Row],[Steps]]&lt;0,100+(F2005-Table1[[#This Row],[Steps]]),F2005-Table1[[#This Row],[Steps]]),
))</f>
        <v>80</v>
      </c>
      <c r="E2006">
        <f>_xlfn.LET(_xlpm.dir,Table1[[#This Row],[Direction]],
IF(_xlpm.dir="R",
    IF(F2005+Table1[[#This Row],[Steps]]&gt;99,(F2005+Table1[[#This Row],[Steps]])-100,F2005+Table1[[#This Row],[Steps]]),
))</f>
        <v>0</v>
      </c>
      <c r="F2006">
        <f>IF(Table1[[#This Row],[New Pos L]]&lt;&gt;0,Table1[[#This Row],[New Pos L]],Table1[[#This Row],[New Pos R]])</f>
        <v>80</v>
      </c>
    </row>
    <row r="2007" spans="1:6" ht="16" x14ac:dyDescent="0.2">
      <c r="A2007" s="1" t="s">
        <v>185</v>
      </c>
      <c r="B2007" t="str">
        <f>LEFT(Table1[[#This Row],[Input]],1)</f>
        <v>R</v>
      </c>
      <c r="C2007">
        <f>_xlfn.LET(_xlpm.steps,SUBSTITUTE(Table1[[#This Row],[Input]],Table1[[#This Row],[Direction]],""),VALUE(IF(LEN(_xlpm.steps)&gt;2,RIGHT(_xlpm.steps,2),_xlpm.steps)))</f>
        <v>61</v>
      </c>
      <c r="D2007">
        <f>_xlfn.LET(_xlpm.dir,Table1[[#This Row],[Direction]],
IF(_xlpm.dir="L",
    IF(F2006-Table1[[#This Row],[Steps]]&lt;0,100+(F2006-Table1[[#This Row],[Steps]]),F2006-Table1[[#This Row],[Steps]]),
))</f>
        <v>0</v>
      </c>
      <c r="E2007">
        <f>_xlfn.LET(_xlpm.dir,Table1[[#This Row],[Direction]],
IF(_xlpm.dir="R",
    IF(F2006+Table1[[#This Row],[Steps]]&gt;99,(F2006+Table1[[#This Row],[Steps]])-100,F2006+Table1[[#This Row],[Steps]]),
))</f>
        <v>41</v>
      </c>
      <c r="F2007">
        <f>IF(Table1[[#This Row],[New Pos L]]&lt;&gt;0,Table1[[#This Row],[New Pos L]],Table1[[#This Row],[New Pos R]])</f>
        <v>41</v>
      </c>
    </row>
    <row r="2008" spans="1:6" ht="16" x14ac:dyDescent="0.2">
      <c r="A2008" s="1" t="s">
        <v>309</v>
      </c>
      <c r="B2008" t="str">
        <f>LEFT(Table1[[#This Row],[Input]],1)</f>
        <v>L</v>
      </c>
      <c r="C2008">
        <f>_xlfn.LET(_xlpm.steps,SUBSTITUTE(Table1[[#This Row],[Input]],Table1[[#This Row],[Direction]],""),VALUE(IF(LEN(_xlpm.steps)&gt;2,RIGHT(_xlpm.steps,2),_xlpm.steps)))</f>
        <v>41</v>
      </c>
      <c r="D2008">
        <f>_xlfn.LET(_xlpm.dir,Table1[[#This Row],[Direction]],
IF(_xlpm.dir="L",
    IF(F2007-Table1[[#This Row],[Steps]]&lt;0,100+(F2007-Table1[[#This Row],[Steps]]),F2007-Table1[[#This Row],[Steps]]),
))</f>
        <v>0</v>
      </c>
      <c r="E2008">
        <f>_xlfn.LET(_xlpm.dir,Table1[[#This Row],[Direction]],
IF(_xlpm.dir="R",
    IF(F2007+Table1[[#This Row],[Steps]]&gt;99,(F2007+Table1[[#This Row],[Steps]])-100,F2007+Table1[[#This Row],[Steps]]),
))</f>
        <v>0</v>
      </c>
      <c r="F2008">
        <f>IF(Table1[[#This Row],[New Pos L]]&lt;&gt;0,Table1[[#This Row],[New Pos L]],Table1[[#This Row],[New Pos R]])</f>
        <v>0</v>
      </c>
    </row>
    <row r="2009" spans="1:6" ht="16" x14ac:dyDescent="0.2">
      <c r="A2009" s="1" t="s">
        <v>264</v>
      </c>
      <c r="B2009" t="str">
        <f>LEFT(Table1[[#This Row],[Input]],1)</f>
        <v>L</v>
      </c>
      <c r="C2009">
        <f>_xlfn.LET(_xlpm.steps,SUBSTITUTE(Table1[[#This Row],[Input]],Table1[[#This Row],[Direction]],""),VALUE(IF(LEN(_xlpm.steps)&gt;2,RIGHT(_xlpm.steps,2),_xlpm.steps)))</f>
        <v>21</v>
      </c>
      <c r="D2009">
        <f>_xlfn.LET(_xlpm.dir,Table1[[#This Row],[Direction]],
IF(_xlpm.dir="L",
    IF(F2008-Table1[[#This Row],[Steps]]&lt;0,100+(F2008-Table1[[#This Row],[Steps]]),F2008-Table1[[#This Row],[Steps]]),
))</f>
        <v>79</v>
      </c>
      <c r="E2009">
        <f>_xlfn.LET(_xlpm.dir,Table1[[#This Row],[Direction]],
IF(_xlpm.dir="R",
    IF(F2008+Table1[[#This Row],[Steps]]&gt;99,(F2008+Table1[[#This Row],[Steps]])-100,F2008+Table1[[#This Row],[Steps]]),
))</f>
        <v>0</v>
      </c>
      <c r="F2009">
        <f>IF(Table1[[#This Row],[New Pos L]]&lt;&gt;0,Table1[[#This Row],[New Pos L]],Table1[[#This Row],[New Pos R]])</f>
        <v>79</v>
      </c>
    </row>
    <row r="2010" spans="1:6" ht="16" x14ac:dyDescent="0.2">
      <c r="A2010" s="1" t="s">
        <v>6</v>
      </c>
      <c r="B2010" t="str">
        <f>LEFT(Table1[[#This Row],[Input]],1)</f>
        <v>R</v>
      </c>
      <c r="C2010">
        <f>_xlfn.LET(_xlpm.steps,SUBSTITUTE(Table1[[#This Row],[Input]],Table1[[#This Row],[Direction]],""),VALUE(IF(LEN(_xlpm.steps)&gt;2,RIGHT(_xlpm.steps,2),_xlpm.steps)))</f>
        <v>49</v>
      </c>
      <c r="D2010">
        <f>_xlfn.LET(_xlpm.dir,Table1[[#This Row],[Direction]],
IF(_xlpm.dir="L",
    IF(F2009-Table1[[#This Row],[Steps]]&lt;0,100+(F2009-Table1[[#This Row],[Steps]]),F2009-Table1[[#This Row],[Steps]]),
))</f>
        <v>0</v>
      </c>
      <c r="E2010">
        <f>_xlfn.LET(_xlpm.dir,Table1[[#This Row],[Direction]],
IF(_xlpm.dir="R",
    IF(F2009+Table1[[#This Row],[Steps]]&gt;99,(F2009+Table1[[#This Row],[Steps]])-100,F2009+Table1[[#This Row],[Steps]]),
))</f>
        <v>28</v>
      </c>
      <c r="F2010">
        <f>IF(Table1[[#This Row],[New Pos L]]&lt;&gt;0,Table1[[#This Row],[New Pos L]],Table1[[#This Row],[New Pos R]])</f>
        <v>28</v>
      </c>
    </row>
    <row r="2011" spans="1:6" ht="16" x14ac:dyDescent="0.2">
      <c r="A2011" s="1" t="s">
        <v>32</v>
      </c>
      <c r="B2011" t="str">
        <f>LEFT(Table1[[#This Row],[Input]],1)</f>
        <v>L</v>
      </c>
      <c r="C2011">
        <f>_xlfn.LET(_xlpm.steps,SUBSTITUTE(Table1[[#This Row],[Input]],Table1[[#This Row],[Direction]],""),VALUE(IF(LEN(_xlpm.steps)&gt;2,RIGHT(_xlpm.steps,2),_xlpm.steps)))</f>
        <v>28</v>
      </c>
      <c r="D2011">
        <f>_xlfn.LET(_xlpm.dir,Table1[[#This Row],[Direction]],
IF(_xlpm.dir="L",
    IF(F2010-Table1[[#This Row],[Steps]]&lt;0,100+(F2010-Table1[[#This Row],[Steps]]),F2010-Table1[[#This Row],[Steps]]),
))</f>
        <v>0</v>
      </c>
      <c r="E2011">
        <f>_xlfn.LET(_xlpm.dir,Table1[[#This Row],[Direction]],
IF(_xlpm.dir="R",
    IF(F2010+Table1[[#This Row],[Steps]]&gt;99,(F2010+Table1[[#This Row],[Steps]])-100,F2010+Table1[[#This Row],[Steps]]),
))</f>
        <v>0</v>
      </c>
      <c r="F2011">
        <f>IF(Table1[[#This Row],[New Pos L]]&lt;&gt;0,Table1[[#This Row],[New Pos L]],Table1[[#This Row],[New Pos R]])</f>
        <v>0</v>
      </c>
    </row>
    <row r="2012" spans="1:6" ht="16" x14ac:dyDescent="0.2">
      <c r="A2012" s="1" t="s">
        <v>179</v>
      </c>
      <c r="B2012" t="str">
        <f>LEFT(Table1[[#This Row],[Input]],1)</f>
        <v>L</v>
      </c>
      <c r="C2012">
        <f>_xlfn.LET(_xlpm.steps,SUBSTITUTE(Table1[[#This Row],[Input]],Table1[[#This Row],[Direction]],""),VALUE(IF(LEN(_xlpm.steps)&gt;2,RIGHT(_xlpm.steps,2),_xlpm.steps)))</f>
        <v>54</v>
      </c>
      <c r="D2012">
        <f>_xlfn.LET(_xlpm.dir,Table1[[#This Row],[Direction]],
IF(_xlpm.dir="L",
    IF(F2011-Table1[[#This Row],[Steps]]&lt;0,100+(F2011-Table1[[#This Row],[Steps]]),F2011-Table1[[#This Row],[Steps]]),
))</f>
        <v>46</v>
      </c>
      <c r="E2012">
        <f>_xlfn.LET(_xlpm.dir,Table1[[#This Row],[Direction]],
IF(_xlpm.dir="R",
    IF(F2011+Table1[[#This Row],[Steps]]&gt;99,(F2011+Table1[[#This Row],[Steps]])-100,F2011+Table1[[#This Row],[Steps]]),
))</f>
        <v>0</v>
      </c>
      <c r="F2012">
        <f>IF(Table1[[#This Row],[New Pos L]]&lt;&gt;0,Table1[[#This Row],[New Pos L]],Table1[[#This Row],[New Pos R]])</f>
        <v>46</v>
      </c>
    </row>
    <row r="2013" spans="1:6" ht="16" x14ac:dyDescent="0.2">
      <c r="A2013" s="1" t="s">
        <v>216</v>
      </c>
      <c r="B2013" t="str">
        <f>LEFT(Table1[[#This Row],[Input]],1)</f>
        <v>R</v>
      </c>
      <c r="C2013">
        <f>_xlfn.LET(_xlpm.steps,SUBSTITUTE(Table1[[#This Row],[Input]],Table1[[#This Row],[Direction]],""),VALUE(IF(LEN(_xlpm.steps)&gt;2,RIGHT(_xlpm.steps,2),_xlpm.steps)))</f>
        <v>54</v>
      </c>
      <c r="D2013">
        <f>_xlfn.LET(_xlpm.dir,Table1[[#This Row],[Direction]],
IF(_xlpm.dir="L",
    IF(F2012-Table1[[#This Row],[Steps]]&lt;0,100+(F2012-Table1[[#This Row],[Steps]]),F2012-Table1[[#This Row],[Steps]]),
))</f>
        <v>0</v>
      </c>
      <c r="E2013">
        <f>_xlfn.LET(_xlpm.dir,Table1[[#This Row],[Direction]],
IF(_xlpm.dir="R",
    IF(F2012+Table1[[#This Row],[Steps]]&gt;99,(F2012+Table1[[#This Row],[Steps]])-100,F2012+Table1[[#This Row],[Steps]]),
))</f>
        <v>0</v>
      </c>
      <c r="F2013">
        <f>IF(Table1[[#This Row],[New Pos L]]&lt;&gt;0,Table1[[#This Row],[New Pos L]],Table1[[#This Row],[New Pos R]])</f>
        <v>0</v>
      </c>
    </row>
    <row r="2014" spans="1:6" ht="16" x14ac:dyDescent="0.2">
      <c r="A2014" s="1" t="s">
        <v>390</v>
      </c>
      <c r="B2014" t="str">
        <f>LEFT(Table1[[#This Row],[Input]],1)</f>
        <v>L</v>
      </c>
      <c r="C2014">
        <f>_xlfn.LET(_xlpm.steps,SUBSTITUTE(Table1[[#This Row],[Input]],Table1[[#This Row],[Direction]],""),VALUE(IF(LEN(_xlpm.steps)&gt;2,RIGHT(_xlpm.steps,2),_xlpm.steps)))</f>
        <v>52</v>
      </c>
      <c r="D2014">
        <f>_xlfn.LET(_xlpm.dir,Table1[[#This Row],[Direction]],
IF(_xlpm.dir="L",
    IF(F2013-Table1[[#This Row],[Steps]]&lt;0,100+(F2013-Table1[[#This Row],[Steps]]),F2013-Table1[[#This Row],[Steps]]),
))</f>
        <v>48</v>
      </c>
      <c r="E2014">
        <f>_xlfn.LET(_xlpm.dir,Table1[[#This Row],[Direction]],
IF(_xlpm.dir="R",
    IF(F2013+Table1[[#This Row],[Steps]]&gt;99,(F2013+Table1[[#This Row],[Steps]])-100,F2013+Table1[[#This Row],[Steps]]),
))</f>
        <v>0</v>
      </c>
      <c r="F2014">
        <f>IF(Table1[[#This Row],[New Pos L]]&lt;&gt;0,Table1[[#This Row],[New Pos L]],Table1[[#This Row],[New Pos R]])</f>
        <v>48</v>
      </c>
    </row>
    <row r="2015" spans="1:6" ht="16" x14ac:dyDescent="0.2">
      <c r="A2015" s="1" t="s">
        <v>70</v>
      </c>
      <c r="B2015" t="str">
        <f>LEFT(Table1[[#This Row],[Input]],1)</f>
        <v>R</v>
      </c>
      <c r="C2015">
        <f>_xlfn.LET(_xlpm.steps,SUBSTITUTE(Table1[[#This Row],[Input]],Table1[[#This Row],[Direction]],""),VALUE(IF(LEN(_xlpm.steps)&gt;2,RIGHT(_xlpm.steps,2),_xlpm.steps)))</f>
        <v>73</v>
      </c>
      <c r="D2015">
        <f>_xlfn.LET(_xlpm.dir,Table1[[#This Row],[Direction]],
IF(_xlpm.dir="L",
    IF(F2014-Table1[[#This Row],[Steps]]&lt;0,100+(F2014-Table1[[#This Row],[Steps]]),F2014-Table1[[#This Row],[Steps]]),
))</f>
        <v>0</v>
      </c>
      <c r="E2015">
        <f>_xlfn.LET(_xlpm.dir,Table1[[#This Row],[Direction]],
IF(_xlpm.dir="R",
    IF(F2014+Table1[[#This Row],[Steps]]&gt;99,(F2014+Table1[[#This Row],[Steps]])-100,F2014+Table1[[#This Row],[Steps]]),
))</f>
        <v>21</v>
      </c>
      <c r="F2015">
        <f>IF(Table1[[#This Row],[New Pos L]]&lt;&gt;0,Table1[[#This Row],[New Pos L]],Table1[[#This Row],[New Pos R]])</f>
        <v>21</v>
      </c>
    </row>
    <row r="2016" spans="1:6" ht="16" x14ac:dyDescent="0.2">
      <c r="A2016" s="1" t="s">
        <v>11</v>
      </c>
      <c r="B2016" t="str">
        <f>LEFT(Table1[[#This Row],[Input]],1)</f>
        <v>L</v>
      </c>
      <c r="C2016">
        <f>_xlfn.LET(_xlpm.steps,SUBSTITUTE(Table1[[#This Row],[Input]],Table1[[#This Row],[Direction]],""),VALUE(IF(LEN(_xlpm.steps)&gt;2,RIGHT(_xlpm.steps,2),_xlpm.steps)))</f>
        <v>34</v>
      </c>
      <c r="D2016">
        <f>_xlfn.LET(_xlpm.dir,Table1[[#This Row],[Direction]],
IF(_xlpm.dir="L",
    IF(F2015-Table1[[#This Row],[Steps]]&lt;0,100+(F2015-Table1[[#This Row],[Steps]]),F2015-Table1[[#This Row],[Steps]]),
))</f>
        <v>87</v>
      </c>
      <c r="E2016">
        <f>_xlfn.LET(_xlpm.dir,Table1[[#This Row],[Direction]],
IF(_xlpm.dir="R",
    IF(F2015+Table1[[#This Row],[Steps]]&gt;99,(F2015+Table1[[#This Row],[Steps]])-100,F2015+Table1[[#This Row],[Steps]]),
))</f>
        <v>0</v>
      </c>
      <c r="F2016">
        <f>IF(Table1[[#This Row],[New Pos L]]&lt;&gt;0,Table1[[#This Row],[New Pos L]],Table1[[#This Row],[New Pos R]])</f>
        <v>87</v>
      </c>
    </row>
    <row r="2017" spans="1:6" ht="16" x14ac:dyDescent="0.2">
      <c r="A2017" s="1" t="s">
        <v>545</v>
      </c>
      <c r="B2017" t="str">
        <f>LEFT(Table1[[#This Row],[Input]],1)</f>
        <v>L</v>
      </c>
      <c r="C2017">
        <f>_xlfn.LET(_xlpm.steps,SUBSTITUTE(Table1[[#This Row],[Input]],Table1[[#This Row],[Direction]],""),VALUE(IF(LEN(_xlpm.steps)&gt;2,RIGHT(_xlpm.steps,2),_xlpm.steps)))</f>
        <v>39</v>
      </c>
      <c r="D2017">
        <f>_xlfn.LET(_xlpm.dir,Table1[[#This Row],[Direction]],
IF(_xlpm.dir="L",
    IF(F2016-Table1[[#This Row],[Steps]]&lt;0,100+(F2016-Table1[[#This Row],[Steps]]),F2016-Table1[[#This Row],[Steps]]),
))</f>
        <v>48</v>
      </c>
      <c r="E2017">
        <f>_xlfn.LET(_xlpm.dir,Table1[[#This Row],[Direction]],
IF(_xlpm.dir="R",
    IF(F2016+Table1[[#This Row],[Steps]]&gt;99,(F2016+Table1[[#This Row],[Steps]])-100,F2016+Table1[[#This Row],[Steps]]),
))</f>
        <v>0</v>
      </c>
      <c r="F2017">
        <f>IF(Table1[[#This Row],[New Pos L]]&lt;&gt;0,Table1[[#This Row],[New Pos L]],Table1[[#This Row],[New Pos R]])</f>
        <v>48</v>
      </c>
    </row>
    <row r="2018" spans="1:6" ht="16" x14ac:dyDescent="0.2">
      <c r="A2018" s="1" t="s">
        <v>157</v>
      </c>
      <c r="B2018" t="str">
        <f>LEFT(Table1[[#This Row],[Input]],1)</f>
        <v>R</v>
      </c>
      <c r="C2018">
        <f>_xlfn.LET(_xlpm.steps,SUBSTITUTE(Table1[[#This Row],[Input]],Table1[[#This Row],[Direction]],""),VALUE(IF(LEN(_xlpm.steps)&gt;2,RIGHT(_xlpm.steps,2),_xlpm.steps)))</f>
        <v>68</v>
      </c>
      <c r="D2018">
        <f>_xlfn.LET(_xlpm.dir,Table1[[#This Row],[Direction]],
IF(_xlpm.dir="L",
    IF(F2017-Table1[[#This Row],[Steps]]&lt;0,100+(F2017-Table1[[#This Row],[Steps]]),F2017-Table1[[#This Row],[Steps]]),
))</f>
        <v>0</v>
      </c>
      <c r="E2018">
        <f>_xlfn.LET(_xlpm.dir,Table1[[#This Row],[Direction]],
IF(_xlpm.dir="R",
    IF(F2017+Table1[[#This Row],[Steps]]&gt;99,(F2017+Table1[[#This Row],[Steps]])-100,F2017+Table1[[#This Row],[Steps]]),
))</f>
        <v>16</v>
      </c>
      <c r="F2018">
        <f>IF(Table1[[#This Row],[New Pos L]]&lt;&gt;0,Table1[[#This Row],[New Pos L]],Table1[[#This Row],[New Pos R]])</f>
        <v>16</v>
      </c>
    </row>
    <row r="2019" spans="1:6" ht="16" x14ac:dyDescent="0.2">
      <c r="A2019" s="1" t="s">
        <v>61</v>
      </c>
      <c r="B2019" t="str">
        <f>LEFT(Table1[[#This Row],[Input]],1)</f>
        <v>L</v>
      </c>
      <c r="C2019">
        <f>_xlfn.LET(_xlpm.steps,SUBSTITUTE(Table1[[#This Row],[Input]],Table1[[#This Row],[Direction]],""),VALUE(IF(LEN(_xlpm.steps)&gt;2,RIGHT(_xlpm.steps,2),_xlpm.steps)))</f>
        <v>16</v>
      </c>
      <c r="D2019">
        <f>_xlfn.LET(_xlpm.dir,Table1[[#This Row],[Direction]],
IF(_xlpm.dir="L",
    IF(F2018-Table1[[#This Row],[Steps]]&lt;0,100+(F2018-Table1[[#This Row],[Steps]]),F2018-Table1[[#This Row],[Steps]]),
))</f>
        <v>0</v>
      </c>
      <c r="E2019">
        <f>_xlfn.LET(_xlpm.dir,Table1[[#This Row],[Direction]],
IF(_xlpm.dir="R",
    IF(F2018+Table1[[#This Row],[Steps]]&gt;99,(F2018+Table1[[#This Row],[Steps]])-100,F2018+Table1[[#This Row],[Steps]]),
))</f>
        <v>0</v>
      </c>
      <c r="F2019">
        <f>IF(Table1[[#This Row],[New Pos L]]&lt;&gt;0,Table1[[#This Row],[New Pos L]],Table1[[#This Row],[New Pos R]])</f>
        <v>0</v>
      </c>
    </row>
    <row r="2020" spans="1:6" ht="16" x14ac:dyDescent="0.2">
      <c r="A2020" s="1" t="s">
        <v>129</v>
      </c>
      <c r="B2020" t="str">
        <f>LEFT(Table1[[#This Row],[Input]],1)</f>
        <v>R</v>
      </c>
      <c r="C2020">
        <f>_xlfn.LET(_xlpm.steps,SUBSTITUTE(Table1[[#This Row],[Input]],Table1[[#This Row],[Direction]],""),VALUE(IF(LEN(_xlpm.steps)&gt;2,RIGHT(_xlpm.steps,2),_xlpm.steps)))</f>
        <v>8</v>
      </c>
      <c r="D2020">
        <f>_xlfn.LET(_xlpm.dir,Table1[[#This Row],[Direction]],
IF(_xlpm.dir="L",
    IF(F2019-Table1[[#This Row],[Steps]]&lt;0,100+(F2019-Table1[[#This Row],[Steps]]),F2019-Table1[[#This Row],[Steps]]),
))</f>
        <v>0</v>
      </c>
      <c r="E2020">
        <f>_xlfn.LET(_xlpm.dir,Table1[[#This Row],[Direction]],
IF(_xlpm.dir="R",
    IF(F2019+Table1[[#This Row],[Steps]]&gt;99,(F2019+Table1[[#This Row],[Steps]])-100,F2019+Table1[[#This Row],[Steps]]),
))</f>
        <v>8</v>
      </c>
      <c r="F2020">
        <f>IF(Table1[[#This Row],[New Pos L]]&lt;&gt;0,Table1[[#This Row],[New Pos L]],Table1[[#This Row],[New Pos R]])</f>
        <v>8</v>
      </c>
    </row>
    <row r="2021" spans="1:6" ht="16" x14ac:dyDescent="0.2">
      <c r="A2021" s="1" t="s">
        <v>23</v>
      </c>
      <c r="B2021" t="str">
        <f>LEFT(Table1[[#This Row],[Input]],1)</f>
        <v>L</v>
      </c>
      <c r="C2021">
        <f>_xlfn.LET(_xlpm.steps,SUBSTITUTE(Table1[[#This Row],[Input]],Table1[[#This Row],[Direction]],""),VALUE(IF(LEN(_xlpm.steps)&gt;2,RIGHT(_xlpm.steps,2),_xlpm.steps)))</f>
        <v>8</v>
      </c>
      <c r="D2021">
        <f>_xlfn.LET(_xlpm.dir,Table1[[#This Row],[Direction]],
IF(_xlpm.dir="L",
    IF(F2020-Table1[[#This Row],[Steps]]&lt;0,100+(F2020-Table1[[#This Row],[Steps]]),F2020-Table1[[#This Row],[Steps]]),
))</f>
        <v>0</v>
      </c>
      <c r="E2021">
        <f>_xlfn.LET(_xlpm.dir,Table1[[#This Row],[Direction]],
IF(_xlpm.dir="R",
    IF(F2020+Table1[[#This Row],[Steps]]&gt;99,(F2020+Table1[[#This Row],[Steps]])-100,F2020+Table1[[#This Row],[Steps]]),
))</f>
        <v>0</v>
      </c>
      <c r="F2021">
        <f>IF(Table1[[#This Row],[New Pos L]]&lt;&gt;0,Table1[[#This Row],[New Pos L]],Table1[[#This Row],[New Pos R]])</f>
        <v>0</v>
      </c>
    </row>
    <row r="2022" spans="1:6" ht="16" x14ac:dyDescent="0.2">
      <c r="A2022" s="1" t="s">
        <v>2</v>
      </c>
      <c r="B2022" t="str">
        <f>LEFT(Table1[[#This Row],[Input]],1)</f>
        <v>L</v>
      </c>
      <c r="C2022">
        <f>_xlfn.LET(_xlpm.steps,SUBSTITUTE(Table1[[#This Row],[Input]],Table1[[#This Row],[Direction]],""),VALUE(IF(LEN(_xlpm.steps)&gt;2,RIGHT(_xlpm.steps,2),_xlpm.steps)))</f>
        <v>38</v>
      </c>
      <c r="D2022">
        <f>_xlfn.LET(_xlpm.dir,Table1[[#This Row],[Direction]],
IF(_xlpm.dir="L",
    IF(F2021-Table1[[#This Row],[Steps]]&lt;0,100+(F2021-Table1[[#This Row],[Steps]]),F2021-Table1[[#This Row],[Steps]]),
))</f>
        <v>62</v>
      </c>
      <c r="E2022">
        <f>_xlfn.LET(_xlpm.dir,Table1[[#This Row],[Direction]],
IF(_xlpm.dir="R",
    IF(F2021+Table1[[#This Row],[Steps]]&gt;99,(F2021+Table1[[#This Row],[Steps]])-100,F2021+Table1[[#This Row],[Steps]]),
))</f>
        <v>0</v>
      </c>
      <c r="F2022">
        <f>IF(Table1[[#This Row],[New Pos L]]&lt;&gt;0,Table1[[#This Row],[New Pos L]],Table1[[#This Row],[New Pos R]])</f>
        <v>62</v>
      </c>
    </row>
    <row r="2023" spans="1:6" ht="16" x14ac:dyDescent="0.2">
      <c r="A2023" s="1" t="s">
        <v>546</v>
      </c>
      <c r="B2023" t="str">
        <f>LEFT(Table1[[#This Row],[Input]],1)</f>
        <v>R</v>
      </c>
      <c r="C2023">
        <f>_xlfn.LET(_xlpm.steps,SUBSTITUTE(Table1[[#This Row],[Input]],Table1[[#This Row],[Direction]],""),VALUE(IF(LEN(_xlpm.steps)&gt;2,RIGHT(_xlpm.steps,2),_xlpm.steps)))</f>
        <v>76</v>
      </c>
      <c r="D2023">
        <f>_xlfn.LET(_xlpm.dir,Table1[[#This Row],[Direction]],
IF(_xlpm.dir="L",
    IF(F2022-Table1[[#This Row],[Steps]]&lt;0,100+(F2022-Table1[[#This Row],[Steps]]),F2022-Table1[[#This Row],[Steps]]),
))</f>
        <v>0</v>
      </c>
      <c r="E2023">
        <f>_xlfn.LET(_xlpm.dir,Table1[[#This Row],[Direction]],
IF(_xlpm.dir="R",
    IF(F2022+Table1[[#This Row],[Steps]]&gt;99,(F2022+Table1[[#This Row],[Steps]])-100,F2022+Table1[[#This Row],[Steps]]),
))</f>
        <v>38</v>
      </c>
      <c r="F2023">
        <f>IF(Table1[[#This Row],[New Pos L]]&lt;&gt;0,Table1[[#This Row],[New Pos L]],Table1[[#This Row],[New Pos R]])</f>
        <v>38</v>
      </c>
    </row>
    <row r="2024" spans="1:6" ht="16" x14ac:dyDescent="0.2">
      <c r="A2024" s="1" t="s">
        <v>60</v>
      </c>
      <c r="B2024" t="str">
        <f>LEFT(Table1[[#This Row],[Input]],1)</f>
        <v>R</v>
      </c>
      <c r="C2024">
        <f>_xlfn.LET(_xlpm.steps,SUBSTITUTE(Table1[[#This Row],[Input]],Table1[[#This Row],[Direction]],""),VALUE(IF(LEN(_xlpm.steps)&gt;2,RIGHT(_xlpm.steps,2),_xlpm.steps)))</f>
        <v>86</v>
      </c>
      <c r="D2024">
        <f>_xlfn.LET(_xlpm.dir,Table1[[#This Row],[Direction]],
IF(_xlpm.dir="L",
    IF(F2023-Table1[[#This Row],[Steps]]&lt;0,100+(F2023-Table1[[#This Row],[Steps]]),F2023-Table1[[#This Row],[Steps]]),
))</f>
        <v>0</v>
      </c>
      <c r="E2024">
        <f>_xlfn.LET(_xlpm.dir,Table1[[#This Row],[Direction]],
IF(_xlpm.dir="R",
    IF(F2023+Table1[[#This Row],[Steps]]&gt;99,(F2023+Table1[[#This Row],[Steps]])-100,F2023+Table1[[#This Row],[Steps]]),
))</f>
        <v>24</v>
      </c>
      <c r="F2024">
        <f>IF(Table1[[#This Row],[New Pos L]]&lt;&gt;0,Table1[[#This Row],[New Pos L]],Table1[[#This Row],[New Pos R]])</f>
        <v>24</v>
      </c>
    </row>
    <row r="2025" spans="1:6" ht="16" x14ac:dyDescent="0.2">
      <c r="A2025" s="1" t="s">
        <v>161</v>
      </c>
      <c r="B2025" t="str">
        <f>LEFT(Table1[[#This Row],[Input]],1)</f>
        <v>R</v>
      </c>
      <c r="C2025">
        <f>_xlfn.LET(_xlpm.steps,SUBSTITUTE(Table1[[#This Row],[Input]],Table1[[#This Row],[Direction]],""),VALUE(IF(LEN(_xlpm.steps)&gt;2,RIGHT(_xlpm.steps,2),_xlpm.steps)))</f>
        <v>76</v>
      </c>
      <c r="D2025">
        <f>_xlfn.LET(_xlpm.dir,Table1[[#This Row],[Direction]],
IF(_xlpm.dir="L",
    IF(F2024-Table1[[#This Row],[Steps]]&lt;0,100+(F2024-Table1[[#This Row],[Steps]]),F2024-Table1[[#This Row],[Steps]]),
))</f>
        <v>0</v>
      </c>
      <c r="E2025">
        <f>_xlfn.LET(_xlpm.dir,Table1[[#This Row],[Direction]],
IF(_xlpm.dir="R",
    IF(F2024+Table1[[#This Row],[Steps]]&gt;99,(F2024+Table1[[#This Row],[Steps]])-100,F2024+Table1[[#This Row],[Steps]]),
))</f>
        <v>0</v>
      </c>
      <c r="F2025">
        <f>IF(Table1[[#This Row],[New Pos L]]&lt;&gt;0,Table1[[#This Row],[New Pos L]],Table1[[#This Row],[New Pos R]])</f>
        <v>0</v>
      </c>
    </row>
    <row r="2026" spans="1:6" ht="16" x14ac:dyDescent="0.2">
      <c r="A2026" s="1" t="s">
        <v>192</v>
      </c>
      <c r="B2026" t="str">
        <f>LEFT(Table1[[#This Row],[Input]],1)</f>
        <v>L</v>
      </c>
      <c r="C2026">
        <f>_xlfn.LET(_xlpm.steps,SUBSTITUTE(Table1[[#This Row],[Input]],Table1[[#This Row],[Direction]],""),VALUE(IF(LEN(_xlpm.steps)&gt;2,RIGHT(_xlpm.steps,2),_xlpm.steps)))</f>
        <v>52</v>
      </c>
      <c r="D2026">
        <f>_xlfn.LET(_xlpm.dir,Table1[[#This Row],[Direction]],
IF(_xlpm.dir="L",
    IF(F2025-Table1[[#This Row],[Steps]]&lt;0,100+(F2025-Table1[[#This Row],[Steps]]),F2025-Table1[[#This Row],[Steps]]),
))</f>
        <v>48</v>
      </c>
      <c r="E2026">
        <f>_xlfn.LET(_xlpm.dir,Table1[[#This Row],[Direction]],
IF(_xlpm.dir="R",
    IF(F2025+Table1[[#This Row],[Steps]]&gt;99,(F2025+Table1[[#This Row],[Steps]])-100,F2025+Table1[[#This Row],[Steps]]),
))</f>
        <v>0</v>
      </c>
      <c r="F2026">
        <f>IF(Table1[[#This Row],[New Pos L]]&lt;&gt;0,Table1[[#This Row],[New Pos L]],Table1[[#This Row],[New Pos R]])</f>
        <v>48</v>
      </c>
    </row>
    <row r="2027" spans="1:6" ht="16" x14ac:dyDescent="0.2">
      <c r="A2027" s="1" t="s">
        <v>547</v>
      </c>
      <c r="B2027" t="str">
        <f>LEFT(Table1[[#This Row],[Input]],1)</f>
        <v>L</v>
      </c>
      <c r="C2027">
        <f>_xlfn.LET(_xlpm.steps,SUBSTITUTE(Table1[[#This Row],[Input]],Table1[[#This Row],[Direction]],""),VALUE(IF(LEN(_xlpm.steps)&gt;2,RIGHT(_xlpm.steps,2),_xlpm.steps)))</f>
        <v>48</v>
      </c>
      <c r="D2027">
        <f>_xlfn.LET(_xlpm.dir,Table1[[#This Row],[Direction]],
IF(_xlpm.dir="L",
    IF(F2026-Table1[[#This Row],[Steps]]&lt;0,100+(F2026-Table1[[#This Row],[Steps]]),F2026-Table1[[#This Row],[Steps]]),
))</f>
        <v>0</v>
      </c>
      <c r="E2027">
        <f>_xlfn.LET(_xlpm.dir,Table1[[#This Row],[Direction]],
IF(_xlpm.dir="R",
    IF(F2026+Table1[[#This Row],[Steps]]&gt;99,(F2026+Table1[[#This Row],[Steps]])-100,F2026+Table1[[#This Row],[Steps]]),
))</f>
        <v>0</v>
      </c>
      <c r="F2027">
        <f>IF(Table1[[#This Row],[New Pos L]]&lt;&gt;0,Table1[[#This Row],[New Pos L]],Table1[[#This Row],[New Pos R]])</f>
        <v>0</v>
      </c>
    </row>
    <row r="2028" spans="1:6" ht="16" x14ac:dyDescent="0.2">
      <c r="A2028" s="1" t="s">
        <v>330</v>
      </c>
      <c r="B2028" t="str">
        <f>LEFT(Table1[[#This Row],[Input]],1)</f>
        <v>L</v>
      </c>
      <c r="C2028">
        <f>_xlfn.LET(_xlpm.steps,SUBSTITUTE(Table1[[#This Row],[Input]],Table1[[#This Row],[Direction]],""),VALUE(IF(LEN(_xlpm.steps)&gt;2,RIGHT(_xlpm.steps,2),_xlpm.steps)))</f>
        <v>47</v>
      </c>
      <c r="D2028">
        <f>_xlfn.LET(_xlpm.dir,Table1[[#This Row],[Direction]],
IF(_xlpm.dir="L",
    IF(F2027-Table1[[#This Row],[Steps]]&lt;0,100+(F2027-Table1[[#This Row],[Steps]]),F2027-Table1[[#This Row],[Steps]]),
))</f>
        <v>53</v>
      </c>
      <c r="E2028">
        <f>_xlfn.LET(_xlpm.dir,Table1[[#This Row],[Direction]],
IF(_xlpm.dir="R",
    IF(F2027+Table1[[#This Row],[Steps]]&gt;99,(F2027+Table1[[#This Row],[Steps]])-100,F2027+Table1[[#This Row],[Steps]]),
))</f>
        <v>0</v>
      </c>
      <c r="F2028">
        <f>IF(Table1[[#This Row],[New Pos L]]&lt;&gt;0,Table1[[#This Row],[New Pos L]],Table1[[#This Row],[New Pos R]])</f>
        <v>53</v>
      </c>
    </row>
    <row r="2029" spans="1:6" ht="16" x14ac:dyDescent="0.2">
      <c r="A2029" s="1" t="s">
        <v>548</v>
      </c>
      <c r="B2029" t="str">
        <f>LEFT(Table1[[#This Row],[Input]],1)</f>
        <v>L</v>
      </c>
      <c r="C2029">
        <f>_xlfn.LET(_xlpm.steps,SUBSTITUTE(Table1[[#This Row],[Input]],Table1[[#This Row],[Direction]],""),VALUE(IF(LEN(_xlpm.steps)&gt;2,RIGHT(_xlpm.steps,2),_xlpm.steps)))</f>
        <v>64</v>
      </c>
      <c r="D2029">
        <f>_xlfn.LET(_xlpm.dir,Table1[[#This Row],[Direction]],
IF(_xlpm.dir="L",
    IF(F2028-Table1[[#This Row],[Steps]]&lt;0,100+(F2028-Table1[[#This Row],[Steps]]),F2028-Table1[[#This Row],[Steps]]),
))</f>
        <v>89</v>
      </c>
      <c r="E2029">
        <f>_xlfn.LET(_xlpm.dir,Table1[[#This Row],[Direction]],
IF(_xlpm.dir="R",
    IF(F2028+Table1[[#This Row],[Steps]]&gt;99,(F2028+Table1[[#This Row],[Steps]])-100,F2028+Table1[[#This Row],[Steps]]),
))</f>
        <v>0</v>
      </c>
      <c r="F2029">
        <f>IF(Table1[[#This Row],[New Pos L]]&lt;&gt;0,Table1[[#This Row],[New Pos L]],Table1[[#This Row],[New Pos R]])</f>
        <v>89</v>
      </c>
    </row>
    <row r="2030" spans="1:6" ht="16" x14ac:dyDescent="0.2">
      <c r="A2030" s="1" t="s">
        <v>549</v>
      </c>
      <c r="B2030" t="str">
        <f>LEFT(Table1[[#This Row],[Input]],1)</f>
        <v>L</v>
      </c>
      <c r="C2030">
        <f>_xlfn.LET(_xlpm.steps,SUBSTITUTE(Table1[[#This Row],[Input]],Table1[[#This Row],[Direction]],""),VALUE(IF(LEN(_xlpm.steps)&gt;2,RIGHT(_xlpm.steps,2),_xlpm.steps)))</f>
        <v>12</v>
      </c>
      <c r="D2030">
        <f>_xlfn.LET(_xlpm.dir,Table1[[#This Row],[Direction]],
IF(_xlpm.dir="L",
    IF(F2029-Table1[[#This Row],[Steps]]&lt;0,100+(F2029-Table1[[#This Row],[Steps]]),F2029-Table1[[#This Row],[Steps]]),
))</f>
        <v>77</v>
      </c>
      <c r="E2030">
        <f>_xlfn.LET(_xlpm.dir,Table1[[#This Row],[Direction]],
IF(_xlpm.dir="R",
    IF(F2029+Table1[[#This Row],[Steps]]&gt;99,(F2029+Table1[[#This Row],[Steps]])-100,F2029+Table1[[#This Row],[Steps]]),
))</f>
        <v>0</v>
      </c>
      <c r="F2030">
        <f>IF(Table1[[#This Row],[New Pos L]]&lt;&gt;0,Table1[[#This Row],[New Pos L]],Table1[[#This Row],[New Pos R]])</f>
        <v>77</v>
      </c>
    </row>
    <row r="2031" spans="1:6" ht="16" x14ac:dyDescent="0.2">
      <c r="A2031" s="1" t="s">
        <v>71</v>
      </c>
      <c r="B2031" t="str">
        <f>LEFT(Table1[[#This Row],[Input]],1)</f>
        <v>R</v>
      </c>
      <c r="C2031">
        <f>_xlfn.LET(_xlpm.steps,SUBSTITUTE(Table1[[#This Row],[Input]],Table1[[#This Row],[Direction]],""),VALUE(IF(LEN(_xlpm.steps)&gt;2,RIGHT(_xlpm.steps,2),_xlpm.steps)))</f>
        <v>23</v>
      </c>
      <c r="D2031">
        <f>_xlfn.LET(_xlpm.dir,Table1[[#This Row],[Direction]],
IF(_xlpm.dir="L",
    IF(F2030-Table1[[#This Row],[Steps]]&lt;0,100+(F2030-Table1[[#This Row],[Steps]]),F2030-Table1[[#This Row],[Steps]]),
))</f>
        <v>0</v>
      </c>
      <c r="E2031">
        <f>_xlfn.LET(_xlpm.dir,Table1[[#This Row],[Direction]],
IF(_xlpm.dir="R",
    IF(F2030+Table1[[#This Row],[Steps]]&gt;99,(F2030+Table1[[#This Row],[Steps]])-100,F2030+Table1[[#This Row],[Steps]]),
))</f>
        <v>0</v>
      </c>
      <c r="F2031">
        <f>IF(Table1[[#This Row],[New Pos L]]&lt;&gt;0,Table1[[#This Row],[New Pos L]],Table1[[#This Row],[New Pos R]])</f>
        <v>0</v>
      </c>
    </row>
    <row r="2032" spans="1:6" ht="16" x14ac:dyDescent="0.2">
      <c r="A2032" s="1" t="s">
        <v>63</v>
      </c>
      <c r="B2032" t="str">
        <f>LEFT(Table1[[#This Row],[Input]],1)</f>
        <v>R</v>
      </c>
      <c r="C2032">
        <f>_xlfn.LET(_xlpm.steps,SUBSTITUTE(Table1[[#This Row],[Input]],Table1[[#This Row],[Direction]],""),VALUE(IF(LEN(_xlpm.steps)&gt;2,RIGHT(_xlpm.steps,2),_xlpm.steps)))</f>
        <v>57</v>
      </c>
      <c r="D2032">
        <f>_xlfn.LET(_xlpm.dir,Table1[[#This Row],[Direction]],
IF(_xlpm.dir="L",
    IF(F2031-Table1[[#This Row],[Steps]]&lt;0,100+(F2031-Table1[[#This Row],[Steps]]),F2031-Table1[[#This Row],[Steps]]),
))</f>
        <v>0</v>
      </c>
      <c r="E2032">
        <f>_xlfn.LET(_xlpm.dir,Table1[[#This Row],[Direction]],
IF(_xlpm.dir="R",
    IF(F2031+Table1[[#This Row],[Steps]]&gt;99,(F2031+Table1[[#This Row],[Steps]])-100,F2031+Table1[[#This Row],[Steps]]),
))</f>
        <v>57</v>
      </c>
      <c r="F2032">
        <f>IF(Table1[[#This Row],[New Pos L]]&lt;&gt;0,Table1[[#This Row],[New Pos L]],Table1[[#This Row],[New Pos R]])</f>
        <v>57</v>
      </c>
    </row>
    <row r="2033" spans="1:6" ht="16" x14ac:dyDescent="0.2">
      <c r="A2033" s="1" t="s">
        <v>28</v>
      </c>
      <c r="B2033" t="str">
        <f>LEFT(Table1[[#This Row],[Input]],1)</f>
        <v>R</v>
      </c>
      <c r="C2033">
        <f>_xlfn.LET(_xlpm.steps,SUBSTITUTE(Table1[[#This Row],[Input]],Table1[[#This Row],[Direction]],""),VALUE(IF(LEN(_xlpm.steps)&gt;2,RIGHT(_xlpm.steps,2),_xlpm.steps)))</f>
        <v>30</v>
      </c>
      <c r="D2033">
        <f>_xlfn.LET(_xlpm.dir,Table1[[#This Row],[Direction]],
IF(_xlpm.dir="L",
    IF(F2032-Table1[[#This Row],[Steps]]&lt;0,100+(F2032-Table1[[#This Row],[Steps]]),F2032-Table1[[#This Row],[Steps]]),
))</f>
        <v>0</v>
      </c>
      <c r="E2033">
        <f>_xlfn.LET(_xlpm.dir,Table1[[#This Row],[Direction]],
IF(_xlpm.dir="R",
    IF(F2032+Table1[[#This Row],[Steps]]&gt;99,(F2032+Table1[[#This Row],[Steps]])-100,F2032+Table1[[#This Row],[Steps]]),
))</f>
        <v>87</v>
      </c>
      <c r="F2033">
        <f>IF(Table1[[#This Row],[New Pos L]]&lt;&gt;0,Table1[[#This Row],[New Pos L]],Table1[[#This Row],[New Pos R]])</f>
        <v>87</v>
      </c>
    </row>
    <row r="2034" spans="1:6" ht="16" x14ac:dyDescent="0.2">
      <c r="A2034" s="1" t="s">
        <v>18</v>
      </c>
      <c r="B2034" t="str">
        <f>LEFT(Table1[[#This Row],[Input]],1)</f>
        <v>L</v>
      </c>
      <c r="C2034">
        <f>_xlfn.LET(_xlpm.steps,SUBSTITUTE(Table1[[#This Row],[Input]],Table1[[#This Row],[Direction]],""),VALUE(IF(LEN(_xlpm.steps)&gt;2,RIGHT(_xlpm.steps,2),_xlpm.steps)))</f>
        <v>46</v>
      </c>
      <c r="D2034">
        <f>_xlfn.LET(_xlpm.dir,Table1[[#This Row],[Direction]],
IF(_xlpm.dir="L",
    IF(F2033-Table1[[#This Row],[Steps]]&lt;0,100+(F2033-Table1[[#This Row],[Steps]]),F2033-Table1[[#This Row],[Steps]]),
))</f>
        <v>41</v>
      </c>
      <c r="E2034">
        <f>_xlfn.LET(_xlpm.dir,Table1[[#This Row],[Direction]],
IF(_xlpm.dir="R",
    IF(F2033+Table1[[#This Row],[Steps]]&gt;99,(F2033+Table1[[#This Row],[Steps]])-100,F2033+Table1[[#This Row],[Steps]]),
))</f>
        <v>0</v>
      </c>
      <c r="F2034">
        <f>IF(Table1[[#This Row],[New Pos L]]&lt;&gt;0,Table1[[#This Row],[New Pos L]],Table1[[#This Row],[New Pos R]])</f>
        <v>41</v>
      </c>
    </row>
    <row r="2035" spans="1:6" ht="16" x14ac:dyDescent="0.2">
      <c r="A2035" s="1" t="s">
        <v>104</v>
      </c>
      <c r="B2035" t="str">
        <f>LEFT(Table1[[#This Row],[Input]],1)</f>
        <v>R</v>
      </c>
      <c r="C2035">
        <f>_xlfn.LET(_xlpm.steps,SUBSTITUTE(Table1[[#This Row],[Input]],Table1[[#This Row],[Direction]],""),VALUE(IF(LEN(_xlpm.steps)&gt;2,RIGHT(_xlpm.steps,2),_xlpm.steps)))</f>
        <v>59</v>
      </c>
      <c r="D2035">
        <f>_xlfn.LET(_xlpm.dir,Table1[[#This Row],[Direction]],
IF(_xlpm.dir="L",
    IF(F2034-Table1[[#This Row],[Steps]]&lt;0,100+(F2034-Table1[[#This Row],[Steps]]),F2034-Table1[[#This Row],[Steps]]),
))</f>
        <v>0</v>
      </c>
      <c r="E2035">
        <f>_xlfn.LET(_xlpm.dir,Table1[[#This Row],[Direction]],
IF(_xlpm.dir="R",
    IF(F2034+Table1[[#This Row],[Steps]]&gt;99,(F2034+Table1[[#This Row],[Steps]])-100,F2034+Table1[[#This Row],[Steps]]),
))</f>
        <v>0</v>
      </c>
      <c r="F2035">
        <f>IF(Table1[[#This Row],[New Pos L]]&lt;&gt;0,Table1[[#This Row],[New Pos L]],Table1[[#This Row],[New Pos R]])</f>
        <v>0</v>
      </c>
    </row>
    <row r="2036" spans="1:6" ht="16" x14ac:dyDescent="0.2">
      <c r="A2036" s="1" t="s">
        <v>175</v>
      </c>
      <c r="B2036" t="str">
        <f>LEFT(Table1[[#This Row],[Input]],1)</f>
        <v>L</v>
      </c>
      <c r="C2036">
        <f>_xlfn.LET(_xlpm.steps,SUBSTITUTE(Table1[[#This Row],[Input]],Table1[[#This Row],[Direction]],""),VALUE(IF(LEN(_xlpm.steps)&gt;2,RIGHT(_xlpm.steps,2),_xlpm.steps)))</f>
        <v>1</v>
      </c>
      <c r="D2036">
        <f>_xlfn.LET(_xlpm.dir,Table1[[#This Row],[Direction]],
IF(_xlpm.dir="L",
    IF(F2035-Table1[[#This Row],[Steps]]&lt;0,100+(F2035-Table1[[#This Row],[Steps]]),F2035-Table1[[#This Row],[Steps]]),
))</f>
        <v>99</v>
      </c>
      <c r="E2036">
        <f>_xlfn.LET(_xlpm.dir,Table1[[#This Row],[Direction]],
IF(_xlpm.dir="R",
    IF(F2035+Table1[[#This Row],[Steps]]&gt;99,(F2035+Table1[[#This Row],[Steps]])-100,F2035+Table1[[#This Row],[Steps]]),
))</f>
        <v>0</v>
      </c>
      <c r="F2036">
        <f>IF(Table1[[#This Row],[New Pos L]]&lt;&gt;0,Table1[[#This Row],[New Pos L]],Table1[[#This Row],[New Pos R]])</f>
        <v>99</v>
      </c>
    </row>
    <row r="2037" spans="1:6" ht="16" x14ac:dyDescent="0.2">
      <c r="A2037" s="1" t="s">
        <v>252</v>
      </c>
      <c r="B2037" t="str">
        <f>LEFT(Table1[[#This Row],[Input]],1)</f>
        <v>L</v>
      </c>
      <c r="C2037">
        <f>_xlfn.LET(_xlpm.steps,SUBSTITUTE(Table1[[#This Row],[Input]],Table1[[#This Row],[Direction]],""),VALUE(IF(LEN(_xlpm.steps)&gt;2,RIGHT(_xlpm.steps,2),_xlpm.steps)))</f>
        <v>99</v>
      </c>
      <c r="D2037">
        <f>_xlfn.LET(_xlpm.dir,Table1[[#This Row],[Direction]],
IF(_xlpm.dir="L",
    IF(F2036-Table1[[#This Row],[Steps]]&lt;0,100+(F2036-Table1[[#This Row],[Steps]]),F2036-Table1[[#This Row],[Steps]]),
))</f>
        <v>0</v>
      </c>
      <c r="E2037">
        <f>_xlfn.LET(_xlpm.dir,Table1[[#This Row],[Direction]],
IF(_xlpm.dir="R",
    IF(F2036+Table1[[#This Row],[Steps]]&gt;99,(F2036+Table1[[#This Row],[Steps]])-100,F2036+Table1[[#This Row],[Steps]]),
))</f>
        <v>0</v>
      </c>
      <c r="F2037">
        <f>IF(Table1[[#This Row],[New Pos L]]&lt;&gt;0,Table1[[#This Row],[New Pos L]],Table1[[#This Row],[New Pos R]])</f>
        <v>0</v>
      </c>
    </row>
    <row r="2038" spans="1:6" ht="16" x14ac:dyDescent="0.2">
      <c r="A2038" s="1" t="s">
        <v>550</v>
      </c>
      <c r="B2038" t="str">
        <f>LEFT(Table1[[#This Row],[Input]],1)</f>
        <v>R</v>
      </c>
      <c r="C2038">
        <f>_xlfn.LET(_xlpm.steps,SUBSTITUTE(Table1[[#This Row],[Input]],Table1[[#This Row],[Direction]],""),VALUE(IF(LEN(_xlpm.steps)&gt;2,RIGHT(_xlpm.steps,2),_xlpm.steps)))</f>
        <v>20</v>
      </c>
      <c r="D2038">
        <f>_xlfn.LET(_xlpm.dir,Table1[[#This Row],[Direction]],
IF(_xlpm.dir="L",
    IF(F2037-Table1[[#This Row],[Steps]]&lt;0,100+(F2037-Table1[[#This Row],[Steps]]),F2037-Table1[[#This Row],[Steps]]),
))</f>
        <v>0</v>
      </c>
      <c r="E2038">
        <f>_xlfn.LET(_xlpm.dir,Table1[[#This Row],[Direction]],
IF(_xlpm.dir="R",
    IF(F2037+Table1[[#This Row],[Steps]]&gt;99,(F2037+Table1[[#This Row],[Steps]])-100,F2037+Table1[[#This Row],[Steps]]),
))</f>
        <v>20</v>
      </c>
      <c r="F2038">
        <f>IF(Table1[[#This Row],[New Pos L]]&lt;&gt;0,Table1[[#This Row],[New Pos L]],Table1[[#This Row],[New Pos R]])</f>
        <v>20</v>
      </c>
    </row>
    <row r="2039" spans="1:6" ht="16" x14ac:dyDescent="0.2">
      <c r="A2039" s="1" t="s">
        <v>94</v>
      </c>
      <c r="B2039" t="str">
        <f>LEFT(Table1[[#This Row],[Input]],1)</f>
        <v>L</v>
      </c>
      <c r="C2039">
        <f>_xlfn.LET(_xlpm.steps,SUBSTITUTE(Table1[[#This Row],[Input]],Table1[[#This Row],[Direction]],""),VALUE(IF(LEN(_xlpm.steps)&gt;2,RIGHT(_xlpm.steps,2),_xlpm.steps)))</f>
        <v>71</v>
      </c>
      <c r="D2039">
        <f>_xlfn.LET(_xlpm.dir,Table1[[#This Row],[Direction]],
IF(_xlpm.dir="L",
    IF(F2038-Table1[[#This Row],[Steps]]&lt;0,100+(F2038-Table1[[#This Row],[Steps]]),F2038-Table1[[#This Row],[Steps]]),
))</f>
        <v>49</v>
      </c>
      <c r="E2039">
        <f>_xlfn.LET(_xlpm.dir,Table1[[#This Row],[Direction]],
IF(_xlpm.dir="R",
    IF(F2038+Table1[[#This Row],[Steps]]&gt;99,(F2038+Table1[[#This Row],[Steps]])-100,F2038+Table1[[#This Row],[Steps]]),
))</f>
        <v>0</v>
      </c>
      <c r="F2039">
        <f>IF(Table1[[#This Row],[New Pos L]]&lt;&gt;0,Table1[[#This Row],[New Pos L]],Table1[[#This Row],[New Pos R]])</f>
        <v>49</v>
      </c>
    </row>
    <row r="2040" spans="1:6" ht="16" x14ac:dyDescent="0.2">
      <c r="A2040" s="1" t="s">
        <v>551</v>
      </c>
      <c r="B2040" t="str">
        <f>LEFT(Table1[[#This Row],[Input]],1)</f>
        <v>L</v>
      </c>
      <c r="C2040">
        <f>_xlfn.LET(_xlpm.steps,SUBSTITUTE(Table1[[#This Row],[Input]],Table1[[#This Row],[Direction]],""),VALUE(IF(LEN(_xlpm.steps)&gt;2,RIGHT(_xlpm.steps,2),_xlpm.steps)))</f>
        <v>21</v>
      </c>
      <c r="D2040">
        <f>_xlfn.LET(_xlpm.dir,Table1[[#This Row],[Direction]],
IF(_xlpm.dir="L",
    IF(F2039-Table1[[#This Row],[Steps]]&lt;0,100+(F2039-Table1[[#This Row],[Steps]]),F2039-Table1[[#This Row],[Steps]]),
))</f>
        <v>28</v>
      </c>
      <c r="E2040">
        <f>_xlfn.LET(_xlpm.dir,Table1[[#This Row],[Direction]],
IF(_xlpm.dir="R",
    IF(F2039+Table1[[#This Row],[Steps]]&gt;99,(F2039+Table1[[#This Row],[Steps]])-100,F2039+Table1[[#This Row],[Steps]]),
))</f>
        <v>0</v>
      </c>
      <c r="F2040">
        <f>IF(Table1[[#This Row],[New Pos L]]&lt;&gt;0,Table1[[#This Row],[New Pos L]],Table1[[#This Row],[New Pos R]])</f>
        <v>28</v>
      </c>
    </row>
    <row r="2041" spans="1:6" ht="16" x14ac:dyDescent="0.2">
      <c r="A2041" s="1" t="s">
        <v>552</v>
      </c>
      <c r="B2041" t="str">
        <f>LEFT(Table1[[#This Row],[Input]],1)</f>
        <v>R</v>
      </c>
      <c r="C2041">
        <f>_xlfn.LET(_xlpm.steps,SUBSTITUTE(Table1[[#This Row],[Input]],Table1[[#This Row],[Direction]],""),VALUE(IF(LEN(_xlpm.steps)&gt;2,RIGHT(_xlpm.steps,2),_xlpm.steps)))</f>
        <v>72</v>
      </c>
      <c r="D2041">
        <f>_xlfn.LET(_xlpm.dir,Table1[[#This Row],[Direction]],
IF(_xlpm.dir="L",
    IF(F2040-Table1[[#This Row],[Steps]]&lt;0,100+(F2040-Table1[[#This Row],[Steps]]),F2040-Table1[[#This Row],[Steps]]),
))</f>
        <v>0</v>
      </c>
      <c r="E2041">
        <f>_xlfn.LET(_xlpm.dir,Table1[[#This Row],[Direction]],
IF(_xlpm.dir="R",
    IF(F2040+Table1[[#This Row],[Steps]]&gt;99,(F2040+Table1[[#This Row],[Steps]])-100,F2040+Table1[[#This Row],[Steps]]),
))</f>
        <v>0</v>
      </c>
      <c r="F2041">
        <f>IF(Table1[[#This Row],[New Pos L]]&lt;&gt;0,Table1[[#This Row],[New Pos L]],Table1[[#This Row],[New Pos R]])</f>
        <v>0</v>
      </c>
    </row>
    <row r="2042" spans="1:6" ht="16" x14ac:dyDescent="0.2">
      <c r="A2042" s="1" t="s">
        <v>553</v>
      </c>
      <c r="B2042" t="str">
        <f>LEFT(Table1[[#This Row],[Input]],1)</f>
        <v>R</v>
      </c>
      <c r="C2042">
        <f>_xlfn.LET(_xlpm.steps,SUBSTITUTE(Table1[[#This Row],[Input]],Table1[[#This Row],[Direction]],""),VALUE(IF(LEN(_xlpm.steps)&gt;2,RIGHT(_xlpm.steps,2),_xlpm.steps)))</f>
        <v>30</v>
      </c>
      <c r="D2042">
        <f>_xlfn.LET(_xlpm.dir,Table1[[#This Row],[Direction]],
IF(_xlpm.dir="L",
    IF(F2041-Table1[[#This Row],[Steps]]&lt;0,100+(F2041-Table1[[#This Row],[Steps]]),F2041-Table1[[#This Row],[Steps]]),
))</f>
        <v>0</v>
      </c>
      <c r="E2042">
        <f>_xlfn.LET(_xlpm.dir,Table1[[#This Row],[Direction]],
IF(_xlpm.dir="R",
    IF(F2041+Table1[[#This Row],[Steps]]&gt;99,(F2041+Table1[[#This Row],[Steps]])-100,F2041+Table1[[#This Row],[Steps]]),
))</f>
        <v>30</v>
      </c>
      <c r="F2042">
        <f>IF(Table1[[#This Row],[New Pos L]]&lt;&gt;0,Table1[[#This Row],[New Pos L]],Table1[[#This Row],[New Pos R]])</f>
        <v>30</v>
      </c>
    </row>
    <row r="2043" spans="1:6" ht="16" x14ac:dyDescent="0.2">
      <c r="A2043" s="1" t="s">
        <v>279</v>
      </c>
      <c r="B2043" t="str">
        <f>LEFT(Table1[[#This Row],[Input]],1)</f>
        <v>R</v>
      </c>
      <c r="C2043">
        <f>_xlfn.LET(_xlpm.steps,SUBSTITUTE(Table1[[#This Row],[Input]],Table1[[#This Row],[Direction]],""),VALUE(IF(LEN(_xlpm.steps)&gt;2,RIGHT(_xlpm.steps,2),_xlpm.steps)))</f>
        <v>34</v>
      </c>
      <c r="D2043">
        <f>_xlfn.LET(_xlpm.dir,Table1[[#This Row],[Direction]],
IF(_xlpm.dir="L",
    IF(F2042-Table1[[#This Row],[Steps]]&lt;0,100+(F2042-Table1[[#This Row],[Steps]]),F2042-Table1[[#This Row],[Steps]]),
))</f>
        <v>0</v>
      </c>
      <c r="E2043">
        <f>_xlfn.LET(_xlpm.dir,Table1[[#This Row],[Direction]],
IF(_xlpm.dir="R",
    IF(F2042+Table1[[#This Row],[Steps]]&gt;99,(F2042+Table1[[#This Row],[Steps]])-100,F2042+Table1[[#This Row],[Steps]]),
))</f>
        <v>64</v>
      </c>
      <c r="F2043">
        <f>IF(Table1[[#This Row],[New Pos L]]&lt;&gt;0,Table1[[#This Row],[New Pos L]],Table1[[#This Row],[New Pos R]])</f>
        <v>64</v>
      </c>
    </row>
    <row r="2044" spans="1:6" ht="16" x14ac:dyDescent="0.2">
      <c r="A2044" s="1" t="s">
        <v>15</v>
      </c>
      <c r="B2044" t="str">
        <f>LEFT(Table1[[#This Row],[Input]],1)</f>
        <v>R</v>
      </c>
      <c r="C2044">
        <f>_xlfn.LET(_xlpm.steps,SUBSTITUTE(Table1[[#This Row],[Input]],Table1[[#This Row],[Direction]],""),VALUE(IF(LEN(_xlpm.steps)&gt;2,RIGHT(_xlpm.steps,2),_xlpm.steps)))</f>
        <v>36</v>
      </c>
      <c r="D2044">
        <f>_xlfn.LET(_xlpm.dir,Table1[[#This Row],[Direction]],
IF(_xlpm.dir="L",
    IF(F2043-Table1[[#This Row],[Steps]]&lt;0,100+(F2043-Table1[[#This Row],[Steps]]),F2043-Table1[[#This Row],[Steps]]),
))</f>
        <v>0</v>
      </c>
      <c r="E2044">
        <f>_xlfn.LET(_xlpm.dir,Table1[[#This Row],[Direction]],
IF(_xlpm.dir="R",
    IF(F2043+Table1[[#This Row],[Steps]]&gt;99,(F2043+Table1[[#This Row],[Steps]])-100,F2043+Table1[[#This Row],[Steps]]),
))</f>
        <v>0</v>
      </c>
      <c r="F2044">
        <f>IF(Table1[[#This Row],[New Pos L]]&lt;&gt;0,Table1[[#This Row],[New Pos L]],Table1[[#This Row],[New Pos R]])</f>
        <v>0</v>
      </c>
    </row>
    <row r="2045" spans="1:6" ht="16" x14ac:dyDescent="0.2">
      <c r="A2045" s="1" t="s">
        <v>40</v>
      </c>
      <c r="B2045" t="str">
        <f>LEFT(Table1[[#This Row],[Input]],1)</f>
        <v>R</v>
      </c>
      <c r="C2045">
        <f>_xlfn.LET(_xlpm.steps,SUBSTITUTE(Table1[[#This Row],[Input]],Table1[[#This Row],[Direction]],""),VALUE(IF(LEN(_xlpm.steps)&gt;2,RIGHT(_xlpm.steps,2),_xlpm.steps)))</f>
        <v>52</v>
      </c>
      <c r="D2045">
        <f>_xlfn.LET(_xlpm.dir,Table1[[#This Row],[Direction]],
IF(_xlpm.dir="L",
    IF(F2044-Table1[[#This Row],[Steps]]&lt;0,100+(F2044-Table1[[#This Row],[Steps]]),F2044-Table1[[#This Row],[Steps]]),
))</f>
        <v>0</v>
      </c>
      <c r="E2045">
        <f>_xlfn.LET(_xlpm.dir,Table1[[#This Row],[Direction]],
IF(_xlpm.dir="R",
    IF(F2044+Table1[[#This Row],[Steps]]&gt;99,(F2044+Table1[[#This Row],[Steps]])-100,F2044+Table1[[#This Row],[Steps]]),
))</f>
        <v>52</v>
      </c>
      <c r="F2045">
        <f>IF(Table1[[#This Row],[New Pos L]]&lt;&gt;0,Table1[[#This Row],[New Pos L]],Table1[[#This Row],[New Pos R]])</f>
        <v>52</v>
      </c>
    </row>
    <row r="2046" spans="1:6" ht="16" x14ac:dyDescent="0.2">
      <c r="A2046" s="1" t="s">
        <v>151</v>
      </c>
      <c r="B2046" t="str">
        <f>LEFT(Table1[[#This Row],[Input]],1)</f>
        <v>L</v>
      </c>
      <c r="C2046">
        <f>_xlfn.LET(_xlpm.steps,SUBSTITUTE(Table1[[#This Row],[Input]],Table1[[#This Row],[Direction]],""),VALUE(IF(LEN(_xlpm.steps)&gt;2,RIGHT(_xlpm.steps,2),_xlpm.steps)))</f>
        <v>74</v>
      </c>
      <c r="D2046">
        <f>_xlfn.LET(_xlpm.dir,Table1[[#This Row],[Direction]],
IF(_xlpm.dir="L",
    IF(F2045-Table1[[#This Row],[Steps]]&lt;0,100+(F2045-Table1[[#This Row],[Steps]]),F2045-Table1[[#This Row],[Steps]]),
))</f>
        <v>78</v>
      </c>
      <c r="E2046">
        <f>_xlfn.LET(_xlpm.dir,Table1[[#This Row],[Direction]],
IF(_xlpm.dir="R",
    IF(F2045+Table1[[#This Row],[Steps]]&gt;99,(F2045+Table1[[#This Row],[Steps]])-100,F2045+Table1[[#This Row],[Steps]]),
))</f>
        <v>0</v>
      </c>
      <c r="F2046">
        <f>IF(Table1[[#This Row],[New Pos L]]&lt;&gt;0,Table1[[#This Row],[New Pos L]],Table1[[#This Row],[New Pos R]])</f>
        <v>78</v>
      </c>
    </row>
    <row r="2047" spans="1:6" ht="16" x14ac:dyDescent="0.2">
      <c r="A2047" s="1" t="s">
        <v>187</v>
      </c>
      <c r="B2047" t="str">
        <f>LEFT(Table1[[#This Row],[Input]],1)</f>
        <v>R</v>
      </c>
      <c r="C2047">
        <f>_xlfn.LET(_xlpm.steps,SUBSTITUTE(Table1[[#This Row],[Input]],Table1[[#This Row],[Direction]],""),VALUE(IF(LEN(_xlpm.steps)&gt;2,RIGHT(_xlpm.steps,2),_xlpm.steps)))</f>
        <v>20</v>
      </c>
      <c r="D2047">
        <f>_xlfn.LET(_xlpm.dir,Table1[[#This Row],[Direction]],
IF(_xlpm.dir="L",
    IF(F2046-Table1[[#This Row],[Steps]]&lt;0,100+(F2046-Table1[[#This Row],[Steps]]),F2046-Table1[[#This Row],[Steps]]),
))</f>
        <v>0</v>
      </c>
      <c r="E2047">
        <f>_xlfn.LET(_xlpm.dir,Table1[[#This Row],[Direction]],
IF(_xlpm.dir="R",
    IF(F2046+Table1[[#This Row],[Steps]]&gt;99,(F2046+Table1[[#This Row],[Steps]])-100,F2046+Table1[[#This Row],[Steps]]),
))</f>
        <v>98</v>
      </c>
      <c r="F2047">
        <f>IF(Table1[[#This Row],[New Pos L]]&lt;&gt;0,Table1[[#This Row],[New Pos L]],Table1[[#This Row],[New Pos R]])</f>
        <v>98</v>
      </c>
    </row>
    <row r="2048" spans="1:6" ht="16" x14ac:dyDescent="0.2">
      <c r="A2048" s="1" t="s">
        <v>278</v>
      </c>
      <c r="B2048" t="str">
        <f>LEFT(Table1[[#This Row],[Input]],1)</f>
        <v>L</v>
      </c>
      <c r="C2048">
        <f>_xlfn.LET(_xlpm.steps,SUBSTITUTE(Table1[[#This Row],[Input]],Table1[[#This Row],[Direction]],""),VALUE(IF(LEN(_xlpm.steps)&gt;2,RIGHT(_xlpm.steps,2),_xlpm.steps)))</f>
        <v>40</v>
      </c>
      <c r="D2048">
        <f>_xlfn.LET(_xlpm.dir,Table1[[#This Row],[Direction]],
IF(_xlpm.dir="L",
    IF(F2047-Table1[[#This Row],[Steps]]&lt;0,100+(F2047-Table1[[#This Row],[Steps]]),F2047-Table1[[#This Row],[Steps]]),
))</f>
        <v>58</v>
      </c>
      <c r="E2048">
        <f>_xlfn.LET(_xlpm.dir,Table1[[#This Row],[Direction]],
IF(_xlpm.dir="R",
    IF(F2047+Table1[[#This Row],[Steps]]&gt;99,(F2047+Table1[[#This Row],[Steps]])-100,F2047+Table1[[#This Row],[Steps]]),
))</f>
        <v>0</v>
      </c>
      <c r="F2048">
        <f>IF(Table1[[#This Row],[New Pos L]]&lt;&gt;0,Table1[[#This Row],[New Pos L]],Table1[[#This Row],[New Pos R]])</f>
        <v>58</v>
      </c>
    </row>
    <row r="2049" spans="1:6" ht="16" x14ac:dyDescent="0.2">
      <c r="A2049" s="1" t="s">
        <v>116</v>
      </c>
      <c r="B2049" t="str">
        <f>LEFT(Table1[[#This Row],[Input]],1)</f>
        <v>L</v>
      </c>
      <c r="C2049">
        <f>_xlfn.LET(_xlpm.steps,SUBSTITUTE(Table1[[#This Row],[Input]],Table1[[#This Row],[Direction]],""),VALUE(IF(LEN(_xlpm.steps)&gt;2,RIGHT(_xlpm.steps,2),_xlpm.steps)))</f>
        <v>58</v>
      </c>
      <c r="D2049">
        <f>_xlfn.LET(_xlpm.dir,Table1[[#This Row],[Direction]],
IF(_xlpm.dir="L",
    IF(F2048-Table1[[#This Row],[Steps]]&lt;0,100+(F2048-Table1[[#This Row],[Steps]]),F2048-Table1[[#This Row],[Steps]]),
))</f>
        <v>0</v>
      </c>
      <c r="E2049">
        <f>_xlfn.LET(_xlpm.dir,Table1[[#This Row],[Direction]],
IF(_xlpm.dir="R",
    IF(F2048+Table1[[#This Row],[Steps]]&gt;99,(F2048+Table1[[#This Row],[Steps]])-100,F2048+Table1[[#This Row],[Steps]]),
))</f>
        <v>0</v>
      </c>
      <c r="F2049">
        <f>IF(Table1[[#This Row],[New Pos L]]&lt;&gt;0,Table1[[#This Row],[New Pos L]],Table1[[#This Row],[New Pos R]])</f>
        <v>0</v>
      </c>
    </row>
    <row r="2050" spans="1:6" ht="16" x14ac:dyDescent="0.2">
      <c r="A2050" s="1" t="s">
        <v>71</v>
      </c>
      <c r="B2050" t="str">
        <f>LEFT(Table1[[#This Row],[Input]],1)</f>
        <v>R</v>
      </c>
      <c r="C2050">
        <f>_xlfn.LET(_xlpm.steps,SUBSTITUTE(Table1[[#This Row],[Input]],Table1[[#This Row],[Direction]],""),VALUE(IF(LEN(_xlpm.steps)&gt;2,RIGHT(_xlpm.steps,2),_xlpm.steps)))</f>
        <v>23</v>
      </c>
      <c r="D2050">
        <f>_xlfn.LET(_xlpm.dir,Table1[[#This Row],[Direction]],
IF(_xlpm.dir="L",
    IF(F2049-Table1[[#This Row],[Steps]]&lt;0,100+(F2049-Table1[[#This Row],[Steps]]),F2049-Table1[[#This Row],[Steps]]),
))</f>
        <v>0</v>
      </c>
      <c r="E2050">
        <f>_xlfn.LET(_xlpm.dir,Table1[[#This Row],[Direction]],
IF(_xlpm.dir="R",
    IF(F2049+Table1[[#This Row],[Steps]]&gt;99,(F2049+Table1[[#This Row],[Steps]])-100,F2049+Table1[[#This Row],[Steps]]),
))</f>
        <v>23</v>
      </c>
      <c r="F2050">
        <f>IF(Table1[[#This Row],[New Pos L]]&lt;&gt;0,Table1[[#This Row],[New Pos L]],Table1[[#This Row],[New Pos R]])</f>
        <v>23</v>
      </c>
    </row>
    <row r="2051" spans="1:6" ht="16" x14ac:dyDescent="0.2">
      <c r="A2051" s="1" t="s">
        <v>120</v>
      </c>
      <c r="B2051" t="str">
        <f>LEFT(Table1[[#This Row],[Input]],1)</f>
        <v>L</v>
      </c>
      <c r="C2051">
        <f>_xlfn.LET(_xlpm.steps,SUBSTITUTE(Table1[[#This Row],[Input]],Table1[[#This Row],[Direction]],""),VALUE(IF(LEN(_xlpm.steps)&gt;2,RIGHT(_xlpm.steps,2),_xlpm.steps)))</f>
        <v>23</v>
      </c>
      <c r="D2051">
        <f>_xlfn.LET(_xlpm.dir,Table1[[#This Row],[Direction]],
IF(_xlpm.dir="L",
    IF(F2050-Table1[[#This Row],[Steps]]&lt;0,100+(F2050-Table1[[#This Row],[Steps]]),F2050-Table1[[#This Row],[Steps]]),
))</f>
        <v>0</v>
      </c>
      <c r="E2051">
        <f>_xlfn.LET(_xlpm.dir,Table1[[#This Row],[Direction]],
IF(_xlpm.dir="R",
    IF(F2050+Table1[[#This Row],[Steps]]&gt;99,(F2050+Table1[[#This Row],[Steps]])-100,F2050+Table1[[#This Row],[Steps]]),
))</f>
        <v>0</v>
      </c>
      <c r="F2051">
        <f>IF(Table1[[#This Row],[New Pos L]]&lt;&gt;0,Table1[[#This Row],[New Pos L]],Table1[[#This Row],[New Pos R]])</f>
        <v>0</v>
      </c>
    </row>
    <row r="2052" spans="1:6" ht="16" x14ac:dyDescent="0.2">
      <c r="A2052" s="1" t="s">
        <v>110</v>
      </c>
      <c r="B2052" t="str">
        <f>LEFT(Table1[[#This Row],[Input]],1)</f>
        <v>L</v>
      </c>
      <c r="C2052">
        <f>_xlfn.LET(_xlpm.steps,SUBSTITUTE(Table1[[#This Row],[Input]],Table1[[#This Row],[Direction]],""),VALUE(IF(LEN(_xlpm.steps)&gt;2,RIGHT(_xlpm.steps,2),_xlpm.steps)))</f>
        <v>81</v>
      </c>
      <c r="D2052">
        <f>_xlfn.LET(_xlpm.dir,Table1[[#This Row],[Direction]],
IF(_xlpm.dir="L",
    IF(F2051-Table1[[#This Row],[Steps]]&lt;0,100+(F2051-Table1[[#This Row],[Steps]]),F2051-Table1[[#This Row],[Steps]]),
))</f>
        <v>19</v>
      </c>
      <c r="E2052">
        <f>_xlfn.LET(_xlpm.dir,Table1[[#This Row],[Direction]],
IF(_xlpm.dir="R",
    IF(F2051+Table1[[#This Row],[Steps]]&gt;99,(F2051+Table1[[#This Row],[Steps]])-100,F2051+Table1[[#This Row],[Steps]]),
))</f>
        <v>0</v>
      </c>
      <c r="F2052">
        <f>IF(Table1[[#This Row],[New Pos L]]&lt;&gt;0,Table1[[#This Row],[New Pos L]],Table1[[#This Row],[New Pos R]])</f>
        <v>19</v>
      </c>
    </row>
    <row r="2053" spans="1:6" ht="16" x14ac:dyDescent="0.2">
      <c r="A2053" s="1" t="s">
        <v>187</v>
      </c>
      <c r="B2053" t="str">
        <f>LEFT(Table1[[#This Row],[Input]],1)</f>
        <v>R</v>
      </c>
      <c r="C2053">
        <f>_xlfn.LET(_xlpm.steps,SUBSTITUTE(Table1[[#This Row],[Input]],Table1[[#This Row],[Direction]],""),VALUE(IF(LEN(_xlpm.steps)&gt;2,RIGHT(_xlpm.steps,2),_xlpm.steps)))</f>
        <v>20</v>
      </c>
      <c r="D2053">
        <f>_xlfn.LET(_xlpm.dir,Table1[[#This Row],[Direction]],
IF(_xlpm.dir="L",
    IF(F2052-Table1[[#This Row],[Steps]]&lt;0,100+(F2052-Table1[[#This Row],[Steps]]),F2052-Table1[[#This Row],[Steps]]),
))</f>
        <v>0</v>
      </c>
      <c r="E2053">
        <f>_xlfn.LET(_xlpm.dir,Table1[[#This Row],[Direction]],
IF(_xlpm.dir="R",
    IF(F2052+Table1[[#This Row],[Steps]]&gt;99,(F2052+Table1[[#This Row],[Steps]])-100,F2052+Table1[[#This Row],[Steps]]),
))</f>
        <v>39</v>
      </c>
      <c r="F2053">
        <f>IF(Table1[[#This Row],[New Pos L]]&lt;&gt;0,Table1[[#This Row],[New Pos L]],Table1[[#This Row],[New Pos R]])</f>
        <v>39</v>
      </c>
    </row>
    <row r="2054" spans="1:6" ht="16" x14ac:dyDescent="0.2">
      <c r="A2054" s="1" t="s">
        <v>73</v>
      </c>
      <c r="B2054" t="str">
        <f>LEFT(Table1[[#This Row],[Input]],1)</f>
        <v>R</v>
      </c>
      <c r="C2054">
        <f>_xlfn.LET(_xlpm.steps,SUBSTITUTE(Table1[[#This Row],[Input]],Table1[[#This Row],[Direction]],""),VALUE(IF(LEN(_xlpm.steps)&gt;2,RIGHT(_xlpm.steps,2),_xlpm.steps)))</f>
        <v>21</v>
      </c>
      <c r="D2054">
        <f>_xlfn.LET(_xlpm.dir,Table1[[#This Row],[Direction]],
IF(_xlpm.dir="L",
    IF(F2053-Table1[[#This Row],[Steps]]&lt;0,100+(F2053-Table1[[#This Row],[Steps]]),F2053-Table1[[#This Row],[Steps]]),
))</f>
        <v>0</v>
      </c>
      <c r="E2054">
        <f>_xlfn.LET(_xlpm.dir,Table1[[#This Row],[Direction]],
IF(_xlpm.dir="R",
    IF(F2053+Table1[[#This Row],[Steps]]&gt;99,(F2053+Table1[[#This Row],[Steps]])-100,F2053+Table1[[#This Row],[Steps]]),
))</f>
        <v>60</v>
      </c>
      <c r="F2054">
        <f>IF(Table1[[#This Row],[New Pos L]]&lt;&gt;0,Table1[[#This Row],[New Pos L]],Table1[[#This Row],[New Pos R]])</f>
        <v>60</v>
      </c>
    </row>
    <row r="2055" spans="1:6" ht="16" x14ac:dyDescent="0.2">
      <c r="A2055" s="1" t="s">
        <v>195</v>
      </c>
      <c r="B2055" t="str">
        <f>LEFT(Table1[[#This Row],[Input]],1)</f>
        <v>R</v>
      </c>
      <c r="C2055">
        <f>_xlfn.LET(_xlpm.steps,SUBSTITUTE(Table1[[#This Row],[Input]],Table1[[#This Row],[Direction]],""),VALUE(IF(LEN(_xlpm.steps)&gt;2,RIGHT(_xlpm.steps,2),_xlpm.steps)))</f>
        <v>40</v>
      </c>
      <c r="D2055">
        <f>_xlfn.LET(_xlpm.dir,Table1[[#This Row],[Direction]],
IF(_xlpm.dir="L",
    IF(F2054-Table1[[#This Row],[Steps]]&lt;0,100+(F2054-Table1[[#This Row],[Steps]]),F2054-Table1[[#This Row],[Steps]]),
))</f>
        <v>0</v>
      </c>
      <c r="E2055">
        <f>_xlfn.LET(_xlpm.dir,Table1[[#This Row],[Direction]],
IF(_xlpm.dir="R",
    IF(F2054+Table1[[#This Row],[Steps]]&gt;99,(F2054+Table1[[#This Row],[Steps]])-100,F2054+Table1[[#This Row],[Steps]]),
))</f>
        <v>0</v>
      </c>
      <c r="F2055">
        <f>IF(Table1[[#This Row],[New Pos L]]&lt;&gt;0,Table1[[#This Row],[New Pos L]],Table1[[#This Row],[New Pos R]])</f>
        <v>0</v>
      </c>
    </row>
    <row r="2056" spans="1:6" ht="16" x14ac:dyDescent="0.2">
      <c r="A2056" s="1" t="s">
        <v>554</v>
      </c>
      <c r="B2056" t="str">
        <f>LEFT(Table1[[#This Row],[Input]],1)</f>
        <v>L</v>
      </c>
      <c r="C2056">
        <f>_xlfn.LET(_xlpm.steps,SUBSTITUTE(Table1[[#This Row],[Input]],Table1[[#This Row],[Direction]],""),VALUE(IF(LEN(_xlpm.steps)&gt;2,RIGHT(_xlpm.steps,2),_xlpm.steps)))</f>
        <v>24</v>
      </c>
      <c r="D2056">
        <f>_xlfn.LET(_xlpm.dir,Table1[[#This Row],[Direction]],
IF(_xlpm.dir="L",
    IF(F2055-Table1[[#This Row],[Steps]]&lt;0,100+(F2055-Table1[[#This Row],[Steps]]),F2055-Table1[[#This Row],[Steps]]),
))</f>
        <v>76</v>
      </c>
      <c r="E2056">
        <f>_xlfn.LET(_xlpm.dir,Table1[[#This Row],[Direction]],
IF(_xlpm.dir="R",
    IF(F2055+Table1[[#This Row],[Steps]]&gt;99,(F2055+Table1[[#This Row],[Steps]])-100,F2055+Table1[[#This Row],[Steps]]),
))</f>
        <v>0</v>
      </c>
      <c r="F2056">
        <f>IF(Table1[[#This Row],[New Pos L]]&lt;&gt;0,Table1[[#This Row],[New Pos L]],Table1[[#This Row],[New Pos R]])</f>
        <v>76</v>
      </c>
    </row>
    <row r="2057" spans="1:6" ht="16" x14ac:dyDescent="0.2">
      <c r="A2057" s="1" t="s">
        <v>555</v>
      </c>
      <c r="B2057" t="str">
        <f>LEFT(Table1[[#This Row],[Input]],1)</f>
        <v>L</v>
      </c>
      <c r="C2057">
        <f>_xlfn.LET(_xlpm.steps,SUBSTITUTE(Table1[[#This Row],[Input]],Table1[[#This Row],[Direction]],""),VALUE(IF(LEN(_xlpm.steps)&gt;2,RIGHT(_xlpm.steps,2),_xlpm.steps)))</f>
        <v>76</v>
      </c>
      <c r="D2057">
        <f>_xlfn.LET(_xlpm.dir,Table1[[#This Row],[Direction]],
IF(_xlpm.dir="L",
    IF(F2056-Table1[[#This Row],[Steps]]&lt;0,100+(F2056-Table1[[#This Row],[Steps]]),F2056-Table1[[#This Row],[Steps]]),
))</f>
        <v>0</v>
      </c>
      <c r="E2057">
        <f>_xlfn.LET(_xlpm.dir,Table1[[#This Row],[Direction]],
IF(_xlpm.dir="R",
    IF(F2056+Table1[[#This Row],[Steps]]&gt;99,(F2056+Table1[[#This Row],[Steps]])-100,F2056+Table1[[#This Row],[Steps]]),
))</f>
        <v>0</v>
      </c>
      <c r="F2057">
        <f>IF(Table1[[#This Row],[New Pos L]]&lt;&gt;0,Table1[[#This Row],[New Pos L]],Table1[[#This Row],[New Pos R]])</f>
        <v>0</v>
      </c>
    </row>
    <row r="2058" spans="1:6" ht="16" x14ac:dyDescent="0.2">
      <c r="A2058" s="1" t="s">
        <v>254</v>
      </c>
      <c r="B2058" t="str">
        <f>LEFT(Table1[[#This Row],[Input]],1)</f>
        <v>R</v>
      </c>
      <c r="C2058">
        <f>_xlfn.LET(_xlpm.steps,SUBSTITUTE(Table1[[#This Row],[Input]],Table1[[#This Row],[Direction]],""),VALUE(IF(LEN(_xlpm.steps)&gt;2,RIGHT(_xlpm.steps,2),_xlpm.steps)))</f>
        <v>84</v>
      </c>
      <c r="D2058">
        <f>_xlfn.LET(_xlpm.dir,Table1[[#This Row],[Direction]],
IF(_xlpm.dir="L",
    IF(F2057-Table1[[#This Row],[Steps]]&lt;0,100+(F2057-Table1[[#This Row],[Steps]]),F2057-Table1[[#This Row],[Steps]]),
))</f>
        <v>0</v>
      </c>
      <c r="E2058">
        <f>_xlfn.LET(_xlpm.dir,Table1[[#This Row],[Direction]],
IF(_xlpm.dir="R",
    IF(F2057+Table1[[#This Row],[Steps]]&gt;99,(F2057+Table1[[#This Row],[Steps]])-100,F2057+Table1[[#This Row],[Steps]]),
))</f>
        <v>84</v>
      </c>
      <c r="F2058">
        <f>IF(Table1[[#This Row],[New Pos L]]&lt;&gt;0,Table1[[#This Row],[New Pos L]],Table1[[#This Row],[New Pos R]])</f>
        <v>84</v>
      </c>
    </row>
    <row r="2059" spans="1:6" ht="16" x14ac:dyDescent="0.2">
      <c r="A2059" s="1" t="s">
        <v>129</v>
      </c>
      <c r="B2059" t="str">
        <f>LEFT(Table1[[#This Row],[Input]],1)</f>
        <v>R</v>
      </c>
      <c r="C2059">
        <f>_xlfn.LET(_xlpm.steps,SUBSTITUTE(Table1[[#This Row],[Input]],Table1[[#This Row],[Direction]],""),VALUE(IF(LEN(_xlpm.steps)&gt;2,RIGHT(_xlpm.steps,2),_xlpm.steps)))</f>
        <v>8</v>
      </c>
      <c r="D2059">
        <f>_xlfn.LET(_xlpm.dir,Table1[[#This Row],[Direction]],
IF(_xlpm.dir="L",
    IF(F2058-Table1[[#This Row],[Steps]]&lt;0,100+(F2058-Table1[[#This Row],[Steps]]),F2058-Table1[[#This Row],[Steps]]),
))</f>
        <v>0</v>
      </c>
      <c r="E2059">
        <f>_xlfn.LET(_xlpm.dir,Table1[[#This Row],[Direction]],
IF(_xlpm.dir="R",
    IF(F2058+Table1[[#This Row],[Steps]]&gt;99,(F2058+Table1[[#This Row],[Steps]])-100,F2058+Table1[[#This Row],[Steps]]),
))</f>
        <v>92</v>
      </c>
      <c r="F2059">
        <f>IF(Table1[[#This Row],[New Pos L]]&lt;&gt;0,Table1[[#This Row],[New Pos L]],Table1[[#This Row],[New Pos R]])</f>
        <v>92</v>
      </c>
    </row>
    <row r="2060" spans="1:6" ht="16" x14ac:dyDescent="0.2">
      <c r="A2060" s="1" t="s">
        <v>88</v>
      </c>
      <c r="B2060" t="str">
        <f>LEFT(Table1[[#This Row],[Input]],1)</f>
        <v>R</v>
      </c>
      <c r="C2060">
        <f>_xlfn.LET(_xlpm.steps,SUBSTITUTE(Table1[[#This Row],[Input]],Table1[[#This Row],[Direction]],""),VALUE(IF(LEN(_xlpm.steps)&gt;2,RIGHT(_xlpm.steps,2),_xlpm.steps)))</f>
        <v>53</v>
      </c>
      <c r="D2060">
        <f>_xlfn.LET(_xlpm.dir,Table1[[#This Row],[Direction]],
IF(_xlpm.dir="L",
    IF(F2059-Table1[[#This Row],[Steps]]&lt;0,100+(F2059-Table1[[#This Row],[Steps]]),F2059-Table1[[#This Row],[Steps]]),
))</f>
        <v>0</v>
      </c>
      <c r="E2060">
        <f>_xlfn.LET(_xlpm.dir,Table1[[#This Row],[Direction]],
IF(_xlpm.dir="R",
    IF(F2059+Table1[[#This Row],[Steps]]&gt;99,(F2059+Table1[[#This Row],[Steps]])-100,F2059+Table1[[#This Row],[Steps]]),
))</f>
        <v>45</v>
      </c>
      <c r="F2060">
        <f>IF(Table1[[#This Row],[New Pos L]]&lt;&gt;0,Table1[[#This Row],[New Pos L]],Table1[[#This Row],[New Pos R]])</f>
        <v>45</v>
      </c>
    </row>
    <row r="2061" spans="1:6" ht="16" x14ac:dyDescent="0.2">
      <c r="A2061" s="1" t="s">
        <v>556</v>
      </c>
      <c r="B2061" t="str">
        <f>LEFT(Table1[[#This Row],[Input]],1)</f>
        <v>L</v>
      </c>
      <c r="C2061">
        <f>_xlfn.LET(_xlpm.steps,SUBSTITUTE(Table1[[#This Row],[Input]],Table1[[#This Row],[Direction]],""),VALUE(IF(LEN(_xlpm.steps)&gt;2,RIGHT(_xlpm.steps,2),_xlpm.steps)))</f>
        <v>37</v>
      </c>
      <c r="D2061">
        <f>_xlfn.LET(_xlpm.dir,Table1[[#This Row],[Direction]],
IF(_xlpm.dir="L",
    IF(F2060-Table1[[#This Row],[Steps]]&lt;0,100+(F2060-Table1[[#This Row],[Steps]]),F2060-Table1[[#This Row],[Steps]]),
))</f>
        <v>8</v>
      </c>
      <c r="E2061">
        <f>_xlfn.LET(_xlpm.dir,Table1[[#This Row],[Direction]],
IF(_xlpm.dir="R",
    IF(F2060+Table1[[#This Row],[Steps]]&gt;99,(F2060+Table1[[#This Row],[Steps]])-100,F2060+Table1[[#This Row],[Steps]]),
))</f>
        <v>0</v>
      </c>
      <c r="F2061">
        <f>IF(Table1[[#This Row],[New Pos L]]&lt;&gt;0,Table1[[#This Row],[New Pos L]],Table1[[#This Row],[New Pos R]])</f>
        <v>8</v>
      </c>
    </row>
    <row r="2062" spans="1:6" ht="16" x14ac:dyDescent="0.2">
      <c r="A2062" s="1" t="s">
        <v>68</v>
      </c>
      <c r="B2062" t="str">
        <f>LEFT(Table1[[#This Row],[Input]],1)</f>
        <v>L</v>
      </c>
      <c r="C2062">
        <f>_xlfn.LET(_xlpm.steps,SUBSTITUTE(Table1[[#This Row],[Input]],Table1[[#This Row],[Direction]],""),VALUE(IF(LEN(_xlpm.steps)&gt;2,RIGHT(_xlpm.steps,2),_xlpm.steps)))</f>
        <v>80</v>
      </c>
      <c r="D2062">
        <f>_xlfn.LET(_xlpm.dir,Table1[[#This Row],[Direction]],
IF(_xlpm.dir="L",
    IF(F2061-Table1[[#This Row],[Steps]]&lt;0,100+(F2061-Table1[[#This Row],[Steps]]),F2061-Table1[[#This Row],[Steps]]),
))</f>
        <v>28</v>
      </c>
      <c r="E2062">
        <f>_xlfn.LET(_xlpm.dir,Table1[[#This Row],[Direction]],
IF(_xlpm.dir="R",
    IF(F2061+Table1[[#This Row],[Steps]]&gt;99,(F2061+Table1[[#This Row],[Steps]])-100,F2061+Table1[[#This Row],[Steps]]),
))</f>
        <v>0</v>
      </c>
      <c r="F2062">
        <f>IF(Table1[[#This Row],[New Pos L]]&lt;&gt;0,Table1[[#This Row],[New Pos L]],Table1[[#This Row],[New Pos R]])</f>
        <v>28</v>
      </c>
    </row>
    <row r="2063" spans="1:6" ht="16" x14ac:dyDescent="0.2">
      <c r="A2063" s="1" t="s">
        <v>32</v>
      </c>
      <c r="B2063" t="str">
        <f>LEFT(Table1[[#This Row],[Input]],1)</f>
        <v>L</v>
      </c>
      <c r="C2063">
        <f>_xlfn.LET(_xlpm.steps,SUBSTITUTE(Table1[[#This Row],[Input]],Table1[[#This Row],[Direction]],""),VALUE(IF(LEN(_xlpm.steps)&gt;2,RIGHT(_xlpm.steps,2),_xlpm.steps)))</f>
        <v>28</v>
      </c>
      <c r="D2063">
        <f>_xlfn.LET(_xlpm.dir,Table1[[#This Row],[Direction]],
IF(_xlpm.dir="L",
    IF(F2062-Table1[[#This Row],[Steps]]&lt;0,100+(F2062-Table1[[#This Row],[Steps]]),F2062-Table1[[#This Row],[Steps]]),
))</f>
        <v>0</v>
      </c>
      <c r="E2063">
        <f>_xlfn.LET(_xlpm.dir,Table1[[#This Row],[Direction]],
IF(_xlpm.dir="R",
    IF(F2062+Table1[[#This Row],[Steps]]&gt;99,(F2062+Table1[[#This Row],[Steps]])-100,F2062+Table1[[#This Row],[Steps]]),
))</f>
        <v>0</v>
      </c>
      <c r="F2063">
        <f>IF(Table1[[#This Row],[New Pos L]]&lt;&gt;0,Table1[[#This Row],[New Pos L]],Table1[[#This Row],[New Pos R]])</f>
        <v>0</v>
      </c>
    </row>
    <row r="2064" spans="1:6" ht="16" x14ac:dyDescent="0.2">
      <c r="A2064" s="1" t="s">
        <v>336</v>
      </c>
      <c r="B2064" t="str">
        <f>LEFT(Table1[[#This Row],[Input]],1)</f>
        <v>R</v>
      </c>
      <c r="C2064">
        <f>_xlfn.LET(_xlpm.steps,SUBSTITUTE(Table1[[#This Row],[Input]],Table1[[#This Row],[Direction]],""),VALUE(IF(LEN(_xlpm.steps)&gt;2,RIGHT(_xlpm.steps,2),_xlpm.steps)))</f>
        <v>95</v>
      </c>
      <c r="D2064">
        <f>_xlfn.LET(_xlpm.dir,Table1[[#This Row],[Direction]],
IF(_xlpm.dir="L",
    IF(F2063-Table1[[#This Row],[Steps]]&lt;0,100+(F2063-Table1[[#This Row],[Steps]]),F2063-Table1[[#This Row],[Steps]]),
))</f>
        <v>0</v>
      </c>
      <c r="E2064">
        <f>_xlfn.LET(_xlpm.dir,Table1[[#This Row],[Direction]],
IF(_xlpm.dir="R",
    IF(F2063+Table1[[#This Row],[Steps]]&gt;99,(F2063+Table1[[#This Row],[Steps]])-100,F2063+Table1[[#This Row],[Steps]]),
))</f>
        <v>95</v>
      </c>
      <c r="F2064">
        <f>IF(Table1[[#This Row],[New Pos L]]&lt;&gt;0,Table1[[#This Row],[New Pos L]],Table1[[#This Row],[New Pos R]])</f>
        <v>95</v>
      </c>
    </row>
    <row r="2065" spans="1:6" ht="16" x14ac:dyDescent="0.2">
      <c r="A2065" s="1" t="s">
        <v>81</v>
      </c>
      <c r="B2065" t="str">
        <f>LEFT(Table1[[#This Row],[Input]],1)</f>
        <v>R</v>
      </c>
      <c r="C2065">
        <f>_xlfn.LET(_xlpm.steps,SUBSTITUTE(Table1[[#This Row],[Input]],Table1[[#This Row],[Direction]],""),VALUE(IF(LEN(_xlpm.steps)&gt;2,RIGHT(_xlpm.steps,2),_xlpm.steps)))</f>
        <v>17</v>
      </c>
      <c r="D2065">
        <f>_xlfn.LET(_xlpm.dir,Table1[[#This Row],[Direction]],
IF(_xlpm.dir="L",
    IF(F2064-Table1[[#This Row],[Steps]]&lt;0,100+(F2064-Table1[[#This Row],[Steps]]),F2064-Table1[[#This Row],[Steps]]),
))</f>
        <v>0</v>
      </c>
      <c r="E2065">
        <f>_xlfn.LET(_xlpm.dir,Table1[[#This Row],[Direction]],
IF(_xlpm.dir="R",
    IF(F2064+Table1[[#This Row],[Steps]]&gt;99,(F2064+Table1[[#This Row],[Steps]])-100,F2064+Table1[[#This Row],[Steps]]),
))</f>
        <v>12</v>
      </c>
      <c r="F2065">
        <f>IF(Table1[[#This Row],[New Pos L]]&lt;&gt;0,Table1[[#This Row],[New Pos L]],Table1[[#This Row],[New Pos R]])</f>
        <v>12</v>
      </c>
    </row>
    <row r="2066" spans="1:6" ht="16" x14ac:dyDescent="0.2">
      <c r="A2066" s="1" t="s">
        <v>102</v>
      </c>
      <c r="B2066" t="str">
        <f>LEFT(Table1[[#This Row],[Input]],1)</f>
        <v>R</v>
      </c>
      <c r="C2066">
        <f>_xlfn.LET(_xlpm.steps,SUBSTITUTE(Table1[[#This Row],[Input]],Table1[[#This Row],[Direction]],""),VALUE(IF(LEN(_xlpm.steps)&gt;2,RIGHT(_xlpm.steps,2),_xlpm.steps)))</f>
        <v>39</v>
      </c>
      <c r="D2066">
        <f>_xlfn.LET(_xlpm.dir,Table1[[#This Row],[Direction]],
IF(_xlpm.dir="L",
    IF(F2065-Table1[[#This Row],[Steps]]&lt;0,100+(F2065-Table1[[#This Row],[Steps]]),F2065-Table1[[#This Row],[Steps]]),
))</f>
        <v>0</v>
      </c>
      <c r="E2066">
        <f>_xlfn.LET(_xlpm.dir,Table1[[#This Row],[Direction]],
IF(_xlpm.dir="R",
    IF(F2065+Table1[[#This Row],[Steps]]&gt;99,(F2065+Table1[[#This Row],[Steps]])-100,F2065+Table1[[#This Row],[Steps]]),
))</f>
        <v>51</v>
      </c>
      <c r="F2066">
        <f>IF(Table1[[#This Row],[New Pos L]]&lt;&gt;0,Table1[[#This Row],[New Pos L]],Table1[[#This Row],[New Pos R]])</f>
        <v>51</v>
      </c>
    </row>
    <row r="2067" spans="1:6" ht="16" x14ac:dyDescent="0.2">
      <c r="A2067" s="1" t="s">
        <v>111</v>
      </c>
      <c r="B2067" t="str">
        <f>LEFT(Table1[[#This Row],[Input]],1)</f>
        <v>R</v>
      </c>
      <c r="C2067">
        <f>_xlfn.LET(_xlpm.steps,SUBSTITUTE(Table1[[#This Row],[Input]],Table1[[#This Row],[Direction]],""),VALUE(IF(LEN(_xlpm.steps)&gt;2,RIGHT(_xlpm.steps,2),_xlpm.steps)))</f>
        <v>64</v>
      </c>
      <c r="D2067">
        <f>_xlfn.LET(_xlpm.dir,Table1[[#This Row],[Direction]],
IF(_xlpm.dir="L",
    IF(F2066-Table1[[#This Row],[Steps]]&lt;0,100+(F2066-Table1[[#This Row],[Steps]]),F2066-Table1[[#This Row],[Steps]]),
))</f>
        <v>0</v>
      </c>
      <c r="E2067">
        <f>_xlfn.LET(_xlpm.dir,Table1[[#This Row],[Direction]],
IF(_xlpm.dir="R",
    IF(F2066+Table1[[#This Row],[Steps]]&gt;99,(F2066+Table1[[#This Row],[Steps]])-100,F2066+Table1[[#This Row],[Steps]]),
))</f>
        <v>15</v>
      </c>
      <c r="F2067">
        <f>IF(Table1[[#This Row],[New Pos L]]&lt;&gt;0,Table1[[#This Row],[New Pos L]],Table1[[#This Row],[New Pos R]])</f>
        <v>15</v>
      </c>
    </row>
    <row r="2068" spans="1:6" ht="16" x14ac:dyDescent="0.2">
      <c r="A2068" s="1" t="s">
        <v>36</v>
      </c>
      <c r="B2068" t="str">
        <f>LEFT(Table1[[#This Row],[Input]],1)</f>
        <v>R</v>
      </c>
      <c r="C2068">
        <f>_xlfn.LET(_xlpm.steps,SUBSTITUTE(Table1[[#This Row],[Input]],Table1[[#This Row],[Direction]],""),VALUE(IF(LEN(_xlpm.steps)&gt;2,RIGHT(_xlpm.steps,2),_xlpm.steps)))</f>
        <v>50</v>
      </c>
      <c r="D2068">
        <f>_xlfn.LET(_xlpm.dir,Table1[[#This Row],[Direction]],
IF(_xlpm.dir="L",
    IF(F2067-Table1[[#This Row],[Steps]]&lt;0,100+(F2067-Table1[[#This Row],[Steps]]),F2067-Table1[[#This Row],[Steps]]),
))</f>
        <v>0</v>
      </c>
      <c r="E2068">
        <f>_xlfn.LET(_xlpm.dir,Table1[[#This Row],[Direction]],
IF(_xlpm.dir="R",
    IF(F2067+Table1[[#This Row],[Steps]]&gt;99,(F2067+Table1[[#This Row],[Steps]])-100,F2067+Table1[[#This Row],[Steps]]),
))</f>
        <v>65</v>
      </c>
      <c r="F2068">
        <f>IF(Table1[[#This Row],[New Pos L]]&lt;&gt;0,Table1[[#This Row],[New Pos L]],Table1[[#This Row],[New Pos R]])</f>
        <v>65</v>
      </c>
    </row>
    <row r="2069" spans="1:6" ht="16" x14ac:dyDescent="0.2">
      <c r="A2069" s="1" t="s">
        <v>218</v>
      </c>
      <c r="B2069" t="str">
        <f>LEFT(Table1[[#This Row],[Input]],1)</f>
        <v>R</v>
      </c>
      <c r="C2069">
        <f>_xlfn.LET(_xlpm.steps,SUBSTITUTE(Table1[[#This Row],[Input]],Table1[[#This Row],[Direction]],""),VALUE(IF(LEN(_xlpm.steps)&gt;2,RIGHT(_xlpm.steps,2),_xlpm.steps)))</f>
        <v>35</v>
      </c>
      <c r="D2069">
        <f>_xlfn.LET(_xlpm.dir,Table1[[#This Row],[Direction]],
IF(_xlpm.dir="L",
    IF(F2068-Table1[[#This Row],[Steps]]&lt;0,100+(F2068-Table1[[#This Row],[Steps]]),F2068-Table1[[#This Row],[Steps]]),
))</f>
        <v>0</v>
      </c>
      <c r="E2069">
        <f>_xlfn.LET(_xlpm.dir,Table1[[#This Row],[Direction]],
IF(_xlpm.dir="R",
    IF(F2068+Table1[[#This Row],[Steps]]&gt;99,(F2068+Table1[[#This Row],[Steps]])-100,F2068+Table1[[#This Row],[Steps]]),
))</f>
        <v>0</v>
      </c>
      <c r="F2069">
        <f>IF(Table1[[#This Row],[New Pos L]]&lt;&gt;0,Table1[[#This Row],[New Pos L]],Table1[[#This Row],[New Pos R]])</f>
        <v>0</v>
      </c>
    </row>
    <row r="2070" spans="1:6" ht="16" x14ac:dyDescent="0.2">
      <c r="A2070" s="1" t="s">
        <v>186</v>
      </c>
      <c r="B2070" t="str">
        <f>LEFT(Table1[[#This Row],[Input]],1)</f>
        <v>L</v>
      </c>
      <c r="C2070">
        <f>_xlfn.LET(_xlpm.steps,SUBSTITUTE(Table1[[#This Row],[Input]],Table1[[#This Row],[Direction]],""),VALUE(IF(LEN(_xlpm.steps)&gt;2,RIGHT(_xlpm.steps,2),_xlpm.steps)))</f>
        <v>84</v>
      </c>
      <c r="D2070">
        <f>_xlfn.LET(_xlpm.dir,Table1[[#This Row],[Direction]],
IF(_xlpm.dir="L",
    IF(F2069-Table1[[#This Row],[Steps]]&lt;0,100+(F2069-Table1[[#This Row],[Steps]]),F2069-Table1[[#This Row],[Steps]]),
))</f>
        <v>16</v>
      </c>
      <c r="E2070">
        <f>_xlfn.LET(_xlpm.dir,Table1[[#This Row],[Direction]],
IF(_xlpm.dir="R",
    IF(F2069+Table1[[#This Row],[Steps]]&gt;99,(F2069+Table1[[#This Row],[Steps]])-100,F2069+Table1[[#This Row],[Steps]]),
))</f>
        <v>0</v>
      </c>
      <c r="F2070">
        <f>IF(Table1[[#This Row],[New Pos L]]&lt;&gt;0,Table1[[#This Row],[New Pos L]],Table1[[#This Row],[New Pos R]])</f>
        <v>16</v>
      </c>
    </row>
    <row r="2071" spans="1:6" ht="16" x14ac:dyDescent="0.2">
      <c r="A2071" s="1" t="s">
        <v>3</v>
      </c>
      <c r="B2071" t="str">
        <f>LEFT(Table1[[#This Row],[Input]],1)</f>
        <v>R</v>
      </c>
      <c r="C2071">
        <f>_xlfn.LET(_xlpm.steps,SUBSTITUTE(Table1[[#This Row],[Input]],Table1[[#This Row],[Direction]],""),VALUE(IF(LEN(_xlpm.steps)&gt;2,RIGHT(_xlpm.steps,2),_xlpm.steps)))</f>
        <v>44</v>
      </c>
      <c r="D2071">
        <f>_xlfn.LET(_xlpm.dir,Table1[[#This Row],[Direction]],
IF(_xlpm.dir="L",
    IF(F2070-Table1[[#This Row],[Steps]]&lt;0,100+(F2070-Table1[[#This Row],[Steps]]),F2070-Table1[[#This Row],[Steps]]),
))</f>
        <v>0</v>
      </c>
      <c r="E2071">
        <f>_xlfn.LET(_xlpm.dir,Table1[[#This Row],[Direction]],
IF(_xlpm.dir="R",
    IF(F2070+Table1[[#This Row],[Steps]]&gt;99,(F2070+Table1[[#This Row],[Steps]])-100,F2070+Table1[[#This Row],[Steps]]),
))</f>
        <v>60</v>
      </c>
      <c r="F2071">
        <f>IF(Table1[[#This Row],[New Pos L]]&lt;&gt;0,Table1[[#This Row],[New Pos L]],Table1[[#This Row],[New Pos R]])</f>
        <v>60</v>
      </c>
    </row>
    <row r="2072" spans="1:6" ht="16" x14ac:dyDescent="0.2">
      <c r="A2072" s="1" t="s">
        <v>129</v>
      </c>
      <c r="B2072" t="str">
        <f>LEFT(Table1[[#This Row],[Input]],1)</f>
        <v>R</v>
      </c>
      <c r="C2072">
        <f>_xlfn.LET(_xlpm.steps,SUBSTITUTE(Table1[[#This Row],[Input]],Table1[[#This Row],[Direction]],""),VALUE(IF(LEN(_xlpm.steps)&gt;2,RIGHT(_xlpm.steps,2),_xlpm.steps)))</f>
        <v>8</v>
      </c>
      <c r="D2072">
        <f>_xlfn.LET(_xlpm.dir,Table1[[#This Row],[Direction]],
IF(_xlpm.dir="L",
    IF(F2071-Table1[[#This Row],[Steps]]&lt;0,100+(F2071-Table1[[#This Row],[Steps]]),F2071-Table1[[#This Row],[Steps]]),
))</f>
        <v>0</v>
      </c>
      <c r="E2072">
        <f>_xlfn.LET(_xlpm.dir,Table1[[#This Row],[Direction]],
IF(_xlpm.dir="R",
    IF(F2071+Table1[[#This Row],[Steps]]&gt;99,(F2071+Table1[[#This Row],[Steps]])-100,F2071+Table1[[#This Row],[Steps]]),
))</f>
        <v>68</v>
      </c>
      <c r="F2072">
        <f>IF(Table1[[#This Row],[New Pos L]]&lt;&gt;0,Table1[[#This Row],[New Pos L]],Table1[[#This Row],[New Pos R]])</f>
        <v>68</v>
      </c>
    </row>
    <row r="2073" spans="1:6" ht="16" x14ac:dyDescent="0.2">
      <c r="A2073" s="1" t="s">
        <v>39</v>
      </c>
      <c r="B2073" t="str">
        <f>LEFT(Table1[[#This Row],[Input]],1)</f>
        <v>R</v>
      </c>
      <c r="C2073">
        <f>_xlfn.LET(_xlpm.steps,SUBSTITUTE(Table1[[#This Row],[Input]],Table1[[#This Row],[Direction]],""),VALUE(IF(LEN(_xlpm.steps)&gt;2,RIGHT(_xlpm.steps,2),_xlpm.steps)))</f>
        <v>32</v>
      </c>
      <c r="D2073">
        <f>_xlfn.LET(_xlpm.dir,Table1[[#This Row],[Direction]],
IF(_xlpm.dir="L",
    IF(F2072-Table1[[#This Row],[Steps]]&lt;0,100+(F2072-Table1[[#This Row],[Steps]]),F2072-Table1[[#This Row],[Steps]]),
))</f>
        <v>0</v>
      </c>
      <c r="E2073">
        <f>_xlfn.LET(_xlpm.dir,Table1[[#This Row],[Direction]],
IF(_xlpm.dir="R",
    IF(F2072+Table1[[#This Row],[Steps]]&gt;99,(F2072+Table1[[#This Row],[Steps]])-100,F2072+Table1[[#This Row],[Steps]]),
))</f>
        <v>0</v>
      </c>
      <c r="F2073">
        <f>IF(Table1[[#This Row],[New Pos L]]&lt;&gt;0,Table1[[#This Row],[New Pos L]],Table1[[#This Row],[New Pos R]])</f>
        <v>0</v>
      </c>
    </row>
    <row r="2074" spans="1:6" ht="16" x14ac:dyDescent="0.2">
      <c r="A2074" s="1" t="s">
        <v>379</v>
      </c>
      <c r="B2074" t="str">
        <f>LEFT(Table1[[#This Row],[Input]],1)</f>
        <v>L</v>
      </c>
      <c r="C2074">
        <f>_xlfn.LET(_xlpm.steps,SUBSTITUTE(Table1[[#This Row],[Input]],Table1[[#This Row],[Direction]],""),VALUE(IF(LEN(_xlpm.steps)&gt;2,RIGHT(_xlpm.steps,2),_xlpm.steps)))</f>
        <v>4</v>
      </c>
      <c r="D2074">
        <f>_xlfn.LET(_xlpm.dir,Table1[[#This Row],[Direction]],
IF(_xlpm.dir="L",
    IF(F2073-Table1[[#This Row],[Steps]]&lt;0,100+(F2073-Table1[[#This Row],[Steps]]),F2073-Table1[[#This Row],[Steps]]),
))</f>
        <v>96</v>
      </c>
      <c r="E2074">
        <f>_xlfn.LET(_xlpm.dir,Table1[[#This Row],[Direction]],
IF(_xlpm.dir="R",
    IF(F2073+Table1[[#This Row],[Steps]]&gt;99,(F2073+Table1[[#This Row],[Steps]])-100,F2073+Table1[[#This Row],[Steps]]),
))</f>
        <v>0</v>
      </c>
      <c r="F2074">
        <f>IF(Table1[[#This Row],[New Pos L]]&lt;&gt;0,Table1[[#This Row],[New Pos L]],Table1[[#This Row],[New Pos R]])</f>
        <v>96</v>
      </c>
    </row>
    <row r="2075" spans="1:6" ht="16" x14ac:dyDescent="0.2">
      <c r="A2075" s="1" t="s">
        <v>364</v>
      </c>
      <c r="B2075" t="str">
        <f>LEFT(Table1[[#This Row],[Input]],1)</f>
        <v>L</v>
      </c>
      <c r="C2075">
        <f>_xlfn.LET(_xlpm.steps,SUBSTITUTE(Table1[[#This Row],[Input]],Table1[[#This Row],[Direction]],""),VALUE(IF(LEN(_xlpm.steps)&gt;2,RIGHT(_xlpm.steps,2),_xlpm.steps)))</f>
        <v>70</v>
      </c>
      <c r="D2075">
        <f>_xlfn.LET(_xlpm.dir,Table1[[#This Row],[Direction]],
IF(_xlpm.dir="L",
    IF(F2074-Table1[[#This Row],[Steps]]&lt;0,100+(F2074-Table1[[#This Row],[Steps]]),F2074-Table1[[#This Row],[Steps]]),
))</f>
        <v>26</v>
      </c>
      <c r="E2075">
        <f>_xlfn.LET(_xlpm.dir,Table1[[#This Row],[Direction]],
IF(_xlpm.dir="R",
    IF(F2074+Table1[[#This Row],[Steps]]&gt;99,(F2074+Table1[[#This Row],[Steps]])-100,F2074+Table1[[#This Row],[Steps]]),
))</f>
        <v>0</v>
      </c>
      <c r="F2075">
        <f>IF(Table1[[#This Row],[New Pos L]]&lt;&gt;0,Table1[[#This Row],[New Pos L]],Table1[[#This Row],[New Pos R]])</f>
        <v>26</v>
      </c>
    </row>
    <row r="2076" spans="1:6" ht="16" x14ac:dyDescent="0.2">
      <c r="A2076" s="1" t="s">
        <v>334</v>
      </c>
      <c r="B2076" t="str">
        <f>LEFT(Table1[[#This Row],[Input]],1)</f>
        <v>L</v>
      </c>
      <c r="C2076">
        <f>_xlfn.LET(_xlpm.steps,SUBSTITUTE(Table1[[#This Row],[Input]],Table1[[#This Row],[Direction]],""),VALUE(IF(LEN(_xlpm.steps)&gt;2,RIGHT(_xlpm.steps,2),_xlpm.steps)))</f>
        <v>26</v>
      </c>
      <c r="D2076">
        <f>_xlfn.LET(_xlpm.dir,Table1[[#This Row],[Direction]],
IF(_xlpm.dir="L",
    IF(F2075-Table1[[#This Row],[Steps]]&lt;0,100+(F2075-Table1[[#This Row],[Steps]]),F2075-Table1[[#This Row],[Steps]]),
))</f>
        <v>0</v>
      </c>
      <c r="E2076">
        <f>_xlfn.LET(_xlpm.dir,Table1[[#This Row],[Direction]],
IF(_xlpm.dir="R",
    IF(F2075+Table1[[#This Row],[Steps]]&gt;99,(F2075+Table1[[#This Row],[Steps]])-100,F2075+Table1[[#This Row],[Steps]]),
))</f>
        <v>0</v>
      </c>
      <c r="F2076">
        <f>IF(Table1[[#This Row],[New Pos L]]&lt;&gt;0,Table1[[#This Row],[New Pos L]],Table1[[#This Row],[New Pos R]])</f>
        <v>0</v>
      </c>
    </row>
    <row r="2077" spans="1:6" ht="16" x14ac:dyDescent="0.2">
      <c r="A2077" s="1" t="s">
        <v>295</v>
      </c>
      <c r="B2077" t="str">
        <f>LEFT(Table1[[#This Row],[Input]],1)</f>
        <v>L</v>
      </c>
      <c r="C2077">
        <f>_xlfn.LET(_xlpm.steps,SUBSTITUTE(Table1[[#This Row],[Input]],Table1[[#This Row],[Direction]],""),VALUE(IF(LEN(_xlpm.steps)&gt;2,RIGHT(_xlpm.steps,2),_xlpm.steps)))</f>
        <v>88</v>
      </c>
      <c r="D2077">
        <f>_xlfn.LET(_xlpm.dir,Table1[[#This Row],[Direction]],
IF(_xlpm.dir="L",
    IF(F2076-Table1[[#This Row],[Steps]]&lt;0,100+(F2076-Table1[[#This Row],[Steps]]),F2076-Table1[[#This Row],[Steps]]),
))</f>
        <v>12</v>
      </c>
      <c r="E2077">
        <f>_xlfn.LET(_xlpm.dir,Table1[[#This Row],[Direction]],
IF(_xlpm.dir="R",
    IF(F2076+Table1[[#This Row],[Steps]]&gt;99,(F2076+Table1[[#This Row],[Steps]])-100,F2076+Table1[[#This Row],[Steps]]),
))</f>
        <v>0</v>
      </c>
      <c r="F2077">
        <f>IF(Table1[[#This Row],[New Pos L]]&lt;&gt;0,Table1[[#This Row],[New Pos L]],Table1[[#This Row],[New Pos R]])</f>
        <v>12</v>
      </c>
    </row>
    <row r="2078" spans="1:6" ht="16" x14ac:dyDescent="0.2">
      <c r="A2078" s="1" t="s">
        <v>116</v>
      </c>
      <c r="B2078" t="str">
        <f>LEFT(Table1[[#This Row],[Input]],1)</f>
        <v>L</v>
      </c>
      <c r="C2078">
        <f>_xlfn.LET(_xlpm.steps,SUBSTITUTE(Table1[[#This Row],[Input]],Table1[[#This Row],[Direction]],""),VALUE(IF(LEN(_xlpm.steps)&gt;2,RIGHT(_xlpm.steps,2),_xlpm.steps)))</f>
        <v>58</v>
      </c>
      <c r="D2078">
        <f>_xlfn.LET(_xlpm.dir,Table1[[#This Row],[Direction]],
IF(_xlpm.dir="L",
    IF(F2077-Table1[[#This Row],[Steps]]&lt;0,100+(F2077-Table1[[#This Row],[Steps]]),F2077-Table1[[#This Row],[Steps]]),
))</f>
        <v>54</v>
      </c>
      <c r="E2078">
        <f>_xlfn.LET(_xlpm.dir,Table1[[#This Row],[Direction]],
IF(_xlpm.dir="R",
    IF(F2077+Table1[[#This Row],[Steps]]&gt;99,(F2077+Table1[[#This Row],[Steps]])-100,F2077+Table1[[#This Row],[Steps]]),
))</f>
        <v>0</v>
      </c>
      <c r="F2078">
        <f>IF(Table1[[#This Row],[New Pos L]]&lt;&gt;0,Table1[[#This Row],[New Pos L]],Table1[[#This Row],[New Pos R]])</f>
        <v>54</v>
      </c>
    </row>
    <row r="2079" spans="1:6" ht="16" x14ac:dyDescent="0.2">
      <c r="A2079" s="1" t="s">
        <v>557</v>
      </c>
      <c r="B2079" t="str">
        <f>LEFT(Table1[[#This Row],[Input]],1)</f>
        <v>L</v>
      </c>
      <c r="C2079">
        <f>_xlfn.LET(_xlpm.steps,SUBSTITUTE(Table1[[#This Row],[Input]],Table1[[#This Row],[Direction]],""),VALUE(IF(LEN(_xlpm.steps)&gt;2,RIGHT(_xlpm.steps,2),_xlpm.steps)))</f>
        <v>71</v>
      </c>
      <c r="D2079">
        <f>_xlfn.LET(_xlpm.dir,Table1[[#This Row],[Direction]],
IF(_xlpm.dir="L",
    IF(F2078-Table1[[#This Row],[Steps]]&lt;0,100+(F2078-Table1[[#This Row],[Steps]]),F2078-Table1[[#This Row],[Steps]]),
))</f>
        <v>83</v>
      </c>
      <c r="E2079">
        <f>_xlfn.LET(_xlpm.dir,Table1[[#This Row],[Direction]],
IF(_xlpm.dir="R",
    IF(F2078+Table1[[#This Row],[Steps]]&gt;99,(F2078+Table1[[#This Row],[Steps]])-100,F2078+Table1[[#This Row],[Steps]]),
))</f>
        <v>0</v>
      </c>
      <c r="F2079">
        <f>IF(Table1[[#This Row],[New Pos L]]&lt;&gt;0,Table1[[#This Row],[New Pos L]],Table1[[#This Row],[New Pos R]])</f>
        <v>83</v>
      </c>
    </row>
    <row r="2080" spans="1:6" ht="16" x14ac:dyDescent="0.2">
      <c r="A2080" s="1" t="s">
        <v>63</v>
      </c>
      <c r="B2080" t="str">
        <f>LEFT(Table1[[#This Row],[Input]],1)</f>
        <v>R</v>
      </c>
      <c r="C2080">
        <f>_xlfn.LET(_xlpm.steps,SUBSTITUTE(Table1[[#This Row],[Input]],Table1[[#This Row],[Direction]],""),VALUE(IF(LEN(_xlpm.steps)&gt;2,RIGHT(_xlpm.steps,2),_xlpm.steps)))</f>
        <v>57</v>
      </c>
      <c r="D2080">
        <f>_xlfn.LET(_xlpm.dir,Table1[[#This Row],[Direction]],
IF(_xlpm.dir="L",
    IF(F2079-Table1[[#This Row],[Steps]]&lt;0,100+(F2079-Table1[[#This Row],[Steps]]),F2079-Table1[[#This Row],[Steps]]),
))</f>
        <v>0</v>
      </c>
      <c r="E2080">
        <f>_xlfn.LET(_xlpm.dir,Table1[[#This Row],[Direction]],
IF(_xlpm.dir="R",
    IF(F2079+Table1[[#This Row],[Steps]]&gt;99,(F2079+Table1[[#This Row],[Steps]])-100,F2079+Table1[[#This Row],[Steps]]),
))</f>
        <v>40</v>
      </c>
      <c r="F2080">
        <f>IF(Table1[[#This Row],[New Pos L]]&lt;&gt;0,Table1[[#This Row],[New Pos L]],Table1[[#This Row],[New Pos R]])</f>
        <v>40</v>
      </c>
    </row>
    <row r="2081" spans="1:6" ht="16" x14ac:dyDescent="0.2">
      <c r="A2081" s="1" t="s">
        <v>241</v>
      </c>
      <c r="B2081" t="str">
        <f>LEFT(Table1[[#This Row],[Input]],1)</f>
        <v>R</v>
      </c>
      <c r="C2081">
        <f>_xlfn.LET(_xlpm.steps,SUBSTITUTE(Table1[[#This Row],[Input]],Table1[[#This Row],[Direction]],""),VALUE(IF(LEN(_xlpm.steps)&gt;2,RIGHT(_xlpm.steps,2),_xlpm.steps)))</f>
        <v>60</v>
      </c>
      <c r="D2081">
        <f>_xlfn.LET(_xlpm.dir,Table1[[#This Row],[Direction]],
IF(_xlpm.dir="L",
    IF(F2080-Table1[[#This Row],[Steps]]&lt;0,100+(F2080-Table1[[#This Row],[Steps]]),F2080-Table1[[#This Row],[Steps]]),
))</f>
        <v>0</v>
      </c>
      <c r="E2081">
        <f>_xlfn.LET(_xlpm.dir,Table1[[#This Row],[Direction]],
IF(_xlpm.dir="R",
    IF(F2080+Table1[[#This Row],[Steps]]&gt;99,(F2080+Table1[[#This Row],[Steps]])-100,F2080+Table1[[#This Row],[Steps]]),
))</f>
        <v>0</v>
      </c>
      <c r="F2081">
        <f>IF(Table1[[#This Row],[New Pos L]]&lt;&gt;0,Table1[[#This Row],[New Pos L]],Table1[[#This Row],[New Pos R]])</f>
        <v>0</v>
      </c>
    </row>
    <row r="2082" spans="1:6" ht="16" x14ac:dyDescent="0.2">
      <c r="A2082" s="1" t="s">
        <v>141</v>
      </c>
      <c r="B2082" t="str">
        <f>LEFT(Table1[[#This Row],[Input]],1)</f>
        <v>L</v>
      </c>
      <c r="C2082">
        <f>_xlfn.LET(_xlpm.steps,SUBSTITUTE(Table1[[#This Row],[Input]],Table1[[#This Row],[Direction]],""),VALUE(IF(LEN(_xlpm.steps)&gt;2,RIGHT(_xlpm.steps,2),_xlpm.steps)))</f>
        <v>90</v>
      </c>
      <c r="D2082">
        <f>_xlfn.LET(_xlpm.dir,Table1[[#This Row],[Direction]],
IF(_xlpm.dir="L",
    IF(F2081-Table1[[#This Row],[Steps]]&lt;0,100+(F2081-Table1[[#This Row],[Steps]]),F2081-Table1[[#This Row],[Steps]]),
))</f>
        <v>10</v>
      </c>
      <c r="E2082">
        <f>_xlfn.LET(_xlpm.dir,Table1[[#This Row],[Direction]],
IF(_xlpm.dir="R",
    IF(F2081+Table1[[#This Row],[Steps]]&gt;99,(F2081+Table1[[#This Row],[Steps]])-100,F2081+Table1[[#This Row],[Steps]]),
))</f>
        <v>0</v>
      </c>
      <c r="F2082">
        <f>IF(Table1[[#This Row],[New Pos L]]&lt;&gt;0,Table1[[#This Row],[New Pos L]],Table1[[#This Row],[New Pos R]])</f>
        <v>10</v>
      </c>
    </row>
    <row r="2083" spans="1:6" ht="16" x14ac:dyDescent="0.2">
      <c r="A2083" s="1" t="s">
        <v>558</v>
      </c>
      <c r="B2083" t="str">
        <f>LEFT(Table1[[#This Row],[Input]],1)</f>
        <v>L</v>
      </c>
      <c r="C2083">
        <f>_xlfn.LET(_xlpm.steps,SUBSTITUTE(Table1[[#This Row],[Input]],Table1[[#This Row],[Direction]],""),VALUE(IF(LEN(_xlpm.steps)&gt;2,RIGHT(_xlpm.steps,2),_xlpm.steps)))</f>
        <v>10</v>
      </c>
      <c r="D2083">
        <f>_xlfn.LET(_xlpm.dir,Table1[[#This Row],[Direction]],
IF(_xlpm.dir="L",
    IF(F2082-Table1[[#This Row],[Steps]]&lt;0,100+(F2082-Table1[[#This Row],[Steps]]),F2082-Table1[[#This Row],[Steps]]),
))</f>
        <v>0</v>
      </c>
      <c r="E2083">
        <f>_xlfn.LET(_xlpm.dir,Table1[[#This Row],[Direction]],
IF(_xlpm.dir="R",
    IF(F2082+Table1[[#This Row],[Steps]]&gt;99,(F2082+Table1[[#This Row],[Steps]])-100,F2082+Table1[[#This Row],[Steps]]),
))</f>
        <v>0</v>
      </c>
      <c r="F2083">
        <f>IF(Table1[[#This Row],[New Pos L]]&lt;&gt;0,Table1[[#This Row],[New Pos L]],Table1[[#This Row],[New Pos R]])</f>
        <v>0</v>
      </c>
    </row>
    <row r="2084" spans="1:6" ht="16" x14ac:dyDescent="0.2">
      <c r="A2084" s="1" t="s">
        <v>559</v>
      </c>
      <c r="B2084" t="str">
        <f>LEFT(Table1[[#This Row],[Input]],1)</f>
        <v>R</v>
      </c>
      <c r="C2084">
        <f>_xlfn.LET(_xlpm.steps,SUBSTITUTE(Table1[[#This Row],[Input]],Table1[[#This Row],[Direction]],""),VALUE(IF(LEN(_xlpm.steps)&gt;2,RIGHT(_xlpm.steps,2),_xlpm.steps)))</f>
        <v>32</v>
      </c>
      <c r="D2084">
        <f>_xlfn.LET(_xlpm.dir,Table1[[#This Row],[Direction]],
IF(_xlpm.dir="L",
    IF(F2083-Table1[[#This Row],[Steps]]&lt;0,100+(F2083-Table1[[#This Row],[Steps]]),F2083-Table1[[#This Row],[Steps]]),
))</f>
        <v>0</v>
      </c>
      <c r="E2084">
        <f>_xlfn.LET(_xlpm.dir,Table1[[#This Row],[Direction]],
IF(_xlpm.dir="R",
    IF(F2083+Table1[[#This Row],[Steps]]&gt;99,(F2083+Table1[[#This Row],[Steps]])-100,F2083+Table1[[#This Row],[Steps]]),
))</f>
        <v>32</v>
      </c>
      <c r="F2084">
        <f>IF(Table1[[#This Row],[New Pos L]]&lt;&gt;0,Table1[[#This Row],[New Pos L]],Table1[[#This Row],[New Pos R]])</f>
        <v>32</v>
      </c>
    </row>
    <row r="2085" spans="1:6" ht="16" x14ac:dyDescent="0.2">
      <c r="A2085" s="1" t="s">
        <v>560</v>
      </c>
      <c r="B2085" t="str">
        <f>LEFT(Table1[[#This Row],[Input]],1)</f>
        <v>L</v>
      </c>
      <c r="C2085">
        <f>_xlfn.LET(_xlpm.steps,SUBSTITUTE(Table1[[#This Row],[Input]],Table1[[#This Row],[Direction]],""),VALUE(IF(LEN(_xlpm.steps)&gt;2,RIGHT(_xlpm.steps,2),_xlpm.steps)))</f>
        <v>32</v>
      </c>
      <c r="D2085">
        <f>_xlfn.LET(_xlpm.dir,Table1[[#This Row],[Direction]],
IF(_xlpm.dir="L",
    IF(F2084-Table1[[#This Row],[Steps]]&lt;0,100+(F2084-Table1[[#This Row],[Steps]]),F2084-Table1[[#This Row],[Steps]]),
))</f>
        <v>0</v>
      </c>
      <c r="E2085">
        <f>_xlfn.LET(_xlpm.dir,Table1[[#This Row],[Direction]],
IF(_xlpm.dir="R",
    IF(F2084+Table1[[#This Row],[Steps]]&gt;99,(F2084+Table1[[#This Row],[Steps]])-100,F2084+Table1[[#This Row],[Steps]]),
))</f>
        <v>0</v>
      </c>
      <c r="F2085">
        <f>IF(Table1[[#This Row],[New Pos L]]&lt;&gt;0,Table1[[#This Row],[New Pos L]],Table1[[#This Row],[New Pos R]])</f>
        <v>0</v>
      </c>
    </row>
    <row r="2086" spans="1:6" ht="16" x14ac:dyDescent="0.2">
      <c r="A2086" s="1" t="s">
        <v>139</v>
      </c>
      <c r="B2086" t="str">
        <f>LEFT(Table1[[#This Row],[Input]],1)</f>
        <v>R</v>
      </c>
      <c r="C2086">
        <f>_xlfn.LET(_xlpm.steps,SUBSTITUTE(Table1[[#This Row],[Input]],Table1[[#This Row],[Direction]],""),VALUE(IF(LEN(_xlpm.steps)&gt;2,RIGHT(_xlpm.steps,2),_xlpm.steps)))</f>
        <v>38</v>
      </c>
      <c r="D2086">
        <f>_xlfn.LET(_xlpm.dir,Table1[[#This Row],[Direction]],
IF(_xlpm.dir="L",
    IF(F2085-Table1[[#This Row],[Steps]]&lt;0,100+(F2085-Table1[[#This Row],[Steps]]),F2085-Table1[[#This Row],[Steps]]),
))</f>
        <v>0</v>
      </c>
      <c r="E2086">
        <f>_xlfn.LET(_xlpm.dir,Table1[[#This Row],[Direction]],
IF(_xlpm.dir="R",
    IF(F2085+Table1[[#This Row],[Steps]]&gt;99,(F2085+Table1[[#This Row],[Steps]])-100,F2085+Table1[[#This Row],[Steps]]),
))</f>
        <v>38</v>
      </c>
      <c r="F2086">
        <f>IF(Table1[[#This Row],[New Pos L]]&lt;&gt;0,Table1[[#This Row],[New Pos L]],Table1[[#This Row],[New Pos R]])</f>
        <v>38</v>
      </c>
    </row>
    <row r="2087" spans="1:6" ht="16" x14ac:dyDescent="0.2">
      <c r="A2087" s="1" t="s">
        <v>561</v>
      </c>
      <c r="B2087" t="str">
        <f>LEFT(Table1[[#This Row],[Input]],1)</f>
        <v>R</v>
      </c>
      <c r="C2087">
        <f>_xlfn.LET(_xlpm.steps,SUBSTITUTE(Table1[[#This Row],[Input]],Table1[[#This Row],[Direction]],""),VALUE(IF(LEN(_xlpm.steps)&gt;2,RIGHT(_xlpm.steps,2),_xlpm.steps)))</f>
        <v>62</v>
      </c>
      <c r="D2087">
        <f>_xlfn.LET(_xlpm.dir,Table1[[#This Row],[Direction]],
IF(_xlpm.dir="L",
    IF(F2086-Table1[[#This Row],[Steps]]&lt;0,100+(F2086-Table1[[#This Row],[Steps]]),F2086-Table1[[#This Row],[Steps]]),
))</f>
        <v>0</v>
      </c>
      <c r="E2087">
        <f>_xlfn.LET(_xlpm.dir,Table1[[#This Row],[Direction]],
IF(_xlpm.dir="R",
    IF(F2086+Table1[[#This Row],[Steps]]&gt;99,(F2086+Table1[[#This Row],[Steps]])-100,F2086+Table1[[#This Row],[Steps]]),
))</f>
        <v>0</v>
      </c>
      <c r="F2087">
        <f>IF(Table1[[#This Row],[New Pos L]]&lt;&gt;0,Table1[[#This Row],[New Pos L]],Table1[[#This Row],[New Pos R]])</f>
        <v>0</v>
      </c>
    </row>
    <row r="2088" spans="1:6" ht="16" x14ac:dyDescent="0.2">
      <c r="A2088" s="1" t="s">
        <v>16</v>
      </c>
      <c r="B2088" t="str">
        <f>LEFT(Table1[[#This Row],[Input]],1)</f>
        <v>L</v>
      </c>
      <c r="C2088">
        <f>_xlfn.LET(_xlpm.steps,SUBSTITUTE(Table1[[#This Row],[Input]],Table1[[#This Row],[Direction]],""),VALUE(IF(LEN(_xlpm.steps)&gt;2,RIGHT(_xlpm.steps,2),_xlpm.steps)))</f>
        <v>10</v>
      </c>
      <c r="D2088">
        <f>_xlfn.LET(_xlpm.dir,Table1[[#This Row],[Direction]],
IF(_xlpm.dir="L",
    IF(F2087-Table1[[#This Row],[Steps]]&lt;0,100+(F2087-Table1[[#This Row],[Steps]]),F2087-Table1[[#This Row],[Steps]]),
))</f>
        <v>90</v>
      </c>
      <c r="E2088">
        <f>_xlfn.LET(_xlpm.dir,Table1[[#This Row],[Direction]],
IF(_xlpm.dir="R",
    IF(F2087+Table1[[#This Row],[Steps]]&gt;99,(F2087+Table1[[#This Row],[Steps]])-100,F2087+Table1[[#This Row],[Steps]]),
))</f>
        <v>0</v>
      </c>
      <c r="F2088">
        <f>IF(Table1[[#This Row],[New Pos L]]&lt;&gt;0,Table1[[#This Row],[New Pos L]],Table1[[#This Row],[New Pos R]])</f>
        <v>90</v>
      </c>
    </row>
    <row r="2089" spans="1:6" ht="16" x14ac:dyDescent="0.2">
      <c r="A2089" s="1" t="s">
        <v>187</v>
      </c>
      <c r="B2089" t="str">
        <f>LEFT(Table1[[#This Row],[Input]],1)</f>
        <v>R</v>
      </c>
      <c r="C2089">
        <f>_xlfn.LET(_xlpm.steps,SUBSTITUTE(Table1[[#This Row],[Input]],Table1[[#This Row],[Direction]],""),VALUE(IF(LEN(_xlpm.steps)&gt;2,RIGHT(_xlpm.steps,2),_xlpm.steps)))</f>
        <v>20</v>
      </c>
      <c r="D2089">
        <f>_xlfn.LET(_xlpm.dir,Table1[[#This Row],[Direction]],
IF(_xlpm.dir="L",
    IF(F2088-Table1[[#This Row],[Steps]]&lt;0,100+(F2088-Table1[[#This Row],[Steps]]),F2088-Table1[[#This Row],[Steps]]),
))</f>
        <v>0</v>
      </c>
      <c r="E2089">
        <f>_xlfn.LET(_xlpm.dir,Table1[[#This Row],[Direction]],
IF(_xlpm.dir="R",
    IF(F2088+Table1[[#This Row],[Steps]]&gt;99,(F2088+Table1[[#This Row],[Steps]])-100,F2088+Table1[[#This Row],[Steps]]),
))</f>
        <v>10</v>
      </c>
      <c r="F2089">
        <f>IF(Table1[[#This Row],[New Pos L]]&lt;&gt;0,Table1[[#This Row],[New Pos L]],Table1[[#This Row],[New Pos R]])</f>
        <v>10</v>
      </c>
    </row>
    <row r="2090" spans="1:6" ht="16" x14ac:dyDescent="0.2">
      <c r="A2090" s="1" t="s">
        <v>16</v>
      </c>
      <c r="B2090" t="str">
        <f>LEFT(Table1[[#This Row],[Input]],1)</f>
        <v>L</v>
      </c>
      <c r="C2090">
        <f>_xlfn.LET(_xlpm.steps,SUBSTITUTE(Table1[[#This Row],[Input]],Table1[[#This Row],[Direction]],""),VALUE(IF(LEN(_xlpm.steps)&gt;2,RIGHT(_xlpm.steps,2),_xlpm.steps)))</f>
        <v>10</v>
      </c>
      <c r="D2090">
        <f>_xlfn.LET(_xlpm.dir,Table1[[#This Row],[Direction]],
IF(_xlpm.dir="L",
    IF(F2089-Table1[[#This Row],[Steps]]&lt;0,100+(F2089-Table1[[#This Row],[Steps]]),F2089-Table1[[#This Row],[Steps]]),
))</f>
        <v>0</v>
      </c>
      <c r="E2090">
        <f>_xlfn.LET(_xlpm.dir,Table1[[#This Row],[Direction]],
IF(_xlpm.dir="R",
    IF(F2089+Table1[[#This Row],[Steps]]&gt;99,(F2089+Table1[[#This Row],[Steps]])-100,F2089+Table1[[#This Row],[Steps]]),
))</f>
        <v>0</v>
      </c>
      <c r="F2090">
        <f>IF(Table1[[#This Row],[New Pos L]]&lt;&gt;0,Table1[[#This Row],[New Pos L]],Table1[[#This Row],[New Pos R]])</f>
        <v>0</v>
      </c>
    </row>
    <row r="2091" spans="1:6" ht="16" x14ac:dyDescent="0.2">
      <c r="A2091" s="1" t="s">
        <v>52</v>
      </c>
      <c r="B2091" t="str">
        <f>LEFT(Table1[[#This Row],[Input]],1)</f>
        <v>R</v>
      </c>
      <c r="C2091">
        <f>_xlfn.LET(_xlpm.steps,SUBSTITUTE(Table1[[#This Row],[Input]],Table1[[#This Row],[Direction]],""),VALUE(IF(LEN(_xlpm.steps)&gt;2,RIGHT(_xlpm.steps,2),_xlpm.steps)))</f>
        <v>11</v>
      </c>
      <c r="D2091">
        <f>_xlfn.LET(_xlpm.dir,Table1[[#This Row],[Direction]],
IF(_xlpm.dir="L",
    IF(F2090-Table1[[#This Row],[Steps]]&lt;0,100+(F2090-Table1[[#This Row],[Steps]]),F2090-Table1[[#This Row],[Steps]]),
))</f>
        <v>0</v>
      </c>
      <c r="E2091">
        <f>_xlfn.LET(_xlpm.dir,Table1[[#This Row],[Direction]],
IF(_xlpm.dir="R",
    IF(F2090+Table1[[#This Row],[Steps]]&gt;99,(F2090+Table1[[#This Row],[Steps]])-100,F2090+Table1[[#This Row],[Steps]]),
))</f>
        <v>11</v>
      </c>
      <c r="F2091">
        <f>IF(Table1[[#This Row],[New Pos L]]&lt;&gt;0,Table1[[#This Row],[New Pos L]],Table1[[#This Row],[New Pos R]])</f>
        <v>11</v>
      </c>
    </row>
    <row r="2092" spans="1:6" ht="16" x14ac:dyDescent="0.2">
      <c r="A2092" s="1" t="s">
        <v>49</v>
      </c>
      <c r="B2092" t="str">
        <f>LEFT(Table1[[#This Row],[Input]],1)</f>
        <v>L</v>
      </c>
      <c r="C2092">
        <f>_xlfn.LET(_xlpm.steps,SUBSTITUTE(Table1[[#This Row],[Input]],Table1[[#This Row],[Direction]],""),VALUE(IF(LEN(_xlpm.steps)&gt;2,RIGHT(_xlpm.steps,2),_xlpm.steps)))</f>
        <v>93</v>
      </c>
      <c r="D2092">
        <f>_xlfn.LET(_xlpm.dir,Table1[[#This Row],[Direction]],
IF(_xlpm.dir="L",
    IF(F2091-Table1[[#This Row],[Steps]]&lt;0,100+(F2091-Table1[[#This Row],[Steps]]),F2091-Table1[[#This Row],[Steps]]),
))</f>
        <v>18</v>
      </c>
      <c r="E2092">
        <f>_xlfn.LET(_xlpm.dir,Table1[[#This Row],[Direction]],
IF(_xlpm.dir="R",
    IF(F2091+Table1[[#This Row],[Steps]]&gt;99,(F2091+Table1[[#This Row],[Steps]])-100,F2091+Table1[[#This Row],[Steps]]),
))</f>
        <v>0</v>
      </c>
      <c r="F2092">
        <f>IF(Table1[[#This Row],[New Pos L]]&lt;&gt;0,Table1[[#This Row],[New Pos L]],Table1[[#This Row],[New Pos R]])</f>
        <v>18</v>
      </c>
    </row>
    <row r="2093" spans="1:6" ht="16" x14ac:dyDescent="0.2">
      <c r="A2093" s="1" t="s">
        <v>562</v>
      </c>
      <c r="B2093" t="str">
        <f>LEFT(Table1[[#This Row],[Input]],1)</f>
        <v>L</v>
      </c>
      <c r="C2093">
        <f>_xlfn.LET(_xlpm.steps,SUBSTITUTE(Table1[[#This Row],[Input]],Table1[[#This Row],[Direction]],""),VALUE(IF(LEN(_xlpm.steps)&gt;2,RIGHT(_xlpm.steps,2),_xlpm.steps)))</f>
        <v>16</v>
      </c>
      <c r="D2093">
        <f>_xlfn.LET(_xlpm.dir,Table1[[#This Row],[Direction]],
IF(_xlpm.dir="L",
    IF(F2092-Table1[[#This Row],[Steps]]&lt;0,100+(F2092-Table1[[#This Row],[Steps]]),F2092-Table1[[#This Row],[Steps]]),
))</f>
        <v>2</v>
      </c>
      <c r="E2093">
        <f>_xlfn.LET(_xlpm.dir,Table1[[#This Row],[Direction]],
IF(_xlpm.dir="R",
    IF(F2092+Table1[[#This Row],[Steps]]&gt;99,(F2092+Table1[[#This Row],[Steps]])-100,F2092+Table1[[#This Row],[Steps]]),
))</f>
        <v>0</v>
      </c>
      <c r="F2093">
        <f>IF(Table1[[#This Row],[New Pos L]]&lt;&gt;0,Table1[[#This Row],[New Pos L]],Table1[[#This Row],[New Pos R]])</f>
        <v>2</v>
      </c>
    </row>
    <row r="2094" spans="1:6" ht="16" x14ac:dyDescent="0.2">
      <c r="A2094" s="1" t="s">
        <v>30</v>
      </c>
      <c r="B2094" t="str">
        <f>LEFT(Table1[[#This Row],[Input]],1)</f>
        <v>R</v>
      </c>
      <c r="C2094">
        <f>_xlfn.LET(_xlpm.steps,SUBSTITUTE(Table1[[#This Row],[Input]],Table1[[#This Row],[Direction]],""),VALUE(IF(LEN(_xlpm.steps)&gt;2,RIGHT(_xlpm.steps,2),_xlpm.steps)))</f>
        <v>48</v>
      </c>
      <c r="D2094">
        <f>_xlfn.LET(_xlpm.dir,Table1[[#This Row],[Direction]],
IF(_xlpm.dir="L",
    IF(F2093-Table1[[#This Row],[Steps]]&lt;0,100+(F2093-Table1[[#This Row],[Steps]]),F2093-Table1[[#This Row],[Steps]]),
))</f>
        <v>0</v>
      </c>
      <c r="E2094">
        <f>_xlfn.LET(_xlpm.dir,Table1[[#This Row],[Direction]],
IF(_xlpm.dir="R",
    IF(F2093+Table1[[#This Row],[Steps]]&gt;99,(F2093+Table1[[#This Row],[Steps]])-100,F2093+Table1[[#This Row],[Steps]]),
))</f>
        <v>50</v>
      </c>
      <c r="F2094">
        <f>IF(Table1[[#This Row],[New Pos L]]&lt;&gt;0,Table1[[#This Row],[New Pos L]],Table1[[#This Row],[New Pos R]])</f>
        <v>50</v>
      </c>
    </row>
    <row r="2095" spans="1:6" ht="16" x14ac:dyDescent="0.2">
      <c r="A2095" s="1" t="s">
        <v>58</v>
      </c>
      <c r="B2095" t="str">
        <f>LEFT(Table1[[#This Row],[Input]],1)</f>
        <v>L</v>
      </c>
      <c r="C2095">
        <f>_xlfn.LET(_xlpm.steps,SUBSTITUTE(Table1[[#This Row],[Input]],Table1[[#This Row],[Direction]],""),VALUE(IF(LEN(_xlpm.steps)&gt;2,RIGHT(_xlpm.steps,2),_xlpm.steps)))</f>
        <v>30</v>
      </c>
      <c r="D2095">
        <f>_xlfn.LET(_xlpm.dir,Table1[[#This Row],[Direction]],
IF(_xlpm.dir="L",
    IF(F2094-Table1[[#This Row],[Steps]]&lt;0,100+(F2094-Table1[[#This Row],[Steps]]),F2094-Table1[[#This Row],[Steps]]),
))</f>
        <v>20</v>
      </c>
      <c r="E2095">
        <f>_xlfn.LET(_xlpm.dir,Table1[[#This Row],[Direction]],
IF(_xlpm.dir="R",
    IF(F2094+Table1[[#This Row],[Steps]]&gt;99,(F2094+Table1[[#This Row],[Steps]])-100,F2094+Table1[[#This Row],[Steps]]),
))</f>
        <v>0</v>
      </c>
      <c r="F2095">
        <f>IF(Table1[[#This Row],[New Pos L]]&lt;&gt;0,Table1[[#This Row],[New Pos L]],Table1[[#This Row],[New Pos R]])</f>
        <v>20</v>
      </c>
    </row>
    <row r="2096" spans="1:6" ht="16" x14ac:dyDescent="0.2">
      <c r="A2096" s="1" t="s">
        <v>57</v>
      </c>
      <c r="B2096" t="str">
        <f>LEFT(Table1[[#This Row],[Input]],1)</f>
        <v>R</v>
      </c>
      <c r="C2096">
        <f>_xlfn.LET(_xlpm.steps,SUBSTITUTE(Table1[[#This Row],[Input]],Table1[[#This Row],[Direction]],""),VALUE(IF(LEN(_xlpm.steps)&gt;2,RIGHT(_xlpm.steps,2),_xlpm.steps)))</f>
        <v>29</v>
      </c>
      <c r="D2096">
        <f>_xlfn.LET(_xlpm.dir,Table1[[#This Row],[Direction]],
IF(_xlpm.dir="L",
    IF(F2095-Table1[[#This Row],[Steps]]&lt;0,100+(F2095-Table1[[#This Row],[Steps]]),F2095-Table1[[#This Row],[Steps]]),
))</f>
        <v>0</v>
      </c>
      <c r="E2096">
        <f>_xlfn.LET(_xlpm.dir,Table1[[#This Row],[Direction]],
IF(_xlpm.dir="R",
    IF(F2095+Table1[[#This Row],[Steps]]&gt;99,(F2095+Table1[[#This Row],[Steps]])-100,F2095+Table1[[#This Row],[Steps]]),
))</f>
        <v>49</v>
      </c>
      <c r="F2096">
        <f>IF(Table1[[#This Row],[New Pos L]]&lt;&gt;0,Table1[[#This Row],[New Pos L]],Table1[[#This Row],[New Pos R]])</f>
        <v>49</v>
      </c>
    </row>
    <row r="2097" spans="1:6" ht="16" x14ac:dyDescent="0.2">
      <c r="A2097" s="1" t="s">
        <v>24</v>
      </c>
      <c r="B2097" t="str">
        <f>LEFT(Table1[[#This Row],[Input]],1)</f>
        <v>L</v>
      </c>
      <c r="C2097">
        <f>_xlfn.LET(_xlpm.steps,SUBSTITUTE(Table1[[#This Row],[Input]],Table1[[#This Row],[Direction]],""),VALUE(IF(LEN(_xlpm.steps)&gt;2,RIGHT(_xlpm.steps,2),_xlpm.steps)))</f>
        <v>49</v>
      </c>
      <c r="D2097">
        <f>_xlfn.LET(_xlpm.dir,Table1[[#This Row],[Direction]],
IF(_xlpm.dir="L",
    IF(F2096-Table1[[#This Row],[Steps]]&lt;0,100+(F2096-Table1[[#This Row],[Steps]]),F2096-Table1[[#This Row],[Steps]]),
))</f>
        <v>0</v>
      </c>
      <c r="E2097">
        <f>_xlfn.LET(_xlpm.dir,Table1[[#This Row],[Direction]],
IF(_xlpm.dir="R",
    IF(F2096+Table1[[#This Row],[Steps]]&gt;99,(F2096+Table1[[#This Row],[Steps]])-100,F2096+Table1[[#This Row],[Steps]]),
))</f>
        <v>0</v>
      </c>
      <c r="F2097">
        <f>IF(Table1[[#This Row],[New Pos L]]&lt;&gt;0,Table1[[#This Row],[New Pos L]],Table1[[#This Row],[New Pos R]])</f>
        <v>0</v>
      </c>
    </row>
    <row r="2098" spans="1:6" ht="16" x14ac:dyDescent="0.2">
      <c r="A2098" s="1" t="s">
        <v>57</v>
      </c>
      <c r="B2098" t="str">
        <f>LEFT(Table1[[#This Row],[Input]],1)</f>
        <v>R</v>
      </c>
      <c r="C2098">
        <f>_xlfn.LET(_xlpm.steps,SUBSTITUTE(Table1[[#This Row],[Input]],Table1[[#This Row],[Direction]],""),VALUE(IF(LEN(_xlpm.steps)&gt;2,RIGHT(_xlpm.steps,2),_xlpm.steps)))</f>
        <v>29</v>
      </c>
      <c r="D2098">
        <f>_xlfn.LET(_xlpm.dir,Table1[[#This Row],[Direction]],
IF(_xlpm.dir="L",
    IF(F2097-Table1[[#This Row],[Steps]]&lt;0,100+(F2097-Table1[[#This Row],[Steps]]),F2097-Table1[[#This Row],[Steps]]),
))</f>
        <v>0</v>
      </c>
      <c r="E2098">
        <f>_xlfn.LET(_xlpm.dir,Table1[[#This Row],[Direction]],
IF(_xlpm.dir="R",
    IF(F2097+Table1[[#This Row],[Steps]]&gt;99,(F2097+Table1[[#This Row],[Steps]])-100,F2097+Table1[[#This Row],[Steps]]),
))</f>
        <v>29</v>
      </c>
      <c r="F2098">
        <f>IF(Table1[[#This Row],[New Pos L]]&lt;&gt;0,Table1[[#This Row],[New Pos L]],Table1[[#This Row],[New Pos R]])</f>
        <v>29</v>
      </c>
    </row>
    <row r="2099" spans="1:6" ht="16" x14ac:dyDescent="0.2">
      <c r="A2099" s="1" t="s">
        <v>45</v>
      </c>
      <c r="B2099" t="str">
        <f>LEFT(Table1[[#This Row],[Input]],1)</f>
        <v>L</v>
      </c>
      <c r="C2099">
        <f>_xlfn.LET(_xlpm.steps,SUBSTITUTE(Table1[[#This Row],[Input]],Table1[[#This Row],[Direction]],""),VALUE(IF(LEN(_xlpm.steps)&gt;2,RIGHT(_xlpm.steps,2),_xlpm.steps)))</f>
        <v>96</v>
      </c>
      <c r="D2099">
        <f>_xlfn.LET(_xlpm.dir,Table1[[#This Row],[Direction]],
IF(_xlpm.dir="L",
    IF(F2098-Table1[[#This Row],[Steps]]&lt;0,100+(F2098-Table1[[#This Row],[Steps]]),F2098-Table1[[#This Row],[Steps]]),
))</f>
        <v>33</v>
      </c>
      <c r="E2099">
        <f>_xlfn.LET(_xlpm.dir,Table1[[#This Row],[Direction]],
IF(_xlpm.dir="R",
    IF(F2098+Table1[[#This Row],[Steps]]&gt;99,(F2098+Table1[[#This Row],[Steps]])-100,F2098+Table1[[#This Row],[Steps]]),
))</f>
        <v>0</v>
      </c>
      <c r="F2099">
        <f>IF(Table1[[#This Row],[New Pos L]]&lt;&gt;0,Table1[[#This Row],[New Pos L]],Table1[[#This Row],[New Pos R]])</f>
        <v>33</v>
      </c>
    </row>
    <row r="2100" spans="1:6" ht="16" x14ac:dyDescent="0.2">
      <c r="A2100" s="1" t="s">
        <v>293</v>
      </c>
      <c r="B2100" t="str">
        <f>LEFT(Table1[[#This Row],[Input]],1)</f>
        <v>R</v>
      </c>
      <c r="C2100">
        <f>_xlfn.LET(_xlpm.steps,SUBSTITUTE(Table1[[#This Row],[Input]],Table1[[#This Row],[Direction]],""),VALUE(IF(LEN(_xlpm.steps)&gt;2,RIGHT(_xlpm.steps,2),_xlpm.steps)))</f>
        <v>67</v>
      </c>
      <c r="D2100">
        <f>_xlfn.LET(_xlpm.dir,Table1[[#This Row],[Direction]],
IF(_xlpm.dir="L",
    IF(F2099-Table1[[#This Row],[Steps]]&lt;0,100+(F2099-Table1[[#This Row],[Steps]]),F2099-Table1[[#This Row],[Steps]]),
))</f>
        <v>0</v>
      </c>
      <c r="E2100">
        <f>_xlfn.LET(_xlpm.dir,Table1[[#This Row],[Direction]],
IF(_xlpm.dir="R",
    IF(F2099+Table1[[#This Row],[Steps]]&gt;99,(F2099+Table1[[#This Row],[Steps]])-100,F2099+Table1[[#This Row],[Steps]]),
))</f>
        <v>0</v>
      </c>
      <c r="F2100">
        <f>IF(Table1[[#This Row],[New Pos L]]&lt;&gt;0,Table1[[#This Row],[New Pos L]],Table1[[#This Row],[New Pos R]])</f>
        <v>0</v>
      </c>
    </row>
    <row r="2101" spans="1:6" ht="16" x14ac:dyDescent="0.2">
      <c r="A2101" s="1" t="s">
        <v>563</v>
      </c>
      <c r="B2101" t="str">
        <f>LEFT(Table1[[#This Row],[Input]],1)</f>
        <v>R</v>
      </c>
      <c r="C2101">
        <f>_xlfn.LET(_xlpm.steps,SUBSTITUTE(Table1[[#This Row],[Input]],Table1[[#This Row],[Direction]],""),VALUE(IF(LEN(_xlpm.steps)&gt;2,RIGHT(_xlpm.steps,2),_xlpm.steps)))</f>
        <v>60</v>
      </c>
      <c r="D2101">
        <f>_xlfn.LET(_xlpm.dir,Table1[[#This Row],[Direction]],
IF(_xlpm.dir="L",
    IF(F2100-Table1[[#This Row],[Steps]]&lt;0,100+(F2100-Table1[[#This Row],[Steps]]),F2100-Table1[[#This Row],[Steps]]),
))</f>
        <v>0</v>
      </c>
      <c r="E2101">
        <f>_xlfn.LET(_xlpm.dir,Table1[[#This Row],[Direction]],
IF(_xlpm.dir="R",
    IF(F2100+Table1[[#This Row],[Steps]]&gt;99,(F2100+Table1[[#This Row],[Steps]])-100,F2100+Table1[[#This Row],[Steps]]),
))</f>
        <v>60</v>
      </c>
      <c r="F2101">
        <f>IF(Table1[[#This Row],[New Pos L]]&lt;&gt;0,Table1[[#This Row],[New Pos L]],Table1[[#This Row],[New Pos R]])</f>
        <v>60</v>
      </c>
    </row>
    <row r="2102" spans="1:6" ht="16" x14ac:dyDescent="0.2">
      <c r="A2102" s="1" t="s">
        <v>121</v>
      </c>
      <c r="B2102" t="str">
        <f>LEFT(Table1[[#This Row],[Input]],1)</f>
        <v>L</v>
      </c>
      <c r="C2102">
        <f>_xlfn.LET(_xlpm.steps,SUBSTITUTE(Table1[[#This Row],[Input]],Table1[[#This Row],[Direction]],""),VALUE(IF(LEN(_xlpm.steps)&gt;2,RIGHT(_xlpm.steps,2),_xlpm.steps)))</f>
        <v>69</v>
      </c>
      <c r="D2102">
        <f>_xlfn.LET(_xlpm.dir,Table1[[#This Row],[Direction]],
IF(_xlpm.dir="L",
    IF(F2101-Table1[[#This Row],[Steps]]&lt;0,100+(F2101-Table1[[#This Row],[Steps]]),F2101-Table1[[#This Row],[Steps]]),
))</f>
        <v>91</v>
      </c>
      <c r="E2102">
        <f>_xlfn.LET(_xlpm.dir,Table1[[#This Row],[Direction]],
IF(_xlpm.dir="R",
    IF(F2101+Table1[[#This Row],[Steps]]&gt;99,(F2101+Table1[[#This Row],[Steps]])-100,F2101+Table1[[#This Row],[Steps]]),
))</f>
        <v>0</v>
      </c>
      <c r="F2102">
        <f>IF(Table1[[#This Row],[New Pos L]]&lt;&gt;0,Table1[[#This Row],[New Pos L]],Table1[[#This Row],[New Pos R]])</f>
        <v>91</v>
      </c>
    </row>
    <row r="2103" spans="1:6" ht="16" x14ac:dyDescent="0.2">
      <c r="A2103" s="1" t="s">
        <v>89</v>
      </c>
      <c r="B2103" t="str">
        <f>LEFT(Table1[[#This Row],[Input]],1)</f>
        <v>L</v>
      </c>
      <c r="C2103">
        <f>_xlfn.LET(_xlpm.steps,SUBSTITUTE(Table1[[#This Row],[Input]],Table1[[#This Row],[Direction]],""),VALUE(IF(LEN(_xlpm.steps)&gt;2,RIGHT(_xlpm.steps,2),_xlpm.steps)))</f>
        <v>91</v>
      </c>
      <c r="D2103">
        <f>_xlfn.LET(_xlpm.dir,Table1[[#This Row],[Direction]],
IF(_xlpm.dir="L",
    IF(F2102-Table1[[#This Row],[Steps]]&lt;0,100+(F2102-Table1[[#This Row],[Steps]]),F2102-Table1[[#This Row],[Steps]]),
))</f>
        <v>0</v>
      </c>
      <c r="E2103">
        <f>_xlfn.LET(_xlpm.dir,Table1[[#This Row],[Direction]],
IF(_xlpm.dir="R",
    IF(F2102+Table1[[#This Row],[Steps]]&gt;99,(F2102+Table1[[#This Row],[Steps]])-100,F2102+Table1[[#This Row],[Steps]]),
))</f>
        <v>0</v>
      </c>
      <c r="F2103">
        <f>IF(Table1[[#This Row],[New Pos L]]&lt;&gt;0,Table1[[#This Row],[New Pos L]],Table1[[#This Row],[New Pos R]])</f>
        <v>0</v>
      </c>
    </row>
    <row r="2104" spans="1:6" ht="16" x14ac:dyDescent="0.2">
      <c r="A2104" s="1" t="s">
        <v>17</v>
      </c>
      <c r="B2104" t="str">
        <f>LEFT(Table1[[#This Row],[Input]],1)</f>
        <v>L</v>
      </c>
      <c r="C2104">
        <f>_xlfn.LET(_xlpm.steps,SUBSTITUTE(Table1[[#This Row],[Input]],Table1[[#This Row],[Direction]],""),VALUE(IF(LEN(_xlpm.steps)&gt;2,RIGHT(_xlpm.steps,2),_xlpm.steps)))</f>
        <v>50</v>
      </c>
      <c r="D2104">
        <f>_xlfn.LET(_xlpm.dir,Table1[[#This Row],[Direction]],
IF(_xlpm.dir="L",
    IF(F2103-Table1[[#This Row],[Steps]]&lt;0,100+(F2103-Table1[[#This Row],[Steps]]),F2103-Table1[[#This Row],[Steps]]),
))</f>
        <v>50</v>
      </c>
      <c r="E2104">
        <f>_xlfn.LET(_xlpm.dir,Table1[[#This Row],[Direction]],
IF(_xlpm.dir="R",
    IF(F2103+Table1[[#This Row],[Steps]]&gt;99,(F2103+Table1[[#This Row],[Steps]])-100,F2103+Table1[[#This Row],[Steps]]),
))</f>
        <v>0</v>
      </c>
      <c r="F2104">
        <f>IF(Table1[[#This Row],[New Pos L]]&lt;&gt;0,Table1[[#This Row],[New Pos L]],Table1[[#This Row],[New Pos R]])</f>
        <v>50</v>
      </c>
    </row>
    <row r="2105" spans="1:6" ht="16" x14ac:dyDescent="0.2">
      <c r="A2105" s="1" t="s">
        <v>36</v>
      </c>
      <c r="B2105" t="str">
        <f>LEFT(Table1[[#This Row],[Input]],1)</f>
        <v>R</v>
      </c>
      <c r="C2105">
        <f>_xlfn.LET(_xlpm.steps,SUBSTITUTE(Table1[[#This Row],[Input]],Table1[[#This Row],[Direction]],""),VALUE(IF(LEN(_xlpm.steps)&gt;2,RIGHT(_xlpm.steps,2),_xlpm.steps)))</f>
        <v>50</v>
      </c>
      <c r="D2105">
        <f>_xlfn.LET(_xlpm.dir,Table1[[#This Row],[Direction]],
IF(_xlpm.dir="L",
    IF(F2104-Table1[[#This Row],[Steps]]&lt;0,100+(F2104-Table1[[#This Row],[Steps]]),F2104-Table1[[#This Row],[Steps]]),
))</f>
        <v>0</v>
      </c>
      <c r="E2105">
        <f>_xlfn.LET(_xlpm.dir,Table1[[#This Row],[Direction]],
IF(_xlpm.dir="R",
    IF(F2104+Table1[[#This Row],[Steps]]&gt;99,(F2104+Table1[[#This Row],[Steps]])-100,F2104+Table1[[#This Row],[Steps]]),
))</f>
        <v>0</v>
      </c>
      <c r="F2105">
        <f>IF(Table1[[#This Row],[New Pos L]]&lt;&gt;0,Table1[[#This Row],[New Pos L]],Table1[[#This Row],[New Pos R]])</f>
        <v>0</v>
      </c>
    </row>
    <row r="2106" spans="1:6" ht="16" x14ac:dyDescent="0.2">
      <c r="A2106" s="1" t="s">
        <v>9</v>
      </c>
      <c r="B2106" t="str">
        <f>LEFT(Table1[[#This Row],[Input]],1)</f>
        <v>L</v>
      </c>
      <c r="C2106">
        <f>_xlfn.LET(_xlpm.steps,SUBSTITUTE(Table1[[#This Row],[Input]],Table1[[#This Row],[Direction]],""),VALUE(IF(LEN(_xlpm.steps)&gt;2,RIGHT(_xlpm.steps,2),_xlpm.steps)))</f>
        <v>9</v>
      </c>
      <c r="D2106">
        <f>_xlfn.LET(_xlpm.dir,Table1[[#This Row],[Direction]],
IF(_xlpm.dir="L",
    IF(F2105-Table1[[#This Row],[Steps]]&lt;0,100+(F2105-Table1[[#This Row],[Steps]]),F2105-Table1[[#This Row],[Steps]]),
))</f>
        <v>91</v>
      </c>
      <c r="E2106">
        <f>_xlfn.LET(_xlpm.dir,Table1[[#This Row],[Direction]],
IF(_xlpm.dir="R",
    IF(F2105+Table1[[#This Row],[Steps]]&gt;99,(F2105+Table1[[#This Row],[Steps]])-100,F2105+Table1[[#This Row],[Steps]]),
))</f>
        <v>0</v>
      </c>
      <c r="F2106">
        <f>IF(Table1[[#This Row],[New Pos L]]&lt;&gt;0,Table1[[#This Row],[New Pos L]],Table1[[#This Row],[New Pos R]])</f>
        <v>91</v>
      </c>
    </row>
    <row r="2107" spans="1:6" ht="16" x14ac:dyDescent="0.2">
      <c r="A2107" s="1" t="s">
        <v>260</v>
      </c>
      <c r="B2107" t="str">
        <f>LEFT(Table1[[#This Row],[Input]],1)</f>
        <v>L</v>
      </c>
      <c r="C2107">
        <f>_xlfn.LET(_xlpm.steps,SUBSTITUTE(Table1[[#This Row],[Input]],Table1[[#This Row],[Direction]],""),VALUE(IF(LEN(_xlpm.steps)&gt;2,RIGHT(_xlpm.steps,2),_xlpm.steps)))</f>
        <v>85</v>
      </c>
      <c r="D2107">
        <f>_xlfn.LET(_xlpm.dir,Table1[[#This Row],[Direction]],
IF(_xlpm.dir="L",
    IF(F2106-Table1[[#This Row],[Steps]]&lt;0,100+(F2106-Table1[[#This Row],[Steps]]),F2106-Table1[[#This Row],[Steps]]),
))</f>
        <v>6</v>
      </c>
      <c r="E2107">
        <f>_xlfn.LET(_xlpm.dir,Table1[[#This Row],[Direction]],
IF(_xlpm.dir="R",
    IF(F2106+Table1[[#This Row],[Steps]]&gt;99,(F2106+Table1[[#This Row],[Steps]])-100,F2106+Table1[[#This Row],[Steps]]),
))</f>
        <v>0</v>
      </c>
      <c r="F2107">
        <f>IF(Table1[[#This Row],[New Pos L]]&lt;&gt;0,Table1[[#This Row],[New Pos L]],Table1[[#This Row],[New Pos R]])</f>
        <v>6</v>
      </c>
    </row>
    <row r="2108" spans="1:6" ht="16" x14ac:dyDescent="0.2">
      <c r="A2108" s="1" t="s">
        <v>6</v>
      </c>
      <c r="B2108" t="str">
        <f>LEFT(Table1[[#This Row],[Input]],1)</f>
        <v>R</v>
      </c>
      <c r="C2108">
        <f>_xlfn.LET(_xlpm.steps,SUBSTITUTE(Table1[[#This Row],[Input]],Table1[[#This Row],[Direction]],""),VALUE(IF(LEN(_xlpm.steps)&gt;2,RIGHT(_xlpm.steps,2),_xlpm.steps)))</f>
        <v>49</v>
      </c>
      <c r="D2108">
        <f>_xlfn.LET(_xlpm.dir,Table1[[#This Row],[Direction]],
IF(_xlpm.dir="L",
    IF(F2107-Table1[[#This Row],[Steps]]&lt;0,100+(F2107-Table1[[#This Row],[Steps]]),F2107-Table1[[#This Row],[Steps]]),
))</f>
        <v>0</v>
      </c>
      <c r="E2108">
        <f>_xlfn.LET(_xlpm.dir,Table1[[#This Row],[Direction]],
IF(_xlpm.dir="R",
    IF(F2107+Table1[[#This Row],[Steps]]&gt;99,(F2107+Table1[[#This Row],[Steps]])-100,F2107+Table1[[#This Row],[Steps]]),
))</f>
        <v>55</v>
      </c>
      <c r="F2108">
        <f>IF(Table1[[#This Row],[New Pos L]]&lt;&gt;0,Table1[[#This Row],[New Pos L]],Table1[[#This Row],[New Pos R]])</f>
        <v>55</v>
      </c>
    </row>
    <row r="2109" spans="1:6" ht="16" x14ac:dyDescent="0.2">
      <c r="A2109" s="1" t="s">
        <v>82</v>
      </c>
      <c r="B2109" t="str">
        <f>LEFT(Table1[[#This Row],[Input]],1)</f>
        <v>L</v>
      </c>
      <c r="C2109">
        <f>_xlfn.LET(_xlpm.steps,SUBSTITUTE(Table1[[#This Row],[Input]],Table1[[#This Row],[Direction]],""),VALUE(IF(LEN(_xlpm.steps)&gt;2,RIGHT(_xlpm.steps,2),_xlpm.steps)))</f>
        <v>55</v>
      </c>
      <c r="D2109">
        <f>_xlfn.LET(_xlpm.dir,Table1[[#This Row],[Direction]],
IF(_xlpm.dir="L",
    IF(F2108-Table1[[#This Row],[Steps]]&lt;0,100+(F2108-Table1[[#This Row],[Steps]]),F2108-Table1[[#This Row],[Steps]]),
))</f>
        <v>0</v>
      </c>
      <c r="E2109">
        <f>_xlfn.LET(_xlpm.dir,Table1[[#This Row],[Direction]],
IF(_xlpm.dir="R",
    IF(F2108+Table1[[#This Row],[Steps]]&gt;99,(F2108+Table1[[#This Row],[Steps]])-100,F2108+Table1[[#This Row],[Steps]]),
))</f>
        <v>0</v>
      </c>
      <c r="F2109">
        <f>IF(Table1[[#This Row],[New Pos L]]&lt;&gt;0,Table1[[#This Row],[New Pos L]],Table1[[#This Row],[New Pos R]])</f>
        <v>0</v>
      </c>
    </row>
    <row r="2110" spans="1:6" ht="16" x14ac:dyDescent="0.2">
      <c r="A2110" s="1" t="s">
        <v>288</v>
      </c>
      <c r="B2110" t="str">
        <f>LEFT(Table1[[#This Row],[Input]],1)</f>
        <v>R</v>
      </c>
      <c r="C2110">
        <f>_xlfn.LET(_xlpm.steps,SUBSTITUTE(Table1[[#This Row],[Input]],Table1[[#This Row],[Direction]],""),VALUE(IF(LEN(_xlpm.steps)&gt;2,RIGHT(_xlpm.steps,2),_xlpm.steps)))</f>
        <v>25</v>
      </c>
      <c r="D2110">
        <f>_xlfn.LET(_xlpm.dir,Table1[[#This Row],[Direction]],
IF(_xlpm.dir="L",
    IF(F2109-Table1[[#This Row],[Steps]]&lt;0,100+(F2109-Table1[[#This Row],[Steps]]),F2109-Table1[[#This Row],[Steps]]),
))</f>
        <v>0</v>
      </c>
      <c r="E2110">
        <f>_xlfn.LET(_xlpm.dir,Table1[[#This Row],[Direction]],
IF(_xlpm.dir="R",
    IF(F2109+Table1[[#This Row],[Steps]]&gt;99,(F2109+Table1[[#This Row],[Steps]])-100,F2109+Table1[[#This Row],[Steps]]),
))</f>
        <v>25</v>
      </c>
      <c r="F2110">
        <f>IF(Table1[[#This Row],[New Pos L]]&lt;&gt;0,Table1[[#This Row],[New Pos L]],Table1[[#This Row],[New Pos R]])</f>
        <v>25</v>
      </c>
    </row>
    <row r="2111" spans="1:6" ht="16" x14ac:dyDescent="0.2">
      <c r="A2111" s="1" t="s">
        <v>424</v>
      </c>
      <c r="B2111" t="str">
        <f>LEFT(Table1[[#This Row],[Input]],1)</f>
        <v>L</v>
      </c>
      <c r="C2111">
        <f>_xlfn.LET(_xlpm.steps,SUBSTITUTE(Table1[[#This Row],[Input]],Table1[[#This Row],[Direction]],""),VALUE(IF(LEN(_xlpm.steps)&gt;2,RIGHT(_xlpm.steps,2),_xlpm.steps)))</f>
        <v>25</v>
      </c>
      <c r="D2111">
        <f>_xlfn.LET(_xlpm.dir,Table1[[#This Row],[Direction]],
IF(_xlpm.dir="L",
    IF(F2110-Table1[[#This Row],[Steps]]&lt;0,100+(F2110-Table1[[#This Row],[Steps]]),F2110-Table1[[#This Row],[Steps]]),
))</f>
        <v>0</v>
      </c>
      <c r="E2111">
        <f>_xlfn.LET(_xlpm.dir,Table1[[#This Row],[Direction]],
IF(_xlpm.dir="R",
    IF(F2110+Table1[[#This Row],[Steps]]&gt;99,(F2110+Table1[[#This Row],[Steps]])-100,F2110+Table1[[#This Row],[Steps]]),
))</f>
        <v>0</v>
      </c>
      <c r="F2111">
        <f>IF(Table1[[#This Row],[New Pos L]]&lt;&gt;0,Table1[[#This Row],[New Pos L]],Table1[[#This Row],[New Pos R]])</f>
        <v>0</v>
      </c>
    </row>
    <row r="2112" spans="1:6" ht="16" x14ac:dyDescent="0.2">
      <c r="A2112" s="1" t="s">
        <v>41</v>
      </c>
      <c r="B2112" t="str">
        <f>LEFT(Table1[[#This Row],[Input]],1)</f>
        <v>L</v>
      </c>
      <c r="C2112">
        <f>_xlfn.LET(_xlpm.steps,SUBSTITUTE(Table1[[#This Row],[Input]],Table1[[#This Row],[Direction]],""),VALUE(IF(LEN(_xlpm.steps)&gt;2,RIGHT(_xlpm.steps,2),_xlpm.steps)))</f>
        <v>7</v>
      </c>
      <c r="D2112">
        <f>_xlfn.LET(_xlpm.dir,Table1[[#This Row],[Direction]],
IF(_xlpm.dir="L",
    IF(F2111-Table1[[#This Row],[Steps]]&lt;0,100+(F2111-Table1[[#This Row],[Steps]]),F2111-Table1[[#This Row],[Steps]]),
))</f>
        <v>93</v>
      </c>
      <c r="E2112">
        <f>_xlfn.LET(_xlpm.dir,Table1[[#This Row],[Direction]],
IF(_xlpm.dir="R",
    IF(F2111+Table1[[#This Row],[Steps]]&gt;99,(F2111+Table1[[#This Row],[Steps]])-100,F2111+Table1[[#This Row],[Steps]]),
))</f>
        <v>0</v>
      </c>
      <c r="F2112">
        <f>IF(Table1[[#This Row],[New Pos L]]&lt;&gt;0,Table1[[#This Row],[New Pos L]],Table1[[#This Row],[New Pos R]])</f>
        <v>93</v>
      </c>
    </row>
    <row r="2113" spans="1:6" ht="16" x14ac:dyDescent="0.2">
      <c r="A2113" s="1" t="s">
        <v>181</v>
      </c>
      <c r="B2113" t="str">
        <f>LEFT(Table1[[#This Row],[Input]],1)</f>
        <v>L</v>
      </c>
      <c r="C2113">
        <f>_xlfn.LET(_xlpm.steps,SUBSTITUTE(Table1[[#This Row],[Input]],Table1[[#This Row],[Direction]],""),VALUE(IF(LEN(_xlpm.steps)&gt;2,RIGHT(_xlpm.steps,2),_xlpm.steps)))</f>
        <v>53</v>
      </c>
      <c r="D2113">
        <f>_xlfn.LET(_xlpm.dir,Table1[[#This Row],[Direction]],
IF(_xlpm.dir="L",
    IF(F2112-Table1[[#This Row],[Steps]]&lt;0,100+(F2112-Table1[[#This Row],[Steps]]),F2112-Table1[[#This Row],[Steps]]),
))</f>
        <v>40</v>
      </c>
      <c r="E2113">
        <f>_xlfn.LET(_xlpm.dir,Table1[[#This Row],[Direction]],
IF(_xlpm.dir="R",
    IF(F2112+Table1[[#This Row],[Steps]]&gt;99,(F2112+Table1[[#This Row],[Steps]])-100,F2112+Table1[[#This Row],[Steps]]),
))</f>
        <v>0</v>
      </c>
      <c r="F2113">
        <f>IF(Table1[[#This Row],[New Pos L]]&lt;&gt;0,Table1[[#This Row],[New Pos L]],Table1[[#This Row],[New Pos R]])</f>
        <v>40</v>
      </c>
    </row>
    <row r="2114" spans="1:6" ht="16" x14ac:dyDescent="0.2">
      <c r="A2114" s="1" t="s">
        <v>193</v>
      </c>
      <c r="B2114" t="str">
        <f>LEFT(Table1[[#This Row],[Input]],1)</f>
        <v>L</v>
      </c>
      <c r="C2114">
        <f>_xlfn.LET(_xlpm.steps,SUBSTITUTE(Table1[[#This Row],[Input]],Table1[[#This Row],[Direction]],""),VALUE(IF(LEN(_xlpm.steps)&gt;2,RIGHT(_xlpm.steps,2),_xlpm.steps)))</f>
        <v>12</v>
      </c>
      <c r="D2114">
        <f>_xlfn.LET(_xlpm.dir,Table1[[#This Row],[Direction]],
IF(_xlpm.dir="L",
    IF(F2113-Table1[[#This Row],[Steps]]&lt;0,100+(F2113-Table1[[#This Row],[Steps]]),F2113-Table1[[#This Row],[Steps]]),
))</f>
        <v>28</v>
      </c>
      <c r="E2114">
        <f>_xlfn.LET(_xlpm.dir,Table1[[#This Row],[Direction]],
IF(_xlpm.dir="R",
    IF(F2113+Table1[[#This Row],[Steps]]&gt;99,(F2113+Table1[[#This Row],[Steps]])-100,F2113+Table1[[#This Row],[Steps]]),
))</f>
        <v>0</v>
      </c>
      <c r="F2114">
        <f>IF(Table1[[#This Row],[New Pos L]]&lt;&gt;0,Table1[[#This Row],[New Pos L]],Table1[[#This Row],[New Pos R]])</f>
        <v>28</v>
      </c>
    </row>
    <row r="2115" spans="1:6" ht="16" x14ac:dyDescent="0.2">
      <c r="A2115" s="1" t="s">
        <v>136</v>
      </c>
      <c r="B2115" t="str">
        <f>LEFT(Table1[[#This Row],[Input]],1)</f>
        <v>L</v>
      </c>
      <c r="C2115">
        <f>_xlfn.LET(_xlpm.steps,SUBSTITUTE(Table1[[#This Row],[Input]],Table1[[#This Row],[Direction]],""),VALUE(IF(LEN(_xlpm.steps)&gt;2,RIGHT(_xlpm.steps,2),_xlpm.steps)))</f>
        <v>72</v>
      </c>
      <c r="D2115">
        <f>_xlfn.LET(_xlpm.dir,Table1[[#This Row],[Direction]],
IF(_xlpm.dir="L",
    IF(F2114-Table1[[#This Row],[Steps]]&lt;0,100+(F2114-Table1[[#This Row],[Steps]]),F2114-Table1[[#This Row],[Steps]]),
))</f>
        <v>56</v>
      </c>
      <c r="E2115">
        <f>_xlfn.LET(_xlpm.dir,Table1[[#This Row],[Direction]],
IF(_xlpm.dir="R",
    IF(F2114+Table1[[#This Row],[Steps]]&gt;99,(F2114+Table1[[#This Row],[Steps]])-100,F2114+Table1[[#This Row],[Steps]]),
))</f>
        <v>0</v>
      </c>
      <c r="F2115">
        <f>IF(Table1[[#This Row],[New Pos L]]&lt;&gt;0,Table1[[#This Row],[New Pos L]],Table1[[#This Row],[New Pos R]])</f>
        <v>56</v>
      </c>
    </row>
    <row r="2116" spans="1:6" ht="16" x14ac:dyDescent="0.2">
      <c r="A2116" s="1" t="s">
        <v>122</v>
      </c>
      <c r="B2116" t="str">
        <f>LEFT(Table1[[#This Row],[Input]],1)</f>
        <v>R</v>
      </c>
      <c r="C2116">
        <f>_xlfn.LET(_xlpm.steps,SUBSTITUTE(Table1[[#This Row],[Input]],Table1[[#This Row],[Direction]],""),VALUE(IF(LEN(_xlpm.steps)&gt;2,RIGHT(_xlpm.steps,2),_xlpm.steps)))</f>
        <v>75</v>
      </c>
      <c r="D2116">
        <f>_xlfn.LET(_xlpm.dir,Table1[[#This Row],[Direction]],
IF(_xlpm.dir="L",
    IF(F2115-Table1[[#This Row],[Steps]]&lt;0,100+(F2115-Table1[[#This Row],[Steps]]),F2115-Table1[[#This Row],[Steps]]),
))</f>
        <v>0</v>
      </c>
      <c r="E2116">
        <f>_xlfn.LET(_xlpm.dir,Table1[[#This Row],[Direction]],
IF(_xlpm.dir="R",
    IF(F2115+Table1[[#This Row],[Steps]]&gt;99,(F2115+Table1[[#This Row],[Steps]])-100,F2115+Table1[[#This Row],[Steps]]),
))</f>
        <v>31</v>
      </c>
      <c r="F2116">
        <f>IF(Table1[[#This Row],[New Pos L]]&lt;&gt;0,Table1[[#This Row],[New Pos L]],Table1[[#This Row],[New Pos R]])</f>
        <v>31</v>
      </c>
    </row>
    <row r="2117" spans="1:6" ht="16" x14ac:dyDescent="0.2">
      <c r="A2117" s="1" t="s">
        <v>226</v>
      </c>
      <c r="B2117" t="str">
        <f>LEFT(Table1[[#This Row],[Input]],1)</f>
        <v>L</v>
      </c>
      <c r="C2117">
        <f>_xlfn.LET(_xlpm.steps,SUBSTITUTE(Table1[[#This Row],[Input]],Table1[[#This Row],[Direction]],""),VALUE(IF(LEN(_xlpm.steps)&gt;2,RIGHT(_xlpm.steps,2),_xlpm.steps)))</f>
        <v>31</v>
      </c>
      <c r="D2117">
        <f>_xlfn.LET(_xlpm.dir,Table1[[#This Row],[Direction]],
IF(_xlpm.dir="L",
    IF(F2116-Table1[[#This Row],[Steps]]&lt;0,100+(F2116-Table1[[#This Row],[Steps]]),F2116-Table1[[#This Row],[Steps]]),
))</f>
        <v>0</v>
      </c>
      <c r="E2117">
        <f>_xlfn.LET(_xlpm.dir,Table1[[#This Row],[Direction]],
IF(_xlpm.dir="R",
    IF(F2116+Table1[[#This Row],[Steps]]&gt;99,(F2116+Table1[[#This Row],[Steps]])-100,F2116+Table1[[#This Row],[Steps]]),
))</f>
        <v>0</v>
      </c>
      <c r="F2117">
        <f>IF(Table1[[#This Row],[New Pos L]]&lt;&gt;0,Table1[[#This Row],[New Pos L]],Table1[[#This Row],[New Pos R]])</f>
        <v>0</v>
      </c>
    </row>
    <row r="2118" spans="1:6" ht="16" x14ac:dyDescent="0.2">
      <c r="A2118" s="1" t="s">
        <v>36</v>
      </c>
      <c r="B2118" t="str">
        <f>LEFT(Table1[[#This Row],[Input]],1)</f>
        <v>R</v>
      </c>
      <c r="C2118">
        <f>_xlfn.LET(_xlpm.steps,SUBSTITUTE(Table1[[#This Row],[Input]],Table1[[#This Row],[Direction]],""),VALUE(IF(LEN(_xlpm.steps)&gt;2,RIGHT(_xlpm.steps,2),_xlpm.steps)))</f>
        <v>50</v>
      </c>
      <c r="D2118">
        <f>_xlfn.LET(_xlpm.dir,Table1[[#This Row],[Direction]],
IF(_xlpm.dir="L",
    IF(F2117-Table1[[#This Row],[Steps]]&lt;0,100+(F2117-Table1[[#This Row],[Steps]]),F2117-Table1[[#This Row],[Steps]]),
))</f>
        <v>0</v>
      </c>
      <c r="E2118">
        <f>_xlfn.LET(_xlpm.dir,Table1[[#This Row],[Direction]],
IF(_xlpm.dir="R",
    IF(F2117+Table1[[#This Row],[Steps]]&gt;99,(F2117+Table1[[#This Row],[Steps]])-100,F2117+Table1[[#This Row],[Steps]]),
))</f>
        <v>50</v>
      </c>
      <c r="F2118">
        <f>IF(Table1[[#This Row],[New Pos L]]&lt;&gt;0,Table1[[#This Row],[New Pos L]],Table1[[#This Row],[New Pos R]])</f>
        <v>50</v>
      </c>
    </row>
    <row r="2119" spans="1:6" ht="16" x14ac:dyDescent="0.2">
      <c r="A2119" s="1" t="s">
        <v>493</v>
      </c>
      <c r="B2119" t="str">
        <f>LEFT(Table1[[#This Row],[Input]],1)</f>
        <v>L</v>
      </c>
      <c r="C2119">
        <f>_xlfn.LET(_xlpm.steps,SUBSTITUTE(Table1[[#This Row],[Input]],Table1[[#This Row],[Direction]],""),VALUE(IF(LEN(_xlpm.steps)&gt;2,RIGHT(_xlpm.steps,2),_xlpm.steps)))</f>
        <v>66</v>
      </c>
      <c r="D2119">
        <f>_xlfn.LET(_xlpm.dir,Table1[[#This Row],[Direction]],
IF(_xlpm.dir="L",
    IF(F2118-Table1[[#This Row],[Steps]]&lt;0,100+(F2118-Table1[[#This Row],[Steps]]),F2118-Table1[[#This Row],[Steps]]),
))</f>
        <v>84</v>
      </c>
      <c r="E2119">
        <f>_xlfn.LET(_xlpm.dir,Table1[[#This Row],[Direction]],
IF(_xlpm.dir="R",
    IF(F2118+Table1[[#This Row],[Steps]]&gt;99,(F2118+Table1[[#This Row],[Steps]])-100,F2118+Table1[[#This Row],[Steps]]),
))</f>
        <v>0</v>
      </c>
      <c r="F2119">
        <f>IF(Table1[[#This Row],[New Pos L]]&lt;&gt;0,Table1[[#This Row],[New Pos L]],Table1[[#This Row],[New Pos R]])</f>
        <v>84</v>
      </c>
    </row>
    <row r="2120" spans="1:6" ht="16" x14ac:dyDescent="0.2">
      <c r="A2120" s="1" t="s">
        <v>564</v>
      </c>
      <c r="B2120" t="str">
        <f>LEFT(Table1[[#This Row],[Input]],1)</f>
        <v>L</v>
      </c>
      <c r="C2120">
        <f>_xlfn.LET(_xlpm.steps,SUBSTITUTE(Table1[[#This Row],[Input]],Table1[[#This Row],[Direction]],""),VALUE(IF(LEN(_xlpm.steps)&gt;2,RIGHT(_xlpm.steps,2),_xlpm.steps)))</f>
        <v>84</v>
      </c>
      <c r="D2120">
        <f>_xlfn.LET(_xlpm.dir,Table1[[#This Row],[Direction]],
IF(_xlpm.dir="L",
    IF(F2119-Table1[[#This Row],[Steps]]&lt;0,100+(F2119-Table1[[#This Row],[Steps]]),F2119-Table1[[#This Row],[Steps]]),
))</f>
        <v>0</v>
      </c>
      <c r="E2120">
        <f>_xlfn.LET(_xlpm.dir,Table1[[#This Row],[Direction]],
IF(_xlpm.dir="R",
    IF(F2119+Table1[[#This Row],[Steps]]&gt;99,(F2119+Table1[[#This Row],[Steps]])-100,F2119+Table1[[#This Row],[Steps]]),
))</f>
        <v>0</v>
      </c>
      <c r="F2120">
        <f>IF(Table1[[#This Row],[New Pos L]]&lt;&gt;0,Table1[[#This Row],[New Pos L]],Table1[[#This Row],[New Pos R]])</f>
        <v>0</v>
      </c>
    </row>
    <row r="2121" spans="1:6" ht="16" x14ac:dyDescent="0.2">
      <c r="A2121" s="1" t="s">
        <v>565</v>
      </c>
      <c r="B2121" t="str">
        <f>LEFT(Table1[[#This Row],[Input]],1)</f>
        <v>L</v>
      </c>
      <c r="C2121">
        <f>_xlfn.LET(_xlpm.steps,SUBSTITUTE(Table1[[#This Row],[Input]],Table1[[#This Row],[Direction]],""),VALUE(IF(LEN(_xlpm.steps)&gt;2,RIGHT(_xlpm.steps,2),_xlpm.steps)))</f>
        <v>49</v>
      </c>
      <c r="D2121">
        <f>_xlfn.LET(_xlpm.dir,Table1[[#This Row],[Direction]],
IF(_xlpm.dir="L",
    IF(F2120-Table1[[#This Row],[Steps]]&lt;0,100+(F2120-Table1[[#This Row],[Steps]]),F2120-Table1[[#This Row],[Steps]]),
))</f>
        <v>51</v>
      </c>
      <c r="E2121">
        <f>_xlfn.LET(_xlpm.dir,Table1[[#This Row],[Direction]],
IF(_xlpm.dir="R",
    IF(F2120+Table1[[#This Row],[Steps]]&gt;99,(F2120+Table1[[#This Row],[Steps]])-100,F2120+Table1[[#This Row],[Steps]]),
))</f>
        <v>0</v>
      </c>
      <c r="F2121">
        <f>IF(Table1[[#This Row],[New Pos L]]&lt;&gt;0,Table1[[#This Row],[New Pos L]],Table1[[#This Row],[New Pos R]])</f>
        <v>51</v>
      </c>
    </row>
    <row r="2122" spans="1:6" ht="16" x14ac:dyDescent="0.2">
      <c r="A2122" s="1" t="s">
        <v>98</v>
      </c>
      <c r="B2122" t="str">
        <f>LEFT(Table1[[#This Row],[Input]],1)</f>
        <v>L</v>
      </c>
      <c r="C2122">
        <f>_xlfn.LET(_xlpm.steps,SUBSTITUTE(Table1[[#This Row],[Input]],Table1[[#This Row],[Direction]],""),VALUE(IF(LEN(_xlpm.steps)&gt;2,RIGHT(_xlpm.steps,2),_xlpm.steps)))</f>
        <v>65</v>
      </c>
      <c r="D2122">
        <f>_xlfn.LET(_xlpm.dir,Table1[[#This Row],[Direction]],
IF(_xlpm.dir="L",
    IF(F2121-Table1[[#This Row],[Steps]]&lt;0,100+(F2121-Table1[[#This Row],[Steps]]),F2121-Table1[[#This Row],[Steps]]),
))</f>
        <v>86</v>
      </c>
      <c r="E2122">
        <f>_xlfn.LET(_xlpm.dir,Table1[[#This Row],[Direction]],
IF(_xlpm.dir="R",
    IF(F2121+Table1[[#This Row],[Steps]]&gt;99,(F2121+Table1[[#This Row],[Steps]])-100,F2121+Table1[[#This Row],[Steps]]),
))</f>
        <v>0</v>
      </c>
      <c r="F2122">
        <f>IF(Table1[[#This Row],[New Pos L]]&lt;&gt;0,Table1[[#This Row],[New Pos L]],Table1[[#This Row],[New Pos R]])</f>
        <v>86</v>
      </c>
    </row>
    <row r="2123" spans="1:6" ht="16" x14ac:dyDescent="0.2">
      <c r="A2123" s="1" t="s">
        <v>566</v>
      </c>
      <c r="B2123" t="str">
        <f>LEFT(Table1[[#This Row],[Input]],1)</f>
        <v>L</v>
      </c>
      <c r="C2123">
        <f>_xlfn.LET(_xlpm.steps,SUBSTITUTE(Table1[[#This Row],[Input]],Table1[[#This Row],[Direction]],""),VALUE(IF(LEN(_xlpm.steps)&gt;2,RIGHT(_xlpm.steps,2),_xlpm.steps)))</f>
        <v>34</v>
      </c>
      <c r="D2123">
        <f>_xlfn.LET(_xlpm.dir,Table1[[#This Row],[Direction]],
IF(_xlpm.dir="L",
    IF(F2122-Table1[[#This Row],[Steps]]&lt;0,100+(F2122-Table1[[#This Row],[Steps]]),F2122-Table1[[#This Row],[Steps]]),
))</f>
        <v>52</v>
      </c>
      <c r="E2123">
        <f>_xlfn.LET(_xlpm.dir,Table1[[#This Row],[Direction]],
IF(_xlpm.dir="R",
    IF(F2122+Table1[[#This Row],[Steps]]&gt;99,(F2122+Table1[[#This Row],[Steps]])-100,F2122+Table1[[#This Row],[Steps]]),
))</f>
        <v>0</v>
      </c>
      <c r="F2123">
        <f>IF(Table1[[#This Row],[New Pos L]]&lt;&gt;0,Table1[[#This Row],[New Pos L]],Table1[[#This Row],[New Pos R]])</f>
        <v>52</v>
      </c>
    </row>
    <row r="2124" spans="1:6" ht="16" x14ac:dyDescent="0.2">
      <c r="A2124" s="1" t="s">
        <v>567</v>
      </c>
      <c r="B2124" t="str">
        <f>LEFT(Table1[[#This Row],[Input]],1)</f>
        <v>L</v>
      </c>
      <c r="C2124">
        <f>_xlfn.LET(_xlpm.steps,SUBSTITUTE(Table1[[#This Row],[Input]],Table1[[#This Row],[Direction]],""),VALUE(IF(LEN(_xlpm.steps)&gt;2,RIGHT(_xlpm.steps,2),_xlpm.steps)))</f>
        <v>93</v>
      </c>
      <c r="D2124">
        <f>_xlfn.LET(_xlpm.dir,Table1[[#This Row],[Direction]],
IF(_xlpm.dir="L",
    IF(F2123-Table1[[#This Row],[Steps]]&lt;0,100+(F2123-Table1[[#This Row],[Steps]]),F2123-Table1[[#This Row],[Steps]]),
))</f>
        <v>59</v>
      </c>
      <c r="E2124">
        <f>_xlfn.LET(_xlpm.dir,Table1[[#This Row],[Direction]],
IF(_xlpm.dir="R",
    IF(F2123+Table1[[#This Row],[Steps]]&gt;99,(F2123+Table1[[#This Row],[Steps]])-100,F2123+Table1[[#This Row],[Steps]]),
))</f>
        <v>0</v>
      </c>
      <c r="F2124">
        <f>IF(Table1[[#This Row],[New Pos L]]&lt;&gt;0,Table1[[#This Row],[New Pos L]],Table1[[#This Row],[New Pos R]])</f>
        <v>59</v>
      </c>
    </row>
    <row r="2125" spans="1:6" ht="16" x14ac:dyDescent="0.2">
      <c r="A2125" s="1" t="s">
        <v>568</v>
      </c>
      <c r="B2125" t="str">
        <f>LEFT(Table1[[#This Row],[Input]],1)</f>
        <v>L</v>
      </c>
      <c r="C2125">
        <f>_xlfn.LET(_xlpm.steps,SUBSTITUTE(Table1[[#This Row],[Input]],Table1[[#This Row],[Direction]],""),VALUE(IF(LEN(_xlpm.steps)&gt;2,RIGHT(_xlpm.steps,2),_xlpm.steps)))</f>
        <v>59</v>
      </c>
      <c r="D2125">
        <f>_xlfn.LET(_xlpm.dir,Table1[[#This Row],[Direction]],
IF(_xlpm.dir="L",
    IF(F2124-Table1[[#This Row],[Steps]]&lt;0,100+(F2124-Table1[[#This Row],[Steps]]),F2124-Table1[[#This Row],[Steps]]),
))</f>
        <v>0</v>
      </c>
      <c r="E2125">
        <f>_xlfn.LET(_xlpm.dir,Table1[[#This Row],[Direction]],
IF(_xlpm.dir="R",
    IF(F2124+Table1[[#This Row],[Steps]]&gt;99,(F2124+Table1[[#This Row],[Steps]])-100,F2124+Table1[[#This Row],[Steps]]),
))</f>
        <v>0</v>
      </c>
      <c r="F2125">
        <f>IF(Table1[[#This Row],[New Pos L]]&lt;&gt;0,Table1[[#This Row],[New Pos L]],Table1[[#This Row],[New Pos R]])</f>
        <v>0</v>
      </c>
    </row>
    <row r="2126" spans="1:6" ht="16" x14ac:dyDescent="0.2">
      <c r="A2126" s="1" t="s">
        <v>569</v>
      </c>
      <c r="B2126" t="str">
        <f>LEFT(Table1[[#This Row],[Input]],1)</f>
        <v>R</v>
      </c>
      <c r="C2126">
        <f>_xlfn.LET(_xlpm.steps,SUBSTITUTE(Table1[[#This Row],[Input]],Table1[[#This Row],[Direction]],""),VALUE(IF(LEN(_xlpm.steps)&gt;2,RIGHT(_xlpm.steps,2),_xlpm.steps)))</f>
        <v>87</v>
      </c>
      <c r="D2126">
        <f>_xlfn.LET(_xlpm.dir,Table1[[#This Row],[Direction]],
IF(_xlpm.dir="L",
    IF(F2125-Table1[[#This Row],[Steps]]&lt;0,100+(F2125-Table1[[#This Row],[Steps]]),F2125-Table1[[#This Row],[Steps]]),
))</f>
        <v>0</v>
      </c>
      <c r="E2126">
        <f>_xlfn.LET(_xlpm.dir,Table1[[#This Row],[Direction]],
IF(_xlpm.dir="R",
    IF(F2125+Table1[[#This Row],[Steps]]&gt;99,(F2125+Table1[[#This Row],[Steps]])-100,F2125+Table1[[#This Row],[Steps]]),
))</f>
        <v>87</v>
      </c>
      <c r="F2126">
        <f>IF(Table1[[#This Row],[New Pos L]]&lt;&gt;0,Table1[[#This Row],[New Pos L]],Table1[[#This Row],[New Pos R]])</f>
        <v>87</v>
      </c>
    </row>
    <row r="2127" spans="1:6" ht="16" x14ac:dyDescent="0.2">
      <c r="A2127" s="1" t="s">
        <v>364</v>
      </c>
      <c r="B2127" t="str">
        <f>LEFT(Table1[[#This Row],[Input]],1)</f>
        <v>L</v>
      </c>
      <c r="C2127">
        <f>_xlfn.LET(_xlpm.steps,SUBSTITUTE(Table1[[#This Row],[Input]],Table1[[#This Row],[Direction]],""),VALUE(IF(LEN(_xlpm.steps)&gt;2,RIGHT(_xlpm.steps,2),_xlpm.steps)))</f>
        <v>70</v>
      </c>
      <c r="D2127">
        <f>_xlfn.LET(_xlpm.dir,Table1[[#This Row],[Direction]],
IF(_xlpm.dir="L",
    IF(F2126-Table1[[#This Row],[Steps]]&lt;0,100+(F2126-Table1[[#This Row],[Steps]]),F2126-Table1[[#This Row],[Steps]]),
))</f>
        <v>17</v>
      </c>
      <c r="E2127">
        <f>_xlfn.LET(_xlpm.dir,Table1[[#This Row],[Direction]],
IF(_xlpm.dir="R",
    IF(F2126+Table1[[#This Row],[Steps]]&gt;99,(F2126+Table1[[#This Row],[Steps]])-100,F2126+Table1[[#This Row],[Steps]]),
))</f>
        <v>0</v>
      </c>
      <c r="F2127">
        <f>IF(Table1[[#This Row],[New Pos L]]&lt;&gt;0,Table1[[#This Row],[New Pos L]],Table1[[#This Row],[New Pos R]])</f>
        <v>17</v>
      </c>
    </row>
    <row r="2128" spans="1:6" ht="16" x14ac:dyDescent="0.2">
      <c r="A2128" s="1" t="s">
        <v>14</v>
      </c>
      <c r="B2128" t="str">
        <f>LEFT(Table1[[#This Row],[Input]],1)</f>
        <v>L</v>
      </c>
      <c r="C2128">
        <f>_xlfn.LET(_xlpm.steps,SUBSTITUTE(Table1[[#This Row],[Input]],Table1[[#This Row],[Direction]],""),VALUE(IF(LEN(_xlpm.steps)&gt;2,RIGHT(_xlpm.steps,2),_xlpm.steps)))</f>
        <v>43</v>
      </c>
      <c r="D2128">
        <f>_xlfn.LET(_xlpm.dir,Table1[[#This Row],[Direction]],
IF(_xlpm.dir="L",
    IF(F2127-Table1[[#This Row],[Steps]]&lt;0,100+(F2127-Table1[[#This Row],[Steps]]),F2127-Table1[[#This Row],[Steps]]),
))</f>
        <v>74</v>
      </c>
      <c r="E2128">
        <f>_xlfn.LET(_xlpm.dir,Table1[[#This Row],[Direction]],
IF(_xlpm.dir="R",
    IF(F2127+Table1[[#This Row],[Steps]]&gt;99,(F2127+Table1[[#This Row],[Steps]])-100,F2127+Table1[[#This Row],[Steps]]),
))</f>
        <v>0</v>
      </c>
      <c r="F2128">
        <f>IF(Table1[[#This Row],[New Pos L]]&lt;&gt;0,Table1[[#This Row],[New Pos L]],Table1[[#This Row],[New Pos R]])</f>
        <v>74</v>
      </c>
    </row>
    <row r="2129" spans="1:6" ht="16" x14ac:dyDescent="0.2">
      <c r="A2129" s="1" t="s">
        <v>65</v>
      </c>
      <c r="B2129" t="str">
        <f>LEFT(Table1[[#This Row],[Input]],1)</f>
        <v>L</v>
      </c>
      <c r="C2129">
        <f>_xlfn.LET(_xlpm.steps,SUBSTITUTE(Table1[[#This Row],[Input]],Table1[[#This Row],[Direction]],""),VALUE(IF(LEN(_xlpm.steps)&gt;2,RIGHT(_xlpm.steps,2),_xlpm.steps)))</f>
        <v>19</v>
      </c>
      <c r="D2129">
        <f>_xlfn.LET(_xlpm.dir,Table1[[#This Row],[Direction]],
IF(_xlpm.dir="L",
    IF(F2128-Table1[[#This Row],[Steps]]&lt;0,100+(F2128-Table1[[#This Row],[Steps]]),F2128-Table1[[#This Row],[Steps]]),
))</f>
        <v>55</v>
      </c>
      <c r="E2129">
        <f>_xlfn.LET(_xlpm.dir,Table1[[#This Row],[Direction]],
IF(_xlpm.dir="R",
    IF(F2128+Table1[[#This Row],[Steps]]&gt;99,(F2128+Table1[[#This Row],[Steps]])-100,F2128+Table1[[#This Row],[Steps]]),
))</f>
        <v>0</v>
      </c>
      <c r="F2129">
        <f>IF(Table1[[#This Row],[New Pos L]]&lt;&gt;0,Table1[[#This Row],[New Pos L]],Table1[[#This Row],[New Pos R]])</f>
        <v>55</v>
      </c>
    </row>
    <row r="2130" spans="1:6" ht="16" x14ac:dyDescent="0.2">
      <c r="A2130" s="1" t="s">
        <v>66</v>
      </c>
      <c r="B2130" t="str">
        <f>LEFT(Table1[[#This Row],[Input]],1)</f>
        <v>R</v>
      </c>
      <c r="C2130">
        <f>_xlfn.LET(_xlpm.steps,SUBSTITUTE(Table1[[#This Row],[Input]],Table1[[#This Row],[Direction]],""),VALUE(IF(LEN(_xlpm.steps)&gt;2,RIGHT(_xlpm.steps,2),_xlpm.steps)))</f>
        <v>45</v>
      </c>
      <c r="D2130">
        <f>_xlfn.LET(_xlpm.dir,Table1[[#This Row],[Direction]],
IF(_xlpm.dir="L",
    IF(F2129-Table1[[#This Row],[Steps]]&lt;0,100+(F2129-Table1[[#This Row],[Steps]]),F2129-Table1[[#This Row],[Steps]]),
))</f>
        <v>0</v>
      </c>
      <c r="E2130">
        <f>_xlfn.LET(_xlpm.dir,Table1[[#This Row],[Direction]],
IF(_xlpm.dir="R",
    IF(F2129+Table1[[#This Row],[Steps]]&gt;99,(F2129+Table1[[#This Row],[Steps]])-100,F2129+Table1[[#This Row],[Steps]]),
))</f>
        <v>0</v>
      </c>
      <c r="F2130">
        <f>IF(Table1[[#This Row],[New Pos L]]&lt;&gt;0,Table1[[#This Row],[New Pos L]],Table1[[#This Row],[New Pos R]])</f>
        <v>0</v>
      </c>
    </row>
    <row r="2131" spans="1:6" ht="16" x14ac:dyDescent="0.2">
      <c r="A2131" s="1" t="s">
        <v>570</v>
      </c>
      <c r="B2131" t="str">
        <f>LEFT(Table1[[#This Row],[Input]],1)</f>
        <v>L</v>
      </c>
      <c r="C2131">
        <f>_xlfn.LET(_xlpm.steps,SUBSTITUTE(Table1[[#This Row],[Input]],Table1[[#This Row],[Direction]],""),VALUE(IF(LEN(_xlpm.steps)&gt;2,RIGHT(_xlpm.steps,2),_xlpm.steps)))</f>
        <v>74</v>
      </c>
      <c r="D2131">
        <f>_xlfn.LET(_xlpm.dir,Table1[[#This Row],[Direction]],
IF(_xlpm.dir="L",
    IF(F2130-Table1[[#This Row],[Steps]]&lt;0,100+(F2130-Table1[[#This Row],[Steps]]),F2130-Table1[[#This Row],[Steps]]),
))</f>
        <v>26</v>
      </c>
      <c r="E2131">
        <f>_xlfn.LET(_xlpm.dir,Table1[[#This Row],[Direction]],
IF(_xlpm.dir="R",
    IF(F2130+Table1[[#This Row],[Steps]]&gt;99,(F2130+Table1[[#This Row],[Steps]])-100,F2130+Table1[[#This Row],[Steps]]),
))</f>
        <v>0</v>
      </c>
      <c r="F2131">
        <f>IF(Table1[[#This Row],[New Pos L]]&lt;&gt;0,Table1[[#This Row],[New Pos L]],Table1[[#This Row],[New Pos R]])</f>
        <v>26</v>
      </c>
    </row>
    <row r="2132" spans="1:6" ht="16" x14ac:dyDescent="0.2">
      <c r="A2132" s="1" t="s">
        <v>571</v>
      </c>
      <c r="B2132" t="str">
        <f>LEFT(Table1[[#This Row],[Input]],1)</f>
        <v>L</v>
      </c>
      <c r="C2132">
        <f>_xlfn.LET(_xlpm.steps,SUBSTITUTE(Table1[[#This Row],[Input]],Table1[[#This Row],[Direction]],""),VALUE(IF(LEN(_xlpm.steps)&gt;2,RIGHT(_xlpm.steps,2),_xlpm.steps)))</f>
        <v>85</v>
      </c>
      <c r="D2132">
        <f>_xlfn.LET(_xlpm.dir,Table1[[#This Row],[Direction]],
IF(_xlpm.dir="L",
    IF(F2131-Table1[[#This Row],[Steps]]&lt;0,100+(F2131-Table1[[#This Row],[Steps]]),F2131-Table1[[#This Row],[Steps]]),
))</f>
        <v>41</v>
      </c>
      <c r="E2132">
        <f>_xlfn.LET(_xlpm.dir,Table1[[#This Row],[Direction]],
IF(_xlpm.dir="R",
    IF(F2131+Table1[[#This Row],[Steps]]&gt;99,(F2131+Table1[[#This Row],[Steps]])-100,F2131+Table1[[#This Row],[Steps]]),
))</f>
        <v>0</v>
      </c>
      <c r="F2132">
        <f>IF(Table1[[#This Row],[New Pos L]]&lt;&gt;0,Table1[[#This Row],[New Pos L]],Table1[[#This Row],[New Pos R]])</f>
        <v>41</v>
      </c>
    </row>
    <row r="2133" spans="1:6" ht="16" x14ac:dyDescent="0.2">
      <c r="A2133" s="1" t="s">
        <v>104</v>
      </c>
      <c r="B2133" t="str">
        <f>LEFT(Table1[[#This Row],[Input]],1)</f>
        <v>R</v>
      </c>
      <c r="C2133">
        <f>_xlfn.LET(_xlpm.steps,SUBSTITUTE(Table1[[#This Row],[Input]],Table1[[#This Row],[Direction]],""),VALUE(IF(LEN(_xlpm.steps)&gt;2,RIGHT(_xlpm.steps,2),_xlpm.steps)))</f>
        <v>59</v>
      </c>
      <c r="D2133">
        <f>_xlfn.LET(_xlpm.dir,Table1[[#This Row],[Direction]],
IF(_xlpm.dir="L",
    IF(F2132-Table1[[#This Row],[Steps]]&lt;0,100+(F2132-Table1[[#This Row],[Steps]]),F2132-Table1[[#This Row],[Steps]]),
))</f>
        <v>0</v>
      </c>
      <c r="E2133">
        <f>_xlfn.LET(_xlpm.dir,Table1[[#This Row],[Direction]],
IF(_xlpm.dir="R",
    IF(F2132+Table1[[#This Row],[Steps]]&gt;99,(F2132+Table1[[#This Row],[Steps]])-100,F2132+Table1[[#This Row],[Steps]]),
))</f>
        <v>0</v>
      </c>
      <c r="F2133">
        <f>IF(Table1[[#This Row],[New Pos L]]&lt;&gt;0,Table1[[#This Row],[New Pos L]],Table1[[#This Row],[New Pos R]])</f>
        <v>0</v>
      </c>
    </row>
    <row r="2134" spans="1:6" ht="16" x14ac:dyDescent="0.2">
      <c r="A2134" s="1" t="s">
        <v>135</v>
      </c>
      <c r="B2134" t="str">
        <f>LEFT(Table1[[#This Row],[Input]],1)</f>
        <v>R</v>
      </c>
      <c r="C2134">
        <f>_xlfn.LET(_xlpm.steps,SUBSTITUTE(Table1[[#This Row],[Input]],Table1[[#This Row],[Direction]],""),VALUE(IF(LEN(_xlpm.steps)&gt;2,RIGHT(_xlpm.steps,2),_xlpm.steps)))</f>
        <v>69</v>
      </c>
      <c r="D2134">
        <f>_xlfn.LET(_xlpm.dir,Table1[[#This Row],[Direction]],
IF(_xlpm.dir="L",
    IF(F2133-Table1[[#This Row],[Steps]]&lt;0,100+(F2133-Table1[[#This Row],[Steps]]),F2133-Table1[[#This Row],[Steps]]),
))</f>
        <v>0</v>
      </c>
      <c r="E2134">
        <f>_xlfn.LET(_xlpm.dir,Table1[[#This Row],[Direction]],
IF(_xlpm.dir="R",
    IF(F2133+Table1[[#This Row],[Steps]]&gt;99,(F2133+Table1[[#This Row],[Steps]])-100,F2133+Table1[[#This Row],[Steps]]),
))</f>
        <v>69</v>
      </c>
      <c r="F2134">
        <f>IF(Table1[[#This Row],[New Pos L]]&lt;&gt;0,Table1[[#This Row],[New Pos L]],Table1[[#This Row],[New Pos R]])</f>
        <v>69</v>
      </c>
    </row>
    <row r="2135" spans="1:6" ht="16" x14ac:dyDescent="0.2">
      <c r="A2135" s="1" t="s">
        <v>121</v>
      </c>
      <c r="B2135" t="str">
        <f>LEFT(Table1[[#This Row],[Input]],1)</f>
        <v>L</v>
      </c>
      <c r="C2135">
        <f>_xlfn.LET(_xlpm.steps,SUBSTITUTE(Table1[[#This Row],[Input]],Table1[[#This Row],[Direction]],""),VALUE(IF(LEN(_xlpm.steps)&gt;2,RIGHT(_xlpm.steps,2),_xlpm.steps)))</f>
        <v>69</v>
      </c>
      <c r="D2135">
        <f>_xlfn.LET(_xlpm.dir,Table1[[#This Row],[Direction]],
IF(_xlpm.dir="L",
    IF(F2134-Table1[[#This Row],[Steps]]&lt;0,100+(F2134-Table1[[#This Row],[Steps]]),F2134-Table1[[#This Row],[Steps]]),
))</f>
        <v>0</v>
      </c>
      <c r="E2135">
        <f>_xlfn.LET(_xlpm.dir,Table1[[#This Row],[Direction]],
IF(_xlpm.dir="R",
    IF(F2134+Table1[[#This Row],[Steps]]&gt;99,(F2134+Table1[[#This Row],[Steps]])-100,F2134+Table1[[#This Row],[Steps]]),
))</f>
        <v>0</v>
      </c>
      <c r="F2135">
        <f>IF(Table1[[#This Row],[New Pos L]]&lt;&gt;0,Table1[[#This Row],[New Pos L]],Table1[[#This Row],[New Pos R]])</f>
        <v>0</v>
      </c>
    </row>
    <row r="2136" spans="1:6" ht="16" x14ac:dyDescent="0.2">
      <c r="A2136" s="1" t="s">
        <v>10</v>
      </c>
      <c r="B2136" t="str">
        <f>LEFT(Table1[[#This Row],[Input]],1)</f>
        <v>L</v>
      </c>
      <c r="C2136">
        <f>_xlfn.LET(_xlpm.steps,SUBSTITUTE(Table1[[#This Row],[Input]],Table1[[#This Row],[Direction]],""),VALUE(IF(LEN(_xlpm.steps)&gt;2,RIGHT(_xlpm.steps,2),_xlpm.steps)))</f>
        <v>35</v>
      </c>
      <c r="D2136">
        <f>_xlfn.LET(_xlpm.dir,Table1[[#This Row],[Direction]],
IF(_xlpm.dir="L",
    IF(F2135-Table1[[#This Row],[Steps]]&lt;0,100+(F2135-Table1[[#This Row],[Steps]]),F2135-Table1[[#This Row],[Steps]]),
))</f>
        <v>65</v>
      </c>
      <c r="E2136">
        <f>_xlfn.LET(_xlpm.dir,Table1[[#This Row],[Direction]],
IF(_xlpm.dir="R",
    IF(F2135+Table1[[#This Row],[Steps]]&gt;99,(F2135+Table1[[#This Row],[Steps]])-100,F2135+Table1[[#This Row],[Steps]]),
))</f>
        <v>0</v>
      </c>
      <c r="F2136">
        <f>IF(Table1[[#This Row],[New Pos L]]&lt;&gt;0,Table1[[#This Row],[New Pos L]],Table1[[#This Row],[New Pos R]])</f>
        <v>65</v>
      </c>
    </row>
    <row r="2137" spans="1:6" ht="16" x14ac:dyDescent="0.2">
      <c r="A2137" s="1" t="s">
        <v>63</v>
      </c>
      <c r="B2137" t="str">
        <f>LEFT(Table1[[#This Row],[Input]],1)</f>
        <v>R</v>
      </c>
      <c r="C2137">
        <f>_xlfn.LET(_xlpm.steps,SUBSTITUTE(Table1[[#This Row],[Input]],Table1[[#This Row],[Direction]],""),VALUE(IF(LEN(_xlpm.steps)&gt;2,RIGHT(_xlpm.steps,2),_xlpm.steps)))</f>
        <v>57</v>
      </c>
      <c r="D2137">
        <f>_xlfn.LET(_xlpm.dir,Table1[[#This Row],[Direction]],
IF(_xlpm.dir="L",
    IF(F2136-Table1[[#This Row],[Steps]]&lt;0,100+(F2136-Table1[[#This Row],[Steps]]),F2136-Table1[[#This Row],[Steps]]),
))</f>
        <v>0</v>
      </c>
      <c r="E2137">
        <f>_xlfn.LET(_xlpm.dir,Table1[[#This Row],[Direction]],
IF(_xlpm.dir="R",
    IF(F2136+Table1[[#This Row],[Steps]]&gt;99,(F2136+Table1[[#This Row],[Steps]])-100,F2136+Table1[[#This Row],[Steps]]),
))</f>
        <v>22</v>
      </c>
      <c r="F2137">
        <f>IF(Table1[[#This Row],[New Pos L]]&lt;&gt;0,Table1[[#This Row],[New Pos L]],Table1[[#This Row],[New Pos R]])</f>
        <v>22</v>
      </c>
    </row>
    <row r="2138" spans="1:6" ht="16" x14ac:dyDescent="0.2">
      <c r="A2138" s="1" t="s">
        <v>434</v>
      </c>
      <c r="B2138" t="str">
        <f>LEFT(Table1[[#This Row],[Input]],1)</f>
        <v>L</v>
      </c>
      <c r="C2138">
        <f>_xlfn.LET(_xlpm.steps,SUBSTITUTE(Table1[[#This Row],[Input]],Table1[[#This Row],[Direction]],""),VALUE(IF(LEN(_xlpm.steps)&gt;2,RIGHT(_xlpm.steps,2),_xlpm.steps)))</f>
        <v>22</v>
      </c>
      <c r="D2138">
        <f>_xlfn.LET(_xlpm.dir,Table1[[#This Row],[Direction]],
IF(_xlpm.dir="L",
    IF(F2137-Table1[[#This Row],[Steps]]&lt;0,100+(F2137-Table1[[#This Row],[Steps]]),F2137-Table1[[#This Row],[Steps]]),
))</f>
        <v>0</v>
      </c>
      <c r="E2138">
        <f>_xlfn.LET(_xlpm.dir,Table1[[#This Row],[Direction]],
IF(_xlpm.dir="R",
    IF(F2137+Table1[[#This Row],[Steps]]&gt;99,(F2137+Table1[[#This Row],[Steps]])-100,F2137+Table1[[#This Row],[Steps]]),
))</f>
        <v>0</v>
      </c>
      <c r="F2138">
        <f>IF(Table1[[#This Row],[New Pos L]]&lt;&gt;0,Table1[[#This Row],[New Pos L]],Table1[[#This Row],[New Pos R]])</f>
        <v>0</v>
      </c>
    </row>
    <row r="2139" spans="1:6" ht="16" x14ac:dyDescent="0.2">
      <c r="A2139" s="1" t="s">
        <v>145</v>
      </c>
      <c r="B2139" t="str">
        <f>LEFT(Table1[[#This Row],[Input]],1)</f>
        <v>L</v>
      </c>
      <c r="C2139">
        <f>_xlfn.LET(_xlpm.steps,SUBSTITUTE(Table1[[#This Row],[Input]],Table1[[#This Row],[Direction]],""),VALUE(IF(LEN(_xlpm.steps)&gt;2,RIGHT(_xlpm.steps,2),_xlpm.steps)))</f>
        <v>83</v>
      </c>
      <c r="D2139">
        <f>_xlfn.LET(_xlpm.dir,Table1[[#This Row],[Direction]],
IF(_xlpm.dir="L",
    IF(F2138-Table1[[#This Row],[Steps]]&lt;0,100+(F2138-Table1[[#This Row],[Steps]]),F2138-Table1[[#This Row],[Steps]]),
))</f>
        <v>17</v>
      </c>
      <c r="E2139">
        <f>_xlfn.LET(_xlpm.dir,Table1[[#This Row],[Direction]],
IF(_xlpm.dir="R",
    IF(F2138+Table1[[#This Row],[Steps]]&gt;99,(F2138+Table1[[#This Row],[Steps]])-100,F2138+Table1[[#This Row],[Steps]]),
))</f>
        <v>0</v>
      </c>
      <c r="F2139">
        <f>IF(Table1[[#This Row],[New Pos L]]&lt;&gt;0,Table1[[#This Row],[New Pos L]],Table1[[#This Row],[New Pos R]])</f>
        <v>17</v>
      </c>
    </row>
    <row r="2140" spans="1:6" ht="16" x14ac:dyDescent="0.2">
      <c r="A2140" s="1" t="s">
        <v>572</v>
      </c>
      <c r="B2140" t="str">
        <f>LEFT(Table1[[#This Row],[Input]],1)</f>
        <v>R</v>
      </c>
      <c r="C2140">
        <f>_xlfn.LET(_xlpm.steps,SUBSTITUTE(Table1[[#This Row],[Input]],Table1[[#This Row],[Direction]],""),VALUE(IF(LEN(_xlpm.steps)&gt;2,RIGHT(_xlpm.steps,2),_xlpm.steps)))</f>
        <v>83</v>
      </c>
      <c r="D2140">
        <f>_xlfn.LET(_xlpm.dir,Table1[[#This Row],[Direction]],
IF(_xlpm.dir="L",
    IF(F2139-Table1[[#This Row],[Steps]]&lt;0,100+(F2139-Table1[[#This Row],[Steps]]),F2139-Table1[[#This Row],[Steps]]),
))</f>
        <v>0</v>
      </c>
      <c r="E2140">
        <f>_xlfn.LET(_xlpm.dir,Table1[[#This Row],[Direction]],
IF(_xlpm.dir="R",
    IF(F2139+Table1[[#This Row],[Steps]]&gt;99,(F2139+Table1[[#This Row],[Steps]])-100,F2139+Table1[[#This Row],[Steps]]),
))</f>
        <v>0</v>
      </c>
      <c r="F2140">
        <f>IF(Table1[[#This Row],[New Pos L]]&lt;&gt;0,Table1[[#This Row],[New Pos L]],Table1[[#This Row],[New Pos R]])</f>
        <v>0</v>
      </c>
    </row>
    <row r="2141" spans="1:6" ht="16" x14ac:dyDescent="0.2">
      <c r="A2141" s="1" t="s">
        <v>46</v>
      </c>
      <c r="B2141" t="str">
        <f>LEFT(Table1[[#This Row],[Input]],1)</f>
        <v>L</v>
      </c>
      <c r="C2141">
        <f>_xlfn.LET(_xlpm.steps,SUBSTITUTE(Table1[[#This Row],[Input]],Table1[[#This Row],[Direction]],""),VALUE(IF(LEN(_xlpm.steps)&gt;2,RIGHT(_xlpm.steps,2),_xlpm.steps)))</f>
        <v>97</v>
      </c>
      <c r="D2141">
        <f>_xlfn.LET(_xlpm.dir,Table1[[#This Row],[Direction]],
IF(_xlpm.dir="L",
    IF(F2140-Table1[[#This Row],[Steps]]&lt;0,100+(F2140-Table1[[#This Row],[Steps]]),F2140-Table1[[#This Row],[Steps]]),
))</f>
        <v>3</v>
      </c>
      <c r="E2141">
        <f>_xlfn.LET(_xlpm.dir,Table1[[#This Row],[Direction]],
IF(_xlpm.dir="R",
    IF(F2140+Table1[[#This Row],[Steps]]&gt;99,(F2140+Table1[[#This Row],[Steps]])-100,F2140+Table1[[#This Row],[Steps]]),
))</f>
        <v>0</v>
      </c>
      <c r="F2141">
        <f>IF(Table1[[#This Row],[New Pos L]]&lt;&gt;0,Table1[[#This Row],[New Pos L]],Table1[[#This Row],[New Pos R]])</f>
        <v>3</v>
      </c>
    </row>
    <row r="2142" spans="1:6" ht="16" x14ac:dyDescent="0.2">
      <c r="A2142" s="1" t="s">
        <v>44</v>
      </c>
      <c r="B2142" t="str">
        <f>LEFT(Table1[[#This Row],[Input]],1)</f>
        <v>R</v>
      </c>
      <c r="C2142">
        <f>_xlfn.LET(_xlpm.steps,SUBSTITUTE(Table1[[#This Row],[Input]],Table1[[#This Row],[Direction]],""),VALUE(IF(LEN(_xlpm.steps)&gt;2,RIGHT(_xlpm.steps,2),_xlpm.steps)))</f>
        <v>96</v>
      </c>
      <c r="D2142">
        <f>_xlfn.LET(_xlpm.dir,Table1[[#This Row],[Direction]],
IF(_xlpm.dir="L",
    IF(F2141-Table1[[#This Row],[Steps]]&lt;0,100+(F2141-Table1[[#This Row],[Steps]]),F2141-Table1[[#This Row],[Steps]]),
))</f>
        <v>0</v>
      </c>
      <c r="E2142">
        <f>_xlfn.LET(_xlpm.dir,Table1[[#This Row],[Direction]],
IF(_xlpm.dir="R",
    IF(F2141+Table1[[#This Row],[Steps]]&gt;99,(F2141+Table1[[#This Row],[Steps]])-100,F2141+Table1[[#This Row],[Steps]]),
))</f>
        <v>99</v>
      </c>
      <c r="F2142">
        <f>IF(Table1[[#This Row],[New Pos L]]&lt;&gt;0,Table1[[#This Row],[New Pos L]],Table1[[#This Row],[New Pos R]])</f>
        <v>99</v>
      </c>
    </row>
    <row r="2143" spans="1:6" ht="16" x14ac:dyDescent="0.2">
      <c r="A2143" s="1" t="s">
        <v>52</v>
      </c>
      <c r="B2143" t="str">
        <f>LEFT(Table1[[#This Row],[Input]],1)</f>
        <v>R</v>
      </c>
      <c r="C2143">
        <f>_xlfn.LET(_xlpm.steps,SUBSTITUTE(Table1[[#This Row],[Input]],Table1[[#This Row],[Direction]],""),VALUE(IF(LEN(_xlpm.steps)&gt;2,RIGHT(_xlpm.steps,2),_xlpm.steps)))</f>
        <v>11</v>
      </c>
      <c r="D2143">
        <f>_xlfn.LET(_xlpm.dir,Table1[[#This Row],[Direction]],
IF(_xlpm.dir="L",
    IF(F2142-Table1[[#This Row],[Steps]]&lt;0,100+(F2142-Table1[[#This Row],[Steps]]),F2142-Table1[[#This Row],[Steps]]),
))</f>
        <v>0</v>
      </c>
      <c r="E2143">
        <f>_xlfn.LET(_xlpm.dir,Table1[[#This Row],[Direction]],
IF(_xlpm.dir="R",
    IF(F2142+Table1[[#This Row],[Steps]]&gt;99,(F2142+Table1[[#This Row],[Steps]])-100,F2142+Table1[[#This Row],[Steps]]),
))</f>
        <v>10</v>
      </c>
      <c r="F2143">
        <f>IF(Table1[[#This Row],[New Pos L]]&lt;&gt;0,Table1[[#This Row],[New Pos L]],Table1[[#This Row],[New Pos R]])</f>
        <v>10</v>
      </c>
    </row>
    <row r="2144" spans="1:6" ht="16" x14ac:dyDescent="0.2">
      <c r="A2144" s="1" t="s">
        <v>217</v>
      </c>
      <c r="B2144" t="str">
        <f>LEFT(Table1[[#This Row],[Input]],1)</f>
        <v>R</v>
      </c>
      <c r="C2144">
        <f>_xlfn.LET(_xlpm.steps,SUBSTITUTE(Table1[[#This Row],[Input]],Table1[[#This Row],[Direction]],""),VALUE(IF(LEN(_xlpm.steps)&gt;2,RIGHT(_xlpm.steps,2),_xlpm.steps)))</f>
        <v>91</v>
      </c>
      <c r="D2144">
        <f>_xlfn.LET(_xlpm.dir,Table1[[#This Row],[Direction]],
IF(_xlpm.dir="L",
    IF(F2143-Table1[[#This Row],[Steps]]&lt;0,100+(F2143-Table1[[#This Row],[Steps]]),F2143-Table1[[#This Row],[Steps]]),
))</f>
        <v>0</v>
      </c>
      <c r="E2144">
        <f>_xlfn.LET(_xlpm.dir,Table1[[#This Row],[Direction]],
IF(_xlpm.dir="R",
    IF(F2143+Table1[[#This Row],[Steps]]&gt;99,(F2143+Table1[[#This Row],[Steps]])-100,F2143+Table1[[#This Row],[Steps]]),
))</f>
        <v>1</v>
      </c>
      <c r="F2144">
        <f>IF(Table1[[#This Row],[New Pos L]]&lt;&gt;0,Table1[[#This Row],[New Pos L]],Table1[[#This Row],[New Pos R]])</f>
        <v>1</v>
      </c>
    </row>
    <row r="2145" spans="1:6" ht="16" x14ac:dyDescent="0.2">
      <c r="A2145" s="1" t="s">
        <v>131</v>
      </c>
      <c r="B2145" t="str">
        <f>LEFT(Table1[[#This Row],[Input]],1)</f>
        <v>R</v>
      </c>
      <c r="C2145">
        <f>_xlfn.LET(_xlpm.steps,SUBSTITUTE(Table1[[#This Row],[Input]],Table1[[#This Row],[Direction]],""),VALUE(IF(LEN(_xlpm.steps)&gt;2,RIGHT(_xlpm.steps,2),_xlpm.steps)))</f>
        <v>99</v>
      </c>
      <c r="D2145">
        <f>_xlfn.LET(_xlpm.dir,Table1[[#This Row],[Direction]],
IF(_xlpm.dir="L",
    IF(F2144-Table1[[#This Row],[Steps]]&lt;0,100+(F2144-Table1[[#This Row],[Steps]]),F2144-Table1[[#This Row],[Steps]]),
))</f>
        <v>0</v>
      </c>
      <c r="E2145">
        <f>_xlfn.LET(_xlpm.dir,Table1[[#This Row],[Direction]],
IF(_xlpm.dir="R",
    IF(F2144+Table1[[#This Row],[Steps]]&gt;99,(F2144+Table1[[#This Row],[Steps]])-100,F2144+Table1[[#This Row],[Steps]]),
))</f>
        <v>0</v>
      </c>
      <c r="F2145">
        <f>IF(Table1[[#This Row],[New Pos L]]&lt;&gt;0,Table1[[#This Row],[New Pos L]],Table1[[#This Row],[New Pos R]])</f>
        <v>0</v>
      </c>
    </row>
    <row r="2146" spans="1:6" ht="16" x14ac:dyDescent="0.2">
      <c r="A2146" s="1" t="s">
        <v>573</v>
      </c>
      <c r="B2146" t="str">
        <f>LEFT(Table1[[#This Row],[Input]],1)</f>
        <v>L</v>
      </c>
      <c r="C2146">
        <f>_xlfn.LET(_xlpm.steps,SUBSTITUTE(Table1[[#This Row],[Input]],Table1[[#This Row],[Direction]],""),VALUE(IF(LEN(_xlpm.steps)&gt;2,RIGHT(_xlpm.steps,2),_xlpm.steps)))</f>
        <v>71</v>
      </c>
      <c r="D2146">
        <f>_xlfn.LET(_xlpm.dir,Table1[[#This Row],[Direction]],
IF(_xlpm.dir="L",
    IF(F2145-Table1[[#This Row],[Steps]]&lt;0,100+(F2145-Table1[[#This Row],[Steps]]),F2145-Table1[[#This Row],[Steps]]),
))</f>
        <v>29</v>
      </c>
      <c r="E2146">
        <f>_xlfn.LET(_xlpm.dir,Table1[[#This Row],[Direction]],
IF(_xlpm.dir="R",
    IF(F2145+Table1[[#This Row],[Steps]]&gt;99,(F2145+Table1[[#This Row],[Steps]])-100,F2145+Table1[[#This Row],[Steps]]),
))</f>
        <v>0</v>
      </c>
      <c r="F2146">
        <f>IF(Table1[[#This Row],[New Pos L]]&lt;&gt;0,Table1[[#This Row],[New Pos L]],Table1[[#This Row],[New Pos R]])</f>
        <v>29</v>
      </c>
    </row>
    <row r="2147" spans="1:6" ht="16" x14ac:dyDescent="0.2">
      <c r="A2147" s="1" t="s">
        <v>63</v>
      </c>
      <c r="B2147" t="str">
        <f>LEFT(Table1[[#This Row],[Input]],1)</f>
        <v>R</v>
      </c>
      <c r="C2147">
        <f>_xlfn.LET(_xlpm.steps,SUBSTITUTE(Table1[[#This Row],[Input]],Table1[[#This Row],[Direction]],""),VALUE(IF(LEN(_xlpm.steps)&gt;2,RIGHT(_xlpm.steps,2),_xlpm.steps)))</f>
        <v>57</v>
      </c>
      <c r="D2147">
        <f>_xlfn.LET(_xlpm.dir,Table1[[#This Row],[Direction]],
IF(_xlpm.dir="L",
    IF(F2146-Table1[[#This Row],[Steps]]&lt;0,100+(F2146-Table1[[#This Row],[Steps]]),F2146-Table1[[#This Row],[Steps]]),
))</f>
        <v>0</v>
      </c>
      <c r="E2147">
        <f>_xlfn.LET(_xlpm.dir,Table1[[#This Row],[Direction]],
IF(_xlpm.dir="R",
    IF(F2146+Table1[[#This Row],[Steps]]&gt;99,(F2146+Table1[[#This Row],[Steps]])-100,F2146+Table1[[#This Row],[Steps]]),
))</f>
        <v>86</v>
      </c>
      <c r="F2147">
        <f>IF(Table1[[#This Row],[New Pos L]]&lt;&gt;0,Table1[[#This Row],[New Pos L]],Table1[[#This Row],[New Pos R]])</f>
        <v>86</v>
      </c>
    </row>
    <row r="2148" spans="1:6" ht="16" x14ac:dyDescent="0.2">
      <c r="A2148" s="1" t="s">
        <v>122</v>
      </c>
      <c r="B2148" t="str">
        <f>LEFT(Table1[[#This Row],[Input]],1)</f>
        <v>R</v>
      </c>
      <c r="C2148">
        <f>_xlfn.LET(_xlpm.steps,SUBSTITUTE(Table1[[#This Row],[Input]],Table1[[#This Row],[Direction]],""),VALUE(IF(LEN(_xlpm.steps)&gt;2,RIGHT(_xlpm.steps,2),_xlpm.steps)))</f>
        <v>75</v>
      </c>
      <c r="D2148">
        <f>_xlfn.LET(_xlpm.dir,Table1[[#This Row],[Direction]],
IF(_xlpm.dir="L",
    IF(F2147-Table1[[#This Row],[Steps]]&lt;0,100+(F2147-Table1[[#This Row],[Steps]]),F2147-Table1[[#This Row],[Steps]]),
))</f>
        <v>0</v>
      </c>
      <c r="E2148">
        <f>_xlfn.LET(_xlpm.dir,Table1[[#This Row],[Direction]],
IF(_xlpm.dir="R",
    IF(F2147+Table1[[#This Row],[Steps]]&gt;99,(F2147+Table1[[#This Row],[Steps]])-100,F2147+Table1[[#This Row],[Steps]]),
))</f>
        <v>61</v>
      </c>
      <c r="F2148">
        <f>IF(Table1[[#This Row],[New Pos L]]&lt;&gt;0,Table1[[#This Row],[New Pos L]],Table1[[#This Row],[New Pos R]])</f>
        <v>61</v>
      </c>
    </row>
    <row r="2149" spans="1:6" ht="16" x14ac:dyDescent="0.2">
      <c r="A2149" s="1" t="s">
        <v>69</v>
      </c>
      <c r="B2149" t="str">
        <f>LEFT(Table1[[#This Row],[Input]],1)</f>
        <v>R</v>
      </c>
      <c r="C2149">
        <f>_xlfn.LET(_xlpm.steps,SUBSTITUTE(Table1[[#This Row],[Input]],Table1[[#This Row],[Direction]],""),VALUE(IF(LEN(_xlpm.steps)&gt;2,RIGHT(_xlpm.steps,2),_xlpm.steps)))</f>
        <v>27</v>
      </c>
      <c r="D2149">
        <f>_xlfn.LET(_xlpm.dir,Table1[[#This Row],[Direction]],
IF(_xlpm.dir="L",
    IF(F2148-Table1[[#This Row],[Steps]]&lt;0,100+(F2148-Table1[[#This Row],[Steps]]),F2148-Table1[[#This Row],[Steps]]),
))</f>
        <v>0</v>
      </c>
      <c r="E2149">
        <f>_xlfn.LET(_xlpm.dir,Table1[[#This Row],[Direction]],
IF(_xlpm.dir="R",
    IF(F2148+Table1[[#This Row],[Steps]]&gt;99,(F2148+Table1[[#This Row],[Steps]])-100,F2148+Table1[[#This Row],[Steps]]),
))</f>
        <v>88</v>
      </c>
      <c r="F2149">
        <f>IF(Table1[[#This Row],[New Pos L]]&lt;&gt;0,Table1[[#This Row],[New Pos L]],Table1[[#This Row],[New Pos R]])</f>
        <v>88</v>
      </c>
    </row>
    <row r="2150" spans="1:6" ht="16" x14ac:dyDescent="0.2">
      <c r="A2150" s="1" t="s">
        <v>13</v>
      </c>
      <c r="B2150" t="str">
        <f>LEFT(Table1[[#This Row],[Input]],1)</f>
        <v>R</v>
      </c>
      <c r="C2150">
        <f>_xlfn.LET(_xlpm.steps,SUBSTITUTE(Table1[[#This Row],[Input]],Table1[[#This Row],[Direction]],""),VALUE(IF(LEN(_xlpm.steps)&gt;2,RIGHT(_xlpm.steps,2),_xlpm.steps)))</f>
        <v>12</v>
      </c>
      <c r="D2150">
        <f>_xlfn.LET(_xlpm.dir,Table1[[#This Row],[Direction]],
IF(_xlpm.dir="L",
    IF(F2149-Table1[[#This Row],[Steps]]&lt;0,100+(F2149-Table1[[#This Row],[Steps]]),F2149-Table1[[#This Row],[Steps]]),
))</f>
        <v>0</v>
      </c>
      <c r="E2150">
        <f>_xlfn.LET(_xlpm.dir,Table1[[#This Row],[Direction]],
IF(_xlpm.dir="R",
    IF(F2149+Table1[[#This Row],[Steps]]&gt;99,(F2149+Table1[[#This Row],[Steps]])-100,F2149+Table1[[#This Row],[Steps]]),
))</f>
        <v>0</v>
      </c>
      <c r="F2150">
        <f>IF(Table1[[#This Row],[New Pos L]]&lt;&gt;0,Table1[[#This Row],[New Pos L]],Table1[[#This Row],[New Pos R]])</f>
        <v>0</v>
      </c>
    </row>
    <row r="2151" spans="1:6" ht="16" x14ac:dyDescent="0.2">
      <c r="A2151" s="1" t="s">
        <v>25</v>
      </c>
      <c r="B2151" t="str">
        <f>LEFT(Table1[[#This Row],[Input]],1)</f>
        <v>L</v>
      </c>
      <c r="C2151">
        <f>_xlfn.LET(_xlpm.steps,SUBSTITUTE(Table1[[#This Row],[Input]],Table1[[#This Row],[Direction]],""),VALUE(IF(LEN(_xlpm.steps)&gt;2,RIGHT(_xlpm.steps,2),_xlpm.steps)))</f>
        <v>20</v>
      </c>
      <c r="D2151">
        <f>_xlfn.LET(_xlpm.dir,Table1[[#This Row],[Direction]],
IF(_xlpm.dir="L",
    IF(F2150-Table1[[#This Row],[Steps]]&lt;0,100+(F2150-Table1[[#This Row],[Steps]]),F2150-Table1[[#This Row],[Steps]]),
))</f>
        <v>80</v>
      </c>
      <c r="E2151">
        <f>_xlfn.LET(_xlpm.dir,Table1[[#This Row],[Direction]],
IF(_xlpm.dir="R",
    IF(F2150+Table1[[#This Row],[Steps]]&gt;99,(F2150+Table1[[#This Row],[Steps]])-100,F2150+Table1[[#This Row],[Steps]]),
))</f>
        <v>0</v>
      </c>
      <c r="F2151">
        <f>IF(Table1[[#This Row],[New Pos L]]&lt;&gt;0,Table1[[#This Row],[New Pos L]],Table1[[#This Row],[New Pos R]])</f>
        <v>80</v>
      </c>
    </row>
    <row r="2152" spans="1:6" ht="16" x14ac:dyDescent="0.2">
      <c r="A2152" s="1" t="s">
        <v>272</v>
      </c>
      <c r="B2152" t="str">
        <f>LEFT(Table1[[#This Row],[Input]],1)</f>
        <v>R</v>
      </c>
      <c r="C2152">
        <f>_xlfn.LET(_xlpm.steps,SUBSTITUTE(Table1[[#This Row],[Input]],Table1[[#This Row],[Direction]],""),VALUE(IF(LEN(_xlpm.steps)&gt;2,RIGHT(_xlpm.steps,2),_xlpm.steps)))</f>
        <v>56</v>
      </c>
      <c r="D2152">
        <f>_xlfn.LET(_xlpm.dir,Table1[[#This Row],[Direction]],
IF(_xlpm.dir="L",
    IF(F2151-Table1[[#This Row],[Steps]]&lt;0,100+(F2151-Table1[[#This Row],[Steps]]),F2151-Table1[[#This Row],[Steps]]),
))</f>
        <v>0</v>
      </c>
      <c r="E2152">
        <f>_xlfn.LET(_xlpm.dir,Table1[[#This Row],[Direction]],
IF(_xlpm.dir="R",
    IF(F2151+Table1[[#This Row],[Steps]]&gt;99,(F2151+Table1[[#This Row],[Steps]])-100,F2151+Table1[[#This Row],[Steps]]),
))</f>
        <v>36</v>
      </c>
      <c r="F2152">
        <f>IF(Table1[[#This Row],[New Pos L]]&lt;&gt;0,Table1[[#This Row],[New Pos L]],Table1[[#This Row],[New Pos R]])</f>
        <v>36</v>
      </c>
    </row>
    <row r="2153" spans="1:6" ht="16" x14ac:dyDescent="0.2">
      <c r="A2153" s="1" t="s">
        <v>119</v>
      </c>
      <c r="B2153" t="str">
        <f>LEFT(Table1[[#This Row],[Input]],1)</f>
        <v>L</v>
      </c>
      <c r="C2153">
        <f>_xlfn.LET(_xlpm.steps,SUBSTITUTE(Table1[[#This Row],[Input]],Table1[[#This Row],[Direction]],""),VALUE(IF(LEN(_xlpm.steps)&gt;2,RIGHT(_xlpm.steps,2),_xlpm.steps)))</f>
        <v>77</v>
      </c>
      <c r="D2153">
        <f>_xlfn.LET(_xlpm.dir,Table1[[#This Row],[Direction]],
IF(_xlpm.dir="L",
    IF(F2152-Table1[[#This Row],[Steps]]&lt;0,100+(F2152-Table1[[#This Row],[Steps]]),F2152-Table1[[#This Row],[Steps]]),
))</f>
        <v>59</v>
      </c>
      <c r="E2153">
        <f>_xlfn.LET(_xlpm.dir,Table1[[#This Row],[Direction]],
IF(_xlpm.dir="R",
    IF(F2152+Table1[[#This Row],[Steps]]&gt;99,(F2152+Table1[[#This Row],[Steps]])-100,F2152+Table1[[#This Row],[Steps]]),
))</f>
        <v>0</v>
      </c>
      <c r="F2153">
        <f>IF(Table1[[#This Row],[New Pos L]]&lt;&gt;0,Table1[[#This Row],[New Pos L]],Table1[[#This Row],[New Pos R]])</f>
        <v>59</v>
      </c>
    </row>
    <row r="2154" spans="1:6" ht="16" x14ac:dyDescent="0.2">
      <c r="A2154" s="1" t="s">
        <v>106</v>
      </c>
      <c r="B2154" t="str">
        <f>LEFT(Table1[[#This Row],[Input]],1)</f>
        <v>R</v>
      </c>
      <c r="C2154">
        <f>_xlfn.LET(_xlpm.steps,SUBSTITUTE(Table1[[#This Row],[Input]],Table1[[#This Row],[Direction]],""),VALUE(IF(LEN(_xlpm.steps)&gt;2,RIGHT(_xlpm.steps,2),_xlpm.steps)))</f>
        <v>41</v>
      </c>
      <c r="D2154">
        <f>_xlfn.LET(_xlpm.dir,Table1[[#This Row],[Direction]],
IF(_xlpm.dir="L",
    IF(F2153-Table1[[#This Row],[Steps]]&lt;0,100+(F2153-Table1[[#This Row],[Steps]]),F2153-Table1[[#This Row],[Steps]]),
))</f>
        <v>0</v>
      </c>
      <c r="E2154">
        <f>_xlfn.LET(_xlpm.dir,Table1[[#This Row],[Direction]],
IF(_xlpm.dir="R",
    IF(F2153+Table1[[#This Row],[Steps]]&gt;99,(F2153+Table1[[#This Row],[Steps]])-100,F2153+Table1[[#This Row],[Steps]]),
))</f>
        <v>0</v>
      </c>
      <c r="F2154">
        <f>IF(Table1[[#This Row],[New Pos L]]&lt;&gt;0,Table1[[#This Row],[New Pos L]],Table1[[#This Row],[New Pos R]])</f>
        <v>0</v>
      </c>
    </row>
    <row r="2155" spans="1:6" ht="16" x14ac:dyDescent="0.2">
      <c r="A2155" s="1" t="s">
        <v>264</v>
      </c>
      <c r="B2155" t="str">
        <f>LEFT(Table1[[#This Row],[Input]],1)</f>
        <v>L</v>
      </c>
      <c r="C2155">
        <f>_xlfn.LET(_xlpm.steps,SUBSTITUTE(Table1[[#This Row],[Input]],Table1[[#This Row],[Direction]],""),VALUE(IF(LEN(_xlpm.steps)&gt;2,RIGHT(_xlpm.steps,2),_xlpm.steps)))</f>
        <v>21</v>
      </c>
      <c r="D2155">
        <f>_xlfn.LET(_xlpm.dir,Table1[[#This Row],[Direction]],
IF(_xlpm.dir="L",
    IF(F2154-Table1[[#This Row],[Steps]]&lt;0,100+(F2154-Table1[[#This Row],[Steps]]),F2154-Table1[[#This Row],[Steps]]),
))</f>
        <v>79</v>
      </c>
      <c r="E2155">
        <f>_xlfn.LET(_xlpm.dir,Table1[[#This Row],[Direction]],
IF(_xlpm.dir="R",
    IF(F2154+Table1[[#This Row],[Steps]]&gt;99,(F2154+Table1[[#This Row],[Steps]])-100,F2154+Table1[[#This Row],[Steps]]),
))</f>
        <v>0</v>
      </c>
      <c r="F2155">
        <f>IF(Table1[[#This Row],[New Pos L]]&lt;&gt;0,Table1[[#This Row],[New Pos L]],Table1[[#This Row],[New Pos R]])</f>
        <v>79</v>
      </c>
    </row>
    <row r="2156" spans="1:6" ht="16" x14ac:dyDescent="0.2">
      <c r="A2156" s="1" t="s">
        <v>319</v>
      </c>
      <c r="B2156" t="str">
        <f>LEFT(Table1[[#This Row],[Input]],1)</f>
        <v>L</v>
      </c>
      <c r="C2156">
        <f>_xlfn.LET(_xlpm.steps,SUBSTITUTE(Table1[[#This Row],[Input]],Table1[[#This Row],[Direction]],""),VALUE(IF(LEN(_xlpm.steps)&gt;2,RIGHT(_xlpm.steps,2),_xlpm.steps)))</f>
        <v>79</v>
      </c>
      <c r="D2156">
        <f>_xlfn.LET(_xlpm.dir,Table1[[#This Row],[Direction]],
IF(_xlpm.dir="L",
    IF(F2155-Table1[[#This Row],[Steps]]&lt;0,100+(F2155-Table1[[#This Row],[Steps]]),F2155-Table1[[#This Row],[Steps]]),
))</f>
        <v>0</v>
      </c>
      <c r="E2156">
        <f>_xlfn.LET(_xlpm.dir,Table1[[#This Row],[Direction]],
IF(_xlpm.dir="R",
    IF(F2155+Table1[[#This Row],[Steps]]&gt;99,(F2155+Table1[[#This Row],[Steps]])-100,F2155+Table1[[#This Row],[Steps]]),
))</f>
        <v>0</v>
      </c>
      <c r="F2156">
        <f>IF(Table1[[#This Row],[New Pos L]]&lt;&gt;0,Table1[[#This Row],[New Pos L]],Table1[[#This Row],[New Pos R]])</f>
        <v>0</v>
      </c>
    </row>
    <row r="2157" spans="1:6" ht="16" x14ac:dyDescent="0.2">
      <c r="A2157" s="1" t="s">
        <v>89</v>
      </c>
      <c r="B2157" t="str">
        <f>LEFT(Table1[[#This Row],[Input]],1)</f>
        <v>L</v>
      </c>
      <c r="C2157">
        <f>_xlfn.LET(_xlpm.steps,SUBSTITUTE(Table1[[#This Row],[Input]],Table1[[#This Row],[Direction]],""),VALUE(IF(LEN(_xlpm.steps)&gt;2,RIGHT(_xlpm.steps,2),_xlpm.steps)))</f>
        <v>91</v>
      </c>
      <c r="D2157">
        <f>_xlfn.LET(_xlpm.dir,Table1[[#This Row],[Direction]],
IF(_xlpm.dir="L",
    IF(F2156-Table1[[#This Row],[Steps]]&lt;0,100+(F2156-Table1[[#This Row],[Steps]]),F2156-Table1[[#This Row],[Steps]]),
))</f>
        <v>9</v>
      </c>
      <c r="E2157">
        <f>_xlfn.LET(_xlpm.dir,Table1[[#This Row],[Direction]],
IF(_xlpm.dir="R",
    IF(F2156+Table1[[#This Row],[Steps]]&gt;99,(F2156+Table1[[#This Row],[Steps]])-100,F2156+Table1[[#This Row],[Steps]]),
))</f>
        <v>0</v>
      </c>
      <c r="F2157">
        <f>IF(Table1[[#This Row],[New Pos L]]&lt;&gt;0,Table1[[#This Row],[New Pos L]],Table1[[#This Row],[New Pos R]])</f>
        <v>9</v>
      </c>
    </row>
    <row r="2158" spans="1:6" ht="16" x14ac:dyDescent="0.2">
      <c r="A2158" s="1" t="s">
        <v>574</v>
      </c>
      <c r="B2158" t="str">
        <f>LEFT(Table1[[#This Row],[Input]],1)</f>
        <v>R</v>
      </c>
      <c r="C2158">
        <f>_xlfn.LET(_xlpm.steps,SUBSTITUTE(Table1[[#This Row],[Input]],Table1[[#This Row],[Direction]],""),VALUE(IF(LEN(_xlpm.steps)&gt;2,RIGHT(_xlpm.steps,2),_xlpm.steps)))</f>
        <v>91</v>
      </c>
      <c r="D2158">
        <f>_xlfn.LET(_xlpm.dir,Table1[[#This Row],[Direction]],
IF(_xlpm.dir="L",
    IF(F2157-Table1[[#This Row],[Steps]]&lt;0,100+(F2157-Table1[[#This Row],[Steps]]),F2157-Table1[[#This Row],[Steps]]),
))</f>
        <v>0</v>
      </c>
      <c r="E2158">
        <f>_xlfn.LET(_xlpm.dir,Table1[[#This Row],[Direction]],
IF(_xlpm.dir="R",
    IF(F2157+Table1[[#This Row],[Steps]]&gt;99,(F2157+Table1[[#This Row],[Steps]])-100,F2157+Table1[[#This Row],[Steps]]),
))</f>
        <v>0</v>
      </c>
      <c r="F2158">
        <f>IF(Table1[[#This Row],[New Pos L]]&lt;&gt;0,Table1[[#This Row],[New Pos L]],Table1[[#This Row],[New Pos R]])</f>
        <v>0</v>
      </c>
    </row>
    <row r="2159" spans="1:6" ht="16" x14ac:dyDescent="0.2">
      <c r="A2159" s="1" t="s">
        <v>27</v>
      </c>
      <c r="B2159" t="str">
        <f>LEFT(Table1[[#This Row],[Input]],1)</f>
        <v>L</v>
      </c>
      <c r="C2159">
        <f>_xlfn.LET(_xlpm.steps,SUBSTITUTE(Table1[[#This Row],[Input]],Table1[[#This Row],[Direction]],""),VALUE(IF(LEN(_xlpm.steps)&gt;2,RIGHT(_xlpm.steps,2),_xlpm.steps)))</f>
        <v>14</v>
      </c>
      <c r="D2159">
        <f>_xlfn.LET(_xlpm.dir,Table1[[#This Row],[Direction]],
IF(_xlpm.dir="L",
    IF(F2158-Table1[[#This Row],[Steps]]&lt;0,100+(F2158-Table1[[#This Row],[Steps]]),F2158-Table1[[#This Row],[Steps]]),
))</f>
        <v>86</v>
      </c>
      <c r="E2159">
        <f>_xlfn.LET(_xlpm.dir,Table1[[#This Row],[Direction]],
IF(_xlpm.dir="R",
    IF(F2158+Table1[[#This Row],[Steps]]&gt;99,(F2158+Table1[[#This Row],[Steps]])-100,F2158+Table1[[#This Row],[Steps]]),
))</f>
        <v>0</v>
      </c>
      <c r="F2159">
        <f>IF(Table1[[#This Row],[New Pos L]]&lt;&gt;0,Table1[[#This Row],[New Pos L]],Table1[[#This Row],[New Pos R]])</f>
        <v>86</v>
      </c>
    </row>
    <row r="2160" spans="1:6" ht="16" x14ac:dyDescent="0.2">
      <c r="A2160" s="1" t="s">
        <v>137</v>
      </c>
      <c r="B2160" t="str">
        <f>LEFT(Table1[[#This Row],[Input]],1)</f>
        <v>R</v>
      </c>
      <c r="C2160">
        <f>_xlfn.LET(_xlpm.steps,SUBSTITUTE(Table1[[#This Row],[Input]],Table1[[#This Row],[Direction]],""),VALUE(IF(LEN(_xlpm.steps)&gt;2,RIGHT(_xlpm.steps,2),_xlpm.steps)))</f>
        <v>28</v>
      </c>
      <c r="D2160">
        <f>_xlfn.LET(_xlpm.dir,Table1[[#This Row],[Direction]],
IF(_xlpm.dir="L",
    IF(F2159-Table1[[#This Row],[Steps]]&lt;0,100+(F2159-Table1[[#This Row],[Steps]]),F2159-Table1[[#This Row],[Steps]]),
))</f>
        <v>0</v>
      </c>
      <c r="E2160">
        <f>_xlfn.LET(_xlpm.dir,Table1[[#This Row],[Direction]],
IF(_xlpm.dir="R",
    IF(F2159+Table1[[#This Row],[Steps]]&gt;99,(F2159+Table1[[#This Row],[Steps]])-100,F2159+Table1[[#This Row],[Steps]]),
))</f>
        <v>14</v>
      </c>
      <c r="F2160">
        <f>IF(Table1[[#This Row],[New Pos L]]&lt;&gt;0,Table1[[#This Row],[New Pos L]],Table1[[#This Row],[New Pos R]])</f>
        <v>14</v>
      </c>
    </row>
    <row r="2161" spans="1:6" ht="16" x14ac:dyDescent="0.2">
      <c r="A2161" s="1" t="s">
        <v>165</v>
      </c>
      <c r="B2161" t="str">
        <f>LEFT(Table1[[#This Row],[Input]],1)</f>
        <v>R</v>
      </c>
      <c r="C2161">
        <f>_xlfn.LET(_xlpm.steps,SUBSTITUTE(Table1[[#This Row],[Input]],Table1[[#This Row],[Direction]],""),VALUE(IF(LEN(_xlpm.steps)&gt;2,RIGHT(_xlpm.steps,2),_xlpm.steps)))</f>
        <v>55</v>
      </c>
      <c r="D2161">
        <f>_xlfn.LET(_xlpm.dir,Table1[[#This Row],[Direction]],
IF(_xlpm.dir="L",
    IF(F2160-Table1[[#This Row],[Steps]]&lt;0,100+(F2160-Table1[[#This Row],[Steps]]),F2160-Table1[[#This Row],[Steps]]),
))</f>
        <v>0</v>
      </c>
      <c r="E2161">
        <f>_xlfn.LET(_xlpm.dir,Table1[[#This Row],[Direction]],
IF(_xlpm.dir="R",
    IF(F2160+Table1[[#This Row],[Steps]]&gt;99,(F2160+Table1[[#This Row],[Steps]])-100,F2160+Table1[[#This Row],[Steps]]),
))</f>
        <v>69</v>
      </c>
      <c r="F2161">
        <f>IF(Table1[[#This Row],[New Pos L]]&lt;&gt;0,Table1[[#This Row],[New Pos L]],Table1[[#This Row],[New Pos R]])</f>
        <v>69</v>
      </c>
    </row>
    <row r="2162" spans="1:6" ht="16" x14ac:dyDescent="0.2">
      <c r="A2162" s="1" t="s">
        <v>71</v>
      </c>
      <c r="B2162" t="str">
        <f>LEFT(Table1[[#This Row],[Input]],1)</f>
        <v>R</v>
      </c>
      <c r="C2162">
        <f>_xlfn.LET(_xlpm.steps,SUBSTITUTE(Table1[[#This Row],[Input]],Table1[[#This Row],[Direction]],""),VALUE(IF(LEN(_xlpm.steps)&gt;2,RIGHT(_xlpm.steps,2),_xlpm.steps)))</f>
        <v>23</v>
      </c>
      <c r="D2162">
        <f>_xlfn.LET(_xlpm.dir,Table1[[#This Row],[Direction]],
IF(_xlpm.dir="L",
    IF(F2161-Table1[[#This Row],[Steps]]&lt;0,100+(F2161-Table1[[#This Row],[Steps]]),F2161-Table1[[#This Row],[Steps]]),
))</f>
        <v>0</v>
      </c>
      <c r="E2162">
        <f>_xlfn.LET(_xlpm.dir,Table1[[#This Row],[Direction]],
IF(_xlpm.dir="R",
    IF(F2161+Table1[[#This Row],[Steps]]&gt;99,(F2161+Table1[[#This Row],[Steps]])-100,F2161+Table1[[#This Row],[Steps]]),
))</f>
        <v>92</v>
      </c>
      <c r="F2162">
        <f>IF(Table1[[#This Row],[New Pos L]]&lt;&gt;0,Table1[[#This Row],[New Pos L]],Table1[[#This Row],[New Pos R]])</f>
        <v>92</v>
      </c>
    </row>
    <row r="2163" spans="1:6" ht="16" x14ac:dyDescent="0.2">
      <c r="A2163" s="1" t="s">
        <v>14</v>
      </c>
      <c r="B2163" t="str">
        <f>LEFT(Table1[[#This Row],[Input]],1)</f>
        <v>L</v>
      </c>
      <c r="C2163">
        <f>_xlfn.LET(_xlpm.steps,SUBSTITUTE(Table1[[#This Row],[Input]],Table1[[#This Row],[Direction]],""),VALUE(IF(LEN(_xlpm.steps)&gt;2,RIGHT(_xlpm.steps,2),_xlpm.steps)))</f>
        <v>43</v>
      </c>
      <c r="D2163">
        <f>_xlfn.LET(_xlpm.dir,Table1[[#This Row],[Direction]],
IF(_xlpm.dir="L",
    IF(F2162-Table1[[#This Row],[Steps]]&lt;0,100+(F2162-Table1[[#This Row],[Steps]]),F2162-Table1[[#This Row],[Steps]]),
))</f>
        <v>49</v>
      </c>
      <c r="E2163">
        <f>_xlfn.LET(_xlpm.dir,Table1[[#This Row],[Direction]],
IF(_xlpm.dir="R",
    IF(F2162+Table1[[#This Row],[Steps]]&gt;99,(F2162+Table1[[#This Row],[Steps]])-100,F2162+Table1[[#This Row],[Steps]]),
))</f>
        <v>0</v>
      </c>
      <c r="F2163">
        <f>IF(Table1[[#This Row],[New Pos L]]&lt;&gt;0,Table1[[#This Row],[New Pos L]],Table1[[#This Row],[New Pos R]])</f>
        <v>49</v>
      </c>
    </row>
    <row r="2164" spans="1:6" ht="16" x14ac:dyDescent="0.2">
      <c r="A2164" s="1" t="s">
        <v>405</v>
      </c>
      <c r="B2164" t="str">
        <f>LEFT(Table1[[#This Row],[Input]],1)</f>
        <v>L</v>
      </c>
      <c r="C2164">
        <f>_xlfn.LET(_xlpm.steps,SUBSTITUTE(Table1[[#This Row],[Input]],Table1[[#This Row],[Direction]],""),VALUE(IF(LEN(_xlpm.steps)&gt;2,RIGHT(_xlpm.steps,2),_xlpm.steps)))</f>
        <v>32</v>
      </c>
      <c r="D2164">
        <f>_xlfn.LET(_xlpm.dir,Table1[[#This Row],[Direction]],
IF(_xlpm.dir="L",
    IF(F2163-Table1[[#This Row],[Steps]]&lt;0,100+(F2163-Table1[[#This Row],[Steps]]),F2163-Table1[[#This Row],[Steps]]),
))</f>
        <v>17</v>
      </c>
      <c r="E2164">
        <f>_xlfn.LET(_xlpm.dir,Table1[[#This Row],[Direction]],
IF(_xlpm.dir="R",
    IF(F2163+Table1[[#This Row],[Steps]]&gt;99,(F2163+Table1[[#This Row],[Steps]])-100,F2163+Table1[[#This Row],[Steps]]),
))</f>
        <v>0</v>
      </c>
      <c r="F2164">
        <f>IF(Table1[[#This Row],[New Pos L]]&lt;&gt;0,Table1[[#This Row],[New Pos L]],Table1[[#This Row],[New Pos R]])</f>
        <v>17</v>
      </c>
    </row>
    <row r="2165" spans="1:6" ht="16" x14ac:dyDescent="0.2">
      <c r="A2165" s="1" t="s">
        <v>435</v>
      </c>
      <c r="B2165" t="str">
        <f>LEFT(Table1[[#This Row],[Input]],1)</f>
        <v>R</v>
      </c>
      <c r="C2165">
        <f>_xlfn.LET(_xlpm.steps,SUBSTITUTE(Table1[[#This Row],[Input]],Table1[[#This Row],[Direction]],""),VALUE(IF(LEN(_xlpm.steps)&gt;2,RIGHT(_xlpm.steps,2),_xlpm.steps)))</f>
        <v>34</v>
      </c>
      <c r="D2165">
        <f>_xlfn.LET(_xlpm.dir,Table1[[#This Row],[Direction]],
IF(_xlpm.dir="L",
    IF(F2164-Table1[[#This Row],[Steps]]&lt;0,100+(F2164-Table1[[#This Row],[Steps]]),F2164-Table1[[#This Row],[Steps]]),
))</f>
        <v>0</v>
      </c>
      <c r="E2165">
        <f>_xlfn.LET(_xlpm.dir,Table1[[#This Row],[Direction]],
IF(_xlpm.dir="R",
    IF(F2164+Table1[[#This Row],[Steps]]&gt;99,(F2164+Table1[[#This Row],[Steps]])-100,F2164+Table1[[#This Row],[Steps]]),
))</f>
        <v>51</v>
      </c>
      <c r="F2165">
        <f>IF(Table1[[#This Row],[New Pos L]]&lt;&gt;0,Table1[[#This Row],[New Pos L]],Table1[[#This Row],[New Pos R]])</f>
        <v>51</v>
      </c>
    </row>
    <row r="2166" spans="1:6" ht="16" x14ac:dyDescent="0.2">
      <c r="A2166" s="1" t="s">
        <v>449</v>
      </c>
      <c r="B2166" t="str">
        <f>LEFT(Table1[[#This Row],[Input]],1)</f>
        <v>L</v>
      </c>
      <c r="C2166">
        <f>_xlfn.LET(_xlpm.steps,SUBSTITUTE(Table1[[#This Row],[Input]],Table1[[#This Row],[Direction]],""),VALUE(IF(LEN(_xlpm.steps)&gt;2,RIGHT(_xlpm.steps,2),_xlpm.steps)))</f>
        <v>3</v>
      </c>
      <c r="D2166">
        <f>_xlfn.LET(_xlpm.dir,Table1[[#This Row],[Direction]],
IF(_xlpm.dir="L",
    IF(F2165-Table1[[#This Row],[Steps]]&lt;0,100+(F2165-Table1[[#This Row],[Steps]]),F2165-Table1[[#This Row],[Steps]]),
))</f>
        <v>48</v>
      </c>
      <c r="E2166">
        <f>_xlfn.LET(_xlpm.dir,Table1[[#This Row],[Direction]],
IF(_xlpm.dir="R",
    IF(F2165+Table1[[#This Row],[Steps]]&gt;99,(F2165+Table1[[#This Row],[Steps]])-100,F2165+Table1[[#This Row],[Steps]]),
))</f>
        <v>0</v>
      </c>
      <c r="F2166">
        <f>IF(Table1[[#This Row],[New Pos L]]&lt;&gt;0,Table1[[#This Row],[New Pos L]],Table1[[#This Row],[New Pos R]])</f>
        <v>48</v>
      </c>
    </row>
    <row r="2167" spans="1:6" ht="16" x14ac:dyDescent="0.2">
      <c r="A2167" s="1" t="s">
        <v>191</v>
      </c>
      <c r="B2167" t="str">
        <f>LEFT(Table1[[#This Row],[Input]],1)</f>
        <v>L</v>
      </c>
      <c r="C2167">
        <f>_xlfn.LET(_xlpm.steps,SUBSTITUTE(Table1[[#This Row],[Input]],Table1[[#This Row],[Direction]],""),VALUE(IF(LEN(_xlpm.steps)&gt;2,RIGHT(_xlpm.steps,2),_xlpm.steps)))</f>
        <v>5</v>
      </c>
      <c r="D2167">
        <f>_xlfn.LET(_xlpm.dir,Table1[[#This Row],[Direction]],
IF(_xlpm.dir="L",
    IF(F2166-Table1[[#This Row],[Steps]]&lt;0,100+(F2166-Table1[[#This Row],[Steps]]),F2166-Table1[[#This Row],[Steps]]),
))</f>
        <v>43</v>
      </c>
      <c r="E2167">
        <f>_xlfn.LET(_xlpm.dir,Table1[[#This Row],[Direction]],
IF(_xlpm.dir="R",
    IF(F2166+Table1[[#This Row],[Steps]]&gt;99,(F2166+Table1[[#This Row],[Steps]])-100,F2166+Table1[[#This Row],[Steps]]),
))</f>
        <v>0</v>
      </c>
      <c r="F2167">
        <f>IF(Table1[[#This Row],[New Pos L]]&lt;&gt;0,Table1[[#This Row],[New Pos L]],Table1[[#This Row],[New Pos R]])</f>
        <v>43</v>
      </c>
    </row>
    <row r="2168" spans="1:6" ht="16" x14ac:dyDescent="0.2">
      <c r="A2168" s="1" t="s">
        <v>218</v>
      </c>
      <c r="B2168" t="str">
        <f>LEFT(Table1[[#This Row],[Input]],1)</f>
        <v>R</v>
      </c>
      <c r="C2168">
        <f>_xlfn.LET(_xlpm.steps,SUBSTITUTE(Table1[[#This Row],[Input]],Table1[[#This Row],[Direction]],""),VALUE(IF(LEN(_xlpm.steps)&gt;2,RIGHT(_xlpm.steps,2),_xlpm.steps)))</f>
        <v>35</v>
      </c>
      <c r="D2168">
        <f>_xlfn.LET(_xlpm.dir,Table1[[#This Row],[Direction]],
IF(_xlpm.dir="L",
    IF(F2167-Table1[[#This Row],[Steps]]&lt;0,100+(F2167-Table1[[#This Row],[Steps]]),F2167-Table1[[#This Row],[Steps]]),
))</f>
        <v>0</v>
      </c>
      <c r="E2168">
        <f>_xlfn.LET(_xlpm.dir,Table1[[#This Row],[Direction]],
IF(_xlpm.dir="R",
    IF(F2167+Table1[[#This Row],[Steps]]&gt;99,(F2167+Table1[[#This Row],[Steps]])-100,F2167+Table1[[#This Row],[Steps]]),
))</f>
        <v>78</v>
      </c>
      <c r="F2168">
        <f>IF(Table1[[#This Row],[New Pos L]]&lt;&gt;0,Table1[[#This Row],[New Pos L]],Table1[[#This Row],[New Pos R]])</f>
        <v>78</v>
      </c>
    </row>
    <row r="2169" spans="1:6" ht="16" x14ac:dyDescent="0.2">
      <c r="A2169" s="1" t="s">
        <v>288</v>
      </c>
      <c r="B2169" t="str">
        <f>LEFT(Table1[[#This Row],[Input]],1)</f>
        <v>R</v>
      </c>
      <c r="C2169">
        <f>_xlfn.LET(_xlpm.steps,SUBSTITUTE(Table1[[#This Row],[Input]],Table1[[#This Row],[Direction]],""),VALUE(IF(LEN(_xlpm.steps)&gt;2,RIGHT(_xlpm.steps,2),_xlpm.steps)))</f>
        <v>25</v>
      </c>
      <c r="D2169">
        <f>_xlfn.LET(_xlpm.dir,Table1[[#This Row],[Direction]],
IF(_xlpm.dir="L",
    IF(F2168-Table1[[#This Row],[Steps]]&lt;0,100+(F2168-Table1[[#This Row],[Steps]]),F2168-Table1[[#This Row],[Steps]]),
))</f>
        <v>0</v>
      </c>
      <c r="E2169">
        <f>_xlfn.LET(_xlpm.dir,Table1[[#This Row],[Direction]],
IF(_xlpm.dir="R",
    IF(F2168+Table1[[#This Row],[Steps]]&gt;99,(F2168+Table1[[#This Row],[Steps]])-100,F2168+Table1[[#This Row],[Steps]]),
))</f>
        <v>3</v>
      </c>
      <c r="F2169">
        <f>IF(Table1[[#This Row],[New Pos L]]&lt;&gt;0,Table1[[#This Row],[New Pos L]],Table1[[#This Row],[New Pos R]])</f>
        <v>3</v>
      </c>
    </row>
    <row r="2170" spans="1:6" ht="16" x14ac:dyDescent="0.2">
      <c r="A2170" s="1" t="s">
        <v>575</v>
      </c>
      <c r="B2170" t="str">
        <f>LEFT(Table1[[#This Row],[Input]],1)</f>
        <v>R</v>
      </c>
      <c r="C2170">
        <f>_xlfn.LET(_xlpm.steps,SUBSTITUTE(Table1[[#This Row],[Input]],Table1[[#This Row],[Direction]],""),VALUE(IF(LEN(_xlpm.steps)&gt;2,RIGHT(_xlpm.steps,2),_xlpm.steps)))</f>
        <v>40</v>
      </c>
      <c r="D2170">
        <f>_xlfn.LET(_xlpm.dir,Table1[[#This Row],[Direction]],
IF(_xlpm.dir="L",
    IF(F2169-Table1[[#This Row],[Steps]]&lt;0,100+(F2169-Table1[[#This Row],[Steps]]),F2169-Table1[[#This Row],[Steps]]),
))</f>
        <v>0</v>
      </c>
      <c r="E2170">
        <f>_xlfn.LET(_xlpm.dir,Table1[[#This Row],[Direction]],
IF(_xlpm.dir="R",
    IF(F2169+Table1[[#This Row],[Steps]]&gt;99,(F2169+Table1[[#This Row],[Steps]])-100,F2169+Table1[[#This Row],[Steps]]),
))</f>
        <v>43</v>
      </c>
      <c r="F2170">
        <f>IF(Table1[[#This Row],[New Pos L]]&lt;&gt;0,Table1[[#This Row],[New Pos L]],Table1[[#This Row],[New Pos R]])</f>
        <v>43</v>
      </c>
    </row>
    <row r="2171" spans="1:6" ht="16" x14ac:dyDescent="0.2">
      <c r="A2171" s="1" t="s">
        <v>63</v>
      </c>
      <c r="B2171" t="str">
        <f>LEFT(Table1[[#This Row],[Input]],1)</f>
        <v>R</v>
      </c>
      <c r="C2171">
        <f>_xlfn.LET(_xlpm.steps,SUBSTITUTE(Table1[[#This Row],[Input]],Table1[[#This Row],[Direction]],""),VALUE(IF(LEN(_xlpm.steps)&gt;2,RIGHT(_xlpm.steps,2),_xlpm.steps)))</f>
        <v>57</v>
      </c>
      <c r="D2171">
        <f>_xlfn.LET(_xlpm.dir,Table1[[#This Row],[Direction]],
IF(_xlpm.dir="L",
    IF(F2170-Table1[[#This Row],[Steps]]&lt;0,100+(F2170-Table1[[#This Row],[Steps]]),F2170-Table1[[#This Row],[Steps]]),
))</f>
        <v>0</v>
      </c>
      <c r="E2171">
        <f>_xlfn.LET(_xlpm.dir,Table1[[#This Row],[Direction]],
IF(_xlpm.dir="R",
    IF(F2170+Table1[[#This Row],[Steps]]&gt;99,(F2170+Table1[[#This Row],[Steps]])-100,F2170+Table1[[#This Row],[Steps]]),
))</f>
        <v>0</v>
      </c>
      <c r="F2171">
        <f>IF(Table1[[#This Row],[New Pos L]]&lt;&gt;0,Table1[[#This Row],[New Pos L]],Table1[[#This Row],[New Pos R]])</f>
        <v>0</v>
      </c>
    </row>
    <row r="2172" spans="1:6" ht="16" x14ac:dyDescent="0.2">
      <c r="A2172" s="1" t="s">
        <v>191</v>
      </c>
      <c r="B2172" t="str">
        <f>LEFT(Table1[[#This Row],[Input]],1)</f>
        <v>L</v>
      </c>
      <c r="C2172">
        <f>_xlfn.LET(_xlpm.steps,SUBSTITUTE(Table1[[#This Row],[Input]],Table1[[#This Row],[Direction]],""),VALUE(IF(LEN(_xlpm.steps)&gt;2,RIGHT(_xlpm.steps,2),_xlpm.steps)))</f>
        <v>5</v>
      </c>
      <c r="D2172">
        <f>_xlfn.LET(_xlpm.dir,Table1[[#This Row],[Direction]],
IF(_xlpm.dir="L",
    IF(F2171-Table1[[#This Row],[Steps]]&lt;0,100+(F2171-Table1[[#This Row],[Steps]]),F2171-Table1[[#This Row],[Steps]]),
))</f>
        <v>95</v>
      </c>
      <c r="E2172">
        <f>_xlfn.LET(_xlpm.dir,Table1[[#This Row],[Direction]],
IF(_xlpm.dir="R",
    IF(F2171+Table1[[#This Row],[Steps]]&gt;99,(F2171+Table1[[#This Row],[Steps]])-100,F2171+Table1[[#This Row],[Steps]]),
))</f>
        <v>0</v>
      </c>
      <c r="F2172">
        <f>IF(Table1[[#This Row],[New Pos L]]&lt;&gt;0,Table1[[#This Row],[New Pos L]],Table1[[#This Row],[New Pos R]])</f>
        <v>95</v>
      </c>
    </row>
    <row r="2173" spans="1:6" ht="16" x14ac:dyDescent="0.2">
      <c r="A2173" s="1" t="s">
        <v>576</v>
      </c>
      <c r="B2173" t="str">
        <f>LEFT(Table1[[#This Row],[Input]],1)</f>
        <v>R</v>
      </c>
      <c r="C2173">
        <f>_xlfn.LET(_xlpm.steps,SUBSTITUTE(Table1[[#This Row],[Input]],Table1[[#This Row],[Direction]],""),VALUE(IF(LEN(_xlpm.steps)&gt;2,RIGHT(_xlpm.steps,2),_xlpm.steps)))</f>
        <v>67</v>
      </c>
      <c r="D2173">
        <f>_xlfn.LET(_xlpm.dir,Table1[[#This Row],[Direction]],
IF(_xlpm.dir="L",
    IF(F2172-Table1[[#This Row],[Steps]]&lt;0,100+(F2172-Table1[[#This Row],[Steps]]),F2172-Table1[[#This Row],[Steps]]),
))</f>
        <v>0</v>
      </c>
      <c r="E2173">
        <f>_xlfn.LET(_xlpm.dir,Table1[[#This Row],[Direction]],
IF(_xlpm.dir="R",
    IF(F2172+Table1[[#This Row],[Steps]]&gt;99,(F2172+Table1[[#This Row],[Steps]])-100,F2172+Table1[[#This Row],[Steps]]),
))</f>
        <v>62</v>
      </c>
      <c r="F2173">
        <f>IF(Table1[[#This Row],[New Pos L]]&lt;&gt;0,Table1[[#This Row],[New Pos L]],Table1[[#This Row],[New Pos R]])</f>
        <v>62</v>
      </c>
    </row>
    <row r="2174" spans="1:6" ht="16" x14ac:dyDescent="0.2">
      <c r="A2174" s="1" t="s">
        <v>212</v>
      </c>
      <c r="B2174" t="str">
        <f>LEFT(Table1[[#This Row],[Input]],1)</f>
        <v>R</v>
      </c>
      <c r="C2174">
        <f>_xlfn.LET(_xlpm.steps,SUBSTITUTE(Table1[[#This Row],[Input]],Table1[[#This Row],[Direction]],""),VALUE(IF(LEN(_xlpm.steps)&gt;2,RIGHT(_xlpm.steps,2),_xlpm.steps)))</f>
        <v>77</v>
      </c>
      <c r="D2174">
        <f>_xlfn.LET(_xlpm.dir,Table1[[#This Row],[Direction]],
IF(_xlpm.dir="L",
    IF(F2173-Table1[[#This Row],[Steps]]&lt;0,100+(F2173-Table1[[#This Row],[Steps]]),F2173-Table1[[#This Row],[Steps]]),
))</f>
        <v>0</v>
      </c>
      <c r="E2174">
        <f>_xlfn.LET(_xlpm.dir,Table1[[#This Row],[Direction]],
IF(_xlpm.dir="R",
    IF(F2173+Table1[[#This Row],[Steps]]&gt;99,(F2173+Table1[[#This Row],[Steps]])-100,F2173+Table1[[#This Row],[Steps]]),
))</f>
        <v>39</v>
      </c>
      <c r="F2174">
        <f>IF(Table1[[#This Row],[New Pos L]]&lt;&gt;0,Table1[[#This Row],[New Pos L]],Table1[[#This Row],[New Pos R]])</f>
        <v>39</v>
      </c>
    </row>
    <row r="2175" spans="1:6" ht="16" x14ac:dyDescent="0.2">
      <c r="A2175" s="1" t="s">
        <v>145</v>
      </c>
      <c r="B2175" t="str">
        <f>LEFT(Table1[[#This Row],[Input]],1)</f>
        <v>L</v>
      </c>
      <c r="C2175">
        <f>_xlfn.LET(_xlpm.steps,SUBSTITUTE(Table1[[#This Row],[Input]],Table1[[#This Row],[Direction]],""),VALUE(IF(LEN(_xlpm.steps)&gt;2,RIGHT(_xlpm.steps,2),_xlpm.steps)))</f>
        <v>83</v>
      </c>
      <c r="D2175">
        <f>_xlfn.LET(_xlpm.dir,Table1[[#This Row],[Direction]],
IF(_xlpm.dir="L",
    IF(F2174-Table1[[#This Row],[Steps]]&lt;0,100+(F2174-Table1[[#This Row],[Steps]]),F2174-Table1[[#This Row],[Steps]]),
))</f>
        <v>56</v>
      </c>
      <c r="E2175">
        <f>_xlfn.LET(_xlpm.dir,Table1[[#This Row],[Direction]],
IF(_xlpm.dir="R",
    IF(F2174+Table1[[#This Row],[Steps]]&gt;99,(F2174+Table1[[#This Row],[Steps]])-100,F2174+Table1[[#This Row],[Steps]]),
))</f>
        <v>0</v>
      </c>
      <c r="F2175">
        <f>IF(Table1[[#This Row],[New Pos L]]&lt;&gt;0,Table1[[#This Row],[New Pos L]],Table1[[#This Row],[New Pos R]])</f>
        <v>56</v>
      </c>
    </row>
    <row r="2176" spans="1:6" ht="16" x14ac:dyDescent="0.2">
      <c r="A2176" s="1" t="s">
        <v>437</v>
      </c>
      <c r="B2176" t="str">
        <f>LEFT(Table1[[#This Row],[Input]],1)</f>
        <v>L</v>
      </c>
      <c r="C2176">
        <f>_xlfn.LET(_xlpm.steps,SUBSTITUTE(Table1[[#This Row],[Input]],Table1[[#This Row],[Direction]],""),VALUE(IF(LEN(_xlpm.steps)&gt;2,RIGHT(_xlpm.steps,2),_xlpm.steps)))</f>
        <v>56</v>
      </c>
      <c r="D2176">
        <f>_xlfn.LET(_xlpm.dir,Table1[[#This Row],[Direction]],
IF(_xlpm.dir="L",
    IF(F2175-Table1[[#This Row],[Steps]]&lt;0,100+(F2175-Table1[[#This Row],[Steps]]),F2175-Table1[[#This Row],[Steps]]),
))</f>
        <v>0</v>
      </c>
      <c r="E2176">
        <f>_xlfn.LET(_xlpm.dir,Table1[[#This Row],[Direction]],
IF(_xlpm.dir="R",
    IF(F2175+Table1[[#This Row],[Steps]]&gt;99,(F2175+Table1[[#This Row],[Steps]])-100,F2175+Table1[[#This Row],[Steps]]),
))</f>
        <v>0</v>
      </c>
      <c r="F2176">
        <f>IF(Table1[[#This Row],[New Pos L]]&lt;&gt;0,Table1[[#This Row],[New Pos L]],Table1[[#This Row],[New Pos R]])</f>
        <v>0</v>
      </c>
    </row>
    <row r="2177" spans="1:6" ht="16" x14ac:dyDescent="0.2">
      <c r="A2177" s="1" t="s">
        <v>577</v>
      </c>
      <c r="B2177" t="str">
        <f>LEFT(Table1[[#This Row],[Input]],1)</f>
        <v>L</v>
      </c>
      <c r="C2177">
        <f>_xlfn.LET(_xlpm.steps,SUBSTITUTE(Table1[[#This Row],[Input]],Table1[[#This Row],[Direction]],""),VALUE(IF(LEN(_xlpm.steps)&gt;2,RIGHT(_xlpm.steps,2),_xlpm.steps)))</f>
        <v>88</v>
      </c>
      <c r="D2177">
        <f>_xlfn.LET(_xlpm.dir,Table1[[#This Row],[Direction]],
IF(_xlpm.dir="L",
    IF(F2176-Table1[[#This Row],[Steps]]&lt;0,100+(F2176-Table1[[#This Row],[Steps]]),F2176-Table1[[#This Row],[Steps]]),
))</f>
        <v>12</v>
      </c>
      <c r="E2177">
        <f>_xlfn.LET(_xlpm.dir,Table1[[#This Row],[Direction]],
IF(_xlpm.dir="R",
    IF(F2176+Table1[[#This Row],[Steps]]&gt;99,(F2176+Table1[[#This Row],[Steps]])-100,F2176+Table1[[#This Row],[Steps]]),
))</f>
        <v>0</v>
      </c>
      <c r="F2177">
        <f>IF(Table1[[#This Row],[New Pos L]]&lt;&gt;0,Table1[[#This Row],[New Pos L]],Table1[[#This Row],[New Pos R]])</f>
        <v>12</v>
      </c>
    </row>
    <row r="2178" spans="1:6" ht="16" x14ac:dyDescent="0.2">
      <c r="A2178" s="1" t="s">
        <v>88</v>
      </c>
      <c r="B2178" t="str">
        <f>LEFT(Table1[[#This Row],[Input]],1)</f>
        <v>R</v>
      </c>
      <c r="C2178">
        <f>_xlfn.LET(_xlpm.steps,SUBSTITUTE(Table1[[#This Row],[Input]],Table1[[#This Row],[Direction]],""),VALUE(IF(LEN(_xlpm.steps)&gt;2,RIGHT(_xlpm.steps,2),_xlpm.steps)))</f>
        <v>53</v>
      </c>
      <c r="D2178">
        <f>_xlfn.LET(_xlpm.dir,Table1[[#This Row],[Direction]],
IF(_xlpm.dir="L",
    IF(F2177-Table1[[#This Row],[Steps]]&lt;0,100+(F2177-Table1[[#This Row],[Steps]]),F2177-Table1[[#This Row],[Steps]]),
))</f>
        <v>0</v>
      </c>
      <c r="E2178">
        <f>_xlfn.LET(_xlpm.dir,Table1[[#This Row],[Direction]],
IF(_xlpm.dir="R",
    IF(F2177+Table1[[#This Row],[Steps]]&gt;99,(F2177+Table1[[#This Row],[Steps]])-100,F2177+Table1[[#This Row],[Steps]]),
))</f>
        <v>65</v>
      </c>
      <c r="F2178">
        <f>IF(Table1[[#This Row],[New Pos L]]&lt;&gt;0,Table1[[#This Row],[New Pos L]],Table1[[#This Row],[New Pos R]])</f>
        <v>65</v>
      </c>
    </row>
    <row r="2179" spans="1:6" ht="16" x14ac:dyDescent="0.2">
      <c r="A2179" s="1" t="s">
        <v>578</v>
      </c>
      <c r="B2179" t="str">
        <f>LEFT(Table1[[#This Row],[Input]],1)</f>
        <v>L</v>
      </c>
      <c r="C2179">
        <f>_xlfn.LET(_xlpm.steps,SUBSTITUTE(Table1[[#This Row],[Input]],Table1[[#This Row],[Direction]],""),VALUE(IF(LEN(_xlpm.steps)&gt;2,RIGHT(_xlpm.steps,2),_xlpm.steps)))</f>
        <v>45</v>
      </c>
      <c r="D2179">
        <f>_xlfn.LET(_xlpm.dir,Table1[[#This Row],[Direction]],
IF(_xlpm.dir="L",
    IF(F2178-Table1[[#This Row],[Steps]]&lt;0,100+(F2178-Table1[[#This Row],[Steps]]),F2178-Table1[[#This Row],[Steps]]),
))</f>
        <v>20</v>
      </c>
      <c r="E2179">
        <f>_xlfn.LET(_xlpm.dir,Table1[[#This Row],[Direction]],
IF(_xlpm.dir="R",
    IF(F2178+Table1[[#This Row],[Steps]]&gt;99,(F2178+Table1[[#This Row],[Steps]])-100,F2178+Table1[[#This Row],[Steps]]),
))</f>
        <v>0</v>
      </c>
      <c r="F2179">
        <f>IF(Table1[[#This Row],[New Pos L]]&lt;&gt;0,Table1[[#This Row],[New Pos L]],Table1[[#This Row],[New Pos R]])</f>
        <v>20</v>
      </c>
    </row>
    <row r="2180" spans="1:6" ht="16" x14ac:dyDescent="0.2">
      <c r="A2180" s="1" t="s">
        <v>325</v>
      </c>
      <c r="B2180" t="str">
        <f>LEFT(Table1[[#This Row],[Input]],1)</f>
        <v>L</v>
      </c>
      <c r="C2180">
        <f>_xlfn.LET(_xlpm.steps,SUBSTITUTE(Table1[[#This Row],[Input]],Table1[[#This Row],[Direction]],""),VALUE(IF(LEN(_xlpm.steps)&gt;2,RIGHT(_xlpm.steps,2),_xlpm.steps)))</f>
        <v>68</v>
      </c>
      <c r="D2180">
        <f>_xlfn.LET(_xlpm.dir,Table1[[#This Row],[Direction]],
IF(_xlpm.dir="L",
    IF(F2179-Table1[[#This Row],[Steps]]&lt;0,100+(F2179-Table1[[#This Row],[Steps]]),F2179-Table1[[#This Row],[Steps]]),
))</f>
        <v>52</v>
      </c>
      <c r="E2180">
        <f>_xlfn.LET(_xlpm.dir,Table1[[#This Row],[Direction]],
IF(_xlpm.dir="R",
    IF(F2179+Table1[[#This Row],[Steps]]&gt;99,(F2179+Table1[[#This Row],[Steps]])-100,F2179+Table1[[#This Row],[Steps]]),
))</f>
        <v>0</v>
      </c>
      <c r="F2180">
        <f>IF(Table1[[#This Row],[New Pos L]]&lt;&gt;0,Table1[[#This Row],[New Pos L]],Table1[[#This Row],[New Pos R]])</f>
        <v>52</v>
      </c>
    </row>
    <row r="2181" spans="1:6" ht="16" x14ac:dyDescent="0.2">
      <c r="A2181" s="1" t="s">
        <v>119</v>
      </c>
      <c r="B2181" t="str">
        <f>LEFT(Table1[[#This Row],[Input]],1)</f>
        <v>L</v>
      </c>
      <c r="C2181">
        <f>_xlfn.LET(_xlpm.steps,SUBSTITUTE(Table1[[#This Row],[Input]],Table1[[#This Row],[Direction]],""),VALUE(IF(LEN(_xlpm.steps)&gt;2,RIGHT(_xlpm.steps,2),_xlpm.steps)))</f>
        <v>77</v>
      </c>
      <c r="D2181">
        <f>_xlfn.LET(_xlpm.dir,Table1[[#This Row],[Direction]],
IF(_xlpm.dir="L",
    IF(F2180-Table1[[#This Row],[Steps]]&lt;0,100+(F2180-Table1[[#This Row],[Steps]]),F2180-Table1[[#This Row],[Steps]]),
))</f>
        <v>75</v>
      </c>
      <c r="E2181">
        <f>_xlfn.LET(_xlpm.dir,Table1[[#This Row],[Direction]],
IF(_xlpm.dir="R",
    IF(F2180+Table1[[#This Row],[Steps]]&gt;99,(F2180+Table1[[#This Row],[Steps]])-100,F2180+Table1[[#This Row],[Steps]]),
))</f>
        <v>0</v>
      </c>
      <c r="F2181">
        <f>IF(Table1[[#This Row],[New Pos L]]&lt;&gt;0,Table1[[#This Row],[New Pos L]],Table1[[#This Row],[New Pos R]])</f>
        <v>75</v>
      </c>
    </row>
    <row r="2182" spans="1:6" ht="16" x14ac:dyDescent="0.2">
      <c r="A2182" s="1" t="s">
        <v>188</v>
      </c>
      <c r="B2182" t="str">
        <f>LEFT(Table1[[#This Row],[Input]],1)</f>
        <v>R</v>
      </c>
      <c r="C2182">
        <f>_xlfn.LET(_xlpm.steps,SUBSTITUTE(Table1[[#This Row],[Input]],Table1[[#This Row],[Direction]],""),VALUE(IF(LEN(_xlpm.steps)&gt;2,RIGHT(_xlpm.steps,2),_xlpm.steps)))</f>
        <v>5</v>
      </c>
      <c r="D2182">
        <f>_xlfn.LET(_xlpm.dir,Table1[[#This Row],[Direction]],
IF(_xlpm.dir="L",
    IF(F2181-Table1[[#This Row],[Steps]]&lt;0,100+(F2181-Table1[[#This Row],[Steps]]),F2181-Table1[[#This Row],[Steps]]),
))</f>
        <v>0</v>
      </c>
      <c r="E2182">
        <f>_xlfn.LET(_xlpm.dir,Table1[[#This Row],[Direction]],
IF(_xlpm.dir="R",
    IF(F2181+Table1[[#This Row],[Steps]]&gt;99,(F2181+Table1[[#This Row],[Steps]])-100,F2181+Table1[[#This Row],[Steps]]),
))</f>
        <v>80</v>
      </c>
      <c r="F2182">
        <f>IF(Table1[[#This Row],[New Pos L]]&lt;&gt;0,Table1[[#This Row],[New Pos L]],Table1[[#This Row],[New Pos R]])</f>
        <v>80</v>
      </c>
    </row>
    <row r="2183" spans="1:6" ht="16" x14ac:dyDescent="0.2">
      <c r="A2183" s="1" t="s">
        <v>68</v>
      </c>
      <c r="B2183" t="str">
        <f>LEFT(Table1[[#This Row],[Input]],1)</f>
        <v>L</v>
      </c>
      <c r="C2183">
        <f>_xlfn.LET(_xlpm.steps,SUBSTITUTE(Table1[[#This Row],[Input]],Table1[[#This Row],[Direction]],""),VALUE(IF(LEN(_xlpm.steps)&gt;2,RIGHT(_xlpm.steps,2),_xlpm.steps)))</f>
        <v>80</v>
      </c>
      <c r="D2183">
        <f>_xlfn.LET(_xlpm.dir,Table1[[#This Row],[Direction]],
IF(_xlpm.dir="L",
    IF(F2182-Table1[[#This Row],[Steps]]&lt;0,100+(F2182-Table1[[#This Row],[Steps]]),F2182-Table1[[#This Row],[Steps]]),
))</f>
        <v>0</v>
      </c>
      <c r="E2183">
        <f>_xlfn.LET(_xlpm.dir,Table1[[#This Row],[Direction]],
IF(_xlpm.dir="R",
    IF(F2182+Table1[[#This Row],[Steps]]&gt;99,(F2182+Table1[[#This Row],[Steps]])-100,F2182+Table1[[#This Row],[Steps]]),
))</f>
        <v>0</v>
      </c>
      <c r="F2183">
        <f>IF(Table1[[#This Row],[New Pos L]]&lt;&gt;0,Table1[[#This Row],[New Pos L]],Table1[[#This Row],[New Pos R]])</f>
        <v>0</v>
      </c>
    </row>
    <row r="2184" spans="1:6" ht="16" x14ac:dyDescent="0.2">
      <c r="A2184" s="1" t="s">
        <v>579</v>
      </c>
      <c r="B2184" t="str">
        <f>LEFT(Table1[[#This Row],[Input]],1)</f>
        <v>L</v>
      </c>
      <c r="C2184">
        <f>_xlfn.LET(_xlpm.steps,SUBSTITUTE(Table1[[#This Row],[Input]],Table1[[#This Row],[Direction]],""),VALUE(IF(LEN(_xlpm.steps)&gt;2,RIGHT(_xlpm.steps,2),_xlpm.steps)))</f>
        <v>6</v>
      </c>
      <c r="D2184">
        <f>_xlfn.LET(_xlpm.dir,Table1[[#This Row],[Direction]],
IF(_xlpm.dir="L",
    IF(F2183-Table1[[#This Row],[Steps]]&lt;0,100+(F2183-Table1[[#This Row],[Steps]]),F2183-Table1[[#This Row],[Steps]]),
))</f>
        <v>94</v>
      </c>
      <c r="E2184">
        <f>_xlfn.LET(_xlpm.dir,Table1[[#This Row],[Direction]],
IF(_xlpm.dir="R",
    IF(F2183+Table1[[#This Row],[Steps]]&gt;99,(F2183+Table1[[#This Row],[Steps]])-100,F2183+Table1[[#This Row],[Steps]]),
))</f>
        <v>0</v>
      </c>
      <c r="F2184">
        <f>IF(Table1[[#This Row],[New Pos L]]&lt;&gt;0,Table1[[#This Row],[New Pos L]],Table1[[#This Row],[New Pos R]])</f>
        <v>94</v>
      </c>
    </row>
    <row r="2185" spans="1:6" ht="16" x14ac:dyDescent="0.2">
      <c r="A2185" s="1" t="s">
        <v>23</v>
      </c>
      <c r="B2185" t="str">
        <f>LEFT(Table1[[#This Row],[Input]],1)</f>
        <v>L</v>
      </c>
      <c r="C2185">
        <f>_xlfn.LET(_xlpm.steps,SUBSTITUTE(Table1[[#This Row],[Input]],Table1[[#This Row],[Direction]],""),VALUE(IF(LEN(_xlpm.steps)&gt;2,RIGHT(_xlpm.steps,2),_xlpm.steps)))</f>
        <v>8</v>
      </c>
      <c r="D2185">
        <f>_xlfn.LET(_xlpm.dir,Table1[[#This Row],[Direction]],
IF(_xlpm.dir="L",
    IF(F2184-Table1[[#This Row],[Steps]]&lt;0,100+(F2184-Table1[[#This Row],[Steps]]),F2184-Table1[[#This Row],[Steps]]),
))</f>
        <v>86</v>
      </c>
      <c r="E2185">
        <f>_xlfn.LET(_xlpm.dir,Table1[[#This Row],[Direction]],
IF(_xlpm.dir="R",
    IF(F2184+Table1[[#This Row],[Steps]]&gt;99,(F2184+Table1[[#This Row],[Steps]])-100,F2184+Table1[[#This Row],[Steps]]),
))</f>
        <v>0</v>
      </c>
      <c r="F2185">
        <f>IF(Table1[[#This Row],[New Pos L]]&lt;&gt;0,Table1[[#This Row],[New Pos L]],Table1[[#This Row],[New Pos R]])</f>
        <v>86</v>
      </c>
    </row>
    <row r="2186" spans="1:6" ht="16" x14ac:dyDescent="0.2">
      <c r="A2186" s="1" t="s">
        <v>7</v>
      </c>
      <c r="B2186" t="str">
        <f>LEFT(Table1[[#This Row],[Input]],1)</f>
        <v>R</v>
      </c>
      <c r="C2186">
        <f>_xlfn.LET(_xlpm.steps,SUBSTITUTE(Table1[[#This Row],[Input]],Table1[[#This Row],[Direction]],""),VALUE(IF(LEN(_xlpm.steps)&gt;2,RIGHT(_xlpm.steps,2),_xlpm.steps)))</f>
        <v>14</v>
      </c>
      <c r="D2186">
        <f>_xlfn.LET(_xlpm.dir,Table1[[#This Row],[Direction]],
IF(_xlpm.dir="L",
    IF(F2185-Table1[[#This Row],[Steps]]&lt;0,100+(F2185-Table1[[#This Row],[Steps]]),F2185-Table1[[#This Row],[Steps]]),
))</f>
        <v>0</v>
      </c>
      <c r="E2186">
        <f>_xlfn.LET(_xlpm.dir,Table1[[#This Row],[Direction]],
IF(_xlpm.dir="R",
    IF(F2185+Table1[[#This Row],[Steps]]&gt;99,(F2185+Table1[[#This Row],[Steps]])-100,F2185+Table1[[#This Row],[Steps]]),
))</f>
        <v>0</v>
      </c>
      <c r="F2186">
        <f>IF(Table1[[#This Row],[New Pos L]]&lt;&gt;0,Table1[[#This Row],[New Pos L]],Table1[[#This Row],[New Pos R]])</f>
        <v>0</v>
      </c>
    </row>
    <row r="2187" spans="1:6" ht="16" x14ac:dyDescent="0.2">
      <c r="A2187" s="1" t="s">
        <v>127</v>
      </c>
      <c r="B2187" t="str">
        <f>LEFT(Table1[[#This Row],[Input]],1)</f>
        <v>L</v>
      </c>
      <c r="C2187">
        <f>_xlfn.LET(_xlpm.steps,SUBSTITUTE(Table1[[#This Row],[Input]],Table1[[#This Row],[Direction]],""),VALUE(IF(LEN(_xlpm.steps)&gt;2,RIGHT(_xlpm.steps,2),_xlpm.steps)))</f>
        <v>62</v>
      </c>
      <c r="D2187">
        <f>_xlfn.LET(_xlpm.dir,Table1[[#This Row],[Direction]],
IF(_xlpm.dir="L",
    IF(F2186-Table1[[#This Row],[Steps]]&lt;0,100+(F2186-Table1[[#This Row],[Steps]]),F2186-Table1[[#This Row],[Steps]]),
))</f>
        <v>38</v>
      </c>
      <c r="E2187">
        <f>_xlfn.LET(_xlpm.dir,Table1[[#This Row],[Direction]],
IF(_xlpm.dir="R",
    IF(F2186+Table1[[#This Row],[Steps]]&gt;99,(F2186+Table1[[#This Row],[Steps]])-100,F2186+Table1[[#This Row],[Steps]]),
))</f>
        <v>0</v>
      </c>
      <c r="F2187">
        <f>IF(Table1[[#This Row],[New Pos L]]&lt;&gt;0,Table1[[#This Row],[New Pos L]],Table1[[#This Row],[New Pos R]])</f>
        <v>38</v>
      </c>
    </row>
    <row r="2188" spans="1:6" ht="16" x14ac:dyDescent="0.2">
      <c r="A2188" s="1" t="s">
        <v>110</v>
      </c>
      <c r="B2188" t="str">
        <f>LEFT(Table1[[#This Row],[Input]],1)</f>
        <v>L</v>
      </c>
      <c r="C2188">
        <f>_xlfn.LET(_xlpm.steps,SUBSTITUTE(Table1[[#This Row],[Input]],Table1[[#This Row],[Direction]],""),VALUE(IF(LEN(_xlpm.steps)&gt;2,RIGHT(_xlpm.steps,2),_xlpm.steps)))</f>
        <v>81</v>
      </c>
      <c r="D2188">
        <f>_xlfn.LET(_xlpm.dir,Table1[[#This Row],[Direction]],
IF(_xlpm.dir="L",
    IF(F2187-Table1[[#This Row],[Steps]]&lt;0,100+(F2187-Table1[[#This Row],[Steps]]),F2187-Table1[[#This Row],[Steps]]),
))</f>
        <v>57</v>
      </c>
      <c r="E2188">
        <f>_xlfn.LET(_xlpm.dir,Table1[[#This Row],[Direction]],
IF(_xlpm.dir="R",
    IF(F2187+Table1[[#This Row],[Steps]]&gt;99,(F2187+Table1[[#This Row],[Steps]])-100,F2187+Table1[[#This Row],[Steps]]),
))</f>
        <v>0</v>
      </c>
      <c r="F2188">
        <f>IF(Table1[[#This Row],[New Pos L]]&lt;&gt;0,Table1[[#This Row],[New Pos L]],Table1[[#This Row],[New Pos R]])</f>
        <v>57</v>
      </c>
    </row>
    <row r="2189" spans="1:6" ht="16" x14ac:dyDescent="0.2">
      <c r="A2189" s="1" t="s">
        <v>72</v>
      </c>
      <c r="B2189" t="str">
        <f>LEFT(Table1[[#This Row],[Input]],1)</f>
        <v>R</v>
      </c>
      <c r="C2189">
        <f>_xlfn.LET(_xlpm.steps,SUBSTITUTE(Table1[[#This Row],[Input]],Table1[[#This Row],[Direction]],""),VALUE(IF(LEN(_xlpm.steps)&gt;2,RIGHT(_xlpm.steps,2),_xlpm.steps)))</f>
        <v>43</v>
      </c>
      <c r="D2189">
        <f>_xlfn.LET(_xlpm.dir,Table1[[#This Row],[Direction]],
IF(_xlpm.dir="L",
    IF(F2188-Table1[[#This Row],[Steps]]&lt;0,100+(F2188-Table1[[#This Row],[Steps]]),F2188-Table1[[#This Row],[Steps]]),
))</f>
        <v>0</v>
      </c>
      <c r="E2189">
        <f>_xlfn.LET(_xlpm.dir,Table1[[#This Row],[Direction]],
IF(_xlpm.dir="R",
    IF(F2188+Table1[[#This Row],[Steps]]&gt;99,(F2188+Table1[[#This Row],[Steps]])-100,F2188+Table1[[#This Row],[Steps]]),
))</f>
        <v>0</v>
      </c>
      <c r="F2189">
        <f>IF(Table1[[#This Row],[New Pos L]]&lt;&gt;0,Table1[[#This Row],[New Pos L]],Table1[[#This Row],[New Pos R]])</f>
        <v>0</v>
      </c>
    </row>
    <row r="2190" spans="1:6" ht="16" x14ac:dyDescent="0.2">
      <c r="A2190" s="1" t="s">
        <v>134</v>
      </c>
      <c r="B2190" t="str">
        <f>LEFT(Table1[[#This Row],[Input]],1)</f>
        <v>L</v>
      </c>
      <c r="C2190">
        <f>_xlfn.LET(_xlpm.steps,SUBSTITUTE(Table1[[#This Row],[Input]],Table1[[#This Row],[Direction]],""),VALUE(IF(LEN(_xlpm.steps)&gt;2,RIGHT(_xlpm.steps,2),_xlpm.steps)))</f>
        <v>95</v>
      </c>
      <c r="D2190">
        <f>_xlfn.LET(_xlpm.dir,Table1[[#This Row],[Direction]],
IF(_xlpm.dir="L",
    IF(F2189-Table1[[#This Row],[Steps]]&lt;0,100+(F2189-Table1[[#This Row],[Steps]]),F2189-Table1[[#This Row],[Steps]]),
))</f>
        <v>5</v>
      </c>
      <c r="E2190">
        <f>_xlfn.LET(_xlpm.dir,Table1[[#This Row],[Direction]],
IF(_xlpm.dir="R",
    IF(F2189+Table1[[#This Row],[Steps]]&gt;99,(F2189+Table1[[#This Row],[Steps]])-100,F2189+Table1[[#This Row],[Steps]]),
))</f>
        <v>0</v>
      </c>
      <c r="F2190">
        <f>IF(Table1[[#This Row],[New Pos L]]&lt;&gt;0,Table1[[#This Row],[New Pos L]],Table1[[#This Row],[New Pos R]])</f>
        <v>5</v>
      </c>
    </row>
    <row r="2191" spans="1:6" ht="16" x14ac:dyDescent="0.2">
      <c r="A2191" s="1" t="s">
        <v>47</v>
      </c>
      <c r="B2191" t="str">
        <f>LEFT(Table1[[#This Row],[Input]],1)</f>
        <v>R</v>
      </c>
      <c r="C2191">
        <f>_xlfn.LET(_xlpm.steps,SUBSTITUTE(Table1[[#This Row],[Input]],Table1[[#This Row],[Direction]],""),VALUE(IF(LEN(_xlpm.steps)&gt;2,RIGHT(_xlpm.steps,2),_xlpm.steps)))</f>
        <v>97</v>
      </c>
      <c r="D2191">
        <f>_xlfn.LET(_xlpm.dir,Table1[[#This Row],[Direction]],
IF(_xlpm.dir="L",
    IF(F2190-Table1[[#This Row],[Steps]]&lt;0,100+(F2190-Table1[[#This Row],[Steps]]),F2190-Table1[[#This Row],[Steps]]),
))</f>
        <v>0</v>
      </c>
      <c r="E2191">
        <f>_xlfn.LET(_xlpm.dir,Table1[[#This Row],[Direction]],
IF(_xlpm.dir="R",
    IF(F2190+Table1[[#This Row],[Steps]]&gt;99,(F2190+Table1[[#This Row],[Steps]])-100,F2190+Table1[[#This Row],[Steps]]),
))</f>
        <v>2</v>
      </c>
      <c r="F2191">
        <f>IF(Table1[[#This Row],[New Pos L]]&lt;&gt;0,Table1[[#This Row],[New Pos L]],Table1[[#This Row],[New Pos R]])</f>
        <v>2</v>
      </c>
    </row>
    <row r="2192" spans="1:6" ht="16" x14ac:dyDescent="0.2">
      <c r="A2192" s="1" t="s">
        <v>257</v>
      </c>
      <c r="B2192" t="str">
        <f>LEFT(Table1[[#This Row],[Input]],1)</f>
        <v>R</v>
      </c>
      <c r="C2192">
        <f>_xlfn.LET(_xlpm.steps,SUBSTITUTE(Table1[[#This Row],[Input]],Table1[[#This Row],[Direction]],""),VALUE(IF(LEN(_xlpm.steps)&gt;2,RIGHT(_xlpm.steps,2),_xlpm.steps)))</f>
        <v>27</v>
      </c>
      <c r="D2192">
        <f>_xlfn.LET(_xlpm.dir,Table1[[#This Row],[Direction]],
IF(_xlpm.dir="L",
    IF(F2191-Table1[[#This Row],[Steps]]&lt;0,100+(F2191-Table1[[#This Row],[Steps]]),F2191-Table1[[#This Row],[Steps]]),
))</f>
        <v>0</v>
      </c>
      <c r="E2192">
        <f>_xlfn.LET(_xlpm.dir,Table1[[#This Row],[Direction]],
IF(_xlpm.dir="R",
    IF(F2191+Table1[[#This Row],[Steps]]&gt;99,(F2191+Table1[[#This Row],[Steps]])-100,F2191+Table1[[#This Row],[Steps]]),
))</f>
        <v>29</v>
      </c>
      <c r="F2192">
        <f>IF(Table1[[#This Row],[New Pos L]]&lt;&gt;0,Table1[[#This Row],[New Pos L]],Table1[[#This Row],[New Pos R]])</f>
        <v>29</v>
      </c>
    </row>
    <row r="2193" spans="1:6" ht="16" x14ac:dyDescent="0.2">
      <c r="A2193" s="1" t="s">
        <v>296</v>
      </c>
      <c r="B2193" t="str">
        <f>LEFT(Table1[[#This Row],[Input]],1)</f>
        <v>R</v>
      </c>
      <c r="C2193">
        <f>_xlfn.LET(_xlpm.steps,SUBSTITUTE(Table1[[#This Row],[Input]],Table1[[#This Row],[Direction]],""),VALUE(IF(LEN(_xlpm.steps)&gt;2,RIGHT(_xlpm.steps,2),_xlpm.steps)))</f>
        <v>19</v>
      </c>
      <c r="D2193">
        <f>_xlfn.LET(_xlpm.dir,Table1[[#This Row],[Direction]],
IF(_xlpm.dir="L",
    IF(F2192-Table1[[#This Row],[Steps]]&lt;0,100+(F2192-Table1[[#This Row],[Steps]]),F2192-Table1[[#This Row],[Steps]]),
))</f>
        <v>0</v>
      </c>
      <c r="E2193">
        <f>_xlfn.LET(_xlpm.dir,Table1[[#This Row],[Direction]],
IF(_xlpm.dir="R",
    IF(F2192+Table1[[#This Row],[Steps]]&gt;99,(F2192+Table1[[#This Row],[Steps]])-100,F2192+Table1[[#This Row],[Steps]]),
))</f>
        <v>48</v>
      </c>
      <c r="F2193">
        <f>IF(Table1[[#This Row],[New Pos L]]&lt;&gt;0,Table1[[#This Row],[New Pos L]],Table1[[#This Row],[New Pos R]])</f>
        <v>48</v>
      </c>
    </row>
    <row r="2194" spans="1:6" ht="16" x14ac:dyDescent="0.2">
      <c r="A2194" s="1" t="s">
        <v>580</v>
      </c>
      <c r="B2194" t="str">
        <f>LEFT(Table1[[#This Row],[Input]],1)</f>
        <v>L</v>
      </c>
      <c r="C2194">
        <f>_xlfn.LET(_xlpm.steps,SUBSTITUTE(Table1[[#This Row],[Input]],Table1[[#This Row],[Direction]],""),VALUE(IF(LEN(_xlpm.steps)&gt;2,RIGHT(_xlpm.steps,2),_xlpm.steps)))</f>
        <v>51</v>
      </c>
      <c r="D2194">
        <f>_xlfn.LET(_xlpm.dir,Table1[[#This Row],[Direction]],
IF(_xlpm.dir="L",
    IF(F2193-Table1[[#This Row],[Steps]]&lt;0,100+(F2193-Table1[[#This Row],[Steps]]),F2193-Table1[[#This Row],[Steps]]),
))</f>
        <v>97</v>
      </c>
      <c r="E2194">
        <f>_xlfn.LET(_xlpm.dir,Table1[[#This Row],[Direction]],
IF(_xlpm.dir="R",
    IF(F2193+Table1[[#This Row],[Steps]]&gt;99,(F2193+Table1[[#This Row],[Steps]])-100,F2193+Table1[[#This Row],[Steps]]),
))</f>
        <v>0</v>
      </c>
      <c r="F2194">
        <f>IF(Table1[[#This Row],[New Pos L]]&lt;&gt;0,Table1[[#This Row],[New Pos L]],Table1[[#This Row],[New Pos R]])</f>
        <v>97</v>
      </c>
    </row>
    <row r="2195" spans="1:6" ht="16" x14ac:dyDescent="0.2">
      <c r="A2195" s="1" t="s">
        <v>4</v>
      </c>
      <c r="B2195" t="str">
        <f>LEFT(Table1[[#This Row],[Input]],1)</f>
        <v>R</v>
      </c>
      <c r="C2195">
        <f>_xlfn.LET(_xlpm.steps,SUBSTITUTE(Table1[[#This Row],[Input]],Table1[[#This Row],[Direction]],""),VALUE(IF(LEN(_xlpm.steps)&gt;2,RIGHT(_xlpm.steps,2),_xlpm.steps)))</f>
        <v>3</v>
      </c>
      <c r="D2195">
        <f>_xlfn.LET(_xlpm.dir,Table1[[#This Row],[Direction]],
IF(_xlpm.dir="L",
    IF(F2194-Table1[[#This Row],[Steps]]&lt;0,100+(F2194-Table1[[#This Row],[Steps]]),F2194-Table1[[#This Row],[Steps]]),
))</f>
        <v>0</v>
      </c>
      <c r="E2195">
        <f>_xlfn.LET(_xlpm.dir,Table1[[#This Row],[Direction]],
IF(_xlpm.dir="R",
    IF(F2194+Table1[[#This Row],[Steps]]&gt;99,(F2194+Table1[[#This Row],[Steps]])-100,F2194+Table1[[#This Row],[Steps]]),
))</f>
        <v>0</v>
      </c>
      <c r="F2195">
        <f>IF(Table1[[#This Row],[New Pos L]]&lt;&gt;0,Table1[[#This Row],[New Pos L]],Table1[[#This Row],[New Pos R]])</f>
        <v>0</v>
      </c>
    </row>
    <row r="2196" spans="1:6" ht="16" x14ac:dyDescent="0.2">
      <c r="A2196" s="1" t="s">
        <v>581</v>
      </c>
      <c r="B2196" t="str">
        <f>LEFT(Table1[[#This Row],[Input]],1)</f>
        <v>L</v>
      </c>
      <c r="C2196">
        <f>_xlfn.LET(_xlpm.steps,SUBSTITUTE(Table1[[#This Row],[Input]],Table1[[#This Row],[Direction]],""),VALUE(IF(LEN(_xlpm.steps)&gt;2,RIGHT(_xlpm.steps,2),_xlpm.steps)))</f>
        <v>86</v>
      </c>
      <c r="D2196">
        <f>_xlfn.LET(_xlpm.dir,Table1[[#This Row],[Direction]],
IF(_xlpm.dir="L",
    IF(F2195-Table1[[#This Row],[Steps]]&lt;0,100+(F2195-Table1[[#This Row],[Steps]]),F2195-Table1[[#This Row],[Steps]]),
))</f>
        <v>14</v>
      </c>
      <c r="E2196">
        <f>_xlfn.LET(_xlpm.dir,Table1[[#This Row],[Direction]],
IF(_xlpm.dir="R",
    IF(F2195+Table1[[#This Row],[Steps]]&gt;99,(F2195+Table1[[#This Row],[Steps]])-100,F2195+Table1[[#This Row],[Steps]]),
))</f>
        <v>0</v>
      </c>
      <c r="F2196">
        <f>IF(Table1[[#This Row],[New Pos L]]&lt;&gt;0,Table1[[#This Row],[New Pos L]],Table1[[#This Row],[New Pos R]])</f>
        <v>14</v>
      </c>
    </row>
    <row r="2197" spans="1:6" ht="16" x14ac:dyDescent="0.2">
      <c r="A2197" s="1" t="s">
        <v>27</v>
      </c>
      <c r="B2197" t="str">
        <f>LEFT(Table1[[#This Row],[Input]],1)</f>
        <v>L</v>
      </c>
      <c r="C2197">
        <f>_xlfn.LET(_xlpm.steps,SUBSTITUTE(Table1[[#This Row],[Input]],Table1[[#This Row],[Direction]],""),VALUE(IF(LEN(_xlpm.steps)&gt;2,RIGHT(_xlpm.steps,2),_xlpm.steps)))</f>
        <v>14</v>
      </c>
      <c r="D2197">
        <f>_xlfn.LET(_xlpm.dir,Table1[[#This Row],[Direction]],
IF(_xlpm.dir="L",
    IF(F2196-Table1[[#This Row],[Steps]]&lt;0,100+(F2196-Table1[[#This Row],[Steps]]),F2196-Table1[[#This Row],[Steps]]),
))</f>
        <v>0</v>
      </c>
      <c r="E2197">
        <f>_xlfn.LET(_xlpm.dir,Table1[[#This Row],[Direction]],
IF(_xlpm.dir="R",
    IF(F2196+Table1[[#This Row],[Steps]]&gt;99,(F2196+Table1[[#This Row],[Steps]])-100,F2196+Table1[[#This Row],[Steps]]),
))</f>
        <v>0</v>
      </c>
      <c r="F2197">
        <f>IF(Table1[[#This Row],[New Pos L]]&lt;&gt;0,Table1[[#This Row],[New Pos L]],Table1[[#This Row],[New Pos R]])</f>
        <v>0</v>
      </c>
    </row>
    <row r="2198" spans="1:6" ht="16" x14ac:dyDescent="0.2">
      <c r="A2198" s="1" t="s">
        <v>152</v>
      </c>
      <c r="B2198" t="str">
        <f>LEFT(Table1[[#This Row],[Input]],1)</f>
        <v>L</v>
      </c>
      <c r="C2198">
        <f>_xlfn.LET(_xlpm.steps,SUBSTITUTE(Table1[[#This Row],[Input]],Table1[[#This Row],[Direction]],""),VALUE(IF(LEN(_xlpm.steps)&gt;2,RIGHT(_xlpm.steps,2),_xlpm.steps)))</f>
        <v>92</v>
      </c>
      <c r="D2198">
        <f>_xlfn.LET(_xlpm.dir,Table1[[#This Row],[Direction]],
IF(_xlpm.dir="L",
    IF(F2197-Table1[[#This Row],[Steps]]&lt;0,100+(F2197-Table1[[#This Row],[Steps]]),F2197-Table1[[#This Row],[Steps]]),
))</f>
        <v>8</v>
      </c>
      <c r="E2198">
        <f>_xlfn.LET(_xlpm.dir,Table1[[#This Row],[Direction]],
IF(_xlpm.dir="R",
    IF(F2197+Table1[[#This Row],[Steps]]&gt;99,(F2197+Table1[[#This Row],[Steps]])-100,F2197+Table1[[#This Row],[Steps]]),
))</f>
        <v>0</v>
      </c>
      <c r="F2198">
        <f>IF(Table1[[#This Row],[New Pos L]]&lt;&gt;0,Table1[[#This Row],[New Pos L]],Table1[[#This Row],[New Pos R]])</f>
        <v>8</v>
      </c>
    </row>
    <row r="2199" spans="1:6" ht="16" x14ac:dyDescent="0.2">
      <c r="A2199" s="1" t="s">
        <v>350</v>
      </c>
      <c r="B2199" t="str">
        <f>LEFT(Table1[[#This Row],[Input]],1)</f>
        <v>R</v>
      </c>
      <c r="C2199">
        <f>_xlfn.LET(_xlpm.steps,SUBSTITUTE(Table1[[#This Row],[Input]],Table1[[#This Row],[Direction]],""),VALUE(IF(LEN(_xlpm.steps)&gt;2,RIGHT(_xlpm.steps,2),_xlpm.steps)))</f>
        <v>92</v>
      </c>
      <c r="D2199">
        <f>_xlfn.LET(_xlpm.dir,Table1[[#This Row],[Direction]],
IF(_xlpm.dir="L",
    IF(F2198-Table1[[#This Row],[Steps]]&lt;0,100+(F2198-Table1[[#This Row],[Steps]]),F2198-Table1[[#This Row],[Steps]]),
))</f>
        <v>0</v>
      </c>
      <c r="E2199">
        <f>_xlfn.LET(_xlpm.dir,Table1[[#This Row],[Direction]],
IF(_xlpm.dir="R",
    IF(F2198+Table1[[#This Row],[Steps]]&gt;99,(F2198+Table1[[#This Row],[Steps]])-100,F2198+Table1[[#This Row],[Steps]]),
))</f>
        <v>0</v>
      </c>
      <c r="F2199">
        <f>IF(Table1[[#This Row],[New Pos L]]&lt;&gt;0,Table1[[#This Row],[New Pos L]],Table1[[#This Row],[New Pos R]])</f>
        <v>0</v>
      </c>
    </row>
    <row r="2200" spans="1:6" ht="16" x14ac:dyDescent="0.2">
      <c r="A2200" s="1" t="s">
        <v>21</v>
      </c>
      <c r="B2200" t="str">
        <f>LEFT(Table1[[#This Row],[Input]],1)</f>
        <v>L</v>
      </c>
      <c r="C2200">
        <f>_xlfn.LET(_xlpm.steps,SUBSTITUTE(Table1[[#This Row],[Input]],Table1[[#This Row],[Direction]],""),VALUE(IF(LEN(_xlpm.steps)&gt;2,RIGHT(_xlpm.steps,2),_xlpm.steps)))</f>
        <v>36</v>
      </c>
      <c r="D2200">
        <f>_xlfn.LET(_xlpm.dir,Table1[[#This Row],[Direction]],
IF(_xlpm.dir="L",
    IF(F2199-Table1[[#This Row],[Steps]]&lt;0,100+(F2199-Table1[[#This Row],[Steps]]),F2199-Table1[[#This Row],[Steps]]),
))</f>
        <v>64</v>
      </c>
      <c r="E2200">
        <f>_xlfn.LET(_xlpm.dir,Table1[[#This Row],[Direction]],
IF(_xlpm.dir="R",
    IF(F2199+Table1[[#This Row],[Steps]]&gt;99,(F2199+Table1[[#This Row],[Steps]])-100,F2199+Table1[[#This Row],[Steps]]),
))</f>
        <v>0</v>
      </c>
      <c r="F2200">
        <f>IF(Table1[[#This Row],[New Pos L]]&lt;&gt;0,Table1[[#This Row],[New Pos L]],Table1[[#This Row],[New Pos R]])</f>
        <v>64</v>
      </c>
    </row>
    <row r="2201" spans="1:6" ht="16" x14ac:dyDescent="0.2">
      <c r="A2201" s="1" t="s">
        <v>138</v>
      </c>
      <c r="B2201" t="str">
        <f>LEFT(Table1[[#This Row],[Input]],1)</f>
        <v>L</v>
      </c>
      <c r="C2201">
        <f>_xlfn.LET(_xlpm.steps,SUBSTITUTE(Table1[[#This Row],[Input]],Table1[[#This Row],[Direction]],""),VALUE(IF(LEN(_xlpm.steps)&gt;2,RIGHT(_xlpm.steps,2),_xlpm.steps)))</f>
        <v>94</v>
      </c>
      <c r="D2201">
        <f>_xlfn.LET(_xlpm.dir,Table1[[#This Row],[Direction]],
IF(_xlpm.dir="L",
    IF(F2200-Table1[[#This Row],[Steps]]&lt;0,100+(F2200-Table1[[#This Row],[Steps]]),F2200-Table1[[#This Row],[Steps]]),
))</f>
        <v>70</v>
      </c>
      <c r="E2201">
        <f>_xlfn.LET(_xlpm.dir,Table1[[#This Row],[Direction]],
IF(_xlpm.dir="R",
    IF(F2200+Table1[[#This Row],[Steps]]&gt;99,(F2200+Table1[[#This Row],[Steps]])-100,F2200+Table1[[#This Row],[Steps]]),
))</f>
        <v>0</v>
      </c>
      <c r="F2201">
        <f>IF(Table1[[#This Row],[New Pos L]]&lt;&gt;0,Table1[[#This Row],[New Pos L]],Table1[[#This Row],[New Pos R]])</f>
        <v>70</v>
      </c>
    </row>
    <row r="2202" spans="1:6" ht="16" x14ac:dyDescent="0.2">
      <c r="A2202" s="1" t="s">
        <v>148</v>
      </c>
      <c r="B2202" t="str">
        <f>LEFT(Table1[[#This Row],[Input]],1)</f>
        <v>R</v>
      </c>
      <c r="C2202">
        <f>_xlfn.LET(_xlpm.steps,SUBSTITUTE(Table1[[#This Row],[Input]],Table1[[#This Row],[Direction]],""),VALUE(IF(LEN(_xlpm.steps)&gt;2,RIGHT(_xlpm.steps,2),_xlpm.steps)))</f>
        <v>80</v>
      </c>
      <c r="D2202">
        <f>_xlfn.LET(_xlpm.dir,Table1[[#This Row],[Direction]],
IF(_xlpm.dir="L",
    IF(F2201-Table1[[#This Row],[Steps]]&lt;0,100+(F2201-Table1[[#This Row],[Steps]]),F2201-Table1[[#This Row],[Steps]]),
))</f>
        <v>0</v>
      </c>
      <c r="E2202">
        <f>_xlfn.LET(_xlpm.dir,Table1[[#This Row],[Direction]],
IF(_xlpm.dir="R",
    IF(F2201+Table1[[#This Row],[Steps]]&gt;99,(F2201+Table1[[#This Row],[Steps]])-100,F2201+Table1[[#This Row],[Steps]]),
))</f>
        <v>50</v>
      </c>
      <c r="F2202">
        <f>IF(Table1[[#This Row],[New Pos L]]&lt;&gt;0,Table1[[#This Row],[New Pos L]],Table1[[#This Row],[New Pos R]])</f>
        <v>50</v>
      </c>
    </row>
    <row r="2203" spans="1:6" ht="16" x14ac:dyDescent="0.2">
      <c r="A2203" s="1" t="s">
        <v>74</v>
      </c>
      <c r="B2203" t="str">
        <f>LEFT(Table1[[#This Row],[Input]],1)</f>
        <v>R</v>
      </c>
      <c r="C2203">
        <f>_xlfn.LET(_xlpm.steps,SUBSTITUTE(Table1[[#This Row],[Input]],Table1[[#This Row],[Direction]],""),VALUE(IF(LEN(_xlpm.steps)&gt;2,RIGHT(_xlpm.steps,2),_xlpm.steps)))</f>
        <v>93</v>
      </c>
      <c r="D2203">
        <f>_xlfn.LET(_xlpm.dir,Table1[[#This Row],[Direction]],
IF(_xlpm.dir="L",
    IF(F2202-Table1[[#This Row],[Steps]]&lt;0,100+(F2202-Table1[[#This Row],[Steps]]),F2202-Table1[[#This Row],[Steps]]),
))</f>
        <v>0</v>
      </c>
      <c r="E2203">
        <f>_xlfn.LET(_xlpm.dir,Table1[[#This Row],[Direction]],
IF(_xlpm.dir="R",
    IF(F2202+Table1[[#This Row],[Steps]]&gt;99,(F2202+Table1[[#This Row],[Steps]])-100,F2202+Table1[[#This Row],[Steps]]),
))</f>
        <v>43</v>
      </c>
      <c r="F2203">
        <f>IF(Table1[[#This Row],[New Pos L]]&lt;&gt;0,Table1[[#This Row],[New Pos L]],Table1[[#This Row],[New Pos R]])</f>
        <v>43</v>
      </c>
    </row>
    <row r="2204" spans="1:6" ht="16" x14ac:dyDescent="0.2">
      <c r="A2204" s="1" t="s">
        <v>16</v>
      </c>
      <c r="B2204" t="str">
        <f>LEFT(Table1[[#This Row],[Input]],1)</f>
        <v>L</v>
      </c>
      <c r="C2204">
        <f>_xlfn.LET(_xlpm.steps,SUBSTITUTE(Table1[[#This Row],[Input]],Table1[[#This Row],[Direction]],""),VALUE(IF(LEN(_xlpm.steps)&gt;2,RIGHT(_xlpm.steps,2),_xlpm.steps)))</f>
        <v>10</v>
      </c>
      <c r="D2204">
        <f>_xlfn.LET(_xlpm.dir,Table1[[#This Row],[Direction]],
IF(_xlpm.dir="L",
    IF(F2203-Table1[[#This Row],[Steps]]&lt;0,100+(F2203-Table1[[#This Row],[Steps]]),F2203-Table1[[#This Row],[Steps]]),
))</f>
        <v>33</v>
      </c>
      <c r="E2204">
        <f>_xlfn.LET(_xlpm.dir,Table1[[#This Row],[Direction]],
IF(_xlpm.dir="R",
    IF(F2203+Table1[[#This Row],[Steps]]&gt;99,(F2203+Table1[[#This Row],[Steps]])-100,F2203+Table1[[#This Row],[Steps]]),
))</f>
        <v>0</v>
      </c>
      <c r="F2204">
        <f>IF(Table1[[#This Row],[New Pos L]]&lt;&gt;0,Table1[[#This Row],[New Pos L]],Table1[[#This Row],[New Pos R]])</f>
        <v>33</v>
      </c>
    </row>
    <row r="2205" spans="1:6" ht="16" x14ac:dyDescent="0.2">
      <c r="A2205" s="1" t="s">
        <v>126</v>
      </c>
      <c r="B2205" t="str">
        <f>LEFT(Table1[[#This Row],[Input]],1)</f>
        <v>R</v>
      </c>
      <c r="C2205">
        <f>_xlfn.LET(_xlpm.steps,SUBSTITUTE(Table1[[#This Row],[Input]],Table1[[#This Row],[Direction]],""),VALUE(IF(LEN(_xlpm.steps)&gt;2,RIGHT(_xlpm.steps,2),_xlpm.steps)))</f>
        <v>65</v>
      </c>
      <c r="D2205">
        <f>_xlfn.LET(_xlpm.dir,Table1[[#This Row],[Direction]],
IF(_xlpm.dir="L",
    IF(F2204-Table1[[#This Row],[Steps]]&lt;0,100+(F2204-Table1[[#This Row],[Steps]]),F2204-Table1[[#This Row],[Steps]]),
))</f>
        <v>0</v>
      </c>
      <c r="E2205">
        <f>_xlfn.LET(_xlpm.dir,Table1[[#This Row],[Direction]],
IF(_xlpm.dir="R",
    IF(F2204+Table1[[#This Row],[Steps]]&gt;99,(F2204+Table1[[#This Row],[Steps]])-100,F2204+Table1[[#This Row],[Steps]]),
))</f>
        <v>98</v>
      </c>
      <c r="F2205">
        <f>IF(Table1[[#This Row],[New Pos L]]&lt;&gt;0,Table1[[#This Row],[New Pos L]],Table1[[#This Row],[New Pos R]])</f>
        <v>98</v>
      </c>
    </row>
    <row r="2206" spans="1:6" ht="16" x14ac:dyDescent="0.2">
      <c r="A2206" s="1" t="s">
        <v>114</v>
      </c>
      <c r="B2206" t="str">
        <f>LEFT(Table1[[#This Row],[Input]],1)</f>
        <v>R</v>
      </c>
      <c r="C2206">
        <f>_xlfn.LET(_xlpm.steps,SUBSTITUTE(Table1[[#This Row],[Input]],Table1[[#This Row],[Direction]],""),VALUE(IF(LEN(_xlpm.steps)&gt;2,RIGHT(_xlpm.steps,2),_xlpm.steps)))</f>
        <v>70</v>
      </c>
      <c r="D2206">
        <f>_xlfn.LET(_xlpm.dir,Table1[[#This Row],[Direction]],
IF(_xlpm.dir="L",
    IF(F2205-Table1[[#This Row],[Steps]]&lt;0,100+(F2205-Table1[[#This Row],[Steps]]),F2205-Table1[[#This Row],[Steps]]),
))</f>
        <v>0</v>
      </c>
      <c r="E2206">
        <f>_xlfn.LET(_xlpm.dir,Table1[[#This Row],[Direction]],
IF(_xlpm.dir="R",
    IF(F2205+Table1[[#This Row],[Steps]]&gt;99,(F2205+Table1[[#This Row],[Steps]])-100,F2205+Table1[[#This Row],[Steps]]),
))</f>
        <v>68</v>
      </c>
      <c r="F2206">
        <f>IF(Table1[[#This Row],[New Pos L]]&lt;&gt;0,Table1[[#This Row],[New Pos L]],Table1[[#This Row],[New Pos R]])</f>
        <v>68</v>
      </c>
    </row>
    <row r="2207" spans="1:6" ht="16" x14ac:dyDescent="0.2">
      <c r="A2207" s="1" t="s">
        <v>325</v>
      </c>
      <c r="B2207" t="str">
        <f>LEFT(Table1[[#This Row],[Input]],1)</f>
        <v>L</v>
      </c>
      <c r="C2207">
        <f>_xlfn.LET(_xlpm.steps,SUBSTITUTE(Table1[[#This Row],[Input]],Table1[[#This Row],[Direction]],""),VALUE(IF(LEN(_xlpm.steps)&gt;2,RIGHT(_xlpm.steps,2),_xlpm.steps)))</f>
        <v>68</v>
      </c>
      <c r="D2207">
        <f>_xlfn.LET(_xlpm.dir,Table1[[#This Row],[Direction]],
IF(_xlpm.dir="L",
    IF(F2206-Table1[[#This Row],[Steps]]&lt;0,100+(F2206-Table1[[#This Row],[Steps]]),F2206-Table1[[#This Row],[Steps]]),
))</f>
        <v>0</v>
      </c>
      <c r="E2207">
        <f>_xlfn.LET(_xlpm.dir,Table1[[#This Row],[Direction]],
IF(_xlpm.dir="R",
    IF(F2206+Table1[[#This Row],[Steps]]&gt;99,(F2206+Table1[[#This Row],[Steps]])-100,F2206+Table1[[#This Row],[Steps]]),
))</f>
        <v>0</v>
      </c>
      <c r="F2207">
        <f>IF(Table1[[#This Row],[New Pos L]]&lt;&gt;0,Table1[[#This Row],[New Pos L]],Table1[[#This Row],[New Pos R]])</f>
        <v>0</v>
      </c>
    </row>
    <row r="2208" spans="1:6" ht="16" x14ac:dyDescent="0.2">
      <c r="A2208" s="1" t="s">
        <v>185</v>
      </c>
      <c r="B2208" t="str">
        <f>LEFT(Table1[[#This Row],[Input]],1)</f>
        <v>R</v>
      </c>
      <c r="C2208">
        <f>_xlfn.LET(_xlpm.steps,SUBSTITUTE(Table1[[#This Row],[Input]],Table1[[#This Row],[Direction]],""),VALUE(IF(LEN(_xlpm.steps)&gt;2,RIGHT(_xlpm.steps,2),_xlpm.steps)))</f>
        <v>61</v>
      </c>
      <c r="D2208">
        <f>_xlfn.LET(_xlpm.dir,Table1[[#This Row],[Direction]],
IF(_xlpm.dir="L",
    IF(F2207-Table1[[#This Row],[Steps]]&lt;0,100+(F2207-Table1[[#This Row],[Steps]]),F2207-Table1[[#This Row],[Steps]]),
))</f>
        <v>0</v>
      </c>
      <c r="E2208">
        <f>_xlfn.LET(_xlpm.dir,Table1[[#This Row],[Direction]],
IF(_xlpm.dir="R",
    IF(F2207+Table1[[#This Row],[Steps]]&gt;99,(F2207+Table1[[#This Row],[Steps]])-100,F2207+Table1[[#This Row],[Steps]]),
))</f>
        <v>61</v>
      </c>
      <c r="F2208">
        <f>IF(Table1[[#This Row],[New Pos L]]&lt;&gt;0,Table1[[#This Row],[New Pos L]],Table1[[#This Row],[New Pos R]])</f>
        <v>61</v>
      </c>
    </row>
    <row r="2209" spans="1:6" ht="16" x14ac:dyDescent="0.2">
      <c r="A2209" s="1" t="s">
        <v>140</v>
      </c>
      <c r="B2209" t="str">
        <f>LEFT(Table1[[#This Row],[Input]],1)</f>
        <v>L</v>
      </c>
      <c r="C2209">
        <f>_xlfn.LET(_xlpm.steps,SUBSTITUTE(Table1[[#This Row],[Input]],Table1[[#This Row],[Direction]],""),VALUE(IF(LEN(_xlpm.steps)&gt;2,RIGHT(_xlpm.steps,2),_xlpm.steps)))</f>
        <v>61</v>
      </c>
      <c r="D2209">
        <f>_xlfn.LET(_xlpm.dir,Table1[[#This Row],[Direction]],
IF(_xlpm.dir="L",
    IF(F2208-Table1[[#This Row],[Steps]]&lt;0,100+(F2208-Table1[[#This Row],[Steps]]),F2208-Table1[[#This Row],[Steps]]),
))</f>
        <v>0</v>
      </c>
      <c r="E2209">
        <f>_xlfn.LET(_xlpm.dir,Table1[[#This Row],[Direction]],
IF(_xlpm.dir="R",
    IF(F2208+Table1[[#This Row],[Steps]]&gt;99,(F2208+Table1[[#This Row],[Steps]])-100,F2208+Table1[[#This Row],[Steps]]),
))</f>
        <v>0</v>
      </c>
      <c r="F2209">
        <f>IF(Table1[[#This Row],[New Pos L]]&lt;&gt;0,Table1[[#This Row],[New Pos L]],Table1[[#This Row],[New Pos R]])</f>
        <v>0</v>
      </c>
    </row>
    <row r="2210" spans="1:6" ht="16" x14ac:dyDescent="0.2">
      <c r="A2210" s="1" t="s">
        <v>13</v>
      </c>
      <c r="B2210" t="str">
        <f>LEFT(Table1[[#This Row],[Input]],1)</f>
        <v>R</v>
      </c>
      <c r="C2210">
        <f>_xlfn.LET(_xlpm.steps,SUBSTITUTE(Table1[[#This Row],[Input]],Table1[[#This Row],[Direction]],""),VALUE(IF(LEN(_xlpm.steps)&gt;2,RIGHT(_xlpm.steps,2),_xlpm.steps)))</f>
        <v>12</v>
      </c>
      <c r="D2210">
        <f>_xlfn.LET(_xlpm.dir,Table1[[#This Row],[Direction]],
IF(_xlpm.dir="L",
    IF(F2209-Table1[[#This Row],[Steps]]&lt;0,100+(F2209-Table1[[#This Row],[Steps]]),F2209-Table1[[#This Row],[Steps]]),
))</f>
        <v>0</v>
      </c>
      <c r="E2210">
        <f>_xlfn.LET(_xlpm.dir,Table1[[#This Row],[Direction]],
IF(_xlpm.dir="R",
    IF(F2209+Table1[[#This Row],[Steps]]&gt;99,(F2209+Table1[[#This Row],[Steps]])-100,F2209+Table1[[#This Row],[Steps]]),
))</f>
        <v>12</v>
      </c>
      <c r="F2210">
        <f>IF(Table1[[#This Row],[New Pos L]]&lt;&gt;0,Table1[[#This Row],[New Pos L]],Table1[[#This Row],[New Pos R]])</f>
        <v>12</v>
      </c>
    </row>
    <row r="2211" spans="1:6" ht="16" x14ac:dyDescent="0.2">
      <c r="A2211" s="1" t="s">
        <v>244</v>
      </c>
      <c r="B2211" t="str">
        <f>LEFT(Table1[[#This Row],[Input]],1)</f>
        <v>L</v>
      </c>
      <c r="C2211">
        <f>_xlfn.LET(_xlpm.steps,SUBSTITUTE(Table1[[#This Row],[Input]],Table1[[#This Row],[Direction]],""),VALUE(IF(LEN(_xlpm.steps)&gt;2,RIGHT(_xlpm.steps,2),_xlpm.steps)))</f>
        <v>98</v>
      </c>
      <c r="D2211">
        <f>_xlfn.LET(_xlpm.dir,Table1[[#This Row],[Direction]],
IF(_xlpm.dir="L",
    IF(F2210-Table1[[#This Row],[Steps]]&lt;0,100+(F2210-Table1[[#This Row],[Steps]]),F2210-Table1[[#This Row],[Steps]]),
))</f>
        <v>14</v>
      </c>
      <c r="E2211">
        <f>_xlfn.LET(_xlpm.dir,Table1[[#This Row],[Direction]],
IF(_xlpm.dir="R",
    IF(F2210+Table1[[#This Row],[Steps]]&gt;99,(F2210+Table1[[#This Row],[Steps]])-100,F2210+Table1[[#This Row],[Steps]]),
))</f>
        <v>0</v>
      </c>
      <c r="F2211">
        <f>IF(Table1[[#This Row],[New Pos L]]&lt;&gt;0,Table1[[#This Row],[New Pos L]],Table1[[#This Row],[New Pos R]])</f>
        <v>14</v>
      </c>
    </row>
    <row r="2212" spans="1:6" ht="16" x14ac:dyDescent="0.2">
      <c r="A2212" s="1" t="s">
        <v>138</v>
      </c>
      <c r="B2212" t="str">
        <f>LEFT(Table1[[#This Row],[Input]],1)</f>
        <v>L</v>
      </c>
      <c r="C2212">
        <f>_xlfn.LET(_xlpm.steps,SUBSTITUTE(Table1[[#This Row],[Input]],Table1[[#This Row],[Direction]],""),VALUE(IF(LEN(_xlpm.steps)&gt;2,RIGHT(_xlpm.steps,2),_xlpm.steps)))</f>
        <v>94</v>
      </c>
      <c r="D2212">
        <f>_xlfn.LET(_xlpm.dir,Table1[[#This Row],[Direction]],
IF(_xlpm.dir="L",
    IF(F2211-Table1[[#This Row],[Steps]]&lt;0,100+(F2211-Table1[[#This Row],[Steps]]),F2211-Table1[[#This Row],[Steps]]),
))</f>
        <v>20</v>
      </c>
      <c r="E2212">
        <f>_xlfn.LET(_xlpm.dir,Table1[[#This Row],[Direction]],
IF(_xlpm.dir="R",
    IF(F2211+Table1[[#This Row],[Steps]]&gt;99,(F2211+Table1[[#This Row],[Steps]])-100,F2211+Table1[[#This Row],[Steps]]),
))</f>
        <v>0</v>
      </c>
      <c r="F2212">
        <f>IF(Table1[[#This Row],[New Pos L]]&lt;&gt;0,Table1[[#This Row],[New Pos L]],Table1[[#This Row],[New Pos R]])</f>
        <v>20</v>
      </c>
    </row>
    <row r="2213" spans="1:6" ht="16" x14ac:dyDescent="0.2">
      <c r="A2213" s="1" t="s">
        <v>5</v>
      </c>
      <c r="B2213" t="str">
        <f>LEFT(Table1[[#This Row],[Input]],1)</f>
        <v>R</v>
      </c>
      <c r="C2213">
        <f>_xlfn.LET(_xlpm.steps,SUBSTITUTE(Table1[[#This Row],[Input]],Table1[[#This Row],[Direction]],""),VALUE(IF(LEN(_xlpm.steps)&gt;2,RIGHT(_xlpm.steps,2),_xlpm.steps)))</f>
        <v>1</v>
      </c>
      <c r="D2213">
        <f>_xlfn.LET(_xlpm.dir,Table1[[#This Row],[Direction]],
IF(_xlpm.dir="L",
    IF(F2212-Table1[[#This Row],[Steps]]&lt;0,100+(F2212-Table1[[#This Row],[Steps]]),F2212-Table1[[#This Row],[Steps]]),
))</f>
        <v>0</v>
      </c>
      <c r="E2213">
        <f>_xlfn.LET(_xlpm.dir,Table1[[#This Row],[Direction]],
IF(_xlpm.dir="R",
    IF(F2212+Table1[[#This Row],[Steps]]&gt;99,(F2212+Table1[[#This Row],[Steps]])-100,F2212+Table1[[#This Row],[Steps]]),
))</f>
        <v>21</v>
      </c>
      <c r="F2213">
        <f>IF(Table1[[#This Row],[New Pos L]]&lt;&gt;0,Table1[[#This Row],[New Pos L]],Table1[[#This Row],[New Pos R]])</f>
        <v>21</v>
      </c>
    </row>
    <row r="2214" spans="1:6" ht="16" x14ac:dyDescent="0.2">
      <c r="A2214" s="1" t="s">
        <v>582</v>
      </c>
      <c r="B2214" t="str">
        <f>LEFT(Table1[[#This Row],[Input]],1)</f>
        <v>L</v>
      </c>
      <c r="C2214">
        <f>_xlfn.LET(_xlpm.steps,SUBSTITUTE(Table1[[#This Row],[Input]],Table1[[#This Row],[Direction]],""),VALUE(IF(LEN(_xlpm.steps)&gt;2,RIGHT(_xlpm.steps,2),_xlpm.steps)))</f>
        <v>22</v>
      </c>
      <c r="D2214">
        <f>_xlfn.LET(_xlpm.dir,Table1[[#This Row],[Direction]],
IF(_xlpm.dir="L",
    IF(F2213-Table1[[#This Row],[Steps]]&lt;0,100+(F2213-Table1[[#This Row],[Steps]]),F2213-Table1[[#This Row],[Steps]]),
))</f>
        <v>99</v>
      </c>
      <c r="E2214">
        <f>_xlfn.LET(_xlpm.dir,Table1[[#This Row],[Direction]],
IF(_xlpm.dir="R",
    IF(F2213+Table1[[#This Row],[Steps]]&gt;99,(F2213+Table1[[#This Row],[Steps]])-100,F2213+Table1[[#This Row],[Steps]]),
))</f>
        <v>0</v>
      </c>
      <c r="F2214">
        <f>IF(Table1[[#This Row],[New Pos L]]&lt;&gt;0,Table1[[#This Row],[New Pos L]],Table1[[#This Row],[New Pos R]])</f>
        <v>99</v>
      </c>
    </row>
    <row r="2215" spans="1:6" ht="16" x14ac:dyDescent="0.2">
      <c r="A2215" s="1" t="s">
        <v>188</v>
      </c>
      <c r="B2215" t="str">
        <f>LEFT(Table1[[#This Row],[Input]],1)</f>
        <v>R</v>
      </c>
      <c r="C2215">
        <f>_xlfn.LET(_xlpm.steps,SUBSTITUTE(Table1[[#This Row],[Input]],Table1[[#This Row],[Direction]],""),VALUE(IF(LEN(_xlpm.steps)&gt;2,RIGHT(_xlpm.steps,2),_xlpm.steps)))</f>
        <v>5</v>
      </c>
      <c r="D2215">
        <f>_xlfn.LET(_xlpm.dir,Table1[[#This Row],[Direction]],
IF(_xlpm.dir="L",
    IF(F2214-Table1[[#This Row],[Steps]]&lt;0,100+(F2214-Table1[[#This Row],[Steps]]),F2214-Table1[[#This Row],[Steps]]),
))</f>
        <v>0</v>
      </c>
      <c r="E2215">
        <f>_xlfn.LET(_xlpm.dir,Table1[[#This Row],[Direction]],
IF(_xlpm.dir="R",
    IF(F2214+Table1[[#This Row],[Steps]]&gt;99,(F2214+Table1[[#This Row],[Steps]])-100,F2214+Table1[[#This Row],[Steps]]),
))</f>
        <v>4</v>
      </c>
      <c r="F2215">
        <f>IF(Table1[[#This Row],[New Pos L]]&lt;&gt;0,Table1[[#This Row],[New Pos L]],Table1[[#This Row],[New Pos R]])</f>
        <v>4</v>
      </c>
    </row>
    <row r="2216" spans="1:6" ht="16" x14ac:dyDescent="0.2">
      <c r="A2216" s="1" t="s">
        <v>128</v>
      </c>
      <c r="B2216" t="str">
        <f>LEFT(Table1[[#This Row],[Input]],1)</f>
        <v>R</v>
      </c>
      <c r="C2216">
        <f>_xlfn.LET(_xlpm.steps,SUBSTITUTE(Table1[[#This Row],[Input]],Table1[[#This Row],[Direction]],""),VALUE(IF(LEN(_xlpm.steps)&gt;2,RIGHT(_xlpm.steps,2),_xlpm.steps)))</f>
        <v>92</v>
      </c>
      <c r="D2216">
        <f>_xlfn.LET(_xlpm.dir,Table1[[#This Row],[Direction]],
IF(_xlpm.dir="L",
    IF(F2215-Table1[[#This Row],[Steps]]&lt;0,100+(F2215-Table1[[#This Row],[Steps]]),F2215-Table1[[#This Row],[Steps]]),
))</f>
        <v>0</v>
      </c>
      <c r="E2216">
        <f>_xlfn.LET(_xlpm.dir,Table1[[#This Row],[Direction]],
IF(_xlpm.dir="R",
    IF(F2215+Table1[[#This Row],[Steps]]&gt;99,(F2215+Table1[[#This Row],[Steps]])-100,F2215+Table1[[#This Row],[Steps]]),
))</f>
        <v>96</v>
      </c>
      <c r="F2216">
        <f>IF(Table1[[#This Row],[New Pos L]]&lt;&gt;0,Table1[[#This Row],[New Pos L]],Table1[[#This Row],[New Pos R]])</f>
        <v>96</v>
      </c>
    </row>
    <row r="2217" spans="1:6" ht="16" x14ac:dyDescent="0.2">
      <c r="A2217" s="1" t="s">
        <v>182</v>
      </c>
      <c r="B2217" t="str">
        <f>LEFT(Table1[[#This Row],[Input]],1)</f>
        <v>L</v>
      </c>
      <c r="C2217">
        <f>_xlfn.LET(_xlpm.steps,SUBSTITUTE(Table1[[#This Row],[Input]],Table1[[#This Row],[Direction]],""),VALUE(IF(LEN(_xlpm.steps)&gt;2,RIGHT(_xlpm.steps,2),_xlpm.steps)))</f>
        <v>3</v>
      </c>
      <c r="D2217">
        <f>_xlfn.LET(_xlpm.dir,Table1[[#This Row],[Direction]],
IF(_xlpm.dir="L",
    IF(F2216-Table1[[#This Row],[Steps]]&lt;0,100+(F2216-Table1[[#This Row],[Steps]]),F2216-Table1[[#This Row],[Steps]]),
))</f>
        <v>93</v>
      </c>
      <c r="E2217">
        <f>_xlfn.LET(_xlpm.dir,Table1[[#This Row],[Direction]],
IF(_xlpm.dir="R",
    IF(F2216+Table1[[#This Row],[Steps]]&gt;99,(F2216+Table1[[#This Row],[Steps]])-100,F2216+Table1[[#This Row],[Steps]]),
))</f>
        <v>0</v>
      </c>
      <c r="F2217">
        <f>IF(Table1[[#This Row],[New Pos L]]&lt;&gt;0,Table1[[#This Row],[New Pos L]],Table1[[#This Row],[New Pos R]])</f>
        <v>93</v>
      </c>
    </row>
    <row r="2218" spans="1:6" ht="16" x14ac:dyDescent="0.2">
      <c r="A2218" s="1" t="s">
        <v>39</v>
      </c>
      <c r="B2218" t="str">
        <f>LEFT(Table1[[#This Row],[Input]],1)</f>
        <v>R</v>
      </c>
      <c r="C2218">
        <f>_xlfn.LET(_xlpm.steps,SUBSTITUTE(Table1[[#This Row],[Input]],Table1[[#This Row],[Direction]],""),VALUE(IF(LEN(_xlpm.steps)&gt;2,RIGHT(_xlpm.steps,2),_xlpm.steps)))</f>
        <v>32</v>
      </c>
      <c r="D2218">
        <f>_xlfn.LET(_xlpm.dir,Table1[[#This Row],[Direction]],
IF(_xlpm.dir="L",
    IF(F2217-Table1[[#This Row],[Steps]]&lt;0,100+(F2217-Table1[[#This Row],[Steps]]),F2217-Table1[[#This Row],[Steps]]),
))</f>
        <v>0</v>
      </c>
      <c r="E2218">
        <f>_xlfn.LET(_xlpm.dir,Table1[[#This Row],[Direction]],
IF(_xlpm.dir="R",
    IF(F2217+Table1[[#This Row],[Steps]]&gt;99,(F2217+Table1[[#This Row],[Steps]])-100,F2217+Table1[[#This Row],[Steps]]),
))</f>
        <v>25</v>
      </c>
      <c r="F2218">
        <f>IF(Table1[[#This Row],[New Pos L]]&lt;&gt;0,Table1[[#This Row],[New Pos L]],Table1[[#This Row],[New Pos R]])</f>
        <v>25</v>
      </c>
    </row>
    <row r="2219" spans="1:6" ht="16" x14ac:dyDescent="0.2">
      <c r="A2219" s="1" t="s">
        <v>122</v>
      </c>
      <c r="B2219" t="str">
        <f>LEFT(Table1[[#This Row],[Input]],1)</f>
        <v>R</v>
      </c>
      <c r="C2219">
        <f>_xlfn.LET(_xlpm.steps,SUBSTITUTE(Table1[[#This Row],[Input]],Table1[[#This Row],[Direction]],""),VALUE(IF(LEN(_xlpm.steps)&gt;2,RIGHT(_xlpm.steps,2),_xlpm.steps)))</f>
        <v>75</v>
      </c>
      <c r="D2219">
        <f>_xlfn.LET(_xlpm.dir,Table1[[#This Row],[Direction]],
IF(_xlpm.dir="L",
    IF(F2218-Table1[[#This Row],[Steps]]&lt;0,100+(F2218-Table1[[#This Row],[Steps]]),F2218-Table1[[#This Row],[Steps]]),
))</f>
        <v>0</v>
      </c>
      <c r="E2219">
        <f>_xlfn.LET(_xlpm.dir,Table1[[#This Row],[Direction]],
IF(_xlpm.dir="R",
    IF(F2218+Table1[[#This Row],[Steps]]&gt;99,(F2218+Table1[[#This Row],[Steps]])-100,F2218+Table1[[#This Row],[Steps]]),
))</f>
        <v>0</v>
      </c>
      <c r="F2219">
        <f>IF(Table1[[#This Row],[New Pos L]]&lt;&gt;0,Table1[[#This Row],[New Pos L]],Table1[[#This Row],[New Pos R]])</f>
        <v>0</v>
      </c>
    </row>
    <row r="2220" spans="1:6" ht="16" x14ac:dyDescent="0.2">
      <c r="A2220" s="1" t="s">
        <v>583</v>
      </c>
      <c r="B2220" t="str">
        <f>LEFT(Table1[[#This Row],[Input]],1)</f>
        <v>R</v>
      </c>
      <c r="C2220">
        <f>_xlfn.LET(_xlpm.steps,SUBSTITUTE(Table1[[#This Row],[Input]],Table1[[#This Row],[Direction]],""),VALUE(IF(LEN(_xlpm.steps)&gt;2,RIGHT(_xlpm.steps,2),_xlpm.steps)))</f>
        <v>2</v>
      </c>
      <c r="D2220">
        <f>_xlfn.LET(_xlpm.dir,Table1[[#This Row],[Direction]],
IF(_xlpm.dir="L",
    IF(F2219-Table1[[#This Row],[Steps]]&lt;0,100+(F2219-Table1[[#This Row],[Steps]]),F2219-Table1[[#This Row],[Steps]]),
))</f>
        <v>0</v>
      </c>
      <c r="E2220">
        <f>_xlfn.LET(_xlpm.dir,Table1[[#This Row],[Direction]],
IF(_xlpm.dir="R",
    IF(F2219+Table1[[#This Row],[Steps]]&gt;99,(F2219+Table1[[#This Row],[Steps]])-100,F2219+Table1[[#This Row],[Steps]]),
))</f>
        <v>2</v>
      </c>
      <c r="F2220">
        <f>IF(Table1[[#This Row],[New Pos L]]&lt;&gt;0,Table1[[#This Row],[New Pos L]],Table1[[#This Row],[New Pos R]])</f>
        <v>2</v>
      </c>
    </row>
    <row r="2221" spans="1:6" ht="16" x14ac:dyDescent="0.2">
      <c r="A2221" s="1" t="s">
        <v>584</v>
      </c>
      <c r="B2221" t="str">
        <f>LEFT(Table1[[#This Row],[Input]],1)</f>
        <v>R</v>
      </c>
      <c r="C2221">
        <f>_xlfn.LET(_xlpm.steps,SUBSTITUTE(Table1[[#This Row],[Input]],Table1[[#This Row],[Direction]],""),VALUE(IF(LEN(_xlpm.steps)&gt;2,RIGHT(_xlpm.steps,2),_xlpm.steps)))</f>
        <v>96</v>
      </c>
      <c r="D2221">
        <f>_xlfn.LET(_xlpm.dir,Table1[[#This Row],[Direction]],
IF(_xlpm.dir="L",
    IF(F2220-Table1[[#This Row],[Steps]]&lt;0,100+(F2220-Table1[[#This Row],[Steps]]),F2220-Table1[[#This Row],[Steps]]),
))</f>
        <v>0</v>
      </c>
      <c r="E2221">
        <f>_xlfn.LET(_xlpm.dir,Table1[[#This Row],[Direction]],
IF(_xlpm.dir="R",
    IF(F2220+Table1[[#This Row],[Steps]]&gt;99,(F2220+Table1[[#This Row],[Steps]])-100,F2220+Table1[[#This Row],[Steps]]),
))</f>
        <v>98</v>
      </c>
      <c r="F2221">
        <f>IF(Table1[[#This Row],[New Pos L]]&lt;&gt;0,Table1[[#This Row],[New Pos L]],Table1[[#This Row],[New Pos R]])</f>
        <v>98</v>
      </c>
    </row>
    <row r="2222" spans="1:6" ht="16" x14ac:dyDescent="0.2">
      <c r="A2222" s="1" t="s">
        <v>244</v>
      </c>
      <c r="B2222" t="str">
        <f>LEFT(Table1[[#This Row],[Input]],1)</f>
        <v>L</v>
      </c>
      <c r="C2222">
        <f>_xlfn.LET(_xlpm.steps,SUBSTITUTE(Table1[[#This Row],[Input]],Table1[[#This Row],[Direction]],""),VALUE(IF(LEN(_xlpm.steps)&gt;2,RIGHT(_xlpm.steps,2),_xlpm.steps)))</f>
        <v>98</v>
      </c>
      <c r="D2222">
        <f>_xlfn.LET(_xlpm.dir,Table1[[#This Row],[Direction]],
IF(_xlpm.dir="L",
    IF(F2221-Table1[[#This Row],[Steps]]&lt;0,100+(F2221-Table1[[#This Row],[Steps]]),F2221-Table1[[#This Row],[Steps]]),
))</f>
        <v>0</v>
      </c>
      <c r="E2222">
        <f>_xlfn.LET(_xlpm.dir,Table1[[#This Row],[Direction]],
IF(_xlpm.dir="R",
    IF(F2221+Table1[[#This Row],[Steps]]&gt;99,(F2221+Table1[[#This Row],[Steps]])-100,F2221+Table1[[#This Row],[Steps]]),
))</f>
        <v>0</v>
      </c>
      <c r="F2222">
        <f>IF(Table1[[#This Row],[New Pos L]]&lt;&gt;0,Table1[[#This Row],[New Pos L]],Table1[[#This Row],[New Pos R]])</f>
        <v>0</v>
      </c>
    </row>
    <row r="2223" spans="1:6" ht="16" x14ac:dyDescent="0.2">
      <c r="A2223" s="1" t="s">
        <v>5</v>
      </c>
      <c r="B2223" t="str">
        <f>LEFT(Table1[[#This Row],[Input]],1)</f>
        <v>R</v>
      </c>
      <c r="C2223">
        <f>_xlfn.LET(_xlpm.steps,SUBSTITUTE(Table1[[#This Row],[Input]],Table1[[#This Row],[Direction]],""),VALUE(IF(LEN(_xlpm.steps)&gt;2,RIGHT(_xlpm.steps,2),_xlpm.steps)))</f>
        <v>1</v>
      </c>
      <c r="D2223">
        <f>_xlfn.LET(_xlpm.dir,Table1[[#This Row],[Direction]],
IF(_xlpm.dir="L",
    IF(F2222-Table1[[#This Row],[Steps]]&lt;0,100+(F2222-Table1[[#This Row],[Steps]]),F2222-Table1[[#This Row],[Steps]]),
))</f>
        <v>0</v>
      </c>
      <c r="E2223">
        <f>_xlfn.LET(_xlpm.dir,Table1[[#This Row],[Direction]],
IF(_xlpm.dir="R",
    IF(F2222+Table1[[#This Row],[Steps]]&gt;99,(F2222+Table1[[#This Row],[Steps]])-100,F2222+Table1[[#This Row],[Steps]]),
))</f>
        <v>1</v>
      </c>
      <c r="F2223">
        <f>IF(Table1[[#This Row],[New Pos L]]&lt;&gt;0,Table1[[#This Row],[New Pos L]],Table1[[#This Row],[New Pos R]])</f>
        <v>1</v>
      </c>
    </row>
    <row r="2224" spans="1:6" ht="16" x14ac:dyDescent="0.2">
      <c r="A2224" s="1" t="s">
        <v>131</v>
      </c>
      <c r="B2224" t="str">
        <f>LEFT(Table1[[#This Row],[Input]],1)</f>
        <v>R</v>
      </c>
      <c r="C2224">
        <f>_xlfn.LET(_xlpm.steps,SUBSTITUTE(Table1[[#This Row],[Input]],Table1[[#This Row],[Direction]],""),VALUE(IF(LEN(_xlpm.steps)&gt;2,RIGHT(_xlpm.steps,2),_xlpm.steps)))</f>
        <v>99</v>
      </c>
      <c r="D2224">
        <f>_xlfn.LET(_xlpm.dir,Table1[[#This Row],[Direction]],
IF(_xlpm.dir="L",
    IF(F2223-Table1[[#This Row],[Steps]]&lt;0,100+(F2223-Table1[[#This Row],[Steps]]),F2223-Table1[[#This Row],[Steps]]),
))</f>
        <v>0</v>
      </c>
      <c r="E2224">
        <f>_xlfn.LET(_xlpm.dir,Table1[[#This Row],[Direction]],
IF(_xlpm.dir="R",
    IF(F2223+Table1[[#This Row],[Steps]]&gt;99,(F2223+Table1[[#This Row],[Steps]])-100,F2223+Table1[[#This Row],[Steps]]),
))</f>
        <v>0</v>
      </c>
      <c r="F2224">
        <f>IF(Table1[[#This Row],[New Pos L]]&lt;&gt;0,Table1[[#This Row],[New Pos L]],Table1[[#This Row],[New Pos R]])</f>
        <v>0</v>
      </c>
    </row>
    <row r="2225" spans="1:6" ht="16" x14ac:dyDescent="0.2">
      <c r="A2225" s="1" t="s">
        <v>37</v>
      </c>
      <c r="B2225" t="str">
        <f>LEFT(Table1[[#This Row],[Input]],1)</f>
        <v>L</v>
      </c>
      <c r="C2225">
        <f>_xlfn.LET(_xlpm.steps,SUBSTITUTE(Table1[[#This Row],[Input]],Table1[[#This Row],[Direction]],""),VALUE(IF(LEN(_xlpm.steps)&gt;2,RIGHT(_xlpm.steps,2),_xlpm.steps)))</f>
        <v>42</v>
      </c>
      <c r="D2225">
        <f>_xlfn.LET(_xlpm.dir,Table1[[#This Row],[Direction]],
IF(_xlpm.dir="L",
    IF(F2224-Table1[[#This Row],[Steps]]&lt;0,100+(F2224-Table1[[#This Row],[Steps]]),F2224-Table1[[#This Row],[Steps]]),
))</f>
        <v>58</v>
      </c>
      <c r="E2225">
        <f>_xlfn.LET(_xlpm.dir,Table1[[#This Row],[Direction]],
IF(_xlpm.dir="R",
    IF(F2224+Table1[[#This Row],[Steps]]&gt;99,(F2224+Table1[[#This Row],[Steps]])-100,F2224+Table1[[#This Row],[Steps]]),
))</f>
        <v>0</v>
      </c>
      <c r="F2225">
        <f>IF(Table1[[#This Row],[New Pos L]]&lt;&gt;0,Table1[[#This Row],[New Pos L]],Table1[[#This Row],[New Pos R]])</f>
        <v>58</v>
      </c>
    </row>
    <row r="2226" spans="1:6" ht="16" x14ac:dyDescent="0.2">
      <c r="A2226" s="1" t="s">
        <v>276</v>
      </c>
      <c r="B2226" t="str">
        <f>LEFT(Table1[[#This Row],[Input]],1)</f>
        <v>L</v>
      </c>
      <c r="C2226">
        <f>_xlfn.LET(_xlpm.steps,SUBSTITUTE(Table1[[#This Row],[Input]],Table1[[#This Row],[Direction]],""),VALUE(IF(LEN(_xlpm.steps)&gt;2,RIGHT(_xlpm.steps,2),_xlpm.steps)))</f>
        <v>60</v>
      </c>
      <c r="D2226">
        <f>_xlfn.LET(_xlpm.dir,Table1[[#This Row],[Direction]],
IF(_xlpm.dir="L",
    IF(F2225-Table1[[#This Row],[Steps]]&lt;0,100+(F2225-Table1[[#This Row],[Steps]]),F2225-Table1[[#This Row],[Steps]]),
))</f>
        <v>98</v>
      </c>
      <c r="E2226">
        <f>_xlfn.LET(_xlpm.dir,Table1[[#This Row],[Direction]],
IF(_xlpm.dir="R",
    IF(F2225+Table1[[#This Row],[Steps]]&gt;99,(F2225+Table1[[#This Row],[Steps]])-100,F2225+Table1[[#This Row],[Steps]]),
))</f>
        <v>0</v>
      </c>
      <c r="F2226">
        <f>IF(Table1[[#This Row],[New Pos L]]&lt;&gt;0,Table1[[#This Row],[New Pos L]],Table1[[#This Row],[New Pos R]])</f>
        <v>98</v>
      </c>
    </row>
    <row r="2227" spans="1:6" ht="16" x14ac:dyDescent="0.2">
      <c r="A2227" s="1" t="s">
        <v>75</v>
      </c>
      <c r="B2227" t="str">
        <f>LEFT(Table1[[#This Row],[Input]],1)</f>
        <v>R</v>
      </c>
      <c r="C2227">
        <f>_xlfn.LET(_xlpm.steps,SUBSTITUTE(Table1[[#This Row],[Input]],Table1[[#This Row],[Direction]],""),VALUE(IF(LEN(_xlpm.steps)&gt;2,RIGHT(_xlpm.steps,2),_xlpm.steps)))</f>
        <v>2</v>
      </c>
      <c r="D2227">
        <f>_xlfn.LET(_xlpm.dir,Table1[[#This Row],[Direction]],
IF(_xlpm.dir="L",
    IF(F2226-Table1[[#This Row],[Steps]]&lt;0,100+(F2226-Table1[[#This Row],[Steps]]),F2226-Table1[[#This Row],[Steps]]),
))</f>
        <v>0</v>
      </c>
      <c r="E2227">
        <f>_xlfn.LET(_xlpm.dir,Table1[[#This Row],[Direction]],
IF(_xlpm.dir="R",
    IF(F2226+Table1[[#This Row],[Steps]]&gt;99,(F2226+Table1[[#This Row],[Steps]])-100,F2226+Table1[[#This Row],[Steps]]),
))</f>
        <v>0</v>
      </c>
      <c r="F2227">
        <f>IF(Table1[[#This Row],[New Pos L]]&lt;&gt;0,Table1[[#This Row],[New Pos L]],Table1[[#This Row],[New Pos R]])</f>
        <v>0</v>
      </c>
    </row>
    <row r="2228" spans="1:6" ht="16" x14ac:dyDescent="0.2">
      <c r="A2228" s="1" t="s">
        <v>1</v>
      </c>
      <c r="B2228" t="str">
        <f>LEFT(Table1[[#This Row],[Input]],1)</f>
        <v>R</v>
      </c>
      <c r="C2228">
        <f>_xlfn.LET(_xlpm.steps,SUBSTITUTE(Table1[[#This Row],[Input]],Table1[[#This Row],[Direction]],""),VALUE(IF(LEN(_xlpm.steps)&gt;2,RIGHT(_xlpm.steps,2),_xlpm.steps)))</f>
        <v>26</v>
      </c>
      <c r="D2228">
        <f>_xlfn.LET(_xlpm.dir,Table1[[#This Row],[Direction]],
IF(_xlpm.dir="L",
    IF(F2227-Table1[[#This Row],[Steps]]&lt;0,100+(F2227-Table1[[#This Row],[Steps]]),F2227-Table1[[#This Row],[Steps]]),
))</f>
        <v>0</v>
      </c>
      <c r="E2228">
        <f>_xlfn.LET(_xlpm.dir,Table1[[#This Row],[Direction]],
IF(_xlpm.dir="R",
    IF(F2227+Table1[[#This Row],[Steps]]&gt;99,(F2227+Table1[[#This Row],[Steps]])-100,F2227+Table1[[#This Row],[Steps]]),
))</f>
        <v>26</v>
      </c>
      <c r="F2228">
        <f>IF(Table1[[#This Row],[New Pos L]]&lt;&gt;0,Table1[[#This Row],[New Pos L]],Table1[[#This Row],[New Pos R]])</f>
        <v>26</v>
      </c>
    </row>
    <row r="2229" spans="1:6" ht="16" x14ac:dyDescent="0.2">
      <c r="A2229" s="1" t="s">
        <v>288</v>
      </c>
      <c r="B2229" t="str">
        <f>LEFT(Table1[[#This Row],[Input]],1)</f>
        <v>R</v>
      </c>
      <c r="C2229">
        <f>_xlfn.LET(_xlpm.steps,SUBSTITUTE(Table1[[#This Row],[Input]],Table1[[#This Row],[Direction]],""),VALUE(IF(LEN(_xlpm.steps)&gt;2,RIGHT(_xlpm.steps,2),_xlpm.steps)))</f>
        <v>25</v>
      </c>
      <c r="D2229">
        <f>_xlfn.LET(_xlpm.dir,Table1[[#This Row],[Direction]],
IF(_xlpm.dir="L",
    IF(F2228-Table1[[#This Row],[Steps]]&lt;0,100+(F2228-Table1[[#This Row],[Steps]]),F2228-Table1[[#This Row],[Steps]]),
))</f>
        <v>0</v>
      </c>
      <c r="E2229">
        <f>_xlfn.LET(_xlpm.dir,Table1[[#This Row],[Direction]],
IF(_xlpm.dir="R",
    IF(F2228+Table1[[#This Row],[Steps]]&gt;99,(F2228+Table1[[#This Row],[Steps]])-100,F2228+Table1[[#This Row],[Steps]]),
))</f>
        <v>51</v>
      </c>
      <c r="F2229">
        <f>IF(Table1[[#This Row],[New Pos L]]&lt;&gt;0,Table1[[#This Row],[New Pos L]],Table1[[#This Row],[New Pos R]])</f>
        <v>51</v>
      </c>
    </row>
    <row r="2230" spans="1:6" ht="16" x14ac:dyDescent="0.2">
      <c r="A2230" s="1" t="s">
        <v>6</v>
      </c>
      <c r="B2230" t="str">
        <f>LEFT(Table1[[#This Row],[Input]],1)</f>
        <v>R</v>
      </c>
      <c r="C2230">
        <f>_xlfn.LET(_xlpm.steps,SUBSTITUTE(Table1[[#This Row],[Input]],Table1[[#This Row],[Direction]],""),VALUE(IF(LEN(_xlpm.steps)&gt;2,RIGHT(_xlpm.steps,2),_xlpm.steps)))</f>
        <v>49</v>
      </c>
      <c r="D2230">
        <f>_xlfn.LET(_xlpm.dir,Table1[[#This Row],[Direction]],
IF(_xlpm.dir="L",
    IF(F2229-Table1[[#This Row],[Steps]]&lt;0,100+(F2229-Table1[[#This Row],[Steps]]),F2229-Table1[[#This Row],[Steps]]),
))</f>
        <v>0</v>
      </c>
      <c r="E2230">
        <f>_xlfn.LET(_xlpm.dir,Table1[[#This Row],[Direction]],
IF(_xlpm.dir="R",
    IF(F2229+Table1[[#This Row],[Steps]]&gt;99,(F2229+Table1[[#This Row],[Steps]])-100,F2229+Table1[[#This Row],[Steps]]),
))</f>
        <v>0</v>
      </c>
      <c r="F2230">
        <f>IF(Table1[[#This Row],[New Pos L]]&lt;&gt;0,Table1[[#This Row],[New Pos L]],Table1[[#This Row],[New Pos R]])</f>
        <v>0</v>
      </c>
    </row>
    <row r="2231" spans="1:6" ht="16" x14ac:dyDescent="0.2">
      <c r="A2231" s="1" t="s">
        <v>105</v>
      </c>
      <c r="B2231" t="str">
        <f>LEFT(Table1[[#This Row],[Input]],1)</f>
        <v>R</v>
      </c>
      <c r="C2231">
        <f>_xlfn.LET(_xlpm.steps,SUBSTITUTE(Table1[[#This Row],[Input]],Table1[[#This Row],[Direction]],""),VALUE(IF(LEN(_xlpm.steps)&gt;2,RIGHT(_xlpm.steps,2),_xlpm.steps)))</f>
        <v>98</v>
      </c>
      <c r="D2231">
        <f>_xlfn.LET(_xlpm.dir,Table1[[#This Row],[Direction]],
IF(_xlpm.dir="L",
    IF(F2230-Table1[[#This Row],[Steps]]&lt;0,100+(F2230-Table1[[#This Row],[Steps]]),F2230-Table1[[#This Row],[Steps]]),
))</f>
        <v>0</v>
      </c>
      <c r="E2231">
        <f>_xlfn.LET(_xlpm.dir,Table1[[#This Row],[Direction]],
IF(_xlpm.dir="R",
    IF(F2230+Table1[[#This Row],[Steps]]&gt;99,(F2230+Table1[[#This Row],[Steps]])-100,F2230+Table1[[#This Row],[Steps]]),
))</f>
        <v>98</v>
      </c>
      <c r="F2231">
        <f>IF(Table1[[#This Row],[New Pos L]]&lt;&gt;0,Table1[[#This Row],[New Pos L]],Table1[[#This Row],[New Pos R]])</f>
        <v>98</v>
      </c>
    </row>
    <row r="2232" spans="1:6" ht="16" x14ac:dyDescent="0.2">
      <c r="A2232" s="1" t="s">
        <v>21</v>
      </c>
      <c r="B2232" t="str">
        <f>LEFT(Table1[[#This Row],[Input]],1)</f>
        <v>L</v>
      </c>
      <c r="C2232">
        <f>_xlfn.LET(_xlpm.steps,SUBSTITUTE(Table1[[#This Row],[Input]],Table1[[#This Row],[Direction]],""),VALUE(IF(LEN(_xlpm.steps)&gt;2,RIGHT(_xlpm.steps,2),_xlpm.steps)))</f>
        <v>36</v>
      </c>
      <c r="D2232">
        <f>_xlfn.LET(_xlpm.dir,Table1[[#This Row],[Direction]],
IF(_xlpm.dir="L",
    IF(F2231-Table1[[#This Row],[Steps]]&lt;0,100+(F2231-Table1[[#This Row],[Steps]]),F2231-Table1[[#This Row],[Steps]]),
))</f>
        <v>62</v>
      </c>
      <c r="E2232">
        <f>_xlfn.LET(_xlpm.dir,Table1[[#This Row],[Direction]],
IF(_xlpm.dir="R",
    IF(F2231+Table1[[#This Row],[Steps]]&gt;99,(F2231+Table1[[#This Row],[Steps]])-100,F2231+Table1[[#This Row],[Steps]]),
))</f>
        <v>0</v>
      </c>
      <c r="F2232">
        <f>IF(Table1[[#This Row],[New Pos L]]&lt;&gt;0,Table1[[#This Row],[New Pos L]],Table1[[#This Row],[New Pos R]])</f>
        <v>62</v>
      </c>
    </row>
    <row r="2233" spans="1:6" ht="16" x14ac:dyDescent="0.2">
      <c r="A2233" s="1" t="s">
        <v>192</v>
      </c>
      <c r="B2233" t="str">
        <f>LEFT(Table1[[#This Row],[Input]],1)</f>
        <v>L</v>
      </c>
      <c r="C2233">
        <f>_xlfn.LET(_xlpm.steps,SUBSTITUTE(Table1[[#This Row],[Input]],Table1[[#This Row],[Direction]],""),VALUE(IF(LEN(_xlpm.steps)&gt;2,RIGHT(_xlpm.steps,2),_xlpm.steps)))</f>
        <v>52</v>
      </c>
      <c r="D2233">
        <f>_xlfn.LET(_xlpm.dir,Table1[[#This Row],[Direction]],
IF(_xlpm.dir="L",
    IF(F2232-Table1[[#This Row],[Steps]]&lt;0,100+(F2232-Table1[[#This Row],[Steps]]),F2232-Table1[[#This Row],[Steps]]),
))</f>
        <v>10</v>
      </c>
      <c r="E2233">
        <f>_xlfn.LET(_xlpm.dir,Table1[[#This Row],[Direction]],
IF(_xlpm.dir="R",
    IF(F2232+Table1[[#This Row],[Steps]]&gt;99,(F2232+Table1[[#This Row],[Steps]])-100,F2232+Table1[[#This Row],[Steps]]),
))</f>
        <v>0</v>
      </c>
      <c r="F2233">
        <f>IF(Table1[[#This Row],[New Pos L]]&lt;&gt;0,Table1[[#This Row],[New Pos L]],Table1[[#This Row],[New Pos R]])</f>
        <v>10</v>
      </c>
    </row>
    <row r="2234" spans="1:6" ht="16" x14ac:dyDescent="0.2">
      <c r="A2234" s="1" t="s">
        <v>585</v>
      </c>
      <c r="B2234" t="str">
        <f>LEFT(Table1[[#This Row],[Input]],1)</f>
        <v>R</v>
      </c>
      <c r="C2234">
        <f>_xlfn.LET(_xlpm.steps,SUBSTITUTE(Table1[[#This Row],[Input]],Table1[[#This Row],[Direction]],""),VALUE(IF(LEN(_xlpm.steps)&gt;2,RIGHT(_xlpm.steps,2),_xlpm.steps)))</f>
        <v>90</v>
      </c>
      <c r="D2234">
        <f>_xlfn.LET(_xlpm.dir,Table1[[#This Row],[Direction]],
IF(_xlpm.dir="L",
    IF(F2233-Table1[[#This Row],[Steps]]&lt;0,100+(F2233-Table1[[#This Row],[Steps]]),F2233-Table1[[#This Row],[Steps]]),
))</f>
        <v>0</v>
      </c>
      <c r="E2234">
        <f>_xlfn.LET(_xlpm.dir,Table1[[#This Row],[Direction]],
IF(_xlpm.dir="R",
    IF(F2233+Table1[[#This Row],[Steps]]&gt;99,(F2233+Table1[[#This Row],[Steps]])-100,F2233+Table1[[#This Row],[Steps]]),
))</f>
        <v>0</v>
      </c>
      <c r="F2234">
        <f>IF(Table1[[#This Row],[New Pos L]]&lt;&gt;0,Table1[[#This Row],[New Pos L]],Table1[[#This Row],[New Pos R]])</f>
        <v>0</v>
      </c>
    </row>
    <row r="2235" spans="1:6" ht="16" x14ac:dyDescent="0.2">
      <c r="A2235" s="1" t="s">
        <v>83</v>
      </c>
      <c r="B2235" t="str">
        <f>LEFT(Table1[[#This Row],[Input]],1)</f>
        <v>R</v>
      </c>
      <c r="C2235">
        <f>_xlfn.LET(_xlpm.steps,SUBSTITUTE(Table1[[#This Row],[Input]],Table1[[#This Row],[Direction]],""),VALUE(IF(LEN(_xlpm.steps)&gt;2,RIGHT(_xlpm.steps,2),_xlpm.steps)))</f>
        <v>79</v>
      </c>
      <c r="D2235">
        <f>_xlfn.LET(_xlpm.dir,Table1[[#This Row],[Direction]],
IF(_xlpm.dir="L",
    IF(F2234-Table1[[#This Row],[Steps]]&lt;0,100+(F2234-Table1[[#This Row],[Steps]]),F2234-Table1[[#This Row],[Steps]]),
))</f>
        <v>0</v>
      </c>
      <c r="E2235">
        <f>_xlfn.LET(_xlpm.dir,Table1[[#This Row],[Direction]],
IF(_xlpm.dir="R",
    IF(F2234+Table1[[#This Row],[Steps]]&gt;99,(F2234+Table1[[#This Row],[Steps]])-100,F2234+Table1[[#This Row],[Steps]]),
))</f>
        <v>79</v>
      </c>
      <c r="F2235">
        <f>IF(Table1[[#This Row],[New Pos L]]&lt;&gt;0,Table1[[#This Row],[New Pos L]],Table1[[#This Row],[New Pos R]])</f>
        <v>79</v>
      </c>
    </row>
    <row r="2236" spans="1:6" ht="16" x14ac:dyDescent="0.2">
      <c r="A2236" s="1" t="s">
        <v>181</v>
      </c>
      <c r="B2236" t="str">
        <f>LEFT(Table1[[#This Row],[Input]],1)</f>
        <v>L</v>
      </c>
      <c r="C2236">
        <f>_xlfn.LET(_xlpm.steps,SUBSTITUTE(Table1[[#This Row],[Input]],Table1[[#This Row],[Direction]],""),VALUE(IF(LEN(_xlpm.steps)&gt;2,RIGHT(_xlpm.steps,2),_xlpm.steps)))</f>
        <v>53</v>
      </c>
      <c r="D2236">
        <f>_xlfn.LET(_xlpm.dir,Table1[[#This Row],[Direction]],
IF(_xlpm.dir="L",
    IF(F2235-Table1[[#This Row],[Steps]]&lt;0,100+(F2235-Table1[[#This Row],[Steps]]),F2235-Table1[[#This Row],[Steps]]),
))</f>
        <v>26</v>
      </c>
      <c r="E2236">
        <f>_xlfn.LET(_xlpm.dir,Table1[[#This Row],[Direction]],
IF(_xlpm.dir="R",
    IF(F2235+Table1[[#This Row],[Steps]]&gt;99,(F2235+Table1[[#This Row],[Steps]])-100,F2235+Table1[[#This Row],[Steps]]),
))</f>
        <v>0</v>
      </c>
      <c r="F2236">
        <f>IF(Table1[[#This Row],[New Pos L]]&lt;&gt;0,Table1[[#This Row],[New Pos L]],Table1[[#This Row],[New Pos R]])</f>
        <v>26</v>
      </c>
    </row>
    <row r="2237" spans="1:6" ht="16" x14ac:dyDescent="0.2">
      <c r="A2237" s="1" t="s">
        <v>304</v>
      </c>
      <c r="B2237" t="str">
        <f>LEFT(Table1[[#This Row],[Input]],1)</f>
        <v>L</v>
      </c>
      <c r="C2237">
        <f>_xlfn.LET(_xlpm.steps,SUBSTITUTE(Table1[[#This Row],[Input]],Table1[[#This Row],[Direction]],""),VALUE(IF(LEN(_xlpm.steps)&gt;2,RIGHT(_xlpm.steps,2),_xlpm.steps)))</f>
        <v>26</v>
      </c>
      <c r="D2237">
        <f>_xlfn.LET(_xlpm.dir,Table1[[#This Row],[Direction]],
IF(_xlpm.dir="L",
    IF(F2236-Table1[[#This Row],[Steps]]&lt;0,100+(F2236-Table1[[#This Row],[Steps]]),F2236-Table1[[#This Row],[Steps]]),
))</f>
        <v>0</v>
      </c>
      <c r="E2237">
        <f>_xlfn.LET(_xlpm.dir,Table1[[#This Row],[Direction]],
IF(_xlpm.dir="R",
    IF(F2236+Table1[[#This Row],[Steps]]&gt;99,(F2236+Table1[[#This Row],[Steps]])-100,F2236+Table1[[#This Row],[Steps]]),
))</f>
        <v>0</v>
      </c>
      <c r="F2237">
        <f>IF(Table1[[#This Row],[New Pos L]]&lt;&gt;0,Table1[[#This Row],[New Pos L]],Table1[[#This Row],[New Pos R]])</f>
        <v>0</v>
      </c>
    </row>
    <row r="2238" spans="1:6" ht="16" x14ac:dyDescent="0.2">
      <c r="A2238" s="1" t="s">
        <v>167</v>
      </c>
      <c r="B2238" t="str">
        <f>LEFT(Table1[[#This Row],[Input]],1)</f>
        <v>L</v>
      </c>
      <c r="C2238">
        <f>_xlfn.LET(_xlpm.steps,SUBSTITUTE(Table1[[#This Row],[Input]],Table1[[#This Row],[Direction]],""),VALUE(IF(LEN(_xlpm.steps)&gt;2,RIGHT(_xlpm.steps,2),_xlpm.steps)))</f>
        <v>59</v>
      </c>
      <c r="D2238">
        <f>_xlfn.LET(_xlpm.dir,Table1[[#This Row],[Direction]],
IF(_xlpm.dir="L",
    IF(F2237-Table1[[#This Row],[Steps]]&lt;0,100+(F2237-Table1[[#This Row],[Steps]]),F2237-Table1[[#This Row],[Steps]]),
))</f>
        <v>41</v>
      </c>
      <c r="E2238">
        <f>_xlfn.LET(_xlpm.dir,Table1[[#This Row],[Direction]],
IF(_xlpm.dir="R",
    IF(F2237+Table1[[#This Row],[Steps]]&gt;99,(F2237+Table1[[#This Row],[Steps]])-100,F2237+Table1[[#This Row],[Steps]]),
))</f>
        <v>0</v>
      </c>
      <c r="F2238">
        <f>IF(Table1[[#This Row],[New Pos L]]&lt;&gt;0,Table1[[#This Row],[New Pos L]],Table1[[#This Row],[New Pos R]])</f>
        <v>41</v>
      </c>
    </row>
    <row r="2239" spans="1:6" ht="16" x14ac:dyDescent="0.2">
      <c r="A2239" s="1" t="s">
        <v>195</v>
      </c>
      <c r="B2239" t="str">
        <f>LEFT(Table1[[#This Row],[Input]],1)</f>
        <v>R</v>
      </c>
      <c r="C2239">
        <f>_xlfn.LET(_xlpm.steps,SUBSTITUTE(Table1[[#This Row],[Input]],Table1[[#This Row],[Direction]],""),VALUE(IF(LEN(_xlpm.steps)&gt;2,RIGHT(_xlpm.steps,2),_xlpm.steps)))</f>
        <v>40</v>
      </c>
      <c r="D2239">
        <f>_xlfn.LET(_xlpm.dir,Table1[[#This Row],[Direction]],
IF(_xlpm.dir="L",
    IF(F2238-Table1[[#This Row],[Steps]]&lt;0,100+(F2238-Table1[[#This Row],[Steps]]),F2238-Table1[[#This Row],[Steps]]),
))</f>
        <v>0</v>
      </c>
      <c r="E2239">
        <f>_xlfn.LET(_xlpm.dir,Table1[[#This Row],[Direction]],
IF(_xlpm.dir="R",
    IF(F2238+Table1[[#This Row],[Steps]]&gt;99,(F2238+Table1[[#This Row],[Steps]])-100,F2238+Table1[[#This Row],[Steps]]),
))</f>
        <v>81</v>
      </c>
      <c r="F2239">
        <f>IF(Table1[[#This Row],[New Pos L]]&lt;&gt;0,Table1[[#This Row],[New Pos L]],Table1[[#This Row],[New Pos R]])</f>
        <v>81</v>
      </c>
    </row>
    <row r="2240" spans="1:6" ht="16" x14ac:dyDescent="0.2">
      <c r="A2240" s="1" t="s">
        <v>260</v>
      </c>
      <c r="B2240" t="str">
        <f>LEFT(Table1[[#This Row],[Input]],1)</f>
        <v>L</v>
      </c>
      <c r="C2240">
        <f>_xlfn.LET(_xlpm.steps,SUBSTITUTE(Table1[[#This Row],[Input]],Table1[[#This Row],[Direction]],""),VALUE(IF(LEN(_xlpm.steps)&gt;2,RIGHT(_xlpm.steps,2),_xlpm.steps)))</f>
        <v>85</v>
      </c>
      <c r="D2240">
        <f>_xlfn.LET(_xlpm.dir,Table1[[#This Row],[Direction]],
IF(_xlpm.dir="L",
    IF(F2239-Table1[[#This Row],[Steps]]&lt;0,100+(F2239-Table1[[#This Row],[Steps]]),F2239-Table1[[#This Row],[Steps]]),
))</f>
        <v>96</v>
      </c>
      <c r="E2240">
        <f>_xlfn.LET(_xlpm.dir,Table1[[#This Row],[Direction]],
IF(_xlpm.dir="R",
    IF(F2239+Table1[[#This Row],[Steps]]&gt;99,(F2239+Table1[[#This Row],[Steps]])-100,F2239+Table1[[#This Row],[Steps]]),
))</f>
        <v>0</v>
      </c>
      <c r="F2240">
        <f>IF(Table1[[#This Row],[New Pos L]]&lt;&gt;0,Table1[[#This Row],[New Pos L]],Table1[[#This Row],[New Pos R]])</f>
        <v>96</v>
      </c>
    </row>
    <row r="2241" spans="1:6" ht="16" x14ac:dyDescent="0.2">
      <c r="A2241" s="1" t="s">
        <v>20</v>
      </c>
      <c r="B2241" t="str">
        <f>LEFT(Table1[[#This Row],[Input]],1)</f>
        <v>R</v>
      </c>
      <c r="C2241">
        <f>_xlfn.LET(_xlpm.steps,SUBSTITUTE(Table1[[#This Row],[Input]],Table1[[#This Row],[Direction]],""),VALUE(IF(LEN(_xlpm.steps)&gt;2,RIGHT(_xlpm.steps,2),_xlpm.steps)))</f>
        <v>46</v>
      </c>
      <c r="D2241">
        <f>_xlfn.LET(_xlpm.dir,Table1[[#This Row],[Direction]],
IF(_xlpm.dir="L",
    IF(F2240-Table1[[#This Row],[Steps]]&lt;0,100+(F2240-Table1[[#This Row],[Steps]]),F2240-Table1[[#This Row],[Steps]]),
))</f>
        <v>0</v>
      </c>
      <c r="E2241">
        <f>_xlfn.LET(_xlpm.dir,Table1[[#This Row],[Direction]],
IF(_xlpm.dir="R",
    IF(F2240+Table1[[#This Row],[Steps]]&gt;99,(F2240+Table1[[#This Row],[Steps]])-100,F2240+Table1[[#This Row],[Steps]]),
))</f>
        <v>42</v>
      </c>
      <c r="F2241">
        <f>IF(Table1[[#This Row],[New Pos L]]&lt;&gt;0,Table1[[#This Row],[New Pos L]],Table1[[#This Row],[New Pos R]])</f>
        <v>42</v>
      </c>
    </row>
    <row r="2242" spans="1:6" ht="16" x14ac:dyDescent="0.2">
      <c r="A2242" s="1" t="s">
        <v>100</v>
      </c>
      <c r="B2242" t="str">
        <f>LEFT(Table1[[#This Row],[Input]],1)</f>
        <v>R</v>
      </c>
      <c r="C2242">
        <f>_xlfn.LET(_xlpm.steps,SUBSTITUTE(Table1[[#This Row],[Input]],Table1[[#This Row],[Direction]],""),VALUE(IF(LEN(_xlpm.steps)&gt;2,RIGHT(_xlpm.steps,2),_xlpm.steps)))</f>
        <v>58</v>
      </c>
      <c r="D2242">
        <f>_xlfn.LET(_xlpm.dir,Table1[[#This Row],[Direction]],
IF(_xlpm.dir="L",
    IF(F2241-Table1[[#This Row],[Steps]]&lt;0,100+(F2241-Table1[[#This Row],[Steps]]),F2241-Table1[[#This Row],[Steps]]),
))</f>
        <v>0</v>
      </c>
      <c r="E2242">
        <f>_xlfn.LET(_xlpm.dir,Table1[[#This Row],[Direction]],
IF(_xlpm.dir="R",
    IF(F2241+Table1[[#This Row],[Steps]]&gt;99,(F2241+Table1[[#This Row],[Steps]])-100,F2241+Table1[[#This Row],[Steps]]),
))</f>
        <v>0</v>
      </c>
      <c r="F2242">
        <f>IF(Table1[[#This Row],[New Pos L]]&lt;&gt;0,Table1[[#This Row],[New Pos L]],Table1[[#This Row],[New Pos R]])</f>
        <v>0</v>
      </c>
    </row>
    <row r="2243" spans="1:6" ht="16" x14ac:dyDescent="0.2">
      <c r="A2243" s="1" t="s">
        <v>69</v>
      </c>
      <c r="B2243" t="str">
        <f>LEFT(Table1[[#This Row],[Input]],1)</f>
        <v>R</v>
      </c>
      <c r="C2243">
        <f>_xlfn.LET(_xlpm.steps,SUBSTITUTE(Table1[[#This Row],[Input]],Table1[[#This Row],[Direction]],""),VALUE(IF(LEN(_xlpm.steps)&gt;2,RIGHT(_xlpm.steps,2),_xlpm.steps)))</f>
        <v>27</v>
      </c>
      <c r="D2243">
        <f>_xlfn.LET(_xlpm.dir,Table1[[#This Row],[Direction]],
IF(_xlpm.dir="L",
    IF(F2242-Table1[[#This Row],[Steps]]&lt;0,100+(F2242-Table1[[#This Row],[Steps]]),F2242-Table1[[#This Row],[Steps]]),
))</f>
        <v>0</v>
      </c>
      <c r="E2243">
        <f>_xlfn.LET(_xlpm.dir,Table1[[#This Row],[Direction]],
IF(_xlpm.dir="R",
    IF(F2242+Table1[[#This Row],[Steps]]&gt;99,(F2242+Table1[[#This Row],[Steps]])-100,F2242+Table1[[#This Row],[Steps]]),
))</f>
        <v>27</v>
      </c>
      <c r="F2243">
        <f>IF(Table1[[#This Row],[New Pos L]]&lt;&gt;0,Table1[[#This Row],[New Pos L]],Table1[[#This Row],[New Pos R]])</f>
        <v>27</v>
      </c>
    </row>
    <row r="2244" spans="1:6" ht="16" x14ac:dyDescent="0.2">
      <c r="A2244" s="1" t="s">
        <v>213</v>
      </c>
      <c r="B2244" t="str">
        <f>LEFT(Table1[[#This Row],[Input]],1)</f>
        <v>R</v>
      </c>
      <c r="C2244">
        <f>_xlfn.LET(_xlpm.steps,SUBSTITUTE(Table1[[#This Row],[Input]],Table1[[#This Row],[Direction]],""),VALUE(IF(LEN(_xlpm.steps)&gt;2,RIGHT(_xlpm.steps,2),_xlpm.steps)))</f>
        <v>87</v>
      </c>
      <c r="D2244">
        <f>_xlfn.LET(_xlpm.dir,Table1[[#This Row],[Direction]],
IF(_xlpm.dir="L",
    IF(F2243-Table1[[#This Row],[Steps]]&lt;0,100+(F2243-Table1[[#This Row],[Steps]]),F2243-Table1[[#This Row],[Steps]]),
))</f>
        <v>0</v>
      </c>
      <c r="E2244">
        <f>_xlfn.LET(_xlpm.dir,Table1[[#This Row],[Direction]],
IF(_xlpm.dir="R",
    IF(F2243+Table1[[#This Row],[Steps]]&gt;99,(F2243+Table1[[#This Row],[Steps]])-100,F2243+Table1[[#This Row],[Steps]]),
))</f>
        <v>14</v>
      </c>
      <c r="F2244">
        <f>IF(Table1[[#This Row],[New Pos L]]&lt;&gt;0,Table1[[#This Row],[New Pos L]],Table1[[#This Row],[New Pos R]])</f>
        <v>14</v>
      </c>
    </row>
    <row r="2245" spans="1:6" ht="16" x14ac:dyDescent="0.2">
      <c r="A2245" s="1" t="s">
        <v>139</v>
      </c>
      <c r="B2245" t="str">
        <f>LEFT(Table1[[#This Row],[Input]],1)</f>
        <v>R</v>
      </c>
      <c r="C2245">
        <f>_xlfn.LET(_xlpm.steps,SUBSTITUTE(Table1[[#This Row],[Input]],Table1[[#This Row],[Direction]],""),VALUE(IF(LEN(_xlpm.steps)&gt;2,RIGHT(_xlpm.steps,2),_xlpm.steps)))</f>
        <v>38</v>
      </c>
      <c r="D2245">
        <f>_xlfn.LET(_xlpm.dir,Table1[[#This Row],[Direction]],
IF(_xlpm.dir="L",
    IF(F2244-Table1[[#This Row],[Steps]]&lt;0,100+(F2244-Table1[[#This Row],[Steps]]),F2244-Table1[[#This Row],[Steps]]),
))</f>
        <v>0</v>
      </c>
      <c r="E2245">
        <f>_xlfn.LET(_xlpm.dir,Table1[[#This Row],[Direction]],
IF(_xlpm.dir="R",
    IF(F2244+Table1[[#This Row],[Steps]]&gt;99,(F2244+Table1[[#This Row],[Steps]])-100,F2244+Table1[[#This Row],[Steps]]),
))</f>
        <v>52</v>
      </c>
      <c r="F2245">
        <f>IF(Table1[[#This Row],[New Pos L]]&lt;&gt;0,Table1[[#This Row],[New Pos L]],Table1[[#This Row],[New Pos R]])</f>
        <v>52</v>
      </c>
    </row>
    <row r="2246" spans="1:6" ht="16" x14ac:dyDescent="0.2">
      <c r="A2246" s="1" t="s">
        <v>427</v>
      </c>
      <c r="B2246" t="str">
        <f>LEFT(Table1[[#This Row],[Input]],1)</f>
        <v>R</v>
      </c>
      <c r="C2246">
        <f>_xlfn.LET(_xlpm.steps,SUBSTITUTE(Table1[[#This Row],[Input]],Table1[[#This Row],[Direction]],""),VALUE(IF(LEN(_xlpm.steps)&gt;2,RIGHT(_xlpm.steps,2),_xlpm.steps)))</f>
        <v>37</v>
      </c>
      <c r="D2246">
        <f>_xlfn.LET(_xlpm.dir,Table1[[#This Row],[Direction]],
IF(_xlpm.dir="L",
    IF(F2245-Table1[[#This Row],[Steps]]&lt;0,100+(F2245-Table1[[#This Row],[Steps]]),F2245-Table1[[#This Row],[Steps]]),
))</f>
        <v>0</v>
      </c>
      <c r="E2246">
        <f>_xlfn.LET(_xlpm.dir,Table1[[#This Row],[Direction]],
IF(_xlpm.dir="R",
    IF(F2245+Table1[[#This Row],[Steps]]&gt;99,(F2245+Table1[[#This Row],[Steps]])-100,F2245+Table1[[#This Row],[Steps]]),
))</f>
        <v>89</v>
      </c>
      <c r="F2246">
        <f>IF(Table1[[#This Row],[New Pos L]]&lt;&gt;0,Table1[[#This Row],[New Pos L]],Table1[[#This Row],[New Pos R]])</f>
        <v>89</v>
      </c>
    </row>
    <row r="2247" spans="1:6" ht="16" x14ac:dyDescent="0.2">
      <c r="A2247" s="1" t="s">
        <v>52</v>
      </c>
      <c r="B2247" t="str">
        <f>LEFT(Table1[[#This Row],[Input]],1)</f>
        <v>R</v>
      </c>
      <c r="C2247">
        <f>_xlfn.LET(_xlpm.steps,SUBSTITUTE(Table1[[#This Row],[Input]],Table1[[#This Row],[Direction]],""),VALUE(IF(LEN(_xlpm.steps)&gt;2,RIGHT(_xlpm.steps,2),_xlpm.steps)))</f>
        <v>11</v>
      </c>
      <c r="D2247">
        <f>_xlfn.LET(_xlpm.dir,Table1[[#This Row],[Direction]],
IF(_xlpm.dir="L",
    IF(F2246-Table1[[#This Row],[Steps]]&lt;0,100+(F2246-Table1[[#This Row],[Steps]]),F2246-Table1[[#This Row],[Steps]]),
))</f>
        <v>0</v>
      </c>
      <c r="E2247">
        <f>_xlfn.LET(_xlpm.dir,Table1[[#This Row],[Direction]],
IF(_xlpm.dir="R",
    IF(F2246+Table1[[#This Row],[Steps]]&gt;99,(F2246+Table1[[#This Row],[Steps]])-100,F2246+Table1[[#This Row],[Steps]]),
))</f>
        <v>0</v>
      </c>
      <c r="F2247">
        <f>IF(Table1[[#This Row],[New Pos L]]&lt;&gt;0,Table1[[#This Row],[New Pos L]],Table1[[#This Row],[New Pos R]])</f>
        <v>0</v>
      </c>
    </row>
    <row r="2248" spans="1:6" ht="16" x14ac:dyDescent="0.2">
      <c r="A2248" s="1" t="s">
        <v>151</v>
      </c>
      <c r="B2248" t="str">
        <f>LEFT(Table1[[#This Row],[Input]],1)</f>
        <v>L</v>
      </c>
      <c r="C2248">
        <f>_xlfn.LET(_xlpm.steps,SUBSTITUTE(Table1[[#This Row],[Input]],Table1[[#This Row],[Direction]],""),VALUE(IF(LEN(_xlpm.steps)&gt;2,RIGHT(_xlpm.steps,2),_xlpm.steps)))</f>
        <v>74</v>
      </c>
      <c r="D2248">
        <f>_xlfn.LET(_xlpm.dir,Table1[[#This Row],[Direction]],
IF(_xlpm.dir="L",
    IF(F2247-Table1[[#This Row],[Steps]]&lt;0,100+(F2247-Table1[[#This Row],[Steps]]),F2247-Table1[[#This Row],[Steps]]),
))</f>
        <v>26</v>
      </c>
      <c r="E2248">
        <f>_xlfn.LET(_xlpm.dir,Table1[[#This Row],[Direction]],
IF(_xlpm.dir="R",
    IF(F2247+Table1[[#This Row],[Steps]]&gt;99,(F2247+Table1[[#This Row],[Steps]])-100,F2247+Table1[[#This Row],[Steps]]),
))</f>
        <v>0</v>
      </c>
      <c r="F2248">
        <f>IF(Table1[[#This Row],[New Pos L]]&lt;&gt;0,Table1[[#This Row],[New Pos L]],Table1[[#This Row],[New Pos R]])</f>
        <v>26</v>
      </c>
    </row>
    <row r="2249" spans="1:6" ht="16" x14ac:dyDescent="0.2">
      <c r="A2249" s="1" t="s">
        <v>111</v>
      </c>
      <c r="B2249" t="str">
        <f>LEFT(Table1[[#This Row],[Input]],1)</f>
        <v>R</v>
      </c>
      <c r="C2249">
        <f>_xlfn.LET(_xlpm.steps,SUBSTITUTE(Table1[[#This Row],[Input]],Table1[[#This Row],[Direction]],""),VALUE(IF(LEN(_xlpm.steps)&gt;2,RIGHT(_xlpm.steps,2),_xlpm.steps)))</f>
        <v>64</v>
      </c>
      <c r="D2249">
        <f>_xlfn.LET(_xlpm.dir,Table1[[#This Row],[Direction]],
IF(_xlpm.dir="L",
    IF(F2248-Table1[[#This Row],[Steps]]&lt;0,100+(F2248-Table1[[#This Row],[Steps]]),F2248-Table1[[#This Row],[Steps]]),
))</f>
        <v>0</v>
      </c>
      <c r="E2249">
        <f>_xlfn.LET(_xlpm.dir,Table1[[#This Row],[Direction]],
IF(_xlpm.dir="R",
    IF(F2248+Table1[[#This Row],[Steps]]&gt;99,(F2248+Table1[[#This Row],[Steps]])-100,F2248+Table1[[#This Row],[Steps]]),
))</f>
        <v>90</v>
      </c>
      <c r="F2249">
        <f>IF(Table1[[#This Row],[New Pos L]]&lt;&gt;0,Table1[[#This Row],[New Pos L]],Table1[[#This Row],[New Pos R]])</f>
        <v>90</v>
      </c>
    </row>
    <row r="2250" spans="1:6" ht="16" x14ac:dyDescent="0.2">
      <c r="A2250" s="1" t="s">
        <v>586</v>
      </c>
      <c r="B2250" t="str">
        <f>LEFT(Table1[[#This Row],[Input]],1)</f>
        <v>R</v>
      </c>
      <c r="C2250">
        <f>_xlfn.LET(_xlpm.steps,SUBSTITUTE(Table1[[#This Row],[Input]],Table1[[#This Row],[Direction]],""),VALUE(IF(LEN(_xlpm.steps)&gt;2,RIGHT(_xlpm.steps,2),_xlpm.steps)))</f>
        <v>85</v>
      </c>
      <c r="D2250">
        <f>_xlfn.LET(_xlpm.dir,Table1[[#This Row],[Direction]],
IF(_xlpm.dir="L",
    IF(F2249-Table1[[#This Row],[Steps]]&lt;0,100+(F2249-Table1[[#This Row],[Steps]]),F2249-Table1[[#This Row],[Steps]]),
))</f>
        <v>0</v>
      </c>
      <c r="E2250">
        <f>_xlfn.LET(_xlpm.dir,Table1[[#This Row],[Direction]],
IF(_xlpm.dir="R",
    IF(F2249+Table1[[#This Row],[Steps]]&gt;99,(F2249+Table1[[#This Row],[Steps]])-100,F2249+Table1[[#This Row],[Steps]]),
))</f>
        <v>75</v>
      </c>
      <c r="F2250">
        <f>IF(Table1[[#This Row],[New Pos L]]&lt;&gt;0,Table1[[#This Row],[New Pos L]],Table1[[#This Row],[New Pos R]])</f>
        <v>75</v>
      </c>
    </row>
    <row r="2251" spans="1:6" ht="16" x14ac:dyDescent="0.2">
      <c r="A2251" s="1" t="s">
        <v>272</v>
      </c>
      <c r="B2251" t="str">
        <f>LEFT(Table1[[#This Row],[Input]],1)</f>
        <v>R</v>
      </c>
      <c r="C2251">
        <f>_xlfn.LET(_xlpm.steps,SUBSTITUTE(Table1[[#This Row],[Input]],Table1[[#This Row],[Direction]],""),VALUE(IF(LEN(_xlpm.steps)&gt;2,RIGHT(_xlpm.steps,2),_xlpm.steps)))</f>
        <v>56</v>
      </c>
      <c r="D2251">
        <f>_xlfn.LET(_xlpm.dir,Table1[[#This Row],[Direction]],
IF(_xlpm.dir="L",
    IF(F2250-Table1[[#This Row],[Steps]]&lt;0,100+(F2250-Table1[[#This Row],[Steps]]),F2250-Table1[[#This Row],[Steps]]),
))</f>
        <v>0</v>
      </c>
      <c r="E2251">
        <f>_xlfn.LET(_xlpm.dir,Table1[[#This Row],[Direction]],
IF(_xlpm.dir="R",
    IF(F2250+Table1[[#This Row],[Steps]]&gt;99,(F2250+Table1[[#This Row],[Steps]])-100,F2250+Table1[[#This Row],[Steps]]),
))</f>
        <v>31</v>
      </c>
      <c r="F2251">
        <f>IF(Table1[[#This Row],[New Pos L]]&lt;&gt;0,Table1[[#This Row],[New Pos L]],Table1[[#This Row],[New Pos R]])</f>
        <v>31</v>
      </c>
    </row>
    <row r="2252" spans="1:6" ht="16" x14ac:dyDescent="0.2">
      <c r="A2252" s="1" t="s">
        <v>127</v>
      </c>
      <c r="B2252" t="str">
        <f>LEFT(Table1[[#This Row],[Input]],1)</f>
        <v>L</v>
      </c>
      <c r="C2252">
        <f>_xlfn.LET(_xlpm.steps,SUBSTITUTE(Table1[[#This Row],[Input]],Table1[[#This Row],[Direction]],""),VALUE(IF(LEN(_xlpm.steps)&gt;2,RIGHT(_xlpm.steps,2),_xlpm.steps)))</f>
        <v>62</v>
      </c>
      <c r="D2252">
        <f>_xlfn.LET(_xlpm.dir,Table1[[#This Row],[Direction]],
IF(_xlpm.dir="L",
    IF(F2251-Table1[[#This Row],[Steps]]&lt;0,100+(F2251-Table1[[#This Row],[Steps]]),F2251-Table1[[#This Row],[Steps]]),
))</f>
        <v>69</v>
      </c>
      <c r="E2252">
        <f>_xlfn.LET(_xlpm.dir,Table1[[#This Row],[Direction]],
IF(_xlpm.dir="R",
    IF(F2251+Table1[[#This Row],[Steps]]&gt;99,(F2251+Table1[[#This Row],[Steps]])-100,F2251+Table1[[#This Row],[Steps]]),
))</f>
        <v>0</v>
      </c>
      <c r="F2252">
        <f>IF(Table1[[#This Row],[New Pos L]]&lt;&gt;0,Table1[[#This Row],[New Pos L]],Table1[[#This Row],[New Pos R]])</f>
        <v>69</v>
      </c>
    </row>
    <row r="2253" spans="1:6" ht="16" x14ac:dyDescent="0.2">
      <c r="A2253" s="1" t="s">
        <v>5</v>
      </c>
      <c r="B2253" t="str">
        <f>LEFT(Table1[[#This Row],[Input]],1)</f>
        <v>R</v>
      </c>
      <c r="C2253">
        <f>_xlfn.LET(_xlpm.steps,SUBSTITUTE(Table1[[#This Row],[Input]],Table1[[#This Row],[Direction]],""),VALUE(IF(LEN(_xlpm.steps)&gt;2,RIGHT(_xlpm.steps,2),_xlpm.steps)))</f>
        <v>1</v>
      </c>
      <c r="D2253">
        <f>_xlfn.LET(_xlpm.dir,Table1[[#This Row],[Direction]],
IF(_xlpm.dir="L",
    IF(F2252-Table1[[#This Row],[Steps]]&lt;0,100+(F2252-Table1[[#This Row],[Steps]]),F2252-Table1[[#This Row],[Steps]]),
))</f>
        <v>0</v>
      </c>
      <c r="E2253">
        <f>_xlfn.LET(_xlpm.dir,Table1[[#This Row],[Direction]],
IF(_xlpm.dir="R",
    IF(F2252+Table1[[#This Row],[Steps]]&gt;99,(F2252+Table1[[#This Row],[Steps]])-100,F2252+Table1[[#This Row],[Steps]]),
))</f>
        <v>70</v>
      </c>
      <c r="F2253">
        <f>IF(Table1[[#This Row],[New Pos L]]&lt;&gt;0,Table1[[#This Row],[New Pos L]],Table1[[#This Row],[New Pos R]])</f>
        <v>70</v>
      </c>
    </row>
    <row r="2254" spans="1:6" ht="16" x14ac:dyDescent="0.2">
      <c r="A2254" s="1" t="s">
        <v>587</v>
      </c>
      <c r="B2254" t="str">
        <f>LEFT(Table1[[#This Row],[Input]],1)</f>
        <v>R</v>
      </c>
      <c r="C2254">
        <f>_xlfn.LET(_xlpm.steps,SUBSTITUTE(Table1[[#This Row],[Input]],Table1[[#This Row],[Direction]],""),VALUE(IF(LEN(_xlpm.steps)&gt;2,RIGHT(_xlpm.steps,2),_xlpm.steps)))</f>
        <v>32</v>
      </c>
      <c r="D2254">
        <f>_xlfn.LET(_xlpm.dir,Table1[[#This Row],[Direction]],
IF(_xlpm.dir="L",
    IF(F2253-Table1[[#This Row],[Steps]]&lt;0,100+(F2253-Table1[[#This Row],[Steps]]),F2253-Table1[[#This Row],[Steps]]),
))</f>
        <v>0</v>
      </c>
      <c r="E2254">
        <f>_xlfn.LET(_xlpm.dir,Table1[[#This Row],[Direction]],
IF(_xlpm.dir="R",
    IF(F2253+Table1[[#This Row],[Steps]]&gt;99,(F2253+Table1[[#This Row],[Steps]])-100,F2253+Table1[[#This Row],[Steps]]),
))</f>
        <v>2</v>
      </c>
      <c r="F2254">
        <f>IF(Table1[[#This Row],[New Pos L]]&lt;&gt;0,Table1[[#This Row],[New Pos L]],Table1[[#This Row],[New Pos R]])</f>
        <v>2</v>
      </c>
    </row>
    <row r="2255" spans="1:6" ht="16" x14ac:dyDescent="0.2">
      <c r="A2255" s="1" t="s">
        <v>82</v>
      </c>
      <c r="B2255" t="str">
        <f>LEFT(Table1[[#This Row],[Input]],1)</f>
        <v>L</v>
      </c>
      <c r="C2255">
        <f>_xlfn.LET(_xlpm.steps,SUBSTITUTE(Table1[[#This Row],[Input]],Table1[[#This Row],[Direction]],""),VALUE(IF(LEN(_xlpm.steps)&gt;2,RIGHT(_xlpm.steps,2),_xlpm.steps)))</f>
        <v>55</v>
      </c>
      <c r="D2255">
        <f>_xlfn.LET(_xlpm.dir,Table1[[#This Row],[Direction]],
IF(_xlpm.dir="L",
    IF(F2254-Table1[[#This Row],[Steps]]&lt;0,100+(F2254-Table1[[#This Row],[Steps]]),F2254-Table1[[#This Row],[Steps]]),
))</f>
        <v>47</v>
      </c>
      <c r="E2255">
        <f>_xlfn.LET(_xlpm.dir,Table1[[#This Row],[Direction]],
IF(_xlpm.dir="R",
    IF(F2254+Table1[[#This Row],[Steps]]&gt;99,(F2254+Table1[[#This Row],[Steps]])-100,F2254+Table1[[#This Row],[Steps]]),
))</f>
        <v>0</v>
      </c>
      <c r="F2255">
        <f>IF(Table1[[#This Row],[New Pos L]]&lt;&gt;0,Table1[[#This Row],[New Pos L]],Table1[[#This Row],[New Pos R]])</f>
        <v>47</v>
      </c>
    </row>
    <row r="2256" spans="1:6" ht="16" x14ac:dyDescent="0.2">
      <c r="A2256" s="1" t="s">
        <v>588</v>
      </c>
      <c r="B2256" t="str">
        <f>LEFT(Table1[[#This Row],[Input]],1)</f>
        <v>L</v>
      </c>
      <c r="C2256">
        <f>_xlfn.LET(_xlpm.steps,SUBSTITUTE(Table1[[#This Row],[Input]],Table1[[#This Row],[Direction]],""),VALUE(IF(LEN(_xlpm.steps)&gt;2,RIGHT(_xlpm.steps,2),_xlpm.steps)))</f>
        <v>47</v>
      </c>
      <c r="D2256">
        <f>_xlfn.LET(_xlpm.dir,Table1[[#This Row],[Direction]],
IF(_xlpm.dir="L",
    IF(F2255-Table1[[#This Row],[Steps]]&lt;0,100+(F2255-Table1[[#This Row],[Steps]]),F2255-Table1[[#This Row],[Steps]]),
))</f>
        <v>0</v>
      </c>
      <c r="E2256">
        <f>_xlfn.LET(_xlpm.dir,Table1[[#This Row],[Direction]],
IF(_xlpm.dir="R",
    IF(F2255+Table1[[#This Row],[Steps]]&gt;99,(F2255+Table1[[#This Row],[Steps]])-100,F2255+Table1[[#This Row],[Steps]]),
))</f>
        <v>0</v>
      </c>
      <c r="F2256">
        <f>IF(Table1[[#This Row],[New Pos L]]&lt;&gt;0,Table1[[#This Row],[New Pos L]],Table1[[#This Row],[New Pos R]])</f>
        <v>0</v>
      </c>
    </row>
    <row r="2257" spans="1:6" ht="16" x14ac:dyDescent="0.2">
      <c r="A2257" s="1" t="s">
        <v>74</v>
      </c>
      <c r="B2257" t="str">
        <f>LEFT(Table1[[#This Row],[Input]],1)</f>
        <v>R</v>
      </c>
      <c r="C2257">
        <f>_xlfn.LET(_xlpm.steps,SUBSTITUTE(Table1[[#This Row],[Input]],Table1[[#This Row],[Direction]],""),VALUE(IF(LEN(_xlpm.steps)&gt;2,RIGHT(_xlpm.steps,2),_xlpm.steps)))</f>
        <v>93</v>
      </c>
      <c r="D2257">
        <f>_xlfn.LET(_xlpm.dir,Table1[[#This Row],[Direction]],
IF(_xlpm.dir="L",
    IF(F2256-Table1[[#This Row],[Steps]]&lt;0,100+(F2256-Table1[[#This Row],[Steps]]),F2256-Table1[[#This Row],[Steps]]),
))</f>
        <v>0</v>
      </c>
      <c r="E2257">
        <f>_xlfn.LET(_xlpm.dir,Table1[[#This Row],[Direction]],
IF(_xlpm.dir="R",
    IF(F2256+Table1[[#This Row],[Steps]]&gt;99,(F2256+Table1[[#This Row],[Steps]])-100,F2256+Table1[[#This Row],[Steps]]),
))</f>
        <v>93</v>
      </c>
      <c r="F2257">
        <f>IF(Table1[[#This Row],[New Pos L]]&lt;&gt;0,Table1[[#This Row],[New Pos L]],Table1[[#This Row],[New Pos R]])</f>
        <v>93</v>
      </c>
    </row>
    <row r="2258" spans="1:6" ht="16" x14ac:dyDescent="0.2">
      <c r="A2258" s="1" t="s">
        <v>191</v>
      </c>
      <c r="B2258" t="str">
        <f>LEFT(Table1[[#This Row],[Input]],1)</f>
        <v>L</v>
      </c>
      <c r="C2258">
        <f>_xlfn.LET(_xlpm.steps,SUBSTITUTE(Table1[[#This Row],[Input]],Table1[[#This Row],[Direction]],""),VALUE(IF(LEN(_xlpm.steps)&gt;2,RIGHT(_xlpm.steps,2),_xlpm.steps)))</f>
        <v>5</v>
      </c>
      <c r="D2258">
        <f>_xlfn.LET(_xlpm.dir,Table1[[#This Row],[Direction]],
IF(_xlpm.dir="L",
    IF(F2257-Table1[[#This Row],[Steps]]&lt;0,100+(F2257-Table1[[#This Row],[Steps]]),F2257-Table1[[#This Row],[Steps]]),
))</f>
        <v>88</v>
      </c>
      <c r="E2258">
        <f>_xlfn.LET(_xlpm.dir,Table1[[#This Row],[Direction]],
IF(_xlpm.dir="R",
    IF(F2257+Table1[[#This Row],[Steps]]&gt;99,(F2257+Table1[[#This Row],[Steps]])-100,F2257+Table1[[#This Row],[Steps]]),
))</f>
        <v>0</v>
      </c>
      <c r="F2258">
        <f>IF(Table1[[#This Row],[New Pos L]]&lt;&gt;0,Table1[[#This Row],[New Pos L]],Table1[[#This Row],[New Pos R]])</f>
        <v>88</v>
      </c>
    </row>
    <row r="2259" spans="1:6" ht="16" x14ac:dyDescent="0.2">
      <c r="A2259" s="1" t="s">
        <v>161</v>
      </c>
      <c r="B2259" t="str">
        <f>LEFT(Table1[[#This Row],[Input]],1)</f>
        <v>R</v>
      </c>
      <c r="C2259">
        <f>_xlfn.LET(_xlpm.steps,SUBSTITUTE(Table1[[#This Row],[Input]],Table1[[#This Row],[Direction]],""),VALUE(IF(LEN(_xlpm.steps)&gt;2,RIGHT(_xlpm.steps,2),_xlpm.steps)))</f>
        <v>76</v>
      </c>
      <c r="D2259">
        <f>_xlfn.LET(_xlpm.dir,Table1[[#This Row],[Direction]],
IF(_xlpm.dir="L",
    IF(F2258-Table1[[#This Row],[Steps]]&lt;0,100+(F2258-Table1[[#This Row],[Steps]]),F2258-Table1[[#This Row],[Steps]]),
))</f>
        <v>0</v>
      </c>
      <c r="E2259">
        <f>_xlfn.LET(_xlpm.dir,Table1[[#This Row],[Direction]],
IF(_xlpm.dir="R",
    IF(F2258+Table1[[#This Row],[Steps]]&gt;99,(F2258+Table1[[#This Row],[Steps]])-100,F2258+Table1[[#This Row],[Steps]]),
))</f>
        <v>64</v>
      </c>
      <c r="F2259">
        <f>IF(Table1[[#This Row],[New Pos L]]&lt;&gt;0,Table1[[#This Row],[New Pos L]],Table1[[#This Row],[New Pos R]])</f>
        <v>64</v>
      </c>
    </row>
    <row r="2260" spans="1:6" ht="16" x14ac:dyDescent="0.2">
      <c r="A2260" s="1" t="s">
        <v>52</v>
      </c>
      <c r="B2260" t="str">
        <f>LEFT(Table1[[#This Row],[Input]],1)</f>
        <v>R</v>
      </c>
      <c r="C2260">
        <f>_xlfn.LET(_xlpm.steps,SUBSTITUTE(Table1[[#This Row],[Input]],Table1[[#This Row],[Direction]],""),VALUE(IF(LEN(_xlpm.steps)&gt;2,RIGHT(_xlpm.steps,2),_xlpm.steps)))</f>
        <v>11</v>
      </c>
      <c r="D2260">
        <f>_xlfn.LET(_xlpm.dir,Table1[[#This Row],[Direction]],
IF(_xlpm.dir="L",
    IF(F2259-Table1[[#This Row],[Steps]]&lt;0,100+(F2259-Table1[[#This Row],[Steps]]),F2259-Table1[[#This Row],[Steps]]),
))</f>
        <v>0</v>
      </c>
      <c r="E2260">
        <f>_xlfn.LET(_xlpm.dir,Table1[[#This Row],[Direction]],
IF(_xlpm.dir="R",
    IF(F2259+Table1[[#This Row],[Steps]]&gt;99,(F2259+Table1[[#This Row],[Steps]])-100,F2259+Table1[[#This Row],[Steps]]),
))</f>
        <v>75</v>
      </c>
      <c r="F2260">
        <f>IF(Table1[[#This Row],[New Pos L]]&lt;&gt;0,Table1[[#This Row],[New Pos L]],Table1[[#This Row],[New Pos R]])</f>
        <v>75</v>
      </c>
    </row>
    <row r="2261" spans="1:6" ht="16" x14ac:dyDescent="0.2">
      <c r="A2261" s="1" t="s">
        <v>586</v>
      </c>
      <c r="B2261" t="str">
        <f>LEFT(Table1[[#This Row],[Input]],1)</f>
        <v>R</v>
      </c>
      <c r="C2261">
        <f>_xlfn.LET(_xlpm.steps,SUBSTITUTE(Table1[[#This Row],[Input]],Table1[[#This Row],[Direction]],""),VALUE(IF(LEN(_xlpm.steps)&gt;2,RIGHT(_xlpm.steps,2),_xlpm.steps)))</f>
        <v>85</v>
      </c>
      <c r="D2261">
        <f>_xlfn.LET(_xlpm.dir,Table1[[#This Row],[Direction]],
IF(_xlpm.dir="L",
    IF(F2260-Table1[[#This Row],[Steps]]&lt;0,100+(F2260-Table1[[#This Row],[Steps]]),F2260-Table1[[#This Row],[Steps]]),
))</f>
        <v>0</v>
      </c>
      <c r="E2261">
        <f>_xlfn.LET(_xlpm.dir,Table1[[#This Row],[Direction]],
IF(_xlpm.dir="R",
    IF(F2260+Table1[[#This Row],[Steps]]&gt;99,(F2260+Table1[[#This Row],[Steps]])-100,F2260+Table1[[#This Row],[Steps]]),
))</f>
        <v>60</v>
      </c>
      <c r="F2261">
        <f>IF(Table1[[#This Row],[New Pos L]]&lt;&gt;0,Table1[[#This Row],[New Pos L]],Table1[[#This Row],[New Pos R]])</f>
        <v>60</v>
      </c>
    </row>
    <row r="2262" spans="1:6" ht="16" x14ac:dyDescent="0.2">
      <c r="A2262" s="1" t="s">
        <v>589</v>
      </c>
      <c r="B2262" t="str">
        <f>LEFT(Table1[[#This Row],[Input]],1)</f>
        <v>R</v>
      </c>
      <c r="C2262">
        <f>_xlfn.LET(_xlpm.steps,SUBSTITUTE(Table1[[#This Row],[Input]],Table1[[#This Row],[Direction]],""),VALUE(IF(LEN(_xlpm.steps)&gt;2,RIGHT(_xlpm.steps,2),_xlpm.steps)))</f>
        <v>49</v>
      </c>
      <c r="D2262">
        <f>_xlfn.LET(_xlpm.dir,Table1[[#This Row],[Direction]],
IF(_xlpm.dir="L",
    IF(F2261-Table1[[#This Row],[Steps]]&lt;0,100+(F2261-Table1[[#This Row],[Steps]]),F2261-Table1[[#This Row],[Steps]]),
))</f>
        <v>0</v>
      </c>
      <c r="E2262">
        <f>_xlfn.LET(_xlpm.dir,Table1[[#This Row],[Direction]],
IF(_xlpm.dir="R",
    IF(F2261+Table1[[#This Row],[Steps]]&gt;99,(F2261+Table1[[#This Row],[Steps]])-100,F2261+Table1[[#This Row],[Steps]]),
))</f>
        <v>9</v>
      </c>
      <c r="F2262">
        <f>IF(Table1[[#This Row],[New Pos L]]&lt;&gt;0,Table1[[#This Row],[New Pos L]],Table1[[#This Row],[New Pos R]])</f>
        <v>9</v>
      </c>
    </row>
    <row r="2263" spans="1:6" ht="16" x14ac:dyDescent="0.2">
      <c r="A2263" s="1" t="s">
        <v>272</v>
      </c>
      <c r="B2263" t="str">
        <f>LEFT(Table1[[#This Row],[Input]],1)</f>
        <v>R</v>
      </c>
      <c r="C2263">
        <f>_xlfn.LET(_xlpm.steps,SUBSTITUTE(Table1[[#This Row],[Input]],Table1[[#This Row],[Direction]],""),VALUE(IF(LEN(_xlpm.steps)&gt;2,RIGHT(_xlpm.steps,2),_xlpm.steps)))</f>
        <v>56</v>
      </c>
      <c r="D2263">
        <f>_xlfn.LET(_xlpm.dir,Table1[[#This Row],[Direction]],
IF(_xlpm.dir="L",
    IF(F2262-Table1[[#This Row],[Steps]]&lt;0,100+(F2262-Table1[[#This Row],[Steps]]),F2262-Table1[[#This Row],[Steps]]),
))</f>
        <v>0</v>
      </c>
      <c r="E2263">
        <f>_xlfn.LET(_xlpm.dir,Table1[[#This Row],[Direction]],
IF(_xlpm.dir="R",
    IF(F2262+Table1[[#This Row],[Steps]]&gt;99,(F2262+Table1[[#This Row],[Steps]])-100,F2262+Table1[[#This Row],[Steps]]),
))</f>
        <v>65</v>
      </c>
      <c r="F2263">
        <f>IF(Table1[[#This Row],[New Pos L]]&lt;&gt;0,Table1[[#This Row],[New Pos L]],Table1[[#This Row],[New Pos R]])</f>
        <v>65</v>
      </c>
    </row>
    <row r="2264" spans="1:6" ht="16" x14ac:dyDescent="0.2">
      <c r="A2264" s="1" t="s">
        <v>252</v>
      </c>
      <c r="B2264" t="str">
        <f>LEFT(Table1[[#This Row],[Input]],1)</f>
        <v>L</v>
      </c>
      <c r="C2264">
        <f>_xlfn.LET(_xlpm.steps,SUBSTITUTE(Table1[[#This Row],[Input]],Table1[[#This Row],[Direction]],""),VALUE(IF(LEN(_xlpm.steps)&gt;2,RIGHT(_xlpm.steps,2),_xlpm.steps)))</f>
        <v>99</v>
      </c>
      <c r="D2264">
        <f>_xlfn.LET(_xlpm.dir,Table1[[#This Row],[Direction]],
IF(_xlpm.dir="L",
    IF(F2263-Table1[[#This Row],[Steps]]&lt;0,100+(F2263-Table1[[#This Row],[Steps]]),F2263-Table1[[#This Row],[Steps]]),
))</f>
        <v>66</v>
      </c>
      <c r="E2264">
        <f>_xlfn.LET(_xlpm.dir,Table1[[#This Row],[Direction]],
IF(_xlpm.dir="R",
    IF(F2263+Table1[[#This Row],[Steps]]&gt;99,(F2263+Table1[[#This Row],[Steps]])-100,F2263+Table1[[#This Row],[Steps]]),
))</f>
        <v>0</v>
      </c>
      <c r="F2264">
        <f>IF(Table1[[#This Row],[New Pos L]]&lt;&gt;0,Table1[[#This Row],[New Pos L]],Table1[[#This Row],[New Pos R]])</f>
        <v>66</v>
      </c>
    </row>
    <row r="2265" spans="1:6" ht="16" x14ac:dyDescent="0.2">
      <c r="A2265" s="1" t="s">
        <v>9</v>
      </c>
      <c r="B2265" t="str">
        <f>LEFT(Table1[[#This Row],[Input]],1)</f>
        <v>L</v>
      </c>
      <c r="C2265">
        <f>_xlfn.LET(_xlpm.steps,SUBSTITUTE(Table1[[#This Row],[Input]],Table1[[#This Row],[Direction]],""),VALUE(IF(LEN(_xlpm.steps)&gt;2,RIGHT(_xlpm.steps,2),_xlpm.steps)))</f>
        <v>9</v>
      </c>
      <c r="D2265">
        <f>_xlfn.LET(_xlpm.dir,Table1[[#This Row],[Direction]],
IF(_xlpm.dir="L",
    IF(F2264-Table1[[#This Row],[Steps]]&lt;0,100+(F2264-Table1[[#This Row],[Steps]]),F2264-Table1[[#This Row],[Steps]]),
))</f>
        <v>57</v>
      </c>
      <c r="E2265">
        <f>_xlfn.LET(_xlpm.dir,Table1[[#This Row],[Direction]],
IF(_xlpm.dir="R",
    IF(F2264+Table1[[#This Row],[Steps]]&gt;99,(F2264+Table1[[#This Row],[Steps]])-100,F2264+Table1[[#This Row],[Steps]]),
))</f>
        <v>0</v>
      </c>
      <c r="F2265">
        <f>IF(Table1[[#This Row],[New Pos L]]&lt;&gt;0,Table1[[#This Row],[New Pos L]],Table1[[#This Row],[New Pos R]])</f>
        <v>57</v>
      </c>
    </row>
    <row r="2266" spans="1:6" ht="16" x14ac:dyDescent="0.2">
      <c r="A2266" s="1" t="s">
        <v>47</v>
      </c>
      <c r="B2266" t="str">
        <f>LEFT(Table1[[#This Row],[Input]],1)</f>
        <v>R</v>
      </c>
      <c r="C2266">
        <f>_xlfn.LET(_xlpm.steps,SUBSTITUTE(Table1[[#This Row],[Input]],Table1[[#This Row],[Direction]],""),VALUE(IF(LEN(_xlpm.steps)&gt;2,RIGHT(_xlpm.steps,2),_xlpm.steps)))</f>
        <v>97</v>
      </c>
      <c r="D2266">
        <f>_xlfn.LET(_xlpm.dir,Table1[[#This Row],[Direction]],
IF(_xlpm.dir="L",
    IF(F2265-Table1[[#This Row],[Steps]]&lt;0,100+(F2265-Table1[[#This Row],[Steps]]),F2265-Table1[[#This Row],[Steps]]),
))</f>
        <v>0</v>
      </c>
      <c r="E2266">
        <f>_xlfn.LET(_xlpm.dir,Table1[[#This Row],[Direction]],
IF(_xlpm.dir="R",
    IF(F2265+Table1[[#This Row],[Steps]]&gt;99,(F2265+Table1[[#This Row],[Steps]])-100,F2265+Table1[[#This Row],[Steps]]),
))</f>
        <v>54</v>
      </c>
      <c r="F2266">
        <f>IF(Table1[[#This Row],[New Pos L]]&lt;&gt;0,Table1[[#This Row],[New Pos L]],Table1[[#This Row],[New Pos R]])</f>
        <v>54</v>
      </c>
    </row>
    <row r="2267" spans="1:6" ht="16" x14ac:dyDescent="0.2">
      <c r="A2267" s="1" t="s">
        <v>179</v>
      </c>
      <c r="B2267" t="str">
        <f>LEFT(Table1[[#This Row],[Input]],1)</f>
        <v>L</v>
      </c>
      <c r="C2267">
        <f>_xlfn.LET(_xlpm.steps,SUBSTITUTE(Table1[[#This Row],[Input]],Table1[[#This Row],[Direction]],""),VALUE(IF(LEN(_xlpm.steps)&gt;2,RIGHT(_xlpm.steps,2),_xlpm.steps)))</f>
        <v>54</v>
      </c>
      <c r="D2267">
        <f>_xlfn.LET(_xlpm.dir,Table1[[#This Row],[Direction]],
IF(_xlpm.dir="L",
    IF(F2266-Table1[[#This Row],[Steps]]&lt;0,100+(F2266-Table1[[#This Row],[Steps]]),F2266-Table1[[#This Row],[Steps]]),
))</f>
        <v>0</v>
      </c>
      <c r="E2267">
        <f>_xlfn.LET(_xlpm.dir,Table1[[#This Row],[Direction]],
IF(_xlpm.dir="R",
    IF(F2266+Table1[[#This Row],[Steps]]&gt;99,(F2266+Table1[[#This Row],[Steps]])-100,F2266+Table1[[#This Row],[Steps]]),
))</f>
        <v>0</v>
      </c>
      <c r="F2267">
        <f>IF(Table1[[#This Row],[New Pos L]]&lt;&gt;0,Table1[[#This Row],[New Pos L]],Table1[[#This Row],[New Pos R]])</f>
        <v>0</v>
      </c>
    </row>
    <row r="2268" spans="1:6" ht="16" x14ac:dyDescent="0.2">
      <c r="A2268" s="1" t="s">
        <v>2</v>
      </c>
      <c r="B2268" t="str">
        <f>LEFT(Table1[[#This Row],[Input]],1)</f>
        <v>L</v>
      </c>
      <c r="C2268">
        <f>_xlfn.LET(_xlpm.steps,SUBSTITUTE(Table1[[#This Row],[Input]],Table1[[#This Row],[Direction]],""),VALUE(IF(LEN(_xlpm.steps)&gt;2,RIGHT(_xlpm.steps,2),_xlpm.steps)))</f>
        <v>38</v>
      </c>
      <c r="D2268">
        <f>_xlfn.LET(_xlpm.dir,Table1[[#This Row],[Direction]],
IF(_xlpm.dir="L",
    IF(F2267-Table1[[#This Row],[Steps]]&lt;0,100+(F2267-Table1[[#This Row],[Steps]]),F2267-Table1[[#This Row],[Steps]]),
))</f>
        <v>62</v>
      </c>
      <c r="E2268">
        <f>_xlfn.LET(_xlpm.dir,Table1[[#This Row],[Direction]],
IF(_xlpm.dir="R",
    IF(F2267+Table1[[#This Row],[Steps]]&gt;99,(F2267+Table1[[#This Row],[Steps]])-100,F2267+Table1[[#This Row],[Steps]]),
))</f>
        <v>0</v>
      </c>
      <c r="F2268">
        <f>IF(Table1[[#This Row],[New Pos L]]&lt;&gt;0,Table1[[#This Row],[New Pos L]],Table1[[#This Row],[New Pos R]])</f>
        <v>62</v>
      </c>
    </row>
    <row r="2269" spans="1:6" ht="16" x14ac:dyDescent="0.2">
      <c r="A2269" s="1" t="s">
        <v>139</v>
      </c>
      <c r="B2269" t="str">
        <f>LEFT(Table1[[#This Row],[Input]],1)</f>
        <v>R</v>
      </c>
      <c r="C2269">
        <f>_xlfn.LET(_xlpm.steps,SUBSTITUTE(Table1[[#This Row],[Input]],Table1[[#This Row],[Direction]],""),VALUE(IF(LEN(_xlpm.steps)&gt;2,RIGHT(_xlpm.steps,2),_xlpm.steps)))</f>
        <v>38</v>
      </c>
      <c r="D2269">
        <f>_xlfn.LET(_xlpm.dir,Table1[[#This Row],[Direction]],
IF(_xlpm.dir="L",
    IF(F2268-Table1[[#This Row],[Steps]]&lt;0,100+(F2268-Table1[[#This Row],[Steps]]),F2268-Table1[[#This Row],[Steps]]),
))</f>
        <v>0</v>
      </c>
      <c r="E2269">
        <f>_xlfn.LET(_xlpm.dir,Table1[[#This Row],[Direction]],
IF(_xlpm.dir="R",
    IF(F2268+Table1[[#This Row],[Steps]]&gt;99,(F2268+Table1[[#This Row],[Steps]])-100,F2268+Table1[[#This Row],[Steps]]),
))</f>
        <v>0</v>
      </c>
      <c r="F2269">
        <f>IF(Table1[[#This Row],[New Pos L]]&lt;&gt;0,Table1[[#This Row],[New Pos L]],Table1[[#This Row],[New Pos R]])</f>
        <v>0</v>
      </c>
    </row>
    <row r="2270" spans="1:6" ht="16" x14ac:dyDescent="0.2">
      <c r="A2270" s="1" t="s">
        <v>13</v>
      </c>
      <c r="B2270" t="str">
        <f>LEFT(Table1[[#This Row],[Input]],1)</f>
        <v>R</v>
      </c>
      <c r="C2270">
        <f>_xlfn.LET(_xlpm.steps,SUBSTITUTE(Table1[[#This Row],[Input]],Table1[[#This Row],[Direction]],""),VALUE(IF(LEN(_xlpm.steps)&gt;2,RIGHT(_xlpm.steps,2),_xlpm.steps)))</f>
        <v>12</v>
      </c>
      <c r="D2270">
        <f>_xlfn.LET(_xlpm.dir,Table1[[#This Row],[Direction]],
IF(_xlpm.dir="L",
    IF(F2269-Table1[[#This Row],[Steps]]&lt;0,100+(F2269-Table1[[#This Row],[Steps]]),F2269-Table1[[#This Row],[Steps]]),
))</f>
        <v>0</v>
      </c>
      <c r="E2270">
        <f>_xlfn.LET(_xlpm.dir,Table1[[#This Row],[Direction]],
IF(_xlpm.dir="R",
    IF(F2269+Table1[[#This Row],[Steps]]&gt;99,(F2269+Table1[[#This Row],[Steps]])-100,F2269+Table1[[#This Row],[Steps]]),
))</f>
        <v>12</v>
      </c>
      <c r="F2270">
        <f>IF(Table1[[#This Row],[New Pos L]]&lt;&gt;0,Table1[[#This Row],[New Pos L]],Table1[[#This Row],[New Pos R]])</f>
        <v>12</v>
      </c>
    </row>
    <row r="2271" spans="1:6" ht="16" x14ac:dyDescent="0.2">
      <c r="A2271" s="1" t="s">
        <v>146</v>
      </c>
      <c r="B2271" t="str">
        <f>LEFT(Table1[[#This Row],[Input]],1)</f>
        <v>R</v>
      </c>
      <c r="C2271">
        <f>_xlfn.LET(_xlpm.steps,SUBSTITUTE(Table1[[#This Row],[Input]],Table1[[#This Row],[Direction]],""),VALUE(IF(LEN(_xlpm.steps)&gt;2,RIGHT(_xlpm.steps,2),_xlpm.steps)))</f>
        <v>4</v>
      </c>
      <c r="D2271">
        <f>_xlfn.LET(_xlpm.dir,Table1[[#This Row],[Direction]],
IF(_xlpm.dir="L",
    IF(F2270-Table1[[#This Row],[Steps]]&lt;0,100+(F2270-Table1[[#This Row],[Steps]]),F2270-Table1[[#This Row],[Steps]]),
))</f>
        <v>0</v>
      </c>
      <c r="E2271">
        <f>_xlfn.LET(_xlpm.dir,Table1[[#This Row],[Direction]],
IF(_xlpm.dir="R",
    IF(F2270+Table1[[#This Row],[Steps]]&gt;99,(F2270+Table1[[#This Row],[Steps]])-100,F2270+Table1[[#This Row],[Steps]]),
))</f>
        <v>16</v>
      </c>
      <c r="F2271">
        <f>IF(Table1[[#This Row],[New Pos L]]&lt;&gt;0,Table1[[#This Row],[New Pos L]],Table1[[#This Row],[New Pos R]])</f>
        <v>16</v>
      </c>
    </row>
    <row r="2272" spans="1:6" ht="16" x14ac:dyDescent="0.2">
      <c r="A2272" s="1" t="s">
        <v>61</v>
      </c>
      <c r="B2272" t="str">
        <f>LEFT(Table1[[#This Row],[Input]],1)</f>
        <v>L</v>
      </c>
      <c r="C2272">
        <f>_xlfn.LET(_xlpm.steps,SUBSTITUTE(Table1[[#This Row],[Input]],Table1[[#This Row],[Direction]],""),VALUE(IF(LEN(_xlpm.steps)&gt;2,RIGHT(_xlpm.steps,2),_xlpm.steps)))</f>
        <v>16</v>
      </c>
      <c r="D2272">
        <f>_xlfn.LET(_xlpm.dir,Table1[[#This Row],[Direction]],
IF(_xlpm.dir="L",
    IF(F2271-Table1[[#This Row],[Steps]]&lt;0,100+(F2271-Table1[[#This Row],[Steps]]),F2271-Table1[[#This Row],[Steps]]),
))</f>
        <v>0</v>
      </c>
      <c r="E2272">
        <f>_xlfn.LET(_xlpm.dir,Table1[[#This Row],[Direction]],
IF(_xlpm.dir="R",
    IF(F2271+Table1[[#This Row],[Steps]]&gt;99,(F2271+Table1[[#This Row],[Steps]])-100,F2271+Table1[[#This Row],[Steps]]),
))</f>
        <v>0</v>
      </c>
      <c r="F2272">
        <f>IF(Table1[[#This Row],[New Pos L]]&lt;&gt;0,Table1[[#This Row],[New Pos L]],Table1[[#This Row],[New Pos R]])</f>
        <v>0</v>
      </c>
    </row>
    <row r="2273" spans="1:6" ht="16" x14ac:dyDescent="0.2">
      <c r="A2273" s="1" t="s">
        <v>110</v>
      </c>
      <c r="B2273" t="str">
        <f>LEFT(Table1[[#This Row],[Input]],1)</f>
        <v>L</v>
      </c>
      <c r="C2273">
        <f>_xlfn.LET(_xlpm.steps,SUBSTITUTE(Table1[[#This Row],[Input]],Table1[[#This Row],[Direction]],""),VALUE(IF(LEN(_xlpm.steps)&gt;2,RIGHT(_xlpm.steps,2),_xlpm.steps)))</f>
        <v>81</v>
      </c>
      <c r="D2273">
        <f>_xlfn.LET(_xlpm.dir,Table1[[#This Row],[Direction]],
IF(_xlpm.dir="L",
    IF(F2272-Table1[[#This Row],[Steps]]&lt;0,100+(F2272-Table1[[#This Row],[Steps]]),F2272-Table1[[#This Row],[Steps]]),
))</f>
        <v>19</v>
      </c>
      <c r="E2273">
        <f>_xlfn.LET(_xlpm.dir,Table1[[#This Row],[Direction]],
IF(_xlpm.dir="R",
    IF(F2272+Table1[[#This Row],[Steps]]&gt;99,(F2272+Table1[[#This Row],[Steps]])-100,F2272+Table1[[#This Row],[Steps]]),
))</f>
        <v>0</v>
      </c>
      <c r="F2273">
        <f>IF(Table1[[#This Row],[New Pos L]]&lt;&gt;0,Table1[[#This Row],[New Pos L]],Table1[[#This Row],[New Pos R]])</f>
        <v>19</v>
      </c>
    </row>
    <row r="2274" spans="1:6" ht="16" x14ac:dyDescent="0.2">
      <c r="A2274" s="1" t="s">
        <v>48</v>
      </c>
      <c r="B2274" t="str">
        <f>LEFT(Table1[[#This Row],[Input]],1)</f>
        <v>R</v>
      </c>
      <c r="C2274">
        <f>_xlfn.LET(_xlpm.steps,SUBSTITUTE(Table1[[#This Row],[Input]],Table1[[#This Row],[Direction]],""),VALUE(IF(LEN(_xlpm.steps)&gt;2,RIGHT(_xlpm.steps,2),_xlpm.steps)))</f>
        <v>81</v>
      </c>
      <c r="D2274">
        <f>_xlfn.LET(_xlpm.dir,Table1[[#This Row],[Direction]],
IF(_xlpm.dir="L",
    IF(F2273-Table1[[#This Row],[Steps]]&lt;0,100+(F2273-Table1[[#This Row],[Steps]]),F2273-Table1[[#This Row],[Steps]]),
))</f>
        <v>0</v>
      </c>
      <c r="E2274">
        <f>_xlfn.LET(_xlpm.dir,Table1[[#This Row],[Direction]],
IF(_xlpm.dir="R",
    IF(F2273+Table1[[#This Row],[Steps]]&gt;99,(F2273+Table1[[#This Row],[Steps]])-100,F2273+Table1[[#This Row],[Steps]]),
))</f>
        <v>0</v>
      </c>
      <c r="F2274">
        <f>IF(Table1[[#This Row],[New Pos L]]&lt;&gt;0,Table1[[#This Row],[New Pos L]],Table1[[#This Row],[New Pos R]])</f>
        <v>0</v>
      </c>
    </row>
    <row r="2275" spans="1:6" ht="16" x14ac:dyDescent="0.2">
      <c r="A2275" s="1" t="s">
        <v>168</v>
      </c>
      <c r="B2275" t="str">
        <f>LEFT(Table1[[#This Row],[Input]],1)</f>
        <v>R</v>
      </c>
      <c r="C2275">
        <f>_xlfn.LET(_xlpm.steps,SUBSTITUTE(Table1[[#This Row],[Input]],Table1[[#This Row],[Direction]],""),VALUE(IF(LEN(_xlpm.steps)&gt;2,RIGHT(_xlpm.steps,2),_xlpm.steps)))</f>
        <v>54</v>
      </c>
      <c r="D2275">
        <f>_xlfn.LET(_xlpm.dir,Table1[[#This Row],[Direction]],
IF(_xlpm.dir="L",
    IF(F2274-Table1[[#This Row],[Steps]]&lt;0,100+(F2274-Table1[[#This Row],[Steps]]),F2274-Table1[[#This Row],[Steps]]),
))</f>
        <v>0</v>
      </c>
      <c r="E2275">
        <f>_xlfn.LET(_xlpm.dir,Table1[[#This Row],[Direction]],
IF(_xlpm.dir="R",
    IF(F2274+Table1[[#This Row],[Steps]]&gt;99,(F2274+Table1[[#This Row],[Steps]])-100,F2274+Table1[[#This Row],[Steps]]),
))</f>
        <v>54</v>
      </c>
      <c r="F2275">
        <f>IF(Table1[[#This Row],[New Pos L]]&lt;&gt;0,Table1[[#This Row],[New Pos L]],Table1[[#This Row],[New Pos R]])</f>
        <v>54</v>
      </c>
    </row>
    <row r="2276" spans="1:6" ht="16" x14ac:dyDescent="0.2">
      <c r="A2276" s="1" t="s">
        <v>179</v>
      </c>
      <c r="B2276" t="str">
        <f>LEFT(Table1[[#This Row],[Input]],1)</f>
        <v>L</v>
      </c>
      <c r="C2276">
        <f>_xlfn.LET(_xlpm.steps,SUBSTITUTE(Table1[[#This Row],[Input]],Table1[[#This Row],[Direction]],""),VALUE(IF(LEN(_xlpm.steps)&gt;2,RIGHT(_xlpm.steps,2),_xlpm.steps)))</f>
        <v>54</v>
      </c>
      <c r="D2276">
        <f>_xlfn.LET(_xlpm.dir,Table1[[#This Row],[Direction]],
IF(_xlpm.dir="L",
    IF(F2275-Table1[[#This Row],[Steps]]&lt;0,100+(F2275-Table1[[#This Row],[Steps]]),F2275-Table1[[#This Row],[Steps]]),
))</f>
        <v>0</v>
      </c>
      <c r="E2276">
        <f>_xlfn.LET(_xlpm.dir,Table1[[#This Row],[Direction]],
IF(_xlpm.dir="R",
    IF(F2275+Table1[[#This Row],[Steps]]&gt;99,(F2275+Table1[[#This Row],[Steps]])-100,F2275+Table1[[#This Row],[Steps]]),
))</f>
        <v>0</v>
      </c>
      <c r="F2276">
        <f>IF(Table1[[#This Row],[New Pos L]]&lt;&gt;0,Table1[[#This Row],[New Pos L]],Table1[[#This Row],[New Pos R]])</f>
        <v>0</v>
      </c>
    </row>
    <row r="2277" spans="1:6" ht="16" x14ac:dyDescent="0.2">
      <c r="A2277" s="1" t="s">
        <v>462</v>
      </c>
      <c r="B2277" t="str">
        <f>LEFT(Table1[[#This Row],[Input]],1)</f>
        <v>L</v>
      </c>
      <c r="C2277">
        <f>_xlfn.LET(_xlpm.steps,SUBSTITUTE(Table1[[#This Row],[Input]],Table1[[#This Row],[Direction]],""),VALUE(IF(LEN(_xlpm.steps)&gt;2,RIGHT(_xlpm.steps,2),_xlpm.steps)))</f>
        <v>17</v>
      </c>
      <c r="D2277">
        <f>_xlfn.LET(_xlpm.dir,Table1[[#This Row],[Direction]],
IF(_xlpm.dir="L",
    IF(F2276-Table1[[#This Row],[Steps]]&lt;0,100+(F2276-Table1[[#This Row],[Steps]]),F2276-Table1[[#This Row],[Steps]]),
))</f>
        <v>83</v>
      </c>
      <c r="E2277">
        <f>_xlfn.LET(_xlpm.dir,Table1[[#This Row],[Direction]],
IF(_xlpm.dir="R",
    IF(F2276+Table1[[#This Row],[Steps]]&gt;99,(F2276+Table1[[#This Row],[Steps]])-100,F2276+Table1[[#This Row],[Steps]]),
))</f>
        <v>0</v>
      </c>
      <c r="F2277">
        <f>IF(Table1[[#This Row],[New Pos L]]&lt;&gt;0,Table1[[#This Row],[New Pos L]],Table1[[#This Row],[New Pos R]])</f>
        <v>83</v>
      </c>
    </row>
    <row r="2278" spans="1:6" ht="16" x14ac:dyDescent="0.2">
      <c r="A2278" s="1" t="s">
        <v>217</v>
      </c>
      <c r="B2278" t="str">
        <f>LEFT(Table1[[#This Row],[Input]],1)</f>
        <v>R</v>
      </c>
      <c r="C2278">
        <f>_xlfn.LET(_xlpm.steps,SUBSTITUTE(Table1[[#This Row],[Input]],Table1[[#This Row],[Direction]],""),VALUE(IF(LEN(_xlpm.steps)&gt;2,RIGHT(_xlpm.steps,2),_xlpm.steps)))</f>
        <v>91</v>
      </c>
      <c r="D2278">
        <f>_xlfn.LET(_xlpm.dir,Table1[[#This Row],[Direction]],
IF(_xlpm.dir="L",
    IF(F2277-Table1[[#This Row],[Steps]]&lt;0,100+(F2277-Table1[[#This Row],[Steps]]),F2277-Table1[[#This Row],[Steps]]),
))</f>
        <v>0</v>
      </c>
      <c r="E2278">
        <f>_xlfn.LET(_xlpm.dir,Table1[[#This Row],[Direction]],
IF(_xlpm.dir="R",
    IF(F2277+Table1[[#This Row],[Steps]]&gt;99,(F2277+Table1[[#This Row],[Steps]])-100,F2277+Table1[[#This Row],[Steps]]),
))</f>
        <v>74</v>
      </c>
      <c r="F2278">
        <f>IF(Table1[[#This Row],[New Pos L]]&lt;&gt;0,Table1[[#This Row],[New Pos L]],Table1[[#This Row],[New Pos R]])</f>
        <v>74</v>
      </c>
    </row>
    <row r="2279" spans="1:6" ht="16" x14ac:dyDescent="0.2">
      <c r="A2279" s="1" t="s">
        <v>175</v>
      </c>
      <c r="B2279" t="str">
        <f>LEFT(Table1[[#This Row],[Input]],1)</f>
        <v>L</v>
      </c>
      <c r="C2279">
        <f>_xlfn.LET(_xlpm.steps,SUBSTITUTE(Table1[[#This Row],[Input]],Table1[[#This Row],[Direction]],""),VALUE(IF(LEN(_xlpm.steps)&gt;2,RIGHT(_xlpm.steps,2),_xlpm.steps)))</f>
        <v>1</v>
      </c>
      <c r="D2279">
        <f>_xlfn.LET(_xlpm.dir,Table1[[#This Row],[Direction]],
IF(_xlpm.dir="L",
    IF(F2278-Table1[[#This Row],[Steps]]&lt;0,100+(F2278-Table1[[#This Row],[Steps]]),F2278-Table1[[#This Row],[Steps]]),
))</f>
        <v>73</v>
      </c>
      <c r="E2279">
        <f>_xlfn.LET(_xlpm.dir,Table1[[#This Row],[Direction]],
IF(_xlpm.dir="R",
    IF(F2278+Table1[[#This Row],[Steps]]&gt;99,(F2278+Table1[[#This Row],[Steps]])-100,F2278+Table1[[#This Row],[Steps]]),
))</f>
        <v>0</v>
      </c>
      <c r="F2279">
        <f>IF(Table1[[#This Row],[New Pos L]]&lt;&gt;0,Table1[[#This Row],[New Pos L]],Table1[[#This Row],[New Pos R]])</f>
        <v>73</v>
      </c>
    </row>
    <row r="2280" spans="1:6" ht="16" x14ac:dyDescent="0.2">
      <c r="A2280" s="1" t="s">
        <v>590</v>
      </c>
      <c r="B2280" t="str">
        <f>LEFT(Table1[[#This Row],[Input]],1)</f>
        <v>L</v>
      </c>
      <c r="C2280">
        <f>_xlfn.LET(_xlpm.steps,SUBSTITUTE(Table1[[#This Row],[Input]],Table1[[#This Row],[Direction]],""),VALUE(IF(LEN(_xlpm.steps)&gt;2,RIGHT(_xlpm.steps,2),_xlpm.steps)))</f>
        <v>10</v>
      </c>
      <c r="D2280">
        <f>_xlfn.LET(_xlpm.dir,Table1[[#This Row],[Direction]],
IF(_xlpm.dir="L",
    IF(F2279-Table1[[#This Row],[Steps]]&lt;0,100+(F2279-Table1[[#This Row],[Steps]]),F2279-Table1[[#This Row],[Steps]]),
))</f>
        <v>63</v>
      </c>
      <c r="E2280">
        <f>_xlfn.LET(_xlpm.dir,Table1[[#This Row],[Direction]],
IF(_xlpm.dir="R",
    IF(F2279+Table1[[#This Row],[Steps]]&gt;99,(F2279+Table1[[#This Row],[Steps]])-100,F2279+Table1[[#This Row],[Steps]]),
))</f>
        <v>0</v>
      </c>
      <c r="F2280">
        <f>IF(Table1[[#This Row],[New Pos L]]&lt;&gt;0,Table1[[#This Row],[New Pos L]],Table1[[#This Row],[New Pos R]])</f>
        <v>63</v>
      </c>
    </row>
    <row r="2281" spans="1:6" ht="16" x14ac:dyDescent="0.2">
      <c r="A2281" s="1" t="s">
        <v>234</v>
      </c>
      <c r="B2281" t="str">
        <f>LEFT(Table1[[#This Row],[Input]],1)</f>
        <v>R</v>
      </c>
      <c r="C2281">
        <f>_xlfn.LET(_xlpm.steps,SUBSTITUTE(Table1[[#This Row],[Input]],Table1[[#This Row],[Direction]],""),VALUE(IF(LEN(_xlpm.steps)&gt;2,RIGHT(_xlpm.steps,2),_xlpm.steps)))</f>
        <v>82</v>
      </c>
      <c r="D2281">
        <f>_xlfn.LET(_xlpm.dir,Table1[[#This Row],[Direction]],
IF(_xlpm.dir="L",
    IF(F2280-Table1[[#This Row],[Steps]]&lt;0,100+(F2280-Table1[[#This Row],[Steps]]),F2280-Table1[[#This Row],[Steps]]),
))</f>
        <v>0</v>
      </c>
      <c r="E2281">
        <f>_xlfn.LET(_xlpm.dir,Table1[[#This Row],[Direction]],
IF(_xlpm.dir="R",
    IF(F2280+Table1[[#This Row],[Steps]]&gt;99,(F2280+Table1[[#This Row],[Steps]])-100,F2280+Table1[[#This Row],[Steps]]),
))</f>
        <v>45</v>
      </c>
      <c r="F2281">
        <f>IF(Table1[[#This Row],[New Pos L]]&lt;&gt;0,Table1[[#This Row],[New Pos L]],Table1[[#This Row],[New Pos R]])</f>
        <v>45</v>
      </c>
    </row>
    <row r="2282" spans="1:6" ht="16" x14ac:dyDescent="0.2">
      <c r="A2282" s="1" t="s">
        <v>79</v>
      </c>
      <c r="B2282" t="str">
        <f>LEFT(Table1[[#This Row],[Input]],1)</f>
        <v>L</v>
      </c>
      <c r="C2282">
        <f>_xlfn.LET(_xlpm.steps,SUBSTITUTE(Table1[[#This Row],[Input]],Table1[[#This Row],[Direction]],""),VALUE(IF(LEN(_xlpm.steps)&gt;2,RIGHT(_xlpm.steps,2),_xlpm.steps)))</f>
        <v>45</v>
      </c>
      <c r="D2282">
        <f>_xlfn.LET(_xlpm.dir,Table1[[#This Row],[Direction]],
IF(_xlpm.dir="L",
    IF(F2281-Table1[[#This Row],[Steps]]&lt;0,100+(F2281-Table1[[#This Row],[Steps]]),F2281-Table1[[#This Row],[Steps]]),
))</f>
        <v>0</v>
      </c>
      <c r="E2282">
        <f>_xlfn.LET(_xlpm.dir,Table1[[#This Row],[Direction]],
IF(_xlpm.dir="R",
    IF(F2281+Table1[[#This Row],[Steps]]&gt;99,(F2281+Table1[[#This Row],[Steps]])-100,F2281+Table1[[#This Row],[Steps]]),
))</f>
        <v>0</v>
      </c>
      <c r="F2282">
        <f>IF(Table1[[#This Row],[New Pos L]]&lt;&gt;0,Table1[[#This Row],[New Pos L]],Table1[[#This Row],[New Pos R]])</f>
        <v>0</v>
      </c>
    </row>
    <row r="2283" spans="1:6" ht="16" x14ac:dyDescent="0.2">
      <c r="A2283" s="1" t="s">
        <v>591</v>
      </c>
      <c r="B2283" t="str">
        <f>LEFT(Table1[[#This Row],[Input]],1)</f>
        <v>R</v>
      </c>
      <c r="C2283">
        <f>_xlfn.LET(_xlpm.steps,SUBSTITUTE(Table1[[#This Row],[Input]],Table1[[#This Row],[Direction]],""),VALUE(IF(LEN(_xlpm.steps)&gt;2,RIGHT(_xlpm.steps,2),_xlpm.steps)))</f>
        <v>93</v>
      </c>
      <c r="D2283">
        <f>_xlfn.LET(_xlpm.dir,Table1[[#This Row],[Direction]],
IF(_xlpm.dir="L",
    IF(F2282-Table1[[#This Row],[Steps]]&lt;0,100+(F2282-Table1[[#This Row],[Steps]]),F2282-Table1[[#This Row],[Steps]]),
))</f>
        <v>0</v>
      </c>
      <c r="E2283">
        <f>_xlfn.LET(_xlpm.dir,Table1[[#This Row],[Direction]],
IF(_xlpm.dir="R",
    IF(F2282+Table1[[#This Row],[Steps]]&gt;99,(F2282+Table1[[#This Row],[Steps]])-100,F2282+Table1[[#This Row],[Steps]]),
))</f>
        <v>93</v>
      </c>
      <c r="F2283">
        <f>IF(Table1[[#This Row],[New Pos L]]&lt;&gt;0,Table1[[#This Row],[New Pos L]],Table1[[#This Row],[New Pos R]])</f>
        <v>93</v>
      </c>
    </row>
    <row r="2284" spans="1:6" ht="16" x14ac:dyDescent="0.2">
      <c r="A2284" s="1" t="s">
        <v>49</v>
      </c>
      <c r="B2284" t="str">
        <f>LEFT(Table1[[#This Row],[Input]],1)</f>
        <v>L</v>
      </c>
      <c r="C2284">
        <f>_xlfn.LET(_xlpm.steps,SUBSTITUTE(Table1[[#This Row],[Input]],Table1[[#This Row],[Direction]],""),VALUE(IF(LEN(_xlpm.steps)&gt;2,RIGHT(_xlpm.steps,2),_xlpm.steps)))</f>
        <v>93</v>
      </c>
      <c r="D2284">
        <f>_xlfn.LET(_xlpm.dir,Table1[[#This Row],[Direction]],
IF(_xlpm.dir="L",
    IF(F2283-Table1[[#This Row],[Steps]]&lt;0,100+(F2283-Table1[[#This Row],[Steps]]),F2283-Table1[[#This Row],[Steps]]),
))</f>
        <v>0</v>
      </c>
      <c r="E2284">
        <f>_xlfn.LET(_xlpm.dir,Table1[[#This Row],[Direction]],
IF(_xlpm.dir="R",
    IF(F2283+Table1[[#This Row],[Steps]]&gt;99,(F2283+Table1[[#This Row],[Steps]])-100,F2283+Table1[[#This Row],[Steps]]),
))</f>
        <v>0</v>
      </c>
      <c r="F2284">
        <f>IF(Table1[[#This Row],[New Pos L]]&lt;&gt;0,Table1[[#This Row],[New Pos L]],Table1[[#This Row],[New Pos R]])</f>
        <v>0</v>
      </c>
    </row>
    <row r="2285" spans="1:6" ht="16" x14ac:dyDescent="0.2">
      <c r="A2285" s="1" t="s">
        <v>69</v>
      </c>
      <c r="B2285" t="str">
        <f>LEFT(Table1[[#This Row],[Input]],1)</f>
        <v>R</v>
      </c>
      <c r="C2285">
        <f>_xlfn.LET(_xlpm.steps,SUBSTITUTE(Table1[[#This Row],[Input]],Table1[[#This Row],[Direction]],""),VALUE(IF(LEN(_xlpm.steps)&gt;2,RIGHT(_xlpm.steps,2),_xlpm.steps)))</f>
        <v>27</v>
      </c>
      <c r="D2285">
        <f>_xlfn.LET(_xlpm.dir,Table1[[#This Row],[Direction]],
IF(_xlpm.dir="L",
    IF(F2284-Table1[[#This Row],[Steps]]&lt;0,100+(F2284-Table1[[#This Row],[Steps]]),F2284-Table1[[#This Row],[Steps]]),
))</f>
        <v>0</v>
      </c>
      <c r="E2285">
        <f>_xlfn.LET(_xlpm.dir,Table1[[#This Row],[Direction]],
IF(_xlpm.dir="R",
    IF(F2284+Table1[[#This Row],[Steps]]&gt;99,(F2284+Table1[[#This Row],[Steps]])-100,F2284+Table1[[#This Row],[Steps]]),
))</f>
        <v>27</v>
      </c>
      <c r="F2285">
        <f>IF(Table1[[#This Row],[New Pos L]]&lt;&gt;0,Table1[[#This Row],[New Pos L]],Table1[[#This Row],[New Pos R]])</f>
        <v>27</v>
      </c>
    </row>
    <row r="2286" spans="1:6" ht="16" x14ac:dyDescent="0.2">
      <c r="A2286" s="1" t="s">
        <v>174</v>
      </c>
      <c r="B2286" t="str">
        <f>LEFT(Table1[[#This Row],[Input]],1)</f>
        <v>L</v>
      </c>
      <c r="C2286">
        <f>_xlfn.LET(_xlpm.steps,SUBSTITUTE(Table1[[#This Row],[Input]],Table1[[#This Row],[Direction]],""),VALUE(IF(LEN(_xlpm.steps)&gt;2,RIGHT(_xlpm.steps,2),_xlpm.steps)))</f>
        <v>92</v>
      </c>
      <c r="D2286">
        <f>_xlfn.LET(_xlpm.dir,Table1[[#This Row],[Direction]],
IF(_xlpm.dir="L",
    IF(F2285-Table1[[#This Row],[Steps]]&lt;0,100+(F2285-Table1[[#This Row],[Steps]]),F2285-Table1[[#This Row],[Steps]]),
))</f>
        <v>35</v>
      </c>
      <c r="E2286">
        <f>_xlfn.LET(_xlpm.dir,Table1[[#This Row],[Direction]],
IF(_xlpm.dir="R",
    IF(F2285+Table1[[#This Row],[Steps]]&gt;99,(F2285+Table1[[#This Row],[Steps]])-100,F2285+Table1[[#This Row],[Steps]]),
))</f>
        <v>0</v>
      </c>
      <c r="F2286">
        <f>IF(Table1[[#This Row],[New Pos L]]&lt;&gt;0,Table1[[#This Row],[New Pos L]],Table1[[#This Row],[New Pos R]])</f>
        <v>35</v>
      </c>
    </row>
    <row r="2287" spans="1:6" ht="16" x14ac:dyDescent="0.2">
      <c r="A2287" s="1" t="s">
        <v>55</v>
      </c>
      <c r="B2287" t="str">
        <f>LEFT(Table1[[#This Row],[Input]],1)</f>
        <v>L</v>
      </c>
      <c r="C2287">
        <f>_xlfn.LET(_xlpm.steps,SUBSTITUTE(Table1[[#This Row],[Input]],Table1[[#This Row],[Direction]],""),VALUE(IF(LEN(_xlpm.steps)&gt;2,RIGHT(_xlpm.steps,2),_xlpm.steps)))</f>
        <v>82</v>
      </c>
      <c r="D2287">
        <f>_xlfn.LET(_xlpm.dir,Table1[[#This Row],[Direction]],
IF(_xlpm.dir="L",
    IF(F2286-Table1[[#This Row],[Steps]]&lt;0,100+(F2286-Table1[[#This Row],[Steps]]),F2286-Table1[[#This Row],[Steps]]),
))</f>
        <v>53</v>
      </c>
      <c r="E2287">
        <f>_xlfn.LET(_xlpm.dir,Table1[[#This Row],[Direction]],
IF(_xlpm.dir="R",
    IF(F2286+Table1[[#This Row],[Steps]]&gt;99,(F2286+Table1[[#This Row],[Steps]])-100,F2286+Table1[[#This Row],[Steps]]),
))</f>
        <v>0</v>
      </c>
      <c r="F2287">
        <f>IF(Table1[[#This Row],[New Pos L]]&lt;&gt;0,Table1[[#This Row],[New Pos L]],Table1[[#This Row],[New Pos R]])</f>
        <v>53</v>
      </c>
    </row>
    <row r="2288" spans="1:6" ht="16" x14ac:dyDescent="0.2">
      <c r="A2288" s="1" t="s">
        <v>181</v>
      </c>
      <c r="B2288" t="str">
        <f>LEFT(Table1[[#This Row],[Input]],1)</f>
        <v>L</v>
      </c>
      <c r="C2288">
        <f>_xlfn.LET(_xlpm.steps,SUBSTITUTE(Table1[[#This Row],[Input]],Table1[[#This Row],[Direction]],""),VALUE(IF(LEN(_xlpm.steps)&gt;2,RIGHT(_xlpm.steps,2),_xlpm.steps)))</f>
        <v>53</v>
      </c>
      <c r="D2288">
        <f>_xlfn.LET(_xlpm.dir,Table1[[#This Row],[Direction]],
IF(_xlpm.dir="L",
    IF(F2287-Table1[[#This Row],[Steps]]&lt;0,100+(F2287-Table1[[#This Row],[Steps]]),F2287-Table1[[#This Row],[Steps]]),
))</f>
        <v>0</v>
      </c>
      <c r="E2288">
        <f>_xlfn.LET(_xlpm.dir,Table1[[#This Row],[Direction]],
IF(_xlpm.dir="R",
    IF(F2287+Table1[[#This Row],[Steps]]&gt;99,(F2287+Table1[[#This Row],[Steps]])-100,F2287+Table1[[#This Row],[Steps]]),
))</f>
        <v>0</v>
      </c>
      <c r="F2288">
        <f>IF(Table1[[#This Row],[New Pos L]]&lt;&gt;0,Table1[[#This Row],[New Pos L]],Table1[[#This Row],[New Pos R]])</f>
        <v>0</v>
      </c>
    </row>
    <row r="2289" spans="1:6" ht="16" x14ac:dyDescent="0.2">
      <c r="A2289" s="1" t="s">
        <v>73</v>
      </c>
      <c r="B2289" t="str">
        <f>LEFT(Table1[[#This Row],[Input]],1)</f>
        <v>R</v>
      </c>
      <c r="C2289">
        <f>_xlfn.LET(_xlpm.steps,SUBSTITUTE(Table1[[#This Row],[Input]],Table1[[#This Row],[Direction]],""),VALUE(IF(LEN(_xlpm.steps)&gt;2,RIGHT(_xlpm.steps,2),_xlpm.steps)))</f>
        <v>21</v>
      </c>
      <c r="D2289">
        <f>_xlfn.LET(_xlpm.dir,Table1[[#This Row],[Direction]],
IF(_xlpm.dir="L",
    IF(F2288-Table1[[#This Row],[Steps]]&lt;0,100+(F2288-Table1[[#This Row],[Steps]]),F2288-Table1[[#This Row],[Steps]]),
))</f>
        <v>0</v>
      </c>
      <c r="E2289">
        <f>_xlfn.LET(_xlpm.dir,Table1[[#This Row],[Direction]],
IF(_xlpm.dir="R",
    IF(F2288+Table1[[#This Row],[Steps]]&gt;99,(F2288+Table1[[#This Row],[Steps]])-100,F2288+Table1[[#This Row],[Steps]]),
))</f>
        <v>21</v>
      </c>
      <c r="F2289">
        <f>IF(Table1[[#This Row],[New Pos L]]&lt;&gt;0,Table1[[#This Row],[New Pos L]],Table1[[#This Row],[New Pos R]])</f>
        <v>21</v>
      </c>
    </row>
    <row r="2290" spans="1:6" ht="16" x14ac:dyDescent="0.2">
      <c r="A2290" s="1" t="s">
        <v>34</v>
      </c>
      <c r="B2290" t="str">
        <f>LEFT(Table1[[#This Row],[Input]],1)</f>
        <v>L</v>
      </c>
      <c r="C2290">
        <f>_xlfn.LET(_xlpm.steps,SUBSTITUTE(Table1[[#This Row],[Input]],Table1[[#This Row],[Direction]],""),VALUE(IF(LEN(_xlpm.steps)&gt;2,RIGHT(_xlpm.steps,2),_xlpm.steps)))</f>
        <v>15</v>
      </c>
      <c r="D2290">
        <f>_xlfn.LET(_xlpm.dir,Table1[[#This Row],[Direction]],
IF(_xlpm.dir="L",
    IF(F2289-Table1[[#This Row],[Steps]]&lt;0,100+(F2289-Table1[[#This Row],[Steps]]),F2289-Table1[[#This Row],[Steps]]),
))</f>
        <v>6</v>
      </c>
      <c r="E2290">
        <f>_xlfn.LET(_xlpm.dir,Table1[[#This Row],[Direction]],
IF(_xlpm.dir="R",
    IF(F2289+Table1[[#This Row],[Steps]]&gt;99,(F2289+Table1[[#This Row],[Steps]])-100,F2289+Table1[[#This Row],[Steps]]),
))</f>
        <v>0</v>
      </c>
      <c r="F2290">
        <f>IF(Table1[[#This Row],[New Pos L]]&lt;&gt;0,Table1[[#This Row],[New Pos L]],Table1[[#This Row],[New Pos R]])</f>
        <v>6</v>
      </c>
    </row>
    <row r="2291" spans="1:6" ht="16" x14ac:dyDescent="0.2">
      <c r="A2291" s="1" t="s">
        <v>181</v>
      </c>
      <c r="B2291" t="str">
        <f>LEFT(Table1[[#This Row],[Input]],1)</f>
        <v>L</v>
      </c>
      <c r="C2291">
        <f>_xlfn.LET(_xlpm.steps,SUBSTITUTE(Table1[[#This Row],[Input]],Table1[[#This Row],[Direction]],""),VALUE(IF(LEN(_xlpm.steps)&gt;2,RIGHT(_xlpm.steps,2),_xlpm.steps)))</f>
        <v>53</v>
      </c>
      <c r="D2291">
        <f>_xlfn.LET(_xlpm.dir,Table1[[#This Row],[Direction]],
IF(_xlpm.dir="L",
    IF(F2290-Table1[[#This Row],[Steps]]&lt;0,100+(F2290-Table1[[#This Row],[Steps]]),F2290-Table1[[#This Row],[Steps]]),
))</f>
        <v>53</v>
      </c>
      <c r="E2291">
        <f>_xlfn.LET(_xlpm.dir,Table1[[#This Row],[Direction]],
IF(_xlpm.dir="R",
    IF(F2290+Table1[[#This Row],[Steps]]&gt;99,(F2290+Table1[[#This Row],[Steps]])-100,F2290+Table1[[#This Row],[Steps]]),
))</f>
        <v>0</v>
      </c>
      <c r="F2291">
        <f>IF(Table1[[#This Row],[New Pos L]]&lt;&gt;0,Table1[[#This Row],[New Pos L]],Table1[[#This Row],[New Pos R]])</f>
        <v>53</v>
      </c>
    </row>
    <row r="2292" spans="1:6" ht="16" x14ac:dyDescent="0.2">
      <c r="A2292" s="1" t="s">
        <v>592</v>
      </c>
      <c r="B2292" t="str">
        <f>LEFT(Table1[[#This Row],[Input]],1)</f>
        <v>L</v>
      </c>
      <c r="C2292">
        <f>_xlfn.LET(_xlpm.steps,SUBSTITUTE(Table1[[#This Row],[Input]],Table1[[#This Row],[Direction]],""),VALUE(IF(LEN(_xlpm.steps)&gt;2,RIGHT(_xlpm.steps,2),_xlpm.steps)))</f>
        <v>53</v>
      </c>
      <c r="D2292">
        <f>_xlfn.LET(_xlpm.dir,Table1[[#This Row],[Direction]],
IF(_xlpm.dir="L",
    IF(F2291-Table1[[#This Row],[Steps]]&lt;0,100+(F2291-Table1[[#This Row],[Steps]]),F2291-Table1[[#This Row],[Steps]]),
))</f>
        <v>0</v>
      </c>
      <c r="E2292">
        <f>_xlfn.LET(_xlpm.dir,Table1[[#This Row],[Direction]],
IF(_xlpm.dir="R",
    IF(F2291+Table1[[#This Row],[Steps]]&gt;99,(F2291+Table1[[#This Row],[Steps]])-100,F2291+Table1[[#This Row],[Steps]]),
))</f>
        <v>0</v>
      </c>
      <c r="F2292">
        <f>IF(Table1[[#This Row],[New Pos L]]&lt;&gt;0,Table1[[#This Row],[New Pos L]],Table1[[#This Row],[New Pos R]])</f>
        <v>0</v>
      </c>
    </row>
    <row r="2293" spans="1:6" ht="16" x14ac:dyDescent="0.2">
      <c r="A2293" s="1" t="s">
        <v>134</v>
      </c>
      <c r="B2293" t="str">
        <f>LEFT(Table1[[#This Row],[Input]],1)</f>
        <v>L</v>
      </c>
      <c r="C2293">
        <f>_xlfn.LET(_xlpm.steps,SUBSTITUTE(Table1[[#This Row],[Input]],Table1[[#This Row],[Direction]],""),VALUE(IF(LEN(_xlpm.steps)&gt;2,RIGHT(_xlpm.steps,2),_xlpm.steps)))</f>
        <v>95</v>
      </c>
      <c r="D2293">
        <f>_xlfn.LET(_xlpm.dir,Table1[[#This Row],[Direction]],
IF(_xlpm.dir="L",
    IF(F2292-Table1[[#This Row],[Steps]]&lt;0,100+(F2292-Table1[[#This Row],[Steps]]),F2292-Table1[[#This Row],[Steps]]),
))</f>
        <v>5</v>
      </c>
      <c r="E2293">
        <f>_xlfn.LET(_xlpm.dir,Table1[[#This Row],[Direction]],
IF(_xlpm.dir="R",
    IF(F2292+Table1[[#This Row],[Steps]]&gt;99,(F2292+Table1[[#This Row],[Steps]])-100,F2292+Table1[[#This Row],[Steps]]),
))</f>
        <v>0</v>
      </c>
      <c r="F2293">
        <f>IF(Table1[[#This Row],[New Pos L]]&lt;&gt;0,Table1[[#This Row],[New Pos L]],Table1[[#This Row],[New Pos R]])</f>
        <v>5</v>
      </c>
    </row>
    <row r="2294" spans="1:6" ht="16" x14ac:dyDescent="0.2">
      <c r="A2294" s="1" t="s">
        <v>16</v>
      </c>
      <c r="B2294" t="str">
        <f>LEFT(Table1[[#This Row],[Input]],1)</f>
        <v>L</v>
      </c>
      <c r="C2294">
        <f>_xlfn.LET(_xlpm.steps,SUBSTITUTE(Table1[[#This Row],[Input]],Table1[[#This Row],[Direction]],""),VALUE(IF(LEN(_xlpm.steps)&gt;2,RIGHT(_xlpm.steps,2),_xlpm.steps)))</f>
        <v>10</v>
      </c>
      <c r="D2294">
        <f>_xlfn.LET(_xlpm.dir,Table1[[#This Row],[Direction]],
IF(_xlpm.dir="L",
    IF(F2293-Table1[[#This Row],[Steps]]&lt;0,100+(F2293-Table1[[#This Row],[Steps]]),F2293-Table1[[#This Row],[Steps]]),
))</f>
        <v>95</v>
      </c>
      <c r="E2294">
        <f>_xlfn.LET(_xlpm.dir,Table1[[#This Row],[Direction]],
IF(_xlpm.dir="R",
    IF(F2293+Table1[[#This Row],[Steps]]&gt;99,(F2293+Table1[[#This Row],[Steps]])-100,F2293+Table1[[#This Row],[Steps]]),
))</f>
        <v>0</v>
      </c>
      <c r="F2294">
        <f>IF(Table1[[#This Row],[New Pos L]]&lt;&gt;0,Table1[[#This Row],[New Pos L]],Table1[[#This Row],[New Pos R]])</f>
        <v>95</v>
      </c>
    </row>
    <row r="2295" spans="1:6" ht="16" x14ac:dyDescent="0.2">
      <c r="A2295" s="1" t="s">
        <v>330</v>
      </c>
      <c r="B2295" t="str">
        <f>LEFT(Table1[[#This Row],[Input]],1)</f>
        <v>L</v>
      </c>
      <c r="C2295">
        <f>_xlfn.LET(_xlpm.steps,SUBSTITUTE(Table1[[#This Row],[Input]],Table1[[#This Row],[Direction]],""),VALUE(IF(LEN(_xlpm.steps)&gt;2,RIGHT(_xlpm.steps,2),_xlpm.steps)))</f>
        <v>47</v>
      </c>
      <c r="D2295">
        <f>_xlfn.LET(_xlpm.dir,Table1[[#This Row],[Direction]],
IF(_xlpm.dir="L",
    IF(F2294-Table1[[#This Row],[Steps]]&lt;0,100+(F2294-Table1[[#This Row],[Steps]]),F2294-Table1[[#This Row],[Steps]]),
))</f>
        <v>48</v>
      </c>
      <c r="E2295">
        <f>_xlfn.LET(_xlpm.dir,Table1[[#This Row],[Direction]],
IF(_xlpm.dir="R",
    IF(F2294+Table1[[#This Row],[Steps]]&gt;99,(F2294+Table1[[#This Row],[Steps]])-100,F2294+Table1[[#This Row],[Steps]]),
))</f>
        <v>0</v>
      </c>
      <c r="F2295">
        <f>IF(Table1[[#This Row],[New Pos L]]&lt;&gt;0,Table1[[#This Row],[New Pos L]],Table1[[#This Row],[New Pos R]])</f>
        <v>48</v>
      </c>
    </row>
    <row r="2296" spans="1:6" ht="16" x14ac:dyDescent="0.2">
      <c r="A2296" s="1" t="s">
        <v>57</v>
      </c>
      <c r="B2296" t="str">
        <f>LEFT(Table1[[#This Row],[Input]],1)</f>
        <v>R</v>
      </c>
      <c r="C2296">
        <f>_xlfn.LET(_xlpm.steps,SUBSTITUTE(Table1[[#This Row],[Input]],Table1[[#This Row],[Direction]],""),VALUE(IF(LEN(_xlpm.steps)&gt;2,RIGHT(_xlpm.steps,2),_xlpm.steps)))</f>
        <v>29</v>
      </c>
      <c r="D2296">
        <f>_xlfn.LET(_xlpm.dir,Table1[[#This Row],[Direction]],
IF(_xlpm.dir="L",
    IF(F2295-Table1[[#This Row],[Steps]]&lt;0,100+(F2295-Table1[[#This Row],[Steps]]),F2295-Table1[[#This Row],[Steps]]),
))</f>
        <v>0</v>
      </c>
      <c r="E2296">
        <f>_xlfn.LET(_xlpm.dir,Table1[[#This Row],[Direction]],
IF(_xlpm.dir="R",
    IF(F2295+Table1[[#This Row],[Steps]]&gt;99,(F2295+Table1[[#This Row],[Steps]])-100,F2295+Table1[[#This Row],[Steps]]),
))</f>
        <v>77</v>
      </c>
      <c r="F2296">
        <f>IF(Table1[[#This Row],[New Pos L]]&lt;&gt;0,Table1[[#This Row],[New Pos L]],Table1[[#This Row],[New Pos R]])</f>
        <v>77</v>
      </c>
    </row>
    <row r="2297" spans="1:6" ht="16" x14ac:dyDescent="0.2">
      <c r="A2297" s="1" t="s">
        <v>293</v>
      </c>
      <c r="B2297" t="str">
        <f>LEFT(Table1[[#This Row],[Input]],1)</f>
        <v>R</v>
      </c>
      <c r="C2297">
        <f>_xlfn.LET(_xlpm.steps,SUBSTITUTE(Table1[[#This Row],[Input]],Table1[[#This Row],[Direction]],""),VALUE(IF(LEN(_xlpm.steps)&gt;2,RIGHT(_xlpm.steps,2),_xlpm.steps)))</f>
        <v>67</v>
      </c>
      <c r="D2297">
        <f>_xlfn.LET(_xlpm.dir,Table1[[#This Row],[Direction]],
IF(_xlpm.dir="L",
    IF(F2296-Table1[[#This Row],[Steps]]&lt;0,100+(F2296-Table1[[#This Row],[Steps]]),F2296-Table1[[#This Row],[Steps]]),
))</f>
        <v>0</v>
      </c>
      <c r="E2297">
        <f>_xlfn.LET(_xlpm.dir,Table1[[#This Row],[Direction]],
IF(_xlpm.dir="R",
    IF(F2296+Table1[[#This Row],[Steps]]&gt;99,(F2296+Table1[[#This Row],[Steps]])-100,F2296+Table1[[#This Row],[Steps]]),
))</f>
        <v>44</v>
      </c>
      <c r="F2297">
        <f>IF(Table1[[#This Row],[New Pos L]]&lt;&gt;0,Table1[[#This Row],[New Pos L]],Table1[[#This Row],[New Pos R]])</f>
        <v>44</v>
      </c>
    </row>
    <row r="2298" spans="1:6" ht="16" x14ac:dyDescent="0.2">
      <c r="A2298" s="1" t="s">
        <v>205</v>
      </c>
      <c r="B2298" t="str">
        <f>LEFT(Table1[[#This Row],[Input]],1)</f>
        <v>R</v>
      </c>
      <c r="C2298">
        <f>_xlfn.LET(_xlpm.steps,SUBSTITUTE(Table1[[#This Row],[Input]],Table1[[#This Row],[Direction]],""),VALUE(IF(LEN(_xlpm.steps)&gt;2,RIGHT(_xlpm.steps,2),_xlpm.steps)))</f>
        <v>83</v>
      </c>
      <c r="D2298">
        <f>_xlfn.LET(_xlpm.dir,Table1[[#This Row],[Direction]],
IF(_xlpm.dir="L",
    IF(F2297-Table1[[#This Row],[Steps]]&lt;0,100+(F2297-Table1[[#This Row],[Steps]]),F2297-Table1[[#This Row],[Steps]]),
))</f>
        <v>0</v>
      </c>
      <c r="E2298">
        <f>_xlfn.LET(_xlpm.dir,Table1[[#This Row],[Direction]],
IF(_xlpm.dir="R",
    IF(F2297+Table1[[#This Row],[Steps]]&gt;99,(F2297+Table1[[#This Row],[Steps]])-100,F2297+Table1[[#This Row],[Steps]]),
))</f>
        <v>27</v>
      </c>
      <c r="F2298">
        <f>IF(Table1[[#This Row],[New Pos L]]&lt;&gt;0,Table1[[#This Row],[New Pos L]],Table1[[#This Row],[New Pos R]])</f>
        <v>27</v>
      </c>
    </row>
    <row r="2299" spans="1:6" ht="16" x14ac:dyDescent="0.2">
      <c r="A2299" s="1" t="s">
        <v>195</v>
      </c>
      <c r="B2299" t="str">
        <f>LEFT(Table1[[#This Row],[Input]],1)</f>
        <v>R</v>
      </c>
      <c r="C2299">
        <f>_xlfn.LET(_xlpm.steps,SUBSTITUTE(Table1[[#This Row],[Input]],Table1[[#This Row],[Direction]],""),VALUE(IF(LEN(_xlpm.steps)&gt;2,RIGHT(_xlpm.steps,2),_xlpm.steps)))</f>
        <v>40</v>
      </c>
      <c r="D2299">
        <f>_xlfn.LET(_xlpm.dir,Table1[[#This Row],[Direction]],
IF(_xlpm.dir="L",
    IF(F2298-Table1[[#This Row],[Steps]]&lt;0,100+(F2298-Table1[[#This Row],[Steps]]),F2298-Table1[[#This Row],[Steps]]),
))</f>
        <v>0</v>
      </c>
      <c r="E2299">
        <f>_xlfn.LET(_xlpm.dir,Table1[[#This Row],[Direction]],
IF(_xlpm.dir="R",
    IF(F2298+Table1[[#This Row],[Steps]]&gt;99,(F2298+Table1[[#This Row],[Steps]])-100,F2298+Table1[[#This Row],[Steps]]),
))</f>
        <v>67</v>
      </c>
      <c r="F2299">
        <f>IF(Table1[[#This Row],[New Pos L]]&lt;&gt;0,Table1[[#This Row],[New Pos L]],Table1[[#This Row],[New Pos R]])</f>
        <v>67</v>
      </c>
    </row>
    <row r="2300" spans="1:6" ht="16" x14ac:dyDescent="0.2">
      <c r="A2300" s="1" t="s">
        <v>35</v>
      </c>
      <c r="B2300" t="str">
        <f>LEFT(Table1[[#This Row],[Input]],1)</f>
        <v>L</v>
      </c>
      <c r="C2300">
        <f>_xlfn.LET(_xlpm.steps,SUBSTITUTE(Table1[[#This Row],[Input]],Table1[[#This Row],[Direction]],""),VALUE(IF(LEN(_xlpm.steps)&gt;2,RIGHT(_xlpm.steps,2),_xlpm.steps)))</f>
        <v>2</v>
      </c>
      <c r="D2300">
        <f>_xlfn.LET(_xlpm.dir,Table1[[#This Row],[Direction]],
IF(_xlpm.dir="L",
    IF(F2299-Table1[[#This Row],[Steps]]&lt;0,100+(F2299-Table1[[#This Row],[Steps]]),F2299-Table1[[#This Row],[Steps]]),
))</f>
        <v>65</v>
      </c>
      <c r="E2300">
        <f>_xlfn.LET(_xlpm.dir,Table1[[#This Row],[Direction]],
IF(_xlpm.dir="R",
    IF(F2299+Table1[[#This Row],[Steps]]&gt;99,(F2299+Table1[[#This Row],[Steps]])-100,F2299+Table1[[#This Row],[Steps]]),
))</f>
        <v>0</v>
      </c>
      <c r="F2300">
        <f>IF(Table1[[#This Row],[New Pos L]]&lt;&gt;0,Table1[[#This Row],[New Pos L]],Table1[[#This Row],[New Pos R]])</f>
        <v>65</v>
      </c>
    </row>
    <row r="2301" spans="1:6" ht="16" x14ac:dyDescent="0.2">
      <c r="A2301" s="1" t="s">
        <v>344</v>
      </c>
      <c r="B2301" t="str">
        <f>LEFT(Table1[[#This Row],[Input]],1)</f>
        <v>R</v>
      </c>
      <c r="C2301">
        <f>_xlfn.LET(_xlpm.steps,SUBSTITUTE(Table1[[#This Row],[Input]],Table1[[#This Row],[Direction]],""),VALUE(IF(LEN(_xlpm.steps)&gt;2,RIGHT(_xlpm.steps,2),_xlpm.steps)))</f>
        <v>9</v>
      </c>
      <c r="D2301">
        <f>_xlfn.LET(_xlpm.dir,Table1[[#This Row],[Direction]],
IF(_xlpm.dir="L",
    IF(F2300-Table1[[#This Row],[Steps]]&lt;0,100+(F2300-Table1[[#This Row],[Steps]]),F2300-Table1[[#This Row],[Steps]]),
))</f>
        <v>0</v>
      </c>
      <c r="E2301">
        <f>_xlfn.LET(_xlpm.dir,Table1[[#This Row],[Direction]],
IF(_xlpm.dir="R",
    IF(F2300+Table1[[#This Row],[Steps]]&gt;99,(F2300+Table1[[#This Row],[Steps]])-100,F2300+Table1[[#This Row],[Steps]]),
))</f>
        <v>74</v>
      </c>
      <c r="F2301">
        <f>IF(Table1[[#This Row],[New Pos L]]&lt;&gt;0,Table1[[#This Row],[New Pos L]],Table1[[#This Row],[New Pos R]])</f>
        <v>74</v>
      </c>
    </row>
    <row r="2302" spans="1:6" ht="16" x14ac:dyDescent="0.2">
      <c r="A2302" s="1" t="s">
        <v>13</v>
      </c>
      <c r="B2302" t="str">
        <f>LEFT(Table1[[#This Row],[Input]],1)</f>
        <v>R</v>
      </c>
      <c r="C2302">
        <f>_xlfn.LET(_xlpm.steps,SUBSTITUTE(Table1[[#This Row],[Input]],Table1[[#This Row],[Direction]],""),VALUE(IF(LEN(_xlpm.steps)&gt;2,RIGHT(_xlpm.steps,2),_xlpm.steps)))</f>
        <v>12</v>
      </c>
      <c r="D2302">
        <f>_xlfn.LET(_xlpm.dir,Table1[[#This Row],[Direction]],
IF(_xlpm.dir="L",
    IF(F2301-Table1[[#This Row],[Steps]]&lt;0,100+(F2301-Table1[[#This Row],[Steps]]),F2301-Table1[[#This Row],[Steps]]),
))</f>
        <v>0</v>
      </c>
      <c r="E2302">
        <f>_xlfn.LET(_xlpm.dir,Table1[[#This Row],[Direction]],
IF(_xlpm.dir="R",
    IF(F2301+Table1[[#This Row],[Steps]]&gt;99,(F2301+Table1[[#This Row],[Steps]])-100,F2301+Table1[[#This Row],[Steps]]),
))</f>
        <v>86</v>
      </c>
      <c r="F2302">
        <f>IF(Table1[[#This Row],[New Pos L]]&lt;&gt;0,Table1[[#This Row],[New Pos L]],Table1[[#This Row],[New Pos R]])</f>
        <v>86</v>
      </c>
    </row>
    <row r="2303" spans="1:6" ht="16" x14ac:dyDescent="0.2">
      <c r="A2303" s="1" t="s">
        <v>264</v>
      </c>
      <c r="B2303" t="str">
        <f>LEFT(Table1[[#This Row],[Input]],1)</f>
        <v>L</v>
      </c>
      <c r="C2303">
        <f>_xlfn.LET(_xlpm.steps,SUBSTITUTE(Table1[[#This Row],[Input]],Table1[[#This Row],[Direction]],""),VALUE(IF(LEN(_xlpm.steps)&gt;2,RIGHT(_xlpm.steps,2),_xlpm.steps)))</f>
        <v>21</v>
      </c>
      <c r="D2303">
        <f>_xlfn.LET(_xlpm.dir,Table1[[#This Row],[Direction]],
IF(_xlpm.dir="L",
    IF(F2302-Table1[[#This Row],[Steps]]&lt;0,100+(F2302-Table1[[#This Row],[Steps]]),F2302-Table1[[#This Row],[Steps]]),
))</f>
        <v>65</v>
      </c>
      <c r="E2303">
        <f>_xlfn.LET(_xlpm.dir,Table1[[#This Row],[Direction]],
IF(_xlpm.dir="R",
    IF(F2302+Table1[[#This Row],[Steps]]&gt;99,(F2302+Table1[[#This Row],[Steps]])-100,F2302+Table1[[#This Row],[Steps]]),
))</f>
        <v>0</v>
      </c>
      <c r="F2303">
        <f>IF(Table1[[#This Row],[New Pos L]]&lt;&gt;0,Table1[[#This Row],[New Pos L]],Table1[[#This Row],[New Pos R]])</f>
        <v>65</v>
      </c>
    </row>
    <row r="2304" spans="1:6" ht="16" x14ac:dyDescent="0.2">
      <c r="A2304" s="1" t="s">
        <v>20</v>
      </c>
      <c r="B2304" t="str">
        <f>LEFT(Table1[[#This Row],[Input]],1)</f>
        <v>R</v>
      </c>
      <c r="C2304">
        <f>_xlfn.LET(_xlpm.steps,SUBSTITUTE(Table1[[#This Row],[Input]],Table1[[#This Row],[Direction]],""),VALUE(IF(LEN(_xlpm.steps)&gt;2,RIGHT(_xlpm.steps,2),_xlpm.steps)))</f>
        <v>46</v>
      </c>
      <c r="D2304">
        <f>_xlfn.LET(_xlpm.dir,Table1[[#This Row],[Direction]],
IF(_xlpm.dir="L",
    IF(F2303-Table1[[#This Row],[Steps]]&lt;0,100+(F2303-Table1[[#This Row],[Steps]]),F2303-Table1[[#This Row],[Steps]]),
))</f>
        <v>0</v>
      </c>
      <c r="E2304">
        <f>_xlfn.LET(_xlpm.dir,Table1[[#This Row],[Direction]],
IF(_xlpm.dir="R",
    IF(F2303+Table1[[#This Row],[Steps]]&gt;99,(F2303+Table1[[#This Row],[Steps]])-100,F2303+Table1[[#This Row],[Steps]]),
))</f>
        <v>11</v>
      </c>
      <c r="F2304">
        <f>IF(Table1[[#This Row],[New Pos L]]&lt;&gt;0,Table1[[#This Row],[New Pos L]],Table1[[#This Row],[New Pos R]])</f>
        <v>11</v>
      </c>
    </row>
    <row r="2305" spans="1:6" ht="16" x14ac:dyDescent="0.2">
      <c r="A2305" s="1" t="s">
        <v>12</v>
      </c>
      <c r="B2305" t="str">
        <f>LEFT(Table1[[#This Row],[Input]],1)</f>
        <v>L</v>
      </c>
      <c r="C2305">
        <f>_xlfn.LET(_xlpm.steps,SUBSTITUTE(Table1[[#This Row],[Input]],Table1[[#This Row],[Direction]],""),VALUE(IF(LEN(_xlpm.steps)&gt;2,RIGHT(_xlpm.steps,2),_xlpm.steps)))</f>
        <v>11</v>
      </c>
      <c r="D2305">
        <f>_xlfn.LET(_xlpm.dir,Table1[[#This Row],[Direction]],
IF(_xlpm.dir="L",
    IF(F2304-Table1[[#This Row],[Steps]]&lt;0,100+(F2304-Table1[[#This Row],[Steps]]),F2304-Table1[[#This Row],[Steps]]),
))</f>
        <v>0</v>
      </c>
      <c r="E2305">
        <f>_xlfn.LET(_xlpm.dir,Table1[[#This Row],[Direction]],
IF(_xlpm.dir="R",
    IF(F2304+Table1[[#This Row],[Steps]]&gt;99,(F2304+Table1[[#This Row],[Steps]])-100,F2304+Table1[[#This Row],[Steps]]),
))</f>
        <v>0</v>
      </c>
      <c r="F2305">
        <f>IF(Table1[[#This Row],[New Pos L]]&lt;&gt;0,Table1[[#This Row],[New Pos L]],Table1[[#This Row],[New Pos R]])</f>
        <v>0</v>
      </c>
    </row>
    <row r="2306" spans="1:6" ht="16" x14ac:dyDescent="0.2">
      <c r="A2306" s="1" t="s">
        <v>319</v>
      </c>
      <c r="B2306" t="str">
        <f>LEFT(Table1[[#This Row],[Input]],1)</f>
        <v>L</v>
      </c>
      <c r="C2306">
        <f>_xlfn.LET(_xlpm.steps,SUBSTITUTE(Table1[[#This Row],[Input]],Table1[[#This Row],[Direction]],""),VALUE(IF(LEN(_xlpm.steps)&gt;2,RIGHT(_xlpm.steps,2),_xlpm.steps)))</f>
        <v>79</v>
      </c>
      <c r="D2306">
        <f>_xlfn.LET(_xlpm.dir,Table1[[#This Row],[Direction]],
IF(_xlpm.dir="L",
    IF(F2305-Table1[[#This Row],[Steps]]&lt;0,100+(F2305-Table1[[#This Row],[Steps]]),F2305-Table1[[#This Row],[Steps]]),
))</f>
        <v>21</v>
      </c>
      <c r="E2306">
        <f>_xlfn.LET(_xlpm.dir,Table1[[#This Row],[Direction]],
IF(_xlpm.dir="R",
    IF(F2305+Table1[[#This Row],[Steps]]&gt;99,(F2305+Table1[[#This Row],[Steps]])-100,F2305+Table1[[#This Row],[Steps]]),
))</f>
        <v>0</v>
      </c>
      <c r="F2306">
        <f>IF(Table1[[#This Row],[New Pos L]]&lt;&gt;0,Table1[[#This Row],[New Pos L]],Table1[[#This Row],[New Pos R]])</f>
        <v>21</v>
      </c>
    </row>
    <row r="2307" spans="1:6" ht="16" x14ac:dyDescent="0.2">
      <c r="A2307" s="1" t="s">
        <v>1</v>
      </c>
      <c r="B2307" t="str">
        <f>LEFT(Table1[[#This Row],[Input]],1)</f>
        <v>R</v>
      </c>
      <c r="C2307">
        <f>_xlfn.LET(_xlpm.steps,SUBSTITUTE(Table1[[#This Row],[Input]],Table1[[#This Row],[Direction]],""),VALUE(IF(LEN(_xlpm.steps)&gt;2,RIGHT(_xlpm.steps,2),_xlpm.steps)))</f>
        <v>26</v>
      </c>
      <c r="D2307">
        <f>_xlfn.LET(_xlpm.dir,Table1[[#This Row],[Direction]],
IF(_xlpm.dir="L",
    IF(F2306-Table1[[#This Row],[Steps]]&lt;0,100+(F2306-Table1[[#This Row],[Steps]]),F2306-Table1[[#This Row],[Steps]]),
))</f>
        <v>0</v>
      </c>
      <c r="E2307">
        <f>_xlfn.LET(_xlpm.dir,Table1[[#This Row],[Direction]],
IF(_xlpm.dir="R",
    IF(F2306+Table1[[#This Row],[Steps]]&gt;99,(F2306+Table1[[#This Row],[Steps]])-100,F2306+Table1[[#This Row],[Steps]]),
))</f>
        <v>47</v>
      </c>
      <c r="F2307">
        <f>IF(Table1[[#This Row],[New Pos L]]&lt;&gt;0,Table1[[#This Row],[New Pos L]],Table1[[#This Row],[New Pos R]])</f>
        <v>47</v>
      </c>
    </row>
    <row r="2308" spans="1:6" ht="16" x14ac:dyDescent="0.2">
      <c r="A2308" s="1" t="s">
        <v>58</v>
      </c>
      <c r="B2308" t="str">
        <f>LEFT(Table1[[#This Row],[Input]],1)</f>
        <v>L</v>
      </c>
      <c r="C2308">
        <f>_xlfn.LET(_xlpm.steps,SUBSTITUTE(Table1[[#This Row],[Input]],Table1[[#This Row],[Direction]],""),VALUE(IF(LEN(_xlpm.steps)&gt;2,RIGHT(_xlpm.steps,2),_xlpm.steps)))</f>
        <v>30</v>
      </c>
      <c r="D2308">
        <f>_xlfn.LET(_xlpm.dir,Table1[[#This Row],[Direction]],
IF(_xlpm.dir="L",
    IF(F2307-Table1[[#This Row],[Steps]]&lt;0,100+(F2307-Table1[[#This Row],[Steps]]),F2307-Table1[[#This Row],[Steps]]),
))</f>
        <v>17</v>
      </c>
      <c r="E2308">
        <f>_xlfn.LET(_xlpm.dir,Table1[[#This Row],[Direction]],
IF(_xlpm.dir="R",
    IF(F2307+Table1[[#This Row],[Steps]]&gt;99,(F2307+Table1[[#This Row],[Steps]])-100,F2307+Table1[[#This Row],[Steps]]),
))</f>
        <v>0</v>
      </c>
      <c r="F2308">
        <f>IF(Table1[[#This Row],[New Pos L]]&lt;&gt;0,Table1[[#This Row],[New Pos L]],Table1[[#This Row],[New Pos R]])</f>
        <v>17</v>
      </c>
    </row>
    <row r="2309" spans="1:6" ht="16" x14ac:dyDescent="0.2">
      <c r="A2309" s="1" t="s">
        <v>217</v>
      </c>
      <c r="B2309" t="str">
        <f>LEFT(Table1[[#This Row],[Input]],1)</f>
        <v>R</v>
      </c>
      <c r="C2309">
        <f>_xlfn.LET(_xlpm.steps,SUBSTITUTE(Table1[[#This Row],[Input]],Table1[[#This Row],[Direction]],""),VALUE(IF(LEN(_xlpm.steps)&gt;2,RIGHT(_xlpm.steps,2),_xlpm.steps)))</f>
        <v>91</v>
      </c>
      <c r="D2309">
        <f>_xlfn.LET(_xlpm.dir,Table1[[#This Row],[Direction]],
IF(_xlpm.dir="L",
    IF(F2308-Table1[[#This Row],[Steps]]&lt;0,100+(F2308-Table1[[#This Row],[Steps]]),F2308-Table1[[#This Row],[Steps]]),
))</f>
        <v>0</v>
      </c>
      <c r="E2309">
        <f>_xlfn.LET(_xlpm.dir,Table1[[#This Row],[Direction]],
IF(_xlpm.dir="R",
    IF(F2308+Table1[[#This Row],[Steps]]&gt;99,(F2308+Table1[[#This Row],[Steps]])-100,F2308+Table1[[#This Row],[Steps]]),
))</f>
        <v>8</v>
      </c>
      <c r="F2309">
        <f>IF(Table1[[#This Row],[New Pos L]]&lt;&gt;0,Table1[[#This Row],[New Pos L]],Table1[[#This Row],[New Pos R]])</f>
        <v>8</v>
      </c>
    </row>
    <row r="2310" spans="1:6" ht="16" x14ac:dyDescent="0.2">
      <c r="A2310" s="1" t="s">
        <v>113</v>
      </c>
      <c r="B2310" t="str">
        <f>LEFT(Table1[[#This Row],[Input]],1)</f>
        <v>L</v>
      </c>
      <c r="C2310">
        <f>_xlfn.LET(_xlpm.steps,SUBSTITUTE(Table1[[#This Row],[Input]],Table1[[#This Row],[Direction]],""),VALUE(IF(LEN(_xlpm.steps)&gt;2,RIGHT(_xlpm.steps,2),_xlpm.steps)))</f>
        <v>30</v>
      </c>
      <c r="D2310">
        <f>_xlfn.LET(_xlpm.dir,Table1[[#This Row],[Direction]],
IF(_xlpm.dir="L",
    IF(F2309-Table1[[#This Row],[Steps]]&lt;0,100+(F2309-Table1[[#This Row],[Steps]]),F2309-Table1[[#This Row],[Steps]]),
))</f>
        <v>78</v>
      </c>
      <c r="E2310">
        <f>_xlfn.LET(_xlpm.dir,Table1[[#This Row],[Direction]],
IF(_xlpm.dir="R",
    IF(F2309+Table1[[#This Row],[Steps]]&gt;99,(F2309+Table1[[#This Row],[Steps]])-100,F2309+Table1[[#This Row],[Steps]]),
))</f>
        <v>0</v>
      </c>
      <c r="F2310">
        <f>IF(Table1[[#This Row],[New Pos L]]&lt;&gt;0,Table1[[#This Row],[New Pos L]],Table1[[#This Row],[New Pos R]])</f>
        <v>78</v>
      </c>
    </row>
    <row r="2311" spans="1:6" ht="16" x14ac:dyDescent="0.2">
      <c r="A2311" s="1" t="s">
        <v>593</v>
      </c>
      <c r="B2311" t="str">
        <f>LEFT(Table1[[#This Row],[Input]],1)</f>
        <v>R</v>
      </c>
      <c r="C2311">
        <f>_xlfn.LET(_xlpm.steps,SUBSTITUTE(Table1[[#This Row],[Input]],Table1[[#This Row],[Direction]],""),VALUE(IF(LEN(_xlpm.steps)&gt;2,RIGHT(_xlpm.steps,2),_xlpm.steps)))</f>
        <v>22</v>
      </c>
      <c r="D2311">
        <f>_xlfn.LET(_xlpm.dir,Table1[[#This Row],[Direction]],
IF(_xlpm.dir="L",
    IF(F2310-Table1[[#This Row],[Steps]]&lt;0,100+(F2310-Table1[[#This Row],[Steps]]),F2310-Table1[[#This Row],[Steps]]),
))</f>
        <v>0</v>
      </c>
      <c r="E2311">
        <f>_xlfn.LET(_xlpm.dir,Table1[[#This Row],[Direction]],
IF(_xlpm.dir="R",
    IF(F2310+Table1[[#This Row],[Steps]]&gt;99,(F2310+Table1[[#This Row],[Steps]])-100,F2310+Table1[[#This Row],[Steps]]),
))</f>
        <v>0</v>
      </c>
      <c r="F2311">
        <f>IF(Table1[[#This Row],[New Pos L]]&lt;&gt;0,Table1[[#This Row],[New Pos L]],Table1[[#This Row],[New Pos R]])</f>
        <v>0</v>
      </c>
    </row>
    <row r="2312" spans="1:6" ht="16" x14ac:dyDescent="0.2">
      <c r="A2312" s="1" t="s">
        <v>114</v>
      </c>
      <c r="B2312" t="str">
        <f>LEFT(Table1[[#This Row],[Input]],1)</f>
        <v>R</v>
      </c>
      <c r="C2312">
        <f>_xlfn.LET(_xlpm.steps,SUBSTITUTE(Table1[[#This Row],[Input]],Table1[[#This Row],[Direction]],""),VALUE(IF(LEN(_xlpm.steps)&gt;2,RIGHT(_xlpm.steps,2),_xlpm.steps)))</f>
        <v>70</v>
      </c>
      <c r="D2312">
        <f>_xlfn.LET(_xlpm.dir,Table1[[#This Row],[Direction]],
IF(_xlpm.dir="L",
    IF(F2311-Table1[[#This Row],[Steps]]&lt;0,100+(F2311-Table1[[#This Row],[Steps]]),F2311-Table1[[#This Row],[Steps]]),
))</f>
        <v>0</v>
      </c>
      <c r="E2312">
        <f>_xlfn.LET(_xlpm.dir,Table1[[#This Row],[Direction]],
IF(_xlpm.dir="R",
    IF(F2311+Table1[[#This Row],[Steps]]&gt;99,(F2311+Table1[[#This Row],[Steps]])-100,F2311+Table1[[#This Row],[Steps]]),
))</f>
        <v>70</v>
      </c>
      <c r="F2312">
        <f>IF(Table1[[#This Row],[New Pos L]]&lt;&gt;0,Table1[[#This Row],[New Pos L]],Table1[[#This Row],[New Pos R]])</f>
        <v>70</v>
      </c>
    </row>
    <row r="2313" spans="1:6" ht="16" x14ac:dyDescent="0.2">
      <c r="A2313" s="1" t="s">
        <v>309</v>
      </c>
      <c r="B2313" t="str">
        <f>LEFT(Table1[[#This Row],[Input]],1)</f>
        <v>L</v>
      </c>
      <c r="C2313">
        <f>_xlfn.LET(_xlpm.steps,SUBSTITUTE(Table1[[#This Row],[Input]],Table1[[#This Row],[Direction]],""),VALUE(IF(LEN(_xlpm.steps)&gt;2,RIGHT(_xlpm.steps,2),_xlpm.steps)))</f>
        <v>41</v>
      </c>
      <c r="D2313">
        <f>_xlfn.LET(_xlpm.dir,Table1[[#This Row],[Direction]],
IF(_xlpm.dir="L",
    IF(F2312-Table1[[#This Row],[Steps]]&lt;0,100+(F2312-Table1[[#This Row],[Steps]]),F2312-Table1[[#This Row],[Steps]]),
))</f>
        <v>29</v>
      </c>
      <c r="E2313">
        <f>_xlfn.LET(_xlpm.dir,Table1[[#This Row],[Direction]],
IF(_xlpm.dir="R",
    IF(F2312+Table1[[#This Row],[Steps]]&gt;99,(F2312+Table1[[#This Row],[Steps]])-100,F2312+Table1[[#This Row],[Steps]]),
))</f>
        <v>0</v>
      </c>
      <c r="F2313">
        <f>IF(Table1[[#This Row],[New Pos L]]&lt;&gt;0,Table1[[#This Row],[New Pos L]],Table1[[#This Row],[New Pos R]])</f>
        <v>29</v>
      </c>
    </row>
    <row r="2314" spans="1:6" ht="16" x14ac:dyDescent="0.2">
      <c r="A2314" s="1" t="s">
        <v>98</v>
      </c>
      <c r="B2314" t="str">
        <f>LEFT(Table1[[#This Row],[Input]],1)</f>
        <v>L</v>
      </c>
      <c r="C2314">
        <f>_xlfn.LET(_xlpm.steps,SUBSTITUTE(Table1[[#This Row],[Input]],Table1[[#This Row],[Direction]],""),VALUE(IF(LEN(_xlpm.steps)&gt;2,RIGHT(_xlpm.steps,2),_xlpm.steps)))</f>
        <v>65</v>
      </c>
      <c r="D2314">
        <f>_xlfn.LET(_xlpm.dir,Table1[[#This Row],[Direction]],
IF(_xlpm.dir="L",
    IF(F2313-Table1[[#This Row],[Steps]]&lt;0,100+(F2313-Table1[[#This Row],[Steps]]),F2313-Table1[[#This Row],[Steps]]),
))</f>
        <v>64</v>
      </c>
      <c r="E2314">
        <f>_xlfn.LET(_xlpm.dir,Table1[[#This Row],[Direction]],
IF(_xlpm.dir="R",
    IF(F2313+Table1[[#This Row],[Steps]]&gt;99,(F2313+Table1[[#This Row],[Steps]])-100,F2313+Table1[[#This Row],[Steps]]),
))</f>
        <v>0</v>
      </c>
      <c r="F2314">
        <f>IF(Table1[[#This Row],[New Pos L]]&lt;&gt;0,Table1[[#This Row],[New Pos L]],Table1[[#This Row],[New Pos R]])</f>
        <v>64</v>
      </c>
    </row>
    <row r="2315" spans="1:6" ht="16" x14ac:dyDescent="0.2">
      <c r="A2315" s="1" t="s">
        <v>594</v>
      </c>
      <c r="B2315" t="str">
        <f>LEFT(Table1[[#This Row],[Input]],1)</f>
        <v>L</v>
      </c>
      <c r="C2315">
        <f>_xlfn.LET(_xlpm.steps,SUBSTITUTE(Table1[[#This Row],[Input]],Table1[[#This Row],[Direction]],""),VALUE(IF(LEN(_xlpm.steps)&gt;2,RIGHT(_xlpm.steps,2),_xlpm.steps)))</f>
        <v>7</v>
      </c>
      <c r="D2315">
        <f>_xlfn.LET(_xlpm.dir,Table1[[#This Row],[Direction]],
IF(_xlpm.dir="L",
    IF(F2314-Table1[[#This Row],[Steps]]&lt;0,100+(F2314-Table1[[#This Row],[Steps]]),F2314-Table1[[#This Row],[Steps]]),
))</f>
        <v>57</v>
      </c>
      <c r="E2315">
        <f>_xlfn.LET(_xlpm.dir,Table1[[#This Row],[Direction]],
IF(_xlpm.dir="R",
    IF(F2314+Table1[[#This Row],[Steps]]&gt;99,(F2314+Table1[[#This Row],[Steps]])-100,F2314+Table1[[#This Row],[Steps]]),
))</f>
        <v>0</v>
      </c>
      <c r="F2315">
        <f>IF(Table1[[#This Row],[New Pos L]]&lt;&gt;0,Table1[[#This Row],[New Pos L]],Table1[[#This Row],[New Pos R]])</f>
        <v>57</v>
      </c>
    </row>
    <row r="2316" spans="1:6" ht="16" x14ac:dyDescent="0.2">
      <c r="A2316" s="1" t="s">
        <v>344</v>
      </c>
      <c r="B2316" t="str">
        <f>LEFT(Table1[[#This Row],[Input]],1)</f>
        <v>R</v>
      </c>
      <c r="C2316">
        <f>_xlfn.LET(_xlpm.steps,SUBSTITUTE(Table1[[#This Row],[Input]],Table1[[#This Row],[Direction]],""),VALUE(IF(LEN(_xlpm.steps)&gt;2,RIGHT(_xlpm.steps,2),_xlpm.steps)))</f>
        <v>9</v>
      </c>
      <c r="D2316">
        <f>_xlfn.LET(_xlpm.dir,Table1[[#This Row],[Direction]],
IF(_xlpm.dir="L",
    IF(F2315-Table1[[#This Row],[Steps]]&lt;0,100+(F2315-Table1[[#This Row],[Steps]]),F2315-Table1[[#This Row],[Steps]]),
))</f>
        <v>0</v>
      </c>
      <c r="E2316">
        <f>_xlfn.LET(_xlpm.dir,Table1[[#This Row],[Direction]],
IF(_xlpm.dir="R",
    IF(F2315+Table1[[#This Row],[Steps]]&gt;99,(F2315+Table1[[#This Row],[Steps]])-100,F2315+Table1[[#This Row],[Steps]]),
))</f>
        <v>66</v>
      </c>
      <c r="F2316">
        <f>IF(Table1[[#This Row],[New Pos L]]&lt;&gt;0,Table1[[#This Row],[New Pos L]],Table1[[#This Row],[New Pos R]])</f>
        <v>66</v>
      </c>
    </row>
    <row r="2317" spans="1:6" ht="16" x14ac:dyDescent="0.2">
      <c r="A2317" s="1" t="s">
        <v>172</v>
      </c>
      <c r="B2317" t="str">
        <f>LEFT(Table1[[#This Row],[Input]],1)</f>
        <v>L</v>
      </c>
      <c r="C2317">
        <f>_xlfn.LET(_xlpm.steps,SUBSTITUTE(Table1[[#This Row],[Input]],Table1[[#This Row],[Direction]],""),VALUE(IF(LEN(_xlpm.steps)&gt;2,RIGHT(_xlpm.steps,2),_xlpm.steps)))</f>
        <v>66</v>
      </c>
      <c r="D2317">
        <f>_xlfn.LET(_xlpm.dir,Table1[[#This Row],[Direction]],
IF(_xlpm.dir="L",
    IF(F2316-Table1[[#This Row],[Steps]]&lt;0,100+(F2316-Table1[[#This Row],[Steps]]),F2316-Table1[[#This Row],[Steps]]),
))</f>
        <v>0</v>
      </c>
      <c r="E2317">
        <f>_xlfn.LET(_xlpm.dir,Table1[[#This Row],[Direction]],
IF(_xlpm.dir="R",
    IF(F2316+Table1[[#This Row],[Steps]]&gt;99,(F2316+Table1[[#This Row],[Steps]])-100,F2316+Table1[[#This Row],[Steps]]),
))</f>
        <v>0</v>
      </c>
      <c r="F2317">
        <f>IF(Table1[[#This Row],[New Pos L]]&lt;&gt;0,Table1[[#This Row],[New Pos L]],Table1[[#This Row],[New Pos R]])</f>
        <v>0</v>
      </c>
    </row>
    <row r="2318" spans="1:6" ht="16" x14ac:dyDescent="0.2">
      <c r="A2318" s="1" t="s">
        <v>72</v>
      </c>
      <c r="B2318" t="str">
        <f>LEFT(Table1[[#This Row],[Input]],1)</f>
        <v>R</v>
      </c>
      <c r="C2318">
        <f>_xlfn.LET(_xlpm.steps,SUBSTITUTE(Table1[[#This Row],[Input]],Table1[[#This Row],[Direction]],""),VALUE(IF(LEN(_xlpm.steps)&gt;2,RIGHT(_xlpm.steps,2),_xlpm.steps)))</f>
        <v>43</v>
      </c>
      <c r="D2318">
        <f>_xlfn.LET(_xlpm.dir,Table1[[#This Row],[Direction]],
IF(_xlpm.dir="L",
    IF(F2317-Table1[[#This Row],[Steps]]&lt;0,100+(F2317-Table1[[#This Row],[Steps]]),F2317-Table1[[#This Row],[Steps]]),
))</f>
        <v>0</v>
      </c>
      <c r="E2318">
        <f>_xlfn.LET(_xlpm.dir,Table1[[#This Row],[Direction]],
IF(_xlpm.dir="R",
    IF(F2317+Table1[[#This Row],[Steps]]&gt;99,(F2317+Table1[[#This Row],[Steps]])-100,F2317+Table1[[#This Row],[Steps]]),
))</f>
        <v>43</v>
      </c>
      <c r="F2318">
        <f>IF(Table1[[#This Row],[New Pos L]]&lt;&gt;0,Table1[[#This Row],[New Pos L]],Table1[[#This Row],[New Pos R]])</f>
        <v>43</v>
      </c>
    </row>
    <row r="2319" spans="1:6" ht="16" x14ac:dyDescent="0.2">
      <c r="A2319" s="1" t="s">
        <v>104</v>
      </c>
      <c r="B2319" t="str">
        <f>LEFT(Table1[[#This Row],[Input]],1)</f>
        <v>R</v>
      </c>
      <c r="C2319">
        <f>_xlfn.LET(_xlpm.steps,SUBSTITUTE(Table1[[#This Row],[Input]],Table1[[#This Row],[Direction]],""),VALUE(IF(LEN(_xlpm.steps)&gt;2,RIGHT(_xlpm.steps,2),_xlpm.steps)))</f>
        <v>59</v>
      </c>
      <c r="D2319">
        <f>_xlfn.LET(_xlpm.dir,Table1[[#This Row],[Direction]],
IF(_xlpm.dir="L",
    IF(F2318-Table1[[#This Row],[Steps]]&lt;0,100+(F2318-Table1[[#This Row],[Steps]]),F2318-Table1[[#This Row],[Steps]]),
))</f>
        <v>0</v>
      </c>
      <c r="E2319">
        <f>_xlfn.LET(_xlpm.dir,Table1[[#This Row],[Direction]],
IF(_xlpm.dir="R",
    IF(F2318+Table1[[#This Row],[Steps]]&gt;99,(F2318+Table1[[#This Row],[Steps]])-100,F2318+Table1[[#This Row],[Steps]]),
))</f>
        <v>2</v>
      </c>
      <c r="F2319">
        <f>IF(Table1[[#This Row],[New Pos L]]&lt;&gt;0,Table1[[#This Row],[New Pos L]],Table1[[#This Row],[New Pos R]])</f>
        <v>2</v>
      </c>
    </row>
    <row r="2320" spans="1:6" ht="16" x14ac:dyDescent="0.2">
      <c r="A2320" s="1" t="s">
        <v>105</v>
      </c>
      <c r="B2320" t="str">
        <f>LEFT(Table1[[#This Row],[Input]],1)</f>
        <v>R</v>
      </c>
      <c r="C2320">
        <f>_xlfn.LET(_xlpm.steps,SUBSTITUTE(Table1[[#This Row],[Input]],Table1[[#This Row],[Direction]],""),VALUE(IF(LEN(_xlpm.steps)&gt;2,RIGHT(_xlpm.steps,2),_xlpm.steps)))</f>
        <v>98</v>
      </c>
      <c r="D2320">
        <f>_xlfn.LET(_xlpm.dir,Table1[[#This Row],[Direction]],
IF(_xlpm.dir="L",
    IF(F2319-Table1[[#This Row],[Steps]]&lt;0,100+(F2319-Table1[[#This Row],[Steps]]),F2319-Table1[[#This Row],[Steps]]),
))</f>
        <v>0</v>
      </c>
      <c r="E2320">
        <f>_xlfn.LET(_xlpm.dir,Table1[[#This Row],[Direction]],
IF(_xlpm.dir="R",
    IF(F2319+Table1[[#This Row],[Steps]]&gt;99,(F2319+Table1[[#This Row],[Steps]])-100,F2319+Table1[[#This Row],[Steps]]),
))</f>
        <v>0</v>
      </c>
      <c r="F2320">
        <f>IF(Table1[[#This Row],[New Pos L]]&lt;&gt;0,Table1[[#This Row],[New Pos L]],Table1[[#This Row],[New Pos R]])</f>
        <v>0</v>
      </c>
    </row>
    <row r="2321" spans="1:6" ht="16" x14ac:dyDescent="0.2">
      <c r="A2321" s="1" t="s">
        <v>119</v>
      </c>
      <c r="B2321" t="str">
        <f>LEFT(Table1[[#This Row],[Input]],1)</f>
        <v>L</v>
      </c>
      <c r="C2321">
        <f>_xlfn.LET(_xlpm.steps,SUBSTITUTE(Table1[[#This Row],[Input]],Table1[[#This Row],[Direction]],""),VALUE(IF(LEN(_xlpm.steps)&gt;2,RIGHT(_xlpm.steps,2),_xlpm.steps)))</f>
        <v>77</v>
      </c>
      <c r="D2321">
        <f>_xlfn.LET(_xlpm.dir,Table1[[#This Row],[Direction]],
IF(_xlpm.dir="L",
    IF(F2320-Table1[[#This Row],[Steps]]&lt;0,100+(F2320-Table1[[#This Row],[Steps]]),F2320-Table1[[#This Row],[Steps]]),
))</f>
        <v>23</v>
      </c>
      <c r="E2321">
        <f>_xlfn.LET(_xlpm.dir,Table1[[#This Row],[Direction]],
IF(_xlpm.dir="R",
    IF(F2320+Table1[[#This Row],[Steps]]&gt;99,(F2320+Table1[[#This Row],[Steps]])-100,F2320+Table1[[#This Row],[Steps]]),
))</f>
        <v>0</v>
      </c>
      <c r="F2321">
        <f>IF(Table1[[#This Row],[New Pos L]]&lt;&gt;0,Table1[[#This Row],[New Pos L]],Table1[[#This Row],[New Pos R]])</f>
        <v>23</v>
      </c>
    </row>
    <row r="2322" spans="1:6" ht="16" x14ac:dyDescent="0.2">
      <c r="A2322" s="1" t="s">
        <v>79</v>
      </c>
      <c r="B2322" t="str">
        <f>LEFT(Table1[[#This Row],[Input]],1)</f>
        <v>L</v>
      </c>
      <c r="C2322">
        <f>_xlfn.LET(_xlpm.steps,SUBSTITUTE(Table1[[#This Row],[Input]],Table1[[#This Row],[Direction]],""),VALUE(IF(LEN(_xlpm.steps)&gt;2,RIGHT(_xlpm.steps,2),_xlpm.steps)))</f>
        <v>45</v>
      </c>
      <c r="D2322">
        <f>_xlfn.LET(_xlpm.dir,Table1[[#This Row],[Direction]],
IF(_xlpm.dir="L",
    IF(F2321-Table1[[#This Row],[Steps]]&lt;0,100+(F2321-Table1[[#This Row],[Steps]]),F2321-Table1[[#This Row],[Steps]]),
))</f>
        <v>78</v>
      </c>
      <c r="E2322">
        <f>_xlfn.LET(_xlpm.dir,Table1[[#This Row],[Direction]],
IF(_xlpm.dir="R",
    IF(F2321+Table1[[#This Row],[Steps]]&gt;99,(F2321+Table1[[#This Row],[Steps]])-100,F2321+Table1[[#This Row],[Steps]]),
))</f>
        <v>0</v>
      </c>
      <c r="F2322">
        <f>IF(Table1[[#This Row],[New Pos L]]&lt;&gt;0,Table1[[#This Row],[New Pos L]],Table1[[#This Row],[New Pos R]])</f>
        <v>78</v>
      </c>
    </row>
    <row r="2323" spans="1:6" ht="16" x14ac:dyDescent="0.2">
      <c r="A2323" s="1" t="s">
        <v>245</v>
      </c>
      <c r="B2323" t="str">
        <f>LEFT(Table1[[#This Row],[Input]],1)</f>
        <v>R</v>
      </c>
      <c r="C2323">
        <f>_xlfn.LET(_xlpm.steps,SUBSTITUTE(Table1[[#This Row],[Input]],Table1[[#This Row],[Direction]],""),VALUE(IF(LEN(_xlpm.steps)&gt;2,RIGHT(_xlpm.steps,2),_xlpm.steps)))</f>
        <v>71</v>
      </c>
      <c r="D2323">
        <f>_xlfn.LET(_xlpm.dir,Table1[[#This Row],[Direction]],
IF(_xlpm.dir="L",
    IF(F2322-Table1[[#This Row],[Steps]]&lt;0,100+(F2322-Table1[[#This Row],[Steps]]),F2322-Table1[[#This Row],[Steps]]),
))</f>
        <v>0</v>
      </c>
      <c r="E2323">
        <f>_xlfn.LET(_xlpm.dir,Table1[[#This Row],[Direction]],
IF(_xlpm.dir="R",
    IF(F2322+Table1[[#This Row],[Steps]]&gt;99,(F2322+Table1[[#This Row],[Steps]])-100,F2322+Table1[[#This Row],[Steps]]),
))</f>
        <v>49</v>
      </c>
      <c r="F2323">
        <f>IF(Table1[[#This Row],[New Pos L]]&lt;&gt;0,Table1[[#This Row],[New Pos L]],Table1[[#This Row],[New Pos R]])</f>
        <v>49</v>
      </c>
    </row>
    <row r="2324" spans="1:6" ht="16" x14ac:dyDescent="0.2">
      <c r="A2324" s="1" t="s">
        <v>173</v>
      </c>
      <c r="B2324" t="str">
        <f>LEFT(Table1[[#This Row],[Input]],1)</f>
        <v>L</v>
      </c>
      <c r="C2324">
        <f>_xlfn.LET(_xlpm.steps,SUBSTITUTE(Table1[[#This Row],[Input]],Table1[[#This Row],[Direction]],""),VALUE(IF(LEN(_xlpm.steps)&gt;2,RIGHT(_xlpm.steps,2),_xlpm.steps)))</f>
        <v>49</v>
      </c>
      <c r="D2324">
        <f>_xlfn.LET(_xlpm.dir,Table1[[#This Row],[Direction]],
IF(_xlpm.dir="L",
    IF(F2323-Table1[[#This Row],[Steps]]&lt;0,100+(F2323-Table1[[#This Row],[Steps]]),F2323-Table1[[#This Row],[Steps]]),
))</f>
        <v>0</v>
      </c>
      <c r="E2324">
        <f>_xlfn.LET(_xlpm.dir,Table1[[#This Row],[Direction]],
IF(_xlpm.dir="R",
    IF(F2323+Table1[[#This Row],[Steps]]&gt;99,(F2323+Table1[[#This Row],[Steps]])-100,F2323+Table1[[#This Row],[Steps]]),
))</f>
        <v>0</v>
      </c>
      <c r="F2324">
        <f>IF(Table1[[#This Row],[New Pos L]]&lt;&gt;0,Table1[[#This Row],[New Pos L]],Table1[[#This Row],[New Pos R]])</f>
        <v>0</v>
      </c>
    </row>
    <row r="2325" spans="1:6" ht="16" x14ac:dyDescent="0.2">
      <c r="A2325" s="1" t="s">
        <v>57</v>
      </c>
      <c r="B2325" t="str">
        <f>LEFT(Table1[[#This Row],[Input]],1)</f>
        <v>R</v>
      </c>
      <c r="C2325">
        <f>_xlfn.LET(_xlpm.steps,SUBSTITUTE(Table1[[#This Row],[Input]],Table1[[#This Row],[Direction]],""),VALUE(IF(LEN(_xlpm.steps)&gt;2,RIGHT(_xlpm.steps,2),_xlpm.steps)))</f>
        <v>29</v>
      </c>
      <c r="D2325">
        <f>_xlfn.LET(_xlpm.dir,Table1[[#This Row],[Direction]],
IF(_xlpm.dir="L",
    IF(F2324-Table1[[#This Row],[Steps]]&lt;0,100+(F2324-Table1[[#This Row],[Steps]]),F2324-Table1[[#This Row],[Steps]]),
))</f>
        <v>0</v>
      </c>
      <c r="E2325">
        <f>_xlfn.LET(_xlpm.dir,Table1[[#This Row],[Direction]],
IF(_xlpm.dir="R",
    IF(F2324+Table1[[#This Row],[Steps]]&gt;99,(F2324+Table1[[#This Row],[Steps]])-100,F2324+Table1[[#This Row],[Steps]]),
))</f>
        <v>29</v>
      </c>
      <c r="F2325">
        <f>IF(Table1[[#This Row],[New Pos L]]&lt;&gt;0,Table1[[#This Row],[New Pos L]],Table1[[#This Row],[New Pos R]])</f>
        <v>29</v>
      </c>
    </row>
    <row r="2326" spans="1:6" ht="16" x14ac:dyDescent="0.2">
      <c r="A2326" s="1" t="s">
        <v>245</v>
      </c>
      <c r="B2326" t="str">
        <f>LEFT(Table1[[#This Row],[Input]],1)</f>
        <v>R</v>
      </c>
      <c r="C2326">
        <f>_xlfn.LET(_xlpm.steps,SUBSTITUTE(Table1[[#This Row],[Input]],Table1[[#This Row],[Direction]],""),VALUE(IF(LEN(_xlpm.steps)&gt;2,RIGHT(_xlpm.steps,2),_xlpm.steps)))</f>
        <v>71</v>
      </c>
      <c r="D2326">
        <f>_xlfn.LET(_xlpm.dir,Table1[[#This Row],[Direction]],
IF(_xlpm.dir="L",
    IF(F2325-Table1[[#This Row],[Steps]]&lt;0,100+(F2325-Table1[[#This Row],[Steps]]),F2325-Table1[[#This Row],[Steps]]),
))</f>
        <v>0</v>
      </c>
      <c r="E2326">
        <f>_xlfn.LET(_xlpm.dir,Table1[[#This Row],[Direction]],
IF(_xlpm.dir="R",
    IF(F2325+Table1[[#This Row],[Steps]]&gt;99,(F2325+Table1[[#This Row],[Steps]])-100,F2325+Table1[[#This Row],[Steps]]),
))</f>
        <v>0</v>
      </c>
      <c r="F2326">
        <f>IF(Table1[[#This Row],[New Pos L]]&lt;&gt;0,Table1[[#This Row],[New Pos L]],Table1[[#This Row],[New Pos R]])</f>
        <v>0</v>
      </c>
    </row>
    <row r="2327" spans="1:6" ht="16" x14ac:dyDescent="0.2">
      <c r="A2327" s="1" t="s">
        <v>42</v>
      </c>
      <c r="B2327" t="str">
        <f>LEFT(Table1[[#This Row],[Input]],1)</f>
        <v>L</v>
      </c>
      <c r="C2327">
        <f>_xlfn.LET(_xlpm.steps,SUBSTITUTE(Table1[[#This Row],[Input]],Table1[[#This Row],[Direction]],""),VALUE(IF(LEN(_xlpm.steps)&gt;2,RIGHT(_xlpm.steps,2),_xlpm.steps)))</f>
        <v>27</v>
      </c>
      <c r="D2327">
        <f>_xlfn.LET(_xlpm.dir,Table1[[#This Row],[Direction]],
IF(_xlpm.dir="L",
    IF(F2326-Table1[[#This Row],[Steps]]&lt;0,100+(F2326-Table1[[#This Row],[Steps]]),F2326-Table1[[#This Row],[Steps]]),
))</f>
        <v>73</v>
      </c>
      <c r="E2327">
        <f>_xlfn.LET(_xlpm.dir,Table1[[#This Row],[Direction]],
IF(_xlpm.dir="R",
    IF(F2326+Table1[[#This Row],[Steps]]&gt;99,(F2326+Table1[[#This Row],[Steps]])-100,F2326+Table1[[#This Row],[Steps]]),
))</f>
        <v>0</v>
      </c>
      <c r="F2327">
        <f>IF(Table1[[#This Row],[New Pos L]]&lt;&gt;0,Table1[[#This Row],[New Pos L]],Table1[[#This Row],[New Pos R]])</f>
        <v>73</v>
      </c>
    </row>
    <row r="2328" spans="1:6" ht="16" x14ac:dyDescent="0.2">
      <c r="A2328" s="1" t="s">
        <v>69</v>
      </c>
      <c r="B2328" t="str">
        <f>LEFT(Table1[[#This Row],[Input]],1)</f>
        <v>R</v>
      </c>
      <c r="C2328">
        <f>_xlfn.LET(_xlpm.steps,SUBSTITUTE(Table1[[#This Row],[Input]],Table1[[#This Row],[Direction]],""),VALUE(IF(LEN(_xlpm.steps)&gt;2,RIGHT(_xlpm.steps,2),_xlpm.steps)))</f>
        <v>27</v>
      </c>
      <c r="D2328">
        <f>_xlfn.LET(_xlpm.dir,Table1[[#This Row],[Direction]],
IF(_xlpm.dir="L",
    IF(F2327-Table1[[#This Row],[Steps]]&lt;0,100+(F2327-Table1[[#This Row],[Steps]]),F2327-Table1[[#This Row],[Steps]]),
))</f>
        <v>0</v>
      </c>
      <c r="E2328">
        <f>_xlfn.LET(_xlpm.dir,Table1[[#This Row],[Direction]],
IF(_xlpm.dir="R",
    IF(F2327+Table1[[#This Row],[Steps]]&gt;99,(F2327+Table1[[#This Row],[Steps]])-100,F2327+Table1[[#This Row],[Steps]]),
))</f>
        <v>0</v>
      </c>
      <c r="F2328">
        <f>IF(Table1[[#This Row],[New Pos L]]&lt;&gt;0,Table1[[#This Row],[New Pos L]],Table1[[#This Row],[New Pos R]])</f>
        <v>0</v>
      </c>
    </row>
    <row r="2329" spans="1:6" ht="16" x14ac:dyDescent="0.2">
      <c r="A2329" s="1" t="s">
        <v>89</v>
      </c>
      <c r="B2329" t="str">
        <f>LEFT(Table1[[#This Row],[Input]],1)</f>
        <v>L</v>
      </c>
      <c r="C2329">
        <f>_xlfn.LET(_xlpm.steps,SUBSTITUTE(Table1[[#This Row],[Input]],Table1[[#This Row],[Direction]],""),VALUE(IF(LEN(_xlpm.steps)&gt;2,RIGHT(_xlpm.steps,2),_xlpm.steps)))</f>
        <v>91</v>
      </c>
      <c r="D2329">
        <f>_xlfn.LET(_xlpm.dir,Table1[[#This Row],[Direction]],
IF(_xlpm.dir="L",
    IF(F2328-Table1[[#This Row],[Steps]]&lt;0,100+(F2328-Table1[[#This Row],[Steps]]),F2328-Table1[[#This Row],[Steps]]),
))</f>
        <v>9</v>
      </c>
      <c r="E2329">
        <f>_xlfn.LET(_xlpm.dir,Table1[[#This Row],[Direction]],
IF(_xlpm.dir="R",
    IF(F2328+Table1[[#This Row],[Steps]]&gt;99,(F2328+Table1[[#This Row],[Steps]])-100,F2328+Table1[[#This Row],[Steps]]),
))</f>
        <v>0</v>
      </c>
      <c r="F2329">
        <f>IF(Table1[[#This Row],[New Pos L]]&lt;&gt;0,Table1[[#This Row],[New Pos L]],Table1[[#This Row],[New Pos R]])</f>
        <v>9</v>
      </c>
    </row>
    <row r="2330" spans="1:6" ht="16" x14ac:dyDescent="0.2">
      <c r="A2330" s="1" t="s">
        <v>595</v>
      </c>
      <c r="B2330" t="str">
        <f>LEFT(Table1[[#This Row],[Input]],1)</f>
        <v>L</v>
      </c>
      <c r="C2330">
        <f>_xlfn.LET(_xlpm.steps,SUBSTITUTE(Table1[[#This Row],[Input]],Table1[[#This Row],[Direction]],""),VALUE(IF(LEN(_xlpm.steps)&gt;2,RIGHT(_xlpm.steps,2),_xlpm.steps)))</f>
        <v>42</v>
      </c>
      <c r="D2330">
        <f>_xlfn.LET(_xlpm.dir,Table1[[#This Row],[Direction]],
IF(_xlpm.dir="L",
    IF(F2329-Table1[[#This Row],[Steps]]&lt;0,100+(F2329-Table1[[#This Row],[Steps]]),F2329-Table1[[#This Row],[Steps]]),
))</f>
        <v>67</v>
      </c>
      <c r="E2330">
        <f>_xlfn.LET(_xlpm.dir,Table1[[#This Row],[Direction]],
IF(_xlpm.dir="R",
    IF(F2329+Table1[[#This Row],[Steps]]&gt;99,(F2329+Table1[[#This Row],[Steps]])-100,F2329+Table1[[#This Row],[Steps]]),
))</f>
        <v>0</v>
      </c>
      <c r="F2330">
        <f>IF(Table1[[#This Row],[New Pos L]]&lt;&gt;0,Table1[[#This Row],[New Pos L]],Table1[[#This Row],[New Pos R]])</f>
        <v>67</v>
      </c>
    </row>
    <row r="2331" spans="1:6" ht="16" x14ac:dyDescent="0.2">
      <c r="A2331" s="1" t="s">
        <v>67</v>
      </c>
      <c r="B2331" t="str">
        <f>LEFT(Table1[[#This Row],[Input]],1)</f>
        <v>R</v>
      </c>
      <c r="C2331">
        <f>_xlfn.LET(_xlpm.steps,SUBSTITUTE(Table1[[#This Row],[Input]],Table1[[#This Row],[Direction]],""),VALUE(IF(LEN(_xlpm.steps)&gt;2,RIGHT(_xlpm.steps,2),_xlpm.steps)))</f>
        <v>33</v>
      </c>
      <c r="D2331">
        <f>_xlfn.LET(_xlpm.dir,Table1[[#This Row],[Direction]],
IF(_xlpm.dir="L",
    IF(F2330-Table1[[#This Row],[Steps]]&lt;0,100+(F2330-Table1[[#This Row],[Steps]]),F2330-Table1[[#This Row],[Steps]]),
))</f>
        <v>0</v>
      </c>
      <c r="E2331">
        <f>_xlfn.LET(_xlpm.dir,Table1[[#This Row],[Direction]],
IF(_xlpm.dir="R",
    IF(F2330+Table1[[#This Row],[Steps]]&gt;99,(F2330+Table1[[#This Row],[Steps]])-100,F2330+Table1[[#This Row],[Steps]]),
))</f>
        <v>0</v>
      </c>
      <c r="F2331">
        <f>IF(Table1[[#This Row],[New Pos L]]&lt;&gt;0,Table1[[#This Row],[New Pos L]],Table1[[#This Row],[New Pos R]])</f>
        <v>0</v>
      </c>
    </row>
    <row r="2332" spans="1:6" ht="16" x14ac:dyDescent="0.2">
      <c r="A2332" s="1" t="s">
        <v>300</v>
      </c>
      <c r="B2332" t="str">
        <f>LEFT(Table1[[#This Row],[Input]],1)</f>
        <v>R</v>
      </c>
      <c r="C2332">
        <f>_xlfn.LET(_xlpm.steps,SUBSTITUTE(Table1[[#This Row],[Input]],Table1[[#This Row],[Direction]],""),VALUE(IF(LEN(_xlpm.steps)&gt;2,RIGHT(_xlpm.steps,2),_xlpm.steps)))</f>
        <v>43</v>
      </c>
      <c r="D2332">
        <f>_xlfn.LET(_xlpm.dir,Table1[[#This Row],[Direction]],
IF(_xlpm.dir="L",
    IF(F2331-Table1[[#This Row],[Steps]]&lt;0,100+(F2331-Table1[[#This Row],[Steps]]),F2331-Table1[[#This Row],[Steps]]),
))</f>
        <v>0</v>
      </c>
      <c r="E2332">
        <f>_xlfn.LET(_xlpm.dir,Table1[[#This Row],[Direction]],
IF(_xlpm.dir="R",
    IF(F2331+Table1[[#This Row],[Steps]]&gt;99,(F2331+Table1[[#This Row],[Steps]])-100,F2331+Table1[[#This Row],[Steps]]),
))</f>
        <v>43</v>
      </c>
      <c r="F2332">
        <f>IF(Table1[[#This Row],[New Pos L]]&lt;&gt;0,Table1[[#This Row],[New Pos L]],Table1[[#This Row],[New Pos R]])</f>
        <v>43</v>
      </c>
    </row>
    <row r="2333" spans="1:6" ht="16" x14ac:dyDescent="0.2">
      <c r="A2333" s="1" t="s">
        <v>63</v>
      </c>
      <c r="B2333" t="str">
        <f>LEFT(Table1[[#This Row],[Input]],1)</f>
        <v>R</v>
      </c>
      <c r="C2333">
        <f>_xlfn.LET(_xlpm.steps,SUBSTITUTE(Table1[[#This Row],[Input]],Table1[[#This Row],[Direction]],""),VALUE(IF(LEN(_xlpm.steps)&gt;2,RIGHT(_xlpm.steps,2),_xlpm.steps)))</f>
        <v>57</v>
      </c>
      <c r="D2333">
        <f>_xlfn.LET(_xlpm.dir,Table1[[#This Row],[Direction]],
IF(_xlpm.dir="L",
    IF(F2332-Table1[[#This Row],[Steps]]&lt;0,100+(F2332-Table1[[#This Row],[Steps]]),F2332-Table1[[#This Row],[Steps]]),
))</f>
        <v>0</v>
      </c>
      <c r="E2333">
        <f>_xlfn.LET(_xlpm.dir,Table1[[#This Row],[Direction]],
IF(_xlpm.dir="R",
    IF(F2332+Table1[[#This Row],[Steps]]&gt;99,(F2332+Table1[[#This Row],[Steps]])-100,F2332+Table1[[#This Row],[Steps]]),
))</f>
        <v>0</v>
      </c>
      <c r="F2333">
        <f>IF(Table1[[#This Row],[New Pos L]]&lt;&gt;0,Table1[[#This Row],[New Pos L]],Table1[[#This Row],[New Pos R]])</f>
        <v>0</v>
      </c>
    </row>
    <row r="2334" spans="1:6" ht="16" x14ac:dyDescent="0.2">
      <c r="A2334" s="1" t="s">
        <v>226</v>
      </c>
      <c r="B2334" t="str">
        <f>LEFT(Table1[[#This Row],[Input]],1)</f>
        <v>L</v>
      </c>
      <c r="C2334">
        <f>_xlfn.LET(_xlpm.steps,SUBSTITUTE(Table1[[#This Row],[Input]],Table1[[#This Row],[Direction]],""),VALUE(IF(LEN(_xlpm.steps)&gt;2,RIGHT(_xlpm.steps,2),_xlpm.steps)))</f>
        <v>31</v>
      </c>
      <c r="D2334">
        <f>_xlfn.LET(_xlpm.dir,Table1[[#This Row],[Direction]],
IF(_xlpm.dir="L",
    IF(F2333-Table1[[#This Row],[Steps]]&lt;0,100+(F2333-Table1[[#This Row],[Steps]]),F2333-Table1[[#This Row],[Steps]]),
))</f>
        <v>69</v>
      </c>
      <c r="E2334">
        <f>_xlfn.LET(_xlpm.dir,Table1[[#This Row],[Direction]],
IF(_xlpm.dir="R",
    IF(F2333+Table1[[#This Row],[Steps]]&gt;99,(F2333+Table1[[#This Row],[Steps]])-100,F2333+Table1[[#This Row],[Steps]]),
))</f>
        <v>0</v>
      </c>
      <c r="F2334">
        <f>IF(Table1[[#This Row],[New Pos L]]&lt;&gt;0,Table1[[#This Row],[New Pos L]],Table1[[#This Row],[New Pos R]])</f>
        <v>69</v>
      </c>
    </row>
    <row r="2335" spans="1:6" ht="16" x14ac:dyDescent="0.2">
      <c r="A2335" s="1" t="s">
        <v>16</v>
      </c>
      <c r="B2335" t="str">
        <f>LEFT(Table1[[#This Row],[Input]],1)</f>
        <v>L</v>
      </c>
      <c r="C2335">
        <f>_xlfn.LET(_xlpm.steps,SUBSTITUTE(Table1[[#This Row],[Input]],Table1[[#This Row],[Direction]],""),VALUE(IF(LEN(_xlpm.steps)&gt;2,RIGHT(_xlpm.steps,2),_xlpm.steps)))</f>
        <v>10</v>
      </c>
      <c r="D2335">
        <f>_xlfn.LET(_xlpm.dir,Table1[[#This Row],[Direction]],
IF(_xlpm.dir="L",
    IF(F2334-Table1[[#This Row],[Steps]]&lt;0,100+(F2334-Table1[[#This Row],[Steps]]),F2334-Table1[[#This Row],[Steps]]),
))</f>
        <v>59</v>
      </c>
      <c r="E2335">
        <f>_xlfn.LET(_xlpm.dir,Table1[[#This Row],[Direction]],
IF(_xlpm.dir="R",
    IF(F2334+Table1[[#This Row],[Steps]]&gt;99,(F2334+Table1[[#This Row],[Steps]])-100,F2334+Table1[[#This Row],[Steps]]),
))</f>
        <v>0</v>
      </c>
      <c r="F2335">
        <f>IF(Table1[[#This Row],[New Pos L]]&lt;&gt;0,Table1[[#This Row],[New Pos L]],Table1[[#This Row],[New Pos R]])</f>
        <v>59</v>
      </c>
    </row>
    <row r="2336" spans="1:6" ht="16" x14ac:dyDescent="0.2">
      <c r="A2336" s="1" t="s">
        <v>106</v>
      </c>
      <c r="B2336" t="str">
        <f>LEFT(Table1[[#This Row],[Input]],1)</f>
        <v>R</v>
      </c>
      <c r="C2336">
        <f>_xlfn.LET(_xlpm.steps,SUBSTITUTE(Table1[[#This Row],[Input]],Table1[[#This Row],[Direction]],""),VALUE(IF(LEN(_xlpm.steps)&gt;2,RIGHT(_xlpm.steps,2),_xlpm.steps)))</f>
        <v>41</v>
      </c>
      <c r="D2336">
        <f>_xlfn.LET(_xlpm.dir,Table1[[#This Row],[Direction]],
IF(_xlpm.dir="L",
    IF(F2335-Table1[[#This Row],[Steps]]&lt;0,100+(F2335-Table1[[#This Row],[Steps]]),F2335-Table1[[#This Row],[Steps]]),
))</f>
        <v>0</v>
      </c>
      <c r="E2336">
        <f>_xlfn.LET(_xlpm.dir,Table1[[#This Row],[Direction]],
IF(_xlpm.dir="R",
    IF(F2335+Table1[[#This Row],[Steps]]&gt;99,(F2335+Table1[[#This Row],[Steps]])-100,F2335+Table1[[#This Row],[Steps]]),
))</f>
        <v>0</v>
      </c>
      <c r="F2336">
        <f>IF(Table1[[#This Row],[New Pos L]]&lt;&gt;0,Table1[[#This Row],[New Pos L]],Table1[[#This Row],[New Pos R]])</f>
        <v>0</v>
      </c>
    </row>
    <row r="2337" spans="1:6" ht="16" x14ac:dyDescent="0.2">
      <c r="A2337" s="1" t="s">
        <v>25</v>
      </c>
      <c r="B2337" t="str">
        <f>LEFT(Table1[[#This Row],[Input]],1)</f>
        <v>L</v>
      </c>
      <c r="C2337">
        <f>_xlfn.LET(_xlpm.steps,SUBSTITUTE(Table1[[#This Row],[Input]],Table1[[#This Row],[Direction]],""),VALUE(IF(LEN(_xlpm.steps)&gt;2,RIGHT(_xlpm.steps,2),_xlpm.steps)))</f>
        <v>20</v>
      </c>
      <c r="D2337">
        <f>_xlfn.LET(_xlpm.dir,Table1[[#This Row],[Direction]],
IF(_xlpm.dir="L",
    IF(F2336-Table1[[#This Row],[Steps]]&lt;0,100+(F2336-Table1[[#This Row],[Steps]]),F2336-Table1[[#This Row],[Steps]]),
))</f>
        <v>80</v>
      </c>
      <c r="E2337">
        <f>_xlfn.LET(_xlpm.dir,Table1[[#This Row],[Direction]],
IF(_xlpm.dir="R",
    IF(F2336+Table1[[#This Row],[Steps]]&gt;99,(F2336+Table1[[#This Row],[Steps]])-100,F2336+Table1[[#This Row],[Steps]]),
))</f>
        <v>0</v>
      </c>
      <c r="F2337">
        <f>IF(Table1[[#This Row],[New Pos L]]&lt;&gt;0,Table1[[#This Row],[New Pos L]],Table1[[#This Row],[New Pos R]])</f>
        <v>80</v>
      </c>
    </row>
    <row r="2338" spans="1:6" ht="16" x14ac:dyDescent="0.2">
      <c r="A2338" s="1" t="s">
        <v>68</v>
      </c>
      <c r="B2338" t="str">
        <f>LEFT(Table1[[#This Row],[Input]],1)</f>
        <v>L</v>
      </c>
      <c r="C2338">
        <f>_xlfn.LET(_xlpm.steps,SUBSTITUTE(Table1[[#This Row],[Input]],Table1[[#This Row],[Direction]],""),VALUE(IF(LEN(_xlpm.steps)&gt;2,RIGHT(_xlpm.steps,2),_xlpm.steps)))</f>
        <v>80</v>
      </c>
      <c r="D2338">
        <f>_xlfn.LET(_xlpm.dir,Table1[[#This Row],[Direction]],
IF(_xlpm.dir="L",
    IF(F2337-Table1[[#This Row],[Steps]]&lt;0,100+(F2337-Table1[[#This Row],[Steps]]),F2337-Table1[[#This Row],[Steps]]),
))</f>
        <v>0</v>
      </c>
      <c r="E2338">
        <f>_xlfn.LET(_xlpm.dir,Table1[[#This Row],[Direction]],
IF(_xlpm.dir="R",
    IF(F2337+Table1[[#This Row],[Steps]]&gt;99,(F2337+Table1[[#This Row],[Steps]])-100,F2337+Table1[[#This Row],[Steps]]),
))</f>
        <v>0</v>
      </c>
      <c r="F2338">
        <f>IF(Table1[[#This Row],[New Pos L]]&lt;&gt;0,Table1[[#This Row],[New Pos L]],Table1[[#This Row],[New Pos R]])</f>
        <v>0</v>
      </c>
    </row>
    <row r="2339" spans="1:6" ht="16" x14ac:dyDescent="0.2">
      <c r="A2339" s="1" t="s">
        <v>462</v>
      </c>
      <c r="B2339" t="str">
        <f>LEFT(Table1[[#This Row],[Input]],1)</f>
        <v>L</v>
      </c>
      <c r="C2339">
        <f>_xlfn.LET(_xlpm.steps,SUBSTITUTE(Table1[[#This Row],[Input]],Table1[[#This Row],[Direction]],""),VALUE(IF(LEN(_xlpm.steps)&gt;2,RIGHT(_xlpm.steps,2),_xlpm.steps)))</f>
        <v>17</v>
      </c>
      <c r="D2339">
        <f>_xlfn.LET(_xlpm.dir,Table1[[#This Row],[Direction]],
IF(_xlpm.dir="L",
    IF(F2338-Table1[[#This Row],[Steps]]&lt;0,100+(F2338-Table1[[#This Row],[Steps]]),F2338-Table1[[#This Row],[Steps]]),
))</f>
        <v>83</v>
      </c>
      <c r="E2339">
        <f>_xlfn.LET(_xlpm.dir,Table1[[#This Row],[Direction]],
IF(_xlpm.dir="R",
    IF(F2338+Table1[[#This Row],[Steps]]&gt;99,(F2338+Table1[[#This Row],[Steps]])-100,F2338+Table1[[#This Row],[Steps]]),
))</f>
        <v>0</v>
      </c>
      <c r="F2339">
        <f>IF(Table1[[#This Row],[New Pos L]]&lt;&gt;0,Table1[[#This Row],[New Pos L]],Table1[[#This Row],[New Pos R]])</f>
        <v>83</v>
      </c>
    </row>
    <row r="2340" spans="1:6" ht="16" x14ac:dyDescent="0.2">
      <c r="A2340" s="1" t="s">
        <v>148</v>
      </c>
      <c r="B2340" t="str">
        <f>LEFT(Table1[[#This Row],[Input]],1)</f>
        <v>R</v>
      </c>
      <c r="C2340">
        <f>_xlfn.LET(_xlpm.steps,SUBSTITUTE(Table1[[#This Row],[Input]],Table1[[#This Row],[Direction]],""),VALUE(IF(LEN(_xlpm.steps)&gt;2,RIGHT(_xlpm.steps,2),_xlpm.steps)))</f>
        <v>80</v>
      </c>
      <c r="D2340">
        <f>_xlfn.LET(_xlpm.dir,Table1[[#This Row],[Direction]],
IF(_xlpm.dir="L",
    IF(F2339-Table1[[#This Row],[Steps]]&lt;0,100+(F2339-Table1[[#This Row],[Steps]]),F2339-Table1[[#This Row],[Steps]]),
))</f>
        <v>0</v>
      </c>
      <c r="E2340">
        <f>_xlfn.LET(_xlpm.dir,Table1[[#This Row],[Direction]],
IF(_xlpm.dir="R",
    IF(F2339+Table1[[#This Row],[Steps]]&gt;99,(F2339+Table1[[#This Row],[Steps]])-100,F2339+Table1[[#This Row],[Steps]]),
))</f>
        <v>63</v>
      </c>
      <c r="F2340">
        <f>IF(Table1[[#This Row],[New Pos L]]&lt;&gt;0,Table1[[#This Row],[New Pos L]],Table1[[#This Row],[New Pos R]])</f>
        <v>63</v>
      </c>
    </row>
    <row r="2341" spans="1:6" ht="16" x14ac:dyDescent="0.2">
      <c r="A2341" s="1" t="s">
        <v>131</v>
      </c>
      <c r="B2341" t="str">
        <f>LEFT(Table1[[#This Row],[Input]],1)</f>
        <v>R</v>
      </c>
      <c r="C2341">
        <f>_xlfn.LET(_xlpm.steps,SUBSTITUTE(Table1[[#This Row],[Input]],Table1[[#This Row],[Direction]],""),VALUE(IF(LEN(_xlpm.steps)&gt;2,RIGHT(_xlpm.steps,2),_xlpm.steps)))</f>
        <v>99</v>
      </c>
      <c r="D2341">
        <f>_xlfn.LET(_xlpm.dir,Table1[[#This Row],[Direction]],
IF(_xlpm.dir="L",
    IF(F2340-Table1[[#This Row],[Steps]]&lt;0,100+(F2340-Table1[[#This Row],[Steps]]),F2340-Table1[[#This Row],[Steps]]),
))</f>
        <v>0</v>
      </c>
      <c r="E2341">
        <f>_xlfn.LET(_xlpm.dir,Table1[[#This Row],[Direction]],
IF(_xlpm.dir="R",
    IF(F2340+Table1[[#This Row],[Steps]]&gt;99,(F2340+Table1[[#This Row],[Steps]])-100,F2340+Table1[[#This Row],[Steps]]),
))</f>
        <v>62</v>
      </c>
      <c r="F2341">
        <f>IF(Table1[[#This Row],[New Pos L]]&lt;&gt;0,Table1[[#This Row],[New Pos L]],Table1[[#This Row],[New Pos R]])</f>
        <v>62</v>
      </c>
    </row>
    <row r="2342" spans="1:6" ht="16" x14ac:dyDescent="0.2">
      <c r="A2342" s="1" t="s">
        <v>66</v>
      </c>
      <c r="B2342" t="str">
        <f>LEFT(Table1[[#This Row],[Input]],1)</f>
        <v>R</v>
      </c>
      <c r="C2342">
        <f>_xlfn.LET(_xlpm.steps,SUBSTITUTE(Table1[[#This Row],[Input]],Table1[[#This Row],[Direction]],""),VALUE(IF(LEN(_xlpm.steps)&gt;2,RIGHT(_xlpm.steps,2),_xlpm.steps)))</f>
        <v>45</v>
      </c>
      <c r="D2342">
        <f>_xlfn.LET(_xlpm.dir,Table1[[#This Row],[Direction]],
IF(_xlpm.dir="L",
    IF(F2341-Table1[[#This Row],[Steps]]&lt;0,100+(F2341-Table1[[#This Row],[Steps]]),F2341-Table1[[#This Row],[Steps]]),
))</f>
        <v>0</v>
      </c>
      <c r="E2342">
        <f>_xlfn.LET(_xlpm.dir,Table1[[#This Row],[Direction]],
IF(_xlpm.dir="R",
    IF(F2341+Table1[[#This Row],[Steps]]&gt;99,(F2341+Table1[[#This Row],[Steps]])-100,F2341+Table1[[#This Row],[Steps]]),
))</f>
        <v>7</v>
      </c>
      <c r="F2342">
        <f>IF(Table1[[#This Row],[New Pos L]]&lt;&gt;0,Table1[[#This Row],[New Pos L]],Table1[[#This Row],[New Pos R]])</f>
        <v>7</v>
      </c>
    </row>
    <row r="2343" spans="1:6" ht="16" x14ac:dyDescent="0.2">
      <c r="A2343" s="1" t="s">
        <v>171</v>
      </c>
      <c r="B2343" t="str">
        <f>LEFT(Table1[[#This Row],[Input]],1)</f>
        <v>L</v>
      </c>
      <c r="C2343">
        <f>_xlfn.LET(_xlpm.steps,SUBSTITUTE(Table1[[#This Row],[Input]],Table1[[#This Row],[Direction]],""),VALUE(IF(LEN(_xlpm.steps)&gt;2,RIGHT(_xlpm.steps,2),_xlpm.steps)))</f>
        <v>73</v>
      </c>
      <c r="D2343">
        <f>_xlfn.LET(_xlpm.dir,Table1[[#This Row],[Direction]],
IF(_xlpm.dir="L",
    IF(F2342-Table1[[#This Row],[Steps]]&lt;0,100+(F2342-Table1[[#This Row],[Steps]]),F2342-Table1[[#This Row],[Steps]]),
))</f>
        <v>34</v>
      </c>
      <c r="E2343">
        <f>_xlfn.LET(_xlpm.dir,Table1[[#This Row],[Direction]],
IF(_xlpm.dir="R",
    IF(F2342+Table1[[#This Row],[Steps]]&gt;99,(F2342+Table1[[#This Row],[Steps]])-100,F2342+Table1[[#This Row],[Steps]]),
))</f>
        <v>0</v>
      </c>
      <c r="F2343">
        <f>IF(Table1[[#This Row],[New Pos L]]&lt;&gt;0,Table1[[#This Row],[New Pos L]],Table1[[#This Row],[New Pos R]])</f>
        <v>34</v>
      </c>
    </row>
    <row r="2344" spans="1:6" ht="16" x14ac:dyDescent="0.2">
      <c r="A2344" s="1" t="s">
        <v>159</v>
      </c>
      <c r="B2344" t="str">
        <f>LEFT(Table1[[#This Row],[Input]],1)</f>
        <v>R</v>
      </c>
      <c r="C2344">
        <f>_xlfn.LET(_xlpm.steps,SUBSTITUTE(Table1[[#This Row],[Input]],Table1[[#This Row],[Direction]],""),VALUE(IF(LEN(_xlpm.steps)&gt;2,RIGHT(_xlpm.steps,2),_xlpm.steps)))</f>
        <v>24</v>
      </c>
      <c r="D2344">
        <f>_xlfn.LET(_xlpm.dir,Table1[[#This Row],[Direction]],
IF(_xlpm.dir="L",
    IF(F2343-Table1[[#This Row],[Steps]]&lt;0,100+(F2343-Table1[[#This Row],[Steps]]),F2343-Table1[[#This Row],[Steps]]),
))</f>
        <v>0</v>
      </c>
      <c r="E2344">
        <f>_xlfn.LET(_xlpm.dir,Table1[[#This Row],[Direction]],
IF(_xlpm.dir="R",
    IF(F2343+Table1[[#This Row],[Steps]]&gt;99,(F2343+Table1[[#This Row],[Steps]])-100,F2343+Table1[[#This Row],[Steps]]),
))</f>
        <v>58</v>
      </c>
      <c r="F2344">
        <f>IF(Table1[[#This Row],[New Pos L]]&lt;&gt;0,Table1[[#This Row],[New Pos L]],Table1[[#This Row],[New Pos R]])</f>
        <v>58</v>
      </c>
    </row>
    <row r="2345" spans="1:6" ht="16" x14ac:dyDescent="0.2">
      <c r="A2345" s="1" t="s">
        <v>6</v>
      </c>
      <c r="B2345" t="str">
        <f>LEFT(Table1[[#This Row],[Input]],1)</f>
        <v>R</v>
      </c>
      <c r="C2345">
        <f>_xlfn.LET(_xlpm.steps,SUBSTITUTE(Table1[[#This Row],[Input]],Table1[[#This Row],[Direction]],""),VALUE(IF(LEN(_xlpm.steps)&gt;2,RIGHT(_xlpm.steps,2),_xlpm.steps)))</f>
        <v>49</v>
      </c>
      <c r="D2345">
        <f>_xlfn.LET(_xlpm.dir,Table1[[#This Row],[Direction]],
IF(_xlpm.dir="L",
    IF(F2344-Table1[[#This Row],[Steps]]&lt;0,100+(F2344-Table1[[#This Row],[Steps]]),F2344-Table1[[#This Row],[Steps]]),
))</f>
        <v>0</v>
      </c>
      <c r="E2345">
        <f>_xlfn.LET(_xlpm.dir,Table1[[#This Row],[Direction]],
IF(_xlpm.dir="R",
    IF(F2344+Table1[[#This Row],[Steps]]&gt;99,(F2344+Table1[[#This Row],[Steps]])-100,F2344+Table1[[#This Row],[Steps]]),
))</f>
        <v>7</v>
      </c>
      <c r="F2345">
        <f>IF(Table1[[#This Row],[New Pos L]]&lt;&gt;0,Table1[[#This Row],[New Pos L]],Table1[[#This Row],[New Pos R]])</f>
        <v>7</v>
      </c>
    </row>
    <row r="2346" spans="1:6" ht="16" x14ac:dyDescent="0.2">
      <c r="A2346" s="1" t="s">
        <v>41</v>
      </c>
      <c r="B2346" t="str">
        <f>LEFT(Table1[[#This Row],[Input]],1)</f>
        <v>L</v>
      </c>
      <c r="C2346">
        <f>_xlfn.LET(_xlpm.steps,SUBSTITUTE(Table1[[#This Row],[Input]],Table1[[#This Row],[Direction]],""),VALUE(IF(LEN(_xlpm.steps)&gt;2,RIGHT(_xlpm.steps,2),_xlpm.steps)))</f>
        <v>7</v>
      </c>
      <c r="D2346">
        <f>_xlfn.LET(_xlpm.dir,Table1[[#This Row],[Direction]],
IF(_xlpm.dir="L",
    IF(F2345-Table1[[#This Row],[Steps]]&lt;0,100+(F2345-Table1[[#This Row],[Steps]]),F2345-Table1[[#This Row],[Steps]]),
))</f>
        <v>0</v>
      </c>
      <c r="E2346">
        <f>_xlfn.LET(_xlpm.dir,Table1[[#This Row],[Direction]],
IF(_xlpm.dir="R",
    IF(F2345+Table1[[#This Row],[Steps]]&gt;99,(F2345+Table1[[#This Row],[Steps]])-100,F2345+Table1[[#This Row],[Steps]]),
))</f>
        <v>0</v>
      </c>
      <c r="F2346">
        <f>IF(Table1[[#This Row],[New Pos L]]&lt;&gt;0,Table1[[#This Row],[New Pos L]],Table1[[#This Row],[New Pos R]])</f>
        <v>0</v>
      </c>
    </row>
    <row r="2347" spans="1:6" ht="16" x14ac:dyDescent="0.2">
      <c r="A2347" s="1" t="s">
        <v>596</v>
      </c>
      <c r="B2347" t="str">
        <f>LEFT(Table1[[#This Row],[Input]],1)</f>
        <v>R</v>
      </c>
      <c r="C2347">
        <f>_xlfn.LET(_xlpm.steps,SUBSTITUTE(Table1[[#This Row],[Input]],Table1[[#This Row],[Direction]],""),VALUE(IF(LEN(_xlpm.steps)&gt;2,RIGHT(_xlpm.steps,2),_xlpm.steps)))</f>
        <v>12</v>
      </c>
      <c r="D2347">
        <f>_xlfn.LET(_xlpm.dir,Table1[[#This Row],[Direction]],
IF(_xlpm.dir="L",
    IF(F2346-Table1[[#This Row],[Steps]]&lt;0,100+(F2346-Table1[[#This Row],[Steps]]),F2346-Table1[[#This Row],[Steps]]),
))</f>
        <v>0</v>
      </c>
      <c r="E2347">
        <f>_xlfn.LET(_xlpm.dir,Table1[[#This Row],[Direction]],
IF(_xlpm.dir="R",
    IF(F2346+Table1[[#This Row],[Steps]]&gt;99,(F2346+Table1[[#This Row],[Steps]])-100,F2346+Table1[[#This Row],[Steps]]),
))</f>
        <v>12</v>
      </c>
      <c r="F2347">
        <f>IF(Table1[[#This Row],[New Pos L]]&lt;&gt;0,Table1[[#This Row],[New Pos L]],Table1[[#This Row],[New Pos R]])</f>
        <v>12</v>
      </c>
    </row>
    <row r="2348" spans="1:6" ht="16" x14ac:dyDescent="0.2">
      <c r="A2348" s="1" t="s">
        <v>66</v>
      </c>
      <c r="B2348" t="str">
        <f>LEFT(Table1[[#This Row],[Input]],1)</f>
        <v>R</v>
      </c>
      <c r="C2348">
        <f>_xlfn.LET(_xlpm.steps,SUBSTITUTE(Table1[[#This Row],[Input]],Table1[[#This Row],[Direction]],""),VALUE(IF(LEN(_xlpm.steps)&gt;2,RIGHT(_xlpm.steps,2),_xlpm.steps)))</f>
        <v>45</v>
      </c>
      <c r="D2348">
        <f>_xlfn.LET(_xlpm.dir,Table1[[#This Row],[Direction]],
IF(_xlpm.dir="L",
    IF(F2347-Table1[[#This Row],[Steps]]&lt;0,100+(F2347-Table1[[#This Row],[Steps]]),F2347-Table1[[#This Row],[Steps]]),
))</f>
        <v>0</v>
      </c>
      <c r="E2348">
        <f>_xlfn.LET(_xlpm.dir,Table1[[#This Row],[Direction]],
IF(_xlpm.dir="R",
    IF(F2347+Table1[[#This Row],[Steps]]&gt;99,(F2347+Table1[[#This Row],[Steps]])-100,F2347+Table1[[#This Row],[Steps]]),
))</f>
        <v>57</v>
      </c>
      <c r="F2348">
        <f>IF(Table1[[#This Row],[New Pos L]]&lt;&gt;0,Table1[[#This Row],[New Pos L]],Table1[[#This Row],[New Pos R]])</f>
        <v>57</v>
      </c>
    </row>
    <row r="2349" spans="1:6" ht="16" x14ac:dyDescent="0.2">
      <c r="A2349" s="1" t="s">
        <v>597</v>
      </c>
      <c r="B2349" t="str">
        <f>LEFT(Table1[[#This Row],[Input]],1)</f>
        <v>R</v>
      </c>
      <c r="C2349">
        <f>_xlfn.LET(_xlpm.steps,SUBSTITUTE(Table1[[#This Row],[Input]],Table1[[#This Row],[Direction]],""),VALUE(IF(LEN(_xlpm.steps)&gt;2,RIGHT(_xlpm.steps,2),_xlpm.steps)))</f>
        <v>86</v>
      </c>
      <c r="D2349">
        <f>_xlfn.LET(_xlpm.dir,Table1[[#This Row],[Direction]],
IF(_xlpm.dir="L",
    IF(F2348-Table1[[#This Row],[Steps]]&lt;0,100+(F2348-Table1[[#This Row],[Steps]]),F2348-Table1[[#This Row],[Steps]]),
))</f>
        <v>0</v>
      </c>
      <c r="E2349">
        <f>_xlfn.LET(_xlpm.dir,Table1[[#This Row],[Direction]],
IF(_xlpm.dir="R",
    IF(F2348+Table1[[#This Row],[Steps]]&gt;99,(F2348+Table1[[#This Row],[Steps]])-100,F2348+Table1[[#This Row],[Steps]]),
))</f>
        <v>43</v>
      </c>
      <c r="F2349">
        <f>IF(Table1[[#This Row],[New Pos L]]&lt;&gt;0,Table1[[#This Row],[New Pos L]],Table1[[#This Row],[New Pos R]])</f>
        <v>43</v>
      </c>
    </row>
    <row r="2350" spans="1:6" ht="16" x14ac:dyDescent="0.2">
      <c r="A2350" s="1" t="s">
        <v>4</v>
      </c>
      <c r="B2350" t="str">
        <f>LEFT(Table1[[#This Row],[Input]],1)</f>
        <v>R</v>
      </c>
      <c r="C2350">
        <f>_xlfn.LET(_xlpm.steps,SUBSTITUTE(Table1[[#This Row],[Input]],Table1[[#This Row],[Direction]],""),VALUE(IF(LEN(_xlpm.steps)&gt;2,RIGHT(_xlpm.steps,2),_xlpm.steps)))</f>
        <v>3</v>
      </c>
      <c r="D2350">
        <f>_xlfn.LET(_xlpm.dir,Table1[[#This Row],[Direction]],
IF(_xlpm.dir="L",
    IF(F2349-Table1[[#This Row],[Steps]]&lt;0,100+(F2349-Table1[[#This Row],[Steps]]),F2349-Table1[[#This Row],[Steps]]),
))</f>
        <v>0</v>
      </c>
      <c r="E2350">
        <f>_xlfn.LET(_xlpm.dir,Table1[[#This Row],[Direction]],
IF(_xlpm.dir="R",
    IF(F2349+Table1[[#This Row],[Steps]]&gt;99,(F2349+Table1[[#This Row],[Steps]])-100,F2349+Table1[[#This Row],[Steps]]),
))</f>
        <v>46</v>
      </c>
      <c r="F2350">
        <f>IF(Table1[[#This Row],[New Pos L]]&lt;&gt;0,Table1[[#This Row],[New Pos L]],Table1[[#This Row],[New Pos R]])</f>
        <v>46</v>
      </c>
    </row>
    <row r="2351" spans="1:6" ht="16" x14ac:dyDescent="0.2">
      <c r="A2351" s="1" t="s">
        <v>186</v>
      </c>
      <c r="B2351" t="str">
        <f>LEFT(Table1[[#This Row],[Input]],1)</f>
        <v>L</v>
      </c>
      <c r="C2351">
        <f>_xlfn.LET(_xlpm.steps,SUBSTITUTE(Table1[[#This Row],[Input]],Table1[[#This Row],[Direction]],""),VALUE(IF(LEN(_xlpm.steps)&gt;2,RIGHT(_xlpm.steps,2),_xlpm.steps)))</f>
        <v>84</v>
      </c>
      <c r="D2351">
        <f>_xlfn.LET(_xlpm.dir,Table1[[#This Row],[Direction]],
IF(_xlpm.dir="L",
    IF(F2350-Table1[[#This Row],[Steps]]&lt;0,100+(F2350-Table1[[#This Row],[Steps]]),F2350-Table1[[#This Row],[Steps]]),
))</f>
        <v>62</v>
      </c>
      <c r="E2351">
        <f>_xlfn.LET(_xlpm.dir,Table1[[#This Row],[Direction]],
IF(_xlpm.dir="R",
    IF(F2350+Table1[[#This Row],[Steps]]&gt;99,(F2350+Table1[[#This Row],[Steps]])-100,F2350+Table1[[#This Row],[Steps]]),
))</f>
        <v>0</v>
      </c>
      <c r="F2351">
        <f>IF(Table1[[#This Row],[New Pos L]]&lt;&gt;0,Table1[[#This Row],[New Pos L]],Table1[[#This Row],[New Pos R]])</f>
        <v>62</v>
      </c>
    </row>
    <row r="2352" spans="1:6" ht="16" x14ac:dyDescent="0.2">
      <c r="A2352" s="1" t="s">
        <v>63</v>
      </c>
      <c r="B2352" t="str">
        <f>LEFT(Table1[[#This Row],[Input]],1)</f>
        <v>R</v>
      </c>
      <c r="C2352">
        <f>_xlfn.LET(_xlpm.steps,SUBSTITUTE(Table1[[#This Row],[Input]],Table1[[#This Row],[Direction]],""),VALUE(IF(LEN(_xlpm.steps)&gt;2,RIGHT(_xlpm.steps,2),_xlpm.steps)))</f>
        <v>57</v>
      </c>
      <c r="D2352">
        <f>_xlfn.LET(_xlpm.dir,Table1[[#This Row],[Direction]],
IF(_xlpm.dir="L",
    IF(F2351-Table1[[#This Row],[Steps]]&lt;0,100+(F2351-Table1[[#This Row],[Steps]]),F2351-Table1[[#This Row],[Steps]]),
))</f>
        <v>0</v>
      </c>
      <c r="E2352">
        <f>_xlfn.LET(_xlpm.dir,Table1[[#This Row],[Direction]],
IF(_xlpm.dir="R",
    IF(F2351+Table1[[#This Row],[Steps]]&gt;99,(F2351+Table1[[#This Row],[Steps]])-100,F2351+Table1[[#This Row],[Steps]]),
))</f>
        <v>19</v>
      </c>
      <c r="F2352">
        <f>IF(Table1[[#This Row],[New Pos L]]&lt;&gt;0,Table1[[#This Row],[New Pos L]],Table1[[#This Row],[New Pos R]])</f>
        <v>19</v>
      </c>
    </row>
    <row r="2353" spans="1:6" ht="16" x14ac:dyDescent="0.2">
      <c r="A2353" s="1" t="s">
        <v>139</v>
      </c>
      <c r="B2353" t="str">
        <f>LEFT(Table1[[#This Row],[Input]],1)</f>
        <v>R</v>
      </c>
      <c r="C2353">
        <f>_xlfn.LET(_xlpm.steps,SUBSTITUTE(Table1[[#This Row],[Input]],Table1[[#This Row],[Direction]],""),VALUE(IF(LEN(_xlpm.steps)&gt;2,RIGHT(_xlpm.steps,2),_xlpm.steps)))</f>
        <v>38</v>
      </c>
      <c r="D2353">
        <f>_xlfn.LET(_xlpm.dir,Table1[[#This Row],[Direction]],
IF(_xlpm.dir="L",
    IF(F2352-Table1[[#This Row],[Steps]]&lt;0,100+(F2352-Table1[[#This Row],[Steps]]),F2352-Table1[[#This Row],[Steps]]),
))</f>
        <v>0</v>
      </c>
      <c r="E2353">
        <f>_xlfn.LET(_xlpm.dir,Table1[[#This Row],[Direction]],
IF(_xlpm.dir="R",
    IF(F2352+Table1[[#This Row],[Steps]]&gt;99,(F2352+Table1[[#This Row],[Steps]])-100,F2352+Table1[[#This Row],[Steps]]),
))</f>
        <v>57</v>
      </c>
      <c r="F2353">
        <f>IF(Table1[[#This Row],[New Pos L]]&lt;&gt;0,Table1[[#This Row],[New Pos L]],Table1[[#This Row],[New Pos R]])</f>
        <v>57</v>
      </c>
    </row>
    <row r="2354" spans="1:6" ht="16" x14ac:dyDescent="0.2">
      <c r="A2354" s="1" t="s">
        <v>49</v>
      </c>
      <c r="B2354" t="str">
        <f>LEFT(Table1[[#This Row],[Input]],1)</f>
        <v>L</v>
      </c>
      <c r="C2354">
        <f>_xlfn.LET(_xlpm.steps,SUBSTITUTE(Table1[[#This Row],[Input]],Table1[[#This Row],[Direction]],""),VALUE(IF(LEN(_xlpm.steps)&gt;2,RIGHT(_xlpm.steps,2),_xlpm.steps)))</f>
        <v>93</v>
      </c>
      <c r="D2354">
        <f>_xlfn.LET(_xlpm.dir,Table1[[#This Row],[Direction]],
IF(_xlpm.dir="L",
    IF(F2353-Table1[[#This Row],[Steps]]&lt;0,100+(F2353-Table1[[#This Row],[Steps]]),F2353-Table1[[#This Row],[Steps]]),
))</f>
        <v>64</v>
      </c>
      <c r="E2354">
        <f>_xlfn.LET(_xlpm.dir,Table1[[#This Row],[Direction]],
IF(_xlpm.dir="R",
    IF(F2353+Table1[[#This Row],[Steps]]&gt;99,(F2353+Table1[[#This Row],[Steps]])-100,F2353+Table1[[#This Row],[Steps]]),
))</f>
        <v>0</v>
      </c>
      <c r="F2354">
        <f>IF(Table1[[#This Row],[New Pos L]]&lt;&gt;0,Table1[[#This Row],[New Pos L]],Table1[[#This Row],[New Pos R]])</f>
        <v>64</v>
      </c>
    </row>
    <row r="2355" spans="1:6" ht="16" x14ac:dyDescent="0.2">
      <c r="A2355" s="1" t="s">
        <v>15</v>
      </c>
      <c r="B2355" t="str">
        <f>LEFT(Table1[[#This Row],[Input]],1)</f>
        <v>R</v>
      </c>
      <c r="C2355">
        <f>_xlfn.LET(_xlpm.steps,SUBSTITUTE(Table1[[#This Row],[Input]],Table1[[#This Row],[Direction]],""),VALUE(IF(LEN(_xlpm.steps)&gt;2,RIGHT(_xlpm.steps,2),_xlpm.steps)))</f>
        <v>36</v>
      </c>
      <c r="D2355">
        <f>_xlfn.LET(_xlpm.dir,Table1[[#This Row],[Direction]],
IF(_xlpm.dir="L",
    IF(F2354-Table1[[#This Row],[Steps]]&lt;0,100+(F2354-Table1[[#This Row],[Steps]]),F2354-Table1[[#This Row],[Steps]]),
))</f>
        <v>0</v>
      </c>
      <c r="E2355">
        <f>_xlfn.LET(_xlpm.dir,Table1[[#This Row],[Direction]],
IF(_xlpm.dir="R",
    IF(F2354+Table1[[#This Row],[Steps]]&gt;99,(F2354+Table1[[#This Row],[Steps]])-100,F2354+Table1[[#This Row],[Steps]]),
))</f>
        <v>0</v>
      </c>
      <c r="F2355">
        <f>IF(Table1[[#This Row],[New Pos L]]&lt;&gt;0,Table1[[#This Row],[New Pos L]],Table1[[#This Row],[New Pos R]])</f>
        <v>0</v>
      </c>
    </row>
    <row r="2356" spans="1:6" ht="16" x14ac:dyDescent="0.2">
      <c r="A2356" s="1" t="s">
        <v>71</v>
      </c>
      <c r="B2356" t="str">
        <f>LEFT(Table1[[#This Row],[Input]],1)</f>
        <v>R</v>
      </c>
      <c r="C2356">
        <f>_xlfn.LET(_xlpm.steps,SUBSTITUTE(Table1[[#This Row],[Input]],Table1[[#This Row],[Direction]],""),VALUE(IF(LEN(_xlpm.steps)&gt;2,RIGHT(_xlpm.steps,2),_xlpm.steps)))</f>
        <v>23</v>
      </c>
      <c r="D2356">
        <f>_xlfn.LET(_xlpm.dir,Table1[[#This Row],[Direction]],
IF(_xlpm.dir="L",
    IF(F2355-Table1[[#This Row],[Steps]]&lt;0,100+(F2355-Table1[[#This Row],[Steps]]),F2355-Table1[[#This Row],[Steps]]),
))</f>
        <v>0</v>
      </c>
      <c r="E2356">
        <f>_xlfn.LET(_xlpm.dir,Table1[[#This Row],[Direction]],
IF(_xlpm.dir="R",
    IF(F2355+Table1[[#This Row],[Steps]]&gt;99,(F2355+Table1[[#This Row],[Steps]])-100,F2355+Table1[[#This Row],[Steps]]),
))</f>
        <v>23</v>
      </c>
      <c r="F2356">
        <f>IF(Table1[[#This Row],[New Pos L]]&lt;&gt;0,Table1[[#This Row],[New Pos L]],Table1[[#This Row],[New Pos R]])</f>
        <v>23</v>
      </c>
    </row>
    <row r="2357" spans="1:6" ht="16" x14ac:dyDescent="0.2">
      <c r="A2357" s="1" t="s">
        <v>100</v>
      </c>
      <c r="B2357" t="str">
        <f>LEFT(Table1[[#This Row],[Input]],1)</f>
        <v>R</v>
      </c>
      <c r="C2357">
        <f>_xlfn.LET(_xlpm.steps,SUBSTITUTE(Table1[[#This Row],[Input]],Table1[[#This Row],[Direction]],""),VALUE(IF(LEN(_xlpm.steps)&gt;2,RIGHT(_xlpm.steps,2),_xlpm.steps)))</f>
        <v>58</v>
      </c>
      <c r="D2357">
        <f>_xlfn.LET(_xlpm.dir,Table1[[#This Row],[Direction]],
IF(_xlpm.dir="L",
    IF(F2356-Table1[[#This Row],[Steps]]&lt;0,100+(F2356-Table1[[#This Row],[Steps]]),F2356-Table1[[#This Row],[Steps]]),
))</f>
        <v>0</v>
      </c>
      <c r="E2357">
        <f>_xlfn.LET(_xlpm.dir,Table1[[#This Row],[Direction]],
IF(_xlpm.dir="R",
    IF(F2356+Table1[[#This Row],[Steps]]&gt;99,(F2356+Table1[[#This Row],[Steps]])-100,F2356+Table1[[#This Row],[Steps]]),
))</f>
        <v>81</v>
      </c>
      <c r="F2357">
        <f>IF(Table1[[#This Row],[New Pos L]]&lt;&gt;0,Table1[[#This Row],[New Pos L]],Table1[[#This Row],[New Pos R]])</f>
        <v>81</v>
      </c>
    </row>
    <row r="2358" spans="1:6" ht="16" x14ac:dyDescent="0.2">
      <c r="A2358" s="1" t="s">
        <v>296</v>
      </c>
      <c r="B2358" t="str">
        <f>LEFT(Table1[[#This Row],[Input]],1)</f>
        <v>R</v>
      </c>
      <c r="C2358">
        <f>_xlfn.LET(_xlpm.steps,SUBSTITUTE(Table1[[#This Row],[Input]],Table1[[#This Row],[Direction]],""),VALUE(IF(LEN(_xlpm.steps)&gt;2,RIGHT(_xlpm.steps,2),_xlpm.steps)))</f>
        <v>19</v>
      </c>
      <c r="D2358">
        <f>_xlfn.LET(_xlpm.dir,Table1[[#This Row],[Direction]],
IF(_xlpm.dir="L",
    IF(F2357-Table1[[#This Row],[Steps]]&lt;0,100+(F2357-Table1[[#This Row],[Steps]]),F2357-Table1[[#This Row],[Steps]]),
))</f>
        <v>0</v>
      </c>
      <c r="E2358">
        <f>_xlfn.LET(_xlpm.dir,Table1[[#This Row],[Direction]],
IF(_xlpm.dir="R",
    IF(F2357+Table1[[#This Row],[Steps]]&gt;99,(F2357+Table1[[#This Row],[Steps]])-100,F2357+Table1[[#This Row],[Steps]]),
))</f>
        <v>0</v>
      </c>
      <c r="F2358">
        <f>IF(Table1[[#This Row],[New Pos L]]&lt;&gt;0,Table1[[#This Row],[New Pos L]],Table1[[#This Row],[New Pos R]])</f>
        <v>0</v>
      </c>
    </row>
    <row r="2359" spans="1:6" ht="16" x14ac:dyDescent="0.2">
      <c r="A2359" s="1" t="s">
        <v>226</v>
      </c>
      <c r="B2359" t="str">
        <f>LEFT(Table1[[#This Row],[Input]],1)</f>
        <v>L</v>
      </c>
      <c r="C2359">
        <f>_xlfn.LET(_xlpm.steps,SUBSTITUTE(Table1[[#This Row],[Input]],Table1[[#This Row],[Direction]],""),VALUE(IF(LEN(_xlpm.steps)&gt;2,RIGHT(_xlpm.steps,2),_xlpm.steps)))</f>
        <v>31</v>
      </c>
      <c r="D2359">
        <f>_xlfn.LET(_xlpm.dir,Table1[[#This Row],[Direction]],
IF(_xlpm.dir="L",
    IF(F2358-Table1[[#This Row],[Steps]]&lt;0,100+(F2358-Table1[[#This Row],[Steps]]),F2358-Table1[[#This Row],[Steps]]),
))</f>
        <v>69</v>
      </c>
      <c r="E2359">
        <f>_xlfn.LET(_xlpm.dir,Table1[[#This Row],[Direction]],
IF(_xlpm.dir="R",
    IF(F2358+Table1[[#This Row],[Steps]]&gt;99,(F2358+Table1[[#This Row],[Steps]])-100,F2358+Table1[[#This Row],[Steps]]),
))</f>
        <v>0</v>
      </c>
      <c r="F2359">
        <f>IF(Table1[[#This Row],[New Pos L]]&lt;&gt;0,Table1[[#This Row],[New Pos L]],Table1[[#This Row],[New Pos R]])</f>
        <v>69</v>
      </c>
    </row>
    <row r="2360" spans="1:6" ht="16" x14ac:dyDescent="0.2">
      <c r="A2360" s="1" t="s">
        <v>123</v>
      </c>
      <c r="B2360" t="str">
        <f>LEFT(Table1[[#This Row],[Input]],1)</f>
        <v>L</v>
      </c>
      <c r="C2360">
        <f>_xlfn.LET(_xlpm.steps,SUBSTITUTE(Table1[[#This Row],[Input]],Table1[[#This Row],[Direction]],""),VALUE(IF(LEN(_xlpm.steps)&gt;2,RIGHT(_xlpm.steps,2),_xlpm.steps)))</f>
        <v>63</v>
      </c>
      <c r="D2360">
        <f>_xlfn.LET(_xlpm.dir,Table1[[#This Row],[Direction]],
IF(_xlpm.dir="L",
    IF(F2359-Table1[[#This Row],[Steps]]&lt;0,100+(F2359-Table1[[#This Row],[Steps]]),F2359-Table1[[#This Row],[Steps]]),
))</f>
        <v>6</v>
      </c>
      <c r="E2360">
        <f>_xlfn.LET(_xlpm.dir,Table1[[#This Row],[Direction]],
IF(_xlpm.dir="R",
    IF(F2359+Table1[[#This Row],[Steps]]&gt;99,(F2359+Table1[[#This Row],[Steps]])-100,F2359+Table1[[#This Row],[Steps]]),
))</f>
        <v>0</v>
      </c>
      <c r="F2360">
        <f>IF(Table1[[#This Row],[New Pos L]]&lt;&gt;0,Table1[[#This Row],[New Pos L]],Table1[[#This Row],[New Pos R]])</f>
        <v>6</v>
      </c>
    </row>
    <row r="2361" spans="1:6" ht="16" x14ac:dyDescent="0.2">
      <c r="A2361" s="1" t="s">
        <v>253</v>
      </c>
      <c r="B2361" t="str">
        <f>LEFT(Table1[[#This Row],[Input]],1)</f>
        <v>R</v>
      </c>
      <c r="C2361">
        <f>_xlfn.LET(_xlpm.steps,SUBSTITUTE(Table1[[#This Row],[Input]],Table1[[#This Row],[Direction]],""),VALUE(IF(LEN(_xlpm.steps)&gt;2,RIGHT(_xlpm.steps,2),_xlpm.steps)))</f>
        <v>94</v>
      </c>
      <c r="D2361">
        <f>_xlfn.LET(_xlpm.dir,Table1[[#This Row],[Direction]],
IF(_xlpm.dir="L",
    IF(F2360-Table1[[#This Row],[Steps]]&lt;0,100+(F2360-Table1[[#This Row],[Steps]]),F2360-Table1[[#This Row],[Steps]]),
))</f>
        <v>0</v>
      </c>
      <c r="E2361">
        <f>_xlfn.LET(_xlpm.dir,Table1[[#This Row],[Direction]],
IF(_xlpm.dir="R",
    IF(F2360+Table1[[#This Row],[Steps]]&gt;99,(F2360+Table1[[#This Row],[Steps]])-100,F2360+Table1[[#This Row],[Steps]]),
))</f>
        <v>0</v>
      </c>
      <c r="F2361">
        <f>IF(Table1[[#This Row],[New Pos L]]&lt;&gt;0,Table1[[#This Row],[New Pos L]],Table1[[#This Row],[New Pos R]])</f>
        <v>0</v>
      </c>
    </row>
    <row r="2362" spans="1:6" ht="16" x14ac:dyDescent="0.2">
      <c r="A2362" s="1" t="s">
        <v>4</v>
      </c>
      <c r="B2362" t="str">
        <f>LEFT(Table1[[#This Row],[Input]],1)</f>
        <v>R</v>
      </c>
      <c r="C2362">
        <f>_xlfn.LET(_xlpm.steps,SUBSTITUTE(Table1[[#This Row],[Input]],Table1[[#This Row],[Direction]],""),VALUE(IF(LEN(_xlpm.steps)&gt;2,RIGHT(_xlpm.steps,2),_xlpm.steps)))</f>
        <v>3</v>
      </c>
      <c r="D2362">
        <f>_xlfn.LET(_xlpm.dir,Table1[[#This Row],[Direction]],
IF(_xlpm.dir="L",
    IF(F2361-Table1[[#This Row],[Steps]]&lt;0,100+(F2361-Table1[[#This Row],[Steps]]),F2361-Table1[[#This Row],[Steps]]),
))</f>
        <v>0</v>
      </c>
      <c r="E2362">
        <f>_xlfn.LET(_xlpm.dir,Table1[[#This Row],[Direction]],
IF(_xlpm.dir="R",
    IF(F2361+Table1[[#This Row],[Steps]]&gt;99,(F2361+Table1[[#This Row],[Steps]])-100,F2361+Table1[[#This Row],[Steps]]),
))</f>
        <v>3</v>
      </c>
      <c r="F2362">
        <f>IF(Table1[[#This Row],[New Pos L]]&lt;&gt;0,Table1[[#This Row],[New Pos L]],Table1[[#This Row],[New Pos R]])</f>
        <v>3</v>
      </c>
    </row>
    <row r="2363" spans="1:6" ht="16" x14ac:dyDescent="0.2">
      <c r="A2363" s="1" t="s">
        <v>47</v>
      </c>
      <c r="B2363" t="str">
        <f>LEFT(Table1[[#This Row],[Input]],1)</f>
        <v>R</v>
      </c>
      <c r="C2363">
        <f>_xlfn.LET(_xlpm.steps,SUBSTITUTE(Table1[[#This Row],[Input]],Table1[[#This Row],[Direction]],""),VALUE(IF(LEN(_xlpm.steps)&gt;2,RIGHT(_xlpm.steps,2),_xlpm.steps)))</f>
        <v>97</v>
      </c>
      <c r="D2363">
        <f>_xlfn.LET(_xlpm.dir,Table1[[#This Row],[Direction]],
IF(_xlpm.dir="L",
    IF(F2362-Table1[[#This Row],[Steps]]&lt;0,100+(F2362-Table1[[#This Row],[Steps]]),F2362-Table1[[#This Row],[Steps]]),
))</f>
        <v>0</v>
      </c>
      <c r="E2363">
        <f>_xlfn.LET(_xlpm.dir,Table1[[#This Row],[Direction]],
IF(_xlpm.dir="R",
    IF(F2362+Table1[[#This Row],[Steps]]&gt;99,(F2362+Table1[[#This Row],[Steps]])-100,F2362+Table1[[#This Row],[Steps]]),
))</f>
        <v>0</v>
      </c>
      <c r="F2363">
        <f>IF(Table1[[#This Row],[New Pos L]]&lt;&gt;0,Table1[[#This Row],[New Pos L]],Table1[[#This Row],[New Pos R]])</f>
        <v>0</v>
      </c>
    </row>
    <row r="2364" spans="1:6" ht="16" x14ac:dyDescent="0.2">
      <c r="A2364" s="1" t="s">
        <v>598</v>
      </c>
      <c r="B2364" t="str">
        <f>LEFT(Table1[[#This Row],[Input]],1)</f>
        <v>L</v>
      </c>
      <c r="C2364">
        <f>_xlfn.LET(_xlpm.steps,SUBSTITUTE(Table1[[#This Row],[Input]],Table1[[#This Row],[Direction]],""),VALUE(IF(LEN(_xlpm.steps)&gt;2,RIGHT(_xlpm.steps,2),_xlpm.steps)))</f>
        <v>79</v>
      </c>
      <c r="D2364">
        <f>_xlfn.LET(_xlpm.dir,Table1[[#This Row],[Direction]],
IF(_xlpm.dir="L",
    IF(F2363-Table1[[#This Row],[Steps]]&lt;0,100+(F2363-Table1[[#This Row],[Steps]]),F2363-Table1[[#This Row],[Steps]]),
))</f>
        <v>21</v>
      </c>
      <c r="E2364">
        <f>_xlfn.LET(_xlpm.dir,Table1[[#This Row],[Direction]],
IF(_xlpm.dir="R",
    IF(F2363+Table1[[#This Row],[Steps]]&gt;99,(F2363+Table1[[#This Row],[Steps]])-100,F2363+Table1[[#This Row],[Steps]]),
))</f>
        <v>0</v>
      </c>
      <c r="F2364">
        <f>IF(Table1[[#This Row],[New Pos L]]&lt;&gt;0,Table1[[#This Row],[New Pos L]],Table1[[#This Row],[New Pos R]])</f>
        <v>21</v>
      </c>
    </row>
    <row r="2365" spans="1:6" ht="16" x14ac:dyDescent="0.2">
      <c r="A2365" s="1" t="s">
        <v>114</v>
      </c>
      <c r="B2365" t="str">
        <f>LEFT(Table1[[#This Row],[Input]],1)</f>
        <v>R</v>
      </c>
      <c r="C2365">
        <f>_xlfn.LET(_xlpm.steps,SUBSTITUTE(Table1[[#This Row],[Input]],Table1[[#This Row],[Direction]],""),VALUE(IF(LEN(_xlpm.steps)&gt;2,RIGHT(_xlpm.steps,2),_xlpm.steps)))</f>
        <v>70</v>
      </c>
      <c r="D2365">
        <f>_xlfn.LET(_xlpm.dir,Table1[[#This Row],[Direction]],
IF(_xlpm.dir="L",
    IF(F2364-Table1[[#This Row],[Steps]]&lt;0,100+(F2364-Table1[[#This Row],[Steps]]),F2364-Table1[[#This Row],[Steps]]),
))</f>
        <v>0</v>
      </c>
      <c r="E2365">
        <f>_xlfn.LET(_xlpm.dir,Table1[[#This Row],[Direction]],
IF(_xlpm.dir="R",
    IF(F2364+Table1[[#This Row],[Steps]]&gt;99,(F2364+Table1[[#This Row],[Steps]])-100,F2364+Table1[[#This Row],[Steps]]),
))</f>
        <v>91</v>
      </c>
      <c r="F2365">
        <f>IF(Table1[[#This Row],[New Pos L]]&lt;&gt;0,Table1[[#This Row],[New Pos L]],Table1[[#This Row],[New Pos R]])</f>
        <v>91</v>
      </c>
    </row>
    <row r="2366" spans="1:6" ht="16" x14ac:dyDescent="0.2">
      <c r="A2366" s="1" t="s">
        <v>276</v>
      </c>
      <c r="B2366" t="str">
        <f>LEFT(Table1[[#This Row],[Input]],1)</f>
        <v>L</v>
      </c>
      <c r="C2366">
        <f>_xlfn.LET(_xlpm.steps,SUBSTITUTE(Table1[[#This Row],[Input]],Table1[[#This Row],[Direction]],""),VALUE(IF(LEN(_xlpm.steps)&gt;2,RIGHT(_xlpm.steps,2),_xlpm.steps)))</f>
        <v>60</v>
      </c>
      <c r="D2366">
        <f>_xlfn.LET(_xlpm.dir,Table1[[#This Row],[Direction]],
IF(_xlpm.dir="L",
    IF(F2365-Table1[[#This Row],[Steps]]&lt;0,100+(F2365-Table1[[#This Row],[Steps]]),F2365-Table1[[#This Row],[Steps]]),
))</f>
        <v>31</v>
      </c>
      <c r="E2366">
        <f>_xlfn.LET(_xlpm.dir,Table1[[#This Row],[Direction]],
IF(_xlpm.dir="R",
    IF(F2365+Table1[[#This Row],[Steps]]&gt;99,(F2365+Table1[[#This Row],[Steps]])-100,F2365+Table1[[#This Row],[Steps]]),
))</f>
        <v>0</v>
      </c>
      <c r="F2366">
        <f>IF(Table1[[#This Row],[New Pos L]]&lt;&gt;0,Table1[[#This Row],[New Pos L]],Table1[[#This Row],[New Pos R]])</f>
        <v>31</v>
      </c>
    </row>
    <row r="2367" spans="1:6" ht="16" x14ac:dyDescent="0.2">
      <c r="A2367" s="1" t="s">
        <v>132</v>
      </c>
      <c r="B2367" t="str">
        <f>LEFT(Table1[[#This Row],[Input]],1)</f>
        <v>L</v>
      </c>
      <c r="C2367">
        <f>_xlfn.LET(_xlpm.steps,SUBSTITUTE(Table1[[#This Row],[Input]],Table1[[#This Row],[Direction]],""),VALUE(IF(LEN(_xlpm.steps)&gt;2,RIGHT(_xlpm.steps,2),_xlpm.steps)))</f>
        <v>51</v>
      </c>
      <c r="D2367">
        <f>_xlfn.LET(_xlpm.dir,Table1[[#This Row],[Direction]],
IF(_xlpm.dir="L",
    IF(F2366-Table1[[#This Row],[Steps]]&lt;0,100+(F2366-Table1[[#This Row],[Steps]]),F2366-Table1[[#This Row],[Steps]]),
))</f>
        <v>80</v>
      </c>
      <c r="E2367">
        <f>_xlfn.LET(_xlpm.dir,Table1[[#This Row],[Direction]],
IF(_xlpm.dir="R",
    IF(F2366+Table1[[#This Row],[Steps]]&gt;99,(F2366+Table1[[#This Row],[Steps]])-100,F2366+Table1[[#This Row],[Steps]]),
))</f>
        <v>0</v>
      </c>
      <c r="F2367">
        <f>IF(Table1[[#This Row],[New Pos L]]&lt;&gt;0,Table1[[#This Row],[New Pos L]],Table1[[#This Row],[New Pos R]])</f>
        <v>80</v>
      </c>
    </row>
    <row r="2368" spans="1:6" ht="16" x14ac:dyDescent="0.2">
      <c r="A2368" s="1" t="s">
        <v>74</v>
      </c>
      <c r="B2368" t="str">
        <f>LEFT(Table1[[#This Row],[Input]],1)</f>
        <v>R</v>
      </c>
      <c r="C2368">
        <f>_xlfn.LET(_xlpm.steps,SUBSTITUTE(Table1[[#This Row],[Input]],Table1[[#This Row],[Direction]],""),VALUE(IF(LEN(_xlpm.steps)&gt;2,RIGHT(_xlpm.steps,2),_xlpm.steps)))</f>
        <v>93</v>
      </c>
      <c r="D2368">
        <f>_xlfn.LET(_xlpm.dir,Table1[[#This Row],[Direction]],
IF(_xlpm.dir="L",
    IF(F2367-Table1[[#This Row],[Steps]]&lt;0,100+(F2367-Table1[[#This Row],[Steps]]),F2367-Table1[[#This Row],[Steps]]),
))</f>
        <v>0</v>
      </c>
      <c r="E2368">
        <f>_xlfn.LET(_xlpm.dir,Table1[[#This Row],[Direction]],
IF(_xlpm.dir="R",
    IF(F2367+Table1[[#This Row],[Steps]]&gt;99,(F2367+Table1[[#This Row],[Steps]])-100,F2367+Table1[[#This Row],[Steps]]),
))</f>
        <v>73</v>
      </c>
      <c r="F2368">
        <f>IF(Table1[[#This Row],[New Pos L]]&lt;&gt;0,Table1[[#This Row],[New Pos L]],Table1[[#This Row],[New Pos R]])</f>
        <v>73</v>
      </c>
    </row>
    <row r="2369" spans="1:6" ht="16" x14ac:dyDescent="0.2">
      <c r="A2369" s="1" t="s">
        <v>213</v>
      </c>
      <c r="B2369" t="str">
        <f>LEFT(Table1[[#This Row],[Input]],1)</f>
        <v>R</v>
      </c>
      <c r="C2369">
        <f>_xlfn.LET(_xlpm.steps,SUBSTITUTE(Table1[[#This Row],[Input]],Table1[[#This Row],[Direction]],""),VALUE(IF(LEN(_xlpm.steps)&gt;2,RIGHT(_xlpm.steps,2),_xlpm.steps)))</f>
        <v>87</v>
      </c>
      <c r="D2369">
        <f>_xlfn.LET(_xlpm.dir,Table1[[#This Row],[Direction]],
IF(_xlpm.dir="L",
    IF(F2368-Table1[[#This Row],[Steps]]&lt;0,100+(F2368-Table1[[#This Row],[Steps]]),F2368-Table1[[#This Row],[Steps]]),
))</f>
        <v>0</v>
      </c>
      <c r="E2369">
        <f>_xlfn.LET(_xlpm.dir,Table1[[#This Row],[Direction]],
IF(_xlpm.dir="R",
    IF(F2368+Table1[[#This Row],[Steps]]&gt;99,(F2368+Table1[[#This Row],[Steps]])-100,F2368+Table1[[#This Row],[Steps]]),
))</f>
        <v>60</v>
      </c>
      <c r="F2369">
        <f>IF(Table1[[#This Row],[New Pos L]]&lt;&gt;0,Table1[[#This Row],[New Pos L]],Table1[[#This Row],[New Pos R]])</f>
        <v>60</v>
      </c>
    </row>
    <row r="2370" spans="1:6" ht="16" x14ac:dyDescent="0.2">
      <c r="A2370" s="1" t="s">
        <v>599</v>
      </c>
      <c r="B2370" t="str">
        <f>LEFT(Table1[[#This Row],[Input]],1)</f>
        <v>L</v>
      </c>
      <c r="C2370">
        <f>_xlfn.LET(_xlpm.steps,SUBSTITUTE(Table1[[#This Row],[Input]],Table1[[#This Row],[Direction]],""),VALUE(IF(LEN(_xlpm.steps)&gt;2,RIGHT(_xlpm.steps,2),_xlpm.steps)))</f>
        <v>60</v>
      </c>
      <c r="D2370">
        <f>_xlfn.LET(_xlpm.dir,Table1[[#This Row],[Direction]],
IF(_xlpm.dir="L",
    IF(F2369-Table1[[#This Row],[Steps]]&lt;0,100+(F2369-Table1[[#This Row],[Steps]]),F2369-Table1[[#This Row],[Steps]]),
))</f>
        <v>0</v>
      </c>
      <c r="E2370">
        <f>_xlfn.LET(_xlpm.dir,Table1[[#This Row],[Direction]],
IF(_xlpm.dir="R",
    IF(F2369+Table1[[#This Row],[Steps]]&gt;99,(F2369+Table1[[#This Row],[Steps]])-100,F2369+Table1[[#This Row],[Steps]]),
))</f>
        <v>0</v>
      </c>
      <c r="F2370">
        <f>IF(Table1[[#This Row],[New Pos L]]&lt;&gt;0,Table1[[#This Row],[New Pos L]],Table1[[#This Row],[New Pos R]])</f>
        <v>0</v>
      </c>
    </row>
    <row r="2371" spans="1:6" ht="16" x14ac:dyDescent="0.2">
      <c r="A2371" s="1" t="s">
        <v>2</v>
      </c>
      <c r="B2371" t="str">
        <f>LEFT(Table1[[#This Row],[Input]],1)</f>
        <v>L</v>
      </c>
      <c r="C2371">
        <f>_xlfn.LET(_xlpm.steps,SUBSTITUTE(Table1[[#This Row],[Input]],Table1[[#This Row],[Direction]],""),VALUE(IF(LEN(_xlpm.steps)&gt;2,RIGHT(_xlpm.steps,2),_xlpm.steps)))</f>
        <v>38</v>
      </c>
      <c r="D2371">
        <f>_xlfn.LET(_xlpm.dir,Table1[[#This Row],[Direction]],
IF(_xlpm.dir="L",
    IF(F2370-Table1[[#This Row],[Steps]]&lt;0,100+(F2370-Table1[[#This Row],[Steps]]),F2370-Table1[[#This Row],[Steps]]),
))</f>
        <v>62</v>
      </c>
      <c r="E2371">
        <f>_xlfn.LET(_xlpm.dir,Table1[[#This Row],[Direction]],
IF(_xlpm.dir="R",
    IF(F2370+Table1[[#This Row],[Steps]]&gt;99,(F2370+Table1[[#This Row],[Steps]])-100,F2370+Table1[[#This Row],[Steps]]),
))</f>
        <v>0</v>
      </c>
      <c r="F2371">
        <f>IF(Table1[[#This Row],[New Pos L]]&lt;&gt;0,Table1[[#This Row],[New Pos L]],Table1[[#This Row],[New Pos R]])</f>
        <v>62</v>
      </c>
    </row>
    <row r="2372" spans="1:6" ht="16" x14ac:dyDescent="0.2">
      <c r="A2372" s="1" t="s">
        <v>139</v>
      </c>
      <c r="B2372" t="str">
        <f>LEFT(Table1[[#This Row],[Input]],1)</f>
        <v>R</v>
      </c>
      <c r="C2372">
        <f>_xlfn.LET(_xlpm.steps,SUBSTITUTE(Table1[[#This Row],[Input]],Table1[[#This Row],[Direction]],""),VALUE(IF(LEN(_xlpm.steps)&gt;2,RIGHT(_xlpm.steps,2),_xlpm.steps)))</f>
        <v>38</v>
      </c>
      <c r="D2372">
        <f>_xlfn.LET(_xlpm.dir,Table1[[#This Row],[Direction]],
IF(_xlpm.dir="L",
    IF(F2371-Table1[[#This Row],[Steps]]&lt;0,100+(F2371-Table1[[#This Row],[Steps]]),F2371-Table1[[#This Row],[Steps]]),
))</f>
        <v>0</v>
      </c>
      <c r="E2372">
        <f>_xlfn.LET(_xlpm.dir,Table1[[#This Row],[Direction]],
IF(_xlpm.dir="R",
    IF(F2371+Table1[[#This Row],[Steps]]&gt;99,(F2371+Table1[[#This Row],[Steps]])-100,F2371+Table1[[#This Row],[Steps]]),
))</f>
        <v>0</v>
      </c>
      <c r="F2372">
        <f>IF(Table1[[#This Row],[New Pos L]]&lt;&gt;0,Table1[[#This Row],[New Pos L]],Table1[[#This Row],[New Pos R]])</f>
        <v>0</v>
      </c>
    </row>
    <row r="2373" spans="1:6" ht="16" x14ac:dyDescent="0.2">
      <c r="A2373" s="1" t="s">
        <v>600</v>
      </c>
      <c r="B2373" t="str">
        <f>LEFT(Table1[[#This Row],[Input]],1)</f>
        <v>R</v>
      </c>
      <c r="C2373">
        <f>_xlfn.LET(_xlpm.steps,SUBSTITUTE(Table1[[#This Row],[Input]],Table1[[#This Row],[Direction]],""),VALUE(IF(LEN(_xlpm.steps)&gt;2,RIGHT(_xlpm.steps,2),_xlpm.steps)))</f>
        <v>1</v>
      </c>
      <c r="D2373">
        <f>_xlfn.LET(_xlpm.dir,Table1[[#This Row],[Direction]],
IF(_xlpm.dir="L",
    IF(F2372-Table1[[#This Row],[Steps]]&lt;0,100+(F2372-Table1[[#This Row],[Steps]]),F2372-Table1[[#This Row],[Steps]]),
))</f>
        <v>0</v>
      </c>
      <c r="E2373">
        <f>_xlfn.LET(_xlpm.dir,Table1[[#This Row],[Direction]],
IF(_xlpm.dir="R",
    IF(F2372+Table1[[#This Row],[Steps]]&gt;99,(F2372+Table1[[#This Row],[Steps]])-100,F2372+Table1[[#This Row],[Steps]]),
))</f>
        <v>1</v>
      </c>
      <c r="F2373">
        <f>IF(Table1[[#This Row],[New Pos L]]&lt;&gt;0,Table1[[#This Row],[New Pos L]],Table1[[#This Row],[New Pos R]])</f>
        <v>1</v>
      </c>
    </row>
    <row r="2374" spans="1:6" ht="16" x14ac:dyDescent="0.2">
      <c r="A2374" s="1" t="s">
        <v>164</v>
      </c>
      <c r="B2374" t="str">
        <f>LEFT(Table1[[#This Row],[Input]],1)</f>
        <v>R</v>
      </c>
      <c r="C2374">
        <f>_xlfn.LET(_xlpm.steps,SUBSTITUTE(Table1[[#This Row],[Input]],Table1[[#This Row],[Direction]],""),VALUE(IF(LEN(_xlpm.steps)&gt;2,RIGHT(_xlpm.steps,2),_xlpm.steps)))</f>
        <v>85</v>
      </c>
      <c r="D2374">
        <f>_xlfn.LET(_xlpm.dir,Table1[[#This Row],[Direction]],
IF(_xlpm.dir="L",
    IF(F2373-Table1[[#This Row],[Steps]]&lt;0,100+(F2373-Table1[[#This Row],[Steps]]),F2373-Table1[[#This Row],[Steps]]),
))</f>
        <v>0</v>
      </c>
      <c r="E2374">
        <f>_xlfn.LET(_xlpm.dir,Table1[[#This Row],[Direction]],
IF(_xlpm.dir="R",
    IF(F2373+Table1[[#This Row],[Steps]]&gt;99,(F2373+Table1[[#This Row],[Steps]])-100,F2373+Table1[[#This Row],[Steps]]),
))</f>
        <v>86</v>
      </c>
      <c r="F2374">
        <f>IF(Table1[[#This Row],[New Pos L]]&lt;&gt;0,Table1[[#This Row],[New Pos L]],Table1[[#This Row],[New Pos R]])</f>
        <v>86</v>
      </c>
    </row>
    <row r="2375" spans="1:6" ht="16" x14ac:dyDescent="0.2">
      <c r="A2375" s="1" t="s">
        <v>57</v>
      </c>
      <c r="B2375" t="str">
        <f>LEFT(Table1[[#This Row],[Input]],1)</f>
        <v>R</v>
      </c>
      <c r="C2375">
        <f>_xlfn.LET(_xlpm.steps,SUBSTITUTE(Table1[[#This Row],[Input]],Table1[[#This Row],[Direction]],""),VALUE(IF(LEN(_xlpm.steps)&gt;2,RIGHT(_xlpm.steps,2),_xlpm.steps)))</f>
        <v>29</v>
      </c>
      <c r="D2375">
        <f>_xlfn.LET(_xlpm.dir,Table1[[#This Row],[Direction]],
IF(_xlpm.dir="L",
    IF(F2374-Table1[[#This Row],[Steps]]&lt;0,100+(F2374-Table1[[#This Row],[Steps]]),F2374-Table1[[#This Row],[Steps]]),
))</f>
        <v>0</v>
      </c>
      <c r="E2375">
        <f>_xlfn.LET(_xlpm.dir,Table1[[#This Row],[Direction]],
IF(_xlpm.dir="R",
    IF(F2374+Table1[[#This Row],[Steps]]&gt;99,(F2374+Table1[[#This Row],[Steps]])-100,F2374+Table1[[#This Row],[Steps]]),
))</f>
        <v>15</v>
      </c>
      <c r="F2375">
        <f>IF(Table1[[#This Row],[New Pos L]]&lt;&gt;0,Table1[[#This Row],[New Pos L]],Table1[[#This Row],[New Pos R]])</f>
        <v>15</v>
      </c>
    </row>
    <row r="2376" spans="1:6" ht="16" x14ac:dyDescent="0.2">
      <c r="A2376" s="1" t="s">
        <v>135</v>
      </c>
      <c r="B2376" t="str">
        <f>LEFT(Table1[[#This Row],[Input]],1)</f>
        <v>R</v>
      </c>
      <c r="C2376">
        <f>_xlfn.LET(_xlpm.steps,SUBSTITUTE(Table1[[#This Row],[Input]],Table1[[#This Row],[Direction]],""),VALUE(IF(LEN(_xlpm.steps)&gt;2,RIGHT(_xlpm.steps,2),_xlpm.steps)))</f>
        <v>69</v>
      </c>
      <c r="D2376">
        <f>_xlfn.LET(_xlpm.dir,Table1[[#This Row],[Direction]],
IF(_xlpm.dir="L",
    IF(F2375-Table1[[#This Row],[Steps]]&lt;0,100+(F2375-Table1[[#This Row],[Steps]]),F2375-Table1[[#This Row],[Steps]]),
))</f>
        <v>0</v>
      </c>
      <c r="E2376">
        <f>_xlfn.LET(_xlpm.dir,Table1[[#This Row],[Direction]],
IF(_xlpm.dir="R",
    IF(F2375+Table1[[#This Row],[Steps]]&gt;99,(F2375+Table1[[#This Row],[Steps]])-100,F2375+Table1[[#This Row],[Steps]]),
))</f>
        <v>84</v>
      </c>
      <c r="F2376">
        <f>IF(Table1[[#This Row],[New Pos L]]&lt;&gt;0,Table1[[#This Row],[New Pos L]],Table1[[#This Row],[New Pos R]])</f>
        <v>84</v>
      </c>
    </row>
    <row r="2377" spans="1:6" ht="16" x14ac:dyDescent="0.2">
      <c r="A2377" s="1" t="s">
        <v>601</v>
      </c>
      <c r="B2377" t="str">
        <f>LEFT(Table1[[#This Row],[Input]],1)</f>
        <v>R</v>
      </c>
      <c r="C2377">
        <f>_xlfn.LET(_xlpm.steps,SUBSTITUTE(Table1[[#This Row],[Input]],Table1[[#This Row],[Direction]],""),VALUE(IF(LEN(_xlpm.steps)&gt;2,RIGHT(_xlpm.steps,2),_xlpm.steps)))</f>
        <v>9</v>
      </c>
      <c r="D2377">
        <f>_xlfn.LET(_xlpm.dir,Table1[[#This Row],[Direction]],
IF(_xlpm.dir="L",
    IF(F2376-Table1[[#This Row],[Steps]]&lt;0,100+(F2376-Table1[[#This Row],[Steps]]),F2376-Table1[[#This Row],[Steps]]),
))</f>
        <v>0</v>
      </c>
      <c r="E2377">
        <f>_xlfn.LET(_xlpm.dir,Table1[[#This Row],[Direction]],
IF(_xlpm.dir="R",
    IF(F2376+Table1[[#This Row],[Steps]]&gt;99,(F2376+Table1[[#This Row],[Steps]])-100,F2376+Table1[[#This Row],[Steps]]),
))</f>
        <v>93</v>
      </c>
      <c r="F2377">
        <f>IF(Table1[[#This Row],[New Pos L]]&lt;&gt;0,Table1[[#This Row],[New Pos L]],Table1[[#This Row],[New Pos R]])</f>
        <v>93</v>
      </c>
    </row>
    <row r="2378" spans="1:6" ht="16" x14ac:dyDescent="0.2">
      <c r="A2378" s="1" t="s">
        <v>353</v>
      </c>
      <c r="B2378" t="str">
        <f>LEFT(Table1[[#This Row],[Input]],1)</f>
        <v>R</v>
      </c>
      <c r="C2378">
        <f>_xlfn.LET(_xlpm.steps,SUBSTITUTE(Table1[[#This Row],[Input]],Table1[[#This Row],[Direction]],""),VALUE(IF(LEN(_xlpm.steps)&gt;2,RIGHT(_xlpm.steps,2),_xlpm.steps)))</f>
        <v>7</v>
      </c>
      <c r="D2378">
        <f>_xlfn.LET(_xlpm.dir,Table1[[#This Row],[Direction]],
IF(_xlpm.dir="L",
    IF(F2377-Table1[[#This Row],[Steps]]&lt;0,100+(F2377-Table1[[#This Row],[Steps]]),F2377-Table1[[#This Row],[Steps]]),
))</f>
        <v>0</v>
      </c>
      <c r="E2378">
        <f>_xlfn.LET(_xlpm.dir,Table1[[#This Row],[Direction]],
IF(_xlpm.dir="R",
    IF(F2377+Table1[[#This Row],[Steps]]&gt;99,(F2377+Table1[[#This Row],[Steps]])-100,F2377+Table1[[#This Row],[Steps]]),
))</f>
        <v>0</v>
      </c>
      <c r="F2378">
        <f>IF(Table1[[#This Row],[New Pos L]]&lt;&gt;0,Table1[[#This Row],[New Pos L]],Table1[[#This Row],[New Pos R]])</f>
        <v>0</v>
      </c>
    </row>
    <row r="2379" spans="1:6" ht="16" x14ac:dyDescent="0.2">
      <c r="A2379" s="1" t="s">
        <v>37</v>
      </c>
      <c r="B2379" t="str">
        <f>LEFT(Table1[[#This Row],[Input]],1)</f>
        <v>L</v>
      </c>
      <c r="C2379">
        <f>_xlfn.LET(_xlpm.steps,SUBSTITUTE(Table1[[#This Row],[Input]],Table1[[#This Row],[Direction]],""),VALUE(IF(LEN(_xlpm.steps)&gt;2,RIGHT(_xlpm.steps,2),_xlpm.steps)))</f>
        <v>42</v>
      </c>
      <c r="D2379">
        <f>_xlfn.LET(_xlpm.dir,Table1[[#This Row],[Direction]],
IF(_xlpm.dir="L",
    IF(F2378-Table1[[#This Row],[Steps]]&lt;0,100+(F2378-Table1[[#This Row],[Steps]]),F2378-Table1[[#This Row],[Steps]]),
))</f>
        <v>58</v>
      </c>
      <c r="E2379">
        <f>_xlfn.LET(_xlpm.dir,Table1[[#This Row],[Direction]],
IF(_xlpm.dir="R",
    IF(F2378+Table1[[#This Row],[Steps]]&gt;99,(F2378+Table1[[#This Row],[Steps]])-100,F2378+Table1[[#This Row],[Steps]]),
))</f>
        <v>0</v>
      </c>
      <c r="F2379">
        <f>IF(Table1[[#This Row],[New Pos L]]&lt;&gt;0,Table1[[#This Row],[New Pos L]],Table1[[#This Row],[New Pos R]])</f>
        <v>58</v>
      </c>
    </row>
    <row r="2380" spans="1:6" ht="16" x14ac:dyDescent="0.2">
      <c r="A2380" s="1" t="s">
        <v>171</v>
      </c>
      <c r="B2380" t="str">
        <f>LEFT(Table1[[#This Row],[Input]],1)</f>
        <v>L</v>
      </c>
      <c r="C2380">
        <f>_xlfn.LET(_xlpm.steps,SUBSTITUTE(Table1[[#This Row],[Input]],Table1[[#This Row],[Direction]],""),VALUE(IF(LEN(_xlpm.steps)&gt;2,RIGHT(_xlpm.steps,2),_xlpm.steps)))</f>
        <v>73</v>
      </c>
      <c r="D2380">
        <f>_xlfn.LET(_xlpm.dir,Table1[[#This Row],[Direction]],
IF(_xlpm.dir="L",
    IF(F2379-Table1[[#This Row],[Steps]]&lt;0,100+(F2379-Table1[[#This Row],[Steps]]),F2379-Table1[[#This Row],[Steps]]),
))</f>
        <v>85</v>
      </c>
      <c r="E2380">
        <f>_xlfn.LET(_xlpm.dir,Table1[[#This Row],[Direction]],
IF(_xlpm.dir="R",
    IF(F2379+Table1[[#This Row],[Steps]]&gt;99,(F2379+Table1[[#This Row],[Steps]])-100,F2379+Table1[[#This Row],[Steps]]),
))</f>
        <v>0</v>
      </c>
      <c r="F2380">
        <f>IF(Table1[[#This Row],[New Pos L]]&lt;&gt;0,Table1[[#This Row],[New Pos L]],Table1[[#This Row],[New Pos R]])</f>
        <v>85</v>
      </c>
    </row>
    <row r="2381" spans="1:6" ht="16" x14ac:dyDescent="0.2">
      <c r="A2381" s="1" t="s">
        <v>201</v>
      </c>
      <c r="B2381" t="str">
        <f>LEFT(Table1[[#This Row],[Input]],1)</f>
        <v>R</v>
      </c>
      <c r="C2381">
        <f>_xlfn.LET(_xlpm.steps,SUBSTITUTE(Table1[[#This Row],[Input]],Table1[[#This Row],[Direction]],""),VALUE(IF(LEN(_xlpm.steps)&gt;2,RIGHT(_xlpm.steps,2),_xlpm.steps)))</f>
        <v>31</v>
      </c>
      <c r="D2381">
        <f>_xlfn.LET(_xlpm.dir,Table1[[#This Row],[Direction]],
IF(_xlpm.dir="L",
    IF(F2380-Table1[[#This Row],[Steps]]&lt;0,100+(F2380-Table1[[#This Row],[Steps]]),F2380-Table1[[#This Row],[Steps]]),
))</f>
        <v>0</v>
      </c>
      <c r="E2381">
        <f>_xlfn.LET(_xlpm.dir,Table1[[#This Row],[Direction]],
IF(_xlpm.dir="R",
    IF(F2380+Table1[[#This Row],[Steps]]&gt;99,(F2380+Table1[[#This Row],[Steps]])-100,F2380+Table1[[#This Row],[Steps]]),
))</f>
        <v>16</v>
      </c>
      <c r="F2381">
        <f>IF(Table1[[#This Row],[New Pos L]]&lt;&gt;0,Table1[[#This Row],[New Pos L]],Table1[[#This Row],[New Pos R]])</f>
        <v>16</v>
      </c>
    </row>
    <row r="2382" spans="1:6" ht="16" x14ac:dyDescent="0.2">
      <c r="A2382" s="1" t="s">
        <v>252</v>
      </c>
      <c r="B2382" t="str">
        <f>LEFT(Table1[[#This Row],[Input]],1)</f>
        <v>L</v>
      </c>
      <c r="C2382">
        <f>_xlfn.LET(_xlpm.steps,SUBSTITUTE(Table1[[#This Row],[Input]],Table1[[#This Row],[Direction]],""),VALUE(IF(LEN(_xlpm.steps)&gt;2,RIGHT(_xlpm.steps,2),_xlpm.steps)))</f>
        <v>99</v>
      </c>
      <c r="D2382">
        <f>_xlfn.LET(_xlpm.dir,Table1[[#This Row],[Direction]],
IF(_xlpm.dir="L",
    IF(F2381-Table1[[#This Row],[Steps]]&lt;0,100+(F2381-Table1[[#This Row],[Steps]]),F2381-Table1[[#This Row],[Steps]]),
))</f>
        <v>17</v>
      </c>
      <c r="E2382">
        <f>_xlfn.LET(_xlpm.dir,Table1[[#This Row],[Direction]],
IF(_xlpm.dir="R",
    IF(F2381+Table1[[#This Row],[Steps]]&gt;99,(F2381+Table1[[#This Row],[Steps]])-100,F2381+Table1[[#This Row],[Steps]]),
))</f>
        <v>0</v>
      </c>
      <c r="F2382">
        <f>IF(Table1[[#This Row],[New Pos L]]&lt;&gt;0,Table1[[#This Row],[New Pos L]],Table1[[#This Row],[New Pos R]])</f>
        <v>17</v>
      </c>
    </row>
    <row r="2383" spans="1:6" ht="16" x14ac:dyDescent="0.2">
      <c r="A2383" s="1" t="s">
        <v>462</v>
      </c>
      <c r="B2383" t="str">
        <f>LEFT(Table1[[#This Row],[Input]],1)</f>
        <v>L</v>
      </c>
      <c r="C2383">
        <f>_xlfn.LET(_xlpm.steps,SUBSTITUTE(Table1[[#This Row],[Input]],Table1[[#This Row],[Direction]],""),VALUE(IF(LEN(_xlpm.steps)&gt;2,RIGHT(_xlpm.steps,2),_xlpm.steps)))</f>
        <v>17</v>
      </c>
      <c r="D2383">
        <f>_xlfn.LET(_xlpm.dir,Table1[[#This Row],[Direction]],
IF(_xlpm.dir="L",
    IF(F2382-Table1[[#This Row],[Steps]]&lt;0,100+(F2382-Table1[[#This Row],[Steps]]),F2382-Table1[[#This Row],[Steps]]),
))</f>
        <v>0</v>
      </c>
      <c r="E2383">
        <f>_xlfn.LET(_xlpm.dir,Table1[[#This Row],[Direction]],
IF(_xlpm.dir="R",
    IF(F2382+Table1[[#This Row],[Steps]]&gt;99,(F2382+Table1[[#This Row],[Steps]])-100,F2382+Table1[[#This Row],[Steps]]),
))</f>
        <v>0</v>
      </c>
      <c r="F2383">
        <f>IF(Table1[[#This Row],[New Pos L]]&lt;&gt;0,Table1[[#This Row],[New Pos L]],Table1[[#This Row],[New Pos R]])</f>
        <v>0</v>
      </c>
    </row>
    <row r="2384" spans="1:6" ht="16" x14ac:dyDescent="0.2">
      <c r="A2384" s="1" t="s">
        <v>602</v>
      </c>
      <c r="B2384" t="str">
        <f>LEFT(Table1[[#This Row],[Input]],1)</f>
        <v>R</v>
      </c>
      <c r="C2384">
        <f>_xlfn.LET(_xlpm.steps,SUBSTITUTE(Table1[[#This Row],[Input]],Table1[[#This Row],[Direction]],""),VALUE(IF(LEN(_xlpm.steps)&gt;2,RIGHT(_xlpm.steps,2),_xlpm.steps)))</f>
        <v>56</v>
      </c>
      <c r="D2384">
        <f>_xlfn.LET(_xlpm.dir,Table1[[#This Row],[Direction]],
IF(_xlpm.dir="L",
    IF(F2383-Table1[[#This Row],[Steps]]&lt;0,100+(F2383-Table1[[#This Row],[Steps]]),F2383-Table1[[#This Row],[Steps]]),
))</f>
        <v>0</v>
      </c>
      <c r="E2384">
        <f>_xlfn.LET(_xlpm.dir,Table1[[#This Row],[Direction]],
IF(_xlpm.dir="R",
    IF(F2383+Table1[[#This Row],[Steps]]&gt;99,(F2383+Table1[[#This Row],[Steps]])-100,F2383+Table1[[#This Row],[Steps]]),
))</f>
        <v>56</v>
      </c>
      <c r="F2384">
        <f>IF(Table1[[#This Row],[New Pos L]]&lt;&gt;0,Table1[[#This Row],[New Pos L]],Table1[[#This Row],[New Pos R]])</f>
        <v>56</v>
      </c>
    </row>
    <row r="2385" spans="1:6" ht="16" x14ac:dyDescent="0.2">
      <c r="A2385" s="1" t="s">
        <v>53</v>
      </c>
      <c r="B2385" t="str">
        <f>LEFT(Table1[[#This Row],[Input]],1)</f>
        <v>L</v>
      </c>
      <c r="C2385">
        <f>_xlfn.LET(_xlpm.steps,SUBSTITUTE(Table1[[#This Row],[Input]],Table1[[#This Row],[Direction]],""),VALUE(IF(LEN(_xlpm.steps)&gt;2,RIGHT(_xlpm.steps,2),_xlpm.steps)))</f>
        <v>56</v>
      </c>
      <c r="D2385">
        <f>_xlfn.LET(_xlpm.dir,Table1[[#This Row],[Direction]],
IF(_xlpm.dir="L",
    IF(F2384-Table1[[#This Row],[Steps]]&lt;0,100+(F2384-Table1[[#This Row],[Steps]]),F2384-Table1[[#This Row],[Steps]]),
))</f>
        <v>0</v>
      </c>
      <c r="E2385">
        <f>_xlfn.LET(_xlpm.dir,Table1[[#This Row],[Direction]],
IF(_xlpm.dir="R",
    IF(F2384+Table1[[#This Row],[Steps]]&gt;99,(F2384+Table1[[#This Row],[Steps]])-100,F2384+Table1[[#This Row],[Steps]]),
))</f>
        <v>0</v>
      </c>
      <c r="F2385">
        <f>IF(Table1[[#This Row],[New Pos L]]&lt;&gt;0,Table1[[#This Row],[New Pos L]],Table1[[#This Row],[New Pos R]])</f>
        <v>0</v>
      </c>
    </row>
    <row r="2386" spans="1:6" ht="16" x14ac:dyDescent="0.2">
      <c r="A2386" s="1" t="s">
        <v>55</v>
      </c>
      <c r="B2386" t="str">
        <f>LEFT(Table1[[#This Row],[Input]],1)</f>
        <v>L</v>
      </c>
      <c r="C2386">
        <f>_xlfn.LET(_xlpm.steps,SUBSTITUTE(Table1[[#This Row],[Input]],Table1[[#This Row],[Direction]],""),VALUE(IF(LEN(_xlpm.steps)&gt;2,RIGHT(_xlpm.steps,2),_xlpm.steps)))</f>
        <v>82</v>
      </c>
      <c r="D2386">
        <f>_xlfn.LET(_xlpm.dir,Table1[[#This Row],[Direction]],
IF(_xlpm.dir="L",
    IF(F2385-Table1[[#This Row],[Steps]]&lt;0,100+(F2385-Table1[[#This Row],[Steps]]),F2385-Table1[[#This Row],[Steps]]),
))</f>
        <v>18</v>
      </c>
      <c r="E2386">
        <f>_xlfn.LET(_xlpm.dir,Table1[[#This Row],[Direction]],
IF(_xlpm.dir="R",
    IF(F2385+Table1[[#This Row],[Steps]]&gt;99,(F2385+Table1[[#This Row],[Steps]])-100,F2385+Table1[[#This Row],[Steps]]),
))</f>
        <v>0</v>
      </c>
      <c r="F2386">
        <f>IF(Table1[[#This Row],[New Pos L]]&lt;&gt;0,Table1[[#This Row],[New Pos L]],Table1[[#This Row],[New Pos R]])</f>
        <v>18</v>
      </c>
    </row>
    <row r="2387" spans="1:6" ht="16" x14ac:dyDescent="0.2">
      <c r="A2387" s="1" t="s">
        <v>364</v>
      </c>
      <c r="B2387" t="str">
        <f>LEFT(Table1[[#This Row],[Input]],1)</f>
        <v>L</v>
      </c>
      <c r="C2387">
        <f>_xlfn.LET(_xlpm.steps,SUBSTITUTE(Table1[[#This Row],[Input]],Table1[[#This Row],[Direction]],""),VALUE(IF(LEN(_xlpm.steps)&gt;2,RIGHT(_xlpm.steps,2),_xlpm.steps)))</f>
        <v>70</v>
      </c>
      <c r="D2387">
        <f>_xlfn.LET(_xlpm.dir,Table1[[#This Row],[Direction]],
IF(_xlpm.dir="L",
    IF(F2386-Table1[[#This Row],[Steps]]&lt;0,100+(F2386-Table1[[#This Row],[Steps]]),F2386-Table1[[#This Row],[Steps]]),
))</f>
        <v>48</v>
      </c>
      <c r="E2387">
        <f>_xlfn.LET(_xlpm.dir,Table1[[#This Row],[Direction]],
IF(_xlpm.dir="R",
    IF(F2386+Table1[[#This Row],[Steps]]&gt;99,(F2386+Table1[[#This Row],[Steps]])-100,F2386+Table1[[#This Row],[Steps]]),
))</f>
        <v>0</v>
      </c>
      <c r="F2387">
        <f>IF(Table1[[#This Row],[New Pos L]]&lt;&gt;0,Table1[[#This Row],[New Pos L]],Table1[[#This Row],[New Pos R]])</f>
        <v>48</v>
      </c>
    </row>
    <row r="2388" spans="1:6" ht="16" x14ac:dyDescent="0.2">
      <c r="A2388" s="1" t="s">
        <v>603</v>
      </c>
      <c r="B2388" t="str">
        <f>LEFT(Table1[[#This Row],[Input]],1)</f>
        <v>L</v>
      </c>
      <c r="C2388">
        <f>_xlfn.LET(_xlpm.steps,SUBSTITUTE(Table1[[#This Row],[Input]],Table1[[#This Row],[Direction]],""),VALUE(IF(LEN(_xlpm.steps)&gt;2,RIGHT(_xlpm.steps,2),_xlpm.steps)))</f>
        <v>48</v>
      </c>
      <c r="D2388">
        <f>_xlfn.LET(_xlpm.dir,Table1[[#This Row],[Direction]],
IF(_xlpm.dir="L",
    IF(F2387-Table1[[#This Row],[Steps]]&lt;0,100+(F2387-Table1[[#This Row],[Steps]]),F2387-Table1[[#This Row],[Steps]]),
))</f>
        <v>0</v>
      </c>
      <c r="E2388">
        <f>_xlfn.LET(_xlpm.dir,Table1[[#This Row],[Direction]],
IF(_xlpm.dir="R",
    IF(F2387+Table1[[#This Row],[Steps]]&gt;99,(F2387+Table1[[#This Row],[Steps]])-100,F2387+Table1[[#This Row],[Steps]]),
))</f>
        <v>0</v>
      </c>
      <c r="F2388">
        <f>IF(Table1[[#This Row],[New Pos L]]&lt;&gt;0,Table1[[#This Row],[New Pos L]],Table1[[#This Row],[New Pos R]])</f>
        <v>0</v>
      </c>
    </row>
    <row r="2389" spans="1:6" ht="16" x14ac:dyDescent="0.2">
      <c r="A2389" s="1" t="s">
        <v>111</v>
      </c>
      <c r="B2389" t="str">
        <f>LEFT(Table1[[#This Row],[Input]],1)</f>
        <v>R</v>
      </c>
      <c r="C2389">
        <f>_xlfn.LET(_xlpm.steps,SUBSTITUTE(Table1[[#This Row],[Input]],Table1[[#This Row],[Direction]],""),VALUE(IF(LEN(_xlpm.steps)&gt;2,RIGHT(_xlpm.steps,2),_xlpm.steps)))</f>
        <v>64</v>
      </c>
      <c r="D2389">
        <f>_xlfn.LET(_xlpm.dir,Table1[[#This Row],[Direction]],
IF(_xlpm.dir="L",
    IF(F2388-Table1[[#This Row],[Steps]]&lt;0,100+(F2388-Table1[[#This Row],[Steps]]),F2388-Table1[[#This Row],[Steps]]),
))</f>
        <v>0</v>
      </c>
      <c r="E2389">
        <f>_xlfn.LET(_xlpm.dir,Table1[[#This Row],[Direction]],
IF(_xlpm.dir="R",
    IF(F2388+Table1[[#This Row],[Steps]]&gt;99,(F2388+Table1[[#This Row],[Steps]])-100,F2388+Table1[[#This Row],[Steps]]),
))</f>
        <v>64</v>
      </c>
      <c r="F2389">
        <f>IF(Table1[[#This Row],[New Pos L]]&lt;&gt;0,Table1[[#This Row],[New Pos L]],Table1[[#This Row],[New Pos R]])</f>
        <v>64</v>
      </c>
    </row>
    <row r="2390" spans="1:6" ht="16" x14ac:dyDescent="0.2">
      <c r="A2390" s="1" t="s">
        <v>407</v>
      </c>
      <c r="B2390" t="str">
        <f>LEFT(Table1[[#This Row],[Input]],1)</f>
        <v>R</v>
      </c>
      <c r="C2390">
        <f>_xlfn.LET(_xlpm.steps,SUBSTITUTE(Table1[[#This Row],[Input]],Table1[[#This Row],[Direction]],""),VALUE(IF(LEN(_xlpm.steps)&gt;2,RIGHT(_xlpm.steps,2),_xlpm.steps)))</f>
        <v>36</v>
      </c>
      <c r="D2390">
        <f>_xlfn.LET(_xlpm.dir,Table1[[#This Row],[Direction]],
IF(_xlpm.dir="L",
    IF(F2389-Table1[[#This Row],[Steps]]&lt;0,100+(F2389-Table1[[#This Row],[Steps]]),F2389-Table1[[#This Row],[Steps]]),
))</f>
        <v>0</v>
      </c>
      <c r="E2390">
        <f>_xlfn.LET(_xlpm.dir,Table1[[#This Row],[Direction]],
IF(_xlpm.dir="R",
    IF(F2389+Table1[[#This Row],[Steps]]&gt;99,(F2389+Table1[[#This Row],[Steps]])-100,F2389+Table1[[#This Row],[Steps]]),
))</f>
        <v>0</v>
      </c>
      <c r="F2390">
        <f>IF(Table1[[#This Row],[New Pos L]]&lt;&gt;0,Table1[[#This Row],[New Pos L]],Table1[[#This Row],[New Pos R]])</f>
        <v>0</v>
      </c>
    </row>
    <row r="2391" spans="1:6" ht="16" x14ac:dyDescent="0.2">
      <c r="A2391" s="1" t="s">
        <v>38</v>
      </c>
      <c r="B2391" t="str">
        <f>LEFT(Table1[[#This Row],[Input]],1)</f>
        <v>R</v>
      </c>
      <c r="C2391">
        <f>_xlfn.LET(_xlpm.steps,SUBSTITUTE(Table1[[#This Row],[Input]],Table1[[#This Row],[Direction]],""),VALUE(IF(LEN(_xlpm.steps)&gt;2,RIGHT(_xlpm.steps,2),_xlpm.steps)))</f>
        <v>15</v>
      </c>
      <c r="D2391">
        <f>_xlfn.LET(_xlpm.dir,Table1[[#This Row],[Direction]],
IF(_xlpm.dir="L",
    IF(F2390-Table1[[#This Row],[Steps]]&lt;0,100+(F2390-Table1[[#This Row],[Steps]]),F2390-Table1[[#This Row],[Steps]]),
))</f>
        <v>0</v>
      </c>
      <c r="E2391">
        <f>_xlfn.LET(_xlpm.dir,Table1[[#This Row],[Direction]],
IF(_xlpm.dir="R",
    IF(F2390+Table1[[#This Row],[Steps]]&gt;99,(F2390+Table1[[#This Row],[Steps]])-100,F2390+Table1[[#This Row],[Steps]]),
))</f>
        <v>15</v>
      </c>
      <c r="F2391">
        <f>IF(Table1[[#This Row],[New Pos L]]&lt;&gt;0,Table1[[#This Row],[New Pos L]],Table1[[#This Row],[New Pos R]])</f>
        <v>15</v>
      </c>
    </row>
    <row r="2392" spans="1:6" ht="16" x14ac:dyDescent="0.2">
      <c r="A2392" s="1" t="s">
        <v>125</v>
      </c>
      <c r="B2392" t="str">
        <f>LEFT(Table1[[#This Row],[Input]],1)</f>
        <v>L</v>
      </c>
      <c r="C2392">
        <f>_xlfn.LET(_xlpm.steps,SUBSTITUTE(Table1[[#This Row],[Input]],Table1[[#This Row],[Direction]],""),VALUE(IF(LEN(_xlpm.steps)&gt;2,RIGHT(_xlpm.steps,2),_xlpm.steps)))</f>
        <v>76</v>
      </c>
      <c r="D2392">
        <f>_xlfn.LET(_xlpm.dir,Table1[[#This Row],[Direction]],
IF(_xlpm.dir="L",
    IF(F2391-Table1[[#This Row],[Steps]]&lt;0,100+(F2391-Table1[[#This Row],[Steps]]),F2391-Table1[[#This Row],[Steps]]),
))</f>
        <v>39</v>
      </c>
      <c r="E2392">
        <f>_xlfn.LET(_xlpm.dir,Table1[[#This Row],[Direction]],
IF(_xlpm.dir="R",
    IF(F2391+Table1[[#This Row],[Steps]]&gt;99,(F2391+Table1[[#This Row],[Steps]])-100,F2391+Table1[[#This Row],[Steps]]),
))</f>
        <v>0</v>
      </c>
      <c r="F2392">
        <f>IF(Table1[[#This Row],[New Pos L]]&lt;&gt;0,Table1[[#This Row],[New Pos L]],Table1[[#This Row],[New Pos R]])</f>
        <v>39</v>
      </c>
    </row>
    <row r="2393" spans="1:6" ht="16" x14ac:dyDescent="0.2">
      <c r="A2393" s="1" t="s">
        <v>210</v>
      </c>
      <c r="B2393" t="str">
        <f>LEFT(Table1[[#This Row],[Input]],1)</f>
        <v>R</v>
      </c>
      <c r="C2393">
        <f>_xlfn.LET(_xlpm.steps,SUBSTITUTE(Table1[[#This Row],[Input]],Table1[[#This Row],[Direction]],""),VALUE(IF(LEN(_xlpm.steps)&gt;2,RIGHT(_xlpm.steps,2),_xlpm.steps)))</f>
        <v>89</v>
      </c>
      <c r="D2393">
        <f>_xlfn.LET(_xlpm.dir,Table1[[#This Row],[Direction]],
IF(_xlpm.dir="L",
    IF(F2392-Table1[[#This Row],[Steps]]&lt;0,100+(F2392-Table1[[#This Row],[Steps]]),F2392-Table1[[#This Row],[Steps]]),
))</f>
        <v>0</v>
      </c>
      <c r="E2393">
        <f>_xlfn.LET(_xlpm.dir,Table1[[#This Row],[Direction]],
IF(_xlpm.dir="R",
    IF(F2392+Table1[[#This Row],[Steps]]&gt;99,(F2392+Table1[[#This Row],[Steps]])-100,F2392+Table1[[#This Row],[Steps]]),
))</f>
        <v>28</v>
      </c>
      <c r="F2393">
        <f>IF(Table1[[#This Row],[New Pos L]]&lt;&gt;0,Table1[[#This Row],[New Pos L]],Table1[[#This Row],[New Pos R]])</f>
        <v>28</v>
      </c>
    </row>
    <row r="2394" spans="1:6" ht="16" x14ac:dyDescent="0.2">
      <c r="A2394" s="1" t="s">
        <v>102</v>
      </c>
      <c r="B2394" t="str">
        <f>LEFT(Table1[[#This Row],[Input]],1)</f>
        <v>R</v>
      </c>
      <c r="C2394">
        <f>_xlfn.LET(_xlpm.steps,SUBSTITUTE(Table1[[#This Row],[Input]],Table1[[#This Row],[Direction]],""),VALUE(IF(LEN(_xlpm.steps)&gt;2,RIGHT(_xlpm.steps,2),_xlpm.steps)))</f>
        <v>39</v>
      </c>
      <c r="D2394">
        <f>_xlfn.LET(_xlpm.dir,Table1[[#This Row],[Direction]],
IF(_xlpm.dir="L",
    IF(F2393-Table1[[#This Row],[Steps]]&lt;0,100+(F2393-Table1[[#This Row],[Steps]]),F2393-Table1[[#This Row],[Steps]]),
))</f>
        <v>0</v>
      </c>
      <c r="E2394">
        <f>_xlfn.LET(_xlpm.dir,Table1[[#This Row],[Direction]],
IF(_xlpm.dir="R",
    IF(F2393+Table1[[#This Row],[Steps]]&gt;99,(F2393+Table1[[#This Row],[Steps]])-100,F2393+Table1[[#This Row],[Steps]]),
))</f>
        <v>67</v>
      </c>
      <c r="F2394">
        <f>IF(Table1[[#This Row],[New Pos L]]&lt;&gt;0,Table1[[#This Row],[New Pos L]],Table1[[#This Row],[New Pos R]])</f>
        <v>67</v>
      </c>
    </row>
    <row r="2395" spans="1:6" ht="16" x14ac:dyDescent="0.2">
      <c r="A2395" s="1" t="s">
        <v>244</v>
      </c>
      <c r="B2395" t="str">
        <f>LEFT(Table1[[#This Row],[Input]],1)</f>
        <v>L</v>
      </c>
      <c r="C2395">
        <f>_xlfn.LET(_xlpm.steps,SUBSTITUTE(Table1[[#This Row],[Input]],Table1[[#This Row],[Direction]],""),VALUE(IF(LEN(_xlpm.steps)&gt;2,RIGHT(_xlpm.steps,2),_xlpm.steps)))</f>
        <v>98</v>
      </c>
      <c r="D2395">
        <f>_xlfn.LET(_xlpm.dir,Table1[[#This Row],[Direction]],
IF(_xlpm.dir="L",
    IF(F2394-Table1[[#This Row],[Steps]]&lt;0,100+(F2394-Table1[[#This Row],[Steps]]),F2394-Table1[[#This Row],[Steps]]),
))</f>
        <v>69</v>
      </c>
      <c r="E2395">
        <f>_xlfn.LET(_xlpm.dir,Table1[[#This Row],[Direction]],
IF(_xlpm.dir="R",
    IF(F2394+Table1[[#This Row],[Steps]]&gt;99,(F2394+Table1[[#This Row],[Steps]])-100,F2394+Table1[[#This Row],[Steps]]),
))</f>
        <v>0</v>
      </c>
      <c r="F2395">
        <f>IF(Table1[[#This Row],[New Pos L]]&lt;&gt;0,Table1[[#This Row],[New Pos L]],Table1[[#This Row],[New Pos R]])</f>
        <v>69</v>
      </c>
    </row>
    <row r="2396" spans="1:6" ht="16" x14ac:dyDescent="0.2">
      <c r="A2396" s="1" t="s">
        <v>119</v>
      </c>
      <c r="B2396" t="str">
        <f>LEFT(Table1[[#This Row],[Input]],1)</f>
        <v>L</v>
      </c>
      <c r="C2396">
        <f>_xlfn.LET(_xlpm.steps,SUBSTITUTE(Table1[[#This Row],[Input]],Table1[[#This Row],[Direction]],""),VALUE(IF(LEN(_xlpm.steps)&gt;2,RIGHT(_xlpm.steps,2),_xlpm.steps)))</f>
        <v>77</v>
      </c>
      <c r="D2396">
        <f>_xlfn.LET(_xlpm.dir,Table1[[#This Row],[Direction]],
IF(_xlpm.dir="L",
    IF(F2395-Table1[[#This Row],[Steps]]&lt;0,100+(F2395-Table1[[#This Row],[Steps]]),F2395-Table1[[#This Row],[Steps]]),
))</f>
        <v>92</v>
      </c>
      <c r="E2396">
        <f>_xlfn.LET(_xlpm.dir,Table1[[#This Row],[Direction]],
IF(_xlpm.dir="R",
    IF(F2395+Table1[[#This Row],[Steps]]&gt;99,(F2395+Table1[[#This Row],[Steps]])-100,F2395+Table1[[#This Row],[Steps]]),
))</f>
        <v>0</v>
      </c>
      <c r="F2396">
        <f>IF(Table1[[#This Row],[New Pos L]]&lt;&gt;0,Table1[[#This Row],[New Pos L]],Table1[[#This Row],[New Pos R]])</f>
        <v>92</v>
      </c>
    </row>
    <row r="2397" spans="1:6" ht="16" x14ac:dyDescent="0.2">
      <c r="A2397" s="1" t="s">
        <v>405</v>
      </c>
      <c r="B2397" t="str">
        <f>LEFT(Table1[[#This Row],[Input]],1)</f>
        <v>L</v>
      </c>
      <c r="C2397">
        <f>_xlfn.LET(_xlpm.steps,SUBSTITUTE(Table1[[#This Row],[Input]],Table1[[#This Row],[Direction]],""),VALUE(IF(LEN(_xlpm.steps)&gt;2,RIGHT(_xlpm.steps,2),_xlpm.steps)))</f>
        <v>32</v>
      </c>
      <c r="D2397">
        <f>_xlfn.LET(_xlpm.dir,Table1[[#This Row],[Direction]],
IF(_xlpm.dir="L",
    IF(F2396-Table1[[#This Row],[Steps]]&lt;0,100+(F2396-Table1[[#This Row],[Steps]]),F2396-Table1[[#This Row],[Steps]]),
))</f>
        <v>60</v>
      </c>
      <c r="E2397">
        <f>_xlfn.LET(_xlpm.dir,Table1[[#This Row],[Direction]],
IF(_xlpm.dir="R",
    IF(F2396+Table1[[#This Row],[Steps]]&gt;99,(F2396+Table1[[#This Row],[Steps]])-100,F2396+Table1[[#This Row],[Steps]]),
))</f>
        <v>0</v>
      </c>
      <c r="F2397">
        <f>IF(Table1[[#This Row],[New Pos L]]&lt;&gt;0,Table1[[#This Row],[New Pos L]],Table1[[#This Row],[New Pos R]])</f>
        <v>60</v>
      </c>
    </row>
    <row r="2398" spans="1:6" ht="16" x14ac:dyDescent="0.2">
      <c r="A2398" s="1" t="s">
        <v>575</v>
      </c>
      <c r="B2398" t="str">
        <f>LEFT(Table1[[#This Row],[Input]],1)</f>
        <v>R</v>
      </c>
      <c r="C2398">
        <f>_xlfn.LET(_xlpm.steps,SUBSTITUTE(Table1[[#This Row],[Input]],Table1[[#This Row],[Direction]],""),VALUE(IF(LEN(_xlpm.steps)&gt;2,RIGHT(_xlpm.steps,2),_xlpm.steps)))</f>
        <v>40</v>
      </c>
      <c r="D2398">
        <f>_xlfn.LET(_xlpm.dir,Table1[[#This Row],[Direction]],
IF(_xlpm.dir="L",
    IF(F2397-Table1[[#This Row],[Steps]]&lt;0,100+(F2397-Table1[[#This Row],[Steps]]),F2397-Table1[[#This Row],[Steps]]),
))</f>
        <v>0</v>
      </c>
      <c r="E2398">
        <f>_xlfn.LET(_xlpm.dir,Table1[[#This Row],[Direction]],
IF(_xlpm.dir="R",
    IF(F2397+Table1[[#This Row],[Steps]]&gt;99,(F2397+Table1[[#This Row],[Steps]])-100,F2397+Table1[[#This Row],[Steps]]),
))</f>
        <v>0</v>
      </c>
      <c r="F2398">
        <f>IF(Table1[[#This Row],[New Pos L]]&lt;&gt;0,Table1[[#This Row],[New Pos L]],Table1[[#This Row],[New Pos R]])</f>
        <v>0</v>
      </c>
    </row>
    <row r="2399" spans="1:6" ht="16" x14ac:dyDescent="0.2">
      <c r="A2399" s="1" t="s">
        <v>241</v>
      </c>
      <c r="B2399" t="str">
        <f>LEFT(Table1[[#This Row],[Input]],1)</f>
        <v>R</v>
      </c>
      <c r="C2399">
        <f>_xlfn.LET(_xlpm.steps,SUBSTITUTE(Table1[[#This Row],[Input]],Table1[[#This Row],[Direction]],""),VALUE(IF(LEN(_xlpm.steps)&gt;2,RIGHT(_xlpm.steps,2),_xlpm.steps)))</f>
        <v>60</v>
      </c>
      <c r="D2399">
        <f>_xlfn.LET(_xlpm.dir,Table1[[#This Row],[Direction]],
IF(_xlpm.dir="L",
    IF(F2398-Table1[[#This Row],[Steps]]&lt;0,100+(F2398-Table1[[#This Row],[Steps]]),F2398-Table1[[#This Row],[Steps]]),
))</f>
        <v>0</v>
      </c>
      <c r="E2399">
        <f>_xlfn.LET(_xlpm.dir,Table1[[#This Row],[Direction]],
IF(_xlpm.dir="R",
    IF(F2398+Table1[[#This Row],[Steps]]&gt;99,(F2398+Table1[[#This Row],[Steps]])-100,F2398+Table1[[#This Row],[Steps]]),
))</f>
        <v>60</v>
      </c>
      <c r="F2399">
        <f>IF(Table1[[#This Row],[New Pos L]]&lt;&gt;0,Table1[[#This Row],[New Pos L]],Table1[[#This Row],[New Pos R]])</f>
        <v>60</v>
      </c>
    </row>
    <row r="2400" spans="1:6" ht="16" x14ac:dyDescent="0.2">
      <c r="A2400" s="1" t="s">
        <v>14</v>
      </c>
      <c r="B2400" t="str">
        <f>LEFT(Table1[[#This Row],[Input]],1)</f>
        <v>L</v>
      </c>
      <c r="C2400">
        <f>_xlfn.LET(_xlpm.steps,SUBSTITUTE(Table1[[#This Row],[Input]],Table1[[#This Row],[Direction]],""),VALUE(IF(LEN(_xlpm.steps)&gt;2,RIGHT(_xlpm.steps,2),_xlpm.steps)))</f>
        <v>43</v>
      </c>
      <c r="D2400">
        <f>_xlfn.LET(_xlpm.dir,Table1[[#This Row],[Direction]],
IF(_xlpm.dir="L",
    IF(F2399-Table1[[#This Row],[Steps]]&lt;0,100+(F2399-Table1[[#This Row],[Steps]]),F2399-Table1[[#This Row],[Steps]]),
))</f>
        <v>17</v>
      </c>
      <c r="E2400">
        <f>_xlfn.LET(_xlpm.dir,Table1[[#This Row],[Direction]],
IF(_xlpm.dir="R",
    IF(F2399+Table1[[#This Row],[Steps]]&gt;99,(F2399+Table1[[#This Row],[Steps]])-100,F2399+Table1[[#This Row],[Steps]]),
))</f>
        <v>0</v>
      </c>
      <c r="F2400">
        <f>IF(Table1[[#This Row],[New Pos L]]&lt;&gt;0,Table1[[#This Row],[New Pos L]],Table1[[#This Row],[New Pos R]])</f>
        <v>17</v>
      </c>
    </row>
    <row r="2401" spans="1:6" ht="16" x14ac:dyDescent="0.2">
      <c r="A2401" s="1" t="s">
        <v>205</v>
      </c>
      <c r="B2401" t="str">
        <f>LEFT(Table1[[#This Row],[Input]],1)</f>
        <v>R</v>
      </c>
      <c r="C2401">
        <f>_xlfn.LET(_xlpm.steps,SUBSTITUTE(Table1[[#This Row],[Input]],Table1[[#This Row],[Direction]],""),VALUE(IF(LEN(_xlpm.steps)&gt;2,RIGHT(_xlpm.steps,2),_xlpm.steps)))</f>
        <v>83</v>
      </c>
      <c r="D2401">
        <f>_xlfn.LET(_xlpm.dir,Table1[[#This Row],[Direction]],
IF(_xlpm.dir="L",
    IF(F2400-Table1[[#This Row],[Steps]]&lt;0,100+(F2400-Table1[[#This Row],[Steps]]),F2400-Table1[[#This Row],[Steps]]),
))</f>
        <v>0</v>
      </c>
      <c r="E2401">
        <f>_xlfn.LET(_xlpm.dir,Table1[[#This Row],[Direction]],
IF(_xlpm.dir="R",
    IF(F2400+Table1[[#This Row],[Steps]]&gt;99,(F2400+Table1[[#This Row],[Steps]])-100,F2400+Table1[[#This Row],[Steps]]),
))</f>
        <v>0</v>
      </c>
      <c r="F2401">
        <f>IF(Table1[[#This Row],[New Pos L]]&lt;&gt;0,Table1[[#This Row],[New Pos L]],Table1[[#This Row],[New Pos R]])</f>
        <v>0</v>
      </c>
    </row>
    <row r="2402" spans="1:6" ht="16" x14ac:dyDescent="0.2">
      <c r="A2402" s="1" t="s">
        <v>29</v>
      </c>
      <c r="B2402" t="str">
        <f>LEFT(Table1[[#This Row],[Input]],1)</f>
        <v>L</v>
      </c>
      <c r="C2402">
        <f>_xlfn.LET(_xlpm.steps,SUBSTITUTE(Table1[[#This Row],[Input]],Table1[[#This Row],[Direction]],""),VALUE(IF(LEN(_xlpm.steps)&gt;2,RIGHT(_xlpm.steps,2),_xlpm.steps)))</f>
        <v>33</v>
      </c>
      <c r="D2402">
        <f>_xlfn.LET(_xlpm.dir,Table1[[#This Row],[Direction]],
IF(_xlpm.dir="L",
    IF(F2401-Table1[[#This Row],[Steps]]&lt;0,100+(F2401-Table1[[#This Row],[Steps]]),F2401-Table1[[#This Row],[Steps]]),
))</f>
        <v>67</v>
      </c>
      <c r="E2402">
        <f>_xlfn.LET(_xlpm.dir,Table1[[#This Row],[Direction]],
IF(_xlpm.dir="R",
    IF(F2401+Table1[[#This Row],[Steps]]&gt;99,(F2401+Table1[[#This Row],[Steps]])-100,F2401+Table1[[#This Row],[Steps]]),
))</f>
        <v>0</v>
      </c>
      <c r="F2402">
        <f>IF(Table1[[#This Row],[New Pos L]]&lt;&gt;0,Table1[[#This Row],[New Pos L]],Table1[[#This Row],[New Pos R]])</f>
        <v>67</v>
      </c>
    </row>
    <row r="2403" spans="1:6" ht="16" x14ac:dyDescent="0.2">
      <c r="A2403" s="1" t="s">
        <v>35</v>
      </c>
      <c r="B2403" t="str">
        <f>LEFT(Table1[[#This Row],[Input]],1)</f>
        <v>L</v>
      </c>
      <c r="C2403">
        <f>_xlfn.LET(_xlpm.steps,SUBSTITUTE(Table1[[#This Row],[Input]],Table1[[#This Row],[Direction]],""),VALUE(IF(LEN(_xlpm.steps)&gt;2,RIGHT(_xlpm.steps,2),_xlpm.steps)))</f>
        <v>2</v>
      </c>
      <c r="D2403">
        <f>_xlfn.LET(_xlpm.dir,Table1[[#This Row],[Direction]],
IF(_xlpm.dir="L",
    IF(F2402-Table1[[#This Row],[Steps]]&lt;0,100+(F2402-Table1[[#This Row],[Steps]]),F2402-Table1[[#This Row],[Steps]]),
))</f>
        <v>65</v>
      </c>
      <c r="E2403">
        <f>_xlfn.LET(_xlpm.dir,Table1[[#This Row],[Direction]],
IF(_xlpm.dir="R",
    IF(F2402+Table1[[#This Row],[Steps]]&gt;99,(F2402+Table1[[#This Row],[Steps]])-100,F2402+Table1[[#This Row],[Steps]]),
))</f>
        <v>0</v>
      </c>
      <c r="F2403">
        <f>IF(Table1[[#This Row],[New Pos L]]&lt;&gt;0,Table1[[#This Row],[New Pos L]],Table1[[#This Row],[New Pos R]])</f>
        <v>65</v>
      </c>
    </row>
    <row r="2404" spans="1:6" ht="16" x14ac:dyDescent="0.2">
      <c r="A2404" s="1" t="s">
        <v>98</v>
      </c>
      <c r="B2404" t="str">
        <f>LEFT(Table1[[#This Row],[Input]],1)</f>
        <v>L</v>
      </c>
      <c r="C2404">
        <f>_xlfn.LET(_xlpm.steps,SUBSTITUTE(Table1[[#This Row],[Input]],Table1[[#This Row],[Direction]],""),VALUE(IF(LEN(_xlpm.steps)&gt;2,RIGHT(_xlpm.steps,2),_xlpm.steps)))</f>
        <v>65</v>
      </c>
      <c r="D2404">
        <f>_xlfn.LET(_xlpm.dir,Table1[[#This Row],[Direction]],
IF(_xlpm.dir="L",
    IF(F2403-Table1[[#This Row],[Steps]]&lt;0,100+(F2403-Table1[[#This Row],[Steps]]),F2403-Table1[[#This Row],[Steps]]),
))</f>
        <v>0</v>
      </c>
      <c r="E2404">
        <f>_xlfn.LET(_xlpm.dir,Table1[[#This Row],[Direction]],
IF(_xlpm.dir="R",
    IF(F2403+Table1[[#This Row],[Steps]]&gt;99,(F2403+Table1[[#This Row],[Steps]])-100,F2403+Table1[[#This Row],[Steps]]),
))</f>
        <v>0</v>
      </c>
      <c r="F2404">
        <f>IF(Table1[[#This Row],[New Pos L]]&lt;&gt;0,Table1[[#This Row],[New Pos L]],Table1[[#This Row],[New Pos R]])</f>
        <v>0</v>
      </c>
    </row>
    <row r="2405" spans="1:6" ht="16" x14ac:dyDescent="0.2">
      <c r="A2405" s="1" t="s">
        <v>253</v>
      </c>
      <c r="B2405" t="str">
        <f>LEFT(Table1[[#This Row],[Input]],1)</f>
        <v>R</v>
      </c>
      <c r="C2405">
        <f>_xlfn.LET(_xlpm.steps,SUBSTITUTE(Table1[[#This Row],[Input]],Table1[[#This Row],[Direction]],""),VALUE(IF(LEN(_xlpm.steps)&gt;2,RIGHT(_xlpm.steps,2),_xlpm.steps)))</f>
        <v>94</v>
      </c>
      <c r="D2405">
        <f>_xlfn.LET(_xlpm.dir,Table1[[#This Row],[Direction]],
IF(_xlpm.dir="L",
    IF(F2404-Table1[[#This Row],[Steps]]&lt;0,100+(F2404-Table1[[#This Row],[Steps]]),F2404-Table1[[#This Row],[Steps]]),
))</f>
        <v>0</v>
      </c>
      <c r="E2405">
        <f>_xlfn.LET(_xlpm.dir,Table1[[#This Row],[Direction]],
IF(_xlpm.dir="R",
    IF(F2404+Table1[[#This Row],[Steps]]&gt;99,(F2404+Table1[[#This Row],[Steps]])-100,F2404+Table1[[#This Row],[Steps]]),
))</f>
        <v>94</v>
      </c>
      <c r="F2405">
        <f>IF(Table1[[#This Row],[New Pos L]]&lt;&gt;0,Table1[[#This Row],[New Pos L]],Table1[[#This Row],[New Pos R]])</f>
        <v>94</v>
      </c>
    </row>
    <row r="2406" spans="1:6" ht="16" x14ac:dyDescent="0.2">
      <c r="A2406" s="1" t="s">
        <v>135</v>
      </c>
      <c r="B2406" t="str">
        <f>LEFT(Table1[[#This Row],[Input]],1)</f>
        <v>R</v>
      </c>
      <c r="C2406">
        <f>_xlfn.LET(_xlpm.steps,SUBSTITUTE(Table1[[#This Row],[Input]],Table1[[#This Row],[Direction]],""),VALUE(IF(LEN(_xlpm.steps)&gt;2,RIGHT(_xlpm.steps,2),_xlpm.steps)))</f>
        <v>69</v>
      </c>
      <c r="D2406">
        <f>_xlfn.LET(_xlpm.dir,Table1[[#This Row],[Direction]],
IF(_xlpm.dir="L",
    IF(F2405-Table1[[#This Row],[Steps]]&lt;0,100+(F2405-Table1[[#This Row],[Steps]]),F2405-Table1[[#This Row],[Steps]]),
))</f>
        <v>0</v>
      </c>
      <c r="E2406">
        <f>_xlfn.LET(_xlpm.dir,Table1[[#This Row],[Direction]],
IF(_xlpm.dir="R",
    IF(F2405+Table1[[#This Row],[Steps]]&gt;99,(F2405+Table1[[#This Row],[Steps]])-100,F2405+Table1[[#This Row],[Steps]]),
))</f>
        <v>63</v>
      </c>
      <c r="F2406">
        <f>IF(Table1[[#This Row],[New Pos L]]&lt;&gt;0,Table1[[#This Row],[New Pos L]],Table1[[#This Row],[New Pos R]])</f>
        <v>63</v>
      </c>
    </row>
    <row r="2407" spans="1:6" ht="16" x14ac:dyDescent="0.2">
      <c r="A2407" s="1" t="s">
        <v>30</v>
      </c>
      <c r="B2407" t="str">
        <f>LEFT(Table1[[#This Row],[Input]],1)</f>
        <v>R</v>
      </c>
      <c r="C2407">
        <f>_xlfn.LET(_xlpm.steps,SUBSTITUTE(Table1[[#This Row],[Input]],Table1[[#This Row],[Direction]],""),VALUE(IF(LEN(_xlpm.steps)&gt;2,RIGHT(_xlpm.steps,2),_xlpm.steps)))</f>
        <v>48</v>
      </c>
      <c r="D2407">
        <f>_xlfn.LET(_xlpm.dir,Table1[[#This Row],[Direction]],
IF(_xlpm.dir="L",
    IF(F2406-Table1[[#This Row],[Steps]]&lt;0,100+(F2406-Table1[[#This Row],[Steps]]),F2406-Table1[[#This Row],[Steps]]),
))</f>
        <v>0</v>
      </c>
      <c r="E2407">
        <f>_xlfn.LET(_xlpm.dir,Table1[[#This Row],[Direction]],
IF(_xlpm.dir="R",
    IF(F2406+Table1[[#This Row],[Steps]]&gt;99,(F2406+Table1[[#This Row],[Steps]])-100,F2406+Table1[[#This Row],[Steps]]),
))</f>
        <v>11</v>
      </c>
      <c r="F2407">
        <f>IF(Table1[[#This Row],[New Pos L]]&lt;&gt;0,Table1[[#This Row],[New Pos L]],Table1[[#This Row],[New Pos R]])</f>
        <v>11</v>
      </c>
    </row>
    <row r="2408" spans="1:6" ht="16" x14ac:dyDescent="0.2">
      <c r="A2408" s="1" t="s">
        <v>272</v>
      </c>
      <c r="B2408" t="str">
        <f>LEFT(Table1[[#This Row],[Input]],1)</f>
        <v>R</v>
      </c>
      <c r="C2408">
        <f>_xlfn.LET(_xlpm.steps,SUBSTITUTE(Table1[[#This Row],[Input]],Table1[[#This Row],[Direction]],""),VALUE(IF(LEN(_xlpm.steps)&gt;2,RIGHT(_xlpm.steps,2),_xlpm.steps)))</f>
        <v>56</v>
      </c>
      <c r="D2408">
        <f>_xlfn.LET(_xlpm.dir,Table1[[#This Row],[Direction]],
IF(_xlpm.dir="L",
    IF(F2407-Table1[[#This Row],[Steps]]&lt;0,100+(F2407-Table1[[#This Row],[Steps]]),F2407-Table1[[#This Row],[Steps]]),
))</f>
        <v>0</v>
      </c>
      <c r="E2408">
        <f>_xlfn.LET(_xlpm.dir,Table1[[#This Row],[Direction]],
IF(_xlpm.dir="R",
    IF(F2407+Table1[[#This Row],[Steps]]&gt;99,(F2407+Table1[[#This Row],[Steps]])-100,F2407+Table1[[#This Row],[Steps]]),
))</f>
        <v>67</v>
      </c>
      <c r="F2408">
        <f>IF(Table1[[#This Row],[New Pos L]]&lt;&gt;0,Table1[[#This Row],[New Pos L]],Table1[[#This Row],[New Pos R]])</f>
        <v>67</v>
      </c>
    </row>
    <row r="2409" spans="1:6" ht="16" x14ac:dyDescent="0.2">
      <c r="A2409" s="1" t="s">
        <v>183</v>
      </c>
      <c r="B2409" t="str">
        <f>LEFT(Table1[[#This Row],[Input]],1)</f>
        <v>L</v>
      </c>
      <c r="C2409">
        <f>_xlfn.LET(_xlpm.steps,SUBSTITUTE(Table1[[#This Row],[Input]],Table1[[#This Row],[Direction]],""),VALUE(IF(LEN(_xlpm.steps)&gt;2,RIGHT(_xlpm.steps,2),_xlpm.steps)))</f>
        <v>67</v>
      </c>
      <c r="D2409">
        <f>_xlfn.LET(_xlpm.dir,Table1[[#This Row],[Direction]],
IF(_xlpm.dir="L",
    IF(F2408-Table1[[#This Row],[Steps]]&lt;0,100+(F2408-Table1[[#This Row],[Steps]]),F2408-Table1[[#This Row],[Steps]]),
))</f>
        <v>0</v>
      </c>
      <c r="E2409">
        <f>_xlfn.LET(_xlpm.dir,Table1[[#This Row],[Direction]],
IF(_xlpm.dir="R",
    IF(F2408+Table1[[#This Row],[Steps]]&gt;99,(F2408+Table1[[#This Row],[Steps]])-100,F2408+Table1[[#This Row],[Steps]]),
))</f>
        <v>0</v>
      </c>
      <c r="F2409">
        <f>IF(Table1[[#This Row],[New Pos L]]&lt;&gt;0,Table1[[#This Row],[New Pos L]],Table1[[#This Row],[New Pos R]])</f>
        <v>0</v>
      </c>
    </row>
    <row r="2410" spans="1:6" ht="16" x14ac:dyDescent="0.2">
      <c r="A2410" s="1" t="s">
        <v>140</v>
      </c>
      <c r="B2410" t="str">
        <f>LEFT(Table1[[#This Row],[Input]],1)</f>
        <v>L</v>
      </c>
      <c r="C2410">
        <f>_xlfn.LET(_xlpm.steps,SUBSTITUTE(Table1[[#This Row],[Input]],Table1[[#This Row],[Direction]],""),VALUE(IF(LEN(_xlpm.steps)&gt;2,RIGHT(_xlpm.steps,2),_xlpm.steps)))</f>
        <v>61</v>
      </c>
      <c r="D2410">
        <f>_xlfn.LET(_xlpm.dir,Table1[[#This Row],[Direction]],
IF(_xlpm.dir="L",
    IF(F2409-Table1[[#This Row],[Steps]]&lt;0,100+(F2409-Table1[[#This Row],[Steps]]),F2409-Table1[[#This Row],[Steps]]),
))</f>
        <v>39</v>
      </c>
      <c r="E2410">
        <f>_xlfn.LET(_xlpm.dir,Table1[[#This Row],[Direction]],
IF(_xlpm.dir="R",
    IF(F2409+Table1[[#This Row],[Steps]]&gt;99,(F2409+Table1[[#This Row],[Steps]])-100,F2409+Table1[[#This Row],[Steps]]),
))</f>
        <v>0</v>
      </c>
      <c r="F2410">
        <f>IF(Table1[[#This Row],[New Pos L]]&lt;&gt;0,Table1[[#This Row],[New Pos L]],Table1[[#This Row],[New Pos R]])</f>
        <v>39</v>
      </c>
    </row>
    <row r="2411" spans="1:6" ht="16" x14ac:dyDescent="0.2">
      <c r="A2411" s="1" t="s">
        <v>267</v>
      </c>
      <c r="B2411" t="str">
        <f>LEFT(Table1[[#This Row],[Input]],1)</f>
        <v>L</v>
      </c>
      <c r="C2411">
        <f>_xlfn.LET(_xlpm.steps,SUBSTITUTE(Table1[[#This Row],[Input]],Table1[[#This Row],[Direction]],""),VALUE(IF(LEN(_xlpm.steps)&gt;2,RIGHT(_xlpm.steps,2),_xlpm.steps)))</f>
        <v>39</v>
      </c>
      <c r="D2411">
        <f>_xlfn.LET(_xlpm.dir,Table1[[#This Row],[Direction]],
IF(_xlpm.dir="L",
    IF(F2410-Table1[[#This Row],[Steps]]&lt;0,100+(F2410-Table1[[#This Row],[Steps]]),F2410-Table1[[#This Row],[Steps]]),
))</f>
        <v>0</v>
      </c>
      <c r="E2411">
        <f>_xlfn.LET(_xlpm.dir,Table1[[#This Row],[Direction]],
IF(_xlpm.dir="R",
    IF(F2410+Table1[[#This Row],[Steps]]&gt;99,(F2410+Table1[[#This Row],[Steps]])-100,F2410+Table1[[#This Row],[Steps]]),
))</f>
        <v>0</v>
      </c>
      <c r="F2411">
        <f>IF(Table1[[#This Row],[New Pos L]]&lt;&gt;0,Table1[[#This Row],[New Pos L]],Table1[[#This Row],[New Pos R]])</f>
        <v>0</v>
      </c>
    </row>
    <row r="2412" spans="1:6" ht="16" x14ac:dyDescent="0.2">
      <c r="A2412" s="1" t="s">
        <v>82</v>
      </c>
      <c r="B2412" t="str">
        <f>LEFT(Table1[[#This Row],[Input]],1)</f>
        <v>L</v>
      </c>
      <c r="C2412">
        <f>_xlfn.LET(_xlpm.steps,SUBSTITUTE(Table1[[#This Row],[Input]],Table1[[#This Row],[Direction]],""),VALUE(IF(LEN(_xlpm.steps)&gt;2,RIGHT(_xlpm.steps,2),_xlpm.steps)))</f>
        <v>55</v>
      </c>
      <c r="D2412">
        <f>_xlfn.LET(_xlpm.dir,Table1[[#This Row],[Direction]],
IF(_xlpm.dir="L",
    IF(F2411-Table1[[#This Row],[Steps]]&lt;0,100+(F2411-Table1[[#This Row],[Steps]]),F2411-Table1[[#This Row],[Steps]]),
))</f>
        <v>45</v>
      </c>
      <c r="E2412">
        <f>_xlfn.LET(_xlpm.dir,Table1[[#This Row],[Direction]],
IF(_xlpm.dir="R",
    IF(F2411+Table1[[#This Row],[Steps]]&gt;99,(F2411+Table1[[#This Row],[Steps]])-100,F2411+Table1[[#This Row],[Steps]]),
))</f>
        <v>0</v>
      </c>
      <c r="F2412">
        <f>IF(Table1[[#This Row],[New Pos L]]&lt;&gt;0,Table1[[#This Row],[New Pos L]],Table1[[#This Row],[New Pos R]])</f>
        <v>45</v>
      </c>
    </row>
    <row r="2413" spans="1:6" ht="16" x14ac:dyDescent="0.2">
      <c r="A2413" s="1" t="s">
        <v>34</v>
      </c>
      <c r="B2413" t="str">
        <f>LEFT(Table1[[#This Row],[Input]],1)</f>
        <v>L</v>
      </c>
      <c r="C2413">
        <f>_xlfn.LET(_xlpm.steps,SUBSTITUTE(Table1[[#This Row],[Input]],Table1[[#This Row],[Direction]],""),VALUE(IF(LEN(_xlpm.steps)&gt;2,RIGHT(_xlpm.steps,2),_xlpm.steps)))</f>
        <v>15</v>
      </c>
      <c r="D2413">
        <f>_xlfn.LET(_xlpm.dir,Table1[[#This Row],[Direction]],
IF(_xlpm.dir="L",
    IF(F2412-Table1[[#This Row],[Steps]]&lt;0,100+(F2412-Table1[[#This Row],[Steps]]),F2412-Table1[[#This Row],[Steps]]),
))</f>
        <v>30</v>
      </c>
      <c r="E2413">
        <f>_xlfn.LET(_xlpm.dir,Table1[[#This Row],[Direction]],
IF(_xlpm.dir="R",
    IF(F2412+Table1[[#This Row],[Steps]]&gt;99,(F2412+Table1[[#This Row],[Steps]])-100,F2412+Table1[[#This Row],[Steps]]),
))</f>
        <v>0</v>
      </c>
      <c r="F2413">
        <f>IF(Table1[[#This Row],[New Pos L]]&lt;&gt;0,Table1[[#This Row],[New Pos L]],Table1[[#This Row],[New Pos R]])</f>
        <v>30</v>
      </c>
    </row>
    <row r="2414" spans="1:6" ht="16" x14ac:dyDescent="0.2">
      <c r="A2414" s="1" t="s">
        <v>245</v>
      </c>
      <c r="B2414" t="str">
        <f>LEFT(Table1[[#This Row],[Input]],1)</f>
        <v>R</v>
      </c>
      <c r="C2414">
        <f>_xlfn.LET(_xlpm.steps,SUBSTITUTE(Table1[[#This Row],[Input]],Table1[[#This Row],[Direction]],""),VALUE(IF(LEN(_xlpm.steps)&gt;2,RIGHT(_xlpm.steps,2),_xlpm.steps)))</f>
        <v>71</v>
      </c>
      <c r="D2414">
        <f>_xlfn.LET(_xlpm.dir,Table1[[#This Row],[Direction]],
IF(_xlpm.dir="L",
    IF(F2413-Table1[[#This Row],[Steps]]&lt;0,100+(F2413-Table1[[#This Row],[Steps]]),F2413-Table1[[#This Row],[Steps]]),
))</f>
        <v>0</v>
      </c>
      <c r="E2414">
        <f>_xlfn.LET(_xlpm.dir,Table1[[#This Row],[Direction]],
IF(_xlpm.dir="R",
    IF(F2413+Table1[[#This Row],[Steps]]&gt;99,(F2413+Table1[[#This Row],[Steps]])-100,F2413+Table1[[#This Row],[Steps]]),
))</f>
        <v>1</v>
      </c>
      <c r="F2414">
        <f>IF(Table1[[#This Row],[New Pos L]]&lt;&gt;0,Table1[[#This Row],[New Pos L]],Table1[[#This Row],[New Pos R]])</f>
        <v>1</v>
      </c>
    </row>
    <row r="2415" spans="1:6" ht="16" x14ac:dyDescent="0.2">
      <c r="A2415" s="1" t="s">
        <v>39</v>
      </c>
      <c r="B2415" t="str">
        <f>LEFT(Table1[[#This Row],[Input]],1)</f>
        <v>R</v>
      </c>
      <c r="C2415">
        <f>_xlfn.LET(_xlpm.steps,SUBSTITUTE(Table1[[#This Row],[Input]],Table1[[#This Row],[Direction]],""),VALUE(IF(LEN(_xlpm.steps)&gt;2,RIGHT(_xlpm.steps,2),_xlpm.steps)))</f>
        <v>32</v>
      </c>
      <c r="D2415">
        <f>_xlfn.LET(_xlpm.dir,Table1[[#This Row],[Direction]],
IF(_xlpm.dir="L",
    IF(F2414-Table1[[#This Row],[Steps]]&lt;0,100+(F2414-Table1[[#This Row],[Steps]]),F2414-Table1[[#This Row],[Steps]]),
))</f>
        <v>0</v>
      </c>
      <c r="E2415">
        <f>_xlfn.LET(_xlpm.dir,Table1[[#This Row],[Direction]],
IF(_xlpm.dir="R",
    IF(F2414+Table1[[#This Row],[Steps]]&gt;99,(F2414+Table1[[#This Row],[Steps]])-100,F2414+Table1[[#This Row],[Steps]]),
))</f>
        <v>33</v>
      </c>
      <c r="F2415">
        <f>IF(Table1[[#This Row],[New Pos L]]&lt;&gt;0,Table1[[#This Row],[New Pos L]],Table1[[#This Row],[New Pos R]])</f>
        <v>33</v>
      </c>
    </row>
    <row r="2416" spans="1:6" ht="16" x14ac:dyDescent="0.2">
      <c r="A2416" s="1" t="s">
        <v>75</v>
      </c>
      <c r="B2416" t="str">
        <f>LEFT(Table1[[#This Row],[Input]],1)</f>
        <v>R</v>
      </c>
      <c r="C2416">
        <f>_xlfn.LET(_xlpm.steps,SUBSTITUTE(Table1[[#This Row],[Input]],Table1[[#This Row],[Direction]],""),VALUE(IF(LEN(_xlpm.steps)&gt;2,RIGHT(_xlpm.steps,2),_xlpm.steps)))</f>
        <v>2</v>
      </c>
      <c r="D2416">
        <f>_xlfn.LET(_xlpm.dir,Table1[[#This Row],[Direction]],
IF(_xlpm.dir="L",
    IF(F2415-Table1[[#This Row],[Steps]]&lt;0,100+(F2415-Table1[[#This Row],[Steps]]),F2415-Table1[[#This Row],[Steps]]),
))</f>
        <v>0</v>
      </c>
      <c r="E2416">
        <f>_xlfn.LET(_xlpm.dir,Table1[[#This Row],[Direction]],
IF(_xlpm.dir="R",
    IF(F2415+Table1[[#This Row],[Steps]]&gt;99,(F2415+Table1[[#This Row],[Steps]])-100,F2415+Table1[[#This Row],[Steps]]),
))</f>
        <v>35</v>
      </c>
      <c r="F2416">
        <f>IF(Table1[[#This Row],[New Pos L]]&lt;&gt;0,Table1[[#This Row],[New Pos L]],Table1[[#This Row],[New Pos R]])</f>
        <v>35</v>
      </c>
    </row>
    <row r="2417" spans="1:6" ht="16" x14ac:dyDescent="0.2">
      <c r="A2417" s="1" t="s">
        <v>161</v>
      </c>
      <c r="B2417" t="str">
        <f>LEFT(Table1[[#This Row],[Input]],1)</f>
        <v>R</v>
      </c>
      <c r="C2417">
        <f>_xlfn.LET(_xlpm.steps,SUBSTITUTE(Table1[[#This Row],[Input]],Table1[[#This Row],[Direction]],""),VALUE(IF(LEN(_xlpm.steps)&gt;2,RIGHT(_xlpm.steps,2),_xlpm.steps)))</f>
        <v>76</v>
      </c>
      <c r="D2417">
        <f>_xlfn.LET(_xlpm.dir,Table1[[#This Row],[Direction]],
IF(_xlpm.dir="L",
    IF(F2416-Table1[[#This Row],[Steps]]&lt;0,100+(F2416-Table1[[#This Row],[Steps]]),F2416-Table1[[#This Row],[Steps]]),
))</f>
        <v>0</v>
      </c>
      <c r="E2417">
        <f>_xlfn.LET(_xlpm.dir,Table1[[#This Row],[Direction]],
IF(_xlpm.dir="R",
    IF(F2416+Table1[[#This Row],[Steps]]&gt;99,(F2416+Table1[[#This Row],[Steps]])-100,F2416+Table1[[#This Row],[Steps]]),
))</f>
        <v>11</v>
      </c>
      <c r="F2417">
        <f>IF(Table1[[#This Row],[New Pos L]]&lt;&gt;0,Table1[[#This Row],[New Pos L]],Table1[[#This Row],[New Pos R]])</f>
        <v>11</v>
      </c>
    </row>
    <row r="2418" spans="1:6" ht="16" x14ac:dyDescent="0.2">
      <c r="A2418" s="1" t="s">
        <v>65</v>
      </c>
      <c r="B2418" t="str">
        <f>LEFT(Table1[[#This Row],[Input]],1)</f>
        <v>L</v>
      </c>
      <c r="C2418">
        <f>_xlfn.LET(_xlpm.steps,SUBSTITUTE(Table1[[#This Row],[Input]],Table1[[#This Row],[Direction]],""),VALUE(IF(LEN(_xlpm.steps)&gt;2,RIGHT(_xlpm.steps,2),_xlpm.steps)))</f>
        <v>19</v>
      </c>
      <c r="D2418">
        <f>_xlfn.LET(_xlpm.dir,Table1[[#This Row],[Direction]],
IF(_xlpm.dir="L",
    IF(F2417-Table1[[#This Row],[Steps]]&lt;0,100+(F2417-Table1[[#This Row],[Steps]]),F2417-Table1[[#This Row],[Steps]]),
))</f>
        <v>92</v>
      </c>
      <c r="E2418">
        <f>_xlfn.LET(_xlpm.dir,Table1[[#This Row],[Direction]],
IF(_xlpm.dir="R",
    IF(F2417+Table1[[#This Row],[Steps]]&gt;99,(F2417+Table1[[#This Row],[Steps]])-100,F2417+Table1[[#This Row],[Steps]]),
))</f>
        <v>0</v>
      </c>
      <c r="F2418">
        <f>IF(Table1[[#This Row],[New Pos L]]&lt;&gt;0,Table1[[#This Row],[New Pos L]],Table1[[#This Row],[New Pos R]])</f>
        <v>92</v>
      </c>
    </row>
    <row r="2419" spans="1:6" ht="16" x14ac:dyDescent="0.2">
      <c r="A2419" s="1" t="s">
        <v>129</v>
      </c>
      <c r="B2419" t="str">
        <f>LEFT(Table1[[#This Row],[Input]],1)</f>
        <v>R</v>
      </c>
      <c r="C2419">
        <f>_xlfn.LET(_xlpm.steps,SUBSTITUTE(Table1[[#This Row],[Input]],Table1[[#This Row],[Direction]],""),VALUE(IF(LEN(_xlpm.steps)&gt;2,RIGHT(_xlpm.steps,2),_xlpm.steps)))</f>
        <v>8</v>
      </c>
      <c r="D2419">
        <f>_xlfn.LET(_xlpm.dir,Table1[[#This Row],[Direction]],
IF(_xlpm.dir="L",
    IF(F2418-Table1[[#This Row],[Steps]]&lt;0,100+(F2418-Table1[[#This Row],[Steps]]),F2418-Table1[[#This Row],[Steps]]),
))</f>
        <v>0</v>
      </c>
      <c r="E2419">
        <f>_xlfn.LET(_xlpm.dir,Table1[[#This Row],[Direction]],
IF(_xlpm.dir="R",
    IF(F2418+Table1[[#This Row],[Steps]]&gt;99,(F2418+Table1[[#This Row],[Steps]])-100,F2418+Table1[[#This Row],[Steps]]),
))</f>
        <v>0</v>
      </c>
      <c r="F2419">
        <f>IF(Table1[[#This Row],[New Pos L]]&lt;&gt;0,Table1[[#This Row],[New Pos L]],Table1[[#This Row],[New Pos R]])</f>
        <v>0</v>
      </c>
    </row>
    <row r="2420" spans="1:6" ht="16" x14ac:dyDescent="0.2">
      <c r="A2420" s="1" t="s">
        <v>46</v>
      </c>
      <c r="B2420" t="str">
        <f>LEFT(Table1[[#This Row],[Input]],1)</f>
        <v>L</v>
      </c>
      <c r="C2420">
        <f>_xlfn.LET(_xlpm.steps,SUBSTITUTE(Table1[[#This Row],[Input]],Table1[[#This Row],[Direction]],""),VALUE(IF(LEN(_xlpm.steps)&gt;2,RIGHT(_xlpm.steps,2),_xlpm.steps)))</f>
        <v>97</v>
      </c>
      <c r="D2420">
        <f>_xlfn.LET(_xlpm.dir,Table1[[#This Row],[Direction]],
IF(_xlpm.dir="L",
    IF(F2419-Table1[[#This Row],[Steps]]&lt;0,100+(F2419-Table1[[#This Row],[Steps]]),F2419-Table1[[#This Row],[Steps]]),
))</f>
        <v>3</v>
      </c>
      <c r="E2420">
        <f>_xlfn.LET(_xlpm.dir,Table1[[#This Row],[Direction]],
IF(_xlpm.dir="R",
    IF(F2419+Table1[[#This Row],[Steps]]&gt;99,(F2419+Table1[[#This Row],[Steps]])-100,F2419+Table1[[#This Row],[Steps]]),
))</f>
        <v>0</v>
      </c>
      <c r="F2420">
        <f>IF(Table1[[#This Row],[New Pos L]]&lt;&gt;0,Table1[[#This Row],[New Pos L]],Table1[[#This Row],[New Pos R]])</f>
        <v>3</v>
      </c>
    </row>
    <row r="2421" spans="1:6" ht="16" x14ac:dyDescent="0.2">
      <c r="A2421" s="1" t="s">
        <v>191</v>
      </c>
      <c r="B2421" t="str">
        <f>LEFT(Table1[[#This Row],[Input]],1)</f>
        <v>L</v>
      </c>
      <c r="C2421">
        <f>_xlfn.LET(_xlpm.steps,SUBSTITUTE(Table1[[#This Row],[Input]],Table1[[#This Row],[Direction]],""),VALUE(IF(LEN(_xlpm.steps)&gt;2,RIGHT(_xlpm.steps,2),_xlpm.steps)))</f>
        <v>5</v>
      </c>
      <c r="D2421">
        <f>_xlfn.LET(_xlpm.dir,Table1[[#This Row],[Direction]],
IF(_xlpm.dir="L",
    IF(F2420-Table1[[#This Row],[Steps]]&lt;0,100+(F2420-Table1[[#This Row],[Steps]]),F2420-Table1[[#This Row],[Steps]]),
))</f>
        <v>98</v>
      </c>
      <c r="E2421">
        <f>_xlfn.LET(_xlpm.dir,Table1[[#This Row],[Direction]],
IF(_xlpm.dir="R",
    IF(F2420+Table1[[#This Row],[Steps]]&gt;99,(F2420+Table1[[#This Row],[Steps]])-100,F2420+Table1[[#This Row],[Steps]]),
))</f>
        <v>0</v>
      </c>
      <c r="F2421">
        <f>IF(Table1[[#This Row],[New Pos L]]&lt;&gt;0,Table1[[#This Row],[New Pos L]],Table1[[#This Row],[New Pos R]])</f>
        <v>98</v>
      </c>
    </row>
    <row r="2422" spans="1:6" ht="16" x14ac:dyDescent="0.2">
      <c r="A2422" s="1" t="s">
        <v>75</v>
      </c>
      <c r="B2422" t="str">
        <f>LEFT(Table1[[#This Row],[Input]],1)</f>
        <v>R</v>
      </c>
      <c r="C2422">
        <f>_xlfn.LET(_xlpm.steps,SUBSTITUTE(Table1[[#This Row],[Input]],Table1[[#This Row],[Direction]],""),VALUE(IF(LEN(_xlpm.steps)&gt;2,RIGHT(_xlpm.steps,2),_xlpm.steps)))</f>
        <v>2</v>
      </c>
      <c r="D2422">
        <f>_xlfn.LET(_xlpm.dir,Table1[[#This Row],[Direction]],
IF(_xlpm.dir="L",
    IF(F2421-Table1[[#This Row],[Steps]]&lt;0,100+(F2421-Table1[[#This Row],[Steps]]),F2421-Table1[[#This Row],[Steps]]),
))</f>
        <v>0</v>
      </c>
      <c r="E2422">
        <f>_xlfn.LET(_xlpm.dir,Table1[[#This Row],[Direction]],
IF(_xlpm.dir="R",
    IF(F2421+Table1[[#This Row],[Steps]]&gt;99,(F2421+Table1[[#This Row],[Steps]])-100,F2421+Table1[[#This Row],[Steps]]),
))</f>
        <v>0</v>
      </c>
      <c r="F2422">
        <f>IF(Table1[[#This Row],[New Pos L]]&lt;&gt;0,Table1[[#This Row],[New Pos L]],Table1[[#This Row],[New Pos R]])</f>
        <v>0</v>
      </c>
    </row>
    <row r="2423" spans="1:6" ht="16" x14ac:dyDescent="0.2">
      <c r="A2423" s="1" t="s">
        <v>0</v>
      </c>
      <c r="B2423" t="str">
        <f>LEFT(Table1[[#This Row],[Input]],1)</f>
        <v>L</v>
      </c>
      <c r="C2423">
        <f>_xlfn.LET(_xlpm.steps,SUBSTITUTE(Table1[[#This Row],[Input]],Table1[[#This Row],[Direction]],""),VALUE(IF(LEN(_xlpm.steps)&gt;2,RIGHT(_xlpm.steps,2),_xlpm.steps)))</f>
        <v>44</v>
      </c>
      <c r="D2423">
        <f>_xlfn.LET(_xlpm.dir,Table1[[#This Row],[Direction]],
IF(_xlpm.dir="L",
    IF(F2422-Table1[[#This Row],[Steps]]&lt;0,100+(F2422-Table1[[#This Row],[Steps]]),F2422-Table1[[#This Row],[Steps]]),
))</f>
        <v>56</v>
      </c>
      <c r="E2423">
        <f>_xlfn.LET(_xlpm.dir,Table1[[#This Row],[Direction]],
IF(_xlpm.dir="R",
    IF(F2422+Table1[[#This Row],[Steps]]&gt;99,(F2422+Table1[[#This Row],[Steps]])-100,F2422+Table1[[#This Row],[Steps]]),
))</f>
        <v>0</v>
      </c>
      <c r="F2423">
        <f>IF(Table1[[#This Row],[New Pos L]]&lt;&gt;0,Table1[[#This Row],[New Pos L]],Table1[[#This Row],[New Pos R]])</f>
        <v>56</v>
      </c>
    </row>
    <row r="2424" spans="1:6" ht="16" x14ac:dyDescent="0.2">
      <c r="A2424" s="1" t="s">
        <v>128</v>
      </c>
      <c r="B2424" t="str">
        <f>LEFT(Table1[[#This Row],[Input]],1)</f>
        <v>R</v>
      </c>
      <c r="C2424">
        <f>_xlfn.LET(_xlpm.steps,SUBSTITUTE(Table1[[#This Row],[Input]],Table1[[#This Row],[Direction]],""),VALUE(IF(LEN(_xlpm.steps)&gt;2,RIGHT(_xlpm.steps,2),_xlpm.steps)))</f>
        <v>92</v>
      </c>
      <c r="D2424">
        <f>_xlfn.LET(_xlpm.dir,Table1[[#This Row],[Direction]],
IF(_xlpm.dir="L",
    IF(F2423-Table1[[#This Row],[Steps]]&lt;0,100+(F2423-Table1[[#This Row],[Steps]]),F2423-Table1[[#This Row],[Steps]]),
))</f>
        <v>0</v>
      </c>
      <c r="E2424">
        <f>_xlfn.LET(_xlpm.dir,Table1[[#This Row],[Direction]],
IF(_xlpm.dir="R",
    IF(F2423+Table1[[#This Row],[Steps]]&gt;99,(F2423+Table1[[#This Row],[Steps]])-100,F2423+Table1[[#This Row],[Steps]]),
))</f>
        <v>48</v>
      </c>
      <c r="F2424">
        <f>IF(Table1[[#This Row],[New Pos L]]&lt;&gt;0,Table1[[#This Row],[New Pos L]],Table1[[#This Row],[New Pos R]])</f>
        <v>48</v>
      </c>
    </row>
    <row r="2425" spans="1:6" ht="16" x14ac:dyDescent="0.2">
      <c r="A2425" s="1" t="s">
        <v>141</v>
      </c>
      <c r="B2425" t="str">
        <f>LEFT(Table1[[#This Row],[Input]],1)</f>
        <v>L</v>
      </c>
      <c r="C2425">
        <f>_xlfn.LET(_xlpm.steps,SUBSTITUTE(Table1[[#This Row],[Input]],Table1[[#This Row],[Direction]],""),VALUE(IF(LEN(_xlpm.steps)&gt;2,RIGHT(_xlpm.steps,2),_xlpm.steps)))</f>
        <v>90</v>
      </c>
      <c r="D2425">
        <f>_xlfn.LET(_xlpm.dir,Table1[[#This Row],[Direction]],
IF(_xlpm.dir="L",
    IF(F2424-Table1[[#This Row],[Steps]]&lt;0,100+(F2424-Table1[[#This Row],[Steps]]),F2424-Table1[[#This Row],[Steps]]),
))</f>
        <v>58</v>
      </c>
      <c r="E2425">
        <f>_xlfn.LET(_xlpm.dir,Table1[[#This Row],[Direction]],
IF(_xlpm.dir="R",
    IF(F2424+Table1[[#This Row],[Steps]]&gt;99,(F2424+Table1[[#This Row],[Steps]])-100,F2424+Table1[[#This Row],[Steps]]),
))</f>
        <v>0</v>
      </c>
      <c r="F2425">
        <f>IF(Table1[[#This Row],[New Pos L]]&lt;&gt;0,Table1[[#This Row],[New Pos L]],Table1[[#This Row],[New Pos R]])</f>
        <v>58</v>
      </c>
    </row>
    <row r="2426" spans="1:6" ht="16" x14ac:dyDescent="0.2">
      <c r="A2426" s="1" t="s">
        <v>111</v>
      </c>
      <c r="B2426" t="str">
        <f>LEFT(Table1[[#This Row],[Input]],1)</f>
        <v>R</v>
      </c>
      <c r="C2426">
        <f>_xlfn.LET(_xlpm.steps,SUBSTITUTE(Table1[[#This Row],[Input]],Table1[[#This Row],[Direction]],""),VALUE(IF(LEN(_xlpm.steps)&gt;2,RIGHT(_xlpm.steps,2),_xlpm.steps)))</f>
        <v>64</v>
      </c>
      <c r="D2426">
        <f>_xlfn.LET(_xlpm.dir,Table1[[#This Row],[Direction]],
IF(_xlpm.dir="L",
    IF(F2425-Table1[[#This Row],[Steps]]&lt;0,100+(F2425-Table1[[#This Row],[Steps]]),F2425-Table1[[#This Row],[Steps]]),
))</f>
        <v>0</v>
      </c>
      <c r="E2426">
        <f>_xlfn.LET(_xlpm.dir,Table1[[#This Row],[Direction]],
IF(_xlpm.dir="R",
    IF(F2425+Table1[[#This Row],[Steps]]&gt;99,(F2425+Table1[[#This Row],[Steps]])-100,F2425+Table1[[#This Row],[Steps]]),
))</f>
        <v>22</v>
      </c>
      <c r="F2426">
        <f>IF(Table1[[#This Row],[New Pos L]]&lt;&gt;0,Table1[[#This Row],[New Pos L]],Table1[[#This Row],[New Pos R]])</f>
        <v>22</v>
      </c>
    </row>
    <row r="2427" spans="1:6" ht="16" x14ac:dyDescent="0.2">
      <c r="A2427" s="1" t="s">
        <v>181</v>
      </c>
      <c r="B2427" t="str">
        <f>LEFT(Table1[[#This Row],[Input]],1)</f>
        <v>L</v>
      </c>
      <c r="C2427">
        <f>_xlfn.LET(_xlpm.steps,SUBSTITUTE(Table1[[#This Row],[Input]],Table1[[#This Row],[Direction]],""),VALUE(IF(LEN(_xlpm.steps)&gt;2,RIGHT(_xlpm.steps,2),_xlpm.steps)))</f>
        <v>53</v>
      </c>
      <c r="D2427">
        <f>_xlfn.LET(_xlpm.dir,Table1[[#This Row],[Direction]],
IF(_xlpm.dir="L",
    IF(F2426-Table1[[#This Row],[Steps]]&lt;0,100+(F2426-Table1[[#This Row],[Steps]]),F2426-Table1[[#This Row],[Steps]]),
))</f>
        <v>69</v>
      </c>
      <c r="E2427">
        <f>_xlfn.LET(_xlpm.dir,Table1[[#This Row],[Direction]],
IF(_xlpm.dir="R",
    IF(F2426+Table1[[#This Row],[Steps]]&gt;99,(F2426+Table1[[#This Row],[Steps]])-100,F2426+Table1[[#This Row],[Steps]]),
))</f>
        <v>0</v>
      </c>
      <c r="F2427">
        <f>IF(Table1[[#This Row],[New Pos L]]&lt;&gt;0,Table1[[#This Row],[New Pos L]],Table1[[#This Row],[New Pos R]])</f>
        <v>69</v>
      </c>
    </row>
    <row r="2428" spans="1:6" ht="16" x14ac:dyDescent="0.2">
      <c r="A2428" s="1" t="s">
        <v>260</v>
      </c>
      <c r="B2428" t="str">
        <f>LEFT(Table1[[#This Row],[Input]],1)</f>
        <v>L</v>
      </c>
      <c r="C2428">
        <f>_xlfn.LET(_xlpm.steps,SUBSTITUTE(Table1[[#This Row],[Input]],Table1[[#This Row],[Direction]],""),VALUE(IF(LEN(_xlpm.steps)&gt;2,RIGHT(_xlpm.steps,2),_xlpm.steps)))</f>
        <v>85</v>
      </c>
      <c r="D2428">
        <f>_xlfn.LET(_xlpm.dir,Table1[[#This Row],[Direction]],
IF(_xlpm.dir="L",
    IF(F2427-Table1[[#This Row],[Steps]]&lt;0,100+(F2427-Table1[[#This Row],[Steps]]),F2427-Table1[[#This Row],[Steps]]),
))</f>
        <v>84</v>
      </c>
      <c r="E2428">
        <f>_xlfn.LET(_xlpm.dir,Table1[[#This Row],[Direction]],
IF(_xlpm.dir="R",
    IF(F2427+Table1[[#This Row],[Steps]]&gt;99,(F2427+Table1[[#This Row],[Steps]])-100,F2427+Table1[[#This Row],[Steps]]),
))</f>
        <v>0</v>
      </c>
      <c r="F2428">
        <f>IF(Table1[[#This Row],[New Pos L]]&lt;&gt;0,Table1[[#This Row],[New Pos L]],Table1[[#This Row],[New Pos R]])</f>
        <v>84</v>
      </c>
    </row>
    <row r="2429" spans="1:6" ht="16" x14ac:dyDescent="0.2">
      <c r="A2429" s="1" t="s">
        <v>186</v>
      </c>
      <c r="B2429" t="str">
        <f>LEFT(Table1[[#This Row],[Input]],1)</f>
        <v>L</v>
      </c>
      <c r="C2429">
        <f>_xlfn.LET(_xlpm.steps,SUBSTITUTE(Table1[[#This Row],[Input]],Table1[[#This Row],[Direction]],""),VALUE(IF(LEN(_xlpm.steps)&gt;2,RIGHT(_xlpm.steps,2),_xlpm.steps)))</f>
        <v>84</v>
      </c>
      <c r="D2429">
        <f>_xlfn.LET(_xlpm.dir,Table1[[#This Row],[Direction]],
IF(_xlpm.dir="L",
    IF(F2428-Table1[[#This Row],[Steps]]&lt;0,100+(F2428-Table1[[#This Row],[Steps]]),F2428-Table1[[#This Row],[Steps]]),
))</f>
        <v>0</v>
      </c>
      <c r="E2429">
        <f>_xlfn.LET(_xlpm.dir,Table1[[#This Row],[Direction]],
IF(_xlpm.dir="R",
    IF(F2428+Table1[[#This Row],[Steps]]&gt;99,(F2428+Table1[[#This Row],[Steps]])-100,F2428+Table1[[#This Row],[Steps]]),
))</f>
        <v>0</v>
      </c>
      <c r="F2429">
        <f>IF(Table1[[#This Row],[New Pos L]]&lt;&gt;0,Table1[[#This Row],[New Pos L]],Table1[[#This Row],[New Pos R]])</f>
        <v>0</v>
      </c>
    </row>
    <row r="2430" spans="1:6" ht="16" x14ac:dyDescent="0.2">
      <c r="A2430" s="1" t="s">
        <v>30</v>
      </c>
      <c r="B2430" t="str">
        <f>LEFT(Table1[[#This Row],[Input]],1)</f>
        <v>R</v>
      </c>
      <c r="C2430">
        <f>_xlfn.LET(_xlpm.steps,SUBSTITUTE(Table1[[#This Row],[Input]],Table1[[#This Row],[Direction]],""),VALUE(IF(LEN(_xlpm.steps)&gt;2,RIGHT(_xlpm.steps,2),_xlpm.steps)))</f>
        <v>48</v>
      </c>
      <c r="D2430">
        <f>_xlfn.LET(_xlpm.dir,Table1[[#This Row],[Direction]],
IF(_xlpm.dir="L",
    IF(F2429-Table1[[#This Row],[Steps]]&lt;0,100+(F2429-Table1[[#This Row],[Steps]]),F2429-Table1[[#This Row],[Steps]]),
))</f>
        <v>0</v>
      </c>
      <c r="E2430">
        <f>_xlfn.LET(_xlpm.dir,Table1[[#This Row],[Direction]],
IF(_xlpm.dir="R",
    IF(F2429+Table1[[#This Row],[Steps]]&gt;99,(F2429+Table1[[#This Row],[Steps]])-100,F2429+Table1[[#This Row],[Steps]]),
))</f>
        <v>48</v>
      </c>
      <c r="F2430">
        <f>IF(Table1[[#This Row],[New Pos L]]&lt;&gt;0,Table1[[#This Row],[New Pos L]],Table1[[#This Row],[New Pos R]])</f>
        <v>48</v>
      </c>
    </row>
    <row r="2431" spans="1:6" ht="16" x14ac:dyDescent="0.2">
      <c r="A2431" s="1" t="s">
        <v>40</v>
      </c>
      <c r="B2431" t="str">
        <f>LEFT(Table1[[#This Row],[Input]],1)</f>
        <v>R</v>
      </c>
      <c r="C2431">
        <f>_xlfn.LET(_xlpm.steps,SUBSTITUTE(Table1[[#This Row],[Input]],Table1[[#This Row],[Direction]],""),VALUE(IF(LEN(_xlpm.steps)&gt;2,RIGHT(_xlpm.steps,2),_xlpm.steps)))</f>
        <v>52</v>
      </c>
      <c r="D2431">
        <f>_xlfn.LET(_xlpm.dir,Table1[[#This Row],[Direction]],
IF(_xlpm.dir="L",
    IF(F2430-Table1[[#This Row],[Steps]]&lt;0,100+(F2430-Table1[[#This Row],[Steps]]),F2430-Table1[[#This Row],[Steps]]),
))</f>
        <v>0</v>
      </c>
      <c r="E2431">
        <f>_xlfn.LET(_xlpm.dir,Table1[[#This Row],[Direction]],
IF(_xlpm.dir="R",
    IF(F2430+Table1[[#This Row],[Steps]]&gt;99,(F2430+Table1[[#This Row],[Steps]])-100,F2430+Table1[[#This Row],[Steps]]),
))</f>
        <v>0</v>
      </c>
      <c r="F2431">
        <f>IF(Table1[[#This Row],[New Pos L]]&lt;&gt;0,Table1[[#This Row],[New Pos L]],Table1[[#This Row],[New Pos R]])</f>
        <v>0</v>
      </c>
    </row>
    <row r="2432" spans="1:6" ht="16" x14ac:dyDescent="0.2">
      <c r="A2432" s="1" t="s">
        <v>64</v>
      </c>
      <c r="B2432" t="str">
        <f>LEFT(Table1[[#This Row],[Input]],1)</f>
        <v>R</v>
      </c>
      <c r="C2432">
        <f>_xlfn.LET(_xlpm.steps,SUBSTITUTE(Table1[[#This Row],[Input]],Table1[[#This Row],[Direction]],""),VALUE(IF(LEN(_xlpm.steps)&gt;2,RIGHT(_xlpm.steps,2),_xlpm.steps)))</f>
        <v>10</v>
      </c>
      <c r="D2432">
        <f>_xlfn.LET(_xlpm.dir,Table1[[#This Row],[Direction]],
IF(_xlpm.dir="L",
    IF(F2431-Table1[[#This Row],[Steps]]&lt;0,100+(F2431-Table1[[#This Row],[Steps]]),F2431-Table1[[#This Row],[Steps]]),
))</f>
        <v>0</v>
      </c>
      <c r="E2432">
        <f>_xlfn.LET(_xlpm.dir,Table1[[#This Row],[Direction]],
IF(_xlpm.dir="R",
    IF(F2431+Table1[[#This Row],[Steps]]&gt;99,(F2431+Table1[[#This Row],[Steps]])-100,F2431+Table1[[#This Row],[Steps]]),
))</f>
        <v>10</v>
      </c>
      <c r="F2432">
        <f>IF(Table1[[#This Row],[New Pos L]]&lt;&gt;0,Table1[[#This Row],[New Pos L]],Table1[[#This Row],[New Pos R]])</f>
        <v>10</v>
      </c>
    </row>
    <row r="2433" spans="1:6" ht="16" x14ac:dyDescent="0.2">
      <c r="A2433" s="1" t="s">
        <v>43</v>
      </c>
      <c r="B2433" t="str">
        <f>LEFT(Table1[[#This Row],[Input]],1)</f>
        <v>R</v>
      </c>
      <c r="C2433">
        <f>_xlfn.LET(_xlpm.steps,SUBSTITUTE(Table1[[#This Row],[Input]],Table1[[#This Row],[Direction]],""),VALUE(IF(LEN(_xlpm.steps)&gt;2,RIGHT(_xlpm.steps,2),_xlpm.steps)))</f>
        <v>90</v>
      </c>
      <c r="D2433">
        <f>_xlfn.LET(_xlpm.dir,Table1[[#This Row],[Direction]],
IF(_xlpm.dir="L",
    IF(F2432-Table1[[#This Row],[Steps]]&lt;0,100+(F2432-Table1[[#This Row],[Steps]]),F2432-Table1[[#This Row],[Steps]]),
))</f>
        <v>0</v>
      </c>
      <c r="E2433">
        <f>_xlfn.LET(_xlpm.dir,Table1[[#This Row],[Direction]],
IF(_xlpm.dir="R",
    IF(F2432+Table1[[#This Row],[Steps]]&gt;99,(F2432+Table1[[#This Row],[Steps]])-100,F2432+Table1[[#This Row],[Steps]]),
))</f>
        <v>0</v>
      </c>
      <c r="F2433">
        <f>IF(Table1[[#This Row],[New Pos L]]&lt;&gt;0,Table1[[#This Row],[New Pos L]],Table1[[#This Row],[New Pos R]])</f>
        <v>0</v>
      </c>
    </row>
    <row r="2434" spans="1:6" ht="16" x14ac:dyDescent="0.2">
      <c r="A2434" s="1" t="s">
        <v>48</v>
      </c>
      <c r="B2434" t="str">
        <f>LEFT(Table1[[#This Row],[Input]],1)</f>
        <v>R</v>
      </c>
      <c r="C2434">
        <f>_xlfn.LET(_xlpm.steps,SUBSTITUTE(Table1[[#This Row],[Input]],Table1[[#This Row],[Direction]],""),VALUE(IF(LEN(_xlpm.steps)&gt;2,RIGHT(_xlpm.steps,2),_xlpm.steps)))</f>
        <v>81</v>
      </c>
      <c r="D2434">
        <f>_xlfn.LET(_xlpm.dir,Table1[[#This Row],[Direction]],
IF(_xlpm.dir="L",
    IF(F2433-Table1[[#This Row],[Steps]]&lt;0,100+(F2433-Table1[[#This Row],[Steps]]),F2433-Table1[[#This Row],[Steps]]),
))</f>
        <v>0</v>
      </c>
      <c r="E2434">
        <f>_xlfn.LET(_xlpm.dir,Table1[[#This Row],[Direction]],
IF(_xlpm.dir="R",
    IF(F2433+Table1[[#This Row],[Steps]]&gt;99,(F2433+Table1[[#This Row],[Steps]])-100,F2433+Table1[[#This Row],[Steps]]),
))</f>
        <v>81</v>
      </c>
      <c r="F2434">
        <f>IF(Table1[[#This Row],[New Pos L]]&lt;&gt;0,Table1[[#This Row],[New Pos L]],Table1[[#This Row],[New Pos R]])</f>
        <v>81</v>
      </c>
    </row>
    <row r="2435" spans="1:6" ht="16" x14ac:dyDescent="0.2">
      <c r="A2435" s="1" t="s">
        <v>102</v>
      </c>
      <c r="B2435" t="str">
        <f>LEFT(Table1[[#This Row],[Input]],1)</f>
        <v>R</v>
      </c>
      <c r="C2435">
        <f>_xlfn.LET(_xlpm.steps,SUBSTITUTE(Table1[[#This Row],[Input]],Table1[[#This Row],[Direction]],""),VALUE(IF(LEN(_xlpm.steps)&gt;2,RIGHT(_xlpm.steps,2),_xlpm.steps)))</f>
        <v>39</v>
      </c>
      <c r="D2435">
        <f>_xlfn.LET(_xlpm.dir,Table1[[#This Row],[Direction]],
IF(_xlpm.dir="L",
    IF(F2434-Table1[[#This Row],[Steps]]&lt;0,100+(F2434-Table1[[#This Row],[Steps]]),F2434-Table1[[#This Row],[Steps]]),
))</f>
        <v>0</v>
      </c>
      <c r="E2435">
        <f>_xlfn.LET(_xlpm.dir,Table1[[#This Row],[Direction]],
IF(_xlpm.dir="R",
    IF(F2434+Table1[[#This Row],[Steps]]&gt;99,(F2434+Table1[[#This Row],[Steps]])-100,F2434+Table1[[#This Row],[Steps]]),
))</f>
        <v>20</v>
      </c>
      <c r="F2435">
        <f>IF(Table1[[#This Row],[New Pos L]]&lt;&gt;0,Table1[[#This Row],[New Pos L]],Table1[[#This Row],[New Pos R]])</f>
        <v>20</v>
      </c>
    </row>
    <row r="2436" spans="1:6" ht="16" x14ac:dyDescent="0.2">
      <c r="A2436" s="1" t="s">
        <v>141</v>
      </c>
      <c r="B2436" t="str">
        <f>LEFT(Table1[[#This Row],[Input]],1)</f>
        <v>L</v>
      </c>
      <c r="C2436">
        <f>_xlfn.LET(_xlpm.steps,SUBSTITUTE(Table1[[#This Row],[Input]],Table1[[#This Row],[Direction]],""),VALUE(IF(LEN(_xlpm.steps)&gt;2,RIGHT(_xlpm.steps,2),_xlpm.steps)))</f>
        <v>90</v>
      </c>
      <c r="D2436">
        <f>_xlfn.LET(_xlpm.dir,Table1[[#This Row],[Direction]],
IF(_xlpm.dir="L",
    IF(F2435-Table1[[#This Row],[Steps]]&lt;0,100+(F2435-Table1[[#This Row],[Steps]]),F2435-Table1[[#This Row],[Steps]]),
))</f>
        <v>30</v>
      </c>
      <c r="E2436">
        <f>_xlfn.LET(_xlpm.dir,Table1[[#This Row],[Direction]],
IF(_xlpm.dir="R",
    IF(F2435+Table1[[#This Row],[Steps]]&gt;99,(F2435+Table1[[#This Row],[Steps]])-100,F2435+Table1[[#This Row],[Steps]]),
))</f>
        <v>0</v>
      </c>
      <c r="F2436">
        <f>IF(Table1[[#This Row],[New Pos L]]&lt;&gt;0,Table1[[#This Row],[New Pos L]],Table1[[#This Row],[New Pos R]])</f>
        <v>30</v>
      </c>
    </row>
    <row r="2437" spans="1:6" ht="16" x14ac:dyDescent="0.2">
      <c r="A2437" s="1" t="s">
        <v>114</v>
      </c>
      <c r="B2437" t="str">
        <f>LEFT(Table1[[#This Row],[Input]],1)</f>
        <v>R</v>
      </c>
      <c r="C2437">
        <f>_xlfn.LET(_xlpm.steps,SUBSTITUTE(Table1[[#This Row],[Input]],Table1[[#This Row],[Direction]],""),VALUE(IF(LEN(_xlpm.steps)&gt;2,RIGHT(_xlpm.steps,2),_xlpm.steps)))</f>
        <v>70</v>
      </c>
      <c r="D2437">
        <f>_xlfn.LET(_xlpm.dir,Table1[[#This Row],[Direction]],
IF(_xlpm.dir="L",
    IF(F2436-Table1[[#This Row],[Steps]]&lt;0,100+(F2436-Table1[[#This Row],[Steps]]),F2436-Table1[[#This Row],[Steps]]),
))</f>
        <v>0</v>
      </c>
      <c r="E2437">
        <f>_xlfn.LET(_xlpm.dir,Table1[[#This Row],[Direction]],
IF(_xlpm.dir="R",
    IF(F2436+Table1[[#This Row],[Steps]]&gt;99,(F2436+Table1[[#This Row],[Steps]])-100,F2436+Table1[[#This Row],[Steps]]),
))</f>
        <v>0</v>
      </c>
      <c r="F2437">
        <f>IF(Table1[[#This Row],[New Pos L]]&lt;&gt;0,Table1[[#This Row],[New Pos L]],Table1[[#This Row],[New Pos R]])</f>
        <v>0</v>
      </c>
    </row>
    <row r="2438" spans="1:6" ht="16" x14ac:dyDescent="0.2">
      <c r="A2438" s="1" t="s">
        <v>260</v>
      </c>
      <c r="B2438" t="str">
        <f>LEFT(Table1[[#This Row],[Input]],1)</f>
        <v>L</v>
      </c>
      <c r="C2438">
        <f>_xlfn.LET(_xlpm.steps,SUBSTITUTE(Table1[[#This Row],[Input]],Table1[[#This Row],[Direction]],""),VALUE(IF(LEN(_xlpm.steps)&gt;2,RIGHT(_xlpm.steps,2),_xlpm.steps)))</f>
        <v>85</v>
      </c>
      <c r="D2438">
        <f>_xlfn.LET(_xlpm.dir,Table1[[#This Row],[Direction]],
IF(_xlpm.dir="L",
    IF(F2437-Table1[[#This Row],[Steps]]&lt;0,100+(F2437-Table1[[#This Row],[Steps]]),F2437-Table1[[#This Row],[Steps]]),
))</f>
        <v>15</v>
      </c>
      <c r="E2438">
        <f>_xlfn.LET(_xlpm.dir,Table1[[#This Row],[Direction]],
IF(_xlpm.dir="R",
    IF(F2437+Table1[[#This Row],[Steps]]&gt;99,(F2437+Table1[[#This Row],[Steps]])-100,F2437+Table1[[#This Row],[Steps]]),
))</f>
        <v>0</v>
      </c>
      <c r="F2438">
        <f>IF(Table1[[#This Row],[New Pos L]]&lt;&gt;0,Table1[[#This Row],[New Pos L]],Table1[[#This Row],[New Pos R]])</f>
        <v>15</v>
      </c>
    </row>
    <row r="2439" spans="1:6" ht="16" x14ac:dyDescent="0.2">
      <c r="A2439" s="1" t="s">
        <v>64</v>
      </c>
      <c r="B2439" t="str">
        <f>LEFT(Table1[[#This Row],[Input]],1)</f>
        <v>R</v>
      </c>
      <c r="C2439">
        <f>_xlfn.LET(_xlpm.steps,SUBSTITUTE(Table1[[#This Row],[Input]],Table1[[#This Row],[Direction]],""),VALUE(IF(LEN(_xlpm.steps)&gt;2,RIGHT(_xlpm.steps,2),_xlpm.steps)))</f>
        <v>10</v>
      </c>
      <c r="D2439">
        <f>_xlfn.LET(_xlpm.dir,Table1[[#This Row],[Direction]],
IF(_xlpm.dir="L",
    IF(F2438-Table1[[#This Row],[Steps]]&lt;0,100+(F2438-Table1[[#This Row],[Steps]]),F2438-Table1[[#This Row],[Steps]]),
))</f>
        <v>0</v>
      </c>
      <c r="E2439">
        <f>_xlfn.LET(_xlpm.dir,Table1[[#This Row],[Direction]],
IF(_xlpm.dir="R",
    IF(F2438+Table1[[#This Row],[Steps]]&gt;99,(F2438+Table1[[#This Row],[Steps]])-100,F2438+Table1[[#This Row],[Steps]]),
))</f>
        <v>25</v>
      </c>
      <c r="F2439">
        <f>IF(Table1[[#This Row],[New Pos L]]&lt;&gt;0,Table1[[#This Row],[New Pos L]],Table1[[#This Row],[New Pos R]])</f>
        <v>25</v>
      </c>
    </row>
    <row r="2440" spans="1:6" ht="16" x14ac:dyDescent="0.2">
      <c r="A2440" s="1" t="s">
        <v>51</v>
      </c>
      <c r="B2440" t="str">
        <f>LEFT(Table1[[#This Row],[Input]],1)</f>
        <v>L</v>
      </c>
      <c r="C2440">
        <f>_xlfn.LET(_xlpm.steps,SUBSTITUTE(Table1[[#This Row],[Input]],Table1[[#This Row],[Direction]],""),VALUE(IF(LEN(_xlpm.steps)&gt;2,RIGHT(_xlpm.steps,2),_xlpm.steps)))</f>
        <v>25</v>
      </c>
      <c r="D2440">
        <f>_xlfn.LET(_xlpm.dir,Table1[[#This Row],[Direction]],
IF(_xlpm.dir="L",
    IF(F2439-Table1[[#This Row],[Steps]]&lt;0,100+(F2439-Table1[[#This Row],[Steps]]),F2439-Table1[[#This Row],[Steps]]),
))</f>
        <v>0</v>
      </c>
      <c r="E2440">
        <f>_xlfn.LET(_xlpm.dir,Table1[[#This Row],[Direction]],
IF(_xlpm.dir="R",
    IF(F2439+Table1[[#This Row],[Steps]]&gt;99,(F2439+Table1[[#This Row],[Steps]])-100,F2439+Table1[[#This Row],[Steps]]),
))</f>
        <v>0</v>
      </c>
      <c r="F2440">
        <f>IF(Table1[[#This Row],[New Pos L]]&lt;&gt;0,Table1[[#This Row],[New Pos L]],Table1[[#This Row],[New Pos R]])</f>
        <v>0</v>
      </c>
    </row>
    <row r="2441" spans="1:6" ht="16" x14ac:dyDescent="0.2">
      <c r="A2441" s="1" t="s">
        <v>9</v>
      </c>
      <c r="B2441" t="str">
        <f>LEFT(Table1[[#This Row],[Input]],1)</f>
        <v>L</v>
      </c>
      <c r="C2441">
        <f>_xlfn.LET(_xlpm.steps,SUBSTITUTE(Table1[[#This Row],[Input]],Table1[[#This Row],[Direction]],""),VALUE(IF(LEN(_xlpm.steps)&gt;2,RIGHT(_xlpm.steps,2),_xlpm.steps)))</f>
        <v>9</v>
      </c>
      <c r="D2441">
        <f>_xlfn.LET(_xlpm.dir,Table1[[#This Row],[Direction]],
IF(_xlpm.dir="L",
    IF(F2440-Table1[[#This Row],[Steps]]&lt;0,100+(F2440-Table1[[#This Row],[Steps]]),F2440-Table1[[#This Row],[Steps]]),
))</f>
        <v>91</v>
      </c>
      <c r="E2441">
        <f>_xlfn.LET(_xlpm.dir,Table1[[#This Row],[Direction]],
IF(_xlpm.dir="R",
    IF(F2440+Table1[[#This Row],[Steps]]&gt;99,(F2440+Table1[[#This Row],[Steps]])-100,F2440+Table1[[#This Row],[Steps]]),
))</f>
        <v>0</v>
      </c>
      <c r="F2441">
        <f>IF(Table1[[#This Row],[New Pos L]]&lt;&gt;0,Table1[[#This Row],[New Pos L]],Table1[[#This Row],[New Pos R]])</f>
        <v>91</v>
      </c>
    </row>
    <row r="2442" spans="1:6" ht="16" x14ac:dyDescent="0.2">
      <c r="A2442" s="1" t="s">
        <v>226</v>
      </c>
      <c r="B2442" t="str">
        <f>LEFT(Table1[[#This Row],[Input]],1)</f>
        <v>L</v>
      </c>
      <c r="C2442">
        <f>_xlfn.LET(_xlpm.steps,SUBSTITUTE(Table1[[#This Row],[Input]],Table1[[#This Row],[Direction]],""),VALUE(IF(LEN(_xlpm.steps)&gt;2,RIGHT(_xlpm.steps,2),_xlpm.steps)))</f>
        <v>31</v>
      </c>
      <c r="D2442">
        <f>_xlfn.LET(_xlpm.dir,Table1[[#This Row],[Direction]],
IF(_xlpm.dir="L",
    IF(F2441-Table1[[#This Row],[Steps]]&lt;0,100+(F2441-Table1[[#This Row],[Steps]]),F2441-Table1[[#This Row],[Steps]]),
))</f>
        <v>60</v>
      </c>
      <c r="E2442">
        <f>_xlfn.LET(_xlpm.dir,Table1[[#This Row],[Direction]],
IF(_xlpm.dir="R",
    IF(F2441+Table1[[#This Row],[Steps]]&gt;99,(F2441+Table1[[#This Row],[Steps]])-100,F2441+Table1[[#This Row],[Steps]]),
))</f>
        <v>0</v>
      </c>
      <c r="F2442">
        <f>IF(Table1[[#This Row],[New Pos L]]&lt;&gt;0,Table1[[#This Row],[New Pos L]],Table1[[#This Row],[New Pos R]])</f>
        <v>60</v>
      </c>
    </row>
    <row r="2443" spans="1:6" ht="16" x14ac:dyDescent="0.2">
      <c r="A2443" s="1" t="s">
        <v>195</v>
      </c>
      <c r="B2443" t="str">
        <f>LEFT(Table1[[#This Row],[Input]],1)</f>
        <v>R</v>
      </c>
      <c r="C2443">
        <f>_xlfn.LET(_xlpm.steps,SUBSTITUTE(Table1[[#This Row],[Input]],Table1[[#This Row],[Direction]],""),VALUE(IF(LEN(_xlpm.steps)&gt;2,RIGHT(_xlpm.steps,2),_xlpm.steps)))</f>
        <v>40</v>
      </c>
      <c r="D2443">
        <f>_xlfn.LET(_xlpm.dir,Table1[[#This Row],[Direction]],
IF(_xlpm.dir="L",
    IF(F2442-Table1[[#This Row],[Steps]]&lt;0,100+(F2442-Table1[[#This Row],[Steps]]),F2442-Table1[[#This Row],[Steps]]),
))</f>
        <v>0</v>
      </c>
      <c r="E2443">
        <f>_xlfn.LET(_xlpm.dir,Table1[[#This Row],[Direction]],
IF(_xlpm.dir="R",
    IF(F2442+Table1[[#This Row],[Steps]]&gt;99,(F2442+Table1[[#This Row],[Steps]])-100,F2442+Table1[[#This Row],[Steps]]),
))</f>
        <v>0</v>
      </c>
      <c r="F2443">
        <f>IF(Table1[[#This Row],[New Pos L]]&lt;&gt;0,Table1[[#This Row],[New Pos L]],Table1[[#This Row],[New Pos R]])</f>
        <v>0</v>
      </c>
    </row>
    <row r="2444" spans="1:6" ht="16" x14ac:dyDescent="0.2">
      <c r="A2444" s="1" t="s">
        <v>51</v>
      </c>
      <c r="B2444" t="str">
        <f>LEFT(Table1[[#This Row],[Input]],1)</f>
        <v>L</v>
      </c>
      <c r="C2444">
        <f>_xlfn.LET(_xlpm.steps,SUBSTITUTE(Table1[[#This Row],[Input]],Table1[[#This Row],[Direction]],""),VALUE(IF(LEN(_xlpm.steps)&gt;2,RIGHT(_xlpm.steps,2),_xlpm.steps)))</f>
        <v>25</v>
      </c>
      <c r="D2444">
        <f>_xlfn.LET(_xlpm.dir,Table1[[#This Row],[Direction]],
IF(_xlpm.dir="L",
    IF(F2443-Table1[[#This Row],[Steps]]&lt;0,100+(F2443-Table1[[#This Row],[Steps]]),F2443-Table1[[#This Row],[Steps]]),
))</f>
        <v>75</v>
      </c>
      <c r="E2444">
        <f>_xlfn.LET(_xlpm.dir,Table1[[#This Row],[Direction]],
IF(_xlpm.dir="R",
    IF(F2443+Table1[[#This Row],[Steps]]&gt;99,(F2443+Table1[[#This Row],[Steps]])-100,F2443+Table1[[#This Row],[Steps]]),
))</f>
        <v>0</v>
      </c>
      <c r="F2444">
        <f>IF(Table1[[#This Row],[New Pos L]]&lt;&gt;0,Table1[[#This Row],[New Pos L]],Table1[[#This Row],[New Pos R]])</f>
        <v>75</v>
      </c>
    </row>
    <row r="2445" spans="1:6" ht="16" x14ac:dyDescent="0.2">
      <c r="A2445" s="1" t="s">
        <v>146</v>
      </c>
      <c r="B2445" t="str">
        <f>LEFT(Table1[[#This Row],[Input]],1)</f>
        <v>R</v>
      </c>
      <c r="C2445">
        <f>_xlfn.LET(_xlpm.steps,SUBSTITUTE(Table1[[#This Row],[Input]],Table1[[#This Row],[Direction]],""),VALUE(IF(LEN(_xlpm.steps)&gt;2,RIGHT(_xlpm.steps,2),_xlpm.steps)))</f>
        <v>4</v>
      </c>
      <c r="D2445">
        <f>_xlfn.LET(_xlpm.dir,Table1[[#This Row],[Direction]],
IF(_xlpm.dir="L",
    IF(F2444-Table1[[#This Row],[Steps]]&lt;0,100+(F2444-Table1[[#This Row],[Steps]]),F2444-Table1[[#This Row],[Steps]]),
))</f>
        <v>0</v>
      </c>
      <c r="E2445">
        <f>_xlfn.LET(_xlpm.dir,Table1[[#This Row],[Direction]],
IF(_xlpm.dir="R",
    IF(F2444+Table1[[#This Row],[Steps]]&gt;99,(F2444+Table1[[#This Row],[Steps]])-100,F2444+Table1[[#This Row],[Steps]]),
))</f>
        <v>79</v>
      </c>
      <c r="F2445">
        <f>IF(Table1[[#This Row],[New Pos L]]&lt;&gt;0,Table1[[#This Row],[New Pos L]],Table1[[#This Row],[New Pos R]])</f>
        <v>79</v>
      </c>
    </row>
    <row r="2446" spans="1:6" ht="16" x14ac:dyDescent="0.2">
      <c r="A2446" s="1" t="s">
        <v>604</v>
      </c>
      <c r="B2446" t="str">
        <f>LEFT(Table1[[#This Row],[Input]],1)</f>
        <v>L</v>
      </c>
      <c r="C2446">
        <f>_xlfn.LET(_xlpm.steps,SUBSTITUTE(Table1[[#This Row],[Input]],Table1[[#This Row],[Direction]],""),VALUE(IF(LEN(_xlpm.steps)&gt;2,RIGHT(_xlpm.steps,2),_xlpm.steps)))</f>
        <v>35</v>
      </c>
      <c r="D2446">
        <f>_xlfn.LET(_xlpm.dir,Table1[[#This Row],[Direction]],
IF(_xlpm.dir="L",
    IF(F2445-Table1[[#This Row],[Steps]]&lt;0,100+(F2445-Table1[[#This Row],[Steps]]),F2445-Table1[[#This Row],[Steps]]),
))</f>
        <v>44</v>
      </c>
      <c r="E2446">
        <f>_xlfn.LET(_xlpm.dir,Table1[[#This Row],[Direction]],
IF(_xlpm.dir="R",
    IF(F2445+Table1[[#This Row],[Steps]]&gt;99,(F2445+Table1[[#This Row],[Steps]])-100,F2445+Table1[[#This Row],[Steps]]),
))</f>
        <v>0</v>
      </c>
      <c r="F2446">
        <f>IF(Table1[[#This Row],[New Pos L]]&lt;&gt;0,Table1[[#This Row],[New Pos L]],Table1[[#This Row],[New Pos R]])</f>
        <v>44</v>
      </c>
    </row>
    <row r="2447" spans="1:6" ht="16" x14ac:dyDescent="0.2">
      <c r="A2447" s="1" t="s">
        <v>26</v>
      </c>
      <c r="B2447" t="str">
        <f>LEFT(Table1[[#This Row],[Input]],1)</f>
        <v>R</v>
      </c>
      <c r="C2447">
        <f>_xlfn.LET(_xlpm.steps,SUBSTITUTE(Table1[[#This Row],[Input]],Table1[[#This Row],[Direction]],""),VALUE(IF(LEN(_xlpm.steps)&gt;2,RIGHT(_xlpm.steps,2),_xlpm.steps)))</f>
        <v>6</v>
      </c>
      <c r="D2447">
        <f>_xlfn.LET(_xlpm.dir,Table1[[#This Row],[Direction]],
IF(_xlpm.dir="L",
    IF(F2446-Table1[[#This Row],[Steps]]&lt;0,100+(F2446-Table1[[#This Row],[Steps]]),F2446-Table1[[#This Row],[Steps]]),
))</f>
        <v>0</v>
      </c>
      <c r="E2447">
        <f>_xlfn.LET(_xlpm.dir,Table1[[#This Row],[Direction]],
IF(_xlpm.dir="R",
    IF(F2446+Table1[[#This Row],[Steps]]&gt;99,(F2446+Table1[[#This Row],[Steps]])-100,F2446+Table1[[#This Row],[Steps]]),
))</f>
        <v>50</v>
      </c>
      <c r="F2447">
        <f>IF(Table1[[#This Row],[New Pos L]]&lt;&gt;0,Table1[[#This Row],[New Pos L]],Table1[[#This Row],[New Pos R]])</f>
        <v>50</v>
      </c>
    </row>
    <row r="2448" spans="1:6" ht="16" x14ac:dyDescent="0.2">
      <c r="A2448" s="1" t="s">
        <v>357</v>
      </c>
      <c r="B2448" t="str">
        <f>LEFT(Table1[[#This Row],[Input]],1)</f>
        <v>R</v>
      </c>
      <c r="C2448">
        <f>_xlfn.LET(_xlpm.steps,SUBSTITUTE(Table1[[#This Row],[Input]],Table1[[#This Row],[Direction]],""),VALUE(IF(LEN(_xlpm.steps)&gt;2,RIGHT(_xlpm.steps,2),_xlpm.steps)))</f>
        <v>72</v>
      </c>
      <c r="D2448">
        <f>_xlfn.LET(_xlpm.dir,Table1[[#This Row],[Direction]],
IF(_xlpm.dir="L",
    IF(F2447-Table1[[#This Row],[Steps]]&lt;0,100+(F2447-Table1[[#This Row],[Steps]]),F2447-Table1[[#This Row],[Steps]]),
))</f>
        <v>0</v>
      </c>
      <c r="E2448">
        <f>_xlfn.LET(_xlpm.dir,Table1[[#This Row],[Direction]],
IF(_xlpm.dir="R",
    IF(F2447+Table1[[#This Row],[Steps]]&gt;99,(F2447+Table1[[#This Row],[Steps]])-100,F2447+Table1[[#This Row],[Steps]]),
))</f>
        <v>22</v>
      </c>
      <c r="F2448">
        <f>IF(Table1[[#This Row],[New Pos L]]&lt;&gt;0,Table1[[#This Row],[New Pos L]],Table1[[#This Row],[New Pos R]])</f>
        <v>22</v>
      </c>
    </row>
    <row r="2449" spans="1:6" ht="16" x14ac:dyDescent="0.2">
      <c r="A2449" s="1" t="s">
        <v>363</v>
      </c>
      <c r="B2449" t="str">
        <f>LEFT(Table1[[#This Row],[Input]],1)</f>
        <v>R</v>
      </c>
      <c r="C2449">
        <f>_xlfn.LET(_xlpm.steps,SUBSTITUTE(Table1[[#This Row],[Input]],Table1[[#This Row],[Direction]],""),VALUE(IF(LEN(_xlpm.steps)&gt;2,RIGHT(_xlpm.steps,2),_xlpm.steps)))</f>
        <v>63</v>
      </c>
      <c r="D2449">
        <f>_xlfn.LET(_xlpm.dir,Table1[[#This Row],[Direction]],
IF(_xlpm.dir="L",
    IF(F2448-Table1[[#This Row],[Steps]]&lt;0,100+(F2448-Table1[[#This Row],[Steps]]),F2448-Table1[[#This Row],[Steps]]),
))</f>
        <v>0</v>
      </c>
      <c r="E2449">
        <f>_xlfn.LET(_xlpm.dir,Table1[[#This Row],[Direction]],
IF(_xlpm.dir="R",
    IF(F2448+Table1[[#This Row],[Steps]]&gt;99,(F2448+Table1[[#This Row],[Steps]])-100,F2448+Table1[[#This Row],[Steps]]),
))</f>
        <v>85</v>
      </c>
      <c r="F2449">
        <f>IF(Table1[[#This Row],[New Pos L]]&lt;&gt;0,Table1[[#This Row],[New Pos L]],Table1[[#This Row],[New Pos R]])</f>
        <v>85</v>
      </c>
    </row>
    <row r="2450" spans="1:6" ht="16" x14ac:dyDescent="0.2">
      <c r="A2450" s="1" t="s">
        <v>52</v>
      </c>
      <c r="B2450" t="str">
        <f>LEFT(Table1[[#This Row],[Input]],1)</f>
        <v>R</v>
      </c>
      <c r="C2450">
        <f>_xlfn.LET(_xlpm.steps,SUBSTITUTE(Table1[[#This Row],[Input]],Table1[[#This Row],[Direction]],""),VALUE(IF(LEN(_xlpm.steps)&gt;2,RIGHT(_xlpm.steps,2),_xlpm.steps)))</f>
        <v>11</v>
      </c>
      <c r="D2450">
        <f>_xlfn.LET(_xlpm.dir,Table1[[#This Row],[Direction]],
IF(_xlpm.dir="L",
    IF(F2449-Table1[[#This Row],[Steps]]&lt;0,100+(F2449-Table1[[#This Row],[Steps]]),F2449-Table1[[#This Row],[Steps]]),
))</f>
        <v>0</v>
      </c>
      <c r="E2450">
        <f>_xlfn.LET(_xlpm.dir,Table1[[#This Row],[Direction]],
IF(_xlpm.dir="R",
    IF(F2449+Table1[[#This Row],[Steps]]&gt;99,(F2449+Table1[[#This Row],[Steps]])-100,F2449+Table1[[#This Row],[Steps]]),
))</f>
        <v>96</v>
      </c>
      <c r="F2450">
        <f>IF(Table1[[#This Row],[New Pos L]]&lt;&gt;0,Table1[[#This Row],[New Pos L]],Table1[[#This Row],[New Pos R]])</f>
        <v>96</v>
      </c>
    </row>
    <row r="2451" spans="1:6" ht="16" x14ac:dyDescent="0.2">
      <c r="A2451" s="1" t="s">
        <v>36</v>
      </c>
      <c r="B2451" t="str">
        <f>LEFT(Table1[[#This Row],[Input]],1)</f>
        <v>R</v>
      </c>
      <c r="C2451">
        <f>_xlfn.LET(_xlpm.steps,SUBSTITUTE(Table1[[#This Row],[Input]],Table1[[#This Row],[Direction]],""),VALUE(IF(LEN(_xlpm.steps)&gt;2,RIGHT(_xlpm.steps,2),_xlpm.steps)))</f>
        <v>50</v>
      </c>
      <c r="D2451">
        <f>_xlfn.LET(_xlpm.dir,Table1[[#This Row],[Direction]],
IF(_xlpm.dir="L",
    IF(F2450-Table1[[#This Row],[Steps]]&lt;0,100+(F2450-Table1[[#This Row],[Steps]]),F2450-Table1[[#This Row],[Steps]]),
))</f>
        <v>0</v>
      </c>
      <c r="E2451">
        <f>_xlfn.LET(_xlpm.dir,Table1[[#This Row],[Direction]],
IF(_xlpm.dir="R",
    IF(F2450+Table1[[#This Row],[Steps]]&gt;99,(F2450+Table1[[#This Row],[Steps]])-100,F2450+Table1[[#This Row],[Steps]]),
))</f>
        <v>46</v>
      </c>
      <c r="F2451">
        <f>IF(Table1[[#This Row],[New Pos L]]&lt;&gt;0,Table1[[#This Row],[New Pos L]],Table1[[#This Row],[New Pos R]])</f>
        <v>46</v>
      </c>
    </row>
    <row r="2452" spans="1:6" ht="16" x14ac:dyDescent="0.2">
      <c r="A2452" s="1" t="s">
        <v>441</v>
      </c>
      <c r="B2452" t="str">
        <f>LEFT(Table1[[#This Row],[Input]],1)</f>
        <v>L</v>
      </c>
      <c r="C2452">
        <f>_xlfn.LET(_xlpm.steps,SUBSTITUTE(Table1[[#This Row],[Input]],Table1[[#This Row],[Direction]],""),VALUE(IF(LEN(_xlpm.steps)&gt;2,RIGHT(_xlpm.steps,2),_xlpm.steps)))</f>
        <v>82</v>
      </c>
      <c r="D2452">
        <f>_xlfn.LET(_xlpm.dir,Table1[[#This Row],[Direction]],
IF(_xlpm.dir="L",
    IF(F2451-Table1[[#This Row],[Steps]]&lt;0,100+(F2451-Table1[[#This Row],[Steps]]),F2451-Table1[[#This Row],[Steps]]),
))</f>
        <v>64</v>
      </c>
      <c r="E2452">
        <f>_xlfn.LET(_xlpm.dir,Table1[[#This Row],[Direction]],
IF(_xlpm.dir="R",
    IF(F2451+Table1[[#This Row],[Steps]]&gt;99,(F2451+Table1[[#This Row],[Steps]])-100,F2451+Table1[[#This Row],[Steps]]),
))</f>
        <v>0</v>
      </c>
      <c r="F2452">
        <f>IF(Table1[[#This Row],[New Pos L]]&lt;&gt;0,Table1[[#This Row],[New Pos L]],Table1[[#This Row],[New Pos R]])</f>
        <v>64</v>
      </c>
    </row>
    <row r="2453" spans="1:6" ht="16" x14ac:dyDescent="0.2">
      <c r="A2453" s="1" t="s">
        <v>272</v>
      </c>
      <c r="B2453" t="str">
        <f>LEFT(Table1[[#This Row],[Input]],1)</f>
        <v>R</v>
      </c>
      <c r="C2453">
        <f>_xlfn.LET(_xlpm.steps,SUBSTITUTE(Table1[[#This Row],[Input]],Table1[[#This Row],[Direction]],""),VALUE(IF(LEN(_xlpm.steps)&gt;2,RIGHT(_xlpm.steps,2),_xlpm.steps)))</f>
        <v>56</v>
      </c>
      <c r="D2453">
        <f>_xlfn.LET(_xlpm.dir,Table1[[#This Row],[Direction]],
IF(_xlpm.dir="L",
    IF(F2452-Table1[[#This Row],[Steps]]&lt;0,100+(F2452-Table1[[#This Row],[Steps]]),F2452-Table1[[#This Row],[Steps]]),
))</f>
        <v>0</v>
      </c>
      <c r="E2453">
        <f>_xlfn.LET(_xlpm.dir,Table1[[#This Row],[Direction]],
IF(_xlpm.dir="R",
    IF(F2452+Table1[[#This Row],[Steps]]&gt;99,(F2452+Table1[[#This Row],[Steps]])-100,F2452+Table1[[#This Row],[Steps]]),
))</f>
        <v>20</v>
      </c>
      <c r="F2453">
        <f>IF(Table1[[#This Row],[New Pos L]]&lt;&gt;0,Table1[[#This Row],[New Pos L]],Table1[[#This Row],[New Pos R]])</f>
        <v>20</v>
      </c>
    </row>
    <row r="2454" spans="1:6" ht="16" x14ac:dyDescent="0.2">
      <c r="A2454" s="1" t="s">
        <v>234</v>
      </c>
      <c r="B2454" t="str">
        <f>LEFT(Table1[[#This Row],[Input]],1)</f>
        <v>R</v>
      </c>
      <c r="C2454">
        <f>_xlfn.LET(_xlpm.steps,SUBSTITUTE(Table1[[#This Row],[Input]],Table1[[#This Row],[Direction]],""),VALUE(IF(LEN(_xlpm.steps)&gt;2,RIGHT(_xlpm.steps,2),_xlpm.steps)))</f>
        <v>82</v>
      </c>
      <c r="D2454">
        <f>_xlfn.LET(_xlpm.dir,Table1[[#This Row],[Direction]],
IF(_xlpm.dir="L",
    IF(F2453-Table1[[#This Row],[Steps]]&lt;0,100+(F2453-Table1[[#This Row],[Steps]]),F2453-Table1[[#This Row],[Steps]]),
))</f>
        <v>0</v>
      </c>
      <c r="E2454">
        <f>_xlfn.LET(_xlpm.dir,Table1[[#This Row],[Direction]],
IF(_xlpm.dir="R",
    IF(F2453+Table1[[#This Row],[Steps]]&gt;99,(F2453+Table1[[#This Row],[Steps]])-100,F2453+Table1[[#This Row],[Steps]]),
))</f>
        <v>2</v>
      </c>
      <c r="F2454">
        <f>IF(Table1[[#This Row],[New Pos L]]&lt;&gt;0,Table1[[#This Row],[New Pos L]],Table1[[#This Row],[New Pos R]])</f>
        <v>2</v>
      </c>
    </row>
    <row r="2455" spans="1:6" ht="16" x14ac:dyDescent="0.2">
      <c r="A2455" s="1" t="s">
        <v>35</v>
      </c>
      <c r="B2455" t="str">
        <f>LEFT(Table1[[#This Row],[Input]],1)</f>
        <v>L</v>
      </c>
      <c r="C2455">
        <f>_xlfn.LET(_xlpm.steps,SUBSTITUTE(Table1[[#This Row],[Input]],Table1[[#This Row],[Direction]],""),VALUE(IF(LEN(_xlpm.steps)&gt;2,RIGHT(_xlpm.steps,2),_xlpm.steps)))</f>
        <v>2</v>
      </c>
      <c r="D2455">
        <f>_xlfn.LET(_xlpm.dir,Table1[[#This Row],[Direction]],
IF(_xlpm.dir="L",
    IF(F2454-Table1[[#This Row],[Steps]]&lt;0,100+(F2454-Table1[[#This Row],[Steps]]),F2454-Table1[[#This Row],[Steps]]),
))</f>
        <v>0</v>
      </c>
      <c r="E2455">
        <f>_xlfn.LET(_xlpm.dir,Table1[[#This Row],[Direction]],
IF(_xlpm.dir="R",
    IF(F2454+Table1[[#This Row],[Steps]]&gt;99,(F2454+Table1[[#This Row],[Steps]])-100,F2454+Table1[[#This Row],[Steps]]),
))</f>
        <v>0</v>
      </c>
      <c r="F2455">
        <f>IF(Table1[[#This Row],[New Pos L]]&lt;&gt;0,Table1[[#This Row],[New Pos L]],Table1[[#This Row],[New Pos R]])</f>
        <v>0</v>
      </c>
    </row>
    <row r="2456" spans="1:6" ht="16" x14ac:dyDescent="0.2">
      <c r="A2456" s="1" t="s">
        <v>129</v>
      </c>
      <c r="B2456" t="str">
        <f>LEFT(Table1[[#This Row],[Input]],1)</f>
        <v>R</v>
      </c>
      <c r="C2456">
        <f>_xlfn.LET(_xlpm.steps,SUBSTITUTE(Table1[[#This Row],[Input]],Table1[[#This Row],[Direction]],""),VALUE(IF(LEN(_xlpm.steps)&gt;2,RIGHT(_xlpm.steps,2),_xlpm.steps)))</f>
        <v>8</v>
      </c>
      <c r="D2456">
        <f>_xlfn.LET(_xlpm.dir,Table1[[#This Row],[Direction]],
IF(_xlpm.dir="L",
    IF(F2455-Table1[[#This Row],[Steps]]&lt;0,100+(F2455-Table1[[#This Row],[Steps]]),F2455-Table1[[#This Row],[Steps]]),
))</f>
        <v>0</v>
      </c>
      <c r="E2456">
        <f>_xlfn.LET(_xlpm.dir,Table1[[#This Row],[Direction]],
IF(_xlpm.dir="R",
    IF(F2455+Table1[[#This Row],[Steps]]&gt;99,(F2455+Table1[[#This Row],[Steps]])-100,F2455+Table1[[#This Row],[Steps]]),
))</f>
        <v>8</v>
      </c>
      <c r="F2456">
        <f>IF(Table1[[#This Row],[New Pos L]]&lt;&gt;0,Table1[[#This Row],[New Pos L]],Table1[[#This Row],[New Pos R]])</f>
        <v>8</v>
      </c>
    </row>
    <row r="2457" spans="1:6" ht="16" x14ac:dyDescent="0.2">
      <c r="A2457" s="1" t="s">
        <v>605</v>
      </c>
      <c r="B2457" t="str">
        <f>LEFT(Table1[[#This Row],[Input]],1)</f>
        <v>R</v>
      </c>
      <c r="C2457">
        <f>_xlfn.LET(_xlpm.steps,SUBSTITUTE(Table1[[#This Row],[Input]],Table1[[#This Row],[Direction]],""),VALUE(IF(LEN(_xlpm.steps)&gt;2,RIGHT(_xlpm.steps,2),_xlpm.steps)))</f>
        <v>37</v>
      </c>
      <c r="D2457">
        <f>_xlfn.LET(_xlpm.dir,Table1[[#This Row],[Direction]],
IF(_xlpm.dir="L",
    IF(F2456-Table1[[#This Row],[Steps]]&lt;0,100+(F2456-Table1[[#This Row],[Steps]]),F2456-Table1[[#This Row],[Steps]]),
))</f>
        <v>0</v>
      </c>
      <c r="E2457">
        <f>_xlfn.LET(_xlpm.dir,Table1[[#This Row],[Direction]],
IF(_xlpm.dir="R",
    IF(F2456+Table1[[#This Row],[Steps]]&gt;99,(F2456+Table1[[#This Row],[Steps]])-100,F2456+Table1[[#This Row],[Steps]]),
))</f>
        <v>45</v>
      </c>
      <c r="F2457">
        <f>IF(Table1[[#This Row],[New Pos L]]&lt;&gt;0,Table1[[#This Row],[New Pos L]],Table1[[#This Row],[New Pos R]])</f>
        <v>45</v>
      </c>
    </row>
    <row r="2458" spans="1:6" ht="16" x14ac:dyDescent="0.2">
      <c r="A2458" s="1" t="s">
        <v>10</v>
      </c>
      <c r="B2458" t="str">
        <f>LEFT(Table1[[#This Row],[Input]],1)</f>
        <v>L</v>
      </c>
      <c r="C2458">
        <f>_xlfn.LET(_xlpm.steps,SUBSTITUTE(Table1[[#This Row],[Input]],Table1[[#This Row],[Direction]],""),VALUE(IF(LEN(_xlpm.steps)&gt;2,RIGHT(_xlpm.steps,2),_xlpm.steps)))</f>
        <v>35</v>
      </c>
      <c r="D2458">
        <f>_xlfn.LET(_xlpm.dir,Table1[[#This Row],[Direction]],
IF(_xlpm.dir="L",
    IF(F2457-Table1[[#This Row],[Steps]]&lt;0,100+(F2457-Table1[[#This Row],[Steps]]),F2457-Table1[[#This Row],[Steps]]),
))</f>
        <v>10</v>
      </c>
      <c r="E2458">
        <f>_xlfn.LET(_xlpm.dir,Table1[[#This Row],[Direction]],
IF(_xlpm.dir="R",
    IF(F2457+Table1[[#This Row],[Steps]]&gt;99,(F2457+Table1[[#This Row],[Steps]])-100,F2457+Table1[[#This Row],[Steps]]),
))</f>
        <v>0</v>
      </c>
      <c r="F2458">
        <f>IF(Table1[[#This Row],[New Pos L]]&lt;&gt;0,Table1[[#This Row],[New Pos L]],Table1[[#This Row],[New Pos R]])</f>
        <v>10</v>
      </c>
    </row>
    <row r="2459" spans="1:6" ht="16" x14ac:dyDescent="0.2">
      <c r="A2459" s="1" t="s">
        <v>213</v>
      </c>
      <c r="B2459" t="str">
        <f>LEFT(Table1[[#This Row],[Input]],1)</f>
        <v>R</v>
      </c>
      <c r="C2459">
        <f>_xlfn.LET(_xlpm.steps,SUBSTITUTE(Table1[[#This Row],[Input]],Table1[[#This Row],[Direction]],""),VALUE(IF(LEN(_xlpm.steps)&gt;2,RIGHT(_xlpm.steps,2),_xlpm.steps)))</f>
        <v>87</v>
      </c>
      <c r="D2459">
        <f>_xlfn.LET(_xlpm.dir,Table1[[#This Row],[Direction]],
IF(_xlpm.dir="L",
    IF(F2458-Table1[[#This Row],[Steps]]&lt;0,100+(F2458-Table1[[#This Row],[Steps]]),F2458-Table1[[#This Row],[Steps]]),
))</f>
        <v>0</v>
      </c>
      <c r="E2459">
        <f>_xlfn.LET(_xlpm.dir,Table1[[#This Row],[Direction]],
IF(_xlpm.dir="R",
    IF(F2458+Table1[[#This Row],[Steps]]&gt;99,(F2458+Table1[[#This Row],[Steps]])-100,F2458+Table1[[#This Row],[Steps]]),
))</f>
        <v>97</v>
      </c>
      <c r="F2459">
        <f>IF(Table1[[#This Row],[New Pos L]]&lt;&gt;0,Table1[[#This Row],[New Pos L]],Table1[[#This Row],[New Pos R]])</f>
        <v>97</v>
      </c>
    </row>
    <row r="2460" spans="1:6" ht="16" x14ac:dyDescent="0.2">
      <c r="A2460" s="1" t="s">
        <v>606</v>
      </c>
      <c r="B2460" t="str">
        <f>LEFT(Table1[[#This Row],[Input]],1)</f>
        <v>L</v>
      </c>
      <c r="C2460">
        <f>_xlfn.LET(_xlpm.steps,SUBSTITUTE(Table1[[#This Row],[Input]],Table1[[#This Row],[Direction]],""),VALUE(IF(LEN(_xlpm.steps)&gt;2,RIGHT(_xlpm.steps,2),_xlpm.steps)))</f>
        <v>97</v>
      </c>
      <c r="D2460">
        <f>_xlfn.LET(_xlpm.dir,Table1[[#This Row],[Direction]],
IF(_xlpm.dir="L",
    IF(F2459-Table1[[#This Row],[Steps]]&lt;0,100+(F2459-Table1[[#This Row],[Steps]]),F2459-Table1[[#This Row],[Steps]]),
))</f>
        <v>0</v>
      </c>
      <c r="E2460">
        <f>_xlfn.LET(_xlpm.dir,Table1[[#This Row],[Direction]],
IF(_xlpm.dir="R",
    IF(F2459+Table1[[#This Row],[Steps]]&gt;99,(F2459+Table1[[#This Row],[Steps]])-100,F2459+Table1[[#This Row],[Steps]]),
))</f>
        <v>0</v>
      </c>
      <c r="F2460">
        <f>IF(Table1[[#This Row],[New Pos L]]&lt;&gt;0,Table1[[#This Row],[New Pos L]],Table1[[#This Row],[New Pos R]])</f>
        <v>0</v>
      </c>
    </row>
    <row r="2461" spans="1:6" ht="16" x14ac:dyDescent="0.2">
      <c r="A2461" s="1" t="s">
        <v>123</v>
      </c>
      <c r="B2461" t="str">
        <f>LEFT(Table1[[#This Row],[Input]],1)</f>
        <v>L</v>
      </c>
      <c r="C2461">
        <f>_xlfn.LET(_xlpm.steps,SUBSTITUTE(Table1[[#This Row],[Input]],Table1[[#This Row],[Direction]],""),VALUE(IF(LEN(_xlpm.steps)&gt;2,RIGHT(_xlpm.steps,2),_xlpm.steps)))</f>
        <v>63</v>
      </c>
      <c r="D2461">
        <f>_xlfn.LET(_xlpm.dir,Table1[[#This Row],[Direction]],
IF(_xlpm.dir="L",
    IF(F2460-Table1[[#This Row],[Steps]]&lt;0,100+(F2460-Table1[[#This Row],[Steps]]),F2460-Table1[[#This Row],[Steps]]),
))</f>
        <v>37</v>
      </c>
      <c r="E2461">
        <f>_xlfn.LET(_xlpm.dir,Table1[[#This Row],[Direction]],
IF(_xlpm.dir="R",
    IF(F2460+Table1[[#This Row],[Steps]]&gt;99,(F2460+Table1[[#This Row],[Steps]])-100,F2460+Table1[[#This Row],[Steps]]),
))</f>
        <v>0</v>
      </c>
      <c r="F2461">
        <f>IF(Table1[[#This Row],[New Pos L]]&lt;&gt;0,Table1[[#This Row],[New Pos L]],Table1[[#This Row],[New Pos R]])</f>
        <v>37</v>
      </c>
    </row>
    <row r="2462" spans="1:6" ht="16" x14ac:dyDescent="0.2">
      <c r="A2462" s="1" t="s">
        <v>125</v>
      </c>
      <c r="B2462" t="str">
        <f>LEFT(Table1[[#This Row],[Input]],1)</f>
        <v>L</v>
      </c>
      <c r="C2462">
        <f>_xlfn.LET(_xlpm.steps,SUBSTITUTE(Table1[[#This Row],[Input]],Table1[[#This Row],[Direction]],""),VALUE(IF(LEN(_xlpm.steps)&gt;2,RIGHT(_xlpm.steps,2),_xlpm.steps)))</f>
        <v>76</v>
      </c>
      <c r="D2462">
        <f>_xlfn.LET(_xlpm.dir,Table1[[#This Row],[Direction]],
IF(_xlpm.dir="L",
    IF(F2461-Table1[[#This Row],[Steps]]&lt;0,100+(F2461-Table1[[#This Row],[Steps]]),F2461-Table1[[#This Row],[Steps]]),
))</f>
        <v>61</v>
      </c>
      <c r="E2462">
        <f>_xlfn.LET(_xlpm.dir,Table1[[#This Row],[Direction]],
IF(_xlpm.dir="R",
    IF(F2461+Table1[[#This Row],[Steps]]&gt;99,(F2461+Table1[[#This Row],[Steps]])-100,F2461+Table1[[#This Row],[Steps]]),
))</f>
        <v>0</v>
      </c>
      <c r="F2462">
        <f>IF(Table1[[#This Row],[New Pos L]]&lt;&gt;0,Table1[[#This Row],[New Pos L]],Table1[[#This Row],[New Pos R]])</f>
        <v>61</v>
      </c>
    </row>
    <row r="2463" spans="1:6" ht="16" x14ac:dyDescent="0.2">
      <c r="A2463" s="1" t="s">
        <v>102</v>
      </c>
      <c r="B2463" t="str">
        <f>LEFT(Table1[[#This Row],[Input]],1)</f>
        <v>R</v>
      </c>
      <c r="C2463">
        <f>_xlfn.LET(_xlpm.steps,SUBSTITUTE(Table1[[#This Row],[Input]],Table1[[#This Row],[Direction]],""),VALUE(IF(LEN(_xlpm.steps)&gt;2,RIGHT(_xlpm.steps,2),_xlpm.steps)))</f>
        <v>39</v>
      </c>
      <c r="D2463">
        <f>_xlfn.LET(_xlpm.dir,Table1[[#This Row],[Direction]],
IF(_xlpm.dir="L",
    IF(F2462-Table1[[#This Row],[Steps]]&lt;0,100+(F2462-Table1[[#This Row],[Steps]]),F2462-Table1[[#This Row],[Steps]]),
))</f>
        <v>0</v>
      </c>
      <c r="E2463">
        <f>_xlfn.LET(_xlpm.dir,Table1[[#This Row],[Direction]],
IF(_xlpm.dir="R",
    IF(F2462+Table1[[#This Row],[Steps]]&gt;99,(F2462+Table1[[#This Row],[Steps]])-100,F2462+Table1[[#This Row],[Steps]]),
))</f>
        <v>0</v>
      </c>
      <c r="F2463">
        <f>IF(Table1[[#This Row],[New Pos L]]&lt;&gt;0,Table1[[#This Row],[New Pos L]],Table1[[#This Row],[New Pos R]])</f>
        <v>0</v>
      </c>
    </row>
    <row r="2464" spans="1:6" ht="16" x14ac:dyDescent="0.2">
      <c r="A2464" s="1" t="s">
        <v>215</v>
      </c>
      <c r="B2464" t="str">
        <f>LEFT(Table1[[#This Row],[Input]],1)</f>
        <v>L</v>
      </c>
      <c r="C2464">
        <f>_xlfn.LET(_xlpm.steps,SUBSTITUTE(Table1[[#This Row],[Input]],Table1[[#This Row],[Direction]],""),VALUE(IF(LEN(_xlpm.steps)&gt;2,RIGHT(_xlpm.steps,2),_xlpm.steps)))</f>
        <v>14</v>
      </c>
      <c r="D2464">
        <f>_xlfn.LET(_xlpm.dir,Table1[[#This Row],[Direction]],
IF(_xlpm.dir="L",
    IF(F2463-Table1[[#This Row],[Steps]]&lt;0,100+(F2463-Table1[[#This Row],[Steps]]),F2463-Table1[[#This Row],[Steps]]),
))</f>
        <v>86</v>
      </c>
      <c r="E2464">
        <f>_xlfn.LET(_xlpm.dir,Table1[[#This Row],[Direction]],
IF(_xlpm.dir="R",
    IF(F2463+Table1[[#This Row],[Steps]]&gt;99,(F2463+Table1[[#This Row],[Steps]])-100,F2463+Table1[[#This Row],[Steps]]),
))</f>
        <v>0</v>
      </c>
      <c r="F2464">
        <f>IF(Table1[[#This Row],[New Pos L]]&lt;&gt;0,Table1[[#This Row],[New Pos L]],Table1[[#This Row],[New Pos R]])</f>
        <v>86</v>
      </c>
    </row>
    <row r="2465" spans="1:6" ht="16" x14ac:dyDescent="0.2">
      <c r="A2465" s="1" t="s">
        <v>3</v>
      </c>
      <c r="B2465" t="str">
        <f>LEFT(Table1[[#This Row],[Input]],1)</f>
        <v>R</v>
      </c>
      <c r="C2465">
        <f>_xlfn.LET(_xlpm.steps,SUBSTITUTE(Table1[[#This Row],[Input]],Table1[[#This Row],[Direction]],""),VALUE(IF(LEN(_xlpm.steps)&gt;2,RIGHT(_xlpm.steps,2),_xlpm.steps)))</f>
        <v>44</v>
      </c>
      <c r="D2465">
        <f>_xlfn.LET(_xlpm.dir,Table1[[#This Row],[Direction]],
IF(_xlpm.dir="L",
    IF(F2464-Table1[[#This Row],[Steps]]&lt;0,100+(F2464-Table1[[#This Row],[Steps]]),F2464-Table1[[#This Row],[Steps]]),
))</f>
        <v>0</v>
      </c>
      <c r="E2465">
        <f>_xlfn.LET(_xlpm.dir,Table1[[#This Row],[Direction]],
IF(_xlpm.dir="R",
    IF(F2464+Table1[[#This Row],[Steps]]&gt;99,(F2464+Table1[[#This Row],[Steps]])-100,F2464+Table1[[#This Row],[Steps]]),
))</f>
        <v>30</v>
      </c>
      <c r="F2465">
        <f>IF(Table1[[#This Row],[New Pos L]]&lt;&gt;0,Table1[[#This Row],[New Pos L]],Table1[[#This Row],[New Pos R]])</f>
        <v>30</v>
      </c>
    </row>
    <row r="2466" spans="1:6" ht="16" x14ac:dyDescent="0.2">
      <c r="A2466" s="1" t="s">
        <v>607</v>
      </c>
      <c r="B2466" t="str">
        <f>LEFT(Table1[[#This Row],[Input]],1)</f>
        <v>R</v>
      </c>
      <c r="C2466">
        <f>_xlfn.LET(_xlpm.steps,SUBSTITUTE(Table1[[#This Row],[Input]],Table1[[#This Row],[Direction]],""),VALUE(IF(LEN(_xlpm.steps)&gt;2,RIGHT(_xlpm.steps,2),_xlpm.steps)))</f>
        <v>70</v>
      </c>
      <c r="D2466">
        <f>_xlfn.LET(_xlpm.dir,Table1[[#This Row],[Direction]],
IF(_xlpm.dir="L",
    IF(F2465-Table1[[#This Row],[Steps]]&lt;0,100+(F2465-Table1[[#This Row],[Steps]]),F2465-Table1[[#This Row],[Steps]]),
))</f>
        <v>0</v>
      </c>
      <c r="E2466">
        <f>_xlfn.LET(_xlpm.dir,Table1[[#This Row],[Direction]],
IF(_xlpm.dir="R",
    IF(F2465+Table1[[#This Row],[Steps]]&gt;99,(F2465+Table1[[#This Row],[Steps]])-100,F2465+Table1[[#This Row],[Steps]]),
))</f>
        <v>0</v>
      </c>
      <c r="F2466">
        <f>IF(Table1[[#This Row],[New Pos L]]&lt;&gt;0,Table1[[#This Row],[New Pos L]],Table1[[#This Row],[New Pos R]])</f>
        <v>0</v>
      </c>
    </row>
    <row r="2467" spans="1:6" ht="16" x14ac:dyDescent="0.2">
      <c r="A2467" s="1" t="s">
        <v>219</v>
      </c>
      <c r="B2467" t="str">
        <f>LEFT(Table1[[#This Row],[Input]],1)</f>
        <v>L</v>
      </c>
      <c r="C2467">
        <f>_xlfn.LET(_xlpm.steps,SUBSTITUTE(Table1[[#This Row],[Input]],Table1[[#This Row],[Direction]],""),VALUE(IF(LEN(_xlpm.steps)&gt;2,RIGHT(_xlpm.steps,2),_xlpm.steps)))</f>
        <v>64</v>
      </c>
      <c r="D2467">
        <f>_xlfn.LET(_xlpm.dir,Table1[[#This Row],[Direction]],
IF(_xlpm.dir="L",
    IF(F2466-Table1[[#This Row],[Steps]]&lt;0,100+(F2466-Table1[[#This Row],[Steps]]),F2466-Table1[[#This Row],[Steps]]),
))</f>
        <v>36</v>
      </c>
      <c r="E2467">
        <f>_xlfn.LET(_xlpm.dir,Table1[[#This Row],[Direction]],
IF(_xlpm.dir="R",
    IF(F2466+Table1[[#This Row],[Steps]]&gt;99,(F2466+Table1[[#This Row],[Steps]])-100,F2466+Table1[[#This Row],[Steps]]),
))</f>
        <v>0</v>
      </c>
      <c r="F2467">
        <f>IF(Table1[[#This Row],[New Pos L]]&lt;&gt;0,Table1[[#This Row],[New Pos L]],Table1[[#This Row],[New Pos R]])</f>
        <v>36</v>
      </c>
    </row>
    <row r="2468" spans="1:6" ht="16" x14ac:dyDescent="0.2">
      <c r="A2468" s="1" t="s">
        <v>608</v>
      </c>
      <c r="B2468" t="str">
        <f>LEFT(Table1[[#This Row],[Input]],1)</f>
        <v>L</v>
      </c>
      <c r="C2468">
        <f>_xlfn.LET(_xlpm.steps,SUBSTITUTE(Table1[[#This Row],[Input]],Table1[[#This Row],[Direction]],""),VALUE(IF(LEN(_xlpm.steps)&gt;2,RIGHT(_xlpm.steps,2),_xlpm.steps)))</f>
        <v>78</v>
      </c>
      <c r="D2468">
        <f>_xlfn.LET(_xlpm.dir,Table1[[#This Row],[Direction]],
IF(_xlpm.dir="L",
    IF(F2467-Table1[[#This Row],[Steps]]&lt;0,100+(F2467-Table1[[#This Row],[Steps]]),F2467-Table1[[#This Row],[Steps]]),
))</f>
        <v>58</v>
      </c>
      <c r="E2468">
        <f>_xlfn.LET(_xlpm.dir,Table1[[#This Row],[Direction]],
IF(_xlpm.dir="R",
    IF(F2467+Table1[[#This Row],[Steps]]&gt;99,(F2467+Table1[[#This Row],[Steps]])-100,F2467+Table1[[#This Row],[Steps]]),
))</f>
        <v>0</v>
      </c>
      <c r="F2468">
        <f>IF(Table1[[#This Row],[New Pos L]]&lt;&gt;0,Table1[[#This Row],[New Pos L]],Table1[[#This Row],[New Pos R]])</f>
        <v>58</v>
      </c>
    </row>
    <row r="2469" spans="1:6" ht="16" x14ac:dyDescent="0.2">
      <c r="A2469" s="1" t="s">
        <v>116</v>
      </c>
      <c r="B2469" t="str">
        <f>LEFT(Table1[[#This Row],[Input]],1)</f>
        <v>L</v>
      </c>
      <c r="C2469">
        <f>_xlfn.LET(_xlpm.steps,SUBSTITUTE(Table1[[#This Row],[Input]],Table1[[#This Row],[Direction]],""),VALUE(IF(LEN(_xlpm.steps)&gt;2,RIGHT(_xlpm.steps,2),_xlpm.steps)))</f>
        <v>58</v>
      </c>
      <c r="D2469">
        <f>_xlfn.LET(_xlpm.dir,Table1[[#This Row],[Direction]],
IF(_xlpm.dir="L",
    IF(F2468-Table1[[#This Row],[Steps]]&lt;0,100+(F2468-Table1[[#This Row],[Steps]]),F2468-Table1[[#This Row],[Steps]]),
))</f>
        <v>0</v>
      </c>
      <c r="E2469">
        <f>_xlfn.LET(_xlpm.dir,Table1[[#This Row],[Direction]],
IF(_xlpm.dir="R",
    IF(F2468+Table1[[#This Row],[Steps]]&gt;99,(F2468+Table1[[#This Row],[Steps]])-100,F2468+Table1[[#This Row],[Steps]]),
))</f>
        <v>0</v>
      </c>
      <c r="F2469">
        <f>IF(Table1[[#This Row],[New Pos L]]&lt;&gt;0,Table1[[#This Row],[New Pos L]],Table1[[#This Row],[New Pos R]])</f>
        <v>0</v>
      </c>
    </row>
    <row r="2470" spans="1:6" ht="16" x14ac:dyDescent="0.2">
      <c r="A2470" s="1" t="s">
        <v>609</v>
      </c>
      <c r="B2470" t="str">
        <f>LEFT(Table1[[#This Row],[Input]],1)</f>
        <v>L</v>
      </c>
      <c r="C2470">
        <f>_xlfn.LET(_xlpm.steps,SUBSTITUTE(Table1[[#This Row],[Input]],Table1[[#This Row],[Direction]],""),VALUE(IF(LEN(_xlpm.steps)&gt;2,RIGHT(_xlpm.steps,2),_xlpm.steps)))</f>
        <v>6</v>
      </c>
      <c r="D2470">
        <f>_xlfn.LET(_xlpm.dir,Table1[[#This Row],[Direction]],
IF(_xlpm.dir="L",
    IF(F2469-Table1[[#This Row],[Steps]]&lt;0,100+(F2469-Table1[[#This Row],[Steps]]),F2469-Table1[[#This Row],[Steps]]),
))</f>
        <v>94</v>
      </c>
      <c r="E2470">
        <f>_xlfn.LET(_xlpm.dir,Table1[[#This Row],[Direction]],
IF(_xlpm.dir="R",
    IF(F2469+Table1[[#This Row],[Steps]]&gt;99,(F2469+Table1[[#This Row],[Steps]])-100,F2469+Table1[[#This Row],[Steps]]),
))</f>
        <v>0</v>
      </c>
      <c r="F2470">
        <f>IF(Table1[[#This Row],[New Pos L]]&lt;&gt;0,Table1[[#This Row],[New Pos L]],Table1[[#This Row],[New Pos R]])</f>
        <v>94</v>
      </c>
    </row>
    <row r="2471" spans="1:6" ht="16" x14ac:dyDescent="0.2">
      <c r="A2471" s="1" t="s">
        <v>138</v>
      </c>
      <c r="B2471" t="str">
        <f>LEFT(Table1[[#This Row],[Input]],1)</f>
        <v>L</v>
      </c>
      <c r="C2471">
        <f>_xlfn.LET(_xlpm.steps,SUBSTITUTE(Table1[[#This Row],[Input]],Table1[[#This Row],[Direction]],""),VALUE(IF(LEN(_xlpm.steps)&gt;2,RIGHT(_xlpm.steps,2),_xlpm.steps)))</f>
        <v>94</v>
      </c>
      <c r="D2471">
        <f>_xlfn.LET(_xlpm.dir,Table1[[#This Row],[Direction]],
IF(_xlpm.dir="L",
    IF(F2470-Table1[[#This Row],[Steps]]&lt;0,100+(F2470-Table1[[#This Row],[Steps]]),F2470-Table1[[#This Row],[Steps]]),
))</f>
        <v>0</v>
      </c>
      <c r="E2471">
        <f>_xlfn.LET(_xlpm.dir,Table1[[#This Row],[Direction]],
IF(_xlpm.dir="R",
    IF(F2470+Table1[[#This Row],[Steps]]&gt;99,(F2470+Table1[[#This Row],[Steps]])-100,F2470+Table1[[#This Row],[Steps]]),
))</f>
        <v>0</v>
      </c>
      <c r="F2471">
        <f>IF(Table1[[#This Row],[New Pos L]]&lt;&gt;0,Table1[[#This Row],[New Pos L]],Table1[[#This Row],[New Pos R]])</f>
        <v>0</v>
      </c>
    </row>
    <row r="2472" spans="1:6" ht="16" x14ac:dyDescent="0.2">
      <c r="A2472" s="1" t="s">
        <v>73</v>
      </c>
      <c r="B2472" t="str">
        <f>LEFT(Table1[[#This Row],[Input]],1)</f>
        <v>R</v>
      </c>
      <c r="C2472">
        <f>_xlfn.LET(_xlpm.steps,SUBSTITUTE(Table1[[#This Row],[Input]],Table1[[#This Row],[Direction]],""),VALUE(IF(LEN(_xlpm.steps)&gt;2,RIGHT(_xlpm.steps,2),_xlpm.steps)))</f>
        <v>21</v>
      </c>
      <c r="D2472">
        <f>_xlfn.LET(_xlpm.dir,Table1[[#This Row],[Direction]],
IF(_xlpm.dir="L",
    IF(F2471-Table1[[#This Row],[Steps]]&lt;0,100+(F2471-Table1[[#This Row],[Steps]]),F2471-Table1[[#This Row],[Steps]]),
))</f>
        <v>0</v>
      </c>
      <c r="E2472">
        <f>_xlfn.LET(_xlpm.dir,Table1[[#This Row],[Direction]],
IF(_xlpm.dir="R",
    IF(F2471+Table1[[#This Row],[Steps]]&gt;99,(F2471+Table1[[#This Row],[Steps]])-100,F2471+Table1[[#This Row],[Steps]]),
))</f>
        <v>21</v>
      </c>
      <c r="F2472">
        <f>IF(Table1[[#This Row],[New Pos L]]&lt;&gt;0,Table1[[#This Row],[New Pos L]],Table1[[#This Row],[New Pos R]])</f>
        <v>21</v>
      </c>
    </row>
    <row r="2473" spans="1:6" ht="16" x14ac:dyDescent="0.2">
      <c r="A2473" s="1" t="s">
        <v>286</v>
      </c>
      <c r="B2473" t="str">
        <f>LEFT(Table1[[#This Row],[Input]],1)</f>
        <v>L</v>
      </c>
      <c r="C2473">
        <f>_xlfn.LET(_xlpm.steps,SUBSTITUTE(Table1[[#This Row],[Input]],Table1[[#This Row],[Direction]],""),VALUE(IF(LEN(_xlpm.steps)&gt;2,RIGHT(_xlpm.steps,2),_xlpm.steps)))</f>
        <v>53</v>
      </c>
      <c r="D2473">
        <f>_xlfn.LET(_xlpm.dir,Table1[[#This Row],[Direction]],
IF(_xlpm.dir="L",
    IF(F2472-Table1[[#This Row],[Steps]]&lt;0,100+(F2472-Table1[[#This Row],[Steps]]),F2472-Table1[[#This Row],[Steps]]),
))</f>
        <v>68</v>
      </c>
      <c r="E2473">
        <f>_xlfn.LET(_xlpm.dir,Table1[[#This Row],[Direction]],
IF(_xlpm.dir="R",
    IF(F2472+Table1[[#This Row],[Steps]]&gt;99,(F2472+Table1[[#This Row],[Steps]])-100,F2472+Table1[[#This Row],[Steps]]),
))</f>
        <v>0</v>
      </c>
      <c r="F2473">
        <f>IF(Table1[[#This Row],[New Pos L]]&lt;&gt;0,Table1[[#This Row],[New Pos L]],Table1[[#This Row],[New Pos R]])</f>
        <v>68</v>
      </c>
    </row>
    <row r="2474" spans="1:6" ht="16" x14ac:dyDescent="0.2">
      <c r="A2474" s="1" t="s">
        <v>6</v>
      </c>
      <c r="B2474" t="str">
        <f>LEFT(Table1[[#This Row],[Input]],1)</f>
        <v>R</v>
      </c>
      <c r="C2474">
        <f>_xlfn.LET(_xlpm.steps,SUBSTITUTE(Table1[[#This Row],[Input]],Table1[[#This Row],[Direction]],""),VALUE(IF(LEN(_xlpm.steps)&gt;2,RIGHT(_xlpm.steps,2),_xlpm.steps)))</f>
        <v>49</v>
      </c>
      <c r="D2474">
        <f>_xlfn.LET(_xlpm.dir,Table1[[#This Row],[Direction]],
IF(_xlpm.dir="L",
    IF(F2473-Table1[[#This Row],[Steps]]&lt;0,100+(F2473-Table1[[#This Row],[Steps]]),F2473-Table1[[#This Row],[Steps]]),
))</f>
        <v>0</v>
      </c>
      <c r="E2474">
        <f>_xlfn.LET(_xlpm.dir,Table1[[#This Row],[Direction]],
IF(_xlpm.dir="R",
    IF(F2473+Table1[[#This Row],[Steps]]&gt;99,(F2473+Table1[[#This Row],[Steps]])-100,F2473+Table1[[#This Row],[Steps]]),
))</f>
        <v>17</v>
      </c>
      <c r="F2474">
        <f>IF(Table1[[#This Row],[New Pos L]]&lt;&gt;0,Table1[[#This Row],[New Pos L]],Table1[[#This Row],[New Pos R]])</f>
        <v>17</v>
      </c>
    </row>
    <row r="2475" spans="1:6" ht="16" x14ac:dyDescent="0.2">
      <c r="A2475" s="1" t="s">
        <v>131</v>
      </c>
      <c r="B2475" t="str">
        <f>LEFT(Table1[[#This Row],[Input]],1)</f>
        <v>R</v>
      </c>
      <c r="C2475">
        <f>_xlfn.LET(_xlpm.steps,SUBSTITUTE(Table1[[#This Row],[Input]],Table1[[#This Row],[Direction]],""),VALUE(IF(LEN(_xlpm.steps)&gt;2,RIGHT(_xlpm.steps,2),_xlpm.steps)))</f>
        <v>99</v>
      </c>
      <c r="D2475">
        <f>_xlfn.LET(_xlpm.dir,Table1[[#This Row],[Direction]],
IF(_xlpm.dir="L",
    IF(F2474-Table1[[#This Row],[Steps]]&lt;0,100+(F2474-Table1[[#This Row],[Steps]]),F2474-Table1[[#This Row],[Steps]]),
))</f>
        <v>0</v>
      </c>
      <c r="E2475">
        <f>_xlfn.LET(_xlpm.dir,Table1[[#This Row],[Direction]],
IF(_xlpm.dir="R",
    IF(F2474+Table1[[#This Row],[Steps]]&gt;99,(F2474+Table1[[#This Row],[Steps]])-100,F2474+Table1[[#This Row],[Steps]]),
))</f>
        <v>16</v>
      </c>
      <c r="F2475">
        <f>IF(Table1[[#This Row],[New Pos L]]&lt;&gt;0,Table1[[#This Row],[New Pos L]],Table1[[#This Row],[New Pos R]])</f>
        <v>16</v>
      </c>
    </row>
    <row r="2476" spans="1:6" ht="16" x14ac:dyDescent="0.2">
      <c r="A2476" s="1" t="s">
        <v>151</v>
      </c>
      <c r="B2476" t="str">
        <f>LEFT(Table1[[#This Row],[Input]],1)</f>
        <v>L</v>
      </c>
      <c r="C2476">
        <f>_xlfn.LET(_xlpm.steps,SUBSTITUTE(Table1[[#This Row],[Input]],Table1[[#This Row],[Direction]],""),VALUE(IF(LEN(_xlpm.steps)&gt;2,RIGHT(_xlpm.steps,2),_xlpm.steps)))</f>
        <v>74</v>
      </c>
      <c r="D2476">
        <f>_xlfn.LET(_xlpm.dir,Table1[[#This Row],[Direction]],
IF(_xlpm.dir="L",
    IF(F2475-Table1[[#This Row],[Steps]]&lt;0,100+(F2475-Table1[[#This Row],[Steps]]),F2475-Table1[[#This Row],[Steps]]),
))</f>
        <v>42</v>
      </c>
      <c r="E2476">
        <f>_xlfn.LET(_xlpm.dir,Table1[[#This Row],[Direction]],
IF(_xlpm.dir="R",
    IF(F2475+Table1[[#This Row],[Steps]]&gt;99,(F2475+Table1[[#This Row],[Steps]])-100,F2475+Table1[[#This Row],[Steps]]),
))</f>
        <v>0</v>
      </c>
      <c r="F2476">
        <f>IF(Table1[[#This Row],[New Pos L]]&lt;&gt;0,Table1[[#This Row],[New Pos L]],Table1[[#This Row],[New Pos R]])</f>
        <v>42</v>
      </c>
    </row>
    <row r="2477" spans="1:6" ht="16" x14ac:dyDescent="0.2">
      <c r="A2477" s="1" t="s">
        <v>363</v>
      </c>
      <c r="B2477" t="str">
        <f>LEFT(Table1[[#This Row],[Input]],1)</f>
        <v>R</v>
      </c>
      <c r="C2477">
        <f>_xlfn.LET(_xlpm.steps,SUBSTITUTE(Table1[[#This Row],[Input]],Table1[[#This Row],[Direction]],""),VALUE(IF(LEN(_xlpm.steps)&gt;2,RIGHT(_xlpm.steps,2),_xlpm.steps)))</f>
        <v>63</v>
      </c>
      <c r="D2477">
        <f>_xlfn.LET(_xlpm.dir,Table1[[#This Row],[Direction]],
IF(_xlpm.dir="L",
    IF(F2476-Table1[[#This Row],[Steps]]&lt;0,100+(F2476-Table1[[#This Row],[Steps]]),F2476-Table1[[#This Row],[Steps]]),
))</f>
        <v>0</v>
      </c>
      <c r="E2477">
        <f>_xlfn.LET(_xlpm.dir,Table1[[#This Row],[Direction]],
IF(_xlpm.dir="R",
    IF(F2476+Table1[[#This Row],[Steps]]&gt;99,(F2476+Table1[[#This Row],[Steps]])-100,F2476+Table1[[#This Row],[Steps]]),
))</f>
        <v>5</v>
      </c>
      <c r="F2477">
        <f>IF(Table1[[#This Row],[New Pos L]]&lt;&gt;0,Table1[[#This Row],[New Pos L]],Table1[[#This Row],[New Pos R]])</f>
        <v>5</v>
      </c>
    </row>
    <row r="2478" spans="1:6" ht="16" x14ac:dyDescent="0.2">
      <c r="A2478" s="1" t="s">
        <v>319</v>
      </c>
      <c r="B2478" t="str">
        <f>LEFT(Table1[[#This Row],[Input]],1)</f>
        <v>L</v>
      </c>
      <c r="C2478">
        <f>_xlfn.LET(_xlpm.steps,SUBSTITUTE(Table1[[#This Row],[Input]],Table1[[#This Row],[Direction]],""),VALUE(IF(LEN(_xlpm.steps)&gt;2,RIGHT(_xlpm.steps,2),_xlpm.steps)))</f>
        <v>79</v>
      </c>
      <c r="D2478">
        <f>_xlfn.LET(_xlpm.dir,Table1[[#This Row],[Direction]],
IF(_xlpm.dir="L",
    IF(F2477-Table1[[#This Row],[Steps]]&lt;0,100+(F2477-Table1[[#This Row],[Steps]]),F2477-Table1[[#This Row],[Steps]]),
))</f>
        <v>26</v>
      </c>
      <c r="E2478">
        <f>_xlfn.LET(_xlpm.dir,Table1[[#This Row],[Direction]],
IF(_xlpm.dir="R",
    IF(F2477+Table1[[#This Row],[Steps]]&gt;99,(F2477+Table1[[#This Row],[Steps]])-100,F2477+Table1[[#This Row],[Steps]]),
))</f>
        <v>0</v>
      </c>
      <c r="F2478">
        <f>IF(Table1[[#This Row],[New Pos L]]&lt;&gt;0,Table1[[#This Row],[New Pos L]],Table1[[#This Row],[New Pos R]])</f>
        <v>26</v>
      </c>
    </row>
    <row r="2479" spans="1:6" ht="16" x14ac:dyDescent="0.2">
      <c r="A2479" s="1" t="s">
        <v>610</v>
      </c>
      <c r="B2479" t="str">
        <f>LEFT(Table1[[#This Row],[Input]],1)</f>
        <v>L</v>
      </c>
      <c r="C2479">
        <f>_xlfn.LET(_xlpm.steps,SUBSTITUTE(Table1[[#This Row],[Input]],Table1[[#This Row],[Direction]],""),VALUE(IF(LEN(_xlpm.steps)&gt;2,RIGHT(_xlpm.steps,2),_xlpm.steps)))</f>
        <v>14</v>
      </c>
      <c r="D2479">
        <f>_xlfn.LET(_xlpm.dir,Table1[[#This Row],[Direction]],
IF(_xlpm.dir="L",
    IF(F2478-Table1[[#This Row],[Steps]]&lt;0,100+(F2478-Table1[[#This Row],[Steps]]),F2478-Table1[[#This Row],[Steps]]),
))</f>
        <v>12</v>
      </c>
      <c r="E2479">
        <f>_xlfn.LET(_xlpm.dir,Table1[[#This Row],[Direction]],
IF(_xlpm.dir="R",
    IF(F2478+Table1[[#This Row],[Steps]]&gt;99,(F2478+Table1[[#This Row],[Steps]])-100,F2478+Table1[[#This Row],[Steps]]),
))</f>
        <v>0</v>
      </c>
      <c r="F2479">
        <f>IF(Table1[[#This Row],[New Pos L]]&lt;&gt;0,Table1[[#This Row],[New Pos L]],Table1[[#This Row],[New Pos R]])</f>
        <v>12</v>
      </c>
    </row>
    <row r="2480" spans="1:6" ht="16" x14ac:dyDescent="0.2">
      <c r="A2480" s="1" t="s">
        <v>73</v>
      </c>
      <c r="B2480" t="str">
        <f>LEFT(Table1[[#This Row],[Input]],1)</f>
        <v>R</v>
      </c>
      <c r="C2480">
        <f>_xlfn.LET(_xlpm.steps,SUBSTITUTE(Table1[[#This Row],[Input]],Table1[[#This Row],[Direction]],""),VALUE(IF(LEN(_xlpm.steps)&gt;2,RIGHT(_xlpm.steps,2),_xlpm.steps)))</f>
        <v>21</v>
      </c>
      <c r="D2480">
        <f>_xlfn.LET(_xlpm.dir,Table1[[#This Row],[Direction]],
IF(_xlpm.dir="L",
    IF(F2479-Table1[[#This Row],[Steps]]&lt;0,100+(F2479-Table1[[#This Row],[Steps]]),F2479-Table1[[#This Row],[Steps]]),
))</f>
        <v>0</v>
      </c>
      <c r="E2480">
        <f>_xlfn.LET(_xlpm.dir,Table1[[#This Row],[Direction]],
IF(_xlpm.dir="R",
    IF(F2479+Table1[[#This Row],[Steps]]&gt;99,(F2479+Table1[[#This Row],[Steps]])-100,F2479+Table1[[#This Row],[Steps]]),
))</f>
        <v>33</v>
      </c>
      <c r="F2480">
        <f>IF(Table1[[#This Row],[New Pos L]]&lt;&gt;0,Table1[[#This Row],[New Pos L]],Table1[[#This Row],[New Pos R]])</f>
        <v>33</v>
      </c>
    </row>
    <row r="2481" spans="1:6" ht="16" x14ac:dyDescent="0.2">
      <c r="A2481" s="1" t="s">
        <v>293</v>
      </c>
      <c r="B2481" t="str">
        <f>LEFT(Table1[[#This Row],[Input]],1)</f>
        <v>R</v>
      </c>
      <c r="C2481">
        <f>_xlfn.LET(_xlpm.steps,SUBSTITUTE(Table1[[#This Row],[Input]],Table1[[#This Row],[Direction]],""),VALUE(IF(LEN(_xlpm.steps)&gt;2,RIGHT(_xlpm.steps,2),_xlpm.steps)))</f>
        <v>67</v>
      </c>
      <c r="D2481">
        <f>_xlfn.LET(_xlpm.dir,Table1[[#This Row],[Direction]],
IF(_xlpm.dir="L",
    IF(F2480-Table1[[#This Row],[Steps]]&lt;0,100+(F2480-Table1[[#This Row],[Steps]]),F2480-Table1[[#This Row],[Steps]]),
))</f>
        <v>0</v>
      </c>
      <c r="E2481">
        <f>_xlfn.LET(_xlpm.dir,Table1[[#This Row],[Direction]],
IF(_xlpm.dir="R",
    IF(F2480+Table1[[#This Row],[Steps]]&gt;99,(F2480+Table1[[#This Row],[Steps]])-100,F2480+Table1[[#This Row],[Steps]]),
))</f>
        <v>0</v>
      </c>
      <c r="F2481">
        <f>IF(Table1[[#This Row],[New Pos L]]&lt;&gt;0,Table1[[#This Row],[New Pos L]],Table1[[#This Row],[New Pos R]])</f>
        <v>0</v>
      </c>
    </row>
    <row r="2482" spans="1:6" ht="16" x14ac:dyDescent="0.2">
      <c r="A2482" s="1" t="s">
        <v>74</v>
      </c>
      <c r="B2482" t="str">
        <f>LEFT(Table1[[#This Row],[Input]],1)</f>
        <v>R</v>
      </c>
      <c r="C2482">
        <f>_xlfn.LET(_xlpm.steps,SUBSTITUTE(Table1[[#This Row],[Input]],Table1[[#This Row],[Direction]],""),VALUE(IF(LEN(_xlpm.steps)&gt;2,RIGHT(_xlpm.steps,2),_xlpm.steps)))</f>
        <v>93</v>
      </c>
      <c r="D2482">
        <f>_xlfn.LET(_xlpm.dir,Table1[[#This Row],[Direction]],
IF(_xlpm.dir="L",
    IF(F2481-Table1[[#This Row],[Steps]]&lt;0,100+(F2481-Table1[[#This Row],[Steps]]),F2481-Table1[[#This Row],[Steps]]),
))</f>
        <v>0</v>
      </c>
      <c r="E2482">
        <f>_xlfn.LET(_xlpm.dir,Table1[[#This Row],[Direction]],
IF(_xlpm.dir="R",
    IF(F2481+Table1[[#This Row],[Steps]]&gt;99,(F2481+Table1[[#This Row],[Steps]])-100,F2481+Table1[[#This Row],[Steps]]),
))</f>
        <v>93</v>
      </c>
      <c r="F2482">
        <f>IF(Table1[[#This Row],[New Pos L]]&lt;&gt;0,Table1[[#This Row],[New Pos L]],Table1[[#This Row],[New Pos R]])</f>
        <v>93</v>
      </c>
    </row>
    <row r="2483" spans="1:6" ht="16" x14ac:dyDescent="0.2">
      <c r="A2483" s="1" t="s">
        <v>226</v>
      </c>
      <c r="B2483" t="str">
        <f>LEFT(Table1[[#This Row],[Input]],1)</f>
        <v>L</v>
      </c>
      <c r="C2483">
        <f>_xlfn.LET(_xlpm.steps,SUBSTITUTE(Table1[[#This Row],[Input]],Table1[[#This Row],[Direction]],""),VALUE(IF(LEN(_xlpm.steps)&gt;2,RIGHT(_xlpm.steps,2),_xlpm.steps)))</f>
        <v>31</v>
      </c>
      <c r="D2483">
        <f>_xlfn.LET(_xlpm.dir,Table1[[#This Row],[Direction]],
IF(_xlpm.dir="L",
    IF(F2482-Table1[[#This Row],[Steps]]&lt;0,100+(F2482-Table1[[#This Row],[Steps]]),F2482-Table1[[#This Row],[Steps]]),
))</f>
        <v>62</v>
      </c>
      <c r="E2483">
        <f>_xlfn.LET(_xlpm.dir,Table1[[#This Row],[Direction]],
IF(_xlpm.dir="R",
    IF(F2482+Table1[[#This Row],[Steps]]&gt;99,(F2482+Table1[[#This Row],[Steps]])-100,F2482+Table1[[#This Row],[Steps]]),
))</f>
        <v>0</v>
      </c>
      <c r="F2483">
        <f>IF(Table1[[#This Row],[New Pos L]]&lt;&gt;0,Table1[[#This Row],[New Pos L]],Table1[[#This Row],[New Pos R]])</f>
        <v>62</v>
      </c>
    </row>
    <row r="2484" spans="1:6" ht="16" x14ac:dyDescent="0.2">
      <c r="A2484" s="1" t="s">
        <v>514</v>
      </c>
      <c r="B2484" t="str">
        <f>LEFT(Table1[[#This Row],[Input]],1)</f>
        <v>R</v>
      </c>
      <c r="C2484">
        <f>_xlfn.LET(_xlpm.steps,SUBSTITUTE(Table1[[#This Row],[Input]],Table1[[#This Row],[Direction]],""),VALUE(IF(LEN(_xlpm.steps)&gt;2,RIGHT(_xlpm.steps,2),_xlpm.steps)))</f>
        <v>38</v>
      </c>
      <c r="D2484">
        <f>_xlfn.LET(_xlpm.dir,Table1[[#This Row],[Direction]],
IF(_xlpm.dir="L",
    IF(F2483-Table1[[#This Row],[Steps]]&lt;0,100+(F2483-Table1[[#This Row],[Steps]]),F2483-Table1[[#This Row],[Steps]]),
))</f>
        <v>0</v>
      </c>
      <c r="E2484">
        <f>_xlfn.LET(_xlpm.dir,Table1[[#This Row],[Direction]],
IF(_xlpm.dir="R",
    IF(F2483+Table1[[#This Row],[Steps]]&gt;99,(F2483+Table1[[#This Row],[Steps]])-100,F2483+Table1[[#This Row],[Steps]]),
))</f>
        <v>0</v>
      </c>
      <c r="F2484">
        <f>IF(Table1[[#This Row],[New Pos L]]&lt;&gt;0,Table1[[#This Row],[New Pos L]],Table1[[#This Row],[New Pos R]])</f>
        <v>0</v>
      </c>
    </row>
    <row r="2485" spans="1:6" ht="16" x14ac:dyDescent="0.2">
      <c r="A2485" s="1" t="s">
        <v>157</v>
      </c>
      <c r="B2485" t="str">
        <f>LEFT(Table1[[#This Row],[Input]],1)</f>
        <v>R</v>
      </c>
      <c r="C2485">
        <f>_xlfn.LET(_xlpm.steps,SUBSTITUTE(Table1[[#This Row],[Input]],Table1[[#This Row],[Direction]],""),VALUE(IF(LEN(_xlpm.steps)&gt;2,RIGHT(_xlpm.steps,2),_xlpm.steps)))</f>
        <v>68</v>
      </c>
      <c r="D2485">
        <f>_xlfn.LET(_xlpm.dir,Table1[[#This Row],[Direction]],
IF(_xlpm.dir="L",
    IF(F2484-Table1[[#This Row],[Steps]]&lt;0,100+(F2484-Table1[[#This Row],[Steps]]),F2484-Table1[[#This Row],[Steps]]),
))</f>
        <v>0</v>
      </c>
      <c r="E2485">
        <f>_xlfn.LET(_xlpm.dir,Table1[[#This Row],[Direction]],
IF(_xlpm.dir="R",
    IF(F2484+Table1[[#This Row],[Steps]]&gt;99,(F2484+Table1[[#This Row],[Steps]])-100,F2484+Table1[[#This Row],[Steps]]),
))</f>
        <v>68</v>
      </c>
      <c r="F2485">
        <f>IF(Table1[[#This Row],[New Pos L]]&lt;&gt;0,Table1[[#This Row],[New Pos L]],Table1[[#This Row],[New Pos R]])</f>
        <v>68</v>
      </c>
    </row>
    <row r="2486" spans="1:6" ht="16" x14ac:dyDescent="0.2">
      <c r="A2486" s="1" t="s">
        <v>39</v>
      </c>
      <c r="B2486" t="str">
        <f>LEFT(Table1[[#This Row],[Input]],1)</f>
        <v>R</v>
      </c>
      <c r="C2486">
        <f>_xlfn.LET(_xlpm.steps,SUBSTITUTE(Table1[[#This Row],[Input]],Table1[[#This Row],[Direction]],""),VALUE(IF(LEN(_xlpm.steps)&gt;2,RIGHT(_xlpm.steps,2),_xlpm.steps)))</f>
        <v>32</v>
      </c>
      <c r="D2486">
        <f>_xlfn.LET(_xlpm.dir,Table1[[#This Row],[Direction]],
IF(_xlpm.dir="L",
    IF(F2485-Table1[[#This Row],[Steps]]&lt;0,100+(F2485-Table1[[#This Row],[Steps]]),F2485-Table1[[#This Row],[Steps]]),
))</f>
        <v>0</v>
      </c>
      <c r="E2486">
        <f>_xlfn.LET(_xlpm.dir,Table1[[#This Row],[Direction]],
IF(_xlpm.dir="R",
    IF(F2485+Table1[[#This Row],[Steps]]&gt;99,(F2485+Table1[[#This Row],[Steps]])-100,F2485+Table1[[#This Row],[Steps]]),
))</f>
        <v>0</v>
      </c>
      <c r="F2486">
        <f>IF(Table1[[#This Row],[New Pos L]]&lt;&gt;0,Table1[[#This Row],[New Pos L]],Table1[[#This Row],[New Pos R]])</f>
        <v>0</v>
      </c>
    </row>
    <row r="2487" spans="1:6" ht="16" x14ac:dyDescent="0.2">
      <c r="A2487" s="1" t="s">
        <v>357</v>
      </c>
      <c r="B2487" t="str">
        <f>LEFT(Table1[[#This Row],[Input]],1)</f>
        <v>R</v>
      </c>
      <c r="C2487">
        <f>_xlfn.LET(_xlpm.steps,SUBSTITUTE(Table1[[#This Row],[Input]],Table1[[#This Row],[Direction]],""),VALUE(IF(LEN(_xlpm.steps)&gt;2,RIGHT(_xlpm.steps,2),_xlpm.steps)))</f>
        <v>72</v>
      </c>
      <c r="D2487">
        <f>_xlfn.LET(_xlpm.dir,Table1[[#This Row],[Direction]],
IF(_xlpm.dir="L",
    IF(F2486-Table1[[#This Row],[Steps]]&lt;0,100+(F2486-Table1[[#This Row],[Steps]]),F2486-Table1[[#This Row],[Steps]]),
))</f>
        <v>0</v>
      </c>
      <c r="E2487">
        <f>_xlfn.LET(_xlpm.dir,Table1[[#This Row],[Direction]],
IF(_xlpm.dir="R",
    IF(F2486+Table1[[#This Row],[Steps]]&gt;99,(F2486+Table1[[#This Row],[Steps]])-100,F2486+Table1[[#This Row],[Steps]]),
))</f>
        <v>72</v>
      </c>
      <c r="F2487">
        <f>IF(Table1[[#This Row],[New Pos L]]&lt;&gt;0,Table1[[#This Row],[New Pos L]],Table1[[#This Row],[New Pos R]])</f>
        <v>72</v>
      </c>
    </row>
    <row r="2488" spans="1:6" ht="16" x14ac:dyDescent="0.2">
      <c r="A2488" s="1" t="s">
        <v>205</v>
      </c>
      <c r="B2488" t="str">
        <f>LEFT(Table1[[#This Row],[Input]],1)</f>
        <v>R</v>
      </c>
      <c r="C2488">
        <f>_xlfn.LET(_xlpm.steps,SUBSTITUTE(Table1[[#This Row],[Input]],Table1[[#This Row],[Direction]],""),VALUE(IF(LEN(_xlpm.steps)&gt;2,RIGHT(_xlpm.steps,2),_xlpm.steps)))</f>
        <v>83</v>
      </c>
      <c r="D2488">
        <f>_xlfn.LET(_xlpm.dir,Table1[[#This Row],[Direction]],
IF(_xlpm.dir="L",
    IF(F2487-Table1[[#This Row],[Steps]]&lt;0,100+(F2487-Table1[[#This Row],[Steps]]),F2487-Table1[[#This Row],[Steps]]),
))</f>
        <v>0</v>
      </c>
      <c r="E2488">
        <f>_xlfn.LET(_xlpm.dir,Table1[[#This Row],[Direction]],
IF(_xlpm.dir="R",
    IF(F2487+Table1[[#This Row],[Steps]]&gt;99,(F2487+Table1[[#This Row],[Steps]])-100,F2487+Table1[[#This Row],[Steps]]),
))</f>
        <v>55</v>
      </c>
      <c r="F2488">
        <f>IF(Table1[[#This Row],[New Pos L]]&lt;&gt;0,Table1[[#This Row],[New Pos L]],Table1[[#This Row],[New Pos R]])</f>
        <v>55</v>
      </c>
    </row>
    <row r="2489" spans="1:6" ht="16" x14ac:dyDescent="0.2">
      <c r="A2489" s="1" t="s">
        <v>122</v>
      </c>
      <c r="B2489" t="str">
        <f>LEFT(Table1[[#This Row],[Input]],1)</f>
        <v>R</v>
      </c>
      <c r="C2489">
        <f>_xlfn.LET(_xlpm.steps,SUBSTITUTE(Table1[[#This Row],[Input]],Table1[[#This Row],[Direction]],""),VALUE(IF(LEN(_xlpm.steps)&gt;2,RIGHT(_xlpm.steps,2),_xlpm.steps)))</f>
        <v>75</v>
      </c>
      <c r="D2489">
        <f>_xlfn.LET(_xlpm.dir,Table1[[#This Row],[Direction]],
IF(_xlpm.dir="L",
    IF(F2488-Table1[[#This Row],[Steps]]&lt;0,100+(F2488-Table1[[#This Row],[Steps]]),F2488-Table1[[#This Row],[Steps]]),
))</f>
        <v>0</v>
      </c>
      <c r="E2489">
        <f>_xlfn.LET(_xlpm.dir,Table1[[#This Row],[Direction]],
IF(_xlpm.dir="R",
    IF(F2488+Table1[[#This Row],[Steps]]&gt;99,(F2488+Table1[[#This Row],[Steps]])-100,F2488+Table1[[#This Row],[Steps]]),
))</f>
        <v>30</v>
      </c>
      <c r="F2489">
        <f>IF(Table1[[#This Row],[New Pos L]]&lt;&gt;0,Table1[[#This Row],[New Pos L]],Table1[[#This Row],[New Pos R]])</f>
        <v>30</v>
      </c>
    </row>
    <row r="2490" spans="1:6" ht="16" x14ac:dyDescent="0.2">
      <c r="A2490" s="1" t="s">
        <v>611</v>
      </c>
      <c r="B2490" t="str">
        <f>LEFT(Table1[[#This Row],[Input]],1)</f>
        <v>R</v>
      </c>
      <c r="C2490">
        <f>_xlfn.LET(_xlpm.steps,SUBSTITUTE(Table1[[#This Row],[Input]],Table1[[#This Row],[Direction]],""),VALUE(IF(LEN(_xlpm.steps)&gt;2,RIGHT(_xlpm.steps,2),_xlpm.steps)))</f>
        <v>70</v>
      </c>
      <c r="D2490">
        <f>_xlfn.LET(_xlpm.dir,Table1[[#This Row],[Direction]],
IF(_xlpm.dir="L",
    IF(F2489-Table1[[#This Row],[Steps]]&lt;0,100+(F2489-Table1[[#This Row],[Steps]]),F2489-Table1[[#This Row],[Steps]]),
))</f>
        <v>0</v>
      </c>
      <c r="E2490">
        <f>_xlfn.LET(_xlpm.dir,Table1[[#This Row],[Direction]],
IF(_xlpm.dir="R",
    IF(F2489+Table1[[#This Row],[Steps]]&gt;99,(F2489+Table1[[#This Row],[Steps]])-100,F2489+Table1[[#This Row],[Steps]]),
))</f>
        <v>0</v>
      </c>
      <c r="F2490">
        <f>IF(Table1[[#This Row],[New Pos L]]&lt;&gt;0,Table1[[#This Row],[New Pos L]],Table1[[#This Row],[New Pos R]])</f>
        <v>0</v>
      </c>
    </row>
    <row r="2491" spans="1:6" ht="16" x14ac:dyDescent="0.2">
      <c r="A2491" s="1" t="s">
        <v>73</v>
      </c>
      <c r="B2491" t="str">
        <f>LEFT(Table1[[#This Row],[Input]],1)</f>
        <v>R</v>
      </c>
      <c r="C2491">
        <f>_xlfn.LET(_xlpm.steps,SUBSTITUTE(Table1[[#This Row],[Input]],Table1[[#This Row],[Direction]],""),VALUE(IF(LEN(_xlpm.steps)&gt;2,RIGHT(_xlpm.steps,2),_xlpm.steps)))</f>
        <v>21</v>
      </c>
      <c r="D2491">
        <f>_xlfn.LET(_xlpm.dir,Table1[[#This Row],[Direction]],
IF(_xlpm.dir="L",
    IF(F2490-Table1[[#This Row],[Steps]]&lt;0,100+(F2490-Table1[[#This Row],[Steps]]),F2490-Table1[[#This Row],[Steps]]),
))</f>
        <v>0</v>
      </c>
      <c r="E2491">
        <f>_xlfn.LET(_xlpm.dir,Table1[[#This Row],[Direction]],
IF(_xlpm.dir="R",
    IF(F2490+Table1[[#This Row],[Steps]]&gt;99,(F2490+Table1[[#This Row],[Steps]])-100,F2490+Table1[[#This Row],[Steps]]),
))</f>
        <v>21</v>
      </c>
      <c r="F2491">
        <f>IF(Table1[[#This Row],[New Pos L]]&lt;&gt;0,Table1[[#This Row],[New Pos L]],Table1[[#This Row],[New Pos R]])</f>
        <v>21</v>
      </c>
    </row>
    <row r="2492" spans="1:6" ht="16" x14ac:dyDescent="0.2">
      <c r="A2492" s="1" t="s">
        <v>1</v>
      </c>
      <c r="B2492" t="str">
        <f>LEFT(Table1[[#This Row],[Input]],1)</f>
        <v>R</v>
      </c>
      <c r="C2492">
        <f>_xlfn.LET(_xlpm.steps,SUBSTITUTE(Table1[[#This Row],[Input]],Table1[[#This Row],[Direction]],""),VALUE(IF(LEN(_xlpm.steps)&gt;2,RIGHT(_xlpm.steps,2),_xlpm.steps)))</f>
        <v>26</v>
      </c>
      <c r="D2492">
        <f>_xlfn.LET(_xlpm.dir,Table1[[#This Row],[Direction]],
IF(_xlpm.dir="L",
    IF(F2491-Table1[[#This Row],[Steps]]&lt;0,100+(F2491-Table1[[#This Row],[Steps]]),F2491-Table1[[#This Row],[Steps]]),
))</f>
        <v>0</v>
      </c>
      <c r="E2492">
        <f>_xlfn.LET(_xlpm.dir,Table1[[#This Row],[Direction]],
IF(_xlpm.dir="R",
    IF(F2491+Table1[[#This Row],[Steps]]&gt;99,(F2491+Table1[[#This Row],[Steps]])-100,F2491+Table1[[#This Row],[Steps]]),
))</f>
        <v>47</v>
      </c>
      <c r="F2492">
        <f>IF(Table1[[#This Row],[New Pos L]]&lt;&gt;0,Table1[[#This Row],[New Pos L]],Table1[[#This Row],[New Pos R]])</f>
        <v>47</v>
      </c>
    </row>
    <row r="2493" spans="1:6" ht="16" x14ac:dyDescent="0.2">
      <c r="A2493" s="1" t="s">
        <v>119</v>
      </c>
      <c r="B2493" t="str">
        <f>LEFT(Table1[[#This Row],[Input]],1)</f>
        <v>L</v>
      </c>
      <c r="C2493">
        <f>_xlfn.LET(_xlpm.steps,SUBSTITUTE(Table1[[#This Row],[Input]],Table1[[#This Row],[Direction]],""),VALUE(IF(LEN(_xlpm.steps)&gt;2,RIGHT(_xlpm.steps,2),_xlpm.steps)))</f>
        <v>77</v>
      </c>
      <c r="D2493">
        <f>_xlfn.LET(_xlpm.dir,Table1[[#This Row],[Direction]],
IF(_xlpm.dir="L",
    IF(F2492-Table1[[#This Row],[Steps]]&lt;0,100+(F2492-Table1[[#This Row],[Steps]]),F2492-Table1[[#This Row],[Steps]]),
))</f>
        <v>70</v>
      </c>
      <c r="E2493">
        <f>_xlfn.LET(_xlpm.dir,Table1[[#This Row],[Direction]],
IF(_xlpm.dir="R",
    IF(F2492+Table1[[#This Row],[Steps]]&gt;99,(F2492+Table1[[#This Row],[Steps]])-100,F2492+Table1[[#This Row],[Steps]]),
))</f>
        <v>0</v>
      </c>
      <c r="F2493">
        <f>IF(Table1[[#This Row],[New Pos L]]&lt;&gt;0,Table1[[#This Row],[New Pos L]],Table1[[#This Row],[New Pos R]])</f>
        <v>70</v>
      </c>
    </row>
    <row r="2494" spans="1:6" ht="16" x14ac:dyDescent="0.2">
      <c r="A2494" s="1" t="s">
        <v>252</v>
      </c>
      <c r="B2494" t="str">
        <f>LEFT(Table1[[#This Row],[Input]],1)</f>
        <v>L</v>
      </c>
      <c r="C2494">
        <f>_xlfn.LET(_xlpm.steps,SUBSTITUTE(Table1[[#This Row],[Input]],Table1[[#This Row],[Direction]],""),VALUE(IF(LEN(_xlpm.steps)&gt;2,RIGHT(_xlpm.steps,2),_xlpm.steps)))</f>
        <v>99</v>
      </c>
      <c r="D2494">
        <f>_xlfn.LET(_xlpm.dir,Table1[[#This Row],[Direction]],
IF(_xlpm.dir="L",
    IF(F2493-Table1[[#This Row],[Steps]]&lt;0,100+(F2493-Table1[[#This Row],[Steps]]),F2493-Table1[[#This Row],[Steps]]),
))</f>
        <v>71</v>
      </c>
      <c r="E2494">
        <f>_xlfn.LET(_xlpm.dir,Table1[[#This Row],[Direction]],
IF(_xlpm.dir="R",
    IF(F2493+Table1[[#This Row],[Steps]]&gt;99,(F2493+Table1[[#This Row],[Steps]])-100,F2493+Table1[[#This Row],[Steps]]),
))</f>
        <v>0</v>
      </c>
      <c r="F2494">
        <f>IF(Table1[[#This Row],[New Pos L]]&lt;&gt;0,Table1[[#This Row],[New Pos L]],Table1[[#This Row],[New Pos R]])</f>
        <v>71</v>
      </c>
    </row>
    <row r="2495" spans="1:6" ht="16" x14ac:dyDescent="0.2">
      <c r="A2495" s="1" t="s">
        <v>57</v>
      </c>
      <c r="B2495" t="str">
        <f>LEFT(Table1[[#This Row],[Input]],1)</f>
        <v>R</v>
      </c>
      <c r="C2495">
        <f>_xlfn.LET(_xlpm.steps,SUBSTITUTE(Table1[[#This Row],[Input]],Table1[[#This Row],[Direction]],""),VALUE(IF(LEN(_xlpm.steps)&gt;2,RIGHT(_xlpm.steps,2),_xlpm.steps)))</f>
        <v>29</v>
      </c>
      <c r="D2495">
        <f>_xlfn.LET(_xlpm.dir,Table1[[#This Row],[Direction]],
IF(_xlpm.dir="L",
    IF(F2494-Table1[[#This Row],[Steps]]&lt;0,100+(F2494-Table1[[#This Row],[Steps]]),F2494-Table1[[#This Row],[Steps]]),
))</f>
        <v>0</v>
      </c>
      <c r="E2495">
        <f>_xlfn.LET(_xlpm.dir,Table1[[#This Row],[Direction]],
IF(_xlpm.dir="R",
    IF(F2494+Table1[[#This Row],[Steps]]&gt;99,(F2494+Table1[[#This Row],[Steps]])-100,F2494+Table1[[#This Row],[Steps]]),
))</f>
        <v>0</v>
      </c>
      <c r="F2495">
        <f>IF(Table1[[#This Row],[New Pos L]]&lt;&gt;0,Table1[[#This Row],[New Pos L]],Table1[[#This Row],[New Pos R]])</f>
        <v>0</v>
      </c>
    </row>
    <row r="2496" spans="1:6" ht="16" x14ac:dyDescent="0.2">
      <c r="A2496" s="1" t="s">
        <v>24</v>
      </c>
      <c r="B2496" t="str">
        <f>LEFT(Table1[[#This Row],[Input]],1)</f>
        <v>L</v>
      </c>
      <c r="C2496">
        <f>_xlfn.LET(_xlpm.steps,SUBSTITUTE(Table1[[#This Row],[Input]],Table1[[#This Row],[Direction]],""),VALUE(IF(LEN(_xlpm.steps)&gt;2,RIGHT(_xlpm.steps,2),_xlpm.steps)))</f>
        <v>49</v>
      </c>
      <c r="D2496">
        <f>_xlfn.LET(_xlpm.dir,Table1[[#This Row],[Direction]],
IF(_xlpm.dir="L",
    IF(F2495-Table1[[#This Row],[Steps]]&lt;0,100+(F2495-Table1[[#This Row],[Steps]]),F2495-Table1[[#This Row],[Steps]]),
))</f>
        <v>51</v>
      </c>
      <c r="E2496">
        <f>_xlfn.LET(_xlpm.dir,Table1[[#This Row],[Direction]],
IF(_xlpm.dir="R",
    IF(F2495+Table1[[#This Row],[Steps]]&gt;99,(F2495+Table1[[#This Row],[Steps]])-100,F2495+Table1[[#This Row],[Steps]]),
))</f>
        <v>0</v>
      </c>
      <c r="F2496">
        <f>IF(Table1[[#This Row],[New Pos L]]&lt;&gt;0,Table1[[#This Row],[New Pos L]],Table1[[#This Row],[New Pos R]])</f>
        <v>51</v>
      </c>
    </row>
    <row r="2497" spans="1:6" ht="16" x14ac:dyDescent="0.2">
      <c r="A2497" s="1" t="s">
        <v>490</v>
      </c>
      <c r="B2497" t="str">
        <f>LEFT(Table1[[#This Row],[Input]],1)</f>
        <v>R</v>
      </c>
      <c r="C2497">
        <f>_xlfn.LET(_xlpm.steps,SUBSTITUTE(Table1[[#This Row],[Input]],Table1[[#This Row],[Direction]],""),VALUE(IF(LEN(_xlpm.steps)&gt;2,RIGHT(_xlpm.steps,2),_xlpm.steps)))</f>
        <v>49</v>
      </c>
      <c r="D2497">
        <f>_xlfn.LET(_xlpm.dir,Table1[[#This Row],[Direction]],
IF(_xlpm.dir="L",
    IF(F2496-Table1[[#This Row],[Steps]]&lt;0,100+(F2496-Table1[[#This Row],[Steps]]),F2496-Table1[[#This Row],[Steps]]),
))</f>
        <v>0</v>
      </c>
      <c r="E2497">
        <f>_xlfn.LET(_xlpm.dir,Table1[[#This Row],[Direction]],
IF(_xlpm.dir="R",
    IF(F2496+Table1[[#This Row],[Steps]]&gt;99,(F2496+Table1[[#This Row],[Steps]])-100,F2496+Table1[[#This Row],[Steps]]),
))</f>
        <v>0</v>
      </c>
      <c r="F2497">
        <f>IF(Table1[[#This Row],[New Pos L]]&lt;&gt;0,Table1[[#This Row],[New Pos L]],Table1[[#This Row],[New Pos R]])</f>
        <v>0</v>
      </c>
    </row>
    <row r="2498" spans="1:6" ht="16" x14ac:dyDescent="0.2">
      <c r="A2498" s="1" t="s">
        <v>209</v>
      </c>
      <c r="B2498" t="str">
        <f>LEFT(Table1[[#This Row],[Input]],1)</f>
        <v>L</v>
      </c>
      <c r="C2498">
        <f>_xlfn.LET(_xlpm.steps,SUBSTITUTE(Table1[[#This Row],[Input]],Table1[[#This Row],[Direction]],""),VALUE(IF(LEN(_xlpm.steps)&gt;2,RIGHT(_xlpm.steps,2),_xlpm.steps)))</f>
        <v>86</v>
      </c>
      <c r="D2498">
        <f>_xlfn.LET(_xlpm.dir,Table1[[#This Row],[Direction]],
IF(_xlpm.dir="L",
    IF(F2497-Table1[[#This Row],[Steps]]&lt;0,100+(F2497-Table1[[#This Row],[Steps]]),F2497-Table1[[#This Row],[Steps]]),
))</f>
        <v>14</v>
      </c>
      <c r="E2498">
        <f>_xlfn.LET(_xlpm.dir,Table1[[#This Row],[Direction]],
IF(_xlpm.dir="R",
    IF(F2497+Table1[[#This Row],[Steps]]&gt;99,(F2497+Table1[[#This Row],[Steps]])-100,F2497+Table1[[#This Row],[Steps]]),
))</f>
        <v>0</v>
      </c>
      <c r="F2498">
        <f>IF(Table1[[#This Row],[New Pos L]]&lt;&gt;0,Table1[[#This Row],[New Pos L]],Table1[[#This Row],[New Pos R]])</f>
        <v>14</v>
      </c>
    </row>
    <row r="2499" spans="1:6" ht="16" x14ac:dyDescent="0.2">
      <c r="A2499" s="1" t="s">
        <v>27</v>
      </c>
      <c r="B2499" t="str">
        <f>LEFT(Table1[[#This Row],[Input]],1)</f>
        <v>L</v>
      </c>
      <c r="C2499">
        <f>_xlfn.LET(_xlpm.steps,SUBSTITUTE(Table1[[#This Row],[Input]],Table1[[#This Row],[Direction]],""),VALUE(IF(LEN(_xlpm.steps)&gt;2,RIGHT(_xlpm.steps,2),_xlpm.steps)))</f>
        <v>14</v>
      </c>
      <c r="D2499">
        <f>_xlfn.LET(_xlpm.dir,Table1[[#This Row],[Direction]],
IF(_xlpm.dir="L",
    IF(F2498-Table1[[#This Row],[Steps]]&lt;0,100+(F2498-Table1[[#This Row],[Steps]]),F2498-Table1[[#This Row],[Steps]]),
))</f>
        <v>0</v>
      </c>
      <c r="E2499">
        <f>_xlfn.LET(_xlpm.dir,Table1[[#This Row],[Direction]],
IF(_xlpm.dir="R",
    IF(F2498+Table1[[#This Row],[Steps]]&gt;99,(F2498+Table1[[#This Row],[Steps]])-100,F2498+Table1[[#This Row],[Steps]]),
))</f>
        <v>0</v>
      </c>
      <c r="F2499">
        <f>IF(Table1[[#This Row],[New Pos L]]&lt;&gt;0,Table1[[#This Row],[New Pos L]],Table1[[#This Row],[New Pos R]])</f>
        <v>0</v>
      </c>
    </row>
    <row r="2500" spans="1:6" ht="16" x14ac:dyDescent="0.2">
      <c r="A2500" s="1" t="s">
        <v>64</v>
      </c>
      <c r="B2500" t="str">
        <f>LEFT(Table1[[#This Row],[Input]],1)</f>
        <v>R</v>
      </c>
      <c r="C2500">
        <f>_xlfn.LET(_xlpm.steps,SUBSTITUTE(Table1[[#This Row],[Input]],Table1[[#This Row],[Direction]],""),VALUE(IF(LEN(_xlpm.steps)&gt;2,RIGHT(_xlpm.steps,2),_xlpm.steps)))</f>
        <v>10</v>
      </c>
      <c r="D2500">
        <f>_xlfn.LET(_xlpm.dir,Table1[[#This Row],[Direction]],
IF(_xlpm.dir="L",
    IF(F2499-Table1[[#This Row],[Steps]]&lt;0,100+(F2499-Table1[[#This Row],[Steps]]),F2499-Table1[[#This Row],[Steps]]),
))</f>
        <v>0</v>
      </c>
      <c r="E2500">
        <f>_xlfn.LET(_xlpm.dir,Table1[[#This Row],[Direction]],
IF(_xlpm.dir="R",
    IF(F2499+Table1[[#This Row],[Steps]]&gt;99,(F2499+Table1[[#This Row],[Steps]])-100,F2499+Table1[[#This Row],[Steps]]),
))</f>
        <v>10</v>
      </c>
      <c r="F2500">
        <f>IF(Table1[[#This Row],[New Pos L]]&lt;&gt;0,Table1[[#This Row],[New Pos L]],Table1[[#This Row],[New Pos R]])</f>
        <v>10</v>
      </c>
    </row>
    <row r="2501" spans="1:6" ht="16" x14ac:dyDescent="0.2">
      <c r="A2501" s="1" t="s">
        <v>40</v>
      </c>
      <c r="B2501" t="str">
        <f>LEFT(Table1[[#This Row],[Input]],1)</f>
        <v>R</v>
      </c>
      <c r="C2501">
        <f>_xlfn.LET(_xlpm.steps,SUBSTITUTE(Table1[[#This Row],[Input]],Table1[[#This Row],[Direction]],""),VALUE(IF(LEN(_xlpm.steps)&gt;2,RIGHT(_xlpm.steps,2),_xlpm.steps)))</f>
        <v>52</v>
      </c>
      <c r="D2501">
        <f>_xlfn.LET(_xlpm.dir,Table1[[#This Row],[Direction]],
IF(_xlpm.dir="L",
    IF(F2500-Table1[[#This Row],[Steps]]&lt;0,100+(F2500-Table1[[#This Row],[Steps]]),F2500-Table1[[#This Row],[Steps]]),
))</f>
        <v>0</v>
      </c>
      <c r="E2501">
        <f>_xlfn.LET(_xlpm.dir,Table1[[#This Row],[Direction]],
IF(_xlpm.dir="R",
    IF(F2500+Table1[[#This Row],[Steps]]&gt;99,(F2500+Table1[[#This Row],[Steps]])-100,F2500+Table1[[#This Row],[Steps]]),
))</f>
        <v>62</v>
      </c>
      <c r="F2501">
        <f>IF(Table1[[#This Row],[New Pos L]]&lt;&gt;0,Table1[[#This Row],[New Pos L]],Table1[[#This Row],[New Pos R]])</f>
        <v>62</v>
      </c>
    </row>
    <row r="2502" spans="1:6" ht="16" x14ac:dyDescent="0.2">
      <c r="A2502" s="1" t="s">
        <v>56</v>
      </c>
      <c r="B2502" t="str">
        <f>LEFT(Table1[[#This Row],[Input]],1)</f>
        <v>R</v>
      </c>
      <c r="C2502">
        <f>_xlfn.LET(_xlpm.steps,SUBSTITUTE(Table1[[#This Row],[Input]],Table1[[#This Row],[Direction]],""),VALUE(IF(LEN(_xlpm.steps)&gt;2,RIGHT(_xlpm.steps,2),_xlpm.steps)))</f>
        <v>42</v>
      </c>
      <c r="D2502">
        <f>_xlfn.LET(_xlpm.dir,Table1[[#This Row],[Direction]],
IF(_xlpm.dir="L",
    IF(F2501-Table1[[#This Row],[Steps]]&lt;0,100+(F2501-Table1[[#This Row],[Steps]]),F2501-Table1[[#This Row],[Steps]]),
))</f>
        <v>0</v>
      </c>
      <c r="E2502">
        <f>_xlfn.LET(_xlpm.dir,Table1[[#This Row],[Direction]],
IF(_xlpm.dir="R",
    IF(F2501+Table1[[#This Row],[Steps]]&gt;99,(F2501+Table1[[#This Row],[Steps]])-100,F2501+Table1[[#This Row],[Steps]]),
))</f>
        <v>4</v>
      </c>
      <c r="F2502">
        <f>IF(Table1[[#This Row],[New Pos L]]&lt;&gt;0,Table1[[#This Row],[New Pos L]],Table1[[#This Row],[New Pos R]])</f>
        <v>4</v>
      </c>
    </row>
    <row r="2503" spans="1:6" ht="16" x14ac:dyDescent="0.2">
      <c r="A2503" s="1" t="s">
        <v>0</v>
      </c>
      <c r="B2503" t="str">
        <f>LEFT(Table1[[#This Row],[Input]],1)</f>
        <v>L</v>
      </c>
      <c r="C2503">
        <f>_xlfn.LET(_xlpm.steps,SUBSTITUTE(Table1[[#This Row],[Input]],Table1[[#This Row],[Direction]],""),VALUE(IF(LEN(_xlpm.steps)&gt;2,RIGHT(_xlpm.steps,2),_xlpm.steps)))</f>
        <v>44</v>
      </c>
      <c r="D2503">
        <f>_xlfn.LET(_xlpm.dir,Table1[[#This Row],[Direction]],
IF(_xlpm.dir="L",
    IF(F2502-Table1[[#This Row],[Steps]]&lt;0,100+(F2502-Table1[[#This Row],[Steps]]),F2502-Table1[[#This Row],[Steps]]),
))</f>
        <v>60</v>
      </c>
      <c r="E2503">
        <f>_xlfn.LET(_xlpm.dir,Table1[[#This Row],[Direction]],
IF(_xlpm.dir="R",
    IF(F2502+Table1[[#This Row],[Steps]]&gt;99,(F2502+Table1[[#This Row],[Steps]])-100,F2502+Table1[[#This Row],[Steps]]),
))</f>
        <v>0</v>
      </c>
      <c r="F2503">
        <f>IF(Table1[[#This Row],[New Pos L]]&lt;&gt;0,Table1[[#This Row],[New Pos L]],Table1[[#This Row],[New Pos R]])</f>
        <v>60</v>
      </c>
    </row>
    <row r="2504" spans="1:6" ht="16" x14ac:dyDescent="0.2">
      <c r="A2504" s="1" t="s">
        <v>612</v>
      </c>
      <c r="B2504" t="str">
        <f>LEFT(Table1[[#This Row],[Input]],1)</f>
        <v>L</v>
      </c>
      <c r="C2504">
        <f>_xlfn.LET(_xlpm.steps,SUBSTITUTE(Table1[[#This Row],[Input]],Table1[[#This Row],[Direction]],""),VALUE(IF(LEN(_xlpm.steps)&gt;2,RIGHT(_xlpm.steps,2),_xlpm.steps)))</f>
        <v>1</v>
      </c>
      <c r="D2504">
        <f>_xlfn.LET(_xlpm.dir,Table1[[#This Row],[Direction]],
IF(_xlpm.dir="L",
    IF(F2503-Table1[[#This Row],[Steps]]&lt;0,100+(F2503-Table1[[#This Row],[Steps]]),F2503-Table1[[#This Row],[Steps]]),
))</f>
        <v>59</v>
      </c>
      <c r="E2504">
        <f>_xlfn.LET(_xlpm.dir,Table1[[#This Row],[Direction]],
IF(_xlpm.dir="R",
    IF(F2503+Table1[[#This Row],[Steps]]&gt;99,(F2503+Table1[[#This Row],[Steps]])-100,F2503+Table1[[#This Row],[Steps]]),
))</f>
        <v>0</v>
      </c>
      <c r="F2504">
        <f>IF(Table1[[#This Row],[New Pos L]]&lt;&gt;0,Table1[[#This Row],[New Pos L]],Table1[[#This Row],[New Pos R]])</f>
        <v>59</v>
      </c>
    </row>
    <row r="2505" spans="1:6" ht="16" x14ac:dyDescent="0.2">
      <c r="A2505" s="1" t="s">
        <v>53</v>
      </c>
      <c r="B2505" t="str">
        <f>LEFT(Table1[[#This Row],[Input]],1)</f>
        <v>L</v>
      </c>
      <c r="C2505">
        <f>_xlfn.LET(_xlpm.steps,SUBSTITUTE(Table1[[#This Row],[Input]],Table1[[#This Row],[Direction]],""),VALUE(IF(LEN(_xlpm.steps)&gt;2,RIGHT(_xlpm.steps,2),_xlpm.steps)))</f>
        <v>56</v>
      </c>
      <c r="D2505">
        <f>_xlfn.LET(_xlpm.dir,Table1[[#This Row],[Direction]],
IF(_xlpm.dir="L",
    IF(F2504-Table1[[#This Row],[Steps]]&lt;0,100+(F2504-Table1[[#This Row],[Steps]]),F2504-Table1[[#This Row],[Steps]]),
))</f>
        <v>3</v>
      </c>
      <c r="E2505">
        <f>_xlfn.LET(_xlpm.dir,Table1[[#This Row],[Direction]],
IF(_xlpm.dir="R",
    IF(F2504+Table1[[#This Row],[Steps]]&gt;99,(F2504+Table1[[#This Row],[Steps]])-100,F2504+Table1[[#This Row],[Steps]]),
))</f>
        <v>0</v>
      </c>
      <c r="F2505">
        <f>IF(Table1[[#This Row],[New Pos L]]&lt;&gt;0,Table1[[#This Row],[New Pos L]],Table1[[#This Row],[New Pos R]])</f>
        <v>3</v>
      </c>
    </row>
    <row r="2506" spans="1:6" ht="16" x14ac:dyDescent="0.2">
      <c r="A2506" s="1" t="s">
        <v>613</v>
      </c>
      <c r="B2506" t="str">
        <f>LEFT(Table1[[#This Row],[Input]],1)</f>
        <v>R</v>
      </c>
      <c r="C2506">
        <f>_xlfn.LET(_xlpm.steps,SUBSTITUTE(Table1[[#This Row],[Input]],Table1[[#This Row],[Direction]],""),VALUE(IF(LEN(_xlpm.steps)&gt;2,RIGHT(_xlpm.steps,2),_xlpm.steps)))</f>
        <v>20</v>
      </c>
      <c r="D2506">
        <f>_xlfn.LET(_xlpm.dir,Table1[[#This Row],[Direction]],
IF(_xlpm.dir="L",
    IF(F2505-Table1[[#This Row],[Steps]]&lt;0,100+(F2505-Table1[[#This Row],[Steps]]),F2505-Table1[[#This Row],[Steps]]),
))</f>
        <v>0</v>
      </c>
      <c r="E2506">
        <f>_xlfn.LET(_xlpm.dir,Table1[[#This Row],[Direction]],
IF(_xlpm.dir="R",
    IF(F2505+Table1[[#This Row],[Steps]]&gt;99,(F2505+Table1[[#This Row],[Steps]])-100,F2505+Table1[[#This Row],[Steps]]),
))</f>
        <v>23</v>
      </c>
      <c r="F2506">
        <f>IF(Table1[[#This Row],[New Pos L]]&lt;&gt;0,Table1[[#This Row],[New Pos L]],Table1[[#This Row],[New Pos R]])</f>
        <v>23</v>
      </c>
    </row>
    <row r="2507" spans="1:6" ht="16" x14ac:dyDescent="0.2">
      <c r="A2507" s="1" t="s">
        <v>206</v>
      </c>
      <c r="B2507" t="str">
        <f>LEFT(Table1[[#This Row],[Input]],1)</f>
        <v>R</v>
      </c>
      <c r="C2507">
        <f>_xlfn.LET(_xlpm.steps,SUBSTITUTE(Table1[[#This Row],[Input]],Table1[[#This Row],[Direction]],""),VALUE(IF(LEN(_xlpm.steps)&gt;2,RIGHT(_xlpm.steps,2),_xlpm.steps)))</f>
        <v>62</v>
      </c>
      <c r="D2507">
        <f>_xlfn.LET(_xlpm.dir,Table1[[#This Row],[Direction]],
IF(_xlpm.dir="L",
    IF(F2506-Table1[[#This Row],[Steps]]&lt;0,100+(F2506-Table1[[#This Row],[Steps]]),F2506-Table1[[#This Row],[Steps]]),
))</f>
        <v>0</v>
      </c>
      <c r="E2507">
        <f>_xlfn.LET(_xlpm.dir,Table1[[#This Row],[Direction]],
IF(_xlpm.dir="R",
    IF(F2506+Table1[[#This Row],[Steps]]&gt;99,(F2506+Table1[[#This Row],[Steps]])-100,F2506+Table1[[#This Row],[Steps]]),
))</f>
        <v>85</v>
      </c>
      <c r="F2507">
        <f>IF(Table1[[#This Row],[New Pos L]]&lt;&gt;0,Table1[[#This Row],[New Pos L]],Table1[[#This Row],[New Pos R]])</f>
        <v>85</v>
      </c>
    </row>
    <row r="2508" spans="1:6" ht="16" x14ac:dyDescent="0.2">
      <c r="A2508" s="1" t="s">
        <v>38</v>
      </c>
      <c r="B2508" t="str">
        <f>LEFT(Table1[[#This Row],[Input]],1)</f>
        <v>R</v>
      </c>
      <c r="C2508">
        <f>_xlfn.LET(_xlpm.steps,SUBSTITUTE(Table1[[#This Row],[Input]],Table1[[#This Row],[Direction]],""),VALUE(IF(LEN(_xlpm.steps)&gt;2,RIGHT(_xlpm.steps,2),_xlpm.steps)))</f>
        <v>15</v>
      </c>
      <c r="D2508">
        <f>_xlfn.LET(_xlpm.dir,Table1[[#This Row],[Direction]],
IF(_xlpm.dir="L",
    IF(F2507-Table1[[#This Row],[Steps]]&lt;0,100+(F2507-Table1[[#This Row],[Steps]]),F2507-Table1[[#This Row],[Steps]]),
))</f>
        <v>0</v>
      </c>
      <c r="E2508">
        <f>_xlfn.LET(_xlpm.dir,Table1[[#This Row],[Direction]],
IF(_xlpm.dir="R",
    IF(F2507+Table1[[#This Row],[Steps]]&gt;99,(F2507+Table1[[#This Row],[Steps]])-100,F2507+Table1[[#This Row],[Steps]]),
))</f>
        <v>0</v>
      </c>
      <c r="F2508">
        <f>IF(Table1[[#This Row],[New Pos L]]&lt;&gt;0,Table1[[#This Row],[New Pos L]],Table1[[#This Row],[New Pos R]])</f>
        <v>0</v>
      </c>
    </row>
    <row r="2509" spans="1:6" ht="16" x14ac:dyDescent="0.2">
      <c r="A2509" s="1" t="s">
        <v>614</v>
      </c>
      <c r="B2509" t="str">
        <f>LEFT(Table1[[#This Row],[Input]],1)</f>
        <v>R</v>
      </c>
      <c r="C2509">
        <f>_xlfn.LET(_xlpm.steps,SUBSTITUTE(Table1[[#This Row],[Input]],Table1[[#This Row],[Direction]],""),VALUE(IF(LEN(_xlpm.steps)&gt;2,RIGHT(_xlpm.steps,2),_xlpm.steps)))</f>
        <v>80</v>
      </c>
      <c r="D2509">
        <f>_xlfn.LET(_xlpm.dir,Table1[[#This Row],[Direction]],
IF(_xlpm.dir="L",
    IF(F2508-Table1[[#This Row],[Steps]]&lt;0,100+(F2508-Table1[[#This Row],[Steps]]),F2508-Table1[[#This Row],[Steps]]),
))</f>
        <v>0</v>
      </c>
      <c r="E2509">
        <f>_xlfn.LET(_xlpm.dir,Table1[[#This Row],[Direction]],
IF(_xlpm.dir="R",
    IF(F2508+Table1[[#This Row],[Steps]]&gt;99,(F2508+Table1[[#This Row],[Steps]])-100,F2508+Table1[[#This Row],[Steps]]),
))</f>
        <v>80</v>
      </c>
      <c r="F2509">
        <f>IF(Table1[[#This Row],[New Pos L]]&lt;&gt;0,Table1[[#This Row],[New Pos L]],Table1[[#This Row],[New Pos R]])</f>
        <v>80</v>
      </c>
    </row>
    <row r="2510" spans="1:6" ht="16" x14ac:dyDescent="0.2">
      <c r="A2510" s="1" t="s">
        <v>145</v>
      </c>
      <c r="B2510" t="str">
        <f>LEFT(Table1[[#This Row],[Input]],1)</f>
        <v>L</v>
      </c>
      <c r="C2510">
        <f>_xlfn.LET(_xlpm.steps,SUBSTITUTE(Table1[[#This Row],[Input]],Table1[[#This Row],[Direction]],""),VALUE(IF(LEN(_xlpm.steps)&gt;2,RIGHT(_xlpm.steps,2),_xlpm.steps)))</f>
        <v>83</v>
      </c>
      <c r="D2510">
        <f>_xlfn.LET(_xlpm.dir,Table1[[#This Row],[Direction]],
IF(_xlpm.dir="L",
    IF(F2509-Table1[[#This Row],[Steps]]&lt;0,100+(F2509-Table1[[#This Row],[Steps]]),F2509-Table1[[#This Row],[Steps]]),
))</f>
        <v>97</v>
      </c>
      <c r="E2510">
        <f>_xlfn.LET(_xlpm.dir,Table1[[#This Row],[Direction]],
IF(_xlpm.dir="R",
    IF(F2509+Table1[[#This Row],[Steps]]&gt;99,(F2509+Table1[[#This Row],[Steps]])-100,F2509+Table1[[#This Row],[Steps]]),
))</f>
        <v>0</v>
      </c>
      <c r="F2510">
        <f>IF(Table1[[#This Row],[New Pos L]]&lt;&gt;0,Table1[[#This Row],[New Pos L]],Table1[[#This Row],[New Pos R]])</f>
        <v>97</v>
      </c>
    </row>
    <row r="2511" spans="1:6" ht="16" x14ac:dyDescent="0.2">
      <c r="A2511" s="1" t="s">
        <v>260</v>
      </c>
      <c r="B2511" t="str">
        <f>LEFT(Table1[[#This Row],[Input]],1)</f>
        <v>L</v>
      </c>
      <c r="C2511">
        <f>_xlfn.LET(_xlpm.steps,SUBSTITUTE(Table1[[#This Row],[Input]],Table1[[#This Row],[Direction]],""),VALUE(IF(LEN(_xlpm.steps)&gt;2,RIGHT(_xlpm.steps,2),_xlpm.steps)))</f>
        <v>85</v>
      </c>
      <c r="D2511">
        <f>_xlfn.LET(_xlpm.dir,Table1[[#This Row],[Direction]],
IF(_xlpm.dir="L",
    IF(F2510-Table1[[#This Row],[Steps]]&lt;0,100+(F2510-Table1[[#This Row],[Steps]]),F2510-Table1[[#This Row],[Steps]]),
))</f>
        <v>12</v>
      </c>
      <c r="E2511">
        <f>_xlfn.LET(_xlpm.dir,Table1[[#This Row],[Direction]],
IF(_xlpm.dir="R",
    IF(F2510+Table1[[#This Row],[Steps]]&gt;99,(F2510+Table1[[#This Row],[Steps]])-100,F2510+Table1[[#This Row],[Steps]]),
))</f>
        <v>0</v>
      </c>
      <c r="F2511">
        <f>IF(Table1[[#This Row],[New Pos L]]&lt;&gt;0,Table1[[#This Row],[New Pos L]],Table1[[#This Row],[New Pos R]])</f>
        <v>12</v>
      </c>
    </row>
    <row r="2512" spans="1:6" ht="16" x14ac:dyDescent="0.2">
      <c r="A2512" s="1" t="s">
        <v>104</v>
      </c>
      <c r="B2512" t="str">
        <f>LEFT(Table1[[#This Row],[Input]],1)</f>
        <v>R</v>
      </c>
      <c r="C2512">
        <f>_xlfn.LET(_xlpm.steps,SUBSTITUTE(Table1[[#This Row],[Input]],Table1[[#This Row],[Direction]],""),VALUE(IF(LEN(_xlpm.steps)&gt;2,RIGHT(_xlpm.steps,2),_xlpm.steps)))</f>
        <v>59</v>
      </c>
      <c r="D2512">
        <f>_xlfn.LET(_xlpm.dir,Table1[[#This Row],[Direction]],
IF(_xlpm.dir="L",
    IF(F2511-Table1[[#This Row],[Steps]]&lt;0,100+(F2511-Table1[[#This Row],[Steps]]),F2511-Table1[[#This Row],[Steps]]),
))</f>
        <v>0</v>
      </c>
      <c r="E2512">
        <f>_xlfn.LET(_xlpm.dir,Table1[[#This Row],[Direction]],
IF(_xlpm.dir="R",
    IF(F2511+Table1[[#This Row],[Steps]]&gt;99,(F2511+Table1[[#This Row],[Steps]])-100,F2511+Table1[[#This Row],[Steps]]),
))</f>
        <v>71</v>
      </c>
      <c r="F2512">
        <f>IF(Table1[[#This Row],[New Pos L]]&lt;&gt;0,Table1[[#This Row],[New Pos L]],Table1[[#This Row],[New Pos R]])</f>
        <v>71</v>
      </c>
    </row>
    <row r="2513" spans="1:6" ht="16" x14ac:dyDescent="0.2">
      <c r="A2513" s="1" t="s">
        <v>477</v>
      </c>
      <c r="B2513" t="str">
        <f>LEFT(Table1[[#This Row],[Input]],1)</f>
        <v>L</v>
      </c>
      <c r="C2513">
        <f>_xlfn.LET(_xlpm.steps,SUBSTITUTE(Table1[[#This Row],[Input]],Table1[[#This Row],[Direction]],""),VALUE(IF(LEN(_xlpm.steps)&gt;2,RIGHT(_xlpm.steps,2),_xlpm.steps)))</f>
        <v>71</v>
      </c>
      <c r="D2513">
        <f>_xlfn.LET(_xlpm.dir,Table1[[#This Row],[Direction]],
IF(_xlpm.dir="L",
    IF(F2512-Table1[[#This Row],[Steps]]&lt;0,100+(F2512-Table1[[#This Row],[Steps]]),F2512-Table1[[#This Row],[Steps]]),
))</f>
        <v>0</v>
      </c>
      <c r="E2513">
        <f>_xlfn.LET(_xlpm.dir,Table1[[#This Row],[Direction]],
IF(_xlpm.dir="R",
    IF(F2512+Table1[[#This Row],[Steps]]&gt;99,(F2512+Table1[[#This Row],[Steps]])-100,F2512+Table1[[#This Row],[Steps]]),
))</f>
        <v>0</v>
      </c>
      <c r="F2513">
        <f>IF(Table1[[#This Row],[New Pos L]]&lt;&gt;0,Table1[[#This Row],[New Pos L]],Table1[[#This Row],[New Pos R]])</f>
        <v>0</v>
      </c>
    </row>
    <row r="2514" spans="1:6" ht="16" x14ac:dyDescent="0.2">
      <c r="A2514" s="1" t="s">
        <v>105</v>
      </c>
      <c r="B2514" t="str">
        <f>LEFT(Table1[[#This Row],[Input]],1)</f>
        <v>R</v>
      </c>
      <c r="C2514">
        <f>_xlfn.LET(_xlpm.steps,SUBSTITUTE(Table1[[#This Row],[Input]],Table1[[#This Row],[Direction]],""),VALUE(IF(LEN(_xlpm.steps)&gt;2,RIGHT(_xlpm.steps,2),_xlpm.steps)))</f>
        <v>98</v>
      </c>
      <c r="D2514">
        <f>_xlfn.LET(_xlpm.dir,Table1[[#This Row],[Direction]],
IF(_xlpm.dir="L",
    IF(F2513-Table1[[#This Row],[Steps]]&lt;0,100+(F2513-Table1[[#This Row],[Steps]]),F2513-Table1[[#This Row],[Steps]]),
))</f>
        <v>0</v>
      </c>
      <c r="E2514">
        <f>_xlfn.LET(_xlpm.dir,Table1[[#This Row],[Direction]],
IF(_xlpm.dir="R",
    IF(F2513+Table1[[#This Row],[Steps]]&gt;99,(F2513+Table1[[#This Row],[Steps]])-100,F2513+Table1[[#This Row],[Steps]]),
))</f>
        <v>98</v>
      </c>
      <c r="F2514">
        <f>IF(Table1[[#This Row],[New Pos L]]&lt;&gt;0,Table1[[#This Row],[New Pos L]],Table1[[#This Row],[New Pos R]])</f>
        <v>98</v>
      </c>
    </row>
    <row r="2515" spans="1:6" ht="16" x14ac:dyDescent="0.2">
      <c r="A2515" s="1" t="s">
        <v>615</v>
      </c>
      <c r="B2515" t="str">
        <f>LEFT(Table1[[#This Row],[Input]],1)</f>
        <v>L</v>
      </c>
      <c r="C2515">
        <f>_xlfn.LET(_xlpm.steps,SUBSTITUTE(Table1[[#This Row],[Input]],Table1[[#This Row],[Direction]],""),VALUE(IF(LEN(_xlpm.steps)&gt;2,RIGHT(_xlpm.steps,2),_xlpm.steps)))</f>
        <v>26</v>
      </c>
      <c r="D2515">
        <f>_xlfn.LET(_xlpm.dir,Table1[[#This Row],[Direction]],
IF(_xlpm.dir="L",
    IF(F2514-Table1[[#This Row],[Steps]]&lt;0,100+(F2514-Table1[[#This Row],[Steps]]),F2514-Table1[[#This Row],[Steps]]),
))</f>
        <v>72</v>
      </c>
      <c r="E2515">
        <f>_xlfn.LET(_xlpm.dir,Table1[[#This Row],[Direction]],
IF(_xlpm.dir="R",
    IF(F2514+Table1[[#This Row],[Steps]]&gt;99,(F2514+Table1[[#This Row],[Steps]])-100,F2514+Table1[[#This Row],[Steps]]),
))</f>
        <v>0</v>
      </c>
      <c r="F2515">
        <f>IF(Table1[[#This Row],[New Pos L]]&lt;&gt;0,Table1[[#This Row],[New Pos L]],Table1[[#This Row],[New Pos R]])</f>
        <v>72</v>
      </c>
    </row>
    <row r="2516" spans="1:6" ht="16" x14ac:dyDescent="0.2">
      <c r="A2516" s="1" t="s">
        <v>50</v>
      </c>
      <c r="B2516" t="str">
        <f>LEFT(Table1[[#This Row],[Input]],1)</f>
        <v>R</v>
      </c>
      <c r="C2516">
        <f>_xlfn.LET(_xlpm.steps,SUBSTITUTE(Table1[[#This Row],[Input]],Table1[[#This Row],[Direction]],""),VALUE(IF(LEN(_xlpm.steps)&gt;2,RIGHT(_xlpm.steps,2),_xlpm.steps)))</f>
        <v>78</v>
      </c>
      <c r="D2516">
        <f>_xlfn.LET(_xlpm.dir,Table1[[#This Row],[Direction]],
IF(_xlpm.dir="L",
    IF(F2515-Table1[[#This Row],[Steps]]&lt;0,100+(F2515-Table1[[#This Row],[Steps]]),F2515-Table1[[#This Row],[Steps]]),
))</f>
        <v>0</v>
      </c>
      <c r="E2516">
        <f>_xlfn.LET(_xlpm.dir,Table1[[#This Row],[Direction]],
IF(_xlpm.dir="R",
    IF(F2515+Table1[[#This Row],[Steps]]&gt;99,(F2515+Table1[[#This Row],[Steps]])-100,F2515+Table1[[#This Row],[Steps]]),
))</f>
        <v>50</v>
      </c>
      <c r="F2516">
        <f>IF(Table1[[#This Row],[New Pos L]]&lt;&gt;0,Table1[[#This Row],[New Pos L]],Table1[[#This Row],[New Pos R]])</f>
        <v>50</v>
      </c>
    </row>
    <row r="2517" spans="1:6" ht="16" x14ac:dyDescent="0.2">
      <c r="A2517" s="1" t="s">
        <v>615</v>
      </c>
      <c r="B2517" t="str">
        <f>LEFT(Table1[[#This Row],[Input]],1)</f>
        <v>L</v>
      </c>
      <c r="C2517">
        <f>_xlfn.LET(_xlpm.steps,SUBSTITUTE(Table1[[#This Row],[Input]],Table1[[#This Row],[Direction]],""),VALUE(IF(LEN(_xlpm.steps)&gt;2,RIGHT(_xlpm.steps,2),_xlpm.steps)))</f>
        <v>26</v>
      </c>
      <c r="D2517">
        <f>_xlfn.LET(_xlpm.dir,Table1[[#This Row],[Direction]],
IF(_xlpm.dir="L",
    IF(F2516-Table1[[#This Row],[Steps]]&lt;0,100+(F2516-Table1[[#This Row],[Steps]]),F2516-Table1[[#This Row],[Steps]]),
))</f>
        <v>24</v>
      </c>
      <c r="E2517">
        <f>_xlfn.LET(_xlpm.dir,Table1[[#This Row],[Direction]],
IF(_xlpm.dir="R",
    IF(F2516+Table1[[#This Row],[Steps]]&gt;99,(F2516+Table1[[#This Row],[Steps]])-100,F2516+Table1[[#This Row],[Steps]]),
))</f>
        <v>0</v>
      </c>
      <c r="F2517">
        <f>IF(Table1[[#This Row],[New Pos L]]&lt;&gt;0,Table1[[#This Row],[New Pos L]],Table1[[#This Row],[New Pos R]])</f>
        <v>24</v>
      </c>
    </row>
    <row r="2518" spans="1:6" ht="16" x14ac:dyDescent="0.2">
      <c r="A2518" s="1" t="s">
        <v>158</v>
      </c>
      <c r="B2518" t="str">
        <f>LEFT(Table1[[#This Row],[Input]],1)</f>
        <v>L</v>
      </c>
      <c r="C2518">
        <f>_xlfn.LET(_xlpm.steps,SUBSTITUTE(Table1[[#This Row],[Input]],Table1[[#This Row],[Direction]],""),VALUE(IF(LEN(_xlpm.steps)&gt;2,RIGHT(_xlpm.steps,2),_xlpm.steps)))</f>
        <v>24</v>
      </c>
      <c r="D2518">
        <f>_xlfn.LET(_xlpm.dir,Table1[[#This Row],[Direction]],
IF(_xlpm.dir="L",
    IF(F2517-Table1[[#This Row],[Steps]]&lt;0,100+(F2517-Table1[[#This Row],[Steps]]),F2517-Table1[[#This Row],[Steps]]),
))</f>
        <v>0</v>
      </c>
      <c r="E2518">
        <f>_xlfn.LET(_xlpm.dir,Table1[[#This Row],[Direction]],
IF(_xlpm.dir="R",
    IF(F2517+Table1[[#This Row],[Steps]]&gt;99,(F2517+Table1[[#This Row],[Steps]])-100,F2517+Table1[[#This Row],[Steps]]),
))</f>
        <v>0</v>
      </c>
      <c r="F2518">
        <f>IF(Table1[[#This Row],[New Pos L]]&lt;&gt;0,Table1[[#This Row],[New Pos L]],Table1[[#This Row],[New Pos R]])</f>
        <v>0</v>
      </c>
    </row>
    <row r="2519" spans="1:6" ht="16" x14ac:dyDescent="0.2">
      <c r="A2519" s="1" t="s">
        <v>536</v>
      </c>
      <c r="B2519" t="str">
        <f>LEFT(Table1[[#This Row],[Input]],1)</f>
        <v>L</v>
      </c>
      <c r="C2519">
        <f>_xlfn.LET(_xlpm.steps,SUBSTITUTE(Table1[[#This Row],[Input]],Table1[[#This Row],[Direction]],""),VALUE(IF(LEN(_xlpm.steps)&gt;2,RIGHT(_xlpm.steps,2),_xlpm.steps)))</f>
        <v>22</v>
      </c>
      <c r="D2519">
        <f>_xlfn.LET(_xlpm.dir,Table1[[#This Row],[Direction]],
IF(_xlpm.dir="L",
    IF(F2518-Table1[[#This Row],[Steps]]&lt;0,100+(F2518-Table1[[#This Row],[Steps]]),F2518-Table1[[#This Row],[Steps]]),
))</f>
        <v>78</v>
      </c>
      <c r="E2519">
        <f>_xlfn.LET(_xlpm.dir,Table1[[#This Row],[Direction]],
IF(_xlpm.dir="R",
    IF(F2518+Table1[[#This Row],[Steps]]&gt;99,(F2518+Table1[[#This Row],[Steps]])-100,F2518+Table1[[#This Row],[Steps]]),
))</f>
        <v>0</v>
      </c>
      <c r="F2519">
        <f>IF(Table1[[#This Row],[New Pos L]]&lt;&gt;0,Table1[[#This Row],[New Pos L]],Table1[[#This Row],[New Pos R]])</f>
        <v>78</v>
      </c>
    </row>
    <row r="2520" spans="1:6" ht="16" x14ac:dyDescent="0.2">
      <c r="A2520" s="1" t="s">
        <v>137</v>
      </c>
      <c r="B2520" t="str">
        <f>LEFT(Table1[[#This Row],[Input]],1)</f>
        <v>R</v>
      </c>
      <c r="C2520">
        <f>_xlfn.LET(_xlpm.steps,SUBSTITUTE(Table1[[#This Row],[Input]],Table1[[#This Row],[Direction]],""),VALUE(IF(LEN(_xlpm.steps)&gt;2,RIGHT(_xlpm.steps,2),_xlpm.steps)))</f>
        <v>28</v>
      </c>
      <c r="D2520">
        <f>_xlfn.LET(_xlpm.dir,Table1[[#This Row],[Direction]],
IF(_xlpm.dir="L",
    IF(F2519-Table1[[#This Row],[Steps]]&lt;0,100+(F2519-Table1[[#This Row],[Steps]]),F2519-Table1[[#This Row],[Steps]]),
))</f>
        <v>0</v>
      </c>
      <c r="E2520">
        <f>_xlfn.LET(_xlpm.dir,Table1[[#This Row],[Direction]],
IF(_xlpm.dir="R",
    IF(F2519+Table1[[#This Row],[Steps]]&gt;99,(F2519+Table1[[#This Row],[Steps]])-100,F2519+Table1[[#This Row],[Steps]]),
))</f>
        <v>6</v>
      </c>
      <c r="F2520">
        <f>IF(Table1[[#This Row],[New Pos L]]&lt;&gt;0,Table1[[#This Row],[New Pos L]],Table1[[#This Row],[New Pos R]])</f>
        <v>6</v>
      </c>
    </row>
    <row r="2521" spans="1:6" ht="16" x14ac:dyDescent="0.2">
      <c r="A2521" s="1" t="s">
        <v>131</v>
      </c>
      <c r="B2521" t="str">
        <f>LEFT(Table1[[#This Row],[Input]],1)</f>
        <v>R</v>
      </c>
      <c r="C2521">
        <f>_xlfn.LET(_xlpm.steps,SUBSTITUTE(Table1[[#This Row],[Input]],Table1[[#This Row],[Direction]],""),VALUE(IF(LEN(_xlpm.steps)&gt;2,RIGHT(_xlpm.steps,2),_xlpm.steps)))</f>
        <v>99</v>
      </c>
      <c r="D2521">
        <f>_xlfn.LET(_xlpm.dir,Table1[[#This Row],[Direction]],
IF(_xlpm.dir="L",
    IF(F2520-Table1[[#This Row],[Steps]]&lt;0,100+(F2520-Table1[[#This Row],[Steps]]),F2520-Table1[[#This Row],[Steps]]),
))</f>
        <v>0</v>
      </c>
      <c r="E2521">
        <f>_xlfn.LET(_xlpm.dir,Table1[[#This Row],[Direction]],
IF(_xlpm.dir="R",
    IF(F2520+Table1[[#This Row],[Steps]]&gt;99,(F2520+Table1[[#This Row],[Steps]])-100,F2520+Table1[[#This Row],[Steps]]),
))</f>
        <v>5</v>
      </c>
      <c r="F2521">
        <f>IF(Table1[[#This Row],[New Pos L]]&lt;&gt;0,Table1[[#This Row],[New Pos L]],Table1[[#This Row],[New Pos R]])</f>
        <v>5</v>
      </c>
    </row>
    <row r="2522" spans="1:6" ht="16" x14ac:dyDescent="0.2">
      <c r="A2522" s="1" t="s">
        <v>135</v>
      </c>
      <c r="B2522" t="str">
        <f>LEFT(Table1[[#This Row],[Input]],1)</f>
        <v>R</v>
      </c>
      <c r="C2522">
        <f>_xlfn.LET(_xlpm.steps,SUBSTITUTE(Table1[[#This Row],[Input]],Table1[[#This Row],[Direction]],""),VALUE(IF(LEN(_xlpm.steps)&gt;2,RIGHT(_xlpm.steps,2),_xlpm.steps)))</f>
        <v>69</v>
      </c>
      <c r="D2522">
        <f>_xlfn.LET(_xlpm.dir,Table1[[#This Row],[Direction]],
IF(_xlpm.dir="L",
    IF(F2521-Table1[[#This Row],[Steps]]&lt;0,100+(F2521-Table1[[#This Row],[Steps]]),F2521-Table1[[#This Row],[Steps]]),
))</f>
        <v>0</v>
      </c>
      <c r="E2522">
        <f>_xlfn.LET(_xlpm.dir,Table1[[#This Row],[Direction]],
IF(_xlpm.dir="R",
    IF(F2521+Table1[[#This Row],[Steps]]&gt;99,(F2521+Table1[[#This Row],[Steps]])-100,F2521+Table1[[#This Row],[Steps]]),
))</f>
        <v>74</v>
      </c>
      <c r="F2522">
        <f>IF(Table1[[#This Row],[New Pos L]]&lt;&gt;0,Table1[[#This Row],[New Pos L]],Table1[[#This Row],[New Pos R]])</f>
        <v>74</v>
      </c>
    </row>
    <row r="2523" spans="1:6" ht="16" x14ac:dyDescent="0.2">
      <c r="A2523" s="1" t="s">
        <v>616</v>
      </c>
      <c r="B2523" t="str">
        <f>LEFT(Table1[[#This Row],[Input]],1)</f>
        <v>R</v>
      </c>
      <c r="C2523">
        <f>_xlfn.LET(_xlpm.steps,SUBSTITUTE(Table1[[#This Row],[Input]],Table1[[#This Row],[Direction]],""),VALUE(IF(LEN(_xlpm.steps)&gt;2,RIGHT(_xlpm.steps,2),_xlpm.steps)))</f>
        <v>26</v>
      </c>
      <c r="D2523">
        <f>_xlfn.LET(_xlpm.dir,Table1[[#This Row],[Direction]],
IF(_xlpm.dir="L",
    IF(F2522-Table1[[#This Row],[Steps]]&lt;0,100+(F2522-Table1[[#This Row],[Steps]]),F2522-Table1[[#This Row],[Steps]]),
))</f>
        <v>0</v>
      </c>
      <c r="E2523">
        <f>_xlfn.LET(_xlpm.dir,Table1[[#This Row],[Direction]],
IF(_xlpm.dir="R",
    IF(F2522+Table1[[#This Row],[Steps]]&gt;99,(F2522+Table1[[#This Row],[Steps]])-100,F2522+Table1[[#This Row],[Steps]]),
))</f>
        <v>0</v>
      </c>
      <c r="F2523">
        <f>IF(Table1[[#This Row],[New Pos L]]&lt;&gt;0,Table1[[#This Row],[New Pos L]],Table1[[#This Row],[New Pos R]])</f>
        <v>0</v>
      </c>
    </row>
    <row r="2524" spans="1:6" ht="16" x14ac:dyDescent="0.2">
      <c r="A2524" s="1" t="s">
        <v>159</v>
      </c>
      <c r="B2524" t="str">
        <f>LEFT(Table1[[#This Row],[Input]],1)</f>
        <v>R</v>
      </c>
      <c r="C2524">
        <f>_xlfn.LET(_xlpm.steps,SUBSTITUTE(Table1[[#This Row],[Input]],Table1[[#This Row],[Direction]],""),VALUE(IF(LEN(_xlpm.steps)&gt;2,RIGHT(_xlpm.steps,2),_xlpm.steps)))</f>
        <v>24</v>
      </c>
      <c r="D2524">
        <f>_xlfn.LET(_xlpm.dir,Table1[[#This Row],[Direction]],
IF(_xlpm.dir="L",
    IF(F2523-Table1[[#This Row],[Steps]]&lt;0,100+(F2523-Table1[[#This Row],[Steps]]),F2523-Table1[[#This Row],[Steps]]),
))</f>
        <v>0</v>
      </c>
      <c r="E2524">
        <f>_xlfn.LET(_xlpm.dir,Table1[[#This Row],[Direction]],
IF(_xlpm.dir="R",
    IF(F2523+Table1[[#This Row],[Steps]]&gt;99,(F2523+Table1[[#This Row],[Steps]])-100,F2523+Table1[[#This Row],[Steps]]),
))</f>
        <v>24</v>
      </c>
      <c r="F2524">
        <f>IF(Table1[[#This Row],[New Pos L]]&lt;&gt;0,Table1[[#This Row],[New Pos L]],Table1[[#This Row],[New Pos R]])</f>
        <v>24</v>
      </c>
    </row>
    <row r="2525" spans="1:6" ht="16" x14ac:dyDescent="0.2">
      <c r="A2525" s="1" t="s">
        <v>617</v>
      </c>
      <c r="B2525" t="str">
        <f>LEFT(Table1[[#This Row],[Input]],1)</f>
        <v>L</v>
      </c>
      <c r="C2525">
        <f>_xlfn.LET(_xlpm.steps,SUBSTITUTE(Table1[[#This Row],[Input]],Table1[[#This Row],[Direction]],""),VALUE(IF(LEN(_xlpm.steps)&gt;2,RIGHT(_xlpm.steps,2),_xlpm.steps)))</f>
        <v>24</v>
      </c>
      <c r="D2525">
        <f>_xlfn.LET(_xlpm.dir,Table1[[#This Row],[Direction]],
IF(_xlpm.dir="L",
    IF(F2524-Table1[[#This Row],[Steps]]&lt;0,100+(F2524-Table1[[#This Row],[Steps]]),F2524-Table1[[#This Row],[Steps]]),
))</f>
        <v>0</v>
      </c>
      <c r="E2525">
        <f>_xlfn.LET(_xlpm.dir,Table1[[#This Row],[Direction]],
IF(_xlpm.dir="R",
    IF(F2524+Table1[[#This Row],[Steps]]&gt;99,(F2524+Table1[[#This Row],[Steps]])-100,F2524+Table1[[#This Row],[Steps]]),
))</f>
        <v>0</v>
      </c>
      <c r="F2525">
        <f>IF(Table1[[#This Row],[New Pos L]]&lt;&gt;0,Table1[[#This Row],[New Pos L]],Table1[[#This Row],[New Pos R]])</f>
        <v>0</v>
      </c>
    </row>
    <row r="2526" spans="1:6" ht="16" x14ac:dyDescent="0.2">
      <c r="A2526" s="1" t="s">
        <v>42</v>
      </c>
      <c r="B2526" t="str">
        <f>LEFT(Table1[[#This Row],[Input]],1)</f>
        <v>L</v>
      </c>
      <c r="C2526">
        <f>_xlfn.LET(_xlpm.steps,SUBSTITUTE(Table1[[#This Row],[Input]],Table1[[#This Row],[Direction]],""),VALUE(IF(LEN(_xlpm.steps)&gt;2,RIGHT(_xlpm.steps,2),_xlpm.steps)))</f>
        <v>27</v>
      </c>
      <c r="D2526">
        <f>_xlfn.LET(_xlpm.dir,Table1[[#This Row],[Direction]],
IF(_xlpm.dir="L",
    IF(F2525-Table1[[#This Row],[Steps]]&lt;0,100+(F2525-Table1[[#This Row],[Steps]]),F2525-Table1[[#This Row],[Steps]]),
))</f>
        <v>73</v>
      </c>
      <c r="E2526">
        <f>_xlfn.LET(_xlpm.dir,Table1[[#This Row],[Direction]],
IF(_xlpm.dir="R",
    IF(F2525+Table1[[#This Row],[Steps]]&gt;99,(F2525+Table1[[#This Row],[Steps]])-100,F2525+Table1[[#This Row],[Steps]]),
))</f>
        <v>0</v>
      </c>
      <c r="F2526">
        <f>IF(Table1[[#This Row],[New Pos L]]&lt;&gt;0,Table1[[#This Row],[New Pos L]],Table1[[#This Row],[New Pos R]])</f>
        <v>73</v>
      </c>
    </row>
    <row r="2527" spans="1:6" ht="16" x14ac:dyDescent="0.2">
      <c r="A2527" s="1" t="s">
        <v>146</v>
      </c>
      <c r="B2527" t="str">
        <f>LEFT(Table1[[#This Row],[Input]],1)</f>
        <v>R</v>
      </c>
      <c r="C2527">
        <f>_xlfn.LET(_xlpm.steps,SUBSTITUTE(Table1[[#This Row],[Input]],Table1[[#This Row],[Direction]],""),VALUE(IF(LEN(_xlpm.steps)&gt;2,RIGHT(_xlpm.steps,2),_xlpm.steps)))</f>
        <v>4</v>
      </c>
      <c r="D2527">
        <f>_xlfn.LET(_xlpm.dir,Table1[[#This Row],[Direction]],
IF(_xlpm.dir="L",
    IF(F2526-Table1[[#This Row],[Steps]]&lt;0,100+(F2526-Table1[[#This Row],[Steps]]),F2526-Table1[[#This Row],[Steps]]),
))</f>
        <v>0</v>
      </c>
      <c r="E2527">
        <f>_xlfn.LET(_xlpm.dir,Table1[[#This Row],[Direction]],
IF(_xlpm.dir="R",
    IF(F2526+Table1[[#This Row],[Steps]]&gt;99,(F2526+Table1[[#This Row],[Steps]])-100,F2526+Table1[[#This Row],[Steps]]),
))</f>
        <v>77</v>
      </c>
      <c r="F2527">
        <f>IF(Table1[[#This Row],[New Pos L]]&lt;&gt;0,Table1[[#This Row],[New Pos L]],Table1[[#This Row],[New Pos R]])</f>
        <v>77</v>
      </c>
    </row>
    <row r="2528" spans="1:6" ht="16" x14ac:dyDescent="0.2">
      <c r="A2528" s="1" t="s">
        <v>68</v>
      </c>
      <c r="B2528" t="str">
        <f>LEFT(Table1[[#This Row],[Input]],1)</f>
        <v>L</v>
      </c>
      <c r="C2528">
        <f>_xlfn.LET(_xlpm.steps,SUBSTITUTE(Table1[[#This Row],[Input]],Table1[[#This Row],[Direction]],""),VALUE(IF(LEN(_xlpm.steps)&gt;2,RIGHT(_xlpm.steps,2),_xlpm.steps)))</f>
        <v>80</v>
      </c>
      <c r="D2528">
        <f>_xlfn.LET(_xlpm.dir,Table1[[#This Row],[Direction]],
IF(_xlpm.dir="L",
    IF(F2527-Table1[[#This Row],[Steps]]&lt;0,100+(F2527-Table1[[#This Row],[Steps]]),F2527-Table1[[#This Row],[Steps]]),
))</f>
        <v>97</v>
      </c>
      <c r="E2528">
        <f>_xlfn.LET(_xlpm.dir,Table1[[#This Row],[Direction]],
IF(_xlpm.dir="R",
    IF(F2527+Table1[[#This Row],[Steps]]&gt;99,(F2527+Table1[[#This Row],[Steps]])-100,F2527+Table1[[#This Row],[Steps]]),
))</f>
        <v>0</v>
      </c>
      <c r="F2528">
        <f>IF(Table1[[#This Row],[New Pos L]]&lt;&gt;0,Table1[[#This Row],[New Pos L]],Table1[[#This Row],[New Pos R]])</f>
        <v>97</v>
      </c>
    </row>
    <row r="2529" spans="1:6" ht="16" x14ac:dyDescent="0.2">
      <c r="A2529" s="1" t="s">
        <v>46</v>
      </c>
      <c r="B2529" t="str">
        <f>LEFT(Table1[[#This Row],[Input]],1)</f>
        <v>L</v>
      </c>
      <c r="C2529">
        <f>_xlfn.LET(_xlpm.steps,SUBSTITUTE(Table1[[#This Row],[Input]],Table1[[#This Row],[Direction]],""),VALUE(IF(LEN(_xlpm.steps)&gt;2,RIGHT(_xlpm.steps,2),_xlpm.steps)))</f>
        <v>97</v>
      </c>
      <c r="D2529">
        <f>_xlfn.LET(_xlpm.dir,Table1[[#This Row],[Direction]],
IF(_xlpm.dir="L",
    IF(F2528-Table1[[#This Row],[Steps]]&lt;0,100+(F2528-Table1[[#This Row],[Steps]]),F2528-Table1[[#This Row],[Steps]]),
))</f>
        <v>0</v>
      </c>
      <c r="E2529">
        <f>_xlfn.LET(_xlpm.dir,Table1[[#This Row],[Direction]],
IF(_xlpm.dir="R",
    IF(F2528+Table1[[#This Row],[Steps]]&gt;99,(F2528+Table1[[#This Row],[Steps]])-100,F2528+Table1[[#This Row],[Steps]]),
))</f>
        <v>0</v>
      </c>
      <c r="F2529">
        <f>IF(Table1[[#This Row],[New Pos L]]&lt;&gt;0,Table1[[#This Row],[New Pos L]],Table1[[#This Row],[New Pos R]])</f>
        <v>0</v>
      </c>
    </row>
    <row r="2530" spans="1:6" ht="16" x14ac:dyDescent="0.2">
      <c r="A2530" s="1" t="s">
        <v>191</v>
      </c>
      <c r="B2530" t="str">
        <f>LEFT(Table1[[#This Row],[Input]],1)</f>
        <v>L</v>
      </c>
      <c r="C2530">
        <f>_xlfn.LET(_xlpm.steps,SUBSTITUTE(Table1[[#This Row],[Input]],Table1[[#This Row],[Direction]],""),VALUE(IF(LEN(_xlpm.steps)&gt;2,RIGHT(_xlpm.steps,2),_xlpm.steps)))</f>
        <v>5</v>
      </c>
      <c r="D2530">
        <f>_xlfn.LET(_xlpm.dir,Table1[[#This Row],[Direction]],
IF(_xlpm.dir="L",
    IF(F2529-Table1[[#This Row],[Steps]]&lt;0,100+(F2529-Table1[[#This Row],[Steps]]),F2529-Table1[[#This Row],[Steps]]),
))</f>
        <v>95</v>
      </c>
      <c r="E2530">
        <f>_xlfn.LET(_xlpm.dir,Table1[[#This Row],[Direction]],
IF(_xlpm.dir="R",
    IF(F2529+Table1[[#This Row],[Steps]]&gt;99,(F2529+Table1[[#This Row],[Steps]])-100,F2529+Table1[[#This Row],[Steps]]),
))</f>
        <v>0</v>
      </c>
      <c r="F2530">
        <f>IF(Table1[[#This Row],[New Pos L]]&lt;&gt;0,Table1[[#This Row],[New Pos L]],Table1[[#This Row],[New Pos R]])</f>
        <v>95</v>
      </c>
    </row>
    <row r="2531" spans="1:6" ht="16" x14ac:dyDescent="0.2">
      <c r="A2531" s="1" t="s">
        <v>95</v>
      </c>
      <c r="B2531" t="str">
        <f>LEFT(Table1[[#This Row],[Input]],1)</f>
        <v>L</v>
      </c>
      <c r="C2531">
        <f>_xlfn.LET(_xlpm.steps,SUBSTITUTE(Table1[[#This Row],[Input]],Table1[[#This Row],[Direction]],""),VALUE(IF(LEN(_xlpm.steps)&gt;2,RIGHT(_xlpm.steps,2),_xlpm.steps)))</f>
        <v>78</v>
      </c>
      <c r="D2531">
        <f>_xlfn.LET(_xlpm.dir,Table1[[#This Row],[Direction]],
IF(_xlpm.dir="L",
    IF(F2530-Table1[[#This Row],[Steps]]&lt;0,100+(F2530-Table1[[#This Row],[Steps]]),F2530-Table1[[#This Row],[Steps]]),
))</f>
        <v>17</v>
      </c>
      <c r="E2531">
        <f>_xlfn.LET(_xlpm.dir,Table1[[#This Row],[Direction]],
IF(_xlpm.dir="R",
    IF(F2530+Table1[[#This Row],[Steps]]&gt;99,(F2530+Table1[[#This Row],[Steps]])-100,F2530+Table1[[#This Row],[Steps]]),
))</f>
        <v>0</v>
      </c>
      <c r="F2531">
        <f>IF(Table1[[#This Row],[New Pos L]]&lt;&gt;0,Table1[[#This Row],[New Pos L]],Table1[[#This Row],[New Pos R]])</f>
        <v>17</v>
      </c>
    </row>
    <row r="2532" spans="1:6" ht="16" x14ac:dyDescent="0.2">
      <c r="A2532" s="1" t="s">
        <v>267</v>
      </c>
      <c r="B2532" t="str">
        <f>LEFT(Table1[[#This Row],[Input]],1)</f>
        <v>L</v>
      </c>
      <c r="C2532">
        <f>_xlfn.LET(_xlpm.steps,SUBSTITUTE(Table1[[#This Row],[Input]],Table1[[#This Row],[Direction]],""),VALUE(IF(LEN(_xlpm.steps)&gt;2,RIGHT(_xlpm.steps,2),_xlpm.steps)))</f>
        <v>39</v>
      </c>
      <c r="D2532">
        <f>_xlfn.LET(_xlpm.dir,Table1[[#This Row],[Direction]],
IF(_xlpm.dir="L",
    IF(F2531-Table1[[#This Row],[Steps]]&lt;0,100+(F2531-Table1[[#This Row],[Steps]]),F2531-Table1[[#This Row],[Steps]]),
))</f>
        <v>78</v>
      </c>
      <c r="E2532">
        <f>_xlfn.LET(_xlpm.dir,Table1[[#This Row],[Direction]],
IF(_xlpm.dir="R",
    IF(F2531+Table1[[#This Row],[Steps]]&gt;99,(F2531+Table1[[#This Row],[Steps]])-100,F2531+Table1[[#This Row],[Steps]]),
))</f>
        <v>0</v>
      </c>
      <c r="F2532">
        <f>IF(Table1[[#This Row],[New Pos L]]&lt;&gt;0,Table1[[#This Row],[New Pos L]],Table1[[#This Row],[New Pos R]])</f>
        <v>78</v>
      </c>
    </row>
    <row r="2533" spans="1:6" ht="16" x14ac:dyDescent="0.2">
      <c r="A2533" s="1" t="s">
        <v>28</v>
      </c>
      <c r="B2533" t="str">
        <f>LEFT(Table1[[#This Row],[Input]],1)</f>
        <v>R</v>
      </c>
      <c r="C2533">
        <f>_xlfn.LET(_xlpm.steps,SUBSTITUTE(Table1[[#This Row],[Input]],Table1[[#This Row],[Direction]],""),VALUE(IF(LEN(_xlpm.steps)&gt;2,RIGHT(_xlpm.steps,2),_xlpm.steps)))</f>
        <v>30</v>
      </c>
      <c r="D2533">
        <f>_xlfn.LET(_xlpm.dir,Table1[[#This Row],[Direction]],
IF(_xlpm.dir="L",
    IF(F2532-Table1[[#This Row],[Steps]]&lt;0,100+(F2532-Table1[[#This Row],[Steps]]),F2532-Table1[[#This Row],[Steps]]),
))</f>
        <v>0</v>
      </c>
      <c r="E2533">
        <f>_xlfn.LET(_xlpm.dir,Table1[[#This Row],[Direction]],
IF(_xlpm.dir="R",
    IF(F2532+Table1[[#This Row],[Steps]]&gt;99,(F2532+Table1[[#This Row],[Steps]])-100,F2532+Table1[[#This Row],[Steps]]),
))</f>
        <v>8</v>
      </c>
      <c r="F2533">
        <f>IF(Table1[[#This Row],[New Pos L]]&lt;&gt;0,Table1[[#This Row],[New Pos L]],Table1[[#This Row],[New Pos R]])</f>
        <v>8</v>
      </c>
    </row>
    <row r="2534" spans="1:6" ht="16" x14ac:dyDescent="0.2">
      <c r="A2534" s="1" t="s">
        <v>23</v>
      </c>
      <c r="B2534" t="str">
        <f>LEFT(Table1[[#This Row],[Input]],1)</f>
        <v>L</v>
      </c>
      <c r="C2534">
        <f>_xlfn.LET(_xlpm.steps,SUBSTITUTE(Table1[[#This Row],[Input]],Table1[[#This Row],[Direction]],""),VALUE(IF(LEN(_xlpm.steps)&gt;2,RIGHT(_xlpm.steps,2),_xlpm.steps)))</f>
        <v>8</v>
      </c>
      <c r="D2534">
        <f>_xlfn.LET(_xlpm.dir,Table1[[#This Row],[Direction]],
IF(_xlpm.dir="L",
    IF(F2533-Table1[[#This Row],[Steps]]&lt;0,100+(F2533-Table1[[#This Row],[Steps]]),F2533-Table1[[#This Row],[Steps]]),
))</f>
        <v>0</v>
      </c>
      <c r="E2534">
        <f>_xlfn.LET(_xlpm.dir,Table1[[#This Row],[Direction]],
IF(_xlpm.dir="R",
    IF(F2533+Table1[[#This Row],[Steps]]&gt;99,(F2533+Table1[[#This Row],[Steps]])-100,F2533+Table1[[#This Row],[Steps]]),
))</f>
        <v>0</v>
      </c>
      <c r="F2534">
        <f>IF(Table1[[#This Row],[New Pos L]]&lt;&gt;0,Table1[[#This Row],[New Pos L]],Table1[[#This Row],[New Pos R]])</f>
        <v>0</v>
      </c>
    </row>
    <row r="2535" spans="1:6" ht="16" x14ac:dyDescent="0.2">
      <c r="A2535" s="1" t="s">
        <v>618</v>
      </c>
      <c r="B2535" t="str">
        <f>LEFT(Table1[[#This Row],[Input]],1)</f>
        <v>R</v>
      </c>
      <c r="C2535">
        <f>_xlfn.LET(_xlpm.steps,SUBSTITUTE(Table1[[#This Row],[Input]],Table1[[#This Row],[Direction]],""),VALUE(IF(LEN(_xlpm.steps)&gt;2,RIGHT(_xlpm.steps,2),_xlpm.steps)))</f>
        <v>53</v>
      </c>
      <c r="D2535">
        <f>_xlfn.LET(_xlpm.dir,Table1[[#This Row],[Direction]],
IF(_xlpm.dir="L",
    IF(F2534-Table1[[#This Row],[Steps]]&lt;0,100+(F2534-Table1[[#This Row],[Steps]]),F2534-Table1[[#This Row],[Steps]]),
))</f>
        <v>0</v>
      </c>
      <c r="E2535">
        <f>_xlfn.LET(_xlpm.dir,Table1[[#This Row],[Direction]],
IF(_xlpm.dir="R",
    IF(F2534+Table1[[#This Row],[Steps]]&gt;99,(F2534+Table1[[#This Row],[Steps]])-100,F2534+Table1[[#This Row],[Steps]]),
))</f>
        <v>53</v>
      </c>
      <c r="F2535">
        <f>IF(Table1[[#This Row],[New Pos L]]&lt;&gt;0,Table1[[#This Row],[New Pos L]],Table1[[#This Row],[New Pos R]])</f>
        <v>53</v>
      </c>
    </row>
    <row r="2536" spans="1:6" ht="16" x14ac:dyDescent="0.2">
      <c r="A2536" s="1" t="s">
        <v>181</v>
      </c>
      <c r="B2536" t="str">
        <f>LEFT(Table1[[#This Row],[Input]],1)</f>
        <v>L</v>
      </c>
      <c r="C2536">
        <f>_xlfn.LET(_xlpm.steps,SUBSTITUTE(Table1[[#This Row],[Input]],Table1[[#This Row],[Direction]],""),VALUE(IF(LEN(_xlpm.steps)&gt;2,RIGHT(_xlpm.steps,2),_xlpm.steps)))</f>
        <v>53</v>
      </c>
      <c r="D2536">
        <f>_xlfn.LET(_xlpm.dir,Table1[[#This Row],[Direction]],
IF(_xlpm.dir="L",
    IF(F2535-Table1[[#This Row],[Steps]]&lt;0,100+(F2535-Table1[[#This Row],[Steps]]),F2535-Table1[[#This Row],[Steps]]),
))</f>
        <v>0</v>
      </c>
      <c r="E2536">
        <f>_xlfn.LET(_xlpm.dir,Table1[[#This Row],[Direction]],
IF(_xlpm.dir="R",
    IF(F2535+Table1[[#This Row],[Steps]]&gt;99,(F2535+Table1[[#This Row],[Steps]])-100,F2535+Table1[[#This Row],[Steps]]),
))</f>
        <v>0</v>
      </c>
      <c r="F2536">
        <f>IF(Table1[[#This Row],[New Pos L]]&lt;&gt;0,Table1[[#This Row],[New Pos L]],Table1[[#This Row],[New Pos R]])</f>
        <v>0</v>
      </c>
    </row>
    <row r="2537" spans="1:6" ht="16" x14ac:dyDescent="0.2">
      <c r="A2537" s="1" t="s">
        <v>179</v>
      </c>
      <c r="B2537" t="str">
        <f>LEFT(Table1[[#This Row],[Input]],1)</f>
        <v>L</v>
      </c>
      <c r="C2537">
        <f>_xlfn.LET(_xlpm.steps,SUBSTITUTE(Table1[[#This Row],[Input]],Table1[[#This Row],[Direction]],""),VALUE(IF(LEN(_xlpm.steps)&gt;2,RIGHT(_xlpm.steps,2),_xlpm.steps)))</f>
        <v>54</v>
      </c>
      <c r="D2537">
        <f>_xlfn.LET(_xlpm.dir,Table1[[#This Row],[Direction]],
IF(_xlpm.dir="L",
    IF(F2536-Table1[[#This Row],[Steps]]&lt;0,100+(F2536-Table1[[#This Row],[Steps]]),F2536-Table1[[#This Row],[Steps]]),
))</f>
        <v>46</v>
      </c>
      <c r="E2537">
        <f>_xlfn.LET(_xlpm.dir,Table1[[#This Row],[Direction]],
IF(_xlpm.dir="R",
    IF(F2536+Table1[[#This Row],[Steps]]&gt;99,(F2536+Table1[[#This Row],[Steps]])-100,F2536+Table1[[#This Row],[Steps]]),
))</f>
        <v>0</v>
      </c>
      <c r="F2537">
        <f>IF(Table1[[#This Row],[New Pos L]]&lt;&gt;0,Table1[[#This Row],[New Pos L]],Table1[[#This Row],[New Pos R]])</f>
        <v>46</v>
      </c>
    </row>
    <row r="2538" spans="1:6" ht="16" x14ac:dyDescent="0.2">
      <c r="A2538" s="1" t="s">
        <v>216</v>
      </c>
      <c r="B2538" t="str">
        <f>LEFT(Table1[[#This Row],[Input]],1)</f>
        <v>R</v>
      </c>
      <c r="C2538">
        <f>_xlfn.LET(_xlpm.steps,SUBSTITUTE(Table1[[#This Row],[Input]],Table1[[#This Row],[Direction]],""),VALUE(IF(LEN(_xlpm.steps)&gt;2,RIGHT(_xlpm.steps,2),_xlpm.steps)))</f>
        <v>54</v>
      </c>
      <c r="D2538">
        <f>_xlfn.LET(_xlpm.dir,Table1[[#This Row],[Direction]],
IF(_xlpm.dir="L",
    IF(F2537-Table1[[#This Row],[Steps]]&lt;0,100+(F2537-Table1[[#This Row],[Steps]]),F2537-Table1[[#This Row],[Steps]]),
))</f>
        <v>0</v>
      </c>
      <c r="E2538">
        <f>_xlfn.LET(_xlpm.dir,Table1[[#This Row],[Direction]],
IF(_xlpm.dir="R",
    IF(F2537+Table1[[#This Row],[Steps]]&gt;99,(F2537+Table1[[#This Row],[Steps]])-100,F2537+Table1[[#This Row],[Steps]]),
))</f>
        <v>0</v>
      </c>
      <c r="F2538">
        <f>IF(Table1[[#This Row],[New Pos L]]&lt;&gt;0,Table1[[#This Row],[New Pos L]],Table1[[#This Row],[New Pos R]])</f>
        <v>0</v>
      </c>
    </row>
    <row r="2539" spans="1:6" ht="16" x14ac:dyDescent="0.2">
      <c r="A2539" s="1" t="s">
        <v>84</v>
      </c>
      <c r="B2539" t="str">
        <f>LEFT(Table1[[#This Row],[Input]],1)</f>
        <v>R</v>
      </c>
      <c r="C2539">
        <f>_xlfn.LET(_xlpm.steps,SUBSTITUTE(Table1[[#This Row],[Input]],Table1[[#This Row],[Direction]],""),VALUE(IF(LEN(_xlpm.steps)&gt;2,RIGHT(_xlpm.steps,2),_xlpm.steps)))</f>
        <v>88</v>
      </c>
      <c r="D2539">
        <f>_xlfn.LET(_xlpm.dir,Table1[[#This Row],[Direction]],
IF(_xlpm.dir="L",
    IF(F2538-Table1[[#This Row],[Steps]]&lt;0,100+(F2538-Table1[[#This Row],[Steps]]),F2538-Table1[[#This Row],[Steps]]),
))</f>
        <v>0</v>
      </c>
      <c r="E2539">
        <f>_xlfn.LET(_xlpm.dir,Table1[[#This Row],[Direction]],
IF(_xlpm.dir="R",
    IF(F2538+Table1[[#This Row],[Steps]]&gt;99,(F2538+Table1[[#This Row],[Steps]])-100,F2538+Table1[[#This Row],[Steps]]),
))</f>
        <v>88</v>
      </c>
      <c r="F2539">
        <f>IF(Table1[[#This Row],[New Pos L]]&lt;&gt;0,Table1[[#This Row],[New Pos L]],Table1[[#This Row],[New Pos R]])</f>
        <v>88</v>
      </c>
    </row>
    <row r="2540" spans="1:6" ht="16" x14ac:dyDescent="0.2">
      <c r="A2540" s="1" t="s">
        <v>27</v>
      </c>
      <c r="B2540" t="str">
        <f>LEFT(Table1[[#This Row],[Input]],1)</f>
        <v>L</v>
      </c>
      <c r="C2540">
        <f>_xlfn.LET(_xlpm.steps,SUBSTITUTE(Table1[[#This Row],[Input]],Table1[[#This Row],[Direction]],""),VALUE(IF(LEN(_xlpm.steps)&gt;2,RIGHT(_xlpm.steps,2),_xlpm.steps)))</f>
        <v>14</v>
      </c>
      <c r="D2540">
        <f>_xlfn.LET(_xlpm.dir,Table1[[#This Row],[Direction]],
IF(_xlpm.dir="L",
    IF(F2539-Table1[[#This Row],[Steps]]&lt;0,100+(F2539-Table1[[#This Row],[Steps]]),F2539-Table1[[#This Row],[Steps]]),
))</f>
        <v>74</v>
      </c>
      <c r="E2540">
        <f>_xlfn.LET(_xlpm.dir,Table1[[#This Row],[Direction]],
IF(_xlpm.dir="R",
    IF(F2539+Table1[[#This Row],[Steps]]&gt;99,(F2539+Table1[[#This Row],[Steps]])-100,F2539+Table1[[#This Row],[Steps]]),
))</f>
        <v>0</v>
      </c>
      <c r="F2540">
        <f>IF(Table1[[#This Row],[New Pos L]]&lt;&gt;0,Table1[[#This Row],[New Pos L]],Table1[[#This Row],[New Pos R]])</f>
        <v>74</v>
      </c>
    </row>
    <row r="2541" spans="1:6" ht="16" x14ac:dyDescent="0.2">
      <c r="A2541" s="1" t="s">
        <v>151</v>
      </c>
      <c r="B2541" t="str">
        <f>LEFT(Table1[[#This Row],[Input]],1)</f>
        <v>L</v>
      </c>
      <c r="C2541">
        <f>_xlfn.LET(_xlpm.steps,SUBSTITUTE(Table1[[#This Row],[Input]],Table1[[#This Row],[Direction]],""),VALUE(IF(LEN(_xlpm.steps)&gt;2,RIGHT(_xlpm.steps,2),_xlpm.steps)))</f>
        <v>74</v>
      </c>
      <c r="D2541">
        <f>_xlfn.LET(_xlpm.dir,Table1[[#This Row],[Direction]],
IF(_xlpm.dir="L",
    IF(F2540-Table1[[#This Row],[Steps]]&lt;0,100+(F2540-Table1[[#This Row],[Steps]]),F2540-Table1[[#This Row],[Steps]]),
))</f>
        <v>0</v>
      </c>
      <c r="E2541">
        <f>_xlfn.LET(_xlpm.dir,Table1[[#This Row],[Direction]],
IF(_xlpm.dir="R",
    IF(F2540+Table1[[#This Row],[Steps]]&gt;99,(F2540+Table1[[#This Row],[Steps]])-100,F2540+Table1[[#This Row],[Steps]]),
))</f>
        <v>0</v>
      </c>
      <c r="F2541">
        <f>IF(Table1[[#This Row],[New Pos L]]&lt;&gt;0,Table1[[#This Row],[New Pos L]],Table1[[#This Row],[New Pos R]])</f>
        <v>0</v>
      </c>
    </row>
    <row r="2542" spans="1:6" ht="16" x14ac:dyDescent="0.2">
      <c r="A2542" s="1" t="s">
        <v>132</v>
      </c>
      <c r="B2542" t="str">
        <f>LEFT(Table1[[#This Row],[Input]],1)</f>
        <v>L</v>
      </c>
      <c r="C2542">
        <f>_xlfn.LET(_xlpm.steps,SUBSTITUTE(Table1[[#This Row],[Input]],Table1[[#This Row],[Direction]],""),VALUE(IF(LEN(_xlpm.steps)&gt;2,RIGHT(_xlpm.steps,2),_xlpm.steps)))</f>
        <v>51</v>
      </c>
      <c r="D2542">
        <f>_xlfn.LET(_xlpm.dir,Table1[[#This Row],[Direction]],
IF(_xlpm.dir="L",
    IF(F2541-Table1[[#This Row],[Steps]]&lt;0,100+(F2541-Table1[[#This Row],[Steps]]),F2541-Table1[[#This Row],[Steps]]),
))</f>
        <v>49</v>
      </c>
      <c r="E2542">
        <f>_xlfn.LET(_xlpm.dir,Table1[[#This Row],[Direction]],
IF(_xlpm.dir="R",
    IF(F2541+Table1[[#This Row],[Steps]]&gt;99,(F2541+Table1[[#This Row],[Steps]])-100,F2541+Table1[[#This Row],[Steps]]),
))</f>
        <v>0</v>
      </c>
      <c r="F2542">
        <f>IF(Table1[[#This Row],[New Pos L]]&lt;&gt;0,Table1[[#This Row],[New Pos L]],Table1[[#This Row],[New Pos R]])</f>
        <v>49</v>
      </c>
    </row>
    <row r="2543" spans="1:6" ht="16" x14ac:dyDescent="0.2">
      <c r="A2543" s="1" t="s">
        <v>194</v>
      </c>
      <c r="B2543" t="str">
        <f>LEFT(Table1[[#This Row],[Input]],1)</f>
        <v>R</v>
      </c>
      <c r="C2543">
        <f>_xlfn.LET(_xlpm.steps,SUBSTITUTE(Table1[[#This Row],[Input]],Table1[[#This Row],[Direction]],""),VALUE(IF(LEN(_xlpm.steps)&gt;2,RIGHT(_xlpm.steps,2),_xlpm.steps)))</f>
        <v>51</v>
      </c>
      <c r="D2543">
        <f>_xlfn.LET(_xlpm.dir,Table1[[#This Row],[Direction]],
IF(_xlpm.dir="L",
    IF(F2542-Table1[[#This Row],[Steps]]&lt;0,100+(F2542-Table1[[#This Row],[Steps]]),F2542-Table1[[#This Row],[Steps]]),
))</f>
        <v>0</v>
      </c>
      <c r="E2543">
        <f>_xlfn.LET(_xlpm.dir,Table1[[#This Row],[Direction]],
IF(_xlpm.dir="R",
    IF(F2542+Table1[[#This Row],[Steps]]&gt;99,(F2542+Table1[[#This Row],[Steps]])-100,F2542+Table1[[#This Row],[Steps]]),
))</f>
        <v>0</v>
      </c>
      <c r="F2543">
        <f>IF(Table1[[#This Row],[New Pos L]]&lt;&gt;0,Table1[[#This Row],[New Pos L]],Table1[[#This Row],[New Pos R]])</f>
        <v>0</v>
      </c>
    </row>
    <row r="2544" spans="1:6" ht="16" x14ac:dyDescent="0.2">
      <c r="A2544" s="1" t="s">
        <v>75</v>
      </c>
      <c r="B2544" t="str">
        <f>LEFT(Table1[[#This Row],[Input]],1)</f>
        <v>R</v>
      </c>
      <c r="C2544">
        <f>_xlfn.LET(_xlpm.steps,SUBSTITUTE(Table1[[#This Row],[Input]],Table1[[#This Row],[Direction]],""),VALUE(IF(LEN(_xlpm.steps)&gt;2,RIGHT(_xlpm.steps,2),_xlpm.steps)))</f>
        <v>2</v>
      </c>
      <c r="D2544">
        <f>_xlfn.LET(_xlpm.dir,Table1[[#This Row],[Direction]],
IF(_xlpm.dir="L",
    IF(F2543-Table1[[#This Row],[Steps]]&lt;0,100+(F2543-Table1[[#This Row],[Steps]]),F2543-Table1[[#This Row],[Steps]]),
))</f>
        <v>0</v>
      </c>
      <c r="E2544">
        <f>_xlfn.LET(_xlpm.dir,Table1[[#This Row],[Direction]],
IF(_xlpm.dir="R",
    IF(F2543+Table1[[#This Row],[Steps]]&gt;99,(F2543+Table1[[#This Row],[Steps]])-100,F2543+Table1[[#This Row],[Steps]]),
))</f>
        <v>2</v>
      </c>
      <c r="F2544">
        <f>IF(Table1[[#This Row],[New Pos L]]&lt;&gt;0,Table1[[#This Row],[New Pos L]],Table1[[#This Row],[New Pos R]])</f>
        <v>2</v>
      </c>
    </row>
    <row r="2545" spans="1:6" ht="16" x14ac:dyDescent="0.2">
      <c r="A2545" s="1" t="s">
        <v>619</v>
      </c>
      <c r="B2545" t="str">
        <f>LEFT(Table1[[#This Row],[Input]],1)</f>
        <v>L</v>
      </c>
      <c r="C2545">
        <f>_xlfn.LET(_xlpm.steps,SUBSTITUTE(Table1[[#This Row],[Input]],Table1[[#This Row],[Direction]],""),VALUE(IF(LEN(_xlpm.steps)&gt;2,RIGHT(_xlpm.steps,2),_xlpm.steps)))</f>
        <v>96</v>
      </c>
      <c r="D2545">
        <f>_xlfn.LET(_xlpm.dir,Table1[[#This Row],[Direction]],
IF(_xlpm.dir="L",
    IF(F2544-Table1[[#This Row],[Steps]]&lt;0,100+(F2544-Table1[[#This Row],[Steps]]),F2544-Table1[[#This Row],[Steps]]),
))</f>
        <v>6</v>
      </c>
      <c r="E2545">
        <f>_xlfn.LET(_xlpm.dir,Table1[[#This Row],[Direction]],
IF(_xlpm.dir="R",
    IF(F2544+Table1[[#This Row],[Steps]]&gt;99,(F2544+Table1[[#This Row],[Steps]])-100,F2544+Table1[[#This Row],[Steps]]),
))</f>
        <v>0</v>
      </c>
      <c r="F2545">
        <f>IF(Table1[[#This Row],[New Pos L]]&lt;&gt;0,Table1[[#This Row],[New Pos L]],Table1[[#This Row],[New Pos R]])</f>
        <v>6</v>
      </c>
    </row>
    <row r="2546" spans="1:6" ht="16" x14ac:dyDescent="0.2">
      <c r="A2546" s="1" t="s">
        <v>102</v>
      </c>
      <c r="B2546" t="str">
        <f>LEFT(Table1[[#This Row],[Input]],1)</f>
        <v>R</v>
      </c>
      <c r="C2546">
        <f>_xlfn.LET(_xlpm.steps,SUBSTITUTE(Table1[[#This Row],[Input]],Table1[[#This Row],[Direction]],""),VALUE(IF(LEN(_xlpm.steps)&gt;2,RIGHT(_xlpm.steps,2),_xlpm.steps)))</f>
        <v>39</v>
      </c>
      <c r="D2546">
        <f>_xlfn.LET(_xlpm.dir,Table1[[#This Row],[Direction]],
IF(_xlpm.dir="L",
    IF(F2545-Table1[[#This Row],[Steps]]&lt;0,100+(F2545-Table1[[#This Row],[Steps]]),F2545-Table1[[#This Row],[Steps]]),
))</f>
        <v>0</v>
      </c>
      <c r="E2546">
        <f>_xlfn.LET(_xlpm.dir,Table1[[#This Row],[Direction]],
IF(_xlpm.dir="R",
    IF(F2545+Table1[[#This Row],[Steps]]&gt;99,(F2545+Table1[[#This Row],[Steps]])-100,F2545+Table1[[#This Row],[Steps]]),
))</f>
        <v>45</v>
      </c>
      <c r="F2546">
        <f>IF(Table1[[#This Row],[New Pos L]]&lt;&gt;0,Table1[[#This Row],[New Pos L]],Table1[[#This Row],[New Pos R]])</f>
        <v>45</v>
      </c>
    </row>
    <row r="2547" spans="1:6" ht="16" x14ac:dyDescent="0.2">
      <c r="A2547" s="1" t="s">
        <v>185</v>
      </c>
      <c r="B2547" t="str">
        <f>LEFT(Table1[[#This Row],[Input]],1)</f>
        <v>R</v>
      </c>
      <c r="C2547">
        <f>_xlfn.LET(_xlpm.steps,SUBSTITUTE(Table1[[#This Row],[Input]],Table1[[#This Row],[Direction]],""),VALUE(IF(LEN(_xlpm.steps)&gt;2,RIGHT(_xlpm.steps,2),_xlpm.steps)))</f>
        <v>61</v>
      </c>
      <c r="D2547">
        <f>_xlfn.LET(_xlpm.dir,Table1[[#This Row],[Direction]],
IF(_xlpm.dir="L",
    IF(F2546-Table1[[#This Row],[Steps]]&lt;0,100+(F2546-Table1[[#This Row],[Steps]]),F2546-Table1[[#This Row],[Steps]]),
))</f>
        <v>0</v>
      </c>
      <c r="E2547">
        <f>_xlfn.LET(_xlpm.dir,Table1[[#This Row],[Direction]],
IF(_xlpm.dir="R",
    IF(F2546+Table1[[#This Row],[Steps]]&gt;99,(F2546+Table1[[#This Row],[Steps]])-100,F2546+Table1[[#This Row],[Steps]]),
))</f>
        <v>6</v>
      </c>
      <c r="F2547">
        <f>IF(Table1[[#This Row],[New Pos L]]&lt;&gt;0,Table1[[#This Row],[New Pos L]],Table1[[#This Row],[New Pos R]])</f>
        <v>6</v>
      </c>
    </row>
    <row r="2548" spans="1:6" ht="16" x14ac:dyDescent="0.2">
      <c r="A2548" s="1" t="s">
        <v>6</v>
      </c>
      <c r="B2548" t="str">
        <f>LEFT(Table1[[#This Row],[Input]],1)</f>
        <v>R</v>
      </c>
      <c r="C2548">
        <f>_xlfn.LET(_xlpm.steps,SUBSTITUTE(Table1[[#This Row],[Input]],Table1[[#This Row],[Direction]],""),VALUE(IF(LEN(_xlpm.steps)&gt;2,RIGHT(_xlpm.steps,2),_xlpm.steps)))</f>
        <v>49</v>
      </c>
      <c r="D2548">
        <f>_xlfn.LET(_xlpm.dir,Table1[[#This Row],[Direction]],
IF(_xlpm.dir="L",
    IF(F2547-Table1[[#This Row],[Steps]]&lt;0,100+(F2547-Table1[[#This Row],[Steps]]),F2547-Table1[[#This Row],[Steps]]),
))</f>
        <v>0</v>
      </c>
      <c r="E2548">
        <f>_xlfn.LET(_xlpm.dir,Table1[[#This Row],[Direction]],
IF(_xlpm.dir="R",
    IF(F2547+Table1[[#This Row],[Steps]]&gt;99,(F2547+Table1[[#This Row],[Steps]])-100,F2547+Table1[[#This Row],[Steps]]),
))</f>
        <v>55</v>
      </c>
      <c r="F2548">
        <f>IF(Table1[[#This Row],[New Pos L]]&lt;&gt;0,Table1[[#This Row],[New Pos L]],Table1[[#This Row],[New Pos R]])</f>
        <v>55</v>
      </c>
    </row>
    <row r="2549" spans="1:6" ht="16" x14ac:dyDescent="0.2">
      <c r="A2549" s="1" t="s">
        <v>11</v>
      </c>
      <c r="B2549" t="str">
        <f>LEFT(Table1[[#This Row],[Input]],1)</f>
        <v>L</v>
      </c>
      <c r="C2549">
        <f>_xlfn.LET(_xlpm.steps,SUBSTITUTE(Table1[[#This Row],[Input]],Table1[[#This Row],[Direction]],""),VALUE(IF(LEN(_xlpm.steps)&gt;2,RIGHT(_xlpm.steps,2),_xlpm.steps)))</f>
        <v>34</v>
      </c>
      <c r="D2549">
        <f>_xlfn.LET(_xlpm.dir,Table1[[#This Row],[Direction]],
IF(_xlpm.dir="L",
    IF(F2548-Table1[[#This Row],[Steps]]&lt;0,100+(F2548-Table1[[#This Row],[Steps]]),F2548-Table1[[#This Row],[Steps]]),
))</f>
        <v>21</v>
      </c>
      <c r="E2549">
        <f>_xlfn.LET(_xlpm.dir,Table1[[#This Row],[Direction]],
IF(_xlpm.dir="R",
    IF(F2548+Table1[[#This Row],[Steps]]&gt;99,(F2548+Table1[[#This Row],[Steps]])-100,F2548+Table1[[#This Row],[Steps]]),
))</f>
        <v>0</v>
      </c>
      <c r="F2549">
        <f>IF(Table1[[#This Row],[New Pos L]]&lt;&gt;0,Table1[[#This Row],[New Pos L]],Table1[[#This Row],[New Pos R]])</f>
        <v>21</v>
      </c>
    </row>
    <row r="2550" spans="1:6" ht="16" x14ac:dyDescent="0.2">
      <c r="A2550" s="1" t="s">
        <v>145</v>
      </c>
      <c r="B2550" t="str">
        <f>LEFT(Table1[[#This Row],[Input]],1)</f>
        <v>L</v>
      </c>
      <c r="C2550">
        <f>_xlfn.LET(_xlpm.steps,SUBSTITUTE(Table1[[#This Row],[Input]],Table1[[#This Row],[Direction]],""),VALUE(IF(LEN(_xlpm.steps)&gt;2,RIGHT(_xlpm.steps,2),_xlpm.steps)))</f>
        <v>83</v>
      </c>
      <c r="D2550">
        <f>_xlfn.LET(_xlpm.dir,Table1[[#This Row],[Direction]],
IF(_xlpm.dir="L",
    IF(F2549-Table1[[#This Row],[Steps]]&lt;0,100+(F2549-Table1[[#This Row],[Steps]]),F2549-Table1[[#This Row],[Steps]]),
))</f>
        <v>38</v>
      </c>
      <c r="E2550">
        <f>_xlfn.LET(_xlpm.dir,Table1[[#This Row],[Direction]],
IF(_xlpm.dir="R",
    IF(F2549+Table1[[#This Row],[Steps]]&gt;99,(F2549+Table1[[#This Row],[Steps]])-100,F2549+Table1[[#This Row],[Steps]]),
))</f>
        <v>0</v>
      </c>
      <c r="F2550">
        <f>IF(Table1[[#This Row],[New Pos L]]&lt;&gt;0,Table1[[#This Row],[New Pos L]],Table1[[#This Row],[New Pos R]])</f>
        <v>38</v>
      </c>
    </row>
    <row r="2551" spans="1:6" ht="16" x14ac:dyDescent="0.2">
      <c r="A2551" s="1" t="s">
        <v>206</v>
      </c>
      <c r="B2551" t="str">
        <f>LEFT(Table1[[#This Row],[Input]],1)</f>
        <v>R</v>
      </c>
      <c r="C2551">
        <f>_xlfn.LET(_xlpm.steps,SUBSTITUTE(Table1[[#This Row],[Input]],Table1[[#This Row],[Direction]],""),VALUE(IF(LEN(_xlpm.steps)&gt;2,RIGHT(_xlpm.steps,2),_xlpm.steps)))</f>
        <v>62</v>
      </c>
      <c r="D2551">
        <f>_xlfn.LET(_xlpm.dir,Table1[[#This Row],[Direction]],
IF(_xlpm.dir="L",
    IF(F2550-Table1[[#This Row],[Steps]]&lt;0,100+(F2550-Table1[[#This Row],[Steps]]),F2550-Table1[[#This Row],[Steps]]),
))</f>
        <v>0</v>
      </c>
      <c r="E2551">
        <f>_xlfn.LET(_xlpm.dir,Table1[[#This Row],[Direction]],
IF(_xlpm.dir="R",
    IF(F2550+Table1[[#This Row],[Steps]]&gt;99,(F2550+Table1[[#This Row],[Steps]])-100,F2550+Table1[[#This Row],[Steps]]),
))</f>
        <v>0</v>
      </c>
      <c r="F2551">
        <f>IF(Table1[[#This Row],[New Pos L]]&lt;&gt;0,Table1[[#This Row],[New Pos L]],Table1[[#This Row],[New Pos R]])</f>
        <v>0</v>
      </c>
    </row>
    <row r="2552" spans="1:6" ht="16" x14ac:dyDescent="0.2">
      <c r="A2552" s="1" t="s">
        <v>126</v>
      </c>
      <c r="B2552" t="str">
        <f>LEFT(Table1[[#This Row],[Input]],1)</f>
        <v>R</v>
      </c>
      <c r="C2552">
        <f>_xlfn.LET(_xlpm.steps,SUBSTITUTE(Table1[[#This Row],[Input]],Table1[[#This Row],[Direction]],""),VALUE(IF(LEN(_xlpm.steps)&gt;2,RIGHT(_xlpm.steps,2),_xlpm.steps)))</f>
        <v>65</v>
      </c>
      <c r="D2552">
        <f>_xlfn.LET(_xlpm.dir,Table1[[#This Row],[Direction]],
IF(_xlpm.dir="L",
    IF(F2551-Table1[[#This Row],[Steps]]&lt;0,100+(F2551-Table1[[#This Row],[Steps]]),F2551-Table1[[#This Row],[Steps]]),
))</f>
        <v>0</v>
      </c>
      <c r="E2552">
        <f>_xlfn.LET(_xlpm.dir,Table1[[#This Row],[Direction]],
IF(_xlpm.dir="R",
    IF(F2551+Table1[[#This Row],[Steps]]&gt;99,(F2551+Table1[[#This Row],[Steps]])-100,F2551+Table1[[#This Row],[Steps]]),
))</f>
        <v>65</v>
      </c>
      <c r="F2552">
        <f>IF(Table1[[#This Row],[New Pos L]]&lt;&gt;0,Table1[[#This Row],[New Pos L]],Table1[[#This Row],[New Pos R]])</f>
        <v>65</v>
      </c>
    </row>
    <row r="2553" spans="1:6" ht="16" x14ac:dyDescent="0.2">
      <c r="A2553" s="1" t="s">
        <v>620</v>
      </c>
      <c r="B2553" t="str">
        <f>LEFT(Table1[[#This Row],[Input]],1)</f>
        <v>L</v>
      </c>
      <c r="C2553">
        <f>_xlfn.LET(_xlpm.steps,SUBSTITUTE(Table1[[#This Row],[Input]],Table1[[#This Row],[Direction]],""),VALUE(IF(LEN(_xlpm.steps)&gt;2,RIGHT(_xlpm.steps,2),_xlpm.steps)))</f>
        <v>13</v>
      </c>
      <c r="D2553">
        <f>_xlfn.LET(_xlpm.dir,Table1[[#This Row],[Direction]],
IF(_xlpm.dir="L",
    IF(F2552-Table1[[#This Row],[Steps]]&lt;0,100+(F2552-Table1[[#This Row],[Steps]]),F2552-Table1[[#This Row],[Steps]]),
))</f>
        <v>52</v>
      </c>
      <c r="E2553">
        <f>_xlfn.LET(_xlpm.dir,Table1[[#This Row],[Direction]],
IF(_xlpm.dir="R",
    IF(F2552+Table1[[#This Row],[Steps]]&gt;99,(F2552+Table1[[#This Row],[Steps]])-100,F2552+Table1[[#This Row],[Steps]]),
))</f>
        <v>0</v>
      </c>
      <c r="F2553">
        <f>IF(Table1[[#This Row],[New Pos L]]&lt;&gt;0,Table1[[#This Row],[New Pos L]],Table1[[#This Row],[New Pos R]])</f>
        <v>52</v>
      </c>
    </row>
    <row r="2554" spans="1:6" ht="16" x14ac:dyDescent="0.2">
      <c r="A2554" s="1" t="s">
        <v>621</v>
      </c>
      <c r="B2554" t="str">
        <f>LEFT(Table1[[#This Row],[Input]],1)</f>
        <v>L</v>
      </c>
      <c r="C2554">
        <f>_xlfn.LET(_xlpm.steps,SUBSTITUTE(Table1[[#This Row],[Input]],Table1[[#This Row],[Direction]],""),VALUE(IF(LEN(_xlpm.steps)&gt;2,RIGHT(_xlpm.steps,2),_xlpm.steps)))</f>
        <v>52</v>
      </c>
      <c r="D2554">
        <f>_xlfn.LET(_xlpm.dir,Table1[[#This Row],[Direction]],
IF(_xlpm.dir="L",
    IF(F2553-Table1[[#This Row],[Steps]]&lt;0,100+(F2553-Table1[[#This Row],[Steps]]),F2553-Table1[[#This Row],[Steps]]),
))</f>
        <v>0</v>
      </c>
      <c r="E2554">
        <f>_xlfn.LET(_xlpm.dir,Table1[[#This Row],[Direction]],
IF(_xlpm.dir="R",
    IF(F2553+Table1[[#This Row],[Steps]]&gt;99,(F2553+Table1[[#This Row],[Steps]])-100,F2553+Table1[[#This Row],[Steps]]),
))</f>
        <v>0</v>
      </c>
      <c r="F2554">
        <f>IF(Table1[[#This Row],[New Pos L]]&lt;&gt;0,Table1[[#This Row],[New Pos L]],Table1[[#This Row],[New Pos R]])</f>
        <v>0</v>
      </c>
    </row>
    <row r="2555" spans="1:6" ht="16" x14ac:dyDescent="0.2">
      <c r="A2555" s="1" t="s">
        <v>12</v>
      </c>
      <c r="B2555" t="str">
        <f>LEFT(Table1[[#This Row],[Input]],1)</f>
        <v>L</v>
      </c>
      <c r="C2555">
        <f>_xlfn.LET(_xlpm.steps,SUBSTITUTE(Table1[[#This Row],[Input]],Table1[[#This Row],[Direction]],""),VALUE(IF(LEN(_xlpm.steps)&gt;2,RIGHT(_xlpm.steps,2),_xlpm.steps)))</f>
        <v>11</v>
      </c>
      <c r="D2555">
        <f>_xlfn.LET(_xlpm.dir,Table1[[#This Row],[Direction]],
IF(_xlpm.dir="L",
    IF(F2554-Table1[[#This Row],[Steps]]&lt;0,100+(F2554-Table1[[#This Row],[Steps]]),F2554-Table1[[#This Row],[Steps]]),
))</f>
        <v>89</v>
      </c>
      <c r="E2555">
        <f>_xlfn.LET(_xlpm.dir,Table1[[#This Row],[Direction]],
IF(_xlpm.dir="R",
    IF(F2554+Table1[[#This Row],[Steps]]&gt;99,(F2554+Table1[[#This Row],[Steps]])-100,F2554+Table1[[#This Row],[Steps]]),
))</f>
        <v>0</v>
      </c>
      <c r="F2555">
        <f>IF(Table1[[#This Row],[New Pos L]]&lt;&gt;0,Table1[[#This Row],[New Pos L]],Table1[[#This Row],[New Pos R]])</f>
        <v>89</v>
      </c>
    </row>
    <row r="2556" spans="1:6" ht="16" x14ac:dyDescent="0.2">
      <c r="A2556" s="1" t="s">
        <v>159</v>
      </c>
      <c r="B2556" t="str">
        <f>LEFT(Table1[[#This Row],[Input]],1)</f>
        <v>R</v>
      </c>
      <c r="C2556">
        <f>_xlfn.LET(_xlpm.steps,SUBSTITUTE(Table1[[#This Row],[Input]],Table1[[#This Row],[Direction]],""),VALUE(IF(LEN(_xlpm.steps)&gt;2,RIGHT(_xlpm.steps,2),_xlpm.steps)))</f>
        <v>24</v>
      </c>
      <c r="D2556">
        <f>_xlfn.LET(_xlpm.dir,Table1[[#This Row],[Direction]],
IF(_xlpm.dir="L",
    IF(F2555-Table1[[#This Row],[Steps]]&lt;0,100+(F2555-Table1[[#This Row],[Steps]]),F2555-Table1[[#This Row],[Steps]]),
))</f>
        <v>0</v>
      </c>
      <c r="E2556">
        <f>_xlfn.LET(_xlpm.dir,Table1[[#This Row],[Direction]],
IF(_xlpm.dir="R",
    IF(F2555+Table1[[#This Row],[Steps]]&gt;99,(F2555+Table1[[#This Row],[Steps]])-100,F2555+Table1[[#This Row],[Steps]]),
))</f>
        <v>13</v>
      </c>
      <c r="F2556">
        <f>IF(Table1[[#This Row],[New Pos L]]&lt;&gt;0,Table1[[#This Row],[New Pos L]],Table1[[#This Row],[New Pos R]])</f>
        <v>13</v>
      </c>
    </row>
    <row r="2557" spans="1:6" ht="16" x14ac:dyDescent="0.2">
      <c r="A2557" s="1" t="s">
        <v>31</v>
      </c>
      <c r="B2557" t="str">
        <f>LEFT(Table1[[#This Row],[Input]],1)</f>
        <v>L</v>
      </c>
      <c r="C2557">
        <f>_xlfn.LET(_xlpm.steps,SUBSTITUTE(Table1[[#This Row],[Input]],Table1[[#This Row],[Direction]],""),VALUE(IF(LEN(_xlpm.steps)&gt;2,RIGHT(_xlpm.steps,2),_xlpm.steps)))</f>
        <v>13</v>
      </c>
      <c r="D2557">
        <f>_xlfn.LET(_xlpm.dir,Table1[[#This Row],[Direction]],
IF(_xlpm.dir="L",
    IF(F2556-Table1[[#This Row],[Steps]]&lt;0,100+(F2556-Table1[[#This Row],[Steps]]),F2556-Table1[[#This Row],[Steps]]),
))</f>
        <v>0</v>
      </c>
      <c r="E2557">
        <f>_xlfn.LET(_xlpm.dir,Table1[[#This Row],[Direction]],
IF(_xlpm.dir="R",
    IF(F2556+Table1[[#This Row],[Steps]]&gt;99,(F2556+Table1[[#This Row],[Steps]])-100,F2556+Table1[[#This Row],[Steps]]),
))</f>
        <v>0</v>
      </c>
      <c r="F2557">
        <f>IF(Table1[[#This Row],[New Pos L]]&lt;&gt;0,Table1[[#This Row],[New Pos L]],Table1[[#This Row],[New Pos R]])</f>
        <v>0</v>
      </c>
    </row>
    <row r="2558" spans="1:6" ht="16" x14ac:dyDescent="0.2">
      <c r="A2558" s="1" t="s">
        <v>209</v>
      </c>
      <c r="B2558" t="str">
        <f>LEFT(Table1[[#This Row],[Input]],1)</f>
        <v>L</v>
      </c>
      <c r="C2558">
        <f>_xlfn.LET(_xlpm.steps,SUBSTITUTE(Table1[[#This Row],[Input]],Table1[[#This Row],[Direction]],""),VALUE(IF(LEN(_xlpm.steps)&gt;2,RIGHT(_xlpm.steps,2),_xlpm.steps)))</f>
        <v>86</v>
      </c>
      <c r="D2558">
        <f>_xlfn.LET(_xlpm.dir,Table1[[#This Row],[Direction]],
IF(_xlpm.dir="L",
    IF(F2557-Table1[[#This Row],[Steps]]&lt;0,100+(F2557-Table1[[#This Row],[Steps]]),F2557-Table1[[#This Row],[Steps]]),
))</f>
        <v>14</v>
      </c>
      <c r="E2558">
        <f>_xlfn.LET(_xlpm.dir,Table1[[#This Row],[Direction]],
IF(_xlpm.dir="R",
    IF(F2557+Table1[[#This Row],[Steps]]&gt;99,(F2557+Table1[[#This Row],[Steps]])-100,F2557+Table1[[#This Row],[Steps]]),
))</f>
        <v>0</v>
      </c>
      <c r="F2558">
        <f>IF(Table1[[#This Row],[New Pos L]]&lt;&gt;0,Table1[[#This Row],[New Pos L]],Table1[[#This Row],[New Pos R]])</f>
        <v>14</v>
      </c>
    </row>
    <row r="2559" spans="1:6" ht="16" x14ac:dyDescent="0.2">
      <c r="A2559" s="1" t="s">
        <v>622</v>
      </c>
      <c r="B2559" t="str">
        <f>LEFT(Table1[[#This Row],[Input]],1)</f>
        <v>L</v>
      </c>
      <c r="C2559">
        <f>_xlfn.LET(_xlpm.steps,SUBSTITUTE(Table1[[#This Row],[Input]],Table1[[#This Row],[Direction]],""),VALUE(IF(LEN(_xlpm.steps)&gt;2,RIGHT(_xlpm.steps,2),_xlpm.steps)))</f>
        <v>50</v>
      </c>
      <c r="D2559">
        <f>_xlfn.LET(_xlpm.dir,Table1[[#This Row],[Direction]],
IF(_xlpm.dir="L",
    IF(F2558-Table1[[#This Row],[Steps]]&lt;0,100+(F2558-Table1[[#This Row],[Steps]]),F2558-Table1[[#This Row],[Steps]]),
))</f>
        <v>64</v>
      </c>
      <c r="E2559">
        <f>_xlfn.LET(_xlpm.dir,Table1[[#This Row],[Direction]],
IF(_xlpm.dir="R",
    IF(F2558+Table1[[#This Row],[Steps]]&gt;99,(F2558+Table1[[#This Row],[Steps]])-100,F2558+Table1[[#This Row],[Steps]]),
))</f>
        <v>0</v>
      </c>
      <c r="F2559">
        <f>IF(Table1[[#This Row],[New Pos L]]&lt;&gt;0,Table1[[#This Row],[New Pos L]],Table1[[#This Row],[New Pos R]])</f>
        <v>64</v>
      </c>
    </row>
    <row r="2560" spans="1:6" ht="16" x14ac:dyDescent="0.2">
      <c r="A2560" s="1" t="s">
        <v>15</v>
      </c>
      <c r="B2560" t="str">
        <f>LEFT(Table1[[#This Row],[Input]],1)</f>
        <v>R</v>
      </c>
      <c r="C2560">
        <f>_xlfn.LET(_xlpm.steps,SUBSTITUTE(Table1[[#This Row],[Input]],Table1[[#This Row],[Direction]],""),VALUE(IF(LEN(_xlpm.steps)&gt;2,RIGHT(_xlpm.steps,2),_xlpm.steps)))</f>
        <v>36</v>
      </c>
      <c r="D2560">
        <f>_xlfn.LET(_xlpm.dir,Table1[[#This Row],[Direction]],
IF(_xlpm.dir="L",
    IF(F2559-Table1[[#This Row],[Steps]]&lt;0,100+(F2559-Table1[[#This Row],[Steps]]),F2559-Table1[[#This Row],[Steps]]),
))</f>
        <v>0</v>
      </c>
      <c r="E2560">
        <f>_xlfn.LET(_xlpm.dir,Table1[[#This Row],[Direction]],
IF(_xlpm.dir="R",
    IF(F2559+Table1[[#This Row],[Steps]]&gt;99,(F2559+Table1[[#This Row],[Steps]])-100,F2559+Table1[[#This Row],[Steps]]),
))</f>
        <v>0</v>
      </c>
      <c r="F2560">
        <f>IF(Table1[[#This Row],[New Pos L]]&lt;&gt;0,Table1[[#This Row],[New Pos L]],Table1[[#This Row],[New Pos R]])</f>
        <v>0</v>
      </c>
    </row>
    <row r="2561" spans="1:6" ht="16" x14ac:dyDescent="0.2">
      <c r="A2561" s="1" t="s">
        <v>623</v>
      </c>
      <c r="B2561" t="str">
        <f>LEFT(Table1[[#This Row],[Input]],1)</f>
        <v>R</v>
      </c>
      <c r="C2561">
        <f>_xlfn.LET(_xlpm.steps,SUBSTITUTE(Table1[[#This Row],[Input]],Table1[[#This Row],[Direction]],""),VALUE(IF(LEN(_xlpm.steps)&gt;2,RIGHT(_xlpm.steps,2),_xlpm.steps)))</f>
        <v>67</v>
      </c>
      <c r="D2561">
        <f>_xlfn.LET(_xlpm.dir,Table1[[#This Row],[Direction]],
IF(_xlpm.dir="L",
    IF(F2560-Table1[[#This Row],[Steps]]&lt;0,100+(F2560-Table1[[#This Row],[Steps]]),F2560-Table1[[#This Row],[Steps]]),
))</f>
        <v>0</v>
      </c>
      <c r="E2561">
        <f>_xlfn.LET(_xlpm.dir,Table1[[#This Row],[Direction]],
IF(_xlpm.dir="R",
    IF(F2560+Table1[[#This Row],[Steps]]&gt;99,(F2560+Table1[[#This Row],[Steps]])-100,F2560+Table1[[#This Row],[Steps]]),
))</f>
        <v>67</v>
      </c>
      <c r="F2561">
        <f>IF(Table1[[#This Row],[New Pos L]]&lt;&gt;0,Table1[[#This Row],[New Pos L]],Table1[[#This Row],[New Pos R]])</f>
        <v>67</v>
      </c>
    </row>
    <row r="2562" spans="1:6" ht="16" x14ac:dyDescent="0.2">
      <c r="A2562" s="1" t="s">
        <v>70</v>
      </c>
      <c r="B2562" t="str">
        <f>LEFT(Table1[[#This Row],[Input]],1)</f>
        <v>R</v>
      </c>
      <c r="C2562">
        <f>_xlfn.LET(_xlpm.steps,SUBSTITUTE(Table1[[#This Row],[Input]],Table1[[#This Row],[Direction]],""),VALUE(IF(LEN(_xlpm.steps)&gt;2,RIGHT(_xlpm.steps,2),_xlpm.steps)))</f>
        <v>73</v>
      </c>
      <c r="D2562">
        <f>_xlfn.LET(_xlpm.dir,Table1[[#This Row],[Direction]],
IF(_xlpm.dir="L",
    IF(F2561-Table1[[#This Row],[Steps]]&lt;0,100+(F2561-Table1[[#This Row],[Steps]]),F2561-Table1[[#This Row],[Steps]]),
))</f>
        <v>0</v>
      </c>
      <c r="E2562">
        <f>_xlfn.LET(_xlpm.dir,Table1[[#This Row],[Direction]],
IF(_xlpm.dir="R",
    IF(F2561+Table1[[#This Row],[Steps]]&gt;99,(F2561+Table1[[#This Row],[Steps]])-100,F2561+Table1[[#This Row],[Steps]]),
))</f>
        <v>40</v>
      </c>
      <c r="F2562">
        <f>IF(Table1[[#This Row],[New Pos L]]&lt;&gt;0,Table1[[#This Row],[New Pos L]],Table1[[#This Row],[New Pos R]])</f>
        <v>40</v>
      </c>
    </row>
    <row r="2563" spans="1:6" ht="16" x14ac:dyDescent="0.2">
      <c r="A2563" s="1" t="s">
        <v>624</v>
      </c>
      <c r="B2563" t="str">
        <f>LEFT(Table1[[#This Row],[Input]],1)</f>
        <v>L</v>
      </c>
      <c r="C2563">
        <f>_xlfn.LET(_xlpm.steps,SUBSTITUTE(Table1[[#This Row],[Input]],Table1[[#This Row],[Direction]],""),VALUE(IF(LEN(_xlpm.steps)&gt;2,RIGHT(_xlpm.steps,2),_xlpm.steps)))</f>
        <v>63</v>
      </c>
      <c r="D2563">
        <f>_xlfn.LET(_xlpm.dir,Table1[[#This Row],[Direction]],
IF(_xlpm.dir="L",
    IF(F2562-Table1[[#This Row],[Steps]]&lt;0,100+(F2562-Table1[[#This Row],[Steps]]),F2562-Table1[[#This Row],[Steps]]),
))</f>
        <v>77</v>
      </c>
      <c r="E2563">
        <f>_xlfn.LET(_xlpm.dir,Table1[[#This Row],[Direction]],
IF(_xlpm.dir="R",
    IF(F2562+Table1[[#This Row],[Steps]]&gt;99,(F2562+Table1[[#This Row],[Steps]])-100,F2562+Table1[[#This Row],[Steps]]),
))</f>
        <v>0</v>
      </c>
      <c r="F2563">
        <f>IF(Table1[[#This Row],[New Pos L]]&lt;&gt;0,Table1[[#This Row],[New Pos L]],Table1[[#This Row],[New Pos R]])</f>
        <v>77</v>
      </c>
    </row>
    <row r="2564" spans="1:6" ht="16" x14ac:dyDescent="0.2">
      <c r="A2564" s="1" t="s">
        <v>71</v>
      </c>
      <c r="B2564" t="str">
        <f>LEFT(Table1[[#This Row],[Input]],1)</f>
        <v>R</v>
      </c>
      <c r="C2564">
        <f>_xlfn.LET(_xlpm.steps,SUBSTITUTE(Table1[[#This Row],[Input]],Table1[[#This Row],[Direction]],""),VALUE(IF(LEN(_xlpm.steps)&gt;2,RIGHT(_xlpm.steps,2),_xlpm.steps)))</f>
        <v>23</v>
      </c>
      <c r="D2564">
        <f>_xlfn.LET(_xlpm.dir,Table1[[#This Row],[Direction]],
IF(_xlpm.dir="L",
    IF(F2563-Table1[[#This Row],[Steps]]&lt;0,100+(F2563-Table1[[#This Row],[Steps]]),F2563-Table1[[#This Row],[Steps]]),
))</f>
        <v>0</v>
      </c>
      <c r="E2564">
        <f>_xlfn.LET(_xlpm.dir,Table1[[#This Row],[Direction]],
IF(_xlpm.dir="R",
    IF(F2563+Table1[[#This Row],[Steps]]&gt;99,(F2563+Table1[[#This Row],[Steps]])-100,F2563+Table1[[#This Row],[Steps]]),
))</f>
        <v>0</v>
      </c>
      <c r="F2564">
        <f>IF(Table1[[#This Row],[New Pos L]]&lt;&gt;0,Table1[[#This Row],[New Pos L]],Table1[[#This Row],[New Pos R]])</f>
        <v>0</v>
      </c>
    </row>
    <row r="2565" spans="1:6" ht="16" x14ac:dyDescent="0.2">
      <c r="A2565" s="1" t="s">
        <v>319</v>
      </c>
      <c r="B2565" t="str">
        <f>LEFT(Table1[[#This Row],[Input]],1)</f>
        <v>L</v>
      </c>
      <c r="C2565">
        <f>_xlfn.LET(_xlpm.steps,SUBSTITUTE(Table1[[#This Row],[Input]],Table1[[#This Row],[Direction]],""),VALUE(IF(LEN(_xlpm.steps)&gt;2,RIGHT(_xlpm.steps,2),_xlpm.steps)))</f>
        <v>79</v>
      </c>
      <c r="D2565">
        <f>_xlfn.LET(_xlpm.dir,Table1[[#This Row],[Direction]],
IF(_xlpm.dir="L",
    IF(F2564-Table1[[#This Row],[Steps]]&lt;0,100+(F2564-Table1[[#This Row],[Steps]]),F2564-Table1[[#This Row],[Steps]]),
))</f>
        <v>21</v>
      </c>
      <c r="E2565">
        <f>_xlfn.LET(_xlpm.dir,Table1[[#This Row],[Direction]],
IF(_xlpm.dir="R",
    IF(F2564+Table1[[#This Row],[Steps]]&gt;99,(F2564+Table1[[#This Row],[Steps]])-100,F2564+Table1[[#This Row],[Steps]]),
))</f>
        <v>0</v>
      </c>
      <c r="F2565">
        <f>IF(Table1[[#This Row],[New Pos L]]&lt;&gt;0,Table1[[#This Row],[New Pos L]],Table1[[#This Row],[New Pos R]])</f>
        <v>21</v>
      </c>
    </row>
    <row r="2566" spans="1:6" ht="16" x14ac:dyDescent="0.2">
      <c r="A2566" s="1" t="s">
        <v>625</v>
      </c>
      <c r="B2566" t="str">
        <f>LEFT(Table1[[#This Row],[Input]],1)</f>
        <v>R</v>
      </c>
      <c r="C2566">
        <f>_xlfn.LET(_xlpm.steps,SUBSTITUTE(Table1[[#This Row],[Input]],Table1[[#This Row],[Direction]],""),VALUE(IF(LEN(_xlpm.steps)&gt;2,RIGHT(_xlpm.steps,2),_xlpm.steps)))</f>
        <v>79</v>
      </c>
      <c r="D2566">
        <f>_xlfn.LET(_xlpm.dir,Table1[[#This Row],[Direction]],
IF(_xlpm.dir="L",
    IF(F2565-Table1[[#This Row],[Steps]]&lt;0,100+(F2565-Table1[[#This Row],[Steps]]),F2565-Table1[[#This Row],[Steps]]),
))</f>
        <v>0</v>
      </c>
      <c r="E2566">
        <f>_xlfn.LET(_xlpm.dir,Table1[[#This Row],[Direction]],
IF(_xlpm.dir="R",
    IF(F2565+Table1[[#This Row],[Steps]]&gt;99,(F2565+Table1[[#This Row],[Steps]])-100,F2565+Table1[[#This Row],[Steps]]),
))</f>
        <v>0</v>
      </c>
      <c r="F2566">
        <f>IF(Table1[[#This Row],[New Pos L]]&lt;&gt;0,Table1[[#This Row],[New Pos L]],Table1[[#This Row],[New Pos R]])</f>
        <v>0</v>
      </c>
    </row>
    <row r="2567" spans="1:6" ht="16" x14ac:dyDescent="0.2">
      <c r="A2567" s="1" t="s">
        <v>105</v>
      </c>
      <c r="B2567" t="str">
        <f>LEFT(Table1[[#This Row],[Input]],1)</f>
        <v>R</v>
      </c>
      <c r="C2567">
        <f>_xlfn.LET(_xlpm.steps,SUBSTITUTE(Table1[[#This Row],[Input]],Table1[[#This Row],[Direction]],""),VALUE(IF(LEN(_xlpm.steps)&gt;2,RIGHT(_xlpm.steps,2),_xlpm.steps)))</f>
        <v>98</v>
      </c>
      <c r="D2567">
        <f>_xlfn.LET(_xlpm.dir,Table1[[#This Row],[Direction]],
IF(_xlpm.dir="L",
    IF(F2566-Table1[[#This Row],[Steps]]&lt;0,100+(F2566-Table1[[#This Row],[Steps]]),F2566-Table1[[#This Row],[Steps]]),
))</f>
        <v>0</v>
      </c>
      <c r="E2567">
        <f>_xlfn.LET(_xlpm.dir,Table1[[#This Row],[Direction]],
IF(_xlpm.dir="R",
    IF(F2566+Table1[[#This Row],[Steps]]&gt;99,(F2566+Table1[[#This Row],[Steps]])-100,F2566+Table1[[#This Row],[Steps]]),
))</f>
        <v>98</v>
      </c>
      <c r="F2567">
        <f>IF(Table1[[#This Row],[New Pos L]]&lt;&gt;0,Table1[[#This Row],[New Pos L]],Table1[[#This Row],[New Pos R]])</f>
        <v>98</v>
      </c>
    </row>
    <row r="2568" spans="1:6" ht="16" x14ac:dyDescent="0.2">
      <c r="A2568" s="1" t="s">
        <v>157</v>
      </c>
      <c r="B2568" t="str">
        <f>LEFT(Table1[[#This Row],[Input]],1)</f>
        <v>R</v>
      </c>
      <c r="C2568">
        <f>_xlfn.LET(_xlpm.steps,SUBSTITUTE(Table1[[#This Row],[Input]],Table1[[#This Row],[Direction]],""),VALUE(IF(LEN(_xlpm.steps)&gt;2,RIGHT(_xlpm.steps,2),_xlpm.steps)))</f>
        <v>68</v>
      </c>
      <c r="D2568">
        <f>_xlfn.LET(_xlpm.dir,Table1[[#This Row],[Direction]],
IF(_xlpm.dir="L",
    IF(F2567-Table1[[#This Row],[Steps]]&lt;0,100+(F2567-Table1[[#This Row],[Steps]]),F2567-Table1[[#This Row],[Steps]]),
))</f>
        <v>0</v>
      </c>
      <c r="E2568">
        <f>_xlfn.LET(_xlpm.dir,Table1[[#This Row],[Direction]],
IF(_xlpm.dir="R",
    IF(F2567+Table1[[#This Row],[Steps]]&gt;99,(F2567+Table1[[#This Row],[Steps]])-100,F2567+Table1[[#This Row],[Steps]]),
))</f>
        <v>66</v>
      </c>
      <c r="F2568">
        <f>IF(Table1[[#This Row],[New Pos L]]&lt;&gt;0,Table1[[#This Row],[New Pos L]],Table1[[#This Row],[New Pos R]])</f>
        <v>66</v>
      </c>
    </row>
    <row r="2569" spans="1:6" ht="16" x14ac:dyDescent="0.2">
      <c r="A2569" s="1" t="s">
        <v>123</v>
      </c>
      <c r="B2569" t="str">
        <f>LEFT(Table1[[#This Row],[Input]],1)</f>
        <v>L</v>
      </c>
      <c r="C2569">
        <f>_xlfn.LET(_xlpm.steps,SUBSTITUTE(Table1[[#This Row],[Input]],Table1[[#This Row],[Direction]],""),VALUE(IF(LEN(_xlpm.steps)&gt;2,RIGHT(_xlpm.steps,2),_xlpm.steps)))</f>
        <v>63</v>
      </c>
      <c r="D2569">
        <f>_xlfn.LET(_xlpm.dir,Table1[[#This Row],[Direction]],
IF(_xlpm.dir="L",
    IF(F2568-Table1[[#This Row],[Steps]]&lt;0,100+(F2568-Table1[[#This Row],[Steps]]),F2568-Table1[[#This Row],[Steps]]),
))</f>
        <v>3</v>
      </c>
      <c r="E2569">
        <f>_xlfn.LET(_xlpm.dir,Table1[[#This Row],[Direction]],
IF(_xlpm.dir="R",
    IF(F2568+Table1[[#This Row],[Steps]]&gt;99,(F2568+Table1[[#This Row],[Steps]])-100,F2568+Table1[[#This Row],[Steps]]),
))</f>
        <v>0</v>
      </c>
      <c r="F2569">
        <f>IF(Table1[[#This Row],[New Pos L]]&lt;&gt;0,Table1[[#This Row],[New Pos L]],Table1[[#This Row],[New Pos R]])</f>
        <v>3</v>
      </c>
    </row>
    <row r="2570" spans="1:6" ht="16" x14ac:dyDescent="0.2">
      <c r="A2570" s="1" t="s">
        <v>47</v>
      </c>
      <c r="B2570" t="str">
        <f>LEFT(Table1[[#This Row],[Input]],1)</f>
        <v>R</v>
      </c>
      <c r="C2570">
        <f>_xlfn.LET(_xlpm.steps,SUBSTITUTE(Table1[[#This Row],[Input]],Table1[[#This Row],[Direction]],""),VALUE(IF(LEN(_xlpm.steps)&gt;2,RIGHT(_xlpm.steps,2),_xlpm.steps)))</f>
        <v>97</v>
      </c>
      <c r="D2570">
        <f>_xlfn.LET(_xlpm.dir,Table1[[#This Row],[Direction]],
IF(_xlpm.dir="L",
    IF(F2569-Table1[[#This Row],[Steps]]&lt;0,100+(F2569-Table1[[#This Row],[Steps]]),F2569-Table1[[#This Row],[Steps]]),
))</f>
        <v>0</v>
      </c>
      <c r="E2570">
        <f>_xlfn.LET(_xlpm.dir,Table1[[#This Row],[Direction]],
IF(_xlpm.dir="R",
    IF(F2569+Table1[[#This Row],[Steps]]&gt;99,(F2569+Table1[[#This Row],[Steps]])-100,F2569+Table1[[#This Row],[Steps]]),
))</f>
        <v>0</v>
      </c>
      <c r="F2570">
        <f>IF(Table1[[#This Row],[New Pos L]]&lt;&gt;0,Table1[[#This Row],[New Pos L]],Table1[[#This Row],[New Pos R]])</f>
        <v>0</v>
      </c>
    </row>
    <row r="2571" spans="1:6" ht="16" x14ac:dyDescent="0.2">
      <c r="A2571" s="1" t="s">
        <v>626</v>
      </c>
      <c r="B2571" t="str">
        <f>LEFT(Table1[[#This Row],[Input]],1)</f>
        <v>R</v>
      </c>
      <c r="C2571">
        <f>_xlfn.LET(_xlpm.steps,SUBSTITUTE(Table1[[#This Row],[Input]],Table1[[#This Row],[Direction]],""),VALUE(IF(LEN(_xlpm.steps)&gt;2,RIGHT(_xlpm.steps,2),_xlpm.steps)))</f>
        <v>86</v>
      </c>
      <c r="D2571">
        <f>_xlfn.LET(_xlpm.dir,Table1[[#This Row],[Direction]],
IF(_xlpm.dir="L",
    IF(F2570-Table1[[#This Row],[Steps]]&lt;0,100+(F2570-Table1[[#This Row],[Steps]]),F2570-Table1[[#This Row],[Steps]]),
))</f>
        <v>0</v>
      </c>
      <c r="E2571">
        <f>_xlfn.LET(_xlpm.dir,Table1[[#This Row],[Direction]],
IF(_xlpm.dir="R",
    IF(F2570+Table1[[#This Row],[Steps]]&gt;99,(F2570+Table1[[#This Row],[Steps]])-100,F2570+Table1[[#This Row],[Steps]]),
))</f>
        <v>86</v>
      </c>
      <c r="F2571">
        <f>IF(Table1[[#This Row],[New Pos L]]&lt;&gt;0,Table1[[#This Row],[New Pos L]],Table1[[#This Row],[New Pos R]])</f>
        <v>86</v>
      </c>
    </row>
    <row r="2572" spans="1:6" ht="16" x14ac:dyDescent="0.2">
      <c r="A2572" s="1" t="s">
        <v>128</v>
      </c>
      <c r="B2572" t="str">
        <f>LEFT(Table1[[#This Row],[Input]],1)</f>
        <v>R</v>
      </c>
      <c r="C2572">
        <f>_xlfn.LET(_xlpm.steps,SUBSTITUTE(Table1[[#This Row],[Input]],Table1[[#This Row],[Direction]],""),VALUE(IF(LEN(_xlpm.steps)&gt;2,RIGHT(_xlpm.steps,2),_xlpm.steps)))</f>
        <v>92</v>
      </c>
      <c r="D2572">
        <f>_xlfn.LET(_xlpm.dir,Table1[[#This Row],[Direction]],
IF(_xlpm.dir="L",
    IF(F2571-Table1[[#This Row],[Steps]]&lt;0,100+(F2571-Table1[[#This Row],[Steps]]),F2571-Table1[[#This Row],[Steps]]),
))</f>
        <v>0</v>
      </c>
      <c r="E2572">
        <f>_xlfn.LET(_xlpm.dir,Table1[[#This Row],[Direction]],
IF(_xlpm.dir="R",
    IF(F2571+Table1[[#This Row],[Steps]]&gt;99,(F2571+Table1[[#This Row],[Steps]])-100,F2571+Table1[[#This Row],[Steps]]),
))</f>
        <v>78</v>
      </c>
      <c r="F2572">
        <f>IF(Table1[[#This Row],[New Pos L]]&lt;&gt;0,Table1[[#This Row],[New Pos L]],Table1[[#This Row],[New Pos R]])</f>
        <v>78</v>
      </c>
    </row>
    <row r="2573" spans="1:6" ht="16" x14ac:dyDescent="0.2">
      <c r="A2573" s="1" t="s">
        <v>32</v>
      </c>
      <c r="B2573" t="str">
        <f>LEFT(Table1[[#This Row],[Input]],1)</f>
        <v>L</v>
      </c>
      <c r="C2573">
        <f>_xlfn.LET(_xlpm.steps,SUBSTITUTE(Table1[[#This Row],[Input]],Table1[[#This Row],[Direction]],""),VALUE(IF(LEN(_xlpm.steps)&gt;2,RIGHT(_xlpm.steps,2),_xlpm.steps)))</f>
        <v>28</v>
      </c>
      <c r="D2573">
        <f>_xlfn.LET(_xlpm.dir,Table1[[#This Row],[Direction]],
IF(_xlpm.dir="L",
    IF(F2572-Table1[[#This Row],[Steps]]&lt;0,100+(F2572-Table1[[#This Row],[Steps]]),F2572-Table1[[#This Row],[Steps]]),
))</f>
        <v>50</v>
      </c>
      <c r="E2573">
        <f>_xlfn.LET(_xlpm.dir,Table1[[#This Row],[Direction]],
IF(_xlpm.dir="R",
    IF(F2572+Table1[[#This Row],[Steps]]&gt;99,(F2572+Table1[[#This Row],[Steps]])-100,F2572+Table1[[#This Row],[Steps]]),
))</f>
        <v>0</v>
      </c>
      <c r="F2573">
        <f>IF(Table1[[#This Row],[New Pos L]]&lt;&gt;0,Table1[[#This Row],[New Pos L]],Table1[[#This Row],[New Pos R]])</f>
        <v>50</v>
      </c>
    </row>
    <row r="2574" spans="1:6" ht="16" x14ac:dyDescent="0.2">
      <c r="A2574" s="1" t="s">
        <v>201</v>
      </c>
      <c r="B2574" t="str">
        <f>LEFT(Table1[[#This Row],[Input]],1)</f>
        <v>R</v>
      </c>
      <c r="C2574">
        <f>_xlfn.LET(_xlpm.steps,SUBSTITUTE(Table1[[#This Row],[Input]],Table1[[#This Row],[Direction]],""),VALUE(IF(LEN(_xlpm.steps)&gt;2,RIGHT(_xlpm.steps,2),_xlpm.steps)))</f>
        <v>31</v>
      </c>
      <c r="D2574">
        <f>_xlfn.LET(_xlpm.dir,Table1[[#This Row],[Direction]],
IF(_xlpm.dir="L",
    IF(F2573-Table1[[#This Row],[Steps]]&lt;0,100+(F2573-Table1[[#This Row],[Steps]]),F2573-Table1[[#This Row],[Steps]]),
))</f>
        <v>0</v>
      </c>
      <c r="E2574">
        <f>_xlfn.LET(_xlpm.dir,Table1[[#This Row],[Direction]],
IF(_xlpm.dir="R",
    IF(F2573+Table1[[#This Row],[Steps]]&gt;99,(F2573+Table1[[#This Row],[Steps]])-100,F2573+Table1[[#This Row],[Steps]]),
))</f>
        <v>81</v>
      </c>
      <c r="F2574">
        <f>IF(Table1[[#This Row],[New Pos L]]&lt;&gt;0,Table1[[#This Row],[New Pos L]],Table1[[#This Row],[New Pos R]])</f>
        <v>81</v>
      </c>
    </row>
    <row r="2575" spans="1:6" ht="16" x14ac:dyDescent="0.2">
      <c r="A2575" s="1" t="s">
        <v>65</v>
      </c>
      <c r="B2575" t="str">
        <f>LEFT(Table1[[#This Row],[Input]],1)</f>
        <v>L</v>
      </c>
      <c r="C2575">
        <f>_xlfn.LET(_xlpm.steps,SUBSTITUTE(Table1[[#This Row],[Input]],Table1[[#This Row],[Direction]],""),VALUE(IF(LEN(_xlpm.steps)&gt;2,RIGHT(_xlpm.steps,2),_xlpm.steps)))</f>
        <v>19</v>
      </c>
      <c r="D2575">
        <f>_xlfn.LET(_xlpm.dir,Table1[[#This Row],[Direction]],
IF(_xlpm.dir="L",
    IF(F2574-Table1[[#This Row],[Steps]]&lt;0,100+(F2574-Table1[[#This Row],[Steps]]),F2574-Table1[[#This Row],[Steps]]),
))</f>
        <v>62</v>
      </c>
      <c r="E2575">
        <f>_xlfn.LET(_xlpm.dir,Table1[[#This Row],[Direction]],
IF(_xlpm.dir="R",
    IF(F2574+Table1[[#This Row],[Steps]]&gt;99,(F2574+Table1[[#This Row],[Steps]])-100,F2574+Table1[[#This Row],[Steps]]),
))</f>
        <v>0</v>
      </c>
      <c r="F2575">
        <f>IF(Table1[[#This Row],[New Pos L]]&lt;&gt;0,Table1[[#This Row],[New Pos L]],Table1[[#This Row],[New Pos R]])</f>
        <v>62</v>
      </c>
    </row>
    <row r="2576" spans="1:6" ht="16" x14ac:dyDescent="0.2">
      <c r="A2576" s="1" t="s">
        <v>127</v>
      </c>
      <c r="B2576" t="str">
        <f>LEFT(Table1[[#This Row],[Input]],1)</f>
        <v>L</v>
      </c>
      <c r="C2576">
        <f>_xlfn.LET(_xlpm.steps,SUBSTITUTE(Table1[[#This Row],[Input]],Table1[[#This Row],[Direction]],""),VALUE(IF(LEN(_xlpm.steps)&gt;2,RIGHT(_xlpm.steps,2),_xlpm.steps)))</f>
        <v>62</v>
      </c>
      <c r="D2576">
        <f>_xlfn.LET(_xlpm.dir,Table1[[#This Row],[Direction]],
IF(_xlpm.dir="L",
    IF(F2575-Table1[[#This Row],[Steps]]&lt;0,100+(F2575-Table1[[#This Row],[Steps]]),F2575-Table1[[#This Row],[Steps]]),
))</f>
        <v>0</v>
      </c>
      <c r="E2576">
        <f>_xlfn.LET(_xlpm.dir,Table1[[#This Row],[Direction]],
IF(_xlpm.dir="R",
    IF(F2575+Table1[[#This Row],[Steps]]&gt;99,(F2575+Table1[[#This Row],[Steps]])-100,F2575+Table1[[#This Row],[Steps]]),
))</f>
        <v>0</v>
      </c>
      <c r="F2576">
        <f>IF(Table1[[#This Row],[New Pos L]]&lt;&gt;0,Table1[[#This Row],[New Pos L]],Table1[[#This Row],[New Pos R]])</f>
        <v>0</v>
      </c>
    </row>
    <row r="2577" spans="1:6" ht="16" x14ac:dyDescent="0.2">
      <c r="A2577" s="1" t="s">
        <v>627</v>
      </c>
      <c r="B2577" t="str">
        <f>LEFT(Table1[[#This Row],[Input]],1)</f>
        <v>R</v>
      </c>
      <c r="C2577">
        <f>_xlfn.LET(_xlpm.steps,SUBSTITUTE(Table1[[#This Row],[Input]],Table1[[#This Row],[Direction]],""),VALUE(IF(LEN(_xlpm.steps)&gt;2,RIGHT(_xlpm.steps,2),_xlpm.steps)))</f>
        <v>26</v>
      </c>
      <c r="D2577">
        <f>_xlfn.LET(_xlpm.dir,Table1[[#This Row],[Direction]],
IF(_xlpm.dir="L",
    IF(F2576-Table1[[#This Row],[Steps]]&lt;0,100+(F2576-Table1[[#This Row],[Steps]]),F2576-Table1[[#This Row],[Steps]]),
))</f>
        <v>0</v>
      </c>
      <c r="E2577">
        <f>_xlfn.LET(_xlpm.dir,Table1[[#This Row],[Direction]],
IF(_xlpm.dir="R",
    IF(F2576+Table1[[#This Row],[Steps]]&gt;99,(F2576+Table1[[#This Row],[Steps]])-100,F2576+Table1[[#This Row],[Steps]]),
))</f>
        <v>26</v>
      </c>
      <c r="F2577">
        <f>IF(Table1[[#This Row],[New Pos L]]&lt;&gt;0,Table1[[#This Row],[New Pos L]],Table1[[#This Row],[New Pos R]])</f>
        <v>26</v>
      </c>
    </row>
    <row r="2578" spans="1:6" ht="16" x14ac:dyDescent="0.2">
      <c r="A2578" s="1" t="s">
        <v>161</v>
      </c>
      <c r="B2578" t="str">
        <f>LEFT(Table1[[#This Row],[Input]],1)</f>
        <v>R</v>
      </c>
      <c r="C2578">
        <f>_xlfn.LET(_xlpm.steps,SUBSTITUTE(Table1[[#This Row],[Input]],Table1[[#This Row],[Direction]],""),VALUE(IF(LEN(_xlpm.steps)&gt;2,RIGHT(_xlpm.steps,2),_xlpm.steps)))</f>
        <v>76</v>
      </c>
      <c r="D2578">
        <f>_xlfn.LET(_xlpm.dir,Table1[[#This Row],[Direction]],
IF(_xlpm.dir="L",
    IF(F2577-Table1[[#This Row],[Steps]]&lt;0,100+(F2577-Table1[[#This Row],[Steps]]),F2577-Table1[[#This Row],[Steps]]),
))</f>
        <v>0</v>
      </c>
      <c r="E2578">
        <f>_xlfn.LET(_xlpm.dir,Table1[[#This Row],[Direction]],
IF(_xlpm.dir="R",
    IF(F2577+Table1[[#This Row],[Steps]]&gt;99,(F2577+Table1[[#This Row],[Steps]])-100,F2577+Table1[[#This Row],[Steps]]),
))</f>
        <v>2</v>
      </c>
      <c r="F2578">
        <f>IF(Table1[[#This Row],[New Pos L]]&lt;&gt;0,Table1[[#This Row],[New Pos L]],Table1[[#This Row],[New Pos R]])</f>
        <v>2</v>
      </c>
    </row>
    <row r="2579" spans="1:6" ht="16" x14ac:dyDescent="0.2">
      <c r="A2579" s="1" t="s">
        <v>5</v>
      </c>
      <c r="B2579" t="str">
        <f>LEFT(Table1[[#This Row],[Input]],1)</f>
        <v>R</v>
      </c>
      <c r="C2579">
        <f>_xlfn.LET(_xlpm.steps,SUBSTITUTE(Table1[[#This Row],[Input]],Table1[[#This Row],[Direction]],""),VALUE(IF(LEN(_xlpm.steps)&gt;2,RIGHT(_xlpm.steps,2),_xlpm.steps)))</f>
        <v>1</v>
      </c>
      <c r="D2579">
        <f>_xlfn.LET(_xlpm.dir,Table1[[#This Row],[Direction]],
IF(_xlpm.dir="L",
    IF(F2578-Table1[[#This Row],[Steps]]&lt;0,100+(F2578-Table1[[#This Row],[Steps]]),F2578-Table1[[#This Row],[Steps]]),
))</f>
        <v>0</v>
      </c>
      <c r="E2579">
        <f>_xlfn.LET(_xlpm.dir,Table1[[#This Row],[Direction]],
IF(_xlpm.dir="R",
    IF(F2578+Table1[[#This Row],[Steps]]&gt;99,(F2578+Table1[[#This Row],[Steps]])-100,F2578+Table1[[#This Row],[Steps]]),
))</f>
        <v>3</v>
      </c>
      <c r="F2579">
        <f>IF(Table1[[#This Row],[New Pos L]]&lt;&gt;0,Table1[[#This Row],[New Pos L]],Table1[[#This Row],[New Pos R]])</f>
        <v>3</v>
      </c>
    </row>
    <row r="2580" spans="1:6" ht="16" x14ac:dyDescent="0.2">
      <c r="A2580" s="1" t="s">
        <v>47</v>
      </c>
      <c r="B2580" t="str">
        <f>LEFT(Table1[[#This Row],[Input]],1)</f>
        <v>R</v>
      </c>
      <c r="C2580">
        <f>_xlfn.LET(_xlpm.steps,SUBSTITUTE(Table1[[#This Row],[Input]],Table1[[#This Row],[Direction]],""),VALUE(IF(LEN(_xlpm.steps)&gt;2,RIGHT(_xlpm.steps,2),_xlpm.steps)))</f>
        <v>97</v>
      </c>
      <c r="D2580">
        <f>_xlfn.LET(_xlpm.dir,Table1[[#This Row],[Direction]],
IF(_xlpm.dir="L",
    IF(F2579-Table1[[#This Row],[Steps]]&lt;0,100+(F2579-Table1[[#This Row],[Steps]]),F2579-Table1[[#This Row],[Steps]]),
))</f>
        <v>0</v>
      </c>
      <c r="E2580">
        <f>_xlfn.LET(_xlpm.dir,Table1[[#This Row],[Direction]],
IF(_xlpm.dir="R",
    IF(F2579+Table1[[#This Row],[Steps]]&gt;99,(F2579+Table1[[#This Row],[Steps]])-100,F2579+Table1[[#This Row],[Steps]]),
))</f>
        <v>0</v>
      </c>
      <c r="F2580">
        <f>IF(Table1[[#This Row],[New Pos L]]&lt;&gt;0,Table1[[#This Row],[New Pos L]],Table1[[#This Row],[New Pos R]])</f>
        <v>0</v>
      </c>
    </row>
    <row r="2581" spans="1:6" ht="16" x14ac:dyDescent="0.2">
      <c r="A2581" s="1" t="s">
        <v>64</v>
      </c>
      <c r="B2581" t="str">
        <f>LEFT(Table1[[#This Row],[Input]],1)</f>
        <v>R</v>
      </c>
      <c r="C2581">
        <f>_xlfn.LET(_xlpm.steps,SUBSTITUTE(Table1[[#This Row],[Input]],Table1[[#This Row],[Direction]],""),VALUE(IF(LEN(_xlpm.steps)&gt;2,RIGHT(_xlpm.steps,2),_xlpm.steps)))</f>
        <v>10</v>
      </c>
      <c r="D2581">
        <f>_xlfn.LET(_xlpm.dir,Table1[[#This Row],[Direction]],
IF(_xlpm.dir="L",
    IF(F2580-Table1[[#This Row],[Steps]]&lt;0,100+(F2580-Table1[[#This Row],[Steps]]),F2580-Table1[[#This Row],[Steps]]),
))</f>
        <v>0</v>
      </c>
      <c r="E2581">
        <f>_xlfn.LET(_xlpm.dir,Table1[[#This Row],[Direction]],
IF(_xlpm.dir="R",
    IF(F2580+Table1[[#This Row],[Steps]]&gt;99,(F2580+Table1[[#This Row],[Steps]])-100,F2580+Table1[[#This Row],[Steps]]),
))</f>
        <v>10</v>
      </c>
      <c r="F2581">
        <f>IF(Table1[[#This Row],[New Pos L]]&lt;&gt;0,Table1[[#This Row],[New Pos L]],Table1[[#This Row],[New Pos R]])</f>
        <v>10</v>
      </c>
    </row>
    <row r="2582" spans="1:6" ht="16" x14ac:dyDescent="0.2">
      <c r="A2582" s="1" t="s">
        <v>234</v>
      </c>
      <c r="B2582" t="str">
        <f>LEFT(Table1[[#This Row],[Input]],1)</f>
        <v>R</v>
      </c>
      <c r="C2582">
        <f>_xlfn.LET(_xlpm.steps,SUBSTITUTE(Table1[[#This Row],[Input]],Table1[[#This Row],[Direction]],""),VALUE(IF(LEN(_xlpm.steps)&gt;2,RIGHT(_xlpm.steps,2),_xlpm.steps)))</f>
        <v>82</v>
      </c>
      <c r="D2582">
        <f>_xlfn.LET(_xlpm.dir,Table1[[#This Row],[Direction]],
IF(_xlpm.dir="L",
    IF(F2581-Table1[[#This Row],[Steps]]&lt;0,100+(F2581-Table1[[#This Row],[Steps]]),F2581-Table1[[#This Row],[Steps]]),
))</f>
        <v>0</v>
      </c>
      <c r="E2582">
        <f>_xlfn.LET(_xlpm.dir,Table1[[#This Row],[Direction]],
IF(_xlpm.dir="R",
    IF(F2581+Table1[[#This Row],[Steps]]&gt;99,(F2581+Table1[[#This Row],[Steps]])-100,F2581+Table1[[#This Row],[Steps]]),
))</f>
        <v>92</v>
      </c>
      <c r="F2582">
        <f>IF(Table1[[#This Row],[New Pos L]]&lt;&gt;0,Table1[[#This Row],[New Pos L]],Table1[[#This Row],[New Pos R]])</f>
        <v>92</v>
      </c>
    </row>
    <row r="2583" spans="1:6" ht="16" x14ac:dyDescent="0.2">
      <c r="A2583" s="1" t="s">
        <v>628</v>
      </c>
      <c r="B2583" t="str">
        <f>LEFT(Table1[[#This Row],[Input]],1)</f>
        <v>R</v>
      </c>
      <c r="C2583">
        <f>_xlfn.LET(_xlpm.steps,SUBSTITUTE(Table1[[#This Row],[Input]],Table1[[#This Row],[Direction]],""),VALUE(IF(LEN(_xlpm.steps)&gt;2,RIGHT(_xlpm.steps,2),_xlpm.steps)))</f>
        <v>39</v>
      </c>
      <c r="D2583">
        <f>_xlfn.LET(_xlpm.dir,Table1[[#This Row],[Direction]],
IF(_xlpm.dir="L",
    IF(F2582-Table1[[#This Row],[Steps]]&lt;0,100+(F2582-Table1[[#This Row],[Steps]]),F2582-Table1[[#This Row],[Steps]]),
))</f>
        <v>0</v>
      </c>
      <c r="E2583">
        <f>_xlfn.LET(_xlpm.dir,Table1[[#This Row],[Direction]],
IF(_xlpm.dir="R",
    IF(F2582+Table1[[#This Row],[Steps]]&gt;99,(F2582+Table1[[#This Row],[Steps]])-100,F2582+Table1[[#This Row],[Steps]]),
))</f>
        <v>31</v>
      </c>
      <c r="F2583">
        <f>IF(Table1[[#This Row],[New Pos L]]&lt;&gt;0,Table1[[#This Row],[New Pos L]],Table1[[#This Row],[New Pos R]])</f>
        <v>31</v>
      </c>
    </row>
    <row r="2584" spans="1:6" ht="16" x14ac:dyDescent="0.2">
      <c r="A2584" s="1" t="s">
        <v>226</v>
      </c>
      <c r="B2584" t="str">
        <f>LEFT(Table1[[#This Row],[Input]],1)</f>
        <v>L</v>
      </c>
      <c r="C2584">
        <f>_xlfn.LET(_xlpm.steps,SUBSTITUTE(Table1[[#This Row],[Input]],Table1[[#This Row],[Direction]],""),VALUE(IF(LEN(_xlpm.steps)&gt;2,RIGHT(_xlpm.steps,2),_xlpm.steps)))</f>
        <v>31</v>
      </c>
      <c r="D2584">
        <f>_xlfn.LET(_xlpm.dir,Table1[[#This Row],[Direction]],
IF(_xlpm.dir="L",
    IF(F2583-Table1[[#This Row],[Steps]]&lt;0,100+(F2583-Table1[[#This Row],[Steps]]),F2583-Table1[[#This Row],[Steps]]),
))</f>
        <v>0</v>
      </c>
      <c r="E2584">
        <f>_xlfn.LET(_xlpm.dir,Table1[[#This Row],[Direction]],
IF(_xlpm.dir="R",
    IF(F2583+Table1[[#This Row],[Steps]]&gt;99,(F2583+Table1[[#This Row],[Steps]])-100,F2583+Table1[[#This Row],[Steps]]),
))</f>
        <v>0</v>
      </c>
      <c r="F2584">
        <f>IF(Table1[[#This Row],[New Pos L]]&lt;&gt;0,Table1[[#This Row],[New Pos L]],Table1[[#This Row],[New Pos R]])</f>
        <v>0</v>
      </c>
    </row>
    <row r="2585" spans="1:6" ht="16" x14ac:dyDescent="0.2">
      <c r="A2585" s="1" t="s">
        <v>44</v>
      </c>
      <c r="B2585" t="str">
        <f>LEFT(Table1[[#This Row],[Input]],1)</f>
        <v>R</v>
      </c>
      <c r="C2585">
        <f>_xlfn.LET(_xlpm.steps,SUBSTITUTE(Table1[[#This Row],[Input]],Table1[[#This Row],[Direction]],""),VALUE(IF(LEN(_xlpm.steps)&gt;2,RIGHT(_xlpm.steps,2),_xlpm.steps)))</f>
        <v>96</v>
      </c>
      <c r="D2585">
        <f>_xlfn.LET(_xlpm.dir,Table1[[#This Row],[Direction]],
IF(_xlpm.dir="L",
    IF(F2584-Table1[[#This Row],[Steps]]&lt;0,100+(F2584-Table1[[#This Row],[Steps]]),F2584-Table1[[#This Row],[Steps]]),
))</f>
        <v>0</v>
      </c>
      <c r="E2585">
        <f>_xlfn.LET(_xlpm.dir,Table1[[#This Row],[Direction]],
IF(_xlpm.dir="R",
    IF(F2584+Table1[[#This Row],[Steps]]&gt;99,(F2584+Table1[[#This Row],[Steps]])-100,F2584+Table1[[#This Row],[Steps]]),
))</f>
        <v>96</v>
      </c>
      <c r="F2585">
        <f>IF(Table1[[#This Row],[New Pos L]]&lt;&gt;0,Table1[[#This Row],[New Pos L]],Table1[[#This Row],[New Pos R]])</f>
        <v>96</v>
      </c>
    </row>
    <row r="2586" spans="1:6" ht="16" x14ac:dyDescent="0.2">
      <c r="A2586" s="1" t="s">
        <v>629</v>
      </c>
      <c r="B2586" t="str">
        <f>LEFT(Table1[[#This Row],[Input]],1)</f>
        <v>L</v>
      </c>
      <c r="C2586">
        <f>_xlfn.LET(_xlpm.steps,SUBSTITUTE(Table1[[#This Row],[Input]],Table1[[#This Row],[Direction]],""),VALUE(IF(LEN(_xlpm.steps)&gt;2,RIGHT(_xlpm.steps,2),_xlpm.steps)))</f>
        <v>96</v>
      </c>
      <c r="D2586">
        <f>_xlfn.LET(_xlpm.dir,Table1[[#This Row],[Direction]],
IF(_xlpm.dir="L",
    IF(F2585-Table1[[#This Row],[Steps]]&lt;0,100+(F2585-Table1[[#This Row],[Steps]]),F2585-Table1[[#This Row],[Steps]]),
))</f>
        <v>0</v>
      </c>
      <c r="E2586">
        <f>_xlfn.LET(_xlpm.dir,Table1[[#This Row],[Direction]],
IF(_xlpm.dir="R",
    IF(F2585+Table1[[#This Row],[Steps]]&gt;99,(F2585+Table1[[#This Row],[Steps]])-100,F2585+Table1[[#This Row],[Steps]]),
))</f>
        <v>0</v>
      </c>
      <c r="F2586">
        <f>IF(Table1[[#This Row],[New Pos L]]&lt;&gt;0,Table1[[#This Row],[New Pos L]],Table1[[#This Row],[New Pos R]])</f>
        <v>0</v>
      </c>
    </row>
    <row r="2587" spans="1:6" ht="16" x14ac:dyDescent="0.2">
      <c r="A2587" s="1" t="s">
        <v>69</v>
      </c>
      <c r="B2587" t="str">
        <f>LEFT(Table1[[#This Row],[Input]],1)</f>
        <v>R</v>
      </c>
      <c r="C2587">
        <f>_xlfn.LET(_xlpm.steps,SUBSTITUTE(Table1[[#This Row],[Input]],Table1[[#This Row],[Direction]],""),VALUE(IF(LEN(_xlpm.steps)&gt;2,RIGHT(_xlpm.steps,2),_xlpm.steps)))</f>
        <v>27</v>
      </c>
      <c r="D2587">
        <f>_xlfn.LET(_xlpm.dir,Table1[[#This Row],[Direction]],
IF(_xlpm.dir="L",
    IF(F2586-Table1[[#This Row],[Steps]]&lt;0,100+(F2586-Table1[[#This Row],[Steps]]),F2586-Table1[[#This Row],[Steps]]),
))</f>
        <v>0</v>
      </c>
      <c r="E2587">
        <f>_xlfn.LET(_xlpm.dir,Table1[[#This Row],[Direction]],
IF(_xlpm.dir="R",
    IF(F2586+Table1[[#This Row],[Steps]]&gt;99,(F2586+Table1[[#This Row],[Steps]])-100,F2586+Table1[[#This Row],[Steps]]),
))</f>
        <v>27</v>
      </c>
      <c r="F2587">
        <f>IF(Table1[[#This Row],[New Pos L]]&lt;&gt;0,Table1[[#This Row],[New Pos L]],Table1[[#This Row],[New Pos R]])</f>
        <v>27</v>
      </c>
    </row>
    <row r="2588" spans="1:6" ht="16" x14ac:dyDescent="0.2">
      <c r="A2588" s="1" t="s">
        <v>70</v>
      </c>
      <c r="B2588" t="str">
        <f>LEFT(Table1[[#This Row],[Input]],1)</f>
        <v>R</v>
      </c>
      <c r="C2588">
        <f>_xlfn.LET(_xlpm.steps,SUBSTITUTE(Table1[[#This Row],[Input]],Table1[[#This Row],[Direction]],""),VALUE(IF(LEN(_xlpm.steps)&gt;2,RIGHT(_xlpm.steps,2),_xlpm.steps)))</f>
        <v>73</v>
      </c>
      <c r="D2588">
        <f>_xlfn.LET(_xlpm.dir,Table1[[#This Row],[Direction]],
IF(_xlpm.dir="L",
    IF(F2587-Table1[[#This Row],[Steps]]&lt;0,100+(F2587-Table1[[#This Row],[Steps]]),F2587-Table1[[#This Row],[Steps]]),
))</f>
        <v>0</v>
      </c>
      <c r="E2588">
        <f>_xlfn.LET(_xlpm.dir,Table1[[#This Row],[Direction]],
IF(_xlpm.dir="R",
    IF(F2587+Table1[[#This Row],[Steps]]&gt;99,(F2587+Table1[[#This Row],[Steps]])-100,F2587+Table1[[#This Row],[Steps]]),
))</f>
        <v>0</v>
      </c>
      <c r="F2588">
        <f>IF(Table1[[#This Row],[New Pos L]]&lt;&gt;0,Table1[[#This Row],[New Pos L]],Table1[[#This Row],[New Pos R]])</f>
        <v>0</v>
      </c>
    </row>
    <row r="2589" spans="1:6" ht="16" x14ac:dyDescent="0.2">
      <c r="A2589" s="1" t="s">
        <v>195</v>
      </c>
      <c r="B2589" t="str">
        <f>LEFT(Table1[[#This Row],[Input]],1)</f>
        <v>R</v>
      </c>
      <c r="C2589">
        <f>_xlfn.LET(_xlpm.steps,SUBSTITUTE(Table1[[#This Row],[Input]],Table1[[#This Row],[Direction]],""),VALUE(IF(LEN(_xlpm.steps)&gt;2,RIGHT(_xlpm.steps,2),_xlpm.steps)))</f>
        <v>40</v>
      </c>
      <c r="D2589">
        <f>_xlfn.LET(_xlpm.dir,Table1[[#This Row],[Direction]],
IF(_xlpm.dir="L",
    IF(F2588-Table1[[#This Row],[Steps]]&lt;0,100+(F2588-Table1[[#This Row],[Steps]]),F2588-Table1[[#This Row],[Steps]]),
))</f>
        <v>0</v>
      </c>
      <c r="E2589">
        <f>_xlfn.LET(_xlpm.dir,Table1[[#This Row],[Direction]],
IF(_xlpm.dir="R",
    IF(F2588+Table1[[#This Row],[Steps]]&gt;99,(F2588+Table1[[#This Row],[Steps]])-100,F2588+Table1[[#This Row],[Steps]]),
))</f>
        <v>40</v>
      </c>
      <c r="F2589">
        <f>IF(Table1[[#This Row],[New Pos L]]&lt;&gt;0,Table1[[#This Row],[New Pos L]],Table1[[#This Row],[New Pos R]])</f>
        <v>40</v>
      </c>
    </row>
    <row r="2590" spans="1:6" ht="16" x14ac:dyDescent="0.2">
      <c r="A2590" s="1" t="s">
        <v>9</v>
      </c>
      <c r="B2590" t="str">
        <f>LEFT(Table1[[#This Row],[Input]],1)</f>
        <v>L</v>
      </c>
      <c r="C2590">
        <f>_xlfn.LET(_xlpm.steps,SUBSTITUTE(Table1[[#This Row],[Input]],Table1[[#This Row],[Direction]],""),VALUE(IF(LEN(_xlpm.steps)&gt;2,RIGHT(_xlpm.steps,2),_xlpm.steps)))</f>
        <v>9</v>
      </c>
      <c r="D2590">
        <f>_xlfn.LET(_xlpm.dir,Table1[[#This Row],[Direction]],
IF(_xlpm.dir="L",
    IF(F2589-Table1[[#This Row],[Steps]]&lt;0,100+(F2589-Table1[[#This Row],[Steps]]),F2589-Table1[[#This Row],[Steps]]),
))</f>
        <v>31</v>
      </c>
      <c r="E2590">
        <f>_xlfn.LET(_xlpm.dir,Table1[[#This Row],[Direction]],
IF(_xlpm.dir="R",
    IF(F2589+Table1[[#This Row],[Steps]]&gt;99,(F2589+Table1[[#This Row],[Steps]])-100,F2589+Table1[[#This Row],[Steps]]),
))</f>
        <v>0</v>
      </c>
      <c r="F2590">
        <f>IF(Table1[[#This Row],[New Pos L]]&lt;&gt;0,Table1[[#This Row],[New Pos L]],Table1[[#This Row],[New Pos R]])</f>
        <v>31</v>
      </c>
    </row>
    <row r="2591" spans="1:6" ht="16" x14ac:dyDescent="0.2">
      <c r="A2591" s="1" t="s">
        <v>630</v>
      </c>
      <c r="B2591" t="str">
        <f>LEFT(Table1[[#This Row],[Input]],1)</f>
        <v>R</v>
      </c>
      <c r="C2591">
        <f>_xlfn.LET(_xlpm.steps,SUBSTITUTE(Table1[[#This Row],[Input]],Table1[[#This Row],[Direction]],""),VALUE(IF(LEN(_xlpm.steps)&gt;2,RIGHT(_xlpm.steps,2),_xlpm.steps)))</f>
        <v>52</v>
      </c>
      <c r="D2591">
        <f>_xlfn.LET(_xlpm.dir,Table1[[#This Row],[Direction]],
IF(_xlpm.dir="L",
    IF(F2590-Table1[[#This Row],[Steps]]&lt;0,100+(F2590-Table1[[#This Row],[Steps]]),F2590-Table1[[#This Row],[Steps]]),
))</f>
        <v>0</v>
      </c>
      <c r="E2591">
        <f>_xlfn.LET(_xlpm.dir,Table1[[#This Row],[Direction]],
IF(_xlpm.dir="R",
    IF(F2590+Table1[[#This Row],[Steps]]&gt;99,(F2590+Table1[[#This Row],[Steps]])-100,F2590+Table1[[#This Row],[Steps]]),
))</f>
        <v>83</v>
      </c>
      <c r="F2591">
        <f>IF(Table1[[#This Row],[New Pos L]]&lt;&gt;0,Table1[[#This Row],[New Pos L]],Table1[[#This Row],[New Pos R]])</f>
        <v>83</v>
      </c>
    </row>
    <row r="2592" spans="1:6" ht="16" x14ac:dyDescent="0.2">
      <c r="A2592" s="1" t="s">
        <v>51</v>
      </c>
      <c r="B2592" t="str">
        <f>LEFT(Table1[[#This Row],[Input]],1)</f>
        <v>L</v>
      </c>
      <c r="C2592">
        <f>_xlfn.LET(_xlpm.steps,SUBSTITUTE(Table1[[#This Row],[Input]],Table1[[#This Row],[Direction]],""),VALUE(IF(LEN(_xlpm.steps)&gt;2,RIGHT(_xlpm.steps,2),_xlpm.steps)))</f>
        <v>25</v>
      </c>
      <c r="D2592">
        <f>_xlfn.LET(_xlpm.dir,Table1[[#This Row],[Direction]],
IF(_xlpm.dir="L",
    IF(F2591-Table1[[#This Row],[Steps]]&lt;0,100+(F2591-Table1[[#This Row],[Steps]]),F2591-Table1[[#This Row],[Steps]]),
))</f>
        <v>58</v>
      </c>
      <c r="E2592">
        <f>_xlfn.LET(_xlpm.dir,Table1[[#This Row],[Direction]],
IF(_xlpm.dir="R",
    IF(F2591+Table1[[#This Row],[Steps]]&gt;99,(F2591+Table1[[#This Row],[Steps]])-100,F2591+Table1[[#This Row],[Steps]]),
))</f>
        <v>0</v>
      </c>
      <c r="F2592">
        <f>IF(Table1[[#This Row],[New Pos L]]&lt;&gt;0,Table1[[#This Row],[New Pos L]],Table1[[#This Row],[New Pos R]])</f>
        <v>58</v>
      </c>
    </row>
    <row r="2593" spans="1:6" ht="16" x14ac:dyDescent="0.2">
      <c r="A2593" s="1" t="s">
        <v>319</v>
      </c>
      <c r="B2593" t="str">
        <f>LEFT(Table1[[#This Row],[Input]],1)</f>
        <v>L</v>
      </c>
      <c r="C2593">
        <f>_xlfn.LET(_xlpm.steps,SUBSTITUTE(Table1[[#This Row],[Input]],Table1[[#This Row],[Direction]],""),VALUE(IF(LEN(_xlpm.steps)&gt;2,RIGHT(_xlpm.steps,2),_xlpm.steps)))</f>
        <v>79</v>
      </c>
      <c r="D2593">
        <f>_xlfn.LET(_xlpm.dir,Table1[[#This Row],[Direction]],
IF(_xlpm.dir="L",
    IF(F2592-Table1[[#This Row],[Steps]]&lt;0,100+(F2592-Table1[[#This Row],[Steps]]),F2592-Table1[[#This Row],[Steps]]),
))</f>
        <v>79</v>
      </c>
      <c r="E2593">
        <f>_xlfn.LET(_xlpm.dir,Table1[[#This Row],[Direction]],
IF(_xlpm.dir="R",
    IF(F2592+Table1[[#This Row],[Steps]]&gt;99,(F2592+Table1[[#This Row],[Steps]])-100,F2592+Table1[[#This Row],[Steps]]),
))</f>
        <v>0</v>
      </c>
      <c r="F2593">
        <f>IF(Table1[[#This Row],[New Pos L]]&lt;&gt;0,Table1[[#This Row],[New Pos L]],Table1[[#This Row],[New Pos R]])</f>
        <v>79</v>
      </c>
    </row>
    <row r="2594" spans="1:6" ht="16" x14ac:dyDescent="0.2">
      <c r="A2594" s="1" t="s">
        <v>126</v>
      </c>
      <c r="B2594" t="str">
        <f>LEFT(Table1[[#This Row],[Input]],1)</f>
        <v>R</v>
      </c>
      <c r="C2594">
        <f>_xlfn.LET(_xlpm.steps,SUBSTITUTE(Table1[[#This Row],[Input]],Table1[[#This Row],[Direction]],""),VALUE(IF(LEN(_xlpm.steps)&gt;2,RIGHT(_xlpm.steps,2),_xlpm.steps)))</f>
        <v>65</v>
      </c>
      <c r="D2594">
        <f>_xlfn.LET(_xlpm.dir,Table1[[#This Row],[Direction]],
IF(_xlpm.dir="L",
    IF(F2593-Table1[[#This Row],[Steps]]&lt;0,100+(F2593-Table1[[#This Row],[Steps]]),F2593-Table1[[#This Row],[Steps]]),
))</f>
        <v>0</v>
      </c>
      <c r="E2594">
        <f>_xlfn.LET(_xlpm.dir,Table1[[#This Row],[Direction]],
IF(_xlpm.dir="R",
    IF(F2593+Table1[[#This Row],[Steps]]&gt;99,(F2593+Table1[[#This Row],[Steps]])-100,F2593+Table1[[#This Row],[Steps]]),
))</f>
        <v>44</v>
      </c>
      <c r="F2594">
        <f>IF(Table1[[#This Row],[New Pos L]]&lt;&gt;0,Table1[[#This Row],[New Pos L]],Table1[[#This Row],[New Pos R]])</f>
        <v>44</v>
      </c>
    </row>
    <row r="2595" spans="1:6" ht="16" x14ac:dyDescent="0.2">
      <c r="A2595" s="1" t="s">
        <v>631</v>
      </c>
      <c r="B2595" t="str">
        <f>LEFT(Table1[[#This Row],[Input]],1)</f>
        <v>R</v>
      </c>
      <c r="C2595">
        <f>_xlfn.LET(_xlpm.steps,SUBSTITUTE(Table1[[#This Row],[Input]],Table1[[#This Row],[Direction]],""),VALUE(IF(LEN(_xlpm.steps)&gt;2,RIGHT(_xlpm.steps,2),_xlpm.steps)))</f>
        <v>86</v>
      </c>
      <c r="D2595">
        <f>_xlfn.LET(_xlpm.dir,Table1[[#This Row],[Direction]],
IF(_xlpm.dir="L",
    IF(F2594-Table1[[#This Row],[Steps]]&lt;0,100+(F2594-Table1[[#This Row],[Steps]]),F2594-Table1[[#This Row],[Steps]]),
))</f>
        <v>0</v>
      </c>
      <c r="E2595">
        <f>_xlfn.LET(_xlpm.dir,Table1[[#This Row],[Direction]],
IF(_xlpm.dir="R",
    IF(F2594+Table1[[#This Row],[Steps]]&gt;99,(F2594+Table1[[#This Row],[Steps]])-100,F2594+Table1[[#This Row],[Steps]]),
))</f>
        <v>30</v>
      </c>
      <c r="F2595">
        <f>IF(Table1[[#This Row],[New Pos L]]&lt;&gt;0,Table1[[#This Row],[New Pos L]],Table1[[#This Row],[New Pos R]])</f>
        <v>30</v>
      </c>
    </row>
    <row r="2596" spans="1:6" ht="16" x14ac:dyDescent="0.2">
      <c r="A2596" s="1" t="s">
        <v>607</v>
      </c>
      <c r="B2596" t="str">
        <f>LEFT(Table1[[#This Row],[Input]],1)</f>
        <v>R</v>
      </c>
      <c r="C2596">
        <f>_xlfn.LET(_xlpm.steps,SUBSTITUTE(Table1[[#This Row],[Input]],Table1[[#This Row],[Direction]],""),VALUE(IF(LEN(_xlpm.steps)&gt;2,RIGHT(_xlpm.steps,2),_xlpm.steps)))</f>
        <v>70</v>
      </c>
      <c r="D2596">
        <f>_xlfn.LET(_xlpm.dir,Table1[[#This Row],[Direction]],
IF(_xlpm.dir="L",
    IF(F2595-Table1[[#This Row],[Steps]]&lt;0,100+(F2595-Table1[[#This Row],[Steps]]),F2595-Table1[[#This Row],[Steps]]),
))</f>
        <v>0</v>
      </c>
      <c r="E2596">
        <f>_xlfn.LET(_xlpm.dir,Table1[[#This Row],[Direction]],
IF(_xlpm.dir="R",
    IF(F2595+Table1[[#This Row],[Steps]]&gt;99,(F2595+Table1[[#This Row],[Steps]])-100,F2595+Table1[[#This Row],[Steps]]),
))</f>
        <v>0</v>
      </c>
      <c r="F2596">
        <f>IF(Table1[[#This Row],[New Pos L]]&lt;&gt;0,Table1[[#This Row],[New Pos L]],Table1[[#This Row],[New Pos R]])</f>
        <v>0</v>
      </c>
    </row>
    <row r="2597" spans="1:6" ht="16" x14ac:dyDescent="0.2">
      <c r="A2597" s="1" t="s">
        <v>131</v>
      </c>
      <c r="B2597" t="str">
        <f>LEFT(Table1[[#This Row],[Input]],1)</f>
        <v>R</v>
      </c>
      <c r="C2597">
        <f>_xlfn.LET(_xlpm.steps,SUBSTITUTE(Table1[[#This Row],[Input]],Table1[[#This Row],[Direction]],""),VALUE(IF(LEN(_xlpm.steps)&gt;2,RIGHT(_xlpm.steps,2),_xlpm.steps)))</f>
        <v>99</v>
      </c>
      <c r="D2597">
        <f>_xlfn.LET(_xlpm.dir,Table1[[#This Row],[Direction]],
IF(_xlpm.dir="L",
    IF(F2596-Table1[[#This Row],[Steps]]&lt;0,100+(F2596-Table1[[#This Row],[Steps]]),F2596-Table1[[#This Row],[Steps]]),
))</f>
        <v>0</v>
      </c>
      <c r="E2597">
        <f>_xlfn.LET(_xlpm.dir,Table1[[#This Row],[Direction]],
IF(_xlpm.dir="R",
    IF(F2596+Table1[[#This Row],[Steps]]&gt;99,(F2596+Table1[[#This Row],[Steps]])-100,F2596+Table1[[#This Row],[Steps]]),
))</f>
        <v>99</v>
      </c>
      <c r="F2597">
        <f>IF(Table1[[#This Row],[New Pos L]]&lt;&gt;0,Table1[[#This Row],[New Pos L]],Table1[[#This Row],[New Pos R]])</f>
        <v>99</v>
      </c>
    </row>
    <row r="2598" spans="1:6" ht="16" x14ac:dyDescent="0.2">
      <c r="A2598" s="1" t="s">
        <v>188</v>
      </c>
      <c r="B2598" t="str">
        <f>LEFT(Table1[[#This Row],[Input]],1)</f>
        <v>R</v>
      </c>
      <c r="C2598">
        <f>_xlfn.LET(_xlpm.steps,SUBSTITUTE(Table1[[#This Row],[Input]],Table1[[#This Row],[Direction]],""),VALUE(IF(LEN(_xlpm.steps)&gt;2,RIGHT(_xlpm.steps,2),_xlpm.steps)))</f>
        <v>5</v>
      </c>
      <c r="D2598">
        <f>_xlfn.LET(_xlpm.dir,Table1[[#This Row],[Direction]],
IF(_xlpm.dir="L",
    IF(F2597-Table1[[#This Row],[Steps]]&lt;0,100+(F2597-Table1[[#This Row],[Steps]]),F2597-Table1[[#This Row],[Steps]]),
))</f>
        <v>0</v>
      </c>
      <c r="E2598">
        <f>_xlfn.LET(_xlpm.dir,Table1[[#This Row],[Direction]],
IF(_xlpm.dir="R",
    IF(F2597+Table1[[#This Row],[Steps]]&gt;99,(F2597+Table1[[#This Row],[Steps]])-100,F2597+Table1[[#This Row],[Steps]]),
))</f>
        <v>4</v>
      </c>
      <c r="F2598">
        <f>IF(Table1[[#This Row],[New Pos L]]&lt;&gt;0,Table1[[#This Row],[New Pos L]],Table1[[#This Row],[New Pos R]])</f>
        <v>4</v>
      </c>
    </row>
    <row r="2599" spans="1:6" ht="16" x14ac:dyDescent="0.2">
      <c r="A2599" s="1" t="s">
        <v>186</v>
      </c>
      <c r="B2599" t="str">
        <f>LEFT(Table1[[#This Row],[Input]],1)</f>
        <v>L</v>
      </c>
      <c r="C2599">
        <f>_xlfn.LET(_xlpm.steps,SUBSTITUTE(Table1[[#This Row],[Input]],Table1[[#This Row],[Direction]],""),VALUE(IF(LEN(_xlpm.steps)&gt;2,RIGHT(_xlpm.steps,2),_xlpm.steps)))</f>
        <v>84</v>
      </c>
      <c r="D2599">
        <f>_xlfn.LET(_xlpm.dir,Table1[[#This Row],[Direction]],
IF(_xlpm.dir="L",
    IF(F2598-Table1[[#This Row],[Steps]]&lt;0,100+(F2598-Table1[[#This Row],[Steps]]),F2598-Table1[[#This Row],[Steps]]),
))</f>
        <v>20</v>
      </c>
      <c r="E2599">
        <f>_xlfn.LET(_xlpm.dir,Table1[[#This Row],[Direction]],
IF(_xlpm.dir="R",
    IF(F2598+Table1[[#This Row],[Steps]]&gt;99,(F2598+Table1[[#This Row],[Steps]])-100,F2598+Table1[[#This Row],[Steps]]),
))</f>
        <v>0</v>
      </c>
      <c r="F2599">
        <f>IF(Table1[[#This Row],[New Pos L]]&lt;&gt;0,Table1[[#This Row],[New Pos L]],Table1[[#This Row],[New Pos R]])</f>
        <v>20</v>
      </c>
    </row>
    <row r="2600" spans="1:6" ht="16" x14ac:dyDescent="0.2">
      <c r="A2600" s="1" t="s">
        <v>148</v>
      </c>
      <c r="B2600" t="str">
        <f>LEFT(Table1[[#This Row],[Input]],1)</f>
        <v>R</v>
      </c>
      <c r="C2600">
        <f>_xlfn.LET(_xlpm.steps,SUBSTITUTE(Table1[[#This Row],[Input]],Table1[[#This Row],[Direction]],""),VALUE(IF(LEN(_xlpm.steps)&gt;2,RIGHT(_xlpm.steps,2),_xlpm.steps)))</f>
        <v>80</v>
      </c>
      <c r="D2600">
        <f>_xlfn.LET(_xlpm.dir,Table1[[#This Row],[Direction]],
IF(_xlpm.dir="L",
    IF(F2599-Table1[[#This Row],[Steps]]&lt;0,100+(F2599-Table1[[#This Row],[Steps]]),F2599-Table1[[#This Row],[Steps]]),
))</f>
        <v>0</v>
      </c>
      <c r="E2600">
        <f>_xlfn.LET(_xlpm.dir,Table1[[#This Row],[Direction]],
IF(_xlpm.dir="R",
    IF(F2599+Table1[[#This Row],[Steps]]&gt;99,(F2599+Table1[[#This Row],[Steps]])-100,F2599+Table1[[#This Row],[Steps]]),
))</f>
        <v>0</v>
      </c>
      <c r="F2600">
        <f>IF(Table1[[#This Row],[New Pos L]]&lt;&gt;0,Table1[[#This Row],[New Pos L]],Table1[[#This Row],[New Pos R]])</f>
        <v>0</v>
      </c>
    </row>
    <row r="2601" spans="1:6" ht="16" x14ac:dyDescent="0.2">
      <c r="A2601" s="1" t="s">
        <v>632</v>
      </c>
      <c r="B2601" t="str">
        <f>LEFT(Table1[[#This Row],[Input]],1)</f>
        <v>L</v>
      </c>
      <c r="C2601">
        <f>_xlfn.LET(_xlpm.steps,SUBSTITUTE(Table1[[#This Row],[Input]],Table1[[#This Row],[Direction]],""),VALUE(IF(LEN(_xlpm.steps)&gt;2,RIGHT(_xlpm.steps,2),_xlpm.steps)))</f>
        <v>89</v>
      </c>
      <c r="D2601">
        <f>_xlfn.LET(_xlpm.dir,Table1[[#This Row],[Direction]],
IF(_xlpm.dir="L",
    IF(F2600-Table1[[#This Row],[Steps]]&lt;0,100+(F2600-Table1[[#This Row],[Steps]]),F2600-Table1[[#This Row],[Steps]]),
))</f>
        <v>11</v>
      </c>
      <c r="E2601">
        <f>_xlfn.LET(_xlpm.dir,Table1[[#This Row],[Direction]],
IF(_xlpm.dir="R",
    IF(F2600+Table1[[#This Row],[Steps]]&gt;99,(F2600+Table1[[#This Row],[Steps]])-100,F2600+Table1[[#This Row],[Steps]]),
))</f>
        <v>0</v>
      </c>
      <c r="F2601">
        <f>IF(Table1[[#This Row],[New Pos L]]&lt;&gt;0,Table1[[#This Row],[New Pos L]],Table1[[#This Row],[New Pos R]])</f>
        <v>11</v>
      </c>
    </row>
    <row r="2602" spans="1:6" ht="16" x14ac:dyDescent="0.2">
      <c r="A2602" s="1" t="s">
        <v>210</v>
      </c>
      <c r="B2602" t="str">
        <f>LEFT(Table1[[#This Row],[Input]],1)</f>
        <v>R</v>
      </c>
      <c r="C2602">
        <f>_xlfn.LET(_xlpm.steps,SUBSTITUTE(Table1[[#This Row],[Input]],Table1[[#This Row],[Direction]],""),VALUE(IF(LEN(_xlpm.steps)&gt;2,RIGHT(_xlpm.steps,2),_xlpm.steps)))</f>
        <v>89</v>
      </c>
      <c r="D2602">
        <f>_xlfn.LET(_xlpm.dir,Table1[[#This Row],[Direction]],
IF(_xlpm.dir="L",
    IF(F2601-Table1[[#This Row],[Steps]]&lt;0,100+(F2601-Table1[[#This Row],[Steps]]),F2601-Table1[[#This Row],[Steps]]),
))</f>
        <v>0</v>
      </c>
      <c r="E2602">
        <f>_xlfn.LET(_xlpm.dir,Table1[[#This Row],[Direction]],
IF(_xlpm.dir="R",
    IF(F2601+Table1[[#This Row],[Steps]]&gt;99,(F2601+Table1[[#This Row],[Steps]])-100,F2601+Table1[[#This Row],[Steps]]),
))</f>
        <v>0</v>
      </c>
      <c r="F2602">
        <f>IF(Table1[[#This Row],[New Pos L]]&lt;&gt;0,Table1[[#This Row],[New Pos L]],Table1[[#This Row],[New Pos R]])</f>
        <v>0</v>
      </c>
    </row>
    <row r="2603" spans="1:6" ht="16" x14ac:dyDescent="0.2">
      <c r="A2603" s="1" t="s">
        <v>172</v>
      </c>
      <c r="B2603" t="str">
        <f>LEFT(Table1[[#This Row],[Input]],1)</f>
        <v>L</v>
      </c>
      <c r="C2603">
        <f>_xlfn.LET(_xlpm.steps,SUBSTITUTE(Table1[[#This Row],[Input]],Table1[[#This Row],[Direction]],""),VALUE(IF(LEN(_xlpm.steps)&gt;2,RIGHT(_xlpm.steps,2),_xlpm.steps)))</f>
        <v>66</v>
      </c>
      <c r="D2603">
        <f>_xlfn.LET(_xlpm.dir,Table1[[#This Row],[Direction]],
IF(_xlpm.dir="L",
    IF(F2602-Table1[[#This Row],[Steps]]&lt;0,100+(F2602-Table1[[#This Row],[Steps]]),F2602-Table1[[#This Row],[Steps]]),
))</f>
        <v>34</v>
      </c>
      <c r="E2603">
        <f>_xlfn.LET(_xlpm.dir,Table1[[#This Row],[Direction]],
IF(_xlpm.dir="R",
    IF(F2602+Table1[[#This Row],[Steps]]&gt;99,(F2602+Table1[[#This Row],[Steps]])-100,F2602+Table1[[#This Row],[Steps]]),
))</f>
        <v>0</v>
      </c>
      <c r="F2603">
        <f>IF(Table1[[#This Row],[New Pos L]]&lt;&gt;0,Table1[[#This Row],[New Pos L]],Table1[[#This Row],[New Pos R]])</f>
        <v>34</v>
      </c>
    </row>
    <row r="2604" spans="1:6" ht="16" x14ac:dyDescent="0.2">
      <c r="A2604" s="1" t="s">
        <v>23</v>
      </c>
      <c r="B2604" t="str">
        <f>LEFT(Table1[[#This Row],[Input]],1)</f>
        <v>L</v>
      </c>
      <c r="C2604">
        <f>_xlfn.LET(_xlpm.steps,SUBSTITUTE(Table1[[#This Row],[Input]],Table1[[#This Row],[Direction]],""),VALUE(IF(LEN(_xlpm.steps)&gt;2,RIGHT(_xlpm.steps,2),_xlpm.steps)))</f>
        <v>8</v>
      </c>
      <c r="D2604">
        <f>_xlfn.LET(_xlpm.dir,Table1[[#This Row],[Direction]],
IF(_xlpm.dir="L",
    IF(F2603-Table1[[#This Row],[Steps]]&lt;0,100+(F2603-Table1[[#This Row],[Steps]]),F2603-Table1[[#This Row],[Steps]]),
))</f>
        <v>26</v>
      </c>
      <c r="E2604">
        <f>_xlfn.LET(_xlpm.dir,Table1[[#This Row],[Direction]],
IF(_xlpm.dir="R",
    IF(F2603+Table1[[#This Row],[Steps]]&gt;99,(F2603+Table1[[#This Row],[Steps]])-100,F2603+Table1[[#This Row],[Steps]]),
))</f>
        <v>0</v>
      </c>
      <c r="F2604">
        <f>IF(Table1[[#This Row],[New Pos L]]&lt;&gt;0,Table1[[#This Row],[New Pos L]],Table1[[#This Row],[New Pos R]])</f>
        <v>26</v>
      </c>
    </row>
    <row r="2605" spans="1:6" ht="16" x14ac:dyDescent="0.2">
      <c r="A2605" s="1" t="s">
        <v>633</v>
      </c>
      <c r="B2605" t="str">
        <f>LEFT(Table1[[#This Row],[Input]],1)</f>
        <v>R</v>
      </c>
      <c r="C2605">
        <f>_xlfn.LET(_xlpm.steps,SUBSTITUTE(Table1[[#This Row],[Input]],Table1[[#This Row],[Direction]],""),VALUE(IF(LEN(_xlpm.steps)&gt;2,RIGHT(_xlpm.steps,2),_xlpm.steps)))</f>
        <v>47</v>
      </c>
      <c r="D2605">
        <f>_xlfn.LET(_xlpm.dir,Table1[[#This Row],[Direction]],
IF(_xlpm.dir="L",
    IF(F2604-Table1[[#This Row],[Steps]]&lt;0,100+(F2604-Table1[[#This Row],[Steps]]),F2604-Table1[[#This Row],[Steps]]),
))</f>
        <v>0</v>
      </c>
      <c r="E2605">
        <f>_xlfn.LET(_xlpm.dir,Table1[[#This Row],[Direction]],
IF(_xlpm.dir="R",
    IF(F2604+Table1[[#This Row],[Steps]]&gt;99,(F2604+Table1[[#This Row],[Steps]])-100,F2604+Table1[[#This Row],[Steps]]),
))</f>
        <v>73</v>
      </c>
      <c r="F2605">
        <f>IF(Table1[[#This Row],[New Pos L]]&lt;&gt;0,Table1[[#This Row],[New Pos L]],Table1[[#This Row],[New Pos R]])</f>
        <v>73</v>
      </c>
    </row>
    <row r="2606" spans="1:6" ht="16" x14ac:dyDescent="0.2">
      <c r="A2606" s="1" t="s">
        <v>59</v>
      </c>
      <c r="B2606" t="str">
        <f>LEFT(Table1[[#This Row],[Input]],1)</f>
        <v>L</v>
      </c>
      <c r="C2606">
        <f>_xlfn.LET(_xlpm.steps,SUBSTITUTE(Table1[[#This Row],[Input]],Table1[[#This Row],[Direction]],""),VALUE(IF(LEN(_xlpm.steps)&gt;2,RIGHT(_xlpm.steps,2),_xlpm.steps)))</f>
        <v>6</v>
      </c>
      <c r="D2606">
        <f>_xlfn.LET(_xlpm.dir,Table1[[#This Row],[Direction]],
IF(_xlpm.dir="L",
    IF(F2605-Table1[[#This Row],[Steps]]&lt;0,100+(F2605-Table1[[#This Row],[Steps]]),F2605-Table1[[#This Row],[Steps]]),
))</f>
        <v>67</v>
      </c>
      <c r="E2606">
        <f>_xlfn.LET(_xlpm.dir,Table1[[#This Row],[Direction]],
IF(_xlpm.dir="R",
    IF(F2605+Table1[[#This Row],[Steps]]&gt;99,(F2605+Table1[[#This Row],[Steps]])-100,F2605+Table1[[#This Row],[Steps]]),
))</f>
        <v>0</v>
      </c>
      <c r="F2606">
        <f>IF(Table1[[#This Row],[New Pos L]]&lt;&gt;0,Table1[[#This Row],[New Pos L]],Table1[[#This Row],[New Pos R]])</f>
        <v>67</v>
      </c>
    </row>
    <row r="2607" spans="1:6" ht="16" x14ac:dyDescent="0.2">
      <c r="A2607" s="1" t="s">
        <v>304</v>
      </c>
      <c r="B2607" t="str">
        <f>LEFT(Table1[[#This Row],[Input]],1)</f>
        <v>L</v>
      </c>
      <c r="C2607">
        <f>_xlfn.LET(_xlpm.steps,SUBSTITUTE(Table1[[#This Row],[Input]],Table1[[#This Row],[Direction]],""),VALUE(IF(LEN(_xlpm.steps)&gt;2,RIGHT(_xlpm.steps,2),_xlpm.steps)))</f>
        <v>26</v>
      </c>
      <c r="D2607">
        <f>_xlfn.LET(_xlpm.dir,Table1[[#This Row],[Direction]],
IF(_xlpm.dir="L",
    IF(F2606-Table1[[#This Row],[Steps]]&lt;0,100+(F2606-Table1[[#This Row],[Steps]]),F2606-Table1[[#This Row],[Steps]]),
))</f>
        <v>41</v>
      </c>
      <c r="E2607">
        <f>_xlfn.LET(_xlpm.dir,Table1[[#This Row],[Direction]],
IF(_xlpm.dir="R",
    IF(F2606+Table1[[#This Row],[Steps]]&gt;99,(F2606+Table1[[#This Row],[Steps]])-100,F2606+Table1[[#This Row],[Steps]]),
))</f>
        <v>0</v>
      </c>
      <c r="F2607">
        <f>IF(Table1[[#This Row],[New Pos L]]&lt;&gt;0,Table1[[#This Row],[New Pos L]],Table1[[#This Row],[New Pos R]])</f>
        <v>41</v>
      </c>
    </row>
    <row r="2608" spans="1:6" ht="16" x14ac:dyDescent="0.2">
      <c r="A2608" s="1" t="s">
        <v>254</v>
      </c>
      <c r="B2608" t="str">
        <f>LEFT(Table1[[#This Row],[Input]],1)</f>
        <v>R</v>
      </c>
      <c r="C2608">
        <f>_xlfn.LET(_xlpm.steps,SUBSTITUTE(Table1[[#This Row],[Input]],Table1[[#This Row],[Direction]],""),VALUE(IF(LEN(_xlpm.steps)&gt;2,RIGHT(_xlpm.steps,2),_xlpm.steps)))</f>
        <v>84</v>
      </c>
      <c r="D2608">
        <f>_xlfn.LET(_xlpm.dir,Table1[[#This Row],[Direction]],
IF(_xlpm.dir="L",
    IF(F2607-Table1[[#This Row],[Steps]]&lt;0,100+(F2607-Table1[[#This Row],[Steps]]),F2607-Table1[[#This Row],[Steps]]),
))</f>
        <v>0</v>
      </c>
      <c r="E2608">
        <f>_xlfn.LET(_xlpm.dir,Table1[[#This Row],[Direction]],
IF(_xlpm.dir="R",
    IF(F2607+Table1[[#This Row],[Steps]]&gt;99,(F2607+Table1[[#This Row],[Steps]])-100,F2607+Table1[[#This Row],[Steps]]),
))</f>
        <v>25</v>
      </c>
      <c r="F2608">
        <f>IF(Table1[[#This Row],[New Pos L]]&lt;&gt;0,Table1[[#This Row],[New Pos L]],Table1[[#This Row],[New Pos R]])</f>
        <v>25</v>
      </c>
    </row>
    <row r="2609" spans="1:6" ht="16" x14ac:dyDescent="0.2">
      <c r="A2609" s="1" t="s">
        <v>309</v>
      </c>
      <c r="B2609" t="str">
        <f>LEFT(Table1[[#This Row],[Input]],1)</f>
        <v>L</v>
      </c>
      <c r="C2609">
        <f>_xlfn.LET(_xlpm.steps,SUBSTITUTE(Table1[[#This Row],[Input]],Table1[[#This Row],[Direction]],""),VALUE(IF(LEN(_xlpm.steps)&gt;2,RIGHT(_xlpm.steps,2),_xlpm.steps)))</f>
        <v>41</v>
      </c>
      <c r="D2609">
        <f>_xlfn.LET(_xlpm.dir,Table1[[#This Row],[Direction]],
IF(_xlpm.dir="L",
    IF(F2608-Table1[[#This Row],[Steps]]&lt;0,100+(F2608-Table1[[#This Row],[Steps]]),F2608-Table1[[#This Row],[Steps]]),
))</f>
        <v>84</v>
      </c>
      <c r="E2609">
        <f>_xlfn.LET(_xlpm.dir,Table1[[#This Row],[Direction]],
IF(_xlpm.dir="R",
    IF(F2608+Table1[[#This Row],[Steps]]&gt;99,(F2608+Table1[[#This Row],[Steps]])-100,F2608+Table1[[#This Row],[Steps]]),
))</f>
        <v>0</v>
      </c>
      <c r="F2609">
        <f>IF(Table1[[#This Row],[New Pos L]]&lt;&gt;0,Table1[[#This Row],[New Pos L]],Table1[[#This Row],[New Pos R]])</f>
        <v>84</v>
      </c>
    </row>
    <row r="2610" spans="1:6" ht="16" x14ac:dyDescent="0.2">
      <c r="A2610" s="1" t="s">
        <v>634</v>
      </c>
      <c r="B2610" t="str">
        <f>LEFT(Table1[[#This Row],[Input]],1)</f>
        <v>R</v>
      </c>
      <c r="C2610">
        <f>_xlfn.LET(_xlpm.steps,SUBSTITUTE(Table1[[#This Row],[Input]],Table1[[#This Row],[Direction]],""),VALUE(IF(LEN(_xlpm.steps)&gt;2,RIGHT(_xlpm.steps,2),_xlpm.steps)))</f>
        <v>63</v>
      </c>
      <c r="D2610">
        <f>_xlfn.LET(_xlpm.dir,Table1[[#This Row],[Direction]],
IF(_xlpm.dir="L",
    IF(F2609-Table1[[#This Row],[Steps]]&lt;0,100+(F2609-Table1[[#This Row],[Steps]]),F2609-Table1[[#This Row],[Steps]]),
))</f>
        <v>0</v>
      </c>
      <c r="E2610">
        <f>_xlfn.LET(_xlpm.dir,Table1[[#This Row],[Direction]],
IF(_xlpm.dir="R",
    IF(F2609+Table1[[#This Row],[Steps]]&gt;99,(F2609+Table1[[#This Row],[Steps]])-100,F2609+Table1[[#This Row],[Steps]]),
))</f>
        <v>47</v>
      </c>
      <c r="F2610">
        <f>IF(Table1[[#This Row],[New Pos L]]&lt;&gt;0,Table1[[#This Row],[New Pos L]],Table1[[#This Row],[New Pos R]])</f>
        <v>47</v>
      </c>
    </row>
    <row r="2611" spans="1:6" ht="16" x14ac:dyDescent="0.2">
      <c r="A2611" s="1" t="s">
        <v>15</v>
      </c>
      <c r="B2611" t="str">
        <f>LEFT(Table1[[#This Row],[Input]],1)</f>
        <v>R</v>
      </c>
      <c r="C2611">
        <f>_xlfn.LET(_xlpm.steps,SUBSTITUTE(Table1[[#This Row],[Input]],Table1[[#This Row],[Direction]],""),VALUE(IF(LEN(_xlpm.steps)&gt;2,RIGHT(_xlpm.steps,2),_xlpm.steps)))</f>
        <v>36</v>
      </c>
      <c r="D2611">
        <f>_xlfn.LET(_xlpm.dir,Table1[[#This Row],[Direction]],
IF(_xlpm.dir="L",
    IF(F2610-Table1[[#This Row],[Steps]]&lt;0,100+(F2610-Table1[[#This Row],[Steps]]),F2610-Table1[[#This Row],[Steps]]),
))</f>
        <v>0</v>
      </c>
      <c r="E2611">
        <f>_xlfn.LET(_xlpm.dir,Table1[[#This Row],[Direction]],
IF(_xlpm.dir="R",
    IF(F2610+Table1[[#This Row],[Steps]]&gt;99,(F2610+Table1[[#This Row],[Steps]])-100,F2610+Table1[[#This Row],[Steps]]),
))</f>
        <v>83</v>
      </c>
      <c r="F2611">
        <f>IF(Table1[[#This Row],[New Pos L]]&lt;&gt;0,Table1[[#This Row],[New Pos L]],Table1[[#This Row],[New Pos R]])</f>
        <v>83</v>
      </c>
    </row>
    <row r="2612" spans="1:6" ht="16" x14ac:dyDescent="0.2">
      <c r="A2612" s="1" t="s">
        <v>81</v>
      </c>
      <c r="B2612" t="str">
        <f>LEFT(Table1[[#This Row],[Input]],1)</f>
        <v>R</v>
      </c>
      <c r="C2612">
        <f>_xlfn.LET(_xlpm.steps,SUBSTITUTE(Table1[[#This Row],[Input]],Table1[[#This Row],[Direction]],""),VALUE(IF(LEN(_xlpm.steps)&gt;2,RIGHT(_xlpm.steps,2),_xlpm.steps)))</f>
        <v>17</v>
      </c>
      <c r="D2612">
        <f>_xlfn.LET(_xlpm.dir,Table1[[#This Row],[Direction]],
IF(_xlpm.dir="L",
    IF(F2611-Table1[[#This Row],[Steps]]&lt;0,100+(F2611-Table1[[#This Row],[Steps]]),F2611-Table1[[#This Row],[Steps]]),
))</f>
        <v>0</v>
      </c>
      <c r="E2612">
        <f>_xlfn.LET(_xlpm.dir,Table1[[#This Row],[Direction]],
IF(_xlpm.dir="R",
    IF(F2611+Table1[[#This Row],[Steps]]&gt;99,(F2611+Table1[[#This Row],[Steps]])-100,F2611+Table1[[#This Row],[Steps]]),
))</f>
        <v>0</v>
      </c>
      <c r="F2612">
        <f>IF(Table1[[#This Row],[New Pos L]]&lt;&gt;0,Table1[[#This Row],[New Pos L]],Table1[[#This Row],[New Pos R]])</f>
        <v>0</v>
      </c>
    </row>
    <row r="2613" spans="1:6" ht="16" x14ac:dyDescent="0.2">
      <c r="A2613" s="1" t="s">
        <v>344</v>
      </c>
      <c r="B2613" t="str">
        <f>LEFT(Table1[[#This Row],[Input]],1)</f>
        <v>R</v>
      </c>
      <c r="C2613">
        <f>_xlfn.LET(_xlpm.steps,SUBSTITUTE(Table1[[#This Row],[Input]],Table1[[#This Row],[Direction]],""),VALUE(IF(LEN(_xlpm.steps)&gt;2,RIGHT(_xlpm.steps,2),_xlpm.steps)))</f>
        <v>9</v>
      </c>
      <c r="D2613">
        <f>_xlfn.LET(_xlpm.dir,Table1[[#This Row],[Direction]],
IF(_xlpm.dir="L",
    IF(F2612-Table1[[#This Row],[Steps]]&lt;0,100+(F2612-Table1[[#This Row],[Steps]]),F2612-Table1[[#This Row],[Steps]]),
))</f>
        <v>0</v>
      </c>
      <c r="E2613">
        <f>_xlfn.LET(_xlpm.dir,Table1[[#This Row],[Direction]],
IF(_xlpm.dir="R",
    IF(F2612+Table1[[#This Row],[Steps]]&gt;99,(F2612+Table1[[#This Row],[Steps]])-100,F2612+Table1[[#This Row],[Steps]]),
))</f>
        <v>9</v>
      </c>
      <c r="F2613">
        <f>IF(Table1[[#This Row],[New Pos L]]&lt;&gt;0,Table1[[#This Row],[New Pos L]],Table1[[#This Row],[New Pos R]])</f>
        <v>9</v>
      </c>
    </row>
    <row r="2614" spans="1:6" ht="16" x14ac:dyDescent="0.2">
      <c r="A2614" s="1" t="s">
        <v>272</v>
      </c>
      <c r="B2614" t="str">
        <f>LEFT(Table1[[#This Row],[Input]],1)</f>
        <v>R</v>
      </c>
      <c r="C2614">
        <f>_xlfn.LET(_xlpm.steps,SUBSTITUTE(Table1[[#This Row],[Input]],Table1[[#This Row],[Direction]],""),VALUE(IF(LEN(_xlpm.steps)&gt;2,RIGHT(_xlpm.steps,2),_xlpm.steps)))</f>
        <v>56</v>
      </c>
      <c r="D2614">
        <f>_xlfn.LET(_xlpm.dir,Table1[[#This Row],[Direction]],
IF(_xlpm.dir="L",
    IF(F2613-Table1[[#This Row],[Steps]]&lt;0,100+(F2613-Table1[[#This Row],[Steps]]),F2613-Table1[[#This Row],[Steps]]),
))</f>
        <v>0</v>
      </c>
      <c r="E2614">
        <f>_xlfn.LET(_xlpm.dir,Table1[[#This Row],[Direction]],
IF(_xlpm.dir="R",
    IF(F2613+Table1[[#This Row],[Steps]]&gt;99,(F2613+Table1[[#This Row],[Steps]])-100,F2613+Table1[[#This Row],[Steps]]),
))</f>
        <v>65</v>
      </c>
      <c r="F2614">
        <f>IF(Table1[[#This Row],[New Pos L]]&lt;&gt;0,Table1[[#This Row],[New Pos L]],Table1[[#This Row],[New Pos R]])</f>
        <v>65</v>
      </c>
    </row>
    <row r="2615" spans="1:6" ht="16" x14ac:dyDescent="0.2">
      <c r="A2615" s="1" t="s">
        <v>82</v>
      </c>
      <c r="B2615" t="str">
        <f>LEFT(Table1[[#This Row],[Input]],1)</f>
        <v>L</v>
      </c>
      <c r="C2615">
        <f>_xlfn.LET(_xlpm.steps,SUBSTITUTE(Table1[[#This Row],[Input]],Table1[[#This Row],[Direction]],""),VALUE(IF(LEN(_xlpm.steps)&gt;2,RIGHT(_xlpm.steps,2),_xlpm.steps)))</f>
        <v>55</v>
      </c>
      <c r="D2615">
        <f>_xlfn.LET(_xlpm.dir,Table1[[#This Row],[Direction]],
IF(_xlpm.dir="L",
    IF(F2614-Table1[[#This Row],[Steps]]&lt;0,100+(F2614-Table1[[#This Row],[Steps]]),F2614-Table1[[#This Row],[Steps]]),
))</f>
        <v>10</v>
      </c>
      <c r="E2615">
        <f>_xlfn.LET(_xlpm.dir,Table1[[#This Row],[Direction]],
IF(_xlpm.dir="R",
    IF(F2614+Table1[[#This Row],[Steps]]&gt;99,(F2614+Table1[[#This Row],[Steps]])-100,F2614+Table1[[#This Row],[Steps]]),
))</f>
        <v>0</v>
      </c>
      <c r="F2615">
        <f>IF(Table1[[#This Row],[New Pos L]]&lt;&gt;0,Table1[[#This Row],[New Pos L]],Table1[[#This Row],[New Pos R]])</f>
        <v>10</v>
      </c>
    </row>
    <row r="2616" spans="1:6" ht="16" x14ac:dyDescent="0.2">
      <c r="A2616" s="1" t="s">
        <v>207</v>
      </c>
      <c r="B2616" t="str">
        <f>LEFT(Table1[[#This Row],[Input]],1)</f>
        <v>L</v>
      </c>
      <c r="C2616">
        <f>_xlfn.LET(_xlpm.steps,SUBSTITUTE(Table1[[#This Row],[Input]],Table1[[#This Row],[Direction]],""),VALUE(IF(LEN(_xlpm.steps)&gt;2,RIGHT(_xlpm.steps,2),_xlpm.steps)))</f>
        <v>89</v>
      </c>
      <c r="D2616">
        <f>_xlfn.LET(_xlpm.dir,Table1[[#This Row],[Direction]],
IF(_xlpm.dir="L",
    IF(F2615-Table1[[#This Row],[Steps]]&lt;0,100+(F2615-Table1[[#This Row],[Steps]]),F2615-Table1[[#This Row],[Steps]]),
))</f>
        <v>21</v>
      </c>
      <c r="E2616">
        <f>_xlfn.LET(_xlpm.dir,Table1[[#This Row],[Direction]],
IF(_xlpm.dir="R",
    IF(F2615+Table1[[#This Row],[Steps]]&gt;99,(F2615+Table1[[#This Row],[Steps]])-100,F2615+Table1[[#This Row],[Steps]]),
))</f>
        <v>0</v>
      </c>
      <c r="F2616">
        <f>IF(Table1[[#This Row],[New Pos L]]&lt;&gt;0,Table1[[#This Row],[New Pos L]],Table1[[#This Row],[New Pos R]])</f>
        <v>21</v>
      </c>
    </row>
    <row r="2617" spans="1:6" ht="16" x14ac:dyDescent="0.2">
      <c r="A2617" s="1" t="s">
        <v>264</v>
      </c>
      <c r="B2617" t="str">
        <f>LEFT(Table1[[#This Row],[Input]],1)</f>
        <v>L</v>
      </c>
      <c r="C2617">
        <f>_xlfn.LET(_xlpm.steps,SUBSTITUTE(Table1[[#This Row],[Input]],Table1[[#This Row],[Direction]],""),VALUE(IF(LEN(_xlpm.steps)&gt;2,RIGHT(_xlpm.steps,2),_xlpm.steps)))</f>
        <v>21</v>
      </c>
      <c r="D2617">
        <f>_xlfn.LET(_xlpm.dir,Table1[[#This Row],[Direction]],
IF(_xlpm.dir="L",
    IF(F2616-Table1[[#This Row],[Steps]]&lt;0,100+(F2616-Table1[[#This Row],[Steps]]),F2616-Table1[[#This Row],[Steps]]),
))</f>
        <v>0</v>
      </c>
      <c r="E2617">
        <f>_xlfn.LET(_xlpm.dir,Table1[[#This Row],[Direction]],
IF(_xlpm.dir="R",
    IF(F2616+Table1[[#This Row],[Steps]]&gt;99,(F2616+Table1[[#This Row],[Steps]])-100,F2616+Table1[[#This Row],[Steps]]),
))</f>
        <v>0</v>
      </c>
      <c r="F2617">
        <f>IF(Table1[[#This Row],[New Pos L]]&lt;&gt;0,Table1[[#This Row],[New Pos L]],Table1[[#This Row],[New Pos R]])</f>
        <v>0</v>
      </c>
    </row>
    <row r="2618" spans="1:6" ht="16" x14ac:dyDescent="0.2">
      <c r="A2618" s="1" t="s">
        <v>69</v>
      </c>
      <c r="B2618" t="str">
        <f>LEFT(Table1[[#This Row],[Input]],1)</f>
        <v>R</v>
      </c>
      <c r="C2618">
        <f>_xlfn.LET(_xlpm.steps,SUBSTITUTE(Table1[[#This Row],[Input]],Table1[[#This Row],[Direction]],""),VALUE(IF(LEN(_xlpm.steps)&gt;2,RIGHT(_xlpm.steps,2),_xlpm.steps)))</f>
        <v>27</v>
      </c>
      <c r="D2618">
        <f>_xlfn.LET(_xlpm.dir,Table1[[#This Row],[Direction]],
IF(_xlpm.dir="L",
    IF(F2617-Table1[[#This Row],[Steps]]&lt;0,100+(F2617-Table1[[#This Row],[Steps]]),F2617-Table1[[#This Row],[Steps]]),
))</f>
        <v>0</v>
      </c>
      <c r="E2618">
        <f>_xlfn.LET(_xlpm.dir,Table1[[#This Row],[Direction]],
IF(_xlpm.dir="R",
    IF(F2617+Table1[[#This Row],[Steps]]&gt;99,(F2617+Table1[[#This Row],[Steps]])-100,F2617+Table1[[#This Row],[Steps]]),
))</f>
        <v>27</v>
      </c>
      <c r="F2618">
        <f>IF(Table1[[#This Row],[New Pos L]]&lt;&gt;0,Table1[[#This Row],[New Pos L]],Table1[[#This Row],[New Pos R]])</f>
        <v>27</v>
      </c>
    </row>
    <row r="2619" spans="1:6" ht="16" x14ac:dyDescent="0.2">
      <c r="A2619" s="1" t="s">
        <v>381</v>
      </c>
      <c r="B2619" t="str">
        <f>LEFT(Table1[[#This Row],[Input]],1)</f>
        <v>R</v>
      </c>
      <c r="C2619">
        <f>_xlfn.LET(_xlpm.steps,SUBSTITUTE(Table1[[#This Row],[Input]],Table1[[#This Row],[Direction]],""),VALUE(IF(LEN(_xlpm.steps)&gt;2,RIGHT(_xlpm.steps,2),_xlpm.steps)))</f>
        <v>73</v>
      </c>
      <c r="D2619">
        <f>_xlfn.LET(_xlpm.dir,Table1[[#This Row],[Direction]],
IF(_xlpm.dir="L",
    IF(F2618-Table1[[#This Row],[Steps]]&lt;0,100+(F2618-Table1[[#This Row],[Steps]]),F2618-Table1[[#This Row],[Steps]]),
))</f>
        <v>0</v>
      </c>
      <c r="E2619">
        <f>_xlfn.LET(_xlpm.dir,Table1[[#This Row],[Direction]],
IF(_xlpm.dir="R",
    IF(F2618+Table1[[#This Row],[Steps]]&gt;99,(F2618+Table1[[#This Row],[Steps]])-100,F2618+Table1[[#This Row],[Steps]]),
))</f>
        <v>0</v>
      </c>
      <c r="F2619">
        <f>IF(Table1[[#This Row],[New Pos L]]&lt;&gt;0,Table1[[#This Row],[New Pos L]],Table1[[#This Row],[New Pos R]])</f>
        <v>0</v>
      </c>
    </row>
    <row r="2620" spans="1:6" ht="16" x14ac:dyDescent="0.2">
      <c r="A2620" s="1" t="s">
        <v>11</v>
      </c>
      <c r="B2620" t="str">
        <f>LEFT(Table1[[#This Row],[Input]],1)</f>
        <v>L</v>
      </c>
      <c r="C2620">
        <f>_xlfn.LET(_xlpm.steps,SUBSTITUTE(Table1[[#This Row],[Input]],Table1[[#This Row],[Direction]],""),VALUE(IF(LEN(_xlpm.steps)&gt;2,RIGHT(_xlpm.steps,2),_xlpm.steps)))</f>
        <v>34</v>
      </c>
      <c r="D2620">
        <f>_xlfn.LET(_xlpm.dir,Table1[[#This Row],[Direction]],
IF(_xlpm.dir="L",
    IF(F2619-Table1[[#This Row],[Steps]]&lt;0,100+(F2619-Table1[[#This Row],[Steps]]),F2619-Table1[[#This Row],[Steps]]),
))</f>
        <v>66</v>
      </c>
      <c r="E2620">
        <f>_xlfn.LET(_xlpm.dir,Table1[[#This Row],[Direction]],
IF(_xlpm.dir="R",
    IF(F2619+Table1[[#This Row],[Steps]]&gt;99,(F2619+Table1[[#This Row],[Steps]])-100,F2619+Table1[[#This Row],[Steps]]),
))</f>
        <v>0</v>
      </c>
      <c r="F2620">
        <f>IF(Table1[[#This Row],[New Pos L]]&lt;&gt;0,Table1[[#This Row],[New Pos L]],Table1[[#This Row],[New Pos R]])</f>
        <v>66</v>
      </c>
    </row>
    <row r="2621" spans="1:6" ht="16" x14ac:dyDescent="0.2">
      <c r="A2621" s="1" t="s">
        <v>279</v>
      </c>
      <c r="B2621" t="str">
        <f>LEFT(Table1[[#This Row],[Input]],1)</f>
        <v>R</v>
      </c>
      <c r="C2621">
        <f>_xlfn.LET(_xlpm.steps,SUBSTITUTE(Table1[[#This Row],[Input]],Table1[[#This Row],[Direction]],""),VALUE(IF(LEN(_xlpm.steps)&gt;2,RIGHT(_xlpm.steps,2),_xlpm.steps)))</f>
        <v>34</v>
      </c>
      <c r="D2621">
        <f>_xlfn.LET(_xlpm.dir,Table1[[#This Row],[Direction]],
IF(_xlpm.dir="L",
    IF(F2620-Table1[[#This Row],[Steps]]&lt;0,100+(F2620-Table1[[#This Row],[Steps]]),F2620-Table1[[#This Row],[Steps]]),
))</f>
        <v>0</v>
      </c>
      <c r="E2621">
        <f>_xlfn.LET(_xlpm.dir,Table1[[#This Row],[Direction]],
IF(_xlpm.dir="R",
    IF(F2620+Table1[[#This Row],[Steps]]&gt;99,(F2620+Table1[[#This Row],[Steps]])-100,F2620+Table1[[#This Row],[Steps]]),
))</f>
        <v>0</v>
      </c>
      <c r="F2621">
        <f>IF(Table1[[#This Row],[New Pos L]]&lt;&gt;0,Table1[[#This Row],[New Pos L]],Table1[[#This Row],[New Pos R]])</f>
        <v>0</v>
      </c>
    </row>
    <row r="2622" spans="1:6" ht="16" x14ac:dyDescent="0.2">
      <c r="A2622" s="1" t="s">
        <v>635</v>
      </c>
      <c r="B2622" t="str">
        <f>LEFT(Table1[[#This Row],[Input]],1)</f>
        <v>R</v>
      </c>
      <c r="C2622">
        <f>_xlfn.LET(_xlpm.steps,SUBSTITUTE(Table1[[#This Row],[Input]],Table1[[#This Row],[Direction]],""),VALUE(IF(LEN(_xlpm.steps)&gt;2,RIGHT(_xlpm.steps,2),_xlpm.steps)))</f>
        <v>23</v>
      </c>
      <c r="D2622">
        <f>_xlfn.LET(_xlpm.dir,Table1[[#This Row],[Direction]],
IF(_xlpm.dir="L",
    IF(F2621-Table1[[#This Row],[Steps]]&lt;0,100+(F2621-Table1[[#This Row],[Steps]]),F2621-Table1[[#This Row],[Steps]]),
))</f>
        <v>0</v>
      </c>
      <c r="E2622">
        <f>_xlfn.LET(_xlpm.dir,Table1[[#This Row],[Direction]],
IF(_xlpm.dir="R",
    IF(F2621+Table1[[#This Row],[Steps]]&gt;99,(F2621+Table1[[#This Row],[Steps]])-100,F2621+Table1[[#This Row],[Steps]]),
))</f>
        <v>23</v>
      </c>
      <c r="F2622">
        <f>IF(Table1[[#This Row],[New Pos L]]&lt;&gt;0,Table1[[#This Row],[New Pos L]],Table1[[#This Row],[New Pos R]])</f>
        <v>23</v>
      </c>
    </row>
    <row r="2623" spans="1:6" ht="16" x14ac:dyDescent="0.2">
      <c r="A2623" s="1" t="s">
        <v>60</v>
      </c>
      <c r="B2623" t="str">
        <f>LEFT(Table1[[#This Row],[Input]],1)</f>
        <v>R</v>
      </c>
      <c r="C2623">
        <f>_xlfn.LET(_xlpm.steps,SUBSTITUTE(Table1[[#This Row],[Input]],Table1[[#This Row],[Direction]],""),VALUE(IF(LEN(_xlpm.steps)&gt;2,RIGHT(_xlpm.steps,2),_xlpm.steps)))</f>
        <v>86</v>
      </c>
      <c r="D2623">
        <f>_xlfn.LET(_xlpm.dir,Table1[[#This Row],[Direction]],
IF(_xlpm.dir="L",
    IF(F2622-Table1[[#This Row],[Steps]]&lt;0,100+(F2622-Table1[[#This Row],[Steps]]),F2622-Table1[[#This Row],[Steps]]),
))</f>
        <v>0</v>
      </c>
      <c r="E2623">
        <f>_xlfn.LET(_xlpm.dir,Table1[[#This Row],[Direction]],
IF(_xlpm.dir="R",
    IF(F2622+Table1[[#This Row],[Steps]]&gt;99,(F2622+Table1[[#This Row],[Steps]])-100,F2622+Table1[[#This Row],[Steps]]),
))</f>
        <v>9</v>
      </c>
      <c r="F2623">
        <f>IF(Table1[[#This Row],[New Pos L]]&lt;&gt;0,Table1[[#This Row],[New Pos L]],Table1[[#This Row],[New Pos R]])</f>
        <v>9</v>
      </c>
    </row>
    <row r="2624" spans="1:6" ht="16" x14ac:dyDescent="0.2">
      <c r="A2624" s="1" t="s">
        <v>66</v>
      </c>
      <c r="B2624" t="str">
        <f>LEFT(Table1[[#This Row],[Input]],1)</f>
        <v>R</v>
      </c>
      <c r="C2624">
        <f>_xlfn.LET(_xlpm.steps,SUBSTITUTE(Table1[[#This Row],[Input]],Table1[[#This Row],[Direction]],""),VALUE(IF(LEN(_xlpm.steps)&gt;2,RIGHT(_xlpm.steps,2),_xlpm.steps)))</f>
        <v>45</v>
      </c>
      <c r="D2624">
        <f>_xlfn.LET(_xlpm.dir,Table1[[#This Row],[Direction]],
IF(_xlpm.dir="L",
    IF(F2623-Table1[[#This Row],[Steps]]&lt;0,100+(F2623-Table1[[#This Row],[Steps]]),F2623-Table1[[#This Row],[Steps]]),
))</f>
        <v>0</v>
      </c>
      <c r="E2624">
        <f>_xlfn.LET(_xlpm.dir,Table1[[#This Row],[Direction]],
IF(_xlpm.dir="R",
    IF(F2623+Table1[[#This Row],[Steps]]&gt;99,(F2623+Table1[[#This Row],[Steps]])-100,F2623+Table1[[#This Row],[Steps]]),
))</f>
        <v>54</v>
      </c>
      <c r="F2624">
        <f>IF(Table1[[#This Row],[New Pos L]]&lt;&gt;0,Table1[[#This Row],[New Pos L]],Table1[[#This Row],[New Pos R]])</f>
        <v>54</v>
      </c>
    </row>
    <row r="2625" spans="1:6" ht="16" x14ac:dyDescent="0.2">
      <c r="A2625" s="1" t="s">
        <v>20</v>
      </c>
      <c r="B2625" t="str">
        <f>LEFT(Table1[[#This Row],[Input]],1)</f>
        <v>R</v>
      </c>
      <c r="C2625">
        <f>_xlfn.LET(_xlpm.steps,SUBSTITUTE(Table1[[#This Row],[Input]],Table1[[#This Row],[Direction]],""),VALUE(IF(LEN(_xlpm.steps)&gt;2,RIGHT(_xlpm.steps,2),_xlpm.steps)))</f>
        <v>46</v>
      </c>
      <c r="D2625">
        <f>_xlfn.LET(_xlpm.dir,Table1[[#This Row],[Direction]],
IF(_xlpm.dir="L",
    IF(F2624-Table1[[#This Row],[Steps]]&lt;0,100+(F2624-Table1[[#This Row],[Steps]]),F2624-Table1[[#This Row],[Steps]]),
))</f>
        <v>0</v>
      </c>
      <c r="E2625">
        <f>_xlfn.LET(_xlpm.dir,Table1[[#This Row],[Direction]],
IF(_xlpm.dir="R",
    IF(F2624+Table1[[#This Row],[Steps]]&gt;99,(F2624+Table1[[#This Row],[Steps]])-100,F2624+Table1[[#This Row],[Steps]]),
))</f>
        <v>0</v>
      </c>
      <c r="F2625">
        <f>IF(Table1[[#This Row],[New Pos L]]&lt;&gt;0,Table1[[#This Row],[New Pos L]],Table1[[#This Row],[New Pos R]])</f>
        <v>0</v>
      </c>
    </row>
    <row r="2626" spans="1:6" ht="16" x14ac:dyDescent="0.2">
      <c r="A2626" s="1" t="s">
        <v>34</v>
      </c>
      <c r="B2626" t="str">
        <f>LEFT(Table1[[#This Row],[Input]],1)</f>
        <v>L</v>
      </c>
      <c r="C2626">
        <f>_xlfn.LET(_xlpm.steps,SUBSTITUTE(Table1[[#This Row],[Input]],Table1[[#This Row],[Direction]],""),VALUE(IF(LEN(_xlpm.steps)&gt;2,RIGHT(_xlpm.steps,2),_xlpm.steps)))</f>
        <v>15</v>
      </c>
      <c r="D2626">
        <f>_xlfn.LET(_xlpm.dir,Table1[[#This Row],[Direction]],
IF(_xlpm.dir="L",
    IF(F2625-Table1[[#This Row],[Steps]]&lt;0,100+(F2625-Table1[[#This Row],[Steps]]),F2625-Table1[[#This Row],[Steps]]),
))</f>
        <v>85</v>
      </c>
      <c r="E2626">
        <f>_xlfn.LET(_xlpm.dir,Table1[[#This Row],[Direction]],
IF(_xlpm.dir="R",
    IF(F2625+Table1[[#This Row],[Steps]]&gt;99,(F2625+Table1[[#This Row],[Steps]])-100,F2625+Table1[[#This Row],[Steps]]),
))</f>
        <v>0</v>
      </c>
      <c r="F2626">
        <f>IF(Table1[[#This Row],[New Pos L]]&lt;&gt;0,Table1[[#This Row],[New Pos L]],Table1[[#This Row],[New Pos R]])</f>
        <v>85</v>
      </c>
    </row>
    <row r="2627" spans="1:6" ht="16" x14ac:dyDescent="0.2">
      <c r="A2627" s="1" t="s">
        <v>76</v>
      </c>
      <c r="B2627" t="str">
        <f>LEFT(Table1[[#This Row],[Input]],1)</f>
        <v>R</v>
      </c>
      <c r="C2627">
        <f>_xlfn.LET(_xlpm.steps,SUBSTITUTE(Table1[[#This Row],[Input]],Table1[[#This Row],[Direction]],""),VALUE(IF(LEN(_xlpm.steps)&gt;2,RIGHT(_xlpm.steps,2),_xlpm.steps)))</f>
        <v>37</v>
      </c>
      <c r="D2627">
        <f>_xlfn.LET(_xlpm.dir,Table1[[#This Row],[Direction]],
IF(_xlpm.dir="L",
    IF(F2626-Table1[[#This Row],[Steps]]&lt;0,100+(F2626-Table1[[#This Row],[Steps]]),F2626-Table1[[#This Row],[Steps]]),
))</f>
        <v>0</v>
      </c>
      <c r="E2627">
        <f>_xlfn.LET(_xlpm.dir,Table1[[#This Row],[Direction]],
IF(_xlpm.dir="R",
    IF(F2626+Table1[[#This Row],[Steps]]&gt;99,(F2626+Table1[[#This Row],[Steps]])-100,F2626+Table1[[#This Row],[Steps]]),
))</f>
        <v>22</v>
      </c>
      <c r="F2627">
        <f>IF(Table1[[#This Row],[New Pos L]]&lt;&gt;0,Table1[[#This Row],[New Pos L]],Table1[[#This Row],[New Pos R]])</f>
        <v>22</v>
      </c>
    </row>
    <row r="2628" spans="1:6" ht="16" x14ac:dyDescent="0.2">
      <c r="A2628" s="1" t="s">
        <v>636</v>
      </c>
      <c r="B2628" t="str">
        <f>LEFT(Table1[[#This Row],[Input]],1)</f>
        <v>L</v>
      </c>
      <c r="C2628">
        <f>_xlfn.LET(_xlpm.steps,SUBSTITUTE(Table1[[#This Row],[Input]],Table1[[#This Row],[Direction]],""),VALUE(IF(LEN(_xlpm.steps)&gt;2,RIGHT(_xlpm.steps,2),_xlpm.steps)))</f>
        <v>27</v>
      </c>
      <c r="D2628">
        <f>_xlfn.LET(_xlpm.dir,Table1[[#This Row],[Direction]],
IF(_xlpm.dir="L",
    IF(F2627-Table1[[#This Row],[Steps]]&lt;0,100+(F2627-Table1[[#This Row],[Steps]]),F2627-Table1[[#This Row],[Steps]]),
))</f>
        <v>95</v>
      </c>
      <c r="E2628">
        <f>_xlfn.LET(_xlpm.dir,Table1[[#This Row],[Direction]],
IF(_xlpm.dir="R",
    IF(F2627+Table1[[#This Row],[Steps]]&gt;99,(F2627+Table1[[#This Row],[Steps]])-100,F2627+Table1[[#This Row],[Steps]]),
))</f>
        <v>0</v>
      </c>
      <c r="F2628">
        <f>IF(Table1[[#This Row],[New Pos L]]&lt;&gt;0,Table1[[#This Row],[New Pos L]],Table1[[#This Row],[New Pos R]])</f>
        <v>95</v>
      </c>
    </row>
    <row r="2629" spans="1:6" ht="16" x14ac:dyDescent="0.2">
      <c r="A2629" s="1" t="s">
        <v>134</v>
      </c>
      <c r="B2629" t="str">
        <f>LEFT(Table1[[#This Row],[Input]],1)</f>
        <v>L</v>
      </c>
      <c r="C2629">
        <f>_xlfn.LET(_xlpm.steps,SUBSTITUTE(Table1[[#This Row],[Input]],Table1[[#This Row],[Direction]],""),VALUE(IF(LEN(_xlpm.steps)&gt;2,RIGHT(_xlpm.steps,2),_xlpm.steps)))</f>
        <v>95</v>
      </c>
      <c r="D2629">
        <f>_xlfn.LET(_xlpm.dir,Table1[[#This Row],[Direction]],
IF(_xlpm.dir="L",
    IF(F2628-Table1[[#This Row],[Steps]]&lt;0,100+(F2628-Table1[[#This Row],[Steps]]),F2628-Table1[[#This Row],[Steps]]),
))</f>
        <v>0</v>
      </c>
      <c r="E2629">
        <f>_xlfn.LET(_xlpm.dir,Table1[[#This Row],[Direction]],
IF(_xlpm.dir="R",
    IF(F2628+Table1[[#This Row],[Steps]]&gt;99,(F2628+Table1[[#This Row],[Steps]])-100,F2628+Table1[[#This Row],[Steps]]),
))</f>
        <v>0</v>
      </c>
      <c r="F2629">
        <f>IF(Table1[[#This Row],[New Pos L]]&lt;&gt;0,Table1[[#This Row],[New Pos L]],Table1[[#This Row],[New Pos R]])</f>
        <v>0</v>
      </c>
    </row>
    <row r="2630" spans="1:6" ht="16" x14ac:dyDescent="0.2">
      <c r="A2630" s="1" t="s">
        <v>325</v>
      </c>
      <c r="B2630" t="str">
        <f>LEFT(Table1[[#This Row],[Input]],1)</f>
        <v>L</v>
      </c>
      <c r="C2630">
        <f>_xlfn.LET(_xlpm.steps,SUBSTITUTE(Table1[[#This Row],[Input]],Table1[[#This Row],[Direction]],""),VALUE(IF(LEN(_xlpm.steps)&gt;2,RIGHT(_xlpm.steps,2),_xlpm.steps)))</f>
        <v>68</v>
      </c>
      <c r="D2630">
        <f>_xlfn.LET(_xlpm.dir,Table1[[#This Row],[Direction]],
IF(_xlpm.dir="L",
    IF(F2629-Table1[[#This Row],[Steps]]&lt;0,100+(F2629-Table1[[#This Row],[Steps]]),F2629-Table1[[#This Row],[Steps]]),
))</f>
        <v>32</v>
      </c>
      <c r="E2630">
        <f>_xlfn.LET(_xlpm.dir,Table1[[#This Row],[Direction]],
IF(_xlpm.dir="R",
    IF(F2629+Table1[[#This Row],[Steps]]&gt;99,(F2629+Table1[[#This Row],[Steps]])-100,F2629+Table1[[#This Row],[Steps]]),
))</f>
        <v>0</v>
      </c>
      <c r="F2630">
        <f>IF(Table1[[#This Row],[New Pos L]]&lt;&gt;0,Table1[[#This Row],[New Pos L]],Table1[[#This Row],[New Pos R]])</f>
        <v>32</v>
      </c>
    </row>
    <row r="2631" spans="1:6" ht="16" x14ac:dyDescent="0.2">
      <c r="A2631" s="1" t="s">
        <v>191</v>
      </c>
      <c r="B2631" t="str">
        <f>LEFT(Table1[[#This Row],[Input]],1)</f>
        <v>L</v>
      </c>
      <c r="C2631">
        <f>_xlfn.LET(_xlpm.steps,SUBSTITUTE(Table1[[#This Row],[Input]],Table1[[#This Row],[Direction]],""),VALUE(IF(LEN(_xlpm.steps)&gt;2,RIGHT(_xlpm.steps,2),_xlpm.steps)))</f>
        <v>5</v>
      </c>
      <c r="D2631">
        <f>_xlfn.LET(_xlpm.dir,Table1[[#This Row],[Direction]],
IF(_xlpm.dir="L",
    IF(F2630-Table1[[#This Row],[Steps]]&lt;0,100+(F2630-Table1[[#This Row],[Steps]]),F2630-Table1[[#This Row],[Steps]]),
))</f>
        <v>27</v>
      </c>
      <c r="E2631">
        <f>_xlfn.LET(_xlpm.dir,Table1[[#This Row],[Direction]],
IF(_xlpm.dir="R",
    IF(F2630+Table1[[#This Row],[Steps]]&gt;99,(F2630+Table1[[#This Row],[Steps]])-100,F2630+Table1[[#This Row],[Steps]]),
))</f>
        <v>0</v>
      </c>
      <c r="F2631">
        <f>IF(Table1[[#This Row],[New Pos L]]&lt;&gt;0,Table1[[#This Row],[New Pos L]],Table1[[#This Row],[New Pos R]])</f>
        <v>27</v>
      </c>
    </row>
    <row r="2632" spans="1:6" ht="16" x14ac:dyDescent="0.2">
      <c r="A2632" s="1" t="s">
        <v>70</v>
      </c>
      <c r="B2632" t="str">
        <f>LEFT(Table1[[#This Row],[Input]],1)</f>
        <v>R</v>
      </c>
      <c r="C2632">
        <f>_xlfn.LET(_xlpm.steps,SUBSTITUTE(Table1[[#This Row],[Input]],Table1[[#This Row],[Direction]],""),VALUE(IF(LEN(_xlpm.steps)&gt;2,RIGHT(_xlpm.steps,2),_xlpm.steps)))</f>
        <v>73</v>
      </c>
      <c r="D2632">
        <f>_xlfn.LET(_xlpm.dir,Table1[[#This Row],[Direction]],
IF(_xlpm.dir="L",
    IF(F2631-Table1[[#This Row],[Steps]]&lt;0,100+(F2631-Table1[[#This Row],[Steps]]),F2631-Table1[[#This Row],[Steps]]),
))</f>
        <v>0</v>
      </c>
      <c r="E2632">
        <f>_xlfn.LET(_xlpm.dir,Table1[[#This Row],[Direction]],
IF(_xlpm.dir="R",
    IF(F2631+Table1[[#This Row],[Steps]]&gt;99,(F2631+Table1[[#This Row],[Steps]])-100,F2631+Table1[[#This Row],[Steps]]),
))</f>
        <v>0</v>
      </c>
      <c r="F2632">
        <f>IF(Table1[[#This Row],[New Pos L]]&lt;&gt;0,Table1[[#This Row],[New Pos L]],Table1[[#This Row],[New Pos R]])</f>
        <v>0</v>
      </c>
    </row>
    <row r="2633" spans="1:6" ht="16" x14ac:dyDescent="0.2">
      <c r="A2633" s="1" t="s">
        <v>637</v>
      </c>
      <c r="B2633" t="str">
        <f>LEFT(Table1[[#This Row],[Input]],1)</f>
        <v>R</v>
      </c>
      <c r="C2633">
        <f>_xlfn.LET(_xlpm.steps,SUBSTITUTE(Table1[[#This Row],[Input]],Table1[[#This Row],[Direction]],""),VALUE(IF(LEN(_xlpm.steps)&gt;2,RIGHT(_xlpm.steps,2),_xlpm.steps)))</f>
        <v>73</v>
      </c>
      <c r="D2633">
        <f>_xlfn.LET(_xlpm.dir,Table1[[#This Row],[Direction]],
IF(_xlpm.dir="L",
    IF(F2632-Table1[[#This Row],[Steps]]&lt;0,100+(F2632-Table1[[#This Row],[Steps]]),F2632-Table1[[#This Row],[Steps]]),
))</f>
        <v>0</v>
      </c>
      <c r="E2633">
        <f>_xlfn.LET(_xlpm.dir,Table1[[#This Row],[Direction]],
IF(_xlpm.dir="R",
    IF(F2632+Table1[[#This Row],[Steps]]&gt;99,(F2632+Table1[[#This Row],[Steps]])-100,F2632+Table1[[#This Row],[Steps]]),
))</f>
        <v>73</v>
      </c>
      <c r="F2633">
        <f>IF(Table1[[#This Row],[New Pos L]]&lt;&gt;0,Table1[[#This Row],[New Pos L]],Table1[[#This Row],[New Pos R]])</f>
        <v>73</v>
      </c>
    </row>
    <row r="2634" spans="1:6" ht="16" x14ac:dyDescent="0.2">
      <c r="A2634" s="1" t="s">
        <v>69</v>
      </c>
      <c r="B2634" t="str">
        <f>LEFT(Table1[[#This Row],[Input]],1)</f>
        <v>R</v>
      </c>
      <c r="C2634">
        <f>_xlfn.LET(_xlpm.steps,SUBSTITUTE(Table1[[#This Row],[Input]],Table1[[#This Row],[Direction]],""),VALUE(IF(LEN(_xlpm.steps)&gt;2,RIGHT(_xlpm.steps,2),_xlpm.steps)))</f>
        <v>27</v>
      </c>
      <c r="D2634">
        <f>_xlfn.LET(_xlpm.dir,Table1[[#This Row],[Direction]],
IF(_xlpm.dir="L",
    IF(F2633-Table1[[#This Row],[Steps]]&lt;0,100+(F2633-Table1[[#This Row],[Steps]]),F2633-Table1[[#This Row],[Steps]]),
))</f>
        <v>0</v>
      </c>
      <c r="E2634">
        <f>_xlfn.LET(_xlpm.dir,Table1[[#This Row],[Direction]],
IF(_xlpm.dir="R",
    IF(F2633+Table1[[#This Row],[Steps]]&gt;99,(F2633+Table1[[#This Row],[Steps]])-100,F2633+Table1[[#This Row],[Steps]]),
))</f>
        <v>0</v>
      </c>
      <c r="F2634">
        <f>IF(Table1[[#This Row],[New Pos L]]&lt;&gt;0,Table1[[#This Row],[New Pos L]],Table1[[#This Row],[New Pos R]])</f>
        <v>0</v>
      </c>
    </row>
    <row r="2635" spans="1:6" ht="16" x14ac:dyDescent="0.2">
      <c r="A2635" s="1" t="s">
        <v>141</v>
      </c>
      <c r="B2635" t="str">
        <f>LEFT(Table1[[#This Row],[Input]],1)</f>
        <v>L</v>
      </c>
      <c r="C2635">
        <f>_xlfn.LET(_xlpm.steps,SUBSTITUTE(Table1[[#This Row],[Input]],Table1[[#This Row],[Direction]],""),VALUE(IF(LEN(_xlpm.steps)&gt;2,RIGHT(_xlpm.steps,2),_xlpm.steps)))</f>
        <v>90</v>
      </c>
      <c r="D2635">
        <f>_xlfn.LET(_xlpm.dir,Table1[[#This Row],[Direction]],
IF(_xlpm.dir="L",
    IF(F2634-Table1[[#This Row],[Steps]]&lt;0,100+(F2634-Table1[[#This Row],[Steps]]),F2634-Table1[[#This Row],[Steps]]),
))</f>
        <v>10</v>
      </c>
      <c r="E2635">
        <f>_xlfn.LET(_xlpm.dir,Table1[[#This Row],[Direction]],
IF(_xlpm.dir="R",
    IF(F2634+Table1[[#This Row],[Steps]]&gt;99,(F2634+Table1[[#This Row],[Steps]])-100,F2634+Table1[[#This Row],[Steps]]),
))</f>
        <v>0</v>
      </c>
      <c r="F2635">
        <f>IF(Table1[[#This Row],[New Pos L]]&lt;&gt;0,Table1[[#This Row],[New Pos L]],Table1[[#This Row],[New Pos R]])</f>
        <v>10</v>
      </c>
    </row>
    <row r="2636" spans="1:6" ht="16" x14ac:dyDescent="0.2">
      <c r="A2636" s="1" t="s">
        <v>638</v>
      </c>
      <c r="B2636" t="str">
        <f>LEFT(Table1[[#This Row],[Input]],1)</f>
        <v>L</v>
      </c>
      <c r="C2636">
        <f>_xlfn.LET(_xlpm.steps,SUBSTITUTE(Table1[[#This Row],[Input]],Table1[[#This Row],[Direction]],""),VALUE(IF(LEN(_xlpm.steps)&gt;2,RIGHT(_xlpm.steps,2),_xlpm.steps)))</f>
        <v>91</v>
      </c>
      <c r="D2636">
        <f>_xlfn.LET(_xlpm.dir,Table1[[#This Row],[Direction]],
IF(_xlpm.dir="L",
    IF(F2635-Table1[[#This Row],[Steps]]&lt;0,100+(F2635-Table1[[#This Row],[Steps]]),F2635-Table1[[#This Row],[Steps]]),
))</f>
        <v>19</v>
      </c>
      <c r="E2636">
        <f>_xlfn.LET(_xlpm.dir,Table1[[#This Row],[Direction]],
IF(_xlpm.dir="R",
    IF(F2635+Table1[[#This Row],[Steps]]&gt;99,(F2635+Table1[[#This Row],[Steps]])-100,F2635+Table1[[#This Row],[Steps]]),
))</f>
        <v>0</v>
      </c>
      <c r="F2636">
        <f>IF(Table1[[#This Row],[New Pos L]]&lt;&gt;0,Table1[[#This Row],[New Pos L]],Table1[[#This Row],[New Pos R]])</f>
        <v>19</v>
      </c>
    </row>
    <row r="2637" spans="1:6" ht="16" x14ac:dyDescent="0.2">
      <c r="A2637" s="1" t="s">
        <v>183</v>
      </c>
      <c r="B2637" t="str">
        <f>LEFT(Table1[[#This Row],[Input]],1)</f>
        <v>L</v>
      </c>
      <c r="C2637">
        <f>_xlfn.LET(_xlpm.steps,SUBSTITUTE(Table1[[#This Row],[Input]],Table1[[#This Row],[Direction]],""),VALUE(IF(LEN(_xlpm.steps)&gt;2,RIGHT(_xlpm.steps,2),_xlpm.steps)))</f>
        <v>67</v>
      </c>
      <c r="D2637">
        <f>_xlfn.LET(_xlpm.dir,Table1[[#This Row],[Direction]],
IF(_xlpm.dir="L",
    IF(F2636-Table1[[#This Row],[Steps]]&lt;0,100+(F2636-Table1[[#This Row],[Steps]]),F2636-Table1[[#This Row],[Steps]]),
))</f>
        <v>52</v>
      </c>
      <c r="E2637">
        <f>_xlfn.LET(_xlpm.dir,Table1[[#This Row],[Direction]],
IF(_xlpm.dir="R",
    IF(F2636+Table1[[#This Row],[Steps]]&gt;99,(F2636+Table1[[#This Row],[Steps]])-100,F2636+Table1[[#This Row],[Steps]]),
))</f>
        <v>0</v>
      </c>
      <c r="F2637">
        <f>IF(Table1[[#This Row],[New Pos L]]&lt;&gt;0,Table1[[#This Row],[New Pos L]],Table1[[#This Row],[New Pos R]])</f>
        <v>52</v>
      </c>
    </row>
    <row r="2638" spans="1:6" ht="16" x14ac:dyDescent="0.2">
      <c r="A2638" s="1" t="s">
        <v>174</v>
      </c>
      <c r="B2638" t="str">
        <f>LEFT(Table1[[#This Row],[Input]],1)</f>
        <v>L</v>
      </c>
      <c r="C2638">
        <f>_xlfn.LET(_xlpm.steps,SUBSTITUTE(Table1[[#This Row],[Input]],Table1[[#This Row],[Direction]],""),VALUE(IF(LEN(_xlpm.steps)&gt;2,RIGHT(_xlpm.steps,2),_xlpm.steps)))</f>
        <v>92</v>
      </c>
      <c r="D2638">
        <f>_xlfn.LET(_xlpm.dir,Table1[[#This Row],[Direction]],
IF(_xlpm.dir="L",
    IF(F2637-Table1[[#This Row],[Steps]]&lt;0,100+(F2637-Table1[[#This Row],[Steps]]),F2637-Table1[[#This Row],[Steps]]),
))</f>
        <v>60</v>
      </c>
      <c r="E2638">
        <f>_xlfn.LET(_xlpm.dir,Table1[[#This Row],[Direction]],
IF(_xlpm.dir="R",
    IF(F2637+Table1[[#This Row],[Steps]]&gt;99,(F2637+Table1[[#This Row],[Steps]])-100,F2637+Table1[[#This Row],[Steps]]),
))</f>
        <v>0</v>
      </c>
      <c r="F2638">
        <f>IF(Table1[[#This Row],[New Pos L]]&lt;&gt;0,Table1[[#This Row],[New Pos L]],Table1[[#This Row],[New Pos R]])</f>
        <v>60</v>
      </c>
    </row>
    <row r="2639" spans="1:6" ht="16" x14ac:dyDescent="0.2">
      <c r="A2639" s="1" t="s">
        <v>276</v>
      </c>
      <c r="B2639" t="str">
        <f>LEFT(Table1[[#This Row],[Input]],1)</f>
        <v>L</v>
      </c>
      <c r="C2639">
        <f>_xlfn.LET(_xlpm.steps,SUBSTITUTE(Table1[[#This Row],[Input]],Table1[[#This Row],[Direction]],""),VALUE(IF(LEN(_xlpm.steps)&gt;2,RIGHT(_xlpm.steps,2),_xlpm.steps)))</f>
        <v>60</v>
      </c>
      <c r="D2639">
        <f>_xlfn.LET(_xlpm.dir,Table1[[#This Row],[Direction]],
IF(_xlpm.dir="L",
    IF(F2638-Table1[[#This Row],[Steps]]&lt;0,100+(F2638-Table1[[#This Row],[Steps]]),F2638-Table1[[#This Row],[Steps]]),
))</f>
        <v>0</v>
      </c>
      <c r="E2639">
        <f>_xlfn.LET(_xlpm.dir,Table1[[#This Row],[Direction]],
IF(_xlpm.dir="R",
    IF(F2638+Table1[[#This Row],[Steps]]&gt;99,(F2638+Table1[[#This Row],[Steps]])-100,F2638+Table1[[#This Row],[Steps]]),
))</f>
        <v>0</v>
      </c>
      <c r="F2639">
        <f>IF(Table1[[#This Row],[New Pos L]]&lt;&gt;0,Table1[[#This Row],[New Pos L]],Table1[[#This Row],[New Pos R]])</f>
        <v>0</v>
      </c>
    </row>
    <row r="2640" spans="1:6" ht="16" x14ac:dyDescent="0.2">
      <c r="A2640" s="1" t="s">
        <v>304</v>
      </c>
      <c r="B2640" t="str">
        <f>LEFT(Table1[[#This Row],[Input]],1)</f>
        <v>L</v>
      </c>
      <c r="C2640">
        <f>_xlfn.LET(_xlpm.steps,SUBSTITUTE(Table1[[#This Row],[Input]],Table1[[#This Row],[Direction]],""),VALUE(IF(LEN(_xlpm.steps)&gt;2,RIGHT(_xlpm.steps,2),_xlpm.steps)))</f>
        <v>26</v>
      </c>
      <c r="D2640">
        <f>_xlfn.LET(_xlpm.dir,Table1[[#This Row],[Direction]],
IF(_xlpm.dir="L",
    IF(F2639-Table1[[#This Row],[Steps]]&lt;0,100+(F2639-Table1[[#This Row],[Steps]]),F2639-Table1[[#This Row],[Steps]]),
))</f>
        <v>74</v>
      </c>
      <c r="E2640">
        <f>_xlfn.LET(_xlpm.dir,Table1[[#This Row],[Direction]],
IF(_xlpm.dir="R",
    IF(F2639+Table1[[#This Row],[Steps]]&gt;99,(F2639+Table1[[#This Row],[Steps]])-100,F2639+Table1[[#This Row],[Steps]]),
))</f>
        <v>0</v>
      </c>
      <c r="F2640">
        <f>IF(Table1[[#This Row],[New Pos L]]&lt;&gt;0,Table1[[#This Row],[New Pos L]],Table1[[#This Row],[New Pos R]])</f>
        <v>74</v>
      </c>
    </row>
    <row r="2641" spans="1:6" ht="16" x14ac:dyDescent="0.2">
      <c r="A2641" s="1" t="s">
        <v>3</v>
      </c>
      <c r="B2641" t="str">
        <f>LEFT(Table1[[#This Row],[Input]],1)</f>
        <v>R</v>
      </c>
      <c r="C2641">
        <f>_xlfn.LET(_xlpm.steps,SUBSTITUTE(Table1[[#This Row],[Input]],Table1[[#This Row],[Direction]],""),VALUE(IF(LEN(_xlpm.steps)&gt;2,RIGHT(_xlpm.steps,2),_xlpm.steps)))</f>
        <v>44</v>
      </c>
      <c r="D2641">
        <f>_xlfn.LET(_xlpm.dir,Table1[[#This Row],[Direction]],
IF(_xlpm.dir="L",
    IF(F2640-Table1[[#This Row],[Steps]]&lt;0,100+(F2640-Table1[[#This Row],[Steps]]),F2640-Table1[[#This Row],[Steps]]),
))</f>
        <v>0</v>
      </c>
      <c r="E2641">
        <f>_xlfn.LET(_xlpm.dir,Table1[[#This Row],[Direction]],
IF(_xlpm.dir="R",
    IF(F2640+Table1[[#This Row],[Steps]]&gt;99,(F2640+Table1[[#This Row],[Steps]])-100,F2640+Table1[[#This Row],[Steps]]),
))</f>
        <v>18</v>
      </c>
      <c r="F2641">
        <f>IF(Table1[[#This Row],[New Pos L]]&lt;&gt;0,Table1[[#This Row],[New Pos L]],Table1[[#This Row],[New Pos R]])</f>
        <v>18</v>
      </c>
    </row>
    <row r="2642" spans="1:6" ht="16" x14ac:dyDescent="0.2">
      <c r="A2642" s="1" t="s">
        <v>69</v>
      </c>
      <c r="B2642" t="str">
        <f>LEFT(Table1[[#This Row],[Input]],1)</f>
        <v>R</v>
      </c>
      <c r="C2642">
        <f>_xlfn.LET(_xlpm.steps,SUBSTITUTE(Table1[[#This Row],[Input]],Table1[[#This Row],[Direction]],""),VALUE(IF(LEN(_xlpm.steps)&gt;2,RIGHT(_xlpm.steps,2),_xlpm.steps)))</f>
        <v>27</v>
      </c>
      <c r="D2642">
        <f>_xlfn.LET(_xlpm.dir,Table1[[#This Row],[Direction]],
IF(_xlpm.dir="L",
    IF(F2641-Table1[[#This Row],[Steps]]&lt;0,100+(F2641-Table1[[#This Row],[Steps]]),F2641-Table1[[#This Row],[Steps]]),
))</f>
        <v>0</v>
      </c>
      <c r="E2642">
        <f>_xlfn.LET(_xlpm.dir,Table1[[#This Row],[Direction]],
IF(_xlpm.dir="R",
    IF(F2641+Table1[[#This Row],[Steps]]&gt;99,(F2641+Table1[[#This Row],[Steps]])-100,F2641+Table1[[#This Row],[Steps]]),
))</f>
        <v>45</v>
      </c>
      <c r="F2642">
        <f>IF(Table1[[#This Row],[New Pos L]]&lt;&gt;0,Table1[[#This Row],[New Pos L]],Table1[[#This Row],[New Pos R]])</f>
        <v>45</v>
      </c>
    </row>
    <row r="2643" spans="1:6" ht="16" x14ac:dyDescent="0.2">
      <c r="A2643" s="1" t="s">
        <v>165</v>
      </c>
      <c r="B2643" t="str">
        <f>LEFT(Table1[[#This Row],[Input]],1)</f>
        <v>R</v>
      </c>
      <c r="C2643">
        <f>_xlfn.LET(_xlpm.steps,SUBSTITUTE(Table1[[#This Row],[Input]],Table1[[#This Row],[Direction]],""),VALUE(IF(LEN(_xlpm.steps)&gt;2,RIGHT(_xlpm.steps,2),_xlpm.steps)))</f>
        <v>55</v>
      </c>
      <c r="D2643">
        <f>_xlfn.LET(_xlpm.dir,Table1[[#This Row],[Direction]],
IF(_xlpm.dir="L",
    IF(F2642-Table1[[#This Row],[Steps]]&lt;0,100+(F2642-Table1[[#This Row],[Steps]]),F2642-Table1[[#This Row],[Steps]]),
))</f>
        <v>0</v>
      </c>
      <c r="E2643">
        <f>_xlfn.LET(_xlpm.dir,Table1[[#This Row],[Direction]],
IF(_xlpm.dir="R",
    IF(F2642+Table1[[#This Row],[Steps]]&gt;99,(F2642+Table1[[#This Row],[Steps]])-100,F2642+Table1[[#This Row],[Steps]]),
))</f>
        <v>0</v>
      </c>
      <c r="F2643">
        <f>IF(Table1[[#This Row],[New Pos L]]&lt;&gt;0,Table1[[#This Row],[New Pos L]],Table1[[#This Row],[New Pos R]])</f>
        <v>0</v>
      </c>
    </row>
    <row r="2644" spans="1:6" ht="16" x14ac:dyDescent="0.2">
      <c r="A2644" s="1" t="s">
        <v>216</v>
      </c>
      <c r="B2644" t="str">
        <f>LEFT(Table1[[#This Row],[Input]],1)</f>
        <v>R</v>
      </c>
      <c r="C2644">
        <f>_xlfn.LET(_xlpm.steps,SUBSTITUTE(Table1[[#This Row],[Input]],Table1[[#This Row],[Direction]],""),VALUE(IF(LEN(_xlpm.steps)&gt;2,RIGHT(_xlpm.steps,2),_xlpm.steps)))</f>
        <v>54</v>
      </c>
      <c r="D2644">
        <f>_xlfn.LET(_xlpm.dir,Table1[[#This Row],[Direction]],
IF(_xlpm.dir="L",
    IF(F2643-Table1[[#This Row],[Steps]]&lt;0,100+(F2643-Table1[[#This Row],[Steps]]),F2643-Table1[[#This Row],[Steps]]),
))</f>
        <v>0</v>
      </c>
      <c r="E2644">
        <f>_xlfn.LET(_xlpm.dir,Table1[[#This Row],[Direction]],
IF(_xlpm.dir="R",
    IF(F2643+Table1[[#This Row],[Steps]]&gt;99,(F2643+Table1[[#This Row],[Steps]])-100,F2643+Table1[[#This Row],[Steps]]),
))</f>
        <v>54</v>
      </c>
      <c r="F2644">
        <f>IF(Table1[[#This Row],[New Pos L]]&lt;&gt;0,Table1[[#This Row],[New Pos L]],Table1[[#This Row],[New Pos R]])</f>
        <v>54</v>
      </c>
    </row>
    <row r="2645" spans="1:6" ht="16" x14ac:dyDescent="0.2">
      <c r="A2645" s="1" t="s">
        <v>4</v>
      </c>
      <c r="B2645" t="str">
        <f>LEFT(Table1[[#This Row],[Input]],1)</f>
        <v>R</v>
      </c>
      <c r="C2645">
        <f>_xlfn.LET(_xlpm.steps,SUBSTITUTE(Table1[[#This Row],[Input]],Table1[[#This Row],[Direction]],""),VALUE(IF(LEN(_xlpm.steps)&gt;2,RIGHT(_xlpm.steps,2),_xlpm.steps)))</f>
        <v>3</v>
      </c>
      <c r="D2645">
        <f>_xlfn.LET(_xlpm.dir,Table1[[#This Row],[Direction]],
IF(_xlpm.dir="L",
    IF(F2644-Table1[[#This Row],[Steps]]&lt;0,100+(F2644-Table1[[#This Row],[Steps]]),F2644-Table1[[#This Row],[Steps]]),
))</f>
        <v>0</v>
      </c>
      <c r="E2645">
        <f>_xlfn.LET(_xlpm.dir,Table1[[#This Row],[Direction]],
IF(_xlpm.dir="R",
    IF(F2644+Table1[[#This Row],[Steps]]&gt;99,(F2644+Table1[[#This Row],[Steps]])-100,F2644+Table1[[#This Row],[Steps]]),
))</f>
        <v>57</v>
      </c>
      <c r="F2645">
        <f>IF(Table1[[#This Row],[New Pos L]]&lt;&gt;0,Table1[[#This Row],[New Pos L]],Table1[[#This Row],[New Pos R]])</f>
        <v>57</v>
      </c>
    </row>
    <row r="2646" spans="1:6" ht="16" x14ac:dyDescent="0.2">
      <c r="A2646" s="1" t="s">
        <v>344</v>
      </c>
      <c r="B2646" t="str">
        <f>LEFT(Table1[[#This Row],[Input]],1)</f>
        <v>R</v>
      </c>
      <c r="C2646">
        <f>_xlfn.LET(_xlpm.steps,SUBSTITUTE(Table1[[#This Row],[Input]],Table1[[#This Row],[Direction]],""),VALUE(IF(LEN(_xlpm.steps)&gt;2,RIGHT(_xlpm.steps,2),_xlpm.steps)))</f>
        <v>9</v>
      </c>
      <c r="D2646">
        <f>_xlfn.LET(_xlpm.dir,Table1[[#This Row],[Direction]],
IF(_xlpm.dir="L",
    IF(F2645-Table1[[#This Row],[Steps]]&lt;0,100+(F2645-Table1[[#This Row],[Steps]]),F2645-Table1[[#This Row],[Steps]]),
))</f>
        <v>0</v>
      </c>
      <c r="E2646">
        <f>_xlfn.LET(_xlpm.dir,Table1[[#This Row],[Direction]],
IF(_xlpm.dir="R",
    IF(F2645+Table1[[#This Row],[Steps]]&gt;99,(F2645+Table1[[#This Row],[Steps]])-100,F2645+Table1[[#This Row],[Steps]]),
))</f>
        <v>66</v>
      </c>
      <c r="F2646">
        <f>IF(Table1[[#This Row],[New Pos L]]&lt;&gt;0,Table1[[#This Row],[New Pos L]],Table1[[#This Row],[New Pos R]])</f>
        <v>66</v>
      </c>
    </row>
    <row r="2647" spans="1:6" ht="16" x14ac:dyDescent="0.2">
      <c r="A2647" s="1" t="s">
        <v>16</v>
      </c>
      <c r="B2647" t="str">
        <f>LEFT(Table1[[#This Row],[Input]],1)</f>
        <v>L</v>
      </c>
      <c r="C2647">
        <f>_xlfn.LET(_xlpm.steps,SUBSTITUTE(Table1[[#This Row],[Input]],Table1[[#This Row],[Direction]],""),VALUE(IF(LEN(_xlpm.steps)&gt;2,RIGHT(_xlpm.steps,2),_xlpm.steps)))</f>
        <v>10</v>
      </c>
      <c r="D2647">
        <f>_xlfn.LET(_xlpm.dir,Table1[[#This Row],[Direction]],
IF(_xlpm.dir="L",
    IF(F2646-Table1[[#This Row],[Steps]]&lt;0,100+(F2646-Table1[[#This Row],[Steps]]),F2646-Table1[[#This Row],[Steps]]),
))</f>
        <v>56</v>
      </c>
      <c r="E2647">
        <f>_xlfn.LET(_xlpm.dir,Table1[[#This Row],[Direction]],
IF(_xlpm.dir="R",
    IF(F2646+Table1[[#This Row],[Steps]]&gt;99,(F2646+Table1[[#This Row],[Steps]])-100,F2646+Table1[[#This Row],[Steps]]),
))</f>
        <v>0</v>
      </c>
      <c r="F2647">
        <f>IF(Table1[[#This Row],[New Pos L]]&lt;&gt;0,Table1[[#This Row],[New Pos L]],Table1[[#This Row],[New Pos R]])</f>
        <v>56</v>
      </c>
    </row>
    <row r="2648" spans="1:6" ht="16" x14ac:dyDescent="0.2">
      <c r="A2648" s="1" t="s">
        <v>3</v>
      </c>
      <c r="B2648" t="str">
        <f>LEFT(Table1[[#This Row],[Input]],1)</f>
        <v>R</v>
      </c>
      <c r="C2648">
        <f>_xlfn.LET(_xlpm.steps,SUBSTITUTE(Table1[[#This Row],[Input]],Table1[[#This Row],[Direction]],""),VALUE(IF(LEN(_xlpm.steps)&gt;2,RIGHT(_xlpm.steps,2),_xlpm.steps)))</f>
        <v>44</v>
      </c>
      <c r="D2648">
        <f>_xlfn.LET(_xlpm.dir,Table1[[#This Row],[Direction]],
IF(_xlpm.dir="L",
    IF(F2647-Table1[[#This Row],[Steps]]&lt;0,100+(F2647-Table1[[#This Row],[Steps]]),F2647-Table1[[#This Row],[Steps]]),
))</f>
        <v>0</v>
      </c>
      <c r="E2648">
        <f>_xlfn.LET(_xlpm.dir,Table1[[#This Row],[Direction]],
IF(_xlpm.dir="R",
    IF(F2647+Table1[[#This Row],[Steps]]&gt;99,(F2647+Table1[[#This Row],[Steps]])-100,F2647+Table1[[#This Row],[Steps]]),
))</f>
        <v>0</v>
      </c>
      <c r="F2648">
        <f>IF(Table1[[#This Row],[New Pos L]]&lt;&gt;0,Table1[[#This Row],[New Pos L]],Table1[[#This Row],[New Pos R]])</f>
        <v>0</v>
      </c>
    </row>
    <row r="2649" spans="1:6" ht="16" x14ac:dyDescent="0.2">
      <c r="A2649" s="1" t="s">
        <v>81</v>
      </c>
      <c r="B2649" t="str">
        <f>LEFT(Table1[[#This Row],[Input]],1)</f>
        <v>R</v>
      </c>
      <c r="C2649">
        <f>_xlfn.LET(_xlpm.steps,SUBSTITUTE(Table1[[#This Row],[Input]],Table1[[#This Row],[Direction]],""),VALUE(IF(LEN(_xlpm.steps)&gt;2,RIGHT(_xlpm.steps,2),_xlpm.steps)))</f>
        <v>17</v>
      </c>
      <c r="D2649">
        <f>_xlfn.LET(_xlpm.dir,Table1[[#This Row],[Direction]],
IF(_xlpm.dir="L",
    IF(F2648-Table1[[#This Row],[Steps]]&lt;0,100+(F2648-Table1[[#This Row],[Steps]]),F2648-Table1[[#This Row],[Steps]]),
))</f>
        <v>0</v>
      </c>
      <c r="E2649">
        <f>_xlfn.LET(_xlpm.dir,Table1[[#This Row],[Direction]],
IF(_xlpm.dir="R",
    IF(F2648+Table1[[#This Row],[Steps]]&gt;99,(F2648+Table1[[#This Row],[Steps]])-100,F2648+Table1[[#This Row],[Steps]]),
))</f>
        <v>17</v>
      </c>
      <c r="F2649">
        <f>IF(Table1[[#This Row],[New Pos L]]&lt;&gt;0,Table1[[#This Row],[New Pos L]],Table1[[#This Row],[New Pos R]])</f>
        <v>17</v>
      </c>
    </row>
    <row r="2650" spans="1:6" ht="16" x14ac:dyDescent="0.2">
      <c r="A2650" s="1" t="s">
        <v>462</v>
      </c>
      <c r="B2650" t="str">
        <f>LEFT(Table1[[#This Row],[Input]],1)</f>
        <v>L</v>
      </c>
      <c r="C2650">
        <f>_xlfn.LET(_xlpm.steps,SUBSTITUTE(Table1[[#This Row],[Input]],Table1[[#This Row],[Direction]],""),VALUE(IF(LEN(_xlpm.steps)&gt;2,RIGHT(_xlpm.steps,2),_xlpm.steps)))</f>
        <v>17</v>
      </c>
      <c r="D2650">
        <f>_xlfn.LET(_xlpm.dir,Table1[[#This Row],[Direction]],
IF(_xlpm.dir="L",
    IF(F2649-Table1[[#This Row],[Steps]]&lt;0,100+(F2649-Table1[[#This Row],[Steps]]),F2649-Table1[[#This Row],[Steps]]),
))</f>
        <v>0</v>
      </c>
      <c r="E2650">
        <f>_xlfn.LET(_xlpm.dir,Table1[[#This Row],[Direction]],
IF(_xlpm.dir="R",
    IF(F2649+Table1[[#This Row],[Steps]]&gt;99,(F2649+Table1[[#This Row],[Steps]])-100,F2649+Table1[[#This Row],[Steps]]),
))</f>
        <v>0</v>
      </c>
      <c r="F2650">
        <f>IF(Table1[[#This Row],[New Pos L]]&lt;&gt;0,Table1[[#This Row],[New Pos L]],Table1[[#This Row],[New Pos R]])</f>
        <v>0</v>
      </c>
    </row>
    <row r="2651" spans="1:6" ht="16" x14ac:dyDescent="0.2">
      <c r="A2651" s="1" t="s">
        <v>140</v>
      </c>
      <c r="B2651" t="str">
        <f>LEFT(Table1[[#This Row],[Input]],1)</f>
        <v>L</v>
      </c>
      <c r="C2651">
        <f>_xlfn.LET(_xlpm.steps,SUBSTITUTE(Table1[[#This Row],[Input]],Table1[[#This Row],[Direction]],""),VALUE(IF(LEN(_xlpm.steps)&gt;2,RIGHT(_xlpm.steps,2),_xlpm.steps)))</f>
        <v>61</v>
      </c>
      <c r="D2651">
        <f>_xlfn.LET(_xlpm.dir,Table1[[#This Row],[Direction]],
IF(_xlpm.dir="L",
    IF(F2650-Table1[[#This Row],[Steps]]&lt;0,100+(F2650-Table1[[#This Row],[Steps]]),F2650-Table1[[#This Row],[Steps]]),
))</f>
        <v>39</v>
      </c>
      <c r="E2651">
        <f>_xlfn.LET(_xlpm.dir,Table1[[#This Row],[Direction]],
IF(_xlpm.dir="R",
    IF(F2650+Table1[[#This Row],[Steps]]&gt;99,(F2650+Table1[[#This Row],[Steps]])-100,F2650+Table1[[#This Row],[Steps]]),
))</f>
        <v>0</v>
      </c>
      <c r="F2651">
        <f>IF(Table1[[#This Row],[New Pos L]]&lt;&gt;0,Table1[[#This Row],[New Pos L]],Table1[[#This Row],[New Pos R]])</f>
        <v>39</v>
      </c>
    </row>
    <row r="2652" spans="1:6" ht="16" x14ac:dyDescent="0.2">
      <c r="A2652" s="1" t="s">
        <v>185</v>
      </c>
      <c r="B2652" t="str">
        <f>LEFT(Table1[[#This Row],[Input]],1)</f>
        <v>R</v>
      </c>
      <c r="C2652">
        <f>_xlfn.LET(_xlpm.steps,SUBSTITUTE(Table1[[#This Row],[Input]],Table1[[#This Row],[Direction]],""),VALUE(IF(LEN(_xlpm.steps)&gt;2,RIGHT(_xlpm.steps,2),_xlpm.steps)))</f>
        <v>61</v>
      </c>
      <c r="D2652">
        <f>_xlfn.LET(_xlpm.dir,Table1[[#This Row],[Direction]],
IF(_xlpm.dir="L",
    IF(F2651-Table1[[#This Row],[Steps]]&lt;0,100+(F2651-Table1[[#This Row],[Steps]]),F2651-Table1[[#This Row],[Steps]]),
))</f>
        <v>0</v>
      </c>
      <c r="E2652">
        <f>_xlfn.LET(_xlpm.dir,Table1[[#This Row],[Direction]],
IF(_xlpm.dir="R",
    IF(F2651+Table1[[#This Row],[Steps]]&gt;99,(F2651+Table1[[#This Row],[Steps]])-100,F2651+Table1[[#This Row],[Steps]]),
))</f>
        <v>0</v>
      </c>
      <c r="F2652">
        <f>IF(Table1[[#This Row],[New Pos L]]&lt;&gt;0,Table1[[#This Row],[New Pos L]],Table1[[#This Row],[New Pos R]])</f>
        <v>0</v>
      </c>
    </row>
    <row r="2653" spans="1:6" ht="16" x14ac:dyDescent="0.2">
      <c r="A2653" s="1" t="s">
        <v>131</v>
      </c>
      <c r="B2653" t="str">
        <f>LEFT(Table1[[#This Row],[Input]],1)</f>
        <v>R</v>
      </c>
      <c r="C2653">
        <f>_xlfn.LET(_xlpm.steps,SUBSTITUTE(Table1[[#This Row],[Input]],Table1[[#This Row],[Direction]],""),VALUE(IF(LEN(_xlpm.steps)&gt;2,RIGHT(_xlpm.steps,2),_xlpm.steps)))</f>
        <v>99</v>
      </c>
      <c r="D2653">
        <f>_xlfn.LET(_xlpm.dir,Table1[[#This Row],[Direction]],
IF(_xlpm.dir="L",
    IF(F2652-Table1[[#This Row],[Steps]]&lt;0,100+(F2652-Table1[[#This Row],[Steps]]),F2652-Table1[[#This Row],[Steps]]),
))</f>
        <v>0</v>
      </c>
      <c r="E2653">
        <f>_xlfn.LET(_xlpm.dir,Table1[[#This Row],[Direction]],
IF(_xlpm.dir="R",
    IF(F2652+Table1[[#This Row],[Steps]]&gt;99,(F2652+Table1[[#This Row],[Steps]])-100,F2652+Table1[[#This Row],[Steps]]),
))</f>
        <v>99</v>
      </c>
      <c r="F2653">
        <f>IF(Table1[[#This Row],[New Pos L]]&lt;&gt;0,Table1[[#This Row],[New Pos L]],Table1[[#This Row],[New Pos R]])</f>
        <v>99</v>
      </c>
    </row>
    <row r="2654" spans="1:6" ht="16" x14ac:dyDescent="0.2">
      <c r="A2654" s="1" t="s">
        <v>71</v>
      </c>
      <c r="B2654" t="str">
        <f>LEFT(Table1[[#This Row],[Input]],1)</f>
        <v>R</v>
      </c>
      <c r="C2654">
        <f>_xlfn.LET(_xlpm.steps,SUBSTITUTE(Table1[[#This Row],[Input]],Table1[[#This Row],[Direction]],""),VALUE(IF(LEN(_xlpm.steps)&gt;2,RIGHT(_xlpm.steps,2),_xlpm.steps)))</f>
        <v>23</v>
      </c>
      <c r="D2654">
        <f>_xlfn.LET(_xlpm.dir,Table1[[#This Row],[Direction]],
IF(_xlpm.dir="L",
    IF(F2653-Table1[[#This Row],[Steps]]&lt;0,100+(F2653-Table1[[#This Row],[Steps]]),F2653-Table1[[#This Row],[Steps]]),
))</f>
        <v>0</v>
      </c>
      <c r="E2654">
        <f>_xlfn.LET(_xlpm.dir,Table1[[#This Row],[Direction]],
IF(_xlpm.dir="R",
    IF(F2653+Table1[[#This Row],[Steps]]&gt;99,(F2653+Table1[[#This Row],[Steps]])-100,F2653+Table1[[#This Row],[Steps]]),
))</f>
        <v>22</v>
      </c>
      <c r="F2654">
        <f>IF(Table1[[#This Row],[New Pos L]]&lt;&gt;0,Table1[[#This Row],[New Pos L]],Table1[[#This Row],[New Pos R]])</f>
        <v>22</v>
      </c>
    </row>
    <row r="2655" spans="1:6" ht="16" x14ac:dyDescent="0.2">
      <c r="A2655" s="1" t="s">
        <v>91</v>
      </c>
      <c r="B2655" t="str">
        <f>LEFT(Table1[[#This Row],[Input]],1)</f>
        <v>L</v>
      </c>
      <c r="C2655">
        <f>_xlfn.LET(_xlpm.steps,SUBSTITUTE(Table1[[#This Row],[Input]],Table1[[#This Row],[Direction]],""),VALUE(IF(LEN(_xlpm.steps)&gt;2,RIGHT(_xlpm.steps,2),_xlpm.steps)))</f>
        <v>22</v>
      </c>
      <c r="D2655">
        <f>_xlfn.LET(_xlpm.dir,Table1[[#This Row],[Direction]],
IF(_xlpm.dir="L",
    IF(F2654-Table1[[#This Row],[Steps]]&lt;0,100+(F2654-Table1[[#This Row],[Steps]]),F2654-Table1[[#This Row],[Steps]]),
))</f>
        <v>0</v>
      </c>
      <c r="E2655">
        <f>_xlfn.LET(_xlpm.dir,Table1[[#This Row],[Direction]],
IF(_xlpm.dir="R",
    IF(F2654+Table1[[#This Row],[Steps]]&gt;99,(F2654+Table1[[#This Row],[Steps]])-100,F2654+Table1[[#This Row],[Steps]]),
))</f>
        <v>0</v>
      </c>
      <c r="F2655">
        <f>IF(Table1[[#This Row],[New Pos L]]&lt;&gt;0,Table1[[#This Row],[New Pos L]],Table1[[#This Row],[New Pos R]])</f>
        <v>0</v>
      </c>
    </row>
    <row r="2656" spans="1:6" ht="16" x14ac:dyDescent="0.2">
      <c r="A2656" s="1" t="s">
        <v>26</v>
      </c>
      <c r="B2656" t="str">
        <f>LEFT(Table1[[#This Row],[Input]],1)</f>
        <v>R</v>
      </c>
      <c r="C2656">
        <f>_xlfn.LET(_xlpm.steps,SUBSTITUTE(Table1[[#This Row],[Input]],Table1[[#This Row],[Direction]],""),VALUE(IF(LEN(_xlpm.steps)&gt;2,RIGHT(_xlpm.steps,2),_xlpm.steps)))</f>
        <v>6</v>
      </c>
      <c r="D2656">
        <f>_xlfn.LET(_xlpm.dir,Table1[[#This Row],[Direction]],
IF(_xlpm.dir="L",
    IF(F2655-Table1[[#This Row],[Steps]]&lt;0,100+(F2655-Table1[[#This Row],[Steps]]),F2655-Table1[[#This Row],[Steps]]),
))</f>
        <v>0</v>
      </c>
      <c r="E2656">
        <f>_xlfn.LET(_xlpm.dir,Table1[[#This Row],[Direction]],
IF(_xlpm.dir="R",
    IF(F2655+Table1[[#This Row],[Steps]]&gt;99,(F2655+Table1[[#This Row],[Steps]])-100,F2655+Table1[[#This Row],[Steps]]),
))</f>
        <v>6</v>
      </c>
      <c r="F2656">
        <f>IF(Table1[[#This Row],[New Pos L]]&lt;&gt;0,Table1[[#This Row],[New Pos L]],Table1[[#This Row],[New Pos R]])</f>
        <v>6</v>
      </c>
    </row>
    <row r="2657" spans="1:6" ht="16" x14ac:dyDescent="0.2">
      <c r="A2657" s="1" t="s">
        <v>253</v>
      </c>
      <c r="B2657" t="str">
        <f>LEFT(Table1[[#This Row],[Input]],1)</f>
        <v>R</v>
      </c>
      <c r="C2657">
        <f>_xlfn.LET(_xlpm.steps,SUBSTITUTE(Table1[[#This Row],[Input]],Table1[[#This Row],[Direction]],""),VALUE(IF(LEN(_xlpm.steps)&gt;2,RIGHT(_xlpm.steps,2),_xlpm.steps)))</f>
        <v>94</v>
      </c>
      <c r="D2657">
        <f>_xlfn.LET(_xlpm.dir,Table1[[#This Row],[Direction]],
IF(_xlpm.dir="L",
    IF(F2656-Table1[[#This Row],[Steps]]&lt;0,100+(F2656-Table1[[#This Row],[Steps]]),F2656-Table1[[#This Row],[Steps]]),
))</f>
        <v>0</v>
      </c>
      <c r="E2657">
        <f>_xlfn.LET(_xlpm.dir,Table1[[#This Row],[Direction]],
IF(_xlpm.dir="R",
    IF(F2656+Table1[[#This Row],[Steps]]&gt;99,(F2656+Table1[[#This Row],[Steps]])-100,F2656+Table1[[#This Row],[Steps]]),
))</f>
        <v>0</v>
      </c>
      <c r="F2657">
        <f>IF(Table1[[#This Row],[New Pos L]]&lt;&gt;0,Table1[[#This Row],[New Pos L]],Table1[[#This Row],[New Pos R]])</f>
        <v>0</v>
      </c>
    </row>
    <row r="2658" spans="1:6" ht="16" x14ac:dyDescent="0.2">
      <c r="A2658" s="1" t="s">
        <v>132</v>
      </c>
      <c r="B2658" t="str">
        <f>LEFT(Table1[[#This Row],[Input]],1)</f>
        <v>L</v>
      </c>
      <c r="C2658">
        <f>_xlfn.LET(_xlpm.steps,SUBSTITUTE(Table1[[#This Row],[Input]],Table1[[#This Row],[Direction]],""),VALUE(IF(LEN(_xlpm.steps)&gt;2,RIGHT(_xlpm.steps,2),_xlpm.steps)))</f>
        <v>51</v>
      </c>
      <c r="D2658">
        <f>_xlfn.LET(_xlpm.dir,Table1[[#This Row],[Direction]],
IF(_xlpm.dir="L",
    IF(F2657-Table1[[#This Row],[Steps]]&lt;0,100+(F2657-Table1[[#This Row],[Steps]]),F2657-Table1[[#This Row],[Steps]]),
))</f>
        <v>49</v>
      </c>
      <c r="E2658">
        <f>_xlfn.LET(_xlpm.dir,Table1[[#This Row],[Direction]],
IF(_xlpm.dir="R",
    IF(F2657+Table1[[#This Row],[Steps]]&gt;99,(F2657+Table1[[#This Row],[Steps]])-100,F2657+Table1[[#This Row],[Steps]]),
))</f>
        <v>0</v>
      </c>
      <c r="F2658">
        <f>IF(Table1[[#This Row],[New Pos L]]&lt;&gt;0,Table1[[#This Row],[New Pos L]],Table1[[#This Row],[New Pos R]])</f>
        <v>49</v>
      </c>
    </row>
    <row r="2659" spans="1:6" ht="16" x14ac:dyDescent="0.2">
      <c r="A2659" s="1" t="s">
        <v>244</v>
      </c>
      <c r="B2659" t="str">
        <f>LEFT(Table1[[#This Row],[Input]],1)</f>
        <v>L</v>
      </c>
      <c r="C2659">
        <f>_xlfn.LET(_xlpm.steps,SUBSTITUTE(Table1[[#This Row],[Input]],Table1[[#This Row],[Direction]],""),VALUE(IF(LEN(_xlpm.steps)&gt;2,RIGHT(_xlpm.steps,2),_xlpm.steps)))</f>
        <v>98</v>
      </c>
      <c r="D2659">
        <f>_xlfn.LET(_xlpm.dir,Table1[[#This Row],[Direction]],
IF(_xlpm.dir="L",
    IF(F2658-Table1[[#This Row],[Steps]]&lt;0,100+(F2658-Table1[[#This Row],[Steps]]),F2658-Table1[[#This Row],[Steps]]),
))</f>
        <v>51</v>
      </c>
      <c r="E2659">
        <f>_xlfn.LET(_xlpm.dir,Table1[[#This Row],[Direction]],
IF(_xlpm.dir="R",
    IF(F2658+Table1[[#This Row],[Steps]]&gt;99,(F2658+Table1[[#This Row],[Steps]])-100,F2658+Table1[[#This Row],[Steps]]),
))</f>
        <v>0</v>
      </c>
      <c r="F2659">
        <f>IF(Table1[[#This Row],[New Pos L]]&lt;&gt;0,Table1[[#This Row],[New Pos L]],Table1[[#This Row],[New Pos R]])</f>
        <v>51</v>
      </c>
    </row>
    <row r="2660" spans="1:6" ht="16" x14ac:dyDescent="0.2">
      <c r="A2660" s="1" t="s">
        <v>40</v>
      </c>
      <c r="B2660" t="str">
        <f>LEFT(Table1[[#This Row],[Input]],1)</f>
        <v>R</v>
      </c>
      <c r="C2660">
        <f>_xlfn.LET(_xlpm.steps,SUBSTITUTE(Table1[[#This Row],[Input]],Table1[[#This Row],[Direction]],""),VALUE(IF(LEN(_xlpm.steps)&gt;2,RIGHT(_xlpm.steps,2),_xlpm.steps)))</f>
        <v>52</v>
      </c>
      <c r="D2660">
        <f>_xlfn.LET(_xlpm.dir,Table1[[#This Row],[Direction]],
IF(_xlpm.dir="L",
    IF(F2659-Table1[[#This Row],[Steps]]&lt;0,100+(F2659-Table1[[#This Row],[Steps]]),F2659-Table1[[#This Row],[Steps]]),
))</f>
        <v>0</v>
      </c>
      <c r="E2660">
        <f>_xlfn.LET(_xlpm.dir,Table1[[#This Row],[Direction]],
IF(_xlpm.dir="R",
    IF(F2659+Table1[[#This Row],[Steps]]&gt;99,(F2659+Table1[[#This Row],[Steps]])-100,F2659+Table1[[#This Row],[Steps]]),
))</f>
        <v>3</v>
      </c>
      <c r="F2660">
        <f>IF(Table1[[#This Row],[New Pos L]]&lt;&gt;0,Table1[[#This Row],[New Pos L]],Table1[[#This Row],[New Pos R]])</f>
        <v>3</v>
      </c>
    </row>
    <row r="2661" spans="1:6" ht="16" x14ac:dyDescent="0.2">
      <c r="A2661" s="1" t="s">
        <v>95</v>
      </c>
      <c r="B2661" t="str">
        <f>LEFT(Table1[[#This Row],[Input]],1)</f>
        <v>L</v>
      </c>
      <c r="C2661">
        <f>_xlfn.LET(_xlpm.steps,SUBSTITUTE(Table1[[#This Row],[Input]],Table1[[#This Row],[Direction]],""),VALUE(IF(LEN(_xlpm.steps)&gt;2,RIGHT(_xlpm.steps,2),_xlpm.steps)))</f>
        <v>78</v>
      </c>
      <c r="D2661">
        <f>_xlfn.LET(_xlpm.dir,Table1[[#This Row],[Direction]],
IF(_xlpm.dir="L",
    IF(F2660-Table1[[#This Row],[Steps]]&lt;0,100+(F2660-Table1[[#This Row],[Steps]]),F2660-Table1[[#This Row],[Steps]]),
))</f>
        <v>25</v>
      </c>
      <c r="E2661">
        <f>_xlfn.LET(_xlpm.dir,Table1[[#This Row],[Direction]],
IF(_xlpm.dir="R",
    IF(F2660+Table1[[#This Row],[Steps]]&gt;99,(F2660+Table1[[#This Row],[Steps]])-100,F2660+Table1[[#This Row],[Steps]]),
))</f>
        <v>0</v>
      </c>
      <c r="F2661">
        <f>IF(Table1[[#This Row],[New Pos L]]&lt;&gt;0,Table1[[#This Row],[New Pos L]],Table1[[#This Row],[New Pos R]])</f>
        <v>25</v>
      </c>
    </row>
    <row r="2662" spans="1:6" ht="16" x14ac:dyDescent="0.2">
      <c r="A2662" s="1" t="s">
        <v>51</v>
      </c>
      <c r="B2662" t="str">
        <f>LEFT(Table1[[#This Row],[Input]],1)</f>
        <v>L</v>
      </c>
      <c r="C2662">
        <f>_xlfn.LET(_xlpm.steps,SUBSTITUTE(Table1[[#This Row],[Input]],Table1[[#This Row],[Direction]],""),VALUE(IF(LEN(_xlpm.steps)&gt;2,RIGHT(_xlpm.steps,2),_xlpm.steps)))</f>
        <v>25</v>
      </c>
      <c r="D2662">
        <f>_xlfn.LET(_xlpm.dir,Table1[[#This Row],[Direction]],
IF(_xlpm.dir="L",
    IF(F2661-Table1[[#This Row],[Steps]]&lt;0,100+(F2661-Table1[[#This Row],[Steps]]),F2661-Table1[[#This Row],[Steps]]),
))</f>
        <v>0</v>
      </c>
      <c r="E2662">
        <f>_xlfn.LET(_xlpm.dir,Table1[[#This Row],[Direction]],
IF(_xlpm.dir="R",
    IF(F2661+Table1[[#This Row],[Steps]]&gt;99,(F2661+Table1[[#This Row],[Steps]])-100,F2661+Table1[[#This Row],[Steps]]),
))</f>
        <v>0</v>
      </c>
      <c r="F2662">
        <f>IF(Table1[[#This Row],[New Pos L]]&lt;&gt;0,Table1[[#This Row],[New Pos L]],Table1[[#This Row],[New Pos R]])</f>
        <v>0</v>
      </c>
    </row>
    <row r="2663" spans="1:6" ht="16" x14ac:dyDescent="0.2">
      <c r="A2663" s="1" t="s">
        <v>80</v>
      </c>
      <c r="B2663" t="str">
        <f>LEFT(Table1[[#This Row],[Input]],1)</f>
        <v>L</v>
      </c>
      <c r="C2663">
        <f>_xlfn.LET(_xlpm.steps,SUBSTITUTE(Table1[[#This Row],[Input]],Table1[[#This Row],[Direction]],""),VALUE(IF(LEN(_xlpm.steps)&gt;2,RIGHT(_xlpm.steps,2),_xlpm.steps)))</f>
        <v>48</v>
      </c>
      <c r="D2663">
        <f>_xlfn.LET(_xlpm.dir,Table1[[#This Row],[Direction]],
IF(_xlpm.dir="L",
    IF(F2662-Table1[[#This Row],[Steps]]&lt;0,100+(F2662-Table1[[#This Row],[Steps]]),F2662-Table1[[#This Row],[Steps]]),
))</f>
        <v>52</v>
      </c>
      <c r="E2663">
        <f>_xlfn.LET(_xlpm.dir,Table1[[#This Row],[Direction]],
IF(_xlpm.dir="R",
    IF(F2662+Table1[[#This Row],[Steps]]&gt;99,(F2662+Table1[[#This Row],[Steps]])-100,F2662+Table1[[#This Row],[Steps]]),
))</f>
        <v>0</v>
      </c>
      <c r="F2663">
        <f>IF(Table1[[#This Row],[New Pos L]]&lt;&gt;0,Table1[[#This Row],[New Pos L]],Table1[[#This Row],[New Pos R]])</f>
        <v>52</v>
      </c>
    </row>
    <row r="2664" spans="1:6" ht="16" x14ac:dyDescent="0.2">
      <c r="A2664" s="1" t="s">
        <v>27</v>
      </c>
      <c r="B2664" t="str">
        <f>LEFT(Table1[[#This Row],[Input]],1)</f>
        <v>L</v>
      </c>
      <c r="C2664">
        <f>_xlfn.LET(_xlpm.steps,SUBSTITUTE(Table1[[#This Row],[Input]],Table1[[#This Row],[Direction]],""),VALUE(IF(LEN(_xlpm.steps)&gt;2,RIGHT(_xlpm.steps,2),_xlpm.steps)))</f>
        <v>14</v>
      </c>
      <c r="D2664">
        <f>_xlfn.LET(_xlpm.dir,Table1[[#This Row],[Direction]],
IF(_xlpm.dir="L",
    IF(F2663-Table1[[#This Row],[Steps]]&lt;0,100+(F2663-Table1[[#This Row],[Steps]]),F2663-Table1[[#This Row],[Steps]]),
))</f>
        <v>38</v>
      </c>
      <c r="E2664">
        <f>_xlfn.LET(_xlpm.dir,Table1[[#This Row],[Direction]],
IF(_xlpm.dir="R",
    IF(F2663+Table1[[#This Row],[Steps]]&gt;99,(F2663+Table1[[#This Row],[Steps]])-100,F2663+Table1[[#This Row],[Steps]]),
))</f>
        <v>0</v>
      </c>
      <c r="F2664">
        <f>IF(Table1[[#This Row],[New Pos L]]&lt;&gt;0,Table1[[#This Row],[New Pos L]],Table1[[#This Row],[New Pos R]])</f>
        <v>38</v>
      </c>
    </row>
    <row r="2665" spans="1:6" ht="16" x14ac:dyDescent="0.2">
      <c r="A2665" s="1" t="s">
        <v>2</v>
      </c>
      <c r="B2665" t="str">
        <f>LEFT(Table1[[#This Row],[Input]],1)</f>
        <v>L</v>
      </c>
      <c r="C2665">
        <f>_xlfn.LET(_xlpm.steps,SUBSTITUTE(Table1[[#This Row],[Input]],Table1[[#This Row],[Direction]],""),VALUE(IF(LEN(_xlpm.steps)&gt;2,RIGHT(_xlpm.steps,2),_xlpm.steps)))</f>
        <v>38</v>
      </c>
      <c r="D2665">
        <f>_xlfn.LET(_xlpm.dir,Table1[[#This Row],[Direction]],
IF(_xlpm.dir="L",
    IF(F2664-Table1[[#This Row],[Steps]]&lt;0,100+(F2664-Table1[[#This Row],[Steps]]),F2664-Table1[[#This Row],[Steps]]),
))</f>
        <v>0</v>
      </c>
      <c r="E2665">
        <f>_xlfn.LET(_xlpm.dir,Table1[[#This Row],[Direction]],
IF(_xlpm.dir="R",
    IF(F2664+Table1[[#This Row],[Steps]]&gt;99,(F2664+Table1[[#This Row],[Steps]])-100,F2664+Table1[[#This Row],[Steps]]),
))</f>
        <v>0</v>
      </c>
      <c r="F2665">
        <f>IF(Table1[[#This Row],[New Pos L]]&lt;&gt;0,Table1[[#This Row],[New Pos L]],Table1[[#This Row],[New Pos R]])</f>
        <v>0</v>
      </c>
    </row>
    <row r="2666" spans="1:6" ht="16" x14ac:dyDescent="0.2">
      <c r="A2666" s="1" t="s">
        <v>13</v>
      </c>
      <c r="B2666" t="str">
        <f>LEFT(Table1[[#This Row],[Input]],1)</f>
        <v>R</v>
      </c>
      <c r="C2666">
        <f>_xlfn.LET(_xlpm.steps,SUBSTITUTE(Table1[[#This Row],[Input]],Table1[[#This Row],[Direction]],""),VALUE(IF(LEN(_xlpm.steps)&gt;2,RIGHT(_xlpm.steps,2),_xlpm.steps)))</f>
        <v>12</v>
      </c>
      <c r="D2666">
        <f>_xlfn.LET(_xlpm.dir,Table1[[#This Row],[Direction]],
IF(_xlpm.dir="L",
    IF(F2665-Table1[[#This Row],[Steps]]&lt;0,100+(F2665-Table1[[#This Row],[Steps]]),F2665-Table1[[#This Row],[Steps]]),
))</f>
        <v>0</v>
      </c>
      <c r="E2666">
        <f>_xlfn.LET(_xlpm.dir,Table1[[#This Row],[Direction]],
IF(_xlpm.dir="R",
    IF(F2665+Table1[[#This Row],[Steps]]&gt;99,(F2665+Table1[[#This Row],[Steps]])-100,F2665+Table1[[#This Row],[Steps]]),
))</f>
        <v>12</v>
      </c>
      <c r="F2666">
        <f>IF(Table1[[#This Row],[New Pos L]]&lt;&gt;0,Table1[[#This Row],[New Pos L]],Table1[[#This Row],[New Pos R]])</f>
        <v>12</v>
      </c>
    </row>
    <row r="2667" spans="1:6" ht="16" x14ac:dyDescent="0.2">
      <c r="A2667" s="1" t="s">
        <v>62</v>
      </c>
      <c r="B2667" t="str">
        <f>LEFT(Table1[[#This Row],[Input]],1)</f>
        <v>L</v>
      </c>
      <c r="C2667">
        <f>_xlfn.LET(_xlpm.steps,SUBSTITUTE(Table1[[#This Row],[Input]],Table1[[#This Row],[Direction]],""),VALUE(IF(LEN(_xlpm.steps)&gt;2,RIGHT(_xlpm.steps,2),_xlpm.steps)))</f>
        <v>57</v>
      </c>
      <c r="D2667">
        <f>_xlfn.LET(_xlpm.dir,Table1[[#This Row],[Direction]],
IF(_xlpm.dir="L",
    IF(F2666-Table1[[#This Row],[Steps]]&lt;0,100+(F2666-Table1[[#This Row],[Steps]]),F2666-Table1[[#This Row],[Steps]]),
))</f>
        <v>55</v>
      </c>
      <c r="E2667">
        <f>_xlfn.LET(_xlpm.dir,Table1[[#This Row],[Direction]],
IF(_xlpm.dir="R",
    IF(F2666+Table1[[#This Row],[Steps]]&gt;99,(F2666+Table1[[#This Row],[Steps]])-100,F2666+Table1[[#This Row],[Steps]]),
))</f>
        <v>0</v>
      </c>
      <c r="F2667">
        <f>IF(Table1[[#This Row],[New Pos L]]&lt;&gt;0,Table1[[#This Row],[New Pos L]],Table1[[#This Row],[New Pos R]])</f>
        <v>55</v>
      </c>
    </row>
    <row r="2668" spans="1:6" ht="16" x14ac:dyDescent="0.2">
      <c r="A2668" s="1" t="s">
        <v>66</v>
      </c>
      <c r="B2668" t="str">
        <f>LEFT(Table1[[#This Row],[Input]],1)</f>
        <v>R</v>
      </c>
      <c r="C2668">
        <f>_xlfn.LET(_xlpm.steps,SUBSTITUTE(Table1[[#This Row],[Input]],Table1[[#This Row],[Direction]],""),VALUE(IF(LEN(_xlpm.steps)&gt;2,RIGHT(_xlpm.steps,2),_xlpm.steps)))</f>
        <v>45</v>
      </c>
      <c r="D2668">
        <f>_xlfn.LET(_xlpm.dir,Table1[[#This Row],[Direction]],
IF(_xlpm.dir="L",
    IF(F2667-Table1[[#This Row],[Steps]]&lt;0,100+(F2667-Table1[[#This Row],[Steps]]),F2667-Table1[[#This Row],[Steps]]),
))</f>
        <v>0</v>
      </c>
      <c r="E2668">
        <f>_xlfn.LET(_xlpm.dir,Table1[[#This Row],[Direction]],
IF(_xlpm.dir="R",
    IF(F2667+Table1[[#This Row],[Steps]]&gt;99,(F2667+Table1[[#This Row],[Steps]])-100,F2667+Table1[[#This Row],[Steps]]),
))</f>
        <v>0</v>
      </c>
      <c r="F2668">
        <f>IF(Table1[[#This Row],[New Pos L]]&lt;&gt;0,Table1[[#This Row],[New Pos L]],Table1[[#This Row],[New Pos R]])</f>
        <v>0</v>
      </c>
    </row>
    <row r="2669" spans="1:6" ht="16" x14ac:dyDescent="0.2">
      <c r="A2669" s="1" t="s">
        <v>639</v>
      </c>
      <c r="B2669" t="str">
        <f>LEFT(Table1[[#This Row],[Input]],1)</f>
        <v>L</v>
      </c>
      <c r="C2669">
        <f>_xlfn.LET(_xlpm.steps,SUBSTITUTE(Table1[[#This Row],[Input]],Table1[[#This Row],[Direction]],""),VALUE(IF(LEN(_xlpm.steps)&gt;2,RIGHT(_xlpm.steps,2),_xlpm.steps)))</f>
        <v>35</v>
      </c>
      <c r="D2669">
        <f>_xlfn.LET(_xlpm.dir,Table1[[#This Row],[Direction]],
IF(_xlpm.dir="L",
    IF(F2668-Table1[[#This Row],[Steps]]&lt;0,100+(F2668-Table1[[#This Row],[Steps]]),F2668-Table1[[#This Row],[Steps]]),
))</f>
        <v>65</v>
      </c>
      <c r="E2669">
        <f>_xlfn.LET(_xlpm.dir,Table1[[#This Row],[Direction]],
IF(_xlpm.dir="R",
    IF(F2668+Table1[[#This Row],[Steps]]&gt;99,(F2668+Table1[[#This Row],[Steps]])-100,F2668+Table1[[#This Row],[Steps]]),
))</f>
        <v>0</v>
      </c>
      <c r="F2669">
        <f>IF(Table1[[#This Row],[New Pos L]]&lt;&gt;0,Table1[[#This Row],[New Pos L]],Table1[[#This Row],[New Pos R]])</f>
        <v>65</v>
      </c>
    </row>
    <row r="2670" spans="1:6" ht="16" x14ac:dyDescent="0.2">
      <c r="A2670" s="1" t="s">
        <v>40</v>
      </c>
      <c r="B2670" t="str">
        <f>LEFT(Table1[[#This Row],[Input]],1)</f>
        <v>R</v>
      </c>
      <c r="C2670">
        <f>_xlfn.LET(_xlpm.steps,SUBSTITUTE(Table1[[#This Row],[Input]],Table1[[#This Row],[Direction]],""),VALUE(IF(LEN(_xlpm.steps)&gt;2,RIGHT(_xlpm.steps,2),_xlpm.steps)))</f>
        <v>52</v>
      </c>
      <c r="D2670">
        <f>_xlfn.LET(_xlpm.dir,Table1[[#This Row],[Direction]],
IF(_xlpm.dir="L",
    IF(F2669-Table1[[#This Row],[Steps]]&lt;0,100+(F2669-Table1[[#This Row],[Steps]]),F2669-Table1[[#This Row],[Steps]]),
))</f>
        <v>0</v>
      </c>
      <c r="E2670">
        <f>_xlfn.LET(_xlpm.dir,Table1[[#This Row],[Direction]],
IF(_xlpm.dir="R",
    IF(F2669+Table1[[#This Row],[Steps]]&gt;99,(F2669+Table1[[#This Row],[Steps]])-100,F2669+Table1[[#This Row],[Steps]]),
))</f>
        <v>17</v>
      </c>
      <c r="F2670">
        <f>IF(Table1[[#This Row],[New Pos L]]&lt;&gt;0,Table1[[#This Row],[New Pos L]],Table1[[#This Row],[New Pos R]])</f>
        <v>17</v>
      </c>
    </row>
    <row r="2671" spans="1:6" ht="16" x14ac:dyDescent="0.2">
      <c r="A2671" s="1" t="s">
        <v>267</v>
      </c>
      <c r="B2671" t="str">
        <f>LEFT(Table1[[#This Row],[Input]],1)</f>
        <v>L</v>
      </c>
      <c r="C2671">
        <f>_xlfn.LET(_xlpm.steps,SUBSTITUTE(Table1[[#This Row],[Input]],Table1[[#This Row],[Direction]],""),VALUE(IF(LEN(_xlpm.steps)&gt;2,RIGHT(_xlpm.steps,2),_xlpm.steps)))</f>
        <v>39</v>
      </c>
      <c r="D2671">
        <f>_xlfn.LET(_xlpm.dir,Table1[[#This Row],[Direction]],
IF(_xlpm.dir="L",
    IF(F2670-Table1[[#This Row],[Steps]]&lt;0,100+(F2670-Table1[[#This Row],[Steps]]),F2670-Table1[[#This Row],[Steps]]),
))</f>
        <v>78</v>
      </c>
      <c r="E2671">
        <f>_xlfn.LET(_xlpm.dir,Table1[[#This Row],[Direction]],
IF(_xlpm.dir="R",
    IF(F2670+Table1[[#This Row],[Steps]]&gt;99,(F2670+Table1[[#This Row],[Steps]])-100,F2670+Table1[[#This Row],[Steps]]),
))</f>
        <v>0</v>
      </c>
      <c r="F2671">
        <f>IF(Table1[[#This Row],[New Pos L]]&lt;&gt;0,Table1[[#This Row],[New Pos L]],Table1[[#This Row],[New Pos R]])</f>
        <v>78</v>
      </c>
    </row>
    <row r="2672" spans="1:6" ht="16" x14ac:dyDescent="0.2">
      <c r="A2672" s="1" t="s">
        <v>640</v>
      </c>
      <c r="B2672" t="str">
        <f>LEFT(Table1[[#This Row],[Input]],1)</f>
        <v>R</v>
      </c>
      <c r="C2672">
        <f>_xlfn.LET(_xlpm.steps,SUBSTITUTE(Table1[[#This Row],[Input]],Table1[[#This Row],[Direction]],""),VALUE(IF(LEN(_xlpm.steps)&gt;2,RIGHT(_xlpm.steps,2),_xlpm.steps)))</f>
        <v>6</v>
      </c>
      <c r="D2672">
        <f>_xlfn.LET(_xlpm.dir,Table1[[#This Row],[Direction]],
IF(_xlpm.dir="L",
    IF(F2671-Table1[[#This Row],[Steps]]&lt;0,100+(F2671-Table1[[#This Row],[Steps]]),F2671-Table1[[#This Row],[Steps]]),
))</f>
        <v>0</v>
      </c>
      <c r="E2672">
        <f>_xlfn.LET(_xlpm.dir,Table1[[#This Row],[Direction]],
IF(_xlpm.dir="R",
    IF(F2671+Table1[[#This Row],[Steps]]&gt;99,(F2671+Table1[[#This Row],[Steps]])-100,F2671+Table1[[#This Row],[Steps]]),
))</f>
        <v>84</v>
      </c>
      <c r="F2672">
        <f>IF(Table1[[#This Row],[New Pos L]]&lt;&gt;0,Table1[[#This Row],[New Pos L]],Table1[[#This Row],[New Pos R]])</f>
        <v>84</v>
      </c>
    </row>
    <row r="2673" spans="1:6" ht="16" x14ac:dyDescent="0.2">
      <c r="A2673" s="1" t="s">
        <v>10</v>
      </c>
      <c r="B2673" t="str">
        <f>LEFT(Table1[[#This Row],[Input]],1)</f>
        <v>L</v>
      </c>
      <c r="C2673">
        <f>_xlfn.LET(_xlpm.steps,SUBSTITUTE(Table1[[#This Row],[Input]],Table1[[#This Row],[Direction]],""),VALUE(IF(LEN(_xlpm.steps)&gt;2,RIGHT(_xlpm.steps,2),_xlpm.steps)))</f>
        <v>35</v>
      </c>
      <c r="D2673">
        <f>_xlfn.LET(_xlpm.dir,Table1[[#This Row],[Direction]],
IF(_xlpm.dir="L",
    IF(F2672-Table1[[#This Row],[Steps]]&lt;0,100+(F2672-Table1[[#This Row],[Steps]]),F2672-Table1[[#This Row],[Steps]]),
))</f>
        <v>49</v>
      </c>
      <c r="E2673">
        <f>_xlfn.LET(_xlpm.dir,Table1[[#This Row],[Direction]],
IF(_xlpm.dir="R",
    IF(F2672+Table1[[#This Row],[Steps]]&gt;99,(F2672+Table1[[#This Row],[Steps]])-100,F2672+Table1[[#This Row],[Steps]]),
))</f>
        <v>0</v>
      </c>
      <c r="F2673">
        <f>IF(Table1[[#This Row],[New Pos L]]&lt;&gt;0,Table1[[#This Row],[New Pos L]],Table1[[#This Row],[New Pos R]])</f>
        <v>49</v>
      </c>
    </row>
    <row r="2674" spans="1:6" ht="16" x14ac:dyDescent="0.2">
      <c r="A2674" s="1" t="s">
        <v>194</v>
      </c>
      <c r="B2674" t="str">
        <f>LEFT(Table1[[#This Row],[Input]],1)</f>
        <v>R</v>
      </c>
      <c r="C2674">
        <f>_xlfn.LET(_xlpm.steps,SUBSTITUTE(Table1[[#This Row],[Input]],Table1[[#This Row],[Direction]],""),VALUE(IF(LEN(_xlpm.steps)&gt;2,RIGHT(_xlpm.steps,2),_xlpm.steps)))</f>
        <v>51</v>
      </c>
      <c r="D2674">
        <f>_xlfn.LET(_xlpm.dir,Table1[[#This Row],[Direction]],
IF(_xlpm.dir="L",
    IF(F2673-Table1[[#This Row],[Steps]]&lt;0,100+(F2673-Table1[[#This Row],[Steps]]),F2673-Table1[[#This Row],[Steps]]),
))</f>
        <v>0</v>
      </c>
      <c r="E2674">
        <f>_xlfn.LET(_xlpm.dir,Table1[[#This Row],[Direction]],
IF(_xlpm.dir="R",
    IF(F2673+Table1[[#This Row],[Steps]]&gt;99,(F2673+Table1[[#This Row],[Steps]])-100,F2673+Table1[[#This Row],[Steps]]),
))</f>
        <v>0</v>
      </c>
      <c r="F2674">
        <f>IF(Table1[[#This Row],[New Pos L]]&lt;&gt;0,Table1[[#This Row],[New Pos L]],Table1[[#This Row],[New Pos R]])</f>
        <v>0</v>
      </c>
    </row>
    <row r="2675" spans="1:6" ht="16" x14ac:dyDescent="0.2">
      <c r="A2675" s="1" t="s">
        <v>91</v>
      </c>
      <c r="B2675" t="str">
        <f>LEFT(Table1[[#This Row],[Input]],1)</f>
        <v>L</v>
      </c>
      <c r="C2675">
        <f>_xlfn.LET(_xlpm.steps,SUBSTITUTE(Table1[[#This Row],[Input]],Table1[[#This Row],[Direction]],""),VALUE(IF(LEN(_xlpm.steps)&gt;2,RIGHT(_xlpm.steps,2),_xlpm.steps)))</f>
        <v>22</v>
      </c>
      <c r="D2675">
        <f>_xlfn.LET(_xlpm.dir,Table1[[#This Row],[Direction]],
IF(_xlpm.dir="L",
    IF(F2674-Table1[[#This Row],[Steps]]&lt;0,100+(F2674-Table1[[#This Row],[Steps]]),F2674-Table1[[#This Row],[Steps]]),
))</f>
        <v>78</v>
      </c>
      <c r="E2675">
        <f>_xlfn.LET(_xlpm.dir,Table1[[#This Row],[Direction]],
IF(_xlpm.dir="R",
    IF(F2674+Table1[[#This Row],[Steps]]&gt;99,(F2674+Table1[[#This Row],[Steps]])-100,F2674+Table1[[#This Row],[Steps]]),
))</f>
        <v>0</v>
      </c>
      <c r="F2675">
        <f>IF(Table1[[#This Row],[New Pos L]]&lt;&gt;0,Table1[[#This Row],[New Pos L]],Table1[[#This Row],[New Pos R]])</f>
        <v>78</v>
      </c>
    </row>
    <row r="2676" spans="1:6" ht="16" x14ac:dyDescent="0.2">
      <c r="A2676" s="1" t="s">
        <v>641</v>
      </c>
      <c r="B2676" t="str">
        <f>LEFT(Table1[[#This Row],[Input]],1)</f>
        <v>L</v>
      </c>
      <c r="C2676">
        <f>_xlfn.LET(_xlpm.steps,SUBSTITUTE(Table1[[#This Row],[Input]],Table1[[#This Row],[Direction]],""),VALUE(IF(LEN(_xlpm.steps)&gt;2,RIGHT(_xlpm.steps,2),_xlpm.steps)))</f>
        <v>97</v>
      </c>
      <c r="D2676">
        <f>_xlfn.LET(_xlpm.dir,Table1[[#This Row],[Direction]],
IF(_xlpm.dir="L",
    IF(F2675-Table1[[#This Row],[Steps]]&lt;0,100+(F2675-Table1[[#This Row],[Steps]]),F2675-Table1[[#This Row],[Steps]]),
))</f>
        <v>81</v>
      </c>
      <c r="E2676">
        <f>_xlfn.LET(_xlpm.dir,Table1[[#This Row],[Direction]],
IF(_xlpm.dir="R",
    IF(F2675+Table1[[#This Row],[Steps]]&gt;99,(F2675+Table1[[#This Row],[Steps]])-100,F2675+Table1[[#This Row],[Steps]]),
))</f>
        <v>0</v>
      </c>
      <c r="F2676">
        <f>IF(Table1[[#This Row],[New Pos L]]&lt;&gt;0,Table1[[#This Row],[New Pos L]],Table1[[#This Row],[New Pos R]])</f>
        <v>81</v>
      </c>
    </row>
    <row r="2677" spans="1:6" ht="16" x14ac:dyDescent="0.2">
      <c r="A2677" s="1" t="s">
        <v>14</v>
      </c>
      <c r="B2677" t="str">
        <f>LEFT(Table1[[#This Row],[Input]],1)</f>
        <v>L</v>
      </c>
      <c r="C2677">
        <f>_xlfn.LET(_xlpm.steps,SUBSTITUTE(Table1[[#This Row],[Input]],Table1[[#This Row],[Direction]],""),VALUE(IF(LEN(_xlpm.steps)&gt;2,RIGHT(_xlpm.steps,2),_xlpm.steps)))</f>
        <v>43</v>
      </c>
      <c r="D2677">
        <f>_xlfn.LET(_xlpm.dir,Table1[[#This Row],[Direction]],
IF(_xlpm.dir="L",
    IF(F2676-Table1[[#This Row],[Steps]]&lt;0,100+(F2676-Table1[[#This Row],[Steps]]),F2676-Table1[[#This Row],[Steps]]),
))</f>
        <v>38</v>
      </c>
      <c r="E2677">
        <f>_xlfn.LET(_xlpm.dir,Table1[[#This Row],[Direction]],
IF(_xlpm.dir="R",
    IF(F2676+Table1[[#This Row],[Steps]]&gt;99,(F2676+Table1[[#This Row],[Steps]])-100,F2676+Table1[[#This Row],[Steps]]),
))</f>
        <v>0</v>
      </c>
      <c r="F2677">
        <f>IF(Table1[[#This Row],[New Pos L]]&lt;&gt;0,Table1[[#This Row],[New Pos L]],Table1[[#This Row],[New Pos R]])</f>
        <v>38</v>
      </c>
    </row>
    <row r="2678" spans="1:6" ht="16" x14ac:dyDescent="0.2">
      <c r="A2678" s="1" t="s">
        <v>140</v>
      </c>
      <c r="B2678" t="str">
        <f>LEFT(Table1[[#This Row],[Input]],1)</f>
        <v>L</v>
      </c>
      <c r="C2678">
        <f>_xlfn.LET(_xlpm.steps,SUBSTITUTE(Table1[[#This Row],[Input]],Table1[[#This Row],[Direction]],""),VALUE(IF(LEN(_xlpm.steps)&gt;2,RIGHT(_xlpm.steps,2),_xlpm.steps)))</f>
        <v>61</v>
      </c>
      <c r="D2678">
        <f>_xlfn.LET(_xlpm.dir,Table1[[#This Row],[Direction]],
IF(_xlpm.dir="L",
    IF(F2677-Table1[[#This Row],[Steps]]&lt;0,100+(F2677-Table1[[#This Row],[Steps]]),F2677-Table1[[#This Row],[Steps]]),
))</f>
        <v>77</v>
      </c>
      <c r="E2678">
        <f>_xlfn.LET(_xlpm.dir,Table1[[#This Row],[Direction]],
IF(_xlpm.dir="R",
    IF(F2677+Table1[[#This Row],[Steps]]&gt;99,(F2677+Table1[[#This Row],[Steps]])-100,F2677+Table1[[#This Row],[Steps]]),
))</f>
        <v>0</v>
      </c>
      <c r="F2678">
        <f>IF(Table1[[#This Row],[New Pos L]]&lt;&gt;0,Table1[[#This Row],[New Pos L]],Table1[[#This Row],[New Pos R]])</f>
        <v>77</v>
      </c>
    </row>
    <row r="2679" spans="1:6" ht="16" x14ac:dyDescent="0.2">
      <c r="A2679" s="1" t="s">
        <v>31</v>
      </c>
      <c r="B2679" t="str">
        <f>LEFT(Table1[[#This Row],[Input]],1)</f>
        <v>L</v>
      </c>
      <c r="C2679">
        <f>_xlfn.LET(_xlpm.steps,SUBSTITUTE(Table1[[#This Row],[Input]],Table1[[#This Row],[Direction]],""),VALUE(IF(LEN(_xlpm.steps)&gt;2,RIGHT(_xlpm.steps,2),_xlpm.steps)))</f>
        <v>13</v>
      </c>
      <c r="D2679">
        <f>_xlfn.LET(_xlpm.dir,Table1[[#This Row],[Direction]],
IF(_xlpm.dir="L",
    IF(F2678-Table1[[#This Row],[Steps]]&lt;0,100+(F2678-Table1[[#This Row],[Steps]]),F2678-Table1[[#This Row],[Steps]]),
))</f>
        <v>64</v>
      </c>
      <c r="E2679">
        <f>_xlfn.LET(_xlpm.dir,Table1[[#This Row],[Direction]],
IF(_xlpm.dir="R",
    IF(F2678+Table1[[#This Row],[Steps]]&gt;99,(F2678+Table1[[#This Row],[Steps]])-100,F2678+Table1[[#This Row],[Steps]]),
))</f>
        <v>0</v>
      </c>
      <c r="F2679">
        <f>IF(Table1[[#This Row],[New Pos L]]&lt;&gt;0,Table1[[#This Row],[New Pos L]],Table1[[#This Row],[New Pos R]])</f>
        <v>64</v>
      </c>
    </row>
    <row r="2680" spans="1:6" ht="16" x14ac:dyDescent="0.2">
      <c r="A2680" s="1" t="s">
        <v>182</v>
      </c>
      <c r="B2680" t="str">
        <f>LEFT(Table1[[#This Row],[Input]],1)</f>
        <v>L</v>
      </c>
      <c r="C2680">
        <f>_xlfn.LET(_xlpm.steps,SUBSTITUTE(Table1[[#This Row],[Input]],Table1[[#This Row],[Direction]],""),VALUE(IF(LEN(_xlpm.steps)&gt;2,RIGHT(_xlpm.steps,2),_xlpm.steps)))</f>
        <v>3</v>
      </c>
      <c r="D2680">
        <f>_xlfn.LET(_xlpm.dir,Table1[[#This Row],[Direction]],
IF(_xlpm.dir="L",
    IF(F2679-Table1[[#This Row],[Steps]]&lt;0,100+(F2679-Table1[[#This Row],[Steps]]),F2679-Table1[[#This Row],[Steps]]),
))</f>
        <v>61</v>
      </c>
      <c r="E2680">
        <f>_xlfn.LET(_xlpm.dir,Table1[[#This Row],[Direction]],
IF(_xlpm.dir="R",
    IF(F2679+Table1[[#This Row],[Steps]]&gt;99,(F2679+Table1[[#This Row],[Steps]])-100,F2679+Table1[[#This Row],[Steps]]),
))</f>
        <v>0</v>
      </c>
      <c r="F2680">
        <f>IF(Table1[[#This Row],[New Pos L]]&lt;&gt;0,Table1[[#This Row],[New Pos L]],Table1[[#This Row],[New Pos R]])</f>
        <v>61</v>
      </c>
    </row>
    <row r="2681" spans="1:6" ht="16" x14ac:dyDescent="0.2">
      <c r="A2681" s="1" t="s">
        <v>102</v>
      </c>
      <c r="B2681" t="str">
        <f>LEFT(Table1[[#This Row],[Input]],1)</f>
        <v>R</v>
      </c>
      <c r="C2681">
        <f>_xlfn.LET(_xlpm.steps,SUBSTITUTE(Table1[[#This Row],[Input]],Table1[[#This Row],[Direction]],""),VALUE(IF(LEN(_xlpm.steps)&gt;2,RIGHT(_xlpm.steps,2),_xlpm.steps)))</f>
        <v>39</v>
      </c>
      <c r="D2681">
        <f>_xlfn.LET(_xlpm.dir,Table1[[#This Row],[Direction]],
IF(_xlpm.dir="L",
    IF(F2680-Table1[[#This Row],[Steps]]&lt;0,100+(F2680-Table1[[#This Row],[Steps]]),F2680-Table1[[#This Row],[Steps]]),
))</f>
        <v>0</v>
      </c>
      <c r="E2681">
        <f>_xlfn.LET(_xlpm.dir,Table1[[#This Row],[Direction]],
IF(_xlpm.dir="R",
    IF(F2680+Table1[[#This Row],[Steps]]&gt;99,(F2680+Table1[[#This Row],[Steps]])-100,F2680+Table1[[#This Row],[Steps]]),
))</f>
        <v>0</v>
      </c>
      <c r="F2681">
        <f>IF(Table1[[#This Row],[New Pos L]]&lt;&gt;0,Table1[[#This Row],[New Pos L]],Table1[[#This Row],[New Pos R]])</f>
        <v>0</v>
      </c>
    </row>
    <row r="2682" spans="1:6" ht="16" x14ac:dyDescent="0.2">
      <c r="A2682" s="1" t="s">
        <v>267</v>
      </c>
      <c r="B2682" t="str">
        <f>LEFT(Table1[[#This Row],[Input]],1)</f>
        <v>L</v>
      </c>
      <c r="C2682">
        <f>_xlfn.LET(_xlpm.steps,SUBSTITUTE(Table1[[#This Row],[Input]],Table1[[#This Row],[Direction]],""),VALUE(IF(LEN(_xlpm.steps)&gt;2,RIGHT(_xlpm.steps,2),_xlpm.steps)))</f>
        <v>39</v>
      </c>
      <c r="D2682">
        <f>_xlfn.LET(_xlpm.dir,Table1[[#This Row],[Direction]],
IF(_xlpm.dir="L",
    IF(F2681-Table1[[#This Row],[Steps]]&lt;0,100+(F2681-Table1[[#This Row],[Steps]]),F2681-Table1[[#This Row],[Steps]]),
))</f>
        <v>61</v>
      </c>
      <c r="E2682">
        <f>_xlfn.LET(_xlpm.dir,Table1[[#This Row],[Direction]],
IF(_xlpm.dir="R",
    IF(F2681+Table1[[#This Row],[Steps]]&gt;99,(F2681+Table1[[#This Row],[Steps]])-100,F2681+Table1[[#This Row],[Steps]]),
))</f>
        <v>0</v>
      </c>
      <c r="F2682">
        <f>IF(Table1[[#This Row],[New Pos L]]&lt;&gt;0,Table1[[#This Row],[New Pos L]],Table1[[#This Row],[New Pos R]])</f>
        <v>61</v>
      </c>
    </row>
    <row r="2683" spans="1:6" ht="16" x14ac:dyDescent="0.2">
      <c r="A2683" s="1" t="s">
        <v>642</v>
      </c>
      <c r="B2683" t="str">
        <f>LEFT(Table1[[#This Row],[Input]],1)</f>
        <v>R</v>
      </c>
      <c r="C2683">
        <f>_xlfn.LET(_xlpm.steps,SUBSTITUTE(Table1[[#This Row],[Input]],Table1[[#This Row],[Direction]],""),VALUE(IF(LEN(_xlpm.steps)&gt;2,RIGHT(_xlpm.steps,2),_xlpm.steps)))</f>
        <v>72</v>
      </c>
      <c r="D2683">
        <f>_xlfn.LET(_xlpm.dir,Table1[[#This Row],[Direction]],
IF(_xlpm.dir="L",
    IF(F2682-Table1[[#This Row],[Steps]]&lt;0,100+(F2682-Table1[[#This Row],[Steps]]),F2682-Table1[[#This Row],[Steps]]),
))</f>
        <v>0</v>
      </c>
      <c r="E2683">
        <f>_xlfn.LET(_xlpm.dir,Table1[[#This Row],[Direction]],
IF(_xlpm.dir="R",
    IF(F2682+Table1[[#This Row],[Steps]]&gt;99,(F2682+Table1[[#This Row],[Steps]])-100,F2682+Table1[[#This Row],[Steps]]),
))</f>
        <v>33</v>
      </c>
      <c r="F2683">
        <f>IF(Table1[[#This Row],[New Pos L]]&lt;&gt;0,Table1[[#This Row],[New Pos L]],Table1[[#This Row],[New Pos R]])</f>
        <v>33</v>
      </c>
    </row>
    <row r="2684" spans="1:6" ht="16" x14ac:dyDescent="0.2">
      <c r="A2684" s="1" t="s">
        <v>293</v>
      </c>
      <c r="B2684" t="str">
        <f>LEFT(Table1[[#This Row],[Input]],1)</f>
        <v>R</v>
      </c>
      <c r="C2684">
        <f>_xlfn.LET(_xlpm.steps,SUBSTITUTE(Table1[[#This Row],[Input]],Table1[[#This Row],[Direction]],""),VALUE(IF(LEN(_xlpm.steps)&gt;2,RIGHT(_xlpm.steps,2),_xlpm.steps)))</f>
        <v>67</v>
      </c>
      <c r="D2684">
        <f>_xlfn.LET(_xlpm.dir,Table1[[#This Row],[Direction]],
IF(_xlpm.dir="L",
    IF(F2683-Table1[[#This Row],[Steps]]&lt;0,100+(F2683-Table1[[#This Row],[Steps]]),F2683-Table1[[#This Row],[Steps]]),
))</f>
        <v>0</v>
      </c>
      <c r="E2684">
        <f>_xlfn.LET(_xlpm.dir,Table1[[#This Row],[Direction]],
IF(_xlpm.dir="R",
    IF(F2683+Table1[[#This Row],[Steps]]&gt;99,(F2683+Table1[[#This Row],[Steps]])-100,F2683+Table1[[#This Row],[Steps]]),
))</f>
        <v>0</v>
      </c>
      <c r="F2684">
        <f>IF(Table1[[#This Row],[New Pos L]]&lt;&gt;0,Table1[[#This Row],[New Pos L]],Table1[[#This Row],[New Pos R]])</f>
        <v>0</v>
      </c>
    </row>
    <row r="2685" spans="1:6" ht="16" x14ac:dyDescent="0.2">
      <c r="A2685" s="1" t="s">
        <v>69</v>
      </c>
      <c r="B2685" t="str">
        <f>LEFT(Table1[[#This Row],[Input]],1)</f>
        <v>R</v>
      </c>
      <c r="C2685">
        <f>_xlfn.LET(_xlpm.steps,SUBSTITUTE(Table1[[#This Row],[Input]],Table1[[#This Row],[Direction]],""),VALUE(IF(LEN(_xlpm.steps)&gt;2,RIGHT(_xlpm.steps,2),_xlpm.steps)))</f>
        <v>27</v>
      </c>
      <c r="D2685">
        <f>_xlfn.LET(_xlpm.dir,Table1[[#This Row],[Direction]],
IF(_xlpm.dir="L",
    IF(F2684-Table1[[#This Row],[Steps]]&lt;0,100+(F2684-Table1[[#This Row],[Steps]]),F2684-Table1[[#This Row],[Steps]]),
))</f>
        <v>0</v>
      </c>
      <c r="E2685">
        <f>_xlfn.LET(_xlpm.dir,Table1[[#This Row],[Direction]],
IF(_xlpm.dir="R",
    IF(F2684+Table1[[#This Row],[Steps]]&gt;99,(F2684+Table1[[#This Row],[Steps]])-100,F2684+Table1[[#This Row],[Steps]]),
))</f>
        <v>27</v>
      </c>
      <c r="F2685">
        <f>IF(Table1[[#This Row],[New Pos L]]&lt;&gt;0,Table1[[#This Row],[New Pos L]],Table1[[#This Row],[New Pos R]])</f>
        <v>27</v>
      </c>
    </row>
    <row r="2686" spans="1:6" ht="16" x14ac:dyDescent="0.2">
      <c r="A2686" s="1" t="s">
        <v>48</v>
      </c>
      <c r="B2686" t="str">
        <f>LEFT(Table1[[#This Row],[Input]],1)</f>
        <v>R</v>
      </c>
      <c r="C2686">
        <f>_xlfn.LET(_xlpm.steps,SUBSTITUTE(Table1[[#This Row],[Input]],Table1[[#This Row],[Direction]],""),VALUE(IF(LEN(_xlpm.steps)&gt;2,RIGHT(_xlpm.steps,2),_xlpm.steps)))</f>
        <v>81</v>
      </c>
      <c r="D2686">
        <f>_xlfn.LET(_xlpm.dir,Table1[[#This Row],[Direction]],
IF(_xlpm.dir="L",
    IF(F2685-Table1[[#This Row],[Steps]]&lt;0,100+(F2685-Table1[[#This Row],[Steps]]),F2685-Table1[[#This Row],[Steps]]),
))</f>
        <v>0</v>
      </c>
      <c r="E2686">
        <f>_xlfn.LET(_xlpm.dir,Table1[[#This Row],[Direction]],
IF(_xlpm.dir="R",
    IF(F2685+Table1[[#This Row],[Steps]]&gt;99,(F2685+Table1[[#This Row],[Steps]])-100,F2685+Table1[[#This Row],[Steps]]),
))</f>
        <v>8</v>
      </c>
      <c r="F2686">
        <f>IF(Table1[[#This Row],[New Pos L]]&lt;&gt;0,Table1[[#This Row],[New Pos L]],Table1[[#This Row],[New Pos R]])</f>
        <v>8</v>
      </c>
    </row>
    <row r="2687" spans="1:6" ht="16" x14ac:dyDescent="0.2">
      <c r="A2687" s="1" t="s">
        <v>23</v>
      </c>
      <c r="B2687" t="str">
        <f>LEFT(Table1[[#This Row],[Input]],1)</f>
        <v>L</v>
      </c>
      <c r="C2687">
        <f>_xlfn.LET(_xlpm.steps,SUBSTITUTE(Table1[[#This Row],[Input]],Table1[[#This Row],[Direction]],""),VALUE(IF(LEN(_xlpm.steps)&gt;2,RIGHT(_xlpm.steps,2),_xlpm.steps)))</f>
        <v>8</v>
      </c>
      <c r="D2687">
        <f>_xlfn.LET(_xlpm.dir,Table1[[#This Row],[Direction]],
IF(_xlpm.dir="L",
    IF(F2686-Table1[[#This Row],[Steps]]&lt;0,100+(F2686-Table1[[#This Row],[Steps]]),F2686-Table1[[#This Row],[Steps]]),
))</f>
        <v>0</v>
      </c>
      <c r="E2687">
        <f>_xlfn.LET(_xlpm.dir,Table1[[#This Row],[Direction]],
IF(_xlpm.dir="R",
    IF(F2686+Table1[[#This Row],[Steps]]&gt;99,(F2686+Table1[[#This Row],[Steps]])-100,F2686+Table1[[#This Row],[Steps]]),
))</f>
        <v>0</v>
      </c>
      <c r="F2687">
        <f>IF(Table1[[#This Row],[New Pos L]]&lt;&gt;0,Table1[[#This Row],[New Pos L]],Table1[[#This Row],[New Pos R]])</f>
        <v>0</v>
      </c>
    </row>
    <row r="2688" spans="1:6" ht="16" x14ac:dyDescent="0.2">
      <c r="A2688" s="1" t="s">
        <v>643</v>
      </c>
      <c r="B2688" t="str">
        <f>LEFT(Table1[[#This Row],[Input]],1)</f>
        <v>R</v>
      </c>
      <c r="C2688">
        <f>_xlfn.LET(_xlpm.steps,SUBSTITUTE(Table1[[#This Row],[Input]],Table1[[#This Row],[Direction]],""),VALUE(IF(LEN(_xlpm.steps)&gt;2,RIGHT(_xlpm.steps,2),_xlpm.steps)))</f>
        <v>78</v>
      </c>
      <c r="D2688">
        <f>_xlfn.LET(_xlpm.dir,Table1[[#This Row],[Direction]],
IF(_xlpm.dir="L",
    IF(F2687-Table1[[#This Row],[Steps]]&lt;0,100+(F2687-Table1[[#This Row],[Steps]]),F2687-Table1[[#This Row],[Steps]]),
))</f>
        <v>0</v>
      </c>
      <c r="E2688">
        <f>_xlfn.LET(_xlpm.dir,Table1[[#This Row],[Direction]],
IF(_xlpm.dir="R",
    IF(F2687+Table1[[#This Row],[Steps]]&gt;99,(F2687+Table1[[#This Row],[Steps]])-100,F2687+Table1[[#This Row],[Steps]]),
))</f>
        <v>78</v>
      </c>
      <c r="F2688">
        <f>IF(Table1[[#This Row],[New Pos L]]&lt;&gt;0,Table1[[#This Row],[New Pos L]],Table1[[#This Row],[New Pos R]])</f>
        <v>78</v>
      </c>
    </row>
    <row r="2689" spans="1:6" ht="16" x14ac:dyDescent="0.2">
      <c r="A2689" s="1" t="s">
        <v>6</v>
      </c>
      <c r="B2689" t="str">
        <f>LEFT(Table1[[#This Row],[Input]],1)</f>
        <v>R</v>
      </c>
      <c r="C2689">
        <f>_xlfn.LET(_xlpm.steps,SUBSTITUTE(Table1[[#This Row],[Input]],Table1[[#This Row],[Direction]],""),VALUE(IF(LEN(_xlpm.steps)&gt;2,RIGHT(_xlpm.steps,2),_xlpm.steps)))</f>
        <v>49</v>
      </c>
      <c r="D2689">
        <f>_xlfn.LET(_xlpm.dir,Table1[[#This Row],[Direction]],
IF(_xlpm.dir="L",
    IF(F2688-Table1[[#This Row],[Steps]]&lt;0,100+(F2688-Table1[[#This Row],[Steps]]),F2688-Table1[[#This Row],[Steps]]),
))</f>
        <v>0</v>
      </c>
      <c r="E2689">
        <f>_xlfn.LET(_xlpm.dir,Table1[[#This Row],[Direction]],
IF(_xlpm.dir="R",
    IF(F2688+Table1[[#This Row],[Steps]]&gt;99,(F2688+Table1[[#This Row],[Steps]])-100,F2688+Table1[[#This Row],[Steps]]),
))</f>
        <v>27</v>
      </c>
      <c r="F2689">
        <f>IF(Table1[[#This Row],[New Pos L]]&lt;&gt;0,Table1[[#This Row],[New Pos L]],Table1[[#This Row],[New Pos R]])</f>
        <v>27</v>
      </c>
    </row>
    <row r="2690" spans="1:6" ht="16" x14ac:dyDescent="0.2">
      <c r="A2690" s="1" t="s">
        <v>25</v>
      </c>
      <c r="B2690" t="str">
        <f>LEFT(Table1[[#This Row],[Input]],1)</f>
        <v>L</v>
      </c>
      <c r="C2690">
        <f>_xlfn.LET(_xlpm.steps,SUBSTITUTE(Table1[[#This Row],[Input]],Table1[[#This Row],[Direction]],""),VALUE(IF(LEN(_xlpm.steps)&gt;2,RIGHT(_xlpm.steps,2),_xlpm.steps)))</f>
        <v>20</v>
      </c>
      <c r="D2690">
        <f>_xlfn.LET(_xlpm.dir,Table1[[#This Row],[Direction]],
IF(_xlpm.dir="L",
    IF(F2689-Table1[[#This Row],[Steps]]&lt;0,100+(F2689-Table1[[#This Row],[Steps]]),F2689-Table1[[#This Row],[Steps]]),
))</f>
        <v>7</v>
      </c>
      <c r="E2690">
        <f>_xlfn.LET(_xlpm.dir,Table1[[#This Row],[Direction]],
IF(_xlpm.dir="R",
    IF(F2689+Table1[[#This Row],[Steps]]&gt;99,(F2689+Table1[[#This Row],[Steps]])-100,F2689+Table1[[#This Row],[Steps]]),
))</f>
        <v>0</v>
      </c>
      <c r="F2690">
        <f>IF(Table1[[#This Row],[New Pos L]]&lt;&gt;0,Table1[[#This Row],[New Pos L]],Table1[[#This Row],[New Pos R]])</f>
        <v>7</v>
      </c>
    </row>
    <row r="2691" spans="1:6" ht="16" x14ac:dyDescent="0.2">
      <c r="A2691" s="1" t="s">
        <v>644</v>
      </c>
      <c r="B2691" t="str">
        <f>LEFT(Table1[[#This Row],[Input]],1)</f>
        <v>R</v>
      </c>
      <c r="C2691">
        <f>_xlfn.LET(_xlpm.steps,SUBSTITUTE(Table1[[#This Row],[Input]],Table1[[#This Row],[Direction]],""),VALUE(IF(LEN(_xlpm.steps)&gt;2,RIGHT(_xlpm.steps,2),_xlpm.steps)))</f>
        <v>34</v>
      </c>
      <c r="D2691">
        <f>_xlfn.LET(_xlpm.dir,Table1[[#This Row],[Direction]],
IF(_xlpm.dir="L",
    IF(F2690-Table1[[#This Row],[Steps]]&lt;0,100+(F2690-Table1[[#This Row],[Steps]]),F2690-Table1[[#This Row],[Steps]]),
))</f>
        <v>0</v>
      </c>
      <c r="E2691">
        <f>_xlfn.LET(_xlpm.dir,Table1[[#This Row],[Direction]],
IF(_xlpm.dir="R",
    IF(F2690+Table1[[#This Row],[Steps]]&gt;99,(F2690+Table1[[#This Row],[Steps]])-100,F2690+Table1[[#This Row],[Steps]]),
))</f>
        <v>41</v>
      </c>
      <c r="F2691">
        <f>IF(Table1[[#This Row],[New Pos L]]&lt;&gt;0,Table1[[#This Row],[New Pos L]],Table1[[#This Row],[New Pos R]])</f>
        <v>41</v>
      </c>
    </row>
    <row r="2692" spans="1:6" ht="16" x14ac:dyDescent="0.2">
      <c r="A2692" s="1" t="s">
        <v>645</v>
      </c>
      <c r="B2692" t="str">
        <f>LEFT(Table1[[#This Row],[Input]],1)</f>
        <v>L</v>
      </c>
      <c r="C2692">
        <f>_xlfn.LET(_xlpm.steps,SUBSTITUTE(Table1[[#This Row],[Input]],Table1[[#This Row],[Direction]],""),VALUE(IF(LEN(_xlpm.steps)&gt;2,RIGHT(_xlpm.steps,2),_xlpm.steps)))</f>
        <v>41</v>
      </c>
      <c r="D2692">
        <f>_xlfn.LET(_xlpm.dir,Table1[[#This Row],[Direction]],
IF(_xlpm.dir="L",
    IF(F2691-Table1[[#This Row],[Steps]]&lt;0,100+(F2691-Table1[[#This Row],[Steps]]),F2691-Table1[[#This Row],[Steps]]),
))</f>
        <v>0</v>
      </c>
      <c r="E2692">
        <f>_xlfn.LET(_xlpm.dir,Table1[[#This Row],[Direction]],
IF(_xlpm.dir="R",
    IF(F2691+Table1[[#This Row],[Steps]]&gt;99,(F2691+Table1[[#This Row],[Steps]])-100,F2691+Table1[[#This Row],[Steps]]),
))</f>
        <v>0</v>
      </c>
      <c r="F2692">
        <f>IF(Table1[[#This Row],[New Pos L]]&lt;&gt;0,Table1[[#This Row],[New Pos L]],Table1[[#This Row],[New Pos R]])</f>
        <v>0</v>
      </c>
    </row>
    <row r="2693" spans="1:6" ht="16" x14ac:dyDescent="0.2">
      <c r="A2693" s="1" t="s">
        <v>41</v>
      </c>
      <c r="B2693" t="str">
        <f>LEFT(Table1[[#This Row],[Input]],1)</f>
        <v>L</v>
      </c>
      <c r="C2693">
        <f>_xlfn.LET(_xlpm.steps,SUBSTITUTE(Table1[[#This Row],[Input]],Table1[[#This Row],[Direction]],""),VALUE(IF(LEN(_xlpm.steps)&gt;2,RIGHT(_xlpm.steps,2),_xlpm.steps)))</f>
        <v>7</v>
      </c>
      <c r="D2693">
        <f>_xlfn.LET(_xlpm.dir,Table1[[#This Row],[Direction]],
IF(_xlpm.dir="L",
    IF(F2692-Table1[[#This Row],[Steps]]&lt;0,100+(F2692-Table1[[#This Row],[Steps]]),F2692-Table1[[#This Row],[Steps]]),
))</f>
        <v>93</v>
      </c>
      <c r="E2693">
        <f>_xlfn.LET(_xlpm.dir,Table1[[#This Row],[Direction]],
IF(_xlpm.dir="R",
    IF(F2692+Table1[[#This Row],[Steps]]&gt;99,(F2692+Table1[[#This Row],[Steps]])-100,F2692+Table1[[#This Row],[Steps]]),
))</f>
        <v>0</v>
      </c>
      <c r="F2693">
        <f>IF(Table1[[#This Row],[New Pos L]]&lt;&gt;0,Table1[[#This Row],[New Pos L]],Table1[[#This Row],[New Pos R]])</f>
        <v>93</v>
      </c>
    </row>
    <row r="2694" spans="1:6" ht="16" x14ac:dyDescent="0.2">
      <c r="A2694" s="1" t="s">
        <v>353</v>
      </c>
      <c r="B2694" t="str">
        <f>LEFT(Table1[[#This Row],[Input]],1)</f>
        <v>R</v>
      </c>
      <c r="C2694">
        <f>_xlfn.LET(_xlpm.steps,SUBSTITUTE(Table1[[#This Row],[Input]],Table1[[#This Row],[Direction]],""),VALUE(IF(LEN(_xlpm.steps)&gt;2,RIGHT(_xlpm.steps,2),_xlpm.steps)))</f>
        <v>7</v>
      </c>
      <c r="D2694">
        <f>_xlfn.LET(_xlpm.dir,Table1[[#This Row],[Direction]],
IF(_xlpm.dir="L",
    IF(F2693-Table1[[#This Row],[Steps]]&lt;0,100+(F2693-Table1[[#This Row],[Steps]]),F2693-Table1[[#This Row],[Steps]]),
))</f>
        <v>0</v>
      </c>
      <c r="E2694">
        <f>_xlfn.LET(_xlpm.dir,Table1[[#This Row],[Direction]],
IF(_xlpm.dir="R",
    IF(F2693+Table1[[#This Row],[Steps]]&gt;99,(F2693+Table1[[#This Row],[Steps]])-100,F2693+Table1[[#This Row],[Steps]]),
))</f>
        <v>0</v>
      </c>
      <c r="F2694">
        <f>IF(Table1[[#This Row],[New Pos L]]&lt;&gt;0,Table1[[#This Row],[New Pos L]],Table1[[#This Row],[New Pos R]])</f>
        <v>0</v>
      </c>
    </row>
    <row r="2695" spans="1:6" ht="16" x14ac:dyDescent="0.2">
      <c r="A2695" s="1" t="s">
        <v>68</v>
      </c>
      <c r="B2695" t="str">
        <f>LEFT(Table1[[#This Row],[Input]],1)</f>
        <v>L</v>
      </c>
      <c r="C2695">
        <f>_xlfn.LET(_xlpm.steps,SUBSTITUTE(Table1[[#This Row],[Input]],Table1[[#This Row],[Direction]],""),VALUE(IF(LEN(_xlpm.steps)&gt;2,RIGHT(_xlpm.steps,2),_xlpm.steps)))</f>
        <v>80</v>
      </c>
      <c r="D2695">
        <f>_xlfn.LET(_xlpm.dir,Table1[[#This Row],[Direction]],
IF(_xlpm.dir="L",
    IF(F2694-Table1[[#This Row],[Steps]]&lt;0,100+(F2694-Table1[[#This Row],[Steps]]),F2694-Table1[[#This Row],[Steps]]),
))</f>
        <v>20</v>
      </c>
      <c r="E2695">
        <f>_xlfn.LET(_xlpm.dir,Table1[[#This Row],[Direction]],
IF(_xlpm.dir="R",
    IF(F2694+Table1[[#This Row],[Steps]]&gt;99,(F2694+Table1[[#This Row],[Steps]])-100,F2694+Table1[[#This Row],[Steps]]),
))</f>
        <v>0</v>
      </c>
      <c r="F2695">
        <f>IF(Table1[[#This Row],[New Pos L]]&lt;&gt;0,Table1[[#This Row],[New Pos L]],Table1[[#This Row],[New Pos R]])</f>
        <v>20</v>
      </c>
    </row>
    <row r="2696" spans="1:6" ht="16" x14ac:dyDescent="0.2">
      <c r="A2696" s="1" t="s">
        <v>646</v>
      </c>
      <c r="B2696" t="str">
        <f>LEFT(Table1[[#This Row],[Input]],1)</f>
        <v>R</v>
      </c>
      <c r="C2696">
        <f>_xlfn.LET(_xlpm.steps,SUBSTITUTE(Table1[[#This Row],[Input]],Table1[[#This Row],[Direction]],""),VALUE(IF(LEN(_xlpm.steps)&gt;2,RIGHT(_xlpm.steps,2),_xlpm.steps)))</f>
        <v>57</v>
      </c>
      <c r="D2696">
        <f>_xlfn.LET(_xlpm.dir,Table1[[#This Row],[Direction]],
IF(_xlpm.dir="L",
    IF(F2695-Table1[[#This Row],[Steps]]&lt;0,100+(F2695-Table1[[#This Row],[Steps]]),F2695-Table1[[#This Row],[Steps]]),
))</f>
        <v>0</v>
      </c>
      <c r="E2696">
        <f>_xlfn.LET(_xlpm.dir,Table1[[#This Row],[Direction]],
IF(_xlpm.dir="R",
    IF(F2695+Table1[[#This Row],[Steps]]&gt;99,(F2695+Table1[[#This Row],[Steps]])-100,F2695+Table1[[#This Row],[Steps]]),
))</f>
        <v>77</v>
      </c>
      <c r="F2696">
        <f>IF(Table1[[#This Row],[New Pos L]]&lt;&gt;0,Table1[[#This Row],[New Pos L]],Table1[[#This Row],[New Pos R]])</f>
        <v>77</v>
      </c>
    </row>
    <row r="2697" spans="1:6" ht="16" x14ac:dyDescent="0.2">
      <c r="A2697" s="1" t="s">
        <v>205</v>
      </c>
      <c r="B2697" t="str">
        <f>LEFT(Table1[[#This Row],[Input]],1)</f>
        <v>R</v>
      </c>
      <c r="C2697">
        <f>_xlfn.LET(_xlpm.steps,SUBSTITUTE(Table1[[#This Row],[Input]],Table1[[#This Row],[Direction]],""),VALUE(IF(LEN(_xlpm.steps)&gt;2,RIGHT(_xlpm.steps,2),_xlpm.steps)))</f>
        <v>83</v>
      </c>
      <c r="D2697">
        <f>_xlfn.LET(_xlpm.dir,Table1[[#This Row],[Direction]],
IF(_xlpm.dir="L",
    IF(F2696-Table1[[#This Row],[Steps]]&lt;0,100+(F2696-Table1[[#This Row],[Steps]]),F2696-Table1[[#This Row],[Steps]]),
))</f>
        <v>0</v>
      </c>
      <c r="E2697">
        <f>_xlfn.LET(_xlpm.dir,Table1[[#This Row],[Direction]],
IF(_xlpm.dir="R",
    IF(F2696+Table1[[#This Row],[Steps]]&gt;99,(F2696+Table1[[#This Row],[Steps]])-100,F2696+Table1[[#This Row],[Steps]]),
))</f>
        <v>60</v>
      </c>
      <c r="F2697">
        <f>IF(Table1[[#This Row],[New Pos L]]&lt;&gt;0,Table1[[#This Row],[New Pos L]],Table1[[#This Row],[New Pos R]])</f>
        <v>60</v>
      </c>
    </row>
    <row r="2698" spans="1:6" ht="16" x14ac:dyDescent="0.2">
      <c r="A2698" s="1" t="s">
        <v>192</v>
      </c>
      <c r="B2698" t="str">
        <f>LEFT(Table1[[#This Row],[Input]],1)</f>
        <v>L</v>
      </c>
      <c r="C2698">
        <f>_xlfn.LET(_xlpm.steps,SUBSTITUTE(Table1[[#This Row],[Input]],Table1[[#This Row],[Direction]],""),VALUE(IF(LEN(_xlpm.steps)&gt;2,RIGHT(_xlpm.steps,2),_xlpm.steps)))</f>
        <v>52</v>
      </c>
      <c r="D2698">
        <f>_xlfn.LET(_xlpm.dir,Table1[[#This Row],[Direction]],
IF(_xlpm.dir="L",
    IF(F2697-Table1[[#This Row],[Steps]]&lt;0,100+(F2697-Table1[[#This Row],[Steps]]),F2697-Table1[[#This Row],[Steps]]),
))</f>
        <v>8</v>
      </c>
      <c r="E2698">
        <f>_xlfn.LET(_xlpm.dir,Table1[[#This Row],[Direction]],
IF(_xlpm.dir="R",
    IF(F2697+Table1[[#This Row],[Steps]]&gt;99,(F2697+Table1[[#This Row],[Steps]])-100,F2697+Table1[[#This Row],[Steps]]),
))</f>
        <v>0</v>
      </c>
      <c r="F2698">
        <f>IF(Table1[[#This Row],[New Pos L]]&lt;&gt;0,Table1[[#This Row],[New Pos L]],Table1[[#This Row],[New Pos R]])</f>
        <v>8</v>
      </c>
    </row>
    <row r="2699" spans="1:6" ht="16" x14ac:dyDescent="0.2">
      <c r="A2699" s="1" t="s">
        <v>20</v>
      </c>
      <c r="B2699" t="str">
        <f>LEFT(Table1[[#This Row],[Input]],1)</f>
        <v>R</v>
      </c>
      <c r="C2699">
        <f>_xlfn.LET(_xlpm.steps,SUBSTITUTE(Table1[[#This Row],[Input]],Table1[[#This Row],[Direction]],""),VALUE(IF(LEN(_xlpm.steps)&gt;2,RIGHT(_xlpm.steps,2),_xlpm.steps)))</f>
        <v>46</v>
      </c>
      <c r="D2699">
        <f>_xlfn.LET(_xlpm.dir,Table1[[#This Row],[Direction]],
IF(_xlpm.dir="L",
    IF(F2698-Table1[[#This Row],[Steps]]&lt;0,100+(F2698-Table1[[#This Row],[Steps]]),F2698-Table1[[#This Row],[Steps]]),
))</f>
        <v>0</v>
      </c>
      <c r="E2699">
        <f>_xlfn.LET(_xlpm.dir,Table1[[#This Row],[Direction]],
IF(_xlpm.dir="R",
    IF(F2698+Table1[[#This Row],[Steps]]&gt;99,(F2698+Table1[[#This Row],[Steps]])-100,F2698+Table1[[#This Row],[Steps]]),
))</f>
        <v>54</v>
      </c>
      <c r="F2699">
        <f>IF(Table1[[#This Row],[New Pos L]]&lt;&gt;0,Table1[[#This Row],[New Pos L]],Table1[[#This Row],[New Pos R]])</f>
        <v>54</v>
      </c>
    </row>
    <row r="2700" spans="1:6" ht="16" x14ac:dyDescent="0.2">
      <c r="A2700" s="1" t="s">
        <v>309</v>
      </c>
      <c r="B2700" t="str">
        <f>LEFT(Table1[[#This Row],[Input]],1)</f>
        <v>L</v>
      </c>
      <c r="C2700">
        <f>_xlfn.LET(_xlpm.steps,SUBSTITUTE(Table1[[#This Row],[Input]],Table1[[#This Row],[Direction]],""),VALUE(IF(LEN(_xlpm.steps)&gt;2,RIGHT(_xlpm.steps,2),_xlpm.steps)))</f>
        <v>41</v>
      </c>
      <c r="D2700">
        <f>_xlfn.LET(_xlpm.dir,Table1[[#This Row],[Direction]],
IF(_xlpm.dir="L",
    IF(F2699-Table1[[#This Row],[Steps]]&lt;0,100+(F2699-Table1[[#This Row],[Steps]]),F2699-Table1[[#This Row],[Steps]]),
))</f>
        <v>13</v>
      </c>
      <c r="E2700">
        <f>_xlfn.LET(_xlpm.dir,Table1[[#This Row],[Direction]],
IF(_xlpm.dir="R",
    IF(F2699+Table1[[#This Row],[Steps]]&gt;99,(F2699+Table1[[#This Row],[Steps]])-100,F2699+Table1[[#This Row],[Steps]]),
))</f>
        <v>0</v>
      </c>
      <c r="F2700">
        <f>IF(Table1[[#This Row],[New Pos L]]&lt;&gt;0,Table1[[#This Row],[New Pos L]],Table1[[#This Row],[New Pos R]])</f>
        <v>13</v>
      </c>
    </row>
    <row r="2701" spans="1:6" ht="16" x14ac:dyDescent="0.2">
      <c r="A2701" s="1" t="s">
        <v>213</v>
      </c>
      <c r="B2701" t="str">
        <f>LEFT(Table1[[#This Row],[Input]],1)</f>
        <v>R</v>
      </c>
      <c r="C2701">
        <f>_xlfn.LET(_xlpm.steps,SUBSTITUTE(Table1[[#This Row],[Input]],Table1[[#This Row],[Direction]],""),VALUE(IF(LEN(_xlpm.steps)&gt;2,RIGHT(_xlpm.steps,2),_xlpm.steps)))</f>
        <v>87</v>
      </c>
      <c r="D2701">
        <f>_xlfn.LET(_xlpm.dir,Table1[[#This Row],[Direction]],
IF(_xlpm.dir="L",
    IF(F2700-Table1[[#This Row],[Steps]]&lt;0,100+(F2700-Table1[[#This Row],[Steps]]),F2700-Table1[[#This Row],[Steps]]),
))</f>
        <v>0</v>
      </c>
      <c r="E2701">
        <f>_xlfn.LET(_xlpm.dir,Table1[[#This Row],[Direction]],
IF(_xlpm.dir="R",
    IF(F2700+Table1[[#This Row],[Steps]]&gt;99,(F2700+Table1[[#This Row],[Steps]])-100,F2700+Table1[[#This Row],[Steps]]),
))</f>
        <v>0</v>
      </c>
      <c r="F2701">
        <f>IF(Table1[[#This Row],[New Pos L]]&lt;&gt;0,Table1[[#This Row],[New Pos L]],Table1[[#This Row],[New Pos R]])</f>
        <v>0</v>
      </c>
    </row>
    <row r="2702" spans="1:6" ht="16" x14ac:dyDescent="0.2">
      <c r="A2702" s="1" t="s">
        <v>207</v>
      </c>
      <c r="B2702" t="str">
        <f>LEFT(Table1[[#This Row],[Input]],1)</f>
        <v>L</v>
      </c>
      <c r="C2702">
        <f>_xlfn.LET(_xlpm.steps,SUBSTITUTE(Table1[[#This Row],[Input]],Table1[[#This Row],[Direction]],""),VALUE(IF(LEN(_xlpm.steps)&gt;2,RIGHT(_xlpm.steps,2),_xlpm.steps)))</f>
        <v>89</v>
      </c>
      <c r="D2702">
        <f>_xlfn.LET(_xlpm.dir,Table1[[#This Row],[Direction]],
IF(_xlpm.dir="L",
    IF(F2701-Table1[[#This Row],[Steps]]&lt;0,100+(F2701-Table1[[#This Row],[Steps]]),F2701-Table1[[#This Row],[Steps]]),
))</f>
        <v>11</v>
      </c>
      <c r="E2702">
        <f>_xlfn.LET(_xlpm.dir,Table1[[#This Row],[Direction]],
IF(_xlpm.dir="R",
    IF(F2701+Table1[[#This Row],[Steps]]&gt;99,(F2701+Table1[[#This Row],[Steps]])-100,F2701+Table1[[#This Row],[Steps]]),
))</f>
        <v>0</v>
      </c>
      <c r="F2702">
        <f>IF(Table1[[#This Row],[New Pos L]]&lt;&gt;0,Table1[[#This Row],[New Pos L]],Table1[[#This Row],[New Pos R]])</f>
        <v>11</v>
      </c>
    </row>
    <row r="2703" spans="1:6" ht="16" x14ac:dyDescent="0.2">
      <c r="A2703" s="1" t="s">
        <v>462</v>
      </c>
      <c r="B2703" t="str">
        <f>LEFT(Table1[[#This Row],[Input]],1)</f>
        <v>L</v>
      </c>
      <c r="C2703">
        <f>_xlfn.LET(_xlpm.steps,SUBSTITUTE(Table1[[#This Row],[Input]],Table1[[#This Row],[Direction]],""),VALUE(IF(LEN(_xlpm.steps)&gt;2,RIGHT(_xlpm.steps,2),_xlpm.steps)))</f>
        <v>17</v>
      </c>
      <c r="D2703">
        <f>_xlfn.LET(_xlpm.dir,Table1[[#This Row],[Direction]],
IF(_xlpm.dir="L",
    IF(F2702-Table1[[#This Row],[Steps]]&lt;0,100+(F2702-Table1[[#This Row],[Steps]]),F2702-Table1[[#This Row],[Steps]]),
))</f>
        <v>94</v>
      </c>
      <c r="E2703">
        <f>_xlfn.LET(_xlpm.dir,Table1[[#This Row],[Direction]],
IF(_xlpm.dir="R",
    IF(F2702+Table1[[#This Row],[Steps]]&gt;99,(F2702+Table1[[#This Row],[Steps]])-100,F2702+Table1[[#This Row],[Steps]]),
))</f>
        <v>0</v>
      </c>
      <c r="F2703">
        <f>IF(Table1[[#This Row],[New Pos L]]&lt;&gt;0,Table1[[#This Row],[New Pos L]],Table1[[#This Row],[New Pos R]])</f>
        <v>94</v>
      </c>
    </row>
    <row r="2704" spans="1:6" ht="16" x14ac:dyDescent="0.2">
      <c r="A2704" s="1" t="s">
        <v>647</v>
      </c>
      <c r="B2704" t="str">
        <f>LEFT(Table1[[#This Row],[Input]],1)</f>
        <v>L</v>
      </c>
      <c r="C2704">
        <f>_xlfn.LET(_xlpm.steps,SUBSTITUTE(Table1[[#This Row],[Input]],Table1[[#This Row],[Direction]],""),VALUE(IF(LEN(_xlpm.steps)&gt;2,RIGHT(_xlpm.steps,2),_xlpm.steps)))</f>
        <v>28</v>
      </c>
      <c r="D2704">
        <f>_xlfn.LET(_xlpm.dir,Table1[[#This Row],[Direction]],
IF(_xlpm.dir="L",
    IF(F2703-Table1[[#This Row],[Steps]]&lt;0,100+(F2703-Table1[[#This Row],[Steps]]),F2703-Table1[[#This Row],[Steps]]),
))</f>
        <v>66</v>
      </c>
      <c r="E2704">
        <f>_xlfn.LET(_xlpm.dir,Table1[[#This Row],[Direction]],
IF(_xlpm.dir="R",
    IF(F2703+Table1[[#This Row],[Steps]]&gt;99,(F2703+Table1[[#This Row],[Steps]])-100,F2703+Table1[[#This Row],[Steps]]),
))</f>
        <v>0</v>
      </c>
      <c r="F2704">
        <f>IF(Table1[[#This Row],[New Pos L]]&lt;&gt;0,Table1[[#This Row],[New Pos L]],Table1[[#This Row],[New Pos R]])</f>
        <v>66</v>
      </c>
    </row>
    <row r="2705" spans="1:6" ht="16" x14ac:dyDescent="0.2">
      <c r="A2705" s="1" t="s">
        <v>4</v>
      </c>
      <c r="B2705" t="str">
        <f>LEFT(Table1[[#This Row],[Input]],1)</f>
        <v>R</v>
      </c>
      <c r="C2705">
        <f>_xlfn.LET(_xlpm.steps,SUBSTITUTE(Table1[[#This Row],[Input]],Table1[[#This Row],[Direction]],""),VALUE(IF(LEN(_xlpm.steps)&gt;2,RIGHT(_xlpm.steps,2),_xlpm.steps)))</f>
        <v>3</v>
      </c>
      <c r="D2705">
        <f>_xlfn.LET(_xlpm.dir,Table1[[#This Row],[Direction]],
IF(_xlpm.dir="L",
    IF(F2704-Table1[[#This Row],[Steps]]&lt;0,100+(F2704-Table1[[#This Row],[Steps]]),F2704-Table1[[#This Row],[Steps]]),
))</f>
        <v>0</v>
      </c>
      <c r="E2705">
        <f>_xlfn.LET(_xlpm.dir,Table1[[#This Row],[Direction]],
IF(_xlpm.dir="R",
    IF(F2704+Table1[[#This Row],[Steps]]&gt;99,(F2704+Table1[[#This Row],[Steps]])-100,F2704+Table1[[#This Row],[Steps]]),
))</f>
        <v>69</v>
      </c>
      <c r="F2705">
        <f>IF(Table1[[#This Row],[New Pos L]]&lt;&gt;0,Table1[[#This Row],[New Pos L]],Table1[[#This Row],[New Pos R]])</f>
        <v>69</v>
      </c>
    </row>
    <row r="2706" spans="1:6" ht="16" x14ac:dyDescent="0.2">
      <c r="A2706" s="1" t="s">
        <v>267</v>
      </c>
      <c r="B2706" t="str">
        <f>LEFT(Table1[[#This Row],[Input]],1)</f>
        <v>L</v>
      </c>
      <c r="C2706">
        <f>_xlfn.LET(_xlpm.steps,SUBSTITUTE(Table1[[#This Row],[Input]],Table1[[#This Row],[Direction]],""),VALUE(IF(LEN(_xlpm.steps)&gt;2,RIGHT(_xlpm.steps,2),_xlpm.steps)))</f>
        <v>39</v>
      </c>
      <c r="D2706">
        <f>_xlfn.LET(_xlpm.dir,Table1[[#This Row],[Direction]],
IF(_xlpm.dir="L",
    IF(F2705-Table1[[#This Row],[Steps]]&lt;0,100+(F2705-Table1[[#This Row],[Steps]]),F2705-Table1[[#This Row],[Steps]]),
))</f>
        <v>30</v>
      </c>
      <c r="E2706">
        <f>_xlfn.LET(_xlpm.dir,Table1[[#This Row],[Direction]],
IF(_xlpm.dir="R",
    IF(F2705+Table1[[#This Row],[Steps]]&gt;99,(F2705+Table1[[#This Row],[Steps]])-100,F2705+Table1[[#This Row],[Steps]]),
))</f>
        <v>0</v>
      </c>
      <c r="F2706">
        <f>IF(Table1[[#This Row],[New Pos L]]&lt;&gt;0,Table1[[#This Row],[New Pos L]],Table1[[#This Row],[New Pos R]])</f>
        <v>30</v>
      </c>
    </row>
    <row r="2707" spans="1:6" ht="16" x14ac:dyDescent="0.2">
      <c r="A2707" s="1" t="s">
        <v>241</v>
      </c>
      <c r="B2707" t="str">
        <f>LEFT(Table1[[#This Row],[Input]],1)</f>
        <v>R</v>
      </c>
      <c r="C2707">
        <f>_xlfn.LET(_xlpm.steps,SUBSTITUTE(Table1[[#This Row],[Input]],Table1[[#This Row],[Direction]],""),VALUE(IF(LEN(_xlpm.steps)&gt;2,RIGHT(_xlpm.steps,2),_xlpm.steps)))</f>
        <v>60</v>
      </c>
      <c r="D2707">
        <f>_xlfn.LET(_xlpm.dir,Table1[[#This Row],[Direction]],
IF(_xlpm.dir="L",
    IF(F2706-Table1[[#This Row],[Steps]]&lt;0,100+(F2706-Table1[[#This Row],[Steps]]),F2706-Table1[[#This Row],[Steps]]),
))</f>
        <v>0</v>
      </c>
      <c r="E2707">
        <f>_xlfn.LET(_xlpm.dir,Table1[[#This Row],[Direction]],
IF(_xlpm.dir="R",
    IF(F2706+Table1[[#This Row],[Steps]]&gt;99,(F2706+Table1[[#This Row],[Steps]])-100,F2706+Table1[[#This Row],[Steps]]),
))</f>
        <v>90</v>
      </c>
      <c r="F2707">
        <f>IF(Table1[[#This Row],[New Pos L]]&lt;&gt;0,Table1[[#This Row],[New Pos L]],Table1[[#This Row],[New Pos R]])</f>
        <v>90</v>
      </c>
    </row>
    <row r="2708" spans="1:6" ht="16" x14ac:dyDescent="0.2">
      <c r="A2708" s="1" t="s">
        <v>64</v>
      </c>
      <c r="B2708" t="str">
        <f>LEFT(Table1[[#This Row],[Input]],1)</f>
        <v>R</v>
      </c>
      <c r="C2708">
        <f>_xlfn.LET(_xlpm.steps,SUBSTITUTE(Table1[[#This Row],[Input]],Table1[[#This Row],[Direction]],""),VALUE(IF(LEN(_xlpm.steps)&gt;2,RIGHT(_xlpm.steps,2),_xlpm.steps)))</f>
        <v>10</v>
      </c>
      <c r="D2708">
        <f>_xlfn.LET(_xlpm.dir,Table1[[#This Row],[Direction]],
IF(_xlpm.dir="L",
    IF(F2707-Table1[[#This Row],[Steps]]&lt;0,100+(F2707-Table1[[#This Row],[Steps]]),F2707-Table1[[#This Row],[Steps]]),
))</f>
        <v>0</v>
      </c>
      <c r="E2708">
        <f>_xlfn.LET(_xlpm.dir,Table1[[#This Row],[Direction]],
IF(_xlpm.dir="R",
    IF(F2707+Table1[[#This Row],[Steps]]&gt;99,(F2707+Table1[[#This Row],[Steps]])-100,F2707+Table1[[#This Row],[Steps]]),
))</f>
        <v>0</v>
      </c>
      <c r="F2708">
        <f>IF(Table1[[#This Row],[New Pos L]]&lt;&gt;0,Table1[[#This Row],[New Pos L]],Table1[[#This Row],[New Pos R]])</f>
        <v>0</v>
      </c>
    </row>
    <row r="2709" spans="1:6" ht="16" x14ac:dyDescent="0.2">
      <c r="A2709" s="1" t="s">
        <v>70</v>
      </c>
      <c r="B2709" t="str">
        <f>LEFT(Table1[[#This Row],[Input]],1)</f>
        <v>R</v>
      </c>
      <c r="C2709">
        <f>_xlfn.LET(_xlpm.steps,SUBSTITUTE(Table1[[#This Row],[Input]],Table1[[#This Row],[Direction]],""),VALUE(IF(LEN(_xlpm.steps)&gt;2,RIGHT(_xlpm.steps,2),_xlpm.steps)))</f>
        <v>73</v>
      </c>
      <c r="D2709">
        <f>_xlfn.LET(_xlpm.dir,Table1[[#This Row],[Direction]],
IF(_xlpm.dir="L",
    IF(F2708-Table1[[#This Row],[Steps]]&lt;0,100+(F2708-Table1[[#This Row],[Steps]]),F2708-Table1[[#This Row],[Steps]]),
))</f>
        <v>0</v>
      </c>
      <c r="E2709">
        <f>_xlfn.LET(_xlpm.dir,Table1[[#This Row],[Direction]],
IF(_xlpm.dir="R",
    IF(F2708+Table1[[#This Row],[Steps]]&gt;99,(F2708+Table1[[#This Row],[Steps]])-100,F2708+Table1[[#This Row],[Steps]]),
))</f>
        <v>73</v>
      </c>
      <c r="F2709">
        <f>IF(Table1[[#This Row],[New Pos L]]&lt;&gt;0,Table1[[#This Row],[New Pos L]],Table1[[#This Row],[New Pos R]])</f>
        <v>73</v>
      </c>
    </row>
    <row r="2710" spans="1:6" ht="16" x14ac:dyDescent="0.2">
      <c r="A2710" s="1" t="s">
        <v>69</v>
      </c>
      <c r="B2710" t="str">
        <f>LEFT(Table1[[#This Row],[Input]],1)</f>
        <v>R</v>
      </c>
      <c r="C2710">
        <f>_xlfn.LET(_xlpm.steps,SUBSTITUTE(Table1[[#This Row],[Input]],Table1[[#This Row],[Direction]],""),VALUE(IF(LEN(_xlpm.steps)&gt;2,RIGHT(_xlpm.steps,2),_xlpm.steps)))</f>
        <v>27</v>
      </c>
      <c r="D2710">
        <f>_xlfn.LET(_xlpm.dir,Table1[[#This Row],[Direction]],
IF(_xlpm.dir="L",
    IF(F2709-Table1[[#This Row],[Steps]]&lt;0,100+(F2709-Table1[[#This Row],[Steps]]),F2709-Table1[[#This Row],[Steps]]),
))</f>
        <v>0</v>
      </c>
      <c r="E2710">
        <f>_xlfn.LET(_xlpm.dir,Table1[[#This Row],[Direction]],
IF(_xlpm.dir="R",
    IF(F2709+Table1[[#This Row],[Steps]]&gt;99,(F2709+Table1[[#This Row],[Steps]])-100,F2709+Table1[[#This Row],[Steps]]),
))</f>
        <v>0</v>
      </c>
      <c r="F2710">
        <f>IF(Table1[[#This Row],[New Pos L]]&lt;&gt;0,Table1[[#This Row],[New Pos L]],Table1[[#This Row],[New Pos R]])</f>
        <v>0</v>
      </c>
    </row>
    <row r="2711" spans="1:6" ht="16" x14ac:dyDescent="0.2">
      <c r="A2711" s="1" t="s">
        <v>122</v>
      </c>
      <c r="B2711" t="str">
        <f>LEFT(Table1[[#This Row],[Input]],1)</f>
        <v>R</v>
      </c>
      <c r="C2711">
        <f>_xlfn.LET(_xlpm.steps,SUBSTITUTE(Table1[[#This Row],[Input]],Table1[[#This Row],[Direction]],""),VALUE(IF(LEN(_xlpm.steps)&gt;2,RIGHT(_xlpm.steps,2),_xlpm.steps)))</f>
        <v>75</v>
      </c>
      <c r="D2711">
        <f>_xlfn.LET(_xlpm.dir,Table1[[#This Row],[Direction]],
IF(_xlpm.dir="L",
    IF(F2710-Table1[[#This Row],[Steps]]&lt;0,100+(F2710-Table1[[#This Row],[Steps]]),F2710-Table1[[#This Row],[Steps]]),
))</f>
        <v>0</v>
      </c>
      <c r="E2711">
        <f>_xlfn.LET(_xlpm.dir,Table1[[#This Row],[Direction]],
IF(_xlpm.dir="R",
    IF(F2710+Table1[[#This Row],[Steps]]&gt;99,(F2710+Table1[[#This Row],[Steps]])-100,F2710+Table1[[#This Row],[Steps]]),
))</f>
        <v>75</v>
      </c>
      <c r="F2711">
        <f>IF(Table1[[#This Row],[New Pos L]]&lt;&gt;0,Table1[[#This Row],[New Pos L]],Table1[[#This Row],[New Pos R]])</f>
        <v>75</v>
      </c>
    </row>
    <row r="2712" spans="1:6" ht="16" x14ac:dyDescent="0.2">
      <c r="A2712" s="1" t="s">
        <v>54</v>
      </c>
      <c r="B2712" t="str">
        <f>LEFT(Table1[[#This Row],[Input]],1)</f>
        <v>L</v>
      </c>
      <c r="C2712">
        <f>_xlfn.LET(_xlpm.steps,SUBSTITUTE(Table1[[#This Row],[Input]],Table1[[#This Row],[Direction]],""),VALUE(IF(LEN(_xlpm.steps)&gt;2,RIGHT(_xlpm.steps,2),_xlpm.steps)))</f>
        <v>75</v>
      </c>
      <c r="D2712">
        <f>_xlfn.LET(_xlpm.dir,Table1[[#This Row],[Direction]],
IF(_xlpm.dir="L",
    IF(F2711-Table1[[#This Row],[Steps]]&lt;0,100+(F2711-Table1[[#This Row],[Steps]]),F2711-Table1[[#This Row],[Steps]]),
))</f>
        <v>0</v>
      </c>
      <c r="E2712">
        <f>_xlfn.LET(_xlpm.dir,Table1[[#This Row],[Direction]],
IF(_xlpm.dir="R",
    IF(F2711+Table1[[#This Row],[Steps]]&gt;99,(F2711+Table1[[#This Row],[Steps]])-100,F2711+Table1[[#This Row],[Steps]]),
))</f>
        <v>0</v>
      </c>
      <c r="F2712">
        <f>IF(Table1[[#This Row],[New Pos L]]&lt;&gt;0,Table1[[#This Row],[New Pos L]],Table1[[#This Row],[New Pos R]])</f>
        <v>0</v>
      </c>
    </row>
    <row r="2713" spans="1:6" ht="16" x14ac:dyDescent="0.2">
      <c r="A2713" s="1" t="s">
        <v>648</v>
      </c>
      <c r="B2713" t="str">
        <f>LEFT(Table1[[#This Row],[Input]],1)</f>
        <v>L</v>
      </c>
      <c r="C2713">
        <f>_xlfn.LET(_xlpm.steps,SUBSTITUTE(Table1[[#This Row],[Input]],Table1[[#This Row],[Direction]],""),VALUE(IF(LEN(_xlpm.steps)&gt;2,RIGHT(_xlpm.steps,2),_xlpm.steps)))</f>
        <v>49</v>
      </c>
      <c r="D2713">
        <f>_xlfn.LET(_xlpm.dir,Table1[[#This Row],[Direction]],
IF(_xlpm.dir="L",
    IF(F2712-Table1[[#This Row],[Steps]]&lt;0,100+(F2712-Table1[[#This Row],[Steps]]),F2712-Table1[[#This Row],[Steps]]),
))</f>
        <v>51</v>
      </c>
      <c r="E2713">
        <f>_xlfn.LET(_xlpm.dir,Table1[[#This Row],[Direction]],
IF(_xlpm.dir="R",
    IF(F2712+Table1[[#This Row],[Steps]]&gt;99,(F2712+Table1[[#This Row],[Steps]])-100,F2712+Table1[[#This Row],[Steps]]),
))</f>
        <v>0</v>
      </c>
      <c r="F2713">
        <f>IF(Table1[[#This Row],[New Pos L]]&lt;&gt;0,Table1[[#This Row],[New Pos L]],Table1[[#This Row],[New Pos R]])</f>
        <v>51</v>
      </c>
    </row>
    <row r="2714" spans="1:6" ht="16" x14ac:dyDescent="0.2">
      <c r="A2714" s="1" t="s">
        <v>490</v>
      </c>
      <c r="B2714" t="str">
        <f>LEFT(Table1[[#This Row],[Input]],1)</f>
        <v>R</v>
      </c>
      <c r="C2714">
        <f>_xlfn.LET(_xlpm.steps,SUBSTITUTE(Table1[[#This Row],[Input]],Table1[[#This Row],[Direction]],""),VALUE(IF(LEN(_xlpm.steps)&gt;2,RIGHT(_xlpm.steps,2),_xlpm.steps)))</f>
        <v>49</v>
      </c>
      <c r="D2714">
        <f>_xlfn.LET(_xlpm.dir,Table1[[#This Row],[Direction]],
IF(_xlpm.dir="L",
    IF(F2713-Table1[[#This Row],[Steps]]&lt;0,100+(F2713-Table1[[#This Row],[Steps]]),F2713-Table1[[#This Row],[Steps]]),
))</f>
        <v>0</v>
      </c>
      <c r="E2714">
        <f>_xlfn.LET(_xlpm.dir,Table1[[#This Row],[Direction]],
IF(_xlpm.dir="R",
    IF(F2713+Table1[[#This Row],[Steps]]&gt;99,(F2713+Table1[[#This Row],[Steps]])-100,F2713+Table1[[#This Row],[Steps]]),
))</f>
        <v>0</v>
      </c>
      <c r="F2714">
        <f>IF(Table1[[#This Row],[New Pos L]]&lt;&gt;0,Table1[[#This Row],[New Pos L]],Table1[[#This Row],[New Pos R]])</f>
        <v>0</v>
      </c>
    </row>
    <row r="2715" spans="1:6" ht="16" x14ac:dyDescent="0.2">
      <c r="A2715" s="1" t="s">
        <v>219</v>
      </c>
      <c r="B2715" t="str">
        <f>LEFT(Table1[[#This Row],[Input]],1)</f>
        <v>L</v>
      </c>
      <c r="C2715">
        <f>_xlfn.LET(_xlpm.steps,SUBSTITUTE(Table1[[#This Row],[Input]],Table1[[#This Row],[Direction]],""),VALUE(IF(LEN(_xlpm.steps)&gt;2,RIGHT(_xlpm.steps,2),_xlpm.steps)))</f>
        <v>64</v>
      </c>
      <c r="D2715">
        <f>_xlfn.LET(_xlpm.dir,Table1[[#This Row],[Direction]],
IF(_xlpm.dir="L",
    IF(F2714-Table1[[#This Row],[Steps]]&lt;0,100+(F2714-Table1[[#This Row],[Steps]]),F2714-Table1[[#This Row],[Steps]]),
))</f>
        <v>36</v>
      </c>
      <c r="E2715">
        <f>_xlfn.LET(_xlpm.dir,Table1[[#This Row],[Direction]],
IF(_xlpm.dir="R",
    IF(F2714+Table1[[#This Row],[Steps]]&gt;99,(F2714+Table1[[#This Row],[Steps]])-100,F2714+Table1[[#This Row],[Steps]]),
))</f>
        <v>0</v>
      </c>
      <c r="F2715">
        <f>IF(Table1[[#This Row],[New Pos L]]&lt;&gt;0,Table1[[#This Row],[New Pos L]],Table1[[#This Row],[New Pos R]])</f>
        <v>36</v>
      </c>
    </row>
    <row r="2716" spans="1:6" ht="16" x14ac:dyDescent="0.2">
      <c r="A2716" s="1" t="s">
        <v>325</v>
      </c>
      <c r="B2716" t="str">
        <f>LEFT(Table1[[#This Row],[Input]],1)</f>
        <v>L</v>
      </c>
      <c r="C2716">
        <f>_xlfn.LET(_xlpm.steps,SUBSTITUTE(Table1[[#This Row],[Input]],Table1[[#This Row],[Direction]],""),VALUE(IF(LEN(_xlpm.steps)&gt;2,RIGHT(_xlpm.steps,2),_xlpm.steps)))</f>
        <v>68</v>
      </c>
      <c r="D2716">
        <f>_xlfn.LET(_xlpm.dir,Table1[[#This Row],[Direction]],
IF(_xlpm.dir="L",
    IF(F2715-Table1[[#This Row],[Steps]]&lt;0,100+(F2715-Table1[[#This Row],[Steps]]),F2715-Table1[[#This Row],[Steps]]),
))</f>
        <v>68</v>
      </c>
      <c r="E2716">
        <f>_xlfn.LET(_xlpm.dir,Table1[[#This Row],[Direction]],
IF(_xlpm.dir="R",
    IF(F2715+Table1[[#This Row],[Steps]]&gt;99,(F2715+Table1[[#This Row],[Steps]])-100,F2715+Table1[[#This Row],[Steps]]),
))</f>
        <v>0</v>
      </c>
      <c r="F2716">
        <f>IF(Table1[[#This Row],[New Pos L]]&lt;&gt;0,Table1[[#This Row],[New Pos L]],Table1[[#This Row],[New Pos R]])</f>
        <v>68</v>
      </c>
    </row>
    <row r="2717" spans="1:6" ht="16" x14ac:dyDescent="0.2">
      <c r="A2717" s="1" t="s">
        <v>649</v>
      </c>
      <c r="B2717" t="str">
        <f>LEFT(Table1[[#This Row],[Input]],1)</f>
        <v>R</v>
      </c>
      <c r="C2717">
        <f>_xlfn.LET(_xlpm.steps,SUBSTITUTE(Table1[[#This Row],[Input]],Table1[[#This Row],[Direction]],""),VALUE(IF(LEN(_xlpm.steps)&gt;2,RIGHT(_xlpm.steps,2),_xlpm.steps)))</f>
        <v>82</v>
      </c>
      <c r="D2717">
        <f>_xlfn.LET(_xlpm.dir,Table1[[#This Row],[Direction]],
IF(_xlpm.dir="L",
    IF(F2716-Table1[[#This Row],[Steps]]&lt;0,100+(F2716-Table1[[#This Row],[Steps]]),F2716-Table1[[#This Row],[Steps]]),
))</f>
        <v>0</v>
      </c>
      <c r="E2717">
        <f>_xlfn.LET(_xlpm.dir,Table1[[#This Row],[Direction]],
IF(_xlpm.dir="R",
    IF(F2716+Table1[[#This Row],[Steps]]&gt;99,(F2716+Table1[[#This Row],[Steps]])-100,F2716+Table1[[#This Row],[Steps]]),
))</f>
        <v>50</v>
      </c>
      <c r="F2717">
        <f>IF(Table1[[#This Row],[New Pos L]]&lt;&gt;0,Table1[[#This Row],[New Pos L]],Table1[[#This Row],[New Pos R]])</f>
        <v>50</v>
      </c>
    </row>
    <row r="2718" spans="1:6" ht="16" x14ac:dyDescent="0.2">
      <c r="A2718" s="1" t="s">
        <v>36</v>
      </c>
      <c r="B2718" t="str">
        <f>LEFT(Table1[[#This Row],[Input]],1)</f>
        <v>R</v>
      </c>
      <c r="C2718">
        <f>_xlfn.LET(_xlpm.steps,SUBSTITUTE(Table1[[#This Row],[Input]],Table1[[#This Row],[Direction]],""),VALUE(IF(LEN(_xlpm.steps)&gt;2,RIGHT(_xlpm.steps,2),_xlpm.steps)))</f>
        <v>50</v>
      </c>
      <c r="D2718">
        <f>_xlfn.LET(_xlpm.dir,Table1[[#This Row],[Direction]],
IF(_xlpm.dir="L",
    IF(F2717-Table1[[#This Row],[Steps]]&lt;0,100+(F2717-Table1[[#This Row],[Steps]]),F2717-Table1[[#This Row],[Steps]]),
))</f>
        <v>0</v>
      </c>
      <c r="E2718">
        <f>_xlfn.LET(_xlpm.dir,Table1[[#This Row],[Direction]],
IF(_xlpm.dir="R",
    IF(F2717+Table1[[#This Row],[Steps]]&gt;99,(F2717+Table1[[#This Row],[Steps]])-100,F2717+Table1[[#This Row],[Steps]]),
))</f>
        <v>0</v>
      </c>
      <c r="F2718">
        <f>IF(Table1[[#This Row],[New Pos L]]&lt;&gt;0,Table1[[#This Row],[New Pos L]],Table1[[#This Row],[New Pos R]])</f>
        <v>0</v>
      </c>
    </row>
    <row r="2719" spans="1:6" ht="16" x14ac:dyDescent="0.2">
      <c r="A2719" s="1" t="s">
        <v>115</v>
      </c>
      <c r="B2719" t="str">
        <f>LEFT(Table1[[#This Row],[Input]],1)</f>
        <v>L</v>
      </c>
      <c r="C2719">
        <f>_xlfn.LET(_xlpm.steps,SUBSTITUTE(Table1[[#This Row],[Input]],Table1[[#This Row],[Direction]],""),VALUE(IF(LEN(_xlpm.steps)&gt;2,RIGHT(_xlpm.steps,2),_xlpm.steps)))</f>
        <v>29</v>
      </c>
      <c r="D2719">
        <f>_xlfn.LET(_xlpm.dir,Table1[[#This Row],[Direction]],
IF(_xlpm.dir="L",
    IF(F2718-Table1[[#This Row],[Steps]]&lt;0,100+(F2718-Table1[[#This Row],[Steps]]),F2718-Table1[[#This Row],[Steps]]),
))</f>
        <v>71</v>
      </c>
      <c r="E2719">
        <f>_xlfn.LET(_xlpm.dir,Table1[[#This Row],[Direction]],
IF(_xlpm.dir="R",
    IF(F2718+Table1[[#This Row],[Steps]]&gt;99,(F2718+Table1[[#This Row],[Steps]])-100,F2718+Table1[[#This Row],[Steps]]),
))</f>
        <v>0</v>
      </c>
      <c r="F2719">
        <f>IF(Table1[[#This Row],[New Pos L]]&lt;&gt;0,Table1[[#This Row],[New Pos L]],Table1[[#This Row],[New Pos R]])</f>
        <v>71</v>
      </c>
    </row>
    <row r="2720" spans="1:6" ht="16" x14ac:dyDescent="0.2">
      <c r="A2720" s="1" t="s">
        <v>57</v>
      </c>
      <c r="B2720" t="str">
        <f>LEFT(Table1[[#This Row],[Input]],1)</f>
        <v>R</v>
      </c>
      <c r="C2720">
        <f>_xlfn.LET(_xlpm.steps,SUBSTITUTE(Table1[[#This Row],[Input]],Table1[[#This Row],[Direction]],""),VALUE(IF(LEN(_xlpm.steps)&gt;2,RIGHT(_xlpm.steps,2),_xlpm.steps)))</f>
        <v>29</v>
      </c>
      <c r="D2720">
        <f>_xlfn.LET(_xlpm.dir,Table1[[#This Row],[Direction]],
IF(_xlpm.dir="L",
    IF(F2719-Table1[[#This Row],[Steps]]&lt;0,100+(F2719-Table1[[#This Row],[Steps]]),F2719-Table1[[#This Row],[Steps]]),
))</f>
        <v>0</v>
      </c>
      <c r="E2720">
        <f>_xlfn.LET(_xlpm.dir,Table1[[#This Row],[Direction]],
IF(_xlpm.dir="R",
    IF(F2719+Table1[[#This Row],[Steps]]&gt;99,(F2719+Table1[[#This Row],[Steps]])-100,F2719+Table1[[#This Row],[Steps]]),
))</f>
        <v>0</v>
      </c>
      <c r="F2720">
        <f>IF(Table1[[#This Row],[New Pos L]]&lt;&gt;0,Table1[[#This Row],[New Pos L]],Table1[[#This Row],[New Pos R]])</f>
        <v>0</v>
      </c>
    </row>
    <row r="2721" spans="1:6" ht="16" x14ac:dyDescent="0.2">
      <c r="A2721" s="1" t="s">
        <v>119</v>
      </c>
      <c r="B2721" t="str">
        <f>LEFT(Table1[[#This Row],[Input]],1)</f>
        <v>L</v>
      </c>
      <c r="C2721">
        <f>_xlfn.LET(_xlpm.steps,SUBSTITUTE(Table1[[#This Row],[Input]],Table1[[#This Row],[Direction]],""),VALUE(IF(LEN(_xlpm.steps)&gt;2,RIGHT(_xlpm.steps,2),_xlpm.steps)))</f>
        <v>77</v>
      </c>
      <c r="D2721">
        <f>_xlfn.LET(_xlpm.dir,Table1[[#This Row],[Direction]],
IF(_xlpm.dir="L",
    IF(F2720-Table1[[#This Row],[Steps]]&lt;0,100+(F2720-Table1[[#This Row],[Steps]]),F2720-Table1[[#This Row],[Steps]]),
))</f>
        <v>23</v>
      </c>
      <c r="E2721">
        <f>_xlfn.LET(_xlpm.dir,Table1[[#This Row],[Direction]],
IF(_xlpm.dir="R",
    IF(F2720+Table1[[#This Row],[Steps]]&gt;99,(F2720+Table1[[#This Row],[Steps]])-100,F2720+Table1[[#This Row],[Steps]]),
))</f>
        <v>0</v>
      </c>
      <c r="F2721">
        <f>IF(Table1[[#This Row],[New Pos L]]&lt;&gt;0,Table1[[#This Row],[New Pos L]],Table1[[#This Row],[New Pos R]])</f>
        <v>23</v>
      </c>
    </row>
    <row r="2722" spans="1:6" ht="16" x14ac:dyDescent="0.2">
      <c r="A2722" s="1" t="s">
        <v>588</v>
      </c>
      <c r="B2722" t="str">
        <f>LEFT(Table1[[#This Row],[Input]],1)</f>
        <v>L</v>
      </c>
      <c r="C2722">
        <f>_xlfn.LET(_xlpm.steps,SUBSTITUTE(Table1[[#This Row],[Input]],Table1[[#This Row],[Direction]],""),VALUE(IF(LEN(_xlpm.steps)&gt;2,RIGHT(_xlpm.steps,2),_xlpm.steps)))</f>
        <v>47</v>
      </c>
      <c r="D2722">
        <f>_xlfn.LET(_xlpm.dir,Table1[[#This Row],[Direction]],
IF(_xlpm.dir="L",
    IF(F2721-Table1[[#This Row],[Steps]]&lt;0,100+(F2721-Table1[[#This Row],[Steps]]),F2721-Table1[[#This Row],[Steps]]),
))</f>
        <v>76</v>
      </c>
      <c r="E2722">
        <f>_xlfn.LET(_xlpm.dir,Table1[[#This Row],[Direction]],
IF(_xlpm.dir="R",
    IF(F2721+Table1[[#This Row],[Steps]]&gt;99,(F2721+Table1[[#This Row],[Steps]])-100,F2721+Table1[[#This Row],[Steps]]),
))</f>
        <v>0</v>
      </c>
      <c r="F2722">
        <f>IF(Table1[[#This Row],[New Pos L]]&lt;&gt;0,Table1[[#This Row],[New Pos L]],Table1[[#This Row],[New Pos R]])</f>
        <v>76</v>
      </c>
    </row>
    <row r="2723" spans="1:6" ht="16" x14ac:dyDescent="0.2">
      <c r="A2723" s="1" t="s">
        <v>29</v>
      </c>
      <c r="B2723" t="str">
        <f>LEFT(Table1[[#This Row],[Input]],1)</f>
        <v>L</v>
      </c>
      <c r="C2723">
        <f>_xlfn.LET(_xlpm.steps,SUBSTITUTE(Table1[[#This Row],[Input]],Table1[[#This Row],[Direction]],""),VALUE(IF(LEN(_xlpm.steps)&gt;2,RIGHT(_xlpm.steps,2),_xlpm.steps)))</f>
        <v>33</v>
      </c>
      <c r="D2723">
        <f>_xlfn.LET(_xlpm.dir,Table1[[#This Row],[Direction]],
IF(_xlpm.dir="L",
    IF(F2722-Table1[[#This Row],[Steps]]&lt;0,100+(F2722-Table1[[#This Row],[Steps]]),F2722-Table1[[#This Row],[Steps]]),
))</f>
        <v>43</v>
      </c>
      <c r="E2723">
        <f>_xlfn.LET(_xlpm.dir,Table1[[#This Row],[Direction]],
IF(_xlpm.dir="R",
    IF(F2722+Table1[[#This Row],[Steps]]&gt;99,(F2722+Table1[[#This Row],[Steps]])-100,F2722+Table1[[#This Row],[Steps]]),
))</f>
        <v>0</v>
      </c>
      <c r="F2723">
        <f>IF(Table1[[#This Row],[New Pos L]]&lt;&gt;0,Table1[[#This Row],[New Pos L]],Table1[[#This Row],[New Pos R]])</f>
        <v>43</v>
      </c>
    </row>
    <row r="2724" spans="1:6" ht="16" x14ac:dyDescent="0.2">
      <c r="A2724" s="1" t="s">
        <v>63</v>
      </c>
      <c r="B2724" t="str">
        <f>LEFT(Table1[[#This Row],[Input]],1)</f>
        <v>R</v>
      </c>
      <c r="C2724">
        <f>_xlfn.LET(_xlpm.steps,SUBSTITUTE(Table1[[#This Row],[Input]],Table1[[#This Row],[Direction]],""),VALUE(IF(LEN(_xlpm.steps)&gt;2,RIGHT(_xlpm.steps,2),_xlpm.steps)))</f>
        <v>57</v>
      </c>
      <c r="D2724">
        <f>_xlfn.LET(_xlpm.dir,Table1[[#This Row],[Direction]],
IF(_xlpm.dir="L",
    IF(F2723-Table1[[#This Row],[Steps]]&lt;0,100+(F2723-Table1[[#This Row],[Steps]]),F2723-Table1[[#This Row],[Steps]]),
))</f>
        <v>0</v>
      </c>
      <c r="E2724">
        <f>_xlfn.LET(_xlpm.dir,Table1[[#This Row],[Direction]],
IF(_xlpm.dir="R",
    IF(F2723+Table1[[#This Row],[Steps]]&gt;99,(F2723+Table1[[#This Row],[Steps]])-100,F2723+Table1[[#This Row],[Steps]]),
))</f>
        <v>0</v>
      </c>
      <c r="F2724">
        <f>IF(Table1[[#This Row],[New Pos L]]&lt;&gt;0,Table1[[#This Row],[New Pos L]],Table1[[#This Row],[New Pos R]])</f>
        <v>0</v>
      </c>
    </row>
    <row r="2725" spans="1:6" ht="16" x14ac:dyDescent="0.2">
      <c r="A2725" s="1" t="s">
        <v>44</v>
      </c>
      <c r="B2725" t="str">
        <f>LEFT(Table1[[#This Row],[Input]],1)</f>
        <v>R</v>
      </c>
      <c r="C2725">
        <f>_xlfn.LET(_xlpm.steps,SUBSTITUTE(Table1[[#This Row],[Input]],Table1[[#This Row],[Direction]],""),VALUE(IF(LEN(_xlpm.steps)&gt;2,RIGHT(_xlpm.steps,2),_xlpm.steps)))</f>
        <v>96</v>
      </c>
      <c r="D2725">
        <f>_xlfn.LET(_xlpm.dir,Table1[[#This Row],[Direction]],
IF(_xlpm.dir="L",
    IF(F2724-Table1[[#This Row],[Steps]]&lt;0,100+(F2724-Table1[[#This Row],[Steps]]),F2724-Table1[[#This Row],[Steps]]),
))</f>
        <v>0</v>
      </c>
      <c r="E2725">
        <f>_xlfn.LET(_xlpm.dir,Table1[[#This Row],[Direction]],
IF(_xlpm.dir="R",
    IF(F2724+Table1[[#This Row],[Steps]]&gt;99,(F2724+Table1[[#This Row],[Steps]])-100,F2724+Table1[[#This Row],[Steps]]),
))</f>
        <v>96</v>
      </c>
      <c r="F2725">
        <f>IF(Table1[[#This Row],[New Pos L]]&lt;&gt;0,Table1[[#This Row],[New Pos L]],Table1[[#This Row],[New Pos R]])</f>
        <v>96</v>
      </c>
    </row>
    <row r="2726" spans="1:6" ht="16" x14ac:dyDescent="0.2">
      <c r="A2726" s="1" t="s">
        <v>325</v>
      </c>
      <c r="B2726" t="str">
        <f>LEFT(Table1[[#This Row],[Input]],1)</f>
        <v>L</v>
      </c>
      <c r="C2726">
        <f>_xlfn.LET(_xlpm.steps,SUBSTITUTE(Table1[[#This Row],[Input]],Table1[[#This Row],[Direction]],""),VALUE(IF(LEN(_xlpm.steps)&gt;2,RIGHT(_xlpm.steps,2),_xlpm.steps)))</f>
        <v>68</v>
      </c>
      <c r="D2726">
        <f>_xlfn.LET(_xlpm.dir,Table1[[#This Row],[Direction]],
IF(_xlpm.dir="L",
    IF(F2725-Table1[[#This Row],[Steps]]&lt;0,100+(F2725-Table1[[#This Row],[Steps]]),F2725-Table1[[#This Row],[Steps]]),
))</f>
        <v>28</v>
      </c>
      <c r="E2726">
        <f>_xlfn.LET(_xlpm.dir,Table1[[#This Row],[Direction]],
IF(_xlpm.dir="R",
    IF(F2725+Table1[[#This Row],[Steps]]&gt;99,(F2725+Table1[[#This Row],[Steps]])-100,F2725+Table1[[#This Row],[Steps]]),
))</f>
        <v>0</v>
      </c>
      <c r="F2726">
        <f>IF(Table1[[#This Row],[New Pos L]]&lt;&gt;0,Table1[[#This Row],[New Pos L]],Table1[[#This Row],[New Pos R]])</f>
        <v>28</v>
      </c>
    </row>
    <row r="2727" spans="1:6" ht="16" x14ac:dyDescent="0.2">
      <c r="A2727" s="1" t="s">
        <v>32</v>
      </c>
      <c r="B2727" t="str">
        <f>LEFT(Table1[[#This Row],[Input]],1)</f>
        <v>L</v>
      </c>
      <c r="C2727">
        <f>_xlfn.LET(_xlpm.steps,SUBSTITUTE(Table1[[#This Row],[Input]],Table1[[#This Row],[Direction]],""),VALUE(IF(LEN(_xlpm.steps)&gt;2,RIGHT(_xlpm.steps,2),_xlpm.steps)))</f>
        <v>28</v>
      </c>
      <c r="D2727">
        <f>_xlfn.LET(_xlpm.dir,Table1[[#This Row],[Direction]],
IF(_xlpm.dir="L",
    IF(F2726-Table1[[#This Row],[Steps]]&lt;0,100+(F2726-Table1[[#This Row],[Steps]]),F2726-Table1[[#This Row],[Steps]]),
))</f>
        <v>0</v>
      </c>
      <c r="E2727">
        <f>_xlfn.LET(_xlpm.dir,Table1[[#This Row],[Direction]],
IF(_xlpm.dir="R",
    IF(F2726+Table1[[#This Row],[Steps]]&gt;99,(F2726+Table1[[#This Row],[Steps]])-100,F2726+Table1[[#This Row],[Steps]]),
))</f>
        <v>0</v>
      </c>
      <c r="F2727">
        <f>IF(Table1[[#This Row],[New Pos L]]&lt;&gt;0,Table1[[#This Row],[New Pos L]],Table1[[#This Row],[New Pos R]])</f>
        <v>0</v>
      </c>
    </row>
    <row r="2728" spans="1:6" ht="16" x14ac:dyDescent="0.2">
      <c r="A2728" s="1" t="s">
        <v>21</v>
      </c>
      <c r="B2728" t="str">
        <f>LEFT(Table1[[#This Row],[Input]],1)</f>
        <v>L</v>
      </c>
      <c r="C2728">
        <f>_xlfn.LET(_xlpm.steps,SUBSTITUTE(Table1[[#This Row],[Input]],Table1[[#This Row],[Direction]],""),VALUE(IF(LEN(_xlpm.steps)&gt;2,RIGHT(_xlpm.steps,2),_xlpm.steps)))</f>
        <v>36</v>
      </c>
      <c r="D2728">
        <f>_xlfn.LET(_xlpm.dir,Table1[[#This Row],[Direction]],
IF(_xlpm.dir="L",
    IF(F2727-Table1[[#This Row],[Steps]]&lt;0,100+(F2727-Table1[[#This Row],[Steps]]),F2727-Table1[[#This Row],[Steps]]),
))</f>
        <v>64</v>
      </c>
      <c r="E2728">
        <f>_xlfn.LET(_xlpm.dir,Table1[[#This Row],[Direction]],
IF(_xlpm.dir="R",
    IF(F2727+Table1[[#This Row],[Steps]]&gt;99,(F2727+Table1[[#This Row],[Steps]])-100,F2727+Table1[[#This Row],[Steps]]),
))</f>
        <v>0</v>
      </c>
      <c r="F2728">
        <f>IF(Table1[[#This Row],[New Pos L]]&lt;&gt;0,Table1[[#This Row],[New Pos L]],Table1[[#This Row],[New Pos R]])</f>
        <v>64</v>
      </c>
    </row>
    <row r="2729" spans="1:6" ht="16" x14ac:dyDescent="0.2">
      <c r="A2729" s="1" t="s">
        <v>165</v>
      </c>
      <c r="B2729" t="str">
        <f>LEFT(Table1[[#This Row],[Input]],1)</f>
        <v>R</v>
      </c>
      <c r="C2729">
        <f>_xlfn.LET(_xlpm.steps,SUBSTITUTE(Table1[[#This Row],[Input]],Table1[[#This Row],[Direction]],""),VALUE(IF(LEN(_xlpm.steps)&gt;2,RIGHT(_xlpm.steps,2),_xlpm.steps)))</f>
        <v>55</v>
      </c>
      <c r="D2729">
        <f>_xlfn.LET(_xlpm.dir,Table1[[#This Row],[Direction]],
IF(_xlpm.dir="L",
    IF(F2728-Table1[[#This Row],[Steps]]&lt;0,100+(F2728-Table1[[#This Row],[Steps]]),F2728-Table1[[#This Row],[Steps]]),
))</f>
        <v>0</v>
      </c>
      <c r="E2729">
        <f>_xlfn.LET(_xlpm.dir,Table1[[#This Row],[Direction]],
IF(_xlpm.dir="R",
    IF(F2728+Table1[[#This Row],[Steps]]&gt;99,(F2728+Table1[[#This Row],[Steps]])-100,F2728+Table1[[#This Row],[Steps]]),
))</f>
        <v>19</v>
      </c>
      <c r="F2729">
        <f>IF(Table1[[#This Row],[New Pos L]]&lt;&gt;0,Table1[[#This Row],[New Pos L]],Table1[[#This Row],[New Pos R]])</f>
        <v>19</v>
      </c>
    </row>
    <row r="2730" spans="1:6" ht="16" x14ac:dyDescent="0.2">
      <c r="A2730" s="1" t="s">
        <v>650</v>
      </c>
      <c r="B2730" t="str">
        <f>LEFT(Table1[[#This Row],[Input]],1)</f>
        <v>R</v>
      </c>
      <c r="C2730">
        <f>_xlfn.LET(_xlpm.steps,SUBSTITUTE(Table1[[#This Row],[Input]],Table1[[#This Row],[Direction]],""),VALUE(IF(LEN(_xlpm.steps)&gt;2,RIGHT(_xlpm.steps,2),_xlpm.steps)))</f>
        <v>74</v>
      </c>
      <c r="D2730">
        <f>_xlfn.LET(_xlpm.dir,Table1[[#This Row],[Direction]],
IF(_xlpm.dir="L",
    IF(F2729-Table1[[#This Row],[Steps]]&lt;0,100+(F2729-Table1[[#This Row],[Steps]]),F2729-Table1[[#This Row],[Steps]]),
))</f>
        <v>0</v>
      </c>
      <c r="E2730">
        <f>_xlfn.LET(_xlpm.dir,Table1[[#This Row],[Direction]],
IF(_xlpm.dir="R",
    IF(F2729+Table1[[#This Row],[Steps]]&gt;99,(F2729+Table1[[#This Row],[Steps]])-100,F2729+Table1[[#This Row],[Steps]]),
))</f>
        <v>93</v>
      </c>
      <c r="F2730">
        <f>IF(Table1[[#This Row],[New Pos L]]&lt;&gt;0,Table1[[#This Row],[New Pos L]],Table1[[#This Row],[New Pos R]])</f>
        <v>93</v>
      </c>
    </row>
    <row r="2731" spans="1:6" ht="16" x14ac:dyDescent="0.2">
      <c r="A2731" s="1" t="s">
        <v>125</v>
      </c>
      <c r="B2731" t="str">
        <f>LEFT(Table1[[#This Row],[Input]],1)</f>
        <v>L</v>
      </c>
      <c r="C2731">
        <f>_xlfn.LET(_xlpm.steps,SUBSTITUTE(Table1[[#This Row],[Input]],Table1[[#This Row],[Direction]],""),VALUE(IF(LEN(_xlpm.steps)&gt;2,RIGHT(_xlpm.steps,2),_xlpm.steps)))</f>
        <v>76</v>
      </c>
      <c r="D2731">
        <f>_xlfn.LET(_xlpm.dir,Table1[[#This Row],[Direction]],
IF(_xlpm.dir="L",
    IF(F2730-Table1[[#This Row],[Steps]]&lt;0,100+(F2730-Table1[[#This Row],[Steps]]),F2730-Table1[[#This Row],[Steps]]),
))</f>
        <v>17</v>
      </c>
      <c r="E2731">
        <f>_xlfn.LET(_xlpm.dir,Table1[[#This Row],[Direction]],
IF(_xlpm.dir="R",
    IF(F2730+Table1[[#This Row],[Steps]]&gt;99,(F2730+Table1[[#This Row],[Steps]])-100,F2730+Table1[[#This Row],[Steps]]),
))</f>
        <v>0</v>
      </c>
      <c r="F2731">
        <f>IF(Table1[[#This Row],[New Pos L]]&lt;&gt;0,Table1[[#This Row],[New Pos L]],Table1[[#This Row],[New Pos R]])</f>
        <v>17</v>
      </c>
    </row>
    <row r="2732" spans="1:6" ht="16" x14ac:dyDescent="0.2">
      <c r="A2732" s="1" t="s">
        <v>175</v>
      </c>
      <c r="B2732" t="str">
        <f>LEFT(Table1[[#This Row],[Input]],1)</f>
        <v>L</v>
      </c>
      <c r="C2732">
        <f>_xlfn.LET(_xlpm.steps,SUBSTITUTE(Table1[[#This Row],[Input]],Table1[[#This Row],[Direction]],""),VALUE(IF(LEN(_xlpm.steps)&gt;2,RIGHT(_xlpm.steps,2),_xlpm.steps)))</f>
        <v>1</v>
      </c>
      <c r="D2732">
        <f>_xlfn.LET(_xlpm.dir,Table1[[#This Row],[Direction]],
IF(_xlpm.dir="L",
    IF(F2731-Table1[[#This Row],[Steps]]&lt;0,100+(F2731-Table1[[#This Row],[Steps]]),F2731-Table1[[#This Row],[Steps]]),
))</f>
        <v>16</v>
      </c>
      <c r="E2732">
        <f>_xlfn.LET(_xlpm.dir,Table1[[#This Row],[Direction]],
IF(_xlpm.dir="R",
    IF(F2731+Table1[[#This Row],[Steps]]&gt;99,(F2731+Table1[[#This Row],[Steps]])-100,F2731+Table1[[#This Row],[Steps]]),
))</f>
        <v>0</v>
      </c>
      <c r="F2732">
        <f>IF(Table1[[#This Row],[New Pos L]]&lt;&gt;0,Table1[[#This Row],[New Pos L]],Table1[[#This Row],[New Pos R]])</f>
        <v>16</v>
      </c>
    </row>
    <row r="2733" spans="1:6" ht="16" x14ac:dyDescent="0.2">
      <c r="A2733" s="1" t="s">
        <v>396</v>
      </c>
      <c r="B2733" t="str">
        <f>LEFT(Table1[[#This Row],[Input]],1)</f>
        <v>R</v>
      </c>
      <c r="C2733">
        <f>_xlfn.LET(_xlpm.steps,SUBSTITUTE(Table1[[#This Row],[Input]],Table1[[#This Row],[Direction]],""),VALUE(IF(LEN(_xlpm.steps)&gt;2,RIGHT(_xlpm.steps,2),_xlpm.steps)))</f>
        <v>84</v>
      </c>
      <c r="D2733">
        <f>_xlfn.LET(_xlpm.dir,Table1[[#This Row],[Direction]],
IF(_xlpm.dir="L",
    IF(F2732-Table1[[#This Row],[Steps]]&lt;0,100+(F2732-Table1[[#This Row],[Steps]]),F2732-Table1[[#This Row],[Steps]]),
))</f>
        <v>0</v>
      </c>
      <c r="E2733">
        <f>_xlfn.LET(_xlpm.dir,Table1[[#This Row],[Direction]],
IF(_xlpm.dir="R",
    IF(F2732+Table1[[#This Row],[Steps]]&gt;99,(F2732+Table1[[#This Row],[Steps]])-100,F2732+Table1[[#This Row],[Steps]]),
))</f>
        <v>0</v>
      </c>
      <c r="F2733">
        <f>IF(Table1[[#This Row],[New Pos L]]&lt;&gt;0,Table1[[#This Row],[New Pos L]],Table1[[#This Row],[New Pos R]])</f>
        <v>0</v>
      </c>
    </row>
    <row r="2734" spans="1:6" ht="16" x14ac:dyDescent="0.2">
      <c r="A2734" s="1" t="s">
        <v>66</v>
      </c>
      <c r="B2734" t="str">
        <f>LEFT(Table1[[#This Row],[Input]],1)</f>
        <v>R</v>
      </c>
      <c r="C2734">
        <f>_xlfn.LET(_xlpm.steps,SUBSTITUTE(Table1[[#This Row],[Input]],Table1[[#This Row],[Direction]],""),VALUE(IF(LEN(_xlpm.steps)&gt;2,RIGHT(_xlpm.steps,2),_xlpm.steps)))</f>
        <v>45</v>
      </c>
      <c r="D2734">
        <f>_xlfn.LET(_xlpm.dir,Table1[[#This Row],[Direction]],
IF(_xlpm.dir="L",
    IF(F2733-Table1[[#This Row],[Steps]]&lt;0,100+(F2733-Table1[[#This Row],[Steps]]),F2733-Table1[[#This Row],[Steps]]),
))</f>
        <v>0</v>
      </c>
      <c r="E2734">
        <f>_xlfn.LET(_xlpm.dir,Table1[[#This Row],[Direction]],
IF(_xlpm.dir="R",
    IF(F2733+Table1[[#This Row],[Steps]]&gt;99,(F2733+Table1[[#This Row],[Steps]])-100,F2733+Table1[[#This Row],[Steps]]),
))</f>
        <v>45</v>
      </c>
      <c r="F2734">
        <f>IF(Table1[[#This Row],[New Pos L]]&lt;&gt;0,Table1[[#This Row],[New Pos L]],Table1[[#This Row],[New Pos R]])</f>
        <v>45</v>
      </c>
    </row>
    <row r="2735" spans="1:6" ht="16" x14ac:dyDescent="0.2">
      <c r="A2735" s="1" t="s">
        <v>278</v>
      </c>
      <c r="B2735" t="str">
        <f>LEFT(Table1[[#This Row],[Input]],1)</f>
        <v>L</v>
      </c>
      <c r="C2735">
        <f>_xlfn.LET(_xlpm.steps,SUBSTITUTE(Table1[[#This Row],[Input]],Table1[[#This Row],[Direction]],""),VALUE(IF(LEN(_xlpm.steps)&gt;2,RIGHT(_xlpm.steps,2),_xlpm.steps)))</f>
        <v>40</v>
      </c>
      <c r="D2735">
        <f>_xlfn.LET(_xlpm.dir,Table1[[#This Row],[Direction]],
IF(_xlpm.dir="L",
    IF(F2734-Table1[[#This Row],[Steps]]&lt;0,100+(F2734-Table1[[#This Row],[Steps]]),F2734-Table1[[#This Row],[Steps]]),
))</f>
        <v>5</v>
      </c>
      <c r="E2735">
        <f>_xlfn.LET(_xlpm.dir,Table1[[#This Row],[Direction]],
IF(_xlpm.dir="R",
    IF(F2734+Table1[[#This Row],[Steps]]&gt;99,(F2734+Table1[[#This Row],[Steps]])-100,F2734+Table1[[#This Row],[Steps]]),
))</f>
        <v>0</v>
      </c>
      <c r="F2735">
        <f>IF(Table1[[#This Row],[New Pos L]]&lt;&gt;0,Table1[[#This Row],[New Pos L]],Table1[[#This Row],[New Pos R]])</f>
        <v>5</v>
      </c>
    </row>
    <row r="2736" spans="1:6" ht="16" x14ac:dyDescent="0.2">
      <c r="A2736" s="1" t="s">
        <v>111</v>
      </c>
      <c r="B2736" t="str">
        <f>LEFT(Table1[[#This Row],[Input]],1)</f>
        <v>R</v>
      </c>
      <c r="C2736">
        <f>_xlfn.LET(_xlpm.steps,SUBSTITUTE(Table1[[#This Row],[Input]],Table1[[#This Row],[Direction]],""),VALUE(IF(LEN(_xlpm.steps)&gt;2,RIGHT(_xlpm.steps,2),_xlpm.steps)))</f>
        <v>64</v>
      </c>
      <c r="D2736">
        <f>_xlfn.LET(_xlpm.dir,Table1[[#This Row],[Direction]],
IF(_xlpm.dir="L",
    IF(F2735-Table1[[#This Row],[Steps]]&lt;0,100+(F2735-Table1[[#This Row],[Steps]]),F2735-Table1[[#This Row],[Steps]]),
))</f>
        <v>0</v>
      </c>
      <c r="E2736">
        <f>_xlfn.LET(_xlpm.dir,Table1[[#This Row],[Direction]],
IF(_xlpm.dir="R",
    IF(F2735+Table1[[#This Row],[Steps]]&gt;99,(F2735+Table1[[#This Row],[Steps]])-100,F2735+Table1[[#This Row],[Steps]]),
))</f>
        <v>69</v>
      </c>
      <c r="F2736">
        <f>IF(Table1[[#This Row],[New Pos L]]&lt;&gt;0,Table1[[#This Row],[New Pos L]],Table1[[#This Row],[New Pos R]])</f>
        <v>69</v>
      </c>
    </row>
    <row r="2737" spans="1:6" ht="16" x14ac:dyDescent="0.2">
      <c r="A2737" s="1" t="s">
        <v>119</v>
      </c>
      <c r="B2737" t="str">
        <f>LEFT(Table1[[#This Row],[Input]],1)</f>
        <v>L</v>
      </c>
      <c r="C2737">
        <f>_xlfn.LET(_xlpm.steps,SUBSTITUTE(Table1[[#This Row],[Input]],Table1[[#This Row],[Direction]],""),VALUE(IF(LEN(_xlpm.steps)&gt;2,RIGHT(_xlpm.steps,2),_xlpm.steps)))</f>
        <v>77</v>
      </c>
      <c r="D2737">
        <f>_xlfn.LET(_xlpm.dir,Table1[[#This Row],[Direction]],
IF(_xlpm.dir="L",
    IF(F2736-Table1[[#This Row],[Steps]]&lt;0,100+(F2736-Table1[[#This Row],[Steps]]),F2736-Table1[[#This Row],[Steps]]),
))</f>
        <v>92</v>
      </c>
      <c r="E2737">
        <f>_xlfn.LET(_xlpm.dir,Table1[[#This Row],[Direction]],
IF(_xlpm.dir="R",
    IF(F2736+Table1[[#This Row],[Steps]]&gt;99,(F2736+Table1[[#This Row],[Steps]])-100,F2736+Table1[[#This Row],[Steps]]),
))</f>
        <v>0</v>
      </c>
      <c r="F2737">
        <f>IF(Table1[[#This Row],[New Pos L]]&lt;&gt;0,Table1[[#This Row],[New Pos L]],Table1[[#This Row],[New Pos R]])</f>
        <v>92</v>
      </c>
    </row>
    <row r="2738" spans="1:6" ht="16" x14ac:dyDescent="0.2">
      <c r="A2738" s="1" t="s">
        <v>129</v>
      </c>
      <c r="B2738" t="str">
        <f>LEFT(Table1[[#This Row],[Input]],1)</f>
        <v>R</v>
      </c>
      <c r="C2738">
        <f>_xlfn.LET(_xlpm.steps,SUBSTITUTE(Table1[[#This Row],[Input]],Table1[[#This Row],[Direction]],""),VALUE(IF(LEN(_xlpm.steps)&gt;2,RIGHT(_xlpm.steps,2),_xlpm.steps)))</f>
        <v>8</v>
      </c>
      <c r="D2738">
        <f>_xlfn.LET(_xlpm.dir,Table1[[#This Row],[Direction]],
IF(_xlpm.dir="L",
    IF(F2737-Table1[[#This Row],[Steps]]&lt;0,100+(F2737-Table1[[#This Row],[Steps]]),F2737-Table1[[#This Row],[Steps]]),
))</f>
        <v>0</v>
      </c>
      <c r="E2738">
        <f>_xlfn.LET(_xlpm.dir,Table1[[#This Row],[Direction]],
IF(_xlpm.dir="R",
    IF(F2737+Table1[[#This Row],[Steps]]&gt;99,(F2737+Table1[[#This Row],[Steps]])-100,F2737+Table1[[#This Row],[Steps]]),
))</f>
        <v>0</v>
      </c>
      <c r="F2738">
        <f>IF(Table1[[#This Row],[New Pos L]]&lt;&gt;0,Table1[[#This Row],[New Pos L]],Table1[[#This Row],[New Pos R]])</f>
        <v>0</v>
      </c>
    </row>
    <row r="2739" spans="1:6" ht="16" x14ac:dyDescent="0.2">
      <c r="A2739" s="1" t="s">
        <v>563</v>
      </c>
      <c r="B2739" t="str">
        <f>LEFT(Table1[[#This Row],[Input]],1)</f>
        <v>R</v>
      </c>
      <c r="C2739">
        <f>_xlfn.LET(_xlpm.steps,SUBSTITUTE(Table1[[#This Row],[Input]],Table1[[#This Row],[Direction]],""),VALUE(IF(LEN(_xlpm.steps)&gt;2,RIGHT(_xlpm.steps,2),_xlpm.steps)))</f>
        <v>60</v>
      </c>
      <c r="D2739">
        <f>_xlfn.LET(_xlpm.dir,Table1[[#This Row],[Direction]],
IF(_xlpm.dir="L",
    IF(F2738-Table1[[#This Row],[Steps]]&lt;0,100+(F2738-Table1[[#This Row],[Steps]]),F2738-Table1[[#This Row],[Steps]]),
))</f>
        <v>0</v>
      </c>
      <c r="E2739">
        <f>_xlfn.LET(_xlpm.dir,Table1[[#This Row],[Direction]],
IF(_xlpm.dir="R",
    IF(F2738+Table1[[#This Row],[Steps]]&gt;99,(F2738+Table1[[#This Row],[Steps]])-100,F2738+Table1[[#This Row],[Steps]]),
))</f>
        <v>60</v>
      </c>
      <c r="F2739">
        <f>IF(Table1[[#This Row],[New Pos L]]&lt;&gt;0,Table1[[#This Row],[New Pos L]],Table1[[#This Row],[New Pos R]])</f>
        <v>60</v>
      </c>
    </row>
    <row r="2740" spans="1:6" ht="16" x14ac:dyDescent="0.2">
      <c r="A2740" s="1" t="s">
        <v>20</v>
      </c>
      <c r="B2740" t="str">
        <f>LEFT(Table1[[#This Row],[Input]],1)</f>
        <v>R</v>
      </c>
      <c r="C2740">
        <f>_xlfn.LET(_xlpm.steps,SUBSTITUTE(Table1[[#This Row],[Input]],Table1[[#This Row],[Direction]],""),VALUE(IF(LEN(_xlpm.steps)&gt;2,RIGHT(_xlpm.steps,2),_xlpm.steps)))</f>
        <v>46</v>
      </c>
      <c r="D2740">
        <f>_xlfn.LET(_xlpm.dir,Table1[[#This Row],[Direction]],
IF(_xlpm.dir="L",
    IF(F2739-Table1[[#This Row],[Steps]]&lt;0,100+(F2739-Table1[[#This Row],[Steps]]),F2739-Table1[[#This Row],[Steps]]),
))</f>
        <v>0</v>
      </c>
      <c r="E2740">
        <f>_xlfn.LET(_xlpm.dir,Table1[[#This Row],[Direction]],
IF(_xlpm.dir="R",
    IF(F2739+Table1[[#This Row],[Steps]]&gt;99,(F2739+Table1[[#This Row],[Steps]])-100,F2739+Table1[[#This Row],[Steps]]),
))</f>
        <v>6</v>
      </c>
      <c r="F2740">
        <f>IF(Table1[[#This Row],[New Pos L]]&lt;&gt;0,Table1[[#This Row],[New Pos L]],Table1[[#This Row],[New Pos R]])</f>
        <v>6</v>
      </c>
    </row>
    <row r="2741" spans="1:6" ht="16" x14ac:dyDescent="0.2">
      <c r="A2741" s="1" t="s">
        <v>462</v>
      </c>
      <c r="B2741" t="str">
        <f>LEFT(Table1[[#This Row],[Input]],1)</f>
        <v>L</v>
      </c>
      <c r="C2741">
        <f>_xlfn.LET(_xlpm.steps,SUBSTITUTE(Table1[[#This Row],[Input]],Table1[[#This Row],[Direction]],""),VALUE(IF(LEN(_xlpm.steps)&gt;2,RIGHT(_xlpm.steps,2),_xlpm.steps)))</f>
        <v>17</v>
      </c>
      <c r="D2741">
        <f>_xlfn.LET(_xlpm.dir,Table1[[#This Row],[Direction]],
IF(_xlpm.dir="L",
    IF(F2740-Table1[[#This Row],[Steps]]&lt;0,100+(F2740-Table1[[#This Row],[Steps]]),F2740-Table1[[#This Row],[Steps]]),
))</f>
        <v>89</v>
      </c>
      <c r="E2741">
        <f>_xlfn.LET(_xlpm.dir,Table1[[#This Row],[Direction]],
IF(_xlpm.dir="R",
    IF(F2740+Table1[[#This Row],[Steps]]&gt;99,(F2740+Table1[[#This Row],[Steps]])-100,F2740+Table1[[#This Row],[Steps]]),
))</f>
        <v>0</v>
      </c>
      <c r="F2741">
        <f>IF(Table1[[#This Row],[New Pos L]]&lt;&gt;0,Table1[[#This Row],[New Pos L]],Table1[[#This Row],[New Pos R]])</f>
        <v>89</v>
      </c>
    </row>
    <row r="2742" spans="1:6" ht="16" x14ac:dyDescent="0.2">
      <c r="A2742" s="1" t="s">
        <v>207</v>
      </c>
      <c r="B2742" t="str">
        <f>LEFT(Table1[[#This Row],[Input]],1)</f>
        <v>L</v>
      </c>
      <c r="C2742">
        <f>_xlfn.LET(_xlpm.steps,SUBSTITUTE(Table1[[#This Row],[Input]],Table1[[#This Row],[Direction]],""),VALUE(IF(LEN(_xlpm.steps)&gt;2,RIGHT(_xlpm.steps,2),_xlpm.steps)))</f>
        <v>89</v>
      </c>
      <c r="D2742">
        <f>_xlfn.LET(_xlpm.dir,Table1[[#This Row],[Direction]],
IF(_xlpm.dir="L",
    IF(F2741-Table1[[#This Row],[Steps]]&lt;0,100+(F2741-Table1[[#This Row],[Steps]]),F2741-Table1[[#This Row],[Steps]]),
))</f>
        <v>0</v>
      </c>
      <c r="E2742">
        <f>_xlfn.LET(_xlpm.dir,Table1[[#This Row],[Direction]],
IF(_xlpm.dir="R",
    IF(F2741+Table1[[#This Row],[Steps]]&gt;99,(F2741+Table1[[#This Row],[Steps]])-100,F2741+Table1[[#This Row],[Steps]]),
))</f>
        <v>0</v>
      </c>
      <c r="F2742">
        <f>IF(Table1[[#This Row],[New Pos L]]&lt;&gt;0,Table1[[#This Row],[New Pos L]],Table1[[#This Row],[New Pos R]])</f>
        <v>0</v>
      </c>
    </row>
    <row r="2743" spans="1:6" ht="16" x14ac:dyDescent="0.2">
      <c r="A2743" s="1" t="s">
        <v>651</v>
      </c>
      <c r="B2743" t="str">
        <f>LEFT(Table1[[#This Row],[Input]],1)</f>
        <v>R</v>
      </c>
      <c r="C2743">
        <f>_xlfn.LET(_xlpm.steps,SUBSTITUTE(Table1[[#This Row],[Input]],Table1[[#This Row],[Direction]],""),VALUE(IF(LEN(_xlpm.steps)&gt;2,RIGHT(_xlpm.steps,2),_xlpm.steps)))</f>
        <v>24</v>
      </c>
      <c r="D2743">
        <f>_xlfn.LET(_xlpm.dir,Table1[[#This Row],[Direction]],
IF(_xlpm.dir="L",
    IF(F2742-Table1[[#This Row],[Steps]]&lt;0,100+(F2742-Table1[[#This Row],[Steps]]),F2742-Table1[[#This Row],[Steps]]),
))</f>
        <v>0</v>
      </c>
      <c r="E2743">
        <f>_xlfn.LET(_xlpm.dir,Table1[[#This Row],[Direction]],
IF(_xlpm.dir="R",
    IF(F2742+Table1[[#This Row],[Steps]]&gt;99,(F2742+Table1[[#This Row],[Steps]])-100,F2742+Table1[[#This Row],[Steps]]),
))</f>
        <v>24</v>
      </c>
      <c r="F2743">
        <f>IF(Table1[[#This Row],[New Pos L]]&lt;&gt;0,Table1[[#This Row],[New Pos L]],Table1[[#This Row],[New Pos R]])</f>
        <v>24</v>
      </c>
    </row>
    <row r="2744" spans="1:6" ht="16" x14ac:dyDescent="0.2">
      <c r="A2744" s="1" t="s">
        <v>24</v>
      </c>
      <c r="B2744" t="str">
        <f>LEFT(Table1[[#This Row],[Input]],1)</f>
        <v>L</v>
      </c>
      <c r="C2744">
        <f>_xlfn.LET(_xlpm.steps,SUBSTITUTE(Table1[[#This Row],[Input]],Table1[[#This Row],[Direction]],""),VALUE(IF(LEN(_xlpm.steps)&gt;2,RIGHT(_xlpm.steps,2),_xlpm.steps)))</f>
        <v>49</v>
      </c>
      <c r="D2744">
        <f>_xlfn.LET(_xlpm.dir,Table1[[#This Row],[Direction]],
IF(_xlpm.dir="L",
    IF(F2743-Table1[[#This Row],[Steps]]&lt;0,100+(F2743-Table1[[#This Row],[Steps]]),F2743-Table1[[#This Row],[Steps]]),
))</f>
        <v>75</v>
      </c>
      <c r="E2744">
        <f>_xlfn.LET(_xlpm.dir,Table1[[#This Row],[Direction]],
IF(_xlpm.dir="R",
    IF(F2743+Table1[[#This Row],[Steps]]&gt;99,(F2743+Table1[[#This Row],[Steps]])-100,F2743+Table1[[#This Row],[Steps]]),
))</f>
        <v>0</v>
      </c>
      <c r="F2744">
        <f>IF(Table1[[#This Row],[New Pos L]]&lt;&gt;0,Table1[[#This Row],[New Pos L]],Table1[[#This Row],[New Pos R]])</f>
        <v>75</v>
      </c>
    </row>
    <row r="2745" spans="1:6" ht="16" x14ac:dyDescent="0.2">
      <c r="A2745" s="1" t="s">
        <v>652</v>
      </c>
      <c r="B2745" t="str">
        <f>LEFT(Table1[[#This Row],[Input]],1)</f>
        <v>R</v>
      </c>
      <c r="C2745">
        <f>_xlfn.LET(_xlpm.steps,SUBSTITUTE(Table1[[#This Row],[Input]],Table1[[#This Row],[Direction]],""),VALUE(IF(LEN(_xlpm.steps)&gt;2,RIGHT(_xlpm.steps,2),_xlpm.steps)))</f>
        <v>61</v>
      </c>
      <c r="D2745">
        <f>_xlfn.LET(_xlpm.dir,Table1[[#This Row],[Direction]],
IF(_xlpm.dir="L",
    IF(F2744-Table1[[#This Row],[Steps]]&lt;0,100+(F2744-Table1[[#This Row],[Steps]]),F2744-Table1[[#This Row],[Steps]]),
))</f>
        <v>0</v>
      </c>
      <c r="E2745">
        <f>_xlfn.LET(_xlpm.dir,Table1[[#This Row],[Direction]],
IF(_xlpm.dir="R",
    IF(F2744+Table1[[#This Row],[Steps]]&gt;99,(F2744+Table1[[#This Row],[Steps]])-100,F2744+Table1[[#This Row],[Steps]]),
))</f>
        <v>36</v>
      </c>
      <c r="F2745">
        <f>IF(Table1[[#This Row],[New Pos L]]&lt;&gt;0,Table1[[#This Row],[New Pos L]],Table1[[#This Row],[New Pos R]])</f>
        <v>36</v>
      </c>
    </row>
    <row r="2746" spans="1:6" ht="16" x14ac:dyDescent="0.2">
      <c r="A2746" s="1" t="s">
        <v>2</v>
      </c>
      <c r="B2746" t="str">
        <f>LEFT(Table1[[#This Row],[Input]],1)</f>
        <v>L</v>
      </c>
      <c r="C2746">
        <f>_xlfn.LET(_xlpm.steps,SUBSTITUTE(Table1[[#This Row],[Input]],Table1[[#This Row],[Direction]],""),VALUE(IF(LEN(_xlpm.steps)&gt;2,RIGHT(_xlpm.steps,2),_xlpm.steps)))</f>
        <v>38</v>
      </c>
      <c r="D2746">
        <f>_xlfn.LET(_xlpm.dir,Table1[[#This Row],[Direction]],
IF(_xlpm.dir="L",
    IF(F2745-Table1[[#This Row],[Steps]]&lt;0,100+(F2745-Table1[[#This Row],[Steps]]),F2745-Table1[[#This Row],[Steps]]),
))</f>
        <v>98</v>
      </c>
      <c r="E2746">
        <f>_xlfn.LET(_xlpm.dir,Table1[[#This Row],[Direction]],
IF(_xlpm.dir="R",
    IF(F2745+Table1[[#This Row],[Steps]]&gt;99,(F2745+Table1[[#This Row],[Steps]])-100,F2745+Table1[[#This Row],[Steps]]),
))</f>
        <v>0</v>
      </c>
      <c r="F2746">
        <f>IF(Table1[[#This Row],[New Pos L]]&lt;&gt;0,Table1[[#This Row],[New Pos L]],Table1[[#This Row],[New Pos R]])</f>
        <v>98</v>
      </c>
    </row>
    <row r="2747" spans="1:6" ht="16" x14ac:dyDescent="0.2">
      <c r="A2747" s="1" t="s">
        <v>145</v>
      </c>
      <c r="B2747" t="str">
        <f>LEFT(Table1[[#This Row],[Input]],1)</f>
        <v>L</v>
      </c>
      <c r="C2747">
        <f>_xlfn.LET(_xlpm.steps,SUBSTITUTE(Table1[[#This Row],[Input]],Table1[[#This Row],[Direction]],""),VALUE(IF(LEN(_xlpm.steps)&gt;2,RIGHT(_xlpm.steps,2),_xlpm.steps)))</f>
        <v>83</v>
      </c>
      <c r="D2747">
        <f>_xlfn.LET(_xlpm.dir,Table1[[#This Row],[Direction]],
IF(_xlpm.dir="L",
    IF(F2746-Table1[[#This Row],[Steps]]&lt;0,100+(F2746-Table1[[#This Row],[Steps]]),F2746-Table1[[#This Row],[Steps]]),
))</f>
        <v>15</v>
      </c>
      <c r="E2747">
        <f>_xlfn.LET(_xlpm.dir,Table1[[#This Row],[Direction]],
IF(_xlpm.dir="R",
    IF(F2746+Table1[[#This Row],[Steps]]&gt;99,(F2746+Table1[[#This Row],[Steps]])-100,F2746+Table1[[#This Row],[Steps]]),
))</f>
        <v>0</v>
      </c>
      <c r="F2747">
        <f>IF(Table1[[#This Row],[New Pos L]]&lt;&gt;0,Table1[[#This Row],[New Pos L]],Table1[[#This Row],[New Pos R]])</f>
        <v>15</v>
      </c>
    </row>
    <row r="2748" spans="1:6" ht="16" x14ac:dyDescent="0.2">
      <c r="A2748" s="1" t="s">
        <v>164</v>
      </c>
      <c r="B2748" t="str">
        <f>LEFT(Table1[[#This Row],[Input]],1)</f>
        <v>R</v>
      </c>
      <c r="C2748">
        <f>_xlfn.LET(_xlpm.steps,SUBSTITUTE(Table1[[#This Row],[Input]],Table1[[#This Row],[Direction]],""),VALUE(IF(LEN(_xlpm.steps)&gt;2,RIGHT(_xlpm.steps,2),_xlpm.steps)))</f>
        <v>85</v>
      </c>
      <c r="D2748">
        <f>_xlfn.LET(_xlpm.dir,Table1[[#This Row],[Direction]],
IF(_xlpm.dir="L",
    IF(F2747-Table1[[#This Row],[Steps]]&lt;0,100+(F2747-Table1[[#This Row],[Steps]]),F2747-Table1[[#This Row],[Steps]]),
))</f>
        <v>0</v>
      </c>
      <c r="E2748">
        <f>_xlfn.LET(_xlpm.dir,Table1[[#This Row],[Direction]],
IF(_xlpm.dir="R",
    IF(F2747+Table1[[#This Row],[Steps]]&gt;99,(F2747+Table1[[#This Row],[Steps]])-100,F2747+Table1[[#This Row],[Steps]]),
))</f>
        <v>0</v>
      </c>
      <c r="F2748">
        <f>IF(Table1[[#This Row],[New Pos L]]&lt;&gt;0,Table1[[#This Row],[New Pos L]],Table1[[#This Row],[New Pos R]])</f>
        <v>0</v>
      </c>
    </row>
    <row r="2749" spans="1:6" ht="16" x14ac:dyDescent="0.2">
      <c r="A2749" s="1" t="s">
        <v>141</v>
      </c>
      <c r="B2749" t="str">
        <f>LEFT(Table1[[#This Row],[Input]],1)</f>
        <v>L</v>
      </c>
      <c r="C2749">
        <f>_xlfn.LET(_xlpm.steps,SUBSTITUTE(Table1[[#This Row],[Input]],Table1[[#This Row],[Direction]],""),VALUE(IF(LEN(_xlpm.steps)&gt;2,RIGHT(_xlpm.steps,2),_xlpm.steps)))</f>
        <v>90</v>
      </c>
      <c r="D2749">
        <f>_xlfn.LET(_xlpm.dir,Table1[[#This Row],[Direction]],
IF(_xlpm.dir="L",
    IF(F2748-Table1[[#This Row],[Steps]]&lt;0,100+(F2748-Table1[[#This Row],[Steps]]),F2748-Table1[[#This Row],[Steps]]),
))</f>
        <v>10</v>
      </c>
      <c r="E2749">
        <f>_xlfn.LET(_xlpm.dir,Table1[[#This Row],[Direction]],
IF(_xlpm.dir="R",
    IF(F2748+Table1[[#This Row],[Steps]]&gt;99,(F2748+Table1[[#This Row],[Steps]])-100,F2748+Table1[[#This Row],[Steps]]),
))</f>
        <v>0</v>
      </c>
      <c r="F2749">
        <f>IF(Table1[[#This Row],[New Pos L]]&lt;&gt;0,Table1[[#This Row],[New Pos L]],Table1[[#This Row],[New Pos R]])</f>
        <v>10</v>
      </c>
    </row>
    <row r="2750" spans="1:6" ht="16" x14ac:dyDescent="0.2">
      <c r="A2750" s="1" t="s">
        <v>653</v>
      </c>
      <c r="B2750" t="str">
        <f>LEFT(Table1[[#This Row],[Input]],1)</f>
        <v>L</v>
      </c>
      <c r="C2750">
        <f>_xlfn.LET(_xlpm.steps,SUBSTITUTE(Table1[[#This Row],[Input]],Table1[[#This Row],[Direction]],""),VALUE(IF(LEN(_xlpm.steps)&gt;2,RIGHT(_xlpm.steps,2),_xlpm.steps)))</f>
        <v>10</v>
      </c>
      <c r="D2750">
        <f>_xlfn.LET(_xlpm.dir,Table1[[#This Row],[Direction]],
IF(_xlpm.dir="L",
    IF(F2749-Table1[[#This Row],[Steps]]&lt;0,100+(F2749-Table1[[#This Row],[Steps]]),F2749-Table1[[#This Row],[Steps]]),
))</f>
        <v>0</v>
      </c>
      <c r="E2750">
        <f>_xlfn.LET(_xlpm.dir,Table1[[#This Row],[Direction]],
IF(_xlpm.dir="R",
    IF(F2749+Table1[[#This Row],[Steps]]&gt;99,(F2749+Table1[[#This Row],[Steps]])-100,F2749+Table1[[#This Row],[Steps]]),
))</f>
        <v>0</v>
      </c>
      <c r="F2750">
        <f>IF(Table1[[#This Row],[New Pos L]]&lt;&gt;0,Table1[[#This Row],[New Pos L]],Table1[[#This Row],[New Pos R]])</f>
        <v>0</v>
      </c>
    </row>
    <row r="2751" spans="1:6" ht="16" x14ac:dyDescent="0.2">
      <c r="A2751" s="1" t="s">
        <v>64</v>
      </c>
      <c r="B2751" t="str">
        <f>LEFT(Table1[[#This Row],[Input]],1)</f>
        <v>R</v>
      </c>
      <c r="C2751">
        <f>_xlfn.LET(_xlpm.steps,SUBSTITUTE(Table1[[#This Row],[Input]],Table1[[#This Row],[Direction]],""),VALUE(IF(LEN(_xlpm.steps)&gt;2,RIGHT(_xlpm.steps,2),_xlpm.steps)))</f>
        <v>10</v>
      </c>
      <c r="D2751">
        <f>_xlfn.LET(_xlpm.dir,Table1[[#This Row],[Direction]],
IF(_xlpm.dir="L",
    IF(F2750-Table1[[#This Row],[Steps]]&lt;0,100+(F2750-Table1[[#This Row],[Steps]]),F2750-Table1[[#This Row],[Steps]]),
))</f>
        <v>0</v>
      </c>
      <c r="E2751">
        <f>_xlfn.LET(_xlpm.dir,Table1[[#This Row],[Direction]],
IF(_xlpm.dir="R",
    IF(F2750+Table1[[#This Row],[Steps]]&gt;99,(F2750+Table1[[#This Row],[Steps]])-100,F2750+Table1[[#This Row],[Steps]]),
))</f>
        <v>10</v>
      </c>
      <c r="F2751">
        <f>IF(Table1[[#This Row],[New Pos L]]&lt;&gt;0,Table1[[#This Row],[New Pos L]],Table1[[#This Row],[New Pos R]])</f>
        <v>10</v>
      </c>
    </row>
    <row r="2752" spans="1:6" ht="16" x14ac:dyDescent="0.2">
      <c r="A2752" s="1" t="s">
        <v>16</v>
      </c>
      <c r="B2752" t="str">
        <f>LEFT(Table1[[#This Row],[Input]],1)</f>
        <v>L</v>
      </c>
      <c r="C2752">
        <f>_xlfn.LET(_xlpm.steps,SUBSTITUTE(Table1[[#This Row],[Input]],Table1[[#This Row],[Direction]],""),VALUE(IF(LEN(_xlpm.steps)&gt;2,RIGHT(_xlpm.steps,2),_xlpm.steps)))</f>
        <v>10</v>
      </c>
      <c r="D2752">
        <f>_xlfn.LET(_xlpm.dir,Table1[[#This Row],[Direction]],
IF(_xlpm.dir="L",
    IF(F2751-Table1[[#This Row],[Steps]]&lt;0,100+(F2751-Table1[[#This Row],[Steps]]),F2751-Table1[[#This Row],[Steps]]),
))</f>
        <v>0</v>
      </c>
      <c r="E2752">
        <f>_xlfn.LET(_xlpm.dir,Table1[[#This Row],[Direction]],
IF(_xlpm.dir="R",
    IF(F2751+Table1[[#This Row],[Steps]]&gt;99,(F2751+Table1[[#This Row],[Steps]])-100,F2751+Table1[[#This Row],[Steps]]),
))</f>
        <v>0</v>
      </c>
      <c r="F2752">
        <f>IF(Table1[[#This Row],[New Pos L]]&lt;&gt;0,Table1[[#This Row],[New Pos L]],Table1[[#This Row],[New Pos R]])</f>
        <v>0</v>
      </c>
    </row>
    <row r="2753" spans="1:6" ht="16" x14ac:dyDescent="0.2">
      <c r="A2753" s="1" t="s">
        <v>16</v>
      </c>
      <c r="B2753" t="str">
        <f>LEFT(Table1[[#This Row],[Input]],1)</f>
        <v>L</v>
      </c>
      <c r="C2753">
        <f>_xlfn.LET(_xlpm.steps,SUBSTITUTE(Table1[[#This Row],[Input]],Table1[[#This Row],[Direction]],""),VALUE(IF(LEN(_xlpm.steps)&gt;2,RIGHT(_xlpm.steps,2),_xlpm.steps)))</f>
        <v>10</v>
      </c>
      <c r="D2753">
        <f>_xlfn.LET(_xlpm.dir,Table1[[#This Row],[Direction]],
IF(_xlpm.dir="L",
    IF(F2752-Table1[[#This Row],[Steps]]&lt;0,100+(F2752-Table1[[#This Row],[Steps]]),F2752-Table1[[#This Row],[Steps]]),
))</f>
        <v>90</v>
      </c>
      <c r="E2753">
        <f>_xlfn.LET(_xlpm.dir,Table1[[#This Row],[Direction]],
IF(_xlpm.dir="R",
    IF(F2752+Table1[[#This Row],[Steps]]&gt;99,(F2752+Table1[[#This Row],[Steps]])-100,F2752+Table1[[#This Row],[Steps]]),
))</f>
        <v>0</v>
      </c>
      <c r="F2753">
        <f>IF(Table1[[#This Row],[New Pos L]]&lt;&gt;0,Table1[[#This Row],[New Pos L]],Table1[[#This Row],[New Pos R]])</f>
        <v>90</v>
      </c>
    </row>
    <row r="2754" spans="1:6" ht="16" x14ac:dyDescent="0.2">
      <c r="A2754" s="1" t="s">
        <v>64</v>
      </c>
      <c r="B2754" t="str">
        <f>LEFT(Table1[[#This Row],[Input]],1)</f>
        <v>R</v>
      </c>
      <c r="C2754">
        <f>_xlfn.LET(_xlpm.steps,SUBSTITUTE(Table1[[#This Row],[Input]],Table1[[#This Row],[Direction]],""),VALUE(IF(LEN(_xlpm.steps)&gt;2,RIGHT(_xlpm.steps,2),_xlpm.steps)))</f>
        <v>10</v>
      </c>
      <c r="D2754">
        <f>_xlfn.LET(_xlpm.dir,Table1[[#This Row],[Direction]],
IF(_xlpm.dir="L",
    IF(F2753-Table1[[#This Row],[Steps]]&lt;0,100+(F2753-Table1[[#This Row],[Steps]]),F2753-Table1[[#This Row],[Steps]]),
))</f>
        <v>0</v>
      </c>
      <c r="E2754">
        <f>_xlfn.LET(_xlpm.dir,Table1[[#This Row],[Direction]],
IF(_xlpm.dir="R",
    IF(F2753+Table1[[#This Row],[Steps]]&gt;99,(F2753+Table1[[#This Row],[Steps]])-100,F2753+Table1[[#This Row],[Steps]]),
))</f>
        <v>0</v>
      </c>
      <c r="F2754">
        <f>IF(Table1[[#This Row],[New Pos L]]&lt;&gt;0,Table1[[#This Row],[New Pos L]],Table1[[#This Row],[New Pos R]])</f>
        <v>0</v>
      </c>
    </row>
    <row r="2755" spans="1:6" ht="16" x14ac:dyDescent="0.2">
      <c r="A2755" s="1" t="s">
        <v>69</v>
      </c>
      <c r="B2755" t="str">
        <f>LEFT(Table1[[#This Row],[Input]],1)</f>
        <v>R</v>
      </c>
      <c r="C2755">
        <f>_xlfn.LET(_xlpm.steps,SUBSTITUTE(Table1[[#This Row],[Input]],Table1[[#This Row],[Direction]],""),VALUE(IF(LEN(_xlpm.steps)&gt;2,RIGHT(_xlpm.steps,2),_xlpm.steps)))</f>
        <v>27</v>
      </c>
      <c r="D2755">
        <f>_xlfn.LET(_xlpm.dir,Table1[[#This Row],[Direction]],
IF(_xlpm.dir="L",
    IF(F2754-Table1[[#This Row],[Steps]]&lt;0,100+(F2754-Table1[[#This Row],[Steps]]),F2754-Table1[[#This Row],[Steps]]),
))</f>
        <v>0</v>
      </c>
      <c r="E2755">
        <f>_xlfn.LET(_xlpm.dir,Table1[[#This Row],[Direction]],
IF(_xlpm.dir="R",
    IF(F2754+Table1[[#This Row],[Steps]]&gt;99,(F2754+Table1[[#This Row],[Steps]])-100,F2754+Table1[[#This Row],[Steps]]),
))</f>
        <v>27</v>
      </c>
      <c r="F2755">
        <f>IF(Table1[[#This Row],[New Pos L]]&lt;&gt;0,Table1[[#This Row],[New Pos L]],Table1[[#This Row],[New Pos R]])</f>
        <v>27</v>
      </c>
    </row>
    <row r="2756" spans="1:6" ht="16" x14ac:dyDescent="0.2">
      <c r="A2756" s="1" t="s">
        <v>42</v>
      </c>
      <c r="B2756" t="str">
        <f>LEFT(Table1[[#This Row],[Input]],1)</f>
        <v>L</v>
      </c>
      <c r="C2756">
        <f>_xlfn.LET(_xlpm.steps,SUBSTITUTE(Table1[[#This Row],[Input]],Table1[[#This Row],[Direction]],""),VALUE(IF(LEN(_xlpm.steps)&gt;2,RIGHT(_xlpm.steps,2),_xlpm.steps)))</f>
        <v>27</v>
      </c>
      <c r="D2756">
        <f>_xlfn.LET(_xlpm.dir,Table1[[#This Row],[Direction]],
IF(_xlpm.dir="L",
    IF(F2755-Table1[[#This Row],[Steps]]&lt;0,100+(F2755-Table1[[#This Row],[Steps]]),F2755-Table1[[#This Row],[Steps]]),
))</f>
        <v>0</v>
      </c>
      <c r="E2756">
        <f>_xlfn.LET(_xlpm.dir,Table1[[#This Row],[Direction]],
IF(_xlpm.dir="R",
    IF(F2755+Table1[[#This Row],[Steps]]&gt;99,(F2755+Table1[[#This Row],[Steps]])-100,F2755+Table1[[#This Row],[Steps]]),
))</f>
        <v>0</v>
      </c>
      <c r="F2756">
        <f>IF(Table1[[#This Row],[New Pos L]]&lt;&gt;0,Table1[[#This Row],[New Pos L]],Table1[[#This Row],[New Pos R]])</f>
        <v>0</v>
      </c>
    </row>
    <row r="2757" spans="1:6" ht="16" x14ac:dyDescent="0.2">
      <c r="A2757" s="1" t="s">
        <v>654</v>
      </c>
      <c r="B2757" t="str">
        <f>LEFT(Table1[[#This Row],[Input]],1)</f>
        <v>L</v>
      </c>
      <c r="C2757">
        <f>_xlfn.LET(_xlpm.steps,SUBSTITUTE(Table1[[#This Row],[Input]],Table1[[#This Row],[Direction]],""),VALUE(IF(LEN(_xlpm.steps)&gt;2,RIGHT(_xlpm.steps,2),_xlpm.steps)))</f>
        <v>56</v>
      </c>
      <c r="D2757">
        <f>_xlfn.LET(_xlpm.dir,Table1[[#This Row],[Direction]],
IF(_xlpm.dir="L",
    IF(F2756-Table1[[#This Row],[Steps]]&lt;0,100+(F2756-Table1[[#This Row],[Steps]]),F2756-Table1[[#This Row],[Steps]]),
))</f>
        <v>44</v>
      </c>
      <c r="E2757">
        <f>_xlfn.LET(_xlpm.dir,Table1[[#This Row],[Direction]],
IF(_xlpm.dir="R",
    IF(F2756+Table1[[#This Row],[Steps]]&gt;99,(F2756+Table1[[#This Row],[Steps]])-100,F2756+Table1[[#This Row],[Steps]]),
))</f>
        <v>0</v>
      </c>
      <c r="F2757">
        <f>IF(Table1[[#This Row],[New Pos L]]&lt;&gt;0,Table1[[#This Row],[New Pos L]],Table1[[#This Row],[New Pos R]])</f>
        <v>44</v>
      </c>
    </row>
    <row r="2758" spans="1:6" ht="16" x14ac:dyDescent="0.2">
      <c r="A2758" s="1" t="s">
        <v>0</v>
      </c>
      <c r="B2758" t="str">
        <f>LEFT(Table1[[#This Row],[Input]],1)</f>
        <v>L</v>
      </c>
      <c r="C2758">
        <f>_xlfn.LET(_xlpm.steps,SUBSTITUTE(Table1[[#This Row],[Input]],Table1[[#This Row],[Direction]],""),VALUE(IF(LEN(_xlpm.steps)&gt;2,RIGHT(_xlpm.steps,2),_xlpm.steps)))</f>
        <v>44</v>
      </c>
      <c r="D2758">
        <f>_xlfn.LET(_xlpm.dir,Table1[[#This Row],[Direction]],
IF(_xlpm.dir="L",
    IF(F2757-Table1[[#This Row],[Steps]]&lt;0,100+(F2757-Table1[[#This Row],[Steps]]),F2757-Table1[[#This Row],[Steps]]),
))</f>
        <v>0</v>
      </c>
      <c r="E2758">
        <f>_xlfn.LET(_xlpm.dir,Table1[[#This Row],[Direction]],
IF(_xlpm.dir="R",
    IF(F2757+Table1[[#This Row],[Steps]]&gt;99,(F2757+Table1[[#This Row],[Steps]])-100,F2757+Table1[[#This Row],[Steps]]),
))</f>
        <v>0</v>
      </c>
      <c r="F2758">
        <f>IF(Table1[[#This Row],[New Pos L]]&lt;&gt;0,Table1[[#This Row],[New Pos L]],Table1[[#This Row],[New Pos R]])</f>
        <v>0</v>
      </c>
    </row>
    <row r="2759" spans="1:6" ht="16" x14ac:dyDescent="0.2">
      <c r="A2759" s="1" t="s">
        <v>57</v>
      </c>
      <c r="B2759" t="str">
        <f>LEFT(Table1[[#This Row],[Input]],1)</f>
        <v>R</v>
      </c>
      <c r="C2759">
        <f>_xlfn.LET(_xlpm.steps,SUBSTITUTE(Table1[[#This Row],[Input]],Table1[[#This Row],[Direction]],""),VALUE(IF(LEN(_xlpm.steps)&gt;2,RIGHT(_xlpm.steps,2),_xlpm.steps)))</f>
        <v>29</v>
      </c>
      <c r="D2759">
        <f>_xlfn.LET(_xlpm.dir,Table1[[#This Row],[Direction]],
IF(_xlpm.dir="L",
    IF(F2758-Table1[[#This Row],[Steps]]&lt;0,100+(F2758-Table1[[#This Row],[Steps]]),F2758-Table1[[#This Row],[Steps]]),
))</f>
        <v>0</v>
      </c>
      <c r="E2759">
        <f>_xlfn.LET(_xlpm.dir,Table1[[#This Row],[Direction]],
IF(_xlpm.dir="R",
    IF(F2758+Table1[[#This Row],[Steps]]&gt;99,(F2758+Table1[[#This Row],[Steps]])-100,F2758+Table1[[#This Row],[Steps]]),
))</f>
        <v>29</v>
      </c>
      <c r="F2759">
        <f>IF(Table1[[#This Row],[New Pos L]]&lt;&gt;0,Table1[[#This Row],[New Pos L]],Table1[[#This Row],[New Pos R]])</f>
        <v>29</v>
      </c>
    </row>
    <row r="2760" spans="1:6" ht="16" x14ac:dyDescent="0.2">
      <c r="A2760" s="1" t="s">
        <v>140</v>
      </c>
      <c r="B2760" t="str">
        <f>LEFT(Table1[[#This Row],[Input]],1)</f>
        <v>L</v>
      </c>
      <c r="C2760">
        <f>_xlfn.LET(_xlpm.steps,SUBSTITUTE(Table1[[#This Row],[Input]],Table1[[#This Row],[Direction]],""),VALUE(IF(LEN(_xlpm.steps)&gt;2,RIGHT(_xlpm.steps,2),_xlpm.steps)))</f>
        <v>61</v>
      </c>
      <c r="D2760">
        <f>_xlfn.LET(_xlpm.dir,Table1[[#This Row],[Direction]],
IF(_xlpm.dir="L",
    IF(F2759-Table1[[#This Row],[Steps]]&lt;0,100+(F2759-Table1[[#This Row],[Steps]]),F2759-Table1[[#This Row],[Steps]]),
))</f>
        <v>68</v>
      </c>
      <c r="E2760">
        <f>_xlfn.LET(_xlpm.dir,Table1[[#This Row],[Direction]],
IF(_xlpm.dir="R",
    IF(F2759+Table1[[#This Row],[Steps]]&gt;99,(F2759+Table1[[#This Row],[Steps]])-100,F2759+Table1[[#This Row],[Steps]]),
))</f>
        <v>0</v>
      </c>
      <c r="F2760">
        <f>IF(Table1[[#This Row],[New Pos L]]&lt;&gt;0,Table1[[#This Row],[New Pos L]],Table1[[#This Row],[New Pos R]])</f>
        <v>68</v>
      </c>
    </row>
    <row r="2761" spans="1:6" ht="16" x14ac:dyDescent="0.2">
      <c r="A2761" s="1" t="s">
        <v>254</v>
      </c>
      <c r="B2761" t="str">
        <f>LEFT(Table1[[#This Row],[Input]],1)</f>
        <v>R</v>
      </c>
      <c r="C2761">
        <f>_xlfn.LET(_xlpm.steps,SUBSTITUTE(Table1[[#This Row],[Input]],Table1[[#This Row],[Direction]],""),VALUE(IF(LEN(_xlpm.steps)&gt;2,RIGHT(_xlpm.steps,2),_xlpm.steps)))</f>
        <v>84</v>
      </c>
      <c r="D2761">
        <f>_xlfn.LET(_xlpm.dir,Table1[[#This Row],[Direction]],
IF(_xlpm.dir="L",
    IF(F2760-Table1[[#This Row],[Steps]]&lt;0,100+(F2760-Table1[[#This Row],[Steps]]),F2760-Table1[[#This Row],[Steps]]),
))</f>
        <v>0</v>
      </c>
      <c r="E2761">
        <f>_xlfn.LET(_xlpm.dir,Table1[[#This Row],[Direction]],
IF(_xlpm.dir="R",
    IF(F2760+Table1[[#This Row],[Steps]]&gt;99,(F2760+Table1[[#This Row],[Steps]])-100,F2760+Table1[[#This Row],[Steps]]),
))</f>
        <v>52</v>
      </c>
      <c r="F2761">
        <f>IF(Table1[[#This Row],[New Pos L]]&lt;&gt;0,Table1[[#This Row],[New Pos L]],Table1[[#This Row],[New Pos R]])</f>
        <v>52</v>
      </c>
    </row>
    <row r="2762" spans="1:6" ht="16" x14ac:dyDescent="0.2">
      <c r="A2762" s="1" t="s">
        <v>30</v>
      </c>
      <c r="B2762" t="str">
        <f>LEFT(Table1[[#This Row],[Input]],1)</f>
        <v>R</v>
      </c>
      <c r="C2762">
        <f>_xlfn.LET(_xlpm.steps,SUBSTITUTE(Table1[[#This Row],[Input]],Table1[[#This Row],[Direction]],""),VALUE(IF(LEN(_xlpm.steps)&gt;2,RIGHT(_xlpm.steps,2),_xlpm.steps)))</f>
        <v>48</v>
      </c>
      <c r="D2762">
        <f>_xlfn.LET(_xlpm.dir,Table1[[#This Row],[Direction]],
IF(_xlpm.dir="L",
    IF(F2761-Table1[[#This Row],[Steps]]&lt;0,100+(F2761-Table1[[#This Row],[Steps]]),F2761-Table1[[#This Row],[Steps]]),
))</f>
        <v>0</v>
      </c>
      <c r="E2762">
        <f>_xlfn.LET(_xlpm.dir,Table1[[#This Row],[Direction]],
IF(_xlpm.dir="R",
    IF(F2761+Table1[[#This Row],[Steps]]&gt;99,(F2761+Table1[[#This Row],[Steps]])-100,F2761+Table1[[#This Row],[Steps]]),
))</f>
        <v>0</v>
      </c>
      <c r="F2762">
        <f>IF(Table1[[#This Row],[New Pos L]]&lt;&gt;0,Table1[[#This Row],[New Pos L]],Table1[[#This Row],[New Pos R]])</f>
        <v>0</v>
      </c>
    </row>
    <row r="2763" spans="1:6" ht="16" x14ac:dyDescent="0.2">
      <c r="A2763" s="1" t="s">
        <v>84</v>
      </c>
      <c r="B2763" t="str">
        <f>LEFT(Table1[[#This Row],[Input]],1)</f>
        <v>R</v>
      </c>
      <c r="C2763">
        <f>_xlfn.LET(_xlpm.steps,SUBSTITUTE(Table1[[#This Row],[Input]],Table1[[#This Row],[Direction]],""),VALUE(IF(LEN(_xlpm.steps)&gt;2,RIGHT(_xlpm.steps,2),_xlpm.steps)))</f>
        <v>88</v>
      </c>
      <c r="D2763">
        <f>_xlfn.LET(_xlpm.dir,Table1[[#This Row],[Direction]],
IF(_xlpm.dir="L",
    IF(F2762-Table1[[#This Row],[Steps]]&lt;0,100+(F2762-Table1[[#This Row],[Steps]]),F2762-Table1[[#This Row],[Steps]]),
))</f>
        <v>0</v>
      </c>
      <c r="E2763">
        <f>_xlfn.LET(_xlpm.dir,Table1[[#This Row],[Direction]],
IF(_xlpm.dir="R",
    IF(F2762+Table1[[#This Row],[Steps]]&gt;99,(F2762+Table1[[#This Row],[Steps]])-100,F2762+Table1[[#This Row],[Steps]]),
))</f>
        <v>88</v>
      </c>
      <c r="F2763">
        <f>IF(Table1[[#This Row],[New Pos L]]&lt;&gt;0,Table1[[#This Row],[New Pos L]],Table1[[#This Row],[New Pos R]])</f>
        <v>88</v>
      </c>
    </row>
    <row r="2764" spans="1:6" ht="16" x14ac:dyDescent="0.2">
      <c r="A2764" s="1" t="s">
        <v>28</v>
      </c>
      <c r="B2764" t="str">
        <f>LEFT(Table1[[#This Row],[Input]],1)</f>
        <v>R</v>
      </c>
      <c r="C2764">
        <f>_xlfn.LET(_xlpm.steps,SUBSTITUTE(Table1[[#This Row],[Input]],Table1[[#This Row],[Direction]],""),VALUE(IF(LEN(_xlpm.steps)&gt;2,RIGHT(_xlpm.steps,2),_xlpm.steps)))</f>
        <v>30</v>
      </c>
      <c r="D2764">
        <f>_xlfn.LET(_xlpm.dir,Table1[[#This Row],[Direction]],
IF(_xlpm.dir="L",
    IF(F2763-Table1[[#This Row],[Steps]]&lt;0,100+(F2763-Table1[[#This Row],[Steps]]),F2763-Table1[[#This Row],[Steps]]),
))</f>
        <v>0</v>
      </c>
      <c r="E2764">
        <f>_xlfn.LET(_xlpm.dir,Table1[[#This Row],[Direction]],
IF(_xlpm.dir="R",
    IF(F2763+Table1[[#This Row],[Steps]]&gt;99,(F2763+Table1[[#This Row],[Steps]])-100,F2763+Table1[[#This Row],[Steps]]),
))</f>
        <v>18</v>
      </c>
      <c r="F2764">
        <f>IF(Table1[[#This Row],[New Pos L]]&lt;&gt;0,Table1[[#This Row],[New Pos L]],Table1[[#This Row],[New Pos R]])</f>
        <v>18</v>
      </c>
    </row>
    <row r="2765" spans="1:6" ht="16" x14ac:dyDescent="0.2">
      <c r="A2765" s="1" t="s">
        <v>206</v>
      </c>
      <c r="B2765" t="str">
        <f>LEFT(Table1[[#This Row],[Input]],1)</f>
        <v>R</v>
      </c>
      <c r="C2765">
        <f>_xlfn.LET(_xlpm.steps,SUBSTITUTE(Table1[[#This Row],[Input]],Table1[[#This Row],[Direction]],""),VALUE(IF(LEN(_xlpm.steps)&gt;2,RIGHT(_xlpm.steps,2),_xlpm.steps)))</f>
        <v>62</v>
      </c>
      <c r="D2765">
        <f>_xlfn.LET(_xlpm.dir,Table1[[#This Row],[Direction]],
IF(_xlpm.dir="L",
    IF(F2764-Table1[[#This Row],[Steps]]&lt;0,100+(F2764-Table1[[#This Row],[Steps]]),F2764-Table1[[#This Row],[Steps]]),
))</f>
        <v>0</v>
      </c>
      <c r="E2765">
        <f>_xlfn.LET(_xlpm.dir,Table1[[#This Row],[Direction]],
IF(_xlpm.dir="R",
    IF(F2764+Table1[[#This Row],[Steps]]&gt;99,(F2764+Table1[[#This Row],[Steps]])-100,F2764+Table1[[#This Row],[Steps]]),
))</f>
        <v>80</v>
      </c>
      <c r="F2765">
        <f>IF(Table1[[#This Row],[New Pos L]]&lt;&gt;0,Table1[[#This Row],[New Pos L]],Table1[[#This Row],[New Pos R]])</f>
        <v>80</v>
      </c>
    </row>
    <row r="2766" spans="1:6" ht="16" x14ac:dyDescent="0.2">
      <c r="A2766" s="1" t="s">
        <v>550</v>
      </c>
      <c r="B2766" t="str">
        <f>LEFT(Table1[[#This Row],[Input]],1)</f>
        <v>R</v>
      </c>
      <c r="C2766">
        <f>_xlfn.LET(_xlpm.steps,SUBSTITUTE(Table1[[#This Row],[Input]],Table1[[#This Row],[Direction]],""),VALUE(IF(LEN(_xlpm.steps)&gt;2,RIGHT(_xlpm.steps,2),_xlpm.steps)))</f>
        <v>20</v>
      </c>
      <c r="D2766">
        <f>_xlfn.LET(_xlpm.dir,Table1[[#This Row],[Direction]],
IF(_xlpm.dir="L",
    IF(F2765-Table1[[#This Row],[Steps]]&lt;0,100+(F2765-Table1[[#This Row],[Steps]]),F2765-Table1[[#This Row],[Steps]]),
))</f>
        <v>0</v>
      </c>
      <c r="E2766">
        <f>_xlfn.LET(_xlpm.dir,Table1[[#This Row],[Direction]],
IF(_xlpm.dir="R",
    IF(F2765+Table1[[#This Row],[Steps]]&gt;99,(F2765+Table1[[#This Row],[Steps]])-100,F2765+Table1[[#This Row],[Steps]]),
))</f>
        <v>0</v>
      </c>
      <c r="F2766">
        <f>IF(Table1[[#This Row],[New Pos L]]&lt;&gt;0,Table1[[#This Row],[New Pos L]],Table1[[#This Row],[New Pos R]])</f>
        <v>0</v>
      </c>
    </row>
    <row r="2767" spans="1:6" ht="16" x14ac:dyDescent="0.2">
      <c r="A2767" s="1" t="s">
        <v>89</v>
      </c>
      <c r="B2767" t="str">
        <f>LEFT(Table1[[#This Row],[Input]],1)</f>
        <v>L</v>
      </c>
      <c r="C2767">
        <f>_xlfn.LET(_xlpm.steps,SUBSTITUTE(Table1[[#This Row],[Input]],Table1[[#This Row],[Direction]],""),VALUE(IF(LEN(_xlpm.steps)&gt;2,RIGHT(_xlpm.steps,2),_xlpm.steps)))</f>
        <v>91</v>
      </c>
      <c r="D2767">
        <f>_xlfn.LET(_xlpm.dir,Table1[[#This Row],[Direction]],
IF(_xlpm.dir="L",
    IF(F2766-Table1[[#This Row],[Steps]]&lt;0,100+(F2766-Table1[[#This Row],[Steps]]),F2766-Table1[[#This Row],[Steps]]),
))</f>
        <v>9</v>
      </c>
      <c r="E2767">
        <f>_xlfn.LET(_xlpm.dir,Table1[[#This Row],[Direction]],
IF(_xlpm.dir="R",
    IF(F2766+Table1[[#This Row],[Steps]]&gt;99,(F2766+Table1[[#This Row],[Steps]])-100,F2766+Table1[[#This Row],[Steps]]),
))</f>
        <v>0</v>
      </c>
      <c r="F2767">
        <f>IF(Table1[[#This Row],[New Pos L]]&lt;&gt;0,Table1[[#This Row],[New Pos L]],Table1[[#This Row],[New Pos R]])</f>
        <v>9</v>
      </c>
    </row>
    <row r="2768" spans="1:6" ht="16" x14ac:dyDescent="0.2">
      <c r="A2768" s="1" t="s">
        <v>346</v>
      </c>
      <c r="B2768" t="str">
        <f>LEFT(Table1[[#This Row],[Input]],1)</f>
        <v>L</v>
      </c>
      <c r="C2768">
        <f>_xlfn.LET(_xlpm.steps,SUBSTITUTE(Table1[[#This Row],[Input]],Table1[[#This Row],[Direction]],""),VALUE(IF(LEN(_xlpm.steps)&gt;2,RIGHT(_xlpm.steps,2),_xlpm.steps)))</f>
        <v>61</v>
      </c>
      <c r="D2768">
        <f>_xlfn.LET(_xlpm.dir,Table1[[#This Row],[Direction]],
IF(_xlpm.dir="L",
    IF(F2767-Table1[[#This Row],[Steps]]&lt;0,100+(F2767-Table1[[#This Row],[Steps]]),F2767-Table1[[#This Row],[Steps]]),
))</f>
        <v>48</v>
      </c>
      <c r="E2768">
        <f>_xlfn.LET(_xlpm.dir,Table1[[#This Row],[Direction]],
IF(_xlpm.dir="R",
    IF(F2767+Table1[[#This Row],[Steps]]&gt;99,(F2767+Table1[[#This Row],[Steps]])-100,F2767+Table1[[#This Row],[Steps]]),
))</f>
        <v>0</v>
      </c>
      <c r="F2768">
        <f>IF(Table1[[#This Row],[New Pos L]]&lt;&gt;0,Table1[[#This Row],[New Pos L]],Table1[[#This Row],[New Pos R]])</f>
        <v>48</v>
      </c>
    </row>
    <row r="2769" spans="1:6" ht="16" x14ac:dyDescent="0.2">
      <c r="A2769" s="1" t="s">
        <v>363</v>
      </c>
      <c r="B2769" t="str">
        <f>LEFT(Table1[[#This Row],[Input]],1)</f>
        <v>R</v>
      </c>
      <c r="C2769">
        <f>_xlfn.LET(_xlpm.steps,SUBSTITUTE(Table1[[#This Row],[Input]],Table1[[#This Row],[Direction]],""),VALUE(IF(LEN(_xlpm.steps)&gt;2,RIGHT(_xlpm.steps,2),_xlpm.steps)))</f>
        <v>63</v>
      </c>
      <c r="D2769">
        <f>_xlfn.LET(_xlpm.dir,Table1[[#This Row],[Direction]],
IF(_xlpm.dir="L",
    IF(F2768-Table1[[#This Row],[Steps]]&lt;0,100+(F2768-Table1[[#This Row],[Steps]]),F2768-Table1[[#This Row],[Steps]]),
))</f>
        <v>0</v>
      </c>
      <c r="E2769">
        <f>_xlfn.LET(_xlpm.dir,Table1[[#This Row],[Direction]],
IF(_xlpm.dir="R",
    IF(F2768+Table1[[#This Row],[Steps]]&gt;99,(F2768+Table1[[#This Row],[Steps]])-100,F2768+Table1[[#This Row],[Steps]]),
))</f>
        <v>11</v>
      </c>
      <c r="F2769">
        <f>IF(Table1[[#This Row],[New Pos L]]&lt;&gt;0,Table1[[#This Row],[New Pos L]],Table1[[#This Row],[New Pos R]])</f>
        <v>11</v>
      </c>
    </row>
    <row r="2770" spans="1:6" ht="16" x14ac:dyDescent="0.2">
      <c r="A2770" s="1" t="s">
        <v>210</v>
      </c>
      <c r="B2770" t="str">
        <f>LEFT(Table1[[#This Row],[Input]],1)</f>
        <v>R</v>
      </c>
      <c r="C2770">
        <f>_xlfn.LET(_xlpm.steps,SUBSTITUTE(Table1[[#This Row],[Input]],Table1[[#This Row],[Direction]],""),VALUE(IF(LEN(_xlpm.steps)&gt;2,RIGHT(_xlpm.steps,2),_xlpm.steps)))</f>
        <v>89</v>
      </c>
      <c r="D2770">
        <f>_xlfn.LET(_xlpm.dir,Table1[[#This Row],[Direction]],
IF(_xlpm.dir="L",
    IF(F2769-Table1[[#This Row],[Steps]]&lt;0,100+(F2769-Table1[[#This Row],[Steps]]),F2769-Table1[[#This Row],[Steps]]),
))</f>
        <v>0</v>
      </c>
      <c r="E2770">
        <f>_xlfn.LET(_xlpm.dir,Table1[[#This Row],[Direction]],
IF(_xlpm.dir="R",
    IF(F2769+Table1[[#This Row],[Steps]]&gt;99,(F2769+Table1[[#This Row],[Steps]])-100,F2769+Table1[[#This Row],[Steps]]),
))</f>
        <v>0</v>
      </c>
      <c r="F2770">
        <f>IF(Table1[[#This Row],[New Pos L]]&lt;&gt;0,Table1[[#This Row],[New Pos L]],Table1[[#This Row],[New Pos R]])</f>
        <v>0</v>
      </c>
    </row>
    <row r="2771" spans="1:6" ht="16" x14ac:dyDescent="0.2">
      <c r="A2771" s="1" t="s">
        <v>167</v>
      </c>
      <c r="B2771" t="str">
        <f>LEFT(Table1[[#This Row],[Input]],1)</f>
        <v>L</v>
      </c>
      <c r="C2771">
        <f>_xlfn.LET(_xlpm.steps,SUBSTITUTE(Table1[[#This Row],[Input]],Table1[[#This Row],[Direction]],""),VALUE(IF(LEN(_xlpm.steps)&gt;2,RIGHT(_xlpm.steps,2),_xlpm.steps)))</f>
        <v>59</v>
      </c>
      <c r="D2771">
        <f>_xlfn.LET(_xlpm.dir,Table1[[#This Row],[Direction]],
IF(_xlpm.dir="L",
    IF(F2770-Table1[[#This Row],[Steps]]&lt;0,100+(F2770-Table1[[#This Row],[Steps]]),F2770-Table1[[#This Row],[Steps]]),
))</f>
        <v>41</v>
      </c>
      <c r="E2771">
        <f>_xlfn.LET(_xlpm.dir,Table1[[#This Row],[Direction]],
IF(_xlpm.dir="R",
    IF(F2770+Table1[[#This Row],[Steps]]&gt;99,(F2770+Table1[[#This Row],[Steps]])-100,F2770+Table1[[#This Row],[Steps]]),
))</f>
        <v>0</v>
      </c>
      <c r="F2771">
        <f>IF(Table1[[#This Row],[New Pos L]]&lt;&gt;0,Table1[[#This Row],[New Pos L]],Table1[[#This Row],[New Pos R]])</f>
        <v>41</v>
      </c>
    </row>
    <row r="2772" spans="1:6" ht="16" x14ac:dyDescent="0.2">
      <c r="A2772" s="1" t="s">
        <v>172</v>
      </c>
      <c r="B2772" t="str">
        <f>LEFT(Table1[[#This Row],[Input]],1)</f>
        <v>L</v>
      </c>
      <c r="C2772">
        <f>_xlfn.LET(_xlpm.steps,SUBSTITUTE(Table1[[#This Row],[Input]],Table1[[#This Row],[Direction]],""),VALUE(IF(LEN(_xlpm.steps)&gt;2,RIGHT(_xlpm.steps,2),_xlpm.steps)))</f>
        <v>66</v>
      </c>
      <c r="D2772">
        <f>_xlfn.LET(_xlpm.dir,Table1[[#This Row],[Direction]],
IF(_xlpm.dir="L",
    IF(F2771-Table1[[#This Row],[Steps]]&lt;0,100+(F2771-Table1[[#This Row],[Steps]]),F2771-Table1[[#This Row],[Steps]]),
))</f>
        <v>75</v>
      </c>
      <c r="E2772">
        <f>_xlfn.LET(_xlpm.dir,Table1[[#This Row],[Direction]],
IF(_xlpm.dir="R",
    IF(F2771+Table1[[#This Row],[Steps]]&gt;99,(F2771+Table1[[#This Row],[Steps]])-100,F2771+Table1[[#This Row],[Steps]]),
))</f>
        <v>0</v>
      </c>
      <c r="F2772">
        <f>IF(Table1[[#This Row],[New Pos L]]&lt;&gt;0,Table1[[#This Row],[New Pos L]],Table1[[#This Row],[New Pos R]])</f>
        <v>75</v>
      </c>
    </row>
    <row r="2773" spans="1:6" ht="16" x14ac:dyDescent="0.2">
      <c r="A2773" s="1" t="s">
        <v>209</v>
      </c>
      <c r="B2773" t="str">
        <f>LEFT(Table1[[#This Row],[Input]],1)</f>
        <v>L</v>
      </c>
      <c r="C2773">
        <f>_xlfn.LET(_xlpm.steps,SUBSTITUTE(Table1[[#This Row],[Input]],Table1[[#This Row],[Direction]],""),VALUE(IF(LEN(_xlpm.steps)&gt;2,RIGHT(_xlpm.steps,2),_xlpm.steps)))</f>
        <v>86</v>
      </c>
      <c r="D2773">
        <f>_xlfn.LET(_xlpm.dir,Table1[[#This Row],[Direction]],
IF(_xlpm.dir="L",
    IF(F2772-Table1[[#This Row],[Steps]]&lt;0,100+(F2772-Table1[[#This Row],[Steps]]),F2772-Table1[[#This Row],[Steps]]),
))</f>
        <v>89</v>
      </c>
      <c r="E2773">
        <f>_xlfn.LET(_xlpm.dir,Table1[[#This Row],[Direction]],
IF(_xlpm.dir="R",
    IF(F2772+Table1[[#This Row],[Steps]]&gt;99,(F2772+Table1[[#This Row],[Steps]])-100,F2772+Table1[[#This Row],[Steps]]),
))</f>
        <v>0</v>
      </c>
      <c r="F2773">
        <f>IF(Table1[[#This Row],[New Pos L]]&lt;&gt;0,Table1[[#This Row],[New Pos L]],Table1[[#This Row],[New Pos R]])</f>
        <v>89</v>
      </c>
    </row>
    <row r="2774" spans="1:6" ht="16" x14ac:dyDescent="0.2">
      <c r="A2774" s="1" t="s">
        <v>293</v>
      </c>
      <c r="B2774" t="str">
        <f>LEFT(Table1[[#This Row],[Input]],1)</f>
        <v>R</v>
      </c>
      <c r="C2774">
        <f>_xlfn.LET(_xlpm.steps,SUBSTITUTE(Table1[[#This Row],[Input]],Table1[[#This Row],[Direction]],""),VALUE(IF(LEN(_xlpm.steps)&gt;2,RIGHT(_xlpm.steps,2),_xlpm.steps)))</f>
        <v>67</v>
      </c>
      <c r="D2774">
        <f>_xlfn.LET(_xlpm.dir,Table1[[#This Row],[Direction]],
IF(_xlpm.dir="L",
    IF(F2773-Table1[[#This Row],[Steps]]&lt;0,100+(F2773-Table1[[#This Row],[Steps]]),F2773-Table1[[#This Row],[Steps]]),
))</f>
        <v>0</v>
      </c>
      <c r="E2774">
        <f>_xlfn.LET(_xlpm.dir,Table1[[#This Row],[Direction]],
IF(_xlpm.dir="R",
    IF(F2773+Table1[[#This Row],[Steps]]&gt;99,(F2773+Table1[[#This Row],[Steps]])-100,F2773+Table1[[#This Row],[Steps]]),
))</f>
        <v>56</v>
      </c>
      <c r="F2774">
        <f>IF(Table1[[#This Row],[New Pos L]]&lt;&gt;0,Table1[[#This Row],[New Pos L]],Table1[[#This Row],[New Pos R]])</f>
        <v>56</v>
      </c>
    </row>
    <row r="2775" spans="1:6" ht="16" x14ac:dyDescent="0.2">
      <c r="A2775" s="1" t="s">
        <v>655</v>
      </c>
      <c r="B2775" t="str">
        <f>LEFT(Table1[[#This Row],[Input]],1)</f>
        <v>L</v>
      </c>
      <c r="C2775">
        <f>_xlfn.LET(_xlpm.steps,SUBSTITUTE(Table1[[#This Row],[Input]],Table1[[#This Row],[Direction]],""),VALUE(IF(LEN(_xlpm.steps)&gt;2,RIGHT(_xlpm.steps,2),_xlpm.steps)))</f>
        <v>56</v>
      </c>
      <c r="D2775">
        <f>_xlfn.LET(_xlpm.dir,Table1[[#This Row],[Direction]],
IF(_xlpm.dir="L",
    IF(F2774-Table1[[#This Row],[Steps]]&lt;0,100+(F2774-Table1[[#This Row],[Steps]]),F2774-Table1[[#This Row],[Steps]]),
))</f>
        <v>0</v>
      </c>
      <c r="E2775">
        <f>_xlfn.LET(_xlpm.dir,Table1[[#This Row],[Direction]],
IF(_xlpm.dir="R",
    IF(F2774+Table1[[#This Row],[Steps]]&gt;99,(F2774+Table1[[#This Row],[Steps]])-100,F2774+Table1[[#This Row],[Steps]]),
))</f>
        <v>0</v>
      </c>
      <c r="F2775">
        <f>IF(Table1[[#This Row],[New Pos L]]&lt;&gt;0,Table1[[#This Row],[New Pos L]],Table1[[#This Row],[New Pos R]])</f>
        <v>0</v>
      </c>
    </row>
    <row r="2776" spans="1:6" ht="16" x14ac:dyDescent="0.2">
      <c r="A2776" s="1" t="s">
        <v>5</v>
      </c>
      <c r="B2776" t="str">
        <f>LEFT(Table1[[#This Row],[Input]],1)</f>
        <v>R</v>
      </c>
      <c r="C2776">
        <f>_xlfn.LET(_xlpm.steps,SUBSTITUTE(Table1[[#This Row],[Input]],Table1[[#This Row],[Direction]],""),VALUE(IF(LEN(_xlpm.steps)&gt;2,RIGHT(_xlpm.steps,2),_xlpm.steps)))</f>
        <v>1</v>
      </c>
      <c r="D2776">
        <f>_xlfn.LET(_xlpm.dir,Table1[[#This Row],[Direction]],
IF(_xlpm.dir="L",
    IF(F2775-Table1[[#This Row],[Steps]]&lt;0,100+(F2775-Table1[[#This Row],[Steps]]),F2775-Table1[[#This Row],[Steps]]),
))</f>
        <v>0</v>
      </c>
      <c r="E2776">
        <f>_xlfn.LET(_xlpm.dir,Table1[[#This Row],[Direction]],
IF(_xlpm.dir="R",
    IF(F2775+Table1[[#This Row],[Steps]]&gt;99,(F2775+Table1[[#This Row],[Steps]])-100,F2775+Table1[[#This Row],[Steps]]),
))</f>
        <v>1</v>
      </c>
      <c r="F2776">
        <f>IF(Table1[[#This Row],[New Pos L]]&lt;&gt;0,Table1[[#This Row],[New Pos L]],Table1[[#This Row],[New Pos R]])</f>
        <v>1</v>
      </c>
    </row>
    <row r="2777" spans="1:6" ht="16" x14ac:dyDescent="0.2">
      <c r="A2777" s="1" t="s">
        <v>656</v>
      </c>
      <c r="B2777" t="str">
        <f>LEFT(Table1[[#This Row],[Input]],1)</f>
        <v>L</v>
      </c>
      <c r="C2777">
        <f>_xlfn.LET(_xlpm.steps,SUBSTITUTE(Table1[[#This Row],[Input]],Table1[[#This Row],[Direction]],""),VALUE(IF(LEN(_xlpm.steps)&gt;2,RIGHT(_xlpm.steps,2),_xlpm.steps)))</f>
        <v>11</v>
      </c>
      <c r="D2777">
        <f>_xlfn.LET(_xlpm.dir,Table1[[#This Row],[Direction]],
IF(_xlpm.dir="L",
    IF(F2776-Table1[[#This Row],[Steps]]&lt;0,100+(F2776-Table1[[#This Row],[Steps]]),F2776-Table1[[#This Row],[Steps]]),
))</f>
        <v>90</v>
      </c>
      <c r="E2777">
        <f>_xlfn.LET(_xlpm.dir,Table1[[#This Row],[Direction]],
IF(_xlpm.dir="R",
    IF(F2776+Table1[[#This Row],[Steps]]&gt;99,(F2776+Table1[[#This Row],[Steps]])-100,F2776+Table1[[#This Row],[Steps]]),
))</f>
        <v>0</v>
      </c>
      <c r="F2777">
        <f>IF(Table1[[#This Row],[New Pos L]]&lt;&gt;0,Table1[[#This Row],[New Pos L]],Table1[[#This Row],[New Pos R]])</f>
        <v>90</v>
      </c>
    </row>
    <row r="2778" spans="1:6" ht="16" x14ac:dyDescent="0.2">
      <c r="A2778" s="1" t="s">
        <v>657</v>
      </c>
      <c r="B2778" t="str">
        <f>LEFT(Table1[[#This Row],[Input]],1)</f>
        <v>R</v>
      </c>
      <c r="C2778">
        <f>_xlfn.LET(_xlpm.steps,SUBSTITUTE(Table1[[#This Row],[Input]],Table1[[#This Row],[Direction]],""),VALUE(IF(LEN(_xlpm.steps)&gt;2,RIGHT(_xlpm.steps,2),_xlpm.steps)))</f>
        <v>16</v>
      </c>
      <c r="D2778">
        <f>_xlfn.LET(_xlpm.dir,Table1[[#This Row],[Direction]],
IF(_xlpm.dir="L",
    IF(F2777-Table1[[#This Row],[Steps]]&lt;0,100+(F2777-Table1[[#This Row],[Steps]]),F2777-Table1[[#This Row],[Steps]]),
))</f>
        <v>0</v>
      </c>
      <c r="E2778">
        <f>_xlfn.LET(_xlpm.dir,Table1[[#This Row],[Direction]],
IF(_xlpm.dir="R",
    IF(F2777+Table1[[#This Row],[Steps]]&gt;99,(F2777+Table1[[#This Row],[Steps]])-100,F2777+Table1[[#This Row],[Steps]]),
))</f>
        <v>6</v>
      </c>
      <c r="F2778">
        <f>IF(Table1[[#This Row],[New Pos L]]&lt;&gt;0,Table1[[#This Row],[New Pos L]],Table1[[#This Row],[New Pos R]])</f>
        <v>6</v>
      </c>
    </row>
    <row r="2779" spans="1:6" ht="16" x14ac:dyDescent="0.2">
      <c r="A2779" s="1" t="s">
        <v>75</v>
      </c>
      <c r="B2779" t="str">
        <f>LEFT(Table1[[#This Row],[Input]],1)</f>
        <v>R</v>
      </c>
      <c r="C2779">
        <f>_xlfn.LET(_xlpm.steps,SUBSTITUTE(Table1[[#This Row],[Input]],Table1[[#This Row],[Direction]],""),VALUE(IF(LEN(_xlpm.steps)&gt;2,RIGHT(_xlpm.steps,2),_xlpm.steps)))</f>
        <v>2</v>
      </c>
      <c r="D2779">
        <f>_xlfn.LET(_xlpm.dir,Table1[[#This Row],[Direction]],
IF(_xlpm.dir="L",
    IF(F2778-Table1[[#This Row],[Steps]]&lt;0,100+(F2778-Table1[[#This Row],[Steps]]),F2778-Table1[[#This Row],[Steps]]),
))</f>
        <v>0</v>
      </c>
      <c r="E2779">
        <f>_xlfn.LET(_xlpm.dir,Table1[[#This Row],[Direction]],
IF(_xlpm.dir="R",
    IF(F2778+Table1[[#This Row],[Steps]]&gt;99,(F2778+Table1[[#This Row],[Steps]])-100,F2778+Table1[[#This Row],[Steps]]),
))</f>
        <v>8</v>
      </c>
      <c r="F2779">
        <f>IF(Table1[[#This Row],[New Pos L]]&lt;&gt;0,Table1[[#This Row],[New Pos L]],Table1[[#This Row],[New Pos R]])</f>
        <v>8</v>
      </c>
    </row>
    <row r="2780" spans="1:6" ht="16" x14ac:dyDescent="0.2">
      <c r="A2780" s="1" t="s">
        <v>79</v>
      </c>
      <c r="B2780" t="str">
        <f>LEFT(Table1[[#This Row],[Input]],1)</f>
        <v>L</v>
      </c>
      <c r="C2780">
        <f>_xlfn.LET(_xlpm.steps,SUBSTITUTE(Table1[[#This Row],[Input]],Table1[[#This Row],[Direction]],""),VALUE(IF(LEN(_xlpm.steps)&gt;2,RIGHT(_xlpm.steps,2),_xlpm.steps)))</f>
        <v>45</v>
      </c>
      <c r="D2780">
        <f>_xlfn.LET(_xlpm.dir,Table1[[#This Row],[Direction]],
IF(_xlpm.dir="L",
    IF(F2779-Table1[[#This Row],[Steps]]&lt;0,100+(F2779-Table1[[#This Row],[Steps]]),F2779-Table1[[#This Row],[Steps]]),
))</f>
        <v>63</v>
      </c>
      <c r="E2780">
        <f>_xlfn.LET(_xlpm.dir,Table1[[#This Row],[Direction]],
IF(_xlpm.dir="R",
    IF(F2779+Table1[[#This Row],[Steps]]&gt;99,(F2779+Table1[[#This Row],[Steps]])-100,F2779+Table1[[#This Row],[Steps]]),
))</f>
        <v>0</v>
      </c>
      <c r="F2780">
        <f>IF(Table1[[#This Row],[New Pos L]]&lt;&gt;0,Table1[[#This Row],[New Pos L]],Table1[[#This Row],[New Pos R]])</f>
        <v>63</v>
      </c>
    </row>
    <row r="2781" spans="1:6" ht="16" x14ac:dyDescent="0.2">
      <c r="A2781" s="1" t="s">
        <v>41</v>
      </c>
      <c r="B2781" t="str">
        <f>LEFT(Table1[[#This Row],[Input]],1)</f>
        <v>L</v>
      </c>
      <c r="C2781">
        <f>_xlfn.LET(_xlpm.steps,SUBSTITUTE(Table1[[#This Row],[Input]],Table1[[#This Row],[Direction]],""),VALUE(IF(LEN(_xlpm.steps)&gt;2,RIGHT(_xlpm.steps,2),_xlpm.steps)))</f>
        <v>7</v>
      </c>
      <c r="D2781">
        <f>_xlfn.LET(_xlpm.dir,Table1[[#This Row],[Direction]],
IF(_xlpm.dir="L",
    IF(F2780-Table1[[#This Row],[Steps]]&lt;0,100+(F2780-Table1[[#This Row],[Steps]]),F2780-Table1[[#This Row],[Steps]]),
))</f>
        <v>56</v>
      </c>
      <c r="E2781">
        <f>_xlfn.LET(_xlpm.dir,Table1[[#This Row],[Direction]],
IF(_xlpm.dir="R",
    IF(F2780+Table1[[#This Row],[Steps]]&gt;99,(F2780+Table1[[#This Row],[Steps]])-100,F2780+Table1[[#This Row],[Steps]]),
))</f>
        <v>0</v>
      </c>
      <c r="F2781">
        <f>IF(Table1[[#This Row],[New Pos L]]&lt;&gt;0,Table1[[#This Row],[New Pos L]],Table1[[#This Row],[New Pos R]])</f>
        <v>56</v>
      </c>
    </row>
    <row r="2782" spans="1:6" ht="16" x14ac:dyDescent="0.2">
      <c r="A2782" s="1" t="s">
        <v>72</v>
      </c>
      <c r="B2782" t="str">
        <f>LEFT(Table1[[#This Row],[Input]],1)</f>
        <v>R</v>
      </c>
      <c r="C2782">
        <f>_xlfn.LET(_xlpm.steps,SUBSTITUTE(Table1[[#This Row],[Input]],Table1[[#This Row],[Direction]],""),VALUE(IF(LEN(_xlpm.steps)&gt;2,RIGHT(_xlpm.steps,2),_xlpm.steps)))</f>
        <v>43</v>
      </c>
      <c r="D2782">
        <f>_xlfn.LET(_xlpm.dir,Table1[[#This Row],[Direction]],
IF(_xlpm.dir="L",
    IF(F2781-Table1[[#This Row],[Steps]]&lt;0,100+(F2781-Table1[[#This Row],[Steps]]),F2781-Table1[[#This Row],[Steps]]),
))</f>
        <v>0</v>
      </c>
      <c r="E2782">
        <f>_xlfn.LET(_xlpm.dir,Table1[[#This Row],[Direction]],
IF(_xlpm.dir="R",
    IF(F2781+Table1[[#This Row],[Steps]]&gt;99,(F2781+Table1[[#This Row],[Steps]])-100,F2781+Table1[[#This Row],[Steps]]),
))</f>
        <v>99</v>
      </c>
      <c r="F2782">
        <f>IF(Table1[[#This Row],[New Pos L]]&lt;&gt;0,Table1[[#This Row],[New Pos L]],Table1[[#This Row],[New Pos R]])</f>
        <v>99</v>
      </c>
    </row>
    <row r="2783" spans="1:6" ht="16" x14ac:dyDescent="0.2">
      <c r="A2783" s="1" t="s">
        <v>5</v>
      </c>
      <c r="B2783" t="str">
        <f>LEFT(Table1[[#This Row],[Input]],1)</f>
        <v>R</v>
      </c>
      <c r="C2783">
        <f>_xlfn.LET(_xlpm.steps,SUBSTITUTE(Table1[[#This Row],[Input]],Table1[[#This Row],[Direction]],""),VALUE(IF(LEN(_xlpm.steps)&gt;2,RIGHT(_xlpm.steps,2),_xlpm.steps)))</f>
        <v>1</v>
      </c>
      <c r="D2783">
        <f>_xlfn.LET(_xlpm.dir,Table1[[#This Row],[Direction]],
IF(_xlpm.dir="L",
    IF(F2782-Table1[[#This Row],[Steps]]&lt;0,100+(F2782-Table1[[#This Row],[Steps]]),F2782-Table1[[#This Row],[Steps]]),
))</f>
        <v>0</v>
      </c>
      <c r="E2783">
        <f>_xlfn.LET(_xlpm.dir,Table1[[#This Row],[Direction]],
IF(_xlpm.dir="R",
    IF(F2782+Table1[[#This Row],[Steps]]&gt;99,(F2782+Table1[[#This Row],[Steps]])-100,F2782+Table1[[#This Row],[Steps]]),
))</f>
        <v>0</v>
      </c>
      <c r="F2783">
        <f>IF(Table1[[#This Row],[New Pos L]]&lt;&gt;0,Table1[[#This Row],[New Pos L]],Table1[[#This Row],[New Pos R]])</f>
        <v>0</v>
      </c>
    </row>
    <row r="2784" spans="1:6" ht="16" x14ac:dyDescent="0.2">
      <c r="A2784" s="1" t="s">
        <v>658</v>
      </c>
      <c r="B2784" t="str">
        <f>LEFT(Table1[[#This Row],[Input]],1)</f>
        <v>R</v>
      </c>
      <c r="C2784">
        <f>_xlfn.LET(_xlpm.steps,SUBSTITUTE(Table1[[#This Row],[Input]],Table1[[#This Row],[Direction]],""),VALUE(IF(LEN(_xlpm.steps)&gt;2,RIGHT(_xlpm.steps,2),_xlpm.steps)))</f>
        <v>93</v>
      </c>
      <c r="D2784">
        <f>_xlfn.LET(_xlpm.dir,Table1[[#This Row],[Direction]],
IF(_xlpm.dir="L",
    IF(F2783-Table1[[#This Row],[Steps]]&lt;0,100+(F2783-Table1[[#This Row],[Steps]]),F2783-Table1[[#This Row],[Steps]]),
))</f>
        <v>0</v>
      </c>
      <c r="E2784">
        <f>_xlfn.LET(_xlpm.dir,Table1[[#This Row],[Direction]],
IF(_xlpm.dir="R",
    IF(F2783+Table1[[#This Row],[Steps]]&gt;99,(F2783+Table1[[#This Row],[Steps]])-100,F2783+Table1[[#This Row],[Steps]]),
))</f>
        <v>93</v>
      </c>
      <c r="F2784">
        <f>IF(Table1[[#This Row],[New Pos L]]&lt;&gt;0,Table1[[#This Row],[New Pos L]],Table1[[#This Row],[New Pos R]])</f>
        <v>93</v>
      </c>
    </row>
    <row r="2785" spans="1:6" ht="16" x14ac:dyDescent="0.2">
      <c r="A2785" s="1" t="s">
        <v>353</v>
      </c>
      <c r="B2785" t="str">
        <f>LEFT(Table1[[#This Row],[Input]],1)</f>
        <v>R</v>
      </c>
      <c r="C2785">
        <f>_xlfn.LET(_xlpm.steps,SUBSTITUTE(Table1[[#This Row],[Input]],Table1[[#This Row],[Direction]],""),VALUE(IF(LEN(_xlpm.steps)&gt;2,RIGHT(_xlpm.steps,2),_xlpm.steps)))</f>
        <v>7</v>
      </c>
      <c r="D2785">
        <f>_xlfn.LET(_xlpm.dir,Table1[[#This Row],[Direction]],
IF(_xlpm.dir="L",
    IF(F2784-Table1[[#This Row],[Steps]]&lt;0,100+(F2784-Table1[[#This Row],[Steps]]),F2784-Table1[[#This Row],[Steps]]),
))</f>
        <v>0</v>
      </c>
      <c r="E2785">
        <f>_xlfn.LET(_xlpm.dir,Table1[[#This Row],[Direction]],
IF(_xlpm.dir="R",
    IF(F2784+Table1[[#This Row],[Steps]]&gt;99,(F2784+Table1[[#This Row],[Steps]])-100,F2784+Table1[[#This Row],[Steps]]),
))</f>
        <v>0</v>
      </c>
      <c r="F2785">
        <f>IF(Table1[[#This Row],[New Pos L]]&lt;&gt;0,Table1[[#This Row],[New Pos L]],Table1[[#This Row],[New Pos R]])</f>
        <v>0</v>
      </c>
    </row>
    <row r="2786" spans="1:6" ht="16" x14ac:dyDescent="0.2">
      <c r="A2786" s="1" t="s">
        <v>56</v>
      </c>
      <c r="B2786" t="str">
        <f>LEFT(Table1[[#This Row],[Input]],1)</f>
        <v>R</v>
      </c>
      <c r="C2786">
        <f>_xlfn.LET(_xlpm.steps,SUBSTITUTE(Table1[[#This Row],[Input]],Table1[[#This Row],[Direction]],""),VALUE(IF(LEN(_xlpm.steps)&gt;2,RIGHT(_xlpm.steps,2),_xlpm.steps)))</f>
        <v>42</v>
      </c>
      <c r="D2786">
        <f>_xlfn.LET(_xlpm.dir,Table1[[#This Row],[Direction]],
IF(_xlpm.dir="L",
    IF(F2785-Table1[[#This Row],[Steps]]&lt;0,100+(F2785-Table1[[#This Row],[Steps]]),F2785-Table1[[#This Row],[Steps]]),
))</f>
        <v>0</v>
      </c>
      <c r="E2786">
        <f>_xlfn.LET(_xlpm.dir,Table1[[#This Row],[Direction]],
IF(_xlpm.dir="R",
    IF(F2785+Table1[[#This Row],[Steps]]&gt;99,(F2785+Table1[[#This Row],[Steps]])-100,F2785+Table1[[#This Row],[Steps]]),
))</f>
        <v>42</v>
      </c>
      <c r="F2786">
        <f>IF(Table1[[#This Row],[New Pos L]]&lt;&gt;0,Table1[[#This Row],[New Pos L]],Table1[[#This Row],[New Pos R]])</f>
        <v>42</v>
      </c>
    </row>
    <row r="2787" spans="1:6" ht="16" x14ac:dyDescent="0.2">
      <c r="A2787" s="1" t="s">
        <v>37</v>
      </c>
      <c r="B2787" t="str">
        <f>LEFT(Table1[[#This Row],[Input]],1)</f>
        <v>L</v>
      </c>
      <c r="C2787">
        <f>_xlfn.LET(_xlpm.steps,SUBSTITUTE(Table1[[#This Row],[Input]],Table1[[#This Row],[Direction]],""),VALUE(IF(LEN(_xlpm.steps)&gt;2,RIGHT(_xlpm.steps,2),_xlpm.steps)))</f>
        <v>42</v>
      </c>
      <c r="D2787">
        <f>_xlfn.LET(_xlpm.dir,Table1[[#This Row],[Direction]],
IF(_xlpm.dir="L",
    IF(F2786-Table1[[#This Row],[Steps]]&lt;0,100+(F2786-Table1[[#This Row],[Steps]]),F2786-Table1[[#This Row],[Steps]]),
))</f>
        <v>0</v>
      </c>
      <c r="E2787">
        <f>_xlfn.LET(_xlpm.dir,Table1[[#This Row],[Direction]],
IF(_xlpm.dir="R",
    IF(F2786+Table1[[#This Row],[Steps]]&gt;99,(F2786+Table1[[#This Row],[Steps]])-100,F2786+Table1[[#This Row],[Steps]]),
))</f>
        <v>0</v>
      </c>
      <c r="F2787">
        <f>IF(Table1[[#This Row],[New Pos L]]&lt;&gt;0,Table1[[#This Row],[New Pos L]],Table1[[#This Row],[New Pos R]])</f>
        <v>0</v>
      </c>
    </row>
    <row r="2788" spans="1:6" ht="16" x14ac:dyDescent="0.2">
      <c r="A2788" s="1" t="s">
        <v>123</v>
      </c>
      <c r="B2788" t="str">
        <f>LEFT(Table1[[#This Row],[Input]],1)</f>
        <v>L</v>
      </c>
      <c r="C2788">
        <f>_xlfn.LET(_xlpm.steps,SUBSTITUTE(Table1[[#This Row],[Input]],Table1[[#This Row],[Direction]],""),VALUE(IF(LEN(_xlpm.steps)&gt;2,RIGHT(_xlpm.steps,2),_xlpm.steps)))</f>
        <v>63</v>
      </c>
      <c r="D2788">
        <f>_xlfn.LET(_xlpm.dir,Table1[[#This Row],[Direction]],
IF(_xlpm.dir="L",
    IF(F2787-Table1[[#This Row],[Steps]]&lt;0,100+(F2787-Table1[[#This Row],[Steps]]),F2787-Table1[[#This Row],[Steps]]),
))</f>
        <v>37</v>
      </c>
      <c r="E2788">
        <f>_xlfn.LET(_xlpm.dir,Table1[[#This Row],[Direction]],
IF(_xlpm.dir="R",
    IF(F2787+Table1[[#This Row],[Steps]]&gt;99,(F2787+Table1[[#This Row],[Steps]])-100,F2787+Table1[[#This Row],[Steps]]),
))</f>
        <v>0</v>
      </c>
      <c r="F2788">
        <f>IF(Table1[[#This Row],[New Pos L]]&lt;&gt;0,Table1[[#This Row],[New Pos L]],Table1[[#This Row],[New Pos R]])</f>
        <v>37</v>
      </c>
    </row>
    <row r="2789" spans="1:6" ht="16" x14ac:dyDescent="0.2">
      <c r="A2789" s="1" t="s">
        <v>353</v>
      </c>
      <c r="B2789" t="str">
        <f>LEFT(Table1[[#This Row],[Input]],1)</f>
        <v>R</v>
      </c>
      <c r="C2789">
        <f>_xlfn.LET(_xlpm.steps,SUBSTITUTE(Table1[[#This Row],[Input]],Table1[[#This Row],[Direction]],""),VALUE(IF(LEN(_xlpm.steps)&gt;2,RIGHT(_xlpm.steps,2),_xlpm.steps)))</f>
        <v>7</v>
      </c>
      <c r="D2789">
        <f>_xlfn.LET(_xlpm.dir,Table1[[#This Row],[Direction]],
IF(_xlpm.dir="L",
    IF(F2788-Table1[[#This Row],[Steps]]&lt;0,100+(F2788-Table1[[#This Row],[Steps]]),F2788-Table1[[#This Row],[Steps]]),
))</f>
        <v>0</v>
      </c>
      <c r="E2789">
        <f>_xlfn.LET(_xlpm.dir,Table1[[#This Row],[Direction]],
IF(_xlpm.dir="R",
    IF(F2788+Table1[[#This Row],[Steps]]&gt;99,(F2788+Table1[[#This Row],[Steps]])-100,F2788+Table1[[#This Row],[Steps]]),
))</f>
        <v>44</v>
      </c>
      <c r="F2789">
        <f>IF(Table1[[#This Row],[New Pos L]]&lt;&gt;0,Table1[[#This Row],[New Pos L]],Table1[[#This Row],[New Pos R]])</f>
        <v>44</v>
      </c>
    </row>
    <row r="2790" spans="1:6" ht="16" x14ac:dyDescent="0.2">
      <c r="A2790" s="1" t="s">
        <v>245</v>
      </c>
      <c r="B2790" t="str">
        <f>LEFT(Table1[[#This Row],[Input]],1)</f>
        <v>R</v>
      </c>
      <c r="C2790">
        <f>_xlfn.LET(_xlpm.steps,SUBSTITUTE(Table1[[#This Row],[Input]],Table1[[#This Row],[Direction]],""),VALUE(IF(LEN(_xlpm.steps)&gt;2,RIGHT(_xlpm.steps,2),_xlpm.steps)))</f>
        <v>71</v>
      </c>
      <c r="D2790">
        <f>_xlfn.LET(_xlpm.dir,Table1[[#This Row],[Direction]],
IF(_xlpm.dir="L",
    IF(F2789-Table1[[#This Row],[Steps]]&lt;0,100+(F2789-Table1[[#This Row],[Steps]]),F2789-Table1[[#This Row],[Steps]]),
))</f>
        <v>0</v>
      </c>
      <c r="E2790">
        <f>_xlfn.LET(_xlpm.dir,Table1[[#This Row],[Direction]],
IF(_xlpm.dir="R",
    IF(F2789+Table1[[#This Row],[Steps]]&gt;99,(F2789+Table1[[#This Row],[Steps]])-100,F2789+Table1[[#This Row],[Steps]]),
))</f>
        <v>15</v>
      </c>
      <c r="F2790">
        <f>IF(Table1[[#This Row],[New Pos L]]&lt;&gt;0,Table1[[#This Row],[New Pos L]],Table1[[#This Row],[New Pos R]])</f>
        <v>15</v>
      </c>
    </row>
    <row r="2791" spans="1:6" ht="16" x14ac:dyDescent="0.2">
      <c r="A2791" s="1" t="s">
        <v>8</v>
      </c>
      <c r="B2791" t="str">
        <f>LEFT(Table1[[#This Row],[Input]],1)</f>
        <v>R</v>
      </c>
      <c r="C2791">
        <f>_xlfn.LET(_xlpm.steps,SUBSTITUTE(Table1[[#This Row],[Input]],Table1[[#This Row],[Direction]],""),VALUE(IF(LEN(_xlpm.steps)&gt;2,RIGHT(_xlpm.steps,2),_xlpm.steps)))</f>
        <v>18</v>
      </c>
      <c r="D2791">
        <f>_xlfn.LET(_xlpm.dir,Table1[[#This Row],[Direction]],
IF(_xlpm.dir="L",
    IF(F2790-Table1[[#This Row],[Steps]]&lt;0,100+(F2790-Table1[[#This Row],[Steps]]),F2790-Table1[[#This Row],[Steps]]),
))</f>
        <v>0</v>
      </c>
      <c r="E2791">
        <f>_xlfn.LET(_xlpm.dir,Table1[[#This Row],[Direction]],
IF(_xlpm.dir="R",
    IF(F2790+Table1[[#This Row],[Steps]]&gt;99,(F2790+Table1[[#This Row],[Steps]])-100,F2790+Table1[[#This Row],[Steps]]),
))</f>
        <v>33</v>
      </c>
      <c r="F2791">
        <f>IF(Table1[[#This Row],[New Pos L]]&lt;&gt;0,Table1[[#This Row],[New Pos L]],Table1[[#This Row],[New Pos R]])</f>
        <v>33</v>
      </c>
    </row>
    <row r="2792" spans="1:6" ht="16" x14ac:dyDescent="0.2">
      <c r="A2792" s="1" t="s">
        <v>122</v>
      </c>
      <c r="B2792" t="str">
        <f>LEFT(Table1[[#This Row],[Input]],1)</f>
        <v>R</v>
      </c>
      <c r="C2792">
        <f>_xlfn.LET(_xlpm.steps,SUBSTITUTE(Table1[[#This Row],[Input]],Table1[[#This Row],[Direction]],""),VALUE(IF(LEN(_xlpm.steps)&gt;2,RIGHT(_xlpm.steps,2),_xlpm.steps)))</f>
        <v>75</v>
      </c>
      <c r="D2792">
        <f>_xlfn.LET(_xlpm.dir,Table1[[#This Row],[Direction]],
IF(_xlpm.dir="L",
    IF(F2791-Table1[[#This Row],[Steps]]&lt;0,100+(F2791-Table1[[#This Row],[Steps]]),F2791-Table1[[#This Row],[Steps]]),
))</f>
        <v>0</v>
      </c>
      <c r="E2792">
        <f>_xlfn.LET(_xlpm.dir,Table1[[#This Row],[Direction]],
IF(_xlpm.dir="R",
    IF(F2791+Table1[[#This Row],[Steps]]&gt;99,(F2791+Table1[[#This Row],[Steps]])-100,F2791+Table1[[#This Row],[Steps]]),
))</f>
        <v>8</v>
      </c>
      <c r="F2792">
        <f>IF(Table1[[#This Row],[New Pos L]]&lt;&gt;0,Table1[[#This Row],[New Pos L]],Table1[[#This Row],[New Pos R]])</f>
        <v>8</v>
      </c>
    </row>
    <row r="2793" spans="1:6" ht="16" x14ac:dyDescent="0.2">
      <c r="A2793" s="1" t="s">
        <v>659</v>
      </c>
      <c r="B2793" t="str">
        <f>LEFT(Table1[[#This Row],[Input]],1)</f>
        <v>R</v>
      </c>
      <c r="C2793">
        <f>_xlfn.LET(_xlpm.steps,SUBSTITUTE(Table1[[#This Row],[Input]],Table1[[#This Row],[Direction]],""),VALUE(IF(LEN(_xlpm.steps)&gt;2,RIGHT(_xlpm.steps,2),_xlpm.steps)))</f>
        <v>52</v>
      </c>
      <c r="D2793">
        <f>_xlfn.LET(_xlpm.dir,Table1[[#This Row],[Direction]],
IF(_xlpm.dir="L",
    IF(F2792-Table1[[#This Row],[Steps]]&lt;0,100+(F2792-Table1[[#This Row],[Steps]]),F2792-Table1[[#This Row],[Steps]]),
))</f>
        <v>0</v>
      </c>
      <c r="E2793">
        <f>_xlfn.LET(_xlpm.dir,Table1[[#This Row],[Direction]],
IF(_xlpm.dir="R",
    IF(F2792+Table1[[#This Row],[Steps]]&gt;99,(F2792+Table1[[#This Row],[Steps]])-100,F2792+Table1[[#This Row],[Steps]]),
))</f>
        <v>60</v>
      </c>
      <c r="F2793">
        <f>IF(Table1[[#This Row],[New Pos L]]&lt;&gt;0,Table1[[#This Row],[New Pos L]],Table1[[#This Row],[New Pos R]])</f>
        <v>60</v>
      </c>
    </row>
    <row r="2794" spans="1:6" ht="16" x14ac:dyDescent="0.2">
      <c r="A2794" s="1" t="s">
        <v>89</v>
      </c>
      <c r="B2794" t="str">
        <f>LEFT(Table1[[#This Row],[Input]],1)</f>
        <v>L</v>
      </c>
      <c r="C2794">
        <f>_xlfn.LET(_xlpm.steps,SUBSTITUTE(Table1[[#This Row],[Input]],Table1[[#This Row],[Direction]],""),VALUE(IF(LEN(_xlpm.steps)&gt;2,RIGHT(_xlpm.steps,2),_xlpm.steps)))</f>
        <v>91</v>
      </c>
      <c r="D2794">
        <f>_xlfn.LET(_xlpm.dir,Table1[[#This Row],[Direction]],
IF(_xlpm.dir="L",
    IF(F2793-Table1[[#This Row],[Steps]]&lt;0,100+(F2793-Table1[[#This Row],[Steps]]),F2793-Table1[[#This Row],[Steps]]),
))</f>
        <v>69</v>
      </c>
      <c r="E2794">
        <f>_xlfn.LET(_xlpm.dir,Table1[[#This Row],[Direction]],
IF(_xlpm.dir="R",
    IF(F2793+Table1[[#This Row],[Steps]]&gt;99,(F2793+Table1[[#This Row],[Steps]])-100,F2793+Table1[[#This Row],[Steps]]),
))</f>
        <v>0</v>
      </c>
      <c r="F2794">
        <f>IF(Table1[[#This Row],[New Pos L]]&lt;&gt;0,Table1[[#This Row],[New Pos L]],Table1[[#This Row],[New Pos R]])</f>
        <v>69</v>
      </c>
    </row>
    <row r="2795" spans="1:6" ht="16" x14ac:dyDescent="0.2">
      <c r="A2795" s="1" t="s">
        <v>201</v>
      </c>
      <c r="B2795" t="str">
        <f>LEFT(Table1[[#This Row],[Input]],1)</f>
        <v>R</v>
      </c>
      <c r="C2795">
        <f>_xlfn.LET(_xlpm.steps,SUBSTITUTE(Table1[[#This Row],[Input]],Table1[[#This Row],[Direction]],""),VALUE(IF(LEN(_xlpm.steps)&gt;2,RIGHT(_xlpm.steps,2),_xlpm.steps)))</f>
        <v>31</v>
      </c>
      <c r="D2795">
        <f>_xlfn.LET(_xlpm.dir,Table1[[#This Row],[Direction]],
IF(_xlpm.dir="L",
    IF(F2794-Table1[[#This Row],[Steps]]&lt;0,100+(F2794-Table1[[#This Row],[Steps]]),F2794-Table1[[#This Row],[Steps]]),
))</f>
        <v>0</v>
      </c>
      <c r="E2795">
        <f>_xlfn.LET(_xlpm.dir,Table1[[#This Row],[Direction]],
IF(_xlpm.dir="R",
    IF(F2794+Table1[[#This Row],[Steps]]&gt;99,(F2794+Table1[[#This Row],[Steps]])-100,F2794+Table1[[#This Row],[Steps]]),
))</f>
        <v>0</v>
      </c>
      <c r="F2795">
        <f>IF(Table1[[#This Row],[New Pos L]]&lt;&gt;0,Table1[[#This Row],[New Pos L]],Table1[[#This Row],[New Pos R]])</f>
        <v>0</v>
      </c>
    </row>
    <row r="2796" spans="1:6" ht="16" x14ac:dyDescent="0.2">
      <c r="A2796" s="1" t="s">
        <v>588</v>
      </c>
      <c r="B2796" t="str">
        <f>LEFT(Table1[[#This Row],[Input]],1)</f>
        <v>L</v>
      </c>
      <c r="C2796">
        <f>_xlfn.LET(_xlpm.steps,SUBSTITUTE(Table1[[#This Row],[Input]],Table1[[#This Row],[Direction]],""),VALUE(IF(LEN(_xlpm.steps)&gt;2,RIGHT(_xlpm.steps,2),_xlpm.steps)))</f>
        <v>47</v>
      </c>
      <c r="D2796">
        <f>_xlfn.LET(_xlpm.dir,Table1[[#This Row],[Direction]],
IF(_xlpm.dir="L",
    IF(F2795-Table1[[#This Row],[Steps]]&lt;0,100+(F2795-Table1[[#This Row],[Steps]]),F2795-Table1[[#This Row],[Steps]]),
))</f>
        <v>53</v>
      </c>
      <c r="E2796">
        <f>_xlfn.LET(_xlpm.dir,Table1[[#This Row],[Direction]],
IF(_xlpm.dir="R",
    IF(F2795+Table1[[#This Row],[Steps]]&gt;99,(F2795+Table1[[#This Row],[Steps]])-100,F2795+Table1[[#This Row],[Steps]]),
))</f>
        <v>0</v>
      </c>
      <c r="F2796">
        <f>IF(Table1[[#This Row],[New Pos L]]&lt;&gt;0,Table1[[#This Row],[New Pos L]],Table1[[#This Row],[New Pos R]])</f>
        <v>53</v>
      </c>
    </row>
    <row r="2797" spans="1:6" ht="16" x14ac:dyDescent="0.2">
      <c r="A2797" s="1" t="s">
        <v>660</v>
      </c>
      <c r="B2797" t="str">
        <f>LEFT(Table1[[#This Row],[Input]],1)</f>
        <v>R</v>
      </c>
      <c r="C2797">
        <f>_xlfn.LET(_xlpm.steps,SUBSTITUTE(Table1[[#This Row],[Input]],Table1[[#This Row],[Direction]],""),VALUE(IF(LEN(_xlpm.steps)&gt;2,RIGHT(_xlpm.steps,2),_xlpm.steps)))</f>
        <v>60</v>
      </c>
      <c r="D2797">
        <f>_xlfn.LET(_xlpm.dir,Table1[[#This Row],[Direction]],
IF(_xlpm.dir="L",
    IF(F2796-Table1[[#This Row],[Steps]]&lt;0,100+(F2796-Table1[[#This Row],[Steps]]),F2796-Table1[[#This Row],[Steps]]),
))</f>
        <v>0</v>
      </c>
      <c r="E2797">
        <f>_xlfn.LET(_xlpm.dir,Table1[[#This Row],[Direction]],
IF(_xlpm.dir="R",
    IF(F2796+Table1[[#This Row],[Steps]]&gt;99,(F2796+Table1[[#This Row],[Steps]])-100,F2796+Table1[[#This Row],[Steps]]),
))</f>
        <v>13</v>
      </c>
      <c r="F2797">
        <f>IF(Table1[[#This Row],[New Pos L]]&lt;&gt;0,Table1[[#This Row],[New Pos L]],Table1[[#This Row],[New Pos R]])</f>
        <v>13</v>
      </c>
    </row>
    <row r="2798" spans="1:6" ht="16" x14ac:dyDescent="0.2">
      <c r="A2798" s="1" t="s">
        <v>661</v>
      </c>
      <c r="B2798" t="str">
        <f>LEFT(Table1[[#This Row],[Input]],1)</f>
        <v>R</v>
      </c>
      <c r="C2798">
        <f>_xlfn.LET(_xlpm.steps,SUBSTITUTE(Table1[[#This Row],[Input]],Table1[[#This Row],[Direction]],""),VALUE(IF(LEN(_xlpm.steps)&gt;2,RIGHT(_xlpm.steps,2),_xlpm.steps)))</f>
        <v>48</v>
      </c>
      <c r="D2798">
        <f>_xlfn.LET(_xlpm.dir,Table1[[#This Row],[Direction]],
IF(_xlpm.dir="L",
    IF(F2797-Table1[[#This Row],[Steps]]&lt;0,100+(F2797-Table1[[#This Row],[Steps]]),F2797-Table1[[#This Row],[Steps]]),
))</f>
        <v>0</v>
      </c>
      <c r="E2798">
        <f>_xlfn.LET(_xlpm.dir,Table1[[#This Row],[Direction]],
IF(_xlpm.dir="R",
    IF(F2797+Table1[[#This Row],[Steps]]&gt;99,(F2797+Table1[[#This Row],[Steps]])-100,F2797+Table1[[#This Row],[Steps]]),
))</f>
        <v>61</v>
      </c>
      <c r="F2798">
        <f>IF(Table1[[#This Row],[New Pos L]]&lt;&gt;0,Table1[[#This Row],[New Pos L]],Table1[[#This Row],[New Pos R]])</f>
        <v>61</v>
      </c>
    </row>
    <row r="2799" spans="1:6" ht="16" x14ac:dyDescent="0.2">
      <c r="A2799" s="1" t="s">
        <v>662</v>
      </c>
      <c r="B2799" t="str">
        <f>LEFT(Table1[[#This Row],[Input]],1)</f>
        <v>L</v>
      </c>
      <c r="C2799">
        <f>_xlfn.LET(_xlpm.steps,SUBSTITUTE(Table1[[#This Row],[Input]],Table1[[#This Row],[Direction]],""),VALUE(IF(LEN(_xlpm.steps)&gt;2,RIGHT(_xlpm.steps,2),_xlpm.steps)))</f>
        <v>61</v>
      </c>
      <c r="D2799">
        <f>_xlfn.LET(_xlpm.dir,Table1[[#This Row],[Direction]],
IF(_xlpm.dir="L",
    IF(F2798-Table1[[#This Row],[Steps]]&lt;0,100+(F2798-Table1[[#This Row],[Steps]]),F2798-Table1[[#This Row],[Steps]]),
))</f>
        <v>0</v>
      </c>
      <c r="E2799">
        <f>_xlfn.LET(_xlpm.dir,Table1[[#This Row],[Direction]],
IF(_xlpm.dir="R",
    IF(F2798+Table1[[#This Row],[Steps]]&gt;99,(F2798+Table1[[#This Row],[Steps]])-100,F2798+Table1[[#This Row],[Steps]]),
))</f>
        <v>0</v>
      </c>
      <c r="F2799">
        <f>IF(Table1[[#This Row],[New Pos L]]&lt;&gt;0,Table1[[#This Row],[New Pos L]],Table1[[#This Row],[New Pos R]])</f>
        <v>0</v>
      </c>
    </row>
    <row r="2800" spans="1:6" ht="16" x14ac:dyDescent="0.2">
      <c r="A2800" s="1" t="s">
        <v>304</v>
      </c>
      <c r="B2800" t="str">
        <f>LEFT(Table1[[#This Row],[Input]],1)</f>
        <v>L</v>
      </c>
      <c r="C2800">
        <f>_xlfn.LET(_xlpm.steps,SUBSTITUTE(Table1[[#This Row],[Input]],Table1[[#This Row],[Direction]],""),VALUE(IF(LEN(_xlpm.steps)&gt;2,RIGHT(_xlpm.steps,2),_xlpm.steps)))</f>
        <v>26</v>
      </c>
      <c r="D2800">
        <f>_xlfn.LET(_xlpm.dir,Table1[[#This Row],[Direction]],
IF(_xlpm.dir="L",
    IF(F2799-Table1[[#This Row],[Steps]]&lt;0,100+(F2799-Table1[[#This Row],[Steps]]),F2799-Table1[[#This Row],[Steps]]),
))</f>
        <v>74</v>
      </c>
      <c r="E2800">
        <f>_xlfn.LET(_xlpm.dir,Table1[[#This Row],[Direction]],
IF(_xlpm.dir="R",
    IF(F2799+Table1[[#This Row],[Steps]]&gt;99,(F2799+Table1[[#This Row],[Steps]])-100,F2799+Table1[[#This Row],[Steps]]),
))</f>
        <v>0</v>
      </c>
      <c r="F2800">
        <f>IF(Table1[[#This Row],[New Pos L]]&lt;&gt;0,Table1[[#This Row],[New Pos L]],Table1[[#This Row],[New Pos R]])</f>
        <v>74</v>
      </c>
    </row>
    <row r="2801" spans="1:6" ht="16" x14ac:dyDescent="0.2">
      <c r="A2801" s="1" t="s">
        <v>20</v>
      </c>
      <c r="B2801" t="str">
        <f>LEFT(Table1[[#This Row],[Input]],1)</f>
        <v>R</v>
      </c>
      <c r="C2801">
        <f>_xlfn.LET(_xlpm.steps,SUBSTITUTE(Table1[[#This Row],[Input]],Table1[[#This Row],[Direction]],""),VALUE(IF(LEN(_xlpm.steps)&gt;2,RIGHT(_xlpm.steps,2),_xlpm.steps)))</f>
        <v>46</v>
      </c>
      <c r="D2801">
        <f>_xlfn.LET(_xlpm.dir,Table1[[#This Row],[Direction]],
IF(_xlpm.dir="L",
    IF(F2800-Table1[[#This Row],[Steps]]&lt;0,100+(F2800-Table1[[#This Row],[Steps]]),F2800-Table1[[#This Row],[Steps]]),
))</f>
        <v>0</v>
      </c>
      <c r="E2801">
        <f>_xlfn.LET(_xlpm.dir,Table1[[#This Row],[Direction]],
IF(_xlpm.dir="R",
    IF(F2800+Table1[[#This Row],[Steps]]&gt;99,(F2800+Table1[[#This Row],[Steps]])-100,F2800+Table1[[#This Row],[Steps]]),
))</f>
        <v>20</v>
      </c>
      <c r="F2801">
        <f>IF(Table1[[#This Row],[New Pos L]]&lt;&gt;0,Table1[[#This Row],[New Pos L]],Table1[[#This Row],[New Pos R]])</f>
        <v>20</v>
      </c>
    </row>
    <row r="2802" spans="1:6" ht="16" x14ac:dyDescent="0.2">
      <c r="A2802" s="1" t="s">
        <v>28</v>
      </c>
      <c r="B2802" t="str">
        <f>LEFT(Table1[[#This Row],[Input]],1)</f>
        <v>R</v>
      </c>
      <c r="C2802">
        <f>_xlfn.LET(_xlpm.steps,SUBSTITUTE(Table1[[#This Row],[Input]],Table1[[#This Row],[Direction]],""),VALUE(IF(LEN(_xlpm.steps)&gt;2,RIGHT(_xlpm.steps,2),_xlpm.steps)))</f>
        <v>30</v>
      </c>
      <c r="D2802">
        <f>_xlfn.LET(_xlpm.dir,Table1[[#This Row],[Direction]],
IF(_xlpm.dir="L",
    IF(F2801-Table1[[#This Row],[Steps]]&lt;0,100+(F2801-Table1[[#This Row],[Steps]]),F2801-Table1[[#This Row],[Steps]]),
))</f>
        <v>0</v>
      </c>
      <c r="E2802">
        <f>_xlfn.LET(_xlpm.dir,Table1[[#This Row],[Direction]],
IF(_xlpm.dir="R",
    IF(F2801+Table1[[#This Row],[Steps]]&gt;99,(F2801+Table1[[#This Row],[Steps]])-100,F2801+Table1[[#This Row],[Steps]]),
))</f>
        <v>50</v>
      </c>
      <c r="F2802">
        <f>IF(Table1[[#This Row],[New Pos L]]&lt;&gt;0,Table1[[#This Row],[New Pos L]],Table1[[#This Row],[New Pos R]])</f>
        <v>50</v>
      </c>
    </row>
    <row r="2803" spans="1:6" ht="16" x14ac:dyDescent="0.2">
      <c r="A2803" s="1" t="s">
        <v>120</v>
      </c>
      <c r="B2803" t="str">
        <f>LEFT(Table1[[#This Row],[Input]],1)</f>
        <v>L</v>
      </c>
      <c r="C2803">
        <f>_xlfn.LET(_xlpm.steps,SUBSTITUTE(Table1[[#This Row],[Input]],Table1[[#This Row],[Direction]],""),VALUE(IF(LEN(_xlpm.steps)&gt;2,RIGHT(_xlpm.steps,2),_xlpm.steps)))</f>
        <v>23</v>
      </c>
      <c r="D2803">
        <f>_xlfn.LET(_xlpm.dir,Table1[[#This Row],[Direction]],
IF(_xlpm.dir="L",
    IF(F2802-Table1[[#This Row],[Steps]]&lt;0,100+(F2802-Table1[[#This Row],[Steps]]),F2802-Table1[[#This Row],[Steps]]),
))</f>
        <v>27</v>
      </c>
      <c r="E2803">
        <f>_xlfn.LET(_xlpm.dir,Table1[[#This Row],[Direction]],
IF(_xlpm.dir="R",
    IF(F2802+Table1[[#This Row],[Steps]]&gt;99,(F2802+Table1[[#This Row],[Steps]])-100,F2802+Table1[[#This Row],[Steps]]),
))</f>
        <v>0</v>
      </c>
      <c r="F2803">
        <f>IF(Table1[[#This Row],[New Pos L]]&lt;&gt;0,Table1[[#This Row],[New Pos L]],Table1[[#This Row],[New Pos R]])</f>
        <v>27</v>
      </c>
    </row>
    <row r="2804" spans="1:6" ht="16" x14ac:dyDescent="0.2">
      <c r="A2804" s="1" t="s">
        <v>138</v>
      </c>
      <c r="B2804" t="str">
        <f>LEFT(Table1[[#This Row],[Input]],1)</f>
        <v>L</v>
      </c>
      <c r="C2804">
        <f>_xlfn.LET(_xlpm.steps,SUBSTITUTE(Table1[[#This Row],[Input]],Table1[[#This Row],[Direction]],""),VALUE(IF(LEN(_xlpm.steps)&gt;2,RIGHT(_xlpm.steps,2),_xlpm.steps)))</f>
        <v>94</v>
      </c>
      <c r="D2804">
        <f>_xlfn.LET(_xlpm.dir,Table1[[#This Row],[Direction]],
IF(_xlpm.dir="L",
    IF(F2803-Table1[[#This Row],[Steps]]&lt;0,100+(F2803-Table1[[#This Row],[Steps]]),F2803-Table1[[#This Row],[Steps]]),
))</f>
        <v>33</v>
      </c>
      <c r="E2804">
        <f>_xlfn.LET(_xlpm.dir,Table1[[#This Row],[Direction]],
IF(_xlpm.dir="R",
    IF(F2803+Table1[[#This Row],[Steps]]&gt;99,(F2803+Table1[[#This Row],[Steps]])-100,F2803+Table1[[#This Row],[Steps]]),
))</f>
        <v>0</v>
      </c>
      <c r="F2804">
        <f>IF(Table1[[#This Row],[New Pos L]]&lt;&gt;0,Table1[[#This Row],[New Pos L]],Table1[[#This Row],[New Pos R]])</f>
        <v>33</v>
      </c>
    </row>
    <row r="2805" spans="1:6" ht="16" x14ac:dyDescent="0.2">
      <c r="A2805" s="1" t="s">
        <v>401</v>
      </c>
      <c r="B2805" t="str">
        <f>LEFT(Table1[[#This Row],[Input]],1)</f>
        <v>L</v>
      </c>
      <c r="C2805">
        <f>_xlfn.LET(_xlpm.steps,SUBSTITUTE(Table1[[#This Row],[Input]],Table1[[#This Row],[Direction]],""),VALUE(IF(LEN(_xlpm.steps)&gt;2,RIGHT(_xlpm.steps,2),_xlpm.steps)))</f>
        <v>4</v>
      </c>
      <c r="D2805">
        <f>_xlfn.LET(_xlpm.dir,Table1[[#This Row],[Direction]],
IF(_xlpm.dir="L",
    IF(F2804-Table1[[#This Row],[Steps]]&lt;0,100+(F2804-Table1[[#This Row],[Steps]]),F2804-Table1[[#This Row],[Steps]]),
))</f>
        <v>29</v>
      </c>
      <c r="E2805">
        <f>_xlfn.LET(_xlpm.dir,Table1[[#This Row],[Direction]],
IF(_xlpm.dir="R",
    IF(F2804+Table1[[#This Row],[Steps]]&gt;99,(F2804+Table1[[#This Row],[Steps]])-100,F2804+Table1[[#This Row],[Steps]]),
))</f>
        <v>0</v>
      </c>
      <c r="F2805">
        <f>IF(Table1[[#This Row],[New Pos L]]&lt;&gt;0,Table1[[#This Row],[New Pos L]],Table1[[#This Row],[New Pos R]])</f>
        <v>29</v>
      </c>
    </row>
    <row r="2806" spans="1:6" ht="16" x14ac:dyDescent="0.2">
      <c r="A2806" s="1" t="s">
        <v>165</v>
      </c>
      <c r="B2806" t="str">
        <f>LEFT(Table1[[#This Row],[Input]],1)</f>
        <v>R</v>
      </c>
      <c r="C2806">
        <f>_xlfn.LET(_xlpm.steps,SUBSTITUTE(Table1[[#This Row],[Input]],Table1[[#This Row],[Direction]],""),VALUE(IF(LEN(_xlpm.steps)&gt;2,RIGHT(_xlpm.steps,2),_xlpm.steps)))</f>
        <v>55</v>
      </c>
      <c r="D2806">
        <f>_xlfn.LET(_xlpm.dir,Table1[[#This Row],[Direction]],
IF(_xlpm.dir="L",
    IF(F2805-Table1[[#This Row],[Steps]]&lt;0,100+(F2805-Table1[[#This Row],[Steps]]),F2805-Table1[[#This Row],[Steps]]),
))</f>
        <v>0</v>
      </c>
      <c r="E2806">
        <f>_xlfn.LET(_xlpm.dir,Table1[[#This Row],[Direction]],
IF(_xlpm.dir="R",
    IF(F2805+Table1[[#This Row],[Steps]]&gt;99,(F2805+Table1[[#This Row],[Steps]])-100,F2805+Table1[[#This Row],[Steps]]),
))</f>
        <v>84</v>
      </c>
      <c r="F2806">
        <f>IF(Table1[[#This Row],[New Pos L]]&lt;&gt;0,Table1[[#This Row],[New Pos L]],Table1[[#This Row],[New Pos R]])</f>
        <v>84</v>
      </c>
    </row>
    <row r="2807" spans="1:6" ht="16" x14ac:dyDescent="0.2">
      <c r="A2807" s="1" t="s">
        <v>663</v>
      </c>
      <c r="B2807" t="str">
        <f>LEFT(Table1[[#This Row],[Input]],1)</f>
        <v>R</v>
      </c>
      <c r="C2807">
        <f>_xlfn.LET(_xlpm.steps,SUBSTITUTE(Table1[[#This Row],[Input]],Table1[[#This Row],[Direction]],""),VALUE(IF(LEN(_xlpm.steps)&gt;2,RIGHT(_xlpm.steps,2),_xlpm.steps)))</f>
        <v>16</v>
      </c>
      <c r="D2807">
        <f>_xlfn.LET(_xlpm.dir,Table1[[#This Row],[Direction]],
IF(_xlpm.dir="L",
    IF(F2806-Table1[[#This Row],[Steps]]&lt;0,100+(F2806-Table1[[#This Row],[Steps]]),F2806-Table1[[#This Row],[Steps]]),
))</f>
        <v>0</v>
      </c>
      <c r="E2807">
        <f>_xlfn.LET(_xlpm.dir,Table1[[#This Row],[Direction]],
IF(_xlpm.dir="R",
    IF(F2806+Table1[[#This Row],[Steps]]&gt;99,(F2806+Table1[[#This Row],[Steps]])-100,F2806+Table1[[#This Row],[Steps]]),
))</f>
        <v>0</v>
      </c>
      <c r="F2807">
        <f>IF(Table1[[#This Row],[New Pos L]]&lt;&gt;0,Table1[[#This Row],[New Pos L]],Table1[[#This Row],[New Pos R]])</f>
        <v>0</v>
      </c>
    </row>
    <row r="2808" spans="1:6" ht="16" x14ac:dyDescent="0.2">
      <c r="A2808" s="1" t="s">
        <v>195</v>
      </c>
      <c r="B2808" t="str">
        <f>LEFT(Table1[[#This Row],[Input]],1)</f>
        <v>R</v>
      </c>
      <c r="C2808">
        <f>_xlfn.LET(_xlpm.steps,SUBSTITUTE(Table1[[#This Row],[Input]],Table1[[#This Row],[Direction]],""),VALUE(IF(LEN(_xlpm.steps)&gt;2,RIGHT(_xlpm.steps,2),_xlpm.steps)))</f>
        <v>40</v>
      </c>
      <c r="D2808">
        <f>_xlfn.LET(_xlpm.dir,Table1[[#This Row],[Direction]],
IF(_xlpm.dir="L",
    IF(F2807-Table1[[#This Row],[Steps]]&lt;0,100+(F2807-Table1[[#This Row],[Steps]]),F2807-Table1[[#This Row],[Steps]]),
))</f>
        <v>0</v>
      </c>
      <c r="E2808">
        <f>_xlfn.LET(_xlpm.dir,Table1[[#This Row],[Direction]],
IF(_xlpm.dir="R",
    IF(F2807+Table1[[#This Row],[Steps]]&gt;99,(F2807+Table1[[#This Row],[Steps]])-100,F2807+Table1[[#This Row],[Steps]]),
))</f>
        <v>40</v>
      </c>
      <c r="F2808">
        <f>IF(Table1[[#This Row],[New Pos L]]&lt;&gt;0,Table1[[#This Row],[New Pos L]],Table1[[#This Row],[New Pos R]])</f>
        <v>40</v>
      </c>
    </row>
    <row r="2809" spans="1:6" ht="16" x14ac:dyDescent="0.2">
      <c r="A2809" s="1" t="s">
        <v>65</v>
      </c>
      <c r="B2809" t="str">
        <f>LEFT(Table1[[#This Row],[Input]],1)</f>
        <v>L</v>
      </c>
      <c r="C2809">
        <f>_xlfn.LET(_xlpm.steps,SUBSTITUTE(Table1[[#This Row],[Input]],Table1[[#This Row],[Direction]],""),VALUE(IF(LEN(_xlpm.steps)&gt;2,RIGHT(_xlpm.steps,2),_xlpm.steps)))</f>
        <v>19</v>
      </c>
      <c r="D2809">
        <f>_xlfn.LET(_xlpm.dir,Table1[[#This Row],[Direction]],
IF(_xlpm.dir="L",
    IF(F2808-Table1[[#This Row],[Steps]]&lt;0,100+(F2808-Table1[[#This Row],[Steps]]),F2808-Table1[[#This Row],[Steps]]),
))</f>
        <v>21</v>
      </c>
      <c r="E2809">
        <f>_xlfn.LET(_xlpm.dir,Table1[[#This Row],[Direction]],
IF(_xlpm.dir="R",
    IF(F2808+Table1[[#This Row],[Steps]]&gt;99,(F2808+Table1[[#This Row],[Steps]])-100,F2808+Table1[[#This Row],[Steps]]),
))</f>
        <v>0</v>
      </c>
      <c r="F2809">
        <f>IF(Table1[[#This Row],[New Pos L]]&lt;&gt;0,Table1[[#This Row],[New Pos L]],Table1[[#This Row],[New Pos R]])</f>
        <v>21</v>
      </c>
    </row>
    <row r="2810" spans="1:6" ht="16" x14ac:dyDescent="0.2">
      <c r="A2810" s="1" t="s">
        <v>139</v>
      </c>
      <c r="B2810" t="str">
        <f>LEFT(Table1[[#This Row],[Input]],1)</f>
        <v>R</v>
      </c>
      <c r="C2810">
        <f>_xlfn.LET(_xlpm.steps,SUBSTITUTE(Table1[[#This Row],[Input]],Table1[[#This Row],[Direction]],""),VALUE(IF(LEN(_xlpm.steps)&gt;2,RIGHT(_xlpm.steps,2),_xlpm.steps)))</f>
        <v>38</v>
      </c>
      <c r="D2810">
        <f>_xlfn.LET(_xlpm.dir,Table1[[#This Row],[Direction]],
IF(_xlpm.dir="L",
    IF(F2809-Table1[[#This Row],[Steps]]&lt;0,100+(F2809-Table1[[#This Row],[Steps]]),F2809-Table1[[#This Row],[Steps]]),
))</f>
        <v>0</v>
      </c>
      <c r="E2810">
        <f>_xlfn.LET(_xlpm.dir,Table1[[#This Row],[Direction]],
IF(_xlpm.dir="R",
    IF(F2809+Table1[[#This Row],[Steps]]&gt;99,(F2809+Table1[[#This Row],[Steps]])-100,F2809+Table1[[#This Row],[Steps]]),
))</f>
        <v>59</v>
      </c>
      <c r="F2810">
        <f>IF(Table1[[#This Row],[New Pos L]]&lt;&gt;0,Table1[[#This Row],[New Pos L]],Table1[[#This Row],[New Pos R]])</f>
        <v>59</v>
      </c>
    </row>
    <row r="2811" spans="1:6" ht="16" x14ac:dyDescent="0.2">
      <c r="A2811" s="1" t="s">
        <v>84</v>
      </c>
      <c r="B2811" t="str">
        <f>LEFT(Table1[[#This Row],[Input]],1)</f>
        <v>R</v>
      </c>
      <c r="C2811">
        <f>_xlfn.LET(_xlpm.steps,SUBSTITUTE(Table1[[#This Row],[Input]],Table1[[#This Row],[Direction]],""),VALUE(IF(LEN(_xlpm.steps)&gt;2,RIGHT(_xlpm.steps,2),_xlpm.steps)))</f>
        <v>88</v>
      </c>
      <c r="D2811">
        <f>_xlfn.LET(_xlpm.dir,Table1[[#This Row],[Direction]],
IF(_xlpm.dir="L",
    IF(F2810-Table1[[#This Row],[Steps]]&lt;0,100+(F2810-Table1[[#This Row],[Steps]]),F2810-Table1[[#This Row],[Steps]]),
))</f>
        <v>0</v>
      </c>
      <c r="E2811">
        <f>_xlfn.LET(_xlpm.dir,Table1[[#This Row],[Direction]],
IF(_xlpm.dir="R",
    IF(F2810+Table1[[#This Row],[Steps]]&gt;99,(F2810+Table1[[#This Row],[Steps]])-100,F2810+Table1[[#This Row],[Steps]]),
))</f>
        <v>47</v>
      </c>
      <c r="F2811">
        <f>IF(Table1[[#This Row],[New Pos L]]&lt;&gt;0,Table1[[#This Row],[New Pos L]],Table1[[#This Row],[New Pos R]])</f>
        <v>47</v>
      </c>
    </row>
    <row r="2812" spans="1:6" ht="16" x14ac:dyDescent="0.2">
      <c r="A2812" s="1" t="s">
        <v>20</v>
      </c>
      <c r="B2812" t="str">
        <f>LEFT(Table1[[#This Row],[Input]],1)</f>
        <v>R</v>
      </c>
      <c r="C2812">
        <f>_xlfn.LET(_xlpm.steps,SUBSTITUTE(Table1[[#This Row],[Input]],Table1[[#This Row],[Direction]],""),VALUE(IF(LEN(_xlpm.steps)&gt;2,RIGHT(_xlpm.steps,2),_xlpm.steps)))</f>
        <v>46</v>
      </c>
      <c r="D2812">
        <f>_xlfn.LET(_xlpm.dir,Table1[[#This Row],[Direction]],
IF(_xlpm.dir="L",
    IF(F2811-Table1[[#This Row],[Steps]]&lt;0,100+(F2811-Table1[[#This Row],[Steps]]),F2811-Table1[[#This Row],[Steps]]),
))</f>
        <v>0</v>
      </c>
      <c r="E2812">
        <f>_xlfn.LET(_xlpm.dir,Table1[[#This Row],[Direction]],
IF(_xlpm.dir="R",
    IF(F2811+Table1[[#This Row],[Steps]]&gt;99,(F2811+Table1[[#This Row],[Steps]])-100,F2811+Table1[[#This Row],[Steps]]),
))</f>
        <v>93</v>
      </c>
      <c r="F2812">
        <f>IF(Table1[[#This Row],[New Pos L]]&lt;&gt;0,Table1[[#This Row],[New Pos L]],Table1[[#This Row],[New Pos R]])</f>
        <v>93</v>
      </c>
    </row>
    <row r="2813" spans="1:6" ht="16" x14ac:dyDescent="0.2">
      <c r="A2813" s="1" t="s">
        <v>4</v>
      </c>
      <c r="B2813" t="str">
        <f>LEFT(Table1[[#This Row],[Input]],1)</f>
        <v>R</v>
      </c>
      <c r="C2813">
        <f>_xlfn.LET(_xlpm.steps,SUBSTITUTE(Table1[[#This Row],[Input]],Table1[[#This Row],[Direction]],""),VALUE(IF(LEN(_xlpm.steps)&gt;2,RIGHT(_xlpm.steps,2),_xlpm.steps)))</f>
        <v>3</v>
      </c>
      <c r="D2813">
        <f>_xlfn.LET(_xlpm.dir,Table1[[#This Row],[Direction]],
IF(_xlpm.dir="L",
    IF(F2812-Table1[[#This Row],[Steps]]&lt;0,100+(F2812-Table1[[#This Row],[Steps]]),F2812-Table1[[#This Row],[Steps]]),
))</f>
        <v>0</v>
      </c>
      <c r="E2813">
        <f>_xlfn.LET(_xlpm.dir,Table1[[#This Row],[Direction]],
IF(_xlpm.dir="R",
    IF(F2812+Table1[[#This Row],[Steps]]&gt;99,(F2812+Table1[[#This Row],[Steps]])-100,F2812+Table1[[#This Row],[Steps]]),
))</f>
        <v>96</v>
      </c>
      <c r="F2813">
        <f>IF(Table1[[#This Row],[New Pos L]]&lt;&gt;0,Table1[[#This Row],[New Pos L]],Table1[[#This Row],[New Pos R]])</f>
        <v>96</v>
      </c>
    </row>
    <row r="2814" spans="1:6" ht="16" x14ac:dyDescent="0.2">
      <c r="A2814" s="1" t="s">
        <v>363</v>
      </c>
      <c r="B2814" t="str">
        <f>LEFT(Table1[[#This Row],[Input]],1)</f>
        <v>R</v>
      </c>
      <c r="C2814">
        <f>_xlfn.LET(_xlpm.steps,SUBSTITUTE(Table1[[#This Row],[Input]],Table1[[#This Row],[Direction]],""),VALUE(IF(LEN(_xlpm.steps)&gt;2,RIGHT(_xlpm.steps,2),_xlpm.steps)))</f>
        <v>63</v>
      </c>
      <c r="D2814">
        <f>_xlfn.LET(_xlpm.dir,Table1[[#This Row],[Direction]],
IF(_xlpm.dir="L",
    IF(F2813-Table1[[#This Row],[Steps]]&lt;0,100+(F2813-Table1[[#This Row],[Steps]]),F2813-Table1[[#This Row],[Steps]]),
))</f>
        <v>0</v>
      </c>
      <c r="E2814">
        <f>_xlfn.LET(_xlpm.dir,Table1[[#This Row],[Direction]],
IF(_xlpm.dir="R",
    IF(F2813+Table1[[#This Row],[Steps]]&gt;99,(F2813+Table1[[#This Row],[Steps]])-100,F2813+Table1[[#This Row],[Steps]]),
))</f>
        <v>59</v>
      </c>
      <c r="F2814">
        <f>IF(Table1[[#This Row],[New Pos L]]&lt;&gt;0,Table1[[#This Row],[New Pos L]],Table1[[#This Row],[New Pos R]])</f>
        <v>59</v>
      </c>
    </row>
    <row r="2815" spans="1:6" ht="16" x14ac:dyDescent="0.2">
      <c r="A2815" s="1" t="s">
        <v>102</v>
      </c>
      <c r="B2815" t="str">
        <f>LEFT(Table1[[#This Row],[Input]],1)</f>
        <v>R</v>
      </c>
      <c r="C2815">
        <f>_xlfn.LET(_xlpm.steps,SUBSTITUTE(Table1[[#This Row],[Input]],Table1[[#This Row],[Direction]],""),VALUE(IF(LEN(_xlpm.steps)&gt;2,RIGHT(_xlpm.steps,2),_xlpm.steps)))</f>
        <v>39</v>
      </c>
      <c r="D2815">
        <f>_xlfn.LET(_xlpm.dir,Table1[[#This Row],[Direction]],
IF(_xlpm.dir="L",
    IF(F2814-Table1[[#This Row],[Steps]]&lt;0,100+(F2814-Table1[[#This Row],[Steps]]),F2814-Table1[[#This Row],[Steps]]),
))</f>
        <v>0</v>
      </c>
      <c r="E2815">
        <f>_xlfn.LET(_xlpm.dir,Table1[[#This Row],[Direction]],
IF(_xlpm.dir="R",
    IF(F2814+Table1[[#This Row],[Steps]]&gt;99,(F2814+Table1[[#This Row],[Steps]])-100,F2814+Table1[[#This Row],[Steps]]),
))</f>
        <v>98</v>
      </c>
      <c r="F2815">
        <f>IF(Table1[[#This Row],[New Pos L]]&lt;&gt;0,Table1[[#This Row],[New Pos L]],Table1[[#This Row],[New Pos R]])</f>
        <v>98</v>
      </c>
    </row>
    <row r="2816" spans="1:6" ht="16" x14ac:dyDescent="0.2">
      <c r="A2816" s="1" t="s">
        <v>69</v>
      </c>
      <c r="B2816" t="str">
        <f>LEFT(Table1[[#This Row],[Input]],1)</f>
        <v>R</v>
      </c>
      <c r="C2816">
        <f>_xlfn.LET(_xlpm.steps,SUBSTITUTE(Table1[[#This Row],[Input]],Table1[[#This Row],[Direction]],""),VALUE(IF(LEN(_xlpm.steps)&gt;2,RIGHT(_xlpm.steps,2),_xlpm.steps)))</f>
        <v>27</v>
      </c>
      <c r="D2816">
        <f>_xlfn.LET(_xlpm.dir,Table1[[#This Row],[Direction]],
IF(_xlpm.dir="L",
    IF(F2815-Table1[[#This Row],[Steps]]&lt;0,100+(F2815-Table1[[#This Row],[Steps]]),F2815-Table1[[#This Row],[Steps]]),
))</f>
        <v>0</v>
      </c>
      <c r="E2816">
        <f>_xlfn.LET(_xlpm.dir,Table1[[#This Row],[Direction]],
IF(_xlpm.dir="R",
    IF(F2815+Table1[[#This Row],[Steps]]&gt;99,(F2815+Table1[[#This Row],[Steps]])-100,F2815+Table1[[#This Row],[Steps]]),
))</f>
        <v>25</v>
      </c>
      <c r="F2816">
        <f>IF(Table1[[#This Row],[New Pos L]]&lt;&gt;0,Table1[[#This Row],[New Pos L]],Table1[[#This Row],[New Pos R]])</f>
        <v>25</v>
      </c>
    </row>
    <row r="2817" spans="1:6" ht="16" x14ac:dyDescent="0.2">
      <c r="A2817" s="1" t="s">
        <v>122</v>
      </c>
      <c r="B2817" t="str">
        <f>LEFT(Table1[[#This Row],[Input]],1)</f>
        <v>R</v>
      </c>
      <c r="C2817">
        <f>_xlfn.LET(_xlpm.steps,SUBSTITUTE(Table1[[#This Row],[Input]],Table1[[#This Row],[Direction]],""),VALUE(IF(LEN(_xlpm.steps)&gt;2,RIGHT(_xlpm.steps,2),_xlpm.steps)))</f>
        <v>75</v>
      </c>
      <c r="D2817">
        <f>_xlfn.LET(_xlpm.dir,Table1[[#This Row],[Direction]],
IF(_xlpm.dir="L",
    IF(F2816-Table1[[#This Row],[Steps]]&lt;0,100+(F2816-Table1[[#This Row],[Steps]]),F2816-Table1[[#This Row],[Steps]]),
))</f>
        <v>0</v>
      </c>
      <c r="E2817">
        <f>_xlfn.LET(_xlpm.dir,Table1[[#This Row],[Direction]],
IF(_xlpm.dir="R",
    IF(F2816+Table1[[#This Row],[Steps]]&gt;99,(F2816+Table1[[#This Row],[Steps]])-100,F2816+Table1[[#This Row],[Steps]]),
))</f>
        <v>0</v>
      </c>
      <c r="F2817">
        <f>IF(Table1[[#This Row],[New Pos L]]&lt;&gt;0,Table1[[#This Row],[New Pos L]],Table1[[#This Row],[New Pos R]])</f>
        <v>0</v>
      </c>
    </row>
    <row r="2818" spans="1:6" ht="16" x14ac:dyDescent="0.2">
      <c r="A2818" s="1" t="s">
        <v>140</v>
      </c>
      <c r="B2818" t="str">
        <f>LEFT(Table1[[#This Row],[Input]],1)</f>
        <v>L</v>
      </c>
      <c r="C2818">
        <f>_xlfn.LET(_xlpm.steps,SUBSTITUTE(Table1[[#This Row],[Input]],Table1[[#This Row],[Direction]],""),VALUE(IF(LEN(_xlpm.steps)&gt;2,RIGHT(_xlpm.steps,2),_xlpm.steps)))</f>
        <v>61</v>
      </c>
      <c r="D2818">
        <f>_xlfn.LET(_xlpm.dir,Table1[[#This Row],[Direction]],
IF(_xlpm.dir="L",
    IF(F2817-Table1[[#This Row],[Steps]]&lt;0,100+(F2817-Table1[[#This Row],[Steps]]),F2817-Table1[[#This Row],[Steps]]),
))</f>
        <v>39</v>
      </c>
      <c r="E2818">
        <f>_xlfn.LET(_xlpm.dir,Table1[[#This Row],[Direction]],
IF(_xlpm.dir="R",
    IF(F2817+Table1[[#This Row],[Steps]]&gt;99,(F2817+Table1[[#This Row],[Steps]])-100,F2817+Table1[[#This Row],[Steps]]),
))</f>
        <v>0</v>
      </c>
      <c r="F2818">
        <f>IF(Table1[[#This Row],[New Pos L]]&lt;&gt;0,Table1[[#This Row],[New Pos L]],Table1[[#This Row],[New Pos R]])</f>
        <v>39</v>
      </c>
    </row>
    <row r="2819" spans="1:6" ht="16" x14ac:dyDescent="0.2">
      <c r="A2819" s="1" t="s">
        <v>139</v>
      </c>
      <c r="B2819" t="str">
        <f>LEFT(Table1[[#This Row],[Input]],1)</f>
        <v>R</v>
      </c>
      <c r="C2819">
        <f>_xlfn.LET(_xlpm.steps,SUBSTITUTE(Table1[[#This Row],[Input]],Table1[[#This Row],[Direction]],""),VALUE(IF(LEN(_xlpm.steps)&gt;2,RIGHT(_xlpm.steps,2),_xlpm.steps)))</f>
        <v>38</v>
      </c>
      <c r="D2819">
        <f>_xlfn.LET(_xlpm.dir,Table1[[#This Row],[Direction]],
IF(_xlpm.dir="L",
    IF(F2818-Table1[[#This Row],[Steps]]&lt;0,100+(F2818-Table1[[#This Row],[Steps]]),F2818-Table1[[#This Row],[Steps]]),
))</f>
        <v>0</v>
      </c>
      <c r="E2819">
        <f>_xlfn.LET(_xlpm.dir,Table1[[#This Row],[Direction]],
IF(_xlpm.dir="R",
    IF(F2818+Table1[[#This Row],[Steps]]&gt;99,(F2818+Table1[[#This Row],[Steps]])-100,F2818+Table1[[#This Row],[Steps]]),
))</f>
        <v>77</v>
      </c>
      <c r="F2819">
        <f>IF(Table1[[#This Row],[New Pos L]]&lt;&gt;0,Table1[[#This Row],[New Pos L]],Table1[[#This Row],[New Pos R]])</f>
        <v>77</v>
      </c>
    </row>
    <row r="2820" spans="1:6" ht="16" x14ac:dyDescent="0.2">
      <c r="A2820" s="1" t="s">
        <v>9</v>
      </c>
      <c r="B2820" t="str">
        <f>LEFT(Table1[[#This Row],[Input]],1)</f>
        <v>L</v>
      </c>
      <c r="C2820">
        <f>_xlfn.LET(_xlpm.steps,SUBSTITUTE(Table1[[#This Row],[Input]],Table1[[#This Row],[Direction]],""),VALUE(IF(LEN(_xlpm.steps)&gt;2,RIGHT(_xlpm.steps,2),_xlpm.steps)))</f>
        <v>9</v>
      </c>
      <c r="D2820">
        <f>_xlfn.LET(_xlpm.dir,Table1[[#This Row],[Direction]],
IF(_xlpm.dir="L",
    IF(F2819-Table1[[#This Row],[Steps]]&lt;0,100+(F2819-Table1[[#This Row],[Steps]]),F2819-Table1[[#This Row],[Steps]]),
))</f>
        <v>68</v>
      </c>
      <c r="E2820">
        <f>_xlfn.LET(_xlpm.dir,Table1[[#This Row],[Direction]],
IF(_xlpm.dir="R",
    IF(F2819+Table1[[#This Row],[Steps]]&gt;99,(F2819+Table1[[#This Row],[Steps]])-100,F2819+Table1[[#This Row],[Steps]]),
))</f>
        <v>0</v>
      </c>
      <c r="F2820">
        <f>IF(Table1[[#This Row],[New Pos L]]&lt;&gt;0,Table1[[#This Row],[New Pos L]],Table1[[#This Row],[New Pos R]])</f>
        <v>68</v>
      </c>
    </row>
    <row r="2821" spans="1:6" ht="16" x14ac:dyDescent="0.2">
      <c r="A2821" s="1" t="s">
        <v>201</v>
      </c>
      <c r="B2821" t="str">
        <f>LEFT(Table1[[#This Row],[Input]],1)</f>
        <v>R</v>
      </c>
      <c r="C2821">
        <f>_xlfn.LET(_xlpm.steps,SUBSTITUTE(Table1[[#This Row],[Input]],Table1[[#This Row],[Direction]],""),VALUE(IF(LEN(_xlpm.steps)&gt;2,RIGHT(_xlpm.steps,2),_xlpm.steps)))</f>
        <v>31</v>
      </c>
      <c r="D2821">
        <f>_xlfn.LET(_xlpm.dir,Table1[[#This Row],[Direction]],
IF(_xlpm.dir="L",
    IF(F2820-Table1[[#This Row],[Steps]]&lt;0,100+(F2820-Table1[[#This Row],[Steps]]),F2820-Table1[[#This Row],[Steps]]),
))</f>
        <v>0</v>
      </c>
      <c r="E2821">
        <f>_xlfn.LET(_xlpm.dir,Table1[[#This Row],[Direction]],
IF(_xlpm.dir="R",
    IF(F2820+Table1[[#This Row],[Steps]]&gt;99,(F2820+Table1[[#This Row],[Steps]])-100,F2820+Table1[[#This Row],[Steps]]),
))</f>
        <v>99</v>
      </c>
      <c r="F2821">
        <f>IF(Table1[[#This Row],[New Pos L]]&lt;&gt;0,Table1[[#This Row],[New Pos L]],Table1[[#This Row],[New Pos R]])</f>
        <v>99</v>
      </c>
    </row>
    <row r="2822" spans="1:6" ht="16" x14ac:dyDescent="0.2">
      <c r="A2822" s="1" t="s">
        <v>23</v>
      </c>
      <c r="B2822" t="str">
        <f>LEFT(Table1[[#This Row],[Input]],1)</f>
        <v>L</v>
      </c>
      <c r="C2822">
        <f>_xlfn.LET(_xlpm.steps,SUBSTITUTE(Table1[[#This Row],[Input]],Table1[[#This Row],[Direction]],""),VALUE(IF(LEN(_xlpm.steps)&gt;2,RIGHT(_xlpm.steps,2),_xlpm.steps)))</f>
        <v>8</v>
      </c>
      <c r="D2822">
        <f>_xlfn.LET(_xlpm.dir,Table1[[#This Row],[Direction]],
IF(_xlpm.dir="L",
    IF(F2821-Table1[[#This Row],[Steps]]&lt;0,100+(F2821-Table1[[#This Row],[Steps]]),F2821-Table1[[#This Row],[Steps]]),
))</f>
        <v>91</v>
      </c>
      <c r="E2822">
        <f>_xlfn.LET(_xlpm.dir,Table1[[#This Row],[Direction]],
IF(_xlpm.dir="R",
    IF(F2821+Table1[[#This Row],[Steps]]&gt;99,(F2821+Table1[[#This Row],[Steps]])-100,F2821+Table1[[#This Row],[Steps]]),
))</f>
        <v>0</v>
      </c>
      <c r="F2822">
        <f>IF(Table1[[#This Row],[New Pos L]]&lt;&gt;0,Table1[[#This Row],[New Pos L]],Table1[[#This Row],[New Pos R]])</f>
        <v>91</v>
      </c>
    </row>
    <row r="2823" spans="1:6" ht="16" x14ac:dyDescent="0.2">
      <c r="A2823" s="1" t="s">
        <v>89</v>
      </c>
      <c r="B2823" t="str">
        <f>LEFT(Table1[[#This Row],[Input]],1)</f>
        <v>L</v>
      </c>
      <c r="C2823">
        <f>_xlfn.LET(_xlpm.steps,SUBSTITUTE(Table1[[#This Row],[Input]],Table1[[#This Row],[Direction]],""),VALUE(IF(LEN(_xlpm.steps)&gt;2,RIGHT(_xlpm.steps,2),_xlpm.steps)))</f>
        <v>91</v>
      </c>
      <c r="D2823">
        <f>_xlfn.LET(_xlpm.dir,Table1[[#This Row],[Direction]],
IF(_xlpm.dir="L",
    IF(F2822-Table1[[#This Row],[Steps]]&lt;0,100+(F2822-Table1[[#This Row],[Steps]]),F2822-Table1[[#This Row],[Steps]]),
))</f>
        <v>0</v>
      </c>
      <c r="E2823">
        <f>_xlfn.LET(_xlpm.dir,Table1[[#This Row],[Direction]],
IF(_xlpm.dir="R",
    IF(F2822+Table1[[#This Row],[Steps]]&gt;99,(F2822+Table1[[#This Row],[Steps]])-100,F2822+Table1[[#This Row],[Steps]]),
))</f>
        <v>0</v>
      </c>
      <c r="F2823">
        <f>IF(Table1[[#This Row],[New Pos L]]&lt;&gt;0,Table1[[#This Row],[New Pos L]],Table1[[#This Row],[New Pos R]])</f>
        <v>0</v>
      </c>
    </row>
    <row r="2824" spans="1:6" ht="16" x14ac:dyDescent="0.2">
      <c r="A2824" s="1" t="s">
        <v>82</v>
      </c>
      <c r="B2824" t="str">
        <f>LEFT(Table1[[#This Row],[Input]],1)</f>
        <v>L</v>
      </c>
      <c r="C2824">
        <f>_xlfn.LET(_xlpm.steps,SUBSTITUTE(Table1[[#This Row],[Input]],Table1[[#This Row],[Direction]],""),VALUE(IF(LEN(_xlpm.steps)&gt;2,RIGHT(_xlpm.steps,2),_xlpm.steps)))</f>
        <v>55</v>
      </c>
      <c r="D2824">
        <f>_xlfn.LET(_xlpm.dir,Table1[[#This Row],[Direction]],
IF(_xlpm.dir="L",
    IF(F2823-Table1[[#This Row],[Steps]]&lt;0,100+(F2823-Table1[[#This Row],[Steps]]),F2823-Table1[[#This Row],[Steps]]),
))</f>
        <v>45</v>
      </c>
      <c r="E2824">
        <f>_xlfn.LET(_xlpm.dir,Table1[[#This Row],[Direction]],
IF(_xlpm.dir="R",
    IF(F2823+Table1[[#This Row],[Steps]]&gt;99,(F2823+Table1[[#This Row],[Steps]])-100,F2823+Table1[[#This Row],[Steps]]),
))</f>
        <v>0</v>
      </c>
      <c r="F2824">
        <f>IF(Table1[[#This Row],[New Pos L]]&lt;&gt;0,Table1[[#This Row],[New Pos L]],Table1[[#This Row],[New Pos R]])</f>
        <v>45</v>
      </c>
    </row>
    <row r="2825" spans="1:6" ht="16" x14ac:dyDescent="0.2">
      <c r="A2825" s="1" t="s">
        <v>664</v>
      </c>
      <c r="B2825" t="str">
        <f>LEFT(Table1[[#This Row],[Input]],1)</f>
        <v>R</v>
      </c>
      <c r="C2825">
        <f>_xlfn.LET(_xlpm.steps,SUBSTITUTE(Table1[[#This Row],[Input]],Table1[[#This Row],[Direction]],""),VALUE(IF(LEN(_xlpm.steps)&gt;2,RIGHT(_xlpm.steps,2),_xlpm.steps)))</f>
        <v>55</v>
      </c>
      <c r="D2825">
        <f>_xlfn.LET(_xlpm.dir,Table1[[#This Row],[Direction]],
IF(_xlpm.dir="L",
    IF(F2824-Table1[[#This Row],[Steps]]&lt;0,100+(F2824-Table1[[#This Row],[Steps]]),F2824-Table1[[#This Row],[Steps]]),
))</f>
        <v>0</v>
      </c>
      <c r="E2825">
        <f>_xlfn.LET(_xlpm.dir,Table1[[#This Row],[Direction]],
IF(_xlpm.dir="R",
    IF(F2824+Table1[[#This Row],[Steps]]&gt;99,(F2824+Table1[[#This Row],[Steps]])-100,F2824+Table1[[#This Row],[Steps]]),
))</f>
        <v>0</v>
      </c>
      <c r="F2825">
        <f>IF(Table1[[#This Row],[New Pos L]]&lt;&gt;0,Table1[[#This Row],[New Pos L]],Table1[[#This Row],[New Pos R]])</f>
        <v>0</v>
      </c>
    </row>
    <row r="2826" spans="1:6" ht="16" x14ac:dyDescent="0.2">
      <c r="A2826" s="1" t="s">
        <v>254</v>
      </c>
      <c r="B2826" t="str">
        <f>LEFT(Table1[[#This Row],[Input]],1)</f>
        <v>R</v>
      </c>
      <c r="C2826">
        <f>_xlfn.LET(_xlpm.steps,SUBSTITUTE(Table1[[#This Row],[Input]],Table1[[#This Row],[Direction]],""),VALUE(IF(LEN(_xlpm.steps)&gt;2,RIGHT(_xlpm.steps,2),_xlpm.steps)))</f>
        <v>84</v>
      </c>
      <c r="D2826">
        <f>_xlfn.LET(_xlpm.dir,Table1[[#This Row],[Direction]],
IF(_xlpm.dir="L",
    IF(F2825-Table1[[#This Row],[Steps]]&lt;0,100+(F2825-Table1[[#This Row],[Steps]]),F2825-Table1[[#This Row],[Steps]]),
))</f>
        <v>0</v>
      </c>
      <c r="E2826">
        <f>_xlfn.LET(_xlpm.dir,Table1[[#This Row],[Direction]],
IF(_xlpm.dir="R",
    IF(F2825+Table1[[#This Row],[Steps]]&gt;99,(F2825+Table1[[#This Row],[Steps]])-100,F2825+Table1[[#This Row],[Steps]]),
))</f>
        <v>84</v>
      </c>
      <c r="F2826">
        <f>IF(Table1[[#This Row],[New Pos L]]&lt;&gt;0,Table1[[#This Row],[New Pos L]],Table1[[#This Row],[New Pos R]])</f>
        <v>84</v>
      </c>
    </row>
    <row r="2827" spans="1:6" ht="16" x14ac:dyDescent="0.2">
      <c r="A2827" s="1" t="s">
        <v>182</v>
      </c>
      <c r="B2827" t="str">
        <f>LEFT(Table1[[#This Row],[Input]],1)</f>
        <v>L</v>
      </c>
      <c r="C2827">
        <f>_xlfn.LET(_xlpm.steps,SUBSTITUTE(Table1[[#This Row],[Input]],Table1[[#This Row],[Direction]],""),VALUE(IF(LEN(_xlpm.steps)&gt;2,RIGHT(_xlpm.steps,2),_xlpm.steps)))</f>
        <v>3</v>
      </c>
      <c r="D2827">
        <f>_xlfn.LET(_xlpm.dir,Table1[[#This Row],[Direction]],
IF(_xlpm.dir="L",
    IF(F2826-Table1[[#This Row],[Steps]]&lt;0,100+(F2826-Table1[[#This Row],[Steps]]),F2826-Table1[[#This Row],[Steps]]),
))</f>
        <v>81</v>
      </c>
      <c r="E2827">
        <f>_xlfn.LET(_xlpm.dir,Table1[[#This Row],[Direction]],
IF(_xlpm.dir="R",
    IF(F2826+Table1[[#This Row],[Steps]]&gt;99,(F2826+Table1[[#This Row],[Steps]])-100,F2826+Table1[[#This Row],[Steps]]),
))</f>
        <v>0</v>
      </c>
      <c r="F2827">
        <f>IF(Table1[[#This Row],[New Pos L]]&lt;&gt;0,Table1[[#This Row],[New Pos L]],Table1[[#This Row],[New Pos R]])</f>
        <v>81</v>
      </c>
    </row>
    <row r="2828" spans="1:6" ht="16" x14ac:dyDescent="0.2">
      <c r="A2828" s="1" t="s">
        <v>210</v>
      </c>
      <c r="B2828" t="str">
        <f>LEFT(Table1[[#This Row],[Input]],1)</f>
        <v>R</v>
      </c>
      <c r="C2828">
        <f>_xlfn.LET(_xlpm.steps,SUBSTITUTE(Table1[[#This Row],[Input]],Table1[[#This Row],[Direction]],""),VALUE(IF(LEN(_xlpm.steps)&gt;2,RIGHT(_xlpm.steps,2),_xlpm.steps)))</f>
        <v>89</v>
      </c>
      <c r="D2828">
        <f>_xlfn.LET(_xlpm.dir,Table1[[#This Row],[Direction]],
IF(_xlpm.dir="L",
    IF(F2827-Table1[[#This Row],[Steps]]&lt;0,100+(F2827-Table1[[#This Row],[Steps]]),F2827-Table1[[#This Row],[Steps]]),
))</f>
        <v>0</v>
      </c>
      <c r="E2828">
        <f>_xlfn.LET(_xlpm.dir,Table1[[#This Row],[Direction]],
IF(_xlpm.dir="R",
    IF(F2827+Table1[[#This Row],[Steps]]&gt;99,(F2827+Table1[[#This Row],[Steps]])-100,F2827+Table1[[#This Row],[Steps]]),
))</f>
        <v>70</v>
      </c>
      <c r="F2828">
        <f>IF(Table1[[#This Row],[New Pos L]]&lt;&gt;0,Table1[[#This Row],[New Pos L]],Table1[[#This Row],[New Pos R]])</f>
        <v>70</v>
      </c>
    </row>
    <row r="2829" spans="1:6" ht="16" x14ac:dyDescent="0.2">
      <c r="A2829" s="1" t="s">
        <v>125</v>
      </c>
      <c r="B2829" t="str">
        <f>LEFT(Table1[[#This Row],[Input]],1)</f>
        <v>L</v>
      </c>
      <c r="C2829">
        <f>_xlfn.LET(_xlpm.steps,SUBSTITUTE(Table1[[#This Row],[Input]],Table1[[#This Row],[Direction]],""),VALUE(IF(LEN(_xlpm.steps)&gt;2,RIGHT(_xlpm.steps,2),_xlpm.steps)))</f>
        <v>76</v>
      </c>
      <c r="D2829">
        <f>_xlfn.LET(_xlpm.dir,Table1[[#This Row],[Direction]],
IF(_xlpm.dir="L",
    IF(F2828-Table1[[#This Row],[Steps]]&lt;0,100+(F2828-Table1[[#This Row],[Steps]]),F2828-Table1[[#This Row],[Steps]]),
))</f>
        <v>94</v>
      </c>
      <c r="E2829">
        <f>_xlfn.LET(_xlpm.dir,Table1[[#This Row],[Direction]],
IF(_xlpm.dir="R",
    IF(F2828+Table1[[#This Row],[Steps]]&gt;99,(F2828+Table1[[#This Row],[Steps]])-100,F2828+Table1[[#This Row],[Steps]]),
))</f>
        <v>0</v>
      </c>
      <c r="F2829">
        <f>IF(Table1[[#This Row],[New Pos L]]&lt;&gt;0,Table1[[#This Row],[New Pos L]],Table1[[#This Row],[New Pos R]])</f>
        <v>94</v>
      </c>
    </row>
    <row r="2830" spans="1:6" ht="16" x14ac:dyDescent="0.2">
      <c r="A2830" s="1" t="s">
        <v>2</v>
      </c>
      <c r="B2830" t="str">
        <f>LEFT(Table1[[#This Row],[Input]],1)</f>
        <v>L</v>
      </c>
      <c r="C2830">
        <f>_xlfn.LET(_xlpm.steps,SUBSTITUTE(Table1[[#This Row],[Input]],Table1[[#This Row],[Direction]],""),VALUE(IF(LEN(_xlpm.steps)&gt;2,RIGHT(_xlpm.steps,2),_xlpm.steps)))</f>
        <v>38</v>
      </c>
      <c r="D2830">
        <f>_xlfn.LET(_xlpm.dir,Table1[[#This Row],[Direction]],
IF(_xlpm.dir="L",
    IF(F2829-Table1[[#This Row],[Steps]]&lt;0,100+(F2829-Table1[[#This Row],[Steps]]),F2829-Table1[[#This Row],[Steps]]),
))</f>
        <v>56</v>
      </c>
      <c r="E2830">
        <f>_xlfn.LET(_xlpm.dir,Table1[[#This Row],[Direction]],
IF(_xlpm.dir="R",
    IF(F2829+Table1[[#This Row],[Steps]]&gt;99,(F2829+Table1[[#This Row],[Steps]])-100,F2829+Table1[[#This Row],[Steps]]),
))</f>
        <v>0</v>
      </c>
      <c r="F2830">
        <f>IF(Table1[[#This Row],[New Pos L]]&lt;&gt;0,Table1[[#This Row],[New Pos L]],Table1[[#This Row],[New Pos R]])</f>
        <v>56</v>
      </c>
    </row>
    <row r="2831" spans="1:6" ht="16" x14ac:dyDescent="0.2">
      <c r="A2831" s="1" t="s">
        <v>53</v>
      </c>
      <c r="B2831" t="str">
        <f>LEFT(Table1[[#This Row],[Input]],1)</f>
        <v>L</v>
      </c>
      <c r="C2831">
        <f>_xlfn.LET(_xlpm.steps,SUBSTITUTE(Table1[[#This Row],[Input]],Table1[[#This Row],[Direction]],""),VALUE(IF(LEN(_xlpm.steps)&gt;2,RIGHT(_xlpm.steps,2),_xlpm.steps)))</f>
        <v>56</v>
      </c>
      <c r="D2831">
        <f>_xlfn.LET(_xlpm.dir,Table1[[#This Row],[Direction]],
IF(_xlpm.dir="L",
    IF(F2830-Table1[[#This Row],[Steps]]&lt;0,100+(F2830-Table1[[#This Row],[Steps]]),F2830-Table1[[#This Row],[Steps]]),
))</f>
        <v>0</v>
      </c>
      <c r="E2831">
        <f>_xlfn.LET(_xlpm.dir,Table1[[#This Row],[Direction]],
IF(_xlpm.dir="R",
    IF(F2830+Table1[[#This Row],[Steps]]&gt;99,(F2830+Table1[[#This Row],[Steps]])-100,F2830+Table1[[#This Row],[Steps]]),
))</f>
        <v>0</v>
      </c>
      <c r="F2831">
        <f>IF(Table1[[#This Row],[New Pos L]]&lt;&gt;0,Table1[[#This Row],[New Pos L]],Table1[[#This Row],[New Pos R]])</f>
        <v>0</v>
      </c>
    </row>
    <row r="2832" spans="1:6" ht="16" x14ac:dyDescent="0.2">
      <c r="A2832" s="1" t="s">
        <v>73</v>
      </c>
      <c r="B2832" t="str">
        <f>LEFT(Table1[[#This Row],[Input]],1)</f>
        <v>R</v>
      </c>
      <c r="C2832">
        <f>_xlfn.LET(_xlpm.steps,SUBSTITUTE(Table1[[#This Row],[Input]],Table1[[#This Row],[Direction]],""),VALUE(IF(LEN(_xlpm.steps)&gt;2,RIGHT(_xlpm.steps,2),_xlpm.steps)))</f>
        <v>21</v>
      </c>
      <c r="D2832">
        <f>_xlfn.LET(_xlpm.dir,Table1[[#This Row],[Direction]],
IF(_xlpm.dir="L",
    IF(F2831-Table1[[#This Row],[Steps]]&lt;0,100+(F2831-Table1[[#This Row],[Steps]]),F2831-Table1[[#This Row],[Steps]]),
))</f>
        <v>0</v>
      </c>
      <c r="E2832">
        <f>_xlfn.LET(_xlpm.dir,Table1[[#This Row],[Direction]],
IF(_xlpm.dir="R",
    IF(F2831+Table1[[#This Row],[Steps]]&gt;99,(F2831+Table1[[#This Row],[Steps]])-100,F2831+Table1[[#This Row],[Steps]]),
))</f>
        <v>21</v>
      </c>
      <c r="F2832">
        <f>IF(Table1[[#This Row],[New Pos L]]&lt;&gt;0,Table1[[#This Row],[New Pos L]],Table1[[#This Row],[New Pos R]])</f>
        <v>21</v>
      </c>
    </row>
    <row r="2833" spans="1:6" ht="16" x14ac:dyDescent="0.2">
      <c r="A2833" s="1" t="s">
        <v>105</v>
      </c>
      <c r="B2833" t="str">
        <f>LEFT(Table1[[#This Row],[Input]],1)</f>
        <v>R</v>
      </c>
      <c r="C2833">
        <f>_xlfn.LET(_xlpm.steps,SUBSTITUTE(Table1[[#This Row],[Input]],Table1[[#This Row],[Direction]],""),VALUE(IF(LEN(_xlpm.steps)&gt;2,RIGHT(_xlpm.steps,2),_xlpm.steps)))</f>
        <v>98</v>
      </c>
      <c r="D2833">
        <f>_xlfn.LET(_xlpm.dir,Table1[[#This Row],[Direction]],
IF(_xlpm.dir="L",
    IF(F2832-Table1[[#This Row],[Steps]]&lt;0,100+(F2832-Table1[[#This Row],[Steps]]),F2832-Table1[[#This Row],[Steps]]),
))</f>
        <v>0</v>
      </c>
      <c r="E2833">
        <f>_xlfn.LET(_xlpm.dir,Table1[[#This Row],[Direction]],
IF(_xlpm.dir="R",
    IF(F2832+Table1[[#This Row],[Steps]]&gt;99,(F2832+Table1[[#This Row],[Steps]])-100,F2832+Table1[[#This Row],[Steps]]),
))</f>
        <v>19</v>
      </c>
      <c r="F2833">
        <f>IF(Table1[[#This Row],[New Pos L]]&lt;&gt;0,Table1[[#This Row],[New Pos L]],Table1[[#This Row],[New Pos R]])</f>
        <v>19</v>
      </c>
    </row>
    <row r="2834" spans="1:6" ht="16" x14ac:dyDescent="0.2">
      <c r="A2834" s="1" t="s">
        <v>126</v>
      </c>
      <c r="B2834" t="str">
        <f>LEFT(Table1[[#This Row],[Input]],1)</f>
        <v>R</v>
      </c>
      <c r="C2834">
        <f>_xlfn.LET(_xlpm.steps,SUBSTITUTE(Table1[[#This Row],[Input]],Table1[[#This Row],[Direction]],""),VALUE(IF(LEN(_xlpm.steps)&gt;2,RIGHT(_xlpm.steps,2),_xlpm.steps)))</f>
        <v>65</v>
      </c>
      <c r="D2834">
        <f>_xlfn.LET(_xlpm.dir,Table1[[#This Row],[Direction]],
IF(_xlpm.dir="L",
    IF(F2833-Table1[[#This Row],[Steps]]&lt;0,100+(F2833-Table1[[#This Row],[Steps]]),F2833-Table1[[#This Row],[Steps]]),
))</f>
        <v>0</v>
      </c>
      <c r="E2834">
        <f>_xlfn.LET(_xlpm.dir,Table1[[#This Row],[Direction]],
IF(_xlpm.dir="R",
    IF(F2833+Table1[[#This Row],[Steps]]&gt;99,(F2833+Table1[[#This Row],[Steps]])-100,F2833+Table1[[#This Row],[Steps]]),
))</f>
        <v>84</v>
      </c>
      <c r="F2834">
        <f>IF(Table1[[#This Row],[New Pos L]]&lt;&gt;0,Table1[[#This Row],[New Pos L]],Table1[[#This Row],[New Pos R]])</f>
        <v>84</v>
      </c>
    </row>
    <row r="2835" spans="1:6" ht="16" x14ac:dyDescent="0.2">
      <c r="A2835" s="1" t="s">
        <v>55</v>
      </c>
      <c r="B2835" t="str">
        <f>LEFT(Table1[[#This Row],[Input]],1)</f>
        <v>L</v>
      </c>
      <c r="C2835">
        <f>_xlfn.LET(_xlpm.steps,SUBSTITUTE(Table1[[#This Row],[Input]],Table1[[#This Row],[Direction]],""),VALUE(IF(LEN(_xlpm.steps)&gt;2,RIGHT(_xlpm.steps,2),_xlpm.steps)))</f>
        <v>82</v>
      </c>
      <c r="D2835">
        <f>_xlfn.LET(_xlpm.dir,Table1[[#This Row],[Direction]],
IF(_xlpm.dir="L",
    IF(F2834-Table1[[#This Row],[Steps]]&lt;0,100+(F2834-Table1[[#This Row],[Steps]]),F2834-Table1[[#This Row],[Steps]]),
))</f>
        <v>2</v>
      </c>
      <c r="E2835">
        <f>_xlfn.LET(_xlpm.dir,Table1[[#This Row],[Direction]],
IF(_xlpm.dir="R",
    IF(F2834+Table1[[#This Row],[Steps]]&gt;99,(F2834+Table1[[#This Row],[Steps]])-100,F2834+Table1[[#This Row],[Steps]]),
))</f>
        <v>0</v>
      </c>
      <c r="F2835">
        <f>IF(Table1[[#This Row],[New Pos L]]&lt;&gt;0,Table1[[#This Row],[New Pos L]],Table1[[#This Row],[New Pos R]])</f>
        <v>2</v>
      </c>
    </row>
    <row r="2836" spans="1:6" ht="16" x14ac:dyDescent="0.2">
      <c r="A2836" s="1" t="s">
        <v>353</v>
      </c>
      <c r="B2836" t="str">
        <f>LEFT(Table1[[#This Row],[Input]],1)</f>
        <v>R</v>
      </c>
      <c r="C2836">
        <f>_xlfn.LET(_xlpm.steps,SUBSTITUTE(Table1[[#This Row],[Input]],Table1[[#This Row],[Direction]],""),VALUE(IF(LEN(_xlpm.steps)&gt;2,RIGHT(_xlpm.steps,2),_xlpm.steps)))</f>
        <v>7</v>
      </c>
      <c r="D2836">
        <f>_xlfn.LET(_xlpm.dir,Table1[[#This Row],[Direction]],
IF(_xlpm.dir="L",
    IF(F2835-Table1[[#This Row],[Steps]]&lt;0,100+(F2835-Table1[[#This Row],[Steps]]),F2835-Table1[[#This Row],[Steps]]),
))</f>
        <v>0</v>
      </c>
      <c r="E2836">
        <f>_xlfn.LET(_xlpm.dir,Table1[[#This Row],[Direction]],
IF(_xlpm.dir="R",
    IF(F2835+Table1[[#This Row],[Steps]]&gt;99,(F2835+Table1[[#This Row],[Steps]])-100,F2835+Table1[[#This Row],[Steps]]),
))</f>
        <v>9</v>
      </c>
      <c r="F2836">
        <f>IF(Table1[[#This Row],[New Pos L]]&lt;&gt;0,Table1[[#This Row],[New Pos L]],Table1[[#This Row],[New Pos R]])</f>
        <v>9</v>
      </c>
    </row>
    <row r="2837" spans="1:6" ht="16" x14ac:dyDescent="0.2">
      <c r="A2837" s="1" t="s">
        <v>260</v>
      </c>
      <c r="B2837" t="str">
        <f>LEFT(Table1[[#This Row],[Input]],1)</f>
        <v>L</v>
      </c>
      <c r="C2837">
        <f>_xlfn.LET(_xlpm.steps,SUBSTITUTE(Table1[[#This Row],[Input]],Table1[[#This Row],[Direction]],""),VALUE(IF(LEN(_xlpm.steps)&gt;2,RIGHT(_xlpm.steps,2),_xlpm.steps)))</f>
        <v>85</v>
      </c>
      <c r="D2837">
        <f>_xlfn.LET(_xlpm.dir,Table1[[#This Row],[Direction]],
IF(_xlpm.dir="L",
    IF(F2836-Table1[[#This Row],[Steps]]&lt;0,100+(F2836-Table1[[#This Row],[Steps]]),F2836-Table1[[#This Row],[Steps]]),
))</f>
        <v>24</v>
      </c>
      <c r="E2837">
        <f>_xlfn.LET(_xlpm.dir,Table1[[#This Row],[Direction]],
IF(_xlpm.dir="R",
    IF(F2836+Table1[[#This Row],[Steps]]&gt;99,(F2836+Table1[[#This Row],[Steps]])-100,F2836+Table1[[#This Row],[Steps]]),
))</f>
        <v>0</v>
      </c>
      <c r="F2837">
        <f>IF(Table1[[#This Row],[New Pos L]]&lt;&gt;0,Table1[[#This Row],[New Pos L]],Table1[[#This Row],[New Pos R]])</f>
        <v>24</v>
      </c>
    </row>
    <row r="2838" spans="1:6" ht="16" x14ac:dyDescent="0.2">
      <c r="A2838" s="1" t="s">
        <v>125</v>
      </c>
      <c r="B2838" t="str">
        <f>LEFT(Table1[[#This Row],[Input]],1)</f>
        <v>L</v>
      </c>
      <c r="C2838">
        <f>_xlfn.LET(_xlpm.steps,SUBSTITUTE(Table1[[#This Row],[Input]],Table1[[#This Row],[Direction]],""),VALUE(IF(LEN(_xlpm.steps)&gt;2,RIGHT(_xlpm.steps,2),_xlpm.steps)))</f>
        <v>76</v>
      </c>
      <c r="D2838">
        <f>_xlfn.LET(_xlpm.dir,Table1[[#This Row],[Direction]],
IF(_xlpm.dir="L",
    IF(F2837-Table1[[#This Row],[Steps]]&lt;0,100+(F2837-Table1[[#This Row],[Steps]]),F2837-Table1[[#This Row],[Steps]]),
))</f>
        <v>48</v>
      </c>
      <c r="E2838">
        <f>_xlfn.LET(_xlpm.dir,Table1[[#This Row],[Direction]],
IF(_xlpm.dir="R",
    IF(F2837+Table1[[#This Row],[Steps]]&gt;99,(F2837+Table1[[#This Row],[Steps]])-100,F2837+Table1[[#This Row],[Steps]]),
))</f>
        <v>0</v>
      </c>
      <c r="F2838">
        <f>IF(Table1[[#This Row],[New Pos L]]&lt;&gt;0,Table1[[#This Row],[New Pos L]],Table1[[#This Row],[New Pos R]])</f>
        <v>48</v>
      </c>
    </row>
    <row r="2839" spans="1:6" ht="16" x14ac:dyDescent="0.2">
      <c r="A2839" s="1" t="s">
        <v>216</v>
      </c>
      <c r="B2839" t="str">
        <f>LEFT(Table1[[#This Row],[Input]],1)</f>
        <v>R</v>
      </c>
      <c r="C2839">
        <f>_xlfn.LET(_xlpm.steps,SUBSTITUTE(Table1[[#This Row],[Input]],Table1[[#This Row],[Direction]],""),VALUE(IF(LEN(_xlpm.steps)&gt;2,RIGHT(_xlpm.steps,2),_xlpm.steps)))</f>
        <v>54</v>
      </c>
      <c r="D2839">
        <f>_xlfn.LET(_xlpm.dir,Table1[[#This Row],[Direction]],
IF(_xlpm.dir="L",
    IF(F2838-Table1[[#This Row],[Steps]]&lt;0,100+(F2838-Table1[[#This Row],[Steps]]),F2838-Table1[[#This Row],[Steps]]),
))</f>
        <v>0</v>
      </c>
      <c r="E2839">
        <f>_xlfn.LET(_xlpm.dir,Table1[[#This Row],[Direction]],
IF(_xlpm.dir="R",
    IF(F2838+Table1[[#This Row],[Steps]]&gt;99,(F2838+Table1[[#This Row],[Steps]])-100,F2838+Table1[[#This Row],[Steps]]),
))</f>
        <v>2</v>
      </c>
      <c r="F2839">
        <f>IF(Table1[[#This Row],[New Pos L]]&lt;&gt;0,Table1[[#This Row],[New Pos L]],Table1[[#This Row],[New Pos R]])</f>
        <v>2</v>
      </c>
    </row>
    <row r="2840" spans="1:6" ht="16" x14ac:dyDescent="0.2">
      <c r="A2840" s="1" t="s">
        <v>105</v>
      </c>
      <c r="B2840" t="str">
        <f>LEFT(Table1[[#This Row],[Input]],1)</f>
        <v>R</v>
      </c>
      <c r="C2840">
        <f>_xlfn.LET(_xlpm.steps,SUBSTITUTE(Table1[[#This Row],[Input]],Table1[[#This Row],[Direction]],""),VALUE(IF(LEN(_xlpm.steps)&gt;2,RIGHT(_xlpm.steps,2),_xlpm.steps)))</f>
        <v>98</v>
      </c>
      <c r="D2840">
        <f>_xlfn.LET(_xlpm.dir,Table1[[#This Row],[Direction]],
IF(_xlpm.dir="L",
    IF(F2839-Table1[[#This Row],[Steps]]&lt;0,100+(F2839-Table1[[#This Row],[Steps]]),F2839-Table1[[#This Row],[Steps]]),
))</f>
        <v>0</v>
      </c>
      <c r="E2840">
        <f>_xlfn.LET(_xlpm.dir,Table1[[#This Row],[Direction]],
IF(_xlpm.dir="R",
    IF(F2839+Table1[[#This Row],[Steps]]&gt;99,(F2839+Table1[[#This Row],[Steps]])-100,F2839+Table1[[#This Row],[Steps]]),
))</f>
        <v>0</v>
      </c>
      <c r="F2840">
        <f>IF(Table1[[#This Row],[New Pos L]]&lt;&gt;0,Table1[[#This Row],[New Pos L]],Table1[[#This Row],[New Pos R]])</f>
        <v>0</v>
      </c>
    </row>
    <row r="2841" spans="1:6" ht="16" x14ac:dyDescent="0.2">
      <c r="A2841" s="1" t="s">
        <v>63</v>
      </c>
      <c r="B2841" t="str">
        <f>LEFT(Table1[[#This Row],[Input]],1)</f>
        <v>R</v>
      </c>
      <c r="C2841">
        <f>_xlfn.LET(_xlpm.steps,SUBSTITUTE(Table1[[#This Row],[Input]],Table1[[#This Row],[Direction]],""),VALUE(IF(LEN(_xlpm.steps)&gt;2,RIGHT(_xlpm.steps,2),_xlpm.steps)))</f>
        <v>57</v>
      </c>
      <c r="D2841">
        <f>_xlfn.LET(_xlpm.dir,Table1[[#This Row],[Direction]],
IF(_xlpm.dir="L",
    IF(F2840-Table1[[#This Row],[Steps]]&lt;0,100+(F2840-Table1[[#This Row],[Steps]]),F2840-Table1[[#This Row],[Steps]]),
))</f>
        <v>0</v>
      </c>
      <c r="E2841">
        <f>_xlfn.LET(_xlpm.dir,Table1[[#This Row],[Direction]],
IF(_xlpm.dir="R",
    IF(F2840+Table1[[#This Row],[Steps]]&gt;99,(F2840+Table1[[#This Row],[Steps]])-100,F2840+Table1[[#This Row],[Steps]]),
))</f>
        <v>57</v>
      </c>
      <c r="F2841">
        <f>IF(Table1[[#This Row],[New Pos L]]&lt;&gt;0,Table1[[#This Row],[New Pos L]],Table1[[#This Row],[New Pos R]])</f>
        <v>57</v>
      </c>
    </row>
    <row r="2842" spans="1:6" ht="16" x14ac:dyDescent="0.2">
      <c r="A2842" s="1" t="s">
        <v>181</v>
      </c>
      <c r="B2842" t="str">
        <f>LEFT(Table1[[#This Row],[Input]],1)</f>
        <v>L</v>
      </c>
      <c r="C2842">
        <f>_xlfn.LET(_xlpm.steps,SUBSTITUTE(Table1[[#This Row],[Input]],Table1[[#This Row],[Direction]],""),VALUE(IF(LEN(_xlpm.steps)&gt;2,RIGHT(_xlpm.steps,2),_xlpm.steps)))</f>
        <v>53</v>
      </c>
      <c r="D2842">
        <f>_xlfn.LET(_xlpm.dir,Table1[[#This Row],[Direction]],
IF(_xlpm.dir="L",
    IF(F2841-Table1[[#This Row],[Steps]]&lt;0,100+(F2841-Table1[[#This Row],[Steps]]),F2841-Table1[[#This Row],[Steps]]),
))</f>
        <v>4</v>
      </c>
      <c r="E2842">
        <f>_xlfn.LET(_xlpm.dir,Table1[[#This Row],[Direction]],
IF(_xlpm.dir="R",
    IF(F2841+Table1[[#This Row],[Steps]]&gt;99,(F2841+Table1[[#This Row],[Steps]])-100,F2841+Table1[[#This Row],[Steps]]),
))</f>
        <v>0</v>
      </c>
      <c r="F2842">
        <f>IF(Table1[[#This Row],[New Pos L]]&lt;&gt;0,Table1[[#This Row],[New Pos L]],Table1[[#This Row],[New Pos R]])</f>
        <v>4</v>
      </c>
    </row>
    <row r="2843" spans="1:6" ht="16" x14ac:dyDescent="0.2">
      <c r="A2843" s="1" t="s">
        <v>44</v>
      </c>
      <c r="B2843" t="str">
        <f>LEFT(Table1[[#This Row],[Input]],1)</f>
        <v>R</v>
      </c>
      <c r="C2843">
        <f>_xlfn.LET(_xlpm.steps,SUBSTITUTE(Table1[[#This Row],[Input]],Table1[[#This Row],[Direction]],""),VALUE(IF(LEN(_xlpm.steps)&gt;2,RIGHT(_xlpm.steps,2),_xlpm.steps)))</f>
        <v>96</v>
      </c>
      <c r="D2843">
        <f>_xlfn.LET(_xlpm.dir,Table1[[#This Row],[Direction]],
IF(_xlpm.dir="L",
    IF(F2842-Table1[[#This Row],[Steps]]&lt;0,100+(F2842-Table1[[#This Row],[Steps]]),F2842-Table1[[#This Row],[Steps]]),
))</f>
        <v>0</v>
      </c>
      <c r="E2843">
        <f>_xlfn.LET(_xlpm.dir,Table1[[#This Row],[Direction]],
IF(_xlpm.dir="R",
    IF(F2842+Table1[[#This Row],[Steps]]&gt;99,(F2842+Table1[[#This Row],[Steps]])-100,F2842+Table1[[#This Row],[Steps]]),
))</f>
        <v>0</v>
      </c>
      <c r="F2843">
        <f>IF(Table1[[#This Row],[New Pos L]]&lt;&gt;0,Table1[[#This Row],[New Pos L]],Table1[[#This Row],[New Pos R]])</f>
        <v>0</v>
      </c>
    </row>
    <row r="2844" spans="1:6" ht="16" x14ac:dyDescent="0.2">
      <c r="A2844" s="1" t="s">
        <v>81</v>
      </c>
      <c r="B2844" t="str">
        <f>LEFT(Table1[[#This Row],[Input]],1)</f>
        <v>R</v>
      </c>
      <c r="C2844">
        <f>_xlfn.LET(_xlpm.steps,SUBSTITUTE(Table1[[#This Row],[Input]],Table1[[#This Row],[Direction]],""),VALUE(IF(LEN(_xlpm.steps)&gt;2,RIGHT(_xlpm.steps,2),_xlpm.steps)))</f>
        <v>17</v>
      </c>
      <c r="D2844">
        <f>_xlfn.LET(_xlpm.dir,Table1[[#This Row],[Direction]],
IF(_xlpm.dir="L",
    IF(F2843-Table1[[#This Row],[Steps]]&lt;0,100+(F2843-Table1[[#This Row],[Steps]]),F2843-Table1[[#This Row],[Steps]]),
))</f>
        <v>0</v>
      </c>
      <c r="E2844">
        <f>_xlfn.LET(_xlpm.dir,Table1[[#This Row],[Direction]],
IF(_xlpm.dir="R",
    IF(F2843+Table1[[#This Row],[Steps]]&gt;99,(F2843+Table1[[#This Row],[Steps]])-100,F2843+Table1[[#This Row],[Steps]]),
))</f>
        <v>17</v>
      </c>
      <c r="F2844">
        <f>IF(Table1[[#This Row],[New Pos L]]&lt;&gt;0,Table1[[#This Row],[New Pos L]],Table1[[#This Row],[New Pos R]])</f>
        <v>17</v>
      </c>
    </row>
    <row r="2845" spans="1:6" ht="16" x14ac:dyDescent="0.2">
      <c r="A2845" s="1" t="s">
        <v>146</v>
      </c>
      <c r="B2845" t="str">
        <f>LEFT(Table1[[#This Row],[Input]],1)</f>
        <v>R</v>
      </c>
      <c r="C2845">
        <f>_xlfn.LET(_xlpm.steps,SUBSTITUTE(Table1[[#This Row],[Input]],Table1[[#This Row],[Direction]],""),VALUE(IF(LEN(_xlpm.steps)&gt;2,RIGHT(_xlpm.steps,2),_xlpm.steps)))</f>
        <v>4</v>
      </c>
      <c r="D2845">
        <f>_xlfn.LET(_xlpm.dir,Table1[[#This Row],[Direction]],
IF(_xlpm.dir="L",
    IF(F2844-Table1[[#This Row],[Steps]]&lt;0,100+(F2844-Table1[[#This Row],[Steps]]),F2844-Table1[[#This Row],[Steps]]),
))</f>
        <v>0</v>
      </c>
      <c r="E2845">
        <f>_xlfn.LET(_xlpm.dir,Table1[[#This Row],[Direction]],
IF(_xlpm.dir="R",
    IF(F2844+Table1[[#This Row],[Steps]]&gt;99,(F2844+Table1[[#This Row],[Steps]])-100,F2844+Table1[[#This Row],[Steps]]),
))</f>
        <v>21</v>
      </c>
      <c r="F2845">
        <f>IF(Table1[[#This Row],[New Pos L]]&lt;&gt;0,Table1[[#This Row],[New Pos L]],Table1[[#This Row],[New Pos R]])</f>
        <v>21</v>
      </c>
    </row>
    <row r="2846" spans="1:6" ht="16" x14ac:dyDescent="0.2">
      <c r="A2846" s="1" t="s">
        <v>188</v>
      </c>
      <c r="B2846" t="str">
        <f>LEFT(Table1[[#This Row],[Input]],1)</f>
        <v>R</v>
      </c>
      <c r="C2846">
        <f>_xlfn.LET(_xlpm.steps,SUBSTITUTE(Table1[[#This Row],[Input]],Table1[[#This Row],[Direction]],""),VALUE(IF(LEN(_xlpm.steps)&gt;2,RIGHT(_xlpm.steps,2),_xlpm.steps)))</f>
        <v>5</v>
      </c>
      <c r="D2846">
        <f>_xlfn.LET(_xlpm.dir,Table1[[#This Row],[Direction]],
IF(_xlpm.dir="L",
    IF(F2845-Table1[[#This Row],[Steps]]&lt;0,100+(F2845-Table1[[#This Row],[Steps]]),F2845-Table1[[#This Row],[Steps]]),
))</f>
        <v>0</v>
      </c>
      <c r="E2846">
        <f>_xlfn.LET(_xlpm.dir,Table1[[#This Row],[Direction]],
IF(_xlpm.dir="R",
    IF(F2845+Table1[[#This Row],[Steps]]&gt;99,(F2845+Table1[[#This Row],[Steps]])-100,F2845+Table1[[#This Row],[Steps]]),
))</f>
        <v>26</v>
      </c>
      <c r="F2846">
        <f>IF(Table1[[#This Row],[New Pos L]]&lt;&gt;0,Table1[[#This Row],[New Pos L]],Table1[[#This Row],[New Pos R]])</f>
        <v>26</v>
      </c>
    </row>
    <row r="2847" spans="1:6" ht="16" x14ac:dyDescent="0.2">
      <c r="A2847" s="1" t="s">
        <v>64</v>
      </c>
      <c r="B2847" t="str">
        <f>LEFT(Table1[[#This Row],[Input]],1)</f>
        <v>R</v>
      </c>
      <c r="C2847">
        <f>_xlfn.LET(_xlpm.steps,SUBSTITUTE(Table1[[#This Row],[Input]],Table1[[#This Row],[Direction]],""),VALUE(IF(LEN(_xlpm.steps)&gt;2,RIGHT(_xlpm.steps,2),_xlpm.steps)))</f>
        <v>10</v>
      </c>
      <c r="D2847">
        <f>_xlfn.LET(_xlpm.dir,Table1[[#This Row],[Direction]],
IF(_xlpm.dir="L",
    IF(F2846-Table1[[#This Row],[Steps]]&lt;0,100+(F2846-Table1[[#This Row],[Steps]]),F2846-Table1[[#This Row],[Steps]]),
))</f>
        <v>0</v>
      </c>
      <c r="E2847">
        <f>_xlfn.LET(_xlpm.dir,Table1[[#This Row],[Direction]],
IF(_xlpm.dir="R",
    IF(F2846+Table1[[#This Row],[Steps]]&gt;99,(F2846+Table1[[#This Row],[Steps]])-100,F2846+Table1[[#This Row],[Steps]]),
))</f>
        <v>36</v>
      </c>
      <c r="F2847">
        <f>IF(Table1[[#This Row],[New Pos L]]&lt;&gt;0,Table1[[#This Row],[New Pos L]],Table1[[#This Row],[New Pos R]])</f>
        <v>36</v>
      </c>
    </row>
    <row r="2848" spans="1:6" ht="16" x14ac:dyDescent="0.2">
      <c r="A2848" s="1" t="s">
        <v>111</v>
      </c>
      <c r="B2848" t="str">
        <f>LEFT(Table1[[#This Row],[Input]],1)</f>
        <v>R</v>
      </c>
      <c r="C2848">
        <f>_xlfn.LET(_xlpm.steps,SUBSTITUTE(Table1[[#This Row],[Input]],Table1[[#This Row],[Direction]],""),VALUE(IF(LEN(_xlpm.steps)&gt;2,RIGHT(_xlpm.steps,2),_xlpm.steps)))</f>
        <v>64</v>
      </c>
      <c r="D2848">
        <f>_xlfn.LET(_xlpm.dir,Table1[[#This Row],[Direction]],
IF(_xlpm.dir="L",
    IF(F2847-Table1[[#This Row],[Steps]]&lt;0,100+(F2847-Table1[[#This Row],[Steps]]),F2847-Table1[[#This Row],[Steps]]),
))</f>
        <v>0</v>
      </c>
      <c r="E2848">
        <f>_xlfn.LET(_xlpm.dir,Table1[[#This Row],[Direction]],
IF(_xlpm.dir="R",
    IF(F2847+Table1[[#This Row],[Steps]]&gt;99,(F2847+Table1[[#This Row],[Steps]])-100,F2847+Table1[[#This Row],[Steps]]),
))</f>
        <v>0</v>
      </c>
      <c r="F2848">
        <f>IF(Table1[[#This Row],[New Pos L]]&lt;&gt;0,Table1[[#This Row],[New Pos L]],Table1[[#This Row],[New Pos R]])</f>
        <v>0</v>
      </c>
    </row>
    <row r="2849" spans="1:6" ht="16" x14ac:dyDescent="0.2">
      <c r="A2849" s="1" t="s">
        <v>100</v>
      </c>
      <c r="B2849" t="str">
        <f>LEFT(Table1[[#This Row],[Input]],1)</f>
        <v>R</v>
      </c>
      <c r="C2849">
        <f>_xlfn.LET(_xlpm.steps,SUBSTITUTE(Table1[[#This Row],[Input]],Table1[[#This Row],[Direction]],""),VALUE(IF(LEN(_xlpm.steps)&gt;2,RIGHT(_xlpm.steps,2),_xlpm.steps)))</f>
        <v>58</v>
      </c>
      <c r="D2849">
        <f>_xlfn.LET(_xlpm.dir,Table1[[#This Row],[Direction]],
IF(_xlpm.dir="L",
    IF(F2848-Table1[[#This Row],[Steps]]&lt;0,100+(F2848-Table1[[#This Row],[Steps]]),F2848-Table1[[#This Row],[Steps]]),
))</f>
        <v>0</v>
      </c>
      <c r="E2849">
        <f>_xlfn.LET(_xlpm.dir,Table1[[#This Row],[Direction]],
IF(_xlpm.dir="R",
    IF(F2848+Table1[[#This Row],[Steps]]&gt;99,(F2848+Table1[[#This Row],[Steps]])-100,F2848+Table1[[#This Row],[Steps]]),
))</f>
        <v>58</v>
      </c>
      <c r="F2849">
        <f>IF(Table1[[#This Row],[New Pos L]]&lt;&gt;0,Table1[[#This Row],[New Pos L]],Table1[[#This Row],[New Pos R]])</f>
        <v>58</v>
      </c>
    </row>
    <row r="2850" spans="1:6" ht="16" x14ac:dyDescent="0.2">
      <c r="A2850" s="1" t="s">
        <v>91</v>
      </c>
      <c r="B2850" t="str">
        <f>LEFT(Table1[[#This Row],[Input]],1)</f>
        <v>L</v>
      </c>
      <c r="C2850">
        <f>_xlfn.LET(_xlpm.steps,SUBSTITUTE(Table1[[#This Row],[Input]],Table1[[#This Row],[Direction]],""),VALUE(IF(LEN(_xlpm.steps)&gt;2,RIGHT(_xlpm.steps,2),_xlpm.steps)))</f>
        <v>22</v>
      </c>
      <c r="D2850">
        <f>_xlfn.LET(_xlpm.dir,Table1[[#This Row],[Direction]],
IF(_xlpm.dir="L",
    IF(F2849-Table1[[#This Row],[Steps]]&lt;0,100+(F2849-Table1[[#This Row],[Steps]]),F2849-Table1[[#This Row],[Steps]]),
))</f>
        <v>36</v>
      </c>
      <c r="E2850">
        <f>_xlfn.LET(_xlpm.dir,Table1[[#This Row],[Direction]],
IF(_xlpm.dir="R",
    IF(F2849+Table1[[#This Row],[Steps]]&gt;99,(F2849+Table1[[#This Row],[Steps]])-100,F2849+Table1[[#This Row],[Steps]]),
))</f>
        <v>0</v>
      </c>
      <c r="F2850">
        <f>IF(Table1[[#This Row],[New Pos L]]&lt;&gt;0,Table1[[#This Row],[New Pos L]],Table1[[#This Row],[New Pos R]])</f>
        <v>36</v>
      </c>
    </row>
    <row r="2851" spans="1:6" ht="16" x14ac:dyDescent="0.2">
      <c r="A2851" s="1" t="s">
        <v>62</v>
      </c>
      <c r="B2851" t="str">
        <f>LEFT(Table1[[#This Row],[Input]],1)</f>
        <v>L</v>
      </c>
      <c r="C2851">
        <f>_xlfn.LET(_xlpm.steps,SUBSTITUTE(Table1[[#This Row],[Input]],Table1[[#This Row],[Direction]],""),VALUE(IF(LEN(_xlpm.steps)&gt;2,RIGHT(_xlpm.steps,2),_xlpm.steps)))</f>
        <v>57</v>
      </c>
      <c r="D2851">
        <f>_xlfn.LET(_xlpm.dir,Table1[[#This Row],[Direction]],
IF(_xlpm.dir="L",
    IF(F2850-Table1[[#This Row],[Steps]]&lt;0,100+(F2850-Table1[[#This Row],[Steps]]),F2850-Table1[[#This Row],[Steps]]),
))</f>
        <v>79</v>
      </c>
      <c r="E2851">
        <f>_xlfn.LET(_xlpm.dir,Table1[[#This Row],[Direction]],
IF(_xlpm.dir="R",
    IF(F2850+Table1[[#This Row],[Steps]]&gt;99,(F2850+Table1[[#This Row],[Steps]])-100,F2850+Table1[[#This Row],[Steps]]),
))</f>
        <v>0</v>
      </c>
      <c r="F2851">
        <f>IF(Table1[[#This Row],[New Pos L]]&lt;&gt;0,Table1[[#This Row],[New Pos L]],Table1[[#This Row],[New Pos R]])</f>
        <v>79</v>
      </c>
    </row>
    <row r="2852" spans="1:6" ht="16" x14ac:dyDescent="0.2">
      <c r="A2852" s="1" t="s">
        <v>73</v>
      </c>
      <c r="B2852" t="str">
        <f>LEFT(Table1[[#This Row],[Input]],1)</f>
        <v>R</v>
      </c>
      <c r="C2852">
        <f>_xlfn.LET(_xlpm.steps,SUBSTITUTE(Table1[[#This Row],[Input]],Table1[[#This Row],[Direction]],""),VALUE(IF(LEN(_xlpm.steps)&gt;2,RIGHT(_xlpm.steps,2),_xlpm.steps)))</f>
        <v>21</v>
      </c>
      <c r="D2852">
        <f>_xlfn.LET(_xlpm.dir,Table1[[#This Row],[Direction]],
IF(_xlpm.dir="L",
    IF(F2851-Table1[[#This Row],[Steps]]&lt;0,100+(F2851-Table1[[#This Row],[Steps]]),F2851-Table1[[#This Row],[Steps]]),
))</f>
        <v>0</v>
      </c>
      <c r="E2852">
        <f>_xlfn.LET(_xlpm.dir,Table1[[#This Row],[Direction]],
IF(_xlpm.dir="R",
    IF(F2851+Table1[[#This Row],[Steps]]&gt;99,(F2851+Table1[[#This Row],[Steps]])-100,F2851+Table1[[#This Row],[Steps]]),
))</f>
        <v>0</v>
      </c>
      <c r="F2852">
        <f>IF(Table1[[#This Row],[New Pos L]]&lt;&gt;0,Table1[[#This Row],[New Pos L]],Table1[[#This Row],[New Pos R]])</f>
        <v>0</v>
      </c>
    </row>
    <row r="2853" spans="1:6" ht="16" x14ac:dyDescent="0.2">
      <c r="A2853" s="1" t="s">
        <v>665</v>
      </c>
      <c r="B2853" t="str">
        <f>LEFT(Table1[[#This Row],[Input]],1)</f>
        <v>R</v>
      </c>
      <c r="C2853">
        <f>_xlfn.LET(_xlpm.steps,SUBSTITUTE(Table1[[#This Row],[Input]],Table1[[#This Row],[Direction]],""),VALUE(IF(LEN(_xlpm.steps)&gt;2,RIGHT(_xlpm.steps,2),_xlpm.steps)))</f>
        <v>7</v>
      </c>
      <c r="D2853">
        <f>_xlfn.LET(_xlpm.dir,Table1[[#This Row],[Direction]],
IF(_xlpm.dir="L",
    IF(F2852-Table1[[#This Row],[Steps]]&lt;0,100+(F2852-Table1[[#This Row],[Steps]]),F2852-Table1[[#This Row],[Steps]]),
))</f>
        <v>0</v>
      </c>
      <c r="E2853">
        <f>_xlfn.LET(_xlpm.dir,Table1[[#This Row],[Direction]],
IF(_xlpm.dir="R",
    IF(F2852+Table1[[#This Row],[Steps]]&gt;99,(F2852+Table1[[#This Row],[Steps]])-100,F2852+Table1[[#This Row],[Steps]]),
))</f>
        <v>7</v>
      </c>
      <c r="F2853">
        <f>IF(Table1[[#This Row],[New Pos L]]&lt;&gt;0,Table1[[#This Row],[New Pos L]],Table1[[#This Row],[New Pos R]])</f>
        <v>7</v>
      </c>
    </row>
    <row r="2854" spans="1:6" ht="16" x14ac:dyDescent="0.2">
      <c r="A2854" s="1" t="s">
        <v>392</v>
      </c>
      <c r="B2854" t="str">
        <f>LEFT(Table1[[#This Row],[Input]],1)</f>
        <v>L</v>
      </c>
      <c r="C2854">
        <f>_xlfn.LET(_xlpm.steps,SUBSTITUTE(Table1[[#This Row],[Input]],Table1[[#This Row],[Direction]],""),VALUE(IF(LEN(_xlpm.steps)&gt;2,RIGHT(_xlpm.steps,2),_xlpm.steps)))</f>
        <v>36</v>
      </c>
      <c r="D2854">
        <f>_xlfn.LET(_xlpm.dir,Table1[[#This Row],[Direction]],
IF(_xlpm.dir="L",
    IF(F2853-Table1[[#This Row],[Steps]]&lt;0,100+(F2853-Table1[[#This Row],[Steps]]),F2853-Table1[[#This Row],[Steps]]),
))</f>
        <v>71</v>
      </c>
      <c r="E2854">
        <f>_xlfn.LET(_xlpm.dir,Table1[[#This Row],[Direction]],
IF(_xlpm.dir="R",
    IF(F2853+Table1[[#This Row],[Steps]]&gt;99,(F2853+Table1[[#This Row],[Steps]])-100,F2853+Table1[[#This Row],[Steps]]),
))</f>
        <v>0</v>
      </c>
      <c r="F2854">
        <f>IF(Table1[[#This Row],[New Pos L]]&lt;&gt;0,Table1[[#This Row],[New Pos L]],Table1[[#This Row],[New Pos R]])</f>
        <v>71</v>
      </c>
    </row>
    <row r="2855" spans="1:6" ht="16" x14ac:dyDescent="0.2">
      <c r="A2855" s="1" t="s">
        <v>666</v>
      </c>
      <c r="B2855" t="str">
        <f>LEFT(Table1[[#This Row],[Input]],1)</f>
        <v>L</v>
      </c>
      <c r="C2855">
        <f>_xlfn.LET(_xlpm.steps,SUBSTITUTE(Table1[[#This Row],[Input]],Table1[[#This Row],[Direction]],""),VALUE(IF(LEN(_xlpm.steps)&gt;2,RIGHT(_xlpm.steps,2),_xlpm.steps)))</f>
        <v>78</v>
      </c>
      <c r="D2855">
        <f>_xlfn.LET(_xlpm.dir,Table1[[#This Row],[Direction]],
IF(_xlpm.dir="L",
    IF(F2854-Table1[[#This Row],[Steps]]&lt;0,100+(F2854-Table1[[#This Row],[Steps]]),F2854-Table1[[#This Row],[Steps]]),
))</f>
        <v>93</v>
      </c>
      <c r="E2855">
        <f>_xlfn.LET(_xlpm.dir,Table1[[#This Row],[Direction]],
IF(_xlpm.dir="R",
    IF(F2854+Table1[[#This Row],[Steps]]&gt;99,(F2854+Table1[[#This Row],[Steps]])-100,F2854+Table1[[#This Row],[Steps]]),
))</f>
        <v>0</v>
      </c>
      <c r="F2855">
        <f>IF(Table1[[#This Row],[New Pos L]]&lt;&gt;0,Table1[[#This Row],[New Pos L]],Table1[[#This Row],[New Pos R]])</f>
        <v>93</v>
      </c>
    </row>
    <row r="2856" spans="1:6" ht="16" x14ac:dyDescent="0.2">
      <c r="A2856" s="1" t="s">
        <v>155</v>
      </c>
      <c r="B2856" t="str">
        <f>LEFT(Table1[[#This Row],[Input]],1)</f>
        <v>L</v>
      </c>
      <c r="C2856">
        <f>_xlfn.LET(_xlpm.steps,SUBSTITUTE(Table1[[#This Row],[Input]],Table1[[#This Row],[Direction]],""),VALUE(IF(LEN(_xlpm.steps)&gt;2,RIGHT(_xlpm.steps,2),_xlpm.steps)))</f>
        <v>18</v>
      </c>
      <c r="D2856">
        <f>_xlfn.LET(_xlpm.dir,Table1[[#This Row],[Direction]],
IF(_xlpm.dir="L",
    IF(F2855-Table1[[#This Row],[Steps]]&lt;0,100+(F2855-Table1[[#This Row],[Steps]]),F2855-Table1[[#This Row],[Steps]]),
))</f>
        <v>75</v>
      </c>
      <c r="E2856">
        <f>_xlfn.LET(_xlpm.dir,Table1[[#This Row],[Direction]],
IF(_xlpm.dir="R",
    IF(F2855+Table1[[#This Row],[Steps]]&gt;99,(F2855+Table1[[#This Row],[Steps]])-100,F2855+Table1[[#This Row],[Steps]]),
))</f>
        <v>0</v>
      </c>
      <c r="F2856">
        <f>IF(Table1[[#This Row],[New Pos L]]&lt;&gt;0,Table1[[#This Row],[New Pos L]],Table1[[#This Row],[New Pos R]])</f>
        <v>75</v>
      </c>
    </row>
    <row r="2857" spans="1:6" ht="16" x14ac:dyDescent="0.2">
      <c r="A2857" s="1" t="s">
        <v>288</v>
      </c>
      <c r="B2857" t="str">
        <f>LEFT(Table1[[#This Row],[Input]],1)</f>
        <v>R</v>
      </c>
      <c r="C2857">
        <f>_xlfn.LET(_xlpm.steps,SUBSTITUTE(Table1[[#This Row],[Input]],Table1[[#This Row],[Direction]],""),VALUE(IF(LEN(_xlpm.steps)&gt;2,RIGHT(_xlpm.steps,2),_xlpm.steps)))</f>
        <v>25</v>
      </c>
      <c r="D2857">
        <f>_xlfn.LET(_xlpm.dir,Table1[[#This Row],[Direction]],
IF(_xlpm.dir="L",
    IF(F2856-Table1[[#This Row],[Steps]]&lt;0,100+(F2856-Table1[[#This Row],[Steps]]),F2856-Table1[[#This Row],[Steps]]),
))</f>
        <v>0</v>
      </c>
      <c r="E2857">
        <f>_xlfn.LET(_xlpm.dir,Table1[[#This Row],[Direction]],
IF(_xlpm.dir="R",
    IF(F2856+Table1[[#This Row],[Steps]]&gt;99,(F2856+Table1[[#This Row],[Steps]])-100,F2856+Table1[[#This Row],[Steps]]),
))</f>
        <v>0</v>
      </c>
      <c r="F2857">
        <f>IF(Table1[[#This Row],[New Pos L]]&lt;&gt;0,Table1[[#This Row],[New Pos L]],Table1[[#This Row],[New Pos R]])</f>
        <v>0</v>
      </c>
    </row>
    <row r="2858" spans="1:6" ht="16" x14ac:dyDescent="0.2">
      <c r="A2858" s="1" t="s">
        <v>667</v>
      </c>
      <c r="B2858" t="str">
        <f>LEFT(Table1[[#This Row],[Input]],1)</f>
        <v>R</v>
      </c>
      <c r="C2858">
        <f>_xlfn.LET(_xlpm.steps,SUBSTITUTE(Table1[[#This Row],[Input]],Table1[[#This Row],[Direction]],""),VALUE(IF(LEN(_xlpm.steps)&gt;2,RIGHT(_xlpm.steps,2),_xlpm.steps)))</f>
        <v>83</v>
      </c>
      <c r="D2858">
        <f>_xlfn.LET(_xlpm.dir,Table1[[#This Row],[Direction]],
IF(_xlpm.dir="L",
    IF(F2857-Table1[[#This Row],[Steps]]&lt;0,100+(F2857-Table1[[#This Row],[Steps]]),F2857-Table1[[#This Row],[Steps]]),
))</f>
        <v>0</v>
      </c>
      <c r="E2858">
        <f>_xlfn.LET(_xlpm.dir,Table1[[#This Row],[Direction]],
IF(_xlpm.dir="R",
    IF(F2857+Table1[[#This Row],[Steps]]&gt;99,(F2857+Table1[[#This Row],[Steps]])-100,F2857+Table1[[#This Row],[Steps]]),
))</f>
        <v>83</v>
      </c>
      <c r="F2858">
        <f>IF(Table1[[#This Row],[New Pos L]]&lt;&gt;0,Table1[[#This Row],[New Pos L]],Table1[[#This Row],[New Pos R]])</f>
        <v>83</v>
      </c>
    </row>
    <row r="2859" spans="1:6" ht="16" x14ac:dyDescent="0.2">
      <c r="A2859" s="1" t="s">
        <v>145</v>
      </c>
      <c r="B2859" t="str">
        <f>LEFT(Table1[[#This Row],[Input]],1)</f>
        <v>L</v>
      </c>
      <c r="C2859">
        <f>_xlfn.LET(_xlpm.steps,SUBSTITUTE(Table1[[#This Row],[Input]],Table1[[#This Row],[Direction]],""),VALUE(IF(LEN(_xlpm.steps)&gt;2,RIGHT(_xlpm.steps,2),_xlpm.steps)))</f>
        <v>83</v>
      </c>
      <c r="D2859">
        <f>_xlfn.LET(_xlpm.dir,Table1[[#This Row],[Direction]],
IF(_xlpm.dir="L",
    IF(F2858-Table1[[#This Row],[Steps]]&lt;0,100+(F2858-Table1[[#This Row],[Steps]]),F2858-Table1[[#This Row],[Steps]]),
))</f>
        <v>0</v>
      </c>
      <c r="E2859">
        <f>_xlfn.LET(_xlpm.dir,Table1[[#This Row],[Direction]],
IF(_xlpm.dir="R",
    IF(F2858+Table1[[#This Row],[Steps]]&gt;99,(F2858+Table1[[#This Row],[Steps]])-100,F2858+Table1[[#This Row],[Steps]]),
))</f>
        <v>0</v>
      </c>
      <c r="F2859">
        <f>IF(Table1[[#This Row],[New Pos L]]&lt;&gt;0,Table1[[#This Row],[New Pos L]],Table1[[#This Row],[New Pos R]])</f>
        <v>0</v>
      </c>
    </row>
    <row r="2860" spans="1:6" ht="16" x14ac:dyDescent="0.2">
      <c r="A2860" s="1" t="s">
        <v>36</v>
      </c>
      <c r="B2860" t="str">
        <f>LEFT(Table1[[#This Row],[Input]],1)</f>
        <v>R</v>
      </c>
      <c r="C2860">
        <f>_xlfn.LET(_xlpm.steps,SUBSTITUTE(Table1[[#This Row],[Input]],Table1[[#This Row],[Direction]],""),VALUE(IF(LEN(_xlpm.steps)&gt;2,RIGHT(_xlpm.steps,2),_xlpm.steps)))</f>
        <v>50</v>
      </c>
      <c r="D2860">
        <f>_xlfn.LET(_xlpm.dir,Table1[[#This Row],[Direction]],
IF(_xlpm.dir="L",
    IF(F2859-Table1[[#This Row],[Steps]]&lt;0,100+(F2859-Table1[[#This Row],[Steps]]),F2859-Table1[[#This Row],[Steps]]),
))</f>
        <v>0</v>
      </c>
      <c r="E2860">
        <f>_xlfn.LET(_xlpm.dir,Table1[[#This Row],[Direction]],
IF(_xlpm.dir="R",
    IF(F2859+Table1[[#This Row],[Steps]]&gt;99,(F2859+Table1[[#This Row],[Steps]])-100,F2859+Table1[[#This Row],[Steps]]),
))</f>
        <v>50</v>
      </c>
      <c r="F2860">
        <f>IF(Table1[[#This Row],[New Pos L]]&lt;&gt;0,Table1[[#This Row],[New Pos L]],Table1[[#This Row],[New Pos R]])</f>
        <v>50</v>
      </c>
    </row>
    <row r="2861" spans="1:6" ht="16" x14ac:dyDescent="0.2">
      <c r="A2861" s="1" t="s">
        <v>36</v>
      </c>
      <c r="B2861" t="str">
        <f>LEFT(Table1[[#This Row],[Input]],1)</f>
        <v>R</v>
      </c>
      <c r="C2861">
        <f>_xlfn.LET(_xlpm.steps,SUBSTITUTE(Table1[[#This Row],[Input]],Table1[[#This Row],[Direction]],""),VALUE(IF(LEN(_xlpm.steps)&gt;2,RIGHT(_xlpm.steps,2),_xlpm.steps)))</f>
        <v>50</v>
      </c>
      <c r="D2861">
        <f>_xlfn.LET(_xlpm.dir,Table1[[#This Row],[Direction]],
IF(_xlpm.dir="L",
    IF(F2860-Table1[[#This Row],[Steps]]&lt;0,100+(F2860-Table1[[#This Row],[Steps]]),F2860-Table1[[#This Row],[Steps]]),
))</f>
        <v>0</v>
      </c>
      <c r="E2861">
        <f>_xlfn.LET(_xlpm.dir,Table1[[#This Row],[Direction]],
IF(_xlpm.dir="R",
    IF(F2860+Table1[[#This Row],[Steps]]&gt;99,(F2860+Table1[[#This Row],[Steps]])-100,F2860+Table1[[#This Row],[Steps]]),
))</f>
        <v>0</v>
      </c>
      <c r="F2861">
        <f>IF(Table1[[#This Row],[New Pos L]]&lt;&gt;0,Table1[[#This Row],[New Pos L]],Table1[[#This Row],[New Pos R]])</f>
        <v>0</v>
      </c>
    </row>
    <row r="2862" spans="1:6" ht="16" x14ac:dyDescent="0.2">
      <c r="A2862" s="1" t="s">
        <v>148</v>
      </c>
      <c r="B2862" t="str">
        <f>LEFT(Table1[[#This Row],[Input]],1)</f>
        <v>R</v>
      </c>
      <c r="C2862">
        <f>_xlfn.LET(_xlpm.steps,SUBSTITUTE(Table1[[#This Row],[Input]],Table1[[#This Row],[Direction]],""),VALUE(IF(LEN(_xlpm.steps)&gt;2,RIGHT(_xlpm.steps,2),_xlpm.steps)))</f>
        <v>80</v>
      </c>
      <c r="D2862">
        <f>_xlfn.LET(_xlpm.dir,Table1[[#This Row],[Direction]],
IF(_xlpm.dir="L",
    IF(F2861-Table1[[#This Row],[Steps]]&lt;0,100+(F2861-Table1[[#This Row],[Steps]]),F2861-Table1[[#This Row],[Steps]]),
))</f>
        <v>0</v>
      </c>
      <c r="E2862">
        <f>_xlfn.LET(_xlpm.dir,Table1[[#This Row],[Direction]],
IF(_xlpm.dir="R",
    IF(F2861+Table1[[#This Row],[Steps]]&gt;99,(F2861+Table1[[#This Row],[Steps]])-100,F2861+Table1[[#This Row],[Steps]]),
))</f>
        <v>80</v>
      </c>
      <c r="F2862">
        <f>IF(Table1[[#This Row],[New Pos L]]&lt;&gt;0,Table1[[#This Row],[New Pos L]],Table1[[#This Row],[New Pos R]])</f>
        <v>80</v>
      </c>
    </row>
    <row r="2863" spans="1:6" ht="16" x14ac:dyDescent="0.2">
      <c r="A2863" s="1" t="s">
        <v>179</v>
      </c>
      <c r="B2863" t="str">
        <f>LEFT(Table1[[#This Row],[Input]],1)</f>
        <v>L</v>
      </c>
      <c r="C2863">
        <f>_xlfn.LET(_xlpm.steps,SUBSTITUTE(Table1[[#This Row],[Input]],Table1[[#This Row],[Direction]],""),VALUE(IF(LEN(_xlpm.steps)&gt;2,RIGHT(_xlpm.steps,2),_xlpm.steps)))</f>
        <v>54</v>
      </c>
      <c r="D2863">
        <f>_xlfn.LET(_xlpm.dir,Table1[[#This Row],[Direction]],
IF(_xlpm.dir="L",
    IF(F2862-Table1[[#This Row],[Steps]]&lt;0,100+(F2862-Table1[[#This Row],[Steps]]),F2862-Table1[[#This Row],[Steps]]),
))</f>
        <v>26</v>
      </c>
      <c r="E2863">
        <f>_xlfn.LET(_xlpm.dir,Table1[[#This Row],[Direction]],
IF(_xlpm.dir="R",
    IF(F2862+Table1[[#This Row],[Steps]]&gt;99,(F2862+Table1[[#This Row],[Steps]])-100,F2862+Table1[[#This Row],[Steps]]),
))</f>
        <v>0</v>
      </c>
      <c r="F2863">
        <f>IF(Table1[[#This Row],[New Pos L]]&lt;&gt;0,Table1[[#This Row],[New Pos L]],Table1[[#This Row],[New Pos R]])</f>
        <v>26</v>
      </c>
    </row>
    <row r="2864" spans="1:6" ht="16" x14ac:dyDescent="0.2">
      <c r="A2864" s="1" t="s">
        <v>668</v>
      </c>
      <c r="B2864" t="str">
        <f>LEFT(Table1[[#This Row],[Input]],1)</f>
        <v>R</v>
      </c>
      <c r="C2864">
        <f>_xlfn.LET(_xlpm.steps,SUBSTITUTE(Table1[[#This Row],[Input]],Table1[[#This Row],[Direction]],""),VALUE(IF(LEN(_xlpm.steps)&gt;2,RIGHT(_xlpm.steps,2),_xlpm.steps)))</f>
        <v>74</v>
      </c>
      <c r="D2864">
        <f>_xlfn.LET(_xlpm.dir,Table1[[#This Row],[Direction]],
IF(_xlpm.dir="L",
    IF(F2863-Table1[[#This Row],[Steps]]&lt;0,100+(F2863-Table1[[#This Row],[Steps]]),F2863-Table1[[#This Row],[Steps]]),
))</f>
        <v>0</v>
      </c>
      <c r="E2864">
        <f>_xlfn.LET(_xlpm.dir,Table1[[#This Row],[Direction]],
IF(_xlpm.dir="R",
    IF(F2863+Table1[[#This Row],[Steps]]&gt;99,(F2863+Table1[[#This Row],[Steps]])-100,F2863+Table1[[#This Row],[Steps]]),
))</f>
        <v>0</v>
      </c>
      <c r="F2864">
        <f>IF(Table1[[#This Row],[New Pos L]]&lt;&gt;0,Table1[[#This Row],[New Pos L]],Table1[[#This Row],[New Pos R]])</f>
        <v>0</v>
      </c>
    </row>
    <row r="2865" spans="1:6" ht="16" x14ac:dyDescent="0.2">
      <c r="A2865" s="1" t="s">
        <v>151</v>
      </c>
      <c r="B2865" t="str">
        <f>LEFT(Table1[[#This Row],[Input]],1)</f>
        <v>L</v>
      </c>
      <c r="C2865">
        <f>_xlfn.LET(_xlpm.steps,SUBSTITUTE(Table1[[#This Row],[Input]],Table1[[#This Row],[Direction]],""),VALUE(IF(LEN(_xlpm.steps)&gt;2,RIGHT(_xlpm.steps,2),_xlpm.steps)))</f>
        <v>74</v>
      </c>
      <c r="D2865">
        <f>_xlfn.LET(_xlpm.dir,Table1[[#This Row],[Direction]],
IF(_xlpm.dir="L",
    IF(F2864-Table1[[#This Row],[Steps]]&lt;0,100+(F2864-Table1[[#This Row],[Steps]]),F2864-Table1[[#This Row],[Steps]]),
))</f>
        <v>26</v>
      </c>
      <c r="E2865">
        <f>_xlfn.LET(_xlpm.dir,Table1[[#This Row],[Direction]],
IF(_xlpm.dir="R",
    IF(F2864+Table1[[#This Row],[Steps]]&gt;99,(F2864+Table1[[#This Row],[Steps]])-100,F2864+Table1[[#This Row],[Steps]]),
))</f>
        <v>0</v>
      </c>
      <c r="F2865">
        <f>IF(Table1[[#This Row],[New Pos L]]&lt;&gt;0,Table1[[#This Row],[New Pos L]],Table1[[#This Row],[New Pos R]])</f>
        <v>26</v>
      </c>
    </row>
    <row r="2866" spans="1:6" ht="16" x14ac:dyDescent="0.2">
      <c r="A2866" s="1" t="s">
        <v>77</v>
      </c>
      <c r="B2866" t="str">
        <f>LEFT(Table1[[#This Row],[Input]],1)</f>
        <v>R</v>
      </c>
      <c r="C2866">
        <f>_xlfn.LET(_xlpm.steps,SUBSTITUTE(Table1[[#This Row],[Input]],Table1[[#This Row],[Direction]],""),VALUE(IF(LEN(_xlpm.steps)&gt;2,RIGHT(_xlpm.steps,2),_xlpm.steps)))</f>
        <v>74</v>
      </c>
      <c r="D2866">
        <f>_xlfn.LET(_xlpm.dir,Table1[[#This Row],[Direction]],
IF(_xlpm.dir="L",
    IF(F2865-Table1[[#This Row],[Steps]]&lt;0,100+(F2865-Table1[[#This Row],[Steps]]),F2865-Table1[[#This Row],[Steps]]),
))</f>
        <v>0</v>
      </c>
      <c r="E2866">
        <f>_xlfn.LET(_xlpm.dir,Table1[[#This Row],[Direction]],
IF(_xlpm.dir="R",
    IF(F2865+Table1[[#This Row],[Steps]]&gt;99,(F2865+Table1[[#This Row],[Steps]])-100,F2865+Table1[[#This Row],[Steps]]),
))</f>
        <v>0</v>
      </c>
      <c r="F2866">
        <f>IF(Table1[[#This Row],[New Pos L]]&lt;&gt;0,Table1[[#This Row],[New Pos L]],Table1[[#This Row],[New Pos R]])</f>
        <v>0</v>
      </c>
    </row>
    <row r="2867" spans="1:6" ht="16" x14ac:dyDescent="0.2">
      <c r="A2867" s="1" t="s">
        <v>275</v>
      </c>
      <c r="B2867" t="str">
        <f>LEFT(Table1[[#This Row],[Input]],1)</f>
        <v>R</v>
      </c>
      <c r="C2867">
        <f>_xlfn.LET(_xlpm.steps,SUBSTITUTE(Table1[[#This Row],[Input]],Table1[[#This Row],[Direction]],""),VALUE(IF(LEN(_xlpm.steps)&gt;2,RIGHT(_xlpm.steps,2),_xlpm.steps)))</f>
        <v>97</v>
      </c>
      <c r="D2867">
        <f>_xlfn.LET(_xlpm.dir,Table1[[#This Row],[Direction]],
IF(_xlpm.dir="L",
    IF(F2866-Table1[[#This Row],[Steps]]&lt;0,100+(F2866-Table1[[#This Row],[Steps]]),F2866-Table1[[#This Row],[Steps]]),
))</f>
        <v>0</v>
      </c>
      <c r="E2867">
        <f>_xlfn.LET(_xlpm.dir,Table1[[#This Row],[Direction]],
IF(_xlpm.dir="R",
    IF(F2866+Table1[[#This Row],[Steps]]&gt;99,(F2866+Table1[[#This Row],[Steps]])-100,F2866+Table1[[#This Row],[Steps]]),
))</f>
        <v>97</v>
      </c>
      <c r="F2867">
        <f>IF(Table1[[#This Row],[New Pos L]]&lt;&gt;0,Table1[[#This Row],[New Pos L]],Table1[[#This Row],[New Pos R]])</f>
        <v>97</v>
      </c>
    </row>
    <row r="2868" spans="1:6" ht="16" x14ac:dyDescent="0.2">
      <c r="A2868" s="1" t="s">
        <v>234</v>
      </c>
      <c r="B2868" t="str">
        <f>LEFT(Table1[[#This Row],[Input]],1)</f>
        <v>R</v>
      </c>
      <c r="C2868">
        <f>_xlfn.LET(_xlpm.steps,SUBSTITUTE(Table1[[#This Row],[Input]],Table1[[#This Row],[Direction]],""),VALUE(IF(LEN(_xlpm.steps)&gt;2,RIGHT(_xlpm.steps,2),_xlpm.steps)))</f>
        <v>82</v>
      </c>
      <c r="D2868">
        <f>_xlfn.LET(_xlpm.dir,Table1[[#This Row],[Direction]],
IF(_xlpm.dir="L",
    IF(F2867-Table1[[#This Row],[Steps]]&lt;0,100+(F2867-Table1[[#This Row],[Steps]]),F2867-Table1[[#This Row],[Steps]]),
))</f>
        <v>0</v>
      </c>
      <c r="E2868">
        <f>_xlfn.LET(_xlpm.dir,Table1[[#This Row],[Direction]],
IF(_xlpm.dir="R",
    IF(F2867+Table1[[#This Row],[Steps]]&gt;99,(F2867+Table1[[#This Row],[Steps]])-100,F2867+Table1[[#This Row],[Steps]]),
))</f>
        <v>79</v>
      </c>
      <c r="F2868">
        <f>IF(Table1[[#This Row],[New Pos L]]&lt;&gt;0,Table1[[#This Row],[New Pos L]],Table1[[#This Row],[New Pos R]])</f>
        <v>79</v>
      </c>
    </row>
    <row r="2869" spans="1:6" ht="16" x14ac:dyDescent="0.2">
      <c r="A2869" s="1" t="s">
        <v>114</v>
      </c>
      <c r="B2869" t="str">
        <f>LEFT(Table1[[#This Row],[Input]],1)</f>
        <v>R</v>
      </c>
      <c r="C2869">
        <f>_xlfn.LET(_xlpm.steps,SUBSTITUTE(Table1[[#This Row],[Input]],Table1[[#This Row],[Direction]],""),VALUE(IF(LEN(_xlpm.steps)&gt;2,RIGHT(_xlpm.steps,2),_xlpm.steps)))</f>
        <v>70</v>
      </c>
      <c r="D2869">
        <f>_xlfn.LET(_xlpm.dir,Table1[[#This Row],[Direction]],
IF(_xlpm.dir="L",
    IF(F2868-Table1[[#This Row],[Steps]]&lt;0,100+(F2868-Table1[[#This Row],[Steps]]),F2868-Table1[[#This Row],[Steps]]),
))</f>
        <v>0</v>
      </c>
      <c r="E2869">
        <f>_xlfn.LET(_xlpm.dir,Table1[[#This Row],[Direction]],
IF(_xlpm.dir="R",
    IF(F2868+Table1[[#This Row],[Steps]]&gt;99,(F2868+Table1[[#This Row],[Steps]])-100,F2868+Table1[[#This Row],[Steps]]),
))</f>
        <v>49</v>
      </c>
      <c r="F2869">
        <f>IF(Table1[[#This Row],[New Pos L]]&lt;&gt;0,Table1[[#This Row],[New Pos L]],Table1[[#This Row],[New Pos R]])</f>
        <v>49</v>
      </c>
    </row>
    <row r="2870" spans="1:6" ht="16" x14ac:dyDescent="0.2">
      <c r="A2870" s="1" t="s">
        <v>88</v>
      </c>
      <c r="B2870" t="str">
        <f>LEFT(Table1[[#This Row],[Input]],1)</f>
        <v>R</v>
      </c>
      <c r="C2870">
        <f>_xlfn.LET(_xlpm.steps,SUBSTITUTE(Table1[[#This Row],[Input]],Table1[[#This Row],[Direction]],""),VALUE(IF(LEN(_xlpm.steps)&gt;2,RIGHT(_xlpm.steps,2),_xlpm.steps)))</f>
        <v>53</v>
      </c>
      <c r="D2870">
        <f>_xlfn.LET(_xlpm.dir,Table1[[#This Row],[Direction]],
IF(_xlpm.dir="L",
    IF(F2869-Table1[[#This Row],[Steps]]&lt;0,100+(F2869-Table1[[#This Row],[Steps]]),F2869-Table1[[#This Row],[Steps]]),
))</f>
        <v>0</v>
      </c>
      <c r="E2870">
        <f>_xlfn.LET(_xlpm.dir,Table1[[#This Row],[Direction]],
IF(_xlpm.dir="R",
    IF(F2869+Table1[[#This Row],[Steps]]&gt;99,(F2869+Table1[[#This Row],[Steps]])-100,F2869+Table1[[#This Row],[Steps]]),
))</f>
        <v>2</v>
      </c>
      <c r="F2870">
        <f>IF(Table1[[#This Row],[New Pos L]]&lt;&gt;0,Table1[[#This Row],[New Pos L]],Table1[[#This Row],[New Pos R]])</f>
        <v>2</v>
      </c>
    </row>
    <row r="2871" spans="1:6" ht="16" x14ac:dyDescent="0.2">
      <c r="A2871" s="1" t="s">
        <v>105</v>
      </c>
      <c r="B2871" t="str">
        <f>LEFT(Table1[[#This Row],[Input]],1)</f>
        <v>R</v>
      </c>
      <c r="C2871">
        <f>_xlfn.LET(_xlpm.steps,SUBSTITUTE(Table1[[#This Row],[Input]],Table1[[#This Row],[Direction]],""),VALUE(IF(LEN(_xlpm.steps)&gt;2,RIGHT(_xlpm.steps,2),_xlpm.steps)))</f>
        <v>98</v>
      </c>
      <c r="D2871">
        <f>_xlfn.LET(_xlpm.dir,Table1[[#This Row],[Direction]],
IF(_xlpm.dir="L",
    IF(F2870-Table1[[#This Row],[Steps]]&lt;0,100+(F2870-Table1[[#This Row],[Steps]]),F2870-Table1[[#This Row],[Steps]]),
))</f>
        <v>0</v>
      </c>
      <c r="E2871">
        <f>_xlfn.LET(_xlpm.dir,Table1[[#This Row],[Direction]],
IF(_xlpm.dir="R",
    IF(F2870+Table1[[#This Row],[Steps]]&gt;99,(F2870+Table1[[#This Row],[Steps]])-100,F2870+Table1[[#This Row],[Steps]]),
))</f>
        <v>0</v>
      </c>
      <c r="F2871">
        <f>IF(Table1[[#This Row],[New Pos L]]&lt;&gt;0,Table1[[#This Row],[New Pos L]],Table1[[#This Row],[New Pos R]])</f>
        <v>0</v>
      </c>
    </row>
    <row r="2872" spans="1:6" ht="16" x14ac:dyDescent="0.2">
      <c r="A2872" s="1" t="s">
        <v>272</v>
      </c>
      <c r="B2872" t="str">
        <f>LEFT(Table1[[#This Row],[Input]],1)</f>
        <v>R</v>
      </c>
      <c r="C2872">
        <f>_xlfn.LET(_xlpm.steps,SUBSTITUTE(Table1[[#This Row],[Input]],Table1[[#This Row],[Direction]],""),VALUE(IF(LEN(_xlpm.steps)&gt;2,RIGHT(_xlpm.steps,2),_xlpm.steps)))</f>
        <v>56</v>
      </c>
      <c r="D2872">
        <f>_xlfn.LET(_xlpm.dir,Table1[[#This Row],[Direction]],
IF(_xlpm.dir="L",
    IF(F2871-Table1[[#This Row],[Steps]]&lt;0,100+(F2871-Table1[[#This Row],[Steps]]),F2871-Table1[[#This Row],[Steps]]),
))</f>
        <v>0</v>
      </c>
      <c r="E2872">
        <f>_xlfn.LET(_xlpm.dir,Table1[[#This Row],[Direction]],
IF(_xlpm.dir="R",
    IF(F2871+Table1[[#This Row],[Steps]]&gt;99,(F2871+Table1[[#This Row],[Steps]])-100,F2871+Table1[[#This Row],[Steps]]),
))</f>
        <v>56</v>
      </c>
      <c r="F2872">
        <f>IF(Table1[[#This Row],[New Pos L]]&lt;&gt;0,Table1[[#This Row],[New Pos L]],Table1[[#This Row],[New Pos R]])</f>
        <v>56</v>
      </c>
    </row>
    <row r="2873" spans="1:6" ht="16" x14ac:dyDescent="0.2">
      <c r="A2873" s="1" t="s">
        <v>53</v>
      </c>
      <c r="B2873" t="str">
        <f>LEFT(Table1[[#This Row],[Input]],1)</f>
        <v>L</v>
      </c>
      <c r="C2873">
        <f>_xlfn.LET(_xlpm.steps,SUBSTITUTE(Table1[[#This Row],[Input]],Table1[[#This Row],[Direction]],""),VALUE(IF(LEN(_xlpm.steps)&gt;2,RIGHT(_xlpm.steps,2),_xlpm.steps)))</f>
        <v>56</v>
      </c>
      <c r="D2873">
        <f>_xlfn.LET(_xlpm.dir,Table1[[#This Row],[Direction]],
IF(_xlpm.dir="L",
    IF(F2872-Table1[[#This Row],[Steps]]&lt;0,100+(F2872-Table1[[#This Row],[Steps]]),F2872-Table1[[#This Row],[Steps]]),
))</f>
        <v>0</v>
      </c>
      <c r="E2873">
        <f>_xlfn.LET(_xlpm.dir,Table1[[#This Row],[Direction]],
IF(_xlpm.dir="R",
    IF(F2872+Table1[[#This Row],[Steps]]&gt;99,(F2872+Table1[[#This Row],[Steps]])-100,F2872+Table1[[#This Row],[Steps]]),
))</f>
        <v>0</v>
      </c>
      <c r="F2873">
        <f>IF(Table1[[#This Row],[New Pos L]]&lt;&gt;0,Table1[[#This Row],[New Pos L]],Table1[[#This Row],[New Pos R]])</f>
        <v>0</v>
      </c>
    </row>
    <row r="2874" spans="1:6" ht="16" x14ac:dyDescent="0.2">
      <c r="A2874" s="1" t="s">
        <v>135</v>
      </c>
      <c r="B2874" t="str">
        <f>LEFT(Table1[[#This Row],[Input]],1)</f>
        <v>R</v>
      </c>
      <c r="C2874">
        <f>_xlfn.LET(_xlpm.steps,SUBSTITUTE(Table1[[#This Row],[Input]],Table1[[#This Row],[Direction]],""),VALUE(IF(LEN(_xlpm.steps)&gt;2,RIGHT(_xlpm.steps,2),_xlpm.steps)))</f>
        <v>69</v>
      </c>
      <c r="D2874">
        <f>_xlfn.LET(_xlpm.dir,Table1[[#This Row],[Direction]],
IF(_xlpm.dir="L",
    IF(F2873-Table1[[#This Row],[Steps]]&lt;0,100+(F2873-Table1[[#This Row],[Steps]]),F2873-Table1[[#This Row],[Steps]]),
))</f>
        <v>0</v>
      </c>
      <c r="E2874">
        <f>_xlfn.LET(_xlpm.dir,Table1[[#This Row],[Direction]],
IF(_xlpm.dir="R",
    IF(F2873+Table1[[#This Row],[Steps]]&gt;99,(F2873+Table1[[#This Row],[Steps]])-100,F2873+Table1[[#This Row],[Steps]]),
))</f>
        <v>69</v>
      </c>
      <c r="F2874">
        <f>IF(Table1[[#This Row],[New Pos L]]&lt;&gt;0,Table1[[#This Row],[New Pos L]],Table1[[#This Row],[New Pos R]])</f>
        <v>69</v>
      </c>
    </row>
    <row r="2875" spans="1:6" ht="16" x14ac:dyDescent="0.2">
      <c r="A2875" s="1" t="s">
        <v>320</v>
      </c>
      <c r="B2875" t="str">
        <f>LEFT(Table1[[#This Row],[Input]],1)</f>
        <v>L</v>
      </c>
      <c r="C2875">
        <f>_xlfn.LET(_xlpm.steps,SUBSTITUTE(Table1[[#This Row],[Input]],Table1[[#This Row],[Direction]],""),VALUE(IF(LEN(_xlpm.steps)&gt;2,RIGHT(_xlpm.steps,2),_xlpm.steps)))</f>
        <v>69</v>
      </c>
      <c r="D2875">
        <f>_xlfn.LET(_xlpm.dir,Table1[[#This Row],[Direction]],
IF(_xlpm.dir="L",
    IF(F2874-Table1[[#This Row],[Steps]]&lt;0,100+(F2874-Table1[[#This Row],[Steps]]),F2874-Table1[[#This Row],[Steps]]),
))</f>
        <v>0</v>
      </c>
      <c r="E2875">
        <f>_xlfn.LET(_xlpm.dir,Table1[[#This Row],[Direction]],
IF(_xlpm.dir="R",
    IF(F2874+Table1[[#This Row],[Steps]]&gt;99,(F2874+Table1[[#This Row],[Steps]])-100,F2874+Table1[[#This Row],[Steps]]),
))</f>
        <v>0</v>
      </c>
      <c r="F2875">
        <f>IF(Table1[[#This Row],[New Pos L]]&lt;&gt;0,Table1[[#This Row],[New Pos L]],Table1[[#This Row],[New Pos R]])</f>
        <v>0</v>
      </c>
    </row>
    <row r="2876" spans="1:6" ht="16" x14ac:dyDescent="0.2">
      <c r="A2876" s="1" t="s">
        <v>36</v>
      </c>
      <c r="B2876" t="str">
        <f>LEFT(Table1[[#This Row],[Input]],1)</f>
        <v>R</v>
      </c>
      <c r="C2876">
        <f>_xlfn.LET(_xlpm.steps,SUBSTITUTE(Table1[[#This Row],[Input]],Table1[[#This Row],[Direction]],""),VALUE(IF(LEN(_xlpm.steps)&gt;2,RIGHT(_xlpm.steps,2),_xlpm.steps)))</f>
        <v>50</v>
      </c>
      <c r="D2876">
        <f>_xlfn.LET(_xlpm.dir,Table1[[#This Row],[Direction]],
IF(_xlpm.dir="L",
    IF(F2875-Table1[[#This Row],[Steps]]&lt;0,100+(F2875-Table1[[#This Row],[Steps]]),F2875-Table1[[#This Row],[Steps]]),
))</f>
        <v>0</v>
      </c>
      <c r="E2876">
        <f>_xlfn.LET(_xlpm.dir,Table1[[#This Row],[Direction]],
IF(_xlpm.dir="R",
    IF(F2875+Table1[[#This Row],[Steps]]&gt;99,(F2875+Table1[[#This Row],[Steps]])-100,F2875+Table1[[#This Row],[Steps]]),
))</f>
        <v>50</v>
      </c>
      <c r="F2876">
        <f>IF(Table1[[#This Row],[New Pos L]]&lt;&gt;0,Table1[[#This Row],[New Pos L]],Table1[[#This Row],[New Pos R]])</f>
        <v>50</v>
      </c>
    </row>
    <row r="2877" spans="1:6" ht="16" x14ac:dyDescent="0.2">
      <c r="A2877" s="1" t="s">
        <v>161</v>
      </c>
      <c r="B2877" t="str">
        <f>LEFT(Table1[[#This Row],[Input]],1)</f>
        <v>R</v>
      </c>
      <c r="C2877">
        <f>_xlfn.LET(_xlpm.steps,SUBSTITUTE(Table1[[#This Row],[Input]],Table1[[#This Row],[Direction]],""),VALUE(IF(LEN(_xlpm.steps)&gt;2,RIGHT(_xlpm.steps,2),_xlpm.steps)))</f>
        <v>76</v>
      </c>
      <c r="D2877">
        <f>_xlfn.LET(_xlpm.dir,Table1[[#This Row],[Direction]],
IF(_xlpm.dir="L",
    IF(F2876-Table1[[#This Row],[Steps]]&lt;0,100+(F2876-Table1[[#This Row],[Steps]]),F2876-Table1[[#This Row],[Steps]]),
))</f>
        <v>0</v>
      </c>
      <c r="E2877">
        <f>_xlfn.LET(_xlpm.dir,Table1[[#This Row],[Direction]],
IF(_xlpm.dir="R",
    IF(F2876+Table1[[#This Row],[Steps]]&gt;99,(F2876+Table1[[#This Row],[Steps]])-100,F2876+Table1[[#This Row],[Steps]]),
))</f>
        <v>26</v>
      </c>
      <c r="F2877">
        <f>IF(Table1[[#This Row],[New Pos L]]&lt;&gt;0,Table1[[#This Row],[New Pos L]],Table1[[#This Row],[New Pos R]])</f>
        <v>26</v>
      </c>
    </row>
    <row r="2878" spans="1:6" ht="16" x14ac:dyDescent="0.2">
      <c r="A2878" s="1" t="s">
        <v>134</v>
      </c>
      <c r="B2878" t="str">
        <f>LEFT(Table1[[#This Row],[Input]],1)</f>
        <v>L</v>
      </c>
      <c r="C2878">
        <f>_xlfn.LET(_xlpm.steps,SUBSTITUTE(Table1[[#This Row],[Input]],Table1[[#This Row],[Direction]],""),VALUE(IF(LEN(_xlpm.steps)&gt;2,RIGHT(_xlpm.steps,2),_xlpm.steps)))</f>
        <v>95</v>
      </c>
      <c r="D2878">
        <f>_xlfn.LET(_xlpm.dir,Table1[[#This Row],[Direction]],
IF(_xlpm.dir="L",
    IF(F2877-Table1[[#This Row],[Steps]]&lt;0,100+(F2877-Table1[[#This Row],[Steps]]),F2877-Table1[[#This Row],[Steps]]),
))</f>
        <v>31</v>
      </c>
      <c r="E2878">
        <f>_xlfn.LET(_xlpm.dir,Table1[[#This Row],[Direction]],
IF(_xlpm.dir="R",
    IF(F2877+Table1[[#This Row],[Steps]]&gt;99,(F2877+Table1[[#This Row],[Steps]])-100,F2877+Table1[[#This Row],[Steps]]),
))</f>
        <v>0</v>
      </c>
      <c r="F2878">
        <f>IF(Table1[[#This Row],[New Pos L]]&lt;&gt;0,Table1[[#This Row],[New Pos L]],Table1[[#This Row],[New Pos R]])</f>
        <v>31</v>
      </c>
    </row>
    <row r="2879" spans="1:6" ht="16" x14ac:dyDescent="0.2">
      <c r="A2879" s="1" t="s">
        <v>226</v>
      </c>
      <c r="B2879" t="str">
        <f>LEFT(Table1[[#This Row],[Input]],1)</f>
        <v>L</v>
      </c>
      <c r="C2879">
        <f>_xlfn.LET(_xlpm.steps,SUBSTITUTE(Table1[[#This Row],[Input]],Table1[[#This Row],[Direction]],""),VALUE(IF(LEN(_xlpm.steps)&gt;2,RIGHT(_xlpm.steps,2),_xlpm.steps)))</f>
        <v>31</v>
      </c>
      <c r="D2879">
        <f>_xlfn.LET(_xlpm.dir,Table1[[#This Row],[Direction]],
IF(_xlpm.dir="L",
    IF(F2878-Table1[[#This Row],[Steps]]&lt;0,100+(F2878-Table1[[#This Row],[Steps]]),F2878-Table1[[#This Row],[Steps]]),
))</f>
        <v>0</v>
      </c>
      <c r="E2879">
        <f>_xlfn.LET(_xlpm.dir,Table1[[#This Row],[Direction]],
IF(_xlpm.dir="R",
    IF(F2878+Table1[[#This Row],[Steps]]&gt;99,(F2878+Table1[[#This Row],[Steps]])-100,F2878+Table1[[#This Row],[Steps]]),
))</f>
        <v>0</v>
      </c>
      <c r="F2879">
        <f>IF(Table1[[#This Row],[New Pos L]]&lt;&gt;0,Table1[[#This Row],[New Pos L]],Table1[[#This Row],[New Pos R]])</f>
        <v>0</v>
      </c>
    </row>
    <row r="2880" spans="1:6" ht="16" x14ac:dyDescent="0.2">
      <c r="A2880" s="1" t="s">
        <v>217</v>
      </c>
      <c r="B2880" t="str">
        <f>LEFT(Table1[[#This Row],[Input]],1)</f>
        <v>R</v>
      </c>
      <c r="C2880">
        <f>_xlfn.LET(_xlpm.steps,SUBSTITUTE(Table1[[#This Row],[Input]],Table1[[#This Row],[Direction]],""),VALUE(IF(LEN(_xlpm.steps)&gt;2,RIGHT(_xlpm.steps,2),_xlpm.steps)))</f>
        <v>91</v>
      </c>
      <c r="D2880">
        <f>_xlfn.LET(_xlpm.dir,Table1[[#This Row],[Direction]],
IF(_xlpm.dir="L",
    IF(F2879-Table1[[#This Row],[Steps]]&lt;0,100+(F2879-Table1[[#This Row],[Steps]]),F2879-Table1[[#This Row],[Steps]]),
))</f>
        <v>0</v>
      </c>
      <c r="E2880">
        <f>_xlfn.LET(_xlpm.dir,Table1[[#This Row],[Direction]],
IF(_xlpm.dir="R",
    IF(F2879+Table1[[#This Row],[Steps]]&gt;99,(F2879+Table1[[#This Row],[Steps]])-100,F2879+Table1[[#This Row],[Steps]]),
))</f>
        <v>91</v>
      </c>
      <c r="F2880">
        <f>IF(Table1[[#This Row],[New Pos L]]&lt;&gt;0,Table1[[#This Row],[New Pos L]],Table1[[#This Row],[New Pos R]])</f>
        <v>91</v>
      </c>
    </row>
    <row r="2881" spans="1:6" ht="16" x14ac:dyDescent="0.2">
      <c r="A2881" s="1" t="s">
        <v>344</v>
      </c>
      <c r="B2881" t="str">
        <f>LEFT(Table1[[#This Row],[Input]],1)</f>
        <v>R</v>
      </c>
      <c r="C2881">
        <f>_xlfn.LET(_xlpm.steps,SUBSTITUTE(Table1[[#This Row],[Input]],Table1[[#This Row],[Direction]],""),VALUE(IF(LEN(_xlpm.steps)&gt;2,RIGHT(_xlpm.steps,2),_xlpm.steps)))</f>
        <v>9</v>
      </c>
      <c r="D2881">
        <f>_xlfn.LET(_xlpm.dir,Table1[[#This Row],[Direction]],
IF(_xlpm.dir="L",
    IF(F2880-Table1[[#This Row],[Steps]]&lt;0,100+(F2880-Table1[[#This Row],[Steps]]),F2880-Table1[[#This Row],[Steps]]),
))</f>
        <v>0</v>
      </c>
      <c r="E2881">
        <f>_xlfn.LET(_xlpm.dir,Table1[[#This Row],[Direction]],
IF(_xlpm.dir="R",
    IF(F2880+Table1[[#This Row],[Steps]]&gt;99,(F2880+Table1[[#This Row],[Steps]])-100,F2880+Table1[[#This Row],[Steps]]),
))</f>
        <v>0</v>
      </c>
      <c r="F2881">
        <f>IF(Table1[[#This Row],[New Pos L]]&lt;&gt;0,Table1[[#This Row],[New Pos L]],Table1[[#This Row],[New Pos R]])</f>
        <v>0</v>
      </c>
    </row>
    <row r="2882" spans="1:6" ht="16" x14ac:dyDescent="0.2">
      <c r="A2882" s="1" t="s">
        <v>49</v>
      </c>
      <c r="B2882" t="str">
        <f>LEFT(Table1[[#This Row],[Input]],1)</f>
        <v>L</v>
      </c>
      <c r="C2882">
        <f>_xlfn.LET(_xlpm.steps,SUBSTITUTE(Table1[[#This Row],[Input]],Table1[[#This Row],[Direction]],""),VALUE(IF(LEN(_xlpm.steps)&gt;2,RIGHT(_xlpm.steps,2),_xlpm.steps)))</f>
        <v>93</v>
      </c>
      <c r="D2882">
        <f>_xlfn.LET(_xlpm.dir,Table1[[#This Row],[Direction]],
IF(_xlpm.dir="L",
    IF(F2881-Table1[[#This Row],[Steps]]&lt;0,100+(F2881-Table1[[#This Row],[Steps]]),F2881-Table1[[#This Row],[Steps]]),
))</f>
        <v>7</v>
      </c>
      <c r="E2882">
        <f>_xlfn.LET(_xlpm.dir,Table1[[#This Row],[Direction]],
IF(_xlpm.dir="R",
    IF(F2881+Table1[[#This Row],[Steps]]&gt;99,(F2881+Table1[[#This Row],[Steps]])-100,F2881+Table1[[#This Row],[Steps]]),
))</f>
        <v>0</v>
      </c>
      <c r="F2882">
        <f>IF(Table1[[#This Row],[New Pos L]]&lt;&gt;0,Table1[[#This Row],[New Pos L]],Table1[[#This Row],[New Pos R]])</f>
        <v>7</v>
      </c>
    </row>
    <row r="2883" spans="1:6" ht="16" x14ac:dyDescent="0.2">
      <c r="A2883" s="1" t="s">
        <v>123</v>
      </c>
      <c r="B2883" t="str">
        <f>LEFT(Table1[[#This Row],[Input]],1)</f>
        <v>L</v>
      </c>
      <c r="C2883">
        <f>_xlfn.LET(_xlpm.steps,SUBSTITUTE(Table1[[#This Row],[Input]],Table1[[#This Row],[Direction]],""),VALUE(IF(LEN(_xlpm.steps)&gt;2,RIGHT(_xlpm.steps,2),_xlpm.steps)))</f>
        <v>63</v>
      </c>
      <c r="D2883">
        <f>_xlfn.LET(_xlpm.dir,Table1[[#This Row],[Direction]],
IF(_xlpm.dir="L",
    IF(F2882-Table1[[#This Row],[Steps]]&lt;0,100+(F2882-Table1[[#This Row],[Steps]]),F2882-Table1[[#This Row],[Steps]]),
))</f>
        <v>44</v>
      </c>
      <c r="E2883">
        <f>_xlfn.LET(_xlpm.dir,Table1[[#This Row],[Direction]],
IF(_xlpm.dir="R",
    IF(F2882+Table1[[#This Row],[Steps]]&gt;99,(F2882+Table1[[#This Row],[Steps]])-100,F2882+Table1[[#This Row],[Steps]]),
))</f>
        <v>0</v>
      </c>
      <c r="F2883">
        <f>IF(Table1[[#This Row],[New Pos L]]&lt;&gt;0,Table1[[#This Row],[New Pos L]],Table1[[#This Row],[New Pos R]])</f>
        <v>44</v>
      </c>
    </row>
    <row r="2884" spans="1:6" ht="16" x14ac:dyDescent="0.2">
      <c r="A2884" s="1" t="s">
        <v>41</v>
      </c>
      <c r="B2884" t="str">
        <f>LEFT(Table1[[#This Row],[Input]],1)</f>
        <v>L</v>
      </c>
      <c r="C2884">
        <f>_xlfn.LET(_xlpm.steps,SUBSTITUTE(Table1[[#This Row],[Input]],Table1[[#This Row],[Direction]],""),VALUE(IF(LEN(_xlpm.steps)&gt;2,RIGHT(_xlpm.steps,2),_xlpm.steps)))</f>
        <v>7</v>
      </c>
      <c r="D2884">
        <f>_xlfn.LET(_xlpm.dir,Table1[[#This Row],[Direction]],
IF(_xlpm.dir="L",
    IF(F2883-Table1[[#This Row],[Steps]]&lt;0,100+(F2883-Table1[[#This Row],[Steps]]),F2883-Table1[[#This Row],[Steps]]),
))</f>
        <v>37</v>
      </c>
      <c r="E2884">
        <f>_xlfn.LET(_xlpm.dir,Table1[[#This Row],[Direction]],
IF(_xlpm.dir="R",
    IF(F2883+Table1[[#This Row],[Steps]]&gt;99,(F2883+Table1[[#This Row],[Steps]])-100,F2883+Table1[[#This Row],[Steps]]),
))</f>
        <v>0</v>
      </c>
      <c r="F2884">
        <f>IF(Table1[[#This Row],[New Pos L]]&lt;&gt;0,Table1[[#This Row],[New Pos L]],Table1[[#This Row],[New Pos R]])</f>
        <v>37</v>
      </c>
    </row>
    <row r="2885" spans="1:6" ht="16" x14ac:dyDescent="0.2">
      <c r="A2885" s="1" t="s">
        <v>669</v>
      </c>
      <c r="B2885" t="str">
        <f>LEFT(Table1[[#This Row],[Input]],1)</f>
        <v>R</v>
      </c>
      <c r="C2885">
        <f>_xlfn.LET(_xlpm.steps,SUBSTITUTE(Table1[[#This Row],[Input]],Table1[[#This Row],[Direction]],""),VALUE(IF(LEN(_xlpm.steps)&gt;2,RIGHT(_xlpm.steps,2),_xlpm.steps)))</f>
        <v>63</v>
      </c>
      <c r="D2885">
        <f>_xlfn.LET(_xlpm.dir,Table1[[#This Row],[Direction]],
IF(_xlpm.dir="L",
    IF(F2884-Table1[[#This Row],[Steps]]&lt;0,100+(F2884-Table1[[#This Row],[Steps]]),F2884-Table1[[#This Row],[Steps]]),
))</f>
        <v>0</v>
      </c>
      <c r="E2885">
        <f>_xlfn.LET(_xlpm.dir,Table1[[#This Row],[Direction]],
IF(_xlpm.dir="R",
    IF(F2884+Table1[[#This Row],[Steps]]&gt;99,(F2884+Table1[[#This Row],[Steps]])-100,F2884+Table1[[#This Row],[Steps]]),
))</f>
        <v>0</v>
      </c>
      <c r="F2885">
        <f>IF(Table1[[#This Row],[New Pos L]]&lt;&gt;0,Table1[[#This Row],[New Pos L]],Table1[[#This Row],[New Pos R]])</f>
        <v>0</v>
      </c>
    </row>
    <row r="2886" spans="1:6" ht="16" x14ac:dyDescent="0.2">
      <c r="A2886" s="1" t="s">
        <v>8</v>
      </c>
      <c r="B2886" t="str">
        <f>LEFT(Table1[[#This Row],[Input]],1)</f>
        <v>R</v>
      </c>
      <c r="C2886">
        <f>_xlfn.LET(_xlpm.steps,SUBSTITUTE(Table1[[#This Row],[Input]],Table1[[#This Row],[Direction]],""),VALUE(IF(LEN(_xlpm.steps)&gt;2,RIGHT(_xlpm.steps,2),_xlpm.steps)))</f>
        <v>18</v>
      </c>
      <c r="D2886">
        <f>_xlfn.LET(_xlpm.dir,Table1[[#This Row],[Direction]],
IF(_xlpm.dir="L",
    IF(F2885-Table1[[#This Row],[Steps]]&lt;0,100+(F2885-Table1[[#This Row],[Steps]]),F2885-Table1[[#This Row],[Steps]]),
))</f>
        <v>0</v>
      </c>
      <c r="E2886">
        <f>_xlfn.LET(_xlpm.dir,Table1[[#This Row],[Direction]],
IF(_xlpm.dir="R",
    IF(F2885+Table1[[#This Row],[Steps]]&gt;99,(F2885+Table1[[#This Row],[Steps]])-100,F2885+Table1[[#This Row],[Steps]]),
))</f>
        <v>18</v>
      </c>
      <c r="F2886">
        <f>IF(Table1[[#This Row],[New Pos L]]&lt;&gt;0,Table1[[#This Row],[New Pos L]],Table1[[#This Row],[New Pos R]])</f>
        <v>18</v>
      </c>
    </row>
    <row r="2887" spans="1:6" ht="16" x14ac:dyDescent="0.2">
      <c r="A2887" s="1" t="s">
        <v>49</v>
      </c>
      <c r="B2887" t="str">
        <f>LEFT(Table1[[#This Row],[Input]],1)</f>
        <v>L</v>
      </c>
      <c r="C2887">
        <f>_xlfn.LET(_xlpm.steps,SUBSTITUTE(Table1[[#This Row],[Input]],Table1[[#This Row],[Direction]],""),VALUE(IF(LEN(_xlpm.steps)&gt;2,RIGHT(_xlpm.steps,2),_xlpm.steps)))</f>
        <v>93</v>
      </c>
      <c r="D2887">
        <f>_xlfn.LET(_xlpm.dir,Table1[[#This Row],[Direction]],
IF(_xlpm.dir="L",
    IF(F2886-Table1[[#This Row],[Steps]]&lt;0,100+(F2886-Table1[[#This Row],[Steps]]),F2886-Table1[[#This Row],[Steps]]),
))</f>
        <v>25</v>
      </c>
      <c r="E2887">
        <f>_xlfn.LET(_xlpm.dir,Table1[[#This Row],[Direction]],
IF(_xlpm.dir="R",
    IF(F2886+Table1[[#This Row],[Steps]]&gt;99,(F2886+Table1[[#This Row],[Steps]])-100,F2886+Table1[[#This Row],[Steps]]),
))</f>
        <v>0</v>
      </c>
      <c r="F2887">
        <f>IF(Table1[[#This Row],[New Pos L]]&lt;&gt;0,Table1[[#This Row],[New Pos L]],Table1[[#This Row],[New Pos R]])</f>
        <v>25</v>
      </c>
    </row>
    <row r="2888" spans="1:6" ht="16" x14ac:dyDescent="0.2">
      <c r="A2888" s="1" t="s">
        <v>46</v>
      </c>
      <c r="B2888" t="str">
        <f>LEFT(Table1[[#This Row],[Input]],1)</f>
        <v>L</v>
      </c>
      <c r="C2888">
        <f>_xlfn.LET(_xlpm.steps,SUBSTITUTE(Table1[[#This Row],[Input]],Table1[[#This Row],[Direction]],""),VALUE(IF(LEN(_xlpm.steps)&gt;2,RIGHT(_xlpm.steps,2),_xlpm.steps)))</f>
        <v>97</v>
      </c>
      <c r="D2888">
        <f>_xlfn.LET(_xlpm.dir,Table1[[#This Row],[Direction]],
IF(_xlpm.dir="L",
    IF(F2887-Table1[[#This Row],[Steps]]&lt;0,100+(F2887-Table1[[#This Row],[Steps]]),F2887-Table1[[#This Row],[Steps]]),
))</f>
        <v>28</v>
      </c>
      <c r="E2888">
        <f>_xlfn.LET(_xlpm.dir,Table1[[#This Row],[Direction]],
IF(_xlpm.dir="R",
    IF(F2887+Table1[[#This Row],[Steps]]&gt;99,(F2887+Table1[[#This Row],[Steps]])-100,F2887+Table1[[#This Row],[Steps]]),
))</f>
        <v>0</v>
      </c>
      <c r="F2888">
        <f>IF(Table1[[#This Row],[New Pos L]]&lt;&gt;0,Table1[[#This Row],[New Pos L]],Table1[[#This Row],[New Pos R]])</f>
        <v>28</v>
      </c>
    </row>
    <row r="2889" spans="1:6" ht="16" x14ac:dyDescent="0.2">
      <c r="A2889" s="1" t="s">
        <v>19</v>
      </c>
      <c r="B2889" t="str">
        <f>LEFT(Table1[[#This Row],[Input]],1)</f>
        <v>R</v>
      </c>
      <c r="C2889">
        <f>_xlfn.LET(_xlpm.steps,SUBSTITUTE(Table1[[#This Row],[Input]],Table1[[#This Row],[Direction]],""),VALUE(IF(LEN(_xlpm.steps)&gt;2,RIGHT(_xlpm.steps,2),_xlpm.steps)))</f>
        <v>47</v>
      </c>
      <c r="D2889">
        <f>_xlfn.LET(_xlpm.dir,Table1[[#This Row],[Direction]],
IF(_xlpm.dir="L",
    IF(F2888-Table1[[#This Row],[Steps]]&lt;0,100+(F2888-Table1[[#This Row],[Steps]]),F2888-Table1[[#This Row],[Steps]]),
))</f>
        <v>0</v>
      </c>
      <c r="E2889">
        <f>_xlfn.LET(_xlpm.dir,Table1[[#This Row],[Direction]],
IF(_xlpm.dir="R",
    IF(F2888+Table1[[#This Row],[Steps]]&gt;99,(F2888+Table1[[#This Row],[Steps]])-100,F2888+Table1[[#This Row],[Steps]]),
))</f>
        <v>75</v>
      </c>
      <c r="F2889">
        <f>IF(Table1[[#This Row],[New Pos L]]&lt;&gt;0,Table1[[#This Row],[New Pos L]],Table1[[#This Row],[New Pos R]])</f>
        <v>75</v>
      </c>
    </row>
    <row r="2890" spans="1:6" ht="16" x14ac:dyDescent="0.2">
      <c r="A2890" s="1" t="s">
        <v>210</v>
      </c>
      <c r="B2890" t="str">
        <f>LEFT(Table1[[#This Row],[Input]],1)</f>
        <v>R</v>
      </c>
      <c r="C2890">
        <f>_xlfn.LET(_xlpm.steps,SUBSTITUTE(Table1[[#This Row],[Input]],Table1[[#This Row],[Direction]],""),VALUE(IF(LEN(_xlpm.steps)&gt;2,RIGHT(_xlpm.steps,2),_xlpm.steps)))</f>
        <v>89</v>
      </c>
      <c r="D2890">
        <f>_xlfn.LET(_xlpm.dir,Table1[[#This Row],[Direction]],
IF(_xlpm.dir="L",
    IF(F2889-Table1[[#This Row],[Steps]]&lt;0,100+(F2889-Table1[[#This Row],[Steps]]),F2889-Table1[[#This Row],[Steps]]),
))</f>
        <v>0</v>
      </c>
      <c r="E2890">
        <f>_xlfn.LET(_xlpm.dir,Table1[[#This Row],[Direction]],
IF(_xlpm.dir="R",
    IF(F2889+Table1[[#This Row],[Steps]]&gt;99,(F2889+Table1[[#This Row],[Steps]])-100,F2889+Table1[[#This Row],[Steps]]),
))</f>
        <v>64</v>
      </c>
      <c r="F2890">
        <f>IF(Table1[[#This Row],[New Pos L]]&lt;&gt;0,Table1[[#This Row],[New Pos L]],Table1[[#This Row],[New Pos R]])</f>
        <v>64</v>
      </c>
    </row>
    <row r="2891" spans="1:6" ht="16" x14ac:dyDescent="0.2">
      <c r="A2891" s="1" t="s">
        <v>346</v>
      </c>
      <c r="B2891" t="str">
        <f>LEFT(Table1[[#This Row],[Input]],1)</f>
        <v>L</v>
      </c>
      <c r="C2891">
        <f>_xlfn.LET(_xlpm.steps,SUBSTITUTE(Table1[[#This Row],[Input]],Table1[[#This Row],[Direction]],""),VALUE(IF(LEN(_xlpm.steps)&gt;2,RIGHT(_xlpm.steps,2),_xlpm.steps)))</f>
        <v>61</v>
      </c>
      <c r="D2891">
        <f>_xlfn.LET(_xlpm.dir,Table1[[#This Row],[Direction]],
IF(_xlpm.dir="L",
    IF(F2890-Table1[[#This Row],[Steps]]&lt;0,100+(F2890-Table1[[#This Row],[Steps]]),F2890-Table1[[#This Row],[Steps]]),
))</f>
        <v>3</v>
      </c>
      <c r="E2891">
        <f>_xlfn.LET(_xlpm.dir,Table1[[#This Row],[Direction]],
IF(_xlpm.dir="R",
    IF(F2890+Table1[[#This Row],[Steps]]&gt;99,(F2890+Table1[[#This Row],[Steps]])-100,F2890+Table1[[#This Row],[Steps]]),
))</f>
        <v>0</v>
      </c>
      <c r="F2891">
        <f>IF(Table1[[#This Row],[New Pos L]]&lt;&gt;0,Table1[[#This Row],[New Pos L]],Table1[[#This Row],[New Pos R]])</f>
        <v>3</v>
      </c>
    </row>
    <row r="2892" spans="1:6" ht="16" x14ac:dyDescent="0.2">
      <c r="A2892" s="1" t="s">
        <v>136</v>
      </c>
      <c r="B2892" t="str">
        <f>LEFT(Table1[[#This Row],[Input]],1)</f>
        <v>L</v>
      </c>
      <c r="C2892">
        <f>_xlfn.LET(_xlpm.steps,SUBSTITUTE(Table1[[#This Row],[Input]],Table1[[#This Row],[Direction]],""),VALUE(IF(LEN(_xlpm.steps)&gt;2,RIGHT(_xlpm.steps,2),_xlpm.steps)))</f>
        <v>72</v>
      </c>
      <c r="D2892">
        <f>_xlfn.LET(_xlpm.dir,Table1[[#This Row],[Direction]],
IF(_xlpm.dir="L",
    IF(F2891-Table1[[#This Row],[Steps]]&lt;0,100+(F2891-Table1[[#This Row],[Steps]]),F2891-Table1[[#This Row],[Steps]]),
))</f>
        <v>31</v>
      </c>
      <c r="E2892">
        <f>_xlfn.LET(_xlpm.dir,Table1[[#This Row],[Direction]],
IF(_xlpm.dir="R",
    IF(F2891+Table1[[#This Row],[Steps]]&gt;99,(F2891+Table1[[#This Row],[Steps]])-100,F2891+Table1[[#This Row],[Steps]]),
))</f>
        <v>0</v>
      </c>
      <c r="F2892">
        <f>IF(Table1[[#This Row],[New Pos L]]&lt;&gt;0,Table1[[#This Row],[New Pos L]],Table1[[#This Row],[New Pos R]])</f>
        <v>31</v>
      </c>
    </row>
    <row r="2893" spans="1:6" ht="16" x14ac:dyDescent="0.2">
      <c r="A2893" s="1" t="s">
        <v>135</v>
      </c>
      <c r="B2893" t="str">
        <f>LEFT(Table1[[#This Row],[Input]],1)</f>
        <v>R</v>
      </c>
      <c r="C2893">
        <f>_xlfn.LET(_xlpm.steps,SUBSTITUTE(Table1[[#This Row],[Input]],Table1[[#This Row],[Direction]],""),VALUE(IF(LEN(_xlpm.steps)&gt;2,RIGHT(_xlpm.steps,2),_xlpm.steps)))</f>
        <v>69</v>
      </c>
      <c r="D2893">
        <f>_xlfn.LET(_xlpm.dir,Table1[[#This Row],[Direction]],
IF(_xlpm.dir="L",
    IF(F2892-Table1[[#This Row],[Steps]]&lt;0,100+(F2892-Table1[[#This Row],[Steps]]),F2892-Table1[[#This Row],[Steps]]),
))</f>
        <v>0</v>
      </c>
      <c r="E2893">
        <f>_xlfn.LET(_xlpm.dir,Table1[[#This Row],[Direction]],
IF(_xlpm.dir="R",
    IF(F2892+Table1[[#This Row],[Steps]]&gt;99,(F2892+Table1[[#This Row],[Steps]])-100,F2892+Table1[[#This Row],[Steps]]),
))</f>
        <v>0</v>
      </c>
      <c r="F2893">
        <f>IF(Table1[[#This Row],[New Pos L]]&lt;&gt;0,Table1[[#This Row],[New Pos L]],Table1[[#This Row],[New Pos R]])</f>
        <v>0</v>
      </c>
    </row>
    <row r="2894" spans="1:6" ht="16" x14ac:dyDescent="0.2">
      <c r="A2894" s="1" t="s">
        <v>205</v>
      </c>
      <c r="B2894" t="str">
        <f>LEFT(Table1[[#This Row],[Input]],1)</f>
        <v>R</v>
      </c>
      <c r="C2894">
        <f>_xlfn.LET(_xlpm.steps,SUBSTITUTE(Table1[[#This Row],[Input]],Table1[[#This Row],[Direction]],""),VALUE(IF(LEN(_xlpm.steps)&gt;2,RIGHT(_xlpm.steps,2),_xlpm.steps)))</f>
        <v>83</v>
      </c>
      <c r="D2894">
        <f>_xlfn.LET(_xlpm.dir,Table1[[#This Row],[Direction]],
IF(_xlpm.dir="L",
    IF(F2893-Table1[[#This Row],[Steps]]&lt;0,100+(F2893-Table1[[#This Row],[Steps]]),F2893-Table1[[#This Row],[Steps]]),
))</f>
        <v>0</v>
      </c>
      <c r="E2894">
        <f>_xlfn.LET(_xlpm.dir,Table1[[#This Row],[Direction]],
IF(_xlpm.dir="R",
    IF(F2893+Table1[[#This Row],[Steps]]&gt;99,(F2893+Table1[[#This Row],[Steps]])-100,F2893+Table1[[#This Row],[Steps]]),
))</f>
        <v>83</v>
      </c>
      <c r="F2894">
        <f>IF(Table1[[#This Row],[New Pos L]]&lt;&gt;0,Table1[[#This Row],[New Pos L]],Table1[[#This Row],[New Pos R]])</f>
        <v>83</v>
      </c>
    </row>
    <row r="2895" spans="1:6" ht="16" x14ac:dyDescent="0.2">
      <c r="A2895" s="1" t="s">
        <v>357</v>
      </c>
      <c r="B2895" t="str">
        <f>LEFT(Table1[[#This Row],[Input]],1)</f>
        <v>R</v>
      </c>
      <c r="C2895">
        <f>_xlfn.LET(_xlpm.steps,SUBSTITUTE(Table1[[#This Row],[Input]],Table1[[#This Row],[Direction]],""),VALUE(IF(LEN(_xlpm.steps)&gt;2,RIGHT(_xlpm.steps,2),_xlpm.steps)))</f>
        <v>72</v>
      </c>
      <c r="D2895">
        <f>_xlfn.LET(_xlpm.dir,Table1[[#This Row],[Direction]],
IF(_xlpm.dir="L",
    IF(F2894-Table1[[#This Row],[Steps]]&lt;0,100+(F2894-Table1[[#This Row],[Steps]]),F2894-Table1[[#This Row],[Steps]]),
))</f>
        <v>0</v>
      </c>
      <c r="E2895">
        <f>_xlfn.LET(_xlpm.dir,Table1[[#This Row],[Direction]],
IF(_xlpm.dir="R",
    IF(F2894+Table1[[#This Row],[Steps]]&gt;99,(F2894+Table1[[#This Row],[Steps]])-100,F2894+Table1[[#This Row],[Steps]]),
))</f>
        <v>55</v>
      </c>
      <c r="F2895">
        <f>IF(Table1[[#This Row],[New Pos L]]&lt;&gt;0,Table1[[#This Row],[New Pos L]],Table1[[#This Row],[New Pos R]])</f>
        <v>55</v>
      </c>
    </row>
    <row r="2896" spans="1:6" ht="16" x14ac:dyDescent="0.2">
      <c r="A2896" s="1" t="s">
        <v>295</v>
      </c>
      <c r="B2896" t="str">
        <f>LEFT(Table1[[#This Row],[Input]],1)</f>
        <v>L</v>
      </c>
      <c r="C2896">
        <f>_xlfn.LET(_xlpm.steps,SUBSTITUTE(Table1[[#This Row],[Input]],Table1[[#This Row],[Direction]],""),VALUE(IF(LEN(_xlpm.steps)&gt;2,RIGHT(_xlpm.steps,2),_xlpm.steps)))</f>
        <v>88</v>
      </c>
      <c r="D2896">
        <f>_xlfn.LET(_xlpm.dir,Table1[[#This Row],[Direction]],
IF(_xlpm.dir="L",
    IF(F2895-Table1[[#This Row],[Steps]]&lt;0,100+(F2895-Table1[[#This Row],[Steps]]),F2895-Table1[[#This Row],[Steps]]),
))</f>
        <v>67</v>
      </c>
      <c r="E2896">
        <f>_xlfn.LET(_xlpm.dir,Table1[[#This Row],[Direction]],
IF(_xlpm.dir="R",
    IF(F2895+Table1[[#This Row],[Steps]]&gt;99,(F2895+Table1[[#This Row],[Steps]])-100,F2895+Table1[[#This Row],[Steps]]),
))</f>
        <v>0</v>
      </c>
      <c r="F2896">
        <f>IF(Table1[[#This Row],[New Pos L]]&lt;&gt;0,Table1[[#This Row],[New Pos L]],Table1[[#This Row],[New Pos R]])</f>
        <v>67</v>
      </c>
    </row>
    <row r="2897" spans="1:6" ht="16" x14ac:dyDescent="0.2">
      <c r="A2897" s="1" t="s">
        <v>185</v>
      </c>
      <c r="B2897" t="str">
        <f>LEFT(Table1[[#This Row],[Input]],1)</f>
        <v>R</v>
      </c>
      <c r="C2897">
        <f>_xlfn.LET(_xlpm.steps,SUBSTITUTE(Table1[[#This Row],[Input]],Table1[[#This Row],[Direction]],""),VALUE(IF(LEN(_xlpm.steps)&gt;2,RIGHT(_xlpm.steps,2),_xlpm.steps)))</f>
        <v>61</v>
      </c>
      <c r="D2897">
        <f>_xlfn.LET(_xlpm.dir,Table1[[#This Row],[Direction]],
IF(_xlpm.dir="L",
    IF(F2896-Table1[[#This Row],[Steps]]&lt;0,100+(F2896-Table1[[#This Row],[Steps]]),F2896-Table1[[#This Row],[Steps]]),
))</f>
        <v>0</v>
      </c>
      <c r="E2897">
        <f>_xlfn.LET(_xlpm.dir,Table1[[#This Row],[Direction]],
IF(_xlpm.dir="R",
    IF(F2896+Table1[[#This Row],[Steps]]&gt;99,(F2896+Table1[[#This Row],[Steps]])-100,F2896+Table1[[#This Row],[Steps]]),
))</f>
        <v>28</v>
      </c>
      <c r="F2897">
        <f>IF(Table1[[#This Row],[New Pos L]]&lt;&gt;0,Table1[[#This Row],[New Pos L]],Table1[[#This Row],[New Pos R]])</f>
        <v>28</v>
      </c>
    </row>
    <row r="2898" spans="1:6" ht="16" x14ac:dyDescent="0.2">
      <c r="A2898" s="1" t="s">
        <v>209</v>
      </c>
      <c r="B2898" t="str">
        <f>LEFT(Table1[[#This Row],[Input]],1)</f>
        <v>L</v>
      </c>
      <c r="C2898">
        <f>_xlfn.LET(_xlpm.steps,SUBSTITUTE(Table1[[#This Row],[Input]],Table1[[#This Row],[Direction]],""),VALUE(IF(LEN(_xlpm.steps)&gt;2,RIGHT(_xlpm.steps,2),_xlpm.steps)))</f>
        <v>86</v>
      </c>
      <c r="D2898">
        <f>_xlfn.LET(_xlpm.dir,Table1[[#This Row],[Direction]],
IF(_xlpm.dir="L",
    IF(F2897-Table1[[#This Row],[Steps]]&lt;0,100+(F2897-Table1[[#This Row],[Steps]]),F2897-Table1[[#This Row],[Steps]]),
))</f>
        <v>42</v>
      </c>
      <c r="E2898">
        <f>_xlfn.LET(_xlpm.dir,Table1[[#This Row],[Direction]],
IF(_xlpm.dir="R",
    IF(F2897+Table1[[#This Row],[Steps]]&gt;99,(F2897+Table1[[#This Row],[Steps]])-100,F2897+Table1[[#This Row],[Steps]]),
))</f>
        <v>0</v>
      </c>
      <c r="F2898">
        <f>IF(Table1[[#This Row],[New Pos L]]&lt;&gt;0,Table1[[#This Row],[New Pos L]],Table1[[#This Row],[New Pos R]])</f>
        <v>42</v>
      </c>
    </row>
    <row r="2899" spans="1:6" ht="16" x14ac:dyDescent="0.2">
      <c r="A2899" s="1" t="s">
        <v>295</v>
      </c>
      <c r="B2899" t="str">
        <f>LEFT(Table1[[#This Row],[Input]],1)</f>
        <v>L</v>
      </c>
      <c r="C2899">
        <f>_xlfn.LET(_xlpm.steps,SUBSTITUTE(Table1[[#This Row],[Input]],Table1[[#This Row],[Direction]],""),VALUE(IF(LEN(_xlpm.steps)&gt;2,RIGHT(_xlpm.steps,2),_xlpm.steps)))</f>
        <v>88</v>
      </c>
      <c r="D2899">
        <f>_xlfn.LET(_xlpm.dir,Table1[[#This Row],[Direction]],
IF(_xlpm.dir="L",
    IF(F2898-Table1[[#This Row],[Steps]]&lt;0,100+(F2898-Table1[[#This Row],[Steps]]),F2898-Table1[[#This Row],[Steps]]),
))</f>
        <v>54</v>
      </c>
      <c r="E2899">
        <f>_xlfn.LET(_xlpm.dir,Table1[[#This Row],[Direction]],
IF(_xlpm.dir="R",
    IF(F2898+Table1[[#This Row],[Steps]]&gt;99,(F2898+Table1[[#This Row],[Steps]])-100,F2898+Table1[[#This Row],[Steps]]),
))</f>
        <v>0</v>
      </c>
      <c r="F2899">
        <f>IF(Table1[[#This Row],[New Pos L]]&lt;&gt;0,Table1[[#This Row],[New Pos L]],Table1[[#This Row],[New Pos R]])</f>
        <v>54</v>
      </c>
    </row>
    <row r="2900" spans="1:6" ht="16" x14ac:dyDescent="0.2">
      <c r="A2900" s="1" t="s">
        <v>398</v>
      </c>
      <c r="B2900" t="str">
        <f>LEFT(Table1[[#This Row],[Input]],1)</f>
        <v>R</v>
      </c>
      <c r="C2900">
        <f>_xlfn.LET(_xlpm.steps,SUBSTITUTE(Table1[[#This Row],[Input]],Table1[[#This Row],[Direction]],""),VALUE(IF(LEN(_xlpm.steps)&gt;2,RIGHT(_xlpm.steps,2),_xlpm.steps)))</f>
        <v>27</v>
      </c>
      <c r="D2900">
        <f>_xlfn.LET(_xlpm.dir,Table1[[#This Row],[Direction]],
IF(_xlpm.dir="L",
    IF(F2899-Table1[[#This Row],[Steps]]&lt;0,100+(F2899-Table1[[#This Row],[Steps]]),F2899-Table1[[#This Row],[Steps]]),
))</f>
        <v>0</v>
      </c>
      <c r="E2900">
        <f>_xlfn.LET(_xlpm.dir,Table1[[#This Row],[Direction]],
IF(_xlpm.dir="R",
    IF(F2899+Table1[[#This Row],[Steps]]&gt;99,(F2899+Table1[[#This Row],[Steps]])-100,F2899+Table1[[#This Row],[Steps]]),
))</f>
        <v>81</v>
      </c>
      <c r="F2900">
        <f>IF(Table1[[#This Row],[New Pos L]]&lt;&gt;0,Table1[[#This Row],[New Pos L]],Table1[[#This Row],[New Pos R]])</f>
        <v>81</v>
      </c>
    </row>
    <row r="2901" spans="1:6" ht="16" x14ac:dyDescent="0.2">
      <c r="A2901" s="1" t="s">
        <v>111</v>
      </c>
      <c r="B2901" t="str">
        <f>LEFT(Table1[[#This Row],[Input]],1)</f>
        <v>R</v>
      </c>
      <c r="C2901">
        <f>_xlfn.LET(_xlpm.steps,SUBSTITUTE(Table1[[#This Row],[Input]],Table1[[#This Row],[Direction]],""),VALUE(IF(LEN(_xlpm.steps)&gt;2,RIGHT(_xlpm.steps,2),_xlpm.steps)))</f>
        <v>64</v>
      </c>
      <c r="D2901">
        <f>_xlfn.LET(_xlpm.dir,Table1[[#This Row],[Direction]],
IF(_xlpm.dir="L",
    IF(F2900-Table1[[#This Row],[Steps]]&lt;0,100+(F2900-Table1[[#This Row],[Steps]]),F2900-Table1[[#This Row],[Steps]]),
))</f>
        <v>0</v>
      </c>
      <c r="E2901">
        <f>_xlfn.LET(_xlpm.dir,Table1[[#This Row],[Direction]],
IF(_xlpm.dir="R",
    IF(F2900+Table1[[#This Row],[Steps]]&gt;99,(F2900+Table1[[#This Row],[Steps]])-100,F2900+Table1[[#This Row],[Steps]]),
))</f>
        <v>45</v>
      </c>
      <c r="F2901">
        <f>IF(Table1[[#This Row],[New Pos L]]&lt;&gt;0,Table1[[#This Row],[New Pos L]],Table1[[#This Row],[New Pos R]])</f>
        <v>45</v>
      </c>
    </row>
    <row r="2902" spans="1:6" ht="16" x14ac:dyDescent="0.2">
      <c r="A2902" s="1" t="s">
        <v>165</v>
      </c>
      <c r="B2902" t="str">
        <f>LEFT(Table1[[#This Row],[Input]],1)</f>
        <v>R</v>
      </c>
      <c r="C2902">
        <f>_xlfn.LET(_xlpm.steps,SUBSTITUTE(Table1[[#This Row],[Input]],Table1[[#This Row],[Direction]],""),VALUE(IF(LEN(_xlpm.steps)&gt;2,RIGHT(_xlpm.steps,2),_xlpm.steps)))</f>
        <v>55</v>
      </c>
      <c r="D2902">
        <f>_xlfn.LET(_xlpm.dir,Table1[[#This Row],[Direction]],
IF(_xlpm.dir="L",
    IF(F2901-Table1[[#This Row],[Steps]]&lt;0,100+(F2901-Table1[[#This Row],[Steps]]),F2901-Table1[[#This Row],[Steps]]),
))</f>
        <v>0</v>
      </c>
      <c r="E2902">
        <f>_xlfn.LET(_xlpm.dir,Table1[[#This Row],[Direction]],
IF(_xlpm.dir="R",
    IF(F2901+Table1[[#This Row],[Steps]]&gt;99,(F2901+Table1[[#This Row],[Steps]])-100,F2901+Table1[[#This Row],[Steps]]),
))</f>
        <v>0</v>
      </c>
      <c r="F2902">
        <f>IF(Table1[[#This Row],[New Pos L]]&lt;&gt;0,Table1[[#This Row],[New Pos L]],Table1[[#This Row],[New Pos R]])</f>
        <v>0</v>
      </c>
    </row>
    <row r="2903" spans="1:6" ht="16" x14ac:dyDescent="0.2">
      <c r="A2903" s="1" t="s">
        <v>82</v>
      </c>
      <c r="B2903" t="str">
        <f>LEFT(Table1[[#This Row],[Input]],1)</f>
        <v>L</v>
      </c>
      <c r="C2903">
        <f>_xlfn.LET(_xlpm.steps,SUBSTITUTE(Table1[[#This Row],[Input]],Table1[[#This Row],[Direction]],""),VALUE(IF(LEN(_xlpm.steps)&gt;2,RIGHT(_xlpm.steps,2),_xlpm.steps)))</f>
        <v>55</v>
      </c>
      <c r="D2903">
        <f>_xlfn.LET(_xlpm.dir,Table1[[#This Row],[Direction]],
IF(_xlpm.dir="L",
    IF(F2902-Table1[[#This Row],[Steps]]&lt;0,100+(F2902-Table1[[#This Row],[Steps]]),F2902-Table1[[#This Row],[Steps]]),
))</f>
        <v>45</v>
      </c>
      <c r="E2903">
        <f>_xlfn.LET(_xlpm.dir,Table1[[#This Row],[Direction]],
IF(_xlpm.dir="R",
    IF(F2902+Table1[[#This Row],[Steps]]&gt;99,(F2902+Table1[[#This Row],[Steps]])-100,F2902+Table1[[#This Row],[Steps]]),
))</f>
        <v>0</v>
      </c>
      <c r="F2903">
        <f>IF(Table1[[#This Row],[New Pos L]]&lt;&gt;0,Table1[[#This Row],[New Pos L]],Table1[[#This Row],[New Pos R]])</f>
        <v>45</v>
      </c>
    </row>
    <row r="2904" spans="1:6" ht="16" x14ac:dyDescent="0.2">
      <c r="A2904" s="1" t="s">
        <v>165</v>
      </c>
      <c r="B2904" t="str">
        <f>LEFT(Table1[[#This Row],[Input]],1)</f>
        <v>R</v>
      </c>
      <c r="C2904">
        <f>_xlfn.LET(_xlpm.steps,SUBSTITUTE(Table1[[#This Row],[Input]],Table1[[#This Row],[Direction]],""),VALUE(IF(LEN(_xlpm.steps)&gt;2,RIGHT(_xlpm.steps,2),_xlpm.steps)))</f>
        <v>55</v>
      </c>
      <c r="D2904">
        <f>_xlfn.LET(_xlpm.dir,Table1[[#This Row],[Direction]],
IF(_xlpm.dir="L",
    IF(F2903-Table1[[#This Row],[Steps]]&lt;0,100+(F2903-Table1[[#This Row],[Steps]]),F2903-Table1[[#This Row],[Steps]]),
))</f>
        <v>0</v>
      </c>
      <c r="E2904">
        <f>_xlfn.LET(_xlpm.dir,Table1[[#This Row],[Direction]],
IF(_xlpm.dir="R",
    IF(F2903+Table1[[#This Row],[Steps]]&gt;99,(F2903+Table1[[#This Row],[Steps]])-100,F2903+Table1[[#This Row],[Steps]]),
))</f>
        <v>0</v>
      </c>
      <c r="F2904">
        <f>IF(Table1[[#This Row],[New Pos L]]&lt;&gt;0,Table1[[#This Row],[New Pos L]],Table1[[#This Row],[New Pos R]])</f>
        <v>0</v>
      </c>
    </row>
    <row r="2905" spans="1:6" ht="16" x14ac:dyDescent="0.2">
      <c r="A2905" s="1" t="s">
        <v>25</v>
      </c>
      <c r="B2905" t="str">
        <f>LEFT(Table1[[#This Row],[Input]],1)</f>
        <v>L</v>
      </c>
      <c r="C2905">
        <f>_xlfn.LET(_xlpm.steps,SUBSTITUTE(Table1[[#This Row],[Input]],Table1[[#This Row],[Direction]],""),VALUE(IF(LEN(_xlpm.steps)&gt;2,RIGHT(_xlpm.steps,2),_xlpm.steps)))</f>
        <v>20</v>
      </c>
      <c r="D2905">
        <f>_xlfn.LET(_xlpm.dir,Table1[[#This Row],[Direction]],
IF(_xlpm.dir="L",
    IF(F2904-Table1[[#This Row],[Steps]]&lt;0,100+(F2904-Table1[[#This Row],[Steps]]),F2904-Table1[[#This Row],[Steps]]),
))</f>
        <v>80</v>
      </c>
      <c r="E2905">
        <f>_xlfn.LET(_xlpm.dir,Table1[[#This Row],[Direction]],
IF(_xlpm.dir="R",
    IF(F2904+Table1[[#This Row],[Steps]]&gt;99,(F2904+Table1[[#This Row],[Steps]])-100,F2904+Table1[[#This Row],[Steps]]),
))</f>
        <v>0</v>
      </c>
      <c r="F2905">
        <f>IF(Table1[[#This Row],[New Pos L]]&lt;&gt;0,Table1[[#This Row],[New Pos L]],Table1[[#This Row],[New Pos R]])</f>
        <v>80</v>
      </c>
    </row>
    <row r="2906" spans="1:6" ht="16" x14ac:dyDescent="0.2">
      <c r="A2906" s="1" t="s">
        <v>68</v>
      </c>
      <c r="B2906" t="str">
        <f>LEFT(Table1[[#This Row],[Input]],1)</f>
        <v>L</v>
      </c>
      <c r="C2906">
        <f>_xlfn.LET(_xlpm.steps,SUBSTITUTE(Table1[[#This Row],[Input]],Table1[[#This Row],[Direction]],""),VALUE(IF(LEN(_xlpm.steps)&gt;2,RIGHT(_xlpm.steps,2),_xlpm.steps)))</f>
        <v>80</v>
      </c>
      <c r="D2906">
        <f>_xlfn.LET(_xlpm.dir,Table1[[#This Row],[Direction]],
IF(_xlpm.dir="L",
    IF(F2905-Table1[[#This Row],[Steps]]&lt;0,100+(F2905-Table1[[#This Row],[Steps]]),F2905-Table1[[#This Row],[Steps]]),
))</f>
        <v>0</v>
      </c>
      <c r="E2906">
        <f>_xlfn.LET(_xlpm.dir,Table1[[#This Row],[Direction]],
IF(_xlpm.dir="R",
    IF(F2905+Table1[[#This Row],[Steps]]&gt;99,(F2905+Table1[[#This Row],[Steps]])-100,F2905+Table1[[#This Row],[Steps]]),
))</f>
        <v>0</v>
      </c>
      <c r="F2906">
        <f>IF(Table1[[#This Row],[New Pos L]]&lt;&gt;0,Table1[[#This Row],[New Pos L]],Table1[[#This Row],[New Pos R]])</f>
        <v>0</v>
      </c>
    </row>
    <row r="2907" spans="1:6" ht="16" x14ac:dyDescent="0.2">
      <c r="A2907" s="1" t="s">
        <v>167</v>
      </c>
      <c r="B2907" t="str">
        <f>LEFT(Table1[[#This Row],[Input]],1)</f>
        <v>L</v>
      </c>
      <c r="C2907">
        <f>_xlfn.LET(_xlpm.steps,SUBSTITUTE(Table1[[#This Row],[Input]],Table1[[#This Row],[Direction]],""),VALUE(IF(LEN(_xlpm.steps)&gt;2,RIGHT(_xlpm.steps,2),_xlpm.steps)))</f>
        <v>59</v>
      </c>
      <c r="D2907">
        <f>_xlfn.LET(_xlpm.dir,Table1[[#This Row],[Direction]],
IF(_xlpm.dir="L",
    IF(F2906-Table1[[#This Row],[Steps]]&lt;0,100+(F2906-Table1[[#This Row],[Steps]]),F2906-Table1[[#This Row],[Steps]]),
))</f>
        <v>41</v>
      </c>
      <c r="E2907">
        <f>_xlfn.LET(_xlpm.dir,Table1[[#This Row],[Direction]],
IF(_xlpm.dir="R",
    IF(F2906+Table1[[#This Row],[Steps]]&gt;99,(F2906+Table1[[#This Row],[Steps]])-100,F2906+Table1[[#This Row],[Steps]]),
))</f>
        <v>0</v>
      </c>
      <c r="F2907">
        <f>IF(Table1[[#This Row],[New Pos L]]&lt;&gt;0,Table1[[#This Row],[New Pos L]],Table1[[#This Row],[New Pos R]])</f>
        <v>41</v>
      </c>
    </row>
    <row r="2908" spans="1:6" ht="16" x14ac:dyDescent="0.2">
      <c r="A2908" s="1" t="s">
        <v>73</v>
      </c>
      <c r="B2908" t="str">
        <f>LEFT(Table1[[#This Row],[Input]],1)</f>
        <v>R</v>
      </c>
      <c r="C2908">
        <f>_xlfn.LET(_xlpm.steps,SUBSTITUTE(Table1[[#This Row],[Input]],Table1[[#This Row],[Direction]],""),VALUE(IF(LEN(_xlpm.steps)&gt;2,RIGHT(_xlpm.steps,2),_xlpm.steps)))</f>
        <v>21</v>
      </c>
      <c r="D2908">
        <f>_xlfn.LET(_xlpm.dir,Table1[[#This Row],[Direction]],
IF(_xlpm.dir="L",
    IF(F2907-Table1[[#This Row],[Steps]]&lt;0,100+(F2907-Table1[[#This Row],[Steps]]),F2907-Table1[[#This Row],[Steps]]),
))</f>
        <v>0</v>
      </c>
      <c r="E2908">
        <f>_xlfn.LET(_xlpm.dir,Table1[[#This Row],[Direction]],
IF(_xlpm.dir="R",
    IF(F2907+Table1[[#This Row],[Steps]]&gt;99,(F2907+Table1[[#This Row],[Steps]])-100,F2907+Table1[[#This Row],[Steps]]),
))</f>
        <v>62</v>
      </c>
      <c r="F2908">
        <f>IF(Table1[[#This Row],[New Pos L]]&lt;&gt;0,Table1[[#This Row],[New Pos L]],Table1[[#This Row],[New Pos R]])</f>
        <v>62</v>
      </c>
    </row>
    <row r="2909" spans="1:6" ht="16" x14ac:dyDescent="0.2">
      <c r="A2909" s="1" t="s">
        <v>193</v>
      </c>
      <c r="B2909" t="str">
        <f>LEFT(Table1[[#This Row],[Input]],1)</f>
        <v>L</v>
      </c>
      <c r="C2909">
        <f>_xlfn.LET(_xlpm.steps,SUBSTITUTE(Table1[[#This Row],[Input]],Table1[[#This Row],[Direction]],""),VALUE(IF(LEN(_xlpm.steps)&gt;2,RIGHT(_xlpm.steps,2),_xlpm.steps)))</f>
        <v>12</v>
      </c>
      <c r="D2909">
        <f>_xlfn.LET(_xlpm.dir,Table1[[#This Row],[Direction]],
IF(_xlpm.dir="L",
    IF(F2908-Table1[[#This Row],[Steps]]&lt;0,100+(F2908-Table1[[#This Row],[Steps]]),F2908-Table1[[#This Row],[Steps]]),
))</f>
        <v>50</v>
      </c>
      <c r="E2909">
        <f>_xlfn.LET(_xlpm.dir,Table1[[#This Row],[Direction]],
IF(_xlpm.dir="R",
    IF(F2908+Table1[[#This Row],[Steps]]&gt;99,(F2908+Table1[[#This Row],[Steps]])-100,F2908+Table1[[#This Row],[Steps]]),
))</f>
        <v>0</v>
      </c>
      <c r="F2909">
        <f>IF(Table1[[#This Row],[New Pos L]]&lt;&gt;0,Table1[[#This Row],[New Pos L]],Table1[[#This Row],[New Pos R]])</f>
        <v>50</v>
      </c>
    </row>
    <row r="2910" spans="1:6" ht="16" x14ac:dyDescent="0.2">
      <c r="A2910" s="1" t="s">
        <v>272</v>
      </c>
      <c r="B2910" t="str">
        <f>LEFT(Table1[[#This Row],[Input]],1)</f>
        <v>R</v>
      </c>
      <c r="C2910">
        <f>_xlfn.LET(_xlpm.steps,SUBSTITUTE(Table1[[#This Row],[Input]],Table1[[#This Row],[Direction]],""),VALUE(IF(LEN(_xlpm.steps)&gt;2,RIGHT(_xlpm.steps,2),_xlpm.steps)))</f>
        <v>56</v>
      </c>
      <c r="D2910">
        <f>_xlfn.LET(_xlpm.dir,Table1[[#This Row],[Direction]],
IF(_xlpm.dir="L",
    IF(F2909-Table1[[#This Row],[Steps]]&lt;0,100+(F2909-Table1[[#This Row],[Steps]]),F2909-Table1[[#This Row],[Steps]]),
))</f>
        <v>0</v>
      </c>
      <c r="E2910">
        <f>_xlfn.LET(_xlpm.dir,Table1[[#This Row],[Direction]],
IF(_xlpm.dir="R",
    IF(F2909+Table1[[#This Row],[Steps]]&gt;99,(F2909+Table1[[#This Row],[Steps]])-100,F2909+Table1[[#This Row],[Steps]]),
))</f>
        <v>6</v>
      </c>
      <c r="F2910">
        <f>IF(Table1[[#This Row],[New Pos L]]&lt;&gt;0,Table1[[#This Row],[New Pos L]],Table1[[#This Row],[New Pos R]])</f>
        <v>6</v>
      </c>
    </row>
    <row r="2911" spans="1:6" ht="16" x14ac:dyDescent="0.2">
      <c r="A2911" s="1" t="s">
        <v>34</v>
      </c>
      <c r="B2911" t="str">
        <f>LEFT(Table1[[#This Row],[Input]],1)</f>
        <v>L</v>
      </c>
      <c r="C2911">
        <f>_xlfn.LET(_xlpm.steps,SUBSTITUTE(Table1[[#This Row],[Input]],Table1[[#This Row],[Direction]],""),VALUE(IF(LEN(_xlpm.steps)&gt;2,RIGHT(_xlpm.steps,2),_xlpm.steps)))</f>
        <v>15</v>
      </c>
      <c r="D2911">
        <f>_xlfn.LET(_xlpm.dir,Table1[[#This Row],[Direction]],
IF(_xlpm.dir="L",
    IF(F2910-Table1[[#This Row],[Steps]]&lt;0,100+(F2910-Table1[[#This Row],[Steps]]),F2910-Table1[[#This Row],[Steps]]),
))</f>
        <v>91</v>
      </c>
      <c r="E2911">
        <f>_xlfn.LET(_xlpm.dir,Table1[[#This Row],[Direction]],
IF(_xlpm.dir="R",
    IF(F2910+Table1[[#This Row],[Steps]]&gt;99,(F2910+Table1[[#This Row],[Steps]])-100,F2910+Table1[[#This Row],[Steps]]),
))</f>
        <v>0</v>
      </c>
      <c r="F2911">
        <f>IF(Table1[[#This Row],[New Pos L]]&lt;&gt;0,Table1[[#This Row],[New Pos L]],Table1[[#This Row],[New Pos R]])</f>
        <v>91</v>
      </c>
    </row>
    <row r="2912" spans="1:6" ht="16" x14ac:dyDescent="0.2">
      <c r="A2912" s="1" t="s">
        <v>279</v>
      </c>
      <c r="B2912" t="str">
        <f>LEFT(Table1[[#This Row],[Input]],1)</f>
        <v>R</v>
      </c>
      <c r="C2912">
        <f>_xlfn.LET(_xlpm.steps,SUBSTITUTE(Table1[[#This Row],[Input]],Table1[[#This Row],[Direction]],""),VALUE(IF(LEN(_xlpm.steps)&gt;2,RIGHT(_xlpm.steps,2),_xlpm.steps)))</f>
        <v>34</v>
      </c>
      <c r="D2912">
        <f>_xlfn.LET(_xlpm.dir,Table1[[#This Row],[Direction]],
IF(_xlpm.dir="L",
    IF(F2911-Table1[[#This Row],[Steps]]&lt;0,100+(F2911-Table1[[#This Row],[Steps]]),F2911-Table1[[#This Row],[Steps]]),
))</f>
        <v>0</v>
      </c>
      <c r="E2912">
        <f>_xlfn.LET(_xlpm.dir,Table1[[#This Row],[Direction]],
IF(_xlpm.dir="R",
    IF(F2911+Table1[[#This Row],[Steps]]&gt;99,(F2911+Table1[[#This Row],[Steps]])-100,F2911+Table1[[#This Row],[Steps]]),
))</f>
        <v>25</v>
      </c>
      <c r="F2912">
        <f>IF(Table1[[#This Row],[New Pos L]]&lt;&gt;0,Table1[[#This Row],[New Pos L]],Table1[[#This Row],[New Pos R]])</f>
        <v>25</v>
      </c>
    </row>
    <row r="2913" spans="1:6" ht="16" x14ac:dyDescent="0.2">
      <c r="A2913" s="1" t="s">
        <v>424</v>
      </c>
      <c r="B2913" t="str">
        <f>LEFT(Table1[[#This Row],[Input]],1)</f>
        <v>L</v>
      </c>
      <c r="C2913">
        <f>_xlfn.LET(_xlpm.steps,SUBSTITUTE(Table1[[#This Row],[Input]],Table1[[#This Row],[Direction]],""),VALUE(IF(LEN(_xlpm.steps)&gt;2,RIGHT(_xlpm.steps,2),_xlpm.steps)))</f>
        <v>25</v>
      </c>
      <c r="D2913">
        <f>_xlfn.LET(_xlpm.dir,Table1[[#This Row],[Direction]],
IF(_xlpm.dir="L",
    IF(F2912-Table1[[#This Row],[Steps]]&lt;0,100+(F2912-Table1[[#This Row],[Steps]]),F2912-Table1[[#This Row],[Steps]]),
))</f>
        <v>0</v>
      </c>
      <c r="E2913">
        <f>_xlfn.LET(_xlpm.dir,Table1[[#This Row],[Direction]],
IF(_xlpm.dir="R",
    IF(F2912+Table1[[#This Row],[Steps]]&gt;99,(F2912+Table1[[#This Row],[Steps]])-100,F2912+Table1[[#This Row],[Steps]]),
))</f>
        <v>0</v>
      </c>
      <c r="F2913">
        <f>IF(Table1[[#This Row],[New Pos L]]&lt;&gt;0,Table1[[#This Row],[New Pos L]],Table1[[#This Row],[New Pos R]])</f>
        <v>0</v>
      </c>
    </row>
    <row r="2914" spans="1:6" ht="16" x14ac:dyDescent="0.2">
      <c r="A2914" s="1" t="s">
        <v>175</v>
      </c>
      <c r="B2914" t="str">
        <f>LEFT(Table1[[#This Row],[Input]],1)</f>
        <v>L</v>
      </c>
      <c r="C2914">
        <f>_xlfn.LET(_xlpm.steps,SUBSTITUTE(Table1[[#This Row],[Input]],Table1[[#This Row],[Direction]],""),VALUE(IF(LEN(_xlpm.steps)&gt;2,RIGHT(_xlpm.steps,2),_xlpm.steps)))</f>
        <v>1</v>
      </c>
      <c r="D2914">
        <f>_xlfn.LET(_xlpm.dir,Table1[[#This Row],[Direction]],
IF(_xlpm.dir="L",
    IF(F2913-Table1[[#This Row],[Steps]]&lt;0,100+(F2913-Table1[[#This Row],[Steps]]),F2913-Table1[[#This Row],[Steps]]),
))</f>
        <v>99</v>
      </c>
      <c r="E2914">
        <f>_xlfn.LET(_xlpm.dir,Table1[[#This Row],[Direction]],
IF(_xlpm.dir="R",
    IF(F2913+Table1[[#This Row],[Steps]]&gt;99,(F2913+Table1[[#This Row],[Steps]])-100,F2913+Table1[[#This Row],[Steps]]),
))</f>
        <v>0</v>
      </c>
      <c r="F2914">
        <f>IF(Table1[[#This Row],[New Pos L]]&lt;&gt;0,Table1[[#This Row],[New Pos L]],Table1[[#This Row],[New Pos R]])</f>
        <v>99</v>
      </c>
    </row>
    <row r="2915" spans="1:6" ht="16" x14ac:dyDescent="0.2">
      <c r="A2915" s="1" t="s">
        <v>120</v>
      </c>
      <c r="B2915" t="str">
        <f>LEFT(Table1[[#This Row],[Input]],1)</f>
        <v>L</v>
      </c>
      <c r="C2915">
        <f>_xlfn.LET(_xlpm.steps,SUBSTITUTE(Table1[[#This Row],[Input]],Table1[[#This Row],[Direction]],""),VALUE(IF(LEN(_xlpm.steps)&gt;2,RIGHT(_xlpm.steps,2),_xlpm.steps)))</f>
        <v>23</v>
      </c>
      <c r="D2915">
        <f>_xlfn.LET(_xlpm.dir,Table1[[#This Row],[Direction]],
IF(_xlpm.dir="L",
    IF(F2914-Table1[[#This Row],[Steps]]&lt;0,100+(F2914-Table1[[#This Row],[Steps]]),F2914-Table1[[#This Row],[Steps]]),
))</f>
        <v>76</v>
      </c>
      <c r="E2915">
        <f>_xlfn.LET(_xlpm.dir,Table1[[#This Row],[Direction]],
IF(_xlpm.dir="R",
    IF(F2914+Table1[[#This Row],[Steps]]&gt;99,(F2914+Table1[[#This Row],[Steps]])-100,F2914+Table1[[#This Row],[Steps]]),
))</f>
        <v>0</v>
      </c>
      <c r="F2915">
        <f>IF(Table1[[#This Row],[New Pos L]]&lt;&gt;0,Table1[[#This Row],[New Pos L]],Table1[[#This Row],[New Pos R]])</f>
        <v>76</v>
      </c>
    </row>
    <row r="2916" spans="1:6" ht="16" x14ac:dyDescent="0.2">
      <c r="A2916" s="1" t="s">
        <v>66</v>
      </c>
      <c r="B2916" t="str">
        <f>LEFT(Table1[[#This Row],[Input]],1)</f>
        <v>R</v>
      </c>
      <c r="C2916">
        <f>_xlfn.LET(_xlpm.steps,SUBSTITUTE(Table1[[#This Row],[Input]],Table1[[#This Row],[Direction]],""),VALUE(IF(LEN(_xlpm.steps)&gt;2,RIGHT(_xlpm.steps,2),_xlpm.steps)))</f>
        <v>45</v>
      </c>
      <c r="D2916">
        <f>_xlfn.LET(_xlpm.dir,Table1[[#This Row],[Direction]],
IF(_xlpm.dir="L",
    IF(F2915-Table1[[#This Row],[Steps]]&lt;0,100+(F2915-Table1[[#This Row],[Steps]]),F2915-Table1[[#This Row],[Steps]]),
))</f>
        <v>0</v>
      </c>
      <c r="E2916">
        <f>_xlfn.LET(_xlpm.dir,Table1[[#This Row],[Direction]],
IF(_xlpm.dir="R",
    IF(F2915+Table1[[#This Row],[Steps]]&gt;99,(F2915+Table1[[#This Row],[Steps]])-100,F2915+Table1[[#This Row],[Steps]]),
))</f>
        <v>21</v>
      </c>
      <c r="F2916">
        <f>IF(Table1[[#This Row],[New Pos L]]&lt;&gt;0,Table1[[#This Row],[New Pos L]],Table1[[#This Row],[New Pos R]])</f>
        <v>21</v>
      </c>
    </row>
    <row r="2917" spans="1:6" ht="16" x14ac:dyDescent="0.2">
      <c r="A2917" s="1" t="s">
        <v>127</v>
      </c>
      <c r="B2917" t="str">
        <f>LEFT(Table1[[#This Row],[Input]],1)</f>
        <v>L</v>
      </c>
      <c r="C2917">
        <f>_xlfn.LET(_xlpm.steps,SUBSTITUTE(Table1[[#This Row],[Input]],Table1[[#This Row],[Direction]],""),VALUE(IF(LEN(_xlpm.steps)&gt;2,RIGHT(_xlpm.steps,2),_xlpm.steps)))</f>
        <v>62</v>
      </c>
      <c r="D2917">
        <f>_xlfn.LET(_xlpm.dir,Table1[[#This Row],[Direction]],
IF(_xlpm.dir="L",
    IF(F2916-Table1[[#This Row],[Steps]]&lt;0,100+(F2916-Table1[[#This Row],[Steps]]),F2916-Table1[[#This Row],[Steps]]),
))</f>
        <v>59</v>
      </c>
      <c r="E2917">
        <f>_xlfn.LET(_xlpm.dir,Table1[[#This Row],[Direction]],
IF(_xlpm.dir="R",
    IF(F2916+Table1[[#This Row],[Steps]]&gt;99,(F2916+Table1[[#This Row],[Steps]])-100,F2916+Table1[[#This Row],[Steps]]),
))</f>
        <v>0</v>
      </c>
      <c r="F2917">
        <f>IF(Table1[[#This Row],[New Pos L]]&lt;&gt;0,Table1[[#This Row],[New Pos L]],Table1[[#This Row],[New Pos R]])</f>
        <v>59</v>
      </c>
    </row>
    <row r="2918" spans="1:6" ht="16" x14ac:dyDescent="0.2">
      <c r="A2918" s="1" t="s">
        <v>157</v>
      </c>
      <c r="B2918" t="str">
        <f>LEFT(Table1[[#This Row],[Input]],1)</f>
        <v>R</v>
      </c>
      <c r="C2918">
        <f>_xlfn.LET(_xlpm.steps,SUBSTITUTE(Table1[[#This Row],[Input]],Table1[[#This Row],[Direction]],""),VALUE(IF(LEN(_xlpm.steps)&gt;2,RIGHT(_xlpm.steps,2),_xlpm.steps)))</f>
        <v>68</v>
      </c>
      <c r="D2918">
        <f>_xlfn.LET(_xlpm.dir,Table1[[#This Row],[Direction]],
IF(_xlpm.dir="L",
    IF(F2917-Table1[[#This Row],[Steps]]&lt;0,100+(F2917-Table1[[#This Row],[Steps]]),F2917-Table1[[#This Row],[Steps]]),
))</f>
        <v>0</v>
      </c>
      <c r="E2918">
        <f>_xlfn.LET(_xlpm.dir,Table1[[#This Row],[Direction]],
IF(_xlpm.dir="R",
    IF(F2917+Table1[[#This Row],[Steps]]&gt;99,(F2917+Table1[[#This Row],[Steps]])-100,F2917+Table1[[#This Row],[Steps]]),
))</f>
        <v>27</v>
      </c>
      <c r="F2918">
        <f>IF(Table1[[#This Row],[New Pos L]]&lt;&gt;0,Table1[[#This Row],[New Pos L]],Table1[[#This Row],[New Pos R]])</f>
        <v>27</v>
      </c>
    </row>
    <row r="2919" spans="1:6" ht="16" x14ac:dyDescent="0.2">
      <c r="A2919" s="1" t="s">
        <v>390</v>
      </c>
      <c r="B2919" t="str">
        <f>LEFT(Table1[[#This Row],[Input]],1)</f>
        <v>L</v>
      </c>
      <c r="C2919">
        <f>_xlfn.LET(_xlpm.steps,SUBSTITUTE(Table1[[#This Row],[Input]],Table1[[#This Row],[Direction]],""),VALUE(IF(LEN(_xlpm.steps)&gt;2,RIGHT(_xlpm.steps,2),_xlpm.steps)))</f>
        <v>52</v>
      </c>
      <c r="D2919">
        <f>_xlfn.LET(_xlpm.dir,Table1[[#This Row],[Direction]],
IF(_xlpm.dir="L",
    IF(F2918-Table1[[#This Row],[Steps]]&lt;0,100+(F2918-Table1[[#This Row],[Steps]]),F2918-Table1[[#This Row],[Steps]]),
))</f>
        <v>75</v>
      </c>
      <c r="E2919">
        <f>_xlfn.LET(_xlpm.dir,Table1[[#This Row],[Direction]],
IF(_xlpm.dir="R",
    IF(F2918+Table1[[#This Row],[Steps]]&gt;99,(F2918+Table1[[#This Row],[Steps]])-100,F2918+Table1[[#This Row],[Steps]]),
))</f>
        <v>0</v>
      </c>
      <c r="F2919">
        <f>IF(Table1[[#This Row],[New Pos L]]&lt;&gt;0,Table1[[#This Row],[New Pos L]],Table1[[#This Row],[New Pos R]])</f>
        <v>75</v>
      </c>
    </row>
    <row r="2920" spans="1:6" ht="16" x14ac:dyDescent="0.2">
      <c r="A2920" s="1" t="s">
        <v>272</v>
      </c>
      <c r="B2920" t="str">
        <f>LEFT(Table1[[#This Row],[Input]],1)</f>
        <v>R</v>
      </c>
      <c r="C2920">
        <f>_xlfn.LET(_xlpm.steps,SUBSTITUTE(Table1[[#This Row],[Input]],Table1[[#This Row],[Direction]],""),VALUE(IF(LEN(_xlpm.steps)&gt;2,RIGHT(_xlpm.steps,2),_xlpm.steps)))</f>
        <v>56</v>
      </c>
      <c r="D2920">
        <f>_xlfn.LET(_xlpm.dir,Table1[[#This Row],[Direction]],
IF(_xlpm.dir="L",
    IF(F2919-Table1[[#This Row],[Steps]]&lt;0,100+(F2919-Table1[[#This Row],[Steps]]),F2919-Table1[[#This Row],[Steps]]),
))</f>
        <v>0</v>
      </c>
      <c r="E2920">
        <f>_xlfn.LET(_xlpm.dir,Table1[[#This Row],[Direction]],
IF(_xlpm.dir="R",
    IF(F2919+Table1[[#This Row],[Steps]]&gt;99,(F2919+Table1[[#This Row],[Steps]])-100,F2919+Table1[[#This Row],[Steps]]),
))</f>
        <v>31</v>
      </c>
      <c r="F2920">
        <f>IF(Table1[[#This Row],[New Pos L]]&lt;&gt;0,Table1[[#This Row],[New Pos L]],Table1[[#This Row],[New Pos R]])</f>
        <v>31</v>
      </c>
    </row>
    <row r="2921" spans="1:6" ht="16" x14ac:dyDescent="0.2">
      <c r="A2921" s="1" t="s">
        <v>121</v>
      </c>
      <c r="B2921" t="str">
        <f>LEFT(Table1[[#This Row],[Input]],1)</f>
        <v>L</v>
      </c>
      <c r="C2921">
        <f>_xlfn.LET(_xlpm.steps,SUBSTITUTE(Table1[[#This Row],[Input]],Table1[[#This Row],[Direction]],""),VALUE(IF(LEN(_xlpm.steps)&gt;2,RIGHT(_xlpm.steps,2),_xlpm.steps)))</f>
        <v>69</v>
      </c>
      <c r="D2921">
        <f>_xlfn.LET(_xlpm.dir,Table1[[#This Row],[Direction]],
IF(_xlpm.dir="L",
    IF(F2920-Table1[[#This Row],[Steps]]&lt;0,100+(F2920-Table1[[#This Row],[Steps]]),F2920-Table1[[#This Row],[Steps]]),
))</f>
        <v>62</v>
      </c>
      <c r="E2921">
        <f>_xlfn.LET(_xlpm.dir,Table1[[#This Row],[Direction]],
IF(_xlpm.dir="R",
    IF(F2920+Table1[[#This Row],[Steps]]&gt;99,(F2920+Table1[[#This Row],[Steps]])-100,F2920+Table1[[#This Row],[Steps]]),
))</f>
        <v>0</v>
      </c>
      <c r="F2921">
        <f>IF(Table1[[#This Row],[New Pos L]]&lt;&gt;0,Table1[[#This Row],[New Pos L]],Table1[[#This Row],[New Pos R]])</f>
        <v>62</v>
      </c>
    </row>
    <row r="2922" spans="1:6" ht="16" x14ac:dyDescent="0.2">
      <c r="A2922" s="1" t="s">
        <v>79</v>
      </c>
      <c r="B2922" t="str">
        <f>LEFT(Table1[[#This Row],[Input]],1)</f>
        <v>L</v>
      </c>
      <c r="C2922">
        <f>_xlfn.LET(_xlpm.steps,SUBSTITUTE(Table1[[#This Row],[Input]],Table1[[#This Row],[Direction]],""),VALUE(IF(LEN(_xlpm.steps)&gt;2,RIGHT(_xlpm.steps,2),_xlpm.steps)))</f>
        <v>45</v>
      </c>
      <c r="D2922">
        <f>_xlfn.LET(_xlpm.dir,Table1[[#This Row],[Direction]],
IF(_xlpm.dir="L",
    IF(F2921-Table1[[#This Row],[Steps]]&lt;0,100+(F2921-Table1[[#This Row],[Steps]]),F2921-Table1[[#This Row],[Steps]]),
))</f>
        <v>17</v>
      </c>
      <c r="E2922">
        <f>_xlfn.LET(_xlpm.dir,Table1[[#This Row],[Direction]],
IF(_xlpm.dir="R",
    IF(F2921+Table1[[#This Row],[Steps]]&gt;99,(F2921+Table1[[#This Row],[Steps]])-100,F2921+Table1[[#This Row],[Steps]]),
))</f>
        <v>0</v>
      </c>
      <c r="F2922">
        <f>IF(Table1[[#This Row],[New Pos L]]&lt;&gt;0,Table1[[#This Row],[New Pos L]],Table1[[#This Row],[New Pos R]])</f>
        <v>17</v>
      </c>
    </row>
    <row r="2923" spans="1:6" ht="16" x14ac:dyDescent="0.2">
      <c r="A2923" s="1" t="s">
        <v>119</v>
      </c>
      <c r="B2923" t="str">
        <f>LEFT(Table1[[#This Row],[Input]],1)</f>
        <v>L</v>
      </c>
      <c r="C2923">
        <f>_xlfn.LET(_xlpm.steps,SUBSTITUTE(Table1[[#This Row],[Input]],Table1[[#This Row],[Direction]],""),VALUE(IF(LEN(_xlpm.steps)&gt;2,RIGHT(_xlpm.steps,2),_xlpm.steps)))</f>
        <v>77</v>
      </c>
      <c r="D2923">
        <f>_xlfn.LET(_xlpm.dir,Table1[[#This Row],[Direction]],
IF(_xlpm.dir="L",
    IF(F2922-Table1[[#This Row],[Steps]]&lt;0,100+(F2922-Table1[[#This Row],[Steps]]),F2922-Table1[[#This Row],[Steps]]),
))</f>
        <v>40</v>
      </c>
      <c r="E2923">
        <f>_xlfn.LET(_xlpm.dir,Table1[[#This Row],[Direction]],
IF(_xlpm.dir="R",
    IF(F2922+Table1[[#This Row],[Steps]]&gt;99,(F2922+Table1[[#This Row],[Steps]])-100,F2922+Table1[[#This Row],[Steps]]),
))</f>
        <v>0</v>
      </c>
      <c r="F2923">
        <f>IF(Table1[[#This Row],[New Pos L]]&lt;&gt;0,Table1[[#This Row],[New Pos L]],Table1[[#This Row],[New Pos R]])</f>
        <v>40</v>
      </c>
    </row>
    <row r="2924" spans="1:6" ht="16" x14ac:dyDescent="0.2">
      <c r="A2924" s="1" t="s">
        <v>68</v>
      </c>
      <c r="B2924" t="str">
        <f>LEFT(Table1[[#This Row],[Input]],1)</f>
        <v>L</v>
      </c>
      <c r="C2924">
        <f>_xlfn.LET(_xlpm.steps,SUBSTITUTE(Table1[[#This Row],[Input]],Table1[[#This Row],[Direction]],""),VALUE(IF(LEN(_xlpm.steps)&gt;2,RIGHT(_xlpm.steps,2),_xlpm.steps)))</f>
        <v>80</v>
      </c>
      <c r="D2924">
        <f>_xlfn.LET(_xlpm.dir,Table1[[#This Row],[Direction]],
IF(_xlpm.dir="L",
    IF(F2923-Table1[[#This Row],[Steps]]&lt;0,100+(F2923-Table1[[#This Row],[Steps]]),F2923-Table1[[#This Row],[Steps]]),
))</f>
        <v>60</v>
      </c>
      <c r="E2924">
        <f>_xlfn.LET(_xlpm.dir,Table1[[#This Row],[Direction]],
IF(_xlpm.dir="R",
    IF(F2923+Table1[[#This Row],[Steps]]&gt;99,(F2923+Table1[[#This Row],[Steps]])-100,F2923+Table1[[#This Row],[Steps]]),
))</f>
        <v>0</v>
      </c>
      <c r="F2924">
        <f>IF(Table1[[#This Row],[New Pos L]]&lt;&gt;0,Table1[[#This Row],[New Pos L]],Table1[[#This Row],[New Pos R]])</f>
        <v>60</v>
      </c>
    </row>
    <row r="2925" spans="1:6" ht="16" x14ac:dyDescent="0.2">
      <c r="A2925" s="1" t="s">
        <v>179</v>
      </c>
      <c r="B2925" t="str">
        <f>LEFT(Table1[[#This Row],[Input]],1)</f>
        <v>L</v>
      </c>
      <c r="C2925">
        <f>_xlfn.LET(_xlpm.steps,SUBSTITUTE(Table1[[#This Row],[Input]],Table1[[#This Row],[Direction]],""),VALUE(IF(LEN(_xlpm.steps)&gt;2,RIGHT(_xlpm.steps,2),_xlpm.steps)))</f>
        <v>54</v>
      </c>
      <c r="D2925">
        <f>_xlfn.LET(_xlpm.dir,Table1[[#This Row],[Direction]],
IF(_xlpm.dir="L",
    IF(F2924-Table1[[#This Row],[Steps]]&lt;0,100+(F2924-Table1[[#This Row],[Steps]]),F2924-Table1[[#This Row],[Steps]]),
))</f>
        <v>6</v>
      </c>
      <c r="E2925">
        <f>_xlfn.LET(_xlpm.dir,Table1[[#This Row],[Direction]],
IF(_xlpm.dir="R",
    IF(F2924+Table1[[#This Row],[Steps]]&gt;99,(F2924+Table1[[#This Row],[Steps]])-100,F2924+Table1[[#This Row],[Steps]]),
))</f>
        <v>0</v>
      </c>
      <c r="F2925">
        <f>IF(Table1[[#This Row],[New Pos L]]&lt;&gt;0,Table1[[#This Row],[New Pos L]],Table1[[#This Row],[New Pos R]])</f>
        <v>6</v>
      </c>
    </row>
    <row r="2926" spans="1:6" ht="16" x14ac:dyDescent="0.2">
      <c r="A2926" s="1" t="s">
        <v>13</v>
      </c>
      <c r="B2926" t="str">
        <f>LEFT(Table1[[#This Row],[Input]],1)</f>
        <v>R</v>
      </c>
      <c r="C2926">
        <f>_xlfn.LET(_xlpm.steps,SUBSTITUTE(Table1[[#This Row],[Input]],Table1[[#This Row],[Direction]],""),VALUE(IF(LEN(_xlpm.steps)&gt;2,RIGHT(_xlpm.steps,2),_xlpm.steps)))</f>
        <v>12</v>
      </c>
      <c r="D2926">
        <f>_xlfn.LET(_xlpm.dir,Table1[[#This Row],[Direction]],
IF(_xlpm.dir="L",
    IF(F2925-Table1[[#This Row],[Steps]]&lt;0,100+(F2925-Table1[[#This Row],[Steps]]),F2925-Table1[[#This Row],[Steps]]),
))</f>
        <v>0</v>
      </c>
      <c r="E2926">
        <f>_xlfn.LET(_xlpm.dir,Table1[[#This Row],[Direction]],
IF(_xlpm.dir="R",
    IF(F2925+Table1[[#This Row],[Steps]]&gt;99,(F2925+Table1[[#This Row],[Steps]])-100,F2925+Table1[[#This Row],[Steps]]),
))</f>
        <v>18</v>
      </c>
      <c r="F2926">
        <f>IF(Table1[[#This Row],[New Pos L]]&lt;&gt;0,Table1[[#This Row],[New Pos L]],Table1[[#This Row],[New Pos R]])</f>
        <v>18</v>
      </c>
    </row>
    <row r="2927" spans="1:6" ht="16" x14ac:dyDescent="0.2">
      <c r="A2927" s="1" t="s">
        <v>234</v>
      </c>
      <c r="B2927" t="str">
        <f>LEFT(Table1[[#This Row],[Input]],1)</f>
        <v>R</v>
      </c>
      <c r="C2927">
        <f>_xlfn.LET(_xlpm.steps,SUBSTITUTE(Table1[[#This Row],[Input]],Table1[[#This Row],[Direction]],""),VALUE(IF(LEN(_xlpm.steps)&gt;2,RIGHT(_xlpm.steps,2),_xlpm.steps)))</f>
        <v>82</v>
      </c>
      <c r="D2927">
        <f>_xlfn.LET(_xlpm.dir,Table1[[#This Row],[Direction]],
IF(_xlpm.dir="L",
    IF(F2926-Table1[[#This Row],[Steps]]&lt;0,100+(F2926-Table1[[#This Row],[Steps]]),F2926-Table1[[#This Row],[Steps]]),
))</f>
        <v>0</v>
      </c>
      <c r="E2927">
        <f>_xlfn.LET(_xlpm.dir,Table1[[#This Row],[Direction]],
IF(_xlpm.dir="R",
    IF(F2926+Table1[[#This Row],[Steps]]&gt;99,(F2926+Table1[[#This Row],[Steps]])-100,F2926+Table1[[#This Row],[Steps]]),
))</f>
        <v>0</v>
      </c>
      <c r="F2927">
        <f>IF(Table1[[#This Row],[New Pos L]]&lt;&gt;0,Table1[[#This Row],[New Pos L]],Table1[[#This Row],[New Pos R]])</f>
        <v>0</v>
      </c>
    </row>
    <row r="2928" spans="1:6" ht="16" x14ac:dyDescent="0.2">
      <c r="A2928" s="1" t="s">
        <v>175</v>
      </c>
      <c r="B2928" t="str">
        <f>LEFT(Table1[[#This Row],[Input]],1)</f>
        <v>L</v>
      </c>
      <c r="C2928">
        <f>_xlfn.LET(_xlpm.steps,SUBSTITUTE(Table1[[#This Row],[Input]],Table1[[#This Row],[Direction]],""),VALUE(IF(LEN(_xlpm.steps)&gt;2,RIGHT(_xlpm.steps,2),_xlpm.steps)))</f>
        <v>1</v>
      </c>
      <c r="D2928">
        <f>_xlfn.LET(_xlpm.dir,Table1[[#This Row],[Direction]],
IF(_xlpm.dir="L",
    IF(F2927-Table1[[#This Row],[Steps]]&lt;0,100+(F2927-Table1[[#This Row],[Steps]]),F2927-Table1[[#This Row],[Steps]]),
))</f>
        <v>99</v>
      </c>
      <c r="E2928">
        <f>_xlfn.LET(_xlpm.dir,Table1[[#This Row],[Direction]],
IF(_xlpm.dir="R",
    IF(F2927+Table1[[#This Row],[Steps]]&gt;99,(F2927+Table1[[#This Row],[Steps]])-100,F2927+Table1[[#This Row],[Steps]]),
))</f>
        <v>0</v>
      </c>
      <c r="F2928">
        <f>IF(Table1[[#This Row],[New Pos L]]&lt;&gt;0,Table1[[#This Row],[New Pos L]],Table1[[#This Row],[New Pos R]])</f>
        <v>99</v>
      </c>
    </row>
    <row r="2929" spans="1:6" ht="16" x14ac:dyDescent="0.2">
      <c r="A2929" s="1" t="s">
        <v>252</v>
      </c>
      <c r="B2929" t="str">
        <f>LEFT(Table1[[#This Row],[Input]],1)</f>
        <v>L</v>
      </c>
      <c r="C2929">
        <f>_xlfn.LET(_xlpm.steps,SUBSTITUTE(Table1[[#This Row],[Input]],Table1[[#This Row],[Direction]],""),VALUE(IF(LEN(_xlpm.steps)&gt;2,RIGHT(_xlpm.steps,2),_xlpm.steps)))</f>
        <v>99</v>
      </c>
      <c r="D2929">
        <f>_xlfn.LET(_xlpm.dir,Table1[[#This Row],[Direction]],
IF(_xlpm.dir="L",
    IF(F2928-Table1[[#This Row],[Steps]]&lt;0,100+(F2928-Table1[[#This Row],[Steps]]),F2928-Table1[[#This Row],[Steps]]),
))</f>
        <v>0</v>
      </c>
      <c r="E2929">
        <f>_xlfn.LET(_xlpm.dir,Table1[[#This Row],[Direction]],
IF(_xlpm.dir="R",
    IF(F2928+Table1[[#This Row],[Steps]]&gt;99,(F2928+Table1[[#This Row],[Steps]])-100,F2928+Table1[[#This Row],[Steps]]),
))</f>
        <v>0</v>
      </c>
      <c r="F2929">
        <f>IF(Table1[[#This Row],[New Pos L]]&lt;&gt;0,Table1[[#This Row],[New Pos L]],Table1[[#This Row],[New Pos R]])</f>
        <v>0</v>
      </c>
    </row>
    <row r="2930" spans="1:6" ht="16" x14ac:dyDescent="0.2">
      <c r="A2930" s="1" t="s">
        <v>95</v>
      </c>
      <c r="B2930" t="str">
        <f>LEFT(Table1[[#This Row],[Input]],1)</f>
        <v>L</v>
      </c>
      <c r="C2930">
        <f>_xlfn.LET(_xlpm.steps,SUBSTITUTE(Table1[[#This Row],[Input]],Table1[[#This Row],[Direction]],""),VALUE(IF(LEN(_xlpm.steps)&gt;2,RIGHT(_xlpm.steps,2),_xlpm.steps)))</f>
        <v>78</v>
      </c>
      <c r="D2930">
        <f>_xlfn.LET(_xlpm.dir,Table1[[#This Row],[Direction]],
IF(_xlpm.dir="L",
    IF(F2929-Table1[[#This Row],[Steps]]&lt;0,100+(F2929-Table1[[#This Row],[Steps]]),F2929-Table1[[#This Row],[Steps]]),
))</f>
        <v>22</v>
      </c>
      <c r="E2930">
        <f>_xlfn.LET(_xlpm.dir,Table1[[#This Row],[Direction]],
IF(_xlpm.dir="R",
    IF(F2929+Table1[[#This Row],[Steps]]&gt;99,(F2929+Table1[[#This Row],[Steps]])-100,F2929+Table1[[#This Row],[Steps]]),
))</f>
        <v>0</v>
      </c>
      <c r="F2930">
        <f>IF(Table1[[#This Row],[New Pos L]]&lt;&gt;0,Table1[[#This Row],[New Pos L]],Table1[[#This Row],[New Pos R]])</f>
        <v>22</v>
      </c>
    </row>
    <row r="2931" spans="1:6" ht="16" x14ac:dyDescent="0.2">
      <c r="A2931" s="1" t="s">
        <v>505</v>
      </c>
      <c r="B2931" t="str">
        <f>LEFT(Table1[[#This Row],[Input]],1)</f>
        <v>L</v>
      </c>
      <c r="C2931">
        <f>_xlfn.LET(_xlpm.steps,SUBSTITUTE(Table1[[#This Row],[Input]],Table1[[#This Row],[Direction]],""),VALUE(IF(LEN(_xlpm.steps)&gt;2,RIGHT(_xlpm.steps,2),_xlpm.steps)))</f>
        <v>91</v>
      </c>
      <c r="D2931">
        <f>_xlfn.LET(_xlpm.dir,Table1[[#This Row],[Direction]],
IF(_xlpm.dir="L",
    IF(F2930-Table1[[#This Row],[Steps]]&lt;0,100+(F2930-Table1[[#This Row],[Steps]]),F2930-Table1[[#This Row],[Steps]]),
))</f>
        <v>31</v>
      </c>
      <c r="E2931">
        <f>_xlfn.LET(_xlpm.dir,Table1[[#This Row],[Direction]],
IF(_xlpm.dir="R",
    IF(F2930+Table1[[#This Row],[Steps]]&gt;99,(F2930+Table1[[#This Row],[Steps]])-100,F2930+Table1[[#This Row],[Steps]]),
))</f>
        <v>0</v>
      </c>
      <c r="F2931">
        <f>IF(Table1[[#This Row],[New Pos L]]&lt;&gt;0,Table1[[#This Row],[New Pos L]],Table1[[#This Row],[New Pos R]])</f>
        <v>31</v>
      </c>
    </row>
    <row r="2932" spans="1:6" ht="16" x14ac:dyDescent="0.2">
      <c r="A2932" s="1" t="s">
        <v>135</v>
      </c>
      <c r="B2932" t="str">
        <f>LEFT(Table1[[#This Row],[Input]],1)</f>
        <v>R</v>
      </c>
      <c r="C2932">
        <f>_xlfn.LET(_xlpm.steps,SUBSTITUTE(Table1[[#This Row],[Input]],Table1[[#This Row],[Direction]],""),VALUE(IF(LEN(_xlpm.steps)&gt;2,RIGHT(_xlpm.steps,2),_xlpm.steps)))</f>
        <v>69</v>
      </c>
      <c r="D2932">
        <f>_xlfn.LET(_xlpm.dir,Table1[[#This Row],[Direction]],
IF(_xlpm.dir="L",
    IF(F2931-Table1[[#This Row],[Steps]]&lt;0,100+(F2931-Table1[[#This Row],[Steps]]),F2931-Table1[[#This Row],[Steps]]),
))</f>
        <v>0</v>
      </c>
      <c r="E2932">
        <f>_xlfn.LET(_xlpm.dir,Table1[[#This Row],[Direction]],
IF(_xlpm.dir="R",
    IF(F2931+Table1[[#This Row],[Steps]]&gt;99,(F2931+Table1[[#This Row],[Steps]])-100,F2931+Table1[[#This Row],[Steps]]),
))</f>
        <v>0</v>
      </c>
      <c r="F2932">
        <f>IF(Table1[[#This Row],[New Pos L]]&lt;&gt;0,Table1[[#This Row],[New Pos L]],Table1[[#This Row],[New Pos R]])</f>
        <v>0</v>
      </c>
    </row>
    <row r="2933" spans="1:6" ht="16" x14ac:dyDescent="0.2">
      <c r="A2933" s="1" t="s">
        <v>148</v>
      </c>
      <c r="B2933" t="str">
        <f>LEFT(Table1[[#This Row],[Input]],1)</f>
        <v>R</v>
      </c>
      <c r="C2933">
        <f>_xlfn.LET(_xlpm.steps,SUBSTITUTE(Table1[[#This Row],[Input]],Table1[[#This Row],[Direction]],""),VALUE(IF(LEN(_xlpm.steps)&gt;2,RIGHT(_xlpm.steps,2),_xlpm.steps)))</f>
        <v>80</v>
      </c>
      <c r="D2933">
        <f>_xlfn.LET(_xlpm.dir,Table1[[#This Row],[Direction]],
IF(_xlpm.dir="L",
    IF(F2932-Table1[[#This Row],[Steps]]&lt;0,100+(F2932-Table1[[#This Row],[Steps]]),F2932-Table1[[#This Row],[Steps]]),
))</f>
        <v>0</v>
      </c>
      <c r="E2933">
        <f>_xlfn.LET(_xlpm.dir,Table1[[#This Row],[Direction]],
IF(_xlpm.dir="R",
    IF(F2932+Table1[[#This Row],[Steps]]&gt;99,(F2932+Table1[[#This Row],[Steps]])-100,F2932+Table1[[#This Row],[Steps]]),
))</f>
        <v>80</v>
      </c>
      <c r="F2933">
        <f>IF(Table1[[#This Row],[New Pos L]]&lt;&gt;0,Table1[[#This Row],[New Pos L]],Table1[[#This Row],[New Pos R]])</f>
        <v>80</v>
      </c>
    </row>
    <row r="2934" spans="1:6" ht="16" x14ac:dyDescent="0.2">
      <c r="A2934" s="1" t="s">
        <v>670</v>
      </c>
      <c r="B2934" t="str">
        <f>LEFT(Table1[[#This Row],[Input]],1)</f>
        <v>R</v>
      </c>
      <c r="C2934">
        <f>_xlfn.LET(_xlpm.steps,SUBSTITUTE(Table1[[#This Row],[Input]],Table1[[#This Row],[Direction]],""),VALUE(IF(LEN(_xlpm.steps)&gt;2,RIGHT(_xlpm.steps,2),_xlpm.steps)))</f>
        <v>21</v>
      </c>
      <c r="D2934">
        <f>_xlfn.LET(_xlpm.dir,Table1[[#This Row],[Direction]],
IF(_xlpm.dir="L",
    IF(F2933-Table1[[#This Row],[Steps]]&lt;0,100+(F2933-Table1[[#This Row],[Steps]]),F2933-Table1[[#This Row],[Steps]]),
))</f>
        <v>0</v>
      </c>
      <c r="E2934">
        <f>_xlfn.LET(_xlpm.dir,Table1[[#This Row],[Direction]],
IF(_xlpm.dir="R",
    IF(F2933+Table1[[#This Row],[Steps]]&gt;99,(F2933+Table1[[#This Row],[Steps]])-100,F2933+Table1[[#This Row],[Steps]]),
))</f>
        <v>1</v>
      </c>
      <c r="F2934">
        <f>IF(Table1[[#This Row],[New Pos L]]&lt;&gt;0,Table1[[#This Row],[New Pos L]],Table1[[#This Row],[New Pos R]])</f>
        <v>1</v>
      </c>
    </row>
    <row r="2935" spans="1:6" ht="16" x14ac:dyDescent="0.2">
      <c r="A2935" s="1" t="s">
        <v>66</v>
      </c>
      <c r="B2935" t="str">
        <f>LEFT(Table1[[#This Row],[Input]],1)</f>
        <v>R</v>
      </c>
      <c r="C2935">
        <f>_xlfn.LET(_xlpm.steps,SUBSTITUTE(Table1[[#This Row],[Input]],Table1[[#This Row],[Direction]],""),VALUE(IF(LEN(_xlpm.steps)&gt;2,RIGHT(_xlpm.steps,2),_xlpm.steps)))</f>
        <v>45</v>
      </c>
      <c r="D2935">
        <f>_xlfn.LET(_xlpm.dir,Table1[[#This Row],[Direction]],
IF(_xlpm.dir="L",
    IF(F2934-Table1[[#This Row],[Steps]]&lt;0,100+(F2934-Table1[[#This Row],[Steps]]),F2934-Table1[[#This Row],[Steps]]),
))</f>
        <v>0</v>
      </c>
      <c r="E2935">
        <f>_xlfn.LET(_xlpm.dir,Table1[[#This Row],[Direction]],
IF(_xlpm.dir="R",
    IF(F2934+Table1[[#This Row],[Steps]]&gt;99,(F2934+Table1[[#This Row],[Steps]])-100,F2934+Table1[[#This Row],[Steps]]),
))</f>
        <v>46</v>
      </c>
      <c r="F2935">
        <f>IF(Table1[[#This Row],[New Pos L]]&lt;&gt;0,Table1[[#This Row],[New Pos L]],Table1[[#This Row],[New Pos R]])</f>
        <v>46</v>
      </c>
    </row>
    <row r="2936" spans="1:6" ht="16" x14ac:dyDescent="0.2">
      <c r="A2936" s="1" t="s">
        <v>35</v>
      </c>
      <c r="B2936" t="str">
        <f>LEFT(Table1[[#This Row],[Input]],1)</f>
        <v>L</v>
      </c>
      <c r="C2936">
        <f>_xlfn.LET(_xlpm.steps,SUBSTITUTE(Table1[[#This Row],[Input]],Table1[[#This Row],[Direction]],""),VALUE(IF(LEN(_xlpm.steps)&gt;2,RIGHT(_xlpm.steps,2),_xlpm.steps)))</f>
        <v>2</v>
      </c>
      <c r="D2936">
        <f>_xlfn.LET(_xlpm.dir,Table1[[#This Row],[Direction]],
IF(_xlpm.dir="L",
    IF(F2935-Table1[[#This Row],[Steps]]&lt;0,100+(F2935-Table1[[#This Row],[Steps]]),F2935-Table1[[#This Row],[Steps]]),
))</f>
        <v>44</v>
      </c>
      <c r="E2936">
        <f>_xlfn.LET(_xlpm.dir,Table1[[#This Row],[Direction]],
IF(_xlpm.dir="R",
    IF(F2935+Table1[[#This Row],[Steps]]&gt;99,(F2935+Table1[[#This Row],[Steps]])-100,F2935+Table1[[#This Row],[Steps]]),
))</f>
        <v>0</v>
      </c>
      <c r="F2936">
        <f>IF(Table1[[#This Row],[New Pos L]]&lt;&gt;0,Table1[[#This Row],[New Pos L]],Table1[[#This Row],[New Pos R]])</f>
        <v>44</v>
      </c>
    </row>
    <row r="2937" spans="1:6" ht="16" x14ac:dyDescent="0.2">
      <c r="A2937" s="1" t="s">
        <v>272</v>
      </c>
      <c r="B2937" t="str">
        <f>LEFT(Table1[[#This Row],[Input]],1)</f>
        <v>R</v>
      </c>
      <c r="C2937">
        <f>_xlfn.LET(_xlpm.steps,SUBSTITUTE(Table1[[#This Row],[Input]],Table1[[#This Row],[Direction]],""),VALUE(IF(LEN(_xlpm.steps)&gt;2,RIGHT(_xlpm.steps,2),_xlpm.steps)))</f>
        <v>56</v>
      </c>
      <c r="D2937">
        <f>_xlfn.LET(_xlpm.dir,Table1[[#This Row],[Direction]],
IF(_xlpm.dir="L",
    IF(F2936-Table1[[#This Row],[Steps]]&lt;0,100+(F2936-Table1[[#This Row],[Steps]]),F2936-Table1[[#This Row],[Steps]]),
))</f>
        <v>0</v>
      </c>
      <c r="E2937">
        <f>_xlfn.LET(_xlpm.dir,Table1[[#This Row],[Direction]],
IF(_xlpm.dir="R",
    IF(F2936+Table1[[#This Row],[Steps]]&gt;99,(F2936+Table1[[#This Row],[Steps]])-100,F2936+Table1[[#This Row],[Steps]]),
))</f>
        <v>0</v>
      </c>
      <c r="F2937">
        <f>IF(Table1[[#This Row],[New Pos L]]&lt;&gt;0,Table1[[#This Row],[New Pos L]],Table1[[#This Row],[New Pos R]])</f>
        <v>0</v>
      </c>
    </row>
    <row r="2938" spans="1:6" ht="16" x14ac:dyDescent="0.2">
      <c r="A2938" s="1" t="s">
        <v>122</v>
      </c>
      <c r="B2938" t="str">
        <f>LEFT(Table1[[#This Row],[Input]],1)</f>
        <v>R</v>
      </c>
      <c r="C2938">
        <f>_xlfn.LET(_xlpm.steps,SUBSTITUTE(Table1[[#This Row],[Input]],Table1[[#This Row],[Direction]],""),VALUE(IF(LEN(_xlpm.steps)&gt;2,RIGHT(_xlpm.steps,2),_xlpm.steps)))</f>
        <v>75</v>
      </c>
      <c r="D2938">
        <f>_xlfn.LET(_xlpm.dir,Table1[[#This Row],[Direction]],
IF(_xlpm.dir="L",
    IF(F2937-Table1[[#This Row],[Steps]]&lt;0,100+(F2937-Table1[[#This Row],[Steps]]),F2937-Table1[[#This Row],[Steps]]),
))</f>
        <v>0</v>
      </c>
      <c r="E2938">
        <f>_xlfn.LET(_xlpm.dir,Table1[[#This Row],[Direction]],
IF(_xlpm.dir="R",
    IF(F2937+Table1[[#This Row],[Steps]]&gt;99,(F2937+Table1[[#This Row],[Steps]])-100,F2937+Table1[[#This Row],[Steps]]),
))</f>
        <v>75</v>
      </c>
      <c r="F2938">
        <f>IF(Table1[[#This Row],[New Pos L]]&lt;&gt;0,Table1[[#This Row],[New Pos L]],Table1[[#This Row],[New Pos R]])</f>
        <v>75</v>
      </c>
    </row>
    <row r="2939" spans="1:6" ht="16" x14ac:dyDescent="0.2">
      <c r="A2939" s="1" t="s">
        <v>209</v>
      </c>
      <c r="B2939" t="str">
        <f>LEFT(Table1[[#This Row],[Input]],1)</f>
        <v>L</v>
      </c>
      <c r="C2939">
        <f>_xlfn.LET(_xlpm.steps,SUBSTITUTE(Table1[[#This Row],[Input]],Table1[[#This Row],[Direction]],""),VALUE(IF(LEN(_xlpm.steps)&gt;2,RIGHT(_xlpm.steps,2),_xlpm.steps)))</f>
        <v>86</v>
      </c>
      <c r="D2939">
        <f>_xlfn.LET(_xlpm.dir,Table1[[#This Row],[Direction]],
IF(_xlpm.dir="L",
    IF(F2938-Table1[[#This Row],[Steps]]&lt;0,100+(F2938-Table1[[#This Row],[Steps]]),F2938-Table1[[#This Row],[Steps]]),
))</f>
        <v>89</v>
      </c>
      <c r="E2939">
        <f>_xlfn.LET(_xlpm.dir,Table1[[#This Row],[Direction]],
IF(_xlpm.dir="R",
    IF(F2938+Table1[[#This Row],[Steps]]&gt;99,(F2938+Table1[[#This Row],[Steps]])-100,F2938+Table1[[#This Row],[Steps]]),
))</f>
        <v>0</v>
      </c>
      <c r="F2939">
        <f>IF(Table1[[#This Row],[New Pos L]]&lt;&gt;0,Table1[[#This Row],[New Pos L]],Table1[[#This Row],[New Pos R]])</f>
        <v>89</v>
      </c>
    </row>
    <row r="2940" spans="1:6" ht="16" x14ac:dyDescent="0.2">
      <c r="A2940" s="1" t="s">
        <v>157</v>
      </c>
      <c r="B2940" t="str">
        <f>LEFT(Table1[[#This Row],[Input]],1)</f>
        <v>R</v>
      </c>
      <c r="C2940">
        <f>_xlfn.LET(_xlpm.steps,SUBSTITUTE(Table1[[#This Row],[Input]],Table1[[#This Row],[Direction]],""),VALUE(IF(LEN(_xlpm.steps)&gt;2,RIGHT(_xlpm.steps,2),_xlpm.steps)))</f>
        <v>68</v>
      </c>
      <c r="D2940">
        <f>_xlfn.LET(_xlpm.dir,Table1[[#This Row],[Direction]],
IF(_xlpm.dir="L",
    IF(F2939-Table1[[#This Row],[Steps]]&lt;0,100+(F2939-Table1[[#This Row],[Steps]]),F2939-Table1[[#This Row],[Steps]]),
))</f>
        <v>0</v>
      </c>
      <c r="E2940">
        <f>_xlfn.LET(_xlpm.dir,Table1[[#This Row],[Direction]],
IF(_xlpm.dir="R",
    IF(F2939+Table1[[#This Row],[Steps]]&gt;99,(F2939+Table1[[#This Row],[Steps]])-100,F2939+Table1[[#This Row],[Steps]]),
))</f>
        <v>57</v>
      </c>
      <c r="F2940">
        <f>IF(Table1[[#This Row],[New Pos L]]&lt;&gt;0,Table1[[#This Row],[New Pos L]],Table1[[#This Row],[New Pos R]])</f>
        <v>57</v>
      </c>
    </row>
    <row r="2941" spans="1:6" ht="16" x14ac:dyDescent="0.2">
      <c r="A2941" s="1" t="s">
        <v>62</v>
      </c>
      <c r="B2941" t="str">
        <f>LEFT(Table1[[#This Row],[Input]],1)</f>
        <v>L</v>
      </c>
      <c r="C2941">
        <f>_xlfn.LET(_xlpm.steps,SUBSTITUTE(Table1[[#This Row],[Input]],Table1[[#This Row],[Direction]],""),VALUE(IF(LEN(_xlpm.steps)&gt;2,RIGHT(_xlpm.steps,2),_xlpm.steps)))</f>
        <v>57</v>
      </c>
      <c r="D2941">
        <f>_xlfn.LET(_xlpm.dir,Table1[[#This Row],[Direction]],
IF(_xlpm.dir="L",
    IF(F2940-Table1[[#This Row],[Steps]]&lt;0,100+(F2940-Table1[[#This Row],[Steps]]),F2940-Table1[[#This Row],[Steps]]),
))</f>
        <v>0</v>
      </c>
      <c r="E2941">
        <f>_xlfn.LET(_xlpm.dir,Table1[[#This Row],[Direction]],
IF(_xlpm.dir="R",
    IF(F2940+Table1[[#This Row],[Steps]]&gt;99,(F2940+Table1[[#This Row],[Steps]])-100,F2940+Table1[[#This Row],[Steps]]),
))</f>
        <v>0</v>
      </c>
      <c r="F2941">
        <f>IF(Table1[[#This Row],[New Pos L]]&lt;&gt;0,Table1[[#This Row],[New Pos L]],Table1[[#This Row],[New Pos R]])</f>
        <v>0</v>
      </c>
    </row>
    <row r="2942" spans="1:6" ht="16" x14ac:dyDescent="0.2">
      <c r="A2942" s="1" t="s">
        <v>551</v>
      </c>
      <c r="B2942" t="str">
        <f>LEFT(Table1[[#This Row],[Input]],1)</f>
        <v>L</v>
      </c>
      <c r="C2942">
        <f>_xlfn.LET(_xlpm.steps,SUBSTITUTE(Table1[[#This Row],[Input]],Table1[[#This Row],[Direction]],""),VALUE(IF(LEN(_xlpm.steps)&gt;2,RIGHT(_xlpm.steps,2),_xlpm.steps)))</f>
        <v>21</v>
      </c>
      <c r="D2942">
        <f>_xlfn.LET(_xlpm.dir,Table1[[#This Row],[Direction]],
IF(_xlpm.dir="L",
    IF(F2941-Table1[[#This Row],[Steps]]&lt;0,100+(F2941-Table1[[#This Row],[Steps]]),F2941-Table1[[#This Row],[Steps]]),
))</f>
        <v>79</v>
      </c>
      <c r="E2942">
        <f>_xlfn.LET(_xlpm.dir,Table1[[#This Row],[Direction]],
IF(_xlpm.dir="R",
    IF(F2941+Table1[[#This Row],[Steps]]&gt;99,(F2941+Table1[[#This Row],[Steps]])-100,F2941+Table1[[#This Row],[Steps]]),
))</f>
        <v>0</v>
      </c>
      <c r="F2942">
        <f>IF(Table1[[#This Row],[New Pos L]]&lt;&gt;0,Table1[[#This Row],[New Pos L]],Table1[[#This Row],[New Pos R]])</f>
        <v>79</v>
      </c>
    </row>
    <row r="2943" spans="1:6" ht="16" x14ac:dyDescent="0.2">
      <c r="A2943" s="1" t="s">
        <v>319</v>
      </c>
      <c r="B2943" t="str">
        <f>LEFT(Table1[[#This Row],[Input]],1)</f>
        <v>L</v>
      </c>
      <c r="C2943">
        <f>_xlfn.LET(_xlpm.steps,SUBSTITUTE(Table1[[#This Row],[Input]],Table1[[#This Row],[Direction]],""),VALUE(IF(LEN(_xlpm.steps)&gt;2,RIGHT(_xlpm.steps,2),_xlpm.steps)))</f>
        <v>79</v>
      </c>
      <c r="D2943">
        <f>_xlfn.LET(_xlpm.dir,Table1[[#This Row],[Direction]],
IF(_xlpm.dir="L",
    IF(F2942-Table1[[#This Row],[Steps]]&lt;0,100+(F2942-Table1[[#This Row],[Steps]]),F2942-Table1[[#This Row],[Steps]]),
))</f>
        <v>0</v>
      </c>
      <c r="E2943">
        <f>_xlfn.LET(_xlpm.dir,Table1[[#This Row],[Direction]],
IF(_xlpm.dir="R",
    IF(F2942+Table1[[#This Row],[Steps]]&gt;99,(F2942+Table1[[#This Row],[Steps]])-100,F2942+Table1[[#This Row],[Steps]]),
))</f>
        <v>0</v>
      </c>
      <c r="F2943">
        <f>IF(Table1[[#This Row],[New Pos L]]&lt;&gt;0,Table1[[#This Row],[New Pos L]],Table1[[#This Row],[New Pos R]])</f>
        <v>0</v>
      </c>
    </row>
    <row r="2944" spans="1:6" ht="16" x14ac:dyDescent="0.2">
      <c r="A2944" s="1" t="s">
        <v>276</v>
      </c>
      <c r="B2944" t="str">
        <f>LEFT(Table1[[#This Row],[Input]],1)</f>
        <v>L</v>
      </c>
      <c r="C2944">
        <f>_xlfn.LET(_xlpm.steps,SUBSTITUTE(Table1[[#This Row],[Input]],Table1[[#This Row],[Direction]],""),VALUE(IF(LEN(_xlpm.steps)&gt;2,RIGHT(_xlpm.steps,2),_xlpm.steps)))</f>
        <v>60</v>
      </c>
      <c r="D2944">
        <f>_xlfn.LET(_xlpm.dir,Table1[[#This Row],[Direction]],
IF(_xlpm.dir="L",
    IF(F2943-Table1[[#This Row],[Steps]]&lt;0,100+(F2943-Table1[[#This Row],[Steps]]),F2943-Table1[[#This Row],[Steps]]),
))</f>
        <v>40</v>
      </c>
      <c r="E2944">
        <f>_xlfn.LET(_xlpm.dir,Table1[[#This Row],[Direction]],
IF(_xlpm.dir="R",
    IF(F2943+Table1[[#This Row],[Steps]]&gt;99,(F2943+Table1[[#This Row],[Steps]])-100,F2943+Table1[[#This Row],[Steps]]),
))</f>
        <v>0</v>
      </c>
      <c r="F2944">
        <f>IF(Table1[[#This Row],[New Pos L]]&lt;&gt;0,Table1[[#This Row],[New Pos L]],Table1[[#This Row],[New Pos R]])</f>
        <v>40</v>
      </c>
    </row>
    <row r="2945" spans="1:6" ht="16" x14ac:dyDescent="0.2">
      <c r="A2945" s="1" t="s">
        <v>134</v>
      </c>
      <c r="B2945" t="str">
        <f>LEFT(Table1[[#This Row],[Input]],1)</f>
        <v>L</v>
      </c>
      <c r="C2945">
        <f>_xlfn.LET(_xlpm.steps,SUBSTITUTE(Table1[[#This Row],[Input]],Table1[[#This Row],[Direction]],""),VALUE(IF(LEN(_xlpm.steps)&gt;2,RIGHT(_xlpm.steps,2),_xlpm.steps)))</f>
        <v>95</v>
      </c>
      <c r="D2945">
        <f>_xlfn.LET(_xlpm.dir,Table1[[#This Row],[Direction]],
IF(_xlpm.dir="L",
    IF(F2944-Table1[[#This Row],[Steps]]&lt;0,100+(F2944-Table1[[#This Row],[Steps]]),F2944-Table1[[#This Row],[Steps]]),
))</f>
        <v>45</v>
      </c>
      <c r="E2945">
        <f>_xlfn.LET(_xlpm.dir,Table1[[#This Row],[Direction]],
IF(_xlpm.dir="R",
    IF(F2944+Table1[[#This Row],[Steps]]&gt;99,(F2944+Table1[[#This Row],[Steps]])-100,F2944+Table1[[#This Row],[Steps]]),
))</f>
        <v>0</v>
      </c>
      <c r="F2945">
        <f>IF(Table1[[#This Row],[New Pos L]]&lt;&gt;0,Table1[[#This Row],[New Pos L]],Table1[[#This Row],[New Pos R]])</f>
        <v>45</v>
      </c>
    </row>
    <row r="2946" spans="1:6" ht="16" x14ac:dyDescent="0.2">
      <c r="A2946" s="1" t="s">
        <v>132</v>
      </c>
      <c r="B2946" t="str">
        <f>LEFT(Table1[[#This Row],[Input]],1)</f>
        <v>L</v>
      </c>
      <c r="C2946">
        <f>_xlfn.LET(_xlpm.steps,SUBSTITUTE(Table1[[#This Row],[Input]],Table1[[#This Row],[Direction]],""),VALUE(IF(LEN(_xlpm.steps)&gt;2,RIGHT(_xlpm.steps,2),_xlpm.steps)))</f>
        <v>51</v>
      </c>
      <c r="D2946">
        <f>_xlfn.LET(_xlpm.dir,Table1[[#This Row],[Direction]],
IF(_xlpm.dir="L",
    IF(F2945-Table1[[#This Row],[Steps]]&lt;0,100+(F2945-Table1[[#This Row],[Steps]]),F2945-Table1[[#This Row],[Steps]]),
))</f>
        <v>94</v>
      </c>
      <c r="E2946">
        <f>_xlfn.LET(_xlpm.dir,Table1[[#This Row],[Direction]],
IF(_xlpm.dir="R",
    IF(F2945+Table1[[#This Row],[Steps]]&gt;99,(F2945+Table1[[#This Row],[Steps]])-100,F2945+Table1[[#This Row],[Steps]]),
))</f>
        <v>0</v>
      </c>
      <c r="F2946">
        <f>IF(Table1[[#This Row],[New Pos L]]&lt;&gt;0,Table1[[#This Row],[New Pos L]],Table1[[#This Row],[New Pos R]])</f>
        <v>94</v>
      </c>
    </row>
    <row r="2947" spans="1:6" ht="16" x14ac:dyDescent="0.2">
      <c r="A2947" s="1" t="s">
        <v>192</v>
      </c>
      <c r="B2947" t="str">
        <f>LEFT(Table1[[#This Row],[Input]],1)</f>
        <v>L</v>
      </c>
      <c r="C2947">
        <f>_xlfn.LET(_xlpm.steps,SUBSTITUTE(Table1[[#This Row],[Input]],Table1[[#This Row],[Direction]],""),VALUE(IF(LEN(_xlpm.steps)&gt;2,RIGHT(_xlpm.steps,2),_xlpm.steps)))</f>
        <v>52</v>
      </c>
      <c r="D2947">
        <f>_xlfn.LET(_xlpm.dir,Table1[[#This Row],[Direction]],
IF(_xlpm.dir="L",
    IF(F2946-Table1[[#This Row],[Steps]]&lt;0,100+(F2946-Table1[[#This Row],[Steps]]),F2946-Table1[[#This Row],[Steps]]),
))</f>
        <v>42</v>
      </c>
      <c r="E2947">
        <f>_xlfn.LET(_xlpm.dir,Table1[[#This Row],[Direction]],
IF(_xlpm.dir="R",
    IF(F2946+Table1[[#This Row],[Steps]]&gt;99,(F2946+Table1[[#This Row],[Steps]])-100,F2946+Table1[[#This Row],[Steps]]),
))</f>
        <v>0</v>
      </c>
      <c r="F2947">
        <f>IF(Table1[[#This Row],[New Pos L]]&lt;&gt;0,Table1[[#This Row],[New Pos L]],Table1[[#This Row],[New Pos R]])</f>
        <v>42</v>
      </c>
    </row>
    <row r="2948" spans="1:6" ht="16" x14ac:dyDescent="0.2">
      <c r="A2948" s="1" t="s">
        <v>100</v>
      </c>
      <c r="B2948" t="str">
        <f>LEFT(Table1[[#This Row],[Input]],1)</f>
        <v>R</v>
      </c>
      <c r="C2948">
        <f>_xlfn.LET(_xlpm.steps,SUBSTITUTE(Table1[[#This Row],[Input]],Table1[[#This Row],[Direction]],""),VALUE(IF(LEN(_xlpm.steps)&gt;2,RIGHT(_xlpm.steps,2),_xlpm.steps)))</f>
        <v>58</v>
      </c>
      <c r="D2948">
        <f>_xlfn.LET(_xlpm.dir,Table1[[#This Row],[Direction]],
IF(_xlpm.dir="L",
    IF(F2947-Table1[[#This Row],[Steps]]&lt;0,100+(F2947-Table1[[#This Row],[Steps]]),F2947-Table1[[#This Row],[Steps]]),
))</f>
        <v>0</v>
      </c>
      <c r="E2948">
        <f>_xlfn.LET(_xlpm.dir,Table1[[#This Row],[Direction]],
IF(_xlpm.dir="R",
    IF(F2947+Table1[[#This Row],[Steps]]&gt;99,(F2947+Table1[[#This Row],[Steps]])-100,F2947+Table1[[#This Row],[Steps]]),
))</f>
        <v>0</v>
      </c>
      <c r="F2948">
        <f>IF(Table1[[#This Row],[New Pos L]]&lt;&gt;0,Table1[[#This Row],[New Pos L]],Table1[[#This Row],[New Pos R]])</f>
        <v>0</v>
      </c>
    </row>
    <row r="2949" spans="1:6" ht="16" x14ac:dyDescent="0.2">
      <c r="A2949" s="1" t="s">
        <v>161</v>
      </c>
      <c r="B2949" t="str">
        <f>LEFT(Table1[[#This Row],[Input]],1)</f>
        <v>R</v>
      </c>
      <c r="C2949">
        <f>_xlfn.LET(_xlpm.steps,SUBSTITUTE(Table1[[#This Row],[Input]],Table1[[#This Row],[Direction]],""),VALUE(IF(LEN(_xlpm.steps)&gt;2,RIGHT(_xlpm.steps,2),_xlpm.steps)))</f>
        <v>76</v>
      </c>
      <c r="D2949">
        <f>_xlfn.LET(_xlpm.dir,Table1[[#This Row],[Direction]],
IF(_xlpm.dir="L",
    IF(F2948-Table1[[#This Row],[Steps]]&lt;0,100+(F2948-Table1[[#This Row],[Steps]]),F2948-Table1[[#This Row],[Steps]]),
))</f>
        <v>0</v>
      </c>
      <c r="E2949">
        <f>_xlfn.LET(_xlpm.dir,Table1[[#This Row],[Direction]],
IF(_xlpm.dir="R",
    IF(F2948+Table1[[#This Row],[Steps]]&gt;99,(F2948+Table1[[#This Row],[Steps]])-100,F2948+Table1[[#This Row],[Steps]]),
))</f>
        <v>76</v>
      </c>
      <c r="F2949">
        <f>IF(Table1[[#This Row],[New Pos L]]&lt;&gt;0,Table1[[#This Row],[New Pos L]],Table1[[#This Row],[New Pos R]])</f>
        <v>76</v>
      </c>
    </row>
    <row r="2950" spans="1:6" ht="16" x14ac:dyDescent="0.2">
      <c r="A2950" s="1" t="s">
        <v>125</v>
      </c>
      <c r="B2950" t="str">
        <f>LEFT(Table1[[#This Row],[Input]],1)</f>
        <v>L</v>
      </c>
      <c r="C2950">
        <f>_xlfn.LET(_xlpm.steps,SUBSTITUTE(Table1[[#This Row],[Input]],Table1[[#This Row],[Direction]],""),VALUE(IF(LEN(_xlpm.steps)&gt;2,RIGHT(_xlpm.steps,2),_xlpm.steps)))</f>
        <v>76</v>
      </c>
      <c r="D2950">
        <f>_xlfn.LET(_xlpm.dir,Table1[[#This Row],[Direction]],
IF(_xlpm.dir="L",
    IF(F2949-Table1[[#This Row],[Steps]]&lt;0,100+(F2949-Table1[[#This Row],[Steps]]),F2949-Table1[[#This Row],[Steps]]),
))</f>
        <v>0</v>
      </c>
      <c r="E2950">
        <f>_xlfn.LET(_xlpm.dir,Table1[[#This Row],[Direction]],
IF(_xlpm.dir="R",
    IF(F2949+Table1[[#This Row],[Steps]]&gt;99,(F2949+Table1[[#This Row],[Steps]])-100,F2949+Table1[[#This Row],[Steps]]),
))</f>
        <v>0</v>
      </c>
      <c r="F2950">
        <f>IF(Table1[[#This Row],[New Pos L]]&lt;&gt;0,Table1[[#This Row],[New Pos L]],Table1[[#This Row],[New Pos R]])</f>
        <v>0</v>
      </c>
    </row>
    <row r="2951" spans="1:6" ht="16" x14ac:dyDescent="0.2">
      <c r="A2951" s="1" t="s">
        <v>16</v>
      </c>
      <c r="B2951" t="str">
        <f>LEFT(Table1[[#This Row],[Input]],1)</f>
        <v>L</v>
      </c>
      <c r="C2951">
        <f>_xlfn.LET(_xlpm.steps,SUBSTITUTE(Table1[[#This Row],[Input]],Table1[[#This Row],[Direction]],""),VALUE(IF(LEN(_xlpm.steps)&gt;2,RIGHT(_xlpm.steps,2),_xlpm.steps)))</f>
        <v>10</v>
      </c>
      <c r="D2951">
        <f>_xlfn.LET(_xlpm.dir,Table1[[#This Row],[Direction]],
IF(_xlpm.dir="L",
    IF(F2950-Table1[[#This Row],[Steps]]&lt;0,100+(F2950-Table1[[#This Row],[Steps]]),F2950-Table1[[#This Row],[Steps]]),
))</f>
        <v>90</v>
      </c>
      <c r="E2951">
        <f>_xlfn.LET(_xlpm.dir,Table1[[#This Row],[Direction]],
IF(_xlpm.dir="R",
    IF(F2950+Table1[[#This Row],[Steps]]&gt;99,(F2950+Table1[[#This Row],[Steps]])-100,F2950+Table1[[#This Row],[Steps]]),
))</f>
        <v>0</v>
      </c>
      <c r="F2951">
        <f>IF(Table1[[#This Row],[New Pos L]]&lt;&gt;0,Table1[[#This Row],[New Pos L]],Table1[[#This Row],[New Pos R]])</f>
        <v>90</v>
      </c>
    </row>
    <row r="2952" spans="1:6" ht="16" x14ac:dyDescent="0.2">
      <c r="A2952" s="1" t="s">
        <v>671</v>
      </c>
      <c r="B2952" t="str">
        <f>LEFT(Table1[[#This Row],[Input]],1)</f>
        <v>R</v>
      </c>
      <c r="C2952">
        <f>_xlfn.LET(_xlpm.steps,SUBSTITUTE(Table1[[#This Row],[Input]],Table1[[#This Row],[Direction]],""),VALUE(IF(LEN(_xlpm.steps)&gt;2,RIGHT(_xlpm.steps,2),_xlpm.steps)))</f>
        <v>83</v>
      </c>
      <c r="D2952">
        <f>_xlfn.LET(_xlpm.dir,Table1[[#This Row],[Direction]],
IF(_xlpm.dir="L",
    IF(F2951-Table1[[#This Row],[Steps]]&lt;0,100+(F2951-Table1[[#This Row],[Steps]]),F2951-Table1[[#This Row],[Steps]]),
))</f>
        <v>0</v>
      </c>
      <c r="E2952">
        <f>_xlfn.LET(_xlpm.dir,Table1[[#This Row],[Direction]],
IF(_xlpm.dir="R",
    IF(F2951+Table1[[#This Row],[Steps]]&gt;99,(F2951+Table1[[#This Row],[Steps]])-100,F2951+Table1[[#This Row],[Steps]]),
))</f>
        <v>73</v>
      </c>
      <c r="F2952">
        <f>IF(Table1[[#This Row],[New Pos L]]&lt;&gt;0,Table1[[#This Row],[New Pos L]],Table1[[#This Row],[New Pos R]])</f>
        <v>73</v>
      </c>
    </row>
    <row r="2953" spans="1:6" ht="16" x14ac:dyDescent="0.2">
      <c r="A2953" s="1" t="s">
        <v>69</v>
      </c>
      <c r="B2953" t="str">
        <f>LEFT(Table1[[#This Row],[Input]],1)</f>
        <v>R</v>
      </c>
      <c r="C2953">
        <f>_xlfn.LET(_xlpm.steps,SUBSTITUTE(Table1[[#This Row],[Input]],Table1[[#This Row],[Direction]],""),VALUE(IF(LEN(_xlpm.steps)&gt;2,RIGHT(_xlpm.steps,2),_xlpm.steps)))</f>
        <v>27</v>
      </c>
      <c r="D2953">
        <f>_xlfn.LET(_xlpm.dir,Table1[[#This Row],[Direction]],
IF(_xlpm.dir="L",
    IF(F2952-Table1[[#This Row],[Steps]]&lt;0,100+(F2952-Table1[[#This Row],[Steps]]),F2952-Table1[[#This Row],[Steps]]),
))</f>
        <v>0</v>
      </c>
      <c r="E2953">
        <f>_xlfn.LET(_xlpm.dir,Table1[[#This Row],[Direction]],
IF(_xlpm.dir="R",
    IF(F2952+Table1[[#This Row],[Steps]]&gt;99,(F2952+Table1[[#This Row],[Steps]])-100,F2952+Table1[[#This Row],[Steps]]),
))</f>
        <v>0</v>
      </c>
      <c r="F2953">
        <f>IF(Table1[[#This Row],[New Pos L]]&lt;&gt;0,Table1[[#This Row],[New Pos L]],Table1[[#This Row],[New Pos R]])</f>
        <v>0</v>
      </c>
    </row>
    <row r="2954" spans="1:6" ht="16" x14ac:dyDescent="0.2">
      <c r="A2954" s="1" t="s">
        <v>13</v>
      </c>
      <c r="B2954" t="str">
        <f>LEFT(Table1[[#This Row],[Input]],1)</f>
        <v>R</v>
      </c>
      <c r="C2954">
        <f>_xlfn.LET(_xlpm.steps,SUBSTITUTE(Table1[[#This Row],[Input]],Table1[[#This Row],[Direction]],""),VALUE(IF(LEN(_xlpm.steps)&gt;2,RIGHT(_xlpm.steps,2),_xlpm.steps)))</f>
        <v>12</v>
      </c>
      <c r="D2954">
        <f>_xlfn.LET(_xlpm.dir,Table1[[#This Row],[Direction]],
IF(_xlpm.dir="L",
    IF(F2953-Table1[[#This Row],[Steps]]&lt;0,100+(F2953-Table1[[#This Row],[Steps]]),F2953-Table1[[#This Row],[Steps]]),
))</f>
        <v>0</v>
      </c>
      <c r="E2954">
        <f>_xlfn.LET(_xlpm.dir,Table1[[#This Row],[Direction]],
IF(_xlpm.dir="R",
    IF(F2953+Table1[[#This Row],[Steps]]&gt;99,(F2953+Table1[[#This Row],[Steps]])-100,F2953+Table1[[#This Row],[Steps]]),
))</f>
        <v>12</v>
      </c>
      <c r="F2954">
        <f>IF(Table1[[#This Row],[New Pos L]]&lt;&gt;0,Table1[[#This Row],[New Pos L]],Table1[[#This Row],[New Pos R]])</f>
        <v>12</v>
      </c>
    </row>
    <row r="2955" spans="1:6" ht="16" x14ac:dyDescent="0.2">
      <c r="A2955" s="1" t="s">
        <v>193</v>
      </c>
      <c r="B2955" t="str">
        <f>LEFT(Table1[[#This Row],[Input]],1)</f>
        <v>L</v>
      </c>
      <c r="C2955">
        <f>_xlfn.LET(_xlpm.steps,SUBSTITUTE(Table1[[#This Row],[Input]],Table1[[#This Row],[Direction]],""),VALUE(IF(LEN(_xlpm.steps)&gt;2,RIGHT(_xlpm.steps,2),_xlpm.steps)))</f>
        <v>12</v>
      </c>
      <c r="D2955">
        <f>_xlfn.LET(_xlpm.dir,Table1[[#This Row],[Direction]],
IF(_xlpm.dir="L",
    IF(F2954-Table1[[#This Row],[Steps]]&lt;0,100+(F2954-Table1[[#This Row],[Steps]]),F2954-Table1[[#This Row],[Steps]]),
))</f>
        <v>0</v>
      </c>
      <c r="E2955">
        <f>_xlfn.LET(_xlpm.dir,Table1[[#This Row],[Direction]],
IF(_xlpm.dir="R",
    IF(F2954+Table1[[#This Row],[Steps]]&gt;99,(F2954+Table1[[#This Row],[Steps]])-100,F2954+Table1[[#This Row],[Steps]]),
))</f>
        <v>0</v>
      </c>
      <c r="F2955">
        <f>IF(Table1[[#This Row],[New Pos L]]&lt;&gt;0,Table1[[#This Row],[New Pos L]],Table1[[#This Row],[New Pos R]])</f>
        <v>0</v>
      </c>
    </row>
    <row r="2956" spans="1:6" ht="16" x14ac:dyDescent="0.2">
      <c r="A2956" s="1" t="s">
        <v>672</v>
      </c>
      <c r="B2956" t="str">
        <f>LEFT(Table1[[#This Row],[Input]],1)</f>
        <v>R</v>
      </c>
      <c r="C2956">
        <f>_xlfn.LET(_xlpm.steps,SUBSTITUTE(Table1[[#This Row],[Input]],Table1[[#This Row],[Direction]],""),VALUE(IF(LEN(_xlpm.steps)&gt;2,RIGHT(_xlpm.steps,2),_xlpm.steps)))</f>
        <v>73</v>
      </c>
      <c r="D2956">
        <f>_xlfn.LET(_xlpm.dir,Table1[[#This Row],[Direction]],
IF(_xlpm.dir="L",
    IF(F2955-Table1[[#This Row],[Steps]]&lt;0,100+(F2955-Table1[[#This Row],[Steps]]),F2955-Table1[[#This Row],[Steps]]),
))</f>
        <v>0</v>
      </c>
      <c r="E2956">
        <f>_xlfn.LET(_xlpm.dir,Table1[[#This Row],[Direction]],
IF(_xlpm.dir="R",
    IF(F2955+Table1[[#This Row],[Steps]]&gt;99,(F2955+Table1[[#This Row],[Steps]])-100,F2955+Table1[[#This Row],[Steps]]),
))</f>
        <v>73</v>
      </c>
      <c r="F2956">
        <f>IF(Table1[[#This Row],[New Pos L]]&lt;&gt;0,Table1[[#This Row],[New Pos L]],Table1[[#This Row],[New Pos R]])</f>
        <v>73</v>
      </c>
    </row>
    <row r="2957" spans="1:6" ht="16" x14ac:dyDescent="0.2">
      <c r="A2957" s="1" t="s">
        <v>36</v>
      </c>
      <c r="B2957" t="str">
        <f>LEFT(Table1[[#This Row],[Input]],1)</f>
        <v>R</v>
      </c>
      <c r="C2957">
        <f>_xlfn.LET(_xlpm.steps,SUBSTITUTE(Table1[[#This Row],[Input]],Table1[[#This Row],[Direction]],""),VALUE(IF(LEN(_xlpm.steps)&gt;2,RIGHT(_xlpm.steps,2),_xlpm.steps)))</f>
        <v>50</v>
      </c>
      <c r="D2957">
        <f>_xlfn.LET(_xlpm.dir,Table1[[#This Row],[Direction]],
IF(_xlpm.dir="L",
    IF(F2956-Table1[[#This Row],[Steps]]&lt;0,100+(F2956-Table1[[#This Row],[Steps]]),F2956-Table1[[#This Row],[Steps]]),
))</f>
        <v>0</v>
      </c>
      <c r="E2957">
        <f>_xlfn.LET(_xlpm.dir,Table1[[#This Row],[Direction]],
IF(_xlpm.dir="R",
    IF(F2956+Table1[[#This Row],[Steps]]&gt;99,(F2956+Table1[[#This Row],[Steps]])-100,F2956+Table1[[#This Row],[Steps]]),
))</f>
        <v>23</v>
      </c>
      <c r="F2957">
        <f>IF(Table1[[#This Row],[New Pos L]]&lt;&gt;0,Table1[[#This Row],[New Pos L]],Table1[[#This Row],[New Pos R]])</f>
        <v>23</v>
      </c>
    </row>
    <row r="2958" spans="1:6" ht="16" x14ac:dyDescent="0.2">
      <c r="A2958" s="1" t="s">
        <v>252</v>
      </c>
      <c r="B2958" t="str">
        <f>LEFT(Table1[[#This Row],[Input]],1)</f>
        <v>L</v>
      </c>
      <c r="C2958">
        <f>_xlfn.LET(_xlpm.steps,SUBSTITUTE(Table1[[#This Row],[Input]],Table1[[#This Row],[Direction]],""),VALUE(IF(LEN(_xlpm.steps)&gt;2,RIGHT(_xlpm.steps,2),_xlpm.steps)))</f>
        <v>99</v>
      </c>
      <c r="D2958">
        <f>_xlfn.LET(_xlpm.dir,Table1[[#This Row],[Direction]],
IF(_xlpm.dir="L",
    IF(F2957-Table1[[#This Row],[Steps]]&lt;0,100+(F2957-Table1[[#This Row],[Steps]]),F2957-Table1[[#This Row],[Steps]]),
))</f>
        <v>24</v>
      </c>
      <c r="E2958">
        <f>_xlfn.LET(_xlpm.dir,Table1[[#This Row],[Direction]],
IF(_xlpm.dir="R",
    IF(F2957+Table1[[#This Row],[Steps]]&gt;99,(F2957+Table1[[#This Row],[Steps]])-100,F2957+Table1[[#This Row],[Steps]]),
))</f>
        <v>0</v>
      </c>
      <c r="F2958">
        <f>IF(Table1[[#This Row],[New Pos L]]&lt;&gt;0,Table1[[#This Row],[New Pos L]],Table1[[#This Row],[New Pos R]])</f>
        <v>24</v>
      </c>
    </row>
    <row r="2959" spans="1:6" ht="16" x14ac:dyDescent="0.2">
      <c r="A2959" s="1" t="s">
        <v>161</v>
      </c>
      <c r="B2959" t="str">
        <f>LEFT(Table1[[#This Row],[Input]],1)</f>
        <v>R</v>
      </c>
      <c r="C2959">
        <f>_xlfn.LET(_xlpm.steps,SUBSTITUTE(Table1[[#This Row],[Input]],Table1[[#This Row],[Direction]],""),VALUE(IF(LEN(_xlpm.steps)&gt;2,RIGHT(_xlpm.steps,2),_xlpm.steps)))</f>
        <v>76</v>
      </c>
      <c r="D2959">
        <f>_xlfn.LET(_xlpm.dir,Table1[[#This Row],[Direction]],
IF(_xlpm.dir="L",
    IF(F2958-Table1[[#This Row],[Steps]]&lt;0,100+(F2958-Table1[[#This Row],[Steps]]),F2958-Table1[[#This Row],[Steps]]),
))</f>
        <v>0</v>
      </c>
      <c r="E2959">
        <f>_xlfn.LET(_xlpm.dir,Table1[[#This Row],[Direction]],
IF(_xlpm.dir="R",
    IF(F2958+Table1[[#This Row],[Steps]]&gt;99,(F2958+Table1[[#This Row],[Steps]])-100,F2958+Table1[[#This Row],[Steps]]),
))</f>
        <v>0</v>
      </c>
      <c r="F2959">
        <f>IF(Table1[[#This Row],[New Pos L]]&lt;&gt;0,Table1[[#This Row],[New Pos L]],Table1[[#This Row],[New Pos R]])</f>
        <v>0</v>
      </c>
    </row>
    <row r="2960" spans="1:6" ht="16" x14ac:dyDescent="0.2">
      <c r="A2960" s="1" t="s">
        <v>174</v>
      </c>
      <c r="B2960" t="str">
        <f>LEFT(Table1[[#This Row],[Input]],1)</f>
        <v>L</v>
      </c>
      <c r="C2960">
        <f>_xlfn.LET(_xlpm.steps,SUBSTITUTE(Table1[[#This Row],[Input]],Table1[[#This Row],[Direction]],""),VALUE(IF(LEN(_xlpm.steps)&gt;2,RIGHT(_xlpm.steps,2),_xlpm.steps)))</f>
        <v>92</v>
      </c>
      <c r="D2960">
        <f>_xlfn.LET(_xlpm.dir,Table1[[#This Row],[Direction]],
IF(_xlpm.dir="L",
    IF(F2959-Table1[[#This Row],[Steps]]&lt;0,100+(F2959-Table1[[#This Row],[Steps]]),F2959-Table1[[#This Row],[Steps]]),
))</f>
        <v>8</v>
      </c>
      <c r="E2960">
        <f>_xlfn.LET(_xlpm.dir,Table1[[#This Row],[Direction]],
IF(_xlpm.dir="R",
    IF(F2959+Table1[[#This Row],[Steps]]&gt;99,(F2959+Table1[[#This Row],[Steps]])-100,F2959+Table1[[#This Row],[Steps]]),
))</f>
        <v>0</v>
      </c>
      <c r="F2960">
        <f>IF(Table1[[#This Row],[New Pos L]]&lt;&gt;0,Table1[[#This Row],[New Pos L]],Table1[[#This Row],[New Pos R]])</f>
        <v>8</v>
      </c>
    </row>
    <row r="2961" spans="1:6" ht="16" x14ac:dyDescent="0.2">
      <c r="A2961" s="1" t="s">
        <v>673</v>
      </c>
      <c r="B2961" t="str">
        <f>LEFT(Table1[[#This Row],[Input]],1)</f>
        <v>R</v>
      </c>
      <c r="C2961">
        <f>_xlfn.LET(_xlpm.steps,SUBSTITUTE(Table1[[#This Row],[Input]],Table1[[#This Row],[Direction]],""),VALUE(IF(LEN(_xlpm.steps)&gt;2,RIGHT(_xlpm.steps,2),_xlpm.steps)))</f>
        <v>52</v>
      </c>
      <c r="D2961">
        <f>_xlfn.LET(_xlpm.dir,Table1[[#This Row],[Direction]],
IF(_xlpm.dir="L",
    IF(F2960-Table1[[#This Row],[Steps]]&lt;0,100+(F2960-Table1[[#This Row],[Steps]]),F2960-Table1[[#This Row],[Steps]]),
))</f>
        <v>0</v>
      </c>
      <c r="E2961">
        <f>_xlfn.LET(_xlpm.dir,Table1[[#This Row],[Direction]],
IF(_xlpm.dir="R",
    IF(F2960+Table1[[#This Row],[Steps]]&gt;99,(F2960+Table1[[#This Row],[Steps]])-100,F2960+Table1[[#This Row],[Steps]]),
))</f>
        <v>60</v>
      </c>
      <c r="F2961">
        <f>IF(Table1[[#This Row],[New Pos L]]&lt;&gt;0,Table1[[#This Row],[New Pos L]],Table1[[#This Row],[New Pos R]])</f>
        <v>60</v>
      </c>
    </row>
    <row r="2962" spans="1:6" ht="16" x14ac:dyDescent="0.2">
      <c r="A2962" s="1" t="s">
        <v>226</v>
      </c>
      <c r="B2962" t="str">
        <f>LEFT(Table1[[#This Row],[Input]],1)</f>
        <v>L</v>
      </c>
      <c r="C2962">
        <f>_xlfn.LET(_xlpm.steps,SUBSTITUTE(Table1[[#This Row],[Input]],Table1[[#This Row],[Direction]],""),VALUE(IF(LEN(_xlpm.steps)&gt;2,RIGHT(_xlpm.steps,2),_xlpm.steps)))</f>
        <v>31</v>
      </c>
      <c r="D2962">
        <f>_xlfn.LET(_xlpm.dir,Table1[[#This Row],[Direction]],
IF(_xlpm.dir="L",
    IF(F2961-Table1[[#This Row],[Steps]]&lt;0,100+(F2961-Table1[[#This Row],[Steps]]),F2961-Table1[[#This Row],[Steps]]),
))</f>
        <v>29</v>
      </c>
      <c r="E2962">
        <f>_xlfn.LET(_xlpm.dir,Table1[[#This Row],[Direction]],
IF(_xlpm.dir="R",
    IF(F2961+Table1[[#This Row],[Steps]]&gt;99,(F2961+Table1[[#This Row],[Steps]])-100,F2961+Table1[[#This Row],[Steps]]),
))</f>
        <v>0</v>
      </c>
      <c r="F2962">
        <f>IF(Table1[[#This Row],[New Pos L]]&lt;&gt;0,Table1[[#This Row],[New Pos L]],Table1[[#This Row],[New Pos R]])</f>
        <v>29</v>
      </c>
    </row>
    <row r="2963" spans="1:6" ht="16" x14ac:dyDescent="0.2">
      <c r="A2963" s="1" t="s">
        <v>245</v>
      </c>
      <c r="B2963" t="str">
        <f>LEFT(Table1[[#This Row],[Input]],1)</f>
        <v>R</v>
      </c>
      <c r="C2963">
        <f>_xlfn.LET(_xlpm.steps,SUBSTITUTE(Table1[[#This Row],[Input]],Table1[[#This Row],[Direction]],""),VALUE(IF(LEN(_xlpm.steps)&gt;2,RIGHT(_xlpm.steps,2),_xlpm.steps)))</f>
        <v>71</v>
      </c>
      <c r="D2963">
        <f>_xlfn.LET(_xlpm.dir,Table1[[#This Row],[Direction]],
IF(_xlpm.dir="L",
    IF(F2962-Table1[[#This Row],[Steps]]&lt;0,100+(F2962-Table1[[#This Row],[Steps]]),F2962-Table1[[#This Row],[Steps]]),
))</f>
        <v>0</v>
      </c>
      <c r="E2963">
        <f>_xlfn.LET(_xlpm.dir,Table1[[#This Row],[Direction]],
IF(_xlpm.dir="R",
    IF(F2962+Table1[[#This Row],[Steps]]&gt;99,(F2962+Table1[[#This Row],[Steps]])-100,F2962+Table1[[#This Row],[Steps]]),
))</f>
        <v>0</v>
      </c>
      <c r="F2963">
        <f>IF(Table1[[#This Row],[New Pos L]]&lt;&gt;0,Table1[[#This Row],[New Pos L]],Table1[[#This Row],[New Pos R]])</f>
        <v>0</v>
      </c>
    </row>
    <row r="2964" spans="1:6" ht="16" x14ac:dyDescent="0.2">
      <c r="A2964" s="1" t="s">
        <v>88</v>
      </c>
      <c r="B2964" t="str">
        <f>LEFT(Table1[[#This Row],[Input]],1)</f>
        <v>R</v>
      </c>
      <c r="C2964">
        <f>_xlfn.LET(_xlpm.steps,SUBSTITUTE(Table1[[#This Row],[Input]],Table1[[#This Row],[Direction]],""),VALUE(IF(LEN(_xlpm.steps)&gt;2,RIGHT(_xlpm.steps,2),_xlpm.steps)))</f>
        <v>53</v>
      </c>
      <c r="D2964">
        <f>_xlfn.LET(_xlpm.dir,Table1[[#This Row],[Direction]],
IF(_xlpm.dir="L",
    IF(F2963-Table1[[#This Row],[Steps]]&lt;0,100+(F2963-Table1[[#This Row],[Steps]]),F2963-Table1[[#This Row],[Steps]]),
))</f>
        <v>0</v>
      </c>
      <c r="E2964">
        <f>_xlfn.LET(_xlpm.dir,Table1[[#This Row],[Direction]],
IF(_xlpm.dir="R",
    IF(F2963+Table1[[#This Row],[Steps]]&gt;99,(F2963+Table1[[#This Row],[Steps]])-100,F2963+Table1[[#This Row],[Steps]]),
))</f>
        <v>53</v>
      </c>
      <c r="F2964">
        <f>IF(Table1[[#This Row],[New Pos L]]&lt;&gt;0,Table1[[#This Row],[New Pos L]],Table1[[#This Row],[New Pos R]])</f>
        <v>53</v>
      </c>
    </row>
    <row r="2965" spans="1:6" ht="16" x14ac:dyDescent="0.2">
      <c r="A2965" s="1" t="s">
        <v>15</v>
      </c>
      <c r="B2965" t="str">
        <f>LEFT(Table1[[#This Row],[Input]],1)</f>
        <v>R</v>
      </c>
      <c r="C2965">
        <f>_xlfn.LET(_xlpm.steps,SUBSTITUTE(Table1[[#This Row],[Input]],Table1[[#This Row],[Direction]],""),VALUE(IF(LEN(_xlpm.steps)&gt;2,RIGHT(_xlpm.steps,2),_xlpm.steps)))</f>
        <v>36</v>
      </c>
      <c r="D2965">
        <f>_xlfn.LET(_xlpm.dir,Table1[[#This Row],[Direction]],
IF(_xlpm.dir="L",
    IF(F2964-Table1[[#This Row],[Steps]]&lt;0,100+(F2964-Table1[[#This Row],[Steps]]),F2964-Table1[[#This Row],[Steps]]),
))</f>
        <v>0</v>
      </c>
      <c r="E2965">
        <f>_xlfn.LET(_xlpm.dir,Table1[[#This Row],[Direction]],
IF(_xlpm.dir="R",
    IF(F2964+Table1[[#This Row],[Steps]]&gt;99,(F2964+Table1[[#This Row],[Steps]])-100,F2964+Table1[[#This Row],[Steps]]),
))</f>
        <v>89</v>
      </c>
      <c r="F2965">
        <f>IF(Table1[[#This Row],[New Pos L]]&lt;&gt;0,Table1[[#This Row],[New Pos L]],Table1[[#This Row],[New Pos R]])</f>
        <v>89</v>
      </c>
    </row>
    <row r="2966" spans="1:6" ht="16" x14ac:dyDescent="0.2">
      <c r="A2966" s="1" t="s">
        <v>674</v>
      </c>
      <c r="B2966" t="str">
        <f>LEFT(Table1[[#This Row],[Input]],1)</f>
        <v>R</v>
      </c>
      <c r="C2966">
        <f>_xlfn.LET(_xlpm.steps,SUBSTITUTE(Table1[[#This Row],[Input]],Table1[[#This Row],[Direction]],""),VALUE(IF(LEN(_xlpm.steps)&gt;2,RIGHT(_xlpm.steps,2),_xlpm.steps)))</f>
        <v>32</v>
      </c>
      <c r="D2966">
        <f>_xlfn.LET(_xlpm.dir,Table1[[#This Row],[Direction]],
IF(_xlpm.dir="L",
    IF(F2965-Table1[[#This Row],[Steps]]&lt;0,100+(F2965-Table1[[#This Row],[Steps]]),F2965-Table1[[#This Row],[Steps]]),
))</f>
        <v>0</v>
      </c>
      <c r="E2966">
        <f>_xlfn.LET(_xlpm.dir,Table1[[#This Row],[Direction]],
IF(_xlpm.dir="R",
    IF(F2965+Table1[[#This Row],[Steps]]&gt;99,(F2965+Table1[[#This Row],[Steps]])-100,F2965+Table1[[#This Row],[Steps]]),
))</f>
        <v>21</v>
      </c>
      <c r="F2966">
        <f>IF(Table1[[#This Row],[New Pos L]]&lt;&gt;0,Table1[[#This Row],[New Pos L]],Table1[[#This Row],[New Pos R]])</f>
        <v>21</v>
      </c>
    </row>
    <row r="2967" spans="1:6" ht="16" x14ac:dyDescent="0.2">
      <c r="A2967" s="1" t="s">
        <v>15</v>
      </c>
      <c r="B2967" t="str">
        <f>LEFT(Table1[[#This Row],[Input]],1)</f>
        <v>R</v>
      </c>
      <c r="C2967">
        <f>_xlfn.LET(_xlpm.steps,SUBSTITUTE(Table1[[#This Row],[Input]],Table1[[#This Row],[Direction]],""),VALUE(IF(LEN(_xlpm.steps)&gt;2,RIGHT(_xlpm.steps,2),_xlpm.steps)))</f>
        <v>36</v>
      </c>
      <c r="D2967">
        <f>_xlfn.LET(_xlpm.dir,Table1[[#This Row],[Direction]],
IF(_xlpm.dir="L",
    IF(F2966-Table1[[#This Row],[Steps]]&lt;0,100+(F2966-Table1[[#This Row],[Steps]]),F2966-Table1[[#This Row],[Steps]]),
))</f>
        <v>0</v>
      </c>
      <c r="E2967">
        <f>_xlfn.LET(_xlpm.dir,Table1[[#This Row],[Direction]],
IF(_xlpm.dir="R",
    IF(F2966+Table1[[#This Row],[Steps]]&gt;99,(F2966+Table1[[#This Row],[Steps]])-100,F2966+Table1[[#This Row],[Steps]]),
))</f>
        <v>57</v>
      </c>
      <c r="F2967">
        <f>IF(Table1[[#This Row],[New Pos L]]&lt;&gt;0,Table1[[#This Row],[New Pos L]],Table1[[#This Row],[New Pos R]])</f>
        <v>57</v>
      </c>
    </row>
    <row r="2968" spans="1:6" ht="16" x14ac:dyDescent="0.2">
      <c r="A2968" s="1" t="s">
        <v>2</v>
      </c>
      <c r="B2968" t="str">
        <f>LEFT(Table1[[#This Row],[Input]],1)</f>
        <v>L</v>
      </c>
      <c r="C2968">
        <f>_xlfn.LET(_xlpm.steps,SUBSTITUTE(Table1[[#This Row],[Input]],Table1[[#This Row],[Direction]],""),VALUE(IF(LEN(_xlpm.steps)&gt;2,RIGHT(_xlpm.steps,2),_xlpm.steps)))</f>
        <v>38</v>
      </c>
      <c r="D2968">
        <f>_xlfn.LET(_xlpm.dir,Table1[[#This Row],[Direction]],
IF(_xlpm.dir="L",
    IF(F2967-Table1[[#This Row],[Steps]]&lt;0,100+(F2967-Table1[[#This Row],[Steps]]),F2967-Table1[[#This Row],[Steps]]),
))</f>
        <v>19</v>
      </c>
      <c r="E2968">
        <f>_xlfn.LET(_xlpm.dir,Table1[[#This Row],[Direction]],
IF(_xlpm.dir="R",
    IF(F2967+Table1[[#This Row],[Steps]]&gt;99,(F2967+Table1[[#This Row],[Steps]])-100,F2967+Table1[[#This Row],[Steps]]),
))</f>
        <v>0</v>
      </c>
      <c r="F2968">
        <f>IF(Table1[[#This Row],[New Pos L]]&lt;&gt;0,Table1[[#This Row],[New Pos L]],Table1[[#This Row],[New Pos R]])</f>
        <v>19</v>
      </c>
    </row>
    <row r="2969" spans="1:6" ht="16" x14ac:dyDescent="0.2">
      <c r="A2969" s="1" t="s">
        <v>63</v>
      </c>
      <c r="B2969" t="str">
        <f>LEFT(Table1[[#This Row],[Input]],1)</f>
        <v>R</v>
      </c>
      <c r="C2969">
        <f>_xlfn.LET(_xlpm.steps,SUBSTITUTE(Table1[[#This Row],[Input]],Table1[[#This Row],[Direction]],""),VALUE(IF(LEN(_xlpm.steps)&gt;2,RIGHT(_xlpm.steps,2),_xlpm.steps)))</f>
        <v>57</v>
      </c>
      <c r="D2969">
        <f>_xlfn.LET(_xlpm.dir,Table1[[#This Row],[Direction]],
IF(_xlpm.dir="L",
    IF(F2968-Table1[[#This Row],[Steps]]&lt;0,100+(F2968-Table1[[#This Row],[Steps]]),F2968-Table1[[#This Row],[Steps]]),
))</f>
        <v>0</v>
      </c>
      <c r="E2969">
        <f>_xlfn.LET(_xlpm.dir,Table1[[#This Row],[Direction]],
IF(_xlpm.dir="R",
    IF(F2968+Table1[[#This Row],[Steps]]&gt;99,(F2968+Table1[[#This Row],[Steps]])-100,F2968+Table1[[#This Row],[Steps]]),
))</f>
        <v>76</v>
      </c>
      <c r="F2969">
        <f>IF(Table1[[#This Row],[New Pos L]]&lt;&gt;0,Table1[[#This Row],[New Pos L]],Table1[[#This Row],[New Pos R]])</f>
        <v>76</v>
      </c>
    </row>
    <row r="2970" spans="1:6" ht="16" x14ac:dyDescent="0.2">
      <c r="A2970" s="1" t="s">
        <v>50</v>
      </c>
      <c r="B2970" t="str">
        <f>LEFT(Table1[[#This Row],[Input]],1)</f>
        <v>R</v>
      </c>
      <c r="C2970">
        <f>_xlfn.LET(_xlpm.steps,SUBSTITUTE(Table1[[#This Row],[Input]],Table1[[#This Row],[Direction]],""),VALUE(IF(LEN(_xlpm.steps)&gt;2,RIGHT(_xlpm.steps,2),_xlpm.steps)))</f>
        <v>78</v>
      </c>
      <c r="D2970">
        <f>_xlfn.LET(_xlpm.dir,Table1[[#This Row],[Direction]],
IF(_xlpm.dir="L",
    IF(F2969-Table1[[#This Row],[Steps]]&lt;0,100+(F2969-Table1[[#This Row],[Steps]]),F2969-Table1[[#This Row],[Steps]]),
))</f>
        <v>0</v>
      </c>
      <c r="E2970">
        <f>_xlfn.LET(_xlpm.dir,Table1[[#This Row],[Direction]],
IF(_xlpm.dir="R",
    IF(F2969+Table1[[#This Row],[Steps]]&gt;99,(F2969+Table1[[#This Row],[Steps]])-100,F2969+Table1[[#This Row],[Steps]]),
))</f>
        <v>54</v>
      </c>
      <c r="F2970">
        <f>IF(Table1[[#This Row],[New Pos L]]&lt;&gt;0,Table1[[#This Row],[New Pos L]],Table1[[#This Row],[New Pos R]])</f>
        <v>54</v>
      </c>
    </row>
    <row r="2971" spans="1:6" ht="16" x14ac:dyDescent="0.2">
      <c r="A2971" s="1" t="s">
        <v>11</v>
      </c>
      <c r="B2971" t="str">
        <f>LEFT(Table1[[#This Row],[Input]],1)</f>
        <v>L</v>
      </c>
      <c r="C2971">
        <f>_xlfn.LET(_xlpm.steps,SUBSTITUTE(Table1[[#This Row],[Input]],Table1[[#This Row],[Direction]],""),VALUE(IF(LEN(_xlpm.steps)&gt;2,RIGHT(_xlpm.steps,2),_xlpm.steps)))</f>
        <v>34</v>
      </c>
      <c r="D2971">
        <f>_xlfn.LET(_xlpm.dir,Table1[[#This Row],[Direction]],
IF(_xlpm.dir="L",
    IF(F2970-Table1[[#This Row],[Steps]]&lt;0,100+(F2970-Table1[[#This Row],[Steps]]),F2970-Table1[[#This Row],[Steps]]),
))</f>
        <v>20</v>
      </c>
      <c r="E2971">
        <f>_xlfn.LET(_xlpm.dir,Table1[[#This Row],[Direction]],
IF(_xlpm.dir="R",
    IF(F2970+Table1[[#This Row],[Steps]]&gt;99,(F2970+Table1[[#This Row],[Steps]])-100,F2970+Table1[[#This Row],[Steps]]),
))</f>
        <v>0</v>
      </c>
      <c r="F2971">
        <f>IF(Table1[[#This Row],[New Pos L]]&lt;&gt;0,Table1[[#This Row],[New Pos L]],Table1[[#This Row],[New Pos R]])</f>
        <v>20</v>
      </c>
    </row>
    <row r="2972" spans="1:6" ht="16" x14ac:dyDescent="0.2">
      <c r="A2972" s="1" t="s">
        <v>155</v>
      </c>
      <c r="B2972" t="str">
        <f>LEFT(Table1[[#This Row],[Input]],1)</f>
        <v>L</v>
      </c>
      <c r="C2972">
        <f>_xlfn.LET(_xlpm.steps,SUBSTITUTE(Table1[[#This Row],[Input]],Table1[[#This Row],[Direction]],""),VALUE(IF(LEN(_xlpm.steps)&gt;2,RIGHT(_xlpm.steps,2),_xlpm.steps)))</f>
        <v>18</v>
      </c>
      <c r="D2972">
        <f>_xlfn.LET(_xlpm.dir,Table1[[#This Row],[Direction]],
IF(_xlpm.dir="L",
    IF(F2971-Table1[[#This Row],[Steps]]&lt;0,100+(F2971-Table1[[#This Row],[Steps]]),F2971-Table1[[#This Row],[Steps]]),
))</f>
        <v>2</v>
      </c>
      <c r="E2972">
        <f>_xlfn.LET(_xlpm.dir,Table1[[#This Row],[Direction]],
IF(_xlpm.dir="R",
    IF(F2971+Table1[[#This Row],[Steps]]&gt;99,(F2971+Table1[[#This Row],[Steps]])-100,F2971+Table1[[#This Row],[Steps]]),
))</f>
        <v>0</v>
      </c>
      <c r="F2972">
        <f>IF(Table1[[#This Row],[New Pos L]]&lt;&gt;0,Table1[[#This Row],[New Pos L]],Table1[[#This Row],[New Pos R]])</f>
        <v>2</v>
      </c>
    </row>
    <row r="2973" spans="1:6" ht="16" x14ac:dyDescent="0.2">
      <c r="A2973" s="1" t="s">
        <v>278</v>
      </c>
      <c r="B2973" t="str">
        <f>LEFT(Table1[[#This Row],[Input]],1)</f>
        <v>L</v>
      </c>
      <c r="C2973">
        <f>_xlfn.LET(_xlpm.steps,SUBSTITUTE(Table1[[#This Row],[Input]],Table1[[#This Row],[Direction]],""),VALUE(IF(LEN(_xlpm.steps)&gt;2,RIGHT(_xlpm.steps,2),_xlpm.steps)))</f>
        <v>40</v>
      </c>
      <c r="D2973">
        <f>_xlfn.LET(_xlpm.dir,Table1[[#This Row],[Direction]],
IF(_xlpm.dir="L",
    IF(F2972-Table1[[#This Row],[Steps]]&lt;0,100+(F2972-Table1[[#This Row],[Steps]]),F2972-Table1[[#This Row],[Steps]]),
))</f>
        <v>62</v>
      </c>
      <c r="E2973">
        <f>_xlfn.LET(_xlpm.dir,Table1[[#This Row],[Direction]],
IF(_xlpm.dir="R",
    IF(F2972+Table1[[#This Row],[Steps]]&gt;99,(F2972+Table1[[#This Row],[Steps]])-100,F2972+Table1[[#This Row],[Steps]]),
))</f>
        <v>0</v>
      </c>
      <c r="F2973">
        <f>IF(Table1[[#This Row],[New Pos L]]&lt;&gt;0,Table1[[#This Row],[New Pos L]],Table1[[#This Row],[New Pos R]])</f>
        <v>62</v>
      </c>
    </row>
    <row r="2974" spans="1:6" ht="16" x14ac:dyDescent="0.2">
      <c r="A2974" s="1" t="s">
        <v>139</v>
      </c>
      <c r="B2974" t="str">
        <f>LEFT(Table1[[#This Row],[Input]],1)</f>
        <v>R</v>
      </c>
      <c r="C2974">
        <f>_xlfn.LET(_xlpm.steps,SUBSTITUTE(Table1[[#This Row],[Input]],Table1[[#This Row],[Direction]],""),VALUE(IF(LEN(_xlpm.steps)&gt;2,RIGHT(_xlpm.steps,2),_xlpm.steps)))</f>
        <v>38</v>
      </c>
      <c r="D2974">
        <f>_xlfn.LET(_xlpm.dir,Table1[[#This Row],[Direction]],
IF(_xlpm.dir="L",
    IF(F2973-Table1[[#This Row],[Steps]]&lt;0,100+(F2973-Table1[[#This Row],[Steps]]),F2973-Table1[[#This Row],[Steps]]),
))</f>
        <v>0</v>
      </c>
      <c r="E2974">
        <f>_xlfn.LET(_xlpm.dir,Table1[[#This Row],[Direction]],
IF(_xlpm.dir="R",
    IF(F2973+Table1[[#This Row],[Steps]]&gt;99,(F2973+Table1[[#This Row],[Steps]])-100,F2973+Table1[[#This Row],[Steps]]),
))</f>
        <v>0</v>
      </c>
      <c r="F2974">
        <f>IF(Table1[[#This Row],[New Pos L]]&lt;&gt;0,Table1[[#This Row],[New Pos L]],Table1[[#This Row],[New Pos R]])</f>
        <v>0</v>
      </c>
    </row>
    <row r="2975" spans="1:6" ht="16" x14ac:dyDescent="0.2">
      <c r="A2975" s="1" t="s">
        <v>58</v>
      </c>
      <c r="B2975" t="str">
        <f>LEFT(Table1[[#This Row],[Input]],1)</f>
        <v>L</v>
      </c>
      <c r="C2975">
        <f>_xlfn.LET(_xlpm.steps,SUBSTITUTE(Table1[[#This Row],[Input]],Table1[[#This Row],[Direction]],""),VALUE(IF(LEN(_xlpm.steps)&gt;2,RIGHT(_xlpm.steps,2),_xlpm.steps)))</f>
        <v>30</v>
      </c>
      <c r="D2975">
        <f>_xlfn.LET(_xlpm.dir,Table1[[#This Row],[Direction]],
IF(_xlpm.dir="L",
    IF(F2974-Table1[[#This Row],[Steps]]&lt;0,100+(F2974-Table1[[#This Row],[Steps]]),F2974-Table1[[#This Row],[Steps]]),
))</f>
        <v>70</v>
      </c>
      <c r="E2975">
        <f>_xlfn.LET(_xlpm.dir,Table1[[#This Row],[Direction]],
IF(_xlpm.dir="R",
    IF(F2974+Table1[[#This Row],[Steps]]&gt;99,(F2974+Table1[[#This Row],[Steps]])-100,F2974+Table1[[#This Row],[Steps]]),
))</f>
        <v>0</v>
      </c>
      <c r="F2975">
        <f>IF(Table1[[#This Row],[New Pos L]]&lt;&gt;0,Table1[[#This Row],[New Pos L]],Table1[[#This Row],[New Pos R]])</f>
        <v>70</v>
      </c>
    </row>
    <row r="2976" spans="1:6" ht="16" x14ac:dyDescent="0.2">
      <c r="A2976" s="1" t="s">
        <v>157</v>
      </c>
      <c r="B2976" t="str">
        <f>LEFT(Table1[[#This Row],[Input]],1)</f>
        <v>R</v>
      </c>
      <c r="C2976">
        <f>_xlfn.LET(_xlpm.steps,SUBSTITUTE(Table1[[#This Row],[Input]],Table1[[#This Row],[Direction]],""),VALUE(IF(LEN(_xlpm.steps)&gt;2,RIGHT(_xlpm.steps,2),_xlpm.steps)))</f>
        <v>68</v>
      </c>
      <c r="D2976">
        <f>_xlfn.LET(_xlpm.dir,Table1[[#This Row],[Direction]],
IF(_xlpm.dir="L",
    IF(F2975-Table1[[#This Row],[Steps]]&lt;0,100+(F2975-Table1[[#This Row],[Steps]]),F2975-Table1[[#This Row],[Steps]]),
))</f>
        <v>0</v>
      </c>
      <c r="E2976">
        <f>_xlfn.LET(_xlpm.dir,Table1[[#This Row],[Direction]],
IF(_xlpm.dir="R",
    IF(F2975+Table1[[#This Row],[Steps]]&gt;99,(F2975+Table1[[#This Row],[Steps]])-100,F2975+Table1[[#This Row],[Steps]]),
))</f>
        <v>38</v>
      </c>
      <c r="F2976">
        <f>IF(Table1[[#This Row],[New Pos L]]&lt;&gt;0,Table1[[#This Row],[New Pos L]],Table1[[#This Row],[New Pos R]])</f>
        <v>38</v>
      </c>
    </row>
    <row r="2977" spans="1:6" ht="16" x14ac:dyDescent="0.2">
      <c r="A2977" s="1" t="s">
        <v>675</v>
      </c>
      <c r="B2977" t="str">
        <f>LEFT(Table1[[#This Row],[Input]],1)</f>
        <v>L</v>
      </c>
      <c r="C2977">
        <f>_xlfn.LET(_xlpm.steps,SUBSTITUTE(Table1[[#This Row],[Input]],Table1[[#This Row],[Direction]],""),VALUE(IF(LEN(_xlpm.steps)&gt;2,RIGHT(_xlpm.steps,2),_xlpm.steps)))</f>
        <v>86</v>
      </c>
      <c r="D2977">
        <f>_xlfn.LET(_xlpm.dir,Table1[[#This Row],[Direction]],
IF(_xlpm.dir="L",
    IF(F2976-Table1[[#This Row],[Steps]]&lt;0,100+(F2976-Table1[[#This Row],[Steps]]),F2976-Table1[[#This Row],[Steps]]),
))</f>
        <v>52</v>
      </c>
      <c r="E2977">
        <f>_xlfn.LET(_xlpm.dir,Table1[[#This Row],[Direction]],
IF(_xlpm.dir="R",
    IF(F2976+Table1[[#This Row],[Steps]]&gt;99,(F2976+Table1[[#This Row],[Steps]])-100,F2976+Table1[[#This Row],[Steps]]),
))</f>
        <v>0</v>
      </c>
      <c r="F2977">
        <f>IF(Table1[[#This Row],[New Pos L]]&lt;&gt;0,Table1[[#This Row],[New Pos L]],Table1[[#This Row],[New Pos R]])</f>
        <v>52</v>
      </c>
    </row>
    <row r="2978" spans="1:6" ht="16" x14ac:dyDescent="0.2">
      <c r="A2978" s="1" t="s">
        <v>182</v>
      </c>
      <c r="B2978" t="str">
        <f>LEFT(Table1[[#This Row],[Input]],1)</f>
        <v>L</v>
      </c>
      <c r="C2978">
        <f>_xlfn.LET(_xlpm.steps,SUBSTITUTE(Table1[[#This Row],[Input]],Table1[[#This Row],[Direction]],""),VALUE(IF(LEN(_xlpm.steps)&gt;2,RIGHT(_xlpm.steps,2),_xlpm.steps)))</f>
        <v>3</v>
      </c>
      <c r="D2978">
        <f>_xlfn.LET(_xlpm.dir,Table1[[#This Row],[Direction]],
IF(_xlpm.dir="L",
    IF(F2977-Table1[[#This Row],[Steps]]&lt;0,100+(F2977-Table1[[#This Row],[Steps]]),F2977-Table1[[#This Row],[Steps]]),
))</f>
        <v>49</v>
      </c>
      <c r="E2978">
        <f>_xlfn.LET(_xlpm.dir,Table1[[#This Row],[Direction]],
IF(_xlpm.dir="R",
    IF(F2977+Table1[[#This Row],[Steps]]&gt;99,(F2977+Table1[[#This Row],[Steps]])-100,F2977+Table1[[#This Row],[Steps]]),
))</f>
        <v>0</v>
      </c>
      <c r="F2978">
        <f>IF(Table1[[#This Row],[New Pos L]]&lt;&gt;0,Table1[[#This Row],[New Pos L]],Table1[[#This Row],[New Pos R]])</f>
        <v>49</v>
      </c>
    </row>
    <row r="2979" spans="1:6" ht="16" x14ac:dyDescent="0.2">
      <c r="A2979" s="1" t="s">
        <v>260</v>
      </c>
      <c r="B2979" t="str">
        <f>LEFT(Table1[[#This Row],[Input]],1)</f>
        <v>L</v>
      </c>
      <c r="C2979">
        <f>_xlfn.LET(_xlpm.steps,SUBSTITUTE(Table1[[#This Row],[Input]],Table1[[#This Row],[Direction]],""),VALUE(IF(LEN(_xlpm.steps)&gt;2,RIGHT(_xlpm.steps,2),_xlpm.steps)))</f>
        <v>85</v>
      </c>
      <c r="D2979">
        <f>_xlfn.LET(_xlpm.dir,Table1[[#This Row],[Direction]],
IF(_xlpm.dir="L",
    IF(F2978-Table1[[#This Row],[Steps]]&lt;0,100+(F2978-Table1[[#This Row],[Steps]]),F2978-Table1[[#This Row],[Steps]]),
))</f>
        <v>64</v>
      </c>
      <c r="E2979">
        <f>_xlfn.LET(_xlpm.dir,Table1[[#This Row],[Direction]],
IF(_xlpm.dir="R",
    IF(F2978+Table1[[#This Row],[Steps]]&gt;99,(F2978+Table1[[#This Row],[Steps]])-100,F2978+Table1[[#This Row],[Steps]]),
))</f>
        <v>0</v>
      </c>
      <c r="F2979">
        <f>IF(Table1[[#This Row],[New Pos L]]&lt;&gt;0,Table1[[#This Row],[New Pos L]],Table1[[#This Row],[New Pos R]])</f>
        <v>64</v>
      </c>
    </row>
    <row r="2980" spans="1:6" ht="16" x14ac:dyDescent="0.2">
      <c r="A2980" s="1" t="s">
        <v>536</v>
      </c>
      <c r="B2980" t="str">
        <f>LEFT(Table1[[#This Row],[Input]],1)</f>
        <v>L</v>
      </c>
      <c r="C2980">
        <f>_xlfn.LET(_xlpm.steps,SUBSTITUTE(Table1[[#This Row],[Input]],Table1[[#This Row],[Direction]],""),VALUE(IF(LEN(_xlpm.steps)&gt;2,RIGHT(_xlpm.steps,2),_xlpm.steps)))</f>
        <v>22</v>
      </c>
      <c r="D2980">
        <f>_xlfn.LET(_xlpm.dir,Table1[[#This Row],[Direction]],
IF(_xlpm.dir="L",
    IF(F2979-Table1[[#This Row],[Steps]]&lt;0,100+(F2979-Table1[[#This Row],[Steps]]),F2979-Table1[[#This Row],[Steps]]),
))</f>
        <v>42</v>
      </c>
      <c r="E2980">
        <f>_xlfn.LET(_xlpm.dir,Table1[[#This Row],[Direction]],
IF(_xlpm.dir="R",
    IF(F2979+Table1[[#This Row],[Steps]]&gt;99,(F2979+Table1[[#This Row],[Steps]])-100,F2979+Table1[[#This Row],[Steps]]),
))</f>
        <v>0</v>
      </c>
      <c r="F2980">
        <f>IF(Table1[[#This Row],[New Pos L]]&lt;&gt;0,Table1[[#This Row],[New Pos L]],Table1[[#This Row],[New Pos R]])</f>
        <v>42</v>
      </c>
    </row>
    <row r="2981" spans="1:6" ht="16" x14ac:dyDescent="0.2">
      <c r="A2981" s="1" t="s">
        <v>0</v>
      </c>
      <c r="B2981" t="str">
        <f>LEFT(Table1[[#This Row],[Input]],1)</f>
        <v>L</v>
      </c>
      <c r="C2981">
        <f>_xlfn.LET(_xlpm.steps,SUBSTITUTE(Table1[[#This Row],[Input]],Table1[[#This Row],[Direction]],""),VALUE(IF(LEN(_xlpm.steps)&gt;2,RIGHT(_xlpm.steps,2),_xlpm.steps)))</f>
        <v>44</v>
      </c>
      <c r="D2981">
        <f>_xlfn.LET(_xlpm.dir,Table1[[#This Row],[Direction]],
IF(_xlpm.dir="L",
    IF(F2980-Table1[[#This Row],[Steps]]&lt;0,100+(F2980-Table1[[#This Row],[Steps]]),F2980-Table1[[#This Row],[Steps]]),
))</f>
        <v>98</v>
      </c>
      <c r="E2981">
        <f>_xlfn.LET(_xlpm.dir,Table1[[#This Row],[Direction]],
IF(_xlpm.dir="R",
    IF(F2980+Table1[[#This Row],[Steps]]&gt;99,(F2980+Table1[[#This Row],[Steps]])-100,F2980+Table1[[#This Row],[Steps]]),
))</f>
        <v>0</v>
      </c>
      <c r="F2981">
        <f>IF(Table1[[#This Row],[New Pos L]]&lt;&gt;0,Table1[[#This Row],[New Pos L]],Table1[[#This Row],[New Pos R]])</f>
        <v>98</v>
      </c>
    </row>
    <row r="2982" spans="1:6" ht="16" x14ac:dyDescent="0.2">
      <c r="A2982" s="1" t="s">
        <v>252</v>
      </c>
      <c r="B2982" t="str">
        <f>LEFT(Table1[[#This Row],[Input]],1)</f>
        <v>L</v>
      </c>
      <c r="C2982">
        <f>_xlfn.LET(_xlpm.steps,SUBSTITUTE(Table1[[#This Row],[Input]],Table1[[#This Row],[Direction]],""),VALUE(IF(LEN(_xlpm.steps)&gt;2,RIGHT(_xlpm.steps,2),_xlpm.steps)))</f>
        <v>99</v>
      </c>
      <c r="D2982">
        <f>_xlfn.LET(_xlpm.dir,Table1[[#This Row],[Direction]],
IF(_xlpm.dir="L",
    IF(F2981-Table1[[#This Row],[Steps]]&lt;0,100+(F2981-Table1[[#This Row],[Steps]]),F2981-Table1[[#This Row],[Steps]]),
))</f>
        <v>99</v>
      </c>
      <c r="E2982">
        <f>_xlfn.LET(_xlpm.dir,Table1[[#This Row],[Direction]],
IF(_xlpm.dir="R",
    IF(F2981+Table1[[#This Row],[Steps]]&gt;99,(F2981+Table1[[#This Row],[Steps]])-100,F2981+Table1[[#This Row],[Steps]]),
))</f>
        <v>0</v>
      </c>
      <c r="F2982">
        <f>IF(Table1[[#This Row],[New Pos L]]&lt;&gt;0,Table1[[#This Row],[New Pos L]],Table1[[#This Row],[New Pos R]])</f>
        <v>99</v>
      </c>
    </row>
    <row r="2983" spans="1:6" ht="16" x14ac:dyDescent="0.2">
      <c r="A2983" s="1" t="s">
        <v>213</v>
      </c>
      <c r="B2983" t="str">
        <f>LEFT(Table1[[#This Row],[Input]],1)</f>
        <v>R</v>
      </c>
      <c r="C2983">
        <f>_xlfn.LET(_xlpm.steps,SUBSTITUTE(Table1[[#This Row],[Input]],Table1[[#This Row],[Direction]],""),VALUE(IF(LEN(_xlpm.steps)&gt;2,RIGHT(_xlpm.steps,2),_xlpm.steps)))</f>
        <v>87</v>
      </c>
      <c r="D2983">
        <f>_xlfn.LET(_xlpm.dir,Table1[[#This Row],[Direction]],
IF(_xlpm.dir="L",
    IF(F2982-Table1[[#This Row],[Steps]]&lt;0,100+(F2982-Table1[[#This Row],[Steps]]),F2982-Table1[[#This Row],[Steps]]),
))</f>
        <v>0</v>
      </c>
      <c r="E2983">
        <f>_xlfn.LET(_xlpm.dir,Table1[[#This Row],[Direction]],
IF(_xlpm.dir="R",
    IF(F2982+Table1[[#This Row],[Steps]]&gt;99,(F2982+Table1[[#This Row],[Steps]])-100,F2982+Table1[[#This Row],[Steps]]),
))</f>
        <v>86</v>
      </c>
      <c r="F2983">
        <f>IF(Table1[[#This Row],[New Pos L]]&lt;&gt;0,Table1[[#This Row],[New Pos L]],Table1[[#This Row],[New Pos R]])</f>
        <v>86</v>
      </c>
    </row>
    <row r="2984" spans="1:6" ht="16" x14ac:dyDescent="0.2">
      <c r="A2984" s="1" t="s">
        <v>141</v>
      </c>
      <c r="B2984" t="str">
        <f>LEFT(Table1[[#This Row],[Input]],1)</f>
        <v>L</v>
      </c>
      <c r="C2984">
        <f>_xlfn.LET(_xlpm.steps,SUBSTITUTE(Table1[[#This Row],[Input]],Table1[[#This Row],[Direction]],""),VALUE(IF(LEN(_xlpm.steps)&gt;2,RIGHT(_xlpm.steps,2),_xlpm.steps)))</f>
        <v>90</v>
      </c>
      <c r="D2984">
        <f>_xlfn.LET(_xlpm.dir,Table1[[#This Row],[Direction]],
IF(_xlpm.dir="L",
    IF(F2983-Table1[[#This Row],[Steps]]&lt;0,100+(F2983-Table1[[#This Row],[Steps]]),F2983-Table1[[#This Row],[Steps]]),
))</f>
        <v>96</v>
      </c>
      <c r="E2984">
        <f>_xlfn.LET(_xlpm.dir,Table1[[#This Row],[Direction]],
IF(_xlpm.dir="R",
    IF(F2983+Table1[[#This Row],[Steps]]&gt;99,(F2983+Table1[[#This Row],[Steps]])-100,F2983+Table1[[#This Row],[Steps]]),
))</f>
        <v>0</v>
      </c>
      <c r="F2984">
        <f>IF(Table1[[#This Row],[New Pos L]]&lt;&gt;0,Table1[[#This Row],[New Pos L]],Table1[[#This Row],[New Pos R]])</f>
        <v>96</v>
      </c>
    </row>
    <row r="2985" spans="1:6" ht="16" x14ac:dyDescent="0.2">
      <c r="A2985" s="1" t="s">
        <v>45</v>
      </c>
      <c r="B2985" t="str">
        <f>LEFT(Table1[[#This Row],[Input]],1)</f>
        <v>L</v>
      </c>
      <c r="C2985">
        <f>_xlfn.LET(_xlpm.steps,SUBSTITUTE(Table1[[#This Row],[Input]],Table1[[#This Row],[Direction]],""),VALUE(IF(LEN(_xlpm.steps)&gt;2,RIGHT(_xlpm.steps,2),_xlpm.steps)))</f>
        <v>96</v>
      </c>
      <c r="D2985">
        <f>_xlfn.LET(_xlpm.dir,Table1[[#This Row],[Direction]],
IF(_xlpm.dir="L",
    IF(F2984-Table1[[#This Row],[Steps]]&lt;0,100+(F2984-Table1[[#This Row],[Steps]]),F2984-Table1[[#This Row],[Steps]]),
))</f>
        <v>0</v>
      </c>
      <c r="E2985">
        <f>_xlfn.LET(_xlpm.dir,Table1[[#This Row],[Direction]],
IF(_xlpm.dir="R",
    IF(F2984+Table1[[#This Row],[Steps]]&gt;99,(F2984+Table1[[#This Row],[Steps]])-100,F2984+Table1[[#This Row],[Steps]]),
))</f>
        <v>0</v>
      </c>
      <c r="F2985">
        <f>IF(Table1[[#This Row],[New Pos L]]&lt;&gt;0,Table1[[#This Row],[New Pos L]],Table1[[#This Row],[New Pos R]])</f>
        <v>0</v>
      </c>
    </row>
    <row r="2986" spans="1:6" ht="16" x14ac:dyDescent="0.2">
      <c r="A2986" s="1" t="s">
        <v>357</v>
      </c>
      <c r="B2986" t="str">
        <f>LEFT(Table1[[#This Row],[Input]],1)</f>
        <v>R</v>
      </c>
      <c r="C2986">
        <f>_xlfn.LET(_xlpm.steps,SUBSTITUTE(Table1[[#This Row],[Input]],Table1[[#This Row],[Direction]],""),VALUE(IF(LEN(_xlpm.steps)&gt;2,RIGHT(_xlpm.steps,2),_xlpm.steps)))</f>
        <v>72</v>
      </c>
      <c r="D2986">
        <f>_xlfn.LET(_xlpm.dir,Table1[[#This Row],[Direction]],
IF(_xlpm.dir="L",
    IF(F2985-Table1[[#This Row],[Steps]]&lt;0,100+(F2985-Table1[[#This Row],[Steps]]),F2985-Table1[[#This Row],[Steps]]),
))</f>
        <v>0</v>
      </c>
      <c r="E2986">
        <f>_xlfn.LET(_xlpm.dir,Table1[[#This Row],[Direction]],
IF(_xlpm.dir="R",
    IF(F2985+Table1[[#This Row],[Steps]]&gt;99,(F2985+Table1[[#This Row],[Steps]])-100,F2985+Table1[[#This Row],[Steps]]),
))</f>
        <v>72</v>
      </c>
      <c r="F2986">
        <f>IF(Table1[[#This Row],[New Pos L]]&lt;&gt;0,Table1[[#This Row],[New Pos L]],Table1[[#This Row],[New Pos R]])</f>
        <v>72</v>
      </c>
    </row>
    <row r="2987" spans="1:6" ht="16" x14ac:dyDescent="0.2">
      <c r="A2987" s="1" t="s">
        <v>110</v>
      </c>
      <c r="B2987" t="str">
        <f>LEFT(Table1[[#This Row],[Input]],1)</f>
        <v>L</v>
      </c>
      <c r="C2987">
        <f>_xlfn.LET(_xlpm.steps,SUBSTITUTE(Table1[[#This Row],[Input]],Table1[[#This Row],[Direction]],""),VALUE(IF(LEN(_xlpm.steps)&gt;2,RIGHT(_xlpm.steps,2),_xlpm.steps)))</f>
        <v>81</v>
      </c>
      <c r="D2987">
        <f>_xlfn.LET(_xlpm.dir,Table1[[#This Row],[Direction]],
IF(_xlpm.dir="L",
    IF(F2986-Table1[[#This Row],[Steps]]&lt;0,100+(F2986-Table1[[#This Row],[Steps]]),F2986-Table1[[#This Row],[Steps]]),
))</f>
        <v>91</v>
      </c>
      <c r="E2987">
        <f>_xlfn.LET(_xlpm.dir,Table1[[#This Row],[Direction]],
IF(_xlpm.dir="R",
    IF(F2986+Table1[[#This Row],[Steps]]&gt;99,(F2986+Table1[[#This Row],[Steps]])-100,F2986+Table1[[#This Row],[Steps]]),
))</f>
        <v>0</v>
      </c>
      <c r="F2987">
        <f>IF(Table1[[#This Row],[New Pos L]]&lt;&gt;0,Table1[[#This Row],[New Pos L]],Table1[[#This Row],[New Pos R]])</f>
        <v>91</v>
      </c>
    </row>
    <row r="2988" spans="1:6" ht="16" x14ac:dyDescent="0.2">
      <c r="A2988" s="1" t="s">
        <v>51</v>
      </c>
      <c r="B2988" t="str">
        <f>LEFT(Table1[[#This Row],[Input]],1)</f>
        <v>L</v>
      </c>
      <c r="C2988">
        <f>_xlfn.LET(_xlpm.steps,SUBSTITUTE(Table1[[#This Row],[Input]],Table1[[#This Row],[Direction]],""),VALUE(IF(LEN(_xlpm.steps)&gt;2,RIGHT(_xlpm.steps,2),_xlpm.steps)))</f>
        <v>25</v>
      </c>
      <c r="D2988">
        <f>_xlfn.LET(_xlpm.dir,Table1[[#This Row],[Direction]],
IF(_xlpm.dir="L",
    IF(F2987-Table1[[#This Row],[Steps]]&lt;0,100+(F2987-Table1[[#This Row],[Steps]]),F2987-Table1[[#This Row],[Steps]]),
))</f>
        <v>66</v>
      </c>
      <c r="E2988">
        <f>_xlfn.LET(_xlpm.dir,Table1[[#This Row],[Direction]],
IF(_xlpm.dir="R",
    IF(F2987+Table1[[#This Row],[Steps]]&gt;99,(F2987+Table1[[#This Row],[Steps]])-100,F2987+Table1[[#This Row],[Steps]]),
))</f>
        <v>0</v>
      </c>
      <c r="F2988">
        <f>IF(Table1[[#This Row],[New Pos L]]&lt;&gt;0,Table1[[#This Row],[New Pos L]],Table1[[#This Row],[New Pos R]])</f>
        <v>66</v>
      </c>
    </row>
    <row r="2989" spans="1:6" ht="16" x14ac:dyDescent="0.2">
      <c r="A2989" s="1" t="s">
        <v>123</v>
      </c>
      <c r="B2989" t="str">
        <f>LEFT(Table1[[#This Row],[Input]],1)</f>
        <v>L</v>
      </c>
      <c r="C2989">
        <f>_xlfn.LET(_xlpm.steps,SUBSTITUTE(Table1[[#This Row],[Input]],Table1[[#This Row],[Direction]],""),VALUE(IF(LEN(_xlpm.steps)&gt;2,RIGHT(_xlpm.steps,2),_xlpm.steps)))</f>
        <v>63</v>
      </c>
      <c r="D2989">
        <f>_xlfn.LET(_xlpm.dir,Table1[[#This Row],[Direction]],
IF(_xlpm.dir="L",
    IF(F2988-Table1[[#This Row],[Steps]]&lt;0,100+(F2988-Table1[[#This Row],[Steps]]),F2988-Table1[[#This Row],[Steps]]),
))</f>
        <v>3</v>
      </c>
      <c r="E2989">
        <f>_xlfn.LET(_xlpm.dir,Table1[[#This Row],[Direction]],
IF(_xlpm.dir="R",
    IF(F2988+Table1[[#This Row],[Steps]]&gt;99,(F2988+Table1[[#This Row],[Steps]])-100,F2988+Table1[[#This Row],[Steps]]),
))</f>
        <v>0</v>
      </c>
      <c r="F2989">
        <f>IF(Table1[[#This Row],[New Pos L]]&lt;&gt;0,Table1[[#This Row],[New Pos L]],Table1[[#This Row],[New Pos R]])</f>
        <v>3</v>
      </c>
    </row>
    <row r="2990" spans="1:6" ht="16" x14ac:dyDescent="0.2">
      <c r="A2990" s="1" t="s">
        <v>164</v>
      </c>
      <c r="B2990" t="str">
        <f>LEFT(Table1[[#This Row],[Input]],1)</f>
        <v>R</v>
      </c>
      <c r="C2990">
        <f>_xlfn.LET(_xlpm.steps,SUBSTITUTE(Table1[[#This Row],[Input]],Table1[[#This Row],[Direction]],""),VALUE(IF(LEN(_xlpm.steps)&gt;2,RIGHT(_xlpm.steps,2),_xlpm.steps)))</f>
        <v>85</v>
      </c>
      <c r="D2990">
        <f>_xlfn.LET(_xlpm.dir,Table1[[#This Row],[Direction]],
IF(_xlpm.dir="L",
    IF(F2989-Table1[[#This Row],[Steps]]&lt;0,100+(F2989-Table1[[#This Row],[Steps]]),F2989-Table1[[#This Row],[Steps]]),
))</f>
        <v>0</v>
      </c>
      <c r="E2990">
        <f>_xlfn.LET(_xlpm.dir,Table1[[#This Row],[Direction]],
IF(_xlpm.dir="R",
    IF(F2989+Table1[[#This Row],[Steps]]&gt;99,(F2989+Table1[[#This Row],[Steps]])-100,F2989+Table1[[#This Row],[Steps]]),
))</f>
        <v>88</v>
      </c>
      <c r="F2990">
        <f>IF(Table1[[#This Row],[New Pos L]]&lt;&gt;0,Table1[[#This Row],[New Pos L]],Table1[[#This Row],[New Pos R]])</f>
        <v>88</v>
      </c>
    </row>
    <row r="2991" spans="1:6" ht="16" x14ac:dyDescent="0.2">
      <c r="A2991" s="1" t="s">
        <v>84</v>
      </c>
      <c r="B2991" t="str">
        <f>LEFT(Table1[[#This Row],[Input]],1)</f>
        <v>R</v>
      </c>
      <c r="C2991">
        <f>_xlfn.LET(_xlpm.steps,SUBSTITUTE(Table1[[#This Row],[Input]],Table1[[#This Row],[Direction]],""),VALUE(IF(LEN(_xlpm.steps)&gt;2,RIGHT(_xlpm.steps,2),_xlpm.steps)))</f>
        <v>88</v>
      </c>
      <c r="D2991">
        <f>_xlfn.LET(_xlpm.dir,Table1[[#This Row],[Direction]],
IF(_xlpm.dir="L",
    IF(F2990-Table1[[#This Row],[Steps]]&lt;0,100+(F2990-Table1[[#This Row],[Steps]]),F2990-Table1[[#This Row],[Steps]]),
))</f>
        <v>0</v>
      </c>
      <c r="E2991">
        <f>_xlfn.LET(_xlpm.dir,Table1[[#This Row],[Direction]],
IF(_xlpm.dir="R",
    IF(F2990+Table1[[#This Row],[Steps]]&gt;99,(F2990+Table1[[#This Row],[Steps]])-100,F2990+Table1[[#This Row],[Steps]]),
))</f>
        <v>76</v>
      </c>
      <c r="F2991">
        <f>IF(Table1[[#This Row],[New Pos L]]&lt;&gt;0,Table1[[#This Row],[New Pos L]],Table1[[#This Row],[New Pos R]])</f>
        <v>76</v>
      </c>
    </row>
    <row r="2992" spans="1:6" ht="16" x14ac:dyDescent="0.2">
      <c r="A2992" s="1" t="s">
        <v>125</v>
      </c>
      <c r="B2992" t="str">
        <f>LEFT(Table1[[#This Row],[Input]],1)</f>
        <v>L</v>
      </c>
      <c r="C2992">
        <f>_xlfn.LET(_xlpm.steps,SUBSTITUTE(Table1[[#This Row],[Input]],Table1[[#This Row],[Direction]],""),VALUE(IF(LEN(_xlpm.steps)&gt;2,RIGHT(_xlpm.steps,2),_xlpm.steps)))</f>
        <v>76</v>
      </c>
      <c r="D2992">
        <f>_xlfn.LET(_xlpm.dir,Table1[[#This Row],[Direction]],
IF(_xlpm.dir="L",
    IF(F2991-Table1[[#This Row],[Steps]]&lt;0,100+(F2991-Table1[[#This Row],[Steps]]),F2991-Table1[[#This Row],[Steps]]),
))</f>
        <v>0</v>
      </c>
      <c r="E2992">
        <f>_xlfn.LET(_xlpm.dir,Table1[[#This Row],[Direction]],
IF(_xlpm.dir="R",
    IF(F2991+Table1[[#This Row],[Steps]]&gt;99,(F2991+Table1[[#This Row],[Steps]])-100,F2991+Table1[[#This Row],[Steps]]),
))</f>
        <v>0</v>
      </c>
      <c r="F2992">
        <f>IF(Table1[[#This Row],[New Pos L]]&lt;&gt;0,Table1[[#This Row],[New Pos L]],Table1[[#This Row],[New Pos R]])</f>
        <v>0</v>
      </c>
    </row>
    <row r="2993" spans="1:6" ht="16" x14ac:dyDescent="0.2">
      <c r="A2993" s="1" t="s">
        <v>210</v>
      </c>
      <c r="B2993" t="str">
        <f>LEFT(Table1[[#This Row],[Input]],1)</f>
        <v>R</v>
      </c>
      <c r="C2993">
        <f>_xlfn.LET(_xlpm.steps,SUBSTITUTE(Table1[[#This Row],[Input]],Table1[[#This Row],[Direction]],""),VALUE(IF(LEN(_xlpm.steps)&gt;2,RIGHT(_xlpm.steps,2),_xlpm.steps)))</f>
        <v>89</v>
      </c>
      <c r="D2993">
        <f>_xlfn.LET(_xlpm.dir,Table1[[#This Row],[Direction]],
IF(_xlpm.dir="L",
    IF(F2992-Table1[[#This Row],[Steps]]&lt;0,100+(F2992-Table1[[#This Row],[Steps]]),F2992-Table1[[#This Row],[Steps]]),
))</f>
        <v>0</v>
      </c>
      <c r="E2993">
        <f>_xlfn.LET(_xlpm.dir,Table1[[#This Row],[Direction]],
IF(_xlpm.dir="R",
    IF(F2992+Table1[[#This Row],[Steps]]&gt;99,(F2992+Table1[[#This Row],[Steps]])-100,F2992+Table1[[#This Row],[Steps]]),
))</f>
        <v>89</v>
      </c>
      <c r="F2993">
        <f>IF(Table1[[#This Row],[New Pos L]]&lt;&gt;0,Table1[[#This Row],[New Pos L]],Table1[[#This Row],[New Pos R]])</f>
        <v>89</v>
      </c>
    </row>
    <row r="2994" spans="1:6" ht="16" x14ac:dyDescent="0.2">
      <c r="A2994" s="1" t="s">
        <v>33</v>
      </c>
      <c r="B2994" t="str">
        <f>LEFT(Table1[[#This Row],[Input]],1)</f>
        <v>R</v>
      </c>
      <c r="C2994">
        <f>_xlfn.LET(_xlpm.steps,SUBSTITUTE(Table1[[#This Row],[Input]],Table1[[#This Row],[Direction]],""),VALUE(IF(LEN(_xlpm.steps)&gt;2,RIGHT(_xlpm.steps,2),_xlpm.steps)))</f>
        <v>22</v>
      </c>
      <c r="D2994">
        <f>_xlfn.LET(_xlpm.dir,Table1[[#This Row],[Direction]],
IF(_xlpm.dir="L",
    IF(F2993-Table1[[#This Row],[Steps]]&lt;0,100+(F2993-Table1[[#This Row],[Steps]]),F2993-Table1[[#This Row],[Steps]]),
))</f>
        <v>0</v>
      </c>
      <c r="E2994">
        <f>_xlfn.LET(_xlpm.dir,Table1[[#This Row],[Direction]],
IF(_xlpm.dir="R",
    IF(F2993+Table1[[#This Row],[Steps]]&gt;99,(F2993+Table1[[#This Row],[Steps]])-100,F2993+Table1[[#This Row],[Steps]]),
))</f>
        <v>11</v>
      </c>
      <c r="F2994">
        <f>IF(Table1[[#This Row],[New Pos L]]&lt;&gt;0,Table1[[#This Row],[New Pos L]],Table1[[#This Row],[New Pos R]])</f>
        <v>11</v>
      </c>
    </row>
    <row r="2995" spans="1:6" ht="16" x14ac:dyDescent="0.2">
      <c r="A2995" s="1" t="s">
        <v>88</v>
      </c>
      <c r="B2995" t="str">
        <f>LEFT(Table1[[#This Row],[Input]],1)</f>
        <v>R</v>
      </c>
      <c r="C2995">
        <f>_xlfn.LET(_xlpm.steps,SUBSTITUTE(Table1[[#This Row],[Input]],Table1[[#This Row],[Direction]],""),VALUE(IF(LEN(_xlpm.steps)&gt;2,RIGHT(_xlpm.steps,2),_xlpm.steps)))</f>
        <v>53</v>
      </c>
      <c r="D2995">
        <f>_xlfn.LET(_xlpm.dir,Table1[[#This Row],[Direction]],
IF(_xlpm.dir="L",
    IF(F2994-Table1[[#This Row],[Steps]]&lt;0,100+(F2994-Table1[[#This Row],[Steps]]),F2994-Table1[[#This Row],[Steps]]),
))</f>
        <v>0</v>
      </c>
      <c r="E2995">
        <f>_xlfn.LET(_xlpm.dir,Table1[[#This Row],[Direction]],
IF(_xlpm.dir="R",
    IF(F2994+Table1[[#This Row],[Steps]]&gt;99,(F2994+Table1[[#This Row],[Steps]])-100,F2994+Table1[[#This Row],[Steps]]),
))</f>
        <v>64</v>
      </c>
      <c r="F2995">
        <f>IF(Table1[[#This Row],[New Pos L]]&lt;&gt;0,Table1[[#This Row],[New Pos L]],Table1[[#This Row],[New Pos R]])</f>
        <v>64</v>
      </c>
    </row>
    <row r="2996" spans="1:6" ht="16" x14ac:dyDescent="0.2">
      <c r="A2996" s="1" t="s">
        <v>676</v>
      </c>
      <c r="B2996" t="str">
        <f>LEFT(Table1[[#This Row],[Input]],1)</f>
        <v>L</v>
      </c>
      <c r="C2996">
        <f>_xlfn.LET(_xlpm.steps,SUBSTITUTE(Table1[[#This Row],[Input]],Table1[[#This Row],[Direction]],""),VALUE(IF(LEN(_xlpm.steps)&gt;2,RIGHT(_xlpm.steps,2),_xlpm.steps)))</f>
        <v>64</v>
      </c>
      <c r="D2996">
        <f>_xlfn.LET(_xlpm.dir,Table1[[#This Row],[Direction]],
IF(_xlpm.dir="L",
    IF(F2995-Table1[[#This Row],[Steps]]&lt;0,100+(F2995-Table1[[#This Row],[Steps]]),F2995-Table1[[#This Row],[Steps]]),
))</f>
        <v>0</v>
      </c>
      <c r="E2996">
        <f>_xlfn.LET(_xlpm.dir,Table1[[#This Row],[Direction]],
IF(_xlpm.dir="R",
    IF(F2995+Table1[[#This Row],[Steps]]&gt;99,(F2995+Table1[[#This Row],[Steps]])-100,F2995+Table1[[#This Row],[Steps]]),
))</f>
        <v>0</v>
      </c>
      <c r="F2996">
        <f>IF(Table1[[#This Row],[New Pos L]]&lt;&gt;0,Table1[[#This Row],[New Pos L]],Table1[[#This Row],[New Pos R]])</f>
        <v>0</v>
      </c>
    </row>
    <row r="2997" spans="1:6" ht="16" x14ac:dyDescent="0.2">
      <c r="A2997" s="1" t="s">
        <v>677</v>
      </c>
      <c r="B2997" t="str">
        <f>LEFT(Table1[[#This Row],[Input]],1)</f>
        <v>R</v>
      </c>
      <c r="C2997">
        <f>_xlfn.LET(_xlpm.steps,SUBSTITUTE(Table1[[#This Row],[Input]],Table1[[#This Row],[Direction]],""),VALUE(IF(LEN(_xlpm.steps)&gt;2,RIGHT(_xlpm.steps,2),_xlpm.steps)))</f>
        <v>90</v>
      </c>
      <c r="D2997">
        <f>_xlfn.LET(_xlpm.dir,Table1[[#This Row],[Direction]],
IF(_xlpm.dir="L",
    IF(F2996-Table1[[#This Row],[Steps]]&lt;0,100+(F2996-Table1[[#This Row],[Steps]]),F2996-Table1[[#This Row],[Steps]]),
))</f>
        <v>0</v>
      </c>
      <c r="E2997">
        <f>_xlfn.LET(_xlpm.dir,Table1[[#This Row],[Direction]],
IF(_xlpm.dir="R",
    IF(F2996+Table1[[#This Row],[Steps]]&gt;99,(F2996+Table1[[#This Row],[Steps]])-100,F2996+Table1[[#This Row],[Steps]]),
))</f>
        <v>90</v>
      </c>
      <c r="F2997">
        <f>IF(Table1[[#This Row],[New Pos L]]&lt;&gt;0,Table1[[#This Row],[New Pos L]],Table1[[#This Row],[New Pos R]])</f>
        <v>90</v>
      </c>
    </row>
    <row r="2998" spans="1:6" ht="16" x14ac:dyDescent="0.2">
      <c r="A2998" s="1" t="s">
        <v>18</v>
      </c>
      <c r="B2998" t="str">
        <f>LEFT(Table1[[#This Row],[Input]],1)</f>
        <v>L</v>
      </c>
      <c r="C2998">
        <f>_xlfn.LET(_xlpm.steps,SUBSTITUTE(Table1[[#This Row],[Input]],Table1[[#This Row],[Direction]],""),VALUE(IF(LEN(_xlpm.steps)&gt;2,RIGHT(_xlpm.steps,2),_xlpm.steps)))</f>
        <v>46</v>
      </c>
      <c r="D2998">
        <f>_xlfn.LET(_xlpm.dir,Table1[[#This Row],[Direction]],
IF(_xlpm.dir="L",
    IF(F2997-Table1[[#This Row],[Steps]]&lt;0,100+(F2997-Table1[[#This Row],[Steps]]),F2997-Table1[[#This Row],[Steps]]),
))</f>
        <v>44</v>
      </c>
      <c r="E2998">
        <f>_xlfn.LET(_xlpm.dir,Table1[[#This Row],[Direction]],
IF(_xlpm.dir="R",
    IF(F2997+Table1[[#This Row],[Steps]]&gt;99,(F2997+Table1[[#This Row],[Steps]])-100,F2997+Table1[[#This Row],[Steps]]),
))</f>
        <v>0</v>
      </c>
      <c r="F2998">
        <f>IF(Table1[[#This Row],[New Pos L]]&lt;&gt;0,Table1[[#This Row],[New Pos L]],Table1[[#This Row],[New Pos R]])</f>
        <v>44</v>
      </c>
    </row>
    <row r="2999" spans="1:6" ht="16" x14ac:dyDescent="0.2">
      <c r="A2999" s="1" t="s">
        <v>135</v>
      </c>
      <c r="B2999" t="str">
        <f>LEFT(Table1[[#This Row],[Input]],1)</f>
        <v>R</v>
      </c>
      <c r="C2999">
        <f>_xlfn.LET(_xlpm.steps,SUBSTITUTE(Table1[[#This Row],[Input]],Table1[[#This Row],[Direction]],""),VALUE(IF(LEN(_xlpm.steps)&gt;2,RIGHT(_xlpm.steps,2),_xlpm.steps)))</f>
        <v>69</v>
      </c>
      <c r="D2999">
        <f>_xlfn.LET(_xlpm.dir,Table1[[#This Row],[Direction]],
IF(_xlpm.dir="L",
    IF(F2998-Table1[[#This Row],[Steps]]&lt;0,100+(F2998-Table1[[#This Row],[Steps]]),F2998-Table1[[#This Row],[Steps]]),
))</f>
        <v>0</v>
      </c>
      <c r="E2999">
        <f>_xlfn.LET(_xlpm.dir,Table1[[#This Row],[Direction]],
IF(_xlpm.dir="R",
    IF(F2998+Table1[[#This Row],[Steps]]&gt;99,(F2998+Table1[[#This Row],[Steps]])-100,F2998+Table1[[#This Row],[Steps]]),
))</f>
        <v>13</v>
      </c>
      <c r="F2999">
        <f>IF(Table1[[#This Row],[New Pos L]]&lt;&gt;0,Table1[[#This Row],[New Pos L]],Table1[[#This Row],[New Pos R]])</f>
        <v>13</v>
      </c>
    </row>
    <row r="3000" spans="1:6" ht="16" x14ac:dyDescent="0.2">
      <c r="A3000" s="1" t="s">
        <v>213</v>
      </c>
      <c r="B3000" t="str">
        <f>LEFT(Table1[[#This Row],[Input]],1)</f>
        <v>R</v>
      </c>
      <c r="C3000">
        <f>_xlfn.LET(_xlpm.steps,SUBSTITUTE(Table1[[#This Row],[Input]],Table1[[#This Row],[Direction]],""),VALUE(IF(LEN(_xlpm.steps)&gt;2,RIGHT(_xlpm.steps,2),_xlpm.steps)))</f>
        <v>87</v>
      </c>
      <c r="D3000">
        <f>_xlfn.LET(_xlpm.dir,Table1[[#This Row],[Direction]],
IF(_xlpm.dir="L",
    IF(F2999-Table1[[#This Row],[Steps]]&lt;0,100+(F2999-Table1[[#This Row],[Steps]]),F2999-Table1[[#This Row],[Steps]]),
))</f>
        <v>0</v>
      </c>
      <c r="E3000">
        <f>_xlfn.LET(_xlpm.dir,Table1[[#This Row],[Direction]],
IF(_xlpm.dir="R",
    IF(F2999+Table1[[#This Row],[Steps]]&gt;99,(F2999+Table1[[#This Row],[Steps]])-100,F2999+Table1[[#This Row],[Steps]]),
))</f>
        <v>0</v>
      </c>
      <c r="F3000">
        <f>IF(Table1[[#This Row],[New Pos L]]&lt;&gt;0,Table1[[#This Row],[New Pos L]],Table1[[#This Row],[New Pos R]])</f>
        <v>0</v>
      </c>
    </row>
    <row r="3001" spans="1:6" ht="16" x14ac:dyDescent="0.2">
      <c r="A3001" s="1" t="s">
        <v>64</v>
      </c>
      <c r="B3001" t="str">
        <f>LEFT(Table1[[#This Row],[Input]],1)</f>
        <v>R</v>
      </c>
      <c r="C3001">
        <f>_xlfn.LET(_xlpm.steps,SUBSTITUTE(Table1[[#This Row],[Input]],Table1[[#This Row],[Direction]],""),VALUE(IF(LEN(_xlpm.steps)&gt;2,RIGHT(_xlpm.steps,2),_xlpm.steps)))</f>
        <v>10</v>
      </c>
      <c r="D3001">
        <f>_xlfn.LET(_xlpm.dir,Table1[[#This Row],[Direction]],
IF(_xlpm.dir="L",
    IF(F3000-Table1[[#This Row],[Steps]]&lt;0,100+(F3000-Table1[[#This Row],[Steps]]),F3000-Table1[[#This Row],[Steps]]),
))</f>
        <v>0</v>
      </c>
      <c r="E3001">
        <f>_xlfn.LET(_xlpm.dir,Table1[[#This Row],[Direction]],
IF(_xlpm.dir="R",
    IF(F3000+Table1[[#This Row],[Steps]]&gt;99,(F3000+Table1[[#This Row],[Steps]])-100,F3000+Table1[[#This Row],[Steps]]),
))</f>
        <v>10</v>
      </c>
      <c r="F3001">
        <f>IF(Table1[[#This Row],[New Pos L]]&lt;&gt;0,Table1[[#This Row],[New Pos L]],Table1[[#This Row],[New Pos R]])</f>
        <v>10</v>
      </c>
    </row>
    <row r="3002" spans="1:6" ht="16" x14ac:dyDescent="0.2">
      <c r="A3002" s="1" t="s">
        <v>16</v>
      </c>
      <c r="B3002" t="str">
        <f>LEFT(Table1[[#This Row],[Input]],1)</f>
        <v>L</v>
      </c>
      <c r="C3002">
        <f>_xlfn.LET(_xlpm.steps,SUBSTITUTE(Table1[[#This Row],[Input]],Table1[[#This Row],[Direction]],""),VALUE(IF(LEN(_xlpm.steps)&gt;2,RIGHT(_xlpm.steps,2),_xlpm.steps)))</f>
        <v>10</v>
      </c>
      <c r="D3002">
        <f>_xlfn.LET(_xlpm.dir,Table1[[#This Row],[Direction]],
IF(_xlpm.dir="L",
    IF(F3001-Table1[[#This Row],[Steps]]&lt;0,100+(F3001-Table1[[#This Row],[Steps]]),F3001-Table1[[#This Row],[Steps]]),
))</f>
        <v>0</v>
      </c>
      <c r="E3002">
        <f>_xlfn.LET(_xlpm.dir,Table1[[#This Row],[Direction]],
IF(_xlpm.dir="R",
    IF(F3001+Table1[[#This Row],[Steps]]&gt;99,(F3001+Table1[[#This Row],[Steps]])-100,F3001+Table1[[#This Row],[Steps]]),
))</f>
        <v>0</v>
      </c>
      <c r="F3002">
        <f>IF(Table1[[#This Row],[New Pos L]]&lt;&gt;0,Table1[[#This Row],[New Pos L]],Table1[[#This Row],[New Pos R]])</f>
        <v>0</v>
      </c>
    </row>
    <row r="3003" spans="1:6" ht="16" x14ac:dyDescent="0.2">
      <c r="A3003" s="1" t="s">
        <v>252</v>
      </c>
      <c r="B3003" t="str">
        <f>LEFT(Table1[[#This Row],[Input]],1)</f>
        <v>L</v>
      </c>
      <c r="C3003">
        <f>_xlfn.LET(_xlpm.steps,SUBSTITUTE(Table1[[#This Row],[Input]],Table1[[#This Row],[Direction]],""),VALUE(IF(LEN(_xlpm.steps)&gt;2,RIGHT(_xlpm.steps,2),_xlpm.steps)))</f>
        <v>99</v>
      </c>
      <c r="D3003">
        <f>_xlfn.LET(_xlpm.dir,Table1[[#This Row],[Direction]],
IF(_xlpm.dir="L",
    IF(F3002-Table1[[#This Row],[Steps]]&lt;0,100+(F3002-Table1[[#This Row],[Steps]]),F3002-Table1[[#This Row],[Steps]]),
))</f>
        <v>1</v>
      </c>
      <c r="E3003">
        <f>_xlfn.LET(_xlpm.dir,Table1[[#This Row],[Direction]],
IF(_xlpm.dir="R",
    IF(F3002+Table1[[#This Row],[Steps]]&gt;99,(F3002+Table1[[#This Row],[Steps]])-100,F3002+Table1[[#This Row],[Steps]]),
))</f>
        <v>0</v>
      </c>
      <c r="F3003">
        <f>IF(Table1[[#This Row],[New Pos L]]&lt;&gt;0,Table1[[#This Row],[New Pos L]],Table1[[#This Row],[New Pos R]])</f>
        <v>1</v>
      </c>
    </row>
    <row r="3004" spans="1:6" ht="16" x14ac:dyDescent="0.2">
      <c r="A3004" s="1" t="s">
        <v>175</v>
      </c>
      <c r="B3004" t="str">
        <f>LEFT(Table1[[#This Row],[Input]],1)</f>
        <v>L</v>
      </c>
      <c r="C3004">
        <f>_xlfn.LET(_xlpm.steps,SUBSTITUTE(Table1[[#This Row],[Input]],Table1[[#This Row],[Direction]],""),VALUE(IF(LEN(_xlpm.steps)&gt;2,RIGHT(_xlpm.steps,2),_xlpm.steps)))</f>
        <v>1</v>
      </c>
      <c r="D3004">
        <f>_xlfn.LET(_xlpm.dir,Table1[[#This Row],[Direction]],
IF(_xlpm.dir="L",
    IF(F3003-Table1[[#This Row],[Steps]]&lt;0,100+(F3003-Table1[[#This Row],[Steps]]),F3003-Table1[[#This Row],[Steps]]),
))</f>
        <v>0</v>
      </c>
      <c r="E3004">
        <f>_xlfn.LET(_xlpm.dir,Table1[[#This Row],[Direction]],
IF(_xlpm.dir="R",
    IF(F3003+Table1[[#This Row],[Steps]]&gt;99,(F3003+Table1[[#This Row],[Steps]])-100,F3003+Table1[[#This Row],[Steps]]),
))</f>
        <v>0</v>
      </c>
      <c r="F3004">
        <f>IF(Table1[[#This Row],[New Pos L]]&lt;&gt;0,Table1[[#This Row],[New Pos L]],Table1[[#This Row],[New Pos R]])</f>
        <v>0</v>
      </c>
    </row>
    <row r="3005" spans="1:6" ht="16" x14ac:dyDescent="0.2">
      <c r="A3005" s="1" t="s">
        <v>88</v>
      </c>
      <c r="B3005" t="str">
        <f>LEFT(Table1[[#This Row],[Input]],1)</f>
        <v>R</v>
      </c>
      <c r="C3005">
        <f>_xlfn.LET(_xlpm.steps,SUBSTITUTE(Table1[[#This Row],[Input]],Table1[[#This Row],[Direction]],""),VALUE(IF(LEN(_xlpm.steps)&gt;2,RIGHT(_xlpm.steps,2),_xlpm.steps)))</f>
        <v>53</v>
      </c>
      <c r="D3005">
        <f>_xlfn.LET(_xlpm.dir,Table1[[#This Row],[Direction]],
IF(_xlpm.dir="L",
    IF(F3004-Table1[[#This Row],[Steps]]&lt;0,100+(F3004-Table1[[#This Row],[Steps]]),F3004-Table1[[#This Row],[Steps]]),
))</f>
        <v>0</v>
      </c>
      <c r="E3005">
        <f>_xlfn.LET(_xlpm.dir,Table1[[#This Row],[Direction]],
IF(_xlpm.dir="R",
    IF(F3004+Table1[[#This Row],[Steps]]&gt;99,(F3004+Table1[[#This Row],[Steps]])-100,F3004+Table1[[#This Row],[Steps]]),
))</f>
        <v>53</v>
      </c>
      <c r="F3005">
        <f>IF(Table1[[#This Row],[New Pos L]]&lt;&gt;0,Table1[[#This Row],[New Pos L]],Table1[[#This Row],[New Pos R]])</f>
        <v>53</v>
      </c>
    </row>
    <row r="3006" spans="1:6" ht="16" x14ac:dyDescent="0.2">
      <c r="A3006" s="1" t="s">
        <v>678</v>
      </c>
      <c r="B3006" t="str">
        <f>LEFT(Table1[[#This Row],[Input]],1)</f>
        <v>R</v>
      </c>
      <c r="C3006">
        <f>_xlfn.LET(_xlpm.steps,SUBSTITUTE(Table1[[#This Row],[Input]],Table1[[#This Row],[Direction]],""),VALUE(IF(LEN(_xlpm.steps)&gt;2,RIGHT(_xlpm.steps,2),_xlpm.steps)))</f>
        <v>47</v>
      </c>
      <c r="D3006">
        <f>_xlfn.LET(_xlpm.dir,Table1[[#This Row],[Direction]],
IF(_xlpm.dir="L",
    IF(F3005-Table1[[#This Row],[Steps]]&lt;0,100+(F3005-Table1[[#This Row],[Steps]]),F3005-Table1[[#This Row],[Steps]]),
))</f>
        <v>0</v>
      </c>
      <c r="E3006">
        <f>_xlfn.LET(_xlpm.dir,Table1[[#This Row],[Direction]],
IF(_xlpm.dir="R",
    IF(F3005+Table1[[#This Row],[Steps]]&gt;99,(F3005+Table1[[#This Row],[Steps]])-100,F3005+Table1[[#This Row],[Steps]]),
))</f>
        <v>0</v>
      </c>
      <c r="F3006">
        <f>IF(Table1[[#This Row],[New Pos L]]&lt;&gt;0,Table1[[#This Row],[New Pos L]],Table1[[#This Row],[New Pos R]])</f>
        <v>0</v>
      </c>
    </row>
    <row r="3007" spans="1:6" ht="16" x14ac:dyDescent="0.2">
      <c r="A3007" s="1" t="s">
        <v>19</v>
      </c>
      <c r="B3007" t="str">
        <f>LEFT(Table1[[#This Row],[Input]],1)</f>
        <v>R</v>
      </c>
      <c r="C3007">
        <f>_xlfn.LET(_xlpm.steps,SUBSTITUTE(Table1[[#This Row],[Input]],Table1[[#This Row],[Direction]],""),VALUE(IF(LEN(_xlpm.steps)&gt;2,RIGHT(_xlpm.steps,2),_xlpm.steps)))</f>
        <v>47</v>
      </c>
      <c r="D3007">
        <f>_xlfn.LET(_xlpm.dir,Table1[[#This Row],[Direction]],
IF(_xlpm.dir="L",
    IF(F3006-Table1[[#This Row],[Steps]]&lt;0,100+(F3006-Table1[[#This Row],[Steps]]),F3006-Table1[[#This Row],[Steps]]),
))</f>
        <v>0</v>
      </c>
      <c r="E3007">
        <f>_xlfn.LET(_xlpm.dir,Table1[[#This Row],[Direction]],
IF(_xlpm.dir="R",
    IF(F3006+Table1[[#This Row],[Steps]]&gt;99,(F3006+Table1[[#This Row],[Steps]])-100,F3006+Table1[[#This Row],[Steps]]),
))</f>
        <v>47</v>
      </c>
      <c r="F3007">
        <f>IF(Table1[[#This Row],[New Pos L]]&lt;&gt;0,Table1[[#This Row],[New Pos L]],Table1[[#This Row],[New Pos R]])</f>
        <v>47</v>
      </c>
    </row>
    <row r="3008" spans="1:6" ht="16" x14ac:dyDescent="0.2">
      <c r="A3008" s="1" t="s">
        <v>398</v>
      </c>
      <c r="B3008" t="str">
        <f>LEFT(Table1[[#This Row],[Input]],1)</f>
        <v>R</v>
      </c>
      <c r="C3008">
        <f>_xlfn.LET(_xlpm.steps,SUBSTITUTE(Table1[[#This Row],[Input]],Table1[[#This Row],[Direction]],""),VALUE(IF(LEN(_xlpm.steps)&gt;2,RIGHT(_xlpm.steps,2),_xlpm.steps)))</f>
        <v>27</v>
      </c>
      <c r="D3008">
        <f>_xlfn.LET(_xlpm.dir,Table1[[#This Row],[Direction]],
IF(_xlpm.dir="L",
    IF(F3007-Table1[[#This Row],[Steps]]&lt;0,100+(F3007-Table1[[#This Row],[Steps]]),F3007-Table1[[#This Row],[Steps]]),
))</f>
        <v>0</v>
      </c>
      <c r="E3008">
        <f>_xlfn.LET(_xlpm.dir,Table1[[#This Row],[Direction]],
IF(_xlpm.dir="R",
    IF(F3007+Table1[[#This Row],[Steps]]&gt;99,(F3007+Table1[[#This Row],[Steps]])-100,F3007+Table1[[#This Row],[Steps]]),
))</f>
        <v>74</v>
      </c>
      <c r="F3008">
        <f>IF(Table1[[#This Row],[New Pos L]]&lt;&gt;0,Table1[[#This Row],[New Pos L]],Table1[[#This Row],[New Pos R]])</f>
        <v>74</v>
      </c>
    </row>
    <row r="3009" spans="1:6" ht="16" x14ac:dyDescent="0.2">
      <c r="A3009" s="1" t="s">
        <v>525</v>
      </c>
      <c r="B3009" t="str">
        <f>LEFT(Table1[[#This Row],[Input]],1)</f>
        <v>R</v>
      </c>
      <c r="C3009">
        <f>_xlfn.LET(_xlpm.steps,SUBSTITUTE(Table1[[#This Row],[Input]],Table1[[#This Row],[Direction]],""),VALUE(IF(LEN(_xlpm.steps)&gt;2,RIGHT(_xlpm.steps,2),_xlpm.steps)))</f>
        <v>26</v>
      </c>
      <c r="D3009">
        <f>_xlfn.LET(_xlpm.dir,Table1[[#This Row],[Direction]],
IF(_xlpm.dir="L",
    IF(F3008-Table1[[#This Row],[Steps]]&lt;0,100+(F3008-Table1[[#This Row],[Steps]]),F3008-Table1[[#This Row],[Steps]]),
))</f>
        <v>0</v>
      </c>
      <c r="E3009">
        <f>_xlfn.LET(_xlpm.dir,Table1[[#This Row],[Direction]],
IF(_xlpm.dir="R",
    IF(F3008+Table1[[#This Row],[Steps]]&gt;99,(F3008+Table1[[#This Row],[Steps]])-100,F3008+Table1[[#This Row],[Steps]]),
))</f>
        <v>0</v>
      </c>
      <c r="F3009">
        <f>IF(Table1[[#This Row],[New Pos L]]&lt;&gt;0,Table1[[#This Row],[New Pos L]],Table1[[#This Row],[New Pos R]])</f>
        <v>0</v>
      </c>
    </row>
    <row r="3010" spans="1:6" ht="16" x14ac:dyDescent="0.2">
      <c r="A3010" s="1" t="s">
        <v>234</v>
      </c>
      <c r="B3010" t="str">
        <f>LEFT(Table1[[#This Row],[Input]],1)</f>
        <v>R</v>
      </c>
      <c r="C3010">
        <f>_xlfn.LET(_xlpm.steps,SUBSTITUTE(Table1[[#This Row],[Input]],Table1[[#This Row],[Direction]],""),VALUE(IF(LEN(_xlpm.steps)&gt;2,RIGHT(_xlpm.steps,2),_xlpm.steps)))</f>
        <v>82</v>
      </c>
      <c r="D3010">
        <f>_xlfn.LET(_xlpm.dir,Table1[[#This Row],[Direction]],
IF(_xlpm.dir="L",
    IF(F3009-Table1[[#This Row],[Steps]]&lt;0,100+(F3009-Table1[[#This Row],[Steps]]),F3009-Table1[[#This Row],[Steps]]),
))</f>
        <v>0</v>
      </c>
      <c r="E3010">
        <f>_xlfn.LET(_xlpm.dir,Table1[[#This Row],[Direction]],
IF(_xlpm.dir="R",
    IF(F3009+Table1[[#This Row],[Steps]]&gt;99,(F3009+Table1[[#This Row],[Steps]])-100,F3009+Table1[[#This Row],[Steps]]),
))</f>
        <v>82</v>
      </c>
      <c r="F3010">
        <f>IF(Table1[[#This Row],[New Pos L]]&lt;&gt;0,Table1[[#This Row],[New Pos L]],Table1[[#This Row],[New Pos R]])</f>
        <v>82</v>
      </c>
    </row>
    <row r="3011" spans="1:6" ht="16" x14ac:dyDescent="0.2">
      <c r="A3011" s="1" t="s">
        <v>30</v>
      </c>
      <c r="B3011" t="str">
        <f>LEFT(Table1[[#This Row],[Input]],1)</f>
        <v>R</v>
      </c>
      <c r="C3011">
        <f>_xlfn.LET(_xlpm.steps,SUBSTITUTE(Table1[[#This Row],[Input]],Table1[[#This Row],[Direction]],""),VALUE(IF(LEN(_xlpm.steps)&gt;2,RIGHT(_xlpm.steps,2),_xlpm.steps)))</f>
        <v>48</v>
      </c>
      <c r="D3011">
        <f>_xlfn.LET(_xlpm.dir,Table1[[#This Row],[Direction]],
IF(_xlpm.dir="L",
    IF(F3010-Table1[[#This Row],[Steps]]&lt;0,100+(F3010-Table1[[#This Row],[Steps]]),F3010-Table1[[#This Row],[Steps]]),
))</f>
        <v>0</v>
      </c>
      <c r="E3011">
        <f>_xlfn.LET(_xlpm.dir,Table1[[#This Row],[Direction]],
IF(_xlpm.dir="R",
    IF(F3010+Table1[[#This Row],[Steps]]&gt;99,(F3010+Table1[[#This Row],[Steps]])-100,F3010+Table1[[#This Row],[Steps]]),
))</f>
        <v>30</v>
      </c>
      <c r="F3011">
        <f>IF(Table1[[#This Row],[New Pos L]]&lt;&gt;0,Table1[[#This Row],[New Pos L]],Table1[[#This Row],[New Pos R]])</f>
        <v>30</v>
      </c>
    </row>
    <row r="3012" spans="1:6" ht="16" x14ac:dyDescent="0.2">
      <c r="A3012" s="1" t="s">
        <v>114</v>
      </c>
      <c r="B3012" t="str">
        <f>LEFT(Table1[[#This Row],[Input]],1)</f>
        <v>R</v>
      </c>
      <c r="C3012">
        <f>_xlfn.LET(_xlpm.steps,SUBSTITUTE(Table1[[#This Row],[Input]],Table1[[#This Row],[Direction]],""),VALUE(IF(LEN(_xlpm.steps)&gt;2,RIGHT(_xlpm.steps,2),_xlpm.steps)))</f>
        <v>70</v>
      </c>
      <c r="D3012">
        <f>_xlfn.LET(_xlpm.dir,Table1[[#This Row],[Direction]],
IF(_xlpm.dir="L",
    IF(F3011-Table1[[#This Row],[Steps]]&lt;0,100+(F3011-Table1[[#This Row],[Steps]]),F3011-Table1[[#This Row],[Steps]]),
))</f>
        <v>0</v>
      </c>
      <c r="E3012">
        <f>_xlfn.LET(_xlpm.dir,Table1[[#This Row],[Direction]],
IF(_xlpm.dir="R",
    IF(F3011+Table1[[#This Row],[Steps]]&gt;99,(F3011+Table1[[#This Row],[Steps]])-100,F3011+Table1[[#This Row],[Steps]]),
))</f>
        <v>0</v>
      </c>
      <c r="F3012">
        <f>IF(Table1[[#This Row],[New Pos L]]&lt;&gt;0,Table1[[#This Row],[New Pos L]],Table1[[#This Row],[New Pos R]])</f>
        <v>0</v>
      </c>
    </row>
    <row r="3013" spans="1:6" ht="16" x14ac:dyDescent="0.2">
      <c r="A3013" s="1" t="s">
        <v>167</v>
      </c>
      <c r="B3013" t="str">
        <f>LEFT(Table1[[#This Row],[Input]],1)</f>
        <v>L</v>
      </c>
      <c r="C3013">
        <f>_xlfn.LET(_xlpm.steps,SUBSTITUTE(Table1[[#This Row],[Input]],Table1[[#This Row],[Direction]],""),VALUE(IF(LEN(_xlpm.steps)&gt;2,RIGHT(_xlpm.steps,2),_xlpm.steps)))</f>
        <v>59</v>
      </c>
      <c r="D3013">
        <f>_xlfn.LET(_xlpm.dir,Table1[[#This Row],[Direction]],
IF(_xlpm.dir="L",
    IF(F3012-Table1[[#This Row],[Steps]]&lt;0,100+(F3012-Table1[[#This Row],[Steps]]),F3012-Table1[[#This Row],[Steps]]),
))</f>
        <v>41</v>
      </c>
      <c r="E3013">
        <f>_xlfn.LET(_xlpm.dir,Table1[[#This Row],[Direction]],
IF(_xlpm.dir="R",
    IF(F3012+Table1[[#This Row],[Steps]]&gt;99,(F3012+Table1[[#This Row],[Steps]])-100,F3012+Table1[[#This Row],[Steps]]),
))</f>
        <v>0</v>
      </c>
      <c r="F3013">
        <f>IF(Table1[[#This Row],[New Pos L]]&lt;&gt;0,Table1[[#This Row],[New Pos L]],Table1[[#This Row],[New Pos R]])</f>
        <v>41</v>
      </c>
    </row>
    <row r="3014" spans="1:6" ht="16" x14ac:dyDescent="0.2">
      <c r="A3014" s="1" t="s">
        <v>234</v>
      </c>
      <c r="B3014" t="str">
        <f>LEFT(Table1[[#This Row],[Input]],1)</f>
        <v>R</v>
      </c>
      <c r="C3014">
        <f>_xlfn.LET(_xlpm.steps,SUBSTITUTE(Table1[[#This Row],[Input]],Table1[[#This Row],[Direction]],""),VALUE(IF(LEN(_xlpm.steps)&gt;2,RIGHT(_xlpm.steps,2),_xlpm.steps)))</f>
        <v>82</v>
      </c>
      <c r="D3014">
        <f>_xlfn.LET(_xlpm.dir,Table1[[#This Row],[Direction]],
IF(_xlpm.dir="L",
    IF(F3013-Table1[[#This Row],[Steps]]&lt;0,100+(F3013-Table1[[#This Row],[Steps]]),F3013-Table1[[#This Row],[Steps]]),
))</f>
        <v>0</v>
      </c>
      <c r="E3014">
        <f>_xlfn.LET(_xlpm.dir,Table1[[#This Row],[Direction]],
IF(_xlpm.dir="R",
    IF(F3013+Table1[[#This Row],[Steps]]&gt;99,(F3013+Table1[[#This Row],[Steps]])-100,F3013+Table1[[#This Row],[Steps]]),
))</f>
        <v>23</v>
      </c>
      <c r="F3014">
        <f>IF(Table1[[#This Row],[New Pos L]]&lt;&gt;0,Table1[[#This Row],[New Pos L]],Table1[[#This Row],[New Pos R]])</f>
        <v>23</v>
      </c>
    </row>
    <row r="3015" spans="1:6" ht="16" x14ac:dyDescent="0.2">
      <c r="A3015" s="1" t="s">
        <v>138</v>
      </c>
      <c r="B3015" t="str">
        <f>LEFT(Table1[[#This Row],[Input]],1)</f>
        <v>L</v>
      </c>
      <c r="C3015">
        <f>_xlfn.LET(_xlpm.steps,SUBSTITUTE(Table1[[#This Row],[Input]],Table1[[#This Row],[Direction]],""),VALUE(IF(LEN(_xlpm.steps)&gt;2,RIGHT(_xlpm.steps,2),_xlpm.steps)))</f>
        <v>94</v>
      </c>
      <c r="D3015">
        <f>_xlfn.LET(_xlpm.dir,Table1[[#This Row],[Direction]],
IF(_xlpm.dir="L",
    IF(F3014-Table1[[#This Row],[Steps]]&lt;0,100+(F3014-Table1[[#This Row],[Steps]]),F3014-Table1[[#This Row],[Steps]]),
))</f>
        <v>29</v>
      </c>
      <c r="E3015">
        <f>_xlfn.LET(_xlpm.dir,Table1[[#This Row],[Direction]],
IF(_xlpm.dir="R",
    IF(F3014+Table1[[#This Row],[Steps]]&gt;99,(F3014+Table1[[#This Row],[Steps]])-100,F3014+Table1[[#This Row],[Steps]]),
))</f>
        <v>0</v>
      </c>
      <c r="F3015">
        <f>IF(Table1[[#This Row],[New Pos L]]&lt;&gt;0,Table1[[#This Row],[New Pos L]],Table1[[#This Row],[New Pos R]])</f>
        <v>29</v>
      </c>
    </row>
    <row r="3016" spans="1:6" ht="16" x14ac:dyDescent="0.2">
      <c r="A3016" s="1" t="s">
        <v>679</v>
      </c>
      <c r="B3016" t="str">
        <f>LEFT(Table1[[#This Row],[Input]],1)</f>
        <v>R</v>
      </c>
      <c r="C3016">
        <f>_xlfn.LET(_xlpm.steps,SUBSTITUTE(Table1[[#This Row],[Input]],Table1[[#This Row],[Direction]],""),VALUE(IF(LEN(_xlpm.steps)&gt;2,RIGHT(_xlpm.steps,2),_xlpm.steps)))</f>
        <v>71</v>
      </c>
      <c r="D3016">
        <f>_xlfn.LET(_xlpm.dir,Table1[[#This Row],[Direction]],
IF(_xlpm.dir="L",
    IF(F3015-Table1[[#This Row],[Steps]]&lt;0,100+(F3015-Table1[[#This Row],[Steps]]),F3015-Table1[[#This Row],[Steps]]),
))</f>
        <v>0</v>
      </c>
      <c r="E3016">
        <f>_xlfn.LET(_xlpm.dir,Table1[[#This Row],[Direction]],
IF(_xlpm.dir="R",
    IF(F3015+Table1[[#This Row],[Steps]]&gt;99,(F3015+Table1[[#This Row],[Steps]])-100,F3015+Table1[[#This Row],[Steps]]),
))</f>
        <v>0</v>
      </c>
      <c r="F3016">
        <f>IF(Table1[[#This Row],[New Pos L]]&lt;&gt;0,Table1[[#This Row],[New Pos L]],Table1[[#This Row],[New Pos R]])</f>
        <v>0</v>
      </c>
    </row>
    <row r="3017" spans="1:6" ht="16" x14ac:dyDescent="0.2">
      <c r="A3017" s="1" t="s">
        <v>216</v>
      </c>
      <c r="B3017" t="str">
        <f>LEFT(Table1[[#This Row],[Input]],1)</f>
        <v>R</v>
      </c>
      <c r="C3017">
        <f>_xlfn.LET(_xlpm.steps,SUBSTITUTE(Table1[[#This Row],[Input]],Table1[[#This Row],[Direction]],""),VALUE(IF(LEN(_xlpm.steps)&gt;2,RIGHT(_xlpm.steps,2),_xlpm.steps)))</f>
        <v>54</v>
      </c>
      <c r="D3017">
        <f>_xlfn.LET(_xlpm.dir,Table1[[#This Row],[Direction]],
IF(_xlpm.dir="L",
    IF(F3016-Table1[[#This Row],[Steps]]&lt;0,100+(F3016-Table1[[#This Row],[Steps]]),F3016-Table1[[#This Row],[Steps]]),
))</f>
        <v>0</v>
      </c>
      <c r="E3017">
        <f>_xlfn.LET(_xlpm.dir,Table1[[#This Row],[Direction]],
IF(_xlpm.dir="R",
    IF(F3016+Table1[[#This Row],[Steps]]&gt;99,(F3016+Table1[[#This Row],[Steps]])-100,F3016+Table1[[#This Row],[Steps]]),
))</f>
        <v>54</v>
      </c>
      <c r="F3017">
        <f>IF(Table1[[#This Row],[New Pos L]]&lt;&gt;0,Table1[[#This Row],[New Pos L]],Table1[[#This Row],[New Pos R]])</f>
        <v>54</v>
      </c>
    </row>
    <row r="3018" spans="1:6" ht="16" x14ac:dyDescent="0.2">
      <c r="A3018" s="1" t="s">
        <v>20</v>
      </c>
      <c r="B3018" t="str">
        <f>LEFT(Table1[[#This Row],[Input]],1)</f>
        <v>R</v>
      </c>
      <c r="C3018">
        <f>_xlfn.LET(_xlpm.steps,SUBSTITUTE(Table1[[#This Row],[Input]],Table1[[#This Row],[Direction]],""),VALUE(IF(LEN(_xlpm.steps)&gt;2,RIGHT(_xlpm.steps,2),_xlpm.steps)))</f>
        <v>46</v>
      </c>
      <c r="D3018">
        <f>_xlfn.LET(_xlpm.dir,Table1[[#This Row],[Direction]],
IF(_xlpm.dir="L",
    IF(F3017-Table1[[#This Row],[Steps]]&lt;0,100+(F3017-Table1[[#This Row],[Steps]]),F3017-Table1[[#This Row],[Steps]]),
))</f>
        <v>0</v>
      </c>
      <c r="E3018">
        <f>_xlfn.LET(_xlpm.dir,Table1[[#This Row],[Direction]],
IF(_xlpm.dir="R",
    IF(F3017+Table1[[#This Row],[Steps]]&gt;99,(F3017+Table1[[#This Row],[Steps]])-100,F3017+Table1[[#This Row],[Steps]]),
))</f>
        <v>0</v>
      </c>
      <c r="F3018">
        <f>IF(Table1[[#This Row],[New Pos L]]&lt;&gt;0,Table1[[#This Row],[New Pos L]],Table1[[#This Row],[New Pos R]])</f>
        <v>0</v>
      </c>
    </row>
    <row r="3019" spans="1:6" ht="16" x14ac:dyDescent="0.2">
      <c r="A3019" s="1" t="s">
        <v>15</v>
      </c>
      <c r="B3019" t="str">
        <f>LEFT(Table1[[#This Row],[Input]],1)</f>
        <v>R</v>
      </c>
      <c r="C3019">
        <f>_xlfn.LET(_xlpm.steps,SUBSTITUTE(Table1[[#This Row],[Input]],Table1[[#This Row],[Direction]],""),VALUE(IF(LEN(_xlpm.steps)&gt;2,RIGHT(_xlpm.steps,2),_xlpm.steps)))</f>
        <v>36</v>
      </c>
      <c r="D3019">
        <f>_xlfn.LET(_xlpm.dir,Table1[[#This Row],[Direction]],
IF(_xlpm.dir="L",
    IF(F3018-Table1[[#This Row],[Steps]]&lt;0,100+(F3018-Table1[[#This Row],[Steps]]),F3018-Table1[[#This Row],[Steps]]),
))</f>
        <v>0</v>
      </c>
      <c r="E3019">
        <f>_xlfn.LET(_xlpm.dir,Table1[[#This Row],[Direction]],
IF(_xlpm.dir="R",
    IF(F3018+Table1[[#This Row],[Steps]]&gt;99,(F3018+Table1[[#This Row],[Steps]])-100,F3018+Table1[[#This Row],[Steps]]),
))</f>
        <v>36</v>
      </c>
      <c r="F3019">
        <f>IF(Table1[[#This Row],[New Pos L]]&lt;&gt;0,Table1[[#This Row],[New Pos L]],Table1[[#This Row],[New Pos R]])</f>
        <v>36</v>
      </c>
    </row>
    <row r="3020" spans="1:6" ht="16" x14ac:dyDescent="0.2">
      <c r="A3020" s="1" t="s">
        <v>680</v>
      </c>
      <c r="B3020" t="str">
        <f>LEFT(Table1[[#This Row],[Input]],1)</f>
        <v>R</v>
      </c>
      <c r="C3020">
        <f>_xlfn.LET(_xlpm.steps,SUBSTITUTE(Table1[[#This Row],[Input]],Table1[[#This Row],[Direction]],""),VALUE(IF(LEN(_xlpm.steps)&gt;2,RIGHT(_xlpm.steps,2),_xlpm.steps)))</f>
        <v>64</v>
      </c>
      <c r="D3020">
        <f>_xlfn.LET(_xlpm.dir,Table1[[#This Row],[Direction]],
IF(_xlpm.dir="L",
    IF(F3019-Table1[[#This Row],[Steps]]&lt;0,100+(F3019-Table1[[#This Row],[Steps]]),F3019-Table1[[#This Row],[Steps]]),
))</f>
        <v>0</v>
      </c>
      <c r="E3020">
        <f>_xlfn.LET(_xlpm.dir,Table1[[#This Row],[Direction]],
IF(_xlpm.dir="R",
    IF(F3019+Table1[[#This Row],[Steps]]&gt;99,(F3019+Table1[[#This Row],[Steps]])-100,F3019+Table1[[#This Row],[Steps]]),
))</f>
        <v>0</v>
      </c>
      <c r="F3020">
        <f>IF(Table1[[#This Row],[New Pos L]]&lt;&gt;0,Table1[[#This Row],[New Pos L]],Table1[[#This Row],[New Pos R]])</f>
        <v>0</v>
      </c>
    </row>
    <row r="3021" spans="1:6" ht="16" x14ac:dyDescent="0.2">
      <c r="A3021" s="1" t="s">
        <v>681</v>
      </c>
      <c r="B3021" t="str">
        <f>LEFT(Table1[[#This Row],[Input]],1)</f>
        <v>R</v>
      </c>
      <c r="C3021">
        <f>_xlfn.LET(_xlpm.steps,SUBSTITUTE(Table1[[#This Row],[Input]],Table1[[#This Row],[Direction]],""),VALUE(IF(LEN(_xlpm.steps)&gt;2,RIGHT(_xlpm.steps,2),_xlpm.steps)))</f>
        <v>38</v>
      </c>
      <c r="D3021">
        <f>_xlfn.LET(_xlpm.dir,Table1[[#This Row],[Direction]],
IF(_xlpm.dir="L",
    IF(F3020-Table1[[#This Row],[Steps]]&lt;0,100+(F3020-Table1[[#This Row],[Steps]]),F3020-Table1[[#This Row],[Steps]]),
))</f>
        <v>0</v>
      </c>
      <c r="E3021">
        <f>_xlfn.LET(_xlpm.dir,Table1[[#This Row],[Direction]],
IF(_xlpm.dir="R",
    IF(F3020+Table1[[#This Row],[Steps]]&gt;99,(F3020+Table1[[#This Row],[Steps]])-100,F3020+Table1[[#This Row],[Steps]]),
))</f>
        <v>38</v>
      </c>
      <c r="F3021">
        <f>IF(Table1[[#This Row],[New Pos L]]&lt;&gt;0,Table1[[#This Row],[New Pos L]],Table1[[#This Row],[New Pos R]])</f>
        <v>38</v>
      </c>
    </row>
    <row r="3022" spans="1:6" ht="16" x14ac:dyDescent="0.2">
      <c r="A3022" s="1" t="s">
        <v>2</v>
      </c>
      <c r="B3022" t="str">
        <f>LEFT(Table1[[#This Row],[Input]],1)</f>
        <v>L</v>
      </c>
      <c r="C3022">
        <f>_xlfn.LET(_xlpm.steps,SUBSTITUTE(Table1[[#This Row],[Input]],Table1[[#This Row],[Direction]],""),VALUE(IF(LEN(_xlpm.steps)&gt;2,RIGHT(_xlpm.steps,2),_xlpm.steps)))</f>
        <v>38</v>
      </c>
      <c r="D3022">
        <f>_xlfn.LET(_xlpm.dir,Table1[[#This Row],[Direction]],
IF(_xlpm.dir="L",
    IF(F3021-Table1[[#This Row],[Steps]]&lt;0,100+(F3021-Table1[[#This Row],[Steps]]),F3021-Table1[[#This Row],[Steps]]),
))</f>
        <v>0</v>
      </c>
      <c r="E3022">
        <f>_xlfn.LET(_xlpm.dir,Table1[[#This Row],[Direction]],
IF(_xlpm.dir="R",
    IF(F3021+Table1[[#This Row],[Steps]]&gt;99,(F3021+Table1[[#This Row],[Steps]])-100,F3021+Table1[[#This Row],[Steps]]),
))</f>
        <v>0</v>
      </c>
      <c r="F3022">
        <f>IF(Table1[[#This Row],[New Pos L]]&lt;&gt;0,Table1[[#This Row],[New Pos L]],Table1[[#This Row],[New Pos R]])</f>
        <v>0</v>
      </c>
    </row>
    <row r="3023" spans="1:6" ht="16" x14ac:dyDescent="0.2">
      <c r="A3023" s="1" t="s">
        <v>304</v>
      </c>
      <c r="B3023" t="str">
        <f>LEFT(Table1[[#This Row],[Input]],1)</f>
        <v>L</v>
      </c>
      <c r="C3023">
        <f>_xlfn.LET(_xlpm.steps,SUBSTITUTE(Table1[[#This Row],[Input]],Table1[[#This Row],[Direction]],""),VALUE(IF(LEN(_xlpm.steps)&gt;2,RIGHT(_xlpm.steps,2),_xlpm.steps)))</f>
        <v>26</v>
      </c>
      <c r="D3023">
        <f>_xlfn.LET(_xlpm.dir,Table1[[#This Row],[Direction]],
IF(_xlpm.dir="L",
    IF(F3022-Table1[[#This Row],[Steps]]&lt;0,100+(F3022-Table1[[#This Row],[Steps]]),F3022-Table1[[#This Row],[Steps]]),
))</f>
        <v>74</v>
      </c>
      <c r="E3023">
        <f>_xlfn.LET(_xlpm.dir,Table1[[#This Row],[Direction]],
IF(_xlpm.dir="R",
    IF(F3022+Table1[[#This Row],[Steps]]&gt;99,(F3022+Table1[[#This Row],[Steps]])-100,F3022+Table1[[#This Row],[Steps]]),
))</f>
        <v>0</v>
      </c>
      <c r="F3023">
        <f>IF(Table1[[#This Row],[New Pos L]]&lt;&gt;0,Table1[[#This Row],[New Pos L]],Table1[[#This Row],[New Pos R]])</f>
        <v>74</v>
      </c>
    </row>
    <row r="3024" spans="1:6" ht="16" x14ac:dyDescent="0.2">
      <c r="A3024" s="1" t="s">
        <v>67</v>
      </c>
      <c r="B3024" t="str">
        <f>LEFT(Table1[[#This Row],[Input]],1)</f>
        <v>R</v>
      </c>
      <c r="C3024">
        <f>_xlfn.LET(_xlpm.steps,SUBSTITUTE(Table1[[#This Row],[Input]],Table1[[#This Row],[Direction]],""),VALUE(IF(LEN(_xlpm.steps)&gt;2,RIGHT(_xlpm.steps,2),_xlpm.steps)))</f>
        <v>33</v>
      </c>
      <c r="D3024">
        <f>_xlfn.LET(_xlpm.dir,Table1[[#This Row],[Direction]],
IF(_xlpm.dir="L",
    IF(F3023-Table1[[#This Row],[Steps]]&lt;0,100+(F3023-Table1[[#This Row],[Steps]]),F3023-Table1[[#This Row],[Steps]]),
))</f>
        <v>0</v>
      </c>
      <c r="E3024">
        <f>_xlfn.LET(_xlpm.dir,Table1[[#This Row],[Direction]],
IF(_xlpm.dir="R",
    IF(F3023+Table1[[#This Row],[Steps]]&gt;99,(F3023+Table1[[#This Row],[Steps]])-100,F3023+Table1[[#This Row],[Steps]]),
))</f>
        <v>7</v>
      </c>
      <c r="F3024">
        <f>IF(Table1[[#This Row],[New Pos L]]&lt;&gt;0,Table1[[#This Row],[New Pos L]],Table1[[#This Row],[New Pos R]])</f>
        <v>7</v>
      </c>
    </row>
    <row r="3025" spans="1:6" ht="16" x14ac:dyDescent="0.2">
      <c r="A3025" s="1" t="s">
        <v>17</v>
      </c>
      <c r="B3025" t="str">
        <f>LEFT(Table1[[#This Row],[Input]],1)</f>
        <v>L</v>
      </c>
      <c r="C3025">
        <f>_xlfn.LET(_xlpm.steps,SUBSTITUTE(Table1[[#This Row],[Input]],Table1[[#This Row],[Direction]],""),VALUE(IF(LEN(_xlpm.steps)&gt;2,RIGHT(_xlpm.steps,2),_xlpm.steps)))</f>
        <v>50</v>
      </c>
      <c r="D3025">
        <f>_xlfn.LET(_xlpm.dir,Table1[[#This Row],[Direction]],
IF(_xlpm.dir="L",
    IF(F3024-Table1[[#This Row],[Steps]]&lt;0,100+(F3024-Table1[[#This Row],[Steps]]),F3024-Table1[[#This Row],[Steps]]),
))</f>
        <v>57</v>
      </c>
      <c r="E3025">
        <f>_xlfn.LET(_xlpm.dir,Table1[[#This Row],[Direction]],
IF(_xlpm.dir="R",
    IF(F3024+Table1[[#This Row],[Steps]]&gt;99,(F3024+Table1[[#This Row],[Steps]])-100,F3024+Table1[[#This Row],[Steps]]),
))</f>
        <v>0</v>
      </c>
      <c r="F3025">
        <f>IF(Table1[[#This Row],[New Pos L]]&lt;&gt;0,Table1[[#This Row],[New Pos L]],Table1[[#This Row],[New Pos R]])</f>
        <v>57</v>
      </c>
    </row>
    <row r="3026" spans="1:6" ht="16" x14ac:dyDescent="0.2">
      <c r="A3026" s="1" t="s">
        <v>62</v>
      </c>
      <c r="B3026" t="str">
        <f>LEFT(Table1[[#This Row],[Input]],1)</f>
        <v>L</v>
      </c>
      <c r="C3026">
        <f>_xlfn.LET(_xlpm.steps,SUBSTITUTE(Table1[[#This Row],[Input]],Table1[[#This Row],[Direction]],""),VALUE(IF(LEN(_xlpm.steps)&gt;2,RIGHT(_xlpm.steps,2),_xlpm.steps)))</f>
        <v>57</v>
      </c>
      <c r="D3026">
        <f>_xlfn.LET(_xlpm.dir,Table1[[#This Row],[Direction]],
IF(_xlpm.dir="L",
    IF(F3025-Table1[[#This Row],[Steps]]&lt;0,100+(F3025-Table1[[#This Row],[Steps]]),F3025-Table1[[#This Row],[Steps]]),
))</f>
        <v>0</v>
      </c>
      <c r="E3026">
        <f>_xlfn.LET(_xlpm.dir,Table1[[#This Row],[Direction]],
IF(_xlpm.dir="R",
    IF(F3025+Table1[[#This Row],[Steps]]&gt;99,(F3025+Table1[[#This Row],[Steps]])-100,F3025+Table1[[#This Row],[Steps]]),
))</f>
        <v>0</v>
      </c>
      <c r="F3026">
        <f>IF(Table1[[#This Row],[New Pos L]]&lt;&gt;0,Table1[[#This Row],[New Pos L]],Table1[[#This Row],[New Pos R]])</f>
        <v>0</v>
      </c>
    </row>
    <row r="3027" spans="1:6" ht="16" x14ac:dyDescent="0.2">
      <c r="A3027" s="1" t="s">
        <v>319</v>
      </c>
      <c r="B3027" t="str">
        <f>LEFT(Table1[[#This Row],[Input]],1)</f>
        <v>L</v>
      </c>
      <c r="C3027">
        <f>_xlfn.LET(_xlpm.steps,SUBSTITUTE(Table1[[#This Row],[Input]],Table1[[#This Row],[Direction]],""),VALUE(IF(LEN(_xlpm.steps)&gt;2,RIGHT(_xlpm.steps,2),_xlpm.steps)))</f>
        <v>79</v>
      </c>
      <c r="D3027">
        <f>_xlfn.LET(_xlpm.dir,Table1[[#This Row],[Direction]],
IF(_xlpm.dir="L",
    IF(F3026-Table1[[#This Row],[Steps]]&lt;0,100+(F3026-Table1[[#This Row],[Steps]]),F3026-Table1[[#This Row],[Steps]]),
))</f>
        <v>21</v>
      </c>
      <c r="E3027">
        <f>_xlfn.LET(_xlpm.dir,Table1[[#This Row],[Direction]],
IF(_xlpm.dir="R",
    IF(F3026+Table1[[#This Row],[Steps]]&gt;99,(F3026+Table1[[#This Row],[Steps]])-100,F3026+Table1[[#This Row],[Steps]]),
))</f>
        <v>0</v>
      </c>
      <c r="F3027">
        <f>IF(Table1[[#This Row],[New Pos L]]&lt;&gt;0,Table1[[#This Row],[New Pos L]],Table1[[#This Row],[New Pos R]])</f>
        <v>21</v>
      </c>
    </row>
    <row r="3028" spans="1:6" ht="16" x14ac:dyDescent="0.2">
      <c r="A3028" s="1" t="s">
        <v>276</v>
      </c>
      <c r="B3028" t="str">
        <f>LEFT(Table1[[#This Row],[Input]],1)</f>
        <v>L</v>
      </c>
      <c r="C3028">
        <f>_xlfn.LET(_xlpm.steps,SUBSTITUTE(Table1[[#This Row],[Input]],Table1[[#This Row],[Direction]],""),VALUE(IF(LEN(_xlpm.steps)&gt;2,RIGHT(_xlpm.steps,2),_xlpm.steps)))</f>
        <v>60</v>
      </c>
      <c r="D3028">
        <f>_xlfn.LET(_xlpm.dir,Table1[[#This Row],[Direction]],
IF(_xlpm.dir="L",
    IF(F3027-Table1[[#This Row],[Steps]]&lt;0,100+(F3027-Table1[[#This Row],[Steps]]),F3027-Table1[[#This Row],[Steps]]),
))</f>
        <v>61</v>
      </c>
      <c r="E3028">
        <f>_xlfn.LET(_xlpm.dir,Table1[[#This Row],[Direction]],
IF(_xlpm.dir="R",
    IF(F3027+Table1[[#This Row],[Steps]]&gt;99,(F3027+Table1[[#This Row],[Steps]])-100,F3027+Table1[[#This Row],[Steps]]),
))</f>
        <v>0</v>
      </c>
      <c r="F3028">
        <f>IF(Table1[[#This Row],[New Pos L]]&lt;&gt;0,Table1[[#This Row],[New Pos L]],Table1[[#This Row],[New Pos R]])</f>
        <v>61</v>
      </c>
    </row>
    <row r="3029" spans="1:6" ht="16" x14ac:dyDescent="0.2">
      <c r="A3029" s="1" t="s">
        <v>110</v>
      </c>
      <c r="B3029" t="str">
        <f>LEFT(Table1[[#This Row],[Input]],1)</f>
        <v>L</v>
      </c>
      <c r="C3029">
        <f>_xlfn.LET(_xlpm.steps,SUBSTITUTE(Table1[[#This Row],[Input]],Table1[[#This Row],[Direction]],""),VALUE(IF(LEN(_xlpm.steps)&gt;2,RIGHT(_xlpm.steps,2),_xlpm.steps)))</f>
        <v>81</v>
      </c>
      <c r="D3029">
        <f>_xlfn.LET(_xlpm.dir,Table1[[#This Row],[Direction]],
IF(_xlpm.dir="L",
    IF(F3028-Table1[[#This Row],[Steps]]&lt;0,100+(F3028-Table1[[#This Row],[Steps]]),F3028-Table1[[#This Row],[Steps]]),
))</f>
        <v>80</v>
      </c>
      <c r="E3029">
        <f>_xlfn.LET(_xlpm.dir,Table1[[#This Row],[Direction]],
IF(_xlpm.dir="R",
    IF(F3028+Table1[[#This Row],[Steps]]&gt;99,(F3028+Table1[[#This Row],[Steps]])-100,F3028+Table1[[#This Row],[Steps]]),
))</f>
        <v>0</v>
      </c>
      <c r="F3029">
        <f>IF(Table1[[#This Row],[New Pos L]]&lt;&gt;0,Table1[[#This Row],[New Pos L]],Table1[[#This Row],[New Pos R]])</f>
        <v>80</v>
      </c>
    </row>
    <row r="3030" spans="1:6" ht="16" x14ac:dyDescent="0.2">
      <c r="A3030" s="1" t="s">
        <v>213</v>
      </c>
      <c r="B3030" t="str">
        <f>LEFT(Table1[[#This Row],[Input]],1)</f>
        <v>R</v>
      </c>
      <c r="C3030">
        <f>_xlfn.LET(_xlpm.steps,SUBSTITUTE(Table1[[#This Row],[Input]],Table1[[#This Row],[Direction]],""),VALUE(IF(LEN(_xlpm.steps)&gt;2,RIGHT(_xlpm.steps,2),_xlpm.steps)))</f>
        <v>87</v>
      </c>
      <c r="D3030">
        <f>_xlfn.LET(_xlpm.dir,Table1[[#This Row],[Direction]],
IF(_xlpm.dir="L",
    IF(F3029-Table1[[#This Row],[Steps]]&lt;0,100+(F3029-Table1[[#This Row],[Steps]]),F3029-Table1[[#This Row],[Steps]]),
))</f>
        <v>0</v>
      </c>
      <c r="E3030">
        <f>_xlfn.LET(_xlpm.dir,Table1[[#This Row],[Direction]],
IF(_xlpm.dir="R",
    IF(F3029+Table1[[#This Row],[Steps]]&gt;99,(F3029+Table1[[#This Row],[Steps]])-100,F3029+Table1[[#This Row],[Steps]]),
))</f>
        <v>67</v>
      </c>
      <c r="F3030">
        <f>IF(Table1[[#This Row],[New Pos L]]&lt;&gt;0,Table1[[#This Row],[New Pos L]],Table1[[#This Row],[New Pos R]])</f>
        <v>67</v>
      </c>
    </row>
    <row r="3031" spans="1:6" ht="16" x14ac:dyDescent="0.2">
      <c r="A3031" s="1" t="s">
        <v>183</v>
      </c>
      <c r="B3031" t="str">
        <f>LEFT(Table1[[#This Row],[Input]],1)</f>
        <v>L</v>
      </c>
      <c r="C3031">
        <f>_xlfn.LET(_xlpm.steps,SUBSTITUTE(Table1[[#This Row],[Input]],Table1[[#This Row],[Direction]],""),VALUE(IF(LEN(_xlpm.steps)&gt;2,RIGHT(_xlpm.steps,2),_xlpm.steps)))</f>
        <v>67</v>
      </c>
      <c r="D3031">
        <f>_xlfn.LET(_xlpm.dir,Table1[[#This Row],[Direction]],
IF(_xlpm.dir="L",
    IF(F3030-Table1[[#This Row],[Steps]]&lt;0,100+(F3030-Table1[[#This Row],[Steps]]),F3030-Table1[[#This Row],[Steps]]),
))</f>
        <v>0</v>
      </c>
      <c r="E3031">
        <f>_xlfn.LET(_xlpm.dir,Table1[[#This Row],[Direction]],
IF(_xlpm.dir="R",
    IF(F3030+Table1[[#This Row],[Steps]]&gt;99,(F3030+Table1[[#This Row],[Steps]])-100,F3030+Table1[[#This Row],[Steps]]),
))</f>
        <v>0</v>
      </c>
      <c r="F3031">
        <f>IF(Table1[[#This Row],[New Pos L]]&lt;&gt;0,Table1[[#This Row],[New Pos L]],Table1[[#This Row],[New Pos R]])</f>
        <v>0</v>
      </c>
    </row>
    <row r="3032" spans="1:6" ht="16" x14ac:dyDescent="0.2">
      <c r="A3032" s="1" t="s">
        <v>119</v>
      </c>
      <c r="B3032" t="str">
        <f>LEFT(Table1[[#This Row],[Input]],1)</f>
        <v>L</v>
      </c>
      <c r="C3032">
        <f>_xlfn.LET(_xlpm.steps,SUBSTITUTE(Table1[[#This Row],[Input]],Table1[[#This Row],[Direction]],""),VALUE(IF(LEN(_xlpm.steps)&gt;2,RIGHT(_xlpm.steps,2),_xlpm.steps)))</f>
        <v>77</v>
      </c>
      <c r="D3032">
        <f>_xlfn.LET(_xlpm.dir,Table1[[#This Row],[Direction]],
IF(_xlpm.dir="L",
    IF(F3031-Table1[[#This Row],[Steps]]&lt;0,100+(F3031-Table1[[#This Row],[Steps]]),F3031-Table1[[#This Row],[Steps]]),
))</f>
        <v>23</v>
      </c>
      <c r="E3032">
        <f>_xlfn.LET(_xlpm.dir,Table1[[#This Row],[Direction]],
IF(_xlpm.dir="R",
    IF(F3031+Table1[[#This Row],[Steps]]&gt;99,(F3031+Table1[[#This Row],[Steps]])-100,F3031+Table1[[#This Row],[Steps]]),
))</f>
        <v>0</v>
      </c>
      <c r="F3032">
        <f>IF(Table1[[#This Row],[New Pos L]]&lt;&gt;0,Table1[[#This Row],[New Pos L]],Table1[[#This Row],[New Pos R]])</f>
        <v>23</v>
      </c>
    </row>
    <row r="3033" spans="1:6" ht="16" x14ac:dyDescent="0.2">
      <c r="A3033" s="1" t="s">
        <v>682</v>
      </c>
      <c r="B3033" t="str">
        <f>LEFT(Table1[[#This Row],[Input]],1)</f>
        <v>L</v>
      </c>
      <c r="C3033">
        <f>_xlfn.LET(_xlpm.steps,SUBSTITUTE(Table1[[#This Row],[Input]],Table1[[#This Row],[Direction]],""),VALUE(IF(LEN(_xlpm.steps)&gt;2,RIGHT(_xlpm.steps,2),_xlpm.steps)))</f>
        <v>23</v>
      </c>
      <c r="D3033">
        <f>_xlfn.LET(_xlpm.dir,Table1[[#This Row],[Direction]],
IF(_xlpm.dir="L",
    IF(F3032-Table1[[#This Row],[Steps]]&lt;0,100+(F3032-Table1[[#This Row],[Steps]]),F3032-Table1[[#This Row],[Steps]]),
))</f>
        <v>0</v>
      </c>
      <c r="E3033">
        <f>_xlfn.LET(_xlpm.dir,Table1[[#This Row],[Direction]],
IF(_xlpm.dir="R",
    IF(F3032+Table1[[#This Row],[Steps]]&gt;99,(F3032+Table1[[#This Row],[Steps]])-100,F3032+Table1[[#This Row],[Steps]]),
))</f>
        <v>0</v>
      </c>
      <c r="F3033">
        <f>IF(Table1[[#This Row],[New Pos L]]&lt;&gt;0,Table1[[#This Row],[New Pos L]],Table1[[#This Row],[New Pos R]])</f>
        <v>0</v>
      </c>
    </row>
    <row r="3034" spans="1:6" ht="16" x14ac:dyDescent="0.2">
      <c r="A3034" s="1" t="s">
        <v>336</v>
      </c>
      <c r="B3034" t="str">
        <f>LEFT(Table1[[#This Row],[Input]],1)</f>
        <v>R</v>
      </c>
      <c r="C3034">
        <f>_xlfn.LET(_xlpm.steps,SUBSTITUTE(Table1[[#This Row],[Input]],Table1[[#This Row],[Direction]],""),VALUE(IF(LEN(_xlpm.steps)&gt;2,RIGHT(_xlpm.steps,2),_xlpm.steps)))</f>
        <v>95</v>
      </c>
      <c r="D3034">
        <f>_xlfn.LET(_xlpm.dir,Table1[[#This Row],[Direction]],
IF(_xlpm.dir="L",
    IF(F3033-Table1[[#This Row],[Steps]]&lt;0,100+(F3033-Table1[[#This Row],[Steps]]),F3033-Table1[[#This Row],[Steps]]),
))</f>
        <v>0</v>
      </c>
      <c r="E3034">
        <f>_xlfn.LET(_xlpm.dir,Table1[[#This Row],[Direction]],
IF(_xlpm.dir="R",
    IF(F3033+Table1[[#This Row],[Steps]]&gt;99,(F3033+Table1[[#This Row],[Steps]])-100,F3033+Table1[[#This Row],[Steps]]),
))</f>
        <v>95</v>
      </c>
      <c r="F3034">
        <f>IF(Table1[[#This Row],[New Pos L]]&lt;&gt;0,Table1[[#This Row],[New Pos L]],Table1[[#This Row],[New Pos R]])</f>
        <v>95</v>
      </c>
    </row>
    <row r="3035" spans="1:6" ht="16" x14ac:dyDescent="0.2">
      <c r="A3035" s="1" t="s">
        <v>134</v>
      </c>
      <c r="B3035" t="str">
        <f>LEFT(Table1[[#This Row],[Input]],1)</f>
        <v>L</v>
      </c>
      <c r="C3035">
        <f>_xlfn.LET(_xlpm.steps,SUBSTITUTE(Table1[[#This Row],[Input]],Table1[[#This Row],[Direction]],""),VALUE(IF(LEN(_xlpm.steps)&gt;2,RIGHT(_xlpm.steps,2),_xlpm.steps)))</f>
        <v>95</v>
      </c>
      <c r="D3035">
        <f>_xlfn.LET(_xlpm.dir,Table1[[#This Row],[Direction]],
IF(_xlpm.dir="L",
    IF(F3034-Table1[[#This Row],[Steps]]&lt;0,100+(F3034-Table1[[#This Row],[Steps]]),F3034-Table1[[#This Row],[Steps]]),
))</f>
        <v>0</v>
      </c>
      <c r="E3035">
        <f>_xlfn.LET(_xlpm.dir,Table1[[#This Row],[Direction]],
IF(_xlpm.dir="R",
    IF(F3034+Table1[[#This Row],[Steps]]&gt;99,(F3034+Table1[[#This Row],[Steps]])-100,F3034+Table1[[#This Row],[Steps]]),
))</f>
        <v>0</v>
      </c>
      <c r="F3035">
        <f>IF(Table1[[#This Row],[New Pos L]]&lt;&gt;0,Table1[[#This Row],[New Pos L]],Table1[[#This Row],[New Pos R]])</f>
        <v>0</v>
      </c>
    </row>
    <row r="3036" spans="1:6" ht="16" x14ac:dyDescent="0.2">
      <c r="A3036" s="1" t="s">
        <v>134</v>
      </c>
      <c r="B3036" t="str">
        <f>LEFT(Table1[[#This Row],[Input]],1)</f>
        <v>L</v>
      </c>
      <c r="C3036">
        <f>_xlfn.LET(_xlpm.steps,SUBSTITUTE(Table1[[#This Row],[Input]],Table1[[#This Row],[Direction]],""),VALUE(IF(LEN(_xlpm.steps)&gt;2,RIGHT(_xlpm.steps,2),_xlpm.steps)))</f>
        <v>95</v>
      </c>
      <c r="D3036">
        <f>_xlfn.LET(_xlpm.dir,Table1[[#This Row],[Direction]],
IF(_xlpm.dir="L",
    IF(F3035-Table1[[#This Row],[Steps]]&lt;0,100+(F3035-Table1[[#This Row],[Steps]]),F3035-Table1[[#This Row],[Steps]]),
))</f>
        <v>5</v>
      </c>
      <c r="E3036">
        <f>_xlfn.LET(_xlpm.dir,Table1[[#This Row],[Direction]],
IF(_xlpm.dir="R",
    IF(F3035+Table1[[#This Row],[Steps]]&gt;99,(F3035+Table1[[#This Row],[Steps]])-100,F3035+Table1[[#This Row],[Steps]]),
))</f>
        <v>0</v>
      </c>
      <c r="F3036">
        <f>IF(Table1[[#This Row],[New Pos L]]&lt;&gt;0,Table1[[#This Row],[New Pos L]],Table1[[#This Row],[New Pos R]])</f>
        <v>5</v>
      </c>
    </row>
    <row r="3037" spans="1:6" ht="16" x14ac:dyDescent="0.2">
      <c r="A3037" s="1" t="s">
        <v>296</v>
      </c>
      <c r="B3037" t="str">
        <f>LEFT(Table1[[#This Row],[Input]],1)</f>
        <v>R</v>
      </c>
      <c r="C3037">
        <f>_xlfn.LET(_xlpm.steps,SUBSTITUTE(Table1[[#This Row],[Input]],Table1[[#This Row],[Direction]],""),VALUE(IF(LEN(_xlpm.steps)&gt;2,RIGHT(_xlpm.steps,2),_xlpm.steps)))</f>
        <v>19</v>
      </c>
      <c r="D3037">
        <f>_xlfn.LET(_xlpm.dir,Table1[[#This Row],[Direction]],
IF(_xlpm.dir="L",
    IF(F3036-Table1[[#This Row],[Steps]]&lt;0,100+(F3036-Table1[[#This Row],[Steps]]),F3036-Table1[[#This Row],[Steps]]),
))</f>
        <v>0</v>
      </c>
      <c r="E3037">
        <f>_xlfn.LET(_xlpm.dir,Table1[[#This Row],[Direction]],
IF(_xlpm.dir="R",
    IF(F3036+Table1[[#This Row],[Steps]]&gt;99,(F3036+Table1[[#This Row],[Steps]])-100,F3036+Table1[[#This Row],[Steps]]),
))</f>
        <v>24</v>
      </c>
      <c r="F3037">
        <f>IF(Table1[[#This Row],[New Pos L]]&lt;&gt;0,Table1[[#This Row],[New Pos L]],Table1[[#This Row],[New Pos R]])</f>
        <v>24</v>
      </c>
    </row>
    <row r="3038" spans="1:6" ht="16" x14ac:dyDescent="0.2">
      <c r="A3038" s="1" t="s">
        <v>134</v>
      </c>
      <c r="B3038" t="str">
        <f>LEFT(Table1[[#This Row],[Input]],1)</f>
        <v>L</v>
      </c>
      <c r="C3038">
        <f>_xlfn.LET(_xlpm.steps,SUBSTITUTE(Table1[[#This Row],[Input]],Table1[[#This Row],[Direction]],""),VALUE(IF(LEN(_xlpm.steps)&gt;2,RIGHT(_xlpm.steps,2),_xlpm.steps)))</f>
        <v>95</v>
      </c>
      <c r="D3038">
        <f>_xlfn.LET(_xlpm.dir,Table1[[#This Row],[Direction]],
IF(_xlpm.dir="L",
    IF(F3037-Table1[[#This Row],[Steps]]&lt;0,100+(F3037-Table1[[#This Row],[Steps]]),F3037-Table1[[#This Row],[Steps]]),
))</f>
        <v>29</v>
      </c>
      <c r="E3038">
        <f>_xlfn.LET(_xlpm.dir,Table1[[#This Row],[Direction]],
IF(_xlpm.dir="R",
    IF(F3037+Table1[[#This Row],[Steps]]&gt;99,(F3037+Table1[[#This Row],[Steps]])-100,F3037+Table1[[#This Row],[Steps]]),
))</f>
        <v>0</v>
      </c>
      <c r="F3038">
        <f>IF(Table1[[#This Row],[New Pos L]]&lt;&gt;0,Table1[[#This Row],[New Pos L]],Table1[[#This Row],[New Pos R]])</f>
        <v>29</v>
      </c>
    </row>
    <row r="3039" spans="1:6" ht="16" x14ac:dyDescent="0.2">
      <c r="A3039" s="1" t="s">
        <v>115</v>
      </c>
      <c r="B3039" t="str">
        <f>LEFT(Table1[[#This Row],[Input]],1)</f>
        <v>L</v>
      </c>
      <c r="C3039">
        <f>_xlfn.LET(_xlpm.steps,SUBSTITUTE(Table1[[#This Row],[Input]],Table1[[#This Row],[Direction]],""),VALUE(IF(LEN(_xlpm.steps)&gt;2,RIGHT(_xlpm.steps,2),_xlpm.steps)))</f>
        <v>29</v>
      </c>
      <c r="D3039">
        <f>_xlfn.LET(_xlpm.dir,Table1[[#This Row],[Direction]],
IF(_xlpm.dir="L",
    IF(F3038-Table1[[#This Row],[Steps]]&lt;0,100+(F3038-Table1[[#This Row],[Steps]]),F3038-Table1[[#This Row],[Steps]]),
))</f>
        <v>0</v>
      </c>
      <c r="E3039">
        <f>_xlfn.LET(_xlpm.dir,Table1[[#This Row],[Direction]],
IF(_xlpm.dir="R",
    IF(F3038+Table1[[#This Row],[Steps]]&gt;99,(F3038+Table1[[#This Row],[Steps]])-100,F3038+Table1[[#This Row],[Steps]]),
))</f>
        <v>0</v>
      </c>
      <c r="F3039">
        <f>IF(Table1[[#This Row],[New Pos L]]&lt;&gt;0,Table1[[#This Row],[New Pos L]],Table1[[#This Row],[New Pos R]])</f>
        <v>0</v>
      </c>
    </row>
    <row r="3040" spans="1:6" ht="16" x14ac:dyDescent="0.2">
      <c r="A3040" s="1" t="s">
        <v>125</v>
      </c>
      <c r="B3040" t="str">
        <f>LEFT(Table1[[#This Row],[Input]],1)</f>
        <v>L</v>
      </c>
      <c r="C3040">
        <f>_xlfn.LET(_xlpm.steps,SUBSTITUTE(Table1[[#This Row],[Input]],Table1[[#This Row],[Direction]],""),VALUE(IF(LEN(_xlpm.steps)&gt;2,RIGHT(_xlpm.steps,2),_xlpm.steps)))</f>
        <v>76</v>
      </c>
      <c r="D3040">
        <f>_xlfn.LET(_xlpm.dir,Table1[[#This Row],[Direction]],
IF(_xlpm.dir="L",
    IF(F3039-Table1[[#This Row],[Steps]]&lt;0,100+(F3039-Table1[[#This Row],[Steps]]),F3039-Table1[[#This Row],[Steps]]),
))</f>
        <v>24</v>
      </c>
      <c r="E3040">
        <f>_xlfn.LET(_xlpm.dir,Table1[[#This Row],[Direction]],
IF(_xlpm.dir="R",
    IF(F3039+Table1[[#This Row],[Steps]]&gt;99,(F3039+Table1[[#This Row],[Steps]])-100,F3039+Table1[[#This Row],[Steps]]),
))</f>
        <v>0</v>
      </c>
      <c r="F3040">
        <f>IF(Table1[[#This Row],[New Pos L]]&lt;&gt;0,Table1[[#This Row],[New Pos L]],Table1[[#This Row],[New Pos R]])</f>
        <v>24</v>
      </c>
    </row>
    <row r="3041" spans="1:6" ht="16" x14ac:dyDescent="0.2">
      <c r="A3041" s="1" t="s">
        <v>157</v>
      </c>
      <c r="B3041" t="str">
        <f>LEFT(Table1[[#This Row],[Input]],1)</f>
        <v>R</v>
      </c>
      <c r="C3041">
        <f>_xlfn.LET(_xlpm.steps,SUBSTITUTE(Table1[[#This Row],[Input]],Table1[[#This Row],[Direction]],""),VALUE(IF(LEN(_xlpm.steps)&gt;2,RIGHT(_xlpm.steps,2),_xlpm.steps)))</f>
        <v>68</v>
      </c>
      <c r="D3041">
        <f>_xlfn.LET(_xlpm.dir,Table1[[#This Row],[Direction]],
IF(_xlpm.dir="L",
    IF(F3040-Table1[[#This Row],[Steps]]&lt;0,100+(F3040-Table1[[#This Row],[Steps]]),F3040-Table1[[#This Row],[Steps]]),
))</f>
        <v>0</v>
      </c>
      <c r="E3041">
        <f>_xlfn.LET(_xlpm.dir,Table1[[#This Row],[Direction]],
IF(_xlpm.dir="R",
    IF(F3040+Table1[[#This Row],[Steps]]&gt;99,(F3040+Table1[[#This Row],[Steps]])-100,F3040+Table1[[#This Row],[Steps]]),
))</f>
        <v>92</v>
      </c>
      <c r="F3041">
        <f>IF(Table1[[#This Row],[New Pos L]]&lt;&gt;0,Table1[[#This Row],[New Pos L]],Table1[[#This Row],[New Pos R]])</f>
        <v>92</v>
      </c>
    </row>
    <row r="3042" spans="1:6" ht="16" x14ac:dyDescent="0.2">
      <c r="A3042" s="1" t="s">
        <v>213</v>
      </c>
      <c r="B3042" t="str">
        <f>LEFT(Table1[[#This Row],[Input]],1)</f>
        <v>R</v>
      </c>
      <c r="C3042">
        <f>_xlfn.LET(_xlpm.steps,SUBSTITUTE(Table1[[#This Row],[Input]],Table1[[#This Row],[Direction]],""),VALUE(IF(LEN(_xlpm.steps)&gt;2,RIGHT(_xlpm.steps,2),_xlpm.steps)))</f>
        <v>87</v>
      </c>
      <c r="D3042">
        <f>_xlfn.LET(_xlpm.dir,Table1[[#This Row],[Direction]],
IF(_xlpm.dir="L",
    IF(F3041-Table1[[#This Row],[Steps]]&lt;0,100+(F3041-Table1[[#This Row],[Steps]]),F3041-Table1[[#This Row],[Steps]]),
))</f>
        <v>0</v>
      </c>
      <c r="E3042">
        <f>_xlfn.LET(_xlpm.dir,Table1[[#This Row],[Direction]],
IF(_xlpm.dir="R",
    IF(F3041+Table1[[#This Row],[Steps]]&gt;99,(F3041+Table1[[#This Row],[Steps]])-100,F3041+Table1[[#This Row],[Steps]]),
))</f>
        <v>79</v>
      </c>
      <c r="F3042">
        <f>IF(Table1[[#This Row],[New Pos L]]&lt;&gt;0,Table1[[#This Row],[New Pos L]],Table1[[#This Row],[New Pos R]])</f>
        <v>79</v>
      </c>
    </row>
    <row r="3043" spans="1:6" ht="16" x14ac:dyDescent="0.2">
      <c r="A3043" s="1" t="s">
        <v>319</v>
      </c>
      <c r="B3043" t="str">
        <f>LEFT(Table1[[#This Row],[Input]],1)</f>
        <v>L</v>
      </c>
      <c r="C3043">
        <f>_xlfn.LET(_xlpm.steps,SUBSTITUTE(Table1[[#This Row],[Input]],Table1[[#This Row],[Direction]],""),VALUE(IF(LEN(_xlpm.steps)&gt;2,RIGHT(_xlpm.steps,2),_xlpm.steps)))</f>
        <v>79</v>
      </c>
      <c r="D3043">
        <f>_xlfn.LET(_xlpm.dir,Table1[[#This Row],[Direction]],
IF(_xlpm.dir="L",
    IF(F3042-Table1[[#This Row],[Steps]]&lt;0,100+(F3042-Table1[[#This Row],[Steps]]),F3042-Table1[[#This Row],[Steps]]),
))</f>
        <v>0</v>
      </c>
      <c r="E3043">
        <f>_xlfn.LET(_xlpm.dir,Table1[[#This Row],[Direction]],
IF(_xlpm.dir="R",
    IF(F3042+Table1[[#This Row],[Steps]]&gt;99,(F3042+Table1[[#This Row],[Steps]])-100,F3042+Table1[[#This Row],[Steps]]),
))</f>
        <v>0</v>
      </c>
      <c r="F3043">
        <f>IF(Table1[[#This Row],[New Pos L]]&lt;&gt;0,Table1[[#This Row],[New Pos L]],Table1[[#This Row],[New Pos R]])</f>
        <v>0</v>
      </c>
    </row>
    <row r="3044" spans="1:6" ht="16" x14ac:dyDescent="0.2">
      <c r="A3044" s="1" t="s">
        <v>461</v>
      </c>
      <c r="B3044" t="str">
        <f>LEFT(Table1[[#This Row],[Input]],1)</f>
        <v>L</v>
      </c>
      <c r="C3044">
        <f>_xlfn.LET(_xlpm.steps,SUBSTITUTE(Table1[[#This Row],[Input]],Table1[[#This Row],[Direction]],""),VALUE(IF(LEN(_xlpm.steps)&gt;2,RIGHT(_xlpm.steps,2),_xlpm.steps)))</f>
        <v>77</v>
      </c>
      <c r="D3044">
        <f>_xlfn.LET(_xlpm.dir,Table1[[#This Row],[Direction]],
IF(_xlpm.dir="L",
    IF(F3043-Table1[[#This Row],[Steps]]&lt;0,100+(F3043-Table1[[#This Row],[Steps]]),F3043-Table1[[#This Row],[Steps]]),
))</f>
        <v>23</v>
      </c>
      <c r="E3044">
        <f>_xlfn.LET(_xlpm.dir,Table1[[#This Row],[Direction]],
IF(_xlpm.dir="R",
    IF(F3043+Table1[[#This Row],[Steps]]&gt;99,(F3043+Table1[[#This Row],[Steps]])-100,F3043+Table1[[#This Row],[Steps]]),
))</f>
        <v>0</v>
      </c>
      <c r="F3044">
        <f>IF(Table1[[#This Row],[New Pos L]]&lt;&gt;0,Table1[[#This Row],[New Pos L]],Table1[[#This Row],[New Pos R]])</f>
        <v>23</v>
      </c>
    </row>
    <row r="3045" spans="1:6" ht="16" x14ac:dyDescent="0.2">
      <c r="A3045" s="1" t="s">
        <v>44</v>
      </c>
      <c r="B3045" t="str">
        <f>LEFT(Table1[[#This Row],[Input]],1)</f>
        <v>R</v>
      </c>
      <c r="C3045">
        <f>_xlfn.LET(_xlpm.steps,SUBSTITUTE(Table1[[#This Row],[Input]],Table1[[#This Row],[Direction]],""),VALUE(IF(LEN(_xlpm.steps)&gt;2,RIGHT(_xlpm.steps,2),_xlpm.steps)))</f>
        <v>96</v>
      </c>
      <c r="D3045">
        <f>_xlfn.LET(_xlpm.dir,Table1[[#This Row],[Direction]],
IF(_xlpm.dir="L",
    IF(F3044-Table1[[#This Row],[Steps]]&lt;0,100+(F3044-Table1[[#This Row],[Steps]]),F3044-Table1[[#This Row],[Steps]]),
))</f>
        <v>0</v>
      </c>
      <c r="E3045">
        <f>_xlfn.LET(_xlpm.dir,Table1[[#This Row],[Direction]],
IF(_xlpm.dir="R",
    IF(F3044+Table1[[#This Row],[Steps]]&gt;99,(F3044+Table1[[#This Row],[Steps]])-100,F3044+Table1[[#This Row],[Steps]]),
))</f>
        <v>19</v>
      </c>
      <c r="F3045">
        <f>IF(Table1[[#This Row],[New Pos L]]&lt;&gt;0,Table1[[#This Row],[New Pos L]],Table1[[#This Row],[New Pos R]])</f>
        <v>19</v>
      </c>
    </row>
    <row r="3046" spans="1:6" ht="16" x14ac:dyDescent="0.2">
      <c r="A3046" s="1" t="s">
        <v>254</v>
      </c>
      <c r="B3046" t="str">
        <f>LEFT(Table1[[#This Row],[Input]],1)</f>
        <v>R</v>
      </c>
      <c r="C3046">
        <f>_xlfn.LET(_xlpm.steps,SUBSTITUTE(Table1[[#This Row],[Input]],Table1[[#This Row],[Direction]],""),VALUE(IF(LEN(_xlpm.steps)&gt;2,RIGHT(_xlpm.steps,2),_xlpm.steps)))</f>
        <v>84</v>
      </c>
      <c r="D3046">
        <f>_xlfn.LET(_xlpm.dir,Table1[[#This Row],[Direction]],
IF(_xlpm.dir="L",
    IF(F3045-Table1[[#This Row],[Steps]]&lt;0,100+(F3045-Table1[[#This Row],[Steps]]),F3045-Table1[[#This Row],[Steps]]),
))</f>
        <v>0</v>
      </c>
      <c r="E3046">
        <f>_xlfn.LET(_xlpm.dir,Table1[[#This Row],[Direction]],
IF(_xlpm.dir="R",
    IF(F3045+Table1[[#This Row],[Steps]]&gt;99,(F3045+Table1[[#This Row],[Steps]])-100,F3045+Table1[[#This Row],[Steps]]),
))</f>
        <v>3</v>
      </c>
      <c r="F3046">
        <f>IF(Table1[[#This Row],[New Pos L]]&lt;&gt;0,Table1[[#This Row],[New Pos L]],Table1[[#This Row],[New Pos R]])</f>
        <v>3</v>
      </c>
    </row>
    <row r="3047" spans="1:6" ht="16" x14ac:dyDescent="0.2">
      <c r="A3047" s="1" t="s">
        <v>191</v>
      </c>
      <c r="B3047" t="str">
        <f>LEFT(Table1[[#This Row],[Input]],1)</f>
        <v>L</v>
      </c>
      <c r="C3047">
        <f>_xlfn.LET(_xlpm.steps,SUBSTITUTE(Table1[[#This Row],[Input]],Table1[[#This Row],[Direction]],""),VALUE(IF(LEN(_xlpm.steps)&gt;2,RIGHT(_xlpm.steps,2),_xlpm.steps)))</f>
        <v>5</v>
      </c>
      <c r="D3047">
        <f>_xlfn.LET(_xlpm.dir,Table1[[#This Row],[Direction]],
IF(_xlpm.dir="L",
    IF(F3046-Table1[[#This Row],[Steps]]&lt;0,100+(F3046-Table1[[#This Row],[Steps]]),F3046-Table1[[#This Row],[Steps]]),
))</f>
        <v>98</v>
      </c>
      <c r="E3047">
        <f>_xlfn.LET(_xlpm.dir,Table1[[#This Row],[Direction]],
IF(_xlpm.dir="R",
    IF(F3046+Table1[[#This Row],[Steps]]&gt;99,(F3046+Table1[[#This Row],[Steps]])-100,F3046+Table1[[#This Row],[Steps]]),
))</f>
        <v>0</v>
      </c>
      <c r="F3047">
        <f>IF(Table1[[#This Row],[New Pos L]]&lt;&gt;0,Table1[[#This Row],[New Pos L]],Table1[[#This Row],[New Pos R]])</f>
        <v>98</v>
      </c>
    </row>
    <row r="3048" spans="1:6" ht="16" x14ac:dyDescent="0.2">
      <c r="A3048" s="1" t="s">
        <v>683</v>
      </c>
      <c r="B3048" t="str">
        <f>LEFT(Table1[[#This Row],[Input]],1)</f>
        <v>R</v>
      </c>
      <c r="C3048">
        <f>_xlfn.LET(_xlpm.steps,SUBSTITUTE(Table1[[#This Row],[Input]],Table1[[#This Row],[Direction]],""),VALUE(IF(LEN(_xlpm.steps)&gt;2,RIGHT(_xlpm.steps,2),_xlpm.steps)))</f>
        <v>18</v>
      </c>
      <c r="D3048">
        <f>_xlfn.LET(_xlpm.dir,Table1[[#This Row],[Direction]],
IF(_xlpm.dir="L",
    IF(F3047-Table1[[#This Row],[Steps]]&lt;0,100+(F3047-Table1[[#This Row],[Steps]]),F3047-Table1[[#This Row],[Steps]]),
))</f>
        <v>0</v>
      </c>
      <c r="E3048">
        <f>_xlfn.LET(_xlpm.dir,Table1[[#This Row],[Direction]],
IF(_xlpm.dir="R",
    IF(F3047+Table1[[#This Row],[Steps]]&gt;99,(F3047+Table1[[#This Row],[Steps]])-100,F3047+Table1[[#This Row],[Steps]]),
))</f>
        <v>16</v>
      </c>
      <c r="F3048">
        <f>IF(Table1[[#This Row],[New Pos L]]&lt;&gt;0,Table1[[#This Row],[New Pos L]],Table1[[#This Row],[New Pos R]])</f>
        <v>16</v>
      </c>
    </row>
    <row r="3049" spans="1:6" ht="16" x14ac:dyDescent="0.2">
      <c r="A3049" s="1" t="s">
        <v>684</v>
      </c>
      <c r="B3049" t="str">
        <f>LEFT(Table1[[#This Row],[Input]],1)</f>
        <v>L</v>
      </c>
      <c r="C3049">
        <f>_xlfn.LET(_xlpm.steps,SUBSTITUTE(Table1[[#This Row],[Input]],Table1[[#This Row],[Direction]],""),VALUE(IF(LEN(_xlpm.steps)&gt;2,RIGHT(_xlpm.steps,2),_xlpm.steps)))</f>
        <v>13</v>
      </c>
      <c r="D3049">
        <f>_xlfn.LET(_xlpm.dir,Table1[[#This Row],[Direction]],
IF(_xlpm.dir="L",
    IF(F3048-Table1[[#This Row],[Steps]]&lt;0,100+(F3048-Table1[[#This Row],[Steps]]),F3048-Table1[[#This Row],[Steps]]),
))</f>
        <v>3</v>
      </c>
      <c r="E3049">
        <f>_xlfn.LET(_xlpm.dir,Table1[[#This Row],[Direction]],
IF(_xlpm.dir="R",
    IF(F3048+Table1[[#This Row],[Steps]]&gt;99,(F3048+Table1[[#This Row],[Steps]])-100,F3048+Table1[[#This Row],[Steps]]),
))</f>
        <v>0</v>
      </c>
      <c r="F3049">
        <f>IF(Table1[[#This Row],[New Pos L]]&lt;&gt;0,Table1[[#This Row],[New Pos L]],Table1[[#This Row],[New Pos R]])</f>
        <v>3</v>
      </c>
    </row>
    <row r="3050" spans="1:6" ht="16" x14ac:dyDescent="0.2">
      <c r="A3050" s="1" t="s">
        <v>59</v>
      </c>
      <c r="B3050" t="str">
        <f>LEFT(Table1[[#This Row],[Input]],1)</f>
        <v>L</v>
      </c>
      <c r="C3050">
        <f>_xlfn.LET(_xlpm.steps,SUBSTITUTE(Table1[[#This Row],[Input]],Table1[[#This Row],[Direction]],""),VALUE(IF(LEN(_xlpm.steps)&gt;2,RIGHT(_xlpm.steps,2),_xlpm.steps)))</f>
        <v>6</v>
      </c>
      <c r="D3050">
        <f>_xlfn.LET(_xlpm.dir,Table1[[#This Row],[Direction]],
IF(_xlpm.dir="L",
    IF(F3049-Table1[[#This Row],[Steps]]&lt;0,100+(F3049-Table1[[#This Row],[Steps]]),F3049-Table1[[#This Row],[Steps]]),
))</f>
        <v>97</v>
      </c>
      <c r="E3050">
        <f>_xlfn.LET(_xlpm.dir,Table1[[#This Row],[Direction]],
IF(_xlpm.dir="R",
    IF(F3049+Table1[[#This Row],[Steps]]&gt;99,(F3049+Table1[[#This Row],[Steps]])-100,F3049+Table1[[#This Row],[Steps]]),
))</f>
        <v>0</v>
      </c>
      <c r="F3050">
        <f>IF(Table1[[#This Row],[New Pos L]]&lt;&gt;0,Table1[[#This Row],[New Pos L]],Table1[[#This Row],[New Pos R]])</f>
        <v>97</v>
      </c>
    </row>
    <row r="3051" spans="1:6" ht="16" x14ac:dyDescent="0.2">
      <c r="A3051" s="1" t="s">
        <v>330</v>
      </c>
      <c r="B3051" t="str">
        <f>LEFT(Table1[[#This Row],[Input]],1)</f>
        <v>L</v>
      </c>
      <c r="C3051">
        <f>_xlfn.LET(_xlpm.steps,SUBSTITUTE(Table1[[#This Row],[Input]],Table1[[#This Row],[Direction]],""),VALUE(IF(LEN(_xlpm.steps)&gt;2,RIGHT(_xlpm.steps,2),_xlpm.steps)))</f>
        <v>47</v>
      </c>
      <c r="D3051">
        <f>_xlfn.LET(_xlpm.dir,Table1[[#This Row],[Direction]],
IF(_xlpm.dir="L",
    IF(F3050-Table1[[#This Row],[Steps]]&lt;0,100+(F3050-Table1[[#This Row],[Steps]]),F3050-Table1[[#This Row],[Steps]]),
))</f>
        <v>50</v>
      </c>
      <c r="E3051">
        <f>_xlfn.LET(_xlpm.dir,Table1[[#This Row],[Direction]],
IF(_xlpm.dir="R",
    IF(F3050+Table1[[#This Row],[Steps]]&gt;99,(F3050+Table1[[#This Row],[Steps]])-100,F3050+Table1[[#This Row],[Steps]]),
))</f>
        <v>0</v>
      </c>
      <c r="F3051">
        <f>IF(Table1[[#This Row],[New Pos L]]&lt;&gt;0,Table1[[#This Row],[New Pos L]],Table1[[#This Row],[New Pos R]])</f>
        <v>50</v>
      </c>
    </row>
    <row r="3052" spans="1:6" ht="16" x14ac:dyDescent="0.2">
      <c r="A3052" s="1" t="s">
        <v>36</v>
      </c>
      <c r="B3052" t="str">
        <f>LEFT(Table1[[#This Row],[Input]],1)</f>
        <v>R</v>
      </c>
      <c r="C3052">
        <f>_xlfn.LET(_xlpm.steps,SUBSTITUTE(Table1[[#This Row],[Input]],Table1[[#This Row],[Direction]],""),VALUE(IF(LEN(_xlpm.steps)&gt;2,RIGHT(_xlpm.steps,2),_xlpm.steps)))</f>
        <v>50</v>
      </c>
      <c r="D3052">
        <f>_xlfn.LET(_xlpm.dir,Table1[[#This Row],[Direction]],
IF(_xlpm.dir="L",
    IF(F3051-Table1[[#This Row],[Steps]]&lt;0,100+(F3051-Table1[[#This Row],[Steps]]),F3051-Table1[[#This Row],[Steps]]),
))</f>
        <v>0</v>
      </c>
      <c r="E3052">
        <f>_xlfn.LET(_xlpm.dir,Table1[[#This Row],[Direction]],
IF(_xlpm.dir="R",
    IF(F3051+Table1[[#This Row],[Steps]]&gt;99,(F3051+Table1[[#This Row],[Steps]])-100,F3051+Table1[[#This Row],[Steps]]),
))</f>
        <v>0</v>
      </c>
      <c r="F3052">
        <f>IF(Table1[[#This Row],[New Pos L]]&lt;&gt;0,Table1[[#This Row],[New Pos L]],Table1[[#This Row],[New Pos R]])</f>
        <v>0</v>
      </c>
    </row>
    <row r="3053" spans="1:6" ht="16" x14ac:dyDescent="0.2">
      <c r="A3053" s="1" t="s">
        <v>21</v>
      </c>
      <c r="B3053" t="str">
        <f>LEFT(Table1[[#This Row],[Input]],1)</f>
        <v>L</v>
      </c>
      <c r="C3053">
        <f>_xlfn.LET(_xlpm.steps,SUBSTITUTE(Table1[[#This Row],[Input]],Table1[[#This Row],[Direction]],""),VALUE(IF(LEN(_xlpm.steps)&gt;2,RIGHT(_xlpm.steps,2),_xlpm.steps)))</f>
        <v>36</v>
      </c>
      <c r="D3053">
        <f>_xlfn.LET(_xlpm.dir,Table1[[#This Row],[Direction]],
IF(_xlpm.dir="L",
    IF(F3052-Table1[[#This Row],[Steps]]&lt;0,100+(F3052-Table1[[#This Row],[Steps]]),F3052-Table1[[#This Row],[Steps]]),
))</f>
        <v>64</v>
      </c>
      <c r="E3053">
        <f>_xlfn.LET(_xlpm.dir,Table1[[#This Row],[Direction]],
IF(_xlpm.dir="R",
    IF(F3052+Table1[[#This Row],[Steps]]&gt;99,(F3052+Table1[[#This Row],[Steps]])-100,F3052+Table1[[#This Row],[Steps]]),
))</f>
        <v>0</v>
      </c>
      <c r="F3053">
        <f>IF(Table1[[#This Row],[New Pos L]]&lt;&gt;0,Table1[[#This Row],[New Pos L]],Table1[[#This Row],[New Pos R]])</f>
        <v>64</v>
      </c>
    </row>
    <row r="3054" spans="1:6" ht="16" x14ac:dyDescent="0.2">
      <c r="A3054" s="1" t="s">
        <v>685</v>
      </c>
      <c r="B3054" t="str">
        <f>LEFT(Table1[[#This Row],[Input]],1)</f>
        <v>R</v>
      </c>
      <c r="C3054">
        <f>_xlfn.LET(_xlpm.steps,SUBSTITUTE(Table1[[#This Row],[Input]],Table1[[#This Row],[Direction]],""),VALUE(IF(LEN(_xlpm.steps)&gt;2,RIGHT(_xlpm.steps,2),_xlpm.steps)))</f>
        <v>41</v>
      </c>
      <c r="D3054">
        <f>_xlfn.LET(_xlpm.dir,Table1[[#This Row],[Direction]],
IF(_xlpm.dir="L",
    IF(F3053-Table1[[#This Row],[Steps]]&lt;0,100+(F3053-Table1[[#This Row],[Steps]]),F3053-Table1[[#This Row],[Steps]]),
))</f>
        <v>0</v>
      </c>
      <c r="E3054">
        <f>_xlfn.LET(_xlpm.dir,Table1[[#This Row],[Direction]],
IF(_xlpm.dir="R",
    IF(F3053+Table1[[#This Row],[Steps]]&gt;99,(F3053+Table1[[#This Row],[Steps]])-100,F3053+Table1[[#This Row],[Steps]]),
))</f>
        <v>5</v>
      </c>
      <c r="F3054">
        <f>IF(Table1[[#This Row],[New Pos L]]&lt;&gt;0,Table1[[#This Row],[New Pos L]],Table1[[#This Row],[New Pos R]])</f>
        <v>5</v>
      </c>
    </row>
    <row r="3055" spans="1:6" ht="16" x14ac:dyDescent="0.2">
      <c r="A3055" s="1" t="s">
        <v>353</v>
      </c>
      <c r="B3055" t="str">
        <f>LEFT(Table1[[#This Row],[Input]],1)</f>
        <v>R</v>
      </c>
      <c r="C3055">
        <f>_xlfn.LET(_xlpm.steps,SUBSTITUTE(Table1[[#This Row],[Input]],Table1[[#This Row],[Direction]],""),VALUE(IF(LEN(_xlpm.steps)&gt;2,RIGHT(_xlpm.steps,2),_xlpm.steps)))</f>
        <v>7</v>
      </c>
      <c r="D3055">
        <f>_xlfn.LET(_xlpm.dir,Table1[[#This Row],[Direction]],
IF(_xlpm.dir="L",
    IF(F3054-Table1[[#This Row],[Steps]]&lt;0,100+(F3054-Table1[[#This Row],[Steps]]),F3054-Table1[[#This Row],[Steps]]),
))</f>
        <v>0</v>
      </c>
      <c r="E3055">
        <f>_xlfn.LET(_xlpm.dir,Table1[[#This Row],[Direction]],
IF(_xlpm.dir="R",
    IF(F3054+Table1[[#This Row],[Steps]]&gt;99,(F3054+Table1[[#This Row],[Steps]])-100,F3054+Table1[[#This Row],[Steps]]),
))</f>
        <v>12</v>
      </c>
      <c r="F3055">
        <f>IF(Table1[[#This Row],[New Pos L]]&lt;&gt;0,Table1[[#This Row],[New Pos L]],Table1[[#This Row],[New Pos R]])</f>
        <v>12</v>
      </c>
    </row>
    <row r="3056" spans="1:6" ht="16" x14ac:dyDescent="0.2">
      <c r="A3056" s="1" t="s">
        <v>193</v>
      </c>
      <c r="B3056" t="str">
        <f>LEFT(Table1[[#This Row],[Input]],1)</f>
        <v>L</v>
      </c>
      <c r="C3056">
        <f>_xlfn.LET(_xlpm.steps,SUBSTITUTE(Table1[[#This Row],[Input]],Table1[[#This Row],[Direction]],""),VALUE(IF(LEN(_xlpm.steps)&gt;2,RIGHT(_xlpm.steps,2),_xlpm.steps)))</f>
        <v>12</v>
      </c>
      <c r="D3056">
        <f>_xlfn.LET(_xlpm.dir,Table1[[#This Row],[Direction]],
IF(_xlpm.dir="L",
    IF(F3055-Table1[[#This Row],[Steps]]&lt;0,100+(F3055-Table1[[#This Row],[Steps]]),F3055-Table1[[#This Row],[Steps]]),
))</f>
        <v>0</v>
      </c>
      <c r="E3056">
        <f>_xlfn.LET(_xlpm.dir,Table1[[#This Row],[Direction]],
IF(_xlpm.dir="R",
    IF(F3055+Table1[[#This Row],[Steps]]&gt;99,(F3055+Table1[[#This Row],[Steps]])-100,F3055+Table1[[#This Row],[Steps]]),
))</f>
        <v>0</v>
      </c>
      <c r="F3056">
        <f>IF(Table1[[#This Row],[New Pos L]]&lt;&gt;0,Table1[[#This Row],[New Pos L]],Table1[[#This Row],[New Pos R]])</f>
        <v>0</v>
      </c>
    </row>
    <row r="3057" spans="1:6" ht="16" x14ac:dyDescent="0.2">
      <c r="A3057" s="1" t="s">
        <v>123</v>
      </c>
      <c r="B3057" t="str">
        <f>LEFT(Table1[[#This Row],[Input]],1)</f>
        <v>L</v>
      </c>
      <c r="C3057">
        <f>_xlfn.LET(_xlpm.steps,SUBSTITUTE(Table1[[#This Row],[Input]],Table1[[#This Row],[Direction]],""),VALUE(IF(LEN(_xlpm.steps)&gt;2,RIGHT(_xlpm.steps,2),_xlpm.steps)))</f>
        <v>63</v>
      </c>
      <c r="D3057">
        <f>_xlfn.LET(_xlpm.dir,Table1[[#This Row],[Direction]],
IF(_xlpm.dir="L",
    IF(F3056-Table1[[#This Row],[Steps]]&lt;0,100+(F3056-Table1[[#This Row],[Steps]]),F3056-Table1[[#This Row],[Steps]]),
))</f>
        <v>37</v>
      </c>
      <c r="E3057">
        <f>_xlfn.LET(_xlpm.dir,Table1[[#This Row],[Direction]],
IF(_xlpm.dir="R",
    IF(F3056+Table1[[#This Row],[Steps]]&gt;99,(F3056+Table1[[#This Row],[Steps]])-100,F3056+Table1[[#This Row],[Steps]]),
))</f>
        <v>0</v>
      </c>
      <c r="F3057">
        <f>IF(Table1[[#This Row],[New Pos L]]&lt;&gt;0,Table1[[#This Row],[New Pos L]],Table1[[#This Row],[New Pos R]])</f>
        <v>37</v>
      </c>
    </row>
    <row r="3058" spans="1:6" ht="16" x14ac:dyDescent="0.2">
      <c r="A3058" s="1" t="s">
        <v>337</v>
      </c>
      <c r="B3058" t="str">
        <f>LEFT(Table1[[#This Row],[Input]],1)</f>
        <v>L</v>
      </c>
      <c r="C3058">
        <f>_xlfn.LET(_xlpm.steps,SUBSTITUTE(Table1[[#This Row],[Input]],Table1[[#This Row],[Direction]],""),VALUE(IF(LEN(_xlpm.steps)&gt;2,RIGHT(_xlpm.steps,2),_xlpm.steps)))</f>
        <v>38</v>
      </c>
      <c r="D3058">
        <f>_xlfn.LET(_xlpm.dir,Table1[[#This Row],[Direction]],
IF(_xlpm.dir="L",
    IF(F3057-Table1[[#This Row],[Steps]]&lt;0,100+(F3057-Table1[[#This Row],[Steps]]),F3057-Table1[[#This Row],[Steps]]),
))</f>
        <v>99</v>
      </c>
      <c r="E3058">
        <f>_xlfn.LET(_xlpm.dir,Table1[[#This Row],[Direction]],
IF(_xlpm.dir="R",
    IF(F3057+Table1[[#This Row],[Steps]]&gt;99,(F3057+Table1[[#This Row],[Steps]])-100,F3057+Table1[[#This Row],[Steps]]),
))</f>
        <v>0</v>
      </c>
      <c r="F3058">
        <f>IF(Table1[[#This Row],[New Pos L]]&lt;&gt;0,Table1[[#This Row],[New Pos L]],Table1[[#This Row],[New Pos R]])</f>
        <v>99</v>
      </c>
    </row>
    <row r="3059" spans="1:6" ht="16" x14ac:dyDescent="0.2">
      <c r="A3059" s="1" t="s">
        <v>686</v>
      </c>
      <c r="B3059" t="str">
        <f>LEFT(Table1[[#This Row],[Input]],1)</f>
        <v>R</v>
      </c>
      <c r="C3059">
        <f>_xlfn.LET(_xlpm.steps,SUBSTITUTE(Table1[[#This Row],[Input]],Table1[[#This Row],[Direction]],""),VALUE(IF(LEN(_xlpm.steps)&gt;2,RIGHT(_xlpm.steps,2),_xlpm.steps)))</f>
        <v>44</v>
      </c>
      <c r="D3059">
        <f>_xlfn.LET(_xlpm.dir,Table1[[#This Row],[Direction]],
IF(_xlpm.dir="L",
    IF(F3058-Table1[[#This Row],[Steps]]&lt;0,100+(F3058-Table1[[#This Row],[Steps]]),F3058-Table1[[#This Row],[Steps]]),
))</f>
        <v>0</v>
      </c>
      <c r="E3059">
        <f>_xlfn.LET(_xlpm.dir,Table1[[#This Row],[Direction]],
IF(_xlpm.dir="R",
    IF(F3058+Table1[[#This Row],[Steps]]&gt;99,(F3058+Table1[[#This Row],[Steps]])-100,F3058+Table1[[#This Row],[Steps]]),
))</f>
        <v>43</v>
      </c>
      <c r="F3059">
        <f>IF(Table1[[#This Row],[New Pos L]]&lt;&gt;0,Table1[[#This Row],[New Pos L]],Table1[[#This Row],[New Pos R]])</f>
        <v>43</v>
      </c>
    </row>
    <row r="3060" spans="1:6" ht="16" x14ac:dyDescent="0.2">
      <c r="A3060" s="1" t="s">
        <v>14</v>
      </c>
      <c r="B3060" t="str">
        <f>LEFT(Table1[[#This Row],[Input]],1)</f>
        <v>L</v>
      </c>
      <c r="C3060">
        <f>_xlfn.LET(_xlpm.steps,SUBSTITUTE(Table1[[#This Row],[Input]],Table1[[#This Row],[Direction]],""),VALUE(IF(LEN(_xlpm.steps)&gt;2,RIGHT(_xlpm.steps,2),_xlpm.steps)))</f>
        <v>43</v>
      </c>
      <c r="D3060">
        <f>_xlfn.LET(_xlpm.dir,Table1[[#This Row],[Direction]],
IF(_xlpm.dir="L",
    IF(F3059-Table1[[#This Row],[Steps]]&lt;0,100+(F3059-Table1[[#This Row],[Steps]]),F3059-Table1[[#This Row],[Steps]]),
))</f>
        <v>0</v>
      </c>
      <c r="E3060">
        <f>_xlfn.LET(_xlpm.dir,Table1[[#This Row],[Direction]],
IF(_xlpm.dir="R",
    IF(F3059+Table1[[#This Row],[Steps]]&gt;99,(F3059+Table1[[#This Row],[Steps]])-100,F3059+Table1[[#This Row],[Steps]]),
))</f>
        <v>0</v>
      </c>
      <c r="F3060">
        <f>IF(Table1[[#This Row],[New Pos L]]&lt;&gt;0,Table1[[#This Row],[New Pos L]],Table1[[#This Row],[New Pos R]])</f>
        <v>0</v>
      </c>
    </row>
    <row r="3061" spans="1:6" ht="16" x14ac:dyDescent="0.2">
      <c r="A3061" s="1" t="s">
        <v>687</v>
      </c>
      <c r="B3061" t="str">
        <f>LEFT(Table1[[#This Row],[Input]],1)</f>
        <v>L</v>
      </c>
      <c r="C3061">
        <f>_xlfn.LET(_xlpm.steps,SUBSTITUTE(Table1[[#This Row],[Input]],Table1[[#This Row],[Direction]],""),VALUE(IF(LEN(_xlpm.steps)&gt;2,RIGHT(_xlpm.steps,2),_xlpm.steps)))</f>
        <v>60</v>
      </c>
      <c r="D3061">
        <f>_xlfn.LET(_xlpm.dir,Table1[[#This Row],[Direction]],
IF(_xlpm.dir="L",
    IF(F3060-Table1[[#This Row],[Steps]]&lt;0,100+(F3060-Table1[[#This Row],[Steps]]),F3060-Table1[[#This Row],[Steps]]),
))</f>
        <v>40</v>
      </c>
      <c r="E3061">
        <f>_xlfn.LET(_xlpm.dir,Table1[[#This Row],[Direction]],
IF(_xlpm.dir="R",
    IF(F3060+Table1[[#This Row],[Steps]]&gt;99,(F3060+Table1[[#This Row],[Steps]])-100,F3060+Table1[[#This Row],[Steps]]),
))</f>
        <v>0</v>
      </c>
      <c r="F3061">
        <f>IF(Table1[[#This Row],[New Pos L]]&lt;&gt;0,Table1[[#This Row],[New Pos L]],Table1[[#This Row],[New Pos R]])</f>
        <v>40</v>
      </c>
    </row>
    <row r="3062" spans="1:6" ht="16" x14ac:dyDescent="0.2">
      <c r="A3062" s="1" t="s">
        <v>293</v>
      </c>
      <c r="B3062" t="str">
        <f>LEFT(Table1[[#This Row],[Input]],1)</f>
        <v>R</v>
      </c>
      <c r="C3062">
        <f>_xlfn.LET(_xlpm.steps,SUBSTITUTE(Table1[[#This Row],[Input]],Table1[[#This Row],[Direction]],""),VALUE(IF(LEN(_xlpm.steps)&gt;2,RIGHT(_xlpm.steps,2),_xlpm.steps)))</f>
        <v>67</v>
      </c>
      <c r="D3062">
        <f>_xlfn.LET(_xlpm.dir,Table1[[#This Row],[Direction]],
IF(_xlpm.dir="L",
    IF(F3061-Table1[[#This Row],[Steps]]&lt;0,100+(F3061-Table1[[#This Row],[Steps]]),F3061-Table1[[#This Row],[Steps]]),
))</f>
        <v>0</v>
      </c>
      <c r="E3062">
        <f>_xlfn.LET(_xlpm.dir,Table1[[#This Row],[Direction]],
IF(_xlpm.dir="R",
    IF(F3061+Table1[[#This Row],[Steps]]&gt;99,(F3061+Table1[[#This Row],[Steps]])-100,F3061+Table1[[#This Row],[Steps]]),
))</f>
        <v>7</v>
      </c>
      <c r="F3062">
        <f>IF(Table1[[#This Row],[New Pos L]]&lt;&gt;0,Table1[[#This Row],[New Pos L]],Table1[[#This Row],[New Pos R]])</f>
        <v>7</v>
      </c>
    </row>
    <row r="3063" spans="1:6" ht="16" x14ac:dyDescent="0.2">
      <c r="A3063" s="1" t="s">
        <v>73</v>
      </c>
      <c r="B3063" t="str">
        <f>LEFT(Table1[[#This Row],[Input]],1)</f>
        <v>R</v>
      </c>
      <c r="C3063">
        <f>_xlfn.LET(_xlpm.steps,SUBSTITUTE(Table1[[#This Row],[Input]],Table1[[#This Row],[Direction]],""),VALUE(IF(LEN(_xlpm.steps)&gt;2,RIGHT(_xlpm.steps,2),_xlpm.steps)))</f>
        <v>21</v>
      </c>
      <c r="D3063">
        <f>_xlfn.LET(_xlpm.dir,Table1[[#This Row],[Direction]],
IF(_xlpm.dir="L",
    IF(F3062-Table1[[#This Row],[Steps]]&lt;0,100+(F3062-Table1[[#This Row],[Steps]]),F3062-Table1[[#This Row],[Steps]]),
))</f>
        <v>0</v>
      </c>
      <c r="E3063">
        <f>_xlfn.LET(_xlpm.dir,Table1[[#This Row],[Direction]],
IF(_xlpm.dir="R",
    IF(F3062+Table1[[#This Row],[Steps]]&gt;99,(F3062+Table1[[#This Row],[Steps]])-100,F3062+Table1[[#This Row],[Steps]]),
))</f>
        <v>28</v>
      </c>
      <c r="F3063">
        <f>IF(Table1[[#This Row],[New Pos L]]&lt;&gt;0,Table1[[#This Row],[New Pos L]],Table1[[#This Row],[New Pos R]])</f>
        <v>28</v>
      </c>
    </row>
    <row r="3064" spans="1:6" ht="16" x14ac:dyDescent="0.2">
      <c r="A3064" s="1" t="s">
        <v>357</v>
      </c>
      <c r="B3064" t="str">
        <f>LEFT(Table1[[#This Row],[Input]],1)</f>
        <v>R</v>
      </c>
      <c r="C3064">
        <f>_xlfn.LET(_xlpm.steps,SUBSTITUTE(Table1[[#This Row],[Input]],Table1[[#This Row],[Direction]],""),VALUE(IF(LEN(_xlpm.steps)&gt;2,RIGHT(_xlpm.steps,2),_xlpm.steps)))</f>
        <v>72</v>
      </c>
      <c r="D3064">
        <f>_xlfn.LET(_xlpm.dir,Table1[[#This Row],[Direction]],
IF(_xlpm.dir="L",
    IF(F3063-Table1[[#This Row],[Steps]]&lt;0,100+(F3063-Table1[[#This Row],[Steps]]),F3063-Table1[[#This Row],[Steps]]),
))</f>
        <v>0</v>
      </c>
      <c r="E3064">
        <f>_xlfn.LET(_xlpm.dir,Table1[[#This Row],[Direction]],
IF(_xlpm.dir="R",
    IF(F3063+Table1[[#This Row],[Steps]]&gt;99,(F3063+Table1[[#This Row],[Steps]])-100,F3063+Table1[[#This Row],[Steps]]),
))</f>
        <v>0</v>
      </c>
      <c r="F3064">
        <f>IF(Table1[[#This Row],[New Pos L]]&lt;&gt;0,Table1[[#This Row],[New Pos L]],Table1[[#This Row],[New Pos R]])</f>
        <v>0</v>
      </c>
    </row>
    <row r="3065" spans="1:6" ht="16" x14ac:dyDescent="0.2">
      <c r="A3065" s="1" t="s">
        <v>688</v>
      </c>
      <c r="B3065" t="str">
        <f>LEFT(Table1[[#This Row],[Input]],1)</f>
        <v>R</v>
      </c>
      <c r="C3065">
        <f>_xlfn.LET(_xlpm.steps,SUBSTITUTE(Table1[[#This Row],[Input]],Table1[[#This Row],[Direction]],""),VALUE(IF(LEN(_xlpm.steps)&gt;2,RIGHT(_xlpm.steps,2),_xlpm.steps)))</f>
        <v>81</v>
      </c>
      <c r="D3065">
        <f>_xlfn.LET(_xlpm.dir,Table1[[#This Row],[Direction]],
IF(_xlpm.dir="L",
    IF(F3064-Table1[[#This Row],[Steps]]&lt;0,100+(F3064-Table1[[#This Row],[Steps]]),F3064-Table1[[#This Row],[Steps]]),
))</f>
        <v>0</v>
      </c>
      <c r="E3065">
        <f>_xlfn.LET(_xlpm.dir,Table1[[#This Row],[Direction]],
IF(_xlpm.dir="R",
    IF(F3064+Table1[[#This Row],[Steps]]&gt;99,(F3064+Table1[[#This Row],[Steps]])-100,F3064+Table1[[#This Row],[Steps]]),
))</f>
        <v>81</v>
      </c>
      <c r="F3065">
        <f>IF(Table1[[#This Row],[New Pos L]]&lt;&gt;0,Table1[[#This Row],[New Pos L]],Table1[[#This Row],[New Pos R]])</f>
        <v>81</v>
      </c>
    </row>
    <row r="3066" spans="1:6" ht="16" x14ac:dyDescent="0.2">
      <c r="A3066" s="1" t="s">
        <v>82</v>
      </c>
      <c r="B3066" t="str">
        <f>LEFT(Table1[[#This Row],[Input]],1)</f>
        <v>L</v>
      </c>
      <c r="C3066">
        <f>_xlfn.LET(_xlpm.steps,SUBSTITUTE(Table1[[#This Row],[Input]],Table1[[#This Row],[Direction]],""),VALUE(IF(LEN(_xlpm.steps)&gt;2,RIGHT(_xlpm.steps,2),_xlpm.steps)))</f>
        <v>55</v>
      </c>
      <c r="D3066">
        <f>_xlfn.LET(_xlpm.dir,Table1[[#This Row],[Direction]],
IF(_xlpm.dir="L",
    IF(F3065-Table1[[#This Row],[Steps]]&lt;0,100+(F3065-Table1[[#This Row],[Steps]]),F3065-Table1[[#This Row],[Steps]]),
))</f>
        <v>26</v>
      </c>
      <c r="E3066">
        <f>_xlfn.LET(_xlpm.dir,Table1[[#This Row],[Direction]],
IF(_xlpm.dir="R",
    IF(F3065+Table1[[#This Row],[Steps]]&gt;99,(F3065+Table1[[#This Row],[Steps]])-100,F3065+Table1[[#This Row],[Steps]]),
))</f>
        <v>0</v>
      </c>
      <c r="F3066">
        <f>IF(Table1[[#This Row],[New Pos L]]&lt;&gt;0,Table1[[#This Row],[New Pos L]],Table1[[#This Row],[New Pos R]])</f>
        <v>26</v>
      </c>
    </row>
    <row r="3067" spans="1:6" ht="16" x14ac:dyDescent="0.2">
      <c r="A3067" s="1" t="s">
        <v>218</v>
      </c>
      <c r="B3067" t="str">
        <f>LEFT(Table1[[#This Row],[Input]],1)</f>
        <v>R</v>
      </c>
      <c r="C3067">
        <f>_xlfn.LET(_xlpm.steps,SUBSTITUTE(Table1[[#This Row],[Input]],Table1[[#This Row],[Direction]],""),VALUE(IF(LEN(_xlpm.steps)&gt;2,RIGHT(_xlpm.steps,2),_xlpm.steps)))</f>
        <v>35</v>
      </c>
      <c r="D3067">
        <f>_xlfn.LET(_xlpm.dir,Table1[[#This Row],[Direction]],
IF(_xlpm.dir="L",
    IF(F3066-Table1[[#This Row],[Steps]]&lt;0,100+(F3066-Table1[[#This Row],[Steps]]),F3066-Table1[[#This Row],[Steps]]),
))</f>
        <v>0</v>
      </c>
      <c r="E3067">
        <f>_xlfn.LET(_xlpm.dir,Table1[[#This Row],[Direction]],
IF(_xlpm.dir="R",
    IF(F3066+Table1[[#This Row],[Steps]]&gt;99,(F3066+Table1[[#This Row],[Steps]])-100,F3066+Table1[[#This Row],[Steps]]),
))</f>
        <v>61</v>
      </c>
      <c r="F3067">
        <f>IF(Table1[[#This Row],[New Pos L]]&lt;&gt;0,Table1[[#This Row],[New Pos L]],Table1[[#This Row],[New Pos R]])</f>
        <v>61</v>
      </c>
    </row>
    <row r="3068" spans="1:6" ht="16" x14ac:dyDescent="0.2">
      <c r="A3068" s="1" t="s">
        <v>689</v>
      </c>
      <c r="B3068" t="str">
        <f>LEFT(Table1[[#This Row],[Input]],1)</f>
        <v>L</v>
      </c>
      <c r="C3068">
        <f>_xlfn.LET(_xlpm.steps,SUBSTITUTE(Table1[[#This Row],[Input]],Table1[[#This Row],[Direction]],""),VALUE(IF(LEN(_xlpm.steps)&gt;2,RIGHT(_xlpm.steps,2),_xlpm.steps)))</f>
        <v>58</v>
      </c>
      <c r="D3068">
        <f>_xlfn.LET(_xlpm.dir,Table1[[#This Row],[Direction]],
IF(_xlpm.dir="L",
    IF(F3067-Table1[[#This Row],[Steps]]&lt;0,100+(F3067-Table1[[#This Row],[Steps]]),F3067-Table1[[#This Row],[Steps]]),
))</f>
        <v>3</v>
      </c>
      <c r="E3068">
        <f>_xlfn.LET(_xlpm.dir,Table1[[#This Row],[Direction]],
IF(_xlpm.dir="R",
    IF(F3067+Table1[[#This Row],[Steps]]&gt;99,(F3067+Table1[[#This Row],[Steps]])-100,F3067+Table1[[#This Row],[Steps]]),
))</f>
        <v>0</v>
      </c>
      <c r="F3068">
        <f>IF(Table1[[#This Row],[New Pos L]]&lt;&gt;0,Table1[[#This Row],[New Pos L]],Table1[[#This Row],[New Pos R]])</f>
        <v>3</v>
      </c>
    </row>
    <row r="3069" spans="1:6" ht="16" x14ac:dyDescent="0.2">
      <c r="A3069" s="1" t="s">
        <v>182</v>
      </c>
      <c r="B3069" t="str">
        <f>LEFT(Table1[[#This Row],[Input]],1)</f>
        <v>L</v>
      </c>
      <c r="C3069">
        <f>_xlfn.LET(_xlpm.steps,SUBSTITUTE(Table1[[#This Row],[Input]],Table1[[#This Row],[Direction]],""),VALUE(IF(LEN(_xlpm.steps)&gt;2,RIGHT(_xlpm.steps,2),_xlpm.steps)))</f>
        <v>3</v>
      </c>
      <c r="D3069">
        <f>_xlfn.LET(_xlpm.dir,Table1[[#This Row],[Direction]],
IF(_xlpm.dir="L",
    IF(F3068-Table1[[#This Row],[Steps]]&lt;0,100+(F3068-Table1[[#This Row],[Steps]]),F3068-Table1[[#This Row],[Steps]]),
))</f>
        <v>0</v>
      </c>
      <c r="E3069">
        <f>_xlfn.LET(_xlpm.dir,Table1[[#This Row],[Direction]],
IF(_xlpm.dir="R",
    IF(F3068+Table1[[#This Row],[Steps]]&gt;99,(F3068+Table1[[#This Row],[Steps]])-100,F3068+Table1[[#This Row],[Steps]]),
))</f>
        <v>0</v>
      </c>
      <c r="F3069">
        <f>IF(Table1[[#This Row],[New Pos L]]&lt;&gt;0,Table1[[#This Row],[New Pos L]],Table1[[#This Row],[New Pos R]])</f>
        <v>0</v>
      </c>
    </row>
    <row r="3070" spans="1:6" ht="16" x14ac:dyDescent="0.2">
      <c r="A3070" s="1" t="s">
        <v>353</v>
      </c>
      <c r="B3070" t="str">
        <f>LEFT(Table1[[#This Row],[Input]],1)</f>
        <v>R</v>
      </c>
      <c r="C3070">
        <f>_xlfn.LET(_xlpm.steps,SUBSTITUTE(Table1[[#This Row],[Input]],Table1[[#This Row],[Direction]],""),VALUE(IF(LEN(_xlpm.steps)&gt;2,RIGHT(_xlpm.steps,2),_xlpm.steps)))</f>
        <v>7</v>
      </c>
      <c r="D3070">
        <f>_xlfn.LET(_xlpm.dir,Table1[[#This Row],[Direction]],
IF(_xlpm.dir="L",
    IF(F3069-Table1[[#This Row],[Steps]]&lt;0,100+(F3069-Table1[[#This Row],[Steps]]),F3069-Table1[[#This Row],[Steps]]),
))</f>
        <v>0</v>
      </c>
      <c r="E3070">
        <f>_xlfn.LET(_xlpm.dir,Table1[[#This Row],[Direction]],
IF(_xlpm.dir="R",
    IF(F3069+Table1[[#This Row],[Steps]]&gt;99,(F3069+Table1[[#This Row],[Steps]])-100,F3069+Table1[[#This Row],[Steps]]),
))</f>
        <v>7</v>
      </c>
      <c r="F3070">
        <f>IF(Table1[[#This Row],[New Pos L]]&lt;&gt;0,Table1[[#This Row],[New Pos L]],Table1[[#This Row],[New Pos R]])</f>
        <v>7</v>
      </c>
    </row>
    <row r="3071" spans="1:6" ht="16" x14ac:dyDescent="0.2">
      <c r="A3071" s="1" t="s">
        <v>29</v>
      </c>
      <c r="B3071" t="str">
        <f>LEFT(Table1[[#This Row],[Input]],1)</f>
        <v>L</v>
      </c>
      <c r="C3071">
        <f>_xlfn.LET(_xlpm.steps,SUBSTITUTE(Table1[[#This Row],[Input]],Table1[[#This Row],[Direction]],""),VALUE(IF(LEN(_xlpm.steps)&gt;2,RIGHT(_xlpm.steps,2),_xlpm.steps)))</f>
        <v>33</v>
      </c>
      <c r="D3071">
        <f>_xlfn.LET(_xlpm.dir,Table1[[#This Row],[Direction]],
IF(_xlpm.dir="L",
    IF(F3070-Table1[[#This Row],[Steps]]&lt;0,100+(F3070-Table1[[#This Row],[Steps]]),F3070-Table1[[#This Row],[Steps]]),
))</f>
        <v>74</v>
      </c>
      <c r="E3071">
        <f>_xlfn.LET(_xlpm.dir,Table1[[#This Row],[Direction]],
IF(_xlpm.dir="R",
    IF(F3070+Table1[[#This Row],[Steps]]&gt;99,(F3070+Table1[[#This Row],[Steps]])-100,F3070+Table1[[#This Row],[Steps]]),
))</f>
        <v>0</v>
      </c>
      <c r="F3071">
        <f>IF(Table1[[#This Row],[New Pos L]]&lt;&gt;0,Table1[[#This Row],[New Pos L]],Table1[[#This Row],[New Pos R]])</f>
        <v>74</v>
      </c>
    </row>
    <row r="3072" spans="1:6" ht="16" x14ac:dyDescent="0.2">
      <c r="A3072" s="1" t="s">
        <v>690</v>
      </c>
      <c r="B3072" t="str">
        <f>LEFT(Table1[[#This Row],[Input]],1)</f>
        <v>L</v>
      </c>
      <c r="C3072">
        <f>_xlfn.LET(_xlpm.steps,SUBSTITUTE(Table1[[#This Row],[Input]],Table1[[#This Row],[Direction]],""),VALUE(IF(LEN(_xlpm.steps)&gt;2,RIGHT(_xlpm.steps,2),_xlpm.steps)))</f>
        <v>34</v>
      </c>
      <c r="D3072">
        <f>_xlfn.LET(_xlpm.dir,Table1[[#This Row],[Direction]],
IF(_xlpm.dir="L",
    IF(F3071-Table1[[#This Row],[Steps]]&lt;0,100+(F3071-Table1[[#This Row],[Steps]]),F3071-Table1[[#This Row],[Steps]]),
))</f>
        <v>40</v>
      </c>
      <c r="E3072">
        <f>_xlfn.LET(_xlpm.dir,Table1[[#This Row],[Direction]],
IF(_xlpm.dir="R",
    IF(F3071+Table1[[#This Row],[Steps]]&gt;99,(F3071+Table1[[#This Row],[Steps]])-100,F3071+Table1[[#This Row],[Steps]]),
))</f>
        <v>0</v>
      </c>
      <c r="F3072">
        <f>IF(Table1[[#This Row],[New Pos L]]&lt;&gt;0,Table1[[#This Row],[New Pos L]],Table1[[#This Row],[New Pos R]])</f>
        <v>40</v>
      </c>
    </row>
    <row r="3073" spans="1:6" ht="16" x14ac:dyDescent="0.2">
      <c r="A3073" s="1" t="s">
        <v>344</v>
      </c>
      <c r="B3073" t="str">
        <f>LEFT(Table1[[#This Row],[Input]],1)</f>
        <v>R</v>
      </c>
      <c r="C3073">
        <f>_xlfn.LET(_xlpm.steps,SUBSTITUTE(Table1[[#This Row],[Input]],Table1[[#This Row],[Direction]],""),VALUE(IF(LEN(_xlpm.steps)&gt;2,RIGHT(_xlpm.steps,2),_xlpm.steps)))</f>
        <v>9</v>
      </c>
      <c r="D3073">
        <f>_xlfn.LET(_xlpm.dir,Table1[[#This Row],[Direction]],
IF(_xlpm.dir="L",
    IF(F3072-Table1[[#This Row],[Steps]]&lt;0,100+(F3072-Table1[[#This Row],[Steps]]),F3072-Table1[[#This Row],[Steps]]),
))</f>
        <v>0</v>
      </c>
      <c r="E3073">
        <f>_xlfn.LET(_xlpm.dir,Table1[[#This Row],[Direction]],
IF(_xlpm.dir="R",
    IF(F3072+Table1[[#This Row],[Steps]]&gt;99,(F3072+Table1[[#This Row],[Steps]])-100,F3072+Table1[[#This Row],[Steps]]),
))</f>
        <v>49</v>
      </c>
      <c r="F3073">
        <f>IF(Table1[[#This Row],[New Pos L]]&lt;&gt;0,Table1[[#This Row],[New Pos L]],Table1[[#This Row],[New Pos R]])</f>
        <v>49</v>
      </c>
    </row>
    <row r="3074" spans="1:6" ht="16" x14ac:dyDescent="0.2">
      <c r="A3074" s="1" t="s">
        <v>4</v>
      </c>
      <c r="B3074" t="str">
        <f>LEFT(Table1[[#This Row],[Input]],1)</f>
        <v>R</v>
      </c>
      <c r="C3074">
        <f>_xlfn.LET(_xlpm.steps,SUBSTITUTE(Table1[[#This Row],[Input]],Table1[[#This Row],[Direction]],""),VALUE(IF(LEN(_xlpm.steps)&gt;2,RIGHT(_xlpm.steps,2),_xlpm.steps)))</f>
        <v>3</v>
      </c>
      <c r="D3074">
        <f>_xlfn.LET(_xlpm.dir,Table1[[#This Row],[Direction]],
IF(_xlpm.dir="L",
    IF(F3073-Table1[[#This Row],[Steps]]&lt;0,100+(F3073-Table1[[#This Row],[Steps]]),F3073-Table1[[#This Row],[Steps]]),
))</f>
        <v>0</v>
      </c>
      <c r="E3074">
        <f>_xlfn.LET(_xlpm.dir,Table1[[#This Row],[Direction]],
IF(_xlpm.dir="R",
    IF(F3073+Table1[[#This Row],[Steps]]&gt;99,(F3073+Table1[[#This Row],[Steps]])-100,F3073+Table1[[#This Row],[Steps]]),
))</f>
        <v>52</v>
      </c>
      <c r="F3074">
        <f>IF(Table1[[#This Row],[New Pos L]]&lt;&gt;0,Table1[[#This Row],[New Pos L]],Table1[[#This Row],[New Pos R]])</f>
        <v>52</v>
      </c>
    </row>
    <row r="3075" spans="1:6" ht="16" x14ac:dyDescent="0.2">
      <c r="A3075" s="1" t="s">
        <v>319</v>
      </c>
      <c r="B3075" t="str">
        <f>LEFT(Table1[[#This Row],[Input]],1)</f>
        <v>L</v>
      </c>
      <c r="C3075">
        <f>_xlfn.LET(_xlpm.steps,SUBSTITUTE(Table1[[#This Row],[Input]],Table1[[#This Row],[Direction]],""),VALUE(IF(LEN(_xlpm.steps)&gt;2,RIGHT(_xlpm.steps,2),_xlpm.steps)))</f>
        <v>79</v>
      </c>
      <c r="D3075">
        <f>_xlfn.LET(_xlpm.dir,Table1[[#This Row],[Direction]],
IF(_xlpm.dir="L",
    IF(F3074-Table1[[#This Row],[Steps]]&lt;0,100+(F3074-Table1[[#This Row],[Steps]]),F3074-Table1[[#This Row],[Steps]]),
))</f>
        <v>73</v>
      </c>
      <c r="E3075">
        <f>_xlfn.LET(_xlpm.dir,Table1[[#This Row],[Direction]],
IF(_xlpm.dir="R",
    IF(F3074+Table1[[#This Row],[Steps]]&gt;99,(F3074+Table1[[#This Row],[Steps]])-100,F3074+Table1[[#This Row],[Steps]]),
))</f>
        <v>0</v>
      </c>
      <c r="F3075">
        <f>IF(Table1[[#This Row],[New Pos L]]&lt;&gt;0,Table1[[#This Row],[New Pos L]],Table1[[#This Row],[New Pos R]])</f>
        <v>73</v>
      </c>
    </row>
    <row r="3076" spans="1:6" ht="16" x14ac:dyDescent="0.2">
      <c r="A3076" s="1" t="s">
        <v>69</v>
      </c>
      <c r="B3076" t="str">
        <f>LEFT(Table1[[#This Row],[Input]],1)</f>
        <v>R</v>
      </c>
      <c r="C3076">
        <f>_xlfn.LET(_xlpm.steps,SUBSTITUTE(Table1[[#This Row],[Input]],Table1[[#This Row],[Direction]],""),VALUE(IF(LEN(_xlpm.steps)&gt;2,RIGHT(_xlpm.steps,2),_xlpm.steps)))</f>
        <v>27</v>
      </c>
      <c r="D3076">
        <f>_xlfn.LET(_xlpm.dir,Table1[[#This Row],[Direction]],
IF(_xlpm.dir="L",
    IF(F3075-Table1[[#This Row],[Steps]]&lt;0,100+(F3075-Table1[[#This Row],[Steps]]),F3075-Table1[[#This Row],[Steps]]),
))</f>
        <v>0</v>
      </c>
      <c r="E3076">
        <f>_xlfn.LET(_xlpm.dir,Table1[[#This Row],[Direction]],
IF(_xlpm.dir="R",
    IF(F3075+Table1[[#This Row],[Steps]]&gt;99,(F3075+Table1[[#This Row],[Steps]])-100,F3075+Table1[[#This Row],[Steps]]),
))</f>
        <v>0</v>
      </c>
      <c r="F3076">
        <f>IF(Table1[[#This Row],[New Pos L]]&lt;&gt;0,Table1[[#This Row],[New Pos L]],Table1[[#This Row],[New Pos R]])</f>
        <v>0</v>
      </c>
    </row>
    <row r="3077" spans="1:6" ht="16" x14ac:dyDescent="0.2">
      <c r="A3077" s="1" t="s">
        <v>187</v>
      </c>
      <c r="B3077" t="str">
        <f>LEFT(Table1[[#This Row],[Input]],1)</f>
        <v>R</v>
      </c>
      <c r="C3077">
        <f>_xlfn.LET(_xlpm.steps,SUBSTITUTE(Table1[[#This Row],[Input]],Table1[[#This Row],[Direction]],""),VALUE(IF(LEN(_xlpm.steps)&gt;2,RIGHT(_xlpm.steps,2),_xlpm.steps)))</f>
        <v>20</v>
      </c>
      <c r="D3077">
        <f>_xlfn.LET(_xlpm.dir,Table1[[#This Row],[Direction]],
IF(_xlpm.dir="L",
    IF(F3076-Table1[[#This Row],[Steps]]&lt;0,100+(F3076-Table1[[#This Row],[Steps]]),F3076-Table1[[#This Row],[Steps]]),
))</f>
        <v>0</v>
      </c>
      <c r="E3077">
        <f>_xlfn.LET(_xlpm.dir,Table1[[#This Row],[Direction]],
IF(_xlpm.dir="R",
    IF(F3076+Table1[[#This Row],[Steps]]&gt;99,(F3076+Table1[[#This Row],[Steps]])-100,F3076+Table1[[#This Row],[Steps]]),
))</f>
        <v>20</v>
      </c>
      <c r="F3077">
        <f>IF(Table1[[#This Row],[New Pos L]]&lt;&gt;0,Table1[[#This Row],[New Pos L]],Table1[[#This Row],[New Pos R]])</f>
        <v>20</v>
      </c>
    </row>
    <row r="3078" spans="1:6" ht="16" x14ac:dyDescent="0.2">
      <c r="A3078" s="1" t="s">
        <v>52</v>
      </c>
      <c r="B3078" t="str">
        <f>LEFT(Table1[[#This Row],[Input]],1)</f>
        <v>R</v>
      </c>
      <c r="C3078">
        <f>_xlfn.LET(_xlpm.steps,SUBSTITUTE(Table1[[#This Row],[Input]],Table1[[#This Row],[Direction]],""),VALUE(IF(LEN(_xlpm.steps)&gt;2,RIGHT(_xlpm.steps,2),_xlpm.steps)))</f>
        <v>11</v>
      </c>
      <c r="D3078">
        <f>_xlfn.LET(_xlpm.dir,Table1[[#This Row],[Direction]],
IF(_xlpm.dir="L",
    IF(F3077-Table1[[#This Row],[Steps]]&lt;0,100+(F3077-Table1[[#This Row],[Steps]]),F3077-Table1[[#This Row],[Steps]]),
))</f>
        <v>0</v>
      </c>
      <c r="E3078">
        <f>_xlfn.LET(_xlpm.dir,Table1[[#This Row],[Direction]],
IF(_xlpm.dir="R",
    IF(F3077+Table1[[#This Row],[Steps]]&gt;99,(F3077+Table1[[#This Row],[Steps]])-100,F3077+Table1[[#This Row],[Steps]]),
))</f>
        <v>31</v>
      </c>
      <c r="F3078">
        <f>IF(Table1[[#This Row],[New Pos L]]&lt;&gt;0,Table1[[#This Row],[New Pos L]],Table1[[#This Row],[New Pos R]])</f>
        <v>31</v>
      </c>
    </row>
    <row r="3079" spans="1:6" ht="16" x14ac:dyDescent="0.2">
      <c r="A3079" s="1" t="s">
        <v>46</v>
      </c>
      <c r="B3079" t="str">
        <f>LEFT(Table1[[#This Row],[Input]],1)</f>
        <v>L</v>
      </c>
      <c r="C3079">
        <f>_xlfn.LET(_xlpm.steps,SUBSTITUTE(Table1[[#This Row],[Input]],Table1[[#This Row],[Direction]],""),VALUE(IF(LEN(_xlpm.steps)&gt;2,RIGHT(_xlpm.steps,2),_xlpm.steps)))</f>
        <v>97</v>
      </c>
      <c r="D3079">
        <f>_xlfn.LET(_xlpm.dir,Table1[[#This Row],[Direction]],
IF(_xlpm.dir="L",
    IF(F3078-Table1[[#This Row],[Steps]]&lt;0,100+(F3078-Table1[[#This Row],[Steps]]),F3078-Table1[[#This Row],[Steps]]),
))</f>
        <v>34</v>
      </c>
      <c r="E3079">
        <f>_xlfn.LET(_xlpm.dir,Table1[[#This Row],[Direction]],
IF(_xlpm.dir="R",
    IF(F3078+Table1[[#This Row],[Steps]]&gt;99,(F3078+Table1[[#This Row],[Steps]])-100,F3078+Table1[[#This Row],[Steps]]),
))</f>
        <v>0</v>
      </c>
      <c r="F3079">
        <f>IF(Table1[[#This Row],[New Pos L]]&lt;&gt;0,Table1[[#This Row],[New Pos L]],Table1[[#This Row],[New Pos R]])</f>
        <v>34</v>
      </c>
    </row>
    <row r="3080" spans="1:6" ht="16" x14ac:dyDescent="0.2">
      <c r="A3080" s="1" t="s">
        <v>98</v>
      </c>
      <c r="B3080" t="str">
        <f>LEFT(Table1[[#This Row],[Input]],1)</f>
        <v>L</v>
      </c>
      <c r="C3080">
        <f>_xlfn.LET(_xlpm.steps,SUBSTITUTE(Table1[[#This Row],[Input]],Table1[[#This Row],[Direction]],""),VALUE(IF(LEN(_xlpm.steps)&gt;2,RIGHT(_xlpm.steps,2),_xlpm.steps)))</f>
        <v>65</v>
      </c>
      <c r="D3080">
        <f>_xlfn.LET(_xlpm.dir,Table1[[#This Row],[Direction]],
IF(_xlpm.dir="L",
    IF(F3079-Table1[[#This Row],[Steps]]&lt;0,100+(F3079-Table1[[#This Row],[Steps]]),F3079-Table1[[#This Row],[Steps]]),
))</f>
        <v>69</v>
      </c>
      <c r="E3080">
        <f>_xlfn.LET(_xlpm.dir,Table1[[#This Row],[Direction]],
IF(_xlpm.dir="R",
    IF(F3079+Table1[[#This Row],[Steps]]&gt;99,(F3079+Table1[[#This Row],[Steps]])-100,F3079+Table1[[#This Row],[Steps]]),
))</f>
        <v>0</v>
      </c>
      <c r="F3080">
        <f>IF(Table1[[#This Row],[New Pos L]]&lt;&gt;0,Table1[[#This Row],[New Pos L]],Table1[[#This Row],[New Pos R]])</f>
        <v>69</v>
      </c>
    </row>
    <row r="3081" spans="1:6" ht="16" x14ac:dyDescent="0.2">
      <c r="A3081" s="1" t="s">
        <v>56</v>
      </c>
      <c r="B3081" t="str">
        <f>LEFT(Table1[[#This Row],[Input]],1)</f>
        <v>R</v>
      </c>
      <c r="C3081">
        <f>_xlfn.LET(_xlpm.steps,SUBSTITUTE(Table1[[#This Row],[Input]],Table1[[#This Row],[Direction]],""),VALUE(IF(LEN(_xlpm.steps)&gt;2,RIGHT(_xlpm.steps,2),_xlpm.steps)))</f>
        <v>42</v>
      </c>
      <c r="D3081">
        <f>_xlfn.LET(_xlpm.dir,Table1[[#This Row],[Direction]],
IF(_xlpm.dir="L",
    IF(F3080-Table1[[#This Row],[Steps]]&lt;0,100+(F3080-Table1[[#This Row],[Steps]]),F3080-Table1[[#This Row],[Steps]]),
))</f>
        <v>0</v>
      </c>
      <c r="E3081">
        <f>_xlfn.LET(_xlpm.dir,Table1[[#This Row],[Direction]],
IF(_xlpm.dir="R",
    IF(F3080+Table1[[#This Row],[Steps]]&gt;99,(F3080+Table1[[#This Row],[Steps]])-100,F3080+Table1[[#This Row],[Steps]]),
))</f>
        <v>11</v>
      </c>
      <c r="F3081">
        <f>IF(Table1[[#This Row],[New Pos L]]&lt;&gt;0,Table1[[#This Row],[New Pos L]],Table1[[#This Row],[New Pos R]])</f>
        <v>11</v>
      </c>
    </row>
    <row r="3082" spans="1:6" ht="16" x14ac:dyDescent="0.2">
      <c r="A3082" s="1" t="s">
        <v>187</v>
      </c>
      <c r="B3082" t="str">
        <f>LEFT(Table1[[#This Row],[Input]],1)</f>
        <v>R</v>
      </c>
      <c r="C3082">
        <f>_xlfn.LET(_xlpm.steps,SUBSTITUTE(Table1[[#This Row],[Input]],Table1[[#This Row],[Direction]],""),VALUE(IF(LEN(_xlpm.steps)&gt;2,RIGHT(_xlpm.steps,2),_xlpm.steps)))</f>
        <v>20</v>
      </c>
      <c r="D3082">
        <f>_xlfn.LET(_xlpm.dir,Table1[[#This Row],[Direction]],
IF(_xlpm.dir="L",
    IF(F3081-Table1[[#This Row],[Steps]]&lt;0,100+(F3081-Table1[[#This Row],[Steps]]),F3081-Table1[[#This Row],[Steps]]),
))</f>
        <v>0</v>
      </c>
      <c r="E3082">
        <f>_xlfn.LET(_xlpm.dir,Table1[[#This Row],[Direction]],
IF(_xlpm.dir="R",
    IF(F3081+Table1[[#This Row],[Steps]]&gt;99,(F3081+Table1[[#This Row],[Steps]])-100,F3081+Table1[[#This Row],[Steps]]),
))</f>
        <v>31</v>
      </c>
      <c r="F3082">
        <f>IF(Table1[[#This Row],[New Pos L]]&lt;&gt;0,Table1[[#This Row],[New Pos L]],Table1[[#This Row],[New Pos R]])</f>
        <v>31</v>
      </c>
    </row>
    <row r="3083" spans="1:6" ht="16" x14ac:dyDescent="0.2">
      <c r="A3083" s="1" t="s">
        <v>135</v>
      </c>
      <c r="B3083" t="str">
        <f>LEFT(Table1[[#This Row],[Input]],1)</f>
        <v>R</v>
      </c>
      <c r="C3083">
        <f>_xlfn.LET(_xlpm.steps,SUBSTITUTE(Table1[[#This Row],[Input]],Table1[[#This Row],[Direction]],""),VALUE(IF(LEN(_xlpm.steps)&gt;2,RIGHT(_xlpm.steps,2),_xlpm.steps)))</f>
        <v>69</v>
      </c>
      <c r="D3083">
        <f>_xlfn.LET(_xlpm.dir,Table1[[#This Row],[Direction]],
IF(_xlpm.dir="L",
    IF(F3082-Table1[[#This Row],[Steps]]&lt;0,100+(F3082-Table1[[#This Row],[Steps]]),F3082-Table1[[#This Row],[Steps]]),
))</f>
        <v>0</v>
      </c>
      <c r="E3083">
        <f>_xlfn.LET(_xlpm.dir,Table1[[#This Row],[Direction]],
IF(_xlpm.dir="R",
    IF(F3082+Table1[[#This Row],[Steps]]&gt;99,(F3082+Table1[[#This Row],[Steps]])-100,F3082+Table1[[#This Row],[Steps]]),
))</f>
        <v>0</v>
      </c>
      <c r="F3083">
        <f>IF(Table1[[#This Row],[New Pos L]]&lt;&gt;0,Table1[[#This Row],[New Pos L]],Table1[[#This Row],[New Pos R]])</f>
        <v>0</v>
      </c>
    </row>
    <row r="3084" spans="1:6" ht="16" x14ac:dyDescent="0.2">
      <c r="A3084" s="1" t="s">
        <v>81</v>
      </c>
      <c r="B3084" t="str">
        <f>LEFT(Table1[[#This Row],[Input]],1)</f>
        <v>R</v>
      </c>
      <c r="C3084">
        <f>_xlfn.LET(_xlpm.steps,SUBSTITUTE(Table1[[#This Row],[Input]],Table1[[#This Row],[Direction]],""),VALUE(IF(LEN(_xlpm.steps)&gt;2,RIGHT(_xlpm.steps,2),_xlpm.steps)))</f>
        <v>17</v>
      </c>
      <c r="D3084">
        <f>_xlfn.LET(_xlpm.dir,Table1[[#This Row],[Direction]],
IF(_xlpm.dir="L",
    IF(F3083-Table1[[#This Row],[Steps]]&lt;0,100+(F3083-Table1[[#This Row],[Steps]]),F3083-Table1[[#This Row],[Steps]]),
))</f>
        <v>0</v>
      </c>
      <c r="E3084">
        <f>_xlfn.LET(_xlpm.dir,Table1[[#This Row],[Direction]],
IF(_xlpm.dir="R",
    IF(F3083+Table1[[#This Row],[Steps]]&gt;99,(F3083+Table1[[#This Row],[Steps]])-100,F3083+Table1[[#This Row],[Steps]]),
))</f>
        <v>17</v>
      </c>
      <c r="F3084">
        <f>IF(Table1[[#This Row],[New Pos L]]&lt;&gt;0,Table1[[#This Row],[New Pos L]],Table1[[#This Row],[New Pos R]])</f>
        <v>17</v>
      </c>
    </row>
    <row r="3085" spans="1:6" ht="16" x14ac:dyDescent="0.2">
      <c r="A3085" s="1" t="s">
        <v>462</v>
      </c>
      <c r="B3085" t="str">
        <f>LEFT(Table1[[#This Row],[Input]],1)</f>
        <v>L</v>
      </c>
      <c r="C3085">
        <f>_xlfn.LET(_xlpm.steps,SUBSTITUTE(Table1[[#This Row],[Input]],Table1[[#This Row],[Direction]],""),VALUE(IF(LEN(_xlpm.steps)&gt;2,RIGHT(_xlpm.steps,2),_xlpm.steps)))</f>
        <v>17</v>
      </c>
      <c r="D3085">
        <f>_xlfn.LET(_xlpm.dir,Table1[[#This Row],[Direction]],
IF(_xlpm.dir="L",
    IF(F3084-Table1[[#This Row],[Steps]]&lt;0,100+(F3084-Table1[[#This Row],[Steps]]),F3084-Table1[[#This Row],[Steps]]),
))</f>
        <v>0</v>
      </c>
      <c r="E3085">
        <f>_xlfn.LET(_xlpm.dir,Table1[[#This Row],[Direction]],
IF(_xlpm.dir="R",
    IF(F3084+Table1[[#This Row],[Steps]]&gt;99,(F3084+Table1[[#This Row],[Steps]])-100,F3084+Table1[[#This Row],[Steps]]),
))</f>
        <v>0</v>
      </c>
      <c r="F3085">
        <f>IF(Table1[[#This Row],[New Pos L]]&lt;&gt;0,Table1[[#This Row],[New Pos L]],Table1[[#This Row],[New Pos R]])</f>
        <v>0</v>
      </c>
    </row>
    <row r="3086" spans="1:6" ht="16" x14ac:dyDescent="0.2">
      <c r="A3086" s="1" t="s">
        <v>267</v>
      </c>
      <c r="B3086" t="str">
        <f>LEFT(Table1[[#This Row],[Input]],1)</f>
        <v>L</v>
      </c>
      <c r="C3086">
        <f>_xlfn.LET(_xlpm.steps,SUBSTITUTE(Table1[[#This Row],[Input]],Table1[[#This Row],[Direction]],""),VALUE(IF(LEN(_xlpm.steps)&gt;2,RIGHT(_xlpm.steps,2),_xlpm.steps)))</f>
        <v>39</v>
      </c>
      <c r="D3086">
        <f>_xlfn.LET(_xlpm.dir,Table1[[#This Row],[Direction]],
IF(_xlpm.dir="L",
    IF(F3085-Table1[[#This Row],[Steps]]&lt;0,100+(F3085-Table1[[#This Row],[Steps]]),F3085-Table1[[#This Row],[Steps]]),
))</f>
        <v>61</v>
      </c>
      <c r="E3086">
        <f>_xlfn.LET(_xlpm.dir,Table1[[#This Row],[Direction]],
IF(_xlpm.dir="R",
    IF(F3085+Table1[[#This Row],[Steps]]&gt;99,(F3085+Table1[[#This Row],[Steps]])-100,F3085+Table1[[#This Row],[Steps]]),
))</f>
        <v>0</v>
      </c>
      <c r="F3086">
        <f>IF(Table1[[#This Row],[New Pos L]]&lt;&gt;0,Table1[[#This Row],[New Pos L]],Table1[[#This Row],[New Pos R]])</f>
        <v>61</v>
      </c>
    </row>
    <row r="3087" spans="1:6" ht="16" x14ac:dyDescent="0.2">
      <c r="A3087" s="1" t="s">
        <v>691</v>
      </c>
      <c r="B3087" t="str">
        <f>LEFT(Table1[[#This Row],[Input]],1)</f>
        <v>L</v>
      </c>
      <c r="C3087">
        <f>_xlfn.LET(_xlpm.steps,SUBSTITUTE(Table1[[#This Row],[Input]],Table1[[#This Row],[Direction]],""),VALUE(IF(LEN(_xlpm.steps)&gt;2,RIGHT(_xlpm.steps,2),_xlpm.steps)))</f>
        <v>87</v>
      </c>
      <c r="D3087">
        <f>_xlfn.LET(_xlpm.dir,Table1[[#This Row],[Direction]],
IF(_xlpm.dir="L",
    IF(F3086-Table1[[#This Row],[Steps]]&lt;0,100+(F3086-Table1[[#This Row],[Steps]]),F3086-Table1[[#This Row],[Steps]]),
))</f>
        <v>74</v>
      </c>
      <c r="E3087">
        <f>_xlfn.LET(_xlpm.dir,Table1[[#This Row],[Direction]],
IF(_xlpm.dir="R",
    IF(F3086+Table1[[#This Row],[Steps]]&gt;99,(F3086+Table1[[#This Row],[Steps]])-100,F3086+Table1[[#This Row],[Steps]]),
))</f>
        <v>0</v>
      </c>
      <c r="F3087">
        <f>IF(Table1[[#This Row],[New Pos L]]&lt;&gt;0,Table1[[#This Row],[New Pos L]],Table1[[#This Row],[New Pos R]])</f>
        <v>74</v>
      </c>
    </row>
    <row r="3088" spans="1:6" ht="16" x14ac:dyDescent="0.2">
      <c r="A3088" s="1" t="s">
        <v>462</v>
      </c>
      <c r="B3088" t="str">
        <f>LEFT(Table1[[#This Row],[Input]],1)</f>
        <v>L</v>
      </c>
      <c r="C3088">
        <f>_xlfn.LET(_xlpm.steps,SUBSTITUTE(Table1[[#This Row],[Input]],Table1[[#This Row],[Direction]],""),VALUE(IF(LEN(_xlpm.steps)&gt;2,RIGHT(_xlpm.steps,2),_xlpm.steps)))</f>
        <v>17</v>
      </c>
      <c r="D3088">
        <f>_xlfn.LET(_xlpm.dir,Table1[[#This Row],[Direction]],
IF(_xlpm.dir="L",
    IF(F3087-Table1[[#This Row],[Steps]]&lt;0,100+(F3087-Table1[[#This Row],[Steps]]),F3087-Table1[[#This Row],[Steps]]),
))</f>
        <v>57</v>
      </c>
      <c r="E3088">
        <f>_xlfn.LET(_xlpm.dir,Table1[[#This Row],[Direction]],
IF(_xlpm.dir="R",
    IF(F3087+Table1[[#This Row],[Steps]]&gt;99,(F3087+Table1[[#This Row],[Steps]])-100,F3087+Table1[[#This Row],[Steps]]),
))</f>
        <v>0</v>
      </c>
      <c r="F3088">
        <f>IF(Table1[[#This Row],[New Pos L]]&lt;&gt;0,Table1[[#This Row],[New Pos L]],Table1[[#This Row],[New Pos R]])</f>
        <v>57</v>
      </c>
    </row>
    <row r="3089" spans="1:6" ht="16" x14ac:dyDescent="0.2">
      <c r="A3089" s="1" t="s">
        <v>692</v>
      </c>
      <c r="B3089" t="str">
        <f>LEFT(Table1[[#This Row],[Input]],1)</f>
        <v>R</v>
      </c>
      <c r="C3089">
        <f>_xlfn.LET(_xlpm.steps,SUBSTITUTE(Table1[[#This Row],[Input]],Table1[[#This Row],[Direction]],""),VALUE(IF(LEN(_xlpm.steps)&gt;2,RIGHT(_xlpm.steps,2),_xlpm.steps)))</f>
        <v>69</v>
      </c>
      <c r="D3089">
        <f>_xlfn.LET(_xlpm.dir,Table1[[#This Row],[Direction]],
IF(_xlpm.dir="L",
    IF(F3088-Table1[[#This Row],[Steps]]&lt;0,100+(F3088-Table1[[#This Row],[Steps]]),F3088-Table1[[#This Row],[Steps]]),
))</f>
        <v>0</v>
      </c>
      <c r="E3089">
        <f>_xlfn.LET(_xlpm.dir,Table1[[#This Row],[Direction]],
IF(_xlpm.dir="R",
    IF(F3088+Table1[[#This Row],[Steps]]&gt;99,(F3088+Table1[[#This Row],[Steps]])-100,F3088+Table1[[#This Row],[Steps]]),
))</f>
        <v>26</v>
      </c>
      <c r="F3089">
        <f>IF(Table1[[#This Row],[New Pos L]]&lt;&gt;0,Table1[[#This Row],[New Pos L]],Table1[[#This Row],[New Pos R]])</f>
        <v>26</v>
      </c>
    </row>
    <row r="3090" spans="1:6" ht="16" x14ac:dyDescent="0.2">
      <c r="A3090" s="1" t="s">
        <v>417</v>
      </c>
      <c r="B3090" t="str">
        <f>LEFT(Table1[[#This Row],[Input]],1)</f>
        <v>R</v>
      </c>
      <c r="C3090">
        <f>_xlfn.LET(_xlpm.steps,SUBSTITUTE(Table1[[#This Row],[Input]],Table1[[#This Row],[Direction]],""),VALUE(IF(LEN(_xlpm.steps)&gt;2,RIGHT(_xlpm.steps,2),_xlpm.steps)))</f>
        <v>5</v>
      </c>
      <c r="D3090">
        <f>_xlfn.LET(_xlpm.dir,Table1[[#This Row],[Direction]],
IF(_xlpm.dir="L",
    IF(F3089-Table1[[#This Row],[Steps]]&lt;0,100+(F3089-Table1[[#This Row],[Steps]]),F3089-Table1[[#This Row],[Steps]]),
))</f>
        <v>0</v>
      </c>
      <c r="E3090">
        <f>_xlfn.LET(_xlpm.dir,Table1[[#This Row],[Direction]],
IF(_xlpm.dir="R",
    IF(F3089+Table1[[#This Row],[Steps]]&gt;99,(F3089+Table1[[#This Row],[Steps]])-100,F3089+Table1[[#This Row],[Steps]]),
))</f>
        <v>31</v>
      </c>
      <c r="F3090">
        <f>IF(Table1[[#This Row],[New Pos L]]&lt;&gt;0,Table1[[#This Row],[New Pos L]],Table1[[#This Row],[New Pos R]])</f>
        <v>31</v>
      </c>
    </row>
    <row r="3091" spans="1:6" ht="16" x14ac:dyDescent="0.2">
      <c r="A3091" s="1" t="s">
        <v>693</v>
      </c>
      <c r="B3091" t="str">
        <f>LEFT(Table1[[#This Row],[Input]],1)</f>
        <v>R</v>
      </c>
      <c r="C3091">
        <f>_xlfn.LET(_xlpm.steps,SUBSTITUTE(Table1[[#This Row],[Input]],Table1[[#This Row],[Direction]],""),VALUE(IF(LEN(_xlpm.steps)&gt;2,RIGHT(_xlpm.steps,2),_xlpm.steps)))</f>
        <v>16</v>
      </c>
      <c r="D3091">
        <f>_xlfn.LET(_xlpm.dir,Table1[[#This Row],[Direction]],
IF(_xlpm.dir="L",
    IF(F3090-Table1[[#This Row],[Steps]]&lt;0,100+(F3090-Table1[[#This Row],[Steps]]),F3090-Table1[[#This Row],[Steps]]),
))</f>
        <v>0</v>
      </c>
      <c r="E3091">
        <f>_xlfn.LET(_xlpm.dir,Table1[[#This Row],[Direction]],
IF(_xlpm.dir="R",
    IF(F3090+Table1[[#This Row],[Steps]]&gt;99,(F3090+Table1[[#This Row],[Steps]])-100,F3090+Table1[[#This Row],[Steps]]),
))</f>
        <v>47</v>
      </c>
      <c r="F3091">
        <f>IF(Table1[[#This Row],[New Pos L]]&lt;&gt;0,Table1[[#This Row],[New Pos L]],Table1[[#This Row],[New Pos R]])</f>
        <v>47</v>
      </c>
    </row>
    <row r="3092" spans="1:6" ht="16" x14ac:dyDescent="0.2">
      <c r="A3092" s="1" t="s">
        <v>217</v>
      </c>
      <c r="B3092" t="str">
        <f>LEFT(Table1[[#This Row],[Input]],1)</f>
        <v>R</v>
      </c>
      <c r="C3092">
        <f>_xlfn.LET(_xlpm.steps,SUBSTITUTE(Table1[[#This Row],[Input]],Table1[[#This Row],[Direction]],""),VALUE(IF(LEN(_xlpm.steps)&gt;2,RIGHT(_xlpm.steps,2),_xlpm.steps)))</f>
        <v>91</v>
      </c>
      <c r="D3092">
        <f>_xlfn.LET(_xlpm.dir,Table1[[#This Row],[Direction]],
IF(_xlpm.dir="L",
    IF(F3091-Table1[[#This Row],[Steps]]&lt;0,100+(F3091-Table1[[#This Row],[Steps]]),F3091-Table1[[#This Row],[Steps]]),
))</f>
        <v>0</v>
      </c>
      <c r="E3092">
        <f>_xlfn.LET(_xlpm.dir,Table1[[#This Row],[Direction]],
IF(_xlpm.dir="R",
    IF(F3091+Table1[[#This Row],[Steps]]&gt;99,(F3091+Table1[[#This Row],[Steps]])-100,F3091+Table1[[#This Row],[Steps]]),
))</f>
        <v>38</v>
      </c>
      <c r="F3092">
        <f>IF(Table1[[#This Row],[New Pos L]]&lt;&gt;0,Table1[[#This Row],[New Pos L]],Table1[[#This Row],[New Pos R]])</f>
        <v>38</v>
      </c>
    </row>
    <row r="3093" spans="1:6" ht="16" x14ac:dyDescent="0.2">
      <c r="A3093" s="1" t="s">
        <v>2</v>
      </c>
      <c r="B3093" t="str">
        <f>LEFT(Table1[[#This Row],[Input]],1)</f>
        <v>L</v>
      </c>
      <c r="C3093">
        <f>_xlfn.LET(_xlpm.steps,SUBSTITUTE(Table1[[#This Row],[Input]],Table1[[#This Row],[Direction]],""),VALUE(IF(LEN(_xlpm.steps)&gt;2,RIGHT(_xlpm.steps,2),_xlpm.steps)))</f>
        <v>38</v>
      </c>
      <c r="D3093">
        <f>_xlfn.LET(_xlpm.dir,Table1[[#This Row],[Direction]],
IF(_xlpm.dir="L",
    IF(F3092-Table1[[#This Row],[Steps]]&lt;0,100+(F3092-Table1[[#This Row],[Steps]]),F3092-Table1[[#This Row],[Steps]]),
))</f>
        <v>0</v>
      </c>
      <c r="E3093">
        <f>_xlfn.LET(_xlpm.dir,Table1[[#This Row],[Direction]],
IF(_xlpm.dir="R",
    IF(F3092+Table1[[#This Row],[Steps]]&gt;99,(F3092+Table1[[#This Row],[Steps]])-100,F3092+Table1[[#This Row],[Steps]]),
))</f>
        <v>0</v>
      </c>
      <c r="F3093">
        <f>IF(Table1[[#This Row],[New Pos L]]&lt;&gt;0,Table1[[#This Row],[New Pos L]],Table1[[#This Row],[New Pos R]])</f>
        <v>0</v>
      </c>
    </row>
    <row r="3094" spans="1:6" ht="16" x14ac:dyDescent="0.2">
      <c r="A3094" s="1" t="s">
        <v>201</v>
      </c>
      <c r="B3094" t="str">
        <f>LEFT(Table1[[#This Row],[Input]],1)</f>
        <v>R</v>
      </c>
      <c r="C3094">
        <f>_xlfn.LET(_xlpm.steps,SUBSTITUTE(Table1[[#This Row],[Input]],Table1[[#This Row],[Direction]],""),VALUE(IF(LEN(_xlpm.steps)&gt;2,RIGHT(_xlpm.steps,2),_xlpm.steps)))</f>
        <v>31</v>
      </c>
      <c r="D3094">
        <f>_xlfn.LET(_xlpm.dir,Table1[[#This Row],[Direction]],
IF(_xlpm.dir="L",
    IF(F3093-Table1[[#This Row],[Steps]]&lt;0,100+(F3093-Table1[[#This Row],[Steps]]),F3093-Table1[[#This Row],[Steps]]),
))</f>
        <v>0</v>
      </c>
      <c r="E3094">
        <f>_xlfn.LET(_xlpm.dir,Table1[[#This Row],[Direction]],
IF(_xlpm.dir="R",
    IF(F3093+Table1[[#This Row],[Steps]]&gt;99,(F3093+Table1[[#This Row],[Steps]])-100,F3093+Table1[[#This Row],[Steps]]),
))</f>
        <v>31</v>
      </c>
      <c r="F3094">
        <f>IF(Table1[[#This Row],[New Pos L]]&lt;&gt;0,Table1[[#This Row],[New Pos L]],Table1[[#This Row],[New Pos R]])</f>
        <v>31</v>
      </c>
    </row>
    <row r="3095" spans="1:6" ht="16" x14ac:dyDescent="0.2">
      <c r="A3095" s="1" t="s">
        <v>694</v>
      </c>
      <c r="B3095" t="str">
        <f>LEFT(Table1[[#This Row],[Input]],1)</f>
        <v>R</v>
      </c>
      <c r="C3095">
        <f>_xlfn.LET(_xlpm.steps,SUBSTITUTE(Table1[[#This Row],[Input]],Table1[[#This Row],[Direction]],""),VALUE(IF(LEN(_xlpm.steps)&gt;2,RIGHT(_xlpm.steps,2),_xlpm.steps)))</f>
        <v>63</v>
      </c>
      <c r="D3095">
        <f>_xlfn.LET(_xlpm.dir,Table1[[#This Row],[Direction]],
IF(_xlpm.dir="L",
    IF(F3094-Table1[[#This Row],[Steps]]&lt;0,100+(F3094-Table1[[#This Row],[Steps]]),F3094-Table1[[#This Row],[Steps]]),
))</f>
        <v>0</v>
      </c>
      <c r="E3095">
        <f>_xlfn.LET(_xlpm.dir,Table1[[#This Row],[Direction]],
IF(_xlpm.dir="R",
    IF(F3094+Table1[[#This Row],[Steps]]&gt;99,(F3094+Table1[[#This Row],[Steps]])-100,F3094+Table1[[#This Row],[Steps]]),
))</f>
        <v>94</v>
      </c>
      <c r="F3095">
        <f>IF(Table1[[#This Row],[New Pos L]]&lt;&gt;0,Table1[[#This Row],[New Pos L]],Table1[[#This Row],[New Pos R]])</f>
        <v>94</v>
      </c>
    </row>
    <row r="3096" spans="1:6" ht="16" x14ac:dyDescent="0.2">
      <c r="A3096" s="1" t="s">
        <v>72</v>
      </c>
      <c r="B3096" t="str">
        <f>LEFT(Table1[[#This Row],[Input]],1)</f>
        <v>R</v>
      </c>
      <c r="C3096">
        <f>_xlfn.LET(_xlpm.steps,SUBSTITUTE(Table1[[#This Row],[Input]],Table1[[#This Row],[Direction]],""),VALUE(IF(LEN(_xlpm.steps)&gt;2,RIGHT(_xlpm.steps,2),_xlpm.steps)))</f>
        <v>43</v>
      </c>
      <c r="D3096">
        <f>_xlfn.LET(_xlpm.dir,Table1[[#This Row],[Direction]],
IF(_xlpm.dir="L",
    IF(F3095-Table1[[#This Row],[Steps]]&lt;0,100+(F3095-Table1[[#This Row],[Steps]]),F3095-Table1[[#This Row],[Steps]]),
))</f>
        <v>0</v>
      </c>
      <c r="E3096">
        <f>_xlfn.LET(_xlpm.dir,Table1[[#This Row],[Direction]],
IF(_xlpm.dir="R",
    IF(F3095+Table1[[#This Row],[Steps]]&gt;99,(F3095+Table1[[#This Row],[Steps]])-100,F3095+Table1[[#This Row],[Steps]]),
))</f>
        <v>37</v>
      </c>
      <c r="F3096">
        <f>IF(Table1[[#This Row],[New Pos L]]&lt;&gt;0,Table1[[#This Row],[New Pos L]],Table1[[#This Row],[New Pos R]])</f>
        <v>37</v>
      </c>
    </row>
    <row r="3097" spans="1:6" ht="16" x14ac:dyDescent="0.2">
      <c r="A3097" s="1" t="s">
        <v>363</v>
      </c>
      <c r="B3097" t="str">
        <f>LEFT(Table1[[#This Row],[Input]],1)</f>
        <v>R</v>
      </c>
      <c r="C3097">
        <f>_xlfn.LET(_xlpm.steps,SUBSTITUTE(Table1[[#This Row],[Input]],Table1[[#This Row],[Direction]],""),VALUE(IF(LEN(_xlpm.steps)&gt;2,RIGHT(_xlpm.steps,2),_xlpm.steps)))</f>
        <v>63</v>
      </c>
      <c r="D3097">
        <f>_xlfn.LET(_xlpm.dir,Table1[[#This Row],[Direction]],
IF(_xlpm.dir="L",
    IF(F3096-Table1[[#This Row],[Steps]]&lt;0,100+(F3096-Table1[[#This Row],[Steps]]),F3096-Table1[[#This Row],[Steps]]),
))</f>
        <v>0</v>
      </c>
      <c r="E3097">
        <f>_xlfn.LET(_xlpm.dir,Table1[[#This Row],[Direction]],
IF(_xlpm.dir="R",
    IF(F3096+Table1[[#This Row],[Steps]]&gt;99,(F3096+Table1[[#This Row],[Steps]])-100,F3096+Table1[[#This Row],[Steps]]),
))</f>
        <v>0</v>
      </c>
      <c r="F3097">
        <f>IF(Table1[[#This Row],[New Pos L]]&lt;&gt;0,Table1[[#This Row],[New Pos L]],Table1[[#This Row],[New Pos R]])</f>
        <v>0</v>
      </c>
    </row>
    <row r="3098" spans="1:6" ht="16" x14ac:dyDescent="0.2">
      <c r="A3098" s="1" t="s">
        <v>695</v>
      </c>
      <c r="B3098" t="str">
        <f>LEFT(Table1[[#This Row],[Input]],1)</f>
        <v>R</v>
      </c>
      <c r="C3098">
        <f>_xlfn.LET(_xlpm.steps,SUBSTITUTE(Table1[[#This Row],[Input]],Table1[[#This Row],[Direction]],""),VALUE(IF(LEN(_xlpm.steps)&gt;2,RIGHT(_xlpm.steps,2),_xlpm.steps)))</f>
        <v>32</v>
      </c>
      <c r="D3098">
        <f>_xlfn.LET(_xlpm.dir,Table1[[#This Row],[Direction]],
IF(_xlpm.dir="L",
    IF(F3097-Table1[[#This Row],[Steps]]&lt;0,100+(F3097-Table1[[#This Row],[Steps]]),F3097-Table1[[#This Row],[Steps]]),
))</f>
        <v>0</v>
      </c>
      <c r="E3098">
        <f>_xlfn.LET(_xlpm.dir,Table1[[#This Row],[Direction]],
IF(_xlpm.dir="R",
    IF(F3097+Table1[[#This Row],[Steps]]&gt;99,(F3097+Table1[[#This Row],[Steps]])-100,F3097+Table1[[#This Row],[Steps]]),
))</f>
        <v>32</v>
      </c>
      <c r="F3098">
        <f>IF(Table1[[#This Row],[New Pos L]]&lt;&gt;0,Table1[[#This Row],[New Pos L]],Table1[[#This Row],[New Pos R]])</f>
        <v>32</v>
      </c>
    </row>
    <row r="3099" spans="1:6" ht="16" x14ac:dyDescent="0.2">
      <c r="A3099" s="1" t="s">
        <v>405</v>
      </c>
      <c r="B3099" t="str">
        <f>LEFT(Table1[[#This Row],[Input]],1)</f>
        <v>L</v>
      </c>
      <c r="C3099">
        <f>_xlfn.LET(_xlpm.steps,SUBSTITUTE(Table1[[#This Row],[Input]],Table1[[#This Row],[Direction]],""),VALUE(IF(LEN(_xlpm.steps)&gt;2,RIGHT(_xlpm.steps,2),_xlpm.steps)))</f>
        <v>32</v>
      </c>
      <c r="D3099">
        <f>_xlfn.LET(_xlpm.dir,Table1[[#This Row],[Direction]],
IF(_xlpm.dir="L",
    IF(F3098-Table1[[#This Row],[Steps]]&lt;0,100+(F3098-Table1[[#This Row],[Steps]]),F3098-Table1[[#This Row],[Steps]]),
))</f>
        <v>0</v>
      </c>
      <c r="E3099">
        <f>_xlfn.LET(_xlpm.dir,Table1[[#This Row],[Direction]],
IF(_xlpm.dir="R",
    IF(F3098+Table1[[#This Row],[Steps]]&gt;99,(F3098+Table1[[#This Row],[Steps]])-100,F3098+Table1[[#This Row],[Steps]]),
))</f>
        <v>0</v>
      </c>
      <c r="F3099">
        <f>IF(Table1[[#This Row],[New Pos L]]&lt;&gt;0,Table1[[#This Row],[New Pos L]],Table1[[#This Row],[New Pos R]])</f>
        <v>0</v>
      </c>
    </row>
    <row r="3100" spans="1:6" ht="16" x14ac:dyDescent="0.2">
      <c r="A3100" s="1" t="s">
        <v>696</v>
      </c>
      <c r="B3100" t="str">
        <f>LEFT(Table1[[#This Row],[Input]],1)</f>
        <v>L</v>
      </c>
      <c r="C3100">
        <f>_xlfn.LET(_xlpm.steps,SUBSTITUTE(Table1[[#This Row],[Input]],Table1[[#This Row],[Direction]],""),VALUE(IF(LEN(_xlpm.steps)&gt;2,RIGHT(_xlpm.steps,2),_xlpm.steps)))</f>
        <v>66</v>
      </c>
      <c r="D3100">
        <f>_xlfn.LET(_xlpm.dir,Table1[[#This Row],[Direction]],
IF(_xlpm.dir="L",
    IF(F3099-Table1[[#This Row],[Steps]]&lt;0,100+(F3099-Table1[[#This Row],[Steps]]),F3099-Table1[[#This Row],[Steps]]),
))</f>
        <v>34</v>
      </c>
      <c r="E3100">
        <f>_xlfn.LET(_xlpm.dir,Table1[[#This Row],[Direction]],
IF(_xlpm.dir="R",
    IF(F3099+Table1[[#This Row],[Steps]]&gt;99,(F3099+Table1[[#This Row],[Steps]])-100,F3099+Table1[[#This Row],[Steps]]),
))</f>
        <v>0</v>
      </c>
      <c r="F3100">
        <f>IF(Table1[[#This Row],[New Pos L]]&lt;&gt;0,Table1[[#This Row],[New Pos L]],Table1[[#This Row],[New Pos R]])</f>
        <v>34</v>
      </c>
    </row>
    <row r="3101" spans="1:6" ht="16" x14ac:dyDescent="0.2">
      <c r="A3101" s="1" t="s">
        <v>11</v>
      </c>
      <c r="B3101" t="str">
        <f>LEFT(Table1[[#This Row],[Input]],1)</f>
        <v>L</v>
      </c>
      <c r="C3101">
        <f>_xlfn.LET(_xlpm.steps,SUBSTITUTE(Table1[[#This Row],[Input]],Table1[[#This Row],[Direction]],""),VALUE(IF(LEN(_xlpm.steps)&gt;2,RIGHT(_xlpm.steps,2),_xlpm.steps)))</f>
        <v>34</v>
      </c>
      <c r="D3101">
        <f>_xlfn.LET(_xlpm.dir,Table1[[#This Row],[Direction]],
IF(_xlpm.dir="L",
    IF(F3100-Table1[[#This Row],[Steps]]&lt;0,100+(F3100-Table1[[#This Row],[Steps]]),F3100-Table1[[#This Row],[Steps]]),
))</f>
        <v>0</v>
      </c>
      <c r="E3101">
        <f>_xlfn.LET(_xlpm.dir,Table1[[#This Row],[Direction]],
IF(_xlpm.dir="R",
    IF(F3100+Table1[[#This Row],[Steps]]&gt;99,(F3100+Table1[[#This Row],[Steps]])-100,F3100+Table1[[#This Row],[Steps]]),
))</f>
        <v>0</v>
      </c>
      <c r="F3101">
        <f>IF(Table1[[#This Row],[New Pos L]]&lt;&gt;0,Table1[[#This Row],[New Pos L]],Table1[[#This Row],[New Pos R]])</f>
        <v>0</v>
      </c>
    </row>
    <row r="3102" spans="1:6" ht="16" x14ac:dyDescent="0.2">
      <c r="A3102" s="1" t="s">
        <v>697</v>
      </c>
      <c r="B3102" t="str">
        <f>LEFT(Table1[[#This Row],[Input]],1)</f>
        <v>R</v>
      </c>
      <c r="C3102">
        <f>_xlfn.LET(_xlpm.steps,SUBSTITUTE(Table1[[#This Row],[Input]],Table1[[#This Row],[Direction]],""),VALUE(IF(LEN(_xlpm.steps)&gt;2,RIGHT(_xlpm.steps,2),_xlpm.steps)))</f>
        <v>12</v>
      </c>
      <c r="D3102">
        <f>_xlfn.LET(_xlpm.dir,Table1[[#This Row],[Direction]],
IF(_xlpm.dir="L",
    IF(F3101-Table1[[#This Row],[Steps]]&lt;0,100+(F3101-Table1[[#This Row],[Steps]]),F3101-Table1[[#This Row],[Steps]]),
))</f>
        <v>0</v>
      </c>
      <c r="E3102">
        <f>_xlfn.LET(_xlpm.dir,Table1[[#This Row],[Direction]],
IF(_xlpm.dir="R",
    IF(F3101+Table1[[#This Row],[Steps]]&gt;99,(F3101+Table1[[#This Row],[Steps]])-100,F3101+Table1[[#This Row],[Steps]]),
))</f>
        <v>12</v>
      </c>
      <c r="F3102">
        <f>IF(Table1[[#This Row],[New Pos L]]&lt;&gt;0,Table1[[#This Row],[New Pos L]],Table1[[#This Row],[New Pos R]])</f>
        <v>12</v>
      </c>
    </row>
    <row r="3103" spans="1:6" ht="16" x14ac:dyDescent="0.2">
      <c r="A3103" s="1" t="s">
        <v>81</v>
      </c>
      <c r="B3103" t="str">
        <f>LEFT(Table1[[#This Row],[Input]],1)</f>
        <v>R</v>
      </c>
      <c r="C3103">
        <f>_xlfn.LET(_xlpm.steps,SUBSTITUTE(Table1[[#This Row],[Input]],Table1[[#This Row],[Direction]],""),VALUE(IF(LEN(_xlpm.steps)&gt;2,RIGHT(_xlpm.steps,2),_xlpm.steps)))</f>
        <v>17</v>
      </c>
      <c r="D3103">
        <f>_xlfn.LET(_xlpm.dir,Table1[[#This Row],[Direction]],
IF(_xlpm.dir="L",
    IF(F3102-Table1[[#This Row],[Steps]]&lt;0,100+(F3102-Table1[[#This Row],[Steps]]),F3102-Table1[[#This Row],[Steps]]),
))</f>
        <v>0</v>
      </c>
      <c r="E3103">
        <f>_xlfn.LET(_xlpm.dir,Table1[[#This Row],[Direction]],
IF(_xlpm.dir="R",
    IF(F3102+Table1[[#This Row],[Steps]]&gt;99,(F3102+Table1[[#This Row],[Steps]])-100,F3102+Table1[[#This Row],[Steps]]),
))</f>
        <v>29</v>
      </c>
      <c r="F3103">
        <f>IF(Table1[[#This Row],[New Pos L]]&lt;&gt;0,Table1[[#This Row],[New Pos L]],Table1[[#This Row],[New Pos R]])</f>
        <v>29</v>
      </c>
    </row>
    <row r="3104" spans="1:6" ht="16" x14ac:dyDescent="0.2">
      <c r="A3104" s="1" t="s">
        <v>206</v>
      </c>
      <c r="B3104" t="str">
        <f>LEFT(Table1[[#This Row],[Input]],1)</f>
        <v>R</v>
      </c>
      <c r="C3104">
        <f>_xlfn.LET(_xlpm.steps,SUBSTITUTE(Table1[[#This Row],[Input]],Table1[[#This Row],[Direction]],""),VALUE(IF(LEN(_xlpm.steps)&gt;2,RIGHT(_xlpm.steps,2),_xlpm.steps)))</f>
        <v>62</v>
      </c>
      <c r="D3104">
        <f>_xlfn.LET(_xlpm.dir,Table1[[#This Row],[Direction]],
IF(_xlpm.dir="L",
    IF(F3103-Table1[[#This Row],[Steps]]&lt;0,100+(F3103-Table1[[#This Row],[Steps]]),F3103-Table1[[#This Row],[Steps]]),
))</f>
        <v>0</v>
      </c>
      <c r="E3104">
        <f>_xlfn.LET(_xlpm.dir,Table1[[#This Row],[Direction]],
IF(_xlpm.dir="R",
    IF(F3103+Table1[[#This Row],[Steps]]&gt;99,(F3103+Table1[[#This Row],[Steps]])-100,F3103+Table1[[#This Row],[Steps]]),
))</f>
        <v>91</v>
      </c>
      <c r="F3104">
        <f>IF(Table1[[#This Row],[New Pos L]]&lt;&gt;0,Table1[[#This Row],[New Pos L]],Table1[[#This Row],[New Pos R]])</f>
        <v>91</v>
      </c>
    </row>
    <row r="3105" spans="1:6" ht="16" x14ac:dyDescent="0.2">
      <c r="A3105" s="1" t="s">
        <v>114</v>
      </c>
      <c r="B3105" t="str">
        <f>LEFT(Table1[[#This Row],[Input]],1)</f>
        <v>R</v>
      </c>
      <c r="C3105">
        <f>_xlfn.LET(_xlpm.steps,SUBSTITUTE(Table1[[#This Row],[Input]],Table1[[#This Row],[Direction]],""),VALUE(IF(LEN(_xlpm.steps)&gt;2,RIGHT(_xlpm.steps,2),_xlpm.steps)))</f>
        <v>70</v>
      </c>
      <c r="D3105">
        <f>_xlfn.LET(_xlpm.dir,Table1[[#This Row],[Direction]],
IF(_xlpm.dir="L",
    IF(F3104-Table1[[#This Row],[Steps]]&lt;0,100+(F3104-Table1[[#This Row],[Steps]]),F3104-Table1[[#This Row],[Steps]]),
))</f>
        <v>0</v>
      </c>
      <c r="E3105">
        <f>_xlfn.LET(_xlpm.dir,Table1[[#This Row],[Direction]],
IF(_xlpm.dir="R",
    IF(F3104+Table1[[#This Row],[Steps]]&gt;99,(F3104+Table1[[#This Row],[Steps]])-100,F3104+Table1[[#This Row],[Steps]]),
))</f>
        <v>61</v>
      </c>
      <c r="F3105">
        <f>IF(Table1[[#This Row],[New Pos L]]&lt;&gt;0,Table1[[#This Row],[New Pos L]],Table1[[#This Row],[New Pos R]])</f>
        <v>61</v>
      </c>
    </row>
    <row r="3106" spans="1:6" ht="16" x14ac:dyDescent="0.2">
      <c r="A3106" s="1" t="s">
        <v>80</v>
      </c>
      <c r="B3106" t="str">
        <f>LEFT(Table1[[#This Row],[Input]],1)</f>
        <v>L</v>
      </c>
      <c r="C3106">
        <f>_xlfn.LET(_xlpm.steps,SUBSTITUTE(Table1[[#This Row],[Input]],Table1[[#This Row],[Direction]],""),VALUE(IF(LEN(_xlpm.steps)&gt;2,RIGHT(_xlpm.steps,2),_xlpm.steps)))</f>
        <v>48</v>
      </c>
      <c r="D3106">
        <f>_xlfn.LET(_xlpm.dir,Table1[[#This Row],[Direction]],
IF(_xlpm.dir="L",
    IF(F3105-Table1[[#This Row],[Steps]]&lt;0,100+(F3105-Table1[[#This Row],[Steps]]),F3105-Table1[[#This Row],[Steps]]),
))</f>
        <v>13</v>
      </c>
      <c r="E3106">
        <f>_xlfn.LET(_xlpm.dir,Table1[[#This Row],[Direction]],
IF(_xlpm.dir="R",
    IF(F3105+Table1[[#This Row],[Steps]]&gt;99,(F3105+Table1[[#This Row],[Steps]])-100,F3105+Table1[[#This Row],[Steps]]),
))</f>
        <v>0</v>
      </c>
      <c r="F3106">
        <f>IF(Table1[[#This Row],[New Pos L]]&lt;&gt;0,Table1[[#This Row],[New Pos L]],Table1[[#This Row],[New Pos R]])</f>
        <v>13</v>
      </c>
    </row>
    <row r="3107" spans="1:6" ht="16" x14ac:dyDescent="0.2">
      <c r="A3107" s="1" t="s">
        <v>171</v>
      </c>
      <c r="B3107" t="str">
        <f>LEFT(Table1[[#This Row],[Input]],1)</f>
        <v>L</v>
      </c>
      <c r="C3107">
        <f>_xlfn.LET(_xlpm.steps,SUBSTITUTE(Table1[[#This Row],[Input]],Table1[[#This Row],[Direction]],""),VALUE(IF(LEN(_xlpm.steps)&gt;2,RIGHT(_xlpm.steps,2),_xlpm.steps)))</f>
        <v>73</v>
      </c>
      <c r="D3107">
        <f>_xlfn.LET(_xlpm.dir,Table1[[#This Row],[Direction]],
IF(_xlpm.dir="L",
    IF(F3106-Table1[[#This Row],[Steps]]&lt;0,100+(F3106-Table1[[#This Row],[Steps]]),F3106-Table1[[#This Row],[Steps]]),
))</f>
        <v>40</v>
      </c>
      <c r="E3107">
        <f>_xlfn.LET(_xlpm.dir,Table1[[#This Row],[Direction]],
IF(_xlpm.dir="R",
    IF(F3106+Table1[[#This Row],[Steps]]&gt;99,(F3106+Table1[[#This Row],[Steps]])-100,F3106+Table1[[#This Row],[Steps]]),
))</f>
        <v>0</v>
      </c>
      <c r="F3107">
        <f>IF(Table1[[#This Row],[New Pos L]]&lt;&gt;0,Table1[[#This Row],[New Pos L]],Table1[[#This Row],[New Pos R]])</f>
        <v>40</v>
      </c>
    </row>
    <row r="3108" spans="1:6" ht="16" x14ac:dyDescent="0.2">
      <c r="A3108" s="1" t="s">
        <v>1</v>
      </c>
      <c r="B3108" t="str">
        <f>LEFT(Table1[[#This Row],[Input]],1)</f>
        <v>R</v>
      </c>
      <c r="C3108">
        <f>_xlfn.LET(_xlpm.steps,SUBSTITUTE(Table1[[#This Row],[Input]],Table1[[#This Row],[Direction]],""),VALUE(IF(LEN(_xlpm.steps)&gt;2,RIGHT(_xlpm.steps,2),_xlpm.steps)))</f>
        <v>26</v>
      </c>
      <c r="D3108">
        <f>_xlfn.LET(_xlpm.dir,Table1[[#This Row],[Direction]],
IF(_xlpm.dir="L",
    IF(F3107-Table1[[#This Row],[Steps]]&lt;0,100+(F3107-Table1[[#This Row],[Steps]]),F3107-Table1[[#This Row],[Steps]]),
))</f>
        <v>0</v>
      </c>
      <c r="E3108">
        <f>_xlfn.LET(_xlpm.dir,Table1[[#This Row],[Direction]],
IF(_xlpm.dir="R",
    IF(F3107+Table1[[#This Row],[Steps]]&gt;99,(F3107+Table1[[#This Row],[Steps]])-100,F3107+Table1[[#This Row],[Steps]]),
))</f>
        <v>66</v>
      </c>
      <c r="F3108">
        <f>IF(Table1[[#This Row],[New Pos L]]&lt;&gt;0,Table1[[#This Row],[New Pos L]],Table1[[#This Row],[New Pos R]])</f>
        <v>66</v>
      </c>
    </row>
    <row r="3109" spans="1:6" ht="16" x14ac:dyDescent="0.2">
      <c r="A3109" s="1" t="s">
        <v>304</v>
      </c>
      <c r="B3109" t="str">
        <f>LEFT(Table1[[#This Row],[Input]],1)</f>
        <v>L</v>
      </c>
      <c r="C3109">
        <f>_xlfn.LET(_xlpm.steps,SUBSTITUTE(Table1[[#This Row],[Input]],Table1[[#This Row],[Direction]],""),VALUE(IF(LEN(_xlpm.steps)&gt;2,RIGHT(_xlpm.steps,2),_xlpm.steps)))</f>
        <v>26</v>
      </c>
      <c r="D3109">
        <f>_xlfn.LET(_xlpm.dir,Table1[[#This Row],[Direction]],
IF(_xlpm.dir="L",
    IF(F3108-Table1[[#This Row],[Steps]]&lt;0,100+(F3108-Table1[[#This Row],[Steps]]),F3108-Table1[[#This Row],[Steps]]),
))</f>
        <v>40</v>
      </c>
      <c r="E3109">
        <f>_xlfn.LET(_xlpm.dir,Table1[[#This Row],[Direction]],
IF(_xlpm.dir="R",
    IF(F3108+Table1[[#This Row],[Steps]]&gt;99,(F3108+Table1[[#This Row],[Steps]])-100,F3108+Table1[[#This Row],[Steps]]),
))</f>
        <v>0</v>
      </c>
      <c r="F3109">
        <f>IF(Table1[[#This Row],[New Pos L]]&lt;&gt;0,Table1[[#This Row],[New Pos L]],Table1[[#This Row],[New Pos R]])</f>
        <v>40</v>
      </c>
    </row>
    <row r="3110" spans="1:6" ht="16" x14ac:dyDescent="0.2">
      <c r="A3110" s="1" t="s">
        <v>241</v>
      </c>
      <c r="B3110" t="str">
        <f>LEFT(Table1[[#This Row],[Input]],1)</f>
        <v>R</v>
      </c>
      <c r="C3110">
        <f>_xlfn.LET(_xlpm.steps,SUBSTITUTE(Table1[[#This Row],[Input]],Table1[[#This Row],[Direction]],""),VALUE(IF(LEN(_xlpm.steps)&gt;2,RIGHT(_xlpm.steps,2),_xlpm.steps)))</f>
        <v>60</v>
      </c>
      <c r="D3110">
        <f>_xlfn.LET(_xlpm.dir,Table1[[#This Row],[Direction]],
IF(_xlpm.dir="L",
    IF(F3109-Table1[[#This Row],[Steps]]&lt;0,100+(F3109-Table1[[#This Row],[Steps]]),F3109-Table1[[#This Row],[Steps]]),
))</f>
        <v>0</v>
      </c>
      <c r="E3110">
        <f>_xlfn.LET(_xlpm.dir,Table1[[#This Row],[Direction]],
IF(_xlpm.dir="R",
    IF(F3109+Table1[[#This Row],[Steps]]&gt;99,(F3109+Table1[[#This Row],[Steps]])-100,F3109+Table1[[#This Row],[Steps]]),
))</f>
        <v>0</v>
      </c>
      <c r="F3110">
        <f>IF(Table1[[#This Row],[New Pos L]]&lt;&gt;0,Table1[[#This Row],[New Pos L]],Table1[[#This Row],[New Pos R]])</f>
        <v>0</v>
      </c>
    </row>
    <row r="3111" spans="1:6" ht="16" x14ac:dyDescent="0.2">
      <c r="A3111" s="1" t="s">
        <v>462</v>
      </c>
      <c r="B3111" t="str">
        <f>LEFT(Table1[[#This Row],[Input]],1)</f>
        <v>L</v>
      </c>
      <c r="C3111">
        <f>_xlfn.LET(_xlpm.steps,SUBSTITUTE(Table1[[#This Row],[Input]],Table1[[#This Row],[Direction]],""),VALUE(IF(LEN(_xlpm.steps)&gt;2,RIGHT(_xlpm.steps,2),_xlpm.steps)))</f>
        <v>17</v>
      </c>
      <c r="D3111">
        <f>_xlfn.LET(_xlpm.dir,Table1[[#This Row],[Direction]],
IF(_xlpm.dir="L",
    IF(F3110-Table1[[#This Row],[Steps]]&lt;0,100+(F3110-Table1[[#This Row],[Steps]]),F3110-Table1[[#This Row],[Steps]]),
))</f>
        <v>83</v>
      </c>
      <c r="E3111">
        <f>_xlfn.LET(_xlpm.dir,Table1[[#This Row],[Direction]],
IF(_xlpm.dir="R",
    IF(F3110+Table1[[#This Row],[Steps]]&gt;99,(F3110+Table1[[#This Row],[Steps]])-100,F3110+Table1[[#This Row],[Steps]]),
))</f>
        <v>0</v>
      </c>
      <c r="F3111">
        <f>IF(Table1[[#This Row],[New Pos L]]&lt;&gt;0,Table1[[#This Row],[New Pos L]],Table1[[#This Row],[New Pos R]])</f>
        <v>83</v>
      </c>
    </row>
    <row r="3112" spans="1:6" ht="16" x14ac:dyDescent="0.2">
      <c r="A3112" s="1" t="s">
        <v>698</v>
      </c>
      <c r="B3112" t="str">
        <f>LEFT(Table1[[#This Row],[Input]],1)</f>
        <v>R</v>
      </c>
      <c r="C3112">
        <f>_xlfn.LET(_xlpm.steps,SUBSTITUTE(Table1[[#This Row],[Input]],Table1[[#This Row],[Direction]],""),VALUE(IF(LEN(_xlpm.steps)&gt;2,RIGHT(_xlpm.steps,2),_xlpm.steps)))</f>
        <v>49</v>
      </c>
      <c r="D3112">
        <f>_xlfn.LET(_xlpm.dir,Table1[[#This Row],[Direction]],
IF(_xlpm.dir="L",
    IF(F3111-Table1[[#This Row],[Steps]]&lt;0,100+(F3111-Table1[[#This Row],[Steps]]),F3111-Table1[[#This Row],[Steps]]),
))</f>
        <v>0</v>
      </c>
      <c r="E3112">
        <f>_xlfn.LET(_xlpm.dir,Table1[[#This Row],[Direction]],
IF(_xlpm.dir="R",
    IF(F3111+Table1[[#This Row],[Steps]]&gt;99,(F3111+Table1[[#This Row],[Steps]])-100,F3111+Table1[[#This Row],[Steps]]),
))</f>
        <v>32</v>
      </c>
      <c r="F3112">
        <f>IF(Table1[[#This Row],[New Pos L]]&lt;&gt;0,Table1[[#This Row],[New Pos L]],Table1[[#This Row],[New Pos R]])</f>
        <v>32</v>
      </c>
    </row>
    <row r="3113" spans="1:6" ht="16" x14ac:dyDescent="0.2">
      <c r="A3113" s="1" t="s">
        <v>106</v>
      </c>
      <c r="B3113" t="str">
        <f>LEFT(Table1[[#This Row],[Input]],1)</f>
        <v>R</v>
      </c>
      <c r="C3113">
        <f>_xlfn.LET(_xlpm.steps,SUBSTITUTE(Table1[[#This Row],[Input]],Table1[[#This Row],[Direction]],""),VALUE(IF(LEN(_xlpm.steps)&gt;2,RIGHT(_xlpm.steps,2),_xlpm.steps)))</f>
        <v>41</v>
      </c>
      <c r="D3113">
        <f>_xlfn.LET(_xlpm.dir,Table1[[#This Row],[Direction]],
IF(_xlpm.dir="L",
    IF(F3112-Table1[[#This Row],[Steps]]&lt;0,100+(F3112-Table1[[#This Row],[Steps]]),F3112-Table1[[#This Row],[Steps]]),
))</f>
        <v>0</v>
      </c>
      <c r="E3113">
        <f>_xlfn.LET(_xlpm.dir,Table1[[#This Row],[Direction]],
IF(_xlpm.dir="R",
    IF(F3112+Table1[[#This Row],[Steps]]&gt;99,(F3112+Table1[[#This Row],[Steps]])-100,F3112+Table1[[#This Row],[Steps]]),
))</f>
        <v>73</v>
      </c>
      <c r="F3113">
        <f>IF(Table1[[#This Row],[New Pos L]]&lt;&gt;0,Table1[[#This Row],[New Pos L]],Table1[[#This Row],[New Pos R]])</f>
        <v>73</v>
      </c>
    </row>
    <row r="3114" spans="1:6" ht="16" x14ac:dyDescent="0.2">
      <c r="A3114" s="1" t="s">
        <v>699</v>
      </c>
      <c r="B3114" t="str">
        <f>LEFT(Table1[[#This Row],[Input]],1)</f>
        <v>R</v>
      </c>
      <c r="C3114">
        <f>_xlfn.LET(_xlpm.steps,SUBSTITUTE(Table1[[#This Row],[Input]],Table1[[#This Row],[Direction]],""),VALUE(IF(LEN(_xlpm.steps)&gt;2,RIGHT(_xlpm.steps,2),_xlpm.steps)))</f>
        <v>75</v>
      </c>
      <c r="D3114">
        <f>_xlfn.LET(_xlpm.dir,Table1[[#This Row],[Direction]],
IF(_xlpm.dir="L",
    IF(F3113-Table1[[#This Row],[Steps]]&lt;0,100+(F3113-Table1[[#This Row],[Steps]]),F3113-Table1[[#This Row],[Steps]]),
))</f>
        <v>0</v>
      </c>
      <c r="E3114">
        <f>_xlfn.LET(_xlpm.dir,Table1[[#This Row],[Direction]],
IF(_xlpm.dir="R",
    IF(F3113+Table1[[#This Row],[Steps]]&gt;99,(F3113+Table1[[#This Row],[Steps]])-100,F3113+Table1[[#This Row],[Steps]]),
))</f>
        <v>48</v>
      </c>
      <c r="F3114">
        <f>IF(Table1[[#This Row],[New Pos L]]&lt;&gt;0,Table1[[#This Row],[New Pos L]],Table1[[#This Row],[New Pos R]])</f>
        <v>48</v>
      </c>
    </row>
    <row r="3115" spans="1:6" ht="16" x14ac:dyDescent="0.2">
      <c r="A3115" s="1" t="s">
        <v>40</v>
      </c>
      <c r="B3115" t="str">
        <f>LEFT(Table1[[#This Row],[Input]],1)</f>
        <v>R</v>
      </c>
      <c r="C3115">
        <f>_xlfn.LET(_xlpm.steps,SUBSTITUTE(Table1[[#This Row],[Input]],Table1[[#This Row],[Direction]],""),VALUE(IF(LEN(_xlpm.steps)&gt;2,RIGHT(_xlpm.steps,2),_xlpm.steps)))</f>
        <v>52</v>
      </c>
      <c r="D3115">
        <f>_xlfn.LET(_xlpm.dir,Table1[[#This Row],[Direction]],
IF(_xlpm.dir="L",
    IF(F3114-Table1[[#This Row],[Steps]]&lt;0,100+(F3114-Table1[[#This Row],[Steps]]),F3114-Table1[[#This Row],[Steps]]),
))</f>
        <v>0</v>
      </c>
      <c r="E3115">
        <f>_xlfn.LET(_xlpm.dir,Table1[[#This Row],[Direction]],
IF(_xlpm.dir="R",
    IF(F3114+Table1[[#This Row],[Steps]]&gt;99,(F3114+Table1[[#This Row],[Steps]])-100,F3114+Table1[[#This Row],[Steps]]),
))</f>
        <v>0</v>
      </c>
      <c r="F3115">
        <f>IF(Table1[[#This Row],[New Pos L]]&lt;&gt;0,Table1[[#This Row],[New Pos L]],Table1[[#This Row],[New Pos R]])</f>
        <v>0</v>
      </c>
    </row>
    <row r="3116" spans="1:6" ht="16" x14ac:dyDescent="0.2">
      <c r="A3116" s="1" t="s">
        <v>201</v>
      </c>
      <c r="B3116" t="str">
        <f>LEFT(Table1[[#This Row],[Input]],1)</f>
        <v>R</v>
      </c>
      <c r="C3116">
        <f>_xlfn.LET(_xlpm.steps,SUBSTITUTE(Table1[[#This Row],[Input]],Table1[[#This Row],[Direction]],""),VALUE(IF(LEN(_xlpm.steps)&gt;2,RIGHT(_xlpm.steps,2),_xlpm.steps)))</f>
        <v>31</v>
      </c>
      <c r="D3116">
        <f>_xlfn.LET(_xlpm.dir,Table1[[#This Row],[Direction]],
IF(_xlpm.dir="L",
    IF(F3115-Table1[[#This Row],[Steps]]&lt;0,100+(F3115-Table1[[#This Row],[Steps]]),F3115-Table1[[#This Row],[Steps]]),
))</f>
        <v>0</v>
      </c>
      <c r="E3116">
        <f>_xlfn.LET(_xlpm.dir,Table1[[#This Row],[Direction]],
IF(_xlpm.dir="R",
    IF(F3115+Table1[[#This Row],[Steps]]&gt;99,(F3115+Table1[[#This Row],[Steps]])-100,F3115+Table1[[#This Row],[Steps]]),
))</f>
        <v>31</v>
      </c>
      <c r="F3116">
        <f>IF(Table1[[#This Row],[New Pos L]]&lt;&gt;0,Table1[[#This Row],[New Pos L]],Table1[[#This Row],[New Pos R]])</f>
        <v>31</v>
      </c>
    </row>
    <row r="3117" spans="1:6" ht="16" x14ac:dyDescent="0.2">
      <c r="A3117" s="1" t="s">
        <v>141</v>
      </c>
      <c r="B3117" t="str">
        <f>LEFT(Table1[[#This Row],[Input]],1)</f>
        <v>L</v>
      </c>
      <c r="C3117">
        <f>_xlfn.LET(_xlpm.steps,SUBSTITUTE(Table1[[#This Row],[Input]],Table1[[#This Row],[Direction]],""),VALUE(IF(LEN(_xlpm.steps)&gt;2,RIGHT(_xlpm.steps,2),_xlpm.steps)))</f>
        <v>90</v>
      </c>
      <c r="D3117">
        <f>_xlfn.LET(_xlpm.dir,Table1[[#This Row],[Direction]],
IF(_xlpm.dir="L",
    IF(F3116-Table1[[#This Row],[Steps]]&lt;0,100+(F3116-Table1[[#This Row],[Steps]]),F3116-Table1[[#This Row],[Steps]]),
))</f>
        <v>41</v>
      </c>
      <c r="E3117">
        <f>_xlfn.LET(_xlpm.dir,Table1[[#This Row],[Direction]],
IF(_xlpm.dir="R",
    IF(F3116+Table1[[#This Row],[Steps]]&gt;99,(F3116+Table1[[#This Row],[Steps]])-100,F3116+Table1[[#This Row],[Steps]]),
))</f>
        <v>0</v>
      </c>
      <c r="F3117">
        <f>IF(Table1[[#This Row],[New Pos L]]&lt;&gt;0,Table1[[#This Row],[New Pos L]],Table1[[#This Row],[New Pos R]])</f>
        <v>41</v>
      </c>
    </row>
    <row r="3118" spans="1:6" ht="16" x14ac:dyDescent="0.2">
      <c r="A3118" s="1" t="s">
        <v>83</v>
      </c>
      <c r="B3118" t="str">
        <f>LEFT(Table1[[#This Row],[Input]],1)</f>
        <v>R</v>
      </c>
      <c r="C3118">
        <f>_xlfn.LET(_xlpm.steps,SUBSTITUTE(Table1[[#This Row],[Input]],Table1[[#This Row],[Direction]],""),VALUE(IF(LEN(_xlpm.steps)&gt;2,RIGHT(_xlpm.steps,2),_xlpm.steps)))</f>
        <v>79</v>
      </c>
      <c r="D3118">
        <f>_xlfn.LET(_xlpm.dir,Table1[[#This Row],[Direction]],
IF(_xlpm.dir="L",
    IF(F3117-Table1[[#This Row],[Steps]]&lt;0,100+(F3117-Table1[[#This Row],[Steps]]),F3117-Table1[[#This Row],[Steps]]),
))</f>
        <v>0</v>
      </c>
      <c r="E3118">
        <f>_xlfn.LET(_xlpm.dir,Table1[[#This Row],[Direction]],
IF(_xlpm.dir="R",
    IF(F3117+Table1[[#This Row],[Steps]]&gt;99,(F3117+Table1[[#This Row],[Steps]])-100,F3117+Table1[[#This Row],[Steps]]),
))</f>
        <v>20</v>
      </c>
      <c r="F3118">
        <f>IF(Table1[[#This Row],[New Pos L]]&lt;&gt;0,Table1[[#This Row],[New Pos L]],Table1[[#This Row],[New Pos R]])</f>
        <v>20</v>
      </c>
    </row>
    <row r="3119" spans="1:6" ht="16" x14ac:dyDescent="0.2">
      <c r="A3119" s="1" t="s">
        <v>25</v>
      </c>
      <c r="B3119" t="str">
        <f>LEFT(Table1[[#This Row],[Input]],1)</f>
        <v>L</v>
      </c>
      <c r="C3119">
        <f>_xlfn.LET(_xlpm.steps,SUBSTITUTE(Table1[[#This Row],[Input]],Table1[[#This Row],[Direction]],""),VALUE(IF(LEN(_xlpm.steps)&gt;2,RIGHT(_xlpm.steps,2),_xlpm.steps)))</f>
        <v>20</v>
      </c>
      <c r="D3119">
        <f>_xlfn.LET(_xlpm.dir,Table1[[#This Row],[Direction]],
IF(_xlpm.dir="L",
    IF(F3118-Table1[[#This Row],[Steps]]&lt;0,100+(F3118-Table1[[#This Row],[Steps]]),F3118-Table1[[#This Row],[Steps]]),
))</f>
        <v>0</v>
      </c>
      <c r="E3119">
        <f>_xlfn.LET(_xlpm.dir,Table1[[#This Row],[Direction]],
IF(_xlpm.dir="R",
    IF(F3118+Table1[[#This Row],[Steps]]&gt;99,(F3118+Table1[[#This Row],[Steps]])-100,F3118+Table1[[#This Row],[Steps]]),
))</f>
        <v>0</v>
      </c>
      <c r="F3119">
        <f>IF(Table1[[#This Row],[New Pos L]]&lt;&gt;0,Table1[[#This Row],[New Pos L]],Table1[[#This Row],[New Pos R]])</f>
        <v>0</v>
      </c>
    </row>
    <row r="3120" spans="1:6" ht="16" x14ac:dyDescent="0.2">
      <c r="A3120" s="1" t="s">
        <v>700</v>
      </c>
      <c r="B3120" t="str">
        <f>LEFT(Table1[[#This Row],[Input]],1)</f>
        <v>R</v>
      </c>
      <c r="C3120">
        <f>_xlfn.LET(_xlpm.steps,SUBSTITUTE(Table1[[#This Row],[Input]],Table1[[#This Row],[Direction]],""),VALUE(IF(LEN(_xlpm.steps)&gt;2,RIGHT(_xlpm.steps,2),_xlpm.steps)))</f>
        <v>41</v>
      </c>
      <c r="D3120">
        <f>_xlfn.LET(_xlpm.dir,Table1[[#This Row],[Direction]],
IF(_xlpm.dir="L",
    IF(F3119-Table1[[#This Row],[Steps]]&lt;0,100+(F3119-Table1[[#This Row],[Steps]]),F3119-Table1[[#This Row],[Steps]]),
))</f>
        <v>0</v>
      </c>
      <c r="E3120">
        <f>_xlfn.LET(_xlpm.dir,Table1[[#This Row],[Direction]],
IF(_xlpm.dir="R",
    IF(F3119+Table1[[#This Row],[Steps]]&gt;99,(F3119+Table1[[#This Row],[Steps]])-100,F3119+Table1[[#This Row],[Steps]]),
))</f>
        <v>41</v>
      </c>
      <c r="F3120">
        <f>IF(Table1[[#This Row],[New Pos L]]&lt;&gt;0,Table1[[#This Row],[New Pos L]],Table1[[#This Row],[New Pos R]])</f>
        <v>41</v>
      </c>
    </row>
    <row r="3121" spans="1:6" ht="16" x14ac:dyDescent="0.2">
      <c r="A3121" s="1" t="s">
        <v>701</v>
      </c>
      <c r="B3121" t="str">
        <f>LEFT(Table1[[#This Row],[Input]],1)</f>
        <v>L</v>
      </c>
      <c r="C3121">
        <f>_xlfn.LET(_xlpm.steps,SUBSTITUTE(Table1[[#This Row],[Input]],Table1[[#This Row],[Direction]],""),VALUE(IF(LEN(_xlpm.steps)&gt;2,RIGHT(_xlpm.steps,2),_xlpm.steps)))</f>
        <v>41</v>
      </c>
      <c r="D3121">
        <f>_xlfn.LET(_xlpm.dir,Table1[[#This Row],[Direction]],
IF(_xlpm.dir="L",
    IF(F3120-Table1[[#This Row],[Steps]]&lt;0,100+(F3120-Table1[[#This Row],[Steps]]),F3120-Table1[[#This Row],[Steps]]),
))</f>
        <v>0</v>
      </c>
      <c r="E3121">
        <f>_xlfn.LET(_xlpm.dir,Table1[[#This Row],[Direction]],
IF(_xlpm.dir="R",
    IF(F3120+Table1[[#This Row],[Steps]]&gt;99,(F3120+Table1[[#This Row],[Steps]])-100,F3120+Table1[[#This Row],[Steps]]),
))</f>
        <v>0</v>
      </c>
      <c r="F3121">
        <f>IF(Table1[[#This Row],[New Pos L]]&lt;&gt;0,Table1[[#This Row],[New Pos L]],Table1[[#This Row],[New Pos R]])</f>
        <v>0</v>
      </c>
    </row>
    <row r="3122" spans="1:6" ht="16" x14ac:dyDescent="0.2">
      <c r="A3122" s="1" t="s">
        <v>702</v>
      </c>
      <c r="B3122" t="str">
        <f>LEFT(Table1[[#This Row],[Input]],1)</f>
        <v>L</v>
      </c>
      <c r="C3122">
        <f>_xlfn.LET(_xlpm.steps,SUBSTITUTE(Table1[[#This Row],[Input]],Table1[[#This Row],[Direction]],""),VALUE(IF(LEN(_xlpm.steps)&gt;2,RIGHT(_xlpm.steps,2),_xlpm.steps)))</f>
        <v>27</v>
      </c>
      <c r="D3122">
        <f>_xlfn.LET(_xlpm.dir,Table1[[#This Row],[Direction]],
IF(_xlpm.dir="L",
    IF(F3121-Table1[[#This Row],[Steps]]&lt;0,100+(F3121-Table1[[#This Row],[Steps]]),F3121-Table1[[#This Row],[Steps]]),
))</f>
        <v>73</v>
      </c>
      <c r="E3122">
        <f>_xlfn.LET(_xlpm.dir,Table1[[#This Row],[Direction]],
IF(_xlpm.dir="R",
    IF(F3121+Table1[[#This Row],[Steps]]&gt;99,(F3121+Table1[[#This Row],[Steps]])-100,F3121+Table1[[#This Row],[Steps]]),
))</f>
        <v>0</v>
      </c>
      <c r="F3122">
        <f>IF(Table1[[#This Row],[New Pos L]]&lt;&gt;0,Table1[[#This Row],[New Pos L]],Table1[[#This Row],[New Pos R]])</f>
        <v>73</v>
      </c>
    </row>
    <row r="3123" spans="1:6" ht="16" x14ac:dyDescent="0.2">
      <c r="A3123" s="1" t="s">
        <v>69</v>
      </c>
      <c r="B3123" t="str">
        <f>LEFT(Table1[[#This Row],[Input]],1)</f>
        <v>R</v>
      </c>
      <c r="C3123">
        <f>_xlfn.LET(_xlpm.steps,SUBSTITUTE(Table1[[#This Row],[Input]],Table1[[#This Row],[Direction]],""),VALUE(IF(LEN(_xlpm.steps)&gt;2,RIGHT(_xlpm.steps,2),_xlpm.steps)))</f>
        <v>27</v>
      </c>
      <c r="D3123">
        <f>_xlfn.LET(_xlpm.dir,Table1[[#This Row],[Direction]],
IF(_xlpm.dir="L",
    IF(F3122-Table1[[#This Row],[Steps]]&lt;0,100+(F3122-Table1[[#This Row],[Steps]]),F3122-Table1[[#This Row],[Steps]]),
))</f>
        <v>0</v>
      </c>
      <c r="E3123">
        <f>_xlfn.LET(_xlpm.dir,Table1[[#This Row],[Direction]],
IF(_xlpm.dir="R",
    IF(F3122+Table1[[#This Row],[Steps]]&gt;99,(F3122+Table1[[#This Row],[Steps]])-100,F3122+Table1[[#This Row],[Steps]]),
))</f>
        <v>0</v>
      </c>
      <c r="F3123">
        <f>IF(Table1[[#This Row],[New Pos L]]&lt;&gt;0,Table1[[#This Row],[New Pos L]],Table1[[#This Row],[New Pos R]])</f>
        <v>0</v>
      </c>
    </row>
    <row r="3124" spans="1:6" ht="16" x14ac:dyDescent="0.2">
      <c r="A3124" s="1" t="s">
        <v>145</v>
      </c>
      <c r="B3124" t="str">
        <f>LEFT(Table1[[#This Row],[Input]],1)</f>
        <v>L</v>
      </c>
      <c r="C3124">
        <f>_xlfn.LET(_xlpm.steps,SUBSTITUTE(Table1[[#This Row],[Input]],Table1[[#This Row],[Direction]],""),VALUE(IF(LEN(_xlpm.steps)&gt;2,RIGHT(_xlpm.steps,2),_xlpm.steps)))</f>
        <v>83</v>
      </c>
      <c r="D3124">
        <f>_xlfn.LET(_xlpm.dir,Table1[[#This Row],[Direction]],
IF(_xlpm.dir="L",
    IF(F3123-Table1[[#This Row],[Steps]]&lt;0,100+(F3123-Table1[[#This Row],[Steps]]),F3123-Table1[[#This Row],[Steps]]),
))</f>
        <v>17</v>
      </c>
      <c r="E3124">
        <f>_xlfn.LET(_xlpm.dir,Table1[[#This Row],[Direction]],
IF(_xlpm.dir="R",
    IF(F3123+Table1[[#This Row],[Steps]]&gt;99,(F3123+Table1[[#This Row],[Steps]])-100,F3123+Table1[[#This Row],[Steps]]),
))</f>
        <v>0</v>
      </c>
      <c r="F3124">
        <f>IF(Table1[[#This Row],[New Pos L]]&lt;&gt;0,Table1[[#This Row],[New Pos L]],Table1[[#This Row],[New Pos R]])</f>
        <v>17</v>
      </c>
    </row>
    <row r="3125" spans="1:6" ht="16" x14ac:dyDescent="0.2">
      <c r="A3125" s="1" t="s">
        <v>56</v>
      </c>
      <c r="B3125" t="str">
        <f>LEFT(Table1[[#This Row],[Input]],1)</f>
        <v>R</v>
      </c>
      <c r="C3125">
        <f>_xlfn.LET(_xlpm.steps,SUBSTITUTE(Table1[[#This Row],[Input]],Table1[[#This Row],[Direction]],""),VALUE(IF(LEN(_xlpm.steps)&gt;2,RIGHT(_xlpm.steps,2),_xlpm.steps)))</f>
        <v>42</v>
      </c>
      <c r="D3125">
        <f>_xlfn.LET(_xlpm.dir,Table1[[#This Row],[Direction]],
IF(_xlpm.dir="L",
    IF(F3124-Table1[[#This Row],[Steps]]&lt;0,100+(F3124-Table1[[#This Row],[Steps]]),F3124-Table1[[#This Row],[Steps]]),
))</f>
        <v>0</v>
      </c>
      <c r="E3125">
        <f>_xlfn.LET(_xlpm.dir,Table1[[#This Row],[Direction]],
IF(_xlpm.dir="R",
    IF(F3124+Table1[[#This Row],[Steps]]&gt;99,(F3124+Table1[[#This Row],[Steps]])-100,F3124+Table1[[#This Row],[Steps]]),
))</f>
        <v>59</v>
      </c>
      <c r="F3125">
        <f>IF(Table1[[#This Row],[New Pos L]]&lt;&gt;0,Table1[[#This Row],[New Pos L]],Table1[[#This Row],[New Pos R]])</f>
        <v>59</v>
      </c>
    </row>
    <row r="3126" spans="1:6" ht="16" x14ac:dyDescent="0.2">
      <c r="A3126" s="1" t="s">
        <v>39</v>
      </c>
      <c r="B3126" t="str">
        <f>LEFT(Table1[[#This Row],[Input]],1)</f>
        <v>R</v>
      </c>
      <c r="C3126">
        <f>_xlfn.LET(_xlpm.steps,SUBSTITUTE(Table1[[#This Row],[Input]],Table1[[#This Row],[Direction]],""),VALUE(IF(LEN(_xlpm.steps)&gt;2,RIGHT(_xlpm.steps,2),_xlpm.steps)))</f>
        <v>32</v>
      </c>
      <c r="D3126">
        <f>_xlfn.LET(_xlpm.dir,Table1[[#This Row],[Direction]],
IF(_xlpm.dir="L",
    IF(F3125-Table1[[#This Row],[Steps]]&lt;0,100+(F3125-Table1[[#This Row],[Steps]]),F3125-Table1[[#This Row],[Steps]]),
))</f>
        <v>0</v>
      </c>
      <c r="E3126">
        <f>_xlfn.LET(_xlpm.dir,Table1[[#This Row],[Direction]],
IF(_xlpm.dir="R",
    IF(F3125+Table1[[#This Row],[Steps]]&gt;99,(F3125+Table1[[#This Row],[Steps]])-100,F3125+Table1[[#This Row],[Steps]]),
))</f>
        <v>91</v>
      </c>
      <c r="F3126">
        <f>IF(Table1[[#This Row],[New Pos L]]&lt;&gt;0,Table1[[#This Row],[New Pos L]],Table1[[#This Row],[New Pos R]])</f>
        <v>91</v>
      </c>
    </row>
    <row r="3127" spans="1:6" ht="16" x14ac:dyDescent="0.2">
      <c r="A3127" s="1" t="s">
        <v>344</v>
      </c>
      <c r="B3127" t="str">
        <f>LEFT(Table1[[#This Row],[Input]],1)</f>
        <v>R</v>
      </c>
      <c r="C3127">
        <f>_xlfn.LET(_xlpm.steps,SUBSTITUTE(Table1[[#This Row],[Input]],Table1[[#This Row],[Direction]],""),VALUE(IF(LEN(_xlpm.steps)&gt;2,RIGHT(_xlpm.steps,2),_xlpm.steps)))</f>
        <v>9</v>
      </c>
      <c r="D3127">
        <f>_xlfn.LET(_xlpm.dir,Table1[[#This Row],[Direction]],
IF(_xlpm.dir="L",
    IF(F3126-Table1[[#This Row],[Steps]]&lt;0,100+(F3126-Table1[[#This Row],[Steps]]),F3126-Table1[[#This Row],[Steps]]),
))</f>
        <v>0</v>
      </c>
      <c r="E3127">
        <f>_xlfn.LET(_xlpm.dir,Table1[[#This Row],[Direction]],
IF(_xlpm.dir="R",
    IF(F3126+Table1[[#This Row],[Steps]]&gt;99,(F3126+Table1[[#This Row],[Steps]])-100,F3126+Table1[[#This Row],[Steps]]),
))</f>
        <v>0</v>
      </c>
      <c r="F3127">
        <f>IF(Table1[[#This Row],[New Pos L]]&lt;&gt;0,Table1[[#This Row],[New Pos L]],Table1[[#This Row],[New Pos R]])</f>
        <v>0</v>
      </c>
    </row>
    <row r="3128" spans="1:6" ht="16" x14ac:dyDescent="0.2">
      <c r="A3128" s="1" t="s">
        <v>53</v>
      </c>
      <c r="B3128" t="str">
        <f>LEFT(Table1[[#This Row],[Input]],1)</f>
        <v>L</v>
      </c>
      <c r="C3128">
        <f>_xlfn.LET(_xlpm.steps,SUBSTITUTE(Table1[[#This Row],[Input]],Table1[[#This Row],[Direction]],""),VALUE(IF(LEN(_xlpm.steps)&gt;2,RIGHT(_xlpm.steps,2),_xlpm.steps)))</f>
        <v>56</v>
      </c>
      <c r="D3128">
        <f>_xlfn.LET(_xlpm.dir,Table1[[#This Row],[Direction]],
IF(_xlpm.dir="L",
    IF(F3127-Table1[[#This Row],[Steps]]&lt;0,100+(F3127-Table1[[#This Row],[Steps]]),F3127-Table1[[#This Row],[Steps]]),
))</f>
        <v>44</v>
      </c>
      <c r="E3128">
        <f>_xlfn.LET(_xlpm.dir,Table1[[#This Row],[Direction]],
IF(_xlpm.dir="R",
    IF(F3127+Table1[[#This Row],[Steps]]&gt;99,(F3127+Table1[[#This Row],[Steps]])-100,F3127+Table1[[#This Row],[Steps]]),
))</f>
        <v>0</v>
      </c>
      <c r="F3128">
        <f>IF(Table1[[#This Row],[New Pos L]]&lt;&gt;0,Table1[[#This Row],[New Pos L]],Table1[[#This Row],[New Pos R]])</f>
        <v>44</v>
      </c>
    </row>
    <row r="3129" spans="1:6" ht="16" x14ac:dyDescent="0.2">
      <c r="A3129" s="1" t="s">
        <v>703</v>
      </c>
      <c r="B3129" t="str">
        <f>LEFT(Table1[[#This Row],[Input]],1)</f>
        <v>L</v>
      </c>
      <c r="C3129">
        <f>_xlfn.LET(_xlpm.steps,SUBSTITUTE(Table1[[#This Row],[Input]],Table1[[#This Row],[Direction]],""),VALUE(IF(LEN(_xlpm.steps)&gt;2,RIGHT(_xlpm.steps,2),_xlpm.steps)))</f>
        <v>35</v>
      </c>
      <c r="D3129">
        <f>_xlfn.LET(_xlpm.dir,Table1[[#This Row],[Direction]],
IF(_xlpm.dir="L",
    IF(F3128-Table1[[#This Row],[Steps]]&lt;0,100+(F3128-Table1[[#This Row],[Steps]]),F3128-Table1[[#This Row],[Steps]]),
))</f>
        <v>9</v>
      </c>
      <c r="E3129">
        <f>_xlfn.LET(_xlpm.dir,Table1[[#This Row],[Direction]],
IF(_xlpm.dir="R",
    IF(F3128+Table1[[#This Row],[Steps]]&gt;99,(F3128+Table1[[#This Row],[Steps]])-100,F3128+Table1[[#This Row],[Steps]]),
))</f>
        <v>0</v>
      </c>
      <c r="F3129">
        <f>IF(Table1[[#This Row],[New Pos L]]&lt;&gt;0,Table1[[#This Row],[New Pos L]],Table1[[#This Row],[New Pos R]])</f>
        <v>9</v>
      </c>
    </row>
    <row r="3130" spans="1:6" ht="16" x14ac:dyDescent="0.2">
      <c r="A3130" s="1" t="s">
        <v>13</v>
      </c>
      <c r="B3130" t="str">
        <f>LEFT(Table1[[#This Row],[Input]],1)</f>
        <v>R</v>
      </c>
      <c r="C3130">
        <f>_xlfn.LET(_xlpm.steps,SUBSTITUTE(Table1[[#This Row],[Input]],Table1[[#This Row],[Direction]],""),VALUE(IF(LEN(_xlpm.steps)&gt;2,RIGHT(_xlpm.steps,2),_xlpm.steps)))</f>
        <v>12</v>
      </c>
      <c r="D3130">
        <f>_xlfn.LET(_xlpm.dir,Table1[[#This Row],[Direction]],
IF(_xlpm.dir="L",
    IF(F3129-Table1[[#This Row],[Steps]]&lt;0,100+(F3129-Table1[[#This Row],[Steps]]),F3129-Table1[[#This Row],[Steps]]),
))</f>
        <v>0</v>
      </c>
      <c r="E3130">
        <f>_xlfn.LET(_xlpm.dir,Table1[[#This Row],[Direction]],
IF(_xlpm.dir="R",
    IF(F3129+Table1[[#This Row],[Steps]]&gt;99,(F3129+Table1[[#This Row],[Steps]])-100,F3129+Table1[[#This Row],[Steps]]),
))</f>
        <v>21</v>
      </c>
      <c r="F3130">
        <f>IF(Table1[[#This Row],[New Pos L]]&lt;&gt;0,Table1[[#This Row],[New Pos L]],Table1[[#This Row],[New Pos R]])</f>
        <v>21</v>
      </c>
    </row>
    <row r="3131" spans="1:6" ht="16" x14ac:dyDescent="0.2">
      <c r="A3131" s="1" t="s">
        <v>704</v>
      </c>
      <c r="B3131" t="str">
        <f>LEFT(Table1[[#This Row],[Input]],1)</f>
        <v>R</v>
      </c>
      <c r="C3131">
        <f>_xlfn.LET(_xlpm.steps,SUBSTITUTE(Table1[[#This Row],[Input]],Table1[[#This Row],[Direction]],""),VALUE(IF(LEN(_xlpm.steps)&gt;2,RIGHT(_xlpm.steps,2),_xlpm.steps)))</f>
        <v>66</v>
      </c>
      <c r="D3131">
        <f>_xlfn.LET(_xlpm.dir,Table1[[#This Row],[Direction]],
IF(_xlpm.dir="L",
    IF(F3130-Table1[[#This Row],[Steps]]&lt;0,100+(F3130-Table1[[#This Row],[Steps]]),F3130-Table1[[#This Row],[Steps]]),
))</f>
        <v>0</v>
      </c>
      <c r="E3131">
        <f>_xlfn.LET(_xlpm.dir,Table1[[#This Row],[Direction]],
IF(_xlpm.dir="R",
    IF(F3130+Table1[[#This Row],[Steps]]&gt;99,(F3130+Table1[[#This Row],[Steps]])-100,F3130+Table1[[#This Row],[Steps]]),
))</f>
        <v>87</v>
      </c>
      <c r="F3131">
        <f>IF(Table1[[#This Row],[New Pos L]]&lt;&gt;0,Table1[[#This Row],[New Pos L]],Table1[[#This Row],[New Pos R]])</f>
        <v>87</v>
      </c>
    </row>
    <row r="3132" spans="1:6" ht="16" x14ac:dyDescent="0.2">
      <c r="A3132" s="1" t="s">
        <v>38</v>
      </c>
      <c r="B3132" t="str">
        <f>LEFT(Table1[[#This Row],[Input]],1)</f>
        <v>R</v>
      </c>
      <c r="C3132">
        <f>_xlfn.LET(_xlpm.steps,SUBSTITUTE(Table1[[#This Row],[Input]],Table1[[#This Row],[Direction]],""),VALUE(IF(LEN(_xlpm.steps)&gt;2,RIGHT(_xlpm.steps,2),_xlpm.steps)))</f>
        <v>15</v>
      </c>
      <c r="D3132">
        <f>_xlfn.LET(_xlpm.dir,Table1[[#This Row],[Direction]],
IF(_xlpm.dir="L",
    IF(F3131-Table1[[#This Row],[Steps]]&lt;0,100+(F3131-Table1[[#This Row],[Steps]]),F3131-Table1[[#This Row],[Steps]]),
))</f>
        <v>0</v>
      </c>
      <c r="E3132">
        <f>_xlfn.LET(_xlpm.dir,Table1[[#This Row],[Direction]],
IF(_xlpm.dir="R",
    IF(F3131+Table1[[#This Row],[Steps]]&gt;99,(F3131+Table1[[#This Row],[Steps]])-100,F3131+Table1[[#This Row],[Steps]]),
))</f>
        <v>2</v>
      </c>
      <c r="F3132">
        <f>IF(Table1[[#This Row],[New Pos L]]&lt;&gt;0,Table1[[#This Row],[New Pos L]],Table1[[#This Row],[New Pos R]])</f>
        <v>2</v>
      </c>
    </row>
    <row r="3133" spans="1:6" ht="16" x14ac:dyDescent="0.2">
      <c r="A3133" s="1" t="s">
        <v>105</v>
      </c>
      <c r="B3133" t="str">
        <f>LEFT(Table1[[#This Row],[Input]],1)</f>
        <v>R</v>
      </c>
      <c r="C3133">
        <f>_xlfn.LET(_xlpm.steps,SUBSTITUTE(Table1[[#This Row],[Input]],Table1[[#This Row],[Direction]],""),VALUE(IF(LEN(_xlpm.steps)&gt;2,RIGHT(_xlpm.steps,2),_xlpm.steps)))</f>
        <v>98</v>
      </c>
      <c r="D3133">
        <f>_xlfn.LET(_xlpm.dir,Table1[[#This Row],[Direction]],
IF(_xlpm.dir="L",
    IF(F3132-Table1[[#This Row],[Steps]]&lt;0,100+(F3132-Table1[[#This Row],[Steps]]),F3132-Table1[[#This Row],[Steps]]),
))</f>
        <v>0</v>
      </c>
      <c r="E3133">
        <f>_xlfn.LET(_xlpm.dir,Table1[[#This Row],[Direction]],
IF(_xlpm.dir="R",
    IF(F3132+Table1[[#This Row],[Steps]]&gt;99,(F3132+Table1[[#This Row],[Steps]])-100,F3132+Table1[[#This Row],[Steps]]),
))</f>
        <v>0</v>
      </c>
      <c r="F3133">
        <f>IF(Table1[[#This Row],[New Pos L]]&lt;&gt;0,Table1[[#This Row],[New Pos L]],Table1[[#This Row],[New Pos R]])</f>
        <v>0</v>
      </c>
    </row>
    <row r="3134" spans="1:6" ht="16" x14ac:dyDescent="0.2">
      <c r="A3134" s="1" t="s">
        <v>4</v>
      </c>
      <c r="B3134" t="str">
        <f>LEFT(Table1[[#This Row],[Input]],1)</f>
        <v>R</v>
      </c>
      <c r="C3134">
        <f>_xlfn.LET(_xlpm.steps,SUBSTITUTE(Table1[[#This Row],[Input]],Table1[[#This Row],[Direction]],""),VALUE(IF(LEN(_xlpm.steps)&gt;2,RIGHT(_xlpm.steps,2),_xlpm.steps)))</f>
        <v>3</v>
      </c>
      <c r="D3134">
        <f>_xlfn.LET(_xlpm.dir,Table1[[#This Row],[Direction]],
IF(_xlpm.dir="L",
    IF(F3133-Table1[[#This Row],[Steps]]&lt;0,100+(F3133-Table1[[#This Row],[Steps]]),F3133-Table1[[#This Row],[Steps]]),
))</f>
        <v>0</v>
      </c>
      <c r="E3134">
        <f>_xlfn.LET(_xlpm.dir,Table1[[#This Row],[Direction]],
IF(_xlpm.dir="R",
    IF(F3133+Table1[[#This Row],[Steps]]&gt;99,(F3133+Table1[[#This Row],[Steps]])-100,F3133+Table1[[#This Row],[Steps]]),
))</f>
        <v>3</v>
      </c>
      <c r="F3134">
        <f>IF(Table1[[#This Row],[New Pos L]]&lt;&gt;0,Table1[[#This Row],[New Pos L]],Table1[[#This Row],[New Pos R]])</f>
        <v>3</v>
      </c>
    </row>
    <row r="3135" spans="1:6" ht="16" x14ac:dyDescent="0.2">
      <c r="A3135" s="1" t="s">
        <v>52</v>
      </c>
      <c r="B3135" t="str">
        <f>LEFT(Table1[[#This Row],[Input]],1)</f>
        <v>R</v>
      </c>
      <c r="C3135">
        <f>_xlfn.LET(_xlpm.steps,SUBSTITUTE(Table1[[#This Row],[Input]],Table1[[#This Row],[Direction]],""),VALUE(IF(LEN(_xlpm.steps)&gt;2,RIGHT(_xlpm.steps,2),_xlpm.steps)))</f>
        <v>11</v>
      </c>
      <c r="D3135">
        <f>_xlfn.LET(_xlpm.dir,Table1[[#This Row],[Direction]],
IF(_xlpm.dir="L",
    IF(F3134-Table1[[#This Row],[Steps]]&lt;0,100+(F3134-Table1[[#This Row],[Steps]]),F3134-Table1[[#This Row],[Steps]]),
))</f>
        <v>0</v>
      </c>
      <c r="E3135">
        <f>_xlfn.LET(_xlpm.dir,Table1[[#This Row],[Direction]],
IF(_xlpm.dir="R",
    IF(F3134+Table1[[#This Row],[Steps]]&gt;99,(F3134+Table1[[#This Row],[Steps]])-100,F3134+Table1[[#This Row],[Steps]]),
))</f>
        <v>14</v>
      </c>
      <c r="F3135">
        <f>IF(Table1[[#This Row],[New Pos L]]&lt;&gt;0,Table1[[#This Row],[New Pos L]],Table1[[#This Row],[New Pos R]])</f>
        <v>14</v>
      </c>
    </row>
    <row r="3136" spans="1:6" ht="16" x14ac:dyDescent="0.2">
      <c r="A3136" s="1" t="s">
        <v>26</v>
      </c>
      <c r="B3136" t="str">
        <f>LEFT(Table1[[#This Row],[Input]],1)</f>
        <v>R</v>
      </c>
      <c r="C3136">
        <f>_xlfn.LET(_xlpm.steps,SUBSTITUTE(Table1[[#This Row],[Input]],Table1[[#This Row],[Direction]],""),VALUE(IF(LEN(_xlpm.steps)&gt;2,RIGHT(_xlpm.steps,2),_xlpm.steps)))</f>
        <v>6</v>
      </c>
      <c r="D3136">
        <f>_xlfn.LET(_xlpm.dir,Table1[[#This Row],[Direction]],
IF(_xlpm.dir="L",
    IF(F3135-Table1[[#This Row],[Steps]]&lt;0,100+(F3135-Table1[[#This Row],[Steps]]),F3135-Table1[[#This Row],[Steps]]),
))</f>
        <v>0</v>
      </c>
      <c r="E3136">
        <f>_xlfn.LET(_xlpm.dir,Table1[[#This Row],[Direction]],
IF(_xlpm.dir="R",
    IF(F3135+Table1[[#This Row],[Steps]]&gt;99,(F3135+Table1[[#This Row],[Steps]])-100,F3135+Table1[[#This Row],[Steps]]),
))</f>
        <v>20</v>
      </c>
      <c r="F3136">
        <f>IF(Table1[[#This Row],[New Pos L]]&lt;&gt;0,Table1[[#This Row],[New Pos L]],Table1[[#This Row],[New Pos R]])</f>
        <v>20</v>
      </c>
    </row>
    <row r="3137" spans="1:6" ht="16" x14ac:dyDescent="0.2">
      <c r="A3137" s="1" t="s">
        <v>705</v>
      </c>
      <c r="B3137" t="str">
        <f>LEFT(Table1[[#This Row],[Input]],1)</f>
        <v>L</v>
      </c>
      <c r="C3137">
        <f>_xlfn.LET(_xlpm.steps,SUBSTITUTE(Table1[[#This Row],[Input]],Table1[[#This Row],[Direction]],""),VALUE(IF(LEN(_xlpm.steps)&gt;2,RIGHT(_xlpm.steps,2),_xlpm.steps)))</f>
        <v>13</v>
      </c>
      <c r="D3137">
        <f>_xlfn.LET(_xlpm.dir,Table1[[#This Row],[Direction]],
IF(_xlpm.dir="L",
    IF(F3136-Table1[[#This Row],[Steps]]&lt;0,100+(F3136-Table1[[#This Row],[Steps]]),F3136-Table1[[#This Row],[Steps]]),
))</f>
        <v>7</v>
      </c>
      <c r="E3137">
        <f>_xlfn.LET(_xlpm.dir,Table1[[#This Row],[Direction]],
IF(_xlpm.dir="R",
    IF(F3136+Table1[[#This Row],[Steps]]&gt;99,(F3136+Table1[[#This Row],[Steps]])-100,F3136+Table1[[#This Row],[Steps]]),
))</f>
        <v>0</v>
      </c>
      <c r="F3137">
        <f>IF(Table1[[#This Row],[New Pos L]]&lt;&gt;0,Table1[[#This Row],[New Pos L]],Table1[[#This Row],[New Pos R]])</f>
        <v>7</v>
      </c>
    </row>
    <row r="3138" spans="1:6" ht="16" x14ac:dyDescent="0.2">
      <c r="A3138" s="1" t="s">
        <v>264</v>
      </c>
      <c r="B3138" t="str">
        <f>LEFT(Table1[[#This Row],[Input]],1)</f>
        <v>L</v>
      </c>
      <c r="C3138">
        <f>_xlfn.LET(_xlpm.steps,SUBSTITUTE(Table1[[#This Row],[Input]],Table1[[#This Row],[Direction]],""),VALUE(IF(LEN(_xlpm.steps)&gt;2,RIGHT(_xlpm.steps,2),_xlpm.steps)))</f>
        <v>21</v>
      </c>
      <c r="D3138">
        <f>_xlfn.LET(_xlpm.dir,Table1[[#This Row],[Direction]],
IF(_xlpm.dir="L",
    IF(F3137-Table1[[#This Row],[Steps]]&lt;0,100+(F3137-Table1[[#This Row],[Steps]]),F3137-Table1[[#This Row],[Steps]]),
))</f>
        <v>86</v>
      </c>
      <c r="E3138">
        <f>_xlfn.LET(_xlpm.dir,Table1[[#This Row],[Direction]],
IF(_xlpm.dir="R",
    IF(F3137+Table1[[#This Row],[Steps]]&gt;99,(F3137+Table1[[#This Row],[Steps]])-100,F3137+Table1[[#This Row],[Steps]]),
))</f>
        <v>0</v>
      </c>
      <c r="F3138">
        <f>IF(Table1[[#This Row],[New Pos L]]&lt;&gt;0,Table1[[#This Row],[New Pos L]],Table1[[#This Row],[New Pos R]])</f>
        <v>86</v>
      </c>
    </row>
    <row r="3139" spans="1:6" ht="16" x14ac:dyDescent="0.2">
      <c r="A3139" s="1" t="s">
        <v>7</v>
      </c>
      <c r="B3139" t="str">
        <f>LEFT(Table1[[#This Row],[Input]],1)</f>
        <v>R</v>
      </c>
      <c r="C3139">
        <f>_xlfn.LET(_xlpm.steps,SUBSTITUTE(Table1[[#This Row],[Input]],Table1[[#This Row],[Direction]],""),VALUE(IF(LEN(_xlpm.steps)&gt;2,RIGHT(_xlpm.steps,2),_xlpm.steps)))</f>
        <v>14</v>
      </c>
      <c r="D3139">
        <f>_xlfn.LET(_xlpm.dir,Table1[[#This Row],[Direction]],
IF(_xlpm.dir="L",
    IF(F3138-Table1[[#This Row],[Steps]]&lt;0,100+(F3138-Table1[[#This Row],[Steps]]),F3138-Table1[[#This Row],[Steps]]),
))</f>
        <v>0</v>
      </c>
      <c r="E3139">
        <f>_xlfn.LET(_xlpm.dir,Table1[[#This Row],[Direction]],
IF(_xlpm.dir="R",
    IF(F3138+Table1[[#This Row],[Steps]]&gt;99,(F3138+Table1[[#This Row],[Steps]])-100,F3138+Table1[[#This Row],[Steps]]),
))</f>
        <v>0</v>
      </c>
      <c r="F3139">
        <f>IF(Table1[[#This Row],[New Pos L]]&lt;&gt;0,Table1[[#This Row],[New Pos L]],Table1[[#This Row],[New Pos R]])</f>
        <v>0</v>
      </c>
    </row>
    <row r="3140" spans="1:6" ht="16" x14ac:dyDescent="0.2">
      <c r="A3140" s="1" t="s">
        <v>216</v>
      </c>
      <c r="B3140" t="str">
        <f>LEFT(Table1[[#This Row],[Input]],1)</f>
        <v>R</v>
      </c>
      <c r="C3140">
        <f>_xlfn.LET(_xlpm.steps,SUBSTITUTE(Table1[[#This Row],[Input]],Table1[[#This Row],[Direction]],""),VALUE(IF(LEN(_xlpm.steps)&gt;2,RIGHT(_xlpm.steps,2),_xlpm.steps)))</f>
        <v>54</v>
      </c>
      <c r="D3140">
        <f>_xlfn.LET(_xlpm.dir,Table1[[#This Row],[Direction]],
IF(_xlpm.dir="L",
    IF(F3139-Table1[[#This Row],[Steps]]&lt;0,100+(F3139-Table1[[#This Row],[Steps]]),F3139-Table1[[#This Row],[Steps]]),
))</f>
        <v>0</v>
      </c>
      <c r="E3140">
        <f>_xlfn.LET(_xlpm.dir,Table1[[#This Row],[Direction]],
IF(_xlpm.dir="R",
    IF(F3139+Table1[[#This Row],[Steps]]&gt;99,(F3139+Table1[[#This Row],[Steps]])-100,F3139+Table1[[#This Row],[Steps]]),
))</f>
        <v>54</v>
      </c>
      <c r="F3140">
        <f>IF(Table1[[#This Row],[New Pos L]]&lt;&gt;0,Table1[[#This Row],[New Pos L]],Table1[[#This Row],[New Pos R]])</f>
        <v>54</v>
      </c>
    </row>
    <row r="3141" spans="1:6" ht="16" x14ac:dyDescent="0.2">
      <c r="A3141" s="1" t="s">
        <v>137</v>
      </c>
      <c r="B3141" t="str">
        <f>LEFT(Table1[[#This Row],[Input]],1)</f>
        <v>R</v>
      </c>
      <c r="C3141">
        <f>_xlfn.LET(_xlpm.steps,SUBSTITUTE(Table1[[#This Row],[Input]],Table1[[#This Row],[Direction]],""),VALUE(IF(LEN(_xlpm.steps)&gt;2,RIGHT(_xlpm.steps,2),_xlpm.steps)))</f>
        <v>28</v>
      </c>
      <c r="D3141">
        <f>_xlfn.LET(_xlpm.dir,Table1[[#This Row],[Direction]],
IF(_xlpm.dir="L",
    IF(F3140-Table1[[#This Row],[Steps]]&lt;0,100+(F3140-Table1[[#This Row],[Steps]]),F3140-Table1[[#This Row],[Steps]]),
))</f>
        <v>0</v>
      </c>
      <c r="E3141">
        <f>_xlfn.LET(_xlpm.dir,Table1[[#This Row],[Direction]],
IF(_xlpm.dir="R",
    IF(F3140+Table1[[#This Row],[Steps]]&gt;99,(F3140+Table1[[#This Row],[Steps]])-100,F3140+Table1[[#This Row],[Steps]]),
))</f>
        <v>82</v>
      </c>
      <c r="F3141">
        <f>IF(Table1[[#This Row],[New Pos L]]&lt;&gt;0,Table1[[#This Row],[New Pos L]],Table1[[#This Row],[New Pos R]])</f>
        <v>82</v>
      </c>
    </row>
    <row r="3142" spans="1:6" ht="16" x14ac:dyDescent="0.2">
      <c r="A3142" s="1" t="s">
        <v>77</v>
      </c>
      <c r="B3142" t="str">
        <f>LEFT(Table1[[#This Row],[Input]],1)</f>
        <v>R</v>
      </c>
      <c r="C3142">
        <f>_xlfn.LET(_xlpm.steps,SUBSTITUTE(Table1[[#This Row],[Input]],Table1[[#This Row],[Direction]],""),VALUE(IF(LEN(_xlpm.steps)&gt;2,RIGHT(_xlpm.steps,2),_xlpm.steps)))</f>
        <v>74</v>
      </c>
      <c r="D3142">
        <f>_xlfn.LET(_xlpm.dir,Table1[[#This Row],[Direction]],
IF(_xlpm.dir="L",
    IF(F3141-Table1[[#This Row],[Steps]]&lt;0,100+(F3141-Table1[[#This Row],[Steps]]),F3141-Table1[[#This Row],[Steps]]),
))</f>
        <v>0</v>
      </c>
      <c r="E3142">
        <f>_xlfn.LET(_xlpm.dir,Table1[[#This Row],[Direction]],
IF(_xlpm.dir="R",
    IF(F3141+Table1[[#This Row],[Steps]]&gt;99,(F3141+Table1[[#This Row],[Steps]])-100,F3141+Table1[[#This Row],[Steps]]),
))</f>
        <v>56</v>
      </c>
      <c r="F3142">
        <f>IF(Table1[[#This Row],[New Pos L]]&lt;&gt;0,Table1[[#This Row],[New Pos L]],Table1[[#This Row],[New Pos R]])</f>
        <v>56</v>
      </c>
    </row>
    <row r="3143" spans="1:6" ht="16" x14ac:dyDescent="0.2">
      <c r="A3143" s="1" t="s">
        <v>3</v>
      </c>
      <c r="B3143" t="str">
        <f>LEFT(Table1[[#This Row],[Input]],1)</f>
        <v>R</v>
      </c>
      <c r="C3143">
        <f>_xlfn.LET(_xlpm.steps,SUBSTITUTE(Table1[[#This Row],[Input]],Table1[[#This Row],[Direction]],""),VALUE(IF(LEN(_xlpm.steps)&gt;2,RIGHT(_xlpm.steps,2),_xlpm.steps)))</f>
        <v>44</v>
      </c>
      <c r="D3143">
        <f>_xlfn.LET(_xlpm.dir,Table1[[#This Row],[Direction]],
IF(_xlpm.dir="L",
    IF(F3142-Table1[[#This Row],[Steps]]&lt;0,100+(F3142-Table1[[#This Row],[Steps]]),F3142-Table1[[#This Row],[Steps]]),
))</f>
        <v>0</v>
      </c>
      <c r="E3143">
        <f>_xlfn.LET(_xlpm.dir,Table1[[#This Row],[Direction]],
IF(_xlpm.dir="R",
    IF(F3142+Table1[[#This Row],[Steps]]&gt;99,(F3142+Table1[[#This Row],[Steps]])-100,F3142+Table1[[#This Row],[Steps]]),
))</f>
        <v>0</v>
      </c>
      <c r="F3143">
        <f>IF(Table1[[#This Row],[New Pos L]]&lt;&gt;0,Table1[[#This Row],[New Pos L]],Table1[[#This Row],[New Pos R]])</f>
        <v>0</v>
      </c>
    </row>
    <row r="3144" spans="1:6" ht="16" x14ac:dyDescent="0.2">
      <c r="A3144" s="1" t="s">
        <v>76</v>
      </c>
      <c r="B3144" t="str">
        <f>LEFT(Table1[[#This Row],[Input]],1)</f>
        <v>R</v>
      </c>
      <c r="C3144">
        <f>_xlfn.LET(_xlpm.steps,SUBSTITUTE(Table1[[#This Row],[Input]],Table1[[#This Row],[Direction]],""),VALUE(IF(LEN(_xlpm.steps)&gt;2,RIGHT(_xlpm.steps,2),_xlpm.steps)))</f>
        <v>37</v>
      </c>
      <c r="D3144">
        <f>_xlfn.LET(_xlpm.dir,Table1[[#This Row],[Direction]],
IF(_xlpm.dir="L",
    IF(F3143-Table1[[#This Row],[Steps]]&lt;0,100+(F3143-Table1[[#This Row],[Steps]]),F3143-Table1[[#This Row],[Steps]]),
))</f>
        <v>0</v>
      </c>
      <c r="E3144">
        <f>_xlfn.LET(_xlpm.dir,Table1[[#This Row],[Direction]],
IF(_xlpm.dir="R",
    IF(F3143+Table1[[#This Row],[Steps]]&gt;99,(F3143+Table1[[#This Row],[Steps]])-100,F3143+Table1[[#This Row],[Steps]]),
))</f>
        <v>37</v>
      </c>
      <c r="F3144">
        <f>IF(Table1[[#This Row],[New Pos L]]&lt;&gt;0,Table1[[#This Row],[New Pos L]],Table1[[#This Row],[New Pos R]])</f>
        <v>37</v>
      </c>
    </row>
    <row r="3145" spans="1:6" ht="16" x14ac:dyDescent="0.2">
      <c r="A3145" s="1" t="s">
        <v>12</v>
      </c>
      <c r="B3145" t="str">
        <f>LEFT(Table1[[#This Row],[Input]],1)</f>
        <v>L</v>
      </c>
      <c r="C3145">
        <f>_xlfn.LET(_xlpm.steps,SUBSTITUTE(Table1[[#This Row],[Input]],Table1[[#This Row],[Direction]],""),VALUE(IF(LEN(_xlpm.steps)&gt;2,RIGHT(_xlpm.steps,2),_xlpm.steps)))</f>
        <v>11</v>
      </c>
      <c r="D3145">
        <f>_xlfn.LET(_xlpm.dir,Table1[[#This Row],[Direction]],
IF(_xlpm.dir="L",
    IF(F3144-Table1[[#This Row],[Steps]]&lt;0,100+(F3144-Table1[[#This Row],[Steps]]),F3144-Table1[[#This Row],[Steps]]),
))</f>
        <v>26</v>
      </c>
      <c r="E3145">
        <f>_xlfn.LET(_xlpm.dir,Table1[[#This Row],[Direction]],
IF(_xlpm.dir="R",
    IF(F3144+Table1[[#This Row],[Steps]]&gt;99,(F3144+Table1[[#This Row],[Steps]])-100,F3144+Table1[[#This Row],[Steps]]),
))</f>
        <v>0</v>
      </c>
      <c r="F3145">
        <f>IF(Table1[[#This Row],[New Pos L]]&lt;&gt;0,Table1[[#This Row],[New Pos L]],Table1[[#This Row],[New Pos R]])</f>
        <v>26</v>
      </c>
    </row>
    <row r="3146" spans="1:6" ht="16" x14ac:dyDescent="0.2">
      <c r="A3146" s="1" t="s">
        <v>77</v>
      </c>
      <c r="B3146" t="str">
        <f>LEFT(Table1[[#This Row],[Input]],1)</f>
        <v>R</v>
      </c>
      <c r="C3146">
        <f>_xlfn.LET(_xlpm.steps,SUBSTITUTE(Table1[[#This Row],[Input]],Table1[[#This Row],[Direction]],""),VALUE(IF(LEN(_xlpm.steps)&gt;2,RIGHT(_xlpm.steps,2),_xlpm.steps)))</f>
        <v>74</v>
      </c>
      <c r="D3146">
        <f>_xlfn.LET(_xlpm.dir,Table1[[#This Row],[Direction]],
IF(_xlpm.dir="L",
    IF(F3145-Table1[[#This Row],[Steps]]&lt;0,100+(F3145-Table1[[#This Row],[Steps]]),F3145-Table1[[#This Row],[Steps]]),
))</f>
        <v>0</v>
      </c>
      <c r="E3146">
        <f>_xlfn.LET(_xlpm.dir,Table1[[#This Row],[Direction]],
IF(_xlpm.dir="R",
    IF(F3145+Table1[[#This Row],[Steps]]&gt;99,(F3145+Table1[[#This Row],[Steps]])-100,F3145+Table1[[#This Row],[Steps]]),
))</f>
        <v>0</v>
      </c>
      <c r="F3146">
        <f>IF(Table1[[#This Row],[New Pos L]]&lt;&gt;0,Table1[[#This Row],[New Pos L]],Table1[[#This Row],[New Pos R]])</f>
        <v>0</v>
      </c>
    </row>
    <row r="3147" spans="1:6" ht="16" x14ac:dyDescent="0.2">
      <c r="A3147" s="1" t="s">
        <v>52</v>
      </c>
      <c r="B3147" t="str">
        <f>LEFT(Table1[[#This Row],[Input]],1)</f>
        <v>R</v>
      </c>
      <c r="C3147">
        <f>_xlfn.LET(_xlpm.steps,SUBSTITUTE(Table1[[#This Row],[Input]],Table1[[#This Row],[Direction]],""),VALUE(IF(LEN(_xlpm.steps)&gt;2,RIGHT(_xlpm.steps,2),_xlpm.steps)))</f>
        <v>11</v>
      </c>
      <c r="D3147">
        <f>_xlfn.LET(_xlpm.dir,Table1[[#This Row],[Direction]],
IF(_xlpm.dir="L",
    IF(F3146-Table1[[#This Row],[Steps]]&lt;0,100+(F3146-Table1[[#This Row],[Steps]]),F3146-Table1[[#This Row],[Steps]]),
))</f>
        <v>0</v>
      </c>
      <c r="E3147">
        <f>_xlfn.LET(_xlpm.dir,Table1[[#This Row],[Direction]],
IF(_xlpm.dir="R",
    IF(F3146+Table1[[#This Row],[Steps]]&gt;99,(F3146+Table1[[#This Row],[Steps]])-100,F3146+Table1[[#This Row],[Steps]]),
))</f>
        <v>11</v>
      </c>
      <c r="F3147">
        <f>IF(Table1[[#This Row],[New Pos L]]&lt;&gt;0,Table1[[#This Row],[New Pos L]],Table1[[#This Row],[New Pos R]])</f>
        <v>11</v>
      </c>
    </row>
    <row r="3148" spans="1:6" ht="16" x14ac:dyDescent="0.2">
      <c r="A3148" s="1" t="s">
        <v>98</v>
      </c>
      <c r="B3148" t="str">
        <f>LEFT(Table1[[#This Row],[Input]],1)</f>
        <v>L</v>
      </c>
      <c r="C3148">
        <f>_xlfn.LET(_xlpm.steps,SUBSTITUTE(Table1[[#This Row],[Input]],Table1[[#This Row],[Direction]],""),VALUE(IF(LEN(_xlpm.steps)&gt;2,RIGHT(_xlpm.steps,2),_xlpm.steps)))</f>
        <v>65</v>
      </c>
      <c r="D3148">
        <f>_xlfn.LET(_xlpm.dir,Table1[[#This Row],[Direction]],
IF(_xlpm.dir="L",
    IF(F3147-Table1[[#This Row],[Steps]]&lt;0,100+(F3147-Table1[[#This Row],[Steps]]),F3147-Table1[[#This Row],[Steps]]),
))</f>
        <v>46</v>
      </c>
      <c r="E3148">
        <f>_xlfn.LET(_xlpm.dir,Table1[[#This Row],[Direction]],
IF(_xlpm.dir="R",
    IF(F3147+Table1[[#This Row],[Steps]]&gt;99,(F3147+Table1[[#This Row],[Steps]])-100,F3147+Table1[[#This Row],[Steps]]),
))</f>
        <v>0</v>
      </c>
      <c r="F3148">
        <f>IF(Table1[[#This Row],[New Pos L]]&lt;&gt;0,Table1[[#This Row],[New Pos L]],Table1[[#This Row],[New Pos R]])</f>
        <v>46</v>
      </c>
    </row>
    <row r="3149" spans="1:6" ht="16" x14ac:dyDescent="0.2">
      <c r="A3149" s="1" t="s">
        <v>0</v>
      </c>
      <c r="B3149" t="str">
        <f>LEFT(Table1[[#This Row],[Input]],1)</f>
        <v>L</v>
      </c>
      <c r="C3149">
        <f>_xlfn.LET(_xlpm.steps,SUBSTITUTE(Table1[[#This Row],[Input]],Table1[[#This Row],[Direction]],""),VALUE(IF(LEN(_xlpm.steps)&gt;2,RIGHT(_xlpm.steps,2),_xlpm.steps)))</f>
        <v>44</v>
      </c>
      <c r="D3149">
        <f>_xlfn.LET(_xlpm.dir,Table1[[#This Row],[Direction]],
IF(_xlpm.dir="L",
    IF(F3148-Table1[[#This Row],[Steps]]&lt;0,100+(F3148-Table1[[#This Row],[Steps]]),F3148-Table1[[#This Row],[Steps]]),
))</f>
        <v>2</v>
      </c>
      <c r="E3149">
        <f>_xlfn.LET(_xlpm.dir,Table1[[#This Row],[Direction]],
IF(_xlpm.dir="R",
    IF(F3148+Table1[[#This Row],[Steps]]&gt;99,(F3148+Table1[[#This Row],[Steps]])-100,F3148+Table1[[#This Row],[Steps]]),
))</f>
        <v>0</v>
      </c>
      <c r="F3149">
        <f>IF(Table1[[#This Row],[New Pos L]]&lt;&gt;0,Table1[[#This Row],[New Pos L]],Table1[[#This Row],[New Pos R]])</f>
        <v>2</v>
      </c>
    </row>
    <row r="3150" spans="1:6" ht="16" x14ac:dyDescent="0.2">
      <c r="A3150" s="1" t="s">
        <v>60</v>
      </c>
      <c r="B3150" t="str">
        <f>LEFT(Table1[[#This Row],[Input]],1)</f>
        <v>R</v>
      </c>
      <c r="C3150">
        <f>_xlfn.LET(_xlpm.steps,SUBSTITUTE(Table1[[#This Row],[Input]],Table1[[#This Row],[Direction]],""),VALUE(IF(LEN(_xlpm.steps)&gt;2,RIGHT(_xlpm.steps,2),_xlpm.steps)))</f>
        <v>86</v>
      </c>
      <c r="D3150">
        <f>_xlfn.LET(_xlpm.dir,Table1[[#This Row],[Direction]],
IF(_xlpm.dir="L",
    IF(F3149-Table1[[#This Row],[Steps]]&lt;0,100+(F3149-Table1[[#This Row],[Steps]]),F3149-Table1[[#This Row],[Steps]]),
))</f>
        <v>0</v>
      </c>
      <c r="E3150">
        <f>_xlfn.LET(_xlpm.dir,Table1[[#This Row],[Direction]],
IF(_xlpm.dir="R",
    IF(F3149+Table1[[#This Row],[Steps]]&gt;99,(F3149+Table1[[#This Row],[Steps]])-100,F3149+Table1[[#This Row],[Steps]]),
))</f>
        <v>88</v>
      </c>
      <c r="F3150">
        <f>IF(Table1[[#This Row],[New Pos L]]&lt;&gt;0,Table1[[#This Row],[New Pos L]],Table1[[#This Row],[New Pos R]])</f>
        <v>88</v>
      </c>
    </row>
    <row r="3151" spans="1:6" ht="16" x14ac:dyDescent="0.2">
      <c r="A3151" s="1" t="s">
        <v>104</v>
      </c>
      <c r="B3151" t="str">
        <f>LEFT(Table1[[#This Row],[Input]],1)</f>
        <v>R</v>
      </c>
      <c r="C3151">
        <f>_xlfn.LET(_xlpm.steps,SUBSTITUTE(Table1[[#This Row],[Input]],Table1[[#This Row],[Direction]],""),VALUE(IF(LEN(_xlpm.steps)&gt;2,RIGHT(_xlpm.steps,2),_xlpm.steps)))</f>
        <v>59</v>
      </c>
      <c r="D3151">
        <f>_xlfn.LET(_xlpm.dir,Table1[[#This Row],[Direction]],
IF(_xlpm.dir="L",
    IF(F3150-Table1[[#This Row],[Steps]]&lt;0,100+(F3150-Table1[[#This Row],[Steps]]),F3150-Table1[[#This Row],[Steps]]),
))</f>
        <v>0</v>
      </c>
      <c r="E3151">
        <f>_xlfn.LET(_xlpm.dir,Table1[[#This Row],[Direction]],
IF(_xlpm.dir="R",
    IF(F3150+Table1[[#This Row],[Steps]]&gt;99,(F3150+Table1[[#This Row],[Steps]])-100,F3150+Table1[[#This Row],[Steps]]),
))</f>
        <v>47</v>
      </c>
      <c r="F3151">
        <f>IF(Table1[[#This Row],[New Pos L]]&lt;&gt;0,Table1[[#This Row],[New Pos L]],Table1[[#This Row],[New Pos R]])</f>
        <v>47</v>
      </c>
    </row>
    <row r="3152" spans="1:6" ht="16" x14ac:dyDescent="0.2">
      <c r="A3152" s="1" t="s">
        <v>706</v>
      </c>
      <c r="B3152" t="str">
        <f>LEFT(Table1[[#This Row],[Input]],1)</f>
        <v>L</v>
      </c>
      <c r="C3152">
        <f>_xlfn.LET(_xlpm.steps,SUBSTITUTE(Table1[[#This Row],[Input]],Table1[[#This Row],[Direction]],""),VALUE(IF(LEN(_xlpm.steps)&gt;2,RIGHT(_xlpm.steps,2),_xlpm.steps)))</f>
        <v>5</v>
      </c>
      <c r="D3152">
        <f>_xlfn.LET(_xlpm.dir,Table1[[#This Row],[Direction]],
IF(_xlpm.dir="L",
    IF(F3151-Table1[[#This Row],[Steps]]&lt;0,100+(F3151-Table1[[#This Row],[Steps]]),F3151-Table1[[#This Row],[Steps]]),
))</f>
        <v>42</v>
      </c>
      <c r="E3152">
        <f>_xlfn.LET(_xlpm.dir,Table1[[#This Row],[Direction]],
IF(_xlpm.dir="R",
    IF(F3151+Table1[[#This Row],[Steps]]&gt;99,(F3151+Table1[[#This Row],[Steps]])-100,F3151+Table1[[#This Row],[Steps]]),
))</f>
        <v>0</v>
      </c>
      <c r="F3152">
        <f>IF(Table1[[#This Row],[New Pos L]]&lt;&gt;0,Table1[[#This Row],[New Pos L]],Table1[[#This Row],[New Pos R]])</f>
        <v>42</v>
      </c>
    </row>
    <row r="3153" spans="1:6" ht="16" x14ac:dyDescent="0.2">
      <c r="A3153" s="1" t="s">
        <v>40</v>
      </c>
      <c r="B3153" t="str">
        <f>LEFT(Table1[[#This Row],[Input]],1)</f>
        <v>R</v>
      </c>
      <c r="C3153">
        <f>_xlfn.LET(_xlpm.steps,SUBSTITUTE(Table1[[#This Row],[Input]],Table1[[#This Row],[Direction]],""),VALUE(IF(LEN(_xlpm.steps)&gt;2,RIGHT(_xlpm.steps,2),_xlpm.steps)))</f>
        <v>52</v>
      </c>
      <c r="D3153">
        <f>_xlfn.LET(_xlpm.dir,Table1[[#This Row],[Direction]],
IF(_xlpm.dir="L",
    IF(F3152-Table1[[#This Row],[Steps]]&lt;0,100+(F3152-Table1[[#This Row],[Steps]]),F3152-Table1[[#This Row],[Steps]]),
))</f>
        <v>0</v>
      </c>
      <c r="E3153">
        <f>_xlfn.LET(_xlpm.dir,Table1[[#This Row],[Direction]],
IF(_xlpm.dir="R",
    IF(F3152+Table1[[#This Row],[Steps]]&gt;99,(F3152+Table1[[#This Row],[Steps]])-100,F3152+Table1[[#This Row],[Steps]]),
))</f>
        <v>94</v>
      </c>
      <c r="F3153">
        <f>IF(Table1[[#This Row],[New Pos L]]&lt;&gt;0,Table1[[#This Row],[New Pos L]],Table1[[#This Row],[New Pos R]])</f>
        <v>94</v>
      </c>
    </row>
    <row r="3154" spans="1:6" ht="16" x14ac:dyDescent="0.2">
      <c r="A3154" s="1" t="s">
        <v>195</v>
      </c>
      <c r="B3154" t="str">
        <f>LEFT(Table1[[#This Row],[Input]],1)</f>
        <v>R</v>
      </c>
      <c r="C3154">
        <f>_xlfn.LET(_xlpm.steps,SUBSTITUTE(Table1[[#This Row],[Input]],Table1[[#This Row],[Direction]],""),VALUE(IF(LEN(_xlpm.steps)&gt;2,RIGHT(_xlpm.steps,2),_xlpm.steps)))</f>
        <v>40</v>
      </c>
      <c r="D3154">
        <f>_xlfn.LET(_xlpm.dir,Table1[[#This Row],[Direction]],
IF(_xlpm.dir="L",
    IF(F3153-Table1[[#This Row],[Steps]]&lt;0,100+(F3153-Table1[[#This Row],[Steps]]),F3153-Table1[[#This Row],[Steps]]),
))</f>
        <v>0</v>
      </c>
      <c r="E3154">
        <f>_xlfn.LET(_xlpm.dir,Table1[[#This Row],[Direction]],
IF(_xlpm.dir="R",
    IF(F3153+Table1[[#This Row],[Steps]]&gt;99,(F3153+Table1[[#This Row],[Steps]])-100,F3153+Table1[[#This Row],[Steps]]),
))</f>
        <v>34</v>
      </c>
      <c r="F3154">
        <f>IF(Table1[[#This Row],[New Pos L]]&lt;&gt;0,Table1[[#This Row],[New Pos L]],Table1[[#This Row],[New Pos R]])</f>
        <v>34</v>
      </c>
    </row>
    <row r="3155" spans="1:6" ht="16" x14ac:dyDescent="0.2">
      <c r="A3155" s="1" t="s">
        <v>23</v>
      </c>
      <c r="B3155" t="str">
        <f>LEFT(Table1[[#This Row],[Input]],1)</f>
        <v>L</v>
      </c>
      <c r="C3155">
        <f>_xlfn.LET(_xlpm.steps,SUBSTITUTE(Table1[[#This Row],[Input]],Table1[[#This Row],[Direction]],""),VALUE(IF(LEN(_xlpm.steps)&gt;2,RIGHT(_xlpm.steps,2),_xlpm.steps)))</f>
        <v>8</v>
      </c>
      <c r="D3155">
        <f>_xlfn.LET(_xlpm.dir,Table1[[#This Row],[Direction]],
IF(_xlpm.dir="L",
    IF(F3154-Table1[[#This Row],[Steps]]&lt;0,100+(F3154-Table1[[#This Row],[Steps]]),F3154-Table1[[#This Row],[Steps]]),
))</f>
        <v>26</v>
      </c>
      <c r="E3155">
        <f>_xlfn.LET(_xlpm.dir,Table1[[#This Row],[Direction]],
IF(_xlpm.dir="R",
    IF(F3154+Table1[[#This Row],[Steps]]&gt;99,(F3154+Table1[[#This Row],[Steps]])-100,F3154+Table1[[#This Row],[Steps]]),
))</f>
        <v>0</v>
      </c>
      <c r="F3155">
        <f>IF(Table1[[#This Row],[New Pos L]]&lt;&gt;0,Table1[[#This Row],[New Pos L]],Table1[[#This Row],[New Pos R]])</f>
        <v>26</v>
      </c>
    </row>
    <row r="3156" spans="1:6" ht="16" x14ac:dyDescent="0.2">
      <c r="A3156" s="1" t="s">
        <v>77</v>
      </c>
      <c r="B3156" t="str">
        <f>LEFT(Table1[[#This Row],[Input]],1)</f>
        <v>R</v>
      </c>
      <c r="C3156">
        <f>_xlfn.LET(_xlpm.steps,SUBSTITUTE(Table1[[#This Row],[Input]],Table1[[#This Row],[Direction]],""),VALUE(IF(LEN(_xlpm.steps)&gt;2,RIGHT(_xlpm.steps,2),_xlpm.steps)))</f>
        <v>74</v>
      </c>
      <c r="D3156">
        <f>_xlfn.LET(_xlpm.dir,Table1[[#This Row],[Direction]],
IF(_xlpm.dir="L",
    IF(F3155-Table1[[#This Row],[Steps]]&lt;0,100+(F3155-Table1[[#This Row],[Steps]]),F3155-Table1[[#This Row],[Steps]]),
))</f>
        <v>0</v>
      </c>
      <c r="E3156">
        <f>_xlfn.LET(_xlpm.dir,Table1[[#This Row],[Direction]],
IF(_xlpm.dir="R",
    IF(F3155+Table1[[#This Row],[Steps]]&gt;99,(F3155+Table1[[#This Row],[Steps]])-100,F3155+Table1[[#This Row],[Steps]]),
))</f>
        <v>0</v>
      </c>
      <c r="F3156">
        <f>IF(Table1[[#This Row],[New Pos L]]&lt;&gt;0,Table1[[#This Row],[New Pos L]],Table1[[#This Row],[New Pos R]])</f>
        <v>0</v>
      </c>
    </row>
    <row r="3157" spans="1:6" ht="16" x14ac:dyDescent="0.2">
      <c r="A3157" s="1" t="s">
        <v>157</v>
      </c>
      <c r="B3157" t="str">
        <f>LEFT(Table1[[#This Row],[Input]],1)</f>
        <v>R</v>
      </c>
      <c r="C3157">
        <f>_xlfn.LET(_xlpm.steps,SUBSTITUTE(Table1[[#This Row],[Input]],Table1[[#This Row],[Direction]],""),VALUE(IF(LEN(_xlpm.steps)&gt;2,RIGHT(_xlpm.steps,2),_xlpm.steps)))</f>
        <v>68</v>
      </c>
      <c r="D3157">
        <f>_xlfn.LET(_xlpm.dir,Table1[[#This Row],[Direction]],
IF(_xlpm.dir="L",
    IF(F3156-Table1[[#This Row],[Steps]]&lt;0,100+(F3156-Table1[[#This Row],[Steps]]),F3156-Table1[[#This Row],[Steps]]),
))</f>
        <v>0</v>
      </c>
      <c r="E3157">
        <f>_xlfn.LET(_xlpm.dir,Table1[[#This Row],[Direction]],
IF(_xlpm.dir="R",
    IF(F3156+Table1[[#This Row],[Steps]]&gt;99,(F3156+Table1[[#This Row],[Steps]])-100,F3156+Table1[[#This Row],[Steps]]),
))</f>
        <v>68</v>
      </c>
      <c r="F3157">
        <f>IF(Table1[[#This Row],[New Pos L]]&lt;&gt;0,Table1[[#This Row],[New Pos L]],Table1[[#This Row],[New Pos R]])</f>
        <v>68</v>
      </c>
    </row>
    <row r="3158" spans="1:6" ht="16" x14ac:dyDescent="0.2">
      <c r="A3158" s="1" t="s">
        <v>707</v>
      </c>
      <c r="B3158" t="str">
        <f>LEFT(Table1[[#This Row],[Input]],1)</f>
        <v>R</v>
      </c>
      <c r="C3158">
        <f>_xlfn.LET(_xlpm.steps,SUBSTITUTE(Table1[[#This Row],[Input]],Table1[[#This Row],[Direction]],""),VALUE(IF(LEN(_xlpm.steps)&gt;2,RIGHT(_xlpm.steps,2),_xlpm.steps)))</f>
        <v>32</v>
      </c>
      <c r="D3158">
        <f>_xlfn.LET(_xlpm.dir,Table1[[#This Row],[Direction]],
IF(_xlpm.dir="L",
    IF(F3157-Table1[[#This Row],[Steps]]&lt;0,100+(F3157-Table1[[#This Row],[Steps]]),F3157-Table1[[#This Row],[Steps]]),
))</f>
        <v>0</v>
      </c>
      <c r="E3158">
        <f>_xlfn.LET(_xlpm.dir,Table1[[#This Row],[Direction]],
IF(_xlpm.dir="R",
    IF(F3157+Table1[[#This Row],[Steps]]&gt;99,(F3157+Table1[[#This Row],[Steps]])-100,F3157+Table1[[#This Row],[Steps]]),
))</f>
        <v>0</v>
      </c>
      <c r="F3158">
        <f>IF(Table1[[#This Row],[New Pos L]]&lt;&gt;0,Table1[[#This Row],[New Pos L]],Table1[[#This Row],[New Pos R]])</f>
        <v>0</v>
      </c>
    </row>
    <row r="3159" spans="1:6" ht="16" x14ac:dyDescent="0.2">
      <c r="A3159" s="1" t="s">
        <v>708</v>
      </c>
      <c r="B3159" t="str">
        <f>LEFT(Table1[[#This Row],[Input]],1)</f>
        <v>R</v>
      </c>
      <c r="C3159">
        <f>_xlfn.LET(_xlpm.steps,SUBSTITUTE(Table1[[#This Row],[Input]],Table1[[#This Row],[Direction]],""),VALUE(IF(LEN(_xlpm.steps)&gt;2,RIGHT(_xlpm.steps,2),_xlpm.steps)))</f>
        <v>96</v>
      </c>
      <c r="D3159">
        <f>_xlfn.LET(_xlpm.dir,Table1[[#This Row],[Direction]],
IF(_xlpm.dir="L",
    IF(F3158-Table1[[#This Row],[Steps]]&lt;0,100+(F3158-Table1[[#This Row],[Steps]]),F3158-Table1[[#This Row],[Steps]]),
))</f>
        <v>0</v>
      </c>
      <c r="E3159">
        <f>_xlfn.LET(_xlpm.dir,Table1[[#This Row],[Direction]],
IF(_xlpm.dir="R",
    IF(F3158+Table1[[#This Row],[Steps]]&gt;99,(F3158+Table1[[#This Row],[Steps]])-100,F3158+Table1[[#This Row],[Steps]]),
))</f>
        <v>96</v>
      </c>
      <c r="F3159">
        <f>IF(Table1[[#This Row],[New Pos L]]&lt;&gt;0,Table1[[#This Row],[New Pos L]],Table1[[#This Row],[New Pos R]])</f>
        <v>96</v>
      </c>
    </row>
    <row r="3160" spans="1:6" ht="16" x14ac:dyDescent="0.2">
      <c r="A3160" s="1" t="s">
        <v>181</v>
      </c>
      <c r="B3160" t="str">
        <f>LEFT(Table1[[#This Row],[Input]],1)</f>
        <v>L</v>
      </c>
      <c r="C3160">
        <f>_xlfn.LET(_xlpm.steps,SUBSTITUTE(Table1[[#This Row],[Input]],Table1[[#This Row],[Direction]],""),VALUE(IF(LEN(_xlpm.steps)&gt;2,RIGHT(_xlpm.steps,2),_xlpm.steps)))</f>
        <v>53</v>
      </c>
      <c r="D3160">
        <f>_xlfn.LET(_xlpm.dir,Table1[[#This Row],[Direction]],
IF(_xlpm.dir="L",
    IF(F3159-Table1[[#This Row],[Steps]]&lt;0,100+(F3159-Table1[[#This Row],[Steps]]),F3159-Table1[[#This Row],[Steps]]),
))</f>
        <v>43</v>
      </c>
      <c r="E3160">
        <f>_xlfn.LET(_xlpm.dir,Table1[[#This Row],[Direction]],
IF(_xlpm.dir="R",
    IF(F3159+Table1[[#This Row],[Steps]]&gt;99,(F3159+Table1[[#This Row],[Steps]])-100,F3159+Table1[[#This Row],[Steps]]),
))</f>
        <v>0</v>
      </c>
      <c r="F3160">
        <f>IF(Table1[[#This Row],[New Pos L]]&lt;&gt;0,Table1[[#This Row],[New Pos L]],Table1[[#This Row],[New Pos R]])</f>
        <v>43</v>
      </c>
    </row>
    <row r="3161" spans="1:6" ht="16" x14ac:dyDescent="0.2">
      <c r="A3161" s="1" t="s">
        <v>63</v>
      </c>
      <c r="B3161" t="str">
        <f>LEFT(Table1[[#This Row],[Input]],1)</f>
        <v>R</v>
      </c>
      <c r="C3161">
        <f>_xlfn.LET(_xlpm.steps,SUBSTITUTE(Table1[[#This Row],[Input]],Table1[[#This Row],[Direction]],""),VALUE(IF(LEN(_xlpm.steps)&gt;2,RIGHT(_xlpm.steps,2),_xlpm.steps)))</f>
        <v>57</v>
      </c>
      <c r="D3161">
        <f>_xlfn.LET(_xlpm.dir,Table1[[#This Row],[Direction]],
IF(_xlpm.dir="L",
    IF(F3160-Table1[[#This Row],[Steps]]&lt;0,100+(F3160-Table1[[#This Row],[Steps]]),F3160-Table1[[#This Row],[Steps]]),
))</f>
        <v>0</v>
      </c>
      <c r="E3161">
        <f>_xlfn.LET(_xlpm.dir,Table1[[#This Row],[Direction]],
IF(_xlpm.dir="R",
    IF(F3160+Table1[[#This Row],[Steps]]&gt;99,(F3160+Table1[[#This Row],[Steps]])-100,F3160+Table1[[#This Row],[Steps]]),
))</f>
        <v>0</v>
      </c>
      <c r="F3161">
        <f>IF(Table1[[#This Row],[New Pos L]]&lt;&gt;0,Table1[[#This Row],[New Pos L]],Table1[[#This Row],[New Pos R]])</f>
        <v>0</v>
      </c>
    </row>
    <row r="3162" spans="1:6" ht="16" x14ac:dyDescent="0.2">
      <c r="A3162" s="1" t="s">
        <v>205</v>
      </c>
      <c r="B3162" t="str">
        <f>LEFT(Table1[[#This Row],[Input]],1)</f>
        <v>R</v>
      </c>
      <c r="C3162">
        <f>_xlfn.LET(_xlpm.steps,SUBSTITUTE(Table1[[#This Row],[Input]],Table1[[#This Row],[Direction]],""),VALUE(IF(LEN(_xlpm.steps)&gt;2,RIGHT(_xlpm.steps,2),_xlpm.steps)))</f>
        <v>83</v>
      </c>
      <c r="D3162">
        <f>_xlfn.LET(_xlpm.dir,Table1[[#This Row],[Direction]],
IF(_xlpm.dir="L",
    IF(F3161-Table1[[#This Row],[Steps]]&lt;0,100+(F3161-Table1[[#This Row],[Steps]]),F3161-Table1[[#This Row],[Steps]]),
))</f>
        <v>0</v>
      </c>
      <c r="E3162">
        <f>_xlfn.LET(_xlpm.dir,Table1[[#This Row],[Direction]],
IF(_xlpm.dir="R",
    IF(F3161+Table1[[#This Row],[Steps]]&gt;99,(F3161+Table1[[#This Row],[Steps]])-100,F3161+Table1[[#This Row],[Steps]]),
))</f>
        <v>83</v>
      </c>
      <c r="F3162">
        <f>IF(Table1[[#This Row],[New Pos L]]&lt;&gt;0,Table1[[#This Row],[New Pos L]],Table1[[#This Row],[New Pos R]])</f>
        <v>83</v>
      </c>
    </row>
    <row r="3163" spans="1:6" ht="16" x14ac:dyDescent="0.2">
      <c r="A3163" s="1" t="s">
        <v>145</v>
      </c>
      <c r="B3163" t="str">
        <f>LEFT(Table1[[#This Row],[Input]],1)</f>
        <v>L</v>
      </c>
      <c r="C3163">
        <f>_xlfn.LET(_xlpm.steps,SUBSTITUTE(Table1[[#This Row],[Input]],Table1[[#This Row],[Direction]],""),VALUE(IF(LEN(_xlpm.steps)&gt;2,RIGHT(_xlpm.steps,2),_xlpm.steps)))</f>
        <v>83</v>
      </c>
      <c r="D3163">
        <f>_xlfn.LET(_xlpm.dir,Table1[[#This Row],[Direction]],
IF(_xlpm.dir="L",
    IF(F3162-Table1[[#This Row],[Steps]]&lt;0,100+(F3162-Table1[[#This Row],[Steps]]),F3162-Table1[[#This Row],[Steps]]),
))</f>
        <v>0</v>
      </c>
      <c r="E3163">
        <f>_xlfn.LET(_xlpm.dir,Table1[[#This Row],[Direction]],
IF(_xlpm.dir="R",
    IF(F3162+Table1[[#This Row],[Steps]]&gt;99,(F3162+Table1[[#This Row],[Steps]])-100,F3162+Table1[[#This Row],[Steps]]),
))</f>
        <v>0</v>
      </c>
      <c r="F3163">
        <f>IF(Table1[[#This Row],[New Pos L]]&lt;&gt;0,Table1[[#This Row],[New Pos L]],Table1[[#This Row],[New Pos R]])</f>
        <v>0</v>
      </c>
    </row>
    <row r="3164" spans="1:6" ht="16" x14ac:dyDescent="0.2">
      <c r="A3164" s="1" t="s">
        <v>59</v>
      </c>
      <c r="B3164" t="str">
        <f>LEFT(Table1[[#This Row],[Input]],1)</f>
        <v>L</v>
      </c>
      <c r="C3164">
        <f>_xlfn.LET(_xlpm.steps,SUBSTITUTE(Table1[[#This Row],[Input]],Table1[[#This Row],[Direction]],""),VALUE(IF(LEN(_xlpm.steps)&gt;2,RIGHT(_xlpm.steps,2),_xlpm.steps)))</f>
        <v>6</v>
      </c>
      <c r="D3164">
        <f>_xlfn.LET(_xlpm.dir,Table1[[#This Row],[Direction]],
IF(_xlpm.dir="L",
    IF(F3163-Table1[[#This Row],[Steps]]&lt;0,100+(F3163-Table1[[#This Row],[Steps]]),F3163-Table1[[#This Row],[Steps]]),
))</f>
        <v>94</v>
      </c>
      <c r="E3164">
        <f>_xlfn.LET(_xlpm.dir,Table1[[#This Row],[Direction]],
IF(_xlpm.dir="R",
    IF(F3163+Table1[[#This Row],[Steps]]&gt;99,(F3163+Table1[[#This Row],[Steps]])-100,F3163+Table1[[#This Row],[Steps]]),
))</f>
        <v>0</v>
      </c>
      <c r="F3164">
        <f>IF(Table1[[#This Row],[New Pos L]]&lt;&gt;0,Table1[[#This Row],[New Pos L]],Table1[[#This Row],[New Pos R]])</f>
        <v>94</v>
      </c>
    </row>
    <row r="3165" spans="1:6" ht="16" x14ac:dyDescent="0.2">
      <c r="A3165" s="1" t="s">
        <v>8</v>
      </c>
      <c r="B3165" t="str">
        <f>LEFT(Table1[[#This Row],[Input]],1)</f>
        <v>R</v>
      </c>
      <c r="C3165">
        <f>_xlfn.LET(_xlpm.steps,SUBSTITUTE(Table1[[#This Row],[Input]],Table1[[#This Row],[Direction]],""),VALUE(IF(LEN(_xlpm.steps)&gt;2,RIGHT(_xlpm.steps,2),_xlpm.steps)))</f>
        <v>18</v>
      </c>
      <c r="D3165">
        <f>_xlfn.LET(_xlpm.dir,Table1[[#This Row],[Direction]],
IF(_xlpm.dir="L",
    IF(F3164-Table1[[#This Row],[Steps]]&lt;0,100+(F3164-Table1[[#This Row],[Steps]]),F3164-Table1[[#This Row],[Steps]]),
))</f>
        <v>0</v>
      </c>
      <c r="E3165">
        <f>_xlfn.LET(_xlpm.dir,Table1[[#This Row],[Direction]],
IF(_xlpm.dir="R",
    IF(F3164+Table1[[#This Row],[Steps]]&gt;99,(F3164+Table1[[#This Row],[Steps]])-100,F3164+Table1[[#This Row],[Steps]]),
))</f>
        <v>12</v>
      </c>
      <c r="F3165">
        <f>IF(Table1[[#This Row],[New Pos L]]&lt;&gt;0,Table1[[#This Row],[New Pos L]],Table1[[#This Row],[New Pos R]])</f>
        <v>12</v>
      </c>
    </row>
    <row r="3166" spans="1:6" ht="16" x14ac:dyDescent="0.2">
      <c r="A3166" s="1" t="s">
        <v>193</v>
      </c>
      <c r="B3166" t="str">
        <f>LEFT(Table1[[#This Row],[Input]],1)</f>
        <v>L</v>
      </c>
      <c r="C3166">
        <f>_xlfn.LET(_xlpm.steps,SUBSTITUTE(Table1[[#This Row],[Input]],Table1[[#This Row],[Direction]],""),VALUE(IF(LEN(_xlpm.steps)&gt;2,RIGHT(_xlpm.steps,2),_xlpm.steps)))</f>
        <v>12</v>
      </c>
      <c r="D3166">
        <f>_xlfn.LET(_xlpm.dir,Table1[[#This Row],[Direction]],
IF(_xlpm.dir="L",
    IF(F3165-Table1[[#This Row],[Steps]]&lt;0,100+(F3165-Table1[[#This Row],[Steps]]),F3165-Table1[[#This Row],[Steps]]),
))</f>
        <v>0</v>
      </c>
      <c r="E3166">
        <f>_xlfn.LET(_xlpm.dir,Table1[[#This Row],[Direction]],
IF(_xlpm.dir="R",
    IF(F3165+Table1[[#This Row],[Steps]]&gt;99,(F3165+Table1[[#This Row],[Steps]])-100,F3165+Table1[[#This Row],[Steps]]),
))</f>
        <v>0</v>
      </c>
      <c r="F3166">
        <f>IF(Table1[[#This Row],[New Pos L]]&lt;&gt;0,Table1[[#This Row],[New Pos L]],Table1[[#This Row],[New Pos R]])</f>
        <v>0</v>
      </c>
    </row>
    <row r="3167" spans="1:6" ht="16" x14ac:dyDescent="0.2">
      <c r="A3167" s="1" t="s">
        <v>6</v>
      </c>
      <c r="B3167" t="str">
        <f>LEFT(Table1[[#This Row],[Input]],1)</f>
        <v>R</v>
      </c>
      <c r="C3167">
        <f>_xlfn.LET(_xlpm.steps,SUBSTITUTE(Table1[[#This Row],[Input]],Table1[[#This Row],[Direction]],""),VALUE(IF(LEN(_xlpm.steps)&gt;2,RIGHT(_xlpm.steps,2),_xlpm.steps)))</f>
        <v>49</v>
      </c>
      <c r="D3167">
        <f>_xlfn.LET(_xlpm.dir,Table1[[#This Row],[Direction]],
IF(_xlpm.dir="L",
    IF(F3166-Table1[[#This Row],[Steps]]&lt;0,100+(F3166-Table1[[#This Row],[Steps]]),F3166-Table1[[#This Row],[Steps]]),
))</f>
        <v>0</v>
      </c>
      <c r="E3167">
        <f>_xlfn.LET(_xlpm.dir,Table1[[#This Row],[Direction]],
IF(_xlpm.dir="R",
    IF(F3166+Table1[[#This Row],[Steps]]&gt;99,(F3166+Table1[[#This Row],[Steps]])-100,F3166+Table1[[#This Row],[Steps]]),
))</f>
        <v>49</v>
      </c>
      <c r="F3167">
        <f>IF(Table1[[#This Row],[New Pos L]]&lt;&gt;0,Table1[[#This Row],[New Pos L]],Table1[[#This Row],[New Pos R]])</f>
        <v>49</v>
      </c>
    </row>
    <row r="3168" spans="1:6" ht="16" x14ac:dyDescent="0.2">
      <c r="A3168" s="1" t="s">
        <v>295</v>
      </c>
      <c r="B3168" t="str">
        <f>LEFT(Table1[[#This Row],[Input]],1)</f>
        <v>L</v>
      </c>
      <c r="C3168">
        <f>_xlfn.LET(_xlpm.steps,SUBSTITUTE(Table1[[#This Row],[Input]],Table1[[#This Row],[Direction]],""),VALUE(IF(LEN(_xlpm.steps)&gt;2,RIGHT(_xlpm.steps,2),_xlpm.steps)))</f>
        <v>88</v>
      </c>
      <c r="D3168">
        <f>_xlfn.LET(_xlpm.dir,Table1[[#This Row],[Direction]],
IF(_xlpm.dir="L",
    IF(F3167-Table1[[#This Row],[Steps]]&lt;0,100+(F3167-Table1[[#This Row],[Steps]]),F3167-Table1[[#This Row],[Steps]]),
))</f>
        <v>61</v>
      </c>
      <c r="E3168">
        <f>_xlfn.LET(_xlpm.dir,Table1[[#This Row],[Direction]],
IF(_xlpm.dir="R",
    IF(F3167+Table1[[#This Row],[Steps]]&gt;99,(F3167+Table1[[#This Row],[Steps]])-100,F3167+Table1[[#This Row],[Steps]]),
))</f>
        <v>0</v>
      </c>
      <c r="F3168">
        <f>IF(Table1[[#This Row],[New Pos L]]&lt;&gt;0,Table1[[#This Row],[New Pos L]],Table1[[#This Row],[New Pos R]])</f>
        <v>61</v>
      </c>
    </row>
    <row r="3169" spans="1:6" ht="16" x14ac:dyDescent="0.2">
      <c r="A3169" s="1" t="s">
        <v>102</v>
      </c>
      <c r="B3169" t="str">
        <f>LEFT(Table1[[#This Row],[Input]],1)</f>
        <v>R</v>
      </c>
      <c r="C3169">
        <f>_xlfn.LET(_xlpm.steps,SUBSTITUTE(Table1[[#This Row],[Input]],Table1[[#This Row],[Direction]],""),VALUE(IF(LEN(_xlpm.steps)&gt;2,RIGHT(_xlpm.steps,2),_xlpm.steps)))</f>
        <v>39</v>
      </c>
      <c r="D3169">
        <f>_xlfn.LET(_xlpm.dir,Table1[[#This Row],[Direction]],
IF(_xlpm.dir="L",
    IF(F3168-Table1[[#This Row],[Steps]]&lt;0,100+(F3168-Table1[[#This Row],[Steps]]),F3168-Table1[[#This Row],[Steps]]),
))</f>
        <v>0</v>
      </c>
      <c r="E3169">
        <f>_xlfn.LET(_xlpm.dir,Table1[[#This Row],[Direction]],
IF(_xlpm.dir="R",
    IF(F3168+Table1[[#This Row],[Steps]]&gt;99,(F3168+Table1[[#This Row],[Steps]])-100,F3168+Table1[[#This Row],[Steps]]),
))</f>
        <v>0</v>
      </c>
      <c r="F3169">
        <f>IF(Table1[[#This Row],[New Pos L]]&lt;&gt;0,Table1[[#This Row],[New Pos L]],Table1[[#This Row],[New Pos R]])</f>
        <v>0</v>
      </c>
    </row>
    <row r="3170" spans="1:6" ht="16" x14ac:dyDescent="0.2">
      <c r="A3170" s="1" t="s">
        <v>709</v>
      </c>
      <c r="B3170" t="str">
        <f>LEFT(Table1[[#This Row],[Input]],1)</f>
        <v>R</v>
      </c>
      <c r="C3170">
        <f>_xlfn.LET(_xlpm.steps,SUBSTITUTE(Table1[[#This Row],[Input]],Table1[[#This Row],[Direction]],""),VALUE(IF(LEN(_xlpm.steps)&gt;2,RIGHT(_xlpm.steps,2),_xlpm.steps)))</f>
        <v>87</v>
      </c>
      <c r="D3170">
        <f>_xlfn.LET(_xlpm.dir,Table1[[#This Row],[Direction]],
IF(_xlpm.dir="L",
    IF(F3169-Table1[[#This Row],[Steps]]&lt;0,100+(F3169-Table1[[#This Row],[Steps]]),F3169-Table1[[#This Row],[Steps]]),
))</f>
        <v>0</v>
      </c>
      <c r="E3170">
        <f>_xlfn.LET(_xlpm.dir,Table1[[#This Row],[Direction]],
IF(_xlpm.dir="R",
    IF(F3169+Table1[[#This Row],[Steps]]&gt;99,(F3169+Table1[[#This Row],[Steps]])-100,F3169+Table1[[#This Row],[Steps]]),
))</f>
        <v>87</v>
      </c>
      <c r="F3170">
        <f>IF(Table1[[#This Row],[New Pos L]]&lt;&gt;0,Table1[[#This Row],[New Pos L]],Table1[[#This Row],[New Pos R]])</f>
        <v>87</v>
      </c>
    </row>
    <row r="3171" spans="1:6" ht="16" x14ac:dyDescent="0.2">
      <c r="A3171" s="1" t="s">
        <v>132</v>
      </c>
      <c r="B3171" t="str">
        <f>LEFT(Table1[[#This Row],[Input]],1)</f>
        <v>L</v>
      </c>
      <c r="C3171">
        <f>_xlfn.LET(_xlpm.steps,SUBSTITUTE(Table1[[#This Row],[Input]],Table1[[#This Row],[Direction]],""),VALUE(IF(LEN(_xlpm.steps)&gt;2,RIGHT(_xlpm.steps,2),_xlpm.steps)))</f>
        <v>51</v>
      </c>
      <c r="D3171">
        <f>_xlfn.LET(_xlpm.dir,Table1[[#This Row],[Direction]],
IF(_xlpm.dir="L",
    IF(F3170-Table1[[#This Row],[Steps]]&lt;0,100+(F3170-Table1[[#This Row],[Steps]]),F3170-Table1[[#This Row],[Steps]]),
))</f>
        <v>36</v>
      </c>
      <c r="E3171">
        <f>_xlfn.LET(_xlpm.dir,Table1[[#This Row],[Direction]],
IF(_xlpm.dir="R",
    IF(F3170+Table1[[#This Row],[Steps]]&gt;99,(F3170+Table1[[#This Row],[Steps]])-100,F3170+Table1[[#This Row],[Steps]]),
))</f>
        <v>0</v>
      </c>
      <c r="F3171">
        <f>IF(Table1[[#This Row],[New Pos L]]&lt;&gt;0,Table1[[#This Row],[New Pos L]],Table1[[#This Row],[New Pos R]])</f>
        <v>36</v>
      </c>
    </row>
    <row r="3172" spans="1:6" ht="16" x14ac:dyDescent="0.2">
      <c r="A3172" s="1" t="s">
        <v>21</v>
      </c>
      <c r="B3172" t="str">
        <f>LEFT(Table1[[#This Row],[Input]],1)</f>
        <v>L</v>
      </c>
      <c r="C3172">
        <f>_xlfn.LET(_xlpm.steps,SUBSTITUTE(Table1[[#This Row],[Input]],Table1[[#This Row],[Direction]],""),VALUE(IF(LEN(_xlpm.steps)&gt;2,RIGHT(_xlpm.steps,2),_xlpm.steps)))</f>
        <v>36</v>
      </c>
      <c r="D3172">
        <f>_xlfn.LET(_xlpm.dir,Table1[[#This Row],[Direction]],
IF(_xlpm.dir="L",
    IF(F3171-Table1[[#This Row],[Steps]]&lt;0,100+(F3171-Table1[[#This Row],[Steps]]),F3171-Table1[[#This Row],[Steps]]),
))</f>
        <v>0</v>
      </c>
      <c r="E3172">
        <f>_xlfn.LET(_xlpm.dir,Table1[[#This Row],[Direction]],
IF(_xlpm.dir="R",
    IF(F3171+Table1[[#This Row],[Steps]]&gt;99,(F3171+Table1[[#This Row],[Steps]])-100,F3171+Table1[[#This Row],[Steps]]),
))</f>
        <v>0</v>
      </c>
      <c r="F3172">
        <f>IF(Table1[[#This Row],[New Pos L]]&lt;&gt;0,Table1[[#This Row],[New Pos L]],Table1[[#This Row],[New Pos R]])</f>
        <v>0</v>
      </c>
    </row>
    <row r="3173" spans="1:6" ht="16" x14ac:dyDescent="0.2">
      <c r="A3173" s="1" t="s">
        <v>364</v>
      </c>
      <c r="B3173" t="str">
        <f>LEFT(Table1[[#This Row],[Input]],1)</f>
        <v>L</v>
      </c>
      <c r="C3173">
        <f>_xlfn.LET(_xlpm.steps,SUBSTITUTE(Table1[[#This Row],[Input]],Table1[[#This Row],[Direction]],""),VALUE(IF(LEN(_xlpm.steps)&gt;2,RIGHT(_xlpm.steps,2),_xlpm.steps)))</f>
        <v>70</v>
      </c>
      <c r="D3173">
        <f>_xlfn.LET(_xlpm.dir,Table1[[#This Row],[Direction]],
IF(_xlpm.dir="L",
    IF(F3172-Table1[[#This Row],[Steps]]&lt;0,100+(F3172-Table1[[#This Row],[Steps]]),F3172-Table1[[#This Row],[Steps]]),
))</f>
        <v>30</v>
      </c>
      <c r="E3173">
        <f>_xlfn.LET(_xlpm.dir,Table1[[#This Row],[Direction]],
IF(_xlpm.dir="R",
    IF(F3172+Table1[[#This Row],[Steps]]&gt;99,(F3172+Table1[[#This Row],[Steps]])-100,F3172+Table1[[#This Row],[Steps]]),
))</f>
        <v>0</v>
      </c>
      <c r="F3173">
        <f>IF(Table1[[#This Row],[New Pos L]]&lt;&gt;0,Table1[[#This Row],[New Pos L]],Table1[[#This Row],[New Pos R]])</f>
        <v>30</v>
      </c>
    </row>
    <row r="3174" spans="1:6" ht="16" x14ac:dyDescent="0.2">
      <c r="A3174" s="1" t="s">
        <v>58</v>
      </c>
      <c r="B3174" t="str">
        <f>LEFT(Table1[[#This Row],[Input]],1)</f>
        <v>L</v>
      </c>
      <c r="C3174">
        <f>_xlfn.LET(_xlpm.steps,SUBSTITUTE(Table1[[#This Row],[Input]],Table1[[#This Row],[Direction]],""),VALUE(IF(LEN(_xlpm.steps)&gt;2,RIGHT(_xlpm.steps,2),_xlpm.steps)))</f>
        <v>30</v>
      </c>
      <c r="D3174">
        <f>_xlfn.LET(_xlpm.dir,Table1[[#This Row],[Direction]],
IF(_xlpm.dir="L",
    IF(F3173-Table1[[#This Row],[Steps]]&lt;0,100+(F3173-Table1[[#This Row],[Steps]]),F3173-Table1[[#This Row],[Steps]]),
))</f>
        <v>0</v>
      </c>
      <c r="E3174">
        <f>_xlfn.LET(_xlpm.dir,Table1[[#This Row],[Direction]],
IF(_xlpm.dir="R",
    IF(F3173+Table1[[#This Row],[Steps]]&gt;99,(F3173+Table1[[#This Row],[Steps]])-100,F3173+Table1[[#This Row],[Steps]]),
))</f>
        <v>0</v>
      </c>
      <c r="F3174">
        <f>IF(Table1[[#This Row],[New Pos L]]&lt;&gt;0,Table1[[#This Row],[New Pos L]],Table1[[#This Row],[New Pos R]])</f>
        <v>0</v>
      </c>
    </row>
    <row r="3175" spans="1:6" ht="16" x14ac:dyDescent="0.2">
      <c r="A3175" s="1" t="s">
        <v>141</v>
      </c>
      <c r="B3175" t="str">
        <f>LEFT(Table1[[#This Row],[Input]],1)</f>
        <v>L</v>
      </c>
      <c r="C3175">
        <f>_xlfn.LET(_xlpm.steps,SUBSTITUTE(Table1[[#This Row],[Input]],Table1[[#This Row],[Direction]],""),VALUE(IF(LEN(_xlpm.steps)&gt;2,RIGHT(_xlpm.steps,2),_xlpm.steps)))</f>
        <v>90</v>
      </c>
      <c r="D3175">
        <f>_xlfn.LET(_xlpm.dir,Table1[[#This Row],[Direction]],
IF(_xlpm.dir="L",
    IF(F3174-Table1[[#This Row],[Steps]]&lt;0,100+(F3174-Table1[[#This Row],[Steps]]),F3174-Table1[[#This Row],[Steps]]),
))</f>
        <v>10</v>
      </c>
      <c r="E3175">
        <f>_xlfn.LET(_xlpm.dir,Table1[[#This Row],[Direction]],
IF(_xlpm.dir="R",
    IF(F3174+Table1[[#This Row],[Steps]]&gt;99,(F3174+Table1[[#This Row],[Steps]])-100,F3174+Table1[[#This Row],[Steps]]),
))</f>
        <v>0</v>
      </c>
      <c r="F3175">
        <f>IF(Table1[[#This Row],[New Pos L]]&lt;&gt;0,Table1[[#This Row],[New Pos L]],Table1[[#This Row],[New Pos R]])</f>
        <v>10</v>
      </c>
    </row>
    <row r="3176" spans="1:6" ht="16" x14ac:dyDescent="0.2">
      <c r="A3176" s="1" t="s">
        <v>158</v>
      </c>
      <c r="B3176" t="str">
        <f>LEFT(Table1[[#This Row],[Input]],1)</f>
        <v>L</v>
      </c>
      <c r="C3176">
        <f>_xlfn.LET(_xlpm.steps,SUBSTITUTE(Table1[[#This Row],[Input]],Table1[[#This Row],[Direction]],""),VALUE(IF(LEN(_xlpm.steps)&gt;2,RIGHT(_xlpm.steps,2),_xlpm.steps)))</f>
        <v>24</v>
      </c>
      <c r="D3176">
        <f>_xlfn.LET(_xlpm.dir,Table1[[#This Row],[Direction]],
IF(_xlpm.dir="L",
    IF(F3175-Table1[[#This Row],[Steps]]&lt;0,100+(F3175-Table1[[#This Row],[Steps]]),F3175-Table1[[#This Row],[Steps]]),
))</f>
        <v>86</v>
      </c>
      <c r="E3176">
        <f>_xlfn.LET(_xlpm.dir,Table1[[#This Row],[Direction]],
IF(_xlpm.dir="R",
    IF(F3175+Table1[[#This Row],[Steps]]&gt;99,(F3175+Table1[[#This Row],[Steps]])-100,F3175+Table1[[#This Row],[Steps]]),
))</f>
        <v>0</v>
      </c>
      <c r="F3176">
        <f>IF(Table1[[#This Row],[New Pos L]]&lt;&gt;0,Table1[[#This Row],[New Pos L]],Table1[[#This Row],[New Pos R]])</f>
        <v>86</v>
      </c>
    </row>
    <row r="3177" spans="1:6" ht="16" x14ac:dyDescent="0.2">
      <c r="A3177" s="1" t="s">
        <v>216</v>
      </c>
      <c r="B3177" t="str">
        <f>LEFT(Table1[[#This Row],[Input]],1)</f>
        <v>R</v>
      </c>
      <c r="C3177">
        <f>_xlfn.LET(_xlpm.steps,SUBSTITUTE(Table1[[#This Row],[Input]],Table1[[#This Row],[Direction]],""),VALUE(IF(LEN(_xlpm.steps)&gt;2,RIGHT(_xlpm.steps,2),_xlpm.steps)))</f>
        <v>54</v>
      </c>
      <c r="D3177">
        <f>_xlfn.LET(_xlpm.dir,Table1[[#This Row],[Direction]],
IF(_xlpm.dir="L",
    IF(F3176-Table1[[#This Row],[Steps]]&lt;0,100+(F3176-Table1[[#This Row],[Steps]]),F3176-Table1[[#This Row],[Steps]]),
))</f>
        <v>0</v>
      </c>
      <c r="E3177">
        <f>_xlfn.LET(_xlpm.dir,Table1[[#This Row],[Direction]],
IF(_xlpm.dir="R",
    IF(F3176+Table1[[#This Row],[Steps]]&gt;99,(F3176+Table1[[#This Row],[Steps]])-100,F3176+Table1[[#This Row],[Steps]]),
))</f>
        <v>40</v>
      </c>
      <c r="F3177">
        <f>IF(Table1[[#This Row],[New Pos L]]&lt;&gt;0,Table1[[#This Row],[New Pos L]],Table1[[#This Row],[New Pos R]])</f>
        <v>40</v>
      </c>
    </row>
    <row r="3178" spans="1:6" ht="16" x14ac:dyDescent="0.2">
      <c r="A3178" s="1" t="s">
        <v>346</v>
      </c>
      <c r="B3178" t="str">
        <f>LEFT(Table1[[#This Row],[Input]],1)</f>
        <v>L</v>
      </c>
      <c r="C3178">
        <f>_xlfn.LET(_xlpm.steps,SUBSTITUTE(Table1[[#This Row],[Input]],Table1[[#This Row],[Direction]],""),VALUE(IF(LEN(_xlpm.steps)&gt;2,RIGHT(_xlpm.steps,2),_xlpm.steps)))</f>
        <v>61</v>
      </c>
      <c r="D3178">
        <f>_xlfn.LET(_xlpm.dir,Table1[[#This Row],[Direction]],
IF(_xlpm.dir="L",
    IF(F3177-Table1[[#This Row],[Steps]]&lt;0,100+(F3177-Table1[[#This Row],[Steps]]),F3177-Table1[[#This Row],[Steps]]),
))</f>
        <v>79</v>
      </c>
      <c r="E3178">
        <f>_xlfn.LET(_xlpm.dir,Table1[[#This Row],[Direction]],
IF(_xlpm.dir="R",
    IF(F3177+Table1[[#This Row],[Steps]]&gt;99,(F3177+Table1[[#This Row],[Steps]])-100,F3177+Table1[[#This Row],[Steps]]),
))</f>
        <v>0</v>
      </c>
      <c r="F3178">
        <f>IF(Table1[[#This Row],[New Pos L]]&lt;&gt;0,Table1[[#This Row],[New Pos L]],Table1[[#This Row],[New Pos R]])</f>
        <v>79</v>
      </c>
    </row>
    <row r="3179" spans="1:6" ht="16" x14ac:dyDescent="0.2">
      <c r="A3179" s="1" t="s">
        <v>19</v>
      </c>
      <c r="B3179" t="str">
        <f>LEFT(Table1[[#This Row],[Input]],1)</f>
        <v>R</v>
      </c>
      <c r="C3179">
        <f>_xlfn.LET(_xlpm.steps,SUBSTITUTE(Table1[[#This Row],[Input]],Table1[[#This Row],[Direction]],""),VALUE(IF(LEN(_xlpm.steps)&gt;2,RIGHT(_xlpm.steps,2),_xlpm.steps)))</f>
        <v>47</v>
      </c>
      <c r="D3179">
        <f>_xlfn.LET(_xlpm.dir,Table1[[#This Row],[Direction]],
IF(_xlpm.dir="L",
    IF(F3178-Table1[[#This Row],[Steps]]&lt;0,100+(F3178-Table1[[#This Row],[Steps]]),F3178-Table1[[#This Row],[Steps]]),
))</f>
        <v>0</v>
      </c>
      <c r="E3179">
        <f>_xlfn.LET(_xlpm.dir,Table1[[#This Row],[Direction]],
IF(_xlpm.dir="R",
    IF(F3178+Table1[[#This Row],[Steps]]&gt;99,(F3178+Table1[[#This Row],[Steps]])-100,F3178+Table1[[#This Row],[Steps]]),
))</f>
        <v>26</v>
      </c>
      <c r="F3179">
        <f>IF(Table1[[#This Row],[New Pos L]]&lt;&gt;0,Table1[[#This Row],[New Pos L]],Table1[[#This Row],[New Pos R]])</f>
        <v>26</v>
      </c>
    </row>
    <row r="3180" spans="1:6" ht="16" x14ac:dyDescent="0.2">
      <c r="A3180" s="1" t="s">
        <v>42</v>
      </c>
      <c r="B3180" t="str">
        <f>LEFT(Table1[[#This Row],[Input]],1)</f>
        <v>L</v>
      </c>
      <c r="C3180">
        <f>_xlfn.LET(_xlpm.steps,SUBSTITUTE(Table1[[#This Row],[Input]],Table1[[#This Row],[Direction]],""),VALUE(IF(LEN(_xlpm.steps)&gt;2,RIGHT(_xlpm.steps,2),_xlpm.steps)))</f>
        <v>27</v>
      </c>
      <c r="D3180">
        <f>_xlfn.LET(_xlpm.dir,Table1[[#This Row],[Direction]],
IF(_xlpm.dir="L",
    IF(F3179-Table1[[#This Row],[Steps]]&lt;0,100+(F3179-Table1[[#This Row],[Steps]]),F3179-Table1[[#This Row],[Steps]]),
))</f>
        <v>99</v>
      </c>
      <c r="E3180">
        <f>_xlfn.LET(_xlpm.dir,Table1[[#This Row],[Direction]],
IF(_xlpm.dir="R",
    IF(F3179+Table1[[#This Row],[Steps]]&gt;99,(F3179+Table1[[#This Row],[Steps]])-100,F3179+Table1[[#This Row],[Steps]]),
))</f>
        <v>0</v>
      </c>
      <c r="F3180">
        <f>IF(Table1[[#This Row],[New Pos L]]&lt;&gt;0,Table1[[#This Row],[New Pos L]],Table1[[#This Row],[New Pos R]])</f>
        <v>99</v>
      </c>
    </row>
    <row r="3181" spans="1:6" ht="16" x14ac:dyDescent="0.2">
      <c r="A3181" s="1" t="s">
        <v>222</v>
      </c>
      <c r="B3181" t="str">
        <f>LEFT(Table1[[#This Row],[Input]],1)</f>
        <v>R</v>
      </c>
      <c r="C3181">
        <f>_xlfn.LET(_xlpm.steps,SUBSTITUTE(Table1[[#This Row],[Input]],Table1[[#This Row],[Direction]],""),VALUE(IF(LEN(_xlpm.steps)&gt;2,RIGHT(_xlpm.steps,2),_xlpm.steps)))</f>
        <v>1</v>
      </c>
      <c r="D3181">
        <f>_xlfn.LET(_xlpm.dir,Table1[[#This Row],[Direction]],
IF(_xlpm.dir="L",
    IF(F3180-Table1[[#This Row],[Steps]]&lt;0,100+(F3180-Table1[[#This Row],[Steps]]),F3180-Table1[[#This Row],[Steps]]),
))</f>
        <v>0</v>
      </c>
      <c r="E3181">
        <f>_xlfn.LET(_xlpm.dir,Table1[[#This Row],[Direction]],
IF(_xlpm.dir="R",
    IF(F3180+Table1[[#This Row],[Steps]]&gt;99,(F3180+Table1[[#This Row],[Steps]])-100,F3180+Table1[[#This Row],[Steps]]),
))</f>
        <v>0</v>
      </c>
      <c r="F3181">
        <f>IF(Table1[[#This Row],[New Pos L]]&lt;&gt;0,Table1[[#This Row],[New Pos L]],Table1[[#This Row],[New Pos R]])</f>
        <v>0</v>
      </c>
    </row>
    <row r="3182" spans="1:6" ht="16" x14ac:dyDescent="0.2">
      <c r="A3182" s="1" t="s">
        <v>5</v>
      </c>
      <c r="B3182" t="str">
        <f>LEFT(Table1[[#This Row],[Input]],1)</f>
        <v>R</v>
      </c>
      <c r="C3182">
        <f>_xlfn.LET(_xlpm.steps,SUBSTITUTE(Table1[[#This Row],[Input]],Table1[[#This Row],[Direction]],""),VALUE(IF(LEN(_xlpm.steps)&gt;2,RIGHT(_xlpm.steps,2),_xlpm.steps)))</f>
        <v>1</v>
      </c>
      <c r="D3182">
        <f>_xlfn.LET(_xlpm.dir,Table1[[#This Row],[Direction]],
IF(_xlpm.dir="L",
    IF(F3181-Table1[[#This Row],[Steps]]&lt;0,100+(F3181-Table1[[#This Row],[Steps]]),F3181-Table1[[#This Row],[Steps]]),
))</f>
        <v>0</v>
      </c>
      <c r="E3182">
        <f>_xlfn.LET(_xlpm.dir,Table1[[#This Row],[Direction]],
IF(_xlpm.dir="R",
    IF(F3181+Table1[[#This Row],[Steps]]&gt;99,(F3181+Table1[[#This Row],[Steps]])-100,F3181+Table1[[#This Row],[Steps]]),
))</f>
        <v>1</v>
      </c>
      <c r="F3182">
        <f>IF(Table1[[#This Row],[New Pos L]]&lt;&gt;0,Table1[[#This Row],[New Pos L]],Table1[[#This Row],[New Pos R]])</f>
        <v>1</v>
      </c>
    </row>
    <row r="3183" spans="1:6" ht="16" x14ac:dyDescent="0.2">
      <c r="A3183" s="1" t="s">
        <v>511</v>
      </c>
      <c r="B3183" t="str">
        <f>LEFT(Table1[[#This Row],[Input]],1)</f>
        <v>L</v>
      </c>
      <c r="C3183">
        <f>_xlfn.LET(_xlpm.steps,SUBSTITUTE(Table1[[#This Row],[Input]],Table1[[#This Row],[Direction]],""),VALUE(IF(LEN(_xlpm.steps)&gt;2,RIGHT(_xlpm.steps,2),_xlpm.steps)))</f>
        <v>47</v>
      </c>
      <c r="D3183">
        <f>_xlfn.LET(_xlpm.dir,Table1[[#This Row],[Direction]],
IF(_xlpm.dir="L",
    IF(F3182-Table1[[#This Row],[Steps]]&lt;0,100+(F3182-Table1[[#This Row],[Steps]]),F3182-Table1[[#This Row],[Steps]]),
))</f>
        <v>54</v>
      </c>
      <c r="E3183">
        <f>_xlfn.LET(_xlpm.dir,Table1[[#This Row],[Direction]],
IF(_xlpm.dir="R",
    IF(F3182+Table1[[#This Row],[Steps]]&gt;99,(F3182+Table1[[#This Row],[Steps]])-100,F3182+Table1[[#This Row],[Steps]]),
))</f>
        <v>0</v>
      </c>
      <c r="F3183">
        <f>IF(Table1[[#This Row],[New Pos L]]&lt;&gt;0,Table1[[#This Row],[New Pos L]],Table1[[#This Row],[New Pos R]])</f>
        <v>54</v>
      </c>
    </row>
    <row r="3184" spans="1:6" ht="16" x14ac:dyDescent="0.2">
      <c r="A3184" s="1" t="s">
        <v>20</v>
      </c>
      <c r="B3184" t="str">
        <f>LEFT(Table1[[#This Row],[Input]],1)</f>
        <v>R</v>
      </c>
      <c r="C3184">
        <f>_xlfn.LET(_xlpm.steps,SUBSTITUTE(Table1[[#This Row],[Input]],Table1[[#This Row],[Direction]],""),VALUE(IF(LEN(_xlpm.steps)&gt;2,RIGHT(_xlpm.steps,2),_xlpm.steps)))</f>
        <v>46</v>
      </c>
      <c r="D3184">
        <f>_xlfn.LET(_xlpm.dir,Table1[[#This Row],[Direction]],
IF(_xlpm.dir="L",
    IF(F3183-Table1[[#This Row],[Steps]]&lt;0,100+(F3183-Table1[[#This Row],[Steps]]),F3183-Table1[[#This Row],[Steps]]),
))</f>
        <v>0</v>
      </c>
      <c r="E3184">
        <f>_xlfn.LET(_xlpm.dir,Table1[[#This Row],[Direction]],
IF(_xlpm.dir="R",
    IF(F3183+Table1[[#This Row],[Steps]]&gt;99,(F3183+Table1[[#This Row],[Steps]])-100,F3183+Table1[[#This Row],[Steps]]),
))</f>
        <v>0</v>
      </c>
      <c r="F3184">
        <f>IF(Table1[[#This Row],[New Pos L]]&lt;&gt;0,Table1[[#This Row],[New Pos L]],Table1[[#This Row],[New Pos R]])</f>
        <v>0</v>
      </c>
    </row>
    <row r="3185" spans="1:6" ht="16" x14ac:dyDescent="0.2">
      <c r="A3185" s="1" t="s">
        <v>244</v>
      </c>
      <c r="B3185" t="str">
        <f>LEFT(Table1[[#This Row],[Input]],1)</f>
        <v>L</v>
      </c>
      <c r="C3185">
        <f>_xlfn.LET(_xlpm.steps,SUBSTITUTE(Table1[[#This Row],[Input]],Table1[[#This Row],[Direction]],""),VALUE(IF(LEN(_xlpm.steps)&gt;2,RIGHT(_xlpm.steps,2),_xlpm.steps)))</f>
        <v>98</v>
      </c>
      <c r="D3185">
        <f>_xlfn.LET(_xlpm.dir,Table1[[#This Row],[Direction]],
IF(_xlpm.dir="L",
    IF(F3184-Table1[[#This Row],[Steps]]&lt;0,100+(F3184-Table1[[#This Row],[Steps]]),F3184-Table1[[#This Row],[Steps]]),
))</f>
        <v>2</v>
      </c>
      <c r="E3185">
        <f>_xlfn.LET(_xlpm.dir,Table1[[#This Row],[Direction]],
IF(_xlpm.dir="R",
    IF(F3184+Table1[[#This Row],[Steps]]&gt;99,(F3184+Table1[[#This Row],[Steps]])-100,F3184+Table1[[#This Row],[Steps]]),
))</f>
        <v>0</v>
      </c>
      <c r="F3185">
        <f>IF(Table1[[#This Row],[New Pos L]]&lt;&gt;0,Table1[[#This Row],[New Pos L]],Table1[[#This Row],[New Pos R]])</f>
        <v>2</v>
      </c>
    </row>
    <row r="3186" spans="1:6" ht="16" x14ac:dyDescent="0.2">
      <c r="A3186" s="1" t="s">
        <v>710</v>
      </c>
      <c r="B3186" t="str">
        <f>LEFT(Table1[[#This Row],[Input]],1)</f>
        <v>L</v>
      </c>
      <c r="C3186">
        <f>_xlfn.LET(_xlpm.steps,SUBSTITUTE(Table1[[#This Row],[Input]],Table1[[#This Row],[Direction]],""),VALUE(IF(LEN(_xlpm.steps)&gt;2,RIGHT(_xlpm.steps,2),_xlpm.steps)))</f>
        <v>2</v>
      </c>
      <c r="D3186">
        <f>_xlfn.LET(_xlpm.dir,Table1[[#This Row],[Direction]],
IF(_xlpm.dir="L",
    IF(F3185-Table1[[#This Row],[Steps]]&lt;0,100+(F3185-Table1[[#This Row],[Steps]]),F3185-Table1[[#This Row],[Steps]]),
))</f>
        <v>0</v>
      </c>
      <c r="E3186">
        <f>_xlfn.LET(_xlpm.dir,Table1[[#This Row],[Direction]],
IF(_xlpm.dir="R",
    IF(F3185+Table1[[#This Row],[Steps]]&gt;99,(F3185+Table1[[#This Row],[Steps]])-100,F3185+Table1[[#This Row],[Steps]]),
))</f>
        <v>0</v>
      </c>
      <c r="F3186">
        <f>IF(Table1[[#This Row],[New Pos L]]&lt;&gt;0,Table1[[#This Row],[New Pos L]],Table1[[#This Row],[New Pos R]])</f>
        <v>0</v>
      </c>
    </row>
    <row r="3187" spans="1:6" ht="16" x14ac:dyDescent="0.2">
      <c r="A3187" s="1" t="s">
        <v>24</v>
      </c>
      <c r="B3187" t="str">
        <f>LEFT(Table1[[#This Row],[Input]],1)</f>
        <v>L</v>
      </c>
      <c r="C3187">
        <f>_xlfn.LET(_xlpm.steps,SUBSTITUTE(Table1[[#This Row],[Input]],Table1[[#This Row],[Direction]],""),VALUE(IF(LEN(_xlpm.steps)&gt;2,RIGHT(_xlpm.steps,2),_xlpm.steps)))</f>
        <v>49</v>
      </c>
      <c r="D3187">
        <f>_xlfn.LET(_xlpm.dir,Table1[[#This Row],[Direction]],
IF(_xlpm.dir="L",
    IF(F3186-Table1[[#This Row],[Steps]]&lt;0,100+(F3186-Table1[[#This Row],[Steps]]),F3186-Table1[[#This Row],[Steps]]),
))</f>
        <v>51</v>
      </c>
      <c r="E3187">
        <f>_xlfn.LET(_xlpm.dir,Table1[[#This Row],[Direction]],
IF(_xlpm.dir="R",
    IF(F3186+Table1[[#This Row],[Steps]]&gt;99,(F3186+Table1[[#This Row],[Steps]])-100,F3186+Table1[[#This Row],[Steps]]),
))</f>
        <v>0</v>
      </c>
      <c r="F3187">
        <f>IF(Table1[[#This Row],[New Pos L]]&lt;&gt;0,Table1[[#This Row],[New Pos L]],Table1[[#This Row],[New Pos R]])</f>
        <v>51</v>
      </c>
    </row>
    <row r="3188" spans="1:6" ht="16" x14ac:dyDescent="0.2">
      <c r="A3188" s="1" t="s">
        <v>106</v>
      </c>
      <c r="B3188" t="str">
        <f>LEFT(Table1[[#This Row],[Input]],1)</f>
        <v>R</v>
      </c>
      <c r="C3188">
        <f>_xlfn.LET(_xlpm.steps,SUBSTITUTE(Table1[[#This Row],[Input]],Table1[[#This Row],[Direction]],""),VALUE(IF(LEN(_xlpm.steps)&gt;2,RIGHT(_xlpm.steps,2),_xlpm.steps)))</f>
        <v>41</v>
      </c>
      <c r="D3188">
        <f>_xlfn.LET(_xlpm.dir,Table1[[#This Row],[Direction]],
IF(_xlpm.dir="L",
    IF(F3187-Table1[[#This Row],[Steps]]&lt;0,100+(F3187-Table1[[#This Row],[Steps]]),F3187-Table1[[#This Row],[Steps]]),
))</f>
        <v>0</v>
      </c>
      <c r="E3188">
        <f>_xlfn.LET(_xlpm.dir,Table1[[#This Row],[Direction]],
IF(_xlpm.dir="R",
    IF(F3187+Table1[[#This Row],[Steps]]&gt;99,(F3187+Table1[[#This Row],[Steps]])-100,F3187+Table1[[#This Row],[Steps]]),
))</f>
        <v>92</v>
      </c>
      <c r="F3188">
        <f>IF(Table1[[#This Row],[New Pos L]]&lt;&gt;0,Table1[[#This Row],[New Pos L]],Table1[[#This Row],[New Pos R]])</f>
        <v>92</v>
      </c>
    </row>
    <row r="3189" spans="1:6" ht="16" x14ac:dyDescent="0.2">
      <c r="A3189" s="1" t="s">
        <v>174</v>
      </c>
      <c r="B3189" t="str">
        <f>LEFT(Table1[[#This Row],[Input]],1)</f>
        <v>L</v>
      </c>
      <c r="C3189">
        <f>_xlfn.LET(_xlpm.steps,SUBSTITUTE(Table1[[#This Row],[Input]],Table1[[#This Row],[Direction]],""),VALUE(IF(LEN(_xlpm.steps)&gt;2,RIGHT(_xlpm.steps,2),_xlpm.steps)))</f>
        <v>92</v>
      </c>
      <c r="D3189">
        <f>_xlfn.LET(_xlpm.dir,Table1[[#This Row],[Direction]],
IF(_xlpm.dir="L",
    IF(F3188-Table1[[#This Row],[Steps]]&lt;0,100+(F3188-Table1[[#This Row],[Steps]]),F3188-Table1[[#This Row],[Steps]]),
))</f>
        <v>0</v>
      </c>
      <c r="E3189">
        <f>_xlfn.LET(_xlpm.dir,Table1[[#This Row],[Direction]],
IF(_xlpm.dir="R",
    IF(F3188+Table1[[#This Row],[Steps]]&gt;99,(F3188+Table1[[#This Row],[Steps]])-100,F3188+Table1[[#This Row],[Steps]]),
))</f>
        <v>0</v>
      </c>
      <c r="F3189">
        <f>IF(Table1[[#This Row],[New Pos L]]&lt;&gt;0,Table1[[#This Row],[New Pos L]],Table1[[#This Row],[New Pos R]])</f>
        <v>0</v>
      </c>
    </row>
    <row r="3190" spans="1:6" ht="16" x14ac:dyDescent="0.2">
      <c r="A3190" s="1" t="s">
        <v>186</v>
      </c>
      <c r="B3190" t="str">
        <f>LEFT(Table1[[#This Row],[Input]],1)</f>
        <v>L</v>
      </c>
      <c r="C3190">
        <f>_xlfn.LET(_xlpm.steps,SUBSTITUTE(Table1[[#This Row],[Input]],Table1[[#This Row],[Direction]],""),VALUE(IF(LEN(_xlpm.steps)&gt;2,RIGHT(_xlpm.steps,2),_xlpm.steps)))</f>
        <v>84</v>
      </c>
      <c r="D3190">
        <f>_xlfn.LET(_xlpm.dir,Table1[[#This Row],[Direction]],
IF(_xlpm.dir="L",
    IF(F3189-Table1[[#This Row],[Steps]]&lt;0,100+(F3189-Table1[[#This Row],[Steps]]),F3189-Table1[[#This Row],[Steps]]),
))</f>
        <v>16</v>
      </c>
      <c r="E3190">
        <f>_xlfn.LET(_xlpm.dir,Table1[[#This Row],[Direction]],
IF(_xlpm.dir="R",
    IF(F3189+Table1[[#This Row],[Steps]]&gt;99,(F3189+Table1[[#This Row],[Steps]])-100,F3189+Table1[[#This Row],[Steps]]),
))</f>
        <v>0</v>
      </c>
      <c r="F3190">
        <f>IF(Table1[[#This Row],[New Pos L]]&lt;&gt;0,Table1[[#This Row],[New Pos L]],Table1[[#This Row],[New Pos R]])</f>
        <v>16</v>
      </c>
    </row>
    <row r="3191" spans="1:6" ht="16" x14ac:dyDescent="0.2">
      <c r="A3191" s="1" t="s">
        <v>336</v>
      </c>
      <c r="B3191" t="str">
        <f>LEFT(Table1[[#This Row],[Input]],1)</f>
        <v>R</v>
      </c>
      <c r="C3191">
        <f>_xlfn.LET(_xlpm.steps,SUBSTITUTE(Table1[[#This Row],[Input]],Table1[[#This Row],[Direction]],""),VALUE(IF(LEN(_xlpm.steps)&gt;2,RIGHT(_xlpm.steps,2),_xlpm.steps)))</f>
        <v>95</v>
      </c>
      <c r="D3191">
        <f>_xlfn.LET(_xlpm.dir,Table1[[#This Row],[Direction]],
IF(_xlpm.dir="L",
    IF(F3190-Table1[[#This Row],[Steps]]&lt;0,100+(F3190-Table1[[#This Row],[Steps]]),F3190-Table1[[#This Row],[Steps]]),
))</f>
        <v>0</v>
      </c>
      <c r="E3191">
        <f>_xlfn.LET(_xlpm.dir,Table1[[#This Row],[Direction]],
IF(_xlpm.dir="R",
    IF(F3190+Table1[[#This Row],[Steps]]&gt;99,(F3190+Table1[[#This Row],[Steps]])-100,F3190+Table1[[#This Row],[Steps]]),
))</f>
        <v>11</v>
      </c>
      <c r="F3191">
        <f>IF(Table1[[#This Row],[New Pos L]]&lt;&gt;0,Table1[[#This Row],[New Pos L]],Table1[[#This Row],[New Pos R]])</f>
        <v>11</v>
      </c>
    </row>
    <row r="3192" spans="1:6" ht="16" x14ac:dyDescent="0.2">
      <c r="A3192" s="1" t="s">
        <v>711</v>
      </c>
      <c r="B3192" t="str">
        <f>LEFT(Table1[[#This Row],[Input]],1)</f>
        <v>R</v>
      </c>
      <c r="C3192">
        <f>_xlfn.LET(_xlpm.steps,SUBSTITUTE(Table1[[#This Row],[Input]],Table1[[#This Row],[Direction]],""),VALUE(IF(LEN(_xlpm.steps)&gt;2,RIGHT(_xlpm.steps,2),_xlpm.steps)))</f>
        <v>89</v>
      </c>
      <c r="D3192">
        <f>_xlfn.LET(_xlpm.dir,Table1[[#This Row],[Direction]],
IF(_xlpm.dir="L",
    IF(F3191-Table1[[#This Row],[Steps]]&lt;0,100+(F3191-Table1[[#This Row],[Steps]]),F3191-Table1[[#This Row],[Steps]]),
))</f>
        <v>0</v>
      </c>
      <c r="E3192">
        <f>_xlfn.LET(_xlpm.dir,Table1[[#This Row],[Direction]],
IF(_xlpm.dir="R",
    IF(F3191+Table1[[#This Row],[Steps]]&gt;99,(F3191+Table1[[#This Row],[Steps]])-100,F3191+Table1[[#This Row],[Steps]]),
))</f>
        <v>0</v>
      </c>
      <c r="F3192">
        <f>IF(Table1[[#This Row],[New Pos L]]&lt;&gt;0,Table1[[#This Row],[New Pos L]],Table1[[#This Row],[New Pos R]])</f>
        <v>0</v>
      </c>
    </row>
    <row r="3193" spans="1:6" ht="16" x14ac:dyDescent="0.2">
      <c r="A3193" s="1" t="s">
        <v>217</v>
      </c>
      <c r="B3193" t="str">
        <f>LEFT(Table1[[#This Row],[Input]],1)</f>
        <v>R</v>
      </c>
      <c r="C3193">
        <f>_xlfn.LET(_xlpm.steps,SUBSTITUTE(Table1[[#This Row],[Input]],Table1[[#This Row],[Direction]],""),VALUE(IF(LEN(_xlpm.steps)&gt;2,RIGHT(_xlpm.steps,2),_xlpm.steps)))</f>
        <v>91</v>
      </c>
      <c r="D3193">
        <f>_xlfn.LET(_xlpm.dir,Table1[[#This Row],[Direction]],
IF(_xlpm.dir="L",
    IF(F3192-Table1[[#This Row],[Steps]]&lt;0,100+(F3192-Table1[[#This Row],[Steps]]),F3192-Table1[[#This Row],[Steps]]),
))</f>
        <v>0</v>
      </c>
      <c r="E3193">
        <f>_xlfn.LET(_xlpm.dir,Table1[[#This Row],[Direction]],
IF(_xlpm.dir="R",
    IF(F3192+Table1[[#This Row],[Steps]]&gt;99,(F3192+Table1[[#This Row],[Steps]])-100,F3192+Table1[[#This Row],[Steps]]),
))</f>
        <v>91</v>
      </c>
      <c r="F3193">
        <f>IF(Table1[[#This Row],[New Pos L]]&lt;&gt;0,Table1[[#This Row],[New Pos L]],Table1[[#This Row],[New Pos R]])</f>
        <v>91</v>
      </c>
    </row>
    <row r="3194" spans="1:6" ht="16" x14ac:dyDescent="0.2">
      <c r="A3194" s="1" t="s">
        <v>210</v>
      </c>
      <c r="B3194" t="str">
        <f>LEFT(Table1[[#This Row],[Input]],1)</f>
        <v>R</v>
      </c>
      <c r="C3194">
        <f>_xlfn.LET(_xlpm.steps,SUBSTITUTE(Table1[[#This Row],[Input]],Table1[[#This Row],[Direction]],""),VALUE(IF(LEN(_xlpm.steps)&gt;2,RIGHT(_xlpm.steps,2),_xlpm.steps)))</f>
        <v>89</v>
      </c>
      <c r="D3194">
        <f>_xlfn.LET(_xlpm.dir,Table1[[#This Row],[Direction]],
IF(_xlpm.dir="L",
    IF(F3193-Table1[[#This Row],[Steps]]&lt;0,100+(F3193-Table1[[#This Row],[Steps]]),F3193-Table1[[#This Row],[Steps]]),
))</f>
        <v>0</v>
      </c>
      <c r="E3194">
        <f>_xlfn.LET(_xlpm.dir,Table1[[#This Row],[Direction]],
IF(_xlpm.dir="R",
    IF(F3193+Table1[[#This Row],[Steps]]&gt;99,(F3193+Table1[[#This Row],[Steps]])-100,F3193+Table1[[#This Row],[Steps]]),
))</f>
        <v>80</v>
      </c>
      <c r="F3194">
        <f>IF(Table1[[#This Row],[New Pos L]]&lt;&gt;0,Table1[[#This Row],[New Pos L]],Table1[[#This Row],[New Pos R]])</f>
        <v>80</v>
      </c>
    </row>
    <row r="3195" spans="1:6" ht="16" x14ac:dyDescent="0.2">
      <c r="A3195" s="1" t="s">
        <v>62</v>
      </c>
      <c r="B3195" t="str">
        <f>LEFT(Table1[[#This Row],[Input]],1)</f>
        <v>L</v>
      </c>
      <c r="C3195">
        <f>_xlfn.LET(_xlpm.steps,SUBSTITUTE(Table1[[#This Row],[Input]],Table1[[#This Row],[Direction]],""),VALUE(IF(LEN(_xlpm.steps)&gt;2,RIGHT(_xlpm.steps,2),_xlpm.steps)))</f>
        <v>57</v>
      </c>
      <c r="D3195">
        <f>_xlfn.LET(_xlpm.dir,Table1[[#This Row],[Direction]],
IF(_xlpm.dir="L",
    IF(F3194-Table1[[#This Row],[Steps]]&lt;0,100+(F3194-Table1[[#This Row],[Steps]]),F3194-Table1[[#This Row],[Steps]]),
))</f>
        <v>23</v>
      </c>
      <c r="E3195">
        <f>_xlfn.LET(_xlpm.dir,Table1[[#This Row],[Direction]],
IF(_xlpm.dir="R",
    IF(F3194+Table1[[#This Row],[Steps]]&gt;99,(F3194+Table1[[#This Row],[Steps]])-100,F3194+Table1[[#This Row],[Steps]]),
))</f>
        <v>0</v>
      </c>
      <c r="F3195">
        <f>IF(Table1[[#This Row],[New Pos L]]&lt;&gt;0,Table1[[#This Row],[New Pos L]],Table1[[#This Row],[New Pos R]])</f>
        <v>23</v>
      </c>
    </row>
    <row r="3196" spans="1:6" ht="16" x14ac:dyDescent="0.2">
      <c r="A3196" s="1" t="s">
        <v>140</v>
      </c>
      <c r="B3196" t="str">
        <f>LEFT(Table1[[#This Row],[Input]],1)</f>
        <v>L</v>
      </c>
      <c r="C3196">
        <f>_xlfn.LET(_xlpm.steps,SUBSTITUTE(Table1[[#This Row],[Input]],Table1[[#This Row],[Direction]],""),VALUE(IF(LEN(_xlpm.steps)&gt;2,RIGHT(_xlpm.steps,2),_xlpm.steps)))</f>
        <v>61</v>
      </c>
      <c r="D3196">
        <f>_xlfn.LET(_xlpm.dir,Table1[[#This Row],[Direction]],
IF(_xlpm.dir="L",
    IF(F3195-Table1[[#This Row],[Steps]]&lt;0,100+(F3195-Table1[[#This Row],[Steps]]),F3195-Table1[[#This Row],[Steps]]),
))</f>
        <v>62</v>
      </c>
      <c r="E3196">
        <f>_xlfn.LET(_xlpm.dir,Table1[[#This Row],[Direction]],
IF(_xlpm.dir="R",
    IF(F3195+Table1[[#This Row],[Steps]]&gt;99,(F3195+Table1[[#This Row],[Steps]])-100,F3195+Table1[[#This Row],[Steps]]),
))</f>
        <v>0</v>
      </c>
      <c r="F3196">
        <f>IF(Table1[[#This Row],[New Pos L]]&lt;&gt;0,Table1[[#This Row],[New Pos L]],Table1[[#This Row],[New Pos R]])</f>
        <v>62</v>
      </c>
    </row>
    <row r="3197" spans="1:6" ht="16" x14ac:dyDescent="0.2">
      <c r="A3197" s="1" t="s">
        <v>79</v>
      </c>
      <c r="B3197" t="str">
        <f>LEFT(Table1[[#This Row],[Input]],1)</f>
        <v>L</v>
      </c>
      <c r="C3197">
        <f>_xlfn.LET(_xlpm.steps,SUBSTITUTE(Table1[[#This Row],[Input]],Table1[[#This Row],[Direction]],""),VALUE(IF(LEN(_xlpm.steps)&gt;2,RIGHT(_xlpm.steps,2),_xlpm.steps)))</f>
        <v>45</v>
      </c>
      <c r="D3197">
        <f>_xlfn.LET(_xlpm.dir,Table1[[#This Row],[Direction]],
IF(_xlpm.dir="L",
    IF(F3196-Table1[[#This Row],[Steps]]&lt;0,100+(F3196-Table1[[#This Row],[Steps]]),F3196-Table1[[#This Row],[Steps]]),
))</f>
        <v>17</v>
      </c>
      <c r="E3197">
        <f>_xlfn.LET(_xlpm.dir,Table1[[#This Row],[Direction]],
IF(_xlpm.dir="R",
    IF(F3196+Table1[[#This Row],[Steps]]&gt;99,(F3196+Table1[[#This Row],[Steps]])-100,F3196+Table1[[#This Row],[Steps]]),
))</f>
        <v>0</v>
      </c>
      <c r="F3197">
        <f>IF(Table1[[#This Row],[New Pos L]]&lt;&gt;0,Table1[[#This Row],[New Pos L]],Table1[[#This Row],[New Pos R]])</f>
        <v>17</v>
      </c>
    </row>
    <row r="3198" spans="1:6" ht="16" x14ac:dyDescent="0.2">
      <c r="A3198" s="1" t="s">
        <v>3</v>
      </c>
      <c r="B3198" t="str">
        <f>LEFT(Table1[[#This Row],[Input]],1)</f>
        <v>R</v>
      </c>
      <c r="C3198">
        <f>_xlfn.LET(_xlpm.steps,SUBSTITUTE(Table1[[#This Row],[Input]],Table1[[#This Row],[Direction]],""),VALUE(IF(LEN(_xlpm.steps)&gt;2,RIGHT(_xlpm.steps,2),_xlpm.steps)))</f>
        <v>44</v>
      </c>
      <c r="D3198">
        <f>_xlfn.LET(_xlpm.dir,Table1[[#This Row],[Direction]],
IF(_xlpm.dir="L",
    IF(F3197-Table1[[#This Row],[Steps]]&lt;0,100+(F3197-Table1[[#This Row],[Steps]]),F3197-Table1[[#This Row],[Steps]]),
))</f>
        <v>0</v>
      </c>
      <c r="E3198">
        <f>_xlfn.LET(_xlpm.dir,Table1[[#This Row],[Direction]],
IF(_xlpm.dir="R",
    IF(F3197+Table1[[#This Row],[Steps]]&gt;99,(F3197+Table1[[#This Row],[Steps]])-100,F3197+Table1[[#This Row],[Steps]]),
))</f>
        <v>61</v>
      </c>
      <c r="F3198">
        <f>IF(Table1[[#This Row],[New Pos L]]&lt;&gt;0,Table1[[#This Row],[New Pos L]],Table1[[#This Row],[New Pos R]])</f>
        <v>61</v>
      </c>
    </row>
    <row r="3199" spans="1:6" ht="16" x14ac:dyDescent="0.2">
      <c r="A3199" s="1" t="s">
        <v>191</v>
      </c>
      <c r="B3199" t="str">
        <f>LEFT(Table1[[#This Row],[Input]],1)</f>
        <v>L</v>
      </c>
      <c r="C3199">
        <f>_xlfn.LET(_xlpm.steps,SUBSTITUTE(Table1[[#This Row],[Input]],Table1[[#This Row],[Direction]],""),VALUE(IF(LEN(_xlpm.steps)&gt;2,RIGHT(_xlpm.steps,2),_xlpm.steps)))</f>
        <v>5</v>
      </c>
      <c r="D3199">
        <f>_xlfn.LET(_xlpm.dir,Table1[[#This Row],[Direction]],
IF(_xlpm.dir="L",
    IF(F3198-Table1[[#This Row],[Steps]]&lt;0,100+(F3198-Table1[[#This Row],[Steps]]),F3198-Table1[[#This Row],[Steps]]),
))</f>
        <v>56</v>
      </c>
      <c r="E3199">
        <f>_xlfn.LET(_xlpm.dir,Table1[[#This Row],[Direction]],
IF(_xlpm.dir="R",
    IF(F3198+Table1[[#This Row],[Steps]]&gt;99,(F3198+Table1[[#This Row],[Steps]])-100,F3198+Table1[[#This Row],[Steps]]),
))</f>
        <v>0</v>
      </c>
      <c r="F3199">
        <f>IF(Table1[[#This Row],[New Pos L]]&lt;&gt;0,Table1[[#This Row],[New Pos L]],Table1[[#This Row],[New Pos R]])</f>
        <v>56</v>
      </c>
    </row>
    <row r="3200" spans="1:6" ht="16" x14ac:dyDescent="0.2">
      <c r="A3200" s="1" t="s">
        <v>135</v>
      </c>
      <c r="B3200" t="str">
        <f>LEFT(Table1[[#This Row],[Input]],1)</f>
        <v>R</v>
      </c>
      <c r="C3200">
        <f>_xlfn.LET(_xlpm.steps,SUBSTITUTE(Table1[[#This Row],[Input]],Table1[[#This Row],[Direction]],""),VALUE(IF(LEN(_xlpm.steps)&gt;2,RIGHT(_xlpm.steps,2),_xlpm.steps)))</f>
        <v>69</v>
      </c>
      <c r="D3200">
        <f>_xlfn.LET(_xlpm.dir,Table1[[#This Row],[Direction]],
IF(_xlpm.dir="L",
    IF(F3199-Table1[[#This Row],[Steps]]&lt;0,100+(F3199-Table1[[#This Row],[Steps]]),F3199-Table1[[#This Row],[Steps]]),
))</f>
        <v>0</v>
      </c>
      <c r="E3200">
        <f>_xlfn.LET(_xlpm.dir,Table1[[#This Row],[Direction]],
IF(_xlpm.dir="R",
    IF(F3199+Table1[[#This Row],[Steps]]&gt;99,(F3199+Table1[[#This Row],[Steps]])-100,F3199+Table1[[#This Row],[Steps]]),
))</f>
        <v>25</v>
      </c>
      <c r="F3200">
        <f>IF(Table1[[#This Row],[New Pos L]]&lt;&gt;0,Table1[[#This Row],[New Pos L]],Table1[[#This Row],[New Pos R]])</f>
        <v>25</v>
      </c>
    </row>
    <row r="3201" spans="1:6" ht="16" x14ac:dyDescent="0.2">
      <c r="A3201" s="1" t="s">
        <v>122</v>
      </c>
      <c r="B3201" t="str">
        <f>LEFT(Table1[[#This Row],[Input]],1)</f>
        <v>R</v>
      </c>
      <c r="C3201">
        <f>_xlfn.LET(_xlpm.steps,SUBSTITUTE(Table1[[#This Row],[Input]],Table1[[#This Row],[Direction]],""),VALUE(IF(LEN(_xlpm.steps)&gt;2,RIGHT(_xlpm.steps,2),_xlpm.steps)))</f>
        <v>75</v>
      </c>
      <c r="D3201">
        <f>_xlfn.LET(_xlpm.dir,Table1[[#This Row],[Direction]],
IF(_xlpm.dir="L",
    IF(F3200-Table1[[#This Row],[Steps]]&lt;0,100+(F3200-Table1[[#This Row],[Steps]]),F3200-Table1[[#This Row],[Steps]]),
))</f>
        <v>0</v>
      </c>
      <c r="E3201">
        <f>_xlfn.LET(_xlpm.dir,Table1[[#This Row],[Direction]],
IF(_xlpm.dir="R",
    IF(F3200+Table1[[#This Row],[Steps]]&gt;99,(F3200+Table1[[#This Row],[Steps]])-100,F3200+Table1[[#This Row],[Steps]]),
))</f>
        <v>0</v>
      </c>
      <c r="F3201">
        <f>IF(Table1[[#This Row],[New Pos L]]&lt;&gt;0,Table1[[#This Row],[New Pos L]],Table1[[#This Row],[New Pos R]])</f>
        <v>0</v>
      </c>
    </row>
    <row r="3202" spans="1:6" ht="16" x14ac:dyDescent="0.2">
      <c r="A3202" s="1" t="s">
        <v>712</v>
      </c>
      <c r="B3202" t="str">
        <f>LEFT(Table1[[#This Row],[Input]],1)</f>
        <v>R</v>
      </c>
      <c r="C3202">
        <f>_xlfn.LET(_xlpm.steps,SUBSTITUTE(Table1[[#This Row],[Input]],Table1[[#This Row],[Direction]],""),VALUE(IF(LEN(_xlpm.steps)&gt;2,RIGHT(_xlpm.steps,2),_xlpm.steps)))</f>
        <v>58</v>
      </c>
      <c r="D3202">
        <f>_xlfn.LET(_xlpm.dir,Table1[[#This Row],[Direction]],
IF(_xlpm.dir="L",
    IF(F3201-Table1[[#This Row],[Steps]]&lt;0,100+(F3201-Table1[[#This Row],[Steps]]),F3201-Table1[[#This Row],[Steps]]),
))</f>
        <v>0</v>
      </c>
      <c r="E3202">
        <f>_xlfn.LET(_xlpm.dir,Table1[[#This Row],[Direction]],
IF(_xlpm.dir="R",
    IF(F3201+Table1[[#This Row],[Steps]]&gt;99,(F3201+Table1[[#This Row],[Steps]])-100,F3201+Table1[[#This Row],[Steps]]),
))</f>
        <v>58</v>
      </c>
      <c r="F3202">
        <f>IF(Table1[[#This Row],[New Pos L]]&lt;&gt;0,Table1[[#This Row],[New Pos L]],Table1[[#This Row],[New Pos R]])</f>
        <v>58</v>
      </c>
    </row>
    <row r="3203" spans="1:6" ht="16" x14ac:dyDescent="0.2">
      <c r="A3203" s="1" t="s">
        <v>13</v>
      </c>
      <c r="B3203" t="str">
        <f>LEFT(Table1[[#This Row],[Input]],1)</f>
        <v>R</v>
      </c>
      <c r="C3203">
        <f>_xlfn.LET(_xlpm.steps,SUBSTITUTE(Table1[[#This Row],[Input]],Table1[[#This Row],[Direction]],""),VALUE(IF(LEN(_xlpm.steps)&gt;2,RIGHT(_xlpm.steps,2),_xlpm.steps)))</f>
        <v>12</v>
      </c>
      <c r="D3203">
        <f>_xlfn.LET(_xlpm.dir,Table1[[#This Row],[Direction]],
IF(_xlpm.dir="L",
    IF(F3202-Table1[[#This Row],[Steps]]&lt;0,100+(F3202-Table1[[#This Row],[Steps]]),F3202-Table1[[#This Row],[Steps]]),
))</f>
        <v>0</v>
      </c>
      <c r="E3203">
        <f>_xlfn.LET(_xlpm.dir,Table1[[#This Row],[Direction]],
IF(_xlpm.dir="R",
    IF(F3202+Table1[[#This Row],[Steps]]&gt;99,(F3202+Table1[[#This Row],[Steps]])-100,F3202+Table1[[#This Row],[Steps]]),
))</f>
        <v>70</v>
      </c>
      <c r="F3203">
        <f>IF(Table1[[#This Row],[New Pos L]]&lt;&gt;0,Table1[[#This Row],[New Pos L]],Table1[[#This Row],[New Pos R]])</f>
        <v>70</v>
      </c>
    </row>
    <row r="3204" spans="1:6" ht="16" x14ac:dyDescent="0.2">
      <c r="A3204" s="1" t="s">
        <v>28</v>
      </c>
      <c r="B3204" t="str">
        <f>LEFT(Table1[[#This Row],[Input]],1)</f>
        <v>R</v>
      </c>
      <c r="C3204">
        <f>_xlfn.LET(_xlpm.steps,SUBSTITUTE(Table1[[#This Row],[Input]],Table1[[#This Row],[Direction]],""),VALUE(IF(LEN(_xlpm.steps)&gt;2,RIGHT(_xlpm.steps,2),_xlpm.steps)))</f>
        <v>30</v>
      </c>
      <c r="D3204">
        <f>_xlfn.LET(_xlpm.dir,Table1[[#This Row],[Direction]],
IF(_xlpm.dir="L",
    IF(F3203-Table1[[#This Row],[Steps]]&lt;0,100+(F3203-Table1[[#This Row],[Steps]]),F3203-Table1[[#This Row],[Steps]]),
))</f>
        <v>0</v>
      </c>
      <c r="E3204">
        <f>_xlfn.LET(_xlpm.dir,Table1[[#This Row],[Direction]],
IF(_xlpm.dir="R",
    IF(F3203+Table1[[#This Row],[Steps]]&gt;99,(F3203+Table1[[#This Row],[Steps]])-100,F3203+Table1[[#This Row],[Steps]]),
))</f>
        <v>0</v>
      </c>
      <c r="F3204">
        <f>IF(Table1[[#This Row],[New Pos L]]&lt;&gt;0,Table1[[#This Row],[New Pos L]],Table1[[#This Row],[New Pos R]])</f>
        <v>0</v>
      </c>
    </row>
    <row r="3205" spans="1:6" ht="16" x14ac:dyDescent="0.2">
      <c r="A3205" s="1" t="s">
        <v>75</v>
      </c>
      <c r="B3205" t="str">
        <f>LEFT(Table1[[#This Row],[Input]],1)</f>
        <v>R</v>
      </c>
      <c r="C3205">
        <f>_xlfn.LET(_xlpm.steps,SUBSTITUTE(Table1[[#This Row],[Input]],Table1[[#This Row],[Direction]],""),VALUE(IF(LEN(_xlpm.steps)&gt;2,RIGHT(_xlpm.steps,2),_xlpm.steps)))</f>
        <v>2</v>
      </c>
      <c r="D3205">
        <f>_xlfn.LET(_xlpm.dir,Table1[[#This Row],[Direction]],
IF(_xlpm.dir="L",
    IF(F3204-Table1[[#This Row],[Steps]]&lt;0,100+(F3204-Table1[[#This Row],[Steps]]),F3204-Table1[[#This Row],[Steps]]),
))</f>
        <v>0</v>
      </c>
      <c r="E3205">
        <f>_xlfn.LET(_xlpm.dir,Table1[[#This Row],[Direction]],
IF(_xlpm.dir="R",
    IF(F3204+Table1[[#This Row],[Steps]]&gt;99,(F3204+Table1[[#This Row],[Steps]])-100,F3204+Table1[[#This Row],[Steps]]),
))</f>
        <v>2</v>
      </c>
      <c r="F3205">
        <f>IF(Table1[[#This Row],[New Pos L]]&lt;&gt;0,Table1[[#This Row],[New Pos L]],Table1[[#This Row],[New Pos R]])</f>
        <v>2</v>
      </c>
    </row>
    <row r="3206" spans="1:6" ht="16" x14ac:dyDescent="0.2">
      <c r="A3206" s="1" t="s">
        <v>256</v>
      </c>
      <c r="B3206" t="str">
        <f>LEFT(Table1[[#This Row],[Input]],1)</f>
        <v>R</v>
      </c>
      <c r="C3206">
        <f>_xlfn.LET(_xlpm.steps,SUBSTITUTE(Table1[[#This Row],[Input]],Table1[[#This Row],[Direction]],""),VALUE(IF(LEN(_xlpm.steps)&gt;2,RIGHT(_xlpm.steps,2),_xlpm.steps)))</f>
        <v>13</v>
      </c>
      <c r="D3206">
        <f>_xlfn.LET(_xlpm.dir,Table1[[#This Row],[Direction]],
IF(_xlpm.dir="L",
    IF(F3205-Table1[[#This Row],[Steps]]&lt;0,100+(F3205-Table1[[#This Row],[Steps]]),F3205-Table1[[#This Row],[Steps]]),
))</f>
        <v>0</v>
      </c>
      <c r="E3206">
        <f>_xlfn.LET(_xlpm.dir,Table1[[#This Row],[Direction]],
IF(_xlpm.dir="R",
    IF(F3205+Table1[[#This Row],[Steps]]&gt;99,(F3205+Table1[[#This Row],[Steps]])-100,F3205+Table1[[#This Row],[Steps]]),
))</f>
        <v>15</v>
      </c>
      <c r="F3206">
        <f>IF(Table1[[#This Row],[New Pos L]]&lt;&gt;0,Table1[[#This Row],[New Pos L]],Table1[[#This Row],[New Pos R]])</f>
        <v>15</v>
      </c>
    </row>
    <row r="3207" spans="1:6" ht="16" x14ac:dyDescent="0.2">
      <c r="A3207" s="1" t="s">
        <v>402</v>
      </c>
      <c r="B3207" t="str">
        <f>LEFT(Table1[[#This Row],[Input]],1)</f>
        <v>R</v>
      </c>
      <c r="C3207">
        <f>_xlfn.LET(_xlpm.steps,SUBSTITUTE(Table1[[#This Row],[Input]],Table1[[#This Row],[Direction]],""),VALUE(IF(LEN(_xlpm.steps)&gt;2,RIGHT(_xlpm.steps,2),_xlpm.steps)))</f>
        <v>91</v>
      </c>
      <c r="D3207">
        <f>_xlfn.LET(_xlpm.dir,Table1[[#This Row],[Direction]],
IF(_xlpm.dir="L",
    IF(F3206-Table1[[#This Row],[Steps]]&lt;0,100+(F3206-Table1[[#This Row],[Steps]]),F3206-Table1[[#This Row],[Steps]]),
))</f>
        <v>0</v>
      </c>
      <c r="E3207">
        <f>_xlfn.LET(_xlpm.dir,Table1[[#This Row],[Direction]],
IF(_xlpm.dir="R",
    IF(F3206+Table1[[#This Row],[Steps]]&gt;99,(F3206+Table1[[#This Row],[Steps]])-100,F3206+Table1[[#This Row],[Steps]]),
))</f>
        <v>6</v>
      </c>
      <c r="F3207">
        <f>IF(Table1[[#This Row],[New Pos L]]&lt;&gt;0,Table1[[#This Row],[New Pos L]],Table1[[#This Row],[New Pos R]])</f>
        <v>6</v>
      </c>
    </row>
    <row r="3208" spans="1:6" ht="16" x14ac:dyDescent="0.2">
      <c r="A3208" s="1" t="s">
        <v>272</v>
      </c>
      <c r="B3208" t="str">
        <f>LEFT(Table1[[#This Row],[Input]],1)</f>
        <v>R</v>
      </c>
      <c r="C3208">
        <f>_xlfn.LET(_xlpm.steps,SUBSTITUTE(Table1[[#This Row],[Input]],Table1[[#This Row],[Direction]],""),VALUE(IF(LEN(_xlpm.steps)&gt;2,RIGHT(_xlpm.steps,2),_xlpm.steps)))</f>
        <v>56</v>
      </c>
      <c r="D3208">
        <f>_xlfn.LET(_xlpm.dir,Table1[[#This Row],[Direction]],
IF(_xlpm.dir="L",
    IF(F3207-Table1[[#This Row],[Steps]]&lt;0,100+(F3207-Table1[[#This Row],[Steps]]),F3207-Table1[[#This Row],[Steps]]),
))</f>
        <v>0</v>
      </c>
      <c r="E3208">
        <f>_xlfn.LET(_xlpm.dir,Table1[[#This Row],[Direction]],
IF(_xlpm.dir="R",
    IF(F3207+Table1[[#This Row],[Steps]]&gt;99,(F3207+Table1[[#This Row],[Steps]])-100,F3207+Table1[[#This Row],[Steps]]),
))</f>
        <v>62</v>
      </c>
      <c r="F3208">
        <f>IF(Table1[[#This Row],[New Pos L]]&lt;&gt;0,Table1[[#This Row],[New Pos L]],Table1[[#This Row],[New Pos R]])</f>
        <v>62</v>
      </c>
    </row>
    <row r="3209" spans="1:6" ht="16" x14ac:dyDescent="0.2">
      <c r="A3209" s="1" t="s">
        <v>139</v>
      </c>
      <c r="B3209" t="str">
        <f>LEFT(Table1[[#This Row],[Input]],1)</f>
        <v>R</v>
      </c>
      <c r="C3209">
        <f>_xlfn.LET(_xlpm.steps,SUBSTITUTE(Table1[[#This Row],[Input]],Table1[[#This Row],[Direction]],""),VALUE(IF(LEN(_xlpm.steps)&gt;2,RIGHT(_xlpm.steps,2),_xlpm.steps)))</f>
        <v>38</v>
      </c>
      <c r="D3209">
        <f>_xlfn.LET(_xlpm.dir,Table1[[#This Row],[Direction]],
IF(_xlpm.dir="L",
    IF(F3208-Table1[[#This Row],[Steps]]&lt;0,100+(F3208-Table1[[#This Row],[Steps]]),F3208-Table1[[#This Row],[Steps]]),
))</f>
        <v>0</v>
      </c>
      <c r="E3209">
        <f>_xlfn.LET(_xlpm.dir,Table1[[#This Row],[Direction]],
IF(_xlpm.dir="R",
    IF(F3208+Table1[[#This Row],[Steps]]&gt;99,(F3208+Table1[[#This Row],[Steps]])-100,F3208+Table1[[#This Row],[Steps]]),
))</f>
        <v>0</v>
      </c>
      <c r="F3209">
        <f>IF(Table1[[#This Row],[New Pos L]]&lt;&gt;0,Table1[[#This Row],[New Pos L]],Table1[[#This Row],[New Pos R]])</f>
        <v>0</v>
      </c>
    </row>
    <row r="3210" spans="1:6" ht="16" x14ac:dyDescent="0.2">
      <c r="A3210" s="1" t="s">
        <v>0</v>
      </c>
      <c r="B3210" t="str">
        <f>LEFT(Table1[[#This Row],[Input]],1)</f>
        <v>L</v>
      </c>
      <c r="C3210">
        <f>_xlfn.LET(_xlpm.steps,SUBSTITUTE(Table1[[#This Row],[Input]],Table1[[#This Row],[Direction]],""),VALUE(IF(LEN(_xlpm.steps)&gt;2,RIGHT(_xlpm.steps,2),_xlpm.steps)))</f>
        <v>44</v>
      </c>
      <c r="D3210">
        <f>_xlfn.LET(_xlpm.dir,Table1[[#This Row],[Direction]],
IF(_xlpm.dir="L",
    IF(F3209-Table1[[#This Row],[Steps]]&lt;0,100+(F3209-Table1[[#This Row],[Steps]]),F3209-Table1[[#This Row],[Steps]]),
))</f>
        <v>56</v>
      </c>
      <c r="E3210">
        <f>_xlfn.LET(_xlpm.dir,Table1[[#This Row],[Direction]],
IF(_xlpm.dir="R",
    IF(F3209+Table1[[#This Row],[Steps]]&gt;99,(F3209+Table1[[#This Row],[Steps]])-100,F3209+Table1[[#This Row],[Steps]]),
))</f>
        <v>0</v>
      </c>
      <c r="F3210">
        <f>IF(Table1[[#This Row],[New Pos L]]&lt;&gt;0,Table1[[#This Row],[New Pos L]],Table1[[#This Row],[New Pos R]])</f>
        <v>56</v>
      </c>
    </row>
    <row r="3211" spans="1:6" ht="16" x14ac:dyDescent="0.2">
      <c r="A3211" s="1" t="s">
        <v>53</v>
      </c>
      <c r="B3211" t="str">
        <f>LEFT(Table1[[#This Row],[Input]],1)</f>
        <v>L</v>
      </c>
      <c r="C3211">
        <f>_xlfn.LET(_xlpm.steps,SUBSTITUTE(Table1[[#This Row],[Input]],Table1[[#This Row],[Direction]],""),VALUE(IF(LEN(_xlpm.steps)&gt;2,RIGHT(_xlpm.steps,2),_xlpm.steps)))</f>
        <v>56</v>
      </c>
      <c r="D3211">
        <f>_xlfn.LET(_xlpm.dir,Table1[[#This Row],[Direction]],
IF(_xlpm.dir="L",
    IF(F3210-Table1[[#This Row],[Steps]]&lt;0,100+(F3210-Table1[[#This Row],[Steps]]),F3210-Table1[[#This Row],[Steps]]),
))</f>
        <v>0</v>
      </c>
      <c r="E3211">
        <f>_xlfn.LET(_xlpm.dir,Table1[[#This Row],[Direction]],
IF(_xlpm.dir="R",
    IF(F3210+Table1[[#This Row],[Steps]]&gt;99,(F3210+Table1[[#This Row],[Steps]])-100,F3210+Table1[[#This Row],[Steps]]),
))</f>
        <v>0</v>
      </c>
      <c r="F3211">
        <f>IF(Table1[[#This Row],[New Pos L]]&lt;&gt;0,Table1[[#This Row],[New Pos L]],Table1[[#This Row],[New Pos R]])</f>
        <v>0</v>
      </c>
    </row>
    <row r="3212" spans="1:6" ht="16" x14ac:dyDescent="0.2">
      <c r="A3212" s="1" t="s">
        <v>24</v>
      </c>
      <c r="B3212" t="str">
        <f>LEFT(Table1[[#This Row],[Input]],1)</f>
        <v>L</v>
      </c>
      <c r="C3212">
        <f>_xlfn.LET(_xlpm.steps,SUBSTITUTE(Table1[[#This Row],[Input]],Table1[[#This Row],[Direction]],""),VALUE(IF(LEN(_xlpm.steps)&gt;2,RIGHT(_xlpm.steps,2),_xlpm.steps)))</f>
        <v>49</v>
      </c>
      <c r="D3212">
        <f>_xlfn.LET(_xlpm.dir,Table1[[#This Row],[Direction]],
IF(_xlpm.dir="L",
    IF(F3211-Table1[[#This Row],[Steps]]&lt;0,100+(F3211-Table1[[#This Row],[Steps]]),F3211-Table1[[#This Row],[Steps]]),
))</f>
        <v>51</v>
      </c>
      <c r="E3212">
        <f>_xlfn.LET(_xlpm.dir,Table1[[#This Row],[Direction]],
IF(_xlpm.dir="R",
    IF(F3211+Table1[[#This Row],[Steps]]&gt;99,(F3211+Table1[[#This Row],[Steps]])-100,F3211+Table1[[#This Row],[Steps]]),
))</f>
        <v>0</v>
      </c>
      <c r="F3212">
        <f>IF(Table1[[#This Row],[New Pos L]]&lt;&gt;0,Table1[[#This Row],[New Pos L]],Table1[[#This Row],[New Pos R]])</f>
        <v>51</v>
      </c>
    </row>
    <row r="3213" spans="1:6" ht="16" x14ac:dyDescent="0.2">
      <c r="A3213" s="1" t="s">
        <v>155</v>
      </c>
      <c r="B3213" t="str">
        <f>LEFT(Table1[[#This Row],[Input]],1)</f>
        <v>L</v>
      </c>
      <c r="C3213">
        <f>_xlfn.LET(_xlpm.steps,SUBSTITUTE(Table1[[#This Row],[Input]],Table1[[#This Row],[Direction]],""),VALUE(IF(LEN(_xlpm.steps)&gt;2,RIGHT(_xlpm.steps,2),_xlpm.steps)))</f>
        <v>18</v>
      </c>
      <c r="D3213">
        <f>_xlfn.LET(_xlpm.dir,Table1[[#This Row],[Direction]],
IF(_xlpm.dir="L",
    IF(F3212-Table1[[#This Row],[Steps]]&lt;0,100+(F3212-Table1[[#This Row],[Steps]]),F3212-Table1[[#This Row],[Steps]]),
))</f>
        <v>33</v>
      </c>
      <c r="E3213">
        <f>_xlfn.LET(_xlpm.dir,Table1[[#This Row],[Direction]],
IF(_xlpm.dir="R",
    IF(F3212+Table1[[#This Row],[Steps]]&gt;99,(F3212+Table1[[#This Row],[Steps]])-100,F3212+Table1[[#This Row],[Steps]]),
))</f>
        <v>0</v>
      </c>
      <c r="F3213">
        <f>IF(Table1[[#This Row],[New Pos L]]&lt;&gt;0,Table1[[#This Row],[New Pos L]],Table1[[#This Row],[New Pos R]])</f>
        <v>33</v>
      </c>
    </row>
    <row r="3214" spans="1:6" ht="16" x14ac:dyDescent="0.2">
      <c r="A3214" s="1" t="s">
        <v>293</v>
      </c>
      <c r="B3214" t="str">
        <f>LEFT(Table1[[#This Row],[Input]],1)</f>
        <v>R</v>
      </c>
      <c r="C3214">
        <f>_xlfn.LET(_xlpm.steps,SUBSTITUTE(Table1[[#This Row],[Input]],Table1[[#This Row],[Direction]],""),VALUE(IF(LEN(_xlpm.steps)&gt;2,RIGHT(_xlpm.steps,2),_xlpm.steps)))</f>
        <v>67</v>
      </c>
      <c r="D3214">
        <f>_xlfn.LET(_xlpm.dir,Table1[[#This Row],[Direction]],
IF(_xlpm.dir="L",
    IF(F3213-Table1[[#This Row],[Steps]]&lt;0,100+(F3213-Table1[[#This Row],[Steps]]),F3213-Table1[[#This Row],[Steps]]),
))</f>
        <v>0</v>
      </c>
      <c r="E3214">
        <f>_xlfn.LET(_xlpm.dir,Table1[[#This Row],[Direction]],
IF(_xlpm.dir="R",
    IF(F3213+Table1[[#This Row],[Steps]]&gt;99,(F3213+Table1[[#This Row],[Steps]])-100,F3213+Table1[[#This Row],[Steps]]),
))</f>
        <v>0</v>
      </c>
      <c r="F3214">
        <f>IF(Table1[[#This Row],[New Pos L]]&lt;&gt;0,Table1[[#This Row],[New Pos L]],Table1[[#This Row],[New Pos R]])</f>
        <v>0</v>
      </c>
    </row>
    <row r="3215" spans="1:6" ht="16" x14ac:dyDescent="0.2">
      <c r="A3215" s="1" t="s">
        <v>59</v>
      </c>
      <c r="B3215" t="str">
        <f>LEFT(Table1[[#This Row],[Input]],1)</f>
        <v>L</v>
      </c>
      <c r="C3215">
        <f>_xlfn.LET(_xlpm.steps,SUBSTITUTE(Table1[[#This Row],[Input]],Table1[[#This Row],[Direction]],""),VALUE(IF(LEN(_xlpm.steps)&gt;2,RIGHT(_xlpm.steps,2),_xlpm.steps)))</f>
        <v>6</v>
      </c>
      <c r="D3215">
        <f>_xlfn.LET(_xlpm.dir,Table1[[#This Row],[Direction]],
IF(_xlpm.dir="L",
    IF(F3214-Table1[[#This Row],[Steps]]&lt;0,100+(F3214-Table1[[#This Row],[Steps]]),F3214-Table1[[#This Row],[Steps]]),
))</f>
        <v>94</v>
      </c>
      <c r="E3215">
        <f>_xlfn.LET(_xlpm.dir,Table1[[#This Row],[Direction]],
IF(_xlpm.dir="R",
    IF(F3214+Table1[[#This Row],[Steps]]&gt;99,(F3214+Table1[[#This Row],[Steps]])-100,F3214+Table1[[#This Row],[Steps]]),
))</f>
        <v>0</v>
      </c>
      <c r="F3215">
        <f>IF(Table1[[#This Row],[New Pos L]]&lt;&gt;0,Table1[[#This Row],[New Pos L]],Table1[[#This Row],[New Pos R]])</f>
        <v>94</v>
      </c>
    </row>
    <row r="3216" spans="1:6" ht="16" x14ac:dyDescent="0.2">
      <c r="A3216" s="1" t="s">
        <v>79</v>
      </c>
      <c r="B3216" t="str">
        <f>LEFT(Table1[[#This Row],[Input]],1)</f>
        <v>L</v>
      </c>
      <c r="C3216">
        <f>_xlfn.LET(_xlpm.steps,SUBSTITUTE(Table1[[#This Row],[Input]],Table1[[#This Row],[Direction]],""),VALUE(IF(LEN(_xlpm.steps)&gt;2,RIGHT(_xlpm.steps,2),_xlpm.steps)))</f>
        <v>45</v>
      </c>
      <c r="D3216">
        <f>_xlfn.LET(_xlpm.dir,Table1[[#This Row],[Direction]],
IF(_xlpm.dir="L",
    IF(F3215-Table1[[#This Row],[Steps]]&lt;0,100+(F3215-Table1[[#This Row],[Steps]]),F3215-Table1[[#This Row],[Steps]]),
))</f>
        <v>49</v>
      </c>
      <c r="E3216">
        <f>_xlfn.LET(_xlpm.dir,Table1[[#This Row],[Direction]],
IF(_xlpm.dir="R",
    IF(F3215+Table1[[#This Row],[Steps]]&gt;99,(F3215+Table1[[#This Row],[Steps]])-100,F3215+Table1[[#This Row],[Steps]]),
))</f>
        <v>0</v>
      </c>
      <c r="F3216">
        <f>IF(Table1[[#This Row],[New Pos L]]&lt;&gt;0,Table1[[#This Row],[New Pos L]],Table1[[#This Row],[New Pos R]])</f>
        <v>49</v>
      </c>
    </row>
    <row r="3217" spans="1:6" ht="16" x14ac:dyDescent="0.2">
      <c r="A3217" s="1" t="s">
        <v>557</v>
      </c>
      <c r="B3217" t="str">
        <f>LEFT(Table1[[#This Row],[Input]],1)</f>
        <v>L</v>
      </c>
      <c r="C3217">
        <f>_xlfn.LET(_xlpm.steps,SUBSTITUTE(Table1[[#This Row],[Input]],Table1[[#This Row],[Direction]],""),VALUE(IF(LEN(_xlpm.steps)&gt;2,RIGHT(_xlpm.steps,2),_xlpm.steps)))</f>
        <v>71</v>
      </c>
      <c r="D3217">
        <f>_xlfn.LET(_xlpm.dir,Table1[[#This Row],[Direction]],
IF(_xlpm.dir="L",
    IF(F3216-Table1[[#This Row],[Steps]]&lt;0,100+(F3216-Table1[[#This Row],[Steps]]),F3216-Table1[[#This Row],[Steps]]),
))</f>
        <v>78</v>
      </c>
      <c r="E3217">
        <f>_xlfn.LET(_xlpm.dir,Table1[[#This Row],[Direction]],
IF(_xlpm.dir="R",
    IF(F3216+Table1[[#This Row],[Steps]]&gt;99,(F3216+Table1[[#This Row],[Steps]])-100,F3216+Table1[[#This Row],[Steps]]),
))</f>
        <v>0</v>
      </c>
      <c r="F3217">
        <f>IF(Table1[[#This Row],[New Pos L]]&lt;&gt;0,Table1[[#This Row],[New Pos L]],Table1[[#This Row],[New Pos R]])</f>
        <v>78</v>
      </c>
    </row>
    <row r="3218" spans="1:6" ht="16" x14ac:dyDescent="0.2">
      <c r="A3218" s="1" t="s">
        <v>57</v>
      </c>
      <c r="B3218" t="str">
        <f>LEFT(Table1[[#This Row],[Input]],1)</f>
        <v>R</v>
      </c>
      <c r="C3218">
        <f>_xlfn.LET(_xlpm.steps,SUBSTITUTE(Table1[[#This Row],[Input]],Table1[[#This Row],[Direction]],""),VALUE(IF(LEN(_xlpm.steps)&gt;2,RIGHT(_xlpm.steps,2),_xlpm.steps)))</f>
        <v>29</v>
      </c>
      <c r="D3218">
        <f>_xlfn.LET(_xlpm.dir,Table1[[#This Row],[Direction]],
IF(_xlpm.dir="L",
    IF(F3217-Table1[[#This Row],[Steps]]&lt;0,100+(F3217-Table1[[#This Row],[Steps]]),F3217-Table1[[#This Row],[Steps]]),
))</f>
        <v>0</v>
      </c>
      <c r="E3218">
        <f>_xlfn.LET(_xlpm.dir,Table1[[#This Row],[Direction]],
IF(_xlpm.dir="R",
    IF(F3217+Table1[[#This Row],[Steps]]&gt;99,(F3217+Table1[[#This Row],[Steps]])-100,F3217+Table1[[#This Row],[Steps]]),
))</f>
        <v>7</v>
      </c>
      <c r="F3218">
        <f>IF(Table1[[#This Row],[New Pos L]]&lt;&gt;0,Table1[[#This Row],[New Pos L]],Table1[[#This Row],[New Pos R]])</f>
        <v>7</v>
      </c>
    </row>
    <row r="3219" spans="1:6" ht="16" x14ac:dyDescent="0.2">
      <c r="A3219" s="1" t="s">
        <v>41</v>
      </c>
      <c r="B3219" t="str">
        <f>LEFT(Table1[[#This Row],[Input]],1)</f>
        <v>L</v>
      </c>
      <c r="C3219">
        <f>_xlfn.LET(_xlpm.steps,SUBSTITUTE(Table1[[#This Row],[Input]],Table1[[#This Row],[Direction]],""),VALUE(IF(LEN(_xlpm.steps)&gt;2,RIGHT(_xlpm.steps,2),_xlpm.steps)))</f>
        <v>7</v>
      </c>
      <c r="D3219">
        <f>_xlfn.LET(_xlpm.dir,Table1[[#This Row],[Direction]],
IF(_xlpm.dir="L",
    IF(F3218-Table1[[#This Row],[Steps]]&lt;0,100+(F3218-Table1[[#This Row],[Steps]]),F3218-Table1[[#This Row],[Steps]]),
))</f>
        <v>0</v>
      </c>
      <c r="E3219">
        <f>_xlfn.LET(_xlpm.dir,Table1[[#This Row],[Direction]],
IF(_xlpm.dir="R",
    IF(F3218+Table1[[#This Row],[Steps]]&gt;99,(F3218+Table1[[#This Row],[Steps]])-100,F3218+Table1[[#This Row],[Steps]]),
))</f>
        <v>0</v>
      </c>
      <c r="F3219">
        <f>IF(Table1[[#This Row],[New Pos L]]&lt;&gt;0,Table1[[#This Row],[New Pos L]],Table1[[#This Row],[New Pos R]])</f>
        <v>0</v>
      </c>
    </row>
    <row r="3220" spans="1:6" ht="16" x14ac:dyDescent="0.2">
      <c r="A3220" s="1" t="s">
        <v>51</v>
      </c>
      <c r="B3220" t="str">
        <f>LEFT(Table1[[#This Row],[Input]],1)</f>
        <v>L</v>
      </c>
      <c r="C3220">
        <f>_xlfn.LET(_xlpm.steps,SUBSTITUTE(Table1[[#This Row],[Input]],Table1[[#This Row],[Direction]],""),VALUE(IF(LEN(_xlpm.steps)&gt;2,RIGHT(_xlpm.steps,2),_xlpm.steps)))</f>
        <v>25</v>
      </c>
      <c r="D3220">
        <f>_xlfn.LET(_xlpm.dir,Table1[[#This Row],[Direction]],
IF(_xlpm.dir="L",
    IF(F3219-Table1[[#This Row],[Steps]]&lt;0,100+(F3219-Table1[[#This Row],[Steps]]),F3219-Table1[[#This Row],[Steps]]),
))</f>
        <v>75</v>
      </c>
      <c r="E3220">
        <f>_xlfn.LET(_xlpm.dir,Table1[[#This Row],[Direction]],
IF(_xlpm.dir="R",
    IF(F3219+Table1[[#This Row],[Steps]]&gt;99,(F3219+Table1[[#This Row],[Steps]])-100,F3219+Table1[[#This Row],[Steps]]),
))</f>
        <v>0</v>
      </c>
      <c r="F3220">
        <f>IF(Table1[[#This Row],[New Pos L]]&lt;&gt;0,Table1[[#This Row],[New Pos L]],Table1[[#This Row],[New Pos R]])</f>
        <v>75</v>
      </c>
    </row>
    <row r="3221" spans="1:6" ht="16" x14ac:dyDescent="0.2">
      <c r="A3221" s="1" t="s">
        <v>54</v>
      </c>
      <c r="B3221" t="str">
        <f>LEFT(Table1[[#This Row],[Input]],1)</f>
        <v>L</v>
      </c>
      <c r="C3221">
        <f>_xlfn.LET(_xlpm.steps,SUBSTITUTE(Table1[[#This Row],[Input]],Table1[[#This Row],[Direction]],""),VALUE(IF(LEN(_xlpm.steps)&gt;2,RIGHT(_xlpm.steps,2),_xlpm.steps)))</f>
        <v>75</v>
      </c>
      <c r="D3221">
        <f>_xlfn.LET(_xlpm.dir,Table1[[#This Row],[Direction]],
IF(_xlpm.dir="L",
    IF(F3220-Table1[[#This Row],[Steps]]&lt;0,100+(F3220-Table1[[#This Row],[Steps]]),F3220-Table1[[#This Row],[Steps]]),
))</f>
        <v>0</v>
      </c>
      <c r="E3221">
        <f>_xlfn.LET(_xlpm.dir,Table1[[#This Row],[Direction]],
IF(_xlpm.dir="R",
    IF(F3220+Table1[[#This Row],[Steps]]&gt;99,(F3220+Table1[[#This Row],[Steps]])-100,F3220+Table1[[#This Row],[Steps]]),
))</f>
        <v>0</v>
      </c>
      <c r="F3221">
        <f>IF(Table1[[#This Row],[New Pos L]]&lt;&gt;0,Table1[[#This Row],[New Pos L]],Table1[[#This Row],[New Pos R]])</f>
        <v>0</v>
      </c>
    </row>
    <row r="3222" spans="1:6" ht="16" x14ac:dyDescent="0.2">
      <c r="A3222" s="1" t="s">
        <v>713</v>
      </c>
      <c r="B3222" t="str">
        <f>LEFT(Table1[[#This Row],[Input]],1)</f>
        <v>R</v>
      </c>
      <c r="C3222">
        <f>_xlfn.LET(_xlpm.steps,SUBSTITUTE(Table1[[#This Row],[Input]],Table1[[#This Row],[Direction]],""),VALUE(IF(LEN(_xlpm.steps)&gt;2,RIGHT(_xlpm.steps,2),_xlpm.steps)))</f>
        <v>56</v>
      </c>
      <c r="D3222">
        <f>_xlfn.LET(_xlpm.dir,Table1[[#This Row],[Direction]],
IF(_xlpm.dir="L",
    IF(F3221-Table1[[#This Row],[Steps]]&lt;0,100+(F3221-Table1[[#This Row],[Steps]]),F3221-Table1[[#This Row],[Steps]]),
))</f>
        <v>0</v>
      </c>
      <c r="E3222">
        <f>_xlfn.LET(_xlpm.dir,Table1[[#This Row],[Direction]],
IF(_xlpm.dir="R",
    IF(F3221+Table1[[#This Row],[Steps]]&gt;99,(F3221+Table1[[#This Row],[Steps]])-100,F3221+Table1[[#This Row],[Steps]]),
))</f>
        <v>56</v>
      </c>
      <c r="F3222">
        <f>IF(Table1[[#This Row],[New Pos L]]&lt;&gt;0,Table1[[#This Row],[New Pos L]],Table1[[#This Row],[New Pos R]])</f>
        <v>56</v>
      </c>
    </row>
    <row r="3223" spans="1:6" ht="16" x14ac:dyDescent="0.2">
      <c r="A3223" s="1" t="s">
        <v>13</v>
      </c>
      <c r="B3223" t="str">
        <f>LEFT(Table1[[#This Row],[Input]],1)</f>
        <v>R</v>
      </c>
      <c r="C3223">
        <f>_xlfn.LET(_xlpm.steps,SUBSTITUTE(Table1[[#This Row],[Input]],Table1[[#This Row],[Direction]],""),VALUE(IF(LEN(_xlpm.steps)&gt;2,RIGHT(_xlpm.steps,2),_xlpm.steps)))</f>
        <v>12</v>
      </c>
      <c r="D3223">
        <f>_xlfn.LET(_xlpm.dir,Table1[[#This Row],[Direction]],
IF(_xlpm.dir="L",
    IF(F3222-Table1[[#This Row],[Steps]]&lt;0,100+(F3222-Table1[[#This Row],[Steps]]),F3222-Table1[[#This Row],[Steps]]),
))</f>
        <v>0</v>
      </c>
      <c r="E3223">
        <f>_xlfn.LET(_xlpm.dir,Table1[[#This Row],[Direction]],
IF(_xlpm.dir="R",
    IF(F3222+Table1[[#This Row],[Steps]]&gt;99,(F3222+Table1[[#This Row],[Steps]])-100,F3222+Table1[[#This Row],[Steps]]),
))</f>
        <v>68</v>
      </c>
      <c r="F3223">
        <f>IF(Table1[[#This Row],[New Pos L]]&lt;&gt;0,Table1[[#This Row],[New Pos L]],Table1[[#This Row],[New Pos R]])</f>
        <v>68</v>
      </c>
    </row>
    <row r="3224" spans="1:6" ht="16" x14ac:dyDescent="0.2">
      <c r="A3224" s="1" t="s">
        <v>39</v>
      </c>
      <c r="B3224" t="str">
        <f>LEFT(Table1[[#This Row],[Input]],1)</f>
        <v>R</v>
      </c>
      <c r="C3224">
        <f>_xlfn.LET(_xlpm.steps,SUBSTITUTE(Table1[[#This Row],[Input]],Table1[[#This Row],[Direction]],""),VALUE(IF(LEN(_xlpm.steps)&gt;2,RIGHT(_xlpm.steps,2),_xlpm.steps)))</f>
        <v>32</v>
      </c>
      <c r="D3224">
        <f>_xlfn.LET(_xlpm.dir,Table1[[#This Row],[Direction]],
IF(_xlpm.dir="L",
    IF(F3223-Table1[[#This Row],[Steps]]&lt;0,100+(F3223-Table1[[#This Row],[Steps]]),F3223-Table1[[#This Row],[Steps]]),
))</f>
        <v>0</v>
      </c>
      <c r="E3224">
        <f>_xlfn.LET(_xlpm.dir,Table1[[#This Row],[Direction]],
IF(_xlpm.dir="R",
    IF(F3223+Table1[[#This Row],[Steps]]&gt;99,(F3223+Table1[[#This Row],[Steps]])-100,F3223+Table1[[#This Row],[Steps]]),
))</f>
        <v>0</v>
      </c>
      <c r="F3224">
        <f>IF(Table1[[#This Row],[New Pos L]]&lt;&gt;0,Table1[[#This Row],[New Pos L]],Table1[[#This Row],[New Pos R]])</f>
        <v>0</v>
      </c>
    </row>
    <row r="3225" spans="1:6" ht="16" x14ac:dyDescent="0.2">
      <c r="A3225" s="1" t="s">
        <v>714</v>
      </c>
      <c r="B3225" t="str">
        <f>LEFT(Table1[[#This Row],[Input]],1)</f>
        <v>R</v>
      </c>
      <c r="C3225">
        <f>_xlfn.LET(_xlpm.steps,SUBSTITUTE(Table1[[#This Row],[Input]],Table1[[#This Row],[Direction]],""),VALUE(IF(LEN(_xlpm.steps)&gt;2,RIGHT(_xlpm.steps,2),_xlpm.steps)))</f>
        <v>16</v>
      </c>
      <c r="D3225">
        <f>_xlfn.LET(_xlpm.dir,Table1[[#This Row],[Direction]],
IF(_xlpm.dir="L",
    IF(F3224-Table1[[#This Row],[Steps]]&lt;0,100+(F3224-Table1[[#This Row],[Steps]]),F3224-Table1[[#This Row],[Steps]]),
))</f>
        <v>0</v>
      </c>
      <c r="E3225">
        <f>_xlfn.LET(_xlpm.dir,Table1[[#This Row],[Direction]],
IF(_xlpm.dir="R",
    IF(F3224+Table1[[#This Row],[Steps]]&gt;99,(F3224+Table1[[#This Row],[Steps]])-100,F3224+Table1[[#This Row],[Steps]]),
))</f>
        <v>16</v>
      </c>
      <c r="F3225">
        <f>IF(Table1[[#This Row],[New Pos L]]&lt;&gt;0,Table1[[#This Row],[New Pos L]],Table1[[#This Row],[New Pos R]])</f>
        <v>16</v>
      </c>
    </row>
    <row r="3226" spans="1:6" ht="16" x14ac:dyDescent="0.2">
      <c r="A3226" s="1" t="s">
        <v>183</v>
      </c>
      <c r="B3226" t="str">
        <f>LEFT(Table1[[#This Row],[Input]],1)</f>
        <v>L</v>
      </c>
      <c r="C3226">
        <f>_xlfn.LET(_xlpm.steps,SUBSTITUTE(Table1[[#This Row],[Input]],Table1[[#This Row],[Direction]],""),VALUE(IF(LEN(_xlpm.steps)&gt;2,RIGHT(_xlpm.steps,2),_xlpm.steps)))</f>
        <v>67</v>
      </c>
      <c r="D3226">
        <f>_xlfn.LET(_xlpm.dir,Table1[[#This Row],[Direction]],
IF(_xlpm.dir="L",
    IF(F3225-Table1[[#This Row],[Steps]]&lt;0,100+(F3225-Table1[[#This Row],[Steps]]),F3225-Table1[[#This Row],[Steps]]),
))</f>
        <v>49</v>
      </c>
      <c r="E3226">
        <f>_xlfn.LET(_xlpm.dir,Table1[[#This Row],[Direction]],
IF(_xlpm.dir="R",
    IF(F3225+Table1[[#This Row],[Steps]]&gt;99,(F3225+Table1[[#This Row],[Steps]])-100,F3225+Table1[[#This Row],[Steps]]),
))</f>
        <v>0</v>
      </c>
      <c r="F3226">
        <f>IF(Table1[[#This Row],[New Pos L]]&lt;&gt;0,Table1[[#This Row],[New Pos L]],Table1[[#This Row],[New Pos R]])</f>
        <v>49</v>
      </c>
    </row>
    <row r="3227" spans="1:6" ht="16" x14ac:dyDescent="0.2">
      <c r="A3227" s="1" t="s">
        <v>195</v>
      </c>
      <c r="B3227" t="str">
        <f>LEFT(Table1[[#This Row],[Input]],1)</f>
        <v>R</v>
      </c>
      <c r="C3227">
        <f>_xlfn.LET(_xlpm.steps,SUBSTITUTE(Table1[[#This Row],[Input]],Table1[[#This Row],[Direction]],""),VALUE(IF(LEN(_xlpm.steps)&gt;2,RIGHT(_xlpm.steps,2),_xlpm.steps)))</f>
        <v>40</v>
      </c>
      <c r="D3227">
        <f>_xlfn.LET(_xlpm.dir,Table1[[#This Row],[Direction]],
IF(_xlpm.dir="L",
    IF(F3226-Table1[[#This Row],[Steps]]&lt;0,100+(F3226-Table1[[#This Row],[Steps]]),F3226-Table1[[#This Row],[Steps]]),
))</f>
        <v>0</v>
      </c>
      <c r="E3227">
        <f>_xlfn.LET(_xlpm.dir,Table1[[#This Row],[Direction]],
IF(_xlpm.dir="R",
    IF(F3226+Table1[[#This Row],[Steps]]&gt;99,(F3226+Table1[[#This Row],[Steps]])-100,F3226+Table1[[#This Row],[Steps]]),
))</f>
        <v>89</v>
      </c>
      <c r="F3227">
        <f>IF(Table1[[#This Row],[New Pos L]]&lt;&gt;0,Table1[[#This Row],[New Pos L]],Table1[[#This Row],[New Pos R]])</f>
        <v>89</v>
      </c>
    </row>
    <row r="3228" spans="1:6" ht="16" x14ac:dyDescent="0.2">
      <c r="A3228" s="1" t="s">
        <v>30</v>
      </c>
      <c r="B3228" t="str">
        <f>LEFT(Table1[[#This Row],[Input]],1)</f>
        <v>R</v>
      </c>
      <c r="C3228">
        <f>_xlfn.LET(_xlpm.steps,SUBSTITUTE(Table1[[#This Row],[Input]],Table1[[#This Row],[Direction]],""),VALUE(IF(LEN(_xlpm.steps)&gt;2,RIGHT(_xlpm.steps,2),_xlpm.steps)))</f>
        <v>48</v>
      </c>
      <c r="D3228">
        <f>_xlfn.LET(_xlpm.dir,Table1[[#This Row],[Direction]],
IF(_xlpm.dir="L",
    IF(F3227-Table1[[#This Row],[Steps]]&lt;0,100+(F3227-Table1[[#This Row],[Steps]]),F3227-Table1[[#This Row],[Steps]]),
))</f>
        <v>0</v>
      </c>
      <c r="E3228">
        <f>_xlfn.LET(_xlpm.dir,Table1[[#This Row],[Direction]],
IF(_xlpm.dir="R",
    IF(F3227+Table1[[#This Row],[Steps]]&gt;99,(F3227+Table1[[#This Row],[Steps]])-100,F3227+Table1[[#This Row],[Steps]]),
))</f>
        <v>37</v>
      </c>
      <c r="F3228">
        <f>IF(Table1[[#This Row],[New Pos L]]&lt;&gt;0,Table1[[#This Row],[New Pos L]],Table1[[#This Row],[New Pos R]])</f>
        <v>37</v>
      </c>
    </row>
    <row r="3229" spans="1:6" ht="16" x14ac:dyDescent="0.2">
      <c r="A3229" s="1" t="s">
        <v>60</v>
      </c>
      <c r="B3229" t="str">
        <f>LEFT(Table1[[#This Row],[Input]],1)</f>
        <v>R</v>
      </c>
      <c r="C3229">
        <f>_xlfn.LET(_xlpm.steps,SUBSTITUTE(Table1[[#This Row],[Input]],Table1[[#This Row],[Direction]],""),VALUE(IF(LEN(_xlpm.steps)&gt;2,RIGHT(_xlpm.steps,2),_xlpm.steps)))</f>
        <v>86</v>
      </c>
      <c r="D3229">
        <f>_xlfn.LET(_xlpm.dir,Table1[[#This Row],[Direction]],
IF(_xlpm.dir="L",
    IF(F3228-Table1[[#This Row],[Steps]]&lt;0,100+(F3228-Table1[[#This Row],[Steps]]),F3228-Table1[[#This Row],[Steps]]),
))</f>
        <v>0</v>
      </c>
      <c r="E3229">
        <f>_xlfn.LET(_xlpm.dir,Table1[[#This Row],[Direction]],
IF(_xlpm.dir="R",
    IF(F3228+Table1[[#This Row],[Steps]]&gt;99,(F3228+Table1[[#This Row],[Steps]])-100,F3228+Table1[[#This Row],[Steps]]),
))</f>
        <v>23</v>
      </c>
      <c r="F3229">
        <f>IF(Table1[[#This Row],[New Pos L]]&lt;&gt;0,Table1[[#This Row],[New Pos L]],Table1[[#This Row],[New Pos R]])</f>
        <v>23</v>
      </c>
    </row>
    <row r="3230" spans="1:6" ht="16" x14ac:dyDescent="0.2">
      <c r="A3230" s="1" t="s">
        <v>252</v>
      </c>
      <c r="B3230" t="str">
        <f>LEFT(Table1[[#This Row],[Input]],1)</f>
        <v>L</v>
      </c>
      <c r="C3230">
        <f>_xlfn.LET(_xlpm.steps,SUBSTITUTE(Table1[[#This Row],[Input]],Table1[[#This Row],[Direction]],""),VALUE(IF(LEN(_xlpm.steps)&gt;2,RIGHT(_xlpm.steps,2),_xlpm.steps)))</f>
        <v>99</v>
      </c>
      <c r="D3230">
        <f>_xlfn.LET(_xlpm.dir,Table1[[#This Row],[Direction]],
IF(_xlpm.dir="L",
    IF(F3229-Table1[[#This Row],[Steps]]&lt;0,100+(F3229-Table1[[#This Row],[Steps]]),F3229-Table1[[#This Row],[Steps]]),
))</f>
        <v>24</v>
      </c>
      <c r="E3230">
        <f>_xlfn.LET(_xlpm.dir,Table1[[#This Row],[Direction]],
IF(_xlpm.dir="R",
    IF(F3229+Table1[[#This Row],[Steps]]&gt;99,(F3229+Table1[[#This Row],[Steps]])-100,F3229+Table1[[#This Row],[Steps]]),
))</f>
        <v>0</v>
      </c>
      <c r="F3230">
        <f>IF(Table1[[#This Row],[New Pos L]]&lt;&gt;0,Table1[[#This Row],[New Pos L]],Table1[[#This Row],[New Pos R]])</f>
        <v>24</v>
      </c>
    </row>
    <row r="3231" spans="1:6" ht="16" x14ac:dyDescent="0.2">
      <c r="A3231" s="1" t="s">
        <v>161</v>
      </c>
      <c r="B3231" t="str">
        <f>LEFT(Table1[[#This Row],[Input]],1)</f>
        <v>R</v>
      </c>
      <c r="C3231">
        <f>_xlfn.LET(_xlpm.steps,SUBSTITUTE(Table1[[#This Row],[Input]],Table1[[#This Row],[Direction]],""),VALUE(IF(LEN(_xlpm.steps)&gt;2,RIGHT(_xlpm.steps,2),_xlpm.steps)))</f>
        <v>76</v>
      </c>
      <c r="D3231">
        <f>_xlfn.LET(_xlpm.dir,Table1[[#This Row],[Direction]],
IF(_xlpm.dir="L",
    IF(F3230-Table1[[#This Row],[Steps]]&lt;0,100+(F3230-Table1[[#This Row],[Steps]]),F3230-Table1[[#This Row],[Steps]]),
))</f>
        <v>0</v>
      </c>
      <c r="E3231">
        <f>_xlfn.LET(_xlpm.dir,Table1[[#This Row],[Direction]],
IF(_xlpm.dir="R",
    IF(F3230+Table1[[#This Row],[Steps]]&gt;99,(F3230+Table1[[#This Row],[Steps]])-100,F3230+Table1[[#This Row],[Steps]]),
))</f>
        <v>0</v>
      </c>
      <c r="F3231">
        <f>IF(Table1[[#This Row],[New Pos L]]&lt;&gt;0,Table1[[#This Row],[New Pos L]],Table1[[#This Row],[New Pos R]])</f>
        <v>0</v>
      </c>
    </row>
    <row r="3232" spans="1:6" ht="16" x14ac:dyDescent="0.2">
      <c r="A3232" s="1" t="s">
        <v>105</v>
      </c>
      <c r="B3232" t="str">
        <f>LEFT(Table1[[#This Row],[Input]],1)</f>
        <v>R</v>
      </c>
      <c r="C3232">
        <f>_xlfn.LET(_xlpm.steps,SUBSTITUTE(Table1[[#This Row],[Input]],Table1[[#This Row],[Direction]],""),VALUE(IF(LEN(_xlpm.steps)&gt;2,RIGHT(_xlpm.steps,2),_xlpm.steps)))</f>
        <v>98</v>
      </c>
      <c r="D3232">
        <f>_xlfn.LET(_xlpm.dir,Table1[[#This Row],[Direction]],
IF(_xlpm.dir="L",
    IF(F3231-Table1[[#This Row],[Steps]]&lt;0,100+(F3231-Table1[[#This Row],[Steps]]),F3231-Table1[[#This Row],[Steps]]),
))</f>
        <v>0</v>
      </c>
      <c r="E3232">
        <f>_xlfn.LET(_xlpm.dir,Table1[[#This Row],[Direction]],
IF(_xlpm.dir="R",
    IF(F3231+Table1[[#This Row],[Steps]]&gt;99,(F3231+Table1[[#This Row],[Steps]])-100,F3231+Table1[[#This Row],[Steps]]),
))</f>
        <v>98</v>
      </c>
      <c r="F3232">
        <f>IF(Table1[[#This Row],[New Pos L]]&lt;&gt;0,Table1[[#This Row],[New Pos L]],Table1[[#This Row],[New Pos R]])</f>
        <v>98</v>
      </c>
    </row>
    <row r="3233" spans="1:6" ht="16" x14ac:dyDescent="0.2">
      <c r="A3233" s="1" t="s">
        <v>462</v>
      </c>
      <c r="B3233" t="str">
        <f>LEFT(Table1[[#This Row],[Input]],1)</f>
        <v>L</v>
      </c>
      <c r="C3233">
        <f>_xlfn.LET(_xlpm.steps,SUBSTITUTE(Table1[[#This Row],[Input]],Table1[[#This Row],[Direction]],""),VALUE(IF(LEN(_xlpm.steps)&gt;2,RIGHT(_xlpm.steps,2),_xlpm.steps)))</f>
        <v>17</v>
      </c>
      <c r="D3233">
        <f>_xlfn.LET(_xlpm.dir,Table1[[#This Row],[Direction]],
IF(_xlpm.dir="L",
    IF(F3232-Table1[[#This Row],[Steps]]&lt;0,100+(F3232-Table1[[#This Row],[Steps]]),F3232-Table1[[#This Row],[Steps]]),
))</f>
        <v>81</v>
      </c>
      <c r="E3233">
        <f>_xlfn.LET(_xlpm.dir,Table1[[#This Row],[Direction]],
IF(_xlpm.dir="R",
    IF(F3232+Table1[[#This Row],[Steps]]&gt;99,(F3232+Table1[[#This Row],[Steps]])-100,F3232+Table1[[#This Row],[Steps]]),
))</f>
        <v>0</v>
      </c>
      <c r="F3233">
        <f>IF(Table1[[#This Row],[New Pos L]]&lt;&gt;0,Table1[[#This Row],[New Pos L]],Table1[[#This Row],[New Pos R]])</f>
        <v>81</v>
      </c>
    </row>
    <row r="3234" spans="1:6" ht="16" x14ac:dyDescent="0.2">
      <c r="A3234" s="1" t="s">
        <v>296</v>
      </c>
      <c r="B3234" t="str">
        <f>LEFT(Table1[[#This Row],[Input]],1)</f>
        <v>R</v>
      </c>
      <c r="C3234">
        <f>_xlfn.LET(_xlpm.steps,SUBSTITUTE(Table1[[#This Row],[Input]],Table1[[#This Row],[Direction]],""),VALUE(IF(LEN(_xlpm.steps)&gt;2,RIGHT(_xlpm.steps,2),_xlpm.steps)))</f>
        <v>19</v>
      </c>
      <c r="D3234">
        <f>_xlfn.LET(_xlpm.dir,Table1[[#This Row],[Direction]],
IF(_xlpm.dir="L",
    IF(F3233-Table1[[#This Row],[Steps]]&lt;0,100+(F3233-Table1[[#This Row],[Steps]]),F3233-Table1[[#This Row],[Steps]]),
))</f>
        <v>0</v>
      </c>
      <c r="E3234">
        <f>_xlfn.LET(_xlpm.dir,Table1[[#This Row],[Direction]],
IF(_xlpm.dir="R",
    IF(F3233+Table1[[#This Row],[Steps]]&gt;99,(F3233+Table1[[#This Row],[Steps]])-100,F3233+Table1[[#This Row],[Steps]]),
))</f>
        <v>0</v>
      </c>
      <c r="F3234">
        <f>IF(Table1[[#This Row],[New Pos L]]&lt;&gt;0,Table1[[#This Row],[New Pos L]],Table1[[#This Row],[New Pos R]])</f>
        <v>0</v>
      </c>
    </row>
    <row r="3235" spans="1:6" ht="16" x14ac:dyDescent="0.2">
      <c r="A3235" s="1" t="s">
        <v>77</v>
      </c>
      <c r="B3235" t="str">
        <f>LEFT(Table1[[#This Row],[Input]],1)</f>
        <v>R</v>
      </c>
      <c r="C3235">
        <f>_xlfn.LET(_xlpm.steps,SUBSTITUTE(Table1[[#This Row],[Input]],Table1[[#This Row],[Direction]],""),VALUE(IF(LEN(_xlpm.steps)&gt;2,RIGHT(_xlpm.steps,2),_xlpm.steps)))</f>
        <v>74</v>
      </c>
      <c r="D3235">
        <f>_xlfn.LET(_xlpm.dir,Table1[[#This Row],[Direction]],
IF(_xlpm.dir="L",
    IF(F3234-Table1[[#This Row],[Steps]]&lt;0,100+(F3234-Table1[[#This Row],[Steps]]),F3234-Table1[[#This Row],[Steps]]),
))</f>
        <v>0</v>
      </c>
      <c r="E3235">
        <f>_xlfn.LET(_xlpm.dir,Table1[[#This Row],[Direction]],
IF(_xlpm.dir="R",
    IF(F3234+Table1[[#This Row],[Steps]]&gt;99,(F3234+Table1[[#This Row],[Steps]])-100,F3234+Table1[[#This Row],[Steps]]),
))</f>
        <v>74</v>
      </c>
      <c r="F3235">
        <f>IF(Table1[[#This Row],[New Pos L]]&lt;&gt;0,Table1[[#This Row],[New Pos L]],Table1[[#This Row],[New Pos R]])</f>
        <v>74</v>
      </c>
    </row>
    <row r="3236" spans="1:6" ht="16" x14ac:dyDescent="0.2">
      <c r="A3236" s="1" t="s">
        <v>179</v>
      </c>
      <c r="B3236" t="str">
        <f>LEFT(Table1[[#This Row],[Input]],1)</f>
        <v>L</v>
      </c>
      <c r="C3236">
        <f>_xlfn.LET(_xlpm.steps,SUBSTITUTE(Table1[[#This Row],[Input]],Table1[[#This Row],[Direction]],""),VALUE(IF(LEN(_xlpm.steps)&gt;2,RIGHT(_xlpm.steps,2),_xlpm.steps)))</f>
        <v>54</v>
      </c>
      <c r="D3236">
        <f>_xlfn.LET(_xlpm.dir,Table1[[#This Row],[Direction]],
IF(_xlpm.dir="L",
    IF(F3235-Table1[[#This Row],[Steps]]&lt;0,100+(F3235-Table1[[#This Row],[Steps]]),F3235-Table1[[#This Row],[Steps]]),
))</f>
        <v>20</v>
      </c>
      <c r="E3236">
        <f>_xlfn.LET(_xlpm.dir,Table1[[#This Row],[Direction]],
IF(_xlpm.dir="R",
    IF(F3235+Table1[[#This Row],[Steps]]&gt;99,(F3235+Table1[[#This Row],[Steps]])-100,F3235+Table1[[#This Row],[Steps]]),
))</f>
        <v>0</v>
      </c>
      <c r="F3236">
        <f>IF(Table1[[#This Row],[New Pos L]]&lt;&gt;0,Table1[[#This Row],[New Pos L]],Table1[[#This Row],[New Pos R]])</f>
        <v>20</v>
      </c>
    </row>
    <row r="3237" spans="1:6" ht="16" x14ac:dyDescent="0.2">
      <c r="A3237" s="1" t="s">
        <v>30</v>
      </c>
      <c r="B3237" t="str">
        <f>LEFT(Table1[[#This Row],[Input]],1)</f>
        <v>R</v>
      </c>
      <c r="C3237">
        <f>_xlfn.LET(_xlpm.steps,SUBSTITUTE(Table1[[#This Row],[Input]],Table1[[#This Row],[Direction]],""),VALUE(IF(LEN(_xlpm.steps)&gt;2,RIGHT(_xlpm.steps,2),_xlpm.steps)))</f>
        <v>48</v>
      </c>
      <c r="D3237">
        <f>_xlfn.LET(_xlpm.dir,Table1[[#This Row],[Direction]],
IF(_xlpm.dir="L",
    IF(F3236-Table1[[#This Row],[Steps]]&lt;0,100+(F3236-Table1[[#This Row],[Steps]]),F3236-Table1[[#This Row],[Steps]]),
))</f>
        <v>0</v>
      </c>
      <c r="E3237">
        <f>_xlfn.LET(_xlpm.dir,Table1[[#This Row],[Direction]],
IF(_xlpm.dir="R",
    IF(F3236+Table1[[#This Row],[Steps]]&gt;99,(F3236+Table1[[#This Row],[Steps]])-100,F3236+Table1[[#This Row],[Steps]]),
))</f>
        <v>68</v>
      </c>
      <c r="F3237">
        <f>IF(Table1[[#This Row],[New Pos L]]&lt;&gt;0,Table1[[#This Row],[New Pos L]],Table1[[#This Row],[New Pos R]])</f>
        <v>68</v>
      </c>
    </row>
    <row r="3238" spans="1:6" ht="16" x14ac:dyDescent="0.2">
      <c r="A3238" s="1" t="s">
        <v>14</v>
      </c>
      <c r="B3238" t="str">
        <f>LEFT(Table1[[#This Row],[Input]],1)</f>
        <v>L</v>
      </c>
      <c r="C3238">
        <f>_xlfn.LET(_xlpm.steps,SUBSTITUTE(Table1[[#This Row],[Input]],Table1[[#This Row],[Direction]],""),VALUE(IF(LEN(_xlpm.steps)&gt;2,RIGHT(_xlpm.steps,2),_xlpm.steps)))</f>
        <v>43</v>
      </c>
      <c r="D3238">
        <f>_xlfn.LET(_xlpm.dir,Table1[[#This Row],[Direction]],
IF(_xlpm.dir="L",
    IF(F3237-Table1[[#This Row],[Steps]]&lt;0,100+(F3237-Table1[[#This Row],[Steps]]),F3237-Table1[[#This Row],[Steps]]),
))</f>
        <v>25</v>
      </c>
      <c r="E3238">
        <f>_xlfn.LET(_xlpm.dir,Table1[[#This Row],[Direction]],
IF(_xlpm.dir="R",
    IF(F3237+Table1[[#This Row],[Steps]]&gt;99,(F3237+Table1[[#This Row],[Steps]])-100,F3237+Table1[[#This Row],[Steps]]),
))</f>
        <v>0</v>
      </c>
      <c r="F3238">
        <f>IF(Table1[[#This Row],[New Pos L]]&lt;&gt;0,Table1[[#This Row],[New Pos L]],Table1[[#This Row],[New Pos R]])</f>
        <v>25</v>
      </c>
    </row>
    <row r="3239" spans="1:6" ht="16" x14ac:dyDescent="0.2">
      <c r="A3239" s="1" t="s">
        <v>34</v>
      </c>
      <c r="B3239" t="str">
        <f>LEFT(Table1[[#This Row],[Input]],1)</f>
        <v>L</v>
      </c>
      <c r="C3239">
        <f>_xlfn.LET(_xlpm.steps,SUBSTITUTE(Table1[[#This Row],[Input]],Table1[[#This Row],[Direction]],""),VALUE(IF(LEN(_xlpm.steps)&gt;2,RIGHT(_xlpm.steps,2),_xlpm.steps)))</f>
        <v>15</v>
      </c>
      <c r="D3239">
        <f>_xlfn.LET(_xlpm.dir,Table1[[#This Row],[Direction]],
IF(_xlpm.dir="L",
    IF(F3238-Table1[[#This Row],[Steps]]&lt;0,100+(F3238-Table1[[#This Row],[Steps]]),F3238-Table1[[#This Row],[Steps]]),
))</f>
        <v>10</v>
      </c>
      <c r="E3239">
        <f>_xlfn.LET(_xlpm.dir,Table1[[#This Row],[Direction]],
IF(_xlpm.dir="R",
    IF(F3238+Table1[[#This Row],[Steps]]&gt;99,(F3238+Table1[[#This Row],[Steps]])-100,F3238+Table1[[#This Row],[Steps]]),
))</f>
        <v>0</v>
      </c>
      <c r="F3239">
        <f>IF(Table1[[#This Row],[New Pos L]]&lt;&gt;0,Table1[[#This Row],[New Pos L]],Table1[[#This Row],[New Pos R]])</f>
        <v>10</v>
      </c>
    </row>
    <row r="3240" spans="1:6" ht="16" x14ac:dyDescent="0.2">
      <c r="A3240" s="1" t="s">
        <v>73</v>
      </c>
      <c r="B3240" t="str">
        <f>LEFT(Table1[[#This Row],[Input]],1)</f>
        <v>R</v>
      </c>
      <c r="C3240">
        <f>_xlfn.LET(_xlpm.steps,SUBSTITUTE(Table1[[#This Row],[Input]],Table1[[#This Row],[Direction]],""),VALUE(IF(LEN(_xlpm.steps)&gt;2,RIGHT(_xlpm.steps,2),_xlpm.steps)))</f>
        <v>21</v>
      </c>
      <c r="D3240">
        <f>_xlfn.LET(_xlpm.dir,Table1[[#This Row],[Direction]],
IF(_xlpm.dir="L",
    IF(F3239-Table1[[#This Row],[Steps]]&lt;0,100+(F3239-Table1[[#This Row],[Steps]]),F3239-Table1[[#This Row],[Steps]]),
))</f>
        <v>0</v>
      </c>
      <c r="E3240">
        <f>_xlfn.LET(_xlpm.dir,Table1[[#This Row],[Direction]],
IF(_xlpm.dir="R",
    IF(F3239+Table1[[#This Row],[Steps]]&gt;99,(F3239+Table1[[#This Row],[Steps]])-100,F3239+Table1[[#This Row],[Steps]]),
))</f>
        <v>31</v>
      </c>
      <c r="F3240">
        <f>IF(Table1[[#This Row],[New Pos L]]&lt;&gt;0,Table1[[#This Row],[New Pos L]],Table1[[#This Row],[New Pos R]])</f>
        <v>31</v>
      </c>
    </row>
    <row r="3241" spans="1:6" ht="16" x14ac:dyDescent="0.2">
      <c r="A3241" s="1" t="s">
        <v>715</v>
      </c>
      <c r="B3241" t="str">
        <f>LEFT(Table1[[#This Row],[Input]],1)</f>
        <v>L</v>
      </c>
      <c r="C3241">
        <f>_xlfn.LET(_xlpm.steps,SUBSTITUTE(Table1[[#This Row],[Input]],Table1[[#This Row],[Direction]],""),VALUE(IF(LEN(_xlpm.steps)&gt;2,RIGHT(_xlpm.steps,2),_xlpm.steps)))</f>
        <v>31</v>
      </c>
      <c r="D3241">
        <f>_xlfn.LET(_xlpm.dir,Table1[[#This Row],[Direction]],
IF(_xlpm.dir="L",
    IF(F3240-Table1[[#This Row],[Steps]]&lt;0,100+(F3240-Table1[[#This Row],[Steps]]),F3240-Table1[[#This Row],[Steps]]),
))</f>
        <v>0</v>
      </c>
      <c r="E3241">
        <f>_xlfn.LET(_xlpm.dir,Table1[[#This Row],[Direction]],
IF(_xlpm.dir="R",
    IF(F3240+Table1[[#This Row],[Steps]]&gt;99,(F3240+Table1[[#This Row],[Steps]])-100,F3240+Table1[[#This Row],[Steps]]),
))</f>
        <v>0</v>
      </c>
      <c r="F3241">
        <f>IF(Table1[[#This Row],[New Pos L]]&lt;&gt;0,Table1[[#This Row],[New Pos L]],Table1[[#This Row],[New Pos R]])</f>
        <v>0</v>
      </c>
    </row>
    <row r="3242" spans="1:6" ht="16" x14ac:dyDescent="0.2">
      <c r="A3242" s="1" t="s">
        <v>81</v>
      </c>
      <c r="B3242" t="str">
        <f>LEFT(Table1[[#This Row],[Input]],1)</f>
        <v>R</v>
      </c>
      <c r="C3242">
        <f>_xlfn.LET(_xlpm.steps,SUBSTITUTE(Table1[[#This Row],[Input]],Table1[[#This Row],[Direction]],""),VALUE(IF(LEN(_xlpm.steps)&gt;2,RIGHT(_xlpm.steps,2),_xlpm.steps)))</f>
        <v>17</v>
      </c>
      <c r="D3242">
        <f>_xlfn.LET(_xlpm.dir,Table1[[#This Row],[Direction]],
IF(_xlpm.dir="L",
    IF(F3241-Table1[[#This Row],[Steps]]&lt;0,100+(F3241-Table1[[#This Row],[Steps]]),F3241-Table1[[#This Row],[Steps]]),
))</f>
        <v>0</v>
      </c>
      <c r="E3242">
        <f>_xlfn.LET(_xlpm.dir,Table1[[#This Row],[Direction]],
IF(_xlpm.dir="R",
    IF(F3241+Table1[[#This Row],[Steps]]&gt;99,(F3241+Table1[[#This Row],[Steps]])-100,F3241+Table1[[#This Row],[Steps]]),
))</f>
        <v>17</v>
      </c>
      <c r="F3242">
        <f>IF(Table1[[#This Row],[New Pos L]]&lt;&gt;0,Table1[[#This Row],[New Pos L]],Table1[[#This Row],[New Pos R]])</f>
        <v>17</v>
      </c>
    </row>
    <row r="3243" spans="1:6" ht="16" x14ac:dyDescent="0.2">
      <c r="A3243" s="1" t="s">
        <v>462</v>
      </c>
      <c r="B3243" t="str">
        <f>LEFT(Table1[[#This Row],[Input]],1)</f>
        <v>L</v>
      </c>
      <c r="C3243">
        <f>_xlfn.LET(_xlpm.steps,SUBSTITUTE(Table1[[#This Row],[Input]],Table1[[#This Row],[Direction]],""),VALUE(IF(LEN(_xlpm.steps)&gt;2,RIGHT(_xlpm.steps,2),_xlpm.steps)))</f>
        <v>17</v>
      </c>
      <c r="D3243">
        <f>_xlfn.LET(_xlpm.dir,Table1[[#This Row],[Direction]],
IF(_xlpm.dir="L",
    IF(F3242-Table1[[#This Row],[Steps]]&lt;0,100+(F3242-Table1[[#This Row],[Steps]]),F3242-Table1[[#This Row],[Steps]]),
))</f>
        <v>0</v>
      </c>
      <c r="E3243">
        <f>_xlfn.LET(_xlpm.dir,Table1[[#This Row],[Direction]],
IF(_xlpm.dir="R",
    IF(F3242+Table1[[#This Row],[Steps]]&gt;99,(F3242+Table1[[#This Row],[Steps]])-100,F3242+Table1[[#This Row],[Steps]]),
))</f>
        <v>0</v>
      </c>
      <c r="F3243">
        <f>IF(Table1[[#This Row],[New Pos L]]&lt;&gt;0,Table1[[#This Row],[New Pos L]],Table1[[#This Row],[New Pos R]])</f>
        <v>0</v>
      </c>
    </row>
    <row r="3244" spans="1:6" ht="16" x14ac:dyDescent="0.2">
      <c r="A3244" s="1" t="s">
        <v>83</v>
      </c>
      <c r="B3244" t="str">
        <f>LEFT(Table1[[#This Row],[Input]],1)</f>
        <v>R</v>
      </c>
      <c r="C3244">
        <f>_xlfn.LET(_xlpm.steps,SUBSTITUTE(Table1[[#This Row],[Input]],Table1[[#This Row],[Direction]],""),VALUE(IF(LEN(_xlpm.steps)&gt;2,RIGHT(_xlpm.steps,2),_xlpm.steps)))</f>
        <v>79</v>
      </c>
      <c r="D3244">
        <f>_xlfn.LET(_xlpm.dir,Table1[[#This Row],[Direction]],
IF(_xlpm.dir="L",
    IF(F3243-Table1[[#This Row],[Steps]]&lt;0,100+(F3243-Table1[[#This Row],[Steps]]),F3243-Table1[[#This Row],[Steps]]),
))</f>
        <v>0</v>
      </c>
      <c r="E3244">
        <f>_xlfn.LET(_xlpm.dir,Table1[[#This Row],[Direction]],
IF(_xlpm.dir="R",
    IF(F3243+Table1[[#This Row],[Steps]]&gt;99,(F3243+Table1[[#This Row],[Steps]])-100,F3243+Table1[[#This Row],[Steps]]),
))</f>
        <v>79</v>
      </c>
      <c r="F3244">
        <f>IF(Table1[[#This Row],[New Pos L]]&lt;&gt;0,Table1[[#This Row],[New Pos L]],Table1[[#This Row],[New Pos R]])</f>
        <v>79</v>
      </c>
    </row>
    <row r="3245" spans="1:6" ht="16" x14ac:dyDescent="0.2">
      <c r="A3245" s="1" t="s">
        <v>319</v>
      </c>
      <c r="B3245" t="str">
        <f>LEFT(Table1[[#This Row],[Input]],1)</f>
        <v>L</v>
      </c>
      <c r="C3245">
        <f>_xlfn.LET(_xlpm.steps,SUBSTITUTE(Table1[[#This Row],[Input]],Table1[[#This Row],[Direction]],""),VALUE(IF(LEN(_xlpm.steps)&gt;2,RIGHT(_xlpm.steps,2),_xlpm.steps)))</f>
        <v>79</v>
      </c>
      <c r="D3245">
        <f>_xlfn.LET(_xlpm.dir,Table1[[#This Row],[Direction]],
IF(_xlpm.dir="L",
    IF(F3244-Table1[[#This Row],[Steps]]&lt;0,100+(F3244-Table1[[#This Row],[Steps]]),F3244-Table1[[#This Row],[Steps]]),
))</f>
        <v>0</v>
      </c>
      <c r="E3245">
        <f>_xlfn.LET(_xlpm.dir,Table1[[#This Row],[Direction]],
IF(_xlpm.dir="R",
    IF(F3244+Table1[[#This Row],[Steps]]&gt;99,(F3244+Table1[[#This Row],[Steps]])-100,F3244+Table1[[#This Row],[Steps]]),
))</f>
        <v>0</v>
      </c>
      <c r="F3245">
        <f>IF(Table1[[#This Row],[New Pos L]]&lt;&gt;0,Table1[[#This Row],[New Pos L]],Table1[[#This Row],[New Pos R]])</f>
        <v>0</v>
      </c>
    </row>
    <row r="3246" spans="1:6" ht="16" x14ac:dyDescent="0.2">
      <c r="A3246" s="1" t="s">
        <v>716</v>
      </c>
      <c r="B3246" t="str">
        <f>LEFT(Table1[[#This Row],[Input]],1)</f>
        <v>L</v>
      </c>
      <c r="C3246">
        <f>_xlfn.LET(_xlpm.steps,SUBSTITUTE(Table1[[#This Row],[Input]],Table1[[#This Row],[Direction]],""),VALUE(IF(LEN(_xlpm.steps)&gt;2,RIGHT(_xlpm.steps,2),_xlpm.steps)))</f>
        <v>48</v>
      </c>
      <c r="D3246">
        <f>_xlfn.LET(_xlpm.dir,Table1[[#This Row],[Direction]],
IF(_xlpm.dir="L",
    IF(F3245-Table1[[#This Row],[Steps]]&lt;0,100+(F3245-Table1[[#This Row],[Steps]]),F3245-Table1[[#This Row],[Steps]]),
))</f>
        <v>52</v>
      </c>
      <c r="E3246">
        <f>_xlfn.LET(_xlpm.dir,Table1[[#This Row],[Direction]],
IF(_xlpm.dir="R",
    IF(F3245+Table1[[#This Row],[Steps]]&gt;99,(F3245+Table1[[#This Row],[Steps]])-100,F3245+Table1[[#This Row],[Steps]]),
))</f>
        <v>0</v>
      </c>
      <c r="F3246">
        <f>IF(Table1[[#This Row],[New Pos L]]&lt;&gt;0,Table1[[#This Row],[New Pos L]],Table1[[#This Row],[New Pos R]])</f>
        <v>52</v>
      </c>
    </row>
    <row r="3247" spans="1:6" ht="16" x14ac:dyDescent="0.2">
      <c r="A3247" s="1" t="s">
        <v>59</v>
      </c>
      <c r="B3247" t="str">
        <f>LEFT(Table1[[#This Row],[Input]],1)</f>
        <v>L</v>
      </c>
      <c r="C3247">
        <f>_xlfn.LET(_xlpm.steps,SUBSTITUTE(Table1[[#This Row],[Input]],Table1[[#This Row],[Direction]],""),VALUE(IF(LEN(_xlpm.steps)&gt;2,RIGHT(_xlpm.steps,2),_xlpm.steps)))</f>
        <v>6</v>
      </c>
      <c r="D3247">
        <f>_xlfn.LET(_xlpm.dir,Table1[[#This Row],[Direction]],
IF(_xlpm.dir="L",
    IF(F3246-Table1[[#This Row],[Steps]]&lt;0,100+(F3246-Table1[[#This Row],[Steps]]),F3246-Table1[[#This Row],[Steps]]),
))</f>
        <v>46</v>
      </c>
      <c r="E3247">
        <f>_xlfn.LET(_xlpm.dir,Table1[[#This Row],[Direction]],
IF(_xlpm.dir="R",
    IF(F3246+Table1[[#This Row],[Steps]]&gt;99,(F3246+Table1[[#This Row],[Steps]])-100,F3246+Table1[[#This Row],[Steps]]),
))</f>
        <v>0</v>
      </c>
      <c r="F3247">
        <f>IF(Table1[[#This Row],[New Pos L]]&lt;&gt;0,Table1[[#This Row],[New Pos L]],Table1[[#This Row],[New Pos R]])</f>
        <v>46</v>
      </c>
    </row>
    <row r="3248" spans="1:6" ht="16" x14ac:dyDescent="0.2">
      <c r="A3248" s="1" t="s">
        <v>9</v>
      </c>
      <c r="B3248" t="str">
        <f>LEFT(Table1[[#This Row],[Input]],1)</f>
        <v>L</v>
      </c>
      <c r="C3248">
        <f>_xlfn.LET(_xlpm.steps,SUBSTITUTE(Table1[[#This Row],[Input]],Table1[[#This Row],[Direction]],""),VALUE(IF(LEN(_xlpm.steps)&gt;2,RIGHT(_xlpm.steps,2),_xlpm.steps)))</f>
        <v>9</v>
      </c>
      <c r="D3248">
        <f>_xlfn.LET(_xlpm.dir,Table1[[#This Row],[Direction]],
IF(_xlpm.dir="L",
    IF(F3247-Table1[[#This Row],[Steps]]&lt;0,100+(F3247-Table1[[#This Row],[Steps]]),F3247-Table1[[#This Row],[Steps]]),
))</f>
        <v>37</v>
      </c>
      <c r="E3248">
        <f>_xlfn.LET(_xlpm.dir,Table1[[#This Row],[Direction]],
IF(_xlpm.dir="R",
    IF(F3247+Table1[[#This Row],[Steps]]&gt;99,(F3247+Table1[[#This Row],[Steps]])-100,F3247+Table1[[#This Row],[Steps]]),
))</f>
        <v>0</v>
      </c>
      <c r="F3248">
        <f>IF(Table1[[#This Row],[New Pos L]]&lt;&gt;0,Table1[[#This Row],[New Pos L]],Table1[[#This Row],[New Pos R]])</f>
        <v>37</v>
      </c>
    </row>
    <row r="3249" spans="1:6" ht="16" x14ac:dyDescent="0.2">
      <c r="A3249" s="1" t="s">
        <v>22</v>
      </c>
      <c r="B3249" t="str">
        <f>LEFT(Table1[[#This Row],[Input]],1)</f>
        <v>L</v>
      </c>
      <c r="C3249">
        <f>_xlfn.LET(_xlpm.steps,SUBSTITUTE(Table1[[#This Row],[Input]],Table1[[#This Row],[Direction]],""),VALUE(IF(LEN(_xlpm.steps)&gt;2,RIGHT(_xlpm.steps,2),_xlpm.steps)))</f>
        <v>37</v>
      </c>
      <c r="D3249">
        <f>_xlfn.LET(_xlpm.dir,Table1[[#This Row],[Direction]],
IF(_xlpm.dir="L",
    IF(F3248-Table1[[#This Row],[Steps]]&lt;0,100+(F3248-Table1[[#This Row],[Steps]]),F3248-Table1[[#This Row],[Steps]]),
))</f>
        <v>0</v>
      </c>
      <c r="E3249">
        <f>_xlfn.LET(_xlpm.dir,Table1[[#This Row],[Direction]],
IF(_xlpm.dir="R",
    IF(F3248+Table1[[#This Row],[Steps]]&gt;99,(F3248+Table1[[#This Row],[Steps]])-100,F3248+Table1[[#This Row],[Steps]]),
))</f>
        <v>0</v>
      </c>
      <c r="F3249">
        <f>IF(Table1[[#This Row],[New Pos L]]&lt;&gt;0,Table1[[#This Row],[New Pos L]],Table1[[#This Row],[New Pos R]])</f>
        <v>0</v>
      </c>
    </row>
    <row r="3250" spans="1:6" ht="16" x14ac:dyDescent="0.2">
      <c r="A3250" s="1" t="s">
        <v>717</v>
      </c>
      <c r="B3250" t="str">
        <f>LEFT(Table1[[#This Row],[Input]],1)</f>
        <v>R</v>
      </c>
      <c r="C3250">
        <f>_xlfn.LET(_xlpm.steps,SUBSTITUTE(Table1[[#This Row],[Input]],Table1[[#This Row],[Direction]],""),VALUE(IF(LEN(_xlpm.steps)&gt;2,RIGHT(_xlpm.steps,2),_xlpm.steps)))</f>
        <v>65</v>
      </c>
      <c r="D3250">
        <f>_xlfn.LET(_xlpm.dir,Table1[[#This Row],[Direction]],
IF(_xlpm.dir="L",
    IF(F3249-Table1[[#This Row],[Steps]]&lt;0,100+(F3249-Table1[[#This Row],[Steps]]),F3249-Table1[[#This Row],[Steps]]),
))</f>
        <v>0</v>
      </c>
      <c r="E3250">
        <f>_xlfn.LET(_xlpm.dir,Table1[[#This Row],[Direction]],
IF(_xlpm.dir="R",
    IF(F3249+Table1[[#This Row],[Steps]]&gt;99,(F3249+Table1[[#This Row],[Steps]])-100,F3249+Table1[[#This Row],[Steps]]),
))</f>
        <v>65</v>
      </c>
      <c r="F3250">
        <f>IF(Table1[[#This Row],[New Pos L]]&lt;&gt;0,Table1[[#This Row],[New Pos L]],Table1[[#This Row],[New Pos R]])</f>
        <v>65</v>
      </c>
    </row>
    <row r="3251" spans="1:6" ht="16" x14ac:dyDescent="0.2">
      <c r="A3251" s="1" t="s">
        <v>68</v>
      </c>
      <c r="B3251" t="str">
        <f>LEFT(Table1[[#This Row],[Input]],1)</f>
        <v>L</v>
      </c>
      <c r="C3251">
        <f>_xlfn.LET(_xlpm.steps,SUBSTITUTE(Table1[[#This Row],[Input]],Table1[[#This Row],[Direction]],""),VALUE(IF(LEN(_xlpm.steps)&gt;2,RIGHT(_xlpm.steps,2),_xlpm.steps)))</f>
        <v>80</v>
      </c>
      <c r="D3251">
        <f>_xlfn.LET(_xlpm.dir,Table1[[#This Row],[Direction]],
IF(_xlpm.dir="L",
    IF(F3250-Table1[[#This Row],[Steps]]&lt;0,100+(F3250-Table1[[#This Row],[Steps]]),F3250-Table1[[#This Row],[Steps]]),
))</f>
        <v>85</v>
      </c>
      <c r="E3251">
        <f>_xlfn.LET(_xlpm.dir,Table1[[#This Row],[Direction]],
IF(_xlpm.dir="R",
    IF(F3250+Table1[[#This Row],[Steps]]&gt;99,(F3250+Table1[[#This Row],[Steps]])-100,F3250+Table1[[#This Row],[Steps]]),
))</f>
        <v>0</v>
      </c>
      <c r="F3251">
        <f>IF(Table1[[#This Row],[New Pos L]]&lt;&gt;0,Table1[[#This Row],[New Pos L]],Table1[[#This Row],[New Pos R]])</f>
        <v>85</v>
      </c>
    </row>
    <row r="3252" spans="1:6" ht="16" x14ac:dyDescent="0.2">
      <c r="A3252" s="1" t="s">
        <v>20</v>
      </c>
      <c r="B3252" t="str">
        <f>LEFT(Table1[[#This Row],[Input]],1)</f>
        <v>R</v>
      </c>
      <c r="C3252">
        <f>_xlfn.LET(_xlpm.steps,SUBSTITUTE(Table1[[#This Row],[Input]],Table1[[#This Row],[Direction]],""),VALUE(IF(LEN(_xlpm.steps)&gt;2,RIGHT(_xlpm.steps,2),_xlpm.steps)))</f>
        <v>46</v>
      </c>
      <c r="D3252">
        <f>_xlfn.LET(_xlpm.dir,Table1[[#This Row],[Direction]],
IF(_xlpm.dir="L",
    IF(F3251-Table1[[#This Row],[Steps]]&lt;0,100+(F3251-Table1[[#This Row],[Steps]]),F3251-Table1[[#This Row],[Steps]]),
))</f>
        <v>0</v>
      </c>
      <c r="E3252">
        <f>_xlfn.LET(_xlpm.dir,Table1[[#This Row],[Direction]],
IF(_xlpm.dir="R",
    IF(F3251+Table1[[#This Row],[Steps]]&gt;99,(F3251+Table1[[#This Row],[Steps]])-100,F3251+Table1[[#This Row],[Steps]]),
))</f>
        <v>31</v>
      </c>
      <c r="F3252">
        <f>IF(Table1[[#This Row],[New Pos L]]&lt;&gt;0,Table1[[#This Row],[New Pos L]],Table1[[#This Row],[New Pos R]])</f>
        <v>31</v>
      </c>
    </row>
    <row r="3253" spans="1:6" ht="16" x14ac:dyDescent="0.2">
      <c r="A3253" s="1" t="s">
        <v>135</v>
      </c>
      <c r="B3253" t="str">
        <f>LEFT(Table1[[#This Row],[Input]],1)</f>
        <v>R</v>
      </c>
      <c r="C3253">
        <f>_xlfn.LET(_xlpm.steps,SUBSTITUTE(Table1[[#This Row],[Input]],Table1[[#This Row],[Direction]],""),VALUE(IF(LEN(_xlpm.steps)&gt;2,RIGHT(_xlpm.steps,2),_xlpm.steps)))</f>
        <v>69</v>
      </c>
      <c r="D3253">
        <f>_xlfn.LET(_xlpm.dir,Table1[[#This Row],[Direction]],
IF(_xlpm.dir="L",
    IF(F3252-Table1[[#This Row],[Steps]]&lt;0,100+(F3252-Table1[[#This Row],[Steps]]),F3252-Table1[[#This Row],[Steps]]),
))</f>
        <v>0</v>
      </c>
      <c r="E3253">
        <f>_xlfn.LET(_xlpm.dir,Table1[[#This Row],[Direction]],
IF(_xlpm.dir="R",
    IF(F3252+Table1[[#This Row],[Steps]]&gt;99,(F3252+Table1[[#This Row],[Steps]])-100,F3252+Table1[[#This Row],[Steps]]),
))</f>
        <v>0</v>
      </c>
      <c r="F3253">
        <f>IF(Table1[[#This Row],[New Pos L]]&lt;&gt;0,Table1[[#This Row],[New Pos L]],Table1[[#This Row],[New Pos R]])</f>
        <v>0</v>
      </c>
    </row>
    <row r="3254" spans="1:6" ht="16" x14ac:dyDescent="0.2">
      <c r="A3254" s="1" t="s">
        <v>209</v>
      </c>
      <c r="B3254" t="str">
        <f>LEFT(Table1[[#This Row],[Input]],1)</f>
        <v>L</v>
      </c>
      <c r="C3254">
        <f>_xlfn.LET(_xlpm.steps,SUBSTITUTE(Table1[[#This Row],[Input]],Table1[[#This Row],[Direction]],""),VALUE(IF(LEN(_xlpm.steps)&gt;2,RIGHT(_xlpm.steps,2),_xlpm.steps)))</f>
        <v>86</v>
      </c>
      <c r="D3254">
        <f>_xlfn.LET(_xlpm.dir,Table1[[#This Row],[Direction]],
IF(_xlpm.dir="L",
    IF(F3253-Table1[[#This Row],[Steps]]&lt;0,100+(F3253-Table1[[#This Row],[Steps]]),F3253-Table1[[#This Row],[Steps]]),
))</f>
        <v>14</v>
      </c>
      <c r="E3254">
        <f>_xlfn.LET(_xlpm.dir,Table1[[#This Row],[Direction]],
IF(_xlpm.dir="R",
    IF(F3253+Table1[[#This Row],[Steps]]&gt;99,(F3253+Table1[[#This Row],[Steps]])-100,F3253+Table1[[#This Row],[Steps]]),
))</f>
        <v>0</v>
      </c>
      <c r="F3254">
        <f>IF(Table1[[#This Row],[New Pos L]]&lt;&gt;0,Table1[[#This Row],[New Pos L]],Table1[[#This Row],[New Pos R]])</f>
        <v>14</v>
      </c>
    </row>
    <row r="3255" spans="1:6" ht="16" x14ac:dyDescent="0.2">
      <c r="A3255" s="1" t="s">
        <v>278</v>
      </c>
      <c r="B3255" t="str">
        <f>LEFT(Table1[[#This Row],[Input]],1)</f>
        <v>L</v>
      </c>
      <c r="C3255">
        <f>_xlfn.LET(_xlpm.steps,SUBSTITUTE(Table1[[#This Row],[Input]],Table1[[#This Row],[Direction]],""),VALUE(IF(LEN(_xlpm.steps)&gt;2,RIGHT(_xlpm.steps,2),_xlpm.steps)))</f>
        <v>40</v>
      </c>
      <c r="D3255">
        <f>_xlfn.LET(_xlpm.dir,Table1[[#This Row],[Direction]],
IF(_xlpm.dir="L",
    IF(F3254-Table1[[#This Row],[Steps]]&lt;0,100+(F3254-Table1[[#This Row],[Steps]]),F3254-Table1[[#This Row],[Steps]]),
))</f>
        <v>74</v>
      </c>
      <c r="E3255">
        <f>_xlfn.LET(_xlpm.dir,Table1[[#This Row],[Direction]],
IF(_xlpm.dir="R",
    IF(F3254+Table1[[#This Row],[Steps]]&gt;99,(F3254+Table1[[#This Row],[Steps]])-100,F3254+Table1[[#This Row],[Steps]]),
))</f>
        <v>0</v>
      </c>
      <c r="F3255">
        <f>IF(Table1[[#This Row],[New Pos L]]&lt;&gt;0,Table1[[#This Row],[New Pos L]],Table1[[#This Row],[New Pos R]])</f>
        <v>74</v>
      </c>
    </row>
    <row r="3256" spans="1:6" ht="16" x14ac:dyDescent="0.2">
      <c r="A3256" s="1" t="s">
        <v>126</v>
      </c>
      <c r="B3256" t="str">
        <f>LEFT(Table1[[#This Row],[Input]],1)</f>
        <v>R</v>
      </c>
      <c r="C3256">
        <f>_xlfn.LET(_xlpm.steps,SUBSTITUTE(Table1[[#This Row],[Input]],Table1[[#This Row],[Direction]],""),VALUE(IF(LEN(_xlpm.steps)&gt;2,RIGHT(_xlpm.steps,2),_xlpm.steps)))</f>
        <v>65</v>
      </c>
      <c r="D3256">
        <f>_xlfn.LET(_xlpm.dir,Table1[[#This Row],[Direction]],
IF(_xlpm.dir="L",
    IF(F3255-Table1[[#This Row],[Steps]]&lt;0,100+(F3255-Table1[[#This Row],[Steps]]),F3255-Table1[[#This Row],[Steps]]),
))</f>
        <v>0</v>
      </c>
      <c r="E3256">
        <f>_xlfn.LET(_xlpm.dir,Table1[[#This Row],[Direction]],
IF(_xlpm.dir="R",
    IF(F3255+Table1[[#This Row],[Steps]]&gt;99,(F3255+Table1[[#This Row],[Steps]])-100,F3255+Table1[[#This Row],[Steps]]),
))</f>
        <v>39</v>
      </c>
      <c r="F3256">
        <f>IF(Table1[[#This Row],[New Pos L]]&lt;&gt;0,Table1[[#This Row],[New Pos L]],Table1[[#This Row],[New Pos R]])</f>
        <v>39</v>
      </c>
    </row>
    <row r="3257" spans="1:6" ht="16" x14ac:dyDescent="0.2">
      <c r="A3257" s="1" t="s">
        <v>185</v>
      </c>
      <c r="B3257" t="str">
        <f>LEFT(Table1[[#This Row],[Input]],1)</f>
        <v>R</v>
      </c>
      <c r="C3257">
        <f>_xlfn.LET(_xlpm.steps,SUBSTITUTE(Table1[[#This Row],[Input]],Table1[[#This Row],[Direction]],""),VALUE(IF(LEN(_xlpm.steps)&gt;2,RIGHT(_xlpm.steps,2),_xlpm.steps)))</f>
        <v>61</v>
      </c>
      <c r="D3257">
        <f>_xlfn.LET(_xlpm.dir,Table1[[#This Row],[Direction]],
IF(_xlpm.dir="L",
    IF(F3256-Table1[[#This Row],[Steps]]&lt;0,100+(F3256-Table1[[#This Row],[Steps]]),F3256-Table1[[#This Row],[Steps]]),
))</f>
        <v>0</v>
      </c>
      <c r="E3257">
        <f>_xlfn.LET(_xlpm.dir,Table1[[#This Row],[Direction]],
IF(_xlpm.dir="R",
    IF(F3256+Table1[[#This Row],[Steps]]&gt;99,(F3256+Table1[[#This Row],[Steps]])-100,F3256+Table1[[#This Row],[Steps]]),
))</f>
        <v>0</v>
      </c>
      <c r="F3257">
        <f>IF(Table1[[#This Row],[New Pos L]]&lt;&gt;0,Table1[[#This Row],[New Pos L]],Table1[[#This Row],[New Pos R]])</f>
        <v>0</v>
      </c>
    </row>
    <row r="3258" spans="1:6" ht="16" x14ac:dyDescent="0.2">
      <c r="A3258" s="1" t="s">
        <v>100</v>
      </c>
      <c r="B3258" t="str">
        <f>LEFT(Table1[[#This Row],[Input]],1)</f>
        <v>R</v>
      </c>
      <c r="C3258">
        <f>_xlfn.LET(_xlpm.steps,SUBSTITUTE(Table1[[#This Row],[Input]],Table1[[#This Row],[Direction]],""),VALUE(IF(LEN(_xlpm.steps)&gt;2,RIGHT(_xlpm.steps,2),_xlpm.steps)))</f>
        <v>58</v>
      </c>
      <c r="D3258">
        <f>_xlfn.LET(_xlpm.dir,Table1[[#This Row],[Direction]],
IF(_xlpm.dir="L",
    IF(F3257-Table1[[#This Row],[Steps]]&lt;0,100+(F3257-Table1[[#This Row],[Steps]]),F3257-Table1[[#This Row],[Steps]]),
))</f>
        <v>0</v>
      </c>
      <c r="E3258">
        <f>_xlfn.LET(_xlpm.dir,Table1[[#This Row],[Direction]],
IF(_xlpm.dir="R",
    IF(F3257+Table1[[#This Row],[Steps]]&gt;99,(F3257+Table1[[#This Row],[Steps]])-100,F3257+Table1[[#This Row],[Steps]]),
))</f>
        <v>58</v>
      </c>
      <c r="F3258">
        <f>IF(Table1[[#This Row],[New Pos L]]&lt;&gt;0,Table1[[#This Row],[New Pos L]],Table1[[#This Row],[New Pos R]])</f>
        <v>58</v>
      </c>
    </row>
    <row r="3259" spans="1:6" ht="16" x14ac:dyDescent="0.2">
      <c r="A3259" s="1" t="s">
        <v>56</v>
      </c>
      <c r="B3259" t="str">
        <f>LEFT(Table1[[#This Row],[Input]],1)</f>
        <v>R</v>
      </c>
      <c r="C3259">
        <f>_xlfn.LET(_xlpm.steps,SUBSTITUTE(Table1[[#This Row],[Input]],Table1[[#This Row],[Direction]],""),VALUE(IF(LEN(_xlpm.steps)&gt;2,RIGHT(_xlpm.steps,2),_xlpm.steps)))</f>
        <v>42</v>
      </c>
      <c r="D3259">
        <f>_xlfn.LET(_xlpm.dir,Table1[[#This Row],[Direction]],
IF(_xlpm.dir="L",
    IF(F3258-Table1[[#This Row],[Steps]]&lt;0,100+(F3258-Table1[[#This Row],[Steps]]),F3258-Table1[[#This Row],[Steps]]),
))</f>
        <v>0</v>
      </c>
      <c r="E3259">
        <f>_xlfn.LET(_xlpm.dir,Table1[[#This Row],[Direction]],
IF(_xlpm.dir="R",
    IF(F3258+Table1[[#This Row],[Steps]]&gt;99,(F3258+Table1[[#This Row],[Steps]])-100,F3258+Table1[[#This Row],[Steps]]),
))</f>
        <v>0</v>
      </c>
      <c r="F3259">
        <f>IF(Table1[[#This Row],[New Pos L]]&lt;&gt;0,Table1[[#This Row],[New Pos L]],Table1[[#This Row],[New Pos R]])</f>
        <v>0</v>
      </c>
    </row>
    <row r="3260" spans="1:6" ht="16" x14ac:dyDescent="0.2">
      <c r="A3260" s="1" t="s">
        <v>185</v>
      </c>
      <c r="B3260" t="str">
        <f>LEFT(Table1[[#This Row],[Input]],1)</f>
        <v>R</v>
      </c>
      <c r="C3260">
        <f>_xlfn.LET(_xlpm.steps,SUBSTITUTE(Table1[[#This Row],[Input]],Table1[[#This Row],[Direction]],""),VALUE(IF(LEN(_xlpm.steps)&gt;2,RIGHT(_xlpm.steps,2),_xlpm.steps)))</f>
        <v>61</v>
      </c>
      <c r="D3260">
        <f>_xlfn.LET(_xlpm.dir,Table1[[#This Row],[Direction]],
IF(_xlpm.dir="L",
    IF(F3259-Table1[[#This Row],[Steps]]&lt;0,100+(F3259-Table1[[#This Row],[Steps]]),F3259-Table1[[#This Row],[Steps]]),
))</f>
        <v>0</v>
      </c>
      <c r="E3260">
        <f>_xlfn.LET(_xlpm.dir,Table1[[#This Row],[Direction]],
IF(_xlpm.dir="R",
    IF(F3259+Table1[[#This Row],[Steps]]&gt;99,(F3259+Table1[[#This Row],[Steps]])-100,F3259+Table1[[#This Row],[Steps]]),
))</f>
        <v>61</v>
      </c>
      <c r="F3260">
        <f>IF(Table1[[#This Row],[New Pos L]]&lt;&gt;0,Table1[[#This Row],[New Pos L]],Table1[[#This Row],[New Pos R]])</f>
        <v>61</v>
      </c>
    </row>
    <row r="3261" spans="1:6" ht="16" x14ac:dyDescent="0.2">
      <c r="A3261" s="1" t="s">
        <v>140</v>
      </c>
      <c r="B3261" t="str">
        <f>LEFT(Table1[[#This Row],[Input]],1)</f>
        <v>L</v>
      </c>
      <c r="C3261">
        <f>_xlfn.LET(_xlpm.steps,SUBSTITUTE(Table1[[#This Row],[Input]],Table1[[#This Row],[Direction]],""),VALUE(IF(LEN(_xlpm.steps)&gt;2,RIGHT(_xlpm.steps,2),_xlpm.steps)))</f>
        <v>61</v>
      </c>
      <c r="D3261">
        <f>_xlfn.LET(_xlpm.dir,Table1[[#This Row],[Direction]],
IF(_xlpm.dir="L",
    IF(F3260-Table1[[#This Row],[Steps]]&lt;0,100+(F3260-Table1[[#This Row],[Steps]]),F3260-Table1[[#This Row],[Steps]]),
))</f>
        <v>0</v>
      </c>
      <c r="E3261">
        <f>_xlfn.LET(_xlpm.dir,Table1[[#This Row],[Direction]],
IF(_xlpm.dir="R",
    IF(F3260+Table1[[#This Row],[Steps]]&gt;99,(F3260+Table1[[#This Row],[Steps]])-100,F3260+Table1[[#This Row],[Steps]]),
))</f>
        <v>0</v>
      </c>
      <c r="F3261">
        <f>IF(Table1[[#This Row],[New Pos L]]&lt;&gt;0,Table1[[#This Row],[New Pos L]],Table1[[#This Row],[New Pos R]])</f>
        <v>0</v>
      </c>
    </row>
    <row r="3262" spans="1:6" ht="16" x14ac:dyDescent="0.2">
      <c r="A3262" s="1" t="s">
        <v>423</v>
      </c>
      <c r="B3262" t="str">
        <f>LEFT(Table1[[#This Row],[Input]],1)</f>
        <v>R</v>
      </c>
      <c r="C3262">
        <f>_xlfn.LET(_xlpm.steps,SUBSTITUTE(Table1[[#This Row],[Input]],Table1[[#This Row],[Direction]],""),VALUE(IF(LEN(_xlpm.steps)&gt;2,RIGHT(_xlpm.steps,2),_xlpm.steps)))</f>
        <v>69</v>
      </c>
      <c r="D3262">
        <f>_xlfn.LET(_xlpm.dir,Table1[[#This Row],[Direction]],
IF(_xlpm.dir="L",
    IF(F3261-Table1[[#This Row],[Steps]]&lt;0,100+(F3261-Table1[[#This Row],[Steps]]),F3261-Table1[[#This Row],[Steps]]),
))</f>
        <v>0</v>
      </c>
      <c r="E3262">
        <f>_xlfn.LET(_xlpm.dir,Table1[[#This Row],[Direction]],
IF(_xlpm.dir="R",
    IF(F3261+Table1[[#This Row],[Steps]]&gt;99,(F3261+Table1[[#This Row],[Steps]])-100,F3261+Table1[[#This Row],[Steps]]),
))</f>
        <v>69</v>
      </c>
      <c r="F3262">
        <f>IF(Table1[[#This Row],[New Pos L]]&lt;&gt;0,Table1[[#This Row],[New Pos L]],Table1[[#This Row],[New Pos R]])</f>
        <v>69</v>
      </c>
    </row>
    <row r="3263" spans="1:6" ht="16" x14ac:dyDescent="0.2">
      <c r="A3263" s="1" t="s">
        <v>718</v>
      </c>
      <c r="B3263" t="str">
        <f>LEFT(Table1[[#This Row],[Input]],1)</f>
        <v>L</v>
      </c>
      <c r="C3263">
        <f>_xlfn.LET(_xlpm.steps,SUBSTITUTE(Table1[[#This Row],[Input]],Table1[[#This Row],[Direction]],""),VALUE(IF(LEN(_xlpm.steps)&gt;2,RIGHT(_xlpm.steps,2),_xlpm.steps)))</f>
        <v>24</v>
      </c>
      <c r="D3263">
        <f>_xlfn.LET(_xlpm.dir,Table1[[#This Row],[Direction]],
IF(_xlpm.dir="L",
    IF(F3262-Table1[[#This Row],[Steps]]&lt;0,100+(F3262-Table1[[#This Row],[Steps]]),F3262-Table1[[#This Row],[Steps]]),
))</f>
        <v>45</v>
      </c>
      <c r="E3263">
        <f>_xlfn.LET(_xlpm.dir,Table1[[#This Row],[Direction]],
IF(_xlpm.dir="R",
    IF(F3262+Table1[[#This Row],[Steps]]&gt;99,(F3262+Table1[[#This Row],[Steps]])-100,F3262+Table1[[#This Row],[Steps]]),
))</f>
        <v>0</v>
      </c>
      <c r="F3263">
        <f>IF(Table1[[#This Row],[New Pos L]]&lt;&gt;0,Table1[[#This Row],[New Pos L]],Table1[[#This Row],[New Pos R]])</f>
        <v>45</v>
      </c>
    </row>
    <row r="3264" spans="1:6" ht="16" x14ac:dyDescent="0.2">
      <c r="A3264" s="1" t="s">
        <v>513</v>
      </c>
      <c r="B3264" t="str">
        <f>LEFT(Table1[[#This Row],[Input]],1)</f>
        <v>R</v>
      </c>
      <c r="C3264">
        <f>_xlfn.LET(_xlpm.steps,SUBSTITUTE(Table1[[#This Row],[Input]],Table1[[#This Row],[Direction]],""),VALUE(IF(LEN(_xlpm.steps)&gt;2,RIGHT(_xlpm.steps,2),_xlpm.steps)))</f>
        <v>55</v>
      </c>
      <c r="D3264">
        <f>_xlfn.LET(_xlpm.dir,Table1[[#This Row],[Direction]],
IF(_xlpm.dir="L",
    IF(F3263-Table1[[#This Row],[Steps]]&lt;0,100+(F3263-Table1[[#This Row],[Steps]]),F3263-Table1[[#This Row],[Steps]]),
))</f>
        <v>0</v>
      </c>
      <c r="E3264">
        <f>_xlfn.LET(_xlpm.dir,Table1[[#This Row],[Direction]],
IF(_xlpm.dir="R",
    IF(F3263+Table1[[#This Row],[Steps]]&gt;99,(F3263+Table1[[#This Row],[Steps]])-100,F3263+Table1[[#This Row],[Steps]]),
))</f>
        <v>0</v>
      </c>
      <c r="F3264">
        <f>IF(Table1[[#This Row],[New Pos L]]&lt;&gt;0,Table1[[#This Row],[New Pos L]],Table1[[#This Row],[New Pos R]])</f>
        <v>0</v>
      </c>
    </row>
    <row r="3265" spans="1:6" ht="16" x14ac:dyDescent="0.2">
      <c r="A3265" s="1" t="s">
        <v>719</v>
      </c>
      <c r="B3265" t="str">
        <f>LEFT(Table1[[#This Row],[Input]],1)</f>
        <v>R</v>
      </c>
      <c r="C3265">
        <f>_xlfn.LET(_xlpm.steps,SUBSTITUTE(Table1[[#This Row],[Input]],Table1[[#This Row],[Direction]],""),VALUE(IF(LEN(_xlpm.steps)&gt;2,RIGHT(_xlpm.steps,2),_xlpm.steps)))</f>
        <v>98</v>
      </c>
      <c r="D3265">
        <f>_xlfn.LET(_xlpm.dir,Table1[[#This Row],[Direction]],
IF(_xlpm.dir="L",
    IF(F3264-Table1[[#This Row],[Steps]]&lt;0,100+(F3264-Table1[[#This Row],[Steps]]),F3264-Table1[[#This Row],[Steps]]),
))</f>
        <v>0</v>
      </c>
      <c r="E3265">
        <f>_xlfn.LET(_xlpm.dir,Table1[[#This Row],[Direction]],
IF(_xlpm.dir="R",
    IF(F3264+Table1[[#This Row],[Steps]]&gt;99,(F3264+Table1[[#This Row],[Steps]])-100,F3264+Table1[[#This Row],[Steps]]),
))</f>
        <v>98</v>
      </c>
      <c r="F3265">
        <f>IF(Table1[[#This Row],[New Pos L]]&lt;&gt;0,Table1[[#This Row],[New Pos L]],Table1[[#This Row],[New Pos R]])</f>
        <v>98</v>
      </c>
    </row>
    <row r="3266" spans="1:6" ht="16" x14ac:dyDescent="0.2">
      <c r="A3266" s="1" t="s">
        <v>213</v>
      </c>
      <c r="B3266" t="str">
        <f>LEFT(Table1[[#This Row],[Input]],1)</f>
        <v>R</v>
      </c>
      <c r="C3266">
        <f>_xlfn.LET(_xlpm.steps,SUBSTITUTE(Table1[[#This Row],[Input]],Table1[[#This Row],[Direction]],""),VALUE(IF(LEN(_xlpm.steps)&gt;2,RIGHT(_xlpm.steps,2),_xlpm.steps)))</f>
        <v>87</v>
      </c>
      <c r="D3266">
        <f>_xlfn.LET(_xlpm.dir,Table1[[#This Row],[Direction]],
IF(_xlpm.dir="L",
    IF(F3265-Table1[[#This Row],[Steps]]&lt;0,100+(F3265-Table1[[#This Row],[Steps]]),F3265-Table1[[#This Row],[Steps]]),
))</f>
        <v>0</v>
      </c>
      <c r="E3266">
        <f>_xlfn.LET(_xlpm.dir,Table1[[#This Row],[Direction]],
IF(_xlpm.dir="R",
    IF(F3265+Table1[[#This Row],[Steps]]&gt;99,(F3265+Table1[[#This Row],[Steps]])-100,F3265+Table1[[#This Row],[Steps]]),
))</f>
        <v>85</v>
      </c>
      <c r="F3266">
        <f>IF(Table1[[#This Row],[New Pos L]]&lt;&gt;0,Table1[[#This Row],[New Pos L]],Table1[[#This Row],[New Pos R]])</f>
        <v>85</v>
      </c>
    </row>
    <row r="3267" spans="1:6" ht="16" x14ac:dyDescent="0.2">
      <c r="A3267" s="1" t="s">
        <v>33</v>
      </c>
      <c r="B3267" t="str">
        <f>LEFT(Table1[[#This Row],[Input]],1)</f>
        <v>R</v>
      </c>
      <c r="C3267">
        <f>_xlfn.LET(_xlpm.steps,SUBSTITUTE(Table1[[#This Row],[Input]],Table1[[#This Row],[Direction]],""),VALUE(IF(LEN(_xlpm.steps)&gt;2,RIGHT(_xlpm.steps,2),_xlpm.steps)))</f>
        <v>22</v>
      </c>
      <c r="D3267">
        <f>_xlfn.LET(_xlpm.dir,Table1[[#This Row],[Direction]],
IF(_xlpm.dir="L",
    IF(F3266-Table1[[#This Row],[Steps]]&lt;0,100+(F3266-Table1[[#This Row],[Steps]]),F3266-Table1[[#This Row],[Steps]]),
))</f>
        <v>0</v>
      </c>
      <c r="E3267">
        <f>_xlfn.LET(_xlpm.dir,Table1[[#This Row],[Direction]],
IF(_xlpm.dir="R",
    IF(F3266+Table1[[#This Row],[Steps]]&gt;99,(F3266+Table1[[#This Row],[Steps]])-100,F3266+Table1[[#This Row],[Steps]]),
))</f>
        <v>7</v>
      </c>
      <c r="F3267">
        <f>IF(Table1[[#This Row],[New Pos L]]&lt;&gt;0,Table1[[#This Row],[New Pos L]],Table1[[#This Row],[New Pos R]])</f>
        <v>7</v>
      </c>
    </row>
    <row r="3268" spans="1:6" ht="16" x14ac:dyDescent="0.2">
      <c r="A3268" s="1" t="s">
        <v>174</v>
      </c>
      <c r="B3268" t="str">
        <f>LEFT(Table1[[#This Row],[Input]],1)</f>
        <v>L</v>
      </c>
      <c r="C3268">
        <f>_xlfn.LET(_xlpm.steps,SUBSTITUTE(Table1[[#This Row],[Input]],Table1[[#This Row],[Direction]],""),VALUE(IF(LEN(_xlpm.steps)&gt;2,RIGHT(_xlpm.steps,2),_xlpm.steps)))</f>
        <v>92</v>
      </c>
      <c r="D3268">
        <f>_xlfn.LET(_xlpm.dir,Table1[[#This Row],[Direction]],
IF(_xlpm.dir="L",
    IF(F3267-Table1[[#This Row],[Steps]]&lt;0,100+(F3267-Table1[[#This Row],[Steps]]),F3267-Table1[[#This Row],[Steps]]),
))</f>
        <v>15</v>
      </c>
      <c r="E3268">
        <f>_xlfn.LET(_xlpm.dir,Table1[[#This Row],[Direction]],
IF(_xlpm.dir="R",
    IF(F3267+Table1[[#This Row],[Steps]]&gt;99,(F3267+Table1[[#This Row],[Steps]])-100,F3267+Table1[[#This Row],[Steps]]),
))</f>
        <v>0</v>
      </c>
      <c r="F3268">
        <f>IF(Table1[[#This Row],[New Pos L]]&lt;&gt;0,Table1[[#This Row],[New Pos L]],Table1[[#This Row],[New Pos R]])</f>
        <v>15</v>
      </c>
    </row>
    <row r="3269" spans="1:6" ht="16" x14ac:dyDescent="0.2">
      <c r="A3269" s="1" t="s">
        <v>34</v>
      </c>
      <c r="B3269" t="str">
        <f>LEFT(Table1[[#This Row],[Input]],1)</f>
        <v>L</v>
      </c>
      <c r="C3269">
        <f>_xlfn.LET(_xlpm.steps,SUBSTITUTE(Table1[[#This Row],[Input]],Table1[[#This Row],[Direction]],""),VALUE(IF(LEN(_xlpm.steps)&gt;2,RIGHT(_xlpm.steps,2),_xlpm.steps)))</f>
        <v>15</v>
      </c>
      <c r="D3269">
        <f>_xlfn.LET(_xlpm.dir,Table1[[#This Row],[Direction]],
IF(_xlpm.dir="L",
    IF(F3268-Table1[[#This Row],[Steps]]&lt;0,100+(F3268-Table1[[#This Row],[Steps]]),F3268-Table1[[#This Row],[Steps]]),
))</f>
        <v>0</v>
      </c>
      <c r="E3269">
        <f>_xlfn.LET(_xlpm.dir,Table1[[#This Row],[Direction]],
IF(_xlpm.dir="R",
    IF(F3268+Table1[[#This Row],[Steps]]&gt;99,(F3268+Table1[[#This Row],[Steps]])-100,F3268+Table1[[#This Row],[Steps]]),
))</f>
        <v>0</v>
      </c>
      <c r="F3269">
        <f>IF(Table1[[#This Row],[New Pos L]]&lt;&gt;0,Table1[[#This Row],[New Pos L]],Table1[[#This Row],[New Pos R]])</f>
        <v>0</v>
      </c>
    </row>
    <row r="3270" spans="1:6" ht="16" x14ac:dyDescent="0.2">
      <c r="A3270" s="1" t="s">
        <v>83</v>
      </c>
      <c r="B3270" t="str">
        <f>LEFT(Table1[[#This Row],[Input]],1)</f>
        <v>R</v>
      </c>
      <c r="C3270">
        <f>_xlfn.LET(_xlpm.steps,SUBSTITUTE(Table1[[#This Row],[Input]],Table1[[#This Row],[Direction]],""),VALUE(IF(LEN(_xlpm.steps)&gt;2,RIGHT(_xlpm.steps,2),_xlpm.steps)))</f>
        <v>79</v>
      </c>
      <c r="D3270">
        <f>_xlfn.LET(_xlpm.dir,Table1[[#This Row],[Direction]],
IF(_xlpm.dir="L",
    IF(F3269-Table1[[#This Row],[Steps]]&lt;0,100+(F3269-Table1[[#This Row],[Steps]]),F3269-Table1[[#This Row],[Steps]]),
))</f>
        <v>0</v>
      </c>
      <c r="E3270">
        <f>_xlfn.LET(_xlpm.dir,Table1[[#This Row],[Direction]],
IF(_xlpm.dir="R",
    IF(F3269+Table1[[#This Row],[Steps]]&gt;99,(F3269+Table1[[#This Row],[Steps]])-100,F3269+Table1[[#This Row],[Steps]]),
))</f>
        <v>79</v>
      </c>
      <c r="F3270">
        <f>IF(Table1[[#This Row],[New Pos L]]&lt;&gt;0,Table1[[#This Row],[New Pos L]],Table1[[#This Row],[New Pos R]])</f>
        <v>79</v>
      </c>
    </row>
    <row r="3271" spans="1:6" ht="16" x14ac:dyDescent="0.2">
      <c r="A3271" s="1" t="s">
        <v>75</v>
      </c>
      <c r="B3271" t="str">
        <f>LEFT(Table1[[#This Row],[Input]],1)</f>
        <v>R</v>
      </c>
      <c r="C3271">
        <f>_xlfn.LET(_xlpm.steps,SUBSTITUTE(Table1[[#This Row],[Input]],Table1[[#This Row],[Direction]],""),VALUE(IF(LEN(_xlpm.steps)&gt;2,RIGHT(_xlpm.steps,2),_xlpm.steps)))</f>
        <v>2</v>
      </c>
      <c r="D3271">
        <f>_xlfn.LET(_xlpm.dir,Table1[[#This Row],[Direction]],
IF(_xlpm.dir="L",
    IF(F3270-Table1[[#This Row],[Steps]]&lt;0,100+(F3270-Table1[[#This Row],[Steps]]),F3270-Table1[[#This Row],[Steps]]),
))</f>
        <v>0</v>
      </c>
      <c r="E3271">
        <f>_xlfn.LET(_xlpm.dir,Table1[[#This Row],[Direction]],
IF(_xlpm.dir="R",
    IF(F3270+Table1[[#This Row],[Steps]]&gt;99,(F3270+Table1[[#This Row],[Steps]])-100,F3270+Table1[[#This Row],[Steps]]),
))</f>
        <v>81</v>
      </c>
      <c r="F3271">
        <f>IF(Table1[[#This Row],[New Pos L]]&lt;&gt;0,Table1[[#This Row],[New Pos L]],Table1[[#This Row],[New Pos R]])</f>
        <v>81</v>
      </c>
    </row>
    <row r="3272" spans="1:6" ht="16" x14ac:dyDescent="0.2">
      <c r="A3272" s="1" t="s">
        <v>276</v>
      </c>
      <c r="B3272" t="str">
        <f>LEFT(Table1[[#This Row],[Input]],1)</f>
        <v>L</v>
      </c>
      <c r="C3272">
        <f>_xlfn.LET(_xlpm.steps,SUBSTITUTE(Table1[[#This Row],[Input]],Table1[[#This Row],[Direction]],""),VALUE(IF(LEN(_xlpm.steps)&gt;2,RIGHT(_xlpm.steps,2),_xlpm.steps)))</f>
        <v>60</v>
      </c>
      <c r="D3272">
        <f>_xlfn.LET(_xlpm.dir,Table1[[#This Row],[Direction]],
IF(_xlpm.dir="L",
    IF(F3271-Table1[[#This Row],[Steps]]&lt;0,100+(F3271-Table1[[#This Row],[Steps]]),F3271-Table1[[#This Row],[Steps]]),
))</f>
        <v>21</v>
      </c>
      <c r="E3272">
        <f>_xlfn.LET(_xlpm.dir,Table1[[#This Row],[Direction]],
IF(_xlpm.dir="R",
    IF(F3271+Table1[[#This Row],[Steps]]&gt;99,(F3271+Table1[[#This Row],[Steps]])-100,F3271+Table1[[#This Row],[Steps]]),
))</f>
        <v>0</v>
      </c>
      <c r="F3272">
        <f>IF(Table1[[#This Row],[New Pos L]]&lt;&gt;0,Table1[[#This Row],[New Pos L]],Table1[[#This Row],[New Pos R]])</f>
        <v>21</v>
      </c>
    </row>
    <row r="3273" spans="1:6" ht="16" x14ac:dyDescent="0.2">
      <c r="A3273" s="1" t="s">
        <v>720</v>
      </c>
      <c r="B3273" t="str">
        <f>LEFT(Table1[[#This Row],[Input]],1)</f>
        <v>R</v>
      </c>
      <c r="C3273">
        <f>_xlfn.LET(_xlpm.steps,SUBSTITUTE(Table1[[#This Row],[Input]],Table1[[#This Row],[Direction]],""),VALUE(IF(LEN(_xlpm.steps)&gt;2,RIGHT(_xlpm.steps,2),_xlpm.steps)))</f>
        <v>15</v>
      </c>
      <c r="D3273">
        <f>_xlfn.LET(_xlpm.dir,Table1[[#This Row],[Direction]],
IF(_xlpm.dir="L",
    IF(F3272-Table1[[#This Row],[Steps]]&lt;0,100+(F3272-Table1[[#This Row],[Steps]]),F3272-Table1[[#This Row],[Steps]]),
))</f>
        <v>0</v>
      </c>
      <c r="E3273">
        <f>_xlfn.LET(_xlpm.dir,Table1[[#This Row],[Direction]],
IF(_xlpm.dir="R",
    IF(F3272+Table1[[#This Row],[Steps]]&gt;99,(F3272+Table1[[#This Row],[Steps]])-100,F3272+Table1[[#This Row],[Steps]]),
))</f>
        <v>36</v>
      </c>
      <c r="F3273">
        <f>IF(Table1[[#This Row],[New Pos L]]&lt;&gt;0,Table1[[#This Row],[New Pos L]],Table1[[#This Row],[New Pos R]])</f>
        <v>36</v>
      </c>
    </row>
    <row r="3274" spans="1:6" ht="16" x14ac:dyDescent="0.2">
      <c r="A3274" s="1" t="s">
        <v>111</v>
      </c>
      <c r="B3274" t="str">
        <f>LEFT(Table1[[#This Row],[Input]],1)</f>
        <v>R</v>
      </c>
      <c r="C3274">
        <f>_xlfn.LET(_xlpm.steps,SUBSTITUTE(Table1[[#This Row],[Input]],Table1[[#This Row],[Direction]],""),VALUE(IF(LEN(_xlpm.steps)&gt;2,RIGHT(_xlpm.steps,2),_xlpm.steps)))</f>
        <v>64</v>
      </c>
      <c r="D3274">
        <f>_xlfn.LET(_xlpm.dir,Table1[[#This Row],[Direction]],
IF(_xlpm.dir="L",
    IF(F3273-Table1[[#This Row],[Steps]]&lt;0,100+(F3273-Table1[[#This Row],[Steps]]),F3273-Table1[[#This Row],[Steps]]),
))</f>
        <v>0</v>
      </c>
      <c r="E3274">
        <f>_xlfn.LET(_xlpm.dir,Table1[[#This Row],[Direction]],
IF(_xlpm.dir="R",
    IF(F3273+Table1[[#This Row],[Steps]]&gt;99,(F3273+Table1[[#This Row],[Steps]])-100,F3273+Table1[[#This Row],[Steps]]),
))</f>
        <v>0</v>
      </c>
      <c r="F3274">
        <f>IF(Table1[[#This Row],[New Pos L]]&lt;&gt;0,Table1[[#This Row],[New Pos L]],Table1[[#This Row],[New Pos R]])</f>
        <v>0</v>
      </c>
    </row>
    <row r="3275" spans="1:6" ht="16" x14ac:dyDescent="0.2">
      <c r="A3275" s="1" t="s">
        <v>49</v>
      </c>
      <c r="B3275" t="str">
        <f>LEFT(Table1[[#This Row],[Input]],1)</f>
        <v>L</v>
      </c>
      <c r="C3275">
        <f>_xlfn.LET(_xlpm.steps,SUBSTITUTE(Table1[[#This Row],[Input]],Table1[[#This Row],[Direction]],""),VALUE(IF(LEN(_xlpm.steps)&gt;2,RIGHT(_xlpm.steps,2),_xlpm.steps)))</f>
        <v>93</v>
      </c>
      <c r="D3275">
        <f>_xlfn.LET(_xlpm.dir,Table1[[#This Row],[Direction]],
IF(_xlpm.dir="L",
    IF(F3274-Table1[[#This Row],[Steps]]&lt;0,100+(F3274-Table1[[#This Row],[Steps]]),F3274-Table1[[#This Row],[Steps]]),
))</f>
        <v>7</v>
      </c>
      <c r="E3275">
        <f>_xlfn.LET(_xlpm.dir,Table1[[#This Row],[Direction]],
IF(_xlpm.dir="R",
    IF(F3274+Table1[[#This Row],[Steps]]&gt;99,(F3274+Table1[[#This Row],[Steps]])-100,F3274+Table1[[#This Row],[Steps]]),
))</f>
        <v>0</v>
      </c>
      <c r="F3275">
        <f>IF(Table1[[#This Row],[New Pos L]]&lt;&gt;0,Table1[[#This Row],[New Pos L]],Table1[[#This Row],[New Pos R]])</f>
        <v>7</v>
      </c>
    </row>
    <row r="3276" spans="1:6" ht="16" x14ac:dyDescent="0.2">
      <c r="A3276" s="1" t="s">
        <v>41</v>
      </c>
      <c r="B3276" t="str">
        <f>LEFT(Table1[[#This Row],[Input]],1)</f>
        <v>L</v>
      </c>
      <c r="C3276">
        <f>_xlfn.LET(_xlpm.steps,SUBSTITUTE(Table1[[#This Row],[Input]],Table1[[#This Row],[Direction]],""),VALUE(IF(LEN(_xlpm.steps)&gt;2,RIGHT(_xlpm.steps,2),_xlpm.steps)))</f>
        <v>7</v>
      </c>
      <c r="D3276">
        <f>_xlfn.LET(_xlpm.dir,Table1[[#This Row],[Direction]],
IF(_xlpm.dir="L",
    IF(F3275-Table1[[#This Row],[Steps]]&lt;0,100+(F3275-Table1[[#This Row],[Steps]]),F3275-Table1[[#This Row],[Steps]]),
))</f>
        <v>0</v>
      </c>
      <c r="E3276">
        <f>_xlfn.LET(_xlpm.dir,Table1[[#This Row],[Direction]],
IF(_xlpm.dir="R",
    IF(F3275+Table1[[#This Row],[Steps]]&gt;99,(F3275+Table1[[#This Row],[Steps]])-100,F3275+Table1[[#This Row],[Steps]]),
))</f>
        <v>0</v>
      </c>
      <c r="F3276">
        <f>IF(Table1[[#This Row],[New Pos L]]&lt;&gt;0,Table1[[#This Row],[New Pos L]],Table1[[#This Row],[New Pos R]])</f>
        <v>0</v>
      </c>
    </row>
    <row r="3277" spans="1:6" ht="16" x14ac:dyDescent="0.2">
      <c r="A3277" s="1" t="s">
        <v>146</v>
      </c>
      <c r="B3277" t="str">
        <f>LEFT(Table1[[#This Row],[Input]],1)</f>
        <v>R</v>
      </c>
      <c r="C3277">
        <f>_xlfn.LET(_xlpm.steps,SUBSTITUTE(Table1[[#This Row],[Input]],Table1[[#This Row],[Direction]],""),VALUE(IF(LEN(_xlpm.steps)&gt;2,RIGHT(_xlpm.steps,2),_xlpm.steps)))</f>
        <v>4</v>
      </c>
      <c r="D3277">
        <f>_xlfn.LET(_xlpm.dir,Table1[[#This Row],[Direction]],
IF(_xlpm.dir="L",
    IF(F3276-Table1[[#This Row],[Steps]]&lt;0,100+(F3276-Table1[[#This Row],[Steps]]),F3276-Table1[[#This Row],[Steps]]),
))</f>
        <v>0</v>
      </c>
      <c r="E3277">
        <f>_xlfn.LET(_xlpm.dir,Table1[[#This Row],[Direction]],
IF(_xlpm.dir="R",
    IF(F3276+Table1[[#This Row],[Steps]]&gt;99,(F3276+Table1[[#This Row],[Steps]])-100,F3276+Table1[[#This Row],[Steps]]),
))</f>
        <v>4</v>
      </c>
      <c r="F3277">
        <f>IF(Table1[[#This Row],[New Pos L]]&lt;&gt;0,Table1[[#This Row],[New Pos L]],Table1[[#This Row],[New Pos R]])</f>
        <v>4</v>
      </c>
    </row>
    <row r="3278" spans="1:6" ht="16" x14ac:dyDescent="0.2">
      <c r="A3278" s="1" t="s">
        <v>67</v>
      </c>
      <c r="B3278" t="str">
        <f>LEFT(Table1[[#This Row],[Input]],1)</f>
        <v>R</v>
      </c>
      <c r="C3278">
        <f>_xlfn.LET(_xlpm.steps,SUBSTITUTE(Table1[[#This Row],[Input]],Table1[[#This Row],[Direction]],""),VALUE(IF(LEN(_xlpm.steps)&gt;2,RIGHT(_xlpm.steps,2),_xlpm.steps)))</f>
        <v>33</v>
      </c>
      <c r="D3278">
        <f>_xlfn.LET(_xlpm.dir,Table1[[#This Row],[Direction]],
IF(_xlpm.dir="L",
    IF(F3277-Table1[[#This Row],[Steps]]&lt;0,100+(F3277-Table1[[#This Row],[Steps]]),F3277-Table1[[#This Row],[Steps]]),
))</f>
        <v>0</v>
      </c>
      <c r="E3278">
        <f>_xlfn.LET(_xlpm.dir,Table1[[#This Row],[Direction]],
IF(_xlpm.dir="R",
    IF(F3277+Table1[[#This Row],[Steps]]&gt;99,(F3277+Table1[[#This Row],[Steps]])-100,F3277+Table1[[#This Row],[Steps]]),
))</f>
        <v>37</v>
      </c>
      <c r="F3278">
        <f>IF(Table1[[#This Row],[New Pos L]]&lt;&gt;0,Table1[[#This Row],[New Pos L]],Table1[[#This Row],[New Pos R]])</f>
        <v>37</v>
      </c>
    </row>
    <row r="3279" spans="1:6" ht="16" x14ac:dyDescent="0.2">
      <c r="A3279" s="1" t="s">
        <v>628</v>
      </c>
      <c r="B3279" t="str">
        <f>LEFT(Table1[[#This Row],[Input]],1)</f>
        <v>R</v>
      </c>
      <c r="C3279">
        <f>_xlfn.LET(_xlpm.steps,SUBSTITUTE(Table1[[#This Row],[Input]],Table1[[#This Row],[Direction]],""),VALUE(IF(LEN(_xlpm.steps)&gt;2,RIGHT(_xlpm.steps,2),_xlpm.steps)))</f>
        <v>39</v>
      </c>
      <c r="D3279">
        <f>_xlfn.LET(_xlpm.dir,Table1[[#This Row],[Direction]],
IF(_xlpm.dir="L",
    IF(F3278-Table1[[#This Row],[Steps]]&lt;0,100+(F3278-Table1[[#This Row],[Steps]]),F3278-Table1[[#This Row],[Steps]]),
))</f>
        <v>0</v>
      </c>
      <c r="E3279">
        <f>_xlfn.LET(_xlpm.dir,Table1[[#This Row],[Direction]],
IF(_xlpm.dir="R",
    IF(F3278+Table1[[#This Row],[Steps]]&gt;99,(F3278+Table1[[#This Row],[Steps]])-100,F3278+Table1[[#This Row],[Steps]]),
))</f>
        <v>76</v>
      </c>
      <c r="F3279">
        <f>IF(Table1[[#This Row],[New Pos L]]&lt;&gt;0,Table1[[#This Row],[New Pos L]],Table1[[#This Row],[New Pos R]])</f>
        <v>76</v>
      </c>
    </row>
    <row r="3280" spans="1:6" ht="16" x14ac:dyDescent="0.2">
      <c r="A3280" s="1" t="s">
        <v>382</v>
      </c>
      <c r="B3280" t="str">
        <f>LEFT(Table1[[#This Row],[Input]],1)</f>
        <v>L</v>
      </c>
      <c r="C3280">
        <f>_xlfn.LET(_xlpm.steps,SUBSTITUTE(Table1[[#This Row],[Input]],Table1[[#This Row],[Direction]],""),VALUE(IF(LEN(_xlpm.steps)&gt;2,RIGHT(_xlpm.steps,2),_xlpm.steps)))</f>
        <v>76</v>
      </c>
      <c r="D3280">
        <f>_xlfn.LET(_xlpm.dir,Table1[[#This Row],[Direction]],
IF(_xlpm.dir="L",
    IF(F3279-Table1[[#This Row],[Steps]]&lt;0,100+(F3279-Table1[[#This Row],[Steps]]),F3279-Table1[[#This Row],[Steps]]),
))</f>
        <v>0</v>
      </c>
      <c r="E3280">
        <f>_xlfn.LET(_xlpm.dir,Table1[[#This Row],[Direction]],
IF(_xlpm.dir="R",
    IF(F3279+Table1[[#This Row],[Steps]]&gt;99,(F3279+Table1[[#This Row],[Steps]])-100,F3279+Table1[[#This Row],[Steps]]),
))</f>
        <v>0</v>
      </c>
      <c r="F3280">
        <f>IF(Table1[[#This Row],[New Pos L]]&lt;&gt;0,Table1[[#This Row],[New Pos L]],Table1[[#This Row],[New Pos R]])</f>
        <v>0</v>
      </c>
    </row>
    <row r="3281" spans="1:6" ht="16" x14ac:dyDescent="0.2">
      <c r="A3281" s="1" t="s">
        <v>22</v>
      </c>
      <c r="B3281" t="str">
        <f>LEFT(Table1[[#This Row],[Input]],1)</f>
        <v>L</v>
      </c>
      <c r="C3281">
        <f>_xlfn.LET(_xlpm.steps,SUBSTITUTE(Table1[[#This Row],[Input]],Table1[[#This Row],[Direction]],""),VALUE(IF(LEN(_xlpm.steps)&gt;2,RIGHT(_xlpm.steps,2),_xlpm.steps)))</f>
        <v>37</v>
      </c>
      <c r="D3281">
        <f>_xlfn.LET(_xlpm.dir,Table1[[#This Row],[Direction]],
IF(_xlpm.dir="L",
    IF(F3280-Table1[[#This Row],[Steps]]&lt;0,100+(F3280-Table1[[#This Row],[Steps]]),F3280-Table1[[#This Row],[Steps]]),
))</f>
        <v>63</v>
      </c>
      <c r="E3281">
        <f>_xlfn.LET(_xlpm.dir,Table1[[#This Row],[Direction]],
IF(_xlpm.dir="R",
    IF(F3280+Table1[[#This Row],[Steps]]&gt;99,(F3280+Table1[[#This Row],[Steps]])-100,F3280+Table1[[#This Row],[Steps]]),
))</f>
        <v>0</v>
      </c>
      <c r="F3281">
        <f>IF(Table1[[#This Row],[New Pos L]]&lt;&gt;0,Table1[[#This Row],[New Pos L]],Table1[[#This Row],[New Pos R]])</f>
        <v>63</v>
      </c>
    </row>
    <row r="3282" spans="1:6" ht="16" x14ac:dyDescent="0.2">
      <c r="A3282" s="1" t="s">
        <v>278</v>
      </c>
      <c r="B3282" t="str">
        <f>LEFT(Table1[[#This Row],[Input]],1)</f>
        <v>L</v>
      </c>
      <c r="C3282">
        <f>_xlfn.LET(_xlpm.steps,SUBSTITUTE(Table1[[#This Row],[Input]],Table1[[#This Row],[Direction]],""),VALUE(IF(LEN(_xlpm.steps)&gt;2,RIGHT(_xlpm.steps,2),_xlpm.steps)))</f>
        <v>40</v>
      </c>
      <c r="D3282">
        <f>_xlfn.LET(_xlpm.dir,Table1[[#This Row],[Direction]],
IF(_xlpm.dir="L",
    IF(F3281-Table1[[#This Row],[Steps]]&lt;0,100+(F3281-Table1[[#This Row],[Steps]]),F3281-Table1[[#This Row],[Steps]]),
))</f>
        <v>23</v>
      </c>
      <c r="E3282">
        <f>_xlfn.LET(_xlpm.dir,Table1[[#This Row],[Direction]],
IF(_xlpm.dir="R",
    IF(F3281+Table1[[#This Row],[Steps]]&gt;99,(F3281+Table1[[#This Row],[Steps]])-100,F3281+Table1[[#This Row],[Steps]]),
))</f>
        <v>0</v>
      </c>
      <c r="F3282">
        <f>IF(Table1[[#This Row],[New Pos L]]&lt;&gt;0,Table1[[#This Row],[New Pos L]],Table1[[#This Row],[New Pos R]])</f>
        <v>23</v>
      </c>
    </row>
    <row r="3283" spans="1:6" ht="16" x14ac:dyDescent="0.2">
      <c r="A3283" s="1" t="s">
        <v>171</v>
      </c>
      <c r="B3283" t="str">
        <f>LEFT(Table1[[#This Row],[Input]],1)</f>
        <v>L</v>
      </c>
      <c r="C3283">
        <f>_xlfn.LET(_xlpm.steps,SUBSTITUTE(Table1[[#This Row],[Input]],Table1[[#This Row],[Direction]],""),VALUE(IF(LEN(_xlpm.steps)&gt;2,RIGHT(_xlpm.steps,2),_xlpm.steps)))</f>
        <v>73</v>
      </c>
      <c r="D3283">
        <f>_xlfn.LET(_xlpm.dir,Table1[[#This Row],[Direction]],
IF(_xlpm.dir="L",
    IF(F3282-Table1[[#This Row],[Steps]]&lt;0,100+(F3282-Table1[[#This Row],[Steps]]),F3282-Table1[[#This Row],[Steps]]),
))</f>
        <v>50</v>
      </c>
      <c r="E3283">
        <f>_xlfn.LET(_xlpm.dir,Table1[[#This Row],[Direction]],
IF(_xlpm.dir="R",
    IF(F3282+Table1[[#This Row],[Steps]]&gt;99,(F3282+Table1[[#This Row],[Steps]])-100,F3282+Table1[[#This Row],[Steps]]),
))</f>
        <v>0</v>
      </c>
      <c r="F3283">
        <f>IF(Table1[[#This Row],[New Pos L]]&lt;&gt;0,Table1[[#This Row],[New Pos L]],Table1[[#This Row],[New Pos R]])</f>
        <v>50</v>
      </c>
    </row>
    <row r="3284" spans="1:6" ht="16" x14ac:dyDescent="0.2">
      <c r="A3284" s="1" t="s">
        <v>17</v>
      </c>
      <c r="B3284" t="str">
        <f>LEFT(Table1[[#This Row],[Input]],1)</f>
        <v>L</v>
      </c>
      <c r="C3284">
        <f>_xlfn.LET(_xlpm.steps,SUBSTITUTE(Table1[[#This Row],[Input]],Table1[[#This Row],[Direction]],""),VALUE(IF(LEN(_xlpm.steps)&gt;2,RIGHT(_xlpm.steps,2),_xlpm.steps)))</f>
        <v>50</v>
      </c>
      <c r="D3284">
        <f>_xlfn.LET(_xlpm.dir,Table1[[#This Row],[Direction]],
IF(_xlpm.dir="L",
    IF(F3283-Table1[[#This Row],[Steps]]&lt;0,100+(F3283-Table1[[#This Row],[Steps]]),F3283-Table1[[#This Row],[Steps]]),
))</f>
        <v>0</v>
      </c>
      <c r="E3284">
        <f>_xlfn.LET(_xlpm.dir,Table1[[#This Row],[Direction]],
IF(_xlpm.dir="R",
    IF(F3283+Table1[[#This Row],[Steps]]&gt;99,(F3283+Table1[[#This Row],[Steps]])-100,F3283+Table1[[#This Row],[Steps]]),
))</f>
        <v>0</v>
      </c>
      <c r="F3284">
        <f>IF(Table1[[#This Row],[New Pos L]]&lt;&gt;0,Table1[[#This Row],[New Pos L]],Table1[[#This Row],[New Pos R]])</f>
        <v>0</v>
      </c>
    </row>
    <row r="3285" spans="1:6" ht="16" x14ac:dyDescent="0.2">
      <c r="A3285" s="1" t="s">
        <v>721</v>
      </c>
      <c r="B3285" t="str">
        <f>LEFT(Table1[[#This Row],[Input]],1)</f>
        <v>L</v>
      </c>
      <c r="C3285">
        <f>_xlfn.LET(_xlpm.steps,SUBSTITUTE(Table1[[#This Row],[Input]],Table1[[#This Row],[Direction]],""),VALUE(IF(LEN(_xlpm.steps)&gt;2,RIGHT(_xlpm.steps,2),_xlpm.steps)))</f>
        <v>20</v>
      </c>
      <c r="D3285">
        <f>_xlfn.LET(_xlpm.dir,Table1[[#This Row],[Direction]],
IF(_xlpm.dir="L",
    IF(F3284-Table1[[#This Row],[Steps]]&lt;0,100+(F3284-Table1[[#This Row],[Steps]]),F3284-Table1[[#This Row],[Steps]]),
))</f>
        <v>80</v>
      </c>
      <c r="E3285">
        <f>_xlfn.LET(_xlpm.dir,Table1[[#This Row],[Direction]],
IF(_xlpm.dir="R",
    IF(F3284+Table1[[#This Row],[Steps]]&gt;99,(F3284+Table1[[#This Row],[Steps]])-100,F3284+Table1[[#This Row],[Steps]]),
))</f>
        <v>0</v>
      </c>
      <c r="F3285">
        <f>IF(Table1[[#This Row],[New Pos L]]&lt;&gt;0,Table1[[#This Row],[New Pos L]],Table1[[#This Row],[New Pos R]])</f>
        <v>80</v>
      </c>
    </row>
    <row r="3286" spans="1:6" ht="16" x14ac:dyDescent="0.2">
      <c r="A3286" s="1" t="s">
        <v>140</v>
      </c>
      <c r="B3286" t="str">
        <f>LEFT(Table1[[#This Row],[Input]],1)</f>
        <v>L</v>
      </c>
      <c r="C3286">
        <f>_xlfn.LET(_xlpm.steps,SUBSTITUTE(Table1[[#This Row],[Input]],Table1[[#This Row],[Direction]],""),VALUE(IF(LEN(_xlpm.steps)&gt;2,RIGHT(_xlpm.steps,2),_xlpm.steps)))</f>
        <v>61</v>
      </c>
      <c r="D3286">
        <f>_xlfn.LET(_xlpm.dir,Table1[[#This Row],[Direction]],
IF(_xlpm.dir="L",
    IF(F3285-Table1[[#This Row],[Steps]]&lt;0,100+(F3285-Table1[[#This Row],[Steps]]),F3285-Table1[[#This Row],[Steps]]),
))</f>
        <v>19</v>
      </c>
      <c r="E3286">
        <f>_xlfn.LET(_xlpm.dir,Table1[[#This Row],[Direction]],
IF(_xlpm.dir="R",
    IF(F3285+Table1[[#This Row],[Steps]]&gt;99,(F3285+Table1[[#This Row],[Steps]])-100,F3285+Table1[[#This Row],[Steps]]),
))</f>
        <v>0</v>
      </c>
      <c r="F3286">
        <f>IF(Table1[[#This Row],[New Pos L]]&lt;&gt;0,Table1[[#This Row],[New Pos L]],Table1[[#This Row],[New Pos R]])</f>
        <v>19</v>
      </c>
    </row>
    <row r="3287" spans="1:6" ht="16" x14ac:dyDescent="0.2">
      <c r="A3287" s="1" t="s">
        <v>48</v>
      </c>
      <c r="B3287" t="str">
        <f>LEFT(Table1[[#This Row],[Input]],1)</f>
        <v>R</v>
      </c>
      <c r="C3287">
        <f>_xlfn.LET(_xlpm.steps,SUBSTITUTE(Table1[[#This Row],[Input]],Table1[[#This Row],[Direction]],""),VALUE(IF(LEN(_xlpm.steps)&gt;2,RIGHT(_xlpm.steps,2),_xlpm.steps)))</f>
        <v>81</v>
      </c>
      <c r="D3287">
        <f>_xlfn.LET(_xlpm.dir,Table1[[#This Row],[Direction]],
IF(_xlpm.dir="L",
    IF(F3286-Table1[[#This Row],[Steps]]&lt;0,100+(F3286-Table1[[#This Row],[Steps]]),F3286-Table1[[#This Row],[Steps]]),
))</f>
        <v>0</v>
      </c>
      <c r="E3287">
        <f>_xlfn.LET(_xlpm.dir,Table1[[#This Row],[Direction]],
IF(_xlpm.dir="R",
    IF(F3286+Table1[[#This Row],[Steps]]&gt;99,(F3286+Table1[[#This Row],[Steps]])-100,F3286+Table1[[#This Row],[Steps]]),
))</f>
        <v>0</v>
      </c>
      <c r="F3287">
        <f>IF(Table1[[#This Row],[New Pos L]]&lt;&gt;0,Table1[[#This Row],[New Pos L]],Table1[[#This Row],[New Pos R]])</f>
        <v>0</v>
      </c>
    </row>
    <row r="3288" spans="1:6" ht="16" x14ac:dyDescent="0.2">
      <c r="A3288" s="1" t="s">
        <v>191</v>
      </c>
      <c r="B3288" t="str">
        <f>LEFT(Table1[[#This Row],[Input]],1)</f>
        <v>L</v>
      </c>
      <c r="C3288">
        <f>_xlfn.LET(_xlpm.steps,SUBSTITUTE(Table1[[#This Row],[Input]],Table1[[#This Row],[Direction]],""),VALUE(IF(LEN(_xlpm.steps)&gt;2,RIGHT(_xlpm.steps,2),_xlpm.steps)))</f>
        <v>5</v>
      </c>
      <c r="D3288">
        <f>_xlfn.LET(_xlpm.dir,Table1[[#This Row],[Direction]],
IF(_xlpm.dir="L",
    IF(F3287-Table1[[#This Row],[Steps]]&lt;0,100+(F3287-Table1[[#This Row],[Steps]]),F3287-Table1[[#This Row],[Steps]]),
))</f>
        <v>95</v>
      </c>
      <c r="E3288">
        <f>_xlfn.LET(_xlpm.dir,Table1[[#This Row],[Direction]],
IF(_xlpm.dir="R",
    IF(F3287+Table1[[#This Row],[Steps]]&gt;99,(F3287+Table1[[#This Row],[Steps]])-100,F3287+Table1[[#This Row],[Steps]]),
))</f>
        <v>0</v>
      </c>
      <c r="F3288">
        <f>IF(Table1[[#This Row],[New Pos L]]&lt;&gt;0,Table1[[#This Row],[New Pos L]],Table1[[#This Row],[New Pos R]])</f>
        <v>95</v>
      </c>
    </row>
    <row r="3289" spans="1:6" ht="16" x14ac:dyDescent="0.2">
      <c r="A3289" s="1" t="s">
        <v>134</v>
      </c>
      <c r="B3289" t="str">
        <f>LEFT(Table1[[#This Row],[Input]],1)</f>
        <v>L</v>
      </c>
      <c r="C3289">
        <f>_xlfn.LET(_xlpm.steps,SUBSTITUTE(Table1[[#This Row],[Input]],Table1[[#This Row],[Direction]],""),VALUE(IF(LEN(_xlpm.steps)&gt;2,RIGHT(_xlpm.steps,2),_xlpm.steps)))</f>
        <v>95</v>
      </c>
      <c r="D3289">
        <f>_xlfn.LET(_xlpm.dir,Table1[[#This Row],[Direction]],
IF(_xlpm.dir="L",
    IF(F3288-Table1[[#This Row],[Steps]]&lt;0,100+(F3288-Table1[[#This Row],[Steps]]),F3288-Table1[[#This Row],[Steps]]),
))</f>
        <v>0</v>
      </c>
      <c r="E3289">
        <f>_xlfn.LET(_xlpm.dir,Table1[[#This Row],[Direction]],
IF(_xlpm.dir="R",
    IF(F3288+Table1[[#This Row],[Steps]]&gt;99,(F3288+Table1[[#This Row],[Steps]])-100,F3288+Table1[[#This Row],[Steps]]),
))</f>
        <v>0</v>
      </c>
      <c r="F3289">
        <f>IF(Table1[[#This Row],[New Pos L]]&lt;&gt;0,Table1[[#This Row],[New Pos L]],Table1[[#This Row],[New Pos R]])</f>
        <v>0</v>
      </c>
    </row>
    <row r="3290" spans="1:6" ht="16" x14ac:dyDescent="0.2">
      <c r="A3290" s="1" t="s">
        <v>182</v>
      </c>
      <c r="B3290" t="str">
        <f>LEFT(Table1[[#This Row],[Input]],1)</f>
        <v>L</v>
      </c>
      <c r="C3290">
        <f>_xlfn.LET(_xlpm.steps,SUBSTITUTE(Table1[[#This Row],[Input]],Table1[[#This Row],[Direction]],""),VALUE(IF(LEN(_xlpm.steps)&gt;2,RIGHT(_xlpm.steps,2),_xlpm.steps)))</f>
        <v>3</v>
      </c>
      <c r="D3290">
        <f>_xlfn.LET(_xlpm.dir,Table1[[#This Row],[Direction]],
IF(_xlpm.dir="L",
    IF(F3289-Table1[[#This Row],[Steps]]&lt;0,100+(F3289-Table1[[#This Row],[Steps]]),F3289-Table1[[#This Row],[Steps]]),
))</f>
        <v>97</v>
      </c>
      <c r="E3290">
        <f>_xlfn.LET(_xlpm.dir,Table1[[#This Row],[Direction]],
IF(_xlpm.dir="R",
    IF(F3289+Table1[[#This Row],[Steps]]&gt;99,(F3289+Table1[[#This Row],[Steps]])-100,F3289+Table1[[#This Row],[Steps]]),
))</f>
        <v>0</v>
      </c>
      <c r="F3290">
        <f>IF(Table1[[#This Row],[New Pos L]]&lt;&gt;0,Table1[[#This Row],[New Pos L]],Table1[[#This Row],[New Pos R]])</f>
        <v>97</v>
      </c>
    </row>
    <row r="3291" spans="1:6" ht="16" x14ac:dyDescent="0.2">
      <c r="A3291" s="1" t="s">
        <v>357</v>
      </c>
      <c r="B3291" t="str">
        <f>LEFT(Table1[[#This Row],[Input]],1)</f>
        <v>R</v>
      </c>
      <c r="C3291">
        <f>_xlfn.LET(_xlpm.steps,SUBSTITUTE(Table1[[#This Row],[Input]],Table1[[#This Row],[Direction]],""),VALUE(IF(LEN(_xlpm.steps)&gt;2,RIGHT(_xlpm.steps,2),_xlpm.steps)))</f>
        <v>72</v>
      </c>
      <c r="D3291">
        <f>_xlfn.LET(_xlpm.dir,Table1[[#This Row],[Direction]],
IF(_xlpm.dir="L",
    IF(F3290-Table1[[#This Row],[Steps]]&lt;0,100+(F3290-Table1[[#This Row],[Steps]]),F3290-Table1[[#This Row],[Steps]]),
))</f>
        <v>0</v>
      </c>
      <c r="E3291">
        <f>_xlfn.LET(_xlpm.dir,Table1[[#This Row],[Direction]],
IF(_xlpm.dir="R",
    IF(F3290+Table1[[#This Row],[Steps]]&gt;99,(F3290+Table1[[#This Row],[Steps]])-100,F3290+Table1[[#This Row],[Steps]]),
))</f>
        <v>69</v>
      </c>
      <c r="F3291">
        <f>IF(Table1[[#This Row],[New Pos L]]&lt;&gt;0,Table1[[#This Row],[New Pos L]],Table1[[#This Row],[New Pos R]])</f>
        <v>69</v>
      </c>
    </row>
    <row r="3292" spans="1:6" ht="16" x14ac:dyDescent="0.2">
      <c r="A3292" s="1" t="s">
        <v>50</v>
      </c>
      <c r="B3292" t="str">
        <f>LEFT(Table1[[#This Row],[Input]],1)</f>
        <v>R</v>
      </c>
      <c r="C3292">
        <f>_xlfn.LET(_xlpm.steps,SUBSTITUTE(Table1[[#This Row],[Input]],Table1[[#This Row],[Direction]],""),VALUE(IF(LEN(_xlpm.steps)&gt;2,RIGHT(_xlpm.steps,2),_xlpm.steps)))</f>
        <v>78</v>
      </c>
      <c r="D3292">
        <f>_xlfn.LET(_xlpm.dir,Table1[[#This Row],[Direction]],
IF(_xlpm.dir="L",
    IF(F3291-Table1[[#This Row],[Steps]]&lt;0,100+(F3291-Table1[[#This Row],[Steps]]),F3291-Table1[[#This Row],[Steps]]),
))</f>
        <v>0</v>
      </c>
      <c r="E3292">
        <f>_xlfn.LET(_xlpm.dir,Table1[[#This Row],[Direction]],
IF(_xlpm.dir="R",
    IF(F3291+Table1[[#This Row],[Steps]]&gt;99,(F3291+Table1[[#This Row],[Steps]])-100,F3291+Table1[[#This Row],[Steps]]),
))</f>
        <v>47</v>
      </c>
      <c r="F3292">
        <f>IF(Table1[[#This Row],[New Pos L]]&lt;&gt;0,Table1[[#This Row],[New Pos L]],Table1[[#This Row],[New Pos R]])</f>
        <v>47</v>
      </c>
    </row>
    <row r="3293" spans="1:6" ht="16" x14ac:dyDescent="0.2">
      <c r="A3293" s="1" t="s">
        <v>41</v>
      </c>
      <c r="B3293" t="str">
        <f>LEFT(Table1[[#This Row],[Input]],1)</f>
        <v>L</v>
      </c>
      <c r="C3293">
        <f>_xlfn.LET(_xlpm.steps,SUBSTITUTE(Table1[[#This Row],[Input]],Table1[[#This Row],[Direction]],""),VALUE(IF(LEN(_xlpm.steps)&gt;2,RIGHT(_xlpm.steps,2),_xlpm.steps)))</f>
        <v>7</v>
      </c>
      <c r="D3293">
        <f>_xlfn.LET(_xlpm.dir,Table1[[#This Row],[Direction]],
IF(_xlpm.dir="L",
    IF(F3292-Table1[[#This Row],[Steps]]&lt;0,100+(F3292-Table1[[#This Row],[Steps]]),F3292-Table1[[#This Row],[Steps]]),
))</f>
        <v>40</v>
      </c>
      <c r="E3293">
        <f>_xlfn.LET(_xlpm.dir,Table1[[#This Row],[Direction]],
IF(_xlpm.dir="R",
    IF(F3292+Table1[[#This Row],[Steps]]&gt;99,(F3292+Table1[[#This Row],[Steps]])-100,F3292+Table1[[#This Row],[Steps]]),
))</f>
        <v>0</v>
      </c>
      <c r="F3293">
        <f>IF(Table1[[#This Row],[New Pos L]]&lt;&gt;0,Table1[[#This Row],[New Pos L]],Table1[[#This Row],[New Pos R]])</f>
        <v>40</v>
      </c>
    </row>
    <row r="3294" spans="1:6" ht="16" x14ac:dyDescent="0.2">
      <c r="A3294" s="1" t="s">
        <v>563</v>
      </c>
      <c r="B3294" t="str">
        <f>LEFT(Table1[[#This Row],[Input]],1)</f>
        <v>R</v>
      </c>
      <c r="C3294">
        <f>_xlfn.LET(_xlpm.steps,SUBSTITUTE(Table1[[#This Row],[Input]],Table1[[#This Row],[Direction]],""),VALUE(IF(LEN(_xlpm.steps)&gt;2,RIGHT(_xlpm.steps,2),_xlpm.steps)))</f>
        <v>60</v>
      </c>
      <c r="D3294">
        <f>_xlfn.LET(_xlpm.dir,Table1[[#This Row],[Direction]],
IF(_xlpm.dir="L",
    IF(F3293-Table1[[#This Row],[Steps]]&lt;0,100+(F3293-Table1[[#This Row],[Steps]]),F3293-Table1[[#This Row],[Steps]]),
))</f>
        <v>0</v>
      </c>
      <c r="E3294">
        <f>_xlfn.LET(_xlpm.dir,Table1[[#This Row],[Direction]],
IF(_xlpm.dir="R",
    IF(F3293+Table1[[#This Row],[Steps]]&gt;99,(F3293+Table1[[#This Row],[Steps]])-100,F3293+Table1[[#This Row],[Steps]]),
))</f>
        <v>0</v>
      </c>
      <c r="F3294">
        <f>IF(Table1[[#This Row],[New Pos L]]&lt;&gt;0,Table1[[#This Row],[New Pos L]],Table1[[#This Row],[New Pos R]])</f>
        <v>0</v>
      </c>
    </row>
    <row r="3295" spans="1:6" ht="16" x14ac:dyDescent="0.2">
      <c r="A3295" s="1" t="s">
        <v>195</v>
      </c>
      <c r="B3295" t="str">
        <f>LEFT(Table1[[#This Row],[Input]],1)</f>
        <v>R</v>
      </c>
      <c r="C3295">
        <f>_xlfn.LET(_xlpm.steps,SUBSTITUTE(Table1[[#This Row],[Input]],Table1[[#This Row],[Direction]],""),VALUE(IF(LEN(_xlpm.steps)&gt;2,RIGHT(_xlpm.steps,2),_xlpm.steps)))</f>
        <v>40</v>
      </c>
      <c r="D3295">
        <f>_xlfn.LET(_xlpm.dir,Table1[[#This Row],[Direction]],
IF(_xlpm.dir="L",
    IF(F3294-Table1[[#This Row],[Steps]]&lt;0,100+(F3294-Table1[[#This Row],[Steps]]),F3294-Table1[[#This Row],[Steps]]),
))</f>
        <v>0</v>
      </c>
      <c r="E3295">
        <f>_xlfn.LET(_xlpm.dir,Table1[[#This Row],[Direction]],
IF(_xlpm.dir="R",
    IF(F3294+Table1[[#This Row],[Steps]]&gt;99,(F3294+Table1[[#This Row],[Steps]])-100,F3294+Table1[[#This Row],[Steps]]),
))</f>
        <v>40</v>
      </c>
      <c r="F3295">
        <f>IF(Table1[[#This Row],[New Pos L]]&lt;&gt;0,Table1[[#This Row],[New Pos L]],Table1[[#This Row],[New Pos R]])</f>
        <v>40</v>
      </c>
    </row>
    <row r="3296" spans="1:6" ht="16" x14ac:dyDescent="0.2">
      <c r="A3296" s="1" t="s">
        <v>386</v>
      </c>
      <c r="B3296" t="str">
        <f>LEFT(Table1[[#This Row],[Input]],1)</f>
        <v>R</v>
      </c>
      <c r="C3296">
        <f>_xlfn.LET(_xlpm.steps,SUBSTITUTE(Table1[[#This Row],[Input]],Table1[[#This Row],[Direction]],""),VALUE(IF(LEN(_xlpm.steps)&gt;2,RIGHT(_xlpm.steps,2),_xlpm.steps)))</f>
        <v>99</v>
      </c>
      <c r="D3296">
        <f>_xlfn.LET(_xlpm.dir,Table1[[#This Row],[Direction]],
IF(_xlpm.dir="L",
    IF(F3295-Table1[[#This Row],[Steps]]&lt;0,100+(F3295-Table1[[#This Row],[Steps]]),F3295-Table1[[#This Row],[Steps]]),
))</f>
        <v>0</v>
      </c>
      <c r="E3296">
        <f>_xlfn.LET(_xlpm.dir,Table1[[#This Row],[Direction]],
IF(_xlpm.dir="R",
    IF(F3295+Table1[[#This Row],[Steps]]&gt;99,(F3295+Table1[[#This Row],[Steps]])-100,F3295+Table1[[#This Row],[Steps]]),
))</f>
        <v>39</v>
      </c>
      <c r="F3296">
        <f>IF(Table1[[#This Row],[New Pos L]]&lt;&gt;0,Table1[[#This Row],[New Pos L]],Table1[[#This Row],[New Pos R]])</f>
        <v>39</v>
      </c>
    </row>
    <row r="3297" spans="1:6" ht="16" x14ac:dyDescent="0.2">
      <c r="A3297" s="1" t="s">
        <v>722</v>
      </c>
      <c r="B3297" t="str">
        <f>LEFT(Table1[[#This Row],[Input]],1)</f>
        <v>L</v>
      </c>
      <c r="C3297">
        <f>_xlfn.LET(_xlpm.steps,SUBSTITUTE(Table1[[#This Row],[Input]],Table1[[#This Row],[Direction]],""),VALUE(IF(LEN(_xlpm.steps)&gt;2,RIGHT(_xlpm.steps,2),_xlpm.steps)))</f>
        <v>72</v>
      </c>
      <c r="D3297">
        <f>_xlfn.LET(_xlpm.dir,Table1[[#This Row],[Direction]],
IF(_xlpm.dir="L",
    IF(F3296-Table1[[#This Row],[Steps]]&lt;0,100+(F3296-Table1[[#This Row],[Steps]]),F3296-Table1[[#This Row],[Steps]]),
))</f>
        <v>67</v>
      </c>
      <c r="E3297">
        <f>_xlfn.LET(_xlpm.dir,Table1[[#This Row],[Direction]],
IF(_xlpm.dir="R",
    IF(F3296+Table1[[#This Row],[Steps]]&gt;99,(F3296+Table1[[#This Row],[Steps]])-100,F3296+Table1[[#This Row],[Steps]]),
))</f>
        <v>0</v>
      </c>
      <c r="F3297">
        <f>IF(Table1[[#This Row],[New Pos L]]&lt;&gt;0,Table1[[#This Row],[New Pos L]],Table1[[#This Row],[New Pos R]])</f>
        <v>67</v>
      </c>
    </row>
    <row r="3298" spans="1:6" ht="16" x14ac:dyDescent="0.2">
      <c r="A3298" s="1" t="s">
        <v>136</v>
      </c>
      <c r="B3298" t="str">
        <f>LEFT(Table1[[#This Row],[Input]],1)</f>
        <v>L</v>
      </c>
      <c r="C3298">
        <f>_xlfn.LET(_xlpm.steps,SUBSTITUTE(Table1[[#This Row],[Input]],Table1[[#This Row],[Direction]],""),VALUE(IF(LEN(_xlpm.steps)&gt;2,RIGHT(_xlpm.steps,2),_xlpm.steps)))</f>
        <v>72</v>
      </c>
      <c r="D3298">
        <f>_xlfn.LET(_xlpm.dir,Table1[[#This Row],[Direction]],
IF(_xlpm.dir="L",
    IF(F3297-Table1[[#This Row],[Steps]]&lt;0,100+(F3297-Table1[[#This Row],[Steps]]),F3297-Table1[[#This Row],[Steps]]),
))</f>
        <v>95</v>
      </c>
      <c r="E3298">
        <f>_xlfn.LET(_xlpm.dir,Table1[[#This Row],[Direction]],
IF(_xlpm.dir="R",
    IF(F3297+Table1[[#This Row],[Steps]]&gt;99,(F3297+Table1[[#This Row],[Steps]])-100,F3297+Table1[[#This Row],[Steps]]),
))</f>
        <v>0</v>
      </c>
      <c r="F3298">
        <f>IF(Table1[[#This Row],[New Pos L]]&lt;&gt;0,Table1[[#This Row],[New Pos L]],Table1[[#This Row],[New Pos R]])</f>
        <v>95</v>
      </c>
    </row>
    <row r="3299" spans="1:6" ht="16" x14ac:dyDescent="0.2">
      <c r="A3299" s="1" t="s">
        <v>723</v>
      </c>
      <c r="B3299" t="str">
        <f>LEFT(Table1[[#This Row],[Input]],1)</f>
        <v>L</v>
      </c>
      <c r="C3299">
        <f>_xlfn.LET(_xlpm.steps,SUBSTITUTE(Table1[[#This Row],[Input]],Table1[[#This Row],[Direction]],""),VALUE(IF(LEN(_xlpm.steps)&gt;2,RIGHT(_xlpm.steps,2),_xlpm.steps)))</f>
        <v>46</v>
      </c>
      <c r="D3299">
        <f>_xlfn.LET(_xlpm.dir,Table1[[#This Row],[Direction]],
IF(_xlpm.dir="L",
    IF(F3298-Table1[[#This Row],[Steps]]&lt;0,100+(F3298-Table1[[#This Row],[Steps]]),F3298-Table1[[#This Row],[Steps]]),
))</f>
        <v>49</v>
      </c>
      <c r="E3299">
        <f>_xlfn.LET(_xlpm.dir,Table1[[#This Row],[Direction]],
IF(_xlpm.dir="R",
    IF(F3298+Table1[[#This Row],[Steps]]&gt;99,(F3298+Table1[[#This Row],[Steps]])-100,F3298+Table1[[#This Row],[Steps]]),
))</f>
        <v>0</v>
      </c>
      <c r="F3299">
        <f>IF(Table1[[#This Row],[New Pos L]]&lt;&gt;0,Table1[[#This Row],[New Pos L]],Table1[[#This Row],[New Pos R]])</f>
        <v>49</v>
      </c>
    </row>
    <row r="3300" spans="1:6" ht="16" x14ac:dyDescent="0.2">
      <c r="A3300" s="1" t="s">
        <v>267</v>
      </c>
      <c r="B3300" t="str">
        <f>LEFT(Table1[[#This Row],[Input]],1)</f>
        <v>L</v>
      </c>
      <c r="C3300">
        <f>_xlfn.LET(_xlpm.steps,SUBSTITUTE(Table1[[#This Row],[Input]],Table1[[#This Row],[Direction]],""),VALUE(IF(LEN(_xlpm.steps)&gt;2,RIGHT(_xlpm.steps,2),_xlpm.steps)))</f>
        <v>39</v>
      </c>
      <c r="D3300">
        <f>_xlfn.LET(_xlpm.dir,Table1[[#This Row],[Direction]],
IF(_xlpm.dir="L",
    IF(F3299-Table1[[#This Row],[Steps]]&lt;0,100+(F3299-Table1[[#This Row],[Steps]]),F3299-Table1[[#This Row],[Steps]]),
))</f>
        <v>10</v>
      </c>
      <c r="E3300">
        <f>_xlfn.LET(_xlpm.dir,Table1[[#This Row],[Direction]],
IF(_xlpm.dir="R",
    IF(F3299+Table1[[#This Row],[Steps]]&gt;99,(F3299+Table1[[#This Row],[Steps]])-100,F3299+Table1[[#This Row],[Steps]]),
))</f>
        <v>0</v>
      </c>
      <c r="F3300">
        <f>IF(Table1[[#This Row],[New Pos L]]&lt;&gt;0,Table1[[#This Row],[New Pos L]],Table1[[#This Row],[New Pos R]])</f>
        <v>10</v>
      </c>
    </row>
    <row r="3301" spans="1:6" ht="16" x14ac:dyDescent="0.2">
      <c r="A3301" s="1" t="s">
        <v>16</v>
      </c>
      <c r="B3301" t="str">
        <f>LEFT(Table1[[#This Row],[Input]],1)</f>
        <v>L</v>
      </c>
      <c r="C3301">
        <f>_xlfn.LET(_xlpm.steps,SUBSTITUTE(Table1[[#This Row],[Input]],Table1[[#This Row],[Direction]],""),VALUE(IF(LEN(_xlpm.steps)&gt;2,RIGHT(_xlpm.steps,2),_xlpm.steps)))</f>
        <v>10</v>
      </c>
      <c r="D3301">
        <f>_xlfn.LET(_xlpm.dir,Table1[[#This Row],[Direction]],
IF(_xlpm.dir="L",
    IF(F3300-Table1[[#This Row],[Steps]]&lt;0,100+(F3300-Table1[[#This Row],[Steps]]),F3300-Table1[[#This Row],[Steps]]),
))</f>
        <v>0</v>
      </c>
      <c r="E3301">
        <f>_xlfn.LET(_xlpm.dir,Table1[[#This Row],[Direction]],
IF(_xlpm.dir="R",
    IF(F3300+Table1[[#This Row],[Steps]]&gt;99,(F3300+Table1[[#This Row],[Steps]])-100,F3300+Table1[[#This Row],[Steps]]),
))</f>
        <v>0</v>
      </c>
      <c r="F3301">
        <f>IF(Table1[[#This Row],[New Pos L]]&lt;&gt;0,Table1[[#This Row],[New Pos L]],Table1[[#This Row],[New Pos R]])</f>
        <v>0</v>
      </c>
    </row>
    <row r="3302" spans="1:6" ht="16" x14ac:dyDescent="0.2">
      <c r="A3302" s="1" t="s">
        <v>126</v>
      </c>
      <c r="B3302" t="str">
        <f>LEFT(Table1[[#This Row],[Input]],1)</f>
        <v>R</v>
      </c>
      <c r="C3302">
        <f>_xlfn.LET(_xlpm.steps,SUBSTITUTE(Table1[[#This Row],[Input]],Table1[[#This Row],[Direction]],""),VALUE(IF(LEN(_xlpm.steps)&gt;2,RIGHT(_xlpm.steps,2),_xlpm.steps)))</f>
        <v>65</v>
      </c>
      <c r="D3302">
        <f>_xlfn.LET(_xlpm.dir,Table1[[#This Row],[Direction]],
IF(_xlpm.dir="L",
    IF(F3301-Table1[[#This Row],[Steps]]&lt;0,100+(F3301-Table1[[#This Row],[Steps]]),F3301-Table1[[#This Row],[Steps]]),
))</f>
        <v>0</v>
      </c>
      <c r="E3302">
        <f>_xlfn.LET(_xlpm.dir,Table1[[#This Row],[Direction]],
IF(_xlpm.dir="R",
    IF(F3301+Table1[[#This Row],[Steps]]&gt;99,(F3301+Table1[[#This Row],[Steps]])-100,F3301+Table1[[#This Row],[Steps]]),
))</f>
        <v>65</v>
      </c>
      <c r="F3302">
        <f>IF(Table1[[#This Row],[New Pos L]]&lt;&gt;0,Table1[[#This Row],[New Pos L]],Table1[[#This Row],[New Pos R]])</f>
        <v>65</v>
      </c>
    </row>
    <row r="3303" spans="1:6" ht="16" x14ac:dyDescent="0.2">
      <c r="A3303" s="1" t="s">
        <v>724</v>
      </c>
      <c r="B3303" t="str">
        <f>LEFT(Table1[[#This Row],[Input]],1)</f>
        <v>L</v>
      </c>
      <c r="C3303">
        <f>_xlfn.LET(_xlpm.steps,SUBSTITUTE(Table1[[#This Row],[Input]],Table1[[#This Row],[Direction]],""),VALUE(IF(LEN(_xlpm.steps)&gt;2,RIGHT(_xlpm.steps,2),_xlpm.steps)))</f>
        <v>65</v>
      </c>
      <c r="D3303">
        <f>_xlfn.LET(_xlpm.dir,Table1[[#This Row],[Direction]],
IF(_xlpm.dir="L",
    IF(F3302-Table1[[#This Row],[Steps]]&lt;0,100+(F3302-Table1[[#This Row],[Steps]]),F3302-Table1[[#This Row],[Steps]]),
))</f>
        <v>0</v>
      </c>
      <c r="E3303">
        <f>_xlfn.LET(_xlpm.dir,Table1[[#This Row],[Direction]],
IF(_xlpm.dir="R",
    IF(F3302+Table1[[#This Row],[Steps]]&gt;99,(F3302+Table1[[#This Row],[Steps]])-100,F3302+Table1[[#This Row],[Steps]]),
))</f>
        <v>0</v>
      </c>
      <c r="F3303">
        <f>IF(Table1[[#This Row],[New Pos L]]&lt;&gt;0,Table1[[#This Row],[New Pos L]],Table1[[#This Row],[New Pos R]])</f>
        <v>0</v>
      </c>
    </row>
    <row r="3304" spans="1:6" ht="16" x14ac:dyDescent="0.2">
      <c r="A3304" s="1" t="s">
        <v>179</v>
      </c>
      <c r="B3304" t="str">
        <f>LEFT(Table1[[#This Row],[Input]],1)</f>
        <v>L</v>
      </c>
      <c r="C3304">
        <f>_xlfn.LET(_xlpm.steps,SUBSTITUTE(Table1[[#This Row],[Input]],Table1[[#This Row],[Direction]],""),VALUE(IF(LEN(_xlpm.steps)&gt;2,RIGHT(_xlpm.steps,2),_xlpm.steps)))</f>
        <v>54</v>
      </c>
      <c r="D3304">
        <f>_xlfn.LET(_xlpm.dir,Table1[[#This Row],[Direction]],
IF(_xlpm.dir="L",
    IF(F3303-Table1[[#This Row],[Steps]]&lt;0,100+(F3303-Table1[[#This Row],[Steps]]),F3303-Table1[[#This Row],[Steps]]),
))</f>
        <v>46</v>
      </c>
      <c r="E3304">
        <f>_xlfn.LET(_xlpm.dir,Table1[[#This Row],[Direction]],
IF(_xlpm.dir="R",
    IF(F3303+Table1[[#This Row],[Steps]]&gt;99,(F3303+Table1[[#This Row],[Steps]])-100,F3303+Table1[[#This Row],[Steps]]),
))</f>
        <v>0</v>
      </c>
      <c r="F3304">
        <f>IF(Table1[[#This Row],[New Pos L]]&lt;&gt;0,Table1[[#This Row],[New Pos L]],Table1[[#This Row],[New Pos R]])</f>
        <v>46</v>
      </c>
    </row>
    <row r="3305" spans="1:6" ht="16" x14ac:dyDescent="0.2">
      <c r="A3305" s="1" t="s">
        <v>616</v>
      </c>
      <c r="B3305" t="str">
        <f>LEFT(Table1[[#This Row],[Input]],1)</f>
        <v>R</v>
      </c>
      <c r="C3305">
        <f>_xlfn.LET(_xlpm.steps,SUBSTITUTE(Table1[[#This Row],[Input]],Table1[[#This Row],[Direction]],""),VALUE(IF(LEN(_xlpm.steps)&gt;2,RIGHT(_xlpm.steps,2),_xlpm.steps)))</f>
        <v>26</v>
      </c>
      <c r="D3305">
        <f>_xlfn.LET(_xlpm.dir,Table1[[#This Row],[Direction]],
IF(_xlpm.dir="L",
    IF(F3304-Table1[[#This Row],[Steps]]&lt;0,100+(F3304-Table1[[#This Row],[Steps]]),F3304-Table1[[#This Row],[Steps]]),
))</f>
        <v>0</v>
      </c>
      <c r="E3305">
        <f>_xlfn.LET(_xlpm.dir,Table1[[#This Row],[Direction]],
IF(_xlpm.dir="R",
    IF(F3304+Table1[[#This Row],[Steps]]&gt;99,(F3304+Table1[[#This Row],[Steps]])-100,F3304+Table1[[#This Row],[Steps]]),
))</f>
        <v>72</v>
      </c>
      <c r="F3305">
        <f>IF(Table1[[#This Row],[New Pos L]]&lt;&gt;0,Table1[[#This Row],[New Pos L]],Table1[[#This Row],[New Pos R]])</f>
        <v>72</v>
      </c>
    </row>
    <row r="3306" spans="1:6" ht="16" x14ac:dyDescent="0.2">
      <c r="A3306" s="1" t="s">
        <v>26</v>
      </c>
      <c r="B3306" t="str">
        <f>LEFT(Table1[[#This Row],[Input]],1)</f>
        <v>R</v>
      </c>
      <c r="C3306">
        <f>_xlfn.LET(_xlpm.steps,SUBSTITUTE(Table1[[#This Row],[Input]],Table1[[#This Row],[Direction]],""),VALUE(IF(LEN(_xlpm.steps)&gt;2,RIGHT(_xlpm.steps,2),_xlpm.steps)))</f>
        <v>6</v>
      </c>
      <c r="D3306">
        <f>_xlfn.LET(_xlpm.dir,Table1[[#This Row],[Direction]],
IF(_xlpm.dir="L",
    IF(F3305-Table1[[#This Row],[Steps]]&lt;0,100+(F3305-Table1[[#This Row],[Steps]]),F3305-Table1[[#This Row],[Steps]]),
))</f>
        <v>0</v>
      </c>
      <c r="E3306">
        <f>_xlfn.LET(_xlpm.dir,Table1[[#This Row],[Direction]],
IF(_xlpm.dir="R",
    IF(F3305+Table1[[#This Row],[Steps]]&gt;99,(F3305+Table1[[#This Row],[Steps]])-100,F3305+Table1[[#This Row],[Steps]]),
))</f>
        <v>78</v>
      </c>
      <c r="F3306">
        <f>IF(Table1[[#This Row],[New Pos L]]&lt;&gt;0,Table1[[#This Row],[New Pos L]],Table1[[#This Row],[New Pos R]])</f>
        <v>78</v>
      </c>
    </row>
    <row r="3307" spans="1:6" ht="16" x14ac:dyDescent="0.2">
      <c r="A3307" s="1" t="s">
        <v>95</v>
      </c>
      <c r="B3307" t="str">
        <f>LEFT(Table1[[#This Row],[Input]],1)</f>
        <v>L</v>
      </c>
      <c r="C3307">
        <f>_xlfn.LET(_xlpm.steps,SUBSTITUTE(Table1[[#This Row],[Input]],Table1[[#This Row],[Direction]],""),VALUE(IF(LEN(_xlpm.steps)&gt;2,RIGHT(_xlpm.steps,2),_xlpm.steps)))</f>
        <v>78</v>
      </c>
      <c r="D3307">
        <f>_xlfn.LET(_xlpm.dir,Table1[[#This Row],[Direction]],
IF(_xlpm.dir="L",
    IF(F3306-Table1[[#This Row],[Steps]]&lt;0,100+(F3306-Table1[[#This Row],[Steps]]),F3306-Table1[[#This Row],[Steps]]),
))</f>
        <v>0</v>
      </c>
      <c r="E3307">
        <f>_xlfn.LET(_xlpm.dir,Table1[[#This Row],[Direction]],
IF(_xlpm.dir="R",
    IF(F3306+Table1[[#This Row],[Steps]]&gt;99,(F3306+Table1[[#This Row],[Steps]])-100,F3306+Table1[[#This Row],[Steps]]),
))</f>
        <v>0</v>
      </c>
      <c r="F3307">
        <f>IF(Table1[[#This Row],[New Pos L]]&lt;&gt;0,Table1[[#This Row],[New Pos L]],Table1[[#This Row],[New Pos R]])</f>
        <v>0</v>
      </c>
    </row>
    <row r="3308" spans="1:6" ht="16" x14ac:dyDescent="0.2">
      <c r="A3308" s="1" t="s">
        <v>276</v>
      </c>
      <c r="B3308" t="str">
        <f>LEFT(Table1[[#This Row],[Input]],1)</f>
        <v>L</v>
      </c>
      <c r="C3308">
        <f>_xlfn.LET(_xlpm.steps,SUBSTITUTE(Table1[[#This Row],[Input]],Table1[[#This Row],[Direction]],""),VALUE(IF(LEN(_xlpm.steps)&gt;2,RIGHT(_xlpm.steps,2),_xlpm.steps)))</f>
        <v>60</v>
      </c>
      <c r="D3308">
        <f>_xlfn.LET(_xlpm.dir,Table1[[#This Row],[Direction]],
IF(_xlpm.dir="L",
    IF(F3307-Table1[[#This Row],[Steps]]&lt;0,100+(F3307-Table1[[#This Row],[Steps]]),F3307-Table1[[#This Row],[Steps]]),
))</f>
        <v>40</v>
      </c>
      <c r="E3308">
        <f>_xlfn.LET(_xlpm.dir,Table1[[#This Row],[Direction]],
IF(_xlpm.dir="R",
    IF(F3307+Table1[[#This Row],[Steps]]&gt;99,(F3307+Table1[[#This Row],[Steps]])-100,F3307+Table1[[#This Row],[Steps]]),
))</f>
        <v>0</v>
      </c>
      <c r="F3308">
        <f>IF(Table1[[#This Row],[New Pos L]]&lt;&gt;0,Table1[[#This Row],[New Pos L]],Table1[[#This Row],[New Pos R]])</f>
        <v>40</v>
      </c>
    </row>
    <row r="3309" spans="1:6" ht="16" x14ac:dyDescent="0.2">
      <c r="A3309" s="1" t="s">
        <v>137</v>
      </c>
      <c r="B3309" t="str">
        <f>LEFT(Table1[[#This Row],[Input]],1)</f>
        <v>R</v>
      </c>
      <c r="C3309">
        <f>_xlfn.LET(_xlpm.steps,SUBSTITUTE(Table1[[#This Row],[Input]],Table1[[#This Row],[Direction]],""),VALUE(IF(LEN(_xlpm.steps)&gt;2,RIGHT(_xlpm.steps,2),_xlpm.steps)))</f>
        <v>28</v>
      </c>
      <c r="D3309">
        <f>_xlfn.LET(_xlpm.dir,Table1[[#This Row],[Direction]],
IF(_xlpm.dir="L",
    IF(F3308-Table1[[#This Row],[Steps]]&lt;0,100+(F3308-Table1[[#This Row],[Steps]]),F3308-Table1[[#This Row],[Steps]]),
))</f>
        <v>0</v>
      </c>
      <c r="E3309">
        <f>_xlfn.LET(_xlpm.dir,Table1[[#This Row],[Direction]],
IF(_xlpm.dir="R",
    IF(F3308+Table1[[#This Row],[Steps]]&gt;99,(F3308+Table1[[#This Row],[Steps]])-100,F3308+Table1[[#This Row],[Steps]]),
))</f>
        <v>68</v>
      </c>
      <c r="F3309">
        <f>IF(Table1[[#This Row],[New Pos L]]&lt;&gt;0,Table1[[#This Row],[New Pos L]],Table1[[#This Row],[New Pos R]])</f>
        <v>68</v>
      </c>
    </row>
    <row r="3310" spans="1:6" ht="16" x14ac:dyDescent="0.2">
      <c r="A3310" s="1" t="s">
        <v>272</v>
      </c>
      <c r="B3310" t="str">
        <f>LEFT(Table1[[#This Row],[Input]],1)</f>
        <v>R</v>
      </c>
      <c r="C3310">
        <f>_xlfn.LET(_xlpm.steps,SUBSTITUTE(Table1[[#This Row],[Input]],Table1[[#This Row],[Direction]],""),VALUE(IF(LEN(_xlpm.steps)&gt;2,RIGHT(_xlpm.steps,2),_xlpm.steps)))</f>
        <v>56</v>
      </c>
      <c r="D3310">
        <f>_xlfn.LET(_xlpm.dir,Table1[[#This Row],[Direction]],
IF(_xlpm.dir="L",
    IF(F3309-Table1[[#This Row],[Steps]]&lt;0,100+(F3309-Table1[[#This Row],[Steps]]),F3309-Table1[[#This Row],[Steps]]),
))</f>
        <v>0</v>
      </c>
      <c r="E3310">
        <f>_xlfn.LET(_xlpm.dir,Table1[[#This Row],[Direction]],
IF(_xlpm.dir="R",
    IF(F3309+Table1[[#This Row],[Steps]]&gt;99,(F3309+Table1[[#This Row],[Steps]])-100,F3309+Table1[[#This Row],[Steps]]),
))</f>
        <v>24</v>
      </c>
      <c r="F3310">
        <f>IF(Table1[[#This Row],[New Pos L]]&lt;&gt;0,Table1[[#This Row],[New Pos L]],Table1[[#This Row],[New Pos R]])</f>
        <v>24</v>
      </c>
    </row>
    <row r="3311" spans="1:6" ht="16" x14ac:dyDescent="0.2">
      <c r="A3311" s="1" t="s">
        <v>725</v>
      </c>
      <c r="B3311" t="str">
        <f>LEFT(Table1[[#This Row],[Input]],1)</f>
        <v>R</v>
      </c>
      <c r="C3311">
        <f>_xlfn.LET(_xlpm.steps,SUBSTITUTE(Table1[[#This Row],[Input]],Table1[[#This Row],[Direction]],""),VALUE(IF(LEN(_xlpm.steps)&gt;2,RIGHT(_xlpm.steps,2),_xlpm.steps)))</f>
        <v>76</v>
      </c>
      <c r="D3311">
        <f>_xlfn.LET(_xlpm.dir,Table1[[#This Row],[Direction]],
IF(_xlpm.dir="L",
    IF(F3310-Table1[[#This Row],[Steps]]&lt;0,100+(F3310-Table1[[#This Row],[Steps]]),F3310-Table1[[#This Row],[Steps]]),
))</f>
        <v>0</v>
      </c>
      <c r="E3311">
        <f>_xlfn.LET(_xlpm.dir,Table1[[#This Row],[Direction]],
IF(_xlpm.dir="R",
    IF(F3310+Table1[[#This Row],[Steps]]&gt;99,(F3310+Table1[[#This Row],[Steps]])-100,F3310+Table1[[#This Row],[Steps]]),
))</f>
        <v>0</v>
      </c>
      <c r="F3311">
        <f>IF(Table1[[#This Row],[New Pos L]]&lt;&gt;0,Table1[[#This Row],[New Pos L]],Table1[[#This Row],[New Pos R]])</f>
        <v>0</v>
      </c>
    </row>
    <row r="3312" spans="1:6" ht="16" x14ac:dyDescent="0.2">
      <c r="A3312" s="1" t="s">
        <v>6</v>
      </c>
      <c r="B3312" t="str">
        <f>LEFT(Table1[[#This Row],[Input]],1)</f>
        <v>R</v>
      </c>
      <c r="C3312">
        <f>_xlfn.LET(_xlpm.steps,SUBSTITUTE(Table1[[#This Row],[Input]],Table1[[#This Row],[Direction]],""),VALUE(IF(LEN(_xlpm.steps)&gt;2,RIGHT(_xlpm.steps,2),_xlpm.steps)))</f>
        <v>49</v>
      </c>
      <c r="D3312">
        <f>_xlfn.LET(_xlpm.dir,Table1[[#This Row],[Direction]],
IF(_xlpm.dir="L",
    IF(F3311-Table1[[#This Row],[Steps]]&lt;0,100+(F3311-Table1[[#This Row],[Steps]]),F3311-Table1[[#This Row],[Steps]]),
))</f>
        <v>0</v>
      </c>
      <c r="E3312">
        <f>_xlfn.LET(_xlpm.dir,Table1[[#This Row],[Direction]],
IF(_xlpm.dir="R",
    IF(F3311+Table1[[#This Row],[Steps]]&gt;99,(F3311+Table1[[#This Row],[Steps]])-100,F3311+Table1[[#This Row],[Steps]]),
))</f>
        <v>49</v>
      </c>
      <c r="F3312">
        <f>IF(Table1[[#This Row],[New Pos L]]&lt;&gt;0,Table1[[#This Row],[New Pos L]],Table1[[#This Row],[New Pos R]])</f>
        <v>49</v>
      </c>
    </row>
    <row r="3313" spans="1:6" ht="16" x14ac:dyDescent="0.2">
      <c r="A3313" s="1" t="s">
        <v>61</v>
      </c>
      <c r="B3313" t="str">
        <f>LEFT(Table1[[#This Row],[Input]],1)</f>
        <v>L</v>
      </c>
      <c r="C3313">
        <f>_xlfn.LET(_xlpm.steps,SUBSTITUTE(Table1[[#This Row],[Input]],Table1[[#This Row],[Direction]],""),VALUE(IF(LEN(_xlpm.steps)&gt;2,RIGHT(_xlpm.steps,2),_xlpm.steps)))</f>
        <v>16</v>
      </c>
      <c r="D3313">
        <f>_xlfn.LET(_xlpm.dir,Table1[[#This Row],[Direction]],
IF(_xlpm.dir="L",
    IF(F3312-Table1[[#This Row],[Steps]]&lt;0,100+(F3312-Table1[[#This Row],[Steps]]),F3312-Table1[[#This Row],[Steps]]),
))</f>
        <v>33</v>
      </c>
      <c r="E3313">
        <f>_xlfn.LET(_xlpm.dir,Table1[[#This Row],[Direction]],
IF(_xlpm.dir="R",
    IF(F3312+Table1[[#This Row],[Steps]]&gt;99,(F3312+Table1[[#This Row],[Steps]])-100,F3312+Table1[[#This Row],[Steps]]),
))</f>
        <v>0</v>
      </c>
      <c r="F3313">
        <f>IF(Table1[[#This Row],[New Pos L]]&lt;&gt;0,Table1[[#This Row],[New Pos L]],Table1[[#This Row],[New Pos R]])</f>
        <v>33</v>
      </c>
    </row>
    <row r="3314" spans="1:6" ht="16" x14ac:dyDescent="0.2">
      <c r="A3314" s="1" t="s">
        <v>293</v>
      </c>
      <c r="B3314" t="str">
        <f>LEFT(Table1[[#This Row],[Input]],1)</f>
        <v>R</v>
      </c>
      <c r="C3314">
        <f>_xlfn.LET(_xlpm.steps,SUBSTITUTE(Table1[[#This Row],[Input]],Table1[[#This Row],[Direction]],""),VALUE(IF(LEN(_xlpm.steps)&gt;2,RIGHT(_xlpm.steps,2),_xlpm.steps)))</f>
        <v>67</v>
      </c>
      <c r="D3314">
        <f>_xlfn.LET(_xlpm.dir,Table1[[#This Row],[Direction]],
IF(_xlpm.dir="L",
    IF(F3313-Table1[[#This Row],[Steps]]&lt;0,100+(F3313-Table1[[#This Row],[Steps]]),F3313-Table1[[#This Row],[Steps]]),
))</f>
        <v>0</v>
      </c>
      <c r="E3314">
        <f>_xlfn.LET(_xlpm.dir,Table1[[#This Row],[Direction]],
IF(_xlpm.dir="R",
    IF(F3313+Table1[[#This Row],[Steps]]&gt;99,(F3313+Table1[[#This Row],[Steps]])-100,F3313+Table1[[#This Row],[Steps]]),
))</f>
        <v>0</v>
      </c>
      <c r="F3314">
        <f>IF(Table1[[#This Row],[New Pos L]]&lt;&gt;0,Table1[[#This Row],[New Pos L]],Table1[[#This Row],[New Pos R]])</f>
        <v>0</v>
      </c>
    </row>
    <row r="3315" spans="1:6" ht="16" x14ac:dyDescent="0.2">
      <c r="A3315" s="1" t="s">
        <v>145</v>
      </c>
      <c r="B3315" t="str">
        <f>LEFT(Table1[[#This Row],[Input]],1)</f>
        <v>L</v>
      </c>
      <c r="C3315">
        <f>_xlfn.LET(_xlpm.steps,SUBSTITUTE(Table1[[#This Row],[Input]],Table1[[#This Row],[Direction]],""),VALUE(IF(LEN(_xlpm.steps)&gt;2,RIGHT(_xlpm.steps,2),_xlpm.steps)))</f>
        <v>83</v>
      </c>
      <c r="D3315">
        <f>_xlfn.LET(_xlpm.dir,Table1[[#This Row],[Direction]],
IF(_xlpm.dir="L",
    IF(F3314-Table1[[#This Row],[Steps]]&lt;0,100+(F3314-Table1[[#This Row],[Steps]]),F3314-Table1[[#This Row],[Steps]]),
))</f>
        <v>17</v>
      </c>
      <c r="E3315">
        <f>_xlfn.LET(_xlpm.dir,Table1[[#This Row],[Direction]],
IF(_xlpm.dir="R",
    IF(F3314+Table1[[#This Row],[Steps]]&gt;99,(F3314+Table1[[#This Row],[Steps]])-100,F3314+Table1[[#This Row],[Steps]]),
))</f>
        <v>0</v>
      </c>
      <c r="F3315">
        <f>IF(Table1[[#This Row],[New Pos L]]&lt;&gt;0,Table1[[#This Row],[New Pos L]],Table1[[#This Row],[New Pos R]])</f>
        <v>17</v>
      </c>
    </row>
    <row r="3316" spans="1:6" ht="16" x14ac:dyDescent="0.2">
      <c r="A3316" s="1" t="s">
        <v>462</v>
      </c>
      <c r="B3316" t="str">
        <f>LEFT(Table1[[#This Row],[Input]],1)</f>
        <v>L</v>
      </c>
      <c r="C3316">
        <f>_xlfn.LET(_xlpm.steps,SUBSTITUTE(Table1[[#This Row],[Input]],Table1[[#This Row],[Direction]],""),VALUE(IF(LEN(_xlpm.steps)&gt;2,RIGHT(_xlpm.steps,2),_xlpm.steps)))</f>
        <v>17</v>
      </c>
      <c r="D3316">
        <f>_xlfn.LET(_xlpm.dir,Table1[[#This Row],[Direction]],
IF(_xlpm.dir="L",
    IF(F3315-Table1[[#This Row],[Steps]]&lt;0,100+(F3315-Table1[[#This Row],[Steps]]),F3315-Table1[[#This Row],[Steps]]),
))</f>
        <v>0</v>
      </c>
      <c r="E3316">
        <f>_xlfn.LET(_xlpm.dir,Table1[[#This Row],[Direction]],
IF(_xlpm.dir="R",
    IF(F3315+Table1[[#This Row],[Steps]]&gt;99,(F3315+Table1[[#This Row],[Steps]])-100,F3315+Table1[[#This Row],[Steps]]),
))</f>
        <v>0</v>
      </c>
      <c r="F3316">
        <f>IF(Table1[[#This Row],[New Pos L]]&lt;&gt;0,Table1[[#This Row],[New Pos L]],Table1[[#This Row],[New Pos R]])</f>
        <v>0</v>
      </c>
    </row>
    <row r="3317" spans="1:6" ht="16" x14ac:dyDescent="0.2">
      <c r="A3317" s="1" t="s">
        <v>353</v>
      </c>
      <c r="B3317" t="str">
        <f>LEFT(Table1[[#This Row],[Input]],1)</f>
        <v>R</v>
      </c>
      <c r="C3317">
        <f>_xlfn.LET(_xlpm.steps,SUBSTITUTE(Table1[[#This Row],[Input]],Table1[[#This Row],[Direction]],""),VALUE(IF(LEN(_xlpm.steps)&gt;2,RIGHT(_xlpm.steps,2),_xlpm.steps)))</f>
        <v>7</v>
      </c>
      <c r="D3317">
        <f>_xlfn.LET(_xlpm.dir,Table1[[#This Row],[Direction]],
IF(_xlpm.dir="L",
    IF(F3316-Table1[[#This Row],[Steps]]&lt;0,100+(F3316-Table1[[#This Row],[Steps]]),F3316-Table1[[#This Row],[Steps]]),
))</f>
        <v>0</v>
      </c>
      <c r="E3317">
        <f>_xlfn.LET(_xlpm.dir,Table1[[#This Row],[Direction]],
IF(_xlpm.dir="R",
    IF(F3316+Table1[[#This Row],[Steps]]&gt;99,(F3316+Table1[[#This Row],[Steps]])-100,F3316+Table1[[#This Row],[Steps]]),
))</f>
        <v>7</v>
      </c>
      <c r="F3317">
        <f>IF(Table1[[#This Row],[New Pos L]]&lt;&gt;0,Table1[[#This Row],[New Pos L]],Table1[[#This Row],[New Pos R]])</f>
        <v>7</v>
      </c>
    </row>
    <row r="3318" spans="1:6" ht="16" x14ac:dyDescent="0.2">
      <c r="A3318" s="1" t="s">
        <v>232</v>
      </c>
      <c r="B3318" t="str">
        <f>LEFT(Table1[[#This Row],[Input]],1)</f>
        <v>R</v>
      </c>
      <c r="C3318">
        <f>_xlfn.LET(_xlpm.steps,SUBSTITUTE(Table1[[#This Row],[Input]],Table1[[#This Row],[Direction]],""),VALUE(IF(LEN(_xlpm.steps)&gt;2,RIGHT(_xlpm.steps,2),_xlpm.steps)))</f>
        <v>93</v>
      </c>
      <c r="D3318">
        <f>_xlfn.LET(_xlpm.dir,Table1[[#This Row],[Direction]],
IF(_xlpm.dir="L",
    IF(F3317-Table1[[#This Row],[Steps]]&lt;0,100+(F3317-Table1[[#This Row],[Steps]]),F3317-Table1[[#This Row],[Steps]]),
))</f>
        <v>0</v>
      </c>
      <c r="E3318">
        <f>_xlfn.LET(_xlpm.dir,Table1[[#This Row],[Direction]],
IF(_xlpm.dir="R",
    IF(F3317+Table1[[#This Row],[Steps]]&gt;99,(F3317+Table1[[#This Row],[Steps]])-100,F3317+Table1[[#This Row],[Steps]]),
))</f>
        <v>0</v>
      </c>
      <c r="F3318">
        <f>IF(Table1[[#This Row],[New Pos L]]&lt;&gt;0,Table1[[#This Row],[New Pos L]],Table1[[#This Row],[New Pos R]])</f>
        <v>0</v>
      </c>
    </row>
    <row r="3319" spans="1:6" ht="16" x14ac:dyDescent="0.2">
      <c r="A3319" s="1" t="s">
        <v>158</v>
      </c>
      <c r="B3319" t="str">
        <f>LEFT(Table1[[#This Row],[Input]],1)</f>
        <v>L</v>
      </c>
      <c r="C3319">
        <f>_xlfn.LET(_xlpm.steps,SUBSTITUTE(Table1[[#This Row],[Input]],Table1[[#This Row],[Direction]],""),VALUE(IF(LEN(_xlpm.steps)&gt;2,RIGHT(_xlpm.steps,2),_xlpm.steps)))</f>
        <v>24</v>
      </c>
      <c r="D3319">
        <f>_xlfn.LET(_xlpm.dir,Table1[[#This Row],[Direction]],
IF(_xlpm.dir="L",
    IF(F3318-Table1[[#This Row],[Steps]]&lt;0,100+(F3318-Table1[[#This Row],[Steps]]),F3318-Table1[[#This Row],[Steps]]),
))</f>
        <v>76</v>
      </c>
      <c r="E3319">
        <f>_xlfn.LET(_xlpm.dir,Table1[[#This Row],[Direction]],
IF(_xlpm.dir="R",
    IF(F3318+Table1[[#This Row],[Steps]]&gt;99,(F3318+Table1[[#This Row],[Steps]])-100,F3318+Table1[[#This Row],[Steps]]),
))</f>
        <v>0</v>
      </c>
      <c r="F3319">
        <f>IF(Table1[[#This Row],[New Pos L]]&lt;&gt;0,Table1[[#This Row],[New Pos L]],Table1[[#This Row],[New Pos R]])</f>
        <v>76</v>
      </c>
    </row>
    <row r="3320" spans="1:6" ht="16" x14ac:dyDescent="0.2">
      <c r="A3320" s="1" t="s">
        <v>159</v>
      </c>
      <c r="B3320" t="str">
        <f>LEFT(Table1[[#This Row],[Input]],1)</f>
        <v>R</v>
      </c>
      <c r="C3320">
        <f>_xlfn.LET(_xlpm.steps,SUBSTITUTE(Table1[[#This Row],[Input]],Table1[[#This Row],[Direction]],""),VALUE(IF(LEN(_xlpm.steps)&gt;2,RIGHT(_xlpm.steps,2),_xlpm.steps)))</f>
        <v>24</v>
      </c>
      <c r="D3320">
        <f>_xlfn.LET(_xlpm.dir,Table1[[#This Row],[Direction]],
IF(_xlpm.dir="L",
    IF(F3319-Table1[[#This Row],[Steps]]&lt;0,100+(F3319-Table1[[#This Row],[Steps]]),F3319-Table1[[#This Row],[Steps]]),
))</f>
        <v>0</v>
      </c>
      <c r="E3320">
        <f>_xlfn.LET(_xlpm.dir,Table1[[#This Row],[Direction]],
IF(_xlpm.dir="R",
    IF(F3319+Table1[[#This Row],[Steps]]&gt;99,(F3319+Table1[[#This Row],[Steps]])-100,F3319+Table1[[#This Row],[Steps]]),
))</f>
        <v>0</v>
      </c>
      <c r="F3320">
        <f>IF(Table1[[#This Row],[New Pos L]]&lt;&gt;0,Table1[[#This Row],[New Pos L]],Table1[[#This Row],[New Pos R]])</f>
        <v>0</v>
      </c>
    </row>
    <row r="3321" spans="1:6" ht="16" x14ac:dyDescent="0.2">
      <c r="A3321" s="1" t="s">
        <v>681</v>
      </c>
      <c r="B3321" t="str">
        <f>LEFT(Table1[[#This Row],[Input]],1)</f>
        <v>R</v>
      </c>
      <c r="C3321">
        <f>_xlfn.LET(_xlpm.steps,SUBSTITUTE(Table1[[#This Row],[Input]],Table1[[#This Row],[Direction]],""),VALUE(IF(LEN(_xlpm.steps)&gt;2,RIGHT(_xlpm.steps,2),_xlpm.steps)))</f>
        <v>38</v>
      </c>
      <c r="D3321">
        <f>_xlfn.LET(_xlpm.dir,Table1[[#This Row],[Direction]],
IF(_xlpm.dir="L",
    IF(F3320-Table1[[#This Row],[Steps]]&lt;0,100+(F3320-Table1[[#This Row],[Steps]]),F3320-Table1[[#This Row],[Steps]]),
))</f>
        <v>0</v>
      </c>
      <c r="E3321">
        <f>_xlfn.LET(_xlpm.dir,Table1[[#This Row],[Direction]],
IF(_xlpm.dir="R",
    IF(F3320+Table1[[#This Row],[Steps]]&gt;99,(F3320+Table1[[#This Row],[Steps]])-100,F3320+Table1[[#This Row],[Steps]]),
))</f>
        <v>38</v>
      </c>
      <c r="F3321">
        <f>IF(Table1[[#This Row],[New Pos L]]&lt;&gt;0,Table1[[#This Row],[New Pos L]],Table1[[#This Row],[New Pos R]])</f>
        <v>38</v>
      </c>
    </row>
    <row r="3322" spans="1:6" ht="16" x14ac:dyDescent="0.2">
      <c r="A3322" s="1" t="s">
        <v>330</v>
      </c>
      <c r="B3322" t="str">
        <f>LEFT(Table1[[#This Row],[Input]],1)</f>
        <v>L</v>
      </c>
      <c r="C3322">
        <f>_xlfn.LET(_xlpm.steps,SUBSTITUTE(Table1[[#This Row],[Input]],Table1[[#This Row],[Direction]],""),VALUE(IF(LEN(_xlpm.steps)&gt;2,RIGHT(_xlpm.steps,2),_xlpm.steps)))</f>
        <v>47</v>
      </c>
      <c r="D3322">
        <f>_xlfn.LET(_xlpm.dir,Table1[[#This Row],[Direction]],
IF(_xlpm.dir="L",
    IF(F3321-Table1[[#This Row],[Steps]]&lt;0,100+(F3321-Table1[[#This Row],[Steps]]),F3321-Table1[[#This Row],[Steps]]),
))</f>
        <v>91</v>
      </c>
      <c r="E3322">
        <f>_xlfn.LET(_xlpm.dir,Table1[[#This Row],[Direction]],
IF(_xlpm.dir="R",
    IF(F3321+Table1[[#This Row],[Steps]]&gt;99,(F3321+Table1[[#This Row],[Steps]])-100,F3321+Table1[[#This Row],[Steps]]),
))</f>
        <v>0</v>
      </c>
      <c r="F3322">
        <f>IF(Table1[[#This Row],[New Pos L]]&lt;&gt;0,Table1[[#This Row],[New Pos L]],Table1[[#This Row],[New Pos R]])</f>
        <v>91</v>
      </c>
    </row>
    <row r="3323" spans="1:6" ht="16" x14ac:dyDescent="0.2">
      <c r="A3323" s="1" t="s">
        <v>726</v>
      </c>
      <c r="B3323" t="str">
        <f>LEFT(Table1[[#This Row],[Input]],1)</f>
        <v>L</v>
      </c>
      <c r="C3323">
        <f>_xlfn.LET(_xlpm.steps,SUBSTITUTE(Table1[[#This Row],[Input]],Table1[[#This Row],[Direction]],""),VALUE(IF(LEN(_xlpm.steps)&gt;2,RIGHT(_xlpm.steps,2),_xlpm.steps)))</f>
        <v>39</v>
      </c>
      <c r="D3323">
        <f>_xlfn.LET(_xlpm.dir,Table1[[#This Row],[Direction]],
IF(_xlpm.dir="L",
    IF(F3322-Table1[[#This Row],[Steps]]&lt;0,100+(F3322-Table1[[#This Row],[Steps]]),F3322-Table1[[#This Row],[Steps]]),
))</f>
        <v>52</v>
      </c>
      <c r="E3323">
        <f>_xlfn.LET(_xlpm.dir,Table1[[#This Row],[Direction]],
IF(_xlpm.dir="R",
    IF(F3322+Table1[[#This Row],[Steps]]&gt;99,(F3322+Table1[[#This Row],[Steps]])-100,F3322+Table1[[#This Row],[Steps]]),
))</f>
        <v>0</v>
      </c>
      <c r="F3323">
        <f>IF(Table1[[#This Row],[New Pos L]]&lt;&gt;0,Table1[[#This Row],[New Pos L]],Table1[[#This Row],[New Pos R]])</f>
        <v>52</v>
      </c>
    </row>
    <row r="3324" spans="1:6" ht="16" x14ac:dyDescent="0.2">
      <c r="A3324" s="1" t="s">
        <v>727</v>
      </c>
      <c r="B3324" t="str">
        <f>LEFT(Table1[[#This Row],[Input]],1)</f>
        <v>R</v>
      </c>
      <c r="C3324">
        <f>_xlfn.LET(_xlpm.steps,SUBSTITUTE(Table1[[#This Row],[Input]],Table1[[#This Row],[Direction]],""),VALUE(IF(LEN(_xlpm.steps)&gt;2,RIGHT(_xlpm.steps,2),_xlpm.steps)))</f>
        <v>47</v>
      </c>
      <c r="D3324">
        <f>_xlfn.LET(_xlpm.dir,Table1[[#This Row],[Direction]],
IF(_xlpm.dir="L",
    IF(F3323-Table1[[#This Row],[Steps]]&lt;0,100+(F3323-Table1[[#This Row],[Steps]]),F3323-Table1[[#This Row],[Steps]]),
))</f>
        <v>0</v>
      </c>
      <c r="E3324">
        <f>_xlfn.LET(_xlpm.dir,Table1[[#This Row],[Direction]],
IF(_xlpm.dir="R",
    IF(F3323+Table1[[#This Row],[Steps]]&gt;99,(F3323+Table1[[#This Row],[Steps]])-100,F3323+Table1[[#This Row],[Steps]]),
))</f>
        <v>99</v>
      </c>
      <c r="F3324">
        <f>IF(Table1[[#This Row],[New Pos L]]&lt;&gt;0,Table1[[#This Row],[New Pos L]],Table1[[#This Row],[New Pos R]])</f>
        <v>99</v>
      </c>
    </row>
    <row r="3325" spans="1:6" ht="16" x14ac:dyDescent="0.2">
      <c r="A3325" s="1" t="s">
        <v>252</v>
      </c>
      <c r="B3325" t="str">
        <f>LEFT(Table1[[#This Row],[Input]],1)</f>
        <v>L</v>
      </c>
      <c r="C3325">
        <f>_xlfn.LET(_xlpm.steps,SUBSTITUTE(Table1[[#This Row],[Input]],Table1[[#This Row],[Direction]],""),VALUE(IF(LEN(_xlpm.steps)&gt;2,RIGHT(_xlpm.steps,2),_xlpm.steps)))</f>
        <v>99</v>
      </c>
      <c r="D3325">
        <f>_xlfn.LET(_xlpm.dir,Table1[[#This Row],[Direction]],
IF(_xlpm.dir="L",
    IF(F3324-Table1[[#This Row],[Steps]]&lt;0,100+(F3324-Table1[[#This Row],[Steps]]),F3324-Table1[[#This Row],[Steps]]),
))</f>
        <v>0</v>
      </c>
      <c r="E3325">
        <f>_xlfn.LET(_xlpm.dir,Table1[[#This Row],[Direction]],
IF(_xlpm.dir="R",
    IF(F3324+Table1[[#This Row],[Steps]]&gt;99,(F3324+Table1[[#This Row],[Steps]])-100,F3324+Table1[[#This Row],[Steps]]),
))</f>
        <v>0</v>
      </c>
      <c r="F3325">
        <f>IF(Table1[[#This Row],[New Pos L]]&lt;&gt;0,Table1[[#This Row],[New Pos L]],Table1[[#This Row],[New Pos R]])</f>
        <v>0</v>
      </c>
    </row>
    <row r="3326" spans="1:6" ht="16" x14ac:dyDescent="0.2">
      <c r="A3326" s="1" t="s">
        <v>194</v>
      </c>
      <c r="B3326" t="str">
        <f>LEFT(Table1[[#This Row],[Input]],1)</f>
        <v>R</v>
      </c>
      <c r="C3326">
        <f>_xlfn.LET(_xlpm.steps,SUBSTITUTE(Table1[[#This Row],[Input]],Table1[[#This Row],[Direction]],""),VALUE(IF(LEN(_xlpm.steps)&gt;2,RIGHT(_xlpm.steps,2),_xlpm.steps)))</f>
        <v>51</v>
      </c>
      <c r="D3326">
        <f>_xlfn.LET(_xlpm.dir,Table1[[#This Row],[Direction]],
IF(_xlpm.dir="L",
    IF(F3325-Table1[[#This Row],[Steps]]&lt;0,100+(F3325-Table1[[#This Row],[Steps]]),F3325-Table1[[#This Row],[Steps]]),
))</f>
        <v>0</v>
      </c>
      <c r="E3326">
        <f>_xlfn.LET(_xlpm.dir,Table1[[#This Row],[Direction]],
IF(_xlpm.dir="R",
    IF(F3325+Table1[[#This Row],[Steps]]&gt;99,(F3325+Table1[[#This Row],[Steps]])-100,F3325+Table1[[#This Row],[Steps]]),
))</f>
        <v>51</v>
      </c>
      <c r="F3326">
        <f>IF(Table1[[#This Row],[New Pos L]]&lt;&gt;0,Table1[[#This Row],[New Pos L]],Table1[[#This Row],[New Pos R]])</f>
        <v>51</v>
      </c>
    </row>
    <row r="3327" spans="1:6" ht="16" x14ac:dyDescent="0.2">
      <c r="A3327" s="1" t="s">
        <v>132</v>
      </c>
      <c r="B3327" t="str">
        <f>LEFT(Table1[[#This Row],[Input]],1)</f>
        <v>L</v>
      </c>
      <c r="C3327">
        <f>_xlfn.LET(_xlpm.steps,SUBSTITUTE(Table1[[#This Row],[Input]],Table1[[#This Row],[Direction]],""),VALUE(IF(LEN(_xlpm.steps)&gt;2,RIGHT(_xlpm.steps,2),_xlpm.steps)))</f>
        <v>51</v>
      </c>
      <c r="D3327">
        <f>_xlfn.LET(_xlpm.dir,Table1[[#This Row],[Direction]],
IF(_xlpm.dir="L",
    IF(F3326-Table1[[#This Row],[Steps]]&lt;0,100+(F3326-Table1[[#This Row],[Steps]]),F3326-Table1[[#This Row],[Steps]]),
))</f>
        <v>0</v>
      </c>
      <c r="E3327">
        <f>_xlfn.LET(_xlpm.dir,Table1[[#This Row],[Direction]],
IF(_xlpm.dir="R",
    IF(F3326+Table1[[#This Row],[Steps]]&gt;99,(F3326+Table1[[#This Row],[Steps]])-100,F3326+Table1[[#This Row],[Steps]]),
))</f>
        <v>0</v>
      </c>
      <c r="F3327">
        <f>IF(Table1[[#This Row],[New Pos L]]&lt;&gt;0,Table1[[#This Row],[New Pos L]],Table1[[#This Row],[New Pos R]])</f>
        <v>0</v>
      </c>
    </row>
    <row r="3328" spans="1:6" ht="16" x14ac:dyDescent="0.2">
      <c r="A3328" s="1" t="s">
        <v>728</v>
      </c>
      <c r="B3328" t="str">
        <f>LEFT(Table1[[#This Row],[Input]],1)</f>
        <v>L</v>
      </c>
      <c r="C3328">
        <f>_xlfn.LET(_xlpm.steps,SUBSTITUTE(Table1[[#This Row],[Input]],Table1[[#This Row],[Direction]],""),VALUE(IF(LEN(_xlpm.steps)&gt;2,RIGHT(_xlpm.steps,2),_xlpm.steps)))</f>
        <v>25</v>
      </c>
      <c r="D3328">
        <f>_xlfn.LET(_xlpm.dir,Table1[[#This Row],[Direction]],
IF(_xlpm.dir="L",
    IF(F3327-Table1[[#This Row],[Steps]]&lt;0,100+(F3327-Table1[[#This Row],[Steps]]),F3327-Table1[[#This Row],[Steps]]),
))</f>
        <v>75</v>
      </c>
      <c r="E3328">
        <f>_xlfn.LET(_xlpm.dir,Table1[[#This Row],[Direction]],
IF(_xlpm.dir="R",
    IF(F3327+Table1[[#This Row],[Steps]]&gt;99,(F3327+Table1[[#This Row],[Steps]])-100,F3327+Table1[[#This Row],[Steps]]),
))</f>
        <v>0</v>
      </c>
      <c r="F3328">
        <f>IF(Table1[[#This Row],[New Pos L]]&lt;&gt;0,Table1[[#This Row],[New Pos L]],Table1[[#This Row],[New Pos R]])</f>
        <v>75</v>
      </c>
    </row>
    <row r="3329" spans="1:6" ht="16" x14ac:dyDescent="0.2">
      <c r="A3329" s="1" t="s">
        <v>68</v>
      </c>
      <c r="B3329" t="str">
        <f>LEFT(Table1[[#This Row],[Input]],1)</f>
        <v>L</v>
      </c>
      <c r="C3329">
        <f>_xlfn.LET(_xlpm.steps,SUBSTITUTE(Table1[[#This Row],[Input]],Table1[[#This Row],[Direction]],""),VALUE(IF(LEN(_xlpm.steps)&gt;2,RIGHT(_xlpm.steps,2),_xlpm.steps)))</f>
        <v>80</v>
      </c>
      <c r="D3329">
        <f>_xlfn.LET(_xlpm.dir,Table1[[#This Row],[Direction]],
IF(_xlpm.dir="L",
    IF(F3328-Table1[[#This Row],[Steps]]&lt;0,100+(F3328-Table1[[#This Row],[Steps]]),F3328-Table1[[#This Row],[Steps]]),
))</f>
        <v>95</v>
      </c>
      <c r="E3329">
        <f>_xlfn.LET(_xlpm.dir,Table1[[#This Row],[Direction]],
IF(_xlpm.dir="R",
    IF(F3328+Table1[[#This Row],[Steps]]&gt;99,(F3328+Table1[[#This Row],[Steps]])-100,F3328+Table1[[#This Row],[Steps]]),
))</f>
        <v>0</v>
      </c>
      <c r="F3329">
        <f>IF(Table1[[#This Row],[New Pos L]]&lt;&gt;0,Table1[[#This Row],[New Pos L]],Table1[[#This Row],[New Pos R]])</f>
        <v>95</v>
      </c>
    </row>
    <row r="3330" spans="1:6" ht="16" x14ac:dyDescent="0.2">
      <c r="A3330" s="1" t="s">
        <v>134</v>
      </c>
      <c r="B3330" t="str">
        <f>LEFT(Table1[[#This Row],[Input]],1)</f>
        <v>L</v>
      </c>
      <c r="C3330">
        <f>_xlfn.LET(_xlpm.steps,SUBSTITUTE(Table1[[#This Row],[Input]],Table1[[#This Row],[Direction]],""),VALUE(IF(LEN(_xlpm.steps)&gt;2,RIGHT(_xlpm.steps,2),_xlpm.steps)))</f>
        <v>95</v>
      </c>
      <c r="D3330">
        <f>_xlfn.LET(_xlpm.dir,Table1[[#This Row],[Direction]],
IF(_xlpm.dir="L",
    IF(F3329-Table1[[#This Row],[Steps]]&lt;0,100+(F3329-Table1[[#This Row],[Steps]]),F3329-Table1[[#This Row],[Steps]]),
))</f>
        <v>0</v>
      </c>
      <c r="E3330">
        <f>_xlfn.LET(_xlpm.dir,Table1[[#This Row],[Direction]],
IF(_xlpm.dir="R",
    IF(F3329+Table1[[#This Row],[Steps]]&gt;99,(F3329+Table1[[#This Row],[Steps]])-100,F3329+Table1[[#This Row],[Steps]]),
))</f>
        <v>0</v>
      </c>
      <c r="F3330">
        <f>IF(Table1[[#This Row],[New Pos L]]&lt;&gt;0,Table1[[#This Row],[New Pos L]],Table1[[#This Row],[New Pos R]])</f>
        <v>0</v>
      </c>
    </row>
    <row r="3331" spans="1:6" ht="16" x14ac:dyDescent="0.2">
      <c r="A3331" s="1" t="s">
        <v>276</v>
      </c>
      <c r="B3331" t="str">
        <f>LEFT(Table1[[#This Row],[Input]],1)</f>
        <v>L</v>
      </c>
      <c r="C3331">
        <f>_xlfn.LET(_xlpm.steps,SUBSTITUTE(Table1[[#This Row],[Input]],Table1[[#This Row],[Direction]],""),VALUE(IF(LEN(_xlpm.steps)&gt;2,RIGHT(_xlpm.steps,2),_xlpm.steps)))</f>
        <v>60</v>
      </c>
      <c r="D3331">
        <f>_xlfn.LET(_xlpm.dir,Table1[[#This Row],[Direction]],
IF(_xlpm.dir="L",
    IF(F3330-Table1[[#This Row],[Steps]]&lt;0,100+(F3330-Table1[[#This Row],[Steps]]),F3330-Table1[[#This Row],[Steps]]),
))</f>
        <v>40</v>
      </c>
      <c r="E3331">
        <f>_xlfn.LET(_xlpm.dir,Table1[[#This Row],[Direction]],
IF(_xlpm.dir="R",
    IF(F3330+Table1[[#This Row],[Steps]]&gt;99,(F3330+Table1[[#This Row],[Steps]])-100,F3330+Table1[[#This Row],[Steps]]),
))</f>
        <v>0</v>
      </c>
      <c r="F3331">
        <f>IF(Table1[[#This Row],[New Pos L]]&lt;&gt;0,Table1[[#This Row],[New Pos L]],Table1[[#This Row],[New Pos R]])</f>
        <v>40</v>
      </c>
    </row>
    <row r="3332" spans="1:6" ht="16" x14ac:dyDescent="0.2">
      <c r="A3332" s="1" t="s">
        <v>241</v>
      </c>
      <c r="B3332" t="str">
        <f>LEFT(Table1[[#This Row],[Input]],1)</f>
        <v>R</v>
      </c>
      <c r="C3332">
        <f>_xlfn.LET(_xlpm.steps,SUBSTITUTE(Table1[[#This Row],[Input]],Table1[[#This Row],[Direction]],""),VALUE(IF(LEN(_xlpm.steps)&gt;2,RIGHT(_xlpm.steps,2),_xlpm.steps)))</f>
        <v>60</v>
      </c>
      <c r="D3332">
        <f>_xlfn.LET(_xlpm.dir,Table1[[#This Row],[Direction]],
IF(_xlpm.dir="L",
    IF(F3331-Table1[[#This Row],[Steps]]&lt;0,100+(F3331-Table1[[#This Row],[Steps]]),F3331-Table1[[#This Row],[Steps]]),
))</f>
        <v>0</v>
      </c>
      <c r="E3332">
        <f>_xlfn.LET(_xlpm.dir,Table1[[#This Row],[Direction]],
IF(_xlpm.dir="R",
    IF(F3331+Table1[[#This Row],[Steps]]&gt;99,(F3331+Table1[[#This Row],[Steps]])-100,F3331+Table1[[#This Row],[Steps]]),
))</f>
        <v>0</v>
      </c>
      <c r="F3332">
        <f>IF(Table1[[#This Row],[New Pos L]]&lt;&gt;0,Table1[[#This Row],[New Pos L]],Table1[[#This Row],[New Pos R]])</f>
        <v>0</v>
      </c>
    </row>
    <row r="3333" spans="1:6" ht="16" x14ac:dyDescent="0.2">
      <c r="A3333" s="1" t="s">
        <v>98</v>
      </c>
      <c r="B3333" t="str">
        <f>LEFT(Table1[[#This Row],[Input]],1)</f>
        <v>L</v>
      </c>
      <c r="C3333">
        <f>_xlfn.LET(_xlpm.steps,SUBSTITUTE(Table1[[#This Row],[Input]],Table1[[#This Row],[Direction]],""),VALUE(IF(LEN(_xlpm.steps)&gt;2,RIGHT(_xlpm.steps,2),_xlpm.steps)))</f>
        <v>65</v>
      </c>
      <c r="D3333">
        <f>_xlfn.LET(_xlpm.dir,Table1[[#This Row],[Direction]],
IF(_xlpm.dir="L",
    IF(F3332-Table1[[#This Row],[Steps]]&lt;0,100+(F3332-Table1[[#This Row],[Steps]]),F3332-Table1[[#This Row],[Steps]]),
))</f>
        <v>35</v>
      </c>
      <c r="E3333">
        <f>_xlfn.LET(_xlpm.dir,Table1[[#This Row],[Direction]],
IF(_xlpm.dir="R",
    IF(F3332+Table1[[#This Row],[Steps]]&gt;99,(F3332+Table1[[#This Row],[Steps]])-100,F3332+Table1[[#This Row],[Steps]]),
))</f>
        <v>0</v>
      </c>
      <c r="F3333">
        <f>IF(Table1[[#This Row],[New Pos L]]&lt;&gt;0,Table1[[#This Row],[New Pos L]],Table1[[#This Row],[New Pos R]])</f>
        <v>35</v>
      </c>
    </row>
    <row r="3334" spans="1:6" ht="16" x14ac:dyDescent="0.2">
      <c r="A3334" s="1" t="s">
        <v>357</v>
      </c>
      <c r="B3334" t="str">
        <f>LEFT(Table1[[#This Row],[Input]],1)</f>
        <v>R</v>
      </c>
      <c r="C3334">
        <f>_xlfn.LET(_xlpm.steps,SUBSTITUTE(Table1[[#This Row],[Input]],Table1[[#This Row],[Direction]],""),VALUE(IF(LEN(_xlpm.steps)&gt;2,RIGHT(_xlpm.steps,2),_xlpm.steps)))</f>
        <v>72</v>
      </c>
      <c r="D3334">
        <f>_xlfn.LET(_xlpm.dir,Table1[[#This Row],[Direction]],
IF(_xlpm.dir="L",
    IF(F3333-Table1[[#This Row],[Steps]]&lt;0,100+(F3333-Table1[[#This Row],[Steps]]),F3333-Table1[[#This Row],[Steps]]),
))</f>
        <v>0</v>
      </c>
      <c r="E3334">
        <f>_xlfn.LET(_xlpm.dir,Table1[[#This Row],[Direction]],
IF(_xlpm.dir="R",
    IF(F3333+Table1[[#This Row],[Steps]]&gt;99,(F3333+Table1[[#This Row],[Steps]])-100,F3333+Table1[[#This Row],[Steps]]),
))</f>
        <v>7</v>
      </c>
      <c r="F3334">
        <f>IF(Table1[[#This Row],[New Pos L]]&lt;&gt;0,Table1[[#This Row],[New Pos L]],Table1[[#This Row],[New Pos R]])</f>
        <v>7</v>
      </c>
    </row>
    <row r="3335" spans="1:6" ht="16" x14ac:dyDescent="0.2">
      <c r="A3335" s="1" t="s">
        <v>7</v>
      </c>
      <c r="B3335" t="str">
        <f>LEFT(Table1[[#This Row],[Input]],1)</f>
        <v>R</v>
      </c>
      <c r="C3335">
        <f>_xlfn.LET(_xlpm.steps,SUBSTITUTE(Table1[[#This Row],[Input]],Table1[[#This Row],[Direction]],""),VALUE(IF(LEN(_xlpm.steps)&gt;2,RIGHT(_xlpm.steps,2),_xlpm.steps)))</f>
        <v>14</v>
      </c>
      <c r="D3335">
        <f>_xlfn.LET(_xlpm.dir,Table1[[#This Row],[Direction]],
IF(_xlpm.dir="L",
    IF(F3334-Table1[[#This Row],[Steps]]&lt;0,100+(F3334-Table1[[#This Row],[Steps]]),F3334-Table1[[#This Row],[Steps]]),
))</f>
        <v>0</v>
      </c>
      <c r="E3335">
        <f>_xlfn.LET(_xlpm.dir,Table1[[#This Row],[Direction]],
IF(_xlpm.dir="R",
    IF(F3334+Table1[[#This Row],[Steps]]&gt;99,(F3334+Table1[[#This Row],[Steps]])-100,F3334+Table1[[#This Row],[Steps]]),
))</f>
        <v>21</v>
      </c>
      <c r="F3335">
        <f>IF(Table1[[#This Row],[New Pos L]]&lt;&gt;0,Table1[[#This Row],[New Pos L]],Table1[[#This Row],[New Pos R]])</f>
        <v>21</v>
      </c>
    </row>
    <row r="3336" spans="1:6" ht="16" x14ac:dyDescent="0.2">
      <c r="A3336" s="1" t="s">
        <v>123</v>
      </c>
      <c r="B3336" t="str">
        <f>LEFT(Table1[[#This Row],[Input]],1)</f>
        <v>L</v>
      </c>
      <c r="C3336">
        <f>_xlfn.LET(_xlpm.steps,SUBSTITUTE(Table1[[#This Row],[Input]],Table1[[#This Row],[Direction]],""),VALUE(IF(LEN(_xlpm.steps)&gt;2,RIGHT(_xlpm.steps,2),_xlpm.steps)))</f>
        <v>63</v>
      </c>
      <c r="D3336">
        <f>_xlfn.LET(_xlpm.dir,Table1[[#This Row],[Direction]],
IF(_xlpm.dir="L",
    IF(F3335-Table1[[#This Row],[Steps]]&lt;0,100+(F3335-Table1[[#This Row],[Steps]]),F3335-Table1[[#This Row],[Steps]]),
))</f>
        <v>58</v>
      </c>
      <c r="E3336">
        <f>_xlfn.LET(_xlpm.dir,Table1[[#This Row],[Direction]],
IF(_xlpm.dir="R",
    IF(F3335+Table1[[#This Row],[Steps]]&gt;99,(F3335+Table1[[#This Row],[Steps]])-100,F3335+Table1[[#This Row],[Steps]]),
))</f>
        <v>0</v>
      </c>
      <c r="F3336">
        <f>IF(Table1[[#This Row],[New Pos L]]&lt;&gt;0,Table1[[#This Row],[New Pos L]],Table1[[#This Row],[New Pos R]])</f>
        <v>58</v>
      </c>
    </row>
    <row r="3337" spans="1:6" ht="16" x14ac:dyDescent="0.2">
      <c r="A3337" s="1" t="s">
        <v>83</v>
      </c>
      <c r="B3337" t="str">
        <f>LEFT(Table1[[#This Row],[Input]],1)</f>
        <v>R</v>
      </c>
      <c r="C3337">
        <f>_xlfn.LET(_xlpm.steps,SUBSTITUTE(Table1[[#This Row],[Input]],Table1[[#This Row],[Direction]],""),VALUE(IF(LEN(_xlpm.steps)&gt;2,RIGHT(_xlpm.steps,2),_xlpm.steps)))</f>
        <v>79</v>
      </c>
      <c r="D3337">
        <f>_xlfn.LET(_xlpm.dir,Table1[[#This Row],[Direction]],
IF(_xlpm.dir="L",
    IF(F3336-Table1[[#This Row],[Steps]]&lt;0,100+(F3336-Table1[[#This Row],[Steps]]),F3336-Table1[[#This Row],[Steps]]),
))</f>
        <v>0</v>
      </c>
      <c r="E3337">
        <f>_xlfn.LET(_xlpm.dir,Table1[[#This Row],[Direction]],
IF(_xlpm.dir="R",
    IF(F3336+Table1[[#This Row],[Steps]]&gt;99,(F3336+Table1[[#This Row],[Steps]])-100,F3336+Table1[[#This Row],[Steps]]),
))</f>
        <v>37</v>
      </c>
      <c r="F3337">
        <f>IF(Table1[[#This Row],[New Pos L]]&lt;&gt;0,Table1[[#This Row],[New Pos L]],Table1[[#This Row],[New Pos R]])</f>
        <v>37</v>
      </c>
    </row>
    <row r="3338" spans="1:6" ht="16" x14ac:dyDescent="0.2">
      <c r="A3338" s="1" t="s">
        <v>363</v>
      </c>
      <c r="B3338" t="str">
        <f>LEFT(Table1[[#This Row],[Input]],1)</f>
        <v>R</v>
      </c>
      <c r="C3338">
        <f>_xlfn.LET(_xlpm.steps,SUBSTITUTE(Table1[[#This Row],[Input]],Table1[[#This Row],[Direction]],""),VALUE(IF(LEN(_xlpm.steps)&gt;2,RIGHT(_xlpm.steps,2),_xlpm.steps)))</f>
        <v>63</v>
      </c>
      <c r="D3338">
        <f>_xlfn.LET(_xlpm.dir,Table1[[#This Row],[Direction]],
IF(_xlpm.dir="L",
    IF(F3337-Table1[[#This Row],[Steps]]&lt;0,100+(F3337-Table1[[#This Row],[Steps]]),F3337-Table1[[#This Row],[Steps]]),
))</f>
        <v>0</v>
      </c>
      <c r="E3338">
        <f>_xlfn.LET(_xlpm.dir,Table1[[#This Row],[Direction]],
IF(_xlpm.dir="R",
    IF(F3337+Table1[[#This Row],[Steps]]&gt;99,(F3337+Table1[[#This Row],[Steps]])-100,F3337+Table1[[#This Row],[Steps]]),
))</f>
        <v>0</v>
      </c>
      <c r="F3338">
        <f>IF(Table1[[#This Row],[New Pos L]]&lt;&gt;0,Table1[[#This Row],[New Pos L]],Table1[[#This Row],[New Pos R]])</f>
        <v>0</v>
      </c>
    </row>
    <row r="3339" spans="1:6" ht="16" x14ac:dyDescent="0.2">
      <c r="A3339" s="1" t="s">
        <v>40</v>
      </c>
      <c r="B3339" t="str">
        <f>LEFT(Table1[[#This Row],[Input]],1)</f>
        <v>R</v>
      </c>
      <c r="C3339">
        <f>_xlfn.LET(_xlpm.steps,SUBSTITUTE(Table1[[#This Row],[Input]],Table1[[#This Row],[Direction]],""),VALUE(IF(LEN(_xlpm.steps)&gt;2,RIGHT(_xlpm.steps,2),_xlpm.steps)))</f>
        <v>52</v>
      </c>
      <c r="D3339">
        <f>_xlfn.LET(_xlpm.dir,Table1[[#This Row],[Direction]],
IF(_xlpm.dir="L",
    IF(F3338-Table1[[#This Row],[Steps]]&lt;0,100+(F3338-Table1[[#This Row],[Steps]]),F3338-Table1[[#This Row],[Steps]]),
))</f>
        <v>0</v>
      </c>
      <c r="E3339">
        <f>_xlfn.LET(_xlpm.dir,Table1[[#This Row],[Direction]],
IF(_xlpm.dir="R",
    IF(F3338+Table1[[#This Row],[Steps]]&gt;99,(F3338+Table1[[#This Row],[Steps]])-100,F3338+Table1[[#This Row],[Steps]]),
))</f>
        <v>52</v>
      </c>
      <c r="F3339">
        <f>IF(Table1[[#This Row],[New Pos L]]&lt;&gt;0,Table1[[#This Row],[New Pos L]],Table1[[#This Row],[New Pos R]])</f>
        <v>52</v>
      </c>
    </row>
    <row r="3340" spans="1:6" ht="16" x14ac:dyDescent="0.2">
      <c r="A3340" s="1" t="s">
        <v>30</v>
      </c>
      <c r="B3340" t="str">
        <f>LEFT(Table1[[#This Row],[Input]],1)</f>
        <v>R</v>
      </c>
      <c r="C3340">
        <f>_xlfn.LET(_xlpm.steps,SUBSTITUTE(Table1[[#This Row],[Input]],Table1[[#This Row],[Direction]],""),VALUE(IF(LEN(_xlpm.steps)&gt;2,RIGHT(_xlpm.steps,2),_xlpm.steps)))</f>
        <v>48</v>
      </c>
      <c r="D3340">
        <f>_xlfn.LET(_xlpm.dir,Table1[[#This Row],[Direction]],
IF(_xlpm.dir="L",
    IF(F3339-Table1[[#This Row],[Steps]]&lt;0,100+(F3339-Table1[[#This Row],[Steps]]),F3339-Table1[[#This Row],[Steps]]),
))</f>
        <v>0</v>
      </c>
      <c r="E3340">
        <f>_xlfn.LET(_xlpm.dir,Table1[[#This Row],[Direction]],
IF(_xlpm.dir="R",
    IF(F3339+Table1[[#This Row],[Steps]]&gt;99,(F3339+Table1[[#This Row],[Steps]])-100,F3339+Table1[[#This Row],[Steps]]),
))</f>
        <v>0</v>
      </c>
      <c r="F3340">
        <f>IF(Table1[[#This Row],[New Pos L]]&lt;&gt;0,Table1[[#This Row],[New Pos L]],Table1[[#This Row],[New Pos R]])</f>
        <v>0</v>
      </c>
    </row>
    <row r="3341" spans="1:6" ht="16" x14ac:dyDescent="0.2">
      <c r="A3341" s="1" t="s">
        <v>729</v>
      </c>
      <c r="B3341" t="str">
        <f>LEFT(Table1[[#This Row],[Input]],1)</f>
        <v>L</v>
      </c>
      <c r="C3341">
        <f>_xlfn.LET(_xlpm.steps,SUBSTITUTE(Table1[[#This Row],[Input]],Table1[[#This Row],[Direction]],""),VALUE(IF(LEN(_xlpm.steps)&gt;2,RIGHT(_xlpm.steps,2),_xlpm.steps)))</f>
        <v>68</v>
      </c>
      <c r="D3341">
        <f>_xlfn.LET(_xlpm.dir,Table1[[#This Row],[Direction]],
IF(_xlpm.dir="L",
    IF(F3340-Table1[[#This Row],[Steps]]&lt;0,100+(F3340-Table1[[#This Row],[Steps]]),F3340-Table1[[#This Row],[Steps]]),
))</f>
        <v>32</v>
      </c>
      <c r="E3341">
        <f>_xlfn.LET(_xlpm.dir,Table1[[#This Row],[Direction]],
IF(_xlpm.dir="R",
    IF(F3340+Table1[[#This Row],[Steps]]&gt;99,(F3340+Table1[[#This Row],[Steps]])-100,F3340+Table1[[#This Row],[Steps]]),
))</f>
        <v>0</v>
      </c>
      <c r="F3341">
        <f>IF(Table1[[#This Row],[New Pos L]]&lt;&gt;0,Table1[[#This Row],[New Pos L]],Table1[[#This Row],[New Pos R]])</f>
        <v>32</v>
      </c>
    </row>
    <row r="3342" spans="1:6" ht="16" x14ac:dyDescent="0.2">
      <c r="A3342" s="1" t="s">
        <v>104</v>
      </c>
      <c r="B3342" t="str">
        <f>LEFT(Table1[[#This Row],[Input]],1)</f>
        <v>R</v>
      </c>
      <c r="C3342">
        <f>_xlfn.LET(_xlpm.steps,SUBSTITUTE(Table1[[#This Row],[Input]],Table1[[#This Row],[Direction]],""),VALUE(IF(LEN(_xlpm.steps)&gt;2,RIGHT(_xlpm.steps,2),_xlpm.steps)))</f>
        <v>59</v>
      </c>
      <c r="D3342">
        <f>_xlfn.LET(_xlpm.dir,Table1[[#This Row],[Direction]],
IF(_xlpm.dir="L",
    IF(F3341-Table1[[#This Row],[Steps]]&lt;0,100+(F3341-Table1[[#This Row],[Steps]]),F3341-Table1[[#This Row],[Steps]]),
))</f>
        <v>0</v>
      </c>
      <c r="E3342">
        <f>_xlfn.LET(_xlpm.dir,Table1[[#This Row],[Direction]],
IF(_xlpm.dir="R",
    IF(F3341+Table1[[#This Row],[Steps]]&gt;99,(F3341+Table1[[#This Row],[Steps]])-100,F3341+Table1[[#This Row],[Steps]]),
))</f>
        <v>91</v>
      </c>
      <c r="F3342">
        <f>IF(Table1[[#This Row],[New Pos L]]&lt;&gt;0,Table1[[#This Row],[New Pos L]],Table1[[#This Row],[New Pos R]])</f>
        <v>91</v>
      </c>
    </row>
    <row r="3343" spans="1:6" ht="16" x14ac:dyDescent="0.2">
      <c r="A3343" s="1" t="s">
        <v>29</v>
      </c>
      <c r="B3343" t="str">
        <f>LEFT(Table1[[#This Row],[Input]],1)</f>
        <v>L</v>
      </c>
      <c r="C3343">
        <f>_xlfn.LET(_xlpm.steps,SUBSTITUTE(Table1[[#This Row],[Input]],Table1[[#This Row],[Direction]],""),VALUE(IF(LEN(_xlpm.steps)&gt;2,RIGHT(_xlpm.steps,2),_xlpm.steps)))</f>
        <v>33</v>
      </c>
      <c r="D3343">
        <f>_xlfn.LET(_xlpm.dir,Table1[[#This Row],[Direction]],
IF(_xlpm.dir="L",
    IF(F3342-Table1[[#This Row],[Steps]]&lt;0,100+(F3342-Table1[[#This Row],[Steps]]),F3342-Table1[[#This Row],[Steps]]),
))</f>
        <v>58</v>
      </c>
      <c r="E3343">
        <f>_xlfn.LET(_xlpm.dir,Table1[[#This Row],[Direction]],
IF(_xlpm.dir="R",
    IF(F3342+Table1[[#This Row],[Steps]]&gt;99,(F3342+Table1[[#This Row],[Steps]])-100,F3342+Table1[[#This Row],[Steps]]),
))</f>
        <v>0</v>
      </c>
      <c r="F3343">
        <f>IF(Table1[[#This Row],[New Pos L]]&lt;&gt;0,Table1[[#This Row],[New Pos L]],Table1[[#This Row],[New Pos R]])</f>
        <v>58</v>
      </c>
    </row>
    <row r="3344" spans="1:6" ht="16" x14ac:dyDescent="0.2">
      <c r="A3344" s="1" t="s">
        <v>69</v>
      </c>
      <c r="B3344" t="str">
        <f>LEFT(Table1[[#This Row],[Input]],1)</f>
        <v>R</v>
      </c>
      <c r="C3344">
        <f>_xlfn.LET(_xlpm.steps,SUBSTITUTE(Table1[[#This Row],[Input]],Table1[[#This Row],[Direction]],""),VALUE(IF(LEN(_xlpm.steps)&gt;2,RIGHT(_xlpm.steps,2),_xlpm.steps)))</f>
        <v>27</v>
      </c>
      <c r="D3344">
        <f>_xlfn.LET(_xlpm.dir,Table1[[#This Row],[Direction]],
IF(_xlpm.dir="L",
    IF(F3343-Table1[[#This Row],[Steps]]&lt;0,100+(F3343-Table1[[#This Row],[Steps]]),F3343-Table1[[#This Row],[Steps]]),
))</f>
        <v>0</v>
      </c>
      <c r="E3344">
        <f>_xlfn.LET(_xlpm.dir,Table1[[#This Row],[Direction]],
IF(_xlpm.dir="R",
    IF(F3343+Table1[[#This Row],[Steps]]&gt;99,(F3343+Table1[[#This Row],[Steps]])-100,F3343+Table1[[#This Row],[Steps]]),
))</f>
        <v>85</v>
      </c>
      <c r="F3344">
        <f>IF(Table1[[#This Row],[New Pos L]]&lt;&gt;0,Table1[[#This Row],[New Pos L]],Table1[[#This Row],[New Pos R]])</f>
        <v>85</v>
      </c>
    </row>
    <row r="3345" spans="1:6" ht="16" x14ac:dyDescent="0.2">
      <c r="A3345" s="1" t="s">
        <v>260</v>
      </c>
      <c r="B3345" t="str">
        <f>LEFT(Table1[[#This Row],[Input]],1)</f>
        <v>L</v>
      </c>
      <c r="C3345">
        <f>_xlfn.LET(_xlpm.steps,SUBSTITUTE(Table1[[#This Row],[Input]],Table1[[#This Row],[Direction]],""),VALUE(IF(LEN(_xlpm.steps)&gt;2,RIGHT(_xlpm.steps,2),_xlpm.steps)))</f>
        <v>85</v>
      </c>
      <c r="D3345">
        <f>_xlfn.LET(_xlpm.dir,Table1[[#This Row],[Direction]],
IF(_xlpm.dir="L",
    IF(F3344-Table1[[#This Row],[Steps]]&lt;0,100+(F3344-Table1[[#This Row],[Steps]]),F3344-Table1[[#This Row],[Steps]]),
))</f>
        <v>0</v>
      </c>
      <c r="E3345">
        <f>_xlfn.LET(_xlpm.dir,Table1[[#This Row],[Direction]],
IF(_xlpm.dir="R",
    IF(F3344+Table1[[#This Row],[Steps]]&gt;99,(F3344+Table1[[#This Row],[Steps]])-100,F3344+Table1[[#This Row],[Steps]]),
))</f>
        <v>0</v>
      </c>
      <c r="F3345">
        <f>IF(Table1[[#This Row],[New Pos L]]&lt;&gt;0,Table1[[#This Row],[New Pos L]],Table1[[#This Row],[New Pos R]])</f>
        <v>0</v>
      </c>
    </row>
    <row r="3346" spans="1:6" ht="16" x14ac:dyDescent="0.2">
      <c r="A3346" s="1" t="s">
        <v>694</v>
      </c>
      <c r="B3346" t="str">
        <f>LEFT(Table1[[#This Row],[Input]],1)</f>
        <v>R</v>
      </c>
      <c r="C3346">
        <f>_xlfn.LET(_xlpm.steps,SUBSTITUTE(Table1[[#This Row],[Input]],Table1[[#This Row],[Direction]],""),VALUE(IF(LEN(_xlpm.steps)&gt;2,RIGHT(_xlpm.steps,2),_xlpm.steps)))</f>
        <v>63</v>
      </c>
      <c r="D3346">
        <f>_xlfn.LET(_xlpm.dir,Table1[[#This Row],[Direction]],
IF(_xlpm.dir="L",
    IF(F3345-Table1[[#This Row],[Steps]]&lt;0,100+(F3345-Table1[[#This Row],[Steps]]),F3345-Table1[[#This Row],[Steps]]),
))</f>
        <v>0</v>
      </c>
      <c r="E3346">
        <f>_xlfn.LET(_xlpm.dir,Table1[[#This Row],[Direction]],
IF(_xlpm.dir="R",
    IF(F3345+Table1[[#This Row],[Steps]]&gt;99,(F3345+Table1[[#This Row],[Steps]])-100,F3345+Table1[[#This Row],[Steps]]),
))</f>
        <v>63</v>
      </c>
      <c r="F3346">
        <f>IF(Table1[[#This Row],[New Pos L]]&lt;&gt;0,Table1[[#This Row],[New Pos L]],Table1[[#This Row],[New Pos R]])</f>
        <v>63</v>
      </c>
    </row>
    <row r="3347" spans="1:6" ht="16" x14ac:dyDescent="0.2">
      <c r="A3347" s="1" t="s">
        <v>61</v>
      </c>
      <c r="B3347" t="str">
        <f>LEFT(Table1[[#This Row],[Input]],1)</f>
        <v>L</v>
      </c>
      <c r="C3347">
        <f>_xlfn.LET(_xlpm.steps,SUBSTITUTE(Table1[[#This Row],[Input]],Table1[[#This Row],[Direction]],""),VALUE(IF(LEN(_xlpm.steps)&gt;2,RIGHT(_xlpm.steps,2),_xlpm.steps)))</f>
        <v>16</v>
      </c>
      <c r="D3347">
        <f>_xlfn.LET(_xlpm.dir,Table1[[#This Row],[Direction]],
IF(_xlpm.dir="L",
    IF(F3346-Table1[[#This Row],[Steps]]&lt;0,100+(F3346-Table1[[#This Row],[Steps]]),F3346-Table1[[#This Row],[Steps]]),
))</f>
        <v>47</v>
      </c>
      <c r="E3347">
        <f>_xlfn.LET(_xlpm.dir,Table1[[#This Row],[Direction]],
IF(_xlpm.dir="R",
    IF(F3346+Table1[[#This Row],[Steps]]&gt;99,(F3346+Table1[[#This Row],[Steps]])-100,F3346+Table1[[#This Row],[Steps]]),
))</f>
        <v>0</v>
      </c>
      <c r="F3347">
        <f>IF(Table1[[#This Row],[New Pos L]]&lt;&gt;0,Table1[[#This Row],[New Pos L]],Table1[[#This Row],[New Pos R]])</f>
        <v>47</v>
      </c>
    </row>
    <row r="3348" spans="1:6" ht="16" x14ac:dyDescent="0.2">
      <c r="A3348" s="1" t="s">
        <v>218</v>
      </c>
      <c r="B3348" t="str">
        <f>LEFT(Table1[[#This Row],[Input]],1)</f>
        <v>R</v>
      </c>
      <c r="C3348">
        <f>_xlfn.LET(_xlpm.steps,SUBSTITUTE(Table1[[#This Row],[Input]],Table1[[#This Row],[Direction]],""),VALUE(IF(LEN(_xlpm.steps)&gt;2,RIGHT(_xlpm.steps,2),_xlpm.steps)))</f>
        <v>35</v>
      </c>
      <c r="D3348">
        <f>_xlfn.LET(_xlpm.dir,Table1[[#This Row],[Direction]],
IF(_xlpm.dir="L",
    IF(F3347-Table1[[#This Row],[Steps]]&lt;0,100+(F3347-Table1[[#This Row],[Steps]]),F3347-Table1[[#This Row],[Steps]]),
))</f>
        <v>0</v>
      </c>
      <c r="E3348">
        <f>_xlfn.LET(_xlpm.dir,Table1[[#This Row],[Direction]],
IF(_xlpm.dir="R",
    IF(F3347+Table1[[#This Row],[Steps]]&gt;99,(F3347+Table1[[#This Row],[Steps]])-100,F3347+Table1[[#This Row],[Steps]]),
))</f>
        <v>82</v>
      </c>
      <c r="F3348">
        <f>IF(Table1[[#This Row],[New Pos L]]&lt;&gt;0,Table1[[#This Row],[New Pos L]],Table1[[#This Row],[New Pos R]])</f>
        <v>82</v>
      </c>
    </row>
    <row r="3349" spans="1:6" ht="16" x14ac:dyDescent="0.2">
      <c r="A3349" s="1" t="s">
        <v>730</v>
      </c>
      <c r="B3349" t="str">
        <f>LEFT(Table1[[#This Row],[Input]],1)</f>
        <v>R</v>
      </c>
      <c r="C3349">
        <f>_xlfn.LET(_xlpm.steps,SUBSTITUTE(Table1[[#This Row],[Input]],Table1[[#This Row],[Direction]],""),VALUE(IF(LEN(_xlpm.steps)&gt;2,RIGHT(_xlpm.steps,2),_xlpm.steps)))</f>
        <v>33</v>
      </c>
      <c r="D3349">
        <f>_xlfn.LET(_xlpm.dir,Table1[[#This Row],[Direction]],
IF(_xlpm.dir="L",
    IF(F3348-Table1[[#This Row],[Steps]]&lt;0,100+(F3348-Table1[[#This Row],[Steps]]),F3348-Table1[[#This Row],[Steps]]),
))</f>
        <v>0</v>
      </c>
      <c r="E3349">
        <f>_xlfn.LET(_xlpm.dir,Table1[[#This Row],[Direction]],
IF(_xlpm.dir="R",
    IF(F3348+Table1[[#This Row],[Steps]]&gt;99,(F3348+Table1[[#This Row],[Steps]])-100,F3348+Table1[[#This Row],[Steps]]),
))</f>
        <v>15</v>
      </c>
      <c r="F3349">
        <f>IF(Table1[[#This Row],[New Pos L]]&lt;&gt;0,Table1[[#This Row],[New Pos L]],Table1[[#This Row],[New Pos R]])</f>
        <v>15</v>
      </c>
    </row>
    <row r="3350" spans="1:6" ht="16" x14ac:dyDescent="0.2">
      <c r="A3350" s="1" t="s">
        <v>11</v>
      </c>
      <c r="B3350" t="str">
        <f>LEFT(Table1[[#This Row],[Input]],1)</f>
        <v>L</v>
      </c>
      <c r="C3350">
        <f>_xlfn.LET(_xlpm.steps,SUBSTITUTE(Table1[[#This Row],[Input]],Table1[[#This Row],[Direction]],""),VALUE(IF(LEN(_xlpm.steps)&gt;2,RIGHT(_xlpm.steps,2),_xlpm.steps)))</f>
        <v>34</v>
      </c>
      <c r="D3350">
        <f>_xlfn.LET(_xlpm.dir,Table1[[#This Row],[Direction]],
IF(_xlpm.dir="L",
    IF(F3349-Table1[[#This Row],[Steps]]&lt;0,100+(F3349-Table1[[#This Row],[Steps]]),F3349-Table1[[#This Row],[Steps]]),
))</f>
        <v>81</v>
      </c>
      <c r="E3350">
        <f>_xlfn.LET(_xlpm.dir,Table1[[#This Row],[Direction]],
IF(_xlpm.dir="R",
    IF(F3349+Table1[[#This Row],[Steps]]&gt;99,(F3349+Table1[[#This Row],[Steps]])-100,F3349+Table1[[#This Row],[Steps]]),
))</f>
        <v>0</v>
      </c>
      <c r="F3350">
        <f>IF(Table1[[#This Row],[New Pos L]]&lt;&gt;0,Table1[[#This Row],[New Pos L]],Table1[[#This Row],[New Pos R]])</f>
        <v>81</v>
      </c>
    </row>
    <row r="3351" spans="1:6" ht="16" x14ac:dyDescent="0.2">
      <c r="A3351" s="1" t="s">
        <v>189</v>
      </c>
      <c r="B3351" t="str">
        <f>LEFT(Table1[[#This Row],[Input]],1)</f>
        <v>L</v>
      </c>
      <c r="C3351">
        <f>_xlfn.LET(_xlpm.steps,SUBSTITUTE(Table1[[#This Row],[Input]],Table1[[#This Row],[Direction]],""),VALUE(IF(LEN(_xlpm.steps)&gt;2,RIGHT(_xlpm.steps,2),_xlpm.steps)))</f>
        <v>38</v>
      </c>
      <c r="D3351">
        <f>_xlfn.LET(_xlpm.dir,Table1[[#This Row],[Direction]],
IF(_xlpm.dir="L",
    IF(F3350-Table1[[#This Row],[Steps]]&lt;0,100+(F3350-Table1[[#This Row],[Steps]]),F3350-Table1[[#This Row],[Steps]]),
))</f>
        <v>43</v>
      </c>
      <c r="E3351">
        <f>_xlfn.LET(_xlpm.dir,Table1[[#This Row],[Direction]],
IF(_xlpm.dir="R",
    IF(F3350+Table1[[#This Row],[Steps]]&gt;99,(F3350+Table1[[#This Row],[Steps]])-100,F3350+Table1[[#This Row],[Steps]]),
))</f>
        <v>0</v>
      </c>
      <c r="F3351">
        <f>IF(Table1[[#This Row],[New Pos L]]&lt;&gt;0,Table1[[#This Row],[New Pos L]],Table1[[#This Row],[New Pos R]])</f>
        <v>43</v>
      </c>
    </row>
    <row r="3352" spans="1:6" ht="16" x14ac:dyDescent="0.2">
      <c r="A3352" s="1" t="s">
        <v>14</v>
      </c>
      <c r="B3352" t="str">
        <f>LEFT(Table1[[#This Row],[Input]],1)</f>
        <v>L</v>
      </c>
      <c r="C3352">
        <f>_xlfn.LET(_xlpm.steps,SUBSTITUTE(Table1[[#This Row],[Input]],Table1[[#This Row],[Direction]],""),VALUE(IF(LEN(_xlpm.steps)&gt;2,RIGHT(_xlpm.steps,2),_xlpm.steps)))</f>
        <v>43</v>
      </c>
      <c r="D3352">
        <f>_xlfn.LET(_xlpm.dir,Table1[[#This Row],[Direction]],
IF(_xlpm.dir="L",
    IF(F3351-Table1[[#This Row],[Steps]]&lt;0,100+(F3351-Table1[[#This Row],[Steps]]),F3351-Table1[[#This Row],[Steps]]),
))</f>
        <v>0</v>
      </c>
      <c r="E3352">
        <f>_xlfn.LET(_xlpm.dir,Table1[[#This Row],[Direction]],
IF(_xlpm.dir="R",
    IF(F3351+Table1[[#This Row],[Steps]]&gt;99,(F3351+Table1[[#This Row],[Steps]])-100,F3351+Table1[[#This Row],[Steps]]),
))</f>
        <v>0</v>
      </c>
      <c r="F3352">
        <f>IF(Table1[[#This Row],[New Pos L]]&lt;&gt;0,Table1[[#This Row],[New Pos L]],Table1[[#This Row],[New Pos R]])</f>
        <v>0</v>
      </c>
    </row>
    <row r="3353" spans="1:6" ht="16" x14ac:dyDescent="0.2">
      <c r="A3353" s="1" t="s">
        <v>42</v>
      </c>
      <c r="B3353" t="str">
        <f>LEFT(Table1[[#This Row],[Input]],1)</f>
        <v>L</v>
      </c>
      <c r="C3353">
        <f>_xlfn.LET(_xlpm.steps,SUBSTITUTE(Table1[[#This Row],[Input]],Table1[[#This Row],[Direction]],""),VALUE(IF(LEN(_xlpm.steps)&gt;2,RIGHT(_xlpm.steps,2),_xlpm.steps)))</f>
        <v>27</v>
      </c>
      <c r="D3353">
        <f>_xlfn.LET(_xlpm.dir,Table1[[#This Row],[Direction]],
IF(_xlpm.dir="L",
    IF(F3352-Table1[[#This Row],[Steps]]&lt;0,100+(F3352-Table1[[#This Row],[Steps]]),F3352-Table1[[#This Row],[Steps]]),
))</f>
        <v>73</v>
      </c>
      <c r="E3353">
        <f>_xlfn.LET(_xlpm.dir,Table1[[#This Row],[Direction]],
IF(_xlpm.dir="R",
    IF(F3352+Table1[[#This Row],[Steps]]&gt;99,(F3352+Table1[[#This Row],[Steps]])-100,F3352+Table1[[#This Row],[Steps]]),
))</f>
        <v>0</v>
      </c>
      <c r="F3353">
        <f>IF(Table1[[#This Row],[New Pos L]]&lt;&gt;0,Table1[[#This Row],[New Pos L]],Table1[[#This Row],[New Pos R]])</f>
        <v>73</v>
      </c>
    </row>
    <row r="3354" spans="1:6" ht="16" x14ac:dyDescent="0.2">
      <c r="A3354" s="1" t="s">
        <v>69</v>
      </c>
      <c r="B3354" t="str">
        <f>LEFT(Table1[[#This Row],[Input]],1)</f>
        <v>R</v>
      </c>
      <c r="C3354">
        <f>_xlfn.LET(_xlpm.steps,SUBSTITUTE(Table1[[#This Row],[Input]],Table1[[#This Row],[Direction]],""),VALUE(IF(LEN(_xlpm.steps)&gt;2,RIGHT(_xlpm.steps,2),_xlpm.steps)))</f>
        <v>27</v>
      </c>
      <c r="D3354">
        <f>_xlfn.LET(_xlpm.dir,Table1[[#This Row],[Direction]],
IF(_xlpm.dir="L",
    IF(F3353-Table1[[#This Row],[Steps]]&lt;0,100+(F3353-Table1[[#This Row],[Steps]]),F3353-Table1[[#This Row],[Steps]]),
))</f>
        <v>0</v>
      </c>
      <c r="E3354">
        <f>_xlfn.LET(_xlpm.dir,Table1[[#This Row],[Direction]],
IF(_xlpm.dir="R",
    IF(F3353+Table1[[#This Row],[Steps]]&gt;99,(F3353+Table1[[#This Row],[Steps]])-100,F3353+Table1[[#This Row],[Steps]]),
))</f>
        <v>0</v>
      </c>
      <c r="F3354">
        <f>IF(Table1[[#This Row],[New Pos L]]&lt;&gt;0,Table1[[#This Row],[New Pos L]],Table1[[#This Row],[New Pos R]])</f>
        <v>0</v>
      </c>
    </row>
    <row r="3355" spans="1:6" ht="16" x14ac:dyDescent="0.2">
      <c r="A3355" s="1" t="s">
        <v>4</v>
      </c>
      <c r="B3355" t="str">
        <f>LEFT(Table1[[#This Row],[Input]],1)</f>
        <v>R</v>
      </c>
      <c r="C3355">
        <f>_xlfn.LET(_xlpm.steps,SUBSTITUTE(Table1[[#This Row],[Input]],Table1[[#This Row],[Direction]],""),VALUE(IF(LEN(_xlpm.steps)&gt;2,RIGHT(_xlpm.steps,2),_xlpm.steps)))</f>
        <v>3</v>
      </c>
      <c r="D3355">
        <f>_xlfn.LET(_xlpm.dir,Table1[[#This Row],[Direction]],
IF(_xlpm.dir="L",
    IF(F3354-Table1[[#This Row],[Steps]]&lt;0,100+(F3354-Table1[[#This Row],[Steps]]),F3354-Table1[[#This Row],[Steps]]),
))</f>
        <v>0</v>
      </c>
      <c r="E3355">
        <f>_xlfn.LET(_xlpm.dir,Table1[[#This Row],[Direction]],
IF(_xlpm.dir="R",
    IF(F3354+Table1[[#This Row],[Steps]]&gt;99,(F3354+Table1[[#This Row],[Steps]])-100,F3354+Table1[[#This Row],[Steps]]),
))</f>
        <v>3</v>
      </c>
      <c r="F3355">
        <f>IF(Table1[[#This Row],[New Pos L]]&lt;&gt;0,Table1[[#This Row],[New Pos L]],Table1[[#This Row],[New Pos R]])</f>
        <v>3</v>
      </c>
    </row>
    <row r="3356" spans="1:6" ht="16" x14ac:dyDescent="0.2">
      <c r="A3356" s="1" t="s">
        <v>55</v>
      </c>
      <c r="B3356" t="str">
        <f>LEFT(Table1[[#This Row],[Input]],1)</f>
        <v>L</v>
      </c>
      <c r="C3356">
        <f>_xlfn.LET(_xlpm.steps,SUBSTITUTE(Table1[[#This Row],[Input]],Table1[[#This Row],[Direction]],""),VALUE(IF(LEN(_xlpm.steps)&gt;2,RIGHT(_xlpm.steps,2),_xlpm.steps)))</f>
        <v>82</v>
      </c>
      <c r="D3356">
        <f>_xlfn.LET(_xlpm.dir,Table1[[#This Row],[Direction]],
IF(_xlpm.dir="L",
    IF(F3355-Table1[[#This Row],[Steps]]&lt;0,100+(F3355-Table1[[#This Row],[Steps]]),F3355-Table1[[#This Row],[Steps]]),
))</f>
        <v>21</v>
      </c>
      <c r="E3356">
        <f>_xlfn.LET(_xlpm.dir,Table1[[#This Row],[Direction]],
IF(_xlpm.dir="R",
    IF(F3355+Table1[[#This Row],[Steps]]&gt;99,(F3355+Table1[[#This Row],[Steps]])-100,F3355+Table1[[#This Row],[Steps]]),
))</f>
        <v>0</v>
      </c>
      <c r="F3356">
        <f>IF(Table1[[#This Row],[New Pos L]]&lt;&gt;0,Table1[[#This Row],[New Pos L]],Table1[[#This Row],[New Pos R]])</f>
        <v>21</v>
      </c>
    </row>
    <row r="3357" spans="1:6" ht="16" x14ac:dyDescent="0.2">
      <c r="A3357" s="1" t="s">
        <v>10</v>
      </c>
      <c r="B3357" t="str">
        <f>LEFT(Table1[[#This Row],[Input]],1)</f>
        <v>L</v>
      </c>
      <c r="C3357">
        <f>_xlfn.LET(_xlpm.steps,SUBSTITUTE(Table1[[#This Row],[Input]],Table1[[#This Row],[Direction]],""),VALUE(IF(LEN(_xlpm.steps)&gt;2,RIGHT(_xlpm.steps,2),_xlpm.steps)))</f>
        <v>35</v>
      </c>
      <c r="D3357">
        <f>_xlfn.LET(_xlpm.dir,Table1[[#This Row],[Direction]],
IF(_xlpm.dir="L",
    IF(F3356-Table1[[#This Row],[Steps]]&lt;0,100+(F3356-Table1[[#This Row],[Steps]]),F3356-Table1[[#This Row],[Steps]]),
))</f>
        <v>86</v>
      </c>
      <c r="E3357">
        <f>_xlfn.LET(_xlpm.dir,Table1[[#This Row],[Direction]],
IF(_xlpm.dir="R",
    IF(F3356+Table1[[#This Row],[Steps]]&gt;99,(F3356+Table1[[#This Row],[Steps]])-100,F3356+Table1[[#This Row],[Steps]]),
))</f>
        <v>0</v>
      </c>
      <c r="F3357">
        <f>IF(Table1[[#This Row],[New Pos L]]&lt;&gt;0,Table1[[#This Row],[New Pos L]],Table1[[#This Row],[New Pos R]])</f>
        <v>86</v>
      </c>
    </row>
    <row r="3358" spans="1:6" ht="16" x14ac:dyDescent="0.2">
      <c r="A3358" s="1" t="s">
        <v>206</v>
      </c>
      <c r="B3358" t="str">
        <f>LEFT(Table1[[#This Row],[Input]],1)</f>
        <v>R</v>
      </c>
      <c r="C3358">
        <f>_xlfn.LET(_xlpm.steps,SUBSTITUTE(Table1[[#This Row],[Input]],Table1[[#This Row],[Direction]],""),VALUE(IF(LEN(_xlpm.steps)&gt;2,RIGHT(_xlpm.steps,2),_xlpm.steps)))</f>
        <v>62</v>
      </c>
      <c r="D3358">
        <f>_xlfn.LET(_xlpm.dir,Table1[[#This Row],[Direction]],
IF(_xlpm.dir="L",
    IF(F3357-Table1[[#This Row],[Steps]]&lt;0,100+(F3357-Table1[[#This Row],[Steps]]),F3357-Table1[[#This Row],[Steps]]),
))</f>
        <v>0</v>
      </c>
      <c r="E3358">
        <f>_xlfn.LET(_xlpm.dir,Table1[[#This Row],[Direction]],
IF(_xlpm.dir="R",
    IF(F3357+Table1[[#This Row],[Steps]]&gt;99,(F3357+Table1[[#This Row],[Steps]])-100,F3357+Table1[[#This Row],[Steps]]),
))</f>
        <v>48</v>
      </c>
      <c r="F3358">
        <f>IF(Table1[[#This Row],[New Pos L]]&lt;&gt;0,Table1[[#This Row],[New Pos L]],Table1[[#This Row],[New Pos R]])</f>
        <v>48</v>
      </c>
    </row>
    <row r="3359" spans="1:6" ht="16" x14ac:dyDescent="0.2">
      <c r="A3359" s="1" t="s">
        <v>9</v>
      </c>
      <c r="B3359" t="str">
        <f>LEFT(Table1[[#This Row],[Input]],1)</f>
        <v>L</v>
      </c>
      <c r="C3359">
        <f>_xlfn.LET(_xlpm.steps,SUBSTITUTE(Table1[[#This Row],[Input]],Table1[[#This Row],[Direction]],""),VALUE(IF(LEN(_xlpm.steps)&gt;2,RIGHT(_xlpm.steps,2),_xlpm.steps)))</f>
        <v>9</v>
      </c>
      <c r="D3359">
        <f>_xlfn.LET(_xlpm.dir,Table1[[#This Row],[Direction]],
IF(_xlpm.dir="L",
    IF(F3358-Table1[[#This Row],[Steps]]&lt;0,100+(F3358-Table1[[#This Row],[Steps]]),F3358-Table1[[#This Row],[Steps]]),
))</f>
        <v>39</v>
      </c>
      <c r="E3359">
        <f>_xlfn.LET(_xlpm.dir,Table1[[#This Row],[Direction]],
IF(_xlpm.dir="R",
    IF(F3358+Table1[[#This Row],[Steps]]&gt;99,(F3358+Table1[[#This Row],[Steps]])-100,F3358+Table1[[#This Row],[Steps]]),
))</f>
        <v>0</v>
      </c>
      <c r="F3359">
        <f>IF(Table1[[#This Row],[New Pos L]]&lt;&gt;0,Table1[[#This Row],[New Pos L]],Table1[[#This Row],[New Pos R]])</f>
        <v>39</v>
      </c>
    </row>
    <row r="3360" spans="1:6" ht="16" x14ac:dyDescent="0.2">
      <c r="A3360" s="1" t="s">
        <v>60</v>
      </c>
      <c r="B3360" t="str">
        <f>LEFT(Table1[[#This Row],[Input]],1)</f>
        <v>R</v>
      </c>
      <c r="C3360">
        <f>_xlfn.LET(_xlpm.steps,SUBSTITUTE(Table1[[#This Row],[Input]],Table1[[#This Row],[Direction]],""),VALUE(IF(LEN(_xlpm.steps)&gt;2,RIGHT(_xlpm.steps,2),_xlpm.steps)))</f>
        <v>86</v>
      </c>
      <c r="D3360">
        <f>_xlfn.LET(_xlpm.dir,Table1[[#This Row],[Direction]],
IF(_xlpm.dir="L",
    IF(F3359-Table1[[#This Row],[Steps]]&lt;0,100+(F3359-Table1[[#This Row],[Steps]]),F3359-Table1[[#This Row],[Steps]]),
))</f>
        <v>0</v>
      </c>
      <c r="E3360">
        <f>_xlfn.LET(_xlpm.dir,Table1[[#This Row],[Direction]],
IF(_xlpm.dir="R",
    IF(F3359+Table1[[#This Row],[Steps]]&gt;99,(F3359+Table1[[#This Row],[Steps]])-100,F3359+Table1[[#This Row],[Steps]]),
))</f>
        <v>25</v>
      </c>
      <c r="F3360">
        <f>IF(Table1[[#This Row],[New Pos L]]&lt;&gt;0,Table1[[#This Row],[New Pos L]],Table1[[#This Row],[New Pos R]])</f>
        <v>25</v>
      </c>
    </row>
    <row r="3361" spans="1:6" ht="16" x14ac:dyDescent="0.2">
      <c r="A3361" s="1" t="s">
        <v>51</v>
      </c>
      <c r="B3361" t="str">
        <f>LEFT(Table1[[#This Row],[Input]],1)</f>
        <v>L</v>
      </c>
      <c r="C3361">
        <f>_xlfn.LET(_xlpm.steps,SUBSTITUTE(Table1[[#This Row],[Input]],Table1[[#This Row],[Direction]],""),VALUE(IF(LEN(_xlpm.steps)&gt;2,RIGHT(_xlpm.steps,2),_xlpm.steps)))</f>
        <v>25</v>
      </c>
      <c r="D3361">
        <f>_xlfn.LET(_xlpm.dir,Table1[[#This Row],[Direction]],
IF(_xlpm.dir="L",
    IF(F3360-Table1[[#This Row],[Steps]]&lt;0,100+(F3360-Table1[[#This Row],[Steps]]),F3360-Table1[[#This Row],[Steps]]),
))</f>
        <v>0</v>
      </c>
      <c r="E3361">
        <f>_xlfn.LET(_xlpm.dir,Table1[[#This Row],[Direction]],
IF(_xlpm.dir="R",
    IF(F3360+Table1[[#This Row],[Steps]]&gt;99,(F3360+Table1[[#This Row],[Steps]])-100,F3360+Table1[[#This Row],[Steps]]),
))</f>
        <v>0</v>
      </c>
      <c r="F3361">
        <f>IF(Table1[[#This Row],[New Pos L]]&lt;&gt;0,Table1[[#This Row],[New Pos L]],Table1[[#This Row],[New Pos R]])</f>
        <v>0</v>
      </c>
    </row>
    <row r="3362" spans="1:6" ht="16" x14ac:dyDescent="0.2">
      <c r="A3362" s="1" t="s">
        <v>109</v>
      </c>
      <c r="B3362" t="str">
        <f>LEFT(Table1[[#This Row],[Input]],1)</f>
        <v>L</v>
      </c>
      <c r="C3362">
        <f>_xlfn.LET(_xlpm.steps,SUBSTITUTE(Table1[[#This Row],[Input]],Table1[[#This Row],[Direction]],""),VALUE(IF(LEN(_xlpm.steps)&gt;2,RIGHT(_xlpm.steps,2),_xlpm.steps)))</f>
        <v>66</v>
      </c>
      <c r="D3362">
        <f>_xlfn.LET(_xlpm.dir,Table1[[#This Row],[Direction]],
IF(_xlpm.dir="L",
    IF(F3361-Table1[[#This Row],[Steps]]&lt;0,100+(F3361-Table1[[#This Row],[Steps]]),F3361-Table1[[#This Row],[Steps]]),
))</f>
        <v>34</v>
      </c>
      <c r="E3362">
        <f>_xlfn.LET(_xlpm.dir,Table1[[#This Row],[Direction]],
IF(_xlpm.dir="R",
    IF(F3361+Table1[[#This Row],[Steps]]&gt;99,(F3361+Table1[[#This Row],[Steps]])-100,F3361+Table1[[#This Row],[Steps]]),
))</f>
        <v>0</v>
      </c>
      <c r="F3362">
        <f>IF(Table1[[#This Row],[New Pos L]]&lt;&gt;0,Table1[[#This Row],[New Pos L]],Table1[[#This Row],[New Pos R]])</f>
        <v>34</v>
      </c>
    </row>
    <row r="3363" spans="1:6" ht="16" x14ac:dyDescent="0.2">
      <c r="A3363" s="1" t="s">
        <v>108</v>
      </c>
      <c r="B3363" t="str">
        <f>LEFT(Table1[[#This Row],[Input]],1)</f>
        <v>R</v>
      </c>
      <c r="C3363">
        <f>_xlfn.LET(_xlpm.steps,SUBSTITUTE(Table1[[#This Row],[Input]],Table1[[#This Row],[Direction]],""),VALUE(IF(LEN(_xlpm.steps)&gt;2,RIGHT(_xlpm.steps,2),_xlpm.steps)))</f>
        <v>66</v>
      </c>
      <c r="D3363">
        <f>_xlfn.LET(_xlpm.dir,Table1[[#This Row],[Direction]],
IF(_xlpm.dir="L",
    IF(F3362-Table1[[#This Row],[Steps]]&lt;0,100+(F3362-Table1[[#This Row],[Steps]]),F3362-Table1[[#This Row],[Steps]]),
))</f>
        <v>0</v>
      </c>
      <c r="E3363">
        <f>_xlfn.LET(_xlpm.dir,Table1[[#This Row],[Direction]],
IF(_xlpm.dir="R",
    IF(F3362+Table1[[#This Row],[Steps]]&gt;99,(F3362+Table1[[#This Row],[Steps]])-100,F3362+Table1[[#This Row],[Steps]]),
))</f>
        <v>0</v>
      </c>
      <c r="F3363">
        <f>IF(Table1[[#This Row],[New Pos L]]&lt;&gt;0,Table1[[#This Row],[New Pos L]],Table1[[#This Row],[New Pos R]])</f>
        <v>0</v>
      </c>
    </row>
    <row r="3364" spans="1:6" ht="16" x14ac:dyDescent="0.2">
      <c r="A3364" s="1" t="s">
        <v>731</v>
      </c>
      <c r="B3364" t="str">
        <f>LEFT(Table1[[#This Row],[Input]],1)</f>
        <v>L</v>
      </c>
      <c r="C3364">
        <f>_xlfn.LET(_xlpm.steps,SUBSTITUTE(Table1[[#This Row],[Input]],Table1[[#This Row],[Direction]],""),VALUE(IF(LEN(_xlpm.steps)&gt;2,RIGHT(_xlpm.steps,2),_xlpm.steps)))</f>
        <v>75</v>
      </c>
      <c r="D3364">
        <f>_xlfn.LET(_xlpm.dir,Table1[[#This Row],[Direction]],
IF(_xlpm.dir="L",
    IF(F3363-Table1[[#This Row],[Steps]]&lt;0,100+(F3363-Table1[[#This Row],[Steps]]),F3363-Table1[[#This Row],[Steps]]),
))</f>
        <v>25</v>
      </c>
      <c r="E3364">
        <f>_xlfn.LET(_xlpm.dir,Table1[[#This Row],[Direction]],
IF(_xlpm.dir="R",
    IF(F3363+Table1[[#This Row],[Steps]]&gt;99,(F3363+Table1[[#This Row],[Steps]])-100,F3363+Table1[[#This Row],[Steps]]),
))</f>
        <v>0</v>
      </c>
      <c r="F3364">
        <f>IF(Table1[[#This Row],[New Pos L]]&lt;&gt;0,Table1[[#This Row],[New Pos L]],Table1[[#This Row],[New Pos R]])</f>
        <v>25</v>
      </c>
    </row>
    <row r="3365" spans="1:6" ht="16" x14ac:dyDescent="0.2">
      <c r="A3365" s="1" t="s">
        <v>218</v>
      </c>
      <c r="B3365" t="str">
        <f>LEFT(Table1[[#This Row],[Input]],1)</f>
        <v>R</v>
      </c>
      <c r="C3365">
        <f>_xlfn.LET(_xlpm.steps,SUBSTITUTE(Table1[[#This Row],[Input]],Table1[[#This Row],[Direction]],""),VALUE(IF(LEN(_xlpm.steps)&gt;2,RIGHT(_xlpm.steps,2),_xlpm.steps)))</f>
        <v>35</v>
      </c>
      <c r="D3365">
        <f>_xlfn.LET(_xlpm.dir,Table1[[#This Row],[Direction]],
IF(_xlpm.dir="L",
    IF(F3364-Table1[[#This Row],[Steps]]&lt;0,100+(F3364-Table1[[#This Row],[Steps]]),F3364-Table1[[#This Row],[Steps]]),
))</f>
        <v>0</v>
      </c>
      <c r="E3365">
        <f>_xlfn.LET(_xlpm.dir,Table1[[#This Row],[Direction]],
IF(_xlpm.dir="R",
    IF(F3364+Table1[[#This Row],[Steps]]&gt;99,(F3364+Table1[[#This Row],[Steps]])-100,F3364+Table1[[#This Row],[Steps]]),
))</f>
        <v>60</v>
      </c>
      <c r="F3365">
        <f>IF(Table1[[#This Row],[New Pos L]]&lt;&gt;0,Table1[[#This Row],[New Pos L]],Table1[[#This Row],[New Pos R]])</f>
        <v>60</v>
      </c>
    </row>
    <row r="3366" spans="1:6" ht="16" x14ac:dyDescent="0.2">
      <c r="A3366" s="1" t="s">
        <v>326</v>
      </c>
      <c r="B3366" t="str">
        <f>LEFT(Table1[[#This Row],[Input]],1)</f>
        <v>L</v>
      </c>
      <c r="C3366">
        <f>_xlfn.LET(_xlpm.steps,SUBSTITUTE(Table1[[#This Row],[Input]],Table1[[#This Row],[Direction]],""),VALUE(IF(LEN(_xlpm.steps)&gt;2,RIGHT(_xlpm.steps,2),_xlpm.steps)))</f>
        <v>9</v>
      </c>
      <c r="D3366">
        <f>_xlfn.LET(_xlpm.dir,Table1[[#This Row],[Direction]],
IF(_xlpm.dir="L",
    IF(F3365-Table1[[#This Row],[Steps]]&lt;0,100+(F3365-Table1[[#This Row],[Steps]]),F3365-Table1[[#This Row],[Steps]]),
))</f>
        <v>51</v>
      </c>
      <c r="E3366">
        <f>_xlfn.LET(_xlpm.dir,Table1[[#This Row],[Direction]],
IF(_xlpm.dir="R",
    IF(F3365+Table1[[#This Row],[Steps]]&gt;99,(F3365+Table1[[#This Row],[Steps]])-100,F3365+Table1[[#This Row],[Steps]]),
))</f>
        <v>0</v>
      </c>
      <c r="F3366">
        <f>IF(Table1[[#This Row],[New Pos L]]&lt;&gt;0,Table1[[#This Row],[New Pos L]],Table1[[#This Row],[New Pos R]])</f>
        <v>51</v>
      </c>
    </row>
    <row r="3367" spans="1:6" ht="16" x14ac:dyDescent="0.2">
      <c r="A3367" s="1" t="s">
        <v>121</v>
      </c>
      <c r="B3367" t="str">
        <f>LEFT(Table1[[#This Row],[Input]],1)</f>
        <v>L</v>
      </c>
      <c r="C3367">
        <f>_xlfn.LET(_xlpm.steps,SUBSTITUTE(Table1[[#This Row],[Input]],Table1[[#This Row],[Direction]],""),VALUE(IF(LEN(_xlpm.steps)&gt;2,RIGHT(_xlpm.steps,2),_xlpm.steps)))</f>
        <v>69</v>
      </c>
      <c r="D3367">
        <f>_xlfn.LET(_xlpm.dir,Table1[[#This Row],[Direction]],
IF(_xlpm.dir="L",
    IF(F3366-Table1[[#This Row],[Steps]]&lt;0,100+(F3366-Table1[[#This Row],[Steps]]),F3366-Table1[[#This Row],[Steps]]),
))</f>
        <v>82</v>
      </c>
      <c r="E3367">
        <f>_xlfn.LET(_xlpm.dir,Table1[[#This Row],[Direction]],
IF(_xlpm.dir="R",
    IF(F3366+Table1[[#This Row],[Steps]]&gt;99,(F3366+Table1[[#This Row],[Steps]])-100,F3366+Table1[[#This Row],[Steps]]),
))</f>
        <v>0</v>
      </c>
      <c r="F3367">
        <f>IF(Table1[[#This Row],[New Pos L]]&lt;&gt;0,Table1[[#This Row],[New Pos L]],Table1[[#This Row],[New Pos R]])</f>
        <v>82</v>
      </c>
    </row>
    <row r="3368" spans="1:6" ht="16" x14ac:dyDescent="0.2">
      <c r="A3368" s="1" t="s">
        <v>50</v>
      </c>
      <c r="B3368" t="str">
        <f>LEFT(Table1[[#This Row],[Input]],1)</f>
        <v>R</v>
      </c>
      <c r="C3368">
        <f>_xlfn.LET(_xlpm.steps,SUBSTITUTE(Table1[[#This Row],[Input]],Table1[[#This Row],[Direction]],""),VALUE(IF(LEN(_xlpm.steps)&gt;2,RIGHT(_xlpm.steps,2),_xlpm.steps)))</f>
        <v>78</v>
      </c>
      <c r="D3368">
        <f>_xlfn.LET(_xlpm.dir,Table1[[#This Row],[Direction]],
IF(_xlpm.dir="L",
    IF(F3367-Table1[[#This Row],[Steps]]&lt;0,100+(F3367-Table1[[#This Row],[Steps]]),F3367-Table1[[#This Row],[Steps]]),
))</f>
        <v>0</v>
      </c>
      <c r="E3368">
        <f>_xlfn.LET(_xlpm.dir,Table1[[#This Row],[Direction]],
IF(_xlpm.dir="R",
    IF(F3367+Table1[[#This Row],[Steps]]&gt;99,(F3367+Table1[[#This Row],[Steps]])-100,F3367+Table1[[#This Row],[Steps]]),
))</f>
        <v>60</v>
      </c>
      <c r="F3368">
        <f>IF(Table1[[#This Row],[New Pos L]]&lt;&gt;0,Table1[[#This Row],[New Pos L]],Table1[[#This Row],[New Pos R]])</f>
        <v>60</v>
      </c>
    </row>
    <row r="3369" spans="1:6" ht="16" x14ac:dyDescent="0.2">
      <c r="A3369" s="1" t="s">
        <v>72</v>
      </c>
      <c r="B3369" t="str">
        <f>LEFT(Table1[[#This Row],[Input]],1)</f>
        <v>R</v>
      </c>
      <c r="C3369">
        <f>_xlfn.LET(_xlpm.steps,SUBSTITUTE(Table1[[#This Row],[Input]],Table1[[#This Row],[Direction]],""),VALUE(IF(LEN(_xlpm.steps)&gt;2,RIGHT(_xlpm.steps,2),_xlpm.steps)))</f>
        <v>43</v>
      </c>
      <c r="D3369">
        <f>_xlfn.LET(_xlpm.dir,Table1[[#This Row],[Direction]],
IF(_xlpm.dir="L",
    IF(F3368-Table1[[#This Row],[Steps]]&lt;0,100+(F3368-Table1[[#This Row],[Steps]]),F3368-Table1[[#This Row],[Steps]]),
))</f>
        <v>0</v>
      </c>
      <c r="E3369">
        <f>_xlfn.LET(_xlpm.dir,Table1[[#This Row],[Direction]],
IF(_xlpm.dir="R",
    IF(F3368+Table1[[#This Row],[Steps]]&gt;99,(F3368+Table1[[#This Row],[Steps]])-100,F3368+Table1[[#This Row],[Steps]]),
))</f>
        <v>3</v>
      </c>
      <c r="F3369">
        <f>IF(Table1[[#This Row],[New Pos L]]&lt;&gt;0,Table1[[#This Row],[New Pos L]],Table1[[#This Row],[New Pos R]])</f>
        <v>3</v>
      </c>
    </row>
    <row r="3370" spans="1:6" ht="16" x14ac:dyDescent="0.2">
      <c r="A3370" s="1" t="s">
        <v>138</v>
      </c>
      <c r="B3370" t="str">
        <f>LEFT(Table1[[#This Row],[Input]],1)</f>
        <v>L</v>
      </c>
      <c r="C3370">
        <f>_xlfn.LET(_xlpm.steps,SUBSTITUTE(Table1[[#This Row],[Input]],Table1[[#This Row],[Direction]],""),VALUE(IF(LEN(_xlpm.steps)&gt;2,RIGHT(_xlpm.steps,2),_xlpm.steps)))</f>
        <v>94</v>
      </c>
      <c r="D3370">
        <f>_xlfn.LET(_xlpm.dir,Table1[[#This Row],[Direction]],
IF(_xlpm.dir="L",
    IF(F3369-Table1[[#This Row],[Steps]]&lt;0,100+(F3369-Table1[[#This Row],[Steps]]),F3369-Table1[[#This Row],[Steps]]),
))</f>
        <v>9</v>
      </c>
      <c r="E3370">
        <f>_xlfn.LET(_xlpm.dir,Table1[[#This Row],[Direction]],
IF(_xlpm.dir="R",
    IF(F3369+Table1[[#This Row],[Steps]]&gt;99,(F3369+Table1[[#This Row],[Steps]])-100,F3369+Table1[[#This Row],[Steps]]),
))</f>
        <v>0</v>
      </c>
      <c r="F3370">
        <f>IF(Table1[[#This Row],[New Pos L]]&lt;&gt;0,Table1[[#This Row],[New Pos L]],Table1[[#This Row],[New Pos R]])</f>
        <v>9</v>
      </c>
    </row>
    <row r="3371" spans="1:6" ht="16" x14ac:dyDescent="0.2">
      <c r="A3371" s="1" t="s">
        <v>9</v>
      </c>
      <c r="B3371" t="str">
        <f>LEFT(Table1[[#This Row],[Input]],1)</f>
        <v>L</v>
      </c>
      <c r="C3371">
        <f>_xlfn.LET(_xlpm.steps,SUBSTITUTE(Table1[[#This Row],[Input]],Table1[[#This Row],[Direction]],""),VALUE(IF(LEN(_xlpm.steps)&gt;2,RIGHT(_xlpm.steps,2),_xlpm.steps)))</f>
        <v>9</v>
      </c>
      <c r="D3371">
        <f>_xlfn.LET(_xlpm.dir,Table1[[#This Row],[Direction]],
IF(_xlpm.dir="L",
    IF(F3370-Table1[[#This Row],[Steps]]&lt;0,100+(F3370-Table1[[#This Row],[Steps]]),F3370-Table1[[#This Row],[Steps]]),
))</f>
        <v>0</v>
      </c>
      <c r="E3371">
        <f>_xlfn.LET(_xlpm.dir,Table1[[#This Row],[Direction]],
IF(_xlpm.dir="R",
    IF(F3370+Table1[[#This Row],[Steps]]&gt;99,(F3370+Table1[[#This Row],[Steps]])-100,F3370+Table1[[#This Row],[Steps]]),
))</f>
        <v>0</v>
      </c>
      <c r="F3371">
        <f>IF(Table1[[#This Row],[New Pos L]]&lt;&gt;0,Table1[[#This Row],[New Pos L]],Table1[[#This Row],[New Pos R]])</f>
        <v>0</v>
      </c>
    </row>
    <row r="3372" spans="1:6" ht="16" x14ac:dyDescent="0.2">
      <c r="A3372" s="1" t="s">
        <v>29</v>
      </c>
      <c r="B3372" t="str">
        <f>LEFT(Table1[[#This Row],[Input]],1)</f>
        <v>L</v>
      </c>
      <c r="C3372">
        <f>_xlfn.LET(_xlpm.steps,SUBSTITUTE(Table1[[#This Row],[Input]],Table1[[#This Row],[Direction]],""),VALUE(IF(LEN(_xlpm.steps)&gt;2,RIGHT(_xlpm.steps,2),_xlpm.steps)))</f>
        <v>33</v>
      </c>
      <c r="D3372">
        <f>_xlfn.LET(_xlpm.dir,Table1[[#This Row],[Direction]],
IF(_xlpm.dir="L",
    IF(F3371-Table1[[#This Row],[Steps]]&lt;0,100+(F3371-Table1[[#This Row],[Steps]]),F3371-Table1[[#This Row],[Steps]]),
))</f>
        <v>67</v>
      </c>
      <c r="E3372">
        <f>_xlfn.LET(_xlpm.dir,Table1[[#This Row],[Direction]],
IF(_xlpm.dir="R",
    IF(F3371+Table1[[#This Row],[Steps]]&gt;99,(F3371+Table1[[#This Row],[Steps]])-100,F3371+Table1[[#This Row],[Steps]]),
))</f>
        <v>0</v>
      </c>
      <c r="F3372">
        <f>IF(Table1[[#This Row],[New Pos L]]&lt;&gt;0,Table1[[#This Row],[New Pos L]],Table1[[#This Row],[New Pos R]])</f>
        <v>67</v>
      </c>
    </row>
    <row r="3373" spans="1:6" ht="16" x14ac:dyDescent="0.2">
      <c r="A3373" s="1" t="s">
        <v>102</v>
      </c>
      <c r="B3373" t="str">
        <f>LEFT(Table1[[#This Row],[Input]],1)</f>
        <v>R</v>
      </c>
      <c r="C3373">
        <f>_xlfn.LET(_xlpm.steps,SUBSTITUTE(Table1[[#This Row],[Input]],Table1[[#This Row],[Direction]],""),VALUE(IF(LEN(_xlpm.steps)&gt;2,RIGHT(_xlpm.steps,2),_xlpm.steps)))</f>
        <v>39</v>
      </c>
      <c r="D3373">
        <f>_xlfn.LET(_xlpm.dir,Table1[[#This Row],[Direction]],
IF(_xlpm.dir="L",
    IF(F3372-Table1[[#This Row],[Steps]]&lt;0,100+(F3372-Table1[[#This Row],[Steps]]),F3372-Table1[[#This Row],[Steps]]),
))</f>
        <v>0</v>
      </c>
      <c r="E3373">
        <f>_xlfn.LET(_xlpm.dir,Table1[[#This Row],[Direction]],
IF(_xlpm.dir="R",
    IF(F3372+Table1[[#This Row],[Steps]]&gt;99,(F3372+Table1[[#This Row],[Steps]])-100,F3372+Table1[[#This Row],[Steps]]),
))</f>
        <v>6</v>
      </c>
      <c r="F3373">
        <f>IF(Table1[[#This Row],[New Pos L]]&lt;&gt;0,Table1[[#This Row],[New Pos L]],Table1[[#This Row],[New Pos R]])</f>
        <v>6</v>
      </c>
    </row>
    <row r="3374" spans="1:6" ht="16" x14ac:dyDescent="0.2">
      <c r="A3374" s="1" t="s">
        <v>732</v>
      </c>
      <c r="B3374" t="str">
        <f>LEFT(Table1[[#This Row],[Input]],1)</f>
        <v>R</v>
      </c>
      <c r="C3374">
        <f>_xlfn.LET(_xlpm.steps,SUBSTITUTE(Table1[[#This Row],[Input]],Table1[[#This Row],[Direction]],""),VALUE(IF(LEN(_xlpm.steps)&gt;2,RIGHT(_xlpm.steps,2),_xlpm.steps)))</f>
        <v>5</v>
      </c>
      <c r="D3374">
        <f>_xlfn.LET(_xlpm.dir,Table1[[#This Row],[Direction]],
IF(_xlpm.dir="L",
    IF(F3373-Table1[[#This Row],[Steps]]&lt;0,100+(F3373-Table1[[#This Row],[Steps]]),F3373-Table1[[#This Row],[Steps]]),
))</f>
        <v>0</v>
      </c>
      <c r="E3374">
        <f>_xlfn.LET(_xlpm.dir,Table1[[#This Row],[Direction]],
IF(_xlpm.dir="R",
    IF(F3373+Table1[[#This Row],[Steps]]&gt;99,(F3373+Table1[[#This Row],[Steps]])-100,F3373+Table1[[#This Row],[Steps]]),
))</f>
        <v>11</v>
      </c>
      <c r="F3374">
        <f>IF(Table1[[#This Row],[New Pos L]]&lt;&gt;0,Table1[[#This Row],[New Pos L]],Table1[[#This Row],[New Pos R]])</f>
        <v>11</v>
      </c>
    </row>
    <row r="3375" spans="1:6" ht="16" x14ac:dyDescent="0.2">
      <c r="A3375" s="1" t="s">
        <v>12</v>
      </c>
      <c r="B3375" t="str">
        <f>LEFT(Table1[[#This Row],[Input]],1)</f>
        <v>L</v>
      </c>
      <c r="C3375">
        <f>_xlfn.LET(_xlpm.steps,SUBSTITUTE(Table1[[#This Row],[Input]],Table1[[#This Row],[Direction]],""),VALUE(IF(LEN(_xlpm.steps)&gt;2,RIGHT(_xlpm.steps,2),_xlpm.steps)))</f>
        <v>11</v>
      </c>
      <c r="D3375">
        <f>_xlfn.LET(_xlpm.dir,Table1[[#This Row],[Direction]],
IF(_xlpm.dir="L",
    IF(F3374-Table1[[#This Row],[Steps]]&lt;0,100+(F3374-Table1[[#This Row],[Steps]]),F3374-Table1[[#This Row],[Steps]]),
))</f>
        <v>0</v>
      </c>
      <c r="E3375">
        <f>_xlfn.LET(_xlpm.dir,Table1[[#This Row],[Direction]],
IF(_xlpm.dir="R",
    IF(F3374+Table1[[#This Row],[Steps]]&gt;99,(F3374+Table1[[#This Row],[Steps]])-100,F3374+Table1[[#This Row],[Steps]]),
))</f>
        <v>0</v>
      </c>
      <c r="F3375">
        <f>IF(Table1[[#This Row],[New Pos L]]&lt;&gt;0,Table1[[#This Row],[New Pos L]],Table1[[#This Row],[New Pos R]])</f>
        <v>0</v>
      </c>
    </row>
    <row r="3376" spans="1:6" ht="16" x14ac:dyDescent="0.2">
      <c r="A3376" s="1" t="s">
        <v>105</v>
      </c>
      <c r="B3376" t="str">
        <f>LEFT(Table1[[#This Row],[Input]],1)</f>
        <v>R</v>
      </c>
      <c r="C3376">
        <f>_xlfn.LET(_xlpm.steps,SUBSTITUTE(Table1[[#This Row],[Input]],Table1[[#This Row],[Direction]],""),VALUE(IF(LEN(_xlpm.steps)&gt;2,RIGHT(_xlpm.steps,2),_xlpm.steps)))</f>
        <v>98</v>
      </c>
      <c r="D3376">
        <f>_xlfn.LET(_xlpm.dir,Table1[[#This Row],[Direction]],
IF(_xlpm.dir="L",
    IF(F3375-Table1[[#This Row],[Steps]]&lt;0,100+(F3375-Table1[[#This Row],[Steps]]),F3375-Table1[[#This Row],[Steps]]),
))</f>
        <v>0</v>
      </c>
      <c r="E3376">
        <f>_xlfn.LET(_xlpm.dir,Table1[[#This Row],[Direction]],
IF(_xlpm.dir="R",
    IF(F3375+Table1[[#This Row],[Steps]]&gt;99,(F3375+Table1[[#This Row],[Steps]])-100,F3375+Table1[[#This Row],[Steps]]),
))</f>
        <v>98</v>
      </c>
      <c r="F3376">
        <f>IF(Table1[[#This Row],[New Pos L]]&lt;&gt;0,Table1[[#This Row],[New Pos L]],Table1[[#This Row],[New Pos R]])</f>
        <v>98</v>
      </c>
    </row>
    <row r="3377" spans="1:6" ht="16" x14ac:dyDescent="0.2">
      <c r="A3377" s="1" t="s">
        <v>75</v>
      </c>
      <c r="B3377" t="str">
        <f>LEFT(Table1[[#This Row],[Input]],1)</f>
        <v>R</v>
      </c>
      <c r="C3377">
        <f>_xlfn.LET(_xlpm.steps,SUBSTITUTE(Table1[[#This Row],[Input]],Table1[[#This Row],[Direction]],""),VALUE(IF(LEN(_xlpm.steps)&gt;2,RIGHT(_xlpm.steps,2),_xlpm.steps)))</f>
        <v>2</v>
      </c>
      <c r="D3377">
        <f>_xlfn.LET(_xlpm.dir,Table1[[#This Row],[Direction]],
IF(_xlpm.dir="L",
    IF(F3376-Table1[[#This Row],[Steps]]&lt;0,100+(F3376-Table1[[#This Row],[Steps]]),F3376-Table1[[#This Row],[Steps]]),
))</f>
        <v>0</v>
      </c>
      <c r="E3377">
        <f>_xlfn.LET(_xlpm.dir,Table1[[#This Row],[Direction]],
IF(_xlpm.dir="R",
    IF(F3376+Table1[[#This Row],[Steps]]&gt;99,(F3376+Table1[[#This Row],[Steps]])-100,F3376+Table1[[#This Row],[Steps]]),
))</f>
        <v>0</v>
      </c>
      <c r="F3377">
        <f>IF(Table1[[#This Row],[New Pos L]]&lt;&gt;0,Table1[[#This Row],[New Pos L]],Table1[[#This Row],[New Pos R]])</f>
        <v>0</v>
      </c>
    </row>
    <row r="3378" spans="1:6" ht="16" x14ac:dyDescent="0.2">
      <c r="A3378" s="1" t="s">
        <v>98</v>
      </c>
      <c r="B3378" t="str">
        <f>LEFT(Table1[[#This Row],[Input]],1)</f>
        <v>L</v>
      </c>
      <c r="C3378">
        <f>_xlfn.LET(_xlpm.steps,SUBSTITUTE(Table1[[#This Row],[Input]],Table1[[#This Row],[Direction]],""),VALUE(IF(LEN(_xlpm.steps)&gt;2,RIGHT(_xlpm.steps,2),_xlpm.steps)))</f>
        <v>65</v>
      </c>
      <c r="D3378">
        <f>_xlfn.LET(_xlpm.dir,Table1[[#This Row],[Direction]],
IF(_xlpm.dir="L",
    IF(F3377-Table1[[#This Row],[Steps]]&lt;0,100+(F3377-Table1[[#This Row],[Steps]]),F3377-Table1[[#This Row],[Steps]]),
))</f>
        <v>35</v>
      </c>
      <c r="E3378">
        <f>_xlfn.LET(_xlpm.dir,Table1[[#This Row],[Direction]],
IF(_xlpm.dir="R",
    IF(F3377+Table1[[#This Row],[Steps]]&gt;99,(F3377+Table1[[#This Row],[Steps]])-100,F3377+Table1[[#This Row],[Steps]]),
))</f>
        <v>0</v>
      </c>
      <c r="F3378">
        <f>IF(Table1[[#This Row],[New Pos L]]&lt;&gt;0,Table1[[#This Row],[New Pos L]],Table1[[#This Row],[New Pos R]])</f>
        <v>35</v>
      </c>
    </row>
    <row r="3379" spans="1:6" ht="16" x14ac:dyDescent="0.2">
      <c r="A3379" s="1" t="s">
        <v>733</v>
      </c>
      <c r="B3379" t="str">
        <f>LEFT(Table1[[#This Row],[Input]],1)</f>
        <v>L</v>
      </c>
      <c r="C3379">
        <f>_xlfn.LET(_xlpm.steps,SUBSTITUTE(Table1[[#This Row],[Input]],Table1[[#This Row],[Direction]],""),VALUE(IF(LEN(_xlpm.steps)&gt;2,RIGHT(_xlpm.steps,2),_xlpm.steps)))</f>
        <v>35</v>
      </c>
      <c r="D3379">
        <f>_xlfn.LET(_xlpm.dir,Table1[[#This Row],[Direction]],
IF(_xlpm.dir="L",
    IF(F3378-Table1[[#This Row],[Steps]]&lt;0,100+(F3378-Table1[[#This Row],[Steps]]),F3378-Table1[[#This Row],[Steps]]),
))</f>
        <v>0</v>
      </c>
      <c r="E3379">
        <f>_xlfn.LET(_xlpm.dir,Table1[[#This Row],[Direction]],
IF(_xlpm.dir="R",
    IF(F3378+Table1[[#This Row],[Steps]]&gt;99,(F3378+Table1[[#This Row],[Steps]])-100,F3378+Table1[[#This Row],[Steps]]),
))</f>
        <v>0</v>
      </c>
      <c r="F3379">
        <f>IF(Table1[[#This Row],[New Pos L]]&lt;&gt;0,Table1[[#This Row],[New Pos L]],Table1[[#This Row],[New Pos R]])</f>
        <v>0</v>
      </c>
    </row>
    <row r="3380" spans="1:6" ht="16" x14ac:dyDescent="0.2">
      <c r="A3380" s="1" t="s">
        <v>734</v>
      </c>
      <c r="B3380" t="str">
        <f>LEFT(Table1[[#This Row],[Input]],1)</f>
        <v>R</v>
      </c>
      <c r="C3380">
        <f>_xlfn.LET(_xlpm.steps,SUBSTITUTE(Table1[[#This Row],[Input]],Table1[[#This Row],[Direction]],""),VALUE(IF(LEN(_xlpm.steps)&gt;2,RIGHT(_xlpm.steps,2),_xlpm.steps)))</f>
        <v>43</v>
      </c>
      <c r="D3380">
        <f>_xlfn.LET(_xlpm.dir,Table1[[#This Row],[Direction]],
IF(_xlpm.dir="L",
    IF(F3379-Table1[[#This Row],[Steps]]&lt;0,100+(F3379-Table1[[#This Row],[Steps]]),F3379-Table1[[#This Row],[Steps]]),
))</f>
        <v>0</v>
      </c>
      <c r="E3380">
        <f>_xlfn.LET(_xlpm.dir,Table1[[#This Row],[Direction]],
IF(_xlpm.dir="R",
    IF(F3379+Table1[[#This Row],[Steps]]&gt;99,(F3379+Table1[[#This Row],[Steps]])-100,F3379+Table1[[#This Row],[Steps]]),
))</f>
        <v>43</v>
      </c>
      <c r="F3380">
        <f>IF(Table1[[#This Row],[New Pos L]]&lt;&gt;0,Table1[[#This Row],[New Pos L]],Table1[[#This Row],[New Pos R]])</f>
        <v>43</v>
      </c>
    </row>
    <row r="3381" spans="1:6" ht="16" x14ac:dyDescent="0.2">
      <c r="A3381" s="1" t="s">
        <v>293</v>
      </c>
      <c r="B3381" t="str">
        <f>LEFT(Table1[[#This Row],[Input]],1)</f>
        <v>R</v>
      </c>
      <c r="C3381">
        <f>_xlfn.LET(_xlpm.steps,SUBSTITUTE(Table1[[#This Row],[Input]],Table1[[#This Row],[Direction]],""),VALUE(IF(LEN(_xlpm.steps)&gt;2,RIGHT(_xlpm.steps,2),_xlpm.steps)))</f>
        <v>67</v>
      </c>
      <c r="D3381">
        <f>_xlfn.LET(_xlpm.dir,Table1[[#This Row],[Direction]],
IF(_xlpm.dir="L",
    IF(F3380-Table1[[#This Row],[Steps]]&lt;0,100+(F3380-Table1[[#This Row],[Steps]]),F3380-Table1[[#This Row],[Steps]]),
))</f>
        <v>0</v>
      </c>
      <c r="E3381">
        <f>_xlfn.LET(_xlpm.dir,Table1[[#This Row],[Direction]],
IF(_xlpm.dir="R",
    IF(F3380+Table1[[#This Row],[Steps]]&gt;99,(F3380+Table1[[#This Row],[Steps]])-100,F3380+Table1[[#This Row],[Steps]]),
))</f>
        <v>10</v>
      </c>
      <c r="F3381">
        <f>IF(Table1[[#This Row],[New Pos L]]&lt;&gt;0,Table1[[#This Row],[New Pos L]],Table1[[#This Row],[New Pos R]])</f>
        <v>10</v>
      </c>
    </row>
    <row r="3382" spans="1:6" ht="16" x14ac:dyDescent="0.2">
      <c r="A3382" s="1" t="s">
        <v>43</v>
      </c>
      <c r="B3382" t="str">
        <f>LEFT(Table1[[#This Row],[Input]],1)</f>
        <v>R</v>
      </c>
      <c r="C3382">
        <f>_xlfn.LET(_xlpm.steps,SUBSTITUTE(Table1[[#This Row],[Input]],Table1[[#This Row],[Direction]],""),VALUE(IF(LEN(_xlpm.steps)&gt;2,RIGHT(_xlpm.steps,2),_xlpm.steps)))</f>
        <v>90</v>
      </c>
      <c r="D3382">
        <f>_xlfn.LET(_xlpm.dir,Table1[[#This Row],[Direction]],
IF(_xlpm.dir="L",
    IF(F3381-Table1[[#This Row],[Steps]]&lt;0,100+(F3381-Table1[[#This Row],[Steps]]),F3381-Table1[[#This Row],[Steps]]),
))</f>
        <v>0</v>
      </c>
      <c r="E3382">
        <f>_xlfn.LET(_xlpm.dir,Table1[[#This Row],[Direction]],
IF(_xlpm.dir="R",
    IF(F3381+Table1[[#This Row],[Steps]]&gt;99,(F3381+Table1[[#This Row],[Steps]])-100,F3381+Table1[[#This Row],[Steps]]),
))</f>
        <v>0</v>
      </c>
      <c r="F3382">
        <f>IF(Table1[[#This Row],[New Pos L]]&lt;&gt;0,Table1[[#This Row],[New Pos L]],Table1[[#This Row],[New Pos R]])</f>
        <v>0</v>
      </c>
    </row>
    <row r="3383" spans="1:6" ht="16" x14ac:dyDescent="0.2">
      <c r="A3383" s="1" t="s">
        <v>37</v>
      </c>
      <c r="B3383" t="str">
        <f>LEFT(Table1[[#This Row],[Input]],1)</f>
        <v>L</v>
      </c>
      <c r="C3383">
        <f>_xlfn.LET(_xlpm.steps,SUBSTITUTE(Table1[[#This Row],[Input]],Table1[[#This Row],[Direction]],""),VALUE(IF(LEN(_xlpm.steps)&gt;2,RIGHT(_xlpm.steps,2),_xlpm.steps)))</f>
        <v>42</v>
      </c>
      <c r="D3383">
        <f>_xlfn.LET(_xlpm.dir,Table1[[#This Row],[Direction]],
IF(_xlpm.dir="L",
    IF(F3382-Table1[[#This Row],[Steps]]&lt;0,100+(F3382-Table1[[#This Row],[Steps]]),F3382-Table1[[#This Row],[Steps]]),
))</f>
        <v>58</v>
      </c>
      <c r="E3383">
        <f>_xlfn.LET(_xlpm.dir,Table1[[#This Row],[Direction]],
IF(_xlpm.dir="R",
    IF(F3382+Table1[[#This Row],[Steps]]&gt;99,(F3382+Table1[[#This Row],[Steps]])-100,F3382+Table1[[#This Row],[Steps]]),
))</f>
        <v>0</v>
      </c>
      <c r="F3383">
        <f>IF(Table1[[#This Row],[New Pos L]]&lt;&gt;0,Table1[[#This Row],[New Pos L]],Table1[[#This Row],[New Pos R]])</f>
        <v>58</v>
      </c>
    </row>
    <row r="3384" spans="1:6" ht="16" x14ac:dyDescent="0.2">
      <c r="A3384" s="1" t="s">
        <v>116</v>
      </c>
      <c r="B3384" t="str">
        <f>LEFT(Table1[[#This Row],[Input]],1)</f>
        <v>L</v>
      </c>
      <c r="C3384">
        <f>_xlfn.LET(_xlpm.steps,SUBSTITUTE(Table1[[#This Row],[Input]],Table1[[#This Row],[Direction]],""),VALUE(IF(LEN(_xlpm.steps)&gt;2,RIGHT(_xlpm.steps,2),_xlpm.steps)))</f>
        <v>58</v>
      </c>
      <c r="D3384">
        <f>_xlfn.LET(_xlpm.dir,Table1[[#This Row],[Direction]],
IF(_xlpm.dir="L",
    IF(F3383-Table1[[#This Row],[Steps]]&lt;0,100+(F3383-Table1[[#This Row],[Steps]]),F3383-Table1[[#This Row],[Steps]]),
))</f>
        <v>0</v>
      </c>
      <c r="E3384">
        <f>_xlfn.LET(_xlpm.dir,Table1[[#This Row],[Direction]],
IF(_xlpm.dir="R",
    IF(F3383+Table1[[#This Row],[Steps]]&gt;99,(F3383+Table1[[#This Row],[Steps]])-100,F3383+Table1[[#This Row],[Steps]]),
))</f>
        <v>0</v>
      </c>
      <c r="F3384">
        <f>IF(Table1[[#This Row],[New Pos L]]&lt;&gt;0,Table1[[#This Row],[New Pos L]],Table1[[#This Row],[New Pos R]])</f>
        <v>0</v>
      </c>
    </row>
    <row r="3385" spans="1:6" ht="16" x14ac:dyDescent="0.2">
      <c r="A3385" s="1" t="s">
        <v>735</v>
      </c>
      <c r="B3385" t="str">
        <f>LEFT(Table1[[#This Row],[Input]],1)</f>
        <v>R</v>
      </c>
      <c r="C3385">
        <f>_xlfn.LET(_xlpm.steps,SUBSTITUTE(Table1[[#This Row],[Input]],Table1[[#This Row],[Direction]],""),VALUE(IF(LEN(_xlpm.steps)&gt;2,RIGHT(_xlpm.steps,2),_xlpm.steps)))</f>
        <v>82</v>
      </c>
      <c r="D3385">
        <f>_xlfn.LET(_xlpm.dir,Table1[[#This Row],[Direction]],
IF(_xlpm.dir="L",
    IF(F3384-Table1[[#This Row],[Steps]]&lt;0,100+(F3384-Table1[[#This Row],[Steps]]),F3384-Table1[[#This Row],[Steps]]),
))</f>
        <v>0</v>
      </c>
      <c r="E3385">
        <f>_xlfn.LET(_xlpm.dir,Table1[[#This Row],[Direction]],
IF(_xlpm.dir="R",
    IF(F3384+Table1[[#This Row],[Steps]]&gt;99,(F3384+Table1[[#This Row],[Steps]])-100,F3384+Table1[[#This Row],[Steps]]),
))</f>
        <v>82</v>
      </c>
      <c r="F3385">
        <f>IF(Table1[[#This Row],[New Pos L]]&lt;&gt;0,Table1[[#This Row],[New Pos L]],Table1[[#This Row],[New Pos R]])</f>
        <v>82</v>
      </c>
    </row>
    <row r="3386" spans="1:6" ht="16" x14ac:dyDescent="0.2">
      <c r="A3386" s="1" t="s">
        <v>736</v>
      </c>
      <c r="B3386" t="str">
        <f>LEFT(Table1[[#This Row],[Input]],1)</f>
        <v>L</v>
      </c>
      <c r="C3386">
        <f>_xlfn.LET(_xlpm.steps,SUBSTITUTE(Table1[[#This Row],[Input]],Table1[[#This Row],[Direction]],""),VALUE(IF(LEN(_xlpm.steps)&gt;2,RIGHT(_xlpm.steps,2),_xlpm.steps)))</f>
        <v>63</v>
      </c>
      <c r="D3386">
        <f>_xlfn.LET(_xlpm.dir,Table1[[#This Row],[Direction]],
IF(_xlpm.dir="L",
    IF(F3385-Table1[[#This Row],[Steps]]&lt;0,100+(F3385-Table1[[#This Row],[Steps]]),F3385-Table1[[#This Row],[Steps]]),
))</f>
        <v>19</v>
      </c>
      <c r="E3386">
        <f>_xlfn.LET(_xlpm.dir,Table1[[#This Row],[Direction]],
IF(_xlpm.dir="R",
    IF(F3385+Table1[[#This Row],[Steps]]&gt;99,(F3385+Table1[[#This Row],[Steps]])-100,F3385+Table1[[#This Row],[Steps]]),
))</f>
        <v>0</v>
      </c>
      <c r="F3386">
        <f>IF(Table1[[#This Row],[New Pos L]]&lt;&gt;0,Table1[[#This Row],[New Pos L]],Table1[[#This Row],[New Pos R]])</f>
        <v>19</v>
      </c>
    </row>
    <row r="3387" spans="1:6" ht="16" x14ac:dyDescent="0.2">
      <c r="A3387" s="1" t="s">
        <v>48</v>
      </c>
      <c r="B3387" t="str">
        <f>LEFT(Table1[[#This Row],[Input]],1)</f>
        <v>R</v>
      </c>
      <c r="C3387">
        <f>_xlfn.LET(_xlpm.steps,SUBSTITUTE(Table1[[#This Row],[Input]],Table1[[#This Row],[Direction]],""),VALUE(IF(LEN(_xlpm.steps)&gt;2,RIGHT(_xlpm.steps,2),_xlpm.steps)))</f>
        <v>81</v>
      </c>
      <c r="D3387">
        <f>_xlfn.LET(_xlpm.dir,Table1[[#This Row],[Direction]],
IF(_xlpm.dir="L",
    IF(F3386-Table1[[#This Row],[Steps]]&lt;0,100+(F3386-Table1[[#This Row],[Steps]]),F3386-Table1[[#This Row],[Steps]]),
))</f>
        <v>0</v>
      </c>
      <c r="E3387">
        <f>_xlfn.LET(_xlpm.dir,Table1[[#This Row],[Direction]],
IF(_xlpm.dir="R",
    IF(F3386+Table1[[#This Row],[Steps]]&gt;99,(F3386+Table1[[#This Row],[Steps]])-100,F3386+Table1[[#This Row],[Steps]]),
))</f>
        <v>0</v>
      </c>
      <c r="F3387">
        <f>IF(Table1[[#This Row],[New Pos L]]&lt;&gt;0,Table1[[#This Row],[New Pos L]],Table1[[#This Row],[New Pos R]])</f>
        <v>0</v>
      </c>
    </row>
    <row r="3388" spans="1:6" ht="16" x14ac:dyDescent="0.2">
      <c r="A3388" s="1" t="s">
        <v>55</v>
      </c>
      <c r="B3388" t="str">
        <f>LEFT(Table1[[#This Row],[Input]],1)</f>
        <v>L</v>
      </c>
      <c r="C3388">
        <f>_xlfn.LET(_xlpm.steps,SUBSTITUTE(Table1[[#This Row],[Input]],Table1[[#This Row],[Direction]],""),VALUE(IF(LEN(_xlpm.steps)&gt;2,RIGHT(_xlpm.steps,2),_xlpm.steps)))</f>
        <v>82</v>
      </c>
      <c r="D3388">
        <f>_xlfn.LET(_xlpm.dir,Table1[[#This Row],[Direction]],
IF(_xlpm.dir="L",
    IF(F3387-Table1[[#This Row],[Steps]]&lt;0,100+(F3387-Table1[[#This Row],[Steps]]),F3387-Table1[[#This Row],[Steps]]),
))</f>
        <v>18</v>
      </c>
      <c r="E3388">
        <f>_xlfn.LET(_xlpm.dir,Table1[[#This Row],[Direction]],
IF(_xlpm.dir="R",
    IF(F3387+Table1[[#This Row],[Steps]]&gt;99,(F3387+Table1[[#This Row],[Steps]])-100,F3387+Table1[[#This Row],[Steps]]),
))</f>
        <v>0</v>
      </c>
      <c r="F3388">
        <f>IF(Table1[[#This Row],[New Pos L]]&lt;&gt;0,Table1[[#This Row],[New Pos L]],Table1[[#This Row],[New Pos R]])</f>
        <v>18</v>
      </c>
    </row>
    <row r="3389" spans="1:6" ht="16" x14ac:dyDescent="0.2">
      <c r="A3389" s="1" t="s">
        <v>126</v>
      </c>
      <c r="B3389" t="str">
        <f>LEFT(Table1[[#This Row],[Input]],1)</f>
        <v>R</v>
      </c>
      <c r="C3389">
        <f>_xlfn.LET(_xlpm.steps,SUBSTITUTE(Table1[[#This Row],[Input]],Table1[[#This Row],[Direction]],""),VALUE(IF(LEN(_xlpm.steps)&gt;2,RIGHT(_xlpm.steps,2),_xlpm.steps)))</f>
        <v>65</v>
      </c>
      <c r="D3389">
        <f>_xlfn.LET(_xlpm.dir,Table1[[#This Row],[Direction]],
IF(_xlpm.dir="L",
    IF(F3388-Table1[[#This Row],[Steps]]&lt;0,100+(F3388-Table1[[#This Row],[Steps]]),F3388-Table1[[#This Row],[Steps]]),
))</f>
        <v>0</v>
      </c>
      <c r="E3389">
        <f>_xlfn.LET(_xlpm.dir,Table1[[#This Row],[Direction]],
IF(_xlpm.dir="R",
    IF(F3388+Table1[[#This Row],[Steps]]&gt;99,(F3388+Table1[[#This Row],[Steps]])-100,F3388+Table1[[#This Row],[Steps]]),
))</f>
        <v>83</v>
      </c>
      <c r="F3389">
        <f>IF(Table1[[#This Row],[New Pos L]]&lt;&gt;0,Table1[[#This Row],[New Pos L]],Table1[[#This Row],[New Pos R]])</f>
        <v>83</v>
      </c>
    </row>
    <row r="3390" spans="1:6" ht="16" x14ac:dyDescent="0.2">
      <c r="A3390" s="1" t="s">
        <v>106</v>
      </c>
      <c r="B3390" t="str">
        <f>LEFT(Table1[[#This Row],[Input]],1)</f>
        <v>R</v>
      </c>
      <c r="C3390">
        <f>_xlfn.LET(_xlpm.steps,SUBSTITUTE(Table1[[#This Row],[Input]],Table1[[#This Row],[Direction]],""),VALUE(IF(LEN(_xlpm.steps)&gt;2,RIGHT(_xlpm.steps,2),_xlpm.steps)))</f>
        <v>41</v>
      </c>
      <c r="D3390">
        <f>_xlfn.LET(_xlpm.dir,Table1[[#This Row],[Direction]],
IF(_xlpm.dir="L",
    IF(F3389-Table1[[#This Row],[Steps]]&lt;0,100+(F3389-Table1[[#This Row],[Steps]]),F3389-Table1[[#This Row],[Steps]]),
))</f>
        <v>0</v>
      </c>
      <c r="E3390">
        <f>_xlfn.LET(_xlpm.dir,Table1[[#This Row],[Direction]],
IF(_xlpm.dir="R",
    IF(F3389+Table1[[#This Row],[Steps]]&gt;99,(F3389+Table1[[#This Row],[Steps]])-100,F3389+Table1[[#This Row],[Steps]]),
))</f>
        <v>24</v>
      </c>
      <c r="F3390">
        <f>IF(Table1[[#This Row],[New Pos L]]&lt;&gt;0,Table1[[#This Row],[New Pos L]],Table1[[#This Row],[New Pos R]])</f>
        <v>24</v>
      </c>
    </row>
    <row r="3391" spans="1:6" ht="16" x14ac:dyDescent="0.2">
      <c r="A3391" s="1" t="s">
        <v>737</v>
      </c>
      <c r="B3391" t="str">
        <f>LEFT(Table1[[#This Row],[Input]],1)</f>
        <v>R</v>
      </c>
      <c r="C3391">
        <f>_xlfn.LET(_xlpm.steps,SUBSTITUTE(Table1[[#This Row],[Input]],Table1[[#This Row],[Direction]],""),VALUE(IF(LEN(_xlpm.steps)&gt;2,RIGHT(_xlpm.steps,2),_xlpm.steps)))</f>
        <v>8</v>
      </c>
      <c r="D3391">
        <f>_xlfn.LET(_xlpm.dir,Table1[[#This Row],[Direction]],
IF(_xlpm.dir="L",
    IF(F3390-Table1[[#This Row],[Steps]]&lt;0,100+(F3390-Table1[[#This Row],[Steps]]),F3390-Table1[[#This Row],[Steps]]),
))</f>
        <v>0</v>
      </c>
      <c r="E3391">
        <f>_xlfn.LET(_xlpm.dir,Table1[[#This Row],[Direction]],
IF(_xlpm.dir="R",
    IF(F3390+Table1[[#This Row],[Steps]]&gt;99,(F3390+Table1[[#This Row],[Steps]])-100,F3390+Table1[[#This Row],[Steps]]),
))</f>
        <v>32</v>
      </c>
      <c r="F3391">
        <f>IF(Table1[[#This Row],[New Pos L]]&lt;&gt;0,Table1[[#This Row],[New Pos L]],Table1[[#This Row],[New Pos R]])</f>
        <v>32</v>
      </c>
    </row>
    <row r="3392" spans="1:6" ht="16" x14ac:dyDescent="0.2">
      <c r="A3392" s="1" t="s">
        <v>738</v>
      </c>
      <c r="B3392" t="str">
        <f>LEFT(Table1[[#This Row],[Input]],1)</f>
        <v>R</v>
      </c>
      <c r="C3392">
        <f>_xlfn.LET(_xlpm.steps,SUBSTITUTE(Table1[[#This Row],[Input]],Table1[[#This Row],[Direction]],""),VALUE(IF(LEN(_xlpm.steps)&gt;2,RIGHT(_xlpm.steps,2),_xlpm.steps)))</f>
        <v>68</v>
      </c>
      <c r="D3392">
        <f>_xlfn.LET(_xlpm.dir,Table1[[#This Row],[Direction]],
IF(_xlpm.dir="L",
    IF(F3391-Table1[[#This Row],[Steps]]&lt;0,100+(F3391-Table1[[#This Row],[Steps]]),F3391-Table1[[#This Row],[Steps]]),
))</f>
        <v>0</v>
      </c>
      <c r="E3392">
        <f>_xlfn.LET(_xlpm.dir,Table1[[#This Row],[Direction]],
IF(_xlpm.dir="R",
    IF(F3391+Table1[[#This Row],[Steps]]&gt;99,(F3391+Table1[[#This Row],[Steps]])-100,F3391+Table1[[#This Row],[Steps]]),
))</f>
        <v>0</v>
      </c>
      <c r="F3392">
        <f>IF(Table1[[#This Row],[New Pos L]]&lt;&gt;0,Table1[[#This Row],[New Pos L]],Table1[[#This Row],[New Pos R]])</f>
        <v>0</v>
      </c>
    </row>
    <row r="3393" spans="1:6" ht="16" x14ac:dyDescent="0.2">
      <c r="A3393" s="1" t="s">
        <v>165</v>
      </c>
      <c r="B3393" t="str">
        <f>LEFT(Table1[[#This Row],[Input]],1)</f>
        <v>R</v>
      </c>
      <c r="C3393">
        <f>_xlfn.LET(_xlpm.steps,SUBSTITUTE(Table1[[#This Row],[Input]],Table1[[#This Row],[Direction]],""),VALUE(IF(LEN(_xlpm.steps)&gt;2,RIGHT(_xlpm.steps,2),_xlpm.steps)))</f>
        <v>55</v>
      </c>
      <c r="D3393">
        <f>_xlfn.LET(_xlpm.dir,Table1[[#This Row],[Direction]],
IF(_xlpm.dir="L",
    IF(F3392-Table1[[#This Row],[Steps]]&lt;0,100+(F3392-Table1[[#This Row],[Steps]]),F3392-Table1[[#This Row],[Steps]]),
))</f>
        <v>0</v>
      </c>
      <c r="E3393">
        <f>_xlfn.LET(_xlpm.dir,Table1[[#This Row],[Direction]],
IF(_xlpm.dir="R",
    IF(F3392+Table1[[#This Row],[Steps]]&gt;99,(F3392+Table1[[#This Row],[Steps]])-100,F3392+Table1[[#This Row],[Steps]]),
))</f>
        <v>55</v>
      </c>
      <c r="F3393">
        <f>IF(Table1[[#This Row],[New Pos L]]&lt;&gt;0,Table1[[#This Row],[New Pos L]],Table1[[#This Row],[New Pos R]])</f>
        <v>55</v>
      </c>
    </row>
    <row r="3394" spans="1:6" ht="16" x14ac:dyDescent="0.2">
      <c r="A3394" s="1" t="s">
        <v>66</v>
      </c>
      <c r="B3394" t="str">
        <f>LEFT(Table1[[#This Row],[Input]],1)</f>
        <v>R</v>
      </c>
      <c r="C3394">
        <f>_xlfn.LET(_xlpm.steps,SUBSTITUTE(Table1[[#This Row],[Input]],Table1[[#This Row],[Direction]],""),VALUE(IF(LEN(_xlpm.steps)&gt;2,RIGHT(_xlpm.steps,2),_xlpm.steps)))</f>
        <v>45</v>
      </c>
      <c r="D3394">
        <f>_xlfn.LET(_xlpm.dir,Table1[[#This Row],[Direction]],
IF(_xlpm.dir="L",
    IF(F3393-Table1[[#This Row],[Steps]]&lt;0,100+(F3393-Table1[[#This Row],[Steps]]),F3393-Table1[[#This Row],[Steps]]),
))</f>
        <v>0</v>
      </c>
      <c r="E3394">
        <f>_xlfn.LET(_xlpm.dir,Table1[[#This Row],[Direction]],
IF(_xlpm.dir="R",
    IF(F3393+Table1[[#This Row],[Steps]]&gt;99,(F3393+Table1[[#This Row],[Steps]])-100,F3393+Table1[[#This Row],[Steps]]),
))</f>
        <v>0</v>
      </c>
      <c r="F3394">
        <f>IF(Table1[[#This Row],[New Pos L]]&lt;&gt;0,Table1[[#This Row],[New Pos L]],Table1[[#This Row],[New Pos R]])</f>
        <v>0</v>
      </c>
    </row>
    <row r="3395" spans="1:6" ht="16" x14ac:dyDescent="0.2">
      <c r="A3395" s="1" t="s">
        <v>739</v>
      </c>
      <c r="B3395" t="str">
        <f>LEFT(Table1[[#This Row],[Input]],1)</f>
        <v>R</v>
      </c>
      <c r="C3395">
        <f>_xlfn.LET(_xlpm.steps,SUBSTITUTE(Table1[[#This Row],[Input]],Table1[[#This Row],[Direction]],""),VALUE(IF(LEN(_xlpm.steps)&gt;2,RIGHT(_xlpm.steps,2),_xlpm.steps)))</f>
        <v>5</v>
      </c>
      <c r="D3395">
        <f>_xlfn.LET(_xlpm.dir,Table1[[#This Row],[Direction]],
IF(_xlpm.dir="L",
    IF(F3394-Table1[[#This Row],[Steps]]&lt;0,100+(F3394-Table1[[#This Row],[Steps]]),F3394-Table1[[#This Row],[Steps]]),
))</f>
        <v>0</v>
      </c>
      <c r="E3395">
        <f>_xlfn.LET(_xlpm.dir,Table1[[#This Row],[Direction]],
IF(_xlpm.dir="R",
    IF(F3394+Table1[[#This Row],[Steps]]&gt;99,(F3394+Table1[[#This Row],[Steps]])-100,F3394+Table1[[#This Row],[Steps]]),
))</f>
        <v>5</v>
      </c>
      <c r="F3395">
        <f>IF(Table1[[#This Row],[New Pos L]]&lt;&gt;0,Table1[[#This Row],[New Pos L]],Table1[[#This Row],[New Pos R]])</f>
        <v>5</v>
      </c>
    </row>
    <row r="3396" spans="1:6" ht="16" x14ac:dyDescent="0.2">
      <c r="A3396" s="1" t="s">
        <v>740</v>
      </c>
      <c r="B3396" t="str">
        <f>LEFT(Table1[[#This Row],[Input]],1)</f>
        <v>R</v>
      </c>
      <c r="C3396">
        <f>_xlfn.LET(_xlpm.steps,SUBSTITUTE(Table1[[#This Row],[Input]],Table1[[#This Row],[Direction]],""),VALUE(IF(LEN(_xlpm.steps)&gt;2,RIGHT(_xlpm.steps,2),_xlpm.steps)))</f>
        <v>87</v>
      </c>
      <c r="D3396">
        <f>_xlfn.LET(_xlpm.dir,Table1[[#This Row],[Direction]],
IF(_xlpm.dir="L",
    IF(F3395-Table1[[#This Row],[Steps]]&lt;0,100+(F3395-Table1[[#This Row],[Steps]]),F3395-Table1[[#This Row],[Steps]]),
))</f>
        <v>0</v>
      </c>
      <c r="E3396">
        <f>_xlfn.LET(_xlpm.dir,Table1[[#This Row],[Direction]],
IF(_xlpm.dir="R",
    IF(F3395+Table1[[#This Row],[Steps]]&gt;99,(F3395+Table1[[#This Row],[Steps]])-100,F3395+Table1[[#This Row],[Steps]]),
))</f>
        <v>92</v>
      </c>
      <c r="F3396">
        <f>IF(Table1[[#This Row],[New Pos L]]&lt;&gt;0,Table1[[#This Row],[New Pos L]],Table1[[#This Row],[New Pos R]])</f>
        <v>92</v>
      </c>
    </row>
    <row r="3397" spans="1:6" ht="16" x14ac:dyDescent="0.2">
      <c r="A3397" s="1" t="s">
        <v>22</v>
      </c>
      <c r="B3397" t="str">
        <f>LEFT(Table1[[#This Row],[Input]],1)</f>
        <v>L</v>
      </c>
      <c r="C3397">
        <f>_xlfn.LET(_xlpm.steps,SUBSTITUTE(Table1[[#This Row],[Input]],Table1[[#This Row],[Direction]],""),VALUE(IF(LEN(_xlpm.steps)&gt;2,RIGHT(_xlpm.steps,2),_xlpm.steps)))</f>
        <v>37</v>
      </c>
      <c r="D3397">
        <f>_xlfn.LET(_xlpm.dir,Table1[[#This Row],[Direction]],
IF(_xlpm.dir="L",
    IF(F3396-Table1[[#This Row],[Steps]]&lt;0,100+(F3396-Table1[[#This Row],[Steps]]),F3396-Table1[[#This Row],[Steps]]),
))</f>
        <v>55</v>
      </c>
      <c r="E3397">
        <f>_xlfn.LET(_xlpm.dir,Table1[[#This Row],[Direction]],
IF(_xlpm.dir="R",
    IF(F3396+Table1[[#This Row],[Steps]]&gt;99,(F3396+Table1[[#This Row],[Steps]])-100,F3396+Table1[[#This Row],[Steps]]),
))</f>
        <v>0</v>
      </c>
      <c r="F3397">
        <f>IF(Table1[[#This Row],[New Pos L]]&lt;&gt;0,Table1[[#This Row],[New Pos L]],Table1[[#This Row],[New Pos R]])</f>
        <v>55</v>
      </c>
    </row>
    <row r="3398" spans="1:6" ht="16" x14ac:dyDescent="0.2">
      <c r="A3398" s="1" t="s">
        <v>725</v>
      </c>
      <c r="B3398" t="str">
        <f>LEFT(Table1[[#This Row],[Input]],1)</f>
        <v>R</v>
      </c>
      <c r="C3398">
        <f>_xlfn.LET(_xlpm.steps,SUBSTITUTE(Table1[[#This Row],[Input]],Table1[[#This Row],[Direction]],""),VALUE(IF(LEN(_xlpm.steps)&gt;2,RIGHT(_xlpm.steps,2),_xlpm.steps)))</f>
        <v>76</v>
      </c>
      <c r="D3398">
        <f>_xlfn.LET(_xlpm.dir,Table1[[#This Row],[Direction]],
IF(_xlpm.dir="L",
    IF(F3397-Table1[[#This Row],[Steps]]&lt;0,100+(F3397-Table1[[#This Row],[Steps]]),F3397-Table1[[#This Row],[Steps]]),
))</f>
        <v>0</v>
      </c>
      <c r="E3398">
        <f>_xlfn.LET(_xlpm.dir,Table1[[#This Row],[Direction]],
IF(_xlpm.dir="R",
    IF(F3397+Table1[[#This Row],[Steps]]&gt;99,(F3397+Table1[[#This Row],[Steps]])-100,F3397+Table1[[#This Row],[Steps]]),
))</f>
        <v>31</v>
      </c>
      <c r="F3398">
        <f>IF(Table1[[#This Row],[New Pos L]]&lt;&gt;0,Table1[[#This Row],[New Pos L]],Table1[[#This Row],[New Pos R]])</f>
        <v>31</v>
      </c>
    </row>
    <row r="3399" spans="1:6" ht="16" x14ac:dyDescent="0.2">
      <c r="A3399" s="1" t="s">
        <v>185</v>
      </c>
      <c r="B3399" t="str">
        <f>LEFT(Table1[[#This Row],[Input]],1)</f>
        <v>R</v>
      </c>
      <c r="C3399">
        <f>_xlfn.LET(_xlpm.steps,SUBSTITUTE(Table1[[#This Row],[Input]],Table1[[#This Row],[Direction]],""),VALUE(IF(LEN(_xlpm.steps)&gt;2,RIGHT(_xlpm.steps,2),_xlpm.steps)))</f>
        <v>61</v>
      </c>
      <c r="D3399">
        <f>_xlfn.LET(_xlpm.dir,Table1[[#This Row],[Direction]],
IF(_xlpm.dir="L",
    IF(F3398-Table1[[#This Row],[Steps]]&lt;0,100+(F3398-Table1[[#This Row],[Steps]]),F3398-Table1[[#This Row],[Steps]]),
))</f>
        <v>0</v>
      </c>
      <c r="E3399">
        <f>_xlfn.LET(_xlpm.dir,Table1[[#This Row],[Direction]],
IF(_xlpm.dir="R",
    IF(F3398+Table1[[#This Row],[Steps]]&gt;99,(F3398+Table1[[#This Row],[Steps]])-100,F3398+Table1[[#This Row],[Steps]]),
))</f>
        <v>92</v>
      </c>
      <c r="F3399">
        <f>IF(Table1[[#This Row],[New Pos L]]&lt;&gt;0,Table1[[#This Row],[New Pos L]],Table1[[#This Row],[New Pos R]])</f>
        <v>92</v>
      </c>
    </row>
    <row r="3400" spans="1:6" ht="16" x14ac:dyDescent="0.2">
      <c r="A3400" s="1" t="s">
        <v>174</v>
      </c>
      <c r="B3400" t="str">
        <f>LEFT(Table1[[#This Row],[Input]],1)</f>
        <v>L</v>
      </c>
      <c r="C3400">
        <f>_xlfn.LET(_xlpm.steps,SUBSTITUTE(Table1[[#This Row],[Input]],Table1[[#This Row],[Direction]],""),VALUE(IF(LEN(_xlpm.steps)&gt;2,RIGHT(_xlpm.steps,2),_xlpm.steps)))</f>
        <v>92</v>
      </c>
      <c r="D3400">
        <f>_xlfn.LET(_xlpm.dir,Table1[[#This Row],[Direction]],
IF(_xlpm.dir="L",
    IF(F3399-Table1[[#This Row],[Steps]]&lt;0,100+(F3399-Table1[[#This Row],[Steps]]),F3399-Table1[[#This Row],[Steps]]),
))</f>
        <v>0</v>
      </c>
      <c r="E3400">
        <f>_xlfn.LET(_xlpm.dir,Table1[[#This Row],[Direction]],
IF(_xlpm.dir="R",
    IF(F3399+Table1[[#This Row],[Steps]]&gt;99,(F3399+Table1[[#This Row],[Steps]])-100,F3399+Table1[[#This Row],[Steps]]),
))</f>
        <v>0</v>
      </c>
      <c r="F3400">
        <f>IF(Table1[[#This Row],[New Pos L]]&lt;&gt;0,Table1[[#This Row],[New Pos L]],Table1[[#This Row],[New Pos R]])</f>
        <v>0</v>
      </c>
    </row>
    <row r="3401" spans="1:6" ht="16" x14ac:dyDescent="0.2">
      <c r="A3401" s="1" t="s">
        <v>741</v>
      </c>
      <c r="B3401" t="str">
        <f>LEFT(Table1[[#This Row],[Input]],1)</f>
        <v>L</v>
      </c>
      <c r="C3401">
        <f>_xlfn.LET(_xlpm.steps,SUBSTITUTE(Table1[[#This Row],[Input]],Table1[[#This Row],[Direction]],""),VALUE(IF(LEN(_xlpm.steps)&gt;2,RIGHT(_xlpm.steps,2),_xlpm.steps)))</f>
        <v>29</v>
      </c>
      <c r="D3401">
        <f>_xlfn.LET(_xlpm.dir,Table1[[#This Row],[Direction]],
IF(_xlpm.dir="L",
    IF(F3400-Table1[[#This Row],[Steps]]&lt;0,100+(F3400-Table1[[#This Row],[Steps]]),F3400-Table1[[#This Row],[Steps]]),
))</f>
        <v>71</v>
      </c>
      <c r="E3401">
        <f>_xlfn.LET(_xlpm.dir,Table1[[#This Row],[Direction]],
IF(_xlpm.dir="R",
    IF(F3400+Table1[[#This Row],[Steps]]&gt;99,(F3400+Table1[[#This Row],[Steps]])-100,F3400+Table1[[#This Row],[Steps]]),
))</f>
        <v>0</v>
      </c>
      <c r="F3401">
        <f>IF(Table1[[#This Row],[New Pos L]]&lt;&gt;0,Table1[[#This Row],[New Pos L]],Table1[[#This Row],[New Pos R]])</f>
        <v>71</v>
      </c>
    </row>
    <row r="3402" spans="1:6" ht="16" x14ac:dyDescent="0.2">
      <c r="A3402" s="1" t="s">
        <v>188</v>
      </c>
      <c r="B3402" t="str">
        <f>LEFT(Table1[[#This Row],[Input]],1)</f>
        <v>R</v>
      </c>
      <c r="C3402">
        <f>_xlfn.LET(_xlpm.steps,SUBSTITUTE(Table1[[#This Row],[Input]],Table1[[#This Row],[Direction]],""),VALUE(IF(LEN(_xlpm.steps)&gt;2,RIGHT(_xlpm.steps,2),_xlpm.steps)))</f>
        <v>5</v>
      </c>
      <c r="D3402">
        <f>_xlfn.LET(_xlpm.dir,Table1[[#This Row],[Direction]],
IF(_xlpm.dir="L",
    IF(F3401-Table1[[#This Row],[Steps]]&lt;0,100+(F3401-Table1[[#This Row],[Steps]]),F3401-Table1[[#This Row],[Steps]]),
))</f>
        <v>0</v>
      </c>
      <c r="E3402">
        <f>_xlfn.LET(_xlpm.dir,Table1[[#This Row],[Direction]],
IF(_xlpm.dir="R",
    IF(F3401+Table1[[#This Row],[Steps]]&gt;99,(F3401+Table1[[#This Row],[Steps]])-100,F3401+Table1[[#This Row],[Steps]]),
))</f>
        <v>76</v>
      </c>
      <c r="F3402">
        <f>IF(Table1[[#This Row],[New Pos L]]&lt;&gt;0,Table1[[#This Row],[New Pos L]],Table1[[#This Row],[New Pos R]])</f>
        <v>76</v>
      </c>
    </row>
    <row r="3403" spans="1:6" ht="16" x14ac:dyDescent="0.2">
      <c r="A3403" s="1" t="s">
        <v>91</v>
      </c>
      <c r="B3403" t="str">
        <f>LEFT(Table1[[#This Row],[Input]],1)</f>
        <v>L</v>
      </c>
      <c r="C3403">
        <f>_xlfn.LET(_xlpm.steps,SUBSTITUTE(Table1[[#This Row],[Input]],Table1[[#This Row],[Direction]],""),VALUE(IF(LEN(_xlpm.steps)&gt;2,RIGHT(_xlpm.steps,2),_xlpm.steps)))</f>
        <v>22</v>
      </c>
      <c r="D3403">
        <f>_xlfn.LET(_xlpm.dir,Table1[[#This Row],[Direction]],
IF(_xlpm.dir="L",
    IF(F3402-Table1[[#This Row],[Steps]]&lt;0,100+(F3402-Table1[[#This Row],[Steps]]),F3402-Table1[[#This Row],[Steps]]),
))</f>
        <v>54</v>
      </c>
      <c r="E3403">
        <f>_xlfn.LET(_xlpm.dir,Table1[[#This Row],[Direction]],
IF(_xlpm.dir="R",
    IF(F3402+Table1[[#This Row],[Steps]]&gt;99,(F3402+Table1[[#This Row],[Steps]])-100,F3402+Table1[[#This Row],[Steps]]),
))</f>
        <v>0</v>
      </c>
      <c r="F3403">
        <f>IF(Table1[[#This Row],[New Pos L]]&lt;&gt;0,Table1[[#This Row],[New Pos L]],Table1[[#This Row],[New Pos R]])</f>
        <v>54</v>
      </c>
    </row>
    <row r="3404" spans="1:6" ht="16" x14ac:dyDescent="0.2">
      <c r="A3404" s="1" t="s">
        <v>20</v>
      </c>
      <c r="B3404" t="str">
        <f>LEFT(Table1[[#This Row],[Input]],1)</f>
        <v>R</v>
      </c>
      <c r="C3404">
        <f>_xlfn.LET(_xlpm.steps,SUBSTITUTE(Table1[[#This Row],[Input]],Table1[[#This Row],[Direction]],""),VALUE(IF(LEN(_xlpm.steps)&gt;2,RIGHT(_xlpm.steps,2),_xlpm.steps)))</f>
        <v>46</v>
      </c>
      <c r="D3404">
        <f>_xlfn.LET(_xlpm.dir,Table1[[#This Row],[Direction]],
IF(_xlpm.dir="L",
    IF(F3403-Table1[[#This Row],[Steps]]&lt;0,100+(F3403-Table1[[#This Row],[Steps]]),F3403-Table1[[#This Row],[Steps]]),
))</f>
        <v>0</v>
      </c>
      <c r="E3404">
        <f>_xlfn.LET(_xlpm.dir,Table1[[#This Row],[Direction]],
IF(_xlpm.dir="R",
    IF(F3403+Table1[[#This Row],[Steps]]&gt;99,(F3403+Table1[[#This Row],[Steps]])-100,F3403+Table1[[#This Row],[Steps]]),
))</f>
        <v>0</v>
      </c>
      <c r="F3404">
        <f>IF(Table1[[#This Row],[New Pos L]]&lt;&gt;0,Table1[[#This Row],[New Pos L]],Table1[[#This Row],[New Pos R]])</f>
        <v>0</v>
      </c>
    </row>
    <row r="3405" spans="1:6" ht="16" x14ac:dyDescent="0.2">
      <c r="A3405" s="1" t="s">
        <v>245</v>
      </c>
      <c r="B3405" t="str">
        <f>LEFT(Table1[[#This Row],[Input]],1)</f>
        <v>R</v>
      </c>
      <c r="C3405">
        <f>_xlfn.LET(_xlpm.steps,SUBSTITUTE(Table1[[#This Row],[Input]],Table1[[#This Row],[Direction]],""),VALUE(IF(LEN(_xlpm.steps)&gt;2,RIGHT(_xlpm.steps,2),_xlpm.steps)))</f>
        <v>71</v>
      </c>
      <c r="D3405">
        <f>_xlfn.LET(_xlpm.dir,Table1[[#This Row],[Direction]],
IF(_xlpm.dir="L",
    IF(F3404-Table1[[#This Row],[Steps]]&lt;0,100+(F3404-Table1[[#This Row],[Steps]]),F3404-Table1[[#This Row],[Steps]]),
))</f>
        <v>0</v>
      </c>
      <c r="E3405">
        <f>_xlfn.LET(_xlpm.dir,Table1[[#This Row],[Direction]],
IF(_xlpm.dir="R",
    IF(F3404+Table1[[#This Row],[Steps]]&gt;99,(F3404+Table1[[#This Row],[Steps]])-100,F3404+Table1[[#This Row],[Steps]]),
))</f>
        <v>71</v>
      </c>
      <c r="F3405">
        <f>IF(Table1[[#This Row],[New Pos L]]&lt;&gt;0,Table1[[#This Row],[New Pos L]],Table1[[#This Row],[New Pos R]])</f>
        <v>71</v>
      </c>
    </row>
    <row r="3406" spans="1:6" ht="16" x14ac:dyDescent="0.2">
      <c r="A3406" s="1" t="s">
        <v>94</v>
      </c>
      <c r="B3406" t="str">
        <f>LEFT(Table1[[#This Row],[Input]],1)</f>
        <v>L</v>
      </c>
      <c r="C3406">
        <f>_xlfn.LET(_xlpm.steps,SUBSTITUTE(Table1[[#This Row],[Input]],Table1[[#This Row],[Direction]],""),VALUE(IF(LEN(_xlpm.steps)&gt;2,RIGHT(_xlpm.steps,2),_xlpm.steps)))</f>
        <v>71</v>
      </c>
      <c r="D3406">
        <f>_xlfn.LET(_xlpm.dir,Table1[[#This Row],[Direction]],
IF(_xlpm.dir="L",
    IF(F3405-Table1[[#This Row],[Steps]]&lt;0,100+(F3405-Table1[[#This Row],[Steps]]),F3405-Table1[[#This Row],[Steps]]),
))</f>
        <v>0</v>
      </c>
      <c r="E3406">
        <f>_xlfn.LET(_xlpm.dir,Table1[[#This Row],[Direction]],
IF(_xlpm.dir="R",
    IF(F3405+Table1[[#This Row],[Steps]]&gt;99,(F3405+Table1[[#This Row],[Steps]])-100,F3405+Table1[[#This Row],[Steps]]),
))</f>
        <v>0</v>
      </c>
      <c r="F3406">
        <f>IF(Table1[[#This Row],[New Pos L]]&lt;&gt;0,Table1[[#This Row],[New Pos L]],Table1[[#This Row],[New Pos R]])</f>
        <v>0</v>
      </c>
    </row>
    <row r="3407" spans="1:6" ht="16" x14ac:dyDescent="0.2">
      <c r="A3407" s="1" t="s">
        <v>18</v>
      </c>
      <c r="B3407" t="str">
        <f>LEFT(Table1[[#This Row],[Input]],1)</f>
        <v>L</v>
      </c>
      <c r="C3407">
        <f>_xlfn.LET(_xlpm.steps,SUBSTITUTE(Table1[[#This Row],[Input]],Table1[[#This Row],[Direction]],""),VALUE(IF(LEN(_xlpm.steps)&gt;2,RIGHT(_xlpm.steps,2),_xlpm.steps)))</f>
        <v>46</v>
      </c>
      <c r="D3407">
        <f>_xlfn.LET(_xlpm.dir,Table1[[#This Row],[Direction]],
IF(_xlpm.dir="L",
    IF(F3406-Table1[[#This Row],[Steps]]&lt;0,100+(F3406-Table1[[#This Row],[Steps]]),F3406-Table1[[#This Row],[Steps]]),
))</f>
        <v>54</v>
      </c>
      <c r="E3407">
        <f>_xlfn.LET(_xlpm.dir,Table1[[#This Row],[Direction]],
IF(_xlpm.dir="R",
    IF(F3406+Table1[[#This Row],[Steps]]&gt;99,(F3406+Table1[[#This Row],[Steps]])-100,F3406+Table1[[#This Row],[Steps]]),
))</f>
        <v>0</v>
      </c>
      <c r="F3407">
        <f>IF(Table1[[#This Row],[New Pos L]]&lt;&gt;0,Table1[[#This Row],[New Pos L]],Table1[[#This Row],[New Pos R]])</f>
        <v>54</v>
      </c>
    </row>
    <row r="3408" spans="1:6" ht="16" x14ac:dyDescent="0.2">
      <c r="A3408" s="1" t="s">
        <v>47</v>
      </c>
      <c r="B3408" t="str">
        <f>LEFT(Table1[[#This Row],[Input]],1)</f>
        <v>R</v>
      </c>
      <c r="C3408">
        <f>_xlfn.LET(_xlpm.steps,SUBSTITUTE(Table1[[#This Row],[Input]],Table1[[#This Row],[Direction]],""),VALUE(IF(LEN(_xlpm.steps)&gt;2,RIGHT(_xlpm.steps,2),_xlpm.steps)))</f>
        <v>97</v>
      </c>
      <c r="D3408">
        <f>_xlfn.LET(_xlpm.dir,Table1[[#This Row],[Direction]],
IF(_xlpm.dir="L",
    IF(F3407-Table1[[#This Row],[Steps]]&lt;0,100+(F3407-Table1[[#This Row],[Steps]]),F3407-Table1[[#This Row],[Steps]]),
))</f>
        <v>0</v>
      </c>
      <c r="E3408">
        <f>_xlfn.LET(_xlpm.dir,Table1[[#This Row],[Direction]],
IF(_xlpm.dir="R",
    IF(F3407+Table1[[#This Row],[Steps]]&gt;99,(F3407+Table1[[#This Row],[Steps]])-100,F3407+Table1[[#This Row],[Steps]]),
))</f>
        <v>51</v>
      </c>
      <c r="F3408">
        <f>IF(Table1[[#This Row],[New Pos L]]&lt;&gt;0,Table1[[#This Row],[New Pos L]],Table1[[#This Row],[New Pos R]])</f>
        <v>51</v>
      </c>
    </row>
    <row r="3409" spans="1:6" ht="16" x14ac:dyDescent="0.2">
      <c r="A3409" s="1" t="s">
        <v>253</v>
      </c>
      <c r="B3409" t="str">
        <f>LEFT(Table1[[#This Row],[Input]],1)</f>
        <v>R</v>
      </c>
      <c r="C3409">
        <f>_xlfn.LET(_xlpm.steps,SUBSTITUTE(Table1[[#This Row],[Input]],Table1[[#This Row],[Direction]],""),VALUE(IF(LEN(_xlpm.steps)&gt;2,RIGHT(_xlpm.steps,2),_xlpm.steps)))</f>
        <v>94</v>
      </c>
      <c r="D3409">
        <f>_xlfn.LET(_xlpm.dir,Table1[[#This Row],[Direction]],
IF(_xlpm.dir="L",
    IF(F3408-Table1[[#This Row],[Steps]]&lt;0,100+(F3408-Table1[[#This Row],[Steps]]),F3408-Table1[[#This Row],[Steps]]),
))</f>
        <v>0</v>
      </c>
      <c r="E3409">
        <f>_xlfn.LET(_xlpm.dir,Table1[[#This Row],[Direction]],
IF(_xlpm.dir="R",
    IF(F3408+Table1[[#This Row],[Steps]]&gt;99,(F3408+Table1[[#This Row],[Steps]])-100,F3408+Table1[[#This Row],[Steps]]),
))</f>
        <v>45</v>
      </c>
      <c r="F3409">
        <f>IF(Table1[[#This Row],[New Pos L]]&lt;&gt;0,Table1[[#This Row],[New Pos L]],Table1[[#This Row],[New Pos R]])</f>
        <v>45</v>
      </c>
    </row>
    <row r="3410" spans="1:6" ht="16" x14ac:dyDescent="0.2">
      <c r="A3410" s="1" t="s">
        <v>94</v>
      </c>
      <c r="B3410" t="str">
        <f>LEFT(Table1[[#This Row],[Input]],1)</f>
        <v>L</v>
      </c>
      <c r="C3410">
        <f>_xlfn.LET(_xlpm.steps,SUBSTITUTE(Table1[[#This Row],[Input]],Table1[[#This Row],[Direction]],""),VALUE(IF(LEN(_xlpm.steps)&gt;2,RIGHT(_xlpm.steps,2),_xlpm.steps)))</f>
        <v>71</v>
      </c>
      <c r="D3410">
        <f>_xlfn.LET(_xlpm.dir,Table1[[#This Row],[Direction]],
IF(_xlpm.dir="L",
    IF(F3409-Table1[[#This Row],[Steps]]&lt;0,100+(F3409-Table1[[#This Row],[Steps]]),F3409-Table1[[#This Row],[Steps]]),
))</f>
        <v>74</v>
      </c>
      <c r="E3410">
        <f>_xlfn.LET(_xlpm.dir,Table1[[#This Row],[Direction]],
IF(_xlpm.dir="R",
    IF(F3409+Table1[[#This Row],[Steps]]&gt;99,(F3409+Table1[[#This Row],[Steps]])-100,F3409+Table1[[#This Row],[Steps]]),
))</f>
        <v>0</v>
      </c>
      <c r="F3410">
        <f>IF(Table1[[#This Row],[New Pos L]]&lt;&gt;0,Table1[[#This Row],[New Pos L]],Table1[[#This Row],[New Pos R]])</f>
        <v>74</v>
      </c>
    </row>
    <row r="3411" spans="1:6" ht="16" x14ac:dyDescent="0.2">
      <c r="A3411" s="1" t="s">
        <v>13</v>
      </c>
      <c r="B3411" t="str">
        <f>LEFT(Table1[[#This Row],[Input]],1)</f>
        <v>R</v>
      </c>
      <c r="C3411">
        <f>_xlfn.LET(_xlpm.steps,SUBSTITUTE(Table1[[#This Row],[Input]],Table1[[#This Row],[Direction]],""),VALUE(IF(LEN(_xlpm.steps)&gt;2,RIGHT(_xlpm.steps,2),_xlpm.steps)))</f>
        <v>12</v>
      </c>
      <c r="D3411">
        <f>_xlfn.LET(_xlpm.dir,Table1[[#This Row],[Direction]],
IF(_xlpm.dir="L",
    IF(F3410-Table1[[#This Row],[Steps]]&lt;0,100+(F3410-Table1[[#This Row],[Steps]]),F3410-Table1[[#This Row],[Steps]]),
))</f>
        <v>0</v>
      </c>
      <c r="E3411">
        <f>_xlfn.LET(_xlpm.dir,Table1[[#This Row],[Direction]],
IF(_xlpm.dir="R",
    IF(F3410+Table1[[#This Row],[Steps]]&gt;99,(F3410+Table1[[#This Row],[Steps]])-100,F3410+Table1[[#This Row],[Steps]]),
))</f>
        <v>86</v>
      </c>
      <c r="F3411">
        <f>IF(Table1[[#This Row],[New Pos L]]&lt;&gt;0,Table1[[#This Row],[New Pos L]],Table1[[#This Row],[New Pos R]])</f>
        <v>86</v>
      </c>
    </row>
    <row r="3412" spans="1:6" ht="16" x14ac:dyDescent="0.2">
      <c r="A3412" s="1" t="s">
        <v>254</v>
      </c>
      <c r="B3412" t="str">
        <f>LEFT(Table1[[#This Row],[Input]],1)</f>
        <v>R</v>
      </c>
      <c r="C3412">
        <f>_xlfn.LET(_xlpm.steps,SUBSTITUTE(Table1[[#This Row],[Input]],Table1[[#This Row],[Direction]],""),VALUE(IF(LEN(_xlpm.steps)&gt;2,RIGHT(_xlpm.steps,2),_xlpm.steps)))</f>
        <v>84</v>
      </c>
      <c r="D3412">
        <f>_xlfn.LET(_xlpm.dir,Table1[[#This Row],[Direction]],
IF(_xlpm.dir="L",
    IF(F3411-Table1[[#This Row],[Steps]]&lt;0,100+(F3411-Table1[[#This Row],[Steps]]),F3411-Table1[[#This Row],[Steps]]),
))</f>
        <v>0</v>
      </c>
      <c r="E3412">
        <f>_xlfn.LET(_xlpm.dir,Table1[[#This Row],[Direction]],
IF(_xlpm.dir="R",
    IF(F3411+Table1[[#This Row],[Steps]]&gt;99,(F3411+Table1[[#This Row],[Steps]])-100,F3411+Table1[[#This Row],[Steps]]),
))</f>
        <v>70</v>
      </c>
      <c r="F3412">
        <f>IF(Table1[[#This Row],[New Pos L]]&lt;&gt;0,Table1[[#This Row],[New Pos L]],Table1[[#This Row],[New Pos R]])</f>
        <v>70</v>
      </c>
    </row>
    <row r="3413" spans="1:6" ht="16" x14ac:dyDescent="0.2">
      <c r="A3413" s="1" t="s">
        <v>296</v>
      </c>
      <c r="B3413" t="str">
        <f>LEFT(Table1[[#This Row],[Input]],1)</f>
        <v>R</v>
      </c>
      <c r="C3413">
        <f>_xlfn.LET(_xlpm.steps,SUBSTITUTE(Table1[[#This Row],[Input]],Table1[[#This Row],[Direction]],""),VALUE(IF(LEN(_xlpm.steps)&gt;2,RIGHT(_xlpm.steps,2),_xlpm.steps)))</f>
        <v>19</v>
      </c>
      <c r="D3413">
        <f>_xlfn.LET(_xlpm.dir,Table1[[#This Row],[Direction]],
IF(_xlpm.dir="L",
    IF(F3412-Table1[[#This Row],[Steps]]&lt;0,100+(F3412-Table1[[#This Row],[Steps]]),F3412-Table1[[#This Row],[Steps]]),
))</f>
        <v>0</v>
      </c>
      <c r="E3413">
        <f>_xlfn.LET(_xlpm.dir,Table1[[#This Row],[Direction]],
IF(_xlpm.dir="R",
    IF(F3412+Table1[[#This Row],[Steps]]&gt;99,(F3412+Table1[[#This Row],[Steps]])-100,F3412+Table1[[#This Row],[Steps]]),
))</f>
        <v>89</v>
      </c>
      <c r="F3413">
        <f>IF(Table1[[#This Row],[New Pos L]]&lt;&gt;0,Table1[[#This Row],[New Pos L]],Table1[[#This Row],[New Pos R]])</f>
        <v>89</v>
      </c>
    </row>
    <row r="3414" spans="1:6" ht="16" x14ac:dyDescent="0.2">
      <c r="A3414" s="1" t="s">
        <v>207</v>
      </c>
      <c r="B3414" t="str">
        <f>LEFT(Table1[[#This Row],[Input]],1)</f>
        <v>L</v>
      </c>
      <c r="C3414">
        <f>_xlfn.LET(_xlpm.steps,SUBSTITUTE(Table1[[#This Row],[Input]],Table1[[#This Row],[Direction]],""),VALUE(IF(LEN(_xlpm.steps)&gt;2,RIGHT(_xlpm.steps,2),_xlpm.steps)))</f>
        <v>89</v>
      </c>
      <c r="D3414">
        <f>_xlfn.LET(_xlpm.dir,Table1[[#This Row],[Direction]],
IF(_xlpm.dir="L",
    IF(F3413-Table1[[#This Row],[Steps]]&lt;0,100+(F3413-Table1[[#This Row],[Steps]]),F3413-Table1[[#This Row],[Steps]]),
))</f>
        <v>0</v>
      </c>
      <c r="E3414">
        <f>_xlfn.LET(_xlpm.dir,Table1[[#This Row],[Direction]],
IF(_xlpm.dir="R",
    IF(F3413+Table1[[#This Row],[Steps]]&gt;99,(F3413+Table1[[#This Row],[Steps]])-100,F3413+Table1[[#This Row],[Steps]]),
))</f>
        <v>0</v>
      </c>
      <c r="F3414">
        <f>IF(Table1[[#This Row],[New Pos L]]&lt;&gt;0,Table1[[#This Row],[New Pos L]],Table1[[#This Row],[New Pos R]])</f>
        <v>0</v>
      </c>
    </row>
    <row r="3415" spans="1:6" ht="16" x14ac:dyDescent="0.2">
      <c r="A3415" s="1" t="s">
        <v>742</v>
      </c>
      <c r="B3415" t="str">
        <f>LEFT(Table1[[#This Row],[Input]],1)</f>
        <v>L</v>
      </c>
      <c r="C3415">
        <f>_xlfn.LET(_xlpm.steps,SUBSTITUTE(Table1[[#This Row],[Input]],Table1[[#This Row],[Direction]],""),VALUE(IF(LEN(_xlpm.steps)&gt;2,RIGHT(_xlpm.steps,2),_xlpm.steps)))</f>
        <v>38</v>
      </c>
      <c r="D3415">
        <f>_xlfn.LET(_xlpm.dir,Table1[[#This Row],[Direction]],
IF(_xlpm.dir="L",
    IF(F3414-Table1[[#This Row],[Steps]]&lt;0,100+(F3414-Table1[[#This Row],[Steps]]),F3414-Table1[[#This Row],[Steps]]),
))</f>
        <v>62</v>
      </c>
      <c r="E3415">
        <f>_xlfn.LET(_xlpm.dir,Table1[[#This Row],[Direction]],
IF(_xlpm.dir="R",
    IF(F3414+Table1[[#This Row],[Steps]]&gt;99,(F3414+Table1[[#This Row],[Steps]])-100,F3414+Table1[[#This Row],[Steps]]),
))</f>
        <v>0</v>
      </c>
      <c r="F3415">
        <f>IF(Table1[[#This Row],[New Pos L]]&lt;&gt;0,Table1[[#This Row],[New Pos L]],Table1[[#This Row],[New Pos R]])</f>
        <v>62</v>
      </c>
    </row>
    <row r="3416" spans="1:6" ht="16" x14ac:dyDescent="0.2">
      <c r="A3416" s="1" t="s">
        <v>139</v>
      </c>
      <c r="B3416" t="str">
        <f>LEFT(Table1[[#This Row],[Input]],1)</f>
        <v>R</v>
      </c>
      <c r="C3416">
        <f>_xlfn.LET(_xlpm.steps,SUBSTITUTE(Table1[[#This Row],[Input]],Table1[[#This Row],[Direction]],""),VALUE(IF(LEN(_xlpm.steps)&gt;2,RIGHT(_xlpm.steps,2),_xlpm.steps)))</f>
        <v>38</v>
      </c>
      <c r="D3416">
        <f>_xlfn.LET(_xlpm.dir,Table1[[#This Row],[Direction]],
IF(_xlpm.dir="L",
    IF(F3415-Table1[[#This Row],[Steps]]&lt;0,100+(F3415-Table1[[#This Row],[Steps]]),F3415-Table1[[#This Row],[Steps]]),
))</f>
        <v>0</v>
      </c>
      <c r="E3416">
        <f>_xlfn.LET(_xlpm.dir,Table1[[#This Row],[Direction]],
IF(_xlpm.dir="R",
    IF(F3415+Table1[[#This Row],[Steps]]&gt;99,(F3415+Table1[[#This Row],[Steps]])-100,F3415+Table1[[#This Row],[Steps]]),
))</f>
        <v>0</v>
      </c>
      <c r="F3416">
        <f>IF(Table1[[#This Row],[New Pos L]]&lt;&gt;0,Table1[[#This Row],[New Pos L]],Table1[[#This Row],[New Pos R]])</f>
        <v>0</v>
      </c>
    </row>
    <row r="3417" spans="1:6" ht="16" x14ac:dyDescent="0.2">
      <c r="A3417" s="1" t="s">
        <v>295</v>
      </c>
      <c r="B3417" t="str">
        <f>LEFT(Table1[[#This Row],[Input]],1)</f>
        <v>L</v>
      </c>
      <c r="C3417">
        <f>_xlfn.LET(_xlpm.steps,SUBSTITUTE(Table1[[#This Row],[Input]],Table1[[#This Row],[Direction]],""),VALUE(IF(LEN(_xlpm.steps)&gt;2,RIGHT(_xlpm.steps,2),_xlpm.steps)))</f>
        <v>88</v>
      </c>
      <c r="D3417">
        <f>_xlfn.LET(_xlpm.dir,Table1[[#This Row],[Direction]],
IF(_xlpm.dir="L",
    IF(F3416-Table1[[#This Row],[Steps]]&lt;0,100+(F3416-Table1[[#This Row],[Steps]]),F3416-Table1[[#This Row],[Steps]]),
))</f>
        <v>12</v>
      </c>
      <c r="E3417">
        <f>_xlfn.LET(_xlpm.dir,Table1[[#This Row],[Direction]],
IF(_xlpm.dir="R",
    IF(F3416+Table1[[#This Row],[Steps]]&gt;99,(F3416+Table1[[#This Row],[Steps]])-100,F3416+Table1[[#This Row],[Steps]]),
))</f>
        <v>0</v>
      </c>
      <c r="F3417">
        <f>IF(Table1[[#This Row],[New Pos L]]&lt;&gt;0,Table1[[#This Row],[New Pos L]],Table1[[#This Row],[New Pos R]])</f>
        <v>12</v>
      </c>
    </row>
    <row r="3418" spans="1:6" ht="16" x14ac:dyDescent="0.2">
      <c r="A3418" s="1" t="s">
        <v>185</v>
      </c>
      <c r="B3418" t="str">
        <f>LEFT(Table1[[#This Row],[Input]],1)</f>
        <v>R</v>
      </c>
      <c r="C3418">
        <f>_xlfn.LET(_xlpm.steps,SUBSTITUTE(Table1[[#This Row],[Input]],Table1[[#This Row],[Direction]],""),VALUE(IF(LEN(_xlpm.steps)&gt;2,RIGHT(_xlpm.steps,2),_xlpm.steps)))</f>
        <v>61</v>
      </c>
      <c r="D3418">
        <f>_xlfn.LET(_xlpm.dir,Table1[[#This Row],[Direction]],
IF(_xlpm.dir="L",
    IF(F3417-Table1[[#This Row],[Steps]]&lt;0,100+(F3417-Table1[[#This Row],[Steps]]),F3417-Table1[[#This Row],[Steps]]),
))</f>
        <v>0</v>
      </c>
      <c r="E3418">
        <f>_xlfn.LET(_xlpm.dir,Table1[[#This Row],[Direction]],
IF(_xlpm.dir="R",
    IF(F3417+Table1[[#This Row],[Steps]]&gt;99,(F3417+Table1[[#This Row],[Steps]])-100,F3417+Table1[[#This Row],[Steps]]),
))</f>
        <v>73</v>
      </c>
      <c r="F3418">
        <f>IF(Table1[[#This Row],[New Pos L]]&lt;&gt;0,Table1[[#This Row],[New Pos L]],Table1[[#This Row],[New Pos R]])</f>
        <v>73</v>
      </c>
    </row>
    <row r="3419" spans="1:6" ht="16" x14ac:dyDescent="0.2">
      <c r="A3419" s="1" t="s">
        <v>120</v>
      </c>
      <c r="B3419" t="str">
        <f>LEFT(Table1[[#This Row],[Input]],1)</f>
        <v>L</v>
      </c>
      <c r="C3419">
        <f>_xlfn.LET(_xlpm.steps,SUBSTITUTE(Table1[[#This Row],[Input]],Table1[[#This Row],[Direction]],""),VALUE(IF(LEN(_xlpm.steps)&gt;2,RIGHT(_xlpm.steps,2),_xlpm.steps)))</f>
        <v>23</v>
      </c>
      <c r="D3419">
        <f>_xlfn.LET(_xlpm.dir,Table1[[#This Row],[Direction]],
IF(_xlpm.dir="L",
    IF(F3418-Table1[[#This Row],[Steps]]&lt;0,100+(F3418-Table1[[#This Row],[Steps]]),F3418-Table1[[#This Row],[Steps]]),
))</f>
        <v>50</v>
      </c>
      <c r="E3419">
        <f>_xlfn.LET(_xlpm.dir,Table1[[#This Row],[Direction]],
IF(_xlpm.dir="R",
    IF(F3418+Table1[[#This Row],[Steps]]&gt;99,(F3418+Table1[[#This Row],[Steps]])-100,F3418+Table1[[#This Row],[Steps]]),
))</f>
        <v>0</v>
      </c>
      <c r="F3419">
        <f>IF(Table1[[#This Row],[New Pos L]]&lt;&gt;0,Table1[[#This Row],[New Pos L]],Table1[[#This Row],[New Pos R]])</f>
        <v>50</v>
      </c>
    </row>
    <row r="3420" spans="1:6" ht="16" x14ac:dyDescent="0.2">
      <c r="A3420" s="1" t="s">
        <v>79</v>
      </c>
      <c r="B3420" t="str">
        <f>LEFT(Table1[[#This Row],[Input]],1)</f>
        <v>L</v>
      </c>
      <c r="C3420">
        <f>_xlfn.LET(_xlpm.steps,SUBSTITUTE(Table1[[#This Row],[Input]],Table1[[#This Row],[Direction]],""),VALUE(IF(LEN(_xlpm.steps)&gt;2,RIGHT(_xlpm.steps,2),_xlpm.steps)))</f>
        <v>45</v>
      </c>
      <c r="D3420">
        <f>_xlfn.LET(_xlpm.dir,Table1[[#This Row],[Direction]],
IF(_xlpm.dir="L",
    IF(F3419-Table1[[#This Row],[Steps]]&lt;0,100+(F3419-Table1[[#This Row],[Steps]]),F3419-Table1[[#This Row],[Steps]]),
))</f>
        <v>5</v>
      </c>
      <c r="E3420">
        <f>_xlfn.LET(_xlpm.dir,Table1[[#This Row],[Direction]],
IF(_xlpm.dir="R",
    IF(F3419+Table1[[#This Row],[Steps]]&gt;99,(F3419+Table1[[#This Row],[Steps]])-100,F3419+Table1[[#This Row],[Steps]]),
))</f>
        <v>0</v>
      </c>
      <c r="F3420">
        <f>IF(Table1[[#This Row],[New Pos L]]&lt;&gt;0,Table1[[#This Row],[New Pos L]],Table1[[#This Row],[New Pos R]])</f>
        <v>5</v>
      </c>
    </row>
    <row r="3421" spans="1:6" ht="16" x14ac:dyDescent="0.2">
      <c r="A3421" s="1" t="s">
        <v>145</v>
      </c>
      <c r="B3421" t="str">
        <f>LEFT(Table1[[#This Row],[Input]],1)</f>
        <v>L</v>
      </c>
      <c r="C3421">
        <f>_xlfn.LET(_xlpm.steps,SUBSTITUTE(Table1[[#This Row],[Input]],Table1[[#This Row],[Direction]],""),VALUE(IF(LEN(_xlpm.steps)&gt;2,RIGHT(_xlpm.steps,2),_xlpm.steps)))</f>
        <v>83</v>
      </c>
      <c r="D3421">
        <f>_xlfn.LET(_xlpm.dir,Table1[[#This Row],[Direction]],
IF(_xlpm.dir="L",
    IF(F3420-Table1[[#This Row],[Steps]]&lt;0,100+(F3420-Table1[[#This Row],[Steps]]),F3420-Table1[[#This Row],[Steps]]),
))</f>
        <v>22</v>
      </c>
      <c r="E3421">
        <f>_xlfn.LET(_xlpm.dir,Table1[[#This Row],[Direction]],
IF(_xlpm.dir="R",
    IF(F3420+Table1[[#This Row],[Steps]]&gt;99,(F3420+Table1[[#This Row],[Steps]])-100,F3420+Table1[[#This Row],[Steps]]),
))</f>
        <v>0</v>
      </c>
      <c r="F3421">
        <f>IF(Table1[[#This Row],[New Pos L]]&lt;&gt;0,Table1[[#This Row],[New Pos L]],Table1[[#This Row],[New Pos R]])</f>
        <v>22</v>
      </c>
    </row>
    <row r="3422" spans="1:6" ht="16" x14ac:dyDescent="0.2">
      <c r="A3422" s="1" t="s">
        <v>161</v>
      </c>
      <c r="B3422" t="str">
        <f>LEFT(Table1[[#This Row],[Input]],1)</f>
        <v>R</v>
      </c>
      <c r="C3422">
        <f>_xlfn.LET(_xlpm.steps,SUBSTITUTE(Table1[[#This Row],[Input]],Table1[[#This Row],[Direction]],""),VALUE(IF(LEN(_xlpm.steps)&gt;2,RIGHT(_xlpm.steps,2),_xlpm.steps)))</f>
        <v>76</v>
      </c>
      <c r="D3422">
        <f>_xlfn.LET(_xlpm.dir,Table1[[#This Row],[Direction]],
IF(_xlpm.dir="L",
    IF(F3421-Table1[[#This Row],[Steps]]&lt;0,100+(F3421-Table1[[#This Row],[Steps]]),F3421-Table1[[#This Row],[Steps]]),
))</f>
        <v>0</v>
      </c>
      <c r="E3422">
        <f>_xlfn.LET(_xlpm.dir,Table1[[#This Row],[Direction]],
IF(_xlpm.dir="R",
    IF(F3421+Table1[[#This Row],[Steps]]&gt;99,(F3421+Table1[[#This Row],[Steps]])-100,F3421+Table1[[#This Row],[Steps]]),
))</f>
        <v>98</v>
      </c>
      <c r="F3422">
        <f>IF(Table1[[#This Row],[New Pos L]]&lt;&gt;0,Table1[[#This Row],[New Pos L]],Table1[[#This Row],[New Pos R]])</f>
        <v>98</v>
      </c>
    </row>
    <row r="3423" spans="1:6" ht="16" x14ac:dyDescent="0.2">
      <c r="A3423" s="1" t="s">
        <v>244</v>
      </c>
      <c r="B3423" t="str">
        <f>LEFT(Table1[[#This Row],[Input]],1)</f>
        <v>L</v>
      </c>
      <c r="C3423">
        <f>_xlfn.LET(_xlpm.steps,SUBSTITUTE(Table1[[#This Row],[Input]],Table1[[#This Row],[Direction]],""),VALUE(IF(LEN(_xlpm.steps)&gt;2,RIGHT(_xlpm.steps,2),_xlpm.steps)))</f>
        <v>98</v>
      </c>
      <c r="D3423">
        <f>_xlfn.LET(_xlpm.dir,Table1[[#This Row],[Direction]],
IF(_xlpm.dir="L",
    IF(F3422-Table1[[#This Row],[Steps]]&lt;0,100+(F3422-Table1[[#This Row],[Steps]]),F3422-Table1[[#This Row],[Steps]]),
))</f>
        <v>0</v>
      </c>
      <c r="E3423">
        <f>_xlfn.LET(_xlpm.dir,Table1[[#This Row],[Direction]],
IF(_xlpm.dir="R",
    IF(F3422+Table1[[#This Row],[Steps]]&gt;99,(F3422+Table1[[#This Row],[Steps]])-100,F3422+Table1[[#This Row],[Steps]]),
))</f>
        <v>0</v>
      </c>
      <c r="F3423">
        <f>IF(Table1[[#This Row],[New Pos L]]&lt;&gt;0,Table1[[#This Row],[New Pos L]],Table1[[#This Row],[New Pos R]])</f>
        <v>0</v>
      </c>
    </row>
    <row r="3424" spans="1:6" ht="16" x14ac:dyDescent="0.2">
      <c r="A3424" s="1" t="s">
        <v>296</v>
      </c>
      <c r="B3424" t="str">
        <f>LEFT(Table1[[#This Row],[Input]],1)</f>
        <v>R</v>
      </c>
      <c r="C3424">
        <f>_xlfn.LET(_xlpm.steps,SUBSTITUTE(Table1[[#This Row],[Input]],Table1[[#This Row],[Direction]],""),VALUE(IF(LEN(_xlpm.steps)&gt;2,RIGHT(_xlpm.steps,2),_xlpm.steps)))</f>
        <v>19</v>
      </c>
      <c r="D3424">
        <f>_xlfn.LET(_xlpm.dir,Table1[[#This Row],[Direction]],
IF(_xlpm.dir="L",
    IF(F3423-Table1[[#This Row],[Steps]]&lt;0,100+(F3423-Table1[[#This Row],[Steps]]),F3423-Table1[[#This Row],[Steps]]),
))</f>
        <v>0</v>
      </c>
      <c r="E3424">
        <f>_xlfn.LET(_xlpm.dir,Table1[[#This Row],[Direction]],
IF(_xlpm.dir="R",
    IF(F3423+Table1[[#This Row],[Steps]]&gt;99,(F3423+Table1[[#This Row],[Steps]])-100,F3423+Table1[[#This Row],[Steps]]),
))</f>
        <v>19</v>
      </c>
      <c r="F3424">
        <f>IF(Table1[[#This Row],[New Pos L]]&lt;&gt;0,Table1[[#This Row],[New Pos L]],Table1[[#This Row],[New Pos R]])</f>
        <v>19</v>
      </c>
    </row>
    <row r="3425" spans="1:6" ht="16" x14ac:dyDescent="0.2">
      <c r="A3425" s="1" t="s">
        <v>65</v>
      </c>
      <c r="B3425" t="str">
        <f>LEFT(Table1[[#This Row],[Input]],1)</f>
        <v>L</v>
      </c>
      <c r="C3425">
        <f>_xlfn.LET(_xlpm.steps,SUBSTITUTE(Table1[[#This Row],[Input]],Table1[[#This Row],[Direction]],""),VALUE(IF(LEN(_xlpm.steps)&gt;2,RIGHT(_xlpm.steps,2),_xlpm.steps)))</f>
        <v>19</v>
      </c>
      <c r="D3425">
        <f>_xlfn.LET(_xlpm.dir,Table1[[#This Row],[Direction]],
IF(_xlpm.dir="L",
    IF(F3424-Table1[[#This Row],[Steps]]&lt;0,100+(F3424-Table1[[#This Row],[Steps]]),F3424-Table1[[#This Row],[Steps]]),
))</f>
        <v>0</v>
      </c>
      <c r="E3425">
        <f>_xlfn.LET(_xlpm.dir,Table1[[#This Row],[Direction]],
IF(_xlpm.dir="R",
    IF(F3424+Table1[[#This Row],[Steps]]&gt;99,(F3424+Table1[[#This Row],[Steps]])-100,F3424+Table1[[#This Row],[Steps]]),
))</f>
        <v>0</v>
      </c>
      <c r="F3425">
        <f>IF(Table1[[#This Row],[New Pos L]]&lt;&gt;0,Table1[[#This Row],[New Pos L]],Table1[[#This Row],[New Pos R]])</f>
        <v>0</v>
      </c>
    </row>
    <row r="3426" spans="1:6" ht="16" x14ac:dyDescent="0.2">
      <c r="A3426" s="1" t="s">
        <v>216</v>
      </c>
      <c r="B3426" t="str">
        <f>LEFT(Table1[[#This Row],[Input]],1)</f>
        <v>R</v>
      </c>
      <c r="C3426">
        <f>_xlfn.LET(_xlpm.steps,SUBSTITUTE(Table1[[#This Row],[Input]],Table1[[#This Row],[Direction]],""),VALUE(IF(LEN(_xlpm.steps)&gt;2,RIGHT(_xlpm.steps,2),_xlpm.steps)))</f>
        <v>54</v>
      </c>
      <c r="D3426">
        <f>_xlfn.LET(_xlpm.dir,Table1[[#This Row],[Direction]],
IF(_xlpm.dir="L",
    IF(F3425-Table1[[#This Row],[Steps]]&lt;0,100+(F3425-Table1[[#This Row],[Steps]]),F3425-Table1[[#This Row],[Steps]]),
))</f>
        <v>0</v>
      </c>
      <c r="E3426">
        <f>_xlfn.LET(_xlpm.dir,Table1[[#This Row],[Direction]],
IF(_xlpm.dir="R",
    IF(F3425+Table1[[#This Row],[Steps]]&gt;99,(F3425+Table1[[#This Row],[Steps]])-100,F3425+Table1[[#This Row],[Steps]]),
))</f>
        <v>54</v>
      </c>
      <c r="F3426">
        <f>IF(Table1[[#This Row],[New Pos L]]&lt;&gt;0,Table1[[#This Row],[New Pos L]],Table1[[#This Row],[New Pos R]])</f>
        <v>54</v>
      </c>
    </row>
    <row r="3427" spans="1:6" ht="16" x14ac:dyDescent="0.2">
      <c r="A3427" s="1" t="s">
        <v>167</v>
      </c>
      <c r="B3427" t="str">
        <f>LEFT(Table1[[#This Row],[Input]],1)</f>
        <v>L</v>
      </c>
      <c r="C3427">
        <f>_xlfn.LET(_xlpm.steps,SUBSTITUTE(Table1[[#This Row],[Input]],Table1[[#This Row],[Direction]],""),VALUE(IF(LEN(_xlpm.steps)&gt;2,RIGHT(_xlpm.steps,2),_xlpm.steps)))</f>
        <v>59</v>
      </c>
      <c r="D3427">
        <f>_xlfn.LET(_xlpm.dir,Table1[[#This Row],[Direction]],
IF(_xlpm.dir="L",
    IF(F3426-Table1[[#This Row],[Steps]]&lt;0,100+(F3426-Table1[[#This Row],[Steps]]),F3426-Table1[[#This Row],[Steps]]),
))</f>
        <v>95</v>
      </c>
      <c r="E3427">
        <f>_xlfn.LET(_xlpm.dir,Table1[[#This Row],[Direction]],
IF(_xlpm.dir="R",
    IF(F3426+Table1[[#This Row],[Steps]]&gt;99,(F3426+Table1[[#This Row],[Steps]])-100,F3426+Table1[[#This Row],[Steps]]),
))</f>
        <v>0</v>
      </c>
      <c r="F3427">
        <f>IF(Table1[[#This Row],[New Pos L]]&lt;&gt;0,Table1[[#This Row],[New Pos L]],Table1[[#This Row],[New Pos R]])</f>
        <v>95</v>
      </c>
    </row>
    <row r="3428" spans="1:6" ht="16" x14ac:dyDescent="0.2">
      <c r="A3428" s="1" t="s">
        <v>134</v>
      </c>
      <c r="B3428" t="str">
        <f>LEFT(Table1[[#This Row],[Input]],1)</f>
        <v>L</v>
      </c>
      <c r="C3428">
        <f>_xlfn.LET(_xlpm.steps,SUBSTITUTE(Table1[[#This Row],[Input]],Table1[[#This Row],[Direction]],""),VALUE(IF(LEN(_xlpm.steps)&gt;2,RIGHT(_xlpm.steps,2),_xlpm.steps)))</f>
        <v>95</v>
      </c>
      <c r="D3428">
        <f>_xlfn.LET(_xlpm.dir,Table1[[#This Row],[Direction]],
IF(_xlpm.dir="L",
    IF(F3427-Table1[[#This Row],[Steps]]&lt;0,100+(F3427-Table1[[#This Row],[Steps]]),F3427-Table1[[#This Row],[Steps]]),
))</f>
        <v>0</v>
      </c>
      <c r="E3428">
        <f>_xlfn.LET(_xlpm.dir,Table1[[#This Row],[Direction]],
IF(_xlpm.dir="R",
    IF(F3427+Table1[[#This Row],[Steps]]&gt;99,(F3427+Table1[[#This Row],[Steps]])-100,F3427+Table1[[#This Row],[Steps]]),
))</f>
        <v>0</v>
      </c>
      <c r="F3428">
        <f>IF(Table1[[#This Row],[New Pos L]]&lt;&gt;0,Table1[[#This Row],[New Pos L]],Table1[[#This Row],[New Pos R]])</f>
        <v>0</v>
      </c>
    </row>
    <row r="3429" spans="1:6" ht="16" x14ac:dyDescent="0.2">
      <c r="A3429" s="1" t="s">
        <v>319</v>
      </c>
      <c r="B3429" t="str">
        <f>LEFT(Table1[[#This Row],[Input]],1)</f>
        <v>L</v>
      </c>
      <c r="C3429">
        <f>_xlfn.LET(_xlpm.steps,SUBSTITUTE(Table1[[#This Row],[Input]],Table1[[#This Row],[Direction]],""),VALUE(IF(LEN(_xlpm.steps)&gt;2,RIGHT(_xlpm.steps,2),_xlpm.steps)))</f>
        <v>79</v>
      </c>
      <c r="D3429">
        <f>_xlfn.LET(_xlpm.dir,Table1[[#This Row],[Direction]],
IF(_xlpm.dir="L",
    IF(F3428-Table1[[#This Row],[Steps]]&lt;0,100+(F3428-Table1[[#This Row],[Steps]]),F3428-Table1[[#This Row],[Steps]]),
))</f>
        <v>21</v>
      </c>
      <c r="E3429">
        <f>_xlfn.LET(_xlpm.dir,Table1[[#This Row],[Direction]],
IF(_xlpm.dir="R",
    IF(F3428+Table1[[#This Row],[Steps]]&gt;99,(F3428+Table1[[#This Row],[Steps]])-100,F3428+Table1[[#This Row],[Steps]]),
))</f>
        <v>0</v>
      </c>
      <c r="F3429">
        <f>IF(Table1[[#This Row],[New Pos L]]&lt;&gt;0,Table1[[#This Row],[New Pos L]],Table1[[#This Row],[New Pos R]])</f>
        <v>21</v>
      </c>
    </row>
    <row r="3430" spans="1:6" ht="16" x14ac:dyDescent="0.2">
      <c r="A3430" s="1" t="s">
        <v>264</v>
      </c>
      <c r="B3430" t="str">
        <f>LEFT(Table1[[#This Row],[Input]],1)</f>
        <v>L</v>
      </c>
      <c r="C3430">
        <f>_xlfn.LET(_xlpm.steps,SUBSTITUTE(Table1[[#This Row],[Input]],Table1[[#This Row],[Direction]],""),VALUE(IF(LEN(_xlpm.steps)&gt;2,RIGHT(_xlpm.steps,2),_xlpm.steps)))</f>
        <v>21</v>
      </c>
      <c r="D3430">
        <f>_xlfn.LET(_xlpm.dir,Table1[[#This Row],[Direction]],
IF(_xlpm.dir="L",
    IF(F3429-Table1[[#This Row],[Steps]]&lt;0,100+(F3429-Table1[[#This Row],[Steps]]),F3429-Table1[[#This Row],[Steps]]),
))</f>
        <v>0</v>
      </c>
      <c r="E3430">
        <f>_xlfn.LET(_xlpm.dir,Table1[[#This Row],[Direction]],
IF(_xlpm.dir="R",
    IF(F3429+Table1[[#This Row],[Steps]]&gt;99,(F3429+Table1[[#This Row],[Steps]])-100,F3429+Table1[[#This Row],[Steps]]),
))</f>
        <v>0</v>
      </c>
      <c r="F3430">
        <f>IF(Table1[[#This Row],[New Pos L]]&lt;&gt;0,Table1[[#This Row],[New Pos L]],Table1[[#This Row],[New Pos R]])</f>
        <v>0</v>
      </c>
    </row>
    <row r="3431" spans="1:6" ht="16" x14ac:dyDescent="0.2">
      <c r="A3431" s="1" t="s">
        <v>84</v>
      </c>
      <c r="B3431" t="str">
        <f>LEFT(Table1[[#This Row],[Input]],1)</f>
        <v>R</v>
      </c>
      <c r="C3431">
        <f>_xlfn.LET(_xlpm.steps,SUBSTITUTE(Table1[[#This Row],[Input]],Table1[[#This Row],[Direction]],""),VALUE(IF(LEN(_xlpm.steps)&gt;2,RIGHT(_xlpm.steps,2),_xlpm.steps)))</f>
        <v>88</v>
      </c>
      <c r="D3431">
        <f>_xlfn.LET(_xlpm.dir,Table1[[#This Row],[Direction]],
IF(_xlpm.dir="L",
    IF(F3430-Table1[[#This Row],[Steps]]&lt;0,100+(F3430-Table1[[#This Row],[Steps]]),F3430-Table1[[#This Row],[Steps]]),
))</f>
        <v>0</v>
      </c>
      <c r="E3431">
        <f>_xlfn.LET(_xlpm.dir,Table1[[#This Row],[Direction]],
IF(_xlpm.dir="R",
    IF(F3430+Table1[[#This Row],[Steps]]&gt;99,(F3430+Table1[[#This Row],[Steps]])-100,F3430+Table1[[#This Row],[Steps]]),
))</f>
        <v>88</v>
      </c>
      <c r="F3431">
        <f>IF(Table1[[#This Row],[New Pos L]]&lt;&gt;0,Table1[[#This Row],[New Pos L]],Table1[[#This Row],[New Pos R]])</f>
        <v>88</v>
      </c>
    </row>
    <row r="3432" spans="1:6" ht="16" x14ac:dyDescent="0.2">
      <c r="A3432" s="1" t="s">
        <v>295</v>
      </c>
      <c r="B3432" t="str">
        <f>LEFT(Table1[[#This Row],[Input]],1)</f>
        <v>L</v>
      </c>
      <c r="C3432">
        <f>_xlfn.LET(_xlpm.steps,SUBSTITUTE(Table1[[#This Row],[Input]],Table1[[#This Row],[Direction]],""),VALUE(IF(LEN(_xlpm.steps)&gt;2,RIGHT(_xlpm.steps,2),_xlpm.steps)))</f>
        <v>88</v>
      </c>
      <c r="D3432">
        <f>_xlfn.LET(_xlpm.dir,Table1[[#This Row],[Direction]],
IF(_xlpm.dir="L",
    IF(F3431-Table1[[#This Row],[Steps]]&lt;0,100+(F3431-Table1[[#This Row],[Steps]]),F3431-Table1[[#This Row],[Steps]]),
))</f>
        <v>0</v>
      </c>
      <c r="E3432">
        <f>_xlfn.LET(_xlpm.dir,Table1[[#This Row],[Direction]],
IF(_xlpm.dir="R",
    IF(F3431+Table1[[#This Row],[Steps]]&gt;99,(F3431+Table1[[#This Row],[Steps]])-100,F3431+Table1[[#This Row],[Steps]]),
))</f>
        <v>0</v>
      </c>
      <c r="F3432">
        <f>IF(Table1[[#This Row],[New Pos L]]&lt;&gt;0,Table1[[#This Row],[New Pos L]],Table1[[#This Row],[New Pos R]])</f>
        <v>0</v>
      </c>
    </row>
    <row r="3433" spans="1:6" ht="16" x14ac:dyDescent="0.2">
      <c r="A3433" s="1" t="s">
        <v>0</v>
      </c>
      <c r="B3433" t="str">
        <f>LEFT(Table1[[#This Row],[Input]],1)</f>
        <v>L</v>
      </c>
      <c r="C3433">
        <f>_xlfn.LET(_xlpm.steps,SUBSTITUTE(Table1[[#This Row],[Input]],Table1[[#This Row],[Direction]],""),VALUE(IF(LEN(_xlpm.steps)&gt;2,RIGHT(_xlpm.steps,2),_xlpm.steps)))</f>
        <v>44</v>
      </c>
      <c r="D3433">
        <f>_xlfn.LET(_xlpm.dir,Table1[[#This Row],[Direction]],
IF(_xlpm.dir="L",
    IF(F3432-Table1[[#This Row],[Steps]]&lt;0,100+(F3432-Table1[[#This Row],[Steps]]),F3432-Table1[[#This Row],[Steps]]),
))</f>
        <v>56</v>
      </c>
      <c r="E3433">
        <f>_xlfn.LET(_xlpm.dir,Table1[[#This Row],[Direction]],
IF(_xlpm.dir="R",
    IF(F3432+Table1[[#This Row],[Steps]]&gt;99,(F3432+Table1[[#This Row],[Steps]])-100,F3432+Table1[[#This Row],[Steps]]),
))</f>
        <v>0</v>
      </c>
      <c r="F3433">
        <f>IF(Table1[[#This Row],[New Pos L]]&lt;&gt;0,Table1[[#This Row],[New Pos L]],Table1[[#This Row],[New Pos R]])</f>
        <v>56</v>
      </c>
    </row>
    <row r="3434" spans="1:6" ht="16" x14ac:dyDescent="0.2">
      <c r="A3434" s="1" t="s">
        <v>8</v>
      </c>
      <c r="B3434" t="str">
        <f>LEFT(Table1[[#This Row],[Input]],1)</f>
        <v>R</v>
      </c>
      <c r="C3434">
        <f>_xlfn.LET(_xlpm.steps,SUBSTITUTE(Table1[[#This Row],[Input]],Table1[[#This Row],[Direction]],""),VALUE(IF(LEN(_xlpm.steps)&gt;2,RIGHT(_xlpm.steps,2),_xlpm.steps)))</f>
        <v>18</v>
      </c>
      <c r="D3434">
        <f>_xlfn.LET(_xlpm.dir,Table1[[#This Row],[Direction]],
IF(_xlpm.dir="L",
    IF(F3433-Table1[[#This Row],[Steps]]&lt;0,100+(F3433-Table1[[#This Row],[Steps]]),F3433-Table1[[#This Row],[Steps]]),
))</f>
        <v>0</v>
      </c>
      <c r="E3434">
        <f>_xlfn.LET(_xlpm.dir,Table1[[#This Row],[Direction]],
IF(_xlpm.dir="R",
    IF(F3433+Table1[[#This Row],[Steps]]&gt;99,(F3433+Table1[[#This Row],[Steps]])-100,F3433+Table1[[#This Row],[Steps]]),
))</f>
        <v>74</v>
      </c>
      <c r="F3434">
        <f>IF(Table1[[#This Row],[New Pos L]]&lt;&gt;0,Table1[[#This Row],[New Pos L]],Table1[[#This Row],[New Pos R]])</f>
        <v>74</v>
      </c>
    </row>
    <row r="3435" spans="1:6" ht="16" x14ac:dyDescent="0.2">
      <c r="A3435" s="1" t="s">
        <v>175</v>
      </c>
      <c r="B3435" t="str">
        <f>LEFT(Table1[[#This Row],[Input]],1)</f>
        <v>L</v>
      </c>
      <c r="C3435">
        <f>_xlfn.LET(_xlpm.steps,SUBSTITUTE(Table1[[#This Row],[Input]],Table1[[#This Row],[Direction]],""),VALUE(IF(LEN(_xlpm.steps)&gt;2,RIGHT(_xlpm.steps,2),_xlpm.steps)))</f>
        <v>1</v>
      </c>
      <c r="D3435">
        <f>_xlfn.LET(_xlpm.dir,Table1[[#This Row],[Direction]],
IF(_xlpm.dir="L",
    IF(F3434-Table1[[#This Row],[Steps]]&lt;0,100+(F3434-Table1[[#This Row],[Steps]]),F3434-Table1[[#This Row],[Steps]]),
))</f>
        <v>73</v>
      </c>
      <c r="E3435">
        <f>_xlfn.LET(_xlpm.dir,Table1[[#This Row],[Direction]],
IF(_xlpm.dir="R",
    IF(F3434+Table1[[#This Row],[Steps]]&gt;99,(F3434+Table1[[#This Row],[Steps]])-100,F3434+Table1[[#This Row],[Steps]]),
))</f>
        <v>0</v>
      </c>
      <c r="F3435">
        <f>IF(Table1[[#This Row],[New Pos L]]&lt;&gt;0,Table1[[#This Row],[New Pos L]],Table1[[#This Row],[New Pos R]])</f>
        <v>73</v>
      </c>
    </row>
    <row r="3436" spans="1:6" ht="16" x14ac:dyDescent="0.2">
      <c r="A3436" s="1" t="s">
        <v>69</v>
      </c>
      <c r="B3436" t="str">
        <f>LEFT(Table1[[#This Row],[Input]],1)</f>
        <v>R</v>
      </c>
      <c r="C3436">
        <f>_xlfn.LET(_xlpm.steps,SUBSTITUTE(Table1[[#This Row],[Input]],Table1[[#This Row],[Direction]],""),VALUE(IF(LEN(_xlpm.steps)&gt;2,RIGHT(_xlpm.steps,2),_xlpm.steps)))</f>
        <v>27</v>
      </c>
      <c r="D3436">
        <f>_xlfn.LET(_xlpm.dir,Table1[[#This Row],[Direction]],
IF(_xlpm.dir="L",
    IF(F3435-Table1[[#This Row],[Steps]]&lt;0,100+(F3435-Table1[[#This Row],[Steps]]),F3435-Table1[[#This Row],[Steps]]),
))</f>
        <v>0</v>
      </c>
      <c r="E3436">
        <f>_xlfn.LET(_xlpm.dir,Table1[[#This Row],[Direction]],
IF(_xlpm.dir="R",
    IF(F3435+Table1[[#This Row],[Steps]]&gt;99,(F3435+Table1[[#This Row],[Steps]])-100,F3435+Table1[[#This Row],[Steps]]),
))</f>
        <v>0</v>
      </c>
      <c r="F3436">
        <f>IF(Table1[[#This Row],[New Pos L]]&lt;&gt;0,Table1[[#This Row],[New Pos L]],Table1[[#This Row],[New Pos R]])</f>
        <v>0</v>
      </c>
    </row>
    <row r="3437" spans="1:6" ht="16" x14ac:dyDescent="0.2">
      <c r="A3437" s="1" t="s">
        <v>743</v>
      </c>
      <c r="B3437" t="str">
        <f>LEFT(Table1[[#This Row],[Input]],1)</f>
        <v>R</v>
      </c>
      <c r="C3437">
        <f>_xlfn.LET(_xlpm.steps,SUBSTITUTE(Table1[[#This Row],[Input]],Table1[[#This Row],[Direction]],""),VALUE(IF(LEN(_xlpm.steps)&gt;2,RIGHT(_xlpm.steps,2),_xlpm.steps)))</f>
        <v>34</v>
      </c>
      <c r="D3437">
        <f>_xlfn.LET(_xlpm.dir,Table1[[#This Row],[Direction]],
IF(_xlpm.dir="L",
    IF(F3436-Table1[[#This Row],[Steps]]&lt;0,100+(F3436-Table1[[#This Row],[Steps]]),F3436-Table1[[#This Row],[Steps]]),
))</f>
        <v>0</v>
      </c>
      <c r="E3437">
        <f>_xlfn.LET(_xlpm.dir,Table1[[#This Row],[Direction]],
IF(_xlpm.dir="R",
    IF(F3436+Table1[[#This Row],[Steps]]&gt;99,(F3436+Table1[[#This Row],[Steps]])-100,F3436+Table1[[#This Row],[Steps]]),
))</f>
        <v>34</v>
      </c>
      <c r="F3437">
        <f>IF(Table1[[#This Row],[New Pos L]]&lt;&gt;0,Table1[[#This Row],[New Pos L]],Table1[[#This Row],[New Pos R]])</f>
        <v>34</v>
      </c>
    </row>
    <row r="3438" spans="1:6" ht="16" x14ac:dyDescent="0.2">
      <c r="A3438" s="1" t="s">
        <v>158</v>
      </c>
      <c r="B3438" t="str">
        <f>LEFT(Table1[[#This Row],[Input]],1)</f>
        <v>L</v>
      </c>
      <c r="C3438">
        <f>_xlfn.LET(_xlpm.steps,SUBSTITUTE(Table1[[#This Row],[Input]],Table1[[#This Row],[Direction]],""),VALUE(IF(LEN(_xlpm.steps)&gt;2,RIGHT(_xlpm.steps,2),_xlpm.steps)))</f>
        <v>24</v>
      </c>
      <c r="D3438">
        <f>_xlfn.LET(_xlpm.dir,Table1[[#This Row],[Direction]],
IF(_xlpm.dir="L",
    IF(F3437-Table1[[#This Row],[Steps]]&lt;0,100+(F3437-Table1[[#This Row],[Steps]]),F3437-Table1[[#This Row],[Steps]]),
))</f>
        <v>10</v>
      </c>
      <c r="E3438">
        <f>_xlfn.LET(_xlpm.dir,Table1[[#This Row],[Direction]],
IF(_xlpm.dir="R",
    IF(F3437+Table1[[#This Row],[Steps]]&gt;99,(F3437+Table1[[#This Row],[Steps]])-100,F3437+Table1[[#This Row],[Steps]]),
))</f>
        <v>0</v>
      </c>
      <c r="F3438">
        <f>IF(Table1[[#This Row],[New Pos L]]&lt;&gt;0,Table1[[#This Row],[New Pos L]],Table1[[#This Row],[New Pos R]])</f>
        <v>10</v>
      </c>
    </row>
    <row r="3439" spans="1:6" ht="16" x14ac:dyDescent="0.2">
      <c r="A3439" s="1" t="s">
        <v>288</v>
      </c>
      <c r="B3439" t="str">
        <f>LEFT(Table1[[#This Row],[Input]],1)</f>
        <v>R</v>
      </c>
      <c r="C3439">
        <f>_xlfn.LET(_xlpm.steps,SUBSTITUTE(Table1[[#This Row],[Input]],Table1[[#This Row],[Direction]],""),VALUE(IF(LEN(_xlpm.steps)&gt;2,RIGHT(_xlpm.steps,2),_xlpm.steps)))</f>
        <v>25</v>
      </c>
      <c r="D3439">
        <f>_xlfn.LET(_xlpm.dir,Table1[[#This Row],[Direction]],
IF(_xlpm.dir="L",
    IF(F3438-Table1[[#This Row],[Steps]]&lt;0,100+(F3438-Table1[[#This Row],[Steps]]),F3438-Table1[[#This Row],[Steps]]),
))</f>
        <v>0</v>
      </c>
      <c r="E3439">
        <f>_xlfn.LET(_xlpm.dir,Table1[[#This Row],[Direction]],
IF(_xlpm.dir="R",
    IF(F3438+Table1[[#This Row],[Steps]]&gt;99,(F3438+Table1[[#This Row],[Steps]])-100,F3438+Table1[[#This Row],[Steps]]),
))</f>
        <v>35</v>
      </c>
      <c r="F3439">
        <f>IF(Table1[[#This Row],[New Pos L]]&lt;&gt;0,Table1[[#This Row],[New Pos L]],Table1[[#This Row],[New Pos R]])</f>
        <v>35</v>
      </c>
    </row>
    <row r="3440" spans="1:6" ht="16" x14ac:dyDescent="0.2">
      <c r="A3440" s="1" t="s">
        <v>10</v>
      </c>
      <c r="B3440" t="str">
        <f>LEFT(Table1[[#This Row],[Input]],1)</f>
        <v>L</v>
      </c>
      <c r="C3440">
        <f>_xlfn.LET(_xlpm.steps,SUBSTITUTE(Table1[[#This Row],[Input]],Table1[[#This Row],[Direction]],""),VALUE(IF(LEN(_xlpm.steps)&gt;2,RIGHT(_xlpm.steps,2),_xlpm.steps)))</f>
        <v>35</v>
      </c>
      <c r="D3440">
        <f>_xlfn.LET(_xlpm.dir,Table1[[#This Row],[Direction]],
IF(_xlpm.dir="L",
    IF(F3439-Table1[[#This Row],[Steps]]&lt;0,100+(F3439-Table1[[#This Row],[Steps]]),F3439-Table1[[#This Row],[Steps]]),
))</f>
        <v>0</v>
      </c>
      <c r="E3440">
        <f>_xlfn.LET(_xlpm.dir,Table1[[#This Row],[Direction]],
IF(_xlpm.dir="R",
    IF(F3439+Table1[[#This Row],[Steps]]&gt;99,(F3439+Table1[[#This Row],[Steps]])-100,F3439+Table1[[#This Row],[Steps]]),
))</f>
        <v>0</v>
      </c>
      <c r="F3440">
        <f>IF(Table1[[#This Row],[New Pos L]]&lt;&gt;0,Table1[[#This Row],[New Pos L]],Table1[[#This Row],[New Pos R]])</f>
        <v>0</v>
      </c>
    </row>
    <row r="3441" spans="1:6" ht="16" x14ac:dyDescent="0.2">
      <c r="A3441" s="1" t="s">
        <v>10</v>
      </c>
      <c r="B3441" t="str">
        <f>LEFT(Table1[[#This Row],[Input]],1)</f>
        <v>L</v>
      </c>
      <c r="C3441">
        <f>_xlfn.LET(_xlpm.steps,SUBSTITUTE(Table1[[#This Row],[Input]],Table1[[#This Row],[Direction]],""),VALUE(IF(LEN(_xlpm.steps)&gt;2,RIGHT(_xlpm.steps,2),_xlpm.steps)))</f>
        <v>35</v>
      </c>
      <c r="D3441">
        <f>_xlfn.LET(_xlpm.dir,Table1[[#This Row],[Direction]],
IF(_xlpm.dir="L",
    IF(F3440-Table1[[#This Row],[Steps]]&lt;0,100+(F3440-Table1[[#This Row],[Steps]]),F3440-Table1[[#This Row],[Steps]]),
))</f>
        <v>65</v>
      </c>
      <c r="E3441">
        <f>_xlfn.LET(_xlpm.dir,Table1[[#This Row],[Direction]],
IF(_xlpm.dir="R",
    IF(F3440+Table1[[#This Row],[Steps]]&gt;99,(F3440+Table1[[#This Row],[Steps]])-100,F3440+Table1[[#This Row],[Steps]]),
))</f>
        <v>0</v>
      </c>
      <c r="F3441">
        <f>IF(Table1[[#This Row],[New Pos L]]&lt;&gt;0,Table1[[#This Row],[New Pos L]],Table1[[#This Row],[New Pos R]])</f>
        <v>65</v>
      </c>
    </row>
    <row r="3442" spans="1:6" ht="16" x14ac:dyDescent="0.2">
      <c r="A3442" s="1" t="s">
        <v>98</v>
      </c>
      <c r="B3442" t="str">
        <f>LEFT(Table1[[#This Row],[Input]],1)</f>
        <v>L</v>
      </c>
      <c r="C3442">
        <f>_xlfn.LET(_xlpm.steps,SUBSTITUTE(Table1[[#This Row],[Input]],Table1[[#This Row],[Direction]],""),VALUE(IF(LEN(_xlpm.steps)&gt;2,RIGHT(_xlpm.steps,2),_xlpm.steps)))</f>
        <v>65</v>
      </c>
      <c r="D3442">
        <f>_xlfn.LET(_xlpm.dir,Table1[[#This Row],[Direction]],
IF(_xlpm.dir="L",
    IF(F3441-Table1[[#This Row],[Steps]]&lt;0,100+(F3441-Table1[[#This Row],[Steps]]),F3441-Table1[[#This Row],[Steps]]),
))</f>
        <v>0</v>
      </c>
      <c r="E3442">
        <f>_xlfn.LET(_xlpm.dir,Table1[[#This Row],[Direction]],
IF(_xlpm.dir="R",
    IF(F3441+Table1[[#This Row],[Steps]]&gt;99,(F3441+Table1[[#This Row],[Steps]])-100,F3441+Table1[[#This Row],[Steps]]),
))</f>
        <v>0</v>
      </c>
      <c r="F3442">
        <f>IF(Table1[[#This Row],[New Pos L]]&lt;&gt;0,Table1[[#This Row],[New Pos L]],Table1[[#This Row],[New Pos R]])</f>
        <v>0</v>
      </c>
    </row>
    <row r="3443" spans="1:6" ht="16" x14ac:dyDescent="0.2">
      <c r="A3443" s="1" t="s">
        <v>744</v>
      </c>
      <c r="B3443" t="str">
        <f>LEFT(Table1[[#This Row],[Input]],1)</f>
        <v>L</v>
      </c>
      <c r="C3443">
        <f>_xlfn.LET(_xlpm.steps,SUBSTITUTE(Table1[[#This Row],[Input]],Table1[[#This Row],[Direction]],""),VALUE(IF(LEN(_xlpm.steps)&gt;2,RIGHT(_xlpm.steps,2),_xlpm.steps)))</f>
        <v>70</v>
      </c>
      <c r="D3443">
        <f>_xlfn.LET(_xlpm.dir,Table1[[#This Row],[Direction]],
IF(_xlpm.dir="L",
    IF(F3442-Table1[[#This Row],[Steps]]&lt;0,100+(F3442-Table1[[#This Row],[Steps]]),F3442-Table1[[#This Row],[Steps]]),
))</f>
        <v>30</v>
      </c>
      <c r="E3443">
        <f>_xlfn.LET(_xlpm.dir,Table1[[#This Row],[Direction]],
IF(_xlpm.dir="R",
    IF(F3442+Table1[[#This Row],[Steps]]&gt;99,(F3442+Table1[[#This Row],[Steps]])-100,F3442+Table1[[#This Row],[Steps]]),
))</f>
        <v>0</v>
      </c>
      <c r="F3443">
        <f>IF(Table1[[#This Row],[New Pos L]]&lt;&gt;0,Table1[[#This Row],[New Pos L]],Table1[[#This Row],[New Pos R]])</f>
        <v>30</v>
      </c>
    </row>
    <row r="3444" spans="1:6" ht="16" x14ac:dyDescent="0.2">
      <c r="A3444" s="1" t="s">
        <v>68</v>
      </c>
      <c r="B3444" t="str">
        <f>LEFT(Table1[[#This Row],[Input]],1)</f>
        <v>L</v>
      </c>
      <c r="C3444">
        <f>_xlfn.LET(_xlpm.steps,SUBSTITUTE(Table1[[#This Row],[Input]],Table1[[#This Row],[Direction]],""),VALUE(IF(LEN(_xlpm.steps)&gt;2,RIGHT(_xlpm.steps,2),_xlpm.steps)))</f>
        <v>80</v>
      </c>
      <c r="D3444">
        <f>_xlfn.LET(_xlpm.dir,Table1[[#This Row],[Direction]],
IF(_xlpm.dir="L",
    IF(F3443-Table1[[#This Row],[Steps]]&lt;0,100+(F3443-Table1[[#This Row],[Steps]]),F3443-Table1[[#This Row],[Steps]]),
))</f>
        <v>50</v>
      </c>
      <c r="E3444">
        <f>_xlfn.LET(_xlpm.dir,Table1[[#This Row],[Direction]],
IF(_xlpm.dir="R",
    IF(F3443+Table1[[#This Row],[Steps]]&gt;99,(F3443+Table1[[#This Row],[Steps]])-100,F3443+Table1[[#This Row],[Steps]]),
))</f>
        <v>0</v>
      </c>
      <c r="F3444">
        <f>IF(Table1[[#This Row],[New Pos L]]&lt;&gt;0,Table1[[#This Row],[New Pos L]],Table1[[#This Row],[New Pos R]])</f>
        <v>50</v>
      </c>
    </row>
    <row r="3445" spans="1:6" ht="16" x14ac:dyDescent="0.2">
      <c r="A3445" s="1" t="s">
        <v>315</v>
      </c>
      <c r="B3445" t="str">
        <f>LEFT(Table1[[#This Row],[Input]],1)</f>
        <v>L</v>
      </c>
      <c r="C3445">
        <f>_xlfn.LET(_xlpm.steps,SUBSTITUTE(Table1[[#This Row],[Input]],Table1[[#This Row],[Direction]],""),VALUE(IF(LEN(_xlpm.steps)&gt;2,RIGHT(_xlpm.steps,2),_xlpm.steps)))</f>
        <v>50</v>
      </c>
      <c r="D3445">
        <f>_xlfn.LET(_xlpm.dir,Table1[[#This Row],[Direction]],
IF(_xlpm.dir="L",
    IF(F3444-Table1[[#This Row],[Steps]]&lt;0,100+(F3444-Table1[[#This Row],[Steps]]),F3444-Table1[[#This Row],[Steps]]),
))</f>
        <v>0</v>
      </c>
      <c r="E3445">
        <f>_xlfn.LET(_xlpm.dir,Table1[[#This Row],[Direction]],
IF(_xlpm.dir="R",
    IF(F3444+Table1[[#This Row],[Steps]]&gt;99,(F3444+Table1[[#This Row],[Steps]])-100,F3444+Table1[[#This Row],[Steps]]),
))</f>
        <v>0</v>
      </c>
      <c r="F3445">
        <f>IF(Table1[[#This Row],[New Pos L]]&lt;&gt;0,Table1[[#This Row],[New Pos L]],Table1[[#This Row],[New Pos R]])</f>
        <v>0</v>
      </c>
    </row>
    <row r="3446" spans="1:6" ht="16" x14ac:dyDescent="0.2">
      <c r="A3446" s="1" t="s">
        <v>38</v>
      </c>
      <c r="B3446" t="str">
        <f>LEFT(Table1[[#This Row],[Input]],1)</f>
        <v>R</v>
      </c>
      <c r="C3446">
        <f>_xlfn.LET(_xlpm.steps,SUBSTITUTE(Table1[[#This Row],[Input]],Table1[[#This Row],[Direction]],""),VALUE(IF(LEN(_xlpm.steps)&gt;2,RIGHT(_xlpm.steps,2),_xlpm.steps)))</f>
        <v>15</v>
      </c>
      <c r="D3446">
        <f>_xlfn.LET(_xlpm.dir,Table1[[#This Row],[Direction]],
IF(_xlpm.dir="L",
    IF(F3445-Table1[[#This Row],[Steps]]&lt;0,100+(F3445-Table1[[#This Row],[Steps]]),F3445-Table1[[#This Row],[Steps]]),
))</f>
        <v>0</v>
      </c>
      <c r="E3446">
        <f>_xlfn.LET(_xlpm.dir,Table1[[#This Row],[Direction]],
IF(_xlpm.dir="R",
    IF(F3445+Table1[[#This Row],[Steps]]&gt;99,(F3445+Table1[[#This Row],[Steps]])-100,F3445+Table1[[#This Row],[Steps]]),
))</f>
        <v>15</v>
      </c>
      <c r="F3446">
        <f>IF(Table1[[#This Row],[New Pos L]]&lt;&gt;0,Table1[[#This Row],[New Pos L]],Table1[[#This Row],[New Pos R]])</f>
        <v>15</v>
      </c>
    </row>
    <row r="3447" spans="1:6" ht="16" x14ac:dyDescent="0.2">
      <c r="A3447" s="1" t="s">
        <v>79</v>
      </c>
      <c r="B3447" t="str">
        <f>LEFT(Table1[[#This Row],[Input]],1)</f>
        <v>L</v>
      </c>
      <c r="C3447">
        <f>_xlfn.LET(_xlpm.steps,SUBSTITUTE(Table1[[#This Row],[Input]],Table1[[#This Row],[Direction]],""),VALUE(IF(LEN(_xlpm.steps)&gt;2,RIGHT(_xlpm.steps,2),_xlpm.steps)))</f>
        <v>45</v>
      </c>
      <c r="D3447">
        <f>_xlfn.LET(_xlpm.dir,Table1[[#This Row],[Direction]],
IF(_xlpm.dir="L",
    IF(F3446-Table1[[#This Row],[Steps]]&lt;0,100+(F3446-Table1[[#This Row],[Steps]]),F3446-Table1[[#This Row],[Steps]]),
))</f>
        <v>70</v>
      </c>
      <c r="E3447">
        <f>_xlfn.LET(_xlpm.dir,Table1[[#This Row],[Direction]],
IF(_xlpm.dir="R",
    IF(F3446+Table1[[#This Row],[Steps]]&gt;99,(F3446+Table1[[#This Row],[Steps]])-100,F3446+Table1[[#This Row],[Steps]]),
))</f>
        <v>0</v>
      </c>
      <c r="F3447">
        <f>IF(Table1[[#This Row],[New Pos L]]&lt;&gt;0,Table1[[#This Row],[New Pos L]],Table1[[#This Row],[New Pos R]])</f>
        <v>70</v>
      </c>
    </row>
    <row r="3448" spans="1:6" ht="16" x14ac:dyDescent="0.2">
      <c r="A3448" s="1" t="s">
        <v>745</v>
      </c>
      <c r="B3448" t="str">
        <f>LEFT(Table1[[#This Row],[Input]],1)</f>
        <v>R</v>
      </c>
      <c r="C3448">
        <f>_xlfn.LET(_xlpm.steps,SUBSTITUTE(Table1[[#This Row],[Input]],Table1[[#This Row],[Direction]],""),VALUE(IF(LEN(_xlpm.steps)&gt;2,RIGHT(_xlpm.steps,2),_xlpm.steps)))</f>
        <v>86</v>
      </c>
      <c r="D3448">
        <f>_xlfn.LET(_xlpm.dir,Table1[[#This Row],[Direction]],
IF(_xlpm.dir="L",
    IF(F3447-Table1[[#This Row],[Steps]]&lt;0,100+(F3447-Table1[[#This Row],[Steps]]),F3447-Table1[[#This Row],[Steps]]),
))</f>
        <v>0</v>
      </c>
      <c r="E3448">
        <f>_xlfn.LET(_xlpm.dir,Table1[[#This Row],[Direction]],
IF(_xlpm.dir="R",
    IF(F3447+Table1[[#This Row],[Steps]]&gt;99,(F3447+Table1[[#This Row],[Steps]])-100,F3447+Table1[[#This Row],[Steps]]),
))</f>
        <v>56</v>
      </c>
      <c r="F3448">
        <f>IF(Table1[[#This Row],[New Pos L]]&lt;&gt;0,Table1[[#This Row],[New Pos L]],Table1[[#This Row],[New Pos R]])</f>
        <v>56</v>
      </c>
    </row>
    <row r="3449" spans="1:6" ht="16" x14ac:dyDescent="0.2">
      <c r="A3449" s="1" t="s">
        <v>746</v>
      </c>
      <c r="B3449" t="str">
        <f>LEFT(Table1[[#This Row],[Input]],1)</f>
        <v>L</v>
      </c>
      <c r="C3449">
        <f>_xlfn.LET(_xlpm.steps,SUBSTITUTE(Table1[[#This Row],[Input]],Table1[[#This Row],[Direction]],""),VALUE(IF(LEN(_xlpm.steps)&gt;2,RIGHT(_xlpm.steps,2),_xlpm.steps)))</f>
        <v>94</v>
      </c>
      <c r="D3449">
        <f>_xlfn.LET(_xlpm.dir,Table1[[#This Row],[Direction]],
IF(_xlpm.dir="L",
    IF(F3448-Table1[[#This Row],[Steps]]&lt;0,100+(F3448-Table1[[#This Row],[Steps]]),F3448-Table1[[#This Row],[Steps]]),
))</f>
        <v>62</v>
      </c>
      <c r="E3449">
        <f>_xlfn.LET(_xlpm.dir,Table1[[#This Row],[Direction]],
IF(_xlpm.dir="R",
    IF(F3448+Table1[[#This Row],[Steps]]&gt;99,(F3448+Table1[[#This Row],[Steps]])-100,F3448+Table1[[#This Row],[Steps]]),
))</f>
        <v>0</v>
      </c>
      <c r="F3449">
        <f>IF(Table1[[#This Row],[New Pos L]]&lt;&gt;0,Table1[[#This Row],[New Pos L]],Table1[[#This Row],[New Pos R]])</f>
        <v>62</v>
      </c>
    </row>
    <row r="3450" spans="1:6" ht="16" x14ac:dyDescent="0.2">
      <c r="A3450" s="1" t="s">
        <v>747</v>
      </c>
      <c r="B3450" t="str">
        <f>LEFT(Table1[[#This Row],[Input]],1)</f>
        <v>L</v>
      </c>
      <c r="C3450">
        <f>_xlfn.LET(_xlpm.steps,SUBSTITUTE(Table1[[#This Row],[Input]],Table1[[#This Row],[Direction]],""),VALUE(IF(LEN(_xlpm.steps)&gt;2,RIGHT(_xlpm.steps,2),_xlpm.steps)))</f>
        <v>62</v>
      </c>
      <c r="D3450">
        <f>_xlfn.LET(_xlpm.dir,Table1[[#This Row],[Direction]],
IF(_xlpm.dir="L",
    IF(F3449-Table1[[#This Row],[Steps]]&lt;0,100+(F3449-Table1[[#This Row],[Steps]]),F3449-Table1[[#This Row],[Steps]]),
))</f>
        <v>0</v>
      </c>
      <c r="E3450">
        <f>_xlfn.LET(_xlpm.dir,Table1[[#This Row],[Direction]],
IF(_xlpm.dir="R",
    IF(F3449+Table1[[#This Row],[Steps]]&gt;99,(F3449+Table1[[#This Row],[Steps]])-100,F3449+Table1[[#This Row],[Steps]]),
))</f>
        <v>0</v>
      </c>
      <c r="F3450">
        <f>IF(Table1[[#This Row],[New Pos L]]&lt;&gt;0,Table1[[#This Row],[New Pos L]],Table1[[#This Row],[New Pos R]])</f>
        <v>0</v>
      </c>
    </row>
    <row r="3451" spans="1:6" ht="16" x14ac:dyDescent="0.2">
      <c r="A3451" s="1" t="s">
        <v>70</v>
      </c>
      <c r="B3451" t="str">
        <f>LEFT(Table1[[#This Row],[Input]],1)</f>
        <v>R</v>
      </c>
      <c r="C3451">
        <f>_xlfn.LET(_xlpm.steps,SUBSTITUTE(Table1[[#This Row],[Input]],Table1[[#This Row],[Direction]],""),VALUE(IF(LEN(_xlpm.steps)&gt;2,RIGHT(_xlpm.steps,2),_xlpm.steps)))</f>
        <v>73</v>
      </c>
      <c r="D3451">
        <f>_xlfn.LET(_xlpm.dir,Table1[[#This Row],[Direction]],
IF(_xlpm.dir="L",
    IF(F3450-Table1[[#This Row],[Steps]]&lt;0,100+(F3450-Table1[[#This Row],[Steps]]),F3450-Table1[[#This Row],[Steps]]),
))</f>
        <v>0</v>
      </c>
      <c r="E3451">
        <f>_xlfn.LET(_xlpm.dir,Table1[[#This Row],[Direction]],
IF(_xlpm.dir="R",
    IF(F3450+Table1[[#This Row],[Steps]]&gt;99,(F3450+Table1[[#This Row],[Steps]])-100,F3450+Table1[[#This Row],[Steps]]),
))</f>
        <v>73</v>
      </c>
      <c r="F3451">
        <f>IF(Table1[[#This Row],[New Pos L]]&lt;&gt;0,Table1[[#This Row],[New Pos L]],Table1[[#This Row],[New Pos R]])</f>
        <v>73</v>
      </c>
    </row>
    <row r="3452" spans="1:6" ht="16" x14ac:dyDescent="0.2">
      <c r="A3452" s="1" t="s">
        <v>330</v>
      </c>
      <c r="B3452" t="str">
        <f>LEFT(Table1[[#This Row],[Input]],1)</f>
        <v>L</v>
      </c>
      <c r="C3452">
        <f>_xlfn.LET(_xlpm.steps,SUBSTITUTE(Table1[[#This Row],[Input]],Table1[[#This Row],[Direction]],""),VALUE(IF(LEN(_xlpm.steps)&gt;2,RIGHT(_xlpm.steps,2),_xlpm.steps)))</f>
        <v>47</v>
      </c>
      <c r="D3452">
        <f>_xlfn.LET(_xlpm.dir,Table1[[#This Row],[Direction]],
IF(_xlpm.dir="L",
    IF(F3451-Table1[[#This Row],[Steps]]&lt;0,100+(F3451-Table1[[#This Row],[Steps]]),F3451-Table1[[#This Row],[Steps]]),
))</f>
        <v>26</v>
      </c>
      <c r="E3452">
        <f>_xlfn.LET(_xlpm.dir,Table1[[#This Row],[Direction]],
IF(_xlpm.dir="R",
    IF(F3451+Table1[[#This Row],[Steps]]&gt;99,(F3451+Table1[[#This Row],[Steps]])-100,F3451+Table1[[#This Row],[Steps]]),
))</f>
        <v>0</v>
      </c>
      <c r="F3452">
        <f>IF(Table1[[#This Row],[New Pos L]]&lt;&gt;0,Table1[[#This Row],[New Pos L]],Table1[[#This Row],[New Pos R]])</f>
        <v>26</v>
      </c>
    </row>
    <row r="3453" spans="1:6" ht="16" x14ac:dyDescent="0.2">
      <c r="A3453" s="1" t="s">
        <v>88</v>
      </c>
      <c r="B3453" t="str">
        <f>LEFT(Table1[[#This Row],[Input]],1)</f>
        <v>R</v>
      </c>
      <c r="C3453">
        <f>_xlfn.LET(_xlpm.steps,SUBSTITUTE(Table1[[#This Row],[Input]],Table1[[#This Row],[Direction]],""),VALUE(IF(LEN(_xlpm.steps)&gt;2,RIGHT(_xlpm.steps,2),_xlpm.steps)))</f>
        <v>53</v>
      </c>
      <c r="D3453">
        <f>_xlfn.LET(_xlpm.dir,Table1[[#This Row],[Direction]],
IF(_xlpm.dir="L",
    IF(F3452-Table1[[#This Row],[Steps]]&lt;0,100+(F3452-Table1[[#This Row],[Steps]]),F3452-Table1[[#This Row],[Steps]]),
))</f>
        <v>0</v>
      </c>
      <c r="E3453">
        <f>_xlfn.LET(_xlpm.dir,Table1[[#This Row],[Direction]],
IF(_xlpm.dir="R",
    IF(F3452+Table1[[#This Row],[Steps]]&gt;99,(F3452+Table1[[#This Row],[Steps]])-100,F3452+Table1[[#This Row],[Steps]]),
))</f>
        <v>79</v>
      </c>
      <c r="F3453">
        <f>IF(Table1[[#This Row],[New Pos L]]&lt;&gt;0,Table1[[#This Row],[New Pos L]],Table1[[#This Row],[New Pos R]])</f>
        <v>79</v>
      </c>
    </row>
    <row r="3454" spans="1:6" ht="16" x14ac:dyDescent="0.2">
      <c r="A3454" s="1" t="s">
        <v>145</v>
      </c>
      <c r="B3454" t="str">
        <f>LEFT(Table1[[#This Row],[Input]],1)</f>
        <v>L</v>
      </c>
      <c r="C3454">
        <f>_xlfn.LET(_xlpm.steps,SUBSTITUTE(Table1[[#This Row],[Input]],Table1[[#This Row],[Direction]],""),VALUE(IF(LEN(_xlpm.steps)&gt;2,RIGHT(_xlpm.steps,2),_xlpm.steps)))</f>
        <v>83</v>
      </c>
      <c r="D3454">
        <f>_xlfn.LET(_xlpm.dir,Table1[[#This Row],[Direction]],
IF(_xlpm.dir="L",
    IF(F3453-Table1[[#This Row],[Steps]]&lt;0,100+(F3453-Table1[[#This Row],[Steps]]),F3453-Table1[[#This Row],[Steps]]),
))</f>
        <v>96</v>
      </c>
      <c r="E3454">
        <f>_xlfn.LET(_xlpm.dir,Table1[[#This Row],[Direction]],
IF(_xlpm.dir="R",
    IF(F3453+Table1[[#This Row],[Steps]]&gt;99,(F3453+Table1[[#This Row],[Steps]])-100,F3453+Table1[[#This Row],[Steps]]),
))</f>
        <v>0</v>
      </c>
      <c r="F3454">
        <f>IF(Table1[[#This Row],[New Pos L]]&lt;&gt;0,Table1[[#This Row],[New Pos L]],Table1[[#This Row],[New Pos R]])</f>
        <v>96</v>
      </c>
    </row>
    <row r="3455" spans="1:6" ht="16" x14ac:dyDescent="0.2">
      <c r="A3455" s="1" t="s">
        <v>182</v>
      </c>
      <c r="B3455" t="str">
        <f>LEFT(Table1[[#This Row],[Input]],1)</f>
        <v>L</v>
      </c>
      <c r="C3455">
        <f>_xlfn.LET(_xlpm.steps,SUBSTITUTE(Table1[[#This Row],[Input]],Table1[[#This Row],[Direction]],""),VALUE(IF(LEN(_xlpm.steps)&gt;2,RIGHT(_xlpm.steps,2),_xlpm.steps)))</f>
        <v>3</v>
      </c>
      <c r="D3455">
        <f>_xlfn.LET(_xlpm.dir,Table1[[#This Row],[Direction]],
IF(_xlpm.dir="L",
    IF(F3454-Table1[[#This Row],[Steps]]&lt;0,100+(F3454-Table1[[#This Row],[Steps]]),F3454-Table1[[#This Row],[Steps]]),
))</f>
        <v>93</v>
      </c>
      <c r="E3455">
        <f>_xlfn.LET(_xlpm.dir,Table1[[#This Row],[Direction]],
IF(_xlpm.dir="R",
    IF(F3454+Table1[[#This Row],[Steps]]&gt;99,(F3454+Table1[[#This Row],[Steps]])-100,F3454+Table1[[#This Row],[Steps]]),
))</f>
        <v>0</v>
      </c>
      <c r="F3455">
        <f>IF(Table1[[#This Row],[New Pos L]]&lt;&gt;0,Table1[[#This Row],[New Pos L]],Table1[[#This Row],[New Pos R]])</f>
        <v>93</v>
      </c>
    </row>
    <row r="3456" spans="1:6" ht="16" x14ac:dyDescent="0.2">
      <c r="A3456" s="1" t="s">
        <v>353</v>
      </c>
      <c r="B3456" t="str">
        <f>LEFT(Table1[[#This Row],[Input]],1)</f>
        <v>R</v>
      </c>
      <c r="C3456">
        <f>_xlfn.LET(_xlpm.steps,SUBSTITUTE(Table1[[#This Row],[Input]],Table1[[#This Row],[Direction]],""),VALUE(IF(LEN(_xlpm.steps)&gt;2,RIGHT(_xlpm.steps,2),_xlpm.steps)))</f>
        <v>7</v>
      </c>
      <c r="D3456">
        <f>_xlfn.LET(_xlpm.dir,Table1[[#This Row],[Direction]],
IF(_xlpm.dir="L",
    IF(F3455-Table1[[#This Row],[Steps]]&lt;0,100+(F3455-Table1[[#This Row],[Steps]]),F3455-Table1[[#This Row],[Steps]]),
))</f>
        <v>0</v>
      </c>
      <c r="E3456">
        <f>_xlfn.LET(_xlpm.dir,Table1[[#This Row],[Direction]],
IF(_xlpm.dir="R",
    IF(F3455+Table1[[#This Row],[Steps]]&gt;99,(F3455+Table1[[#This Row],[Steps]])-100,F3455+Table1[[#This Row],[Steps]]),
))</f>
        <v>0</v>
      </c>
      <c r="F3456">
        <f>IF(Table1[[#This Row],[New Pos L]]&lt;&gt;0,Table1[[#This Row],[New Pos L]],Table1[[#This Row],[New Pos R]])</f>
        <v>0</v>
      </c>
    </row>
    <row r="3457" spans="1:6" ht="16" x14ac:dyDescent="0.2">
      <c r="A3457" s="1" t="s">
        <v>20</v>
      </c>
      <c r="B3457" t="str">
        <f>LEFT(Table1[[#This Row],[Input]],1)</f>
        <v>R</v>
      </c>
      <c r="C3457">
        <f>_xlfn.LET(_xlpm.steps,SUBSTITUTE(Table1[[#This Row],[Input]],Table1[[#This Row],[Direction]],""),VALUE(IF(LEN(_xlpm.steps)&gt;2,RIGHT(_xlpm.steps,2),_xlpm.steps)))</f>
        <v>46</v>
      </c>
      <c r="D3457">
        <f>_xlfn.LET(_xlpm.dir,Table1[[#This Row],[Direction]],
IF(_xlpm.dir="L",
    IF(F3456-Table1[[#This Row],[Steps]]&lt;0,100+(F3456-Table1[[#This Row],[Steps]]),F3456-Table1[[#This Row],[Steps]]),
))</f>
        <v>0</v>
      </c>
      <c r="E3457">
        <f>_xlfn.LET(_xlpm.dir,Table1[[#This Row],[Direction]],
IF(_xlpm.dir="R",
    IF(F3456+Table1[[#This Row],[Steps]]&gt;99,(F3456+Table1[[#This Row],[Steps]])-100,F3456+Table1[[#This Row],[Steps]]),
))</f>
        <v>46</v>
      </c>
      <c r="F3457">
        <f>IF(Table1[[#This Row],[New Pos L]]&lt;&gt;0,Table1[[#This Row],[New Pos L]],Table1[[#This Row],[New Pos R]])</f>
        <v>46</v>
      </c>
    </row>
    <row r="3458" spans="1:6" ht="16" x14ac:dyDescent="0.2">
      <c r="A3458" s="1" t="s">
        <v>213</v>
      </c>
      <c r="B3458" t="str">
        <f>LEFT(Table1[[#This Row],[Input]],1)</f>
        <v>R</v>
      </c>
      <c r="C3458">
        <f>_xlfn.LET(_xlpm.steps,SUBSTITUTE(Table1[[#This Row],[Input]],Table1[[#This Row],[Direction]],""),VALUE(IF(LEN(_xlpm.steps)&gt;2,RIGHT(_xlpm.steps,2),_xlpm.steps)))</f>
        <v>87</v>
      </c>
      <c r="D3458">
        <f>_xlfn.LET(_xlpm.dir,Table1[[#This Row],[Direction]],
IF(_xlpm.dir="L",
    IF(F3457-Table1[[#This Row],[Steps]]&lt;0,100+(F3457-Table1[[#This Row],[Steps]]),F3457-Table1[[#This Row],[Steps]]),
))</f>
        <v>0</v>
      </c>
      <c r="E3458">
        <f>_xlfn.LET(_xlpm.dir,Table1[[#This Row],[Direction]],
IF(_xlpm.dir="R",
    IF(F3457+Table1[[#This Row],[Steps]]&gt;99,(F3457+Table1[[#This Row],[Steps]])-100,F3457+Table1[[#This Row],[Steps]]),
))</f>
        <v>33</v>
      </c>
      <c r="F3458">
        <f>IF(Table1[[#This Row],[New Pos L]]&lt;&gt;0,Table1[[#This Row],[New Pos L]],Table1[[#This Row],[New Pos R]])</f>
        <v>33</v>
      </c>
    </row>
    <row r="3459" spans="1:6" ht="16" x14ac:dyDescent="0.2">
      <c r="A3459" s="1" t="s">
        <v>293</v>
      </c>
      <c r="B3459" t="str">
        <f>LEFT(Table1[[#This Row],[Input]],1)</f>
        <v>R</v>
      </c>
      <c r="C3459">
        <f>_xlfn.LET(_xlpm.steps,SUBSTITUTE(Table1[[#This Row],[Input]],Table1[[#This Row],[Direction]],""),VALUE(IF(LEN(_xlpm.steps)&gt;2,RIGHT(_xlpm.steps,2),_xlpm.steps)))</f>
        <v>67</v>
      </c>
      <c r="D3459">
        <f>_xlfn.LET(_xlpm.dir,Table1[[#This Row],[Direction]],
IF(_xlpm.dir="L",
    IF(F3458-Table1[[#This Row],[Steps]]&lt;0,100+(F3458-Table1[[#This Row],[Steps]]),F3458-Table1[[#This Row],[Steps]]),
))</f>
        <v>0</v>
      </c>
      <c r="E3459">
        <f>_xlfn.LET(_xlpm.dir,Table1[[#This Row],[Direction]],
IF(_xlpm.dir="R",
    IF(F3458+Table1[[#This Row],[Steps]]&gt;99,(F3458+Table1[[#This Row],[Steps]])-100,F3458+Table1[[#This Row],[Steps]]),
))</f>
        <v>0</v>
      </c>
      <c r="F3459">
        <f>IF(Table1[[#This Row],[New Pos L]]&lt;&gt;0,Table1[[#This Row],[New Pos L]],Table1[[#This Row],[New Pos R]])</f>
        <v>0</v>
      </c>
    </row>
    <row r="3460" spans="1:6" ht="16" x14ac:dyDescent="0.2">
      <c r="A3460" s="1" t="s">
        <v>19</v>
      </c>
      <c r="B3460" t="str">
        <f>LEFT(Table1[[#This Row],[Input]],1)</f>
        <v>R</v>
      </c>
      <c r="C3460">
        <f>_xlfn.LET(_xlpm.steps,SUBSTITUTE(Table1[[#This Row],[Input]],Table1[[#This Row],[Direction]],""),VALUE(IF(LEN(_xlpm.steps)&gt;2,RIGHT(_xlpm.steps,2),_xlpm.steps)))</f>
        <v>47</v>
      </c>
      <c r="D3460">
        <f>_xlfn.LET(_xlpm.dir,Table1[[#This Row],[Direction]],
IF(_xlpm.dir="L",
    IF(F3459-Table1[[#This Row],[Steps]]&lt;0,100+(F3459-Table1[[#This Row],[Steps]]),F3459-Table1[[#This Row],[Steps]]),
))</f>
        <v>0</v>
      </c>
      <c r="E3460">
        <f>_xlfn.LET(_xlpm.dir,Table1[[#This Row],[Direction]],
IF(_xlpm.dir="R",
    IF(F3459+Table1[[#This Row],[Steps]]&gt;99,(F3459+Table1[[#This Row],[Steps]])-100,F3459+Table1[[#This Row],[Steps]]),
))</f>
        <v>47</v>
      </c>
      <c r="F3460">
        <f>IF(Table1[[#This Row],[New Pos L]]&lt;&gt;0,Table1[[#This Row],[New Pos L]],Table1[[#This Row],[New Pos R]])</f>
        <v>47</v>
      </c>
    </row>
    <row r="3461" spans="1:6" ht="16" x14ac:dyDescent="0.2">
      <c r="A3461" s="1" t="s">
        <v>364</v>
      </c>
      <c r="B3461" t="str">
        <f>LEFT(Table1[[#This Row],[Input]],1)</f>
        <v>L</v>
      </c>
      <c r="C3461">
        <f>_xlfn.LET(_xlpm.steps,SUBSTITUTE(Table1[[#This Row],[Input]],Table1[[#This Row],[Direction]],""),VALUE(IF(LEN(_xlpm.steps)&gt;2,RIGHT(_xlpm.steps,2),_xlpm.steps)))</f>
        <v>70</v>
      </c>
      <c r="D3461">
        <f>_xlfn.LET(_xlpm.dir,Table1[[#This Row],[Direction]],
IF(_xlpm.dir="L",
    IF(F3460-Table1[[#This Row],[Steps]]&lt;0,100+(F3460-Table1[[#This Row],[Steps]]),F3460-Table1[[#This Row],[Steps]]),
))</f>
        <v>77</v>
      </c>
      <c r="E3461">
        <f>_xlfn.LET(_xlpm.dir,Table1[[#This Row],[Direction]],
IF(_xlpm.dir="R",
    IF(F3460+Table1[[#This Row],[Steps]]&gt;99,(F3460+Table1[[#This Row],[Steps]])-100,F3460+Table1[[#This Row],[Steps]]),
))</f>
        <v>0</v>
      </c>
      <c r="F3461">
        <f>IF(Table1[[#This Row],[New Pos L]]&lt;&gt;0,Table1[[#This Row],[New Pos L]],Table1[[#This Row],[New Pos R]])</f>
        <v>77</v>
      </c>
    </row>
    <row r="3462" spans="1:6" ht="16" x14ac:dyDescent="0.2">
      <c r="A3462" s="1" t="s">
        <v>192</v>
      </c>
      <c r="B3462" t="str">
        <f>LEFT(Table1[[#This Row],[Input]],1)</f>
        <v>L</v>
      </c>
      <c r="C3462">
        <f>_xlfn.LET(_xlpm.steps,SUBSTITUTE(Table1[[#This Row],[Input]],Table1[[#This Row],[Direction]],""),VALUE(IF(LEN(_xlpm.steps)&gt;2,RIGHT(_xlpm.steps,2),_xlpm.steps)))</f>
        <v>52</v>
      </c>
      <c r="D3462">
        <f>_xlfn.LET(_xlpm.dir,Table1[[#This Row],[Direction]],
IF(_xlpm.dir="L",
    IF(F3461-Table1[[#This Row],[Steps]]&lt;0,100+(F3461-Table1[[#This Row],[Steps]]),F3461-Table1[[#This Row],[Steps]]),
))</f>
        <v>25</v>
      </c>
      <c r="E3462">
        <f>_xlfn.LET(_xlpm.dir,Table1[[#This Row],[Direction]],
IF(_xlpm.dir="R",
    IF(F3461+Table1[[#This Row],[Steps]]&gt;99,(F3461+Table1[[#This Row],[Steps]])-100,F3461+Table1[[#This Row],[Steps]]),
))</f>
        <v>0</v>
      </c>
      <c r="F3462">
        <f>IF(Table1[[#This Row],[New Pos L]]&lt;&gt;0,Table1[[#This Row],[New Pos L]],Table1[[#This Row],[New Pos R]])</f>
        <v>25</v>
      </c>
    </row>
    <row r="3463" spans="1:6" ht="16" x14ac:dyDescent="0.2">
      <c r="A3463" s="1" t="s">
        <v>164</v>
      </c>
      <c r="B3463" t="str">
        <f>LEFT(Table1[[#This Row],[Input]],1)</f>
        <v>R</v>
      </c>
      <c r="C3463">
        <f>_xlfn.LET(_xlpm.steps,SUBSTITUTE(Table1[[#This Row],[Input]],Table1[[#This Row],[Direction]],""),VALUE(IF(LEN(_xlpm.steps)&gt;2,RIGHT(_xlpm.steps,2),_xlpm.steps)))</f>
        <v>85</v>
      </c>
      <c r="D3463">
        <f>_xlfn.LET(_xlpm.dir,Table1[[#This Row],[Direction]],
IF(_xlpm.dir="L",
    IF(F3462-Table1[[#This Row],[Steps]]&lt;0,100+(F3462-Table1[[#This Row],[Steps]]),F3462-Table1[[#This Row],[Steps]]),
))</f>
        <v>0</v>
      </c>
      <c r="E3463">
        <f>_xlfn.LET(_xlpm.dir,Table1[[#This Row],[Direction]],
IF(_xlpm.dir="R",
    IF(F3462+Table1[[#This Row],[Steps]]&gt;99,(F3462+Table1[[#This Row],[Steps]])-100,F3462+Table1[[#This Row],[Steps]]),
))</f>
        <v>10</v>
      </c>
      <c r="F3463">
        <f>IF(Table1[[#This Row],[New Pos L]]&lt;&gt;0,Table1[[#This Row],[New Pos L]],Table1[[#This Row],[New Pos R]])</f>
        <v>10</v>
      </c>
    </row>
    <row r="3464" spans="1:6" ht="16" x14ac:dyDescent="0.2">
      <c r="A3464" s="1" t="s">
        <v>194</v>
      </c>
      <c r="B3464" t="str">
        <f>LEFT(Table1[[#This Row],[Input]],1)</f>
        <v>R</v>
      </c>
      <c r="C3464">
        <f>_xlfn.LET(_xlpm.steps,SUBSTITUTE(Table1[[#This Row],[Input]],Table1[[#This Row],[Direction]],""),VALUE(IF(LEN(_xlpm.steps)&gt;2,RIGHT(_xlpm.steps,2),_xlpm.steps)))</f>
        <v>51</v>
      </c>
      <c r="D3464">
        <f>_xlfn.LET(_xlpm.dir,Table1[[#This Row],[Direction]],
IF(_xlpm.dir="L",
    IF(F3463-Table1[[#This Row],[Steps]]&lt;0,100+(F3463-Table1[[#This Row],[Steps]]),F3463-Table1[[#This Row],[Steps]]),
))</f>
        <v>0</v>
      </c>
      <c r="E3464">
        <f>_xlfn.LET(_xlpm.dir,Table1[[#This Row],[Direction]],
IF(_xlpm.dir="R",
    IF(F3463+Table1[[#This Row],[Steps]]&gt;99,(F3463+Table1[[#This Row],[Steps]])-100,F3463+Table1[[#This Row],[Steps]]),
))</f>
        <v>61</v>
      </c>
      <c r="F3464">
        <f>IF(Table1[[#This Row],[New Pos L]]&lt;&gt;0,Table1[[#This Row],[New Pos L]],Table1[[#This Row],[New Pos R]])</f>
        <v>61</v>
      </c>
    </row>
    <row r="3465" spans="1:6" ht="16" x14ac:dyDescent="0.2">
      <c r="A3465" s="1" t="s">
        <v>174</v>
      </c>
      <c r="B3465" t="str">
        <f>LEFT(Table1[[#This Row],[Input]],1)</f>
        <v>L</v>
      </c>
      <c r="C3465">
        <f>_xlfn.LET(_xlpm.steps,SUBSTITUTE(Table1[[#This Row],[Input]],Table1[[#This Row],[Direction]],""),VALUE(IF(LEN(_xlpm.steps)&gt;2,RIGHT(_xlpm.steps,2),_xlpm.steps)))</f>
        <v>92</v>
      </c>
      <c r="D3465">
        <f>_xlfn.LET(_xlpm.dir,Table1[[#This Row],[Direction]],
IF(_xlpm.dir="L",
    IF(F3464-Table1[[#This Row],[Steps]]&lt;0,100+(F3464-Table1[[#This Row],[Steps]]),F3464-Table1[[#This Row],[Steps]]),
))</f>
        <v>69</v>
      </c>
      <c r="E3465">
        <f>_xlfn.LET(_xlpm.dir,Table1[[#This Row],[Direction]],
IF(_xlpm.dir="R",
    IF(F3464+Table1[[#This Row],[Steps]]&gt;99,(F3464+Table1[[#This Row],[Steps]])-100,F3464+Table1[[#This Row],[Steps]]),
))</f>
        <v>0</v>
      </c>
      <c r="F3465">
        <f>IF(Table1[[#This Row],[New Pos L]]&lt;&gt;0,Table1[[#This Row],[New Pos L]],Table1[[#This Row],[New Pos R]])</f>
        <v>69</v>
      </c>
    </row>
    <row r="3466" spans="1:6" ht="16" x14ac:dyDescent="0.2">
      <c r="A3466" s="1" t="s">
        <v>188</v>
      </c>
      <c r="B3466" t="str">
        <f>LEFT(Table1[[#This Row],[Input]],1)</f>
        <v>R</v>
      </c>
      <c r="C3466">
        <f>_xlfn.LET(_xlpm.steps,SUBSTITUTE(Table1[[#This Row],[Input]],Table1[[#This Row],[Direction]],""),VALUE(IF(LEN(_xlpm.steps)&gt;2,RIGHT(_xlpm.steps,2),_xlpm.steps)))</f>
        <v>5</v>
      </c>
      <c r="D3466">
        <f>_xlfn.LET(_xlpm.dir,Table1[[#This Row],[Direction]],
IF(_xlpm.dir="L",
    IF(F3465-Table1[[#This Row],[Steps]]&lt;0,100+(F3465-Table1[[#This Row],[Steps]]),F3465-Table1[[#This Row],[Steps]]),
))</f>
        <v>0</v>
      </c>
      <c r="E3466">
        <f>_xlfn.LET(_xlpm.dir,Table1[[#This Row],[Direction]],
IF(_xlpm.dir="R",
    IF(F3465+Table1[[#This Row],[Steps]]&gt;99,(F3465+Table1[[#This Row],[Steps]])-100,F3465+Table1[[#This Row],[Steps]]),
))</f>
        <v>74</v>
      </c>
      <c r="F3466">
        <f>IF(Table1[[#This Row],[New Pos L]]&lt;&gt;0,Table1[[#This Row],[New Pos L]],Table1[[#This Row],[New Pos R]])</f>
        <v>74</v>
      </c>
    </row>
    <row r="3467" spans="1:6" ht="16" x14ac:dyDescent="0.2">
      <c r="A3467" s="1" t="s">
        <v>40</v>
      </c>
      <c r="B3467" t="str">
        <f>LEFT(Table1[[#This Row],[Input]],1)</f>
        <v>R</v>
      </c>
      <c r="C3467">
        <f>_xlfn.LET(_xlpm.steps,SUBSTITUTE(Table1[[#This Row],[Input]],Table1[[#This Row],[Direction]],""),VALUE(IF(LEN(_xlpm.steps)&gt;2,RIGHT(_xlpm.steps,2),_xlpm.steps)))</f>
        <v>52</v>
      </c>
      <c r="D3467">
        <f>_xlfn.LET(_xlpm.dir,Table1[[#This Row],[Direction]],
IF(_xlpm.dir="L",
    IF(F3466-Table1[[#This Row],[Steps]]&lt;0,100+(F3466-Table1[[#This Row],[Steps]]),F3466-Table1[[#This Row],[Steps]]),
))</f>
        <v>0</v>
      </c>
      <c r="E3467">
        <f>_xlfn.LET(_xlpm.dir,Table1[[#This Row],[Direction]],
IF(_xlpm.dir="R",
    IF(F3466+Table1[[#This Row],[Steps]]&gt;99,(F3466+Table1[[#This Row],[Steps]])-100,F3466+Table1[[#This Row],[Steps]]),
))</f>
        <v>26</v>
      </c>
      <c r="F3467">
        <f>IF(Table1[[#This Row],[New Pos L]]&lt;&gt;0,Table1[[#This Row],[New Pos L]],Table1[[#This Row],[New Pos R]])</f>
        <v>26</v>
      </c>
    </row>
    <row r="3468" spans="1:6" ht="16" x14ac:dyDescent="0.2">
      <c r="A3468" s="1" t="s">
        <v>748</v>
      </c>
      <c r="B3468" t="str">
        <f>LEFT(Table1[[#This Row],[Input]],1)</f>
        <v>L</v>
      </c>
      <c r="C3468">
        <f>_xlfn.LET(_xlpm.steps,SUBSTITUTE(Table1[[#This Row],[Input]],Table1[[#This Row],[Direction]],""),VALUE(IF(LEN(_xlpm.steps)&gt;2,RIGHT(_xlpm.steps,2),_xlpm.steps)))</f>
        <v>26</v>
      </c>
      <c r="D3468">
        <f>_xlfn.LET(_xlpm.dir,Table1[[#This Row],[Direction]],
IF(_xlpm.dir="L",
    IF(F3467-Table1[[#This Row],[Steps]]&lt;0,100+(F3467-Table1[[#This Row],[Steps]]),F3467-Table1[[#This Row],[Steps]]),
))</f>
        <v>0</v>
      </c>
      <c r="E3468">
        <f>_xlfn.LET(_xlpm.dir,Table1[[#This Row],[Direction]],
IF(_xlpm.dir="R",
    IF(F3467+Table1[[#This Row],[Steps]]&gt;99,(F3467+Table1[[#This Row],[Steps]])-100,F3467+Table1[[#This Row],[Steps]]),
))</f>
        <v>0</v>
      </c>
      <c r="F3468">
        <f>IF(Table1[[#This Row],[New Pos L]]&lt;&gt;0,Table1[[#This Row],[New Pos L]],Table1[[#This Row],[New Pos R]])</f>
        <v>0</v>
      </c>
    </row>
    <row r="3469" spans="1:6" ht="16" x14ac:dyDescent="0.2">
      <c r="A3469" s="1" t="s">
        <v>42</v>
      </c>
      <c r="B3469" t="str">
        <f>LEFT(Table1[[#This Row],[Input]],1)</f>
        <v>L</v>
      </c>
      <c r="C3469">
        <f>_xlfn.LET(_xlpm.steps,SUBSTITUTE(Table1[[#This Row],[Input]],Table1[[#This Row],[Direction]],""),VALUE(IF(LEN(_xlpm.steps)&gt;2,RIGHT(_xlpm.steps,2),_xlpm.steps)))</f>
        <v>27</v>
      </c>
      <c r="D3469">
        <f>_xlfn.LET(_xlpm.dir,Table1[[#This Row],[Direction]],
IF(_xlpm.dir="L",
    IF(F3468-Table1[[#This Row],[Steps]]&lt;0,100+(F3468-Table1[[#This Row],[Steps]]),F3468-Table1[[#This Row],[Steps]]),
))</f>
        <v>73</v>
      </c>
      <c r="E3469">
        <f>_xlfn.LET(_xlpm.dir,Table1[[#This Row],[Direction]],
IF(_xlpm.dir="R",
    IF(F3468+Table1[[#This Row],[Steps]]&gt;99,(F3468+Table1[[#This Row],[Steps]])-100,F3468+Table1[[#This Row],[Steps]]),
))</f>
        <v>0</v>
      </c>
      <c r="F3469">
        <f>IF(Table1[[#This Row],[New Pos L]]&lt;&gt;0,Table1[[#This Row],[New Pos L]],Table1[[#This Row],[New Pos R]])</f>
        <v>73</v>
      </c>
    </row>
    <row r="3470" spans="1:6" ht="16" x14ac:dyDescent="0.2">
      <c r="A3470" s="1" t="s">
        <v>171</v>
      </c>
      <c r="B3470" t="str">
        <f>LEFT(Table1[[#This Row],[Input]],1)</f>
        <v>L</v>
      </c>
      <c r="C3470">
        <f>_xlfn.LET(_xlpm.steps,SUBSTITUTE(Table1[[#This Row],[Input]],Table1[[#This Row],[Direction]],""),VALUE(IF(LEN(_xlpm.steps)&gt;2,RIGHT(_xlpm.steps,2),_xlpm.steps)))</f>
        <v>73</v>
      </c>
      <c r="D3470">
        <f>_xlfn.LET(_xlpm.dir,Table1[[#This Row],[Direction]],
IF(_xlpm.dir="L",
    IF(F3469-Table1[[#This Row],[Steps]]&lt;0,100+(F3469-Table1[[#This Row],[Steps]]),F3469-Table1[[#This Row],[Steps]]),
))</f>
        <v>0</v>
      </c>
      <c r="E3470">
        <f>_xlfn.LET(_xlpm.dir,Table1[[#This Row],[Direction]],
IF(_xlpm.dir="R",
    IF(F3469+Table1[[#This Row],[Steps]]&gt;99,(F3469+Table1[[#This Row],[Steps]])-100,F3469+Table1[[#This Row],[Steps]]),
))</f>
        <v>0</v>
      </c>
      <c r="F3470">
        <f>IF(Table1[[#This Row],[New Pos L]]&lt;&gt;0,Table1[[#This Row],[New Pos L]],Table1[[#This Row],[New Pos R]])</f>
        <v>0</v>
      </c>
    </row>
    <row r="3471" spans="1:6" ht="16" x14ac:dyDescent="0.2">
      <c r="A3471" s="1" t="s">
        <v>182</v>
      </c>
      <c r="B3471" t="str">
        <f>LEFT(Table1[[#This Row],[Input]],1)</f>
        <v>L</v>
      </c>
      <c r="C3471">
        <f>_xlfn.LET(_xlpm.steps,SUBSTITUTE(Table1[[#This Row],[Input]],Table1[[#This Row],[Direction]],""),VALUE(IF(LEN(_xlpm.steps)&gt;2,RIGHT(_xlpm.steps,2),_xlpm.steps)))</f>
        <v>3</v>
      </c>
      <c r="D3471">
        <f>_xlfn.LET(_xlpm.dir,Table1[[#This Row],[Direction]],
IF(_xlpm.dir="L",
    IF(F3470-Table1[[#This Row],[Steps]]&lt;0,100+(F3470-Table1[[#This Row],[Steps]]),F3470-Table1[[#This Row],[Steps]]),
))</f>
        <v>97</v>
      </c>
      <c r="E3471">
        <f>_xlfn.LET(_xlpm.dir,Table1[[#This Row],[Direction]],
IF(_xlpm.dir="R",
    IF(F3470+Table1[[#This Row],[Steps]]&gt;99,(F3470+Table1[[#This Row],[Steps]])-100,F3470+Table1[[#This Row],[Steps]]),
))</f>
        <v>0</v>
      </c>
      <c r="F3471">
        <f>IF(Table1[[#This Row],[New Pos L]]&lt;&gt;0,Table1[[#This Row],[New Pos L]],Table1[[#This Row],[New Pos R]])</f>
        <v>97</v>
      </c>
    </row>
    <row r="3472" spans="1:6" ht="16" x14ac:dyDescent="0.2">
      <c r="A3472" s="1" t="s">
        <v>749</v>
      </c>
      <c r="B3472" t="str">
        <f>LEFT(Table1[[#This Row],[Input]],1)</f>
        <v>R</v>
      </c>
      <c r="C3472">
        <f>_xlfn.LET(_xlpm.steps,SUBSTITUTE(Table1[[#This Row],[Input]],Table1[[#This Row],[Direction]],""),VALUE(IF(LEN(_xlpm.steps)&gt;2,RIGHT(_xlpm.steps,2),_xlpm.steps)))</f>
        <v>83</v>
      </c>
      <c r="D3472">
        <f>_xlfn.LET(_xlpm.dir,Table1[[#This Row],[Direction]],
IF(_xlpm.dir="L",
    IF(F3471-Table1[[#This Row],[Steps]]&lt;0,100+(F3471-Table1[[#This Row],[Steps]]),F3471-Table1[[#This Row],[Steps]]),
))</f>
        <v>0</v>
      </c>
      <c r="E3472">
        <f>_xlfn.LET(_xlpm.dir,Table1[[#This Row],[Direction]],
IF(_xlpm.dir="R",
    IF(F3471+Table1[[#This Row],[Steps]]&gt;99,(F3471+Table1[[#This Row],[Steps]])-100,F3471+Table1[[#This Row],[Steps]]),
))</f>
        <v>80</v>
      </c>
      <c r="F3472">
        <f>IF(Table1[[#This Row],[New Pos L]]&lt;&gt;0,Table1[[#This Row],[New Pos L]],Table1[[#This Row],[New Pos R]])</f>
        <v>80</v>
      </c>
    </row>
    <row r="3473" spans="1:6" ht="16" x14ac:dyDescent="0.2">
      <c r="A3473" s="1" t="s">
        <v>286</v>
      </c>
      <c r="B3473" t="str">
        <f>LEFT(Table1[[#This Row],[Input]],1)</f>
        <v>L</v>
      </c>
      <c r="C3473">
        <f>_xlfn.LET(_xlpm.steps,SUBSTITUTE(Table1[[#This Row],[Input]],Table1[[#This Row],[Direction]],""),VALUE(IF(LEN(_xlpm.steps)&gt;2,RIGHT(_xlpm.steps,2),_xlpm.steps)))</f>
        <v>53</v>
      </c>
      <c r="D3473">
        <f>_xlfn.LET(_xlpm.dir,Table1[[#This Row],[Direction]],
IF(_xlpm.dir="L",
    IF(F3472-Table1[[#This Row],[Steps]]&lt;0,100+(F3472-Table1[[#This Row],[Steps]]),F3472-Table1[[#This Row],[Steps]]),
))</f>
        <v>27</v>
      </c>
      <c r="E3473">
        <f>_xlfn.LET(_xlpm.dir,Table1[[#This Row],[Direction]],
IF(_xlpm.dir="R",
    IF(F3472+Table1[[#This Row],[Steps]]&gt;99,(F3472+Table1[[#This Row],[Steps]])-100,F3472+Table1[[#This Row],[Steps]]),
))</f>
        <v>0</v>
      </c>
      <c r="F3473">
        <f>IF(Table1[[#This Row],[New Pos L]]&lt;&gt;0,Table1[[#This Row],[New Pos L]],Table1[[#This Row],[New Pos R]])</f>
        <v>27</v>
      </c>
    </row>
    <row r="3474" spans="1:6" ht="16" x14ac:dyDescent="0.2">
      <c r="A3474" s="1" t="s">
        <v>42</v>
      </c>
      <c r="B3474" t="str">
        <f>LEFT(Table1[[#This Row],[Input]],1)</f>
        <v>L</v>
      </c>
      <c r="C3474">
        <f>_xlfn.LET(_xlpm.steps,SUBSTITUTE(Table1[[#This Row],[Input]],Table1[[#This Row],[Direction]],""),VALUE(IF(LEN(_xlpm.steps)&gt;2,RIGHT(_xlpm.steps,2),_xlpm.steps)))</f>
        <v>27</v>
      </c>
      <c r="D3474">
        <f>_xlfn.LET(_xlpm.dir,Table1[[#This Row],[Direction]],
IF(_xlpm.dir="L",
    IF(F3473-Table1[[#This Row],[Steps]]&lt;0,100+(F3473-Table1[[#This Row],[Steps]]),F3473-Table1[[#This Row],[Steps]]),
))</f>
        <v>0</v>
      </c>
      <c r="E3474">
        <f>_xlfn.LET(_xlpm.dir,Table1[[#This Row],[Direction]],
IF(_xlpm.dir="R",
    IF(F3473+Table1[[#This Row],[Steps]]&gt;99,(F3473+Table1[[#This Row],[Steps]])-100,F3473+Table1[[#This Row],[Steps]]),
))</f>
        <v>0</v>
      </c>
      <c r="F3474">
        <f>IF(Table1[[#This Row],[New Pos L]]&lt;&gt;0,Table1[[#This Row],[New Pos L]],Table1[[#This Row],[New Pos R]])</f>
        <v>0</v>
      </c>
    </row>
    <row r="3475" spans="1:6" ht="16" x14ac:dyDescent="0.2">
      <c r="A3475" s="1" t="s">
        <v>357</v>
      </c>
      <c r="B3475" t="str">
        <f>LEFT(Table1[[#This Row],[Input]],1)</f>
        <v>R</v>
      </c>
      <c r="C3475">
        <f>_xlfn.LET(_xlpm.steps,SUBSTITUTE(Table1[[#This Row],[Input]],Table1[[#This Row],[Direction]],""),VALUE(IF(LEN(_xlpm.steps)&gt;2,RIGHT(_xlpm.steps,2),_xlpm.steps)))</f>
        <v>72</v>
      </c>
      <c r="D3475">
        <f>_xlfn.LET(_xlpm.dir,Table1[[#This Row],[Direction]],
IF(_xlpm.dir="L",
    IF(F3474-Table1[[#This Row],[Steps]]&lt;0,100+(F3474-Table1[[#This Row],[Steps]]),F3474-Table1[[#This Row],[Steps]]),
))</f>
        <v>0</v>
      </c>
      <c r="E3475">
        <f>_xlfn.LET(_xlpm.dir,Table1[[#This Row],[Direction]],
IF(_xlpm.dir="R",
    IF(F3474+Table1[[#This Row],[Steps]]&gt;99,(F3474+Table1[[#This Row],[Steps]])-100,F3474+Table1[[#This Row],[Steps]]),
))</f>
        <v>72</v>
      </c>
      <c r="F3475">
        <f>IF(Table1[[#This Row],[New Pos L]]&lt;&gt;0,Table1[[#This Row],[New Pos L]],Table1[[#This Row],[New Pos R]])</f>
        <v>72</v>
      </c>
    </row>
    <row r="3476" spans="1:6" ht="16" x14ac:dyDescent="0.2">
      <c r="A3476" s="1" t="s">
        <v>167</v>
      </c>
      <c r="B3476" t="str">
        <f>LEFT(Table1[[#This Row],[Input]],1)</f>
        <v>L</v>
      </c>
      <c r="C3476">
        <f>_xlfn.LET(_xlpm.steps,SUBSTITUTE(Table1[[#This Row],[Input]],Table1[[#This Row],[Direction]],""),VALUE(IF(LEN(_xlpm.steps)&gt;2,RIGHT(_xlpm.steps,2),_xlpm.steps)))</f>
        <v>59</v>
      </c>
      <c r="D3476">
        <f>_xlfn.LET(_xlpm.dir,Table1[[#This Row],[Direction]],
IF(_xlpm.dir="L",
    IF(F3475-Table1[[#This Row],[Steps]]&lt;0,100+(F3475-Table1[[#This Row],[Steps]]),F3475-Table1[[#This Row],[Steps]]),
))</f>
        <v>13</v>
      </c>
      <c r="E3476">
        <f>_xlfn.LET(_xlpm.dir,Table1[[#This Row],[Direction]],
IF(_xlpm.dir="R",
    IF(F3475+Table1[[#This Row],[Steps]]&gt;99,(F3475+Table1[[#This Row],[Steps]])-100,F3475+Table1[[#This Row],[Steps]]),
))</f>
        <v>0</v>
      </c>
      <c r="F3476">
        <f>IF(Table1[[#This Row],[New Pos L]]&lt;&gt;0,Table1[[#This Row],[New Pos L]],Table1[[#This Row],[New Pos R]])</f>
        <v>13</v>
      </c>
    </row>
    <row r="3477" spans="1:6" ht="16" x14ac:dyDescent="0.2">
      <c r="A3477" s="1" t="s">
        <v>70</v>
      </c>
      <c r="B3477" t="str">
        <f>LEFT(Table1[[#This Row],[Input]],1)</f>
        <v>R</v>
      </c>
      <c r="C3477">
        <f>_xlfn.LET(_xlpm.steps,SUBSTITUTE(Table1[[#This Row],[Input]],Table1[[#This Row],[Direction]],""),VALUE(IF(LEN(_xlpm.steps)&gt;2,RIGHT(_xlpm.steps,2),_xlpm.steps)))</f>
        <v>73</v>
      </c>
      <c r="D3477">
        <f>_xlfn.LET(_xlpm.dir,Table1[[#This Row],[Direction]],
IF(_xlpm.dir="L",
    IF(F3476-Table1[[#This Row],[Steps]]&lt;0,100+(F3476-Table1[[#This Row],[Steps]]),F3476-Table1[[#This Row],[Steps]]),
))</f>
        <v>0</v>
      </c>
      <c r="E3477">
        <f>_xlfn.LET(_xlpm.dir,Table1[[#This Row],[Direction]],
IF(_xlpm.dir="R",
    IF(F3476+Table1[[#This Row],[Steps]]&gt;99,(F3476+Table1[[#This Row],[Steps]])-100,F3476+Table1[[#This Row],[Steps]]),
))</f>
        <v>86</v>
      </c>
      <c r="F3477">
        <f>IF(Table1[[#This Row],[New Pos L]]&lt;&gt;0,Table1[[#This Row],[New Pos L]],Table1[[#This Row],[New Pos R]])</f>
        <v>86</v>
      </c>
    </row>
    <row r="3478" spans="1:6" ht="16" x14ac:dyDescent="0.2">
      <c r="A3478" s="1" t="s">
        <v>32</v>
      </c>
      <c r="B3478" t="str">
        <f>LEFT(Table1[[#This Row],[Input]],1)</f>
        <v>L</v>
      </c>
      <c r="C3478">
        <f>_xlfn.LET(_xlpm.steps,SUBSTITUTE(Table1[[#This Row],[Input]],Table1[[#This Row],[Direction]],""),VALUE(IF(LEN(_xlpm.steps)&gt;2,RIGHT(_xlpm.steps,2),_xlpm.steps)))</f>
        <v>28</v>
      </c>
      <c r="D3478">
        <f>_xlfn.LET(_xlpm.dir,Table1[[#This Row],[Direction]],
IF(_xlpm.dir="L",
    IF(F3477-Table1[[#This Row],[Steps]]&lt;0,100+(F3477-Table1[[#This Row],[Steps]]),F3477-Table1[[#This Row],[Steps]]),
))</f>
        <v>58</v>
      </c>
      <c r="E3478">
        <f>_xlfn.LET(_xlpm.dir,Table1[[#This Row],[Direction]],
IF(_xlpm.dir="R",
    IF(F3477+Table1[[#This Row],[Steps]]&gt;99,(F3477+Table1[[#This Row],[Steps]])-100,F3477+Table1[[#This Row],[Steps]]),
))</f>
        <v>0</v>
      </c>
      <c r="F3478">
        <f>IF(Table1[[#This Row],[New Pos L]]&lt;&gt;0,Table1[[#This Row],[New Pos L]],Table1[[#This Row],[New Pos R]])</f>
        <v>58</v>
      </c>
    </row>
    <row r="3479" spans="1:6" ht="16" x14ac:dyDescent="0.2">
      <c r="A3479" s="1" t="s">
        <v>531</v>
      </c>
      <c r="B3479" t="str">
        <f>LEFT(Table1[[#This Row],[Input]],1)</f>
        <v>L</v>
      </c>
      <c r="C3479">
        <f>_xlfn.LET(_xlpm.steps,SUBSTITUTE(Table1[[#This Row],[Input]],Table1[[#This Row],[Direction]],""),VALUE(IF(LEN(_xlpm.steps)&gt;2,RIGHT(_xlpm.steps,2),_xlpm.steps)))</f>
        <v>15</v>
      </c>
      <c r="D3479">
        <f>_xlfn.LET(_xlpm.dir,Table1[[#This Row],[Direction]],
IF(_xlpm.dir="L",
    IF(F3478-Table1[[#This Row],[Steps]]&lt;0,100+(F3478-Table1[[#This Row],[Steps]]),F3478-Table1[[#This Row],[Steps]]),
))</f>
        <v>43</v>
      </c>
      <c r="E3479">
        <f>_xlfn.LET(_xlpm.dir,Table1[[#This Row],[Direction]],
IF(_xlpm.dir="R",
    IF(F3478+Table1[[#This Row],[Steps]]&gt;99,(F3478+Table1[[#This Row],[Steps]])-100,F3478+Table1[[#This Row],[Steps]]),
))</f>
        <v>0</v>
      </c>
      <c r="F3479">
        <f>IF(Table1[[#This Row],[New Pos L]]&lt;&gt;0,Table1[[#This Row],[New Pos L]],Table1[[#This Row],[New Pos R]])</f>
        <v>43</v>
      </c>
    </row>
    <row r="3480" spans="1:6" ht="16" x14ac:dyDescent="0.2">
      <c r="A3480" s="1" t="s">
        <v>60</v>
      </c>
      <c r="B3480" t="str">
        <f>LEFT(Table1[[#This Row],[Input]],1)</f>
        <v>R</v>
      </c>
      <c r="C3480">
        <f>_xlfn.LET(_xlpm.steps,SUBSTITUTE(Table1[[#This Row],[Input]],Table1[[#This Row],[Direction]],""),VALUE(IF(LEN(_xlpm.steps)&gt;2,RIGHT(_xlpm.steps,2),_xlpm.steps)))</f>
        <v>86</v>
      </c>
      <c r="D3480">
        <f>_xlfn.LET(_xlpm.dir,Table1[[#This Row],[Direction]],
IF(_xlpm.dir="L",
    IF(F3479-Table1[[#This Row],[Steps]]&lt;0,100+(F3479-Table1[[#This Row],[Steps]]),F3479-Table1[[#This Row],[Steps]]),
))</f>
        <v>0</v>
      </c>
      <c r="E3480">
        <f>_xlfn.LET(_xlpm.dir,Table1[[#This Row],[Direction]],
IF(_xlpm.dir="R",
    IF(F3479+Table1[[#This Row],[Steps]]&gt;99,(F3479+Table1[[#This Row],[Steps]])-100,F3479+Table1[[#This Row],[Steps]]),
))</f>
        <v>29</v>
      </c>
      <c r="F3480">
        <f>IF(Table1[[#This Row],[New Pos L]]&lt;&gt;0,Table1[[#This Row],[New Pos L]],Table1[[#This Row],[New Pos R]])</f>
        <v>29</v>
      </c>
    </row>
    <row r="3481" spans="1:6" ht="16" x14ac:dyDescent="0.2">
      <c r="A3481" s="1" t="s">
        <v>750</v>
      </c>
      <c r="B3481" t="str">
        <f>LEFT(Table1[[#This Row],[Input]],1)</f>
        <v>R</v>
      </c>
      <c r="C3481">
        <f>_xlfn.LET(_xlpm.steps,SUBSTITUTE(Table1[[#This Row],[Input]],Table1[[#This Row],[Direction]],""),VALUE(IF(LEN(_xlpm.steps)&gt;2,RIGHT(_xlpm.steps,2),_xlpm.steps)))</f>
        <v>17</v>
      </c>
      <c r="D3481">
        <f>_xlfn.LET(_xlpm.dir,Table1[[#This Row],[Direction]],
IF(_xlpm.dir="L",
    IF(F3480-Table1[[#This Row],[Steps]]&lt;0,100+(F3480-Table1[[#This Row],[Steps]]),F3480-Table1[[#This Row],[Steps]]),
))</f>
        <v>0</v>
      </c>
      <c r="E3481">
        <f>_xlfn.LET(_xlpm.dir,Table1[[#This Row],[Direction]],
IF(_xlpm.dir="R",
    IF(F3480+Table1[[#This Row],[Steps]]&gt;99,(F3480+Table1[[#This Row],[Steps]])-100,F3480+Table1[[#This Row],[Steps]]),
))</f>
        <v>46</v>
      </c>
      <c r="F3481">
        <f>IF(Table1[[#This Row],[New Pos L]]&lt;&gt;0,Table1[[#This Row],[New Pos L]],Table1[[#This Row],[New Pos R]])</f>
        <v>46</v>
      </c>
    </row>
    <row r="3482" spans="1:6" ht="16" x14ac:dyDescent="0.2">
      <c r="A3482" s="1" t="s">
        <v>363</v>
      </c>
      <c r="B3482" t="str">
        <f>LEFT(Table1[[#This Row],[Input]],1)</f>
        <v>R</v>
      </c>
      <c r="C3482">
        <f>_xlfn.LET(_xlpm.steps,SUBSTITUTE(Table1[[#This Row],[Input]],Table1[[#This Row],[Direction]],""),VALUE(IF(LEN(_xlpm.steps)&gt;2,RIGHT(_xlpm.steps,2),_xlpm.steps)))</f>
        <v>63</v>
      </c>
      <c r="D3482">
        <f>_xlfn.LET(_xlpm.dir,Table1[[#This Row],[Direction]],
IF(_xlpm.dir="L",
    IF(F3481-Table1[[#This Row],[Steps]]&lt;0,100+(F3481-Table1[[#This Row],[Steps]]),F3481-Table1[[#This Row],[Steps]]),
))</f>
        <v>0</v>
      </c>
      <c r="E3482">
        <f>_xlfn.LET(_xlpm.dir,Table1[[#This Row],[Direction]],
IF(_xlpm.dir="R",
    IF(F3481+Table1[[#This Row],[Steps]]&gt;99,(F3481+Table1[[#This Row],[Steps]])-100,F3481+Table1[[#This Row],[Steps]]),
))</f>
        <v>9</v>
      </c>
      <c r="F3482">
        <f>IF(Table1[[#This Row],[New Pos L]]&lt;&gt;0,Table1[[#This Row],[New Pos L]],Table1[[#This Row],[New Pos R]])</f>
        <v>9</v>
      </c>
    </row>
    <row r="3483" spans="1:6" ht="16" x14ac:dyDescent="0.2">
      <c r="A3483" s="1" t="s">
        <v>235</v>
      </c>
      <c r="B3483" t="str">
        <f>LEFT(Table1[[#This Row],[Input]],1)</f>
        <v>L</v>
      </c>
      <c r="C3483">
        <f>_xlfn.LET(_xlpm.steps,SUBSTITUTE(Table1[[#This Row],[Input]],Table1[[#This Row],[Direction]],""),VALUE(IF(LEN(_xlpm.steps)&gt;2,RIGHT(_xlpm.steps,2),_xlpm.steps)))</f>
        <v>9</v>
      </c>
      <c r="D3483">
        <f>_xlfn.LET(_xlpm.dir,Table1[[#This Row],[Direction]],
IF(_xlpm.dir="L",
    IF(F3482-Table1[[#This Row],[Steps]]&lt;0,100+(F3482-Table1[[#This Row],[Steps]]),F3482-Table1[[#This Row],[Steps]]),
))</f>
        <v>0</v>
      </c>
      <c r="E3483">
        <f>_xlfn.LET(_xlpm.dir,Table1[[#This Row],[Direction]],
IF(_xlpm.dir="R",
    IF(F3482+Table1[[#This Row],[Steps]]&gt;99,(F3482+Table1[[#This Row],[Steps]])-100,F3482+Table1[[#This Row],[Steps]]),
))</f>
        <v>0</v>
      </c>
      <c r="F3483">
        <f>IF(Table1[[#This Row],[New Pos L]]&lt;&gt;0,Table1[[#This Row],[New Pos L]],Table1[[#This Row],[New Pos R]])</f>
        <v>0</v>
      </c>
    </row>
    <row r="3484" spans="1:6" ht="16" x14ac:dyDescent="0.2">
      <c r="A3484" s="1" t="s">
        <v>132</v>
      </c>
      <c r="B3484" t="str">
        <f>LEFT(Table1[[#This Row],[Input]],1)</f>
        <v>L</v>
      </c>
      <c r="C3484">
        <f>_xlfn.LET(_xlpm.steps,SUBSTITUTE(Table1[[#This Row],[Input]],Table1[[#This Row],[Direction]],""),VALUE(IF(LEN(_xlpm.steps)&gt;2,RIGHT(_xlpm.steps,2),_xlpm.steps)))</f>
        <v>51</v>
      </c>
      <c r="D3484">
        <f>_xlfn.LET(_xlpm.dir,Table1[[#This Row],[Direction]],
IF(_xlpm.dir="L",
    IF(F3483-Table1[[#This Row],[Steps]]&lt;0,100+(F3483-Table1[[#This Row],[Steps]]),F3483-Table1[[#This Row],[Steps]]),
))</f>
        <v>49</v>
      </c>
      <c r="E3484">
        <f>_xlfn.LET(_xlpm.dir,Table1[[#This Row],[Direction]],
IF(_xlpm.dir="R",
    IF(F3483+Table1[[#This Row],[Steps]]&gt;99,(F3483+Table1[[#This Row],[Steps]])-100,F3483+Table1[[#This Row],[Steps]]),
))</f>
        <v>0</v>
      </c>
      <c r="F3484">
        <f>IF(Table1[[#This Row],[New Pos L]]&lt;&gt;0,Table1[[#This Row],[New Pos L]],Table1[[#This Row],[New Pos R]])</f>
        <v>49</v>
      </c>
    </row>
    <row r="3485" spans="1:6" ht="16" x14ac:dyDescent="0.2">
      <c r="A3485" s="1" t="s">
        <v>47</v>
      </c>
      <c r="B3485" t="str">
        <f>LEFT(Table1[[#This Row],[Input]],1)</f>
        <v>R</v>
      </c>
      <c r="C3485">
        <f>_xlfn.LET(_xlpm.steps,SUBSTITUTE(Table1[[#This Row],[Input]],Table1[[#This Row],[Direction]],""),VALUE(IF(LEN(_xlpm.steps)&gt;2,RIGHT(_xlpm.steps,2),_xlpm.steps)))</f>
        <v>97</v>
      </c>
      <c r="D3485">
        <f>_xlfn.LET(_xlpm.dir,Table1[[#This Row],[Direction]],
IF(_xlpm.dir="L",
    IF(F3484-Table1[[#This Row],[Steps]]&lt;0,100+(F3484-Table1[[#This Row],[Steps]]),F3484-Table1[[#This Row],[Steps]]),
))</f>
        <v>0</v>
      </c>
      <c r="E3485">
        <f>_xlfn.LET(_xlpm.dir,Table1[[#This Row],[Direction]],
IF(_xlpm.dir="R",
    IF(F3484+Table1[[#This Row],[Steps]]&gt;99,(F3484+Table1[[#This Row],[Steps]])-100,F3484+Table1[[#This Row],[Steps]]),
))</f>
        <v>46</v>
      </c>
      <c r="F3485">
        <f>IF(Table1[[#This Row],[New Pos L]]&lt;&gt;0,Table1[[#This Row],[New Pos L]],Table1[[#This Row],[New Pos R]])</f>
        <v>46</v>
      </c>
    </row>
    <row r="3486" spans="1:6" ht="16" x14ac:dyDescent="0.2">
      <c r="A3486" s="1" t="s">
        <v>18</v>
      </c>
      <c r="B3486" t="str">
        <f>LEFT(Table1[[#This Row],[Input]],1)</f>
        <v>L</v>
      </c>
      <c r="C3486">
        <f>_xlfn.LET(_xlpm.steps,SUBSTITUTE(Table1[[#This Row],[Input]],Table1[[#This Row],[Direction]],""),VALUE(IF(LEN(_xlpm.steps)&gt;2,RIGHT(_xlpm.steps,2),_xlpm.steps)))</f>
        <v>46</v>
      </c>
      <c r="D3486">
        <f>_xlfn.LET(_xlpm.dir,Table1[[#This Row],[Direction]],
IF(_xlpm.dir="L",
    IF(F3485-Table1[[#This Row],[Steps]]&lt;0,100+(F3485-Table1[[#This Row],[Steps]]),F3485-Table1[[#This Row],[Steps]]),
))</f>
        <v>0</v>
      </c>
      <c r="E3486">
        <f>_xlfn.LET(_xlpm.dir,Table1[[#This Row],[Direction]],
IF(_xlpm.dir="R",
    IF(F3485+Table1[[#This Row],[Steps]]&gt;99,(F3485+Table1[[#This Row],[Steps]])-100,F3485+Table1[[#This Row],[Steps]]),
))</f>
        <v>0</v>
      </c>
      <c r="F3486">
        <f>IF(Table1[[#This Row],[New Pos L]]&lt;&gt;0,Table1[[#This Row],[New Pos L]],Table1[[#This Row],[New Pos R]])</f>
        <v>0</v>
      </c>
    </row>
    <row r="3487" spans="1:6" ht="16" x14ac:dyDescent="0.2">
      <c r="A3487" s="1" t="s">
        <v>1</v>
      </c>
      <c r="B3487" t="str">
        <f>LEFT(Table1[[#This Row],[Input]],1)</f>
        <v>R</v>
      </c>
      <c r="C3487">
        <f>_xlfn.LET(_xlpm.steps,SUBSTITUTE(Table1[[#This Row],[Input]],Table1[[#This Row],[Direction]],""),VALUE(IF(LEN(_xlpm.steps)&gt;2,RIGHT(_xlpm.steps,2),_xlpm.steps)))</f>
        <v>26</v>
      </c>
      <c r="D3487">
        <f>_xlfn.LET(_xlpm.dir,Table1[[#This Row],[Direction]],
IF(_xlpm.dir="L",
    IF(F3486-Table1[[#This Row],[Steps]]&lt;0,100+(F3486-Table1[[#This Row],[Steps]]),F3486-Table1[[#This Row],[Steps]]),
))</f>
        <v>0</v>
      </c>
      <c r="E3487">
        <f>_xlfn.LET(_xlpm.dir,Table1[[#This Row],[Direction]],
IF(_xlpm.dir="R",
    IF(F3486+Table1[[#This Row],[Steps]]&gt;99,(F3486+Table1[[#This Row],[Steps]])-100,F3486+Table1[[#This Row],[Steps]]),
))</f>
        <v>26</v>
      </c>
      <c r="F3487">
        <f>IF(Table1[[#This Row],[New Pos L]]&lt;&gt;0,Table1[[#This Row],[New Pos L]],Table1[[#This Row],[New Pos R]])</f>
        <v>26</v>
      </c>
    </row>
    <row r="3488" spans="1:6" ht="16" x14ac:dyDescent="0.2">
      <c r="A3488" s="1" t="s">
        <v>11</v>
      </c>
      <c r="B3488" t="str">
        <f>LEFT(Table1[[#This Row],[Input]],1)</f>
        <v>L</v>
      </c>
      <c r="C3488">
        <f>_xlfn.LET(_xlpm.steps,SUBSTITUTE(Table1[[#This Row],[Input]],Table1[[#This Row],[Direction]],""),VALUE(IF(LEN(_xlpm.steps)&gt;2,RIGHT(_xlpm.steps,2),_xlpm.steps)))</f>
        <v>34</v>
      </c>
      <c r="D3488">
        <f>_xlfn.LET(_xlpm.dir,Table1[[#This Row],[Direction]],
IF(_xlpm.dir="L",
    IF(F3487-Table1[[#This Row],[Steps]]&lt;0,100+(F3487-Table1[[#This Row],[Steps]]),F3487-Table1[[#This Row],[Steps]]),
))</f>
        <v>92</v>
      </c>
      <c r="E3488">
        <f>_xlfn.LET(_xlpm.dir,Table1[[#This Row],[Direction]],
IF(_xlpm.dir="R",
    IF(F3487+Table1[[#This Row],[Steps]]&gt;99,(F3487+Table1[[#This Row],[Steps]])-100,F3487+Table1[[#This Row],[Steps]]),
))</f>
        <v>0</v>
      </c>
      <c r="F3488">
        <f>IF(Table1[[#This Row],[New Pos L]]&lt;&gt;0,Table1[[#This Row],[New Pos L]],Table1[[#This Row],[New Pos R]])</f>
        <v>92</v>
      </c>
    </row>
    <row r="3489" spans="1:6" ht="16" x14ac:dyDescent="0.2">
      <c r="A3489" s="1" t="s">
        <v>751</v>
      </c>
      <c r="B3489" t="str">
        <f>LEFT(Table1[[#This Row],[Input]],1)</f>
        <v>R</v>
      </c>
      <c r="C3489">
        <f>_xlfn.LET(_xlpm.steps,SUBSTITUTE(Table1[[#This Row],[Input]],Table1[[#This Row],[Direction]],""),VALUE(IF(LEN(_xlpm.steps)&gt;2,RIGHT(_xlpm.steps,2),_xlpm.steps)))</f>
        <v>79</v>
      </c>
      <c r="D3489">
        <f>_xlfn.LET(_xlpm.dir,Table1[[#This Row],[Direction]],
IF(_xlpm.dir="L",
    IF(F3488-Table1[[#This Row],[Steps]]&lt;0,100+(F3488-Table1[[#This Row],[Steps]]),F3488-Table1[[#This Row],[Steps]]),
))</f>
        <v>0</v>
      </c>
      <c r="E3489">
        <f>_xlfn.LET(_xlpm.dir,Table1[[#This Row],[Direction]],
IF(_xlpm.dir="R",
    IF(F3488+Table1[[#This Row],[Steps]]&gt;99,(F3488+Table1[[#This Row],[Steps]])-100,F3488+Table1[[#This Row],[Steps]]),
))</f>
        <v>71</v>
      </c>
      <c r="F3489">
        <f>IF(Table1[[#This Row],[New Pos L]]&lt;&gt;0,Table1[[#This Row],[New Pos L]],Table1[[#This Row],[New Pos R]])</f>
        <v>71</v>
      </c>
    </row>
    <row r="3490" spans="1:6" ht="16" x14ac:dyDescent="0.2">
      <c r="A3490" s="1" t="s">
        <v>63</v>
      </c>
      <c r="B3490" t="str">
        <f>LEFT(Table1[[#This Row],[Input]],1)</f>
        <v>R</v>
      </c>
      <c r="C3490">
        <f>_xlfn.LET(_xlpm.steps,SUBSTITUTE(Table1[[#This Row],[Input]],Table1[[#This Row],[Direction]],""),VALUE(IF(LEN(_xlpm.steps)&gt;2,RIGHT(_xlpm.steps,2),_xlpm.steps)))</f>
        <v>57</v>
      </c>
      <c r="D3490">
        <f>_xlfn.LET(_xlpm.dir,Table1[[#This Row],[Direction]],
IF(_xlpm.dir="L",
    IF(F3489-Table1[[#This Row],[Steps]]&lt;0,100+(F3489-Table1[[#This Row],[Steps]]),F3489-Table1[[#This Row],[Steps]]),
))</f>
        <v>0</v>
      </c>
      <c r="E3490">
        <f>_xlfn.LET(_xlpm.dir,Table1[[#This Row],[Direction]],
IF(_xlpm.dir="R",
    IF(F3489+Table1[[#This Row],[Steps]]&gt;99,(F3489+Table1[[#This Row],[Steps]])-100,F3489+Table1[[#This Row],[Steps]]),
))</f>
        <v>28</v>
      </c>
      <c r="F3490">
        <f>IF(Table1[[#This Row],[New Pos L]]&lt;&gt;0,Table1[[#This Row],[New Pos L]],Table1[[#This Row],[New Pos R]])</f>
        <v>28</v>
      </c>
    </row>
    <row r="3491" spans="1:6" ht="16" x14ac:dyDescent="0.2">
      <c r="A3491" s="1" t="s">
        <v>1</v>
      </c>
      <c r="B3491" t="str">
        <f>LEFT(Table1[[#This Row],[Input]],1)</f>
        <v>R</v>
      </c>
      <c r="C3491">
        <f>_xlfn.LET(_xlpm.steps,SUBSTITUTE(Table1[[#This Row],[Input]],Table1[[#This Row],[Direction]],""),VALUE(IF(LEN(_xlpm.steps)&gt;2,RIGHT(_xlpm.steps,2),_xlpm.steps)))</f>
        <v>26</v>
      </c>
      <c r="D3491">
        <f>_xlfn.LET(_xlpm.dir,Table1[[#This Row],[Direction]],
IF(_xlpm.dir="L",
    IF(F3490-Table1[[#This Row],[Steps]]&lt;0,100+(F3490-Table1[[#This Row],[Steps]]),F3490-Table1[[#This Row],[Steps]]),
))</f>
        <v>0</v>
      </c>
      <c r="E3491">
        <f>_xlfn.LET(_xlpm.dir,Table1[[#This Row],[Direction]],
IF(_xlpm.dir="R",
    IF(F3490+Table1[[#This Row],[Steps]]&gt;99,(F3490+Table1[[#This Row],[Steps]])-100,F3490+Table1[[#This Row],[Steps]]),
))</f>
        <v>54</v>
      </c>
      <c r="F3491">
        <f>IF(Table1[[#This Row],[New Pos L]]&lt;&gt;0,Table1[[#This Row],[New Pos L]],Table1[[#This Row],[New Pos R]])</f>
        <v>54</v>
      </c>
    </row>
    <row r="3492" spans="1:6" ht="16" x14ac:dyDescent="0.2">
      <c r="A3492" s="1" t="s">
        <v>138</v>
      </c>
      <c r="B3492" t="str">
        <f>LEFT(Table1[[#This Row],[Input]],1)</f>
        <v>L</v>
      </c>
      <c r="C3492">
        <f>_xlfn.LET(_xlpm.steps,SUBSTITUTE(Table1[[#This Row],[Input]],Table1[[#This Row],[Direction]],""),VALUE(IF(LEN(_xlpm.steps)&gt;2,RIGHT(_xlpm.steps,2),_xlpm.steps)))</f>
        <v>94</v>
      </c>
      <c r="D3492">
        <f>_xlfn.LET(_xlpm.dir,Table1[[#This Row],[Direction]],
IF(_xlpm.dir="L",
    IF(F3491-Table1[[#This Row],[Steps]]&lt;0,100+(F3491-Table1[[#This Row],[Steps]]),F3491-Table1[[#This Row],[Steps]]),
))</f>
        <v>60</v>
      </c>
      <c r="E3492">
        <f>_xlfn.LET(_xlpm.dir,Table1[[#This Row],[Direction]],
IF(_xlpm.dir="R",
    IF(F3491+Table1[[#This Row],[Steps]]&gt;99,(F3491+Table1[[#This Row],[Steps]])-100,F3491+Table1[[#This Row],[Steps]]),
))</f>
        <v>0</v>
      </c>
      <c r="F3492">
        <f>IF(Table1[[#This Row],[New Pos L]]&lt;&gt;0,Table1[[#This Row],[New Pos L]],Table1[[#This Row],[New Pos R]])</f>
        <v>60</v>
      </c>
    </row>
    <row r="3493" spans="1:6" ht="16" x14ac:dyDescent="0.2">
      <c r="A3493" s="1" t="s">
        <v>276</v>
      </c>
      <c r="B3493" t="str">
        <f>LEFT(Table1[[#This Row],[Input]],1)</f>
        <v>L</v>
      </c>
      <c r="C3493">
        <f>_xlfn.LET(_xlpm.steps,SUBSTITUTE(Table1[[#This Row],[Input]],Table1[[#This Row],[Direction]],""),VALUE(IF(LEN(_xlpm.steps)&gt;2,RIGHT(_xlpm.steps,2),_xlpm.steps)))</f>
        <v>60</v>
      </c>
      <c r="D3493">
        <f>_xlfn.LET(_xlpm.dir,Table1[[#This Row],[Direction]],
IF(_xlpm.dir="L",
    IF(F3492-Table1[[#This Row],[Steps]]&lt;0,100+(F3492-Table1[[#This Row],[Steps]]),F3492-Table1[[#This Row],[Steps]]),
))</f>
        <v>0</v>
      </c>
      <c r="E3493">
        <f>_xlfn.LET(_xlpm.dir,Table1[[#This Row],[Direction]],
IF(_xlpm.dir="R",
    IF(F3492+Table1[[#This Row],[Steps]]&gt;99,(F3492+Table1[[#This Row],[Steps]])-100,F3492+Table1[[#This Row],[Steps]]),
))</f>
        <v>0</v>
      </c>
      <c r="F3493">
        <f>IF(Table1[[#This Row],[New Pos L]]&lt;&gt;0,Table1[[#This Row],[New Pos L]],Table1[[#This Row],[New Pos R]])</f>
        <v>0</v>
      </c>
    </row>
    <row r="3494" spans="1:6" ht="16" x14ac:dyDescent="0.2">
      <c r="A3494" s="1" t="s">
        <v>223</v>
      </c>
      <c r="B3494" t="str">
        <f>LEFT(Table1[[#This Row],[Input]],1)</f>
        <v>L</v>
      </c>
      <c r="C3494">
        <f>_xlfn.LET(_xlpm.steps,SUBSTITUTE(Table1[[#This Row],[Input]],Table1[[#This Row],[Direction]],""),VALUE(IF(LEN(_xlpm.steps)&gt;2,RIGHT(_xlpm.steps,2),_xlpm.steps)))</f>
        <v>87</v>
      </c>
      <c r="D3494">
        <f>_xlfn.LET(_xlpm.dir,Table1[[#This Row],[Direction]],
IF(_xlpm.dir="L",
    IF(F3493-Table1[[#This Row],[Steps]]&lt;0,100+(F3493-Table1[[#This Row],[Steps]]),F3493-Table1[[#This Row],[Steps]]),
))</f>
        <v>13</v>
      </c>
      <c r="E3494">
        <f>_xlfn.LET(_xlpm.dir,Table1[[#This Row],[Direction]],
IF(_xlpm.dir="R",
    IF(F3493+Table1[[#This Row],[Steps]]&gt;99,(F3493+Table1[[#This Row],[Steps]])-100,F3493+Table1[[#This Row],[Steps]]),
))</f>
        <v>0</v>
      </c>
      <c r="F3494">
        <f>IF(Table1[[#This Row],[New Pos L]]&lt;&gt;0,Table1[[#This Row],[New Pos L]],Table1[[#This Row],[New Pos R]])</f>
        <v>13</v>
      </c>
    </row>
    <row r="3495" spans="1:6" ht="16" x14ac:dyDescent="0.2">
      <c r="A3495" s="1" t="s">
        <v>128</v>
      </c>
      <c r="B3495" t="str">
        <f>LEFT(Table1[[#This Row],[Input]],1)</f>
        <v>R</v>
      </c>
      <c r="C3495">
        <f>_xlfn.LET(_xlpm.steps,SUBSTITUTE(Table1[[#This Row],[Input]],Table1[[#This Row],[Direction]],""),VALUE(IF(LEN(_xlpm.steps)&gt;2,RIGHT(_xlpm.steps,2),_xlpm.steps)))</f>
        <v>92</v>
      </c>
      <c r="D3495">
        <f>_xlfn.LET(_xlpm.dir,Table1[[#This Row],[Direction]],
IF(_xlpm.dir="L",
    IF(F3494-Table1[[#This Row],[Steps]]&lt;0,100+(F3494-Table1[[#This Row],[Steps]]),F3494-Table1[[#This Row],[Steps]]),
))</f>
        <v>0</v>
      </c>
      <c r="E3495">
        <f>_xlfn.LET(_xlpm.dir,Table1[[#This Row],[Direction]],
IF(_xlpm.dir="R",
    IF(F3494+Table1[[#This Row],[Steps]]&gt;99,(F3494+Table1[[#This Row],[Steps]])-100,F3494+Table1[[#This Row],[Steps]]),
))</f>
        <v>5</v>
      </c>
      <c r="F3495">
        <f>IF(Table1[[#This Row],[New Pos L]]&lt;&gt;0,Table1[[#This Row],[New Pos L]],Table1[[#This Row],[New Pos R]])</f>
        <v>5</v>
      </c>
    </row>
    <row r="3496" spans="1:6" ht="16" x14ac:dyDescent="0.2">
      <c r="A3496" s="1" t="s">
        <v>336</v>
      </c>
      <c r="B3496" t="str">
        <f>LEFT(Table1[[#This Row],[Input]],1)</f>
        <v>R</v>
      </c>
      <c r="C3496">
        <f>_xlfn.LET(_xlpm.steps,SUBSTITUTE(Table1[[#This Row],[Input]],Table1[[#This Row],[Direction]],""),VALUE(IF(LEN(_xlpm.steps)&gt;2,RIGHT(_xlpm.steps,2),_xlpm.steps)))</f>
        <v>95</v>
      </c>
      <c r="D3496">
        <f>_xlfn.LET(_xlpm.dir,Table1[[#This Row],[Direction]],
IF(_xlpm.dir="L",
    IF(F3495-Table1[[#This Row],[Steps]]&lt;0,100+(F3495-Table1[[#This Row],[Steps]]),F3495-Table1[[#This Row],[Steps]]),
))</f>
        <v>0</v>
      </c>
      <c r="E3496">
        <f>_xlfn.LET(_xlpm.dir,Table1[[#This Row],[Direction]],
IF(_xlpm.dir="R",
    IF(F3495+Table1[[#This Row],[Steps]]&gt;99,(F3495+Table1[[#This Row],[Steps]])-100,F3495+Table1[[#This Row],[Steps]]),
))</f>
        <v>0</v>
      </c>
      <c r="F3496">
        <f>IF(Table1[[#This Row],[New Pos L]]&lt;&gt;0,Table1[[#This Row],[New Pos L]],Table1[[#This Row],[New Pos R]])</f>
        <v>0</v>
      </c>
    </row>
    <row r="3497" spans="1:6" ht="16" x14ac:dyDescent="0.2">
      <c r="A3497" s="1" t="s">
        <v>213</v>
      </c>
      <c r="B3497" t="str">
        <f>LEFT(Table1[[#This Row],[Input]],1)</f>
        <v>R</v>
      </c>
      <c r="C3497">
        <f>_xlfn.LET(_xlpm.steps,SUBSTITUTE(Table1[[#This Row],[Input]],Table1[[#This Row],[Direction]],""),VALUE(IF(LEN(_xlpm.steps)&gt;2,RIGHT(_xlpm.steps,2),_xlpm.steps)))</f>
        <v>87</v>
      </c>
      <c r="D3497">
        <f>_xlfn.LET(_xlpm.dir,Table1[[#This Row],[Direction]],
IF(_xlpm.dir="L",
    IF(F3496-Table1[[#This Row],[Steps]]&lt;0,100+(F3496-Table1[[#This Row],[Steps]]),F3496-Table1[[#This Row],[Steps]]),
))</f>
        <v>0</v>
      </c>
      <c r="E3497">
        <f>_xlfn.LET(_xlpm.dir,Table1[[#This Row],[Direction]],
IF(_xlpm.dir="R",
    IF(F3496+Table1[[#This Row],[Steps]]&gt;99,(F3496+Table1[[#This Row],[Steps]])-100,F3496+Table1[[#This Row],[Steps]]),
))</f>
        <v>87</v>
      </c>
      <c r="F3497">
        <f>IF(Table1[[#This Row],[New Pos L]]&lt;&gt;0,Table1[[#This Row],[New Pos L]],Table1[[#This Row],[New Pos R]])</f>
        <v>87</v>
      </c>
    </row>
    <row r="3498" spans="1:6" ht="16" x14ac:dyDescent="0.2">
      <c r="A3498" s="1" t="s">
        <v>752</v>
      </c>
      <c r="B3498" t="str">
        <f>LEFT(Table1[[#This Row],[Input]],1)</f>
        <v>R</v>
      </c>
      <c r="C3498">
        <f>_xlfn.LET(_xlpm.steps,SUBSTITUTE(Table1[[#This Row],[Input]],Table1[[#This Row],[Direction]],""),VALUE(IF(LEN(_xlpm.steps)&gt;2,RIGHT(_xlpm.steps,2),_xlpm.steps)))</f>
        <v>13</v>
      </c>
      <c r="D3498">
        <f>_xlfn.LET(_xlpm.dir,Table1[[#This Row],[Direction]],
IF(_xlpm.dir="L",
    IF(F3497-Table1[[#This Row],[Steps]]&lt;0,100+(F3497-Table1[[#This Row],[Steps]]),F3497-Table1[[#This Row],[Steps]]),
))</f>
        <v>0</v>
      </c>
      <c r="E3498">
        <f>_xlfn.LET(_xlpm.dir,Table1[[#This Row],[Direction]],
IF(_xlpm.dir="R",
    IF(F3497+Table1[[#This Row],[Steps]]&gt;99,(F3497+Table1[[#This Row],[Steps]])-100,F3497+Table1[[#This Row],[Steps]]),
))</f>
        <v>0</v>
      </c>
      <c r="F3498">
        <f>IF(Table1[[#This Row],[New Pos L]]&lt;&gt;0,Table1[[#This Row],[New Pos L]],Table1[[#This Row],[New Pos R]])</f>
        <v>0</v>
      </c>
    </row>
    <row r="3499" spans="1:6" ht="16" x14ac:dyDescent="0.2">
      <c r="A3499" s="1" t="s">
        <v>141</v>
      </c>
      <c r="B3499" t="str">
        <f>LEFT(Table1[[#This Row],[Input]],1)</f>
        <v>L</v>
      </c>
      <c r="C3499">
        <f>_xlfn.LET(_xlpm.steps,SUBSTITUTE(Table1[[#This Row],[Input]],Table1[[#This Row],[Direction]],""),VALUE(IF(LEN(_xlpm.steps)&gt;2,RIGHT(_xlpm.steps,2),_xlpm.steps)))</f>
        <v>90</v>
      </c>
      <c r="D3499">
        <f>_xlfn.LET(_xlpm.dir,Table1[[#This Row],[Direction]],
IF(_xlpm.dir="L",
    IF(F3498-Table1[[#This Row],[Steps]]&lt;0,100+(F3498-Table1[[#This Row],[Steps]]),F3498-Table1[[#This Row],[Steps]]),
))</f>
        <v>10</v>
      </c>
      <c r="E3499">
        <f>_xlfn.LET(_xlpm.dir,Table1[[#This Row],[Direction]],
IF(_xlpm.dir="R",
    IF(F3498+Table1[[#This Row],[Steps]]&gt;99,(F3498+Table1[[#This Row],[Steps]])-100,F3498+Table1[[#This Row],[Steps]]),
))</f>
        <v>0</v>
      </c>
      <c r="F3499">
        <f>IF(Table1[[#This Row],[New Pos L]]&lt;&gt;0,Table1[[#This Row],[New Pos L]],Table1[[#This Row],[New Pos R]])</f>
        <v>10</v>
      </c>
    </row>
    <row r="3500" spans="1:6" ht="16" x14ac:dyDescent="0.2">
      <c r="A3500" s="1" t="s">
        <v>111</v>
      </c>
      <c r="B3500" t="str">
        <f>LEFT(Table1[[#This Row],[Input]],1)</f>
        <v>R</v>
      </c>
      <c r="C3500">
        <f>_xlfn.LET(_xlpm.steps,SUBSTITUTE(Table1[[#This Row],[Input]],Table1[[#This Row],[Direction]],""),VALUE(IF(LEN(_xlpm.steps)&gt;2,RIGHT(_xlpm.steps,2),_xlpm.steps)))</f>
        <v>64</v>
      </c>
      <c r="D3500">
        <f>_xlfn.LET(_xlpm.dir,Table1[[#This Row],[Direction]],
IF(_xlpm.dir="L",
    IF(F3499-Table1[[#This Row],[Steps]]&lt;0,100+(F3499-Table1[[#This Row],[Steps]]),F3499-Table1[[#This Row],[Steps]]),
))</f>
        <v>0</v>
      </c>
      <c r="E3500">
        <f>_xlfn.LET(_xlpm.dir,Table1[[#This Row],[Direction]],
IF(_xlpm.dir="R",
    IF(F3499+Table1[[#This Row],[Steps]]&gt;99,(F3499+Table1[[#This Row],[Steps]])-100,F3499+Table1[[#This Row],[Steps]]),
))</f>
        <v>74</v>
      </c>
      <c r="F3500">
        <f>IF(Table1[[#This Row],[New Pos L]]&lt;&gt;0,Table1[[#This Row],[New Pos L]],Table1[[#This Row],[New Pos R]])</f>
        <v>74</v>
      </c>
    </row>
    <row r="3501" spans="1:6" ht="16" x14ac:dyDescent="0.2">
      <c r="A3501" s="1" t="s">
        <v>151</v>
      </c>
      <c r="B3501" t="str">
        <f>LEFT(Table1[[#This Row],[Input]],1)</f>
        <v>L</v>
      </c>
      <c r="C3501">
        <f>_xlfn.LET(_xlpm.steps,SUBSTITUTE(Table1[[#This Row],[Input]],Table1[[#This Row],[Direction]],""),VALUE(IF(LEN(_xlpm.steps)&gt;2,RIGHT(_xlpm.steps,2),_xlpm.steps)))</f>
        <v>74</v>
      </c>
      <c r="D3501">
        <f>_xlfn.LET(_xlpm.dir,Table1[[#This Row],[Direction]],
IF(_xlpm.dir="L",
    IF(F3500-Table1[[#This Row],[Steps]]&lt;0,100+(F3500-Table1[[#This Row],[Steps]]),F3500-Table1[[#This Row],[Steps]]),
))</f>
        <v>0</v>
      </c>
      <c r="E3501">
        <f>_xlfn.LET(_xlpm.dir,Table1[[#This Row],[Direction]],
IF(_xlpm.dir="R",
    IF(F3500+Table1[[#This Row],[Steps]]&gt;99,(F3500+Table1[[#This Row],[Steps]])-100,F3500+Table1[[#This Row],[Steps]]),
))</f>
        <v>0</v>
      </c>
      <c r="F3501">
        <f>IF(Table1[[#This Row],[New Pos L]]&lt;&gt;0,Table1[[#This Row],[New Pos L]],Table1[[#This Row],[New Pos R]])</f>
        <v>0</v>
      </c>
    </row>
    <row r="3502" spans="1:6" ht="16" x14ac:dyDescent="0.2">
      <c r="A3502" s="1" t="s">
        <v>295</v>
      </c>
      <c r="B3502" t="str">
        <f>LEFT(Table1[[#This Row],[Input]],1)</f>
        <v>L</v>
      </c>
      <c r="C3502">
        <f>_xlfn.LET(_xlpm.steps,SUBSTITUTE(Table1[[#This Row],[Input]],Table1[[#This Row],[Direction]],""),VALUE(IF(LEN(_xlpm.steps)&gt;2,RIGHT(_xlpm.steps,2),_xlpm.steps)))</f>
        <v>88</v>
      </c>
      <c r="D3502">
        <f>_xlfn.LET(_xlpm.dir,Table1[[#This Row],[Direction]],
IF(_xlpm.dir="L",
    IF(F3501-Table1[[#This Row],[Steps]]&lt;0,100+(F3501-Table1[[#This Row],[Steps]]),F3501-Table1[[#This Row],[Steps]]),
))</f>
        <v>12</v>
      </c>
      <c r="E3502">
        <f>_xlfn.LET(_xlpm.dir,Table1[[#This Row],[Direction]],
IF(_xlpm.dir="R",
    IF(F3501+Table1[[#This Row],[Steps]]&gt;99,(F3501+Table1[[#This Row],[Steps]])-100,F3501+Table1[[#This Row],[Steps]]),
))</f>
        <v>0</v>
      </c>
      <c r="F3502">
        <f>IF(Table1[[#This Row],[New Pos L]]&lt;&gt;0,Table1[[#This Row],[New Pos L]],Table1[[#This Row],[New Pos R]])</f>
        <v>12</v>
      </c>
    </row>
    <row r="3503" spans="1:6" ht="16" x14ac:dyDescent="0.2">
      <c r="A3503" s="1" t="s">
        <v>49</v>
      </c>
      <c r="B3503" t="str">
        <f>LEFT(Table1[[#This Row],[Input]],1)</f>
        <v>L</v>
      </c>
      <c r="C3503">
        <f>_xlfn.LET(_xlpm.steps,SUBSTITUTE(Table1[[#This Row],[Input]],Table1[[#This Row],[Direction]],""),VALUE(IF(LEN(_xlpm.steps)&gt;2,RIGHT(_xlpm.steps,2),_xlpm.steps)))</f>
        <v>93</v>
      </c>
      <c r="D3503">
        <f>_xlfn.LET(_xlpm.dir,Table1[[#This Row],[Direction]],
IF(_xlpm.dir="L",
    IF(F3502-Table1[[#This Row],[Steps]]&lt;0,100+(F3502-Table1[[#This Row],[Steps]]),F3502-Table1[[#This Row],[Steps]]),
))</f>
        <v>19</v>
      </c>
      <c r="E3503">
        <f>_xlfn.LET(_xlpm.dir,Table1[[#This Row],[Direction]],
IF(_xlpm.dir="R",
    IF(F3502+Table1[[#This Row],[Steps]]&gt;99,(F3502+Table1[[#This Row],[Steps]])-100,F3502+Table1[[#This Row],[Steps]]),
))</f>
        <v>0</v>
      </c>
      <c r="F3503">
        <f>IF(Table1[[#This Row],[New Pos L]]&lt;&gt;0,Table1[[#This Row],[New Pos L]],Table1[[#This Row],[New Pos R]])</f>
        <v>19</v>
      </c>
    </row>
    <row r="3504" spans="1:6" ht="16" x14ac:dyDescent="0.2">
      <c r="A3504" s="1" t="s">
        <v>264</v>
      </c>
      <c r="B3504" t="str">
        <f>LEFT(Table1[[#This Row],[Input]],1)</f>
        <v>L</v>
      </c>
      <c r="C3504">
        <f>_xlfn.LET(_xlpm.steps,SUBSTITUTE(Table1[[#This Row],[Input]],Table1[[#This Row],[Direction]],""),VALUE(IF(LEN(_xlpm.steps)&gt;2,RIGHT(_xlpm.steps,2),_xlpm.steps)))</f>
        <v>21</v>
      </c>
      <c r="D3504">
        <f>_xlfn.LET(_xlpm.dir,Table1[[#This Row],[Direction]],
IF(_xlpm.dir="L",
    IF(F3503-Table1[[#This Row],[Steps]]&lt;0,100+(F3503-Table1[[#This Row],[Steps]]),F3503-Table1[[#This Row],[Steps]]),
))</f>
        <v>98</v>
      </c>
      <c r="E3504">
        <f>_xlfn.LET(_xlpm.dir,Table1[[#This Row],[Direction]],
IF(_xlpm.dir="R",
    IF(F3503+Table1[[#This Row],[Steps]]&gt;99,(F3503+Table1[[#This Row],[Steps]])-100,F3503+Table1[[#This Row],[Steps]]),
))</f>
        <v>0</v>
      </c>
      <c r="F3504">
        <f>IF(Table1[[#This Row],[New Pos L]]&lt;&gt;0,Table1[[#This Row],[New Pos L]],Table1[[#This Row],[New Pos R]])</f>
        <v>98</v>
      </c>
    </row>
    <row r="3505" spans="1:6" ht="16" x14ac:dyDescent="0.2">
      <c r="A3505" s="1" t="s">
        <v>164</v>
      </c>
      <c r="B3505" t="str">
        <f>LEFT(Table1[[#This Row],[Input]],1)</f>
        <v>R</v>
      </c>
      <c r="C3505">
        <f>_xlfn.LET(_xlpm.steps,SUBSTITUTE(Table1[[#This Row],[Input]],Table1[[#This Row],[Direction]],""),VALUE(IF(LEN(_xlpm.steps)&gt;2,RIGHT(_xlpm.steps,2),_xlpm.steps)))</f>
        <v>85</v>
      </c>
      <c r="D3505">
        <f>_xlfn.LET(_xlpm.dir,Table1[[#This Row],[Direction]],
IF(_xlpm.dir="L",
    IF(F3504-Table1[[#This Row],[Steps]]&lt;0,100+(F3504-Table1[[#This Row],[Steps]]),F3504-Table1[[#This Row],[Steps]]),
))</f>
        <v>0</v>
      </c>
      <c r="E3505">
        <f>_xlfn.LET(_xlpm.dir,Table1[[#This Row],[Direction]],
IF(_xlpm.dir="R",
    IF(F3504+Table1[[#This Row],[Steps]]&gt;99,(F3504+Table1[[#This Row],[Steps]])-100,F3504+Table1[[#This Row],[Steps]]),
))</f>
        <v>83</v>
      </c>
      <c r="F3505">
        <f>IF(Table1[[#This Row],[New Pos L]]&lt;&gt;0,Table1[[#This Row],[New Pos L]],Table1[[#This Row],[New Pos R]])</f>
        <v>83</v>
      </c>
    </row>
    <row r="3506" spans="1:6" ht="16" x14ac:dyDescent="0.2">
      <c r="A3506" s="1" t="s">
        <v>278</v>
      </c>
      <c r="B3506" t="str">
        <f>LEFT(Table1[[#This Row],[Input]],1)</f>
        <v>L</v>
      </c>
      <c r="C3506">
        <f>_xlfn.LET(_xlpm.steps,SUBSTITUTE(Table1[[#This Row],[Input]],Table1[[#This Row],[Direction]],""),VALUE(IF(LEN(_xlpm.steps)&gt;2,RIGHT(_xlpm.steps,2),_xlpm.steps)))</f>
        <v>40</v>
      </c>
      <c r="D3506">
        <f>_xlfn.LET(_xlpm.dir,Table1[[#This Row],[Direction]],
IF(_xlpm.dir="L",
    IF(F3505-Table1[[#This Row],[Steps]]&lt;0,100+(F3505-Table1[[#This Row],[Steps]]),F3505-Table1[[#This Row],[Steps]]),
))</f>
        <v>43</v>
      </c>
      <c r="E3506">
        <f>_xlfn.LET(_xlpm.dir,Table1[[#This Row],[Direction]],
IF(_xlpm.dir="R",
    IF(F3505+Table1[[#This Row],[Steps]]&gt;99,(F3505+Table1[[#This Row],[Steps]])-100,F3505+Table1[[#This Row],[Steps]]),
))</f>
        <v>0</v>
      </c>
      <c r="F3506">
        <f>IF(Table1[[#This Row],[New Pos L]]&lt;&gt;0,Table1[[#This Row],[New Pos L]],Table1[[#This Row],[New Pos R]])</f>
        <v>43</v>
      </c>
    </row>
    <row r="3507" spans="1:6" ht="16" x14ac:dyDescent="0.2">
      <c r="A3507" s="1" t="s">
        <v>57</v>
      </c>
      <c r="B3507" t="str">
        <f>LEFT(Table1[[#This Row],[Input]],1)</f>
        <v>R</v>
      </c>
      <c r="C3507">
        <f>_xlfn.LET(_xlpm.steps,SUBSTITUTE(Table1[[#This Row],[Input]],Table1[[#This Row],[Direction]],""),VALUE(IF(LEN(_xlpm.steps)&gt;2,RIGHT(_xlpm.steps,2),_xlpm.steps)))</f>
        <v>29</v>
      </c>
      <c r="D3507">
        <f>_xlfn.LET(_xlpm.dir,Table1[[#This Row],[Direction]],
IF(_xlpm.dir="L",
    IF(F3506-Table1[[#This Row],[Steps]]&lt;0,100+(F3506-Table1[[#This Row],[Steps]]),F3506-Table1[[#This Row],[Steps]]),
))</f>
        <v>0</v>
      </c>
      <c r="E3507">
        <f>_xlfn.LET(_xlpm.dir,Table1[[#This Row],[Direction]],
IF(_xlpm.dir="R",
    IF(F3506+Table1[[#This Row],[Steps]]&gt;99,(F3506+Table1[[#This Row],[Steps]])-100,F3506+Table1[[#This Row],[Steps]]),
))</f>
        <v>72</v>
      </c>
      <c r="F3507">
        <f>IF(Table1[[#This Row],[New Pos L]]&lt;&gt;0,Table1[[#This Row],[New Pos L]],Table1[[#This Row],[New Pos R]])</f>
        <v>72</v>
      </c>
    </row>
    <row r="3508" spans="1:6" ht="16" x14ac:dyDescent="0.2">
      <c r="A3508" s="1" t="s">
        <v>325</v>
      </c>
      <c r="B3508" t="str">
        <f>LEFT(Table1[[#This Row],[Input]],1)</f>
        <v>L</v>
      </c>
      <c r="C3508">
        <f>_xlfn.LET(_xlpm.steps,SUBSTITUTE(Table1[[#This Row],[Input]],Table1[[#This Row],[Direction]],""),VALUE(IF(LEN(_xlpm.steps)&gt;2,RIGHT(_xlpm.steps,2),_xlpm.steps)))</f>
        <v>68</v>
      </c>
      <c r="D3508">
        <f>_xlfn.LET(_xlpm.dir,Table1[[#This Row],[Direction]],
IF(_xlpm.dir="L",
    IF(F3507-Table1[[#This Row],[Steps]]&lt;0,100+(F3507-Table1[[#This Row],[Steps]]),F3507-Table1[[#This Row],[Steps]]),
))</f>
        <v>4</v>
      </c>
      <c r="E3508">
        <f>_xlfn.LET(_xlpm.dir,Table1[[#This Row],[Direction]],
IF(_xlpm.dir="R",
    IF(F3507+Table1[[#This Row],[Steps]]&gt;99,(F3507+Table1[[#This Row],[Steps]])-100,F3507+Table1[[#This Row],[Steps]]),
))</f>
        <v>0</v>
      </c>
      <c r="F3508">
        <f>IF(Table1[[#This Row],[New Pos L]]&lt;&gt;0,Table1[[#This Row],[New Pos L]],Table1[[#This Row],[New Pos R]])</f>
        <v>4</v>
      </c>
    </row>
    <row r="3509" spans="1:6" ht="16" x14ac:dyDescent="0.2">
      <c r="A3509" s="1" t="s">
        <v>127</v>
      </c>
      <c r="B3509" t="str">
        <f>LEFT(Table1[[#This Row],[Input]],1)</f>
        <v>L</v>
      </c>
      <c r="C3509">
        <f>_xlfn.LET(_xlpm.steps,SUBSTITUTE(Table1[[#This Row],[Input]],Table1[[#This Row],[Direction]],""),VALUE(IF(LEN(_xlpm.steps)&gt;2,RIGHT(_xlpm.steps,2),_xlpm.steps)))</f>
        <v>62</v>
      </c>
      <c r="D3509">
        <f>_xlfn.LET(_xlpm.dir,Table1[[#This Row],[Direction]],
IF(_xlpm.dir="L",
    IF(F3508-Table1[[#This Row],[Steps]]&lt;0,100+(F3508-Table1[[#This Row],[Steps]]),F3508-Table1[[#This Row],[Steps]]),
))</f>
        <v>42</v>
      </c>
      <c r="E3509">
        <f>_xlfn.LET(_xlpm.dir,Table1[[#This Row],[Direction]],
IF(_xlpm.dir="R",
    IF(F3508+Table1[[#This Row],[Steps]]&gt;99,(F3508+Table1[[#This Row],[Steps]])-100,F3508+Table1[[#This Row],[Steps]]),
))</f>
        <v>0</v>
      </c>
      <c r="F3509">
        <f>IF(Table1[[#This Row],[New Pos L]]&lt;&gt;0,Table1[[#This Row],[New Pos L]],Table1[[#This Row],[New Pos R]])</f>
        <v>42</v>
      </c>
    </row>
    <row r="3510" spans="1:6" ht="16" x14ac:dyDescent="0.2">
      <c r="A3510" s="1" t="s">
        <v>9</v>
      </c>
      <c r="B3510" t="str">
        <f>LEFT(Table1[[#This Row],[Input]],1)</f>
        <v>L</v>
      </c>
      <c r="C3510">
        <f>_xlfn.LET(_xlpm.steps,SUBSTITUTE(Table1[[#This Row],[Input]],Table1[[#This Row],[Direction]],""),VALUE(IF(LEN(_xlpm.steps)&gt;2,RIGHT(_xlpm.steps,2),_xlpm.steps)))</f>
        <v>9</v>
      </c>
      <c r="D3510">
        <f>_xlfn.LET(_xlpm.dir,Table1[[#This Row],[Direction]],
IF(_xlpm.dir="L",
    IF(F3509-Table1[[#This Row],[Steps]]&lt;0,100+(F3509-Table1[[#This Row],[Steps]]),F3509-Table1[[#This Row],[Steps]]),
))</f>
        <v>33</v>
      </c>
      <c r="E3510">
        <f>_xlfn.LET(_xlpm.dir,Table1[[#This Row],[Direction]],
IF(_xlpm.dir="R",
    IF(F3509+Table1[[#This Row],[Steps]]&gt;99,(F3509+Table1[[#This Row],[Steps]])-100,F3509+Table1[[#This Row],[Steps]]),
))</f>
        <v>0</v>
      </c>
      <c r="F3510">
        <f>IF(Table1[[#This Row],[New Pos L]]&lt;&gt;0,Table1[[#This Row],[New Pos L]],Table1[[#This Row],[New Pos R]])</f>
        <v>33</v>
      </c>
    </row>
    <row r="3511" spans="1:6" ht="16" x14ac:dyDescent="0.2">
      <c r="A3511" s="1" t="s">
        <v>223</v>
      </c>
      <c r="B3511" t="str">
        <f>LEFT(Table1[[#This Row],[Input]],1)</f>
        <v>L</v>
      </c>
      <c r="C3511">
        <f>_xlfn.LET(_xlpm.steps,SUBSTITUTE(Table1[[#This Row],[Input]],Table1[[#This Row],[Direction]],""),VALUE(IF(LEN(_xlpm.steps)&gt;2,RIGHT(_xlpm.steps,2),_xlpm.steps)))</f>
        <v>87</v>
      </c>
      <c r="D3511">
        <f>_xlfn.LET(_xlpm.dir,Table1[[#This Row],[Direction]],
IF(_xlpm.dir="L",
    IF(F3510-Table1[[#This Row],[Steps]]&lt;0,100+(F3510-Table1[[#This Row],[Steps]]),F3510-Table1[[#This Row],[Steps]]),
))</f>
        <v>46</v>
      </c>
      <c r="E3511">
        <f>_xlfn.LET(_xlpm.dir,Table1[[#This Row],[Direction]],
IF(_xlpm.dir="R",
    IF(F3510+Table1[[#This Row],[Steps]]&gt;99,(F3510+Table1[[#This Row],[Steps]])-100,F3510+Table1[[#This Row],[Steps]]),
))</f>
        <v>0</v>
      </c>
      <c r="F3511">
        <f>IF(Table1[[#This Row],[New Pos L]]&lt;&gt;0,Table1[[#This Row],[New Pos L]],Table1[[#This Row],[New Pos R]])</f>
        <v>46</v>
      </c>
    </row>
    <row r="3512" spans="1:6" ht="16" x14ac:dyDescent="0.2">
      <c r="A3512" s="1" t="s">
        <v>216</v>
      </c>
      <c r="B3512" t="str">
        <f>LEFT(Table1[[#This Row],[Input]],1)</f>
        <v>R</v>
      </c>
      <c r="C3512">
        <f>_xlfn.LET(_xlpm.steps,SUBSTITUTE(Table1[[#This Row],[Input]],Table1[[#This Row],[Direction]],""),VALUE(IF(LEN(_xlpm.steps)&gt;2,RIGHT(_xlpm.steps,2),_xlpm.steps)))</f>
        <v>54</v>
      </c>
      <c r="D3512">
        <f>_xlfn.LET(_xlpm.dir,Table1[[#This Row],[Direction]],
IF(_xlpm.dir="L",
    IF(F3511-Table1[[#This Row],[Steps]]&lt;0,100+(F3511-Table1[[#This Row],[Steps]]),F3511-Table1[[#This Row],[Steps]]),
))</f>
        <v>0</v>
      </c>
      <c r="E3512">
        <f>_xlfn.LET(_xlpm.dir,Table1[[#This Row],[Direction]],
IF(_xlpm.dir="R",
    IF(F3511+Table1[[#This Row],[Steps]]&gt;99,(F3511+Table1[[#This Row],[Steps]])-100,F3511+Table1[[#This Row],[Steps]]),
))</f>
        <v>0</v>
      </c>
      <c r="F3512">
        <f>IF(Table1[[#This Row],[New Pos L]]&lt;&gt;0,Table1[[#This Row],[New Pos L]],Table1[[#This Row],[New Pos R]])</f>
        <v>0</v>
      </c>
    </row>
    <row r="3513" spans="1:6" ht="16" x14ac:dyDescent="0.2">
      <c r="A3513" s="1" t="s">
        <v>226</v>
      </c>
      <c r="B3513" t="str">
        <f>LEFT(Table1[[#This Row],[Input]],1)</f>
        <v>L</v>
      </c>
      <c r="C3513">
        <f>_xlfn.LET(_xlpm.steps,SUBSTITUTE(Table1[[#This Row],[Input]],Table1[[#This Row],[Direction]],""),VALUE(IF(LEN(_xlpm.steps)&gt;2,RIGHT(_xlpm.steps,2),_xlpm.steps)))</f>
        <v>31</v>
      </c>
      <c r="D3513">
        <f>_xlfn.LET(_xlpm.dir,Table1[[#This Row],[Direction]],
IF(_xlpm.dir="L",
    IF(F3512-Table1[[#This Row],[Steps]]&lt;0,100+(F3512-Table1[[#This Row],[Steps]]),F3512-Table1[[#This Row],[Steps]]),
))</f>
        <v>69</v>
      </c>
      <c r="E3513">
        <f>_xlfn.LET(_xlpm.dir,Table1[[#This Row],[Direction]],
IF(_xlpm.dir="R",
    IF(F3512+Table1[[#This Row],[Steps]]&gt;99,(F3512+Table1[[#This Row],[Steps]])-100,F3512+Table1[[#This Row],[Steps]]),
))</f>
        <v>0</v>
      </c>
      <c r="F3513">
        <f>IF(Table1[[#This Row],[New Pos L]]&lt;&gt;0,Table1[[#This Row],[New Pos L]],Table1[[#This Row],[New Pos R]])</f>
        <v>69</v>
      </c>
    </row>
    <row r="3514" spans="1:6" ht="16" x14ac:dyDescent="0.2">
      <c r="A3514" s="1" t="s">
        <v>5</v>
      </c>
      <c r="B3514" t="str">
        <f>LEFT(Table1[[#This Row],[Input]],1)</f>
        <v>R</v>
      </c>
      <c r="C3514">
        <f>_xlfn.LET(_xlpm.steps,SUBSTITUTE(Table1[[#This Row],[Input]],Table1[[#This Row],[Direction]],""),VALUE(IF(LEN(_xlpm.steps)&gt;2,RIGHT(_xlpm.steps,2),_xlpm.steps)))</f>
        <v>1</v>
      </c>
      <c r="D3514">
        <f>_xlfn.LET(_xlpm.dir,Table1[[#This Row],[Direction]],
IF(_xlpm.dir="L",
    IF(F3513-Table1[[#This Row],[Steps]]&lt;0,100+(F3513-Table1[[#This Row],[Steps]]),F3513-Table1[[#This Row],[Steps]]),
))</f>
        <v>0</v>
      </c>
      <c r="E3514">
        <f>_xlfn.LET(_xlpm.dir,Table1[[#This Row],[Direction]],
IF(_xlpm.dir="R",
    IF(F3513+Table1[[#This Row],[Steps]]&gt;99,(F3513+Table1[[#This Row],[Steps]])-100,F3513+Table1[[#This Row],[Steps]]),
))</f>
        <v>70</v>
      </c>
      <c r="F3514">
        <f>IF(Table1[[#This Row],[New Pos L]]&lt;&gt;0,Table1[[#This Row],[New Pos L]],Table1[[#This Row],[New Pos R]])</f>
        <v>70</v>
      </c>
    </row>
    <row r="3515" spans="1:6" ht="16" x14ac:dyDescent="0.2">
      <c r="A3515" s="1" t="s">
        <v>616</v>
      </c>
      <c r="B3515" t="str">
        <f>LEFT(Table1[[#This Row],[Input]],1)</f>
        <v>R</v>
      </c>
      <c r="C3515">
        <f>_xlfn.LET(_xlpm.steps,SUBSTITUTE(Table1[[#This Row],[Input]],Table1[[#This Row],[Direction]],""),VALUE(IF(LEN(_xlpm.steps)&gt;2,RIGHT(_xlpm.steps,2),_xlpm.steps)))</f>
        <v>26</v>
      </c>
      <c r="D3515">
        <f>_xlfn.LET(_xlpm.dir,Table1[[#This Row],[Direction]],
IF(_xlpm.dir="L",
    IF(F3514-Table1[[#This Row],[Steps]]&lt;0,100+(F3514-Table1[[#This Row],[Steps]]),F3514-Table1[[#This Row],[Steps]]),
))</f>
        <v>0</v>
      </c>
      <c r="E3515">
        <f>_xlfn.LET(_xlpm.dir,Table1[[#This Row],[Direction]],
IF(_xlpm.dir="R",
    IF(F3514+Table1[[#This Row],[Steps]]&gt;99,(F3514+Table1[[#This Row],[Steps]])-100,F3514+Table1[[#This Row],[Steps]]),
))</f>
        <v>96</v>
      </c>
      <c r="F3515">
        <f>IF(Table1[[#This Row],[New Pos L]]&lt;&gt;0,Table1[[#This Row],[New Pos L]],Table1[[#This Row],[New Pos R]])</f>
        <v>96</v>
      </c>
    </row>
    <row r="3516" spans="1:6" ht="16" x14ac:dyDescent="0.2">
      <c r="A3516" s="1" t="s">
        <v>207</v>
      </c>
      <c r="B3516" t="str">
        <f>LEFT(Table1[[#This Row],[Input]],1)</f>
        <v>L</v>
      </c>
      <c r="C3516">
        <f>_xlfn.LET(_xlpm.steps,SUBSTITUTE(Table1[[#This Row],[Input]],Table1[[#This Row],[Direction]],""),VALUE(IF(LEN(_xlpm.steps)&gt;2,RIGHT(_xlpm.steps,2),_xlpm.steps)))</f>
        <v>89</v>
      </c>
      <c r="D3516">
        <f>_xlfn.LET(_xlpm.dir,Table1[[#This Row],[Direction]],
IF(_xlpm.dir="L",
    IF(F3515-Table1[[#This Row],[Steps]]&lt;0,100+(F3515-Table1[[#This Row],[Steps]]),F3515-Table1[[#This Row],[Steps]]),
))</f>
        <v>7</v>
      </c>
      <c r="E3516">
        <f>_xlfn.LET(_xlpm.dir,Table1[[#This Row],[Direction]],
IF(_xlpm.dir="R",
    IF(F3515+Table1[[#This Row],[Steps]]&gt;99,(F3515+Table1[[#This Row],[Steps]])-100,F3515+Table1[[#This Row],[Steps]]),
))</f>
        <v>0</v>
      </c>
      <c r="F3516">
        <f>IF(Table1[[#This Row],[New Pos L]]&lt;&gt;0,Table1[[#This Row],[New Pos L]],Table1[[#This Row],[New Pos R]])</f>
        <v>7</v>
      </c>
    </row>
    <row r="3517" spans="1:6" ht="16" x14ac:dyDescent="0.2">
      <c r="A3517" s="1" t="s">
        <v>188</v>
      </c>
      <c r="B3517" t="str">
        <f>LEFT(Table1[[#This Row],[Input]],1)</f>
        <v>R</v>
      </c>
      <c r="C3517">
        <f>_xlfn.LET(_xlpm.steps,SUBSTITUTE(Table1[[#This Row],[Input]],Table1[[#This Row],[Direction]],""),VALUE(IF(LEN(_xlpm.steps)&gt;2,RIGHT(_xlpm.steps,2),_xlpm.steps)))</f>
        <v>5</v>
      </c>
      <c r="D3517">
        <f>_xlfn.LET(_xlpm.dir,Table1[[#This Row],[Direction]],
IF(_xlpm.dir="L",
    IF(F3516-Table1[[#This Row],[Steps]]&lt;0,100+(F3516-Table1[[#This Row],[Steps]]),F3516-Table1[[#This Row],[Steps]]),
))</f>
        <v>0</v>
      </c>
      <c r="E3517">
        <f>_xlfn.LET(_xlpm.dir,Table1[[#This Row],[Direction]],
IF(_xlpm.dir="R",
    IF(F3516+Table1[[#This Row],[Steps]]&gt;99,(F3516+Table1[[#This Row],[Steps]])-100,F3516+Table1[[#This Row],[Steps]]),
))</f>
        <v>12</v>
      </c>
      <c r="F3517">
        <f>IF(Table1[[#This Row],[New Pos L]]&lt;&gt;0,Table1[[#This Row],[New Pos L]],Table1[[#This Row],[New Pos R]])</f>
        <v>12</v>
      </c>
    </row>
    <row r="3518" spans="1:6" ht="16" x14ac:dyDescent="0.2">
      <c r="A3518" s="1" t="s">
        <v>84</v>
      </c>
      <c r="B3518" t="str">
        <f>LEFT(Table1[[#This Row],[Input]],1)</f>
        <v>R</v>
      </c>
      <c r="C3518">
        <f>_xlfn.LET(_xlpm.steps,SUBSTITUTE(Table1[[#This Row],[Input]],Table1[[#This Row],[Direction]],""),VALUE(IF(LEN(_xlpm.steps)&gt;2,RIGHT(_xlpm.steps,2),_xlpm.steps)))</f>
        <v>88</v>
      </c>
      <c r="D3518">
        <f>_xlfn.LET(_xlpm.dir,Table1[[#This Row],[Direction]],
IF(_xlpm.dir="L",
    IF(F3517-Table1[[#This Row],[Steps]]&lt;0,100+(F3517-Table1[[#This Row],[Steps]]),F3517-Table1[[#This Row],[Steps]]),
))</f>
        <v>0</v>
      </c>
      <c r="E3518">
        <f>_xlfn.LET(_xlpm.dir,Table1[[#This Row],[Direction]],
IF(_xlpm.dir="R",
    IF(F3517+Table1[[#This Row],[Steps]]&gt;99,(F3517+Table1[[#This Row],[Steps]])-100,F3517+Table1[[#This Row],[Steps]]),
))</f>
        <v>0</v>
      </c>
      <c r="F3518">
        <f>IF(Table1[[#This Row],[New Pos L]]&lt;&gt;0,Table1[[#This Row],[New Pos L]],Table1[[#This Row],[New Pos R]])</f>
        <v>0</v>
      </c>
    </row>
    <row r="3519" spans="1:6" ht="16" x14ac:dyDescent="0.2">
      <c r="A3519" s="1" t="s">
        <v>161</v>
      </c>
      <c r="B3519" t="str">
        <f>LEFT(Table1[[#This Row],[Input]],1)</f>
        <v>R</v>
      </c>
      <c r="C3519">
        <f>_xlfn.LET(_xlpm.steps,SUBSTITUTE(Table1[[#This Row],[Input]],Table1[[#This Row],[Direction]],""),VALUE(IF(LEN(_xlpm.steps)&gt;2,RIGHT(_xlpm.steps,2),_xlpm.steps)))</f>
        <v>76</v>
      </c>
      <c r="D3519">
        <f>_xlfn.LET(_xlpm.dir,Table1[[#This Row],[Direction]],
IF(_xlpm.dir="L",
    IF(F3518-Table1[[#This Row],[Steps]]&lt;0,100+(F3518-Table1[[#This Row],[Steps]]),F3518-Table1[[#This Row],[Steps]]),
))</f>
        <v>0</v>
      </c>
      <c r="E3519">
        <f>_xlfn.LET(_xlpm.dir,Table1[[#This Row],[Direction]],
IF(_xlpm.dir="R",
    IF(F3518+Table1[[#This Row],[Steps]]&gt;99,(F3518+Table1[[#This Row],[Steps]])-100,F3518+Table1[[#This Row],[Steps]]),
))</f>
        <v>76</v>
      </c>
      <c r="F3519">
        <f>IF(Table1[[#This Row],[New Pos L]]&lt;&gt;0,Table1[[#This Row],[New Pos L]],Table1[[#This Row],[New Pos R]])</f>
        <v>76</v>
      </c>
    </row>
    <row r="3520" spans="1:6" ht="16" x14ac:dyDescent="0.2">
      <c r="A3520" s="1" t="s">
        <v>73</v>
      </c>
      <c r="B3520" t="str">
        <f>LEFT(Table1[[#This Row],[Input]],1)</f>
        <v>R</v>
      </c>
      <c r="C3520">
        <f>_xlfn.LET(_xlpm.steps,SUBSTITUTE(Table1[[#This Row],[Input]],Table1[[#This Row],[Direction]],""),VALUE(IF(LEN(_xlpm.steps)&gt;2,RIGHT(_xlpm.steps,2),_xlpm.steps)))</f>
        <v>21</v>
      </c>
      <c r="D3520">
        <f>_xlfn.LET(_xlpm.dir,Table1[[#This Row],[Direction]],
IF(_xlpm.dir="L",
    IF(F3519-Table1[[#This Row],[Steps]]&lt;0,100+(F3519-Table1[[#This Row],[Steps]]),F3519-Table1[[#This Row],[Steps]]),
))</f>
        <v>0</v>
      </c>
      <c r="E3520">
        <f>_xlfn.LET(_xlpm.dir,Table1[[#This Row],[Direction]],
IF(_xlpm.dir="R",
    IF(F3519+Table1[[#This Row],[Steps]]&gt;99,(F3519+Table1[[#This Row],[Steps]])-100,F3519+Table1[[#This Row],[Steps]]),
))</f>
        <v>97</v>
      </c>
      <c r="F3520">
        <f>IF(Table1[[#This Row],[New Pos L]]&lt;&gt;0,Table1[[#This Row],[New Pos L]],Table1[[#This Row],[New Pos R]])</f>
        <v>97</v>
      </c>
    </row>
    <row r="3521" spans="1:6" ht="16" x14ac:dyDescent="0.2">
      <c r="A3521" s="1" t="s">
        <v>179</v>
      </c>
      <c r="B3521" t="str">
        <f>LEFT(Table1[[#This Row],[Input]],1)</f>
        <v>L</v>
      </c>
      <c r="C3521">
        <f>_xlfn.LET(_xlpm.steps,SUBSTITUTE(Table1[[#This Row],[Input]],Table1[[#This Row],[Direction]],""),VALUE(IF(LEN(_xlpm.steps)&gt;2,RIGHT(_xlpm.steps,2),_xlpm.steps)))</f>
        <v>54</v>
      </c>
      <c r="D3521">
        <f>_xlfn.LET(_xlpm.dir,Table1[[#This Row],[Direction]],
IF(_xlpm.dir="L",
    IF(F3520-Table1[[#This Row],[Steps]]&lt;0,100+(F3520-Table1[[#This Row],[Steps]]),F3520-Table1[[#This Row],[Steps]]),
))</f>
        <v>43</v>
      </c>
      <c r="E3521">
        <f>_xlfn.LET(_xlpm.dir,Table1[[#This Row],[Direction]],
IF(_xlpm.dir="R",
    IF(F3520+Table1[[#This Row],[Steps]]&gt;99,(F3520+Table1[[#This Row],[Steps]])-100,F3520+Table1[[#This Row],[Steps]]),
))</f>
        <v>0</v>
      </c>
      <c r="F3521">
        <f>IF(Table1[[#This Row],[New Pos L]]&lt;&gt;0,Table1[[#This Row],[New Pos L]],Table1[[#This Row],[New Pos R]])</f>
        <v>43</v>
      </c>
    </row>
    <row r="3522" spans="1:6" ht="16" x14ac:dyDescent="0.2">
      <c r="A3522" s="1" t="s">
        <v>131</v>
      </c>
      <c r="B3522" t="str">
        <f>LEFT(Table1[[#This Row],[Input]],1)</f>
        <v>R</v>
      </c>
      <c r="C3522">
        <f>_xlfn.LET(_xlpm.steps,SUBSTITUTE(Table1[[#This Row],[Input]],Table1[[#This Row],[Direction]],""),VALUE(IF(LEN(_xlpm.steps)&gt;2,RIGHT(_xlpm.steps,2),_xlpm.steps)))</f>
        <v>99</v>
      </c>
      <c r="D3522">
        <f>_xlfn.LET(_xlpm.dir,Table1[[#This Row],[Direction]],
IF(_xlpm.dir="L",
    IF(F3521-Table1[[#This Row],[Steps]]&lt;0,100+(F3521-Table1[[#This Row],[Steps]]),F3521-Table1[[#This Row],[Steps]]),
))</f>
        <v>0</v>
      </c>
      <c r="E3522">
        <f>_xlfn.LET(_xlpm.dir,Table1[[#This Row],[Direction]],
IF(_xlpm.dir="R",
    IF(F3521+Table1[[#This Row],[Steps]]&gt;99,(F3521+Table1[[#This Row],[Steps]])-100,F3521+Table1[[#This Row],[Steps]]),
))</f>
        <v>42</v>
      </c>
      <c r="F3522">
        <f>IF(Table1[[#This Row],[New Pos L]]&lt;&gt;0,Table1[[#This Row],[New Pos L]],Table1[[#This Row],[New Pos R]])</f>
        <v>42</v>
      </c>
    </row>
    <row r="3523" spans="1:6" ht="16" x14ac:dyDescent="0.2">
      <c r="A3523" s="1" t="s">
        <v>100</v>
      </c>
      <c r="B3523" t="str">
        <f>LEFT(Table1[[#This Row],[Input]],1)</f>
        <v>R</v>
      </c>
      <c r="C3523">
        <f>_xlfn.LET(_xlpm.steps,SUBSTITUTE(Table1[[#This Row],[Input]],Table1[[#This Row],[Direction]],""),VALUE(IF(LEN(_xlpm.steps)&gt;2,RIGHT(_xlpm.steps,2),_xlpm.steps)))</f>
        <v>58</v>
      </c>
      <c r="D3523">
        <f>_xlfn.LET(_xlpm.dir,Table1[[#This Row],[Direction]],
IF(_xlpm.dir="L",
    IF(F3522-Table1[[#This Row],[Steps]]&lt;0,100+(F3522-Table1[[#This Row],[Steps]]),F3522-Table1[[#This Row],[Steps]]),
))</f>
        <v>0</v>
      </c>
      <c r="E3523">
        <f>_xlfn.LET(_xlpm.dir,Table1[[#This Row],[Direction]],
IF(_xlpm.dir="R",
    IF(F3522+Table1[[#This Row],[Steps]]&gt;99,(F3522+Table1[[#This Row],[Steps]])-100,F3522+Table1[[#This Row],[Steps]]),
))</f>
        <v>0</v>
      </c>
      <c r="F3523">
        <f>IF(Table1[[#This Row],[New Pos L]]&lt;&gt;0,Table1[[#This Row],[New Pos L]],Table1[[#This Row],[New Pos R]])</f>
        <v>0</v>
      </c>
    </row>
    <row r="3524" spans="1:6" ht="16" x14ac:dyDescent="0.2">
      <c r="A3524" s="1" t="s">
        <v>120</v>
      </c>
      <c r="B3524" t="str">
        <f>LEFT(Table1[[#This Row],[Input]],1)</f>
        <v>L</v>
      </c>
      <c r="C3524">
        <f>_xlfn.LET(_xlpm.steps,SUBSTITUTE(Table1[[#This Row],[Input]],Table1[[#This Row],[Direction]],""),VALUE(IF(LEN(_xlpm.steps)&gt;2,RIGHT(_xlpm.steps,2),_xlpm.steps)))</f>
        <v>23</v>
      </c>
      <c r="D3524">
        <f>_xlfn.LET(_xlpm.dir,Table1[[#This Row],[Direction]],
IF(_xlpm.dir="L",
    IF(F3523-Table1[[#This Row],[Steps]]&lt;0,100+(F3523-Table1[[#This Row],[Steps]]),F3523-Table1[[#This Row],[Steps]]),
))</f>
        <v>77</v>
      </c>
      <c r="E3524">
        <f>_xlfn.LET(_xlpm.dir,Table1[[#This Row],[Direction]],
IF(_xlpm.dir="R",
    IF(F3523+Table1[[#This Row],[Steps]]&gt;99,(F3523+Table1[[#This Row],[Steps]])-100,F3523+Table1[[#This Row],[Steps]]),
))</f>
        <v>0</v>
      </c>
      <c r="F3524">
        <f>IF(Table1[[#This Row],[New Pos L]]&lt;&gt;0,Table1[[#This Row],[New Pos L]],Table1[[#This Row],[New Pos R]])</f>
        <v>77</v>
      </c>
    </row>
    <row r="3525" spans="1:6" ht="16" x14ac:dyDescent="0.2">
      <c r="A3525" s="1" t="s">
        <v>71</v>
      </c>
      <c r="B3525" t="str">
        <f>LEFT(Table1[[#This Row],[Input]],1)</f>
        <v>R</v>
      </c>
      <c r="C3525">
        <f>_xlfn.LET(_xlpm.steps,SUBSTITUTE(Table1[[#This Row],[Input]],Table1[[#This Row],[Direction]],""),VALUE(IF(LEN(_xlpm.steps)&gt;2,RIGHT(_xlpm.steps,2),_xlpm.steps)))</f>
        <v>23</v>
      </c>
      <c r="D3525">
        <f>_xlfn.LET(_xlpm.dir,Table1[[#This Row],[Direction]],
IF(_xlpm.dir="L",
    IF(F3524-Table1[[#This Row],[Steps]]&lt;0,100+(F3524-Table1[[#This Row],[Steps]]),F3524-Table1[[#This Row],[Steps]]),
))</f>
        <v>0</v>
      </c>
      <c r="E3525">
        <f>_xlfn.LET(_xlpm.dir,Table1[[#This Row],[Direction]],
IF(_xlpm.dir="R",
    IF(F3524+Table1[[#This Row],[Steps]]&gt;99,(F3524+Table1[[#This Row],[Steps]])-100,F3524+Table1[[#This Row],[Steps]]),
))</f>
        <v>0</v>
      </c>
      <c r="F3525">
        <f>IF(Table1[[#This Row],[New Pos L]]&lt;&gt;0,Table1[[#This Row],[New Pos L]],Table1[[#This Row],[New Pos R]])</f>
        <v>0</v>
      </c>
    </row>
    <row r="3526" spans="1:6" ht="16" x14ac:dyDescent="0.2">
      <c r="A3526" s="1" t="s">
        <v>20</v>
      </c>
      <c r="B3526" t="str">
        <f>LEFT(Table1[[#This Row],[Input]],1)</f>
        <v>R</v>
      </c>
      <c r="C3526">
        <f>_xlfn.LET(_xlpm.steps,SUBSTITUTE(Table1[[#This Row],[Input]],Table1[[#This Row],[Direction]],""),VALUE(IF(LEN(_xlpm.steps)&gt;2,RIGHT(_xlpm.steps,2),_xlpm.steps)))</f>
        <v>46</v>
      </c>
      <c r="D3526">
        <f>_xlfn.LET(_xlpm.dir,Table1[[#This Row],[Direction]],
IF(_xlpm.dir="L",
    IF(F3525-Table1[[#This Row],[Steps]]&lt;0,100+(F3525-Table1[[#This Row],[Steps]]),F3525-Table1[[#This Row],[Steps]]),
))</f>
        <v>0</v>
      </c>
      <c r="E3526">
        <f>_xlfn.LET(_xlpm.dir,Table1[[#This Row],[Direction]],
IF(_xlpm.dir="R",
    IF(F3525+Table1[[#This Row],[Steps]]&gt;99,(F3525+Table1[[#This Row],[Steps]])-100,F3525+Table1[[#This Row],[Steps]]),
))</f>
        <v>46</v>
      </c>
      <c r="F3526">
        <f>IF(Table1[[#This Row],[New Pos L]]&lt;&gt;0,Table1[[#This Row],[New Pos L]],Table1[[#This Row],[New Pos R]])</f>
        <v>46</v>
      </c>
    </row>
    <row r="3527" spans="1:6" ht="16" x14ac:dyDescent="0.2">
      <c r="A3527" s="1" t="s">
        <v>18</v>
      </c>
      <c r="B3527" t="str">
        <f>LEFT(Table1[[#This Row],[Input]],1)</f>
        <v>L</v>
      </c>
      <c r="C3527">
        <f>_xlfn.LET(_xlpm.steps,SUBSTITUTE(Table1[[#This Row],[Input]],Table1[[#This Row],[Direction]],""),VALUE(IF(LEN(_xlpm.steps)&gt;2,RIGHT(_xlpm.steps,2),_xlpm.steps)))</f>
        <v>46</v>
      </c>
      <c r="D3527">
        <f>_xlfn.LET(_xlpm.dir,Table1[[#This Row],[Direction]],
IF(_xlpm.dir="L",
    IF(F3526-Table1[[#This Row],[Steps]]&lt;0,100+(F3526-Table1[[#This Row],[Steps]]),F3526-Table1[[#This Row],[Steps]]),
))</f>
        <v>0</v>
      </c>
      <c r="E3527">
        <f>_xlfn.LET(_xlpm.dir,Table1[[#This Row],[Direction]],
IF(_xlpm.dir="R",
    IF(F3526+Table1[[#This Row],[Steps]]&gt;99,(F3526+Table1[[#This Row],[Steps]])-100,F3526+Table1[[#This Row],[Steps]]),
))</f>
        <v>0</v>
      </c>
      <c r="F3527">
        <f>IF(Table1[[#This Row],[New Pos L]]&lt;&gt;0,Table1[[#This Row],[New Pos L]],Table1[[#This Row],[New Pos R]])</f>
        <v>0</v>
      </c>
    </row>
    <row r="3528" spans="1:6" ht="16" x14ac:dyDescent="0.2">
      <c r="A3528" s="1" t="s">
        <v>253</v>
      </c>
      <c r="B3528" t="str">
        <f>LEFT(Table1[[#This Row],[Input]],1)</f>
        <v>R</v>
      </c>
      <c r="C3528">
        <f>_xlfn.LET(_xlpm.steps,SUBSTITUTE(Table1[[#This Row],[Input]],Table1[[#This Row],[Direction]],""),VALUE(IF(LEN(_xlpm.steps)&gt;2,RIGHT(_xlpm.steps,2),_xlpm.steps)))</f>
        <v>94</v>
      </c>
      <c r="D3528">
        <f>_xlfn.LET(_xlpm.dir,Table1[[#This Row],[Direction]],
IF(_xlpm.dir="L",
    IF(F3527-Table1[[#This Row],[Steps]]&lt;0,100+(F3527-Table1[[#This Row],[Steps]]),F3527-Table1[[#This Row],[Steps]]),
))</f>
        <v>0</v>
      </c>
      <c r="E3528">
        <f>_xlfn.LET(_xlpm.dir,Table1[[#This Row],[Direction]],
IF(_xlpm.dir="R",
    IF(F3527+Table1[[#This Row],[Steps]]&gt;99,(F3527+Table1[[#This Row],[Steps]])-100,F3527+Table1[[#This Row],[Steps]]),
))</f>
        <v>94</v>
      </c>
      <c r="F3528">
        <f>IF(Table1[[#This Row],[New Pos L]]&lt;&gt;0,Table1[[#This Row],[New Pos L]],Table1[[#This Row],[New Pos R]])</f>
        <v>94</v>
      </c>
    </row>
    <row r="3529" spans="1:6" ht="16" x14ac:dyDescent="0.2">
      <c r="A3529" s="1" t="s">
        <v>63</v>
      </c>
      <c r="B3529" t="str">
        <f>LEFT(Table1[[#This Row],[Input]],1)</f>
        <v>R</v>
      </c>
      <c r="C3529">
        <f>_xlfn.LET(_xlpm.steps,SUBSTITUTE(Table1[[#This Row],[Input]],Table1[[#This Row],[Direction]],""),VALUE(IF(LEN(_xlpm.steps)&gt;2,RIGHT(_xlpm.steps,2),_xlpm.steps)))</f>
        <v>57</v>
      </c>
      <c r="D3529">
        <f>_xlfn.LET(_xlpm.dir,Table1[[#This Row],[Direction]],
IF(_xlpm.dir="L",
    IF(F3528-Table1[[#This Row],[Steps]]&lt;0,100+(F3528-Table1[[#This Row],[Steps]]),F3528-Table1[[#This Row],[Steps]]),
))</f>
        <v>0</v>
      </c>
      <c r="E3529">
        <f>_xlfn.LET(_xlpm.dir,Table1[[#This Row],[Direction]],
IF(_xlpm.dir="R",
    IF(F3528+Table1[[#This Row],[Steps]]&gt;99,(F3528+Table1[[#This Row],[Steps]])-100,F3528+Table1[[#This Row],[Steps]]),
))</f>
        <v>51</v>
      </c>
      <c r="F3529">
        <f>IF(Table1[[#This Row],[New Pos L]]&lt;&gt;0,Table1[[#This Row],[New Pos L]],Table1[[#This Row],[New Pos R]])</f>
        <v>51</v>
      </c>
    </row>
    <row r="3530" spans="1:6" ht="16" x14ac:dyDescent="0.2">
      <c r="A3530" s="1" t="s">
        <v>102</v>
      </c>
      <c r="B3530" t="str">
        <f>LEFT(Table1[[#This Row],[Input]],1)</f>
        <v>R</v>
      </c>
      <c r="C3530">
        <f>_xlfn.LET(_xlpm.steps,SUBSTITUTE(Table1[[#This Row],[Input]],Table1[[#This Row],[Direction]],""),VALUE(IF(LEN(_xlpm.steps)&gt;2,RIGHT(_xlpm.steps,2),_xlpm.steps)))</f>
        <v>39</v>
      </c>
      <c r="D3530">
        <f>_xlfn.LET(_xlpm.dir,Table1[[#This Row],[Direction]],
IF(_xlpm.dir="L",
    IF(F3529-Table1[[#This Row],[Steps]]&lt;0,100+(F3529-Table1[[#This Row],[Steps]]),F3529-Table1[[#This Row],[Steps]]),
))</f>
        <v>0</v>
      </c>
      <c r="E3530">
        <f>_xlfn.LET(_xlpm.dir,Table1[[#This Row],[Direction]],
IF(_xlpm.dir="R",
    IF(F3529+Table1[[#This Row],[Steps]]&gt;99,(F3529+Table1[[#This Row],[Steps]])-100,F3529+Table1[[#This Row],[Steps]]),
))</f>
        <v>90</v>
      </c>
      <c r="F3530">
        <f>IF(Table1[[#This Row],[New Pos L]]&lt;&gt;0,Table1[[#This Row],[New Pos L]],Table1[[#This Row],[New Pos R]])</f>
        <v>90</v>
      </c>
    </row>
    <row r="3531" spans="1:6" ht="16" x14ac:dyDescent="0.2">
      <c r="A3531" s="1" t="s">
        <v>141</v>
      </c>
      <c r="B3531" t="str">
        <f>LEFT(Table1[[#This Row],[Input]],1)</f>
        <v>L</v>
      </c>
      <c r="C3531">
        <f>_xlfn.LET(_xlpm.steps,SUBSTITUTE(Table1[[#This Row],[Input]],Table1[[#This Row],[Direction]],""),VALUE(IF(LEN(_xlpm.steps)&gt;2,RIGHT(_xlpm.steps,2),_xlpm.steps)))</f>
        <v>90</v>
      </c>
      <c r="D3531">
        <f>_xlfn.LET(_xlpm.dir,Table1[[#This Row],[Direction]],
IF(_xlpm.dir="L",
    IF(F3530-Table1[[#This Row],[Steps]]&lt;0,100+(F3530-Table1[[#This Row],[Steps]]),F3530-Table1[[#This Row],[Steps]]),
))</f>
        <v>0</v>
      </c>
      <c r="E3531">
        <f>_xlfn.LET(_xlpm.dir,Table1[[#This Row],[Direction]],
IF(_xlpm.dir="R",
    IF(F3530+Table1[[#This Row],[Steps]]&gt;99,(F3530+Table1[[#This Row],[Steps]])-100,F3530+Table1[[#This Row],[Steps]]),
))</f>
        <v>0</v>
      </c>
      <c r="F3531">
        <f>IF(Table1[[#This Row],[New Pos L]]&lt;&gt;0,Table1[[#This Row],[New Pos L]],Table1[[#This Row],[New Pos R]])</f>
        <v>0</v>
      </c>
    </row>
    <row r="3532" spans="1:6" ht="16" x14ac:dyDescent="0.2">
      <c r="A3532" s="1" t="s">
        <v>157</v>
      </c>
      <c r="B3532" t="str">
        <f>LEFT(Table1[[#This Row],[Input]],1)</f>
        <v>R</v>
      </c>
      <c r="C3532">
        <f>_xlfn.LET(_xlpm.steps,SUBSTITUTE(Table1[[#This Row],[Input]],Table1[[#This Row],[Direction]],""),VALUE(IF(LEN(_xlpm.steps)&gt;2,RIGHT(_xlpm.steps,2),_xlpm.steps)))</f>
        <v>68</v>
      </c>
      <c r="D3532">
        <f>_xlfn.LET(_xlpm.dir,Table1[[#This Row],[Direction]],
IF(_xlpm.dir="L",
    IF(F3531-Table1[[#This Row],[Steps]]&lt;0,100+(F3531-Table1[[#This Row],[Steps]]),F3531-Table1[[#This Row],[Steps]]),
))</f>
        <v>0</v>
      </c>
      <c r="E3532">
        <f>_xlfn.LET(_xlpm.dir,Table1[[#This Row],[Direction]],
IF(_xlpm.dir="R",
    IF(F3531+Table1[[#This Row],[Steps]]&gt;99,(F3531+Table1[[#This Row],[Steps]])-100,F3531+Table1[[#This Row],[Steps]]),
))</f>
        <v>68</v>
      </c>
      <c r="F3532">
        <f>IF(Table1[[#This Row],[New Pos L]]&lt;&gt;0,Table1[[#This Row],[New Pos L]],Table1[[#This Row],[New Pos R]])</f>
        <v>68</v>
      </c>
    </row>
    <row r="3533" spans="1:6" ht="16" x14ac:dyDescent="0.2">
      <c r="A3533" s="1" t="s">
        <v>39</v>
      </c>
      <c r="B3533" t="str">
        <f>LEFT(Table1[[#This Row],[Input]],1)</f>
        <v>R</v>
      </c>
      <c r="C3533">
        <f>_xlfn.LET(_xlpm.steps,SUBSTITUTE(Table1[[#This Row],[Input]],Table1[[#This Row],[Direction]],""),VALUE(IF(LEN(_xlpm.steps)&gt;2,RIGHT(_xlpm.steps,2),_xlpm.steps)))</f>
        <v>32</v>
      </c>
      <c r="D3533">
        <f>_xlfn.LET(_xlpm.dir,Table1[[#This Row],[Direction]],
IF(_xlpm.dir="L",
    IF(F3532-Table1[[#This Row],[Steps]]&lt;0,100+(F3532-Table1[[#This Row],[Steps]]),F3532-Table1[[#This Row],[Steps]]),
))</f>
        <v>0</v>
      </c>
      <c r="E3533">
        <f>_xlfn.LET(_xlpm.dir,Table1[[#This Row],[Direction]],
IF(_xlpm.dir="R",
    IF(F3532+Table1[[#This Row],[Steps]]&gt;99,(F3532+Table1[[#This Row],[Steps]])-100,F3532+Table1[[#This Row],[Steps]]),
))</f>
        <v>0</v>
      </c>
      <c r="F3533">
        <f>IF(Table1[[#This Row],[New Pos L]]&lt;&gt;0,Table1[[#This Row],[New Pos L]],Table1[[#This Row],[New Pos R]])</f>
        <v>0</v>
      </c>
    </row>
    <row r="3534" spans="1:6" ht="16" x14ac:dyDescent="0.2">
      <c r="A3534" s="1" t="s">
        <v>753</v>
      </c>
      <c r="B3534" t="str">
        <f>LEFT(Table1[[#This Row],[Input]],1)</f>
        <v>R</v>
      </c>
      <c r="C3534">
        <f>_xlfn.LET(_xlpm.steps,SUBSTITUTE(Table1[[#This Row],[Input]],Table1[[#This Row],[Direction]],""),VALUE(IF(LEN(_xlpm.steps)&gt;2,RIGHT(_xlpm.steps,2),_xlpm.steps)))</f>
        <v>96</v>
      </c>
      <c r="D3534">
        <f>_xlfn.LET(_xlpm.dir,Table1[[#This Row],[Direction]],
IF(_xlpm.dir="L",
    IF(F3533-Table1[[#This Row],[Steps]]&lt;0,100+(F3533-Table1[[#This Row],[Steps]]),F3533-Table1[[#This Row],[Steps]]),
))</f>
        <v>0</v>
      </c>
      <c r="E3534">
        <f>_xlfn.LET(_xlpm.dir,Table1[[#This Row],[Direction]],
IF(_xlpm.dir="R",
    IF(F3533+Table1[[#This Row],[Steps]]&gt;99,(F3533+Table1[[#This Row],[Steps]])-100,F3533+Table1[[#This Row],[Steps]]),
))</f>
        <v>96</v>
      </c>
      <c r="F3534">
        <f>IF(Table1[[#This Row],[New Pos L]]&lt;&gt;0,Table1[[#This Row],[New Pos L]],Table1[[#This Row],[New Pos R]])</f>
        <v>96</v>
      </c>
    </row>
    <row r="3535" spans="1:6" ht="16" x14ac:dyDescent="0.2">
      <c r="A3535" s="1" t="s">
        <v>33</v>
      </c>
      <c r="B3535" t="str">
        <f>LEFT(Table1[[#This Row],[Input]],1)</f>
        <v>R</v>
      </c>
      <c r="C3535">
        <f>_xlfn.LET(_xlpm.steps,SUBSTITUTE(Table1[[#This Row],[Input]],Table1[[#This Row],[Direction]],""),VALUE(IF(LEN(_xlpm.steps)&gt;2,RIGHT(_xlpm.steps,2),_xlpm.steps)))</f>
        <v>22</v>
      </c>
      <c r="D3535">
        <f>_xlfn.LET(_xlpm.dir,Table1[[#This Row],[Direction]],
IF(_xlpm.dir="L",
    IF(F3534-Table1[[#This Row],[Steps]]&lt;0,100+(F3534-Table1[[#This Row],[Steps]]),F3534-Table1[[#This Row],[Steps]]),
))</f>
        <v>0</v>
      </c>
      <c r="E3535">
        <f>_xlfn.LET(_xlpm.dir,Table1[[#This Row],[Direction]],
IF(_xlpm.dir="R",
    IF(F3534+Table1[[#This Row],[Steps]]&gt;99,(F3534+Table1[[#This Row],[Steps]])-100,F3534+Table1[[#This Row],[Steps]]),
))</f>
        <v>18</v>
      </c>
      <c r="F3535">
        <f>IF(Table1[[#This Row],[New Pos L]]&lt;&gt;0,Table1[[#This Row],[New Pos L]],Table1[[#This Row],[New Pos R]])</f>
        <v>18</v>
      </c>
    </row>
    <row r="3536" spans="1:6" ht="16" x14ac:dyDescent="0.2">
      <c r="A3536" s="1" t="s">
        <v>131</v>
      </c>
      <c r="B3536" t="str">
        <f>LEFT(Table1[[#This Row],[Input]],1)</f>
        <v>R</v>
      </c>
      <c r="C3536">
        <f>_xlfn.LET(_xlpm.steps,SUBSTITUTE(Table1[[#This Row],[Input]],Table1[[#This Row],[Direction]],""),VALUE(IF(LEN(_xlpm.steps)&gt;2,RIGHT(_xlpm.steps,2),_xlpm.steps)))</f>
        <v>99</v>
      </c>
      <c r="D3536">
        <f>_xlfn.LET(_xlpm.dir,Table1[[#This Row],[Direction]],
IF(_xlpm.dir="L",
    IF(F3535-Table1[[#This Row],[Steps]]&lt;0,100+(F3535-Table1[[#This Row],[Steps]]),F3535-Table1[[#This Row],[Steps]]),
))</f>
        <v>0</v>
      </c>
      <c r="E3536">
        <f>_xlfn.LET(_xlpm.dir,Table1[[#This Row],[Direction]],
IF(_xlpm.dir="R",
    IF(F3535+Table1[[#This Row],[Steps]]&gt;99,(F3535+Table1[[#This Row],[Steps]])-100,F3535+Table1[[#This Row],[Steps]]),
))</f>
        <v>17</v>
      </c>
      <c r="F3536">
        <f>IF(Table1[[#This Row],[New Pos L]]&lt;&gt;0,Table1[[#This Row],[New Pos L]],Table1[[#This Row],[New Pos R]])</f>
        <v>17</v>
      </c>
    </row>
    <row r="3537" spans="1:6" ht="16" x14ac:dyDescent="0.2">
      <c r="A3537" s="1" t="s">
        <v>210</v>
      </c>
      <c r="B3537" t="str">
        <f>LEFT(Table1[[#This Row],[Input]],1)</f>
        <v>R</v>
      </c>
      <c r="C3537">
        <f>_xlfn.LET(_xlpm.steps,SUBSTITUTE(Table1[[#This Row],[Input]],Table1[[#This Row],[Direction]],""),VALUE(IF(LEN(_xlpm.steps)&gt;2,RIGHT(_xlpm.steps,2),_xlpm.steps)))</f>
        <v>89</v>
      </c>
      <c r="D3537">
        <f>_xlfn.LET(_xlpm.dir,Table1[[#This Row],[Direction]],
IF(_xlpm.dir="L",
    IF(F3536-Table1[[#This Row],[Steps]]&lt;0,100+(F3536-Table1[[#This Row],[Steps]]),F3536-Table1[[#This Row],[Steps]]),
))</f>
        <v>0</v>
      </c>
      <c r="E3537">
        <f>_xlfn.LET(_xlpm.dir,Table1[[#This Row],[Direction]],
IF(_xlpm.dir="R",
    IF(F3536+Table1[[#This Row],[Steps]]&gt;99,(F3536+Table1[[#This Row],[Steps]])-100,F3536+Table1[[#This Row],[Steps]]),
))</f>
        <v>6</v>
      </c>
      <c r="F3537">
        <f>IF(Table1[[#This Row],[New Pos L]]&lt;&gt;0,Table1[[#This Row],[New Pos L]],Table1[[#This Row],[New Pos R]])</f>
        <v>6</v>
      </c>
    </row>
    <row r="3538" spans="1:6" ht="16" x14ac:dyDescent="0.2">
      <c r="A3538" s="1" t="s">
        <v>754</v>
      </c>
      <c r="B3538" t="str">
        <f>LEFT(Table1[[#This Row],[Input]],1)</f>
        <v>L</v>
      </c>
      <c r="C3538">
        <f>_xlfn.LET(_xlpm.steps,SUBSTITUTE(Table1[[#This Row],[Input]],Table1[[#This Row],[Direction]],""),VALUE(IF(LEN(_xlpm.steps)&gt;2,RIGHT(_xlpm.steps,2),_xlpm.steps)))</f>
        <v>6</v>
      </c>
      <c r="D3538">
        <f>_xlfn.LET(_xlpm.dir,Table1[[#This Row],[Direction]],
IF(_xlpm.dir="L",
    IF(F3537-Table1[[#This Row],[Steps]]&lt;0,100+(F3537-Table1[[#This Row],[Steps]]),F3537-Table1[[#This Row],[Steps]]),
))</f>
        <v>0</v>
      </c>
      <c r="E3538">
        <f>_xlfn.LET(_xlpm.dir,Table1[[#This Row],[Direction]],
IF(_xlpm.dir="R",
    IF(F3537+Table1[[#This Row],[Steps]]&gt;99,(F3537+Table1[[#This Row],[Steps]])-100,F3537+Table1[[#This Row],[Steps]]),
))</f>
        <v>0</v>
      </c>
      <c r="F3538">
        <f>IF(Table1[[#This Row],[New Pos L]]&lt;&gt;0,Table1[[#This Row],[New Pos L]],Table1[[#This Row],[New Pos R]])</f>
        <v>0</v>
      </c>
    </row>
    <row r="3539" spans="1:6" ht="16" x14ac:dyDescent="0.2">
      <c r="A3539" s="1" t="s">
        <v>226</v>
      </c>
      <c r="B3539" t="str">
        <f>LEFT(Table1[[#This Row],[Input]],1)</f>
        <v>L</v>
      </c>
      <c r="C3539">
        <f>_xlfn.LET(_xlpm.steps,SUBSTITUTE(Table1[[#This Row],[Input]],Table1[[#This Row],[Direction]],""),VALUE(IF(LEN(_xlpm.steps)&gt;2,RIGHT(_xlpm.steps,2),_xlpm.steps)))</f>
        <v>31</v>
      </c>
      <c r="D3539">
        <f>_xlfn.LET(_xlpm.dir,Table1[[#This Row],[Direction]],
IF(_xlpm.dir="L",
    IF(F3538-Table1[[#This Row],[Steps]]&lt;0,100+(F3538-Table1[[#This Row],[Steps]]),F3538-Table1[[#This Row],[Steps]]),
))</f>
        <v>69</v>
      </c>
      <c r="E3539">
        <f>_xlfn.LET(_xlpm.dir,Table1[[#This Row],[Direction]],
IF(_xlpm.dir="R",
    IF(F3538+Table1[[#This Row],[Steps]]&gt;99,(F3538+Table1[[#This Row],[Steps]])-100,F3538+Table1[[#This Row],[Steps]]),
))</f>
        <v>0</v>
      </c>
      <c r="F3539">
        <f>IF(Table1[[#This Row],[New Pos L]]&lt;&gt;0,Table1[[#This Row],[New Pos L]],Table1[[#This Row],[New Pos R]])</f>
        <v>69</v>
      </c>
    </row>
    <row r="3540" spans="1:6" ht="16" x14ac:dyDescent="0.2">
      <c r="A3540" s="1" t="s">
        <v>755</v>
      </c>
      <c r="B3540" t="str">
        <f>LEFT(Table1[[#This Row],[Input]],1)</f>
        <v>L</v>
      </c>
      <c r="C3540">
        <f>_xlfn.LET(_xlpm.steps,SUBSTITUTE(Table1[[#This Row],[Input]],Table1[[#This Row],[Direction]],""),VALUE(IF(LEN(_xlpm.steps)&gt;2,RIGHT(_xlpm.steps,2),_xlpm.steps)))</f>
        <v>8</v>
      </c>
      <c r="D3540">
        <f>_xlfn.LET(_xlpm.dir,Table1[[#This Row],[Direction]],
IF(_xlpm.dir="L",
    IF(F3539-Table1[[#This Row],[Steps]]&lt;0,100+(F3539-Table1[[#This Row],[Steps]]),F3539-Table1[[#This Row],[Steps]]),
))</f>
        <v>61</v>
      </c>
      <c r="E3540">
        <f>_xlfn.LET(_xlpm.dir,Table1[[#This Row],[Direction]],
IF(_xlpm.dir="R",
    IF(F3539+Table1[[#This Row],[Steps]]&gt;99,(F3539+Table1[[#This Row],[Steps]])-100,F3539+Table1[[#This Row],[Steps]]),
))</f>
        <v>0</v>
      </c>
      <c r="F3540">
        <f>IF(Table1[[#This Row],[New Pos L]]&lt;&gt;0,Table1[[#This Row],[New Pos L]],Table1[[#This Row],[New Pos R]])</f>
        <v>61</v>
      </c>
    </row>
    <row r="3541" spans="1:6" ht="16" x14ac:dyDescent="0.2">
      <c r="A3541" s="1" t="s">
        <v>756</v>
      </c>
      <c r="B3541" t="str">
        <f>LEFT(Table1[[#This Row],[Input]],1)</f>
        <v>R</v>
      </c>
      <c r="C3541">
        <f>_xlfn.LET(_xlpm.steps,SUBSTITUTE(Table1[[#This Row],[Input]],Table1[[#This Row],[Direction]],""),VALUE(IF(LEN(_xlpm.steps)&gt;2,RIGHT(_xlpm.steps,2),_xlpm.steps)))</f>
        <v>57</v>
      </c>
      <c r="D3541">
        <f>_xlfn.LET(_xlpm.dir,Table1[[#This Row],[Direction]],
IF(_xlpm.dir="L",
    IF(F3540-Table1[[#This Row],[Steps]]&lt;0,100+(F3540-Table1[[#This Row],[Steps]]),F3540-Table1[[#This Row],[Steps]]),
))</f>
        <v>0</v>
      </c>
      <c r="E3541">
        <f>_xlfn.LET(_xlpm.dir,Table1[[#This Row],[Direction]],
IF(_xlpm.dir="R",
    IF(F3540+Table1[[#This Row],[Steps]]&gt;99,(F3540+Table1[[#This Row],[Steps]])-100,F3540+Table1[[#This Row],[Steps]]),
))</f>
        <v>18</v>
      </c>
      <c r="F3541">
        <f>IF(Table1[[#This Row],[New Pos L]]&lt;&gt;0,Table1[[#This Row],[New Pos L]],Table1[[#This Row],[New Pos R]])</f>
        <v>18</v>
      </c>
    </row>
    <row r="3542" spans="1:6" ht="16" x14ac:dyDescent="0.2">
      <c r="A3542" s="1" t="s">
        <v>757</v>
      </c>
      <c r="B3542" t="str">
        <f>LEFT(Table1[[#This Row],[Input]],1)</f>
        <v>R</v>
      </c>
      <c r="C3542">
        <f>_xlfn.LET(_xlpm.steps,SUBSTITUTE(Table1[[#This Row],[Input]],Table1[[#This Row],[Direction]],""),VALUE(IF(LEN(_xlpm.steps)&gt;2,RIGHT(_xlpm.steps,2),_xlpm.steps)))</f>
        <v>82</v>
      </c>
      <c r="D3542">
        <f>_xlfn.LET(_xlpm.dir,Table1[[#This Row],[Direction]],
IF(_xlpm.dir="L",
    IF(F3541-Table1[[#This Row],[Steps]]&lt;0,100+(F3541-Table1[[#This Row],[Steps]]),F3541-Table1[[#This Row],[Steps]]),
))</f>
        <v>0</v>
      </c>
      <c r="E3542">
        <f>_xlfn.LET(_xlpm.dir,Table1[[#This Row],[Direction]],
IF(_xlpm.dir="R",
    IF(F3541+Table1[[#This Row],[Steps]]&gt;99,(F3541+Table1[[#This Row],[Steps]])-100,F3541+Table1[[#This Row],[Steps]]),
))</f>
        <v>0</v>
      </c>
      <c r="F3542">
        <f>IF(Table1[[#This Row],[New Pos L]]&lt;&gt;0,Table1[[#This Row],[New Pos L]],Table1[[#This Row],[New Pos R]])</f>
        <v>0</v>
      </c>
    </row>
    <row r="3543" spans="1:6" ht="16" x14ac:dyDescent="0.2">
      <c r="A3543" s="1" t="s">
        <v>1</v>
      </c>
      <c r="B3543" t="str">
        <f>LEFT(Table1[[#This Row],[Input]],1)</f>
        <v>R</v>
      </c>
      <c r="C3543">
        <f>_xlfn.LET(_xlpm.steps,SUBSTITUTE(Table1[[#This Row],[Input]],Table1[[#This Row],[Direction]],""),VALUE(IF(LEN(_xlpm.steps)&gt;2,RIGHT(_xlpm.steps,2),_xlpm.steps)))</f>
        <v>26</v>
      </c>
      <c r="D3543">
        <f>_xlfn.LET(_xlpm.dir,Table1[[#This Row],[Direction]],
IF(_xlpm.dir="L",
    IF(F3542-Table1[[#This Row],[Steps]]&lt;0,100+(F3542-Table1[[#This Row],[Steps]]),F3542-Table1[[#This Row],[Steps]]),
))</f>
        <v>0</v>
      </c>
      <c r="E3543">
        <f>_xlfn.LET(_xlpm.dir,Table1[[#This Row],[Direction]],
IF(_xlpm.dir="R",
    IF(F3542+Table1[[#This Row],[Steps]]&gt;99,(F3542+Table1[[#This Row],[Steps]])-100,F3542+Table1[[#This Row],[Steps]]),
))</f>
        <v>26</v>
      </c>
      <c r="F3543">
        <f>IF(Table1[[#This Row],[New Pos L]]&lt;&gt;0,Table1[[#This Row],[New Pos L]],Table1[[#This Row],[New Pos R]])</f>
        <v>26</v>
      </c>
    </row>
    <row r="3544" spans="1:6" ht="16" x14ac:dyDescent="0.2">
      <c r="A3544" s="1" t="s">
        <v>66</v>
      </c>
      <c r="B3544" t="str">
        <f>LEFT(Table1[[#This Row],[Input]],1)</f>
        <v>R</v>
      </c>
      <c r="C3544">
        <f>_xlfn.LET(_xlpm.steps,SUBSTITUTE(Table1[[#This Row],[Input]],Table1[[#This Row],[Direction]],""),VALUE(IF(LEN(_xlpm.steps)&gt;2,RIGHT(_xlpm.steps,2),_xlpm.steps)))</f>
        <v>45</v>
      </c>
      <c r="D3544">
        <f>_xlfn.LET(_xlpm.dir,Table1[[#This Row],[Direction]],
IF(_xlpm.dir="L",
    IF(F3543-Table1[[#This Row],[Steps]]&lt;0,100+(F3543-Table1[[#This Row],[Steps]]),F3543-Table1[[#This Row],[Steps]]),
))</f>
        <v>0</v>
      </c>
      <c r="E3544">
        <f>_xlfn.LET(_xlpm.dir,Table1[[#This Row],[Direction]],
IF(_xlpm.dir="R",
    IF(F3543+Table1[[#This Row],[Steps]]&gt;99,(F3543+Table1[[#This Row],[Steps]])-100,F3543+Table1[[#This Row],[Steps]]),
))</f>
        <v>71</v>
      </c>
      <c r="F3544">
        <f>IF(Table1[[#This Row],[New Pos L]]&lt;&gt;0,Table1[[#This Row],[New Pos L]],Table1[[#This Row],[New Pos R]])</f>
        <v>71</v>
      </c>
    </row>
    <row r="3545" spans="1:6" ht="16" x14ac:dyDescent="0.2">
      <c r="A3545" s="1" t="s">
        <v>62</v>
      </c>
      <c r="B3545" t="str">
        <f>LEFT(Table1[[#This Row],[Input]],1)</f>
        <v>L</v>
      </c>
      <c r="C3545">
        <f>_xlfn.LET(_xlpm.steps,SUBSTITUTE(Table1[[#This Row],[Input]],Table1[[#This Row],[Direction]],""),VALUE(IF(LEN(_xlpm.steps)&gt;2,RIGHT(_xlpm.steps,2),_xlpm.steps)))</f>
        <v>57</v>
      </c>
      <c r="D3545">
        <f>_xlfn.LET(_xlpm.dir,Table1[[#This Row],[Direction]],
IF(_xlpm.dir="L",
    IF(F3544-Table1[[#This Row],[Steps]]&lt;0,100+(F3544-Table1[[#This Row],[Steps]]),F3544-Table1[[#This Row],[Steps]]),
))</f>
        <v>14</v>
      </c>
      <c r="E3545">
        <f>_xlfn.LET(_xlpm.dir,Table1[[#This Row],[Direction]],
IF(_xlpm.dir="R",
    IF(F3544+Table1[[#This Row],[Steps]]&gt;99,(F3544+Table1[[#This Row],[Steps]])-100,F3544+Table1[[#This Row],[Steps]]),
))</f>
        <v>0</v>
      </c>
      <c r="F3545">
        <f>IF(Table1[[#This Row],[New Pos L]]&lt;&gt;0,Table1[[#This Row],[New Pos L]],Table1[[#This Row],[New Pos R]])</f>
        <v>14</v>
      </c>
    </row>
    <row r="3546" spans="1:6" ht="16" x14ac:dyDescent="0.2">
      <c r="A3546" s="1" t="s">
        <v>36</v>
      </c>
      <c r="B3546" t="str">
        <f>LEFT(Table1[[#This Row],[Input]],1)</f>
        <v>R</v>
      </c>
      <c r="C3546">
        <f>_xlfn.LET(_xlpm.steps,SUBSTITUTE(Table1[[#This Row],[Input]],Table1[[#This Row],[Direction]],""),VALUE(IF(LEN(_xlpm.steps)&gt;2,RIGHT(_xlpm.steps,2),_xlpm.steps)))</f>
        <v>50</v>
      </c>
      <c r="D3546">
        <f>_xlfn.LET(_xlpm.dir,Table1[[#This Row],[Direction]],
IF(_xlpm.dir="L",
    IF(F3545-Table1[[#This Row],[Steps]]&lt;0,100+(F3545-Table1[[#This Row],[Steps]]),F3545-Table1[[#This Row],[Steps]]),
))</f>
        <v>0</v>
      </c>
      <c r="E3546">
        <f>_xlfn.LET(_xlpm.dir,Table1[[#This Row],[Direction]],
IF(_xlpm.dir="R",
    IF(F3545+Table1[[#This Row],[Steps]]&gt;99,(F3545+Table1[[#This Row],[Steps]])-100,F3545+Table1[[#This Row],[Steps]]),
))</f>
        <v>64</v>
      </c>
      <c r="F3546">
        <f>IF(Table1[[#This Row],[New Pos L]]&lt;&gt;0,Table1[[#This Row],[New Pos L]],Table1[[#This Row],[New Pos R]])</f>
        <v>64</v>
      </c>
    </row>
    <row r="3547" spans="1:6" ht="16" x14ac:dyDescent="0.2">
      <c r="A3547" s="1" t="s">
        <v>120</v>
      </c>
      <c r="B3547" t="str">
        <f>LEFT(Table1[[#This Row],[Input]],1)</f>
        <v>L</v>
      </c>
      <c r="C3547">
        <f>_xlfn.LET(_xlpm.steps,SUBSTITUTE(Table1[[#This Row],[Input]],Table1[[#This Row],[Direction]],""),VALUE(IF(LEN(_xlpm.steps)&gt;2,RIGHT(_xlpm.steps,2),_xlpm.steps)))</f>
        <v>23</v>
      </c>
      <c r="D3547">
        <f>_xlfn.LET(_xlpm.dir,Table1[[#This Row],[Direction]],
IF(_xlpm.dir="L",
    IF(F3546-Table1[[#This Row],[Steps]]&lt;0,100+(F3546-Table1[[#This Row],[Steps]]),F3546-Table1[[#This Row],[Steps]]),
))</f>
        <v>41</v>
      </c>
      <c r="E3547">
        <f>_xlfn.LET(_xlpm.dir,Table1[[#This Row],[Direction]],
IF(_xlpm.dir="R",
    IF(F3546+Table1[[#This Row],[Steps]]&gt;99,(F3546+Table1[[#This Row],[Steps]])-100,F3546+Table1[[#This Row],[Steps]]),
))</f>
        <v>0</v>
      </c>
      <c r="F3547">
        <f>IF(Table1[[#This Row],[New Pos L]]&lt;&gt;0,Table1[[#This Row],[New Pos L]],Table1[[#This Row],[New Pos R]])</f>
        <v>41</v>
      </c>
    </row>
    <row r="3548" spans="1:6" ht="16" x14ac:dyDescent="0.2">
      <c r="A3548" s="1" t="s">
        <v>357</v>
      </c>
      <c r="B3548" t="str">
        <f>LEFT(Table1[[#This Row],[Input]],1)</f>
        <v>R</v>
      </c>
      <c r="C3548">
        <f>_xlfn.LET(_xlpm.steps,SUBSTITUTE(Table1[[#This Row],[Input]],Table1[[#This Row],[Direction]],""),VALUE(IF(LEN(_xlpm.steps)&gt;2,RIGHT(_xlpm.steps,2),_xlpm.steps)))</f>
        <v>72</v>
      </c>
      <c r="D3548">
        <f>_xlfn.LET(_xlpm.dir,Table1[[#This Row],[Direction]],
IF(_xlpm.dir="L",
    IF(F3547-Table1[[#This Row],[Steps]]&lt;0,100+(F3547-Table1[[#This Row],[Steps]]),F3547-Table1[[#This Row],[Steps]]),
))</f>
        <v>0</v>
      </c>
      <c r="E3548">
        <f>_xlfn.LET(_xlpm.dir,Table1[[#This Row],[Direction]],
IF(_xlpm.dir="R",
    IF(F3547+Table1[[#This Row],[Steps]]&gt;99,(F3547+Table1[[#This Row],[Steps]])-100,F3547+Table1[[#This Row],[Steps]]),
))</f>
        <v>13</v>
      </c>
      <c r="F3548">
        <f>IF(Table1[[#This Row],[New Pos L]]&lt;&gt;0,Table1[[#This Row],[New Pos L]],Table1[[#This Row],[New Pos R]])</f>
        <v>13</v>
      </c>
    </row>
    <row r="3549" spans="1:6" ht="16" x14ac:dyDescent="0.2">
      <c r="A3549" s="1" t="s">
        <v>31</v>
      </c>
      <c r="B3549" t="str">
        <f>LEFT(Table1[[#This Row],[Input]],1)</f>
        <v>L</v>
      </c>
      <c r="C3549">
        <f>_xlfn.LET(_xlpm.steps,SUBSTITUTE(Table1[[#This Row],[Input]],Table1[[#This Row],[Direction]],""),VALUE(IF(LEN(_xlpm.steps)&gt;2,RIGHT(_xlpm.steps,2),_xlpm.steps)))</f>
        <v>13</v>
      </c>
      <c r="D3549">
        <f>_xlfn.LET(_xlpm.dir,Table1[[#This Row],[Direction]],
IF(_xlpm.dir="L",
    IF(F3548-Table1[[#This Row],[Steps]]&lt;0,100+(F3548-Table1[[#This Row],[Steps]]),F3548-Table1[[#This Row],[Steps]]),
))</f>
        <v>0</v>
      </c>
      <c r="E3549">
        <f>_xlfn.LET(_xlpm.dir,Table1[[#This Row],[Direction]],
IF(_xlpm.dir="R",
    IF(F3548+Table1[[#This Row],[Steps]]&gt;99,(F3548+Table1[[#This Row],[Steps]])-100,F3548+Table1[[#This Row],[Steps]]),
))</f>
        <v>0</v>
      </c>
      <c r="F3549">
        <f>IF(Table1[[#This Row],[New Pos L]]&lt;&gt;0,Table1[[#This Row],[New Pos L]],Table1[[#This Row],[New Pos R]])</f>
        <v>0</v>
      </c>
    </row>
    <row r="3550" spans="1:6" ht="16" x14ac:dyDescent="0.2">
      <c r="A3550" s="1" t="s">
        <v>79</v>
      </c>
      <c r="B3550" t="str">
        <f>LEFT(Table1[[#This Row],[Input]],1)</f>
        <v>L</v>
      </c>
      <c r="C3550">
        <f>_xlfn.LET(_xlpm.steps,SUBSTITUTE(Table1[[#This Row],[Input]],Table1[[#This Row],[Direction]],""),VALUE(IF(LEN(_xlpm.steps)&gt;2,RIGHT(_xlpm.steps,2),_xlpm.steps)))</f>
        <v>45</v>
      </c>
      <c r="D3550">
        <f>_xlfn.LET(_xlpm.dir,Table1[[#This Row],[Direction]],
IF(_xlpm.dir="L",
    IF(F3549-Table1[[#This Row],[Steps]]&lt;0,100+(F3549-Table1[[#This Row],[Steps]]),F3549-Table1[[#This Row],[Steps]]),
))</f>
        <v>55</v>
      </c>
      <c r="E3550">
        <f>_xlfn.LET(_xlpm.dir,Table1[[#This Row],[Direction]],
IF(_xlpm.dir="R",
    IF(F3549+Table1[[#This Row],[Steps]]&gt;99,(F3549+Table1[[#This Row],[Steps]])-100,F3549+Table1[[#This Row],[Steps]]),
))</f>
        <v>0</v>
      </c>
      <c r="F3550">
        <f>IF(Table1[[#This Row],[New Pos L]]&lt;&gt;0,Table1[[#This Row],[New Pos L]],Table1[[#This Row],[New Pos R]])</f>
        <v>55</v>
      </c>
    </row>
    <row r="3551" spans="1:6" ht="16" x14ac:dyDescent="0.2">
      <c r="A3551" s="1" t="s">
        <v>758</v>
      </c>
      <c r="B3551" t="str">
        <f>LEFT(Table1[[#This Row],[Input]],1)</f>
        <v>R</v>
      </c>
      <c r="C3551">
        <f>_xlfn.LET(_xlpm.steps,SUBSTITUTE(Table1[[#This Row],[Input]],Table1[[#This Row],[Direction]],""),VALUE(IF(LEN(_xlpm.steps)&gt;2,RIGHT(_xlpm.steps,2),_xlpm.steps)))</f>
        <v>45</v>
      </c>
      <c r="D3551">
        <f>_xlfn.LET(_xlpm.dir,Table1[[#This Row],[Direction]],
IF(_xlpm.dir="L",
    IF(F3550-Table1[[#This Row],[Steps]]&lt;0,100+(F3550-Table1[[#This Row],[Steps]]),F3550-Table1[[#This Row],[Steps]]),
))</f>
        <v>0</v>
      </c>
      <c r="E3551">
        <f>_xlfn.LET(_xlpm.dir,Table1[[#This Row],[Direction]],
IF(_xlpm.dir="R",
    IF(F3550+Table1[[#This Row],[Steps]]&gt;99,(F3550+Table1[[#This Row],[Steps]])-100,F3550+Table1[[#This Row],[Steps]]),
))</f>
        <v>0</v>
      </c>
      <c r="F3551">
        <f>IF(Table1[[#This Row],[New Pos L]]&lt;&gt;0,Table1[[#This Row],[New Pos L]],Table1[[#This Row],[New Pos R]])</f>
        <v>0</v>
      </c>
    </row>
    <row r="3552" spans="1:6" ht="16" x14ac:dyDescent="0.2">
      <c r="A3552" s="1" t="s">
        <v>694</v>
      </c>
      <c r="B3552" t="str">
        <f>LEFT(Table1[[#This Row],[Input]],1)</f>
        <v>R</v>
      </c>
      <c r="C3552">
        <f>_xlfn.LET(_xlpm.steps,SUBSTITUTE(Table1[[#This Row],[Input]],Table1[[#This Row],[Direction]],""),VALUE(IF(LEN(_xlpm.steps)&gt;2,RIGHT(_xlpm.steps,2),_xlpm.steps)))</f>
        <v>63</v>
      </c>
      <c r="D3552">
        <f>_xlfn.LET(_xlpm.dir,Table1[[#This Row],[Direction]],
IF(_xlpm.dir="L",
    IF(F3551-Table1[[#This Row],[Steps]]&lt;0,100+(F3551-Table1[[#This Row],[Steps]]),F3551-Table1[[#This Row],[Steps]]),
))</f>
        <v>0</v>
      </c>
      <c r="E3552">
        <f>_xlfn.LET(_xlpm.dir,Table1[[#This Row],[Direction]],
IF(_xlpm.dir="R",
    IF(F3551+Table1[[#This Row],[Steps]]&gt;99,(F3551+Table1[[#This Row],[Steps]])-100,F3551+Table1[[#This Row],[Steps]]),
))</f>
        <v>63</v>
      </c>
      <c r="F3552">
        <f>IF(Table1[[#This Row],[New Pos L]]&lt;&gt;0,Table1[[#This Row],[New Pos L]],Table1[[#This Row],[New Pos R]])</f>
        <v>63</v>
      </c>
    </row>
    <row r="3553" spans="1:6" ht="16" x14ac:dyDescent="0.2">
      <c r="A3553" s="1" t="s">
        <v>624</v>
      </c>
      <c r="B3553" t="str">
        <f>LEFT(Table1[[#This Row],[Input]],1)</f>
        <v>L</v>
      </c>
      <c r="C3553">
        <f>_xlfn.LET(_xlpm.steps,SUBSTITUTE(Table1[[#This Row],[Input]],Table1[[#This Row],[Direction]],""),VALUE(IF(LEN(_xlpm.steps)&gt;2,RIGHT(_xlpm.steps,2),_xlpm.steps)))</f>
        <v>63</v>
      </c>
      <c r="D3553">
        <f>_xlfn.LET(_xlpm.dir,Table1[[#This Row],[Direction]],
IF(_xlpm.dir="L",
    IF(F3552-Table1[[#This Row],[Steps]]&lt;0,100+(F3552-Table1[[#This Row],[Steps]]),F3552-Table1[[#This Row],[Steps]]),
))</f>
        <v>0</v>
      </c>
      <c r="E3553">
        <f>_xlfn.LET(_xlpm.dir,Table1[[#This Row],[Direction]],
IF(_xlpm.dir="R",
    IF(F3552+Table1[[#This Row],[Steps]]&gt;99,(F3552+Table1[[#This Row],[Steps]])-100,F3552+Table1[[#This Row],[Steps]]),
))</f>
        <v>0</v>
      </c>
      <c r="F3553">
        <f>IF(Table1[[#This Row],[New Pos L]]&lt;&gt;0,Table1[[#This Row],[New Pos L]],Table1[[#This Row],[New Pos R]])</f>
        <v>0</v>
      </c>
    </row>
    <row r="3554" spans="1:6" ht="16" x14ac:dyDescent="0.2">
      <c r="A3554" s="1" t="s">
        <v>100</v>
      </c>
      <c r="B3554" t="str">
        <f>LEFT(Table1[[#This Row],[Input]],1)</f>
        <v>R</v>
      </c>
      <c r="C3554">
        <f>_xlfn.LET(_xlpm.steps,SUBSTITUTE(Table1[[#This Row],[Input]],Table1[[#This Row],[Direction]],""),VALUE(IF(LEN(_xlpm.steps)&gt;2,RIGHT(_xlpm.steps,2),_xlpm.steps)))</f>
        <v>58</v>
      </c>
      <c r="D3554">
        <f>_xlfn.LET(_xlpm.dir,Table1[[#This Row],[Direction]],
IF(_xlpm.dir="L",
    IF(F3553-Table1[[#This Row],[Steps]]&lt;0,100+(F3553-Table1[[#This Row],[Steps]]),F3553-Table1[[#This Row],[Steps]]),
))</f>
        <v>0</v>
      </c>
      <c r="E3554">
        <f>_xlfn.LET(_xlpm.dir,Table1[[#This Row],[Direction]],
IF(_xlpm.dir="R",
    IF(F3553+Table1[[#This Row],[Steps]]&gt;99,(F3553+Table1[[#This Row],[Steps]])-100,F3553+Table1[[#This Row],[Steps]]),
))</f>
        <v>58</v>
      </c>
      <c r="F3554">
        <f>IF(Table1[[#This Row],[New Pos L]]&lt;&gt;0,Table1[[#This Row],[New Pos L]],Table1[[#This Row],[New Pos R]])</f>
        <v>58</v>
      </c>
    </row>
    <row r="3555" spans="1:6" ht="16" x14ac:dyDescent="0.2">
      <c r="A3555" s="1" t="s">
        <v>56</v>
      </c>
      <c r="B3555" t="str">
        <f>LEFT(Table1[[#This Row],[Input]],1)</f>
        <v>R</v>
      </c>
      <c r="C3555">
        <f>_xlfn.LET(_xlpm.steps,SUBSTITUTE(Table1[[#This Row],[Input]],Table1[[#This Row],[Direction]],""),VALUE(IF(LEN(_xlpm.steps)&gt;2,RIGHT(_xlpm.steps,2),_xlpm.steps)))</f>
        <v>42</v>
      </c>
      <c r="D3555">
        <f>_xlfn.LET(_xlpm.dir,Table1[[#This Row],[Direction]],
IF(_xlpm.dir="L",
    IF(F3554-Table1[[#This Row],[Steps]]&lt;0,100+(F3554-Table1[[#This Row],[Steps]]),F3554-Table1[[#This Row],[Steps]]),
))</f>
        <v>0</v>
      </c>
      <c r="E3555">
        <f>_xlfn.LET(_xlpm.dir,Table1[[#This Row],[Direction]],
IF(_xlpm.dir="R",
    IF(F3554+Table1[[#This Row],[Steps]]&gt;99,(F3554+Table1[[#This Row],[Steps]])-100,F3554+Table1[[#This Row],[Steps]]),
))</f>
        <v>0</v>
      </c>
      <c r="F3555">
        <f>IF(Table1[[#This Row],[New Pos L]]&lt;&gt;0,Table1[[#This Row],[New Pos L]],Table1[[#This Row],[New Pos R]])</f>
        <v>0</v>
      </c>
    </row>
    <row r="3556" spans="1:6" ht="16" x14ac:dyDescent="0.2">
      <c r="A3556" s="1" t="s">
        <v>138</v>
      </c>
      <c r="B3556" t="str">
        <f>LEFT(Table1[[#This Row],[Input]],1)</f>
        <v>L</v>
      </c>
      <c r="C3556">
        <f>_xlfn.LET(_xlpm.steps,SUBSTITUTE(Table1[[#This Row],[Input]],Table1[[#This Row],[Direction]],""),VALUE(IF(LEN(_xlpm.steps)&gt;2,RIGHT(_xlpm.steps,2),_xlpm.steps)))</f>
        <v>94</v>
      </c>
      <c r="D3556">
        <f>_xlfn.LET(_xlpm.dir,Table1[[#This Row],[Direction]],
IF(_xlpm.dir="L",
    IF(F3555-Table1[[#This Row],[Steps]]&lt;0,100+(F3555-Table1[[#This Row],[Steps]]),F3555-Table1[[#This Row],[Steps]]),
))</f>
        <v>6</v>
      </c>
      <c r="E3556">
        <f>_xlfn.LET(_xlpm.dir,Table1[[#This Row],[Direction]],
IF(_xlpm.dir="R",
    IF(F3555+Table1[[#This Row],[Steps]]&gt;99,(F3555+Table1[[#This Row],[Steps]])-100,F3555+Table1[[#This Row],[Steps]]),
))</f>
        <v>0</v>
      </c>
      <c r="F3556">
        <f>IF(Table1[[#This Row],[New Pos L]]&lt;&gt;0,Table1[[#This Row],[New Pos L]],Table1[[#This Row],[New Pos R]])</f>
        <v>6</v>
      </c>
    </row>
    <row r="3557" spans="1:6" ht="16" x14ac:dyDescent="0.2">
      <c r="A3557" s="1" t="s">
        <v>185</v>
      </c>
      <c r="B3557" t="str">
        <f>LEFT(Table1[[#This Row],[Input]],1)</f>
        <v>R</v>
      </c>
      <c r="C3557">
        <f>_xlfn.LET(_xlpm.steps,SUBSTITUTE(Table1[[#This Row],[Input]],Table1[[#This Row],[Direction]],""),VALUE(IF(LEN(_xlpm.steps)&gt;2,RIGHT(_xlpm.steps,2),_xlpm.steps)))</f>
        <v>61</v>
      </c>
      <c r="D3557">
        <f>_xlfn.LET(_xlpm.dir,Table1[[#This Row],[Direction]],
IF(_xlpm.dir="L",
    IF(F3556-Table1[[#This Row],[Steps]]&lt;0,100+(F3556-Table1[[#This Row],[Steps]]),F3556-Table1[[#This Row],[Steps]]),
))</f>
        <v>0</v>
      </c>
      <c r="E3557">
        <f>_xlfn.LET(_xlpm.dir,Table1[[#This Row],[Direction]],
IF(_xlpm.dir="R",
    IF(F3556+Table1[[#This Row],[Steps]]&gt;99,(F3556+Table1[[#This Row],[Steps]])-100,F3556+Table1[[#This Row],[Steps]]),
))</f>
        <v>67</v>
      </c>
      <c r="F3557">
        <f>IF(Table1[[#This Row],[New Pos L]]&lt;&gt;0,Table1[[#This Row],[New Pos L]],Table1[[#This Row],[New Pos R]])</f>
        <v>67</v>
      </c>
    </row>
    <row r="3558" spans="1:6" ht="16" x14ac:dyDescent="0.2">
      <c r="A3558" s="1" t="s">
        <v>363</v>
      </c>
      <c r="B3558" t="str">
        <f>LEFT(Table1[[#This Row],[Input]],1)</f>
        <v>R</v>
      </c>
      <c r="C3558">
        <f>_xlfn.LET(_xlpm.steps,SUBSTITUTE(Table1[[#This Row],[Input]],Table1[[#This Row],[Direction]],""),VALUE(IF(LEN(_xlpm.steps)&gt;2,RIGHT(_xlpm.steps,2),_xlpm.steps)))</f>
        <v>63</v>
      </c>
      <c r="D3558">
        <f>_xlfn.LET(_xlpm.dir,Table1[[#This Row],[Direction]],
IF(_xlpm.dir="L",
    IF(F3557-Table1[[#This Row],[Steps]]&lt;0,100+(F3557-Table1[[#This Row],[Steps]]),F3557-Table1[[#This Row],[Steps]]),
))</f>
        <v>0</v>
      </c>
      <c r="E3558">
        <f>_xlfn.LET(_xlpm.dir,Table1[[#This Row],[Direction]],
IF(_xlpm.dir="R",
    IF(F3557+Table1[[#This Row],[Steps]]&gt;99,(F3557+Table1[[#This Row],[Steps]])-100,F3557+Table1[[#This Row],[Steps]]),
))</f>
        <v>30</v>
      </c>
      <c r="F3558">
        <f>IF(Table1[[#This Row],[New Pos L]]&lt;&gt;0,Table1[[#This Row],[New Pos L]],Table1[[#This Row],[New Pos R]])</f>
        <v>30</v>
      </c>
    </row>
    <row r="3559" spans="1:6" ht="16" x14ac:dyDescent="0.2">
      <c r="A3559" s="1" t="s">
        <v>255</v>
      </c>
      <c r="B3559" t="str">
        <f>LEFT(Table1[[#This Row],[Input]],1)</f>
        <v>R</v>
      </c>
      <c r="C3559">
        <f>_xlfn.LET(_xlpm.steps,SUBSTITUTE(Table1[[#This Row],[Input]],Table1[[#This Row],[Direction]],""),VALUE(IF(LEN(_xlpm.steps)&gt;2,RIGHT(_xlpm.steps,2),_xlpm.steps)))</f>
        <v>16</v>
      </c>
      <c r="D3559">
        <f>_xlfn.LET(_xlpm.dir,Table1[[#This Row],[Direction]],
IF(_xlpm.dir="L",
    IF(F3558-Table1[[#This Row],[Steps]]&lt;0,100+(F3558-Table1[[#This Row],[Steps]]),F3558-Table1[[#This Row],[Steps]]),
))</f>
        <v>0</v>
      </c>
      <c r="E3559">
        <f>_xlfn.LET(_xlpm.dir,Table1[[#This Row],[Direction]],
IF(_xlpm.dir="R",
    IF(F3558+Table1[[#This Row],[Steps]]&gt;99,(F3558+Table1[[#This Row],[Steps]])-100,F3558+Table1[[#This Row],[Steps]]),
))</f>
        <v>46</v>
      </c>
      <c r="F3559">
        <f>IF(Table1[[#This Row],[New Pos L]]&lt;&gt;0,Table1[[#This Row],[New Pos L]],Table1[[#This Row],[New Pos R]])</f>
        <v>46</v>
      </c>
    </row>
    <row r="3560" spans="1:6" ht="16" x14ac:dyDescent="0.2">
      <c r="A3560" s="1" t="s">
        <v>759</v>
      </c>
      <c r="B3560" t="str">
        <f>LEFT(Table1[[#This Row],[Input]],1)</f>
        <v>R</v>
      </c>
      <c r="C3560">
        <f>_xlfn.LET(_xlpm.steps,SUBSTITUTE(Table1[[#This Row],[Input]],Table1[[#This Row],[Direction]],""),VALUE(IF(LEN(_xlpm.steps)&gt;2,RIGHT(_xlpm.steps,2),_xlpm.steps)))</f>
        <v>54</v>
      </c>
      <c r="D3560">
        <f>_xlfn.LET(_xlpm.dir,Table1[[#This Row],[Direction]],
IF(_xlpm.dir="L",
    IF(F3559-Table1[[#This Row],[Steps]]&lt;0,100+(F3559-Table1[[#This Row],[Steps]]),F3559-Table1[[#This Row],[Steps]]),
))</f>
        <v>0</v>
      </c>
      <c r="E3560">
        <f>_xlfn.LET(_xlpm.dir,Table1[[#This Row],[Direction]],
IF(_xlpm.dir="R",
    IF(F3559+Table1[[#This Row],[Steps]]&gt;99,(F3559+Table1[[#This Row],[Steps]])-100,F3559+Table1[[#This Row],[Steps]]),
))</f>
        <v>0</v>
      </c>
      <c r="F3560">
        <f>IF(Table1[[#This Row],[New Pos L]]&lt;&gt;0,Table1[[#This Row],[New Pos L]],Table1[[#This Row],[New Pos R]])</f>
        <v>0</v>
      </c>
    </row>
    <row r="3561" spans="1:6" ht="16" x14ac:dyDescent="0.2">
      <c r="A3561" s="1" t="s">
        <v>253</v>
      </c>
      <c r="B3561" t="str">
        <f>LEFT(Table1[[#This Row],[Input]],1)</f>
        <v>R</v>
      </c>
      <c r="C3561">
        <f>_xlfn.LET(_xlpm.steps,SUBSTITUTE(Table1[[#This Row],[Input]],Table1[[#This Row],[Direction]],""),VALUE(IF(LEN(_xlpm.steps)&gt;2,RIGHT(_xlpm.steps,2),_xlpm.steps)))</f>
        <v>94</v>
      </c>
      <c r="D3561">
        <f>_xlfn.LET(_xlpm.dir,Table1[[#This Row],[Direction]],
IF(_xlpm.dir="L",
    IF(F3560-Table1[[#This Row],[Steps]]&lt;0,100+(F3560-Table1[[#This Row],[Steps]]),F3560-Table1[[#This Row],[Steps]]),
))</f>
        <v>0</v>
      </c>
      <c r="E3561">
        <f>_xlfn.LET(_xlpm.dir,Table1[[#This Row],[Direction]],
IF(_xlpm.dir="R",
    IF(F3560+Table1[[#This Row],[Steps]]&gt;99,(F3560+Table1[[#This Row],[Steps]])-100,F3560+Table1[[#This Row],[Steps]]),
))</f>
        <v>94</v>
      </c>
      <c r="F3561">
        <f>IF(Table1[[#This Row],[New Pos L]]&lt;&gt;0,Table1[[#This Row],[New Pos L]],Table1[[#This Row],[New Pos R]])</f>
        <v>94</v>
      </c>
    </row>
    <row r="3562" spans="1:6" ht="16" x14ac:dyDescent="0.2">
      <c r="A3562" s="1" t="s">
        <v>26</v>
      </c>
      <c r="B3562" t="str">
        <f>LEFT(Table1[[#This Row],[Input]],1)</f>
        <v>R</v>
      </c>
      <c r="C3562">
        <f>_xlfn.LET(_xlpm.steps,SUBSTITUTE(Table1[[#This Row],[Input]],Table1[[#This Row],[Direction]],""),VALUE(IF(LEN(_xlpm.steps)&gt;2,RIGHT(_xlpm.steps,2),_xlpm.steps)))</f>
        <v>6</v>
      </c>
      <c r="D3562">
        <f>_xlfn.LET(_xlpm.dir,Table1[[#This Row],[Direction]],
IF(_xlpm.dir="L",
    IF(F3561-Table1[[#This Row],[Steps]]&lt;0,100+(F3561-Table1[[#This Row],[Steps]]),F3561-Table1[[#This Row],[Steps]]),
))</f>
        <v>0</v>
      </c>
      <c r="E3562">
        <f>_xlfn.LET(_xlpm.dir,Table1[[#This Row],[Direction]],
IF(_xlpm.dir="R",
    IF(F3561+Table1[[#This Row],[Steps]]&gt;99,(F3561+Table1[[#This Row],[Steps]])-100,F3561+Table1[[#This Row],[Steps]]),
))</f>
        <v>0</v>
      </c>
      <c r="F3562">
        <f>IF(Table1[[#This Row],[New Pos L]]&lt;&gt;0,Table1[[#This Row],[New Pos L]],Table1[[#This Row],[New Pos R]])</f>
        <v>0</v>
      </c>
    </row>
    <row r="3563" spans="1:6" ht="16" x14ac:dyDescent="0.2">
      <c r="A3563" s="1" t="s">
        <v>760</v>
      </c>
      <c r="B3563" t="str">
        <f>LEFT(Table1[[#This Row],[Input]],1)</f>
        <v>R</v>
      </c>
      <c r="C3563">
        <f>_xlfn.LET(_xlpm.steps,SUBSTITUTE(Table1[[#This Row],[Input]],Table1[[#This Row],[Direction]],""),VALUE(IF(LEN(_xlpm.steps)&gt;2,RIGHT(_xlpm.steps,2),_xlpm.steps)))</f>
        <v>65</v>
      </c>
      <c r="D3563">
        <f>_xlfn.LET(_xlpm.dir,Table1[[#This Row],[Direction]],
IF(_xlpm.dir="L",
    IF(F3562-Table1[[#This Row],[Steps]]&lt;0,100+(F3562-Table1[[#This Row],[Steps]]),F3562-Table1[[#This Row],[Steps]]),
))</f>
        <v>0</v>
      </c>
      <c r="E3563">
        <f>_xlfn.LET(_xlpm.dir,Table1[[#This Row],[Direction]],
IF(_xlpm.dir="R",
    IF(F3562+Table1[[#This Row],[Steps]]&gt;99,(F3562+Table1[[#This Row],[Steps]])-100,F3562+Table1[[#This Row],[Steps]]),
))</f>
        <v>65</v>
      </c>
      <c r="F3563">
        <f>IF(Table1[[#This Row],[New Pos L]]&lt;&gt;0,Table1[[#This Row],[New Pos L]],Table1[[#This Row],[New Pos R]])</f>
        <v>65</v>
      </c>
    </row>
    <row r="3564" spans="1:6" ht="16" x14ac:dyDescent="0.2">
      <c r="A3564" s="1" t="s">
        <v>470</v>
      </c>
      <c r="B3564" t="str">
        <f>LEFT(Table1[[#This Row],[Input]],1)</f>
        <v>L</v>
      </c>
      <c r="C3564">
        <f>_xlfn.LET(_xlpm.steps,SUBSTITUTE(Table1[[#This Row],[Input]],Table1[[#This Row],[Direction]],""),VALUE(IF(LEN(_xlpm.steps)&gt;2,RIGHT(_xlpm.steps,2),_xlpm.steps)))</f>
        <v>43</v>
      </c>
      <c r="D3564">
        <f>_xlfn.LET(_xlpm.dir,Table1[[#This Row],[Direction]],
IF(_xlpm.dir="L",
    IF(F3563-Table1[[#This Row],[Steps]]&lt;0,100+(F3563-Table1[[#This Row],[Steps]]),F3563-Table1[[#This Row],[Steps]]),
))</f>
        <v>22</v>
      </c>
      <c r="E3564">
        <f>_xlfn.LET(_xlpm.dir,Table1[[#This Row],[Direction]],
IF(_xlpm.dir="R",
    IF(F3563+Table1[[#This Row],[Steps]]&gt;99,(F3563+Table1[[#This Row],[Steps]])-100,F3563+Table1[[#This Row],[Steps]]),
))</f>
        <v>0</v>
      </c>
      <c r="F3564">
        <f>IF(Table1[[#This Row],[New Pos L]]&lt;&gt;0,Table1[[#This Row],[New Pos L]],Table1[[#This Row],[New Pos R]])</f>
        <v>22</v>
      </c>
    </row>
    <row r="3565" spans="1:6" ht="16" x14ac:dyDescent="0.2">
      <c r="A3565" s="1" t="s">
        <v>50</v>
      </c>
      <c r="B3565" t="str">
        <f>LEFT(Table1[[#This Row],[Input]],1)</f>
        <v>R</v>
      </c>
      <c r="C3565">
        <f>_xlfn.LET(_xlpm.steps,SUBSTITUTE(Table1[[#This Row],[Input]],Table1[[#This Row],[Direction]],""),VALUE(IF(LEN(_xlpm.steps)&gt;2,RIGHT(_xlpm.steps,2),_xlpm.steps)))</f>
        <v>78</v>
      </c>
      <c r="D3565">
        <f>_xlfn.LET(_xlpm.dir,Table1[[#This Row],[Direction]],
IF(_xlpm.dir="L",
    IF(F3564-Table1[[#This Row],[Steps]]&lt;0,100+(F3564-Table1[[#This Row],[Steps]]),F3564-Table1[[#This Row],[Steps]]),
))</f>
        <v>0</v>
      </c>
      <c r="E3565">
        <f>_xlfn.LET(_xlpm.dir,Table1[[#This Row],[Direction]],
IF(_xlpm.dir="R",
    IF(F3564+Table1[[#This Row],[Steps]]&gt;99,(F3564+Table1[[#This Row],[Steps]])-100,F3564+Table1[[#This Row],[Steps]]),
))</f>
        <v>0</v>
      </c>
      <c r="F3565">
        <f>IF(Table1[[#This Row],[New Pos L]]&lt;&gt;0,Table1[[#This Row],[New Pos L]],Table1[[#This Row],[New Pos R]])</f>
        <v>0</v>
      </c>
    </row>
    <row r="3566" spans="1:6" ht="16" x14ac:dyDescent="0.2">
      <c r="A3566" s="1" t="s">
        <v>296</v>
      </c>
      <c r="B3566" t="str">
        <f>LEFT(Table1[[#This Row],[Input]],1)</f>
        <v>R</v>
      </c>
      <c r="C3566">
        <f>_xlfn.LET(_xlpm.steps,SUBSTITUTE(Table1[[#This Row],[Input]],Table1[[#This Row],[Direction]],""),VALUE(IF(LEN(_xlpm.steps)&gt;2,RIGHT(_xlpm.steps,2),_xlpm.steps)))</f>
        <v>19</v>
      </c>
      <c r="D3566">
        <f>_xlfn.LET(_xlpm.dir,Table1[[#This Row],[Direction]],
IF(_xlpm.dir="L",
    IF(F3565-Table1[[#This Row],[Steps]]&lt;0,100+(F3565-Table1[[#This Row],[Steps]]),F3565-Table1[[#This Row],[Steps]]),
))</f>
        <v>0</v>
      </c>
      <c r="E3566">
        <f>_xlfn.LET(_xlpm.dir,Table1[[#This Row],[Direction]],
IF(_xlpm.dir="R",
    IF(F3565+Table1[[#This Row],[Steps]]&gt;99,(F3565+Table1[[#This Row],[Steps]])-100,F3565+Table1[[#This Row],[Steps]]),
))</f>
        <v>19</v>
      </c>
      <c r="F3566">
        <f>IF(Table1[[#This Row],[New Pos L]]&lt;&gt;0,Table1[[#This Row],[New Pos L]],Table1[[#This Row],[New Pos R]])</f>
        <v>19</v>
      </c>
    </row>
    <row r="3567" spans="1:6" ht="16" x14ac:dyDescent="0.2">
      <c r="A3567" s="1" t="s">
        <v>761</v>
      </c>
      <c r="B3567" t="str">
        <f>LEFT(Table1[[#This Row],[Input]],1)</f>
        <v>R</v>
      </c>
      <c r="C3567">
        <f>_xlfn.LET(_xlpm.steps,SUBSTITUTE(Table1[[#This Row],[Input]],Table1[[#This Row],[Direction]],""),VALUE(IF(LEN(_xlpm.steps)&gt;2,RIGHT(_xlpm.steps,2),_xlpm.steps)))</f>
        <v>58</v>
      </c>
      <c r="D3567">
        <f>_xlfn.LET(_xlpm.dir,Table1[[#This Row],[Direction]],
IF(_xlpm.dir="L",
    IF(F3566-Table1[[#This Row],[Steps]]&lt;0,100+(F3566-Table1[[#This Row],[Steps]]),F3566-Table1[[#This Row],[Steps]]),
))</f>
        <v>0</v>
      </c>
      <c r="E3567">
        <f>_xlfn.LET(_xlpm.dir,Table1[[#This Row],[Direction]],
IF(_xlpm.dir="R",
    IF(F3566+Table1[[#This Row],[Steps]]&gt;99,(F3566+Table1[[#This Row],[Steps]])-100,F3566+Table1[[#This Row],[Steps]]),
))</f>
        <v>77</v>
      </c>
      <c r="F3567">
        <f>IF(Table1[[#This Row],[New Pos L]]&lt;&gt;0,Table1[[#This Row],[New Pos L]],Table1[[#This Row],[New Pos R]])</f>
        <v>77</v>
      </c>
    </row>
    <row r="3568" spans="1:6" ht="16" x14ac:dyDescent="0.2">
      <c r="A3568" s="1" t="s">
        <v>762</v>
      </c>
      <c r="B3568" t="str">
        <f>LEFT(Table1[[#This Row],[Input]],1)</f>
        <v>L</v>
      </c>
      <c r="C3568">
        <f>_xlfn.LET(_xlpm.steps,SUBSTITUTE(Table1[[#This Row],[Input]],Table1[[#This Row],[Direction]],""),VALUE(IF(LEN(_xlpm.steps)&gt;2,RIGHT(_xlpm.steps,2),_xlpm.steps)))</f>
        <v>90</v>
      </c>
      <c r="D3568">
        <f>_xlfn.LET(_xlpm.dir,Table1[[#This Row],[Direction]],
IF(_xlpm.dir="L",
    IF(F3567-Table1[[#This Row],[Steps]]&lt;0,100+(F3567-Table1[[#This Row],[Steps]]),F3567-Table1[[#This Row],[Steps]]),
))</f>
        <v>87</v>
      </c>
      <c r="E3568">
        <f>_xlfn.LET(_xlpm.dir,Table1[[#This Row],[Direction]],
IF(_xlpm.dir="R",
    IF(F3567+Table1[[#This Row],[Steps]]&gt;99,(F3567+Table1[[#This Row],[Steps]])-100,F3567+Table1[[#This Row],[Steps]]),
))</f>
        <v>0</v>
      </c>
      <c r="F3568">
        <f>IF(Table1[[#This Row],[New Pos L]]&lt;&gt;0,Table1[[#This Row],[New Pos L]],Table1[[#This Row],[New Pos R]])</f>
        <v>87</v>
      </c>
    </row>
    <row r="3569" spans="1:6" ht="16" x14ac:dyDescent="0.2">
      <c r="A3569" s="1" t="s">
        <v>60</v>
      </c>
      <c r="B3569" t="str">
        <f>LEFT(Table1[[#This Row],[Input]],1)</f>
        <v>R</v>
      </c>
      <c r="C3569">
        <f>_xlfn.LET(_xlpm.steps,SUBSTITUTE(Table1[[#This Row],[Input]],Table1[[#This Row],[Direction]],""),VALUE(IF(LEN(_xlpm.steps)&gt;2,RIGHT(_xlpm.steps,2),_xlpm.steps)))</f>
        <v>86</v>
      </c>
      <c r="D3569">
        <f>_xlfn.LET(_xlpm.dir,Table1[[#This Row],[Direction]],
IF(_xlpm.dir="L",
    IF(F3568-Table1[[#This Row],[Steps]]&lt;0,100+(F3568-Table1[[#This Row],[Steps]]),F3568-Table1[[#This Row],[Steps]]),
))</f>
        <v>0</v>
      </c>
      <c r="E3569">
        <f>_xlfn.LET(_xlpm.dir,Table1[[#This Row],[Direction]],
IF(_xlpm.dir="R",
    IF(F3568+Table1[[#This Row],[Steps]]&gt;99,(F3568+Table1[[#This Row],[Steps]])-100,F3568+Table1[[#This Row],[Steps]]),
))</f>
        <v>73</v>
      </c>
      <c r="F3569">
        <f>IF(Table1[[#This Row],[New Pos L]]&lt;&gt;0,Table1[[#This Row],[New Pos L]],Table1[[#This Row],[New Pos R]])</f>
        <v>73</v>
      </c>
    </row>
    <row r="3570" spans="1:6" ht="16" x14ac:dyDescent="0.2">
      <c r="A3570" s="1" t="s">
        <v>128</v>
      </c>
      <c r="B3570" t="str">
        <f>LEFT(Table1[[#This Row],[Input]],1)</f>
        <v>R</v>
      </c>
      <c r="C3570">
        <f>_xlfn.LET(_xlpm.steps,SUBSTITUTE(Table1[[#This Row],[Input]],Table1[[#This Row],[Direction]],""),VALUE(IF(LEN(_xlpm.steps)&gt;2,RIGHT(_xlpm.steps,2),_xlpm.steps)))</f>
        <v>92</v>
      </c>
      <c r="D3570">
        <f>_xlfn.LET(_xlpm.dir,Table1[[#This Row],[Direction]],
IF(_xlpm.dir="L",
    IF(F3569-Table1[[#This Row],[Steps]]&lt;0,100+(F3569-Table1[[#This Row],[Steps]]),F3569-Table1[[#This Row],[Steps]]),
))</f>
        <v>0</v>
      </c>
      <c r="E3570">
        <f>_xlfn.LET(_xlpm.dir,Table1[[#This Row],[Direction]],
IF(_xlpm.dir="R",
    IF(F3569+Table1[[#This Row],[Steps]]&gt;99,(F3569+Table1[[#This Row],[Steps]])-100,F3569+Table1[[#This Row],[Steps]]),
))</f>
        <v>65</v>
      </c>
      <c r="F3570">
        <f>IF(Table1[[#This Row],[New Pos L]]&lt;&gt;0,Table1[[#This Row],[New Pos L]],Table1[[#This Row],[New Pos R]])</f>
        <v>65</v>
      </c>
    </row>
    <row r="3571" spans="1:6" ht="16" x14ac:dyDescent="0.2">
      <c r="A3571" s="1" t="s">
        <v>98</v>
      </c>
      <c r="B3571" t="str">
        <f>LEFT(Table1[[#This Row],[Input]],1)</f>
        <v>L</v>
      </c>
      <c r="C3571">
        <f>_xlfn.LET(_xlpm.steps,SUBSTITUTE(Table1[[#This Row],[Input]],Table1[[#This Row],[Direction]],""),VALUE(IF(LEN(_xlpm.steps)&gt;2,RIGHT(_xlpm.steps,2),_xlpm.steps)))</f>
        <v>65</v>
      </c>
      <c r="D3571">
        <f>_xlfn.LET(_xlpm.dir,Table1[[#This Row],[Direction]],
IF(_xlpm.dir="L",
    IF(F3570-Table1[[#This Row],[Steps]]&lt;0,100+(F3570-Table1[[#This Row],[Steps]]),F3570-Table1[[#This Row],[Steps]]),
))</f>
        <v>0</v>
      </c>
      <c r="E3571">
        <f>_xlfn.LET(_xlpm.dir,Table1[[#This Row],[Direction]],
IF(_xlpm.dir="R",
    IF(F3570+Table1[[#This Row],[Steps]]&gt;99,(F3570+Table1[[#This Row],[Steps]])-100,F3570+Table1[[#This Row],[Steps]]),
))</f>
        <v>0</v>
      </c>
      <c r="F3571">
        <f>IF(Table1[[#This Row],[New Pos L]]&lt;&gt;0,Table1[[#This Row],[New Pos L]],Table1[[#This Row],[New Pos R]])</f>
        <v>0</v>
      </c>
    </row>
    <row r="3572" spans="1:6" ht="16" x14ac:dyDescent="0.2">
      <c r="A3572" s="1" t="s">
        <v>43</v>
      </c>
      <c r="B3572" t="str">
        <f>LEFT(Table1[[#This Row],[Input]],1)</f>
        <v>R</v>
      </c>
      <c r="C3572">
        <f>_xlfn.LET(_xlpm.steps,SUBSTITUTE(Table1[[#This Row],[Input]],Table1[[#This Row],[Direction]],""),VALUE(IF(LEN(_xlpm.steps)&gt;2,RIGHT(_xlpm.steps,2),_xlpm.steps)))</f>
        <v>90</v>
      </c>
      <c r="D3572">
        <f>_xlfn.LET(_xlpm.dir,Table1[[#This Row],[Direction]],
IF(_xlpm.dir="L",
    IF(F3571-Table1[[#This Row],[Steps]]&lt;0,100+(F3571-Table1[[#This Row],[Steps]]),F3571-Table1[[#This Row],[Steps]]),
))</f>
        <v>0</v>
      </c>
      <c r="E3572">
        <f>_xlfn.LET(_xlpm.dir,Table1[[#This Row],[Direction]],
IF(_xlpm.dir="R",
    IF(F3571+Table1[[#This Row],[Steps]]&gt;99,(F3571+Table1[[#This Row],[Steps]])-100,F3571+Table1[[#This Row],[Steps]]),
))</f>
        <v>90</v>
      </c>
      <c r="F3572">
        <f>IF(Table1[[#This Row],[New Pos L]]&lt;&gt;0,Table1[[#This Row],[New Pos L]],Table1[[#This Row],[New Pos R]])</f>
        <v>90</v>
      </c>
    </row>
    <row r="3573" spans="1:6" ht="16" x14ac:dyDescent="0.2">
      <c r="A3573" s="1" t="s">
        <v>132</v>
      </c>
      <c r="B3573" t="str">
        <f>LEFT(Table1[[#This Row],[Input]],1)</f>
        <v>L</v>
      </c>
      <c r="C3573">
        <f>_xlfn.LET(_xlpm.steps,SUBSTITUTE(Table1[[#This Row],[Input]],Table1[[#This Row],[Direction]],""),VALUE(IF(LEN(_xlpm.steps)&gt;2,RIGHT(_xlpm.steps,2),_xlpm.steps)))</f>
        <v>51</v>
      </c>
      <c r="D3573">
        <f>_xlfn.LET(_xlpm.dir,Table1[[#This Row],[Direction]],
IF(_xlpm.dir="L",
    IF(F3572-Table1[[#This Row],[Steps]]&lt;0,100+(F3572-Table1[[#This Row],[Steps]]),F3572-Table1[[#This Row],[Steps]]),
))</f>
        <v>39</v>
      </c>
      <c r="E3573">
        <f>_xlfn.LET(_xlpm.dir,Table1[[#This Row],[Direction]],
IF(_xlpm.dir="R",
    IF(F3572+Table1[[#This Row],[Steps]]&gt;99,(F3572+Table1[[#This Row],[Steps]])-100,F3572+Table1[[#This Row],[Steps]]),
))</f>
        <v>0</v>
      </c>
      <c r="F3573">
        <f>IF(Table1[[#This Row],[New Pos L]]&lt;&gt;0,Table1[[#This Row],[New Pos L]],Table1[[#This Row],[New Pos R]])</f>
        <v>39</v>
      </c>
    </row>
    <row r="3574" spans="1:6" ht="16" x14ac:dyDescent="0.2">
      <c r="A3574" s="1" t="s">
        <v>763</v>
      </c>
      <c r="B3574" t="str">
        <f>LEFT(Table1[[#This Row],[Input]],1)</f>
        <v>R</v>
      </c>
      <c r="C3574">
        <f>_xlfn.LET(_xlpm.steps,SUBSTITUTE(Table1[[#This Row],[Input]],Table1[[#This Row],[Direction]],""),VALUE(IF(LEN(_xlpm.steps)&gt;2,RIGHT(_xlpm.steps,2),_xlpm.steps)))</f>
        <v>14</v>
      </c>
      <c r="D3574">
        <f>_xlfn.LET(_xlpm.dir,Table1[[#This Row],[Direction]],
IF(_xlpm.dir="L",
    IF(F3573-Table1[[#This Row],[Steps]]&lt;0,100+(F3573-Table1[[#This Row],[Steps]]),F3573-Table1[[#This Row],[Steps]]),
))</f>
        <v>0</v>
      </c>
      <c r="E3574">
        <f>_xlfn.LET(_xlpm.dir,Table1[[#This Row],[Direction]],
IF(_xlpm.dir="R",
    IF(F3573+Table1[[#This Row],[Steps]]&gt;99,(F3573+Table1[[#This Row],[Steps]])-100,F3573+Table1[[#This Row],[Steps]]),
))</f>
        <v>53</v>
      </c>
      <c r="F3574">
        <f>IF(Table1[[#This Row],[New Pos L]]&lt;&gt;0,Table1[[#This Row],[New Pos L]],Table1[[#This Row],[New Pos R]])</f>
        <v>53</v>
      </c>
    </row>
    <row r="3575" spans="1:6" ht="16" x14ac:dyDescent="0.2">
      <c r="A3575" s="1" t="s">
        <v>57</v>
      </c>
      <c r="B3575" t="str">
        <f>LEFT(Table1[[#This Row],[Input]],1)</f>
        <v>R</v>
      </c>
      <c r="C3575">
        <f>_xlfn.LET(_xlpm.steps,SUBSTITUTE(Table1[[#This Row],[Input]],Table1[[#This Row],[Direction]],""),VALUE(IF(LEN(_xlpm.steps)&gt;2,RIGHT(_xlpm.steps,2),_xlpm.steps)))</f>
        <v>29</v>
      </c>
      <c r="D3575">
        <f>_xlfn.LET(_xlpm.dir,Table1[[#This Row],[Direction]],
IF(_xlpm.dir="L",
    IF(F3574-Table1[[#This Row],[Steps]]&lt;0,100+(F3574-Table1[[#This Row],[Steps]]),F3574-Table1[[#This Row],[Steps]]),
))</f>
        <v>0</v>
      </c>
      <c r="E3575">
        <f>_xlfn.LET(_xlpm.dir,Table1[[#This Row],[Direction]],
IF(_xlpm.dir="R",
    IF(F3574+Table1[[#This Row],[Steps]]&gt;99,(F3574+Table1[[#This Row],[Steps]])-100,F3574+Table1[[#This Row],[Steps]]),
))</f>
        <v>82</v>
      </c>
      <c r="F3575">
        <f>IF(Table1[[#This Row],[New Pos L]]&lt;&gt;0,Table1[[#This Row],[New Pos L]],Table1[[#This Row],[New Pos R]])</f>
        <v>82</v>
      </c>
    </row>
    <row r="3576" spans="1:6" ht="16" x14ac:dyDescent="0.2">
      <c r="A3576" s="1" t="s">
        <v>8</v>
      </c>
      <c r="B3576" t="str">
        <f>LEFT(Table1[[#This Row],[Input]],1)</f>
        <v>R</v>
      </c>
      <c r="C3576">
        <f>_xlfn.LET(_xlpm.steps,SUBSTITUTE(Table1[[#This Row],[Input]],Table1[[#This Row],[Direction]],""),VALUE(IF(LEN(_xlpm.steps)&gt;2,RIGHT(_xlpm.steps,2),_xlpm.steps)))</f>
        <v>18</v>
      </c>
      <c r="D3576">
        <f>_xlfn.LET(_xlpm.dir,Table1[[#This Row],[Direction]],
IF(_xlpm.dir="L",
    IF(F3575-Table1[[#This Row],[Steps]]&lt;0,100+(F3575-Table1[[#This Row],[Steps]]),F3575-Table1[[#This Row],[Steps]]),
))</f>
        <v>0</v>
      </c>
      <c r="E3576">
        <f>_xlfn.LET(_xlpm.dir,Table1[[#This Row],[Direction]],
IF(_xlpm.dir="R",
    IF(F3575+Table1[[#This Row],[Steps]]&gt;99,(F3575+Table1[[#This Row],[Steps]])-100,F3575+Table1[[#This Row],[Steps]]),
))</f>
        <v>0</v>
      </c>
      <c r="F3576">
        <f>IF(Table1[[#This Row],[New Pos L]]&lt;&gt;0,Table1[[#This Row],[New Pos L]],Table1[[#This Row],[New Pos R]])</f>
        <v>0</v>
      </c>
    </row>
    <row r="3577" spans="1:6" ht="16" x14ac:dyDescent="0.2">
      <c r="A3577" s="1" t="s">
        <v>125</v>
      </c>
      <c r="B3577" t="str">
        <f>LEFT(Table1[[#This Row],[Input]],1)</f>
        <v>L</v>
      </c>
      <c r="C3577">
        <f>_xlfn.LET(_xlpm.steps,SUBSTITUTE(Table1[[#This Row],[Input]],Table1[[#This Row],[Direction]],""),VALUE(IF(LEN(_xlpm.steps)&gt;2,RIGHT(_xlpm.steps,2),_xlpm.steps)))</f>
        <v>76</v>
      </c>
      <c r="D3577">
        <f>_xlfn.LET(_xlpm.dir,Table1[[#This Row],[Direction]],
IF(_xlpm.dir="L",
    IF(F3576-Table1[[#This Row],[Steps]]&lt;0,100+(F3576-Table1[[#This Row],[Steps]]),F3576-Table1[[#This Row],[Steps]]),
))</f>
        <v>24</v>
      </c>
      <c r="E3577">
        <f>_xlfn.LET(_xlpm.dir,Table1[[#This Row],[Direction]],
IF(_xlpm.dir="R",
    IF(F3576+Table1[[#This Row],[Steps]]&gt;99,(F3576+Table1[[#This Row],[Steps]])-100,F3576+Table1[[#This Row],[Steps]]),
))</f>
        <v>0</v>
      </c>
      <c r="F3577">
        <f>IF(Table1[[#This Row],[New Pos L]]&lt;&gt;0,Table1[[#This Row],[New Pos L]],Table1[[#This Row],[New Pos R]])</f>
        <v>24</v>
      </c>
    </row>
    <row r="3578" spans="1:6" ht="16" x14ac:dyDescent="0.2">
      <c r="A3578" s="1" t="s">
        <v>764</v>
      </c>
      <c r="B3578" t="str">
        <f>LEFT(Table1[[#This Row],[Input]],1)</f>
        <v>R</v>
      </c>
      <c r="C3578">
        <f>_xlfn.LET(_xlpm.steps,SUBSTITUTE(Table1[[#This Row],[Input]],Table1[[#This Row],[Direction]],""),VALUE(IF(LEN(_xlpm.steps)&gt;2,RIGHT(_xlpm.steps,2),_xlpm.steps)))</f>
        <v>76</v>
      </c>
      <c r="D3578">
        <f>_xlfn.LET(_xlpm.dir,Table1[[#This Row],[Direction]],
IF(_xlpm.dir="L",
    IF(F3577-Table1[[#This Row],[Steps]]&lt;0,100+(F3577-Table1[[#This Row],[Steps]]),F3577-Table1[[#This Row],[Steps]]),
))</f>
        <v>0</v>
      </c>
      <c r="E3578">
        <f>_xlfn.LET(_xlpm.dir,Table1[[#This Row],[Direction]],
IF(_xlpm.dir="R",
    IF(F3577+Table1[[#This Row],[Steps]]&gt;99,(F3577+Table1[[#This Row],[Steps]])-100,F3577+Table1[[#This Row],[Steps]]),
))</f>
        <v>0</v>
      </c>
      <c r="F3578">
        <f>IF(Table1[[#This Row],[New Pos L]]&lt;&gt;0,Table1[[#This Row],[New Pos L]],Table1[[#This Row],[New Pos R]])</f>
        <v>0</v>
      </c>
    </row>
    <row r="3579" spans="1:6" ht="16" x14ac:dyDescent="0.2">
      <c r="A3579" s="1" t="s">
        <v>193</v>
      </c>
      <c r="B3579" t="str">
        <f>LEFT(Table1[[#This Row],[Input]],1)</f>
        <v>L</v>
      </c>
      <c r="C3579">
        <f>_xlfn.LET(_xlpm.steps,SUBSTITUTE(Table1[[#This Row],[Input]],Table1[[#This Row],[Direction]],""),VALUE(IF(LEN(_xlpm.steps)&gt;2,RIGHT(_xlpm.steps,2),_xlpm.steps)))</f>
        <v>12</v>
      </c>
      <c r="D3579">
        <f>_xlfn.LET(_xlpm.dir,Table1[[#This Row],[Direction]],
IF(_xlpm.dir="L",
    IF(F3578-Table1[[#This Row],[Steps]]&lt;0,100+(F3578-Table1[[#This Row],[Steps]]),F3578-Table1[[#This Row],[Steps]]),
))</f>
        <v>88</v>
      </c>
      <c r="E3579">
        <f>_xlfn.LET(_xlpm.dir,Table1[[#This Row],[Direction]],
IF(_xlpm.dir="R",
    IF(F3578+Table1[[#This Row],[Steps]]&gt;99,(F3578+Table1[[#This Row],[Steps]])-100,F3578+Table1[[#This Row],[Steps]]),
))</f>
        <v>0</v>
      </c>
      <c r="F3579">
        <f>IF(Table1[[#This Row],[New Pos L]]&lt;&gt;0,Table1[[#This Row],[New Pos L]],Table1[[#This Row],[New Pos R]])</f>
        <v>88</v>
      </c>
    </row>
    <row r="3580" spans="1:6" ht="16" x14ac:dyDescent="0.2">
      <c r="A3580" s="1" t="s">
        <v>65</v>
      </c>
      <c r="B3580" t="str">
        <f>LEFT(Table1[[#This Row],[Input]],1)</f>
        <v>L</v>
      </c>
      <c r="C3580">
        <f>_xlfn.LET(_xlpm.steps,SUBSTITUTE(Table1[[#This Row],[Input]],Table1[[#This Row],[Direction]],""),VALUE(IF(LEN(_xlpm.steps)&gt;2,RIGHT(_xlpm.steps,2),_xlpm.steps)))</f>
        <v>19</v>
      </c>
      <c r="D3580">
        <f>_xlfn.LET(_xlpm.dir,Table1[[#This Row],[Direction]],
IF(_xlpm.dir="L",
    IF(F3579-Table1[[#This Row],[Steps]]&lt;0,100+(F3579-Table1[[#This Row],[Steps]]),F3579-Table1[[#This Row],[Steps]]),
))</f>
        <v>69</v>
      </c>
      <c r="E3580">
        <f>_xlfn.LET(_xlpm.dir,Table1[[#This Row],[Direction]],
IF(_xlpm.dir="R",
    IF(F3579+Table1[[#This Row],[Steps]]&gt;99,(F3579+Table1[[#This Row],[Steps]])-100,F3579+Table1[[#This Row],[Steps]]),
))</f>
        <v>0</v>
      </c>
      <c r="F3580">
        <f>IF(Table1[[#This Row],[New Pos L]]&lt;&gt;0,Table1[[#This Row],[New Pos L]],Table1[[#This Row],[New Pos R]])</f>
        <v>69</v>
      </c>
    </row>
    <row r="3581" spans="1:6" ht="16" x14ac:dyDescent="0.2">
      <c r="A3581" s="1" t="s">
        <v>254</v>
      </c>
      <c r="B3581" t="str">
        <f>LEFT(Table1[[#This Row],[Input]],1)</f>
        <v>R</v>
      </c>
      <c r="C3581">
        <f>_xlfn.LET(_xlpm.steps,SUBSTITUTE(Table1[[#This Row],[Input]],Table1[[#This Row],[Direction]],""),VALUE(IF(LEN(_xlpm.steps)&gt;2,RIGHT(_xlpm.steps,2),_xlpm.steps)))</f>
        <v>84</v>
      </c>
      <c r="D3581">
        <f>_xlfn.LET(_xlpm.dir,Table1[[#This Row],[Direction]],
IF(_xlpm.dir="L",
    IF(F3580-Table1[[#This Row],[Steps]]&lt;0,100+(F3580-Table1[[#This Row],[Steps]]),F3580-Table1[[#This Row],[Steps]]),
))</f>
        <v>0</v>
      </c>
      <c r="E3581">
        <f>_xlfn.LET(_xlpm.dir,Table1[[#This Row],[Direction]],
IF(_xlpm.dir="R",
    IF(F3580+Table1[[#This Row],[Steps]]&gt;99,(F3580+Table1[[#This Row],[Steps]])-100,F3580+Table1[[#This Row],[Steps]]),
))</f>
        <v>53</v>
      </c>
      <c r="F3581">
        <f>IF(Table1[[#This Row],[New Pos L]]&lt;&gt;0,Table1[[#This Row],[New Pos L]],Table1[[#This Row],[New Pos R]])</f>
        <v>53</v>
      </c>
    </row>
    <row r="3582" spans="1:6" ht="16" x14ac:dyDescent="0.2">
      <c r="A3582" s="1" t="s">
        <v>293</v>
      </c>
      <c r="B3582" t="str">
        <f>LEFT(Table1[[#This Row],[Input]],1)</f>
        <v>R</v>
      </c>
      <c r="C3582">
        <f>_xlfn.LET(_xlpm.steps,SUBSTITUTE(Table1[[#This Row],[Input]],Table1[[#This Row],[Direction]],""),VALUE(IF(LEN(_xlpm.steps)&gt;2,RIGHT(_xlpm.steps,2),_xlpm.steps)))</f>
        <v>67</v>
      </c>
      <c r="D3582">
        <f>_xlfn.LET(_xlpm.dir,Table1[[#This Row],[Direction]],
IF(_xlpm.dir="L",
    IF(F3581-Table1[[#This Row],[Steps]]&lt;0,100+(F3581-Table1[[#This Row],[Steps]]),F3581-Table1[[#This Row],[Steps]]),
))</f>
        <v>0</v>
      </c>
      <c r="E3582">
        <f>_xlfn.LET(_xlpm.dir,Table1[[#This Row],[Direction]],
IF(_xlpm.dir="R",
    IF(F3581+Table1[[#This Row],[Steps]]&gt;99,(F3581+Table1[[#This Row],[Steps]])-100,F3581+Table1[[#This Row],[Steps]]),
))</f>
        <v>20</v>
      </c>
      <c r="F3582">
        <f>IF(Table1[[#This Row],[New Pos L]]&lt;&gt;0,Table1[[#This Row],[New Pos L]],Table1[[#This Row],[New Pos R]])</f>
        <v>20</v>
      </c>
    </row>
    <row r="3583" spans="1:6" ht="16" x14ac:dyDescent="0.2">
      <c r="A3583" s="1" t="s">
        <v>60</v>
      </c>
      <c r="B3583" t="str">
        <f>LEFT(Table1[[#This Row],[Input]],1)</f>
        <v>R</v>
      </c>
      <c r="C3583">
        <f>_xlfn.LET(_xlpm.steps,SUBSTITUTE(Table1[[#This Row],[Input]],Table1[[#This Row],[Direction]],""),VALUE(IF(LEN(_xlpm.steps)&gt;2,RIGHT(_xlpm.steps,2),_xlpm.steps)))</f>
        <v>86</v>
      </c>
      <c r="D3583">
        <f>_xlfn.LET(_xlpm.dir,Table1[[#This Row],[Direction]],
IF(_xlpm.dir="L",
    IF(F3582-Table1[[#This Row],[Steps]]&lt;0,100+(F3582-Table1[[#This Row],[Steps]]),F3582-Table1[[#This Row],[Steps]]),
))</f>
        <v>0</v>
      </c>
      <c r="E3583">
        <f>_xlfn.LET(_xlpm.dir,Table1[[#This Row],[Direction]],
IF(_xlpm.dir="R",
    IF(F3582+Table1[[#This Row],[Steps]]&gt;99,(F3582+Table1[[#This Row],[Steps]])-100,F3582+Table1[[#This Row],[Steps]]),
))</f>
        <v>6</v>
      </c>
      <c r="F3583">
        <f>IF(Table1[[#This Row],[New Pos L]]&lt;&gt;0,Table1[[#This Row],[New Pos L]],Table1[[#This Row],[New Pos R]])</f>
        <v>6</v>
      </c>
    </row>
    <row r="3584" spans="1:6" ht="16" x14ac:dyDescent="0.2">
      <c r="A3584" s="1" t="s">
        <v>254</v>
      </c>
      <c r="B3584" t="str">
        <f>LEFT(Table1[[#This Row],[Input]],1)</f>
        <v>R</v>
      </c>
      <c r="C3584">
        <f>_xlfn.LET(_xlpm.steps,SUBSTITUTE(Table1[[#This Row],[Input]],Table1[[#This Row],[Direction]],""),VALUE(IF(LEN(_xlpm.steps)&gt;2,RIGHT(_xlpm.steps,2),_xlpm.steps)))</f>
        <v>84</v>
      </c>
      <c r="D3584">
        <f>_xlfn.LET(_xlpm.dir,Table1[[#This Row],[Direction]],
IF(_xlpm.dir="L",
    IF(F3583-Table1[[#This Row],[Steps]]&lt;0,100+(F3583-Table1[[#This Row],[Steps]]),F3583-Table1[[#This Row],[Steps]]),
))</f>
        <v>0</v>
      </c>
      <c r="E3584">
        <f>_xlfn.LET(_xlpm.dir,Table1[[#This Row],[Direction]],
IF(_xlpm.dir="R",
    IF(F3583+Table1[[#This Row],[Steps]]&gt;99,(F3583+Table1[[#This Row],[Steps]])-100,F3583+Table1[[#This Row],[Steps]]),
))</f>
        <v>90</v>
      </c>
      <c r="F3584">
        <f>IF(Table1[[#This Row],[New Pos L]]&lt;&gt;0,Table1[[#This Row],[New Pos L]],Table1[[#This Row],[New Pos R]])</f>
        <v>90</v>
      </c>
    </row>
    <row r="3585" spans="1:6" ht="16" x14ac:dyDescent="0.2">
      <c r="A3585" s="1" t="s">
        <v>64</v>
      </c>
      <c r="B3585" t="str">
        <f>LEFT(Table1[[#This Row],[Input]],1)</f>
        <v>R</v>
      </c>
      <c r="C3585">
        <f>_xlfn.LET(_xlpm.steps,SUBSTITUTE(Table1[[#This Row],[Input]],Table1[[#This Row],[Direction]],""),VALUE(IF(LEN(_xlpm.steps)&gt;2,RIGHT(_xlpm.steps,2),_xlpm.steps)))</f>
        <v>10</v>
      </c>
      <c r="D3585">
        <f>_xlfn.LET(_xlpm.dir,Table1[[#This Row],[Direction]],
IF(_xlpm.dir="L",
    IF(F3584-Table1[[#This Row],[Steps]]&lt;0,100+(F3584-Table1[[#This Row],[Steps]]),F3584-Table1[[#This Row],[Steps]]),
))</f>
        <v>0</v>
      </c>
      <c r="E3585">
        <f>_xlfn.LET(_xlpm.dir,Table1[[#This Row],[Direction]],
IF(_xlpm.dir="R",
    IF(F3584+Table1[[#This Row],[Steps]]&gt;99,(F3584+Table1[[#This Row],[Steps]])-100,F3584+Table1[[#This Row],[Steps]]),
))</f>
        <v>0</v>
      </c>
      <c r="F3585">
        <f>IF(Table1[[#This Row],[New Pos L]]&lt;&gt;0,Table1[[#This Row],[New Pos L]],Table1[[#This Row],[New Pos R]])</f>
        <v>0</v>
      </c>
    </row>
    <row r="3586" spans="1:6" ht="16" x14ac:dyDescent="0.2">
      <c r="A3586" s="1" t="s">
        <v>25</v>
      </c>
      <c r="B3586" t="str">
        <f>LEFT(Table1[[#This Row],[Input]],1)</f>
        <v>L</v>
      </c>
      <c r="C3586">
        <f>_xlfn.LET(_xlpm.steps,SUBSTITUTE(Table1[[#This Row],[Input]],Table1[[#This Row],[Direction]],""),VALUE(IF(LEN(_xlpm.steps)&gt;2,RIGHT(_xlpm.steps,2),_xlpm.steps)))</f>
        <v>20</v>
      </c>
      <c r="D3586">
        <f>_xlfn.LET(_xlpm.dir,Table1[[#This Row],[Direction]],
IF(_xlpm.dir="L",
    IF(F3585-Table1[[#This Row],[Steps]]&lt;0,100+(F3585-Table1[[#This Row],[Steps]]),F3585-Table1[[#This Row],[Steps]]),
))</f>
        <v>80</v>
      </c>
      <c r="E3586">
        <f>_xlfn.LET(_xlpm.dir,Table1[[#This Row],[Direction]],
IF(_xlpm.dir="R",
    IF(F3585+Table1[[#This Row],[Steps]]&gt;99,(F3585+Table1[[#This Row],[Steps]])-100,F3585+Table1[[#This Row],[Steps]]),
))</f>
        <v>0</v>
      </c>
      <c r="F3586">
        <f>IF(Table1[[#This Row],[New Pos L]]&lt;&gt;0,Table1[[#This Row],[New Pos L]],Table1[[#This Row],[New Pos R]])</f>
        <v>80</v>
      </c>
    </row>
    <row r="3587" spans="1:6" ht="16" x14ac:dyDescent="0.2">
      <c r="A3587" s="1" t="s">
        <v>53</v>
      </c>
      <c r="B3587" t="str">
        <f>LEFT(Table1[[#This Row],[Input]],1)</f>
        <v>L</v>
      </c>
      <c r="C3587">
        <f>_xlfn.LET(_xlpm.steps,SUBSTITUTE(Table1[[#This Row],[Input]],Table1[[#This Row],[Direction]],""),VALUE(IF(LEN(_xlpm.steps)&gt;2,RIGHT(_xlpm.steps,2),_xlpm.steps)))</f>
        <v>56</v>
      </c>
      <c r="D3587">
        <f>_xlfn.LET(_xlpm.dir,Table1[[#This Row],[Direction]],
IF(_xlpm.dir="L",
    IF(F3586-Table1[[#This Row],[Steps]]&lt;0,100+(F3586-Table1[[#This Row],[Steps]]),F3586-Table1[[#This Row],[Steps]]),
))</f>
        <v>24</v>
      </c>
      <c r="E3587">
        <f>_xlfn.LET(_xlpm.dir,Table1[[#This Row],[Direction]],
IF(_xlpm.dir="R",
    IF(F3586+Table1[[#This Row],[Steps]]&gt;99,(F3586+Table1[[#This Row],[Steps]])-100,F3586+Table1[[#This Row],[Steps]]),
))</f>
        <v>0</v>
      </c>
      <c r="F3587">
        <f>IF(Table1[[#This Row],[New Pos L]]&lt;&gt;0,Table1[[#This Row],[New Pos L]],Table1[[#This Row],[New Pos R]])</f>
        <v>24</v>
      </c>
    </row>
    <row r="3588" spans="1:6" ht="16" x14ac:dyDescent="0.2">
      <c r="A3588" s="1" t="s">
        <v>59</v>
      </c>
      <c r="B3588" t="str">
        <f>LEFT(Table1[[#This Row],[Input]],1)</f>
        <v>L</v>
      </c>
      <c r="C3588">
        <f>_xlfn.LET(_xlpm.steps,SUBSTITUTE(Table1[[#This Row],[Input]],Table1[[#This Row],[Direction]],""),VALUE(IF(LEN(_xlpm.steps)&gt;2,RIGHT(_xlpm.steps,2),_xlpm.steps)))</f>
        <v>6</v>
      </c>
      <c r="D3588">
        <f>_xlfn.LET(_xlpm.dir,Table1[[#This Row],[Direction]],
IF(_xlpm.dir="L",
    IF(F3587-Table1[[#This Row],[Steps]]&lt;0,100+(F3587-Table1[[#This Row],[Steps]]),F3587-Table1[[#This Row],[Steps]]),
))</f>
        <v>18</v>
      </c>
      <c r="E3588">
        <f>_xlfn.LET(_xlpm.dir,Table1[[#This Row],[Direction]],
IF(_xlpm.dir="R",
    IF(F3587+Table1[[#This Row],[Steps]]&gt;99,(F3587+Table1[[#This Row],[Steps]])-100,F3587+Table1[[#This Row],[Steps]]),
))</f>
        <v>0</v>
      </c>
      <c r="F3588">
        <f>IF(Table1[[#This Row],[New Pos L]]&lt;&gt;0,Table1[[#This Row],[New Pos L]],Table1[[#This Row],[New Pos R]])</f>
        <v>18</v>
      </c>
    </row>
    <row r="3589" spans="1:6" ht="16" x14ac:dyDescent="0.2">
      <c r="A3589" s="1" t="s">
        <v>765</v>
      </c>
      <c r="B3589" t="str">
        <f>LEFT(Table1[[#This Row],[Input]],1)</f>
        <v>R</v>
      </c>
      <c r="C3589">
        <f>_xlfn.LET(_xlpm.steps,SUBSTITUTE(Table1[[#This Row],[Input]],Table1[[#This Row],[Direction]],""),VALUE(IF(LEN(_xlpm.steps)&gt;2,RIGHT(_xlpm.steps,2),_xlpm.steps)))</f>
        <v>82</v>
      </c>
      <c r="D3589">
        <f>_xlfn.LET(_xlpm.dir,Table1[[#This Row],[Direction]],
IF(_xlpm.dir="L",
    IF(F3588-Table1[[#This Row],[Steps]]&lt;0,100+(F3588-Table1[[#This Row],[Steps]]),F3588-Table1[[#This Row],[Steps]]),
))</f>
        <v>0</v>
      </c>
      <c r="E3589">
        <f>_xlfn.LET(_xlpm.dir,Table1[[#This Row],[Direction]],
IF(_xlpm.dir="R",
    IF(F3588+Table1[[#This Row],[Steps]]&gt;99,(F3588+Table1[[#This Row],[Steps]])-100,F3588+Table1[[#This Row],[Steps]]),
))</f>
        <v>0</v>
      </c>
      <c r="F3589">
        <f>IF(Table1[[#This Row],[New Pos L]]&lt;&gt;0,Table1[[#This Row],[New Pos L]],Table1[[#This Row],[New Pos R]])</f>
        <v>0</v>
      </c>
    </row>
    <row r="3590" spans="1:6" ht="16" x14ac:dyDescent="0.2">
      <c r="A3590" s="1" t="s">
        <v>766</v>
      </c>
      <c r="B3590" t="str">
        <f>LEFT(Table1[[#This Row],[Input]],1)</f>
        <v>L</v>
      </c>
      <c r="C3590">
        <f>_xlfn.LET(_xlpm.steps,SUBSTITUTE(Table1[[#This Row],[Input]],Table1[[#This Row],[Direction]],""),VALUE(IF(LEN(_xlpm.steps)&gt;2,RIGHT(_xlpm.steps,2),_xlpm.steps)))</f>
        <v>80</v>
      </c>
      <c r="D3590">
        <f>_xlfn.LET(_xlpm.dir,Table1[[#This Row],[Direction]],
IF(_xlpm.dir="L",
    IF(F3589-Table1[[#This Row],[Steps]]&lt;0,100+(F3589-Table1[[#This Row],[Steps]]),F3589-Table1[[#This Row],[Steps]]),
))</f>
        <v>20</v>
      </c>
      <c r="E3590">
        <f>_xlfn.LET(_xlpm.dir,Table1[[#This Row],[Direction]],
IF(_xlpm.dir="R",
    IF(F3589+Table1[[#This Row],[Steps]]&gt;99,(F3589+Table1[[#This Row],[Steps]])-100,F3589+Table1[[#This Row],[Steps]]),
))</f>
        <v>0</v>
      </c>
      <c r="F3590">
        <f>IF(Table1[[#This Row],[New Pos L]]&lt;&gt;0,Table1[[#This Row],[New Pos L]],Table1[[#This Row],[New Pos R]])</f>
        <v>20</v>
      </c>
    </row>
    <row r="3591" spans="1:6" ht="16" x14ac:dyDescent="0.2">
      <c r="A3591" s="1" t="s">
        <v>88</v>
      </c>
      <c r="B3591" t="str">
        <f>LEFT(Table1[[#This Row],[Input]],1)</f>
        <v>R</v>
      </c>
      <c r="C3591">
        <f>_xlfn.LET(_xlpm.steps,SUBSTITUTE(Table1[[#This Row],[Input]],Table1[[#This Row],[Direction]],""),VALUE(IF(LEN(_xlpm.steps)&gt;2,RIGHT(_xlpm.steps,2),_xlpm.steps)))</f>
        <v>53</v>
      </c>
      <c r="D3591">
        <f>_xlfn.LET(_xlpm.dir,Table1[[#This Row],[Direction]],
IF(_xlpm.dir="L",
    IF(F3590-Table1[[#This Row],[Steps]]&lt;0,100+(F3590-Table1[[#This Row],[Steps]]),F3590-Table1[[#This Row],[Steps]]),
))</f>
        <v>0</v>
      </c>
      <c r="E3591">
        <f>_xlfn.LET(_xlpm.dir,Table1[[#This Row],[Direction]],
IF(_xlpm.dir="R",
    IF(F3590+Table1[[#This Row],[Steps]]&gt;99,(F3590+Table1[[#This Row],[Steps]])-100,F3590+Table1[[#This Row],[Steps]]),
))</f>
        <v>73</v>
      </c>
      <c r="F3591">
        <f>IF(Table1[[#This Row],[New Pos L]]&lt;&gt;0,Table1[[#This Row],[New Pos L]],Table1[[#This Row],[New Pos R]])</f>
        <v>73</v>
      </c>
    </row>
    <row r="3592" spans="1:6" ht="16" x14ac:dyDescent="0.2">
      <c r="A3592" s="1" t="s">
        <v>171</v>
      </c>
      <c r="B3592" t="str">
        <f>LEFT(Table1[[#This Row],[Input]],1)</f>
        <v>L</v>
      </c>
      <c r="C3592">
        <f>_xlfn.LET(_xlpm.steps,SUBSTITUTE(Table1[[#This Row],[Input]],Table1[[#This Row],[Direction]],""),VALUE(IF(LEN(_xlpm.steps)&gt;2,RIGHT(_xlpm.steps,2),_xlpm.steps)))</f>
        <v>73</v>
      </c>
      <c r="D3592">
        <f>_xlfn.LET(_xlpm.dir,Table1[[#This Row],[Direction]],
IF(_xlpm.dir="L",
    IF(F3591-Table1[[#This Row],[Steps]]&lt;0,100+(F3591-Table1[[#This Row],[Steps]]),F3591-Table1[[#This Row],[Steps]]),
))</f>
        <v>0</v>
      </c>
      <c r="E3592">
        <f>_xlfn.LET(_xlpm.dir,Table1[[#This Row],[Direction]],
IF(_xlpm.dir="R",
    IF(F3591+Table1[[#This Row],[Steps]]&gt;99,(F3591+Table1[[#This Row],[Steps]])-100,F3591+Table1[[#This Row],[Steps]]),
))</f>
        <v>0</v>
      </c>
      <c r="F3592">
        <f>IF(Table1[[#This Row],[New Pos L]]&lt;&gt;0,Table1[[#This Row],[New Pos L]],Table1[[#This Row],[New Pos R]])</f>
        <v>0</v>
      </c>
    </row>
    <row r="3593" spans="1:6" ht="16" x14ac:dyDescent="0.2">
      <c r="A3593" s="1" t="s">
        <v>767</v>
      </c>
      <c r="B3593" t="str">
        <f>LEFT(Table1[[#This Row],[Input]],1)</f>
        <v>L</v>
      </c>
      <c r="C3593">
        <f>_xlfn.LET(_xlpm.steps,SUBSTITUTE(Table1[[#This Row],[Input]],Table1[[#This Row],[Direction]],""),VALUE(IF(LEN(_xlpm.steps)&gt;2,RIGHT(_xlpm.steps,2),_xlpm.steps)))</f>
        <v>84</v>
      </c>
      <c r="D3593">
        <f>_xlfn.LET(_xlpm.dir,Table1[[#This Row],[Direction]],
IF(_xlpm.dir="L",
    IF(F3592-Table1[[#This Row],[Steps]]&lt;0,100+(F3592-Table1[[#This Row],[Steps]]),F3592-Table1[[#This Row],[Steps]]),
))</f>
        <v>16</v>
      </c>
      <c r="E3593">
        <f>_xlfn.LET(_xlpm.dir,Table1[[#This Row],[Direction]],
IF(_xlpm.dir="R",
    IF(F3592+Table1[[#This Row],[Steps]]&gt;99,(F3592+Table1[[#This Row],[Steps]])-100,F3592+Table1[[#This Row],[Steps]]),
))</f>
        <v>0</v>
      </c>
      <c r="F3593">
        <f>IF(Table1[[#This Row],[New Pos L]]&lt;&gt;0,Table1[[#This Row],[New Pos L]],Table1[[#This Row],[New Pos R]])</f>
        <v>16</v>
      </c>
    </row>
    <row r="3594" spans="1:6" ht="16" x14ac:dyDescent="0.2">
      <c r="A3594" s="1" t="s">
        <v>61</v>
      </c>
      <c r="B3594" t="str">
        <f>LEFT(Table1[[#This Row],[Input]],1)</f>
        <v>L</v>
      </c>
      <c r="C3594">
        <f>_xlfn.LET(_xlpm.steps,SUBSTITUTE(Table1[[#This Row],[Input]],Table1[[#This Row],[Direction]],""),VALUE(IF(LEN(_xlpm.steps)&gt;2,RIGHT(_xlpm.steps,2),_xlpm.steps)))</f>
        <v>16</v>
      </c>
      <c r="D3594">
        <f>_xlfn.LET(_xlpm.dir,Table1[[#This Row],[Direction]],
IF(_xlpm.dir="L",
    IF(F3593-Table1[[#This Row],[Steps]]&lt;0,100+(F3593-Table1[[#This Row],[Steps]]),F3593-Table1[[#This Row],[Steps]]),
))</f>
        <v>0</v>
      </c>
      <c r="E3594">
        <f>_xlfn.LET(_xlpm.dir,Table1[[#This Row],[Direction]],
IF(_xlpm.dir="R",
    IF(F3593+Table1[[#This Row],[Steps]]&gt;99,(F3593+Table1[[#This Row],[Steps]])-100,F3593+Table1[[#This Row],[Steps]]),
))</f>
        <v>0</v>
      </c>
      <c r="F3594">
        <f>IF(Table1[[#This Row],[New Pos L]]&lt;&gt;0,Table1[[#This Row],[New Pos L]],Table1[[#This Row],[New Pos R]])</f>
        <v>0</v>
      </c>
    </row>
    <row r="3595" spans="1:6" ht="16" x14ac:dyDescent="0.2">
      <c r="A3595" s="1" t="s">
        <v>77</v>
      </c>
      <c r="B3595" t="str">
        <f>LEFT(Table1[[#This Row],[Input]],1)</f>
        <v>R</v>
      </c>
      <c r="C3595">
        <f>_xlfn.LET(_xlpm.steps,SUBSTITUTE(Table1[[#This Row],[Input]],Table1[[#This Row],[Direction]],""),VALUE(IF(LEN(_xlpm.steps)&gt;2,RIGHT(_xlpm.steps,2),_xlpm.steps)))</f>
        <v>74</v>
      </c>
      <c r="D3595">
        <f>_xlfn.LET(_xlpm.dir,Table1[[#This Row],[Direction]],
IF(_xlpm.dir="L",
    IF(F3594-Table1[[#This Row],[Steps]]&lt;0,100+(F3594-Table1[[#This Row],[Steps]]),F3594-Table1[[#This Row],[Steps]]),
))</f>
        <v>0</v>
      </c>
      <c r="E3595">
        <f>_xlfn.LET(_xlpm.dir,Table1[[#This Row],[Direction]],
IF(_xlpm.dir="R",
    IF(F3594+Table1[[#This Row],[Steps]]&gt;99,(F3594+Table1[[#This Row],[Steps]])-100,F3594+Table1[[#This Row],[Steps]]),
))</f>
        <v>74</v>
      </c>
      <c r="F3595">
        <f>IF(Table1[[#This Row],[New Pos L]]&lt;&gt;0,Table1[[#This Row],[New Pos L]],Table1[[#This Row],[New Pos R]])</f>
        <v>74</v>
      </c>
    </row>
    <row r="3596" spans="1:6" ht="16" x14ac:dyDescent="0.2">
      <c r="A3596" s="1" t="s">
        <v>1</v>
      </c>
      <c r="B3596" t="str">
        <f>LEFT(Table1[[#This Row],[Input]],1)</f>
        <v>R</v>
      </c>
      <c r="C3596">
        <f>_xlfn.LET(_xlpm.steps,SUBSTITUTE(Table1[[#This Row],[Input]],Table1[[#This Row],[Direction]],""),VALUE(IF(LEN(_xlpm.steps)&gt;2,RIGHT(_xlpm.steps,2),_xlpm.steps)))</f>
        <v>26</v>
      </c>
      <c r="D3596">
        <f>_xlfn.LET(_xlpm.dir,Table1[[#This Row],[Direction]],
IF(_xlpm.dir="L",
    IF(F3595-Table1[[#This Row],[Steps]]&lt;0,100+(F3595-Table1[[#This Row],[Steps]]),F3595-Table1[[#This Row],[Steps]]),
))</f>
        <v>0</v>
      </c>
      <c r="E3596">
        <f>_xlfn.LET(_xlpm.dir,Table1[[#This Row],[Direction]],
IF(_xlpm.dir="R",
    IF(F3595+Table1[[#This Row],[Steps]]&gt;99,(F3595+Table1[[#This Row],[Steps]])-100,F3595+Table1[[#This Row],[Steps]]),
))</f>
        <v>0</v>
      </c>
      <c r="F3596">
        <f>IF(Table1[[#This Row],[New Pos L]]&lt;&gt;0,Table1[[#This Row],[New Pos L]],Table1[[#This Row],[New Pos R]])</f>
        <v>0</v>
      </c>
    </row>
    <row r="3597" spans="1:6" ht="16" x14ac:dyDescent="0.2">
      <c r="A3597" s="1" t="s">
        <v>73</v>
      </c>
      <c r="B3597" t="str">
        <f>LEFT(Table1[[#This Row],[Input]],1)</f>
        <v>R</v>
      </c>
      <c r="C3597">
        <f>_xlfn.LET(_xlpm.steps,SUBSTITUTE(Table1[[#This Row],[Input]],Table1[[#This Row],[Direction]],""),VALUE(IF(LEN(_xlpm.steps)&gt;2,RIGHT(_xlpm.steps,2),_xlpm.steps)))</f>
        <v>21</v>
      </c>
      <c r="D3597">
        <f>_xlfn.LET(_xlpm.dir,Table1[[#This Row],[Direction]],
IF(_xlpm.dir="L",
    IF(F3596-Table1[[#This Row],[Steps]]&lt;0,100+(F3596-Table1[[#This Row],[Steps]]),F3596-Table1[[#This Row],[Steps]]),
))</f>
        <v>0</v>
      </c>
      <c r="E3597">
        <f>_xlfn.LET(_xlpm.dir,Table1[[#This Row],[Direction]],
IF(_xlpm.dir="R",
    IF(F3596+Table1[[#This Row],[Steps]]&gt;99,(F3596+Table1[[#This Row],[Steps]])-100,F3596+Table1[[#This Row],[Steps]]),
))</f>
        <v>21</v>
      </c>
      <c r="F3597">
        <f>IF(Table1[[#This Row],[New Pos L]]&lt;&gt;0,Table1[[#This Row],[New Pos L]],Table1[[#This Row],[New Pos R]])</f>
        <v>21</v>
      </c>
    </row>
    <row r="3598" spans="1:6" ht="16" x14ac:dyDescent="0.2">
      <c r="A3598" s="1" t="s">
        <v>216</v>
      </c>
      <c r="B3598" t="str">
        <f>LEFT(Table1[[#This Row],[Input]],1)</f>
        <v>R</v>
      </c>
      <c r="C3598">
        <f>_xlfn.LET(_xlpm.steps,SUBSTITUTE(Table1[[#This Row],[Input]],Table1[[#This Row],[Direction]],""),VALUE(IF(LEN(_xlpm.steps)&gt;2,RIGHT(_xlpm.steps,2),_xlpm.steps)))</f>
        <v>54</v>
      </c>
      <c r="D3598">
        <f>_xlfn.LET(_xlpm.dir,Table1[[#This Row],[Direction]],
IF(_xlpm.dir="L",
    IF(F3597-Table1[[#This Row],[Steps]]&lt;0,100+(F3597-Table1[[#This Row],[Steps]]),F3597-Table1[[#This Row],[Steps]]),
))</f>
        <v>0</v>
      </c>
      <c r="E3598">
        <f>_xlfn.LET(_xlpm.dir,Table1[[#This Row],[Direction]],
IF(_xlpm.dir="R",
    IF(F3597+Table1[[#This Row],[Steps]]&gt;99,(F3597+Table1[[#This Row],[Steps]])-100,F3597+Table1[[#This Row],[Steps]]),
))</f>
        <v>75</v>
      </c>
      <c r="F3598">
        <f>IF(Table1[[#This Row],[New Pos L]]&lt;&gt;0,Table1[[#This Row],[New Pos L]],Table1[[#This Row],[New Pos R]])</f>
        <v>75</v>
      </c>
    </row>
    <row r="3599" spans="1:6" ht="16" x14ac:dyDescent="0.2">
      <c r="A3599" s="1" t="s">
        <v>768</v>
      </c>
      <c r="B3599" t="str">
        <f>LEFT(Table1[[#This Row],[Input]],1)</f>
        <v>R</v>
      </c>
      <c r="C3599">
        <f>_xlfn.LET(_xlpm.steps,SUBSTITUTE(Table1[[#This Row],[Input]],Table1[[#This Row],[Direction]],""),VALUE(IF(LEN(_xlpm.steps)&gt;2,RIGHT(_xlpm.steps,2),_xlpm.steps)))</f>
        <v>25</v>
      </c>
      <c r="D3599">
        <f>_xlfn.LET(_xlpm.dir,Table1[[#This Row],[Direction]],
IF(_xlpm.dir="L",
    IF(F3598-Table1[[#This Row],[Steps]]&lt;0,100+(F3598-Table1[[#This Row],[Steps]]),F3598-Table1[[#This Row],[Steps]]),
))</f>
        <v>0</v>
      </c>
      <c r="E3599">
        <f>_xlfn.LET(_xlpm.dir,Table1[[#This Row],[Direction]],
IF(_xlpm.dir="R",
    IF(F3598+Table1[[#This Row],[Steps]]&gt;99,(F3598+Table1[[#This Row],[Steps]])-100,F3598+Table1[[#This Row],[Steps]]),
))</f>
        <v>0</v>
      </c>
      <c r="F3599">
        <f>IF(Table1[[#This Row],[New Pos L]]&lt;&gt;0,Table1[[#This Row],[New Pos L]],Table1[[#This Row],[New Pos R]])</f>
        <v>0</v>
      </c>
    </row>
    <row r="3600" spans="1:6" ht="16" x14ac:dyDescent="0.2">
      <c r="A3600" s="1" t="s">
        <v>111</v>
      </c>
      <c r="B3600" t="str">
        <f>LEFT(Table1[[#This Row],[Input]],1)</f>
        <v>R</v>
      </c>
      <c r="C3600">
        <f>_xlfn.LET(_xlpm.steps,SUBSTITUTE(Table1[[#This Row],[Input]],Table1[[#This Row],[Direction]],""),VALUE(IF(LEN(_xlpm.steps)&gt;2,RIGHT(_xlpm.steps,2),_xlpm.steps)))</f>
        <v>64</v>
      </c>
      <c r="D3600">
        <f>_xlfn.LET(_xlpm.dir,Table1[[#This Row],[Direction]],
IF(_xlpm.dir="L",
    IF(F3599-Table1[[#This Row],[Steps]]&lt;0,100+(F3599-Table1[[#This Row],[Steps]]),F3599-Table1[[#This Row],[Steps]]),
))</f>
        <v>0</v>
      </c>
      <c r="E3600">
        <f>_xlfn.LET(_xlpm.dir,Table1[[#This Row],[Direction]],
IF(_xlpm.dir="R",
    IF(F3599+Table1[[#This Row],[Steps]]&gt;99,(F3599+Table1[[#This Row],[Steps]])-100,F3599+Table1[[#This Row],[Steps]]),
))</f>
        <v>64</v>
      </c>
      <c r="F3600">
        <f>IF(Table1[[#This Row],[New Pos L]]&lt;&gt;0,Table1[[#This Row],[New Pos L]],Table1[[#This Row],[New Pos R]])</f>
        <v>64</v>
      </c>
    </row>
    <row r="3601" spans="1:6" ht="16" x14ac:dyDescent="0.2">
      <c r="A3601" s="1" t="s">
        <v>15</v>
      </c>
      <c r="B3601" t="str">
        <f>LEFT(Table1[[#This Row],[Input]],1)</f>
        <v>R</v>
      </c>
      <c r="C3601">
        <f>_xlfn.LET(_xlpm.steps,SUBSTITUTE(Table1[[#This Row],[Input]],Table1[[#This Row],[Direction]],""),VALUE(IF(LEN(_xlpm.steps)&gt;2,RIGHT(_xlpm.steps,2),_xlpm.steps)))</f>
        <v>36</v>
      </c>
      <c r="D3601">
        <f>_xlfn.LET(_xlpm.dir,Table1[[#This Row],[Direction]],
IF(_xlpm.dir="L",
    IF(F3600-Table1[[#This Row],[Steps]]&lt;0,100+(F3600-Table1[[#This Row],[Steps]]),F3600-Table1[[#This Row],[Steps]]),
))</f>
        <v>0</v>
      </c>
      <c r="E3601">
        <f>_xlfn.LET(_xlpm.dir,Table1[[#This Row],[Direction]],
IF(_xlpm.dir="R",
    IF(F3600+Table1[[#This Row],[Steps]]&gt;99,(F3600+Table1[[#This Row],[Steps]])-100,F3600+Table1[[#This Row],[Steps]]),
))</f>
        <v>0</v>
      </c>
      <c r="F3601">
        <f>IF(Table1[[#This Row],[New Pos L]]&lt;&gt;0,Table1[[#This Row],[New Pos L]],Table1[[#This Row],[New Pos R]])</f>
        <v>0</v>
      </c>
    </row>
    <row r="3602" spans="1:6" ht="16" x14ac:dyDescent="0.2">
      <c r="A3602" s="1" t="s">
        <v>40</v>
      </c>
      <c r="B3602" t="str">
        <f>LEFT(Table1[[#This Row],[Input]],1)</f>
        <v>R</v>
      </c>
      <c r="C3602">
        <f>_xlfn.LET(_xlpm.steps,SUBSTITUTE(Table1[[#This Row],[Input]],Table1[[#This Row],[Direction]],""),VALUE(IF(LEN(_xlpm.steps)&gt;2,RIGHT(_xlpm.steps,2),_xlpm.steps)))</f>
        <v>52</v>
      </c>
      <c r="D3602">
        <f>_xlfn.LET(_xlpm.dir,Table1[[#This Row],[Direction]],
IF(_xlpm.dir="L",
    IF(F3601-Table1[[#This Row],[Steps]]&lt;0,100+(F3601-Table1[[#This Row],[Steps]]),F3601-Table1[[#This Row],[Steps]]),
))</f>
        <v>0</v>
      </c>
      <c r="E3602">
        <f>_xlfn.LET(_xlpm.dir,Table1[[#This Row],[Direction]],
IF(_xlpm.dir="R",
    IF(F3601+Table1[[#This Row],[Steps]]&gt;99,(F3601+Table1[[#This Row],[Steps]])-100,F3601+Table1[[#This Row],[Steps]]),
))</f>
        <v>52</v>
      </c>
      <c r="F3602">
        <f>IF(Table1[[#This Row],[New Pos L]]&lt;&gt;0,Table1[[#This Row],[New Pos L]],Table1[[#This Row],[New Pos R]])</f>
        <v>52</v>
      </c>
    </row>
    <row r="3603" spans="1:6" ht="16" x14ac:dyDescent="0.2">
      <c r="A3603" s="1" t="s">
        <v>192</v>
      </c>
      <c r="B3603" t="str">
        <f>LEFT(Table1[[#This Row],[Input]],1)</f>
        <v>L</v>
      </c>
      <c r="C3603">
        <f>_xlfn.LET(_xlpm.steps,SUBSTITUTE(Table1[[#This Row],[Input]],Table1[[#This Row],[Direction]],""),VALUE(IF(LEN(_xlpm.steps)&gt;2,RIGHT(_xlpm.steps,2),_xlpm.steps)))</f>
        <v>52</v>
      </c>
      <c r="D3603">
        <f>_xlfn.LET(_xlpm.dir,Table1[[#This Row],[Direction]],
IF(_xlpm.dir="L",
    IF(F3602-Table1[[#This Row],[Steps]]&lt;0,100+(F3602-Table1[[#This Row],[Steps]]),F3602-Table1[[#This Row],[Steps]]),
))</f>
        <v>0</v>
      </c>
      <c r="E3603">
        <f>_xlfn.LET(_xlpm.dir,Table1[[#This Row],[Direction]],
IF(_xlpm.dir="R",
    IF(F3602+Table1[[#This Row],[Steps]]&gt;99,(F3602+Table1[[#This Row],[Steps]])-100,F3602+Table1[[#This Row],[Steps]]),
))</f>
        <v>0</v>
      </c>
      <c r="F3603">
        <f>IF(Table1[[#This Row],[New Pos L]]&lt;&gt;0,Table1[[#This Row],[New Pos L]],Table1[[#This Row],[New Pos R]])</f>
        <v>0</v>
      </c>
    </row>
    <row r="3604" spans="1:6" ht="16" x14ac:dyDescent="0.2">
      <c r="A3604" s="1" t="s">
        <v>44</v>
      </c>
      <c r="B3604" t="str">
        <f>LEFT(Table1[[#This Row],[Input]],1)</f>
        <v>R</v>
      </c>
      <c r="C3604">
        <f>_xlfn.LET(_xlpm.steps,SUBSTITUTE(Table1[[#This Row],[Input]],Table1[[#This Row],[Direction]],""),VALUE(IF(LEN(_xlpm.steps)&gt;2,RIGHT(_xlpm.steps,2),_xlpm.steps)))</f>
        <v>96</v>
      </c>
      <c r="D3604">
        <f>_xlfn.LET(_xlpm.dir,Table1[[#This Row],[Direction]],
IF(_xlpm.dir="L",
    IF(F3603-Table1[[#This Row],[Steps]]&lt;0,100+(F3603-Table1[[#This Row],[Steps]]),F3603-Table1[[#This Row],[Steps]]),
))</f>
        <v>0</v>
      </c>
      <c r="E3604">
        <f>_xlfn.LET(_xlpm.dir,Table1[[#This Row],[Direction]],
IF(_xlpm.dir="R",
    IF(F3603+Table1[[#This Row],[Steps]]&gt;99,(F3603+Table1[[#This Row],[Steps]])-100,F3603+Table1[[#This Row],[Steps]]),
))</f>
        <v>96</v>
      </c>
      <c r="F3604">
        <f>IF(Table1[[#This Row],[New Pos L]]&lt;&gt;0,Table1[[#This Row],[New Pos L]],Table1[[#This Row],[New Pos R]])</f>
        <v>96</v>
      </c>
    </row>
    <row r="3605" spans="1:6" ht="16" x14ac:dyDescent="0.2">
      <c r="A3605" s="1" t="s">
        <v>769</v>
      </c>
      <c r="B3605" t="str">
        <f>LEFT(Table1[[#This Row],[Input]],1)</f>
        <v>L</v>
      </c>
      <c r="C3605">
        <f>_xlfn.LET(_xlpm.steps,SUBSTITUTE(Table1[[#This Row],[Input]],Table1[[#This Row],[Direction]],""),VALUE(IF(LEN(_xlpm.steps)&gt;2,RIGHT(_xlpm.steps,2),_xlpm.steps)))</f>
        <v>94</v>
      </c>
      <c r="D3605">
        <f>_xlfn.LET(_xlpm.dir,Table1[[#This Row],[Direction]],
IF(_xlpm.dir="L",
    IF(F3604-Table1[[#This Row],[Steps]]&lt;0,100+(F3604-Table1[[#This Row],[Steps]]),F3604-Table1[[#This Row],[Steps]]),
))</f>
        <v>2</v>
      </c>
      <c r="E3605">
        <f>_xlfn.LET(_xlpm.dir,Table1[[#This Row],[Direction]],
IF(_xlpm.dir="R",
    IF(F3604+Table1[[#This Row],[Steps]]&gt;99,(F3604+Table1[[#This Row],[Steps]])-100,F3604+Table1[[#This Row],[Steps]]),
))</f>
        <v>0</v>
      </c>
      <c r="F3605">
        <f>IF(Table1[[#This Row],[New Pos L]]&lt;&gt;0,Table1[[#This Row],[New Pos L]],Table1[[#This Row],[New Pos R]])</f>
        <v>2</v>
      </c>
    </row>
    <row r="3606" spans="1:6" ht="16" x14ac:dyDescent="0.2">
      <c r="A3606" s="1" t="s">
        <v>223</v>
      </c>
      <c r="B3606" t="str">
        <f>LEFT(Table1[[#This Row],[Input]],1)</f>
        <v>L</v>
      </c>
      <c r="C3606">
        <f>_xlfn.LET(_xlpm.steps,SUBSTITUTE(Table1[[#This Row],[Input]],Table1[[#This Row],[Direction]],""),VALUE(IF(LEN(_xlpm.steps)&gt;2,RIGHT(_xlpm.steps,2),_xlpm.steps)))</f>
        <v>87</v>
      </c>
      <c r="D3606">
        <f>_xlfn.LET(_xlpm.dir,Table1[[#This Row],[Direction]],
IF(_xlpm.dir="L",
    IF(F3605-Table1[[#This Row],[Steps]]&lt;0,100+(F3605-Table1[[#This Row],[Steps]]),F3605-Table1[[#This Row],[Steps]]),
))</f>
        <v>15</v>
      </c>
      <c r="E3606">
        <f>_xlfn.LET(_xlpm.dir,Table1[[#This Row],[Direction]],
IF(_xlpm.dir="R",
    IF(F3605+Table1[[#This Row],[Steps]]&gt;99,(F3605+Table1[[#This Row],[Steps]])-100,F3605+Table1[[#This Row],[Steps]]),
))</f>
        <v>0</v>
      </c>
      <c r="F3606">
        <f>IF(Table1[[#This Row],[New Pos L]]&lt;&gt;0,Table1[[#This Row],[New Pos L]],Table1[[#This Row],[New Pos R]])</f>
        <v>15</v>
      </c>
    </row>
    <row r="3607" spans="1:6" ht="16" x14ac:dyDescent="0.2">
      <c r="A3607" s="1" t="s">
        <v>181</v>
      </c>
      <c r="B3607" t="str">
        <f>LEFT(Table1[[#This Row],[Input]],1)</f>
        <v>L</v>
      </c>
      <c r="C3607">
        <f>_xlfn.LET(_xlpm.steps,SUBSTITUTE(Table1[[#This Row],[Input]],Table1[[#This Row],[Direction]],""),VALUE(IF(LEN(_xlpm.steps)&gt;2,RIGHT(_xlpm.steps,2),_xlpm.steps)))</f>
        <v>53</v>
      </c>
      <c r="D3607">
        <f>_xlfn.LET(_xlpm.dir,Table1[[#This Row],[Direction]],
IF(_xlpm.dir="L",
    IF(F3606-Table1[[#This Row],[Steps]]&lt;0,100+(F3606-Table1[[#This Row],[Steps]]),F3606-Table1[[#This Row],[Steps]]),
))</f>
        <v>62</v>
      </c>
      <c r="E3607">
        <f>_xlfn.LET(_xlpm.dir,Table1[[#This Row],[Direction]],
IF(_xlpm.dir="R",
    IF(F3606+Table1[[#This Row],[Steps]]&gt;99,(F3606+Table1[[#This Row],[Steps]])-100,F3606+Table1[[#This Row],[Steps]]),
))</f>
        <v>0</v>
      </c>
      <c r="F3607">
        <f>IF(Table1[[#This Row],[New Pos L]]&lt;&gt;0,Table1[[#This Row],[New Pos L]],Table1[[#This Row],[New Pos R]])</f>
        <v>62</v>
      </c>
    </row>
    <row r="3608" spans="1:6" ht="16" x14ac:dyDescent="0.2">
      <c r="A3608" s="1" t="s">
        <v>25</v>
      </c>
      <c r="B3608" t="str">
        <f>LEFT(Table1[[#This Row],[Input]],1)</f>
        <v>L</v>
      </c>
      <c r="C3608">
        <f>_xlfn.LET(_xlpm.steps,SUBSTITUTE(Table1[[#This Row],[Input]],Table1[[#This Row],[Direction]],""),VALUE(IF(LEN(_xlpm.steps)&gt;2,RIGHT(_xlpm.steps,2),_xlpm.steps)))</f>
        <v>20</v>
      </c>
      <c r="D3608">
        <f>_xlfn.LET(_xlpm.dir,Table1[[#This Row],[Direction]],
IF(_xlpm.dir="L",
    IF(F3607-Table1[[#This Row],[Steps]]&lt;0,100+(F3607-Table1[[#This Row],[Steps]]),F3607-Table1[[#This Row],[Steps]]),
))</f>
        <v>42</v>
      </c>
      <c r="E3608">
        <f>_xlfn.LET(_xlpm.dir,Table1[[#This Row],[Direction]],
IF(_xlpm.dir="R",
    IF(F3607+Table1[[#This Row],[Steps]]&gt;99,(F3607+Table1[[#This Row],[Steps]])-100,F3607+Table1[[#This Row],[Steps]]),
))</f>
        <v>0</v>
      </c>
      <c r="F3608">
        <f>IF(Table1[[#This Row],[New Pos L]]&lt;&gt;0,Table1[[#This Row],[New Pos L]],Table1[[#This Row],[New Pos R]])</f>
        <v>42</v>
      </c>
    </row>
    <row r="3609" spans="1:6" ht="16" x14ac:dyDescent="0.2">
      <c r="A3609" s="1" t="s">
        <v>89</v>
      </c>
      <c r="B3609" t="str">
        <f>LEFT(Table1[[#This Row],[Input]],1)</f>
        <v>L</v>
      </c>
      <c r="C3609">
        <f>_xlfn.LET(_xlpm.steps,SUBSTITUTE(Table1[[#This Row],[Input]],Table1[[#This Row],[Direction]],""),VALUE(IF(LEN(_xlpm.steps)&gt;2,RIGHT(_xlpm.steps,2),_xlpm.steps)))</f>
        <v>91</v>
      </c>
      <c r="D3609">
        <f>_xlfn.LET(_xlpm.dir,Table1[[#This Row],[Direction]],
IF(_xlpm.dir="L",
    IF(F3608-Table1[[#This Row],[Steps]]&lt;0,100+(F3608-Table1[[#This Row],[Steps]]),F3608-Table1[[#This Row],[Steps]]),
))</f>
        <v>51</v>
      </c>
      <c r="E3609">
        <f>_xlfn.LET(_xlpm.dir,Table1[[#This Row],[Direction]],
IF(_xlpm.dir="R",
    IF(F3608+Table1[[#This Row],[Steps]]&gt;99,(F3608+Table1[[#This Row],[Steps]])-100,F3608+Table1[[#This Row],[Steps]]),
))</f>
        <v>0</v>
      </c>
      <c r="F3609">
        <f>IF(Table1[[#This Row],[New Pos L]]&lt;&gt;0,Table1[[#This Row],[New Pos L]],Table1[[#This Row],[New Pos R]])</f>
        <v>51</v>
      </c>
    </row>
    <row r="3610" spans="1:6" ht="16" x14ac:dyDescent="0.2">
      <c r="A3610" s="1" t="s">
        <v>770</v>
      </c>
      <c r="B3610" t="str">
        <f>LEFT(Table1[[#This Row],[Input]],1)</f>
        <v>L</v>
      </c>
      <c r="C3610">
        <f>_xlfn.LET(_xlpm.steps,SUBSTITUTE(Table1[[#This Row],[Input]],Table1[[#This Row],[Direction]],""),VALUE(IF(LEN(_xlpm.steps)&gt;2,RIGHT(_xlpm.steps,2),_xlpm.steps)))</f>
        <v>74</v>
      </c>
      <c r="D3610">
        <f>_xlfn.LET(_xlpm.dir,Table1[[#This Row],[Direction]],
IF(_xlpm.dir="L",
    IF(F3609-Table1[[#This Row],[Steps]]&lt;0,100+(F3609-Table1[[#This Row],[Steps]]),F3609-Table1[[#This Row],[Steps]]),
))</f>
        <v>77</v>
      </c>
      <c r="E3610">
        <f>_xlfn.LET(_xlpm.dir,Table1[[#This Row],[Direction]],
IF(_xlpm.dir="R",
    IF(F3609+Table1[[#This Row],[Steps]]&gt;99,(F3609+Table1[[#This Row],[Steps]])-100,F3609+Table1[[#This Row],[Steps]]),
))</f>
        <v>0</v>
      </c>
      <c r="F3610">
        <f>IF(Table1[[#This Row],[New Pos L]]&lt;&gt;0,Table1[[#This Row],[New Pos L]],Table1[[#This Row],[New Pos R]])</f>
        <v>77</v>
      </c>
    </row>
    <row r="3611" spans="1:6" ht="16" x14ac:dyDescent="0.2">
      <c r="A3611" s="1" t="s">
        <v>35</v>
      </c>
      <c r="B3611" t="str">
        <f>LEFT(Table1[[#This Row],[Input]],1)</f>
        <v>L</v>
      </c>
      <c r="C3611">
        <f>_xlfn.LET(_xlpm.steps,SUBSTITUTE(Table1[[#This Row],[Input]],Table1[[#This Row],[Direction]],""),VALUE(IF(LEN(_xlpm.steps)&gt;2,RIGHT(_xlpm.steps,2),_xlpm.steps)))</f>
        <v>2</v>
      </c>
      <c r="D3611">
        <f>_xlfn.LET(_xlpm.dir,Table1[[#This Row],[Direction]],
IF(_xlpm.dir="L",
    IF(F3610-Table1[[#This Row],[Steps]]&lt;0,100+(F3610-Table1[[#This Row],[Steps]]),F3610-Table1[[#This Row],[Steps]]),
))</f>
        <v>75</v>
      </c>
      <c r="E3611">
        <f>_xlfn.LET(_xlpm.dir,Table1[[#This Row],[Direction]],
IF(_xlpm.dir="R",
    IF(F3610+Table1[[#This Row],[Steps]]&gt;99,(F3610+Table1[[#This Row],[Steps]])-100,F3610+Table1[[#This Row],[Steps]]),
))</f>
        <v>0</v>
      </c>
      <c r="F3611">
        <f>IF(Table1[[#This Row],[New Pos L]]&lt;&gt;0,Table1[[#This Row],[New Pos L]],Table1[[#This Row],[New Pos R]])</f>
        <v>75</v>
      </c>
    </row>
    <row r="3612" spans="1:6" ht="16" x14ac:dyDescent="0.2">
      <c r="A3612" s="1" t="s">
        <v>108</v>
      </c>
      <c r="B3612" t="str">
        <f>LEFT(Table1[[#This Row],[Input]],1)</f>
        <v>R</v>
      </c>
      <c r="C3612">
        <f>_xlfn.LET(_xlpm.steps,SUBSTITUTE(Table1[[#This Row],[Input]],Table1[[#This Row],[Direction]],""),VALUE(IF(LEN(_xlpm.steps)&gt;2,RIGHT(_xlpm.steps,2),_xlpm.steps)))</f>
        <v>66</v>
      </c>
      <c r="D3612">
        <f>_xlfn.LET(_xlpm.dir,Table1[[#This Row],[Direction]],
IF(_xlpm.dir="L",
    IF(F3611-Table1[[#This Row],[Steps]]&lt;0,100+(F3611-Table1[[#This Row],[Steps]]),F3611-Table1[[#This Row],[Steps]]),
))</f>
        <v>0</v>
      </c>
      <c r="E3612">
        <f>_xlfn.LET(_xlpm.dir,Table1[[#This Row],[Direction]],
IF(_xlpm.dir="R",
    IF(F3611+Table1[[#This Row],[Steps]]&gt;99,(F3611+Table1[[#This Row],[Steps]])-100,F3611+Table1[[#This Row],[Steps]]),
))</f>
        <v>41</v>
      </c>
      <c r="F3612">
        <f>IF(Table1[[#This Row],[New Pos L]]&lt;&gt;0,Table1[[#This Row],[New Pos L]],Table1[[#This Row],[New Pos R]])</f>
        <v>41</v>
      </c>
    </row>
    <row r="3613" spans="1:6" ht="16" x14ac:dyDescent="0.2">
      <c r="A3613" s="1" t="s">
        <v>110</v>
      </c>
      <c r="B3613" t="str">
        <f>LEFT(Table1[[#This Row],[Input]],1)</f>
        <v>L</v>
      </c>
      <c r="C3613">
        <f>_xlfn.LET(_xlpm.steps,SUBSTITUTE(Table1[[#This Row],[Input]],Table1[[#This Row],[Direction]],""),VALUE(IF(LEN(_xlpm.steps)&gt;2,RIGHT(_xlpm.steps,2),_xlpm.steps)))</f>
        <v>81</v>
      </c>
      <c r="D3613">
        <f>_xlfn.LET(_xlpm.dir,Table1[[#This Row],[Direction]],
IF(_xlpm.dir="L",
    IF(F3612-Table1[[#This Row],[Steps]]&lt;0,100+(F3612-Table1[[#This Row],[Steps]]),F3612-Table1[[#This Row],[Steps]]),
))</f>
        <v>60</v>
      </c>
      <c r="E3613">
        <f>_xlfn.LET(_xlpm.dir,Table1[[#This Row],[Direction]],
IF(_xlpm.dir="R",
    IF(F3612+Table1[[#This Row],[Steps]]&gt;99,(F3612+Table1[[#This Row],[Steps]])-100,F3612+Table1[[#This Row],[Steps]]),
))</f>
        <v>0</v>
      </c>
      <c r="F3613">
        <f>IF(Table1[[#This Row],[New Pos L]]&lt;&gt;0,Table1[[#This Row],[New Pos L]],Table1[[#This Row],[New Pos R]])</f>
        <v>60</v>
      </c>
    </row>
    <row r="3614" spans="1:6" ht="16" x14ac:dyDescent="0.2">
      <c r="A3614" s="1" t="s">
        <v>55</v>
      </c>
      <c r="B3614" t="str">
        <f>LEFT(Table1[[#This Row],[Input]],1)</f>
        <v>L</v>
      </c>
      <c r="C3614">
        <f>_xlfn.LET(_xlpm.steps,SUBSTITUTE(Table1[[#This Row],[Input]],Table1[[#This Row],[Direction]],""),VALUE(IF(LEN(_xlpm.steps)&gt;2,RIGHT(_xlpm.steps,2),_xlpm.steps)))</f>
        <v>82</v>
      </c>
      <c r="D3614">
        <f>_xlfn.LET(_xlpm.dir,Table1[[#This Row],[Direction]],
IF(_xlpm.dir="L",
    IF(F3613-Table1[[#This Row],[Steps]]&lt;0,100+(F3613-Table1[[#This Row],[Steps]]),F3613-Table1[[#This Row],[Steps]]),
))</f>
        <v>78</v>
      </c>
      <c r="E3614">
        <f>_xlfn.LET(_xlpm.dir,Table1[[#This Row],[Direction]],
IF(_xlpm.dir="R",
    IF(F3613+Table1[[#This Row],[Steps]]&gt;99,(F3613+Table1[[#This Row],[Steps]])-100,F3613+Table1[[#This Row],[Steps]]),
))</f>
        <v>0</v>
      </c>
      <c r="F3614">
        <f>IF(Table1[[#This Row],[New Pos L]]&lt;&gt;0,Table1[[#This Row],[New Pos L]],Table1[[#This Row],[New Pos R]])</f>
        <v>78</v>
      </c>
    </row>
    <row r="3615" spans="1:6" ht="16" x14ac:dyDescent="0.2">
      <c r="A3615" s="1" t="s">
        <v>95</v>
      </c>
      <c r="B3615" t="str">
        <f>LEFT(Table1[[#This Row],[Input]],1)</f>
        <v>L</v>
      </c>
      <c r="C3615">
        <f>_xlfn.LET(_xlpm.steps,SUBSTITUTE(Table1[[#This Row],[Input]],Table1[[#This Row],[Direction]],""),VALUE(IF(LEN(_xlpm.steps)&gt;2,RIGHT(_xlpm.steps,2),_xlpm.steps)))</f>
        <v>78</v>
      </c>
      <c r="D3615">
        <f>_xlfn.LET(_xlpm.dir,Table1[[#This Row],[Direction]],
IF(_xlpm.dir="L",
    IF(F3614-Table1[[#This Row],[Steps]]&lt;0,100+(F3614-Table1[[#This Row],[Steps]]),F3614-Table1[[#This Row],[Steps]]),
))</f>
        <v>0</v>
      </c>
      <c r="E3615">
        <f>_xlfn.LET(_xlpm.dir,Table1[[#This Row],[Direction]],
IF(_xlpm.dir="R",
    IF(F3614+Table1[[#This Row],[Steps]]&gt;99,(F3614+Table1[[#This Row],[Steps]])-100,F3614+Table1[[#This Row],[Steps]]),
))</f>
        <v>0</v>
      </c>
      <c r="F3615">
        <f>IF(Table1[[#This Row],[New Pos L]]&lt;&gt;0,Table1[[#This Row],[New Pos L]],Table1[[#This Row],[New Pos R]])</f>
        <v>0</v>
      </c>
    </row>
    <row r="3616" spans="1:6" ht="16" x14ac:dyDescent="0.2">
      <c r="A3616" s="1" t="s">
        <v>201</v>
      </c>
      <c r="B3616" t="str">
        <f>LEFT(Table1[[#This Row],[Input]],1)</f>
        <v>R</v>
      </c>
      <c r="C3616">
        <f>_xlfn.LET(_xlpm.steps,SUBSTITUTE(Table1[[#This Row],[Input]],Table1[[#This Row],[Direction]],""),VALUE(IF(LEN(_xlpm.steps)&gt;2,RIGHT(_xlpm.steps,2),_xlpm.steps)))</f>
        <v>31</v>
      </c>
      <c r="D3616">
        <f>_xlfn.LET(_xlpm.dir,Table1[[#This Row],[Direction]],
IF(_xlpm.dir="L",
    IF(F3615-Table1[[#This Row],[Steps]]&lt;0,100+(F3615-Table1[[#This Row],[Steps]]),F3615-Table1[[#This Row],[Steps]]),
))</f>
        <v>0</v>
      </c>
      <c r="E3616">
        <f>_xlfn.LET(_xlpm.dir,Table1[[#This Row],[Direction]],
IF(_xlpm.dir="R",
    IF(F3615+Table1[[#This Row],[Steps]]&gt;99,(F3615+Table1[[#This Row],[Steps]])-100,F3615+Table1[[#This Row],[Steps]]),
))</f>
        <v>31</v>
      </c>
      <c r="F3616">
        <f>IF(Table1[[#This Row],[New Pos L]]&lt;&gt;0,Table1[[#This Row],[New Pos L]],Table1[[#This Row],[New Pos R]])</f>
        <v>31</v>
      </c>
    </row>
    <row r="3617" spans="1:6" ht="16" x14ac:dyDescent="0.2">
      <c r="A3617" s="1" t="s">
        <v>135</v>
      </c>
      <c r="B3617" t="str">
        <f>LEFT(Table1[[#This Row],[Input]],1)</f>
        <v>R</v>
      </c>
      <c r="C3617">
        <f>_xlfn.LET(_xlpm.steps,SUBSTITUTE(Table1[[#This Row],[Input]],Table1[[#This Row],[Direction]],""),VALUE(IF(LEN(_xlpm.steps)&gt;2,RIGHT(_xlpm.steps,2),_xlpm.steps)))</f>
        <v>69</v>
      </c>
      <c r="D3617">
        <f>_xlfn.LET(_xlpm.dir,Table1[[#This Row],[Direction]],
IF(_xlpm.dir="L",
    IF(F3616-Table1[[#This Row],[Steps]]&lt;0,100+(F3616-Table1[[#This Row],[Steps]]),F3616-Table1[[#This Row],[Steps]]),
))</f>
        <v>0</v>
      </c>
      <c r="E3617">
        <f>_xlfn.LET(_xlpm.dir,Table1[[#This Row],[Direction]],
IF(_xlpm.dir="R",
    IF(F3616+Table1[[#This Row],[Steps]]&gt;99,(F3616+Table1[[#This Row],[Steps]])-100,F3616+Table1[[#This Row],[Steps]]),
))</f>
        <v>0</v>
      </c>
      <c r="F3617">
        <f>IF(Table1[[#This Row],[New Pos L]]&lt;&gt;0,Table1[[#This Row],[New Pos L]],Table1[[#This Row],[New Pos R]])</f>
        <v>0</v>
      </c>
    </row>
    <row r="3618" spans="1:6" ht="16" x14ac:dyDescent="0.2">
      <c r="A3618" s="1" t="s">
        <v>267</v>
      </c>
      <c r="B3618" t="str">
        <f>LEFT(Table1[[#This Row],[Input]],1)</f>
        <v>L</v>
      </c>
      <c r="C3618">
        <f>_xlfn.LET(_xlpm.steps,SUBSTITUTE(Table1[[#This Row],[Input]],Table1[[#This Row],[Direction]],""),VALUE(IF(LEN(_xlpm.steps)&gt;2,RIGHT(_xlpm.steps,2),_xlpm.steps)))</f>
        <v>39</v>
      </c>
      <c r="D3618">
        <f>_xlfn.LET(_xlpm.dir,Table1[[#This Row],[Direction]],
IF(_xlpm.dir="L",
    IF(F3617-Table1[[#This Row],[Steps]]&lt;0,100+(F3617-Table1[[#This Row],[Steps]]),F3617-Table1[[#This Row],[Steps]]),
))</f>
        <v>61</v>
      </c>
      <c r="E3618">
        <f>_xlfn.LET(_xlpm.dir,Table1[[#This Row],[Direction]],
IF(_xlpm.dir="R",
    IF(F3617+Table1[[#This Row],[Steps]]&gt;99,(F3617+Table1[[#This Row],[Steps]])-100,F3617+Table1[[#This Row],[Steps]]),
))</f>
        <v>0</v>
      </c>
      <c r="F3618">
        <f>IF(Table1[[#This Row],[New Pos L]]&lt;&gt;0,Table1[[#This Row],[New Pos L]],Table1[[#This Row],[New Pos R]])</f>
        <v>61</v>
      </c>
    </row>
    <row r="3619" spans="1:6" ht="16" x14ac:dyDescent="0.2">
      <c r="A3619" s="1" t="s">
        <v>79</v>
      </c>
      <c r="B3619" t="str">
        <f>LEFT(Table1[[#This Row],[Input]],1)</f>
        <v>L</v>
      </c>
      <c r="C3619">
        <f>_xlfn.LET(_xlpm.steps,SUBSTITUTE(Table1[[#This Row],[Input]],Table1[[#This Row],[Direction]],""),VALUE(IF(LEN(_xlpm.steps)&gt;2,RIGHT(_xlpm.steps,2),_xlpm.steps)))</f>
        <v>45</v>
      </c>
      <c r="D3619">
        <f>_xlfn.LET(_xlpm.dir,Table1[[#This Row],[Direction]],
IF(_xlpm.dir="L",
    IF(F3618-Table1[[#This Row],[Steps]]&lt;0,100+(F3618-Table1[[#This Row],[Steps]]),F3618-Table1[[#This Row],[Steps]]),
))</f>
        <v>16</v>
      </c>
      <c r="E3619">
        <f>_xlfn.LET(_xlpm.dir,Table1[[#This Row],[Direction]],
IF(_xlpm.dir="R",
    IF(F3618+Table1[[#This Row],[Steps]]&gt;99,(F3618+Table1[[#This Row],[Steps]])-100,F3618+Table1[[#This Row],[Steps]]),
))</f>
        <v>0</v>
      </c>
      <c r="F3619">
        <f>IF(Table1[[#This Row],[New Pos L]]&lt;&gt;0,Table1[[#This Row],[New Pos L]],Table1[[#This Row],[New Pos R]])</f>
        <v>16</v>
      </c>
    </row>
    <row r="3620" spans="1:6" ht="16" x14ac:dyDescent="0.2">
      <c r="A3620" s="1" t="s">
        <v>29</v>
      </c>
      <c r="B3620" t="str">
        <f>LEFT(Table1[[#This Row],[Input]],1)</f>
        <v>L</v>
      </c>
      <c r="C3620">
        <f>_xlfn.LET(_xlpm.steps,SUBSTITUTE(Table1[[#This Row],[Input]],Table1[[#This Row],[Direction]],""),VALUE(IF(LEN(_xlpm.steps)&gt;2,RIGHT(_xlpm.steps,2),_xlpm.steps)))</f>
        <v>33</v>
      </c>
      <c r="D3620">
        <f>_xlfn.LET(_xlpm.dir,Table1[[#This Row],[Direction]],
IF(_xlpm.dir="L",
    IF(F3619-Table1[[#This Row],[Steps]]&lt;0,100+(F3619-Table1[[#This Row],[Steps]]),F3619-Table1[[#This Row],[Steps]]),
))</f>
        <v>83</v>
      </c>
      <c r="E3620">
        <f>_xlfn.LET(_xlpm.dir,Table1[[#This Row],[Direction]],
IF(_xlpm.dir="R",
    IF(F3619+Table1[[#This Row],[Steps]]&gt;99,(F3619+Table1[[#This Row],[Steps]])-100,F3619+Table1[[#This Row],[Steps]]),
))</f>
        <v>0</v>
      </c>
      <c r="F3620">
        <f>IF(Table1[[#This Row],[New Pos L]]&lt;&gt;0,Table1[[#This Row],[New Pos L]],Table1[[#This Row],[New Pos R]])</f>
        <v>83</v>
      </c>
    </row>
    <row r="3621" spans="1:6" ht="16" x14ac:dyDescent="0.2">
      <c r="A3621" s="1" t="s">
        <v>771</v>
      </c>
      <c r="B3621" t="str">
        <f>LEFT(Table1[[#This Row],[Input]],1)</f>
        <v>L</v>
      </c>
      <c r="C3621">
        <f>_xlfn.LET(_xlpm.steps,SUBSTITUTE(Table1[[#This Row],[Input]],Table1[[#This Row],[Direction]],""),VALUE(IF(LEN(_xlpm.steps)&gt;2,RIGHT(_xlpm.steps,2),_xlpm.steps)))</f>
        <v>33</v>
      </c>
      <c r="D3621">
        <f>_xlfn.LET(_xlpm.dir,Table1[[#This Row],[Direction]],
IF(_xlpm.dir="L",
    IF(F3620-Table1[[#This Row],[Steps]]&lt;0,100+(F3620-Table1[[#This Row],[Steps]]),F3620-Table1[[#This Row],[Steps]]),
))</f>
        <v>50</v>
      </c>
      <c r="E3621">
        <f>_xlfn.LET(_xlpm.dir,Table1[[#This Row],[Direction]],
IF(_xlpm.dir="R",
    IF(F3620+Table1[[#This Row],[Steps]]&gt;99,(F3620+Table1[[#This Row],[Steps]])-100,F3620+Table1[[#This Row],[Steps]]),
))</f>
        <v>0</v>
      </c>
      <c r="F3621">
        <f>IF(Table1[[#This Row],[New Pos L]]&lt;&gt;0,Table1[[#This Row],[New Pos L]],Table1[[#This Row],[New Pos R]])</f>
        <v>50</v>
      </c>
    </row>
    <row r="3622" spans="1:6" ht="16" x14ac:dyDescent="0.2">
      <c r="A3622" s="1" t="s">
        <v>205</v>
      </c>
      <c r="B3622" t="str">
        <f>LEFT(Table1[[#This Row],[Input]],1)</f>
        <v>R</v>
      </c>
      <c r="C3622">
        <f>_xlfn.LET(_xlpm.steps,SUBSTITUTE(Table1[[#This Row],[Input]],Table1[[#This Row],[Direction]],""),VALUE(IF(LEN(_xlpm.steps)&gt;2,RIGHT(_xlpm.steps,2),_xlpm.steps)))</f>
        <v>83</v>
      </c>
      <c r="D3622">
        <f>_xlfn.LET(_xlpm.dir,Table1[[#This Row],[Direction]],
IF(_xlpm.dir="L",
    IF(F3621-Table1[[#This Row],[Steps]]&lt;0,100+(F3621-Table1[[#This Row],[Steps]]),F3621-Table1[[#This Row],[Steps]]),
))</f>
        <v>0</v>
      </c>
      <c r="E3622">
        <f>_xlfn.LET(_xlpm.dir,Table1[[#This Row],[Direction]],
IF(_xlpm.dir="R",
    IF(F3621+Table1[[#This Row],[Steps]]&gt;99,(F3621+Table1[[#This Row],[Steps]])-100,F3621+Table1[[#This Row],[Steps]]),
))</f>
        <v>33</v>
      </c>
      <c r="F3622">
        <f>IF(Table1[[#This Row],[New Pos L]]&lt;&gt;0,Table1[[#This Row],[New Pos L]],Table1[[#This Row],[New Pos R]])</f>
        <v>33</v>
      </c>
    </row>
    <row r="3623" spans="1:6" ht="16" x14ac:dyDescent="0.2">
      <c r="A3623" s="1" t="s">
        <v>293</v>
      </c>
      <c r="B3623" t="str">
        <f>LEFT(Table1[[#This Row],[Input]],1)</f>
        <v>R</v>
      </c>
      <c r="C3623">
        <f>_xlfn.LET(_xlpm.steps,SUBSTITUTE(Table1[[#This Row],[Input]],Table1[[#This Row],[Direction]],""),VALUE(IF(LEN(_xlpm.steps)&gt;2,RIGHT(_xlpm.steps,2),_xlpm.steps)))</f>
        <v>67</v>
      </c>
      <c r="D3623">
        <f>_xlfn.LET(_xlpm.dir,Table1[[#This Row],[Direction]],
IF(_xlpm.dir="L",
    IF(F3622-Table1[[#This Row],[Steps]]&lt;0,100+(F3622-Table1[[#This Row],[Steps]]),F3622-Table1[[#This Row],[Steps]]),
))</f>
        <v>0</v>
      </c>
      <c r="E3623">
        <f>_xlfn.LET(_xlpm.dir,Table1[[#This Row],[Direction]],
IF(_xlpm.dir="R",
    IF(F3622+Table1[[#This Row],[Steps]]&gt;99,(F3622+Table1[[#This Row],[Steps]])-100,F3622+Table1[[#This Row],[Steps]]),
))</f>
        <v>0</v>
      </c>
      <c r="F3623">
        <f>IF(Table1[[#This Row],[New Pos L]]&lt;&gt;0,Table1[[#This Row],[New Pos L]],Table1[[#This Row],[New Pos R]])</f>
        <v>0</v>
      </c>
    </row>
    <row r="3624" spans="1:6" ht="16" x14ac:dyDescent="0.2">
      <c r="A3624" s="1" t="s">
        <v>223</v>
      </c>
      <c r="B3624" t="str">
        <f>LEFT(Table1[[#This Row],[Input]],1)</f>
        <v>L</v>
      </c>
      <c r="C3624">
        <f>_xlfn.LET(_xlpm.steps,SUBSTITUTE(Table1[[#This Row],[Input]],Table1[[#This Row],[Direction]],""),VALUE(IF(LEN(_xlpm.steps)&gt;2,RIGHT(_xlpm.steps,2),_xlpm.steps)))</f>
        <v>87</v>
      </c>
      <c r="D3624">
        <f>_xlfn.LET(_xlpm.dir,Table1[[#This Row],[Direction]],
IF(_xlpm.dir="L",
    IF(F3623-Table1[[#This Row],[Steps]]&lt;0,100+(F3623-Table1[[#This Row],[Steps]]),F3623-Table1[[#This Row],[Steps]]),
))</f>
        <v>13</v>
      </c>
      <c r="E3624">
        <f>_xlfn.LET(_xlpm.dir,Table1[[#This Row],[Direction]],
IF(_xlpm.dir="R",
    IF(F3623+Table1[[#This Row],[Steps]]&gt;99,(F3623+Table1[[#This Row],[Steps]])-100,F3623+Table1[[#This Row],[Steps]]),
))</f>
        <v>0</v>
      </c>
      <c r="F3624">
        <f>IF(Table1[[#This Row],[New Pos L]]&lt;&gt;0,Table1[[#This Row],[New Pos L]],Table1[[#This Row],[New Pos R]])</f>
        <v>13</v>
      </c>
    </row>
    <row r="3625" spans="1:6" ht="16" x14ac:dyDescent="0.2">
      <c r="A3625" s="1" t="s">
        <v>772</v>
      </c>
      <c r="B3625" t="str">
        <f>LEFT(Table1[[#This Row],[Input]],1)</f>
        <v>L</v>
      </c>
      <c r="C3625">
        <f>_xlfn.LET(_xlpm.steps,SUBSTITUTE(Table1[[#This Row],[Input]],Table1[[#This Row],[Direction]],""),VALUE(IF(LEN(_xlpm.steps)&gt;2,RIGHT(_xlpm.steps,2),_xlpm.steps)))</f>
        <v>95</v>
      </c>
      <c r="D3625">
        <f>_xlfn.LET(_xlpm.dir,Table1[[#This Row],[Direction]],
IF(_xlpm.dir="L",
    IF(F3624-Table1[[#This Row],[Steps]]&lt;0,100+(F3624-Table1[[#This Row],[Steps]]),F3624-Table1[[#This Row],[Steps]]),
))</f>
        <v>18</v>
      </c>
      <c r="E3625">
        <f>_xlfn.LET(_xlpm.dir,Table1[[#This Row],[Direction]],
IF(_xlpm.dir="R",
    IF(F3624+Table1[[#This Row],[Steps]]&gt;99,(F3624+Table1[[#This Row],[Steps]])-100,F3624+Table1[[#This Row],[Steps]]),
))</f>
        <v>0</v>
      </c>
      <c r="F3625">
        <f>IF(Table1[[#This Row],[New Pos L]]&lt;&gt;0,Table1[[#This Row],[New Pos L]],Table1[[#This Row],[New Pos R]])</f>
        <v>18</v>
      </c>
    </row>
    <row r="3626" spans="1:6" ht="16" x14ac:dyDescent="0.2">
      <c r="A3626" s="1" t="s">
        <v>234</v>
      </c>
      <c r="B3626" t="str">
        <f>LEFT(Table1[[#This Row],[Input]],1)</f>
        <v>R</v>
      </c>
      <c r="C3626">
        <f>_xlfn.LET(_xlpm.steps,SUBSTITUTE(Table1[[#This Row],[Input]],Table1[[#This Row],[Direction]],""),VALUE(IF(LEN(_xlpm.steps)&gt;2,RIGHT(_xlpm.steps,2),_xlpm.steps)))</f>
        <v>82</v>
      </c>
      <c r="D3626">
        <f>_xlfn.LET(_xlpm.dir,Table1[[#This Row],[Direction]],
IF(_xlpm.dir="L",
    IF(F3625-Table1[[#This Row],[Steps]]&lt;0,100+(F3625-Table1[[#This Row],[Steps]]),F3625-Table1[[#This Row],[Steps]]),
))</f>
        <v>0</v>
      </c>
      <c r="E3626">
        <f>_xlfn.LET(_xlpm.dir,Table1[[#This Row],[Direction]],
IF(_xlpm.dir="R",
    IF(F3625+Table1[[#This Row],[Steps]]&gt;99,(F3625+Table1[[#This Row],[Steps]])-100,F3625+Table1[[#This Row],[Steps]]),
))</f>
        <v>0</v>
      </c>
      <c r="F3626">
        <f>IF(Table1[[#This Row],[New Pos L]]&lt;&gt;0,Table1[[#This Row],[New Pos L]],Table1[[#This Row],[New Pos R]])</f>
        <v>0</v>
      </c>
    </row>
    <row r="3627" spans="1:6" ht="16" x14ac:dyDescent="0.2">
      <c r="A3627" s="1" t="s">
        <v>12</v>
      </c>
      <c r="B3627" t="str">
        <f>LEFT(Table1[[#This Row],[Input]],1)</f>
        <v>L</v>
      </c>
      <c r="C3627">
        <f>_xlfn.LET(_xlpm.steps,SUBSTITUTE(Table1[[#This Row],[Input]],Table1[[#This Row],[Direction]],""),VALUE(IF(LEN(_xlpm.steps)&gt;2,RIGHT(_xlpm.steps,2),_xlpm.steps)))</f>
        <v>11</v>
      </c>
      <c r="D3627">
        <f>_xlfn.LET(_xlpm.dir,Table1[[#This Row],[Direction]],
IF(_xlpm.dir="L",
    IF(F3626-Table1[[#This Row],[Steps]]&lt;0,100+(F3626-Table1[[#This Row],[Steps]]),F3626-Table1[[#This Row],[Steps]]),
))</f>
        <v>89</v>
      </c>
      <c r="E3627">
        <f>_xlfn.LET(_xlpm.dir,Table1[[#This Row],[Direction]],
IF(_xlpm.dir="R",
    IF(F3626+Table1[[#This Row],[Steps]]&gt;99,(F3626+Table1[[#This Row],[Steps]])-100,F3626+Table1[[#This Row],[Steps]]),
))</f>
        <v>0</v>
      </c>
      <c r="F3627">
        <f>IF(Table1[[#This Row],[New Pos L]]&lt;&gt;0,Table1[[#This Row],[New Pos L]],Table1[[#This Row],[New Pos R]])</f>
        <v>89</v>
      </c>
    </row>
    <row r="3628" spans="1:6" ht="16" x14ac:dyDescent="0.2">
      <c r="A3628" s="1" t="s">
        <v>52</v>
      </c>
      <c r="B3628" t="str">
        <f>LEFT(Table1[[#This Row],[Input]],1)</f>
        <v>R</v>
      </c>
      <c r="C3628">
        <f>_xlfn.LET(_xlpm.steps,SUBSTITUTE(Table1[[#This Row],[Input]],Table1[[#This Row],[Direction]],""),VALUE(IF(LEN(_xlpm.steps)&gt;2,RIGHT(_xlpm.steps,2),_xlpm.steps)))</f>
        <v>11</v>
      </c>
      <c r="D3628">
        <f>_xlfn.LET(_xlpm.dir,Table1[[#This Row],[Direction]],
IF(_xlpm.dir="L",
    IF(F3627-Table1[[#This Row],[Steps]]&lt;0,100+(F3627-Table1[[#This Row],[Steps]]),F3627-Table1[[#This Row],[Steps]]),
))</f>
        <v>0</v>
      </c>
      <c r="E3628">
        <f>_xlfn.LET(_xlpm.dir,Table1[[#This Row],[Direction]],
IF(_xlpm.dir="R",
    IF(F3627+Table1[[#This Row],[Steps]]&gt;99,(F3627+Table1[[#This Row],[Steps]])-100,F3627+Table1[[#This Row],[Steps]]),
))</f>
        <v>0</v>
      </c>
      <c r="F3628">
        <f>IF(Table1[[#This Row],[New Pos L]]&lt;&gt;0,Table1[[#This Row],[New Pos L]],Table1[[#This Row],[New Pos R]])</f>
        <v>0</v>
      </c>
    </row>
    <row r="3629" spans="1:6" ht="16" x14ac:dyDescent="0.2">
      <c r="A3629" s="1" t="s">
        <v>95</v>
      </c>
      <c r="B3629" t="str">
        <f>LEFT(Table1[[#This Row],[Input]],1)</f>
        <v>L</v>
      </c>
      <c r="C3629">
        <f>_xlfn.LET(_xlpm.steps,SUBSTITUTE(Table1[[#This Row],[Input]],Table1[[#This Row],[Direction]],""),VALUE(IF(LEN(_xlpm.steps)&gt;2,RIGHT(_xlpm.steps,2),_xlpm.steps)))</f>
        <v>78</v>
      </c>
      <c r="D3629">
        <f>_xlfn.LET(_xlpm.dir,Table1[[#This Row],[Direction]],
IF(_xlpm.dir="L",
    IF(F3628-Table1[[#This Row],[Steps]]&lt;0,100+(F3628-Table1[[#This Row],[Steps]]),F3628-Table1[[#This Row],[Steps]]),
))</f>
        <v>22</v>
      </c>
      <c r="E3629">
        <f>_xlfn.LET(_xlpm.dir,Table1[[#This Row],[Direction]],
IF(_xlpm.dir="R",
    IF(F3628+Table1[[#This Row],[Steps]]&gt;99,(F3628+Table1[[#This Row],[Steps]])-100,F3628+Table1[[#This Row],[Steps]]),
))</f>
        <v>0</v>
      </c>
      <c r="F3629">
        <f>IF(Table1[[#This Row],[New Pos L]]&lt;&gt;0,Table1[[#This Row],[New Pos L]],Table1[[#This Row],[New Pos R]])</f>
        <v>22</v>
      </c>
    </row>
    <row r="3630" spans="1:6" ht="16" x14ac:dyDescent="0.2">
      <c r="A3630" s="1" t="s">
        <v>773</v>
      </c>
      <c r="B3630" t="str">
        <f>LEFT(Table1[[#This Row],[Input]],1)</f>
        <v>L</v>
      </c>
      <c r="C3630">
        <f>_xlfn.LET(_xlpm.steps,SUBSTITUTE(Table1[[#This Row],[Input]],Table1[[#This Row],[Direction]],""),VALUE(IF(LEN(_xlpm.steps)&gt;2,RIGHT(_xlpm.steps,2),_xlpm.steps)))</f>
        <v>61</v>
      </c>
      <c r="D3630">
        <f>_xlfn.LET(_xlpm.dir,Table1[[#This Row],[Direction]],
IF(_xlpm.dir="L",
    IF(F3629-Table1[[#This Row],[Steps]]&lt;0,100+(F3629-Table1[[#This Row],[Steps]]),F3629-Table1[[#This Row],[Steps]]),
))</f>
        <v>61</v>
      </c>
      <c r="E3630">
        <f>_xlfn.LET(_xlpm.dir,Table1[[#This Row],[Direction]],
IF(_xlpm.dir="R",
    IF(F3629+Table1[[#This Row],[Steps]]&gt;99,(F3629+Table1[[#This Row],[Steps]])-100,F3629+Table1[[#This Row],[Steps]]),
))</f>
        <v>0</v>
      </c>
      <c r="F3630">
        <f>IF(Table1[[#This Row],[New Pos L]]&lt;&gt;0,Table1[[#This Row],[New Pos L]],Table1[[#This Row],[New Pos R]])</f>
        <v>61</v>
      </c>
    </row>
    <row r="3631" spans="1:6" ht="16" x14ac:dyDescent="0.2">
      <c r="A3631" s="1" t="s">
        <v>140</v>
      </c>
      <c r="B3631" t="str">
        <f>LEFT(Table1[[#This Row],[Input]],1)</f>
        <v>L</v>
      </c>
      <c r="C3631">
        <f>_xlfn.LET(_xlpm.steps,SUBSTITUTE(Table1[[#This Row],[Input]],Table1[[#This Row],[Direction]],""),VALUE(IF(LEN(_xlpm.steps)&gt;2,RIGHT(_xlpm.steps,2),_xlpm.steps)))</f>
        <v>61</v>
      </c>
      <c r="D3631">
        <f>_xlfn.LET(_xlpm.dir,Table1[[#This Row],[Direction]],
IF(_xlpm.dir="L",
    IF(F3630-Table1[[#This Row],[Steps]]&lt;0,100+(F3630-Table1[[#This Row],[Steps]]),F3630-Table1[[#This Row],[Steps]]),
))</f>
        <v>0</v>
      </c>
      <c r="E3631">
        <f>_xlfn.LET(_xlpm.dir,Table1[[#This Row],[Direction]],
IF(_xlpm.dir="R",
    IF(F3630+Table1[[#This Row],[Steps]]&gt;99,(F3630+Table1[[#This Row],[Steps]])-100,F3630+Table1[[#This Row],[Steps]]),
))</f>
        <v>0</v>
      </c>
      <c r="F3631">
        <f>IF(Table1[[#This Row],[New Pos L]]&lt;&gt;0,Table1[[#This Row],[New Pos L]],Table1[[#This Row],[New Pos R]])</f>
        <v>0</v>
      </c>
    </row>
    <row r="3632" spans="1:6" ht="16" x14ac:dyDescent="0.2">
      <c r="A3632" s="1" t="s">
        <v>64</v>
      </c>
      <c r="B3632" t="str">
        <f>LEFT(Table1[[#This Row],[Input]],1)</f>
        <v>R</v>
      </c>
      <c r="C3632">
        <f>_xlfn.LET(_xlpm.steps,SUBSTITUTE(Table1[[#This Row],[Input]],Table1[[#This Row],[Direction]],""),VALUE(IF(LEN(_xlpm.steps)&gt;2,RIGHT(_xlpm.steps,2),_xlpm.steps)))</f>
        <v>10</v>
      </c>
      <c r="D3632">
        <f>_xlfn.LET(_xlpm.dir,Table1[[#This Row],[Direction]],
IF(_xlpm.dir="L",
    IF(F3631-Table1[[#This Row],[Steps]]&lt;0,100+(F3631-Table1[[#This Row],[Steps]]),F3631-Table1[[#This Row],[Steps]]),
))</f>
        <v>0</v>
      </c>
      <c r="E3632">
        <f>_xlfn.LET(_xlpm.dir,Table1[[#This Row],[Direction]],
IF(_xlpm.dir="R",
    IF(F3631+Table1[[#This Row],[Steps]]&gt;99,(F3631+Table1[[#This Row],[Steps]])-100,F3631+Table1[[#This Row],[Steps]]),
))</f>
        <v>10</v>
      </c>
      <c r="F3632">
        <f>IF(Table1[[#This Row],[New Pos L]]&lt;&gt;0,Table1[[#This Row],[New Pos L]],Table1[[#This Row],[New Pos R]])</f>
        <v>10</v>
      </c>
    </row>
    <row r="3633" spans="1:6" ht="16" x14ac:dyDescent="0.2">
      <c r="A3633" s="1" t="s">
        <v>16</v>
      </c>
      <c r="B3633" t="str">
        <f>LEFT(Table1[[#This Row],[Input]],1)</f>
        <v>L</v>
      </c>
      <c r="C3633">
        <f>_xlfn.LET(_xlpm.steps,SUBSTITUTE(Table1[[#This Row],[Input]],Table1[[#This Row],[Direction]],""),VALUE(IF(LEN(_xlpm.steps)&gt;2,RIGHT(_xlpm.steps,2),_xlpm.steps)))</f>
        <v>10</v>
      </c>
      <c r="D3633">
        <f>_xlfn.LET(_xlpm.dir,Table1[[#This Row],[Direction]],
IF(_xlpm.dir="L",
    IF(F3632-Table1[[#This Row],[Steps]]&lt;0,100+(F3632-Table1[[#This Row],[Steps]]),F3632-Table1[[#This Row],[Steps]]),
))</f>
        <v>0</v>
      </c>
      <c r="E3633">
        <f>_xlfn.LET(_xlpm.dir,Table1[[#This Row],[Direction]],
IF(_xlpm.dir="R",
    IF(F3632+Table1[[#This Row],[Steps]]&gt;99,(F3632+Table1[[#This Row],[Steps]])-100,F3632+Table1[[#This Row],[Steps]]),
))</f>
        <v>0</v>
      </c>
      <c r="F3633">
        <f>IF(Table1[[#This Row],[New Pos L]]&lt;&gt;0,Table1[[#This Row],[New Pos L]],Table1[[#This Row],[New Pos R]])</f>
        <v>0</v>
      </c>
    </row>
    <row r="3634" spans="1:6" ht="16" x14ac:dyDescent="0.2">
      <c r="A3634" s="1" t="s">
        <v>508</v>
      </c>
      <c r="B3634" t="str">
        <f>LEFT(Table1[[#This Row],[Input]],1)</f>
        <v>R</v>
      </c>
      <c r="C3634">
        <f>_xlfn.LET(_xlpm.steps,SUBSTITUTE(Table1[[#This Row],[Input]],Table1[[#This Row],[Direction]],""),VALUE(IF(LEN(_xlpm.steps)&gt;2,RIGHT(_xlpm.steps,2),_xlpm.steps)))</f>
        <v>59</v>
      </c>
      <c r="D3634">
        <f>_xlfn.LET(_xlpm.dir,Table1[[#This Row],[Direction]],
IF(_xlpm.dir="L",
    IF(F3633-Table1[[#This Row],[Steps]]&lt;0,100+(F3633-Table1[[#This Row],[Steps]]),F3633-Table1[[#This Row],[Steps]]),
))</f>
        <v>0</v>
      </c>
      <c r="E3634">
        <f>_xlfn.LET(_xlpm.dir,Table1[[#This Row],[Direction]],
IF(_xlpm.dir="R",
    IF(F3633+Table1[[#This Row],[Steps]]&gt;99,(F3633+Table1[[#This Row],[Steps]])-100,F3633+Table1[[#This Row],[Steps]]),
))</f>
        <v>59</v>
      </c>
      <c r="F3634">
        <f>IF(Table1[[#This Row],[New Pos L]]&lt;&gt;0,Table1[[#This Row],[New Pos L]],Table1[[#This Row],[New Pos R]])</f>
        <v>59</v>
      </c>
    </row>
    <row r="3635" spans="1:6" ht="16" x14ac:dyDescent="0.2">
      <c r="A3635" s="1" t="s">
        <v>155</v>
      </c>
      <c r="B3635" t="str">
        <f>LEFT(Table1[[#This Row],[Input]],1)</f>
        <v>L</v>
      </c>
      <c r="C3635">
        <f>_xlfn.LET(_xlpm.steps,SUBSTITUTE(Table1[[#This Row],[Input]],Table1[[#This Row],[Direction]],""),VALUE(IF(LEN(_xlpm.steps)&gt;2,RIGHT(_xlpm.steps,2),_xlpm.steps)))</f>
        <v>18</v>
      </c>
      <c r="D3635">
        <f>_xlfn.LET(_xlpm.dir,Table1[[#This Row],[Direction]],
IF(_xlpm.dir="L",
    IF(F3634-Table1[[#This Row],[Steps]]&lt;0,100+(F3634-Table1[[#This Row],[Steps]]),F3634-Table1[[#This Row],[Steps]]),
))</f>
        <v>41</v>
      </c>
      <c r="E3635">
        <f>_xlfn.LET(_xlpm.dir,Table1[[#This Row],[Direction]],
IF(_xlpm.dir="R",
    IF(F3634+Table1[[#This Row],[Steps]]&gt;99,(F3634+Table1[[#This Row],[Steps]])-100,F3634+Table1[[#This Row],[Steps]]),
))</f>
        <v>0</v>
      </c>
      <c r="F3635">
        <f>IF(Table1[[#This Row],[New Pos L]]&lt;&gt;0,Table1[[#This Row],[New Pos L]],Table1[[#This Row],[New Pos R]])</f>
        <v>41</v>
      </c>
    </row>
    <row r="3636" spans="1:6" ht="16" x14ac:dyDescent="0.2">
      <c r="A3636" s="1" t="s">
        <v>615</v>
      </c>
      <c r="B3636" t="str">
        <f>LEFT(Table1[[#This Row],[Input]],1)</f>
        <v>L</v>
      </c>
      <c r="C3636">
        <f>_xlfn.LET(_xlpm.steps,SUBSTITUTE(Table1[[#This Row],[Input]],Table1[[#This Row],[Direction]],""),VALUE(IF(LEN(_xlpm.steps)&gt;2,RIGHT(_xlpm.steps,2),_xlpm.steps)))</f>
        <v>26</v>
      </c>
      <c r="D3636">
        <f>_xlfn.LET(_xlpm.dir,Table1[[#This Row],[Direction]],
IF(_xlpm.dir="L",
    IF(F3635-Table1[[#This Row],[Steps]]&lt;0,100+(F3635-Table1[[#This Row],[Steps]]),F3635-Table1[[#This Row],[Steps]]),
))</f>
        <v>15</v>
      </c>
      <c r="E3636">
        <f>_xlfn.LET(_xlpm.dir,Table1[[#This Row],[Direction]],
IF(_xlpm.dir="R",
    IF(F3635+Table1[[#This Row],[Steps]]&gt;99,(F3635+Table1[[#This Row],[Steps]])-100,F3635+Table1[[#This Row],[Steps]]),
))</f>
        <v>0</v>
      </c>
      <c r="F3636">
        <f>IF(Table1[[#This Row],[New Pos L]]&lt;&gt;0,Table1[[#This Row],[New Pos L]],Table1[[#This Row],[New Pos R]])</f>
        <v>15</v>
      </c>
    </row>
    <row r="3637" spans="1:6" ht="16" x14ac:dyDescent="0.2">
      <c r="A3637" s="1" t="s">
        <v>34</v>
      </c>
      <c r="B3637" t="str">
        <f>LEFT(Table1[[#This Row],[Input]],1)</f>
        <v>L</v>
      </c>
      <c r="C3637">
        <f>_xlfn.LET(_xlpm.steps,SUBSTITUTE(Table1[[#This Row],[Input]],Table1[[#This Row],[Direction]],""),VALUE(IF(LEN(_xlpm.steps)&gt;2,RIGHT(_xlpm.steps,2),_xlpm.steps)))</f>
        <v>15</v>
      </c>
      <c r="D3637">
        <f>_xlfn.LET(_xlpm.dir,Table1[[#This Row],[Direction]],
IF(_xlpm.dir="L",
    IF(F3636-Table1[[#This Row],[Steps]]&lt;0,100+(F3636-Table1[[#This Row],[Steps]]),F3636-Table1[[#This Row],[Steps]]),
))</f>
        <v>0</v>
      </c>
      <c r="E3637">
        <f>_xlfn.LET(_xlpm.dir,Table1[[#This Row],[Direction]],
IF(_xlpm.dir="R",
    IF(F3636+Table1[[#This Row],[Steps]]&gt;99,(F3636+Table1[[#This Row],[Steps]])-100,F3636+Table1[[#This Row],[Steps]]),
))</f>
        <v>0</v>
      </c>
      <c r="F3637">
        <f>IF(Table1[[#This Row],[New Pos L]]&lt;&gt;0,Table1[[#This Row],[New Pos L]],Table1[[#This Row],[New Pos R]])</f>
        <v>0</v>
      </c>
    </row>
    <row r="3638" spans="1:6" ht="16" x14ac:dyDescent="0.2">
      <c r="A3638" s="1" t="s">
        <v>774</v>
      </c>
      <c r="B3638" t="str">
        <f>LEFT(Table1[[#This Row],[Input]],1)</f>
        <v>R</v>
      </c>
      <c r="C3638">
        <f>_xlfn.LET(_xlpm.steps,SUBSTITUTE(Table1[[#This Row],[Input]],Table1[[#This Row],[Direction]],""),VALUE(IF(LEN(_xlpm.steps)&gt;2,RIGHT(_xlpm.steps,2),_xlpm.steps)))</f>
        <v>31</v>
      </c>
      <c r="D3638">
        <f>_xlfn.LET(_xlpm.dir,Table1[[#This Row],[Direction]],
IF(_xlpm.dir="L",
    IF(F3637-Table1[[#This Row],[Steps]]&lt;0,100+(F3637-Table1[[#This Row],[Steps]]),F3637-Table1[[#This Row],[Steps]]),
))</f>
        <v>0</v>
      </c>
      <c r="E3638">
        <f>_xlfn.LET(_xlpm.dir,Table1[[#This Row],[Direction]],
IF(_xlpm.dir="R",
    IF(F3637+Table1[[#This Row],[Steps]]&gt;99,(F3637+Table1[[#This Row],[Steps]])-100,F3637+Table1[[#This Row],[Steps]]),
))</f>
        <v>31</v>
      </c>
      <c r="F3638">
        <f>IF(Table1[[#This Row],[New Pos L]]&lt;&gt;0,Table1[[#This Row],[New Pos L]],Table1[[#This Row],[New Pos R]])</f>
        <v>31</v>
      </c>
    </row>
    <row r="3639" spans="1:6" ht="16" x14ac:dyDescent="0.2">
      <c r="A3639" s="1" t="s">
        <v>382</v>
      </c>
      <c r="B3639" t="str">
        <f>LEFT(Table1[[#This Row],[Input]],1)</f>
        <v>L</v>
      </c>
      <c r="C3639">
        <f>_xlfn.LET(_xlpm.steps,SUBSTITUTE(Table1[[#This Row],[Input]],Table1[[#This Row],[Direction]],""),VALUE(IF(LEN(_xlpm.steps)&gt;2,RIGHT(_xlpm.steps,2),_xlpm.steps)))</f>
        <v>76</v>
      </c>
      <c r="D3639">
        <f>_xlfn.LET(_xlpm.dir,Table1[[#This Row],[Direction]],
IF(_xlpm.dir="L",
    IF(F3638-Table1[[#This Row],[Steps]]&lt;0,100+(F3638-Table1[[#This Row],[Steps]]),F3638-Table1[[#This Row],[Steps]]),
))</f>
        <v>55</v>
      </c>
      <c r="E3639">
        <f>_xlfn.LET(_xlpm.dir,Table1[[#This Row],[Direction]],
IF(_xlpm.dir="R",
    IF(F3638+Table1[[#This Row],[Steps]]&gt;99,(F3638+Table1[[#This Row],[Steps]])-100,F3638+Table1[[#This Row],[Steps]]),
))</f>
        <v>0</v>
      </c>
      <c r="F3639">
        <f>IF(Table1[[#This Row],[New Pos L]]&lt;&gt;0,Table1[[#This Row],[New Pos L]],Table1[[#This Row],[New Pos R]])</f>
        <v>55</v>
      </c>
    </row>
    <row r="3640" spans="1:6" ht="16" x14ac:dyDescent="0.2">
      <c r="A3640" s="1" t="s">
        <v>42</v>
      </c>
      <c r="B3640" t="str">
        <f>LEFT(Table1[[#This Row],[Input]],1)</f>
        <v>L</v>
      </c>
      <c r="C3640">
        <f>_xlfn.LET(_xlpm.steps,SUBSTITUTE(Table1[[#This Row],[Input]],Table1[[#This Row],[Direction]],""),VALUE(IF(LEN(_xlpm.steps)&gt;2,RIGHT(_xlpm.steps,2),_xlpm.steps)))</f>
        <v>27</v>
      </c>
      <c r="D3640">
        <f>_xlfn.LET(_xlpm.dir,Table1[[#This Row],[Direction]],
IF(_xlpm.dir="L",
    IF(F3639-Table1[[#This Row],[Steps]]&lt;0,100+(F3639-Table1[[#This Row],[Steps]]),F3639-Table1[[#This Row],[Steps]]),
))</f>
        <v>28</v>
      </c>
      <c r="E3640">
        <f>_xlfn.LET(_xlpm.dir,Table1[[#This Row],[Direction]],
IF(_xlpm.dir="R",
    IF(F3639+Table1[[#This Row],[Steps]]&gt;99,(F3639+Table1[[#This Row],[Steps]])-100,F3639+Table1[[#This Row],[Steps]]),
))</f>
        <v>0</v>
      </c>
      <c r="F3640">
        <f>IF(Table1[[#This Row],[New Pos L]]&lt;&gt;0,Table1[[#This Row],[New Pos L]],Table1[[#This Row],[New Pos R]])</f>
        <v>28</v>
      </c>
    </row>
    <row r="3641" spans="1:6" ht="16" x14ac:dyDescent="0.2">
      <c r="A3641" s="1" t="s">
        <v>136</v>
      </c>
      <c r="B3641" t="str">
        <f>LEFT(Table1[[#This Row],[Input]],1)</f>
        <v>L</v>
      </c>
      <c r="C3641">
        <f>_xlfn.LET(_xlpm.steps,SUBSTITUTE(Table1[[#This Row],[Input]],Table1[[#This Row],[Direction]],""),VALUE(IF(LEN(_xlpm.steps)&gt;2,RIGHT(_xlpm.steps,2),_xlpm.steps)))</f>
        <v>72</v>
      </c>
      <c r="D3641">
        <f>_xlfn.LET(_xlpm.dir,Table1[[#This Row],[Direction]],
IF(_xlpm.dir="L",
    IF(F3640-Table1[[#This Row],[Steps]]&lt;0,100+(F3640-Table1[[#This Row],[Steps]]),F3640-Table1[[#This Row],[Steps]]),
))</f>
        <v>56</v>
      </c>
      <c r="E3641">
        <f>_xlfn.LET(_xlpm.dir,Table1[[#This Row],[Direction]],
IF(_xlpm.dir="R",
    IF(F3640+Table1[[#This Row],[Steps]]&gt;99,(F3640+Table1[[#This Row],[Steps]])-100,F3640+Table1[[#This Row],[Steps]]),
))</f>
        <v>0</v>
      </c>
      <c r="F3641">
        <f>IF(Table1[[#This Row],[New Pos L]]&lt;&gt;0,Table1[[#This Row],[New Pos L]],Table1[[#This Row],[New Pos R]])</f>
        <v>56</v>
      </c>
    </row>
    <row r="3642" spans="1:6" ht="16" x14ac:dyDescent="0.2">
      <c r="A3642" s="1" t="s">
        <v>42</v>
      </c>
      <c r="B3642" t="str">
        <f>LEFT(Table1[[#This Row],[Input]],1)</f>
        <v>L</v>
      </c>
      <c r="C3642">
        <f>_xlfn.LET(_xlpm.steps,SUBSTITUTE(Table1[[#This Row],[Input]],Table1[[#This Row],[Direction]],""),VALUE(IF(LEN(_xlpm.steps)&gt;2,RIGHT(_xlpm.steps,2),_xlpm.steps)))</f>
        <v>27</v>
      </c>
      <c r="D3642">
        <f>_xlfn.LET(_xlpm.dir,Table1[[#This Row],[Direction]],
IF(_xlpm.dir="L",
    IF(F3641-Table1[[#This Row],[Steps]]&lt;0,100+(F3641-Table1[[#This Row],[Steps]]),F3641-Table1[[#This Row],[Steps]]),
))</f>
        <v>29</v>
      </c>
      <c r="E3642">
        <f>_xlfn.LET(_xlpm.dir,Table1[[#This Row],[Direction]],
IF(_xlpm.dir="R",
    IF(F3641+Table1[[#This Row],[Steps]]&gt;99,(F3641+Table1[[#This Row],[Steps]])-100,F3641+Table1[[#This Row],[Steps]]),
))</f>
        <v>0</v>
      </c>
      <c r="F3642">
        <f>IF(Table1[[#This Row],[New Pos L]]&lt;&gt;0,Table1[[#This Row],[New Pos L]],Table1[[#This Row],[New Pos R]])</f>
        <v>29</v>
      </c>
    </row>
    <row r="3643" spans="1:6" ht="16" x14ac:dyDescent="0.2">
      <c r="A3643" s="1" t="s">
        <v>353</v>
      </c>
      <c r="B3643" t="str">
        <f>LEFT(Table1[[#This Row],[Input]],1)</f>
        <v>R</v>
      </c>
      <c r="C3643">
        <f>_xlfn.LET(_xlpm.steps,SUBSTITUTE(Table1[[#This Row],[Input]],Table1[[#This Row],[Direction]],""),VALUE(IF(LEN(_xlpm.steps)&gt;2,RIGHT(_xlpm.steps,2),_xlpm.steps)))</f>
        <v>7</v>
      </c>
      <c r="D3643">
        <f>_xlfn.LET(_xlpm.dir,Table1[[#This Row],[Direction]],
IF(_xlpm.dir="L",
    IF(F3642-Table1[[#This Row],[Steps]]&lt;0,100+(F3642-Table1[[#This Row],[Steps]]),F3642-Table1[[#This Row],[Steps]]),
))</f>
        <v>0</v>
      </c>
      <c r="E3643">
        <f>_xlfn.LET(_xlpm.dir,Table1[[#This Row],[Direction]],
IF(_xlpm.dir="R",
    IF(F3642+Table1[[#This Row],[Steps]]&gt;99,(F3642+Table1[[#This Row],[Steps]])-100,F3642+Table1[[#This Row],[Steps]]),
))</f>
        <v>36</v>
      </c>
      <c r="F3643">
        <f>IF(Table1[[#This Row],[New Pos L]]&lt;&gt;0,Table1[[#This Row],[New Pos L]],Table1[[#This Row],[New Pos R]])</f>
        <v>36</v>
      </c>
    </row>
    <row r="3644" spans="1:6" ht="16" x14ac:dyDescent="0.2">
      <c r="A3644" s="1" t="s">
        <v>39</v>
      </c>
      <c r="B3644" t="str">
        <f>LEFT(Table1[[#This Row],[Input]],1)</f>
        <v>R</v>
      </c>
      <c r="C3644">
        <f>_xlfn.LET(_xlpm.steps,SUBSTITUTE(Table1[[#This Row],[Input]],Table1[[#This Row],[Direction]],""),VALUE(IF(LEN(_xlpm.steps)&gt;2,RIGHT(_xlpm.steps,2),_xlpm.steps)))</f>
        <v>32</v>
      </c>
      <c r="D3644">
        <f>_xlfn.LET(_xlpm.dir,Table1[[#This Row],[Direction]],
IF(_xlpm.dir="L",
    IF(F3643-Table1[[#This Row],[Steps]]&lt;0,100+(F3643-Table1[[#This Row],[Steps]]),F3643-Table1[[#This Row],[Steps]]),
))</f>
        <v>0</v>
      </c>
      <c r="E3644">
        <f>_xlfn.LET(_xlpm.dir,Table1[[#This Row],[Direction]],
IF(_xlpm.dir="R",
    IF(F3643+Table1[[#This Row],[Steps]]&gt;99,(F3643+Table1[[#This Row],[Steps]])-100,F3643+Table1[[#This Row],[Steps]]),
))</f>
        <v>68</v>
      </c>
      <c r="F3644">
        <f>IF(Table1[[#This Row],[New Pos L]]&lt;&gt;0,Table1[[#This Row],[New Pos L]],Table1[[#This Row],[New Pos R]])</f>
        <v>68</v>
      </c>
    </row>
    <row r="3645" spans="1:6" ht="16" x14ac:dyDescent="0.2">
      <c r="A3645" s="1" t="s">
        <v>563</v>
      </c>
      <c r="B3645" t="str">
        <f>LEFT(Table1[[#This Row],[Input]],1)</f>
        <v>R</v>
      </c>
      <c r="C3645">
        <f>_xlfn.LET(_xlpm.steps,SUBSTITUTE(Table1[[#This Row],[Input]],Table1[[#This Row],[Direction]],""),VALUE(IF(LEN(_xlpm.steps)&gt;2,RIGHT(_xlpm.steps,2),_xlpm.steps)))</f>
        <v>60</v>
      </c>
      <c r="D3645">
        <f>_xlfn.LET(_xlpm.dir,Table1[[#This Row],[Direction]],
IF(_xlpm.dir="L",
    IF(F3644-Table1[[#This Row],[Steps]]&lt;0,100+(F3644-Table1[[#This Row],[Steps]]),F3644-Table1[[#This Row],[Steps]]),
))</f>
        <v>0</v>
      </c>
      <c r="E3645">
        <f>_xlfn.LET(_xlpm.dir,Table1[[#This Row],[Direction]],
IF(_xlpm.dir="R",
    IF(F3644+Table1[[#This Row],[Steps]]&gt;99,(F3644+Table1[[#This Row],[Steps]])-100,F3644+Table1[[#This Row],[Steps]]),
))</f>
        <v>28</v>
      </c>
      <c r="F3645">
        <f>IF(Table1[[#This Row],[New Pos L]]&lt;&gt;0,Table1[[#This Row],[New Pos L]],Table1[[#This Row],[New Pos R]])</f>
        <v>28</v>
      </c>
    </row>
    <row r="3646" spans="1:6" ht="16" x14ac:dyDescent="0.2">
      <c r="A3646" s="1" t="s">
        <v>357</v>
      </c>
      <c r="B3646" t="str">
        <f>LEFT(Table1[[#This Row],[Input]],1)</f>
        <v>R</v>
      </c>
      <c r="C3646">
        <f>_xlfn.LET(_xlpm.steps,SUBSTITUTE(Table1[[#This Row],[Input]],Table1[[#This Row],[Direction]],""),VALUE(IF(LEN(_xlpm.steps)&gt;2,RIGHT(_xlpm.steps,2),_xlpm.steps)))</f>
        <v>72</v>
      </c>
      <c r="D3646">
        <f>_xlfn.LET(_xlpm.dir,Table1[[#This Row],[Direction]],
IF(_xlpm.dir="L",
    IF(F3645-Table1[[#This Row],[Steps]]&lt;0,100+(F3645-Table1[[#This Row],[Steps]]),F3645-Table1[[#This Row],[Steps]]),
))</f>
        <v>0</v>
      </c>
      <c r="E3646">
        <f>_xlfn.LET(_xlpm.dir,Table1[[#This Row],[Direction]],
IF(_xlpm.dir="R",
    IF(F3645+Table1[[#This Row],[Steps]]&gt;99,(F3645+Table1[[#This Row],[Steps]])-100,F3645+Table1[[#This Row],[Steps]]),
))</f>
        <v>0</v>
      </c>
      <c r="F3646">
        <f>IF(Table1[[#This Row],[New Pos L]]&lt;&gt;0,Table1[[#This Row],[New Pos L]],Table1[[#This Row],[New Pos R]])</f>
        <v>0</v>
      </c>
    </row>
    <row r="3647" spans="1:6" ht="16" x14ac:dyDescent="0.2">
      <c r="A3647" s="1" t="s">
        <v>41</v>
      </c>
      <c r="B3647" t="str">
        <f>LEFT(Table1[[#This Row],[Input]],1)</f>
        <v>L</v>
      </c>
      <c r="C3647">
        <f>_xlfn.LET(_xlpm.steps,SUBSTITUTE(Table1[[#This Row],[Input]],Table1[[#This Row],[Direction]],""),VALUE(IF(LEN(_xlpm.steps)&gt;2,RIGHT(_xlpm.steps,2),_xlpm.steps)))</f>
        <v>7</v>
      </c>
      <c r="D3647">
        <f>_xlfn.LET(_xlpm.dir,Table1[[#This Row],[Direction]],
IF(_xlpm.dir="L",
    IF(F3646-Table1[[#This Row],[Steps]]&lt;0,100+(F3646-Table1[[#This Row],[Steps]]),F3646-Table1[[#This Row],[Steps]]),
))</f>
        <v>93</v>
      </c>
      <c r="E3647">
        <f>_xlfn.LET(_xlpm.dir,Table1[[#This Row],[Direction]],
IF(_xlpm.dir="R",
    IF(F3646+Table1[[#This Row],[Steps]]&gt;99,(F3646+Table1[[#This Row],[Steps]])-100,F3646+Table1[[#This Row],[Steps]]),
))</f>
        <v>0</v>
      </c>
      <c r="F3647">
        <f>IF(Table1[[#This Row],[New Pos L]]&lt;&gt;0,Table1[[#This Row],[New Pos L]],Table1[[#This Row],[New Pos R]])</f>
        <v>93</v>
      </c>
    </row>
    <row r="3648" spans="1:6" ht="16" x14ac:dyDescent="0.2">
      <c r="A3648" s="1" t="s">
        <v>353</v>
      </c>
      <c r="B3648" t="str">
        <f>LEFT(Table1[[#This Row],[Input]],1)</f>
        <v>R</v>
      </c>
      <c r="C3648">
        <f>_xlfn.LET(_xlpm.steps,SUBSTITUTE(Table1[[#This Row],[Input]],Table1[[#This Row],[Direction]],""),VALUE(IF(LEN(_xlpm.steps)&gt;2,RIGHT(_xlpm.steps,2),_xlpm.steps)))</f>
        <v>7</v>
      </c>
      <c r="D3648">
        <f>_xlfn.LET(_xlpm.dir,Table1[[#This Row],[Direction]],
IF(_xlpm.dir="L",
    IF(F3647-Table1[[#This Row],[Steps]]&lt;0,100+(F3647-Table1[[#This Row],[Steps]]),F3647-Table1[[#This Row],[Steps]]),
))</f>
        <v>0</v>
      </c>
      <c r="E3648">
        <f>_xlfn.LET(_xlpm.dir,Table1[[#This Row],[Direction]],
IF(_xlpm.dir="R",
    IF(F3647+Table1[[#This Row],[Steps]]&gt;99,(F3647+Table1[[#This Row],[Steps]])-100,F3647+Table1[[#This Row],[Steps]]),
))</f>
        <v>0</v>
      </c>
      <c r="F3648">
        <f>IF(Table1[[#This Row],[New Pos L]]&lt;&gt;0,Table1[[#This Row],[New Pos L]],Table1[[#This Row],[New Pos R]])</f>
        <v>0</v>
      </c>
    </row>
    <row r="3649" spans="1:6" ht="16" x14ac:dyDescent="0.2">
      <c r="A3649" s="1" t="s">
        <v>500</v>
      </c>
      <c r="B3649" t="str">
        <f>LEFT(Table1[[#This Row],[Input]],1)</f>
        <v>L</v>
      </c>
      <c r="C3649">
        <f>_xlfn.LET(_xlpm.steps,SUBSTITUTE(Table1[[#This Row],[Input]],Table1[[#This Row],[Direction]],""),VALUE(IF(LEN(_xlpm.steps)&gt;2,RIGHT(_xlpm.steps,2),_xlpm.steps)))</f>
        <v>18</v>
      </c>
      <c r="D3649">
        <f>_xlfn.LET(_xlpm.dir,Table1[[#This Row],[Direction]],
IF(_xlpm.dir="L",
    IF(F3648-Table1[[#This Row],[Steps]]&lt;0,100+(F3648-Table1[[#This Row],[Steps]]),F3648-Table1[[#This Row],[Steps]]),
))</f>
        <v>82</v>
      </c>
      <c r="E3649">
        <f>_xlfn.LET(_xlpm.dir,Table1[[#This Row],[Direction]],
IF(_xlpm.dir="R",
    IF(F3648+Table1[[#This Row],[Steps]]&gt;99,(F3648+Table1[[#This Row],[Steps]])-100,F3648+Table1[[#This Row],[Steps]]),
))</f>
        <v>0</v>
      </c>
      <c r="F3649">
        <f>IF(Table1[[#This Row],[New Pos L]]&lt;&gt;0,Table1[[#This Row],[New Pos L]],Table1[[#This Row],[New Pos R]])</f>
        <v>82</v>
      </c>
    </row>
    <row r="3650" spans="1:6" ht="16" x14ac:dyDescent="0.2">
      <c r="A3650" s="1" t="s">
        <v>264</v>
      </c>
      <c r="B3650" t="str">
        <f>LEFT(Table1[[#This Row],[Input]],1)</f>
        <v>L</v>
      </c>
      <c r="C3650">
        <f>_xlfn.LET(_xlpm.steps,SUBSTITUTE(Table1[[#This Row],[Input]],Table1[[#This Row],[Direction]],""),VALUE(IF(LEN(_xlpm.steps)&gt;2,RIGHT(_xlpm.steps,2),_xlpm.steps)))</f>
        <v>21</v>
      </c>
      <c r="D3650">
        <f>_xlfn.LET(_xlpm.dir,Table1[[#This Row],[Direction]],
IF(_xlpm.dir="L",
    IF(F3649-Table1[[#This Row],[Steps]]&lt;0,100+(F3649-Table1[[#This Row],[Steps]]),F3649-Table1[[#This Row],[Steps]]),
))</f>
        <v>61</v>
      </c>
      <c r="E3650">
        <f>_xlfn.LET(_xlpm.dir,Table1[[#This Row],[Direction]],
IF(_xlpm.dir="R",
    IF(F3649+Table1[[#This Row],[Steps]]&gt;99,(F3649+Table1[[#This Row],[Steps]])-100,F3649+Table1[[#This Row],[Steps]]),
))</f>
        <v>0</v>
      </c>
      <c r="F3650">
        <f>IF(Table1[[#This Row],[New Pos L]]&lt;&gt;0,Table1[[#This Row],[New Pos L]],Table1[[#This Row],[New Pos R]])</f>
        <v>61</v>
      </c>
    </row>
    <row r="3651" spans="1:6" ht="16" x14ac:dyDescent="0.2">
      <c r="A3651" s="1" t="s">
        <v>102</v>
      </c>
      <c r="B3651" t="str">
        <f>LEFT(Table1[[#This Row],[Input]],1)</f>
        <v>R</v>
      </c>
      <c r="C3651">
        <f>_xlfn.LET(_xlpm.steps,SUBSTITUTE(Table1[[#This Row],[Input]],Table1[[#This Row],[Direction]],""),VALUE(IF(LEN(_xlpm.steps)&gt;2,RIGHT(_xlpm.steps,2),_xlpm.steps)))</f>
        <v>39</v>
      </c>
      <c r="D3651">
        <f>_xlfn.LET(_xlpm.dir,Table1[[#This Row],[Direction]],
IF(_xlpm.dir="L",
    IF(F3650-Table1[[#This Row],[Steps]]&lt;0,100+(F3650-Table1[[#This Row],[Steps]]),F3650-Table1[[#This Row],[Steps]]),
))</f>
        <v>0</v>
      </c>
      <c r="E3651">
        <f>_xlfn.LET(_xlpm.dir,Table1[[#This Row],[Direction]],
IF(_xlpm.dir="R",
    IF(F3650+Table1[[#This Row],[Steps]]&gt;99,(F3650+Table1[[#This Row],[Steps]])-100,F3650+Table1[[#This Row],[Steps]]),
))</f>
        <v>0</v>
      </c>
      <c r="F3651">
        <f>IF(Table1[[#This Row],[New Pos L]]&lt;&gt;0,Table1[[#This Row],[New Pos L]],Table1[[#This Row],[New Pos R]])</f>
        <v>0</v>
      </c>
    </row>
    <row r="3652" spans="1:6" ht="16" x14ac:dyDescent="0.2">
      <c r="A3652" s="1" t="s">
        <v>175</v>
      </c>
      <c r="B3652" t="str">
        <f>LEFT(Table1[[#This Row],[Input]],1)</f>
        <v>L</v>
      </c>
      <c r="C3652">
        <f>_xlfn.LET(_xlpm.steps,SUBSTITUTE(Table1[[#This Row],[Input]],Table1[[#This Row],[Direction]],""),VALUE(IF(LEN(_xlpm.steps)&gt;2,RIGHT(_xlpm.steps,2),_xlpm.steps)))</f>
        <v>1</v>
      </c>
      <c r="D3652">
        <f>_xlfn.LET(_xlpm.dir,Table1[[#This Row],[Direction]],
IF(_xlpm.dir="L",
    IF(F3651-Table1[[#This Row],[Steps]]&lt;0,100+(F3651-Table1[[#This Row],[Steps]]),F3651-Table1[[#This Row],[Steps]]),
))</f>
        <v>99</v>
      </c>
      <c r="E3652">
        <f>_xlfn.LET(_xlpm.dir,Table1[[#This Row],[Direction]],
IF(_xlpm.dir="R",
    IF(F3651+Table1[[#This Row],[Steps]]&gt;99,(F3651+Table1[[#This Row],[Steps]])-100,F3651+Table1[[#This Row],[Steps]]),
))</f>
        <v>0</v>
      </c>
      <c r="F3652">
        <f>IF(Table1[[#This Row],[New Pos L]]&lt;&gt;0,Table1[[#This Row],[New Pos L]],Table1[[#This Row],[New Pos R]])</f>
        <v>99</v>
      </c>
    </row>
    <row r="3653" spans="1:6" ht="16" x14ac:dyDescent="0.2">
      <c r="A3653" s="1" t="s">
        <v>5</v>
      </c>
      <c r="B3653" t="str">
        <f>LEFT(Table1[[#This Row],[Input]],1)</f>
        <v>R</v>
      </c>
      <c r="C3653">
        <f>_xlfn.LET(_xlpm.steps,SUBSTITUTE(Table1[[#This Row],[Input]],Table1[[#This Row],[Direction]],""),VALUE(IF(LEN(_xlpm.steps)&gt;2,RIGHT(_xlpm.steps,2),_xlpm.steps)))</f>
        <v>1</v>
      </c>
      <c r="D3653">
        <f>_xlfn.LET(_xlpm.dir,Table1[[#This Row],[Direction]],
IF(_xlpm.dir="L",
    IF(F3652-Table1[[#This Row],[Steps]]&lt;0,100+(F3652-Table1[[#This Row],[Steps]]),F3652-Table1[[#This Row],[Steps]]),
))</f>
        <v>0</v>
      </c>
      <c r="E3653">
        <f>_xlfn.LET(_xlpm.dir,Table1[[#This Row],[Direction]],
IF(_xlpm.dir="R",
    IF(F3652+Table1[[#This Row],[Steps]]&gt;99,(F3652+Table1[[#This Row],[Steps]])-100,F3652+Table1[[#This Row],[Steps]]),
))</f>
        <v>0</v>
      </c>
      <c r="F3653">
        <f>IF(Table1[[#This Row],[New Pos L]]&lt;&gt;0,Table1[[#This Row],[New Pos L]],Table1[[#This Row],[New Pos R]])</f>
        <v>0</v>
      </c>
    </row>
    <row r="3654" spans="1:6" ht="16" x14ac:dyDescent="0.2">
      <c r="A3654" s="1" t="s">
        <v>192</v>
      </c>
      <c r="B3654" t="str">
        <f>LEFT(Table1[[#This Row],[Input]],1)</f>
        <v>L</v>
      </c>
      <c r="C3654">
        <f>_xlfn.LET(_xlpm.steps,SUBSTITUTE(Table1[[#This Row],[Input]],Table1[[#This Row],[Direction]],""),VALUE(IF(LEN(_xlpm.steps)&gt;2,RIGHT(_xlpm.steps,2),_xlpm.steps)))</f>
        <v>52</v>
      </c>
      <c r="D3654">
        <f>_xlfn.LET(_xlpm.dir,Table1[[#This Row],[Direction]],
IF(_xlpm.dir="L",
    IF(F3653-Table1[[#This Row],[Steps]]&lt;0,100+(F3653-Table1[[#This Row],[Steps]]),F3653-Table1[[#This Row],[Steps]]),
))</f>
        <v>48</v>
      </c>
      <c r="E3654">
        <f>_xlfn.LET(_xlpm.dir,Table1[[#This Row],[Direction]],
IF(_xlpm.dir="R",
    IF(F3653+Table1[[#This Row],[Steps]]&gt;99,(F3653+Table1[[#This Row],[Steps]])-100,F3653+Table1[[#This Row],[Steps]]),
))</f>
        <v>0</v>
      </c>
      <c r="F3654">
        <f>IF(Table1[[#This Row],[New Pos L]]&lt;&gt;0,Table1[[#This Row],[New Pos L]],Table1[[#This Row],[New Pos R]])</f>
        <v>48</v>
      </c>
    </row>
    <row r="3655" spans="1:6" ht="16" x14ac:dyDescent="0.2">
      <c r="A3655" s="1" t="s">
        <v>71</v>
      </c>
      <c r="B3655" t="str">
        <f>LEFT(Table1[[#This Row],[Input]],1)</f>
        <v>R</v>
      </c>
      <c r="C3655">
        <f>_xlfn.LET(_xlpm.steps,SUBSTITUTE(Table1[[#This Row],[Input]],Table1[[#This Row],[Direction]],""),VALUE(IF(LEN(_xlpm.steps)&gt;2,RIGHT(_xlpm.steps,2),_xlpm.steps)))</f>
        <v>23</v>
      </c>
      <c r="D3655">
        <f>_xlfn.LET(_xlpm.dir,Table1[[#This Row],[Direction]],
IF(_xlpm.dir="L",
    IF(F3654-Table1[[#This Row],[Steps]]&lt;0,100+(F3654-Table1[[#This Row],[Steps]]),F3654-Table1[[#This Row],[Steps]]),
))</f>
        <v>0</v>
      </c>
      <c r="E3655">
        <f>_xlfn.LET(_xlpm.dir,Table1[[#This Row],[Direction]],
IF(_xlpm.dir="R",
    IF(F3654+Table1[[#This Row],[Steps]]&gt;99,(F3654+Table1[[#This Row],[Steps]])-100,F3654+Table1[[#This Row],[Steps]]),
))</f>
        <v>71</v>
      </c>
      <c r="F3655">
        <f>IF(Table1[[#This Row],[New Pos L]]&lt;&gt;0,Table1[[#This Row],[New Pos L]],Table1[[#This Row],[New Pos R]])</f>
        <v>71</v>
      </c>
    </row>
    <row r="3656" spans="1:6" ht="16" x14ac:dyDescent="0.2">
      <c r="A3656" s="1" t="s">
        <v>94</v>
      </c>
      <c r="B3656" t="str">
        <f>LEFT(Table1[[#This Row],[Input]],1)</f>
        <v>L</v>
      </c>
      <c r="C3656">
        <f>_xlfn.LET(_xlpm.steps,SUBSTITUTE(Table1[[#This Row],[Input]],Table1[[#This Row],[Direction]],""),VALUE(IF(LEN(_xlpm.steps)&gt;2,RIGHT(_xlpm.steps,2),_xlpm.steps)))</f>
        <v>71</v>
      </c>
      <c r="D3656">
        <f>_xlfn.LET(_xlpm.dir,Table1[[#This Row],[Direction]],
IF(_xlpm.dir="L",
    IF(F3655-Table1[[#This Row],[Steps]]&lt;0,100+(F3655-Table1[[#This Row],[Steps]]),F3655-Table1[[#This Row],[Steps]]),
))</f>
        <v>0</v>
      </c>
      <c r="E3656">
        <f>_xlfn.LET(_xlpm.dir,Table1[[#This Row],[Direction]],
IF(_xlpm.dir="R",
    IF(F3655+Table1[[#This Row],[Steps]]&gt;99,(F3655+Table1[[#This Row],[Steps]])-100,F3655+Table1[[#This Row],[Steps]]),
))</f>
        <v>0</v>
      </c>
      <c r="F3656">
        <f>IF(Table1[[#This Row],[New Pos L]]&lt;&gt;0,Table1[[#This Row],[New Pos L]],Table1[[#This Row],[New Pos R]])</f>
        <v>0</v>
      </c>
    </row>
    <row r="3657" spans="1:6" ht="16" x14ac:dyDescent="0.2">
      <c r="A3657" s="1" t="s">
        <v>127</v>
      </c>
      <c r="B3657" t="str">
        <f>LEFT(Table1[[#This Row],[Input]],1)</f>
        <v>L</v>
      </c>
      <c r="C3657">
        <f>_xlfn.LET(_xlpm.steps,SUBSTITUTE(Table1[[#This Row],[Input]],Table1[[#This Row],[Direction]],""),VALUE(IF(LEN(_xlpm.steps)&gt;2,RIGHT(_xlpm.steps,2),_xlpm.steps)))</f>
        <v>62</v>
      </c>
      <c r="D3657">
        <f>_xlfn.LET(_xlpm.dir,Table1[[#This Row],[Direction]],
IF(_xlpm.dir="L",
    IF(F3656-Table1[[#This Row],[Steps]]&lt;0,100+(F3656-Table1[[#This Row],[Steps]]),F3656-Table1[[#This Row],[Steps]]),
))</f>
        <v>38</v>
      </c>
      <c r="E3657">
        <f>_xlfn.LET(_xlpm.dir,Table1[[#This Row],[Direction]],
IF(_xlpm.dir="R",
    IF(F3656+Table1[[#This Row],[Steps]]&gt;99,(F3656+Table1[[#This Row],[Steps]])-100,F3656+Table1[[#This Row],[Steps]]),
))</f>
        <v>0</v>
      </c>
      <c r="F3657">
        <f>IF(Table1[[#This Row],[New Pos L]]&lt;&gt;0,Table1[[#This Row],[New Pos L]],Table1[[#This Row],[New Pos R]])</f>
        <v>38</v>
      </c>
    </row>
    <row r="3658" spans="1:6" ht="16" x14ac:dyDescent="0.2">
      <c r="A3658" s="1" t="s">
        <v>775</v>
      </c>
      <c r="B3658" t="str">
        <f>LEFT(Table1[[#This Row],[Input]],1)</f>
        <v>L</v>
      </c>
      <c r="C3658">
        <f>_xlfn.LET(_xlpm.steps,SUBSTITUTE(Table1[[#This Row],[Input]],Table1[[#This Row],[Direction]],""),VALUE(IF(LEN(_xlpm.steps)&gt;2,RIGHT(_xlpm.steps,2),_xlpm.steps)))</f>
        <v>52</v>
      </c>
      <c r="D3658">
        <f>_xlfn.LET(_xlpm.dir,Table1[[#This Row],[Direction]],
IF(_xlpm.dir="L",
    IF(F3657-Table1[[#This Row],[Steps]]&lt;0,100+(F3657-Table1[[#This Row],[Steps]]),F3657-Table1[[#This Row],[Steps]]),
))</f>
        <v>86</v>
      </c>
      <c r="E3658">
        <f>_xlfn.LET(_xlpm.dir,Table1[[#This Row],[Direction]],
IF(_xlpm.dir="R",
    IF(F3657+Table1[[#This Row],[Steps]]&gt;99,(F3657+Table1[[#This Row],[Steps]])-100,F3657+Table1[[#This Row],[Steps]]),
))</f>
        <v>0</v>
      </c>
      <c r="F3658">
        <f>IF(Table1[[#This Row],[New Pos L]]&lt;&gt;0,Table1[[#This Row],[New Pos L]],Table1[[#This Row],[New Pos R]])</f>
        <v>86</v>
      </c>
    </row>
    <row r="3659" spans="1:6" ht="16" x14ac:dyDescent="0.2">
      <c r="A3659" s="1" t="s">
        <v>776</v>
      </c>
      <c r="B3659" t="str">
        <f>LEFT(Table1[[#This Row],[Input]],1)</f>
        <v>L</v>
      </c>
      <c r="C3659">
        <f>_xlfn.LET(_xlpm.steps,SUBSTITUTE(Table1[[#This Row],[Input]],Table1[[#This Row],[Direction]],""),VALUE(IF(LEN(_xlpm.steps)&gt;2,RIGHT(_xlpm.steps,2),_xlpm.steps)))</f>
        <v>86</v>
      </c>
      <c r="D3659">
        <f>_xlfn.LET(_xlpm.dir,Table1[[#This Row],[Direction]],
IF(_xlpm.dir="L",
    IF(F3658-Table1[[#This Row],[Steps]]&lt;0,100+(F3658-Table1[[#This Row],[Steps]]),F3658-Table1[[#This Row],[Steps]]),
))</f>
        <v>0</v>
      </c>
      <c r="E3659">
        <f>_xlfn.LET(_xlpm.dir,Table1[[#This Row],[Direction]],
IF(_xlpm.dir="R",
    IF(F3658+Table1[[#This Row],[Steps]]&gt;99,(F3658+Table1[[#This Row],[Steps]])-100,F3658+Table1[[#This Row],[Steps]]),
))</f>
        <v>0</v>
      </c>
      <c r="F3659">
        <f>IF(Table1[[#This Row],[New Pos L]]&lt;&gt;0,Table1[[#This Row],[New Pos L]],Table1[[#This Row],[New Pos R]])</f>
        <v>0</v>
      </c>
    </row>
    <row r="3660" spans="1:6" ht="16" x14ac:dyDescent="0.2">
      <c r="A3660" s="1" t="s">
        <v>777</v>
      </c>
      <c r="B3660" t="str">
        <f>LEFT(Table1[[#This Row],[Input]],1)</f>
        <v>R</v>
      </c>
      <c r="C3660">
        <f>_xlfn.LET(_xlpm.steps,SUBSTITUTE(Table1[[#This Row],[Input]],Table1[[#This Row],[Direction]],""),VALUE(IF(LEN(_xlpm.steps)&gt;2,RIGHT(_xlpm.steps,2),_xlpm.steps)))</f>
        <v>5</v>
      </c>
      <c r="D3660">
        <f>_xlfn.LET(_xlpm.dir,Table1[[#This Row],[Direction]],
IF(_xlpm.dir="L",
    IF(F3659-Table1[[#This Row],[Steps]]&lt;0,100+(F3659-Table1[[#This Row],[Steps]]),F3659-Table1[[#This Row],[Steps]]),
))</f>
        <v>0</v>
      </c>
      <c r="E3660">
        <f>_xlfn.LET(_xlpm.dir,Table1[[#This Row],[Direction]],
IF(_xlpm.dir="R",
    IF(F3659+Table1[[#This Row],[Steps]]&gt;99,(F3659+Table1[[#This Row],[Steps]])-100,F3659+Table1[[#This Row],[Steps]]),
))</f>
        <v>5</v>
      </c>
      <c r="F3660">
        <f>IF(Table1[[#This Row],[New Pos L]]&lt;&gt;0,Table1[[#This Row],[New Pos L]],Table1[[#This Row],[New Pos R]])</f>
        <v>5</v>
      </c>
    </row>
    <row r="3661" spans="1:6" ht="16" x14ac:dyDescent="0.2">
      <c r="A3661" s="1" t="s">
        <v>201</v>
      </c>
      <c r="B3661" t="str">
        <f>LEFT(Table1[[#This Row],[Input]],1)</f>
        <v>R</v>
      </c>
      <c r="C3661">
        <f>_xlfn.LET(_xlpm.steps,SUBSTITUTE(Table1[[#This Row],[Input]],Table1[[#This Row],[Direction]],""),VALUE(IF(LEN(_xlpm.steps)&gt;2,RIGHT(_xlpm.steps,2),_xlpm.steps)))</f>
        <v>31</v>
      </c>
      <c r="D3661">
        <f>_xlfn.LET(_xlpm.dir,Table1[[#This Row],[Direction]],
IF(_xlpm.dir="L",
    IF(F3660-Table1[[#This Row],[Steps]]&lt;0,100+(F3660-Table1[[#This Row],[Steps]]),F3660-Table1[[#This Row],[Steps]]),
))</f>
        <v>0</v>
      </c>
      <c r="E3661">
        <f>_xlfn.LET(_xlpm.dir,Table1[[#This Row],[Direction]],
IF(_xlpm.dir="R",
    IF(F3660+Table1[[#This Row],[Steps]]&gt;99,(F3660+Table1[[#This Row],[Steps]])-100,F3660+Table1[[#This Row],[Steps]]),
))</f>
        <v>36</v>
      </c>
      <c r="F3661">
        <f>IF(Table1[[#This Row],[New Pos L]]&lt;&gt;0,Table1[[#This Row],[New Pos L]],Table1[[#This Row],[New Pos R]])</f>
        <v>36</v>
      </c>
    </row>
    <row r="3662" spans="1:6" ht="16" x14ac:dyDescent="0.2">
      <c r="A3662" s="1" t="s">
        <v>21</v>
      </c>
      <c r="B3662" t="str">
        <f>LEFT(Table1[[#This Row],[Input]],1)</f>
        <v>L</v>
      </c>
      <c r="C3662">
        <f>_xlfn.LET(_xlpm.steps,SUBSTITUTE(Table1[[#This Row],[Input]],Table1[[#This Row],[Direction]],""),VALUE(IF(LEN(_xlpm.steps)&gt;2,RIGHT(_xlpm.steps,2),_xlpm.steps)))</f>
        <v>36</v>
      </c>
      <c r="D3662">
        <f>_xlfn.LET(_xlpm.dir,Table1[[#This Row],[Direction]],
IF(_xlpm.dir="L",
    IF(F3661-Table1[[#This Row],[Steps]]&lt;0,100+(F3661-Table1[[#This Row],[Steps]]),F3661-Table1[[#This Row],[Steps]]),
))</f>
        <v>0</v>
      </c>
      <c r="E3662">
        <f>_xlfn.LET(_xlpm.dir,Table1[[#This Row],[Direction]],
IF(_xlpm.dir="R",
    IF(F3661+Table1[[#This Row],[Steps]]&gt;99,(F3661+Table1[[#This Row],[Steps]])-100,F3661+Table1[[#This Row],[Steps]]),
))</f>
        <v>0</v>
      </c>
      <c r="F3662">
        <f>IF(Table1[[#This Row],[New Pos L]]&lt;&gt;0,Table1[[#This Row],[New Pos L]],Table1[[#This Row],[New Pos R]])</f>
        <v>0</v>
      </c>
    </row>
    <row r="3663" spans="1:6" ht="16" x14ac:dyDescent="0.2">
      <c r="A3663" s="1" t="s">
        <v>46</v>
      </c>
      <c r="B3663" t="str">
        <f>LEFT(Table1[[#This Row],[Input]],1)</f>
        <v>L</v>
      </c>
      <c r="C3663">
        <f>_xlfn.LET(_xlpm.steps,SUBSTITUTE(Table1[[#This Row],[Input]],Table1[[#This Row],[Direction]],""),VALUE(IF(LEN(_xlpm.steps)&gt;2,RIGHT(_xlpm.steps,2),_xlpm.steps)))</f>
        <v>97</v>
      </c>
      <c r="D3663">
        <f>_xlfn.LET(_xlpm.dir,Table1[[#This Row],[Direction]],
IF(_xlpm.dir="L",
    IF(F3662-Table1[[#This Row],[Steps]]&lt;0,100+(F3662-Table1[[#This Row],[Steps]]),F3662-Table1[[#This Row],[Steps]]),
))</f>
        <v>3</v>
      </c>
      <c r="E3663">
        <f>_xlfn.LET(_xlpm.dir,Table1[[#This Row],[Direction]],
IF(_xlpm.dir="R",
    IF(F3662+Table1[[#This Row],[Steps]]&gt;99,(F3662+Table1[[#This Row],[Steps]])-100,F3662+Table1[[#This Row],[Steps]]),
))</f>
        <v>0</v>
      </c>
      <c r="F3663">
        <f>IF(Table1[[#This Row],[New Pos L]]&lt;&gt;0,Table1[[#This Row],[New Pos L]],Table1[[#This Row],[New Pos R]])</f>
        <v>3</v>
      </c>
    </row>
    <row r="3664" spans="1:6" ht="16" x14ac:dyDescent="0.2">
      <c r="A3664" s="1" t="s">
        <v>256</v>
      </c>
      <c r="B3664" t="str">
        <f>LEFT(Table1[[#This Row],[Input]],1)</f>
        <v>R</v>
      </c>
      <c r="C3664">
        <f>_xlfn.LET(_xlpm.steps,SUBSTITUTE(Table1[[#This Row],[Input]],Table1[[#This Row],[Direction]],""),VALUE(IF(LEN(_xlpm.steps)&gt;2,RIGHT(_xlpm.steps,2),_xlpm.steps)))</f>
        <v>13</v>
      </c>
      <c r="D3664">
        <f>_xlfn.LET(_xlpm.dir,Table1[[#This Row],[Direction]],
IF(_xlpm.dir="L",
    IF(F3663-Table1[[#This Row],[Steps]]&lt;0,100+(F3663-Table1[[#This Row],[Steps]]),F3663-Table1[[#This Row],[Steps]]),
))</f>
        <v>0</v>
      </c>
      <c r="E3664">
        <f>_xlfn.LET(_xlpm.dir,Table1[[#This Row],[Direction]],
IF(_xlpm.dir="R",
    IF(F3663+Table1[[#This Row],[Steps]]&gt;99,(F3663+Table1[[#This Row],[Steps]])-100,F3663+Table1[[#This Row],[Steps]]),
))</f>
        <v>16</v>
      </c>
      <c r="F3664">
        <f>IF(Table1[[#This Row],[New Pos L]]&lt;&gt;0,Table1[[#This Row],[New Pos L]],Table1[[#This Row],[New Pos R]])</f>
        <v>16</v>
      </c>
    </row>
    <row r="3665" spans="1:6" ht="16" x14ac:dyDescent="0.2">
      <c r="A3665" s="1" t="s">
        <v>157</v>
      </c>
      <c r="B3665" t="str">
        <f>LEFT(Table1[[#This Row],[Input]],1)</f>
        <v>R</v>
      </c>
      <c r="C3665">
        <f>_xlfn.LET(_xlpm.steps,SUBSTITUTE(Table1[[#This Row],[Input]],Table1[[#This Row],[Direction]],""),VALUE(IF(LEN(_xlpm.steps)&gt;2,RIGHT(_xlpm.steps,2),_xlpm.steps)))</f>
        <v>68</v>
      </c>
      <c r="D3665">
        <f>_xlfn.LET(_xlpm.dir,Table1[[#This Row],[Direction]],
IF(_xlpm.dir="L",
    IF(F3664-Table1[[#This Row],[Steps]]&lt;0,100+(F3664-Table1[[#This Row],[Steps]]),F3664-Table1[[#This Row],[Steps]]),
))</f>
        <v>0</v>
      </c>
      <c r="E3665">
        <f>_xlfn.LET(_xlpm.dir,Table1[[#This Row],[Direction]],
IF(_xlpm.dir="R",
    IF(F3664+Table1[[#This Row],[Steps]]&gt;99,(F3664+Table1[[#This Row],[Steps]])-100,F3664+Table1[[#This Row],[Steps]]),
))</f>
        <v>84</v>
      </c>
      <c r="F3665">
        <f>IF(Table1[[#This Row],[New Pos L]]&lt;&gt;0,Table1[[#This Row],[New Pos L]],Table1[[#This Row],[New Pos R]])</f>
        <v>84</v>
      </c>
    </row>
    <row r="3666" spans="1:6" ht="16" x14ac:dyDescent="0.2">
      <c r="A3666" s="1" t="s">
        <v>255</v>
      </c>
      <c r="B3666" t="str">
        <f>LEFT(Table1[[#This Row],[Input]],1)</f>
        <v>R</v>
      </c>
      <c r="C3666">
        <f>_xlfn.LET(_xlpm.steps,SUBSTITUTE(Table1[[#This Row],[Input]],Table1[[#This Row],[Direction]],""),VALUE(IF(LEN(_xlpm.steps)&gt;2,RIGHT(_xlpm.steps,2),_xlpm.steps)))</f>
        <v>16</v>
      </c>
      <c r="D3666">
        <f>_xlfn.LET(_xlpm.dir,Table1[[#This Row],[Direction]],
IF(_xlpm.dir="L",
    IF(F3665-Table1[[#This Row],[Steps]]&lt;0,100+(F3665-Table1[[#This Row],[Steps]]),F3665-Table1[[#This Row],[Steps]]),
))</f>
        <v>0</v>
      </c>
      <c r="E3666">
        <f>_xlfn.LET(_xlpm.dir,Table1[[#This Row],[Direction]],
IF(_xlpm.dir="R",
    IF(F3665+Table1[[#This Row],[Steps]]&gt;99,(F3665+Table1[[#This Row],[Steps]])-100,F3665+Table1[[#This Row],[Steps]]),
))</f>
        <v>0</v>
      </c>
      <c r="F3666">
        <f>IF(Table1[[#This Row],[New Pos L]]&lt;&gt;0,Table1[[#This Row],[New Pos L]],Table1[[#This Row],[New Pos R]])</f>
        <v>0</v>
      </c>
    </row>
    <row r="3667" spans="1:6" ht="16" x14ac:dyDescent="0.2">
      <c r="A3667" s="1" t="s">
        <v>217</v>
      </c>
      <c r="B3667" t="str">
        <f>LEFT(Table1[[#This Row],[Input]],1)</f>
        <v>R</v>
      </c>
      <c r="C3667">
        <f>_xlfn.LET(_xlpm.steps,SUBSTITUTE(Table1[[#This Row],[Input]],Table1[[#This Row],[Direction]],""),VALUE(IF(LEN(_xlpm.steps)&gt;2,RIGHT(_xlpm.steps,2),_xlpm.steps)))</f>
        <v>91</v>
      </c>
      <c r="D3667">
        <f>_xlfn.LET(_xlpm.dir,Table1[[#This Row],[Direction]],
IF(_xlpm.dir="L",
    IF(F3666-Table1[[#This Row],[Steps]]&lt;0,100+(F3666-Table1[[#This Row],[Steps]]),F3666-Table1[[#This Row],[Steps]]),
))</f>
        <v>0</v>
      </c>
      <c r="E3667">
        <f>_xlfn.LET(_xlpm.dir,Table1[[#This Row],[Direction]],
IF(_xlpm.dir="R",
    IF(F3666+Table1[[#This Row],[Steps]]&gt;99,(F3666+Table1[[#This Row],[Steps]])-100,F3666+Table1[[#This Row],[Steps]]),
))</f>
        <v>91</v>
      </c>
      <c r="F3667">
        <f>IF(Table1[[#This Row],[New Pos L]]&lt;&gt;0,Table1[[#This Row],[New Pos L]],Table1[[#This Row],[New Pos R]])</f>
        <v>91</v>
      </c>
    </row>
    <row r="3668" spans="1:6" ht="16" x14ac:dyDescent="0.2">
      <c r="A3668" s="1" t="s">
        <v>411</v>
      </c>
      <c r="B3668" t="str">
        <f>LEFT(Table1[[#This Row],[Input]],1)</f>
        <v>R</v>
      </c>
      <c r="C3668">
        <f>_xlfn.LET(_xlpm.steps,SUBSTITUTE(Table1[[#This Row],[Input]],Table1[[#This Row],[Direction]],""),VALUE(IF(LEN(_xlpm.steps)&gt;2,RIGHT(_xlpm.steps,2),_xlpm.steps)))</f>
        <v>39</v>
      </c>
      <c r="D3668">
        <f>_xlfn.LET(_xlpm.dir,Table1[[#This Row],[Direction]],
IF(_xlpm.dir="L",
    IF(F3667-Table1[[#This Row],[Steps]]&lt;0,100+(F3667-Table1[[#This Row],[Steps]]),F3667-Table1[[#This Row],[Steps]]),
))</f>
        <v>0</v>
      </c>
      <c r="E3668">
        <f>_xlfn.LET(_xlpm.dir,Table1[[#This Row],[Direction]],
IF(_xlpm.dir="R",
    IF(F3667+Table1[[#This Row],[Steps]]&gt;99,(F3667+Table1[[#This Row],[Steps]])-100,F3667+Table1[[#This Row],[Steps]]),
))</f>
        <v>30</v>
      </c>
      <c r="F3668">
        <f>IF(Table1[[#This Row],[New Pos L]]&lt;&gt;0,Table1[[#This Row],[New Pos L]],Table1[[#This Row],[New Pos R]])</f>
        <v>30</v>
      </c>
    </row>
    <row r="3669" spans="1:6" ht="16" x14ac:dyDescent="0.2">
      <c r="A3669" s="1" t="s">
        <v>336</v>
      </c>
      <c r="B3669" t="str">
        <f>LEFT(Table1[[#This Row],[Input]],1)</f>
        <v>R</v>
      </c>
      <c r="C3669">
        <f>_xlfn.LET(_xlpm.steps,SUBSTITUTE(Table1[[#This Row],[Input]],Table1[[#This Row],[Direction]],""),VALUE(IF(LEN(_xlpm.steps)&gt;2,RIGHT(_xlpm.steps,2),_xlpm.steps)))</f>
        <v>95</v>
      </c>
      <c r="D3669">
        <f>_xlfn.LET(_xlpm.dir,Table1[[#This Row],[Direction]],
IF(_xlpm.dir="L",
    IF(F3668-Table1[[#This Row],[Steps]]&lt;0,100+(F3668-Table1[[#This Row],[Steps]]),F3668-Table1[[#This Row],[Steps]]),
))</f>
        <v>0</v>
      </c>
      <c r="E3669">
        <f>_xlfn.LET(_xlpm.dir,Table1[[#This Row],[Direction]],
IF(_xlpm.dir="R",
    IF(F3668+Table1[[#This Row],[Steps]]&gt;99,(F3668+Table1[[#This Row],[Steps]])-100,F3668+Table1[[#This Row],[Steps]]),
))</f>
        <v>25</v>
      </c>
      <c r="F3669">
        <f>IF(Table1[[#This Row],[New Pos L]]&lt;&gt;0,Table1[[#This Row],[New Pos L]],Table1[[#This Row],[New Pos R]])</f>
        <v>25</v>
      </c>
    </row>
    <row r="3670" spans="1:6" ht="16" x14ac:dyDescent="0.2">
      <c r="A3670" s="1" t="s">
        <v>122</v>
      </c>
      <c r="B3670" t="str">
        <f>LEFT(Table1[[#This Row],[Input]],1)</f>
        <v>R</v>
      </c>
      <c r="C3670">
        <f>_xlfn.LET(_xlpm.steps,SUBSTITUTE(Table1[[#This Row],[Input]],Table1[[#This Row],[Direction]],""),VALUE(IF(LEN(_xlpm.steps)&gt;2,RIGHT(_xlpm.steps,2),_xlpm.steps)))</f>
        <v>75</v>
      </c>
      <c r="D3670">
        <f>_xlfn.LET(_xlpm.dir,Table1[[#This Row],[Direction]],
IF(_xlpm.dir="L",
    IF(F3669-Table1[[#This Row],[Steps]]&lt;0,100+(F3669-Table1[[#This Row],[Steps]]),F3669-Table1[[#This Row],[Steps]]),
))</f>
        <v>0</v>
      </c>
      <c r="E3670">
        <f>_xlfn.LET(_xlpm.dir,Table1[[#This Row],[Direction]],
IF(_xlpm.dir="R",
    IF(F3669+Table1[[#This Row],[Steps]]&gt;99,(F3669+Table1[[#This Row],[Steps]])-100,F3669+Table1[[#This Row],[Steps]]),
))</f>
        <v>0</v>
      </c>
      <c r="F3670">
        <f>IF(Table1[[#This Row],[New Pos L]]&lt;&gt;0,Table1[[#This Row],[New Pos L]],Table1[[#This Row],[New Pos R]])</f>
        <v>0</v>
      </c>
    </row>
    <row r="3671" spans="1:6" ht="16" x14ac:dyDescent="0.2">
      <c r="A3671" s="1" t="s">
        <v>44</v>
      </c>
      <c r="B3671" t="str">
        <f>LEFT(Table1[[#This Row],[Input]],1)</f>
        <v>R</v>
      </c>
      <c r="C3671">
        <f>_xlfn.LET(_xlpm.steps,SUBSTITUTE(Table1[[#This Row],[Input]],Table1[[#This Row],[Direction]],""),VALUE(IF(LEN(_xlpm.steps)&gt;2,RIGHT(_xlpm.steps,2),_xlpm.steps)))</f>
        <v>96</v>
      </c>
      <c r="D3671">
        <f>_xlfn.LET(_xlpm.dir,Table1[[#This Row],[Direction]],
IF(_xlpm.dir="L",
    IF(F3670-Table1[[#This Row],[Steps]]&lt;0,100+(F3670-Table1[[#This Row],[Steps]]),F3670-Table1[[#This Row],[Steps]]),
))</f>
        <v>0</v>
      </c>
      <c r="E3671">
        <f>_xlfn.LET(_xlpm.dir,Table1[[#This Row],[Direction]],
IF(_xlpm.dir="R",
    IF(F3670+Table1[[#This Row],[Steps]]&gt;99,(F3670+Table1[[#This Row],[Steps]])-100,F3670+Table1[[#This Row],[Steps]]),
))</f>
        <v>96</v>
      </c>
      <c r="F3671">
        <f>IF(Table1[[#This Row],[New Pos L]]&lt;&gt;0,Table1[[#This Row],[New Pos L]],Table1[[#This Row],[New Pos R]])</f>
        <v>96</v>
      </c>
    </row>
    <row r="3672" spans="1:6" ht="16" x14ac:dyDescent="0.2">
      <c r="A3672" s="1" t="s">
        <v>353</v>
      </c>
      <c r="B3672" t="str">
        <f>LEFT(Table1[[#This Row],[Input]],1)</f>
        <v>R</v>
      </c>
      <c r="C3672">
        <f>_xlfn.LET(_xlpm.steps,SUBSTITUTE(Table1[[#This Row],[Input]],Table1[[#This Row],[Direction]],""),VALUE(IF(LEN(_xlpm.steps)&gt;2,RIGHT(_xlpm.steps,2),_xlpm.steps)))</f>
        <v>7</v>
      </c>
      <c r="D3672">
        <f>_xlfn.LET(_xlpm.dir,Table1[[#This Row],[Direction]],
IF(_xlpm.dir="L",
    IF(F3671-Table1[[#This Row],[Steps]]&lt;0,100+(F3671-Table1[[#This Row],[Steps]]),F3671-Table1[[#This Row],[Steps]]),
))</f>
        <v>0</v>
      </c>
      <c r="E3672">
        <f>_xlfn.LET(_xlpm.dir,Table1[[#This Row],[Direction]],
IF(_xlpm.dir="R",
    IF(F3671+Table1[[#This Row],[Steps]]&gt;99,(F3671+Table1[[#This Row],[Steps]])-100,F3671+Table1[[#This Row],[Steps]]),
))</f>
        <v>3</v>
      </c>
      <c r="F3672">
        <f>IF(Table1[[#This Row],[New Pos L]]&lt;&gt;0,Table1[[#This Row],[New Pos L]],Table1[[#This Row],[New Pos R]])</f>
        <v>3</v>
      </c>
    </row>
    <row r="3673" spans="1:6" ht="16" x14ac:dyDescent="0.2">
      <c r="A3673" s="1" t="s">
        <v>778</v>
      </c>
      <c r="B3673" t="str">
        <f>LEFT(Table1[[#This Row],[Input]],1)</f>
        <v>L</v>
      </c>
      <c r="C3673">
        <f>_xlfn.LET(_xlpm.steps,SUBSTITUTE(Table1[[#This Row],[Input]],Table1[[#This Row],[Direction]],""),VALUE(IF(LEN(_xlpm.steps)&gt;2,RIGHT(_xlpm.steps,2),_xlpm.steps)))</f>
        <v>3</v>
      </c>
      <c r="D3673">
        <f>_xlfn.LET(_xlpm.dir,Table1[[#This Row],[Direction]],
IF(_xlpm.dir="L",
    IF(F3672-Table1[[#This Row],[Steps]]&lt;0,100+(F3672-Table1[[#This Row],[Steps]]),F3672-Table1[[#This Row],[Steps]]),
))</f>
        <v>0</v>
      </c>
      <c r="E3673">
        <f>_xlfn.LET(_xlpm.dir,Table1[[#This Row],[Direction]],
IF(_xlpm.dir="R",
    IF(F3672+Table1[[#This Row],[Steps]]&gt;99,(F3672+Table1[[#This Row],[Steps]])-100,F3672+Table1[[#This Row],[Steps]]),
))</f>
        <v>0</v>
      </c>
      <c r="F3673">
        <f>IF(Table1[[#This Row],[New Pos L]]&lt;&gt;0,Table1[[#This Row],[New Pos L]],Table1[[#This Row],[New Pos R]])</f>
        <v>0</v>
      </c>
    </row>
    <row r="3674" spans="1:6" ht="16" x14ac:dyDescent="0.2">
      <c r="A3674" s="1" t="s">
        <v>245</v>
      </c>
      <c r="B3674" t="str">
        <f>LEFT(Table1[[#This Row],[Input]],1)</f>
        <v>R</v>
      </c>
      <c r="C3674">
        <f>_xlfn.LET(_xlpm.steps,SUBSTITUTE(Table1[[#This Row],[Input]],Table1[[#This Row],[Direction]],""),VALUE(IF(LEN(_xlpm.steps)&gt;2,RIGHT(_xlpm.steps,2),_xlpm.steps)))</f>
        <v>71</v>
      </c>
      <c r="D3674">
        <f>_xlfn.LET(_xlpm.dir,Table1[[#This Row],[Direction]],
IF(_xlpm.dir="L",
    IF(F3673-Table1[[#This Row],[Steps]]&lt;0,100+(F3673-Table1[[#This Row],[Steps]]),F3673-Table1[[#This Row],[Steps]]),
))</f>
        <v>0</v>
      </c>
      <c r="E3674">
        <f>_xlfn.LET(_xlpm.dir,Table1[[#This Row],[Direction]],
IF(_xlpm.dir="R",
    IF(F3673+Table1[[#This Row],[Steps]]&gt;99,(F3673+Table1[[#This Row],[Steps]])-100,F3673+Table1[[#This Row],[Steps]]),
))</f>
        <v>71</v>
      </c>
      <c r="F3674">
        <f>IF(Table1[[#This Row],[New Pos L]]&lt;&gt;0,Table1[[#This Row],[New Pos L]],Table1[[#This Row],[New Pos R]])</f>
        <v>71</v>
      </c>
    </row>
    <row r="3675" spans="1:6" ht="16" x14ac:dyDescent="0.2">
      <c r="A3675" s="1" t="s">
        <v>57</v>
      </c>
      <c r="B3675" t="str">
        <f>LEFT(Table1[[#This Row],[Input]],1)</f>
        <v>R</v>
      </c>
      <c r="C3675">
        <f>_xlfn.LET(_xlpm.steps,SUBSTITUTE(Table1[[#This Row],[Input]],Table1[[#This Row],[Direction]],""),VALUE(IF(LEN(_xlpm.steps)&gt;2,RIGHT(_xlpm.steps,2),_xlpm.steps)))</f>
        <v>29</v>
      </c>
      <c r="D3675">
        <f>_xlfn.LET(_xlpm.dir,Table1[[#This Row],[Direction]],
IF(_xlpm.dir="L",
    IF(F3674-Table1[[#This Row],[Steps]]&lt;0,100+(F3674-Table1[[#This Row],[Steps]]),F3674-Table1[[#This Row],[Steps]]),
))</f>
        <v>0</v>
      </c>
      <c r="E3675">
        <f>_xlfn.LET(_xlpm.dir,Table1[[#This Row],[Direction]],
IF(_xlpm.dir="R",
    IF(F3674+Table1[[#This Row],[Steps]]&gt;99,(F3674+Table1[[#This Row],[Steps]])-100,F3674+Table1[[#This Row],[Steps]]),
))</f>
        <v>0</v>
      </c>
      <c r="F3675">
        <f>IF(Table1[[#This Row],[New Pos L]]&lt;&gt;0,Table1[[#This Row],[New Pos L]],Table1[[#This Row],[New Pos R]])</f>
        <v>0</v>
      </c>
    </row>
    <row r="3676" spans="1:6" ht="16" x14ac:dyDescent="0.2">
      <c r="A3676" s="1" t="s">
        <v>48</v>
      </c>
      <c r="B3676" t="str">
        <f>LEFT(Table1[[#This Row],[Input]],1)</f>
        <v>R</v>
      </c>
      <c r="C3676">
        <f>_xlfn.LET(_xlpm.steps,SUBSTITUTE(Table1[[#This Row],[Input]],Table1[[#This Row],[Direction]],""),VALUE(IF(LEN(_xlpm.steps)&gt;2,RIGHT(_xlpm.steps,2),_xlpm.steps)))</f>
        <v>81</v>
      </c>
      <c r="D3676">
        <f>_xlfn.LET(_xlpm.dir,Table1[[#This Row],[Direction]],
IF(_xlpm.dir="L",
    IF(F3675-Table1[[#This Row],[Steps]]&lt;0,100+(F3675-Table1[[#This Row],[Steps]]),F3675-Table1[[#This Row],[Steps]]),
))</f>
        <v>0</v>
      </c>
      <c r="E3676">
        <f>_xlfn.LET(_xlpm.dir,Table1[[#This Row],[Direction]],
IF(_xlpm.dir="R",
    IF(F3675+Table1[[#This Row],[Steps]]&gt;99,(F3675+Table1[[#This Row],[Steps]])-100,F3675+Table1[[#This Row],[Steps]]),
))</f>
        <v>81</v>
      </c>
      <c r="F3676">
        <f>IF(Table1[[#This Row],[New Pos L]]&lt;&gt;0,Table1[[#This Row],[New Pos L]],Table1[[#This Row],[New Pos R]])</f>
        <v>81</v>
      </c>
    </row>
    <row r="3677" spans="1:6" ht="16" x14ac:dyDescent="0.2">
      <c r="A3677" s="1" t="s">
        <v>23</v>
      </c>
      <c r="B3677" t="str">
        <f>LEFT(Table1[[#This Row],[Input]],1)</f>
        <v>L</v>
      </c>
      <c r="C3677">
        <f>_xlfn.LET(_xlpm.steps,SUBSTITUTE(Table1[[#This Row],[Input]],Table1[[#This Row],[Direction]],""),VALUE(IF(LEN(_xlpm.steps)&gt;2,RIGHT(_xlpm.steps,2),_xlpm.steps)))</f>
        <v>8</v>
      </c>
      <c r="D3677">
        <f>_xlfn.LET(_xlpm.dir,Table1[[#This Row],[Direction]],
IF(_xlpm.dir="L",
    IF(F3676-Table1[[#This Row],[Steps]]&lt;0,100+(F3676-Table1[[#This Row],[Steps]]),F3676-Table1[[#This Row],[Steps]]),
))</f>
        <v>73</v>
      </c>
      <c r="E3677">
        <f>_xlfn.LET(_xlpm.dir,Table1[[#This Row],[Direction]],
IF(_xlpm.dir="R",
    IF(F3676+Table1[[#This Row],[Steps]]&gt;99,(F3676+Table1[[#This Row],[Steps]])-100,F3676+Table1[[#This Row],[Steps]]),
))</f>
        <v>0</v>
      </c>
      <c r="F3677">
        <f>IF(Table1[[#This Row],[New Pos L]]&lt;&gt;0,Table1[[#This Row],[New Pos L]],Table1[[#This Row],[New Pos R]])</f>
        <v>73</v>
      </c>
    </row>
    <row r="3678" spans="1:6" ht="16" x14ac:dyDescent="0.2">
      <c r="A3678" s="1" t="s">
        <v>253</v>
      </c>
      <c r="B3678" t="str">
        <f>LEFT(Table1[[#This Row],[Input]],1)</f>
        <v>R</v>
      </c>
      <c r="C3678">
        <f>_xlfn.LET(_xlpm.steps,SUBSTITUTE(Table1[[#This Row],[Input]],Table1[[#This Row],[Direction]],""),VALUE(IF(LEN(_xlpm.steps)&gt;2,RIGHT(_xlpm.steps,2),_xlpm.steps)))</f>
        <v>94</v>
      </c>
      <c r="D3678">
        <f>_xlfn.LET(_xlpm.dir,Table1[[#This Row],[Direction]],
IF(_xlpm.dir="L",
    IF(F3677-Table1[[#This Row],[Steps]]&lt;0,100+(F3677-Table1[[#This Row],[Steps]]),F3677-Table1[[#This Row],[Steps]]),
))</f>
        <v>0</v>
      </c>
      <c r="E3678">
        <f>_xlfn.LET(_xlpm.dir,Table1[[#This Row],[Direction]],
IF(_xlpm.dir="R",
    IF(F3677+Table1[[#This Row],[Steps]]&gt;99,(F3677+Table1[[#This Row],[Steps]])-100,F3677+Table1[[#This Row],[Steps]]),
))</f>
        <v>67</v>
      </c>
      <c r="F3678">
        <f>IF(Table1[[#This Row],[New Pos L]]&lt;&gt;0,Table1[[#This Row],[New Pos L]],Table1[[#This Row],[New Pos R]])</f>
        <v>67</v>
      </c>
    </row>
    <row r="3679" spans="1:6" ht="16" x14ac:dyDescent="0.2">
      <c r="A3679" s="1" t="s">
        <v>75</v>
      </c>
      <c r="B3679" t="str">
        <f>LEFT(Table1[[#This Row],[Input]],1)</f>
        <v>R</v>
      </c>
      <c r="C3679">
        <f>_xlfn.LET(_xlpm.steps,SUBSTITUTE(Table1[[#This Row],[Input]],Table1[[#This Row],[Direction]],""),VALUE(IF(LEN(_xlpm.steps)&gt;2,RIGHT(_xlpm.steps,2),_xlpm.steps)))</f>
        <v>2</v>
      </c>
      <c r="D3679">
        <f>_xlfn.LET(_xlpm.dir,Table1[[#This Row],[Direction]],
IF(_xlpm.dir="L",
    IF(F3678-Table1[[#This Row],[Steps]]&lt;0,100+(F3678-Table1[[#This Row],[Steps]]),F3678-Table1[[#This Row],[Steps]]),
))</f>
        <v>0</v>
      </c>
      <c r="E3679">
        <f>_xlfn.LET(_xlpm.dir,Table1[[#This Row],[Direction]],
IF(_xlpm.dir="R",
    IF(F3678+Table1[[#This Row],[Steps]]&gt;99,(F3678+Table1[[#This Row],[Steps]])-100,F3678+Table1[[#This Row],[Steps]]),
))</f>
        <v>69</v>
      </c>
      <c r="F3679">
        <f>IF(Table1[[#This Row],[New Pos L]]&lt;&gt;0,Table1[[#This Row],[New Pos L]],Table1[[#This Row],[New Pos R]])</f>
        <v>69</v>
      </c>
    </row>
    <row r="3680" spans="1:6" ht="16" x14ac:dyDescent="0.2">
      <c r="A3680" s="1" t="s">
        <v>252</v>
      </c>
      <c r="B3680" t="str">
        <f>LEFT(Table1[[#This Row],[Input]],1)</f>
        <v>L</v>
      </c>
      <c r="C3680">
        <f>_xlfn.LET(_xlpm.steps,SUBSTITUTE(Table1[[#This Row],[Input]],Table1[[#This Row],[Direction]],""),VALUE(IF(LEN(_xlpm.steps)&gt;2,RIGHT(_xlpm.steps,2),_xlpm.steps)))</f>
        <v>99</v>
      </c>
      <c r="D3680">
        <f>_xlfn.LET(_xlpm.dir,Table1[[#This Row],[Direction]],
IF(_xlpm.dir="L",
    IF(F3679-Table1[[#This Row],[Steps]]&lt;0,100+(F3679-Table1[[#This Row],[Steps]]),F3679-Table1[[#This Row],[Steps]]),
))</f>
        <v>70</v>
      </c>
      <c r="E3680">
        <f>_xlfn.LET(_xlpm.dir,Table1[[#This Row],[Direction]],
IF(_xlpm.dir="R",
    IF(F3679+Table1[[#This Row],[Steps]]&gt;99,(F3679+Table1[[#This Row],[Steps]])-100,F3679+Table1[[#This Row],[Steps]]),
))</f>
        <v>0</v>
      </c>
      <c r="F3680">
        <f>IF(Table1[[#This Row],[New Pos L]]&lt;&gt;0,Table1[[#This Row],[New Pos L]],Table1[[#This Row],[New Pos R]])</f>
        <v>70</v>
      </c>
    </row>
    <row r="3681" spans="1:6" ht="16" x14ac:dyDescent="0.2">
      <c r="A3681" s="1" t="s">
        <v>47</v>
      </c>
      <c r="B3681" t="str">
        <f>LEFT(Table1[[#This Row],[Input]],1)</f>
        <v>R</v>
      </c>
      <c r="C3681">
        <f>_xlfn.LET(_xlpm.steps,SUBSTITUTE(Table1[[#This Row],[Input]],Table1[[#This Row],[Direction]],""),VALUE(IF(LEN(_xlpm.steps)&gt;2,RIGHT(_xlpm.steps,2),_xlpm.steps)))</f>
        <v>97</v>
      </c>
      <c r="D3681">
        <f>_xlfn.LET(_xlpm.dir,Table1[[#This Row],[Direction]],
IF(_xlpm.dir="L",
    IF(F3680-Table1[[#This Row],[Steps]]&lt;0,100+(F3680-Table1[[#This Row],[Steps]]),F3680-Table1[[#This Row],[Steps]]),
))</f>
        <v>0</v>
      </c>
      <c r="E3681">
        <f>_xlfn.LET(_xlpm.dir,Table1[[#This Row],[Direction]],
IF(_xlpm.dir="R",
    IF(F3680+Table1[[#This Row],[Steps]]&gt;99,(F3680+Table1[[#This Row],[Steps]])-100,F3680+Table1[[#This Row],[Steps]]),
))</f>
        <v>67</v>
      </c>
      <c r="F3681">
        <f>IF(Table1[[#This Row],[New Pos L]]&lt;&gt;0,Table1[[#This Row],[New Pos L]],Table1[[#This Row],[New Pos R]])</f>
        <v>67</v>
      </c>
    </row>
    <row r="3682" spans="1:6" ht="16" x14ac:dyDescent="0.2">
      <c r="A3682" s="1" t="s">
        <v>159</v>
      </c>
      <c r="B3682" t="str">
        <f>LEFT(Table1[[#This Row],[Input]],1)</f>
        <v>R</v>
      </c>
      <c r="C3682">
        <f>_xlfn.LET(_xlpm.steps,SUBSTITUTE(Table1[[#This Row],[Input]],Table1[[#This Row],[Direction]],""),VALUE(IF(LEN(_xlpm.steps)&gt;2,RIGHT(_xlpm.steps,2),_xlpm.steps)))</f>
        <v>24</v>
      </c>
      <c r="D3682">
        <f>_xlfn.LET(_xlpm.dir,Table1[[#This Row],[Direction]],
IF(_xlpm.dir="L",
    IF(F3681-Table1[[#This Row],[Steps]]&lt;0,100+(F3681-Table1[[#This Row],[Steps]]),F3681-Table1[[#This Row],[Steps]]),
))</f>
        <v>0</v>
      </c>
      <c r="E3682">
        <f>_xlfn.LET(_xlpm.dir,Table1[[#This Row],[Direction]],
IF(_xlpm.dir="R",
    IF(F3681+Table1[[#This Row],[Steps]]&gt;99,(F3681+Table1[[#This Row],[Steps]])-100,F3681+Table1[[#This Row],[Steps]]),
))</f>
        <v>91</v>
      </c>
      <c r="F3682">
        <f>IF(Table1[[#This Row],[New Pos L]]&lt;&gt;0,Table1[[#This Row],[New Pos L]],Table1[[#This Row],[New Pos R]])</f>
        <v>91</v>
      </c>
    </row>
    <row r="3683" spans="1:6" ht="16" x14ac:dyDescent="0.2">
      <c r="A3683" s="1" t="s">
        <v>89</v>
      </c>
      <c r="B3683" t="str">
        <f>LEFT(Table1[[#This Row],[Input]],1)</f>
        <v>L</v>
      </c>
      <c r="C3683">
        <f>_xlfn.LET(_xlpm.steps,SUBSTITUTE(Table1[[#This Row],[Input]],Table1[[#This Row],[Direction]],""),VALUE(IF(LEN(_xlpm.steps)&gt;2,RIGHT(_xlpm.steps,2),_xlpm.steps)))</f>
        <v>91</v>
      </c>
      <c r="D3683">
        <f>_xlfn.LET(_xlpm.dir,Table1[[#This Row],[Direction]],
IF(_xlpm.dir="L",
    IF(F3682-Table1[[#This Row],[Steps]]&lt;0,100+(F3682-Table1[[#This Row],[Steps]]),F3682-Table1[[#This Row],[Steps]]),
))</f>
        <v>0</v>
      </c>
      <c r="E3683">
        <f>_xlfn.LET(_xlpm.dir,Table1[[#This Row],[Direction]],
IF(_xlpm.dir="R",
    IF(F3682+Table1[[#This Row],[Steps]]&gt;99,(F3682+Table1[[#This Row],[Steps]])-100,F3682+Table1[[#This Row],[Steps]]),
))</f>
        <v>0</v>
      </c>
      <c r="F3683">
        <f>IF(Table1[[#This Row],[New Pos L]]&lt;&gt;0,Table1[[#This Row],[New Pos L]],Table1[[#This Row],[New Pos R]])</f>
        <v>0</v>
      </c>
    </row>
    <row r="3684" spans="1:6" ht="16" x14ac:dyDescent="0.2">
      <c r="A3684" s="1" t="s">
        <v>254</v>
      </c>
      <c r="B3684" t="str">
        <f>LEFT(Table1[[#This Row],[Input]],1)</f>
        <v>R</v>
      </c>
      <c r="C3684">
        <f>_xlfn.LET(_xlpm.steps,SUBSTITUTE(Table1[[#This Row],[Input]],Table1[[#This Row],[Direction]],""),VALUE(IF(LEN(_xlpm.steps)&gt;2,RIGHT(_xlpm.steps,2),_xlpm.steps)))</f>
        <v>84</v>
      </c>
      <c r="D3684">
        <f>_xlfn.LET(_xlpm.dir,Table1[[#This Row],[Direction]],
IF(_xlpm.dir="L",
    IF(F3683-Table1[[#This Row],[Steps]]&lt;0,100+(F3683-Table1[[#This Row],[Steps]]),F3683-Table1[[#This Row],[Steps]]),
))</f>
        <v>0</v>
      </c>
      <c r="E3684">
        <f>_xlfn.LET(_xlpm.dir,Table1[[#This Row],[Direction]],
IF(_xlpm.dir="R",
    IF(F3683+Table1[[#This Row],[Steps]]&gt;99,(F3683+Table1[[#This Row],[Steps]])-100,F3683+Table1[[#This Row],[Steps]]),
))</f>
        <v>84</v>
      </c>
      <c r="F3684">
        <f>IF(Table1[[#This Row],[New Pos L]]&lt;&gt;0,Table1[[#This Row],[New Pos L]],Table1[[#This Row],[New Pos R]])</f>
        <v>84</v>
      </c>
    </row>
    <row r="3685" spans="1:6" ht="16" x14ac:dyDescent="0.2">
      <c r="A3685" s="1" t="s">
        <v>27</v>
      </c>
      <c r="B3685" t="str">
        <f>LEFT(Table1[[#This Row],[Input]],1)</f>
        <v>L</v>
      </c>
      <c r="C3685">
        <f>_xlfn.LET(_xlpm.steps,SUBSTITUTE(Table1[[#This Row],[Input]],Table1[[#This Row],[Direction]],""),VALUE(IF(LEN(_xlpm.steps)&gt;2,RIGHT(_xlpm.steps,2),_xlpm.steps)))</f>
        <v>14</v>
      </c>
      <c r="D3685">
        <f>_xlfn.LET(_xlpm.dir,Table1[[#This Row],[Direction]],
IF(_xlpm.dir="L",
    IF(F3684-Table1[[#This Row],[Steps]]&lt;0,100+(F3684-Table1[[#This Row],[Steps]]),F3684-Table1[[#This Row],[Steps]]),
))</f>
        <v>70</v>
      </c>
      <c r="E3685">
        <f>_xlfn.LET(_xlpm.dir,Table1[[#This Row],[Direction]],
IF(_xlpm.dir="R",
    IF(F3684+Table1[[#This Row],[Steps]]&gt;99,(F3684+Table1[[#This Row],[Steps]])-100,F3684+Table1[[#This Row],[Steps]]),
))</f>
        <v>0</v>
      </c>
      <c r="F3685">
        <f>IF(Table1[[#This Row],[New Pos L]]&lt;&gt;0,Table1[[#This Row],[New Pos L]],Table1[[#This Row],[New Pos R]])</f>
        <v>70</v>
      </c>
    </row>
    <row r="3686" spans="1:6" ht="16" x14ac:dyDescent="0.2">
      <c r="A3686" s="1" t="s">
        <v>209</v>
      </c>
      <c r="B3686" t="str">
        <f>LEFT(Table1[[#This Row],[Input]],1)</f>
        <v>L</v>
      </c>
      <c r="C3686">
        <f>_xlfn.LET(_xlpm.steps,SUBSTITUTE(Table1[[#This Row],[Input]],Table1[[#This Row],[Direction]],""),VALUE(IF(LEN(_xlpm.steps)&gt;2,RIGHT(_xlpm.steps,2),_xlpm.steps)))</f>
        <v>86</v>
      </c>
      <c r="D3686">
        <f>_xlfn.LET(_xlpm.dir,Table1[[#This Row],[Direction]],
IF(_xlpm.dir="L",
    IF(F3685-Table1[[#This Row],[Steps]]&lt;0,100+(F3685-Table1[[#This Row],[Steps]]),F3685-Table1[[#This Row],[Steps]]),
))</f>
        <v>84</v>
      </c>
      <c r="E3686">
        <f>_xlfn.LET(_xlpm.dir,Table1[[#This Row],[Direction]],
IF(_xlpm.dir="R",
    IF(F3685+Table1[[#This Row],[Steps]]&gt;99,(F3685+Table1[[#This Row],[Steps]])-100,F3685+Table1[[#This Row],[Steps]]),
))</f>
        <v>0</v>
      </c>
      <c r="F3686">
        <f>IF(Table1[[#This Row],[New Pos L]]&lt;&gt;0,Table1[[#This Row],[New Pos L]],Table1[[#This Row],[New Pos R]])</f>
        <v>84</v>
      </c>
    </row>
    <row r="3687" spans="1:6" ht="16" x14ac:dyDescent="0.2">
      <c r="A3687" s="1" t="s">
        <v>186</v>
      </c>
      <c r="B3687" t="str">
        <f>LEFT(Table1[[#This Row],[Input]],1)</f>
        <v>L</v>
      </c>
      <c r="C3687">
        <f>_xlfn.LET(_xlpm.steps,SUBSTITUTE(Table1[[#This Row],[Input]],Table1[[#This Row],[Direction]],""),VALUE(IF(LEN(_xlpm.steps)&gt;2,RIGHT(_xlpm.steps,2),_xlpm.steps)))</f>
        <v>84</v>
      </c>
      <c r="D3687">
        <f>_xlfn.LET(_xlpm.dir,Table1[[#This Row],[Direction]],
IF(_xlpm.dir="L",
    IF(F3686-Table1[[#This Row],[Steps]]&lt;0,100+(F3686-Table1[[#This Row],[Steps]]),F3686-Table1[[#This Row],[Steps]]),
))</f>
        <v>0</v>
      </c>
      <c r="E3687">
        <f>_xlfn.LET(_xlpm.dir,Table1[[#This Row],[Direction]],
IF(_xlpm.dir="R",
    IF(F3686+Table1[[#This Row],[Steps]]&gt;99,(F3686+Table1[[#This Row],[Steps]])-100,F3686+Table1[[#This Row],[Steps]]),
))</f>
        <v>0</v>
      </c>
      <c r="F3687">
        <f>IF(Table1[[#This Row],[New Pos L]]&lt;&gt;0,Table1[[#This Row],[New Pos L]],Table1[[#This Row],[New Pos R]])</f>
        <v>0</v>
      </c>
    </row>
    <row r="3688" spans="1:6" ht="16" x14ac:dyDescent="0.2">
      <c r="A3688" s="1" t="s">
        <v>779</v>
      </c>
      <c r="B3688" t="str">
        <f>LEFT(Table1[[#This Row],[Input]],1)</f>
        <v>R</v>
      </c>
      <c r="C3688">
        <f>_xlfn.LET(_xlpm.steps,SUBSTITUTE(Table1[[#This Row],[Input]],Table1[[#This Row],[Direction]],""),VALUE(IF(LEN(_xlpm.steps)&gt;2,RIGHT(_xlpm.steps,2),_xlpm.steps)))</f>
        <v>19</v>
      </c>
      <c r="D3688">
        <f>_xlfn.LET(_xlpm.dir,Table1[[#This Row],[Direction]],
IF(_xlpm.dir="L",
    IF(F3687-Table1[[#This Row],[Steps]]&lt;0,100+(F3687-Table1[[#This Row],[Steps]]),F3687-Table1[[#This Row],[Steps]]),
))</f>
        <v>0</v>
      </c>
      <c r="E3688">
        <f>_xlfn.LET(_xlpm.dir,Table1[[#This Row],[Direction]],
IF(_xlpm.dir="R",
    IF(F3687+Table1[[#This Row],[Steps]]&gt;99,(F3687+Table1[[#This Row],[Steps]])-100,F3687+Table1[[#This Row],[Steps]]),
))</f>
        <v>19</v>
      </c>
      <c r="F3688">
        <f>IF(Table1[[#This Row],[New Pos L]]&lt;&gt;0,Table1[[#This Row],[New Pos L]],Table1[[#This Row],[New Pos R]])</f>
        <v>19</v>
      </c>
    </row>
    <row r="3689" spans="1:6" ht="16" x14ac:dyDescent="0.2">
      <c r="A3689" s="1" t="s">
        <v>175</v>
      </c>
      <c r="B3689" t="str">
        <f>LEFT(Table1[[#This Row],[Input]],1)</f>
        <v>L</v>
      </c>
      <c r="C3689">
        <f>_xlfn.LET(_xlpm.steps,SUBSTITUTE(Table1[[#This Row],[Input]],Table1[[#This Row],[Direction]],""),VALUE(IF(LEN(_xlpm.steps)&gt;2,RIGHT(_xlpm.steps,2),_xlpm.steps)))</f>
        <v>1</v>
      </c>
      <c r="D3689">
        <f>_xlfn.LET(_xlpm.dir,Table1[[#This Row],[Direction]],
IF(_xlpm.dir="L",
    IF(F3688-Table1[[#This Row],[Steps]]&lt;0,100+(F3688-Table1[[#This Row],[Steps]]),F3688-Table1[[#This Row],[Steps]]),
))</f>
        <v>18</v>
      </c>
      <c r="E3689">
        <f>_xlfn.LET(_xlpm.dir,Table1[[#This Row],[Direction]],
IF(_xlpm.dir="R",
    IF(F3688+Table1[[#This Row],[Steps]]&gt;99,(F3688+Table1[[#This Row],[Steps]])-100,F3688+Table1[[#This Row],[Steps]]),
))</f>
        <v>0</v>
      </c>
      <c r="F3689">
        <f>IF(Table1[[#This Row],[New Pos L]]&lt;&gt;0,Table1[[#This Row],[New Pos L]],Table1[[#This Row],[New Pos R]])</f>
        <v>18</v>
      </c>
    </row>
    <row r="3690" spans="1:6" ht="16" x14ac:dyDescent="0.2">
      <c r="A3690" s="1" t="s">
        <v>780</v>
      </c>
      <c r="B3690" t="str">
        <f>LEFT(Table1[[#This Row],[Input]],1)</f>
        <v>R</v>
      </c>
      <c r="C3690">
        <f>_xlfn.LET(_xlpm.steps,SUBSTITUTE(Table1[[#This Row],[Input]],Table1[[#This Row],[Direction]],""),VALUE(IF(LEN(_xlpm.steps)&gt;2,RIGHT(_xlpm.steps,2),_xlpm.steps)))</f>
        <v>30</v>
      </c>
      <c r="D3690">
        <f>_xlfn.LET(_xlpm.dir,Table1[[#This Row],[Direction]],
IF(_xlpm.dir="L",
    IF(F3689-Table1[[#This Row],[Steps]]&lt;0,100+(F3689-Table1[[#This Row],[Steps]]),F3689-Table1[[#This Row],[Steps]]),
))</f>
        <v>0</v>
      </c>
      <c r="E3690">
        <f>_xlfn.LET(_xlpm.dir,Table1[[#This Row],[Direction]],
IF(_xlpm.dir="R",
    IF(F3689+Table1[[#This Row],[Steps]]&gt;99,(F3689+Table1[[#This Row],[Steps]])-100,F3689+Table1[[#This Row],[Steps]]),
))</f>
        <v>48</v>
      </c>
      <c r="F3690">
        <f>IF(Table1[[#This Row],[New Pos L]]&lt;&gt;0,Table1[[#This Row],[New Pos L]],Table1[[#This Row],[New Pos R]])</f>
        <v>48</v>
      </c>
    </row>
    <row r="3691" spans="1:6" ht="16" x14ac:dyDescent="0.2">
      <c r="A3691" s="1" t="s">
        <v>255</v>
      </c>
      <c r="B3691" t="str">
        <f>LEFT(Table1[[#This Row],[Input]],1)</f>
        <v>R</v>
      </c>
      <c r="C3691">
        <f>_xlfn.LET(_xlpm.steps,SUBSTITUTE(Table1[[#This Row],[Input]],Table1[[#This Row],[Direction]],""),VALUE(IF(LEN(_xlpm.steps)&gt;2,RIGHT(_xlpm.steps,2),_xlpm.steps)))</f>
        <v>16</v>
      </c>
      <c r="D3691">
        <f>_xlfn.LET(_xlpm.dir,Table1[[#This Row],[Direction]],
IF(_xlpm.dir="L",
    IF(F3690-Table1[[#This Row],[Steps]]&lt;0,100+(F3690-Table1[[#This Row],[Steps]]),F3690-Table1[[#This Row],[Steps]]),
))</f>
        <v>0</v>
      </c>
      <c r="E3691">
        <f>_xlfn.LET(_xlpm.dir,Table1[[#This Row],[Direction]],
IF(_xlpm.dir="R",
    IF(F3690+Table1[[#This Row],[Steps]]&gt;99,(F3690+Table1[[#This Row],[Steps]])-100,F3690+Table1[[#This Row],[Steps]]),
))</f>
        <v>64</v>
      </c>
      <c r="F3691">
        <f>IF(Table1[[#This Row],[New Pos L]]&lt;&gt;0,Table1[[#This Row],[New Pos L]],Table1[[#This Row],[New Pos R]])</f>
        <v>64</v>
      </c>
    </row>
    <row r="3692" spans="1:6" ht="16" x14ac:dyDescent="0.2">
      <c r="A3692" s="1" t="s">
        <v>781</v>
      </c>
      <c r="B3692" t="str">
        <f>LEFT(Table1[[#This Row],[Input]],1)</f>
        <v>L</v>
      </c>
      <c r="C3692">
        <f>_xlfn.LET(_xlpm.steps,SUBSTITUTE(Table1[[#This Row],[Input]],Table1[[#This Row],[Direction]],""),VALUE(IF(LEN(_xlpm.steps)&gt;2,RIGHT(_xlpm.steps,2),_xlpm.steps)))</f>
        <v>64</v>
      </c>
      <c r="D3692">
        <f>_xlfn.LET(_xlpm.dir,Table1[[#This Row],[Direction]],
IF(_xlpm.dir="L",
    IF(F3691-Table1[[#This Row],[Steps]]&lt;0,100+(F3691-Table1[[#This Row],[Steps]]),F3691-Table1[[#This Row],[Steps]]),
))</f>
        <v>0</v>
      </c>
      <c r="E3692">
        <f>_xlfn.LET(_xlpm.dir,Table1[[#This Row],[Direction]],
IF(_xlpm.dir="R",
    IF(F3691+Table1[[#This Row],[Steps]]&gt;99,(F3691+Table1[[#This Row],[Steps]])-100,F3691+Table1[[#This Row],[Steps]]),
))</f>
        <v>0</v>
      </c>
      <c r="F3692">
        <f>IF(Table1[[#This Row],[New Pos L]]&lt;&gt;0,Table1[[#This Row],[New Pos L]],Table1[[#This Row],[New Pos R]])</f>
        <v>0</v>
      </c>
    </row>
    <row r="3693" spans="1:6" ht="16" x14ac:dyDescent="0.2">
      <c r="A3693" s="1" t="s">
        <v>76</v>
      </c>
      <c r="B3693" t="str">
        <f>LEFT(Table1[[#This Row],[Input]],1)</f>
        <v>R</v>
      </c>
      <c r="C3693">
        <f>_xlfn.LET(_xlpm.steps,SUBSTITUTE(Table1[[#This Row],[Input]],Table1[[#This Row],[Direction]],""),VALUE(IF(LEN(_xlpm.steps)&gt;2,RIGHT(_xlpm.steps,2),_xlpm.steps)))</f>
        <v>37</v>
      </c>
      <c r="D3693">
        <f>_xlfn.LET(_xlpm.dir,Table1[[#This Row],[Direction]],
IF(_xlpm.dir="L",
    IF(F3692-Table1[[#This Row],[Steps]]&lt;0,100+(F3692-Table1[[#This Row],[Steps]]),F3692-Table1[[#This Row],[Steps]]),
))</f>
        <v>0</v>
      </c>
      <c r="E3693">
        <f>_xlfn.LET(_xlpm.dir,Table1[[#This Row],[Direction]],
IF(_xlpm.dir="R",
    IF(F3692+Table1[[#This Row],[Steps]]&gt;99,(F3692+Table1[[#This Row],[Steps]])-100,F3692+Table1[[#This Row],[Steps]]),
))</f>
        <v>37</v>
      </c>
      <c r="F3693">
        <f>IF(Table1[[#This Row],[New Pos L]]&lt;&gt;0,Table1[[#This Row],[New Pos L]],Table1[[#This Row],[New Pos R]])</f>
        <v>37</v>
      </c>
    </row>
    <row r="3694" spans="1:6" ht="16" x14ac:dyDescent="0.2">
      <c r="A3694" s="1" t="s">
        <v>1</v>
      </c>
      <c r="B3694" t="str">
        <f>LEFT(Table1[[#This Row],[Input]],1)</f>
        <v>R</v>
      </c>
      <c r="C3694">
        <f>_xlfn.LET(_xlpm.steps,SUBSTITUTE(Table1[[#This Row],[Input]],Table1[[#This Row],[Direction]],""),VALUE(IF(LEN(_xlpm.steps)&gt;2,RIGHT(_xlpm.steps,2),_xlpm.steps)))</f>
        <v>26</v>
      </c>
      <c r="D3694">
        <f>_xlfn.LET(_xlpm.dir,Table1[[#This Row],[Direction]],
IF(_xlpm.dir="L",
    IF(F3693-Table1[[#This Row],[Steps]]&lt;0,100+(F3693-Table1[[#This Row],[Steps]]),F3693-Table1[[#This Row],[Steps]]),
))</f>
        <v>0</v>
      </c>
      <c r="E3694">
        <f>_xlfn.LET(_xlpm.dir,Table1[[#This Row],[Direction]],
IF(_xlpm.dir="R",
    IF(F3693+Table1[[#This Row],[Steps]]&gt;99,(F3693+Table1[[#This Row],[Steps]])-100,F3693+Table1[[#This Row],[Steps]]),
))</f>
        <v>63</v>
      </c>
      <c r="F3694">
        <f>IF(Table1[[#This Row],[New Pos L]]&lt;&gt;0,Table1[[#This Row],[New Pos L]],Table1[[#This Row],[New Pos R]])</f>
        <v>63</v>
      </c>
    </row>
    <row r="3695" spans="1:6" ht="16" x14ac:dyDescent="0.2">
      <c r="A3695" s="1" t="s">
        <v>148</v>
      </c>
      <c r="B3695" t="str">
        <f>LEFT(Table1[[#This Row],[Input]],1)</f>
        <v>R</v>
      </c>
      <c r="C3695">
        <f>_xlfn.LET(_xlpm.steps,SUBSTITUTE(Table1[[#This Row],[Input]],Table1[[#This Row],[Direction]],""),VALUE(IF(LEN(_xlpm.steps)&gt;2,RIGHT(_xlpm.steps,2),_xlpm.steps)))</f>
        <v>80</v>
      </c>
      <c r="D3695">
        <f>_xlfn.LET(_xlpm.dir,Table1[[#This Row],[Direction]],
IF(_xlpm.dir="L",
    IF(F3694-Table1[[#This Row],[Steps]]&lt;0,100+(F3694-Table1[[#This Row],[Steps]]),F3694-Table1[[#This Row],[Steps]]),
))</f>
        <v>0</v>
      </c>
      <c r="E3695">
        <f>_xlfn.LET(_xlpm.dir,Table1[[#This Row],[Direction]],
IF(_xlpm.dir="R",
    IF(F3694+Table1[[#This Row],[Steps]]&gt;99,(F3694+Table1[[#This Row],[Steps]])-100,F3694+Table1[[#This Row],[Steps]]),
))</f>
        <v>43</v>
      </c>
      <c r="F3695">
        <f>IF(Table1[[#This Row],[New Pos L]]&lt;&gt;0,Table1[[#This Row],[New Pos L]],Table1[[#This Row],[New Pos R]])</f>
        <v>43</v>
      </c>
    </row>
    <row r="3696" spans="1:6" ht="16" x14ac:dyDescent="0.2">
      <c r="A3696" s="1" t="s">
        <v>782</v>
      </c>
      <c r="B3696" t="str">
        <f>LEFT(Table1[[#This Row],[Input]],1)</f>
        <v>L</v>
      </c>
      <c r="C3696">
        <f>_xlfn.LET(_xlpm.steps,SUBSTITUTE(Table1[[#This Row],[Input]],Table1[[#This Row],[Direction]],""),VALUE(IF(LEN(_xlpm.steps)&gt;2,RIGHT(_xlpm.steps,2),_xlpm.steps)))</f>
        <v>43</v>
      </c>
      <c r="D3696">
        <f>_xlfn.LET(_xlpm.dir,Table1[[#This Row],[Direction]],
IF(_xlpm.dir="L",
    IF(F3695-Table1[[#This Row],[Steps]]&lt;0,100+(F3695-Table1[[#This Row],[Steps]]),F3695-Table1[[#This Row],[Steps]]),
))</f>
        <v>0</v>
      </c>
      <c r="E3696">
        <f>_xlfn.LET(_xlpm.dir,Table1[[#This Row],[Direction]],
IF(_xlpm.dir="R",
    IF(F3695+Table1[[#This Row],[Steps]]&gt;99,(F3695+Table1[[#This Row],[Steps]])-100,F3695+Table1[[#This Row],[Steps]]),
))</f>
        <v>0</v>
      </c>
      <c r="F3696">
        <f>IF(Table1[[#This Row],[New Pos L]]&lt;&gt;0,Table1[[#This Row],[New Pos L]],Table1[[#This Row],[New Pos R]])</f>
        <v>0</v>
      </c>
    </row>
    <row r="3697" spans="1:6" ht="16" x14ac:dyDescent="0.2">
      <c r="A3697" s="1" t="s">
        <v>464</v>
      </c>
      <c r="B3697" t="str">
        <f>LEFT(Table1[[#This Row],[Input]],1)</f>
        <v>R</v>
      </c>
      <c r="C3697">
        <f>_xlfn.LET(_xlpm.steps,SUBSTITUTE(Table1[[#This Row],[Input]],Table1[[#This Row],[Direction]],""),VALUE(IF(LEN(_xlpm.steps)&gt;2,RIGHT(_xlpm.steps,2),_xlpm.steps)))</f>
        <v>44</v>
      </c>
      <c r="D3697">
        <f>_xlfn.LET(_xlpm.dir,Table1[[#This Row],[Direction]],
IF(_xlpm.dir="L",
    IF(F3696-Table1[[#This Row],[Steps]]&lt;0,100+(F3696-Table1[[#This Row],[Steps]]),F3696-Table1[[#This Row],[Steps]]),
))</f>
        <v>0</v>
      </c>
      <c r="E3697">
        <f>_xlfn.LET(_xlpm.dir,Table1[[#This Row],[Direction]],
IF(_xlpm.dir="R",
    IF(F3696+Table1[[#This Row],[Steps]]&gt;99,(F3696+Table1[[#This Row],[Steps]])-100,F3696+Table1[[#This Row],[Steps]]),
))</f>
        <v>44</v>
      </c>
      <c r="F3697">
        <f>IF(Table1[[#This Row],[New Pos L]]&lt;&gt;0,Table1[[#This Row],[New Pos L]],Table1[[#This Row],[New Pos R]])</f>
        <v>44</v>
      </c>
    </row>
    <row r="3698" spans="1:6" ht="16" x14ac:dyDescent="0.2">
      <c r="A3698" s="1" t="s">
        <v>185</v>
      </c>
      <c r="B3698" t="str">
        <f>LEFT(Table1[[#This Row],[Input]],1)</f>
        <v>R</v>
      </c>
      <c r="C3698">
        <f>_xlfn.LET(_xlpm.steps,SUBSTITUTE(Table1[[#This Row],[Input]],Table1[[#This Row],[Direction]],""),VALUE(IF(LEN(_xlpm.steps)&gt;2,RIGHT(_xlpm.steps,2),_xlpm.steps)))</f>
        <v>61</v>
      </c>
      <c r="D3698">
        <f>_xlfn.LET(_xlpm.dir,Table1[[#This Row],[Direction]],
IF(_xlpm.dir="L",
    IF(F3697-Table1[[#This Row],[Steps]]&lt;0,100+(F3697-Table1[[#This Row],[Steps]]),F3697-Table1[[#This Row],[Steps]]),
))</f>
        <v>0</v>
      </c>
      <c r="E3698">
        <f>_xlfn.LET(_xlpm.dir,Table1[[#This Row],[Direction]],
IF(_xlpm.dir="R",
    IF(F3697+Table1[[#This Row],[Steps]]&gt;99,(F3697+Table1[[#This Row],[Steps]])-100,F3697+Table1[[#This Row],[Steps]]),
))</f>
        <v>5</v>
      </c>
      <c r="F3698">
        <f>IF(Table1[[#This Row],[New Pos L]]&lt;&gt;0,Table1[[#This Row],[New Pos L]],Table1[[#This Row],[New Pos R]])</f>
        <v>5</v>
      </c>
    </row>
    <row r="3699" spans="1:6" ht="16" x14ac:dyDescent="0.2">
      <c r="A3699" s="1" t="s">
        <v>15</v>
      </c>
      <c r="B3699" t="str">
        <f>LEFT(Table1[[#This Row],[Input]],1)</f>
        <v>R</v>
      </c>
      <c r="C3699">
        <f>_xlfn.LET(_xlpm.steps,SUBSTITUTE(Table1[[#This Row],[Input]],Table1[[#This Row],[Direction]],""),VALUE(IF(LEN(_xlpm.steps)&gt;2,RIGHT(_xlpm.steps,2),_xlpm.steps)))</f>
        <v>36</v>
      </c>
      <c r="D3699">
        <f>_xlfn.LET(_xlpm.dir,Table1[[#This Row],[Direction]],
IF(_xlpm.dir="L",
    IF(F3698-Table1[[#This Row],[Steps]]&lt;0,100+(F3698-Table1[[#This Row],[Steps]]),F3698-Table1[[#This Row],[Steps]]),
))</f>
        <v>0</v>
      </c>
      <c r="E3699">
        <f>_xlfn.LET(_xlpm.dir,Table1[[#This Row],[Direction]],
IF(_xlpm.dir="R",
    IF(F3698+Table1[[#This Row],[Steps]]&gt;99,(F3698+Table1[[#This Row],[Steps]])-100,F3698+Table1[[#This Row],[Steps]]),
))</f>
        <v>41</v>
      </c>
      <c r="F3699">
        <f>IF(Table1[[#This Row],[New Pos L]]&lt;&gt;0,Table1[[#This Row],[New Pos L]],Table1[[#This Row],[New Pos R]])</f>
        <v>41</v>
      </c>
    </row>
    <row r="3700" spans="1:6" ht="16" x14ac:dyDescent="0.2">
      <c r="A3700" s="1" t="s">
        <v>304</v>
      </c>
      <c r="B3700" t="str">
        <f>LEFT(Table1[[#This Row],[Input]],1)</f>
        <v>L</v>
      </c>
      <c r="C3700">
        <f>_xlfn.LET(_xlpm.steps,SUBSTITUTE(Table1[[#This Row],[Input]],Table1[[#This Row],[Direction]],""),VALUE(IF(LEN(_xlpm.steps)&gt;2,RIGHT(_xlpm.steps,2),_xlpm.steps)))</f>
        <v>26</v>
      </c>
      <c r="D3700">
        <f>_xlfn.LET(_xlpm.dir,Table1[[#This Row],[Direction]],
IF(_xlpm.dir="L",
    IF(F3699-Table1[[#This Row],[Steps]]&lt;0,100+(F3699-Table1[[#This Row],[Steps]]),F3699-Table1[[#This Row],[Steps]]),
))</f>
        <v>15</v>
      </c>
      <c r="E3700">
        <f>_xlfn.LET(_xlpm.dir,Table1[[#This Row],[Direction]],
IF(_xlpm.dir="R",
    IF(F3699+Table1[[#This Row],[Steps]]&gt;99,(F3699+Table1[[#This Row],[Steps]])-100,F3699+Table1[[#This Row],[Steps]]),
))</f>
        <v>0</v>
      </c>
      <c r="F3700">
        <f>IF(Table1[[#This Row],[New Pos L]]&lt;&gt;0,Table1[[#This Row],[New Pos L]],Table1[[#This Row],[New Pos R]])</f>
        <v>15</v>
      </c>
    </row>
    <row r="3701" spans="1:6" ht="16" x14ac:dyDescent="0.2">
      <c r="A3701" s="1" t="s">
        <v>164</v>
      </c>
      <c r="B3701" t="str">
        <f>LEFT(Table1[[#This Row],[Input]],1)</f>
        <v>R</v>
      </c>
      <c r="C3701">
        <f>_xlfn.LET(_xlpm.steps,SUBSTITUTE(Table1[[#This Row],[Input]],Table1[[#This Row],[Direction]],""),VALUE(IF(LEN(_xlpm.steps)&gt;2,RIGHT(_xlpm.steps,2),_xlpm.steps)))</f>
        <v>85</v>
      </c>
      <c r="D3701">
        <f>_xlfn.LET(_xlpm.dir,Table1[[#This Row],[Direction]],
IF(_xlpm.dir="L",
    IF(F3700-Table1[[#This Row],[Steps]]&lt;0,100+(F3700-Table1[[#This Row],[Steps]]),F3700-Table1[[#This Row],[Steps]]),
))</f>
        <v>0</v>
      </c>
      <c r="E3701">
        <f>_xlfn.LET(_xlpm.dir,Table1[[#This Row],[Direction]],
IF(_xlpm.dir="R",
    IF(F3700+Table1[[#This Row],[Steps]]&gt;99,(F3700+Table1[[#This Row],[Steps]])-100,F3700+Table1[[#This Row],[Steps]]),
))</f>
        <v>0</v>
      </c>
      <c r="F3701">
        <f>IF(Table1[[#This Row],[New Pos L]]&lt;&gt;0,Table1[[#This Row],[New Pos L]],Table1[[#This Row],[New Pos R]])</f>
        <v>0</v>
      </c>
    </row>
    <row r="3702" spans="1:6" ht="16" x14ac:dyDescent="0.2">
      <c r="A3702" s="1" t="s">
        <v>0</v>
      </c>
      <c r="B3702" t="str">
        <f>LEFT(Table1[[#This Row],[Input]],1)</f>
        <v>L</v>
      </c>
      <c r="C3702">
        <f>_xlfn.LET(_xlpm.steps,SUBSTITUTE(Table1[[#This Row],[Input]],Table1[[#This Row],[Direction]],""),VALUE(IF(LEN(_xlpm.steps)&gt;2,RIGHT(_xlpm.steps,2),_xlpm.steps)))</f>
        <v>44</v>
      </c>
      <c r="D3702">
        <f>_xlfn.LET(_xlpm.dir,Table1[[#This Row],[Direction]],
IF(_xlpm.dir="L",
    IF(F3701-Table1[[#This Row],[Steps]]&lt;0,100+(F3701-Table1[[#This Row],[Steps]]),F3701-Table1[[#This Row],[Steps]]),
))</f>
        <v>56</v>
      </c>
      <c r="E3702">
        <f>_xlfn.LET(_xlpm.dir,Table1[[#This Row],[Direction]],
IF(_xlpm.dir="R",
    IF(F3701+Table1[[#This Row],[Steps]]&gt;99,(F3701+Table1[[#This Row],[Steps]])-100,F3701+Table1[[#This Row],[Steps]]),
))</f>
        <v>0</v>
      </c>
      <c r="F3702">
        <f>IF(Table1[[#This Row],[New Pos L]]&lt;&gt;0,Table1[[#This Row],[New Pos L]],Table1[[#This Row],[New Pos R]])</f>
        <v>56</v>
      </c>
    </row>
    <row r="3703" spans="1:6" ht="16" x14ac:dyDescent="0.2">
      <c r="A3703" s="1" t="s">
        <v>53</v>
      </c>
      <c r="B3703" t="str">
        <f>LEFT(Table1[[#This Row],[Input]],1)</f>
        <v>L</v>
      </c>
      <c r="C3703">
        <f>_xlfn.LET(_xlpm.steps,SUBSTITUTE(Table1[[#This Row],[Input]],Table1[[#This Row],[Direction]],""),VALUE(IF(LEN(_xlpm.steps)&gt;2,RIGHT(_xlpm.steps,2),_xlpm.steps)))</f>
        <v>56</v>
      </c>
      <c r="D3703">
        <f>_xlfn.LET(_xlpm.dir,Table1[[#This Row],[Direction]],
IF(_xlpm.dir="L",
    IF(F3702-Table1[[#This Row],[Steps]]&lt;0,100+(F3702-Table1[[#This Row],[Steps]]),F3702-Table1[[#This Row],[Steps]]),
))</f>
        <v>0</v>
      </c>
      <c r="E3703">
        <f>_xlfn.LET(_xlpm.dir,Table1[[#This Row],[Direction]],
IF(_xlpm.dir="R",
    IF(F3702+Table1[[#This Row],[Steps]]&gt;99,(F3702+Table1[[#This Row],[Steps]])-100,F3702+Table1[[#This Row],[Steps]]),
))</f>
        <v>0</v>
      </c>
      <c r="F3703">
        <f>IF(Table1[[#This Row],[New Pos L]]&lt;&gt;0,Table1[[#This Row],[New Pos L]],Table1[[#This Row],[New Pos R]])</f>
        <v>0</v>
      </c>
    </row>
    <row r="3704" spans="1:6" ht="16" x14ac:dyDescent="0.2">
      <c r="A3704" s="1" t="s">
        <v>122</v>
      </c>
      <c r="B3704" t="str">
        <f>LEFT(Table1[[#This Row],[Input]],1)</f>
        <v>R</v>
      </c>
      <c r="C3704">
        <f>_xlfn.LET(_xlpm.steps,SUBSTITUTE(Table1[[#This Row],[Input]],Table1[[#This Row],[Direction]],""),VALUE(IF(LEN(_xlpm.steps)&gt;2,RIGHT(_xlpm.steps,2),_xlpm.steps)))</f>
        <v>75</v>
      </c>
      <c r="D3704">
        <f>_xlfn.LET(_xlpm.dir,Table1[[#This Row],[Direction]],
IF(_xlpm.dir="L",
    IF(F3703-Table1[[#This Row],[Steps]]&lt;0,100+(F3703-Table1[[#This Row],[Steps]]),F3703-Table1[[#This Row],[Steps]]),
))</f>
        <v>0</v>
      </c>
      <c r="E3704">
        <f>_xlfn.LET(_xlpm.dir,Table1[[#This Row],[Direction]],
IF(_xlpm.dir="R",
    IF(F3703+Table1[[#This Row],[Steps]]&gt;99,(F3703+Table1[[#This Row],[Steps]])-100,F3703+Table1[[#This Row],[Steps]]),
))</f>
        <v>75</v>
      </c>
      <c r="F3704">
        <f>IF(Table1[[#This Row],[New Pos L]]&lt;&gt;0,Table1[[#This Row],[New Pos L]],Table1[[#This Row],[New Pos R]])</f>
        <v>75</v>
      </c>
    </row>
    <row r="3705" spans="1:6" ht="16" x14ac:dyDescent="0.2">
      <c r="A3705" s="1" t="s">
        <v>296</v>
      </c>
      <c r="B3705" t="str">
        <f>LEFT(Table1[[#This Row],[Input]],1)</f>
        <v>R</v>
      </c>
      <c r="C3705">
        <f>_xlfn.LET(_xlpm.steps,SUBSTITUTE(Table1[[#This Row],[Input]],Table1[[#This Row],[Direction]],""),VALUE(IF(LEN(_xlpm.steps)&gt;2,RIGHT(_xlpm.steps,2),_xlpm.steps)))</f>
        <v>19</v>
      </c>
      <c r="D3705">
        <f>_xlfn.LET(_xlpm.dir,Table1[[#This Row],[Direction]],
IF(_xlpm.dir="L",
    IF(F3704-Table1[[#This Row],[Steps]]&lt;0,100+(F3704-Table1[[#This Row],[Steps]]),F3704-Table1[[#This Row],[Steps]]),
))</f>
        <v>0</v>
      </c>
      <c r="E3705">
        <f>_xlfn.LET(_xlpm.dir,Table1[[#This Row],[Direction]],
IF(_xlpm.dir="R",
    IF(F3704+Table1[[#This Row],[Steps]]&gt;99,(F3704+Table1[[#This Row],[Steps]])-100,F3704+Table1[[#This Row],[Steps]]),
))</f>
        <v>94</v>
      </c>
      <c r="F3705">
        <f>IF(Table1[[#This Row],[New Pos L]]&lt;&gt;0,Table1[[#This Row],[New Pos L]],Table1[[#This Row],[New Pos R]])</f>
        <v>94</v>
      </c>
    </row>
    <row r="3706" spans="1:6" ht="16" x14ac:dyDescent="0.2">
      <c r="A3706" s="1" t="s">
        <v>783</v>
      </c>
      <c r="B3706" t="str">
        <f>LEFT(Table1[[#This Row],[Input]],1)</f>
        <v>L</v>
      </c>
      <c r="C3706">
        <f>_xlfn.LET(_xlpm.steps,SUBSTITUTE(Table1[[#This Row],[Input]],Table1[[#This Row],[Direction]],""),VALUE(IF(LEN(_xlpm.steps)&gt;2,RIGHT(_xlpm.steps,2),_xlpm.steps)))</f>
        <v>88</v>
      </c>
      <c r="D3706">
        <f>_xlfn.LET(_xlpm.dir,Table1[[#This Row],[Direction]],
IF(_xlpm.dir="L",
    IF(F3705-Table1[[#This Row],[Steps]]&lt;0,100+(F3705-Table1[[#This Row],[Steps]]),F3705-Table1[[#This Row],[Steps]]),
))</f>
        <v>6</v>
      </c>
      <c r="E3706">
        <f>_xlfn.LET(_xlpm.dir,Table1[[#This Row],[Direction]],
IF(_xlpm.dir="R",
    IF(F3705+Table1[[#This Row],[Steps]]&gt;99,(F3705+Table1[[#This Row],[Steps]])-100,F3705+Table1[[#This Row],[Steps]]),
))</f>
        <v>0</v>
      </c>
      <c r="F3706">
        <f>IF(Table1[[#This Row],[New Pos L]]&lt;&gt;0,Table1[[#This Row],[New Pos L]],Table1[[#This Row],[New Pos R]])</f>
        <v>6</v>
      </c>
    </row>
    <row r="3707" spans="1:6" ht="16" x14ac:dyDescent="0.2">
      <c r="A3707" s="1" t="s">
        <v>253</v>
      </c>
      <c r="B3707" t="str">
        <f>LEFT(Table1[[#This Row],[Input]],1)</f>
        <v>R</v>
      </c>
      <c r="C3707">
        <f>_xlfn.LET(_xlpm.steps,SUBSTITUTE(Table1[[#This Row],[Input]],Table1[[#This Row],[Direction]],""),VALUE(IF(LEN(_xlpm.steps)&gt;2,RIGHT(_xlpm.steps,2),_xlpm.steps)))</f>
        <v>94</v>
      </c>
      <c r="D3707">
        <f>_xlfn.LET(_xlpm.dir,Table1[[#This Row],[Direction]],
IF(_xlpm.dir="L",
    IF(F3706-Table1[[#This Row],[Steps]]&lt;0,100+(F3706-Table1[[#This Row],[Steps]]),F3706-Table1[[#This Row],[Steps]]),
))</f>
        <v>0</v>
      </c>
      <c r="E3707">
        <f>_xlfn.LET(_xlpm.dir,Table1[[#This Row],[Direction]],
IF(_xlpm.dir="R",
    IF(F3706+Table1[[#This Row],[Steps]]&gt;99,(F3706+Table1[[#This Row],[Steps]])-100,F3706+Table1[[#This Row],[Steps]]),
))</f>
        <v>0</v>
      </c>
      <c r="F3707">
        <f>IF(Table1[[#This Row],[New Pos L]]&lt;&gt;0,Table1[[#This Row],[New Pos L]],Table1[[#This Row],[New Pos R]])</f>
        <v>0</v>
      </c>
    </row>
    <row r="3708" spans="1:6" ht="16" x14ac:dyDescent="0.2">
      <c r="A3708" s="1" t="s">
        <v>226</v>
      </c>
      <c r="B3708" t="str">
        <f>LEFT(Table1[[#This Row],[Input]],1)</f>
        <v>L</v>
      </c>
      <c r="C3708">
        <f>_xlfn.LET(_xlpm.steps,SUBSTITUTE(Table1[[#This Row],[Input]],Table1[[#This Row],[Direction]],""),VALUE(IF(LEN(_xlpm.steps)&gt;2,RIGHT(_xlpm.steps,2),_xlpm.steps)))</f>
        <v>31</v>
      </c>
      <c r="D3708">
        <f>_xlfn.LET(_xlpm.dir,Table1[[#This Row],[Direction]],
IF(_xlpm.dir="L",
    IF(F3707-Table1[[#This Row],[Steps]]&lt;0,100+(F3707-Table1[[#This Row],[Steps]]),F3707-Table1[[#This Row],[Steps]]),
))</f>
        <v>69</v>
      </c>
      <c r="E3708">
        <f>_xlfn.LET(_xlpm.dir,Table1[[#This Row],[Direction]],
IF(_xlpm.dir="R",
    IF(F3707+Table1[[#This Row],[Steps]]&gt;99,(F3707+Table1[[#This Row],[Steps]])-100,F3707+Table1[[#This Row],[Steps]]),
))</f>
        <v>0</v>
      </c>
      <c r="F3708">
        <f>IF(Table1[[#This Row],[New Pos L]]&lt;&gt;0,Table1[[#This Row],[New Pos L]],Table1[[#This Row],[New Pos R]])</f>
        <v>69</v>
      </c>
    </row>
    <row r="3709" spans="1:6" ht="16" x14ac:dyDescent="0.2">
      <c r="A3709" s="1" t="s">
        <v>121</v>
      </c>
      <c r="B3709" t="str">
        <f>LEFT(Table1[[#This Row],[Input]],1)</f>
        <v>L</v>
      </c>
      <c r="C3709">
        <f>_xlfn.LET(_xlpm.steps,SUBSTITUTE(Table1[[#This Row],[Input]],Table1[[#This Row],[Direction]],""),VALUE(IF(LEN(_xlpm.steps)&gt;2,RIGHT(_xlpm.steps,2),_xlpm.steps)))</f>
        <v>69</v>
      </c>
      <c r="D3709">
        <f>_xlfn.LET(_xlpm.dir,Table1[[#This Row],[Direction]],
IF(_xlpm.dir="L",
    IF(F3708-Table1[[#This Row],[Steps]]&lt;0,100+(F3708-Table1[[#This Row],[Steps]]),F3708-Table1[[#This Row],[Steps]]),
))</f>
        <v>0</v>
      </c>
      <c r="E3709">
        <f>_xlfn.LET(_xlpm.dir,Table1[[#This Row],[Direction]],
IF(_xlpm.dir="R",
    IF(F3708+Table1[[#This Row],[Steps]]&gt;99,(F3708+Table1[[#This Row],[Steps]])-100,F3708+Table1[[#This Row],[Steps]]),
))</f>
        <v>0</v>
      </c>
      <c r="F3709">
        <f>IF(Table1[[#This Row],[New Pos L]]&lt;&gt;0,Table1[[#This Row],[New Pos L]],Table1[[#This Row],[New Pos R]])</f>
        <v>0</v>
      </c>
    </row>
    <row r="3710" spans="1:6" ht="16" x14ac:dyDescent="0.2">
      <c r="A3710" s="1" t="s">
        <v>364</v>
      </c>
      <c r="B3710" t="str">
        <f>LEFT(Table1[[#This Row],[Input]],1)</f>
        <v>L</v>
      </c>
      <c r="C3710">
        <f>_xlfn.LET(_xlpm.steps,SUBSTITUTE(Table1[[#This Row],[Input]],Table1[[#This Row],[Direction]],""),VALUE(IF(LEN(_xlpm.steps)&gt;2,RIGHT(_xlpm.steps,2),_xlpm.steps)))</f>
        <v>70</v>
      </c>
      <c r="D3710">
        <f>_xlfn.LET(_xlpm.dir,Table1[[#This Row],[Direction]],
IF(_xlpm.dir="L",
    IF(F3709-Table1[[#This Row],[Steps]]&lt;0,100+(F3709-Table1[[#This Row],[Steps]]),F3709-Table1[[#This Row],[Steps]]),
))</f>
        <v>30</v>
      </c>
      <c r="E3710">
        <f>_xlfn.LET(_xlpm.dir,Table1[[#This Row],[Direction]],
IF(_xlpm.dir="R",
    IF(F3709+Table1[[#This Row],[Steps]]&gt;99,(F3709+Table1[[#This Row],[Steps]])-100,F3709+Table1[[#This Row],[Steps]]),
))</f>
        <v>0</v>
      </c>
      <c r="F3710">
        <f>IF(Table1[[#This Row],[New Pos L]]&lt;&gt;0,Table1[[#This Row],[New Pos L]],Table1[[#This Row],[New Pos R]])</f>
        <v>30</v>
      </c>
    </row>
    <row r="3711" spans="1:6" ht="16" x14ac:dyDescent="0.2">
      <c r="A3711" s="1" t="s">
        <v>79</v>
      </c>
      <c r="B3711" t="str">
        <f>LEFT(Table1[[#This Row],[Input]],1)</f>
        <v>L</v>
      </c>
      <c r="C3711">
        <f>_xlfn.LET(_xlpm.steps,SUBSTITUTE(Table1[[#This Row],[Input]],Table1[[#This Row],[Direction]],""),VALUE(IF(LEN(_xlpm.steps)&gt;2,RIGHT(_xlpm.steps,2),_xlpm.steps)))</f>
        <v>45</v>
      </c>
      <c r="D3711">
        <f>_xlfn.LET(_xlpm.dir,Table1[[#This Row],[Direction]],
IF(_xlpm.dir="L",
    IF(F3710-Table1[[#This Row],[Steps]]&lt;0,100+(F3710-Table1[[#This Row],[Steps]]),F3710-Table1[[#This Row],[Steps]]),
))</f>
        <v>85</v>
      </c>
      <c r="E3711">
        <f>_xlfn.LET(_xlpm.dir,Table1[[#This Row],[Direction]],
IF(_xlpm.dir="R",
    IF(F3710+Table1[[#This Row],[Steps]]&gt;99,(F3710+Table1[[#This Row],[Steps]])-100,F3710+Table1[[#This Row],[Steps]]),
))</f>
        <v>0</v>
      </c>
      <c r="F3711">
        <f>IF(Table1[[#This Row],[New Pos L]]&lt;&gt;0,Table1[[#This Row],[New Pos L]],Table1[[#This Row],[New Pos R]])</f>
        <v>85</v>
      </c>
    </row>
    <row r="3712" spans="1:6" ht="16" x14ac:dyDescent="0.2">
      <c r="A3712" s="1" t="s">
        <v>38</v>
      </c>
      <c r="B3712" t="str">
        <f>LEFT(Table1[[#This Row],[Input]],1)</f>
        <v>R</v>
      </c>
      <c r="C3712">
        <f>_xlfn.LET(_xlpm.steps,SUBSTITUTE(Table1[[#This Row],[Input]],Table1[[#This Row],[Direction]],""),VALUE(IF(LEN(_xlpm.steps)&gt;2,RIGHT(_xlpm.steps,2),_xlpm.steps)))</f>
        <v>15</v>
      </c>
      <c r="D3712">
        <f>_xlfn.LET(_xlpm.dir,Table1[[#This Row],[Direction]],
IF(_xlpm.dir="L",
    IF(F3711-Table1[[#This Row],[Steps]]&lt;0,100+(F3711-Table1[[#This Row],[Steps]]),F3711-Table1[[#This Row],[Steps]]),
))</f>
        <v>0</v>
      </c>
      <c r="E3712">
        <f>_xlfn.LET(_xlpm.dir,Table1[[#This Row],[Direction]],
IF(_xlpm.dir="R",
    IF(F3711+Table1[[#This Row],[Steps]]&gt;99,(F3711+Table1[[#This Row],[Steps]])-100,F3711+Table1[[#This Row],[Steps]]),
))</f>
        <v>0</v>
      </c>
      <c r="F3712">
        <f>IF(Table1[[#This Row],[New Pos L]]&lt;&gt;0,Table1[[#This Row],[New Pos L]],Table1[[#This Row],[New Pos R]])</f>
        <v>0</v>
      </c>
    </row>
    <row r="3713" spans="1:6" ht="16" x14ac:dyDescent="0.2">
      <c r="A3713" s="1" t="s">
        <v>36</v>
      </c>
      <c r="B3713" t="str">
        <f>LEFT(Table1[[#This Row],[Input]],1)</f>
        <v>R</v>
      </c>
      <c r="C3713">
        <f>_xlfn.LET(_xlpm.steps,SUBSTITUTE(Table1[[#This Row],[Input]],Table1[[#This Row],[Direction]],""),VALUE(IF(LEN(_xlpm.steps)&gt;2,RIGHT(_xlpm.steps,2),_xlpm.steps)))</f>
        <v>50</v>
      </c>
      <c r="D3713">
        <f>_xlfn.LET(_xlpm.dir,Table1[[#This Row],[Direction]],
IF(_xlpm.dir="L",
    IF(F3712-Table1[[#This Row],[Steps]]&lt;0,100+(F3712-Table1[[#This Row],[Steps]]),F3712-Table1[[#This Row],[Steps]]),
))</f>
        <v>0</v>
      </c>
      <c r="E3713">
        <f>_xlfn.LET(_xlpm.dir,Table1[[#This Row],[Direction]],
IF(_xlpm.dir="R",
    IF(F3712+Table1[[#This Row],[Steps]]&gt;99,(F3712+Table1[[#This Row],[Steps]])-100,F3712+Table1[[#This Row],[Steps]]),
))</f>
        <v>50</v>
      </c>
      <c r="F3713">
        <f>IF(Table1[[#This Row],[New Pos L]]&lt;&gt;0,Table1[[#This Row],[New Pos L]],Table1[[#This Row],[New Pos R]])</f>
        <v>50</v>
      </c>
    </row>
    <row r="3714" spans="1:6" ht="16" x14ac:dyDescent="0.2">
      <c r="A3714" s="1" t="s">
        <v>17</v>
      </c>
      <c r="B3714" t="str">
        <f>LEFT(Table1[[#This Row],[Input]],1)</f>
        <v>L</v>
      </c>
      <c r="C3714">
        <f>_xlfn.LET(_xlpm.steps,SUBSTITUTE(Table1[[#This Row],[Input]],Table1[[#This Row],[Direction]],""),VALUE(IF(LEN(_xlpm.steps)&gt;2,RIGHT(_xlpm.steps,2),_xlpm.steps)))</f>
        <v>50</v>
      </c>
      <c r="D3714">
        <f>_xlfn.LET(_xlpm.dir,Table1[[#This Row],[Direction]],
IF(_xlpm.dir="L",
    IF(F3713-Table1[[#This Row],[Steps]]&lt;0,100+(F3713-Table1[[#This Row],[Steps]]),F3713-Table1[[#This Row],[Steps]]),
))</f>
        <v>0</v>
      </c>
      <c r="E3714">
        <f>_xlfn.LET(_xlpm.dir,Table1[[#This Row],[Direction]],
IF(_xlpm.dir="R",
    IF(F3713+Table1[[#This Row],[Steps]]&gt;99,(F3713+Table1[[#This Row],[Steps]])-100,F3713+Table1[[#This Row],[Steps]]),
))</f>
        <v>0</v>
      </c>
      <c r="F3714">
        <f>IF(Table1[[#This Row],[New Pos L]]&lt;&gt;0,Table1[[#This Row],[New Pos L]],Table1[[#This Row],[New Pos R]])</f>
        <v>0</v>
      </c>
    </row>
    <row r="3715" spans="1:6" ht="16" x14ac:dyDescent="0.2">
      <c r="A3715" s="1" t="s">
        <v>264</v>
      </c>
      <c r="B3715" t="str">
        <f>LEFT(Table1[[#This Row],[Input]],1)</f>
        <v>L</v>
      </c>
      <c r="C3715">
        <f>_xlfn.LET(_xlpm.steps,SUBSTITUTE(Table1[[#This Row],[Input]],Table1[[#This Row],[Direction]],""),VALUE(IF(LEN(_xlpm.steps)&gt;2,RIGHT(_xlpm.steps,2),_xlpm.steps)))</f>
        <v>21</v>
      </c>
      <c r="D3715">
        <f>_xlfn.LET(_xlpm.dir,Table1[[#This Row],[Direction]],
IF(_xlpm.dir="L",
    IF(F3714-Table1[[#This Row],[Steps]]&lt;0,100+(F3714-Table1[[#This Row],[Steps]]),F3714-Table1[[#This Row],[Steps]]),
))</f>
        <v>79</v>
      </c>
      <c r="E3715">
        <f>_xlfn.LET(_xlpm.dir,Table1[[#This Row],[Direction]],
IF(_xlpm.dir="R",
    IF(F3714+Table1[[#This Row],[Steps]]&gt;99,(F3714+Table1[[#This Row],[Steps]])-100,F3714+Table1[[#This Row],[Steps]]),
))</f>
        <v>0</v>
      </c>
      <c r="F3715">
        <f>IF(Table1[[#This Row],[New Pos L]]&lt;&gt;0,Table1[[#This Row],[New Pos L]],Table1[[#This Row],[New Pos R]])</f>
        <v>79</v>
      </c>
    </row>
    <row r="3716" spans="1:6" ht="16" x14ac:dyDescent="0.2">
      <c r="A3716" s="1" t="s">
        <v>34</v>
      </c>
      <c r="B3716" t="str">
        <f>LEFT(Table1[[#This Row],[Input]],1)</f>
        <v>L</v>
      </c>
      <c r="C3716">
        <f>_xlfn.LET(_xlpm.steps,SUBSTITUTE(Table1[[#This Row],[Input]],Table1[[#This Row],[Direction]],""),VALUE(IF(LEN(_xlpm.steps)&gt;2,RIGHT(_xlpm.steps,2),_xlpm.steps)))</f>
        <v>15</v>
      </c>
      <c r="D3716">
        <f>_xlfn.LET(_xlpm.dir,Table1[[#This Row],[Direction]],
IF(_xlpm.dir="L",
    IF(F3715-Table1[[#This Row],[Steps]]&lt;0,100+(F3715-Table1[[#This Row],[Steps]]),F3715-Table1[[#This Row],[Steps]]),
))</f>
        <v>64</v>
      </c>
      <c r="E3716">
        <f>_xlfn.LET(_xlpm.dir,Table1[[#This Row],[Direction]],
IF(_xlpm.dir="R",
    IF(F3715+Table1[[#This Row],[Steps]]&gt;99,(F3715+Table1[[#This Row],[Steps]])-100,F3715+Table1[[#This Row],[Steps]]),
))</f>
        <v>0</v>
      </c>
      <c r="F3716">
        <f>IF(Table1[[#This Row],[New Pos L]]&lt;&gt;0,Table1[[#This Row],[New Pos L]],Table1[[#This Row],[New Pos R]])</f>
        <v>64</v>
      </c>
    </row>
    <row r="3717" spans="1:6" ht="16" x14ac:dyDescent="0.2">
      <c r="A3717" s="1" t="s">
        <v>784</v>
      </c>
      <c r="B3717" t="str">
        <f>LEFT(Table1[[#This Row],[Input]],1)</f>
        <v>R</v>
      </c>
      <c r="C3717">
        <f>_xlfn.LET(_xlpm.steps,SUBSTITUTE(Table1[[#This Row],[Input]],Table1[[#This Row],[Direction]],""),VALUE(IF(LEN(_xlpm.steps)&gt;2,RIGHT(_xlpm.steps,2),_xlpm.steps)))</f>
        <v>36</v>
      </c>
      <c r="D3717">
        <f>_xlfn.LET(_xlpm.dir,Table1[[#This Row],[Direction]],
IF(_xlpm.dir="L",
    IF(F3716-Table1[[#This Row],[Steps]]&lt;0,100+(F3716-Table1[[#This Row],[Steps]]),F3716-Table1[[#This Row],[Steps]]),
))</f>
        <v>0</v>
      </c>
      <c r="E3717">
        <f>_xlfn.LET(_xlpm.dir,Table1[[#This Row],[Direction]],
IF(_xlpm.dir="R",
    IF(F3716+Table1[[#This Row],[Steps]]&gt;99,(F3716+Table1[[#This Row],[Steps]])-100,F3716+Table1[[#This Row],[Steps]]),
))</f>
        <v>0</v>
      </c>
      <c r="F3717">
        <f>IF(Table1[[#This Row],[New Pos L]]&lt;&gt;0,Table1[[#This Row],[New Pos L]],Table1[[#This Row],[New Pos R]])</f>
        <v>0</v>
      </c>
    </row>
    <row r="3718" spans="1:6" ht="16" x14ac:dyDescent="0.2">
      <c r="A3718" s="1" t="s">
        <v>785</v>
      </c>
      <c r="B3718" t="str">
        <f>LEFT(Table1[[#This Row],[Input]],1)</f>
        <v>R</v>
      </c>
      <c r="C3718">
        <f>_xlfn.LET(_xlpm.steps,SUBSTITUTE(Table1[[#This Row],[Input]],Table1[[#This Row],[Direction]],""),VALUE(IF(LEN(_xlpm.steps)&gt;2,RIGHT(_xlpm.steps,2),_xlpm.steps)))</f>
        <v>65</v>
      </c>
      <c r="D3718">
        <f>_xlfn.LET(_xlpm.dir,Table1[[#This Row],[Direction]],
IF(_xlpm.dir="L",
    IF(F3717-Table1[[#This Row],[Steps]]&lt;0,100+(F3717-Table1[[#This Row],[Steps]]),F3717-Table1[[#This Row],[Steps]]),
))</f>
        <v>0</v>
      </c>
      <c r="E3718">
        <f>_xlfn.LET(_xlpm.dir,Table1[[#This Row],[Direction]],
IF(_xlpm.dir="R",
    IF(F3717+Table1[[#This Row],[Steps]]&gt;99,(F3717+Table1[[#This Row],[Steps]])-100,F3717+Table1[[#This Row],[Steps]]),
))</f>
        <v>65</v>
      </c>
      <c r="F3718">
        <f>IF(Table1[[#This Row],[New Pos L]]&lt;&gt;0,Table1[[#This Row],[New Pos L]],Table1[[#This Row],[New Pos R]])</f>
        <v>65</v>
      </c>
    </row>
    <row r="3719" spans="1:6" ht="16" x14ac:dyDescent="0.2">
      <c r="A3719" s="1" t="s">
        <v>68</v>
      </c>
      <c r="B3719" t="str">
        <f>LEFT(Table1[[#This Row],[Input]],1)</f>
        <v>L</v>
      </c>
      <c r="C3719">
        <f>_xlfn.LET(_xlpm.steps,SUBSTITUTE(Table1[[#This Row],[Input]],Table1[[#This Row],[Direction]],""),VALUE(IF(LEN(_xlpm.steps)&gt;2,RIGHT(_xlpm.steps,2),_xlpm.steps)))</f>
        <v>80</v>
      </c>
      <c r="D3719">
        <f>_xlfn.LET(_xlpm.dir,Table1[[#This Row],[Direction]],
IF(_xlpm.dir="L",
    IF(F3718-Table1[[#This Row],[Steps]]&lt;0,100+(F3718-Table1[[#This Row],[Steps]]),F3718-Table1[[#This Row],[Steps]]),
))</f>
        <v>85</v>
      </c>
      <c r="E3719">
        <f>_xlfn.LET(_xlpm.dir,Table1[[#This Row],[Direction]],
IF(_xlpm.dir="R",
    IF(F3718+Table1[[#This Row],[Steps]]&gt;99,(F3718+Table1[[#This Row],[Steps]])-100,F3718+Table1[[#This Row],[Steps]]),
))</f>
        <v>0</v>
      </c>
      <c r="F3719">
        <f>IF(Table1[[#This Row],[New Pos L]]&lt;&gt;0,Table1[[#This Row],[New Pos L]],Table1[[#This Row],[New Pos R]])</f>
        <v>85</v>
      </c>
    </row>
    <row r="3720" spans="1:6" ht="16" x14ac:dyDescent="0.2">
      <c r="A3720" s="1" t="s">
        <v>786</v>
      </c>
      <c r="B3720" t="str">
        <f>LEFT(Table1[[#This Row],[Input]],1)</f>
        <v>L</v>
      </c>
      <c r="C3720">
        <f>_xlfn.LET(_xlpm.steps,SUBSTITUTE(Table1[[#This Row],[Input]],Table1[[#This Row],[Direction]],""),VALUE(IF(LEN(_xlpm.steps)&gt;2,RIGHT(_xlpm.steps,2),_xlpm.steps)))</f>
        <v>99</v>
      </c>
      <c r="D3720">
        <f>_xlfn.LET(_xlpm.dir,Table1[[#This Row],[Direction]],
IF(_xlpm.dir="L",
    IF(F3719-Table1[[#This Row],[Steps]]&lt;0,100+(F3719-Table1[[#This Row],[Steps]]),F3719-Table1[[#This Row],[Steps]]),
))</f>
        <v>86</v>
      </c>
      <c r="E3720">
        <f>_xlfn.LET(_xlpm.dir,Table1[[#This Row],[Direction]],
IF(_xlpm.dir="R",
    IF(F3719+Table1[[#This Row],[Steps]]&gt;99,(F3719+Table1[[#This Row],[Steps]])-100,F3719+Table1[[#This Row],[Steps]]),
))</f>
        <v>0</v>
      </c>
      <c r="F3720">
        <f>IF(Table1[[#This Row],[New Pos L]]&lt;&gt;0,Table1[[#This Row],[New Pos L]],Table1[[#This Row],[New Pos R]])</f>
        <v>86</v>
      </c>
    </row>
    <row r="3721" spans="1:6" ht="16" x14ac:dyDescent="0.2">
      <c r="A3721" s="1" t="s">
        <v>128</v>
      </c>
      <c r="B3721" t="str">
        <f>LEFT(Table1[[#This Row],[Input]],1)</f>
        <v>R</v>
      </c>
      <c r="C3721">
        <f>_xlfn.LET(_xlpm.steps,SUBSTITUTE(Table1[[#This Row],[Input]],Table1[[#This Row],[Direction]],""),VALUE(IF(LEN(_xlpm.steps)&gt;2,RIGHT(_xlpm.steps,2),_xlpm.steps)))</f>
        <v>92</v>
      </c>
      <c r="D3721">
        <f>_xlfn.LET(_xlpm.dir,Table1[[#This Row],[Direction]],
IF(_xlpm.dir="L",
    IF(F3720-Table1[[#This Row],[Steps]]&lt;0,100+(F3720-Table1[[#This Row],[Steps]]),F3720-Table1[[#This Row],[Steps]]),
))</f>
        <v>0</v>
      </c>
      <c r="E3721">
        <f>_xlfn.LET(_xlpm.dir,Table1[[#This Row],[Direction]],
IF(_xlpm.dir="R",
    IF(F3720+Table1[[#This Row],[Steps]]&gt;99,(F3720+Table1[[#This Row],[Steps]])-100,F3720+Table1[[#This Row],[Steps]]),
))</f>
        <v>78</v>
      </c>
      <c r="F3721">
        <f>IF(Table1[[#This Row],[New Pos L]]&lt;&gt;0,Table1[[#This Row],[New Pos L]],Table1[[#This Row],[New Pos R]])</f>
        <v>78</v>
      </c>
    </row>
    <row r="3722" spans="1:6" ht="16" x14ac:dyDescent="0.2">
      <c r="A3722" s="1" t="s">
        <v>234</v>
      </c>
      <c r="B3722" t="str">
        <f>LEFT(Table1[[#This Row],[Input]],1)</f>
        <v>R</v>
      </c>
      <c r="C3722">
        <f>_xlfn.LET(_xlpm.steps,SUBSTITUTE(Table1[[#This Row],[Input]],Table1[[#This Row],[Direction]],""),VALUE(IF(LEN(_xlpm.steps)&gt;2,RIGHT(_xlpm.steps,2),_xlpm.steps)))</f>
        <v>82</v>
      </c>
      <c r="D3722">
        <f>_xlfn.LET(_xlpm.dir,Table1[[#This Row],[Direction]],
IF(_xlpm.dir="L",
    IF(F3721-Table1[[#This Row],[Steps]]&lt;0,100+(F3721-Table1[[#This Row],[Steps]]),F3721-Table1[[#This Row],[Steps]]),
))</f>
        <v>0</v>
      </c>
      <c r="E3722">
        <f>_xlfn.LET(_xlpm.dir,Table1[[#This Row],[Direction]],
IF(_xlpm.dir="R",
    IF(F3721+Table1[[#This Row],[Steps]]&gt;99,(F3721+Table1[[#This Row],[Steps]])-100,F3721+Table1[[#This Row],[Steps]]),
))</f>
        <v>60</v>
      </c>
      <c r="F3722">
        <f>IF(Table1[[#This Row],[New Pos L]]&lt;&gt;0,Table1[[#This Row],[New Pos L]],Table1[[#This Row],[New Pos R]])</f>
        <v>60</v>
      </c>
    </row>
    <row r="3723" spans="1:6" ht="16" x14ac:dyDescent="0.2">
      <c r="A3723" s="1" t="s">
        <v>1</v>
      </c>
      <c r="B3723" t="str">
        <f>LEFT(Table1[[#This Row],[Input]],1)</f>
        <v>R</v>
      </c>
      <c r="C3723">
        <f>_xlfn.LET(_xlpm.steps,SUBSTITUTE(Table1[[#This Row],[Input]],Table1[[#This Row],[Direction]],""),VALUE(IF(LEN(_xlpm.steps)&gt;2,RIGHT(_xlpm.steps,2),_xlpm.steps)))</f>
        <v>26</v>
      </c>
      <c r="D3723">
        <f>_xlfn.LET(_xlpm.dir,Table1[[#This Row],[Direction]],
IF(_xlpm.dir="L",
    IF(F3722-Table1[[#This Row],[Steps]]&lt;0,100+(F3722-Table1[[#This Row],[Steps]]),F3722-Table1[[#This Row],[Steps]]),
))</f>
        <v>0</v>
      </c>
      <c r="E3723">
        <f>_xlfn.LET(_xlpm.dir,Table1[[#This Row],[Direction]],
IF(_xlpm.dir="R",
    IF(F3722+Table1[[#This Row],[Steps]]&gt;99,(F3722+Table1[[#This Row],[Steps]])-100,F3722+Table1[[#This Row],[Steps]]),
))</f>
        <v>86</v>
      </c>
      <c r="F3723">
        <f>IF(Table1[[#This Row],[New Pos L]]&lt;&gt;0,Table1[[#This Row],[New Pos L]],Table1[[#This Row],[New Pos R]])</f>
        <v>86</v>
      </c>
    </row>
    <row r="3724" spans="1:6" ht="16" x14ac:dyDescent="0.2">
      <c r="A3724" s="1" t="s">
        <v>79</v>
      </c>
      <c r="B3724" t="str">
        <f>LEFT(Table1[[#This Row],[Input]],1)</f>
        <v>L</v>
      </c>
      <c r="C3724">
        <f>_xlfn.LET(_xlpm.steps,SUBSTITUTE(Table1[[#This Row],[Input]],Table1[[#This Row],[Direction]],""),VALUE(IF(LEN(_xlpm.steps)&gt;2,RIGHT(_xlpm.steps,2),_xlpm.steps)))</f>
        <v>45</v>
      </c>
      <c r="D3724">
        <f>_xlfn.LET(_xlpm.dir,Table1[[#This Row],[Direction]],
IF(_xlpm.dir="L",
    IF(F3723-Table1[[#This Row],[Steps]]&lt;0,100+(F3723-Table1[[#This Row],[Steps]]),F3723-Table1[[#This Row],[Steps]]),
))</f>
        <v>41</v>
      </c>
      <c r="E3724">
        <f>_xlfn.LET(_xlpm.dir,Table1[[#This Row],[Direction]],
IF(_xlpm.dir="R",
    IF(F3723+Table1[[#This Row],[Steps]]&gt;99,(F3723+Table1[[#This Row],[Steps]])-100,F3723+Table1[[#This Row],[Steps]]),
))</f>
        <v>0</v>
      </c>
      <c r="F3724">
        <f>IF(Table1[[#This Row],[New Pos L]]&lt;&gt;0,Table1[[#This Row],[New Pos L]],Table1[[#This Row],[New Pos R]])</f>
        <v>41</v>
      </c>
    </row>
    <row r="3725" spans="1:6" ht="16" x14ac:dyDescent="0.2">
      <c r="A3725" s="1" t="s">
        <v>260</v>
      </c>
      <c r="B3725" t="str">
        <f>LEFT(Table1[[#This Row],[Input]],1)</f>
        <v>L</v>
      </c>
      <c r="C3725">
        <f>_xlfn.LET(_xlpm.steps,SUBSTITUTE(Table1[[#This Row],[Input]],Table1[[#This Row],[Direction]],""),VALUE(IF(LEN(_xlpm.steps)&gt;2,RIGHT(_xlpm.steps,2),_xlpm.steps)))</f>
        <v>85</v>
      </c>
      <c r="D3725">
        <f>_xlfn.LET(_xlpm.dir,Table1[[#This Row],[Direction]],
IF(_xlpm.dir="L",
    IF(F3724-Table1[[#This Row],[Steps]]&lt;0,100+(F3724-Table1[[#This Row],[Steps]]),F3724-Table1[[#This Row],[Steps]]),
))</f>
        <v>56</v>
      </c>
      <c r="E3725">
        <f>_xlfn.LET(_xlpm.dir,Table1[[#This Row],[Direction]],
IF(_xlpm.dir="R",
    IF(F3724+Table1[[#This Row],[Steps]]&gt;99,(F3724+Table1[[#This Row],[Steps]])-100,F3724+Table1[[#This Row],[Steps]]),
))</f>
        <v>0</v>
      </c>
      <c r="F3725">
        <f>IF(Table1[[#This Row],[New Pos L]]&lt;&gt;0,Table1[[#This Row],[New Pos L]],Table1[[#This Row],[New Pos R]])</f>
        <v>56</v>
      </c>
    </row>
    <row r="3726" spans="1:6" ht="16" x14ac:dyDescent="0.2">
      <c r="A3726" s="1" t="s">
        <v>53</v>
      </c>
      <c r="B3726" t="str">
        <f>LEFT(Table1[[#This Row],[Input]],1)</f>
        <v>L</v>
      </c>
      <c r="C3726">
        <f>_xlfn.LET(_xlpm.steps,SUBSTITUTE(Table1[[#This Row],[Input]],Table1[[#This Row],[Direction]],""),VALUE(IF(LEN(_xlpm.steps)&gt;2,RIGHT(_xlpm.steps,2),_xlpm.steps)))</f>
        <v>56</v>
      </c>
      <c r="D3726">
        <f>_xlfn.LET(_xlpm.dir,Table1[[#This Row],[Direction]],
IF(_xlpm.dir="L",
    IF(F3725-Table1[[#This Row],[Steps]]&lt;0,100+(F3725-Table1[[#This Row],[Steps]]),F3725-Table1[[#This Row],[Steps]]),
))</f>
        <v>0</v>
      </c>
      <c r="E3726">
        <f>_xlfn.LET(_xlpm.dir,Table1[[#This Row],[Direction]],
IF(_xlpm.dir="R",
    IF(F3725+Table1[[#This Row],[Steps]]&gt;99,(F3725+Table1[[#This Row],[Steps]])-100,F3725+Table1[[#This Row],[Steps]]),
))</f>
        <v>0</v>
      </c>
      <c r="F3726">
        <f>IF(Table1[[#This Row],[New Pos L]]&lt;&gt;0,Table1[[#This Row],[New Pos L]],Table1[[#This Row],[New Pos R]])</f>
        <v>0</v>
      </c>
    </row>
    <row r="3727" spans="1:6" ht="16" x14ac:dyDescent="0.2">
      <c r="A3727" s="1" t="s">
        <v>787</v>
      </c>
      <c r="B3727" t="str">
        <f>LEFT(Table1[[#This Row],[Input]],1)</f>
        <v>R</v>
      </c>
      <c r="C3727">
        <f>_xlfn.LET(_xlpm.steps,SUBSTITUTE(Table1[[#This Row],[Input]],Table1[[#This Row],[Direction]],""),VALUE(IF(LEN(_xlpm.steps)&gt;2,RIGHT(_xlpm.steps,2),_xlpm.steps)))</f>
        <v>92</v>
      </c>
      <c r="D3727">
        <f>_xlfn.LET(_xlpm.dir,Table1[[#This Row],[Direction]],
IF(_xlpm.dir="L",
    IF(F3726-Table1[[#This Row],[Steps]]&lt;0,100+(F3726-Table1[[#This Row],[Steps]]),F3726-Table1[[#This Row],[Steps]]),
))</f>
        <v>0</v>
      </c>
      <c r="E3727">
        <f>_xlfn.LET(_xlpm.dir,Table1[[#This Row],[Direction]],
IF(_xlpm.dir="R",
    IF(F3726+Table1[[#This Row],[Steps]]&gt;99,(F3726+Table1[[#This Row],[Steps]])-100,F3726+Table1[[#This Row],[Steps]]),
))</f>
        <v>92</v>
      </c>
      <c r="F3727">
        <f>IF(Table1[[#This Row],[New Pos L]]&lt;&gt;0,Table1[[#This Row],[New Pos L]],Table1[[#This Row],[New Pos R]])</f>
        <v>92</v>
      </c>
    </row>
    <row r="3728" spans="1:6" ht="16" x14ac:dyDescent="0.2">
      <c r="A3728" s="1" t="s">
        <v>174</v>
      </c>
      <c r="B3728" t="str">
        <f>LEFT(Table1[[#This Row],[Input]],1)</f>
        <v>L</v>
      </c>
      <c r="C3728">
        <f>_xlfn.LET(_xlpm.steps,SUBSTITUTE(Table1[[#This Row],[Input]],Table1[[#This Row],[Direction]],""),VALUE(IF(LEN(_xlpm.steps)&gt;2,RIGHT(_xlpm.steps,2),_xlpm.steps)))</f>
        <v>92</v>
      </c>
      <c r="D3728">
        <f>_xlfn.LET(_xlpm.dir,Table1[[#This Row],[Direction]],
IF(_xlpm.dir="L",
    IF(F3727-Table1[[#This Row],[Steps]]&lt;0,100+(F3727-Table1[[#This Row],[Steps]]),F3727-Table1[[#This Row],[Steps]]),
))</f>
        <v>0</v>
      </c>
      <c r="E3728">
        <f>_xlfn.LET(_xlpm.dir,Table1[[#This Row],[Direction]],
IF(_xlpm.dir="R",
    IF(F3727+Table1[[#This Row],[Steps]]&gt;99,(F3727+Table1[[#This Row],[Steps]])-100,F3727+Table1[[#This Row],[Steps]]),
))</f>
        <v>0</v>
      </c>
      <c r="F3728">
        <f>IF(Table1[[#This Row],[New Pos L]]&lt;&gt;0,Table1[[#This Row],[New Pos L]],Table1[[#This Row],[New Pos R]])</f>
        <v>0</v>
      </c>
    </row>
    <row r="3729" spans="1:6" ht="16" x14ac:dyDescent="0.2">
      <c r="A3729" s="1" t="s">
        <v>25</v>
      </c>
      <c r="B3729" t="str">
        <f>LEFT(Table1[[#This Row],[Input]],1)</f>
        <v>L</v>
      </c>
      <c r="C3729">
        <f>_xlfn.LET(_xlpm.steps,SUBSTITUTE(Table1[[#This Row],[Input]],Table1[[#This Row],[Direction]],""),VALUE(IF(LEN(_xlpm.steps)&gt;2,RIGHT(_xlpm.steps,2),_xlpm.steps)))</f>
        <v>20</v>
      </c>
      <c r="D3729">
        <f>_xlfn.LET(_xlpm.dir,Table1[[#This Row],[Direction]],
IF(_xlpm.dir="L",
    IF(F3728-Table1[[#This Row],[Steps]]&lt;0,100+(F3728-Table1[[#This Row],[Steps]]),F3728-Table1[[#This Row],[Steps]]),
))</f>
        <v>80</v>
      </c>
      <c r="E3729">
        <f>_xlfn.LET(_xlpm.dir,Table1[[#This Row],[Direction]],
IF(_xlpm.dir="R",
    IF(F3728+Table1[[#This Row],[Steps]]&gt;99,(F3728+Table1[[#This Row],[Steps]])-100,F3728+Table1[[#This Row],[Steps]]),
))</f>
        <v>0</v>
      </c>
      <c r="F3729">
        <f>IF(Table1[[#This Row],[New Pos L]]&lt;&gt;0,Table1[[#This Row],[New Pos L]],Table1[[#This Row],[New Pos R]])</f>
        <v>80</v>
      </c>
    </row>
    <row r="3730" spans="1:6" ht="16" x14ac:dyDescent="0.2">
      <c r="A3730" s="1" t="s">
        <v>15</v>
      </c>
      <c r="B3730" t="str">
        <f>LEFT(Table1[[#This Row],[Input]],1)</f>
        <v>R</v>
      </c>
      <c r="C3730">
        <f>_xlfn.LET(_xlpm.steps,SUBSTITUTE(Table1[[#This Row],[Input]],Table1[[#This Row],[Direction]],""),VALUE(IF(LEN(_xlpm.steps)&gt;2,RIGHT(_xlpm.steps,2),_xlpm.steps)))</f>
        <v>36</v>
      </c>
      <c r="D3730">
        <f>_xlfn.LET(_xlpm.dir,Table1[[#This Row],[Direction]],
IF(_xlpm.dir="L",
    IF(F3729-Table1[[#This Row],[Steps]]&lt;0,100+(F3729-Table1[[#This Row],[Steps]]),F3729-Table1[[#This Row],[Steps]]),
))</f>
        <v>0</v>
      </c>
      <c r="E3730">
        <f>_xlfn.LET(_xlpm.dir,Table1[[#This Row],[Direction]],
IF(_xlpm.dir="R",
    IF(F3729+Table1[[#This Row],[Steps]]&gt;99,(F3729+Table1[[#This Row],[Steps]])-100,F3729+Table1[[#This Row],[Steps]]),
))</f>
        <v>16</v>
      </c>
      <c r="F3730">
        <f>IF(Table1[[#This Row],[New Pos L]]&lt;&gt;0,Table1[[#This Row],[New Pos L]],Table1[[#This Row],[New Pos R]])</f>
        <v>16</v>
      </c>
    </row>
    <row r="3731" spans="1:6" ht="16" x14ac:dyDescent="0.2">
      <c r="A3731" s="1" t="s">
        <v>363</v>
      </c>
      <c r="B3731" t="str">
        <f>LEFT(Table1[[#This Row],[Input]],1)</f>
        <v>R</v>
      </c>
      <c r="C3731">
        <f>_xlfn.LET(_xlpm.steps,SUBSTITUTE(Table1[[#This Row],[Input]],Table1[[#This Row],[Direction]],""),VALUE(IF(LEN(_xlpm.steps)&gt;2,RIGHT(_xlpm.steps,2),_xlpm.steps)))</f>
        <v>63</v>
      </c>
      <c r="D3731">
        <f>_xlfn.LET(_xlpm.dir,Table1[[#This Row],[Direction]],
IF(_xlpm.dir="L",
    IF(F3730-Table1[[#This Row],[Steps]]&lt;0,100+(F3730-Table1[[#This Row],[Steps]]),F3730-Table1[[#This Row],[Steps]]),
))</f>
        <v>0</v>
      </c>
      <c r="E3731">
        <f>_xlfn.LET(_xlpm.dir,Table1[[#This Row],[Direction]],
IF(_xlpm.dir="R",
    IF(F3730+Table1[[#This Row],[Steps]]&gt;99,(F3730+Table1[[#This Row],[Steps]])-100,F3730+Table1[[#This Row],[Steps]]),
))</f>
        <v>79</v>
      </c>
      <c r="F3731">
        <f>IF(Table1[[#This Row],[New Pos L]]&lt;&gt;0,Table1[[#This Row],[New Pos L]],Table1[[#This Row],[New Pos R]])</f>
        <v>79</v>
      </c>
    </row>
    <row r="3732" spans="1:6" ht="16" x14ac:dyDescent="0.2">
      <c r="A3732" s="1" t="s">
        <v>319</v>
      </c>
      <c r="B3732" t="str">
        <f>LEFT(Table1[[#This Row],[Input]],1)</f>
        <v>L</v>
      </c>
      <c r="C3732">
        <f>_xlfn.LET(_xlpm.steps,SUBSTITUTE(Table1[[#This Row],[Input]],Table1[[#This Row],[Direction]],""),VALUE(IF(LEN(_xlpm.steps)&gt;2,RIGHT(_xlpm.steps,2),_xlpm.steps)))</f>
        <v>79</v>
      </c>
      <c r="D3732">
        <f>_xlfn.LET(_xlpm.dir,Table1[[#This Row],[Direction]],
IF(_xlpm.dir="L",
    IF(F3731-Table1[[#This Row],[Steps]]&lt;0,100+(F3731-Table1[[#This Row],[Steps]]),F3731-Table1[[#This Row],[Steps]]),
))</f>
        <v>0</v>
      </c>
      <c r="E3732">
        <f>_xlfn.LET(_xlpm.dir,Table1[[#This Row],[Direction]],
IF(_xlpm.dir="R",
    IF(F3731+Table1[[#This Row],[Steps]]&gt;99,(F3731+Table1[[#This Row],[Steps]])-100,F3731+Table1[[#This Row],[Steps]]),
))</f>
        <v>0</v>
      </c>
      <c r="F3732">
        <f>IF(Table1[[#This Row],[New Pos L]]&lt;&gt;0,Table1[[#This Row],[New Pos L]],Table1[[#This Row],[New Pos R]])</f>
        <v>0</v>
      </c>
    </row>
    <row r="3733" spans="1:6" ht="16" x14ac:dyDescent="0.2">
      <c r="A3733" s="1" t="s">
        <v>788</v>
      </c>
      <c r="B3733" t="str">
        <f>LEFT(Table1[[#This Row],[Input]],1)</f>
        <v>L</v>
      </c>
      <c r="C3733">
        <f>_xlfn.LET(_xlpm.steps,SUBSTITUTE(Table1[[#This Row],[Input]],Table1[[#This Row],[Direction]],""),VALUE(IF(LEN(_xlpm.steps)&gt;2,RIGHT(_xlpm.steps,2),_xlpm.steps)))</f>
        <v>85</v>
      </c>
      <c r="D3733">
        <f>_xlfn.LET(_xlpm.dir,Table1[[#This Row],[Direction]],
IF(_xlpm.dir="L",
    IF(F3732-Table1[[#This Row],[Steps]]&lt;0,100+(F3732-Table1[[#This Row],[Steps]]),F3732-Table1[[#This Row],[Steps]]),
))</f>
        <v>15</v>
      </c>
      <c r="E3733">
        <f>_xlfn.LET(_xlpm.dir,Table1[[#This Row],[Direction]],
IF(_xlpm.dir="R",
    IF(F3732+Table1[[#This Row],[Steps]]&gt;99,(F3732+Table1[[#This Row],[Steps]])-100,F3732+Table1[[#This Row],[Steps]]),
))</f>
        <v>0</v>
      </c>
      <c r="F3733">
        <f>IF(Table1[[#This Row],[New Pos L]]&lt;&gt;0,Table1[[#This Row],[New Pos L]],Table1[[#This Row],[New Pos R]])</f>
        <v>15</v>
      </c>
    </row>
    <row r="3734" spans="1:6" ht="16" x14ac:dyDescent="0.2">
      <c r="A3734" s="1" t="s">
        <v>789</v>
      </c>
      <c r="B3734" t="str">
        <f>LEFT(Table1[[#This Row],[Input]],1)</f>
        <v>L</v>
      </c>
      <c r="C3734">
        <f>_xlfn.LET(_xlpm.steps,SUBSTITUTE(Table1[[#This Row],[Input]],Table1[[#This Row],[Direction]],""),VALUE(IF(LEN(_xlpm.steps)&gt;2,RIGHT(_xlpm.steps,2),_xlpm.steps)))</f>
        <v>15</v>
      </c>
      <c r="D3734">
        <f>_xlfn.LET(_xlpm.dir,Table1[[#This Row],[Direction]],
IF(_xlpm.dir="L",
    IF(F3733-Table1[[#This Row],[Steps]]&lt;0,100+(F3733-Table1[[#This Row],[Steps]]),F3733-Table1[[#This Row],[Steps]]),
))</f>
        <v>0</v>
      </c>
      <c r="E3734">
        <f>_xlfn.LET(_xlpm.dir,Table1[[#This Row],[Direction]],
IF(_xlpm.dir="R",
    IF(F3733+Table1[[#This Row],[Steps]]&gt;99,(F3733+Table1[[#This Row],[Steps]])-100,F3733+Table1[[#This Row],[Steps]]),
))</f>
        <v>0</v>
      </c>
      <c r="F3734">
        <f>IF(Table1[[#This Row],[New Pos L]]&lt;&gt;0,Table1[[#This Row],[New Pos L]],Table1[[#This Row],[New Pos R]])</f>
        <v>0</v>
      </c>
    </row>
    <row r="3735" spans="1:6" ht="16" x14ac:dyDescent="0.2">
      <c r="A3735" s="1" t="s">
        <v>24</v>
      </c>
      <c r="B3735" t="str">
        <f>LEFT(Table1[[#This Row],[Input]],1)</f>
        <v>L</v>
      </c>
      <c r="C3735">
        <f>_xlfn.LET(_xlpm.steps,SUBSTITUTE(Table1[[#This Row],[Input]],Table1[[#This Row],[Direction]],""),VALUE(IF(LEN(_xlpm.steps)&gt;2,RIGHT(_xlpm.steps,2),_xlpm.steps)))</f>
        <v>49</v>
      </c>
      <c r="D3735">
        <f>_xlfn.LET(_xlpm.dir,Table1[[#This Row],[Direction]],
IF(_xlpm.dir="L",
    IF(F3734-Table1[[#This Row],[Steps]]&lt;0,100+(F3734-Table1[[#This Row],[Steps]]),F3734-Table1[[#This Row],[Steps]]),
))</f>
        <v>51</v>
      </c>
      <c r="E3735">
        <f>_xlfn.LET(_xlpm.dir,Table1[[#This Row],[Direction]],
IF(_xlpm.dir="R",
    IF(F3734+Table1[[#This Row],[Steps]]&gt;99,(F3734+Table1[[#This Row],[Steps]])-100,F3734+Table1[[#This Row],[Steps]]),
))</f>
        <v>0</v>
      </c>
      <c r="F3735">
        <f>IF(Table1[[#This Row],[New Pos L]]&lt;&gt;0,Table1[[#This Row],[New Pos L]],Table1[[#This Row],[New Pos R]])</f>
        <v>51</v>
      </c>
    </row>
    <row r="3736" spans="1:6" ht="16" x14ac:dyDescent="0.2">
      <c r="A3736" s="1" t="s">
        <v>6</v>
      </c>
      <c r="B3736" t="str">
        <f>LEFT(Table1[[#This Row],[Input]],1)</f>
        <v>R</v>
      </c>
      <c r="C3736">
        <f>_xlfn.LET(_xlpm.steps,SUBSTITUTE(Table1[[#This Row],[Input]],Table1[[#This Row],[Direction]],""),VALUE(IF(LEN(_xlpm.steps)&gt;2,RIGHT(_xlpm.steps,2),_xlpm.steps)))</f>
        <v>49</v>
      </c>
      <c r="D3736">
        <f>_xlfn.LET(_xlpm.dir,Table1[[#This Row],[Direction]],
IF(_xlpm.dir="L",
    IF(F3735-Table1[[#This Row],[Steps]]&lt;0,100+(F3735-Table1[[#This Row],[Steps]]),F3735-Table1[[#This Row],[Steps]]),
))</f>
        <v>0</v>
      </c>
      <c r="E3736">
        <f>_xlfn.LET(_xlpm.dir,Table1[[#This Row],[Direction]],
IF(_xlpm.dir="R",
    IF(F3735+Table1[[#This Row],[Steps]]&gt;99,(F3735+Table1[[#This Row],[Steps]])-100,F3735+Table1[[#This Row],[Steps]]),
))</f>
        <v>0</v>
      </c>
      <c r="F3736">
        <f>IF(Table1[[#This Row],[New Pos L]]&lt;&gt;0,Table1[[#This Row],[New Pos L]],Table1[[#This Row],[New Pos R]])</f>
        <v>0</v>
      </c>
    </row>
    <row r="3737" spans="1:6" ht="16" x14ac:dyDescent="0.2">
      <c r="A3737" s="1" t="s">
        <v>5</v>
      </c>
      <c r="B3737" t="str">
        <f>LEFT(Table1[[#This Row],[Input]],1)</f>
        <v>R</v>
      </c>
      <c r="C3737">
        <f>_xlfn.LET(_xlpm.steps,SUBSTITUTE(Table1[[#This Row],[Input]],Table1[[#This Row],[Direction]],""),VALUE(IF(LEN(_xlpm.steps)&gt;2,RIGHT(_xlpm.steps,2),_xlpm.steps)))</f>
        <v>1</v>
      </c>
      <c r="D3737">
        <f>_xlfn.LET(_xlpm.dir,Table1[[#This Row],[Direction]],
IF(_xlpm.dir="L",
    IF(F3736-Table1[[#This Row],[Steps]]&lt;0,100+(F3736-Table1[[#This Row],[Steps]]),F3736-Table1[[#This Row],[Steps]]),
))</f>
        <v>0</v>
      </c>
      <c r="E3737">
        <f>_xlfn.LET(_xlpm.dir,Table1[[#This Row],[Direction]],
IF(_xlpm.dir="R",
    IF(F3736+Table1[[#This Row],[Steps]]&gt;99,(F3736+Table1[[#This Row],[Steps]])-100,F3736+Table1[[#This Row],[Steps]]),
))</f>
        <v>1</v>
      </c>
      <c r="F3737">
        <f>IF(Table1[[#This Row],[New Pos L]]&lt;&gt;0,Table1[[#This Row],[New Pos L]],Table1[[#This Row],[New Pos R]])</f>
        <v>1</v>
      </c>
    </row>
    <row r="3738" spans="1:6" ht="16" x14ac:dyDescent="0.2">
      <c r="A3738" s="1" t="s">
        <v>790</v>
      </c>
      <c r="B3738" t="str">
        <f>LEFT(Table1[[#This Row],[Input]],1)</f>
        <v>L</v>
      </c>
      <c r="C3738">
        <f>_xlfn.LET(_xlpm.steps,SUBSTITUTE(Table1[[#This Row],[Input]],Table1[[#This Row],[Direction]],""),VALUE(IF(LEN(_xlpm.steps)&gt;2,RIGHT(_xlpm.steps,2),_xlpm.steps)))</f>
        <v>4</v>
      </c>
      <c r="D3738">
        <f>_xlfn.LET(_xlpm.dir,Table1[[#This Row],[Direction]],
IF(_xlpm.dir="L",
    IF(F3737-Table1[[#This Row],[Steps]]&lt;0,100+(F3737-Table1[[#This Row],[Steps]]),F3737-Table1[[#This Row],[Steps]]),
))</f>
        <v>97</v>
      </c>
      <c r="E3738">
        <f>_xlfn.LET(_xlpm.dir,Table1[[#This Row],[Direction]],
IF(_xlpm.dir="R",
    IF(F3737+Table1[[#This Row],[Steps]]&gt;99,(F3737+Table1[[#This Row],[Steps]])-100,F3737+Table1[[#This Row],[Steps]]),
))</f>
        <v>0</v>
      </c>
      <c r="F3738">
        <f>IF(Table1[[#This Row],[New Pos L]]&lt;&gt;0,Table1[[#This Row],[New Pos L]],Table1[[#This Row],[New Pos R]])</f>
        <v>97</v>
      </c>
    </row>
    <row r="3739" spans="1:6" ht="16" x14ac:dyDescent="0.2">
      <c r="A3739" s="1" t="s">
        <v>791</v>
      </c>
      <c r="B3739" t="str">
        <f>LEFT(Table1[[#This Row],[Input]],1)</f>
        <v>L</v>
      </c>
      <c r="C3739">
        <f>_xlfn.LET(_xlpm.steps,SUBSTITUTE(Table1[[#This Row],[Input]],Table1[[#This Row],[Direction]],""),VALUE(IF(LEN(_xlpm.steps)&gt;2,RIGHT(_xlpm.steps,2),_xlpm.steps)))</f>
        <v>14</v>
      </c>
      <c r="D3739">
        <f>_xlfn.LET(_xlpm.dir,Table1[[#This Row],[Direction]],
IF(_xlpm.dir="L",
    IF(F3738-Table1[[#This Row],[Steps]]&lt;0,100+(F3738-Table1[[#This Row],[Steps]]),F3738-Table1[[#This Row],[Steps]]),
))</f>
        <v>83</v>
      </c>
      <c r="E3739">
        <f>_xlfn.LET(_xlpm.dir,Table1[[#This Row],[Direction]],
IF(_xlpm.dir="R",
    IF(F3738+Table1[[#This Row],[Steps]]&gt;99,(F3738+Table1[[#This Row],[Steps]])-100,F3738+Table1[[#This Row],[Steps]]),
))</f>
        <v>0</v>
      </c>
      <c r="F3739">
        <f>IF(Table1[[#This Row],[New Pos L]]&lt;&gt;0,Table1[[#This Row],[New Pos L]],Table1[[#This Row],[New Pos R]])</f>
        <v>83</v>
      </c>
    </row>
    <row r="3740" spans="1:6" ht="16" x14ac:dyDescent="0.2">
      <c r="A3740" s="1" t="s">
        <v>151</v>
      </c>
      <c r="B3740" t="str">
        <f>LEFT(Table1[[#This Row],[Input]],1)</f>
        <v>L</v>
      </c>
      <c r="C3740">
        <f>_xlfn.LET(_xlpm.steps,SUBSTITUTE(Table1[[#This Row],[Input]],Table1[[#This Row],[Direction]],""),VALUE(IF(LEN(_xlpm.steps)&gt;2,RIGHT(_xlpm.steps,2),_xlpm.steps)))</f>
        <v>74</v>
      </c>
      <c r="D3740">
        <f>_xlfn.LET(_xlpm.dir,Table1[[#This Row],[Direction]],
IF(_xlpm.dir="L",
    IF(F3739-Table1[[#This Row],[Steps]]&lt;0,100+(F3739-Table1[[#This Row],[Steps]]),F3739-Table1[[#This Row],[Steps]]),
))</f>
        <v>9</v>
      </c>
      <c r="E3740">
        <f>_xlfn.LET(_xlpm.dir,Table1[[#This Row],[Direction]],
IF(_xlpm.dir="R",
    IF(F3739+Table1[[#This Row],[Steps]]&gt;99,(F3739+Table1[[#This Row],[Steps]])-100,F3739+Table1[[#This Row],[Steps]]),
))</f>
        <v>0</v>
      </c>
      <c r="F3740">
        <f>IF(Table1[[#This Row],[New Pos L]]&lt;&gt;0,Table1[[#This Row],[New Pos L]],Table1[[#This Row],[New Pos R]])</f>
        <v>9</v>
      </c>
    </row>
    <row r="3741" spans="1:6" ht="16" x14ac:dyDescent="0.2">
      <c r="A3741" s="1" t="s">
        <v>115</v>
      </c>
      <c r="B3741" t="str">
        <f>LEFT(Table1[[#This Row],[Input]],1)</f>
        <v>L</v>
      </c>
      <c r="C3741">
        <f>_xlfn.LET(_xlpm.steps,SUBSTITUTE(Table1[[#This Row],[Input]],Table1[[#This Row],[Direction]],""),VALUE(IF(LEN(_xlpm.steps)&gt;2,RIGHT(_xlpm.steps,2),_xlpm.steps)))</f>
        <v>29</v>
      </c>
      <c r="D3741">
        <f>_xlfn.LET(_xlpm.dir,Table1[[#This Row],[Direction]],
IF(_xlpm.dir="L",
    IF(F3740-Table1[[#This Row],[Steps]]&lt;0,100+(F3740-Table1[[#This Row],[Steps]]),F3740-Table1[[#This Row],[Steps]]),
))</f>
        <v>80</v>
      </c>
      <c r="E3741">
        <f>_xlfn.LET(_xlpm.dir,Table1[[#This Row],[Direction]],
IF(_xlpm.dir="R",
    IF(F3740+Table1[[#This Row],[Steps]]&gt;99,(F3740+Table1[[#This Row],[Steps]])-100,F3740+Table1[[#This Row],[Steps]]),
))</f>
        <v>0</v>
      </c>
      <c r="F3741">
        <f>IF(Table1[[#This Row],[New Pos L]]&lt;&gt;0,Table1[[#This Row],[New Pos L]],Table1[[#This Row],[New Pos R]])</f>
        <v>80</v>
      </c>
    </row>
    <row r="3742" spans="1:6" ht="16" x14ac:dyDescent="0.2">
      <c r="A3742" s="1" t="s">
        <v>68</v>
      </c>
      <c r="B3742" t="str">
        <f>LEFT(Table1[[#This Row],[Input]],1)</f>
        <v>L</v>
      </c>
      <c r="C3742">
        <f>_xlfn.LET(_xlpm.steps,SUBSTITUTE(Table1[[#This Row],[Input]],Table1[[#This Row],[Direction]],""),VALUE(IF(LEN(_xlpm.steps)&gt;2,RIGHT(_xlpm.steps,2),_xlpm.steps)))</f>
        <v>80</v>
      </c>
      <c r="D3742">
        <f>_xlfn.LET(_xlpm.dir,Table1[[#This Row],[Direction]],
IF(_xlpm.dir="L",
    IF(F3741-Table1[[#This Row],[Steps]]&lt;0,100+(F3741-Table1[[#This Row],[Steps]]),F3741-Table1[[#This Row],[Steps]]),
))</f>
        <v>0</v>
      </c>
      <c r="E3742">
        <f>_xlfn.LET(_xlpm.dir,Table1[[#This Row],[Direction]],
IF(_xlpm.dir="R",
    IF(F3741+Table1[[#This Row],[Steps]]&gt;99,(F3741+Table1[[#This Row],[Steps]])-100,F3741+Table1[[#This Row],[Steps]]),
))</f>
        <v>0</v>
      </c>
      <c r="F3742">
        <f>IF(Table1[[#This Row],[New Pos L]]&lt;&gt;0,Table1[[#This Row],[New Pos L]],Table1[[#This Row],[New Pos R]])</f>
        <v>0</v>
      </c>
    </row>
    <row r="3743" spans="1:6" ht="16" x14ac:dyDescent="0.2">
      <c r="A3743" s="1" t="s">
        <v>161</v>
      </c>
      <c r="B3743" t="str">
        <f>LEFT(Table1[[#This Row],[Input]],1)</f>
        <v>R</v>
      </c>
      <c r="C3743">
        <f>_xlfn.LET(_xlpm.steps,SUBSTITUTE(Table1[[#This Row],[Input]],Table1[[#This Row],[Direction]],""),VALUE(IF(LEN(_xlpm.steps)&gt;2,RIGHT(_xlpm.steps,2),_xlpm.steps)))</f>
        <v>76</v>
      </c>
      <c r="D3743">
        <f>_xlfn.LET(_xlpm.dir,Table1[[#This Row],[Direction]],
IF(_xlpm.dir="L",
    IF(F3742-Table1[[#This Row],[Steps]]&lt;0,100+(F3742-Table1[[#This Row],[Steps]]),F3742-Table1[[#This Row],[Steps]]),
))</f>
        <v>0</v>
      </c>
      <c r="E3743">
        <f>_xlfn.LET(_xlpm.dir,Table1[[#This Row],[Direction]],
IF(_xlpm.dir="R",
    IF(F3742+Table1[[#This Row],[Steps]]&gt;99,(F3742+Table1[[#This Row],[Steps]])-100,F3742+Table1[[#This Row],[Steps]]),
))</f>
        <v>76</v>
      </c>
      <c r="F3743">
        <f>IF(Table1[[#This Row],[New Pos L]]&lt;&gt;0,Table1[[#This Row],[New Pos L]],Table1[[#This Row],[New Pos R]])</f>
        <v>76</v>
      </c>
    </row>
    <row r="3744" spans="1:6" ht="16" x14ac:dyDescent="0.2">
      <c r="A3744" s="1" t="s">
        <v>254</v>
      </c>
      <c r="B3744" t="str">
        <f>LEFT(Table1[[#This Row],[Input]],1)</f>
        <v>R</v>
      </c>
      <c r="C3744">
        <f>_xlfn.LET(_xlpm.steps,SUBSTITUTE(Table1[[#This Row],[Input]],Table1[[#This Row],[Direction]],""),VALUE(IF(LEN(_xlpm.steps)&gt;2,RIGHT(_xlpm.steps,2),_xlpm.steps)))</f>
        <v>84</v>
      </c>
      <c r="D3744">
        <f>_xlfn.LET(_xlpm.dir,Table1[[#This Row],[Direction]],
IF(_xlpm.dir="L",
    IF(F3743-Table1[[#This Row],[Steps]]&lt;0,100+(F3743-Table1[[#This Row],[Steps]]),F3743-Table1[[#This Row],[Steps]]),
))</f>
        <v>0</v>
      </c>
      <c r="E3744">
        <f>_xlfn.LET(_xlpm.dir,Table1[[#This Row],[Direction]],
IF(_xlpm.dir="R",
    IF(F3743+Table1[[#This Row],[Steps]]&gt;99,(F3743+Table1[[#This Row],[Steps]])-100,F3743+Table1[[#This Row],[Steps]]),
))</f>
        <v>60</v>
      </c>
      <c r="F3744">
        <f>IF(Table1[[#This Row],[New Pos L]]&lt;&gt;0,Table1[[#This Row],[New Pos L]],Table1[[#This Row],[New Pos R]])</f>
        <v>60</v>
      </c>
    </row>
    <row r="3745" spans="1:6" ht="16" x14ac:dyDescent="0.2">
      <c r="A3745" s="1" t="s">
        <v>276</v>
      </c>
      <c r="B3745" t="str">
        <f>LEFT(Table1[[#This Row],[Input]],1)</f>
        <v>L</v>
      </c>
      <c r="C3745">
        <f>_xlfn.LET(_xlpm.steps,SUBSTITUTE(Table1[[#This Row],[Input]],Table1[[#This Row],[Direction]],""),VALUE(IF(LEN(_xlpm.steps)&gt;2,RIGHT(_xlpm.steps,2),_xlpm.steps)))</f>
        <v>60</v>
      </c>
      <c r="D3745">
        <f>_xlfn.LET(_xlpm.dir,Table1[[#This Row],[Direction]],
IF(_xlpm.dir="L",
    IF(F3744-Table1[[#This Row],[Steps]]&lt;0,100+(F3744-Table1[[#This Row],[Steps]]),F3744-Table1[[#This Row],[Steps]]),
))</f>
        <v>0</v>
      </c>
      <c r="E3745">
        <f>_xlfn.LET(_xlpm.dir,Table1[[#This Row],[Direction]],
IF(_xlpm.dir="R",
    IF(F3744+Table1[[#This Row],[Steps]]&gt;99,(F3744+Table1[[#This Row],[Steps]])-100,F3744+Table1[[#This Row],[Steps]]),
))</f>
        <v>0</v>
      </c>
      <c r="F3745">
        <f>IF(Table1[[#This Row],[New Pos L]]&lt;&gt;0,Table1[[#This Row],[New Pos L]],Table1[[#This Row],[New Pos R]])</f>
        <v>0</v>
      </c>
    </row>
    <row r="3746" spans="1:6" ht="16" x14ac:dyDescent="0.2">
      <c r="A3746" s="1" t="s">
        <v>792</v>
      </c>
      <c r="B3746" t="str">
        <f>LEFT(Table1[[#This Row],[Input]],1)</f>
        <v>R</v>
      </c>
      <c r="C3746">
        <f>_xlfn.LET(_xlpm.steps,SUBSTITUTE(Table1[[#This Row],[Input]],Table1[[#This Row],[Direction]],""),VALUE(IF(LEN(_xlpm.steps)&gt;2,RIGHT(_xlpm.steps,2),_xlpm.steps)))</f>
        <v>92</v>
      </c>
      <c r="D3746">
        <f>_xlfn.LET(_xlpm.dir,Table1[[#This Row],[Direction]],
IF(_xlpm.dir="L",
    IF(F3745-Table1[[#This Row],[Steps]]&lt;0,100+(F3745-Table1[[#This Row],[Steps]]),F3745-Table1[[#This Row],[Steps]]),
))</f>
        <v>0</v>
      </c>
      <c r="E3746">
        <f>_xlfn.LET(_xlpm.dir,Table1[[#This Row],[Direction]],
IF(_xlpm.dir="R",
    IF(F3745+Table1[[#This Row],[Steps]]&gt;99,(F3745+Table1[[#This Row],[Steps]])-100,F3745+Table1[[#This Row],[Steps]]),
))</f>
        <v>92</v>
      </c>
      <c r="F3746">
        <f>IF(Table1[[#This Row],[New Pos L]]&lt;&gt;0,Table1[[#This Row],[New Pos L]],Table1[[#This Row],[New Pos R]])</f>
        <v>92</v>
      </c>
    </row>
    <row r="3747" spans="1:6" ht="16" x14ac:dyDescent="0.2">
      <c r="A3747" s="1" t="s">
        <v>171</v>
      </c>
      <c r="B3747" t="str">
        <f>LEFT(Table1[[#This Row],[Input]],1)</f>
        <v>L</v>
      </c>
      <c r="C3747">
        <f>_xlfn.LET(_xlpm.steps,SUBSTITUTE(Table1[[#This Row],[Input]],Table1[[#This Row],[Direction]],""),VALUE(IF(LEN(_xlpm.steps)&gt;2,RIGHT(_xlpm.steps,2),_xlpm.steps)))</f>
        <v>73</v>
      </c>
      <c r="D3747">
        <f>_xlfn.LET(_xlpm.dir,Table1[[#This Row],[Direction]],
IF(_xlpm.dir="L",
    IF(F3746-Table1[[#This Row],[Steps]]&lt;0,100+(F3746-Table1[[#This Row],[Steps]]),F3746-Table1[[#This Row],[Steps]]),
))</f>
        <v>19</v>
      </c>
      <c r="E3747">
        <f>_xlfn.LET(_xlpm.dir,Table1[[#This Row],[Direction]],
IF(_xlpm.dir="R",
    IF(F3746+Table1[[#This Row],[Steps]]&gt;99,(F3746+Table1[[#This Row],[Steps]])-100,F3746+Table1[[#This Row],[Steps]]),
))</f>
        <v>0</v>
      </c>
      <c r="F3747">
        <f>IF(Table1[[#This Row],[New Pos L]]&lt;&gt;0,Table1[[#This Row],[New Pos L]],Table1[[#This Row],[New Pos R]])</f>
        <v>19</v>
      </c>
    </row>
    <row r="3748" spans="1:6" ht="16" x14ac:dyDescent="0.2">
      <c r="A3748" s="1" t="s">
        <v>296</v>
      </c>
      <c r="B3748" t="str">
        <f>LEFT(Table1[[#This Row],[Input]],1)</f>
        <v>R</v>
      </c>
      <c r="C3748">
        <f>_xlfn.LET(_xlpm.steps,SUBSTITUTE(Table1[[#This Row],[Input]],Table1[[#This Row],[Direction]],""),VALUE(IF(LEN(_xlpm.steps)&gt;2,RIGHT(_xlpm.steps,2),_xlpm.steps)))</f>
        <v>19</v>
      </c>
      <c r="D3748">
        <f>_xlfn.LET(_xlpm.dir,Table1[[#This Row],[Direction]],
IF(_xlpm.dir="L",
    IF(F3747-Table1[[#This Row],[Steps]]&lt;0,100+(F3747-Table1[[#This Row],[Steps]]),F3747-Table1[[#This Row],[Steps]]),
))</f>
        <v>0</v>
      </c>
      <c r="E3748">
        <f>_xlfn.LET(_xlpm.dir,Table1[[#This Row],[Direction]],
IF(_xlpm.dir="R",
    IF(F3747+Table1[[#This Row],[Steps]]&gt;99,(F3747+Table1[[#This Row],[Steps]])-100,F3747+Table1[[#This Row],[Steps]]),
))</f>
        <v>38</v>
      </c>
      <c r="F3748">
        <f>IF(Table1[[#This Row],[New Pos L]]&lt;&gt;0,Table1[[#This Row],[New Pos L]],Table1[[#This Row],[New Pos R]])</f>
        <v>38</v>
      </c>
    </row>
    <row r="3749" spans="1:6" ht="16" x14ac:dyDescent="0.2">
      <c r="A3749" s="1" t="s">
        <v>793</v>
      </c>
      <c r="B3749" t="str">
        <f>LEFT(Table1[[#This Row],[Input]],1)</f>
        <v>R</v>
      </c>
      <c r="C3749">
        <f>_xlfn.LET(_xlpm.steps,SUBSTITUTE(Table1[[#This Row],[Input]],Table1[[#This Row],[Direction]],""),VALUE(IF(LEN(_xlpm.steps)&gt;2,RIGHT(_xlpm.steps,2),_xlpm.steps)))</f>
        <v>21</v>
      </c>
      <c r="D3749">
        <f>_xlfn.LET(_xlpm.dir,Table1[[#This Row],[Direction]],
IF(_xlpm.dir="L",
    IF(F3748-Table1[[#This Row],[Steps]]&lt;0,100+(F3748-Table1[[#This Row],[Steps]]),F3748-Table1[[#This Row],[Steps]]),
))</f>
        <v>0</v>
      </c>
      <c r="E3749">
        <f>_xlfn.LET(_xlpm.dir,Table1[[#This Row],[Direction]],
IF(_xlpm.dir="R",
    IF(F3748+Table1[[#This Row],[Steps]]&gt;99,(F3748+Table1[[#This Row],[Steps]])-100,F3748+Table1[[#This Row],[Steps]]),
))</f>
        <v>59</v>
      </c>
      <c r="F3749">
        <f>IF(Table1[[#This Row],[New Pos L]]&lt;&gt;0,Table1[[#This Row],[New Pos L]],Table1[[#This Row],[New Pos R]])</f>
        <v>59</v>
      </c>
    </row>
    <row r="3750" spans="1:6" ht="16" x14ac:dyDescent="0.2">
      <c r="A3750" s="1" t="s">
        <v>51</v>
      </c>
      <c r="B3750" t="str">
        <f>LEFT(Table1[[#This Row],[Input]],1)</f>
        <v>L</v>
      </c>
      <c r="C3750">
        <f>_xlfn.LET(_xlpm.steps,SUBSTITUTE(Table1[[#This Row],[Input]],Table1[[#This Row],[Direction]],""),VALUE(IF(LEN(_xlpm.steps)&gt;2,RIGHT(_xlpm.steps,2),_xlpm.steps)))</f>
        <v>25</v>
      </c>
      <c r="D3750">
        <f>_xlfn.LET(_xlpm.dir,Table1[[#This Row],[Direction]],
IF(_xlpm.dir="L",
    IF(F3749-Table1[[#This Row],[Steps]]&lt;0,100+(F3749-Table1[[#This Row],[Steps]]),F3749-Table1[[#This Row],[Steps]]),
))</f>
        <v>34</v>
      </c>
      <c r="E3750">
        <f>_xlfn.LET(_xlpm.dir,Table1[[#This Row],[Direction]],
IF(_xlpm.dir="R",
    IF(F3749+Table1[[#This Row],[Steps]]&gt;99,(F3749+Table1[[#This Row],[Steps]])-100,F3749+Table1[[#This Row],[Steps]]),
))</f>
        <v>0</v>
      </c>
      <c r="F3750">
        <f>IF(Table1[[#This Row],[New Pos L]]&lt;&gt;0,Table1[[#This Row],[New Pos L]],Table1[[#This Row],[New Pos R]])</f>
        <v>34</v>
      </c>
    </row>
    <row r="3751" spans="1:6" ht="16" x14ac:dyDescent="0.2">
      <c r="A3751" s="1" t="s">
        <v>108</v>
      </c>
      <c r="B3751" t="str">
        <f>LEFT(Table1[[#This Row],[Input]],1)</f>
        <v>R</v>
      </c>
      <c r="C3751">
        <f>_xlfn.LET(_xlpm.steps,SUBSTITUTE(Table1[[#This Row],[Input]],Table1[[#This Row],[Direction]],""),VALUE(IF(LEN(_xlpm.steps)&gt;2,RIGHT(_xlpm.steps,2),_xlpm.steps)))</f>
        <v>66</v>
      </c>
      <c r="D3751">
        <f>_xlfn.LET(_xlpm.dir,Table1[[#This Row],[Direction]],
IF(_xlpm.dir="L",
    IF(F3750-Table1[[#This Row],[Steps]]&lt;0,100+(F3750-Table1[[#This Row],[Steps]]),F3750-Table1[[#This Row],[Steps]]),
))</f>
        <v>0</v>
      </c>
      <c r="E3751">
        <f>_xlfn.LET(_xlpm.dir,Table1[[#This Row],[Direction]],
IF(_xlpm.dir="R",
    IF(F3750+Table1[[#This Row],[Steps]]&gt;99,(F3750+Table1[[#This Row],[Steps]])-100,F3750+Table1[[#This Row],[Steps]]),
))</f>
        <v>0</v>
      </c>
      <c r="F3751">
        <f>IF(Table1[[#This Row],[New Pos L]]&lt;&gt;0,Table1[[#This Row],[New Pos L]],Table1[[#This Row],[New Pos R]])</f>
        <v>0</v>
      </c>
    </row>
    <row r="3752" spans="1:6" ht="16" x14ac:dyDescent="0.2">
      <c r="A3752" s="1" t="s">
        <v>141</v>
      </c>
      <c r="B3752" t="str">
        <f>LEFT(Table1[[#This Row],[Input]],1)</f>
        <v>L</v>
      </c>
      <c r="C3752">
        <f>_xlfn.LET(_xlpm.steps,SUBSTITUTE(Table1[[#This Row],[Input]],Table1[[#This Row],[Direction]],""),VALUE(IF(LEN(_xlpm.steps)&gt;2,RIGHT(_xlpm.steps,2),_xlpm.steps)))</f>
        <v>90</v>
      </c>
      <c r="D3752">
        <f>_xlfn.LET(_xlpm.dir,Table1[[#This Row],[Direction]],
IF(_xlpm.dir="L",
    IF(F3751-Table1[[#This Row],[Steps]]&lt;0,100+(F3751-Table1[[#This Row],[Steps]]),F3751-Table1[[#This Row],[Steps]]),
))</f>
        <v>10</v>
      </c>
      <c r="E3752">
        <f>_xlfn.LET(_xlpm.dir,Table1[[#This Row],[Direction]],
IF(_xlpm.dir="R",
    IF(F3751+Table1[[#This Row],[Steps]]&gt;99,(F3751+Table1[[#This Row],[Steps]])-100,F3751+Table1[[#This Row],[Steps]]),
))</f>
        <v>0</v>
      </c>
      <c r="F3752">
        <f>IF(Table1[[#This Row],[New Pos L]]&lt;&gt;0,Table1[[#This Row],[New Pos L]],Table1[[#This Row],[New Pos R]])</f>
        <v>10</v>
      </c>
    </row>
    <row r="3753" spans="1:6" ht="16" x14ac:dyDescent="0.2">
      <c r="A3753" s="1" t="s">
        <v>48</v>
      </c>
      <c r="B3753" t="str">
        <f>LEFT(Table1[[#This Row],[Input]],1)</f>
        <v>R</v>
      </c>
      <c r="C3753">
        <f>_xlfn.LET(_xlpm.steps,SUBSTITUTE(Table1[[#This Row],[Input]],Table1[[#This Row],[Direction]],""),VALUE(IF(LEN(_xlpm.steps)&gt;2,RIGHT(_xlpm.steps,2),_xlpm.steps)))</f>
        <v>81</v>
      </c>
      <c r="D3753">
        <f>_xlfn.LET(_xlpm.dir,Table1[[#This Row],[Direction]],
IF(_xlpm.dir="L",
    IF(F3752-Table1[[#This Row],[Steps]]&lt;0,100+(F3752-Table1[[#This Row],[Steps]]),F3752-Table1[[#This Row],[Steps]]),
))</f>
        <v>0</v>
      </c>
      <c r="E3753">
        <f>_xlfn.LET(_xlpm.dir,Table1[[#This Row],[Direction]],
IF(_xlpm.dir="R",
    IF(F3752+Table1[[#This Row],[Steps]]&gt;99,(F3752+Table1[[#This Row],[Steps]])-100,F3752+Table1[[#This Row],[Steps]]),
))</f>
        <v>91</v>
      </c>
      <c r="F3753">
        <f>IF(Table1[[#This Row],[New Pos L]]&lt;&gt;0,Table1[[#This Row],[New Pos L]],Table1[[#This Row],[New Pos R]])</f>
        <v>91</v>
      </c>
    </row>
    <row r="3754" spans="1:6" ht="16" x14ac:dyDescent="0.2">
      <c r="A3754" s="1" t="s">
        <v>794</v>
      </c>
      <c r="B3754" t="str">
        <f>LEFT(Table1[[#This Row],[Input]],1)</f>
        <v>R</v>
      </c>
      <c r="C3754">
        <f>_xlfn.LET(_xlpm.steps,SUBSTITUTE(Table1[[#This Row],[Input]],Table1[[#This Row],[Direction]],""),VALUE(IF(LEN(_xlpm.steps)&gt;2,RIGHT(_xlpm.steps,2),_xlpm.steps)))</f>
        <v>84</v>
      </c>
      <c r="D3754">
        <f>_xlfn.LET(_xlpm.dir,Table1[[#This Row],[Direction]],
IF(_xlpm.dir="L",
    IF(F3753-Table1[[#This Row],[Steps]]&lt;0,100+(F3753-Table1[[#This Row],[Steps]]),F3753-Table1[[#This Row],[Steps]]),
))</f>
        <v>0</v>
      </c>
      <c r="E3754">
        <f>_xlfn.LET(_xlpm.dir,Table1[[#This Row],[Direction]],
IF(_xlpm.dir="R",
    IF(F3753+Table1[[#This Row],[Steps]]&gt;99,(F3753+Table1[[#This Row],[Steps]])-100,F3753+Table1[[#This Row],[Steps]]),
))</f>
        <v>75</v>
      </c>
      <c r="F3754">
        <f>IF(Table1[[#This Row],[New Pos L]]&lt;&gt;0,Table1[[#This Row],[New Pos L]],Table1[[#This Row],[New Pos R]])</f>
        <v>75</v>
      </c>
    </row>
    <row r="3755" spans="1:6" ht="16" x14ac:dyDescent="0.2">
      <c r="A3755" s="1" t="s">
        <v>288</v>
      </c>
      <c r="B3755" t="str">
        <f>LEFT(Table1[[#This Row],[Input]],1)</f>
        <v>R</v>
      </c>
      <c r="C3755">
        <f>_xlfn.LET(_xlpm.steps,SUBSTITUTE(Table1[[#This Row],[Input]],Table1[[#This Row],[Direction]],""),VALUE(IF(LEN(_xlpm.steps)&gt;2,RIGHT(_xlpm.steps,2),_xlpm.steps)))</f>
        <v>25</v>
      </c>
      <c r="D3755">
        <f>_xlfn.LET(_xlpm.dir,Table1[[#This Row],[Direction]],
IF(_xlpm.dir="L",
    IF(F3754-Table1[[#This Row],[Steps]]&lt;0,100+(F3754-Table1[[#This Row],[Steps]]),F3754-Table1[[#This Row],[Steps]]),
))</f>
        <v>0</v>
      </c>
      <c r="E3755">
        <f>_xlfn.LET(_xlpm.dir,Table1[[#This Row],[Direction]],
IF(_xlpm.dir="R",
    IF(F3754+Table1[[#This Row],[Steps]]&gt;99,(F3754+Table1[[#This Row],[Steps]])-100,F3754+Table1[[#This Row],[Steps]]),
))</f>
        <v>0</v>
      </c>
      <c r="F3755">
        <f>IF(Table1[[#This Row],[New Pos L]]&lt;&gt;0,Table1[[#This Row],[New Pos L]],Table1[[#This Row],[New Pos R]])</f>
        <v>0</v>
      </c>
    </row>
    <row r="3756" spans="1:6" ht="16" x14ac:dyDescent="0.2">
      <c r="A3756" s="1" t="s">
        <v>264</v>
      </c>
      <c r="B3756" t="str">
        <f>LEFT(Table1[[#This Row],[Input]],1)</f>
        <v>L</v>
      </c>
      <c r="C3756">
        <f>_xlfn.LET(_xlpm.steps,SUBSTITUTE(Table1[[#This Row],[Input]],Table1[[#This Row],[Direction]],""),VALUE(IF(LEN(_xlpm.steps)&gt;2,RIGHT(_xlpm.steps,2),_xlpm.steps)))</f>
        <v>21</v>
      </c>
      <c r="D3756">
        <f>_xlfn.LET(_xlpm.dir,Table1[[#This Row],[Direction]],
IF(_xlpm.dir="L",
    IF(F3755-Table1[[#This Row],[Steps]]&lt;0,100+(F3755-Table1[[#This Row],[Steps]]),F3755-Table1[[#This Row],[Steps]]),
))</f>
        <v>79</v>
      </c>
      <c r="E3756">
        <f>_xlfn.LET(_xlpm.dir,Table1[[#This Row],[Direction]],
IF(_xlpm.dir="R",
    IF(F3755+Table1[[#This Row],[Steps]]&gt;99,(F3755+Table1[[#This Row],[Steps]])-100,F3755+Table1[[#This Row],[Steps]]),
))</f>
        <v>0</v>
      </c>
      <c r="F3756">
        <f>IF(Table1[[#This Row],[New Pos L]]&lt;&gt;0,Table1[[#This Row],[New Pos L]],Table1[[#This Row],[New Pos R]])</f>
        <v>79</v>
      </c>
    </row>
    <row r="3757" spans="1:6" ht="16" x14ac:dyDescent="0.2">
      <c r="A3757" s="1" t="s">
        <v>73</v>
      </c>
      <c r="B3757" t="str">
        <f>LEFT(Table1[[#This Row],[Input]],1)</f>
        <v>R</v>
      </c>
      <c r="C3757">
        <f>_xlfn.LET(_xlpm.steps,SUBSTITUTE(Table1[[#This Row],[Input]],Table1[[#This Row],[Direction]],""),VALUE(IF(LEN(_xlpm.steps)&gt;2,RIGHT(_xlpm.steps,2),_xlpm.steps)))</f>
        <v>21</v>
      </c>
      <c r="D3757">
        <f>_xlfn.LET(_xlpm.dir,Table1[[#This Row],[Direction]],
IF(_xlpm.dir="L",
    IF(F3756-Table1[[#This Row],[Steps]]&lt;0,100+(F3756-Table1[[#This Row],[Steps]]),F3756-Table1[[#This Row],[Steps]]),
))</f>
        <v>0</v>
      </c>
      <c r="E3757">
        <f>_xlfn.LET(_xlpm.dir,Table1[[#This Row],[Direction]],
IF(_xlpm.dir="R",
    IF(F3756+Table1[[#This Row],[Steps]]&gt;99,(F3756+Table1[[#This Row],[Steps]])-100,F3756+Table1[[#This Row],[Steps]]),
))</f>
        <v>0</v>
      </c>
      <c r="F3757">
        <f>IF(Table1[[#This Row],[New Pos L]]&lt;&gt;0,Table1[[#This Row],[New Pos L]],Table1[[#This Row],[New Pos R]])</f>
        <v>0</v>
      </c>
    </row>
    <row r="3758" spans="1:6" ht="16" x14ac:dyDescent="0.2">
      <c r="A3758" s="1" t="s">
        <v>244</v>
      </c>
      <c r="B3758" t="str">
        <f>LEFT(Table1[[#This Row],[Input]],1)</f>
        <v>L</v>
      </c>
      <c r="C3758">
        <f>_xlfn.LET(_xlpm.steps,SUBSTITUTE(Table1[[#This Row],[Input]],Table1[[#This Row],[Direction]],""),VALUE(IF(LEN(_xlpm.steps)&gt;2,RIGHT(_xlpm.steps,2),_xlpm.steps)))</f>
        <v>98</v>
      </c>
      <c r="D3758">
        <f>_xlfn.LET(_xlpm.dir,Table1[[#This Row],[Direction]],
IF(_xlpm.dir="L",
    IF(F3757-Table1[[#This Row],[Steps]]&lt;0,100+(F3757-Table1[[#This Row],[Steps]]),F3757-Table1[[#This Row],[Steps]]),
))</f>
        <v>2</v>
      </c>
      <c r="E3758">
        <f>_xlfn.LET(_xlpm.dir,Table1[[#This Row],[Direction]],
IF(_xlpm.dir="R",
    IF(F3757+Table1[[#This Row],[Steps]]&gt;99,(F3757+Table1[[#This Row],[Steps]])-100,F3757+Table1[[#This Row],[Steps]]),
))</f>
        <v>0</v>
      </c>
      <c r="F3758">
        <f>IF(Table1[[#This Row],[New Pos L]]&lt;&gt;0,Table1[[#This Row],[New Pos L]],Table1[[#This Row],[New Pos R]])</f>
        <v>2</v>
      </c>
    </row>
    <row r="3759" spans="1:6" ht="16" x14ac:dyDescent="0.2">
      <c r="A3759" s="1" t="s">
        <v>2</v>
      </c>
      <c r="B3759" t="str">
        <f>LEFT(Table1[[#This Row],[Input]],1)</f>
        <v>L</v>
      </c>
      <c r="C3759">
        <f>_xlfn.LET(_xlpm.steps,SUBSTITUTE(Table1[[#This Row],[Input]],Table1[[#This Row],[Direction]],""),VALUE(IF(LEN(_xlpm.steps)&gt;2,RIGHT(_xlpm.steps,2),_xlpm.steps)))</f>
        <v>38</v>
      </c>
      <c r="D3759">
        <f>_xlfn.LET(_xlpm.dir,Table1[[#This Row],[Direction]],
IF(_xlpm.dir="L",
    IF(F3758-Table1[[#This Row],[Steps]]&lt;0,100+(F3758-Table1[[#This Row],[Steps]]),F3758-Table1[[#This Row],[Steps]]),
))</f>
        <v>64</v>
      </c>
      <c r="E3759">
        <f>_xlfn.LET(_xlpm.dir,Table1[[#This Row],[Direction]],
IF(_xlpm.dir="R",
    IF(F3758+Table1[[#This Row],[Steps]]&gt;99,(F3758+Table1[[#This Row],[Steps]])-100,F3758+Table1[[#This Row],[Steps]]),
))</f>
        <v>0</v>
      </c>
      <c r="F3759">
        <f>IF(Table1[[#This Row],[New Pos L]]&lt;&gt;0,Table1[[#This Row],[New Pos L]],Table1[[#This Row],[New Pos R]])</f>
        <v>64</v>
      </c>
    </row>
    <row r="3760" spans="1:6" ht="16" x14ac:dyDescent="0.2">
      <c r="A3760" s="1" t="s">
        <v>219</v>
      </c>
      <c r="B3760" t="str">
        <f>LEFT(Table1[[#This Row],[Input]],1)</f>
        <v>L</v>
      </c>
      <c r="C3760">
        <f>_xlfn.LET(_xlpm.steps,SUBSTITUTE(Table1[[#This Row],[Input]],Table1[[#This Row],[Direction]],""),VALUE(IF(LEN(_xlpm.steps)&gt;2,RIGHT(_xlpm.steps,2),_xlpm.steps)))</f>
        <v>64</v>
      </c>
      <c r="D3760">
        <f>_xlfn.LET(_xlpm.dir,Table1[[#This Row],[Direction]],
IF(_xlpm.dir="L",
    IF(F3759-Table1[[#This Row],[Steps]]&lt;0,100+(F3759-Table1[[#This Row],[Steps]]),F3759-Table1[[#This Row],[Steps]]),
))</f>
        <v>0</v>
      </c>
      <c r="E3760">
        <f>_xlfn.LET(_xlpm.dir,Table1[[#This Row],[Direction]],
IF(_xlpm.dir="R",
    IF(F3759+Table1[[#This Row],[Steps]]&gt;99,(F3759+Table1[[#This Row],[Steps]])-100,F3759+Table1[[#This Row],[Steps]]),
))</f>
        <v>0</v>
      </c>
      <c r="F3760">
        <f>IF(Table1[[#This Row],[New Pos L]]&lt;&gt;0,Table1[[#This Row],[New Pos L]],Table1[[#This Row],[New Pos R]])</f>
        <v>0</v>
      </c>
    </row>
    <row r="3761" spans="1:6" ht="16" x14ac:dyDescent="0.2">
      <c r="A3761" s="1" t="s">
        <v>91</v>
      </c>
      <c r="B3761" t="str">
        <f>LEFT(Table1[[#This Row],[Input]],1)</f>
        <v>L</v>
      </c>
      <c r="C3761">
        <f>_xlfn.LET(_xlpm.steps,SUBSTITUTE(Table1[[#This Row],[Input]],Table1[[#This Row],[Direction]],""),VALUE(IF(LEN(_xlpm.steps)&gt;2,RIGHT(_xlpm.steps,2),_xlpm.steps)))</f>
        <v>22</v>
      </c>
      <c r="D3761">
        <f>_xlfn.LET(_xlpm.dir,Table1[[#This Row],[Direction]],
IF(_xlpm.dir="L",
    IF(F3760-Table1[[#This Row],[Steps]]&lt;0,100+(F3760-Table1[[#This Row],[Steps]]),F3760-Table1[[#This Row],[Steps]]),
))</f>
        <v>78</v>
      </c>
      <c r="E3761">
        <f>_xlfn.LET(_xlpm.dir,Table1[[#This Row],[Direction]],
IF(_xlpm.dir="R",
    IF(F3760+Table1[[#This Row],[Steps]]&gt;99,(F3760+Table1[[#This Row],[Steps]])-100,F3760+Table1[[#This Row],[Steps]]),
))</f>
        <v>0</v>
      </c>
      <c r="F3761">
        <f>IF(Table1[[#This Row],[New Pos L]]&lt;&gt;0,Table1[[#This Row],[New Pos L]],Table1[[#This Row],[New Pos R]])</f>
        <v>78</v>
      </c>
    </row>
    <row r="3762" spans="1:6" ht="16" x14ac:dyDescent="0.2">
      <c r="A3762" s="1" t="s">
        <v>161</v>
      </c>
      <c r="B3762" t="str">
        <f>LEFT(Table1[[#This Row],[Input]],1)</f>
        <v>R</v>
      </c>
      <c r="C3762">
        <f>_xlfn.LET(_xlpm.steps,SUBSTITUTE(Table1[[#This Row],[Input]],Table1[[#This Row],[Direction]],""),VALUE(IF(LEN(_xlpm.steps)&gt;2,RIGHT(_xlpm.steps,2),_xlpm.steps)))</f>
        <v>76</v>
      </c>
      <c r="D3762">
        <f>_xlfn.LET(_xlpm.dir,Table1[[#This Row],[Direction]],
IF(_xlpm.dir="L",
    IF(F3761-Table1[[#This Row],[Steps]]&lt;0,100+(F3761-Table1[[#This Row],[Steps]]),F3761-Table1[[#This Row],[Steps]]),
))</f>
        <v>0</v>
      </c>
      <c r="E3762">
        <f>_xlfn.LET(_xlpm.dir,Table1[[#This Row],[Direction]],
IF(_xlpm.dir="R",
    IF(F3761+Table1[[#This Row],[Steps]]&gt;99,(F3761+Table1[[#This Row],[Steps]])-100,F3761+Table1[[#This Row],[Steps]]),
))</f>
        <v>54</v>
      </c>
      <c r="F3762">
        <f>IF(Table1[[#This Row],[New Pos L]]&lt;&gt;0,Table1[[#This Row],[New Pos L]],Table1[[#This Row],[New Pos R]])</f>
        <v>54</v>
      </c>
    </row>
    <row r="3763" spans="1:6" ht="16" x14ac:dyDescent="0.2">
      <c r="A3763" s="1" t="s">
        <v>21</v>
      </c>
      <c r="B3763" t="str">
        <f>LEFT(Table1[[#This Row],[Input]],1)</f>
        <v>L</v>
      </c>
      <c r="C3763">
        <f>_xlfn.LET(_xlpm.steps,SUBSTITUTE(Table1[[#This Row],[Input]],Table1[[#This Row],[Direction]],""),VALUE(IF(LEN(_xlpm.steps)&gt;2,RIGHT(_xlpm.steps,2),_xlpm.steps)))</f>
        <v>36</v>
      </c>
      <c r="D3763">
        <f>_xlfn.LET(_xlpm.dir,Table1[[#This Row],[Direction]],
IF(_xlpm.dir="L",
    IF(F3762-Table1[[#This Row],[Steps]]&lt;0,100+(F3762-Table1[[#This Row],[Steps]]),F3762-Table1[[#This Row],[Steps]]),
))</f>
        <v>18</v>
      </c>
      <c r="E3763">
        <f>_xlfn.LET(_xlpm.dir,Table1[[#This Row],[Direction]],
IF(_xlpm.dir="R",
    IF(F3762+Table1[[#This Row],[Steps]]&gt;99,(F3762+Table1[[#This Row],[Steps]])-100,F3762+Table1[[#This Row],[Steps]]),
))</f>
        <v>0</v>
      </c>
      <c r="F3763">
        <f>IF(Table1[[#This Row],[New Pos L]]&lt;&gt;0,Table1[[#This Row],[New Pos L]],Table1[[#This Row],[New Pos R]])</f>
        <v>18</v>
      </c>
    </row>
    <row r="3764" spans="1:6" ht="16" x14ac:dyDescent="0.2">
      <c r="A3764" s="1" t="s">
        <v>9</v>
      </c>
      <c r="B3764" t="str">
        <f>LEFT(Table1[[#This Row],[Input]],1)</f>
        <v>L</v>
      </c>
      <c r="C3764">
        <f>_xlfn.LET(_xlpm.steps,SUBSTITUTE(Table1[[#This Row],[Input]],Table1[[#This Row],[Direction]],""),VALUE(IF(LEN(_xlpm.steps)&gt;2,RIGHT(_xlpm.steps,2),_xlpm.steps)))</f>
        <v>9</v>
      </c>
      <c r="D3764">
        <f>_xlfn.LET(_xlpm.dir,Table1[[#This Row],[Direction]],
IF(_xlpm.dir="L",
    IF(F3763-Table1[[#This Row],[Steps]]&lt;0,100+(F3763-Table1[[#This Row],[Steps]]),F3763-Table1[[#This Row],[Steps]]),
))</f>
        <v>9</v>
      </c>
      <c r="E3764">
        <f>_xlfn.LET(_xlpm.dir,Table1[[#This Row],[Direction]],
IF(_xlpm.dir="R",
    IF(F3763+Table1[[#This Row],[Steps]]&gt;99,(F3763+Table1[[#This Row],[Steps]])-100,F3763+Table1[[#This Row],[Steps]]),
))</f>
        <v>0</v>
      </c>
      <c r="F3764">
        <f>IF(Table1[[#This Row],[New Pos L]]&lt;&gt;0,Table1[[#This Row],[New Pos L]],Table1[[#This Row],[New Pos R]])</f>
        <v>9</v>
      </c>
    </row>
    <row r="3765" spans="1:6" ht="16" x14ac:dyDescent="0.2">
      <c r="A3765" s="1" t="s">
        <v>217</v>
      </c>
      <c r="B3765" t="str">
        <f>LEFT(Table1[[#This Row],[Input]],1)</f>
        <v>R</v>
      </c>
      <c r="C3765">
        <f>_xlfn.LET(_xlpm.steps,SUBSTITUTE(Table1[[#This Row],[Input]],Table1[[#This Row],[Direction]],""),VALUE(IF(LEN(_xlpm.steps)&gt;2,RIGHT(_xlpm.steps,2),_xlpm.steps)))</f>
        <v>91</v>
      </c>
      <c r="D3765">
        <f>_xlfn.LET(_xlpm.dir,Table1[[#This Row],[Direction]],
IF(_xlpm.dir="L",
    IF(F3764-Table1[[#This Row],[Steps]]&lt;0,100+(F3764-Table1[[#This Row],[Steps]]),F3764-Table1[[#This Row],[Steps]]),
))</f>
        <v>0</v>
      </c>
      <c r="E3765">
        <f>_xlfn.LET(_xlpm.dir,Table1[[#This Row],[Direction]],
IF(_xlpm.dir="R",
    IF(F3764+Table1[[#This Row],[Steps]]&gt;99,(F3764+Table1[[#This Row],[Steps]])-100,F3764+Table1[[#This Row],[Steps]]),
))</f>
        <v>0</v>
      </c>
      <c r="F3765">
        <f>IF(Table1[[#This Row],[New Pos L]]&lt;&gt;0,Table1[[#This Row],[New Pos L]],Table1[[#This Row],[New Pos R]])</f>
        <v>0</v>
      </c>
    </row>
    <row r="3766" spans="1:6" ht="16" x14ac:dyDescent="0.2">
      <c r="A3766" s="1" t="s">
        <v>255</v>
      </c>
      <c r="B3766" t="str">
        <f>LEFT(Table1[[#This Row],[Input]],1)</f>
        <v>R</v>
      </c>
      <c r="C3766">
        <f>_xlfn.LET(_xlpm.steps,SUBSTITUTE(Table1[[#This Row],[Input]],Table1[[#This Row],[Direction]],""),VALUE(IF(LEN(_xlpm.steps)&gt;2,RIGHT(_xlpm.steps,2),_xlpm.steps)))</f>
        <v>16</v>
      </c>
      <c r="D3766">
        <f>_xlfn.LET(_xlpm.dir,Table1[[#This Row],[Direction]],
IF(_xlpm.dir="L",
    IF(F3765-Table1[[#This Row],[Steps]]&lt;0,100+(F3765-Table1[[#This Row],[Steps]]),F3765-Table1[[#This Row],[Steps]]),
))</f>
        <v>0</v>
      </c>
      <c r="E3766">
        <f>_xlfn.LET(_xlpm.dir,Table1[[#This Row],[Direction]],
IF(_xlpm.dir="R",
    IF(F3765+Table1[[#This Row],[Steps]]&gt;99,(F3765+Table1[[#This Row],[Steps]])-100,F3765+Table1[[#This Row],[Steps]]),
))</f>
        <v>16</v>
      </c>
      <c r="F3766">
        <f>IF(Table1[[#This Row],[New Pos L]]&lt;&gt;0,Table1[[#This Row],[New Pos L]],Table1[[#This Row],[New Pos R]])</f>
        <v>16</v>
      </c>
    </row>
    <row r="3767" spans="1:6" ht="16" x14ac:dyDescent="0.2">
      <c r="A3767" s="1" t="s">
        <v>330</v>
      </c>
      <c r="B3767" t="str">
        <f>LEFT(Table1[[#This Row],[Input]],1)</f>
        <v>L</v>
      </c>
      <c r="C3767">
        <f>_xlfn.LET(_xlpm.steps,SUBSTITUTE(Table1[[#This Row],[Input]],Table1[[#This Row],[Direction]],""),VALUE(IF(LEN(_xlpm.steps)&gt;2,RIGHT(_xlpm.steps,2),_xlpm.steps)))</f>
        <v>47</v>
      </c>
      <c r="D3767">
        <f>_xlfn.LET(_xlpm.dir,Table1[[#This Row],[Direction]],
IF(_xlpm.dir="L",
    IF(F3766-Table1[[#This Row],[Steps]]&lt;0,100+(F3766-Table1[[#This Row],[Steps]]),F3766-Table1[[#This Row],[Steps]]),
))</f>
        <v>69</v>
      </c>
      <c r="E3767">
        <f>_xlfn.LET(_xlpm.dir,Table1[[#This Row],[Direction]],
IF(_xlpm.dir="R",
    IF(F3766+Table1[[#This Row],[Steps]]&gt;99,(F3766+Table1[[#This Row],[Steps]])-100,F3766+Table1[[#This Row],[Steps]]),
))</f>
        <v>0</v>
      </c>
      <c r="F3767">
        <f>IF(Table1[[#This Row],[New Pos L]]&lt;&gt;0,Table1[[#This Row],[New Pos L]],Table1[[#This Row],[New Pos R]])</f>
        <v>69</v>
      </c>
    </row>
    <row r="3768" spans="1:6" ht="16" x14ac:dyDescent="0.2">
      <c r="A3768" s="1" t="s">
        <v>201</v>
      </c>
      <c r="B3768" t="str">
        <f>LEFT(Table1[[#This Row],[Input]],1)</f>
        <v>R</v>
      </c>
      <c r="C3768">
        <f>_xlfn.LET(_xlpm.steps,SUBSTITUTE(Table1[[#This Row],[Input]],Table1[[#This Row],[Direction]],""),VALUE(IF(LEN(_xlpm.steps)&gt;2,RIGHT(_xlpm.steps,2),_xlpm.steps)))</f>
        <v>31</v>
      </c>
      <c r="D3768">
        <f>_xlfn.LET(_xlpm.dir,Table1[[#This Row],[Direction]],
IF(_xlpm.dir="L",
    IF(F3767-Table1[[#This Row],[Steps]]&lt;0,100+(F3767-Table1[[#This Row],[Steps]]),F3767-Table1[[#This Row],[Steps]]),
))</f>
        <v>0</v>
      </c>
      <c r="E3768">
        <f>_xlfn.LET(_xlpm.dir,Table1[[#This Row],[Direction]],
IF(_xlpm.dir="R",
    IF(F3767+Table1[[#This Row],[Steps]]&gt;99,(F3767+Table1[[#This Row],[Steps]])-100,F3767+Table1[[#This Row],[Steps]]),
))</f>
        <v>0</v>
      </c>
      <c r="F3768">
        <f>IF(Table1[[#This Row],[New Pos L]]&lt;&gt;0,Table1[[#This Row],[New Pos L]],Table1[[#This Row],[New Pos R]])</f>
        <v>0</v>
      </c>
    </row>
    <row r="3769" spans="1:6" ht="16" x14ac:dyDescent="0.2">
      <c r="A3769" s="1" t="s">
        <v>51</v>
      </c>
      <c r="B3769" t="str">
        <f>LEFT(Table1[[#This Row],[Input]],1)</f>
        <v>L</v>
      </c>
      <c r="C3769">
        <f>_xlfn.LET(_xlpm.steps,SUBSTITUTE(Table1[[#This Row],[Input]],Table1[[#This Row],[Direction]],""),VALUE(IF(LEN(_xlpm.steps)&gt;2,RIGHT(_xlpm.steps,2),_xlpm.steps)))</f>
        <v>25</v>
      </c>
      <c r="D3769">
        <f>_xlfn.LET(_xlpm.dir,Table1[[#This Row],[Direction]],
IF(_xlpm.dir="L",
    IF(F3768-Table1[[#This Row],[Steps]]&lt;0,100+(F3768-Table1[[#This Row],[Steps]]),F3768-Table1[[#This Row],[Steps]]),
))</f>
        <v>75</v>
      </c>
      <c r="E3769">
        <f>_xlfn.LET(_xlpm.dir,Table1[[#This Row],[Direction]],
IF(_xlpm.dir="R",
    IF(F3768+Table1[[#This Row],[Steps]]&gt;99,(F3768+Table1[[#This Row],[Steps]])-100,F3768+Table1[[#This Row],[Steps]]),
))</f>
        <v>0</v>
      </c>
      <c r="F3769">
        <f>IF(Table1[[#This Row],[New Pos L]]&lt;&gt;0,Table1[[#This Row],[New Pos L]],Table1[[#This Row],[New Pos R]])</f>
        <v>75</v>
      </c>
    </row>
    <row r="3770" spans="1:6" ht="16" x14ac:dyDescent="0.2">
      <c r="A3770" s="1" t="s">
        <v>54</v>
      </c>
      <c r="B3770" t="str">
        <f>LEFT(Table1[[#This Row],[Input]],1)</f>
        <v>L</v>
      </c>
      <c r="C3770">
        <f>_xlfn.LET(_xlpm.steps,SUBSTITUTE(Table1[[#This Row],[Input]],Table1[[#This Row],[Direction]],""),VALUE(IF(LEN(_xlpm.steps)&gt;2,RIGHT(_xlpm.steps,2),_xlpm.steps)))</f>
        <v>75</v>
      </c>
      <c r="D3770">
        <f>_xlfn.LET(_xlpm.dir,Table1[[#This Row],[Direction]],
IF(_xlpm.dir="L",
    IF(F3769-Table1[[#This Row],[Steps]]&lt;0,100+(F3769-Table1[[#This Row],[Steps]]),F3769-Table1[[#This Row],[Steps]]),
))</f>
        <v>0</v>
      </c>
      <c r="E3770">
        <f>_xlfn.LET(_xlpm.dir,Table1[[#This Row],[Direction]],
IF(_xlpm.dir="R",
    IF(F3769+Table1[[#This Row],[Steps]]&gt;99,(F3769+Table1[[#This Row],[Steps]])-100,F3769+Table1[[#This Row],[Steps]]),
))</f>
        <v>0</v>
      </c>
      <c r="F3770">
        <f>IF(Table1[[#This Row],[New Pos L]]&lt;&gt;0,Table1[[#This Row],[New Pos L]],Table1[[#This Row],[New Pos R]])</f>
        <v>0</v>
      </c>
    </row>
    <row r="3771" spans="1:6" ht="16" x14ac:dyDescent="0.2">
      <c r="A3771" s="1" t="s">
        <v>38</v>
      </c>
      <c r="B3771" t="str">
        <f>LEFT(Table1[[#This Row],[Input]],1)</f>
        <v>R</v>
      </c>
      <c r="C3771">
        <f>_xlfn.LET(_xlpm.steps,SUBSTITUTE(Table1[[#This Row],[Input]],Table1[[#This Row],[Direction]],""),VALUE(IF(LEN(_xlpm.steps)&gt;2,RIGHT(_xlpm.steps,2),_xlpm.steps)))</f>
        <v>15</v>
      </c>
      <c r="D3771">
        <f>_xlfn.LET(_xlpm.dir,Table1[[#This Row],[Direction]],
IF(_xlpm.dir="L",
    IF(F3770-Table1[[#This Row],[Steps]]&lt;0,100+(F3770-Table1[[#This Row],[Steps]]),F3770-Table1[[#This Row],[Steps]]),
))</f>
        <v>0</v>
      </c>
      <c r="E3771">
        <f>_xlfn.LET(_xlpm.dir,Table1[[#This Row],[Direction]],
IF(_xlpm.dir="R",
    IF(F3770+Table1[[#This Row],[Steps]]&gt;99,(F3770+Table1[[#This Row],[Steps]])-100,F3770+Table1[[#This Row],[Steps]]),
))</f>
        <v>15</v>
      </c>
      <c r="F3771">
        <f>IF(Table1[[#This Row],[New Pos L]]&lt;&gt;0,Table1[[#This Row],[New Pos L]],Table1[[#This Row],[New Pos R]])</f>
        <v>15</v>
      </c>
    </row>
    <row r="3772" spans="1:6" ht="16" x14ac:dyDescent="0.2">
      <c r="A3772" s="1" t="s">
        <v>78</v>
      </c>
      <c r="B3772" t="str">
        <f>LEFT(Table1[[#This Row],[Input]],1)</f>
        <v>R</v>
      </c>
      <c r="C3772">
        <f>_xlfn.LET(_xlpm.steps,SUBSTITUTE(Table1[[#This Row],[Input]],Table1[[#This Row],[Direction]],""),VALUE(IF(LEN(_xlpm.steps)&gt;2,RIGHT(_xlpm.steps,2),_xlpm.steps)))</f>
        <v>78</v>
      </c>
      <c r="D3772">
        <f>_xlfn.LET(_xlpm.dir,Table1[[#This Row],[Direction]],
IF(_xlpm.dir="L",
    IF(F3771-Table1[[#This Row],[Steps]]&lt;0,100+(F3771-Table1[[#This Row],[Steps]]),F3771-Table1[[#This Row],[Steps]]),
))</f>
        <v>0</v>
      </c>
      <c r="E3772">
        <f>_xlfn.LET(_xlpm.dir,Table1[[#This Row],[Direction]],
IF(_xlpm.dir="R",
    IF(F3771+Table1[[#This Row],[Steps]]&gt;99,(F3771+Table1[[#This Row],[Steps]])-100,F3771+Table1[[#This Row],[Steps]]),
))</f>
        <v>93</v>
      </c>
      <c r="F3772">
        <f>IF(Table1[[#This Row],[New Pos L]]&lt;&gt;0,Table1[[#This Row],[New Pos L]],Table1[[#This Row],[New Pos R]])</f>
        <v>93</v>
      </c>
    </row>
    <row r="3773" spans="1:6" ht="16" x14ac:dyDescent="0.2">
      <c r="A3773" s="1" t="s">
        <v>49</v>
      </c>
      <c r="B3773" t="str">
        <f>LEFT(Table1[[#This Row],[Input]],1)</f>
        <v>L</v>
      </c>
      <c r="C3773">
        <f>_xlfn.LET(_xlpm.steps,SUBSTITUTE(Table1[[#This Row],[Input]],Table1[[#This Row],[Direction]],""),VALUE(IF(LEN(_xlpm.steps)&gt;2,RIGHT(_xlpm.steps,2),_xlpm.steps)))</f>
        <v>93</v>
      </c>
      <c r="D3773">
        <f>_xlfn.LET(_xlpm.dir,Table1[[#This Row],[Direction]],
IF(_xlpm.dir="L",
    IF(F3772-Table1[[#This Row],[Steps]]&lt;0,100+(F3772-Table1[[#This Row],[Steps]]),F3772-Table1[[#This Row],[Steps]]),
))</f>
        <v>0</v>
      </c>
      <c r="E3773">
        <f>_xlfn.LET(_xlpm.dir,Table1[[#This Row],[Direction]],
IF(_xlpm.dir="R",
    IF(F3772+Table1[[#This Row],[Steps]]&gt;99,(F3772+Table1[[#This Row],[Steps]])-100,F3772+Table1[[#This Row],[Steps]]),
))</f>
        <v>0</v>
      </c>
      <c r="F3773">
        <f>IF(Table1[[#This Row],[New Pos L]]&lt;&gt;0,Table1[[#This Row],[New Pos L]],Table1[[#This Row],[New Pos R]])</f>
        <v>0</v>
      </c>
    </row>
    <row r="3774" spans="1:6" ht="16" x14ac:dyDescent="0.2">
      <c r="A3774" s="1" t="s">
        <v>139</v>
      </c>
      <c r="B3774" t="str">
        <f>LEFT(Table1[[#This Row],[Input]],1)</f>
        <v>R</v>
      </c>
      <c r="C3774">
        <f>_xlfn.LET(_xlpm.steps,SUBSTITUTE(Table1[[#This Row],[Input]],Table1[[#This Row],[Direction]],""),VALUE(IF(LEN(_xlpm.steps)&gt;2,RIGHT(_xlpm.steps,2),_xlpm.steps)))</f>
        <v>38</v>
      </c>
      <c r="D3774">
        <f>_xlfn.LET(_xlpm.dir,Table1[[#This Row],[Direction]],
IF(_xlpm.dir="L",
    IF(F3773-Table1[[#This Row],[Steps]]&lt;0,100+(F3773-Table1[[#This Row],[Steps]]),F3773-Table1[[#This Row],[Steps]]),
))</f>
        <v>0</v>
      </c>
      <c r="E3774">
        <f>_xlfn.LET(_xlpm.dir,Table1[[#This Row],[Direction]],
IF(_xlpm.dir="R",
    IF(F3773+Table1[[#This Row],[Steps]]&gt;99,(F3773+Table1[[#This Row],[Steps]])-100,F3773+Table1[[#This Row],[Steps]]),
))</f>
        <v>38</v>
      </c>
      <c r="F3774">
        <f>IF(Table1[[#This Row],[New Pos L]]&lt;&gt;0,Table1[[#This Row],[New Pos L]],Table1[[#This Row],[New Pos R]])</f>
        <v>38</v>
      </c>
    </row>
    <row r="3775" spans="1:6" ht="16" x14ac:dyDescent="0.2">
      <c r="A3775" s="1" t="s">
        <v>193</v>
      </c>
      <c r="B3775" t="str">
        <f>LEFT(Table1[[#This Row],[Input]],1)</f>
        <v>L</v>
      </c>
      <c r="C3775">
        <f>_xlfn.LET(_xlpm.steps,SUBSTITUTE(Table1[[#This Row],[Input]],Table1[[#This Row],[Direction]],""),VALUE(IF(LEN(_xlpm.steps)&gt;2,RIGHT(_xlpm.steps,2),_xlpm.steps)))</f>
        <v>12</v>
      </c>
      <c r="D3775">
        <f>_xlfn.LET(_xlpm.dir,Table1[[#This Row],[Direction]],
IF(_xlpm.dir="L",
    IF(F3774-Table1[[#This Row],[Steps]]&lt;0,100+(F3774-Table1[[#This Row],[Steps]]),F3774-Table1[[#This Row],[Steps]]),
))</f>
        <v>26</v>
      </c>
      <c r="E3775">
        <f>_xlfn.LET(_xlpm.dir,Table1[[#This Row],[Direction]],
IF(_xlpm.dir="R",
    IF(F3774+Table1[[#This Row],[Steps]]&gt;99,(F3774+Table1[[#This Row],[Steps]])-100,F3774+Table1[[#This Row],[Steps]]),
))</f>
        <v>0</v>
      </c>
      <c r="F3775">
        <f>IF(Table1[[#This Row],[New Pos L]]&lt;&gt;0,Table1[[#This Row],[New Pos L]],Table1[[#This Row],[New Pos R]])</f>
        <v>26</v>
      </c>
    </row>
    <row r="3776" spans="1:6" ht="16" x14ac:dyDescent="0.2">
      <c r="A3776" s="1" t="s">
        <v>795</v>
      </c>
      <c r="B3776" t="str">
        <f>LEFT(Table1[[#This Row],[Input]],1)</f>
        <v>L</v>
      </c>
      <c r="C3776">
        <f>_xlfn.LET(_xlpm.steps,SUBSTITUTE(Table1[[#This Row],[Input]],Table1[[#This Row],[Direction]],""),VALUE(IF(LEN(_xlpm.steps)&gt;2,RIGHT(_xlpm.steps,2),_xlpm.steps)))</f>
        <v>79</v>
      </c>
      <c r="D3776">
        <f>_xlfn.LET(_xlpm.dir,Table1[[#This Row],[Direction]],
IF(_xlpm.dir="L",
    IF(F3775-Table1[[#This Row],[Steps]]&lt;0,100+(F3775-Table1[[#This Row],[Steps]]),F3775-Table1[[#This Row],[Steps]]),
))</f>
        <v>47</v>
      </c>
      <c r="E3776">
        <f>_xlfn.LET(_xlpm.dir,Table1[[#This Row],[Direction]],
IF(_xlpm.dir="R",
    IF(F3775+Table1[[#This Row],[Steps]]&gt;99,(F3775+Table1[[#This Row],[Steps]])-100,F3775+Table1[[#This Row],[Steps]]),
))</f>
        <v>0</v>
      </c>
      <c r="F3776">
        <f>IF(Table1[[#This Row],[New Pos L]]&lt;&gt;0,Table1[[#This Row],[New Pos L]],Table1[[#This Row],[New Pos R]])</f>
        <v>47</v>
      </c>
    </row>
    <row r="3777" spans="1:6" ht="16" x14ac:dyDescent="0.2">
      <c r="A3777" s="1" t="s">
        <v>121</v>
      </c>
      <c r="B3777" t="str">
        <f>LEFT(Table1[[#This Row],[Input]],1)</f>
        <v>L</v>
      </c>
      <c r="C3777">
        <f>_xlfn.LET(_xlpm.steps,SUBSTITUTE(Table1[[#This Row],[Input]],Table1[[#This Row],[Direction]],""),VALUE(IF(LEN(_xlpm.steps)&gt;2,RIGHT(_xlpm.steps,2),_xlpm.steps)))</f>
        <v>69</v>
      </c>
      <c r="D3777">
        <f>_xlfn.LET(_xlpm.dir,Table1[[#This Row],[Direction]],
IF(_xlpm.dir="L",
    IF(F3776-Table1[[#This Row],[Steps]]&lt;0,100+(F3776-Table1[[#This Row],[Steps]]),F3776-Table1[[#This Row],[Steps]]),
))</f>
        <v>78</v>
      </c>
      <c r="E3777">
        <f>_xlfn.LET(_xlpm.dir,Table1[[#This Row],[Direction]],
IF(_xlpm.dir="R",
    IF(F3776+Table1[[#This Row],[Steps]]&gt;99,(F3776+Table1[[#This Row],[Steps]])-100,F3776+Table1[[#This Row],[Steps]]),
))</f>
        <v>0</v>
      </c>
      <c r="F3777">
        <f>IF(Table1[[#This Row],[New Pos L]]&lt;&gt;0,Table1[[#This Row],[New Pos L]],Table1[[#This Row],[New Pos R]])</f>
        <v>78</v>
      </c>
    </row>
    <row r="3778" spans="1:6" ht="16" x14ac:dyDescent="0.2">
      <c r="A3778" s="1" t="s">
        <v>33</v>
      </c>
      <c r="B3778" t="str">
        <f>LEFT(Table1[[#This Row],[Input]],1)</f>
        <v>R</v>
      </c>
      <c r="C3778">
        <f>_xlfn.LET(_xlpm.steps,SUBSTITUTE(Table1[[#This Row],[Input]],Table1[[#This Row],[Direction]],""),VALUE(IF(LEN(_xlpm.steps)&gt;2,RIGHT(_xlpm.steps,2),_xlpm.steps)))</f>
        <v>22</v>
      </c>
      <c r="D3778">
        <f>_xlfn.LET(_xlpm.dir,Table1[[#This Row],[Direction]],
IF(_xlpm.dir="L",
    IF(F3777-Table1[[#This Row],[Steps]]&lt;0,100+(F3777-Table1[[#This Row],[Steps]]),F3777-Table1[[#This Row],[Steps]]),
))</f>
        <v>0</v>
      </c>
      <c r="E3778">
        <f>_xlfn.LET(_xlpm.dir,Table1[[#This Row],[Direction]],
IF(_xlpm.dir="R",
    IF(F3777+Table1[[#This Row],[Steps]]&gt;99,(F3777+Table1[[#This Row],[Steps]])-100,F3777+Table1[[#This Row],[Steps]]),
))</f>
        <v>0</v>
      </c>
      <c r="F3778">
        <f>IF(Table1[[#This Row],[New Pos L]]&lt;&gt;0,Table1[[#This Row],[New Pos L]],Table1[[#This Row],[New Pos R]])</f>
        <v>0</v>
      </c>
    </row>
    <row r="3779" spans="1:6" ht="16" x14ac:dyDescent="0.2">
      <c r="A3779" s="1" t="s">
        <v>796</v>
      </c>
      <c r="B3779" t="str">
        <f>LEFT(Table1[[#This Row],[Input]],1)</f>
        <v>R</v>
      </c>
      <c r="C3779">
        <f>_xlfn.LET(_xlpm.steps,SUBSTITUTE(Table1[[#This Row],[Input]],Table1[[#This Row],[Direction]],""),VALUE(IF(LEN(_xlpm.steps)&gt;2,RIGHT(_xlpm.steps,2),_xlpm.steps)))</f>
        <v>73</v>
      </c>
      <c r="D3779">
        <f>_xlfn.LET(_xlpm.dir,Table1[[#This Row],[Direction]],
IF(_xlpm.dir="L",
    IF(F3778-Table1[[#This Row],[Steps]]&lt;0,100+(F3778-Table1[[#This Row],[Steps]]),F3778-Table1[[#This Row],[Steps]]),
))</f>
        <v>0</v>
      </c>
      <c r="E3779">
        <f>_xlfn.LET(_xlpm.dir,Table1[[#This Row],[Direction]],
IF(_xlpm.dir="R",
    IF(F3778+Table1[[#This Row],[Steps]]&gt;99,(F3778+Table1[[#This Row],[Steps]])-100,F3778+Table1[[#This Row],[Steps]]),
))</f>
        <v>73</v>
      </c>
      <c r="F3779">
        <f>IF(Table1[[#This Row],[New Pos L]]&lt;&gt;0,Table1[[#This Row],[New Pos L]],Table1[[#This Row],[New Pos R]])</f>
        <v>73</v>
      </c>
    </row>
    <row r="3780" spans="1:6" ht="16" x14ac:dyDescent="0.2">
      <c r="A3780" s="1" t="s">
        <v>159</v>
      </c>
      <c r="B3780" t="str">
        <f>LEFT(Table1[[#This Row],[Input]],1)</f>
        <v>R</v>
      </c>
      <c r="C3780">
        <f>_xlfn.LET(_xlpm.steps,SUBSTITUTE(Table1[[#This Row],[Input]],Table1[[#This Row],[Direction]],""),VALUE(IF(LEN(_xlpm.steps)&gt;2,RIGHT(_xlpm.steps,2),_xlpm.steps)))</f>
        <v>24</v>
      </c>
      <c r="D3780">
        <f>_xlfn.LET(_xlpm.dir,Table1[[#This Row],[Direction]],
IF(_xlpm.dir="L",
    IF(F3779-Table1[[#This Row],[Steps]]&lt;0,100+(F3779-Table1[[#This Row],[Steps]]),F3779-Table1[[#This Row],[Steps]]),
))</f>
        <v>0</v>
      </c>
      <c r="E3780">
        <f>_xlfn.LET(_xlpm.dir,Table1[[#This Row],[Direction]],
IF(_xlpm.dir="R",
    IF(F3779+Table1[[#This Row],[Steps]]&gt;99,(F3779+Table1[[#This Row],[Steps]])-100,F3779+Table1[[#This Row],[Steps]]),
))</f>
        <v>97</v>
      </c>
      <c r="F3780">
        <f>IF(Table1[[#This Row],[New Pos L]]&lt;&gt;0,Table1[[#This Row],[New Pos L]],Table1[[#This Row],[New Pos R]])</f>
        <v>97</v>
      </c>
    </row>
    <row r="3781" spans="1:6" ht="16" x14ac:dyDescent="0.2">
      <c r="A3781" s="1" t="s">
        <v>797</v>
      </c>
      <c r="B3781" t="str">
        <f>LEFT(Table1[[#This Row],[Input]],1)</f>
        <v>L</v>
      </c>
      <c r="C3781">
        <f>_xlfn.LET(_xlpm.steps,SUBSTITUTE(Table1[[#This Row],[Input]],Table1[[#This Row],[Direction]],""),VALUE(IF(LEN(_xlpm.steps)&gt;2,RIGHT(_xlpm.steps,2),_xlpm.steps)))</f>
        <v>32</v>
      </c>
      <c r="D3781">
        <f>_xlfn.LET(_xlpm.dir,Table1[[#This Row],[Direction]],
IF(_xlpm.dir="L",
    IF(F3780-Table1[[#This Row],[Steps]]&lt;0,100+(F3780-Table1[[#This Row],[Steps]]),F3780-Table1[[#This Row],[Steps]]),
))</f>
        <v>65</v>
      </c>
      <c r="E3781">
        <f>_xlfn.LET(_xlpm.dir,Table1[[#This Row],[Direction]],
IF(_xlpm.dir="R",
    IF(F3780+Table1[[#This Row],[Steps]]&gt;99,(F3780+Table1[[#This Row],[Steps]])-100,F3780+Table1[[#This Row],[Steps]]),
))</f>
        <v>0</v>
      </c>
      <c r="F3781">
        <f>IF(Table1[[#This Row],[New Pos L]]&lt;&gt;0,Table1[[#This Row],[New Pos L]],Table1[[#This Row],[New Pos R]])</f>
        <v>65</v>
      </c>
    </row>
    <row r="3782" spans="1:6" ht="16" x14ac:dyDescent="0.2">
      <c r="A3782" s="1" t="s">
        <v>98</v>
      </c>
      <c r="B3782" t="str">
        <f>LEFT(Table1[[#This Row],[Input]],1)</f>
        <v>L</v>
      </c>
      <c r="C3782">
        <f>_xlfn.LET(_xlpm.steps,SUBSTITUTE(Table1[[#This Row],[Input]],Table1[[#This Row],[Direction]],""),VALUE(IF(LEN(_xlpm.steps)&gt;2,RIGHT(_xlpm.steps,2),_xlpm.steps)))</f>
        <v>65</v>
      </c>
      <c r="D3782">
        <f>_xlfn.LET(_xlpm.dir,Table1[[#This Row],[Direction]],
IF(_xlpm.dir="L",
    IF(F3781-Table1[[#This Row],[Steps]]&lt;0,100+(F3781-Table1[[#This Row],[Steps]]),F3781-Table1[[#This Row],[Steps]]),
))</f>
        <v>0</v>
      </c>
      <c r="E3782">
        <f>_xlfn.LET(_xlpm.dir,Table1[[#This Row],[Direction]],
IF(_xlpm.dir="R",
    IF(F3781+Table1[[#This Row],[Steps]]&gt;99,(F3781+Table1[[#This Row],[Steps]])-100,F3781+Table1[[#This Row],[Steps]]),
))</f>
        <v>0</v>
      </c>
      <c r="F3782">
        <f>IF(Table1[[#This Row],[New Pos L]]&lt;&gt;0,Table1[[#This Row],[New Pos L]],Table1[[#This Row],[New Pos R]])</f>
        <v>0</v>
      </c>
    </row>
    <row r="3783" spans="1:6" ht="16" x14ac:dyDescent="0.2">
      <c r="A3783" s="1" t="s">
        <v>241</v>
      </c>
      <c r="B3783" t="str">
        <f>LEFT(Table1[[#This Row],[Input]],1)</f>
        <v>R</v>
      </c>
      <c r="C3783">
        <f>_xlfn.LET(_xlpm.steps,SUBSTITUTE(Table1[[#This Row],[Input]],Table1[[#This Row],[Direction]],""),VALUE(IF(LEN(_xlpm.steps)&gt;2,RIGHT(_xlpm.steps,2),_xlpm.steps)))</f>
        <v>60</v>
      </c>
      <c r="D3783">
        <f>_xlfn.LET(_xlpm.dir,Table1[[#This Row],[Direction]],
IF(_xlpm.dir="L",
    IF(F3782-Table1[[#This Row],[Steps]]&lt;0,100+(F3782-Table1[[#This Row],[Steps]]),F3782-Table1[[#This Row],[Steps]]),
))</f>
        <v>0</v>
      </c>
      <c r="E3783">
        <f>_xlfn.LET(_xlpm.dir,Table1[[#This Row],[Direction]],
IF(_xlpm.dir="R",
    IF(F3782+Table1[[#This Row],[Steps]]&gt;99,(F3782+Table1[[#This Row],[Steps]])-100,F3782+Table1[[#This Row],[Steps]]),
))</f>
        <v>60</v>
      </c>
      <c r="F3783">
        <f>IF(Table1[[#This Row],[New Pos L]]&lt;&gt;0,Table1[[#This Row],[New Pos L]],Table1[[#This Row],[New Pos R]])</f>
        <v>60</v>
      </c>
    </row>
    <row r="3784" spans="1:6" ht="16" x14ac:dyDescent="0.2">
      <c r="A3784" s="1" t="s">
        <v>798</v>
      </c>
      <c r="B3784" t="str">
        <f>LEFT(Table1[[#This Row],[Input]],1)</f>
        <v>L</v>
      </c>
      <c r="C3784">
        <f>_xlfn.LET(_xlpm.steps,SUBSTITUTE(Table1[[#This Row],[Input]],Table1[[#This Row],[Direction]],""),VALUE(IF(LEN(_xlpm.steps)&gt;2,RIGHT(_xlpm.steps,2),_xlpm.steps)))</f>
        <v>60</v>
      </c>
      <c r="D3784">
        <f>_xlfn.LET(_xlpm.dir,Table1[[#This Row],[Direction]],
IF(_xlpm.dir="L",
    IF(F3783-Table1[[#This Row],[Steps]]&lt;0,100+(F3783-Table1[[#This Row],[Steps]]),F3783-Table1[[#This Row],[Steps]]),
))</f>
        <v>0</v>
      </c>
      <c r="E3784">
        <f>_xlfn.LET(_xlpm.dir,Table1[[#This Row],[Direction]],
IF(_xlpm.dir="R",
    IF(F3783+Table1[[#This Row],[Steps]]&gt;99,(F3783+Table1[[#This Row],[Steps]])-100,F3783+Table1[[#This Row],[Steps]]),
))</f>
        <v>0</v>
      </c>
      <c r="F3784">
        <f>IF(Table1[[#This Row],[New Pos L]]&lt;&gt;0,Table1[[#This Row],[New Pos L]],Table1[[#This Row],[New Pos R]])</f>
        <v>0</v>
      </c>
    </row>
    <row r="3785" spans="1:6" ht="16" x14ac:dyDescent="0.2">
      <c r="A3785" s="1" t="s">
        <v>82</v>
      </c>
      <c r="B3785" t="str">
        <f>LEFT(Table1[[#This Row],[Input]],1)</f>
        <v>L</v>
      </c>
      <c r="C3785">
        <f>_xlfn.LET(_xlpm.steps,SUBSTITUTE(Table1[[#This Row],[Input]],Table1[[#This Row],[Direction]],""),VALUE(IF(LEN(_xlpm.steps)&gt;2,RIGHT(_xlpm.steps,2),_xlpm.steps)))</f>
        <v>55</v>
      </c>
      <c r="D3785">
        <f>_xlfn.LET(_xlpm.dir,Table1[[#This Row],[Direction]],
IF(_xlpm.dir="L",
    IF(F3784-Table1[[#This Row],[Steps]]&lt;0,100+(F3784-Table1[[#This Row],[Steps]]),F3784-Table1[[#This Row],[Steps]]),
))</f>
        <v>45</v>
      </c>
      <c r="E3785">
        <f>_xlfn.LET(_xlpm.dir,Table1[[#This Row],[Direction]],
IF(_xlpm.dir="R",
    IF(F3784+Table1[[#This Row],[Steps]]&gt;99,(F3784+Table1[[#This Row],[Steps]])-100,F3784+Table1[[#This Row],[Steps]]),
))</f>
        <v>0</v>
      </c>
      <c r="F3785">
        <f>IF(Table1[[#This Row],[New Pos L]]&lt;&gt;0,Table1[[#This Row],[New Pos L]],Table1[[#This Row],[New Pos R]])</f>
        <v>45</v>
      </c>
    </row>
    <row r="3786" spans="1:6" ht="16" x14ac:dyDescent="0.2">
      <c r="A3786" s="1" t="s">
        <v>422</v>
      </c>
      <c r="B3786" t="str">
        <f>LEFT(Table1[[#This Row],[Input]],1)</f>
        <v>L</v>
      </c>
      <c r="C3786">
        <f>_xlfn.LET(_xlpm.steps,SUBSTITUTE(Table1[[#This Row],[Input]],Table1[[#This Row],[Direction]],""),VALUE(IF(LEN(_xlpm.steps)&gt;2,RIGHT(_xlpm.steps,2),_xlpm.steps)))</f>
        <v>16</v>
      </c>
      <c r="D3786">
        <f>_xlfn.LET(_xlpm.dir,Table1[[#This Row],[Direction]],
IF(_xlpm.dir="L",
    IF(F3785-Table1[[#This Row],[Steps]]&lt;0,100+(F3785-Table1[[#This Row],[Steps]]),F3785-Table1[[#This Row],[Steps]]),
))</f>
        <v>29</v>
      </c>
      <c r="E3786">
        <f>_xlfn.LET(_xlpm.dir,Table1[[#This Row],[Direction]],
IF(_xlpm.dir="R",
    IF(F3785+Table1[[#This Row],[Steps]]&gt;99,(F3785+Table1[[#This Row],[Steps]])-100,F3785+Table1[[#This Row],[Steps]]),
))</f>
        <v>0</v>
      </c>
      <c r="F3786">
        <f>IF(Table1[[#This Row],[New Pos L]]&lt;&gt;0,Table1[[#This Row],[New Pos L]],Table1[[#This Row],[New Pos R]])</f>
        <v>29</v>
      </c>
    </row>
    <row r="3787" spans="1:6" ht="16" x14ac:dyDescent="0.2">
      <c r="A3787" s="1" t="s">
        <v>50</v>
      </c>
      <c r="B3787" t="str">
        <f>LEFT(Table1[[#This Row],[Input]],1)</f>
        <v>R</v>
      </c>
      <c r="C3787">
        <f>_xlfn.LET(_xlpm.steps,SUBSTITUTE(Table1[[#This Row],[Input]],Table1[[#This Row],[Direction]],""),VALUE(IF(LEN(_xlpm.steps)&gt;2,RIGHT(_xlpm.steps,2),_xlpm.steps)))</f>
        <v>78</v>
      </c>
      <c r="D3787">
        <f>_xlfn.LET(_xlpm.dir,Table1[[#This Row],[Direction]],
IF(_xlpm.dir="L",
    IF(F3786-Table1[[#This Row],[Steps]]&lt;0,100+(F3786-Table1[[#This Row],[Steps]]),F3786-Table1[[#This Row],[Steps]]),
))</f>
        <v>0</v>
      </c>
      <c r="E3787">
        <f>_xlfn.LET(_xlpm.dir,Table1[[#This Row],[Direction]],
IF(_xlpm.dir="R",
    IF(F3786+Table1[[#This Row],[Steps]]&gt;99,(F3786+Table1[[#This Row],[Steps]])-100,F3786+Table1[[#This Row],[Steps]]),
))</f>
        <v>7</v>
      </c>
      <c r="F3787">
        <f>IF(Table1[[#This Row],[New Pos L]]&lt;&gt;0,Table1[[#This Row],[New Pos L]],Table1[[#This Row],[New Pos R]])</f>
        <v>7</v>
      </c>
    </row>
    <row r="3788" spans="1:6" ht="16" x14ac:dyDescent="0.2">
      <c r="A3788" s="1" t="s">
        <v>201</v>
      </c>
      <c r="B3788" t="str">
        <f>LEFT(Table1[[#This Row],[Input]],1)</f>
        <v>R</v>
      </c>
      <c r="C3788">
        <f>_xlfn.LET(_xlpm.steps,SUBSTITUTE(Table1[[#This Row],[Input]],Table1[[#This Row],[Direction]],""),VALUE(IF(LEN(_xlpm.steps)&gt;2,RIGHT(_xlpm.steps,2),_xlpm.steps)))</f>
        <v>31</v>
      </c>
      <c r="D3788">
        <f>_xlfn.LET(_xlpm.dir,Table1[[#This Row],[Direction]],
IF(_xlpm.dir="L",
    IF(F3787-Table1[[#This Row],[Steps]]&lt;0,100+(F3787-Table1[[#This Row],[Steps]]),F3787-Table1[[#This Row],[Steps]]),
))</f>
        <v>0</v>
      </c>
      <c r="E3788">
        <f>_xlfn.LET(_xlpm.dir,Table1[[#This Row],[Direction]],
IF(_xlpm.dir="R",
    IF(F3787+Table1[[#This Row],[Steps]]&gt;99,(F3787+Table1[[#This Row],[Steps]])-100,F3787+Table1[[#This Row],[Steps]]),
))</f>
        <v>38</v>
      </c>
      <c r="F3788">
        <f>IF(Table1[[#This Row],[New Pos L]]&lt;&gt;0,Table1[[#This Row],[New Pos L]],Table1[[#This Row],[New Pos R]])</f>
        <v>38</v>
      </c>
    </row>
    <row r="3789" spans="1:6" ht="16" x14ac:dyDescent="0.2">
      <c r="A3789" s="1" t="s">
        <v>35</v>
      </c>
      <c r="B3789" t="str">
        <f>LEFT(Table1[[#This Row],[Input]],1)</f>
        <v>L</v>
      </c>
      <c r="C3789">
        <f>_xlfn.LET(_xlpm.steps,SUBSTITUTE(Table1[[#This Row],[Input]],Table1[[#This Row],[Direction]],""),VALUE(IF(LEN(_xlpm.steps)&gt;2,RIGHT(_xlpm.steps,2),_xlpm.steps)))</f>
        <v>2</v>
      </c>
      <c r="D3789">
        <f>_xlfn.LET(_xlpm.dir,Table1[[#This Row],[Direction]],
IF(_xlpm.dir="L",
    IF(F3788-Table1[[#This Row],[Steps]]&lt;0,100+(F3788-Table1[[#This Row],[Steps]]),F3788-Table1[[#This Row],[Steps]]),
))</f>
        <v>36</v>
      </c>
      <c r="E3789">
        <f>_xlfn.LET(_xlpm.dir,Table1[[#This Row],[Direction]],
IF(_xlpm.dir="R",
    IF(F3788+Table1[[#This Row],[Steps]]&gt;99,(F3788+Table1[[#This Row],[Steps]])-100,F3788+Table1[[#This Row],[Steps]]),
))</f>
        <v>0</v>
      </c>
      <c r="F3789">
        <f>IF(Table1[[#This Row],[New Pos L]]&lt;&gt;0,Table1[[#This Row],[New Pos L]],Table1[[#This Row],[New Pos R]])</f>
        <v>36</v>
      </c>
    </row>
    <row r="3790" spans="1:6" ht="16" x14ac:dyDescent="0.2">
      <c r="A3790" s="1" t="s">
        <v>762</v>
      </c>
      <c r="B3790" t="str">
        <f>LEFT(Table1[[#This Row],[Input]],1)</f>
        <v>L</v>
      </c>
      <c r="C3790">
        <f>_xlfn.LET(_xlpm.steps,SUBSTITUTE(Table1[[#This Row],[Input]],Table1[[#This Row],[Direction]],""),VALUE(IF(LEN(_xlpm.steps)&gt;2,RIGHT(_xlpm.steps,2),_xlpm.steps)))</f>
        <v>90</v>
      </c>
      <c r="D3790">
        <f>_xlfn.LET(_xlpm.dir,Table1[[#This Row],[Direction]],
IF(_xlpm.dir="L",
    IF(F3789-Table1[[#This Row],[Steps]]&lt;0,100+(F3789-Table1[[#This Row],[Steps]]),F3789-Table1[[#This Row],[Steps]]),
))</f>
        <v>46</v>
      </c>
      <c r="E3790">
        <f>_xlfn.LET(_xlpm.dir,Table1[[#This Row],[Direction]],
IF(_xlpm.dir="R",
    IF(F3789+Table1[[#This Row],[Steps]]&gt;99,(F3789+Table1[[#This Row],[Steps]])-100,F3789+Table1[[#This Row],[Steps]]),
))</f>
        <v>0</v>
      </c>
      <c r="F3790">
        <f>IF(Table1[[#This Row],[New Pos L]]&lt;&gt;0,Table1[[#This Row],[New Pos L]],Table1[[#This Row],[New Pos R]])</f>
        <v>46</v>
      </c>
    </row>
    <row r="3791" spans="1:6" ht="16" x14ac:dyDescent="0.2">
      <c r="A3791" s="1" t="s">
        <v>18</v>
      </c>
      <c r="B3791" t="str">
        <f>LEFT(Table1[[#This Row],[Input]],1)</f>
        <v>L</v>
      </c>
      <c r="C3791">
        <f>_xlfn.LET(_xlpm.steps,SUBSTITUTE(Table1[[#This Row],[Input]],Table1[[#This Row],[Direction]],""),VALUE(IF(LEN(_xlpm.steps)&gt;2,RIGHT(_xlpm.steps,2),_xlpm.steps)))</f>
        <v>46</v>
      </c>
      <c r="D3791">
        <f>_xlfn.LET(_xlpm.dir,Table1[[#This Row],[Direction]],
IF(_xlpm.dir="L",
    IF(F3790-Table1[[#This Row],[Steps]]&lt;0,100+(F3790-Table1[[#This Row],[Steps]]),F3790-Table1[[#This Row],[Steps]]),
))</f>
        <v>0</v>
      </c>
      <c r="E3791">
        <f>_xlfn.LET(_xlpm.dir,Table1[[#This Row],[Direction]],
IF(_xlpm.dir="R",
    IF(F3790+Table1[[#This Row],[Steps]]&gt;99,(F3790+Table1[[#This Row],[Steps]])-100,F3790+Table1[[#This Row],[Steps]]),
))</f>
        <v>0</v>
      </c>
      <c r="F3791">
        <f>IF(Table1[[#This Row],[New Pos L]]&lt;&gt;0,Table1[[#This Row],[New Pos L]],Table1[[#This Row],[New Pos R]])</f>
        <v>0</v>
      </c>
    </row>
    <row r="3792" spans="1:6" ht="16" x14ac:dyDescent="0.2">
      <c r="A3792" s="1" t="s">
        <v>9</v>
      </c>
      <c r="B3792" t="str">
        <f>LEFT(Table1[[#This Row],[Input]],1)</f>
        <v>L</v>
      </c>
      <c r="C3792">
        <f>_xlfn.LET(_xlpm.steps,SUBSTITUTE(Table1[[#This Row],[Input]],Table1[[#This Row],[Direction]],""),VALUE(IF(LEN(_xlpm.steps)&gt;2,RIGHT(_xlpm.steps,2),_xlpm.steps)))</f>
        <v>9</v>
      </c>
      <c r="D3792">
        <f>_xlfn.LET(_xlpm.dir,Table1[[#This Row],[Direction]],
IF(_xlpm.dir="L",
    IF(F3791-Table1[[#This Row],[Steps]]&lt;0,100+(F3791-Table1[[#This Row],[Steps]]),F3791-Table1[[#This Row],[Steps]]),
))</f>
        <v>91</v>
      </c>
      <c r="E3792">
        <f>_xlfn.LET(_xlpm.dir,Table1[[#This Row],[Direction]],
IF(_xlpm.dir="R",
    IF(F3791+Table1[[#This Row],[Steps]]&gt;99,(F3791+Table1[[#This Row],[Steps]])-100,F3791+Table1[[#This Row],[Steps]]),
))</f>
        <v>0</v>
      </c>
      <c r="F3792">
        <f>IF(Table1[[#This Row],[New Pos L]]&lt;&gt;0,Table1[[#This Row],[New Pos L]],Table1[[#This Row],[New Pos R]])</f>
        <v>91</v>
      </c>
    </row>
    <row r="3793" spans="1:6" ht="16" x14ac:dyDescent="0.2">
      <c r="A3793" s="1" t="s">
        <v>40</v>
      </c>
      <c r="B3793" t="str">
        <f>LEFT(Table1[[#This Row],[Input]],1)</f>
        <v>R</v>
      </c>
      <c r="C3793">
        <f>_xlfn.LET(_xlpm.steps,SUBSTITUTE(Table1[[#This Row],[Input]],Table1[[#This Row],[Direction]],""),VALUE(IF(LEN(_xlpm.steps)&gt;2,RIGHT(_xlpm.steps,2),_xlpm.steps)))</f>
        <v>52</v>
      </c>
      <c r="D3793">
        <f>_xlfn.LET(_xlpm.dir,Table1[[#This Row],[Direction]],
IF(_xlpm.dir="L",
    IF(F3792-Table1[[#This Row],[Steps]]&lt;0,100+(F3792-Table1[[#This Row],[Steps]]),F3792-Table1[[#This Row],[Steps]]),
))</f>
        <v>0</v>
      </c>
      <c r="E3793">
        <f>_xlfn.LET(_xlpm.dir,Table1[[#This Row],[Direction]],
IF(_xlpm.dir="R",
    IF(F3792+Table1[[#This Row],[Steps]]&gt;99,(F3792+Table1[[#This Row],[Steps]])-100,F3792+Table1[[#This Row],[Steps]]),
))</f>
        <v>43</v>
      </c>
      <c r="F3793">
        <f>IF(Table1[[#This Row],[New Pos L]]&lt;&gt;0,Table1[[#This Row],[New Pos L]],Table1[[#This Row],[New Pos R]])</f>
        <v>43</v>
      </c>
    </row>
    <row r="3794" spans="1:6" ht="16" x14ac:dyDescent="0.2">
      <c r="A3794" s="1" t="s">
        <v>318</v>
      </c>
      <c r="B3794" t="str">
        <f>LEFT(Table1[[#This Row],[Input]],1)</f>
        <v>L</v>
      </c>
      <c r="C3794">
        <f>_xlfn.LET(_xlpm.steps,SUBSTITUTE(Table1[[#This Row],[Input]],Table1[[#This Row],[Direction]],""),VALUE(IF(LEN(_xlpm.steps)&gt;2,RIGHT(_xlpm.steps,2),_xlpm.steps)))</f>
        <v>52</v>
      </c>
      <c r="D3794">
        <f>_xlfn.LET(_xlpm.dir,Table1[[#This Row],[Direction]],
IF(_xlpm.dir="L",
    IF(F3793-Table1[[#This Row],[Steps]]&lt;0,100+(F3793-Table1[[#This Row],[Steps]]),F3793-Table1[[#This Row],[Steps]]),
))</f>
        <v>91</v>
      </c>
      <c r="E3794">
        <f>_xlfn.LET(_xlpm.dir,Table1[[#This Row],[Direction]],
IF(_xlpm.dir="R",
    IF(F3793+Table1[[#This Row],[Steps]]&gt;99,(F3793+Table1[[#This Row],[Steps]])-100,F3793+Table1[[#This Row],[Steps]]),
))</f>
        <v>0</v>
      </c>
      <c r="F3794">
        <f>IF(Table1[[#This Row],[New Pos L]]&lt;&gt;0,Table1[[#This Row],[New Pos L]],Table1[[#This Row],[New Pos R]])</f>
        <v>91</v>
      </c>
    </row>
    <row r="3795" spans="1:6" ht="16" x14ac:dyDescent="0.2">
      <c r="A3795" s="1" t="s">
        <v>75</v>
      </c>
      <c r="B3795" t="str">
        <f>LEFT(Table1[[#This Row],[Input]],1)</f>
        <v>R</v>
      </c>
      <c r="C3795">
        <f>_xlfn.LET(_xlpm.steps,SUBSTITUTE(Table1[[#This Row],[Input]],Table1[[#This Row],[Direction]],""),VALUE(IF(LEN(_xlpm.steps)&gt;2,RIGHT(_xlpm.steps,2),_xlpm.steps)))</f>
        <v>2</v>
      </c>
      <c r="D3795">
        <f>_xlfn.LET(_xlpm.dir,Table1[[#This Row],[Direction]],
IF(_xlpm.dir="L",
    IF(F3794-Table1[[#This Row],[Steps]]&lt;0,100+(F3794-Table1[[#This Row],[Steps]]),F3794-Table1[[#This Row],[Steps]]),
))</f>
        <v>0</v>
      </c>
      <c r="E3795">
        <f>_xlfn.LET(_xlpm.dir,Table1[[#This Row],[Direction]],
IF(_xlpm.dir="R",
    IF(F3794+Table1[[#This Row],[Steps]]&gt;99,(F3794+Table1[[#This Row],[Steps]])-100,F3794+Table1[[#This Row],[Steps]]),
))</f>
        <v>93</v>
      </c>
      <c r="F3795">
        <f>IF(Table1[[#This Row],[New Pos L]]&lt;&gt;0,Table1[[#This Row],[New Pos L]],Table1[[#This Row],[New Pos R]])</f>
        <v>93</v>
      </c>
    </row>
    <row r="3796" spans="1:6" ht="16" x14ac:dyDescent="0.2">
      <c r="A3796" s="1" t="s">
        <v>357</v>
      </c>
      <c r="B3796" t="str">
        <f>LEFT(Table1[[#This Row],[Input]],1)</f>
        <v>R</v>
      </c>
      <c r="C3796">
        <f>_xlfn.LET(_xlpm.steps,SUBSTITUTE(Table1[[#This Row],[Input]],Table1[[#This Row],[Direction]],""),VALUE(IF(LEN(_xlpm.steps)&gt;2,RIGHT(_xlpm.steps,2),_xlpm.steps)))</f>
        <v>72</v>
      </c>
      <c r="D3796">
        <f>_xlfn.LET(_xlpm.dir,Table1[[#This Row],[Direction]],
IF(_xlpm.dir="L",
    IF(F3795-Table1[[#This Row],[Steps]]&lt;0,100+(F3795-Table1[[#This Row],[Steps]]),F3795-Table1[[#This Row],[Steps]]),
))</f>
        <v>0</v>
      </c>
      <c r="E3796">
        <f>_xlfn.LET(_xlpm.dir,Table1[[#This Row],[Direction]],
IF(_xlpm.dir="R",
    IF(F3795+Table1[[#This Row],[Steps]]&gt;99,(F3795+Table1[[#This Row],[Steps]])-100,F3795+Table1[[#This Row],[Steps]]),
))</f>
        <v>65</v>
      </c>
      <c r="F3796">
        <f>IF(Table1[[#This Row],[New Pos L]]&lt;&gt;0,Table1[[#This Row],[New Pos L]],Table1[[#This Row],[New Pos R]])</f>
        <v>65</v>
      </c>
    </row>
    <row r="3797" spans="1:6" ht="16" x14ac:dyDescent="0.2">
      <c r="A3797" s="1" t="s">
        <v>33</v>
      </c>
      <c r="B3797" t="str">
        <f>LEFT(Table1[[#This Row],[Input]],1)</f>
        <v>R</v>
      </c>
      <c r="C3797">
        <f>_xlfn.LET(_xlpm.steps,SUBSTITUTE(Table1[[#This Row],[Input]],Table1[[#This Row],[Direction]],""),VALUE(IF(LEN(_xlpm.steps)&gt;2,RIGHT(_xlpm.steps,2),_xlpm.steps)))</f>
        <v>22</v>
      </c>
      <c r="D3797">
        <f>_xlfn.LET(_xlpm.dir,Table1[[#This Row],[Direction]],
IF(_xlpm.dir="L",
    IF(F3796-Table1[[#This Row],[Steps]]&lt;0,100+(F3796-Table1[[#This Row],[Steps]]),F3796-Table1[[#This Row],[Steps]]),
))</f>
        <v>0</v>
      </c>
      <c r="E3797">
        <f>_xlfn.LET(_xlpm.dir,Table1[[#This Row],[Direction]],
IF(_xlpm.dir="R",
    IF(F3796+Table1[[#This Row],[Steps]]&gt;99,(F3796+Table1[[#This Row],[Steps]])-100,F3796+Table1[[#This Row],[Steps]]),
))</f>
        <v>87</v>
      </c>
      <c r="F3797">
        <f>IF(Table1[[#This Row],[New Pos L]]&lt;&gt;0,Table1[[#This Row],[New Pos L]],Table1[[#This Row],[New Pos R]])</f>
        <v>87</v>
      </c>
    </row>
    <row r="3798" spans="1:6" ht="16" x14ac:dyDescent="0.2">
      <c r="A3798" s="1" t="s">
        <v>799</v>
      </c>
      <c r="B3798" t="str">
        <f>LEFT(Table1[[#This Row],[Input]],1)</f>
        <v>R</v>
      </c>
      <c r="C3798">
        <f>_xlfn.LET(_xlpm.steps,SUBSTITUTE(Table1[[#This Row],[Input]],Table1[[#This Row],[Direction]],""),VALUE(IF(LEN(_xlpm.steps)&gt;2,RIGHT(_xlpm.steps,2),_xlpm.steps)))</f>
        <v>97</v>
      </c>
      <c r="D3798">
        <f>_xlfn.LET(_xlpm.dir,Table1[[#This Row],[Direction]],
IF(_xlpm.dir="L",
    IF(F3797-Table1[[#This Row],[Steps]]&lt;0,100+(F3797-Table1[[#This Row],[Steps]]),F3797-Table1[[#This Row],[Steps]]),
))</f>
        <v>0</v>
      </c>
      <c r="E3798">
        <f>_xlfn.LET(_xlpm.dir,Table1[[#This Row],[Direction]],
IF(_xlpm.dir="R",
    IF(F3797+Table1[[#This Row],[Steps]]&gt;99,(F3797+Table1[[#This Row],[Steps]])-100,F3797+Table1[[#This Row],[Steps]]),
))</f>
        <v>84</v>
      </c>
      <c r="F3798">
        <f>IF(Table1[[#This Row],[New Pos L]]&lt;&gt;0,Table1[[#This Row],[New Pos L]],Table1[[#This Row],[New Pos R]])</f>
        <v>84</v>
      </c>
    </row>
    <row r="3799" spans="1:6" ht="16" x14ac:dyDescent="0.2">
      <c r="A3799" s="1" t="s">
        <v>164</v>
      </c>
      <c r="B3799" t="str">
        <f>LEFT(Table1[[#This Row],[Input]],1)</f>
        <v>R</v>
      </c>
      <c r="C3799">
        <f>_xlfn.LET(_xlpm.steps,SUBSTITUTE(Table1[[#This Row],[Input]],Table1[[#This Row],[Direction]],""),VALUE(IF(LEN(_xlpm.steps)&gt;2,RIGHT(_xlpm.steps,2),_xlpm.steps)))</f>
        <v>85</v>
      </c>
      <c r="D3799">
        <f>_xlfn.LET(_xlpm.dir,Table1[[#This Row],[Direction]],
IF(_xlpm.dir="L",
    IF(F3798-Table1[[#This Row],[Steps]]&lt;0,100+(F3798-Table1[[#This Row],[Steps]]),F3798-Table1[[#This Row],[Steps]]),
))</f>
        <v>0</v>
      </c>
      <c r="E3799">
        <f>_xlfn.LET(_xlpm.dir,Table1[[#This Row],[Direction]],
IF(_xlpm.dir="R",
    IF(F3798+Table1[[#This Row],[Steps]]&gt;99,(F3798+Table1[[#This Row],[Steps]])-100,F3798+Table1[[#This Row],[Steps]]),
))</f>
        <v>69</v>
      </c>
      <c r="F3799">
        <f>IF(Table1[[#This Row],[New Pos L]]&lt;&gt;0,Table1[[#This Row],[New Pos L]],Table1[[#This Row],[New Pos R]])</f>
        <v>69</v>
      </c>
    </row>
    <row r="3800" spans="1:6" ht="16" x14ac:dyDescent="0.2">
      <c r="A3800" s="1" t="s">
        <v>205</v>
      </c>
      <c r="B3800" t="str">
        <f>LEFT(Table1[[#This Row],[Input]],1)</f>
        <v>R</v>
      </c>
      <c r="C3800">
        <f>_xlfn.LET(_xlpm.steps,SUBSTITUTE(Table1[[#This Row],[Input]],Table1[[#This Row],[Direction]],""),VALUE(IF(LEN(_xlpm.steps)&gt;2,RIGHT(_xlpm.steps,2),_xlpm.steps)))</f>
        <v>83</v>
      </c>
      <c r="D3800">
        <f>_xlfn.LET(_xlpm.dir,Table1[[#This Row],[Direction]],
IF(_xlpm.dir="L",
    IF(F3799-Table1[[#This Row],[Steps]]&lt;0,100+(F3799-Table1[[#This Row],[Steps]]),F3799-Table1[[#This Row],[Steps]]),
))</f>
        <v>0</v>
      </c>
      <c r="E3800">
        <f>_xlfn.LET(_xlpm.dir,Table1[[#This Row],[Direction]],
IF(_xlpm.dir="R",
    IF(F3799+Table1[[#This Row],[Steps]]&gt;99,(F3799+Table1[[#This Row],[Steps]])-100,F3799+Table1[[#This Row],[Steps]]),
))</f>
        <v>52</v>
      </c>
      <c r="F3800">
        <f>IF(Table1[[#This Row],[New Pos L]]&lt;&gt;0,Table1[[#This Row],[New Pos L]],Table1[[#This Row],[New Pos R]])</f>
        <v>52</v>
      </c>
    </row>
    <row r="3801" spans="1:6" ht="16" x14ac:dyDescent="0.2">
      <c r="A3801" s="1" t="s">
        <v>553</v>
      </c>
      <c r="B3801" t="str">
        <f>LEFT(Table1[[#This Row],[Input]],1)</f>
        <v>R</v>
      </c>
      <c r="C3801">
        <f>_xlfn.LET(_xlpm.steps,SUBSTITUTE(Table1[[#This Row],[Input]],Table1[[#This Row],[Direction]],""),VALUE(IF(LEN(_xlpm.steps)&gt;2,RIGHT(_xlpm.steps,2),_xlpm.steps)))</f>
        <v>30</v>
      </c>
      <c r="D3801">
        <f>_xlfn.LET(_xlpm.dir,Table1[[#This Row],[Direction]],
IF(_xlpm.dir="L",
    IF(F3800-Table1[[#This Row],[Steps]]&lt;0,100+(F3800-Table1[[#This Row],[Steps]]),F3800-Table1[[#This Row],[Steps]]),
))</f>
        <v>0</v>
      </c>
      <c r="E3801">
        <f>_xlfn.LET(_xlpm.dir,Table1[[#This Row],[Direction]],
IF(_xlpm.dir="R",
    IF(F3800+Table1[[#This Row],[Steps]]&gt;99,(F3800+Table1[[#This Row],[Steps]])-100,F3800+Table1[[#This Row],[Steps]]),
))</f>
        <v>82</v>
      </c>
      <c r="F3801">
        <f>IF(Table1[[#This Row],[New Pos L]]&lt;&gt;0,Table1[[#This Row],[New Pos L]],Table1[[#This Row],[New Pos R]])</f>
        <v>82</v>
      </c>
    </row>
    <row r="3802" spans="1:6" ht="16" x14ac:dyDescent="0.2">
      <c r="A3802" s="1" t="s">
        <v>304</v>
      </c>
      <c r="B3802" t="str">
        <f>LEFT(Table1[[#This Row],[Input]],1)</f>
        <v>L</v>
      </c>
      <c r="C3802">
        <f>_xlfn.LET(_xlpm.steps,SUBSTITUTE(Table1[[#This Row],[Input]],Table1[[#This Row],[Direction]],""),VALUE(IF(LEN(_xlpm.steps)&gt;2,RIGHT(_xlpm.steps,2),_xlpm.steps)))</f>
        <v>26</v>
      </c>
      <c r="D3802">
        <f>_xlfn.LET(_xlpm.dir,Table1[[#This Row],[Direction]],
IF(_xlpm.dir="L",
    IF(F3801-Table1[[#This Row],[Steps]]&lt;0,100+(F3801-Table1[[#This Row],[Steps]]),F3801-Table1[[#This Row],[Steps]]),
))</f>
        <v>56</v>
      </c>
      <c r="E3802">
        <f>_xlfn.LET(_xlpm.dir,Table1[[#This Row],[Direction]],
IF(_xlpm.dir="R",
    IF(F3801+Table1[[#This Row],[Steps]]&gt;99,(F3801+Table1[[#This Row],[Steps]])-100,F3801+Table1[[#This Row],[Steps]]),
))</f>
        <v>0</v>
      </c>
      <c r="F3802">
        <f>IF(Table1[[#This Row],[New Pos L]]&lt;&gt;0,Table1[[#This Row],[New Pos L]],Table1[[#This Row],[New Pos R]])</f>
        <v>56</v>
      </c>
    </row>
    <row r="3803" spans="1:6" ht="16" x14ac:dyDescent="0.2">
      <c r="A3803" s="1" t="s">
        <v>94</v>
      </c>
      <c r="B3803" t="str">
        <f>LEFT(Table1[[#This Row],[Input]],1)</f>
        <v>L</v>
      </c>
      <c r="C3803">
        <f>_xlfn.LET(_xlpm.steps,SUBSTITUTE(Table1[[#This Row],[Input]],Table1[[#This Row],[Direction]],""),VALUE(IF(LEN(_xlpm.steps)&gt;2,RIGHT(_xlpm.steps,2),_xlpm.steps)))</f>
        <v>71</v>
      </c>
      <c r="D3803">
        <f>_xlfn.LET(_xlpm.dir,Table1[[#This Row],[Direction]],
IF(_xlpm.dir="L",
    IF(F3802-Table1[[#This Row],[Steps]]&lt;0,100+(F3802-Table1[[#This Row],[Steps]]),F3802-Table1[[#This Row],[Steps]]),
))</f>
        <v>85</v>
      </c>
      <c r="E3803">
        <f>_xlfn.LET(_xlpm.dir,Table1[[#This Row],[Direction]],
IF(_xlpm.dir="R",
    IF(F3802+Table1[[#This Row],[Steps]]&gt;99,(F3802+Table1[[#This Row],[Steps]])-100,F3802+Table1[[#This Row],[Steps]]),
))</f>
        <v>0</v>
      </c>
      <c r="F3803">
        <f>IF(Table1[[#This Row],[New Pos L]]&lt;&gt;0,Table1[[#This Row],[New Pos L]],Table1[[#This Row],[New Pos R]])</f>
        <v>85</v>
      </c>
    </row>
    <row r="3804" spans="1:6" ht="16" x14ac:dyDescent="0.2">
      <c r="A3804" s="1" t="s">
        <v>38</v>
      </c>
      <c r="B3804" t="str">
        <f>LEFT(Table1[[#This Row],[Input]],1)</f>
        <v>R</v>
      </c>
      <c r="C3804">
        <f>_xlfn.LET(_xlpm.steps,SUBSTITUTE(Table1[[#This Row],[Input]],Table1[[#This Row],[Direction]],""),VALUE(IF(LEN(_xlpm.steps)&gt;2,RIGHT(_xlpm.steps,2),_xlpm.steps)))</f>
        <v>15</v>
      </c>
      <c r="D3804">
        <f>_xlfn.LET(_xlpm.dir,Table1[[#This Row],[Direction]],
IF(_xlpm.dir="L",
    IF(F3803-Table1[[#This Row],[Steps]]&lt;0,100+(F3803-Table1[[#This Row],[Steps]]),F3803-Table1[[#This Row],[Steps]]),
))</f>
        <v>0</v>
      </c>
      <c r="E3804">
        <f>_xlfn.LET(_xlpm.dir,Table1[[#This Row],[Direction]],
IF(_xlpm.dir="R",
    IF(F3803+Table1[[#This Row],[Steps]]&gt;99,(F3803+Table1[[#This Row],[Steps]])-100,F3803+Table1[[#This Row],[Steps]]),
))</f>
        <v>0</v>
      </c>
      <c r="F3804">
        <f>IF(Table1[[#This Row],[New Pos L]]&lt;&gt;0,Table1[[#This Row],[New Pos L]],Table1[[#This Row],[New Pos R]])</f>
        <v>0</v>
      </c>
    </row>
    <row r="3805" spans="1:6" ht="16" x14ac:dyDescent="0.2">
      <c r="A3805" s="1" t="s">
        <v>128</v>
      </c>
      <c r="B3805" t="str">
        <f>LEFT(Table1[[#This Row],[Input]],1)</f>
        <v>R</v>
      </c>
      <c r="C3805">
        <f>_xlfn.LET(_xlpm.steps,SUBSTITUTE(Table1[[#This Row],[Input]],Table1[[#This Row],[Direction]],""),VALUE(IF(LEN(_xlpm.steps)&gt;2,RIGHT(_xlpm.steps,2),_xlpm.steps)))</f>
        <v>92</v>
      </c>
      <c r="D3805">
        <f>_xlfn.LET(_xlpm.dir,Table1[[#This Row],[Direction]],
IF(_xlpm.dir="L",
    IF(F3804-Table1[[#This Row],[Steps]]&lt;0,100+(F3804-Table1[[#This Row],[Steps]]),F3804-Table1[[#This Row],[Steps]]),
))</f>
        <v>0</v>
      </c>
      <c r="E3805">
        <f>_xlfn.LET(_xlpm.dir,Table1[[#This Row],[Direction]],
IF(_xlpm.dir="R",
    IF(F3804+Table1[[#This Row],[Steps]]&gt;99,(F3804+Table1[[#This Row],[Steps]])-100,F3804+Table1[[#This Row],[Steps]]),
))</f>
        <v>92</v>
      </c>
      <c r="F3805">
        <f>IF(Table1[[#This Row],[New Pos L]]&lt;&gt;0,Table1[[#This Row],[New Pos L]],Table1[[#This Row],[New Pos R]])</f>
        <v>92</v>
      </c>
    </row>
    <row r="3806" spans="1:6" ht="16" x14ac:dyDescent="0.2">
      <c r="A3806" s="1" t="s">
        <v>129</v>
      </c>
      <c r="B3806" t="str">
        <f>LEFT(Table1[[#This Row],[Input]],1)</f>
        <v>R</v>
      </c>
      <c r="C3806">
        <f>_xlfn.LET(_xlpm.steps,SUBSTITUTE(Table1[[#This Row],[Input]],Table1[[#This Row],[Direction]],""),VALUE(IF(LEN(_xlpm.steps)&gt;2,RIGHT(_xlpm.steps,2),_xlpm.steps)))</f>
        <v>8</v>
      </c>
      <c r="D3806">
        <f>_xlfn.LET(_xlpm.dir,Table1[[#This Row],[Direction]],
IF(_xlpm.dir="L",
    IF(F3805-Table1[[#This Row],[Steps]]&lt;0,100+(F3805-Table1[[#This Row],[Steps]]),F3805-Table1[[#This Row],[Steps]]),
))</f>
        <v>0</v>
      </c>
      <c r="E3806">
        <f>_xlfn.LET(_xlpm.dir,Table1[[#This Row],[Direction]],
IF(_xlpm.dir="R",
    IF(F3805+Table1[[#This Row],[Steps]]&gt;99,(F3805+Table1[[#This Row],[Steps]])-100,F3805+Table1[[#This Row],[Steps]]),
))</f>
        <v>0</v>
      </c>
      <c r="F3806">
        <f>IF(Table1[[#This Row],[New Pos L]]&lt;&gt;0,Table1[[#This Row],[New Pos L]],Table1[[#This Row],[New Pos R]])</f>
        <v>0</v>
      </c>
    </row>
    <row r="3807" spans="1:6" ht="16" x14ac:dyDescent="0.2">
      <c r="A3807" s="1" t="s">
        <v>800</v>
      </c>
      <c r="B3807" t="str">
        <f>LEFT(Table1[[#This Row],[Input]],1)</f>
        <v>R</v>
      </c>
      <c r="C3807">
        <f>_xlfn.LET(_xlpm.steps,SUBSTITUTE(Table1[[#This Row],[Input]],Table1[[#This Row],[Direction]],""),VALUE(IF(LEN(_xlpm.steps)&gt;2,RIGHT(_xlpm.steps,2),_xlpm.steps)))</f>
        <v>51</v>
      </c>
      <c r="D3807">
        <f>_xlfn.LET(_xlpm.dir,Table1[[#This Row],[Direction]],
IF(_xlpm.dir="L",
    IF(F3806-Table1[[#This Row],[Steps]]&lt;0,100+(F3806-Table1[[#This Row],[Steps]]),F3806-Table1[[#This Row],[Steps]]),
))</f>
        <v>0</v>
      </c>
      <c r="E3807">
        <f>_xlfn.LET(_xlpm.dir,Table1[[#This Row],[Direction]],
IF(_xlpm.dir="R",
    IF(F3806+Table1[[#This Row],[Steps]]&gt;99,(F3806+Table1[[#This Row],[Steps]])-100,F3806+Table1[[#This Row],[Steps]]),
))</f>
        <v>51</v>
      </c>
      <c r="F3807">
        <f>IF(Table1[[#This Row],[New Pos L]]&lt;&gt;0,Table1[[#This Row],[New Pos L]],Table1[[#This Row],[New Pos R]])</f>
        <v>51</v>
      </c>
    </row>
    <row r="3808" spans="1:6" ht="16" x14ac:dyDescent="0.2">
      <c r="A3808" s="1" t="s">
        <v>18</v>
      </c>
      <c r="B3808" t="str">
        <f>LEFT(Table1[[#This Row],[Input]],1)</f>
        <v>L</v>
      </c>
      <c r="C3808">
        <f>_xlfn.LET(_xlpm.steps,SUBSTITUTE(Table1[[#This Row],[Input]],Table1[[#This Row],[Direction]],""),VALUE(IF(LEN(_xlpm.steps)&gt;2,RIGHT(_xlpm.steps,2),_xlpm.steps)))</f>
        <v>46</v>
      </c>
      <c r="D3808">
        <f>_xlfn.LET(_xlpm.dir,Table1[[#This Row],[Direction]],
IF(_xlpm.dir="L",
    IF(F3807-Table1[[#This Row],[Steps]]&lt;0,100+(F3807-Table1[[#This Row],[Steps]]),F3807-Table1[[#This Row],[Steps]]),
))</f>
        <v>5</v>
      </c>
      <c r="E3808">
        <f>_xlfn.LET(_xlpm.dir,Table1[[#This Row],[Direction]],
IF(_xlpm.dir="R",
    IF(F3807+Table1[[#This Row],[Steps]]&gt;99,(F3807+Table1[[#This Row],[Steps]])-100,F3807+Table1[[#This Row],[Steps]]),
))</f>
        <v>0</v>
      </c>
      <c r="F3808">
        <f>IF(Table1[[#This Row],[New Pos L]]&lt;&gt;0,Table1[[#This Row],[New Pos L]],Table1[[#This Row],[New Pos R]])</f>
        <v>5</v>
      </c>
    </row>
    <row r="3809" spans="1:6" ht="16" x14ac:dyDescent="0.2">
      <c r="A3809" s="1" t="s">
        <v>219</v>
      </c>
      <c r="B3809" t="str">
        <f>LEFT(Table1[[#This Row],[Input]],1)</f>
        <v>L</v>
      </c>
      <c r="C3809">
        <f>_xlfn.LET(_xlpm.steps,SUBSTITUTE(Table1[[#This Row],[Input]],Table1[[#This Row],[Direction]],""),VALUE(IF(LEN(_xlpm.steps)&gt;2,RIGHT(_xlpm.steps,2),_xlpm.steps)))</f>
        <v>64</v>
      </c>
      <c r="D3809">
        <f>_xlfn.LET(_xlpm.dir,Table1[[#This Row],[Direction]],
IF(_xlpm.dir="L",
    IF(F3808-Table1[[#This Row],[Steps]]&lt;0,100+(F3808-Table1[[#This Row],[Steps]]),F3808-Table1[[#This Row],[Steps]]),
))</f>
        <v>41</v>
      </c>
      <c r="E3809">
        <f>_xlfn.LET(_xlpm.dir,Table1[[#This Row],[Direction]],
IF(_xlpm.dir="R",
    IF(F3808+Table1[[#This Row],[Steps]]&gt;99,(F3808+Table1[[#This Row],[Steps]])-100,F3808+Table1[[#This Row],[Steps]]),
))</f>
        <v>0</v>
      </c>
      <c r="F3809">
        <f>IF(Table1[[#This Row],[New Pos L]]&lt;&gt;0,Table1[[#This Row],[New Pos L]],Table1[[#This Row],[New Pos R]])</f>
        <v>41</v>
      </c>
    </row>
    <row r="3810" spans="1:6" ht="16" x14ac:dyDescent="0.2">
      <c r="A3810" s="1" t="s">
        <v>119</v>
      </c>
      <c r="B3810" t="str">
        <f>LEFT(Table1[[#This Row],[Input]],1)</f>
        <v>L</v>
      </c>
      <c r="C3810">
        <f>_xlfn.LET(_xlpm.steps,SUBSTITUTE(Table1[[#This Row],[Input]],Table1[[#This Row],[Direction]],""),VALUE(IF(LEN(_xlpm.steps)&gt;2,RIGHT(_xlpm.steps,2),_xlpm.steps)))</f>
        <v>77</v>
      </c>
      <c r="D3810">
        <f>_xlfn.LET(_xlpm.dir,Table1[[#This Row],[Direction]],
IF(_xlpm.dir="L",
    IF(F3809-Table1[[#This Row],[Steps]]&lt;0,100+(F3809-Table1[[#This Row],[Steps]]),F3809-Table1[[#This Row],[Steps]]),
))</f>
        <v>64</v>
      </c>
      <c r="E3810">
        <f>_xlfn.LET(_xlpm.dir,Table1[[#This Row],[Direction]],
IF(_xlpm.dir="R",
    IF(F3809+Table1[[#This Row],[Steps]]&gt;99,(F3809+Table1[[#This Row],[Steps]])-100,F3809+Table1[[#This Row],[Steps]]),
))</f>
        <v>0</v>
      </c>
      <c r="F3810">
        <f>IF(Table1[[#This Row],[New Pos L]]&lt;&gt;0,Table1[[#This Row],[New Pos L]],Table1[[#This Row],[New Pos R]])</f>
        <v>64</v>
      </c>
    </row>
    <row r="3811" spans="1:6" ht="16" x14ac:dyDescent="0.2">
      <c r="A3811" s="1" t="s">
        <v>182</v>
      </c>
      <c r="B3811" t="str">
        <f>LEFT(Table1[[#This Row],[Input]],1)</f>
        <v>L</v>
      </c>
      <c r="C3811">
        <f>_xlfn.LET(_xlpm.steps,SUBSTITUTE(Table1[[#This Row],[Input]],Table1[[#This Row],[Direction]],""),VALUE(IF(LEN(_xlpm.steps)&gt;2,RIGHT(_xlpm.steps,2),_xlpm.steps)))</f>
        <v>3</v>
      </c>
      <c r="D3811">
        <f>_xlfn.LET(_xlpm.dir,Table1[[#This Row],[Direction]],
IF(_xlpm.dir="L",
    IF(F3810-Table1[[#This Row],[Steps]]&lt;0,100+(F3810-Table1[[#This Row],[Steps]]),F3810-Table1[[#This Row],[Steps]]),
))</f>
        <v>61</v>
      </c>
      <c r="E3811">
        <f>_xlfn.LET(_xlpm.dir,Table1[[#This Row],[Direction]],
IF(_xlpm.dir="R",
    IF(F3810+Table1[[#This Row],[Steps]]&gt;99,(F3810+Table1[[#This Row],[Steps]])-100,F3810+Table1[[#This Row],[Steps]]),
))</f>
        <v>0</v>
      </c>
      <c r="F3811">
        <f>IF(Table1[[#This Row],[New Pos L]]&lt;&gt;0,Table1[[#This Row],[New Pos L]],Table1[[#This Row],[New Pos R]])</f>
        <v>61</v>
      </c>
    </row>
    <row r="3812" spans="1:6" ht="16" x14ac:dyDescent="0.2">
      <c r="A3812" s="1" t="s">
        <v>102</v>
      </c>
      <c r="B3812" t="str">
        <f>LEFT(Table1[[#This Row],[Input]],1)</f>
        <v>R</v>
      </c>
      <c r="C3812">
        <f>_xlfn.LET(_xlpm.steps,SUBSTITUTE(Table1[[#This Row],[Input]],Table1[[#This Row],[Direction]],""),VALUE(IF(LEN(_xlpm.steps)&gt;2,RIGHT(_xlpm.steps,2),_xlpm.steps)))</f>
        <v>39</v>
      </c>
      <c r="D3812">
        <f>_xlfn.LET(_xlpm.dir,Table1[[#This Row],[Direction]],
IF(_xlpm.dir="L",
    IF(F3811-Table1[[#This Row],[Steps]]&lt;0,100+(F3811-Table1[[#This Row],[Steps]]),F3811-Table1[[#This Row],[Steps]]),
))</f>
        <v>0</v>
      </c>
      <c r="E3812">
        <f>_xlfn.LET(_xlpm.dir,Table1[[#This Row],[Direction]],
IF(_xlpm.dir="R",
    IF(F3811+Table1[[#This Row],[Steps]]&gt;99,(F3811+Table1[[#This Row],[Steps]])-100,F3811+Table1[[#This Row],[Steps]]),
))</f>
        <v>0</v>
      </c>
      <c r="F3812">
        <f>IF(Table1[[#This Row],[New Pos L]]&lt;&gt;0,Table1[[#This Row],[New Pos L]],Table1[[#This Row],[New Pos R]])</f>
        <v>0</v>
      </c>
    </row>
    <row r="3813" spans="1:6" ht="16" x14ac:dyDescent="0.2">
      <c r="A3813" s="1" t="s">
        <v>410</v>
      </c>
      <c r="B3813" t="str">
        <f>LEFT(Table1[[#This Row],[Input]],1)</f>
        <v>R</v>
      </c>
      <c r="C3813">
        <f>_xlfn.LET(_xlpm.steps,SUBSTITUTE(Table1[[#This Row],[Input]],Table1[[#This Row],[Direction]],""),VALUE(IF(LEN(_xlpm.steps)&gt;2,RIGHT(_xlpm.steps,2),_xlpm.steps)))</f>
        <v>10</v>
      </c>
      <c r="D3813">
        <f>_xlfn.LET(_xlpm.dir,Table1[[#This Row],[Direction]],
IF(_xlpm.dir="L",
    IF(F3812-Table1[[#This Row],[Steps]]&lt;0,100+(F3812-Table1[[#This Row],[Steps]]),F3812-Table1[[#This Row],[Steps]]),
))</f>
        <v>0</v>
      </c>
      <c r="E3813">
        <f>_xlfn.LET(_xlpm.dir,Table1[[#This Row],[Direction]],
IF(_xlpm.dir="R",
    IF(F3812+Table1[[#This Row],[Steps]]&gt;99,(F3812+Table1[[#This Row],[Steps]])-100,F3812+Table1[[#This Row],[Steps]]),
))</f>
        <v>10</v>
      </c>
      <c r="F3813">
        <f>IF(Table1[[#This Row],[New Pos L]]&lt;&gt;0,Table1[[#This Row],[New Pos L]],Table1[[#This Row],[New Pos R]])</f>
        <v>10</v>
      </c>
    </row>
    <row r="3814" spans="1:6" ht="16" x14ac:dyDescent="0.2">
      <c r="A3814" s="1" t="s">
        <v>108</v>
      </c>
      <c r="B3814" t="str">
        <f>LEFT(Table1[[#This Row],[Input]],1)</f>
        <v>R</v>
      </c>
      <c r="C3814">
        <f>_xlfn.LET(_xlpm.steps,SUBSTITUTE(Table1[[#This Row],[Input]],Table1[[#This Row],[Direction]],""),VALUE(IF(LEN(_xlpm.steps)&gt;2,RIGHT(_xlpm.steps,2),_xlpm.steps)))</f>
        <v>66</v>
      </c>
      <c r="D3814">
        <f>_xlfn.LET(_xlpm.dir,Table1[[#This Row],[Direction]],
IF(_xlpm.dir="L",
    IF(F3813-Table1[[#This Row],[Steps]]&lt;0,100+(F3813-Table1[[#This Row],[Steps]]),F3813-Table1[[#This Row],[Steps]]),
))</f>
        <v>0</v>
      </c>
      <c r="E3814">
        <f>_xlfn.LET(_xlpm.dir,Table1[[#This Row],[Direction]],
IF(_xlpm.dir="R",
    IF(F3813+Table1[[#This Row],[Steps]]&gt;99,(F3813+Table1[[#This Row],[Steps]])-100,F3813+Table1[[#This Row],[Steps]]),
))</f>
        <v>76</v>
      </c>
      <c r="F3814">
        <f>IF(Table1[[#This Row],[New Pos L]]&lt;&gt;0,Table1[[#This Row],[New Pos L]],Table1[[#This Row],[New Pos R]])</f>
        <v>76</v>
      </c>
    </row>
    <row r="3815" spans="1:6" ht="16" x14ac:dyDescent="0.2">
      <c r="A3815" s="1" t="s">
        <v>201</v>
      </c>
      <c r="B3815" t="str">
        <f>LEFT(Table1[[#This Row],[Input]],1)</f>
        <v>R</v>
      </c>
      <c r="C3815">
        <f>_xlfn.LET(_xlpm.steps,SUBSTITUTE(Table1[[#This Row],[Input]],Table1[[#This Row],[Direction]],""),VALUE(IF(LEN(_xlpm.steps)&gt;2,RIGHT(_xlpm.steps,2),_xlpm.steps)))</f>
        <v>31</v>
      </c>
      <c r="D3815">
        <f>_xlfn.LET(_xlpm.dir,Table1[[#This Row],[Direction]],
IF(_xlpm.dir="L",
    IF(F3814-Table1[[#This Row],[Steps]]&lt;0,100+(F3814-Table1[[#This Row],[Steps]]),F3814-Table1[[#This Row],[Steps]]),
))</f>
        <v>0</v>
      </c>
      <c r="E3815">
        <f>_xlfn.LET(_xlpm.dir,Table1[[#This Row],[Direction]],
IF(_xlpm.dir="R",
    IF(F3814+Table1[[#This Row],[Steps]]&gt;99,(F3814+Table1[[#This Row],[Steps]])-100,F3814+Table1[[#This Row],[Steps]]),
))</f>
        <v>7</v>
      </c>
      <c r="F3815">
        <f>IF(Table1[[#This Row],[New Pos L]]&lt;&gt;0,Table1[[#This Row],[New Pos L]],Table1[[#This Row],[New Pos R]])</f>
        <v>7</v>
      </c>
    </row>
    <row r="3816" spans="1:6" ht="16" x14ac:dyDescent="0.2">
      <c r="A3816" s="1" t="s">
        <v>193</v>
      </c>
      <c r="B3816" t="str">
        <f>LEFT(Table1[[#This Row],[Input]],1)</f>
        <v>L</v>
      </c>
      <c r="C3816">
        <f>_xlfn.LET(_xlpm.steps,SUBSTITUTE(Table1[[#This Row],[Input]],Table1[[#This Row],[Direction]],""),VALUE(IF(LEN(_xlpm.steps)&gt;2,RIGHT(_xlpm.steps,2),_xlpm.steps)))</f>
        <v>12</v>
      </c>
      <c r="D3816">
        <f>_xlfn.LET(_xlpm.dir,Table1[[#This Row],[Direction]],
IF(_xlpm.dir="L",
    IF(F3815-Table1[[#This Row],[Steps]]&lt;0,100+(F3815-Table1[[#This Row],[Steps]]),F3815-Table1[[#This Row],[Steps]]),
))</f>
        <v>95</v>
      </c>
      <c r="E3816">
        <f>_xlfn.LET(_xlpm.dir,Table1[[#This Row],[Direction]],
IF(_xlpm.dir="R",
    IF(F3815+Table1[[#This Row],[Steps]]&gt;99,(F3815+Table1[[#This Row],[Steps]])-100,F3815+Table1[[#This Row],[Steps]]),
))</f>
        <v>0</v>
      </c>
      <c r="F3816">
        <f>IF(Table1[[#This Row],[New Pos L]]&lt;&gt;0,Table1[[#This Row],[New Pos L]],Table1[[#This Row],[New Pos R]])</f>
        <v>95</v>
      </c>
    </row>
    <row r="3817" spans="1:6" ht="16" x14ac:dyDescent="0.2">
      <c r="A3817" s="1" t="s">
        <v>801</v>
      </c>
      <c r="B3817" t="str">
        <f>LEFT(Table1[[#This Row],[Input]],1)</f>
        <v>L</v>
      </c>
      <c r="C3817">
        <f>_xlfn.LET(_xlpm.steps,SUBSTITUTE(Table1[[#This Row],[Input]],Table1[[#This Row],[Direction]],""),VALUE(IF(LEN(_xlpm.steps)&gt;2,RIGHT(_xlpm.steps,2),_xlpm.steps)))</f>
        <v>95</v>
      </c>
      <c r="D3817">
        <f>_xlfn.LET(_xlpm.dir,Table1[[#This Row],[Direction]],
IF(_xlpm.dir="L",
    IF(F3816-Table1[[#This Row],[Steps]]&lt;0,100+(F3816-Table1[[#This Row],[Steps]]),F3816-Table1[[#This Row],[Steps]]),
))</f>
        <v>0</v>
      </c>
      <c r="E3817">
        <f>_xlfn.LET(_xlpm.dir,Table1[[#This Row],[Direction]],
IF(_xlpm.dir="R",
    IF(F3816+Table1[[#This Row],[Steps]]&gt;99,(F3816+Table1[[#This Row],[Steps]])-100,F3816+Table1[[#This Row],[Steps]]),
))</f>
        <v>0</v>
      </c>
      <c r="F3817">
        <f>IF(Table1[[#This Row],[New Pos L]]&lt;&gt;0,Table1[[#This Row],[New Pos L]],Table1[[#This Row],[New Pos R]])</f>
        <v>0</v>
      </c>
    </row>
    <row r="3818" spans="1:6" ht="16" x14ac:dyDescent="0.2">
      <c r="A3818" s="1" t="s">
        <v>802</v>
      </c>
      <c r="B3818" t="str">
        <f>LEFT(Table1[[#This Row],[Input]],1)</f>
        <v>L</v>
      </c>
      <c r="C3818">
        <f>_xlfn.LET(_xlpm.steps,SUBSTITUTE(Table1[[#This Row],[Input]],Table1[[#This Row],[Direction]],""),VALUE(IF(LEN(_xlpm.steps)&gt;2,RIGHT(_xlpm.steps,2),_xlpm.steps)))</f>
        <v>16</v>
      </c>
      <c r="D3818">
        <f>_xlfn.LET(_xlpm.dir,Table1[[#This Row],[Direction]],
IF(_xlpm.dir="L",
    IF(F3817-Table1[[#This Row],[Steps]]&lt;0,100+(F3817-Table1[[#This Row],[Steps]]),F3817-Table1[[#This Row],[Steps]]),
))</f>
        <v>84</v>
      </c>
      <c r="E3818">
        <f>_xlfn.LET(_xlpm.dir,Table1[[#This Row],[Direction]],
IF(_xlpm.dir="R",
    IF(F3817+Table1[[#This Row],[Steps]]&gt;99,(F3817+Table1[[#This Row],[Steps]])-100,F3817+Table1[[#This Row],[Steps]]),
))</f>
        <v>0</v>
      </c>
      <c r="F3818">
        <f>IF(Table1[[#This Row],[New Pos L]]&lt;&gt;0,Table1[[#This Row],[New Pos L]],Table1[[#This Row],[New Pos R]])</f>
        <v>84</v>
      </c>
    </row>
    <row r="3819" spans="1:6" ht="16" x14ac:dyDescent="0.2">
      <c r="A3819" s="1" t="s">
        <v>255</v>
      </c>
      <c r="B3819" t="str">
        <f>LEFT(Table1[[#This Row],[Input]],1)</f>
        <v>R</v>
      </c>
      <c r="C3819">
        <f>_xlfn.LET(_xlpm.steps,SUBSTITUTE(Table1[[#This Row],[Input]],Table1[[#This Row],[Direction]],""),VALUE(IF(LEN(_xlpm.steps)&gt;2,RIGHT(_xlpm.steps,2),_xlpm.steps)))</f>
        <v>16</v>
      </c>
      <c r="D3819">
        <f>_xlfn.LET(_xlpm.dir,Table1[[#This Row],[Direction]],
IF(_xlpm.dir="L",
    IF(F3818-Table1[[#This Row],[Steps]]&lt;0,100+(F3818-Table1[[#This Row],[Steps]]),F3818-Table1[[#This Row],[Steps]]),
))</f>
        <v>0</v>
      </c>
      <c r="E3819">
        <f>_xlfn.LET(_xlpm.dir,Table1[[#This Row],[Direction]],
IF(_xlpm.dir="R",
    IF(F3818+Table1[[#This Row],[Steps]]&gt;99,(F3818+Table1[[#This Row],[Steps]])-100,F3818+Table1[[#This Row],[Steps]]),
))</f>
        <v>0</v>
      </c>
      <c r="F3819">
        <f>IF(Table1[[#This Row],[New Pos L]]&lt;&gt;0,Table1[[#This Row],[New Pos L]],Table1[[#This Row],[New Pos R]])</f>
        <v>0</v>
      </c>
    </row>
    <row r="3820" spans="1:6" ht="16" x14ac:dyDescent="0.2">
      <c r="A3820" s="1" t="s">
        <v>632</v>
      </c>
      <c r="B3820" t="str">
        <f>LEFT(Table1[[#This Row],[Input]],1)</f>
        <v>L</v>
      </c>
      <c r="C3820">
        <f>_xlfn.LET(_xlpm.steps,SUBSTITUTE(Table1[[#This Row],[Input]],Table1[[#This Row],[Direction]],""),VALUE(IF(LEN(_xlpm.steps)&gt;2,RIGHT(_xlpm.steps,2),_xlpm.steps)))</f>
        <v>89</v>
      </c>
      <c r="D3820">
        <f>_xlfn.LET(_xlpm.dir,Table1[[#This Row],[Direction]],
IF(_xlpm.dir="L",
    IF(F3819-Table1[[#This Row],[Steps]]&lt;0,100+(F3819-Table1[[#This Row],[Steps]]),F3819-Table1[[#This Row],[Steps]]),
))</f>
        <v>11</v>
      </c>
      <c r="E3820">
        <f>_xlfn.LET(_xlpm.dir,Table1[[#This Row],[Direction]],
IF(_xlpm.dir="R",
    IF(F3819+Table1[[#This Row],[Steps]]&gt;99,(F3819+Table1[[#This Row],[Steps]])-100,F3819+Table1[[#This Row],[Steps]]),
))</f>
        <v>0</v>
      </c>
      <c r="F3820">
        <f>IF(Table1[[#This Row],[New Pos L]]&lt;&gt;0,Table1[[#This Row],[New Pos L]],Table1[[#This Row],[New Pos R]])</f>
        <v>11</v>
      </c>
    </row>
    <row r="3821" spans="1:6" ht="16" x14ac:dyDescent="0.2">
      <c r="A3821" s="1" t="s">
        <v>110</v>
      </c>
      <c r="B3821" t="str">
        <f>LEFT(Table1[[#This Row],[Input]],1)</f>
        <v>L</v>
      </c>
      <c r="C3821">
        <f>_xlfn.LET(_xlpm.steps,SUBSTITUTE(Table1[[#This Row],[Input]],Table1[[#This Row],[Direction]],""),VALUE(IF(LEN(_xlpm.steps)&gt;2,RIGHT(_xlpm.steps,2),_xlpm.steps)))</f>
        <v>81</v>
      </c>
      <c r="D3821">
        <f>_xlfn.LET(_xlpm.dir,Table1[[#This Row],[Direction]],
IF(_xlpm.dir="L",
    IF(F3820-Table1[[#This Row],[Steps]]&lt;0,100+(F3820-Table1[[#This Row],[Steps]]),F3820-Table1[[#This Row],[Steps]]),
))</f>
        <v>30</v>
      </c>
      <c r="E3821">
        <f>_xlfn.LET(_xlpm.dir,Table1[[#This Row],[Direction]],
IF(_xlpm.dir="R",
    IF(F3820+Table1[[#This Row],[Steps]]&gt;99,(F3820+Table1[[#This Row],[Steps]])-100,F3820+Table1[[#This Row],[Steps]]),
))</f>
        <v>0</v>
      </c>
      <c r="F3821">
        <f>IF(Table1[[#This Row],[New Pos L]]&lt;&gt;0,Table1[[#This Row],[New Pos L]],Table1[[#This Row],[New Pos R]])</f>
        <v>30</v>
      </c>
    </row>
    <row r="3822" spans="1:6" ht="16" x14ac:dyDescent="0.2">
      <c r="A3822" s="1" t="s">
        <v>405</v>
      </c>
      <c r="B3822" t="str">
        <f>LEFT(Table1[[#This Row],[Input]],1)</f>
        <v>L</v>
      </c>
      <c r="C3822">
        <f>_xlfn.LET(_xlpm.steps,SUBSTITUTE(Table1[[#This Row],[Input]],Table1[[#This Row],[Direction]],""),VALUE(IF(LEN(_xlpm.steps)&gt;2,RIGHT(_xlpm.steps,2),_xlpm.steps)))</f>
        <v>32</v>
      </c>
      <c r="D3822">
        <f>_xlfn.LET(_xlpm.dir,Table1[[#This Row],[Direction]],
IF(_xlpm.dir="L",
    IF(F3821-Table1[[#This Row],[Steps]]&lt;0,100+(F3821-Table1[[#This Row],[Steps]]),F3821-Table1[[#This Row],[Steps]]),
))</f>
        <v>98</v>
      </c>
      <c r="E3822">
        <f>_xlfn.LET(_xlpm.dir,Table1[[#This Row],[Direction]],
IF(_xlpm.dir="R",
    IF(F3821+Table1[[#This Row],[Steps]]&gt;99,(F3821+Table1[[#This Row],[Steps]])-100,F3821+Table1[[#This Row],[Steps]]),
))</f>
        <v>0</v>
      </c>
      <c r="F3822">
        <f>IF(Table1[[#This Row],[New Pos L]]&lt;&gt;0,Table1[[#This Row],[New Pos L]],Table1[[#This Row],[New Pos R]])</f>
        <v>98</v>
      </c>
    </row>
    <row r="3823" spans="1:6" ht="16" x14ac:dyDescent="0.2">
      <c r="A3823" s="1" t="s">
        <v>65</v>
      </c>
      <c r="B3823" t="str">
        <f>LEFT(Table1[[#This Row],[Input]],1)</f>
        <v>L</v>
      </c>
      <c r="C3823">
        <f>_xlfn.LET(_xlpm.steps,SUBSTITUTE(Table1[[#This Row],[Input]],Table1[[#This Row],[Direction]],""),VALUE(IF(LEN(_xlpm.steps)&gt;2,RIGHT(_xlpm.steps,2),_xlpm.steps)))</f>
        <v>19</v>
      </c>
      <c r="D3823">
        <f>_xlfn.LET(_xlpm.dir,Table1[[#This Row],[Direction]],
IF(_xlpm.dir="L",
    IF(F3822-Table1[[#This Row],[Steps]]&lt;0,100+(F3822-Table1[[#This Row],[Steps]]),F3822-Table1[[#This Row],[Steps]]),
))</f>
        <v>79</v>
      </c>
      <c r="E3823">
        <f>_xlfn.LET(_xlpm.dir,Table1[[#This Row],[Direction]],
IF(_xlpm.dir="R",
    IF(F3822+Table1[[#This Row],[Steps]]&gt;99,(F3822+Table1[[#This Row],[Steps]])-100,F3822+Table1[[#This Row],[Steps]]),
))</f>
        <v>0</v>
      </c>
      <c r="F3823">
        <f>IF(Table1[[#This Row],[New Pos L]]&lt;&gt;0,Table1[[#This Row],[New Pos L]],Table1[[#This Row],[New Pos R]])</f>
        <v>79</v>
      </c>
    </row>
    <row r="3824" spans="1:6" ht="16" x14ac:dyDescent="0.2">
      <c r="A3824" s="1" t="s">
        <v>145</v>
      </c>
      <c r="B3824" t="str">
        <f>LEFT(Table1[[#This Row],[Input]],1)</f>
        <v>L</v>
      </c>
      <c r="C3824">
        <f>_xlfn.LET(_xlpm.steps,SUBSTITUTE(Table1[[#This Row],[Input]],Table1[[#This Row],[Direction]],""),VALUE(IF(LEN(_xlpm.steps)&gt;2,RIGHT(_xlpm.steps,2),_xlpm.steps)))</f>
        <v>83</v>
      </c>
      <c r="D3824">
        <f>_xlfn.LET(_xlpm.dir,Table1[[#This Row],[Direction]],
IF(_xlpm.dir="L",
    IF(F3823-Table1[[#This Row],[Steps]]&lt;0,100+(F3823-Table1[[#This Row],[Steps]]),F3823-Table1[[#This Row],[Steps]]),
))</f>
        <v>96</v>
      </c>
      <c r="E3824">
        <f>_xlfn.LET(_xlpm.dir,Table1[[#This Row],[Direction]],
IF(_xlpm.dir="R",
    IF(F3823+Table1[[#This Row],[Steps]]&gt;99,(F3823+Table1[[#This Row],[Steps]])-100,F3823+Table1[[#This Row],[Steps]]),
))</f>
        <v>0</v>
      </c>
      <c r="F3824">
        <f>IF(Table1[[#This Row],[New Pos L]]&lt;&gt;0,Table1[[#This Row],[New Pos L]],Table1[[#This Row],[New Pos R]])</f>
        <v>96</v>
      </c>
    </row>
    <row r="3825" spans="1:6" ht="16" x14ac:dyDescent="0.2">
      <c r="A3825" s="1" t="s">
        <v>74</v>
      </c>
      <c r="B3825" t="str">
        <f>LEFT(Table1[[#This Row],[Input]],1)</f>
        <v>R</v>
      </c>
      <c r="C3825">
        <f>_xlfn.LET(_xlpm.steps,SUBSTITUTE(Table1[[#This Row],[Input]],Table1[[#This Row],[Direction]],""),VALUE(IF(LEN(_xlpm.steps)&gt;2,RIGHT(_xlpm.steps,2),_xlpm.steps)))</f>
        <v>93</v>
      </c>
      <c r="D3825">
        <f>_xlfn.LET(_xlpm.dir,Table1[[#This Row],[Direction]],
IF(_xlpm.dir="L",
    IF(F3824-Table1[[#This Row],[Steps]]&lt;0,100+(F3824-Table1[[#This Row],[Steps]]),F3824-Table1[[#This Row],[Steps]]),
))</f>
        <v>0</v>
      </c>
      <c r="E3825">
        <f>_xlfn.LET(_xlpm.dir,Table1[[#This Row],[Direction]],
IF(_xlpm.dir="R",
    IF(F3824+Table1[[#This Row],[Steps]]&gt;99,(F3824+Table1[[#This Row],[Steps]])-100,F3824+Table1[[#This Row],[Steps]]),
))</f>
        <v>89</v>
      </c>
      <c r="F3825">
        <f>IF(Table1[[#This Row],[New Pos L]]&lt;&gt;0,Table1[[#This Row],[New Pos L]],Table1[[#This Row],[New Pos R]])</f>
        <v>89</v>
      </c>
    </row>
    <row r="3826" spans="1:6" ht="16" x14ac:dyDescent="0.2">
      <c r="A3826" s="1" t="s">
        <v>803</v>
      </c>
      <c r="B3826" t="str">
        <f>LEFT(Table1[[#This Row],[Input]],1)</f>
        <v>L</v>
      </c>
      <c r="C3826">
        <f>_xlfn.LET(_xlpm.steps,SUBSTITUTE(Table1[[#This Row],[Input]],Table1[[#This Row],[Direction]],""),VALUE(IF(LEN(_xlpm.steps)&gt;2,RIGHT(_xlpm.steps,2),_xlpm.steps)))</f>
        <v>33</v>
      </c>
      <c r="D3826">
        <f>_xlfn.LET(_xlpm.dir,Table1[[#This Row],[Direction]],
IF(_xlpm.dir="L",
    IF(F3825-Table1[[#This Row],[Steps]]&lt;0,100+(F3825-Table1[[#This Row],[Steps]]),F3825-Table1[[#This Row],[Steps]]),
))</f>
        <v>56</v>
      </c>
      <c r="E3826">
        <f>_xlfn.LET(_xlpm.dir,Table1[[#This Row],[Direction]],
IF(_xlpm.dir="R",
    IF(F3825+Table1[[#This Row],[Steps]]&gt;99,(F3825+Table1[[#This Row],[Steps]])-100,F3825+Table1[[#This Row],[Steps]]),
))</f>
        <v>0</v>
      </c>
      <c r="F3826">
        <f>IF(Table1[[#This Row],[New Pos L]]&lt;&gt;0,Table1[[#This Row],[New Pos L]],Table1[[#This Row],[New Pos R]])</f>
        <v>56</v>
      </c>
    </row>
    <row r="3827" spans="1:6" ht="16" x14ac:dyDescent="0.2">
      <c r="A3827" s="1" t="s">
        <v>53</v>
      </c>
      <c r="B3827" t="str">
        <f>LEFT(Table1[[#This Row],[Input]],1)</f>
        <v>L</v>
      </c>
      <c r="C3827">
        <f>_xlfn.LET(_xlpm.steps,SUBSTITUTE(Table1[[#This Row],[Input]],Table1[[#This Row],[Direction]],""),VALUE(IF(LEN(_xlpm.steps)&gt;2,RIGHT(_xlpm.steps,2),_xlpm.steps)))</f>
        <v>56</v>
      </c>
      <c r="D3827">
        <f>_xlfn.LET(_xlpm.dir,Table1[[#This Row],[Direction]],
IF(_xlpm.dir="L",
    IF(F3826-Table1[[#This Row],[Steps]]&lt;0,100+(F3826-Table1[[#This Row],[Steps]]),F3826-Table1[[#This Row],[Steps]]),
))</f>
        <v>0</v>
      </c>
      <c r="E3827">
        <f>_xlfn.LET(_xlpm.dir,Table1[[#This Row],[Direction]],
IF(_xlpm.dir="R",
    IF(F3826+Table1[[#This Row],[Steps]]&gt;99,(F3826+Table1[[#This Row],[Steps]])-100,F3826+Table1[[#This Row],[Steps]]),
))</f>
        <v>0</v>
      </c>
      <c r="F3827">
        <f>IF(Table1[[#This Row],[New Pos L]]&lt;&gt;0,Table1[[#This Row],[New Pos L]],Table1[[#This Row],[New Pos R]])</f>
        <v>0</v>
      </c>
    </row>
    <row r="3828" spans="1:6" ht="16" x14ac:dyDescent="0.2">
      <c r="A3828" s="1" t="s">
        <v>804</v>
      </c>
      <c r="B3828" t="str">
        <f>LEFT(Table1[[#This Row],[Input]],1)</f>
        <v>R</v>
      </c>
      <c r="C3828">
        <f>_xlfn.LET(_xlpm.steps,SUBSTITUTE(Table1[[#This Row],[Input]],Table1[[#This Row],[Direction]],""),VALUE(IF(LEN(_xlpm.steps)&gt;2,RIGHT(_xlpm.steps,2),_xlpm.steps)))</f>
        <v>2</v>
      </c>
      <c r="D3828">
        <f>_xlfn.LET(_xlpm.dir,Table1[[#This Row],[Direction]],
IF(_xlpm.dir="L",
    IF(F3827-Table1[[#This Row],[Steps]]&lt;0,100+(F3827-Table1[[#This Row],[Steps]]),F3827-Table1[[#This Row],[Steps]]),
))</f>
        <v>0</v>
      </c>
      <c r="E3828">
        <f>_xlfn.LET(_xlpm.dir,Table1[[#This Row],[Direction]],
IF(_xlpm.dir="R",
    IF(F3827+Table1[[#This Row],[Steps]]&gt;99,(F3827+Table1[[#This Row],[Steps]])-100,F3827+Table1[[#This Row],[Steps]]),
))</f>
        <v>2</v>
      </c>
      <c r="F3828">
        <f>IF(Table1[[#This Row],[New Pos L]]&lt;&gt;0,Table1[[#This Row],[New Pos L]],Table1[[#This Row],[New Pos R]])</f>
        <v>2</v>
      </c>
    </row>
    <row r="3829" spans="1:6" ht="16" x14ac:dyDescent="0.2">
      <c r="A3829" s="1" t="s">
        <v>105</v>
      </c>
      <c r="B3829" t="str">
        <f>LEFT(Table1[[#This Row],[Input]],1)</f>
        <v>R</v>
      </c>
      <c r="C3829">
        <f>_xlfn.LET(_xlpm.steps,SUBSTITUTE(Table1[[#This Row],[Input]],Table1[[#This Row],[Direction]],""),VALUE(IF(LEN(_xlpm.steps)&gt;2,RIGHT(_xlpm.steps,2),_xlpm.steps)))</f>
        <v>98</v>
      </c>
      <c r="D3829">
        <f>_xlfn.LET(_xlpm.dir,Table1[[#This Row],[Direction]],
IF(_xlpm.dir="L",
    IF(F3828-Table1[[#This Row],[Steps]]&lt;0,100+(F3828-Table1[[#This Row],[Steps]]),F3828-Table1[[#This Row],[Steps]]),
))</f>
        <v>0</v>
      </c>
      <c r="E3829">
        <f>_xlfn.LET(_xlpm.dir,Table1[[#This Row],[Direction]],
IF(_xlpm.dir="R",
    IF(F3828+Table1[[#This Row],[Steps]]&gt;99,(F3828+Table1[[#This Row],[Steps]])-100,F3828+Table1[[#This Row],[Steps]]),
))</f>
        <v>0</v>
      </c>
      <c r="F3829">
        <f>IF(Table1[[#This Row],[New Pos L]]&lt;&gt;0,Table1[[#This Row],[New Pos L]],Table1[[#This Row],[New Pos R]])</f>
        <v>0</v>
      </c>
    </row>
    <row r="3830" spans="1:6" ht="16" x14ac:dyDescent="0.2">
      <c r="A3830" s="1" t="s">
        <v>805</v>
      </c>
      <c r="B3830" t="str">
        <f>LEFT(Table1[[#This Row],[Input]],1)</f>
        <v>R</v>
      </c>
      <c r="C3830">
        <f>_xlfn.LET(_xlpm.steps,SUBSTITUTE(Table1[[#This Row],[Input]],Table1[[#This Row],[Direction]],""),VALUE(IF(LEN(_xlpm.steps)&gt;2,RIGHT(_xlpm.steps,2),_xlpm.steps)))</f>
        <v>19</v>
      </c>
      <c r="D3830">
        <f>_xlfn.LET(_xlpm.dir,Table1[[#This Row],[Direction]],
IF(_xlpm.dir="L",
    IF(F3829-Table1[[#This Row],[Steps]]&lt;0,100+(F3829-Table1[[#This Row],[Steps]]),F3829-Table1[[#This Row],[Steps]]),
))</f>
        <v>0</v>
      </c>
      <c r="E3830">
        <f>_xlfn.LET(_xlpm.dir,Table1[[#This Row],[Direction]],
IF(_xlpm.dir="R",
    IF(F3829+Table1[[#This Row],[Steps]]&gt;99,(F3829+Table1[[#This Row],[Steps]])-100,F3829+Table1[[#This Row],[Steps]]),
))</f>
        <v>19</v>
      </c>
      <c r="F3830">
        <f>IF(Table1[[#This Row],[New Pos L]]&lt;&gt;0,Table1[[#This Row],[New Pos L]],Table1[[#This Row],[New Pos R]])</f>
        <v>19</v>
      </c>
    </row>
    <row r="3831" spans="1:6" ht="16" x14ac:dyDescent="0.2">
      <c r="A3831" s="1" t="s">
        <v>457</v>
      </c>
      <c r="B3831" t="str">
        <f>LEFT(Table1[[#This Row],[Input]],1)</f>
        <v>L</v>
      </c>
      <c r="C3831">
        <f>_xlfn.LET(_xlpm.steps,SUBSTITUTE(Table1[[#This Row],[Input]],Table1[[#This Row],[Direction]],""),VALUE(IF(LEN(_xlpm.steps)&gt;2,RIGHT(_xlpm.steps,2),_xlpm.steps)))</f>
        <v>26</v>
      </c>
      <c r="D3831">
        <f>_xlfn.LET(_xlpm.dir,Table1[[#This Row],[Direction]],
IF(_xlpm.dir="L",
    IF(F3830-Table1[[#This Row],[Steps]]&lt;0,100+(F3830-Table1[[#This Row],[Steps]]),F3830-Table1[[#This Row],[Steps]]),
))</f>
        <v>93</v>
      </c>
      <c r="E3831">
        <f>_xlfn.LET(_xlpm.dir,Table1[[#This Row],[Direction]],
IF(_xlpm.dir="R",
    IF(F3830+Table1[[#This Row],[Steps]]&gt;99,(F3830+Table1[[#This Row],[Steps]])-100,F3830+Table1[[#This Row],[Steps]]),
))</f>
        <v>0</v>
      </c>
      <c r="F3831">
        <f>IF(Table1[[#This Row],[New Pos L]]&lt;&gt;0,Table1[[#This Row],[New Pos L]],Table1[[#This Row],[New Pos R]])</f>
        <v>93</v>
      </c>
    </row>
    <row r="3832" spans="1:6" ht="16" x14ac:dyDescent="0.2">
      <c r="A3832" s="1" t="s">
        <v>209</v>
      </c>
      <c r="B3832" t="str">
        <f>LEFT(Table1[[#This Row],[Input]],1)</f>
        <v>L</v>
      </c>
      <c r="C3832">
        <f>_xlfn.LET(_xlpm.steps,SUBSTITUTE(Table1[[#This Row],[Input]],Table1[[#This Row],[Direction]],""),VALUE(IF(LEN(_xlpm.steps)&gt;2,RIGHT(_xlpm.steps,2),_xlpm.steps)))</f>
        <v>86</v>
      </c>
      <c r="D3832">
        <f>_xlfn.LET(_xlpm.dir,Table1[[#This Row],[Direction]],
IF(_xlpm.dir="L",
    IF(F3831-Table1[[#This Row],[Steps]]&lt;0,100+(F3831-Table1[[#This Row],[Steps]]),F3831-Table1[[#This Row],[Steps]]),
))</f>
        <v>7</v>
      </c>
      <c r="E3832">
        <f>_xlfn.LET(_xlpm.dir,Table1[[#This Row],[Direction]],
IF(_xlpm.dir="R",
    IF(F3831+Table1[[#This Row],[Steps]]&gt;99,(F3831+Table1[[#This Row],[Steps]])-100,F3831+Table1[[#This Row],[Steps]]),
))</f>
        <v>0</v>
      </c>
      <c r="F3832">
        <f>IF(Table1[[#This Row],[New Pos L]]&lt;&gt;0,Table1[[#This Row],[New Pos L]],Table1[[#This Row],[New Pos R]])</f>
        <v>7</v>
      </c>
    </row>
    <row r="3833" spans="1:6" ht="16" x14ac:dyDescent="0.2">
      <c r="A3833" s="1" t="s">
        <v>179</v>
      </c>
      <c r="B3833" t="str">
        <f>LEFT(Table1[[#This Row],[Input]],1)</f>
        <v>L</v>
      </c>
      <c r="C3833">
        <f>_xlfn.LET(_xlpm.steps,SUBSTITUTE(Table1[[#This Row],[Input]],Table1[[#This Row],[Direction]],""),VALUE(IF(LEN(_xlpm.steps)&gt;2,RIGHT(_xlpm.steps,2),_xlpm.steps)))</f>
        <v>54</v>
      </c>
      <c r="D3833">
        <f>_xlfn.LET(_xlpm.dir,Table1[[#This Row],[Direction]],
IF(_xlpm.dir="L",
    IF(F3832-Table1[[#This Row],[Steps]]&lt;0,100+(F3832-Table1[[#This Row],[Steps]]),F3832-Table1[[#This Row],[Steps]]),
))</f>
        <v>53</v>
      </c>
      <c r="E3833">
        <f>_xlfn.LET(_xlpm.dir,Table1[[#This Row],[Direction]],
IF(_xlpm.dir="R",
    IF(F3832+Table1[[#This Row],[Steps]]&gt;99,(F3832+Table1[[#This Row],[Steps]])-100,F3832+Table1[[#This Row],[Steps]]),
))</f>
        <v>0</v>
      </c>
      <c r="F3833">
        <f>IF(Table1[[#This Row],[New Pos L]]&lt;&gt;0,Table1[[#This Row],[New Pos L]],Table1[[#This Row],[New Pos R]])</f>
        <v>53</v>
      </c>
    </row>
    <row r="3834" spans="1:6" ht="16" x14ac:dyDescent="0.2">
      <c r="A3834" s="1" t="s">
        <v>806</v>
      </c>
      <c r="B3834" t="str">
        <f>LEFT(Table1[[#This Row],[Input]],1)</f>
        <v>R</v>
      </c>
      <c r="C3834">
        <f>_xlfn.LET(_xlpm.steps,SUBSTITUTE(Table1[[#This Row],[Input]],Table1[[#This Row],[Direction]],""),VALUE(IF(LEN(_xlpm.steps)&gt;2,RIGHT(_xlpm.steps,2),_xlpm.steps)))</f>
        <v>47</v>
      </c>
      <c r="D3834">
        <f>_xlfn.LET(_xlpm.dir,Table1[[#This Row],[Direction]],
IF(_xlpm.dir="L",
    IF(F3833-Table1[[#This Row],[Steps]]&lt;0,100+(F3833-Table1[[#This Row],[Steps]]),F3833-Table1[[#This Row],[Steps]]),
))</f>
        <v>0</v>
      </c>
      <c r="E3834">
        <f>_xlfn.LET(_xlpm.dir,Table1[[#This Row],[Direction]],
IF(_xlpm.dir="R",
    IF(F3833+Table1[[#This Row],[Steps]]&gt;99,(F3833+Table1[[#This Row],[Steps]])-100,F3833+Table1[[#This Row],[Steps]]),
))</f>
        <v>0</v>
      </c>
      <c r="F3834">
        <f>IF(Table1[[#This Row],[New Pos L]]&lt;&gt;0,Table1[[#This Row],[New Pos L]],Table1[[#This Row],[New Pos R]])</f>
        <v>0</v>
      </c>
    </row>
    <row r="3835" spans="1:6" ht="16" x14ac:dyDescent="0.2">
      <c r="A3835" s="1" t="s">
        <v>34</v>
      </c>
      <c r="B3835" t="str">
        <f>LEFT(Table1[[#This Row],[Input]],1)</f>
        <v>L</v>
      </c>
      <c r="C3835">
        <f>_xlfn.LET(_xlpm.steps,SUBSTITUTE(Table1[[#This Row],[Input]],Table1[[#This Row],[Direction]],""),VALUE(IF(LEN(_xlpm.steps)&gt;2,RIGHT(_xlpm.steps,2),_xlpm.steps)))</f>
        <v>15</v>
      </c>
      <c r="D3835">
        <f>_xlfn.LET(_xlpm.dir,Table1[[#This Row],[Direction]],
IF(_xlpm.dir="L",
    IF(F3834-Table1[[#This Row],[Steps]]&lt;0,100+(F3834-Table1[[#This Row],[Steps]]),F3834-Table1[[#This Row],[Steps]]),
))</f>
        <v>85</v>
      </c>
      <c r="E3835">
        <f>_xlfn.LET(_xlpm.dir,Table1[[#This Row],[Direction]],
IF(_xlpm.dir="R",
    IF(F3834+Table1[[#This Row],[Steps]]&gt;99,(F3834+Table1[[#This Row],[Steps]])-100,F3834+Table1[[#This Row],[Steps]]),
))</f>
        <v>0</v>
      </c>
      <c r="F3835">
        <f>IF(Table1[[#This Row],[New Pos L]]&lt;&gt;0,Table1[[#This Row],[New Pos L]],Table1[[#This Row],[New Pos R]])</f>
        <v>85</v>
      </c>
    </row>
    <row r="3836" spans="1:6" ht="16" x14ac:dyDescent="0.2">
      <c r="A3836" s="1" t="s">
        <v>126</v>
      </c>
      <c r="B3836" t="str">
        <f>LEFT(Table1[[#This Row],[Input]],1)</f>
        <v>R</v>
      </c>
      <c r="C3836">
        <f>_xlfn.LET(_xlpm.steps,SUBSTITUTE(Table1[[#This Row],[Input]],Table1[[#This Row],[Direction]],""),VALUE(IF(LEN(_xlpm.steps)&gt;2,RIGHT(_xlpm.steps,2),_xlpm.steps)))</f>
        <v>65</v>
      </c>
      <c r="D3836">
        <f>_xlfn.LET(_xlpm.dir,Table1[[#This Row],[Direction]],
IF(_xlpm.dir="L",
    IF(F3835-Table1[[#This Row],[Steps]]&lt;0,100+(F3835-Table1[[#This Row],[Steps]]),F3835-Table1[[#This Row],[Steps]]),
))</f>
        <v>0</v>
      </c>
      <c r="E3836">
        <f>_xlfn.LET(_xlpm.dir,Table1[[#This Row],[Direction]],
IF(_xlpm.dir="R",
    IF(F3835+Table1[[#This Row],[Steps]]&gt;99,(F3835+Table1[[#This Row],[Steps]])-100,F3835+Table1[[#This Row],[Steps]]),
))</f>
        <v>50</v>
      </c>
      <c r="F3836">
        <f>IF(Table1[[#This Row],[New Pos L]]&lt;&gt;0,Table1[[#This Row],[New Pos L]],Table1[[#This Row],[New Pos R]])</f>
        <v>50</v>
      </c>
    </row>
    <row r="3837" spans="1:6" ht="16" x14ac:dyDescent="0.2">
      <c r="A3837" s="1" t="s">
        <v>36</v>
      </c>
      <c r="B3837" t="str">
        <f>LEFT(Table1[[#This Row],[Input]],1)</f>
        <v>R</v>
      </c>
      <c r="C3837">
        <f>_xlfn.LET(_xlpm.steps,SUBSTITUTE(Table1[[#This Row],[Input]],Table1[[#This Row],[Direction]],""),VALUE(IF(LEN(_xlpm.steps)&gt;2,RIGHT(_xlpm.steps,2),_xlpm.steps)))</f>
        <v>50</v>
      </c>
      <c r="D3837">
        <f>_xlfn.LET(_xlpm.dir,Table1[[#This Row],[Direction]],
IF(_xlpm.dir="L",
    IF(F3836-Table1[[#This Row],[Steps]]&lt;0,100+(F3836-Table1[[#This Row],[Steps]]),F3836-Table1[[#This Row],[Steps]]),
))</f>
        <v>0</v>
      </c>
      <c r="E3837">
        <f>_xlfn.LET(_xlpm.dir,Table1[[#This Row],[Direction]],
IF(_xlpm.dir="R",
    IF(F3836+Table1[[#This Row],[Steps]]&gt;99,(F3836+Table1[[#This Row],[Steps]])-100,F3836+Table1[[#This Row],[Steps]]),
))</f>
        <v>0</v>
      </c>
      <c r="F3837">
        <f>IF(Table1[[#This Row],[New Pos L]]&lt;&gt;0,Table1[[#This Row],[New Pos L]],Table1[[#This Row],[New Pos R]])</f>
        <v>0</v>
      </c>
    </row>
    <row r="3838" spans="1:6" ht="16" x14ac:dyDescent="0.2">
      <c r="A3838" s="1" t="s">
        <v>807</v>
      </c>
      <c r="B3838" t="str">
        <f>LEFT(Table1[[#This Row],[Input]],1)</f>
        <v>L</v>
      </c>
      <c r="C3838">
        <f>_xlfn.LET(_xlpm.steps,SUBSTITUTE(Table1[[#This Row],[Input]],Table1[[#This Row],[Direction]],""),VALUE(IF(LEN(_xlpm.steps)&gt;2,RIGHT(_xlpm.steps,2),_xlpm.steps)))</f>
        <v>19</v>
      </c>
      <c r="D3838">
        <f>_xlfn.LET(_xlpm.dir,Table1[[#This Row],[Direction]],
IF(_xlpm.dir="L",
    IF(F3837-Table1[[#This Row],[Steps]]&lt;0,100+(F3837-Table1[[#This Row],[Steps]]),F3837-Table1[[#This Row],[Steps]]),
))</f>
        <v>81</v>
      </c>
      <c r="E3838">
        <f>_xlfn.LET(_xlpm.dir,Table1[[#This Row],[Direction]],
IF(_xlpm.dir="R",
    IF(F3837+Table1[[#This Row],[Steps]]&gt;99,(F3837+Table1[[#This Row],[Steps]])-100,F3837+Table1[[#This Row],[Steps]]),
))</f>
        <v>0</v>
      </c>
      <c r="F3838">
        <f>IF(Table1[[#This Row],[New Pos L]]&lt;&gt;0,Table1[[#This Row],[New Pos L]],Table1[[#This Row],[New Pos R]])</f>
        <v>81</v>
      </c>
    </row>
    <row r="3839" spans="1:6" ht="16" x14ac:dyDescent="0.2">
      <c r="A3839" s="1" t="s">
        <v>57</v>
      </c>
      <c r="B3839" t="str">
        <f>LEFT(Table1[[#This Row],[Input]],1)</f>
        <v>R</v>
      </c>
      <c r="C3839">
        <f>_xlfn.LET(_xlpm.steps,SUBSTITUTE(Table1[[#This Row],[Input]],Table1[[#This Row],[Direction]],""),VALUE(IF(LEN(_xlpm.steps)&gt;2,RIGHT(_xlpm.steps,2),_xlpm.steps)))</f>
        <v>29</v>
      </c>
      <c r="D3839">
        <f>_xlfn.LET(_xlpm.dir,Table1[[#This Row],[Direction]],
IF(_xlpm.dir="L",
    IF(F3838-Table1[[#This Row],[Steps]]&lt;0,100+(F3838-Table1[[#This Row],[Steps]]),F3838-Table1[[#This Row],[Steps]]),
))</f>
        <v>0</v>
      </c>
      <c r="E3839">
        <f>_xlfn.LET(_xlpm.dir,Table1[[#This Row],[Direction]],
IF(_xlpm.dir="R",
    IF(F3838+Table1[[#This Row],[Steps]]&gt;99,(F3838+Table1[[#This Row],[Steps]])-100,F3838+Table1[[#This Row],[Steps]]),
))</f>
        <v>10</v>
      </c>
      <c r="F3839">
        <f>IF(Table1[[#This Row],[New Pos L]]&lt;&gt;0,Table1[[#This Row],[New Pos L]],Table1[[#This Row],[New Pos R]])</f>
        <v>10</v>
      </c>
    </row>
    <row r="3840" spans="1:6" ht="16" x14ac:dyDescent="0.2">
      <c r="A3840" s="1" t="s">
        <v>174</v>
      </c>
      <c r="B3840" t="str">
        <f>LEFT(Table1[[#This Row],[Input]],1)</f>
        <v>L</v>
      </c>
      <c r="C3840">
        <f>_xlfn.LET(_xlpm.steps,SUBSTITUTE(Table1[[#This Row],[Input]],Table1[[#This Row],[Direction]],""),VALUE(IF(LEN(_xlpm.steps)&gt;2,RIGHT(_xlpm.steps,2),_xlpm.steps)))</f>
        <v>92</v>
      </c>
      <c r="D3840">
        <f>_xlfn.LET(_xlpm.dir,Table1[[#This Row],[Direction]],
IF(_xlpm.dir="L",
    IF(F3839-Table1[[#This Row],[Steps]]&lt;0,100+(F3839-Table1[[#This Row],[Steps]]),F3839-Table1[[#This Row],[Steps]]),
))</f>
        <v>18</v>
      </c>
      <c r="E3840">
        <f>_xlfn.LET(_xlpm.dir,Table1[[#This Row],[Direction]],
IF(_xlpm.dir="R",
    IF(F3839+Table1[[#This Row],[Steps]]&gt;99,(F3839+Table1[[#This Row],[Steps]])-100,F3839+Table1[[#This Row],[Steps]]),
))</f>
        <v>0</v>
      </c>
      <c r="F3840">
        <f>IF(Table1[[#This Row],[New Pos L]]&lt;&gt;0,Table1[[#This Row],[New Pos L]],Table1[[#This Row],[New Pos R]])</f>
        <v>18</v>
      </c>
    </row>
    <row r="3841" spans="1:6" ht="16" x14ac:dyDescent="0.2">
      <c r="A3841" s="1" t="s">
        <v>31</v>
      </c>
      <c r="B3841" t="str">
        <f>LEFT(Table1[[#This Row],[Input]],1)</f>
        <v>L</v>
      </c>
      <c r="C3841">
        <f>_xlfn.LET(_xlpm.steps,SUBSTITUTE(Table1[[#This Row],[Input]],Table1[[#This Row],[Direction]],""),VALUE(IF(LEN(_xlpm.steps)&gt;2,RIGHT(_xlpm.steps,2),_xlpm.steps)))</f>
        <v>13</v>
      </c>
      <c r="D3841">
        <f>_xlfn.LET(_xlpm.dir,Table1[[#This Row],[Direction]],
IF(_xlpm.dir="L",
    IF(F3840-Table1[[#This Row],[Steps]]&lt;0,100+(F3840-Table1[[#This Row],[Steps]]),F3840-Table1[[#This Row],[Steps]]),
))</f>
        <v>5</v>
      </c>
      <c r="E3841">
        <f>_xlfn.LET(_xlpm.dir,Table1[[#This Row],[Direction]],
IF(_xlpm.dir="R",
    IF(F3840+Table1[[#This Row],[Steps]]&gt;99,(F3840+Table1[[#This Row],[Steps]])-100,F3840+Table1[[#This Row],[Steps]]),
))</f>
        <v>0</v>
      </c>
      <c r="F3841">
        <f>IF(Table1[[#This Row],[New Pos L]]&lt;&gt;0,Table1[[#This Row],[New Pos L]],Table1[[#This Row],[New Pos R]])</f>
        <v>5</v>
      </c>
    </row>
    <row r="3842" spans="1:6" ht="16" x14ac:dyDescent="0.2">
      <c r="A3842" s="1" t="s">
        <v>21</v>
      </c>
      <c r="B3842" t="str">
        <f>LEFT(Table1[[#This Row],[Input]],1)</f>
        <v>L</v>
      </c>
      <c r="C3842">
        <f>_xlfn.LET(_xlpm.steps,SUBSTITUTE(Table1[[#This Row],[Input]],Table1[[#This Row],[Direction]],""),VALUE(IF(LEN(_xlpm.steps)&gt;2,RIGHT(_xlpm.steps,2),_xlpm.steps)))</f>
        <v>36</v>
      </c>
      <c r="D3842">
        <f>_xlfn.LET(_xlpm.dir,Table1[[#This Row],[Direction]],
IF(_xlpm.dir="L",
    IF(F3841-Table1[[#This Row],[Steps]]&lt;0,100+(F3841-Table1[[#This Row],[Steps]]),F3841-Table1[[#This Row],[Steps]]),
))</f>
        <v>69</v>
      </c>
      <c r="E3842">
        <f>_xlfn.LET(_xlpm.dir,Table1[[#This Row],[Direction]],
IF(_xlpm.dir="R",
    IF(F3841+Table1[[#This Row],[Steps]]&gt;99,(F3841+Table1[[#This Row],[Steps]])-100,F3841+Table1[[#This Row],[Steps]]),
))</f>
        <v>0</v>
      </c>
      <c r="F3842">
        <f>IF(Table1[[#This Row],[New Pos L]]&lt;&gt;0,Table1[[#This Row],[New Pos L]],Table1[[#This Row],[New Pos R]])</f>
        <v>69</v>
      </c>
    </row>
    <row r="3843" spans="1:6" ht="16" x14ac:dyDescent="0.2">
      <c r="A3843" s="1" t="s">
        <v>774</v>
      </c>
      <c r="B3843" t="str">
        <f>LEFT(Table1[[#This Row],[Input]],1)</f>
        <v>R</v>
      </c>
      <c r="C3843">
        <f>_xlfn.LET(_xlpm.steps,SUBSTITUTE(Table1[[#This Row],[Input]],Table1[[#This Row],[Direction]],""),VALUE(IF(LEN(_xlpm.steps)&gt;2,RIGHT(_xlpm.steps,2),_xlpm.steps)))</f>
        <v>31</v>
      </c>
      <c r="D3843">
        <f>_xlfn.LET(_xlpm.dir,Table1[[#This Row],[Direction]],
IF(_xlpm.dir="L",
    IF(F3842-Table1[[#This Row],[Steps]]&lt;0,100+(F3842-Table1[[#This Row],[Steps]]),F3842-Table1[[#This Row],[Steps]]),
))</f>
        <v>0</v>
      </c>
      <c r="E3843">
        <f>_xlfn.LET(_xlpm.dir,Table1[[#This Row],[Direction]],
IF(_xlpm.dir="R",
    IF(F3842+Table1[[#This Row],[Steps]]&gt;99,(F3842+Table1[[#This Row],[Steps]])-100,F3842+Table1[[#This Row],[Steps]]),
))</f>
        <v>0</v>
      </c>
      <c r="F3843">
        <f>IF(Table1[[#This Row],[New Pos L]]&lt;&gt;0,Table1[[#This Row],[New Pos L]],Table1[[#This Row],[New Pos R]])</f>
        <v>0</v>
      </c>
    </row>
    <row r="3844" spans="1:6" ht="16" x14ac:dyDescent="0.2">
      <c r="A3844" s="1" t="s">
        <v>808</v>
      </c>
      <c r="B3844" t="str">
        <f>LEFT(Table1[[#This Row],[Input]],1)</f>
        <v>R</v>
      </c>
      <c r="C3844">
        <f>_xlfn.LET(_xlpm.steps,SUBSTITUTE(Table1[[#This Row],[Input]],Table1[[#This Row],[Direction]],""),VALUE(IF(LEN(_xlpm.steps)&gt;2,RIGHT(_xlpm.steps,2),_xlpm.steps)))</f>
        <v>65</v>
      </c>
      <c r="D3844">
        <f>_xlfn.LET(_xlpm.dir,Table1[[#This Row],[Direction]],
IF(_xlpm.dir="L",
    IF(F3843-Table1[[#This Row],[Steps]]&lt;0,100+(F3843-Table1[[#This Row],[Steps]]),F3843-Table1[[#This Row],[Steps]]),
))</f>
        <v>0</v>
      </c>
      <c r="E3844">
        <f>_xlfn.LET(_xlpm.dir,Table1[[#This Row],[Direction]],
IF(_xlpm.dir="R",
    IF(F3843+Table1[[#This Row],[Steps]]&gt;99,(F3843+Table1[[#This Row],[Steps]])-100,F3843+Table1[[#This Row],[Steps]]),
))</f>
        <v>65</v>
      </c>
      <c r="F3844">
        <f>IF(Table1[[#This Row],[New Pos L]]&lt;&gt;0,Table1[[#This Row],[New Pos L]],Table1[[#This Row],[New Pos R]])</f>
        <v>65</v>
      </c>
    </row>
    <row r="3845" spans="1:6" ht="16" x14ac:dyDescent="0.2">
      <c r="A3845" s="1" t="s">
        <v>98</v>
      </c>
      <c r="B3845" t="str">
        <f>LEFT(Table1[[#This Row],[Input]],1)</f>
        <v>L</v>
      </c>
      <c r="C3845">
        <f>_xlfn.LET(_xlpm.steps,SUBSTITUTE(Table1[[#This Row],[Input]],Table1[[#This Row],[Direction]],""),VALUE(IF(LEN(_xlpm.steps)&gt;2,RIGHT(_xlpm.steps,2),_xlpm.steps)))</f>
        <v>65</v>
      </c>
      <c r="D3845">
        <f>_xlfn.LET(_xlpm.dir,Table1[[#This Row],[Direction]],
IF(_xlpm.dir="L",
    IF(F3844-Table1[[#This Row],[Steps]]&lt;0,100+(F3844-Table1[[#This Row],[Steps]]),F3844-Table1[[#This Row],[Steps]]),
))</f>
        <v>0</v>
      </c>
      <c r="E3845">
        <f>_xlfn.LET(_xlpm.dir,Table1[[#This Row],[Direction]],
IF(_xlpm.dir="R",
    IF(F3844+Table1[[#This Row],[Steps]]&gt;99,(F3844+Table1[[#This Row],[Steps]])-100,F3844+Table1[[#This Row],[Steps]]),
))</f>
        <v>0</v>
      </c>
      <c r="F3845">
        <f>IF(Table1[[#This Row],[New Pos L]]&lt;&gt;0,Table1[[#This Row],[New Pos L]],Table1[[#This Row],[New Pos R]])</f>
        <v>0</v>
      </c>
    </row>
    <row r="3846" spans="1:6" ht="16" x14ac:dyDescent="0.2">
      <c r="A3846" s="1" t="s">
        <v>319</v>
      </c>
      <c r="B3846" t="str">
        <f>LEFT(Table1[[#This Row],[Input]],1)</f>
        <v>L</v>
      </c>
      <c r="C3846">
        <f>_xlfn.LET(_xlpm.steps,SUBSTITUTE(Table1[[#This Row],[Input]],Table1[[#This Row],[Direction]],""),VALUE(IF(LEN(_xlpm.steps)&gt;2,RIGHT(_xlpm.steps,2),_xlpm.steps)))</f>
        <v>79</v>
      </c>
      <c r="D3846">
        <f>_xlfn.LET(_xlpm.dir,Table1[[#This Row],[Direction]],
IF(_xlpm.dir="L",
    IF(F3845-Table1[[#This Row],[Steps]]&lt;0,100+(F3845-Table1[[#This Row],[Steps]]),F3845-Table1[[#This Row],[Steps]]),
))</f>
        <v>21</v>
      </c>
      <c r="E3846">
        <f>_xlfn.LET(_xlpm.dir,Table1[[#This Row],[Direction]],
IF(_xlpm.dir="R",
    IF(F3845+Table1[[#This Row],[Steps]]&gt;99,(F3845+Table1[[#This Row],[Steps]])-100,F3845+Table1[[#This Row],[Steps]]),
))</f>
        <v>0</v>
      </c>
      <c r="F3846">
        <f>IF(Table1[[#This Row],[New Pos L]]&lt;&gt;0,Table1[[#This Row],[New Pos L]],Table1[[#This Row],[New Pos R]])</f>
        <v>21</v>
      </c>
    </row>
    <row r="3847" spans="1:6" ht="16" x14ac:dyDescent="0.2">
      <c r="A3847" s="1" t="s">
        <v>8</v>
      </c>
      <c r="B3847" t="str">
        <f>LEFT(Table1[[#This Row],[Input]],1)</f>
        <v>R</v>
      </c>
      <c r="C3847">
        <f>_xlfn.LET(_xlpm.steps,SUBSTITUTE(Table1[[#This Row],[Input]],Table1[[#This Row],[Direction]],""),VALUE(IF(LEN(_xlpm.steps)&gt;2,RIGHT(_xlpm.steps,2),_xlpm.steps)))</f>
        <v>18</v>
      </c>
      <c r="D3847">
        <f>_xlfn.LET(_xlpm.dir,Table1[[#This Row],[Direction]],
IF(_xlpm.dir="L",
    IF(F3846-Table1[[#This Row],[Steps]]&lt;0,100+(F3846-Table1[[#This Row],[Steps]]),F3846-Table1[[#This Row],[Steps]]),
))</f>
        <v>0</v>
      </c>
      <c r="E3847">
        <f>_xlfn.LET(_xlpm.dir,Table1[[#This Row],[Direction]],
IF(_xlpm.dir="R",
    IF(F3846+Table1[[#This Row],[Steps]]&gt;99,(F3846+Table1[[#This Row],[Steps]])-100,F3846+Table1[[#This Row],[Steps]]),
))</f>
        <v>39</v>
      </c>
      <c r="F3847">
        <f>IF(Table1[[#This Row],[New Pos L]]&lt;&gt;0,Table1[[#This Row],[New Pos L]],Table1[[#This Row],[New Pos R]])</f>
        <v>39</v>
      </c>
    </row>
    <row r="3848" spans="1:6" ht="16" x14ac:dyDescent="0.2">
      <c r="A3848" s="1" t="s">
        <v>444</v>
      </c>
      <c r="B3848" t="str">
        <f>LEFT(Table1[[#This Row],[Input]],1)</f>
        <v>L</v>
      </c>
      <c r="C3848">
        <f>_xlfn.LET(_xlpm.steps,SUBSTITUTE(Table1[[#This Row],[Input]],Table1[[#This Row],[Direction]],""),VALUE(IF(LEN(_xlpm.steps)&gt;2,RIGHT(_xlpm.steps,2),_xlpm.steps)))</f>
        <v>94</v>
      </c>
      <c r="D3848">
        <f>_xlfn.LET(_xlpm.dir,Table1[[#This Row],[Direction]],
IF(_xlpm.dir="L",
    IF(F3847-Table1[[#This Row],[Steps]]&lt;0,100+(F3847-Table1[[#This Row],[Steps]]),F3847-Table1[[#This Row],[Steps]]),
))</f>
        <v>45</v>
      </c>
      <c r="E3848">
        <f>_xlfn.LET(_xlpm.dir,Table1[[#This Row],[Direction]],
IF(_xlpm.dir="R",
    IF(F3847+Table1[[#This Row],[Steps]]&gt;99,(F3847+Table1[[#This Row],[Steps]])-100,F3847+Table1[[#This Row],[Steps]]),
))</f>
        <v>0</v>
      </c>
      <c r="F3848">
        <f>IF(Table1[[#This Row],[New Pos L]]&lt;&gt;0,Table1[[#This Row],[New Pos L]],Table1[[#This Row],[New Pos R]])</f>
        <v>45</v>
      </c>
    </row>
    <row r="3849" spans="1:6" ht="16" x14ac:dyDescent="0.2">
      <c r="A3849" s="1" t="s">
        <v>379</v>
      </c>
      <c r="B3849" t="str">
        <f>LEFT(Table1[[#This Row],[Input]],1)</f>
        <v>L</v>
      </c>
      <c r="C3849">
        <f>_xlfn.LET(_xlpm.steps,SUBSTITUTE(Table1[[#This Row],[Input]],Table1[[#This Row],[Direction]],""),VALUE(IF(LEN(_xlpm.steps)&gt;2,RIGHT(_xlpm.steps,2),_xlpm.steps)))</f>
        <v>4</v>
      </c>
      <c r="D3849">
        <f>_xlfn.LET(_xlpm.dir,Table1[[#This Row],[Direction]],
IF(_xlpm.dir="L",
    IF(F3848-Table1[[#This Row],[Steps]]&lt;0,100+(F3848-Table1[[#This Row],[Steps]]),F3848-Table1[[#This Row],[Steps]]),
))</f>
        <v>41</v>
      </c>
      <c r="E3849">
        <f>_xlfn.LET(_xlpm.dir,Table1[[#This Row],[Direction]],
IF(_xlpm.dir="R",
    IF(F3848+Table1[[#This Row],[Steps]]&gt;99,(F3848+Table1[[#This Row],[Steps]])-100,F3848+Table1[[#This Row],[Steps]]),
))</f>
        <v>0</v>
      </c>
      <c r="F3849">
        <f>IF(Table1[[#This Row],[New Pos L]]&lt;&gt;0,Table1[[#This Row],[New Pos L]],Table1[[#This Row],[New Pos R]])</f>
        <v>41</v>
      </c>
    </row>
    <row r="3850" spans="1:6" ht="16" x14ac:dyDescent="0.2">
      <c r="A3850" s="1" t="s">
        <v>98</v>
      </c>
      <c r="B3850" t="str">
        <f>LEFT(Table1[[#This Row],[Input]],1)</f>
        <v>L</v>
      </c>
      <c r="C3850">
        <f>_xlfn.LET(_xlpm.steps,SUBSTITUTE(Table1[[#This Row],[Input]],Table1[[#This Row],[Direction]],""),VALUE(IF(LEN(_xlpm.steps)&gt;2,RIGHT(_xlpm.steps,2),_xlpm.steps)))</f>
        <v>65</v>
      </c>
      <c r="D3850">
        <f>_xlfn.LET(_xlpm.dir,Table1[[#This Row],[Direction]],
IF(_xlpm.dir="L",
    IF(F3849-Table1[[#This Row],[Steps]]&lt;0,100+(F3849-Table1[[#This Row],[Steps]]),F3849-Table1[[#This Row],[Steps]]),
))</f>
        <v>76</v>
      </c>
      <c r="E3850">
        <f>_xlfn.LET(_xlpm.dir,Table1[[#This Row],[Direction]],
IF(_xlpm.dir="R",
    IF(F3849+Table1[[#This Row],[Steps]]&gt;99,(F3849+Table1[[#This Row],[Steps]])-100,F3849+Table1[[#This Row],[Steps]]),
))</f>
        <v>0</v>
      </c>
      <c r="F3850">
        <f>IF(Table1[[#This Row],[New Pos L]]&lt;&gt;0,Table1[[#This Row],[New Pos L]],Table1[[#This Row],[New Pos R]])</f>
        <v>76</v>
      </c>
    </row>
    <row r="3851" spans="1:6" ht="16" x14ac:dyDescent="0.2">
      <c r="A3851" s="1" t="s">
        <v>809</v>
      </c>
      <c r="B3851" t="str">
        <f>LEFT(Table1[[#This Row],[Input]],1)</f>
        <v>L</v>
      </c>
      <c r="C3851">
        <f>_xlfn.LET(_xlpm.steps,SUBSTITUTE(Table1[[#This Row],[Input]],Table1[[#This Row],[Direction]],""),VALUE(IF(LEN(_xlpm.steps)&gt;2,RIGHT(_xlpm.steps,2),_xlpm.steps)))</f>
        <v>42</v>
      </c>
      <c r="D3851">
        <f>_xlfn.LET(_xlpm.dir,Table1[[#This Row],[Direction]],
IF(_xlpm.dir="L",
    IF(F3850-Table1[[#This Row],[Steps]]&lt;0,100+(F3850-Table1[[#This Row],[Steps]]),F3850-Table1[[#This Row],[Steps]]),
))</f>
        <v>34</v>
      </c>
      <c r="E3851">
        <f>_xlfn.LET(_xlpm.dir,Table1[[#This Row],[Direction]],
IF(_xlpm.dir="R",
    IF(F3850+Table1[[#This Row],[Steps]]&gt;99,(F3850+Table1[[#This Row],[Steps]])-100,F3850+Table1[[#This Row],[Steps]]),
))</f>
        <v>0</v>
      </c>
      <c r="F3851">
        <f>IF(Table1[[#This Row],[New Pos L]]&lt;&gt;0,Table1[[#This Row],[New Pos L]],Table1[[#This Row],[New Pos R]])</f>
        <v>34</v>
      </c>
    </row>
    <row r="3852" spans="1:6" ht="16" x14ac:dyDescent="0.2">
      <c r="A3852" s="1" t="s">
        <v>810</v>
      </c>
      <c r="B3852" t="str">
        <f>LEFT(Table1[[#This Row],[Input]],1)</f>
        <v>R</v>
      </c>
      <c r="C3852">
        <f>_xlfn.LET(_xlpm.steps,SUBSTITUTE(Table1[[#This Row],[Input]],Table1[[#This Row],[Direction]],""),VALUE(IF(LEN(_xlpm.steps)&gt;2,RIGHT(_xlpm.steps,2),_xlpm.steps)))</f>
        <v>66</v>
      </c>
      <c r="D3852">
        <f>_xlfn.LET(_xlpm.dir,Table1[[#This Row],[Direction]],
IF(_xlpm.dir="L",
    IF(F3851-Table1[[#This Row],[Steps]]&lt;0,100+(F3851-Table1[[#This Row],[Steps]]),F3851-Table1[[#This Row],[Steps]]),
))</f>
        <v>0</v>
      </c>
      <c r="E3852">
        <f>_xlfn.LET(_xlpm.dir,Table1[[#This Row],[Direction]],
IF(_xlpm.dir="R",
    IF(F3851+Table1[[#This Row],[Steps]]&gt;99,(F3851+Table1[[#This Row],[Steps]])-100,F3851+Table1[[#This Row],[Steps]]),
))</f>
        <v>0</v>
      </c>
      <c r="F3852">
        <f>IF(Table1[[#This Row],[New Pos L]]&lt;&gt;0,Table1[[#This Row],[New Pos L]],Table1[[#This Row],[New Pos R]])</f>
        <v>0</v>
      </c>
    </row>
    <row r="3853" spans="1:6" ht="16" x14ac:dyDescent="0.2">
      <c r="A3853" s="1" t="s">
        <v>120</v>
      </c>
      <c r="B3853" t="str">
        <f>LEFT(Table1[[#This Row],[Input]],1)</f>
        <v>L</v>
      </c>
      <c r="C3853">
        <f>_xlfn.LET(_xlpm.steps,SUBSTITUTE(Table1[[#This Row],[Input]],Table1[[#This Row],[Direction]],""),VALUE(IF(LEN(_xlpm.steps)&gt;2,RIGHT(_xlpm.steps,2),_xlpm.steps)))</f>
        <v>23</v>
      </c>
      <c r="D3853">
        <f>_xlfn.LET(_xlpm.dir,Table1[[#This Row],[Direction]],
IF(_xlpm.dir="L",
    IF(F3852-Table1[[#This Row],[Steps]]&lt;0,100+(F3852-Table1[[#This Row],[Steps]]),F3852-Table1[[#This Row],[Steps]]),
))</f>
        <v>77</v>
      </c>
      <c r="E3853">
        <f>_xlfn.LET(_xlpm.dir,Table1[[#This Row],[Direction]],
IF(_xlpm.dir="R",
    IF(F3852+Table1[[#This Row],[Steps]]&gt;99,(F3852+Table1[[#This Row],[Steps]])-100,F3852+Table1[[#This Row],[Steps]]),
))</f>
        <v>0</v>
      </c>
      <c r="F3853">
        <f>IF(Table1[[#This Row],[New Pos L]]&lt;&gt;0,Table1[[#This Row],[New Pos L]],Table1[[#This Row],[New Pos R]])</f>
        <v>77</v>
      </c>
    </row>
    <row r="3854" spans="1:6" ht="16" x14ac:dyDescent="0.2">
      <c r="A3854" s="1" t="s">
        <v>59</v>
      </c>
      <c r="B3854" t="str">
        <f>LEFT(Table1[[#This Row],[Input]],1)</f>
        <v>L</v>
      </c>
      <c r="C3854">
        <f>_xlfn.LET(_xlpm.steps,SUBSTITUTE(Table1[[#This Row],[Input]],Table1[[#This Row],[Direction]],""),VALUE(IF(LEN(_xlpm.steps)&gt;2,RIGHT(_xlpm.steps,2),_xlpm.steps)))</f>
        <v>6</v>
      </c>
      <c r="D3854">
        <f>_xlfn.LET(_xlpm.dir,Table1[[#This Row],[Direction]],
IF(_xlpm.dir="L",
    IF(F3853-Table1[[#This Row],[Steps]]&lt;0,100+(F3853-Table1[[#This Row],[Steps]]),F3853-Table1[[#This Row],[Steps]]),
))</f>
        <v>71</v>
      </c>
      <c r="E3854">
        <f>_xlfn.LET(_xlpm.dir,Table1[[#This Row],[Direction]],
IF(_xlpm.dir="R",
    IF(F3853+Table1[[#This Row],[Steps]]&gt;99,(F3853+Table1[[#This Row],[Steps]])-100,F3853+Table1[[#This Row],[Steps]]),
))</f>
        <v>0</v>
      </c>
      <c r="F3854">
        <f>IF(Table1[[#This Row],[New Pos L]]&lt;&gt;0,Table1[[#This Row],[New Pos L]],Table1[[#This Row],[New Pos R]])</f>
        <v>71</v>
      </c>
    </row>
    <row r="3855" spans="1:6" ht="16" x14ac:dyDescent="0.2">
      <c r="A3855" s="1" t="s">
        <v>94</v>
      </c>
      <c r="B3855" t="str">
        <f>LEFT(Table1[[#This Row],[Input]],1)</f>
        <v>L</v>
      </c>
      <c r="C3855">
        <f>_xlfn.LET(_xlpm.steps,SUBSTITUTE(Table1[[#This Row],[Input]],Table1[[#This Row],[Direction]],""),VALUE(IF(LEN(_xlpm.steps)&gt;2,RIGHT(_xlpm.steps,2),_xlpm.steps)))</f>
        <v>71</v>
      </c>
      <c r="D3855">
        <f>_xlfn.LET(_xlpm.dir,Table1[[#This Row],[Direction]],
IF(_xlpm.dir="L",
    IF(F3854-Table1[[#This Row],[Steps]]&lt;0,100+(F3854-Table1[[#This Row],[Steps]]),F3854-Table1[[#This Row],[Steps]]),
))</f>
        <v>0</v>
      </c>
      <c r="E3855">
        <f>_xlfn.LET(_xlpm.dir,Table1[[#This Row],[Direction]],
IF(_xlpm.dir="R",
    IF(F3854+Table1[[#This Row],[Steps]]&gt;99,(F3854+Table1[[#This Row],[Steps]])-100,F3854+Table1[[#This Row],[Steps]]),
))</f>
        <v>0</v>
      </c>
      <c r="F3855">
        <f>IF(Table1[[#This Row],[New Pos L]]&lt;&gt;0,Table1[[#This Row],[New Pos L]],Table1[[#This Row],[New Pos R]])</f>
        <v>0</v>
      </c>
    </row>
    <row r="3856" spans="1:6" ht="16" x14ac:dyDescent="0.2">
      <c r="A3856" s="1" t="s">
        <v>364</v>
      </c>
      <c r="B3856" t="str">
        <f>LEFT(Table1[[#This Row],[Input]],1)</f>
        <v>L</v>
      </c>
      <c r="C3856">
        <f>_xlfn.LET(_xlpm.steps,SUBSTITUTE(Table1[[#This Row],[Input]],Table1[[#This Row],[Direction]],""),VALUE(IF(LEN(_xlpm.steps)&gt;2,RIGHT(_xlpm.steps,2),_xlpm.steps)))</f>
        <v>70</v>
      </c>
      <c r="D3856">
        <f>_xlfn.LET(_xlpm.dir,Table1[[#This Row],[Direction]],
IF(_xlpm.dir="L",
    IF(F3855-Table1[[#This Row],[Steps]]&lt;0,100+(F3855-Table1[[#This Row],[Steps]]),F3855-Table1[[#This Row],[Steps]]),
))</f>
        <v>30</v>
      </c>
      <c r="E3856">
        <f>_xlfn.LET(_xlpm.dir,Table1[[#This Row],[Direction]],
IF(_xlpm.dir="R",
    IF(F3855+Table1[[#This Row],[Steps]]&gt;99,(F3855+Table1[[#This Row],[Steps]])-100,F3855+Table1[[#This Row],[Steps]]),
))</f>
        <v>0</v>
      </c>
      <c r="F3856">
        <f>IF(Table1[[#This Row],[New Pos L]]&lt;&gt;0,Table1[[#This Row],[New Pos L]],Table1[[#This Row],[New Pos R]])</f>
        <v>30</v>
      </c>
    </row>
    <row r="3857" spans="1:6" ht="16" x14ac:dyDescent="0.2">
      <c r="A3857" s="1" t="s">
        <v>288</v>
      </c>
      <c r="B3857" t="str">
        <f>LEFT(Table1[[#This Row],[Input]],1)</f>
        <v>R</v>
      </c>
      <c r="C3857">
        <f>_xlfn.LET(_xlpm.steps,SUBSTITUTE(Table1[[#This Row],[Input]],Table1[[#This Row],[Direction]],""),VALUE(IF(LEN(_xlpm.steps)&gt;2,RIGHT(_xlpm.steps,2),_xlpm.steps)))</f>
        <v>25</v>
      </c>
      <c r="D3857">
        <f>_xlfn.LET(_xlpm.dir,Table1[[#This Row],[Direction]],
IF(_xlpm.dir="L",
    IF(F3856-Table1[[#This Row],[Steps]]&lt;0,100+(F3856-Table1[[#This Row],[Steps]]),F3856-Table1[[#This Row],[Steps]]),
))</f>
        <v>0</v>
      </c>
      <c r="E3857">
        <f>_xlfn.LET(_xlpm.dir,Table1[[#This Row],[Direction]],
IF(_xlpm.dir="R",
    IF(F3856+Table1[[#This Row],[Steps]]&gt;99,(F3856+Table1[[#This Row],[Steps]])-100,F3856+Table1[[#This Row],[Steps]]),
))</f>
        <v>55</v>
      </c>
      <c r="F3857">
        <f>IF(Table1[[#This Row],[New Pos L]]&lt;&gt;0,Table1[[#This Row],[New Pos L]],Table1[[#This Row],[New Pos R]])</f>
        <v>55</v>
      </c>
    </row>
    <row r="3858" spans="1:6" ht="16" x14ac:dyDescent="0.2">
      <c r="A3858" s="1" t="s">
        <v>353</v>
      </c>
      <c r="B3858" t="str">
        <f>LEFT(Table1[[#This Row],[Input]],1)</f>
        <v>R</v>
      </c>
      <c r="C3858">
        <f>_xlfn.LET(_xlpm.steps,SUBSTITUTE(Table1[[#This Row],[Input]],Table1[[#This Row],[Direction]],""),VALUE(IF(LEN(_xlpm.steps)&gt;2,RIGHT(_xlpm.steps,2),_xlpm.steps)))</f>
        <v>7</v>
      </c>
      <c r="D3858">
        <f>_xlfn.LET(_xlpm.dir,Table1[[#This Row],[Direction]],
IF(_xlpm.dir="L",
    IF(F3857-Table1[[#This Row],[Steps]]&lt;0,100+(F3857-Table1[[#This Row],[Steps]]),F3857-Table1[[#This Row],[Steps]]),
))</f>
        <v>0</v>
      </c>
      <c r="E3858">
        <f>_xlfn.LET(_xlpm.dir,Table1[[#This Row],[Direction]],
IF(_xlpm.dir="R",
    IF(F3857+Table1[[#This Row],[Steps]]&gt;99,(F3857+Table1[[#This Row],[Steps]])-100,F3857+Table1[[#This Row],[Steps]]),
))</f>
        <v>62</v>
      </c>
      <c r="F3858">
        <f>IF(Table1[[#This Row],[New Pos L]]&lt;&gt;0,Table1[[#This Row],[New Pos L]],Table1[[#This Row],[New Pos R]])</f>
        <v>62</v>
      </c>
    </row>
    <row r="3859" spans="1:6" ht="16" x14ac:dyDescent="0.2">
      <c r="A3859" s="1" t="s">
        <v>187</v>
      </c>
      <c r="B3859" t="str">
        <f>LEFT(Table1[[#This Row],[Input]],1)</f>
        <v>R</v>
      </c>
      <c r="C3859">
        <f>_xlfn.LET(_xlpm.steps,SUBSTITUTE(Table1[[#This Row],[Input]],Table1[[#This Row],[Direction]],""),VALUE(IF(LEN(_xlpm.steps)&gt;2,RIGHT(_xlpm.steps,2),_xlpm.steps)))</f>
        <v>20</v>
      </c>
      <c r="D3859">
        <f>_xlfn.LET(_xlpm.dir,Table1[[#This Row],[Direction]],
IF(_xlpm.dir="L",
    IF(F3858-Table1[[#This Row],[Steps]]&lt;0,100+(F3858-Table1[[#This Row],[Steps]]),F3858-Table1[[#This Row],[Steps]]),
))</f>
        <v>0</v>
      </c>
      <c r="E3859">
        <f>_xlfn.LET(_xlpm.dir,Table1[[#This Row],[Direction]],
IF(_xlpm.dir="R",
    IF(F3858+Table1[[#This Row],[Steps]]&gt;99,(F3858+Table1[[#This Row],[Steps]])-100,F3858+Table1[[#This Row],[Steps]]),
))</f>
        <v>82</v>
      </c>
      <c r="F3859">
        <f>IF(Table1[[#This Row],[New Pos L]]&lt;&gt;0,Table1[[#This Row],[New Pos L]],Table1[[#This Row],[New Pos R]])</f>
        <v>82</v>
      </c>
    </row>
    <row r="3860" spans="1:6" ht="16" x14ac:dyDescent="0.2">
      <c r="A3860" s="1" t="s">
        <v>59</v>
      </c>
      <c r="B3860" t="str">
        <f>LEFT(Table1[[#This Row],[Input]],1)</f>
        <v>L</v>
      </c>
      <c r="C3860">
        <f>_xlfn.LET(_xlpm.steps,SUBSTITUTE(Table1[[#This Row],[Input]],Table1[[#This Row],[Direction]],""),VALUE(IF(LEN(_xlpm.steps)&gt;2,RIGHT(_xlpm.steps,2),_xlpm.steps)))</f>
        <v>6</v>
      </c>
      <c r="D3860">
        <f>_xlfn.LET(_xlpm.dir,Table1[[#This Row],[Direction]],
IF(_xlpm.dir="L",
    IF(F3859-Table1[[#This Row],[Steps]]&lt;0,100+(F3859-Table1[[#This Row],[Steps]]),F3859-Table1[[#This Row],[Steps]]),
))</f>
        <v>76</v>
      </c>
      <c r="E3860">
        <f>_xlfn.LET(_xlpm.dir,Table1[[#This Row],[Direction]],
IF(_xlpm.dir="R",
    IF(F3859+Table1[[#This Row],[Steps]]&gt;99,(F3859+Table1[[#This Row],[Steps]])-100,F3859+Table1[[#This Row],[Steps]]),
))</f>
        <v>0</v>
      </c>
      <c r="F3860">
        <f>IF(Table1[[#This Row],[New Pos L]]&lt;&gt;0,Table1[[#This Row],[New Pos L]],Table1[[#This Row],[New Pos R]])</f>
        <v>76</v>
      </c>
    </row>
    <row r="3861" spans="1:6" ht="16" x14ac:dyDescent="0.2">
      <c r="A3861" s="1" t="s">
        <v>125</v>
      </c>
      <c r="B3861" t="str">
        <f>LEFT(Table1[[#This Row],[Input]],1)</f>
        <v>L</v>
      </c>
      <c r="C3861">
        <f>_xlfn.LET(_xlpm.steps,SUBSTITUTE(Table1[[#This Row],[Input]],Table1[[#This Row],[Direction]],""),VALUE(IF(LEN(_xlpm.steps)&gt;2,RIGHT(_xlpm.steps,2),_xlpm.steps)))</f>
        <v>76</v>
      </c>
      <c r="D3861">
        <f>_xlfn.LET(_xlpm.dir,Table1[[#This Row],[Direction]],
IF(_xlpm.dir="L",
    IF(F3860-Table1[[#This Row],[Steps]]&lt;0,100+(F3860-Table1[[#This Row],[Steps]]),F3860-Table1[[#This Row],[Steps]]),
))</f>
        <v>0</v>
      </c>
      <c r="E3861">
        <f>_xlfn.LET(_xlpm.dir,Table1[[#This Row],[Direction]],
IF(_xlpm.dir="R",
    IF(F3860+Table1[[#This Row],[Steps]]&gt;99,(F3860+Table1[[#This Row],[Steps]])-100,F3860+Table1[[#This Row],[Steps]]),
))</f>
        <v>0</v>
      </c>
      <c r="F3861">
        <f>IF(Table1[[#This Row],[New Pos L]]&lt;&gt;0,Table1[[#This Row],[New Pos L]],Table1[[#This Row],[New Pos R]])</f>
        <v>0</v>
      </c>
    </row>
    <row r="3862" spans="1:6" ht="16" x14ac:dyDescent="0.2">
      <c r="A3862" s="1" t="s">
        <v>1</v>
      </c>
      <c r="B3862" t="str">
        <f>LEFT(Table1[[#This Row],[Input]],1)</f>
        <v>R</v>
      </c>
      <c r="C3862">
        <f>_xlfn.LET(_xlpm.steps,SUBSTITUTE(Table1[[#This Row],[Input]],Table1[[#This Row],[Direction]],""),VALUE(IF(LEN(_xlpm.steps)&gt;2,RIGHT(_xlpm.steps,2),_xlpm.steps)))</f>
        <v>26</v>
      </c>
      <c r="D3862">
        <f>_xlfn.LET(_xlpm.dir,Table1[[#This Row],[Direction]],
IF(_xlpm.dir="L",
    IF(F3861-Table1[[#This Row],[Steps]]&lt;0,100+(F3861-Table1[[#This Row],[Steps]]),F3861-Table1[[#This Row],[Steps]]),
))</f>
        <v>0</v>
      </c>
      <c r="E3862">
        <f>_xlfn.LET(_xlpm.dir,Table1[[#This Row],[Direction]],
IF(_xlpm.dir="R",
    IF(F3861+Table1[[#This Row],[Steps]]&gt;99,(F3861+Table1[[#This Row],[Steps]])-100,F3861+Table1[[#This Row],[Steps]]),
))</f>
        <v>26</v>
      </c>
      <c r="F3862">
        <f>IF(Table1[[#This Row],[New Pos L]]&lt;&gt;0,Table1[[#This Row],[New Pos L]],Table1[[#This Row],[New Pos R]])</f>
        <v>26</v>
      </c>
    </row>
    <row r="3863" spans="1:6" ht="16" x14ac:dyDescent="0.2">
      <c r="A3863" s="1" t="s">
        <v>244</v>
      </c>
      <c r="B3863" t="str">
        <f>LEFT(Table1[[#This Row],[Input]],1)</f>
        <v>L</v>
      </c>
      <c r="C3863">
        <f>_xlfn.LET(_xlpm.steps,SUBSTITUTE(Table1[[#This Row],[Input]],Table1[[#This Row],[Direction]],""),VALUE(IF(LEN(_xlpm.steps)&gt;2,RIGHT(_xlpm.steps,2),_xlpm.steps)))</f>
        <v>98</v>
      </c>
      <c r="D3863">
        <f>_xlfn.LET(_xlpm.dir,Table1[[#This Row],[Direction]],
IF(_xlpm.dir="L",
    IF(F3862-Table1[[#This Row],[Steps]]&lt;0,100+(F3862-Table1[[#This Row],[Steps]]),F3862-Table1[[#This Row],[Steps]]),
))</f>
        <v>28</v>
      </c>
      <c r="E3863">
        <f>_xlfn.LET(_xlpm.dir,Table1[[#This Row],[Direction]],
IF(_xlpm.dir="R",
    IF(F3862+Table1[[#This Row],[Steps]]&gt;99,(F3862+Table1[[#This Row],[Steps]])-100,F3862+Table1[[#This Row],[Steps]]),
))</f>
        <v>0</v>
      </c>
      <c r="F3863">
        <f>IF(Table1[[#This Row],[New Pos L]]&lt;&gt;0,Table1[[#This Row],[New Pos L]],Table1[[#This Row],[New Pos R]])</f>
        <v>28</v>
      </c>
    </row>
    <row r="3864" spans="1:6" ht="16" x14ac:dyDescent="0.2">
      <c r="A3864" s="1" t="s">
        <v>50</v>
      </c>
      <c r="B3864" t="str">
        <f>LEFT(Table1[[#This Row],[Input]],1)</f>
        <v>R</v>
      </c>
      <c r="C3864">
        <f>_xlfn.LET(_xlpm.steps,SUBSTITUTE(Table1[[#This Row],[Input]],Table1[[#This Row],[Direction]],""),VALUE(IF(LEN(_xlpm.steps)&gt;2,RIGHT(_xlpm.steps,2),_xlpm.steps)))</f>
        <v>78</v>
      </c>
      <c r="D3864">
        <f>_xlfn.LET(_xlpm.dir,Table1[[#This Row],[Direction]],
IF(_xlpm.dir="L",
    IF(F3863-Table1[[#This Row],[Steps]]&lt;0,100+(F3863-Table1[[#This Row],[Steps]]),F3863-Table1[[#This Row],[Steps]]),
))</f>
        <v>0</v>
      </c>
      <c r="E3864">
        <f>_xlfn.LET(_xlpm.dir,Table1[[#This Row],[Direction]],
IF(_xlpm.dir="R",
    IF(F3863+Table1[[#This Row],[Steps]]&gt;99,(F3863+Table1[[#This Row],[Steps]])-100,F3863+Table1[[#This Row],[Steps]]),
))</f>
        <v>6</v>
      </c>
      <c r="F3864">
        <f>IF(Table1[[#This Row],[New Pos L]]&lt;&gt;0,Table1[[#This Row],[New Pos L]],Table1[[#This Row],[New Pos R]])</f>
        <v>6</v>
      </c>
    </row>
    <row r="3865" spans="1:6" ht="16" x14ac:dyDescent="0.2">
      <c r="A3865" s="1" t="s">
        <v>253</v>
      </c>
      <c r="B3865" t="str">
        <f>LEFT(Table1[[#This Row],[Input]],1)</f>
        <v>R</v>
      </c>
      <c r="C3865">
        <f>_xlfn.LET(_xlpm.steps,SUBSTITUTE(Table1[[#This Row],[Input]],Table1[[#This Row],[Direction]],""),VALUE(IF(LEN(_xlpm.steps)&gt;2,RIGHT(_xlpm.steps,2),_xlpm.steps)))</f>
        <v>94</v>
      </c>
      <c r="D3865">
        <f>_xlfn.LET(_xlpm.dir,Table1[[#This Row],[Direction]],
IF(_xlpm.dir="L",
    IF(F3864-Table1[[#This Row],[Steps]]&lt;0,100+(F3864-Table1[[#This Row],[Steps]]),F3864-Table1[[#This Row],[Steps]]),
))</f>
        <v>0</v>
      </c>
      <c r="E3865">
        <f>_xlfn.LET(_xlpm.dir,Table1[[#This Row],[Direction]],
IF(_xlpm.dir="R",
    IF(F3864+Table1[[#This Row],[Steps]]&gt;99,(F3864+Table1[[#This Row],[Steps]])-100,F3864+Table1[[#This Row],[Steps]]),
))</f>
        <v>0</v>
      </c>
      <c r="F3865">
        <f>IF(Table1[[#This Row],[New Pos L]]&lt;&gt;0,Table1[[#This Row],[New Pos L]],Table1[[#This Row],[New Pos R]])</f>
        <v>0</v>
      </c>
    </row>
    <row r="3866" spans="1:6" ht="16" x14ac:dyDescent="0.2">
      <c r="A3866" s="1" t="s">
        <v>182</v>
      </c>
      <c r="B3866" t="str">
        <f>LEFT(Table1[[#This Row],[Input]],1)</f>
        <v>L</v>
      </c>
      <c r="C3866">
        <f>_xlfn.LET(_xlpm.steps,SUBSTITUTE(Table1[[#This Row],[Input]],Table1[[#This Row],[Direction]],""),VALUE(IF(LEN(_xlpm.steps)&gt;2,RIGHT(_xlpm.steps,2),_xlpm.steps)))</f>
        <v>3</v>
      </c>
      <c r="D3866">
        <f>_xlfn.LET(_xlpm.dir,Table1[[#This Row],[Direction]],
IF(_xlpm.dir="L",
    IF(F3865-Table1[[#This Row],[Steps]]&lt;0,100+(F3865-Table1[[#This Row],[Steps]]),F3865-Table1[[#This Row],[Steps]]),
))</f>
        <v>97</v>
      </c>
      <c r="E3866">
        <f>_xlfn.LET(_xlpm.dir,Table1[[#This Row],[Direction]],
IF(_xlpm.dir="R",
    IF(F3865+Table1[[#This Row],[Steps]]&gt;99,(F3865+Table1[[#This Row],[Steps]])-100,F3865+Table1[[#This Row],[Steps]]),
))</f>
        <v>0</v>
      </c>
      <c r="F3866">
        <f>IF(Table1[[#This Row],[New Pos L]]&lt;&gt;0,Table1[[#This Row],[New Pos L]],Table1[[#This Row],[New Pos R]])</f>
        <v>97</v>
      </c>
    </row>
    <row r="3867" spans="1:6" ht="16" x14ac:dyDescent="0.2">
      <c r="A3867" s="1" t="s">
        <v>97</v>
      </c>
      <c r="B3867" t="str">
        <f>LEFT(Table1[[#This Row],[Input]],1)</f>
        <v>L</v>
      </c>
      <c r="C3867">
        <f>_xlfn.LET(_xlpm.steps,SUBSTITUTE(Table1[[#This Row],[Input]],Table1[[#This Row],[Direction]],""),VALUE(IF(LEN(_xlpm.steps)&gt;2,RIGHT(_xlpm.steps,2),_xlpm.steps)))</f>
        <v>97</v>
      </c>
      <c r="D3867">
        <f>_xlfn.LET(_xlpm.dir,Table1[[#This Row],[Direction]],
IF(_xlpm.dir="L",
    IF(F3866-Table1[[#This Row],[Steps]]&lt;0,100+(F3866-Table1[[#This Row],[Steps]]),F3866-Table1[[#This Row],[Steps]]),
))</f>
        <v>0</v>
      </c>
      <c r="E3867">
        <f>_xlfn.LET(_xlpm.dir,Table1[[#This Row],[Direction]],
IF(_xlpm.dir="R",
    IF(F3866+Table1[[#This Row],[Steps]]&gt;99,(F3866+Table1[[#This Row],[Steps]])-100,F3866+Table1[[#This Row],[Steps]]),
))</f>
        <v>0</v>
      </c>
      <c r="F3867">
        <f>IF(Table1[[#This Row],[New Pos L]]&lt;&gt;0,Table1[[#This Row],[New Pos L]],Table1[[#This Row],[New Pos R]])</f>
        <v>0</v>
      </c>
    </row>
    <row r="3868" spans="1:6" ht="16" x14ac:dyDescent="0.2">
      <c r="A3868" s="1" t="s">
        <v>811</v>
      </c>
      <c r="B3868" t="str">
        <f>LEFT(Table1[[#This Row],[Input]],1)</f>
        <v>L</v>
      </c>
      <c r="C3868">
        <f>_xlfn.LET(_xlpm.steps,SUBSTITUTE(Table1[[#This Row],[Input]],Table1[[#This Row],[Direction]],""),VALUE(IF(LEN(_xlpm.steps)&gt;2,RIGHT(_xlpm.steps,2),_xlpm.steps)))</f>
        <v>98</v>
      </c>
      <c r="D3868">
        <f>_xlfn.LET(_xlpm.dir,Table1[[#This Row],[Direction]],
IF(_xlpm.dir="L",
    IF(F3867-Table1[[#This Row],[Steps]]&lt;0,100+(F3867-Table1[[#This Row],[Steps]]),F3867-Table1[[#This Row],[Steps]]),
))</f>
        <v>2</v>
      </c>
      <c r="E3868">
        <f>_xlfn.LET(_xlpm.dir,Table1[[#This Row],[Direction]],
IF(_xlpm.dir="R",
    IF(F3867+Table1[[#This Row],[Steps]]&gt;99,(F3867+Table1[[#This Row],[Steps]])-100,F3867+Table1[[#This Row],[Steps]]),
))</f>
        <v>0</v>
      </c>
      <c r="F3868">
        <f>IF(Table1[[#This Row],[New Pos L]]&lt;&gt;0,Table1[[#This Row],[New Pos L]],Table1[[#This Row],[New Pos R]])</f>
        <v>2</v>
      </c>
    </row>
    <row r="3869" spans="1:6" ht="16" x14ac:dyDescent="0.2">
      <c r="A3869" s="1" t="s">
        <v>105</v>
      </c>
      <c r="B3869" t="str">
        <f>LEFT(Table1[[#This Row],[Input]],1)</f>
        <v>R</v>
      </c>
      <c r="C3869">
        <f>_xlfn.LET(_xlpm.steps,SUBSTITUTE(Table1[[#This Row],[Input]],Table1[[#This Row],[Direction]],""),VALUE(IF(LEN(_xlpm.steps)&gt;2,RIGHT(_xlpm.steps,2),_xlpm.steps)))</f>
        <v>98</v>
      </c>
      <c r="D3869">
        <f>_xlfn.LET(_xlpm.dir,Table1[[#This Row],[Direction]],
IF(_xlpm.dir="L",
    IF(F3868-Table1[[#This Row],[Steps]]&lt;0,100+(F3868-Table1[[#This Row],[Steps]]),F3868-Table1[[#This Row],[Steps]]),
))</f>
        <v>0</v>
      </c>
      <c r="E3869">
        <f>_xlfn.LET(_xlpm.dir,Table1[[#This Row],[Direction]],
IF(_xlpm.dir="R",
    IF(F3868+Table1[[#This Row],[Steps]]&gt;99,(F3868+Table1[[#This Row],[Steps]])-100,F3868+Table1[[#This Row],[Steps]]),
))</f>
        <v>0</v>
      </c>
      <c r="F3869">
        <f>IF(Table1[[#This Row],[New Pos L]]&lt;&gt;0,Table1[[#This Row],[New Pos L]],Table1[[#This Row],[New Pos R]])</f>
        <v>0</v>
      </c>
    </row>
    <row r="3870" spans="1:6" ht="16" x14ac:dyDescent="0.2">
      <c r="A3870" s="1" t="s">
        <v>35</v>
      </c>
      <c r="B3870" t="str">
        <f>LEFT(Table1[[#This Row],[Input]],1)</f>
        <v>L</v>
      </c>
      <c r="C3870">
        <f>_xlfn.LET(_xlpm.steps,SUBSTITUTE(Table1[[#This Row],[Input]],Table1[[#This Row],[Direction]],""),VALUE(IF(LEN(_xlpm.steps)&gt;2,RIGHT(_xlpm.steps,2),_xlpm.steps)))</f>
        <v>2</v>
      </c>
      <c r="D3870">
        <f>_xlfn.LET(_xlpm.dir,Table1[[#This Row],[Direction]],
IF(_xlpm.dir="L",
    IF(F3869-Table1[[#This Row],[Steps]]&lt;0,100+(F3869-Table1[[#This Row],[Steps]]),F3869-Table1[[#This Row],[Steps]]),
))</f>
        <v>98</v>
      </c>
      <c r="E3870">
        <f>_xlfn.LET(_xlpm.dir,Table1[[#This Row],[Direction]],
IF(_xlpm.dir="R",
    IF(F3869+Table1[[#This Row],[Steps]]&gt;99,(F3869+Table1[[#This Row],[Steps]])-100,F3869+Table1[[#This Row],[Steps]]),
))</f>
        <v>0</v>
      </c>
      <c r="F3870">
        <f>IF(Table1[[#This Row],[New Pos L]]&lt;&gt;0,Table1[[#This Row],[New Pos L]],Table1[[#This Row],[New Pos R]])</f>
        <v>98</v>
      </c>
    </row>
    <row r="3871" spans="1:6" ht="16" x14ac:dyDescent="0.2">
      <c r="A3871" s="1" t="s">
        <v>812</v>
      </c>
      <c r="B3871" t="str">
        <f>LEFT(Table1[[#This Row],[Input]],1)</f>
        <v>R</v>
      </c>
      <c r="C3871">
        <f>_xlfn.LET(_xlpm.steps,SUBSTITUTE(Table1[[#This Row],[Input]],Table1[[#This Row],[Direction]],""),VALUE(IF(LEN(_xlpm.steps)&gt;2,RIGHT(_xlpm.steps,2),_xlpm.steps)))</f>
        <v>2</v>
      </c>
      <c r="D3871">
        <f>_xlfn.LET(_xlpm.dir,Table1[[#This Row],[Direction]],
IF(_xlpm.dir="L",
    IF(F3870-Table1[[#This Row],[Steps]]&lt;0,100+(F3870-Table1[[#This Row],[Steps]]),F3870-Table1[[#This Row],[Steps]]),
))</f>
        <v>0</v>
      </c>
      <c r="E3871">
        <f>_xlfn.LET(_xlpm.dir,Table1[[#This Row],[Direction]],
IF(_xlpm.dir="R",
    IF(F3870+Table1[[#This Row],[Steps]]&gt;99,(F3870+Table1[[#This Row],[Steps]])-100,F3870+Table1[[#This Row],[Steps]]),
))</f>
        <v>0</v>
      </c>
      <c r="F3871">
        <f>IF(Table1[[#This Row],[New Pos L]]&lt;&gt;0,Table1[[#This Row],[New Pos L]],Table1[[#This Row],[New Pos R]])</f>
        <v>0</v>
      </c>
    </row>
    <row r="3872" spans="1:6" ht="16" x14ac:dyDescent="0.2">
      <c r="A3872" s="1" t="s">
        <v>83</v>
      </c>
      <c r="B3872" t="str">
        <f>LEFT(Table1[[#This Row],[Input]],1)</f>
        <v>R</v>
      </c>
      <c r="C3872">
        <f>_xlfn.LET(_xlpm.steps,SUBSTITUTE(Table1[[#This Row],[Input]],Table1[[#This Row],[Direction]],""),VALUE(IF(LEN(_xlpm.steps)&gt;2,RIGHT(_xlpm.steps,2),_xlpm.steps)))</f>
        <v>79</v>
      </c>
      <c r="D3872">
        <f>_xlfn.LET(_xlpm.dir,Table1[[#This Row],[Direction]],
IF(_xlpm.dir="L",
    IF(F3871-Table1[[#This Row],[Steps]]&lt;0,100+(F3871-Table1[[#This Row],[Steps]]),F3871-Table1[[#This Row],[Steps]]),
))</f>
        <v>0</v>
      </c>
      <c r="E3872">
        <f>_xlfn.LET(_xlpm.dir,Table1[[#This Row],[Direction]],
IF(_xlpm.dir="R",
    IF(F3871+Table1[[#This Row],[Steps]]&gt;99,(F3871+Table1[[#This Row],[Steps]])-100,F3871+Table1[[#This Row],[Steps]]),
))</f>
        <v>79</v>
      </c>
      <c r="F3872">
        <f>IF(Table1[[#This Row],[New Pos L]]&lt;&gt;0,Table1[[#This Row],[New Pos L]],Table1[[#This Row],[New Pos R]])</f>
        <v>79</v>
      </c>
    </row>
    <row r="3873" spans="1:6" ht="16" x14ac:dyDescent="0.2">
      <c r="A3873" s="1" t="s">
        <v>73</v>
      </c>
      <c r="B3873" t="str">
        <f>LEFT(Table1[[#This Row],[Input]],1)</f>
        <v>R</v>
      </c>
      <c r="C3873">
        <f>_xlfn.LET(_xlpm.steps,SUBSTITUTE(Table1[[#This Row],[Input]],Table1[[#This Row],[Direction]],""),VALUE(IF(LEN(_xlpm.steps)&gt;2,RIGHT(_xlpm.steps,2),_xlpm.steps)))</f>
        <v>21</v>
      </c>
      <c r="D3873">
        <f>_xlfn.LET(_xlpm.dir,Table1[[#This Row],[Direction]],
IF(_xlpm.dir="L",
    IF(F3872-Table1[[#This Row],[Steps]]&lt;0,100+(F3872-Table1[[#This Row],[Steps]]),F3872-Table1[[#This Row],[Steps]]),
))</f>
        <v>0</v>
      </c>
      <c r="E3873">
        <f>_xlfn.LET(_xlpm.dir,Table1[[#This Row],[Direction]],
IF(_xlpm.dir="R",
    IF(F3872+Table1[[#This Row],[Steps]]&gt;99,(F3872+Table1[[#This Row],[Steps]])-100,F3872+Table1[[#This Row],[Steps]]),
))</f>
        <v>0</v>
      </c>
      <c r="F3873">
        <f>IF(Table1[[#This Row],[New Pos L]]&lt;&gt;0,Table1[[#This Row],[New Pos L]],Table1[[#This Row],[New Pos R]])</f>
        <v>0</v>
      </c>
    </row>
    <row r="3874" spans="1:6" ht="16" x14ac:dyDescent="0.2">
      <c r="A3874" s="1" t="s">
        <v>813</v>
      </c>
      <c r="B3874" t="str">
        <f>LEFT(Table1[[#This Row],[Input]],1)</f>
        <v>R</v>
      </c>
      <c r="C3874">
        <f>_xlfn.LET(_xlpm.steps,SUBSTITUTE(Table1[[#This Row],[Input]],Table1[[#This Row],[Direction]],""),VALUE(IF(LEN(_xlpm.steps)&gt;2,RIGHT(_xlpm.steps,2),_xlpm.steps)))</f>
        <v>20</v>
      </c>
      <c r="D3874">
        <f>_xlfn.LET(_xlpm.dir,Table1[[#This Row],[Direction]],
IF(_xlpm.dir="L",
    IF(F3873-Table1[[#This Row],[Steps]]&lt;0,100+(F3873-Table1[[#This Row],[Steps]]),F3873-Table1[[#This Row],[Steps]]),
))</f>
        <v>0</v>
      </c>
      <c r="E3874">
        <f>_xlfn.LET(_xlpm.dir,Table1[[#This Row],[Direction]],
IF(_xlpm.dir="R",
    IF(F3873+Table1[[#This Row],[Steps]]&gt;99,(F3873+Table1[[#This Row],[Steps]])-100,F3873+Table1[[#This Row],[Steps]]),
))</f>
        <v>20</v>
      </c>
      <c r="F3874">
        <f>IF(Table1[[#This Row],[New Pos L]]&lt;&gt;0,Table1[[#This Row],[New Pos L]],Table1[[#This Row],[New Pos R]])</f>
        <v>20</v>
      </c>
    </row>
    <row r="3875" spans="1:6" ht="16" x14ac:dyDescent="0.2">
      <c r="A3875" s="1" t="s">
        <v>605</v>
      </c>
      <c r="B3875" t="str">
        <f>LEFT(Table1[[#This Row],[Input]],1)</f>
        <v>R</v>
      </c>
      <c r="C3875">
        <f>_xlfn.LET(_xlpm.steps,SUBSTITUTE(Table1[[#This Row],[Input]],Table1[[#This Row],[Direction]],""),VALUE(IF(LEN(_xlpm.steps)&gt;2,RIGHT(_xlpm.steps,2),_xlpm.steps)))</f>
        <v>37</v>
      </c>
      <c r="D3875">
        <f>_xlfn.LET(_xlpm.dir,Table1[[#This Row],[Direction]],
IF(_xlpm.dir="L",
    IF(F3874-Table1[[#This Row],[Steps]]&lt;0,100+(F3874-Table1[[#This Row],[Steps]]),F3874-Table1[[#This Row],[Steps]]),
))</f>
        <v>0</v>
      </c>
      <c r="E3875">
        <f>_xlfn.LET(_xlpm.dir,Table1[[#This Row],[Direction]],
IF(_xlpm.dir="R",
    IF(F3874+Table1[[#This Row],[Steps]]&gt;99,(F3874+Table1[[#This Row],[Steps]])-100,F3874+Table1[[#This Row],[Steps]]),
))</f>
        <v>57</v>
      </c>
      <c r="F3875">
        <f>IF(Table1[[#This Row],[New Pos L]]&lt;&gt;0,Table1[[#This Row],[New Pos L]],Table1[[#This Row],[New Pos R]])</f>
        <v>57</v>
      </c>
    </row>
    <row r="3876" spans="1:6" ht="16" x14ac:dyDescent="0.2">
      <c r="A3876" s="1" t="s">
        <v>20</v>
      </c>
      <c r="B3876" t="str">
        <f>LEFT(Table1[[#This Row],[Input]],1)</f>
        <v>R</v>
      </c>
      <c r="C3876">
        <f>_xlfn.LET(_xlpm.steps,SUBSTITUTE(Table1[[#This Row],[Input]],Table1[[#This Row],[Direction]],""),VALUE(IF(LEN(_xlpm.steps)&gt;2,RIGHT(_xlpm.steps,2),_xlpm.steps)))</f>
        <v>46</v>
      </c>
      <c r="D3876">
        <f>_xlfn.LET(_xlpm.dir,Table1[[#This Row],[Direction]],
IF(_xlpm.dir="L",
    IF(F3875-Table1[[#This Row],[Steps]]&lt;0,100+(F3875-Table1[[#This Row],[Steps]]),F3875-Table1[[#This Row],[Steps]]),
))</f>
        <v>0</v>
      </c>
      <c r="E3876">
        <f>_xlfn.LET(_xlpm.dir,Table1[[#This Row],[Direction]],
IF(_xlpm.dir="R",
    IF(F3875+Table1[[#This Row],[Steps]]&gt;99,(F3875+Table1[[#This Row],[Steps]])-100,F3875+Table1[[#This Row],[Steps]]),
))</f>
        <v>3</v>
      </c>
      <c r="F3876">
        <f>IF(Table1[[#This Row],[New Pos L]]&lt;&gt;0,Table1[[#This Row],[New Pos L]],Table1[[#This Row],[New Pos R]])</f>
        <v>3</v>
      </c>
    </row>
    <row r="3877" spans="1:6" ht="16" x14ac:dyDescent="0.2">
      <c r="A3877" s="1" t="s">
        <v>47</v>
      </c>
      <c r="B3877" t="str">
        <f>LEFT(Table1[[#This Row],[Input]],1)</f>
        <v>R</v>
      </c>
      <c r="C3877">
        <f>_xlfn.LET(_xlpm.steps,SUBSTITUTE(Table1[[#This Row],[Input]],Table1[[#This Row],[Direction]],""),VALUE(IF(LEN(_xlpm.steps)&gt;2,RIGHT(_xlpm.steps,2),_xlpm.steps)))</f>
        <v>97</v>
      </c>
      <c r="D3877">
        <f>_xlfn.LET(_xlpm.dir,Table1[[#This Row],[Direction]],
IF(_xlpm.dir="L",
    IF(F3876-Table1[[#This Row],[Steps]]&lt;0,100+(F3876-Table1[[#This Row],[Steps]]),F3876-Table1[[#This Row],[Steps]]),
))</f>
        <v>0</v>
      </c>
      <c r="E3877">
        <f>_xlfn.LET(_xlpm.dir,Table1[[#This Row],[Direction]],
IF(_xlpm.dir="R",
    IF(F3876+Table1[[#This Row],[Steps]]&gt;99,(F3876+Table1[[#This Row],[Steps]])-100,F3876+Table1[[#This Row],[Steps]]),
))</f>
        <v>0</v>
      </c>
      <c r="F3877">
        <f>IF(Table1[[#This Row],[New Pos L]]&lt;&gt;0,Table1[[#This Row],[New Pos L]],Table1[[#This Row],[New Pos R]])</f>
        <v>0</v>
      </c>
    </row>
    <row r="3878" spans="1:6" ht="16" x14ac:dyDescent="0.2">
      <c r="A3878" s="1" t="s">
        <v>41</v>
      </c>
      <c r="B3878" t="str">
        <f>LEFT(Table1[[#This Row],[Input]],1)</f>
        <v>L</v>
      </c>
      <c r="C3878">
        <f>_xlfn.LET(_xlpm.steps,SUBSTITUTE(Table1[[#This Row],[Input]],Table1[[#This Row],[Direction]],""),VALUE(IF(LEN(_xlpm.steps)&gt;2,RIGHT(_xlpm.steps,2),_xlpm.steps)))</f>
        <v>7</v>
      </c>
      <c r="D3878">
        <f>_xlfn.LET(_xlpm.dir,Table1[[#This Row],[Direction]],
IF(_xlpm.dir="L",
    IF(F3877-Table1[[#This Row],[Steps]]&lt;0,100+(F3877-Table1[[#This Row],[Steps]]),F3877-Table1[[#This Row],[Steps]]),
))</f>
        <v>93</v>
      </c>
      <c r="E3878">
        <f>_xlfn.LET(_xlpm.dir,Table1[[#This Row],[Direction]],
IF(_xlpm.dir="R",
    IF(F3877+Table1[[#This Row],[Steps]]&gt;99,(F3877+Table1[[#This Row],[Steps]])-100,F3877+Table1[[#This Row],[Steps]]),
))</f>
        <v>0</v>
      </c>
      <c r="F3878">
        <f>IF(Table1[[#This Row],[New Pos L]]&lt;&gt;0,Table1[[#This Row],[New Pos L]],Table1[[#This Row],[New Pos R]])</f>
        <v>93</v>
      </c>
    </row>
    <row r="3879" spans="1:6" ht="16" x14ac:dyDescent="0.2">
      <c r="A3879" s="1" t="s">
        <v>772</v>
      </c>
      <c r="B3879" t="str">
        <f>LEFT(Table1[[#This Row],[Input]],1)</f>
        <v>L</v>
      </c>
      <c r="C3879">
        <f>_xlfn.LET(_xlpm.steps,SUBSTITUTE(Table1[[#This Row],[Input]],Table1[[#This Row],[Direction]],""),VALUE(IF(LEN(_xlpm.steps)&gt;2,RIGHT(_xlpm.steps,2),_xlpm.steps)))</f>
        <v>95</v>
      </c>
      <c r="D3879">
        <f>_xlfn.LET(_xlpm.dir,Table1[[#This Row],[Direction]],
IF(_xlpm.dir="L",
    IF(F3878-Table1[[#This Row],[Steps]]&lt;0,100+(F3878-Table1[[#This Row],[Steps]]),F3878-Table1[[#This Row],[Steps]]),
))</f>
        <v>98</v>
      </c>
      <c r="E3879">
        <f>_xlfn.LET(_xlpm.dir,Table1[[#This Row],[Direction]],
IF(_xlpm.dir="R",
    IF(F3878+Table1[[#This Row],[Steps]]&gt;99,(F3878+Table1[[#This Row],[Steps]])-100,F3878+Table1[[#This Row],[Steps]]),
))</f>
        <v>0</v>
      </c>
      <c r="F3879">
        <f>IF(Table1[[#This Row],[New Pos L]]&lt;&gt;0,Table1[[#This Row],[New Pos L]],Table1[[#This Row],[New Pos R]])</f>
        <v>98</v>
      </c>
    </row>
    <row r="3880" spans="1:6" ht="16" x14ac:dyDescent="0.2">
      <c r="A3880" s="1" t="s">
        <v>814</v>
      </c>
      <c r="B3880" t="str">
        <f>LEFT(Table1[[#This Row],[Input]],1)</f>
        <v>L</v>
      </c>
      <c r="C3880">
        <f>_xlfn.LET(_xlpm.steps,SUBSTITUTE(Table1[[#This Row],[Input]],Table1[[#This Row],[Direction]],""),VALUE(IF(LEN(_xlpm.steps)&gt;2,RIGHT(_xlpm.steps,2),_xlpm.steps)))</f>
        <v>98</v>
      </c>
      <c r="D3880">
        <f>_xlfn.LET(_xlpm.dir,Table1[[#This Row],[Direction]],
IF(_xlpm.dir="L",
    IF(F3879-Table1[[#This Row],[Steps]]&lt;0,100+(F3879-Table1[[#This Row],[Steps]]),F3879-Table1[[#This Row],[Steps]]),
))</f>
        <v>0</v>
      </c>
      <c r="E3880">
        <f>_xlfn.LET(_xlpm.dir,Table1[[#This Row],[Direction]],
IF(_xlpm.dir="R",
    IF(F3879+Table1[[#This Row],[Steps]]&gt;99,(F3879+Table1[[#This Row],[Steps]])-100,F3879+Table1[[#This Row],[Steps]]),
))</f>
        <v>0</v>
      </c>
      <c r="F3880">
        <f>IF(Table1[[#This Row],[New Pos L]]&lt;&gt;0,Table1[[#This Row],[New Pos L]],Table1[[#This Row],[New Pos R]])</f>
        <v>0</v>
      </c>
    </row>
    <row r="3881" spans="1:6" ht="16" x14ac:dyDescent="0.2">
      <c r="A3881" s="1" t="s">
        <v>55</v>
      </c>
      <c r="B3881" t="str">
        <f>LEFT(Table1[[#This Row],[Input]],1)</f>
        <v>L</v>
      </c>
      <c r="C3881">
        <f>_xlfn.LET(_xlpm.steps,SUBSTITUTE(Table1[[#This Row],[Input]],Table1[[#This Row],[Direction]],""),VALUE(IF(LEN(_xlpm.steps)&gt;2,RIGHT(_xlpm.steps,2),_xlpm.steps)))</f>
        <v>82</v>
      </c>
      <c r="D3881">
        <f>_xlfn.LET(_xlpm.dir,Table1[[#This Row],[Direction]],
IF(_xlpm.dir="L",
    IF(F3880-Table1[[#This Row],[Steps]]&lt;0,100+(F3880-Table1[[#This Row],[Steps]]),F3880-Table1[[#This Row],[Steps]]),
))</f>
        <v>18</v>
      </c>
      <c r="E3881">
        <f>_xlfn.LET(_xlpm.dir,Table1[[#This Row],[Direction]],
IF(_xlpm.dir="R",
    IF(F3880+Table1[[#This Row],[Steps]]&gt;99,(F3880+Table1[[#This Row],[Steps]])-100,F3880+Table1[[#This Row],[Steps]]),
))</f>
        <v>0</v>
      </c>
      <c r="F3881">
        <f>IF(Table1[[#This Row],[New Pos L]]&lt;&gt;0,Table1[[#This Row],[New Pos L]],Table1[[#This Row],[New Pos R]])</f>
        <v>18</v>
      </c>
    </row>
    <row r="3882" spans="1:6" ht="16" x14ac:dyDescent="0.2">
      <c r="A3882" s="1" t="s">
        <v>155</v>
      </c>
      <c r="B3882" t="str">
        <f>LEFT(Table1[[#This Row],[Input]],1)</f>
        <v>L</v>
      </c>
      <c r="C3882">
        <f>_xlfn.LET(_xlpm.steps,SUBSTITUTE(Table1[[#This Row],[Input]],Table1[[#This Row],[Direction]],""),VALUE(IF(LEN(_xlpm.steps)&gt;2,RIGHT(_xlpm.steps,2),_xlpm.steps)))</f>
        <v>18</v>
      </c>
      <c r="D3882">
        <f>_xlfn.LET(_xlpm.dir,Table1[[#This Row],[Direction]],
IF(_xlpm.dir="L",
    IF(F3881-Table1[[#This Row],[Steps]]&lt;0,100+(F3881-Table1[[#This Row],[Steps]]),F3881-Table1[[#This Row],[Steps]]),
))</f>
        <v>0</v>
      </c>
      <c r="E3882">
        <f>_xlfn.LET(_xlpm.dir,Table1[[#This Row],[Direction]],
IF(_xlpm.dir="R",
    IF(F3881+Table1[[#This Row],[Steps]]&gt;99,(F3881+Table1[[#This Row],[Steps]])-100,F3881+Table1[[#This Row],[Steps]]),
))</f>
        <v>0</v>
      </c>
      <c r="F3882">
        <f>IF(Table1[[#This Row],[New Pos L]]&lt;&gt;0,Table1[[#This Row],[New Pos L]],Table1[[#This Row],[New Pos R]])</f>
        <v>0</v>
      </c>
    </row>
    <row r="3883" spans="1:6" ht="16" x14ac:dyDescent="0.2">
      <c r="A3883" s="1" t="s">
        <v>234</v>
      </c>
      <c r="B3883" t="str">
        <f>LEFT(Table1[[#This Row],[Input]],1)</f>
        <v>R</v>
      </c>
      <c r="C3883">
        <f>_xlfn.LET(_xlpm.steps,SUBSTITUTE(Table1[[#This Row],[Input]],Table1[[#This Row],[Direction]],""),VALUE(IF(LEN(_xlpm.steps)&gt;2,RIGHT(_xlpm.steps,2),_xlpm.steps)))</f>
        <v>82</v>
      </c>
      <c r="D3883">
        <f>_xlfn.LET(_xlpm.dir,Table1[[#This Row],[Direction]],
IF(_xlpm.dir="L",
    IF(F3882-Table1[[#This Row],[Steps]]&lt;0,100+(F3882-Table1[[#This Row],[Steps]]),F3882-Table1[[#This Row],[Steps]]),
))</f>
        <v>0</v>
      </c>
      <c r="E3883">
        <f>_xlfn.LET(_xlpm.dir,Table1[[#This Row],[Direction]],
IF(_xlpm.dir="R",
    IF(F3882+Table1[[#This Row],[Steps]]&gt;99,(F3882+Table1[[#This Row],[Steps]])-100,F3882+Table1[[#This Row],[Steps]]),
))</f>
        <v>82</v>
      </c>
      <c r="F3883">
        <f>IF(Table1[[#This Row],[New Pos L]]&lt;&gt;0,Table1[[#This Row],[New Pos L]],Table1[[#This Row],[New Pos R]])</f>
        <v>82</v>
      </c>
    </row>
    <row r="3884" spans="1:6" ht="16" x14ac:dyDescent="0.2">
      <c r="A3884" s="1" t="s">
        <v>119</v>
      </c>
      <c r="B3884" t="str">
        <f>LEFT(Table1[[#This Row],[Input]],1)</f>
        <v>L</v>
      </c>
      <c r="C3884">
        <f>_xlfn.LET(_xlpm.steps,SUBSTITUTE(Table1[[#This Row],[Input]],Table1[[#This Row],[Direction]],""),VALUE(IF(LEN(_xlpm.steps)&gt;2,RIGHT(_xlpm.steps,2),_xlpm.steps)))</f>
        <v>77</v>
      </c>
      <c r="D3884">
        <f>_xlfn.LET(_xlpm.dir,Table1[[#This Row],[Direction]],
IF(_xlpm.dir="L",
    IF(F3883-Table1[[#This Row],[Steps]]&lt;0,100+(F3883-Table1[[#This Row],[Steps]]),F3883-Table1[[#This Row],[Steps]]),
))</f>
        <v>5</v>
      </c>
      <c r="E3884">
        <f>_xlfn.LET(_xlpm.dir,Table1[[#This Row],[Direction]],
IF(_xlpm.dir="R",
    IF(F3883+Table1[[#This Row],[Steps]]&gt;99,(F3883+Table1[[#This Row],[Steps]])-100,F3883+Table1[[#This Row],[Steps]]),
))</f>
        <v>0</v>
      </c>
      <c r="F3884">
        <f>IF(Table1[[#This Row],[New Pos L]]&lt;&gt;0,Table1[[#This Row],[New Pos L]],Table1[[#This Row],[New Pos R]])</f>
        <v>5</v>
      </c>
    </row>
    <row r="3885" spans="1:6" ht="16" x14ac:dyDescent="0.2">
      <c r="A3885" s="1" t="s">
        <v>336</v>
      </c>
      <c r="B3885" t="str">
        <f>LEFT(Table1[[#This Row],[Input]],1)</f>
        <v>R</v>
      </c>
      <c r="C3885">
        <f>_xlfn.LET(_xlpm.steps,SUBSTITUTE(Table1[[#This Row],[Input]],Table1[[#This Row],[Direction]],""),VALUE(IF(LEN(_xlpm.steps)&gt;2,RIGHT(_xlpm.steps,2),_xlpm.steps)))</f>
        <v>95</v>
      </c>
      <c r="D3885">
        <f>_xlfn.LET(_xlpm.dir,Table1[[#This Row],[Direction]],
IF(_xlpm.dir="L",
    IF(F3884-Table1[[#This Row],[Steps]]&lt;0,100+(F3884-Table1[[#This Row],[Steps]]),F3884-Table1[[#This Row],[Steps]]),
))</f>
        <v>0</v>
      </c>
      <c r="E3885">
        <f>_xlfn.LET(_xlpm.dir,Table1[[#This Row],[Direction]],
IF(_xlpm.dir="R",
    IF(F3884+Table1[[#This Row],[Steps]]&gt;99,(F3884+Table1[[#This Row],[Steps]])-100,F3884+Table1[[#This Row],[Steps]]),
))</f>
        <v>0</v>
      </c>
      <c r="F3885">
        <f>IF(Table1[[#This Row],[New Pos L]]&lt;&gt;0,Table1[[#This Row],[New Pos L]],Table1[[#This Row],[New Pos R]])</f>
        <v>0</v>
      </c>
    </row>
    <row r="3886" spans="1:6" ht="16" x14ac:dyDescent="0.2">
      <c r="A3886" s="1" t="s">
        <v>195</v>
      </c>
      <c r="B3886" t="str">
        <f>LEFT(Table1[[#This Row],[Input]],1)</f>
        <v>R</v>
      </c>
      <c r="C3886">
        <f>_xlfn.LET(_xlpm.steps,SUBSTITUTE(Table1[[#This Row],[Input]],Table1[[#This Row],[Direction]],""),VALUE(IF(LEN(_xlpm.steps)&gt;2,RIGHT(_xlpm.steps,2),_xlpm.steps)))</f>
        <v>40</v>
      </c>
      <c r="D3886">
        <f>_xlfn.LET(_xlpm.dir,Table1[[#This Row],[Direction]],
IF(_xlpm.dir="L",
    IF(F3885-Table1[[#This Row],[Steps]]&lt;0,100+(F3885-Table1[[#This Row],[Steps]]),F3885-Table1[[#This Row],[Steps]]),
))</f>
        <v>0</v>
      </c>
      <c r="E3886">
        <f>_xlfn.LET(_xlpm.dir,Table1[[#This Row],[Direction]],
IF(_xlpm.dir="R",
    IF(F3885+Table1[[#This Row],[Steps]]&gt;99,(F3885+Table1[[#This Row],[Steps]])-100,F3885+Table1[[#This Row],[Steps]]),
))</f>
        <v>40</v>
      </c>
      <c r="F3886">
        <f>IF(Table1[[#This Row],[New Pos L]]&lt;&gt;0,Table1[[#This Row],[New Pos L]],Table1[[#This Row],[New Pos R]])</f>
        <v>40</v>
      </c>
    </row>
    <row r="3887" spans="1:6" ht="16" x14ac:dyDescent="0.2">
      <c r="A3887" s="1" t="s">
        <v>63</v>
      </c>
      <c r="B3887" t="str">
        <f>LEFT(Table1[[#This Row],[Input]],1)</f>
        <v>R</v>
      </c>
      <c r="C3887">
        <f>_xlfn.LET(_xlpm.steps,SUBSTITUTE(Table1[[#This Row],[Input]],Table1[[#This Row],[Direction]],""),VALUE(IF(LEN(_xlpm.steps)&gt;2,RIGHT(_xlpm.steps,2),_xlpm.steps)))</f>
        <v>57</v>
      </c>
      <c r="D3887">
        <f>_xlfn.LET(_xlpm.dir,Table1[[#This Row],[Direction]],
IF(_xlpm.dir="L",
    IF(F3886-Table1[[#This Row],[Steps]]&lt;0,100+(F3886-Table1[[#This Row],[Steps]]),F3886-Table1[[#This Row],[Steps]]),
))</f>
        <v>0</v>
      </c>
      <c r="E3887">
        <f>_xlfn.LET(_xlpm.dir,Table1[[#This Row],[Direction]],
IF(_xlpm.dir="R",
    IF(F3886+Table1[[#This Row],[Steps]]&gt;99,(F3886+Table1[[#This Row],[Steps]])-100,F3886+Table1[[#This Row],[Steps]]),
))</f>
        <v>97</v>
      </c>
      <c r="F3887">
        <f>IF(Table1[[#This Row],[New Pos L]]&lt;&gt;0,Table1[[#This Row],[New Pos L]],Table1[[#This Row],[New Pos R]])</f>
        <v>97</v>
      </c>
    </row>
    <row r="3888" spans="1:6" ht="16" x14ac:dyDescent="0.2">
      <c r="A3888" s="1" t="s">
        <v>46</v>
      </c>
      <c r="B3888" t="str">
        <f>LEFT(Table1[[#This Row],[Input]],1)</f>
        <v>L</v>
      </c>
      <c r="C3888">
        <f>_xlfn.LET(_xlpm.steps,SUBSTITUTE(Table1[[#This Row],[Input]],Table1[[#This Row],[Direction]],""),VALUE(IF(LEN(_xlpm.steps)&gt;2,RIGHT(_xlpm.steps,2),_xlpm.steps)))</f>
        <v>97</v>
      </c>
      <c r="D3888">
        <f>_xlfn.LET(_xlpm.dir,Table1[[#This Row],[Direction]],
IF(_xlpm.dir="L",
    IF(F3887-Table1[[#This Row],[Steps]]&lt;0,100+(F3887-Table1[[#This Row],[Steps]]),F3887-Table1[[#This Row],[Steps]]),
))</f>
        <v>0</v>
      </c>
      <c r="E3888">
        <f>_xlfn.LET(_xlpm.dir,Table1[[#This Row],[Direction]],
IF(_xlpm.dir="R",
    IF(F3887+Table1[[#This Row],[Steps]]&gt;99,(F3887+Table1[[#This Row],[Steps]])-100,F3887+Table1[[#This Row],[Steps]]),
))</f>
        <v>0</v>
      </c>
      <c r="F3888">
        <f>IF(Table1[[#This Row],[New Pos L]]&lt;&gt;0,Table1[[#This Row],[New Pos L]],Table1[[#This Row],[New Pos R]])</f>
        <v>0</v>
      </c>
    </row>
    <row r="3889" spans="1:6" ht="16" x14ac:dyDescent="0.2">
      <c r="A3889" s="1" t="s">
        <v>72</v>
      </c>
      <c r="B3889" t="str">
        <f>LEFT(Table1[[#This Row],[Input]],1)</f>
        <v>R</v>
      </c>
      <c r="C3889">
        <f>_xlfn.LET(_xlpm.steps,SUBSTITUTE(Table1[[#This Row],[Input]],Table1[[#This Row],[Direction]],""),VALUE(IF(LEN(_xlpm.steps)&gt;2,RIGHT(_xlpm.steps,2),_xlpm.steps)))</f>
        <v>43</v>
      </c>
      <c r="D3889">
        <f>_xlfn.LET(_xlpm.dir,Table1[[#This Row],[Direction]],
IF(_xlpm.dir="L",
    IF(F3888-Table1[[#This Row],[Steps]]&lt;0,100+(F3888-Table1[[#This Row],[Steps]]),F3888-Table1[[#This Row],[Steps]]),
))</f>
        <v>0</v>
      </c>
      <c r="E3889">
        <f>_xlfn.LET(_xlpm.dir,Table1[[#This Row],[Direction]],
IF(_xlpm.dir="R",
    IF(F3888+Table1[[#This Row],[Steps]]&gt;99,(F3888+Table1[[#This Row],[Steps]])-100,F3888+Table1[[#This Row],[Steps]]),
))</f>
        <v>43</v>
      </c>
      <c r="F3889">
        <f>IF(Table1[[#This Row],[New Pos L]]&lt;&gt;0,Table1[[#This Row],[New Pos L]],Table1[[#This Row],[New Pos R]])</f>
        <v>43</v>
      </c>
    </row>
    <row r="3890" spans="1:6" ht="16" x14ac:dyDescent="0.2">
      <c r="A3890" s="1" t="s">
        <v>14</v>
      </c>
      <c r="B3890" t="str">
        <f>LEFT(Table1[[#This Row],[Input]],1)</f>
        <v>L</v>
      </c>
      <c r="C3890">
        <f>_xlfn.LET(_xlpm.steps,SUBSTITUTE(Table1[[#This Row],[Input]],Table1[[#This Row],[Direction]],""),VALUE(IF(LEN(_xlpm.steps)&gt;2,RIGHT(_xlpm.steps,2),_xlpm.steps)))</f>
        <v>43</v>
      </c>
      <c r="D3890">
        <f>_xlfn.LET(_xlpm.dir,Table1[[#This Row],[Direction]],
IF(_xlpm.dir="L",
    IF(F3889-Table1[[#This Row],[Steps]]&lt;0,100+(F3889-Table1[[#This Row],[Steps]]),F3889-Table1[[#This Row],[Steps]]),
))</f>
        <v>0</v>
      </c>
      <c r="E3890">
        <f>_xlfn.LET(_xlpm.dir,Table1[[#This Row],[Direction]],
IF(_xlpm.dir="R",
    IF(F3889+Table1[[#This Row],[Steps]]&gt;99,(F3889+Table1[[#This Row],[Steps]])-100,F3889+Table1[[#This Row],[Steps]]),
))</f>
        <v>0</v>
      </c>
      <c r="F3890">
        <f>IF(Table1[[#This Row],[New Pos L]]&lt;&gt;0,Table1[[#This Row],[New Pos L]],Table1[[#This Row],[New Pos R]])</f>
        <v>0</v>
      </c>
    </row>
    <row r="3891" spans="1:6" ht="16" x14ac:dyDescent="0.2">
      <c r="A3891" s="1" t="s">
        <v>815</v>
      </c>
      <c r="B3891" t="str">
        <f>LEFT(Table1[[#This Row],[Input]],1)</f>
        <v>L</v>
      </c>
      <c r="C3891">
        <f>_xlfn.LET(_xlpm.steps,SUBSTITUTE(Table1[[#This Row],[Input]],Table1[[#This Row],[Direction]],""),VALUE(IF(LEN(_xlpm.steps)&gt;2,RIGHT(_xlpm.steps,2),_xlpm.steps)))</f>
        <v>92</v>
      </c>
      <c r="D3891">
        <f>_xlfn.LET(_xlpm.dir,Table1[[#This Row],[Direction]],
IF(_xlpm.dir="L",
    IF(F3890-Table1[[#This Row],[Steps]]&lt;0,100+(F3890-Table1[[#This Row],[Steps]]),F3890-Table1[[#This Row],[Steps]]),
))</f>
        <v>8</v>
      </c>
      <c r="E3891">
        <f>_xlfn.LET(_xlpm.dir,Table1[[#This Row],[Direction]],
IF(_xlpm.dir="R",
    IF(F3890+Table1[[#This Row],[Steps]]&gt;99,(F3890+Table1[[#This Row],[Steps]])-100,F3890+Table1[[#This Row],[Steps]]),
))</f>
        <v>0</v>
      </c>
      <c r="F3891">
        <f>IF(Table1[[#This Row],[New Pos L]]&lt;&gt;0,Table1[[#This Row],[New Pos L]],Table1[[#This Row],[New Pos R]])</f>
        <v>8</v>
      </c>
    </row>
    <row r="3892" spans="1:6" ht="16" x14ac:dyDescent="0.2">
      <c r="A3892" s="1" t="s">
        <v>128</v>
      </c>
      <c r="B3892" t="str">
        <f>LEFT(Table1[[#This Row],[Input]],1)</f>
        <v>R</v>
      </c>
      <c r="C3892">
        <f>_xlfn.LET(_xlpm.steps,SUBSTITUTE(Table1[[#This Row],[Input]],Table1[[#This Row],[Direction]],""),VALUE(IF(LEN(_xlpm.steps)&gt;2,RIGHT(_xlpm.steps,2),_xlpm.steps)))</f>
        <v>92</v>
      </c>
      <c r="D3892">
        <f>_xlfn.LET(_xlpm.dir,Table1[[#This Row],[Direction]],
IF(_xlpm.dir="L",
    IF(F3891-Table1[[#This Row],[Steps]]&lt;0,100+(F3891-Table1[[#This Row],[Steps]]),F3891-Table1[[#This Row],[Steps]]),
))</f>
        <v>0</v>
      </c>
      <c r="E3892">
        <f>_xlfn.LET(_xlpm.dir,Table1[[#This Row],[Direction]],
IF(_xlpm.dir="R",
    IF(F3891+Table1[[#This Row],[Steps]]&gt;99,(F3891+Table1[[#This Row],[Steps]])-100,F3891+Table1[[#This Row],[Steps]]),
))</f>
        <v>0</v>
      </c>
      <c r="F3892">
        <f>IF(Table1[[#This Row],[New Pos L]]&lt;&gt;0,Table1[[#This Row],[New Pos L]],Table1[[#This Row],[New Pos R]])</f>
        <v>0</v>
      </c>
    </row>
    <row r="3893" spans="1:6" ht="16" x14ac:dyDescent="0.2">
      <c r="A3893" s="1" t="s">
        <v>1</v>
      </c>
      <c r="B3893" t="str">
        <f>LEFT(Table1[[#This Row],[Input]],1)</f>
        <v>R</v>
      </c>
      <c r="C3893">
        <f>_xlfn.LET(_xlpm.steps,SUBSTITUTE(Table1[[#This Row],[Input]],Table1[[#This Row],[Direction]],""),VALUE(IF(LEN(_xlpm.steps)&gt;2,RIGHT(_xlpm.steps,2),_xlpm.steps)))</f>
        <v>26</v>
      </c>
      <c r="D3893">
        <f>_xlfn.LET(_xlpm.dir,Table1[[#This Row],[Direction]],
IF(_xlpm.dir="L",
    IF(F3892-Table1[[#This Row],[Steps]]&lt;0,100+(F3892-Table1[[#This Row],[Steps]]),F3892-Table1[[#This Row],[Steps]]),
))</f>
        <v>0</v>
      </c>
      <c r="E3893">
        <f>_xlfn.LET(_xlpm.dir,Table1[[#This Row],[Direction]],
IF(_xlpm.dir="R",
    IF(F3892+Table1[[#This Row],[Steps]]&gt;99,(F3892+Table1[[#This Row],[Steps]])-100,F3892+Table1[[#This Row],[Steps]]),
))</f>
        <v>26</v>
      </c>
      <c r="F3893">
        <f>IF(Table1[[#This Row],[New Pos L]]&lt;&gt;0,Table1[[#This Row],[New Pos L]],Table1[[#This Row],[New Pos R]])</f>
        <v>26</v>
      </c>
    </row>
    <row r="3894" spans="1:6" ht="16" x14ac:dyDescent="0.2">
      <c r="A3894" s="1" t="s">
        <v>267</v>
      </c>
      <c r="B3894" t="str">
        <f>LEFT(Table1[[#This Row],[Input]],1)</f>
        <v>L</v>
      </c>
      <c r="C3894">
        <f>_xlfn.LET(_xlpm.steps,SUBSTITUTE(Table1[[#This Row],[Input]],Table1[[#This Row],[Direction]],""),VALUE(IF(LEN(_xlpm.steps)&gt;2,RIGHT(_xlpm.steps,2),_xlpm.steps)))</f>
        <v>39</v>
      </c>
      <c r="D3894">
        <f>_xlfn.LET(_xlpm.dir,Table1[[#This Row],[Direction]],
IF(_xlpm.dir="L",
    IF(F3893-Table1[[#This Row],[Steps]]&lt;0,100+(F3893-Table1[[#This Row],[Steps]]),F3893-Table1[[#This Row],[Steps]]),
))</f>
        <v>87</v>
      </c>
      <c r="E3894">
        <f>_xlfn.LET(_xlpm.dir,Table1[[#This Row],[Direction]],
IF(_xlpm.dir="R",
    IF(F3893+Table1[[#This Row],[Steps]]&gt;99,(F3893+Table1[[#This Row],[Steps]])-100,F3893+Table1[[#This Row],[Steps]]),
))</f>
        <v>0</v>
      </c>
      <c r="F3894">
        <f>IF(Table1[[#This Row],[New Pos L]]&lt;&gt;0,Table1[[#This Row],[New Pos L]],Table1[[#This Row],[New Pos R]])</f>
        <v>87</v>
      </c>
    </row>
    <row r="3895" spans="1:6" ht="16" x14ac:dyDescent="0.2">
      <c r="A3895" s="1" t="s">
        <v>223</v>
      </c>
      <c r="B3895" t="str">
        <f>LEFT(Table1[[#This Row],[Input]],1)</f>
        <v>L</v>
      </c>
      <c r="C3895">
        <f>_xlfn.LET(_xlpm.steps,SUBSTITUTE(Table1[[#This Row],[Input]],Table1[[#This Row],[Direction]],""),VALUE(IF(LEN(_xlpm.steps)&gt;2,RIGHT(_xlpm.steps,2),_xlpm.steps)))</f>
        <v>87</v>
      </c>
      <c r="D3895">
        <f>_xlfn.LET(_xlpm.dir,Table1[[#This Row],[Direction]],
IF(_xlpm.dir="L",
    IF(F3894-Table1[[#This Row],[Steps]]&lt;0,100+(F3894-Table1[[#This Row],[Steps]]),F3894-Table1[[#This Row],[Steps]]),
))</f>
        <v>0</v>
      </c>
      <c r="E3895">
        <f>_xlfn.LET(_xlpm.dir,Table1[[#This Row],[Direction]],
IF(_xlpm.dir="R",
    IF(F3894+Table1[[#This Row],[Steps]]&gt;99,(F3894+Table1[[#This Row],[Steps]])-100,F3894+Table1[[#This Row],[Steps]]),
))</f>
        <v>0</v>
      </c>
      <c r="F3895">
        <f>IF(Table1[[#This Row],[New Pos L]]&lt;&gt;0,Table1[[#This Row],[New Pos L]],Table1[[#This Row],[New Pos R]])</f>
        <v>0</v>
      </c>
    </row>
    <row r="3896" spans="1:6" ht="16" x14ac:dyDescent="0.2">
      <c r="A3896" s="1" t="s">
        <v>51</v>
      </c>
      <c r="B3896" t="str">
        <f>LEFT(Table1[[#This Row],[Input]],1)</f>
        <v>L</v>
      </c>
      <c r="C3896">
        <f>_xlfn.LET(_xlpm.steps,SUBSTITUTE(Table1[[#This Row],[Input]],Table1[[#This Row],[Direction]],""),VALUE(IF(LEN(_xlpm.steps)&gt;2,RIGHT(_xlpm.steps,2),_xlpm.steps)))</f>
        <v>25</v>
      </c>
      <c r="D3896">
        <f>_xlfn.LET(_xlpm.dir,Table1[[#This Row],[Direction]],
IF(_xlpm.dir="L",
    IF(F3895-Table1[[#This Row],[Steps]]&lt;0,100+(F3895-Table1[[#This Row],[Steps]]),F3895-Table1[[#This Row],[Steps]]),
))</f>
        <v>75</v>
      </c>
      <c r="E3896">
        <f>_xlfn.LET(_xlpm.dir,Table1[[#This Row],[Direction]],
IF(_xlpm.dir="R",
    IF(F3895+Table1[[#This Row],[Steps]]&gt;99,(F3895+Table1[[#This Row],[Steps]])-100,F3895+Table1[[#This Row],[Steps]]),
))</f>
        <v>0</v>
      </c>
      <c r="F3896">
        <f>IF(Table1[[#This Row],[New Pos L]]&lt;&gt;0,Table1[[#This Row],[New Pos L]],Table1[[#This Row],[New Pos R]])</f>
        <v>75</v>
      </c>
    </row>
    <row r="3897" spans="1:6" ht="16" x14ac:dyDescent="0.2">
      <c r="A3897" s="1" t="s">
        <v>217</v>
      </c>
      <c r="B3897" t="str">
        <f>LEFT(Table1[[#This Row],[Input]],1)</f>
        <v>R</v>
      </c>
      <c r="C3897">
        <f>_xlfn.LET(_xlpm.steps,SUBSTITUTE(Table1[[#This Row],[Input]],Table1[[#This Row],[Direction]],""),VALUE(IF(LEN(_xlpm.steps)&gt;2,RIGHT(_xlpm.steps,2),_xlpm.steps)))</f>
        <v>91</v>
      </c>
      <c r="D3897">
        <f>_xlfn.LET(_xlpm.dir,Table1[[#This Row],[Direction]],
IF(_xlpm.dir="L",
    IF(F3896-Table1[[#This Row],[Steps]]&lt;0,100+(F3896-Table1[[#This Row],[Steps]]),F3896-Table1[[#This Row],[Steps]]),
))</f>
        <v>0</v>
      </c>
      <c r="E3897">
        <f>_xlfn.LET(_xlpm.dir,Table1[[#This Row],[Direction]],
IF(_xlpm.dir="R",
    IF(F3896+Table1[[#This Row],[Steps]]&gt;99,(F3896+Table1[[#This Row],[Steps]])-100,F3896+Table1[[#This Row],[Steps]]),
))</f>
        <v>66</v>
      </c>
      <c r="F3897">
        <f>IF(Table1[[#This Row],[New Pos L]]&lt;&gt;0,Table1[[#This Row],[New Pos L]],Table1[[#This Row],[New Pos R]])</f>
        <v>66</v>
      </c>
    </row>
    <row r="3898" spans="1:6" ht="16" x14ac:dyDescent="0.2">
      <c r="A3898" s="1" t="s">
        <v>50</v>
      </c>
      <c r="B3898" t="str">
        <f>LEFT(Table1[[#This Row],[Input]],1)</f>
        <v>R</v>
      </c>
      <c r="C3898">
        <f>_xlfn.LET(_xlpm.steps,SUBSTITUTE(Table1[[#This Row],[Input]],Table1[[#This Row],[Direction]],""),VALUE(IF(LEN(_xlpm.steps)&gt;2,RIGHT(_xlpm.steps,2),_xlpm.steps)))</f>
        <v>78</v>
      </c>
      <c r="D3898">
        <f>_xlfn.LET(_xlpm.dir,Table1[[#This Row],[Direction]],
IF(_xlpm.dir="L",
    IF(F3897-Table1[[#This Row],[Steps]]&lt;0,100+(F3897-Table1[[#This Row],[Steps]]),F3897-Table1[[#This Row],[Steps]]),
))</f>
        <v>0</v>
      </c>
      <c r="E3898">
        <f>_xlfn.LET(_xlpm.dir,Table1[[#This Row],[Direction]],
IF(_xlpm.dir="R",
    IF(F3897+Table1[[#This Row],[Steps]]&gt;99,(F3897+Table1[[#This Row],[Steps]])-100,F3897+Table1[[#This Row],[Steps]]),
))</f>
        <v>44</v>
      </c>
      <c r="F3898">
        <f>IF(Table1[[#This Row],[New Pos L]]&lt;&gt;0,Table1[[#This Row],[New Pos L]],Table1[[#This Row],[New Pos R]])</f>
        <v>44</v>
      </c>
    </row>
    <row r="3899" spans="1:6" ht="16" x14ac:dyDescent="0.2">
      <c r="A3899" s="1" t="s">
        <v>272</v>
      </c>
      <c r="B3899" t="str">
        <f>LEFT(Table1[[#This Row],[Input]],1)</f>
        <v>R</v>
      </c>
      <c r="C3899">
        <f>_xlfn.LET(_xlpm.steps,SUBSTITUTE(Table1[[#This Row],[Input]],Table1[[#This Row],[Direction]],""),VALUE(IF(LEN(_xlpm.steps)&gt;2,RIGHT(_xlpm.steps,2),_xlpm.steps)))</f>
        <v>56</v>
      </c>
      <c r="D3899">
        <f>_xlfn.LET(_xlpm.dir,Table1[[#This Row],[Direction]],
IF(_xlpm.dir="L",
    IF(F3898-Table1[[#This Row],[Steps]]&lt;0,100+(F3898-Table1[[#This Row],[Steps]]),F3898-Table1[[#This Row],[Steps]]),
))</f>
        <v>0</v>
      </c>
      <c r="E3899">
        <f>_xlfn.LET(_xlpm.dir,Table1[[#This Row],[Direction]],
IF(_xlpm.dir="R",
    IF(F3898+Table1[[#This Row],[Steps]]&gt;99,(F3898+Table1[[#This Row],[Steps]])-100,F3898+Table1[[#This Row],[Steps]]),
))</f>
        <v>0</v>
      </c>
      <c r="F3899">
        <f>IF(Table1[[#This Row],[New Pos L]]&lt;&gt;0,Table1[[#This Row],[New Pos L]],Table1[[#This Row],[New Pos R]])</f>
        <v>0</v>
      </c>
    </row>
    <row r="3900" spans="1:6" ht="16" x14ac:dyDescent="0.2">
      <c r="A3900" s="1" t="s">
        <v>39</v>
      </c>
      <c r="B3900" t="str">
        <f>LEFT(Table1[[#This Row],[Input]],1)</f>
        <v>R</v>
      </c>
      <c r="C3900">
        <f>_xlfn.LET(_xlpm.steps,SUBSTITUTE(Table1[[#This Row],[Input]],Table1[[#This Row],[Direction]],""),VALUE(IF(LEN(_xlpm.steps)&gt;2,RIGHT(_xlpm.steps,2),_xlpm.steps)))</f>
        <v>32</v>
      </c>
      <c r="D3900">
        <f>_xlfn.LET(_xlpm.dir,Table1[[#This Row],[Direction]],
IF(_xlpm.dir="L",
    IF(F3899-Table1[[#This Row],[Steps]]&lt;0,100+(F3899-Table1[[#This Row],[Steps]]),F3899-Table1[[#This Row],[Steps]]),
))</f>
        <v>0</v>
      </c>
      <c r="E3900">
        <f>_xlfn.LET(_xlpm.dir,Table1[[#This Row],[Direction]],
IF(_xlpm.dir="R",
    IF(F3899+Table1[[#This Row],[Steps]]&gt;99,(F3899+Table1[[#This Row],[Steps]])-100,F3899+Table1[[#This Row],[Steps]]),
))</f>
        <v>32</v>
      </c>
      <c r="F3900">
        <f>IF(Table1[[#This Row],[New Pos L]]&lt;&gt;0,Table1[[#This Row],[New Pos L]],Table1[[#This Row],[New Pos R]])</f>
        <v>32</v>
      </c>
    </row>
    <row r="3901" spans="1:6" ht="16" x14ac:dyDescent="0.2">
      <c r="A3901" s="1" t="s">
        <v>816</v>
      </c>
      <c r="B3901" t="str">
        <f>LEFT(Table1[[#This Row],[Input]],1)</f>
        <v>L</v>
      </c>
      <c r="C3901">
        <f>_xlfn.LET(_xlpm.steps,SUBSTITUTE(Table1[[#This Row],[Input]],Table1[[#This Row],[Direction]],""),VALUE(IF(LEN(_xlpm.steps)&gt;2,RIGHT(_xlpm.steps,2),_xlpm.steps)))</f>
        <v>70</v>
      </c>
      <c r="D3901">
        <f>_xlfn.LET(_xlpm.dir,Table1[[#This Row],[Direction]],
IF(_xlpm.dir="L",
    IF(F3900-Table1[[#This Row],[Steps]]&lt;0,100+(F3900-Table1[[#This Row],[Steps]]),F3900-Table1[[#This Row],[Steps]]),
))</f>
        <v>62</v>
      </c>
      <c r="E3901">
        <f>_xlfn.LET(_xlpm.dir,Table1[[#This Row],[Direction]],
IF(_xlpm.dir="R",
    IF(F3900+Table1[[#This Row],[Steps]]&gt;99,(F3900+Table1[[#This Row],[Steps]])-100,F3900+Table1[[#This Row],[Steps]]),
))</f>
        <v>0</v>
      </c>
      <c r="F3901">
        <f>IF(Table1[[#This Row],[New Pos L]]&lt;&gt;0,Table1[[#This Row],[New Pos L]],Table1[[#This Row],[New Pos R]])</f>
        <v>62</v>
      </c>
    </row>
    <row r="3902" spans="1:6" ht="16" x14ac:dyDescent="0.2">
      <c r="A3902" s="1" t="s">
        <v>304</v>
      </c>
      <c r="B3902" t="str">
        <f>LEFT(Table1[[#This Row],[Input]],1)</f>
        <v>L</v>
      </c>
      <c r="C3902">
        <f>_xlfn.LET(_xlpm.steps,SUBSTITUTE(Table1[[#This Row],[Input]],Table1[[#This Row],[Direction]],""),VALUE(IF(LEN(_xlpm.steps)&gt;2,RIGHT(_xlpm.steps,2),_xlpm.steps)))</f>
        <v>26</v>
      </c>
      <c r="D3902">
        <f>_xlfn.LET(_xlpm.dir,Table1[[#This Row],[Direction]],
IF(_xlpm.dir="L",
    IF(F3901-Table1[[#This Row],[Steps]]&lt;0,100+(F3901-Table1[[#This Row],[Steps]]),F3901-Table1[[#This Row],[Steps]]),
))</f>
        <v>36</v>
      </c>
      <c r="E3902">
        <f>_xlfn.LET(_xlpm.dir,Table1[[#This Row],[Direction]],
IF(_xlpm.dir="R",
    IF(F3901+Table1[[#This Row],[Steps]]&gt;99,(F3901+Table1[[#This Row],[Steps]])-100,F3901+Table1[[#This Row],[Steps]]),
))</f>
        <v>0</v>
      </c>
      <c r="F3902">
        <f>IF(Table1[[#This Row],[New Pos L]]&lt;&gt;0,Table1[[#This Row],[New Pos L]],Table1[[#This Row],[New Pos R]])</f>
        <v>36</v>
      </c>
    </row>
    <row r="3903" spans="1:6" ht="16" x14ac:dyDescent="0.2">
      <c r="A3903" s="1" t="s">
        <v>76</v>
      </c>
      <c r="B3903" t="str">
        <f>LEFT(Table1[[#This Row],[Input]],1)</f>
        <v>R</v>
      </c>
      <c r="C3903">
        <f>_xlfn.LET(_xlpm.steps,SUBSTITUTE(Table1[[#This Row],[Input]],Table1[[#This Row],[Direction]],""),VALUE(IF(LEN(_xlpm.steps)&gt;2,RIGHT(_xlpm.steps,2),_xlpm.steps)))</f>
        <v>37</v>
      </c>
      <c r="D3903">
        <f>_xlfn.LET(_xlpm.dir,Table1[[#This Row],[Direction]],
IF(_xlpm.dir="L",
    IF(F3902-Table1[[#This Row],[Steps]]&lt;0,100+(F3902-Table1[[#This Row],[Steps]]),F3902-Table1[[#This Row],[Steps]]),
))</f>
        <v>0</v>
      </c>
      <c r="E3903">
        <f>_xlfn.LET(_xlpm.dir,Table1[[#This Row],[Direction]],
IF(_xlpm.dir="R",
    IF(F3902+Table1[[#This Row],[Steps]]&gt;99,(F3902+Table1[[#This Row],[Steps]])-100,F3902+Table1[[#This Row],[Steps]]),
))</f>
        <v>73</v>
      </c>
      <c r="F3903">
        <f>IF(Table1[[#This Row],[New Pos L]]&lt;&gt;0,Table1[[#This Row],[New Pos L]],Table1[[#This Row],[New Pos R]])</f>
        <v>73</v>
      </c>
    </row>
    <row r="3904" spans="1:6" ht="16" x14ac:dyDescent="0.2">
      <c r="A3904" s="1" t="s">
        <v>191</v>
      </c>
      <c r="B3904" t="str">
        <f>LEFT(Table1[[#This Row],[Input]],1)</f>
        <v>L</v>
      </c>
      <c r="C3904">
        <f>_xlfn.LET(_xlpm.steps,SUBSTITUTE(Table1[[#This Row],[Input]],Table1[[#This Row],[Direction]],""),VALUE(IF(LEN(_xlpm.steps)&gt;2,RIGHT(_xlpm.steps,2),_xlpm.steps)))</f>
        <v>5</v>
      </c>
      <c r="D3904">
        <f>_xlfn.LET(_xlpm.dir,Table1[[#This Row],[Direction]],
IF(_xlpm.dir="L",
    IF(F3903-Table1[[#This Row],[Steps]]&lt;0,100+(F3903-Table1[[#This Row],[Steps]]),F3903-Table1[[#This Row],[Steps]]),
))</f>
        <v>68</v>
      </c>
      <c r="E3904">
        <f>_xlfn.LET(_xlpm.dir,Table1[[#This Row],[Direction]],
IF(_xlpm.dir="R",
    IF(F3903+Table1[[#This Row],[Steps]]&gt;99,(F3903+Table1[[#This Row],[Steps]])-100,F3903+Table1[[#This Row],[Steps]]),
))</f>
        <v>0</v>
      </c>
      <c r="F3904">
        <f>IF(Table1[[#This Row],[New Pos L]]&lt;&gt;0,Table1[[#This Row],[New Pos L]],Table1[[#This Row],[New Pos R]])</f>
        <v>68</v>
      </c>
    </row>
    <row r="3905" spans="1:6" ht="16" x14ac:dyDescent="0.2">
      <c r="A3905" s="1" t="s">
        <v>325</v>
      </c>
      <c r="B3905" t="str">
        <f>LEFT(Table1[[#This Row],[Input]],1)</f>
        <v>L</v>
      </c>
      <c r="C3905">
        <f>_xlfn.LET(_xlpm.steps,SUBSTITUTE(Table1[[#This Row],[Input]],Table1[[#This Row],[Direction]],""),VALUE(IF(LEN(_xlpm.steps)&gt;2,RIGHT(_xlpm.steps,2),_xlpm.steps)))</f>
        <v>68</v>
      </c>
      <c r="D3905">
        <f>_xlfn.LET(_xlpm.dir,Table1[[#This Row],[Direction]],
IF(_xlpm.dir="L",
    IF(F3904-Table1[[#This Row],[Steps]]&lt;0,100+(F3904-Table1[[#This Row],[Steps]]),F3904-Table1[[#This Row],[Steps]]),
))</f>
        <v>0</v>
      </c>
      <c r="E3905">
        <f>_xlfn.LET(_xlpm.dir,Table1[[#This Row],[Direction]],
IF(_xlpm.dir="R",
    IF(F3904+Table1[[#This Row],[Steps]]&gt;99,(F3904+Table1[[#This Row],[Steps]])-100,F3904+Table1[[#This Row],[Steps]]),
))</f>
        <v>0</v>
      </c>
      <c r="F3905">
        <f>IF(Table1[[#This Row],[New Pos L]]&lt;&gt;0,Table1[[#This Row],[New Pos L]],Table1[[#This Row],[New Pos R]])</f>
        <v>0</v>
      </c>
    </row>
    <row r="3906" spans="1:6" ht="16" x14ac:dyDescent="0.2">
      <c r="A3906" s="1" t="s">
        <v>2</v>
      </c>
      <c r="B3906" t="str">
        <f>LEFT(Table1[[#This Row],[Input]],1)</f>
        <v>L</v>
      </c>
      <c r="C3906">
        <f>_xlfn.LET(_xlpm.steps,SUBSTITUTE(Table1[[#This Row],[Input]],Table1[[#This Row],[Direction]],""),VALUE(IF(LEN(_xlpm.steps)&gt;2,RIGHT(_xlpm.steps,2),_xlpm.steps)))</f>
        <v>38</v>
      </c>
      <c r="D3906">
        <f>_xlfn.LET(_xlpm.dir,Table1[[#This Row],[Direction]],
IF(_xlpm.dir="L",
    IF(F3905-Table1[[#This Row],[Steps]]&lt;0,100+(F3905-Table1[[#This Row],[Steps]]),F3905-Table1[[#This Row],[Steps]]),
))</f>
        <v>62</v>
      </c>
      <c r="E3906">
        <f>_xlfn.LET(_xlpm.dir,Table1[[#This Row],[Direction]],
IF(_xlpm.dir="R",
    IF(F3905+Table1[[#This Row],[Steps]]&gt;99,(F3905+Table1[[#This Row],[Steps]])-100,F3905+Table1[[#This Row],[Steps]]),
))</f>
        <v>0</v>
      </c>
      <c r="F3906">
        <f>IF(Table1[[#This Row],[New Pos L]]&lt;&gt;0,Table1[[#This Row],[New Pos L]],Table1[[#This Row],[New Pos R]])</f>
        <v>62</v>
      </c>
    </row>
    <row r="3907" spans="1:6" ht="16" x14ac:dyDescent="0.2">
      <c r="A3907" s="1" t="s">
        <v>127</v>
      </c>
      <c r="B3907" t="str">
        <f>LEFT(Table1[[#This Row],[Input]],1)</f>
        <v>L</v>
      </c>
      <c r="C3907">
        <f>_xlfn.LET(_xlpm.steps,SUBSTITUTE(Table1[[#This Row],[Input]],Table1[[#This Row],[Direction]],""),VALUE(IF(LEN(_xlpm.steps)&gt;2,RIGHT(_xlpm.steps,2),_xlpm.steps)))</f>
        <v>62</v>
      </c>
      <c r="D3907">
        <f>_xlfn.LET(_xlpm.dir,Table1[[#This Row],[Direction]],
IF(_xlpm.dir="L",
    IF(F3906-Table1[[#This Row],[Steps]]&lt;0,100+(F3906-Table1[[#This Row],[Steps]]),F3906-Table1[[#This Row],[Steps]]),
))</f>
        <v>0</v>
      </c>
      <c r="E3907">
        <f>_xlfn.LET(_xlpm.dir,Table1[[#This Row],[Direction]],
IF(_xlpm.dir="R",
    IF(F3906+Table1[[#This Row],[Steps]]&gt;99,(F3906+Table1[[#This Row],[Steps]])-100,F3906+Table1[[#This Row],[Steps]]),
))</f>
        <v>0</v>
      </c>
      <c r="F3907">
        <f>IF(Table1[[#This Row],[New Pos L]]&lt;&gt;0,Table1[[#This Row],[New Pos L]],Table1[[#This Row],[New Pos R]])</f>
        <v>0</v>
      </c>
    </row>
    <row r="3908" spans="1:6" ht="16" x14ac:dyDescent="0.2">
      <c r="A3908" s="1" t="s">
        <v>88</v>
      </c>
      <c r="B3908" t="str">
        <f>LEFT(Table1[[#This Row],[Input]],1)</f>
        <v>R</v>
      </c>
      <c r="C3908">
        <f>_xlfn.LET(_xlpm.steps,SUBSTITUTE(Table1[[#This Row],[Input]],Table1[[#This Row],[Direction]],""),VALUE(IF(LEN(_xlpm.steps)&gt;2,RIGHT(_xlpm.steps,2),_xlpm.steps)))</f>
        <v>53</v>
      </c>
      <c r="D3908">
        <f>_xlfn.LET(_xlpm.dir,Table1[[#This Row],[Direction]],
IF(_xlpm.dir="L",
    IF(F3907-Table1[[#This Row],[Steps]]&lt;0,100+(F3907-Table1[[#This Row],[Steps]]),F3907-Table1[[#This Row],[Steps]]),
))</f>
        <v>0</v>
      </c>
      <c r="E3908">
        <f>_xlfn.LET(_xlpm.dir,Table1[[#This Row],[Direction]],
IF(_xlpm.dir="R",
    IF(F3907+Table1[[#This Row],[Steps]]&gt;99,(F3907+Table1[[#This Row],[Steps]])-100,F3907+Table1[[#This Row],[Steps]]),
))</f>
        <v>53</v>
      </c>
      <c r="F3908">
        <f>IF(Table1[[#This Row],[New Pos L]]&lt;&gt;0,Table1[[#This Row],[New Pos L]],Table1[[#This Row],[New Pos R]])</f>
        <v>53</v>
      </c>
    </row>
    <row r="3909" spans="1:6" ht="16" x14ac:dyDescent="0.2">
      <c r="A3909" s="1" t="s">
        <v>19</v>
      </c>
      <c r="B3909" t="str">
        <f>LEFT(Table1[[#This Row],[Input]],1)</f>
        <v>R</v>
      </c>
      <c r="C3909">
        <f>_xlfn.LET(_xlpm.steps,SUBSTITUTE(Table1[[#This Row],[Input]],Table1[[#This Row],[Direction]],""),VALUE(IF(LEN(_xlpm.steps)&gt;2,RIGHT(_xlpm.steps,2),_xlpm.steps)))</f>
        <v>47</v>
      </c>
      <c r="D3909">
        <f>_xlfn.LET(_xlpm.dir,Table1[[#This Row],[Direction]],
IF(_xlpm.dir="L",
    IF(F3908-Table1[[#This Row],[Steps]]&lt;0,100+(F3908-Table1[[#This Row],[Steps]]),F3908-Table1[[#This Row],[Steps]]),
))</f>
        <v>0</v>
      </c>
      <c r="E3909">
        <f>_xlfn.LET(_xlpm.dir,Table1[[#This Row],[Direction]],
IF(_xlpm.dir="R",
    IF(F3908+Table1[[#This Row],[Steps]]&gt;99,(F3908+Table1[[#This Row],[Steps]])-100,F3908+Table1[[#This Row],[Steps]]),
))</f>
        <v>0</v>
      </c>
      <c r="F3909">
        <f>IF(Table1[[#This Row],[New Pos L]]&lt;&gt;0,Table1[[#This Row],[New Pos L]],Table1[[#This Row],[New Pos R]])</f>
        <v>0</v>
      </c>
    </row>
    <row r="3910" spans="1:6" ht="16" x14ac:dyDescent="0.2">
      <c r="A3910" s="1" t="s">
        <v>84</v>
      </c>
      <c r="B3910" t="str">
        <f>LEFT(Table1[[#This Row],[Input]],1)</f>
        <v>R</v>
      </c>
      <c r="C3910">
        <f>_xlfn.LET(_xlpm.steps,SUBSTITUTE(Table1[[#This Row],[Input]],Table1[[#This Row],[Direction]],""),VALUE(IF(LEN(_xlpm.steps)&gt;2,RIGHT(_xlpm.steps,2),_xlpm.steps)))</f>
        <v>88</v>
      </c>
      <c r="D3910">
        <f>_xlfn.LET(_xlpm.dir,Table1[[#This Row],[Direction]],
IF(_xlpm.dir="L",
    IF(F3909-Table1[[#This Row],[Steps]]&lt;0,100+(F3909-Table1[[#This Row],[Steps]]),F3909-Table1[[#This Row],[Steps]]),
))</f>
        <v>0</v>
      </c>
      <c r="E3910">
        <f>_xlfn.LET(_xlpm.dir,Table1[[#This Row],[Direction]],
IF(_xlpm.dir="R",
    IF(F3909+Table1[[#This Row],[Steps]]&gt;99,(F3909+Table1[[#This Row],[Steps]])-100,F3909+Table1[[#This Row],[Steps]]),
))</f>
        <v>88</v>
      </c>
      <c r="F3910">
        <f>IF(Table1[[#This Row],[New Pos L]]&lt;&gt;0,Table1[[#This Row],[New Pos L]],Table1[[#This Row],[New Pos R]])</f>
        <v>88</v>
      </c>
    </row>
    <row r="3911" spans="1:6" ht="16" x14ac:dyDescent="0.2">
      <c r="A3911" s="1" t="s">
        <v>817</v>
      </c>
      <c r="B3911" t="str">
        <f>LEFT(Table1[[#This Row],[Input]],1)</f>
        <v>L</v>
      </c>
      <c r="C3911">
        <f>_xlfn.LET(_xlpm.steps,SUBSTITUTE(Table1[[#This Row],[Input]],Table1[[#This Row],[Direction]],""),VALUE(IF(LEN(_xlpm.steps)&gt;2,RIGHT(_xlpm.steps,2),_xlpm.steps)))</f>
        <v>65</v>
      </c>
      <c r="D3911">
        <f>_xlfn.LET(_xlpm.dir,Table1[[#This Row],[Direction]],
IF(_xlpm.dir="L",
    IF(F3910-Table1[[#This Row],[Steps]]&lt;0,100+(F3910-Table1[[#This Row],[Steps]]),F3910-Table1[[#This Row],[Steps]]),
))</f>
        <v>23</v>
      </c>
      <c r="E3911">
        <f>_xlfn.LET(_xlpm.dir,Table1[[#This Row],[Direction]],
IF(_xlpm.dir="R",
    IF(F3910+Table1[[#This Row],[Steps]]&gt;99,(F3910+Table1[[#This Row],[Steps]])-100,F3910+Table1[[#This Row],[Steps]]),
))</f>
        <v>0</v>
      </c>
      <c r="F3911">
        <f>IF(Table1[[#This Row],[New Pos L]]&lt;&gt;0,Table1[[#This Row],[New Pos L]],Table1[[#This Row],[New Pos R]])</f>
        <v>23</v>
      </c>
    </row>
    <row r="3912" spans="1:6" ht="16" x14ac:dyDescent="0.2">
      <c r="A3912" s="1" t="s">
        <v>120</v>
      </c>
      <c r="B3912" t="str">
        <f>LEFT(Table1[[#This Row],[Input]],1)</f>
        <v>L</v>
      </c>
      <c r="C3912">
        <f>_xlfn.LET(_xlpm.steps,SUBSTITUTE(Table1[[#This Row],[Input]],Table1[[#This Row],[Direction]],""),VALUE(IF(LEN(_xlpm.steps)&gt;2,RIGHT(_xlpm.steps,2),_xlpm.steps)))</f>
        <v>23</v>
      </c>
      <c r="D3912">
        <f>_xlfn.LET(_xlpm.dir,Table1[[#This Row],[Direction]],
IF(_xlpm.dir="L",
    IF(F3911-Table1[[#This Row],[Steps]]&lt;0,100+(F3911-Table1[[#This Row],[Steps]]),F3911-Table1[[#This Row],[Steps]]),
))</f>
        <v>0</v>
      </c>
      <c r="E3912">
        <f>_xlfn.LET(_xlpm.dir,Table1[[#This Row],[Direction]],
IF(_xlpm.dir="R",
    IF(F3911+Table1[[#This Row],[Steps]]&gt;99,(F3911+Table1[[#This Row],[Steps]])-100,F3911+Table1[[#This Row],[Steps]]),
))</f>
        <v>0</v>
      </c>
      <c r="F3912">
        <f>IF(Table1[[#This Row],[New Pos L]]&lt;&gt;0,Table1[[#This Row],[New Pos L]],Table1[[#This Row],[New Pos R]])</f>
        <v>0</v>
      </c>
    </row>
    <row r="3913" spans="1:6" ht="16" x14ac:dyDescent="0.2">
      <c r="A3913" s="1" t="s">
        <v>136</v>
      </c>
      <c r="B3913" t="str">
        <f>LEFT(Table1[[#This Row],[Input]],1)</f>
        <v>L</v>
      </c>
      <c r="C3913">
        <f>_xlfn.LET(_xlpm.steps,SUBSTITUTE(Table1[[#This Row],[Input]],Table1[[#This Row],[Direction]],""),VALUE(IF(LEN(_xlpm.steps)&gt;2,RIGHT(_xlpm.steps,2),_xlpm.steps)))</f>
        <v>72</v>
      </c>
      <c r="D3913">
        <f>_xlfn.LET(_xlpm.dir,Table1[[#This Row],[Direction]],
IF(_xlpm.dir="L",
    IF(F3912-Table1[[#This Row],[Steps]]&lt;0,100+(F3912-Table1[[#This Row],[Steps]]),F3912-Table1[[#This Row],[Steps]]),
))</f>
        <v>28</v>
      </c>
      <c r="E3913">
        <f>_xlfn.LET(_xlpm.dir,Table1[[#This Row],[Direction]],
IF(_xlpm.dir="R",
    IF(F3912+Table1[[#This Row],[Steps]]&gt;99,(F3912+Table1[[#This Row],[Steps]])-100,F3912+Table1[[#This Row],[Steps]]),
))</f>
        <v>0</v>
      </c>
      <c r="F3913">
        <f>IF(Table1[[#This Row],[New Pos L]]&lt;&gt;0,Table1[[#This Row],[New Pos L]],Table1[[#This Row],[New Pos R]])</f>
        <v>28</v>
      </c>
    </row>
    <row r="3914" spans="1:6" ht="16" x14ac:dyDescent="0.2">
      <c r="A3914" s="1" t="s">
        <v>19</v>
      </c>
      <c r="B3914" t="str">
        <f>LEFT(Table1[[#This Row],[Input]],1)</f>
        <v>R</v>
      </c>
      <c r="C3914">
        <f>_xlfn.LET(_xlpm.steps,SUBSTITUTE(Table1[[#This Row],[Input]],Table1[[#This Row],[Direction]],""),VALUE(IF(LEN(_xlpm.steps)&gt;2,RIGHT(_xlpm.steps,2),_xlpm.steps)))</f>
        <v>47</v>
      </c>
      <c r="D3914">
        <f>_xlfn.LET(_xlpm.dir,Table1[[#This Row],[Direction]],
IF(_xlpm.dir="L",
    IF(F3913-Table1[[#This Row],[Steps]]&lt;0,100+(F3913-Table1[[#This Row],[Steps]]),F3913-Table1[[#This Row],[Steps]]),
))</f>
        <v>0</v>
      </c>
      <c r="E3914">
        <f>_xlfn.LET(_xlpm.dir,Table1[[#This Row],[Direction]],
IF(_xlpm.dir="R",
    IF(F3913+Table1[[#This Row],[Steps]]&gt;99,(F3913+Table1[[#This Row],[Steps]])-100,F3913+Table1[[#This Row],[Steps]]),
))</f>
        <v>75</v>
      </c>
      <c r="F3914">
        <f>IF(Table1[[#This Row],[New Pos L]]&lt;&gt;0,Table1[[#This Row],[New Pos L]],Table1[[#This Row],[New Pos R]])</f>
        <v>75</v>
      </c>
    </row>
    <row r="3915" spans="1:6" ht="16" x14ac:dyDescent="0.2">
      <c r="A3915" s="1" t="s">
        <v>54</v>
      </c>
      <c r="B3915" t="str">
        <f>LEFT(Table1[[#This Row],[Input]],1)</f>
        <v>L</v>
      </c>
      <c r="C3915">
        <f>_xlfn.LET(_xlpm.steps,SUBSTITUTE(Table1[[#This Row],[Input]],Table1[[#This Row],[Direction]],""),VALUE(IF(LEN(_xlpm.steps)&gt;2,RIGHT(_xlpm.steps,2),_xlpm.steps)))</f>
        <v>75</v>
      </c>
      <c r="D3915">
        <f>_xlfn.LET(_xlpm.dir,Table1[[#This Row],[Direction]],
IF(_xlpm.dir="L",
    IF(F3914-Table1[[#This Row],[Steps]]&lt;0,100+(F3914-Table1[[#This Row],[Steps]]),F3914-Table1[[#This Row],[Steps]]),
))</f>
        <v>0</v>
      </c>
      <c r="E3915">
        <f>_xlfn.LET(_xlpm.dir,Table1[[#This Row],[Direction]],
IF(_xlpm.dir="R",
    IF(F3914+Table1[[#This Row],[Steps]]&gt;99,(F3914+Table1[[#This Row],[Steps]])-100,F3914+Table1[[#This Row],[Steps]]),
))</f>
        <v>0</v>
      </c>
      <c r="F3915">
        <f>IF(Table1[[#This Row],[New Pos L]]&lt;&gt;0,Table1[[#This Row],[New Pos L]],Table1[[#This Row],[New Pos R]])</f>
        <v>0</v>
      </c>
    </row>
    <row r="3916" spans="1:6" ht="16" x14ac:dyDescent="0.2">
      <c r="A3916" s="1" t="s">
        <v>818</v>
      </c>
      <c r="B3916" t="str">
        <f>LEFT(Table1[[#This Row],[Input]],1)</f>
        <v>L</v>
      </c>
      <c r="C3916">
        <f>_xlfn.LET(_xlpm.steps,SUBSTITUTE(Table1[[#This Row],[Input]],Table1[[#This Row],[Direction]],""),VALUE(IF(LEN(_xlpm.steps)&gt;2,RIGHT(_xlpm.steps,2),_xlpm.steps)))</f>
        <v>95</v>
      </c>
      <c r="D3916">
        <f>_xlfn.LET(_xlpm.dir,Table1[[#This Row],[Direction]],
IF(_xlpm.dir="L",
    IF(F3915-Table1[[#This Row],[Steps]]&lt;0,100+(F3915-Table1[[#This Row],[Steps]]),F3915-Table1[[#This Row],[Steps]]),
))</f>
        <v>5</v>
      </c>
      <c r="E3916">
        <f>_xlfn.LET(_xlpm.dir,Table1[[#This Row],[Direction]],
IF(_xlpm.dir="R",
    IF(F3915+Table1[[#This Row],[Steps]]&gt;99,(F3915+Table1[[#This Row],[Steps]])-100,F3915+Table1[[#This Row],[Steps]]),
))</f>
        <v>0</v>
      </c>
      <c r="F3916">
        <f>IF(Table1[[#This Row],[New Pos L]]&lt;&gt;0,Table1[[#This Row],[New Pos L]],Table1[[#This Row],[New Pos R]])</f>
        <v>5</v>
      </c>
    </row>
    <row r="3917" spans="1:6" ht="16" x14ac:dyDescent="0.2">
      <c r="A3917" s="1" t="s">
        <v>167</v>
      </c>
      <c r="B3917" t="str">
        <f>LEFT(Table1[[#This Row],[Input]],1)</f>
        <v>L</v>
      </c>
      <c r="C3917">
        <f>_xlfn.LET(_xlpm.steps,SUBSTITUTE(Table1[[#This Row],[Input]],Table1[[#This Row],[Direction]],""),VALUE(IF(LEN(_xlpm.steps)&gt;2,RIGHT(_xlpm.steps,2),_xlpm.steps)))</f>
        <v>59</v>
      </c>
      <c r="D3917">
        <f>_xlfn.LET(_xlpm.dir,Table1[[#This Row],[Direction]],
IF(_xlpm.dir="L",
    IF(F3916-Table1[[#This Row],[Steps]]&lt;0,100+(F3916-Table1[[#This Row],[Steps]]),F3916-Table1[[#This Row],[Steps]]),
))</f>
        <v>46</v>
      </c>
      <c r="E3917">
        <f>_xlfn.LET(_xlpm.dir,Table1[[#This Row],[Direction]],
IF(_xlpm.dir="R",
    IF(F3916+Table1[[#This Row],[Steps]]&gt;99,(F3916+Table1[[#This Row],[Steps]])-100,F3916+Table1[[#This Row],[Steps]]),
))</f>
        <v>0</v>
      </c>
      <c r="F3917">
        <f>IF(Table1[[#This Row],[New Pos L]]&lt;&gt;0,Table1[[#This Row],[New Pos L]],Table1[[#This Row],[New Pos R]])</f>
        <v>46</v>
      </c>
    </row>
    <row r="3918" spans="1:6" ht="16" x14ac:dyDescent="0.2">
      <c r="A3918" s="1" t="s">
        <v>819</v>
      </c>
      <c r="B3918" t="str">
        <f>LEFT(Table1[[#This Row],[Input]],1)</f>
        <v>R</v>
      </c>
      <c r="C3918">
        <f>_xlfn.LET(_xlpm.steps,SUBSTITUTE(Table1[[#This Row],[Input]],Table1[[#This Row],[Direction]],""),VALUE(IF(LEN(_xlpm.steps)&gt;2,RIGHT(_xlpm.steps,2),_xlpm.steps)))</f>
        <v>75</v>
      </c>
      <c r="D3918">
        <f>_xlfn.LET(_xlpm.dir,Table1[[#This Row],[Direction]],
IF(_xlpm.dir="L",
    IF(F3917-Table1[[#This Row],[Steps]]&lt;0,100+(F3917-Table1[[#This Row],[Steps]]),F3917-Table1[[#This Row],[Steps]]),
))</f>
        <v>0</v>
      </c>
      <c r="E3918">
        <f>_xlfn.LET(_xlpm.dir,Table1[[#This Row],[Direction]],
IF(_xlpm.dir="R",
    IF(F3917+Table1[[#This Row],[Steps]]&gt;99,(F3917+Table1[[#This Row],[Steps]])-100,F3917+Table1[[#This Row],[Steps]]),
))</f>
        <v>21</v>
      </c>
      <c r="F3918">
        <f>IF(Table1[[#This Row],[New Pos L]]&lt;&gt;0,Table1[[#This Row],[New Pos L]],Table1[[#This Row],[New Pos R]])</f>
        <v>21</v>
      </c>
    </row>
    <row r="3919" spans="1:6" ht="16" x14ac:dyDescent="0.2">
      <c r="A3919" s="1" t="s">
        <v>264</v>
      </c>
      <c r="B3919" t="str">
        <f>LEFT(Table1[[#This Row],[Input]],1)</f>
        <v>L</v>
      </c>
      <c r="C3919">
        <f>_xlfn.LET(_xlpm.steps,SUBSTITUTE(Table1[[#This Row],[Input]],Table1[[#This Row],[Direction]],""),VALUE(IF(LEN(_xlpm.steps)&gt;2,RIGHT(_xlpm.steps,2),_xlpm.steps)))</f>
        <v>21</v>
      </c>
      <c r="D3919">
        <f>_xlfn.LET(_xlpm.dir,Table1[[#This Row],[Direction]],
IF(_xlpm.dir="L",
    IF(F3918-Table1[[#This Row],[Steps]]&lt;0,100+(F3918-Table1[[#This Row],[Steps]]),F3918-Table1[[#This Row],[Steps]]),
))</f>
        <v>0</v>
      </c>
      <c r="E3919">
        <f>_xlfn.LET(_xlpm.dir,Table1[[#This Row],[Direction]],
IF(_xlpm.dir="R",
    IF(F3918+Table1[[#This Row],[Steps]]&gt;99,(F3918+Table1[[#This Row],[Steps]])-100,F3918+Table1[[#This Row],[Steps]]),
))</f>
        <v>0</v>
      </c>
      <c r="F3919">
        <f>IF(Table1[[#This Row],[New Pos L]]&lt;&gt;0,Table1[[#This Row],[New Pos L]],Table1[[#This Row],[New Pos R]])</f>
        <v>0</v>
      </c>
    </row>
    <row r="3920" spans="1:6" ht="16" x14ac:dyDescent="0.2">
      <c r="A3920" s="1" t="s">
        <v>207</v>
      </c>
      <c r="B3920" t="str">
        <f>LEFT(Table1[[#This Row],[Input]],1)</f>
        <v>L</v>
      </c>
      <c r="C3920">
        <f>_xlfn.LET(_xlpm.steps,SUBSTITUTE(Table1[[#This Row],[Input]],Table1[[#This Row],[Direction]],""),VALUE(IF(LEN(_xlpm.steps)&gt;2,RIGHT(_xlpm.steps,2),_xlpm.steps)))</f>
        <v>89</v>
      </c>
      <c r="D3920">
        <f>_xlfn.LET(_xlpm.dir,Table1[[#This Row],[Direction]],
IF(_xlpm.dir="L",
    IF(F3919-Table1[[#This Row],[Steps]]&lt;0,100+(F3919-Table1[[#This Row],[Steps]]),F3919-Table1[[#This Row],[Steps]]),
))</f>
        <v>11</v>
      </c>
      <c r="E3920">
        <f>_xlfn.LET(_xlpm.dir,Table1[[#This Row],[Direction]],
IF(_xlpm.dir="R",
    IF(F3919+Table1[[#This Row],[Steps]]&gt;99,(F3919+Table1[[#This Row],[Steps]])-100,F3919+Table1[[#This Row],[Steps]]),
))</f>
        <v>0</v>
      </c>
      <c r="F3920">
        <f>IF(Table1[[#This Row],[New Pos L]]&lt;&gt;0,Table1[[#This Row],[New Pos L]],Table1[[#This Row],[New Pos R]])</f>
        <v>11</v>
      </c>
    </row>
    <row r="3921" spans="1:6" ht="16" x14ac:dyDescent="0.2">
      <c r="A3921" s="1" t="s">
        <v>12</v>
      </c>
      <c r="B3921" t="str">
        <f>LEFT(Table1[[#This Row],[Input]],1)</f>
        <v>L</v>
      </c>
      <c r="C3921">
        <f>_xlfn.LET(_xlpm.steps,SUBSTITUTE(Table1[[#This Row],[Input]],Table1[[#This Row],[Direction]],""),VALUE(IF(LEN(_xlpm.steps)&gt;2,RIGHT(_xlpm.steps,2),_xlpm.steps)))</f>
        <v>11</v>
      </c>
      <c r="D3921">
        <f>_xlfn.LET(_xlpm.dir,Table1[[#This Row],[Direction]],
IF(_xlpm.dir="L",
    IF(F3920-Table1[[#This Row],[Steps]]&lt;0,100+(F3920-Table1[[#This Row],[Steps]]),F3920-Table1[[#This Row],[Steps]]),
))</f>
        <v>0</v>
      </c>
      <c r="E3921">
        <f>_xlfn.LET(_xlpm.dir,Table1[[#This Row],[Direction]],
IF(_xlpm.dir="R",
    IF(F3920+Table1[[#This Row],[Steps]]&gt;99,(F3920+Table1[[#This Row],[Steps]])-100,F3920+Table1[[#This Row],[Steps]]),
))</f>
        <v>0</v>
      </c>
      <c r="F3921">
        <f>IF(Table1[[#This Row],[New Pos L]]&lt;&gt;0,Table1[[#This Row],[New Pos L]],Table1[[#This Row],[New Pos R]])</f>
        <v>0</v>
      </c>
    </row>
    <row r="3922" spans="1:6" ht="16" x14ac:dyDescent="0.2">
      <c r="A3922" s="1" t="s">
        <v>41</v>
      </c>
      <c r="B3922" t="str">
        <f>LEFT(Table1[[#This Row],[Input]],1)</f>
        <v>L</v>
      </c>
      <c r="C3922">
        <f>_xlfn.LET(_xlpm.steps,SUBSTITUTE(Table1[[#This Row],[Input]],Table1[[#This Row],[Direction]],""),VALUE(IF(LEN(_xlpm.steps)&gt;2,RIGHT(_xlpm.steps,2),_xlpm.steps)))</f>
        <v>7</v>
      </c>
      <c r="D3922">
        <f>_xlfn.LET(_xlpm.dir,Table1[[#This Row],[Direction]],
IF(_xlpm.dir="L",
    IF(F3921-Table1[[#This Row],[Steps]]&lt;0,100+(F3921-Table1[[#This Row],[Steps]]),F3921-Table1[[#This Row],[Steps]]),
))</f>
        <v>93</v>
      </c>
      <c r="E3922">
        <f>_xlfn.LET(_xlpm.dir,Table1[[#This Row],[Direction]],
IF(_xlpm.dir="R",
    IF(F3921+Table1[[#This Row],[Steps]]&gt;99,(F3921+Table1[[#This Row],[Steps]])-100,F3921+Table1[[#This Row],[Steps]]),
))</f>
        <v>0</v>
      </c>
      <c r="F3922">
        <f>IF(Table1[[#This Row],[New Pos L]]&lt;&gt;0,Table1[[#This Row],[New Pos L]],Table1[[#This Row],[New Pos R]])</f>
        <v>93</v>
      </c>
    </row>
    <row r="3923" spans="1:6" ht="16" x14ac:dyDescent="0.2">
      <c r="A3923" s="1" t="s">
        <v>567</v>
      </c>
      <c r="B3923" t="str">
        <f>LEFT(Table1[[#This Row],[Input]],1)</f>
        <v>L</v>
      </c>
      <c r="C3923">
        <f>_xlfn.LET(_xlpm.steps,SUBSTITUTE(Table1[[#This Row],[Input]],Table1[[#This Row],[Direction]],""),VALUE(IF(LEN(_xlpm.steps)&gt;2,RIGHT(_xlpm.steps,2),_xlpm.steps)))</f>
        <v>93</v>
      </c>
      <c r="D3923">
        <f>_xlfn.LET(_xlpm.dir,Table1[[#This Row],[Direction]],
IF(_xlpm.dir="L",
    IF(F3922-Table1[[#This Row],[Steps]]&lt;0,100+(F3922-Table1[[#This Row],[Steps]]),F3922-Table1[[#This Row],[Steps]]),
))</f>
        <v>0</v>
      </c>
      <c r="E3923">
        <f>_xlfn.LET(_xlpm.dir,Table1[[#This Row],[Direction]],
IF(_xlpm.dir="R",
    IF(F3922+Table1[[#This Row],[Steps]]&gt;99,(F3922+Table1[[#This Row],[Steps]])-100,F3922+Table1[[#This Row],[Steps]]),
))</f>
        <v>0</v>
      </c>
      <c r="F3923">
        <f>IF(Table1[[#This Row],[New Pos L]]&lt;&gt;0,Table1[[#This Row],[New Pos L]],Table1[[#This Row],[New Pos R]])</f>
        <v>0</v>
      </c>
    </row>
    <row r="3924" spans="1:6" ht="16" x14ac:dyDescent="0.2">
      <c r="A3924" s="1" t="s">
        <v>127</v>
      </c>
      <c r="B3924" t="str">
        <f>LEFT(Table1[[#This Row],[Input]],1)</f>
        <v>L</v>
      </c>
      <c r="C3924">
        <f>_xlfn.LET(_xlpm.steps,SUBSTITUTE(Table1[[#This Row],[Input]],Table1[[#This Row],[Direction]],""),VALUE(IF(LEN(_xlpm.steps)&gt;2,RIGHT(_xlpm.steps,2),_xlpm.steps)))</f>
        <v>62</v>
      </c>
      <c r="D3924">
        <f>_xlfn.LET(_xlpm.dir,Table1[[#This Row],[Direction]],
IF(_xlpm.dir="L",
    IF(F3923-Table1[[#This Row],[Steps]]&lt;0,100+(F3923-Table1[[#This Row],[Steps]]),F3923-Table1[[#This Row],[Steps]]),
))</f>
        <v>38</v>
      </c>
      <c r="E3924">
        <f>_xlfn.LET(_xlpm.dir,Table1[[#This Row],[Direction]],
IF(_xlpm.dir="R",
    IF(F3923+Table1[[#This Row],[Steps]]&gt;99,(F3923+Table1[[#This Row],[Steps]])-100,F3923+Table1[[#This Row],[Steps]]),
))</f>
        <v>0</v>
      </c>
      <c r="F3924">
        <f>IF(Table1[[#This Row],[New Pos L]]&lt;&gt;0,Table1[[#This Row],[New Pos L]],Table1[[#This Row],[New Pos R]])</f>
        <v>38</v>
      </c>
    </row>
    <row r="3925" spans="1:6" ht="16" x14ac:dyDescent="0.2">
      <c r="A3925" s="1" t="s">
        <v>2</v>
      </c>
      <c r="B3925" t="str">
        <f>LEFT(Table1[[#This Row],[Input]],1)</f>
        <v>L</v>
      </c>
      <c r="C3925">
        <f>_xlfn.LET(_xlpm.steps,SUBSTITUTE(Table1[[#This Row],[Input]],Table1[[#This Row],[Direction]],""),VALUE(IF(LEN(_xlpm.steps)&gt;2,RIGHT(_xlpm.steps,2),_xlpm.steps)))</f>
        <v>38</v>
      </c>
      <c r="D3925">
        <f>_xlfn.LET(_xlpm.dir,Table1[[#This Row],[Direction]],
IF(_xlpm.dir="L",
    IF(F3924-Table1[[#This Row],[Steps]]&lt;0,100+(F3924-Table1[[#This Row],[Steps]]),F3924-Table1[[#This Row],[Steps]]),
))</f>
        <v>0</v>
      </c>
      <c r="E3925">
        <f>_xlfn.LET(_xlpm.dir,Table1[[#This Row],[Direction]],
IF(_xlpm.dir="R",
    IF(F3924+Table1[[#This Row],[Steps]]&gt;99,(F3924+Table1[[#This Row],[Steps]])-100,F3924+Table1[[#This Row],[Steps]]),
))</f>
        <v>0</v>
      </c>
      <c r="F3925">
        <f>IF(Table1[[#This Row],[New Pos L]]&lt;&gt;0,Table1[[#This Row],[New Pos L]],Table1[[#This Row],[New Pos R]])</f>
        <v>0</v>
      </c>
    </row>
    <row r="3926" spans="1:6" ht="16" x14ac:dyDescent="0.2">
      <c r="A3926" s="1" t="s">
        <v>9</v>
      </c>
      <c r="B3926" t="str">
        <f>LEFT(Table1[[#This Row],[Input]],1)</f>
        <v>L</v>
      </c>
      <c r="C3926">
        <f>_xlfn.LET(_xlpm.steps,SUBSTITUTE(Table1[[#This Row],[Input]],Table1[[#This Row],[Direction]],""),VALUE(IF(LEN(_xlpm.steps)&gt;2,RIGHT(_xlpm.steps,2),_xlpm.steps)))</f>
        <v>9</v>
      </c>
      <c r="D3926">
        <f>_xlfn.LET(_xlpm.dir,Table1[[#This Row],[Direction]],
IF(_xlpm.dir="L",
    IF(F3925-Table1[[#This Row],[Steps]]&lt;0,100+(F3925-Table1[[#This Row],[Steps]]),F3925-Table1[[#This Row],[Steps]]),
))</f>
        <v>91</v>
      </c>
      <c r="E3926">
        <f>_xlfn.LET(_xlpm.dir,Table1[[#This Row],[Direction]],
IF(_xlpm.dir="R",
    IF(F3925+Table1[[#This Row],[Steps]]&gt;99,(F3925+Table1[[#This Row],[Steps]])-100,F3925+Table1[[#This Row],[Steps]]),
))</f>
        <v>0</v>
      </c>
      <c r="F3926">
        <f>IF(Table1[[#This Row],[New Pos L]]&lt;&gt;0,Table1[[#This Row],[New Pos L]],Table1[[#This Row],[New Pos R]])</f>
        <v>91</v>
      </c>
    </row>
    <row r="3927" spans="1:6" ht="16" x14ac:dyDescent="0.2">
      <c r="A3927" s="1" t="s">
        <v>188</v>
      </c>
      <c r="B3927" t="str">
        <f>LEFT(Table1[[#This Row],[Input]],1)</f>
        <v>R</v>
      </c>
      <c r="C3927">
        <f>_xlfn.LET(_xlpm.steps,SUBSTITUTE(Table1[[#This Row],[Input]],Table1[[#This Row],[Direction]],""),VALUE(IF(LEN(_xlpm.steps)&gt;2,RIGHT(_xlpm.steps,2),_xlpm.steps)))</f>
        <v>5</v>
      </c>
      <c r="D3927">
        <f>_xlfn.LET(_xlpm.dir,Table1[[#This Row],[Direction]],
IF(_xlpm.dir="L",
    IF(F3926-Table1[[#This Row],[Steps]]&lt;0,100+(F3926-Table1[[#This Row],[Steps]]),F3926-Table1[[#This Row],[Steps]]),
))</f>
        <v>0</v>
      </c>
      <c r="E3927">
        <f>_xlfn.LET(_xlpm.dir,Table1[[#This Row],[Direction]],
IF(_xlpm.dir="R",
    IF(F3926+Table1[[#This Row],[Steps]]&gt;99,(F3926+Table1[[#This Row],[Steps]])-100,F3926+Table1[[#This Row],[Steps]]),
))</f>
        <v>96</v>
      </c>
      <c r="F3927">
        <f>IF(Table1[[#This Row],[New Pos L]]&lt;&gt;0,Table1[[#This Row],[New Pos L]],Table1[[#This Row],[New Pos R]])</f>
        <v>96</v>
      </c>
    </row>
    <row r="3928" spans="1:6" ht="16" x14ac:dyDescent="0.2">
      <c r="A3928" s="1" t="s">
        <v>146</v>
      </c>
      <c r="B3928" t="str">
        <f>LEFT(Table1[[#This Row],[Input]],1)</f>
        <v>R</v>
      </c>
      <c r="C3928">
        <f>_xlfn.LET(_xlpm.steps,SUBSTITUTE(Table1[[#This Row],[Input]],Table1[[#This Row],[Direction]],""),VALUE(IF(LEN(_xlpm.steps)&gt;2,RIGHT(_xlpm.steps,2),_xlpm.steps)))</f>
        <v>4</v>
      </c>
      <c r="D3928">
        <f>_xlfn.LET(_xlpm.dir,Table1[[#This Row],[Direction]],
IF(_xlpm.dir="L",
    IF(F3927-Table1[[#This Row],[Steps]]&lt;0,100+(F3927-Table1[[#This Row],[Steps]]),F3927-Table1[[#This Row],[Steps]]),
))</f>
        <v>0</v>
      </c>
      <c r="E3928">
        <f>_xlfn.LET(_xlpm.dir,Table1[[#This Row],[Direction]],
IF(_xlpm.dir="R",
    IF(F3927+Table1[[#This Row],[Steps]]&gt;99,(F3927+Table1[[#This Row],[Steps]])-100,F3927+Table1[[#This Row],[Steps]]),
))</f>
        <v>0</v>
      </c>
      <c r="F3928">
        <f>IF(Table1[[#This Row],[New Pos L]]&lt;&gt;0,Table1[[#This Row],[New Pos L]],Table1[[#This Row],[New Pos R]])</f>
        <v>0</v>
      </c>
    </row>
    <row r="3929" spans="1:6" ht="16" x14ac:dyDescent="0.2">
      <c r="A3929" s="1" t="s">
        <v>252</v>
      </c>
      <c r="B3929" t="str">
        <f>LEFT(Table1[[#This Row],[Input]],1)</f>
        <v>L</v>
      </c>
      <c r="C3929">
        <f>_xlfn.LET(_xlpm.steps,SUBSTITUTE(Table1[[#This Row],[Input]],Table1[[#This Row],[Direction]],""),VALUE(IF(LEN(_xlpm.steps)&gt;2,RIGHT(_xlpm.steps,2),_xlpm.steps)))</f>
        <v>99</v>
      </c>
      <c r="D3929">
        <f>_xlfn.LET(_xlpm.dir,Table1[[#This Row],[Direction]],
IF(_xlpm.dir="L",
    IF(F3928-Table1[[#This Row],[Steps]]&lt;0,100+(F3928-Table1[[#This Row],[Steps]]),F3928-Table1[[#This Row],[Steps]]),
))</f>
        <v>1</v>
      </c>
      <c r="E3929">
        <f>_xlfn.LET(_xlpm.dir,Table1[[#This Row],[Direction]],
IF(_xlpm.dir="R",
    IF(F3928+Table1[[#This Row],[Steps]]&gt;99,(F3928+Table1[[#This Row],[Steps]])-100,F3928+Table1[[#This Row],[Steps]]),
))</f>
        <v>0</v>
      </c>
      <c r="F3929">
        <f>IF(Table1[[#This Row],[New Pos L]]&lt;&gt;0,Table1[[#This Row],[New Pos L]],Table1[[#This Row],[New Pos R]])</f>
        <v>1</v>
      </c>
    </row>
    <row r="3930" spans="1:6" ht="16" x14ac:dyDescent="0.2">
      <c r="A3930" s="1" t="s">
        <v>73</v>
      </c>
      <c r="B3930" t="str">
        <f>LEFT(Table1[[#This Row],[Input]],1)</f>
        <v>R</v>
      </c>
      <c r="C3930">
        <f>_xlfn.LET(_xlpm.steps,SUBSTITUTE(Table1[[#This Row],[Input]],Table1[[#This Row],[Direction]],""),VALUE(IF(LEN(_xlpm.steps)&gt;2,RIGHT(_xlpm.steps,2),_xlpm.steps)))</f>
        <v>21</v>
      </c>
      <c r="D3930">
        <f>_xlfn.LET(_xlpm.dir,Table1[[#This Row],[Direction]],
IF(_xlpm.dir="L",
    IF(F3929-Table1[[#This Row],[Steps]]&lt;0,100+(F3929-Table1[[#This Row],[Steps]]),F3929-Table1[[#This Row],[Steps]]),
))</f>
        <v>0</v>
      </c>
      <c r="E3930">
        <f>_xlfn.LET(_xlpm.dir,Table1[[#This Row],[Direction]],
IF(_xlpm.dir="R",
    IF(F3929+Table1[[#This Row],[Steps]]&gt;99,(F3929+Table1[[#This Row],[Steps]])-100,F3929+Table1[[#This Row],[Steps]]),
))</f>
        <v>22</v>
      </c>
      <c r="F3930">
        <f>IF(Table1[[#This Row],[New Pos L]]&lt;&gt;0,Table1[[#This Row],[New Pos L]],Table1[[#This Row],[New Pos R]])</f>
        <v>22</v>
      </c>
    </row>
    <row r="3931" spans="1:6" ht="16" x14ac:dyDescent="0.2">
      <c r="A3931" s="1" t="s">
        <v>81</v>
      </c>
      <c r="B3931" t="str">
        <f>LEFT(Table1[[#This Row],[Input]],1)</f>
        <v>R</v>
      </c>
      <c r="C3931">
        <f>_xlfn.LET(_xlpm.steps,SUBSTITUTE(Table1[[#This Row],[Input]],Table1[[#This Row],[Direction]],""),VALUE(IF(LEN(_xlpm.steps)&gt;2,RIGHT(_xlpm.steps,2),_xlpm.steps)))</f>
        <v>17</v>
      </c>
      <c r="D3931">
        <f>_xlfn.LET(_xlpm.dir,Table1[[#This Row],[Direction]],
IF(_xlpm.dir="L",
    IF(F3930-Table1[[#This Row],[Steps]]&lt;0,100+(F3930-Table1[[#This Row],[Steps]]),F3930-Table1[[#This Row],[Steps]]),
))</f>
        <v>0</v>
      </c>
      <c r="E3931">
        <f>_xlfn.LET(_xlpm.dir,Table1[[#This Row],[Direction]],
IF(_xlpm.dir="R",
    IF(F3930+Table1[[#This Row],[Steps]]&gt;99,(F3930+Table1[[#This Row],[Steps]])-100,F3930+Table1[[#This Row],[Steps]]),
))</f>
        <v>39</v>
      </c>
      <c r="F3931">
        <f>IF(Table1[[#This Row],[New Pos L]]&lt;&gt;0,Table1[[#This Row],[New Pos L]],Table1[[#This Row],[New Pos R]])</f>
        <v>39</v>
      </c>
    </row>
    <row r="3932" spans="1:6" ht="16" x14ac:dyDescent="0.2">
      <c r="A3932" s="1" t="s">
        <v>132</v>
      </c>
      <c r="B3932" t="str">
        <f>LEFT(Table1[[#This Row],[Input]],1)</f>
        <v>L</v>
      </c>
      <c r="C3932">
        <f>_xlfn.LET(_xlpm.steps,SUBSTITUTE(Table1[[#This Row],[Input]],Table1[[#This Row],[Direction]],""),VALUE(IF(LEN(_xlpm.steps)&gt;2,RIGHT(_xlpm.steps,2),_xlpm.steps)))</f>
        <v>51</v>
      </c>
      <c r="D3932">
        <f>_xlfn.LET(_xlpm.dir,Table1[[#This Row],[Direction]],
IF(_xlpm.dir="L",
    IF(F3931-Table1[[#This Row],[Steps]]&lt;0,100+(F3931-Table1[[#This Row],[Steps]]),F3931-Table1[[#This Row],[Steps]]),
))</f>
        <v>88</v>
      </c>
      <c r="E3932">
        <f>_xlfn.LET(_xlpm.dir,Table1[[#This Row],[Direction]],
IF(_xlpm.dir="R",
    IF(F3931+Table1[[#This Row],[Steps]]&gt;99,(F3931+Table1[[#This Row],[Steps]])-100,F3931+Table1[[#This Row],[Steps]]),
))</f>
        <v>0</v>
      </c>
      <c r="F3932">
        <f>IF(Table1[[#This Row],[New Pos L]]&lt;&gt;0,Table1[[#This Row],[New Pos L]],Table1[[#This Row],[New Pos R]])</f>
        <v>88</v>
      </c>
    </row>
    <row r="3933" spans="1:6" ht="16" x14ac:dyDescent="0.2">
      <c r="A3933" s="1" t="s">
        <v>295</v>
      </c>
      <c r="B3933" t="str">
        <f>LEFT(Table1[[#This Row],[Input]],1)</f>
        <v>L</v>
      </c>
      <c r="C3933">
        <f>_xlfn.LET(_xlpm.steps,SUBSTITUTE(Table1[[#This Row],[Input]],Table1[[#This Row],[Direction]],""),VALUE(IF(LEN(_xlpm.steps)&gt;2,RIGHT(_xlpm.steps,2),_xlpm.steps)))</f>
        <v>88</v>
      </c>
      <c r="D3933">
        <f>_xlfn.LET(_xlpm.dir,Table1[[#This Row],[Direction]],
IF(_xlpm.dir="L",
    IF(F3932-Table1[[#This Row],[Steps]]&lt;0,100+(F3932-Table1[[#This Row],[Steps]]),F3932-Table1[[#This Row],[Steps]]),
))</f>
        <v>0</v>
      </c>
      <c r="E3933">
        <f>_xlfn.LET(_xlpm.dir,Table1[[#This Row],[Direction]],
IF(_xlpm.dir="R",
    IF(F3932+Table1[[#This Row],[Steps]]&gt;99,(F3932+Table1[[#This Row],[Steps]])-100,F3932+Table1[[#This Row],[Steps]]),
))</f>
        <v>0</v>
      </c>
      <c r="F3933">
        <f>IF(Table1[[#This Row],[New Pos L]]&lt;&gt;0,Table1[[#This Row],[New Pos L]],Table1[[#This Row],[New Pos R]])</f>
        <v>0</v>
      </c>
    </row>
    <row r="3934" spans="1:6" ht="16" x14ac:dyDescent="0.2">
      <c r="A3934" s="1" t="s">
        <v>17</v>
      </c>
      <c r="B3934" t="str">
        <f>LEFT(Table1[[#This Row],[Input]],1)</f>
        <v>L</v>
      </c>
      <c r="C3934">
        <f>_xlfn.LET(_xlpm.steps,SUBSTITUTE(Table1[[#This Row],[Input]],Table1[[#This Row],[Direction]],""),VALUE(IF(LEN(_xlpm.steps)&gt;2,RIGHT(_xlpm.steps,2),_xlpm.steps)))</f>
        <v>50</v>
      </c>
      <c r="D3934">
        <f>_xlfn.LET(_xlpm.dir,Table1[[#This Row],[Direction]],
IF(_xlpm.dir="L",
    IF(F3933-Table1[[#This Row],[Steps]]&lt;0,100+(F3933-Table1[[#This Row],[Steps]]),F3933-Table1[[#This Row],[Steps]]),
))</f>
        <v>50</v>
      </c>
      <c r="E3934">
        <f>_xlfn.LET(_xlpm.dir,Table1[[#This Row],[Direction]],
IF(_xlpm.dir="R",
    IF(F3933+Table1[[#This Row],[Steps]]&gt;99,(F3933+Table1[[#This Row],[Steps]])-100,F3933+Table1[[#This Row],[Steps]]),
))</f>
        <v>0</v>
      </c>
      <c r="F3934">
        <f>IF(Table1[[#This Row],[New Pos L]]&lt;&gt;0,Table1[[#This Row],[New Pos L]],Table1[[#This Row],[New Pos R]])</f>
        <v>50</v>
      </c>
    </row>
    <row r="3935" spans="1:6" ht="16" x14ac:dyDescent="0.2">
      <c r="A3935" s="1" t="s">
        <v>363</v>
      </c>
      <c r="B3935" t="str">
        <f>LEFT(Table1[[#This Row],[Input]],1)</f>
        <v>R</v>
      </c>
      <c r="C3935">
        <f>_xlfn.LET(_xlpm.steps,SUBSTITUTE(Table1[[#This Row],[Input]],Table1[[#This Row],[Direction]],""),VALUE(IF(LEN(_xlpm.steps)&gt;2,RIGHT(_xlpm.steps,2),_xlpm.steps)))</f>
        <v>63</v>
      </c>
      <c r="D3935">
        <f>_xlfn.LET(_xlpm.dir,Table1[[#This Row],[Direction]],
IF(_xlpm.dir="L",
    IF(F3934-Table1[[#This Row],[Steps]]&lt;0,100+(F3934-Table1[[#This Row],[Steps]]),F3934-Table1[[#This Row],[Steps]]),
))</f>
        <v>0</v>
      </c>
      <c r="E3935">
        <f>_xlfn.LET(_xlpm.dir,Table1[[#This Row],[Direction]],
IF(_xlpm.dir="R",
    IF(F3934+Table1[[#This Row],[Steps]]&gt;99,(F3934+Table1[[#This Row],[Steps]])-100,F3934+Table1[[#This Row],[Steps]]),
))</f>
        <v>13</v>
      </c>
      <c r="F3935">
        <f>IF(Table1[[#This Row],[New Pos L]]&lt;&gt;0,Table1[[#This Row],[New Pos L]],Table1[[#This Row],[New Pos R]])</f>
        <v>13</v>
      </c>
    </row>
    <row r="3936" spans="1:6" ht="16" x14ac:dyDescent="0.2">
      <c r="A3936" s="1" t="s">
        <v>213</v>
      </c>
      <c r="B3936" t="str">
        <f>LEFT(Table1[[#This Row],[Input]],1)</f>
        <v>R</v>
      </c>
      <c r="C3936">
        <f>_xlfn.LET(_xlpm.steps,SUBSTITUTE(Table1[[#This Row],[Input]],Table1[[#This Row],[Direction]],""),VALUE(IF(LEN(_xlpm.steps)&gt;2,RIGHT(_xlpm.steps,2),_xlpm.steps)))</f>
        <v>87</v>
      </c>
      <c r="D3936">
        <f>_xlfn.LET(_xlpm.dir,Table1[[#This Row],[Direction]],
IF(_xlpm.dir="L",
    IF(F3935-Table1[[#This Row],[Steps]]&lt;0,100+(F3935-Table1[[#This Row],[Steps]]),F3935-Table1[[#This Row],[Steps]]),
))</f>
        <v>0</v>
      </c>
      <c r="E3936">
        <f>_xlfn.LET(_xlpm.dir,Table1[[#This Row],[Direction]],
IF(_xlpm.dir="R",
    IF(F3935+Table1[[#This Row],[Steps]]&gt;99,(F3935+Table1[[#This Row],[Steps]])-100,F3935+Table1[[#This Row],[Steps]]),
))</f>
        <v>0</v>
      </c>
      <c r="F3936">
        <f>IF(Table1[[#This Row],[New Pos L]]&lt;&gt;0,Table1[[#This Row],[New Pos L]],Table1[[#This Row],[New Pos R]])</f>
        <v>0</v>
      </c>
    </row>
    <row r="3937" spans="1:6" ht="16" x14ac:dyDescent="0.2">
      <c r="A3937" s="1" t="s">
        <v>73</v>
      </c>
      <c r="B3937" t="str">
        <f>LEFT(Table1[[#This Row],[Input]],1)</f>
        <v>R</v>
      </c>
      <c r="C3937">
        <f>_xlfn.LET(_xlpm.steps,SUBSTITUTE(Table1[[#This Row],[Input]],Table1[[#This Row],[Direction]],""),VALUE(IF(LEN(_xlpm.steps)&gt;2,RIGHT(_xlpm.steps,2),_xlpm.steps)))</f>
        <v>21</v>
      </c>
      <c r="D3937">
        <f>_xlfn.LET(_xlpm.dir,Table1[[#This Row],[Direction]],
IF(_xlpm.dir="L",
    IF(F3936-Table1[[#This Row],[Steps]]&lt;0,100+(F3936-Table1[[#This Row],[Steps]]),F3936-Table1[[#This Row],[Steps]]),
))</f>
        <v>0</v>
      </c>
      <c r="E3937">
        <f>_xlfn.LET(_xlpm.dir,Table1[[#This Row],[Direction]],
IF(_xlpm.dir="R",
    IF(F3936+Table1[[#This Row],[Steps]]&gt;99,(F3936+Table1[[#This Row],[Steps]])-100,F3936+Table1[[#This Row],[Steps]]),
))</f>
        <v>21</v>
      </c>
      <c r="F3937">
        <f>IF(Table1[[#This Row],[New Pos L]]&lt;&gt;0,Table1[[#This Row],[New Pos L]],Table1[[#This Row],[New Pos R]])</f>
        <v>21</v>
      </c>
    </row>
    <row r="3938" spans="1:6" ht="16" x14ac:dyDescent="0.2">
      <c r="A3938" s="1" t="s">
        <v>136</v>
      </c>
      <c r="B3938" t="str">
        <f>LEFT(Table1[[#This Row],[Input]],1)</f>
        <v>L</v>
      </c>
      <c r="C3938">
        <f>_xlfn.LET(_xlpm.steps,SUBSTITUTE(Table1[[#This Row],[Input]],Table1[[#This Row],[Direction]],""),VALUE(IF(LEN(_xlpm.steps)&gt;2,RIGHT(_xlpm.steps,2),_xlpm.steps)))</f>
        <v>72</v>
      </c>
      <c r="D3938">
        <f>_xlfn.LET(_xlpm.dir,Table1[[#This Row],[Direction]],
IF(_xlpm.dir="L",
    IF(F3937-Table1[[#This Row],[Steps]]&lt;0,100+(F3937-Table1[[#This Row],[Steps]]),F3937-Table1[[#This Row],[Steps]]),
))</f>
        <v>49</v>
      </c>
      <c r="E3938">
        <f>_xlfn.LET(_xlpm.dir,Table1[[#This Row],[Direction]],
IF(_xlpm.dir="R",
    IF(F3937+Table1[[#This Row],[Steps]]&gt;99,(F3937+Table1[[#This Row],[Steps]])-100,F3937+Table1[[#This Row],[Steps]]),
))</f>
        <v>0</v>
      </c>
      <c r="F3938">
        <f>IF(Table1[[#This Row],[New Pos L]]&lt;&gt;0,Table1[[#This Row],[New Pos L]],Table1[[#This Row],[New Pos R]])</f>
        <v>49</v>
      </c>
    </row>
    <row r="3939" spans="1:6" ht="16" x14ac:dyDescent="0.2">
      <c r="A3939" s="1" t="s">
        <v>24</v>
      </c>
      <c r="B3939" t="str">
        <f>LEFT(Table1[[#This Row],[Input]],1)</f>
        <v>L</v>
      </c>
      <c r="C3939">
        <f>_xlfn.LET(_xlpm.steps,SUBSTITUTE(Table1[[#This Row],[Input]],Table1[[#This Row],[Direction]],""),VALUE(IF(LEN(_xlpm.steps)&gt;2,RIGHT(_xlpm.steps,2),_xlpm.steps)))</f>
        <v>49</v>
      </c>
      <c r="D3939">
        <f>_xlfn.LET(_xlpm.dir,Table1[[#This Row],[Direction]],
IF(_xlpm.dir="L",
    IF(F3938-Table1[[#This Row],[Steps]]&lt;0,100+(F3938-Table1[[#This Row],[Steps]]),F3938-Table1[[#This Row],[Steps]]),
))</f>
        <v>0</v>
      </c>
      <c r="E3939">
        <f>_xlfn.LET(_xlpm.dir,Table1[[#This Row],[Direction]],
IF(_xlpm.dir="R",
    IF(F3938+Table1[[#This Row],[Steps]]&gt;99,(F3938+Table1[[#This Row],[Steps]])-100,F3938+Table1[[#This Row],[Steps]]),
))</f>
        <v>0</v>
      </c>
      <c r="F3939">
        <f>IF(Table1[[#This Row],[New Pos L]]&lt;&gt;0,Table1[[#This Row],[New Pos L]],Table1[[#This Row],[New Pos R]])</f>
        <v>0</v>
      </c>
    </row>
    <row r="3940" spans="1:6" ht="16" x14ac:dyDescent="0.2">
      <c r="A3940" s="1" t="s">
        <v>820</v>
      </c>
      <c r="B3940" t="str">
        <f>LEFT(Table1[[#This Row],[Input]],1)</f>
        <v>R</v>
      </c>
      <c r="C3940">
        <f>_xlfn.LET(_xlpm.steps,SUBSTITUTE(Table1[[#This Row],[Input]],Table1[[#This Row],[Direction]],""),VALUE(IF(LEN(_xlpm.steps)&gt;2,RIGHT(_xlpm.steps,2),_xlpm.steps)))</f>
        <v>98</v>
      </c>
      <c r="D3940">
        <f>_xlfn.LET(_xlpm.dir,Table1[[#This Row],[Direction]],
IF(_xlpm.dir="L",
    IF(F3939-Table1[[#This Row],[Steps]]&lt;0,100+(F3939-Table1[[#This Row],[Steps]]),F3939-Table1[[#This Row],[Steps]]),
))</f>
        <v>0</v>
      </c>
      <c r="E3940">
        <f>_xlfn.LET(_xlpm.dir,Table1[[#This Row],[Direction]],
IF(_xlpm.dir="R",
    IF(F3939+Table1[[#This Row],[Steps]]&gt;99,(F3939+Table1[[#This Row],[Steps]])-100,F3939+Table1[[#This Row],[Steps]]),
))</f>
        <v>98</v>
      </c>
      <c r="F3940">
        <f>IF(Table1[[#This Row],[New Pos L]]&lt;&gt;0,Table1[[#This Row],[New Pos L]],Table1[[#This Row],[New Pos R]])</f>
        <v>98</v>
      </c>
    </row>
    <row r="3941" spans="1:6" ht="16" x14ac:dyDescent="0.2">
      <c r="A3941" s="1" t="s">
        <v>244</v>
      </c>
      <c r="B3941" t="str">
        <f>LEFT(Table1[[#This Row],[Input]],1)</f>
        <v>L</v>
      </c>
      <c r="C3941">
        <f>_xlfn.LET(_xlpm.steps,SUBSTITUTE(Table1[[#This Row],[Input]],Table1[[#This Row],[Direction]],""),VALUE(IF(LEN(_xlpm.steps)&gt;2,RIGHT(_xlpm.steps,2),_xlpm.steps)))</f>
        <v>98</v>
      </c>
      <c r="D3941">
        <f>_xlfn.LET(_xlpm.dir,Table1[[#This Row],[Direction]],
IF(_xlpm.dir="L",
    IF(F3940-Table1[[#This Row],[Steps]]&lt;0,100+(F3940-Table1[[#This Row],[Steps]]),F3940-Table1[[#This Row],[Steps]]),
))</f>
        <v>0</v>
      </c>
      <c r="E3941">
        <f>_xlfn.LET(_xlpm.dir,Table1[[#This Row],[Direction]],
IF(_xlpm.dir="R",
    IF(F3940+Table1[[#This Row],[Steps]]&gt;99,(F3940+Table1[[#This Row],[Steps]])-100,F3940+Table1[[#This Row],[Steps]]),
))</f>
        <v>0</v>
      </c>
      <c r="F3941">
        <f>IF(Table1[[#This Row],[New Pos L]]&lt;&gt;0,Table1[[#This Row],[New Pos L]],Table1[[#This Row],[New Pos R]])</f>
        <v>0</v>
      </c>
    </row>
    <row r="3942" spans="1:6" ht="16" x14ac:dyDescent="0.2">
      <c r="A3942" s="1" t="s">
        <v>30</v>
      </c>
      <c r="B3942" t="str">
        <f>LEFT(Table1[[#This Row],[Input]],1)</f>
        <v>R</v>
      </c>
      <c r="C3942">
        <f>_xlfn.LET(_xlpm.steps,SUBSTITUTE(Table1[[#This Row],[Input]],Table1[[#This Row],[Direction]],""),VALUE(IF(LEN(_xlpm.steps)&gt;2,RIGHT(_xlpm.steps,2),_xlpm.steps)))</f>
        <v>48</v>
      </c>
      <c r="D3942">
        <f>_xlfn.LET(_xlpm.dir,Table1[[#This Row],[Direction]],
IF(_xlpm.dir="L",
    IF(F3941-Table1[[#This Row],[Steps]]&lt;0,100+(F3941-Table1[[#This Row],[Steps]]),F3941-Table1[[#This Row],[Steps]]),
))</f>
        <v>0</v>
      </c>
      <c r="E3942">
        <f>_xlfn.LET(_xlpm.dir,Table1[[#This Row],[Direction]],
IF(_xlpm.dir="R",
    IF(F3941+Table1[[#This Row],[Steps]]&gt;99,(F3941+Table1[[#This Row],[Steps]])-100,F3941+Table1[[#This Row],[Steps]]),
))</f>
        <v>48</v>
      </c>
      <c r="F3942">
        <f>IF(Table1[[#This Row],[New Pos L]]&lt;&gt;0,Table1[[#This Row],[New Pos L]],Table1[[#This Row],[New Pos R]])</f>
        <v>48</v>
      </c>
    </row>
    <row r="3943" spans="1:6" ht="16" x14ac:dyDescent="0.2">
      <c r="A3943" s="1" t="s">
        <v>673</v>
      </c>
      <c r="B3943" t="str">
        <f>LEFT(Table1[[#This Row],[Input]],1)</f>
        <v>R</v>
      </c>
      <c r="C3943">
        <f>_xlfn.LET(_xlpm.steps,SUBSTITUTE(Table1[[#This Row],[Input]],Table1[[#This Row],[Direction]],""),VALUE(IF(LEN(_xlpm.steps)&gt;2,RIGHT(_xlpm.steps,2),_xlpm.steps)))</f>
        <v>52</v>
      </c>
      <c r="D3943">
        <f>_xlfn.LET(_xlpm.dir,Table1[[#This Row],[Direction]],
IF(_xlpm.dir="L",
    IF(F3942-Table1[[#This Row],[Steps]]&lt;0,100+(F3942-Table1[[#This Row],[Steps]]),F3942-Table1[[#This Row],[Steps]]),
))</f>
        <v>0</v>
      </c>
      <c r="E3943">
        <f>_xlfn.LET(_xlpm.dir,Table1[[#This Row],[Direction]],
IF(_xlpm.dir="R",
    IF(F3942+Table1[[#This Row],[Steps]]&gt;99,(F3942+Table1[[#This Row],[Steps]])-100,F3942+Table1[[#This Row],[Steps]]),
))</f>
        <v>0</v>
      </c>
      <c r="F3943">
        <f>IF(Table1[[#This Row],[New Pos L]]&lt;&gt;0,Table1[[#This Row],[New Pos L]],Table1[[#This Row],[New Pos R]])</f>
        <v>0</v>
      </c>
    </row>
    <row r="3944" spans="1:6" ht="16" x14ac:dyDescent="0.2">
      <c r="A3944" s="1" t="s">
        <v>27</v>
      </c>
      <c r="B3944" t="str">
        <f>LEFT(Table1[[#This Row],[Input]],1)</f>
        <v>L</v>
      </c>
      <c r="C3944">
        <f>_xlfn.LET(_xlpm.steps,SUBSTITUTE(Table1[[#This Row],[Input]],Table1[[#This Row],[Direction]],""),VALUE(IF(LEN(_xlpm.steps)&gt;2,RIGHT(_xlpm.steps,2),_xlpm.steps)))</f>
        <v>14</v>
      </c>
      <c r="D3944">
        <f>_xlfn.LET(_xlpm.dir,Table1[[#This Row],[Direction]],
IF(_xlpm.dir="L",
    IF(F3943-Table1[[#This Row],[Steps]]&lt;0,100+(F3943-Table1[[#This Row],[Steps]]),F3943-Table1[[#This Row],[Steps]]),
))</f>
        <v>86</v>
      </c>
      <c r="E3944">
        <f>_xlfn.LET(_xlpm.dir,Table1[[#This Row],[Direction]],
IF(_xlpm.dir="R",
    IF(F3943+Table1[[#This Row],[Steps]]&gt;99,(F3943+Table1[[#This Row],[Steps]])-100,F3943+Table1[[#This Row],[Steps]]),
))</f>
        <v>0</v>
      </c>
      <c r="F3944">
        <f>IF(Table1[[#This Row],[New Pos L]]&lt;&gt;0,Table1[[#This Row],[New Pos L]],Table1[[#This Row],[New Pos R]])</f>
        <v>86</v>
      </c>
    </row>
    <row r="3945" spans="1:6" ht="16" x14ac:dyDescent="0.2">
      <c r="A3945" s="1" t="s">
        <v>119</v>
      </c>
      <c r="B3945" t="str">
        <f>LEFT(Table1[[#This Row],[Input]],1)</f>
        <v>L</v>
      </c>
      <c r="C3945">
        <f>_xlfn.LET(_xlpm.steps,SUBSTITUTE(Table1[[#This Row],[Input]],Table1[[#This Row],[Direction]],""),VALUE(IF(LEN(_xlpm.steps)&gt;2,RIGHT(_xlpm.steps,2),_xlpm.steps)))</f>
        <v>77</v>
      </c>
      <c r="D3945">
        <f>_xlfn.LET(_xlpm.dir,Table1[[#This Row],[Direction]],
IF(_xlpm.dir="L",
    IF(F3944-Table1[[#This Row],[Steps]]&lt;0,100+(F3944-Table1[[#This Row],[Steps]]),F3944-Table1[[#This Row],[Steps]]),
))</f>
        <v>9</v>
      </c>
      <c r="E3945">
        <f>_xlfn.LET(_xlpm.dir,Table1[[#This Row],[Direction]],
IF(_xlpm.dir="R",
    IF(F3944+Table1[[#This Row],[Steps]]&gt;99,(F3944+Table1[[#This Row],[Steps]])-100,F3944+Table1[[#This Row],[Steps]]),
))</f>
        <v>0</v>
      </c>
      <c r="F3945">
        <f>IF(Table1[[#This Row],[New Pos L]]&lt;&gt;0,Table1[[#This Row],[New Pos L]],Table1[[#This Row],[New Pos R]])</f>
        <v>9</v>
      </c>
    </row>
    <row r="3946" spans="1:6" ht="16" x14ac:dyDescent="0.2">
      <c r="A3946" s="1" t="s">
        <v>217</v>
      </c>
      <c r="B3946" t="str">
        <f>LEFT(Table1[[#This Row],[Input]],1)</f>
        <v>R</v>
      </c>
      <c r="C3946">
        <f>_xlfn.LET(_xlpm.steps,SUBSTITUTE(Table1[[#This Row],[Input]],Table1[[#This Row],[Direction]],""),VALUE(IF(LEN(_xlpm.steps)&gt;2,RIGHT(_xlpm.steps,2),_xlpm.steps)))</f>
        <v>91</v>
      </c>
      <c r="D3946">
        <f>_xlfn.LET(_xlpm.dir,Table1[[#This Row],[Direction]],
IF(_xlpm.dir="L",
    IF(F3945-Table1[[#This Row],[Steps]]&lt;0,100+(F3945-Table1[[#This Row],[Steps]]),F3945-Table1[[#This Row],[Steps]]),
))</f>
        <v>0</v>
      </c>
      <c r="E3946">
        <f>_xlfn.LET(_xlpm.dir,Table1[[#This Row],[Direction]],
IF(_xlpm.dir="R",
    IF(F3945+Table1[[#This Row],[Steps]]&gt;99,(F3945+Table1[[#This Row],[Steps]])-100,F3945+Table1[[#This Row],[Steps]]),
))</f>
        <v>0</v>
      </c>
      <c r="F3946">
        <f>IF(Table1[[#This Row],[New Pos L]]&lt;&gt;0,Table1[[#This Row],[New Pos L]],Table1[[#This Row],[New Pos R]])</f>
        <v>0</v>
      </c>
    </row>
    <row r="3947" spans="1:6" ht="16" x14ac:dyDescent="0.2">
      <c r="A3947" s="1" t="s">
        <v>88</v>
      </c>
      <c r="B3947" t="str">
        <f>LEFT(Table1[[#This Row],[Input]],1)</f>
        <v>R</v>
      </c>
      <c r="C3947">
        <f>_xlfn.LET(_xlpm.steps,SUBSTITUTE(Table1[[#This Row],[Input]],Table1[[#This Row],[Direction]],""),VALUE(IF(LEN(_xlpm.steps)&gt;2,RIGHT(_xlpm.steps,2),_xlpm.steps)))</f>
        <v>53</v>
      </c>
      <c r="D3947">
        <f>_xlfn.LET(_xlpm.dir,Table1[[#This Row],[Direction]],
IF(_xlpm.dir="L",
    IF(F3946-Table1[[#This Row],[Steps]]&lt;0,100+(F3946-Table1[[#This Row],[Steps]]),F3946-Table1[[#This Row],[Steps]]),
))</f>
        <v>0</v>
      </c>
      <c r="E3947">
        <f>_xlfn.LET(_xlpm.dir,Table1[[#This Row],[Direction]],
IF(_xlpm.dir="R",
    IF(F3946+Table1[[#This Row],[Steps]]&gt;99,(F3946+Table1[[#This Row],[Steps]])-100,F3946+Table1[[#This Row],[Steps]]),
))</f>
        <v>53</v>
      </c>
      <c r="F3947">
        <f>IF(Table1[[#This Row],[New Pos L]]&lt;&gt;0,Table1[[#This Row],[New Pos L]],Table1[[#This Row],[New Pos R]])</f>
        <v>53</v>
      </c>
    </row>
    <row r="3948" spans="1:6" ht="16" x14ac:dyDescent="0.2">
      <c r="A3948" s="1" t="s">
        <v>181</v>
      </c>
      <c r="B3948" t="str">
        <f>LEFT(Table1[[#This Row],[Input]],1)</f>
        <v>L</v>
      </c>
      <c r="C3948">
        <f>_xlfn.LET(_xlpm.steps,SUBSTITUTE(Table1[[#This Row],[Input]],Table1[[#This Row],[Direction]],""),VALUE(IF(LEN(_xlpm.steps)&gt;2,RIGHT(_xlpm.steps,2),_xlpm.steps)))</f>
        <v>53</v>
      </c>
      <c r="D3948">
        <f>_xlfn.LET(_xlpm.dir,Table1[[#This Row],[Direction]],
IF(_xlpm.dir="L",
    IF(F3947-Table1[[#This Row],[Steps]]&lt;0,100+(F3947-Table1[[#This Row],[Steps]]),F3947-Table1[[#This Row],[Steps]]),
))</f>
        <v>0</v>
      </c>
      <c r="E3948">
        <f>_xlfn.LET(_xlpm.dir,Table1[[#This Row],[Direction]],
IF(_xlpm.dir="R",
    IF(F3947+Table1[[#This Row],[Steps]]&gt;99,(F3947+Table1[[#This Row],[Steps]])-100,F3947+Table1[[#This Row],[Steps]]),
))</f>
        <v>0</v>
      </c>
      <c r="F3948">
        <f>IF(Table1[[#This Row],[New Pos L]]&lt;&gt;0,Table1[[#This Row],[New Pos L]],Table1[[#This Row],[New Pos R]])</f>
        <v>0</v>
      </c>
    </row>
    <row r="3949" spans="1:6" ht="16" x14ac:dyDescent="0.2">
      <c r="A3949" s="1" t="s">
        <v>164</v>
      </c>
      <c r="B3949" t="str">
        <f>LEFT(Table1[[#This Row],[Input]],1)</f>
        <v>R</v>
      </c>
      <c r="C3949">
        <f>_xlfn.LET(_xlpm.steps,SUBSTITUTE(Table1[[#This Row],[Input]],Table1[[#This Row],[Direction]],""),VALUE(IF(LEN(_xlpm.steps)&gt;2,RIGHT(_xlpm.steps,2),_xlpm.steps)))</f>
        <v>85</v>
      </c>
      <c r="D3949">
        <f>_xlfn.LET(_xlpm.dir,Table1[[#This Row],[Direction]],
IF(_xlpm.dir="L",
    IF(F3948-Table1[[#This Row],[Steps]]&lt;0,100+(F3948-Table1[[#This Row],[Steps]]),F3948-Table1[[#This Row],[Steps]]),
))</f>
        <v>0</v>
      </c>
      <c r="E3949">
        <f>_xlfn.LET(_xlpm.dir,Table1[[#This Row],[Direction]],
IF(_xlpm.dir="R",
    IF(F3948+Table1[[#This Row],[Steps]]&gt;99,(F3948+Table1[[#This Row],[Steps]])-100,F3948+Table1[[#This Row],[Steps]]),
))</f>
        <v>85</v>
      </c>
      <c r="F3949">
        <f>IF(Table1[[#This Row],[New Pos L]]&lt;&gt;0,Table1[[#This Row],[New Pos L]],Table1[[#This Row],[New Pos R]])</f>
        <v>85</v>
      </c>
    </row>
    <row r="3950" spans="1:6" ht="16" x14ac:dyDescent="0.2">
      <c r="A3950" s="1" t="s">
        <v>213</v>
      </c>
      <c r="B3950" t="str">
        <f>LEFT(Table1[[#This Row],[Input]],1)</f>
        <v>R</v>
      </c>
      <c r="C3950">
        <f>_xlfn.LET(_xlpm.steps,SUBSTITUTE(Table1[[#This Row],[Input]],Table1[[#This Row],[Direction]],""),VALUE(IF(LEN(_xlpm.steps)&gt;2,RIGHT(_xlpm.steps,2),_xlpm.steps)))</f>
        <v>87</v>
      </c>
      <c r="D3950">
        <f>_xlfn.LET(_xlpm.dir,Table1[[#This Row],[Direction]],
IF(_xlpm.dir="L",
    IF(F3949-Table1[[#This Row],[Steps]]&lt;0,100+(F3949-Table1[[#This Row],[Steps]]),F3949-Table1[[#This Row],[Steps]]),
))</f>
        <v>0</v>
      </c>
      <c r="E3950">
        <f>_xlfn.LET(_xlpm.dir,Table1[[#This Row],[Direction]],
IF(_xlpm.dir="R",
    IF(F3949+Table1[[#This Row],[Steps]]&gt;99,(F3949+Table1[[#This Row],[Steps]])-100,F3949+Table1[[#This Row],[Steps]]),
))</f>
        <v>72</v>
      </c>
      <c r="F3950">
        <f>IF(Table1[[#This Row],[New Pos L]]&lt;&gt;0,Table1[[#This Row],[New Pos L]],Table1[[#This Row],[New Pos R]])</f>
        <v>72</v>
      </c>
    </row>
    <row r="3951" spans="1:6" ht="16" x14ac:dyDescent="0.2">
      <c r="A3951" s="1" t="s">
        <v>172</v>
      </c>
      <c r="B3951" t="str">
        <f>LEFT(Table1[[#This Row],[Input]],1)</f>
        <v>L</v>
      </c>
      <c r="C3951">
        <f>_xlfn.LET(_xlpm.steps,SUBSTITUTE(Table1[[#This Row],[Input]],Table1[[#This Row],[Direction]],""),VALUE(IF(LEN(_xlpm.steps)&gt;2,RIGHT(_xlpm.steps,2),_xlpm.steps)))</f>
        <v>66</v>
      </c>
      <c r="D3951">
        <f>_xlfn.LET(_xlpm.dir,Table1[[#This Row],[Direction]],
IF(_xlpm.dir="L",
    IF(F3950-Table1[[#This Row],[Steps]]&lt;0,100+(F3950-Table1[[#This Row],[Steps]]),F3950-Table1[[#This Row],[Steps]]),
))</f>
        <v>6</v>
      </c>
      <c r="E3951">
        <f>_xlfn.LET(_xlpm.dir,Table1[[#This Row],[Direction]],
IF(_xlpm.dir="R",
    IF(F3950+Table1[[#This Row],[Steps]]&gt;99,(F3950+Table1[[#This Row],[Steps]])-100,F3950+Table1[[#This Row],[Steps]]),
))</f>
        <v>0</v>
      </c>
      <c r="F3951">
        <f>IF(Table1[[#This Row],[New Pos L]]&lt;&gt;0,Table1[[#This Row],[New Pos L]],Table1[[#This Row],[New Pos R]])</f>
        <v>6</v>
      </c>
    </row>
    <row r="3952" spans="1:6" ht="16" x14ac:dyDescent="0.2">
      <c r="A3952" s="1" t="s">
        <v>108</v>
      </c>
      <c r="B3952" t="str">
        <f>LEFT(Table1[[#This Row],[Input]],1)</f>
        <v>R</v>
      </c>
      <c r="C3952">
        <f>_xlfn.LET(_xlpm.steps,SUBSTITUTE(Table1[[#This Row],[Input]],Table1[[#This Row],[Direction]],""),VALUE(IF(LEN(_xlpm.steps)&gt;2,RIGHT(_xlpm.steps,2),_xlpm.steps)))</f>
        <v>66</v>
      </c>
      <c r="D3952">
        <f>_xlfn.LET(_xlpm.dir,Table1[[#This Row],[Direction]],
IF(_xlpm.dir="L",
    IF(F3951-Table1[[#This Row],[Steps]]&lt;0,100+(F3951-Table1[[#This Row],[Steps]]),F3951-Table1[[#This Row],[Steps]]),
))</f>
        <v>0</v>
      </c>
      <c r="E3952">
        <f>_xlfn.LET(_xlpm.dir,Table1[[#This Row],[Direction]],
IF(_xlpm.dir="R",
    IF(F3951+Table1[[#This Row],[Steps]]&gt;99,(F3951+Table1[[#This Row],[Steps]])-100,F3951+Table1[[#This Row],[Steps]]),
))</f>
        <v>72</v>
      </c>
      <c r="F3952">
        <f>IF(Table1[[#This Row],[New Pos L]]&lt;&gt;0,Table1[[#This Row],[New Pos L]],Table1[[#This Row],[New Pos R]])</f>
        <v>72</v>
      </c>
    </row>
    <row r="3953" spans="1:6" ht="16" x14ac:dyDescent="0.2">
      <c r="A3953" s="1" t="s">
        <v>83</v>
      </c>
      <c r="B3953" t="str">
        <f>LEFT(Table1[[#This Row],[Input]],1)</f>
        <v>R</v>
      </c>
      <c r="C3953">
        <f>_xlfn.LET(_xlpm.steps,SUBSTITUTE(Table1[[#This Row],[Input]],Table1[[#This Row],[Direction]],""),VALUE(IF(LEN(_xlpm.steps)&gt;2,RIGHT(_xlpm.steps,2),_xlpm.steps)))</f>
        <v>79</v>
      </c>
      <c r="D3953">
        <f>_xlfn.LET(_xlpm.dir,Table1[[#This Row],[Direction]],
IF(_xlpm.dir="L",
    IF(F3952-Table1[[#This Row],[Steps]]&lt;0,100+(F3952-Table1[[#This Row],[Steps]]),F3952-Table1[[#This Row],[Steps]]),
))</f>
        <v>0</v>
      </c>
      <c r="E3953">
        <f>_xlfn.LET(_xlpm.dir,Table1[[#This Row],[Direction]],
IF(_xlpm.dir="R",
    IF(F3952+Table1[[#This Row],[Steps]]&gt;99,(F3952+Table1[[#This Row],[Steps]])-100,F3952+Table1[[#This Row],[Steps]]),
))</f>
        <v>51</v>
      </c>
      <c r="F3953">
        <f>IF(Table1[[#This Row],[New Pos L]]&lt;&gt;0,Table1[[#This Row],[New Pos L]],Table1[[#This Row],[New Pos R]])</f>
        <v>51</v>
      </c>
    </row>
    <row r="3954" spans="1:6" ht="16" x14ac:dyDescent="0.2">
      <c r="A3954" s="1" t="s">
        <v>821</v>
      </c>
      <c r="B3954" t="str">
        <f>LEFT(Table1[[#This Row],[Input]],1)</f>
        <v>L</v>
      </c>
      <c r="C3954">
        <f>_xlfn.LET(_xlpm.steps,SUBSTITUTE(Table1[[#This Row],[Input]],Table1[[#This Row],[Direction]],""),VALUE(IF(LEN(_xlpm.steps)&gt;2,RIGHT(_xlpm.steps,2),_xlpm.steps)))</f>
        <v>74</v>
      </c>
      <c r="D3954">
        <f>_xlfn.LET(_xlpm.dir,Table1[[#This Row],[Direction]],
IF(_xlpm.dir="L",
    IF(F3953-Table1[[#This Row],[Steps]]&lt;0,100+(F3953-Table1[[#This Row],[Steps]]),F3953-Table1[[#This Row],[Steps]]),
))</f>
        <v>77</v>
      </c>
      <c r="E3954">
        <f>_xlfn.LET(_xlpm.dir,Table1[[#This Row],[Direction]],
IF(_xlpm.dir="R",
    IF(F3953+Table1[[#This Row],[Steps]]&gt;99,(F3953+Table1[[#This Row],[Steps]])-100,F3953+Table1[[#This Row],[Steps]]),
))</f>
        <v>0</v>
      </c>
      <c r="F3954">
        <f>IF(Table1[[#This Row],[New Pos L]]&lt;&gt;0,Table1[[#This Row],[New Pos L]],Table1[[#This Row],[New Pos R]])</f>
        <v>77</v>
      </c>
    </row>
    <row r="3955" spans="1:6" ht="16" x14ac:dyDescent="0.2">
      <c r="A3955" s="1" t="s">
        <v>63</v>
      </c>
      <c r="B3955" t="str">
        <f>LEFT(Table1[[#This Row],[Input]],1)</f>
        <v>R</v>
      </c>
      <c r="C3955">
        <f>_xlfn.LET(_xlpm.steps,SUBSTITUTE(Table1[[#This Row],[Input]],Table1[[#This Row],[Direction]],""),VALUE(IF(LEN(_xlpm.steps)&gt;2,RIGHT(_xlpm.steps,2),_xlpm.steps)))</f>
        <v>57</v>
      </c>
      <c r="D3955">
        <f>_xlfn.LET(_xlpm.dir,Table1[[#This Row],[Direction]],
IF(_xlpm.dir="L",
    IF(F3954-Table1[[#This Row],[Steps]]&lt;0,100+(F3954-Table1[[#This Row],[Steps]]),F3954-Table1[[#This Row],[Steps]]),
))</f>
        <v>0</v>
      </c>
      <c r="E3955">
        <f>_xlfn.LET(_xlpm.dir,Table1[[#This Row],[Direction]],
IF(_xlpm.dir="R",
    IF(F3954+Table1[[#This Row],[Steps]]&gt;99,(F3954+Table1[[#This Row],[Steps]])-100,F3954+Table1[[#This Row],[Steps]]),
))</f>
        <v>34</v>
      </c>
      <c r="F3955">
        <f>IF(Table1[[#This Row],[New Pos L]]&lt;&gt;0,Table1[[#This Row],[New Pos L]],Table1[[#This Row],[New Pos R]])</f>
        <v>34</v>
      </c>
    </row>
    <row r="3956" spans="1:6" ht="16" x14ac:dyDescent="0.2">
      <c r="A3956" s="1" t="s">
        <v>161</v>
      </c>
      <c r="B3956" t="str">
        <f>LEFT(Table1[[#This Row],[Input]],1)</f>
        <v>R</v>
      </c>
      <c r="C3956">
        <f>_xlfn.LET(_xlpm.steps,SUBSTITUTE(Table1[[#This Row],[Input]],Table1[[#This Row],[Direction]],""),VALUE(IF(LEN(_xlpm.steps)&gt;2,RIGHT(_xlpm.steps,2),_xlpm.steps)))</f>
        <v>76</v>
      </c>
      <c r="D3956">
        <f>_xlfn.LET(_xlpm.dir,Table1[[#This Row],[Direction]],
IF(_xlpm.dir="L",
    IF(F3955-Table1[[#This Row],[Steps]]&lt;0,100+(F3955-Table1[[#This Row],[Steps]]),F3955-Table1[[#This Row],[Steps]]),
))</f>
        <v>0</v>
      </c>
      <c r="E3956">
        <f>_xlfn.LET(_xlpm.dir,Table1[[#This Row],[Direction]],
IF(_xlpm.dir="R",
    IF(F3955+Table1[[#This Row],[Steps]]&gt;99,(F3955+Table1[[#This Row],[Steps]])-100,F3955+Table1[[#This Row],[Steps]]),
))</f>
        <v>10</v>
      </c>
      <c r="F3956">
        <f>IF(Table1[[#This Row],[New Pos L]]&lt;&gt;0,Table1[[#This Row],[New Pos L]],Table1[[#This Row],[New Pos R]])</f>
        <v>10</v>
      </c>
    </row>
    <row r="3957" spans="1:6" ht="16" x14ac:dyDescent="0.2">
      <c r="A3957" s="1" t="s">
        <v>70</v>
      </c>
      <c r="B3957" t="str">
        <f>LEFT(Table1[[#This Row],[Input]],1)</f>
        <v>R</v>
      </c>
      <c r="C3957">
        <f>_xlfn.LET(_xlpm.steps,SUBSTITUTE(Table1[[#This Row],[Input]],Table1[[#This Row],[Direction]],""),VALUE(IF(LEN(_xlpm.steps)&gt;2,RIGHT(_xlpm.steps,2),_xlpm.steps)))</f>
        <v>73</v>
      </c>
      <c r="D3957">
        <f>_xlfn.LET(_xlpm.dir,Table1[[#This Row],[Direction]],
IF(_xlpm.dir="L",
    IF(F3956-Table1[[#This Row],[Steps]]&lt;0,100+(F3956-Table1[[#This Row],[Steps]]),F3956-Table1[[#This Row],[Steps]]),
))</f>
        <v>0</v>
      </c>
      <c r="E3957">
        <f>_xlfn.LET(_xlpm.dir,Table1[[#This Row],[Direction]],
IF(_xlpm.dir="R",
    IF(F3956+Table1[[#This Row],[Steps]]&gt;99,(F3956+Table1[[#This Row],[Steps]])-100,F3956+Table1[[#This Row],[Steps]]),
))</f>
        <v>83</v>
      </c>
      <c r="F3957">
        <f>IF(Table1[[#This Row],[New Pos L]]&lt;&gt;0,Table1[[#This Row],[New Pos L]],Table1[[#This Row],[New Pos R]])</f>
        <v>83</v>
      </c>
    </row>
    <row r="3958" spans="1:6" ht="16" x14ac:dyDescent="0.2">
      <c r="A3958" s="1" t="s">
        <v>122</v>
      </c>
      <c r="B3958" t="str">
        <f>LEFT(Table1[[#This Row],[Input]],1)</f>
        <v>R</v>
      </c>
      <c r="C3958">
        <f>_xlfn.LET(_xlpm.steps,SUBSTITUTE(Table1[[#This Row],[Input]],Table1[[#This Row],[Direction]],""),VALUE(IF(LEN(_xlpm.steps)&gt;2,RIGHT(_xlpm.steps,2),_xlpm.steps)))</f>
        <v>75</v>
      </c>
      <c r="D3958">
        <f>_xlfn.LET(_xlpm.dir,Table1[[#This Row],[Direction]],
IF(_xlpm.dir="L",
    IF(F3957-Table1[[#This Row],[Steps]]&lt;0,100+(F3957-Table1[[#This Row],[Steps]]),F3957-Table1[[#This Row],[Steps]]),
))</f>
        <v>0</v>
      </c>
      <c r="E3958">
        <f>_xlfn.LET(_xlpm.dir,Table1[[#This Row],[Direction]],
IF(_xlpm.dir="R",
    IF(F3957+Table1[[#This Row],[Steps]]&gt;99,(F3957+Table1[[#This Row],[Steps]])-100,F3957+Table1[[#This Row],[Steps]]),
))</f>
        <v>58</v>
      </c>
      <c r="F3958">
        <f>IF(Table1[[#This Row],[New Pos L]]&lt;&gt;0,Table1[[#This Row],[New Pos L]],Table1[[#This Row],[New Pos R]])</f>
        <v>58</v>
      </c>
    </row>
    <row r="3959" spans="1:6" ht="16" x14ac:dyDescent="0.2">
      <c r="A3959" s="1" t="s">
        <v>56</v>
      </c>
      <c r="B3959" t="str">
        <f>LEFT(Table1[[#This Row],[Input]],1)</f>
        <v>R</v>
      </c>
      <c r="C3959">
        <f>_xlfn.LET(_xlpm.steps,SUBSTITUTE(Table1[[#This Row],[Input]],Table1[[#This Row],[Direction]],""),VALUE(IF(LEN(_xlpm.steps)&gt;2,RIGHT(_xlpm.steps,2),_xlpm.steps)))</f>
        <v>42</v>
      </c>
      <c r="D3959">
        <f>_xlfn.LET(_xlpm.dir,Table1[[#This Row],[Direction]],
IF(_xlpm.dir="L",
    IF(F3958-Table1[[#This Row],[Steps]]&lt;0,100+(F3958-Table1[[#This Row],[Steps]]),F3958-Table1[[#This Row],[Steps]]),
))</f>
        <v>0</v>
      </c>
      <c r="E3959">
        <f>_xlfn.LET(_xlpm.dir,Table1[[#This Row],[Direction]],
IF(_xlpm.dir="R",
    IF(F3958+Table1[[#This Row],[Steps]]&gt;99,(F3958+Table1[[#This Row],[Steps]])-100,F3958+Table1[[#This Row],[Steps]]),
))</f>
        <v>0</v>
      </c>
      <c r="F3959">
        <f>IF(Table1[[#This Row],[New Pos L]]&lt;&gt;0,Table1[[#This Row],[New Pos L]],Table1[[#This Row],[New Pos R]])</f>
        <v>0</v>
      </c>
    </row>
    <row r="3960" spans="1:6" ht="16" x14ac:dyDescent="0.2">
      <c r="A3960" s="1" t="s">
        <v>260</v>
      </c>
      <c r="B3960" t="str">
        <f>LEFT(Table1[[#This Row],[Input]],1)</f>
        <v>L</v>
      </c>
      <c r="C3960">
        <f>_xlfn.LET(_xlpm.steps,SUBSTITUTE(Table1[[#This Row],[Input]],Table1[[#This Row],[Direction]],""),VALUE(IF(LEN(_xlpm.steps)&gt;2,RIGHT(_xlpm.steps,2),_xlpm.steps)))</f>
        <v>85</v>
      </c>
      <c r="D3960">
        <f>_xlfn.LET(_xlpm.dir,Table1[[#This Row],[Direction]],
IF(_xlpm.dir="L",
    IF(F3959-Table1[[#This Row],[Steps]]&lt;0,100+(F3959-Table1[[#This Row],[Steps]]),F3959-Table1[[#This Row],[Steps]]),
))</f>
        <v>15</v>
      </c>
      <c r="E3960">
        <f>_xlfn.LET(_xlpm.dir,Table1[[#This Row],[Direction]],
IF(_xlpm.dir="R",
    IF(F3959+Table1[[#This Row],[Steps]]&gt;99,(F3959+Table1[[#This Row],[Steps]])-100,F3959+Table1[[#This Row],[Steps]]),
))</f>
        <v>0</v>
      </c>
      <c r="F3960">
        <f>IF(Table1[[#This Row],[New Pos L]]&lt;&gt;0,Table1[[#This Row],[New Pos L]],Table1[[#This Row],[New Pos R]])</f>
        <v>15</v>
      </c>
    </row>
    <row r="3961" spans="1:6" ht="16" x14ac:dyDescent="0.2">
      <c r="A3961" s="1" t="s">
        <v>88</v>
      </c>
      <c r="B3961" t="str">
        <f>LEFT(Table1[[#This Row],[Input]],1)</f>
        <v>R</v>
      </c>
      <c r="C3961">
        <f>_xlfn.LET(_xlpm.steps,SUBSTITUTE(Table1[[#This Row],[Input]],Table1[[#This Row],[Direction]],""),VALUE(IF(LEN(_xlpm.steps)&gt;2,RIGHT(_xlpm.steps,2),_xlpm.steps)))</f>
        <v>53</v>
      </c>
      <c r="D3961">
        <f>_xlfn.LET(_xlpm.dir,Table1[[#This Row],[Direction]],
IF(_xlpm.dir="L",
    IF(F3960-Table1[[#This Row],[Steps]]&lt;0,100+(F3960-Table1[[#This Row],[Steps]]),F3960-Table1[[#This Row],[Steps]]),
))</f>
        <v>0</v>
      </c>
      <c r="E3961">
        <f>_xlfn.LET(_xlpm.dir,Table1[[#This Row],[Direction]],
IF(_xlpm.dir="R",
    IF(F3960+Table1[[#This Row],[Steps]]&gt;99,(F3960+Table1[[#This Row],[Steps]])-100,F3960+Table1[[#This Row],[Steps]]),
))</f>
        <v>68</v>
      </c>
      <c r="F3961">
        <f>IF(Table1[[#This Row],[New Pos L]]&lt;&gt;0,Table1[[#This Row],[New Pos L]],Table1[[#This Row],[New Pos R]])</f>
        <v>68</v>
      </c>
    </row>
    <row r="3962" spans="1:6" ht="16" x14ac:dyDescent="0.2">
      <c r="A3962" s="1" t="s">
        <v>39</v>
      </c>
      <c r="B3962" t="str">
        <f>LEFT(Table1[[#This Row],[Input]],1)</f>
        <v>R</v>
      </c>
      <c r="C3962">
        <f>_xlfn.LET(_xlpm.steps,SUBSTITUTE(Table1[[#This Row],[Input]],Table1[[#This Row],[Direction]],""),VALUE(IF(LEN(_xlpm.steps)&gt;2,RIGHT(_xlpm.steps,2),_xlpm.steps)))</f>
        <v>32</v>
      </c>
      <c r="D3962">
        <f>_xlfn.LET(_xlpm.dir,Table1[[#This Row],[Direction]],
IF(_xlpm.dir="L",
    IF(F3961-Table1[[#This Row],[Steps]]&lt;0,100+(F3961-Table1[[#This Row],[Steps]]),F3961-Table1[[#This Row],[Steps]]),
))</f>
        <v>0</v>
      </c>
      <c r="E3962">
        <f>_xlfn.LET(_xlpm.dir,Table1[[#This Row],[Direction]],
IF(_xlpm.dir="R",
    IF(F3961+Table1[[#This Row],[Steps]]&gt;99,(F3961+Table1[[#This Row],[Steps]])-100,F3961+Table1[[#This Row],[Steps]]),
))</f>
        <v>0</v>
      </c>
      <c r="F3962">
        <f>IF(Table1[[#This Row],[New Pos L]]&lt;&gt;0,Table1[[#This Row],[New Pos L]],Table1[[#This Row],[New Pos R]])</f>
        <v>0</v>
      </c>
    </row>
    <row r="3963" spans="1:6" ht="16" x14ac:dyDescent="0.2">
      <c r="A3963" s="1" t="s">
        <v>353</v>
      </c>
      <c r="B3963" t="str">
        <f>LEFT(Table1[[#This Row],[Input]],1)</f>
        <v>R</v>
      </c>
      <c r="C3963">
        <f>_xlfn.LET(_xlpm.steps,SUBSTITUTE(Table1[[#This Row],[Input]],Table1[[#This Row],[Direction]],""),VALUE(IF(LEN(_xlpm.steps)&gt;2,RIGHT(_xlpm.steps,2),_xlpm.steps)))</f>
        <v>7</v>
      </c>
      <c r="D3963">
        <f>_xlfn.LET(_xlpm.dir,Table1[[#This Row],[Direction]],
IF(_xlpm.dir="L",
    IF(F3962-Table1[[#This Row],[Steps]]&lt;0,100+(F3962-Table1[[#This Row],[Steps]]),F3962-Table1[[#This Row],[Steps]]),
))</f>
        <v>0</v>
      </c>
      <c r="E3963">
        <f>_xlfn.LET(_xlpm.dir,Table1[[#This Row],[Direction]],
IF(_xlpm.dir="R",
    IF(F3962+Table1[[#This Row],[Steps]]&gt;99,(F3962+Table1[[#This Row],[Steps]])-100,F3962+Table1[[#This Row],[Steps]]),
))</f>
        <v>7</v>
      </c>
      <c r="F3963">
        <f>IF(Table1[[#This Row],[New Pos L]]&lt;&gt;0,Table1[[#This Row],[New Pos L]],Table1[[#This Row],[New Pos R]])</f>
        <v>7</v>
      </c>
    </row>
    <row r="3964" spans="1:6" ht="16" x14ac:dyDescent="0.2">
      <c r="A3964" s="1" t="s">
        <v>191</v>
      </c>
      <c r="B3964" t="str">
        <f>LEFT(Table1[[#This Row],[Input]],1)</f>
        <v>L</v>
      </c>
      <c r="C3964">
        <f>_xlfn.LET(_xlpm.steps,SUBSTITUTE(Table1[[#This Row],[Input]],Table1[[#This Row],[Direction]],""),VALUE(IF(LEN(_xlpm.steps)&gt;2,RIGHT(_xlpm.steps,2),_xlpm.steps)))</f>
        <v>5</v>
      </c>
      <c r="D3964">
        <f>_xlfn.LET(_xlpm.dir,Table1[[#This Row],[Direction]],
IF(_xlpm.dir="L",
    IF(F3963-Table1[[#This Row],[Steps]]&lt;0,100+(F3963-Table1[[#This Row],[Steps]]),F3963-Table1[[#This Row],[Steps]]),
))</f>
        <v>2</v>
      </c>
      <c r="E3964">
        <f>_xlfn.LET(_xlpm.dir,Table1[[#This Row],[Direction]],
IF(_xlpm.dir="R",
    IF(F3963+Table1[[#This Row],[Steps]]&gt;99,(F3963+Table1[[#This Row],[Steps]])-100,F3963+Table1[[#This Row],[Steps]]),
))</f>
        <v>0</v>
      </c>
      <c r="F3964">
        <f>IF(Table1[[#This Row],[New Pos L]]&lt;&gt;0,Table1[[#This Row],[New Pos L]],Table1[[#This Row],[New Pos R]])</f>
        <v>2</v>
      </c>
    </row>
    <row r="3965" spans="1:6" ht="16" x14ac:dyDescent="0.2">
      <c r="A3965" s="1" t="s">
        <v>131</v>
      </c>
      <c r="B3965" t="str">
        <f>LEFT(Table1[[#This Row],[Input]],1)</f>
        <v>R</v>
      </c>
      <c r="C3965">
        <f>_xlfn.LET(_xlpm.steps,SUBSTITUTE(Table1[[#This Row],[Input]],Table1[[#This Row],[Direction]],""),VALUE(IF(LEN(_xlpm.steps)&gt;2,RIGHT(_xlpm.steps,2),_xlpm.steps)))</f>
        <v>99</v>
      </c>
      <c r="D3965">
        <f>_xlfn.LET(_xlpm.dir,Table1[[#This Row],[Direction]],
IF(_xlpm.dir="L",
    IF(F3964-Table1[[#This Row],[Steps]]&lt;0,100+(F3964-Table1[[#This Row],[Steps]]),F3964-Table1[[#This Row],[Steps]]),
))</f>
        <v>0</v>
      </c>
      <c r="E3965">
        <f>_xlfn.LET(_xlpm.dir,Table1[[#This Row],[Direction]],
IF(_xlpm.dir="R",
    IF(F3964+Table1[[#This Row],[Steps]]&gt;99,(F3964+Table1[[#This Row],[Steps]])-100,F3964+Table1[[#This Row],[Steps]]),
))</f>
        <v>1</v>
      </c>
      <c r="F3965">
        <f>IF(Table1[[#This Row],[New Pos L]]&lt;&gt;0,Table1[[#This Row],[New Pos L]],Table1[[#This Row],[New Pos R]])</f>
        <v>1</v>
      </c>
    </row>
    <row r="3966" spans="1:6" ht="16" x14ac:dyDescent="0.2">
      <c r="A3966" s="1" t="s">
        <v>276</v>
      </c>
      <c r="B3966" t="str">
        <f>LEFT(Table1[[#This Row],[Input]],1)</f>
        <v>L</v>
      </c>
      <c r="C3966">
        <f>_xlfn.LET(_xlpm.steps,SUBSTITUTE(Table1[[#This Row],[Input]],Table1[[#This Row],[Direction]],""),VALUE(IF(LEN(_xlpm.steps)&gt;2,RIGHT(_xlpm.steps,2),_xlpm.steps)))</f>
        <v>60</v>
      </c>
      <c r="D3966">
        <f>_xlfn.LET(_xlpm.dir,Table1[[#This Row],[Direction]],
IF(_xlpm.dir="L",
    IF(F3965-Table1[[#This Row],[Steps]]&lt;0,100+(F3965-Table1[[#This Row],[Steps]]),F3965-Table1[[#This Row],[Steps]]),
))</f>
        <v>41</v>
      </c>
      <c r="E3966">
        <f>_xlfn.LET(_xlpm.dir,Table1[[#This Row],[Direction]],
IF(_xlpm.dir="R",
    IF(F3965+Table1[[#This Row],[Steps]]&gt;99,(F3965+Table1[[#This Row],[Steps]])-100,F3965+Table1[[#This Row],[Steps]]),
))</f>
        <v>0</v>
      </c>
      <c r="F3966">
        <f>IF(Table1[[#This Row],[New Pos L]]&lt;&gt;0,Table1[[#This Row],[New Pos L]],Table1[[#This Row],[New Pos R]])</f>
        <v>41</v>
      </c>
    </row>
    <row r="3967" spans="1:6" ht="16" x14ac:dyDescent="0.2">
      <c r="A3967" s="1" t="s">
        <v>218</v>
      </c>
      <c r="B3967" t="str">
        <f>LEFT(Table1[[#This Row],[Input]],1)</f>
        <v>R</v>
      </c>
      <c r="C3967">
        <f>_xlfn.LET(_xlpm.steps,SUBSTITUTE(Table1[[#This Row],[Input]],Table1[[#This Row],[Direction]],""),VALUE(IF(LEN(_xlpm.steps)&gt;2,RIGHT(_xlpm.steps,2),_xlpm.steps)))</f>
        <v>35</v>
      </c>
      <c r="D3967">
        <f>_xlfn.LET(_xlpm.dir,Table1[[#This Row],[Direction]],
IF(_xlpm.dir="L",
    IF(F3966-Table1[[#This Row],[Steps]]&lt;0,100+(F3966-Table1[[#This Row],[Steps]]),F3966-Table1[[#This Row],[Steps]]),
))</f>
        <v>0</v>
      </c>
      <c r="E3967">
        <f>_xlfn.LET(_xlpm.dir,Table1[[#This Row],[Direction]],
IF(_xlpm.dir="R",
    IF(F3966+Table1[[#This Row],[Steps]]&gt;99,(F3966+Table1[[#This Row],[Steps]])-100,F3966+Table1[[#This Row],[Steps]]),
))</f>
        <v>76</v>
      </c>
      <c r="F3967">
        <f>IF(Table1[[#This Row],[New Pos L]]&lt;&gt;0,Table1[[#This Row],[New Pos L]],Table1[[#This Row],[New Pos R]])</f>
        <v>76</v>
      </c>
    </row>
    <row r="3968" spans="1:6" ht="16" x14ac:dyDescent="0.2">
      <c r="A3968" s="1" t="s">
        <v>111</v>
      </c>
      <c r="B3968" t="str">
        <f>LEFT(Table1[[#This Row],[Input]],1)</f>
        <v>R</v>
      </c>
      <c r="C3968">
        <f>_xlfn.LET(_xlpm.steps,SUBSTITUTE(Table1[[#This Row],[Input]],Table1[[#This Row],[Direction]],""),VALUE(IF(LEN(_xlpm.steps)&gt;2,RIGHT(_xlpm.steps,2),_xlpm.steps)))</f>
        <v>64</v>
      </c>
      <c r="D3968">
        <f>_xlfn.LET(_xlpm.dir,Table1[[#This Row],[Direction]],
IF(_xlpm.dir="L",
    IF(F3967-Table1[[#This Row],[Steps]]&lt;0,100+(F3967-Table1[[#This Row],[Steps]]),F3967-Table1[[#This Row],[Steps]]),
))</f>
        <v>0</v>
      </c>
      <c r="E3968">
        <f>_xlfn.LET(_xlpm.dir,Table1[[#This Row],[Direction]],
IF(_xlpm.dir="R",
    IF(F3967+Table1[[#This Row],[Steps]]&gt;99,(F3967+Table1[[#This Row],[Steps]])-100,F3967+Table1[[#This Row],[Steps]]),
))</f>
        <v>40</v>
      </c>
      <c r="F3968">
        <f>IF(Table1[[#This Row],[New Pos L]]&lt;&gt;0,Table1[[#This Row],[New Pos L]],Table1[[#This Row],[New Pos R]])</f>
        <v>40</v>
      </c>
    </row>
    <row r="3969" spans="1:6" ht="16" x14ac:dyDescent="0.2">
      <c r="A3969" s="1" t="s">
        <v>58</v>
      </c>
      <c r="B3969" t="str">
        <f>LEFT(Table1[[#This Row],[Input]],1)</f>
        <v>L</v>
      </c>
      <c r="C3969">
        <f>_xlfn.LET(_xlpm.steps,SUBSTITUTE(Table1[[#This Row],[Input]],Table1[[#This Row],[Direction]],""),VALUE(IF(LEN(_xlpm.steps)&gt;2,RIGHT(_xlpm.steps,2),_xlpm.steps)))</f>
        <v>30</v>
      </c>
      <c r="D3969">
        <f>_xlfn.LET(_xlpm.dir,Table1[[#This Row],[Direction]],
IF(_xlpm.dir="L",
    IF(F3968-Table1[[#This Row],[Steps]]&lt;0,100+(F3968-Table1[[#This Row],[Steps]]),F3968-Table1[[#This Row],[Steps]]),
))</f>
        <v>10</v>
      </c>
      <c r="E3969">
        <f>_xlfn.LET(_xlpm.dir,Table1[[#This Row],[Direction]],
IF(_xlpm.dir="R",
    IF(F3968+Table1[[#This Row],[Steps]]&gt;99,(F3968+Table1[[#This Row],[Steps]])-100,F3968+Table1[[#This Row],[Steps]]),
))</f>
        <v>0</v>
      </c>
      <c r="F3969">
        <f>IF(Table1[[#This Row],[New Pos L]]&lt;&gt;0,Table1[[#This Row],[New Pos L]],Table1[[#This Row],[New Pos R]])</f>
        <v>10</v>
      </c>
    </row>
    <row r="3970" spans="1:6" ht="16" x14ac:dyDescent="0.2">
      <c r="A3970" s="1" t="s">
        <v>74</v>
      </c>
      <c r="B3970" t="str">
        <f>LEFT(Table1[[#This Row],[Input]],1)</f>
        <v>R</v>
      </c>
      <c r="C3970">
        <f>_xlfn.LET(_xlpm.steps,SUBSTITUTE(Table1[[#This Row],[Input]],Table1[[#This Row],[Direction]],""),VALUE(IF(LEN(_xlpm.steps)&gt;2,RIGHT(_xlpm.steps,2),_xlpm.steps)))</f>
        <v>93</v>
      </c>
      <c r="D3970">
        <f>_xlfn.LET(_xlpm.dir,Table1[[#This Row],[Direction]],
IF(_xlpm.dir="L",
    IF(F3969-Table1[[#This Row],[Steps]]&lt;0,100+(F3969-Table1[[#This Row],[Steps]]),F3969-Table1[[#This Row],[Steps]]),
))</f>
        <v>0</v>
      </c>
      <c r="E3970">
        <f>_xlfn.LET(_xlpm.dir,Table1[[#This Row],[Direction]],
IF(_xlpm.dir="R",
    IF(F3969+Table1[[#This Row],[Steps]]&gt;99,(F3969+Table1[[#This Row],[Steps]])-100,F3969+Table1[[#This Row],[Steps]]),
))</f>
        <v>3</v>
      </c>
      <c r="F3970">
        <f>IF(Table1[[#This Row],[New Pos L]]&lt;&gt;0,Table1[[#This Row],[New Pos L]],Table1[[#This Row],[New Pos R]])</f>
        <v>3</v>
      </c>
    </row>
    <row r="3971" spans="1:6" ht="16" x14ac:dyDescent="0.2">
      <c r="A3971" s="1" t="s">
        <v>165</v>
      </c>
      <c r="B3971" t="str">
        <f>LEFT(Table1[[#This Row],[Input]],1)</f>
        <v>R</v>
      </c>
      <c r="C3971">
        <f>_xlfn.LET(_xlpm.steps,SUBSTITUTE(Table1[[#This Row],[Input]],Table1[[#This Row],[Direction]],""),VALUE(IF(LEN(_xlpm.steps)&gt;2,RIGHT(_xlpm.steps,2),_xlpm.steps)))</f>
        <v>55</v>
      </c>
      <c r="D3971">
        <f>_xlfn.LET(_xlpm.dir,Table1[[#This Row],[Direction]],
IF(_xlpm.dir="L",
    IF(F3970-Table1[[#This Row],[Steps]]&lt;0,100+(F3970-Table1[[#This Row],[Steps]]),F3970-Table1[[#This Row],[Steps]]),
))</f>
        <v>0</v>
      </c>
      <c r="E3971">
        <f>_xlfn.LET(_xlpm.dir,Table1[[#This Row],[Direction]],
IF(_xlpm.dir="R",
    IF(F3970+Table1[[#This Row],[Steps]]&gt;99,(F3970+Table1[[#This Row],[Steps]])-100,F3970+Table1[[#This Row],[Steps]]),
))</f>
        <v>58</v>
      </c>
      <c r="F3971">
        <f>IF(Table1[[#This Row],[New Pos L]]&lt;&gt;0,Table1[[#This Row],[New Pos L]],Table1[[#This Row],[New Pos R]])</f>
        <v>58</v>
      </c>
    </row>
    <row r="3972" spans="1:6" ht="16" x14ac:dyDescent="0.2">
      <c r="A3972" s="1" t="s">
        <v>138</v>
      </c>
      <c r="B3972" t="str">
        <f>LEFT(Table1[[#This Row],[Input]],1)</f>
        <v>L</v>
      </c>
      <c r="C3972">
        <f>_xlfn.LET(_xlpm.steps,SUBSTITUTE(Table1[[#This Row],[Input]],Table1[[#This Row],[Direction]],""),VALUE(IF(LEN(_xlpm.steps)&gt;2,RIGHT(_xlpm.steps,2),_xlpm.steps)))</f>
        <v>94</v>
      </c>
      <c r="D3972">
        <f>_xlfn.LET(_xlpm.dir,Table1[[#This Row],[Direction]],
IF(_xlpm.dir="L",
    IF(F3971-Table1[[#This Row],[Steps]]&lt;0,100+(F3971-Table1[[#This Row],[Steps]]),F3971-Table1[[#This Row],[Steps]]),
))</f>
        <v>64</v>
      </c>
      <c r="E3972">
        <f>_xlfn.LET(_xlpm.dir,Table1[[#This Row],[Direction]],
IF(_xlpm.dir="R",
    IF(F3971+Table1[[#This Row],[Steps]]&gt;99,(F3971+Table1[[#This Row],[Steps]])-100,F3971+Table1[[#This Row],[Steps]]),
))</f>
        <v>0</v>
      </c>
      <c r="F3972">
        <f>IF(Table1[[#This Row],[New Pos L]]&lt;&gt;0,Table1[[#This Row],[New Pos L]],Table1[[#This Row],[New Pos R]])</f>
        <v>64</v>
      </c>
    </row>
    <row r="3973" spans="1:6" ht="16" x14ac:dyDescent="0.2">
      <c r="A3973" s="1" t="s">
        <v>179</v>
      </c>
      <c r="B3973" t="str">
        <f>LEFT(Table1[[#This Row],[Input]],1)</f>
        <v>L</v>
      </c>
      <c r="C3973">
        <f>_xlfn.LET(_xlpm.steps,SUBSTITUTE(Table1[[#This Row],[Input]],Table1[[#This Row],[Direction]],""),VALUE(IF(LEN(_xlpm.steps)&gt;2,RIGHT(_xlpm.steps,2),_xlpm.steps)))</f>
        <v>54</v>
      </c>
      <c r="D3973">
        <f>_xlfn.LET(_xlpm.dir,Table1[[#This Row],[Direction]],
IF(_xlpm.dir="L",
    IF(F3972-Table1[[#This Row],[Steps]]&lt;0,100+(F3972-Table1[[#This Row],[Steps]]),F3972-Table1[[#This Row],[Steps]]),
))</f>
        <v>10</v>
      </c>
      <c r="E3973">
        <f>_xlfn.LET(_xlpm.dir,Table1[[#This Row],[Direction]],
IF(_xlpm.dir="R",
    IF(F3972+Table1[[#This Row],[Steps]]&gt;99,(F3972+Table1[[#This Row],[Steps]])-100,F3972+Table1[[#This Row],[Steps]]),
))</f>
        <v>0</v>
      </c>
      <c r="F3973">
        <f>IF(Table1[[#This Row],[New Pos L]]&lt;&gt;0,Table1[[#This Row],[New Pos L]],Table1[[#This Row],[New Pos R]])</f>
        <v>10</v>
      </c>
    </row>
    <row r="3974" spans="1:6" ht="16" x14ac:dyDescent="0.2">
      <c r="A3974" s="1" t="s">
        <v>396</v>
      </c>
      <c r="B3974" t="str">
        <f>LEFT(Table1[[#This Row],[Input]],1)</f>
        <v>R</v>
      </c>
      <c r="C3974">
        <f>_xlfn.LET(_xlpm.steps,SUBSTITUTE(Table1[[#This Row],[Input]],Table1[[#This Row],[Direction]],""),VALUE(IF(LEN(_xlpm.steps)&gt;2,RIGHT(_xlpm.steps,2),_xlpm.steps)))</f>
        <v>84</v>
      </c>
      <c r="D3974">
        <f>_xlfn.LET(_xlpm.dir,Table1[[#This Row],[Direction]],
IF(_xlpm.dir="L",
    IF(F3973-Table1[[#This Row],[Steps]]&lt;0,100+(F3973-Table1[[#This Row],[Steps]]),F3973-Table1[[#This Row],[Steps]]),
))</f>
        <v>0</v>
      </c>
      <c r="E3974">
        <f>_xlfn.LET(_xlpm.dir,Table1[[#This Row],[Direction]],
IF(_xlpm.dir="R",
    IF(F3973+Table1[[#This Row],[Steps]]&gt;99,(F3973+Table1[[#This Row],[Steps]])-100,F3973+Table1[[#This Row],[Steps]]),
))</f>
        <v>94</v>
      </c>
      <c r="F3974">
        <f>IF(Table1[[#This Row],[New Pos L]]&lt;&gt;0,Table1[[#This Row],[New Pos L]],Table1[[#This Row],[New Pos R]])</f>
        <v>94</v>
      </c>
    </row>
    <row r="3975" spans="1:6" ht="16" x14ac:dyDescent="0.2">
      <c r="A3975" s="1" t="s">
        <v>26</v>
      </c>
      <c r="B3975" t="str">
        <f>LEFT(Table1[[#This Row],[Input]],1)</f>
        <v>R</v>
      </c>
      <c r="C3975">
        <f>_xlfn.LET(_xlpm.steps,SUBSTITUTE(Table1[[#This Row],[Input]],Table1[[#This Row],[Direction]],""),VALUE(IF(LEN(_xlpm.steps)&gt;2,RIGHT(_xlpm.steps,2),_xlpm.steps)))</f>
        <v>6</v>
      </c>
      <c r="D3975">
        <f>_xlfn.LET(_xlpm.dir,Table1[[#This Row],[Direction]],
IF(_xlpm.dir="L",
    IF(F3974-Table1[[#This Row],[Steps]]&lt;0,100+(F3974-Table1[[#This Row],[Steps]]),F3974-Table1[[#This Row],[Steps]]),
))</f>
        <v>0</v>
      </c>
      <c r="E3975">
        <f>_xlfn.LET(_xlpm.dir,Table1[[#This Row],[Direction]],
IF(_xlpm.dir="R",
    IF(F3974+Table1[[#This Row],[Steps]]&gt;99,(F3974+Table1[[#This Row],[Steps]])-100,F3974+Table1[[#This Row],[Steps]]),
))</f>
        <v>0</v>
      </c>
      <c r="F3975">
        <f>IF(Table1[[#This Row],[New Pos L]]&lt;&gt;0,Table1[[#This Row],[New Pos L]],Table1[[#This Row],[New Pos R]])</f>
        <v>0</v>
      </c>
    </row>
    <row r="3976" spans="1:6" ht="16" x14ac:dyDescent="0.2">
      <c r="A3976" s="1" t="s">
        <v>309</v>
      </c>
      <c r="B3976" t="str">
        <f>LEFT(Table1[[#This Row],[Input]],1)</f>
        <v>L</v>
      </c>
      <c r="C3976">
        <f>_xlfn.LET(_xlpm.steps,SUBSTITUTE(Table1[[#This Row],[Input]],Table1[[#This Row],[Direction]],""),VALUE(IF(LEN(_xlpm.steps)&gt;2,RIGHT(_xlpm.steps,2),_xlpm.steps)))</f>
        <v>41</v>
      </c>
      <c r="D3976">
        <f>_xlfn.LET(_xlpm.dir,Table1[[#This Row],[Direction]],
IF(_xlpm.dir="L",
    IF(F3975-Table1[[#This Row],[Steps]]&lt;0,100+(F3975-Table1[[#This Row],[Steps]]),F3975-Table1[[#This Row],[Steps]]),
))</f>
        <v>59</v>
      </c>
      <c r="E3976">
        <f>_xlfn.LET(_xlpm.dir,Table1[[#This Row],[Direction]],
IF(_xlpm.dir="R",
    IF(F3975+Table1[[#This Row],[Steps]]&gt;99,(F3975+Table1[[#This Row],[Steps]])-100,F3975+Table1[[#This Row],[Steps]]),
))</f>
        <v>0</v>
      </c>
      <c r="F3976">
        <f>IF(Table1[[#This Row],[New Pos L]]&lt;&gt;0,Table1[[#This Row],[New Pos L]],Table1[[#This Row],[New Pos R]])</f>
        <v>59</v>
      </c>
    </row>
    <row r="3977" spans="1:6" ht="16" x14ac:dyDescent="0.2">
      <c r="A3977" s="1" t="s">
        <v>167</v>
      </c>
      <c r="B3977" t="str">
        <f>LEFT(Table1[[#This Row],[Input]],1)</f>
        <v>L</v>
      </c>
      <c r="C3977">
        <f>_xlfn.LET(_xlpm.steps,SUBSTITUTE(Table1[[#This Row],[Input]],Table1[[#This Row],[Direction]],""),VALUE(IF(LEN(_xlpm.steps)&gt;2,RIGHT(_xlpm.steps,2),_xlpm.steps)))</f>
        <v>59</v>
      </c>
      <c r="D3977">
        <f>_xlfn.LET(_xlpm.dir,Table1[[#This Row],[Direction]],
IF(_xlpm.dir="L",
    IF(F3976-Table1[[#This Row],[Steps]]&lt;0,100+(F3976-Table1[[#This Row],[Steps]]),F3976-Table1[[#This Row],[Steps]]),
))</f>
        <v>0</v>
      </c>
      <c r="E3977">
        <f>_xlfn.LET(_xlpm.dir,Table1[[#This Row],[Direction]],
IF(_xlpm.dir="R",
    IF(F3976+Table1[[#This Row],[Steps]]&gt;99,(F3976+Table1[[#This Row],[Steps]])-100,F3976+Table1[[#This Row],[Steps]]),
))</f>
        <v>0</v>
      </c>
      <c r="F3977">
        <f>IF(Table1[[#This Row],[New Pos L]]&lt;&gt;0,Table1[[#This Row],[New Pos L]],Table1[[#This Row],[New Pos R]])</f>
        <v>0</v>
      </c>
    </row>
    <row r="3978" spans="1:6" ht="16" x14ac:dyDescent="0.2">
      <c r="A3978" s="1" t="s">
        <v>223</v>
      </c>
      <c r="B3978" t="str">
        <f>LEFT(Table1[[#This Row],[Input]],1)</f>
        <v>L</v>
      </c>
      <c r="C3978">
        <f>_xlfn.LET(_xlpm.steps,SUBSTITUTE(Table1[[#This Row],[Input]],Table1[[#This Row],[Direction]],""),VALUE(IF(LEN(_xlpm.steps)&gt;2,RIGHT(_xlpm.steps,2),_xlpm.steps)))</f>
        <v>87</v>
      </c>
      <c r="D3978">
        <f>_xlfn.LET(_xlpm.dir,Table1[[#This Row],[Direction]],
IF(_xlpm.dir="L",
    IF(F3977-Table1[[#This Row],[Steps]]&lt;0,100+(F3977-Table1[[#This Row],[Steps]]),F3977-Table1[[#This Row],[Steps]]),
))</f>
        <v>13</v>
      </c>
      <c r="E3978">
        <f>_xlfn.LET(_xlpm.dir,Table1[[#This Row],[Direction]],
IF(_xlpm.dir="R",
    IF(F3977+Table1[[#This Row],[Steps]]&gt;99,(F3977+Table1[[#This Row],[Steps]])-100,F3977+Table1[[#This Row],[Steps]]),
))</f>
        <v>0</v>
      </c>
      <c r="F3978">
        <f>IF(Table1[[#This Row],[New Pos L]]&lt;&gt;0,Table1[[#This Row],[New Pos L]],Table1[[#This Row],[New Pos R]])</f>
        <v>13</v>
      </c>
    </row>
    <row r="3979" spans="1:6" ht="16" x14ac:dyDescent="0.2">
      <c r="A3979" s="1" t="s">
        <v>138</v>
      </c>
      <c r="B3979" t="str">
        <f>LEFT(Table1[[#This Row],[Input]],1)</f>
        <v>L</v>
      </c>
      <c r="C3979">
        <f>_xlfn.LET(_xlpm.steps,SUBSTITUTE(Table1[[#This Row],[Input]],Table1[[#This Row],[Direction]],""),VALUE(IF(LEN(_xlpm.steps)&gt;2,RIGHT(_xlpm.steps,2),_xlpm.steps)))</f>
        <v>94</v>
      </c>
      <c r="D3979">
        <f>_xlfn.LET(_xlpm.dir,Table1[[#This Row],[Direction]],
IF(_xlpm.dir="L",
    IF(F3978-Table1[[#This Row],[Steps]]&lt;0,100+(F3978-Table1[[#This Row],[Steps]]),F3978-Table1[[#This Row],[Steps]]),
))</f>
        <v>19</v>
      </c>
      <c r="E3979">
        <f>_xlfn.LET(_xlpm.dir,Table1[[#This Row],[Direction]],
IF(_xlpm.dir="R",
    IF(F3978+Table1[[#This Row],[Steps]]&gt;99,(F3978+Table1[[#This Row],[Steps]])-100,F3978+Table1[[#This Row],[Steps]]),
))</f>
        <v>0</v>
      </c>
      <c r="F3979">
        <f>IF(Table1[[#This Row],[New Pos L]]&lt;&gt;0,Table1[[#This Row],[New Pos L]],Table1[[#This Row],[New Pos R]])</f>
        <v>19</v>
      </c>
    </row>
    <row r="3980" spans="1:6" ht="16" x14ac:dyDescent="0.2">
      <c r="A3980" s="1" t="s">
        <v>822</v>
      </c>
      <c r="B3980" t="str">
        <f>LEFT(Table1[[#This Row],[Input]],1)</f>
        <v>R</v>
      </c>
      <c r="C3980">
        <f>_xlfn.LET(_xlpm.steps,SUBSTITUTE(Table1[[#This Row],[Input]],Table1[[#This Row],[Direction]],""),VALUE(IF(LEN(_xlpm.steps)&gt;2,RIGHT(_xlpm.steps,2),_xlpm.steps)))</f>
        <v>25</v>
      </c>
      <c r="D3980">
        <f>_xlfn.LET(_xlpm.dir,Table1[[#This Row],[Direction]],
IF(_xlpm.dir="L",
    IF(F3979-Table1[[#This Row],[Steps]]&lt;0,100+(F3979-Table1[[#This Row],[Steps]]),F3979-Table1[[#This Row],[Steps]]),
))</f>
        <v>0</v>
      </c>
      <c r="E3980">
        <f>_xlfn.LET(_xlpm.dir,Table1[[#This Row],[Direction]],
IF(_xlpm.dir="R",
    IF(F3979+Table1[[#This Row],[Steps]]&gt;99,(F3979+Table1[[#This Row],[Steps]])-100,F3979+Table1[[#This Row],[Steps]]),
))</f>
        <v>44</v>
      </c>
      <c r="F3980">
        <f>IF(Table1[[#This Row],[New Pos L]]&lt;&gt;0,Table1[[#This Row],[New Pos L]],Table1[[#This Row],[New Pos R]])</f>
        <v>44</v>
      </c>
    </row>
    <row r="3981" spans="1:6" ht="16" x14ac:dyDescent="0.2">
      <c r="A3981" s="1" t="s">
        <v>37</v>
      </c>
      <c r="B3981" t="str">
        <f>LEFT(Table1[[#This Row],[Input]],1)</f>
        <v>L</v>
      </c>
      <c r="C3981">
        <f>_xlfn.LET(_xlpm.steps,SUBSTITUTE(Table1[[#This Row],[Input]],Table1[[#This Row],[Direction]],""),VALUE(IF(LEN(_xlpm.steps)&gt;2,RIGHT(_xlpm.steps,2),_xlpm.steps)))</f>
        <v>42</v>
      </c>
      <c r="D3981">
        <f>_xlfn.LET(_xlpm.dir,Table1[[#This Row],[Direction]],
IF(_xlpm.dir="L",
    IF(F3980-Table1[[#This Row],[Steps]]&lt;0,100+(F3980-Table1[[#This Row],[Steps]]),F3980-Table1[[#This Row],[Steps]]),
))</f>
        <v>2</v>
      </c>
      <c r="E3981">
        <f>_xlfn.LET(_xlpm.dir,Table1[[#This Row],[Direction]],
IF(_xlpm.dir="R",
    IF(F3980+Table1[[#This Row],[Steps]]&gt;99,(F3980+Table1[[#This Row],[Steps]])-100,F3980+Table1[[#This Row],[Steps]]),
))</f>
        <v>0</v>
      </c>
      <c r="F3981">
        <f>IF(Table1[[#This Row],[New Pos L]]&lt;&gt;0,Table1[[#This Row],[New Pos L]],Table1[[#This Row],[New Pos R]])</f>
        <v>2</v>
      </c>
    </row>
    <row r="3982" spans="1:6" ht="16" x14ac:dyDescent="0.2">
      <c r="A3982" s="1" t="s">
        <v>319</v>
      </c>
      <c r="B3982" t="str">
        <f>LEFT(Table1[[#This Row],[Input]],1)</f>
        <v>L</v>
      </c>
      <c r="C3982">
        <f>_xlfn.LET(_xlpm.steps,SUBSTITUTE(Table1[[#This Row],[Input]],Table1[[#This Row],[Direction]],""),VALUE(IF(LEN(_xlpm.steps)&gt;2,RIGHT(_xlpm.steps,2),_xlpm.steps)))</f>
        <v>79</v>
      </c>
      <c r="D3982">
        <f>_xlfn.LET(_xlpm.dir,Table1[[#This Row],[Direction]],
IF(_xlpm.dir="L",
    IF(F3981-Table1[[#This Row],[Steps]]&lt;0,100+(F3981-Table1[[#This Row],[Steps]]),F3981-Table1[[#This Row],[Steps]]),
))</f>
        <v>23</v>
      </c>
      <c r="E3982">
        <f>_xlfn.LET(_xlpm.dir,Table1[[#This Row],[Direction]],
IF(_xlpm.dir="R",
    IF(F3981+Table1[[#This Row],[Steps]]&gt;99,(F3981+Table1[[#This Row],[Steps]])-100,F3981+Table1[[#This Row],[Steps]]),
))</f>
        <v>0</v>
      </c>
      <c r="F3982">
        <f>IF(Table1[[#This Row],[New Pos L]]&lt;&gt;0,Table1[[#This Row],[New Pos L]],Table1[[#This Row],[New Pos R]])</f>
        <v>23</v>
      </c>
    </row>
    <row r="3983" spans="1:6" ht="16" x14ac:dyDescent="0.2">
      <c r="A3983" s="1" t="s">
        <v>205</v>
      </c>
      <c r="B3983" t="str">
        <f>LEFT(Table1[[#This Row],[Input]],1)</f>
        <v>R</v>
      </c>
      <c r="C3983">
        <f>_xlfn.LET(_xlpm.steps,SUBSTITUTE(Table1[[#This Row],[Input]],Table1[[#This Row],[Direction]],""),VALUE(IF(LEN(_xlpm.steps)&gt;2,RIGHT(_xlpm.steps,2),_xlpm.steps)))</f>
        <v>83</v>
      </c>
      <c r="D3983">
        <f>_xlfn.LET(_xlpm.dir,Table1[[#This Row],[Direction]],
IF(_xlpm.dir="L",
    IF(F3982-Table1[[#This Row],[Steps]]&lt;0,100+(F3982-Table1[[#This Row],[Steps]]),F3982-Table1[[#This Row],[Steps]]),
))</f>
        <v>0</v>
      </c>
      <c r="E3983">
        <f>_xlfn.LET(_xlpm.dir,Table1[[#This Row],[Direction]],
IF(_xlpm.dir="R",
    IF(F3982+Table1[[#This Row],[Steps]]&gt;99,(F3982+Table1[[#This Row],[Steps]])-100,F3982+Table1[[#This Row],[Steps]]),
))</f>
        <v>6</v>
      </c>
      <c r="F3983">
        <f>IF(Table1[[#This Row],[New Pos L]]&lt;&gt;0,Table1[[#This Row],[New Pos L]],Table1[[#This Row],[New Pos R]])</f>
        <v>6</v>
      </c>
    </row>
    <row r="3984" spans="1:6" ht="16" x14ac:dyDescent="0.2">
      <c r="A3984" s="1" t="s">
        <v>253</v>
      </c>
      <c r="B3984" t="str">
        <f>LEFT(Table1[[#This Row],[Input]],1)</f>
        <v>R</v>
      </c>
      <c r="C3984">
        <f>_xlfn.LET(_xlpm.steps,SUBSTITUTE(Table1[[#This Row],[Input]],Table1[[#This Row],[Direction]],""),VALUE(IF(LEN(_xlpm.steps)&gt;2,RIGHT(_xlpm.steps,2),_xlpm.steps)))</f>
        <v>94</v>
      </c>
      <c r="D3984">
        <f>_xlfn.LET(_xlpm.dir,Table1[[#This Row],[Direction]],
IF(_xlpm.dir="L",
    IF(F3983-Table1[[#This Row],[Steps]]&lt;0,100+(F3983-Table1[[#This Row],[Steps]]),F3983-Table1[[#This Row],[Steps]]),
))</f>
        <v>0</v>
      </c>
      <c r="E3984">
        <f>_xlfn.LET(_xlpm.dir,Table1[[#This Row],[Direction]],
IF(_xlpm.dir="R",
    IF(F3983+Table1[[#This Row],[Steps]]&gt;99,(F3983+Table1[[#This Row],[Steps]])-100,F3983+Table1[[#This Row],[Steps]]),
))</f>
        <v>0</v>
      </c>
      <c r="F3984">
        <f>IF(Table1[[#This Row],[New Pos L]]&lt;&gt;0,Table1[[#This Row],[New Pos L]],Table1[[#This Row],[New Pos R]])</f>
        <v>0</v>
      </c>
    </row>
    <row r="3985" spans="1:6" ht="16" x14ac:dyDescent="0.2">
      <c r="A3985" s="1" t="s">
        <v>181</v>
      </c>
      <c r="B3985" t="str">
        <f>LEFT(Table1[[#This Row],[Input]],1)</f>
        <v>L</v>
      </c>
      <c r="C3985">
        <f>_xlfn.LET(_xlpm.steps,SUBSTITUTE(Table1[[#This Row],[Input]],Table1[[#This Row],[Direction]],""),VALUE(IF(LEN(_xlpm.steps)&gt;2,RIGHT(_xlpm.steps,2),_xlpm.steps)))</f>
        <v>53</v>
      </c>
      <c r="D3985">
        <f>_xlfn.LET(_xlpm.dir,Table1[[#This Row],[Direction]],
IF(_xlpm.dir="L",
    IF(F3984-Table1[[#This Row],[Steps]]&lt;0,100+(F3984-Table1[[#This Row],[Steps]]),F3984-Table1[[#This Row],[Steps]]),
))</f>
        <v>47</v>
      </c>
      <c r="E3985">
        <f>_xlfn.LET(_xlpm.dir,Table1[[#This Row],[Direction]],
IF(_xlpm.dir="R",
    IF(F3984+Table1[[#This Row],[Steps]]&gt;99,(F3984+Table1[[#This Row],[Steps]])-100,F3984+Table1[[#This Row],[Steps]]),
))</f>
        <v>0</v>
      </c>
      <c r="F3985">
        <f>IF(Table1[[#This Row],[New Pos L]]&lt;&gt;0,Table1[[#This Row],[New Pos L]],Table1[[#This Row],[New Pos R]])</f>
        <v>47</v>
      </c>
    </row>
    <row r="3986" spans="1:6" ht="16" x14ac:dyDescent="0.2">
      <c r="A3986" s="1" t="s">
        <v>129</v>
      </c>
      <c r="B3986" t="str">
        <f>LEFT(Table1[[#This Row],[Input]],1)</f>
        <v>R</v>
      </c>
      <c r="C3986">
        <f>_xlfn.LET(_xlpm.steps,SUBSTITUTE(Table1[[#This Row],[Input]],Table1[[#This Row],[Direction]],""),VALUE(IF(LEN(_xlpm.steps)&gt;2,RIGHT(_xlpm.steps,2),_xlpm.steps)))</f>
        <v>8</v>
      </c>
      <c r="D3986">
        <f>_xlfn.LET(_xlpm.dir,Table1[[#This Row],[Direction]],
IF(_xlpm.dir="L",
    IF(F3985-Table1[[#This Row],[Steps]]&lt;0,100+(F3985-Table1[[#This Row],[Steps]]),F3985-Table1[[#This Row],[Steps]]),
))</f>
        <v>0</v>
      </c>
      <c r="E3986">
        <f>_xlfn.LET(_xlpm.dir,Table1[[#This Row],[Direction]],
IF(_xlpm.dir="R",
    IF(F3985+Table1[[#This Row],[Steps]]&gt;99,(F3985+Table1[[#This Row],[Steps]])-100,F3985+Table1[[#This Row],[Steps]]),
))</f>
        <v>55</v>
      </c>
      <c r="F3986">
        <f>IF(Table1[[#This Row],[New Pos L]]&lt;&gt;0,Table1[[#This Row],[New Pos L]],Table1[[#This Row],[New Pos R]])</f>
        <v>55</v>
      </c>
    </row>
    <row r="3987" spans="1:6" ht="16" x14ac:dyDescent="0.2">
      <c r="A3987" s="1" t="s">
        <v>66</v>
      </c>
      <c r="B3987" t="str">
        <f>LEFT(Table1[[#This Row],[Input]],1)</f>
        <v>R</v>
      </c>
      <c r="C3987">
        <f>_xlfn.LET(_xlpm.steps,SUBSTITUTE(Table1[[#This Row],[Input]],Table1[[#This Row],[Direction]],""),VALUE(IF(LEN(_xlpm.steps)&gt;2,RIGHT(_xlpm.steps,2),_xlpm.steps)))</f>
        <v>45</v>
      </c>
      <c r="D3987">
        <f>_xlfn.LET(_xlpm.dir,Table1[[#This Row],[Direction]],
IF(_xlpm.dir="L",
    IF(F3986-Table1[[#This Row],[Steps]]&lt;0,100+(F3986-Table1[[#This Row],[Steps]]),F3986-Table1[[#This Row],[Steps]]),
))</f>
        <v>0</v>
      </c>
      <c r="E3987">
        <f>_xlfn.LET(_xlpm.dir,Table1[[#This Row],[Direction]],
IF(_xlpm.dir="R",
    IF(F3986+Table1[[#This Row],[Steps]]&gt;99,(F3986+Table1[[#This Row],[Steps]])-100,F3986+Table1[[#This Row],[Steps]]),
))</f>
        <v>0</v>
      </c>
      <c r="F3987">
        <f>IF(Table1[[#This Row],[New Pos L]]&lt;&gt;0,Table1[[#This Row],[New Pos L]],Table1[[#This Row],[New Pos R]])</f>
        <v>0</v>
      </c>
    </row>
    <row r="3988" spans="1:6" ht="16" x14ac:dyDescent="0.2">
      <c r="A3988" s="1" t="s">
        <v>84</v>
      </c>
      <c r="B3988" t="str">
        <f>LEFT(Table1[[#This Row],[Input]],1)</f>
        <v>R</v>
      </c>
      <c r="C3988">
        <f>_xlfn.LET(_xlpm.steps,SUBSTITUTE(Table1[[#This Row],[Input]],Table1[[#This Row],[Direction]],""),VALUE(IF(LEN(_xlpm.steps)&gt;2,RIGHT(_xlpm.steps,2),_xlpm.steps)))</f>
        <v>88</v>
      </c>
      <c r="D3988">
        <f>_xlfn.LET(_xlpm.dir,Table1[[#This Row],[Direction]],
IF(_xlpm.dir="L",
    IF(F3987-Table1[[#This Row],[Steps]]&lt;0,100+(F3987-Table1[[#This Row],[Steps]]),F3987-Table1[[#This Row],[Steps]]),
))</f>
        <v>0</v>
      </c>
      <c r="E3988">
        <f>_xlfn.LET(_xlpm.dir,Table1[[#This Row],[Direction]],
IF(_xlpm.dir="R",
    IF(F3987+Table1[[#This Row],[Steps]]&gt;99,(F3987+Table1[[#This Row],[Steps]])-100,F3987+Table1[[#This Row],[Steps]]),
))</f>
        <v>88</v>
      </c>
      <c r="F3988">
        <f>IF(Table1[[#This Row],[New Pos L]]&lt;&gt;0,Table1[[#This Row],[New Pos L]],Table1[[#This Row],[New Pos R]])</f>
        <v>88</v>
      </c>
    </row>
    <row r="3989" spans="1:6" ht="16" x14ac:dyDescent="0.2">
      <c r="A3989" s="1" t="s">
        <v>363</v>
      </c>
      <c r="B3989" t="str">
        <f>LEFT(Table1[[#This Row],[Input]],1)</f>
        <v>R</v>
      </c>
      <c r="C3989">
        <f>_xlfn.LET(_xlpm.steps,SUBSTITUTE(Table1[[#This Row],[Input]],Table1[[#This Row],[Direction]],""),VALUE(IF(LEN(_xlpm.steps)&gt;2,RIGHT(_xlpm.steps,2),_xlpm.steps)))</f>
        <v>63</v>
      </c>
      <c r="D3989">
        <f>_xlfn.LET(_xlpm.dir,Table1[[#This Row],[Direction]],
IF(_xlpm.dir="L",
    IF(F3988-Table1[[#This Row],[Steps]]&lt;0,100+(F3988-Table1[[#This Row],[Steps]]),F3988-Table1[[#This Row],[Steps]]),
))</f>
        <v>0</v>
      </c>
      <c r="E3989">
        <f>_xlfn.LET(_xlpm.dir,Table1[[#This Row],[Direction]],
IF(_xlpm.dir="R",
    IF(F3988+Table1[[#This Row],[Steps]]&gt;99,(F3988+Table1[[#This Row],[Steps]])-100,F3988+Table1[[#This Row],[Steps]]),
))</f>
        <v>51</v>
      </c>
      <c r="F3989">
        <f>IF(Table1[[#This Row],[New Pos L]]&lt;&gt;0,Table1[[#This Row],[New Pos L]],Table1[[#This Row],[New Pos R]])</f>
        <v>51</v>
      </c>
    </row>
    <row r="3990" spans="1:6" ht="16" x14ac:dyDescent="0.2">
      <c r="A3990" s="1" t="s">
        <v>128</v>
      </c>
      <c r="B3990" t="str">
        <f>LEFT(Table1[[#This Row],[Input]],1)</f>
        <v>R</v>
      </c>
      <c r="C3990">
        <f>_xlfn.LET(_xlpm.steps,SUBSTITUTE(Table1[[#This Row],[Input]],Table1[[#This Row],[Direction]],""),VALUE(IF(LEN(_xlpm.steps)&gt;2,RIGHT(_xlpm.steps,2),_xlpm.steps)))</f>
        <v>92</v>
      </c>
      <c r="D3990">
        <f>_xlfn.LET(_xlpm.dir,Table1[[#This Row],[Direction]],
IF(_xlpm.dir="L",
    IF(F3989-Table1[[#This Row],[Steps]]&lt;0,100+(F3989-Table1[[#This Row],[Steps]]),F3989-Table1[[#This Row],[Steps]]),
))</f>
        <v>0</v>
      </c>
      <c r="E3990">
        <f>_xlfn.LET(_xlpm.dir,Table1[[#This Row],[Direction]],
IF(_xlpm.dir="R",
    IF(F3989+Table1[[#This Row],[Steps]]&gt;99,(F3989+Table1[[#This Row],[Steps]])-100,F3989+Table1[[#This Row],[Steps]]),
))</f>
        <v>43</v>
      </c>
      <c r="F3990">
        <f>IF(Table1[[#This Row],[New Pos L]]&lt;&gt;0,Table1[[#This Row],[New Pos L]],Table1[[#This Row],[New Pos R]])</f>
        <v>43</v>
      </c>
    </row>
    <row r="3991" spans="1:6" ht="16" x14ac:dyDescent="0.2">
      <c r="A3991" s="1" t="s">
        <v>63</v>
      </c>
      <c r="B3991" t="str">
        <f>LEFT(Table1[[#This Row],[Input]],1)</f>
        <v>R</v>
      </c>
      <c r="C3991">
        <f>_xlfn.LET(_xlpm.steps,SUBSTITUTE(Table1[[#This Row],[Input]],Table1[[#This Row],[Direction]],""),VALUE(IF(LEN(_xlpm.steps)&gt;2,RIGHT(_xlpm.steps,2),_xlpm.steps)))</f>
        <v>57</v>
      </c>
      <c r="D3991">
        <f>_xlfn.LET(_xlpm.dir,Table1[[#This Row],[Direction]],
IF(_xlpm.dir="L",
    IF(F3990-Table1[[#This Row],[Steps]]&lt;0,100+(F3990-Table1[[#This Row],[Steps]]),F3990-Table1[[#This Row],[Steps]]),
))</f>
        <v>0</v>
      </c>
      <c r="E3991">
        <f>_xlfn.LET(_xlpm.dir,Table1[[#This Row],[Direction]],
IF(_xlpm.dir="R",
    IF(F3990+Table1[[#This Row],[Steps]]&gt;99,(F3990+Table1[[#This Row],[Steps]])-100,F3990+Table1[[#This Row],[Steps]]),
))</f>
        <v>0</v>
      </c>
      <c r="F3991">
        <f>IF(Table1[[#This Row],[New Pos L]]&lt;&gt;0,Table1[[#This Row],[New Pos L]],Table1[[#This Row],[New Pos R]])</f>
        <v>0</v>
      </c>
    </row>
    <row r="3992" spans="1:6" ht="16" x14ac:dyDescent="0.2">
      <c r="A3992" s="1" t="s">
        <v>288</v>
      </c>
      <c r="B3992" t="str">
        <f>LEFT(Table1[[#This Row],[Input]],1)</f>
        <v>R</v>
      </c>
      <c r="C3992">
        <f>_xlfn.LET(_xlpm.steps,SUBSTITUTE(Table1[[#This Row],[Input]],Table1[[#This Row],[Direction]],""),VALUE(IF(LEN(_xlpm.steps)&gt;2,RIGHT(_xlpm.steps,2),_xlpm.steps)))</f>
        <v>25</v>
      </c>
      <c r="D3992">
        <f>_xlfn.LET(_xlpm.dir,Table1[[#This Row],[Direction]],
IF(_xlpm.dir="L",
    IF(F3991-Table1[[#This Row],[Steps]]&lt;0,100+(F3991-Table1[[#This Row],[Steps]]),F3991-Table1[[#This Row],[Steps]]),
))</f>
        <v>0</v>
      </c>
      <c r="E3992">
        <f>_xlfn.LET(_xlpm.dir,Table1[[#This Row],[Direction]],
IF(_xlpm.dir="R",
    IF(F3991+Table1[[#This Row],[Steps]]&gt;99,(F3991+Table1[[#This Row],[Steps]])-100,F3991+Table1[[#This Row],[Steps]]),
))</f>
        <v>25</v>
      </c>
      <c r="F3992">
        <f>IF(Table1[[#This Row],[New Pos L]]&lt;&gt;0,Table1[[#This Row],[New Pos L]],Table1[[#This Row],[New Pos R]])</f>
        <v>25</v>
      </c>
    </row>
    <row r="3993" spans="1:6" ht="16" x14ac:dyDescent="0.2">
      <c r="A3993" s="1" t="s">
        <v>69</v>
      </c>
      <c r="B3993" t="str">
        <f>LEFT(Table1[[#This Row],[Input]],1)</f>
        <v>R</v>
      </c>
      <c r="C3993">
        <f>_xlfn.LET(_xlpm.steps,SUBSTITUTE(Table1[[#This Row],[Input]],Table1[[#This Row],[Direction]],""),VALUE(IF(LEN(_xlpm.steps)&gt;2,RIGHT(_xlpm.steps,2),_xlpm.steps)))</f>
        <v>27</v>
      </c>
      <c r="D3993">
        <f>_xlfn.LET(_xlpm.dir,Table1[[#This Row],[Direction]],
IF(_xlpm.dir="L",
    IF(F3992-Table1[[#This Row],[Steps]]&lt;0,100+(F3992-Table1[[#This Row],[Steps]]),F3992-Table1[[#This Row],[Steps]]),
))</f>
        <v>0</v>
      </c>
      <c r="E3993">
        <f>_xlfn.LET(_xlpm.dir,Table1[[#This Row],[Direction]],
IF(_xlpm.dir="R",
    IF(F3992+Table1[[#This Row],[Steps]]&gt;99,(F3992+Table1[[#This Row],[Steps]])-100,F3992+Table1[[#This Row],[Steps]]),
))</f>
        <v>52</v>
      </c>
      <c r="F3993">
        <f>IF(Table1[[#This Row],[New Pos L]]&lt;&gt;0,Table1[[#This Row],[New Pos L]],Table1[[#This Row],[New Pos R]])</f>
        <v>52</v>
      </c>
    </row>
    <row r="3994" spans="1:6" ht="16" x14ac:dyDescent="0.2">
      <c r="A3994" s="1" t="s">
        <v>58</v>
      </c>
      <c r="B3994" t="str">
        <f>LEFT(Table1[[#This Row],[Input]],1)</f>
        <v>L</v>
      </c>
      <c r="C3994">
        <f>_xlfn.LET(_xlpm.steps,SUBSTITUTE(Table1[[#This Row],[Input]],Table1[[#This Row],[Direction]],""),VALUE(IF(LEN(_xlpm.steps)&gt;2,RIGHT(_xlpm.steps,2),_xlpm.steps)))</f>
        <v>30</v>
      </c>
      <c r="D3994">
        <f>_xlfn.LET(_xlpm.dir,Table1[[#This Row],[Direction]],
IF(_xlpm.dir="L",
    IF(F3993-Table1[[#This Row],[Steps]]&lt;0,100+(F3993-Table1[[#This Row],[Steps]]),F3993-Table1[[#This Row],[Steps]]),
))</f>
        <v>22</v>
      </c>
      <c r="E3994">
        <f>_xlfn.LET(_xlpm.dir,Table1[[#This Row],[Direction]],
IF(_xlpm.dir="R",
    IF(F3993+Table1[[#This Row],[Steps]]&gt;99,(F3993+Table1[[#This Row],[Steps]])-100,F3993+Table1[[#This Row],[Steps]]),
))</f>
        <v>0</v>
      </c>
      <c r="F3994">
        <f>IF(Table1[[#This Row],[New Pos L]]&lt;&gt;0,Table1[[#This Row],[New Pos L]],Table1[[#This Row],[New Pos R]])</f>
        <v>22</v>
      </c>
    </row>
    <row r="3995" spans="1:6" ht="16" x14ac:dyDescent="0.2">
      <c r="A3995" s="1" t="s">
        <v>245</v>
      </c>
      <c r="B3995" t="str">
        <f>LEFT(Table1[[#This Row],[Input]],1)</f>
        <v>R</v>
      </c>
      <c r="C3995">
        <f>_xlfn.LET(_xlpm.steps,SUBSTITUTE(Table1[[#This Row],[Input]],Table1[[#This Row],[Direction]],""),VALUE(IF(LEN(_xlpm.steps)&gt;2,RIGHT(_xlpm.steps,2),_xlpm.steps)))</f>
        <v>71</v>
      </c>
      <c r="D3995">
        <f>_xlfn.LET(_xlpm.dir,Table1[[#This Row],[Direction]],
IF(_xlpm.dir="L",
    IF(F3994-Table1[[#This Row],[Steps]]&lt;0,100+(F3994-Table1[[#This Row],[Steps]]),F3994-Table1[[#This Row],[Steps]]),
))</f>
        <v>0</v>
      </c>
      <c r="E3995">
        <f>_xlfn.LET(_xlpm.dir,Table1[[#This Row],[Direction]],
IF(_xlpm.dir="R",
    IF(F3994+Table1[[#This Row],[Steps]]&gt;99,(F3994+Table1[[#This Row],[Steps]])-100,F3994+Table1[[#This Row],[Steps]]),
))</f>
        <v>93</v>
      </c>
      <c r="F3995">
        <f>IF(Table1[[#This Row],[New Pos L]]&lt;&gt;0,Table1[[#This Row],[New Pos L]],Table1[[#This Row],[New Pos R]])</f>
        <v>93</v>
      </c>
    </row>
    <row r="3996" spans="1:6" ht="16" x14ac:dyDescent="0.2">
      <c r="A3996" s="1" t="s">
        <v>9</v>
      </c>
      <c r="B3996" t="str">
        <f>LEFT(Table1[[#This Row],[Input]],1)</f>
        <v>L</v>
      </c>
      <c r="C3996">
        <f>_xlfn.LET(_xlpm.steps,SUBSTITUTE(Table1[[#This Row],[Input]],Table1[[#This Row],[Direction]],""),VALUE(IF(LEN(_xlpm.steps)&gt;2,RIGHT(_xlpm.steps,2),_xlpm.steps)))</f>
        <v>9</v>
      </c>
      <c r="D3996">
        <f>_xlfn.LET(_xlpm.dir,Table1[[#This Row],[Direction]],
IF(_xlpm.dir="L",
    IF(F3995-Table1[[#This Row],[Steps]]&lt;0,100+(F3995-Table1[[#This Row],[Steps]]),F3995-Table1[[#This Row],[Steps]]),
))</f>
        <v>84</v>
      </c>
      <c r="E3996">
        <f>_xlfn.LET(_xlpm.dir,Table1[[#This Row],[Direction]],
IF(_xlpm.dir="R",
    IF(F3995+Table1[[#This Row],[Steps]]&gt;99,(F3995+Table1[[#This Row],[Steps]])-100,F3995+Table1[[#This Row],[Steps]]),
))</f>
        <v>0</v>
      </c>
      <c r="F3996">
        <f>IF(Table1[[#This Row],[New Pos L]]&lt;&gt;0,Table1[[#This Row],[New Pos L]],Table1[[#This Row],[New Pos R]])</f>
        <v>84</v>
      </c>
    </row>
    <row r="3997" spans="1:6" ht="16" x14ac:dyDescent="0.2">
      <c r="A3997" s="1" t="s">
        <v>186</v>
      </c>
      <c r="B3997" t="str">
        <f>LEFT(Table1[[#This Row],[Input]],1)</f>
        <v>L</v>
      </c>
      <c r="C3997">
        <f>_xlfn.LET(_xlpm.steps,SUBSTITUTE(Table1[[#This Row],[Input]],Table1[[#This Row],[Direction]],""),VALUE(IF(LEN(_xlpm.steps)&gt;2,RIGHT(_xlpm.steps,2),_xlpm.steps)))</f>
        <v>84</v>
      </c>
      <c r="D3997">
        <f>_xlfn.LET(_xlpm.dir,Table1[[#This Row],[Direction]],
IF(_xlpm.dir="L",
    IF(F3996-Table1[[#This Row],[Steps]]&lt;0,100+(F3996-Table1[[#This Row],[Steps]]),F3996-Table1[[#This Row],[Steps]]),
))</f>
        <v>0</v>
      </c>
      <c r="E3997">
        <f>_xlfn.LET(_xlpm.dir,Table1[[#This Row],[Direction]],
IF(_xlpm.dir="R",
    IF(F3996+Table1[[#This Row],[Steps]]&gt;99,(F3996+Table1[[#This Row],[Steps]])-100,F3996+Table1[[#This Row],[Steps]]),
))</f>
        <v>0</v>
      </c>
      <c r="F3997">
        <f>IF(Table1[[#This Row],[New Pos L]]&lt;&gt;0,Table1[[#This Row],[New Pos L]],Table1[[#This Row],[New Pos R]])</f>
        <v>0</v>
      </c>
    </row>
    <row r="3998" spans="1:6" ht="16" x14ac:dyDescent="0.2">
      <c r="A3998" s="1" t="s">
        <v>185</v>
      </c>
      <c r="B3998" t="str">
        <f>LEFT(Table1[[#This Row],[Input]],1)</f>
        <v>R</v>
      </c>
      <c r="C3998">
        <f>_xlfn.LET(_xlpm.steps,SUBSTITUTE(Table1[[#This Row],[Input]],Table1[[#This Row],[Direction]],""),VALUE(IF(LEN(_xlpm.steps)&gt;2,RIGHT(_xlpm.steps,2),_xlpm.steps)))</f>
        <v>61</v>
      </c>
      <c r="D3998">
        <f>_xlfn.LET(_xlpm.dir,Table1[[#This Row],[Direction]],
IF(_xlpm.dir="L",
    IF(F3997-Table1[[#This Row],[Steps]]&lt;0,100+(F3997-Table1[[#This Row],[Steps]]),F3997-Table1[[#This Row],[Steps]]),
))</f>
        <v>0</v>
      </c>
      <c r="E3998">
        <f>_xlfn.LET(_xlpm.dir,Table1[[#This Row],[Direction]],
IF(_xlpm.dir="R",
    IF(F3997+Table1[[#This Row],[Steps]]&gt;99,(F3997+Table1[[#This Row],[Steps]])-100,F3997+Table1[[#This Row],[Steps]]),
))</f>
        <v>61</v>
      </c>
      <c r="F3998">
        <f>IF(Table1[[#This Row],[New Pos L]]&lt;&gt;0,Table1[[#This Row],[New Pos L]],Table1[[#This Row],[New Pos R]])</f>
        <v>61</v>
      </c>
    </row>
    <row r="3999" spans="1:6" ht="16" x14ac:dyDescent="0.2">
      <c r="A3999" s="1" t="s">
        <v>102</v>
      </c>
      <c r="B3999" t="str">
        <f>LEFT(Table1[[#This Row],[Input]],1)</f>
        <v>R</v>
      </c>
      <c r="C3999">
        <f>_xlfn.LET(_xlpm.steps,SUBSTITUTE(Table1[[#This Row],[Input]],Table1[[#This Row],[Direction]],""),VALUE(IF(LEN(_xlpm.steps)&gt;2,RIGHT(_xlpm.steps,2),_xlpm.steps)))</f>
        <v>39</v>
      </c>
      <c r="D3999">
        <f>_xlfn.LET(_xlpm.dir,Table1[[#This Row],[Direction]],
IF(_xlpm.dir="L",
    IF(F3998-Table1[[#This Row],[Steps]]&lt;0,100+(F3998-Table1[[#This Row],[Steps]]),F3998-Table1[[#This Row],[Steps]]),
))</f>
        <v>0</v>
      </c>
      <c r="E3999">
        <f>_xlfn.LET(_xlpm.dir,Table1[[#This Row],[Direction]],
IF(_xlpm.dir="R",
    IF(F3998+Table1[[#This Row],[Steps]]&gt;99,(F3998+Table1[[#This Row],[Steps]])-100,F3998+Table1[[#This Row],[Steps]]),
))</f>
        <v>0</v>
      </c>
      <c r="F3999">
        <f>IF(Table1[[#This Row],[New Pos L]]&lt;&gt;0,Table1[[#This Row],[New Pos L]],Table1[[#This Row],[New Pos R]])</f>
        <v>0</v>
      </c>
    </row>
    <row r="4000" spans="1:6" ht="16" x14ac:dyDescent="0.2">
      <c r="A4000" s="1" t="s">
        <v>21</v>
      </c>
      <c r="B4000" t="str">
        <f>LEFT(Table1[[#This Row],[Input]],1)</f>
        <v>L</v>
      </c>
      <c r="C4000">
        <f>_xlfn.LET(_xlpm.steps,SUBSTITUTE(Table1[[#This Row],[Input]],Table1[[#This Row],[Direction]],""),VALUE(IF(LEN(_xlpm.steps)&gt;2,RIGHT(_xlpm.steps,2),_xlpm.steps)))</f>
        <v>36</v>
      </c>
      <c r="D4000">
        <f>_xlfn.LET(_xlpm.dir,Table1[[#This Row],[Direction]],
IF(_xlpm.dir="L",
    IF(F3999-Table1[[#This Row],[Steps]]&lt;0,100+(F3999-Table1[[#This Row],[Steps]]),F3999-Table1[[#This Row],[Steps]]),
))</f>
        <v>64</v>
      </c>
      <c r="E4000">
        <f>_xlfn.LET(_xlpm.dir,Table1[[#This Row],[Direction]],
IF(_xlpm.dir="R",
    IF(F3999+Table1[[#This Row],[Steps]]&gt;99,(F3999+Table1[[#This Row],[Steps]])-100,F3999+Table1[[#This Row],[Steps]]),
))</f>
        <v>0</v>
      </c>
      <c r="F4000">
        <f>IF(Table1[[#This Row],[New Pos L]]&lt;&gt;0,Table1[[#This Row],[New Pos L]],Table1[[#This Row],[New Pos R]])</f>
        <v>64</v>
      </c>
    </row>
    <row r="4001" spans="1:6" ht="16" x14ac:dyDescent="0.2">
      <c r="A4001" s="1" t="s">
        <v>136</v>
      </c>
      <c r="B4001" t="str">
        <f>LEFT(Table1[[#This Row],[Input]],1)</f>
        <v>L</v>
      </c>
      <c r="C4001">
        <f>_xlfn.LET(_xlpm.steps,SUBSTITUTE(Table1[[#This Row],[Input]],Table1[[#This Row],[Direction]],""),VALUE(IF(LEN(_xlpm.steps)&gt;2,RIGHT(_xlpm.steps,2),_xlpm.steps)))</f>
        <v>72</v>
      </c>
      <c r="D4001">
        <f>_xlfn.LET(_xlpm.dir,Table1[[#This Row],[Direction]],
IF(_xlpm.dir="L",
    IF(F4000-Table1[[#This Row],[Steps]]&lt;0,100+(F4000-Table1[[#This Row],[Steps]]),F4000-Table1[[#This Row],[Steps]]),
))</f>
        <v>92</v>
      </c>
      <c r="E4001">
        <f>_xlfn.LET(_xlpm.dir,Table1[[#This Row],[Direction]],
IF(_xlpm.dir="R",
    IF(F4000+Table1[[#This Row],[Steps]]&gt;99,(F4000+Table1[[#This Row],[Steps]])-100,F4000+Table1[[#This Row],[Steps]]),
))</f>
        <v>0</v>
      </c>
      <c r="F4001">
        <f>IF(Table1[[#This Row],[New Pos L]]&lt;&gt;0,Table1[[#This Row],[New Pos L]],Table1[[#This Row],[New Pos R]])</f>
        <v>92</v>
      </c>
    </row>
    <row r="4002" spans="1:6" ht="16" x14ac:dyDescent="0.2">
      <c r="A4002" s="1" t="s">
        <v>330</v>
      </c>
      <c r="B4002" t="str">
        <f>LEFT(Table1[[#This Row],[Input]],1)</f>
        <v>L</v>
      </c>
      <c r="C4002">
        <f>_xlfn.LET(_xlpm.steps,SUBSTITUTE(Table1[[#This Row],[Input]],Table1[[#This Row],[Direction]],""),VALUE(IF(LEN(_xlpm.steps)&gt;2,RIGHT(_xlpm.steps,2),_xlpm.steps)))</f>
        <v>47</v>
      </c>
      <c r="D4002">
        <f>_xlfn.LET(_xlpm.dir,Table1[[#This Row],[Direction]],
IF(_xlpm.dir="L",
    IF(F4001-Table1[[#This Row],[Steps]]&lt;0,100+(F4001-Table1[[#This Row],[Steps]]),F4001-Table1[[#This Row],[Steps]]),
))</f>
        <v>45</v>
      </c>
      <c r="E4002">
        <f>_xlfn.LET(_xlpm.dir,Table1[[#This Row],[Direction]],
IF(_xlpm.dir="R",
    IF(F4001+Table1[[#This Row],[Steps]]&gt;99,(F4001+Table1[[#This Row],[Steps]])-100,F4001+Table1[[#This Row],[Steps]]),
))</f>
        <v>0</v>
      </c>
      <c r="F4002">
        <f>IF(Table1[[#This Row],[New Pos L]]&lt;&gt;0,Table1[[#This Row],[New Pos L]],Table1[[#This Row],[New Pos R]])</f>
        <v>45</v>
      </c>
    </row>
    <row r="4003" spans="1:6" ht="16" x14ac:dyDescent="0.2">
      <c r="A4003" s="1" t="s">
        <v>54</v>
      </c>
      <c r="B4003" t="str">
        <f>LEFT(Table1[[#This Row],[Input]],1)</f>
        <v>L</v>
      </c>
      <c r="C4003">
        <f>_xlfn.LET(_xlpm.steps,SUBSTITUTE(Table1[[#This Row],[Input]],Table1[[#This Row],[Direction]],""),VALUE(IF(LEN(_xlpm.steps)&gt;2,RIGHT(_xlpm.steps,2),_xlpm.steps)))</f>
        <v>75</v>
      </c>
      <c r="D4003">
        <f>_xlfn.LET(_xlpm.dir,Table1[[#This Row],[Direction]],
IF(_xlpm.dir="L",
    IF(F4002-Table1[[#This Row],[Steps]]&lt;0,100+(F4002-Table1[[#This Row],[Steps]]),F4002-Table1[[#This Row],[Steps]]),
))</f>
        <v>70</v>
      </c>
      <c r="E4003">
        <f>_xlfn.LET(_xlpm.dir,Table1[[#This Row],[Direction]],
IF(_xlpm.dir="R",
    IF(F4002+Table1[[#This Row],[Steps]]&gt;99,(F4002+Table1[[#This Row],[Steps]])-100,F4002+Table1[[#This Row],[Steps]]),
))</f>
        <v>0</v>
      </c>
      <c r="F4003">
        <f>IF(Table1[[#This Row],[New Pos L]]&lt;&gt;0,Table1[[#This Row],[New Pos L]],Table1[[#This Row],[New Pos R]])</f>
        <v>70</v>
      </c>
    </row>
    <row r="4004" spans="1:6" ht="16" x14ac:dyDescent="0.2">
      <c r="A4004" s="1" t="s">
        <v>122</v>
      </c>
      <c r="B4004" t="str">
        <f>LEFT(Table1[[#This Row],[Input]],1)</f>
        <v>R</v>
      </c>
      <c r="C4004">
        <f>_xlfn.LET(_xlpm.steps,SUBSTITUTE(Table1[[#This Row],[Input]],Table1[[#This Row],[Direction]],""),VALUE(IF(LEN(_xlpm.steps)&gt;2,RIGHT(_xlpm.steps,2),_xlpm.steps)))</f>
        <v>75</v>
      </c>
      <c r="D4004">
        <f>_xlfn.LET(_xlpm.dir,Table1[[#This Row],[Direction]],
IF(_xlpm.dir="L",
    IF(F4003-Table1[[#This Row],[Steps]]&lt;0,100+(F4003-Table1[[#This Row],[Steps]]),F4003-Table1[[#This Row],[Steps]]),
))</f>
        <v>0</v>
      </c>
      <c r="E4004">
        <f>_xlfn.LET(_xlpm.dir,Table1[[#This Row],[Direction]],
IF(_xlpm.dir="R",
    IF(F4003+Table1[[#This Row],[Steps]]&gt;99,(F4003+Table1[[#This Row],[Steps]])-100,F4003+Table1[[#This Row],[Steps]]),
))</f>
        <v>45</v>
      </c>
      <c r="F4004">
        <f>IF(Table1[[#This Row],[New Pos L]]&lt;&gt;0,Table1[[#This Row],[New Pos L]],Table1[[#This Row],[New Pos R]])</f>
        <v>45</v>
      </c>
    </row>
    <row r="4005" spans="1:6" ht="16" x14ac:dyDescent="0.2">
      <c r="A4005" s="1" t="s">
        <v>255</v>
      </c>
      <c r="B4005" t="str">
        <f>LEFT(Table1[[#This Row],[Input]],1)</f>
        <v>R</v>
      </c>
      <c r="C4005">
        <f>_xlfn.LET(_xlpm.steps,SUBSTITUTE(Table1[[#This Row],[Input]],Table1[[#This Row],[Direction]],""),VALUE(IF(LEN(_xlpm.steps)&gt;2,RIGHT(_xlpm.steps,2),_xlpm.steps)))</f>
        <v>16</v>
      </c>
      <c r="D4005">
        <f>_xlfn.LET(_xlpm.dir,Table1[[#This Row],[Direction]],
IF(_xlpm.dir="L",
    IF(F4004-Table1[[#This Row],[Steps]]&lt;0,100+(F4004-Table1[[#This Row],[Steps]]),F4004-Table1[[#This Row],[Steps]]),
))</f>
        <v>0</v>
      </c>
      <c r="E4005">
        <f>_xlfn.LET(_xlpm.dir,Table1[[#This Row],[Direction]],
IF(_xlpm.dir="R",
    IF(F4004+Table1[[#This Row],[Steps]]&gt;99,(F4004+Table1[[#This Row],[Steps]])-100,F4004+Table1[[#This Row],[Steps]]),
))</f>
        <v>61</v>
      </c>
      <c r="F4005">
        <f>IF(Table1[[#This Row],[New Pos L]]&lt;&gt;0,Table1[[#This Row],[New Pos L]],Table1[[#This Row],[New Pos R]])</f>
        <v>61</v>
      </c>
    </row>
    <row r="4006" spans="1:6" ht="16" x14ac:dyDescent="0.2">
      <c r="A4006" s="1" t="s">
        <v>140</v>
      </c>
      <c r="B4006" t="str">
        <f>LEFT(Table1[[#This Row],[Input]],1)</f>
        <v>L</v>
      </c>
      <c r="C4006">
        <f>_xlfn.LET(_xlpm.steps,SUBSTITUTE(Table1[[#This Row],[Input]],Table1[[#This Row],[Direction]],""),VALUE(IF(LEN(_xlpm.steps)&gt;2,RIGHT(_xlpm.steps,2),_xlpm.steps)))</f>
        <v>61</v>
      </c>
      <c r="D4006">
        <f>_xlfn.LET(_xlpm.dir,Table1[[#This Row],[Direction]],
IF(_xlpm.dir="L",
    IF(F4005-Table1[[#This Row],[Steps]]&lt;0,100+(F4005-Table1[[#This Row],[Steps]]),F4005-Table1[[#This Row],[Steps]]),
))</f>
        <v>0</v>
      </c>
      <c r="E4006">
        <f>_xlfn.LET(_xlpm.dir,Table1[[#This Row],[Direction]],
IF(_xlpm.dir="R",
    IF(F4005+Table1[[#This Row],[Steps]]&gt;99,(F4005+Table1[[#This Row],[Steps]])-100,F4005+Table1[[#This Row],[Steps]]),
))</f>
        <v>0</v>
      </c>
      <c r="F4006">
        <f>IF(Table1[[#This Row],[New Pos L]]&lt;&gt;0,Table1[[#This Row],[New Pos L]],Table1[[#This Row],[New Pos R]])</f>
        <v>0</v>
      </c>
    </row>
    <row r="4007" spans="1:6" ht="16" x14ac:dyDescent="0.2">
      <c r="A4007" s="1" t="s">
        <v>39</v>
      </c>
      <c r="B4007" t="str">
        <f>LEFT(Table1[[#This Row],[Input]],1)</f>
        <v>R</v>
      </c>
      <c r="C4007">
        <f>_xlfn.LET(_xlpm.steps,SUBSTITUTE(Table1[[#This Row],[Input]],Table1[[#This Row],[Direction]],""),VALUE(IF(LEN(_xlpm.steps)&gt;2,RIGHT(_xlpm.steps,2),_xlpm.steps)))</f>
        <v>32</v>
      </c>
      <c r="D4007">
        <f>_xlfn.LET(_xlpm.dir,Table1[[#This Row],[Direction]],
IF(_xlpm.dir="L",
    IF(F4006-Table1[[#This Row],[Steps]]&lt;0,100+(F4006-Table1[[#This Row],[Steps]]),F4006-Table1[[#This Row],[Steps]]),
))</f>
        <v>0</v>
      </c>
      <c r="E4007">
        <f>_xlfn.LET(_xlpm.dir,Table1[[#This Row],[Direction]],
IF(_xlpm.dir="R",
    IF(F4006+Table1[[#This Row],[Steps]]&gt;99,(F4006+Table1[[#This Row],[Steps]])-100,F4006+Table1[[#This Row],[Steps]]),
))</f>
        <v>32</v>
      </c>
      <c r="F4007">
        <f>IF(Table1[[#This Row],[New Pos L]]&lt;&gt;0,Table1[[#This Row],[New Pos L]],Table1[[#This Row],[New Pos R]])</f>
        <v>32</v>
      </c>
    </row>
    <row r="4008" spans="1:6" ht="16" x14ac:dyDescent="0.2">
      <c r="A4008" s="1" t="s">
        <v>141</v>
      </c>
      <c r="B4008" t="str">
        <f>LEFT(Table1[[#This Row],[Input]],1)</f>
        <v>L</v>
      </c>
      <c r="C4008">
        <f>_xlfn.LET(_xlpm.steps,SUBSTITUTE(Table1[[#This Row],[Input]],Table1[[#This Row],[Direction]],""),VALUE(IF(LEN(_xlpm.steps)&gt;2,RIGHT(_xlpm.steps,2),_xlpm.steps)))</f>
        <v>90</v>
      </c>
      <c r="D4008">
        <f>_xlfn.LET(_xlpm.dir,Table1[[#This Row],[Direction]],
IF(_xlpm.dir="L",
    IF(F4007-Table1[[#This Row],[Steps]]&lt;0,100+(F4007-Table1[[#This Row],[Steps]]),F4007-Table1[[#This Row],[Steps]]),
))</f>
        <v>42</v>
      </c>
      <c r="E4008">
        <f>_xlfn.LET(_xlpm.dir,Table1[[#This Row],[Direction]],
IF(_xlpm.dir="R",
    IF(F4007+Table1[[#This Row],[Steps]]&gt;99,(F4007+Table1[[#This Row],[Steps]])-100,F4007+Table1[[#This Row],[Steps]]),
))</f>
        <v>0</v>
      </c>
      <c r="F4008">
        <f>IF(Table1[[#This Row],[New Pos L]]&lt;&gt;0,Table1[[#This Row],[New Pos L]],Table1[[#This Row],[New Pos R]])</f>
        <v>42</v>
      </c>
    </row>
    <row r="4009" spans="1:6" ht="16" x14ac:dyDescent="0.2">
      <c r="A4009" s="1" t="s">
        <v>217</v>
      </c>
      <c r="B4009" t="str">
        <f>LEFT(Table1[[#This Row],[Input]],1)</f>
        <v>R</v>
      </c>
      <c r="C4009">
        <f>_xlfn.LET(_xlpm.steps,SUBSTITUTE(Table1[[#This Row],[Input]],Table1[[#This Row],[Direction]],""),VALUE(IF(LEN(_xlpm.steps)&gt;2,RIGHT(_xlpm.steps,2),_xlpm.steps)))</f>
        <v>91</v>
      </c>
      <c r="D4009">
        <f>_xlfn.LET(_xlpm.dir,Table1[[#This Row],[Direction]],
IF(_xlpm.dir="L",
    IF(F4008-Table1[[#This Row],[Steps]]&lt;0,100+(F4008-Table1[[#This Row],[Steps]]),F4008-Table1[[#This Row],[Steps]]),
))</f>
        <v>0</v>
      </c>
      <c r="E4009">
        <f>_xlfn.LET(_xlpm.dir,Table1[[#This Row],[Direction]],
IF(_xlpm.dir="R",
    IF(F4008+Table1[[#This Row],[Steps]]&gt;99,(F4008+Table1[[#This Row],[Steps]])-100,F4008+Table1[[#This Row],[Steps]]),
))</f>
        <v>33</v>
      </c>
      <c r="F4009">
        <f>IF(Table1[[#This Row],[New Pos L]]&lt;&gt;0,Table1[[#This Row],[New Pos L]],Table1[[#This Row],[New Pos R]])</f>
        <v>33</v>
      </c>
    </row>
    <row r="4010" spans="1:6" ht="16" x14ac:dyDescent="0.2">
      <c r="A4010" s="1" t="s">
        <v>66</v>
      </c>
      <c r="B4010" t="str">
        <f>LEFT(Table1[[#This Row],[Input]],1)</f>
        <v>R</v>
      </c>
      <c r="C4010">
        <f>_xlfn.LET(_xlpm.steps,SUBSTITUTE(Table1[[#This Row],[Input]],Table1[[#This Row],[Direction]],""),VALUE(IF(LEN(_xlpm.steps)&gt;2,RIGHT(_xlpm.steps,2),_xlpm.steps)))</f>
        <v>45</v>
      </c>
      <c r="D4010">
        <f>_xlfn.LET(_xlpm.dir,Table1[[#This Row],[Direction]],
IF(_xlpm.dir="L",
    IF(F4009-Table1[[#This Row],[Steps]]&lt;0,100+(F4009-Table1[[#This Row],[Steps]]),F4009-Table1[[#This Row],[Steps]]),
))</f>
        <v>0</v>
      </c>
      <c r="E4010">
        <f>_xlfn.LET(_xlpm.dir,Table1[[#This Row],[Direction]],
IF(_xlpm.dir="R",
    IF(F4009+Table1[[#This Row],[Steps]]&gt;99,(F4009+Table1[[#This Row],[Steps]])-100,F4009+Table1[[#This Row],[Steps]]),
))</f>
        <v>78</v>
      </c>
      <c r="F4010">
        <f>IF(Table1[[#This Row],[New Pos L]]&lt;&gt;0,Table1[[#This Row],[New Pos L]],Table1[[#This Row],[New Pos R]])</f>
        <v>78</v>
      </c>
    </row>
    <row r="4011" spans="1:6" ht="16" x14ac:dyDescent="0.2">
      <c r="A4011" s="1" t="s">
        <v>95</v>
      </c>
      <c r="B4011" t="str">
        <f>LEFT(Table1[[#This Row],[Input]],1)</f>
        <v>L</v>
      </c>
      <c r="C4011">
        <f>_xlfn.LET(_xlpm.steps,SUBSTITUTE(Table1[[#This Row],[Input]],Table1[[#This Row],[Direction]],""),VALUE(IF(LEN(_xlpm.steps)&gt;2,RIGHT(_xlpm.steps,2),_xlpm.steps)))</f>
        <v>78</v>
      </c>
      <c r="D4011">
        <f>_xlfn.LET(_xlpm.dir,Table1[[#This Row],[Direction]],
IF(_xlpm.dir="L",
    IF(F4010-Table1[[#This Row],[Steps]]&lt;0,100+(F4010-Table1[[#This Row],[Steps]]),F4010-Table1[[#This Row],[Steps]]),
))</f>
        <v>0</v>
      </c>
      <c r="E4011">
        <f>_xlfn.LET(_xlpm.dir,Table1[[#This Row],[Direction]],
IF(_xlpm.dir="R",
    IF(F4010+Table1[[#This Row],[Steps]]&gt;99,(F4010+Table1[[#This Row],[Steps]])-100,F4010+Table1[[#This Row],[Steps]]),
))</f>
        <v>0</v>
      </c>
      <c r="F4011">
        <f>IF(Table1[[#This Row],[New Pos L]]&lt;&gt;0,Table1[[#This Row],[New Pos L]],Table1[[#This Row],[New Pos R]])</f>
        <v>0</v>
      </c>
    </row>
    <row r="4012" spans="1:6" ht="16" x14ac:dyDescent="0.2">
      <c r="A4012" s="1" t="s">
        <v>39</v>
      </c>
      <c r="B4012" t="str">
        <f>LEFT(Table1[[#This Row],[Input]],1)</f>
        <v>R</v>
      </c>
      <c r="C4012">
        <f>_xlfn.LET(_xlpm.steps,SUBSTITUTE(Table1[[#This Row],[Input]],Table1[[#This Row],[Direction]],""),VALUE(IF(LEN(_xlpm.steps)&gt;2,RIGHT(_xlpm.steps,2),_xlpm.steps)))</f>
        <v>32</v>
      </c>
      <c r="D4012">
        <f>_xlfn.LET(_xlpm.dir,Table1[[#This Row],[Direction]],
IF(_xlpm.dir="L",
    IF(F4011-Table1[[#This Row],[Steps]]&lt;0,100+(F4011-Table1[[#This Row],[Steps]]),F4011-Table1[[#This Row],[Steps]]),
))</f>
        <v>0</v>
      </c>
      <c r="E4012">
        <f>_xlfn.LET(_xlpm.dir,Table1[[#This Row],[Direction]],
IF(_xlpm.dir="R",
    IF(F4011+Table1[[#This Row],[Steps]]&gt;99,(F4011+Table1[[#This Row],[Steps]])-100,F4011+Table1[[#This Row],[Steps]]),
))</f>
        <v>32</v>
      </c>
      <c r="F4012">
        <f>IF(Table1[[#This Row],[New Pos L]]&lt;&gt;0,Table1[[#This Row],[New Pos L]],Table1[[#This Row],[New Pos R]])</f>
        <v>32</v>
      </c>
    </row>
    <row r="4013" spans="1:6" ht="16" x14ac:dyDescent="0.2">
      <c r="A4013" s="1" t="s">
        <v>72</v>
      </c>
      <c r="B4013" t="str">
        <f>LEFT(Table1[[#This Row],[Input]],1)</f>
        <v>R</v>
      </c>
      <c r="C4013">
        <f>_xlfn.LET(_xlpm.steps,SUBSTITUTE(Table1[[#This Row],[Input]],Table1[[#This Row],[Direction]],""),VALUE(IF(LEN(_xlpm.steps)&gt;2,RIGHT(_xlpm.steps,2),_xlpm.steps)))</f>
        <v>43</v>
      </c>
      <c r="D4013">
        <f>_xlfn.LET(_xlpm.dir,Table1[[#This Row],[Direction]],
IF(_xlpm.dir="L",
    IF(F4012-Table1[[#This Row],[Steps]]&lt;0,100+(F4012-Table1[[#This Row],[Steps]]),F4012-Table1[[#This Row],[Steps]]),
))</f>
        <v>0</v>
      </c>
      <c r="E4013">
        <f>_xlfn.LET(_xlpm.dir,Table1[[#This Row],[Direction]],
IF(_xlpm.dir="R",
    IF(F4012+Table1[[#This Row],[Steps]]&gt;99,(F4012+Table1[[#This Row],[Steps]])-100,F4012+Table1[[#This Row],[Steps]]),
))</f>
        <v>75</v>
      </c>
      <c r="F4013">
        <f>IF(Table1[[#This Row],[New Pos L]]&lt;&gt;0,Table1[[#This Row],[New Pos L]],Table1[[#This Row],[New Pos R]])</f>
        <v>75</v>
      </c>
    </row>
    <row r="4014" spans="1:6" ht="16" x14ac:dyDescent="0.2">
      <c r="A4014" s="1" t="s">
        <v>288</v>
      </c>
      <c r="B4014" t="str">
        <f>LEFT(Table1[[#This Row],[Input]],1)</f>
        <v>R</v>
      </c>
      <c r="C4014">
        <f>_xlfn.LET(_xlpm.steps,SUBSTITUTE(Table1[[#This Row],[Input]],Table1[[#This Row],[Direction]],""),VALUE(IF(LEN(_xlpm.steps)&gt;2,RIGHT(_xlpm.steps,2),_xlpm.steps)))</f>
        <v>25</v>
      </c>
      <c r="D4014">
        <f>_xlfn.LET(_xlpm.dir,Table1[[#This Row],[Direction]],
IF(_xlpm.dir="L",
    IF(F4013-Table1[[#This Row],[Steps]]&lt;0,100+(F4013-Table1[[#This Row],[Steps]]),F4013-Table1[[#This Row],[Steps]]),
))</f>
        <v>0</v>
      </c>
      <c r="E4014">
        <f>_xlfn.LET(_xlpm.dir,Table1[[#This Row],[Direction]],
IF(_xlpm.dir="R",
    IF(F4013+Table1[[#This Row],[Steps]]&gt;99,(F4013+Table1[[#This Row],[Steps]])-100,F4013+Table1[[#This Row],[Steps]]),
))</f>
        <v>0</v>
      </c>
      <c r="F4014">
        <f>IF(Table1[[#This Row],[New Pos L]]&lt;&gt;0,Table1[[#This Row],[New Pos L]],Table1[[#This Row],[New Pos R]])</f>
        <v>0</v>
      </c>
    </row>
    <row r="4015" spans="1:6" ht="16" x14ac:dyDescent="0.2">
      <c r="A4015" s="1" t="s">
        <v>179</v>
      </c>
      <c r="B4015" t="str">
        <f>LEFT(Table1[[#This Row],[Input]],1)</f>
        <v>L</v>
      </c>
      <c r="C4015">
        <f>_xlfn.LET(_xlpm.steps,SUBSTITUTE(Table1[[#This Row],[Input]],Table1[[#This Row],[Direction]],""),VALUE(IF(LEN(_xlpm.steps)&gt;2,RIGHT(_xlpm.steps,2),_xlpm.steps)))</f>
        <v>54</v>
      </c>
      <c r="D4015">
        <f>_xlfn.LET(_xlpm.dir,Table1[[#This Row],[Direction]],
IF(_xlpm.dir="L",
    IF(F4014-Table1[[#This Row],[Steps]]&lt;0,100+(F4014-Table1[[#This Row],[Steps]]),F4014-Table1[[#This Row],[Steps]]),
))</f>
        <v>46</v>
      </c>
      <c r="E4015">
        <f>_xlfn.LET(_xlpm.dir,Table1[[#This Row],[Direction]],
IF(_xlpm.dir="R",
    IF(F4014+Table1[[#This Row],[Steps]]&gt;99,(F4014+Table1[[#This Row],[Steps]])-100,F4014+Table1[[#This Row],[Steps]]),
))</f>
        <v>0</v>
      </c>
      <c r="F4015">
        <f>IF(Table1[[#This Row],[New Pos L]]&lt;&gt;0,Table1[[#This Row],[New Pos L]],Table1[[#This Row],[New Pos R]])</f>
        <v>46</v>
      </c>
    </row>
    <row r="4016" spans="1:6" ht="16" x14ac:dyDescent="0.2">
      <c r="A4016" s="1" t="s">
        <v>823</v>
      </c>
      <c r="B4016" t="str">
        <f>LEFT(Table1[[#This Row],[Input]],1)</f>
        <v>L</v>
      </c>
      <c r="C4016">
        <f>_xlfn.LET(_xlpm.steps,SUBSTITUTE(Table1[[#This Row],[Input]],Table1[[#This Row],[Direction]],""),VALUE(IF(LEN(_xlpm.steps)&gt;2,RIGHT(_xlpm.steps,2),_xlpm.steps)))</f>
        <v>7</v>
      </c>
      <c r="D4016">
        <f>_xlfn.LET(_xlpm.dir,Table1[[#This Row],[Direction]],
IF(_xlpm.dir="L",
    IF(F4015-Table1[[#This Row],[Steps]]&lt;0,100+(F4015-Table1[[#This Row],[Steps]]),F4015-Table1[[#This Row],[Steps]]),
))</f>
        <v>39</v>
      </c>
      <c r="E4016">
        <f>_xlfn.LET(_xlpm.dir,Table1[[#This Row],[Direction]],
IF(_xlpm.dir="R",
    IF(F4015+Table1[[#This Row],[Steps]]&gt;99,(F4015+Table1[[#This Row],[Steps]])-100,F4015+Table1[[#This Row],[Steps]]),
))</f>
        <v>0</v>
      </c>
      <c r="F4016">
        <f>IF(Table1[[#This Row],[New Pos L]]&lt;&gt;0,Table1[[#This Row],[New Pos L]],Table1[[#This Row],[New Pos R]])</f>
        <v>39</v>
      </c>
    </row>
    <row r="4017" spans="1:6" ht="16" x14ac:dyDescent="0.2">
      <c r="A4017" s="1" t="s">
        <v>193</v>
      </c>
      <c r="B4017" t="str">
        <f>LEFT(Table1[[#This Row],[Input]],1)</f>
        <v>L</v>
      </c>
      <c r="C4017">
        <f>_xlfn.LET(_xlpm.steps,SUBSTITUTE(Table1[[#This Row],[Input]],Table1[[#This Row],[Direction]],""),VALUE(IF(LEN(_xlpm.steps)&gt;2,RIGHT(_xlpm.steps,2),_xlpm.steps)))</f>
        <v>12</v>
      </c>
      <c r="D4017">
        <f>_xlfn.LET(_xlpm.dir,Table1[[#This Row],[Direction]],
IF(_xlpm.dir="L",
    IF(F4016-Table1[[#This Row],[Steps]]&lt;0,100+(F4016-Table1[[#This Row],[Steps]]),F4016-Table1[[#This Row],[Steps]]),
))</f>
        <v>27</v>
      </c>
      <c r="E4017">
        <f>_xlfn.LET(_xlpm.dir,Table1[[#This Row],[Direction]],
IF(_xlpm.dir="R",
    IF(F4016+Table1[[#This Row],[Steps]]&gt;99,(F4016+Table1[[#This Row],[Steps]])-100,F4016+Table1[[#This Row],[Steps]]),
))</f>
        <v>0</v>
      </c>
      <c r="F4017">
        <f>IF(Table1[[#This Row],[New Pos L]]&lt;&gt;0,Table1[[#This Row],[New Pos L]],Table1[[#This Row],[New Pos R]])</f>
        <v>27</v>
      </c>
    </row>
    <row r="4018" spans="1:6" ht="16" x14ac:dyDescent="0.2">
      <c r="A4018" s="1" t="s">
        <v>164</v>
      </c>
      <c r="B4018" t="str">
        <f>LEFT(Table1[[#This Row],[Input]],1)</f>
        <v>R</v>
      </c>
      <c r="C4018">
        <f>_xlfn.LET(_xlpm.steps,SUBSTITUTE(Table1[[#This Row],[Input]],Table1[[#This Row],[Direction]],""),VALUE(IF(LEN(_xlpm.steps)&gt;2,RIGHT(_xlpm.steps,2),_xlpm.steps)))</f>
        <v>85</v>
      </c>
      <c r="D4018">
        <f>_xlfn.LET(_xlpm.dir,Table1[[#This Row],[Direction]],
IF(_xlpm.dir="L",
    IF(F4017-Table1[[#This Row],[Steps]]&lt;0,100+(F4017-Table1[[#This Row],[Steps]]),F4017-Table1[[#This Row],[Steps]]),
))</f>
        <v>0</v>
      </c>
      <c r="E4018">
        <f>_xlfn.LET(_xlpm.dir,Table1[[#This Row],[Direction]],
IF(_xlpm.dir="R",
    IF(F4017+Table1[[#This Row],[Steps]]&gt;99,(F4017+Table1[[#This Row],[Steps]])-100,F4017+Table1[[#This Row],[Steps]]),
))</f>
        <v>12</v>
      </c>
      <c r="F4018">
        <f>IF(Table1[[#This Row],[New Pos L]]&lt;&gt;0,Table1[[#This Row],[New Pos L]],Table1[[#This Row],[New Pos R]])</f>
        <v>12</v>
      </c>
    </row>
    <row r="4019" spans="1:6" ht="16" x14ac:dyDescent="0.2">
      <c r="A4019" s="1" t="s">
        <v>66</v>
      </c>
      <c r="B4019" t="str">
        <f>LEFT(Table1[[#This Row],[Input]],1)</f>
        <v>R</v>
      </c>
      <c r="C4019">
        <f>_xlfn.LET(_xlpm.steps,SUBSTITUTE(Table1[[#This Row],[Input]],Table1[[#This Row],[Direction]],""),VALUE(IF(LEN(_xlpm.steps)&gt;2,RIGHT(_xlpm.steps,2),_xlpm.steps)))</f>
        <v>45</v>
      </c>
      <c r="D4019">
        <f>_xlfn.LET(_xlpm.dir,Table1[[#This Row],[Direction]],
IF(_xlpm.dir="L",
    IF(F4018-Table1[[#This Row],[Steps]]&lt;0,100+(F4018-Table1[[#This Row],[Steps]]),F4018-Table1[[#This Row],[Steps]]),
))</f>
        <v>0</v>
      </c>
      <c r="E4019">
        <f>_xlfn.LET(_xlpm.dir,Table1[[#This Row],[Direction]],
IF(_xlpm.dir="R",
    IF(F4018+Table1[[#This Row],[Steps]]&gt;99,(F4018+Table1[[#This Row],[Steps]])-100,F4018+Table1[[#This Row],[Steps]]),
))</f>
        <v>57</v>
      </c>
      <c r="F4019">
        <f>IF(Table1[[#This Row],[New Pos L]]&lt;&gt;0,Table1[[#This Row],[New Pos L]],Table1[[#This Row],[New Pos R]])</f>
        <v>57</v>
      </c>
    </row>
    <row r="4020" spans="1:6" ht="16" x14ac:dyDescent="0.2">
      <c r="A4020" s="1" t="s">
        <v>72</v>
      </c>
      <c r="B4020" t="str">
        <f>LEFT(Table1[[#This Row],[Input]],1)</f>
        <v>R</v>
      </c>
      <c r="C4020">
        <f>_xlfn.LET(_xlpm.steps,SUBSTITUTE(Table1[[#This Row],[Input]],Table1[[#This Row],[Direction]],""),VALUE(IF(LEN(_xlpm.steps)&gt;2,RIGHT(_xlpm.steps,2),_xlpm.steps)))</f>
        <v>43</v>
      </c>
      <c r="D4020">
        <f>_xlfn.LET(_xlpm.dir,Table1[[#This Row],[Direction]],
IF(_xlpm.dir="L",
    IF(F4019-Table1[[#This Row],[Steps]]&lt;0,100+(F4019-Table1[[#This Row],[Steps]]),F4019-Table1[[#This Row],[Steps]]),
))</f>
        <v>0</v>
      </c>
      <c r="E4020">
        <f>_xlfn.LET(_xlpm.dir,Table1[[#This Row],[Direction]],
IF(_xlpm.dir="R",
    IF(F4019+Table1[[#This Row],[Steps]]&gt;99,(F4019+Table1[[#This Row],[Steps]])-100,F4019+Table1[[#This Row],[Steps]]),
))</f>
        <v>0</v>
      </c>
      <c r="F4020">
        <f>IF(Table1[[#This Row],[New Pos L]]&lt;&gt;0,Table1[[#This Row],[New Pos L]],Table1[[#This Row],[New Pos R]])</f>
        <v>0</v>
      </c>
    </row>
    <row r="4021" spans="1:6" ht="16" x14ac:dyDescent="0.2">
      <c r="A4021" s="1" t="s">
        <v>135</v>
      </c>
      <c r="B4021" t="str">
        <f>LEFT(Table1[[#This Row],[Input]],1)</f>
        <v>R</v>
      </c>
      <c r="C4021">
        <f>_xlfn.LET(_xlpm.steps,SUBSTITUTE(Table1[[#This Row],[Input]],Table1[[#This Row],[Direction]],""),VALUE(IF(LEN(_xlpm.steps)&gt;2,RIGHT(_xlpm.steps,2),_xlpm.steps)))</f>
        <v>69</v>
      </c>
      <c r="D4021">
        <f>_xlfn.LET(_xlpm.dir,Table1[[#This Row],[Direction]],
IF(_xlpm.dir="L",
    IF(F4020-Table1[[#This Row],[Steps]]&lt;0,100+(F4020-Table1[[#This Row],[Steps]]),F4020-Table1[[#This Row],[Steps]]),
))</f>
        <v>0</v>
      </c>
      <c r="E4021">
        <f>_xlfn.LET(_xlpm.dir,Table1[[#This Row],[Direction]],
IF(_xlpm.dir="R",
    IF(F4020+Table1[[#This Row],[Steps]]&gt;99,(F4020+Table1[[#This Row],[Steps]])-100,F4020+Table1[[#This Row],[Steps]]),
))</f>
        <v>69</v>
      </c>
      <c r="F4021">
        <f>IF(Table1[[#This Row],[New Pos L]]&lt;&gt;0,Table1[[#This Row],[New Pos L]],Table1[[#This Row],[New Pos R]])</f>
        <v>69</v>
      </c>
    </row>
    <row r="4022" spans="1:6" ht="16" x14ac:dyDescent="0.2">
      <c r="A4022" s="1" t="s">
        <v>31</v>
      </c>
      <c r="B4022" t="str">
        <f>LEFT(Table1[[#This Row],[Input]],1)</f>
        <v>L</v>
      </c>
      <c r="C4022">
        <f>_xlfn.LET(_xlpm.steps,SUBSTITUTE(Table1[[#This Row],[Input]],Table1[[#This Row],[Direction]],""),VALUE(IF(LEN(_xlpm.steps)&gt;2,RIGHT(_xlpm.steps,2),_xlpm.steps)))</f>
        <v>13</v>
      </c>
      <c r="D4022">
        <f>_xlfn.LET(_xlpm.dir,Table1[[#This Row],[Direction]],
IF(_xlpm.dir="L",
    IF(F4021-Table1[[#This Row],[Steps]]&lt;0,100+(F4021-Table1[[#This Row],[Steps]]),F4021-Table1[[#This Row],[Steps]]),
))</f>
        <v>56</v>
      </c>
      <c r="E4022">
        <f>_xlfn.LET(_xlpm.dir,Table1[[#This Row],[Direction]],
IF(_xlpm.dir="R",
    IF(F4021+Table1[[#This Row],[Steps]]&gt;99,(F4021+Table1[[#This Row],[Steps]])-100,F4021+Table1[[#This Row],[Steps]]),
))</f>
        <v>0</v>
      </c>
      <c r="F4022">
        <f>IF(Table1[[#This Row],[New Pos L]]&lt;&gt;0,Table1[[#This Row],[New Pos L]],Table1[[#This Row],[New Pos R]])</f>
        <v>56</v>
      </c>
    </row>
    <row r="4023" spans="1:6" ht="16" x14ac:dyDescent="0.2">
      <c r="A4023" s="1" t="s">
        <v>824</v>
      </c>
      <c r="B4023" t="str">
        <f>LEFT(Table1[[#This Row],[Input]],1)</f>
        <v>R</v>
      </c>
      <c r="C4023">
        <f>_xlfn.LET(_xlpm.steps,SUBSTITUTE(Table1[[#This Row],[Input]],Table1[[#This Row],[Direction]],""),VALUE(IF(LEN(_xlpm.steps)&gt;2,RIGHT(_xlpm.steps,2),_xlpm.steps)))</f>
        <v>94</v>
      </c>
      <c r="D4023">
        <f>_xlfn.LET(_xlpm.dir,Table1[[#This Row],[Direction]],
IF(_xlpm.dir="L",
    IF(F4022-Table1[[#This Row],[Steps]]&lt;0,100+(F4022-Table1[[#This Row],[Steps]]),F4022-Table1[[#This Row],[Steps]]),
))</f>
        <v>0</v>
      </c>
      <c r="E4023">
        <f>_xlfn.LET(_xlpm.dir,Table1[[#This Row],[Direction]],
IF(_xlpm.dir="R",
    IF(F4022+Table1[[#This Row],[Steps]]&gt;99,(F4022+Table1[[#This Row],[Steps]])-100,F4022+Table1[[#This Row],[Steps]]),
))</f>
        <v>50</v>
      </c>
      <c r="F4023">
        <f>IF(Table1[[#This Row],[New Pos L]]&lt;&gt;0,Table1[[#This Row],[New Pos L]],Table1[[#This Row],[New Pos R]])</f>
        <v>50</v>
      </c>
    </row>
    <row r="4024" spans="1:6" ht="16" x14ac:dyDescent="0.2">
      <c r="A4024" s="1" t="s">
        <v>825</v>
      </c>
      <c r="B4024" t="str">
        <f>LEFT(Table1[[#This Row],[Input]],1)</f>
        <v>R</v>
      </c>
      <c r="C4024">
        <f>_xlfn.LET(_xlpm.steps,SUBSTITUTE(Table1[[#This Row],[Input]],Table1[[#This Row],[Direction]],""),VALUE(IF(LEN(_xlpm.steps)&gt;2,RIGHT(_xlpm.steps,2),_xlpm.steps)))</f>
        <v>50</v>
      </c>
      <c r="D4024">
        <f>_xlfn.LET(_xlpm.dir,Table1[[#This Row],[Direction]],
IF(_xlpm.dir="L",
    IF(F4023-Table1[[#This Row],[Steps]]&lt;0,100+(F4023-Table1[[#This Row],[Steps]]),F4023-Table1[[#This Row],[Steps]]),
))</f>
        <v>0</v>
      </c>
      <c r="E4024">
        <f>_xlfn.LET(_xlpm.dir,Table1[[#This Row],[Direction]],
IF(_xlpm.dir="R",
    IF(F4023+Table1[[#This Row],[Steps]]&gt;99,(F4023+Table1[[#This Row],[Steps]])-100,F4023+Table1[[#This Row],[Steps]]),
))</f>
        <v>0</v>
      </c>
      <c r="F4024">
        <f>IF(Table1[[#This Row],[New Pos L]]&lt;&gt;0,Table1[[#This Row],[New Pos L]],Table1[[#This Row],[New Pos R]])</f>
        <v>0</v>
      </c>
    </row>
    <row r="4025" spans="1:6" ht="16" x14ac:dyDescent="0.2">
      <c r="A4025" s="1" t="s">
        <v>111</v>
      </c>
      <c r="B4025" t="str">
        <f>LEFT(Table1[[#This Row],[Input]],1)</f>
        <v>R</v>
      </c>
      <c r="C4025">
        <f>_xlfn.LET(_xlpm.steps,SUBSTITUTE(Table1[[#This Row],[Input]],Table1[[#This Row],[Direction]],""),VALUE(IF(LEN(_xlpm.steps)&gt;2,RIGHT(_xlpm.steps,2),_xlpm.steps)))</f>
        <v>64</v>
      </c>
      <c r="D4025">
        <f>_xlfn.LET(_xlpm.dir,Table1[[#This Row],[Direction]],
IF(_xlpm.dir="L",
    IF(F4024-Table1[[#This Row],[Steps]]&lt;0,100+(F4024-Table1[[#This Row],[Steps]]),F4024-Table1[[#This Row],[Steps]]),
))</f>
        <v>0</v>
      </c>
      <c r="E4025">
        <f>_xlfn.LET(_xlpm.dir,Table1[[#This Row],[Direction]],
IF(_xlpm.dir="R",
    IF(F4024+Table1[[#This Row],[Steps]]&gt;99,(F4024+Table1[[#This Row],[Steps]])-100,F4024+Table1[[#This Row],[Steps]]),
))</f>
        <v>64</v>
      </c>
      <c r="F4025">
        <f>IF(Table1[[#This Row],[New Pos L]]&lt;&gt;0,Table1[[#This Row],[New Pos L]],Table1[[#This Row],[New Pos R]])</f>
        <v>64</v>
      </c>
    </row>
    <row r="4026" spans="1:6" ht="16" x14ac:dyDescent="0.2">
      <c r="A4026" s="1" t="s">
        <v>145</v>
      </c>
      <c r="B4026" t="str">
        <f>LEFT(Table1[[#This Row],[Input]],1)</f>
        <v>L</v>
      </c>
      <c r="C4026">
        <f>_xlfn.LET(_xlpm.steps,SUBSTITUTE(Table1[[#This Row],[Input]],Table1[[#This Row],[Direction]],""),VALUE(IF(LEN(_xlpm.steps)&gt;2,RIGHT(_xlpm.steps,2),_xlpm.steps)))</f>
        <v>83</v>
      </c>
      <c r="D4026">
        <f>_xlfn.LET(_xlpm.dir,Table1[[#This Row],[Direction]],
IF(_xlpm.dir="L",
    IF(F4025-Table1[[#This Row],[Steps]]&lt;0,100+(F4025-Table1[[#This Row],[Steps]]),F4025-Table1[[#This Row],[Steps]]),
))</f>
        <v>81</v>
      </c>
      <c r="E4026">
        <f>_xlfn.LET(_xlpm.dir,Table1[[#This Row],[Direction]],
IF(_xlpm.dir="R",
    IF(F4025+Table1[[#This Row],[Steps]]&gt;99,(F4025+Table1[[#This Row],[Steps]])-100,F4025+Table1[[#This Row],[Steps]]),
))</f>
        <v>0</v>
      </c>
      <c r="F4026">
        <f>IF(Table1[[#This Row],[New Pos L]]&lt;&gt;0,Table1[[#This Row],[New Pos L]],Table1[[#This Row],[New Pos R]])</f>
        <v>81</v>
      </c>
    </row>
    <row r="4027" spans="1:6" ht="16" x14ac:dyDescent="0.2">
      <c r="A4027" s="1" t="s">
        <v>826</v>
      </c>
      <c r="B4027" t="str">
        <f>LEFT(Table1[[#This Row],[Input]],1)</f>
        <v>L</v>
      </c>
      <c r="C4027">
        <f>_xlfn.LET(_xlpm.steps,SUBSTITUTE(Table1[[#This Row],[Input]],Table1[[#This Row],[Direction]],""),VALUE(IF(LEN(_xlpm.steps)&gt;2,RIGHT(_xlpm.steps,2),_xlpm.steps)))</f>
        <v>30</v>
      </c>
      <c r="D4027">
        <f>_xlfn.LET(_xlpm.dir,Table1[[#This Row],[Direction]],
IF(_xlpm.dir="L",
    IF(F4026-Table1[[#This Row],[Steps]]&lt;0,100+(F4026-Table1[[#This Row],[Steps]]),F4026-Table1[[#This Row],[Steps]]),
))</f>
        <v>51</v>
      </c>
      <c r="E4027">
        <f>_xlfn.LET(_xlpm.dir,Table1[[#This Row],[Direction]],
IF(_xlpm.dir="R",
    IF(F4026+Table1[[#This Row],[Steps]]&gt;99,(F4026+Table1[[#This Row],[Steps]])-100,F4026+Table1[[#This Row],[Steps]]),
))</f>
        <v>0</v>
      </c>
      <c r="F4027">
        <f>IF(Table1[[#This Row],[New Pos L]]&lt;&gt;0,Table1[[#This Row],[New Pos L]],Table1[[#This Row],[New Pos R]])</f>
        <v>51</v>
      </c>
    </row>
    <row r="4028" spans="1:6" ht="16" x14ac:dyDescent="0.2">
      <c r="A4028" s="1" t="s">
        <v>827</v>
      </c>
      <c r="B4028" t="str">
        <f>LEFT(Table1[[#This Row],[Input]],1)</f>
        <v>R</v>
      </c>
      <c r="C4028">
        <f>_xlfn.LET(_xlpm.steps,SUBSTITUTE(Table1[[#This Row],[Input]],Table1[[#This Row],[Direction]],""),VALUE(IF(LEN(_xlpm.steps)&gt;2,RIGHT(_xlpm.steps,2),_xlpm.steps)))</f>
        <v>26</v>
      </c>
      <c r="D4028">
        <f>_xlfn.LET(_xlpm.dir,Table1[[#This Row],[Direction]],
IF(_xlpm.dir="L",
    IF(F4027-Table1[[#This Row],[Steps]]&lt;0,100+(F4027-Table1[[#This Row],[Steps]]),F4027-Table1[[#This Row],[Steps]]),
))</f>
        <v>0</v>
      </c>
      <c r="E4028">
        <f>_xlfn.LET(_xlpm.dir,Table1[[#This Row],[Direction]],
IF(_xlpm.dir="R",
    IF(F4027+Table1[[#This Row],[Steps]]&gt;99,(F4027+Table1[[#This Row],[Steps]])-100,F4027+Table1[[#This Row],[Steps]]),
))</f>
        <v>77</v>
      </c>
      <c r="F4028">
        <f>IF(Table1[[#This Row],[New Pos L]]&lt;&gt;0,Table1[[#This Row],[New Pos L]],Table1[[#This Row],[New Pos R]])</f>
        <v>77</v>
      </c>
    </row>
    <row r="4029" spans="1:6" ht="16" x14ac:dyDescent="0.2">
      <c r="A4029" s="1" t="s">
        <v>157</v>
      </c>
      <c r="B4029" t="str">
        <f>LEFT(Table1[[#This Row],[Input]],1)</f>
        <v>R</v>
      </c>
      <c r="C4029">
        <f>_xlfn.LET(_xlpm.steps,SUBSTITUTE(Table1[[#This Row],[Input]],Table1[[#This Row],[Direction]],""),VALUE(IF(LEN(_xlpm.steps)&gt;2,RIGHT(_xlpm.steps,2),_xlpm.steps)))</f>
        <v>68</v>
      </c>
      <c r="D4029">
        <f>_xlfn.LET(_xlpm.dir,Table1[[#This Row],[Direction]],
IF(_xlpm.dir="L",
    IF(F4028-Table1[[#This Row],[Steps]]&lt;0,100+(F4028-Table1[[#This Row],[Steps]]),F4028-Table1[[#This Row],[Steps]]),
))</f>
        <v>0</v>
      </c>
      <c r="E4029">
        <f>_xlfn.LET(_xlpm.dir,Table1[[#This Row],[Direction]],
IF(_xlpm.dir="R",
    IF(F4028+Table1[[#This Row],[Steps]]&gt;99,(F4028+Table1[[#This Row],[Steps]])-100,F4028+Table1[[#This Row],[Steps]]),
))</f>
        <v>45</v>
      </c>
      <c r="F4029">
        <f>IF(Table1[[#This Row],[New Pos L]]&lt;&gt;0,Table1[[#This Row],[New Pos L]],Table1[[#This Row],[New Pos R]])</f>
        <v>45</v>
      </c>
    </row>
    <row r="4030" spans="1:6" ht="16" x14ac:dyDescent="0.2">
      <c r="A4030" s="1" t="s">
        <v>828</v>
      </c>
      <c r="B4030" t="str">
        <f>LEFT(Table1[[#This Row],[Input]],1)</f>
        <v>R</v>
      </c>
      <c r="C4030">
        <f>_xlfn.LET(_xlpm.steps,SUBSTITUTE(Table1[[#This Row],[Input]],Table1[[#This Row],[Direction]],""),VALUE(IF(LEN(_xlpm.steps)&gt;2,RIGHT(_xlpm.steps,2),_xlpm.steps)))</f>
        <v>69</v>
      </c>
      <c r="D4030">
        <f>_xlfn.LET(_xlpm.dir,Table1[[#This Row],[Direction]],
IF(_xlpm.dir="L",
    IF(F4029-Table1[[#This Row],[Steps]]&lt;0,100+(F4029-Table1[[#This Row],[Steps]]),F4029-Table1[[#This Row],[Steps]]),
))</f>
        <v>0</v>
      </c>
      <c r="E4030">
        <f>_xlfn.LET(_xlpm.dir,Table1[[#This Row],[Direction]],
IF(_xlpm.dir="R",
    IF(F4029+Table1[[#This Row],[Steps]]&gt;99,(F4029+Table1[[#This Row],[Steps]])-100,F4029+Table1[[#This Row],[Steps]]),
))</f>
        <v>14</v>
      </c>
      <c r="F4030">
        <f>IF(Table1[[#This Row],[New Pos L]]&lt;&gt;0,Table1[[#This Row],[New Pos L]],Table1[[#This Row],[New Pos R]])</f>
        <v>14</v>
      </c>
    </row>
    <row r="4031" spans="1:6" ht="16" x14ac:dyDescent="0.2">
      <c r="A4031" s="1" t="s">
        <v>3</v>
      </c>
      <c r="B4031" t="str">
        <f>LEFT(Table1[[#This Row],[Input]],1)</f>
        <v>R</v>
      </c>
      <c r="C4031">
        <f>_xlfn.LET(_xlpm.steps,SUBSTITUTE(Table1[[#This Row],[Input]],Table1[[#This Row],[Direction]],""),VALUE(IF(LEN(_xlpm.steps)&gt;2,RIGHT(_xlpm.steps,2),_xlpm.steps)))</f>
        <v>44</v>
      </c>
      <c r="D4031">
        <f>_xlfn.LET(_xlpm.dir,Table1[[#This Row],[Direction]],
IF(_xlpm.dir="L",
    IF(F4030-Table1[[#This Row],[Steps]]&lt;0,100+(F4030-Table1[[#This Row],[Steps]]),F4030-Table1[[#This Row],[Steps]]),
))</f>
        <v>0</v>
      </c>
      <c r="E4031">
        <f>_xlfn.LET(_xlpm.dir,Table1[[#This Row],[Direction]],
IF(_xlpm.dir="R",
    IF(F4030+Table1[[#This Row],[Steps]]&gt;99,(F4030+Table1[[#This Row],[Steps]])-100,F4030+Table1[[#This Row],[Steps]]),
))</f>
        <v>58</v>
      </c>
      <c r="F4031">
        <f>IF(Table1[[#This Row],[New Pos L]]&lt;&gt;0,Table1[[#This Row],[New Pos L]],Table1[[#This Row],[New Pos R]])</f>
        <v>58</v>
      </c>
    </row>
    <row r="4032" spans="1:6" ht="16" x14ac:dyDescent="0.2">
      <c r="A4032" s="1" t="s">
        <v>829</v>
      </c>
      <c r="B4032" t="str">
        <f>LEFT(Table1[[#This Row],[Input]],1)</f>
        <v>L</v>
      </c>
      <c r="C4032">
        <f>_xlfn.LET(_xlpm.steps,SUBSTITUTE(Table1[[#This Row],[Input]],Table1[[#This Row],[Direction]],""),VALUE(IF(LEN(_xlpm.steps)&gt;2,RIGHT(_xlpm.steps,2),_xlpm.steps)))</f>
        <v>58</v>
      </c>
      <c r="D4032">
        <f>_xlfn.LET(_xlpm.dir,Table1[[#This Row],[Direction]],
IF(_xlpm.dir="L",
    IF(F4031-Table1[[#This Row],[Steps]]&lt;0,100+(F4031-Table1[[#This Row],[Steps]]),F4031-Table1[[#This Row],[Steps]]),
))</f>
        <v>0</v>
      </c>
      <c r="E4032">
        <f>_xlfn.LET(_xlpm.dir,Table1[[#This Row],[Direction]],
IF(_xlpm.dir="R",
    IF(F4031+Table1[[#This Row],[Steps]]&gt;99,(F4031+Table1[[#This Row],[Steps]])-100,F4031+Table1[[#This Row],[Steps]]),
))</f>
        <v>0</v>
      </c>
      <c r="F4032">
        <f>IF(Table1[[#This Row],[New Pos L]]&lt;&gt;0,Table1[[#This Row],[New Pos L]],Table1[[#This Row],[New Pos R]])</f>
        <v>0</v>
      </c>
    </row>
    <row r="4033" spans="1:6" ht="16" x14ac:dyDescent="0.2">
      <c r="A4033" s="1" t="s">
        <v>27</v>
      </c>
      <c r="B4033" t="str">
        <f>LEFT(Table1[[#This Row],[Input]],1)</f>
        <v>L</v>
      </c>
      <c r="C4033">
        <f>_xlfn.LET(_xlpm.steps,SUBSTITUTE(Table1[[#This Row],[Input]],Table1[[#This Row],[Direction]],""),VALUE(IF(LEN(_xlpm.steps)&gt;2,RIGHT(_xlpm.steps,2),_xlpm.steps)))</f>
        <v>14</v>
      </c>
      <c r="D4033">
        <f>_xlfn.LET(_xlpm.dir,Table1[[#This Row],[Direction]],
IF(_xlpm.dir="L",
    IF(F4032-Table1[[#This Row],[Steps]]&lt;0,100+(F4032-Table1[[#This Row],[Steps]]),F4032-Table1[[#This Row],[Steps]]),
))</f>
        <v>86</v>
      </c>
      <c r="E4033">
        <f>_xlfn.LET(_xlpm.dir,Table1[[#This Row],[Direction]],
IF(_xlpm.dir="R",
    IF(F4032+Table1[[#This Row],[Steps]]&gt;99,(F4032+Table1[[#This Row],[Steps]])-100,F4032+Table1[[#This Row],[Steps]]),
))</f>
        <v>0</v>
      </c>
      <c r="F4033">
        <f>IF(Table1[[#This Row],[New Pos L]]&lt;&gt;0,Table1[[#This Row],[New Pos L]],Table1[[#This Row],[New Pos R]])</f>
        <v>86</v>
      </c>
    </row>
    <row r="4034" spans="1:6" ht="16" x14ac:dyDescent="0.2">
      <c r="A4034" s="1" t="s">
        <v>216</v>
      </c>
      <c r="B4034" t="str">
        <f>LEFT(Table1[[#This Row],[Input]],1)</f>
        <v>R</v>
      </c>
      <c r="C4034">
        <f>_xlfn.LET(_xlpm.steps,SUBSTITUTE(Table1[[#This Row],[Input]],Table1[[#This Row],[Direction]],""),VALUE(IF(LEN(_xlpm.steps)&gt;2,RIGHT(_xlpm.steps,2),_xlpm.steps)))</f>
        <v>54</v>
      </c>
      <c r="D4034">
        <f>_xlfn.LET(_xlpm.dir,Table1[[#This Row],[Direction]],
IF(_xlpm.dir="L",
    IF(F4033-Table1[[#This Row],[Steps]]&lt;0,100+(F4033-Table1[[#This Row],[Steps]]),F4033-Table1[[#This Row],[Steps]]),
))</f>
        <v>0</v>
      </c>
      <c r="E4034">
        <f>_xlfn.LET(_xlpm.dir,Table1[[#This Row],[Direction]],
IF(_xlpm.dir="R",
    IF(F4033+Table1[[#This Row],[Steps]]&gt;99,(F4033+Table1[[#This Row],[Steps]])-100,F4033+Table1[[#This Row],[Steps]]),
))</f>
        <v>40</v>
      </c>
      <c r="F4034">
        <f>IF(Table1[[#This Row],[New Pos L]]&lt;&gt;0,Table1[[#This Row],[New Pos L]],Table1[[#This Row],[New Pos R]])</f>
        <v>40</v>
      </c>
    </row>
    <row r="4035" spans="1:6" ht="16" x14ac:dyDescent="0.2">
      <c r="A4035" s="1" t="s">
        <v>139</v>
      </c>
      <c r="B4035" t="str">
        <f>LEFT(Table1[[#This Row],[Input]],1)</f>
        <v>R</v>
      </c>
      <c r="C4035">
        <f>_xlfn.LET(_xlpm.steps,SUBSTITUTE(Table1[[#This Row],[Input]],Table1[[#This Row],[Direction]],""),VALUE(IF(LEN(_xlpm.steps)&gt;2,RIGHT(_xlpm.steps,2),_xlpm.steps)))</f>
        <v>38</v>
      </c>
      <c r="D4035">
        <f>_xlfn.LET(_xlpm.dir,Table1[[#This Row],[Direction]],
IF(_xlpm.dir="L",
    IF(F4034-Table1[[#This Row],[Steps]]&lt;0,100+(F4034-Table1[[#This Row],[Steps]]),F4034-Table1[[#This Row],[Steps]]),
))</f>
        <v>0</v>
      </c>
      <c r="E4035">
        <f>_xlfn.LET(_xlpm.dir,Table1[[#This Row],[Direction]],
IF(_xlpm.dir="R",
    IF(F4034+Table1[[#This Row],[Steps]]&gt;99,(F4034+Table1[[#This Row],[Steps]])-100,F4034+Table1[[#This Row],[Steps]]),
))</f>
        <v>78</v>
      </c>
      <c r="F4035">
        <f>IF(Table1[[#This Row],[New Pos L]]&lt;&gt;0,Table1[[#This Row],[New Pos L]],Table1[[#This Row],[New Pos R]])</f>
        <v>78</v>
      </c>
    </row>
    <row r="4036" spans="1:6" ht="16" x14ac:dyDescent="0.2">
      <c r="A4036" s="1" t="s">
        <v>16</v>
      </c>
      <c r="B4036" t="str">
        <f>LEFT(Table1[[#This Row],[Input]],1)</f>
        <v>L</v>
      </c>
      <c r="C4036">
        <f>_xlfn.LET(_xlpm.steps,SUBSTITUTE(Table1[[#This Row],[Input]],Table1[[#This Row],[Direction]],""),VALUE(IF(LEN(_xlpm.steps)&gt;2,RIGHT(_xlpm.steps,2),_xlpm.steps)))</f>
        <v>10</v>
      </c>
      <c r="D4036">
        <f>_xlfn.LET(_xlpm.dir,Table1[[#This Row],[Direction]],
IF(_xlpm.dir="L",
    IF(F4035-Table1[[#This Row],[Steps]]&lt;0,100+(F4035-Table1[[#This Row],[Steps]]),F4035-Table1[[#This Row],[Steps]]),
))</f>
        <v>68</v>
      </c>
      <c r="E4036">
        <f>_xlfn.LET(_xlpm.dir,Table1[[#This Row],[Direction]],
IF(_xlpm.dir="R",
    IF(F4035+Table1[[#This Row],[Steps]]&gt;99,(F4035+Table1[[#This Row],[Steps]])-100,F4035+Table1[[#This Row],[Steps]]),
))</f>
        <v>0</v>
      </c>
      <c r="F4036">
        <f>IF(Table1[[#This Row],[New Pos L]]&lt;&gt;0,Table1[[#This Row],[New Pos L]],Table1[[#This Row],[New Pos R]])</f>
        <v>68</v>
      </c>
    </row>
    <row r="4037" spans="1:6" ht="16" x14ac:dyDescent="0.2">
      <c r="A4037" s="1" t="s">
        <v>206</v>
      </c>
      <c r="B4037" t="str">
        <f>LEFT(Table1[[#This Row],[Input]],1)</f>
        <v>R</v>
      </c>
      <c r="C4037">
        <f>_xlfn.LET(_xlpm.steps,SUBSTITUTE(Table1[[#This Row],[Input]],Table1[[#This Row],[Direction]],""),VALUE(IF(LEN(_xlpm.steps)&gt;2,RIGHT(_xlpm.steps,2),_xlpm.steps)))</f>
        <v>62</v>
      </c>
      <c r="D4037">
        <f>_xlfn.LET(_xlpm.dir,Table1[[#This Row],[Direction]],
IF(_xlpm.dir="L",
    IF(F4036-Table1[[#This Row],[Steps]]&lt;0,100+(F4036-Table1[[#This Row],[Steps]]),F4036-Table1[[#This Row],[Steps]]),
))</f>
        <v>0</v>
      </c>
      <c r="E4037">
        <f>_xlfn.LET(_xlpm.dir,Table1[[#This Row],[Direction]],
IF(_xlpm.dir="R",
    IF(F4036+Table1[[#This Row],[Steps]]&gt;99,(F4036+Table1[[#This Row],[Steps]])-100,F4036+Table1[[#This Row],[Steps]]),
))</f>
        <v>30</v>
      </c>
      <c r="F4037">
        <f>IF(Table1[[#This Row],[New Pos L]]&lt;&gt;0,Table1[[#This Row],[New Pos L]],Table1[[#This Row],[New Pos R]])</f>
        <v>30</v>
      </c>
    </row>
    <row r="4038" spans="1:6" ht="16" x14ac:dyDescent="0.2">
      <c r="A4038" s="1" t="s">
        <v>4</v>
      </c>
      <c r="B4038" t="str">
        <f>LEFT(Table1[[#This Row],[Input]],1)</f>
        <v>R</v>
      </c>
      <c r="C4038">
        <f>_xlfn.LET(_xlpm.steps,SUBSTITUTE(Table1[[#This Row],[Input]],Table1[[#This Row],[Direction]],""),VALUE(IF(LEN(_xlpm.steps)&gt;2,RIGHT(_xlpm.steps,2),_xlpm.steps)))</f>
        <v>3</v>
      </c>
      <c r="D4038">
        <f>_xlfn.LET(_xlpm.dir,Table1[[#This Row],[Direction]],
IF(_xlpm.dir="L",
    IF(F4037-Table1[[#This Row],[Steps]]&lt;0,100+(F4037-Table1[[#This Row],[Steps]]),F4037-Table1[[#This Row],[Steps]]),
))</f>
        <v>0</v>
      </c>
      <c r="E4038">
        <f>_xlfn.LET(_xlpm.dir,Table1[[#This Row],[Direction]],
IF(_xlpm.dir="R",
    IF(F4037+Table1[[#This Row],[Steps]]&gt;99,(F4037+Table1[[#This Row],[Steps]])-100,F4037+Table1[[#This Row],[Steps]]),
))</f>
        <v>33</v>
      </c>
      <c r="F4038">
        <f>IF(Table1[[#This Row],[New Pos L]]&lt;&gt;0,Table1[[#This Row],[New Pos L]],Table1[[#This Row],[New Pos R]])</f>
        <v>33</v>
      </c>
    </row>
    <row r="4039" spans="1:6" ht="16" x14ac:dyDescent="0.2">
      <c r="A4039" s="1" t="s">
        <v>293</v>
      </c>
      <c r="B4039" t="str">
        <f>LEFT(Table1[[#This Row],[Input]],1)</f>
        <v>R</v>
      </c>
      <c r="C4039">
        <f>_xlfn.LET(_xlpm.steps,SUBSTITUTE(Table1[[#This Row],[Input]],Table1[[#This Row],[Direction]],""),VALUE(IF(LEN(_xlpm.steps)&gt;2,RIGHT(_xlpm.steps,2),_xlpm.steps)))</f>
        <v>67</v>
      </c>
      <c r="D4039">
        <f>_xlfn.LET(_xlpm.dir,Table1[[#This Row],[Direction]],
IF(_xlpm.dir="L",
    IF(F4038-Table1[[#This Row],[Steps]]&lt;0,100+(F4038-Table1[[#This Row],[Steps]]),F4038-Table1[[#This Row],[Steps]]),
))</f>
        <v>0</v>
      </c>
      <c r="E4039">
        <f>_xlfn.LET(_xlpm.dir,Table1[[#This Row],[Direction]],
IF(_xlpm.dir="R",
    IF(F4038+Table1[[#This Row],[Steps]]&gt;99,(F4038+Table1[[#This Row],[Steps]])-100,F4038+Table1[[#This Row],[Steps]]),
))</f>
        <v>0</v>
      </c>
      <c r="F4039">
        <f>IF(Table1[[#This Row],[New Pos L]]&lt;&gt;0,Table1[[#This Row],[New Pos L]],Table1[[#This Row],[New Pos R]])</f>
        <v>0</v>
      </c>
    </row>
    <row r="4040" spans="1:6" ht="16" x14ac:dyDescent="0.2">
      <c r="A4040" s="1" t="s">
        <v>182</v>
      </c>
      <c r="B4040" t="str">
        <f>LEFT(Table1[[#This Row],[Input]],1)</f>
        <v>L</v>
      </c>
      <c r="C4040">
        <f>_xlfn.LET(_xlpm.steps,SUBSTITUTE(Table1[[#This Row],[Input]],Table1[[#This Row],[Direction]],""),VALUE(IF(LEN(_xlpm.steps)&gt;2,RIGHT(_xlpm.steps,2),_xlpm.steps)))</f>
        <v>3</v>
      </c>
      <c r="D4040">
        <f>_xlfn.LET(_xlpm.dir,Table1[[#This Row],[Direction]],
IF(_xlpm.dir="L",
    IF(F4039-Table1[[#This Row],[Steps]]&lt;0,100+(F4039-Table1[[#This Row],[Steps]]),F4039-Table1[[#This Row],[Steps]]),
))</f>
        <v>97</v>
      </c>
      <c r="E4040">
        <f>_xlfn.LET(_xlpm.dir,Table1[[#This Row],[Direction]],
IF(_xlpm.dir="R",
    IF(F4039+Table1[[#This Row],[Steps]]&gt;99,(F4039+Table1[[#This Row],[Steps]])-100,F4039+Table1[[#This Row],[Steps]]),
))</f>
        <v>0</v>
      </c>
      <c r="F4040">
        <f>IF(Table1[[#This Row],[New Pos L]]&lt;&gt;0,Table1[[#This Row],[New Pos L]],Table1[[#This Row],[New Pos R]])</f>
        <v>97</v>
      </c>
    </row>
    <row r="4041" spans="1:6" ht="16" x14ac:dyDescent="0.2">
      <c r="A4041" s="1" t="s">
        <v>830</v>
      </c>
      <c r="B4041" t="str">
        <f>LEFT(Table1[[#This Row],[Input]],1)</f>
        <v>R</v>
      </c>
      <c r="C4041">
        <f>_xlfn.LET(_xlpm.steps,SUBSTITUTE(Table1[[#This Row],[Input]],Table1[[#This Row],[Direction]],""),VALUE(IF(LEN(_xlpm.steps)&gt;2,RIGHT(_xlpm.steps,2),_xlpm.steps)))</f>
        <v>3</v>
      </c>
      <c r="D4041">
        <f>_xlfn.LET(_xlpm.dir,Table1[[#This Row],[Direction]],
IF(_xlpm.dir="L",
    IF(F4040-Table1[[#This Row],[Steps]]&lt;0,100+(F4040-Table1[[#This Row],[Steps]]),F4040-Table1[[#This Row],[Steps]]),
))</f>
        <v>0</v>
      </c>
      <c r="E4041">
        <f>_xlfn.LET(_xlpm.dir,Table1[[#This Row],[Direction]],
IF(_xlpm.dir="R",
    IF(F4040+Table1[[#This Row],[Steps]]&gt;99,(F4040+Table1[[#This Row],[Steps]])-100,F4040+Table1[[#This Row],[Steps]]),
))</f>
        <v>0</v>
      </c>
      <c r="F4041">
        <f>IF(Table1[[#This Row],[New Pos L]]&lt;&gt;0,Table1[[#This Row],[New Pos L]],Table1[[#This Row],[New Pos R]])</f>
        <v>0</v>
      </c>
    </row>
    <row r="4042" spans="1:6" ht="16" x14ac:dyDescent="0.2">
      <c r="A4042" s="1" t="s">
        <v>226</v>
      </c>
      <c r="B4042" t="str">
        <f>LEFT(Table1[[#This Row],[Input]],1)</f>
        <v>L</v>
      </c>
      <c r="C4042">
        <f>_xlfn.LET(_xlpm.steps,SUBSTITUTE(Table1[[#This Row],[Input]],Table1[[#This Row],[Direction]],""),VALUE(IF(LEN(_xlpm.steps)&gt;2,RIGHT(_xlpm.steps,2),_xlpm.steps)))</f>
        <v>31</v>
      </c>
      <c r="D4042">
        <f>_xlfn.LET(_xlpm.dir,Table1[[#This Row],[Direction]],
IF(_xlpm.dir="L",
    IF(F4041-Table1[[#This Row],[Steps]]&lt;0,100+(F4041-Table1[[#This Row],[Steps]]),F4041-Table1[[#This Row],[Steps]]),
))</f>
        <v>69</v>
      </c>
      <c r="E4042">
        <f>_xlfn.LET(_xlpm.dir,Table1[[#This Row],[Direction]],
IF(_xlpm.dir="R",
    IF(F4041+Table1[[#This Row],[Steps]]&gt;99,(F4041+Table1[[#This Row],[Steps]])-100,F4041+Table1[[#This Row],[Steps]]),
))</f>
        <v>0</v>
      </c>
      <c r="F4042">
        <f>IF(Table1[[#This Row],[New Pos L]]&lt;&gt;0,Table1[[#This Row],[New Pos L]],Table1[[#This Row],[New Pos R]])</f>
        <v>69</v>
      </c>
    </row>
    <row r="4043" spans="1:6" ht="16" x14ac:dyDescent="0.2">
      <c r="A4043" s="1" t="s">
        <v>102</v>
      </c>
      <c r="B4043" t="str">
        <f>LEFT(Table1[[#This Row],[Input]],1)</f>
        <v>R</v>
      </c>
      <c r="C4043">
        <f>_xlfn.LET(_xlpm.steps,SUBSTITUTE(Table1[[#This Row],[Input]],Table1[[#This Row],[Direction]],""),VALUE(IF(LEN(_xlpm.steps)&gt;2,RIGHT(_xlpm.steps,2),_xlpm.steps)))</f>
        <v>39</v>
      </c>
      <c r="D4043">
        <f>_xlfn.LET(_xlpm.dir,Table1[[#This Row],[Direction]],
IF(_xlpm.dir="L",
    IF(F4042-Table1[[#This Row],[Steps]]&lt;0,100+(F4042-Table1[[#This Row],[Steps]]),F4042-Table1[[#This Row],[Steps]]),
))</f>
        <v>0</v>
      </c>
      <c r="E4043">
        <f>_xlfn.LET(_xlpm.dir,Table1[[#This Row],[Direction]],
IF(_xlpm.dir="R",
    IF(F4042+Table1[[#This Row],[Steps]]&gt;99,(F4042+Table1[[#This Row],[Steps]])-100,F4042+Table1[[#This Row],[Steps]]),
))</f>
        <v>8</v>
      </c>
      <c r="F4043">
        <f>IF(Table1[[#This Row],[New Pos L]]&lt;&gt;0,Table1[[#This Row],[New Pos L]],Table1[[#This Row],[New Pos R]])</f>
        <v>8</v>
      </c>
    </row>
    <row r="4044" spans="1:6" ht="16" x14ac:dyDescent="0.2">
      <c r="A4044" s="1" t="s">
        <v>264</v>
      </c>
      <c r="B4044" t="str">
        <f>LEFT(Table1[[#This Row],[Input]],1)</f>
        <v>L</v>
      </c>
      <c r="C4044">
        <f>_xlfn.LET(_xlpm.steps,SUBSTITUTE(Table1[[#This Row],[Input]],Table1[[#This Row],[Direction]],""),VALUE(IF(LEN(_xlpm.steps)&gt;2,RIGHT(_xlpm.steps,2),_xlpm.steps)))</f>
        <v>21</v>
      </c>
      <c r="D4044">
        <f>_xlfn.LET(_xlpm.dir,Table1[[#This Row],[Direction]],
IF(_xlpm.dir="L",
    IF(F4043-Table1[[#This Row],[Steps]]&lt;0,100+(F4043-Table1[[#This Row],[Steps]]),F4043-Table1[[#This Row],[Steps]]),
))</f>
        <v>87</v>
      </c>
      <c r="E4044">
        <f>_xlfn.LET(_xlpm.dir,Table1[[#This Row],[Direction]],
IF(_xlpm.dir="R",
    IF(F4043+Table1[[#This Row],[Steps]]&gt;99,(F4043+Table1[[#This Row],[Steps]])-100,F4043+Table1[[#This Row],[Steps]]),
))</f>
        <v>0</v>
      </c>
      <c r="F4044">
        <f>IF(Table1[[#This Row],[New Pos L]]&lt;&gt;0,Table1[[#This Row],[New Pos L]],Table1[[#This Row],[New Pos R]])</f>
        <v>87</v>
      </c>
    </row>
    <row r="4045" spans="1:6" ht="16" x14ac:dyDescent="0.2">
      <c r="A4045" s="1" t="s">
        <v>256</v>
      </c>
      <c r="B4045" t="str">
        <f>LEFT(Table1[[#This Row],[Input]],1)</f>
        <v>R</v>
      </c>
      <c r="C4045">
        <f>_xlfn.LET(_xlpm.steps,SUBSTITUTE(Table1[[#This Row],[Input]],Table1[[#This Row],[Direction]],""),VALUE(IF(LEN(_xlpm.steps)&gt;2,RIGHT(_xlpm.steps,2),_xlpm.steps)))</f>
        <v>13</v>
      </c>
      <c r="D4045">
        <f>_xlfn.LET(_xlpm.dir,Table1[[#This Row],[Direction]],
IF(_xlpm.dir="L",
    IF(F4044-Table1[[#This Row],[Steps]]&lt;0,100+(F4044-Table1[[#This Row],[Steps]]),F4044-Table1[[#This Row],[Steps]]),
))</f>
        <v>0</v>
      </c>
      <c r="E4045">
        <f>_xlfn.LET(_xlpm.dir,Table1[[#This Row],[Direction]],
IF(_xlpm.dir="R",
    IF(F4044+Table1[[#This Row],[Steps]]&gt;99,(F4044+Table1[[#This Row],[Steps]])-100,F4044+Table1[[#This Row],[Steps]]),
))</f>
        <v>0</v>
      </c>
      <c r="F4045">
        <f>IF(Table1[[#This Row],[New Pos L]]&lt;&gt;0,Table1[[#This Row],[New Pos L]],Table1[[#This Row],[New Pos R]])</f>
        <v>0</v>
      </c>
    </row>
    <row r="4046" spans="1:6" ht="16" x14ac:dyDescent="0.2">
      <c r="A4046" s="1" t="s">
        <v>127</v>
      </c>
      <c r="B4046" t="str">
        <f>LEFT(Table1[[#This Row],[Input]],1)</f>
        <v>L</v>
      </c>
      <c r="C4046">
        <f>_xlfn.LET(_xlpm.steps,SUBSTITUTE(Table1[[#This Row],[Input]],Table1[[#This Row],[Direction]],""),VALUE(IF(LEN(_xlpm.steps)&gt;2,RIGHT(_xlpm.steps,2),_xlpm.steps)))</f>
        <v>62</v>
      </c>
      <c r="D4046">
        <f>_xlfn.LET(_xlpm.dir,Table1[[#This Row],[Direction]],
IF(_xlpm.dir="L",
    IF(F4045-Table1[[#This Row],[Steps]]&lt;0,100+(F4045-Table1[[#This Row],[Steps]]),F4045-Table1[[#This Row],[Steps]]),
))</f>
        <v>38</v>
      </c>
      <c r="E4046">
        <f>_xlfn.LET(_xlpm.dir,Table1[[#This Row],[Direction]],
IF(_xlpm.dir="R",
    IF(F4045+Table1[[#This Row],[Steps]]&gt;99,(F4045+Table1[[#This Row],[Steps]])-100,F4045+Table1[[#This Row],[Steps]]),
))</f>
        <v>0</v>
      </c>
      <c r="F4046">
        <f>IF(Table1[[#This Row],[New Pos L]]&lt;&gt;0,Table1[[#This Row],[New Pos L]],Table1[[#This Row],[New Pos R]])</f>
        <v>38</v>
      </c>
    </row>
    <row r="4047" spans="1:6" ht="16" x14ac:dyDescent="0.2">
      <c r="A4047" s="1" t="s">
        <v>2</v>
      </c>
      <c r="B4047" t="str">
        <f>LEFT(Table1[[#This Row],[Input]],1)</f>
        <v>L</v>
      </c>
      <c r="C4047">
        <f>_xlfn.LET(_xlpm.steps,SUBSTITUTE(Table1[[#This Row],[Input]],Table1[[#This Row],[Direction]],""),VALUE(IF(LEN(_xlpm.steps)&gt;2,RIGHT(_xlpm.steps,2),_xlpm.steps)))</f>
        <v>38</v>
      </c>
      <c r="D4047">
        <f>_xlfn.LET(_xlpm.dir,Table1[[#This Row],[Direction]],
IF(_xlpm.dir="L",
    IF(F4046-Table1[[#This Row],[Steps]]&lt;0,100+(F4046-Table1[[#This Row],[Steps]]),F4046-Table1[[#This Row],[Steps]]),
))</f>
        <v>0</v>
      </c>
      <c r="E4047">
        <f>_xlfn.LET(_xlpm.dir,Table1[[#This Row],[Direction]],
IF(_xlpm.dir="R",
    IF(F4046+Table1[[#This Row],[Steps]]&gt;99,(F4046+Table1[[#This Row],[Steps]])-100,F4046+Table1[[#This Row],[Steps]]),
))</f>
        <v>0</v>
      </c>
      <c r="F4047">
        <f>IF(Table1[[#This Row],[New Pos L]]&lt;&gt;0,Table1[[#This Row],[New Pos L]],Table1[[#This Row],[New Pos R]])</f>
        <v>0</v>
      </c>
    </row>
    <row r="4048" spans="1:6" ht="16" x14ac:dyDescent="0.2">
      <c r="A4048" s="1" t="s">
        <v>81</v>
      </c>
      <c r="B4048" t="str">
        <f>LEFT(Table1[[#This Row],[Input]],1)</f>
        <v>R</v>
      </c>
      <c r="C4048">
        <f>_xlfn.LET(_xlpm.steps,SUBSTITUTE(Table1[[#This Row],[Input]],Table1[[#This Row],[Direction]],""),VALUE(IF(LEN(_xlpm.steps)&gt;2,RIGHT(_xlpm.steps,2),_xlpm.steps)))</f>
        <v>17</v>
      </c>
      <c r="D4048">
        <f>_xlfn.LET(_xlpm.dir,Table1[[#This Row],[Direction]],
IF(_xlpm.dir="L",
    IF(F4047-Table1[[#This Row],[Steps]]&lt;0,100+(F4047-Table1[[#This Row],[Steps]]),F4047-Table1[[#This Row],[Steps]]),
))</f>
        <v>0</v>
      </c>
      <c r="E4048">
        <f>_xlfn.LET(_xlpm.dir,Table1[[#This Row],[Direction]],
IF(_xlpm.dir="R",
    IF(F4047+Table1[[#This Row],[Steps]]&gt;99,(F4047+Table1[[#This Row],[Steps]])-100,F4047+Table1[[#This Row],[Steps]]),
))</f>
        <v>17</v>
      </c>
      <c r="F4048">
        <f>IF(Table1[[#This Row],[New Pos L]]&lt;&gt;0,Table1[[#This Row],[New Pos L]],Table1[[#This Row],[New Pos R]])</f>
        <v>17</v>
      </c>
    </row>
    <row r="4049" spans="1:6" ht="16" x14ac:dyDescent="0.2">
      <c r="A4049" s="1" t="s">
        <v>141</v>
      </c>
      <c r="B4049" t="str">
        <f>LEFT(Table1[[#This Row],[Input]],1)</f>
        <v>L</v>
      </c>
      <c r="C4049">
        <f>_xlfn.LET(_xlpm.steps,SUBSTITUTE(Table1[[#This Row],[Input]],Table1[[#This Row],[Direction]],""),VALUE(IF(LEN(_xlpm.steps)&gt;2,RIGHT(_xlpm.steps,2),_xlpm.steps)))</f>
        <v>90</v>
      </c>
      <c r="D4049">
        <f>_xlfn.LET(_xlpm.dir,Table1[[#This Row],[Direction]],
IF(_xlpm.dir="L",
    IF(F4048-Table1[[#This Row],[Steps]]&lt;0,100+(F4048-Table1[[#This Row],[Steps]]),F4048-Table1[[#This Row],[Steps]]),
))</f>
        <v>27</v>
      </c>
      <c r="E4049">
        <f>_xlfn.LET(_xlpm.dir,Table1[[#This Row],[Direction]],
IF(_xlpm.dir="R",
    IF(F4048+Table1[[#This Row],[Steps]]&gt;99,(F4048+Table1[[#This Row],[Steps]])-100,F4048+Table1[[#This Row],[Steps]]),
))</f>
        <v>0</v>
      </c>
      <c r="F4049">
        <f>IF(Table1[[#This Row],[New Pos L]]&lt;&gt;0,Table1[[#This Row],[New Pos L]],Table1[[#This Row],[New Pos R]])</f>
        <v>27</v>
      </c>
    </row>
    <row r="4050" spans="1:6" ht="16" x14ac:dyDescent="0.2">
      <c r="A4050" s="1" t="s">
        <v>188</v>
      </c>
      <c r="B4050" t="str">
        <f>LEFT(Table1[[#This Row],[Input]],1)</f>
        <v>R</v>
      </c>
      <c r="C4050">
        <f>_xlfn.LET(_xlpm.steps,SUBSTITUTE(Table1[[#This Row],[Input]],Table1[[#This Row],[Direction]],""),VALUE(IF(LEN(_xlpm.steps)&gt;2,RIGHT(_xlpm.steps,2),_xlpm.steps)))</f>
        <v>5</v>
      </c>
      <c r="D4050">
        <f>_xlfn.LET(_xlpm.dir,Table1[[#This Row],[Direction]],
IF(_xlpm.dir="L",
    IF(F4049-Table1[[#This Row],[Steps]]&lt;0,100+(F4049-Table1[[#This Row],[Steps]]),F4049-Table1[[#This Row],[Steps]]),
))</f>
        <v>0</v>
      </c>
      <c r="E4050">
        <f>_xlfn.LET(_xlpm.dir,Table1[[#This Row],[Direction]],
IF(_xlpm.dir="R",
    IF(F4049+Table1[[#This Row],[Steps]]&gt;99,(F4049+Table1[[#This Row],[Steps]])-100,F4049+Table1[[#This Row],[Steps]]),
))</f>
        <v>32</v>
      </c>
      <c r="F4050">
        <f>IF(Table1[[#This Row],[New Pos L]]&lt;&gt;0,Table1[[#This Row],[New Pos L]],Table1[[#This Row],[New Pos R]])</f>
        <v>32</v>
      </c>
    </row>
    <row r="4051" spans="1:6" ht="16" x14ac:dyDescent="0.2">
      <c r="A4051" s="1" t="s">
        <v>157</v>
      </c>
      <c r="B4051" t="str">
        <f>LEFT(Table1[[#This Row],[Input]],1)</f>
        <v>R</v>
      </c>
      <c r="C4051">
        <f>_xlfn.LET(_xlpm.steps,SUBSTITUTE(Table1[[#This Row],[Input]],Table1[[#This Row],[Direction]],""),VALUE(IF(LEN(_xlpm.steps)&gt;2,RIGHT(_xlpm.steps,2),_xlpm.steps)))</f>
        <v>68</v>
      </c>
      <c r="D4051">
        <f>_xlfn.LET(_xlpm.dir,Table1[[#This Row],[Direction]],
IF(_xlpm.dir="L",
    IF(F4050-Table1[[#This Row],[Steps]]&lt;0,100+(F4050-Table1[[#This Row],[Steps]]),F4050-Table1[[#This Row],[Steps]]),
))</f>
        <v>0</v>
      </c>
      <c r="E4051">
        <f>_xlfn.LET(_xlpm.dir,Table1[[#This Row],[Direction]],
IF(_xlpm.dir="R",
    IF(F4050+Table1[[#This Row],[Steps]]&gt;99,(F4050+Table1[[#This Row],[Steps]])-100,F4050+Table1[[#This Row],[Steps]]),
))</f>
        <v>0</v>
      </c>
      <c r="F4051">
        <f>IF(Table1[[#This Row],[New Pos L]]&lt;&gt;0,Table1[[#This Row],[New Pos L]],Table1[[#This Row],[New Pos R]])</f>
        <v>0</v>
      </c>
    </row>
    <row r="4052" spans="1:6" ht="16" x14ac:dyDescent="0.2">
      <c r="A4052" s="1" t="s">
        <v>831</v>
      </c>
      <c r="B4052" t="str">
        <f>LEFT(Table1[[#This Row],[Input]],1)</f>
        <v>L</v>
      </c>
      <c r="C4052">
        <f>_xlfn.LET(_xlpm.steps,SUBSTITUTE(Table1[[#This Row],[Input]],Table1[[#This Row],[Direction]],""),VALUE(IF(LEN(_xlpm.steps)&gt;2,RIGHT(_xlpm.steps,2),_xlpm.steps)))</f>
        <v>61</v>
      </c>
      <c r="D4052">
        <f>_xlfn.LET(_xlpm.dir,Table1[[#This Row],[Direction]],
IF(_xlpm.dir="L",
    IF(F4051-Table1[[#This Row],[Steps]]&lt;0,100+(F4051-Table1[[#This Row],[Steps]]),F4051-Table1[[#This Row],[Steps]]),
))</f>
        <v>39</v>
      </c>
      <c r="E4052">
        <f>_xlfn.LET(_xlpm.dir,Table1[[#This Row],[Direction]],
IF(_xlpm.dir="R",
    IF(F4051+Table1[[#This Row],[Steps]]&gt;99,(F4051+Table1[[#This Row],[Steps]])-100,F4051+Table1[[#This Row],[Steps]]),
))</f>
        <v>0</v>
      </c>
      <c r="F4052">
        <f>IF(Table1[[#This Row],[New Pos L]]&lt;&gt;0,Table1[[#This Row],[New Pos L]],Table1[[#This Row],[New Pos R]])</f>
        <v>39</v>
      </c>
    </row>
    <row r="4053" spans="1:6" ht="16" x14ac:dyDescent="0.2">
      <c r="A4053" s="1" t="s">
        <v>832</v>
      </c>
      <c r="B4053" t="str">
        <f>LEFT(Table1[[#This Row],[Input]],1)</f>
        <v>R</v>
      </c>
      <c r="C4053">
        <f>_xlfn.LET(_xlpm.steps,SUBSTITUTE(Table1[[#This Row],[Input]],Table1[[#This Row],[Direction]],""),VALUE(IF(LEN(_xlpm.steps)&gt;2,RIGHT(_xlpm.steps,2),_xlpm.steps)))</f>
        <v>13</v>
      </c>
      <c r="D4053">
        <f>_xlfn.LET(_xlpm.dir,Table1[[#This Row],[Direction]],
IF(_xlpm.dir="L",
    IF(F4052-Table1[[#This Row],[Steps]]&lt;0,100+(F4052-Table1[[#This Row],[Steps]]),F4052-Table1[[#This Row],[Steps]]),
))</f>
        <v>0</v>
      </c>
      <c r="E4053">
        <f>_xlfn.LET(_xlpm.dir,Table1[[#This Row],[Direction]],
IF(_xlpm.dir="R",
    IF(F4052+Table1[[#This Row],[Steps]]&gt;99,(F4052+Table1[[#This Row],[Steps]])-100,F4052+Table1[[#This Row],[Steps]]),
))</f>
        <v>52</v>
      </c>
      <c r="F4053">
        <f>IF(Table1[[#This Row],[New Pos L]]&lt;&gt;0,Table1[[#This Row],[New Pos L]],Table1[[#This Row],[New Pos R]])</f>
        <v>52</v>
      </c>
    </row>
    <row r="4054" spans="1:6" ht="16" x14ac:dyDescent="0.2">
      <c r="A4054" s="1" t="s">
        <v>3</v>
      </c>
      <c r="B4054" t="str">
        <f>LEFT(Table1[[#This Row],[Input]],1)</f>
        <v>R</v>
      </c>
      <c r="C4054">
        <f>_xlfn.LET(_xlpm.steps,SUBSTITUTE(Table1[[#This Row],[Input]],Table1[[#This Row],[Direction]],""),VALUE(IF(LEN(_xlpm.steps)&gt;2,RIGHT(_xlpm.steps,2),_xlpm.steps)))</f>
        <v>44</v>
      </c>
      <c r="D4054">
        <f>_xlfn.LET(_xlpm.dir,Table1[[#This Row],[Direction]],
IF(_xlpm.dir="L",
    IF(F4053-Table1[[#This Row],[Steps]]&lt;0,100+(F4053-Table1[[#This Row],[Steps]]),F4053-Table1[[#This Row],[Steps]]),
))</f>
        <v>0</v>
      </c>
      <c r="E4054">
        <f>_xlfn.LET(_xlpm.dir,Table1[[#This Row],[Direction]],
IF(_xlpm.dir="R",
    IF(F4053+Table1[[#This Row],[Steps]]&gt;99,(F4053+Table1[[#This Row],[Steps]])-100,F4053+Table1[[#This Row],[Steps]]),
))</f>
        <v>96</v>
      </c>
      <c r="F4054">
        <f>IF(Table1[[#This Row],[New Pos L]]&lt;&gt;0,Table1[[#This Row],[New Pos L]],Table1[[#This Row],[New Pos R]])</f>
        <v>96</v>
      </c>
    </row>
    <row r="4055" spans="1:6" ht="16" x14ac:dyDescent="0.2">
      <c r="A4055" s="1" t="s">
        <v>62</v>
      </c>
      <c r="B4055" t="str">
        <f>LEFT(Table1[[#This Row],[Input]],1)</f>
        <v>L</v>
      </c>
      <c r="C4055">
        <f>_xlfn.LET(_xlpm.steps,SUBSTITUTE(Table1[[#This Row],[Input]],Table1[[#This Row],[Direction]],""),VALUE(IF(LEN(_xlpm.steps)&gt;2,RIGHT(_xlpm.steps,2),_xlpm.steps)))</f>
        <v>57</v>
      </c>
      <c r="D4055">
        <f>_xlfn.LET(_xlpm.dir,Table1[[#This Row],[Direction]],
IF(_xlpm.dir="L",
    IF(F4054-Table1[[#This Row],[Steps]]&lt;0,100+(F4054-Table1[[#This Row],[Steps]]),F4054-Table1[[#This Row],[Steps]]),
))</f>
        <v>39</v>
      </c>
      <c r="E4055">
        <f>_xlfn.LET(_xlpm.dir,Table1[[#This Row],[Direction]],
IF(_xlpm.dir="R",
    IF(F4054+Table1[[#This Row],[Steps]]&gt;99,(F4054+Table1[[#This Row],[Steps]])-100,F4054+Table1[[#This Row],[Steps]]),
))</f>
        <v>0</v>
      </c>
      <c r="F4055">
        <f>IF(Table1[[#This Row],[New Pos L]]&lt;&gt;0,Table1[[#This Row],[New Pos L]],Table1[[#This Row],[New Pos R]])</f>
        <v>39</v>
      </c>
    </row>
    <row r="4056" spans="1:6" ht="16" x14ac:dyDescent="0.2">
      <c r="A4056" s="1" t="s">
        <v>185</v>
      </c>
      <c r="B4056" t="str">
        <f>LEFT(Table1[[#This Row],[Input]],1)</f>
        <v>R</v>
      </c>
      <c r="C4056">
        <f>_xlfn.LET(_xlpm.steps,SUBSTITUTE(Table1[[#This Row],[Input]],Table1[[#This Row],[Direction]],""),VALUE(IF(LEN(_xlpm.steps)&gt;2,RIGHT(_xlpm.steps,2),_xlpm.steps)))</f>
        <v>61</v>
      </c>
      <c r="D4056">
        <f>_xlfn.LET(_xlpm.dir,Table1[[#This Row],[Direction]],
IF(_xlpm.dir="L",
    IF(F4055-Table1[[#This Row],[Steps]]&lt;0,100+(F4055-Table1[[#This Row],[Steps]]),F4055-Table1[[#This Row],[Steps]]),
))</f>
        <v>0</v>
      </c>
      <c r="E4056">
        <f>_xlfn.LET(_xlpm.dir,Table1[[#This Row],[Direction]],
IF(_xlpm.dir="R",
    IF(F4055+Table1[[#This Row],[Steps]]&gt;99,(F4055+Table1[[#This Row],[Steps]])-100,F4055+Table1[[#This Row],[Steps]]),
))</f>
        <v>0</v>
      </c>
      <c r="F4056">
        <f>IF(Table1[[#This Row],[New Pos L]]&lt;&gt;0,Table1[[#This Row],[New Pos L]],Table1[[#This Row],[New Pos R]])</f>
        <v>0</v>
      </c>
    </row>
    <row r="4057" spans="1:6" ht="16" x14ac:dyDescent="0.2">
      <c r="A4057" s="1" t="s">
        <v>4</v>
      </c>
      <c r="B4057" t="str">
        <f>LEFT(Table1[[#This Row],[Input]],1)</f>
        <v>R</v>
      </c>
      <c r="C4057">
        <f>_xlfn.LET(_xlpm.steps,SUBSTITUTE(Table1[[#This Row],[Input]],Table1[[#This Row],[Direction]],""),VALUE(IF(LEN(_xlpm.steps)&gt;2,RIGHT(_xlpm.steps,2),_xlpm.steps)))</f>
        <v>3</v>
      </c>
      <c r="D4057">
        <f>_xlfn.LET(_xlpm.dir,Table1[[#This Row],[Direction]],
IF(_xlpm.dir="L",
    IF(F4056-Table1[[#This Row],[Steps]]&lt;0,100+(F4056-Table1[[#This Row],[Steps]]),F4056-Table1[[#This Row],[Steps]]),
))</f>
        <v>0</v>
      </c>
      <c r="E4057">
        <f>_xlfn.LET(_xlpm.dir,Table1[[#This Row],[Direction]],
IF(_xlpm.dir="R",
    IF(F4056+Table1[[#This Row],[Steps]]&gt;99,(F4056+Table1[[#This Row],[Steps]])-100,F4056+Table1[[#This Row],[Steps]]),
))</f>
        <v>3</v>
      </c>
      <c r="F4057">
        <f>IF(Table1[[#This Row],[New Pos L]]&lt;&gt;0,Table1[[#This Row],[New Pos L]],Table1[[#This Row],[New Pos R]])</f>
        <v>3</v>
      </c>
    </row>
    <row r="4058" spans="1:6" ht="16" x14ac:dyDescent="0.2">
      <c r="A4058" s="1" t="s">
        <v>36</v>
      </c>
      <c r="B4058" t="str">
        <f>LEFT(Table1[[#This Row],[Input]],1)</f>
        <v>R</v>
      </c>
      <c r="C4058">
        <f>_xlfn.LET(_xlpm.steps,SUBSTITUTE(Table1[[#This Row],[Input]],Table1[[#This Row],[Direction]],""),VALUE(IF(LEN(_xlpm.steps)&gt;2,RIGHT(_xlpm.steps,2),_xlpm.steps)))</f>
        <v>50</v>
      </c>
      <c r="D4058">
        <f>_xlfn.LET(_xlpm.dir,Table1[[#This Row],[Direction]],
IF(_xlpm.dir="L",
    IF(F4057-Table1[[#This Row],[Steps]]&lt;0,100+(F4057-Table1[[#This Row],[Steps]]),F4057-Table1[[#This Row],[Steps]]),
))</f>
        <v>0</v>
      </c>
      <c r="E4058">
        <f>_xlfn.LET(_xlpm.dir,Table1[[#This Row],[Direction]],
IF(_xlpm.dir="R",
    IF(F4057+Table1[[#This Row],[Steps]]&gt;99,(F4057+Table1[[#This Row],[Steps]])-100,F4057+Table1[[#This Row],[Steps]]),
))</f>
        <v>53</v>
      </c>
      <c r="F4058">
        <f>IF(Table1[[#This Row],[New Pos L]]&lt;&gt;0,Table1[[#This Row],[New Pos L]],Table1[[#This Row],[New Pos R]])</f>
        <v>53</v>
      </c>
    </row>
    <row r="4059" spans="1:6" ht="16" x14ac:dyDescent="0.2">
      <c r="A4059" s="1" t="s">
        <v>336</v>
      </c>
      <c r="B4059" t="str">
        <f>LEFT(Table1[[#This Row],[Input]],1)</f>
        <v>R</v>
      </c>
      <c r="C4059">
        <f>_xlfn.LET(_xlpm.steps,SUBSTITUTE(Table1[[#This Row],[Input]],Table1[[#This Row],[Direction]],""),VALUE(IF(LEN(_xlpm.steps)&gt;2,RIGHT(_xlpm.steps,2),_xlpm.steps)))</f>
        <v>95</v>
      </c>
      <c r="D4059">
        <f>_xlfn.LET(_xlpm.dir,Table1[[#This Row],[Direction]],
IF(_xlpm.dir="L",
    IF(F4058-Table1[[#This Row],[Steps]]&lt;0,100+(F4058-Table1[[#This Row],[Steps]]),F4058-Table1[[#This Row],[Steps]]),
))</f>
        <v>0</v>
      </c>
      <c r="E4059">
        <f>_xlfn.LET(_xlpm.dir,Table1[[#This Row],[Direction]],
IF(_xlpm.dir="R",
    IF(F4058+Table1[[#This Row],[Steps]]&gt;99,(F4058+Table1[[#This Row],[Steps]])-100,F4058+Table1[[#This Row],[Steps]]),
))</f>
        <v>48</v>
      </c>
      <c r="F4059">
        <f>IF(Table1[[#This Row],[New Pos L]]&lt;&gt;0,Table1[[#This Row],[New Pos L]],Table1[[#This Row],[New Pos R]])</f>
        <v>48</v>
      </c>
    </row>
    <row r="4060" spans="1:6" ht="16" x14ac:dyDescent="0.2">
      <c r="A4060" s="1" t="s">
        <v>159</v>
      </c>
      <c r="B4060" t="str">
        <f>LEFT(Table1[[#This Row],[Input]],1)</f>
        <v>R</v>
      </c>
      <c r="C4060">
        <f>_xlfn.LET(_xlpm.steps,SUBSTITUTE(Table1[[#This Row],[Input]],Table1[[#This Row],[Direction]],""),VALUE(IF(LEN(_xlpm.steps)&gt;2,RIGHT(_xlpm.steps,2),_xlpm.steps)))</f>
        <v>24</v>
      </c>
      <c r="D4060">
        <f>_xlfn.LET(_xlpm.dir,Table1[[#This Row],[Direction]],
IF(_xlpm.dir="L",
    IF(F4059-Table1[[#This Row],[Steps]]&lt;0,100+(F4059-Table1[[#This Row],[Steps]]),F4059-Table1[[#This Row],[Steps]]),
))</f>
        <v>0</v>
      </c>
      <c r="E4060">
        <f>_xlfn.LET(_xlpm.dir,Table1[[#This Row],[Direction]],
IF(_xlpm.dir="R",
    IF(F4059+Table1[[#This Row],[Steps]]&gt;99,(F4059+Table1[[#This Row],[Steps]])-100,F4059+Table1[[#This Row],[Steps]]),
))</f>
        <v>72</v>
      </c>
      <c r="F4060">
        <f>IF(Table1[[#This Row],[New Pos L]]&lt;&gt;0,Table1[[#This Row],[New Pos L]],Table1[[#This Row],[New Pos R]])</f>
        <v>72</v>
      </c>
    </row>
    <row r="4061" spans="1:6" ht="16" x14ac:dyDescent="0.2">
      <c r="A4061" s="1" t="s">
        <v>137</v>
      </c>
      <c r="B4061" t="str">
        <f>LEFT(Table1[[#This Row],[Input]],1)</f>
        <v>R</v>
      </c>
      <c r="C4061">
        <f>_xlfn.LET(_xlpm.steps,SUBSTITUTE(Table1[[#This Row],[Input]],Table1[[#This Row],[Direction]],""),VALUE(IF(LEN(_xlpm.steps)&gt;2,RIGHT(_xlpm.steps,2),_xlpm.steps)))</f>
        <v>28</v>
      </c>
      <c r="D4061">
        <f>_xlfn.LET(_xlpm.dir,Table1[[#This Row],[Direction]],
IF(_xlpm.dir="L",
    IF(F4060-Table1[[#This Row],[Steps]]&lt;0,100+(F4060-Table1[[#This Row],[Steps]]),F4060-Table1[[#This Row],[Steps]]),
))</f>
        <v>0</v>
      </c>
      <c r="E4061">
        <f>_xlfn.LET(_xlpm.dir,Table1[[#This Row],[Direction]],
IF(_xlpm.dir="R",
    IF(F4060+Table1[[#This Row],[Steps]]&gt;99,(F4060+Table1[[#This Row],[Steps]])-100,F4060+Table1[[#This Row],[Steps]]),
))</f>
        <v>0</v>
      </c>
      <c r="F4061">
        <f>IF(Table1[[#This Row],[New Pos L]]&lt;&gt;0,Table1[[#This Row],[New Pos L]],Table1[[#This Row],[New Pos R]])</f>
        <v>0</v>
      </c>
    </row>
    <row r="4062" spans="1:6" ht="16" x14ac:dyDescent="0.2">
      <c r="A4062" s="1" t="s">
        <v>6</v>
      </c>
      <c r="B4062" t="str">
        <f>LEFT(Table1[[#This Row],[Input]],1)</f>
        <v>R</v>
      </c>
      <c r="C4062">
        <f>_xlfn.LET(_xlpm.steps,SUBSTITUTE(Table1[[#This Row],[Input]],Table1[[#This Row],[Direction]],""),VALUE(IF(LEN(_xlpm.steps)&gt;2,RIGHT(_xlpm.steps,2),_xlpm.steps)))</f>
        <v>49</v>
      </c>
      <c r="D4062">
        <f>_xlfn.LET(_xlpm.dir,Table1[[#This Row],[Direction]],
IF(_xlpm.dir="L",
    IF(F4061-Table1[[#This Row],[Steps]]&lt;0,100+(F4061-Table1[[#This Row],[Steps]]),F4061-Table1[[#This Row],[Steps]]),
))</f>
        <v>0</v>
      </c>
      <c r="E4062">
        <f>_xlfn.LET(_xlpm.dir,Table1[[#This Row],[Direction]],
IF(_xlpm.dir="R",
    IF(F4061+Table1[[#This Row],[Steps]]&gt;99,(F4061+Table1[[#This Row],[Steps]])-100,F4061+Table1[[#This Row],[Steps]]),
))</f>
        <v>49</v>
      </c>
      <c r="F4062">
        <f>IF(Table1[[#This Row],[New Pos L]]&lt;&gt;0,Table1[[#This Row],[New Pos L]],Table1[[#This Row],[New Pos R]])</f>
        <v>49</v>
      </c>
    </row>
    <row r="4063" spans="1:6" ht="16" x14ac:dyDescent="0.2">
      <c r="A4063" s="1" t="s">
        <v>193</v>
      </c>
      <c r="B4063" t="str">
        <f>LEFT(Table1[[#This Row],[Input]],1)</f>
        <v>L</v>
      </c>
      <c r="C4063">
        <f>_xlfn.LET(_xlpm.steps,SUBSTITUTE(Table1[[#This Row],[Input]],Table1[[#This Row],[Direction]],""),VALUE(IF(LEN(_xlpm.steps)&gt;2,RIGHT(_xlpm.steps,2),_xlpm.steps)))</f>
        <v>12</v>
      </c>
      <c r="D4063">
        <f>_xlfn.LET(_xlpm.dir,Table1[[#This Row],[Direction]],
IF(_xlpm.dir="L",
    IF(F4062-Table1[[#This Row],[Steps]]&lt;0,100+(F4062-Table1[[#This Row],[Steps]]),F4062-Table1[[#This Row],[Steps]]),
))</f>
        <v>37</v>
      </c>
      <c r="E4063">
        <f>_xlfn.LET(_xlpm.dir,Table1[[#This Row],[Direction]],
IF(_xlpm.dir="R",
    IF(F4062+Table1[[#This Row],[Steps]]&gt;99,(F4062+Table1[[#This Row],[Steps]])-100,F4062+Table1[[#This Row],[Steps]]),
))</f>
        <v>0</v>
      </c>
      <c r="F4063">
        <f>IF(Table1[[#This Row],[New Pos L]]&lt;&gt;0,Table1[[#This Row],[New Pos L]],Table1[[#This Row],[New Pos R]])</f>
        <v>37</v>
      </c>
    </row>
    <row r="4064" spans="1:6" ht="16" x14ac:dyDescent="0.2">
      <c r="A4064" s="1" t="s">
        <v>833</v>
      </c>
      <c r="B4064" t="str">
        <f>LEFT(Table1[[#This Row],[Input]],1)</f>
        <v>R</v>
      </c>
      <c r="C4064">
        <f>_xlfn.LET(_xlpm.steps,SUBSTITUTE(Table1[[#This Row],[Input]],Table1[[#This Row],[Direction]],""),VALUE(IF(LEN(_xlpm.steps)&gt;2,RIGHT(_xlpm.steps,2),_xlpm.steps)))</f>
        <v>28</v>
      </c>
      <c r="D4064">
        <f>_xlfn.LET(_xlpm.dir,Table1[[#This Row],[Direction]],
IF(_xlpm.dir="L",
    IF(F4063-Table1[[#This Row],[Steps]]&lt;0,100+(F4063-Table1[[#This Row],[Steps]]),F4063-Table1[[#This Row],[Steps]]),
))</f>
        <v>0</v>
      </c>
      <c r="E4064">
        <f>_xlfn.LET(_xlpm.dir,Table1[[#This Row],[Direction]],
IF(_xlpm.dir="R",
    IF(F4063+Table1[[#This Row],[Steps]]&gt;99,(F4063+Table1[[#This Row],[Steps]])-100,F4063+Table1[[#This Row],[Steps]]),
))</f>
        <v>65</v>
      </c>
      <c r="F4064">
        <f>IF(Table1[[#This Row],[New Pos L]]&lt;&gt;0,Table1[[#This Row],[New Pos L]],Table1[[#This Row],[New Pos R]])</f>
        <v>65</v>
      </c>
    </row>
    <row r="4065" spans="1:6" ht="16" x14ac:dyDescent="0.2">
      <c r="A4065" s="1" t="s">
        <v>11</v>
      </c>
      <c r="B4065" t="str">
        <f>LEFT(Table1[[#This Row],[Input]],1)</f>
        <v>L</v>
      </c>
      <c r="C4065">
        <f>_xlfn.LET(_xlpm.steps,SUBSTITUTE(Table1[[#This Row],[Input]],Table1[[#This Row],[Direction]],""),VALUE(IF(LEN(_xlpm.steps)&gt;2,RIGHT(_xlpm.steps,2),_xlpm.steps)))</f>
        <v>34</v>
      </c>
      <c r="D4065">
        <f>_xlfn.LET(_xlpm.dir,Table1[[#This Row],[Direction]],
IF(_xlpm.dir="L",
    IF(F4064-Table1[[#This Row],[Steps]]&lt;0,100+(F4064-Table1[[#This Row],[Steps]]),F4064-Table1[[#This Row],[Steps]]),
))</f>
        <v>31</v>
      </c>
      <c r="E4065">
        <f>_xlfn.LET(_xlpm.dir,Table1[[#This Row],[Direction]],
IF(_xlpm.dir="R",
    IF(F4064+Table1[[#This Row],[Steps]]&gt;99,(F4064+Table1[[#This Row],[Steps]])-100,F4064+Table1[[#This Row],[Steps]]),
))</f>
        <v>0</v>
      </c>
      <c r="F4065">
        <f>IF(Table1[[#This Row],[New Pos L]]&lt;&gt;0,Table1[[#This Row],[New Pos L]],Table1[[#This Row],[New Pos R]])</f>
        <v>31</v>
      </c>
    </row>
    <row r="4066" spans="1:6" ht="16" x14ac:dyDescent="0.2">
      <c r="A4066" s="1" t="s">
        <v>834</v>
      </c>
      <c r="B4066" t="str">
        <f>LEFT(Table1[[#This Row],[Input]],1)</f>
        <v>L</v>
      </c>
      <c r="C4066">
        <f>_xlfn.LET(_xlpm.steps,SUBSTITUTE(Table1[[#This Row],[Input]],Table1[[#This Row],[Direction]],""),VALUE(IF(LEN(_xlpm.steps)&gt;2,RIGHT(_xlpm.steps,2),_xlpm.steps)))</f>
        <v>31</v>
      </c>
      <c r="D4066">
        <f>_xlfn.LET(_xlpm.dir,Table1[[#This Row],[Direction]],
IF(_xlpm.dir="L",
    IF(F4065-Table1[[#This Row],[Steps]]&lt;0,100+(F4065-Table1[[#This Row],[Steps]]),F4065-Table1[[#This Row],[Steps]]),
))</f>
        <v>0</v>
      </c>
      <c r="E4066">
        <f>_xlfn.LET(_xlpm.dir,Table1[[#This Row],[Direction]],
IF(_xlpm.dir="R",
    IF(F4065+Table1[[#This Row],[Steps]]&gt;99,(F4065+Table1[[#This Row],[Steps]])-100,F4065+Table1[[#This Row],[Steps]]),
))</f>
        <v>0</v>
      </c>
      <c r="F4066">
        <f>IF(Table1[[#This Row],[New Pos L]]&lt;&gt;0,Table1[[#This Row],[New Pos L]],Table1[[#This Row],[New Pos R]])</f>
        <v>0</v>
      </c>
    </row>
    <row r="4067" spans="1:6" ht="16" x14ac:dyDescent="0.2">
      <c r="A4067" s="1" t="s">
        <v>835</v>
      </c>
      <c r="B4067" t="str">
        <f>LEFT(Table1[[#This Row],[Input]],1)</f>
        <v>R</v>
      </c>
      <c r="C4067">
        <f>_xlfn.LET(_xlpm.steps,SUBSTITUTE(Table1[[#This Row],[Input]],Table1[[#This Row],[Direction]],""),VALUE(IF(LEN(_xlpm.steps)&gt;2,RIGHT(_xlpm.steps,2),_xlpm.steps)))</f>
        <v>45</v>
      </c>
      <c r="D4067">
        <f>_xlfn.LET(_xlpm.dir,Table1[[#This Row],[Direction]],
IF(_xlpm.dir="L",
    IF(F4066-Table1[[#This Row],[Steps]]&lt;0,100+(F4066-Table1[[#This Row],[Steps]]),F4066-Table1[[#This Row],[Steps]]),
))</f>
        <v>0</v>
      </c>
      <c r="E4067">
        <f>_xlfn.LET(_xlpm.dir,Table1[[#This Row],[Direction]],
IF(_xlpm.dir="R",
    IF(F4066+Table1[[#This Row],[Steps]]&gt;99,(F4066+Table1[[#This Row],[Steps]])-100,F4066+Table1[[#This Row],[Steps]]),
))</f>
        <v>45</v>
      </c>
      <c r="F4067">
        <f>IF(Table1[[#This Row],[New Pos L]]&lt;&gt;0,Table1[[#This Row],[New Pos L]],Table1[[#This Row],[New Pos R]])</f>
        <v>45</v>
      </c>
    </row>
    <row r="4068" spans="1:6" ht="16" x14ac:dyDescent="0.2">
      <c r="A4068" s="1" t="s">
        <v>56</v>
      </c>
      <c r="B4068" t="str">
        <f>LEFT(Table1[[#This Row],[Input]],1)</f>
        <v>R</v>
      </c>
      <c r="C4068">
        <f>_xlfn.LET(_xlpm.steps,SUBSTITUTE(Table1[[#This Row],[Input]],Table1[[#This Row],[Direction]],""),VALUE(IF(LEN(_xlpm.steps)&gt;2,RIGHT(_xlpm.steps,2),_xlpm.steps)))</f>
        <v>42</v>
      </c>
      <c r="D4068">
        <f>_xlfn.LET(_xlpm.dir,Table1[[#This Row],[Direction]],
IF(_xlpm.dir="L",
    IF(F4067-Table1[[#This Row],[Steps]]&lt;0,100+(F4067-Table1[[#This Row],[Steps]]),F4067-Table1[[#This Row],[Steps]]),
))</f>
        <v>0</v>
      </c>
      <c r="E4068">
        <f>_xlfn.LET(_xlpm.dir,Table1[[#This Row],[Direction]],
IF(_xlpm.dir="R",
    IF(F4067+Table1[[#This Row],[Steps]]&gt;99,(F4067+Table1[[#This Row],[Steps]])-100,F4067+Table1[[#This Row],[Steps]]),
))</f>
        <v>87</v>
      </c>
      <c r="F4068">
        <f>IF(Table1[[#This Row],[New Pos L]]&lt;&gt;0,Table1[[#This Row],[New Pos L]],Table1[[#This Row],[New Pos R]])</f>
        <v>87</v>
      </c>
    </row>
    <row r="4069" spans="1:6" ht="16" x14ac:dyDescent="0.2">
      <c r="A4069" s="1" t="s">
        <v>256</v>
      </c>
      <c r="B4069" t="str">
        <f>LEFT(Table1[[#This Row],[Input]],1)</f>
        <v>R</v>
      </c>
      <c r="C4069">
        <f>_xlfn.LET(_xlpm.steps,SUBSTITUTE(Table1[[#This Row],[Input]],Table1[[#This Row],[Direction]],""),VALUE(IF(LEN(_xlpm.steps)&gt;2,RIGHT(_xlpm.steps,2),_xlpm.steps)))</f>
        <v>13</v>
      </c>
      <c r="D4069">
        <f>_xlfn.LET(_xlpm.dir,Table1[[#This Row],[Direction]],
IF(_xlpm.dir="L",
    IF(F4068-Table1[[#This Row],[Steps]]&lt;0,100+(F4068-Table1[[#This Row],[Steps]]),F4068-Table1[[#This Row],[Steps]]),
))</f>
        <v>0</v>
      </c>
      <c r="E4069">
        <f>_xlfn.LET(_xlpm.dir,Table1[[#This Row],[Direction]],
IF(_xlpm.dir="R",
    IF(F4068+Table1[[#This Row],[Steps]]&gt;99,(F4068+Table1[[#This Row],[Steps]])-100,F4068+Table1[[#This Row],[Steps]]),
))</f>
        <v>0</v>
      </c>
      <c r="F4069">
        <f>IF(Table1[[#This Row],[New Pos L]]&lt;&gt;0,Table1[[#This Row],[New Pos L]],Table1[[#This Row],[New Pos R]])</f>
        <v>0</v>
      </c>
    </row>
    <row r="4070" spans="1:6" ht="16" x14ac:dyDescent="0.2">
      <c r="A4070" s="1" t="s">
        <v>836</v>
      </c>
      <c r="B4070" t="str">
        <f>LEFT(Table1[[#This Row],[Input]],1)</f>
        <v>L</v>
      </c>
      <c r="C4070">
        <f>_xlfn.LET(_xlpm.steps,SUBSTITUTE(Table1[[#This Row],[Input]],Table1[[#This Row],[Direction]],""),VALUE(IF(LEN(_xlpm.steps)&gt;2,RIGHT(_xlpm.steps,2),_xlpm.steps)))</f>
        <v>91</v>
      </c>
      <c r="D4070">
        <f>_xlfn.LET(_xlpm.dir,Table1[[#This Row],[Direction]],
IF(_xlpm.dir="L",
    IF(F4069-Table1[[#This Row],[Steps]]&lt;0,100+(F4069-Table1[[#This Row],[Steps]]),F4069-Table1[[#This Row],[Steps]]),
))</f>
        <v>9</v>
      </c>
      <c r="E4070">
        <f>_xlfn.LET(_xlpm.dir,Table1[[#This Row],[Direction]],
IF(_xlpm.dir="R",
    IF(F4069+Table1[[#This Row],[Steps]]&gt;99,(F4069+Table1[[#This Row],[Steps]])-100,F4069+Table1[[#This Row],[Steps]]),
))</f>
        <v>0</v>
      </c>
      <c r="F4070">
        <f>IF(Table1[[#This Row],[New Pos L]]&lt;&gt;0,Table1[[#This Row],[New Pos L]],Table1[[#This Row],[New Pos R]])</f>
        <v>9</v>
      </c>
    </row>
    <row r="4071" spans="1:6" ht="16" x14ac:dyDescent="0.2">
      <c r="A4071" s="1" t="s">
        <v>206</v>
      </c>
      <c r="B4071" t="str">
        <f>LEFT(Table1[[#This Row],[Input]],1)</f>
        <v>R</v>
      </c>
      <c r="C4071">
        <f>_xlfn.LET(_xlpm.steps,SUBSTITUTE(Table1[[#This Row],[Input]],Table1[[#This Row],[Direction]],""),VALUE(IF(LEN(_xlpm.steps)&gt;2,RIGHT(_xlpm.steps,2),_xlpm.steps)))</f>
        <v>62</v>
      </c>
      <c r="D4071">
        <f>_xlfn.LET(_xlpm.dir,Table1[[#This Row],[Direction]],
IF(_xlpm.dir="L",
    IF(F4070-Table1[[#This Row],[Steps]]&lt;0,100+(F4070-Table1[[#This Row],[Steps]]),F4070-Table1[[#This Row],[Steps]]),
))</f>
        <v>0</v>
      </c>
      <c r="E4071">
        <f>_xlfn.LET(_xlpm.dir,Table1[[#This Row],[Direction]],
IF(_xlpm.dir="R",
    IF(F4070+Table1[[#This Row],[Steps]]&gt;99,(F4070+Table1[[#This Row],[Steps]])-100,F4070+Table1[[#This Row],[Steps]]),
))</f>
        <v>71</v>
      </c>
      <c r="F4071">
        <f>IF(Table1[[#This Row],[New Pos L]]&lt;&gt;0,Table1[[#This Row],[New Pos L]],Table1[[#This Row],[New Pos R]])</f>
        <v>71</v>
      </c>
    </row>
    <row r="4072" spans="1:6" ht="16" x14ac:dyDescent="0.2">
      <c r="A4072" s="1" t="s">
        <v>40</v>
      </c>
      <c r="B4072" t="str">
        <f>LEFT(Table1[[#This Row],[Input]],1)</f>
        <v>R</v>
      </c>
      <c r="C4072">
        <f>_xlfn.LET(_xlpm.steps,SUBSTITUTE(Table1[[#This Row],[Input]],Table1[[#This Row],[Direction]],""),VALUE(IF(LEN(_xlpm.steps)&gt;2,RIGHT(_xlpm.steps,2),_xlpm.steps)))</f>
        <v>52</v>
      </c>
      <c r="D4072">
        <f>_xlfn.LET(_xlpm.dir,Table1[[#This Row],[Direction]],
IF(_xlpm.dir="L",
    IF(F4071-Table1[[#This Row],[Steps]]&lt;0,100+(F4071-Table1[[#This Row],[Steps]]),F4071-Table1[[#This Row],[Steps]]),
))</f>
        <v>0</v>
      </c>
      <c r="E4072">
        <f>_xlfn.LET(_xlpm.dir,Table1[[#This Row],[Direction]],
IF(_xlpm.dir="R",
    IF(F4071+Table1[[#This Row],[Steps]]&gt;99,(F4071+Table1[[#This Row],[Steps]])-100,F4071+Table1[[#This Row],[Steps]]),
))</f>
        <v>23</v>
      </c>
      <c r="F4072">
        <f>IF(Table1[[#This Row],[New Pos L]]&lt;&gt;0,Table1[[#This Row],[New Pos L]],Table1[[#This Row],[New Pos R]])</f>
        <v>23</v>
      </c>
    </row>
    <row r="4073" spans="1:6" ht="16" x14ac:dyDescent="0.2">
      <c r="A4073" s="1" t="s">
        <v>531</v>
      </c>
      <c r="B4073" t="str">
        <f>LEFT(Table1[[#This Row],[Input]],1)</f>
        <v>L</v>
      </c>
      <c r="C4073">
        <f>_xlfn.LET(_xlpm.steps,SUBSTITUTE(Table1[[#This Row],[Input]],Table1[[#This Row],[Direction]],""),VALUE(IF(LEN(_xlpm.steps)&gt;2,RIGHT(_xlpm.steps,2),_xlpm.steps)))</f>
        <v>15</v>
      </c>
      <c r="D4073">
        <f>_xlfn.LET(_xlpm.dir,Table1[[#This Row],[Direction]],
IF(_xlpm.dir="L",
    IF(F4072-Table1[[#This Row],[Steps]]&lt;0,100+(F4072-Table1[[#This Row],[Steps]]),F4072-Table1[[#This Row],[Steps]]),
))</f>
        <v>8</v>
      </c>
      <c r="E4073">
        <f>_xlfn.LET(_xlpm.dir,Table1[[#This Row],[Direction]],
IF(_xlpm.dir="R",
    IF(F4072+Table1[[#This Row],[Steps]]&gt;99,(F4072+Table1[[#This Row],[Steps]])-100,F4072+Table1[[#This Row],[Steps]]),
))</f>
        <v>0</v>
      </c>
      <c r="F4073">
        <f>IF(Table1[[#This Row],[New Pos L]]&lt;&gt;0,Table1[[#This Row],[New Pos L]],Table1[[#This Row],[New Pos R]])</f>
        <v>8</v>
      </c>
    </row>
    <row r="4074" spans="1:6" ht="16" x14ac:dyDescent="0.2">
      <c r="A4074" s="1" t="s">
        <v>182</v>
      </c>
      <c r="B4074" t="str">
        <f>LEFT(Table1[[#This Row],[Input]],1)</f>
        <v>L</v>
      </c>
      <c r="C4074">
        <f>_xlfn.LET(_xlpm.steps,SUBSTITUTE(Table1[[#This Row],[Input]],Table1[[#This Row],[Direction]],""),VALUE(IF(LEN(_xlpm.steps)&gt;2,RIGHT(_xlpm.steps,2),_xlpm.steps)))</f>
        <v>3</v>
      </c>
      <c r="D4074">
        <f>_xlfn.LET(_xlpm.dir,Table1[[#This Row],[Direction]],
IF(_xlpm.dir="L",
    IF(F4073-Table1[[#This Row],[Steps]]&lt;0,100+(F4073-Table1[[#This Row],[Steps]]),F4073-Table1[[#This Row],[Steps]]),
))</f>
        <v>5</v>
      </c>
      <c r="E4074">
        <f>_xlfn.LET(_xlpm.dir,Table1[[#This Row],[Direction]],
IF(_xlpm.dir="R",
    IF(F4073+Table1[[#This Row],[Steps]]&gt;99,(F4073+Table1[[#This Row],[Steps]])-100,F4073+Table1[[#This Row],[Steps]]),
))</f>
        <v>0</v>
      </c>
      <c r="F4074">
        <f>IF(Table1[[#This Row],[New Pos L]]&lt;&gt;0,Table1[[#This Row],[New Pos L]],Table1[[#This Row],[New Pos R]])</f>
        <v>5</v>
      </c>
    </row>
    <row r="4075" spans="1:6" ht="16" x14ac:dyDescent="0.2">
      <c r="A4075" s="1" t="s">
        <v>158</v>
      </c>
      <c r="B4075" t="str">
        <f>LEFT(Table1[[#This Row],[Input]],1)</f>
        <v>L</v>
      </c>
      <c r="C4075">
        <f>_xlfn.LET(_xlpm.steps,SUBSTITUTE(Table1[[#This Row],[Input]],Table1[[#This Row],[Direction]],""),VALUE(IF(LEN(_xlpm.steps)&gt;2,RIGHT(_xlpm.steps,2),_xlpm.steps)))</f>
        <v>24</v>
      </c>
      <c r="D4075">
        <f>_xlfn.LET(_xlpm.dir,Table1[[#This Row],[Direction]],
IF(_xlpm.dir="L",
    IF(F4074-Table1[[#This Row],[Steps]]&lt;0,100+(F4074-Table1[[#This Row],[Steps]]),F4074-Table1[[#This Row],[Steps]]),
))</f>
        <v>81</v>
      </c>
      <c r="E4075">
        <f>_xlfn.LET(_xlpm.dir,Table1[[#This Row],[Direction]],
IF(_xlpm.dir="R",
    IF(F4074+Table1[[#This Row],[Steps]]&gt;99,(F4074+Table1[[#This Row],[Steps]])-100,F4074+Table1[[#This Row],[Steps]]),
))</f>
        <v>0</v>
      </c>
      <c r="F4075">
        <f>IF(Table1[[#This Row],[New Pos L]]&lt;&gt;0,Table1[[#This Row],[New Pos L]],Table1[[#This Row],[New Pos R]])</f>
        <v>81</v>
      </c>
    </row>
    <row r="4076" spans="1:6" ht="16" x14ac:dyDescent="0.2">
      <c r="A4076" s="1" t="s">
        <v>110</v>
      </c>
      <c r="B4076" t="str">
        <f>LEFT(Table1[[#This Row],[Input]],1)</f>
        <v>L</v>
      </c>
      <c r="C4076">
        <f>_xlfn.LET(_xlpm.steps,SUBSTITUTE(Table1[[#This Row],[Input]],Table1[[#This Row],[Direction]],""),VALUE(IF(LEN(_xlpm.steps)&gt;2,RIGHT(_xlpm.steps,2),_xlpm.steps)))</f>
        <v>81</v>
      </c>
      <c r="D4076">
        <f>_xlfn.LET(_xlpm.dir,Table1[[#This Row],[Direction]],
IF(_xlpm.dir="L",
    IF(F4075-Table1[[#This Row],[Steps]]&lt;0,100+(F4075-Table1[[#This Row],[Steps]]),F4075-Table1[[#This Row],[Steps]]),
))</f>
        <v>0</v>
      </c>
      <c r="E4076">
        <f>_xlfn.LET(_xlpm.dir,Table1[[#This Row],[Direction]],
IF(_xlpm.dir="R",
    IF(F4075+Table1[[#This Row],[Steps]]&gt;99,(F4075+Table1[[#This Row],[Steps]])-100,F4075+Table1[[#This Row],[Steps]]),
))</f>
        <v>0</v>
      </c>
      <c r="F4076">
        <f>IF(Table1[[#This Row],[New Pos L]]&lt;&gt;0,Table1[[#This Row],[New Pos L]],Table1[[#This Row],[New Pos R]])</f>
        <v>0</v>
      </c>
    </row>
    <row r="4077" spans="1:6" ht="16" x14ac:dyDescent="0.2">
      <c r="A4077" s="1" t="s">
        <v>295</v>
      </c>
      <c r="B4077" t="str">
        <f>LEFT(Table1[[#This Row],[Input]],1)</f>
        <v>L</v>
      </c>
      <c r="C4077">
        <f>_xlfn.LET(_xlpm.steps,SUBSTITUTE(Table1[[#This Row],[Input]],Table1[[#This Row],[Direction]],""),VALUE(IF(LEN(_xlpm.steps)&gt;2,RIGHT(_xlpm.steps,2),_xlpm.steps)))</f>
        <v>88</v>
      </c>
      <c r="D4077">
        <f>_xlfn.LET(_xlpm.dir,Table1[[#This Row],[Direction]],
IF(_xlpm.dir="L",
    IF(F4076-Table1[[#This Row],[Steps]]&lt;0,100+(F4076-Table1[[#This Row],[Steps]]),F4076-Table1[[#This Row],[Steps]]),
))</f>
        <v>12</v>
      </c>
      <c r="E4077">
        <f>_xlfn.LET(_xlpm.dir,Table1[[#This Row],[Direction]],
IF(_xlpm.dir="R",
    IF(F4076+Table1[[#This Row],[Steps]]&gt;99,(F4076+Table1[[#This Row],[Steps]])-100,F4076+Table1[[#This Row],[Steps]]),
))</f>
        <v>0</v>
      </c>
      <c r="F4077">
        <f>IF(Table1[[#This Row],[New Pos L]]&lt;&gt;0,Table1[[#This Row],[New Pos L]],Table1[[#This Row],[New Pos R]])</f>
        <v>12</v>
      </c>
    </row>
    <row r="4078" spans="1:6" ht="16" x14ac:dyDescent="0.2">
      <c r="A4078" s="1" t="s">
        <v>84</v>
      </c>
      <c r="B4078" t="str">
        <f>LEFT(Table1[[#This Row],[Input]],1)</f>
        <v>R</v>
      </c>
      <c r="C4078">
        <f>_xlfn.LET(_xlpm.steps,SUBSTITUTE(Table1[[#This Row],[Input]],Table1[[#This Row],[Direction]],""),VALUE(IF(LEN(_xlpm.steps)&gt;2,RIGHT(_xlpm.steps,2),_xlpm.steps)))</f>
        <v>88</v>
      </c>
      <c r="D4078">
        <f>_xlfn.LET(_xlpm.dir,Table1[[#This Row],[Direction]],
IF(_xlpm.dir="L",
    IF(F4077-Table1[[#This Row],[Steps]]&lt;0,100+(F4077-Table1[[#This Row],[Steps]]),F4077-Table1[[#This Row],[Steps]]),
))</f>
        <v>0</v>
      </c>
      <c r="E4078">
        <f>_xlfn.LET(_xlpm.dir,Table1[[#This Row],[Direction]],
IF(_xlpm.dir="R",
    IF(F4077+Table1[[#This Row],[Steps]]&gt;99,(F4077+Table1[[#This Row],[Steps]])-100,F4077+Table1[[#This Row],[Steps]]),
))</f>
        <v>0</v>
      </c>
      <c r="F4078">
        <f>IF(Table1[[#This Row],[New Pos L]]&lt;&gt;0,Table1[[#This Row],[New Pos L]],Table1[[#This Row],[New Pos R]])</f>
        <v>0</v>
      </c>
    </row>
    <row r="4079" spans="1:6" ht="16" x14ac:dyDescent="0.2">
      <c r="A4079" s="1" t="s">
        <v>116</v>
      </c>
      <c r="B4079" t="str">
        <f>LEFT(Table1[[#This Row],[Input]],1)</f>
        <v>L</v>
      </c>
      <c r="C4079">
        <f>_xlfn.LET(_xlpm.steps,SUBSTITUTE(Table1[[#This Row],[Input]],Table1[[#This Row],[Direction]],""),VALUE(IF(LEN(_xlpm.steps)&gt;2,RIGHT(_xlpm.steps,2),_xlpm.steps)))</f>
        <v>58</v>
      </c>
      <c r="D4079">
        <f>_xlfn.LET(_xlpm.dir,Table1[[#This Row],[Direction]],
IF(_xlpm.dir="L",
    IF(F4078-Table1[[#This Row],[Steps]]&lt;0,100+(F4078-Table1[[#This Row],[Steps]]),F4078-Table1[[#This Row],[Steps]]),
))</f>
        <v>42</v>
      </c>
      <c r="E4079">
        <f>_xlfn.LET(_xlpm.dir,Table1[[#This Row],[Direction]],
IF(_xlpm.dir="R",
    IF(F4078+Table1[[#This Row],[Steps]]&gt;99,(F4078+Table1[[#This Row],[Steps]])-100,F4078+Table1[[#This Row],[Steps]]),
))</f>
        <v>0</v>
      </c>
      <c r="F4079">
        <f>IF(Table1[[#This Row],[New Pos L]]&lt;&gt;0,Table1[[#This Row],[New Pos L]],Table1[[#This Row],[New Pos R]])</f>
        <v>42</v>
      </c>
    </row>
    <row r="4080" spans="1:6" ht="16" x14ac:dyDescent="0.2">
      <c r="A4080" s="1" t="s">
        <v>69</v>
      </c>
      <c r="B4080" t="str">
        <f>LEFT(Table1[[#This Row],[Input]],1)</f>
        <v>R</v>
      </c>
      <c r="C4080">
        <f>_xlfn.LET(_xlpm.steps,SUBSTITUTE(Table1[[#This Row],[Input]],Table1[[#This Row],[Direction]],""),VALUE(IF(LEN(_xlpm.steps)&gt;2,RIGHT(_xlpm.steps,2),_xlpm.steps)))</f>
        <v>27</v>
      </c>
      <c r="D4080">
        <f>_xlfn.LET(_xlpm.dir,Table1[[#This Row],[Direction]],
IF(_xlpm.dir="L",
    IF(F4079-Table1[[#This Row],[Steps]]&lt;0,100+(F4079-Table1[[#This Row],[Steps]]),F4079-Table1[[#This Row],[Steps]]),
))</f>
        <v>0</v>
      </c>
      <c r="E4080">
        <f>_xlfn.LET(_xlpm.dir,Table1[[#This Row],[Direction]],
IF(_xlpm.dir="R",
    IF(F4079+Table1[[#This Row],[Steps]]&gt;99,(F4079+Table1[[#This Row],[Steps]])-100,F4079+Table1[[#This Row],[Steps]]),
))</f>
        <v>69</v>
      </c>
      <c r="F4080">
        <f>IF(Table1[[#This Row],[New Pos L]]&lt;&gt;0,Table1[[#This Row],[New Pos L]],Table1[[#This Row],[New Pos R]])</f>
        <v>69</v>
      </c>
    </row>
    <row r="4081" spans="1:6" ht="16" x14ac:dyDescent="0.2">
      <c r="A4081" s="1" t="s">
        <v>201</v>
      </c>
      <c r="B4081" t="str">
        <f>LEFT(Table1[[#This Row],[Input]],1)</f>
        <v>R</v>
      </c>
      <c r="C4081">
        <f>_xlfn.LET(_xlpm.steps,SUBSTITUTE(Table1[[#This Row],[Input]],Table1[[#This Row],[Direction]],""),VALUE(IF(LEN(_xlpm.steps)&gt;2,RIGHT(_xlpm.steps,2),_xlpm.steps)))</f>
        <v>31</v>
      </c>
      <c r="D4081">
        <f>_xlfn.LET(_xlpm.dir,Table1[[#This Row],[Direction]],
IF(_xlpm.dir="L",
    IF(F4080-Table1[[#This Row],[Steps]]&lt;0,100+(F4080-Table1[[#This Row],[Steps]]),F4080-Table1[[#This Row],[Steps]]),
))</f>
        <v>0</v>
      </c>
      <c r="E4081">
        <f>_xlfn.LET(_xlpm.dir,Table1[[#This Row],[Direction]],
IF(_xlpm.dir="R",
    IF(F4080+Table1[[#This Row],[Steps]]&gt;99,(F4080+Table1[[#This Row],[Steps]])-100,F4080+Table1[[#This Row],[Steps]]),
))</f>
        <v>0</v>
      </c>
      <c r="F4081">
        <f>IF(Table1[[#This Row],[New Pos L]]&lt;&gt;0,Table1[[#This Row],[New Pos L]],Table1[[#This Row],[New Pos R]])</f>
        <v>0</v>
      </c>
    </row>
    <row r="4082" spans="1:6" ht="16" x14ac:dyDescent="0.2">
      <c r="A4082" s="1" t="s">
        <v>32</v>
      </c>
      <c r="B4082" t="str">
        <f>LEFT(Table1[[#This Row],[Input]],1)</f>
        <v>L</v>
      </c>
      <c r="C4082">
        <f>_xlfn.LET(_xlpm.steps,SUBSTITUTE(Table1[[#This Row],[Input]],Table1[[#This Row],[Direction]],""),VALUE(IF(LEN(_xlpm.steps)&gt;2,RIGHT(_xlpm.steps,2),_xlpm.steps)))</f>
        <v>28</v>
      </c>
      <c r="D4082">
        <f>_xlfn.LET(_xlpm.dir,Table1[[#This Row],[Direction]],
IF(_xlpm.dir="L",
    IF(F4081-Table1[[#This Row],[Steps]]&lt;0,100+(F4081-Table1[[#This Row],[Steps]]),F4081-Table1[[#This Row],[Steps]]),
))</f>
        <v>72</v>
      </c>
      <c r="E4082">
        <f>_xlfn.LET(_xlpm.dir,Table1[[#This Row],[Direction]],
IF(_xlpm.dir="R",
    IF(F4081+Table1[[#This Row],[Steps]]&gt;99,(F4081+Table1[[#This Row],[Steps]])-100,F4081+Table1[[#This Row],[Steps]]),
))</f>
        <v>0</v>
      </c>
      <c r="F4082">
        <f>IF(Table1[[#This Row],[New Pos L]]&lt;&gt;0,Table1[[#This Row],[New Pos L]],Table1[[#This Row],[New Pos R]])</f>
        <v>72</v>
      </c>
    </row>
    <row r="4083" spans="1:6" ht="16" x14ac:dyDescent="0.2">
      <c r="A4083" s="1" t="s">
        <v>2</v>
      </c>
      <c r="B4083" t="str">
        <f>LEFT(Table1[[#This Row],[Input]],1)</f>
        <v>L</v>
      </c>
      <c r="C4083">
        <f>_xlfn.LET(_xlpm.steps,SUBSTITUTE(Table1[[#This Row],[Input]],Table1[[#This Row],[Direction]],""),VALUE(IF(LEN(_xlpm.steps)&gt;2,RIGHT(_xlpm.steps,2),_xlpm.steps)))</f>
        <v>38</v>
      </c>
      <c r="D4083">
        <f>_xlfn.LET(_xlpm.dir,Table1[[#This Row],[Direction]],
IF(_xlpm.dir="L",
    IF(F4082-Table1[[#This Row],[Steps]]&lt;0,100+(F4082-Table1[[#This Row],[Steps]]),F4082-Table1[[#This Row],[Steps]]),
))</f>
        <v>34</v>
      </c>
      <c r="E4083">
        <f>_xlfn.LET(_xlpm.dir,Table1[[#This Row],[Direction]],
IF(_xlpm.dir="R",
    IF(F4082+Table1[[#This Row],[Steps]]&gt;99,(F4082+Table1[[#This Row],[Steps]])-100,F4082+Table1[[#This Row],[Steps]]),
))</f>
        <v>0</v>
      </c>
      <c r="F4083">
        <f>IF(Table1[[#This Row],[New Pos L]]&lt;&gt;0,Table1[[#This Row],[New Pos L]],Table1[[#This Row],[New Pos R]])</f>
        <v>34</v>
      </c>
    </row>
    <row r="4084" spans="1:6" ht="16" x14ac:dyDescent="0.2">
      <c r="A4084" s="1" t="s">
        <v>837</v>
      </c>
      <c r="B4084" t="str">
        <f>LEFT(Table1[[#This Row],[Input]],1)</f>
        <v>R</v>
      </c>
      <c r="C4084">
        <f>_xlfn.LET(_xlpm.steps,SUBSTITUTE(Table1[[#This Row],[Input]],Table1[[#This Row],[Direction]],""),VALUE(IF(LEN(_xlpm.steps)&gt;2,RIGHT(_xlpm.steps,2),_xlpm.steps)))</f>
        <v>50</v>
      </c>
      <c r="D4084">
        <f>_xlfn.LET(_xlpm.dir,Table1[[#This Row],[Direction]],
IF(_xlpm.dir="L",
    IF(F4083-Table1[[#This Row],[Steps]]&lt;0,100+(F4083-Table1[[#This Row],[Steps]]),F4083-Table1[[#This Row],[Steps]]),
))</f>
        <v>0</v>
      </c>
      <c r="E4084">
        <f>_xlfn.LET(_xlpm.dir,Table1[[#This Row],[Direction]],
IF(_xlpm.dir="R",
    IF(F4083+Table1[[#This Row],[Steps]]&gt;99,(F4083+Table1[[#This Row],[Steps]])-100,F4083+Table1[[#This Row],[Steps]]),
))</f>
        <v>84</v>
      </c>
      <c r="F4084">
        <f>IF(Table1[[#This Row],[New Pos L]]&lt;&gt;0,Table1[[#This Row],[New Pos L]],Table1[[#This Row],[New Pos R]])</f>
        <v>84</v>
      </c>
    </row>
    <row r="4085" spans="1:6" ht="16" x14ac:dyDescent="0.2">
      <c r="A4085" s="1" t="s">
        <v>179</v>
      </c>
      <c r="B4085" t="str">
        <f>LEFT(Table1[[#This Row],[Input]],1)</f>
        <v>L</v>
      </c>
      <c r="C4085">
        <f>_xlfn.LET(_xlpm.steps,SUBSTITUTE(Table1[[#This Row],[Input]],Table1[[#This Row],[Direction]],""),VALUE(IF(LEN(_xlpm.steps)&gt;2,RIGHT(_xlpm.steps,2),_xlpm.steps)))</f>
        <v>54</v>
      </c>
      <c r="D4085">
        <f>_xlfn.LET(_xlpm.dir,Table1[[#This Row],[Direction]],
IF(_xlpm.dir="L",
    IF(F4084-Table1[[#This Row],[Steps]]&lt;0,100+(F4084-Table1[[#This Row],[Steps]]),F4084-Table1[[#This Row],[Steps]]),
))</f>
        <v>30</v>
      </c>
      <c r="E4085">
        <f>_xlfn.LET(_xlpm.dir,Table1[[#This Row],[Direction]],
IF(_xlpm.dir="R",
    IF(F4084+Table1[[#This Row],[Steps]]&gt;99,(F4084+Table1[[#This Row],[Steps]])-100,F4084+Table1[[#This Row],[Steps]]),
))</f>
        <v>0</v>
      </c>
      <c r="F4085">
        <f>IF(Table1[[#This Row],[New Pos L]]&lt;&gt;0,Table1[[#This Row],[New Pos L]],Table1[[#This Row],[New Pos R]])</f>
        <v>30</v>
      </c>
    </row>
    <row r="4086" spans="1:6" ht="16" x14ac:dyDescent="0.2">
      <c r="A4086" s="1" t="s">
        <v>782</v>
      </c>
      <c r="B4086" t="str">
        <f>LEFT(Table1[[#This Row],[Input]],1)</f>
        <v>L</v>
      </c>
      <c r="C4086">
        <f>_xlfn.LET(_xlpm.steps,SUBSTITUTE(Table1[[#This Row],[Input]],Table1[[#This Row],[Direction]],""),VALUE(IF(LEN(_xlpm.steps)&gt;2,RIGHT(_xlpm.steps,2),_xlpm.steps)))</f>
        <v>43</v>
      </c>
      <c r="D4086">
        <f>_xlfn.LET(_xlpm.dir,Table1[[#This Row],[Direction]],
IF(_xlpm.dir="L",
    IF(F4085-Table1[[#This Row],[Steps]]&lt;0,100+(F4085-Table1[[#This Row],[Steps]]),F4085-Table1[[#This Row],[Steps]]),
))</f>
        <v>87</v>
      </c>
      <c r="E4086">
        <f>_xlfn.LET(_xlpm.dir,Table1[[#This Row],[Direction]],
IF(_xlpm.dir="R",
    IF(F4085+Table1[[#This Row],[Steps]]&gt;99,(F4085+Table1[[#This Row],[Steps]])-100,F4085+Table1[[#This Row],[Steps]]),
))</f>
        <v>0</v>
      </c>
      <c r="F4086">
        <f>IF(Table1[[#This Row],[New Pos L]]&lt;&gt;0,Table1[[#This Row],[New Pos L]],Table1[[#This Row],[New Pos R]])</f>
        <v>87</v>
      </c>
    </row>
    <row r="4087" spans="1:6" ht="16" x14ac:dyDescent="0.2">
      <c r="A4087" s="1" t="s">
        <v>278</v>
      </c>
      <c r="B4087" t="str">
        <f>LEFT(Table1[[#This Row],[Input]],1)</f>
        <v>L</v>
      </c>
      <c r="C4087">
        <f>_xlfn.LET(_xlpm.steps,SUBSTITUTE(Table1[[#This Row],[Input]],Table1[[#This Row],[Direction]],""),VALUE(IF(LEN(_xlpm.steps)&gt;2,RIGHT(_xlpm.steps,2),_xlpm.steps)))</f>
        <v>40</v>
      </c>
      <c r="D4087">
        <f>_xlfn.LET(_xlpm.dir,Table1[[#This Row],[Direction]],
IF(_xlpm.dir="L",
    IF(F4086-Table1[[#This Row],[Steps]]&lt;0,100+(F4086-Table1[[#This Row],[Steps]]),F4086-Table1[[#This Row],[Steps]]),
))</f>
        <v>47</v>
      </c>
      <c r="E4087">
        <f>_xlfn.LET(_xlpm.dir,Table1[[#This Row],[Direction]],
IF(_xlpm.dir="R",
    IF(F4086+Table1[[#This Row],[Steps]]&gt;99,(F4086+Table1[[#This Row],[Steps]])-100,F4086+Table1[[#This Row],[Steps]]),
))</f>
        <v>0</v>
      </c>
      <c r="F4087">
        <f>IF(Table1[[#This Row],[New Pos L]]&lt;&gt;0,Table1[[#This Row],[New Pos L]],Table1[[#This Row],[New Pos R]])</f>
        <v>47</v>
      </c>
    </row>
    <row r="4088" spans="1:6" ht="16" x14ac:dyDescent="0.2">
      <c r="A4088" s="1" t="s">
        <v>157</v>
      </c>
      <c r="B4088" t="str">
        <f>LEFT(Table1[[#This Row],[Input]],1)</f>
        <v>R</v>
      </c>
      <c r="C4088">
        <f>_xlfn.LET(_xlpm.steps,SUBSTITUTE(Table1[[#This Row],[Input]],Table1[[#This Row],[Direction]],""),VALUE(IF(LEN(_xlpm.steps)&gt;2,RIGHT(_xlpm.steps,2),_xlpm.steps)))</f>
        <v>68</v>
      </c>
      <c r="D4088">
        <f>_xlfn.LET(_xlpm.dir,Table1[[#This Row],[Direction]],
IF(_xlpm.dir="L",
    IF(F4087-Table1[[#This Row],[Steps]]&lt;0,100+(F4087-Table1[[#This Row],[Steps]]),F4087-Table1[[#This Row],[Steps]]),
))</f>
        <v>0</v>
      </c>
      <c r="E4088">
        <f>_xlfn.LET(_xlpm.dir,Table1[[#This Row],[Direction]],
IF(_xlpm.dir="R",
    IF(F4087+Table1[[#This Row],[Steps]]&gt;99,(F4087+Table1[[#This Row],[Steps]])-100,F4087+Table1[[#This Row],[Steps]]),
))</f>
        <v>15</v>
      </c>
      <c r="F4088">
        <f>IF(Table1[[#This Row],[New Pos L]]&lt;&gt;0,Table1[[#This Row],[New Pos L]],Table1[[#This Row],[New Pos R]])</f>
        <v>15</v>
      </c>
    </row>
    <row r="4089" spans="1:6" ht="16" x14ac:dyDescent="0.2">
      <c r="A4089" s="1" t="s">
        <v>34</v>
      </c>
      <c r="B4089" t="str">
        <f>LEFT(Table1[[#This Row],[Input]],1)</f>
        <v>L</v>
      </c>
      <c r="C4089">
        <f>_xlfn.LET(_xlpm.steps,SUBSTITUTE(Table1[[#This Row],[Input]],Table1[[#This Row],[Direction]],""),VALUE(IF(LEN(_xlpm.steps)&gt;2,RIGHT(_xlpm.steps,2),_xlpm.steps)))</f>
        <v>15</v>
      </c>
      <c r="D4089">
        <f>_xlfn.LET(_xlpm.dir,Table1[[#This Row],[Direction]],
IF(_xlpm.dir="L",
    IF(F4088-Table1[[#This Row],[Steps]]&lt;0,100+(F4088-Table1[[#This Row],[Steps]]),F4088-Table1[[#This Row],[Steps]]),
))</f>
        <v>0</v>
      </c>
      <c r="E4089">
        <f>_xlfn.LET(_xlpm.dir,Table1[[#This Row],[Direction]],
IF(_xlpm.dir="R",
    IF(F4088+Table1[[#This Row],[Steps]]&gt;99,(F4088+Table1[[#This Row],[Steps]])-100,F4088+Table1[[#This Row],[Steps]]),
))</f>
        <v>0</v>
      </c>
      <c r="F4089">
        <f>IF(Table1[[#This Row],[New Pos L]]&lt;&gt;0,Table1[[#This Row],[New Pos L]],Table1[[#This Row],[New Pos R]])</f>
        <v>0</v>
      </c>
    </row>
    <row r="4090" spans="1:6" ht="16" x14ac:dyDescent="0.2">
      <c r="A4090" s="1" t="s">
        <v>0</v>
      </c>
      <c r="B4090" t="str">
        <f>LEFT(Table1[[#This Row],[Input]],1)</f>
        <v>L</v>
      </c>
      <c r="C4090">
        <f>_xlfn.LET(_xlpm.steps,SUBSTITUTE(Table1[[#This Row],[Input]],Table1[[#This Row],[Direction]],""),VALUE(IF(LEN(_xlpm.steps)&gt;2,RIGHT(_xlpm.steps,2),_xlpm.steps)))</f>
        <v>44</v>
      </c>
      <c r="D4090">
        <f>_xlfn.LET(_xlpm.dir,Table1[[#This Row],[Direction]],
IF(_xlpm.dir="L",
    IF(F4089-Table1[[#This Row],[Steps]]&lt;0,100+(F4089-Table1[[#This Row],[Steps]]),F4089-Table1[[#This Row],[Steps]]),
))</f>
        <v>56</v>
      </c>
      <c r="E4090">
        <f>_xlfn.LET(_xlpm.dir,Table1[[#This Row],[Direction]],
IF(_xlpm.dir="R",
    IF(F4089+Table1[[#This Row],[Steps]]&gt;99,(F4089+Table1[[#This Row],[Steps]])-100,F4089+Table1[[#This Row],[Steps]]),
))</f>
        <v>0</v>
      </c>
      <c r="F4090">
        <f>IF(Table1[[#This Row],[New Pos L]]&lt;&gt;0,Table1[[#This Row],[New Pos L]],Table1[[#This Row],[New Pos R]])</f>
        <v>56</v>
      </c>
    </row>
    <row r="4091" spans="1:6" ht="16" x14ac:dyDescent="0.2">
      <c r="A4091" s="1" t="s">
        <v>496</v>
      </c>
      <c r="B4091" t="str">
        <f>LEFT(Table1[[#This Row],[Input]],1)</f>
        <v>R</v>
      </c>
      <c r="C4091">
        <f>_xlfn.LET(_xlpm.steps,SUBSTITUTE(Table1[[#This Row],[Input]],Table1[[#This Row],[Direction]],""),VALUE(IF(LEN(_xlpm.steps)&gt;2,RIGHT(_xlpm.steps,2),_xlpm.steps)))</f>
        <v>44</v>
      </c>
      <c r="D4091">
        <f>_xlfn.LET(_xlpm.dir,Table1[[#This Row],[Direction]],
IF(_xlpm.dir="L",
    IF(F4090-Table1[[#This Row],[Steps]]&lt;0,100+(F4090-Table1[[#This Row],[Steps]]),F4090-Table1[[#This Row],[Steps]]),
))</f>
        <v>0</v>
      </c>
      <c r="E4091">
        <f>_xlfn.LET(_xlpm.dir,Table1[[#This Row],[Direction]],
IF(_xlpm.dir="R",
    IF(F4090+Table1[[#This Row],[Steps]]&gt;99,(F4090+Table1[[#This Row],[Steps]])-100,F4090+Table1[[#This Row],[Steps]]),
))</f>
        <v>0</v>
      </c>
      <c r="F4091">
        <f>IF(Table1[[#This Row],[New Pos L]]&lt;&gt;0,Table1[[#This Row],[New Pos L]],Table1[[#This Row],[New Pos R]])</f>
        <v>0</v>
      </c>
    </row>
    <row r="4092" spans="1:6" ht="16" x14ac:dyDescent="0.2">
      <c r="A4092" s="1" t="s">
        <v>54</v>
      </c>
      <c r="B4092" t="str">
        <f>LEFT(Table1[[#This Row],[Input]],1)</f>
        <v>L</v>
      </c>
      <c r="C4092">
        <f>_xlfn.LET(_xlpm.steps,SUBSTITUTE(Table1[[#This Row],[Input]],Table1[[#This Row],[Direction]],""),VALUE(IF(LEN(_xlpm.steps)&gt;2,RIGHT(_xlpm.steps,2),_xlpm.steps)))</f>
        <v>75</v>
      </c>
      <c r="D4092">
        <f>_xlfn.LET(_xlpm.dir,Table1[[#This Row],[Direction]],
IF(_xlpm.dir="L",
    IF(F4091-Table1[[#This Row],[Steps]]&lt;0,100+(F4091-Table1[[#This Row],[Steps]]),F4091-Table1[[#This Row],[Steps]]),
))</f>
        <v>25</v>
      </c>
      <c r="E4092">
        <f>_xlfn.LET(_xlpm.dir,Table1[[#This Row],[Direction]],
IF(_xlpm.dir="R",
    IF(F4091+Table1[[#This Row],[Steps]]&gt;99,(F4091+Table1[[#This Row],[Steps]])-100,F4091+Table1[[#This Row],[Steps]]),
))</f>
        <v>0</v>
      </c>
      <c r="F4092">
        <f>IF(Table1[[#This Row],[New Pos L]]&lt;&gt;0,Table1[[#This Row],[New Pos L]],Table1[[#This Row],[New Pos R]])</f>
        <v>25</v>
      </c>
    </row>
    <row r="4093" spans="1:6" ht="16" x14ac:dyDescent="0.2">
      <c r="A4093" s="1" t="s">
        <v>145</v>
      </c>
      <c r="B4093" t="str">
        <f>LEFT(Table1[[#This Row],[Input]],1)</f>
        <v>L</v>
      </c>
      <c r="C4093">
        <f>_xlfn.LET(_xlpm.steps,SUBSTITUTE(Table1[[#This Row],[Input]],Table1[[#This Row],[Direction]],""),VALUE(IF(LEN(_xlpm.steps)&gt;2,RIGHT(_xlpm.steps,2),_xlpm.steps)))</f>
        <v>83</v>
      </c>
      <c r="D4093">
        <f>_xlfn.LET(_xlpm.dir,Table1[[#This Row],[Direction]],
IF(_xlpm.dir="L",
    IF(F4092-Table1[[#This Row],[Steps]]&lt;0,100+(F4092-Table1[[#This Row],[Steps]]),F4092-Table1[[#This Row],[Steps]]),
))</f>
        <v>42</v>
      </c>
      <c r="E4093">
        <f>_xlfn.LET(_xlpm.dir,Table1[[#This Row],[Direction]],
IF(_xlpm.dir="R",
    IF(F4092+Table1[[#This Row],[Steps]]&gt;99,(F4092+Table1[[#This Row],[Steps]])-100,F4092+Table1[[#This Row],[Steps]]),
))</f>
        <v>0</v>
      </c>
      <c r="F4093">
        <f>IF(Table1[[#This Row],[New Pos L]]&lt;&gt;0,Table1[[#This Row],[New Pos L]],Table1[[#This Row],[New Pos R]])</f>
        <v>42</v>
      </c>
    </row>
    <row r="4094" spans="1:6" ht="16" x14ac:dyDescent="0.2">
      <c r="A4094" s="1" t="s">
        <v>702</v>
      </c>
      <c r="B4094" t="str">
        <f>LEFT(Table1[[#This Row],[Input]],1)</f>
        <v>L</v>
      </c>
      <c r="C4094">
        <f>_xlfn.LET(_xlpm.steps,SUBSTITUTE(Table1[[#This Row],[Input]],Table1[[#This Row],[Direction]],""),VALUE(IF(LEN(_xlpm.steps)&gt;2,RIGHT(_xlpm.steps,2),_xlpm.steps)))</f>
        <v>27</v>
      </c>
      <c r="D4094">
        <f>_xlfn.LET(_xlpm.dir,Table1[[#This Row],[Direction]],
IF(_xlpm.dir="L",
    IF(F4093-Table1[[#This Row],[Steps]]&lt;0,100+(F4093-Table1[[#This Row],[Steps]]),F4093-Table1[[#This Row],[Steps]]),
))</f>
        <v>15</v>
      </c>
      <c r="E4094">
        <f>_xlfn.LET(_xlpm.dir,Table1[[#This Row],[Direction]],
IF(_xlpm.dir="R",
    IF(F4093+Table1[[#This Row],[Steps]]&gt;99,(F4093+Table1[[#This Row],[Steps]])-100,F4093+Table1[[#This Row],[Steps]]),
))</f>
        <v>0</v>
      </c>
      <c r="F4094">
        <f>IF(Table1[[#This Row],[New Pos L]]&lt;&gt;0,Table1[[#This Row],[New Pos L]],Table1[[#This Row],[New Pos R]])</f>
        <v>15</v>
      </c>
    </row>
    <row r="4095" spans="1:6" ht="16" x14ac:dyDescent="0.2">
      <c r="A4095" s="1" t="s">
        <v>201</v>
      </c>
      <c r="B4095" t="str">
        <f>LEFT(Table1[[#This Row],[Input]],1)</f>
        <v>R</v>
      </c>
      <c r="C4095">
        <f>_xlfn.LET(_xlpm.steps,SUBSTITUTE(Table1[[#This Row],[Input]],Table1[[#This Row],[Direction]],""),VALUE(IF(LEN(_xlpm.steps)&gt;2,RIGHT(_xlpm.steps,2),_xlpm.steps)))</f>
        <v>31</v>
      </c>
      <c r="D4095">
        <f>_xlfn.LET(_xlpm.dir,Table1[[#This Row],[Direction]],
IF(_xlpm.dir="L",
    IF(F4094-Table1[[#This Row],[Steps]]&lt;0,100+(F4094-Table1[[#This Row],[Steps]]),F4094-Table1[[#This Row],[Steps]]),
))</f>
        <v>0</v>
      </c>
      <c r="E4095">
        <f>_xlfn.LET(_xlpm.dir,Table1[[#This Row],[Direction]],
IF(_xlpm.dir="R",
    IF(F4094+Table1[[#This Row],[Steps]]&gt;99,(F4094+Table1[[#This Row],[Steps]])-100,F4094+Table1[[#This Row],[Steps]]),
))</f>
        <v>46</v>
      </c>
      <c r="F4095">
        <f>IF(Table1[[#This Row],[New Pos L]]&lt;&gt;0,Table1[[#This Row],[New Pos L]],Table1[[#This Row],[New Pos R]])</f>
        <v>46</v>
      </c>
    </row>
    <row r="4096" spans="1:6" ht="16" x14ac:dyDescent="0.2">
      <c r="A4096" s="1" t="s">
        <v>128</v>
      </c>
      <c r="B4096" t="str">
        <f>LEFT(Table1[[#This Row],[Input]],1)</f>
        <v>R</v>
      </c>
      <c r="C4096">
        <f>_xlfn.LET(_xlpm.steps,SUBSTITUTE(Table1[[#This Row],[Input]],Table1[[#This Row],[Direction]],""),VALUE(IF(LEN(_xlpm.steps)&gt;2,RIGHT(_xlpm.steps,2),_xlpm.steps)))</f>
        <v>92</v>
      </c>
      <c r="D4096">
        <f>_xlfn.LET(_xlpm.dir,Table1[[#This Row],[Direction]],
IF(_xlpm.dir="L",
    IF(F4095-Table1[[#This Row],[Steps]]&lt;0,100+(F4095-Table1[[#This Row],[Steps]]),F4095-Table1[[#This Row],[Steps]]),
))</f>
        <v>0</v>
      </c>
      <c r="E4096">
        <f>_xlfn.LET(_xlpm.dir,Table1[[#This Row],[Direction]],
IF(_xlpm.dir="R",
    IF(F4095+Table1[[#This Row],[Steps]]&gt;99,(F4095+Table1[[#This Row],[Steps]])-100,F4095+Table1[[#This Row],[Steps]]),
))</f>
        <v>38</v>
      </c>
      <c r="F4096">
        <f>IF(Table1[[#This Row],[New Pos L]]&lt;&gt;0,Table1[[#This Row],[New Pos L]],Table1[[#This Row],[New Pos R]])</f>
        <v>38</v>
      </c>
    </row>
    <row r="4097" spans="1:6" ht="16" x14ac:dyDescent="0.2">
      <c r="A4097" s="1" t="s">
        <v>379</v>
      </c>
      <c r="B4097" t="str">
        <f>LEFT(Table1[[#This Row],[Input]],1)</f>
        <v>L</v>
      </c>
      <c r="C4097">
        <f>_xlfn.LET(_xlpm.steps,SUBSTITUTE(Table1[[#This Row],[Input]],Table1[[#This Row],[Direction]],""),VALUE(IF(LEN(_xlpm.steps)&gt;2,RIGHT(_xlpm.steps,2),_xlpm.steps)))</f>
        <v>4</v>
      </c>
      <c r="D4097">
        <f>_xlfn.LET(_xlpm.dir,Table1[[#This Row],[Direction]],
IF(_xlpm.dir="L",
    IF(F4096-Table1[[#This Row],[Steps]]&lt;0,100+(F4096-Table1[[#This Row],[Steps]]),F4096-Table1[[#This Row],[Steps]]),
))</f>
        <v>34</v>
      </c>
      <c r="E4097">
        <f>_xlfn.LET(_xlpm.dir,Table1[[#This Row],[Direction]],
IF(_xlpm.dir="R",
    IF(F4096+Table1[[#This Row],[Steps]]&gt;99,(F4096+Table1[[#This Row],[Steps]])-100,F4096+Table1[[#This Row],[Steps]]),
))</f>
        <v>0</v>
      </c>
      <c r="F4097">
        <f>IF(Table1[[#This Row],[New Pos L]]&lt;&gt;0,Table1[[#This Row],[New Pos L]],Table1[[#This Row],[New Pos R]])</f>
        <v>34</v>
      </c>
    </row>
    <row r="4098" spans="1:6" ht="16" x14ac:dyDescent="0.2">
      <c r="A4098" s="1" t="s">
        <v>55</v>
      </c>
      <c r="B4098" t="str">
        <f>LEFT(Table1[[#This Row],[Input]],1)</f>
        <v>L</v>
      </c>
      <c r="C4098">
        <f>_xlfn.LET(_xlpm.steps,SUBSTITUTE(Table1[[#This Row],[Input]],Table1[[#This Row],[Direction]],""),VALUE(IF(LEN(_xlpm.steps)&gt;2,RIGHT(_xlpm.steps,2),_xlpm.steps)))</f>
        <v>82</v>
      </c>
      <c r="D4098">
        <f>_xlfn.LET(_xlpm.dir,Table1[[#This Row],[Direction]],
IF(_xlpm.dir="L",
    IF(F4097-Table1[[#This Row],[Steps]]&lt;0,100+(F4097-Table1[[#This Row],[Steps]]),F4097-Table1[[#This Row],[Steps]]),
))</f>
        <v>52</v>
      </c>
      <c r="E4098">
        <f>_xlfn.LET(_xlpm.dir,Table1[[#This Row],[Direction]],
IF(_xlpm.dir="R",
    IF(F4097+Table1[[#This Row],[Steps]]&gt;99,(F4097+Table1[[#This Row],[Steps]])-100,F4097+Table1[[#This Row],[Steps]]),
))</f>
        <v>0</v>
      </c>
      <c r="F4098">
        <f>IF(Table1[[#This Row],[New Pos L]]&lt;&gt;0,Table1[[#This Row],[New Pos L]],Table1[[#This Row],[New Pos R]])</f>
        <v>52</v>
      </c>
    </row>
    <row r="4099" spans="1:6" ht="16" x14ac:dyDescent="0.2">
      <c r="A4099" s="1" t="s">
        <v>30</v>
      </c>
      <c r="B4099" t="str">
        <f>LEFT(Table1[[#This Row],[Input]],1)</f>
        <v>R</v>
      </c>
      <c r="C4099">
        <f>_xlfn.LET(_xlpm.steps,SUBSTITUTE(Table1[[#This Row],[Input]],Table1[[#This Row],[Direction]],""),VALUE(IF(LEN(_xlpm.steps)&gt;2,RIGHT(_xlpm.steps,2),_xlpm.steps)))</f>
        <v>48</v>
      </c>
      <c r="D4099">
        <f>_xlfn.LET(_xlpm.dir,Table1[[#This Row],[Direction]],
IF(_xlpm.dir="L",
    IF(F4098-Table1[[#This Row],[Steps]]&lt;0,100+(F4098-Table1[[#This Row],[Steps]]),F4098-Table1[[#This Row],[Steps]]),
))</f>
        <v>0</v>
      </c>
      <c r="E4099">
        <f>_xlfn.LET(_xlpm.dir,Table1[[#This Row],[Direction]],
IF(_xlpm.dir="R",
    IF(F4098+Table1[[#This Row],[Steps]]&gt;99,(F4098+Table1[[#This Row],[Steps]])-100,F4098+Table1[[#This Row],[Steps]]),
))</f>
        <v>0</v>
      </c>
      <c r="F4099">
        <f>IF(Table1[[#This Row],[New Pos L]]&lt;&gt;0,Table1[[#This Row],[New Pos L]],Table1[[#This Row],[New Pos R]])</f>
        <v>0</v>
      </c>
    </row>
    <row r="4100" spans="1:6" ht="16" x14ac:dyDescent="0.2">
      <c r="A4100" s="1" t="s">
        <v>174</v>
      </c>
      <c r="B4100" t="str">
        <f>LEFT(Table1[[#This Row],[Input]],1)</f>
        <v>L</v>
      </c>
      <c r="C4100">
        <f>_xlfn.LET(_xlpm.steps,SUBSTITUTE(Table1[[#This Row],[Input]],Table1[[#This Row],[Direction]],""),VALUE(IF(LEN(_xlpm.steps)&gt;2,RIGHT(_xlpm.steps,2),_xlpm.steps)))</f>
        <v>92</v>
      </c>
      <c r="D4100">
        <f>_xlfn.LET(_xlpm.dir,Table1[[#This Row],[Direction]],
IF(_xlpm.dir="L",
    IF(F4099-Table1[[#This Row],[Steps]]&lt;0,100+(F4099-Table1[[#This Row],[Steps]]),F4099-Table1[[#This Row],[Steps]]),
))</f>
        <v>8</v>
      </c>
      <c r="E4100">
        <f>_xlfn.LET(_xlpm.dir,Table1[[#This Row],[Direction]],
IF(_xlpm.dir="R",
    IF(F4099+Table1[[#This Row],[Steps]]&gt;99,(F4099+Table1[[#This Row],[Steps]])-100,F4099+Table1[[#This Row],[Steps]]),
))</f>
        <v>0</v>
      </c>
      <c r="F4100">
        <f>IF(Table1[[#This Row],[New Pos L]]&lt;&gt;0,Table1[[#This Row],[New Pos L]],Table1[[#This Row],[New Pos R]])</f>
        <v>8</v>
      </c>
    </row>
    <row r="4101" spans="1:6" ht="16" x14ac:dyDescent="0.2">
      <c r="A4101" s="1" t="s">
        <v>838</v>
      </c>
      <c r="B4101" t="str">
        <f>LEFT(Table1[[#This Row],[Input]],1)</f>
        <v>L</v>
      </c>
      <c r="C4101">
        <f>_xlfn.LET(_xlpm.steps,SUBSTITUTE(Table1[[#This Row],[Input]],Table1[[#This Row],[Direction]],""),VALUE(IF(LEN(_xlpm.steps)&gt;2,RIGHT(_xlpm.steps,2),_xlpm.steps)))</f>
        <v>44</v>
      </c>
      <c r="D4101">
        <f>_xlfn.LET(_xlpm.dir,Table1[[#This Row],[Direction]],
IF(_xlpm.dir="L",
    IF(F4100-Table1[[#This Row],[Steps]]&lt;0,100+(F4100-Table1[[#This Row],[Steps]]),F4100-Table1[[#This Row],[Steps]]),
))</f>
        <v>64</v>
      </c>
      <c r="E4101">
        <f>_xlfn.LET(_xlpm.dir,Table1[[#This Row],[Direction]],
IF(_xlpm.dir="R",
    IF(F4100+Table1[[#This Row],[Steps]]&gt;99,(F4100+Table1[[#This Row],[Steps]])-100,F4100+Table1[[#This Row],[Steps]]),
))</f>
        <v>0</v>
      </c>
      <c r="F4101">
        <f>IF(Table1[[#This Row],[New Pos L]]&lt;&gt;0,Table1[[#This Row],[New Pos L]],Table1[[#This Row],[New Pos R]])</f>
        <v>64</v>
      </c>
    </row>
    <row r="4102" spans="1:6" ht="16" x14ac:dyDescent="0.2">
      <c r="A4102" s="1" t="s">
        <v>185</v>
      </c>
      <c r="B4102" t="str">
        <f>LEFT(Table1[[#This Row],[Input]],1)</f>
        <v>R</v>
      </c>
      <c r="C4102">
        <f>_xlfn.LET(_xlpm.steps,SUBSTITUTE(Table1[[#This Row],[Input]],Table1[[#This Row],[Direction]],""),VALUE(IF(LEN(_xlpm.steps)&gt;2,RIGHT(_xlpm.steps,2),_xlpm.steps)))</f>
        <v>61</v>
      </c>
      <c r="D4102">
        <f>_xlfn.LET(_xlpm.dir,Table1[[#This Row],[Direction]],
IF(_xlpm.dir="L",
    IF(F4101-Table1[[#This Row],[Steps]]&lt;0,100+(F4101-Table1[[#This Row],[Steps]]),F4101-Table1[[#This Row],[Steps]]),
))</f>
        <v>0</v>
      </c>
      <c r="E4102">
        <f>_xlfn.LET(_xlpm.dir,Table1[[#This Row],[Direction]],
IF(_xlpm.dir="R",
    IF(F4101+Table1[[#This Row],[Steps]]&gt;99,(F4101+Table1[[#This Row],[Steps]])-100,F4101+Table1[[#This Row],[Steps]]),
))</f>
        <v>25</v>
      </c>
      <c r="F4102">
        <f>IF(Table1[[#This Row],[New Pos L]]&lt;&gt;0,Table1[[#This Row],[New Pos L]],Table1[[#This Row],[New Pos R]])</f>
        <v>25</v>
      </c>
    </row>
    <row r="4103" spans="1:6" ht="16" x14ac:dyDescent="0.2">
      <c r="A4103" s="1" t="s">
        <v>5</v>
      </c>
      <c r="B4103" t="str">
        <f>LEFT(Table1[[#This Row],[Input]],1)</f>
        <v>R</v>
      </c>
      <c r="C4103">
        <f>_xlfn.LET(_xlpm.steps,SUBSTITUTE(Table1[[#This Row],[Input]],Table1[[#This Row],[Direction]],""),VALUE(IF(LEN(_xlpm.steps)&gt;2,RIGHT(_xlpm.steps,2),_xlpm.steps)))</f>
        <v>1</v>
      </c>
      <c r="D4103">
        <f>_xlfn.LET(_xlpm.dir,Table1[[#This Row],[Direction]],
IF(_xlpm.dir="L",
    IF(F4102-Table1[[#This Row],[Steps]]&lt;0,100+(F4102-Table1[[#This Row],[Steps]]),F4102-Table1[[#This Row],[Steps]]),
))</f>
        <v>0</v>
      </c>
      <c r="E4103">
        <f>_xlfn.LET(_xlpm.dir,Table1[[#This Row],[Direction]],
IF(_xlpm.dir="R",
    IF(F4102+Table1[[#This Row],[Steps]]&gt;99,(F4102+Table1[[#This Row],[Steps]])-100,F4102+Table1[[#This Row],[Steps]]),
))</f>
        <v>26</v>
      </c>
      <c r="F4103">
        <f>IF(Table1[[#This Row],[New Pos L]]&lt;&gt;0,Table1[[#This Row],[New Pos L]],Table1[[#This Row],[New Pos R]])</f>
        <v>26</v>
      </c>
    </row>
    <row r="4104" spans="1:6" ht="16" x14ac:dyDescent="0.2">
      <c r="A4104" s="1" t="s">
        <v>244</v>
      </c>
      <c r="B4104" t="str">
        <f>LEFT(Table1[[#This Row],[Input]],1)</f>
        <v>L</v>
      </c>
      <c r="C4104">
        <f>_xlfn.LET(_xlpm.steps,SUBSTITUTE(Table1[[#This Row],[Input]],Table1[[#This Row],[Direction]],""),VALUE(IF(LEN(_xlpm.steps)&gt;2,RIGHT(_xlpm.steps,2),_xlpm.steps)))</f>
        <v>98</v>
      </c>
      <c r="D4104">
        <f>_xlfn.LET(_xlpm.dir,Table1[[#This Row],[Direction]],
IF(_xlpm.dir="L",
    IF(F4103-Table1[[#This Row],[Steps]]&lt;0,100+(F4103-Table1[[#This Row],[Steps]]),F4103-Table1[[#This Row],[Steps]]),
))</f>
        <v>28</v>
      </c>
      <c r="E4104">
        <f>_xlfn.LET(_xlpm.dir,Table1[[#This Row],[Direction]],
IF(_xlpm.dir="R",
    IF(F4103+Table1[[#This Row],[Steps]]&gt;99,(F4103+Table1[[#This Row],[Steps]])-100,F4103+Table1[[#This Row],[Steps]]),
))</f>
        <v>0</v>
      </c>
      <c r="F4104">
        <f>IF(Table1[[#This Row],[New Pos L]]&lt;&gt;0,Table1[[#This Row],[New Pos L]],Table1[[#This Row],[New Pos R]])</f>
        <v>28</v>
      </c>
    </row>
    <row r="4105" spans="1:6" ht="16" x14ac:dyDescent="0.2">
      <c r="A4105" s="1" t="s">
        <v>179</v>
      </c>
      <c r="B4105" t="str">
        <f>LEFT(Table1[[#This Row],[Input]],1)</f>
        <v>L</v>
      </c>
      <c r="C4105">
        <f>_xlfn.LET(_xlpm.steps,SUBSTITUTE(Table1[[#This Row],[Input]],Table1[[#This Row],[Direction]],""),VALUE(IF(LEN(_xlpm.steps)&gt;2,RIGHT(_xlpm.steps,2),_xlpm.steps)))</f>
        <v>54</v>
      </c>
      <c r="D4105">
        <f>_xlfn.LET(_xlpm.dir,Table1[[#This Row],[Direction]],
IF(_xlpm.dir="L",
    IF(F4104-Table1[[#This Row],[Steps]]&lt;0,100+(F4104-Table1[[#This Row],[Steps]]),F4104-Table1[[#This Row],[Steps]]),
))</f>
        <v>74</v>
      </c>
      <c r="E4105">
        <f>_xlfn.LET(_xlpm.dir,Table1[[#This Row],[Direction]],
IF(_xlpm.dir="R",
    IF(F4104+Table1[[#This Row],[Steps]]&gt;99,(F4104+Table1[[#This Row],[Steps]])-100,F4104+Table1[[#This Row],[Steps]]),
))</f>
        <v>0</v>
      </c>
      <c r="F4105">
        <f>IF(Table1[[#This Row],[New Pos L]]&lt;&gt;0,Table1[[#This Row],[New Pos L]],Table1[[#This Row],[New Pos R]])</f>
        <v>74</v>
      </c>
    </row>
    <row r="4106" spans="1:6" ht="16" x14ac:dyDescent="0.2">
      <c r="A4106" s="1" t="s">
        <v>1</v>
      </c>
      <c r="B4106" t="str">
        <f>LEFT(Table1[[#This Row],[Input]],1)</f>
        <v>R</v>
      </c>
      <c r="C4106">
        <f>_xlfn.LET(_xlpm.steps,SUBSTITUTE(Table1[[#This Row],[Input]],Table1[[#This Row],[Direction]],""),VALUE(IF(LEN(_xlpm.steps)&gt;2,RIGHT(_xlpm.steps,2),_xlpm.steps)))</f>
        <v>26</v>
      </c>
      <c r="D4106">
        <f>_xlfn.LET(_xlpm.dir,Table1[[#This Row],[Direction]],
IF(_xlpm.dir="L",
    IF(F4105-Table1[[#This Row],[Steps]]&lt;0,100+(F4105-Table1[[#This Row],[Steps]]),F4105-Table1[[#This Row],[Steps]]),
))</f>
        <v>0</v>
      </c>
      <c r="E4106">
        <f>_xlfn.LET(_xlpm.dir,Table1[[#This Row],[Direction]],
IF(_xlpm.dir="R",
    IF(F4105+Table1[[#This Row],[Steps]]&gt;99,(F4105+Table1[[#This Row],[Steps]])-100,F4105+Table1[[#This Row],[Steps]]),
))</f>
        <v>0</v>
      </c>
      <c r="F4106">
        <f>IF(Table1[[#This Row],[New Pos L]]&lt;&gt;0,Table1[[#This Row],[New Pos L]],Table1[[#This Row],[New Pos R]])</f>
        <v>0</v>
      </c>
    </row>
    <row r="4107" spans="1:6" ht="16" x14ac:dyDescent="0.2">
      <c r="A4107" s="1" t="s">
        <v>19</v>
      </c>
      <c r="B4107" t="str">
        <f>LEFT(Table1[[#This Row],[Input]],1)</f>
        <v>R</v>
      </c>
      <c r="C4107">
        <f>_xlfn.LET(_xlpm.steps,SUBSTITUTE(Table1[[#This Row],[Input]],Table1[[#This Row],[Direction]],""),VALUE(IF(LEN(_xlpm.steps)&gt;2,RIGHT(_xlpm.steps,2),_xlpm.steps)))</f>
        <v>47</v>
      </c>
      <c r="D4107">
        <f>_xlfn.LET(_xlpm.dir,Table1[[#This Row],[Direction]],
IF(_xlpm.dir="L",
    IF(F4106-Table1[[#This Row],[Steps]]&lt;0,100+(F4106-Table1[[#This Row],[Steps]]),F4106-Table1[[#This Row],[Steps]]),
))</f>
        <v>0</v>
      </c>
      <c r="E4107">
        <f>_xlfn.LET(_xlpm.dir,Table1[[#This Row],[Direction]],
IF(_xlpm.dir="R",
    IF(F4106+Table1[[#This Row],[Steps]]&gt;99,(F4106+Table1[[#This Row],[Steps]])-100,F4106+Table1[[#This Row],[Steps]]),
))</f>
        <v>47</v>
      </c>
      <c r="F4107">
        <f>IF(Table1[[#This Row],[New Pos L]]&lt;&gt;0,Table1[[#This Row],[New Pos L]],Table1[[#This Row],[New Pos R]])</f>
        <v>47</v>
      </c>
    </row>
    <row r="4108" spans="1:6" ht="16" x14ac:dyDescent="0.2">
      <c r="A4108" s="1" t="s">
        <v>51</v>
      </c>
      <c r="B4108" t="str">
        <f>LEFT(Table1[[#This Row],[Input]],1)</f>
        <v>L</v>
      </c>
      <c r="C4108">
        <f>_xlfn.LET(_xlpm.steps,SUBSTITUTE(Table1[[#This Row],[Input]],Table1[[#This Row],[Direction]],""),VALUE(IF(LEN(_xlpm.steps)&gt;2,RIGHT(_xlpm.steps,2),_xlpm.steps)))</f>
        <v>25</v>
      </c>
      <c r="D4108">
        <f>_xlfn.LET(_xlpm.dir,Table1[[#This Row],[Direction]],
IF(_xlpm.dir="L",
    IF(F4107-Table1[[#This Row],[Steps]]&lt;0,100+(F4107-Table1[[#This Row],[Steps]]),F4107-Table1[[#This Row],[Steps]]),
))</f>
        <v>22</v>
      </c>
      <c r="E4108">
        <f>_xlfn.LET(_xlpm.dir,Table1[[#This Row],[Direction]],
IF(_xlpm.dir="R",
    IF(F4107+Table1[[#This Row],[Steps]]&gt;99,(F4107+Table1[[#This Row],[Steps]])-100,F4107+Table1[[#This Row],[Steps]]),
))</f>
        <v>0</v>
      </c>
      <c r="F4108">
        <f>IF(Table1[[#This Row],[New Pos L]]&lt;&gt;0,Table1[[#This Row],[New Pos L]],Table1[[#This Row],[New Pos R]])</f>
        <v>22</v>
      </c>
    </row>
    <row r="4109" spans="1:6" ht="16" x14ac:dyDescent="0.2">
      <c r="A4109" s="1" t="s">
        <v>122</v>
      </c>
      <c r="B4109" t="str">
        <f>LEFT(Table1[[#This Row],[Input]],1)</f>
        <v>R</v>
      </c>
      <c r="C4109">
        <f>_xlfn.LET(_xlpm.steps,SUBSTITUTE(Table1[[#This Row],[Input]],Table1[[#This Row],[Direction]],""),VALUE(IF(LEN(_xlpm.steps)&gt;2,RIGHT(_xlpm.steps,2),_xlpm.steps)))</f>
        <v>75</v>
      </c>
      <c r="D4109">
        <f>_xlfn.LET(_xlpm.dir,Table1[[#This Row],[Direction]],
IF(_xlpm.dir="L",
    IF(F4108-Table1[[#This Row],[Steps]]&lt;0,100+(F4108-Table1[[#This Row],[Steps]]),F4108-Table1[[#This Row],[Steps]]),
))</f>
        <v>0</v>
      </c>
      <c r="E4109">
        <f>_xlfn.LET(_xlpm.dir,Table1[[#This Row],[Direction]],
IF(_xlpm.dir="R",
    IF(F4108+Table1[[#This Row],[Steps]]&gt;99,(F4108+Table1[[#This Row],[Steps]])-100,F4108+Table1[[#This Row],[Steps]]),
))</f>
        <v>97</v>
      </c>
      <c r="F4109">
        <f>IF(Table1[[#This Row],[New Pos L]]&lt;&gt;0,Table1[[#This Row],[New Pos L]],Table1[[#This Row],[New Pos R]])</f>
        <v>97</v>
      </c>
    </row>
    <row r="4110" spans="1:6" ht="16" x14ac:dyDescent="0.2">
      <c r="A4110" s="1" t="s">
        <v>36</v>
      </c>
      <c r="B4110" t="str">
        <f>LEFT(Table1[[#This Row],[Input]],1)</f>
        <v>R</v>
      </c>
      <c r="C4110">
        <f>_xlfn.LET(_xlpm.steps,SUBSTITUTE(Table1[[#This Row],[Input]],Table1[[#This Row],[Direction]],""),VALUE(IF(LEN(_xlpm.steps)&gt;2,RIGHT(_xlpm.steps,2),_xlpm.steps)))</f>
        <v>50</v>
      </c>
      <c r="D4110">
        <f>_xlfn.LET(_xlpm.dir,Table1[[#This Row],[Direction]],
IF(_xlpm.dir="L",
    IF(F4109-Table1[[#This Row],[Steps]]&lt;0,100+(F4109-Table1[[#This Row],[Steps]]),F4109-Table1[[#This Row],[Steps]]),
))</f>
        <v>0</v>
      </c>
      <c r="E4110">
        <f>_xlfn.LET(_xlpm.dir,Table1[[#This Row],[Direction]],
IF(_xlpm.dir="R",
    IF(F4109+Table1[[#This Row],[Steps]]&gt;99,(F4109+Table1[[#This Row],[Steps]])-100,F4109+Table1[[#This Row],[Steps]]),
))</f>
        <v>47</v>
      </c>
      <c r="F4110">
        <f>IF(Table1[[#This Row],[New Pos L]]&lt;&gt;0,Table1[[#This Row],[New Pos L]],Table1[[#This Row],[New Pos R]])</f>
        <v>47</v>
      </c>
    </row>
    <row r="4111" spans="1:6" ht="16" x14ac:dyDescent="0.2">
      <c r="A4111" s="1" t="s">
        <v>279</v>
      </c>
      <c r="B4111" t="str">
        <f>LEFT(Table1[[#This Row],[Input]],1)</f>
        <v>R</v>
      </c>
      <c r="C4111">
        <f>_xlfn.LET(_xlpm.steps,SUBSTITUTE(Table1[[#This Row],[Input]],Table1[[#This Row],[Direction]],""),VALUE(IF(LEN(_xlpm.steps)&gt;2,RIGHT(_xlpm.steps,2),_xlpm.steps)))</f>
        <v>34</v>
      </c>
      <c r="D4111">
        <f>_xlfn.LET(_xlpm.dir,Table1[[#This Row],[Direction]],
IF(_xlpm.dir="L",
    IF(F4110-Table1[[#This Row],[Steps]]&lt;0,100+(F4110-Table1[[#This Row],[Steps]]),F4110-Table1[[#This Row],[Steps]]),
))</f>
        <v>0</v>
      </c>
      <c r="E4111">
        <f>_xlfn.LET(_xlpm.dir,Table1[[#This Row],[Direction]],
IF(_xlpm.dir="R",
    IF(F4110+Table1[[#This Row],[Steps]]&gt;99,(F4110+Table1[[#This Row],[Steps]])-100,F4110+Table1[[#This Row],[Steps]]),
))</f>
        <v>81</v>
      </c>
      <c r="F4111">
        <f>IF(Table1[[#This Row],[New Pos L]]&lt;&gt;0,Table1[[#This Row],[New Pos L]],Table1[[#This Row],[New Pos R]])</f>
        <v>81</v>
      </c>
    </row>
    <row r="4112" spans="1:6" ht="16" x14ac:dyDescent="0.2">
      <c r="A4112" s="1" t="s">
        <v>37</v>
      </c>
      <c r="B4112" t="str">
        <f>LEFT(Table1[[#This Row],[Input]],1)</f>
        <v>L</v>
      </c>
      <c r="C4112">
        <f>_xlfn.LET(_xlpm.steps,SUBSTITUTE(Table1[[#This Row],[Input]],Table1[[#This Row],[Direction]],""),VALUE(IF(LEN(_xlpm.steps)&gt;2,RIGHT(_xlpm.steps,2),_xlpm.steps)))</f>
        <v>42</v>
      </c>
      <c r="D4112">
        <f>_xlfn.LET(_xlpm.dir,Table1[[#This Row],[Direction]],
IF(_xlpm.dir="L",
    IF(F4111-Table1[[#This Row],[Steps]]&lt;0,100+(F4111-Table1[[#This Row],[Steps]]),F4111-Table1[[#This Row],[Steps]]),
))</f>
        <v>39</v>
      </c>
      <c r="E4112">
        <f>_xlfn.LET(_xlpm.dir,Table1[[#This Row],[Direction]],
IF(_xlpm.dir="R",
    IF(F4111+Table1[[#This Row],[Steps]]&gt;99,(F4111+Table1[[#This Row],[Steps]])-100,F4111+Table1[[#This Row],[Steps]]),
))</f>
        <v>0</v>
      </c>
      <c r="F4112">
        <f>IF(Table1[[#This Row],[New Pos L]]&lt;&gt;0,Table1[[#This Row],[New Pos L]],Table1[[#This Row],[New Pos R]])</f>
        <v>39</v>
      </c>
    </row>
    <row r="4113" spans="1:6" ht="16" x14ac:dyDescent="0.2">
      <c r="A4113" s="1" t="s">
        <v>8</v>
      </c>
      <c r="B4113" t="str">
        <f>LEFT(Table1[[#This Row],[Input]],1)</f>
        <v>R</v>
      </c>
      <c r="C4113">
        <f>_xlfn.LET(_xlpm.steps,SUBSTITUTE(Table1[[#This Row],[Input]],Table1[[#This Row],[Direction]],""),VALUE(IF(LEN(_xlpm.steps)&gt;2,RIGHT(_xlpm.steps,2),_xlpm.steps)))</f>
        <v>18</v>
      </c>
      <c r="D4113">
        <f>_xlfn.LET(_xlpm.dir,Table1[[#This Row],[Direction]],
IF(_xlpm.dir="L",
    IF(F4112-Table1[[#This Row],[Steps]]&lt;0,100+(F4112-Table1[[#This Row],[Steps]]),F4112-Table1[[#This Row],[Steps]]),
))</f>
        <v>0</v>
      </c>
      <c r="E4113">
        <f>_xlfn.LET(_xlpm.dir,Table1[[#This Row],[Direction]],
IF(_xlpm.dir="R",
    IF(F4112+Table1[[#This Row],[Steps]]&gt;99,(F4112+Table1[[#This Row],[Steps]])-100,F4112+Table1[[#This Row],[Steps]]),
))</f>
        <v>57</v>
      </c>
      <c r="F4113">
        <f>IF(Table1[[#This Row],[New Pos L]]&lt;&gt;0,Table1[[#This Row],[New Pos L]],Table1[[#This Row],[New Pos R]])</f>
        <v>57</v>
      </c>
    </row>
    <row r="4114" spans="1:6" ht="16" x14ac:dyDescent="0.2">
      <c r="A4114" s="1" t="s">
        <v>226</v>
      </c>
      <c r="B4114" t="str">
        <f>LEFT(Table1[[#This Row],[Input]],1)</f>
        <v>L</v>
      </c>
      <c r="C4114">
        <f>_xlfn.LET(_xlpm.steps,SUBSTITUTE(Table1[[#This Row],[Input]],Table1[[#This Row],[Direction]],""),VALUE(IF(LEN(_xlpm.steps)&gt;2,RIGHT(_xlpm.steps,2),_xlpm.steps)))</f>
        <v>31</v>
      </c>
      <c r="D4114">
        <f>_xlfn.LET(_xlpm.dir,Table1[[#This Row],[Direction]],
IF(_xlpm.dir="L",
    IF(F4113-Table1[[#This Row],[Steps]]&lt;0,100+(F4113-Table1[[#This Row],[Steps]]),F4113-Table1[[#This Row],[Steps]]),
))</f>
        <v>26</v>
      </c>
      <c r="E4114">
        <f>_xlfn.LET(_xlpm.dir,Table1[[#This Row],[Direction]],
IF(_xlpm.dir="R",
    IF(F4113+Table1[[#This Row],[Steps]]&gt;99,(F4113+Table1[[#This Row],[Steps]])-100,F4113+Table1[[#This Row],[Steps]]),
))</f>
        <v>0</v>
      </c>
      <c r="F4114">
        <f>IF(Table1[[#This Row],[New Pos L]]&lt;&gt;0,Table1[[#This Row],[New Pos L]],Table1[[#This Row],[New Pos R]])</f>
        <v>26</v>
      </c>
    </row>
    <row r="4115" spans="1:6" ht="16" x14ac:dyDescent="0.2">
      <c r="A4115" s="1" t="s">
        <v>304</v>
      </c>
      <c r="B4115" t="str">
        <f>LEFT(Table1[[#This Row],[Input]],1)</f>
        <v>L</v>
      </c>
      <c r="C4115">
        <f>_xlfn.LET(_xlpm.steps,SUBSTITUTE(Table1[[#This Row],[Input]],Table1[[#This Row],[Direction]],""),VALUE(IF(LEN(_xlpm.steps)&gt;2,RIGHT(_xlpm.steps,2),_xlpm.steps)))</f>
        <v>26</v>
      </c>
      <c r="D4115">
        <f>_xlfn.LET(_xlpm.dir,Table1[[#This Row],[Direction]],
IF(_xlpm.dir="L",
    IF(F4114-Table1[[#This Row],[Steps]]&lt;0,100+(F4114-Table1[[#This Row],[Steps]]),F4114-Table1[[#This Row],[Steps]]),
))</f>
        <v>0</v>
      </c>
      <c r="E4115">
        <f>_xlfn.LET(_xlpm.dir,Table1[[#This Row],[Direction]],
IF(_xlpm.dir="R",
    IF(F4114+Table1[[#This Row],[Steps]]&gt;99,(F4114+Table1[[#This Row],[Steps]])-100,F4114+Table1[[#This Row],[Steps]]),
))</f>
        <v>0</v>
      </c>
      <c r="F4115">
        <f>IF(Table1[[#This Row],[New Pos L]]&lt;&gt;0,Table1[[#This Row],[New Pos L]],Table1[[#This Row],[New Pos R]])</f>
        <v>0</v>
      </c>
    </row>
    <row r="4116" spans="1:6" ht="16" x14ac:dyDescent="0.2">
      <c r="A4116" s="1" t="s">
        <v>123</v>
      </c>
      <c r="B4116" t="str">
        <f>LEFT(Table1[[#This Row],[Input]],1)</f>
        <v>L</v>
      </c>
      <c r="C4116">
        <f>_xlfn.LET(_xlpm.steps,SUBSTITUTE(Table1[[#This Row],[Input]],Table1[[#This Row],[Direction]],""),VALUE(IF(LEN(_xlpm.steps)&gt;2,RIGHT(_xlpm.steps,2),_xlpm.steps)))</f>
        <v>63</v>
      </c>
      <c r="D4116">
        <f>_xlfn.LET(_xlpm.dir,Table1[[#This Row],[Direction]],
IF(_xlpm.dir="L",
    IF(F4115-Table1[[#This Row],[Steps]]&lt;0,100+(F4115-Table1[[#This Row],[Steps]]),F4115-Table1[[#This Row],[Steps]]),
))</f>
        <v>37</v>
      </c>
      <c r="E4116">
        <f>_xlfn.LET(_xlpm.dir,Table1[[#This Row],[Direction]],
IF(_xlpm.dir="R",
    IF(F4115+Table1[[#This Row],[Steps]]&gt;99,(F4115+Table1[[#This Row],[Steps]])-100,F4115+Table1[[#This Row],[Steps]]),
))</f>
        <v>0</v>
      </c>
      <c r="F4116">
        <f>IF(Table1[[#This Row],[New Pos L]]&lt;&gt;0,Table1[[#This Row],[New Pos L]],Table1[[#This Row],[New Pos R]])</f>
        <v>37</v>
      </c>
    </row>
    <row r="4117" spans="1:6" ht="16" x14ac:dyDescent="0.2">
      <c r="A4117" s="1" t="s">
        <v>839</v>
      </c>
      <c r="B4117" t="str">
        <f>LEFT(Table1[[#This Row],[Input]],1)</f>
        <v>R</v>
      </c>
      <c r="C4117">
        <f>_xlfn.LET(_xlpm.steps,SUBSTITUTE(Table1[[#This Row],[Input]],Table1[[#This Row],[Direction]],""),VALUE(IF(LEN(_xlpm.steps)&gt;2,RIGHT(_xlpm.steps,2),_xlpm.steps)))</f>
        <v>55</v>
      </c>
      <c r="D4117">
        <f>_xlfn.LET(_xlpm.dir,Table1[[#This Row],[Direction]],
IF(_xlpm.dir="L",
    IF(F4116-Table1[[#This Row],[Steps]]&lt;0,100+(F4116-Table1[[#This Row],[Steps]]),F4116-Table1[[#This Row],[Steps]]),
))</f>
        <v>0</v>
      </c>
      <c r="E4117">
        <f>_xlfn.LET(_xlpm.dir,Table1[[#This Row],[Direction]],
IF(_xlpm.dir="R",
    IF(F4116+Table1[[#This Row],[Steps]]&gt;99,(F4116+Table1[[#This Row],[Steps]])-100,F4116+Table1[[#This Row],[Steps]]),
))</f>
        <v>92</v>
      </c>
      <c r="F4117">
        <f>IF(Table1[[#This Row],[New Pos L]]&lt;&gt;0,Table1[[#This Row],[New Pos L]],Table1[[#This Row],[New Pos R]])</f>
        <v>92</v>
      </c>
    </row>
    <row r="4118" spans="1:6" ht="16" x14ac:dyDescent="0.2">
      <c r="A4118" s="1" t="s">
        <v>55</v>
      </c>
      <c r="B4118" t="str">
        <f>LEFT(Table1[[#This Row],[Input]],1)</f>
        <v>L</v>
      </c>
      <c r="C4118">
        <f>_xlfn.LET(_xlpm.steps,SUBSTITUTE(Table1[[#This Row],[Input]],Table1[[#This Row],[Direction]],""),VALUE(IF(LEN(_xlpm.steps)&gt;2,RIGHT(_xlpm.steps,2),_xlpm.steps)))</f>
        <v>82</v>
      </c>
      <c r="D4118">
        <f>_xlfn.LET(_xlpm.dir,Table1[[#This Row],[Direction]],
IF(_xlpm.dir="L",
    IF(F4117-Table1[[#This Row],[Steps]]&lt;0,100+(F4117-Table1[[#This Row],[Steps]]),F4117-Table1[[#This Row],[Steps]]),
))</f>
        <v>10</v>
      </c>
      <c r="E4118">
        <f>_xlfn.LET(_xlpm.dir,Table1[[#This Row],[Direction]],
IF(_xlpm.dir="R",
    IF(F4117+Table1[[#This Row],[Steps]]&gt;99,(F4117+Table1[[#This Row],[Steps]])-100,F4117+Table1[[#This Row],[Steps]]),
))</f>
        <v>0</v>
      </c>
      <c r="F4118">
        <f>IF(Table1[[#This Row],[New Pos L]]&lt;&gt;0,Table1[[#This Row],[New Pos L]],Table1[[#This Row],[New Pos R]])</f>
        <v>10</v>
      </c>
    </row>
    <row r="4119" spans="1:6" ht="16" x14ac:dyDescent="0.2">
      <c r="A4119" s="1" t="s">
        <v>26</v>
      </c>
      <c r="B4119" t="str">
        <f>LEFT(Table1[[#This Row],[Input]],1)</f>
        <v>R</v>
      </c>
      <c r="C4119">
        <f>_xlfn.LET(_xlpm.steps,SUBSTITUTE(Table1[[#This Row],[Input]],Table1[[#This Row],[Direction]],""),VALUE(IF(LEN(_xlpm.steps)&gt;2,RIGHT(_xlpm.steps,2),_xlpm.steps)))</f>
        <v>6</v>
      </c>
      <c r="D4119">
        <f>_xlfn.LET(_xlpm.dir,Table1[[#This Row],[Direction]],
IF(_xlpm.dir="L",
    IF(F4118-Table1[[#This Row],[Steps]]&lt;0,100+(F4118-Table1[[#This Row],[Steps]]),F4118-Table1[[#This Row],[Steps]]),
))</f>
        <v>0</v>
      </c>
      <c r="E4119">
        <f>_xlfn.LET(_xlpm.dir,Table1[[#This Row],[Direction]],
IF(_xlpm.dir="R",
    IF(F4118+Table1[[#This Row],[Steps]]&gt;99,(F4118+Table1[[#This Row],[Steps]])-100,F4118+Table1[[#This Row],[Steps]]),
))</f>
        <v>16</v>
      </c>
      <c r="F4119">
        <f>IF(Table1[[#This Row],[New Pos L]]&lt;&gt;0,Table1[[#This Row],[New Pos L]],Table1[[#This Row],[New Pos R]])</f>
        <v>16</v>
      </c>
    </row>
    <row r="4120" spans="1:6" ht="16" x14ac:dyDescent="0.2">
      <c r="A4120" s="1" t="s">
        <v>102</v>
      </c>
      <c r="B4120" t="str">
        <f>LEFT(Table1[[#This Row],[Input]],1)</f>
        <v>R</v>
      </c>
      <c r="C4120">
        <f>_xlfn.LET(_xlpm.steps,SUBSTITUTE(Table1[[#This Row],[Input]],Table1[[#This Row],[Direction]],""),VALUE(IF(LEN(_xlpm.steps)&gt;2,RIGHT(_xlpm.steps,2),_xlpm.steps)))</f>
        <v>39</v>
      </c>
      <c r="D4120">
        <f>_xlfn.LET(_xlpm.dir,Table1[[#This Row],[Direction]],
IF(_xlpm.dir="L",
    IF(F4119-Table1[[#This Row],[Steps]]&lt;0,100+(F4119-Table1[[#This Row],[Steps]]),F4119-Table1[[#This Row],[Steps]]),
))</f>
        <v>0</v>
      </c>
      <c r="E4120">
        <f>_xlfn.LET(_xlpm.dir,Table1[[#This Row],[Direction]],
IF(_xlpm.dir="R",
    IF(F4119+Table1[[#This Row],[Steps]]&gt;99,(F4119+Table1[[#This Row],[Steps]])-100,F4119+Table1[[#This Row],[Steps]]),
))</f>
        <v>55</v>
      </c>
      <c r="F4120">
        <f>IF(Table1[[#This Row],[New Pos L]]&lt;&gt;0,Table1[[#This Row],[New Pos L]],Table1[[#This Row],[New Pos R]])</f>
        <v>55</v>
      </c>
    </row>
    <row r="4121" spans="1:6" ht="16" x14ac:dyDescent="0.2">
      <c r="A4121" s="1" t="s">
        <v>82</v>
      </c>
      <c r="B4121" t="str">
        <f>LEFT(Table1[[#This Row],[Input]],1)</f>
        <v>L</v>
      </c>
      <c r="C4121">
        <f>_xlfn.LET(_xlpm.steps,SUBSTITUTE(Table1[[#This Row],[Input]],Table1[[#This Row],[Direction]],""),VALUE(IF(LEN(_xlpm.steps)&gt;2,RIGHT(_xlpm.steps,2),_xlpm.steps)))</f>
        <v>55</v>
      </c>
      <c r="D4121">
        <f>_xlfn.LET(_xlpm.dir,Table1[[#This Row],[Direction]],
IF(_xlpm.dir="L",
    IF(F4120-Table1[[#This Row],[Steps]]&lt;0,100+(F4120-Table1[[#This Row],[Steps]]),F4120-Table1[[#This Row],[Steps]]),
))</f>
        <v>0</v>
      </c>
      <c r="E4121">
        <f>_xlfn.LET(_xlpm.dir,Table1[[#This Row],[Direction]],
IF(_xlpm.dir="R",
    IF(F4120+Table1[[#This Row],[Steps]]&gt;99,(F4120+Table1[[#This Row],[Steps]])-100,F4120+Table1[[#This Row],[Steps]]),
))</f>
        <v>0</v>
      </c>
      <c r="F4121">
        <f>IF(Table1[[#This Row],[New Pos L]]&lt;&gt;0,Table1[[#This Row],[New Pos L]],Table1[[#This Row],[New Pos R]])</f>
        <v>0</v>
      </c>
    </row>
    <row r="4122" spans="1:6" ht="16" x14ac:dyDescent="0.2">
      <c r="A4122" s="1" t="s">
        <v>136</v>
      </c>
      <c r="B4122" t="str">
        <f>LEFT(Table1[[#This Row],[Input]],1)</f>
        <v>L</v>
      </c>
      <c r="C4122">
        <f>_xlfn.LET(_xlpm.steps,SUBSTITUTE(Table1[[#This Row],[Input]],Table1[[#This Row],[Direction]],""),VALUE(IF(LEN(_xlpm.steps)&gt;2,RIGHT(_xlpm.steps,2),_xlpm.steps)))</f>
        <v>72</v>
      </c>
      <c r="D4122">
        <f>_xlfn.LET(_xlpm.dir,Table1[[#This Row],[Direction]],
IF(_xlpm.dir="L",
    IF(F4121-Table1[[#This Row],[Steps]]&lt;0,100+(F4121-Table1[[#This Row],[Steps]]),F4121-Table1[[#This Row],[Steps]]),
))</f>
        <v>28</v>
      </c>
      <c r="E4122">
        <f>_xlfn.LET(_xlpm.dir,Table1[[#This Row],[Direction]],
IF(_xlpm.dir="R",
    IF(F4121+Table1[[#This Row],[Steps]]&gt;99,(F4121+Table1[[#This Row],[Steps]])-100,F4121+Table1[[#This Row],[Steps]]),
))</f>
        <v>0</v>
      </c>
      <c r="F4122">
        <f>IF(Table1[[#This Row],[New Pos L]]&lt;&gt;0,Table1[[#This Row],[New Pos L]],Table1[[#This Row],[New Pos R]])</f>
        <v>28</v>
      </c>
    </row>
    <row r="4123" spans="1:6" ht="16" x14ac:dyDescent="0.2">
      <c r="A4123" s="1" t="s">
        <v>100</v>
      </c>
      <c r="B4123" t="str">
        <f>LEFT(Table1[[#This Row],[Input]],1)</f>
        <v>R</v>
      </c>
      <c r="C4123">
        <f>_xlfn.LET(_xlpm.steps,SUBSTITUTE(Table1[[#This Row],[Input]],Table1[[#This Row],[Direction]],""),VALUE(IF(LEN(_xlpm.steps)&gt;2,RIGHT(_xlpm.steps,2),_xlpm.steps)))</f>
        <v>58</v>
      </c>
      <c r="D4123">
        <f>_xlfn.LET(_xlpm.dir,Table1[[#This Row],[Direction]],
IF(_xlpm.dir="L",
    IF(F4122-Table1[[#This Row],[Steps]]&lt;0,100+(F4122-Table1[[#This Row],[Steps]]),F4122-Table1[[#This Row],[Steps]]),
))</f>
        <v>0</v>
      </c>
      <c r="E4123">
        <f>_xlfn.LET(_xlpm.dir,Table1[[#This Row],[Direction]],
IF(_xlpm.dir="R",
    IF(F4122+Table1[[#This Row],[Steps]]&gt;99,(F4122+Table1[[#This Row],[Steps]])-100,F4122+Table1[[#This Row],[Steps]]),
))</f>
        <v>86</v>
      </c>
      <c r="F4123">
        <f>IF(Table1[[#This Row],[New Pos L]]&lt;&gt;0,Table1[[#This Row],[New Pos L]],Table1[[#This Row],[New Pos R]])</f>
        <v>86</v>
      </c>
    </row>
    <row r="4124" spans="1:6" ht="16" x14ac:dyDescent="0.2">
      <c r="A4124" s="1" t="s">
        <v>829</v>
      </c>
      <c r="B4124" t="str">
        <f>LEFT(Table1[[#This Row],[Input]],1)</f>
        <v>L</v>
      </c>
      <c r="C4124">
        <f>_xlfn.LET(_xlpm.steps,SUBSTITUTE(Table1[[#This Row],[Input]],Table1[[#This Row],[Direction]],""),VALUE(IF(LEN(_xlpm.steps)&gt;2,RIGHT(_xlpm.steps,2),_xlpm.steps)))</f>
        <v>58</v>
      </c>
      <c r="D4124">
        <f>_xlfn.LET(_xlpm.dir,Table1[[#This Row],[Direction]],
IF(_xlpm.dir="L",
    IF(F4123-Table1[[#This Row],[Steps]]&lt;0,100+(F4123-Table1[[#This Row],[Steps]]),F4123-Table1[[#This Row],[Steps]]),
))</f>
        <v>28</v>
      </c>
      <c r="E4124">
        <f>_xlfn.LET(_xlpm.dir,Table1[[#This Row],[Direction]],
IF(_xlpm.dir="R",
    IF(F4123+Table1[[#This Row],[Steps]]&gt;99,(F4123+Table1[[#This Row],[Steps]])-100,F4123+Table1[[#This Row],[Steps]]),
))</f>
        <v>0</v>
      </c>
      <c r="F4124">
        <f>IF(Table1[[#This Row],[New Pos L]]&lt;&gt;0,Table1[[#This Row],[New Pos L]],Table1[[#This Row],[New Pos R]])</f>
        <v>28</v>
      </c>
    </row>
    <row r="4125" spans="1:6" ht="16" x14ac:dyDescent="0.2">
      <c r="A4125" s="1" t="s">
        <v>840</v>
      </c>
      <c r="B4125" t="str">
        <f>LEFT(Table1[[#This Row],[Input]],1)</f>
        <v>R</v>
      </c>
      <c r="C4125">
        <f>_xlfn.LET(_xlpm.steps,SUBSTITUTE(Table1[[#This Row],[Input]],Table1[[#This Row],[Direction]],""),VALUE(IF(LEN(_xlpm.steps)&gt;2,RIGHT(_xlpm.steps,2),_xlpm.steps)))</f>
        <v>54</v>
      </c>
      <c r="D4125">
        <f>_xlfn.LET(_xlpm.dir,Table1[[#This Row],[Direction]],
IF(_xlpm.dir="L",
    IF(F4124-Table1[[#This Row],[Steps]]&lt;0,100+(F4124-Table1[[#This Row],[Steps]]),F4124-Table1[[#This Row],[Steps]]),
))</f>
        <v>0</v>
      </c>
      <c r="E4125">
        <f>_xlfn.LET(_xlpm.dir,Table1[[#This Row],[Direction]],
IF(_xlpm.dir="R",
    IF(F4124+Table1[[#This Row],[Steps]]&gt;99,(F4124+Table1[[#This Row],[Steps]])-100,F4124+Table1[[#This Row],[Steps]]),
))</f>
        <v>82</v>
      </c>
      <c r="F4125">
        <f>IF(Table1[[#This Row],[New Pos L]]&lt;&gt;0,Table1[[#This Row],[New Pos L]],Table1[[#This Row],[New Pos R]])</f>
        <v>82</v>
      </c>
    </row>
    <row r="4126" spans="1:6" ht="16" x14ac:dyDescent="0.2">
      <c r="A4126" s="1" t="s">
        <v>187</v>
      </c>
      <c r="B4126" t="str">
        <f>LEFT(Table1[[#This Row],[Input]],1)</f>
        <v>R</v>
      </c>
      <c r="C4126">
        <f>_xlfn.LET(_xlpm.steps,SUBSTITUTE(Table1[[#This Row],[Input]],Table1[[#This Row],[Direction]],""),VALUE(IF(LEN(_xlpm.steps)&gt;2,RIGHT(_xlpm.steps,2),_xlpm.steps)))</f>
        <v>20</v>
      </c>
      <c r="D4126">
        <f>_xlfn.LET(_xlpm.dir,Table1[[#This Row],[Direction]],
IF(_xlpm.dir="L",
    IF(F4125-Table1[[#This Row],[Steps]]&lt;0,100+(F4125-Table1[[#This Row],[Steps]]),F4125-Table1[[#This Row],[Steps]]),
))</f>
        <v>0</v>
      </c>
      <c r="E4126">
        <f>_xlfn.LET(_xlpm.dir,Table1[[#This Row],[Direction]],
IF(_xlpm.dir="R",
    IF(F4125+Table1[[#This Row],[Steps]]&gt;99,(F4125+Table1[[#This Row],[Steps]])-100,F4125+Table1[[#This Row],[Steps]]),
))</f>
        <v>2</v>
      </c>
      <c r="F4126">
        <f>IF(Table1[[#This Row],[New Pos L]]&lt;&gt;0,Table1[[#This Row],[New Pos L]],Table1[[#This Row],[New Pos R]])</f>
        <v>2</v>
      </c>
    </row>
    <row r="4127" spans="1:6" ht="16" x14ac:dyDescent="0.2">
      <c r="A4127" s="1" t="s">
        <v>35</v>
      </c>
      <c r="B4127" t="str">
        <f>LEFT(Table1[[#This Row],[Input]],1)</f>
        <v>L</v>
      </c>
      <c r="C4127">
        <f>_xlfn.LET(_xlpm.steps,SUBSTITUTE(Table1[[#This Row],[Input]],Table1[[#This Row],[Direction]],""),VALUE(IF(LEN(_xlpm.steps)&gt;2,RIGHT(_xlpm.steps,2),_xlpm.steps)))</f>
        <v>2</v>
      </c>
      <c r="D4127">
        <f>_xlfn.LET(_xlpm.dir,Table1[[#This Row],[Direction]],
IF(_xlpm.dir="L",
    IF(F4126-Table1[[#This Row],[Steps]]&lt;0,100+(F4126-Table1[[#This Row],[Steps]]),F4126-Table1[[#This Row],[Steps]]),
))</f>
        <v>0</v>
      </c>
      <c r="E4127">
        <f>_xlfn.LET(_xlpm.dir,Table1[[#This Row],[Direction]],
IF(_xlpm.dir="R",
    IF(F4126+Table1[[#This Row],[Steps]]&gt;99,(F4126+Table1[[#This Row],[Steps]])-100,F4126+Table1[[#This Row],[Steps]]),
))</f>
        <v>0</v>
      </c>
      <c r="F4127">
        <f>IF(Table1[[#This Row],[New Pos L]]&lt;&gt;0,Table1[[#This Row],[New Pos L]],Table1[[#This Row],[New Pos R]])</f>
        <v>0</v>
      </c>
    </row>
    <row r="4128" spans="1:6" ht="16" x14ac:dyDescent="0.2">
      <c r="A4128" s="1" t="s">
        <v>241</v>
      </c>
      <c r="B4128" t="str">
        <f>LEFT(Table1[[#This Row],[Input]],1)</f>
        <v>R</v>
      </c>
      <c r="C4128">
        <f>_xlfn.LET(_xlpm.steps,SUBSTITUTE(Table1[[#This Row],[Input]],Table1[[#This Row],[Direction]],""),VALUE(IF(LEN(_xlpm.steps)&gt;2,RIGHT(_xlpm.steps,2),_xlpm.steps)))</f>
        <v>60</v>
      </c>
      <c r="D4128">
        <f>_xlfn.LET(_xlpm.dir,Table1[[#This Row],[Direction]],
IF(_xlpm.dir="L",
    IF(F4127-Table1[[#This Row],[Steps]]&lt;0,100+(F4127-Table1[[#This Row],[Steps]]),F4127-Table1[[#This Row],[Steps]]),
))</f>
        <v>0</v>
      </c>
      <c r="E4128">
        <f>_xlfn.LET(_xlpm.dir,Table1[[#This Row],[Direction]],
IF(_xlpm.dir="R",
    IF(F4127+Table1[[#This Row],[Steps]]&gt;99,(F4127+Table1[[#This Row],[Steps]])-100,F4127+Table1[[#This Row],[Steps]]),
))</f>
        <v>60</v>
      </c>
      <c r="F4128">
        <f>IF(Table1[[#This Row],[New Pos L]]&lt;&gt;0,Table1[[#This Row],[New Pos L]],Table1[[#This Row],[New Pos R]])</f>
        <v>60</v>
      </c>
    </row>
    <row r="4129" spans="1:6" ht="16" x14ac:dyDescent="0.2">
      <c r="A4129" s="1" t="s">
        <v>244</v>
      </c>
      <c r="B4129" t="str">
        <f>LEFT(Table1[[#This Row],[Input]],1)</f>
        <v>L</v>
      </c>
      <c r="C4129">
        <f>_xlfn.LET(_xlpm.steps,SUBSTITUTE(Table1[[#This Row],[Input]],Table1[[#This Row],[Direction]],""),VALUE(IF(LEN(_xlpm.steps)&gt;2,RIGHT(_xlpm.steps,2),_xlpm.steps)))</f>
        <v>98</v>
      </c>
      <c r="D4129">
        <f>_xlfn.LET(_xlpm.dir,Table1[[#This Row],[Direction]],
IF(_xlpm.dir="L",
    IF(F4128-Table1[[#This Row],[Steps]]&lt;0,100+(F4128-Table1[[#This Row],[Steps]]),F4128-Table1[[#This Row],[Steps]]),
))</f>
        <v>62</v>
      </c>
      <c r="E4129">
        <f>_xlfn.LET(_xlpm.dir,Table1[[#This Row],[Direction]],
IF(_xlpm.dir="R",
    IF(F4128+Table1[[#This Row],[Steps]]&gt;99,(F4128+Table1[[#This Row],[Steps]])-100,F4128+Table1[[#This Row],[Steps]]),
))</f>
        <v>0</v>
      </c>
      <c r="F4129">
        <f>IF(Table1[[#This Row],[New Pos L]]&lt;&gt;0,Table1[[#This Row],[New Pos L]],Table1[[#This Row],[New Pos R]])</f>
        <v>62</v>
      </c>
    </row>
    <row r="4130" spans="1:6" ht="16" x14ac:dyDescent="0.2">
      <c r="A4130" s="1" t="s">
        <v>127</v>
      </c>
      <c r="B4130" t="str">
        <f>LEFT(Table1[[#This Row],[Input]],1)</f>
        <v>L</v>
      </c>
      <c r="C4130">
        <f>_xlfn.LET(_xlpm.steps,SUBSTITUTE(Table1[[#This Row],[Input]],Table1[[#This Row],[Direction]],""),VALUE(IF(LEN(_xlpm.steps)&gt;2,RIGHT(_xlpm.steps,2),_xlpm.steps)))</f>
        <v>62</v>
      </c>
      <c r="D4130">
        <f>_xlfn.LET(_xlpm.dir,Table1[[#This Row],[Direction]],
IF(_xlpm.dir="L",
    IF(F4129-Table1[[#This Row],[Steps]]&lt;0,100+(F4129-Table1[[#This Row],[Steps]]),F4129-Table1[[#This Row],[Steps]]),
))</f>
        <v>0</v>
      </c>
      <c r="E4130">
        <f>_xlfn.LET(_xlpm.dir,Table1[[#This Row],[Direction]],
IF(_xlpm.dir="R",
    IF(F4129+Table1[[#This Row],[Steps]]&gt;99,(F4129+Table1[[#This Row],[Steps]])-100,F4129+Table1[[#This Row],[Steps]]),
))</f>
        <v>0</v>
      </c>
      <c r="F4130">
        <f>IF(Table1[[#This Row],[New Pos L]]&lt;&gt;0,Table1[[#This Row],[New Pos L]],Table1[[#This Row],[New Pos R]])</f>
        <v>0</v>
      </c>
    </row>
    <row r="4131" spans="1:6" ht="16" x14ac:dyDescent="0.2">
      <c r="A4131" s="1" t="s">
        <v>21</v>
      </c>
      <c r="B4131" t="str">
        <f>LEFT(Table1[[#This Row],[Input]],1)</f>
        <v>L</v>
      </c>
      <c r="C4131">
        <f>_xlfn.LET(_xlpm.steps,SUBSTITUTE(Table1[[#This Row],[Input]],Table1[[#This Row],[Direction]],""),VALUE(IF(LEN(_xlpm.steps)&gt;2,RIGHT(_xlpm.steps,2),_xlpm.steps)))</f>
        <v>36</v>
      </c>
      <c r="D4131">
        <f>_xlfn.LET(_xlpm.dir,Table1[[#This Row],[Direction]],
IF(_xlpm.dir="L",
    IF(F4130-Table1[[#This Row],[Steps]]&lt;0,100+(F4130-Table1[[#This Row],[Steps]]),F4130-Table1[[#This Row],[Steps]]),
))</f>
        <v>64</v>
      </c>
      <c r="E4131">
        <f>_xlfn.LET(_xlpm.dir,Table1[[#This Row],[Direction]],
IF(_xlpm.dir="R",
    IF(F4130+Table1[[#This Row],[Steps]]&gt;99,(F4130+Table1[[#This Row],[Steps]])-100,F4130+Table1[[#This Row],[Steps]]),
))</f>
        <v>0</v>
      </c>
      <c r="F4131">
        <f>IF(Table1[[#This Row],[New Pos L]]&lt;&gt;0,Table1[[#This Row],[New Pos L]],Table1[[#This Row],[New Pos R]])</f>
        <v>64</v>
      </c>
    </row>
    <row r="4132" spans="1:6" ht="16" x14ac:dyDescent="0.2">
      <c r="A4132" s="1" t="s">
        <v>76</v>
      </c>
      <c r="B4132" t="str">
        <f>LEFT(Table1[[#This Row],[Input]],1)</f>
        <v>R</v>
      </c>
      <c r="C4132">
        <f>_xlfn.LET(_xlpm.steps,SUBSTITUTE(Table1[[#This Row],[Input]],Table1[[#This Row],[Direction]],""),VALUE(IF(LEN(_xlpm.steps)&gt;2,RIGHT(_xlpm.steps,2),_xlpm.steps)))</f>
        <v>37</v>
      </c>
      <c r="D4132">
        <f>_xlfn.LET(_xlpm.dir,Table1[[#This Row],[Direction]],
IF(_xlpm.dir="L",
    IF(F4131-Table1[[#This Row],[Steps]]&lt;0,100+(F4131-Table1[[#This Row],[Steps]]),F4131-Table1[[#This Row],[Steps]]),
))</f>
        <v>0</v>
      </c>
      <c r="E4132">
        <f>_xlfn.LET(_xlpm.dir,Table1[[#This Row],[Direction]],
IF(_xlpm.dir="R",
    IF(F4131+Table1[[#This Row],[Steps]]&gt;99,(F4131+Table1[[#This Row],[Steps]])-100,F4131+Table1[[#This Row],[Steps]]),
))</f>
        <v>1</v>
      </c>
      <c r="F4132">
        <f>IF(Table1[[#This Row],[New Pos L]]&lt;&gt;0,Table1[[#This Row],[New Pos L]],Table1[[#This Row],[New Pos R]])</f>
        <v>1</v>
      </c>
    </row>
    <row r="4133" spans="1:6" ht="16" x14ac:dyDescent="0.2">
      <c r="A4133" s="1" t="s">
        <v>210</v>
      </c>
      <c r="B4133" t="str">
        <f>LEFT(Table1[[#This Row],[Input]],1)</f>
        <v>R</v>
      </c>
      <c r="C4133">
        <f>_xlfn.LET(_xlpm.steps,SUBSTITUTE(Table1[[#This Row],[Input]],Table1[[#This Row],[Direction]],""),VALUE(IF(LEN(_xlpm.steps)&gt;2,RIGHT(_xlpm.steps,2),_xlpm.steps)))</f>
        <v>89</v>
      </c>
      <c r="D4133">
        <f>_xlfn.LET(_xlpm.dir,Table1[[#This Row],[Direction]],
IF(_xlpm.dir="L",
    IF(F4132-Table1[[#This Row],[Steps]]&lt;0,100+(F4132-Table1[[#This Row],[Steps]]),F4132-Table1[[#This Row],[Steps]]),
))</f>
        <v>0</v>
      </c>
      <c r="E4133">
        <f>_xlfn.LET(_xlpm.dir,Table1[[#This Row],[Direction]],
IF(_xlpm.dir="R",
    IF(F4132+Table1[[#This Row],[Steps]]&gt;99,(F4132+Table1[[#This Row],[Steps]])-100,F4132+Table1[[#This Row],[Steps]]),
))</f>
        <v>90</v>
      </c>
      <c r="F4133">
        <f>IF(Table1[[#This Row],[New Pos L]]&lt;&gt;0,Table1[[#This Row],[New Pos L]],Table1[[#This Row],[New Pos R]])</f>
        <v>90</v>
      </c>
    </row>
    <row r="4134" spans="1:6" ht="16" x14ac:dyDescent="0.2">
      <c r="A4134" s="1" t="s">
        <v>5</v>
      </c>
      <c r="B4134" t="str">
        <f>LEFT(Table1[[#This Row],[Input]],1)</f>
        <v>R</v>
      </c>
      <c r="C4134">
        <f>_xlfn.LET(_xlpm.steps,SUBSTITUTE(Table1[[#This Row],[Input]],Table1[[#This Row],[Direction]],""),VALUE(IF(LEN(_xlpm.steps)&gt;2,RIGHT(_xlpm.steps,2),_xlpm.steps)))</f>
        <v>1</v>
      </c>
      <c r="D4134">
        <f>_xlfn.LET(_xlpm.dir,Table1[[#This Row],[Direction]],
IF(_xlpm.dir="L",
    IF(F4133-Table1[[#This Row],[Steps]]&lt;0,100+(F4133-Table1[[#This Row],[Steps]]),F4133-Table1[[#This Row],[Steps]]),
))</f>
        <v>0</v>
      </c>
      <c r="E4134">
        <f>_xlfn.LET(_xlpm.dir,Table1[[#This Row],[Direction]],
IF(_xlpm.dir="R",
    IF(F4133+Table1[[#This Row],[Steps]]&gt;99,(F4133+Table1[[#This Row],[Steps]])-100,F4133+Table1[[#This Row],[Steps]]),
))</f>
        <v>91</v>
      </c>
      <c r="F4134">
        <f>IF(Table1[[#This Row],[New Pos L]]&lt;&gt;0,Table1[[#This Row],[New Pos L]],Table1[[#This Row],[New Pos R]])</f>
        <v>91</v>
      </c>
    </row>
    <row r="4135" spans="1:6" ht="16" x14ac:dyDescent="0.2">
      <c r="A4135" s="1" t="s">
        <v>141</v>
      </c>
      <c r="B4135" t="str">
        <f>LEFT(Table1[[#This Row],[Input]],1)</f>
        <v>L</v>
      </c>
      <c r="C4135">
        <f>_xlfn.LET(_xlpm.steps,SUBSTITUTE(Table1[[#This Row],[Input]],Table1[[#This Row],[Direction]],""),VALUE(IF(LEN(_xlpm.steps)&gt;2,RIGHT(_xlpm.steps,2),_xlpm.steps)))</f>
        <v>90</v>
      </c>
      <c r="D4135">
        <f>_xlfn.LET(_xlpm.dir,Table1[[#This Row],[Direction]],
IF(_xlpm.dir="L",
    IF(F4134-Table1[[#This Row],[Steps]]&lt;0,100+(F4134-Table1[[#This Row],[Steps]]),F4134-Table1[[#This Row],[Steps]]),
))</f>
        <v>1</v>
      </c>
      <c r="E4135">
        <f>_xlfn.LET(_xlpm.dir,Table1[[#This Row],[Direction]],
IF(_xlpm.dir="R",
    IF(F4134+Table1[[#This Row],[Steps]]&gt;99,(F4134+Table1[[#This Row],[Steps]])-100,F4134+Table1[[#This Row],[Steps]]),
))</f>
        <v>0</v>
      </c>
      <c r="F4135">
        <f>IF(Table1[[#This Row],[New Pos L]]&lt;&gt;0,Table1[[#This Row],[New Pos L]],Table1[[#This Row],[New Pos R]])</f>
        <v>1</v>
      </c>
    </row>
    <row r="4136" spans="1:6" ht="16" x14ac:dyDescent="0.2">
      <c r="A4136" s="1" t="s">
        <v>131</v>
      </c>
      <c r="B4136" t="str">
        <f>LEFT(Table1[[#This Row],[Input]],1)</f>
        <v>R</v>
      </c>
      <c r="C4136">
        <f>_xlfn.LET(_xlpm.steps,SUBSTITUTE(Table1[[#This Row],[Input]],Table1[[#This Row],[Direction]],""),VALUE(IF(LEN(_xlpm.steps)&gt;2,RIGHT(_xlpm.steps,2),_xlpm.steps)))</f>
        <v>99</v>
      </c>
      <c r="D4136">
        <f>_xlfn.LET(_xlpm.dir,Table1[[#This Row],[Direction]],
IF(_xlpm.dir="L",
    IF(F4135-Table1[[#This Row],[Steps]]&lt;0,100+(F4135-Table1[[#This Row],[Steps]]),F4135-Table1[[#This Row],[Steps]]),
))</f>
        <v>0</v>
      </c>
      <c r="E4136">
        <f>_xlfn.LET(_xlpm.dir,Table1[[#This Row],[Direction]],
IF(_xlpm.dir="R",
    IF(F4135+Table1[[#This Row],[Steps]]&gt;99,(F4135+Table1[[#This Row],[Steps]])-100,F4135+Table1[[#This Row],[Steps]]),
))</f>
        <v>0</v>
      </c>
      <c r="F4136">
        <f>IF(Table1[[#This Row],[New Pos L]]&lt;&gt;0,Table1[[#This Row],[New Pos L]],Table1[[#This Row],[New Pos R]])</f>
        <v>0</v>
      </c>
    </row>
    <row r="4137" spans="1:6" ht="16" x14ac:dyDescent="0.2">
      <c r="A4137" s="1" t="s">
        <v>278</v>
      </c>
      <c r="B4137" t="str">
        <f>LEFT(Table1[[#This Row],[Input]],1)</f>
        <v>L</v>
      </c>
      <c r="C4137">
        <f>_xlfn.LET(_xlpm.steps,SUBSTITUTE(Table1[[#This Row],[Input]],Table1[[#This Row],[Direction]],""),VALUE(IF(LEN(_xlpm.steps)&gt;2,RIGHT(_xlpm.steps,2),_xlpm.steps)))</f>
        <v>40</v>
      </c>
      <c r="D4137">
        <f>_xlfn.LET(_xlpm.dir,Table1[[#This Row],[Direction]],
IF(_xlpm.dir="L",
    IF(F4136-Table1[[#This Row],[Steps]]&lt;0,100+(F4136-Table1[[#This Row],[Steps]]),F4136-Table1[[#This Row],[Steps]]),
))</f>
        <v>60</v>
      </c>
      <c r="E4137">
        <f>_xlfn.LET(_xlpm.dir,Table1[[#This Row],[Direction]],
IF(_xlpm.dir="R",
    IF(F4136+Table1[[#This Row],[Steps]]&gt;99,(F4136+Table1[[#This Row],[Steps]])-100,F4136+Table1[[#This Row],[Steps]]),
))</f>
        <v>0</v>
      </c>
      <c r="F4137">
        <f>IF(Table1[[#This Row],[New Pos L]]&lt;&gt;0,Table1[[#This Row],[New Pos L]],Table1[[#This Row],[New Pos R]])</f>
        <v>60</v>
      </c>
    </row>
    <row r="4138" spans="1:6" ht="16" x14ac:dyDescent="0.2">
      <c r="A4138" s="1" t="s">
        <v>157</v>
      </c>
      <c r="B4138" t="str">
        <f>LEFT(Table1[[#This Row],[Input]],1)</f>
        <v>R</v>
      </c>
      <c r="C4138">
        <f>_xlfn.LET(_xlpm.steps,SUBSTITUTE(Table1[[#This Row],[Input]],Table1[[#This Row],[Direction]],""),VALUE(IF(LEN(_xlpm.steps)&gt;2,RIGHT(_xlpm.steps,2),_xlpm.steps)))</f>
        <v>68</v>
      </c>
      <c r="D4138">
        <f>_xlfn.LET(_xlpm.dir,Table1[[#This Row],[Direction]],
IF(_xlpm.dir="L",
    IF(F4137-Table1[[#This Row],[Steps]]&lt;0,100+(F4137-Table1[[#This Row],[Steps]]),F4137-Table1[[#This Row],[Steps]]),
))</f>
        <v>0</v>
      </c>
      <c r="E4138">
        <f>_xlfn.LET(_xlpm.dir,Table1[[#This Row],[Direction]],
IF(_xlpm.dir="R",
    IF(F4137+Table1[[#This Row],[Steps]]&gt;99,(F4137+Table1[[#This Row],[Steps]])-100,F4137+Table1[[#This Row],[Steps]]),
))</f>
        <v>28</v>
      </c>
      <c r="F4138">
        <f>IF(Table1[[#This Row],[New Pos L]]&lt;&gt;0,Table1[[#This Row],[New Pos L]],Table1[[#This Row],[New Pos R]])</f>
        <v>28</v>
      </c>
    </row>
    <row r="4139" spans="1:6" ht="16" x14ac:dyDescent="0.2">
      <c r="A4139" s="1" t="s">
        <v>140</v>
      </c>
      <c r="B4139" t="str">
        <f>LEFT(Table1[[#This Row],[Input]],1)</f>
        <v>L</v>
      </c>
      <c r="C4139">
        <f>_xlfn.LET(_xlpm.steps,SUBSTITUTE(Table1[[#This Row],[Input]],Table1[[#This Row],[Direction]],""),VALUE(IF(LEN(_xlpm.steps)&gt;2,RIGHT(_xlpm.steps,2),_xlpm.steps)))</f>
        <v>61</v>
      </c>
      <c r="D4139">
        <f>_xlfn.LET(_xlpm.dir,Table1[[#This Row],[Direction]],
IF(_xlpm.dir="L",
    IF(F4138-Table1[[#This Row],[Steps]]&lt;0,100+(F4138-Table1[[#This Row],[Steps]]),F4138-Table1[[#This Row],[Steps]]),
))</f>
        <v>67</v>
      </c>
      <c r="E4139">
        <f>_xlfn.LET(_xlpm.dir,Table1[[#This Row],[Direction]],
IF(_xlpm.dir="R",
    IF(F4138+Table1[[#This Row],[Steps]]&gt;99,(F4138+Table1[[#This Row],[Steps]])-100,F4138+Table1[[#This Row],[Steps]]),
))</f>
        <v>0</v>
      </c>
      <c r="F4139">
        <f>IF(Table1[[#This Row],[New Pos L]]&lt;&gt;0,Table1[[#This Row],[New Pos L]],Table1[[#This Row],[New Pos R]])</f>
        <v>67</v>
      </c>
    </row>
    <row r="4140" spans="1:6" ht="16" x14ac:dyDescent="0.2">
      <c r="A4140" s="1" t="s">
        <v>141</v>
      </c>
      <c r="B4140" t="str">
        <f>LEFT(Table1[[#This Row],[Input]],1)</f>
        <v>L</v>
      </c>
      <c r="C4140">
        <f>_xlfn.LET(_xlpm.steps,SUBSTITUTE(Table1[[#This Row],[Input]],Table1[[#This Row],[Direction]],""),VALUE(IF(LEN(_xlpm.steps)&gt;2,RIGHT(_xlpm.steps,2),_xlpm.steps)))</f>
        <v>90</v>
      </c>
      <c r="D4140">
        <f>_xlfn.LET(_xlpm.dir,Table1[[#This Row],[Direction]],
IF(_xlpm.dir="L",
    IF(F4139-Table1[[#This Row],[Steps]]&lt;0,100+(F4139-Table1[[#This Row],[Steps]]),F4139-Table1[[#This Row],[Steps]]),
))</f>
        <v>77</v>
      </c>
      <c r="E4140">
        <f>_xlfn.LET(_xlpm.dir,Table1[[#This Row],[Direction]],
IF(_xlpm.dir="R",
    IF(F4139+Table1[[#This Row],[Steps]]&gt;99,(F4139+Table1[[#This Row],[Steps]])-100,F4139+Table1[[#This Row],[Steps]]),
))</f>
        <v>0</v>
      </c>
      <c r="F4140">
        <f>IF(Table1[[#This Row],[New Pos L]]&lt;&gt;0,Table1[[#This Row],[New Pos L]],Table1[[#This Row],[New Pos R]])</f>
        <v>77</v>
      </c>
    </row>
    <row r="4141" spans="1:6" ht="16" x14ac:dyDescent="0.2">
      <c r="A4141" s="1" t="s">
        <v>841</v>
      </c>
      <c r="B4141" t="str">
        <f>LEFT(Table1[[#This Row],[Input]],1)</f>
        <v>R</v>
      </c>
      <c r="C4141">
        <f>_xlfn.LET(_xlpm.steps,SUBSTITUTE(Table1[[#This Row],[Input]],Table1[[#This Row],[Direction]],""),VALUE(IF(LEN(_xlpm.steps)&gt;2,RIGHT(_xlpm.steps,2),_xlpm.steps)))</f>
        <v>8</v>
      </c>
      <c r="D4141">
        <f>_xlfn.LET(_xlpm.dir,Table1[[#This Row],[Direction]],
IF(_xlpm.dir="L",
    IF(F4140-Table1[[#This Row],[Steps]]&lt;0,100+(F4140-Table1[[#This Row],[Steps]]),F4140-Table1[[#This Row],[Steps]]),
))</f>
        <v>0</v>
      </c>
      <c r="E4141">
        <f>_xlfn.LET(_xlpm.dir,Table1[[#This Row],[Direction]],
IF(_xlpm.dir="R",
    IF(F4140+Table1[[#This Row],[Steps]]&gt;99,(F4140+Table1[[#This Row],[Steps]])-100,F4140+Table1[[#This Row],[Steps]]),
))</f>
        <v>85</v>
      </c>
      <c r="F4141">
        <f>IF(Table1[[#This Row],[New Pos L]]&lt;&gt;0,Table1[[#This Row],[New Pos L]],Table1[[#This Row],[New Pos R]])</f>
        <v>85</v>
      </c>
    </row>
    <row r="4142" spans="1:6" ht="16" x14ac:dyDescent="0.2">
      <c r="A4142" s="1" t="s">
        <v>105</v>
      </c>
      <c r="B4142" t="str">
        <f>LEFT(Table1[[#This Row],[Input]],1)</f>
        <v>R</v>
      </c>
      <c r="C4142">
        <f>_xlfn.LET(_xlpm.steps,SUBSTITUTE(Table1[[#This Row],[Input]],Table1[[#This Row],[Direction]],""),VALUE(IF(LEN(_xlpm.steps)&gt;2,RIGHT(_xlpm.steps,2),_xlpm.steps)))</f>
        <v>98</v>
      </c>
      <c r="D4142">
        <f>_xlfn.LET(_xlpm.dir,Table1[[#This Row],[Direction]],
IF(_xlpm.dir="L",
    IF(F4141-Table1[[#This Row],[Steps]]&lt;0,100+(F4141-Table1[[#This Row],[Steps]]),F4141-Table1[[#This Row],[Steps]]),
))</f>
        <v>0</v>
      </c>
      <c r="E4142">
        <f>_xlfn.LET(_xlpm.dir,Table1[[#This Row],[Direction]],
IF(_xlpm.dir="R",
    IF(F4141+Table1[[#This Row],[Steps]]&gt;99,(F4141+Table1[[#This Row],[Steps]])-100,F4141+Table1[[#This Row],[Steps]]),
))</f>
        <v>83</v>
      </c>
      <c r="F4142">
        <f>IF(Table1[[#This Row],[New Pos L]]&lt;&gt;0,Table1[[#This Row],[New Pos L]],Table1[[#This Row],[New Pos R]])</f>
        <v>83</v>
      </c>
    </row>
    <row r="4143" spans="1:6" ht="16" x14ac:dyDescent="0.2">
      <c r="A4143" s="1" t="s">
        <v>272</v>
      </c>
      <c r="B4143" t="str">
        <f>LEFT(Table1[[#This Row],[Input]],1)</f>
        <v>R</v>
      </c>
      <c r="C4143">
        <f>_xlfn.LET(_xlpm.steps,SUBSTITUTE(Table1[[#This Row],[Input]],Table1[[#This Row],[Direction]],""),VALUE(IF(LEN(_xlpm.steps)&gt;2,RIGHT(_xlpm.steps,2),_xlpm.steps)))</f>
        <v>56</v>
      </c>
      <c r="D4143">
        <f>_xlfn.LET(_xlpm.dir,Table1[[#This Row],[Direction]],
IF(_xlpm.dir="L",
    IF(F4142-Table1[[#This Row],[Steps]]&lt;0,100+(F4142-Table1[[#This Row],[Steps]]),F4142-Table1[[#This Row],[Steps]]),
))</f>
        <v>0</v>
      </c>
      <c r="E4143">
        <f>_xlfn.LET(_xlpm.dir,Table1[[#This Row],[Direction]],
IF(_xlpm.dir="R",
    IF(F4142+Table1[[#This Row],[Steps]]&gt;99,(F4142+Table1[[#This Row],[Steps]])-100,F4142+Table1[[#This Row],[Steps]]),
))</f>
        <v>39</v>
      </c>
      <c r="F4143">
        <f>IF(Table1[[#This Row],[New Pos L]]&lt;&gt;0,Table1[[#This Row],[New Pos L]],Table1[[#This Row],[New Pos R]])</f>
        <v>39</v>
      </c>
    </row>
    <row r="4144" spans="1:6" ht="16" x14ac:dyDescent="0.2">
      <c r="A4144" s="1" t="s">
        <v>545</v>
      </c>
      <c r="B4144" t="str">
        <f>LEFT(Table1[[#This Row],[Input]],1)</f>
        <v>L</v>
      </c>
      <c r="C4144">
        <f>_xlfn.LET(_xlpm.steps,SUBSTITUTE(Table1[[#This Row],[Input]],Table1[[#This Row],[Direction]],""),VALUE(IF(LEN(_xlpm.steps)&gt;2,RIGHT(_xlpm.steps,2),_xlpm.steps)))</f>
        <v>39</v>
      </c>
      <c r="D4144">
        <f>_xlfn.LET(_xlpm.dir,Table1[[#This Row],[Direction]],
IF(_xlpm.dir="L",
    IF(F4143-Table1[[#This Row],[Steps]]&lt;0,100+(F4143-Table1[[#This Row],[Steps]]),F4143-Table1[[#This Row],[Steps]]),
))</f>
        <v>0</v>
      </c>
      <c r="E4144">
        <f>_xlfn.LET(_xlpm.dir,Table1[[#This Row],[Direction]],
IF(_xlpm.dir="R",
    IF(F4143+Table1[[#This Row],[Steps]]&gt;99,(F4143+Table1[[#This Row],[Steps]])-100,F4143+Table1[[#This Row],[Steps]]),
))</f>
        <v>0</v>
      </c>
      <c r="F4144">
        <f>IF(Table1[[#This Row],[New Pos L]]&lt;&gt;0,Table1[[#This Row],[New Pos L]],Table1[[#This Row],[New Pos R]])</f>
        <v>0</v>
      </c>
    </row>
    <row r="4145" spans="1:6" ht="16" x14ac:dyDescent="0.2">
      <c r="A4145" s="1" t="s">
        <v>17</v>
      </c>
      <c r="B4145" t="str">
        <f>LEFT(Table1[[#This Row],[Input]],1)</f>
        <v>L</v>
      </c>
      <c r="C4145">
        <f>_xlfn.LET(_xlpm.steps,SUBSTITUTE(Table1[[#This Row],[Input]],Table1[[#This Row],[Direction]],""),VALUE(IF(LEN(_xlpm.steps)&gt;2,RIGHT(_xlpm.steps,2),_xlpm.steps)))</f>
        <v>50</v>
      </c>
      <c r="D4145">
        <f>_xlfn.LET(_xlpm.dir,Table1[[#This Row],[Direction]],
IF(_xlpm.dir="L",
    IF(F4144-Table1[[#This Row],[Steps]]&lt;0,100+(F4144-Table1[[#This Row],[Steps]]),F4144-Table1[[#This Row],[Steps]]),
))</f>
        <v>50</v>
      </c>
      <c r="E4145">
        <f>_xlfn.LET(_xlpm.dir,Table1[[#This Row],[Direction]],
IF(_xlpm.dir="R",
    IF(F4144+Table1[[#This Row],[Steps]]&gt;99,(F4144+Table1[[#This Row],[Steps]])-100,F4144+Table1[[#This Row],[Steps]]),
))</f>
        <v>0</v>
      </c>
      <c r="F4145">
        <f>IF(Table1[[#This Row],[New Pos L]]&lt;&gt;0,Table1[[#This Row],[New Pos L]],Table1[[#This Row],[New Pos R]])</f>
        <v>50</v>
      </c>
    </row>
    <row r="4146" spans="1:6" ht="16" x14ac:dyDescent="0.2">
      <c r="A4146" s="1" t="s">
        <v>217</v>
      </c>
      <c r="B4146" t="str">
        <f>LEFT(Table1[[#This Row],[Input]],1)</f>
        <v>R</v>
      </c>
      <c r="C4146">
        <f>_xlfn.LET(_xlpm.steps,SUBSTITUTE(Table1[[#This Row],[Input]],Table1[[#This Row],[Direction]],""),VALUE(IF(LEN(_xlpm.steps)&gt;2,RIGHT(_xlpm.steps,2),_xlpm.steps)))</f>
        <v>91</v>
      </c>
      <c r="D4146">
        <f>_xlfn.LET(_xlpm.dir,Table1[[#This Row],[Direction]],
IF(_xlpm.dir="L",
    IF(F4145-Table1[[#This Row],[Steps]]&lt;0,100+(F4145-Table1[[#This Row],[Steps]]),F4145-Table1[[#This Row],[Steps]]),
))</f>
        <v>0</v>
      </c>
      <c r="E4146">
        <f>_xlfn.LET(_xlpm.dir,Table1[[#This Row],[Direction]],
IF(_xlpm.dir="R",
    IF(F4145+Table1[[#This Row],[Steps]]&gt;99,(F4145+Table1[[#This Row],[Steps]])-100,F4145+Table1[[#This Row],[Steps]]),
))</f>
        <v>41</v>
      </c>
      <c r="F4146">
        <f>IF(Table1[[#This Row],[New Pos L]]&lt;&gt;0,Table1[[#This Row],[New Pos L]],Table1[[#This Row],[New Pos R]])</f>
        <v>41</v>
      </c>
    </row>
    <row r="4147" spans="1:6" ht="16" x14ac:dyDescent="0.2">
      <c r="A4147" s="1" t="s">
        <v>842</v>
      </c>
      <c r="B4147" t="str">
        <f>LEFT(Table1[[#This Row],[Input]],1)</f>
        <v>L</v>
      </c>
      <c r="C4147">
        <f>_xlfn.LET(_xlpm.steps,SUBSTITUTE(Table1[[#This Row],[Input]],Table1[[#This Row],[Direction]],""),VALUE(IF(LEN(_xlpm.steps)&gt;2,RIGHT(_xlpm.steps,2),_xlpm.steps)))</f>
        <v>41</v>
      </c>
      <c r="D4147">
        <f>_xlfn.LET(_xlpm.dir,Table1[[#This Row],[Direction]],
IF(_xlpm.dir="L",
    IF(F4146-Table1[[#This Row],[Steps]]&lt;0,100+(F4146-Table1[[#This Row],[Steps]]),F4146-Table1[[#This Row],[Steps]]),
))</f>
        <v>0</v>
      </c>
      <c r="E4147">
        <f>_xlfn.LET(_xlpm.dir,Table1[[#This Row],[Direction]],
IF(_xlpm.dir="R",
    IF(F4146+Table1[[#This Row],[Steps]]&gt;99,(F4146+Table1[[#This Row],[Steps]])-100,F4146+Table1[[#This Row],[Steps]]),
))</f>
        <v>0</v>
      </c>
      <c r="F4147">
        <f>IF(Table1[[#This Row],[New Pos L]]&lt;&gt;0,Table1[[#This Row],[New Pos L]],Table1[[#This Row],[New Pos R]])</f>
        <v>0</v>
      </c>
    </row>
    <row r="4148" spans="1:6" ht="16" x14ac:dyDescent="0.2">
      <c r="A4148" s="1" t="s">
        <v>120</v>
      </c>
      <c r="B4148" t="str">
        <f>LEFT(Table1[[#This Row],[Input]],1)</f>
        <v>L</v>
      </c>
      <c r="C4148">
        <f>_xlfn.LET(_xlpm.steps,SUBSTITUTE(Table1[[#This Row],[Input]],Table1[[#This Row],[Direction]],""),VALUE(IF(LEN(_xlpm.steps)&gt;2,RIGHT(_xlpm.steps,2),_xlpm.steps)))</f>
        <v>23</v>
      </c>
      <c r="D4148">
        <f>_xlfn.LET(_xlpm.dir,Table1[[#This Row],[Direction]],
IF(_xlpm.dir="L",
    IF(F4147-Table1[[#This Row],[Steps]]&lt;0,100+(F4147-Table1[[#This Row],[Steps]]),F4147-Table1[[#This Row],[Steps]]),
))</f>
        <v>77</v>
      </c>
      <c r="E4148">
        <f>_xlfn.LET(_xlpm.dir,Table1[[#This Row],[Direction]],
IF(_xlpm.dir="R",
    IF(F4147+Table1[[#This Row],[Steps]]&gt;99,(F4147+Table1[[#This Row],[Steps]])-100,F4147+Table1[[#This Row],[Steps]]),
))</f>
        <v>0</v>
      </c>
      <c r="F4148">
        <f>IF(Table1[[#This Row],[New Pos L]]&lt;&gt;0,Table1[[#This Row],[New Pos L]],Table1[[#This Row],[New Pos R]])</f>
        <v>77</v>
      </c>
    </row>
    <row r="4149" spans="1:6" ht="16" x14ac:dyDescent="0.2">
      <c r="A4149" s="1" t="s">
        <v>119</v>
      </c>
      <c r="B4149" t="str">
        <f>LEFT(Table1[[#This Row],[Input]],1)</f>
        <v>L</v>
      </c>
      <c r="C4149">
        <f>_xlfn.LET(_xlpm.steps,SUBSTITUTE(Table1[[#This Row],[Input]],Table1[[#This Row],[Direction]],""),VALUE(IF(LEN(_xlpm.steps)&gt;2,RIGHT(_xlpm.steps,2),_xlpm.steps)))</f>
        <v>77</v>
      </c>
      <c r="D4149">
        <f>_xlfn.LET(_xlpm.dir,Table1[[#This Row],[Direction]],
IF(_xlpm.dir="L",
    IF(F4148-Table1[[#This Row],[Steps]]&lt;0,100+(F4148-Table1[[#This Row],[Steps]]),F4148-Table1[[#This Row],[Steps]]),
))</f>
        <v>0</v>
      </c>
      <c r="E4149">
        <f>_xlfn.LET(_xlpm.dir,Table1[[#This Row],[Direction]],
IF(_xlpm.dir="R",
    IF(F4148+Table1[[#This Row],[Steps]]&gt;99,(F4148+Table1[[#This Row],[Steps]])-100,F4148+Table1[[#This Row],[Steps]]),
))</f>
        <v>0</v>
      </c>
      <c r="F4149">
        <f>IF(Table1[[#This Row],[New Pos L]]&lt;&gt;0,Table1[[#This Row],[New Pos L]],Table1[[#This Row],[New Pos R]])</f>
        <v>0</v>
      </c>
    </row>
    <row r="4150" spans="1:6" ht="16" x14ac:dyDescent="0.2">
      <c r="A4150" s="1" t="s">
        <v>216</v>
      </c>
      <c r="B4150" t="str">
        <f>LEFT(Table1[[#This Row],[Input]],1)</f>
        <v>R</v>
      </c>
      <c r="C4150">
        <f>_xlfn.LET(_xlpm.steps,SUBSTITUTE(Table1[[#This Row],[Input]],Table1[[#This Row],[Direction]],""),VALUE(IF(LEN(_xlpm.steps)&gt;2,RIGHT(_xlpm.steps,2),_xlpm.steps)))</f>
        <v>54</v>
      </c>
      <c r="D4150">
        <f>_xlfn.LET(_xlpm.dir,Table1[[#This Row],[Direction]],
IF(_xlpm.dir="L",
    IF(F4149-Table1[[#This Row],[Steps]]&lt;0,100+(F4149-Table1[[#This Row],[Steps]]),F4149-Table1[[#This Row],[Steps]]),
))</f>
        <v>0</v>
      </c>
      <c r="E4150">
        <f>_xlfn.LET(_xlpm.dir,Table1[[#This Row],[Direction]],
IF(_xlpm.dir="R",
    IF(F4149+Table1[[#This Row],[Steps]]&gt;99,(F4149+Table1[[#This Row],[Steps]])-100,F4149+Table1[[#This Row],[Steps]]),
))</f>
        <v>54</v>
      </c>
      <c r="F4150">
        <f>IF(Table1[[#This Row],[New Pos L]]&lt;&gt;0,Table1[[#This Row],[New Pos L]],Table1[[#This Row],[New Pos R]])</f>
        <v>54</v>
      </c>
    </row>
    <row r="4151" spans="1:6" ht="16" x14ac:dyDescent="0.2">
      <c r="A4151" s="1" t="s">
        <v>179</v>
      </c>
      <c r="B4151" t="str">
        <f>LEFT(Table1[[#This Row],[Input]],1)</f>
        <v>L</v>
      </c>
      <c r="C4151">
        <f>_xlfn.LET(_xlpm.steps,SUBSTITUTE(Table1[[#This Row],[Input]],Table1[[#This Row],[Direction]],""),VALUE(IF(LEN(_xlpm.steps)&gt;2,RIGHT(_xlpm.steps,2),_xlpm.steps)))</f>
        <v>54</v>
      </c>
      <c r="D4151">
        <f>_xlfn.LET(_xlpm.dir,Table1[[#This Row],[Direction]],
IF(_xlpm.dir="L",
    IF(F4150-Table1[[#This Row],[Steps]]&lt;0,100+(F4150-Table1[[#This Row],[Steps]]),F4150-Table1[[#This Row],[Steps]]),
))</f>
        <v>0</v>
      </c>
      <c r="E4151">
        <f>_xlfn.LET(_xlpm.dir,Table1[[#This Row],[Direction]],
IF(_xlpm.dir="R",
    IF(F4150+Table1[[#This Row],[Steps]]&gt;99,(F4150+Table1[[#This Row],[Steps]])-100,F4150+Table1[[#This Row],[Steps]]),
))</f>
        <v>0</v>
      </c>
      <c r="F4151">
        <f>IF(Table1[[#This Row],[New Pos L]]&lt;&gt;0,Table1[[#This Row],[New Pos L]],Table1[[#This Row],[New Pos R]])</f>
        <v>0</v>
      </c>
    </row>
    <row r="4152" spans="1:6" ht="16" x14ac:dyDescent="0.2">
      <c r="A4152" s="1" t="s">
        <v>30</v>
      </c>
      <c r="B4152" t="str">
        <f>LEFT(Table1[[#This Row],[Input]],1)</f>
        <v>R</v>
      </c>
      <c r="C4152">
        <f>_xlfn.LET(_xlpm.steps,SUBSTITUTE(Table1[[#This Row],[Input]],Table1[[#This Row],[Direction]],""),VALUE(IF(LEN(_xlpm.steps)&gt;2,RIGHT(_xlpm.steps,2),_xlpm.steps)))</f>
        <v>48</v>
      </c>
      <c r="D4152">
        <f>_xlfn.LET(_xlpm.dir,Table1[[#This Row],[Direction]],
IF(_xlpm.dir="L",
    IF(F4151-Table1[[#This Row],[Steps]]&lt;0,100+(F4151-Table1[[#This Row],[Steps]]),F4151-Table1[[#This Row],[Steps]]),
))</f>
        <v>0</v>
      </c>
      <c r="E4152">
        <f>_xlfn.LET(_xlpm.dir,Table1[[#This Row],[Direction]],
IF(_xlpm.dir="R",
    IF(F4151+Table1[[#This Row],[Steps]]&gt;99,(F4151+Table1[[#This Row],[Steps]])-100,F4151+Table1[[#This Row],[Steps]]),
))</f>
        <v>48</v>
      </c>
      <c r="F4152">
        <f>IF(Table1[[#This Row],[New Pos L]]&lt;&gt;0,Table1[[#This Row],[New Pos L]],Table1[[#This Row],[New Pos R]])</f>
        <v>48</v>
      </c>
    </row>
    <row r="4153" spans="1:6" ht="16" x14ac:dyDescent="0.2">
      <c r="A4153" s="1" t="s">
        <v>80</v>
      </c>
      <c r="B4153" t="str">
        <f>LEFT(Table1[[#This Row],[Input]],1)</f>
        <v>L</v>
      </c>
      <c r="C4153">
        <f>_xlfn.LET(_xlpm.steps,SUBSTITUTE(Table1[[#This Row],[Input]],Table1[[#This Row],[Direction]],""),VALUE(IF(LEN(_xlpm.steps)&gt;2,RIGHT(_xlpm.steps,2),_xlpm.steps)))</f>
        <v>48</v>
      </c>
      <c r="D4153">
        <f>_xlfn.LET(_xlpm.dir,Table1[[#This Row],[Direction]],
IF(_xlpm.dir="L",
    IF(F4152-Table1[[#This Row],[Steps]]&lt;0,100+(F4152-Table1[[#This Row],[Steps]]),F4152-Table1[[#This Row],[Steps]]),
))</f>
        <v>0</v>
      </c>
      <c r="E4153">
        <f>_xlfn.LET(_xlpm.dir,Table1[[#This Row],[Direction]],
IF(_xlpm.dir="R",
    IF(F4152+Table1[[#This Row],[Steps]]&gt;99,(F4152+Table1[[#This Row],[Steps]])-100,F4152+Table1[[#This Row],[Steps]]),
))</f>
        <v>0</v>
      </c>
      <c r="F4153">
        <f>IF(Table1[[#This Row],[New Pos L]]&lt;&gt;0,Table1[[#This Row],[New Pos L]],Table1[[#This Row],[New Pos R]])</f>
        <v>0</v>
      </c>
    </row>
    <row r="4154" spans="1:6" ht="16" x14ac:dyDescent="0.2">
      <c r="A4154" s="1" t="s">
        <v>843</v>
      </c>
      <c r="B4154" t="str">
        <f>LEFT(Table1[[#This Row],[Input]],1)</f>
        <v>L</v>
      </c>
      <c r="C4154">
        <f>_xlfn.LET(_xlpm.steps,SUBSTITUTE(Table1[[#This Row],[Input]],Table1[[#This Row],[Direction]],""),VALUE(IF(LEN(_xlpm.steps)&gt;2,RIGHT(_xlpm.steps,2),_xlpm.steps)))</f>
        <v>19</v>
      </c>
      <c r="D4154">
        <f>_xlfn.LET(_xlpm.dir,Table1[[#This Row],[Direction]],
IF(_xlpm.dir="L",
    IF(F4153-Table1[[#This Row],[Steps]]&lt;0,100+(F4153-Table1[[#This Row],[Steps]]),F4153-Table1[[#This Row],[Steps]]),
))</f>
        <v>81</v>
      </c>
      <c r="E4154">
        <f>_xlfn.LET(_xlpm.dir,Table1[[#This Row],[Direction]],
IF(_xlpm.dir="R",
    IF(F4153+Table1[[#This Row],[Steps]]&gt;99,(F4153+Table1[[#This Row],[Steps]])-100,F4153+Table1[[#This Row],[Steps]]),
))</f>
        <v>0</v>
      </c>
      <c r="F4154">
        <f>IF(Table1[[#This Row],[New Pos L]]&lt;&gt;0,Table1[[#This Row],[New Pos L]],Table1[[#This Row],[New Pos R]])</f>
        <v>81</v>
      </c>
    </row>
    <row r="4155" spans="1:6" ht="16" x14ac:dyDescent="0.2">
      <c r="A4155" s="1" t="s">
        <v>70</v>
      </c>
      <c r="B4155" t="str">
        <f>LEFT(Table1[[#This Row],[Input]],1)</f>
        <v>R</v>
      </c>
      <c r="C4155">
        <f>_xlfn.LET(_xlpm.steps,SUBSTITUTE(Table1[[#This Row],[Input]],Table1[[#This Row],[Direction]],""),VALUE(IF(LEN(_xlpm.steps)&gt;2,RIGHT(_xlpm.steps,2),_xlpm.steps)))</f>
        <v>73</v>
      </c>
      <c r="D4155">
        <f>_xlfn.LET(_xlpm.dir,Table1[[#This Row],[Direction]],
IF(_xlpm.dir="L",
    IF(F4154-Table1[[#This Row],[Steps]]&lt;0,100+(F4154-Table1[[#This Row],[Steps]]),F4154-Table1[[#This Row],[Steps]]),
))</f>
        <v>0</v>
      </c>
      <c r="E4155">
        <f>_xlfn.LET(_xlpm.dir,Table1[[#This Row],[Direction]],
IF(_xlpm.dir="R",
    IF(F4154+Table1[[#This Row],[Steps]]&gt;99,(F4154+Table1[[#This Row],[Steps]])-100,F4154+Table1[[#This Row],[Steps]]),
))</f>
        <v>54</v>
      </c>
      <c r="F4155">
        <f>IF(Table1[[#This Row],[New Pos L]]&lt;&gt;0,Table1[[#This Row],[New Pos L]],Table1[[#This Row],[New Pos R]])</f>
        <v>54</v>
      </c>
    </row>
    <row r="4156" spans="1:6" ht="16" x14ac:dyDescent="0.2">
      <c r="A4156" s="1" t="s">
        <v>193</v>
      </c>
      <c r="B4156" t="str">
        <f>LEFT(Table1[[#This Row],[Input]],1)</f>
        <v>L</v>
      </c>
      <c r="C4156">
        <f>_xlfn.LET(_xlpm.steps,SUBSTITUTE(Table1[[#This Row],[Input]],Table1[[#This Row],[Direction]],""),VALUE(IF(LEN(_xlpm.steps)&gt;2,RIGHT(_xlpm.steps,2),_xlpm.steps)))</f>
        <v>12</v>
      </c>
      <c r="D4156">
        <f>_xlfn.LET(_xlpm.dir,Table1[[#This Row],[Direction]],
IF(_xlpm.dir="L",
    IF(F4155-Table1[[#This Row],[Steps]]&lt;0,100+(F4155-Table1[[#This Row],[Steps]]),F4155-Table1[[#This Row],[Steps]]),
))</f>
        <v>42</v>
      </c>
      <c r="E4156">
        <f>_xlfn.LET(_xlpm.dir,Table1[[#This Row],[Direction]],
IF(_xlpm.dir="R",
    IF(F4155+Table1[[#This Row],[Steps]]&gt;99,(F4155+Table1[[#This Row],[Steps]])-100,F4155+Table1[[#This Row],[Steps]]),
))</f>
        <v>0</v>
      </c>
      <c r="F4156">
        <f>IF(Table1[[#This Row],[New Pos L]]&lt;&gt;0,Table1[[#This Row],[New Pos L]],Table1[[#This Row],[New Pos R]])</f>
        <v>42</v>
      </c>
    </row>
    <row r="4157" spans="1:6" ht="16" x14ac:dyDescent="0.2">
      <c r="A4157" s="1" t="s">
        <v>369</v>
      </c>
      <c r="B4157" t="str">
        <f>LEFT(Table1[[#This Row],[Input]],1)</f>
        <v>R</v>
      </c>
      <c r="C4157">
        <f>_xlfn.LET(_xlpm.steps,SUBSTITUTE(Table1[[#This Row],[Input]],Table1[[#This Row],[Direction]],""),VALUE(IF(LEN(_xlpm.steps)&gt;2,RIGHT(_xlpm.steps,2),_xlpm.steps)))</f>
        <v>38</v>
      </c>
      <c r="D4157">
        <f>_xlfn.LET(_xlpm.dir,Table1[[#This Row],[Direction]],
IF(_xlpm.dir="L",
    IF(F4156-Table1[[#This Row],[Steps]]&lt;0,100+(F4156-Table1[[#This Row],[Steps]]),F4156-Table1[[#This Row],[Steps]]),
))</f>
        <v>0</v>
      </c>
      <c r="E4157">
        <f>_xlfn.LET(_xlpm.dir,Table1[[#This Row],[Direction]],
IF(_xlpm.dir="R",
    IF(F4156+Table1[[#This Row],[Steps]]&gt;99,(F4156+Table1[[#This Row],[Steps]])-100,F4156+Table1[[#This Row],[Steps]]),
))</f>
        <v>80</v>
      </c>
      <c r="F4157">
        <f>IF(Table1[[#This Row],[New Pos L]]&lt;&gt;0,Table1[[#This Row],[New Pos L]],Table1[[#This Row],[New Pos R]])</f>
        <v>80</v>
      </c>
    </row>
    <row r="4158" spans="1:6" ht="16" x14ac:dyDescent="0.2">
      <c r="A4158" s="1" t="s">
        <v>50</v>
      </c>
      <c r="B4158" t="str">
        <f>LEFT(Table1[[#This Row],[Input]],1)</f>
        <v>R</v>
      </c>
      <c r="C4158">
        <f>_xlfn.LET(_xlpm.steps,SUBSTITUTE(Table1[[#This Row],[Input]],Table1[[#This Row],[Direction]],""),VALUE(IF(LEN(_xlpm.steps)&gt;2,RIGHT(_xlpm.steps,2),_xlpm.steps)))</f>
        <v>78</v>
      </c>
      <c r="D4158">
        <f>_xlfn.LET(_xlpm.dir,Table1[[#This Row],[Direction]],
IF(_xlpm.dir="L",
    IF(F4157-Table1[[#This Row],[Steps]]&lt;0,100+(F4157-Table1[[#This Row],[Steps]]),F4157-Table1[[#This Row],[Steps]]),
))</f>
        <v>0</v>
      </c>
      <c r="E4158">
        <f>_xlfn.LET(_xlpm.dir,Table1[[#This Row],[Direction]],
IF(_xlpm.dir="R",
    IF(F4157+Table1[[#This Row],[Steps]]&gt;99,(F4157+Table1[[#This Row],[Steps]])-100,F4157+Table1[[#This Row],[Steps]]),
))</f>
        <v>58</v>
      </c>
      <c r="F4158">
        <f>IF(Table1[[#This Row],[New Pos L]]&lt;&gt;0,Table1[[#This Row],[New Pos L]],Table1[[#This Row],[New Pos R]])</f>
        <v>58</v>
      </c>
    </row>
    <row r="4159" spans="1:6" ht="16" x14ac:dyDescent="0.2">
      <c r="A4159" s="1" t="s">
        <v>844</v>
      </c>
      <c r="B4159" t="str">
        <f>LEFT(Table1[[#This Row],[Input]],1)</f>
        <v>R</v>
      </c>
      <c r="C4159">
        <f>_xlfn.LET(_xlpm.steps,SUBSTITUTE(Table1[[#This Row],[Input]],Table1[[#This Row],[Direction]],""),VALUE(IF(LEN(_xlpm.steps)&gt;2,RIGHT(_xlpm.steps,2),_xlpm.steps)))</f>
        <v>42</v>
      </c>
      <c r="D4159">
        <f>_xlfn.LET(_xlpm.dir,Table1[[#This Row],[Direction]],
IF(_xlpm.dir="L",
    IF(F4158-Table1[[#This Row],[Steps]]&lt;0,100+(F4158-Table1[[#This Row],[Steps]]),F4158-Table1[[#This Row],[Steps]]),
))</f>
        <v>0</v>
      </c>
      <c r="E4159">
        <f>_xlfn.LET(_xlpm.dir,Table1[[#This Row],[Direction]],
IF(_xlpm.dir="R",
    IF(F4158+Table1[[#This Row],[Steps]]&gt;99,(F4158+Table1[[#This Row],[Steps]])-100,F4158+Table1[[#This Row],[Steps]]),
))</f>
        <v>0</v>
      </c>
      <c r="F4159">
        <f>IF(Table1[[#This Row],[New Pos L]]&lt;&gt;0,Table1[[#This Row],[New Pos L]],Table1[[#This Row],[New Pos R]])</f>
        <v>0</v>
      </c>
    </row>
    <row r="4160" spans="1:6" ht="16" x14ac:dyDescent="0.2">
      <c r="A4160" s="1" t="s">
        <v>1</v>
      </c>
      <c r="B4160" t="str">
        <f>LEFT(Table1[[#This Row],[Input]],1)</f>
        <v>R</v>
      </c>
      <c r="C4160">
        <f>_xlfn.LET(_xlpm.steps,SUBSTITUTE(Table1[[#This Row],[Input]],Table1[[#This Row],[Direction]],""),VALUE(IF(LEN(_xlpm.steps)&gt;2,RIGHT(_xlpm.steps,2),_xlpm.steps)))</f>
        <v>26</v>
      </c>
      <c r="D4160">
        <f>_xlfn.LET(_xlpm.dir,Table1[[#This Row],[Direction]],
IF(_xlpm.dir="L",
    IF(F4159-Table1[[#This Row],[Steps]]&lt;0,100+(F4159-Table1[[#This Row],[Steps]]),F4159-Table1[[#This Row],[Steps]]),
))</f>
        <v>0</v>
      </c>
      <c r="E4160">
        <f>_xlfn.LET(_xlpm.dir,Table1[[#This Row],[Direction]],
IF(_xlpm.dir="R",
    IF(F4159+Table1[[#This Row],[Steps]]&gt;99,(F4159+Table1[[#This Row],[Steps]])-100,F4159+Table1[[#This Row],[Steps]]),
))</f>
        <v>26</v>
      </c>
      <c r="F4160">
        <f>IF(Table1[[#This Row],[New Pos L]]&lt;&gt;0,Table1[[#This Row],[New Pos L]],Table1[[#This Row],[New Pos R]])</f>
        <v>26</v>
      </c>
    </row>
    <row r="4161" spans="1:6" ht="16" x14ac:dyDescent="0.2">
      <c r="A4161" s="1" t="s">
        <v>95</v>
      </c>
      <c r="B4161" t="str">
        <f>LEFT(Table1[[#This Row],[Input]],1)</f>
        <v>L</v>
      </c>
      <c r="C4161">
        <f>_xlfn.LET(_xlpm.steps,SUBSTITUTE(Table1[[#This Row],[Input]],Table1[[#This Row],[Direction]],""),VALUE(IF(LEN(_xlpm.steps)&gt;2,RIGHT(_xlpm.steps,2),_xlpm.steps)))</f>
        <v>78</v>
      </c>
      <c r="D4161">
        <f>_xlfn.LET(_xlpm.dir,Table1[[#This Row],[Direction]],
IF(_xlpm.dir="L",
    IF(F4160-Table1[[#This Row],[Steps]]&lt;0,100+(F4160-Table1[[#This Row],[Steps]]),F4160-Table1[[#This Row],[Steps]]),
))</f>
        <v>48</v>
      </c>
      <c r="E4161">
        <f>_xlfn.LET(_xlpm.dir,Table1[[#This Row],[Direction]],
IF(_xlpm.dir="R",
    IF(F4160+Table1[[#This Row],[Steps]]&gt;99,(F4160+Table1[[#This Row],[Steps]])-100,F4160+Table1[[#This Row],[Steps]]),
))</f>
        <v>0</v>
      </c>
      <c r="F4161">
        <f>IF(Table1[[#This Row],[New Pos L]]&lt;&gt;0,Table1[[#This Row],[New Pos L]],Table1[[#This Row],[New Pos R]])</f>
        <v>48</v>
      </c>
    </row>
    <row r="4162" spans="1:6" ht="16" x14ac:dyDescent="0.2">
      <c r="A4162" s="1" t="s">
        <v>40</v>
      </c>
      <c r="B4162" t="str">
        <f>LEFT(Table1[[#This Row],[Input]],1)</f>
        <v>R</v>
      </c>
      <c r="C4162">
        <f>_xlfn.LET(_xlpm.steps,SUBSTITUTE(Table1[[#This Row],[Input]],Table1[[#This Row],[Direction]],""),VALUE(IF(LEN(_xlpm.steps)&gt;2,RIGHT(_xlpm.steps,2),_xlpm.steps)))</f>
        <v>52</v>
      </c>
      <c r="D4162">
        <f>_xlfn.LET(_xlpm.dir,Table1[[#This Row],[Direction]],
IF(_xlpm.dir="L",
    IF(F4161-Table1[[#This Row],[Steps]]&lt;0,100+(F4161-Table1[[#This Row],[Steps]]),F4161-Table1[[#This Row],[Steps]]),
))</f>
        <v>0</v>
      </c>
      <c r="E4162">
        <f>_xlfn.LET(_xlpm.dir,Table1[[#This Row],[Direction]],
IF(_xlpm.dir="R",
    IF(F4161+Table1[[#This Row],[Steps]]&gt;99,(F4161+Table1[[#This Row],[Steps]])-100,F4161+Table1[[#This Row],[Steps]]),
))</f>
        <v>0</v>
      </c>
      <c r="F4162">
        <f>IF(Table1[[#This Row],[New Pos L]]&lt;&gt;0,Table1[[#This Row],[New Pos L]],Table1[[#This Row],[New Pos R]])</f>
        <v>0</v>
      </c>
    </row>
    <row r="4163" spans="1:6" ht="16" x14ac:dyDescent="0.2">
      <c r="A4163" s="1" t="s">
        <v>5</v>
      </c>
      <c r="B4163" t="str">
        <f>LEFT(Table1[[#This Row],[Input]],1)</f>
        <v>R</v>
      </c>
      <c r="C4163">
        <f>_xlfn.LET(_xlpm.steps,SUBSTITUTE(Table1[[#This Row],[Input]],Table1[[#This Row],[Direction]],""),VALUE(IF(LEN(_xlpm.steps)&gt;2,RIGHT(_xlpm.steps,2),_xlpm.steps)))</f>
        <v>1</v>
      </c>
      <c r="D4163">
        <f>_xlfn.LET(_xlpm.dir,Table1[[#This Row],[Direction]],
IF(_xlpm.dir="L",
    IF(F4162-Table1[[#This Row],[Steps]]&lt;0,100+(F4162-Table1[[#This Row],[Steps]]),F4162-Table1[[#This Row],[Steps]]),
))</f>
        <v>0</v>
      </c>
      <c r="E4163">
        <f>_xlfn.LET(_xlpm.dir,Table1[[#This Row],[Direction]],
IF(_xlpm.dir="R",
    IF(F4162+Table1[[#This Row],[Steps]]&gt;99,(F4162+Table1[[#This Row],[Steps]])-100,F4162+Table1[[#This Row],[Steps]]),
))</f>
        <v>1</v>
      </c>
      <c r="F4163">
        <f>IF(Table1[[#This Row],[New Pos L]]&lt;&gt;0,Table1[[#This Row],[New Pos L]],Table1[[#This Row],[New Pos R]])</f>
        <v>1</v>
      </c>
    </row>
    <row r="4164" spans="1:6" ht="16" x14ac:dyDescent="0.2">
      <c r="A4164" s="1" t="s">
        <v>80</v>
      </c>
      <c r="B4164" t="str">
        <f>LEFT(Table1[[#This Row],[Input]],1)</f>
        <v>L</v>
      </c>
      <c r="C4164">
        <f>_xlfn.LET(_xlpm.steps,SUBSTITUTE(Table1[[#This Row],[Input]],Table1[[#This Row],[Direction]],""),VALUE(IF(LEN(_xlpm.steps)&gt;2,RIGHT(_xlpm.steps,2),_xlpm.steps)))</f>
        <v>48</v>
      </c>
      <c r="D4164">
        <f>_xlfn.LET(_xlpm.dir,Table1[[#This Row],[Direction]],
IF(_xlpm.dir="L",
    IF(F4163-Table1[[#This Row],[Steps]]&lt;0,100+(F4163-Table1[[#This Row],[Steps]]),F4163-Table1[[#This Row],[Steps]]),
))</f>
        <v>53</v>
      </c>
      <c r="E4164">
        <f>_xlfn.LET(_xlpm.dir,Table1[[#This Row],[Direction]],
IF(_xlpm.dir="R",
    IF(F4163+Table1[[#This Row],[Steps]]&gt;99,(F4163+Table1[[#This Row],[Steps]])-100,F4163+Table1[[#This Row],[Steps]]),
))</f>
        <v>0</v>
      </c>
      <c r="F4164">
        <f>IF(Table1[[#This Row],[New Pos L]]&lt;&gt;0,Table1[[#This Row],[New Pos L]],Table1[[#This Row],[New Pos R]])</f>
        <v>53</v>
      </c>
    </row>
    <row r="4165" spans="1:6" ht="16" x14ac:dyDescent="0.2">
      <c r="A4165" s="1" t="s">
        <v>293</v>
      </c>
      <c r="B4165" t="str">
        <f>LEFT(Table1[[#This Row],[Input]],1)</f>
        <v>R</v>
      </c>
      <c r="C4165">
        <f>_xlfn.LET(_xlpm.steps,SUBSTITUTE(Table1[[#This Row],[Input]],Table1[[#This Row],[Direction]],""),VALUE(IF(LEN(_xlpm.steps)&gt;2,RIGHT(_xlpm.steps,2),_xlpm.steps)))</f>
        <v>67</v>
      </c>
      <c r="D4165">
        <f>_xlfn.LET(_xlpm.dir,Table1[[#This Row],[Direction]],
IF(_xlpm.dir="L",
    IF(F4164-Table1[[#This Row],[Steps]]&lt;0,100+(F4164-Table1[[#This Row],[Steps]]),F4164-Table1[[#This Row],[Steps]]),
))</f>
        <v>0</v>
      </c>
      <c r="E4165">
        <f>_xlfn.LET(_xlpm.dir,Table1[[#This Row],[Direction]],
IF(_xlpm.dir="R",
    IF(F4164+Table1[[#This Row],[Steps]]&gt;99,(F4164+Table1[[#This Row],[Steps]])-100,F4164+Table1[[#This Row],[Steps]]),
))</f>
        <v>20</v>
      </c>
      <c r="F4165">
        <f>IF(Table1[[#This Row],[New Pos L]]&lt;&gt;0,Table1[[#This Row],[New Pos L]],Table1[[#This Row],[New Pos R]])</f>
        <v>20</v>
      </c>
    </row>
    <row r="4166" spans="1:6" ht="16" x14ac:dyDescent="0.2">
      <c r="A4166" s="1" t="s">
        <v>25</v>
      </c>
      <c r="B4166" t="str">
        <f>LEFT(Table1[[#This Row],[Input]],1)</f>
        <v>L</v>
      </c>
      <c r="C4166">
        <f>_xlfn.LET(_xlpm.steps,SUBSTITUTE(Table1[[#This Row],[Input]],Table1[[#This Row],[Direction]],""),VALUE(IF(LEN(_xlpm.steps)&gt;2,RIGHT(_xlpm.steps,2),_xlpm.steps)))</f>
        <v>20</v>
      </c>
      <c r="D4166">
        <f>_xlfn.LET(_xlpm.dir,Table1[[#This Row],[Direction]],
IF(_xlpm.dir="L",
    IF(F4165-Table1[[#This Row],[Steps]]&lt;0,100+(F4165-Table1[[#This Row],[Steps]]),F4165-Table1[[#This Row],[Steps]]),
))</f>
        <v>0</v>
      </c>
      <c r="E4166">
        <f>_xlfn.LET(_xlpm.dir,Table1[[#This Row],[Direction]],
IF(_xlpm.dir="R",
    IF(F4165+Table1[[#This Row],[Steps]]&gt;99,(F4165+Table1[[#This Row],[Steps]])-100,F4165+Table1[[#This Row],[Steps]]),
))</f>
        <v>0</v>
      </c>
      <c r="F4166">
        <f>IF(Table1[[#This Row],[New Pos L]]&lt;&gt;0,Table1[[#This Row],[New Pos L]],Table1[[#This Row],[New Pos R]])</f>
        <v>0</v>
      </c>
    </row>
    <row r="4167" spans="1:6" ht="16" x14ac:dyDescent="0.2">
      <c r="A4167" s="1" t="s">
        <v>845</v>
      </c>
      <c r="B4167" t="str">
        <f>LEFT(Table1[[#This Row],[Input]],1)</f>
        <v>L</v>
      </c>
      <c r="C4167">
        <f>_xlfn.LET(_xlpm.steps,SUBSTITUTE(Table1[[#This Row],[Input]],Table1[[#This Row],[Direction]],""),VALUE(IF(LEN(_xlpm.steps)&gt;2,RIGHT(_xlpm.steps,2),_xlpm.steps)))</f>
        <v>45</v>
      </c>
      <c r="D4167">
        <f>_xlfn.LET(_xlpm.dir,Table1[[#This Row],[Direction]],
IF(_xlpm.dir="L",
    IF(F4166-Table1[[#This Row],[Steps]]&lt;0,100+(F4166-Table1[[#This Row],[Steps]]),F4166-Table1[[#This Row],[Steps]]),
))</f>
        <v>55</v>
      </c>
      <c r="E4167">
        <f>_xlfn.LET(_xlpm.dir,Table1[[#This Row],[Direction]],
IF(_xlpm.dir="R",
    IF(F4166+Table1[[#This Row],[Steps]]&gt;99,(F4166+Table1[[#This Row],[Steps]])-100,F4166+Table1[[#This Row],[Steps]]),
))</f>
        <v>0</v>
      </c>
      <c r="F4167">
        <f>IF(Table1[[#This Row],[New Pos L]]&lt;&gt;0,Table1[[#This Row],[New Pos L]],Table1[[#This Row],[New Pos R]])</f>
        <v>55</v>
      </c>
    </row>
    <row r="4168" spans="1:6" ht="16" x14ac:dyDescent="0.2">
      <c r="A4168" s="1" t="s">
        <v>210</v>
      </c>
      <c r="B4168" t="str">
        <f>LEFT(Table1[[#This Row],[Input]],1)</f>
        <v>R</v>
      </c>
      <c r="C4168">
        <f>_xlfn.LET(_xlpm.steps,SUBSTITUTE(Table1[[#This Row],[Input]],Table1[[#This Row],[Direction]],""),VALUE(IF(LEN(_xlpm.steps)&gt;2,RIGHT(_xlpm.steps,2),_xlpm.steps)))</f>
        <v>89</v>
      </c>
      <c r="D4168">
        <f>_xlfn.LET(_xlpm.dir,Table1[[#This Row],[Direction]],
IF(_xlpm.dir="L",
    IF(F4167-Table1[[#This Row],[Steps]]&lt;0,100+(F4167-Table1[[#This Row],[Steps]]),F4167-Table1[[#This Row],[Steps]]),
))</f>
        <v>0</v>
      </c>
      <c r="E4168">
        <f>_xlfn.LET(_xlpm.dir,Table1[[#This Row],[Direction]],
IF(_xlpm.dir="R",
    IF(F4167+Table1[[#This Row],[Steps]]&gt;99,(F4167+Table1[[#This Row],[Steps]])-100,F4167+Table1[[#This Row],[Steps]]),
))</f>
        <v>44</v>
      </c>
      <c r="F4168">
        <f>IF(Table1[[#This Row],[New Pos L]]&lt;&gt;0,Table1[[#This Row],[New Pos L]],Table1[[#This Row],[New Pos R]])</f>
        <v>44</v>
      </c>
    </row>
    <row r="4169" spans="1:6" ht="16" x14ac:dyDescent="0.2">
      <c r="A4169" s="1" t="s">
        <v>0</v>
      </c>
      <c r="B4169" t="str">
        <f>LEFT(Table1[[#This Row],[Input]],1)</f>
        <v>L</v>
      </c>
      <c r="C4169">
        <f>_xlfn.LET(_xlpm.steps,SUBSTITUTE(Table1[[#This Row],[Input]],Table1[[#This Row],[Direction]],""),VALUE(IF(LEN(_xlpm.steps)&gt;2,RIGHT(_xlpm.steps,2),_xlpm.steps)))</f>
        <v>44</v>
      </c>
      <c r="D4169">
        <f>_xlfn.LET(_xlpm.dir,Table1[[#This Row],[Direction]],
IF(_xlpm.dir="L",
    IF(F4168-Table1[[#This Row],[Steps]]&lt;0,100+(F4168-Table1[[#This Row],[Steps]]),F4168-Table1[[#This Row],[Steps]]),
))</f>
        <v>0</v>
      </c>
      <c r="E4169">
        <f>_xlfn.LET(_xlpm.dir,Table1[[#This Row],[Direction]],
IF(_xlpm.dir="R",
    IF(F4168+Table1[[#This Row],[Steps]]&gt;99,(F4168+Table1[[#This Row],[Steps]])-100,F4168+Table1[[#This Row],[Steps]]),
))</f>
        <v>0</v>
      </c>
      <c r="F4169">
        <f>IF(Table1[[#This Row],[New Pos L]]&lt;&gt;0,Table1[[#This Row],[New Pos L]],Table1[[#This Row],[New Pos R]])</f>
        <v>0</v>
      </c>
    </row>
    <row r="4170" spans="1:6" ht="16" x14ac:dyDescent="0.2">
      <c r="A4170" s="1" t="s">
        <v>188</v>
      </c>
      <c r="B4170" t="str">
        <f>LEFT(Table1[[#This Row],[Input]],1)</f>
        <v>R</v>
      </c>
      <c r="C4170">
        <f>_xlfn.LET(_xlpm.steps,SUBSTITUTE(Table1[[#This Row],[Input]],Table1[[#This Row],[Direction]],""),VALUE(IF(LEN(_xlpm.steps)&gt;2,RIGHT(_xlpm.steps,2),_xlpm.steps)))</f>
        <v>5</v>
      </c>
      <c r="D4170">
        <f>_xlfn.LET(_xlpm.dir,Table1[[#This Row],[Direction]],
IF(_xlpm.dir="L",
    IF(F4169-Table1[[#This Row],[Steps]]&lt;0,100+(F4169-Table1[[#This Row],[Steps]]),F4169-Table1[[#This Row],[Steps]]),
))</f>
        <v>0</v>
      </c>
      <c r="E4170">
        <f>_xlfn.LET(_xlpm.dir,Table1[[#This Row],[Direction]],
IF(_xlpm.dir="R",
    IF(F4169+Table1[[#This Row],[Steps]]&gt;99,(F4169+Table1[[#This Row],[Steps]])-100,F4169+Table1[[#This Row],[Steps]]),
))</f>
        <v>5</v>
      </c>
      <c r="F4170">
        <f>IF(Table1[[#This Row],[New Pos L]]&lt;&gt;0,Table1[[#This Row],[New Pos L]],Table1[[#This Row],[New Pos R]])</f>
        <v>5</v>
      </c>
    </row>
    <row r="4171" spans="1:6" ht="16" x14ac:dyDescent="0.2">
      <c r="A4171" s="1" t="s">
        <v>803</v>
      </c>
      <c r="B4171" t="str">
        <f>LEFT(Table1[[#This Row],[Input]],1)</f>
        <v>L</v>
      </c>
      <c r="C4171">
        <f>_xlfn.LET(_xlpm.steps,SUBSTITUTE(Table1[[#This Row],[Input]],Table1[[#This Row],[Direction]],""),VALUE(IF(LEN(_xlpm.steps)&gt;2,RIGHT(_xlpm.steps,2),_xlpm.steps)))</f>
        <v>33</v>
      </c>
      <c r="D4171">
        <f>_xlfn.LET(_xlpm.dir,Table1[[#This Row],[Direction]],
IF(_xlpm.dir="L",
    IF(F4170-Table1[[#This Row],[Steps]]&lt;0,100+(F4170-Table1[[#This Row],[Steps]]),F4170-Table1[[#This Row],[Steps]]),
))</f>
        <v>72</v>
      </c>
      <c r="E4171">
        <f>_xlfn.LET(_xlpm.dir,Table1[[#This Row],[Direction]],
IF(_xlpm.dir="R",
    IF(F4170+Table1[[#This Row],[Steps]]&gt;99,(F4170+Table1[[#This Row],[Steps]])-100,F4170+Table1[[#This Row],[Steps]]),
))</f>
        <v>0</v>
      </c>
      <c r="F4171">
        <f>IF(Table1[[#This Row],[New Pos L]]&lt;&gt;0,Table1[[#This Row],[New Pos L]],Table1[[#This Row],[New Pos R]])</f>
        <v>72</v>
      </c>
    </row>
    <row r="4172" spans="1:6" ht="16" x14ac:dyDescent="0.2">
      <c r="A4172" s="1" t="s">
        <v>136</v>
      </c>
      <c r="B4172" t="str">
        <f>LEFT(Table1[[#This Row],[Input]],1)</f>
        <v>L</v>
      </c>
      <c r="C4172">
        <f>_xlfn.LET(_xlpm.steps,SUBSTITUTE(Table1[[#This Row],[Input]],Table1[[#This Row],[Direction]],""),VALUE(IF(LEN(_xlpm.steps)&gt;2,RIGHT(_xlpm.steps,2),_xlpm.steps)))</f>
        <v>72</v>
      </c>
      <c r="D4172">
        <f>_xlfn.LET(_xlpm.dir,Table1[[#This Row],[Direction]],
IF(_xlpm.dir="L",
    IF(F4171-Table1[[#This Row],[Steps]]&lt;0,100+(F4171-Table1[[#This Row],[Steps]]),F4171-Table1[[#This Row],[Steps]]),
))</f>
        <v>0</v>
      </c>
      <c r="E4172">
        <f>_xlfn.LET(_xlpm.dir,Table1[[#This Row],[Direction]],
IF(_xlpm.dir="R",
    IF(F4171+Table1[[#This Row],[Steps]]&gt;99,(F4171+Table1[[#This Row],[Steps]])-100,F4171+Table1[[#This Row],[Steps]]),
))</f>
        <v>0</v>
      </c>
      <c r="F4172">
        <f>IF(Table1[[#This Row],[New Pos L]]&lt;&gt;0,Table1[[#This Row],[New Pos L]],Table1[[#This Row],[New Pos R]])</f>
        <v>0</v>
      </c>
    </row>
    <row r="4173" spans="1:6" ht="16" x14ac:dyDescent="0.2">
      <c r="A4173" s="1" t="s">
        <v>13</v>
      </c>
      <c r="B4173" t="str">
        <f>LEFT(Table1[[#This Row],[Input]],1)</f>
        <v>R</v>
      </c>
      <c r="C4173">
        <f>_xlfn.LET(_xlpm.steps,SUBSTITUTE(Table1[[#This Row],[Input]],Table1[[#This Row],[Direction]],""),VALUE(IF(LEN(_xlpm.steps)&gt;2,RIGHT(_xlpm.steps,2),_xlpm.steps)))</f>
        <v>12</v>
      </c>
      <c r="D4173">
        <f>_xlfn.LET(_xlpm.dir,Table1[[#This Row],[Direction]],
IF(_xlpm.dir="L",
    IF(F4172-Table1[[#This Row],[Steps]]&lt;0,100+(F4172-Table1[[#This Row],[Steps]]),F4172-Table1[[#This Row],[Steps]]),
))</f>
        <v>0</v>
      </c>
      <c r="E4173">
        <f>_xlfn.LET(_xlpm.dir,Table1[[#This Row],[Direction]],
IF(_xlpm.dir="R",
    IF(F4172+Table1[[#This Row],[Steps]]&gt;99,(F4172+Table1[[#This Row],[Steps]])-100,F4172+Table1[[#This Row],[Steps]]),
))</f>
        <v>12</v>
      </c>
      <c r="F4173">
        <f>IF(Table1[[#This Row],[New Pos L]]&lt;&gt;0,Table1[[#This Row],[New Pos L]],Table1[[#This Row],[New Pos R]])</f>
        <v>12</v>
      </c>
    </row>
    <row r="4174" spans="1:6" ht="16" x14ac:dyDescent="0.2">
      <c r="A4174" s="1" t="s">
        <v>617</v>
      </c>
      <c r="B4174" t="str">
        <f>LEFT(Table1[[#This Row],[Input]],1)</f>
        <v>L</v>
      </c>
      <c r="C4174">
        <f>_xlfn.LET(_xlpm.steps,SUBSTITUTE(Table1[[#This Row],[Input]],Table1[[#This Row],[Direction]],""),VALUE(IF(LEN(_xlpm.steps)&gt;2,RIGHT(_xlpm.steps,2),_xlpm.steps)))</f>
        <v>24</v>
      </c>
      <c r="D4174">
        <f>_xlfn.LET(_xlpm.dir,Table1[[#This Row],[Direction]],
IF(_xlpm.dir="L",
    IF(F4173-Table1[[#This Row],[Steps]]&lt;0,100+(F4173-Table1[[#This Row],[Steps]]),F4173-Table1[[#This Row],[Steps]]),
))</f>
        <v>88</v>
      </c>
      <c r="E4174">
        <f>_xlfn.LET(_xlpm.dir,Table1[[#This Row],[Direction]],
IF(_xlpm.dir="R",
    IF(F4173+Table1[[#This Row],[Steps]]&gt;99,(F4173+Table1[[#This Row],[Steps]])-100,F4173+Table1[[#This Row],[Steps]]),
))</f>
        <v>0</v>
      </c>
      <c r="F4174">
        <f>IF(Table1[[#This Row],[New Pos L]]&lt;&gt;0,Table1[[#This Row],[New Pos L]],Table1[[#This Row],[New Pos R]])</f>
        <v>88</v>
      </c>
    </row>
    <row r="4175" spans="1:6" ht="16" x14ac:dyDescent="0.2">
      <c r="A4175" s="1" t="s">
        <v>131</v>
      </c>
      <c r="B4175" t="str">
        <f>LEFT(Table1[[#This Row],[Input]],1)</f>
        <v>R</v>
      </c>
      <c r="C4175">
        <f>_xlfn.LET(_xlpm.steps,SUBSTITUTE(Table1[[#This Row],[Input]],Table1[[#This Row],[Direction]],""),VALUE(IF(LEN(_xlpm.steps)&gt;2,RIGHT(_xlpm.steps,2),_xlpm.steps)))</f>
        <v>99</v>
      </c>
      <c r="D4175">
        <f>_xlfn.LET(_xlpm.dir,Table1[[#This Row],[Direction]],
IF(_xlpm.dir="L",
    IF(F4174-Table1[[#This Row],[Steps]]&lt;0,100+(F4174-Table1[[#This Row],[Steps]]),F4174-Table1[[#This Row],[Steps]]),
))</f>
        <v>0</v>
      </c>
      <c r="E4175">
        <f>_xlfn.LET(_xlpm.dir,Table1[[#This Row],[Direction]],
IF(_xlpm.dir="R",
    IF(F4174+Table1[[#This Row],[Steps]]&gt;99,(F4174+Table1[[#This Row],[Steps]])-100,F4174+Table1[[#This Row],[Steps]]),
))</f>
        <v>87</v>
      </c>
      <c r="F4175">
        <f>IF(Table1[[#This Row],[New Pos L]]&lt;&gt;0,Table1[[#This Row],[New Pos L]],Table1[[#This Row],[New Pos R]])</f>
        <v>87</v>
      </c>
    </row>
    <row r="4176" spans="1:6" ht="16" x14ac:dyDescent="0.2">
      <c r="A4176" s="1" t="s">
        <v>181</v>
      </c>
      <c r="B4176" t="str">
        <f>LEFT(Table1[[#This Row],[Input]],1)</f>
        <v>L</v>
      </c>
      <c r="C4176">
        <f>_xlfn.LET(_xlpm.steps,SUBSTITUTE(Table1[[#This Row],[Input]],Table1[[#This Row],[Direction]],""),VALUE(IF(LEN(_xlpm.steps)&gt;2,RIGHT(_xlpm.steps,2),_xlpm.steps)))</f>
        <v>53</v>
      </c>
      <c r="D4176">
        <f>_xlfn.LET(_xlpm.dir,Table1[[#This Row],[Direction]],
IF(_xlpm.dir="L",
    IF(F4175-Table1[[#This Row],[Steps]]&lt;0,100+(F4175-Table1[[#This Row],[Steps]]),F4175-Table1[[#This Row],[Steps]]),
))</f>
        <v>34</v>
      </c>
      <c r="E4176">
        <f>_xlfn.LET(_xlpm.dir,Table1[[#This Row],[Direction]],
IF(_xlpm.dir="R",
    IF(F4175+Table1[[#This Row],[Steps]]&gt;99,(F4175+Table1[[#This Row],[Steps]])-100,F4175+Table1[[#This Row],[Steps]]),
))</f>
        <v>0</v>
      </c>
      <c r="F4176">
        <f>IF(Table1[[#This Row],[New Pos L]]&lt;&gt;0,Table1[[#This Row],[New Pos L]],Table1[[#This Row],[New Pos R]])</f>
        <v>34</v>
      </c>
    </row>
    <row r="4177" spans="1:6" ht="16" x14ac:dyDescent="0.2">
      <c r="A4177" s="1" t="s">
        <v>83</v>
      </c>
      <c r="B4177" t="str">
        <f>LEFT(Table1[[#This Row],[Input]],1)</f>
        <v>R</v>
      </c>
      <c r="C4177">
        <f>_xlfn.LET(_xlpm.steps,SUBSTITUTE(Table1[[#This Row],[Input]],Table1[[#This Row],[Direction]],""),VALUE(IF(LEN(_xlpm.steps)&gt;2,RIGHT(_xlpm.steps,2),_xlpm.steps)))</f>
        <v>79</v>
      </c>
      <c r="D4177">
        <f>_xlfn.LET(_xlpm.dir,Table1[[#This Row],[Direction]],
IF(_xlpm.dir="L",
    IF(F4176-Table1[[#This Row],[Steps]]&lt;0,100+(F4176-Table1[[#This Row],[Steps]]),F4176-Table1[[#This Row],[Steps]]),
))</f>
        <v>0</v>
      </c>
      <c r="E4177">
        <f>_xlfn.LET(_xlpm.dir,Table1[[#This Row],[Direction]],
IF(_xlpm.dir="R",
    IF(F4176+Table1[[#This Row],[Steps]]&gt;99,(F4176+Table1[[#This Row],[Steps]])-100,F4176+Table1[[#This Row],[Steps]]),
))</f>
        <v>13</v>
      </c>
      <c r="F4177">
        <f>IF(Table1[[#This Row],[New Pos L]]&lt;&gt;0,Table1[[#This Row],[New Pos L]],Table1[[#This Row],[New Pos R]])</f>
        <v>13</v>
      </c>
    </row>
    <row r="4178" spans="1:6" ht="16" x14ac:dyDescent="0.2">
      <c r="A4178" s="1" t="s">
        <v>31</v>
      </c>
      <c r="B4178" t="str">
        <f>LEFT(Table1[[#This Row],[Input]],1)</f>
        <v>L</v>
      </c>
      <c r="C4178">
        <f>_xlfn.LET(_xlpm.steps,SUBSTITUTE(Table1[[#This Row],[Input]],Table1[[#This Row],[Direction]],""),VALUE(IF(LEN(_xlpm.steps)&gt;2,RIGHT(_xlpm.steps,2),_xlpm.steps)))</f>
        <v>13</v>
      </c>
      <c r="D4178">
        <f>_xlfn.LET(_xlpm.dir,Table1[[#This Row],[Direction]],
IF(_xlpm.dir="L",
    IF(F4177-Table1[[#This Row],[Steps]]&lt;0,100+(F4177-Table1[[#This Row],[Steps]]),F4177-Table1[[#This Row],[Steps]]),
))</f>
        <v>0</v>
      </c>
      <c r="E4178">
        <f>_xlfn.LET(_xlpm.dir,Table1[[#This Row],[Direction]],
IF(_xlpm.dir="R",
    IF(F4177+Table1[[#This Row],[Steps]]&gt;99,(F4177+Table1[[#This Row],[Steps]])-100,F4177+Table1[[#This Row],[Steps]]),
))</f>
        <v>0</v>
      </c>
      <c r="F4178">
        <f>IF(Table1[[#This Row],[New Pos L]]&lt;&gt;0,Table1[[#This Row],[New Pos L]],Table1[[#This Row],[New Pos R]])</f>
        <v>0</v>
      </c>
    </row>
    <row r="4179" spans="1:6" ht="16" x14ac:dyDescent="0.2">
      <c r="A4179" s="1" t="s">
        <v>43</v>
      </c>
      <c r="B4179" t="str">
        <f>LEFT(Table1[[#This Row],[Input]],1)</f>
        <v>R</v>
      </c>
      <c r="C4179">
        <f>_xlfn.LET(_xlpm.steps,SUBSTITUTE(Table1[[#This Row],[Input]],Table1[[#This Row],[Direction]],""),VALUE(IF(LEN(_xlpm.steps)&gt;2,RIGHT(_xlpm.steps,2),_xlpm.steps)))</f>
        <v>90</v>
      </c>
      <c r="D4179">
        <f>_xlfn.LET(_xlpm.dir,Table1[[#This Row],[Direction]],
IF(_xlpm.dir="L",
    IF(F4178-Table1[[#This Row],[Steps]]&lt;0,100+(F4178-Table1[[#This Row],[Steps]]),F4178-Table1[[#This Row],[Steps]]),
))</f>
        <v>0</v>
      </c>
      <c r="E4179">
        <f>_xlfn.LET(_xlpm.dir,Table1[[#This Row],[Direction]],
IF(_xlpm.dir="R",
    IF(F4178+Table1[[#This Row],[Steps]]&gt;99,(F4178+Table1[[#This Row],[Steps]])-100,F4178+Table1[[#This Row],[Steps]]),
))</f>
        <v>90</v>
      </c>
      <c r="F4179">
        <f>IF(Table1[[#This Row],[New Pos L]]&lt;&gt;0,Table1[[#This Row],[New Pos L]],Table1[[#This Row],[New Pos R]])</f>
        <v>90</v>
      </c>
    </row>
    <row r="4180" spans="1:6" ht="16" x14ac:dyDescent="0.2">
      <c r="A4180" s="1" t="s">
        <v>206</v>
      </c>
      <c r="B4180" t="str">
        <f>LEFT(Table1[[#This Row],[Input]],1)</f>
        <v>R</v>
      </c>
      <c r="C4180">
        <f>_xlfn.LET(_xlpm.steps,SUBSTITUTE(Table1[[#This Row],[Input]],Table1[[#This Row],[Direction]],""),VALUE(IF(LEN(_xlpm.steps)&gt;2,RIGHT(_xlpm.steps,2),_xlpm.steps)))</f>
        <v>62</v>
      </c>
      <c r="D4180">
        <f>_xlfn.LET(_xlpm.dir,Table1[[#This Row],[Direction]],
IF(_xlpm.dir="L",
    IF(F4179-Table1[[#This Row],[Steps]]&lt;0,100+(F4179-Table1[[#This Row],[Steps]]),F4179-Table1[[#This Row],[Steps]]),
))</f>
        <v>0</v>
      </c>
      <c r="E4180">
        <f>_xlfn.LET(_xlpm.dir,Table1[[#This Row],[Direction]],
IF(_xlpm.dir="R",
    IF(F4179+Table1[[#This Row],[Steps]]&gt;99,(F4179+Table1[[#This Row],[Steps]])-100,F4179+Table1[[#This Row],[Steps]]),
))</f>
        <v>52</v>
      </c>
      <c r="F4180">
        <f>IF(Table1[[#This Row],[New Pos L]]&lt;&gt;0,Table1[[#This Row],[New Pos L]],Table1[[#This Row],[New Pos R]])</f>
        <v>52</v>
      </c>
    </row>
    <row r="4181" spans="1:6" ht="16" x14ac:dyDescent="0.2">
      <c r="A4181" s="1" t="s">
        <v>50</v>
      </c>
      <c r="B4181" t="str">
        <f>LEFT(Table1[[#This Row],[Input]],1)</f>
        <v>R</v>
      </c>
      <c r="C4181">
        <f>_xlfn.LET(_xlpm.steps,SUBSTITUTE(Table1[[#This Row],[Input]],Table1[[#This Row],[Direction]],""),VALUE(IF(LEN(_xlpm.steps)&gt;2,RIGHT(_xlpm.steps,2),_xlpm.steps)))</f>
        <v>78</v>
      </c>
      <c r="D4181">
        <f>_xlfn.LET(_xlpm.dir,Table1[[#This Row],[Direction]],
IF(_xlpm.dir="L",
    IF(F4180-Table1[[#This Row],[Steps]]&lt;0,100+(F4180-Table1[[#This Row],[Steps]]),F4180-Table1[[#This Row],[Steps]]),
))</f>
        <v>0</v>
      </c>
      <c r="E4181">
        <f>_xlfn.LET(_xlpm.dir,Table1[[#This Row],[Direction]],
IF(_xlpm.dir="R",
    IF(F4180+Table1[[#This Row],[Steps]]&gt;99,(F4180+Table1[[#This Row],[Steps]])-100,F4180+Table1[[#This Row],[Steps]]),
))</f>
        <v>30</v>
      </c>
      <c r="F4181">
        <f>IF(Table1[[#This Row],[New Pos L]]&lt;&gt;0,Table1[[#This Row],[New Pos L]],Table1[[#This Row],[New Pos R]])</f>
        <v>30</v>
      </c>
    </row>
    <row r="4182" spans="1:6" ht="16" x14ac:dyDescent="0.2">
      <c r="A4182" s="1" t="s">
        <v>33</v>
      </c>
      <c r="B4182" t="str">
        <f>LEFT(Table1[[#This Row],[Input]],1)</f>
        <v>R</v>
      </c>
      <c r="C4182">
        <f>_xlfn.LET(_xlpm.steps,SUBSTITUTE(Table1[[#This Row],[Input]],Table1[[#This Row],[Direction]],""),VALUE(IF(LEN(_xlpm.steps)&gt;2,RIGHT(_xlpm.steps,2),_xlpm.steps)))</f>
        <v>22</v>
      </c>
      <c r="D4182">
        <f>_xlfn.LET(_xlpm.dir,Table1[[#This Row],[Direction]],
IF(_xlpm.dir="L",
    IF(F4181-Table1[[#This Row],[Steps]]&lt;0,100+(F4181-Table1[[#This Row],[Steps]]),F4181-Table1[[#This Row],[Steps]]),
))</f>
        <v>0</v>
      </c>
      <c r="E4182">
        <f>_xlfn.LET(_xlpm.dir,Table1[[#This Row],[Direction]],
IF(_xlpm.dir="R",
    IF(F4181+Table1[[#This Row],[Steps]]&gt;99,(F4181+Table1[[#This Row],[Steps]])-100,F4181+Table1[[#This Row],[Steps]]),
))</f>
        <v>52</v>
      </c>
      <c r="F4182">
        <f>IF(Table1[[#This Row],[New Pos L]]&lt;&gt;0,Table1[[#This Row],[New Pos L]],Table1[[#This Row],[New Pos R]])</f>
        <v>52</v>
      </c>
    </row>
    <row r="4183" spans="1:6" ht="16" x14ac:dyDescent="0.2">
      <c r="A4183" s="1" t="s">
        <v>158</v>
      </c>
      <c r="B4183" t="str">
        <f>LEFT(Table1[[#This Row],[Input]],1)</f>
        <v>L</v>
      </c>
      <c r="C4183">
        <f>_xlfn.LET(_xlpm.steps,SUBSTITUTE(Table1[[#This Row],[Input]],Table1[[#This Row],[Direction]],""),VALUE(IF(LEN(_xlpm.steps)&gt;2,RIGHT(_xlpm.steps,2),_xlpm.steps)))</f>
        <v>24</v>
      </c>
      <c r="D4183">
        <f>_xlfn.LET(_xlpm.dir,Table1[[#This Row],[Direction]],
IF(_xlpm.dir="L",
    IF(F4182-Table1[[#This Row],[Steps]]&lt;0,100+(F4182-Table1[[#This Row],[Steps]]),F4182-Table1[[#This Row],[Steps]]),
))</f>
        <v>28</v>
      </c>
      <c r="E4183">
        <f>_xlfn.LET(_xlpm.dir,Table1[[#This Row],[Direction]],
IF(_xlpm.dir="R",
    IF(F4182+Table1[[#This Row],[Steps]]&gt;99,(F4182+Table1[[#This Row],[Steps]])-100,F4182+Table1[[#This Row],[Steps]]),
))</f>
        <v>0</v>
      </c>
      <c r="F4183">
        <f>IF(Table1[[#This Row],[New Pos L]]&lt;&gt;0,Table1[[#This Row],[New Pos L]],Table1[[#This Row],[New Pos R]])</f>
        <v>28</v>
      </c>
    </row>
    <row r="4184" spans="1:6" ht="16" x14ac:dyDescent="0.2">
      <c r="A4184" s="1" t="s">
        <v>32</v>
      </c>
      <c r="B4184" t="str">
        <f>LEFT(Table1[[#This Row],[Input]],1)</f>
        <v>L</v>
      </c>
      <c r="C4184">
        <f>_xlfn.LET(_xlpm.steps,SUBSTITUTE(Table1[[#This Row],[Input]],Table1[[#This Row],[Direction]],""),VALUE(IF(LEN(_xlpm.steps)&gt;2,RIGHT(_xlpm.steps,2),_xlpm.steps)))</f>
        <v>28</v>
      </c>
      <c r="D4184">
        <f>_xlfn.LET(_xlpm.dir,Table1[[#This Row],[Direction]],
IF(_xlpm.dir="L",
    IF(F4183-Table1[[#This Row],[Steps]]&lt;0,100+(F4183-Table1[[#This Row],[Steps]]),F4183-Table1[[#This Row],[Steps]]),
))</f>
        <v>0</v>
      </c>
      <c r="E4184">
        <f>_xlfn.LET(_xlpm.dir,Table1[[#This Row],[Direction]],
IF(_xlpm.dir="R",
    IF(F4183+Table1[[#This Row],[Steps]]&gt;99,(F4183+Table1[[#This Row],[Steps]])-100,F4183+Table1[[#This Row],[Steps]]),
))</f>
        <v>0</v>
      </c>
      <c r="F4184">
        <f>IF(Table1[[#This Row],[New Pos L]]&lt;&gt;0,Table1[[#This Row],[New Pos L]],Table1[[#This Row],[New Pos R]])</f>
        <v>0</v>
      </c>
    </row>
    <row r="4185" spans="1:6" ht="16" x14ac:dyDescent="0.2">
      <c r="A4185" s="1" t="s">
        <v>846</v>
      </c>
      <c r="B4185" t="str">
        <f>LEFT(Table1[[#This Row],[Input]],1)</f>
        <v>R</v>
      </c>
      <c r="C4185">
        <f>_xlfn.LET(_xlpm.steps,SUBSTITUTE(Table1[[#This Row],[Input]],Table1[[#This Row],[Direction]],""),VALUE(IF(LEN(_xlpm.steps)&gt;2,RIGHT(_xlpm.steps,2),_xlpm.steps)))</f>
        <v>27</v>
      </c>
      <c r="D4185">
        <f>_xlfn.LET(_xlpm.dir,Table1[[#This Row],[Direction]],
IF(_xlpm.dir="L",
    IF(F4184-Table1[[#This Row],[Steps]]&lt;0,100+(F4184-Table1[[#This Row],[Steps]]),F4184-Table1[[#This Row],[Steps]]),
))</f>
        <v>0</v>
      </c>
      <c r="E4185">
        <f>_xlfn.LET(_xlpm.dir,Table1[[#This Row],[Direction]],
IF(_xlpm.dir="R",
    IF(F4184+Table1[[#This Row],[Steps]]&gt;99,(F4184+Table1[[#This Row],[Steps]])-100,F4184+Table1[[#This Row],[Steps]]),
))</f>
        <v>27</v>
      </c>
      <c r="F4185">
        <f>IF(Table1[[#This Row],[New Pos L]]&lt;&gt;0,Table1[[#This Row],[New Pos L]],Table1[[#This Row],[New Pos R]])</f>
        <v>27</v>
      </c>
    </row>
    <row r="4186" spans="1:6" ht="16" x14ac:dyDescent="0.2">
      <c r="A4186" s="1" t="s">
        <v>175</v>
      </c>
      <c r="B4186" t="str">
        <f>LEFT(Table1[[#This Row],[Input]],1)</f>
        <v>L</v>
      </c>
      <c r="C4186">
        <f>_xlfn.LET(_xlpm.steps,SUBSTITUTE(Table1[[#This Row],[Input]],Table1[[#This Row],[Direction]],""),VALUE(IF(LEN(_xlpm.steps)&gt;2,RIGHT(_xlpm.steps,2),_xlpm.steps)))</f>
        <v>1</v>
      </c>
      <c r="D4186">
        <f>_xlfn.LET(_xlpm.dir,Table1[[#This Row],[Direction]],
IF(_xlpm.dir="L",
    IF(F4185-Table1[[#This Row],[Steps]]&lt;0,100+(F4185-Table1[[#This Row],[Steps]]),F4185-Table1[[#This Row],[Steps]]),
))</f>
        <v>26</v>
      </c>
      <c r="E4186">
        <f>_xlfn.LET(_xlpm.dir,Table1[[#This Row],[Direction]],
IF(_xlpm.dir="R",
    IF(F4185+Table1[[#This Row],[Steps]]&gt;99,(F4185+Table1[[#This Row],[Steps]])-100,F4185+Table1[[#This Row],[Steps]]),
))</f>
        <v>0</v>
      </c>
      <c r="F4186">
        <f>IF(Table1[[#This Row],[New Pos L]]&lt;&gt;0,Table1[[#This Row],[New Pos L]],Table1[[#This Row],[New Pos R]])</f>
        <v>26</v>
      </c>
    </row>
    <row r="4187" spans="1:6" ht="16" x14ac:dyDescent="0.2">
      <c r="A4187" s="1" t="s">
        <v>357</v>
      </c>
      <c r="B4187" t="str">
        <f>LEFT(Table1[[#This Row],[Input]],1)</f>
        <v>R</v>
      </c>
      <c r="C4187">
        <f>_xlfn.LET(_xlpm.steps,SUBSTITUTE(Table1[[#This Row],[Input]],Table1[[#This Row],[Direction]],""),VALUE(IF(LEN(_xlpm.steps)&gt;2,RIGHT(_xlpm.steps,2),_xlpm.steps)))</f>
        <v>72</v>
      </c>
      <c r="D4187">
        <f>_xlfn.LET(_xlpm.dir,Table1[[#This Row],[Direction]],
IF(_xlpm.dir="L",
    IF(F4186-Table1[[#This Row],[Steps]]&lt;0,100+(F4186-Table1[[#This Row],[Steps]]),F4186-Table1[[#This Row],[Steps]]),
))</f>
        <v>0</v>
      </c>
      <c r="E4187">
        <f>_xlfn.LET(_xlpm.dir,Table1[[#This Row],[Direction]],
IF(_xlpm.dir="R",
    IF(F4186+Table1[[#This Row],[Steps]]&gt;99,(F4186+Table1[[#This Row],[Steps]])-100,F4186+Table1[[#This Row],[Steps]]),
))</f>
        <v>98</v>
      </c>
      <c r="F4187">
        <f>IF(Table1[[#This Row],[New Pos L]]&lt;&gt;0,Table1[[#This Row],[New Pos L]],Table1[[#This Row],[New Pos R]])</f>
        <v>98</v>
      </c>
    </row>
    <row r="4188" spans="1:6" ht="16" x14ac:dyDescent="0.2">
      <c r="A4188" s="1" t="s">
        <v>46</v>
      </c>
      <c r="B4188" t="str">
        <f>LEFT(Table1[[#This Row],[Input]],1)</f>
        <v>L</v>
      </c>
      <c r="C4188">
        <f>_xlfn.LET(_xlpm.steps,SUBSTITUTE(Table1[[#This Row],[Input]],Table1[[#This Row],[Direction]],""),VALUE(IF(LEN(_xlpm.steps)&gt;2,RIGHT(_xlpm.steps,2),_xlpm.steps)))</f>
        <v>97</v>
      </c>
      <c r="D4188">
        <f>_xlfn.LET(_xlpm.dir,Table1[[#This Row],[Direction]],
IF(_xlpm.dir="L",
    IF(F4187-Table1[[#This Row],[Steps]]&lt;0,100+(F4187-Table1[[#This Row],[Steps]]),F4187-Table1[[#This Row],[Steps]]),
))</f>
        <v>1</v>
      </c>
      <c r="E4188">
        <f>_xlfn.LET(_xlpm.dir,Table1[[#This Row],[Direction]],
IF(_xlpm.dir="R",
    IF(F4187+Table1[[#This Row],[Steps]]&gt;99,(F4187+Table1[[#This Row],[Steps]])-100,F4187+Table1[[#This Row],[Steps]]),
))</f>
        <v>0</v>
      </c>
      <c r="F4188">
        <f>IF(Table1[[#This Row],[New Pos L]]&lt;&gt;0,Table1[[#This Row],[New Pos L]],Table1[[#This Row],[New Pos R]])</f>
        <v>1</v>
      </c>
    </row>
    <row r="4189" spans="1:6" ht="16" x14ac:dyDescent="0.2">
      <c r="A4189" s="1" t="s">
        <v>131</v>
      </c>
      <c r="B4189" t="str">
        <f>LEFT(Table1[[#This Row],[Input]],1)</f>
        <v>R</v>
      </c>
      <c r="C4189">
        <f>_xlfn.LET(_xlpm.steps,SUBSTITUTE(Table1[[#This Row],[Input]],Table1[[#This Row],[Direction]],""),VALUE(IF(LEN(_xlpm.steps)&gt;2,RIGHT(_xlpm.steps,2),_xlpm.steps)))</f>
        <v>99</v>
      </c>
      <c r="D4189">
        <f>_xlfn.LET(_xlpm.dir,Table1[[#This Row],[Direction]],
IF(_xlpm.dir="L",
    IF(F4188-Table1[[#This Row],[Steps]]&lt;0,100+(F4188-Table1[[#This Row],[Steps]]),F4188-Table1[[#This Row],[Steps]]),
))</f>
        <v>0</v>
      </c>
      <c r="E4189">
        <f>_xlfn.LET(_xlpm.dir,Table1[[#This Row],[Direction]],
IF(_xlpm.dir="R",
    IF(F4188+Table1[[#This Row],[Steps]]&gt;99,(F4188+Table1[[#This Row],[Steps]])-100,F4188+Table1[[#This Row],[Steps]]),
))</f>
        <v>0</v>
      </c>
      <c r="F4189">
        <f>IF(Table1[[#This Row],[New Pos L]]&lt;&gt;0,Table1[[#This Row],[New Pos L]],Table1[[#This Row],[New Pos R]])</f>
        <v>0</v>
      </c>
    </row>
    <row r="4190" spans="1:6" ht="16" x14ac:dyDescent="0.2">
      <c r="A4190" s="1" t="s">
        <v>847</v>
      </c>
      <c r="B4190" t="str">
        <f>LEFT(Table1[[#This Row],[Input]],1)</f>
        <v>L</v>
      </c>
      <c r="C4190">
        <f>_xlfn.LET(_xlpm.steps,SUBSTITUTE(Table1[[#This Row],[Input]],Table1[[#This Row],[Direction]],""),VALUE(IF(LEN(_xlpm.steps)&gt;2,RIGHT(_xlpm.steps,2),_xlpm.steps)))</f>
        <v>5</v>
      </c>
      <c r="D4190">
        <f>_xlfn.LET(_xlpm.dir,Table1[[#This Row],[Direction]],
IF(_xlpm.dir="L",
    IF(F4189-Table1[[#This Row],[Steps]]&lt;0,100+(F4189-Table1[[#This Row],[Steps]]),F4189-Table1[[#This Row],[Steps]]),
))</f>
        <v>95</v>
      </c>
      <c r="E4190">
        <f>_xlfn.LET(_xlpm.dir,Table1[[#This Row],[Direction]],
IF(_xlpm.dir="R",
    IF(F4189+Table1[[#This Row],[Steps]]&gt;99,(F4189+Table1[[#This Row],[Steps]])-100,F4189+Table1[[#This Row],[Steps]]),
))</f>
        <v>0</v>
      </c>
      <c r="F4190">
        <f>IF(Table1[[#This Row],[New Pos L]]&lt;&gt;0,Table1[[#This Row],[New Pos L]],Table1[[#This Row],[New Pos R]])</f>
        <v>95</v>
      </c>
    </row>
    <row r="4191" spans="1:6" ht="16" x14ac:dyDescent="0.2">
      <c r="A4191" s="1" t="s">
        <v>58</v>
      </c>
      <c r="B4191" t="str">
        <f>LEFT(Table1[[#This Row],[Input]],1)</f>
        <v>L</v>
      </c>
      <c r="C4191">
        <f>_xlfn.LET(_xlpm.steps,SUBSTITUTE(Table1[[#This Row],[Input]],Table1[[#This Row],[Direction]],""),VALUE(IF(LEN(_xlpm.steps)&gt;2,RIGHT(_xlpm.steps,2),_xlpm.steps)))</f>
        <v>30</v>
      </c>
      <c r="D4191">
        <f>_xlfn.LET(_xlpm.dir,Table1[[#This Row],[Direction]],
IF(_xlpm.dir="L",
    IF(F4190-Table1[[#This Row],[Steps]]&lt;0,100+(F4190-Table1[[#This Row],[Steps]]),F4190-Table1[[#This Row],[Steps]]),
))</f>
        <v>65</v>
      </c>
      <c r="E4191">
        <f>_xlfn.LET(_xlpm.dir,Table1[[#This Row],[Direction]],
IF(_xlpm.dir="R",
    IF(F4190+Table1[[#This Row],[Steps]]&gt;99,(F4190+Table1[[#This Row],[Steps]])-100,F4190+Table1[[#This Row],[Steps]]),
))</f>
        <v>0</v>
      </c>
      <c r="F4191">
        <f>IF(Table1[[#This Row],[New Pos L]]&lt;&gt;0,Table1[[#This Row],[New Pos L]],Table1[[#This Row],[New Pos R]])</f>
        <v>65</v>
      </c>
    </row>
    <row r="4192" spans="1:6" ht="16" x14ac:dyDescent="0.2">
      <c r="A4192" s="1" t="s">
        <v>98</v>
      </c>
      <c r="B4192" t="str">
        <f>LEFT(Table1[[#This Row],[Input]],1)</f>
        <v>L</v>
      </c>
      <c r="C4192">
        <f>_xlfn.LET(_xlpm.steps,SUBSTITUTE(Table1[[#This Row],[Input]],Table1[[#This Row],[Direction]],""),VALUE(IF(LEN(_xlpm.steps)&gt;2,RIGHT(_xlpm.steps,2),_xlpm.steps)))</f>
        <v>65</v>
      </c>
      <c r="D4192">
        <f>_xlfn.LET(_xlpm.dir,Table1[[#This Row],[Direction]],
IF(_xlpm.dir="L",
    IF(F4191-Table1[[#This Row],[Steps]]&lt;0,100+(F4191-Table1[[#This Row],[Steps]]),F4191-Table1[[#This Row],[Steps]]),
))</f>
        <v>0</v>
      </c>
      <c r="E4192">
        <f>_xlfn.LET(_xlpm.dir,Table1[[#This Row],[Direction]],
IF(_xlpm.dir="R",
    IF(F4191+Table1[[#This Row],[Steps]]&gt;99,(F4191+Table1[[#This Row],[Steps]])-100,F4191+Table1[[#This Row],[Steps]]),
))</f>
        <v>0</v>
      </c>
      <c r="F4192">
        <f>IF(Table1[[#This Row],[New Pos L]]&lt;&gt;0,Table1[[#This Row],[New Pos L]],Table1[[#This Row],[New Pos R]])</f>
        <v>0</v>
      </c>
    </row>
    <row r="4193" spans="1:6" ht="16" x14ac:dyDescent="0.2">
      <c r="A4193" s="1" t="s">
        <v>79</v>
      </c>
      <c r="B4193" t="str">
        <f>LEFT(Table1[[#This Row],[Input]],1)</f>
        <v>L</v>
      </c>
      <c r="C4193">
        <f>_xlfn.LET(_xlpm.steps,SUBSTITUTE(Table1[[#This Row],[Input]],Table1[[#This Row],[Direction]],""),VALUE(IF(LEN(_xlpm.steps)&gt;2,RIGHT(_xlpm.steps,2),_xlpm.steps)))</f>
        <v>45</v>
      </c>
      <c r="D4193">
        <f>_xlfn.LET(_xlpm.dir,Table1[[#This Row],[Direction]],
IF(_xlpm.dir="L",
    IF(F4192-Table1[[#This Row],[Steps]]&lt;0,100+(F4192-Table1[[#This Row],[Steps]]),F4192-Table1[[#This Row],[Steps]]),
))</f>
        <v>55</v>
      </c>
      <c r="E4193">
        <f>_xlfn.LET(_xlpm.dir,Table1[[#This Row],[Direction]],
IF(_xlpm.dir="R",
    IF(F4192+Table1[[#This Row],[Steps]]&gt;99,(F4192+Table1[[#This Row],[Steps]])-100,F4192+Table1[[#This Row],[Steps]]),
))</f>
        <v>0</v>
      </c>
      <c r="F4193">
        <f>IF(Table1[[#This Row],[New Pos L]]&lt;&gt;0,Table1[[#This Row],[New Pos L]],Table1[[#This Row],[New Pos R]])</f>
        <v>55</v>
      </c>
    </row>
    <row r="4194" spans="1:6" ht="16" x14ac:dyDescent="0.2">
      <c r="A4194" s="1" t="s">
        <v>82</v>
      </c>
      <c r="B4194" t="str">
        <f>LEFT(Table1[[#This Row],[Input]],1)</f>
        <v>L</v>
      </c>
      <c r="C4194">
        <f>_xlfn.LET(_xlpm.steps,SUBSTITUTE(Table1[[#This Row],[Input]],Table1[[#This Row],[Direction]],""),VALUE(IF(LEN(_xlpm.steps)&gt;2,RIGHT(_xlpm.steps,2),_xlpm.steps)))</f>
        <v>55</v>
      </c>
      <c r="D4194">
        <f>_xlfn.LET(_xlpm.dir,Table1[[#This Row],[Direction]],
IF(_xlpm.dir="L",
    IF(F4193-Table1[[#This Row],[Steps]]&lt;0,100+(F4193-Table1[[#This Row],[Steps]]),F4193-Table1[[#This Row],[Steps]]),
))</f>
        <v>0</v>
      </c>
      <c r="E4194">
        <f>_xlfn.LET(_xlpm.dir,Table1[[#This Row],[Direction]],
IF(_xlpm.dir="R",
    IF(F4193+Table1[[#This Row],[Steps]]&gt;99,(F4193+Table1[[#This Row],[Steps]])-100,F4193+Table1[[#This Row],[Steps]]),
))</f>
        <v>0</v>
      </c>
      <c r="F4194">
        <f>IF(Table1[[#This Row],[New Pos L]]&lt;&gt;0,Table1[[#This Row],[New Pos L]],Table1[[#This Row],[New Pos R]])</f>
        <v>0</v>
      </c>
    </row>
    <row r="4195" spans="1:6" ht="16" x14ac:dyDescent="0.2">
      <c r="A4195" s="1" t="s">
        <v>4</v>
      </c>
      <c r="B4195" t="str">
        <f>LEFT(Table1[[#This Row],[Input]],1)</f>
        <v>R</v>
      </c>
      <c r="C4195">
        <f>_xlfn.LET(_xlpm.steps,SUBSTITUTE(Table1[[#This Row],[Input]],Table1[[#This Row],[Direction]],""),VALUE(IF(LEN(_xlpm.steps)&gt;2,RIGHT(_xlpm.steps,2),_xlpm.steps)))</f>
        <v>3</v>
      </c>
      <c r="D4195">
        <f>_xlfn.LET(_xlpm.dir,Table1[[#This Row],[Direction]],
IF(_xlpm.dir="L",
    IF(F4194-Table1[[#This Row],[Steps]]&lt;0,100+(F4194-Table1[[#This Row],[Steps]]),F4194-Table1[[#This Row],[Steps]]),
))</f>
        <v>0</v>
      </c>
      <c r="E4195">
        <f>_xlfn.LET(_xlpm.dir,Table1[[#This Row],[Direction]],
IF(_xlpm.dir="R",
    IF(F4194+Table1[[#This Row],[Steps]]&gt;99,(F4194+Table1[[#This Row],[Steps]])-100,F4194+Table1[[#This Row],[Steps]]),
))</f>
        <v>3</v>
      </c>
      <c r="F4195">
        <f>IF(Table1[[#This Row],[New Pos L]]&lt;&gt;0,Table1[[#This Row],[New Pos L]],Table1[[#This Row],[New Pos R]])</f>
        <v>3</v>
      </c>
    </row>
    <row r="4196" spans="1:6" ht="16" x14ac:dyDescent="0.2">
      <c r="A4196" s="1" t="s">
        <v>357</v>
      </c>
      <c r="B4196" t="str">
        <f>LEFT(Table1[[#This Row],[Input]],1)</f>
        <v>R</v>
      </c>
      <c r="C4196">
        <f>_xlfn.LET(_xlpm.steps,SUBSTITUTE(Table1[[#This Row],[Input]],Table1[[#This Row],[Direction]],""),VALUE(IF(LEN(_xlpm.steps)&gt;2,RIGHT(_xlpm.steps,2),_xlpm.steps)))</f>
        <v>72</v>
      </c>
      <c r="D4196">
        <f>_xlfn.LET(_xlpm.dir,Table1[[#This Row],[Direction]],
IF(_xlpm.dir="L",
    IF(F4195-Table1[[#This Row],[Steps]]&lt;0,100+(F4195-Table1[[#This Row],[Steps]]),F4195-Table1[[#This Row],[Steps]]),
))</f>
        <v>0</v>
      </c>
      <c r="E4196">
        <f>_xlfn.LET(_xlpm.dir,Table1[[#This Row],[Direction]],
IF(_xlpm.dir="R",
    IF(F4195+Table1[[#This Row],[Steps]]&gt;99,(F4195+Table1[[#This Row],[Steps]])-100,F4195+Table1[[#This Row],[Steps]]),
))</f>
        <v>75</v>
      </c>
      <c r="F4196">
        <f>IF(Table1[[#This Row],[New Pos L]]&lt;&gt;0,Table1[[#This Row],[New Pos L]],Table1[[#This Row],[New Pos R]])</f>
        <v>75</v>
      </c>
    </row>
    <row r="4197" spans="1:6" ht="16" x14ac:dyDescent="0.2">
      <c r="A4197" s="1" t="s">
        <v>54</v>
      </c>
      <c r="B4197" t="str">
        <f>LEFT(Table1[[#This Row],[Input]],1)</f>
        <v>L</v>
      </c>
      <c r="C4197">
        <f>_xlfn.LET(_xlpm.steps,SUBSTITUTE(Table1[[#This Row],[Input]],Table1[[#This Row],[Direction]],""),VALUE(IF(LEN(_xlpm.steps)&gt;2,RIGHT(_xlpm.steps,2),_xlpm.steps)))</f>
        <v>75</v>
      </c>
      <c r="D4197">
        <f>_xlfn.LET(_xlpm.dir,Table1[[#This Row],[Direction]],
IF(_xlpm.dir="L",
    IF(F4196-Table1[[#This Row],[Steps]]&lt;0,100+(F4196-Table1[[#This Row],[Steps]]),F4196-Table1[[#This Row],[Steps]]),
))</f>
        <v>0</v>
      </c>
      <c r="E4197">
        <f>_xlfn.LET(_xlpm.dir,Table1[[#This Row],[Direction]],
IF(_xlpm.dir="R",
    IF(F4196+Table1[[#This Row],[Steps]]&gt;99,(F4196+Table1[[#This Row],[Steps]])-100,F4196+Table1[[#This Row],[Steps]]),
))</f>
        <v>0</v>
      </c>
      <c r="F4197">
        <f>IF(Table1[[#This Row],[New Pos L]]&lt;&gt;0,Table1[[#This Row],[New Pos L]],Table1[[#This Row],[New Pos R]])</f>
        <v>0</v>
      </c>
    </row>
    <row r="4198" spans="1:6" ht="16" x14ac:dyDescent="0.2">
      <c r="A4198" s="1" t="s">
        <v>174</v>
      </c>
      <c r="B4198" t="str">
        <f>LEFT(Table1[[#This Row],[Input]],1)</f>
        <v>L</v>
      </c>
      <c r="C4198">
        <f>_xlfn.LET(_xlpm.steps,SUBSTITUTE(Table1[[#This Row],[Input]],Table1[[#This Row],[Direction]],""),VALUE(IF(LEN(_xlpm.steps)&gt;2,RIGHT(_xlpm.steps,2),_xlpm.steps)))</f>
        <v>92</v>
      </c>
      <c r="D4198">
        <f>_xlfn.LET(_xlpm.dir,Table1[[#This Row],[Direction]],
IF(_xlpm.dir="L",
    IF(F4197-Table1[[#This Row],[Steps]]&lt;0,100+(F4197-Table1[[#This Row],[Steps]]),F4197-Table1[[#This Row],[Steps]]),
))</f>
        <v>8</v>
      </c>
      <c r="E4198">
        <f>_xlfn.LET(_xlpm.dir,Table1[[#This Row],[Direction]],
IF(_xlpm.dir="R",
    IF(F4197+Table1[[#This Row],[Steps]]&gt;99,(F4197+Table1[[#This Row],[Steps]])-100,F4197+Table1[[#This Row],[Steps]]),
))</f>
        <v>0</v>
      </c>
      <c r="F4198">
        <f>IF(Table1[[#This Row],[New Pos L]]&lt;&gt;0,Table1[[#This Row],[New Pos L]],Table1[[#This Row],[New Pos R]])</f>
        <v>8</v>
      </c>
    </row>
    <row r="4199" spans="1:6" ht="16" x14ac:dyDescent="0.2">
      <c r="A4199" s="1" t="s">
        <v>36</v>
      </c>
      <c r="B4199" t="str">
        <f>LEFT(Table1[[#This Row],[Input]],1)</f>
        <v>R</v>
      </c>
      <c r="C4199">
        <f>_xlfn.LET(_xlpm.steps,SUBSTITUTE(Table1[[#This Row],[Input]],Table1[[#This Row],[Direction]],""),VALUE(IF(LEN(_xlpm.steps)&gt;2,RIGHT(_xlpm.steps,2),_xlpm.steps)))</f>
        <v>50</v>
      </c>
      <c r="D4199">
        <f>_xlfn.LET(_xlpm.dir,Table1[[#This Row],[Direction]],
IF(_xlpm.dir="L",
    IF(F4198-Table1[[#This Row],[Steps]]&lt;0,100+(F4198-Table1[[#This Row],[Steps]]),F4198-Table1[[#This Row],[Steps]]),
))</f>
        <v>0</v>
      </c>
      <c r="E4199">
        <f>_xlfn.LET(_xlpm.dir,Table1[[#This Row],[Direction]],
IF(_xlpm.dir="R",
    IF(F4198+Table1[[#This Row],[Steps]]&gt;99,(F4198+Table1[[#This Row],[Steps]])-100,F4198+Table1[[#This Row],[Steps]]),
))</f>
        <v>58</v>
      </c>
      <c r="F4199">
        <f>IF(Table1[[#This Row],[New Pos L]]&lt;&gt;0,Table1[[#This Row],[New Pos L]],Table1[[#This Row],[New Pos R]])</f>
        <v>58</v>
      </c>
    </row>
    <row r="4200" spans="1:6" ht="16" x14ac:dyDescent="0.2">
      <c r="A4200" s="1" t="s">
        <v>0</v>
      </c>
      <c r="B4200" t="str">
        <f>LEFT(Table1[[#This Row],[Input]],1)</f>
        <v>L</v>
      </c>
      <c r="C4200">
        <f>_xlfn.LET(_xlpm.steps,SUBSTITUTE(Table1[[#This Row],[Input]],Table1[[#This Row],[Direction]],""),VALUE(IF(LEN(_xlpm.steps)&gt;2,RIGHT(_xlpm.steps,2),_xlpm.steps)))</f>
        <v>44</v>
      </c>
      <c r="D4200">
        <f>_xlfn.LET(_xlpm.dir,Table1[[#This Row],[Direction]],
IF(_xlpm.dir="L",
    IF(F4199-Table1[[#This Row],[Steps]]&lt;0,100+(F4199-Table1[[#This Row],[Steps]]),F4199-Table1[[#This Row],[Steps]]),
))</f>
        <v>14</v>
      </c>
      <c r="E4200">
        <f>_xlfn.LET(_xlpm.dir,Table1[[#This Row],[Direction]],
IF(_xlpm.dir="R",
    IF(F4199+Table1[[#This Row],[Steps]]&gt;99,(F4199+Table1[[#This Row],[Steps]])-100,F4199+Table1[[#This Row],[Steps]]),
))</f>
        <v>0</v>
      </c>
      <c r="F4200">
        <f>IF(Table1[[#This Row],[New Pos L]]&lt;&gt;0,Table1[[#This Row],[New Pos L]],Table1[[#This Row],[New Pos R]])</f>
        <v>14</v>
      </c>
    </row>
    <row r="4201" spans="1:6" ht="16" x14ac:dyDescent="0.2">
      <c r="A4201" s="1" t="s">
        <v>27</v>
      </c>
      <c r="B4201" t="str">
        <f>LEFT(Table1[[#This Row],[Input]],1)</f>
        <v>L</v>
      </c>
      <c r="C4201">
        <f>_xlfn.LET(_xlpm.steps,SUBSTITUTE(Table1[[#This Row],[Input]],Table1[[#This Row],[Direction]],""),VALUE(IF(LEN(_xlpm.steps)&gt;2,RIGHT(_xlpm.steps,2),_xlpm.steps)))</f>
        <v>14</v>
      </c>
      <c r="D4201">
        <f>_xlfn.LET(_xlpm.dir,Table1[[#This Row],[Direction]],
IF(_xlpm.dir="L",
    IF(F4200-Table1[[#This Row],[Steps]]&lt;0,100+(F4200-Table1[[#This Row],[Steps]]),F4200-Table1[[#This Row],[Steps]]),
))</f>
        <v>0</v>
      </c>
      <c r="E4201">
        <f>_xlfn.LET(_xlpm.dir,Table1[[#This Row],[Direction]],
IF(_xlpm.dir="R",
    IF(F4200+Table1[[#This Row],[Steps]]&gt;99,(F4200+Table1[[#This Row],[Steps]])-100,F4200+Table1[[#This Row],[Steps]]),
))</f>
        <v>0</v>
      </c>
      <c r="F4201">
        <f>IF(Table1[[#This Row],[New Pos L]]&lt;&gt;0,Table1[[#This Row],[New Pos L]],Table1[[#This Row],[New Pos R]])</f>
        <v>0</v>
      </c>
    </row>
    <row r="4202" spans="1:6" ht="16" x14ac:dyDescent="0.2">
      <c r="A4202" s="1" t="s">
        <v>159</v>
      </c>
      <c r="B4202" t="str">
        <f>LEFT(Table1[[#This Row],[Input]],1)</f>
        <v>R</v>
      </c>
      <c r="C4202">
        <f>_xlfn.LET(_xlpm.steps,SUBSTITUTE(Table1[[#This Row],[Input]],Table1[[#This Row],[Direction]],""),VALUE(IF(LEN(_xlpm.steps)&gt;2,RIGHT(_xlpm.steps,2),_xlpm.steps)))</f>
        <v>24</v>
      </c>
      <c r="D4202">
        <f>_xlfn.LET(_xlpm.dir,Table1[[#This Row],[Direction]],
IF(_xlpm.dir="L",
    IF(F4201-Table1[[#This Row],[Steps]]&lt;0,100+(F4201-Table1[[#This Row],[Steps]]),F4201-Table1[[#This Row],[Steps]]),
))</f>
        <v>0</v>
      </c>
      <c r="E4202">
        <f>_xlfn.LET(_xlpm.dir,Table1[[#This Row],[Direction]],
IF(_xlpm.dir="R",
    IF(F4201+Table1[[#This Row],[Steps]]&gt;99,(F4201+Table1[[#This Row],[Steps]])-100,F4201+Table1[[#This Row],[Steps]]),
))</f>
        <v>24</v>
      </c>
      <c r="F4202">
        <f>IF(Table1[[#This Row],[New Pos L]]&lt;&gt;0,Table1[[#This Row],[New Pos L]],Table1[[#This Row],[New Pos R]])</f>
        <v>24</v>
      </c>
    </row>
    <row r="4203" spans="1:6" ht="16" x14ac:dyDescent="0.2">
      <c r="A4203" s="1" t="s">
        <v>848</v>
      </c>
      <c r="B4203" t="str">
        <f>LEFT(Table1[[#This Row],[Input]],1)</f>
        <v>L</v>
      </c>
      <c r="C4203">
        <f>_xlfn.LET(_xlpm.steps,SUBSTITUTE(Table1[[#This Row],[Input]],Table1[[#This Row],[Direction]],""),VALUE(IF(LEN(_xlpm.steps)&gt;2,RIGHT(_xlpm.steps,2),_xlpm.steps)))</f>
        <v>24</v>
      </c>
      <c r="D4203">
        <f>_xlfn.LET(_xlpm.dir,Table1[[#This Row],[Direction]],
IF(_xlpm.dir="L",
    IF(F4202-Table1[[#This Row],[Steps]]&lt;0,100+(F4202-Table1[[#This Row],[Steps]]),F4202-Table1[[#This Row],[Steps]]),
))</f>
        <v>0</v>
      </c>
      <c r="E4203">
        <f>_xlfn.LET(_xlpm.dir,Table1[[#This Row],[Direction]],
IF(_xlpm.dir="R",
    IF(F4202+Table1[[#This Row],[Steps]]&gt;99,(F4202+Table1[[#This Row],[Steps]])-100,F4202+Table1[[#This Row],[Steps]]),
))</f>
        <v>0</v>
      </c>
      <c r="F4203">
        <f>IF(Table1[[#This Row],[New Pos L]]&lt;&gt;0,Table1[[#This Row],[New Pos L]],Table1[[#This Row],[New Pos R]])</f>
        <v>0</v>
      </c>
    </row>
    <row r="4204" spans="1:6" ht="16" x14ac:dyDescent="0.2">
      <c r="A4204" s="1" t="s">
        <v>102</v>
      </c>
      <c r="B4204" t="str">
        <f>LEFT(Table1[[#This Row],[Input]],1)</f>
        <v>R</v>
      </c>
      <c r="C4204">
        <f>_xlfn.LET(_xlpm.steps,SUBSTITUTE(Table1[[#This Row],[Input]],Table1[[#This Row],[Direction]],""),VALUE(IF(LEN(_xlpm.steps)&gt;2,RIGHT(_xlpm.steps,2),_xlpm.steps)))</f>
        <v>39</v>
      </c>
      <c r="D4204">
        <f>_xlfn.LET(_xlpm.dir,Table1[[#This Row],[Direction]],
IF(_xlpm.dir="L",
    IF(F4203-Table1[[#This Row],[Steps]]&lt;0,100+(F4203-Table1[[#This Row],[Steps]]),F4203-Table1[[#This Row],[Steps]]),
))</f>
        <v>0</v>
      </c>
      <c r="E4204">
        <f>_xlfn.LET(_xlpm.dir,Table1[[#This Row],[Direction]],
IF(_xlpm.dir="R",
    IF(F4203+Table1[[#This Row],[Steps]]&gt;99,(F4203+Table1[[#This Row],[Steps]])-100,F4203+Table1[[#This Row],[Steps]]),
))</f>
        <v>39</v>
      </c>
      <c r="F4204">
        <f>IF(Table1[[#This Row],[New Pos L]]&lt;&gt;0,Table1[[#This Row],[New Pos L]],Table1[[#This Row],[New Pos R]])</f>
        <v>39</v>
      </c>
    </row>
    <row r="4205" spans="1:6" ht="16" x14ac:dyDescent="0.2">
      <c r="A4205" s="1" t="s">
        <v>42</v>
      </c>
      <c r="B4205" t="str">
        <f>LEFT(Table1[[#This Row],[Input]],1)</f>
        <v>L</v>
      </c>
      <c r="C4205">
        <f>_xlfn.LET(_xlpm.steps,SUBSTITUTE(Table1[[#This Row],[Input]],Table1[[#This Row],[Direction]],""),VALUE(IF(LEN(_xlpm.steps)&gt;2,RIGHT(_xlpm.steps,2),_xlpm.steps)))</f>
        <v>27</v>
      </c>
      <c r="D4205">
        <f>_xlfn.LET(_xlpm.dir,Table1[[#This Row],[Direction]],
IF(_xlpm.dir="L",
    IF(F4204-Table1[[#This Row],[Steps]]&lt;0,100+(F4204-Table1[[#This Row],[Steps]]),F4204-Table1[[#This Row],[Steps]]),
))</f>
        <v>12</v>
      </c>
      <c r="E4205">
        <f>_xlfn.LET(_xlpm.dir,Table1[[#This Row],[Direction]],
IF(_xlpm.dir="R",
    IF(F4204+Table1[[#This Row],[Steps]]&gt;99,(F4204+Table1[[#This Row],[Steps]])-100,F4204+Table1[[#This Row],[Steps]]),
))</f>
        <v>0</v>
      </c>
      <c r="F4205">
        <f>IF(Table1[[#This Row],[New Pos L]]&lt;&gt;0,Table1[[#This Row],[New Pos L]],Table1[[#This Row],[New Pos R]])</f>
        <v>12</v>
      </c>
    </row>
    <row r="4206" spans="1:6" ht="16" x14ac:dyDescent="0.2">
      <c r="A4206" s="1" t="s">
        <v>253</v>
      </c>
      <c r="B4206" t="str">
        <f>LEFT(Table1[[#This Row],[Input]],1)</f>
        <v>R</v>
      </c>
      <c r="C4206">
        <f>_xlfn.LET(_xlpm.steps,SUBSTITUTE(Table1[[#This Row],[Input]],Table1[[#This Row],[Direction]],""),VALUE(IF(LEN(_xlpm.steps)&gt;2,RIGHT(_xlpm.steps,2),_xlpm.steps)))</f>
        <v>94</v>
      </c>
      <c r="D4206">
        <f>_xlfn.LET(_xlpm.dir,Table1[[#This Row],[Direction]],
IF(_xlpm.dir="L",
    IF(F4205-Table1[[#This Row],[Steps]]&lt;0,100+(F4205-Table1[[#This Row],[Steps]]),F4205-Table1[[#This Row],[Steps]]),
))</f>
        <v>0</v>
      </c>
      <c r="E4206">
        <f>_xlfn.LET(_xlpm.dir,Table1[[#This Row],[Direction]],
IF(_xlpm.dir="R",
    IF(F4205+Table1[[#This Row],[Steps]]&gt;99,(F4205+Table1[[#This Row],[Steps]])-100,F4205+Table1[[#This Row],[Steps]]),
))</f>
        <v>6</v>
      </c>
      <c r="F4206">
        <f>IF(Table1[[#This Row],[New Pos L]]&lt;&gt;0,Table1[[#This Row],[New Pos L]],Table1[[#This Row],[New Pos R]])</f>
        <v>6</v>
      </c>
    </row>
    <row r="4207" spans="1:6" ht="16" x14ac:dyDescent="0.2">
      <c r="A4207" s="1" t="s">
        <v>59</v>
      </c>
      <c r="B4207" t="str">
        <f>LEFT(Table1[[#This Row],[Input]],1)</f>
        <v>L</v>
      </c>
      <c r="C4207">
        <f>_xlfn.LET(_xlpm.steps,SUBSTITUTE(Table1[[#This Row],[Input]],Table1[[#This Row],[Direction]],""),VALUE(IF(LEN(_xlpm.steps)&gt;2,RIGHT(_xlpm.steps,2),_xlpm.steps)))</f>
        <v>6</v>
      </c>
      <c r="D4207">
        <f>_xlfn.LET(_xlpm.dir,Table1[[#This Row],[Direction]],
IF(_xlpm.dir="L",
    IF(F4206-Table1[[#This Row],[Steps]]&lt;0,100+(F4206-Table1[[#This Row],[Steps]]),F4206-Table1[[#This Row],[Steps]]),
))</f>
        <v>0</v>
      </c>
      <c r="E4207">
        <f>_xlfn.LET(_xlpm.dir,Table1[[#This Row],[Direction]],
IF(_xlpm.dir="R",
    IF(F4206+Table1[[#This Row],[Steps]]&gt;99,(F4206+Table1[[#This Row],[Steps]])-100,F4206+Table1[[#This Row],[Steps]]),
))</f>
        <v>0</v>
      </c>
      <c r="F4207">
        <f>IF(Table1[[#This Row],[New Pos L]]&lt;&gt;0,Table1[[#This Row],[New Pos L]],Table1[[#This Row],[New Pos R]])</f>
        <v>0</v>
      </c>
    </row>
    <row r="4208" spans="1:6" ht="16" x14ac:dyDescent="0.2">
      <c r="A4208" s="1" t="s">
        <v>849</v>
      </c>
      <c r="B4208" t="str">
        <f>LEFT(Table1[[#This Row],[Input]],1)</f>
        <v>R</v>
      </c>
      <c r="C4208">
        <f>_xlfn.LET(_xlpm.steps,SUBSTITUTE(Table1[[#This Row],[Input]],Table1[[#This Row],[Direction]],""),VALUE(IF(LEN(_xlpm.steps)&gt;2,RIGHT(_xlpm.steps,2),_xlpm.steps)))</f>
        <v>26</v>
      </c>
      <c r="D4208">
        <f>_xlfn.LET(_xlpm.dir,Table1[[#This Row],[Direction]],
IF(_xlpm.dir="L",
    IF(F4207-Table1[[#This Row],[Steps]]&lt;0,100+(F4207-Table1[[#This Row],[Steps]]),F4207-Table1[[#This Row],[Steps]]),
))</f>
        <v>0</v>
      </c>
      <c r="E4208">
        <f>_xlfn.LET(_xlpm.dir,Table1[[#This Row],[Direction]],
IF(_xlpm.dir="R",
    IF(F4207+Table1[[#This Row],[Steps]]&gt;99,(F4207+Table1[[#This Row],[Steps]])-100,F4207+Table1[[#This Row],[Steps]]),
))</f>
        <v>26</v>
      </c>
      <c r="F4208">
        <f>IF(Table1[[#This Row],[New Pos L]]&lt;&gt;0,Table1[[#This Row],[New Pos L]],Table1[[#This Row],[New Pos R]])</f>
        <v>26</v>
      </c>
    </row>
    <row r="4209" spans="1:6" ht="16" x14ac:dyDescent="0.2">
      <c r="A4209" s="1" t="s">
        <v>63</v>
      </c>
      <c r="B4209" t="str">
        <f>LEFT(Table1[[#This Row],[Input]],1)</f>
        <v>R</v>
      </c>
      <c r="C4209">
        <f>_xlfn.LET(_xlpm.steps,SUBSTITUTE(Table1[[#This Row],[Input]],Table1[[#This Row],[Direction]],""),VALUE(IF(LEN(_xlpm.steps)&gt;2,RIGHT(_xlpm.steps,2),_xlpm.steps)))</f>
        <v>57</v>
      </c>
      <c r="D4209">
        <f>_xlfn.LET(_xlpm.dir,Table1[[#This Row],[Direction]],
IF(_xlpm.dir="L",
    IF(F4208-Table1[[#This Row],[Steps]]&lt;0,100+(F4208-Table1[[#This Row],[Steps]]),F4208-Table1[[#This Row],[Steps]]),
))</f>
        <v>0</v>
      </c>
      <c r="E4209">
        <f>_xlfn.LET(_xlpm.dir,Table1[[#This Row],[Direction]],
IF(_xlpm.dir="R",
    IF(F4208+Table1[[#This Row],[Steps]]&gt;99,(F4208+Table1[[#This Row],[Steps]])-100,F4208+Table1[[#This Row],[Steps]]),
))</f>
        <v>83</v>
      </c>
      <c r="F4209">
        <f>IF(Table1[[#This Row],[New Pos L]]&lt;&gt;0,Table1[[#This Row],[New Pos L]],Table1[[#This Row],[New Pos R]])</f>
        <v>83</v>
      </c>
    </row>
    <row r="4210" spans="1:6" ht="16" x14ac:dyDescent="0.2">
      <c r="A4210" s="1" t="s">
        <v>850</v>
      </c>
      <c r="B4210" t="str">
        <f>LEFT(Table1[[#This Row],[Input]],1)</f>
        <v>L</v>
      </c>
      <c r="C4210">
        <f>_xlfn.LET(_xlpm.steps,SUBSTITUTE(Table1[[#This Row],[Input]],Table1[[#This Row],[Direction]],""),VALUE(IF(LEN(_xlpm.steps)&gt;2,RIGHT(_xlpm.steps,2),_xlpm.steps)))</f>
        <v>83</v>
      </c>
      <c r="D4210">
        <f>_xlfn.LET(_xlpm.dir,Table1[[#This Row],[Direction]],
IF(_xlpm.dir="L",
    IF(F4209-Table1[[#This Row],[Steps]]&lt;0,100+(F4209-Table1[[#This Row],[Steps]]),F4209-Table1[[#This Row],[Steps]]),
))</f>
        <v>0</v>
      </c>
      <c r="E4210">
        <f>_xlfn.LET(_xlpm.dir,Table1[[#This Row],[Direction]],
IF(_xlpm.dir="R",
    IF(F4209+Table1[[#This Row],[Steps]]&gt;99,(F4209+Table1[[#This Row],[Steps]])-100,F4209+Table1[[#This Row],[Steps]]),
))</f>
        <v>0</v>
      </c>
      <c r="F4210">
        <f>IF(Table1[[#This Row],[New Pos L]]&lt;&gt;0,Table1[[#This Row],[New Pos L]],Table1[[#This Row],[New Pos R]])</f>
        <v>0</v>
      </c>
    </row>
    <row r="4211" spans="1:6" ht="16" x14ac:dyDescent="0.2">
      <c r="A4211" s="1" t="s">
        <v>218</v>
      </c>
      <c r="B4211" t="str">
        <f>LEFT(Table1[[#This Row],[Input]],1)</f>
        <v>R</v>
      </c>
      <c r="C4211">
        <f>_xlfn.LET(_xlpm.steps,SUBSTITUTE(Table1[[#This Row],[Input]],Table1[[#This Row],[Direction]],""),VALUE(IF(LEN(_xlpm.steps)&gt;2,RIGHT(_xlpm.steps,2),_xlpm.steps)))</f>
        <v>35</v>
      </c>
      <c r="D4211">
        <f>_xlfn.LET(_xlpm.dir,Table1[[#This Row],[Direction]],
IF(_xlpm.dir="L",
    IF(F4210-Table1[[#This Row],[Steps]]&lt;0,100+(F4210-Table1[[#This Row],[Steps]]),F4210-Table1[[#This Row],[Steps]]),
))</f>
        <v>0</v>
      </c>
      <c r="E4211">
        <f>_xlfn.LET(_xlpm.dir,Table1[[#This Row],[Direction]],
IF(_xlpm.dir="R",
    IF(F4210+Table1[[#This Row],[Steps]]&gt;99,(F4210+Table1[[#This Row],[Steps]])-100,F4210+Table1[[#This Row],[Steps]]),
))</f>
        <v>35</v>
      </c>
      <c r="F4211">
        <f>IF(Table1[[#This Row],[New Pos L]]&lt;&gt;0,Table1[[#This Row],[New Pos L]],Table1[[#This Row],[New Pos R]])</f>
        <v>35</v>
      </c>
    </row>
    <row r="4212" spans="1:6" ht="16" x14ac:dyDescent="0.2">
      <c r="A4212" s="1" t="s">
        <v>159</v>
      </c>
      <c r="B4212" t="str">
        <f>LEFT(Table1[[#This Row],[Input]],1)</f>
        <v>R</v>
      </c>
      <c r="C4212">
        <f>_xlfn.LET(_xlpm.steps,SUBSTITUTE(Table1[[#This Row],[Input]],Table1[[#This Row],[Direction]],""),VALUE(IF(LEN(_xlpm.steps)&gt;2,RIGHT(_xlpm.steps,2),_xlpm.steps)))</f>
        <v>24</v>
      </c>
      <c r="D4212">
        <f>_xlfn.LET(_xlpm.dir,Table1[[#This Row],[Direction]],
IF(_xlpm.dir="L",
    IF(F4211-Table1[[#This Row],[Steps]]&lt;0,100+(F4211-Table1[[#This Row],[Steps]]),F4211-Table1[[#This Row],[Steps]]),
))</f>
        <v>0</v>
      </c>
      <c r="E4212">
        <f>_xlfn.LET(_xlpm.dir,Table1[[#This Row],[Direction]],
IF(_xlpm.dir="R",
    IF(F4211+Table1[[#This Row],[Steps]]&gt;99,(F4211+Table1[[#This Row],[Steps]])-100,F4211+Table1[[#This Row],[Steps]]),
))</f>
        <v>59</v>
      </c>
      <c r="F4212">
        <f>IF(Table1[[#This Row],[New Pos L]]&lt;&gt;0,Table1[[#This Row],[New Pos L]],Table1[[#This Row],[New Pos R]])</f>
        <v>59</v>
      </c>
    </row>
    <row r="4213" spans="1:6" ht="16" x14ac:dyDescent="0.2">
      <c r="A4213" s="1" t="s">
        <v>41</v>
      </c>
      <c r="B4213" t="str">
        <f>LEFT(Table1[[#This Row],[Input]],1)</f>
        <v>L</v>
      </c>
      <c r="C4213">
        <f>_xlfn.LET(_xlpm.steps,SUBSTITUTE(Table1[[#This Row],[Input]],Table1[[#This Row],[Direction]],""),VALUE(IF(LEN(_xlpm.steps)&gt;2,RIGHT(_xlpm.steps,2),_xlpm.steps)))</f>
        <v>7</v>
      </c>
      <c r="D4213">
        <f>_xlfn.LET(_xlpm.dir,Table1[[#This Row],[Direction]],
IF(_xlpm.dir="L",
    IF(F4212-Table1[[#This Row],[Steps]]&lt;0,100+(F4212-Table1[[#This Row],[Steps]]),F4212-Table1[[#This Row],[Steps]]),
))</f>
        <v>52</v>
      </c>
      <c r="E4213">
        <f>_xlfn.LET(_xlpm.dir,Table1[[#This Row],[Direction]],
IF(_xlpm.dir="R",
    IF(F4212+Table1[[#This Row],[Steps]]&gt;99,(F4212+Table1[[#This Row],[Steps]])-100,F4212+Table1[[#This Row],[Steps]]),
))</f>
        <v>0</v>
      </c>
      <c r="F4213">
        <f>IF(Table1[[#This Row],[New Pos L]]&lt;&gt;0,Table1[[#This Row],[New Pos L]],Table1[[#This Row],[New Pos R]])</f>
        <v>52</v>
      </c>
    </row>
    <row r="4214" spans="1:6" ht="16" x14ac:dyDescent="0.2">
      <c r="A4214" s="1" t="s">
        <v>52</v>
      </c>
      <c r="B4214" t="str">
        <f>LEFT(Table1[[#This Row],[Input]],1)</f>
        <v>R</v>
      </c>
      <c r="C4214">
        <f>_xlfn.LET(_xlpm.steps,SUBSTITUTE(Table1[[#This Row],[Input]],Table1[[#This Row],[Direction]],""),VALUE(IF(LEN(_xlpm.steps)&gt;2,RIGHT(_xlpm.steps,2),_xlpm.steps)))</f>
        <v>11</v>
      </c>
      <c r="D4214">
        <f>_xlfn.LET(_xlpm.dir,Table1[[#This Row],[Direction]],
IF(_xlpm.dir="L",
    IF(F4213-Table1[[#This Row],[Steps]]&lt;0,100+(F4213-Table1[[#This Row],[Steps]]),F4213-Table1[[#This Row],[Steps]]),
))</f>
        <v>0</v>
      </c>
      <c r="E4214">
        <f>_xlfn.LET(_xlpm.dir,Table1[[#This Row],[Direction]],
IF(_xlpm.dir="R",
    IF(F4213+Table1[[#This Row],[Steps]]&gt;99,(F4213+Table1[[#This Row],[Steps]])-100,F4213+Table1[[#This Row],[Steps]]),
))</f>
        <v>63</v>
      </c>
      <c r="F4214">
        <f>IF(Table1[[#This Row],[New Pos L]]&lt;&gt;0,Table1[[#This Row],[New Pos L]],Table1[[#This Row],[New Pos R]])</f>
        <v>63</v>
      </c>
    </row>
    <row r="4215" spans="1:6" ht="16" x14ac:dyDescent="0.2">
      <c r="A4215" s="1" t="s">
        <v>123</v>
      </c>
      <c r="B4215" t="str">
        <f>LEFT(Table1[[#This Row],[Input]],1)</f>
        <v>L</v>
      </c>
      <c r="C4215">
        <f>_xlfn.LET(_xlpm.steps,SUBSTITUTE(Table1[[#This Row],[Input]],Table1[[#This Row],[Direction]],""),VALUE(IF(LEN(_xlpm.steps)&gt;2,RIGHT(_xlpm.steps,2),_xlpm.steps)))</f>
        <v>63</v>
      </c>
      <c r="D4215">
        <f>_xlfn.LET(_xlpm.dir,Table1[[#This Row],[Direction]],
IF(_xlpm.dir="L",
    IF(F4214-Table1[[#This Row],[Steps]]&lt;0,100+(F4214-Table1[[#This Row],[Steps]]),F4214-Table1[[#This Row],[Steps]]),
))</f>
        <v>0</v>
      </c>
      <c r="E4215">
        <f>_xlfn.LET(_xlpm.dir,Table1[[#This Row],[Direction]],
IF(_xlpm.dir="R",
    IF(F4214+Table1[[#This Row],[Steps]]&gt;99,(F4214+Table1[[#This Row],[Steps]])-100,F4214+Table1[[#This Row],[Steps]]),
))</f>
        <v>0</v>
      </c>
      <c r="F4215">
        <f>IF(Table1[[#This Row],[New Pos L]]&lt;&gt;0,Table1[[#This Row],[New Pos L]],Table1[[#This Row],[New Pos R]])</f>
        <v>0</v>
      </c>
    </row>
    <row r="4216" spans="1:6" ht="16" x14ac:dyDescent="0.2">
      <c r="A4216" s="1" t="s">
        <v>164</v>
      </c>
      <c r="B4216" t="str">
        <f>LEFT(Table1[[#This Row],[Input]],1)</f>
        <v>R</v>
      </c>
      <c r="C4216">
        <f>_xlfn.LET(_xlpm.steps,SUBSTITUTE(Table1[[#This Row],[Input]],Table1[[#This Row],[Direction]],""),VALUE(IF(LEN(_xlpm.steps)&gt;2,RIGHT(_xlpm.steps,2),_xlpm.steps)))</f>
        <v>85</v>
      </c>
      <c r="D4216">
        <f>_xlfn.LET(_xlpm.dir,Table1[[#This Row],[Direction]],
IF(_xlpm.dir="L",
    IF(F4215-Table1[[#This Row],[Steps]]&lt;0,100+(F4215-Table1[[#This Row],[Steps]]),F4215-Table1[[#This Row],[Steps]]),
))</f>
        <v>0</v>
      </c>
      <c r="E4216">
        <f>_xlfn.LET(_xlpm.dir,Table1[[#This Row],[Direction]],
IF(_xlpm.dir="R",
    IF(F4215+Table1[[#This Row],[Steps]]&gt;99,(F4215+Table1[[#This Row],[Steps]])-100,F4215+Table1[[#This Row],[Steps]]),
))</f>
        <v>85</v>
      </c>
      <c r="F4216">
        <f>IF(Table1[[#This Row],[New Pos L]]&lt;&gt;0,Table1[[#This Row],[New Pos L]],Table1[[#This Row],[New Pos R]])</f>
        <v>85</v>
      </c>
    </row>
    <row r="4217" spans="1:6" ht="16" x14ac:dyDescent="0.2">
      <c r="A4217" s="1" t="s">
        <v>10</v>
      </c>
      <c r="B4217" t="str">
        <f>LEFT(Table1[[#This Row],[Input]],1)</f>
        <v>L</v>
      </c>
      <c r="C4217">
        <f>_xlfn.LET(_xlpm.steps,SUBSTITUTE(Table1[[#This Row],[Input]],Table1[[#This Row],[Direction]],""),VALUE(IF(LEN(_xlpm.steps)&gt;2,RIGHT(_xlpm.steps,2),_xlpm.steps)))</f>
        <v>35</v>
      </c>
      <c r="D4217">
        <f>_xlfn.LET(_xlpm.dir,Table1[[#This Row],[Direction]],
IF(_xlpm.dir="L",
    IF(F4216-Table1[[#This Row],[Steps]]&lt;0,100+(F4216-Table1[[#This Row],[Steps]]),F4216-Table1[[#This Row],[Steps]]),
))</f>
        <v>50</v>
      </c>
      <c r="E4217">
        <f>_xlfn.LET(_xlpm.dir,Table1[[#This Row],[Direction]],
IF(_xlpm.dir="R",
    IF(F4216+Table1[[#This Row],[Steps]]&gt;99,(F4216+Table1[[#This Row],[Steps]])-100,F4216+Table1[[#This Row],[Steps]]),
))</f>
        <v>0</v>
      </c>
      <c r="F4217">
        <f>IF(Table1[[#This Row],[New Pos L]]&lt;&gt;0,Table1[[#This Row],[New Pos L]],Table1[[#This Row],[New Pos R]])</f>
        <v>50</v>
      </c>
    </row>
    <row r="4218" spans="1:6" ht="16" x14ac:dyDescent="0.2">
      <c r="A4218" s="1" t="s">
        <v>851</v>
      </c>
      <c r="B4218" t="str">
        <f>LEFT(Table1[[#This Row],[Input]],1)</f>
        <v>R</v>
      </c>
      <c r="C4218">
        <f>_xlfn.LET(_xlpm.steps,SUBSTITUTE(Table1[[#This Row],[Input]],Table1[[#This Row],[Direction]],""),VALUE(IF(LEN(_xlpm.steps)&gt;2,RIGHT(_xlpm.steps,2),_xlpm.steps)))</f>
        <v>50</v>
      </c>
      <c r="D4218">
        <f>_xlfn.LET(_xlpm.dir,Table1[[#This Row],[Direction]],
IF(_xlpm.dir="L",
    IF(F4217-Table1[[#This Row],[Steps]]&lt;0,100+(F4217-Table1[[#This Row],[Steps]]),F4217-Table1[[#This Row],[Steps]]),
))</f>
        <v>0</v>
      </c>
      <c r="E4218">
        <f>_xlfn.LET(_xlpm.dir,Table1[[#This Row],[Direction]],
IF(_xlpm.dir="R",
    IF(F4217+Table1[[#This Row],[Steps]]&gt;99,(F4217+Table1[[#This Row],[Steps]])-100,F4217+Table1[[#This Row],[Steps]]),
))</f>
        <v>0</v>
      </c>
      <c r="F4218">
        <f>IF(Table1[[#This Row],[New Pos L]]&lt;&gt;0,Table1[[#This Row],[New Pos L]],Table1[[#This Row],[New Pos R]])</f>
        <v>0</v>
      </c>
    </row>
    <row r="4219" spans="1:6" ht="16" x14ac:dyDescent="0.2">
      <c r="A4219" s="1" t="s">
        <v>100</v>
      </c>
      <c r="B4219" t="str">
        <f>LEFT(Table1[[#This Row],[Input]],1)</f>
        <v>R</v>
      </c>
      <c r="C4219">
        <f>_xlfn.LET(_xlpm.steps,SUBSTITUTE(Table1[[#This Row],[Input]],Table1[[#This Row],[Direction]],""),VALUE(IF(LEN(_xlpm.steps)&gt;2,RIGHT(_xlpm.steps,2),_xlpm.steps)))</f>
        <v>58</v>
      </c>
      <c r="D4219">
        <f>_xlfn.LET(_xlpm.dir,Table1[[#This Row],[Direction]],
IF(_xlpm.dir="L",
    IF(F4218-Table1[[#This Row],[Steps]]&lt;0,100+(F4218-Table1[[#This Row],[Steps]]),F4218-Table1[[#This Row],[Steps]]),
))</f>
        <v>0</v>
      </c>
      <c r="E4219">
        <f>_xlfn.LET(_xlpm.dir,Table1[[#This Row],[Direction]],
IF(_xlpm.dir="R",
    IF(F4218+Table1[[#This Row],[Steps]]&gt;99,(F4218+Table1[[#This Row],[Steps]])-100,F4218+Table1[[#This Row],[Steps]]),
))</f>
        <v>58</v>
      </c>
      <c r="F4219">
        <f>IF(Table1[[#This Row],[New Pos L]]&lt;&gt;0,Table1[[#This Row],[New Pos L]],Table1[[#This Row],[New Pos R]])</f>
        <v>58</v>
      </c>
    </row>
    <row r="4220" spans="1:6" ht="16" x14ac:dyDescent="0.2">
      <c r="A4220" s="1" t="s">
        <v>88</v>
      </c>
      <c r="B4220" t="str">
        <f>LEFT(Table1[[#This Row],[Input]],1)</f>
        <v>R</v>
      </c>
      <c r="C4220">
        <f>_xlfn.LET(_xlpm.steps,SUBSTITUTE(Table1[[#This Row],[Input]],Table1[[#This Row],[Direction]],""),VALUE(IF(LEN(_xlpm.steps)&gt;2,RIGHT(_xlpm.steps,2),_xlpm.steps)))</f>
        <v>53</v>
      </c>
      <c r="D4220">
        <f>_xlfn.LET(_xlpm.dir,Table1[[#This Row],[Direction]],
IF(_xlpm.dir="L",
    IF(F4219-Table1[[#This Row],[Steps]]&lt;0,100+(F4219-Table1[[#This Row],[Steps]]),F4219-Table1[[#This Row],[Steps]]),
))</f>
        <v>0</v>
      </c>
      <c r="E4220">
        <f>_xlfn.LET(_xlpm.dir,Table1[[#This Row],[Direction]],
IF(_xlpm.dir="R",
    IF(F4219+Table1[[#This Row],[Steps]]&gt;99,(F4219+Table1[[#This Row],[Steps]])-100,F4219+Table1[[#This Row],[Steps]]),
))</f>
        <v>11</v>
      </c>
      <c r="F4220">
        <f>IF(Table1[[#This Row],[New Pos L]]&lt;&gt;0,Table1[[#This Row],[New Pos L]],Table1[[#This Row],[New Pos R]])</f>
        <v>11</v>
      </c>
    </row>
    <row r="4221" spans="1:6" ht="16" x14ac:dyDescent="0.2">
      <c r="A4221" s="1" t="s">
        <v>207</v>
      </c>
      <c r="B4221" t="str">
        <f>LEFT(Table1[[#This Row],[Input]],1)</f>
        <v>L</v>
      </c>
      <c r="C4221">
        <f>_xlfn.LET(_xlpm.steps,SUBSTITUTE(Table1[[#This Row],[Input]],Table1[[#This Row],[Direction]],""),VALUE(IF(LEN(_xlpm.steps)&gt;2,RIGHT(_xlpm.steps,2),_xlpm.steps)))</f>
        <v>89</v>
      </c>
      <c r="D4221">
        <f>_xlfn.LET(_xlpm.dir,Table1[[#This Row],[Direction]],
IF(_xlpm.dir="L",
    IF(F4220-Table1[[#This Row],[Steps]]&lt;0,100+(F4220-Table1[[#This Row],[Steps]]),F4220-Table1[[#This Row],[Steps]]),
))</f>
        <v>22</v>
      </c>
      <c r="E4221">
        <f>_xlfn.LET(_xlpm.dir,Table1[[#This Row],[Direction]],
IF(_xlpm.dir="R",
    IF(F4220+Table1[[#This Row],[Steps]]&gt;99,(F4220+Table1[[#This Row],[Steps]])-100,F4220+Table1[[#This Row],[Steps]]),
))</f>
        <v>0</v>
      </c>
      <c r="F4221">
        <f>IF(Table1[[#This Row],[New Pos L]]&lt;&gt;0,Table1[[#This Row],[New Pos L]],Table1[[#This Row],[New Pos R]])</f>
        <v>22</v>
      </c>
    </row>
    <row r="4222" spans="1:6" ht="16" x14ac:dyDescent="0.2">
      <c r="A4222" s="1" t="s">
        <v>91</v>
      </c>
      <c r="B4222" t="str">
        <f>LEFT(Table1[[#This Row],[Input]],1)</f>
        <v>L</v>
      </c>
      <c r="C4222">
        <f>_xlfn.LET(_xlpm.steps,SUBSTITUTE(Table1[[#This Row],[Input]],Table1[[#This Row],[Direction]],""),VALUE(IF(LEN(_xlpm.steps)&gt;2,RIGHT(_xlpm.steps,2),_xlpm.steps)))</f>
        <v>22</v>
      </c>
      <c r="D4222">
        <f>_xlfn.LET(_xlpm.dir,Table1[[#This Row],[Direction]],
IF(_xlpm.dir="L",
    IF(F4221-Table1[[#This Row],[Steps]]&lt;0,100+(F4221-Table1[[#This Row],[Steps]]),F4221-Table1[[#This Row],[Steps]]),
))</f>
        <v>0</v>
      </c>
      <c r="E4222">
        <f>_xlfn.LET(_xlpm.dir,Table1[[#This Row],[Direction]],
IF(_xlpm.dir="R",
    IF(F4221+Table1[[#This Row],[Steps]]&gt;99,(F4221+Table1[[#This Row],[Steps]])-100,F4221+Table1[[#This Row],[Steps]]),
))</f>
        <v>0</v>
      </c>
      <c r="F4222">
        <f>IF(Table1[[#This Row],[New Pos L]]&lt;&gt;0,Table1[[#This Row],[New Pos L]],Table1[[#This Row],[New Pos R]])</f>
        <v>0</v>
      </c>
    </row>
    <row r="4223" spans="1:6" ht="16" x14ac:dyDescent="0.2">
      <c r="A4223" s="1" t="s">
        <v>91</v>
      </c>
      <c r="B4223" t="str">
        <f>LEFT(Table1[[#This Row],[Input]],1)</f>
        <v>L</v>
      </c>
      <c r="C4223">
        <f>_xlfn.LET(_xlpm.steps,SUBSTITUTE(Table1[[#This Row],[Input]],Table1[[#This Row],[Direction]],""),VALUE(IF(LEN(_xlpm.steps)&gt;2,RIGHT(_xlpm.steps,2),_xlpm.steps)))</f>
        <v>22</v>
      </c>
      <c r="D4223">
        <f>_xlfn.LET(_xlpm.dir,Table1[[#This Row],[Direction]],
IF(_xlpm.dir="L",
    IF(F4222-Table1[[#This Row],[Steps]]&lt;0,100+(F4222-Table1[[#This Row],[Steps]]),F4222-Table1[[#This Row],[Steps]]),
))</f>
        <v>78</v>
      </c>
      <c r="E4223">
        <f>_xlfn.LET(_xlpm.dir,Table1[[#This Row],[Direction]],
IF(_xlpm.dir="R",
    IF(F4222+Table1[[#This Row],[Steps]]&gt;99,(F4222+Table1[[#This Row],[Steps]])-100,F4222+Table1[[#This Row],[Steps]]),
))</f>
        <v>0</v>
      </c>
      <c r="F4223">
        <f>IF(Table1[[#This Row],[New Pos L]]&lt;&gt;0,Table1[[#This Row],[New Pos L]],Table1[[#This Row],[New Pos R]])</f>
        <v>78</v>
      </c>
    </row>
    <row r="4224" spans="1:6" ht="16" x14ac:dyDescent="0.2">
      <c r="A4224" s="1" t="s">
        <v>852</v>
      </c>
      <c r="B4224" t="str">
        <f>LEFT(Table1[[#This Row],[Input]],1)</f>
        <v>R</v>
      </c>
      <c r="C4224">
        <f>_xlfn.LET(_xlpm.steps,SUBSTITUTE(Table1[[#This Row],[Input]],Table1[[#This Row],[Direction]],""),VALUE(IF(LEN(_xlpm.steps)&gt;2,RIGHT(_xlpm.steps,2),_xlpm.steps)))</f>
        <v>30</v>
      </c>
      <c r="D4224">
        <f>_xlfn.LET(_xlpm.dir,Table1[[#This Row],[Direction]],
IF(_xlpm.dir="L",
    IF(F4223-Table1[[#This Row],[Steps]]&lt;0,100+(F4223-Table1[[#This Row],[Steps]]),F4223-Table1[[#This Row],[Steps]]),
))</f>
        <v>0</v>
      </c>
      <c r="E4224">
        <f>_xlfn.LET(_xlpm.dir,Table1[[#This Row],[Direction]],
IF(_xlpm.dir="R",
    IF(F4223+Table1[[#This Row],[Steps]]&gt;99,(F4223+Table1[[#This Row],[Steps]])-100,F4223+Table1[[#This Row],[Steps]]),
))</f>
        <v>8</v>
      </c>
      <c r="F4224">
        <f>IF(Table1[[#This Row],[New Pos L]]&lt;&gt;0,Table1[[#This Row],[New Pos L]],Table1[[#This Row],[New Pos R]])</f>
        <v>8</v>
      </c>
    </row>
    <row r="4225" spans="1:6" ht="16" x14ac:dyDescent="0.2">
      <c r="A4225" s="1" t="s">
        <v>128</v>
      </c>
      <c r="B4225" t="str">
        <f>LEFT(Table1[[#This Row],[Input]],1)</f>
        <v>R</v>
      </c>
      <c r="C4225">
        <f>_xlfn.LET(_xlpm.steps,SUBSTITUTE(Table1[[#This Row],[Input]],Table1[[#This Row],[Direction]],""),VALUE(IF(LEN(_xlpm.steps)&gt;2,RIGHT(_xlpm.steps,2),_xlpm.steps)))</f>
        <v>92</v>
      </c>
      <c r="D4225">
        <f>_xlfn.LET(_xlpm.dir,Table1[[#This Row],[Direction]],
IF(_xlpm.dir="L",
    IF(F4224-Table1[[#This Row],[Steps]]&lt;0,100+(F4224-Table1[[#This Row],[Steps]]),F4224-Table1[[#This Row],[Steps]]),
))</f>
        <v>0</v>
      </c>
      <c r="E4225">
        <f>_xlfn.LET(_xlpm.dir,Table1[[#This Row],[Direction]],
IF(_xlpm.dir="R",
    IF(F4224+Table1[[#This Row],[Steps]]&gt;99,(F4224+Table1[[#This Row],[Steps]])-100,F4224+Table1[[#This Row],[Steps]]),
))</f>
        <v>0</v>
      </c>
      <c r="F4225">
        <f>IF(Table1[[#This Row],[New Pos L]]&lt;&gt;0,Table1[[#This Row],[New Pos L]],Table1[[#This Row],[New Pos R]])</f>
        <v>0</v>
      </c>
    </row>
    <row r="4226" spans="1:6" ht="16" x14ac:dyDescent="0.2">
      <c r="A4226" s="1" t="s">
        <v>591</v>
      </c>
      <c r="B4226" t="str">
        <f>LEFT(Table1[[#This Row],[Input]],1)</f>
        <v>R</v>
      </c>
      <c r="C4226">
        <f>_xlfn.LET(_xlpm.steps,SUBSTITUTE(Table1[[#This Row],[Input]],Table1[[#This Row],[Direction]],""),VALUE(IF(LEN(_xlpm.steps)&gt;2,RIGHT(_xlpm.steps,2),_xlpm.steps)))</f>
        <v>93</v>
      </c>
      <c r="D4226">
        <f>_xlfn.LET(_xlpm.dir,Table1[[#This Row],[Direction]],
IF(_xlpm.dir="L",
    IF(F4225-Table1[[#This Row],[Steps]]&lt;0,100+(F4225-Table1[[#This Row],[Steps]]),F4225-Table1[[#This Row],[Steps]]),
))</f>
        <v>0</v>
      </c>
      <c r="E4226">
        <f>_xlfn.LET(_xlpm.dir,Table1[[#This Row],[Direction]],
IF(_xlpm.dir="R",
    IF(F4225+Table1[[#This Row],[Steps]]&gt;99,(F4225+Table1[[#This Row],[Steps]])-100,F4225+Table1[[#This Row],[Steps]]),
))</f>
        <v>93</v>
      </c>
      <c r="F4226">
        <f>IF(Table1[[#This Row],[New Pos L]]&lt;&gt;0,Table1[[#This Row],[New Pos L]],Table1[[#This Row],[New Pos R]])</f>
        <v>93</v>
      </c>
    </row>
    <row r="4227" spans="1:6" ht="16" x14ac:dyDescent="0.2">
      <c r="A4227" s="1" t="s">
        <v>49</v>
      </c>
      <c r="B4227" t="str">
        <f>LEFT(Table1[[#This Row],[Input]],1)</f>
        <v>L</v>
      </c>
      <c r="C4227">
        <f>_xlfn.LET(_xlpm.steps,SUBSTITUTE(Table1[[#This Row],[Input]],Table1[[#This Row],[Direction]],""),VALUE(IF(LEN(_xlpm.steps)&gt;2,RIGHT(_xlpm.steps,2),_xlpm.steps)))</f>
        <v>93</v>
      </c>
      <c r="D4227">
        <f>_xlfn.LET(_xlpm.dir,Table1[[#This Row],[Direction]],
IF(_xlpm.dir="L",
    IF(F4226-Table1[[#This Row],[Steps]]&lt;0,100+(F4226-Table1[[#This Row],[Steps]]),F4226-Table1[[#This Row],[Steps]]),
))</f>
        <v>0</v>
      </c>
      <c r="E4227">
        <f>_xlfn.LET(_xlpm.dir,Table1[[#This Row],[Direction]],
IF(_xlpm.dir="R",
    IF(F4226+Table1[[#This Row],[Steps]]&gt;99,(F4226+Table1[[#This Row],[Steps]])-100,F4226+Table1[[#This Row],[Steps]]),
))</f>
        <v>0</v>
      </c>
      <c r="F4227">
        <f>IF(Table1[[#This Row],[New Pos L]]&lt;&gt;0,Table1[[#This Row],[New Pos L]],Table1[[#This Row],[New Pos R]])</f>
        <v>0</v>
      </c>
    </row>
    <row r="4228" spans="1:6" ht="16" x14ac:dyDescent="0.2">
      <c r="A4228" s="1" t="s">
        <v>49</v>
      </c>
      <c r="B4228" t="str">
        <f>LEFT(Table1[[#This Row],[Input]],1)</f>
        <v>L</v>
      </c>
      <c r="C4228">
        <f>_xlfn.LET(_xlpm.steps,SUBSTITUTE(Table1[[#This Row],[Input]],Table1[[#This Row],[Direction]],""),VALUE(IF(LEN(_xlpm.steps)&gt;2,RIGHT(_xlpm.steps,2),_xlpm.steps)))</f>
        <v>93</v>
      </c>
      <c r="D4228">
        <f>_xlfn.LET(_xlpm.dir,Table1[[#This Row],[Direction]],
IF(_xlpm.dir="L",
    IF(F4227-Table1[[#This Row],[Steps]]&lt;0,100+(F4227-Table1[[#This Row],[Steps]]),F4227-Table1[[#This Row],[Steps]]),
))</f>
        <v>7</v>
      </c>
      <c r="E4228">
        <f>_xlfn.LET(_xlpm.dir,Table1[[#This Row],[Direction]],
IF(_xlpm.dir="R",
    IF(F4227+Table1[[#This Row],[Steps]]&gt;99,(F4227+Table1[[#This Row],[Steps]])-100,F4227+Table1[[#This Row],[Steps]]),
))</f>
        <v>0</v>
      </c>
      <c r="F4228">
        <f>IF(Table1[[#This Row],[New Pos L]]&lt;&gt;0,Table1[[#This Row],[New Pos L]],Table1[[#This Row],[New Pos R]])</f>
        <v>7</v>
      </c>
    </row>
    <row r="4229" spans="1:6" ht="16" x14ac:dyDescent="0.2">
      <c r="A4229" s="1" t="s">
        <v>853</v>
      </c>
      <c r="B4229" t="str">
        <f>LEFT(Table1[[#This Row],[Input]],1)</f>
        <v>R</v>
      </c>
      <c r="C4229">
        <f>_xlfn.LET(_xlpm.steps,SUBSTITUTE(Table1[[#This Row],[Input]],Table1[[#This Row],[Direction]],""),VALUE(IF(LEN(_xlpm.steps)&gt;2,RIGHT(_xlpm.steps,2),_xlpm.steps)))</f>
        <v>93</v>
      </c>
      <c r="D4229">
        <f>_xlfn.LET(_xlpm.dir,Table1[[#This Row],[Direction]],
IF(_xlpm.dir="L",
    IF(F4228-Table1[[#This Row],[Steps]]&lt;0,100+(F4228-Table1[[#This Row],[Steps]]),F4228-Table1[[#This Row],[Steps]]),
))</f>
        <v>0</v>
      </c>
      <c r="E4229">
        <f>_xlfn.LET(_xlpm.dir,Table1[[#This Row],[Direction]],
IF(_xlpm.dir="R",
    IF(F4228+Table1[[#This Row],[Steps]]&gt;99,(F4228+Table1[[#This Row],[Steps]])-100,F4228+Table1[[#This Row],[Steps]]),
))</f>
        <v>0</v>
      </c>
      <c r="F4229">
        <f>IF(Table1[[#This Row],[New Pos L]]&lt;&gt;0,Table1[[#This Row],[New Pos L]],Table1[[#This Row],[New Pos R]])</f>
        <v>0</v>
      </c>
    </row>
    <row r="4230" spans="1:6" ht="16" x14ac:dyDescent="0.2">
      <c r="A4230" s="1" t="s">
        <v>363</v>
      </c>
      <c r="B4230" t="str">
        <f>LEFT(Table1[[#This Row],[Input]],1)</f>
        <v>R</v>
      </c>
      <c r="C4230">
        <f>_xlfn.LET(_xlpm.steps,SUBSTITUTE(Table1[[#This Row],[Input]],Table1[[#This Row],[Direction]],""),VALUE(IF(LEN(_xlpm.steps)&gt;2,RIGHT(_xlpm.steps,2),_xlpm.steps)))</f>
        <v>63</v>
      </c>
      <c r="D4230">
        <f>_xlfn.LET(_xlpm.dir,Table1[[#This Row],[Direction]],
IF(_xlpm.dir="L",
    IF(F4229-Table1[[#This Row],[Steps]]&lt;0,100+(F4229-Table1[[#This Row],[Steps]]),F4229-Table1[[#This Row],[Steps]]),
))</f>
        <v>0</v>
      </c>
      <c r="E4230">
        <f>_xlfn.LET(_xlpm.dir,Table1[[#This Row],[Direction]],
IF(_xlpm.dir="R",
    IF(F4229+Table1[[#This Row],[Steps]]&gt;99,(F4229+Table1[[#This Row],[Steps]])-100,F4229+Table1[[#This Row],[Steps]]),
))</f>
        <v>63</v>
      </c>
      <c r="F4230">
        <f>IF(Table1[[#This Row],[New Pos L]]&lt;&gt;0,Table1[[#This Row],[New Pos L]],Table1[[#This Row],[New Pos R]])</f>
        <v>63</v>
      </c>
    </row>
    <row r="4231" spans="1:6" ht="16" x14ac:dyDescent="0.2">
      <c r="A4231" s="1" t="s">
        <v>54</v>
      </c>
      <c r="B4231" t="str">
        <f>LEFT(Table1[[#This Row],[Input]],1)</f>
        <v>L</v>
      </c>
      <c r="C4231">
        <f>_xlfn.LET(_xlpm.steps,SUBSTITUTE(Table1[[#This Row],[Input]],Table1[[#This Row],[Direction]],""),VALUE(IF(LEN(_xlpm.steps)&gt;2,RIGHT(_xlpm.steps,2),_xlpm.steps)))</f>
        <v>75</v>
      </c>
      <c r="D4231">
        <f>_xlfn.LET(_xlpm.dir,Table1[[#This Row],[Direction]],
IF(_xlpm.dir="L",
    IF(F4230-Table1[[#This Row],[Steps]]&lt;0,100+(F4230-Table1[[#This Row],[Steps]]),F4230-Table1[[#This Row],[Steps]]),
))</f>
        <v>88</v>
      </c>
      <c r="E4231">
        <f>_xlfn.LET(_xlpm.dir,Table1[[#This Row],[Direction]],
IF(_xlpm.dir="R",
    IF(F4230+Table1[[#This Row],[Steps]]&gt;99,(F4230+Table1[[#This Row],[Steps]])-100,F4230+Table1[[#This Row],[Steps]]),
))</f>
        <v>0</v>
      </c>
      <c r="F4231">
        <f>IF(Table1[[#This Row],[New Pos L]]&lt;&gt;0,Table1[[#This Row],[New Pos L]],Table1[[#This Row],[New Pos R]])</f>
        <v>88</v>
      </c>
    </row>
    <row r="4232" spans="1:6" ht="16" x14ac:dyDescent="0.2">
      <c r="A4232" s="1" t="s">
        <v>49</v>
      </c>
      <c r="B4232" t="str">
        <f>LEFT(Table1[[#This Row],[Input]],1)</f>
        <v>L</v>
      </c>
      <c r="C4232">
        <f>_xlfn.LET(_xlpm.steps,SUBSTITUTE(Table1[[#This Row],[Input]],Table1[[#This Row],[Direction]],""),VALUE(IF(LEN(_xlpm.steps)&gt;2,RIGHT(_xlpm.steps,2),_xlpm.steps)))</f>
        <v>93</v>
      </c>
      <c r="D4232">
        <f>_xlfn.LET(_xlpm.dir,Table1[[#This Row],[Direction]],
IF(_xlpm.dir="L",
    IF(F4231-Table1[[#This Row],[Steps]]&lt;0,100+(F4231-Table1[[#This Row],[Steps]]),F4231-Table1[[#This Row],[Steps]]),
))</f>
        <v>95</v>
      </c>
      <c r="E4232">
        <f>_xlfn.LET(_xlpm.dir,Table1[[#This Row],[Direction]],
IF(_xlpm.dir="R",
    IF(F4231+Table1[[#This Row],[Steps]]&gt;99,(F4231+Table1[[#This Row],[Steps]])-100,F4231+Table1[[#This Row],[Steps]]),
))</f>
        <v>0</v>
      </c>
      <c r="F4232">
        <f>IF(Table1[[#This Row],[New Pos L]]&lt;&gt;0,Table1[[#This Row],[New Pos L]],Table1[[#This Row],[New Pos R]])</f>
        <v>95</v>
      </c>
    </row>
    <row r="4233" spans="1:6" ht="16" x14ac:dyDescent="0.2">
      <c r="A4233" s="1" t="s">
        <v>140</v>
      </c>
      <c r="B4233" t="str">
        <f>LEFT(Table1[[#This Row],[Input]],1)</f>
        <v>L</v>
      </c>
      <c r="C4233">
        <f>_xlfn.LET(_xlpm.steps,SUBSTITUTE(Table1[[#This Row],[Input]],Table1[[#This Row],[Direction]],""),VALUE(IF(LEN(_xlpm.steps)&gt;2,RIGHT(_xlpm.steps,2),_xlpm.steps)))</f>
        <v>61</v>
      </c>
      <c r="D4233">
        <f>_xlfn.LET(_xlpm.dir,Table1[[#This Row],[Direction]],
IF(_xlpm.dir="L",
    IF(F4232-Table1[[#This Row],[Steps]]&lt;0,100+(F4232-Table1[[#This Row],[Steps]]),F4232-Table1[[#This Row],[Steps]]),
))</f>
        <v>34</v>
      </c>
      <c r="E4233">
        <f>_xlfn.LET(_xlpm.dir,Table1[[#This Row],[Direction]],
IF(_xlpm.dir="R",
    IF(F4232+Table1[[#This Row],[Steps]]&gt;99,(F4232+Table1[[#This Row],[Steps]])-100,F4232+Table1[[#This Row],[Steps]]),
))</f>
        <v>0</v>
      </c>
      <c r="F4233">
        <f>IF(Table1[[#This Row],[New Pos L]]&lt;&gt;0,Table1[[#This Row],[New Pos L]],Table1[[#This Row],[New Pos R]])</f>
        <v>34</v>
      </c>
    </row>
    <row r="4234" spans="1:6" ht="16" x14ac:dyDescent="0.2">
      <c r="A4234" s="1" t="s">
        <v>121</v>
      </c>
      <c r="B4234" t="str">
        <f>LEFT(Table1[[#This Row],[Input]],1)</f>
        <v>L</v>
      </c>
      <c r="C4234">
        <f>_xlfn.LET(_xlpm.steps,SUBSTITUTE(Table1[[#This Row],[Input]],Table1[[#This Row],[Direction]],""),VALUE(IF(LEN(_xlpm.steps)&gt;2,RIGHT(_xlpm.steps,2),_xlpm.steps)))</f>
        <v>69</v>
      </c>
      <c r="D4234">
        <f>_xlfn.LET(_xlpm.dir,Table1[[#This Row],[Direction]],
IF(_xlpm.dir="L",
    IF(F4233-Table1[[#This Row],[Steps]]&lt;0,100+(F4233-Table1[[#This Row],[Steps]]),F4233-Table1[[#This Row],[Steps]]),
))</f>
        <v>65</v>
      </c>
      <c r="E4234">
        <f>_xlfn.LET(_xlpm.dir,Table1[[#This Row],[Direction]],
IF(_xlpm.dir="R",
    IF(F4233+Table1[[#This Row],[Steps]]&gt;99,(F4233+Table1[[#This Row],[Steps]])-100,F4233+Table1[[#This Row],[Steps]]),
))</f>
        <v>0</v>
      </c>
      <c r="F4234">
        <f>IF(Table1[[#This Row],[New Pos L]]&lt;&gt;0,Table1[[#This Row],[New Pos L]],Table1[[#This Row],[New Pos R]])</f>
        <v>65</v>
      </c>
    </row>
    <row r="4235" spans="1:6" ht="16" x14ac:dyDescent="0.2">
      <c r="A4235" s="1" t="s">
        <v>98</v>
      </c>
      <c r="B4235" t="str">
        <f>LEFT(Table1[[#This Row],[Input]],1)</f>
        <v>L</v>
      </c>
      <c r="C4235">
        <f>_xlfn.LET(_xlpm.steps,SUBSTITUTE(Table1[[#This Row],[Input]],Table1[[#This Row],[Direction]],""),VALUE(IF(LEN(_xlpm.steps)&gt;2,RIGHT(_xlpm.steps,2),_xlpm.steps)))</f>
        <v>65</v>
      </c>
      <c r="D4235">
        <f>_xlfn.LET(_xlpm.dir,Table1[[#This Row],[Direction]],
IF(_xlpm.dir="L",
    IF(F4234-Table1[[#This Row],[Steps]]&lt;0,100+(F4234-Table1[[#This Row],[Steps]]),F4234-Table1[[#This Row],[Steps]]),
))</f>
        <v>0</v>
      </c>
      <c r="E4235">
        <f>_xlfn.LET(_xlpm.dir,Table1[[#This Row],[Direction]],
IF(_xlpm.dir="R",
    IF(F4234+Table1[[#This Row],[Steps]]&gt;99,(F4234+Table1[[#This Row],[Steps]])-100,F4234+Table1[[#This Row],[Steps]]),
))</f>
        <v>0</v>
      </c>
      <c r="F4235">
        <f>IF(Table1[[#This Row],[New Pos L]]&lt;&gt;0,Table1[[#This Row],[New Pos L]],Table1[[#This Row],[New Pos R]])</f>
        <v>0</v>
      </c>
    </row>
    <row r="4236" spans="1:6" ht="16" x14ac:dyDescent="0.2">
      <c r="A4236" s="1" t="s">
        <v>854</v>
      </c>
      <c r="B4236" t="str">
        <f>LEFT(Table1[[#This Row],[Input]],1)</f>
        <v>R</v>
      </c>
      <c r="C4236">
        <f>_xlfn.LET(_xlpm.steps,SUBSTITUTE(Table1[[#This Row],[Input]],Table1[[#This Row],[Direction]],""),VALUE(IF(LEN(_xlpm.steps)&gt;2,RIGHT(_xlpm.steps,2),_xlpm.steps)))</f>
        <v>44</v>
      </c>
      <c r="D4236">
        <f>_xlfn.LET(_xlpm.dir,Table1[[#This Row],[Direction]],
IF(_xlpm.dir="L",
    IF(F4235-Table1[[#This Row],[Steps]]&lt;0,100+(F4235-Table1[[#This Row],[Steps]]),F4235-Table1[[#This Row],[Steps]]),
))</f>
        <v>0</v>
      </c>
      <c r="E4236">
        <f>_xlfn.LET(_xlpm.dir,Table1[[#This Row],[Direction]],
IF(_xlpm.dir="R",
    IF(F4235+Table1[[#This Row],[Steps]]&gt;99,(F4235+Table1[[#This Row],[Steps]])-100,F4235+Table1[[#This Row],[Steps]]),
))</f>
        <v>44</v>
      </c>
      <c r="F4236">
        <f>IF(Table1[[#This Row],[New Pos L]]&lt;&gt;0,Table1[[#This Row],[New Pos L]],Table1[[#This Row],[New Pos R]])</f>
        <v>44</v>
      </c>
    </row>
    <row r="4237" spans="1:6" ht="16" x14ac:dyDescent="0.2">
      <c r="A4237" s="1" t="s">
        <v>19</v>
      </c>
      <c r="B4237" t="str">
        <f>LEFT(Table1[[#This Row],[Input]],1)</f>
        <v>R</v>
      </c>
      <c r="C4237">
        <f>_xlfn.LET(_xlpm.steps,SUBSTITUTE(Table1[[#This Row],[Input]],Table1[[#This Row],[Direction]],""),VALUE(IF(LEN(_xlpm.steps)&gt;2,RIGHT(_xlpm.steps,2),_xlpm.steps)))</f>
        <v>47</v>
      </c>
      <c r="D4237">
        <f>_xlfn.LET(_xlpm.dir,Table1[[#This Row],[Direction]],
IF(_xlpm.dir="L",
    IF(F4236-Table1[[#This Row],[Steps]]&lt;0,100+(F4236-Table1[[#This Row],[Steps]]),F4236-Table1[[#This Row],[Steps]]),
))</f>
        <v>0</v>
      </c>
      <c r="E4237">
        <f>_xlfn.LET(_xlpm.dir,Table1[[#This Row],[Direction]],
IF(_xlpm.dir="R",
    IF(F4236+Table1[[#This Row],[Steps]]&gt;99,(F4236+Table1[[#This Row],[Steps]])-100,F4236+Table1[[#This Row],[Steps]]),
))</f>
        <v>91</v>
      </c>
      <c r="F4237">
        <f>IF(Table1[[#This Row],[New Pos L]]&lt;&gt;0,Table1[[#This Row],[New Pos L]],Table1[[#This Row],[New Pos R]])</f>
        <v>91</v>
      </c>
    </row>
    <row r="4238" spans="1:6" ht="16" x14ac:dyDescent="0.2">
      <c r="A4238" s="1" t="s">
        <v>379</v>
      </c>
      <c r="B4238" t="str">
        <f>LEFT(Table1[[#This Row],[Input]],1)</f>
        <v>L</v>
      </c>
      <c r="C4238">
        <f>_xlfn.LET(_xlpm.steps,SUBSTITUTE(Table1[[#This Row],[Input]],Table1[[#This Row],[Direction]],""),VALUE(IF(LEN(_xlpm.steps)&gt;2,RIGHT(_xlpm.steps,2),_xlpm.steps)))</f>
        <v>4</v>
      </c>
      <c r="D4238">
        <f>_xlfn.LET(_xlpm.dir,Table1[[#This Row],[Direction]],
IF(_xlpm.dir="L",
    IF(F4237-Table1[[#This Row],[Steps]]&lt;0,100+(F4237-Table1[[#This Row],[Steps]]),F4237-Table1[[#This Row],[Steps]]),
))</f>
        <v>87</v>
      </c>
      <c r="E4238">
        <f>_xlfn.LET(_xlpm.dir,Table1[[#This Row],[Direction]],
IF(_xlpm.dir="R",
    IF(F4237+Table1[[#This Row],[Steps]]&gt;99,(F4237+Table1[[#This Row],[Steps]])-100,F4237+Table1[[#This Row],[Steps]]),
))</f>
        <v>0</v>
      </c>
      <c r="F4238">
        <f>IF(Table1[[#This Row],[New Pos L]]&lt;&gt;0,Table1[[#This Row],[New Pos L]],Table1[[#This Row],[New Pos R]])</f>
        <v>87</v>
      </c>
    </row>
    <row r="4239" spans="1:6" ht="16" x14ac:dyDescent="0.2">
      <c r="A4239" s="1" t="s">
        <v>223</v>
      </c>
      <c r="B4239" t="str">
        <f>LEFT(Table1[[#This Row],[Input]],1)</f>
        <v>L</v>
      </c>
      <c r="C4239">
        <f>_xlfn.LET(_xlpm.steps,SUBSTITUTE(Table1[[#This Row],[Input]],Table1[[#This Row],[Direction]],""),VALUE(IF(LEN(_xlpm.steps)&gt;2,RIGHT(_xlpm.steps,2),_xlpm.steps)))</f>
        <v>87</v>
      </c>
      <c r="D4239">
        <f>_xlfn.LET(_xlpm.dir,Table1[[#This Row],[Direction]],
IF(_xlpm.dir="L",
    IF(F4238-Table1[[#This Row],[Steps]]&lt;0,100+(F4238-Table1[[#This Row],[Steps]]),F4238-Table1[[#This Row],[Steps]]),
))</f>
        <v>0</v>
      </c>
      <c r="E4239">
        <f>_xlfn.LET(_xlpm.dir,Table1[[#This Row],[Direction]],
IF(_xlpm.dir="R",
    IF(F4238+Table1[[#This Row],[Steps]]&gt;99,(F4238+Table1[[#This Row],[Steps]])-100,F4238+Table1[[#This Row],[Steps]]),
))</f>
        <v>0</v>
      </c>
      <c r="F4239">
        <f>IF(Table1[[#This Row],[New Pos L]]&lt;&gt;0,Table1[[#This Row],[New Pos L]],Table1[[#This Row],[New Pos R]])</f>
        <v>0</v>
      </c>
    </row>
    <row r="4240" spans="1:6" ht="16" x14ac:dyDescent="0.2">
      <c r="A4240" s="1" t="s">
        <v>49</v>
      </c>
      <c r="B4240" t="str">
        <f>LEFT(Table1[[#This Row],[Input]],1)</f>
        <v>L</v>
      </c>
      <c r="C4240">
        <f>_xlfn.LET(_xlpm.steps,SUBSTITUTE(Table1[[#This Row],[Input]],Table1[[#This Row],[Direction]],""),VALUE(IF(LEN(_xlpm.steps)&gt;2,RIGHT(_xlpm.steps,2),_xlpm.steps)))</f>
        <v>93</v>
      </c>
      <c r="D4240">
        <f>_xlfn.LET(_xlpm.dir,Table1[[#This Row],[Direction]],
IF(_xlpm.dir="L",
    IF(F4239-Table1[[#This Row],[Steps]]&lt;0,100+(F4239-Table1[[#This Row],[Steps]]),F4239-Table1[[#This Row],[Steps]]),
))</f>
        <v>7</v>
      </c>
      <c r="E4240">
        <f>_xlfn.LET(_xlpm.dir,Table1[[#This Row],[Direction]],
IF(_xlpm.dir="R",
    IF(F4239+Table1[[#This Row],[Steps]]&gt;99,(F4239+Table1[[#This Row],[Steps]])-100,F4239+Table1[[#This Row],[Steps]]),
))</f>
        <v>0</v>
      </c>
      <c r="F4240">
        <f>IF(Table1[[#This Row],[New Pos L]]&lt;&gt;0,Table1[[#This Row],[New Pos L]],Table1[[#This Row],[New Pos R]])</f>
        <v>7</v>
      </c>
    </row>
    <row r="4241" spans="1:6" ht="16" x14ac:dyDescent="0.2">
      <c r="A4241" s="1" t="s">
        <v>174</v>
      </c>
      <c r="B4241" t="str">
        <f>LEFT(Table1[[#This Row],[Input]],1)</f>
        <v>L</v>
      </c>
      <c r="C4241">
        <f>_xlfn.LET(_xlpm.steps,SUBSTITUTE(Table1[[#This Row],[Input]],Table1[[#This Row],[Direction]],""),VALUE(IF(LEN(_xlpm.steps)&gt;2,RIGHT(_xlpm.steps,2),_xlpm.steps)))</f>
        <v>92</v>
      </c>
      <c r="D4241">
        <f>_xlfn.LET(_xlpm.dir,Table1[[#This Row],[Direction]],
IF(_xlpm.dir="L",
    IF(F4240-Table1[[#This Row],[Steps]]&lt;0,100+(F4240-Table1[[#This Row],[Steps]]),F4240-Table1[[#This Row],[Steps]]),
))</f>
        <v>15</v>
      </c>
      <c r="E4241">
        <f>_xlfn.LET(_xlpm.dir,Table1[[#This Row],[Direction]],
IF(_xlpm.dir="R",
    IF(F4240+Table1[[#This Row],[Steps]]&gt;99,(F4240+Table1[[#This Row],[Steps]])-100,F4240+Table1[[#This Row],[Steps]]),
))</f>
        <v>0</v>
      </c>
      <c r="F4241">
        <f>IF(Table1[[#This Row],[New Pos L]]&lt;&gt;0,Table1[[#This Row],[New Pos L]],Table1[[#This Row],[New Pos R]])</f>
        <v>15</v>
      </c>
    </row>
    <row r="4242" spans="1:6" ht="16" x14ac:dyDescent="0.2">
      <c r="A4242" s="1" t="s">
        <v>34</v>
      </c>
      <c r="B4242" t="str">
        <f>LEFT(Table1[[#This Row],[Input]],1)</f>
        <v>L</v>
      </c>
      <c r="C4242">
        <f>_xlfn.LET(_xlpm.steps,SUBSTITUTE(Table1[[#This Row],[Input]],Table1[[#This Row],[Direction]],""),VALUE(IF(LEN(_xlpm.steps)&gt;2,RIGHT(_xlpm.steps,2),_xlpm.steps)))</f>
        <v>15</v>
      </c>
      <c r="D4242">
        <f>_xlfn.LET(_xlpm.dir,Table1[[#This Row],[Direction]],
IF(_xlpm.dir="L",
    IF(F4241-Table1[[#This Row],[Steps]]&lt;0,100+(F4241-Table1[[#This Row],[Steps]]),F4241-Table1[[#This Row],[Steps]]),
))</f>
        <v>0</v>
      </c>
      <c r="E4242">
        <f>_xlfn.LET(_xlpm.dir,Table1[[#This Row],[Direction]],
IF(_xlpm.dir="R",
    IF(F4241+Table1[[#This Row],[Steps]]&gt;99,(F4241+Table1[[#This Row],[Steps]])-100,F4241+Table1[[#This Row],[Steps]]),
))</f>
        <v>0</v>
      </c>
      <c r="F4242">
        <f>IF(Table1[[#This Row],[New Pos L]]&lt;&gt;0,Table1[[#This Row],[New Pos L]],Table1[[#This Row],[New Pos R]])</f>
        <v>0</v>
      </c>
    </row>
    <row r="4243" spans="1:6" ht="16" x14ac:dyDescent="0.2">
      <c r="A4243" s="1" t="s">
        <v>94</v>
      </c>
      <c r="B4243" t="str">
        <f>LEFT(Table1[[#This Row],[Input]],1)</f>
        <v>L</v>
      </c>
      <c r="C4243">
        <f>_xlfn.LET(_xlpm.steps,SUBSTITUTE(Table1[[#This Row],[Input]],Table1[[#This Row],[Direction]],""),VALUE(IF(LEN(_xlpm.steps)&gt;2,RIGHT(_xlpm.steps,2),_xlpm.steps)))</f>
        <v>71</v>
      </c>
      <c r="D4243">
        <f>_xlfn.LET(_xlpm.dir,Table1[[#This Row],[Direction]],
IF(_xlpm.dir="L",
    IF(F4242-Table1[[#This Row],[Steps]]&lt;0,100+(F4242-Table1[[#This Row],[Steps]]),F4242-Table1[[#This Row],[Steps]]),
))</f>
        <v>29</v>
      </c>
      <c r="E4243">
        <f>_xlfn.LET(_xlpm.dir,Table1[[#This Row],[Direction]],
IF(_xlpm.dir="R",
    IF(F4242+Table1[[#This Row],[Steps]]&gt;99,(F4242+Table1[[#This Row],[Steps]])-100,F4242+Table1[[#This Row],[Steps]]),
))</f>
        <v>0</v>
      </c>
      <c r="F4243">
        <f>IF(Table1[[#This Row],[New Pos L]]&lt;&gt;0,Table1[[#This Row],[New Pos L]],Table1[[#This Row],[New Pos R]])</f>
        <v>29</v>
      </c>
    </row>
    <row r="4244" spans="1:6" ht="16" x14ac:dyDescent="0.2">
      <c r="A4244" s="1" t="s">
        <v>14</v>
      </c>
      <c r="B4244" t="str">
        <f>LEFT(Table1[[#This Row],[Input]],1)</f>
        <v>L</v>
      </c>
      <c r="C4244">
        <f>_xlfn.LET(_xlpm.steps,SUBSTITUTE(Table1[[#This Row],[Input]],Table1[[#This Row],[Direction]],""),VALUE(IF(LEN(_xlpm.steps)&gt;2,RIGHT(_xlpm.steps,2),_xlpm.steps)))</f>
        <v>43</v>
      </c>
      <c r="D4244">
        <f>_xlfn.LET(_xlpm.dir,Table1[[#This Row],[Direction]],
IF(_xlpm.dir="L",
    IF(F4243-Table1[[#This Row],[Steps]]&lt;0,100+(F4243-Table1[[#This Row],[Steps]]),F4243-Table1[[#This Row],[Steps]]),
))</f>
        <v>86</v>
      </c>
      <c r="E4244">
        <f>_xlfn.LET(_xlpm.dir,Table1[[#This Row],[Direction]],
IF(_xlpm.dir="R",
    IF(F4243+Table1[[#This Row],[Steps]]&gt;99,(F4243+Table1[[#This Row],[Steps]])-100,F4243+Table1[[#This Row],[Steps]]),
))</f>
        <v>0</v>
      </c>
      <c r="F4244">
        <f>IF(Table1[[#This Row],[New Pos L]]&lt;&gt;0,Table1[[#This Row],[New Pos L]],Table1[[#This Row],[New Pos R]])</f>
        <v>86</v>
      </c>
    </row>
    <row r="4245" spans="1:6" ht="16" x14ac:dyDescent="0.2">
      <c r="A4245" s="1" t="s">
        <v>67</v>
      </c>
      <c r="B4245" t="str">
        <f>LEFT(Table1[[#This Row],[Input]],1)</f>
        <v>R</v>
      </c>
      <c r="C4245">
        <f>_xlfn.LET(_xlpm.steps,SUBSTITUTE(Table1[[#This Row],[Input]],Table1[[#This Row],[Direction]],""),VALUE(IF(LEN(_xlpm.steps)&gt;2,RIGHT(_xlpm.steps,2),_xlpm.steps)))</f>
        <v>33</v>
      </c>
      <c r="D4245">
        <f>_xlfn.LET(_xlpm.dir,Table1[[#This Row],[Direction]],
IF(_xlpm.dir="L",
    IF(F4244-Table1[[#This Row],[Steps]]&lt;0,100+(F4244-Table1[[#This Row],[Steps]]),F4244-Table1[[#This Row],[Steps]]),
))</f>
        <v>0</v>
      </c>
      <c r="E4245">
        <f>_xlfn.LET(_xlpm.dir,Table1[[#This Row],[Direction]],
IF(_xlpm.dir="R",
    IF(F4244+Table1[[#This Row],[Steps]]&gt;99,(F4244+Table1[[#This Row],[Steps]])-100,F4244+Table1[[#This Row],[Steps]]),
))</f>
        <v>19</v>
      </c>
      <c r="F4245">
        <f>IF(Table1[[#This Row],[New Pos L]]&lt;&gt;0,Table1[[#This Row],[New Pos L]],Table1[[#This Row],[New Pos R]])</f>
        <v>19</v>
      </c>
    </row>
    <row r="4246" spans="1:6" ht="16" x14ac:dyDescent="0.2">
      <c r="A4246" s="1" t="s">
        <v>48</v>
      </c>
      <c r="B4246" t="str">
        <f>LEFT(Table1[[#This Row],[Input]],1)</f>
        <v>R</v>
      </c>
      <c r="C4246">
        <f>_xlfn.LET(_xlpm.steps,SUBSTITUTE(Table1[[#This Row],[Input]],Table1[[#This Row],[Direction]],""),VALUE(IF(LEN(_xlpm.steps)&gt;2,RIGHT(_xlpm.steps,2),_xlpm.steps)))</f>
        <v>81</v>
      </c>
      <c r="D4246">
        <f>_xlfn.LET(_xlpm.dir,Table1[[#This Row],[Direction]],
IF(_xlpm.dir="L",
    IF(F4245-Table1[[#This Row],[Steps]]&lt;0,100+(F4245-Table1[[#This Row],[Steps]]),F4245-Table1[[#This Row],[Steps]]),
))</f>
        <v>0</v>
      </c>
      <c r="E4246">
        <f>_xlfn.LET(_xlpm.dir,Table1[[#This Row],[Direction]],
IF(_xlpm.dir="R",
    IF(F4245+Table1[[#This Row],[Steps]]&gt;99,(F4245+Table1[[#This Row],[Steps]])-100,F4245+Table1[[#This Row],[Steps]]),
))</f>
        <v>0</v>
      </c>
      <c r="F4246">
        <f>IF(Table1[[#This Row],[New Pos L]]&lt;&gt;0,Table1[[#This Row],[New Pos L]],Table1[[#This Row],[New Pos R]])</f>
        <v>0</v>
      </c>
    </row>
    <row r="4247" spans="1:6" ht="16" x14ac:dyDescent="0.2">
      <c r="A4247" s="1" t="s">
        <v>19</v>
      </c>
      <c r="B4247" t="str">
        <f>LEFT(Table1[[#This Row],[Input]],1)</f>
        <v>R</v>
      </c>
      <c r="C4247">
        <f>_xlfn.LET(_xlpm.steps,SUBSTITUTE(Table1[[#This Row],[Input]],Table1[[#This Row],[Direction]],""),VALUE(IF(LEN(_xlpm.steps)&gt;2,RIGHT(_xlpm.steps,2),_xlpm.steps)))</f>
        <v>47</v>
      </c>
      <c r="D4247">
        <f>_xlfn.LET(_xlpm.dir,Table1[[#This Row],[Direction]],
IF(_xlpm.dir="L",
    IF(F4246-Table1[[#This Row],[Steps]]&lt;0,100+(F4246-Table1[[#This Row],[Steps]]),F4246-Table1[[#This Row],[Steps]]),
))</f>
        <v>0</v>
      </c>
      <c r="E4247">
        <f>_xlfn.LET(_xlpm.dir,Table1[[#This Row],[Direction]],
IF(_xlpm.dir="R",
    IF(F4246+Table1[[#This Row],[Steps]]&gt;99,(F4246+Table1[[#This Row],[Steps]])-100,F4246+Table1[[#This Row],[Steps]]),
))</f>
        <v>47</v>
      </c>
      <c r="F4247">
        <f>IF(Table1[[#This Row],[New Pos L]]&lt;&gt;0,Table1[[#This Row],[New Pos L]],Table1[[#This Row],[New Pos R]])</f>
        <v>47</v>
      </c>
    </row>
    <row r="4248" spans="1:6" ht="16" x14ac:dyDescent="0.2">
      <c r="A4248" s="1" t="s">
        <v>1</v>
      </c>
      <c r="B4248" t="str">
        <f>LEFT(Table1[[#This Row],[Input]],1)</f>
        <v>R</v>
      </c>
      <c r="C4248">
        <f>_xlfn.LET(_xlpm.steps,SUBSTITUTE(Table1[[#This Row],[Input]],Table1[[#This Row],[Direction]],""),VALUE(IF(LEN(_xlpm.steps)&gt;2,RIGHT(_xlpm.steps,2),_xlpm.steps)))</f>
        <v>26</v>
      </c>
      <c r="D4248">
        <f>_xlfn.LET(_xlpm.dir,Table1[[#This Row],[Direction]],
IF(_xlpm.dir="L",
    IF(F4247-Table1[[#This Row],[Steps]]&lt;0,100+(F4247-Table1[[#This Row],[Steps]]),F4247-Table1[[#This Row],[Steps]]),
))</f>
        <v>0</v>
      </c>
      <c r="E4248">
        <f>_xlfn.LET(_xlpm.dir,Table1[[#This Row],[Direction]],
IF(_xlpm.dir="R",
    IF(F4247+Table1[[#This Row],[Steps]]&gt;99,(F4247+Table1[[#This Row],[Steps]])-100,F4247+Table1[[#This Row],[Steps]]),
))</f>
        <v>73</v>
      </c>
      <c r="F4248">
        <f>IF(Table1[[#This Row],[New Pos L]]&lt;&gt;0,Table1[[#This Row],[New Pos L]],Table1[[#This Row],[New Pos R]])</f>
        <v>73</v>
      </c>
    </row>
    <row r="4249" spans="1:6" ht="16" x14ac:dyDescent="0.2">
      <c r="A4249" s="1" t="s">
        <v>8</v>
      </c>
      <c r="B4249" t="str">
        <f>LEFT(Table1[[#This Row],[Input]],1)</f>
        <v>R</v>
      </c>
      <c r="C4249">
        <f>_xlfn.LET(_xlpm.steps,SUBSTITUTE(Table1[[#This Row],[Input]],Table1[[#This Row],[Direction]],""),VALUE(IF(LEN(_xlpm.steps)&gt;2,RIGHT(_xlpm.steps,2),_xlpm.steps)))</f>
        <v>18</v>
      </c>
      <c r="D4249">
        <f>_xlfn.LET(_xlpm.dir,Table1[[#This Row],[Direction]],
IF(_xlpm.dir="L",
    IF(F4248-Table1[[#This Row],[Steps]]&lt;0,100+(F4248-Table1[[#This Row],[Steps]]),F4248-Table1[[#This Row],[Steps]]),
))</f>
        <v>0</v>
      </c>
      <c r="E4249">
        <f>_xlfn.LET(_xlpm.dir,Table1[[#This Row],[Direction]],
IF(_xlpm.dir="R",
    IF(F4248+Table1[[#This Row],[Steps]]&gt;99,(F4248+Table1[[#This Row],[Steps]])-100,F4248+Table1[[#This Row],[Steps]]),
))</f>
        <v>91</v>
      </c>
      <c r="F4249">
        <f>IF(Table1[[#This Row],[New Pos L]]&lt;&gt;0,Table1[[#This Row],[New Pos L]],Table1[[#This Row],[New Pos R]])</f>
        <v>91</v>
      </c>
    </row>
    <row r="4250" spans="1:6" ht="16" x14ac:dyDescent="0.2">
      <c r="A4250" s="1" t="s">
        <v>129</v>
      </c>
      <c r="B4250" t="str">
        <f>LEFT(Table1[[#This Row],[Input]],1)</f>
        <v>R</v>
      </c>
      <c r="C4250">
        <f>_xlfn.LET(_xlpm.steps,SUBSTITUTE(Table1[[#This Row],[Input]],Table1[[#This Row],[Direction]],""),VALUE(IF(LEN(_xlpm.steps)&gt;2,RIGHT(_xlpm.steps,2),_xlpm.steps)))</f>
        <v>8</v>
      </c>
      <c r="D4250">
        <f>_xlfn.LET(_xlpm.dir,Table1[[#This Row],[Direction]],
IF(_xlpm.dir="L",
    IF(F4249-Table1[[#This Row],[Steps]]&lt;0,100+(F4249-Table1[[#This Row],[Steps]]),F4249-Table1[[#This Row],[Steps]]),
))</f>
        <v>0</v>
      </c>
      <c r="E4250">
        <f>_xlfn.LET(_xlpm.dir,Table1[[#This Row],[Direction]],
IF(_xlpm.dir="R",
    IF(F4249+Table1[[#This Row],[Steps]]&gt;99,(F4249+Table1[[#This Row],[Steps]])-100,F4249+Table1[[#This Row],[Steps]]),
))</f>
        <v>99</v>
      </c>
      <c r="F4250">
        <f>IF(Table1[[#This Row],[New Pos L]]&lt;&gt;0,Table1[[#This Row],[New Pos L]],Table1[[#This Row],[New Pos R]])</f>
        <v>99</v>
      </c>
    </row>
    <row r="4251" spans="1:6" ht="16" x14ac:dyDescent="0.2">
      <c r="A4251" s="1" t="s">
        <v>5</v>
      </c>
      <c r="B4251" t="str">
        <f>LEFT(Table1[[#This Row],[Input]],1)</f>
        <v>R</v>
      </c>
      <c r="C4251">
        <f>_xlfn.LET(_xlpm.steps,SUBSTITUTE(Table1[[#This Row],[Input]],Table1[[#This Row],[Direction]],""),VALUE(IF(LEN(_xlpm.steps)&gt;2,RIGHT(_xlpm.steps,2),_xlpm.steps)))</f>
        <v>1</v>
      </c>
      <c r="D4251">
        <f>_xlfn.LET(_xlpm.dir,Table1[[#This Row],[Direction]],
IF(_xlpm.dir="L",
    IF(F4250-Table1[[#This Row],[Steps]]&lt;0,100+(F4250-Table1[[#This Row],[Steps]]),F4250-Table1[[#This Row],[Steps]]),
))</f>
        <v>0</v>
      </c>
      <c r="E4251">
        <f>_xlfn.LET(_xlpm.dir,Table1[[#This Row],[Direction]],
IF(_xlpm.dir="R",
    IF(F4250+Table1[[#This Row],[Steps]]&gt;99,(F4250+Table1[[#This Row],[Steps]])-100,F4250+Table1[[#This Row],[Steps]]),
))</f>
        <v>0</v>
      </c>
      <c r="F4251">
        <f>IF(Table1[[#This Row],[New Pos L]]&lt;&gt;0,Table1[[#This Row],[New Pos L]],Table1[[#This Row],[New Pos R]])</f>
        <v>0</v>
      </c>
    </row>
    <row r="4252" spans="1:6" ht="16" x14ac:dyDescent="0.2">
      <c r="A4252" s="1" t="s">
        <v>226</v>
      </c>
      <c r="B4252" t="str">
        <f>LEFT(Table1[[#This Row],[Input]],1)</f>
        <v>L</v>
      </c>
      <c r="C4252">
        <f>_xlfn.LET(_xlpm.steps,SUBSTITUTE(Table1[[#This Row],[Input]],Table1[[#This Row],[Direction]],""),VALUE(IF(LEN(_xlpm.steps)&gt;2,RIGHT(_xlpm.steps,2),_xlpm.steps)))</f>
        <v>31</v>
      </c>
      <c r="D4252">
        <f>_xlfn.LET(_xlpm.dir,Table1[[#This Row],[Direction]],
IF(_xlpm.dir="L",
    IF(F4251-Table1[[#This Row],[Steps]]&lt;0,100+(F4251-Table1[[#This Row],[Steps]]),F4251-Table1[[#This Row],[Steps]]),
))</f>
        <v>69</v>
      </c>
      <c r="E4252">
        <f>_xlfn.LET(_xlpm.dir,Table1[[#This Row],[Direction]],
IF(_xlpm.dir="R",
    IF(F4251+Table1[[#This Row],[Steps]]&gt;99,(F4251+Table1[[#This Row],[Steps]])-100,F4251+Table1[[#This Row],[Steps]]),
))</f>
        <v>0</v>
      </c>
      <c r="F4252">
        <f>IF(Table1[[#This Row],[New Pos L]]&lt;&gt;0,Table1[[#This Row],[New Pos L]],Table1[[#This Row],[New Pos R]])</f>
        <v>69</v>
      </c>
    </row>
    <row r="4253" spans="1:6" ht="16" x14ac:dyDescent="0.2">
      <c r="A4253" s="1" t="s">
        <v>54</v>
      </c>
      <c r="B4253" t="str">
        <f>LEFT(Table1[[#This Row],[Input]],1)</f>
        <v>L</v>
      </c>
      <c r="C4253">
        <f>_xlfn.LET(_xlpm.steps,SUBSTITUTE(Table1[[#This Row],[Input]],Table1[[#This Row],[Direction]],""),VALUE(IF(LEN(_xlpm.steps)&gt;2,RIGHT(_xlpm.steps,2),_xlpm.steps)))</f>
        <v>75</v>
      </c>
      <c r="D4253">
        <f>_xlfn.LET(_xlpm.dir,Table1[[#This Row],[Direction]],
IF(_xlpm.dir="L",
    IF(F4252-Table1[[#This Row],[Steps]]&lt;0,100+(F4252-Table1[[#This Row],[Steps]]),F4252-Table1[[#This Row],[Steps]]),
))</f>
        <v>94</v>
      </c>
      <c r="E4253">
        <f>_xlfn.LET(_xlpm.dir,Table1[[#This Row],[Direction]],
IF(_xlpm.dir="R",
    IF(F4252+Table1[[#This Row],[Steps]]&gt;99,(F4252+Table1[[#This Row],[Steps]])-100,F4252+Table1[[#This Row],[Steps]]),
))</f>
        <v>0</v>
      </c>
      <c r="F4253">
        <f>IF(Table1[[#This Row],[New Pos L]]&lt;&gt;0,Table1[[#This Row],[New Pos L]],Table1[[#This Row],[New Pos R]])</f>
        <v>94</v>
      </c>
    </row>
    <row r="4254" spans="1:6" ht="16" x14ac:dyDescent="0.2">
      <c r="A4254" s="1" t="s">
        <v>41</v>
      </c>
      <c r="B4254" t="str">
        <f>LEFT(Table1[[#This Row],[Input]],1)</f>
        <v>L</v>
      </c>
      <c r="C4254">
        <f>_xlfn.LET(_xlpm.steps,SUBSTITUTE(Table1[[#This Row],[Input]],Table1[[#This Row],[Direction]],""),VALUE(IF(LEN(_xlpm.steps)&gt;2,RIGHT(_xlpm.steps,2),_xlpm.steps)))</f>
        <v>7</v>
      </c>
      <c r="D4254">
        <f>_xlfn.LET(_xlpm.dir,Table1[[#This Row],[Direction]],
IF(_xlpm.dir="L",
    IF(F4253-Table1[[#This Row],[Steps]]&lt;0,100+(F4253-Table1[[#This Row],[Steps]]),F4253-Table1[[#This Row],[Steps]]),
))</f>
        <v>87</v>
      </c>
      <c r="E4254">
        <f>_xlfn.LET(_xlpm.dir,Table1[[#This Row],[Direction]],
IF(_xlpm.dir="R",
    IF(F4253+Table1[[#This Row],[Steps]]&gt;99,(F4253+Table1[[#This Row],[Steps]])-100,F4253+Table1[[#This Row],[Steps]]),
))</f>
        <v>0</v>
      </c>
      <c r="F4254">
        <f>IF(Table1[[#This Row],[New Pos L]]&lt;&gt;0,Table1[[#This Row],[New Pos L]],Table1[[#This Row],[New Pos R]])</f>
        <v>87</v>
      </c>
    </row>
    <row r="4255" spans="1:6" ht="16" x14ac:dyDescent="0.2">
      <c r="A4255" s="1" t="s">
        <v>256</v>
      </c>
      <c r="B4255" t="str">
        <f>LEFT(Table1[[#This Row],[Input]],1)</f>
        <v>R</v>
      </c>
      <c r="C4255">
        <f>_xlfn.LET(_xlpm.steps,SUBSTITUTE(Table1[[#This Row],[Input]],Table1[[#This Row],[Direction]],""),VALUE(IF(LEN(_xlpm.steps)&gt;2,RIGHT(_xlpm.steps,2),_xlpm.steps)))</f>
        <v>13</v>
      </c>
      <c r="D4255">
        <f>_xlfn.LET(_xlpm.dir,Table1[[#This Row],[Direction]],
IF(_xlpm.dir="L",
    IF(F4254-Table1[[#This Row],[Steps]]&lt;0,100+(F4254-Table1[[#This Row],[Steps]]),F4254-Table1[[#This Row],[Steps]]),
))</f>
        <v>0</v>
      </c>
      <c r="E4255">
        <f>_xlfn.LET(_xlpm.dir,Table1[[#This Row],[Direction]],
IF(_xlpm.dir="R",
    IF(F4254+Table1[[#This Row],[Steps]]&gt;99,(F4254+Table1[[#This Row],[Steps]])-100,F4254+Table1[[#This Row],[Steps]]),
))</f>
        <v>0</v>
      </c>
      <c r="F4255">
        <f>IF(Table1[[#This Row],[New Pos L]]&lt;&gt;0,Table1[[#This Row],[New Pos L]],Table1[[#This Row],[New Pos R]])</f>
        <v>0</v>
      </c>
    </row>
    <row r="4256" spans="1:6" ht="16" x14ac:dyDescent="0.2">
      <c r="A4256" s="1" t="s">
        <v>185</v>
      </c>
      <c r="B4256" t="str">
        <f>LEFT(Table1[[#This Row],[Input]],1)</f>
        <v>R</v>
      </c>
      <c r="C4256">
        <f>_xlfn.LET(_xlpm.steps,SUBSTITUTE(Table1[[#This Row],[Input]],Table1[[#This Row],[Direction]],""),VALUE(IF(LEN(_xlpm.steps)&gt;2,RIGHT(_xlpm.steps,2),_xlpm.steps)))</f>
        <v>61</v>
      </c>
      <c r="D4256">
        <f>_xlfn.LET(_xlpm.dir,Table1[[#This Row],[Direction]],
IF(_xlpm.dir="L",
    IF(F4255-Table1[[#This Row],[Steps]]&lt;0,100+(F4255-Table1[[#This Row],[Steps]]),F4255-Table1[[#This Row],[Steps]]),
))</f>
        <v>0</v>
      </c>
      <c r="E4256">
        <f>_xlfn.LET(_xlpm.dir,Table1[[#This Row],[Direction]],
IF(_xlpm.dir="R",
    IF(F4255+Table1[[#This Row],[Steps]]&gt;99,(F4255+Table1[[#This Row],[Steps]])-100,F4255+Table1[[#This Row],[Steps]]),
))</f>
        <v>61</v>
      </c>
      <c r="F4256">
        <f>IF(Table1[[#This Row],[New Pos L]]&lt;&gt;0,Table1[[#This Row],[New Pos L]],Table1[[#This Row],[New Pos R]])</f>
        <v>61</v>
      </c>
    </row>
    <row r="4257" spans="1:6" ht="16" x14ac:dyDescent="0.2">
      <c r="A4257" s="1" t="s">
        <v>102</v>
      </c>
      <c r="B4257" t="str">
        <f>LEFT(Table1[[#This Row],[Input]],1)</f>
        <v>R</v>
      </c>
      <c r="C4257">
        <f>_xlfn.LET(_xlpm.steps,SUBSTITUTE(Table1[[#This Row],[Input]],Table1[[#This Row],[Direction]],""),VALUE(IF(LEN(_xlpm.steps)&gt;2,RIGHT(_xlpm.steps,2),_xlpm.steps)))</f>
        <v>39</v>
      </c>
      <c r="D4257">
        <f>_xlfn.LET(_xlpm.dir,Table1[[#This Row],[Direction]],
IF(_xlpm.dir="L",
    IF(F4256-Table1[[#This Row],[Steps]]&lt;0,100+(F4256-Table1[[#This Row],[Steps]]),F4256-Table1[[#This Row],[Steps]]),
))</f>
        <v>0</v>
      </c>
      <c r="E4257">
        <f>_xlfn.LET(_xlpm.dir,Table1[[#This Row],[Direction]],
IF(_xlpm.dir="R",
    IF(F4256+Table1[[#This Row],[Steps]]&gt;99,(F4256+Table1[[#This Row],[Steps]])-100,F4256+Table1[[#This Row],[Steps]]),
))</f>
        <v>0</v>
      </c>
      <c r="F4257">
        <f>IF(Table1[[#This Row],[New Pos L]]&lt;&gt;0,Table1[[#This Row],[New Pos L]],Table1[[#This Row],[New Pos R]])</f>
        <v>0</v>
      </c>
    </row>
    <row r="4258" spans="1:6" ht="16" x14ac:dyDescent="0.2">
      <c r="A4258" s="1" t="s">
        <v>40</v>
      </c>
      <c r="B4258" t="str">
        <f>LEFT(Table1[[#This Row],[Input]],1)</f>
        <v>R</v>
      </c>
      <c r="C4258">
        <f>_xlfn.LET(_xlpm.steps,SUBSTITUTE(Table1[[#This Row],[Input]],Table1[[#This Row],[Direction]],""),VALUE(IF(LEN(_xlpm.steps)&gt;2,RIGHT(_xlpm.steps,2),_xlpm.steps)))</f>
        <v>52</v>
      </c>
      <c r="D4258">
        <f>_xlfn.LET(_xlpm.dir,Table1[[#This Row],[Direction]],
IF(_xlpm.dir="L",
    IF(F4257-Table1[[#This Row],[Steps]]&lt;0,100+(F4257-Table1[[#This Row],[Steps]]),F4257-Table1[[#This Row],[Steps]]),
))</f>
        <v>0</v>
      </c>
      <c r="E4258">
        <f>_xlfn.LET(_xlpm.dir,Table1[[#This Row],[Direction]],
IF(_xlpm.dir="R",
    IF(F4257+Table1[[#This Row],[Steps]]&gt;99,(F4257+Table1[[#This Row],[Steps]])-100,F4257+Table1[[#This Row],[Steps]]),
))</f>
        <v>52</v>
      </c>
      <c r="F4258">
        <f>IF(Table1[[#This Row],[New Pos L]]&lt;&gt;0,Table1[[#This Row],[New Pos L]],Table1[[#This Row],[New Pos R]])</f>
        <v>52</v>
      </c>
    </row>
    <row r="4259" spans="1:6" ht="16" x14ac:dyDescent="0.2">
      <c r="A4259" s="1" t="s">
        <v>226</v>
      </c>
      <c r="B4259" t="str">
        <f>LEFT(Table1[[#This Row],[Input]],1)</f>
        <v>L</v>
      </c>
      <c r="C4259">
        <f>_xlfn.LET(_xlpm.steps,SUBSTITUTE(Table1[[#This Row],[Input]],Table1[[#This Row],[Direction]],""),VALUE(IF(LEN(_xlpm.steps)&gt;2,RIGHT(_xlpm.steps,2),_xlpm.steps)))</f>
        <v>31</v>
      </c>
      <c r="D4259">
        <f>_xlfn.LET(_xlpm.dir,Table1[[#This Row],[Direction]],
IF(_xlpm.dir="L",
    IF(F4258-Table1[[#This Row],[Steps]]&lt;0,100+(F4258-Table1[[#This Row],[Steps]]),F4258-Table1[[#This Row],[Steps]]),
))</f>
        <v>21</v>
      </c>
      <c r="E4259">
        <f>_xlfn.LET(_xlpm.dir,Table1[[#This Row],[Direction]],
IF(_xlpm.dir="R",
    IF(F4258+Table1[[#This Row],[Steps]]&gt;99,(F4258+Table1[[#This Row],[Steps]])-100,F4258+Table1[[#This Row],[Steps]]),
))</f>
        <v>0</v>
      </c>
      <c r="F4259">
        <f>IF(Table1[[#This Row],[New Pos L]]&lt;&gt;0,Table1[[#This Row],[New Pos L]],Table1[[#This Row],[New Pos R]])</f>
        <v>21</v>
      </c>
    </row>
    <row r="4260" spans="1:6" ht="16" x14ac:dyDescent="0.2">
      <c r="A4260" s="1" t="s">
        <v>194</v>
      </c>
      <c r="B4260" t="str">
        <f>LEFT(Table1[[#This Row],[Input]],1)</f>
        <v>R</v>
      </c>
      <c r="C4260">
        <f>_xlfn.LET(_xlpm.steps,SUBSTITUTE(Table1[[#This Row],[Input]],Table1[[#This Row],[Direction]],""),VALUE(IF(LEN(_xlpm.steps)&gt;2,RIGHT(_xlpm.steps,2),_xlpm.steps)))</f>
        <v>51</v>
      </c>
      <c r="D4260">
        <f>_xlfn.LET(_xlpm.dir,Table1[[#This Row],[Direction]],
IF(_xlpm.dir="L",
    IF(F4259-Table1[[#This Row],[Steps]]&lt;0,100+(F4259-Table1[[#This Row],[Steps]]),F4259-Table1[[#This Row],[Steps]]),
))</f>
        <v>0</v>
      </c>
      <c r="E4260">
        <f>_xlfn.LET(_xlpm.dir,Table1[[#This Row],[Direction]],
IF(_xlpm.dir="R",
    IF(F4259+Table1[[#This Row],[Steps]]&gt;99,(F4259+Table1[[#This Row],[Steps]])-100,F4259+Table1[[#This Row],[Steps]]),
))</f>
        <v>72</v>
      </c>
      <c r="F4260">
        <f>IF(Table1[[#This Row],[New Pos L]]&lt;&gt;0,Table1[[#This Row],[New Pos L]],Table1[[#This Row],[New Pos R]])</f>
        <v>72</v>
      </c>
    </row>
    <row r="4261" spans="1:6" ht="16" x14ac:dyDescent="0.2">
      <c r="A4261" s="1" t="s">
        <v>135</v>
      </c>
      <c r="B4261" t="str">
        <f>LEFT(Table1[[#This Row],[Input]],1)</f>
        <v>R</v>
      </c>
      <c r="C4261">
        <f>_xlfn.LET(_xlpm.steps,SUBSTITUTE(Table1[[#This Row],[Input]],Table1[[#This Row],[Direction]],""),VALUE(IF(LEN(_xlpm.steps)&gt;2,RIGHT(_xlpm.steps,2),_xlpm.steps)))</f>
        <v>69</v>
      </c>
      <c r="D4261">
        <f>_xlfn.LET(_xlpm.dir,Table1[[#This Row],[Direction]],
IF(_xlpm.dir="L",
    IF(F4260-Table1[[#This Row],[Steps]]&lt;0,100+(F4260-Table1[[#This Row],[Steps]]),F4260-Table1[[#This Row],[Steps]]),
))</f>
        <v>0</v>
      </c>
      <c r="E4261">
        <f>_xlfn.LET(_xlpm.dir,Table1[[#This Row],[Direction]],
IF(_xlpm.dir="R",
    IF(F4260+Table1[[#This Row],[Steps]]&gt;99,(F4260+Table1[[#This Row],[Steps]])-100,F4260+Table1[[#This Row],[Steps]]),
))</f>
        <v>41</v>
      </c>
      <c r="F4261">
        <f>IF(Table1[[#This Row],[New Pos L]]&lt;&gt;0,Table1[[#This Row],[New Pos L]],Table1[[#This Row],[New Pos R]])</f>
        <v>41</v>
      </c>
    </row>
    <row r="4262" spans="1:6" ht="16" x14ac:dyDescent="0.2">
      <c r="A4262" s="1" t="s">
        <v>91</v>
      </c>
      <c r="B4262" t="str">
        <f>LEFT(Table1[[#This Row],[Input]],1)</f>
        <v>L</v>
      </c>
      <c r="C4262">
        <f>_xlfn.LET(_xlpm.steps,SUBSTITUTE(Table1[[#This Row],[Input]],Table1[[#This Row],[Direction]],""),VALUE(IF(LEN(_xlpm.steps)&gt;2,RIGHT(_xlpm.steps,2),_xlpm.steps)))</f>
        <v>22</v>
      </c>
      <c r="D4262">
        <f>_xlfn.LET(_xlpm.dir,Table1[[#This Row],[Direction]],
IF(_xlpm.dir="L",
    IF(F4261-Table1[[#This Row],[Steps]]&lt;0,100+(F4261-Table1[[#This Row],[Steps]]),F4261-Table1[[#This Row],[Steps]]),
))</f>
        <v>19</v>
      </c>
      <c r="E4262">
        <f>_xlfn.LET(_xlpm.dir,Table1[[#This Row],[Direction]],
IF(_xlpm.dir="R",
    IF(F4261+Table1[[#This Row],[Steps]]&gt;99,(F4261+Table1[[#This Row],[Steps]])-100,F4261+Table1[[#This Row],[Steps]]),
))</f>
        <v>0</v>
      </c>
      <c r="F4262">
        <f>IF(Table1[[#This Row],[New Pos L]]&lt;&gt;0,Table1[[#This Row],[New Pos L]],Table1[[#This Row],[New Pos R]])</f>
        <v>19</v>
      </c>
    </row>
    <row r="4263" spans="1:6" ht="16" x14ac:dyDescent="0.2">
      <c r="A4263" s="1" t="s">
        <v>65</v>
      </c>
      <c r="B4263" t="str">
        <f>LEFT(Table1[[#This Row],[Input]],1)</f>
        <v>L</v>
      </c>
      <c r="C4263">
        <f>_xlfn.LET(_xlpm.steps,SUBSTITUTE(Table1[[#This Row],[Input]],Table1[[#This Row],[Direction]],""),VALUE(IF(LEN(_xlpm.steps)&gt;2,RIGHT(_xlpm.steps,2),_xlpm.steps)))</f>
        <v>19</v>
      </c>
      <c r="D4263">
        <f>_xlfn.LET(_xlpm.dir,Table1[[#This Row],[Direction]],
IF(_xlpm.dir="L",
    IF(F4262-Table1[[#This Row],[Steps]]&lt;0,100+(F4262-Table1[[#This Row],[Steps]]),F4262-Table1[[#This Row],[Steps]]),
))</f>
        <v>0</v>
      </c>
      <c r="E4263">
        <f>_xlfn.LET(_xlpm.dir,Table1[[#This Row],[Direction]],
IF(_xlpm.dir="R",
    IF(F4262+Table1[[#This Row],[Steps]]&gt;99,(F4262+Table1[[#This Row],[Steps]])-100,F4262+Table1[[#This Row],[Steps]]),
))</f>
        <v>0</v>
      </c>
      <c r="F4263">
        <f>IF(Table1[[#This Row],[New Pos L]]&lt;&gt;0,Table1[[#This Row],[New Pos L]],Table1[[#This Row],[New Pos R]])</f>
        <v>0</v>
      </c>
    </row>
    <row r="4264" spans="1:6" ht="16" x14ac:dyDescent="0.2">
      <c r="A4264" s="1" t="s">
        <v>181</v>
      </c>
      <c r="B4264" t="str">
        <f>LEFT(Table1[[#This Row],[Input]],1)</f>
        <v>L</v>
      </c>
      <c r="C4264">
        <f>_xlfn.LET(_xlpm.steps,SUBSTITUTE(Table1[[#This Row],[Input]],Table1[[#This Row],[Direction]],""),VALUE(IF(LEN(_xlpm.steps)&gt;2,RIGHT(_xlpm.steps,2),_xlpm.steps)))</f>
        <v>53</v>
      </c>
      <c r="D4264">
        <f>_xlfn.LET(_xlpm.dir,Table1[[#This Row],[Direction]],
IF(_xlpm.dir="L",
    IF(F4263-Table1[[#This Row],[Steps]]&lt;0,100+(F4263-Table1[[#This Row],[Steps]]),F4263-Table1[[#This Row],[Steps]]),
))</f>
        <v>47</v>
      </c>
      <c r="E4264">
        <f>_xlfn.LET(_xlpm.dir,Table1[[#This Row],[Direction]],
IF(_xlpm.dir="R",
    IF(F4263+Table1[[#This Row],[Steps]]&gt;99,(F4263+Table1[[#This Row],[Steps]])-100,F4263+Table1[[#This Row],[Steps]]),
))</f>
        <v>0</v>
      </c>
      <c r="F4264">
        <f>IF(Table1[[#This Row],[New Pos L]]&lt;&gt;0,Table1[[#This Row],[New Pos L]],Table1[[#This Row],[New Pos R]])</f>
        <v>47</v>
      </c>
    </row>
    <row r="4265" spans="1:6" ht="16" x14ac:dyDescent="0.2">
      <c r="A4265" s="1" t="s">
        <v>364</v>
      </c>
      <c r="B4265" t="str">
        <f>LEFT(Table1[[#This Row],[Input]],1)</f>
        <v>L</v>
      </c>
      <c r="C4265">
        <f>_xlfn.LET(_xlpm.steps,SUBSTITUTE(Table1[[#This Row],[Input]],Table1[[#This Row],[Direction]],""),VALUE(IF(LEN(_xlpm.steps)&gt;2,RIGHT(_xlpm.steps,2),_xlpm.steps)))</f>
        <v>70</v>
      </c>
      <c r="D4265">
        <f>_xlfn.LET(_xlpm.dir,Table1[[#This Row],[Direction]],
IF(_xlpm.dir="L",
    IF(F4264-Table1[[#This Row],[Steps]]&lt;0,100+(F4264-Table1[[#This Row],[Steps]]),F4264-Table1[[#This Row],[Steps]]),
))</f>
        <v>77</v>
      </c>
      <c r="E4265">
        <f>_xlfn.LET(_xlpm.dir,Table1[[#This Row],[Direction]],
IF(_xlpm.dir="R",
    IF(F4264+Table1[[#This Row],[Steps]]&gt;99,(F4264+Table1[[#This Row],[Steps]])-100,F4264+Table1[[#This Row],[Steps]]),
))</f>
        <v>0</v>
      </c>
      <c r="F4265">
        <f>IF(Table1[[#This Row],[New Pos L]]&lt;&gt;0,Table1[[#This Row],[New Pos L]],Table1[[#This Row],[New Pos R]])</f>
        <v>77</v>
      </c>
    </row>
    <row r="4266" spans="1:6" ht="16" x14ac:dyDescent="0.2">
      <c r="A4266" s="1" t="s">
        <v>71</v>
      </c>
      <c r="B4266" t="str">
        <f>LEFT(Table1[[#This Row],[Input]],1)</f>
        <v>R</v>
      </c>
      <c r="C4266">
        <f>_xlfn.LET(_xlpm.steps,SUBSTITUTE(Table1[[#This Row],[Input]],Table1[[#This Row],[Direction]],""),VALUE(IF(LEN(_xlpm.steps)&gt;2,RIGHT(_xlpm.steps,2),_xlpm.steps)))</f>
        <v>23</v>
      </c>
      <c r="D4266">
        <f>_xlfn.LET(_xlpm.dir,Table1[[#This Row],[Direction]],
IF(_xlpm.dir="L",
    IF(F4265-Table1[[#This Row],[Steps]]&lt;0,100+(F4265-Table1[[#This Row],[Steps]]),F4265-Table1[[#This Row],[Steps]]),
))</f>
        <v>0</v>
      </c>
      <c r="E4266">
        <f>_xlfn.LET(_xlpm.dir,Table1[[#This Row],[Direction]],
IF(_xlpm.dir="R",
    IF(F4265+Table1[[#This Row],[Steps]]&gt;99,(F4265+Table1[[#This Row],[Steps]])-100,F4265+Table1[[#This Row],[Steps]]),
))</f>
        <v>0</v>
      </c>
      <c r="F4266">
        <f>IF(Table1[[#This Row],[New Pos L]]&lt;&gt;0,Table1[[#This Row],[New Pos L]],Table1[[#This Row],[New Pos R]])</f>
        <v>0</v>
      </c>
    </row>
    <row r="4267" spans="1:6" ht="16" x14ac:dyDescent="0.2">
      <c r="A4267" s="1" t="s">
        <v>855</v>
      </c>
      <c r="B4267" t="str">
        <f>LEFT(Table1[[#This Row],[Input]],1)</f>
        <v>R</v>
      </c>
      <c r="C4267">
        <f>_xlfn.LET(_xlpm.steps,SUBSTITUTE(Table1[[#This Row],[Input]],Table1[[#This Row],[Direction]],""),VALUE(IF(LEN(_xlpm.steps)&gt;2,RIGHT(_xlpm.steps,2),_xlpm.steps)))</f>
        <v>40</v>
      </c>
      <c r="D4267">
        <f>_xlfn.LET(_xlpm.dir,Table1[[#This Row],[Direction]],
IF(_xlpm.dir="L",
    IF(F4266-Table1[[#This Row],[Steps]]&lt;0,100+(F4266-Table1[[#This Row],[Steps]]),F4266-Table1[[#This Row],[Steps]]),
))</f>
        <v>0</v>
      </c>
      <c r="E4267">
        <f>_xlfn.LET(_xlpm.dir,Table1[[#This Row],[Direction]],
IF(_xlpm.dir="R",
    IF(F4266+Table1[[#This Row],[Steps]]&gt;99,(F4266+Table1[[#This Row],[Steps]])-100,F4266+Table1[[#This Row],[Steps]]),
))</f>
        <v>40</v>
      </c>
      <c r="F4267">
        <f>IF(Table1[[#This Row],[New Pos L]]&lt;&gt;0,Table1[[#This Row],[New Pos L]],Table1[[#This Row],[New Pos R]])</f>
        <v>40</v>
      </c>
    </row>
    <row r="4268" spans="1:6" ht="16" x14ac:dyDescent="0.2">
      <c r="A4268" s="1" t="s">
        <v>111</v>
      </c>
      <c r="B4268" t="str">
        <f>LEFT(Table1[[#This Row],[Input]],1)</f>
        <v>R</v>
      </c>
      <c r="C4268">
        <f>_xlfn.LET(_xlpm.steps,SUBSTITUTE(Table1[[#This Row],[Input]],Table1[[#This Row],[Direction]],""),VALUE(IF(LEN(_xlpm.steps)&gt;2,RIGHT(_xlpm.steps,2),_xlpm.steps)))</f>
        <v>64</v>
      </c>
      <c r="D4268">
        <f>_xlfn.LET(_xlpm.dir,Table1[[#This Row],[Direction]],
IF(_xlpm.dir="L",
    IF(F4267-Table1[[#This Row],[Steps]]&lt;0,100+(F4267-Table1[[#This Row],[Steps]]),F4267-Table1[[#This Row],[Steps]]),
))</f>
        <v>0</v>
      </c>
      <c r="E4268">
        <f>_xlfn.LET(_xlpm.dir,Table1[[#This Row],[Direction]],
IF(_xlpm.dir="R",
    IF(F4267+Table1[[#This Row],[Steps]]&gt;99,(F4267+Table1[[#This Row],[Steps]])-100,F4267+Table1[[#This Row],[Steps]]),
))</f>
        <v>4</v>
      </c>
      <c r="F4268">
        <f>IF(Table1[[#This Row],[New Pos L]]&lt;&gt;0,Table1[[#This Row],[New Pos L]],Table1[[#This Row],[New Pos R]])</f>
        <v>4</v>
      </c>
    </row>
    <row r="4269" spans="1:6" ht="16" x14ac:dyDescent="0.2">
      <c r="A4269" s="1" t="s">
        <v>44</v>
      </c>
      <c r="B4269" t="str">
        <f>LEFT(Table1[[#This Row],[Input]],1)</f>
        <v>R</v>
      </c>
      <c r="C4269">
        <f>_xlfn.LET(_xlpm.steps,SUBSTITUTE(Table1[[#This Row],[Input]],Table1[[#This Row],[Direction]],""),VALUE(IF(LEN(_xlpm.steps)&gt;2,RIGHT(_xlpm.steps,2),_xlpm.steps)))</f>
        <v>96</v>
      </c>
      <c r="D4269">
        <f>_xlfn.LET(_xlpm.dir,Table1[[#This Row],[Direction]],
IF(_xlpm.dir="L",
    IF(F4268-Table1[[#This Row],[Steps]]&lt;0,100+(F4268-Table1[[#This Row],[Steps]]),F4268-Table1[[#This Row],[Steps]]),
))</f>
        <v>0</v>
      </c>
      <c r="E4269">
        <f>_xlfn.LET(_xlpm.dir,Table1[[#This Row],[Direction]],
IF(_xlpm.dir="R",
    IF(F4268+Table1[[#This Row],[Steps]]&gt;99,(F4268+Table1[[#This Row],[Steps]])-100,F4268+Table1[[#This Row],[Steps]]),
))</f>
        <v>0</v>
      </c>
      <c r="F4269">
        <f>IF(Table1[[#This Row],[New Pos L]]&lt;&gt;0,Table1[[#This Row],[New Pos L]],Table1[[#This Row],[New Pos R]])</f>
        <v>0</v>
      </c>
    </row>
    <row r="4270" spans="1:6" ht="16" x14ac:dyDescent="0.2">
      <c r="A4270" s="1" t="s">
        <v>187</v>
      </c>
      <c r="B4270" t="str">
        <f>LEFT(Table1[[#This Row],[Input]],1)</f>
        <v>R</v>
      </c>
      <c r="C4270">
        <f>_xlfn.LET(_xlpm.steps,SUBSTITUTE(Table1[[#This Row],[Input]],Table1[[#This Row],[Direction]],""),VALUE(IF(LEN(_xlpm.steps)&gt;2,RIGHT(_xlpm.steps,2),_xlpm.steps)))</f>
        <v>20</v>
      </c>
      <c r="D4270">
        <f>_xlfn.LET(_xlpm.dir,Table1[[#This Row],[Direction]],
IF(_xlpm.dir="L",
    IF(F4269-Table1[[#This Row],[Steps]]&lt;0,100+(F4269-Table1[[#This Row],[Steps]]),F4269-Table1[[#This Row],[Steps]]),
))</f>
        <v>0</v>
      </c>
      <c r="E4270">
        <f>_xlfn.LET(_xlpm.dir,Table1[[#This Row],[Direction]],
IF(_xlpm.dir="R",
    IF(F4269+Table1[[#This Row],[Steps]]&gt;99,(F4269+Table1[[#This Row],[Steps]])-100,F4269+Table1[[#This Row],[Steps]]),
))</f>
        <v>20</v>
      </c>
      <c r="F4270">
        <f>IF(Table1[[#This Row],[New Pos L]]&lt;&gt;0,Table1[[#This Row],[New Pos L]],Table1[[#This Row],[New Pos R]])</f>
        <v>20</v>
      </c>
    </row>
    <row r="4271" spans="1:6" ht="16" x14ac:dyDescent="0.2">
      <c r="A4271" s="1" t="s">
        <v>44</v>
      </c>
      <c r="B4271" t="str">
        <f>LEFT(Table1[[#This Row],[Input]],1)</f>
        <v>R</v>
      </c>
      <c r="C4271">
        <f>_xlfn.LET(_xlpm.steps,SUBSTITUTE(Table1[[#This Row],[Input]],Table1[[#This Row],[Direction]],""),VALUE(IF(LEN(_xlpm.steps)&gt;2,RIGHT(_xlpm.steps,2),_xlpm.steps)))</f>
        <v>96</v>
      </c>
      <c r="D4271">
        <f>_xlfn.LET(_xlpm.dir,Table1[[#This Row],[Direction]],
IF(_xlpm.dir="L",
    IF(F4270-Table1[[#This Row],[Steps]]&lt;0,100+(F4270-Table1[[#This Row],[Steps]]),F4270-Table1[[#This Row],[Steps]]),
))</f>
        <v>0</v>
      </c>
      <c r="E4271">
        <f>_xlfn.LET(_xlpm.dir,Table1[[#This Row],[Direction]],
IF(_xlpm.dir="R",
    IF(F4270+Table1[[#This Row],[Steps]]&gt;99,(F4270+Table1[[#This Row],[Steps]])-100,F4270+Table1[[#This Row],[Steps]]),
))</f>
        <v>16</v>
      </c>
      <c r="F4271">
        <f>IF(Table1[[#This Row],[New Pos L]]&lt;&gt;0,Table1[[#This Row],[New Pos L]],Table1[[#This Row],[New Pos R]])</f>
        <v>16</v>
      </c>
    </row>
    <row r="4272" spans="1:6" ht="16" x14ac:dyDescent="0.2">
      <c r="A4272" s="1" t="s">
        <v>80</v>
      </c>
      <c r="B4272" t="str">
        <f>LEFT(Table1[[#This Row],[Input]],1)</f>
        <v>L</v>
      </c>
      <c r="C4272">
        <f>_xlfn.LET(_xlpm.steps,SUBSTITUTE(Table1[[#This Row],[Input]],Table1[[#This Row],[Direction]],""),VALUE(IF(LEN(_xlpm.steps)&gt;2,RIGHT(_xlpm.steps,2),_xlpm.steps)))</f>
        <v>48</v>
      </c>
      <c r="D4272">
        <f>_xlfn.LET(_xlpm.dir,Table1[[#This Row],[Direction]],
IF(_xlpm.dir="L",
    IF(F4271-Table1[[#This Row],[Steps]]&lt;0,100+(F4271-Table1[[#This Row],[Steps]]),F4271-Table1[[#This Row],[Steps]]),
))</f>
        <v>68</v>
      </c>
      <c r="E4272">
        <f>_xlfn.LET(_xlpm.dir,Table1[[#This Row],[Direction]],
IF(_xlpm.dir="R",
    IF(F4271+Table1[[#This Row],[Steps]]&gt;99,(F4271+Table1[[#This Row],[Steps]])-100,F4271+Table1[[#This Row],[Steps]]),
))</f>
        <v>0</v>
      </c>
      <c r="F4272">
        <f>IF(Table1[[#This Row],[New Pos L]]&lt;&gt;0,Table1[[#This Row],[New Pos L]],Table1[[#This Row],[New Pos R]])</f>
        <v>68</v>
      </c>
    </row>
    <row r="4273" spans="1:6" ht="16" x14ac:dyDescent="0.2">
      <c r="A4273" s="1" t="s">
        <v>655</v>
      </c>
      <c r="B4273" t="str">
        <f>LEFT(Table1[[#This Row],[Input]],1)</f>
        <v>L</v>
      </c>
      <c r="C4273">
        <f>_xlfn.LET(_xlpm.steps,SUBSTITUTE(Table1[[#This Row],[Input]],Table1[[#This Row],[Direction]],""),VALUE(IF(LEN(_xlpm.steps)&gt;2,RIGHT(_xlpm.steps,2),_xlpm.steps)))</f>
        <v>56</v>
      </c>
      <c r="D4273">
        <f>_xlfn.LET(_xlpm.dir,Table1[[#This Row],[Direction]],
IF(_xlpm.dir="L",
    IF(F4272-Table1[[#This Row],[Steps]]&lt;0,100+(F4272-Table1[[#This Row],[Steps]]),F4272-Table1[[#This Row],[Steps]]),
))</f>
        <v>12</v>
      </c>
      <c r="E4273">
        <f>_xlfn.LET(_xlpm.dir,Table1[[#This Row],[Direction]],
IF(_xlpm.dir="R",
    IF(F4272+Table1[[#This Row],[Steps]]&gt;99,(F4272+Table1[[#This Row],[Steps]])-100,F4272+Table1[[#This Row],[Steps]]),
))</f>
        <v>0</v>
      </c>
      <c r="F4273">
        <f>IF(Table1[[#This Row],[New Pos L]]&lt;&gt;0,Table1[[#This Row],[New Pos L]],Table1[[#This Row],[New Pos R]])</f>
        <v>12</v>
      </c>
    </row>
    <row r="4274" spans="1:6" ht="16" x14ac:dyDescent="0.2">
      <c r="A4274" s="1" t="s">
        <v>856</v>
      </c>
      <c r="B4274" t="str">
        <f>LEFT(Table1[[#This Row],[Input]],1)</f>
        <v>R</v>
      </c>
      <c r="C4274">
        <f>_xlfn.LET(_xlpm.steps,SUBSTITUTE(Table1[[#This Row],[Input]],Table1[[#This Row],[Direction]],""),VALUE(IF(LEN(_xlpm.steps)&gt;2,RIGHT(_xlpm.steps,2),_xlpm.steps)))</f>
        <v>57</v>
      </c>
      <c r="D4274">
        <f>_xlfn.LET(_xlpm.dir,Table1[[#This Row],[Direction]],
IF(_xlpm.dir="L",
    IF(F4273-Table1[[#This Row],[Steps]]&lt;0,100+(F4273-Table1[[#This Row],[Steps]]),F4273-Table1[[#This Row],[Steps]]),
))</f>
        <v>0</v>
      </c>
      <c r="E4274">
        <f>_xlfn.LET(_xlpm.dir,Table1[[#This Row],[Direction]],
IF(_xlpm.dir="R",
    IF(F4273+Table1[[#This Row],[Steps]]&gt;99,(F4273+Table1[[#This Row],[Steps]])-100,F4273+Table1[[#This Row],[Steps]]),
))</f>
        <v>69</v>
      </c>
      <c r="F4274">
        <f>IF(Table1[[#This Row],[New Pos L]]&lt;&gt;0,Table1[[#This Row],[New Pos L]],Table1[[#This Row],[New Pos R]])</f>
        <v>69</v>
      </c>
    </row>
    <row r="4275" spans="1:6" ht="16" x14ac:dyDescent="0.2">
      <c r="A4275" s="1" t="s">
        <v>121</v>
      </c>
      <c r="B4275" t="str">
        <f>LEFT(Table1[[#This Row],[Input]],1)</f>
        <v>L</v>
      </c>
      <c r="C4275">
        <f>_xlfn.LET(_xlpm.steps,SUBSTITUTE(Table1[[#This Row],[Input]],Table1[[#This Row],[Direction]],""),VALUE(IF(LEN(_xlpm.steps)&gt;2,RIGHT(_xlpm.steps,2),_xlpm.steps)))</f>
        <v>69</v>
      </c>
      <c r="D4275">
        <f>_xlfn.LET(_xlpm.dir,Table1[[#This Row],[Direction]],
IF(_xlpm.dir="L",
    IF(F4274-Table1[[#This Row],[Steps]]&lt;0,100+(F4274-Table1[[#This Row],[Steps]]),F4274-Table1[[#This Row],[Steps]]),
))</f>
        <v>0</v>
      </c>
      <c r="E4275">
        <f>_xlfn.LET(_xlpm.dir,Table1[[#This Row],[Direction]],
IF(_xlpm.dir="R",
    IF(F4274+Table1[[#This Row],[Steps]]&gt;99,(F4274+Table1[[#This Row],[Steps]])-100,F4274+Table1[[#This Row],[Steps]]),
))</f>
        <v>0</v>
      </c>
      <c r="F4275">
        <f>IF(Table1[[#This Row],[New Pos L]]&lt;&gt;0,Table1[[#This Row],[New Pos L]],Table1[[#This Row],[New Pos R]])</f>
        <v>0</v>
      </c>
    </row>
    <row r="4276" spans="1:6" ht="16" x14ac:dyDescent="0.2">
      <c r="A4276" s="1" t="s">
        <v>244</v>
      </c>
      <c r="B4276" t="str">
        <f>LEFT(Table1[[#This Row],[Input]],1)</f>
        <v>L</v>
      </c>
      <c r="C4276">
        <f>_xlfn.LET(_xlpm.steps,SUBSTITUTE(Table1[[#This Row],[Input]],Table1[[#This Row],[Direction]],""),VALUE(IF(LEN(_xlpm.steps)&gt;2,RIGHT(_xlpm.steps,2),_xlpm.steps)))</f>
        <v>98</v>
      </c>
      <c r="D4276">
        <f>_xlfn.LET(_xlpm.dir,Table1[[#This Row],[Direction]],
IF(_xlpm.dir="L",
    IF(F4275-Table1[[#This Row],[Steps]]&lt;0,100+(F4275-Table1[[#This Row],[Steps]]),F4275-Table1[[#This Row],[Steps]]),
))</f>
        <v>2</v>
      </c>
      <c r="E4276">
        <f>_xlfn.LET(_xlpm.dir,Table1[[#This Row],[Direction]],
IF(_xlpm.dir="R",
    IF(F4275+Table1[[#This Row],[Steps]]&gt;99,(F4275+Table1[[#This Row],[Steps]])-100,F4275+Table1[[#This Row],[Steps]]),
))</f>
        <v>0</v>
      </c>
      <c r="F4276">
        <f>IF(Table1[[#This Row],[New Pos L]]&lt;&gt;0,Table1[[#This Row],[New Pos L]],Table1[[#This Row],[New Pos R]])</f>
        <v>2</v>
      </c>
    </row>
    <row r="4277" spans="1:6" ht="16" x14ac:dyDescent="0.2">
      <c r="A4277" s="1" t="s">
        <v>74</v>
      </c>
      <c r="B4277" t="str">
        <f>LEFT(Table1[[#This Row],[Input]],1)</f>
        <v>R</v>
      </c>
      <c r="C4277">
        <f>_xlfn.LET(_xlpm.steps,SUBSTITUTE(Table1[[#This Row],[Input]],Table1[[#This Row],[Direction]],""),VALUE(IF(LEN(_xlpm.steps)&gt;2,RIGHT(_xlpm.steps,2),_xlpm.steps)))</f>
        <v>93</v>
      </c>
      <c r="D4277">
        <f>_xlfn.LET(_xlpm.dir,Table1[[#This Row],[Direction]],
IF(_xlpm.dir="L",
    IF(F4276-Table1[[#This Row],[Steps]]&lt;0,100+(F4276-Table1[[#This Row],[Steps]]),F4276-Table1[[#This Row],[Steps]]),
))</f>
        <v>0</v>
      </c>
      <c r="E4277">
        <f>_xlfn.LET(_xlpm.dir,Table1[[#This Row],[Direction]],
IF(_xlpm.dir="R",
    IF(F4276+Table1[[#This Row],[Steps]]&gt;99,(F4276+Table1[[#This Row],[Steps]])-100,F4276+Table1[[#This Row],[Steps]]),
))</f>
        <v>95</v>
      </c>
      <c r="F4277">
        <f>IF(Table1[[#This Row],[New Pos L]]&lt;&gt;0,Table1[[#This Row],[New Pos L]],Table1[[#This Row],[New Pos R]])</f>
        <v>95</v>
      </c>
    </row>
    <row r="4278" spans="1:6" ht="16" x14ac:dyDescent="0.2">
      <c r="A4278" s="1" t="s">
        <v>58</v>
      </c>
      <c r="B4278" t="str">
        <f>LEFT(Table1[[#This Row],[Input]],1)</f>
        <v>L</v>
      </c>
      <c r="C4278">
        <f>_xlfn.LET(_xlpm.steps,SUBSTITUTE(Table1[[#This Row],[Input]],Table1[[#This Row],[Direction]],""),VALUE(IF(LEN(_xlpm.steps)&gt;2,RIGHT(_xlpm.steps,2),_xlpm.steps)))</f>
        <v>30</v>
      </c>
      <c r="D4278">
        <f>_xlfn.LET(_xlpm.dir,Table1[[#This Row],[Direction]],
IF(_xlpm.dir="L",
    IF(F4277-Table1[[#This Row],[Steps]]&lt;0,100+(F4277-Table1[[#This Row],[Steps]]),F4277-Table1[[#This Row],[Steps]]),
))</f>
        <v>65</v>
      </c>
      <c r="E4278">
        <f>_xlfn.LET(_xlpm.dir,Table1[[#This Row],[Direction]],
IF(_xlpm.dir="R",
    IF(F4277+Table1[[#This Row],[Steps]]&gt;99,(F4277+Table1[[#This Row],[Steps]])-100,F4277+Table1[[#This Row],[Steps]]),
))</f>
        <v>0</v>
      </c>
      <c r="F4278">
        <f>IF(Table1[[#This Row],[New Pos L]]&lt;&gt;0,Table1[[#This Row],[New Pos L]],Table1[[#This Row],[New Pos R]])</f>
        <v>65</v>
      </c>
    </row>
    <row r="4279" spans="1:6" ht="16" x14ac:dyDescent="0.2">
      <c r="A4279" s="1" t="s">
        <v>13</v>
      </c>
      <c r="B4279" t="str">
        <f>LEFT(Table1[[#This Row],[Input]],1)</f>
        <v>R</v>
      </c>
      <c r="C4279">
        <f>_xlfn.LET(_xlpm.steps,SUBSTITUTE(Table1[[#This Row],[Input]],Table1[[#This Row],[Direction]],""),VALUE(IF(LEN(_xlpm.steps)&gt;2,RIGHT(_xlpm.steps,2),_xlpm.steps)))</f>
        <v>12</v>
      </c>
      <c r="D4279">
        <f>_xlfn.LET(_xlpm.dir,Table1[[#This Row],[Direction]],
IF(_xlpm.dir="L",
    IF(F4278-Table1[[#This Row],[Steps]]&lt;0,100+(F4278-Table1[[#This Row],[Steps]]),F4278-Table1[[#This Row],[Steps]]),
))</f>
        <v>0</v>
      </c>
      <c r="E4279">
        <f>_xlfn.LET(_xlpm.dir,Table1[[#This Row],[Direction]],
IF(_xlpm.dir="R",
    IF(F4278+Table1[[#This Row],[Steps]]&gt;99,(F4278+Table1[[#This Row],[Steps]])-100,F4278+Table1[[#This Row],[Steps]]),
))</f>
        <v>77</v>
      </c>
      <c r="F4279">
        <f>IF(Table1[[#This Row],[New Pos L]]&lt;&gt;0,Table1[[#This Row],[New Pos L]],Table1[[#This Row],[New Pos R]])</f>
        <v>77</v>
      </c>
    </row>
    <row r="4280" spans="1:6" ht="16" x14ac:dyDescent="0.2">
      <c r="A4280" s="1" t="s">
        <v>71</v>
      </c>
      <c r="B4280" t="str">
        <f>LEFT(Table1[[#This Row],[Input]],1)</f>
        <v>R</v>
      </c>
      <c r="C4280">
        <f>_xlfn.LET(_xlpm.steps,SUBSTITUTE(Table1[[#This Row],[Input]],Table1[[#This Row],[Direction]],""),VALUE(IF(LEN(_xlpm.steps)&gt;2,RIGHT(_xlpm.steps,2),_xlpm.steps)))</f>
        <v>23</v>
      </c>
      <c r="D4280">
        <f>_xlfn.LET(_xlpm.dir,Table1[[#This Row],[Direction]],
IF(_xlpm.dir="L",
    IF(F4279-Table1[[#This Row],[Steps]]&lt;0,100+(F4279-Table1[[#This Row],[Steps]]),F4279-Table1[[#This Row],[Steps]]),
))</f>
        <v>0</v>
      </c>
      <c r="E4280">
        <f>_xlfn.LET(_xlpm.dir,Table1[[#This Row],[Direction]],
IF(_xlpm.dir="R",
    IF(F4279+Table1[[#This Row],[Steps]]&gt;99,(F4279+Table1[[#This Row],[Steps]])-100,F4279+Table1[[#This Row],[Steps]]),
))</f>
        <v>0</v>
      </c>
      <c r="F4280">
        <f>IF(Table1[[#This Row],[New Pos L]]&lt;&gt;0,Table1[[#This Row],[New Pos L]],Table1[[#This Row],[New Pos R]])</f>
        <v>0</v>
      </c>
    </row>
    <row r="4281" spans="1:6" ht="16" x14ac:dyDescent="0.2">
      <c r="A4281" s="1" t="s">
        <v>33</v>
      </c>
      <c r="B4281" t="str">
        <f>LEFT(Table1[[#This Row],[Input]],1)</f>
        <v>R</v>
      </c>
      <c r="C4281">
        <f>_xlfn.LET(_xlpm.steps,SUBSTITUTE(Table1[[#This Row],[Input]],Table1[[#This Row],[Direction]],""),VALUE(IF(LEN(_xlpm.steps)&gt;2,RIGHT(_xlpm.steps,2),_xlpm.steps)))</f>
        <v>22</v>
      </c>
      <c r="D4281">
        <f>_xlfn.LET(_xlpm.dir,Table1[[#This Row],[Direction]],
IF(_xlpm.dir="L",
    IF(F4280-Table1[[#This Row],[Steps]]&lt;0,100+(F4280-Table1[[#This Row],[Steps]]),F4280-Table1[[#This Row],[Steps]]),
))</f>
        <v>0</v>
      </c>
      <c r="E4281">
        <f>_xlfn.LET(_xlpm.dir,Table1[[#This Row],[Direction]],
IF(_xlpm.dir="R",
    IF(F4280+Table1[[#This Row],[Steps]]&gt;99,(F4280+Table1[[#This Row],[Steps]])-100,F4280+Table1[[#This Row],[Steps]]),
))</f>
        <v>22</v>
      </c>
      <c r="F4281">
        <f>IF(Table1[[#This Row],[New Pos L]]&lt;&gt;0,Table1[[#This Row],[New Pos L]],Table1[[#This Row],[New Pos R]])</f>
        <v>22</v>
      </c>
    </row>
    <row r="4282" spans="1:6" ht="16" x14ac:dyDescent="0.2">
      <c r="A4282" s="1" t="s">
        <v>139</v>
      </c>
      <c r="B4282" t="str">
        <f>LEFT(Table1[[#This Row],[Input]],1)</f>
        <v>R</v>
      </c>
      <c r="C4282">
        <f>_xlfn.LET(_xlpm.steps,SUBSTITUTE(Table1[[#This Row],[Input]],Table1[[#This Row],[Direction]],""),VALUE(IF(LEN(_xlpm.steps)&gt;2,RIGHT(_xlpm.steps,2),_xlpm.steps)))</f>
        <v>38</v>
      </c>
      <c r="D4282">
        <f>_xlfn.LET(_xlpm.dir,Table1[[#This Row],[Direction]],
IF(_xlpm.dir="L",
    IF(F4281-Table1[[#This Row],[Steps]]&lt;0,100+(F4281-Table1[[#This Row],[Steps]]),F4281-Table1[[#This Row],[Steps]]),
))</f>
        <v>0</v>
      </c>
      <c r="E4282">
        <f>_xlfn.LET(_xlpm.dir,Table1[[#This Row],[Direction]],
IF(_xlpm.dir="R",
    IF(F4281+Table1[[#This Row],[Steps]]&gt;99,(F4281+Table1[[#This Row],[Steps]])-100,F4281+Table1[[#This Row],[Steps]]),
))</f>
        <v>60</v>
      </c>
      <c r="F4282">
        <f>IF(Table1[[#This Row],[New Pos L]]&lt;&gt;0,Table1[[#This Row],[New Pos L]],Table1[[#This Row],[New Pos R]])</f>
        <v>60</v>
      </c>
    </row>
    <row r="4283" spans="1:6" ht="16" x14ac:dyDescent="0.2">
      <c r="A4283" s="1" t="s">
        <v>52</v>
      </c>
      <c r="B4283" t="str">
        <f>LEFT(Table1[[#This Row],[Input]],1)</f>
        <v>R</v>
      </c>
      <c r="C4283">
        <f>_xlfn.LET(_xlpm.steps,SUBSTITUTE(Table1[[#This Row],[Input]],Table1[[#This Row],[Direction]],""),VALUE(IF(LEN(_xlpm.steps)&gt;2,RIGHT(_xlpm.steps,2),_xlpm.steps)))</f>
        <v>11</v>
      </c>
      <c r="D4283">
        <f>_xlfn.LET(_xlpm.dir,Table1[[#This Row],[Direction]],
IF(_xlpm.dir="L",
    IF(F4282-Table1[[#This Row],[Steps]]&lt;0,100+(F4282-Table1[[#This Row],[Steps]]),F4282-Table1[[#This Row],[Steps]]),
))</f>
        <v>0</v>
      </c>
      <c r="E4283">
        <f>_xlfn.LET(_xlpm.dir,Table1[[#This Row],[Direction]],
IF(_xlpm.dir="R",
    IF(F4282+Table1[[#This Row],[Steps]]&gt;99,(F4282+Table1[[#This Row],[Steps]])-100,F4282+Table1[[#This Row],[Steps]]),
))</f>
        <v>71</v>
      </c>
      <c r="F4283">
        <f>IF(Table1[[#This Row],[New Pos L]]&lt;&gt;0,Table1[[#This Row],[New Pos L]],Table1[[#This Row],[New Pos R]])</f>
        <v>71</v>
      </c>
    </row>
    <row r="4284" spans="1:6" ht="16" x14ac:dyDescent="0.2">
      <c r="A4284" s="1" t="s">
        <v>130</v>
      </c>
      <c r="B4284" t="str">
        <f>LEFT(Table1[[#This Row],[Input]],1)</f>
        <v>L</v>
      </c>
      <c r="C4284">
        <f>_xlfn.LET(_xlpm.steps,SUBSTITUTE(Table1[[#This Row],[Input]],Table1[[#This Row],[Direction]],""),VALUE(IF(LEN(_xlpm.steps)&gt;2,RIGHT(_xlpm.steps,2),_xlpm.steps)))</f>
        <v>50</v>
      </c>
      <c r="D4284">
        <f>_xlfn.LET(_xlpm.dir,Table1[[#This Row],[Direction]],
IF(_xlpm.dir="L",
    IF(F4283-Table1[[#This Row],[Steps]]&lt;0,100+(F4283-Table1[[#This Row],[Steps]]),F4283-Table1[[#This Row],[Steps]]),
))</f>
        <v>21</v>
      </c>
      <c r="E4284">
        <f>_xlfn.LET(_xlpm.dir,Table1[[#This Row],[Direction]],
IF(_xlpm.dir="R",
    IF(F4283+Table1[[#This Row],[Steps]]&gt;99,(F4283+Table1[[#This Row],[Steps]])-100,F4283+Table1[[#This Row],[Steps]]),
))</f>
        <v>0</v>
      </c>
      <c r="F4284">
        <f>IF(Table1[[#This Row],[New Pos L]]&lt;&gt;0,Table1[[#This Row],[New Pos L]],Table1[[#This Row],[New Pos R]])</f>
        <v>21</v>
      </c>
    </row>
    <row r="4285" spans="1:6" ht="16" x14ac:dyDescent="0.2">
      <c r="A4285" s="1" t="s">
        <v>28</v>
      </c>
      <c r="B4285" t="str">
        <f>LEFT(Table1[[#This Row],[Input]],1)</f>
        <v>R</v>
      </c>
      <c r="C4285">
        <f>_xlfn.LET(_xlpm.steps,SUBSTITUTE(Table1[[#This Row],[Input]],Table1[[#This Row],[Direction]],""),VALUE(IF(LEN(_xlpm.steps)&gt;2,RIGHT(_xlpm.steps,2),_xlpm.steps)))</f>
        <v>30</v>
      </c>
      <c r="D4285">
        <f>_xlfn.LET(_xlpm.dir,Table1[[#This Row],[Direction]],
IF(_xlpm.dir="L",
    IF(F4284-Table1[[#This Row],[Steps]]&lt;0,100+(F4284-Table1[[#This Row],[Steps]]),F4284-Table1[[#This Row],[Steps]]),
))</f>
        <v>0</v>
      </c>
      <c r="E4285">
        <f>_xlfn.LET(_xlpm.dir,Table1[[#This Row],[Direction]],
IF(_xlpm.dir="R",
    IF(F4284+Table1[[#This Row],[Steps]]&gt;99,(F4284+Table1[[#This Row],[Steps]])-100,F4284+Table1[[#This Row],[Steps]]),
))</f>
        <v>51</v>
      </c>
      <c r="F4285">
        <f>IF(Table1[[#This Row],[New Pos L]]&lt;&gt;0,Table1[[#This Row],[New Pos L]],Table1[[#This Row],[New Pos R]])</f>
        <v>51</v>
      </c>
    </row>
    <row r="4286" spans="1:6" ht="16" x14ac:dyDescent="0.2">
      <c r="A4286" s="1" t="s">
        <v>132</v>
      </c>
      <c r="B4286" t="str">
        <f>LEFT(Table1[[#This Row],[Input]],1)</f>
        <v>L</v>
      </c>
      <c r="C4286">
        <f>_xlfn.LET(_xlpm.steps,SUBSTITUTE(Table1[[#This Row],[Input]],Table1[[#This Row],[Direction]],""),VALUE(IF(LEN(_xlpm.steps)&gt;2,RIGHT(_xlpm.steps,2),_xlpm.steps)))</f>
        <v>51</v>
      </c>
      <c r="D4286">
        <f>_xlfn.LET(_xlpm.dir,Table1[[#This Row],[Direction]],
IF(_xlpm.dir="L",
    IF(F4285-Table1[[#This Row],[Steps]]&lt;0,100+(F4285-Table1[[#This Row],[Steps]]),F4285-Table1[[#This Row],[Steps]]),
))</f>
        <v>0</v>
      </c>
      <c r="E4286">
        <f>_xlfn.LET(_xlpm.dir,Table1[[#This Row],[Direction]],
IF(_xlpm.dir="R",
    IF(F4285+Table1[[#This Row],[Steps]]&gt;99,(F4285+Table1[[#This Row],[Steps]])-100,F4285+Table1[[#This Row],[Steps]]),
))</f>
        <v>0</v>
      </c>
      <c r="F4286">
        <f>IF(Table1[[#This Row],[New Pos L]]&lt;&gt;0,Table1[[#This Row],[New Pos L]],Table1[[#This Row],[New Pos R]])</f>
        <v>0</v>
      </c>
    </row>
    <row r="4287" spans="1:6" ht="16" x14ac:dyDescent="0.2">
      <c r="A4287" s="1" t="s">
        <v>67</v>
      </c>
      <c r="B4287" t="str">
        <f>LEFT(Table1[[#This Row],[Input]],1)</f>
        <v>R</v>
      </c>
      <c r="C4287">
        <f>_xlfn.LET(_xlpm.steps,SUBSTITUTE(Table1[[#This Row],[Input]],Table1[[#This Row],[Direction]],""),VALUE(IF(LEN(_xlpm.steps)&gt;2,RIGHT(_xlpm.steps,2),_xlpm.steps)))</f>
        <v>33</v>
      </c>
      <c r="D4287">
        <f>_xlfn.LET(_xlpm.dir,Table1[[#This Row],[Direction]],
IF(_xlpm.dir="L",
    IF(F4286-Table1[[#This Row],[Steps]]&lt;0,100+(F4286-Table1[[#This Row],[Steps]]),F4286-Table1[[#This Row],[Steps]]),
))</f>
        <v>0</v>
      </c>
      <c r="E4287">
        <f>_xlfn.LET(_xlpm.dir,Table1[[#This Row],[Direction]],
IF(_xlpm.dir="R",
    IF(F4286+Table1[[#This Row],[Steps]]&gt;99,(F4286+Table1[[#This Row],[Steps]])-100,F4286+Table1[[#This Row],[Steps]]),
))</f>
        <v>33</v>
      </c>
      <c r="F4287">
        <f>IF(Table1[[#This Row],[New Pos L]]&lt;&gt;0,Table1[[#This Row],[New Pos L]],Table1[[#This Row],[New Pos R]])</f>
        <v>33</v>
      </c>
    </row>
    <row r="4288" spans="1:6" ht="16" x14ac:dyDescent="0.2">
      <c r="A4288" s="1" t="s">
        <v>184</v>
      </c>
      <c r="B4288" t="str">
        <f>LEFT(Table1[[#This Row],[Input]],1)</f>
        <v>R</v>
      </c>
      <c r="C4288">
        <f>_xlfn.LET(_xlpm.steps,SUBSTITUTE(Table1[[#This Row],[Input]],Table1[[#This Row],[Direction]],""),VALUE(IF(LEN(_xlpm.steps)&gt;2,RIGHT(_xlpm.steps,2),_xlpm.steps)))</f>
        <v>28</v>
      </c>
      <c r="D4288">
        <f>_xlfn.LET(_xlpm.dir,Table1[[#This Row],[Direction]],
IF(_xlpm.dir="L",
    IF(F4287-Table1[[#This Row],[Steps]]&lt;0,100+(F4287-Table1[[#This Row],[Steps]]),F4287-Table1[[#This Row],[Steps]]),
))</f>
        <v>0</v>
      </c>
      <c r="E4288">
        <f>_xlfn.LET(_xlpm.dir,Table1[[#This Row],[Direction]],
IF(_xlpm.dir="R",
    IF(F4287+Table1[[#This Row],[Steps]]&gt;99,(F4287+Table1[[#This Row],[Steps]])-100,F4287+Table1[[#This Row],[Steps]]),
))</f>
        <v>61</v>
      </c>
      <c r="F4288">
        <f>IF(Table1[[#This Row],[New Pos L]]&lt;&gt;0,Table1[[#This Row],[New Pos L]],Table1[[#This Row],[New Pos R]])</f>
        <v>61</v>
      </c>
    </row>
    <row r="4289" spans="1:6" ht="16" x14ac:dyDescent="0.2">
      <c r="A4289" s="1" t="s">
        <v>102</v>
      </c>
      <c r="B4289" t="str">
        <f>LEFT(Table1[[#This Row],[Input]],1)</f>
        <v>R</v>
      </c>
      <c r="C4289">
        <f>_xlfn.LET(_xlpm.steps,SUBSTITUTE(Table1[[#This Row],[Input]],Table1[[#This Row],[Direction]],""),VALUE(IF(LEN(_xlpm.steps)&gt;2,RIGHT(_xlpm.steps,2),_xlpm.steps)))</f>
        <v>39</v>
      </c>
      <c r="D4289">
        <f>_xlfn.LET(_xlpm.dir,Table1[[#This Row],[Direction]],
IF(_xlpm.dir="L",
    IF(F4288-Table1[[#This Row],[Steps]]&lt;0,100+(F4288-Table1[[#This Row],[Steps]]),F4288-Table1[[#This Row],[Steps]]),
))</f>
        <v>0</v>
      </c>
      <c r="E4289">
        <f>_xlfn.LET(_xlpm.dir,Table1[[#This Row],[Direction]],
IF(_xlpm.dir="R",
    IF(F4288+Table1[[#This Row],[Steps]]&gt;99,(F4288+Table1[[#This Row],[Steps]])-100,F4288+Table1[[#This Row],[Steps]]),
))</f>
        <v>0</v>
      </c>
      <c r="F4289">
        <f>IF(Table1[[#This Row],[New Pos L]]&lt;&gt;0,Table1[[#This Row],[New Pos L]],Table1[[#This Row],[New Pos R]])</f>
        <v>0</v>
      </c>
    </row>
    <row r="4290" spans="1:6" ht="16" x14ac:dyDescent="0.2">
      <c r="A4290" s="1" t="s">
        <v>282</v>
      </c>
      <c r="B4290" t="str">
        <f>LEFT(Table1[[#This Row],[Input]],1)</f>
        <v>L</v>
      </c>
      <c r="C4290">
        <f>_xlfn.LET(_xlpm.steps,SUBSTITUTE(Table1[[#This Row],[Input]],Table1[[#This Row],[Direction]],""),VALUE(IF(LEN(_xlpm.steps)&gt;2,RIGHT(_xlpm.steps,2),_xlpm.steps)))</f>
        <v>56</v>
      </c>
      <c r="D4290">
        <f>_xlfn.LET(_xlpm.dir,Table1[[#This Row],[Direction]],
IF(_xlpm.dir="L",
    IF(F4289-Table1[[#This Row],[Steps]]&lt;0,100+(F4289-Table1[[#This Row],[Steps]]),F4289-Table1[[#This Row],[Steps]]),
))</f>
        <v>44</v>
      </c>
      <c r="E4290">
        <f>_xlfn.LET(_xlpm.dir,Table1[[#This Row],[Direction]],
IF(_xlpm.dir="R",
    IF(F4289+Table1[[#This Row],[Steps]]&gt;99,(F4289+Table1[[#This Row],[Steps]])-100,F4289+Table1[[#This Row],[Steps]]),
))</f>
        <v>0</v>
      </c>
      <c r="F4290">
        <f>IF(Table1[[#This Row],[New Pos L]]&lt;&gt;0,Table1[[#This Row],[New Pos L]],Table1[[#This Row],[New Pos R]])</f>
        <v>44</v>
      </c>
    </row>
    <row r="4291" spans="1:6" ht="16" x14ac:dyDescent="0.2">
      <c r="A4291" s="1" t="s">
        <v>857</v>
      </c>
      <c r="B4291" t="str">
        <f>LEFT(Table1[[#This Row],[Input]],1)</f>
        <v>R</v>
      </c>
      <c r="C4291">
        <f>_xlfn.LET(_xlpm.steps,SUBSTITUTE(Table1[[#This Row],[Input]],Table1[[#This Row],[Direction]],""),VALUE(IF(LEN(_xlpm.steps)&gt;2,RIGHT(_xlpm.steps,2),_xlpm.steps)))</f>
        <v>56</v>
      </c>
      <c r="D4291">
        <f>_xlfn.LET(_xlpm.dir,Table1[[#This Row],[Direction]],
IF(_xlpm.dir="L",
    IF(F4290-Table1[[#This Row],[Steps]]&lt;0,100+(F4290-Table1[[#This Row],[Steps]]),F4290-Table1[[#This Row],[Steps]]),
))</f>
        <v>0</v>
      </c>
      <c r="E4291">
        <f>_xlfn.LET(_xlpm.dir,Table1[[#This Row],[Direction]],
IF(_xlpm.dir="R",
    IF(F4290+Table1[[#This Row],[Steps]]&gt;99,(F4290+Table1[[#This Row],[Steps]])-100,F4290+Table1[[#This Row],[Steps]]),
))</f>
        <v>0</v>
      </c>
      <c r="F4291">
        <f>IF(Table1[[#This Row],[New Pos L]]&lt;&gt;0,Table1[[#This Row],[New Pos L]],Table1[[#This Row],[New Pos R]])</f>
        <v>0</v>
      </c>
    </row>
    <row r="4292" spans="1:6" ht="16" x14ac:dyDescent="0.2">
      <c r="A4292" s="1" t="s">
        <v>151</v>
      </c>
      <c r="B4292" t="str">
        <f>LEFT(Table1[[#This Row],[Input]],1)</f>
        <v>L</v>
      </c>
      <c r="C4292">
        <f>_xlfn.LET(_xlpm.steps,SUBSTITUTE(Table1[[#This Row],[Input]],Table1[[#This Row],[Direction]],""),VALUE(IF(LEN(_xlpm.steps)&gt;2,RIGHT(_xlpm.steps,2),_xlpm.steps)))</f>
        <v>74</v>
      </c>
      <c r="D4292">
        <f>_xlfn.LET(_xlpm.dir,Table1[[#This Row],[Direction]],
IF(_xlpm.dir="L",
    IF(F4291-Table1[[#This Row],[Steps]]&lt;0,100+(F4291-Table1[[#This Row],[Steps]]),F4291-Table1[[#This Row],[Steps]]),
))</f>
        <v>26</v>
      </c>
      <c r="E4292">
        <f>_xlfn.LET(_xlpm.dir,Table1[[#This Row],[Direction]],
IF(_xlpm.dir="R",
    IF(F4291+Table1[[#This Row],[Steps]]&gt;99,(F4291+Table1[[#This Row],[Steps]])-100,F4291+Table1[[#This Row],[Steps]]),
))</f>
        <v>0</v>
      </c>
      <c r="F4292">
        <f>IF(Table1[[#This Row],[New Pos L]]&lt;&gt;0,Table1[[#This Row],[New Pos L]],Table1[[#This Row],[New Pos R]])</f>
        <v>26</v>
      </c>
    </row>
    <row r="4293" spans="1:6" ht="16" x14ac:dyDescent="0.2">
      <c r="A4293" s="1" t="s">
        <v>812</v>
      </c>
      <c r="B4293" t="str">
        <f>LEFT(Table1[[#This Row],[Input]],1)</f>
        <v>R</v>
      </c>
      <c r="C4293">
        <f>_xlfn.LET(_xlpm.steps,SUBSTITUTE(Table1[[#This Row],[Input]],Table1[[#This Row],[Direction]],""),VALUE(IF(LEN(_xlpm.steps)&gt;2,RIGHT(_xlpm.steps,2),_xlpm.steps)))</f>
        <v>2</v>
      </c>
      <c r="D4293">
        <f>_xlfn.LET(_xlpm.dir,Table1[[#This Row],[Direction]],
IF(_xlpm.dir="L",
    IF(F4292-Table1[[#This Row],[Steps]]&lt;0,100+(F4292-Table1[[#This Row],[Steps]]),F4292-Table1[[#This Row],[Steps]]),
))</f>
        <v>0</v>
      </c>
      <c r="E4293">
        <f>_xlfn.LET(_xlpm.dir,Table1[[#This Row],[Direction]],
IF(_xlpm.dir="R",
    IF(F4292+Table1[[#This Row],[Steps]]&gt;99,(F4292+Table1[[#This Row],[Steps]])-100,F4292+Table1[[#This Row],[Steps]]),
))</f>
        <v>28</v>
      </c>
      <c r="F4293">
        <f>IF(Table1[[#This Row],[New Pos L]]&lt;&gt;0,Table1[[#This Row],[New Pos L]],Table1[[#This Row],[New Pos R]])</f>
        <v>28</v>
      </c>
    </row>
    <row r="4294" spans="1:6" ht="16" x14ac:dyDescent="0.2">
      <c r="A4294" s="1" t="s">
        <v>172</v>
      </c>
      <c r="B4294" t="str">
        <f>LEFT(Table1[[#This Row],[Input]],1)</f>
        <v>L</v>
      </c>
      <c r="C4294">
        <f>_xlfn.LET(_xlpm.steps,SUBSTITUTE(Table1[[#This Row],[Input]],Table1[[#This Row],[Direction]],""),VALUE(IF(LEN(_xlpm.steps)&gt;2,RIGHT(_xlpm.steps,2),_xlpm.steps)))</f>
        <v>66</v>
      </c>
      <c r="D4294">
        <f>_xlfn.LET(_xlpm.dir,Table1[[#This Row],[Direction]],
IF(_xlpm.dir="L",
    IF(F4293-Table1[[#This Row],[Steps]]&lt;0,100+(F4293-Table1[[#This Row],[Steps]]),F4293-Table1[[#This Row],[Steps]]),
))</f>
        <v>62</v>
      </c>
      <c r="E4294">
        <f>_xlfn.LET(_xlpm.dir,Table1[[#This Row],[Direction]],
IF(_xlpm.dir="R",
    IF(F4293+Table1[[#This Row],[Steps]]&gt;99,(F4293+Table1[[#This Row],[Steps]])-100,F4293+Table1[[#This Row],[Steps]]),
))</f>
        <v>0</v>
      </c>
      <c r="F4294">
        <f>IF(Table1[[#This Row],[New Pos L]]&lt;&gt;0,Table1[[#This Row],[New Pos L]],Table1[[#This Row],[New Pos R]])</f>
        <v>62</v>
      </c>
    </row>
    <row r="4295" spans="1:6" ht="16" x14ac:dyDescent="0.2">
      <c r="A4295" s="1" t="s">
        <v>858</v>
      </c>
      <c r="B4295" t="str">
        <f>LEFT(Table1[[#This Row],[Input]],1)</f>
        <v>L</v>
      </c>
      <c r="C4295">
        <f>_xlfn.LET(_xlpm.steps,SUBSTITUTE(Table1[[#This Row],[Input]],Table1[[#This Row],[Direction]],""),VALUE(IF(LEN(_xlpm.steps)&gt;2,RIGHT(_xlpm.steps,2),_xlpm.steps)))</f>
        <v>62</v>
      </c>
      <c r="D4295">
        <f>_xlfn.LET(_xlpm.dir,Table1[[#This Row],[Direction]],
IF(_xlpm.dir="L",
    IF(F4294-Table1[[#This Row],[Steps]]&lt;0,100+(F4294-Table1[[#This Row],[Steps]]),F4294-Table1[[#This Row],[Steps]]),
))</f>
        <v>0</v>
      </c>
      <c r="E4295">
        <f>_xlfn.LET(_xlpm.dir,Table1[[#This Row],[Direction]],
IF(_xlpm.dir="R",
    IF(F4294+Table1[[#This Row],[Steps]]&gt;99,(F4294+Table1[[#This Row],[Steps]])-100,F4294+Table1[[#This Row],[Steps]]),
))</f>
        <v>0</v>
      </c>
      <c r="F4295">
        <f>IF(Table1[[#This Row],[New Pos L]]&lt;&gt;0,Table1[[#This Row],[New Pos L]],Table1[[#This Row],[New Pos R]])</f>
        <v>0</v>
      </c>
    </row>
    <row r="4296" spans="1:6" ht="16" x14ac:dyDescent="0.2">
      <c r="A4296" s="1" t="s">
        <v>293</v>
      </c>
      <c r="B4296" t="str">
        <f>LEFT(Table1[[#This Row],[Input]],1)</f>
        <v>R</v>
      </c>
      <c r="C4296">
        <f>_xlfn.LET(_xlpm.steps,SUBSTITUTE(Table1[[#This Row],[Input]],Table1[[#This Row],[Direction]],""),VALUE(IF(LEN(_xlpm.steps)&gt;2,RIGHT(_xlpm.steps,2),_xlpm.steps)))</f>
        <v>67</v>
      </c>
      <c r="D4296">
        <f>_xlfn.LET(_xlpm.dir,Table1[[#This Row],[Direction]],
IF(_xlpm.dir="L",
    IF(F4295-Table1[[#This Row],[Steps]]&lt;0,100+(F4295-Table1[[#This Row],[Steps]]),F4295-Table1[[#This Row],[Steps]]),
))</f>
        <v>0</v>
      </c>
      <c r="E4296">
        <f>_xlfn.LET(_xlpm.dir,Table1[[#This Row],[Direction]],
IF(_xlpm.dir="R",
    IF(F4295+Table1[[#This Row],[Steps]]&gt;99,(F4295+Table1[[#This Row],[Steps]])-100,F4295+Table1[[#This Row],[Steps]]),
))</f>
        <v>67</v>
      </c>
      <c r="F4296">
        <f>IF(Table1[[#This Row],[New Pos L]]&lt;&gt;0,Table1[[#This Row],[New Pos L]],Table1[[#This Row],[New Pos R]])</f>
        <v>67</v>
      </c>
    </row>
    <row r="4297" spans="1:6" ht="16" x14ac:dyDescent="0.2">
      <c r="A4297" s="1" t="s">
        <v>859</v>
      </c>
      <c r="B4297" t="str">
        <f>LEFT(Table1[[#This Row],[Input]],1)</f>
        <v>L</v>
      </c>
      <c r="C4297">
        <f>_xlfn.LET(_xlpm.steps,SUBSTITUTE(Table1[[#This Row],[Input]],Table1[[#This Row],[Direction]],""),VALUE(IF(LEN(_xlpm.steps)&gt;2,RIGHT(_xlpm.steps,2),_xlpm.steps)))</f>
        <v>97</v>
      </c>
      <c r="D4297">
        <f>_xlfn.LET(_xlpm.dir,Table1[[#This Row],[Direction]],
IF(_xlpm.dir="L",
    IF(F4296-Table1[[#This Row],[Steps]]&lt;0,100+(F4296-Table1[[#This Row],[Steps]]),F4296-Table1[[#This Row],[Steps]]),
))</f>
        <v>70</v>
      </c>
      <c r="E4297">
        <f>_xlfn.LET(_xlpm.dir,Table1[[#This Row],[Direction]],
IF(_xlpm.dir="R",
    IF(F4296+Table1[[#This Row],[Steps]]&gt;99,(F4296+Table1[[#This Row],[Steps]])-100,F4296+Table1[[#This Row],[Steps]]),
))</f>
        <v>0</v>
      </c>
      <c r="F4297">
        <f>IF(Table1[[#This Row],[New Pos L]]&lt;&gt;0,Table1[[#This Row],[New Pos L]],Table1[[#This Row],[New Pos R]])</f>
        <v>70</v>
      </c>
    </row>
    <row r="4298" spans="1:6" ht="16" x14ac:dyDescent="0.2">
      <c r="A4298" s="1" t="s">
        <v>20</v>
      </c>
      <c r="B4298" t="str">
        <f>LEFT(Table1[[#This Row],[Input]],1)</f>
        <v>R</v>
      </c>
      <c r="C4298">
        <f>_xlfn.LET(_xlpm.steps,SUBSTITUTE(Table1[[#This Row],[Input]],Table1[[#This Row],[Direction]],""),VALUE(IF(LEN(_xlpm.steps)&gt;2,RIGHT(_xlpm.steps,2),_xlpm.steps)))</f>
        <v>46</v>
      </c>
      <c r="D4298">
        <f>_xlfn.LET(_xlpm.dir,Table1[[#This Row],[Direction]],
IF(_xlpm.dir="L",
    IF(F4297-Table1[[#This Row],[Steps]]&lt;0,100+(F4297-Table1[[#This Row],[Steps]]),F4297-Table1[[#This Row],[Steps]]),
))</f>
        <v>0</v>
      </c>
      <c r="E4298">
        <f>_xlfn.LET(_xlpm.dir,Table1[[#This Row],[Direction]],
IF(_xlpm.dir="R",
    IF(F4297+Table1[[#This Row],[Steps]]&gt;99,(F4297+Table1[[#This Row],[Steps]])-100,F4297+Table1[[#This Row],[Steps]]),
))</f>
        <v>16</v>
      </c>
      <c r="F4298">
        <f>IF(Table1[[#This Row],[New Pos L]]&lt;&gt;0,Table1[[#This Row],[New Pos L]],Table1[[#This Row],[New Pos R]])</f>
        <v>16</v>
      </c>
    </row>
    <row r="4299" spans="1:6" ht="16" x14ac:dyDescent="0.2">
      <c r="A4299" s="1" t="s">
        <v>860</v>
      </c>
      <c r="B4299" t="str">
        <f>LEFT(Table1[[#This Row],[Input]],1)</f>
        <v>L</v>
      </c>
      <c r="C4299">
        <f>_xlfn.LET(_xlpm.steps,SUBSTITUTE(Table1[[#This Row],[Input]],Table1[[#This Row],[Direction]],""),VALUE(IF(LEN(_xlpm.steps)&gt;2,RIGHT(_xlpm.steps,2),_xlpm.steps)))</f>
        <v>11</v>
      </c>
      <c r="D4299">
        <f>_xlfn.LET(_xlpm.dir,Table1[[#This Row],[Direction]],
IF(_xlpm.dir="L",
    IF(F4298-Table1[[#This Row],[Steps]]&lt;0,100+(F4298-Table1[[#This Row],[Steps]]),F4298-Table1[[#This Row],[Steps]]),
))</f>
        <v>5</v>
      </c>
      <c r="E4299">
        <f>_xlfn.LET(_xlpm.dir,Table1[[#This Row],[Direction]],
IF(_xlpm.dir="R",
    IF(F4298+Table1[[#This Row],[Steps]]&gt;99,(F4298+Table1[[#This Row],[Steps]])-100,F4298+Table1[[#This Row],[Steps]]),
))</f>
        <v>0</v>
      </c>
      <c r="F4299">
        <f>IF(Table1[[#This Row],[New Pos L]]&lt;&gt;0,Table1[[#This Row],[New Pos L]],Table1[[#This Row],[New Pos R]])</f>
        <v>5</v>
      </c>
    </row>
    <row r="4300" spans="1:6" ht="16" x14ac:dyDescent="0.2">
      <c r="A4300" s="1" t="s">
        <v>336</v>
      </c>
      <c r="B4300" t="str">
        <f>LEFT(Table1[[#This Row],[Input]],1)</f>
        <v>R</v>
      </c>
      <c r="C4300">
        <f>_xlfn.LET(_xlpm.steps,SUBSTITUTE(Table1[[#This Row],[Input]],Table1[[#This Row],[Direction]],""),VALUE(IF(LEN(_xlpm.steps)&gt;2,RIGHT(_xlpm.steps,2),_xlpm.steps)))</f>
        <v>95</v>
      </c>
      <c r="D4300">
        <f>_xlfn.LET(_xlpm.dir,Table1[[#This Row],[Direction]],
IF(_xlpm.dir="L",
    IF(F4299-Table1[[#This Row],[Steps]]&lt;0,100+(F4299-Table1[[#This Row],[Steps]]),F4299-Table1[[#This Row],[Steps]]),
))</f>
        <v>0</v>
      </c>
      <c r="E4300">
        <f>_xlfn.LET(_xlpm.dir,Table1[[#This Row],[Direction]],
IF(_xlpm.dir="R",
    IF(F4299+Table1[[#This Row],[Steps]]&gt;99,(F4299+Table1[[#This Row],[Steps]])-100,F4299+Table1[[#This Row],[Steps]]),
))</f>
        <v>0</v>
      </c>
      <c r="F4300">
        <f>IF(Table1[[#This Row],[New Pos L]]&lt;&gt;0,Table1[[#This Row],[New Pos L]],Table1[[#This Row],[New Pos R]])</f>
        <v>0</v>
      </c>
    </row>
    <row r="4301" spans="1:6" ht="16" x14ac:dyDescent="0.2">
      <c r="A4301" s="1" t="s">
        <v>2</v>
      </c>
      <c r="B4301" t="str">
        <f>LEFT(Table1[[#This Row],[Input]],1)</f>
        <v>L</v>
      </c>
      <c r="C4301">
        <f>_xlfn.LET(_xlpm.steps,SUBSTITUTE(Table1[[#This Row],[Input]],Table1[[#This Row],[Direction]],""),VALUE(IF(LEN(_xlpm.steps)&gt;2,RIGHT(_xlpm.steps,2),_xlpm.steps)))</f>
        <v>38</v>
      </c>
      <c r="D4301">
        <f>_xlfn.LET(_xlpm.dir,Table1[[#This Row],[Direction]],
IF(_xlpm.dir="L",
    IF(F4300-Table1[[#This Row],[Steps]]&lt;0,100+(F4300-Table1[[#This Row],[Steps]]),F4300-Table1[[#This Row],[Steps]]),
))</f>
        <v>62</v>
      </c>
      <c r="E4301">
        <f>_xlfn.LET(_xlpm.dir,Table1[[#This Row],[Direction]],
IF(_xlpm.dir="R",
    IF(F4300+Table1[[#This Row],[Steps]]&gt;99,(F4300+Table1[[#This Row],[Steps]])-100,F4300+Table1[[#This Row],[Steps]]),
))</f>
        <v>0</v>
      </c>
      <c r="F4301">
        <f>IF(Table1[[#This Row],[New Pos L]]&lt;&gt;0,Table1[[#This Row],[New Pos L]],Table1[[#This Row],[New Pos R]])</f>
        <v>62</v>
      </c>
    </row>
    <row r="4302" spans="1:6" ht="16" x14ac:dyDescent="0.2">
      <c r="A4302" s="1" t="s">
        <v>102</v>
      </c>
      <c r="B4302" t="str">
        <f>LEFT(Table1[[#This Row],[Input]],1)</f>
        <v>R</v>
      </c>
      <c r="C4302">
        <f>_xlfn.LET(_xlpm.steps,SUBSTITUTE(Table1[[#This Row],[Input]],Table1[[#This Row],[Direction]],""),VALUE(IF(LEN(_xlpm.steps)&gt;2,RIGHT(_xlpm.steps,2),_xlpm.steps)))</f>
        <v>39</v>
      </c>
      <c r="D4302">
        <f>_xlfn.LET(_xlpm.dir,Table1[[#This Row],[Direction]],
IF(_xlpm.dir="L",
    IF(F4301-Table1[[#This Row],[Steps]]&lt;0,100+(F4301-Table1[[#This Row],[Steps]]),F4301-Table1[[#This Row],[Steps]]),
))</f>
        <v>0</v>
      </c>
      <c r="E4302">
        <f>_xlfn.LET(_xlpm.dir,Table1[[#This Row],[Direction]],
IF(_xlpm.dir="R",
    IF(F4301+Table1[[#This Row],[Steps]]&gt;99,(F4301+Table1[[#This Row],[Steps]])-100,F4301+Table1[[#This Row],[Steps]]),
))</f>
        <v>1</v>
      </c>
      <c r="F4302">
        <f>IF(Table1[[#This Row],[New Pos L]]&lt;&gt;0,Table1[[#This Row],[New Pos L]],Table1[[#This Row],[New Pos R]])</f>
        <v>1</v>
      </c>
    </row>
    <row r="4303" spans="1:6" ht="16" x14ac:dyDescent="0.2">
      <c r="A4303" s="1" t="s">
        <v>861</v>
      </c>
      <c r="B4303" t="str">
        <f>LEFT(Table1[[#This Row],[Input]],1)</f>
        <v>R</v>
      </c>
      <c r="C4303">
        <f>_xlfn.LET(_xlpm.steps,SUBSTITUTE(Table1[[#This Row],[Input]],Table1[[#This Row],[Direction]],""),VALUE(IF(LEN(_xlpm.steps)&gt;2,RIGHT(_xlpm.steps,2),_xlpm.steps)))</f>
        <v>25</v>
      </c>
      <c r="D4303">
        <f>_xlfn.LET(_xlpm.dir,Table1[[#This Row],[Direction]],
IF(_xlpm.dir="L",
    IF(F4302-Table1[[#This Row],[Steps]]&lt;0,100+(F4302-Table1[[#This Row],[Steps]]),F4302-Table1[[#This Row],[Steps]]),
))</f>
        <v>0</v>
      </c>
      <c r="E4303">
        <f>_xlfn.LET(_xlpm.dir,Table1[[#This Row],[Direction]],
IF(_xlpm.dir="R",
    IF(F4302+Table1[[#This Row],[Steps]]&gt;99,(F4302+Table1[[#This Row],[Steps]])-100,F4302+Table1[[#This Row],[Steps]]),
))</f>
        <v>26</v>
      </c>
      <c r="F4303">
        <f>IF(Table1[[#This Row],[New Pos L]]&lt;&gt;0,Table1[[#This Row],[New Pos L]],Table1[[#This Row],[New Pos R]])</f>
        <v>26</v>
      </c>
    </row>
    <row r="4304" spans="1:6" ht="16" x14ac:dyDescent="0.2">
      <c r="A4304" s="1" t="s">
        <v>84</v>
      </c>
      <c r="B4304" t="str">
        <f>LEFT(Table1[[#This Row],[Input]],1)</f>
        <v>R</v>
      </c>
      <c r="C4304">
        <f>_xlfn.LET(_xlpm.steps,SUBSTITUTE(Table1[[#This Row],[Input]],Table1[[#This Row],[Direction]],""),VALUE(IF(LEN(_xlpm.steps)&gt;2,RIGHT(_xlpm.steps,2),_xlpm.steps)))</f>
        <v>88</v>
      </c>
      <c r="D4304">
        <f>_xlfn.LET(_xlpm.dir,Table1[[#This Row],[Direction]],
IF(_xlpm.dir="L",
    IF(F4303-Table1[[#This Row],[Steps]]&lt;0,100+(F4303-Table1[[#This Row],[Steps]]),F4303-Table1[[#This Row],[Steps]]),
))</f>
        <v>0</v>
      </c>
      <c r="E4304">
        <f>_xlfn.LET(_xlpm.dir,Table1[[#This Row],[Direction]],
IF(_xlpm.dir="R",
    IF(F4303+Table1[[#This Row],[Steps]]&gt;99,(F4303+Table1[[#This Row],[Steps]])-100,F4303+Table1[[#This Row],[Steps]]),
))</f>
        <v>14</v>
      </c>
      <c r="F4304">
        <f>IF(Table1[[#This Row],[New Pos L]]&lt;&gt;0,Table1[[#This Row],[New Pos L]],Table1[[#This Row],[New Pos R]])</f>
        <v>14</v>
      </c>
    </row>
    <row r="4305" spans="1:6" ht="16" x14ac:dyDescent="0.2">
      <c r="A4305" s="1" t="s">
        <v>116</v>
      </c>
      <c r="B4305" t="str">
        <f>LEFT(Table1[[#This Row],[Input]],1)</f>
        <v>L</v>
      </c>
      <c r="C4305">
        <f>_xlfn.LET(_xlpm.steps,SUBSTITUTE(Table1[[#This Row],[Input]],Table1[[#This Row],[Direction]],""),VALUE(IF(LEN(_xlpm.steps)&gt;2,RIGHT(_xlpm.steps,2),_xlpm.steps)))</f>
        <v>58</v>
      </c>
      <c r="D4305">
        <f>_xlfn.LET(_xlpm.dir,Table1[[#This Row],[Direction]],
IF(_xlpm.dir="L",
    IF(F4304-Table1[[#This Row],[Steps]]&lt;0,100+(F4304-Table1[[#This Row],[Steps]]),F4304-Table1[[#This Row],[Steps]]),
))</f>
        <v>56</v>
      </c>
      <c r="E4305">
        <f>_xlfn.LET(_xlpm.dir,Table1[[#This Row],[Direction]],
IF(_xlpm.dir="R",
    IF(F4304+Table1[[#This Row],[Steps]]&gt;99,(F4304+Table1[[#This Row],[Steps]])-100,F4304+Table1[[#This Row],[Steps]]),
))</f>
        <v>0</v>
      </c>
      <c r="F4305">
        <f>IF(Table1[[#This Row],[New Pos L]]&lt;&gt;0,Table1[[#This Row],[New Pos L]],Table1[[#This Row],[New Pos R]])</f>
        <v>56</v>
      </c>
    </row>
    <row r="4306" spans="1:6" ht="16" x14ac:dyDescent="0.2">
      <c r="A4306" s="1" t="s">
        <v>159</v>
      </c>
      <c r="B4306" t="str">
        <f>LEFT(Table1[[#This Row],[Input]],1)</f>
        <v>R</v>
      </c>
      <c r="C4306">
        <f>_xlfn.LET(_xlpm.steps,SUBSTITUTE(Table1[[#This Row],[Input]],Table1[[#This Row],[Direction]],""),VALUE(IF(LEN(_xlpm.steps)&gt;2,RIGHT(_xlpm.steps,2),_xlpm.steps)))</f>
        <v>24</v>
      </c>
      <c r="D4306">
        <f>_xlfn.LET(_xlpm.dir,Table1[[#This Row],[Direction]],
IF(_xlpm.dir="L",
    IF(F4305-Table1[[#This Row],[Steps]]&lt;0,100+(F4305-Table1[[#This Row],[Steps]]),F4305-Table1[[#This Row],[Steps]]),
))</f>
        <v>0</v>
      </c>
      <c r="E4306">
        <f>_xlfn.LET(_xlpm.dir,Table1[[#This Row],[Direction]],
IF(_xlpm.dir="R",
    IF(F4305+Table1[[#This Row],[Steps]]&gt;99,(F4305+Table1[[#This Row],[Steps]])-100,F4305+Table1[[#This Row],[Steps]]),
))</f>
        <v>80</v>
      </c>
      <c r="F4306">
        <f>IF(Table1[[#This Row],[New Pos L]]&lt;&gt;0,Table1[[#This Row],[New Pos L]],Table1[[#This Row],[New Pos R]])</f>
        <v>80</v>
      </c>
    </row>
    <row r="4307" spans="1:6" ht="16" x14ac:dyDescent="0.2">
      <c r="A4307" s="1" t="s">
        <v>179</v>
      </c>
      <c r="B4307" t="str">
        <f>LEFT(Table1[[#This Row],[Input]],1)</f>
        <v>L</v>
      </c>
      <c r="C4307">
        <f>_xlfn.LET(_xlpm.steps,SUBSTITUTE(Table1[[#This Row],[Input]],Table1[[#This Row],[Direction]],""),VALUE(IF(LEN(_xlpm.steps)&gt;2,RIGHT(_xlpm.steps,2),_xlpm.steps)))</f>
        <v>54</v>
      </c>
      <c r="D4307">
        <f>_xlfn.LET(_xlpm.dir,Table1[[#This Row],[Direction]],
IF(_xlpm.dir="L",
    IF(F4306-Table1[[#This Row],[Steps]]&lt;0,100+(F4306-Table1[[#This Row],[Steps]]),F4306-Table1[[#This Row],[Steps]]),
))</f>
        <v>26</v>
      </c>
      <c r="E4307">
        <f>_xlfn.LET(_xlpm.dir,Table1[[#This Row],[Direction]],
IF(_xlpm.dir="R",
    IF(F4306+Table1[[#This Row],[Steps]]&gt;99,(F4306+Table1[[#This Row],[Steps]])-100,F4306+Table1[[#This Row],[Steps]]),
))</f>
        <v>0</v>
      </c>
      <c r="F4307">
        <f>IF(Table1[[#This Row],[New Pos L]]&lt;&gt;0,Table1[[#This Row],[New Pos L]],Table1[[#This Row],[New Pos R]])</f>
        <v>26</v>
      </c>
    </row>
    <row r="4308" spans="1:6" ht="16" x14ac:dyDescent="0.2">
      <c r="A4308" s="1" t="s">
        <v>77</v>
      </c>
      <c r="B4308" t="str">
        <f>LEFT(Table1[[#This Row],[Input]],1)</f>
        <v>R</v>
      </c>
      <c r="C4308">
        <f>_xlfn.LET(_xlpm.steps,SUBSTITUTE(Table1[[#This Row],[Input]],Table1[[#This Row],[Direction]],""),VALUE(IF(LEN(_xlpm.steps)&gt;2,RIGHT(_xlpm.steps,2),_xlpm.steps)))</f>
        <v>74</v>
      </c>
      <c r="D4308">
        <f>_xlfn.LET(_xlpm.dir,Table1[[#This Row],[Direction]],
IF(_xlpm.dir="L",
    IF(F4307-Table1[[#This Row],[Steps]]&lt;0,100+(F4307-Table1[[#This Row],[Steps]]),F4307-Table1[[#This Row],[Steps]]),
))</f>
        <v>0</v>
      </c>
      <c r="E4308">
        <f>_xlfn.LET(_xlpm.dir,Table1[[#This Row],[Direction]],
IF(_xlpm.dir="R",
    IF(F4307+Table1[[#This Row],[Steps]]&gt;99,(F4307+Table1[[#This Row],[Steps]])-100,F4307+Table1[[#This Row],[Steps]]),
))</f>
        <v>0</v>
      </c>
      <c r="F4308">
        <f>IF(Table1[[#This Row],[New Pos L]]&lt;&gt;0,Table1[[#This Row],[New Pos L]],Table1[[#This Row],[New Pos R]])</f>
        <v>0</v>
      </c>
    </row>
    <row r="4309" spans="1:6" ht="16" x14ac:dyDescent="0.2">
      <c r="A4309" s="1" t="s">
        <v>120</v>
      </c>
      <c r="B4309" t="str">
        <f>LEFT(Table1[[#This Row],[Input]],1)</f>
        <v>L</v>
      </c>
      <c r="C4309">
        <f>_xlfn.LET(_xlpm.steps,SUBSTITUTE(Table1[[#This Row],[Input]],Table1[[#This Row],[Direction]],""),VALUE(IF(LEN(_xlpm.steps)&gt;2,RIGHT(_xlpm.steps,2),_xlpm.steps)))</f>
        <v>23</v>
      </c>
      <c r="D4309">
        <f>_xlfn.LET(_xlpm.dir,Table1[[#This Row],[Direction]],
IF(_xlpm.dir="L",
    IF(F4308-Table1[[#This Row],[Steps]]&lt;0,100+(F4308-Table1[[#This Row],[Steps]]),F4308-Table1[[#This Row],[Steps]]),
))</f>
        <v>77</v>
      </c>
      <c r="E4309">
        <f>_xlfn.LET(_xlpm.dir,Table1[[#This Row],[Direction]],
IF(_xlpm.dir="R",
    IF(F4308+Table1[[#This Row],[Steps]]&gt;99,(F4308+Table1[[#This Row],[Steps]])-100,F4308+Table1[[#This Row],[Steps]]),
))</f>
        <v>0</v>
      </c>
      <c r="F4309">
        <f>IF(Table1[[#This Row],[New Pos L]]&lt;&gt;0,Table1[[#This Row],[New Pos L]],Table1[[#This Row],[New Pos R]])</f>
        <v>77</v>
      </c>
    </row>
    <row r="4310" spans="1:6" ht="16" x14ac:dyDescent="0.2">
      <c r="A4310" s="1" t="s">
        <v>71</v>
      </c>
      <c r="B4310" t="str">
        <f>LEFT(Table1[[#This Row],[Input]],1)</f>
        <v>R</v>
      </c>
      <c r="C4310">
        <f>_xlfn.LET(_xlpm.steps,SUBSTITUTE(Table1[[#This Row],[Input]],Table1[[#This Row],[Direction]],""),VALUE(IF(LEN(_xlpm.steps)&gt;2,RIGHT(_xlpm.steps,2),_xlpm.steps)))</f>
        <v>23</v>
      </c>
      <c r="D4310">
        <f>_xlfn.LET(_xlpm.dir,Table1[[#This Row],[Direction]],
IF(_xlpm.dir="L",
    IF(F4309-Table1[[#This Row],[Steps]]&lt;0,100+(F4309-Table1[[#This Row],[Steps]]),F4309-Table1[[#This Row],[Steps]]),
))</f>
        <v>0</v>
      </c>
      <c r="E4310">
        <f>_xlfn.LET(_xlpm.dir,Table1[[#This Row],[Direction]],
IF(_xlpm.dir="R",
    IF(F4309+Table1[[#This Row],[Steps]]&gt;99,(F4309+Table1[[#This Row],[Steps]])-100,F4309+Table1[[#This Row],[Steps]]),
))</f>
        <v>0</v>
      </c>
      <c r="F4310">
        <f>IF(Table1[[#This Row],[New Pos L]]&lt;&gt;0,Table1[[#This Row],[New Pos L]],Table1[[#This Row],[New Pos R]])</f>
        <v>0</v>
      </c>
    </row>
    <row r="4311" spans="1:6" ht="16" x14ac:dyDescent="0.2">
      <c r="A4311" s="1" t="s">
        <v>135</v>
      </c>
      <c r="B4311" t="str">
        <f>LEFT(Table1[[#This Row],[Input]],1)</f>
        <v>R</v>
      </c>
      <c r="C4311">
        <f>_xlfn.LET(_xlpm.steps,SUBSTITUTE(Table1[[#This Row],[Input]],Table1[[#This Row],[Direction]],""),VALUE(IF(LEN(_xlpm.steps)&gt;2,RIGHT(_xlpm.steps,2),_xlpm.steps)))</f>
        <v>69</v>
      </c>
      <c r="D4311">
        <f>_xlfn.LET(_xlpm.dir,Table1[[#This Row],[Direction]],
IF(_xlpm.dir="L",
    IF(F4310-Table1[[#This Row],[Steps]]&lt;0,100+(F4310-Table1[[#This Row],[Steps]]),F4310-Table1[[#This Row],[Steps]]),
))</f>
        <v>0</v>
      </c>
      <c r="E4311">
        <f>_xlfn.LET(_xlpm.dir,Table1[[#This Row],[Direction]],
IF(_xlpm.dir="R",
    IF(F4310+Table1[[#This Row],[Steps]]&gt;99,(F4310+Table1[[#This Row],[Steps]])-100,F4310+Table1[[#This Row],[Steps]]),
))</f>
        <v>69</v>
      </c>
      <c r="F4311">
        <f>IF(Table1[[#This Row],[New Pos L]]&lt;&gt;0,Table1[[#This Row],[New Pos L]],Table1[[#This Row],[New Pos R]])</f>
        <v>69</v>
      </c>
    </row>
    <row r="4312" spans="1:6" ht="16" x14ac:dyDescent="0.2">
      <c r="A4312" s="1" t="s">
        <v>276</v>
      </c>
      <c r="B4312" t="str">
        <f>LEFT(Table1[[#This Row],[Input]],1)</f>
        <v>L</v>
      </c>
      <c r="C4312">
        <f>_xlfn.LET(_xlpm.steps,SUBSTITUTE(Table1[[#This Row],[Input]],Table1[[#This Row],[Direction]],""),VALUE(IF(LEN(_xlpm.steps)&gt;2,RIGHT(_xlpm.steps,2),_xlpm.steps)))</f>
        <v>60</v>
      </c>
      <c r="D4312">
        <f>_xlfn.LET(_xlpm.dir,Table1[[#This Row],[Direction]],
IF(_xlpm.dir="L",
    IF(F4311-Table1[[#This Row],[Steps]]&lt;0,100+(F4311-Table1[[#This Row],[Steps]]),F4311-Table1[[#This Row],[Steps]]),
))</f>
        <v>9</v>
      </c>
      <c r="E4312">
        <f>_xlfn.LET(_xlpm.dir,Table1[[#This Row],[Direction]],
IF(_xlpm.dir="R",
    IF(F4311+Table1[[#This Row],[Steps]]&gt;99,(F4311+Table1[[#This Row],[Steps]])-100,F4311+Table1[[#This Row],[Steps]]),
))</f>
        <v>0</v>
      </c>
      <c r="F4312">
        <f>IF(Table1[[#This Row],[New Pos L]]&lt;&gt;0,Table1[[#This Row],[New Pos L]],Table1[[#This Row],[New Pos R]])</f>
        <v>9</v>
      </c>
    </row>
    <row r="4313" spans="1:6" ht="16" x14ac:dyDescent="0.2">
      <c r="A4313" s="1" t="s">
        <v>8</v>
      </c>
      <c r="B4313" t="str">
        <f>LEFT(Table1[[#This Row],[Input]],1)</f>
        <v>R</v>
      </c>
      <c r="C4313">
        <f>_xlfn.LET(_xlpm.steps,SUBSTITUTE(Table1[[#This Row],[Input]],Table1[[#This Row],[Direction]],""),VALUE(IF(LEN(_xlpm.steps)&gt;2,RIGHT(_xlpm.steps,2),_xlpm.steps)))</f>
        <v>18</v>
      </c>
      <c r="D4313">
        <f>_xlfn.LET(_xlpm.dir,Table1[[#This Row],[Direction]],
IF(_xlpm.dir="L",
    IF(F4312-Table1[[#This Row],[Steps]]&lt;0,100+(F4312-Table1[[#This Row],[Steps]]),F4312-Table1[[#This Row],[Steps]]),
))</f>
        <v>0</v>
      </c>
      <c r="E4313">
        <f>_xlfn.LET(_xlpm.dir,Table1[[#This Row],[Direction]],
IF(_xlpm.dir="R",
    IF(F4312+Table1[[#This Row],[Steps]]&gt;99,(F4312+Table1[[#This Row],[Steps]])-100,F4312+Table1[[#This Row],[Steps]]),
))</f>
        <v>27</v>
      </c>
      <c r="F4313">
        <f>IF(Table1[[#This Row],[New Pos L]]&lt;&gt;0,Table1[[#This Row],[New Pos L]],Table1[[#This Row],[New Pos R]])</f>
        <v>27</v>
      </c>
    </row>
    <row r="4314" spans="1:6" ht="16" x14ac:dyDescent="0.2">
      <c r="A4314" s="1" t="s">
        <v>862</v>
      </c>
      <c r="B4314" t="str">
        <f>LEFT(Table1[[#This Row],[Input]],1)</f>
        <v>R</v>
      </c>
      <c r="C4314">
        <f>_xlfn.LET(_xlpm.steps,SUBSTITUTE(Table1[[#This Row],[Input]],Table1[[#This Row],[Direction]],""),VALUE(IF(LEN(_xlpm.steps)&gt;2,RIGHT(_xlpm.steps,2),_xlpm.steps)))</f>
        <v>10</v>
      </c>
      <c r="D4314">
        <f>_xlfn.LET(_xlpm.dir,Table1[[#This Row],[Direction]],
IF(_xlpm.dir="L",
    IF(F4313-Table1[[#This Row],[Steps]]&lt;0,100+(F4313-Table1[[#This Row],[Steps]]),F4313-Table1[[#This Row],[Steps]]),
))</f>
        <v>0</v>
      </c>
      <c r="E4314">
        <f>_xlfn.LET(_xlpm.dir,Table1[[#This Row],[Direction]],
IF(_xlpm.dir="R",
    IF(F4313+Table1[[#This Row],[Steps]]&gt;99,(F4313+Table1[[#This Row],[Steps]])-100,F4313+Table1[[#This Row],[Steps]]),
))</f>
        <v>37</v>
      </c>
      <c r="F4314">
        <f>IF(Table1[[#This Row],[New Pos L]]&lt;&gt;0,Table1[[#This Row],[New Pos L]],Table1[[#This Row],[New Pos R]])</f>
        <v>37</v>
      </c>
    </row>
    <row r="4315" spans="1:6" ht="16" x14ac:dyDescent="0.2">
      <c r="A4315" s="1" t="s">
        <v>719</v>
      </c>
      <c r="B4315" t="str">
        <f>LEFT(Table1[[#This Row],[Input]],1)</f>
        <v>R</v>
      </c>
      <c r="C4315">
        <f>_xlfn.LET(_xlpm.steps,SUBSTITUTE(Table1[[#This Row],[Input]],Table1[[#This Row],[Direction]],""),VALUE(IF(LEN(_xlpm.steps)&gt;2,RIGHT(_xlpm.steps,2),_xlpm.steps)))</f>
        <v>98</v>
      </c>
      <c r="D4315">
        <f>_xlfn.LET(_xlpm.dir,Table1[[#This Row],[Direction]],
IF(_xlpm.dir="L",
    IF(F4314-Table1[[#This Row],[Steps]]&lt;0,100+(F4314-Table1[[#This Row],[Steps]]),F4314-Table1[[#This Row],[Steps]]),
))</f>
        <v>0</v>
      </c>
      <c r="E4315">
        <f>_xlfn.LET(_xlpm.dir,Table1[[#This Row],[Direction]],
IF(_xlpm.dir="R",
    IF(F4314+Table1[[#This Row],[Steps]]&gt;99,(F4314+Table1[[#This Row],[Steps]])-100,F4314+Table1[[#This Row],[Steps]]),
))</f>
        <v>35</v>
      </c>
      <c r="F4315">
        <f>IF(Table1[[#This Row],[New Pos L]]&lt;&gt;0,Table1[[#This Row],[New Pos L]],Table1[[#This Row],[New Pos R]])</f>
        <v>35</v>
      </c>
    </row>
    <row r="4316" spans="1:6" ht="16" x14ac:dyDescent="0.2">
      <c r="A4316" s="1" t="s">
        <v>12</v>
      </c>
      <c r="B4316" t="str">
        <f>LEFT(Table1[[#This Row],[Input]],1)</f>
        <v>L</v>
      </c>
      <c r="C4316">
        <f>_xlfn.LET(_xlpm.steps,SUBSTITUTE(Table1[[#This Row],[Input]],Table1[[#This Row],[Direction]],""),VALUE(IF(LEN(_xlpm.steps)&gt;2,RIGHT(_xlpm.steps,2),_xlpm.steps)))</f>
        <v>11</v>
      </c>
      <c r="D4316">
        <f>_xlfn.LET(_xlpm.dir,Table1[[#This Row],[Direction]],
IF(_xlpm.dir="L",
    IF(F4315-Table1[[#This Row],[Steps]]&lt;0,100+(F4315-Table1[[#This Row],[Steps]]),F4315-Table1[[#This Row],[Steps]]),
))</f>
        <v>24</v>
      </c>
      <c r="E4316">
        <f>_xlfn.LET(_xlpm.dir,Table1[[#This Row],[Direction]],
IF(_xlpm.dir="R",
    IF(F4315+Table1[[#This Row],[Steps]]&gt;99,(F4315+Table1[[#This Row],[Steps]])-100,F4315+Table1[[#This Row],[Steps]]),
))</f>
        <v>0</v>
      </c>
      <c r="F4316">
        <f>IF(Table1[[#This Row],[New Pos L]]&lt;&gt;0,Table1[[#This Row],[New Pos L]],Table1[[#This Row],[New Pos R]])</f>
        <v>24</v>
      </c>
    </row>
    <row r="4317" spans="1:6" ht="16" x14ac:dyDescent="0.2">
      <c r="A4317" s="1" t="s">
        <v>33</v>
      </c>
      <c r="B4317" t="str">
        <f>LEFT(Table1[[#This Row],[Input]],1)</f>
        <v>R</v>
      </c>
      <c r="C4317">
        <f>_xlfn.LET(_xlpm.steps,SUBSTITUTE(Table1[[#This Row],[Input]],Table1[[#This Row],[Direction]],""),VALUE(IF(LEN(_xlpm.steps)&gt;2,RIGHT(_xlpm.steps,2),_xlpm.steps)))</f>
        <v>22</v>
      </c>
      <c r="D4317">
        <f>_xlfn.LET(_xlpm.dir,Table1[[#This Row],[Direction]],
IF(_xlpm.dir="L",
    IF(F4316-Table1[[#This Row],[Steps]]&lt;0,100+(F4316-Table1[[#This Row],[Steps]]),F4316-Table1[[#This Row],[Steps]]),
))</f>
        <v>0</v>
      </c>
      <c r="E4317">
        <f>_xlfn.LET(_xlpm.dir,Table1[[#This Row],[Direction]],
IF(_xlpm.dir="R",
    IF(F4316+Table1[[#This Row],[Steps]]&gt;99,(F4316+Table1[[#This Row],[Steps]])-100,F4316+Table1[[#This Row],[Steps]]),
))</f>
        <v>46</v>
      </c>
      <c r="F4317">
        <f>IF(Table1[[#This Row],[New Pos L]]&lt;&gt;0,Table1[[#This Row],[New Pos L]],Table1[[#This Row],[New Pos R]])</f>
        <v>46</v>
      </c>
    </row>
    <row r="4318" spans="1:6" ht="16" x14ac:dyDescent="0.2">
      <c r="A4318" s="1" t="s">
        <v>863</v>
      </c>
      <c r="B4318" t="str">
        <f>LEFT(Table1[[#This Row],[Input]],1)</f>
        <v>L</v>
      </c>
      <c r="C4318">
        <f>_xlfn.LET(_xlpm.steps,SUBSTITUTE(Table1[[#This Row],[Input]],Table1[[#This Row],[Direction]],""),VALUE(IF(LEN(_xlpm.steps)&gt;2,RIGHT(_xlpm.steps,2),_xlpm.steps)))</f>
        <v>37</v>
      </c>
      <c r="D4318">
        <f>_xlfn.LET(_xlpm.dir,Table1[[#This Row],[Direction]],
IF(_xlpm.dir="L",
    IF(F4317-Table1[[#This Row],[Steps]]&lt;0,100+(F4317-Table1[[#This Row],[Steps]]),F4317-Table1[[#This Row],[Steps]]),
))</f>
        <v>9</v>
      </c>
      <c r="E4318">
        <f>_xlfn.LET(_xlpm.dir,Table1[[#This Row],[Direction]],
IF(_xlpm.dir="R",
    IF(F4317+Table1[[#This Row],[Steps]]&gt;99,(F4317+Table1[[#This Row],[Steps]])-100,F4317+Table1[[#This Row],[Steps]]),
))</f>
        <v>0</v>
      </c>
      <c r="F4318">
        <f>IF(Table1[[#This Row],[New Pos L]]&lt;&gt;0,Table1[[#This Row],[New Pos L]],Table1[[#This Row],[New Pos R]])</f>
        <v>9</v>
      </c>
    </row>
    <row r="4319" spans="1:6" ht="16" x14ac:dyDescent="0.2">
      <c r="A4319" s="1" t="s">
        <v>120</v>
      </c>
      <c r="B4319" t="str">
        <f>LEFT(Table1[[#This Row],[Input]],1)</f>
        <v>L</v>
      </c>
      <c r="C4319">
        <f>_xlfn.LET(_xlpm.steps,SUBSTITUTE(Table1[[#This Row],[Input]],Table1[[#This Row],[Direction]],""),VALUE(IF(LEN(_xlpm.steps)&gt;2,RIGHT(_xlpm.steps,2),_xlpm.steps)))</f>
        <v>23</v>
      </c>
      <c r="D4319">
        <f>_xlfn.LET(_xlpm.dir,Table1[[#This Row],[Direction]],
IF(_xlpm.dir="L",
    IF(F4318-Table1[[#This Row],[Steps]]&lt;0,100+(F4318-Table1[[#This Row],[Steps]]),F4318-Table1[[#This Row],[Steps]]),
))</f>
        <v>86</v>
      </c>
      <c r="E4319">
        <f>_xlfn.LET(_xlpm.dir,Table1[[#This Row],[Direction]],
IF(_xlpm.dir="R",
    IF(F4318+Table1[[#This Row],[Steps]]&gt;99,(F4318+Table1[[#This Row],[Steps]])-100,F4318+Table1[[#This Row],[Steps]]),
))</f>
        <v>0</v>
      </c>
      <c r="F4319">
        <f>IF(Table1[[#This Row],[New Pos L]]&lt;&gt;0,Table1[[#This Row],[New Pos L]],Table1[[#This Row],[New Pos R]])</f>
        <v>86</v>
      </c>
    </row>
    <row r="4320" spans="1:6" ht="16" x14ac:dyDescent="0.2">
      <c r="A4320" s="1" t="s">
        <v>171</v>
      </c>
      <c r="B4320" t="str">
        <f>LEFT(Table1[[#This Row],[Input]],1)</f>
        <v>L</v>
      </c>
      <c r="C4320">
        <f>_xlfn.LET(_xlpm.steps,SUBSTITUTE(Table1[[#This Row],[Input]],Table1[[#This Row],[Direction]],""),VALUE(IF(LEN(_xlpm.steps)&gt;2,RIGHT(_xlpm.steps,2),_xlpm.steps)))</f>
        <v>73</v>
      </c>
      <c r="D4320">
        <f>_xlfn.LET(_xlpm.dir,Table1[[#This Row],[Direction]],
IF(_xlpm.dir="L",
    IF(F4319-Table1[[#This Row],[Steps]]&lt;0,100+(F4319-Table1[[#This Row],[Steps]]),F4319-Table1[[#This Row],[Steps]]),
))</f>
        <v>13</v>
      </c>
      <c r="E4320">
        <f>_xlfn.LET(_xlpm.dir,Table1[[#This Row],[Direction]],
IF(_xlpm.dir="R",
    IF(F4319+Table1[[#This Row],[Steps]]&gt;99,(F4319+Table1[[#This Row],[Steps]])-100,F4319+Table1[[#This Row],[Steps]]),
))</f>
        <v>0</v>
      </c>
      <c r="F4320">
        <f>IF(Table1[[#This Row],[New Pos L]]&lt;&gt;0,Table1[[#This Row],[New Pos L]],Table1[[#This Row],[New Pos R]])</f>
        <v>13</v>
      </c>
    </row>
    <row r="4321" spans="1:6" ht="16" x14ac:dyDescent="0.2">
      <c r="A4321" s="1" t="s">
        <v>55</v>
      </c>
      <c r="B4321" t="str">
        <f>LEFT(Table1[[#This Row],[Input]],1)</f>
        <v>L</v>
      </c>
      <c r="C4321">
        <f>_xlfn.LET(_xlpm.steps,SUBSTITUTE(Table1[[#This Row],[Input]],Table1[[#This Row],[Direction]],""),VALUE(IF(LEN(_xlpm.steps)&gt;2,RIGHT(_xlpm.steps,2),_xlpm.steps)))</f>
        <v>82</v>
      </c>
      <c r="D4321">
        <f>_xlfn.LET(_xlpm.dir,Table1[[#This Row],[Direction]],
IF(_xlpm.dir="L",
    IF(F4320-Table1[[#This Row],[Steps]]&lt;0,100+(F4320-Table1[[#This Row],[Steps]]),F4320-Table1[[#This Row],[Steps]]),
))</f>
        <v>31</v>
      </c>
      <c r="E4321">
        <f>_xlfn.LET(_xlpm.dir,Table1[[#This Row],[Direction]],
IF(_xlpm.dir="R",
    IF(F4320+Table1[[#This Row],[Steps]]&gt;99,(F4320+Table1[[#This Row],[Steps]])-100,F4320+Table1[[#This Row],[Steps]]),
))</f>
        <v>0</v>
      </c>
      <c r="F4321">
        <f>IF(Table1[[#This Row],[New Pos L]]&lt;&gt;0,Table1[[#This Row],[New Pos L]],Table1[[#This Row],[New Pos R]])</f>
        <v>31</v>
      </c>
    </row>
    <row r="4322" spans="1:6" ht="16" x14ac:dyDescent="0.2">
      <c r="A4322" s="1" t="s">
        <v>12</v>
      </c>
      <c r="B4322" t="str">
        <f>LEFT(Table1[[#This Row],[Input]],1)</f>
        <v>L</v>
      </c>
      <c r="C4322">
        <f>_xlfn.LET(_xlpm.steps,SUBSTITUTE(Table1[[#This Row],[Input]],Table1[[#This Row],[Direction]],""),VALUE(IF(LEN(_xlpm.steps)&gt;2,RIGHT(_xlpm.steps,2),_xlpm.steps)))</f>
        <v>11</v>
      </c>
      <c r="D4322">
        <f>_xlfn.LET(_xlpm.dir,Table1[[#This Row],[Direction]],
IF(_xlpm.dir="L",
    IF(F4321-Table1[[#This Row],[Steps]]&lt;0,100+(F4321-Table1[[#This Row],[Steps]]),F4321-Table1[[#This Row],[Steps]]),
))</f>
        <v>20</v>
      </c>
      <c r="E4322">
        <f>_xlfn.LET(_xlpm.dir,Table1[[#This Row],[Direction]],
IF(_xlpm.dir="R",
    IF(F4321+Table1[[#This Row],[Steps]]&gt;99,(F4321+Table1[[#This Row],[Steps]])-100,F4321+Table1[[#This Row],[Steps]]),
))</f>
        <v>0</v>
      </c>
      <c r="F4322">
        <f>IF(Table1[[#This Row],[New Pos L]]&lt;&gt;0,Table1[[#This Row],[New Pos L]],Table1[[#This Row],[New Pos R]])</f>
        <v>20</v>
      </c>
    </row>
    <row r="4323" spans="1:6" ht="16" x14ac:dyDescent="0.2">
      <c r="A4323" s="1" t="s">
        <v>256</v>
      </c>
      <c r="B4323" t="str">
        <f>LEFT(Table1[[#This Row],[Input]],1)</f>
        <v>R</v>
      </c>
      <c r="C4323">
        <f>_xlfn.LET(_xlpm.steps,SUBSTITUTE(Table1[[#This Row],[Input]],Table1[[#This Row],[Direction]],""),VALUE(IF(LEN(_xlpm.steps)&gt;2,RIGHT(_xlpm.steps,2),_xlpm.steps)))</f>
        <v>13</v>
      </c>
      <c r="D4323">
        <f>_xlfn.LET(_xlpm.dir,Table1[[#This Row],[Direction]],
IF(_xlpm.dir="L",
    IF(F4322-Table1[[#This Row],[Steps]]&lt;0,100+(F4322-Table1[[#This Row],[Steps]]),F4322-Table1[[#This Row],[Steps]]),
))</f>
        <v>0</v>
      </c>
      <c r="E4323">
        <f>_xlfn.LET(_xlpm.dir,Table1[[#This Row],[Direction]],
IF(_xlpm.dir="R",
    IF(F4322+Table1[[#This Row],[Steps]]&gt;99,(F4322+Table1[[#This Row],[Steps]])-100,F4322+Table1[[#This Row],[Steps]]),
))</f>
        <v>33</v>
      </c>
      <c r="F4323">
        <f>IF(Table1[[#This Row],[New Pos L]]&lt;&gt;0,Table1[[#This Row],[New Pos L]],Table1[[#This Row],[New Pos R]])</f>
        <v>33</v>
      </c>
    </row>
    <row r="4324" spans="1:6" ht="16" x14ac:dyDescent="0.2">
      <c r="A4324" s="1" t="s">
        <v>42</v>
      </c>
      <c r="B4324" t="str">
        <f>LEFT(Table1[[#This Row],[Input]],1)</f>
        <v>L</v>
      </c>
      <c r="C4324">
        <f>_xlfn.LET(_xlpm.steps,SUBSTITUTE(Table1[[#This Row],[Input]],Table1[[#This Row],[Direction]],""),VALUE(IF(LEN(_xlpm.steps)&gt;2,RIGHT(_xlpm.steps,2),_xlpm.steps)))</f>
        <v>27</v>
      </c>
      <c r="D4324">
        <f>_xlfn.LET(_xlpm.dir,Table1[[#This Row],[Direction]],
IF(_xlpm.dir="L",
    IF(F4323-Table1[[#This Row],[Steps]]&lt;0,100+(F4323-Table1[[#This Row],[Steps]]),F4323-Table1[[#This Row],[Steps]]),
))</f>
        <v>6</v>
      </c>
      <c r="E4324">
        <f>_xlfn.LET(_xlpm.dir,Table1[[#This Row],[Direction]],
IF(_xlpm.dir="R",
    IF(F4323+Table1[[#This Row],[Steps]]&gt;99,(F4323+Table1[[#This Row],[Steps]])-100,F4323+Table1[[#This Row],[Steps]]),
))</f>
        <v>0</v>
      </c>
      <c r="F4324">
        <f>IF(Table1[[#This Row],[New Pos L]]&lt;&gt;0,Table1[[#This Row],[New Pos L]],Table1[[#This Row],[New Pos R]])</f>
        <v>6</v>
      </c>
    </row>
    <row r="4325" spans="1:6" ht="16" x14ac:dyDescent="0.2">
      <c r="A4325" s="1" t="s">
        <v>106</v>
      </c>
      <c r="B4325" t="str">
        <f>LEFT(Table1[[#This Row],[Input]],1)</f>
        <v>R</v>
      </c>
      <c r="C4325">
        <f>_xlfn.LET(_xlpm.steps,SUBSTITUTE(Table1[[#This Row],[Input]],Table1[[#This Row],[Direction]],""),VALUE(IF(LEN(_xlpm.steps)&gt;2,RIGHT(_xlpm.steps,2),_xlpm.steps)))</f>
        <v>41</v>
      </c>
      <c r="D4325">
        <f>_xlfn.LET(_xlpm.dir,Table1[[#This Row],[Direction]],
IF(_xlpm.dir="L",
    IF(F4324-Table1[[#This Row],[Steps]]&lt;0,100+(F4324-Table1[[#This Row],[Steps]]),F4324-Table1[[#This Row],[Steps]]),
))</f>
        <v>0</v>
      </c>
      <c r="E4325">
        <f>_xlfn.LET(_xlpm.dir,Table1[[#This Row],[Direction]],
IF(_xlpm.dir="R",
    IF(F4324+Table1[[#This Row],[Steps]]&gt;99,(F4324+Table1[[#This Row],[Steps]])-100,F4324+Table1[[#This Row],[Steps]]),
))</f>
        <v>47</v>
      </c>
      <c r="F4325">
        <f>IF(Table1[[#This Row],[New Pos L]]&lt;&gt;0,Table1[[#This Row],[New Pos L]],Table1[[#This Row],[New Pos R]])</f>
        <v>47</v>
      </c>
    </row>
    <row r="4326" spans="1:6" ht="16" x14ac:dyDescent="0.2">
      <c r="A4326" s="1" t="s">
        <v>264</v>
      </c>
      <c r="B4326" t="str">
        <f>LEFT(Table1[[#This Row],[Input]],1)</f>
        <v>L</v>
      </c>
      <c r="C4326">
        <f>_xlfn.LET(_xlpm.steps,SUBSTITUTE(Table1[[#This Row],[Input]],Table1[[#This Row],[Direction]],""),VALUE(IF(LEN(_xlpm.steps)&gt;2,RIGHT(_xlpm.steps,2),_xlpm.steps)))</f>
        <v>21</v>
      </c>
      <c r="D4326">
        <f>_xlfn.LET(_xlpm.dir,Table1[[#This Row],[Direction]],
IF(_xlpm.dir="L",
    IF(F4325-Table1[[#This Row],[Steps]]&lt;0,100+(F4325-Table1[[#This Row],[Steps]]),F4325-Table1[[#This Row],[Steps]]),
))</f>
        <v>26</v>
      </c>
      <c r="E4326">
        <f>_xlfn.LET(_xlpm.dir,Table1[[#This Row],[Direction]],
IF(_xlpm.dir="R",
    IF(F4325+Table1[[#This Row],[Steps]]&gt;99,(F4325+Table1[[#This Row],[Steps]])-100,F4325+Table1[[#This Row],[Steps]]),
))</f>
        <v>0</v>
      </c>
      <c r="F4326">
        <f>IF(Table1[[#This Row],[New Pos L]]&lt;&gt;0,Table1[[#This Row],[New Pos L]],Table1[[#This Row],[New Pos R]])</f>
        <v>26</v>
      </c>
    </row>
    <row r="4327" spans="1:6" ht="16" x14ac:dyDescent="0.2">
      <c r="A4327" s="1" t="s">
        <v>304</v>
      </c>
      <c r="B4327" t="str">
        <f>LEFT(Table1[[#This Row],[Input]],1)</f>
        <v>L</v>
      </c>
      <c r="C4327">
        <f>_xlfn.LET(_xlpm.steps,SUBSTITUTE(Table1[[#This Row],[Input]],Table1[[#This Row],[Direction]],""),VALUE(IF(LEN(_xlpm.steps)&gt;2,RIGHT(_xlpm.steps,2),_xlpm.steps)))</f>
        <v>26</v>
      </c>
      <c r="D4327">
        <f>_xlfn.LET(_xlpm.dir,Table1[[#This Row],[Direction]],
IF(_xlpm.dir="L",
    IF(F4326-Table1[[#This Row],[Steps]]&lt;0,100+(F4326-Table1[[#This Row],[Steps]]),F4326-Table1[[#This Row],[Steps]]),
))</f>
        <v>0</v>
      </c>
      <c r="E4327">
        <f>_xlfn.LET(_xlpm.dir,Table1[[#This Row],[Direction]],
IF(_xlpm.dir="R",
    IF(F4326+Table1[[#This Row],[Steps]]&gt;99,(F4326+Table1[[#This Row],[Steps]])-100,F4326+Table1[[#This Row],[Steps]]),
))</f>
        <v>0</v>
      </c>
      <c r="F4327">
        <f>IF(Table1[[#This Row],[New Pos L]]&lt;&gt;0,Table1[[#This Row],[New Pos L]],Table1[[#This Row],[New Pos R]])</f>
        <v>0</v>
      </c>
    </row>
    <row r="4328" spans="1:6" ht="16" x14ac:dyDescent="0.2">
      <c r="A4328" s="1" t="s">
        <v>182</v>
      </c>
      <c r="B4328" t="str">
        <f>LEFT(Table1[[#This Row],[Input]],1)</f>
        <v>L</v>
      </c>
      <c r="C4328">
        <f>_xlfn.LET(_xlpm.steps,SUBSTITUTE(Table1[[#This Row],[Input]],Table1[[#This Row],[Direction]],""),VALUE(IF(LEN(_xlpm.steps)&gt;2,RIGHT(_xlpm.steps,2),_xlpm.steps)))</f>
        <v>3</v>
      </c>
      <c r="D4328">
        <f>_xlfn.LET(_xlpm.dir,Table1[[#This Row],[Direction]],
IF(_xlpm.dir="L",
    IF(F4327-Table1[[#This Row],[Steps]]&lt;0,100+(F4327-Table1[[#This Row],[Steps]]),F4327-Table1[[#This Row],[Steps]]),
))</f>
        <v>97</v>
      </c>
      <c r="E4328">
        <f>_xlfn.LET(_xlpm.dir,Table1[[#This Row],[Direction]],
IF(_xlpm.dir="R",
    IF(F4327+Table1[[#This Row],[Steps]]&gt;99,(F4327+Table1[[#This Row],[Steps]])-100,F4327+Table1[[#This Row],[Steps]]),
))</f>
        <v>0</v>
      </c>
      <c r="F4328">
        <f>IF(Table1[[#This Row],[New Pos L]]&lt;&gt;0,Table1[[#This Row],[New Pos L]],Table1[[#This Row],[New Pos R]])</f>
        <v>97</v>
      </c>
    </row>
    <row r="4329" spans="1:6" ht="16" x14ac:dyDescent="0.2">
      <c r="A4329" s="1" t="s">
        <v>4</v>
      </c>
      <c r="B4329" t="str">
        <f>LEFT(Table1[[#This Row],[Input]],1)</f>
        <v>R</v>
      </c>
      <c r="C4329">
        <f>_xlfn.LET(_xlpm.steps,SUBSTITUTE(Table1[[#This Row],[Input]],Table1[[#This Row],[Direction]],""),VALUE(IF(LEN(_xlpm.steps)&gt;2,RIGHT(_xlpm.steps,2),_xlpm.steps)))</f>
        <v>3</v>
      </c>
      <c r="D4329">
        <f>_xlfn.LET(_xlpm.dir,Table1[[#This Row],[Direction]],
IF(_xlpm.dir="L",
    IF(F4328-Table1[[#This Row],[Steps]]&lt;0,100+(F4328-Table1[[#This Row],[Steps]]),F4328-Table1[[#This Row],[Steps]]),
))</f>
        <v>0</v>
      </c>
      <c r="E4329">
        <f>_xlfn.LET(_xlpm.dir,Table1[[#This Row],[Direction]],
IF(_xlpm.dir="R",
    IF(F4328+Table1[[#This Row],[Steps]]&gt;99,(F4328+Table1[[#This Row],[Steps]])-100,F4328+Table1[[#This Row],[Steps]]),
))</f>
        <v>0</v>
      </c>
      <c r="F4329">
        <f>IF(Table1[[#This Row],[New Pos L]]&lt;&gt;0,Table1[[#This Row],[New Pos L]],Table1[[#This Row],[New Pos R]])</f>
        <v>0</v>
      </c>
    </row>
    <row r="4330" spans="1:6" ht="16" x14ac:dyDescent="0.2">
      <c r="A4330" s="1" t="s">
        <v>864</v>
      </c>
      <c r="B4330" t="str">
        <f>LEFT(Table1[[#This Row],[Input]],1)</f>
        <v>L</v>
      </c>
      <c r="C4330">
        <f>_xlfn.LET(_xlpm.steps,SUBSTITUTE(Table1[[#This Row],[Input]],Table1[[#This Row],[Direction]],""),VALUE(IF(LEN(_xlpm.steps)&gt;2,RIGHT(_xlpm.steps,2),_xlpm.steps)))</f>
        <v>25</v>
      </c>
      <c r="D4330">
        <f>_xlfn.LET(_xlpm.dir,Table1[[#This Row],[Direction]],
IF(_xlpm.dir="L",
    IF(F4329-Table1[[#This Row],[Steps]]&lt;0,100+(F4329-Table1[[#This Row],[Steps]]),F4329-Table1[[#This Row],[Steps]]),
))</f>
        <v>75</v>
      </c>
      <c r="E4330">
        <f>_xlfn.LET(_xlpm.dir,Table1[[#This Row],[Direction]],
IF(_xlpm.dir="R",
    IF(F4329+Table1[[#This Row],[Steps]]&gt;99,(F4329+Table1[[#This Row],[Steps]])-100,F4329+Table1[[#This Row],[Steps]]),
))</f>
        <v>0</v>
      </c>
      <c r="F4330">
        <f>IF(Table1[[#This Row],[New Pos L]]&lt;&gt;0,Table1[[#This Row],[New Pos L]],Table1[[#This Row],[New Pos R]])</f>
        <v>75</v>
      </c>
    </row>
    <row r="4331" spans="1:6" ht="16" x14ac:dyDescent="0.2">
      <c r="A4331" s="1" t="s">
        <v>865</v>
      </c>
      <c r="B4331" t="str">
        <f>LEFT(Table1[[#This Row],[Input]],1)</f>
        <v>L</v>
      </c>
      <c r="C4331">
        <f>_xlfn.LET(_xlpm.steps,SUBSTITUTE(Table1[[#This Row],[Input]],Table1[[#This Row],[Direction]],""),VALUE(IF(LEN(_xlpm.steps)&gt;2,RIGHT(_xlpm.steps,2),_xlpm.steps)))</f>
        <v>63</v>
      </c>
      <c r="D4331">
        <f>_xlfn.LET(_xlpm.dir,Table1[[#This Row],[Direction]],
IF(_xlpm.dir="L",
    IF(F4330-Table1[[#This Row],[Steps]]&lt;0,100+(F4330-Table1[[#This Row],[Steps]]),F4330-Table1[[#This Row],[Steps]]),
))</f>
        <v>12</v>
      </c>
      <c r="E4331">
        <f>_xlfn.LET(_xlpm.dir,Table1[[#This Row],[Direction]],
IF(_xlpm.dir="R",
    IF(F4330+Table1[[#This Row],[Steps]]&gt;99,(F4330+Table1[[#This Row],[Steps]])-100,F4330+Table1[[#This Row],[Steps]]),
))</f>
        <v>0</v>
      </c>
      <c r="F4331">
        <f>IF(Table1[[#This Row],[New Pos L]]&lt;&gt;0,Table1[[#This Row],[New Pos L]],Table1[[#This Row],[New Pos R]])</f>
        <v>12</v>
      </c>
    </row>
    <row r="4332" spans="1:6" ht="16" x14ac:dyDescent="0.2">
      <c r="A4332" s="1" t="s">
        <v>866</v>
      </c>
      <c r="B4332" t="str">
        <f>LEFT(Table1[[#This Row],[Input]],1)</f>
        <v>L</v>
      </c>
      <c r="C4332">
        <f>_xlfn.LET(_xlpm.steps,SUBSTITUTE(Table1[[#This Row],[Input]],Table1[[#This Row],[Direction]],""),VALUE(IF(LEN(_xlpm.steps)&gt;2,RIGHT(_xlpm.steps,2),_xlpm.steps)))</f>
        <v>94</v>
      </c>
      <c r="D4332">
        <f>_xlfn.LET(_xlpm.dir,Table1[[#This Row],[Direction]],
IF(_xlpm.dir="L",
    IF(F4331-Table1[[#This Row],[Steps]]&lt;0,100+(F4331-Table1[[#This Row],[Steps]]),F4331-Table1[[#This Row],[Steps]]),
))</f>
        <v>18</v>
      </c>
      <c r="E4332">
        <f>_xlfn.LET(_xlpm.dir,Table1[[#This Row],[Direction]],
IF(_xlpm.dir="R",
    IF(F4331+Table1[[#This Row],[Steps]]&gt;99,(F4331+Table1[[#This Row],[Steps]])-100,F4331+Table1[[#This Row],[Steps]]),
))</f>
        <v>0</v>
      </c>
      <c r="F4332">
        <f>IF(Table1[[#This Row],[New Pos L]]&lt;&gt;0,Table1[[#This Row],[New Pos L]],Table1[[#This Row],[New Pos R]])</f>
        <v>18</v>
      </c>
    </row>
    <row r="4333" spans="1:6" ht="16" x14ac:dyDescent="0.2">
      <c r="A4333" s="1" t="s">
        <v>155</v>
      </c>
      <c r="B4333" t="str">
        <f>LEFT(Table1[[#This Row],[Input]],1)</f>
        <v>L</v>
      </c>
      <c r="C4333">
        <f>_xlfn.LET(_xlpm.steps,SUBSTITUTE(Table1[[#This Row],[Input]],Table1[[#This Row],[Direction]],""),VALUE(IF(LEN(_xlpm.steps)&gt;2,RIGHT(_xlpm.steps,2),_xlpm.steps)))</f>
        <v>18</v>
      </c>
      <c r="D4333">
        <f>_xlfn.LET(_xlpm.dir,Table1[[#This Row],[Direction]],
IF(_xlpm.dir="L",
    IF(F4332-Table1[[#This Row],[Steps]]&lt;0,100+(F4332-Table1[[#This Row],[Steps]]),F4332-Table1[[#This Row],[Steps]]),
))</f>
        <v>0</v>
      </c>
      <c r="E4333">
        <f>_xlfn.LET(_xlpm.dir,Table1[[#This Row],[Direction]],
IF(_xlpm.dir="R",
    IF(F4332+Table1[[#This Row],[Steps]]&gt;99,(F4332+Table1[[#This Row],[Steps]])-100,F4332+Table1[[#This Row],[Steps]]),
))</f>
        <v>0</v>
      </c>
      <c r="F4333">
        <f>IF(Table1[[#This Row],[New Pos L]]&lt;&gt;0,Table1[[#This Row],[New Pos L]],Table1[[#This Row],[New Pos R]])</f>
        <v>0</v>
      </c>
    </row>
    <row r="4334" spans="1:6" ht="16" x14ac:dyDescent="0.2">
      <c r="A4334" s="1" t="s">
        <v>867</v>
      </c>
      <c r="B4334" t="str">
        <f>LEFT(Table1[[#This Row],[Input]],1)</f>
        <v>L</v>
      </c>
      <c r="C4334">
        <f>_xlfn.LET(_xlpm.steps,SUBSTITUTE(Table1[[#This Row],[Input]],Table1[[#This Row],[Direction]],""),VALUE(IF(LEN(_xlpm.steps)&gt;2,RIGHT(_xlpm.steps,2),_xlpm.steps)))</f>
        <v>49</v>
      </c>
      <c r="D4334">
        <f>_xlfn.LET(_xlpm.dir,Table1[[#This Row],[Direction]],
IF(_xlpm.dir="L",
    IF(F4333-Table1[[#This Row],[Steps]]&lt;0,100+(F4333-Table1[[#This Row],[Steps]]),F4333-Table1[[#This Row],[Steps]]),
))</f>
        <v>51</v>
      </c>
      <c r="E4334">
        <f>_xlfn.LET(_xlpm.dir,Table1[[#This Row],[Direction]],
IF(_xlpm.dir="R",
    IF(F4333+Table1[[#This Row],[Steps]]&gt;99,(F4333+Table1[[#This Row],[Steps]])-100,F4333+Table1[[#This Row],[Steps]]),
))</f>
        <v>0</v>
      </c>
      <c r="F4334">
        <f>IF(Table1[[#This Row],[New Pos L]]&lt;&gt;0,Table1[[#This Row],[New Pos L]],Table1[[#This Row],[New Pos R]])</f>
        <v>51</v>
      </c>
    </row>
    <row r="4335" spans="1:6" ht="16" x14ac:dyDescent="0.2">
      <c r="A4335" s="1" t="s">
        <v>868</v>
      </c>
      <c r="B4335" t="str">
        <f>LEFT(Table1[[#This Row],[Input]],1)</f>
        <v>L</v>
      </c>
      <c r="C4335">
        <f>_xlfn.LET(_xlpm.steps,SUBSTITUTE(Table1[[#This Row],[Input]],Table1[[#This Row],[Direction]],""),VALUE(IF(LEN(_xlpm.steps)&gt;2,RIGHT(_xlpm.steps,2),_xlpm.steps)))</f>
        <v>86</v>
      </c>
      <c r="D4335">
        <f>_xlfn.LET(_xlpm.dir,Table1[[#This Row],[Direction]],
IF(_xlpm.dir="L",
    IF(F4334-Table1[[#This Row],[Steps]]&lt;0,100+(F4334-Table1[[#This Row],[Steps]]),F4334-Table1[[#This Row],[Steps]]),
))</f>
        <v>65</v>
      </c>
      <c r="E4335">
        <f>_xlfn.LET(_xlpm.dir,Table1[[#This Row],[Direction]],
IF(_xlpm.dir="R",
    IF(F4334+Table1[[#This Row],[Steps]]&gt;99,(F4334+Table1[[#This Row],[Steps]])-100,F4334+Table1[[#This Row],[Steps]]),
))</f>
        <v>0</v>
      </c>
      <c r="F4335">
        <f>IF(Table1[[#This Row],[New Pos L]]&lt;&gt;0,Table1[[#This Row],[New Pos L]],Table1[[#This Row],[New Pos R]])</f>
        <v>65</v>
      </c>
    </row>
    <row r="4336" spans="1:6" ht="16" x14ac:dyDescent="0.2">
      <c r="A4336" s="1" t="s">
        <v>18</v>
      </c>
      <c r="B4336" t="str">
        <f>LEFT(Table1[[#This Row],[Input]],1)</f>
        <v>L</v>
      </c>
      <c r="C4336">
        <f>_xlfn.LET(_xlpm.steps,SUBSTITUTE(Table1[[#This Row],[Input]],Table1[[#This Row],[Direction]],""),VALUE(IF(LEN(_xlpm.steps)&gt;2,RIGHT(_xlpm.steps,2),_xlpm.steps)))</f>
        <v>46</v>
      </c>
      <c r="D4336">
        <f>_xlfn.LET(_xlpm.dir,Table1[[#This Row],[Direction]],
IF(_xlpm.dir="L",
    IF(F4335-Table1[[#This Row],[Steps]]&lt;0,100+(F4335-Table1[[#This Row],[Steps]]),F4335-Table1[[#This Row],[Steps]]),
))</f>
        <v>19</v>
      </c>
      <c r="E4336">
        <f>_xlfn.LET(_xlpm.dir,Table1[[#This Row],[Direction]],
IF(_xlpm.dir="R",
    IF(F4335+Table1[[#This Row],[Steps]]&gt;99,(F4335+Table1[[#This Row],[Steps]])-100,F4335+Table1[[#This Row],[Steps]]),
))</f>
        <v>0</v>
      </c>
      <c r="F4336">
        <f>IF(Table1[[#This Row],[New Pos L]]&lt;&gt;0,Table1[[#This Row],[New Pos L]],Table1[[#This Row],[New Pos R]])</f>
        <v>19</v>
      </c>
    </row>
    <row r="4337" spans="1:6" ht="16" x14ac:dyDescent="0.2">
      <c r="A4337" s="1" t="s">
        <v>48</v>
      </c>
      <c r="B4337" t="str">
        <f>LEFT(Table1[[#This Row],[Input]],1)</f>
        <v>R</v>
      </c>
      <c r="C4337">
        <f>_xlfn.LET(_xlpm.steps,SUBSTITUTE(Table1[[#This Row],[Input]],Table1[[#This Row],[Direction]],""),VALUE(IF(LEN(_xlpm.steps)&gt;2,RIGHT(_xlpm.steps,2),_xlpm.steps)))</f>
        <v>81</v>
      </c>
      <c r="D4337">
        <f>_xlfn.LET(_xlpm.dir,Table1[[#This Row],[Direction]],
IF(_xlpm.dir="L",
    IF(F4336-Table1[[#This Row],[Steps]]&lt;0,100+(F4336-Table1[[#This Row],[Steps]]),F4336-Table1[[#This Row],[Steps]]),
))</f>
        <v>0</v>
      </c>
      <c r="E4337">
        <f>_xlfn.LET(_xlpm.dir,Table1[[#This Row],[Direction]],
IF(_xlpm.dir="R",
    IF(F4336+Table1[[#This Row],[Steps]]&gt;99,(F4336+Table1[[#This Row],[Steps]])-100,F4336+Table1[[#This Row],[Steps]]),
))</f>
        <v>0</v>
      </c>
      <c r="F4337">
        <f>IF(Table1[[#This Row],[New Pos L]]&lt;&gt;0,Table1[[#This Row],[New Pos L]],Table1[[#This Row],[New Pos R]])</f>
        <v>0</v>
      </c>
    </row>
    <row r="4338" spans="1:6" ht="16" x14ac:dyDescent="0.2">
      <c r="A4338" s="1" t="s">
        <v>60</v>
      </c>
      <c r="B4338" t="str">
        <f>LEFT(Table1[[#This Row],[Input]],1)</f>
        <v>R</v>
      </c>
      <c r="C4338">
        <f>_xlfn.LET(_xlpm.steps,SUBSTITUTE(Table1[[#This Row],[Input]],Table1[[#This Row],[Direction]],""),VALUE(IF(LEN(_xlpm.steps)&gt;2,RIGHT(_xlpm.steps,2),_xlpm.steps)))</f>
        <v>86</v>
      </c>
      <c r="D4338">
        <f>_xlfn.LET(_xlpm.dir,Table1[[#This Row],[Direction]],
IF(_xlpm.dir="L",
    IF(F4337-Table1[[#This Row],[Steps]]&lt;0,100+(F4337-Table1[[#This Row],[Steps]]),F4337-Table1[[#This Row],[Steps]]),
))</f>
        <v>0</v>
      </c>
      <c r="E4338">
        <f>_xlfn.LET(_xlpm.dir,Table1[[#This Row],[Direction]],
IF(_xlpm.dir="R",
    IF(F4337+Table1[[#This Row],[Steps]]&gt;99,(F4337+Table1[[#This Row],[Steps]])-100,F4337+Table1[[#This Row],[Steps]]),
))</f>
        <v>86</v>
      </c>
      <c r="F4338">
        <f>IF(Table1[[#This Row],[New Pos L]]&lt;&gt;0,Table1[[#This Row],[New Pos L]],Table1[[#This Row],[New Pos R]])</f>
        <v>86</v>
      </c>
    </row>
    <row r="4339" spans="1:6" ht="16" x14ac:dyDescent="0.2">
      <c r="A4339" s="1" t="s">
        <v>42</v>
      </c>
      <c r="B4339" t="str">
        <f>LEFT(Table1[[#This Row],[Input]],1)</f>
        <v>L</v>
      </c>
      <c r="C4339">
        <f>_xlfn.LET(_xlpm.steps,SUBSTITUTE(Table1[[#This Row],[Input]],Table1[[#This Row],[Direction]],""),VALUE(IF(LEN(_xlpm.steps)&gt;2,RIGHT(_xlpm.steps,2),_xlpm.steps)))</f>
        <v>27</v>
      </c>
      <c r="D4339">
        <f>_xlfn.LET(_xlpm.dir,Table1[[#This Row],[Direction]],
IF(_xlpm.dir="L",
    IF(F4338-Table1[[#This Row],[Steps]]&lt;0,100+(F4338-Table1[[#This Row],[Steps]]),F4338-Table1[[#This Row],[Steps]]),
))</f>
        <v>59</v>
      </c>
      <c r="E4339">
        <f>_xlfn.LET(_xlpm.dir,Table1[[#This Row],[Direction]],
IF(_xlpm.dir="R",
    IF(F4338+Table1[[#This Row],[Steps]]&gt;99,(F4338+Table1[[#This Row],[Steps]])-100,F4338+Table1[[#This Row],[Steps]]),
))</f>
        <v>0</v>
      </c>
      <c r="F4339">
        <f>IF(Table1[[#This Row],[New Pos L]]&lt;&gt;0,Table1[[#This Row],[New Pos L]],Table1[[#This Row],[New Pos R]])</f>
        <v>59</v>
      </c>
    </row>
    <row r="4340" spans="1:6" ht="16" x14ac:dyDescent="0.2">
      <c r="A4340" s="1" t="s">
        <v>39</v>
      </c>
      <c r="B4340" t="str">
        <f>LEFT(Table1[[#This Row],[Input]],1)</f>
        <v>R</v>
      </c>
      <c r="C4340">
        <f>_xlfn.LET(_xlpm.steps,SUBSTITUTE(Table1[[#This Row],[Input]],Table1[[#This Row],[Direction]],""),VALUE(IF(LEN(_xlpm.steps)&gt;2,RIGHT(_xlpm.steps,2),_xlpm.steps)))</f>
        <v>32</v>
      </c>
      <c r="D4340">
        <f>_xlfn.LET(_xlpm.dir,Table1[[#This Row],[Direction]],
IF(_xlpm.dir="L",
    IF(F4339-Table1[[#This Row],[Steps]]&lt;0,100+(F4339-Table1[[#This Row],[Steps]]),F4339-Table1[[#This Row],[Steps]]),
))</f>
        <v>0</v>
      </c>
      <c r="E4340">
        <f>_xlfn.LET(_xlpm.dir,Table1[[#This Row],[Direction]],
IF(_xlpm.dir="R",
    IF(F4339+Table1[[#This Row],[Steps]]&gt;99,(F4339+Table1[[#This Row],[Steps]])-100,F4339+Table1[[#This Row],[Steps]]),
))</f>
        <v>91</v>
      </c>
      <c r="F4340">
        <f>IF(Table1[[#This Row],[New Pos L]]&lt;&gt;0,Table1[[#This Row],[New Pos L]],Table1[[#This Row],[New Pos R]])</f>
        <v>91</v>
      </c>
    </row>
    <row r="4341" spans="1:6" ht="16" x14ac:dyDescent="0.2">
      <c r="A4341" s="1" t="s">
        <v>89</v>
      </c>
      <c r="B4341" t="str">
        <f>LEFT(Table1[[#This Row],[Input]],1)</f>
        <v>L</v>
      </c>
      <c r="C4341">
        <f>_xlfn.LET(_xlpm.steps,SUBSTITUTE(Table1[[#This Row],[Input]],Table1[[#This Row],[Direction]],""),VALUE(IF(LEN(_xlpm.steps)&gt;2,RIGHT(_xlpm.steps,2),_xlpm.steps)))</f>
        <v>91</v>
      </c>
      <c r="D4341">
        <f>_xlfn.LET(_xlpm.dir,Table1[[#This Row],[Direction]],
IF(_xlpm.dir="L",
    IF(F4340-Table1[[#This Row],[Steps]]&lt;0,100+(F4340-Table1[[#This Row],[Steps]]),F4340-Table1[[#This Row],[Steps]]),
))</f>
        <v>0</v>
      </c>
      <c r="E4341">
        <f>_xlfn.LET(_xlpm.dir,Table1[[#This Row],[Direction]],
IF(_xlpm.dir="R",
    IF(F4340+Table1[[#This Row],[Steps]]&gt;99,(F4340+Table1[[#This Row],[Steps]])-100,F4340+Table1[[#This Row],[Steps]]),
))</f>
        <v>0</v>
      </c>
      <c r="F4341">
        <f>IF(Table1[[#This Row],[New Pos L]]&lt;&gt;0,Table1[[#This Row],[New Pos L]],Table1[[#This Row],[New Pos R]])</f>
        <v>0</v>
      </c>
    </row>
    <row r="4342" spans="1:6" ht="16" x14ac:dyDescent="0.2">
      <c r="A4342" s="1" t="s">
        <v>51</v>
      </c>
      <c r="B4342" t="str">
        <f>LEFT(Table1[[#This Row],[Input]],1)</f>
        <v>L</v>
      </c>
      <c r="C4342">
        <f>_xlfn.LET(_xlpm.steps,SUBSTITUTE(Table1[[#This Row],[Input]],Table1[[#This Row],[Direction]],""),VALUE(IF(LEN(_xlpm.steps)&gt;2,RIGHT(_xlpm.steps,2),_xlpm.steps)))</f>
        <v>25</v>
      </c>
      <c r="D4342">
        <f>_xlfn.LET(_xlpm.dir,Table1[[#This Row],[Direction]],
IF(_xlpm.dir="L",
    IF(F4341-Table1[[#This Row],[Steps]]&lt;0,100+(F4341-Table1[[#This Row],[Steps]]),F4341-Table1[[#This Row],[Steps]]),
))</f>
        <v>75</v>
      </c>
      <c r="E4342">
        <f>_xlfn.LET(_xlpm.dir,Table1[[#This Row],[Direction]],
IF(_xlpm.dir="R",
    IF(F4341+Table1[[#This Row],[Steps]]&gt;99,(F4341+Table1[[#This Row],[Steps]])-100,F4341+Table1[[#This Row],[Steps]]),
))</f>
        <v>0</v>
      </c>
      <c r="F4342">
        <f>IF(Table1[[#This Row],[New Pos L]]&lt;&gt;0,Table1[[#This Row],[New Pos L]],Table1[[#This Row],[New Pos R]])</f>
        <v>75</v>
      </c>
    </row>
    <row r="4343" spans="1:6" ht="16" x14ac:dyDescent="0.2">
      <c r="A4343" s="1" t="s">
        <v>210</v>
      </c>
      <c r="B4343" t="str">
        <f>LEFT(Table1[[#This Row],[Input]],1)</f>
        <v>R</v>
      </c>
      <c r="C4343">
        <f>_xlfn.LET(_xlpm.steps,SUBSTITUTE(Table1[[#This Row],[Input]],Table1[[#This Row],[Direction]],""),VALUE(IF(LEN(_xlpm.steps)&gt;2,RIGHT(_xlpm.steps,2),_xlpm.steps)))</f>
        <v>89</v>
      </c>
      <c r="D4343">
        <f>_xlfn.LET(_xlpm.dir,Table1[[#This Row],[Direction]],
IF(_xlpm.dir="L",
    IF(F4342-Table1[[#This Row],[Steps]]&lt;0,100+(F4342-Table1[[#This Row],[Steps]]),F4342-Table1[[#This Row],[Steps]]),
))</f>
        <v>0</v>
      </c>
      <c r="E4343">
        <f>_xlfn.LET(_xlpm.dir,Table1[[#This Row],[Direction]],
IF(_xlpm.dir="R",
    IF(F4342+Table1[[#This Row],[Steps]]&gt;99,(F4342+Table1[[#This Row],[Steps]])-100,F4342+Table1[[#This Row],[Steps]]),
))</f>
        <v>64</v>
      </c>
      <c r="F4343">
        <f>IF(Table1[[#This Row],[New Pos L]]&lt;&gt;0,Table1[[#This Row],[New Pos L]],Table1[[#This Row],[New Pos R]])</f>
        <v>64</v>
      </c>
    </row>
    <row r="4344" spans="1:6" ht="16" x14ac:dyDescent="0.2">
      <c r="A4344" s="1" t="s">
        <v>31</v>
      </c>
      <c r="B4344" t="str">
        <f>LEFT(Table1[[#This Row],[Input]],1)</f>
        <v>L</v>
      </c>
      <c r="C4344">
        <f>_xlfn.LET(_xlpm.steps,SUBSTITUTE(Table1[[#This Row],[Input]],Table1[[#This Row],[Direction]],""),VALUE(IF(LEN(_xlpm.steps)&gt;2,RIGHT(_xlpm.steps,2),_xlpm.steps)))</f>
        <v>13</v>
      </c>
      <c r="D4344">
        <f>_xlfn.LET(_xlpm.dir,Table1[[#This Row],[Direction]],
IF(_xlpm.dir="L",
    IF(F4343-Table1[[#This Row],[Steps]]&lt;0,100+(F4343-Table1[[#This Row],[Steps]]),F4343-Table1[[#This Row],[Steps]]),
))</f>
        <v>51</v>
      </c>
      <c r="E4344">
        <f>_xlfn.LET(_xlpm.dir,Table1[[#This Row],[Direction]],
IF(_xlpm.dir="R",
    IF(F4343+Table1[[#This Row],[Steps]]&gt;99,(F4343+Table1[[#This Row],[Steps]])-100,F4343+Table1[[#This Row],[Steps]]),
))</f>
        <v>0</v>
      </c>
      <c r="F4344">
        <f>IF(Table1[[#This Row],[New Pos L]]&lt;&gt;0,Table1[[#This Row],[New Pos L]],Table1[[#This Row],[New Pos R]])</f>
        <v>51</v>
      </c>
    </row>
    <row r="4345" spans="1:6" ht="16" x14ac:dyDescent="0.2">
      <c r="A4345" s="1" t="s">
        <v>129</v>
      </c>
      <c r="B4345" t="str">
        <f>LEFT(Table1[[#This Row],[Input]],1)</f>
        <v>R</v>
      </c>
      <c r="C4345">
        <f>_xlfn.LET(_xlpm.steps,SUBSTITUTE(Table1[[#This Row],[Input]],Table1[[#This Row],[Direction]],""),VALUE(IF(LEN(_xlpm.steps)&gt;2,RIGHT(_xlpm.steps,2),_xlpm.steps)))</f>
        <v>8</v>
      </c>
      <c r="D4345">
        <f>_xlfn.LET(_xlpm.dir,Table1[[#This Row],[Direction]],
IF(_xlpm.dir="L",
    IF(F4344-Table1[[#This Row],[Steps]]&lt;0,100+(F4344-Table1[[#This Row],[Steps]]),F4344-Table1[[#This Row],[Steps]]),
))</f>
        <v>0</v>
      </c>
      <c r="E4345">
        <f>_xlfn.LET(_xlpm.dir,Table1[[#This Row],[Direction]],
IF(_xlpm.dir="R",
    IF(F4344+Table1[[#This Row],[Steps]]&gt;99,(F4344+Table1[[#This Row],[Steps]])-100,F4344+Table1[[#This Row],[Steps]]),
))</f>
        <v>59</v>
      </c>
      <c r="F4345">
        <f>IF(Table1[[#This Row],[New Pos L]]&lt;&gt;0,Table1[[#This Row],[New Pos L]],Table1[[#This Row],[New Pos R]])</f>
        <v>59</v>
      </c>
    </row>
    <row r="4346" spans="1:6" ht="16" x14ac:dyDescent="0.2">
      <c r="A4346" s="1" t="s">
        <v>68</v>
      </c>
      <c r="B4346" t="str">
        <f>LEFT(Table1[[#This Row],[Input]],1)</f>
        <v>L</v>
      </c>
      <c r="C4346">
        <f>_xlfn.LET(_xlpm.steps,SUBSTITUTE(Table1[[#This Row],[Input]],Table1[[#This Row],[Direction]],""),VALUE(IF(LEN(_xlpm.steps)&gt;2,RIGHT(_xlpm.steps,2),_xlpm.steps)))</f>
        <v>80</v>
      </c>
      <c r="D4346">
        <f>_xlfn.LET(_xlpm.dir,Table1[[#This Row],[Direction]],
IF(_xlpm.dir="L",
    IF(F4345-Table1[[#This Row],[Steps]]&lt;0,100+(F4345-Table1[[#This Row],[Steps]]),F4345-Table1[[#This Row],[Steps]]),
))</f>
        <v>79</v>
      </c>
      <c r="E4346">
        <f>_xlfn.LET(_xlpm.dir,Table1[[#This Row],[Direction]],
IF(_xlpm.dir="R",
    IF(F4345+Table1[[#This Row],[Steps]]&gt;99,(F4345+Table1[[#This Row],[Steps]])-100,F4345+Table1[[#This Row],[Steps]]),
))</f>
        <v>0</v>
      </c>
      <c r="F4346">
        <f>IF(Table1[[#This Row],[New Pos L]]&lt;&gt;0,Table1[[#This Row],[New Pos L]],Table1[[#This Row],[New Pos R]])</f>
        <v>79</v>
      </c>
    </row>
    <row r="4347" spans="1:6" ht="16" x14ac:dyDescent="0.2">
      <c r="A4347" s="1" t="s">
        <v>251</v>
      </c>
      <c r="B4347" t="str">
        <f>LEFT(Table1[[#This Row],[Input]],1)</f>
        <v>L</v>
      </c>
      <c r="C4347">
        <f>_xlfn.LET(_xlpm.steps,SUBSTITUTE(Table1[[#This Row],[Input]],Table1[[#This Row],[Direction]],""),VALUE(IF(LEN(_xlpm.steps)&gt;2,RIGHT(_xlpm.steps,2),_xlpm.steps)))</f>
        <v>8</v>
      </c>
      <c r="D4347">
        <f>_xlfn.LET(_xlpm.dir,Table1[[#This Row],[Direction]],
IF(_xlpm.dir="L",
    IF(F4346-Table1[[#This Row],[Steps]]&lt;0,100+(F4346-Table1[[#This Row],[Steps]]),F4346-Table1[[#This Row],[Steps]]),
))</f>
        <v>71</v>
      </c>
      <c r="E4347">
        <f>_xlfn.LET(_xlpm.dir,Table1[[#This Row],[Direction]],
IF(_xlpm.dir="R",
    IF(F4346+Table1[[#This Row],[Steps]]&gt;99,(F4346+Table1[[#This Row],[Steps]])-100,F4346+Table1[[#This Row],[Steps]]),
))</f>
        <v>0</v>
      </c>
      <c r="F4347">
        <f>IF(Table1[[#This Row],[New Pos L]]&lt;&gt;0,Table1[[#This Row],[New Pos L]],Table1[[#This Row],[New Pos R]])</f>
        <v>71</v>
      </c>
    </row>
    <row r="4348" spans="1:6" ht="16" x14ac:dyDescent="0.2">
      <c r="A4348" s="1" t="s">
        <v>216</v>
      </c>
      <c r="B4348" t="str">
        <f>LEFT(Table1[[#This Row],[Input]],1)</f>
        <v>R</v>
      </c>
      <c r="C4348">
        <f>_xlfn.LET(_xlpm.steps,SUBSTITUTE(Table1[[#This Row],[Input]],Table1[[#This Row],[Direction]],""),VALUE(IF(LEN(_xlpm.steps)&gt;2,RIGHT(_xlpm.steps,2),_xlpm.steps)))</f>
        <v>54</v>
      </c>
      <c r="D4348">
        <f>_xlfn.LET(_xlpm.dir,Table1[[#This Row],[Direction]],
IF(_xlpm.dir="L",
    IF(F4347-Table1[[#This Row],[Steps]]&lt;0,100+(F4347-Table1[[#This Row],[Steps]]),F4347-Table1[[#This Row],[Steps]]),
))</f>
        <v>0</v>
      </c>
      <c r="E4348">
        <f>_xlfn.LET(_xlpm.dir,Table1[[#This Row],[Direction]],
IF(_xlpm.dir="R",
    IF(F4347+Table1[[#This Row],[Steps]]&gt;99,(F4347+Table1[[#This Row],[Steps]])-100,F4347+Table1[[#This Row],[Steps]]),
))</f>
        <v>25</v>
      </c>
      <c r="F4348">
        <f>IF(Table1[[#This Row],[New Pos L]]&lt;&gt;0,Table1[[#This Row],[New Pos L]],Table1[[#This Row],[New Pos R]])</f>
        <v>25</v>
      </c>
    </row>
    <row r="4349" spans="1:6" ht="16" x14ac:dyDescent="0.2">
      <c r="A4349" s="1" t="s">
        <v>869</v>
      </c>
      <c r="B4349" t="str">
        <f>LEFT(Table1[[#This Row],[Input]],1)</f>
        <v>L</v>
      </c>
      <c r="C4349">
        <f>_xlfn.LET(_xlpm.steps,SUBSTITUTE(Table1[[#This Row],[Input]],Table1[[#This Row],[Direction]],""),VALUE(IF(LEN(_xlpm.steps)&gt;2,RIGHT(_xlpm.steps,2),_xlpm.steps)))</f>
        <v>55</v>
      </c>
      <c r="D4349">
        <f>_xlfn.LET(_xlpm.dir,Table1[[#This Row],[Direction]],
IF(_xlpm.dir="L",
    IF(F4348-Table1[[#This Row],[Steps]]&lt;0,100+(F4348-Table1[[#This Row],[Steps]]),F4348-Table1[[#This Row],[Steps]]),
))</f>
        <v>70</v>
      </c>
      <c r="E4349">
        <f>_xlfn.LET(_xlpm.dir,Table1[[#This Row],[Direction]],
IF(_xlpm.dir="R",
    IF(F4348+Table1[[#This Row],[Steps]]&gt;99,(F4348+Table1[[#This Row],[Steps]])-100,F4348+Table1[[#This Row],[Steps]]),
))</f>
        <v>0</v>
      </c>
      <c r="F4349">
        <f>IF(Table1[[#This Row],[New Pos L]]&lt;&gt;0,Table1[[#This Row],[New Pos L]],Table1[[#This Row],[New Pos R]])</f>
        <v>70</v>
      </c>
    </row>
    <row r="4350" spans="1:6" ht="16" x14ac:dyDescent="0.2">
      <c r="A4350" s="1" t="s">
        <v>209</v>
      </c>
      <c r="B4350" t="str">
        <f>LEFT(Table1[[#This Row],[Input]],1)</f>
        <v>L</v>
      </c>
      <c r="C4350">
        <f>_xlfn.LET(_xlpm.steps,SUBSTITUTE(Table1[[#This Row],[Input]],Table1[[#This Row],[Direction]],""),VALUE(IF(LEN(_xlpm.steps)&gt;2,RIGHT(_xlpm.steps,2),_xlpm.steps)))</f>
        <v>86</v>
      </c>
      <c r="D4350">
        <f>_xlfn.LET(_xlpm.dir,Table1[[#This Row],[Direction]],
IF(_xlpm.dir="L",
    IF(F4349-Table1[[#This Row],[Steps]]&lt;0,100+(F4349-Table1[[#This Row],[Steps]]),F4349-Table1[[#This Row],[Steps]]),
))</f>
        <v>84</v>
      </c>
      <c r="E4350">
        <f>_xlfn.LET(_xlpm.dir,Table1[[#This Row],[Direction]],
IF(_xlpm.dir="R",
    IF(F4349+Table1[[#This Row],[Steps]]&gt;99,(F4349+Table1[[#This Row],[Steps]])-100,F4349+Table1[[#This Row],[Steps]]),
))</f>
        <v>0</v>
      </c>
      <c r="F4350">
        <f>IF(Table1[[#This Row],[New Pos L]]&lt;&gt;0,Table1[[#This Row],[New Pos L]],Table1[[#This Row],[New Pos R]])</f>
        <v>84</v>
      </c>
    </row>
    <row r="4351" spans="1:6" ht="16" x14ac:dyDescent="0.2">
      <c r="A4351" s="1" t="s">
        <v>205</v>
      </c>
      <c r="B4351" t="str">
        <f>LEFT(Table1[[#This Row],[Input]],1)</f>
        <v>R</v>
      </c>
      <c r="C4351">
        <f>_xlfn.LET(_xlpm.steps,SUBSTITUTE(Table1[[#This Row],[Input]],Table1[[#This Row],[Direction]],""),VALUE(IF(LEN(_xlpm.steps)&gt;2,RIGHT(_xlpm.steps,2),_xlpm.steps)))</f>
        <v>83</v>
      </c>
      <c r="D4351">
        <f>_xlfn.LET(_xlpm.dir,Table1[[#This Row],[Direction]],
IF(_xlpm.dir="L",
    IF(F4350-Table1[[#This Row],[Steps]]&lt;0,100+(F4350-Table1[[#This Row],[Steps]]),F4350-Table1[[#This Row],[Steps]]),
))</f>
        <v>0</v>
      </c>
      <c r="E4351">
        <f>_xlfn.LET(_xlpm.dir,Table1[[#This Row],[Direction]],
IF(_xlpm.dir="R",
    IF(F4350+Table1[[#This Row],[Steps]]&gt;99,(F4350+Table1[[#This Row],[Steps]])-100,F4350+Table1[[#This Row],[Steps]]),
))</f>
        <v>67</v>
      </c>
      <c r="F4351">
        <f>IF(Table1[[#This Row],[New Pos L]]&lt;&gt;0,Table1[[#This Row],[New Pos L]],Table1[[#This Row],[New Pos R]])</f>
        <v>67</v>
      </c>
    </row>
    <row r="4352" spans="1:6" ht="16" x14ac:dyDescent="0.2">
      <c r="A4352" s="1" t="s">
        <v>870</v>
      </c>
      <c r="B4352" t="str">
        <f>LEFT(Table1[[#This Row],[Input]],1)</f>
        <v>L</v>
      </c>
      <c r="C4352">
        <f>_xlfn.LET(_xlpm.steps,SUBSTITUTE(Table1[[#This Row],[Input]],Table1[[#This Row],[Direction]],""),VALUE(IF(LEN(_xlpm.steps)&gt;2,RIGHT(_xlpm.steps,2),_xlpm.steps)))</f>
        <v>80</v>
      </c>
      <c r="D4352">
        <f>_xlfn.LET(_xlpm.dir,Table1[[#This Row],[Direction]],
IF(_xlpm.dir="L",
    IF(F4351-Table1[[#This Row],[Steps]]&lt;0,100+(F4351-Table1[[#This Row],[Steps]]),F4351-Table1[[#This Row],[Steps]]),
))</f>
        <v>87</v>
      </c>
      <c r="E4352">
        <f>_xlfn.LET(_xlpm.dir,Table1[[#This Row],[Direction]],
IF(_xlpm.dir="R",
    IF(F4351+Table1[[#This Row],[Steps]]&gt;99,(F4351+Table1[[#This Row],[Steps]])-100,F4351+Table1[[#This Row],[Steps]]),
))</f>
        <v>0</v>
      </c>
      <c r="F4352">
        <f>IF(Table1[[#This Row],[New Pos L]]&lt;&gt;0,Table1[[#This Row],[New Pos L]],Table1[[#This Row],[New Pos R]])</f>
        <v>87</v>
      </c>
    </row>
    <row r="4353" spans="1:6" ht="16" x14ac:dyDescent="0.2">
      <c r="A4353" s="1" t="s">
        <v>871</v>
      </c>
      <c r="B4353" t="str">
        <f>LEFT(Table1[[#This Row],[Input]],1)</f>
        <v>L</v>
      </c>
      <c r="C4353">
        <f>_xlfn.LET(_xlpm.steps,SUBSTITUTE(Table1[[#This Row],[Input]],Table1[[#This Row],[Direction]],""),VALUE(IF(LEN(_xlpm.steps)&gt;2,RIGHT(_xlpm.steps,2),_xlpm.steps)))</f>
        <v>67</v>
      </c>
      <c r="D4353">
        <f>_xlfn.LET(_xlpm.dir,Table1[[#This Row],[Direction]],
IF(_xlpm.dir="L",
    IF(F4352-Table1[[#This Row],[Steps]]&lt;0,100+(F4352-Table1[[#This Row],[Steps]]),F4352-Table1[[#This Row],[Steps]]),
))</f>
        <v>20</v>
      </c>
      <c r="E4353">
        <f>_xlfn.LET(_xlpm.dir,Table1[[#This Row],[Direction]],
IF(_xlpm.dir="R",
    IF(F4352+Table1[[#This Row],[Steps]]&gt;99,(F4352+Table1[[#This Row],[Steps]])-100,F4352+Table1[[#This Row],[Steps]]),
))</f>
        <v>0</v>
      </c>
      <c r="F4353">
        <f>IF(Table1[[#This Row],[New Pos L]]&lt;&gt;0,Table1[[#This Row],[New Pos L]],Table1[[#This Row],[New Pos R]])</f>
        <v>20</v>
      </c>
    </row>
    <row r="4354" spans="1:6" ht="16" x14ac:dyDescent="0.2">
      <c r="A4354" s="1" t="s">
        <v>16</v>
      </c>
      <c r="B4354" t="str">
        <f>LEFT(Table1[[#This Row],[Input]],1)</f>
        <v>L</v>
      </c>
      <c r="C4354">
        <f>_xlfn.LET(_xlpm.steps,SUBSTITUTE(Table1[[#This Row],[Input]],Table1[[#This Row],[Direction]],""),VALUE(IF(LEN(_xlpm.steps)&gt;2,RIGHT(_xlpm.steps,2),_xlpm.steps)))</f>
        <v>10</v>
      </c>
      <c r="D4354">
        <f>_xlfn.LET(_xlpm.dir,Table1[[#This Row],[Direction]],
IF(_xlpm.dir="L",
    IF(F4353-Table1[[#This Row],[Steps]]&lt;0,100+(F4353-Table1[[#This Row],[Steps]]),F4353-Table1[[#This Row],[Steps]]),
))</f>
        <v>10</v>
      </c>
      <c r="E4354">
        <f>_xlfn.LET(_xlpm.dir,Table1[[#This Row],[Direction]],
IF(_xlpm.dir="R",
    IF(F4353+Table1[[#This Row],[Steps]]&gt;99,(F4353+Table1[[#This Row],[Steps]])-100,F4353+Table1[[#This Row],[Steps]]),
))</f>
        <v>0</v>
      </c>
      <c r="F4354">
        <f>IF(Table1[[#This Row],[New Pos L]]&lt;&gt;0,Table1[[#This Row],[New Pos L]],Table1[[#This Row],[New Pos R]])</f>
        <v>10</v>
      </c>
    </row>
    <row r="4355" spans="1:6" ht="16" x14ac:dyDescent="0.2">
      <c r="A4355" s="1" t="s">
        <v>73</v>
      </c>
      <c r="B4355" t="str">
        <f>LEFT(Table1[[#This Row],[Input]],1)</f>
        <v>R</v>
      </c>
      <c r="C4355">
        <f>_xlfn.LET(_xlpm.steps,SUBSTITUTE(Table1[[#This Row],[Input]],Table1[[#This Row],[Direction]],""),VALUE(IF(LEN(_xlpm.steps)&gt;2,RIGHT(_xlpm.steps,2),_xlpm.steps)))</f>
        <v>21</v>
      </c>
      <c r="D4355">
        <f>_xlfn.LET(_xlpm.dir,Table1[[#This Row],[Direction]],
IF(_xlpm.dir="L",
    IF(F4354-Table1[[#This Row],[Steps]]&lt;0,100+(F4354-Table1[[#This Row],[Steps]]),F4354-Table1[[#This Row],[Steps]]),
))</f>
        <v>0</v>
      </c>
      <c r="E4355">
        <f>_xlfn.LET(_xlpm.dir,Table1[[#This Row],[Direction]],
IF(_xlpm.dir="R",
    IF(F4354+Table1[[#This Row],[Steps]]&gt;99,(F4354+Table1[[#This Row],[Steps]])-100,F4354+Table1[[#This Row],[Steps]]),
))</f>
        <v>31</v>
      </c>
      <c r="F4355">
        <f>IF(Table1[[#This Row],[New Pos L]]&lt;&gt;0,Table1[[#This Row],[New Pos L]],Table1[[#This Row],[New Pos R]])</f>
        <v>31</v>
      </c>
    </row>
    <row r="4356" spans="1:6" ht="16" x14ac:dyDescent="0.2">
      <c r="A4356" s="1" t="s">
        <v>135</v>
      </c>
      <c r="B4356" t="str">
        <f>LEFT(Table1[[#This Row],[Input]],1)</f>
        <v>R</v>
      </c>
      <c r="C4356">
        <f>_xlfn.LET(_xlpm.steps,SUBSTITUTE(Table1[[#This Row],[Input]],Table1[[#This Row],[Direction]],""),VALUE(IF(LEN(_xlpm.steps)&gt;2,RIGHT(_xlpm.steps,2),_xlpm.steps)))</f>
        <v>69</v>
      </c>
      <c r="D4356">
        <f>_xlfn.LET(_xlpm.dir,Table1[[#This Row],[Direction]],
IF(_xlpm.dir="L",
    IF(F4355-Table1[[#This Row],[Steps]]&lt;0,100+(F4355-Table1[[#This Row],[Steps]]),F4355-Table1[[#This Row],[Steps]]),
))</f>
        <v>0</v>
      </c>
      <c r="E4356">
        <f>_xlfn.LET(_xlpm.dir,Table1[[#This Row],[Direction]],
IF(_xlpm.dir="R",
    IF(F4355+Table1[[#This Row],[Steps]]&gt;99,(F4355+Table1[[#This Row],[Steps]])-100,F4355+Table1[[#This Row],[Steps]]),
))</f>
        <v>0</v>
      </c>
      <c r="F4356">
        <f>IF(Table1[[#This Row],[New Pos L]]&lt;&gt;0,Table1[[#This Row],[New Pos L]],Table1[[#This Row],[New Pos R]])</f>
        <v>0</v>
      </c>
    </row>
    <row r="4357" spans="1:6" ht="16" x14ac:dyDescent="0.2">
      <c r="A4357" s="1" t="s">
        <v>155</v>
      </c>
      <c r="B4357" t="str">
        <f>LEFT(Table1[[#This Row],[Input]],1)</f>
        <v>L</v>
      </c>
      <c r="C4357">
        <f>_xlfn.LET(_xlpm.steps,SUBSTITUTE(Table1[[#This Row],[Input]],Table1[[#This Row],[Direction]],""),VALUE(IF(LEN(_xlpm.steps)&gt;2,RIGHT(_xlpm.steps,2),_xlpm.steps)))</f>
        <v>18</v>
      </c>
      <c r="D4357">
        <f>_xlfn.LET(_xlpm.dir,Table1[[#This Row],[Direction]],
IF(_xlpm.dir="L",
    IF(F4356-Table1[[#This Row],[Steps]]&lt;0,100+(F4356-Table1[[#This Row],[Steps]]),F4356-Table1[[#This Row],[Steps]]),
))</f>
        <v>82</v>
      </c>
      <c r="E4357">
        <f>_xlfn.LET(_xlpm.dir,Table1[[#This Row],[Direction]],
IF(_xlpm.dir="R",
    IF(F4356+Table1[[#This Row],[Steps]]&gt;99,(F4356+Table1[[#This Row],[Steps]])-100,F4356+Table1[[#This Row],[Steps]]),
))</f>
        <v>0</v>
      </c>
      <c r="F4357">
        <f>IF(Table1[[#This Row],[New Pos L]]&lt;&gt;0,Table1[[#This Row],[New Pos L]],Table1[[#This Row],[New Pos R]])</f>
        <v>82</v>
      </c>
    </row>
    <row r="4358" spans="1:6" ht="16" x14ac:dyDescent="0.2">
      <c r="A4358" s="1" t="s">
        <v>37</v>
      </c>
      <c r="B4358" t="str">
        <f>LEFT(Table1[[#This Row],[Input]],1)</f>
        <v>L</v>
      </c>
      <c r="C4358">
        <f>_xlfn.LET(_xlpm.steps,SUBSTITUTE(Table1[[#This Row],[Input]],Table1[[#This Row],[Direction]],""),VALUE(IF(LEN(_xlpm.steps)&gt;2,RIGHT(_xlpm.steps,2),_xlpm.steps)))</f>
        <v>42</v>
      </c>
      <c r="D4358">
        <f>_xlfn.LET(_xlpm.dir,Table1[[#This Row],[Direction]],
IF(_xlpm.dir="L",
    IF(F4357-Table1[[#This Row],[Steps]]&lt;0,100+(F4357-Table1[[#This Row],[Steps]]),F4357-Table1[[#This Row],[Steps]]),
))</f>
        <v>40</v>
      </c>
      <c r="E4358">
        <f>_xlfn.LET(_xlpm.dir,Table1[[#This Row],[Direction]],
IF(_xlpm.dir="R",
    IF(F4357+Table1[[#This Row],[Steps]]&gt;99,(F4357+Table1[[#This Row],[Steps]])-100,F4357+Table1[[#This Row],[Steps]]),
))</f>
        <v>0</v>
      </c>
      <c r="F4358">
        <f>IF(Table1[[#This Row],[New Pos L]]&lt;&gt;0,Table1[[#This Row],[New Pos L]],Table1[[#This Row],[New Pos R]])</f>
        <v>40</v>
      </c>
    </row>
    <row r="4359" spans="1:6" ht="16" x14ac:dyDescent="0.2">
      <c r="A4359" s="1" t="s">
        <v>115</v>
      </c>
      <c r="B4359" t="str">
        <f>LEFT(Table1[[#This Row],[Input]],1)</f>
        <v>L</v>
      </c>
      <c r="C4359">
        <f>_xlfn.LET(_xlpm.steps,SUBSTITUTE(Table1[[#This Row],[Input]],Table1[[#This Row],[Direction]],""),VALUE(IF(LEN(_xlpm.steps)&gt;2,RIGHT(_xlpm.steps,2),_xlpm.steps)))</f>
        <v>29</v>
      </c>
      <c r="D4359">
        <f>_xlfn.LET(_xlpm.dir,Table1[[#This Row],[Direction]],
IF(_xlpm.dir="L",
    IF(F4358-Table1[[#This Row],[Steps]]&lt;0,100+(F4358-Table1[[#This Row],[Steps]]),F4358-Table1[[#This Row],[Steps]]),
))</f>
        <v>11</v>
      </c>
      <c r="E4359">
        <f>_xlfn.LET(_xlpm.dir,Table1[[#This Row],[Direction]],
IF(_xlpm.dir="R",
    IF(F4358+Table1[[#This Row],[Steps]]&gt;99,(F4358+Table1[[#This Row],[Steps]])-100,F4358+Table1[[#This Row],[Steps]]),
))</f>
        <v>0</v>
      </c>
      <c r="F4359">
        <f>IF(Table1[[#This Row],[New Pos L]]&lt;&gt;0,Table1[[#This Row],[New Pos L]],Table1[[#This Row],[New Pos R]])</f>
        <v>11</v>
      </c>
    </row>
    <row r="4360" spans="1:6" ht="16" x14ac:dyDescent="0.2">
      <c r="A4360" s="1" t="s">
        <v>12</v>
      </c>
      <c r="B4360" t="str">
        <f>LEFT(Table1[[#This Row],[Input]],1)</f>
        <v>L</v>
      </c>
      <c r="C4360">
        <f>_xlfn.LET(_xlpm.steps,SUBSTITUTE(Table1[[#This Row],[Input]],Table1[[#This Row],[Direction]],""),VALUE(IF(LEN(_xlpm.steps)&gt;2,RIGHT(_xlpm.steps,2),_xlpm.steps)))</f>
        <v>11</v>
      </c>
      <c r="D4360">
        <f>_xlfn.LET(_xlpm.dir,Table1[[#This Row],[Direction]],
IF(_xlpm.dir="L",
    IF(F4359-Table1[[#This Row],[Steps]]&lt;0,100+(F4359-Table1[[#This Row],[Steps]]),F4359-Table1[[#This Row],[Steps]]),
))</f>
        <v>0</v>
      </c>
      <c r="E4360">
        <f>_xlfn.LET(_xlpm.dir,Table1[[#This Row],[Direction]],
IF(_xlpm.dir="R",
    IF(F4359+Table1[[#This Row],[Steps]]&gt;99,(F4359+Table1[[#This Row],[Steps]])-100,F4359+Table1[[#This Row],[Steps]]),
))</f>
        <v>0</v>
      </c>
      <c r="F4360">
        <f>IF(Table1[[#This Row],[New Pos L]]&lt;&gt;0,Table1[[#This Row],[New Pos L]],Table1[[#This Row],[New Pos R]])</f>
        <v>0</v>
      </c>
    </row>
    <row r="4361" spans="1:6" ht="16" x14ac:dyDescent="0.2">
      <c r="A4361" s="1" t="s">
        <v>126</v>
      </c>
      <c r="B4361" t="str">
        <f>LEFT(Table1[[#This Row],[Input]],1)</f>
        <v>R</v>
      </c>
      <c r="C4361">
        <f>_xlfn.LET(_xlpm.steps,SUBSTITUTE(Table1[[#This Row],[Input]],Table1[[#This Row],[Direction]],""),VALUE(IF(LEN(_xlpm.steps)&gt;2,RIGHT(_xlpm.steps,2),_xlpm.steps)))</f>
        <v>65</v>
      </c>
      <c r="D4361">
        <f>_xlfn.LET(_xlpm.dir,Table1[[#This Row],[Direction]],
IF(_xlpm.dir="L",
    IF(F4360-Table1[[#This Row],[Steps]]&lt;0,100+(F4360-Table1[[#This Row],[Steps]]),F4360-Table1[[#This Row],[Steps]]),
))</f>
        <v>0</v>
      </c>
      <c r="E4361">
        <f>_xlfn.LET(_xlpm.dir,Table1[[#This Row],[Direction]],
IF(_xlpm.dir="R",
    IF(F4360+Table1[[#This Row],[Steps]]&gt;99,(F4360+Table1[[#This Row],[Steps]])-100,F4360+Table1[[#This Row],[Steps]]),
))</f>
        <v>65</v>
      </c>
      <c r="F4361">
        <f>IF(Table1[[#This Row],[New Pos L]]&lt;&gt;0,Table1[[#This Row],[New Pos L]],Table1[[#This Row],[New Pos R]])</f>
        <v>65</v>
      </c>
    </row>
    <row r="4362" spans="1:6" ht="16" x14ac:dyDescent="0.2">
      <c r="A4362" s="1" t="s">
        <v>11</v>
      </c>
      <c r="B4362" t="str">
        <f>LEFT(Table1[[#This Row],[Input]],1)</f>
        <v>L</v>
      </c>
      <c r="C4362">
        <f>_xlfn.LET(_xlpm.steps,SUBSTITUTE(Table1[[#This Row],[Input]],Table1[[#This Row],[Direction]],""),VALUE(IF(LEN(_xlpm.steps)&gt;2,RIGHT(_xlpm.steps,2),_xlpm.steps)))</f>
        <v>34</v>
      </c>
      <c r="D4362">
        <f>_xlfn.LET(_xlpm.dir,Table1[[#This Row],[Direction]],
IF(_xlpm.dir="L",
    IF(F4361-Table1[[#This Row],[Steps]]&lt;0,100+(F4361-Table1[[#This Row],[Steps]]),F4361-Table1[[#This Row],[Steps]]),
))</f>
        <v>31</v>
      </c>
      <c r="E4362">
        <f>_xlfn.LET(_xlpm.dir,Table1[[#This Row],[Direction]],
IF(_xlpm.dir="R",
    IF(F4361+Table1[[#This Row],[Steps]]&gt;99,(F4361+Table1[[#This Row],[Steps]])-100,F4361+Table1[[#This Row],[Steps]]),
))</f>
        <v>0</v>
      </c>
      <c r="F4362">
        <f>IF(Table1[[#This Row],[New Pos L]]&lt;&gt;0,Table1[[#This Row],[New Pos L]],Table1[[#This Row],[New Pos R]])</f>
        <v>31</v>
      </c>
    </row>
    <row r="4363" spans="1:6" ht="16" x14ac:dyDescent="0.2">
      <c r="A4363" s="1" t="s">
        <v>531</v>
      </c>
      <c r="B4363" t="str">
        <f>LEFT(Table1[[#This Row],[Input]],1)</f>
        <v>L</v>
      </c>
      <c r="C4363">
        <f>_xlfn.LET(_xlpm.steps,SUBSTITUTE(Table1[[#This Row],[Input]],Table1[[#This Row],[Direction]],""),VALUE(IF(LEN(_xlpm.steps)&gt;2,RIGHT(_xlpm.steps,2),_xlpm.steps)))</f>
        <v>15</v>
      </c>
      <c r="D4363">
        <f>_xlfn.LET(_xlpm.dir,Table1[[#This Row],[Direction]],
IF(_xlpm.dir="L",
    IF(F4362-Table1[[#This Row],[Steps]]&lt;0,100+(F4362-Table1[[#This Row],[Steps]]),F4362-Table1[[#This Row],[Steps]]),
))</f>
        <v>16</v>
      </c>
      <c r="E4363">
        <f>_xlfn.LET(_xlpm.dir,Table1[[#This Row],[Direction]],
IF(_xlpm.dir="R",
    IF(F4362+Table1[[#This Row],[Steps]]&gt;99,(F4362+Table1[[#This Row],[Steps]])-100,F4362+Table1[[#This Row],[Steps]]),
))</f>
        <v>0</v>
      </c>
      <c r="F4363">
        <f>IF(Table1[[#This Row],[New Pos L]]&lt;&gt;0,Table1[[#This Row],[New Pos L]],Table1[[#This Row],[New Pos R]])</f>
        <v>16</v>
      </c>
    </row>
    <row r="4364" spans="1:6" ht="16" x14ac:dyDescent="0.2">
      <c r="A4364" s="1" t="s">
        <v>872</v>
      </c>
      <c r="B4364" t="str">
        <f>LEFT(Table1[[#This Row],[Input]],1)</f>
        <v>L</v>
      </c>
      <c r="C4364">
        <f>_xlfn.LET(_xlpm.steps,SUBSTITUTE(Table1[[#This Row],[Input]],Table1[[#This Row],[Direction]],""),VALUE(IF(LEN(_xlpm.steps)&gt;2,RIGHT(_xlpm.steps,2),_xlpm.steps)))</f>
        <v>16</v>
      </c>
      <c r="D4364">
        <f>_xlfn.LET(_xlpm.dir,Table1[[#This Row],[Direction]],
IF(_xlpm.dir="L",
    IF(F4363-Table1[[#This Row],[Steps]]&lt;0,100+(F4363-Table1[[#This Row],[Steps]]),F4363-Table1[[#This Row],[Steps]]),
))</f>
        <v>0</v>
      </c>
      <c r="E4364">
        <f>_xlfn.LET(_xlpm.dir,Table1[[#This Row],[Direction]],
IF(_xlpm.dir="R",
    IF(F4363+Table1[[#This Row],[Steps]]&gt;99,(F4363+Table1[[#This Row],[Steps]])-100,F4363+Table1[[#This Row],[Steps]]),
))</f>
        <v>0</v>
      </c>
      <c r="F4364">
        <f>IF(Table1[[#This Row],[New Pos L]]&lt;&gt;0,Table1[[#This Row],[New Pos L]],Table1[[#This Row],[New Pos R]])</f>
        <v>0</v>
      </c>
    </row>
    <row r="4365" spans="1:6" ht="16" x14ac:dyDescent="0.2">
      <c r="A4365" s="1" t="s">
        <v>19</v>
      </c>
      <c r="B4365" t="str">
        <f>LEFT(Table1[[#This Row],[Input]],1)</f>
        <v>R</v>
      </c>
      <c r="C4365">
        <f>_xlfn.LET(_xlpm.steps,SUBSTITUTE(Table1[[#This Row],[Input]],Table1[[#This Row],[Direction]],""),VALUE(IF(LEN(_xlpm.steps)&gt;2,RIGHT(_xlpm.steps,2),_xlpm.steps)))</f>
        <v>47</v>
      </c>
      <c r="D4365">
        <f>_xlfn.LET(_xlpm.dir,Table1[[#This Row],[Direction]],
IF(_xlpm.dir="L",
    IF(F4364-Table1[[#This Row],[Steps]]&lt;0,100+(F4364-Table1[[#This Row],[Steps]]),F4364-Table1[[#This Row],[Steps]]),
))</f>
        <v>0</v>
      </c>
      <c r="E4365">
        <f>_xlfn.LET(_xlpm.dir,Table1[[#This Row],[Direction]],
IF(_xlpm.dir="R",
    IF(F4364+Table1[[#This Row],[Steps]]&gt;99,(F4364+Table1[[#This Row],[Steps]])-100,F4364+Table1[[#This Row],[Steps]]),
))</f>
        <v>47</v>
      </c>
      <c r="F4365">
        <f>IF(Table1[[#This Row],[New Pos L]]&lt;&gt;0,Table1[[#This Row],[New Pos L]],Table1[[#This Row],[New Pos R]])</f>
        <v>47</v>
      </c>
    </row>
    <row r="4366" spans="1:6" ht="16" x14ac:dyDescent="0.2">
      <c r="A4366" s="1" t="s">
        <v>553</v>
      </c>
      <c r="B4366" t="str">
        <f>LEFT(Table1[[#This Row],[Input]],1)</f>
        <v>R</v>
      </c>
      <c r="C4366">
        <f>_xlfn.LET(_xlpm.steps,SUBSTITUTE(Table1[[#This Row],[Input]],Table1[[#This Row],[Direction]],""),VALUE(IF(LEN(_xlpm.steps)&gt;2,RIGHT(_xlpm.steps,2),_xlpm.steps)))</f>
        <v>30</v>
      </c>
      <c r="D4366">
        <f>_xlfn.LET(_xlpm.dir,Table1[[#This Row],[Direction]],
IF(_xlpm.dir="L",
    IF(F4365-Table1[[#This Row],[Steps]]&lt;0,100+(F4365-Table1[[#This Row],[Steps]]),F4365-Table1[[#This Row],[Steps]]),
))</f>
        <v>0</v>
      </c>
      <c r="E4366">
        <f>_xlfn.LET(_xlpm.dir,Table1[[#This Row],[Direction]],
IF(_xlpm.dir="R",
    IF(F4365+Table1[[#This Row],[Steps]]&gt;99,(F4365+Table1[[#This Row],[Steps]])-100,F4365+Table1[[#This Row],[Steps]]),
))</f>
        <v>77</v>
      </c>
      <c r="F4366">
        <f>IF(Table1[[#This Row],[New Pos L]]&lt;&gt;0,Table1[[#This Row],[New Pos L]],Table1[[#This Row],[New Pos R]])</f>
        <v>77</v>
      </c>
    </row>
    <row r="4367" spans="1:6" ht="16" x14ac:dyDescent="0.2">
      <c r="A4367" s="1" t="s">
        <v>119</v>
      </c>
      <c r="B4367" t="str">
        <f>LEFT(Table1[[#This Row],[Input]],1)</f>
        <v>L</v>
      </c>
      <c r="C4367">
        <f>_xlfn.LET(_xlpm.steps,SUBSTITUTE(Table1[[#This Row],[Input]],Table1[[#This Row],[Direction]],""),VALUE(IF(LEN(_xlpm.steps)&gt;2,RIGHT(_xlpm.steps,2),_xlpm.steps)))</f>
        <v>77</v>
      </c>
      <c r="D4367">
        <f>_xlfn.LET(_xlpm.dir,Table1[[#This Row],[Direction]],
IF(_xlpm.dir="L",
    IF(F4366-Table1[[#This Row],[Steps]]&lt;0,100+(F4366-Table1[[#This Row],[Steps]]),F4366-Table1[[#This Row],[Steps]]),
))</f>
        <v>0</v>
      </c>
      <c r="E4367">
        <f>_xlfn.LET(_xlpm.dir,Table1[[#This Row],[Direction]],
IF(_xlpm.dir="R",
    IF(F4366+Table1[[#This Row],[Steps]]&gt;99,(F4366+Table1[[#This Row],[Steps]])-100,F4366+Table1[[#This Row],[Steps]]),
))</f>
        <v>0</v>
      </c>
      <c r="F4367">
        <f>IF(Table1[[#This Row],[New Pos L]]&lt;&gt;0,Table1[[#This Row],[New Pos L]],Table1[[#This Row],[New Pos R]])</f>
        <v>0</v>
      </c>
    </row>
    <row r="4368" spans="1:6" ht="16" x14ac:dyDescent="0.2">
      <c r="A4368" s="1" t="s">
        <v>45</v>
      </c>
      <c r="B4368" t="str">
        <f>LEFT(Table1[[#This Row],[Input]],1)</f>
        <v>L</v>
      </c>
      <c r="C4368">
        <f>_xlfn.LET(_xlpm.steps,SUBSTITUTE(Table1[[#This Row],[Input]],Table1[[#This Row],[Direction]],""),VALUE(IF(LEN(_xlpm.steps)&gt;2,RIGHT(_xlpm.steps,2),_xlpm.steps)))</f>
        <v>96</v>
      </c>
      <c r="D4368">
        <f>_xlfn.LET(_xlpm.dir,Table1[[#This Row],[Direction]],
IF(_xlpm.dir="L",
    IF(F4367-Table1[[#This Row],[Steps]]&lt;0,100+(F4367-Table1[[#This Row],[Steps]]),F4367-Table1[[#This Row],[Steps]]),
))</f>
        <v>4</v>
      </c>
      <c r="E4368">
        <f>_xlfn.LET(_xlpm.dir,Table1[[#This Row],[Direction]],
IF(_xlpm.dir="R",
    IF(F4367+Table1[[#This Row],[Steps]]&gt;99,(F4367+Table1[[#This Row],[Steps]])-100,F4367+Table1[[#This Row],[Steps]]),
))</f>
        <v>0</v>
      </c>
      <c r="F4368">
        <f>IF(Table1[[#This Row],[New Pos L]]&lt;&gt;0,Table1[[#This Row],[New Pos L]],Table1[[#This Row],[New Pos R]])</f>
        <v>4</v>
      </c>
    </row>
    <row r="4369" spans="1:6" ht="16" x14ac:dyDescent="0.2">
      <c r="A4369" s="1" t="s">
        <v>88</v>
      </c>
      <c r="B4369" t="str">
        <f>LEFT(Table1[[#This Row],[Input]],1)</f>
        <v>R</v>
      </c>
      <c r="C4369">
        <f>_xlfn.LET(_xlpm.steps,SUBSTITUTE(Table1[[#This Row],[Input]],Table1[[#This Row],[Direction]],""),VALUE(IF(LEN(_xlpm.steps)&gt;2,RIGHT(_xlpm.steps,2),_xlpm.steps)))</f>
        <v>53</v>
      </c>
      <c r="D4369">
        <f>_xlfn.LET(_xlpm.dir,Table1[[#This Row],[Direction]],
IF(_xlpm.dir="L",
    IF(F4368-Table1[[#This Row],[Steps]]&lt;0,100+(F4368-Table1[[#This Row],[Steps]]),F4368-Table1[[#This Row],[Steps]]),
))</f>
        <v>0</v>
      </c>
      <c r="E4369">
        <f>_xlfn.LET(_xlpm.dir,Table1[[#This Row],[Direction]],
IF(_xlpm.dir="R",
    IF(F4368+Table1[[#This Row],[Steps]]&gt;99,(F4368+Table1[[#This Row],[Steps]])-100,F4368+Table1[[#This Row],[Steps]]),
))</f>
        <v>57</v>
      </c>
      <c r="F4369">
        <f>IF(Table1[[#This Row],[New Pos L]]&lt;&gt;0,Table1[[#This Row],[New Pos L]],Table1[[#This Row],[New Pos R]])</f>
        <v>57</v>
      </c>
    </row>
    <row r="4370" spans="1:6" ht="16" x14ac:dyDescent="0.2">
      <c r="A4370" s="1" t="s">
        <v>62</v>
      </c>
      <c r="B4370" t="str">
        <f>LEFT(Table1[[#This Row],[Input]],1)</f>
        <v>L</v>
      </c>
      <c r="C4370">
        <f>_xlfn.LET(_xlpm.steps,SUBSTITUTE(Table1[[#This Row],[Input]],Table1[[#This Row],[Direction]],""),VALUE(IF(LEN(_xlpm.steps)&gt;2,RIGHT(_xlpm.steps,2),_xlpm.steps)))</f>
        <v>57</v>
      </c>
      <c r="D4370">
        <f>_xlfn.LET(_xlpm.dir,Table1[[#This Row],[Direction]],
IF(_xlpm.dir="L",
    IF(F4369-Table1[[#This Row],[Steps]]&lt;0,100+(F4369-Table1[[#This Row],[Steps]]),F4369-Table1[[#This Row],[Steps]]),
))</f>
        <v>0</v>
      </c>
      <c r="E4370">
        <f>_xlfn.LET(_xlpm.dir,Table1[[#This Row],[Direction]],
IF(_xlpm.dir="R",
    IF(F4369+Table1[[#This Row],[Steps]]&gt;99,(F4369+Table1[[#This Row],[Steps]])-100,F4369+Table1[[#This Row],[Steps]]),
))</f>
        <v>0</v>
      </c>
      <c r="F4370">
        <f>IF(Table1[[#This Row],[New Pos L]]&lt;&gt;0,Table1[[#This Row],[New Pos L]],Table1[[#This Row],[New Pos R]])</f>
        <v>0</v>
      </c>
    </row>
    <row r="4371" spans="1:6" ht="16" x14ac:dyDescent="0.2">
      <c r="A4371" s="1" t="s">
        <v>141</v>
      </c>
      <c r="B4371" t="str">
        <f>LEFT(Table1[[#This Row],[Input]],1)</f>
        <v>L</v>
      </c>
      <c r="C4371">
        <f>_xlfn.LET(_xlpm.steps,SUBSTITUTE(Table1[[#This Row],[Input]],Table1[[#This Row],[Direction]],""),VALUE(IF(LEN(_xlpm.steps)&gt;2,RIGHT(_xlpm.steps,2),_xlpm.steps)))</f>
        <v>90</v>
      </c>
      <c r="D4371">
        <f>_xlfn.LET(_xlpm.dir,Table1[[#This Row],[Direction]],
IF(_xlpm.dir="L",
    IF(F4370-Table1[[#This Row],[Steps]]&lt;0,100+(F4370-Table1[[#This Row],[Steps]]),F4370-Table1[[#This Row],[Steps]]),
))</f>
        <v>10</v>
      </c>
      <c r="E4371">
        <f>_xlfn.LET(_xlpm.dir,Table1[[#This Row],[Direction]],
IF(_xlpm.dir="R",
    IF(F4370+Table1[[#This Row],[Steps]]&gt;99,(F4370+Table1[[#This Row],[Steps]])-100,F4370+Table1[[#This Row],[Steps]]),
))</f>
        <v>0</v>
      </c>
      <c r="F4371">
        <f>IF(Table1[[#This Row],[New Pos L]]&lt;&gt;0,Table1[[#This Row],[New Pos L]],Table1[[#This Row],[New Pos R]])</f>
        <v>10</v>
      </c>
    </row>
    <row r="4372" spans="1:6" ht="16" x14ac:dyDescent="0.2">
      <c r="A4372" s="1" t="s">
        <v>33</v>
      </c>
      <c r="B4372" t="str">
        <f>LEFT(Table1[[#This Row],[Input]],1)</f>
        <v>R</v>
      </c>
      <c r="C4372">
        <f>_xlfn.LET(_xlpm.steps,SUBSTITUTE(Table1[[#This Row],[Input]],Table1[[#This Row],[Direction]],""),VALUE(IF(LEN(_xlpm.steps)&gt;2,RIGHT(_xlpm.steps,2),_xlpm.steps)))</f>
        <v>22</v>
      </c>
      <c r="D4372">
        <f>_xlfn.LET(_xlpm.dir,Table1[[#This Row],[Direction]],
IF(_xlpm.dir="L",
    IF(F4371-Table1[[#This Row],[Steps]]&lt;0,100+(F4371-Table1[[#This Row],[Steps]]),F4371-Table1[[#This Row],[Steps]]),
))</f>
        <v>0</v>
      </c>
      <c r="E4372">
        <f>_xlfn.LET(_xlpm.dir,Table1[[#This Row],[Direction]],
IF(_xlpm.dir="R",
    IF(F4371+Table1[[#This Row],[Steps]]&gt;99,(F4371+Table1[[#This Row],[Steps]])-100,F4371+Table1[[#This Row],[Steps]]),
))</f>
        <v>32</v>
      </c>
      <c r="F4372">
        <f>IF(Table1[[#This Row],[New Pos L]]&lt;&gt;0,Table1[[#This Row],[New Pos L]],Table1[[#This Row],[New Pos R]])</f>
        <v>32</v>
      </c>
    </row>
    <row r="4373" spans="1:6" ht="16" x14ac:dyDescent="0.2">
      <c r="A4373" s="1" t="s">
        <v>157</v>
      </c>
      <c r="B4373" t="str">
        <f>LEFT(Table1[[#This Row],[Input]],1)</f>
        <v>R</v>
      </c>
      <c r="C4373">
        <f>_xlfn.LET(_xlpm.steps,SUBSTITUTE(Table1[[#This Row],[Input]],Table1[[#This Row],[Direction]],""),VALUE(IF(LEN(_xlpm.steps)&gt;2,RIGHT(_xlpm.steps,2),_xlpm.steps)))</f>
        <v>68</v>
      </c>
      <c r="D4373">
        <f>_xlfn.LET(_xlpm.dir,Table1[[#This Row],[Direction]],
IF(_xlpm.dir="L",
    IF(F4372-Table1[[#This Row],[Steps]]&lt;0,100+(F4372-Table1[[#This Row],[Steps]]),F4372-Table1[[#This Row],[Steps]]),
))</f>
        <v>0</v>
      </c>
      <c r="E4373">
        <f>_xlfn.LET(_xlpm.dir,Table1[[#This Row],[Direction]],
IF(_xlpm.dir="R",
    IF(F4372+Table1[[#This Row],[Steps]]&gt;99,(F4372+Table1[[#This Row],[Steps]])-100,F4372+Table1[[#This Row],[Steps]]),
))</f>
        <v>0</v>
      </c>
      <c r="F4373">
        <f>IF(Table1[[#This Row],[New Pos L]]&lt;&gt;0,Table1[[#This Row],[New Pos L]],Table1[[#This Row],[New Pos R]])</f>
        <v>0</v>
      </c>
    </row>
    <row r="4374" spans="1:6" ht="16" x14ac:dyDescent="0.2">
      <c r="A4374" s="1" t="s">
        <v>873</v>
      </c>
      <c r="B4374" t="str">
        <f>LEFT(Table1[[#This Row],[Input]],1)</f>
        <v>R</v>
      </c>
      <c r="C4374">
        <f>_xlfn.LET(_xlpm.steps,SUBSTITUTE(Table1[[#This Row],[Input]],Table1[[#This Row],[Direction]],""),VALUE(IF(LEN(_xlpm.steps)&gt;2,RIGHT(_xlpm.steps,2),_xlpm.steps)))</f>
        <v>2</v>
      </c>
      <c r="D4374">
        <f>_xlfn.LET(_xlpm.dir,Table1[[#This Row],[Direction]],
IF(_xlpm.dir="L",
    IF(F4373-Table1[[#This Row],[Steps]]&lt;0,100+(F4373-Table1[[#This Row],[Steps]]),F4373-Table1[[#This Row],[Steps]]),
))</f>
        <v>0</v>
      </c>
      <c r="E4374">
        <f>_xlfn.LET(_xlpm.dir,Table1[[#This Row],[Direction]],
IF(_xlpm.dir="R",
    IF(F4373+Table1[[#This Row],[Steps]]&gt;99,(F4373+Table1[[#This Row],[Steps]])-100,F4373+Table1[[#This Row],[Steps]]),
))</f>
        <v>2</v>
      </c>
      <c r="F4374">
        <f>IF(Table1[[#This Row],[New Pos L]]&lt;&gt;0,Table1[[#This Row],[New Pos L]],Table1[[#This Row],[New Pos R]])</f>
        <v>2</v>
      </c>
    </row>
    <row r="4375" spans="1:6" ht="16" x14ac:dyDescent="0.2">
      <c r="A4375" s="1" t="s">
        <v>84</v>
      </c>
      <c r="B4375" t="str">
        <f>LEFT(Table1[[#This Row],[Input]],1)</f>
        <v>R</v>
      </c>
      <c r="C4375">
        <f>_xlfn.LET(_xlpm.steps,SUBSTITUTE(Table1[[#This Row],[Input]],Table1[[#This Row],[Direction]],""),VALUE(IF(LEN(_xlpm.steps)&gt;2,RIGHT(_xlpm.steps,2),_xlpm.steps)))</f>
        <v>88</v>
      </c>
      <c r="D4375">
        <f>_xlfn.LET(_xlpm.dir,Table1[[#This Row],[Direction]],
IF(_xlpm.dir="L",
    IF(F4374-Table1[[#This Row],[Steps]]&lt;0,100+(F4374-Table1[[#This Row],[Steps]]),F4374-Table1[[#This Row],[Steps]]),
))</f>
        <v>0</v>
      </c>
      <c r="E4375">
        <f>_xlfn.LET(_xlpm.dir,Table1[[#This Row],[Direction]],
IF(_xlpm.dir="R",
    IF(F4374+Table1[[#This Row],[Steps]]&gt;99,(F4374+Table1[[#This Row],[Steps]])-100,F4374+Table1[[#This Row],[Steps]]),
))</f>
        <v>90</v>
      </c>
      <c r="F4375">
        <f>IF(Table1[[#This Row],[New Pos L]]&lt;&gt;0,Table1[[#This Row],[New Pos L]],Table1[[#This Row],[New Pos R]])</f>
        <v>90</v>
      </c>
    </row>
    <row r="4376" spans="1:6" ht="16" x14ac:dyDescent="0.2">
      <c r="A4376" s="1" t="s">
        <v>25</v>
      </c>
      <c r="B4376" t="str">
        <f>LEFT(Table1[[#This Row],[Input]],1)</f>
        <v>L</v>
      </c>
      <c r="C4376">
        <f>_xlfn.LET(_xlpm.steps,SUBSTITUTE(Table1[[#This Row],[Input]],Table1[[#This Row],[Direction]],""),VALUE(IF(LEN(_xlpm.steps)&gt;2,RIGHT(_xlpm.steps,2),_xlpm.steps)))</f>
        <v>20</v>
      </c>
      <c r="D4376">
        <f>_xlfn.LET(_xlpm.dir,Table1[[#This Row],[Direction]],
IF(_xlpm.dir="L",
    IF(F4375-Table1[[#This Row],[Steps]]&lt;0,100+(F4375-Table1[[#This Row],[Steps]]),F4375-Table1[[#This Row],[Steps]]),
))</f>
        <v>70</v>
      </c>
      <c r="E4376">
        <f>_xlfn.LET(_xlpm.dir,Table1[[#This Row],[Direction]],
IF(_xlpm.dir="R",
    IF(F4375+Table1[[#This Row],[Steps]]&gt;99,(F4375+Table1[[#This Row],[Steps]])-100,F4375+Table1[[#This Row],[Steps]]),
))</f>
        <v>0</v>
      </c>
      <c r="F4376">
        <f>IF(Table1[[#This Row],[New Pos L]]&lt;&gt;0,Table1[[#This Row],[New Pos L]],Table1[[#This Row],[New Pos R]])</f>
        <v>70</v>
      </c>
    </row>
    <row r="4377" spans="1:6" ht="16" x14ac:dyDescent="0.2">
      <c r="A4377" s="1" t="s">
        <v>54</v>
      </c>
      <c r="B4377" t="str">
        <f>LEFT(Table1[[#This Row],[Input]],1)</f>
        <v>L</v>
      </c>
      <c r="C4377">
        <f>_xlfn.LET(_xlpm.steps,SUBSTITUTE(Table1[[#This Row],[Input]],Table1[[#This Row],[Direction]],""),VALUE(IF(LEN(_xlpm.steps)&gt;2,RIGHT(_xlpm.steps,2),_xlpm.steps)))</f>
        <v>75</v>
      </c>
      <c r="D4377">
        <f>_xlfn.LET(_xlpm.dir,Table1[[#This Row],[Direction]],
IF(_xlpm.dir="L",
    IF(F4376-Table1[[#This Row],[Steps]]&lt;0,100+(F4376-Table1[[#This Row],[Steps]]),F4376-Table1[[#This Row],[Steps]]),
))</f>
        <v>95</v>
      </c>
      <c r="E4377">
        <f>_xlfn.LET(_xlpm.dir,Table1[[#This Row],[Direction]],
IF(_xlpm.dir="R",
    IF(F4376+Table1[[#This Row],[Steps]]&gt;99,(F4376+Table1[[#This Row],[Steps]])-100,F4376+Table1[[#This Row],[Steps]]),
))</f>
        <v>0</v>
      </c>
      <c r="F4377">
        <f>IF(Table1[[#This Row],[New Pos L]]&lt;&gt;0,Table1[[#This Row],[New Pos L]],Table1[[#This Row],[New Pos R]])</f>
        <v>95</v>
      </c>
    </row>
    <row r="4378" spans="1:6" ht="16" x14ac:dyDescent="0.2">
      <c r="A4378" s="1" t="s">
        <v>874</v>
      </c>
      <c r="B4378" t="str">
        <f>LEFT(Table1[[#This Row],[Input]],1)</f>
        <v>L</v>
      </c>
      <c r="C4378">
        <f>_xlfn.LET(_xlpm.steps,SUBSTITUTE(Table1[[#This Row],[Input]],Table1[[#This Row],[Direction]],""),VALUE(IF(LEN(_xlpm.steps)&gt;2,RIGHT(_xlpm.steps,2),_xlpm.steps)))</f>
        <v>95</v>
      </c>
      <c r="D4378">
        <f>_xlfn.LET(_xlpm.dir,Table1[[#This Row],[Direction]],
IF(_xlpm.dir="L",
    IF(F4377-Table1[[#This Row],[Steps]]&lt;0,100+(F4377-Table1[[#This Row],[Steps]]),F4377-Table1[[#This Row],[Steps]]),
))</f>
        <v>0</v>
      </c>
      <c r="E4378">
        <f>_xlfn.LET(_xlpm.dir,Table1[[#This Row],[Direction]],
IF(_xlpm.dir="R",
    IF(F4377+Table1[[#This Row],[Steps]]&gt;99,(F4377+Table1[[#This Row],[Steps]])-100,F4377+Table1[[#This Row],[Steps]]),
))</f>
        <v>0</v>
      </c>
      <c r="F4378">
        <f>IF(Table1[[#This Row],[New Pos L]]&lt;&gt;0,Table1[[#This Row],[New Pos L]],Table1[[#This Row],[New Pos R]])</f>
        <v>0</v>
      </c>
    </row>
    <row r="4379" spans="1:6" ht="16" x14ac:dyDescent="0.2">
      <c r="A4379" s="1" t="s">
        <v>875</v>
      </c>
      <c r="B4379" t="str">
        <f>LEFT(Table1[[#This Row],[Input]],1)</f>
        <v>L</v>
      </c>
      <c r="C4379">
        <f>_xlfn.LET(_xlpm.steps,SUBSTITUTE(Table1[[#This Row],[Input]],Table1[[#This Row],[Direction]],""),VALUE(IF(LEN(_xlpm.steps)&gt;2,RIGHT(_xlpm.steps,2),_xlpm.steps)))</f>
        <v>28</v>
      </c>
      <c r="D4379">
        <f>_xlfn.LET(_xlpm.dir,Table1[[#This Row],[Direction]],
IF(_xlpm.dir="L",
    IF(F4378-Table1[[#This Row],[Steps]]&lt;0,100+(F4378-Table1[[#This Row],[Steps]]),F4378-Table1[[#This Row],[Steps]]),
))</f>
        <v>72</v>
      </c>
      <c r="E4379">
        <f>_xlfn.LET(_xlpm.dir,Table1[[#This Row],[Direction]],
IF(_xlpm.dir="R",
    IF(F4378+Table1[[#This Row],[Steps]]&gt;99,(F4378+Table1[[#This Row],[Steps]])-100,F4378+Table1[[#This Row],[Steps]]),
))</f>
        <v>0</v>
      </c>
      <c r="F4379">
        <f>IF(Table1[[#This Row],[New Pos L]]&lt;&gt;0,Table1[[#This Row],[New Pos L]],Table1[[#This Row],[New Pos R]])</f>
        <v>72</v>
      </c>
    </row>
    <row r="4380" spans="1:6" ht="16" x14ac:dyDescent="0.2">
      <c r="A4380" s="1" t="s">
        <v>151</v>
      </c>
      <c r="B4380" t="str">
        <f>LEFT(Table1[[#This Row],[Input]],1)</f>
        <v>L</v>
      </c>
      <c r="C4380">
        <f>_xlfn.LET(_xlpm.steps,SUBSTITUTE(Table1[[#This Row],[Input]],Table1[[#This Row],[Direction]],""),VALUE(IF(LEN(_xlpm.steps)&gt;2,RIGHT(_xlpm.steps,2),_xlpm.steps)))</f>
        <v>74</v>
      </c>
      <c r="D4380">
        <f>_xlfn.LET(_xlpm.dir,Table1[[#This Row],[Direction]],
IF(_xlpm.dir="L",
    IF(F4379-Table1[[#This Row],[Steps]]&lt;0,100+(F4379-Table1[[#This Row],[Steps]]),F4379-Table1[[#This Row],[Steps]]),
))</f>
        <v>98</v>
      </c>
      <c r="E4380">
        <f>_xlfn.LET(_xlpm.dir,Table1[[#This Row],[Direction]],
IF(_xlpm.dir="R",
    IF(F4379+Table1[[#This Row],[Steps]]&gt;99,(F4379+Table1[[#This Row],[Steps]])-100,F4379+Table1[[#This Row],[Steps]]),
))</f>
        <v>0</v>
      </c>
      <c r="F4380">
        <f>IF(Table1[[#This Row],[New Pos L]]&lt;&gt;0,Table1[[#This Row],[New Pos L]],Table1[[#This Row],[New Pos R]])</f>
        <v>98</v>
      </c>
    </row>
    <row r="4381" spans="1:6" ht="16" x14ac:dyDescent="0.2">
      <c r="A4381" s="1" t="s">
        <v>88</v>
      </c>
      <c r="B4381" t="str">
        <f>LEFT(Table1[[#This Row],[Input]],1)</f>
        <v>R</v>
      </c>
      <c r="C4381">
        <f>_xlfn.LET(_xlpm.steps,SUBSTITUTE(Table1[[#This Row],[Input]],Table1[[#This Row],[Direction]],""),VALUE(IF(LEN(_xlpm.steps)&gt;2,RIGHT(_xlpm.steps,2),_xlpm.steps)))</f>
        <v>53</v>
      </c>
      <c r="D4381">
        <f>_xlfn.LET(_xlpm.dir,Table1[[#This Row],[Direction]],
IF(_xlpm.dir="L",
    IF(F4380-Table1[[#This Row],[Steps]]&lt;0,100+(F4380-Table1[[#This Row],[Steps]]),F4380-Table1[[#This Row],[Steps]]),
))</f>
        <v>0</v>
      </c>
      <c r="E4381">
        <f>_xlfn.LET(_xlpm.dir,Table1[[#This Row],[Direction]],
IF(_xlpm.dir="R",
    IF(F4380+Table1[[#This Row],[Steps]]&gt;99,(F4380+Table1[[#This Row],[Steps]])-100,F4380+Table1[[#This Row],[Steps]]),
))</f>
        <v>51</v>
      </c>
      <c r="F4381">
        <f>IF(Table1[[#This Row],[New Pos L]]&lt;&gt;0,Table1[[#This Row],[New Pos L]],Table1[[#This Row],[New Pos R]])</f>
        <v>51</v>
      </c>
    </row>
    <row r="4382" spans="1:6" ht="16" x14ac:dyDescent="0.2">
      <c r="A4382" s="1" t="s">
        <v>54</v>
      </c>
      <c r="B4382" t="str">
        <f>LEFT(Table1[[#This Row],[Input]],1)</f>
        <v>L</v>
      </c>
      <c r="C4382">
        <f>_xlfn.LET(_xlpm.steps,SUBSTITUTE(Table1[[#This Row],[Input]],Table1[[#This Row],[Direction]],""),VALUE(IF(LEN(_xlpm.steps)&gt;2,RIGHT(_xlpm.steps,2),_xlpm.steps)))</f>
        <v>75</v>
      </c>
      <c r="D4382">
        <f>_xlfn.LET(_xlpm.dir,Table1[[#This Row],[Direction]],
IF(_xlpm.dir="L",
    IF(F4381-Table1[[#This Row],[Steps]]&lt;0,100+(F4381-Table1[[#This Row],[Steps]]),F4381-Table1[[#This Row],[Steps]]),
))</f>
        <v>76</v>
      </c>
      <c r="E4382">
        <f>_xlfn.LET(_xlpm.dir,Table1[[#This Row],[Direction]],
IF(_xlpm.dir="R",
    IF(F4381+Table1[[#This Row],[Steps]]&gt;99,(F4381+Table1[[#This Row],[Steps]])-100,F4381+Table1[[#This Row],[Steps]]),
))</f>
        <v>0</v>
      </c>
      <c r="F4382">
        <f>IF(Table1[[#This Row],[New Pos L]]&lt;&gt;0,Table1[[#This Row],[New Pos L]],Table1[[#This Row],[New Pos R]])</f>
        <v>76</v>
      </c>
    </row>
    <row r="4383" spans="1:6" ht="16" x14ac:dyDescent="0.2">
      <c r="A4383" s="1" t="s">
        <v>182</v>
      </c>
      <c r="B4383" t="str">
        <f>LEFT(Table1[[#This Row],[Input]],1)</f>
        <v>L</v>
      </c>
      <c r="C4383">
        <f>_xlfn.LET(_xlpm.steps,SUBSTITUTE(Table1[[#This Row],[Input]],Table1[[#This Row],[Direction]],""),VALUE(IF(LEN(_xlpm.steps)&gt;2,RIGHT(_xlpm.steps,2),_xlpm.steps)))</f>
        <v>3</v>
      </c>
      <c r="D4383">
        <f>_xlfn.LET(_xlpm.dir,Table1[[#This Row],[Direction]],
IF(_xlpm.dir="L",
    IF(F4382-Table1[[#This Row],[Steps]]&lt;0,100+(F4382-Table1[[#This Row],[Steps]]),F4382-Table1[[#This Row],[Steps]]),
))</f>
        <v>73</v>
      </c>
      <c r="E4383">
        <f>_xlfn.LET(_xlpm.dir,Table1[[#This Row],[Direction]],
IF(_xlpm.dir="R",
    IF(F4382+Table1[[#This Row],[Steps]]&gt;99,(F4382+Table1[[#This Row],[Steps]])-100,F4382+Table1[[#This Row],[Steps]]),
))</f>
        <v>0</v>
      </c>
      <c r="F4383">
        <f>IF(Table1[[#This Row],[New Pos L]]&lt;&gt;0,Table1[[#This Row],[New Pos L]],Table1[[#This Row],[New Pos R]])</f>
        <v>73</v>
      </c>
    </row>
    <row r="4384" spans="1:6" ht="16" x14ac:dyDescent="0.2">
      <c r="A4384" s="1" t="s">
        <v>35</v>
      </c>
      <c r="B4384" t="str">
        <f>LEFT(Table1[[#This Row],[Input]],1)</f>
        <v>L</v>
      </c>
      <c r="C4384">
        <f>_xlfn.LET(_xlpm.steps,SUBSTITUTE(Table1[[#This Row],[Input]],Table1[[#This Row],[Direction]],""),VALUE(IF(LEN(_xlpm.steps)&gt;2,RIGHT(_xlpm.steps,2),_xlpm.steps)))</f>
        <v>2</v>
      </c>
      <c r="D4384">
        <f>_xlfn.LET(_xlpm.dir,Table1[[#This Row],[Direction]],
IF(_xlpm.dir="L",
    IF(F4383-Table1[[#This Row],[Steps]]&lt;0,100+(F4383-Table1[[#This Row],[Steps]]),F4383-Table1[[#This Row],[Steps]]),
))</f>
        <v>71</v>
      </c>
      <c r="E4384">
        <f>_xlfn.LET(_xlpm.dir,Table1[[#This Row],[Direction]],
IF(_xlpm.dir="R",
    IF(F4383+Table1[[#This Row],[Steps]]&gt;99,(F4383+Table1[[#This Row],[Steps]])-100,F4383+Table1[[#This Row],[Steps]]),
))</f>
        <v>0</v>
      </c>
      <c r="F4384">
        <f>IF(Table1[[#This Row],[New Pos L]]&lt;&gt;0,Table1[[#This Row],[New Pos L]],Table1[[#This Row],[New Pos R]])</f>
        <v>71</v>
      </c>
    </row>
    <row r="4385" spans="1:6" ht="16" x14ac:dyDescent="0.2">
      <c r="A4385" s="1" t="s">
        <v>94</v>
      </c>
      <c r="B4385" t="str">
        <f>LEFT(Table1[[#This Row],[Input]],1)</f>
        <v>L</v>
      </c>
      <c r="C4385">
        <f>_xlfn.LET(_xlpm.steps,SUBSTITUTE(Table1[[#This Row],[Input]],Table1[[#This Row],[Direction]],""),VALUE(IF(LEN(_xlpm.steps)&gt;2,RIGHT(_xlpm.steps,2),_xlpm.steps)))</f>
        <v>71</v>
      </c>
      <c r="D4385">
        <f>_xlfn.LET(_xlpm.dir,Table1[[#This Row],[Direction]],
IF(_xlpm.dir="L",
    IF(F4384-Table1[[#This Row],[Steps]]&lt;0,100+(F4384-Table1[[#This Row],[Steps]]),F4384-Table1[[#This Row],[Steps]]),
))</f>
        <v>0</v>
      </c>
      <c r="E4385">
        <f>_xlfn.LET(_xlpm.dir,Table1[[#This Row],[Direction]],
IF(_xlpm.dir="R",
    IF(F4384+Table1[[#This Row],[Steps]]&gt;99,(F4384+Table1[[#This Row],[Steps]])-100,F4384+Table1[[#This Row],[Steps]]),
))</f>
        <v>0</v>
      </c>
      <c r="F4385">
        <f>IF(Table1[[#This Row],[New Pos L]]&lt;&gt;0,Table1[[#This Row],[New Pos L]],Table1[[#This Row],[New Pos R]])</f>
        <v>0</v>
      </c>
    </row>
    <row r="4386" spans="1:6" ht="16" x14ac:dyDescent="0.2">
      <c r="A4386" s="1" t="s">
        <v>137</v>
      </c>
      <c r="B4386" t="str">
        <f>LEFT(Table1[[#This Row],[Input]],1)</f>
        <v>R</v>
      </c>
      <c r="C4386">
        <f>_xlfn.LET(_xlpm.steps,SUBSTITUTE(Table1[[#This Row],[Input]],Table1[[#This Row],[Direction]],""),VALUE(IF(LEN(_xlpm.steps)&gt;2,RIGHT(_xlpm.steps,2),_xlpm.steps)))</f>
        <v>28</v>
      </c>
      <c r="D4386">
        <f>_xlfn.LET(_xlpm.dir,Table1[[#This Row],[Direction]],
IF(_xlpm.dir="L",
    IF(F4385-Table1[[#This Row],[Steps]]&lt;0,100+(F4385-Table1[[#This Row],[Steps]]),F4385-Table1[[#This Row],[Steps]]),
))</f>
        <v>0</v>
      </c>
      <c r="E4386">
        <f>_xlfn.LET(_xlpm.dir,Table1[[#This Row],[Direction]],
IF(_xlpm.dir="R",
    IF(F4385+Table1[[#This Row],[Steps]]&gt;99,(F4385+Table1[[#This Row],[Steps]])-100,F4385+Table1[[#This Row],[Steps]]),
))</f>
        <v>28</v>
      </c>
      <c r="F4386">
        <f>IF(Table1[[#This Row],[New Pos L]]&lt;&gt;0,Table1[[#This Row],[New Pos L]],Table1[[#This Row],[New Pos R]])</f>
        <v>28</v>
      </c>
    </row>
    <row r="4387" spans="1:6" ht="16" x14ac:dyDescent="0.2">
      <c r="A4387" s="1" t="s">
        <v>98</v>
      </c>
      <c r="B4387" t="str">
        <f>LEFT(Table1[[#This Row],[Input]],1)</f>
        <v>L</v>
      </c>
      <c r="C4387">
        <f>_xlfn.LET(_xlpm.steps,SUBSTITUTE(Table1[[#This Row],[Input]],Table1[[#This Row],[Direction]],""),VALUE(IF(LEN(_xlpm.steps)&gt;2,RIGHT(_xlpm.steps,2),_xlpm.steps)))</f>
        <v>65</v>
      </c>
      <c r="D4387">
        <f>_xlfn.LET(_xlpm.dir,Table1[[#This Row],[Direction]],
IF(_xlpm.dir="L",
    IF(F4386-Table1[[#This Row],[Steps]]&lt;0,100+(F4386-Table1[[#This Row],[Steps]]),F4386-Table1[[#This Row],[Steps]]),
))</f>
        <v>63</v>
      </c>
      <c r="E4387">
        <f>_xlfn.LET(_xlpm.dir,Table1[[#This Row],[Direction]],
IF(_xlpm.dir="R",
    IF(F4386+Table1[[#This Row],[Steps]]&gt;99,(F4386+Table1[[#This Row],[Steps]])-100,F4386+Table1[[#This Row],[Steps]]),
))</f>
        <v>0</v>
      </c>
      <c r="F4387">
        <f>IF(Table1[[#This Row],[New Pos L]]&lt;&gt;0,Table1[[#This Row],[New Pos L]],Table1[[#This Row],[New Pos R]])</f>
        <v>63</v>
      </c>
    </row>
    <row r="4388" spans="1:6" ht="16" x14ac:dyDescent="0.2">
      <c r="A4388" s="1" t="s">
        <v>165</v>
      </c>
      <c r="B4388" t="str">
        <f>LEFT(Table1[[#This Row],[Input]],1)</f>
        <v>R</v>
      </c>
      <c r="C4388">
        <f>_xlfn.LET(_xlpm.steps,SUBSTITUTE(Table1[[#This Row],[Input]],Table1[[#This Row],[Direction]],""),VALUE(IF(LEN(_xlpm.steps)&gt;2,RIGHT(_xlpm.steps,2),_xlpm.steps)))</f>
        <v>55</v>
      </c>
      <c r="D4388">
        <f>_xlfn.LET(_xlpm.dir,Table1[[#This Row],[Direction]],
IF(_xlpm.dir="L",
    IF(F4387-Table1[[#This Row],[Steps]]&lt;0,100+(F4387-Table1[[#This Row],[Steps]]),F4387-Table1[[#This Row],[Steps]]),
))</f>
        <v>0</v>
      </c>
      <c r="E4388">
        <f>_xlfn.LET(_xlpm.dir,Table1[[#This Row],[Direction]],
IF(_xlpm.dir="R",
    IF(F4387+Table1[[#This Row],[Steps]]&gt;99,(F4387+Table1[[#This Row],[Steps]])-100,F4387+Table1[[#This Row],[Steps]]),
))</f>
        <v>18</v>
      </c>
      <c r="F4388">
        <f>IF(Table1[[#This Row],[New Pos L]]&lt;&gt;0,Table1[[#This Row],[New Pos L]],Table1[[#This Row],[New Pos R]])</f>
        <v>18</v>
      </c>
    </row>
    <row r="4389" spans="1:6" ht="16" x14ac:dyDescent="0.2">
      <c r="A4389" s="1" t="s">
        <v>16</v>
      </c>
      <c r="B4389" t="str">
        <f>LEFT(Table1[[#This Row],[Input]],1)</f>
        <v>L</v>
      </c>
      <c r="C4389">
        <f>_xlfn.LET(_xlpm.steps,SUBSTITUTE(Table1[[#This Row],[Input]],Table1[[#This Row],[Direction]],""),VALUE(IF(LEN(_xlpm.steps)&gt;2,RIGHT(_xlpm.steps,2),_xlpm.steps)))</f>
        <v>10</v>
      </c>
      <c r="D4389">
        <f>_xlfn.LET(_xlpm.dir,Table1[[#This Row],[Direction]],
IF(_xlpm.dir="L",
    IF(F4388-Table1[[#This Row],[Steps]]&lt;0,100+(F4388-Table1[[#This Row],[Steps]]),F4388-Table1[[#This Row],[Steps]]),
))</f>
        <v>8</v>
      </c>
      <c r="E4389">
        <f>_xlfn.LET(_xlpm.dir,Table1[[#This Row],[Direction]],
IF(_xlpm.dir="R",
    IF(F4388+Table1[[#This Row],[Steps]]&gt;99,(F4388+Table1[[#This Row],[Steps]])-100,F4388+Table1[[#This Row],[Steps]]),
))</f>
        <v>0</v>
      </c>
      <c r="F4389">
        <f>IF(Table1[[#This Row],[New Pos L]]&lt;&gt;0,Table1[[#This Row],[New Pos L]],Table1[[#This Row],[New Pos R]])</f>
        <v>8</v>
      </c>
    </row>
    <row r="4390" spans="1:6" ht="16" x14ac:dyDescent="0.2">
      <c r="A4390" s="1" t="s">
        <v>792</v>
      </c>
      <c r="B4390" t="str">
        <f>LEFT(Table1[[#This Row],[Input]],1)</f>
        <v>R</v>
      </c>
      <c r="C4390">
        <f>_xlfn.LET(_xlpm.steps,SUBSTITUTE(Table1[[#This Row],[Input]],Table1[[#This Row],[Direction]],""),VALUE(IF(LEN(_xlpm.steps)&gt;2,RIGHT(_xlpm.steps,2),_xlpm.steps)))</f>
        <v>92</v>
      </c>
      <c r="D4390">
        <f>_xlfn.LET(_xlpm.dir,Table1[[#This Row],[Direction]],
IF(_xlpm.dir="L",
    IF(F4389-Table1[[#This Row],[Steps]]&lt;0,100+(F4389-Table1[[#This Row],[Steps]]),F4389-Table1[[#This Row],[Steps]]),
))</f>
        <v>0</v>
      </c>
      <c r="E4390">
        <f>_xlfn.LET(_xlpm.dir,Table1[[#This Row],[Direction]],
IF(_xlpm.dir="R",
    IF(F4389+Table1[[#This Row],[Steps]]&gt;99,(F4389+Table1[[#This Row],[Steps]])-100,F4389+Table1[[#This Row],[Steps]]),
))</f>
        <v>0</v>
      </c>
      <c r="F4390">
        <f>IF(Table1[[#This Row],[New Pos L]]&lt;&gt;0,Table1[[#This Row],[New Pos L]],Table1[[#This Row],[New Pos R]])</f>
        <v>0</v>
      </c>
    </row>
    <row r="4391" spans="1:6" ht="16" x14ac:dyDescent="0.2">
      <c r="A4391" s="1" t="s">
        <v>59</v>
      </c>
      <c r="B4391" t="str">
        <f>LEFT(Table1[[#This Row],[Input]],1)</f>
        <v>L</v>
      </c>
      <c r="C4391">
        <f>_xlfn.LET(_xlpm.steps,SUBSTITUTE(Table1[[#This Row],[Input]],Table1[[#This Row],[Direction]],""),VALUE(IF(LEN(_xlpm.steps)&gt;2,RIGHT(_xlpm.steps,2),_xlpm.steps)))</f>
        <v>6</v>
      </c>
      <c r="D4391">
        <f>_xlfn.LET(_xlpm.dir,Table1[[#This Row],[Direction]],
IF(_xlpm.dir="L",
    IF(F4390-Table1[[#This Row],[Steps]]&lt;0,100+(F4390-Table1[[#This Row],[Steps]]),F4390-Table1[[#This Row],[Steps]]),
))</f>
        <v>94</v>
      </c>
      <c r="E4391">
        <f>_xlfn.LET(_xlpm.dir,Table1[[#This Row],[Direction]],
IF(_xlpm.dir="R",
    IF(F4390+Table1[[#This Row],[Steps]]&gt;99,(F4390+Table1[[#This Row],[Steps]])-100,F4390+Table1[[#This Row],[Steps]]),
))</f>
        <v>0</v>
      </c>
      <c r="F4391">
        <f>IF(Table1[[#This Row],[New Pos L]]&lt;&gt;0,Table1[[#This Row],[New Pos L]],Table1[[#This Row],[New Pos R]])</f>
        <v>94</v>
      </c>
    </row>
    <row r="4392" spans="1:6" ht="16" x14ac:dyDescent="0.2">
      <c r="A4392" s="1" t="s">
        <v>861</v>
      </c>
      <c r="B4392" t="str">
        <f>LEFT(Table1[[#This Row],[Input]],1)</f>
        <v>R</v>
      </c>
      <c r="C4392">
        <f>_xlfn.LET(_xlpm.steps,SUBSTITUTE(Table1[[#This Row],[Input]],Table1[[#This Row],[Direction]],""),VALUE(IF(LEN(_xlpm.steps)&gt;2,RIGHT(_xlpm.steps,2),_xlpm.steps)))</f>
        <v>25</v>
      </c>
      <c r="D4392">
        <f>_xlfn.LET(_xlpm.dir,Table1[[#This Row],[Direction]],
IF(_xlpm.dir="L",
    IF(F4391-Table1[[#This Row],[Steps]]&lt;0,100+(F4391-Table1[[#This Row],[Steps]]),F4391-Table1[[#This Row],[Steps]]),
))</f>
        <v>0</v>
      </c>
      <c r="E4392">
        <f>_xlfn.LET(_xlpm.dir,Table1[[#This Row],[Direction]],
IF(_xlpm.dir="R",
    IF(F4391+Table1[[#This Row],[Steps]]&gt;99,(F4391+Table1[[#This Row],[Steps]])-100,F4391+Table1[[#This Row],[Steps]]),
))</f>
        <v>19</v>
      </c>
      <c r="F4392">
        <f>IF(Table1[[#This Row],[New Pos L]]&lt;&gt;0,Table1[[#This Row],[New Pos L]],Table1[[#This Row],[New Pos R]])</f>
        <v>19</v>
      </c>
    </row>
    <row r="4393" spans="1:6" ht="16" x14ac:dyDescent="0.2">
      <c r="A4393" s="1" t="s">
        <v>187</v>
      </c>
      <c r="B4393" t="str">
        <f>LEFT(Table1[[#This Row],[Input]],1)</f>
        <v>R</v>
      </c>
      <c r="C4393">
        <f>_xlfn.LET(_xlpm.steps,SUBSTITUTE(Table1[[#This Row],[Input]],Table1[[#This Row],[Direction]],""),VALUE(IF(LEN(_xlpm.steps)&gt;2,RIGHT(_xlpm.steps,2),_xlpm.steps)))</f>
        <v>20</v>
      </c>
      <c r="D4393">
        <f>_xlfn.LET(_xlpm.dir,Table1[[#This Row],[Direction]],
IF(_xlpm.dir="L",
    IF(F4392-Table1[[#This Row],[Steps]]&lt;0,100+(F4392-Table1[[#This Row],[Steps]]),F4392-Table1[[#This Row],[Steps]]),
))</f>
        <v>0</v>
      </c>
      <c r="E4393">
        <f>_xlfn.LET(_xlpm.dir,Table1[[#This Row],[Direction]],
IF(_xlpm.dir="R",
    IF(F4392+Table1[[#This Row],[Steps]]&gt;99,(F4392+Table1[[#This Row],[Steps]])-100,F4392+Table1[[#This Row],[Steps]]),
))</f>
        <v>39</v>
      </c>
      <c r="F4393">
        <f>IF(Table1[[#This Row],[New Pos L]]&lt;&gt;0,Table1[[#This Row],[New Pos L]],Table1[[#This Row],[New Pos R]])</f>
        <v>39</v>
      </c>
    </row>
    <row r="4394" spans="1:6" ht="16" x14ac:dyDescent="0.2">
      <c r="A4394" s="1" t="s">
        <v>267</v>
      </c>
      <c r="B4394" t="str">
        <f>LEFT(Table1[[#This Row],[Input]],1)</f>
        <v>L</v>
      </c>
      <c r="C4394">
        <f>_xlfn.LET(_xlpm.steps,SUBSTITUTE(Table1[[#This Row],[Input]],Table1[[#This Row],[Direction]],""),VALUE(IF(LEN(_xlpm.steps)&gt;2,RIGHT(_xlpm.steps,2),_xlpm.steps)))</f>
        <v>39</v>
      </c>
      <c r="D4394">
        <f>_xlfn.LET(_xlpm.dir,Table1[[#This Row],[Direction]],
IF(_xlpm.dir="L",
    IF(F4393-Table1[[#This Row],[Steps]]&lt;0,100+(F4393-Table1[[#This Row],[Steps]]),F4393-Table1[[#This Row],[Steps]]),
))</f>
        <v>0</v>
      </c>
      <c r="E4394">
        <f>_xlfn.LET(_xlpm.dir,Table1[[#This Row],[Direction]],
IF(_xlpm.dir="R",
    IF(F4393+Table1[[#This Row],[Steps]]&gt;99,(F4393+Table1[[#This Row],[Steps]])-100,F4393+Table1[[#This Row],[Steps]]),
))</f>
        <v>0</v>
      </c>
      <c r="F4394">
        <f>IF(Table1[[#This Row],[New Pos L]]&lt;&gt;0,Table1[[#This Row],[New Pos L]],Table1[[#This Row],[New Pos R]])</f>
        <v>0</v>
      </c>
    </row>
    <row r="4395" spans="1:6" ht="16" x14ac:dyDescent="0.2">
      <c r="A4395" s="1" t="s">
        <v>30</v>
      </c>
      <c r="B4395" t="str">
        <f>LEFT(Table1[[#This Row],[Input]],1)</f>
        <v>R</v>
      </c>
      <c r="C4395">
        <f>_xlfn.LET(_xlpm.steps,SUBSTITUTE(Table1[[#This Row],[Input]],Table1[[#This Row],[Direction]],""),VALUE(IF(LEN(_xlpm.steps)&gt;2,RIGHT(_xlpm.steps,2),_xlpm.steps)))</f>
        <v>48</v>
      </c>
      <c r="D4395">
        <f>_xlfn.LET(_xlpm.dir,Table1[[#This Row],[Direction]],
IF(_xlpm.dir="L",
    IF(F4394-Table1[[#This Row],[Steps]]&lt;0,100+(F4394-Table1[[#This Row],[Steps]]),F4394-Table1[[#This Row],[Steps]]),
))</f>
        <v>0</v>
      </c>
      <c r="E4395">
        <f>_xlfn.LET(_xlpm.dir,Table1[[#This Row],[Direction]],
IF(_xlpm.dir="R",
    IF(F4394+Table1[[#This Row],[Steps]]&gt;99,(F4394+Table1[[#This Row],[Steps]])-100,F4394+Table1[[#This Row],[Steps]]),
))</f>
        <v>48</v>
      </c>
      <c r="F4395">
        <f>IF(Table1[[#This Row],[New Pos L]]&lt;&gt;0,Table1[[#This Row],[New Pos L]],Table1[[#This Row],[New Pos R]])</f>
        <v>48</v>
      </c>
    </row>
    <row r="4396" spans="1:6" ht="16" x14ac:dyDescent="0.2">
      <c r="A4396" s="1" t="s">
        <v>876</v>
      </c>
      <c r="B4396" t="str">
        <f>LEFT(Table1[[#This Row],[Input]],1)</f>
        <v>L</v>
      </c>
      <c r="C4396">
        <f>_xlfn.LET(_xlpm.steps,SUBSTITUTE(Table1[[#This Row],[Input]],Table1[[#This Row],[Direction]],""),VALUE(IF(LEN(_xlpm.steps)&gt;2,RIGHT(_xlpm.steps,2),_xlpm.steps)))</f>
        <v>9</v>
      </c>
      <c r="D4396">
        <f>_xlfn.LET(_xlpm.dir,Table1[[#This Row],[Direction]],
IF(_xlpm.dir="L",
    IF(F4395-Table1[[#This Row],[Steps]]&lt;0,100+(F4395-Table1[[#This Row],[Steps]]),F4395-Table1[[#This Row],[Steps]]),
))</f>
        <v>39</v>
      </c>
      <c r="E4396">
        <f>_xlfn.LET(_xlpm.dir,Table1[[#This Row],[Direction]],
IF(_xlpm.dir="R",
    IF(F4395+Table1[[#This Row],[Steps]]&gt;99,(F4395+Table1[[#This Row],[Steps]])-100,F4395+Table1[[#This Row],[Steps]]),
))</f>
        <v>0</v>
      </c>
      <c r="F4396">
        <f>IF(Table1[[#This Row],[New Pos L]]&lt;&gt;0,Table1[[#This Row],[New Pos L]],Table1[[#This Row],[New Pos R]])</f>
        <v>39</v>
      </c>
    </row>
    <row r="4397" spans="1:6" ht="16" x14ac:dyDescent="0.2">
      <c r="A4397" s="1" t="s">
        <v>16</v>
      </c>
      <c r="B4397" t="str">
        <f>LEFT(Table1[[#This Row],[Input]],1)</f>
        <v>L</v>
      </c>
      <c r="C4397">
        <f>_xlfn.LET(_xlpm.steps,SUBSTITUTE(Table1[[#This Row],[Input]],Table1[[#This Row],[Direction]],""),VALUE(IF(LEN(_xlpm.steps)&gt;2,RIGHT(_xlpm.steps,2),_xlpm.steps)))</f>
        <v>10</v>
      </c>
      <c r="D4397">
        <f>_xlfn.LET(_xlpm.dir,Table1[[#This Row],[Direction]],
IF(_xlpm.dir="L",
    IF(F4396-Table1[[#This Row],[Steps]]&lt;0,100+(F4396-Table1[[#This Row],[Steps]]),F4396-Table1[[#This Row],[Steps]]),
))</f>
        <v>29</v>
      </c>
      <c r="E4397">
        <f>_xlfn.LET(_xlpm.dir,Table1[[#This Row],[Direction]],
IF(_xlpm.dir="R",
    IF(F4396+Table1[[#This Row],[Steps]]&gt;99,(F4396+Table1[[#This Row],[Steps]])-100,F4396+Table1[[#This Row],[Steps]]),
))</f>
        <v>0</v>
      </c>
      <c r="F4397">
        <f>IF(Table1[[#This Row],[New Pos L]]&lt;&gt;0,Table1[[#This Row],[New Pos L]],Table1[[#This Row],[New Pos R]])</f>
        <v>29</v>
      </c>
    </row>
    <row r="4398" spans="1:6" ht="16" x14ac:dyDescent="0.2">
      <c r="A4398" s="1" t="s">
        <v>353</v>
      </c>
      <c r="B4398" t="str">
        <f>LEFT(Table1[[#This Row],[Input]],1)</f>
        <v>R</v>
      </c>
      <c r="C4398">
        <f>_xlfn.LET(_xlpm.steps,SUBSTITUTE(Table1[[#This Row],[Input]],Table1[[#This Row],[Direction]],""),VALUE(IF(LEN(_xlpm.steps)&gt;2,RIGHT(_xlpm.steps,2),_xlpm.steps)))</f>
        <v>7</v>
      </c>
      <c r="D4398">
        <f>_xlfn.LET(_xlpm.dir,Table1[[#This Row],[Direction]],
IF(_xlpm.dir="L",
    IF(F4397-Table1[[#This Row],[Steps]]&lt;0,100+(F4397-Table1[[#This Row],[Steps]]),F4397-Table1[[#This Row],[Steps]]),
))</f>
        <v>0</v>
      </c>
      <c r="E4398">
        <f>_xlfn.LET(_xlpm.dir,Table1[[#This Row],[Direction]],
IF(_xlpm.dir="R",
    IF(F4397+Table1[[#This Row],[Steps]]&gt;99,(F4397+Table1[[#This Row],[Steps]])-100,F4397+Table1[[#This Row],[Steps]]),
))</f>
        <v>36</v>
      </c>
      <c r="F4398">
        <f>IF(Table1[[#This Row],[New Pos L]]&lt;&gt;0,Table1[[#This Row],[New Pos L]],Table1[[#This Row],[New Pos R]])</f>
        <v>36</v>
      </c>
    </row>
    <row r="4399" spans="1:6" ht="16" x14ac:dyDescent="0.2">
      <c r="A4399" s="1" t="s">
        <v>255</v>
      </c>
      <c r="B4399" t="str">
        <f>LEFT(Table1[[#This Row],[Input]],1)</f>
        <v>R</v>
      </c>
      <c r="C4399">
        <f>_xlfn.LET(_xlpm.steps,SUBSTITUTE(Table1[[#This Row],[Input]],Table1[[#This Row],[Direction]],""),VALUE(IF(LEN(_xlpm.steps)&gt;2,RIGHT(_xlpm.steps,2),_xlpm.steps)))</f>
        <v>16</v>
      </c>
      <c r="D4399">
        <f>_xlfn.LET(_xlpm.dir,Table1[[#This Row],[Direction]],
IF(_xlpm.dir="L",
    IF(F4398-Table1[[#This Row],[Steps]]&lt;0,100+(F4398-Table1[[#This Row],[Steps]]),F4398-Table1[[#This Row],[Steps]]),
))</f>
        <v>0</v>
      </c>
      <c r="E4399">
        <f>_xlfn.LET(_xlpm.dir,Table1[[#This Row],[Direction]],
IF(_xlpm.dir="R",
    IF(F4398+Table1[[#This Row],[Steps]]&gt;99,(F4398+Table1[[#This Row],[Steps]])-100,F4398+Table1[[#This Row],[Steps]]),
))</f>
        <v>52</v>
      </c>
      <c r="F4399">
        <f>IF(Table1[[#This Row],[New Pos L]]&lt;&gt;0,Table1[[#This Row],[New Pos L]],Table1[[#This Row],[New Pos R]])</f>
        <v>52</v>
      </c>
    </row>
    <row r="4400" spans="1:6" ht="16" x14ac:dyDescent="0.2">
      <c r="A4400" s="1" t="s">
        <v>767</v>
      </c>
      <c r="B4400" t="str">
        <f>LEFT(Table1[[#This Row],[Input]],1)</f>
        <v>L</v>
      </c>
      <c r="C4400">
        <f>_xlfn.LET(_xlpm.steps,SUBSTITUTE(Table1[[#This Row],[Input]],Table1[[#This Row],[Direction]],""),VALUE(IF(LEN(_xlpm.steps)&gt;2,RIGHT(_xlpm.steps,2),_xlpm.steps)))</f>
        <v>84</v>
      </c>
      <c r="D4400">
        <f>_xlfn.LET(_xlpm.dir,Table1[[#This Row],[Direction]],
IF(_xlpm.dir="L",
    IF(F4399-Table1[[#This Row],[Steps]]&lt;0,100+(F4399-Table1[[#This Row],[Steps]]),F4399-Table1[[#This Row],[Steps]]),
))</f>
        <v>68</v>
      </c>
      <c r="E4400">
        <f>_xlfn.LET(_xlpm.dir,Table1[[#This Row],[Direction]],
IF(_xlpm.dir="R",
    IF(F4399+Table1[[#This Row],[Steps]]&gt;99,(F4399+Table1[[#This Row],[Steps]])-100,F4399+Table1[[#This Row],[Steps]]),
))</f>
        <v>0</v>
      </c>
      <c r="F4400">
        <f>IF(Table1[[#This Row],[New Pos L]]&lt;&gt;0,Table1[[#This Row],[New Pos L]],Table1[[#This Row],[New Pos R]])</f>
        <v>68</v>
      </c>
    </row>
    <row r="4401" spans="1:6" ht="16" x14ac:dyDescent="0.2">
      <c r="A4401" s="1" t="s">
        <v>185</v>
      </c>
      <c r="B4401" t="str">
        <f>LEFT(Table1[[#This Row],[Input]],1)</f>
        <v>R</v>
      </c>
      <c r="C4401">
        <f>_xlfn.LET(_xlpm.steps,SUBSTITUTE(Table1[[#This Row],[Input]],Table1[[#This Row],[Direction]],""),VALUE(IF(LEN(_xlpm.steps)&gt;2,RIGHT(_xlpm.steps,2),_xlpm.steps)))</f>
        <v>61</v>
      </c>
      <c r="D4401">
        <f>_xlfn.LET(_xlpm.dir,Table1[[#This Row],[Direction]],
IF(_xlpm.dir="L",
    IF(F4400-Table1[[#This Row],[Steps]]&lt;0,100+(F4400-Table1[[#This Row],[Steps]]),F4400-Table1[[#This Row],[Steps]]),
))</f>
        <v>0</v>
      </c>
      <c r="E4401">
        <f>_xlfn.LET(_xlpm.dir,Table1[[#This Row],[Direction]],
IF(_xlpm.dir="R",
    IF(F4400+Table1[[#This Row],[Steps]]&gt;99,(F4400+Table1[[#This Row],[Steps]])-100,F4400+Table1[[#This Row],[Steps]]),
))</f>
        <v>29</v>
      </c>
      <c r="F4401">
        <f>IF(Table1[[#This Row],[New Pos L]]&lt;&gt;0,Table1[[#This Row],[New Pos L]],Table1[[#This Row],[New Pos R]])</f>
        <v>29</v>
      </c>
    </row>
    <row r="4402" spans="1:6" ht="16" x14ac:dyDescent="0.2">
      <c r="A4402" s="1" t="s">
        <v>877</v>
      </c>
      <c r="B4402" t="str">
        <f>LEFT(Table1[[#This Row],[Input]],1)</f>
        <v>R</v>
      </c>
      <c r="C4402">
        <f>_xlfn.LET(_xlpm.steps,SUBSTITUTE(Table1[[#This Row],[Input]],Table1[[#This Row],[Direction]],""),VALUE(IF(LEN(_xlpm.steps)&gt;2,RIGHT(_xlpm.steps,2),_xlpm.steps)))</f>
        <v>25</v>
      </c>
      <c r="D4402">
        <f>_xlfn.LET(_xlpm.dir,Table1[[#This Row],[Direction]],
IF(_xlpm.dir="L",
    IF(F4401-Table1[[#This Row],[Steps]]&lt;0,100+(F4401-Table1[[#This Row],[Steps]]),F4401-Table1[[#This Row],[Steps]]),
))</f>
        <v>0</v>
      </c>
      <c r="E4402">
        <f>_xlfn.LET(_xlpm.dir,Table1[[#This Row],[Direction]],
IF(_xlpm.dir="R",
    IF(F4401+Table1[[#This Row],[Steps]]&gt;99,(F4401+Table1[[#This Row],[Steps]])-100,F4401+Table1[[#This Row],[Steps]]),
))</f>
        <v>54</v>
      </c>
      <c r="F4402">
        <f>IF(Table1[[#This Row],[New Pos L]]&lt;&gt;0,Table1[[#This Row],[New Pos L]],Table1[[#This Row],[New Pos R]])</f>
        <v>54</v>
      </c>
    </row>
    <row r="4403" spans="1:6" ht="16" x14ac:dyDescent="0.2">
      <c r="A4403" s="1" t="s">
        <v>179</v>
      </c>
      <c r="B4403" t="str">
        <f>LEFT(Table1[[#This Row],[Input]],1)</f>
        <v>L</v>
      </c>
      <c r="C4403">
        <f>_xlfn.LET(_xlpm.steps,SUBSTITUTE(Table1[[#This Row],[Input]],Table1[[#This Row],[Direction]],""),VALUE(IF(LEN(_xlpm.steps)&gt;2,RIGHT(_xlpm.steps,2),_xlpm.steps)))</f>
        <v>54</v>
      </c>
      <c r="D4403">
        <f>_xlfn.LET(_xlpm.dir,Table1[[#This Row],[Direction]],
IF(_xlpm.dir="L",
    IF(F4402-Table1[[#This Row],[Steps]]&lt;0,100+(F4402-Table1[[#This Row],[Steps]]),F4402-Table1[[#This Row],[Steps]]),
))</f>
        <v>0</v>
      </c>
      <c r="E4403">
        <f>_xlfn.LET(_xlpm.dir,Table1[[#This Row],[Direction]],
IF(_xlpm.dir="R",
    IF(F4402+Table1[[#This Row],[Steps]]&gt;99,(F4402+Table1[[#This Row],[Steps]])-100,F4402+Table1[[#This Row],[Steps]]),
))</f>
        <v>0</v>
      </c>
      <c r="F4403">
        <f>IF(Table1[[#This Row],[New Pos L]]&lt;&gt;0,Table1[[#This Row],[New Pos L]],Table1[[#This Row],[New Pos R]])</f>
        <v>0</v>
      </c>
    </row>
    <row r="4404" spans="1:6" ht="16" x14ac:dyDescent="0.2">
      <c r="A4404" s="1" t="s">
        <v>3</v>
      </c>
      <c r="B4404" t="str">
        <f>LEFT(Table1[[#This Row],[Input]],1)</f>
        <v>R</v>
      </c>
      <c r="C4404">
        <f>_xlfn.LET(_xlpm.steps,SUBSTITUTE(Table1[[#This Row],[Input]],Table1[[#This Row],[Direction]],""),VALUE(IF(LEN(_xlpm.steps)&gt;2,RIGHT(_xlpm.steps,2),_xlpm.steps)))</f>
        <v>44</v>
      </c>
      <c r="D4404">
        <f>_xlfn.LET(_xlpm.dir,Table1[[#This Row],[Direction]],
IF(_xlpm.dir="L",
    IF(F4403-Table1[[#This Row],[Steps]]&lt;0,100+(F4403-Table1[[#This Row],[Steps]]),F4403-Table1[[#This Row],[Steps]]),
))</f>
        <v>0</v>
      </c>
      <c r="E4404">
        <f>_xlfn.LET(_xlpm.dir,Table1[[#This Row],[Direction]],
IF(_xlpm.dir="R",
    IF(F4403+Table1[[#This Row],[Steps]]&gt;99,(F4403+Table1[[#This Row],[Steps]])-100,F4403+Table1[[#This Row],[Steps]]),
))</f>
        <v>44</v>
      </c>
      <c r="F4404">
        <f>IF(Table1[[#This Row],[New Pos L]]&lt;&gt;0,Table1[[#This Row],[New Pos L]],Table1[[#This Row],[New Pos R]])</f>
        <v>44</v>
      </c>
    </row>
    <row r="4405" spans="1:6" ht="16" x14ac:dyDescent="0.2">
      <c r="A4405" s="1" t="s">
        <v>0</v>
      </c>
      <c r="B4405" t="str">
        <f>LEFT(Table1[[#This Row],[Input]],1)</f>
        <v>L</v>
      </c>
      <c r="C4405">
        <f>_xlfn.LET(_xlpm.steps,SUBSTITUTE(Table1[[#This Row],[Input]],Table1[[#This Row],[Direction]],""),VALUE(IF(LEN(_xlpm.steps)&gt;2,RIGHT(_xlpm.steps,2),_xlpm.steps)))</f>
        <v>44</v>
      </c>
      <c r="D4405">
        <f>_xlfn.LET(_xlpm.dir,Table1[[#This Row],[Direction]],
IF(_xlpm.dir="L",
    IF(F4404-Table1[[#This Row],[Steps]]&lt;0,100+(F4404-Table1[[#This Row],[Steps]]),F4404-Table1[[#This Row],[Steps]]),
))</f>
        <v>0</v>
      </c>
      <c r="E4405">
        <f>_xlfn.LET(_xlpm.dir,Table1[[#This Row],[Direction]],
IF(_xlpm.dir="R",
    IF(F4404+Table1[[#This Row],[Steps]]&gt;99,(F4404+Table1[[#This Row],[Steps]])-100,F4404+Table1[[#This Row],[Steps]]),
))</f>
        <v>0</v>
      </c>
      <c r="F4405">
        <f>IF(Table1[[#This Row],[New Pos L]]&lt;&gt;0,Table1[[#This Row],[New Pos L]],Table1[[#This Row],[New Pos R]])</f>
        <v>0</v>
      </c>
    </row>
    <row r="4406" spans="1:6" ht="16" x14ac:dyDescent="0.2">
      <c r="A4406" s="1" t="s">
        <v>417</v>
      </c>
      <c r="B4406" t="str">
        <f>LEFT(Table1[[#This Row],[Input]],1)</f>
        <v>R</v>
      </c>
      <c r="C4406">
        <f>_xlfn.LET(_xlpm.steps,SUBSTITUTE(Table1[[#This Row],[Input]],Table1[[#This Row],[Direction]],""),VALUE(IF(LEN(_xlpm.steps)&gt;2,RIGHT(_xlpm.steps,2),_xlpm.steps)))</f>
        <v>5</v>
      </c>
      <c r="D4406">
        <f>_xlfn.LET(_xlpm.dir,Table1[[#This Row],[Direction]],
IF(_xlpm.dir="L",
    IF(F4405-Table1[[#This Row],[Steps]]&lt;0,100+(F4405-Table1[[#This Row],[Steps]]),F4405-Table1[[#This Row],[Steps]]),
))</f>
        <v>0</v>
      </c>
      <c r="E4406">
        <f>_xlfn.LET(_xlpm.dir,Table1[[#This Row],[Direction]],
IF(_xlpm.dir="R",
    IF(F4405+Table1[[#This Row],[Steps]]&gt;99,(F4405+Table1[[#This Row],[Steps]])-100,F4405+Table1[[#This Row],[Steps]]),
))</f>
        <v>5</v>
      </c>
      <c r="F4406">
        <f>IF(Table1[[#This Row],[New Pos L]]&lt;&gt;0,Table1[[#This Row],[New Pos L]],Table1[[#This Row],[New Pos R]])</f>
        <v>5</v>
      </c>
    </row>
    <row r="4407" spans="1:6" ht="16" x14ac:dyDescent="0.2">
      <c r="A4407" s="1" t="s">
        <v>729</v>
      </c>
      <c r="B4407" t="str">
        <f>LEFT(Table1[[#This Row],[Input]],1)</f>
        <v>L</v>
      </c>
      <c r="C4407">
        <f>_xlfn.LET(_xlpm.steps,SUBSTITUTE(Table1[[#This Row],[Input]],Table1[[#This Row],[Direction]],""),VALUE(IF(LEN(_xlpm.steps)&gt;2,RIGHT(_xlpm.steps,2),_xlpm.steps)))</f>
        <v>68</v>
      </c>
      <c r="D4407">
        <f>_xlfn.LET(_xlpm.dir,Table1[[#This Row],[Direction]],
IF(_xlpm.dir="L",
    IF(F4406-Table1[[#This Row],[Steps]]&lt;0,100+(F4406-Table1[[#This Row],[Steps]]),F4406-Table1[[#This Row],[Steps]]),
))</f>
        <v>37</v>
      </c>
      <c r="E4407">
        <f>_xlfn.LET(_xlpm.dir,Table1[[#This Row],[Direction]],
IF(_xlpm.dir="R",
    IF(F4406+Table1[[#This Row],[Steps]]&gt;99,(F4406+Table1[[#This Row],[Steps]])-100,F4406+Table1[[#This Row],[Steps]]),
))</f>
        <v>0</v>
      </c>
      <c r="F4407">
        <f>IF(Table1[[#This Row],[New Pos L]]&lt;&gt;0,Table1[[#This Row],[New Pos L]],Table1[[#This Row],[New Pos R]])</f>
        <v>37</v>
      </c>
    </row>
    <row r="4408" spans="1:6" ht="16" x14ac:dyDescent="0.2">
      <c r="A4408" s="1" t="s">
        <v>325</v>
      </c>
      <c r="B4408" t="str">
        <f>LEFT(Table1[[#This Row],[Input]],1)</f>
        <v>L</v>
      </c>
      <c r="C4408">
        <f>_xlfn.LET(_xlpm.steps,SUBSTITUTE(Table1[[#This Row],[Input]],Table1[[#This Row],[Direction]],""),VALUE(IF(LEN(_xlpm.steps)&gt;2,RIGHT(_xlpm.steps,2),_xlpm.steps)))</f>
        <v>68</v>
      </c>
      <c r="D4408">
        <f>_xlfn.LET(_xlpm.dir,Table1[[#This Row],[Direction]],
IF(_xlpm.dir="L",
    IF(F4407-Table1[[#This Row],[Steps]]&lt;0,100+(F4407-Table1[[#This Row],[Steps]]),F4407-Table1[[#This Row],[Steps]]),
))</f>
        <v>69</v>
      </c>
      <c r="E4408">
        <f>_xlfn.LET(_xlpm.dir,Table1[[#This Row],[Direction]],
IF(_xlpm.dir="R",
    IF(F4407+Table1[[#This Row],[Steps]]&gt;99,(F4407+Table1[[#This Row],[Steps]])-100,F4407+Table1[[#This Row],[Steps]]),
))</f>
        <v>0</v>
      </c>
      <c r="F4408">
        <f>IF(Table1[[#This Row],[New Pos L]]&lt;&gt;0,Table1[[#This Row],[New Pos L]],Table1[[#This Row],[New Pos R]])</f>
        <v>69</v>
      </c>
    </row>
    <row r="4409" spans="1:6" ht="16" x14ac:dyDescent="0.2">
      <c r="A4409" s="1" t="s">
        <v>482</v>
      </c>
      <c r="B4409" t="str">
        <f>LEFT(Table1[[#This Row],[Input]],1)</f>
        <v>L</v>
      </c>
      <c r="C4409">
        <f>_xlfn.LET(_xlpm.steps,SUBSTITUTE(Table1[[#This Row],[Input]],Table1[[#This Row],[Direction]],""),VALUE(IF(LEN(_xlpm.steps)&gt;2,RIGHT(_xlpm.steps,2),_xlpm.steps)))</f>
        <v>86</v>
      </c>
      <c r="D4409">
        <f>_xlfn.LET(_xlpm.dir,Table1[[#This Row],[Direction]],
IF(_xlpm.dir="L",
    IF(F4408-Table1[[#This Row],[Steps]]&lt;0,100+(F4408-Table1[[#This Row],[Steps]]),F4408-Table1[[#This Row],[Steps]]),
))</f>
        <v>83</v>
      </c>
      <c r="E4409">
        <f>_xlfn.LET(_xlpm.dir,Table1[[#This Row],[Direction]],
IF(_xlpm.dir="R",
    IF(F4408+Table1[[#This Row],[Steps]]&gt;99,(F4408+Table1[[#This Row],[Steps]])-100,F4408+Table1[[#This Row],[Steps]]),
))</f>
        <v>0</v>
      </c>
      <c r="F4409">
        <f>IF(Table1[[#This Row],[New Pos L]]&lt;&gt;0,Table1[[#This Row],[New Pos L]],Table1[[#This Row],[New Pos R]])</f>
        <v>83</v>
      </c>
    </row>
    <row r="4410" spans="1:6" ht="16" x14ac:dyDescent="0.2">
      <c r="A4410" s="1" t="s">
        <v>35</v>
      </c>
      <c r="B4410" t="str">
        <f>LEFT(Table1[[#This Row],[Input]],1)</f>
        <v>L</v>
      </c>
      <c r="C4410">
        <f>_xlfn.LET(_xlpm.steps,SUBSTITUTE(Table1[[#This Row],[Input]],Table1[[#This Row],[Direction]],""),VALUE(IF(LEN(_xlpm.steps)&gt;2,RIGHT(_xlpm.steps,2),_xlpm.steps)))</f>
        <v>2</v>
      </c>
      <c r="D4410">
        <f>_xlfn.LET(_xlpm.dir,Table1[[#This Row],[Direction]],
IF(_xlpm.dir="L",
    IF(F4409-Table1[[#This Row],[Steps]]&lt;0,100+(F4409-Table1[[#This Row],[Steps]]),F4409-Table1[[#This Row],[Steps]]),
))</f>
        <v>81</v>
      </c>
      <c r="E4410">
        <f>_xlfn.LET(_xlpm.dir,Table1[[#This Row],[Direction]],
IF(_xlpm.dir="R",
    IF(F4409+Table1[[#This Row],[Steps]]&gt;99,(F4409+Table1[[#This Row],[Steps]])-100,F4409+Table1[[#This Row],[Steps]]),
))</f>
        <v>0</v>
      </c>
      <c r="F4410">
        <f>IF(Table1[[#This Row],[New Pos L]]&lt;&gt;0,Table1[[#This Row],[New Pos L]],Table1[[#This Row],[New Pos R]])</f>
        <v>81</v>
      </c>
    </row>
    <row r="4411" spans="1:6" ht="16" x14ac:dyDescent="0.2">
      <c r="A4411" s="1" t="s">
        <v>82</v>
      </c>
      <c r="B4411" t="str">
        <f>LEFT(Table1[[#This Row],[Input]],1)</f>
        <v>L</v>
      </c>
      <c r="C4411">
        <f>_xlfn.LET(_xlpm.steps,SUBSTITUTE(Table1[[#This Row],[Input]],Table1[[#This Row],[Direction]],""),VALUE(IF(LEN(_xlpm.steps)&gt;2,RIGHT(_xlpm.steps,2),_xlpm.steps)))</f>
        <v>55</v>
      </c>
      <c r="D4411">
        <f>_xlfn.LET(_xlpm.dir,Table1[[#This Row],[Direction]],
IF(_xlpm.dir="L",
    IF(F4410-Table1[[#This Row],[Steps]]&lt;0,100+(F4410-Table1[[#This Row],[Steps]]),F4410-Table1[[#This Row],[Steps]]),
))</f>
        <v>26</v>
      </c>
      <c r="E4411">
        <f>_xlfn.LET(_xlpm.dir,Table1[[#This Row],[Direction]],
IF(_xlpm.dir="R",
    IF(F4410+Table1[[#This Row],[Steps]]&gt;99,(F4410+Table1[[#This Row],[Steps]])-100,F4410+Table1[[#This Row],[Steps]]),
))</f>
        <v>0</v>
      </c>
      <c r="F4411">
        <f>IF(Table1[[#This Row],[New Pos L]]&lt;&gt;0,Table1[[#This Row],[New Pos L]],Table1[[#This Row],[New Pos R]])</f>
        <v>26</v>
      </c>
    </row>
    <row r="4412" spans="1:6" ht="16" x14ac:dyDescent="0.2">
      <c r="A4412" s="1" t="s">
        <v>108</v>
      </c>
      <c r="B4412" t="str">
        <f>LEFT(Table1[[#This Row],[Input]],1)</f>
        <v>R</v>
      </c>
      <c r="C4412">
        <f>_xlfn.LET(_xlpm.steps,SUBSTITUTE(Table1[[#This Row],[Input]],Table1[[#This Row],[Direction]],""),VALUE(IF(LEN(_xlpm.steps)&gt;2,RIGHT(_xlpm.steps,2),_xlpm.steps)))</f>
        <v>66</v>
      </c>
      <c r="D4412">
        <f>_xlfn.LET(_xlpm.dir,Table1[[#This Row],[Direction]],
IF(_xlpm.dir="L",
    IF(F4411-Table1[[#This Row],[Steps]]&lt;0,100+(F4411-Table1[[#This Row],[Steps]]),F4411-Table1[[#This Row],[Steps]]),
))</f>
        <v>0</v>
      </c>
      <c r="E4412">
        <f>_xlfn.LET(_xlpm.dir,Table1[[#This Row],[Direction]],
IF(_xlpm.dir="R",
    IF(F4411+Table1[[#This Row],[Steps]]&gt;99,(F4411+Table1[[#This Row],[Steps]])-100,F4411+Table1[[#This Row],[Steps]]),
))</f>
        <v>92</v>
      </c>
      <c r="F4412">
        <f>IF(Table1[[#This Row],[New Pos L]]&lt;&gt;0,Table1[[#This Row],[New Pos L]],Table1[[#This Row],[New Pos R]])</f>
        <v>92</v>
      </c>
    </row>
    <row r="4413" spans="1:6" ht="16" x14ac:dyDescent="0.2">
      <c r="A4413" s="1" t="s">
        <v>878</v>
      </c>
      <c r="B4413" t="str">
        <f>LEFT(Table1[[#This Row],[Input]],1)</f>
        <v>L</v>
      </c>
      <c r="C4413">
        <f>_xlfn.LET(_xlpm.steps,SUBSTITUTE(Table1[[#This Row],[Input]],Table1[[#This Row],[Direction]],""),VALUE(IF(LEN(_xlpm.steps)&gt;2,RIGHT(_xlpm.steps,2),_xlpm.steps)))</f>
        <v>73</v>
      </c>
      <c r="D4413">
        <f>_xlfn.LET(_xlpm.dir,Table1[[#This Row],[Direction]],
IF(_xlpm.dir="L",
    IF(F4412-Table1[[#This Row],[Steps]]&lt;0,100+(F4412-Table1[[#This Row],[Steps]]),F4412-Table1[[#This Row],[Steps]]),
))</f>
        <v>19</v>
      </c>
      <c r="E4413">
        <f>_xlfn.LET(_xlpm.dir,Table1[[#This Row],[Direction]],
IF(_xlpm.dir="R",
    IF(F4412+Table1[[#This Row],[Steps]]&gt;99,(F4412+Table1[[#This Row],[Steps]])-100,F4412+Table1[[#This Row],[Steps]]),
))</f>
        <v>0</v>
      </c>
      <c r="F4413">
        <f>IF(Table1[[#This Row],[New Pos L]]&lt;&gt;0,Table1[[#This Row],[New Pos L]],Table1[[#This Row],[New Pos R]])</f>
        <v>19</v>
      </c>
    </row>
    <row r="4414" spans="1:6" ht="16" x14ac:dyDescent="0.2">
      <c r="A4414" s="1" t="s">
        <v>88</v>
      </c>
      <c r="B4414" t="str">
        <f>LEFT(Table1[[#This Row],[Input]],1)</f>
        <v>R</v>
      </c>
      <c r="C4414">
        <f>_xlfn.LET(_xlpm.steps,SUBSTITUTE(Table1[[#This Row],[Input]],Table1[[#This Row],[Direction]],""),VALUE(IF(LEN(_xlpm.steps)&gt;2,RIGHT(_xlpm.steps,2),_xlpm.steps)))</f>
        <v>53</v>
      </c>
      <c r="D4414">
        <f>_xlfn.LET(_xlpm.dir,Table1[[#This Row],[Direction]],
IF(_xlpm.dir="L",
    IF(F4413-Table1[[#This Row],[Steps]]&lt;0,100+(F4413-Table1[[#This Row],[Steps]]),F4413-Table1[[#This Row],[Steps]]),
))</f>
        <v>0</v>
      </c>
      <c r="E4414">
        <f>_xlfn.LET(_xlpm.dir,Table1[[#This Row],[Direction]],
IF(_xlpm.dir="R",
    IF(F4413+Table1[[#This Row],[Steps]]&gt;99,(F4413+Table1[[#This Row],[Steps]])-100,F4413+Table1[[#This Row],[Steps]]),
))</f>
        <v>72</v>
      </c>
      <c r="F4414">
        <f>IF(Table1[[#This Row],[New Pos L]]&lt;&gt;0,Table1[[#This Row],[New Pos L]],Table1[[#This Row],[New Pos R]])</f>
        <v>72</v>
      </c>
    </row>
    <row r="4415" spans="1:6" ht="16" x14ac:dyDescent="0.2">
      <c r="A4415" s="1" t="s">
        <v>879</v>
      </c>
      <c r="B4415" t="str">
        <f>LEFT(Table1[[#This Row],[Input]],1)</f>
        <v>R</v>
      </c>
      <c r="C4415">
        <f>_xlfn.LET(_xlpm.steps,SUBSTITUTE(Table1[[#This Row],[Input]],Table1[[#This Row],[Direction]],""),VALUE(IF(LEN(_xlpm.steps)&gt;2,RIGHT(_xlpm.steps,2),_xlpm.steps)))</f>
        <v>28</v>
      </c>
      <c r="D4415">
        <f>_xlfn.LET(_xlpm.dir,Table1[[#This Row],[Direction]],
IF(_xlpm.dir="L",
    IF(F4414-Table1[[#This Row],[Steps]]&lt;0,100+(F4414-Table1[[#This Row],[Steps]]),F4414-Table1[[#This Row],[Steps]]),
))</f>
        <v>0</v>
      </c>
      <c r="E4415">
        <f>_xlfn.LET(_xlpm.dir,Table1[[#This Row],[Direction]],
IF(_xlpm.dir="R",
    IF(F4414+Table1[[#This Row],[Steps]]&gt;99,(F4414+Table1[[#This Row],[Steps]])-100,F4414+Table1[[#This Row],[Steps]]),
))</f>
        <v>0</v>
      </c>
      <c r="F4415">
        <f>IF(Table1[[#This Row],[New Pos L]]&lt;&gt;0,Table1[[#This Row],[New Pos L]],Table1[[#This Row],[New Pos R]])</f>
        <v>0</v>
      </c>
    </row>
    <row r="4416" spans="1:6" ht="16" x14ac:dyDescent="0.2">
      <c r="A4416" s="1" t="s">
        <v>181</v>
      </c>
      <c r="B4416" t="str">
        <f>LEFT(Table1[[#This Row],[Input]],1)</f>
        <v>L</v>
      </c>
      <c r="C4416">
        <f>_xlfn.LET(_xlpm.steps,SUBSTITUTE(Table1[[#This Row],[Input]],Table1[[#This Row],[Direction]],""),VALUE(IF(LEN(_xlpm.steps)&gt;2,RIGHT(_xlpm.steps,2),_xlpm.steps)))</f>
        <v>53</v>
      </c>
      <c r="D4416">
        <f>_xlfn.LET(_xlpm.dir,Table1[[#This Row],[Direction]],
IF(_xlpm.dir="L",
    IF(F4415-Table1[[#This Row],[Steps]]&lt;0,100+(F4415-Table1[[#This Row],[Steps]]),F4415-Table1[[#This Row],[Steps]]),
))</f>
        <v>47</v>
      </c>
      <c r="E4416">
        <f>_xlfn.LET(_xlpm.dir,Table1[[#This Row],[Direction]],
IF(_xlpm.dir="R",
    IF(F4415+Table1[[#This Row],[Steps]]&gt;99,(F4415+Table1[[#This Row],[Steps]])-100,F4415+Table1[[#This Row],[Steps]]),
))</f>
        <v>0</v>
      </c>
      <c r="F4416">
        <f>IF(Table1[[#This Row],[New Pos L]]&lt;&gt;0,Table1[[#This Row],[New Pos L]],Table1[[#This Row],[New Pos R]])</f>
        <v>47</v>
      </c>
    </row>
    <row r="4417" spans="1:6" ht="16" x14ac:dyDescent="0.2">
      <c r="A4417" s="1" t="s">
        <v>102</v>
      </c>
      <c r="B4417" t="str">
        <f>LEFT(Table1[[#This Row],[Input]],1)</f>
        <v>R</v>
      </c>
      <c r="C4417">
        <f>_xlfn.LET(_xlpm.steps,SUBSTITUTE(Table1[[#This Row],[Input]],Table1[[#This Row],[Direction]],""),VALUE(IF(LEN(_xlpm.steps)&gt;2,RIGHT(_xlpm.steps,2),_xlpm.steps)))</f>
        <v>39</v>
      </c>
      <c r="D4417">
        <f>_xlfn.LET(_xlpm.dir,Table1[[#This Row],[Direction]],
IF(_xlpm.dir="L",
    IF(F4416-Table1[[#This Row],[Steps]]&lt;0,100+(F4416-Table1[[#This Row],[Steps]]),F4416-Table1[[#This Row],[Steps]]),
))</f>
        <v>0</v>
      </c>
      <c r="E4417">
        <f>_xlfn.LET(_xlpm.dir,Table1[[#This Row],[Direction]],
IF(_xlpm.dir="R",
    IF(F4416+Table1[[#This Row],[Steps]]&gt;99,(F4416+Table1[[#This Row],[Steps]])-100,F4416+Table1[[#This Row],[Steps]]),
))</f>
        <v>86</v>
      </c>
      <c r="F4417">
        <f>IF(Table1[[#This Row],[New Pos L]]&lt;&gt;0,Table1[[#This Row],[New Pos L]],Table1[[#This Row],[New Pos R]])</f>
        <v>86</v>
      </c>
    </row>
    <row r="4418" spans="1:6" ht="16" x14ac:dyDescent="0.2">
      <c r="A4418" s="1" t="s">
        <v>880</v>
      </c>
      <c r="B4418" t="str">
        <f>LEFT(Table1[[#This Row],[Input]],1)</f>
        <v>R</v>
      </c>
      <c r="C4418">
        <f>_xlfn.LET(_xlpm.steps,SUBSTITUTE(Table1[[#This Row],[Input]],Table1[[#This Row],[Direction]],""),VALUE(IF(LEN(_xlpm.steps)&gt;2,RIGHT(_xlpm.steps,2),_xlpm.steps)))</f>
        <v>99</v>
      </c>
      <c r="D4418">
        <f>_xlfn.LET(_xlpm.dir,Table1[[#This Row],[Direction]],
IF(_xlpm.dir="L",
    IF(F4417-Table1[[#This Row],[Steps]]&lt;0,100+(F4417-Table1[[#This Row],[Steps]]),F4417-Table1[[#This Row],[Steps]]),
))</f>
        <v>0</v>
      </c>
      <c r="E4418">
        <f>_xlfn.LET(_xlpm.dir,Table1[[#This Row],[Direction]],
IF(_xlpm.dir="R",
    IF(F4417+Table1[[#This Row],[Steps]]&gt;99,(F4417+Table1[[#This Row],[Steps]])-100,F4417+Table1[[#This Row],[Steps]]),
))</f>
        <v>85</v>
      </c>
      <c r="F4418">
        <f>IF(Table1[[#This Row],[New Pos L]]&lt;&gt;0,Table1[[#This Row],[New Pos L]],Table1[[#This Row],[New Pos R]])</f>
        <v>85</v>
      </c>
    </row>
    <row r="4419" spans="1:6" ht="16" x14ac:dyDescent="0.2">
      <c r="A4419" s="1" t="s">
        <v>881</v>
      </c>
      <c r="B4419" t="str">
        <f>LEFT(Table1[[#This Row],[Input]],1)</f>
        <v>L</v>
      </c>
      <c r="C4419">
        <f>_xlfn.LET(_xlpm.steps,SUBSTITUTE(Table1[[#This Row],[Input]],Table1[[#This Row],[Direction]],""),VALUE(IF(LEN(_xlpm.steps)&gt;2,RIGHT(_xlpm.steps,2),_xlpm.steps)))</f>
        <v>85</v>
      </c>
      <c r="D4419">
        <f>_xlfn.LET(_xlpm.dir,Table1[[#This Row],[Direction]],
IF(_xlpm.dir="L",
    IF(F4418-Table1[[#This Row],[Steps]]&lt;0,100+(F4418-Table1[[#This Row],[Steps]]),F4418-Table1[[#This Row],[Steps]]),
))</f>
        <v>0</v>
      </c>
      <c r="E4419">
        <f>_xlfn.LET(_xlpm.dir,Table1[[#This Row],[Direction]],
IF(_xlpm.dir="R",
    IF(F4418+Table1[[#This Row],[Steps]]&gt;99,(F4418+Table1[[#This Row],[Steps]])-100,F4418+Table1[[#This Row],[Steps]]),
))</f>
        <v>0</v>
      </c>
      <c r="F4419">
        <f>IF(Table1[[#This Row],[New Pos L]]&lt;&gt;0,Table1[[#This Row],[New Pos L]],Table1[[#This Row],[New Pos R]])</f>
        <v>0</v>
      </c>
    </row>
    <row r="4420" spans="1:6" ht="16" x14ac:dyDescent="0.2">
      <c r="A4420" s="1" t="s">
        <v>84</v>
      </c>
      <c r="B4420" t="str">
        <f>LEFT(Table1[[#This Row],[Input]],1)</f>
        <v>R</v>
      </c>
      <c r="C4420">
        <f>_xlfn.LET(_xlpm.steps,SUBSTITUTE(Table1[[#This Row],[Input]],Table1[[#This Row],[Direction]],""),VALUE(IF(LEN(_xlpm.steps)&gt;2,RIGHT(_xlpm.steps,2),_xlpm.steps)))</f>
        <v>88</v>
      </c>
      <c r="D4420">
        <f>_xlfn.LET(_xlpm.dir,Table1[[#This Row],[Direction]],
IF(_xlpm.dir="L",
    IF(F4419-Table1[[#This Row],[Steps]]&lt;0,100+(F4419-Table1[[#This Row],[Steps]]),F4419-Table1[[#This Row],[Steps]]),
))</f>
        <v>0</v>
      </c>
      <c r="E4420">
        <f>_xlfn.LET(_xlpm.dir,Table1[[#This Row],[Direction]],
IF(_xlpm.dir="R",
    IF(F4419+Table1[[#This Row],[Steps]]&gt;99,(F4419+Table1[[#This Row],[Steps]])-100,F4419+Table1[[#This Row],[Steps]]),
))</f>
        <v>88</v>
      </c>
      <c r="F4420">
        <f>IF(Table1[[#This Row],[New Pos L]]&lt;&gt;0,Table1[[#This Row],[New Pos L]],Table1[[#This Row],[New Pos R]])</f>
        <v>88</v>
      </c>
    </row>
    <row r="4421" spans="1:6" ht="16" x14ac:dyDescent="0.2">
      <c r="A4421" s="1" t="s">
        <v>882</v>
      </c>
      <c r="B4421" t="str">
        <f>LEFT(Table1[[#This Row],[Input]],1)</f>
        <v>L</v>
      </c>
      <c r="C4421">
        <f>_xlfn.LET(_xlpm.steps,SUBSTITUTE(Table1[[#This Row],[Input]],Table1[[#This Row],[Direction]],""),VALUE(IF(LEN(_xlpm.steps)&gt;2,RIGHT(_xlpm.steps,2),_xlpm.steps)))</f>
        <v>3</v>
      </c>
      <c r="D4421">
        <f>_xlfn.LET(_xlpm.dir,Table1[[#This Row],[Direction]],
IF(_xlpm.dir="L",
    IF(F4420-Table1[[#This Row],[Steps]]&lt;0,100+(F4420-Table1[[#This Row],[Steps]]),F4420-Table1[[#This Row],[Steps]]),
))</f>
        <v>85</v>
      </c>
      <c r="E4421">
        <f>_xlfn.LET(_xlpm.dir,Table1[[#This Row],[Direction]],
IF(_xlpm.dir="R",
    IF(F4420+Table1[[#This Row],[Steps]]&gt;99,(F4420+Table1[[#This Row],[Steps]])-100,F4420+Table1[[#This Row],[Steps]]),
))</f>
        <v>0</v>
      </c>
      <c r="F4421">
        <f>IF(Table1[[#This Row],[New Pos L]]&lt;&gt;0,Table1[[#This Row],[New Pos L]],Table1[[#This Row],[New Pos R]])</f>
        <v>85</v>
      </c>
    </row>
    <row r="4422" spans="1:6" ht="16" x14ac:dyDescent="0.2">
      <c r="A4422" s="1" t="s">
        <v>260</v>
      </c>
      <c r="B4422" t="str">
        <f>LEFT(Table1[[#This Row],[Input]],1)</f>
        <v>L</v>
      </c>
      <c r="C4422">
        <f>_xlfn.LET(_xlpm.steps,SUBSTITUTE(Table1[[#This Row],[Input]],Table1[[#This Row],[Direction]],""),VALUE(IF(LEN(_xlpm.steps)&gt;2,RIGHT(_xlpm.steps,2),_xlpm.steps)))</f>
        <v>85</v>
      </c>
      <c r="D4422">
        <f>_xlfn.LET(_xlpm.dir,Table1[[#This Row],[Direction]],
IF(_xlpm.dir="L",
    IF(F4421-Table1[[#This Row],[Steps]]&lt;0,100+(F4421-Table1[[#This Row],[Steps]]),F4421-Table1[[#This Row],[Steps]]),
))</f>
        <v>0</v>
      </c>
      <c r="E4422">
        <f>_xlfn.LET(_xlpm.dir,Table1[[#This Row],[Direction]],
IF(_xlpm.dir="R",
    IF(F4421+Table1[[#This Row],[Steps]]&gt;99,(F4421+Table1[[#This Row],[Steps]])-100,F4421+Table1[[#This Row],[Steps]]),
))</f>
        <v>0</v>
      </c>
      <c r="F4422">
        <f>IF(Table1[[#This Row],[New Pos L]]&lt;&gt;0,Table1[[#This Row],[New Pos L]],Table1[[#This Row],[New Pos R]])</f>
        <v>0</v>
      </c>
    </row>
    <row r="4423" spans="1:6" ht="16" x14ac:dyDescent="0.2">
      <c r="A4423" s="1" t="s">
        <v>88</v>
      </c>
      <c r="B4423" t="str">
        <f>LEFT(Table1[[#This Row],[Input]],1)</f>
        <v>R</v>
      </c>
      <c r="C4423">
        <f>_xlfn.LET(_xlpm.steps,SUBSTITUTE(Table1[[#This Row],[Input]],Table1[[#This Row],[Direction]],""),VALUE(IF(LEN(_xlpm.steps)&gt;2,RIGHT(_xlpm.steps,2),_xlpm.steps)))</f>
        <v>53</v>
      </c>
      <c r="D4423">
        <f>_xlfn.LET(_xlpm.dir,Table1[[#This Row],[Direction]],
IF(_xlpm.dir="L",
    IF(F4422-Table1[[#This Row],[Steps]]&lt;0,100+(F4422-Table1[[#This Row],[Steps]]),F4422-Table1[[#This Row],[Steps]]),
))</f>
        <v>0</v>
      </c>
      <c r="E4423">
        <f>_xlfn.LET(_xlpm.dir,Table1[[#This Row],[Direction]],
IF(_xlpm.dir="R",
    IF(F4422+Table1[[#This Row],[Steps]]&gt;99,(F4422+Table1[[#This Row],[Steps]])-100,F4422+Table1[[#This Row],[Steps]]),
))</f>
        <v>53</v>
      </c>
      <c r="F4423">
        <f>IF(Table1[[#This Row],[New Pos L]]&lt;&gt;0,Table1[[#This Row],[New Pos L]],Table1[[#This Row],[New Pos R]])</f>
        <v>53</v>
      </c>
    </row>
    <row r="4424" spans="1:6" ht="16" x14ac:dyDescent="0.2">
      <c r="A4424" s="1" t="s">
        <v>115</v>
      </c>
      <c r="B4424" t="str">
        <f>LEFT(Table1[[#This Row],[Input]],1)</f>
        <v>L</v>
      </c>
      <c r="C4424">
        <f>_xlfn.LET(_xlpm.steps,SUBSTITUTE(Table1[[#This Row],[Input]],Table1[[#This Row],[Direction]],""),VALUE(IF(LEN(_xlpm.steps)&gt;2,RIGHT(_xlpm.steps,2),_xlpm.steps)))</f>
        <v>29</v>
      </c>
      <c r="D4424">
        <f>_xlfn.LET(_xlpm.dir,Table1[[#This Row],[Direction]],
IF(_xlpm.dir="L",
    IF(F4423-Table1[[#This Row],[Steps]]&lt;0,100+(F4423-Table1[[#This Row],[Steps]]),F4423-Table1[[#This Row],[Steps]]),
))</f>
        <v>24</v>
      </c>
      <c r="E4424">
        <f>_xlfn.LET(_xlpm.dir,Table1[[#This Row],[Direction]],
IF(_xlpm.dir="R",
    IF(F4423+Table1[[#This Row],[Steps]]&gt;99,(F4423+Table1[[#This Row],[Steps]])-100,F4423+Table1[[#This Row],[Steps]]),
))</f>
        <v>0</v>
      </c>
      <c r="F4424">
        <f>IF(Table1[[#This Row],[New Pos L]]&lt;&gt;0,Table1[[#This Row],[New Pos L]],Table1[[#This Row],[New Pos R]])</f>
        <v>24</v>
      </c>
    </row>
    <row r="4425" spans="1:6" ht="16" x14ac:dyDescent="0.2">
      <c r="A4425" s="1" t="s">
        <v>192</v>
      </c>
      <c r="B4425" t="str">
        <f>LEFT(Table1[[#This Row],[Input]],1)</f>
        <v>L</v>
      </c>
      <c r="C4425">
        <f>_xlfn.LET(_xlpm.steps,SUBSTITUTE(Table1[[#This Row],[Input]],Table1[[#This Row],[Direction]],""),VALUE(IF(LEN(_xlpm.steps)&gt;2,RIGHT(_xlpm.steps,2),_xlpm.steps)))</f>
        <v>52</v>
      </c>
      <c r="D4425">
        <f>_xlfn.LET(_xlpm.dir,Table1[[#This Row],[Direction]],
IF(_xlpm.dir="L",
    IF(F4424-Table1[[#This Row],[Steps]]&lt;0,100+(F4424-Table1[[#This Row],[Steps]]),F4424-Table1[[#This Row],[Steps]]),
))</f>
        <v>72</v>
      </c>
      <c r="E4425">
        <f>_xlfn.LET(_xlpm.dir,Table1[[#This Row],[Direction]],
IF(_xlpm.dir="R",
    IF(F4424+Table1[[#This Row],[Steps]]&gt;99,(F4424+Table1[[#This Row],[Steps]])-100,F4424+Table1[[#This Row],[Steps]]),
))</f>
        <v>0</v>
      </c>
      <c r="F4425">
        <f>IF(Table1[[#This Row],[New Pos L]]&lt;&gt;0,Table1[[#This Row],[New Pos L]],Table1[[#This Row],[New Pos R]])</f>
        <v>72</v>
      </c>
    </row>
    <row r="4426" spans="1:6" ht="16" x14ac:dyDescent="0.2">
      <c r="A4426" s="1" t="s">
        <v>27</v>
      </c>
      <c r="B4426" t="str">
        <f>LEFT(Table1[[#This Row],[Input]],1)</f>
        <v>L</v>
      </c>
      <c r="C4426">
        <f>_xlfn.LET(_xlpm.steps,SUBSTITUTE(Table1[[#This Row],[Input]],Table1[[#This Row],[Direction]],""),VALUE(IF(LEN(_xlpm.steps)&gt;2,RIGHT(_xlpm.steps,2),_xlpm.steps)))</f>
        <v>14</v>
      </c>
      <c r="D4426">
        <f>_xlfn.LET(_xlpm.dir,Table1[[#This Row],[Direction]],
IF(_xlpm.dir="L",
    IF(F4425-Table1[[#This Row],[Steps]]&lt;0,100+(F4425-Table1[[#This Row],[Steps]]),F4425-Table1[[#This Row],[Steps]]),
))</f>
        <v>58</v>
      </c>
      <c r="E4426">
        <f>_xlfn.LET(_xlpm.dir,Table1[[#This Row],[Direction]],
IF(_xlpm.dir="R",
    IF(F4425+Table1[[#This Row],[Steps]]&gt;99,(F4425+Table1[[#This Row],[Steps]])-100,F4425+Table1[[#This Row],[Steps]]),
))</f>
        <v>0</v>
      </c>
      <c r="F4426">
        <f>IF(Table1[[#This Row],[New Pos L]]&lt;&gt;0,Table1[[#This Row],[New Pos L]],Table1[[#This Row],[New Pos R]])</f>
        <v>58</v>
      </c>
    </row>
    <row r="4427" spans="1:6" ht="16" x14ac:dyDescent="0.2">
      <c r="A4427" s="1" t="s">
        <v>883</v>
      </c>
      <c r="B4427" t="str">
        <f>LEFT(Table1[[#This Row],[Input]],1)</f>
        <v>L</v>
      </c>
      <c r="C4427">
        <f>_xlfn.LET(_xlpm.steps,SUBSTITUTE(Table1[[#This Row],[Input]],Table1[[#This Row],[Direction]],""),VALUE(IF(LEN(_xlpm.steps)&gt;2,RIGHT(_xlpm.steps,2),_xlpm.steps)))</f>
        <v>96</v>
      </c>
      <c r="D4427">
        <f>_xlfn.LET(_xlpm.dir,Table1[[#This Row],[Direction]],
IF(_xlpm.dir="L",
    IF(F4426-Table1[[#This Row],[Steps]]&lt;0,100+(F4426-Table1[[#This Row],[Steps]]),F4426-Table1[[#This Row],[Steps]]),
))</f>
        <v>62</v>
      </c>
      <c r="E4427">
        <f>_xlfn.LET(_xlpm.dir,Table1[[#This Row],[Direction]],
IF(_xlpm.dir="R",
    IF(F4426+Table1[[#This Row],[Steps]]&gt;99,(F4426+Table1[[#This Row],[Steps]])-100,F4426+Table1[[#This Row],[Steps]]),
))</f>
        <v>0</v>
      </c>
      <c r="F4427">
        <f>IF(Table1[[#This Row],[New Pos L]]&lt;&gt;0,Table1[[#This Row],[New Pos L]],Table1[[#This Row],[New Pos R]])</f>
        <v>62</v>
      </c>
    </row>
    <row r="4428" spans="1:6" ht="16" x14ac:dyDescent="0.2">
      <c r="A4428" s="1" t="s">
        <v>139</v>
      </c>
      <c r="B4428" t="str">
        <f>LEFT(Table1[[#This Row],[Input]],1)</f>
        <v>R</v>
      </c>
      <c r="C4428">
        <f>_xlfn.LET(_xlpm.steps,SUBSTITUTE(Table1[[#This Row],[Input]],Table1[[#This Row],[Direction]],""),VALUE(IF(LEN(_xlpm.steps)&gt;2,RIGHT(_xlpm.steps,2),_xlpm.steps)))</f>
        <v>38</v>
      </c>
      <c r="D4428">
        <f>_xlfn.LET(_xlpm.dir,Table1[[#This Row],[Direction]],
IF(_xlpm.dir="L",
    IF(F4427-Table1[[#This Row],[Steps]]&lt;0,100+(F4427-Table1[[#This Row],[Steps]]),F4427-Table1[[#This Row],[Steps]]),
))</f>
        <v>0</v>
      </c>
      <c r="E4428">
        <f>_xlfn.LET(_xlpm.dir,Table1[[#This Row],[Direction]],
IF(_xlpm.dir="R",
    IF(F4427+Table1[[#This Row],[Steps]]&gt;99,(F4427+Table1[[#This Row],[Steps]])-100,F4427+Table1[[#This Row],[Steps]]),
))</f>
        <v>0</v>
      </c>
      <c r="F4428">
        <f>IF(Table1[[#This Row],[New Pos L]]&lt;&gt;0,Table1[[#This Row],[New Pos L]],Table1[[#This Row],[New Pos R]])</f>
        <v>0</v>
      </c>
    </row>
    <row r="4429" spans="1:6" ht="16" x14ac:dyDescent="0.2">
      <c r="A4429" s="1" t="s">
        <v>191</v>
      </c>
      <c r="B4429" t="str">
        <f>LEFT(Table1[[#This Row],[Input]],1)</f>
        <v>L</v>
      </c>
      <c r="C4429">
        <f>_xlfn.LET(_xlpm.steps,SUBSTITUTE(Table1[[#This Row],[Input]],Table1[[#This Row],[Direction]],""),VALUE(IF(LEN(_xlpm.steps)&gt;2,RIGHT(_xlpm.steps,2),_xlpm.steps)))</f>
        <v>5</v>
      </c>
      <c r="D4429">
        <f>_xlfn.LET(_xlpm.dir,Table1[[#This Row],[Direction]],
IF(_xlpm.dir="L",
    IF(F4428-Table1[[#This Row],[Steps]]&lt;0,100+(F4428-Table1[[#This Row],[Steps]]),F4428-Table1[[#This Row],[Steps]]),
))</f>
        <v>95</v>
      </c>
      <c r="E4429">
        <f>_xlfn.LET(_xlpm.dir,Table1[[#This Row],[Direction]],
IF(_xlpm.dir="R",
    IF(F4428+Table1[[#This Row],[Steps]]&gt;99,(F4428+Table1[[#This Row],[Steps]])-100,F4428+Table1[[#This Row],[Steps]]),
))</f>
        <v>0</v>
      </c>
      <c r="F4429">
        <f>IF(Table1[[#This Row],[New Pos L]]&lt;&gt;0,Table1[[#This Row],[New Pos L]],Table1[[#This Row],[New Pos R]])</f>
        <v>95</v>
      </c>
    </row>
    <row r="4430" spans="1:6" ht="16" x14ac:dyDescent="0.2">
      <c r="A4430" s="1" t="s">
        <v>264</v>
      </c>
      <c r="B4430" t="str">
        <f>LEFT(Table1[[#This Row],[Input]],1)</f>
        <v>L</v>
      </c>
      <c r="C4430">
        <f>_xlfn.LET(_xlpm.steps,SUBSTITUTE(Table1[[#This Row],[Input]],Table1[[#This Row],[Direction]],""),VALUE(IF(LEN(_xlpm.steps)&gt;2,RIGHT(_xlpm.steps,2),_xlpm.steps)))</f>
        <v>21</v>
      </c>
      <c r="D4430">
        <f>_xlfn.LET(_xlpm.dir,Table1[[#This Row],[Direction]],
IF(_xlpm.dir="L",
    IF(F4429-Table1[[#This Row],[Steps]]&lt;0,100+(F4429-Table1[[#This Row],[Steps]]),F4429-Table1[[#This Row],[Steps]]),
))</f>
        <v>74</v>
      </c>
      <c r="E4430">
        <f>_xlfn.LET(_xlpm.dir,Table1[[#This Row],[Direction]],
IF(_xlpm.dir="R",
    IF(F4429+Table1[[#This Row],[Steps]]&gt;99,(F4429+Table1[[#This Row],[Steps]])-100,F4429+Table1[[#This Row],[Steps]]),
))</f>
        <v>0</v>
      </c>
      <c r="F4430">
        <f>IF(Table1[[#This Row],[New Pos L]]&lt;&gt;0,Table1[[#This Row],[New Pos L]],Table1[[#This Row],[New Pos R]])</f>
        <v>74</v>
      </c>
    </row>
    <row r="4431" spans="1:6" ht="16" x14ac:dyDescent="0.2">
      <c r="A4431" s="1" t="s">
        <v>51</v>
      </c>
      <c r="B4431" t="str">
        <f>LEFT(Table1[[#This Row],[Input]],1)</f>
        <v>L</v>
      </c>
      <c r="C4431">
        <f>_xlfn.LET(_xlpm.steps,SUBSTITUTE(Table1[[#This Row],[Input]],Table1[[#This Row],[Direction]],""),VALUE(IF(LEN(_xlpm.steps)&gt;2,RIGHT(_xlpm.steps,2),_xlpm.steps)))</f>
        <v>25</v>
      </c>
      <c r="D4431">
        <f>_xlfn.LET(_xlpm.dir,Table1[[#This Row],[Direction]],
IF(_xlpm.dir="L",
    IF(F4430-Table1[[#This Row],[Steps]]&lt;0,100+(F4430-Table1[[#This Row],[Steps]]),F4430-Table1[[#This Row],[Steps]]),
))</f>
        <v>49</v>
      </c>
      <c r="E4431">
        <f>_xlfn.LET(_xlpm.dir,Table1[[#This Row],[Direction]],
IF(_xlpm.dir="R",
    IF(F4430+Table1[[#This Row],[Steps]]&gt;99,(F4430+Table1[[#This Row],[Steps]])-100,F4430+Table1[[#This Row],[Steps]]),
))</f>
        <v>0</v>
      </c>
      <c r="F4431">
        <f>IF(Table1[[#This Row],[New Pos L]]&lt;&gt;0,Table1[[#This Row],[New Pos L]],Table1[[#This Row],[New Pos R]])</f>
        <v>49</v>
      </c>
    </row>
    <row r="4432" spans="1:6" ht="16" x14ac:dyDescent="0.2">
      <c r="A4432" s="1" t="s">
        <v>98</v>
      </c>
      <c r="B4432" t="str">
        <f>LEFT(Table1[[#This Row],[Input]],1)</f>
        <v>L</v>
      </c>
      <c r="C4432">
        <f>_xlfn.LET(_xlpm.steps,SUBSTITUTE(Table1[[#This Row],[Input]],Table1[[#This Row],[Direction]],""),VALUE(IF(LEN(_xlpm.steps)&gt;2,RIGHT(_xlpm.steps,2),_xlpm.steps)))</f>
        <v>65</v>
      </c>
      <c r="D4432">
        <f>_xlfn.LET(_xlpm.dir,Table1[[#This Row],[Direction]],
IF(_xlpm.dir="L",
    IF(F4431-Table1[[#This Row],[Steps]]&lt;0,100+(F4431-Table1[[#This Row],[Steps]]),F4431-Table1[[#This Row],[Steps]]),
))</f>
        <v>84</v>
      </c>
      <c r="E4432">
        <f>_xlfn.LET(_xlpm.dir,Table1[[#This Row],[Direction]],
IF(_xlpm.dir="R",
    IF(F4431+Table1[[#This Row],[Steps]]&gt;99,(F4431+Table1[[#This Row],[Steps]])-100,F4431+Table1[[#This Row],[Steps]]),
))</f>
        <v>0</v>
      </c>
      <c r="F4432">
        <f>IF(Table1[[#This Row],[New Pos L]]&lt;&gt;0,Table1[[#This Row],[New Pos L]],Table1[[#This Row],[New Pos R]])</f>
        <v>84</v>
      </c>
    </row>
    <row r="4433" spans="1:6" ht="16" x14ac:dyDescent="0.2">
      <c r="A4433" s="1" t="s">
        <v>590</v>
      </c>
      <c r="B4433" t="str">
        <f>LEFT(Table1[[#This Row],[Input]],1)</f>
        <v>L</v>
      </c>
      <c r="C4433">
        <f>_xlfn.LET(_xlpm.steps,SUBSTITUTE(Table1[[#This Row],[Input]],Table1[[#This Row],[Direction]],""),VALUE(IF(LEN(_xlpm.steps)&gt;2,RIGHT(_xlpm.steps,2),_xlpm.steps)))</f>
        <v>10</v>
      </c>
      <c r="D4433">
        <f>_xlfn.LET(_xlpm.dir,Table1[[#This Row],[Direction]],
IF(_xlpm.dir="L",
    IF(F4432-Table1[[#This Row],[Steps]]&lt;0,100+(F4432-Table1[[#This Row],[Steps]]),F4432-Table1[[#This Row],[Steps]]),
))</f>
        <v>74</v>
      </c>
      <c r="E4433">
        <f>_xlfn.LET(_xlpm.dir,Table1[[#This Row],[Direction]],
IF(_xlpm.dir="R",
    IF(F4432+Table1[[#This Row],[Steps]]&gt;99,(F4432+Table1[[#This Row],[Steps]])-100,F4432+Table1[[#This Row],[Steps]]),
))</f>
        <v>0</v>
      </c>
      <c r="F4433">
        <f>IF(Table1[[#This Row],[New Pos L]]&lt;&gt;0,Table1[[#This Row],[New Pos L]],Table1[[#This Row],[New Pos R]])</f>
        <v>74</v>
      </c>
    </row>
    <row r="4434" spans="1:6" ht="16" x14ac:dyDescent="0.2">
      <c r="A4434" s="1" t="s">
        <v>119</v>
      </c>
      <c r="B4434" t="str">
        <f>LEFT(Table1[[#This Row],[Input]],1)</f>
        <v>L</v>
      </c>
      <c r="C4434">
        <f>_xlfn.LET(_xlpm.steps,SUBSTITUTE(Table1[[#This Row],[Input]],Table1[[#This Row],[Direction]],""),VALUE(IF(LEN(_xlpm.steps)&gt;2,RIGHT(_xlpm.steps,2),_xlpm.steps)))</f>
        <v>77</v>
      </c>
      <c r="D4434">
        <f>_xlfn.LET(_xlpm.dir,Table1[[#This Row],[Direction]],
IF(_xlpm.dir="L",
    IF(F4433-Table1[[#This Row],[Steps]]&lt;0,100+(F4433-Table1[[#This Row],[Steps]]),F4433-Table1[[#This Row],[Steps]]),
))</f>
        <v>97</v>
      </c>
      <c r="E4434">
        <f>_xlfn.LET(_xlpm.dir,Table1[[#This Row],[Direction]],
IF(_xlpm.dir="R",
    IF(F4433+Table1[[#This Row],[Steps]]&gt;99,(F4433+Table1[[#This Row],[Steps]])-100,F4433+Table1[[#This Row],[Steps]]),
))</f>
        <v>0</v>
      </c>
      <c r="F4434">
        <f>IF(Table1[[#This Row],[New Pos L]]&lt;&gt;0,Table1[[#This Row],[New Pos L]],Table1[[#This Row],[New Pos R]])</f>
        <v>97</v>
      </c>
    </row>
    <row r="4435" spans="1:6" ht="16" x14ac:dyDescent="0.2">
      <c r="A4435" s="1" t="s">
        <v>884</v>
      </c>
      <c r="B4435" t="str">
        <f>LEFT(Table1[[#This Row],[Input]],1)</f>
        <v>L</v>
      </c>
      <c r="C4435">
        <f>_xlfn.LET(_xlpm.steps,SUBSTITUTE(Table1[[#This Row],[Input]],Table1[[#This Row],[Direction]],""),VALUE(IF(LEN(_xlpm.steps)&gt;2,RIGHT(_xlpm.steps,2),_xlpm.steps)))</f>
        <v>87</v>
      </c>
      <c r="D4435">
        <f>_xlfn.LET(_xlpm.dir,Table1[[#This Row],[Direction]],
IF(_xlpm.dir="L",
    IF(F4434-Table1[[#This Row],[Steps]]&lt;0,100+(F4434-Table1[[#This Row],[Steps]]),F4434-Table1[[#This Row],[Steps]]),
))</f>
        <v>10</v>
      </c>
      <c r="E4435">
        <f>_xlfn.LET(_xlpm.dir,Table1[[#This Row],[Direction]],
IF(_xlpm.dir="R",
    IF(F4434+Table1[[#This Row],[Steps]]&gt;99,(F4434+Table1[[#This Row],[Steps]])-100,F4434+Table1[[#This Row],[Steps]]),
))</f>
        <v>0</v>
      </c>
      <c r="F4435">
        <f>IF(Table1[[#This Row],[New Pos L]]&lt;&gt;0,Table1[[#This Row],[New Pos L]],Table1[[#This Row],[New Pos R]])</f>
        <v>10</v>
      </c>
    </row>
    <row r="4436" spans="1:6" ht="16" x14ac:dyDescent="0.2">
      <c r="A4436" s="1" t="s">
        <v>267</v>
      </c>
      <c r="B4436" t="str">
        <f>LEFT(Table1[[#This Row],[Input]],1)</f>
        <v>L</v>
      </c>
      <c r="C4436">
        <f>_xlfn.LET(_xlpm.steps,SUBSTITUTE(Table1[[#This Row],[Input]],Table1[[#This Row],[Direction]],""),VALUE(IF(LEN(_xlpm.steps)&gt;2,RIGHT(_xlpm.steps,2),_xlpm.steps)))</f>
        <v>39</v>
      </c>
      <c r="D4436">
        <f>_xlfn.LET(_xlpm.dir,Table1[[#This Row],[Direction]],
IF(_xlpm.dir="L",
    IF(F4435-Table1[[#This Row],[Steps]]&lt;0,100+(F4435-Table1[[#This Row],[Steps]]),F4435-Table1[[#This Row],[Steps]]),
))</f>
        <v>71</v>
      </c>
      <c r="E4436">
        <f>_xlfn.LET(_xlpm.dir,Table1[[#This Row],[Direction]],
IF(_xlpm.dir="R",
    IF(F4435+Table1[[#This Row],[Steps]]&gt;99,(F4435+Table1[[#This Row],[Steps]])-100,F4435+Table1[[#This Row],[Steps]]),
))</f>
        <v>0</v>
      </c>
      <c r="F4436">
        <f>IF(Table1[[#This Row],[New Pos L]]&lt;&gt;0,Table1[[#This Row],[New Pos L]],Table1[[#This Row],[New Pos R]])</f>
        <v>71</v>
      </c>
    </row>
    <row r="4437" spans="1:6" ht="16" x14ac:dyDescent="0.2">
      <c r="A4437" s="1" t="s">
        <v>243</v>
      </c>
      <c r="B4437" t="str">
        <f>LEFT(Table1[[#This Row],[Input]],1)</f>
        <v>R</v>
      </c>
      <c r="C4437">
        <f>_xlfn.LET(_xlpm.steps,SUBSTITUTE(Table1[[#This Row],[Input]],Table1[[#This Row],[Direction]],""),VALUE(IF(LEN(_xlpm.steps)&gt;2,RIGHT(_xlpm.steps,2),_xlpm.steps)))</f>
        <v>29</v>
      </c>
      <c r="D4437">
        <f>_xlfn.LET(_xlpm.dir,Table1[[#This Row],[Direction]],
IF(_xlpm.dir="L",
    IF(F4436-Table1[[#This Row],[Steps]]&lt;0,100+(F4436-Table1[[#This Row],[Steps]]),F4436-Table1[[#This Row],[Steps]]),
))</f>
        <v>0</v>
      </c>
      <c r="E4437">
        <f>_xlfn.LET(_xlpm.dir,Table1[[#This Row],[Direction]],
IF(_xlpm.dir="R",
    IF(F4436+Table1[[#This Row],[Steps]]&gt;99,(F4436+Table1[[#This Row],[Steps]])-100,F4436+Table1[[#This Row],[Steps]]),
))</f>
        <v>0</v>
      </c>
      <c r="F4437">
        <f>IF(Table1[[#This Row],[New Pos L]]&lt;&gt;0,Table1[[#This Row],[New Pos L]],Table1[[#This Row],[New Pos R]])</f>
        <v>0</v>
      </c>
    </row>
    <row r="4438" spans="1:6" ht="16" x14ac:dyDescent="0.2">
      <c r="A4438" s="1" t="s">
        <v>36</v>
      </c>
      <c r="B4438" t="str">
        <f>LEFT(Table1[[#This Row],[Input]],1)</f>
        <v>R</v>
      </c>
      <c r="C4438">
        <f>_xlfn.LET(_xlpm.steps,SUBSTITUTE(Table1[[#This Row],[Input]],Table1[[#This Row],[Direction]],""),VALUE(IF(LEN(_xlpm.steps)&gt;2,RIGHT(_xlpm.steps,2),_xlpm.steps)))</f>
        <v>50</v>
      </c>
      <c r="D4438">
        <f>_xlfn.LET(_xlpm.dir,Table1[[#This Row],[Direction]],
IF(_xlpm.dir="L",
    IF(F4437-Table1[[#This Row],[Steps]]&lt;0,100+(F4437-Table1[[#This Row],[Steps]]),F4437-Table1[[#This Row],[Steps]]),
))</f>
        <v>0</v>
      </c>
      <c r="E4438">
        <f>_xlfn.LET(_xlpm.dir,Table1[[#This Row],[Direction]],
IF(_xlpm.dir="R",
    IF(F4437+Table1[[#This Row],[Steps]]&gt;99,(F4437+Table1[[#This Row],[Steps]])-100,F4437+Table1[[#This Row],[Steps]]),
))</f>
        <v>50</v>
      </c>
      <c r="F4438">
        <f>IF(Table1[[#This Row],[New Pos L]]&lt;&gt;0,Table1[[#This Row],[New Pos L]],Table1[[#This Row],[New Pos R]])</f>
        <v>50</v>
      </c>
    </row>
    <row r="4439" spans="1:6" ht="16" x14ac:dyDescent="0.2">
      <c r="A4439" s="1" t="s">
        <v>17</v>
      </c>
      <c r="B4439" t="str">
        <f>LEFT(Table1[[#This Row],[Input]],1)</f>
        <v>L</v>
      </c>
      <c r="C4439">
        <f>_xlfn.LET(_xlpm.steps,SUBSTITUTE(Table1[[#This Row],[Input]],Table1[[#This Row],[Direction]],""),VALUE(IF(LEN(_xlpm.steps)&gt;2,RIGHT(_xlpm.steps,2),_xlpm.steps)))</f>
        <v>50</v>
      </c>
      <c r="D4439">
        <f>_xlfn.LET(_xlpm.dir,Table1[[#This Row],[Direction]],
IF(_xlpm.dir="L",
    IF(F4438-Table1[[#This Row],[Steps]]&lt;0,100+(F4438-Table1[[#This Row],[Steps]]),F4438-Table1[[#This Row],[Steps]]),
))</f>
        <v>0</v>
      </c>
      <c r="E4439">
        <f>_xlfn.LET(_xlpm.dir,Table1[[#This Row],[Direction]],
IF(_xlpm.dir="R",
    IF(F4438+Table1[[#This Row],[Steps]]&gt;99,(F4438+Table1[[#This Row],[Steps]])-100,F4438+Table1[[#This Row],[Steps]]),
))</f>
        <v>0</v>
      </c>
      <c r="F4439">
        <f>IF(Table1[[#This Row],[New Pos L]]&lt;&gt;0,Table1[[#This Row],[New Pos L]],Table1[[#This Row],[New Pos R]])</f>
        <v>0</v>
      </c>
    </row>
    <row r="4440" spans="1:6" ht="16" x14ac:dyDescent="0.2">
      <c r="A4440" s="1" t="s">
        <v>174</v>
      </c>
      <c r="B4440" t="str">
        <f>LEFT(Table1[[#This Row],[Input]],1)</f>
        <v>L</v>
      </c>
      <c r="C4440">
        <f>_xlfn.LET(_xlpm.steps,SUBSTITUTE(Table1[[#This Row],[Input]],Table1[[#This Row],[Direction]],""),VALUE(IF(LEN(_xlpm.steps)&gt;2,RIGHT(_xlpm.steps,2),_xlpm.steps)))</f>
        <v>92</v>
      </c>
      <c r="D4440">
        <f>_xlfn.LET(_xlpm.dir,Table1[[#This Row],[Direction]],
IF(_xlpm.dir="L",
    IF(F4439-Table1[[#This Row],[Steps]]&lt;0,100+(F4439-Table1[[#This Row],[Steps]]),F4439-Table1[[#This Row],[Steps]]),
))</f>
        <v>8</v>
      </c>
      <c r="E4440">
        <f>_xlfn.LET(_xlpm.dir,Table1[[#This Row],[Direction]],
IF(_xlpm.dir="R",
    IF(F4439+Table1[[#This Row],[Steps]]&gt;99,(F4439+Table1[[#This Row],[Steps]])-100,F4439+Table1[[#This Row],[Steps]]),
))</f>
        <v>0</v>
      </c>
      <c r="F4440">
        <f>IF(Table1[[#This Row],[New Pos L]]&lt;&gt;0,Table1[[#This Row],[New Pos L]],Table1[[#This Row],[New Pos R]])</f>
        <v>8</v>
      </c>
    </row>
    <row r="4441" spans="1:6" ht="16" x14ac:dyDescent="0.2">
      <c r="A4441" s="1" t="s">
        <v>38</v>
      </c>
      <c r="B4441" t="str">
        <f>LEFT(Table1[[#This Row],[Input]],1)</f>
        <v>R</v>
      </c>
      <c r="C4441">
        <f>_xlfn.LET(_xlpm.steps,SUBSTITUTE(Table1[[#This Row],[Input]],Table1[[#This Row],[Direction]],""),VALUE(IF(LEN(_xlpm.steps)&gt;2,RIGHT(_xlpm.steps,2),_xlpm.steps)))</f>
        <v>15</v>
      </c>
      <c r="D4441">
        <f>_xlfn.LET(_xlpm.dir,Table1[[#This Row],[Direction]],
IF(_xlpm.dir="L",
    IF(F4440-Table1[[#This Row],[Steps]]&lt;0,100+(F4440-Table1[[#This Row],[Steps]]),F4440-Table1[[#This Row],[Steps]]),
))</f>
        <v>0</v>
      </c>
      <c r="E4441">
        <f>_xlfn.LET(_xlpm.dir,Table1[[#This Row],[Direction]],
IF(_xlpm.dir="R",
    IF(F4440+Table1[[#This Row],[Steps]]&gt;99,(F4440+Table1[[#This Row],[Steps]])-100,F4440+Table1[[#This Row],[Steps]]),
))</f>
        <v>23</v>
      </c>
      <c r="F4441">
        <f>IF(Table1[[#This Row],[New Pos L]]&lt;&gt;0,Table1[[#This Row],[New Pos L]],Table1[[#This Row],[New Pos R]])</f>
        <v>23</v>
      </c>
    </row>
    <row r="4442" spans="1:6" ht="16" x14ac:dyDescent="0.2">
      <c r="A4442" s="1" t="s">
        <v>212</v>
      </c>
      <c r="B4442" t="str">
        <f>LEFT(Table1[[#This Row],[Input]],1)</f>
        <v>R</v>
      </c>
      <c r="C4442">
        <f>_xlfn.LET(_xlpm.steps,SUBSTITUTE(Table1[[#This Row],[Input]],Table1[[#This Row],[Direction]],""),VALUE(IF(LEN(_xlpm.steps)&gt;2,RIGHT(_xlpm.steps,2),_xlpm.steps)))</f>
        <v>77</v>
      </c>
      <c r="D4442">
        <f>_xlfn.LET(_xlpm.dir,Table1[[#This Row],[Direction]],
IF(_xlpm.dir="L",
    IF(F4441-Table1[[#This Row],[Steps]]&lt;0,100+(F4441-Table1[[#This Row],[Steps]]),F4441-Table1[[#This Row],[Steps]]),
))</f>
        <v>0</v>
      </c>
      <c r="E4442">
        <f>_xlfn.LET(_xlpm.dir,Table1[[#This Row],[Direction]],
IF(_xlpm.dir="R",
    IF(F4441+Table1[[#This Row],[Steps]]&gt;99,(F4441+Table1[[#This Row],[Steps]])-100,F4441+Table1[[#This Row],[Steps]]),
))</f>
        <v>0</v>
      </c>
      <c r="F4442">
        <f>IF(Table1[[#This Row],[New Pos L]]&lt;&gt;0,Table1[[#This Row],[New Pos L]],Table1[[#This Row],[New Pos R]])</f>
        <v>0</v>
      </c>
    </row>
    <row r="4443" spans="1:6" ht="16" x14ac:dyDescent="0.2">
      <c r="A4443" s="1" t="s">
        <v>120</v>
      </c>
      <c r="B4443" t="str">
        <f>LEFT(Table1[[#This Row],[Input]],1)</f>
        <v>L</v>
      </c>
      <c r="C4443">
        <f>_xlfn.LET(_xlpm.steps,SUBSTITUTE(Table1[[#This Row],[Input]],Table1[[#This Row],[Direction]],""),VALUE(IF(LEN(_xlpm.steps)&gt;2,RIGHT(_xlpm.steps,2),_xlpm.steps)))</f>
        <v>23</v>
      </c>
      <c r="D4443">
        <f>_xlfn.LET(_xlpm.dir,Table1[[#This Row],[Direction]],
IF(_xlpm.dir="L",
    IF(F4442-Table1[[#This Row],[Steps]]&lt;0,100+(F4442-Table1[[#This Row],[Steps]]),F4442-Table1[[#This Row],[Steps]]),
))</f>
        <v>77</v>
      </c>
      <c r="E4443">
        <f>_xlfn.LET(_xlpm.dir,Table1[[#This Row],[Direction]],
IF(_xlpm.dir="R",
    IF(F4442+Table1[[#This Row],[Steps]]&gt;99,(F4442+Table1[[#This Row],[Steps]])-100,F4442+Table1[[#This Row],[Steps]]),
))</f>
        <v>0</v>
      </c>
      <c r="F4443">
        <f>IF(Table1[[#This Row],[New Pos L]]&lt;&gt;0,Table1[[#This Row],[New Pos L]],Table1[[#This Row],[New Pos R]])</f>
        <v>77</v>
      </c>
    </row>
    <row r="4444" spans="1:6" ht="16" x14ac:dyDescent="0.2">
      <c r="A4444" s="1" t="s">
        <v>68</v>
      </c>
      <c r="B4444" t="str">
        <f>LEFT(Table1[[#This Row],[Input]],1)</f>
        <v>L</v>
      </c>
      <c r="C4444">
        <f>_xlfn.LET(_xlpm.steps,SUBSTITUTE(Table1[[#This Row],[Input]],Table1[[#This Row],[Direction]],""),VALUE(IF(LEN(_xlpm.steps)&gt;2,RIGHT(_xlpm.steps,2),_xlpm.steps)))</f>
        <v>80</v>
      </c>
      <c r="D4444">
        <f>_xlfn.LET(_xlpm.dir,Table1[[#This Row],[Direction]],
IF(_xlpm.dir="L",
    IF(F4443-Table1[[#This Row],[Steps]]&lt;0,100+(F4443-Table1[[#This Row],[Steps]]),F4443-Table1[[#This Row],[Steps]]),
))</f>
        <v>97</v>
      </c>
      <c r="E4444">
        <f>_xlfn.LET(_xlpm.dir,Table1[[#This Row],[Direction]],
IF(_xlpm.dir="R",
    IF(F4443+Table1[[#This Row],[Steps]]&gt;99,(F4443+Table1[[#This Row],[Steps]])-100,F4443+Table1[[#This Row],[Steps]]),
))</f>
        <v>0</v>
      </c>
      <c r="F4444">
        <f>IF(Table1[[#This Row],[New Pos L]]&lt;&gt;0,Table1[[#This Row],[New Pos L]],Table1[[#This Row],[New Pos R]])</f>
        <v>97</v>
      </c>
    </row>
    <row r="4445" spans="1:6" ht="16" x14ac:dyDescent="0.2">
      <c r="A4445" s="1" t="s">
        <v>4</v>
      </c>
      <c r="B4445" t="str">
        <f>LEFT(Table1[[#This Row],[Input]],1)</f>
        <v>R</v>
      </c>
      <c r="C4445">
        <f>_xlfn.LET(_xlpm.steps,SUBSTITUTE(Table1[[#This Row],[Input]],Table1[[#This Row],[Direction]],""),VALUE(IF(LEN(_xlpm.steps)&gt;2,RIGHT(_xlpm.steps,2),_xlpm.steps)))</f>
        <v>3</v>
      </c>
      <c r="D4445">
        <f>_xlfn.LET(_xlpm.dir,Table1[[#This Row],[Direction]],
IF(_xlpm.dir="L",
    IF(F4444-Table1[[#This Row],[Steps]]&lt;0,100+(F4444-Table1[[#This Row],[Steps]]),F4444-Table1[[#This Row],[Steps]]),
))</f>
        <v>0</v>
      </c>
      <c r="E4445">
        <f>_xlfn.LET(_xlpm.dir,Table1[[#This Row],[Direction]],
IF(_xlpm.dir="R",
    IF(F4444+Table1[[#This Row],[Steps]]&gt;99,(F4444+Table1[[#This Row],[Steps]])-100,F4444+Table1[[#This Row],[Steps]]),
))</f>
        <v>0</v>
      </c>
      <c r="F4445">
        <f>IF(Table1[[#This Row],[New Pos L]]&lt;&gt;0,Table1[[#This Row],[New Pos L]],Table1[[#This Row],[New Pos R]])</f>
        <v>0</v>
      </c>
    </row>
    <row r="4446" spans="1:6" ht="16" x14ac:dyDescent="0.2">
      <c r="A4446" s="1" t="s">
        <v>288</v>
      </c>
      <c r="B4446" t="str">
        <f>LEFT(Table1[[#This Row],[Input]],1)</f>
        <v>R</v>
      </c>
      <c r="C4446">
        <f>_xlfn.LET(_xlpm.steps,SUBSTITUTE(Table1[[#This Row],[Input]],Table1[[#This Row],[Direction]],""),VALUE(IF(LEN(_xlpm.steps)&gt;2,RIGHT(_xlpm.steps,2),_xlpm.steps)))</f>
        <v>25</v>
      </c>
      <c r="D4446">
        <f>_xlfn.LET(_xlpm.dir,Table1[[#This Row],[Direction]],
IF(_xlpm.dir="L",
    IF(F4445-Table1[[#This Row],[Steps]]&lt;0,100+(F4445-Table1[[#This Row],[Steps]]),F4445-Table1[[#This Row],[Steps]]),
))</f>
        <v>0</v>
      </c>
      <c r="E4446">
        <f>_xlfn.LET(_xlpm.dir,Table1[[#This Row],[Direction]],
IF(_xlpm.dir="R",
    IF(F4445+Table1[[#This Row],[Steps]]&gt;99,(F4445+Table1[[#This Row],[Steps]])-100,F4445+Table1[[#This Row],[Steps]]),
))</f>
        <v>25</v>
      </c>
      <c r="F4446">
        <f>IF(Table1[[#This Row],[New Pos L]]&lt;&gt;0,Table1[[#This Row],[New Pos L]],Table1[[#This Row],[New Pos R]])</f>
        <v>25</v>
      </c>
    </row>
    <row r="4447" spans="1:6" ht="16" x14ac:dyDescent="0.2">
      <c r="A4447" s="1" t="s">
        <v>89</v>
      </c>
      <c r="B4447" t="str">
        <f>LEFT(Table1[[#This Row],[Input]],1)</f>
        <v>L</v>
      </c>
      <c r="C4447">
        <f>_xlfn.LET(_xlpm.steps,SUBSTITUTE(Table1[[#This Row],[Input]],Table1[[#This Row],[Direction]],""),VALUE(IF(LEN(_xlpm.steps)&gt;2,RIGHT(_xlpm.steps,2),_xlpm.steps)))</f>
        <v>91</v>
      </c>
      <c r="D4447">
        <f>_xlfn.LET(_xlpm.dir,Table1[[#This Row],[Direction]],
IF(_xlpm.dir="L",
    IF(F4446-Table1[[#This Row],[Steps]]&lt;0,100+(F4446-Table1[[#This Row],[Steps]]),F4446-Table1[[#This Row],[Steps]]),
))</f>
        <v>34</v>
      </c>
      <c r="E4447">
        <f>_xlfn.LET(_xlpm.dir,Table1[[#This Row],[Direction]],
IF(_xlpm.dir="R",
    IF(F4446+Table1[[#This Row],[Steps]]&gt;99,(F4446+Table1[[#This Row],[Steps]])-100,F4446+Table1[[#This Row],[Steps]]),
))</f>
        <v>0</v>
      </c>
      <c r="F4447">
        <f>IF(Table1[[#This Row],[New Pos L]]&lt;&gt;0,Table1[[#This Row],[New Pos L]],Table1[[#This Row],[New Pos R]])</f>
        <v>34</v>
      </c>
    </row>
    <row r="4448" spans="1:6" ht="16" x14ac:dyDescent="0.2">
      <c r="A4448" s="1" t="s">
        <v>108</v>
      </c>
      <c r="B4448" t="str">
        <f>LEFT(Table1[[#This Row],[Input]],1)</f>
        <v>R</v>
      </c>
      <c r="C4448">
        <f>_xlfn.LET(_xlpm.steps,SUBSTITUTE(Table1[[#This Row],[Input]],Table1[[#This Row],[Direction]],""),VALUE(IF(LEN(_xlpm.steps)&gt;2,RIGHT(_xlpm.steps,2),_xlpm.steps)))</f>
        <v>66</v>
      </c>
      <c r="D4448">
        <f>_xlfn.LET(_xlpm.dir,Table1[[#This Row],[Direction]],
IF(_xlpm.dir="L",
    IF(F4447-Table1[[#This Row],[Steps]]&lt;0,100+(F4447-Table1[[#This Row],[Steps]]),F4447-Table1[[#This Row],[Steps]]),
))</f>
        <v>0</v>
      </c>
      <c r="E4448">
        <f>_xlfn.LET(_xlpm.dir,Table1[[#This Row],[Direction]],
IF(_xlpm.dir="R",
    IF(F4447+Table1[[#This Row],[Steps]]&gt;99,(F4447+Table1[[#This Row],[Steps]])-100,F4447+Table1[[#This Row],[Steps]]),
))</f>
        <v>0</v>
      </c>
      <c r="F4448">
        <f>IF(Table1[[#This Row],[New Pos L]]&lt;&gt;0,Table1[[#This Row],[New Pos L]],Table1[[#This Row],[New Pos R]])</f>
        <v>0</v>
      </c>
    </row>
    <row r="4449" spans="1:6" ht="16" x14ac:dyDescent="0.2">
      <c r="A4449" s="1" t="s">
        <v>104</v>
      </c>
      <c r="B4449" t="str">
        <f>LEFT(Table1[[#This Row],[Input]],1)</f>
        <v>R</v>
      </c>
      <c r="C4449">
        <f>_xlfn.LET(_xlpm.steps,SUBSTITUTE(Table1[[#This Row],[Input]],Table1[[#This Row],[Direction]],""),VALUE(IF(LEN(_xlpm.steps)&gt;2,RIGHT(_xlpm.steps,2),_xlpm.steps)))</f>
        <v>59</v>
      </c>
      <c r="D4449">
        <f>_xlfn.LET(_xlpm.dir,Table1[[#This Row],[Direction]],
IF(_xlpm.dir="L",
    IF(F4448-Table1[[#This Row],[Steps]]&lt;0,100+(F4448-Table1[[#This Row],[Steps]]),F4448-Table1[[#This Row],[Steps]]),
))</f>
        <v>0</v>
      </c>
      <c r="E4449">
        <f>_xlfn.LET(_xlpm.dir,Table1[[#This Row],[Direction]],
IF(_xlpm.dir="R",
    IF(F4448+Table1[[#This Row],[Steps]]&gt;99,(F4448+Table1[[#This Row],[Steps]])-100,F4448+Table1[[#This Row],[Steps]]),
))</f>
        <v>59</v>
      </c>
      <c r="F4449">
        <f>IF(Table1[[#This Row],[New Pos L]]&lt;&gt;0,Table1[[#This Row],[New Pos L]],Table1[[#This Row],[New Pos R]])</f>
        <v>59</v>
      </c>
    </row>
    <row r="4450" spans="1:6" ht="16" x14ac:dyDescent="0.2">
      <c r="A4450" s="1" t="s">
        <v>174</v>
      </c>
      <c r="B4450" t="str">
        <f>LEFT(Table1[[#This Row],[Input]],1)</f>
        <v>L</v>
      </c>
      <c r="C4450">
        <f>_xlfn.LET(_xlpm.steps,SUBSTITUTE(Table1[[#This Row],[Input]],Table1[[#This Row],[Direction]],""),VALUE(IF(LEN(_xlpm.steps)&gt;2,RIGHT(_xlpm.steps,2),_xlpm.steps)))</f>
        <v>92</v>
      </c>
      <c r="D4450">
        <f>_xlfn.LET(_xlpm.dir,Table1[[#This Row],[Direction]],
IF(_xlpm.dir="L",
    IF(F4449-Table1[[#This Row],[Steps]]&lt;0,100+(F4449-Table1[[#This Row],[Steps]]),F4449-Table1[[#This Row],[Steps]]),
))</f>
        <v>67</v>
      </c>
      <c r="E4450">
        <f>_xlfn.LET(_xlpm.dir,Table1[[#This Row],[Direction]],
IF(_xlpm.dir="R",
    IF(F4449+Table1[[#This Row],[Steps]]&gt;99,(F4449+Table1[[#This Row],[Steps]])-100,F4449+Table1[[#This Row],[Steps]]),
))</f>
        <v>0</v>
      </c>
      <c r="F4450">
        <f>IF(Table1[[#This Row],[New Pos L]]&lt;&gt;0,Table1[[#This Row],[New Pos L]],Table1[[#This Row],[New Pos R]])</f>
        <v>67</v>
      </c>
    </row>
    <row r="4451" spans="1:6" ht="16" x14ac:dyDescent="0.2">
      <c r="A4451" s="1" t="s">
        <v>319</v>
      </c>
      <c r="B4451" t="str">
        <f>LEFT(Table1[[#This Row],[Input]],1)</f>
        <v>L</v>
      </c>
      <c r="C4451">
        <f>_xlfn.LET(_xlpm.steps,SUBSTITUTE(Table1[[#This Row],[Input]],Table1[[#This Row],[Direction]],""),VALUE(IF(LEN(_xlpm.steps)&gt;2,RIGHT(_xlpm.steps,2),_xlpm.steps)))</f>
        <v>79</v>
      </c>
      <c r="D4451">
        <f>_xlfn.LET(_xlpm.dir,Table1[[#This Row],[Direction]],
IF(_xlpm.dir="L",
    IF(F4450-Table1[[#This Row],[Steps]]&lt;0,100+(F4450-Table1[[#This Row],[Steps]]),F4450-Table1[[#This Row],[Steps]]),
))</f>
        <v>88</v>
      </c>
      <c r="E4451">
        <f>_xlfn.LET(_xlpm.dir,Table1[[#This Row],[Direction]],
IF(_xlpm.dir="R",
    IF(F4450+Table1[[#This Row],[Steps]]&gt;99,(F4450+Table1[[#This Row],[Steps]])-100,F4450+Table1[[#This Row],[Steps]]),
))</f>
        <v>0</v>
      </c>
      <c r="F4451">
        <f>IF(Table1[[#This Row],[New Pos L]]&lt;&gt;0,Table1[[#This Row],[New Pos L]],Table1[[#This Row],[New Pos R]])</f>
        <v>88</v>
      </c>
    </row>
    <row r="4452" spans="1:6" ht="16" x14ac:dyDescent="0.2">
      <c r="A4452" s="1" t="s">
        <v>157</v>
      </c>
      <c r="B4452" t="str">
        <f>LEFT(Table1[[#This Row],[Input]],1)</f>
        <v>R</v>
      </c>
      <c r="C4452">
        <f>_xlfn.LET(_xlpm.steps,SUBSTITUTE(Table1[[#This Row],[Input]],Table1[[#This Row],[Direction]],""),VALUE(IF(LEN(_xlpm.steps)&gt;2,RIGHT(_xlpm.steps,2),_xlpm.steps)))</f>
        <v>68</v>
      </c>
      <c r="D4452">
        <f>_xlfn.LET(_xlpm.dir,Table1[[#This Row],[Direction]],
IF(_xlpm.dir="L",
    IF(F4451-Table1[[#This Row],[Steps]]&lt;0,100+(F4451-Table1[[#This Row],[Steps]]),F4451-Table1[[#This Row],[Steps]]),
))</f>
        <v>0</v>
      </c>
      <c r="E4452">
        <f>_xlfn.LET(_xlpm.dir,Table1[[#This Row],[Direction]],
IF(_xlpm.dir="R",
    IF(F4451+Table1[[#This Row],[Steps]]&gt;99,(F4451+Table1[[#This Row],[Steps]])-100,F4451+Table1[[#This Row],[Steps]]),
))</f>
        <v>56</v>
      </c>
      <c r="F4452">
        <f>IF(Table1[[#This Row],[New Pos L]]&lt;&gt;0,Table1[[#This Row],[New Pos L]],Table1[[#This Row],[New Pos R]])</f>
        <v>56</v>
      </c>
    </row>
    <row r="4453" spans="1:6" ht="16" x14ac:dyDescent="0.2">
      <c r="A4453" s="1" t="s">
        <v>3</v>
      </c>
      <c r="B4453" t="str">
        <f>LEFT(Table1[[#This Row],[Input]],1)</f>
        <v>R</v>
      </c>
      <c r="C4453">
        <f>_xlfn.LET(_xlpm.steps,SUBSTITUTE(Table1[[#This Row],[Input]],Table1[[#This Row],[Direction]],""),VALUE(IF(LEN(_xlpm.steps)&gt;2,RIGHT(_xlpm.steps,2),_xlpm.steps)))</f>
        <v>44</v>
      </c>
      <c r="D4453">
        <f>_xlfn.LET(_xlpm.dir,Table1[[#This Row],[Direction]],
IF(_xlpm.dir="L",
    IF(F4452-Table1[[#This Row],[Steps]]&lt;0,100+(F4452-Table1[[#This Row],[Steps]]),F4452-Table1[[#This Row],[Steps]]),
))</f>
        <v>0</v>
      </c>
      <c r="E4453">
        <f>_xlfn.LET(_xlpm.dir,Table1[[#This Row],[Direction]],
IF(_xlpm.dir="R",
    IF(F4452+Table1[[#This Row],[Steps]]&gt;99,(F4452+Table1[[#This Row],[Steps]])-100,F4452+Table1[[#This Row],[Steps]]),
))</f>
        <v>0</v>
      </c>
      <c r="F4453">
        <f>IF(Table1[[#This Row],[New Pos L]]&lt;&gt;0,Table1[[#This Row],[New Pos L]],Table1[[#This Row],[New Pos R]])</f>
        <v>0</v>
      </c>
    </row>
    <row r="4454" spans="1:6" ht="16" x14ac:dyDescent="0.2">
      <c r="A4454" s="1" t="s">
        <v>44</v>
      </c>
      <c r="B4454" t="str">
        <f>LEFT(Table1[[#This Row],[Input]],1)</f>
        <v>R</v>
      </c>
      <c r="C4454">
        <f>_xlfn.LET(_xlpm.steps,SUBSTITUTE(Table1[[#This Row],[Input]],Table1[[#This Row],[Direction]],""),VALUE(IF(LEN(_xlpm.steps)&gt;2,RIGHT(_xlpm.steps,2),_xlpm.steps)))</f>
        <v>96</v>
      </c>
      <c r="D4454">
        <f>_xlfn.LET(_xlpm.dir,Table1[[#This Row],[Direction]],
IF(_xlpm.dir="L",
    IF(F4453-Table1[[#This Row],[Steps]]&lt;0,100+(F4453-Table1[[#This Row],[Steps]]),F4453-Table1[[#This Row],[Steps]]),
))</f>
        <v>0</v>
      </c>
      <c r="E4454">
        <f>_xlfn.LET(_xlpm.dir,Table1[[#This Row],[Direction]],
IF(_xlpm.dir="R",
    IF(F4453+Table1[[#This Row],[Steps]]&gt;99,(F4453+Table1[[#This Row],[Steps]])-100,F4453+Table1[[#This Row],[Steps]]),
))</f>
        <v>96</v>
      </c>
      <c r="F4454">
        <f>IF(Table1[[#This Row],[New Pos L]]&lt;&gt;0,Table1[[#This Row],[New Pos L]],Table1[[#This Row],[New Pos R]])</f>
        <v>96</v>
      </c>
    </row>
    <row r="4455" spans="1:6" ht="16" x14ac:dyDescent="0.2">
      <c r="A4455" s="1" t="s">
        <v>15</v>
      </c>
      <c r="B4455" t="str">
        <f>LEFT(Table1[[#This Row],[Input]],1)</f>
        <v>R</v>
      </c>
      <c r="C4455">
        <f>_xlfn.LET(_xlpm.steps,SUBSTITUTE(Table1[[#This Row],[Input]],Table1[[#This Row],[Direction]],""),VALUE(IF(LEN(_xlpm.steps)&gt;2,RIGHT(_xlpm.steps,2),_xlpm.steps)))</f>
        <v>36</v>
      </c>
      <c r="D4455">
        <f>_xlfn.LET(_xlpm.dir,Table1[[#This Row],[Direction]],
IF(_xlpm.dir="L",
    IF(F4454-Table1[[#This Row],[Steps]]&lt;0,100+(F4454-Table1[[#This Row],[Steps]]),F4454-Table1[[#This Row],[Steps]]),
))</f>
        <v>0</v>
      </c>
      <c r="E4455">
        <f>_xlfn.LET(_xlpm.dir,Table1[[#This Row],[Direction]],
IF(_xlpm.dir="R",
    IF(F4454+Table1[[#This Row],[Steps]]&gt;99,(F4454+Table1[[#This Row],[Steps]])-100,F4454+Table1[[#This Row],[Steps]]),
))</f>
        <v>32</v>
      </c>
      <c r="F4455">
        <f>IF(Table1[[#This Row],[New Pos L]]&lt;&gt;0,Table1[[#This Row],[New Pos L]],Table1[[#This Row],[New Pos R]])</f>
        <v>32</v>
      </c>
    </row>
    <row r="4456" spans="1:6" ht="16" x14ac:dyDescent="0.2">
      <c r="A4456" s="1" t="s">
        <v>167</v>
      </c>
      <c r="B4456" t="str">
        <f>LEFT(Table1[[#This Row],[Input]],1)</f>
        <v>L</v>
      </c>
      <c r="C4456">
        <f>_xlfn.LET(_xlpm.steps,SUBSTITUTE(Table1[[#This Row],[Input]],Table1[[#This Row],[Direction]],""),VALUE(IF(LEN(_xlpm.steps)&gt;2,RIGHT(_xlpm.steps,2),_xlpm.steps)))</f>
        <v>59</v>
      </c>
      <c r="D4456">
        <f>_xlfn.LET(_xlpm.dir,Table1[[#This Row],[Direction]],
IF(_xlpm.dir="L",
    IF(F4455-Table1[[#This Row],[Steps]]&lt;0,100+(F4455-Table1[[#This Row],[Steps]]),F4455-Table1[[#This Row],[Steps]]),
))</f>
        <v>73</v>
      </c>
      <c r="E4456">
        <f>_xlfn.LET(_xlpm.dir,Table1[[#This Row],[Direction]],
IF(_xlpm.dir="R",
    IF(F4455+Table1[[#This Row],[Steps]]&gt;99,(F4455+Table1[[#This Row],[Steps]])-100,F4455+Table1[[#This Row],[Steps]]),
))</f>
        <v>0</v>
      </c>
      <c r="F4456">
        <f>IF(Table1[[#This Row],[New Pos L]]&lt;&gt;0,Table1[[#This Row],[New Pos L]],Table1[[#This Row],[New Pos R]])</f>
        <v>73</v>
      </c>
    </row>
    <row r="4457" spans="1:6" ht="16" x14ac:dyDescent="0.2">
      <c r="A4457" s="1" t="s">
        <v>27</v>
      </c>
      <c r="B4457" t="str">
        <f>LEFT(Table1[[#This Row],[Input]],1)</f>
        <v>L</v>
      </c>
      <c r="C4457">
        <f>_xlfn.LET(_xlpm.steps,SUBSTITUTE(Table1[[#This Row],[Input]],Table1[[#This Row],[Direction]],""),VALUE(IF(LEN(_xlpm.steps)&gt;2,RIGHT(_xlpm.steps,2),_xlpm.steps)))</f>
        <v>14</v>
      </c>
      <c r="D4457">
        <f>_xlfn.LET(_xlpm.dir,Table1[[#This Row],[Direction]],
IF(_xlpm.dir="L",
    IF(F4456-Table1[[#This Row],[Steps]]&lt;0,100+(F4456-Table1[[#This Row],[Steps]]),F4456-Table1[[#This Row],[Steps]]),
))</f>
        <v>59</v>
      </c>
      <c r="E4457">
        <f>_xlfn.LET(_xlpm.dir,Table1[[#This Row],[Direction]],
IF(_xlpm.dir="R",
    IF(F4456+Table1[[#This Row],[Steps]]&gt;99,(F4456+Table1[[#This Row],[Steps]])-100,F4456+Table1[[#This Row],[Steps]]),
))</f>
        <v>0</v>
      </c>
      <c r="F4457">
        <f>IF(Table1[[#This Row],[New Pos L]]&lt;&gt;0,Table1[[#This Row],[New Pos L]],Table1[[#This Row],[New Pos R]])</f>
        <v>59</v>
      </c>
    </row>
    <row r="4458" spans="1:6" ht="16" x14ac:dyDescent="0.2">
      <c r="A4458" s="1" t="s">
        <v>49</v>
      </c>
      <c r="B4458" t="str">
        <f>LEFT(Table1[[#This Row],[Input]],1)</f>
        <v>L</v>
      </c>
      <c r="C4458">
        <f>_xlfn.LET(_xlpm.steps,SUBSTITUTE(Table1[[#This Row],[Input]],Table1[[#This Row],[Direction]],""),VALUE(IF(LEN(_xlpm.steps)&gt;2,RIGHT(_xlpm.steps,2),_xlpm.steps)))</f>
        <v>93</v>
      </c>
      <c r="D4458">
        <f>_xlfn.LET(_xlpm.dir,Table1[[#This Row],[Direction]],
IF(_xlpm.dir="L",
    IF(F4457-Table1[[#This Row],[Steps]]&lt;0,100+(F4457-Table1[[#This Row],[Steps]]),F4457-Table1[[#This Row],[Steps]]),
))</f>
        <v>66</v>
      </c>
      <c r="E4458">
        <f>_xlfn.LET(_xlpm.dir,Table1[[#This Row],[Direction]],
IF(_xlpm.dir="R",
    IF(F4457+Table1[[#This Row],[Steps]]&gt;99,(F4457+Table1[[#This Row],[Steps]])-100,F4457+Table1[[#This Row],[Steps]]),
))</f>
        <v>0</v>
      </c>
      <c r="F4458">
        <f>IF(Table1[[#This Row],[New Pos L]]&lt;&gt;0,Table1[[#This Row],[New Pos L]],Table1[[#This Row],[New Pos R]])</f>
        <v>66</v>
      </c>
    </row>
    <row r="4459" spans="1:6" ht="16" x14ac:dyDescent="0.2">
      <c r="A4459" s="1" t="s">
        <v>65</v>
      </c>
      <c r="B4459" t="str">
        <f>LEFT(Table1[[#This Row],[Input]],1)</f>
        <v>L</v>
      </c>
      <c r="C4459">
        <f>_xlfn.LET(_xlpm.steps,SUBSTITUTE(Table1[[#This Row],[Input]],Table1[[#This Row],[Direction]],""),VALUE(IF(LEN(_xlpm.steps)&gt;2,RIGHT(_xlpm.steps,2),_xlpm.steps)))</f>
        <v>19</v>
      </c>
      <c r="D4459">
        <f>_xlfn.LET(_xlpm.dir,Table1[[#This Row],[Direction]],
IF(_xlpm.dir="L",
    IF(F4458-Table1[[#This Row],[Steps]]&lt;0,100+(F4458-Table1[[#This Row],[Steps]]),F4458-Table1[[#This Row],[Steps]]),
))</f>
        <v>47</v>
      </c>
      <c r="E4459">
        <f>_xlfn.LET(_xlpm.dir,Table1[[#This Row],[Direction]],
IF(_xlpm.dir="R",
    IF(F4458+Table1[[#This Row],[Steps]]&gt;99,(F4458+Table1[[#This Row],[Steps]])-100,F4458+Table1[[#This Row],[Steps]]),
))</f>
        <v>0</v>
      </c>
      <c r="F4459">
        <f>IF(Table1[[#This Row],[New Pos L]]&lt;&gt;0,Table1[[#This Row],[New Pos L]],Table1[[#This Row],[New Pos R]])</f>
        <v>47</v>
      </c>
    </row>
    <row r="4460" spans="1:6" ht="16" x14ac:dyDescent="0.2">
      <c r="A4460" s="1" t="s">
        <v>165</v>
      </c>
      <c r="B4460" t="str">
        <f>LEFT(Table1[[#This Row],[Input]],1)</f>
        <v>R</v>
      </c>
      <c r="C4460">
        <f>_xlfn.LET(_xlpm.steps,SUBSTITUTE(Table1[[#This Row],[Input]],Table1[[#This Row],[Direction]],""),VALUE(IF(LEN(_xlpm.steps)&gt;2,RIGHT(_xlpm.steps,2),_xlpm.steps)))</f>
        <v>55</v>
      </c>
      <c r="D4460">
        <f>_xlfn.LET(_xlpm.dir,Table1[[#This Row],[Direction]],
IF(_xlpm.dir="L",
    IF(F4459-Table1[[#This Row],[Steps]]&lt;0,100+(F4459-Table1[[#This Row],[Steps]]),F4459-Table1[[#This Row],[Steps]]),
))</f>
        <v>0</v>
      </c>
      <c r="E4460">
        <f>_xlfn.LET(_xlpm.dir,Table1[[#This Row],[Direction]],
IF(_xlpm.dir="R",
    IF(F4459+Table1[[#This Row],[Steps]]&gt;99,(F4459+Table1[[#This Row],[Steps]])-100,F4459+Table1[[#This Row],[Steps]]),
))</f>
        <v>2</v>
      </c>
      <c r="F4460">
        <f>IF(Table1[[#This Row],[New Pos L]]&lt;&gt;0,Table1[[#This Row],[New Pos L]],Table1[[#This Row],[New Pos R]])</f>
        <v>2</v>
      </c>
    </row>
    <row r="4461" spans="1:6" ht="16" x14ac:dyDescent="0.2">
      <c r="A4461" s="1" t="s">
        <v>67</v>
      </c>
      <c r="B4461" t="str">
        <f>LEFT(Table1[[#This Row],[Input]],1)</f>
        <v>R</v>
      </c>
      <c r="C4461">
        <f>_xlfn.LET(_xlpm.steps,SUBSTITUTE(Table1[[#This Row],[Input]],Table1[[#This Row],[Direction]],""),VALUE(IF(LEN(_xlpm.steps)&gt;2,RIGHT(_xlpm.steps,2),_xlpm.steps)))</f>
        <v>33</v>
      </c>
      <c r="D4461">
        <f>_xlfn.LET(_xlpm.dir,Table1[[#This Row],[Direction]],
IF(_xlpm.dir="L",
    IF(F4460-Table1[[#This Row],[Steps]]&lt;0,100+(F4460-Table1[[#This Row],[Steps]]),F4460-Table1[[#This Row],[Steps]]),
))</f>
        <v>0</v>
      </c>
      <c r="E4461">
        <f>_xlfn.LET(_xlpm.dir,Table1[[#This Row],[Direction]],
IF(_xlpm.dir="R",
    IF(F4460+Table1[[#This Row],[Steps]]&gt;99,(F4460+Table1[[#This Row],[Steps]])-100,F4460+Table1[[#This Row],[Steps]]),
))</f>
        <v>35</v>
      </c>
      <c r="F4461">
        <f>IF(Table1[[#This Row],[New Pos L]]&lt;&gt;0,Table1[[#This Row],[New Pos L]],Table1[[#This Row],[New Pos R]])</f>
        <v>35</v>
      </c>
    </row>
    <row r="4462" spans="1:6" ht="16" x14ac:dyDescent="0.2">
      <c r="A4462" s="1" t="s">
        <v>174</v>
      </c>
      <c r="B4462" t="str">
        <f>LEFT(Table1[[#This Row],[Input]],1)</f>
        <v>L</v>
      </c>
      <c r="C4462">
        <f>_xlfn.LET(_xlpm.steps,SUBSTITUTE(Table1[[#This Row],[Input]],Table1[[#This Row],[Direction]],""),VALUE(IF(LEN(_xlpm.steps)&gt;2,RIGHT(_xlpm.steps,2),_xlpm.steps)))</f>
        <v>92</v>
      </c>
      <c r="D4462">
        <f>_xlfn.LET(_xlpm.dir,Table1[[#This Row],[Direction]],
IF(_xlpm.dir="L",
    IF(F4461-Table1[[#This Row],[Steps]]&lt;0,100+(F4461-Table1[[#This Row],[Steps]]),F4461-Table1[[#This Row],[Steps]]),
))</f>
        <v>43</v>
      </c>
      <c r="E4462">
        <f>_xlfn.LET(_xlpm.dir,Table1[[#This Row],[Direction]],
IF(_xlpm.dir="R",
    IF(F4461+Table1[[#This Row],[Steps]]&gt;99,(F4461+Table1[[#This Row],[Steps]])-100,F4461+Table1[[#This Row],[Steps]]),
))</f>
        <v>0</v>
      </c>
      <c r="F4462">
        <f>IF(Table1[[#This Row],[New Pos L]]&lt;&gt;0,Table1[[#This Row],[New Pos L]],Table1[[#This Row],[New Pos R]])</f>
        <v>43</v>
      </c>
    </row>
    <row r="4463" spans="1:6" ht="16" x14ac:dyDescent="0.2">
      <c r="A4463" s="1" t="s">
        <v>182</v>
      </c>
      <c r="B4463" t="str">
        <f>LEFT(Table1[[#This Row],[Input]],1)</f>
        <v>L</v>
      </c>
      <c r="C4463">
        <f>_xlfn.LET(_xlpm.steps,SUBSTITUTE(Table1[[#This Row],[Input]],Table1[[#This Row],[Direction]],""),VALUE(IF(LEN(_xlpm.steps)&gt;2,RIGHT(_xlpm.steps,2),_xlpm.steps)))</f>
        <v>3</v>
      </c>
      <c r="D4463">
        <f>_xlfn.LET(_xlpm.dir,Table1[[#This Row],[Direction]],
IF(_xlpm.dir="L",
    IF(F4462-Table1[[#This Row],[Steps]]&lt;0,100+(F4462-Table1[[#This Row],[Steps]]),F4462-Table1[[#This Row],[Steps]]),
))</f>
        <v>40</v>
      </c>
      <c r="E4463">
        <f>_xlfn.LET(_xlpm.dir,Table1[[#This Row],[Direction]],
IF(_xlpm.dir="R",
    IF(F4462+Table1[[#This Row],[Steps]]&gt;99,(F4462+Table1[[#This Row],[Steps]])-100,F4462+Table1[[#This Row],[Steps]]),
))</f>
        <v>0</v>
      </c>
      <c r="F4463">
        <f>IF(Table1[[#This Row],[New Pos L]]&lt;&gt;0,Table1[[#This Row],[New Pos L]],Table1[[#This Row],[New Pos R]])</f>
        <v>40</v>
      </c>
    </row>
    <row r="4464" spans="1:6" ht="16" x14ac:dyDescent="0.2">
      <c r="A4464" s="1" t="s">
        <v>213</v>
      </c>
      <c r="B4464" t="str">
        <f>LEFT(Table1[[#This Row],[Input]],1)</f>
        <v>R</v>
      </c>
      <c r="C4464">
        <f>_xlfn.LET(_xlpm.steps,SUBSTITUTE(Table1[[#This Row],[Input]],Table1[[#This Row],[Direction]],""),VALUE(IF(LEN(_xlpm.steps)&gt;2,RIGHT(_xlpm.steps,2),_xlpm.steps)))</f>
        <v>87</v>
      </c>
      <c r="D4464">
        <f>_xlfn.LET(_xlpm.dir,Table1[[#This Row],[Direction]],
IF(_xlpm.dir="L",
    IF(F4463-Table1[[#This Row],[Steps]]&lt;0,100+(F4463-Table1[[#This Row],[Steps]]),F4463-Table1[[#This Row],[Steps]]),
))</f>
        <v>0</v>
      </c>
      <c r="E4464">
        <f>_xlfn.LET(_xlpm.dir,Table1[[#This Row],[Direction]],
IF(_xlpm.dir="R",
    IF(F4463+Table1[[#This Row],[Steps]]&gt;99,(F4463+Table1[[#This Row],[Steps]])-100,F4463+Table1[[#This Row],[Steps]]),
))</f>
        <v>27</v>
      </c>
      <c r="F4464">
        <f>IF(Table1[[#This Row],[New Pos L]]&lt;&gt;0,Table1[[#This Row],[New Pos L]],Table1[[#This Row],[New Pos R]])</f>
        <v>27</v>
      </c>
    </row>
    <row r="4465" spans="1:6" ht="16" x14ac:dyDescent="0.2">
      <c r="A4465" s="1" t="s">
        <v>293</v>
      </c>
      <c r="B4465" t="str">
        <f>LEFT(Table1[[#This Row],[Input]],1)</f>
        <v>R</v>
      </c>
      <c r="C4465">
        <f>_xlfn.LET(_xlpm.steps,SUBSTITUTE(Table1[[#This Row],[Input]],Table1[[#This Row],[Direction]],""),VALUE(IF(LEN(_xlpm.steps)&gt;2,RIGHT(_xlpm.steps,2),_xlpm.steps)))</f>
        <v>67</v>
      </c>
      <c r="D4465">
        <f>_xlfn.LET(_xlpm.dir,Table1[[#This Row],[Direction]],
IF(_xlpm.dir="L",
    IF(F4464-Table1[[#This Row],[Steps]]&lt;0,100+(F4464-Table1[[#This Row],[Steps]]),F4464-Table1[[#This Row],[Steps]]),
))</f>
        <v>0</v>
      </c>
      <c r="E4465">
        <f>_xlfn.LET(_xlpm.dir,Table1[[#This Row],[Direction]],
IF(_xlpm.dir="R",
    IF(F4464+Table1[[#This Row],[Steps]]&gt;99,(F4464+Table1[[#This Row],[Steps]])-100,F4464+Table1[[#This Row],[Steps]]),
))</f>
        <v>94</v>
      </c>
      <c r="F4465">
        <f>IF(Table1[[#This Row],[New Pos L]]&lt;&gt;0,Table1[[#This Row],[New Pos L]],Table1[[#This Row],[New Pos R]])</f>
        <v>94</v>
      </c>
    </row>
    <row r="4466" spans="1:6" ht="16" x14ac:dyDescent="0.2">
      <c r="A4466" s="1" t="s">
        <v>138</v>
      </c>
      <c r="B4466" t="str">
        <f>LEFT(Table1[[#This Row],[Input]],1)</f>
        <v>L</v>
      </c>
      <c r="C4466">
        <f>_xlfn.LET(_xlpm.steps,SUBSTITUTE(Table1[[#This Row],[Input]],Table1[[#This Row],[Direction]],""),VALUE(IF(LEN(_xlpm.steps)&gt;2,RIGHT(_xlpm.steps,2),_xlpm.steps)))</f>
        <v>94</v>
      </c>
      <c r="D4466">
        <f>_xlfn.LET(_xlpm.dir,Table1[[#This Row],[Direction]],
IF(_xlpm.dir="L",
    IF(F4465-Table1[[#This Row],[Steps]]&lt;0,100+(F4465-Table1[[#This Row],[Steps]]),F4465-Table1[[#This Row],[Steps]]),
))</f>
        <v>0</v>
      </c>
      <c r="E4466">
        <f>_xlfn.LET(_xlpm.dir,Table1[[#This Row],[Direction]],
IF(_xlpm.dir="R",
    IF(F4465+Table1[[#This Row],[Steps]]&gt;99,(F4465+Table1[[#This Row],[Steps]])-100,F4465+Table1[[#This Row],[Steps]]),
))</f>
        <v>0</v>
      </c>
      <c r="F4466">
        <f>IF(Table1[[#This Row],[New Pos L]]&lt;&gt;0,Table1[[#This Row],[New Pos L]],Table1[[#This Row],[New Pos R]])</f>
        <v>0</v>
      </c>
    </row>
    <row r="4467" spans="1:6" ht="16" x14ac:dyDescent="0.2">
      <c r="A4467" s="1" t="s">
        <v>218</v>
      </c>
      <c r="B4467" t="str">
        <f>LEFT(Table1[[#This Row],[Input]],1)</f>
        <v>R</v>
      </c>
      <c r="C4467">
        <f>_xlfn.LET(_xlpm.steps,SUBSTITUTE(Table1[[#This Row],[Input]],Table1[[#This Row],[Direction]],""),VALUE(IF(LEN(_xlpm.steps)&gt;2,RIGHT(_xlpm.steps,2),_xlpm.steps)))</f>
        <v>35</v>
      </c>
      <c r="D4467">
        <f>_xlfn.LET(_xlpm.dir,Table1[[#This Row],[Direction]],
IF(_xlpm.dir="L",
    IF(F4466-Table1[[#This Row],[Steps]]&lt;0,100+(F4466-Table1[[#This Row],[Steps]]),F4466-Table1[[#This Row],[Steps]]),
))</f>
        <v>0</v>
      </c>
      <c r="E4467">
        <f>_xlfn.LET(_xlpm.dir,Table1[[#This Row],[Direction]],
IF(_xlpm.dir="R",
    IF(F4466+Table1[[#This Row],[Steps]]&gt;99,(F4466+Table1[[#This Row],[Steps]])-100,F4466+Table1[[#This Row],[Steps]]),
))</f>
        <v>35</v>
      </c>
      <c r="F4467">
        <f>IF(Table1[[#This Row],[New Pos L]]&lt;&gt;0,Table1[[#This Row],[New Pos L]],Table1[[#This Row],[New Pos R]])</f>
        <v>35</v>
      </c>
    </row>
    <row r="4468" spans="1:6" ht="16" x14ac:dyDescent="0.2">
      <c r="A4468" s="1" t="s">
        <v>241</v>
      </c>
      <c r="B4468" t="str">
        <f>LEFT(Table1[[#This Row],[Input]],1)</f>
        <v>R</v>
      </c>
      <c r="C4468">
        <f>_xlfn.LET(_xlpm.steps,SUBSTITUTE(Table1[[#This Row],[Input]],Table1[[#This Row],[Direction]],""),VALUE(IF(LEN(_xlpm.steps)&gt;2,RIGHT(_xlpm.steps,2),_xlpm.steps)))</f>
        <v>60</v>
      </c>
      <c r="D4468">
        <f>_xlfn.LET(_xlpm.dir,Table1[[#This Row],[Direction]],
IF(_xlpm.dir="L",
    IF(F4467-Table1[[#This Row],[Steps]]&lt;0,100+(F4467-Table1[[#This Row],[Steps]]),F4467-Table1[[#This Row],[Steps]]),
))</f>
        <v>0</v>
      </c>
      <c r="E4468">
        <f>_xlfn.LET(_xlpm.dir,Table1[[#This Row],[Direction]],
IF(_xlpm.dir="R",
    IF(F4467+Table1[[#This Row],[Steps]]&gt;99,(F4467+Table1[[#This Row],[Steps]])-100,F4467+Table1[[#This Row],[Steps]]),
))</f>
        <v>95</v>
      </c>
      <c r="F4468">
        <f>IF(Table1[[#This Row],[New Pos L]]&lt;&gt;0,Table1[[#This Row],[New Pos L]],Table1[[#This Row],[New Pos R]])</f>
        <v>95</v>
      </c>
    </row>
    <row r="4469" spans="1:6" ht="16" x14ac:dyDescent="0.2">
      <c r="A4469" s="1" t="s">
        <v>61</v>
      </c>
      <c r="B4469" t="str">
        <f>LEFT(Table1[[#This Row],[Input]],1)</f>
        <v>L</v>
      </c>
      <c r="C4469">
        <f>_xlfn.LET(_xlpm.steps,SUBSTITUTE(Table1[[#This Row],[Input]],Table1[[#This Row],[Direction]],""),VALUE(IF(LEN(_xlpm.steps)&gt;2,RIGHT(_xlpm.steps,2),_xlpm.steps)))</f>
        <v>16</v>
      </c>
      <c r="D4469">
        <f>_xlfn.LET(_xlpm.dir,Table1[[#This Row],[Direction]],
IF(_xlpm.dir="L",
    IF(F4468-Table1[[#This Row],[Steps]]&lt;0,100+(F4468-Table1[[#This Row],[Steps]]),F4468-Table1[[#This Row],[Steps]]),
))</f>
        <v>79</v>
      </c>
      <c r="E4469">
        <f>_xlfn.LET(_xlpm.dir,Table1[[#This Row],[Direction]],
IF(_xlpm.dir="R",
    IF(F4468+Table1[[#This Row],[Steps]]&gt;99,(F4468+Table1[[#This Row],[Steps]])-100,F4468+Table1[[#This Row],[Steps]]),
))</f>
        <v>0</v>
      </c>
      <c r="F4469">
        <f>IF(Table1[[#This Row],[New Pos L]]&lt;&gt;0,Table1[[#This Row],[New Pos L]],Table1[[#This Row],[New Pos R]])</f>
        <v>79</v>
      </c>
    </row>
    <row r="4470" spans="1:6" ht="16" x14ac:dyDescent="0.2">
      <c r="A4470" s="1" t="s">
        <v>278</v>
      </c>
      <c r="B4470" t="str">
        <f>LEFT(Table1[[#This Row],[Input]],1)</f>
        <v>L</v>
      </c>
      <c r="C4470">
        <f>_xlfn.LET(_xlpm.steps,SUBSTITUTE(Table1[[#This Row],[Input]],Table1[[#This Row],[Direction]],""),VALUE(IF(LEN(_xlpm.steps)&gt;2,RIGHT(_xlpm.steps,2),_xlpm.steps)))</f>
        <v>40</v>
      </c>
      <c r="D4470">
        <f>_xlfn.LET(_xlpm.dir,Table1[[#This Row],[Direction]],
IF(_xlpm.dir="L",
    IF(F4469-Table1[[#This Row],[Steps]]&lt;0,100+(F4469-Table1[[#This Row],[Steps]]),F4469-Table1[[#This Row],[Steps]]),
))</f>
        <v>39</v>
      </c>
      <c r="E4470">
        <f>_xlfn.LET(_xlpm.dir,Table1[[#This Row],[Direction]],
IF(_xlpm.dir="R",
    IF(F4469+Table1[[#This Row],[Steps]]&gt;99,(F4469+Table1[[#This Row],[Steps]])-100,F4469+Table1[[#This Row],[Steps]]),
))</f>
        <v>0</v>
      </c>
      <c r="F4470">
        <f>IF(Table1[[#This Row],[New Pos L]]&lt;&gt;0,Table1[[#This Row],[New Pos L]],Table1[[#This Row],[New Pos R]])</f>
        <v>39</v>
      </c>
    </row>
    <row r="4471" spans="1:6" ht="16" x14ac:dyDescent="0.2">
      <c r="A4471" s="1" t="s">
        <v>288</v>
      </c>
      <c r="B4471" t="str">
        <f>LEFT(Table1[[#This Row],[Input]],1)</f>
        <v>R</v>
      </c>
      <c r="C4471">
        <f>_xlfn.LET(_xlpm.steps,SUBSTITUTE(Table1[[#This Row],[Input]],Table1[[#This Row],[Direction]],""),VALUE(IF(LEN(_xlpm.steps)&gt;2,RIGHT(_xlpm.steps,2),_xlpm.steps)))</f>
        <v>25</v>
      </c>
      <c r="D4471">
        <f>_xlfn.LET(_xlpm.dir,Table1[[#This Row],[Direction]],
IF(_xlpm.dir="L",
    IF(F4470-Table1[[#This Row],[Steps]]&lt;0,100+(F4470-Table1[[#This Row],[Steps]]),F4470-Table1[[#This Row],[Steps]]),
))</f>
        <v>0</v>
      </c>
      <c r="E4471">
        <f>_xlfn.LET(_xlpm.dir,Table1[[#This Row],[Direction]],
IF(_xlpm.dir="R",
    IF(F4470+Table1[[#This Row],[Steps]]&gt;99,(F4470+Table1[[#This Row],[Steps]])-100,F4470+Table1[[#This Row],[Steps]]),
))</f>
        <v>64</v>
      </c>
      <c r="F4471">
        <f>IF(Table1[[#This Row],[New Pos L]]&lt;&gt;0,Table1[[#This Row],[New Pos L]],Table1[[#This Row],[New Pos R]])</f>
        <v>64</v>
      </c>
    </row>
    <row r="4472" spans="1:6" ht="16" x14ac:dyDescent="0.2">
      <c r="A4472" s="1" t="s">
        <v>123</v>
      </c>
      <c r="B4472" t="str">
        <f>LEFT(Table1[[#This Row],[Input]],1)</f>
        <v>L</v>
      </c>
      <c r="C4472">
        <f>_xlfn.LET(_xlpm.steps,SUBSTITUTE(Table1[[#This Row],[Input]],Table1[[#This Row],[Direction]],""),VALUE(IF(LEN(_xlpm.steps)&gt;2,RIGHT(_xlpm.steps,2),_xlpm.steps)))</f>
        <v>63</v>
      </c>
      <c r="D4472">
        <f>_xlfn.LET(_xlpm.dir,Table1[[#This Row],[Direction]],
IF(_xlpm.dir="L",
    IF(F4471-Table1[[#This Row],[Steps]]&lt;0,100+(F4471-Table1[[#This Row],[Steps]]),F4471-Table1[[#This Row],[Steps]]),
))</f>
        <v>1</v>
      </c>
      <c r="E4472">
        <f>_xlfn.LET(_xlpm.dir,Table1[[#This Row],[Direction]],
IF(_xlpm.dir="R",
    IF(F4471+Table1[[#This Row],[Steps]]&gt;99,(F4471+Table1[[#This Row],[Steps]])-100,F4471+Table1[[#This Row],[Steps]]),
))</f>
        <v>0</v>
      </c>
      <c r="F4472">
        <f>IF(Table1[[#This Row],[New Pos L]]&lt;&gt;0,Table1[[#This Row],[New Pos L]],Table1[[#This Row],[New Pos R]])</f>
        <v>1</v>
      </c>
    </row>
    <row r="4473" spans="1:6" ht="16" x14ac:dyDescent="0.2">
      <c r="A4473" s="1" t="s">
        <v>67</v>
      </c>
      <c r="B4473" t="str">
        <f>LEFT(Table1[[#This Row],[Input]],1)</f>
        <v>R</v>
      </c>
      <c r="C4473">
        <f>_xlfn.LET(_xlpm.steps,SUBSTITUTE(Table1[[#This Row],[Input]],Table1[[#This Row],[Direction]],""),VALUE(IF(LEN(_xlpm.steps)&gt;2,RIGHT(_xlpm.steps,2),_xlpm.steps)))</f>
        <v>33</v>
      </c>
      <c r="D4473">
        <f>_xlfn.LET(_xlpm.dir,Table1[[#This Row],[Direction]],
IF(_xlpm.dir="L",
    IF(F4472-Table1[[#This Row],[Steps]]&lt;0,100+(F4472-Table1[[#This Row],[Steps]]),F4472-Table1[[#This Row],[Steps]]),
))</f>
        <v>0</v>
      </c>
      <c r="E4473">
        <f>_xlfn.LET(_xlpm.dir,Table1[[#This Row],[Direction]],
IF(_xlpm.dir="R",
    IF(F4472+Table1[[#This Row],[Steps]]&gt;99,(F4472+Table1[[#This Row],[Steps]])-100,F4472+Table1[[#This Row],[Steps]]),
))</f>
        <v>34</v>
      </c>
      <c r="F4473">
        <f>IF(Table1[[#This Row],[New Pos L]]&lt;&gt;0,Table1[[#This Row],[New Pos L]],Table1[[#This Row],[New Pos R]])</f>
        <v>34</v>
      </c>
    </row>
    <row r="4474" spans="1:6" ht="16" x14ac:dyDescent="0.2">
      <c r="A4474" s="1" t="s">
        <v>108</v>
      </c>
      <c r="B4474" t="str">
        <f>LEFT(Table1[[#This Row],[Input]],1)</f>
        <v>R</v>
      </c>
      <c r="C4474">
        <f>_xlfn.LET(_xlpm.steps,SUBSTITUTE(Table1[[#This Row],[Input]],Table1[[#This Row],[Direction]],""),VALUE(IF(LEN(_xlpm.steps)&gt;2,RIGHT(_xlpm.steps,2),_xlpm.steps)))</f>
        <v>66</v>
      </c>
      <c r="D4474">
        <f>_xlfn.LET(_xlpm.dir,Table1[[#This Row],[Direction]],
IF(_xlpm.dir="L",
    IF(F4473-Table1[[#This Row],[Steps]]&lt;0,100+(F4473-Table1[[#This Row],[Steps]]),F4473-Table1[[#This Row],[Steps]]),
))</f>
        <v>0</v>
      </c>
      <c r="E4474">
        <f>_xlfn.LET(_xlpm.dir,Table1[[#This Row],[Direction]],
IF(_xlpm.dir="R",
    IF(F4473+Table1[[#This Row],[Steps]]&gt;99,(F4473+Table1[[#This Row],[Steps]])-100,F4473+Table1[[#This Row],[Steps]]),
))</f>
        <v>0</v>
      </c>
      <c r="F4474">
        <f>IF(Table1[[#This Row],[New Pos L]]&lt;&gt;0,Table1[[#This Row],[New Pos L]],Table1[[#This Row],[New Pos R]])</f>
        <v>0</v>
      </c>
    </row>
    <row r="4475" spans="1:6" ht="16" x14ac:dyDescent="0.2">
      <c r="A4475" s="1" t="s">
        <v>35</v>
      </c>
      <c r="B4475" t="str">
        <f>LEFT(Table1[[#This Row],[Input]],1)</f>
        <v>L</v>
      </c>
      <c r="C4475">
        <f>_xlfn.LET(_xlpm.steps,SUBSTITUTE(Table1[[#This Row],[Input]],Table1[[#This Row],[Direction]],""),VALUE(IF(LEN(_xlpm.steps)&gt;2,RIGHT(_xlpm.steps,2),_xlpm.steps)))</f>
        <v>2</v>
      </c>
      <c r="D4475">
        <f>_xlfn.LET(_xlpm.dir,Table1[[#This Row],[Direction]],
IF(_xlpm.dir="L",
    IF(F4474-Table1[[#This Row],[Steps]]&lt;0,100+(F4474-Table1[[#This Row],[Steps]]),F4474-Table1[[#This Row],[Steps]]),
))</f>
        <v>98</v>
      </c>
      <c r="E4475">
        <f>_xlfn.LET(_xlpm.dir,Table1[[#This Row],[Direction]],
IF(_xlpm.dir="R",
    IF(F4474+Table1[[#This Row],[Steps]]&gt;99,(F4474+Table1[[#This Row],[Steps]])-100,F4474+Table1[[#This Row],[Steps]]),
))</f>
        <v>0</v>
      </c>
      <c r="F4475">
        <f>IF(Table1[[#This Row],[New Pos L]]&lt;&gt;0,Table1[[#This Row],[New Pos L]],Table1[[#This Row],[New Pos R]])</f>
        <v>98</v>
      </c>
    </row>
    <row r="4476" spans="1:6" ht="16" x14ac:dyDescent="0.2">
      <c r="A4476" s="1" t="s">
        <v>100</v>
      </c>
      <c r="B4476" t="str">
        <f>LEFT(Table1[[#This Row],[Input]],1)</f>
        <v>R</v>
      </c>
      <c r="C4476">
        <f>_xlfn.LET(_xlpm.steps,SUBSTITUTE(Table1[[#This Row],[Input]],Table1[[#This Row],[Direction]],""),VALUE(IF(LEN(_xlpm.steps)&gt;2,RIGHT(_xlpm.steps,2),_xlpm.steps)))</f>
        <v>58</v>
      </c>
      <c r="D4476">
        <f>_xlfn.LET(_xlpm.dir,Table1[[#This Row],[Direction]],
IF(_xlpm.dir="L",
    IF(F4475-Table1[[#This Row],[Steps]]&lt;0,100+(F4475-Table1[[#This Row],[Steps]]),F4475-Table1[[#This Row],[Steps]]),
))</f>
        <v>0</v>
      </c>
      <c r="E4476">
        <f>_xlfn.LET(_xlpm.dir,Table1[[#This Row],[Direction]],
IF(_xlpm.dir="R",
    IF(F4475+Table1[[#This Row],[Steps]]&gt;99,(F4475+Table1[[#This Row],[Steps]])-100,F4475+Table1[[#This Row],[Steps]]),
))</f>
        <v>56</v>
      </c>
      <c r="F4476">
        <f>IF(Table1[[#This Row],[New Pos L]]&lt;&gt;0,Table1[[#This Row],[New Pos L]],Table1[[#This Row],[New Pos R]])</f>
        <v>56</v>
      </c>
    </row>
    <row r="4477" spans="1:6" ht="16" x14ac:dyDescent="0.2">
      <c r="A4477" s="1" t="s">
        <v>3</v>
      </c>
      <c r="B4477" t="str">
        <f>LEFT(Table1[[#This Row],[Input]],1)</f>
        <v>R</v>
      </c>
      <c r="C4477">
        <f>_xlfn.LET(_xlpm.steps,SUBSTITUTE(Table1[[#This Row],[Input]],Table1[[#This Row],[Direction]],""),VALUE(IF(LEN(_xlpm.steps)&gt;2,RIGHT(_xlpm.steps,2),_xlpm.steps)))</f>
        <v>44</v>
      </c>
      <c r="D4477">
        <f>_xlfn.LET(_xlpm.dir,Table1[[#This Row],[Direction]],
IF(_xlpm.dir="L",
    IF(F4476-Table1[[#This Row],[Steps]]&lt;0,100+(F4476-Table1[[#This Row],[Steps]]),F4476-Table1[[#This Row],[Steps]]),
))</f>
        <v>0</v>
      </c>
      <c r="E4477">
        <f>_xlfn.LET(_xlpm.dir,Table1[[#This Row],[Direction]],
IF(_xlpm.dir="R",
    IF(F4476+Table1[[#This Row],[Steps]]&gt;99,(F4476+Table1[[#This Row],[Steps]])-100,F4476+Table1[[#This Row],[Steps]]),
))</f>
        <v>0</v>
      </c>
      <c r="F4477">
        <f>IF(Table1[[#This Row],[New Pos L]]&lt;&gt;0,Table1[[#This Row],[New Pos L]],Table1[[#This Row],[New Pos R]])</f>
        <v>0</v>
      </c>
    </row>
    <row r="4478" spans="1:6" ht="16" x14ac:dyDescent="0.2">
      <c r="A4478" s="1" t="s">
        <v>279</v>
      </c>
      <c r="B4478" t="str">
        <f>LEFT(Table1[[#This Row],[Input]],1)</f>
        <v>R</v>
      </c>
      <c r="C4478">
        <f>_xlfn.LET(_xlpm.steps,SUBSTITUTE(Table1[[#This Row],[Input]],Table1[[#This Row],[Direction]],""),VALUE(IF(LEN(_xlpm.steps)&gt;2,RIGHT(_xlpm.steps,2),_xlpm.steps)))</f>
        <v>34</v>
      </c>
      <c r="D4478">
        <f>_xlfn.LET(_xlpm.dir,Table1[[#This Row],[Direction]],
IF(_xlpm.dir="L",
    IF(F4477-Table1[[#This Row],[Steps]]&lt;0,100+(F4477-Table1[[#This Row],[Steps]]),F4477-Table1[[#This Row],[Steps]]),
))</f>
        <v>0</v>
      </c>
      <c r="E4478">
        <f>_xlfn.LET(_xlpm.dir,Table1[[#This Row],[Direction]],
IF(_xlpm.dir="R",
    IF(F4477+Table1[[#This Row],[Steps]]&gt;99,(F4477+Table1[[#This Row],[Steps]])-100,F4477+Table1[[#This Row],[Steps]]),
))</f>
        <v>34</v>
      </c>
      <c r="F4478">
        <f>IF(Table1[[#This Row],[New Pos L]]&lt;&gt;0,Table1[[#This Row],[New Pos L]],Table1[[#This Row],[New Pos R]])</f>
        <v>34</v>
      </c>
    </row>
    <row r="4479" spans="1:6" ht="16" x14ac:dyDescent="0.2">
      <c r="A4479" s="1" t="s">
        <v>217</v>
      </c>
      <c r="B4479" t="str">
        <f>LEFT(Table1[[#This Row],[Input]],1)</f>
        <v>R</v>
      </c>
      <c r="C4479">
        <f>_xlfn.LET(_xlpm.steps,SUBSTITUTE(Table1[[#This Row],[Input]],Table1[[#This Row],[Direction]],""),VALUE(IF(LEN(_xlpm.steps)&gt;2,RIGHT(_xlpm.steps,2),_xlpm.steps)))</f>
        <v>91</v>
      </c>
      <c r="D4479">
        <f>_xlfn.LET(_xlpm.dir,Table1[[#This Row],[Direction]],
IF(_xlpm.dir="L",
    IF(F4478-Table1[[#This Row],[Steps]]&lt;0,100+(F4478-Table1[[#This Row],[Steps]]),F4478-Table1[[#This Row],[Steps]]),
))</f>
        <v>0</v>
      </c>
      <c r="E4479">
        <f>_xlfn.LET(_xlpm.dir,Table1[[#This Row],[Direction]],
IF(_xlpm.dir="R",
    IF(F4478+Table1[[#This Row],[Steps]]&gt;99,(F4478+Table1[[#This Row],[Steps]])-100,F4478+Table1[[#This Row],[Steps]]),
))</f>
        <v>25</v>
      </c>
      <c r="F4479">
        <f>IF(Table1[[#This Row],[New Pos L]]&lt;&gt;0,Table1[[#This Row],[New Pos L]],Table1[[#This Row],[New Pos R]])</f>
        <v>25</v>
      </c>
    </row>
    <row r="4480" spans="1:6" ht="16" x14ac:dyDescent="0.2">
      <c r="A4480" s="1" t="s">
        <v>191</v>
      </c>
      <c r="B4480" t="str">
        <f>LEFT(Table1[[#This Row],[Input]],1)</f>
        <v>L</v>
      </c>
      <c r="C4480">
        <f>_xlfn.LET(_xlpm.steps,SUBSTITUTE(Table1[[#This Row],[Input]],Table1[[#This Row],[Direction]],""),VALUE(IF(LEN(_xlpm.steps)&gt;2,RIGHT(_xlpm.steps,2),_xlpm.steps)))</f>
        <v>5</v>
      </c>
      <c r="D4480">
        <f>_xlfn.LET(_xlpm.dir,Table1[[#This Row],[Direction]],
IF(_xlpm.dir="L",
    IF(F4479-Table1[[#This Row],[Steps]]&lt;0,100+(F4479-Table1[[#This Row],[Steps]]),F4479-Table1[[#This Row],[Steps]]),
))</f>
        <v>20</v>
      </c>
      <c r="E4480">
        <f>_xlfn.LET(_xlpm.dir,Table1[[#This Row],[Direction]],
IF(_xlpm.dir="R",
    IF(F4479+Table1[[#This Row],[Steps]]&gt;99,(F4479+Table1[[#This Row],[Steps]])-100,F4479+Table1[[#This Row],[Steps]]),
))</f>
        <v>0</v>
      </c>
      <c r="F4480">
        <f>IF(Table1[[#This Row],[New Pos L]]&lt;&gt;0,Table1[[#This Row],[New Pos L]],Table1[[#This Row],[New Pos R]])</f>
        <v>20</v>
      </c>
    </row>
    <row r="4481" spans="1:6" ht="16" x14ac:dyDescent="0.2">
      <c r="A4481" s="1" t="s">
        <v>52</v>
      </c>
      <c r="B4481" t="str">
        <f>LEFT(Table1[[#This Row],[Input]],1)</f>
        <v>R</v>
      </c>
      <c r="C4481">
        <f>_xlfn.LET(_xlpm.steps,SUBSTITUTE(Table1[[#This Row],[Input]],Table1[[#This Row],[Direction]],""),VALUE(IF(LEN(_xlpm.steps)&gt;2,RIGHT(_xlpm.steps,2),_xlpm.steps)))</f>
        <v>11</v>
      </c>
      <c r="D4481">
        <f>_xlfn.LET(_xlpm.dir,Table1[[#This Row],[Direction]],
IF(_xlpm.dir="L",
    IF(F4480-Table1[[#This Row],[Steps]]&lt;0,100+(F4480-Table1[[#This Row],[Steps]]),F4480-Table1[[#This Row],[Steps]]),
))</f>
        <v>0</v>
      </c>
      <c r="E4481">
        <f>_xlfn.LET(_xlpm.dir,Table1[[#This Row],[Direction]],
IF(_xlpm.dir="R",
    IF(F4480+Table1[[#This Row],[Steps]]&gt;99,(F4480+Table1[[#This Row],[Steps]])-100,F4480+Table1[[#This Row],[Steps]]),
))</f>
        <v>31</v>
      </c>
      <c r="F4481">
        <f>IF(Table1[[#This Row],[New Pos L]]&lt;&gt;0,Table1[[#This Row],[New Pos L]],Table1[[#This Row],[New Pos R]])</f>
        <v>31</v>
      </c>
    </row>
    <row r="4482" spans="1:6" ht="16" x14ac:dyDescent="0.2">
      <c r="A4482" s="1" t="s">
        <v>63</v>
      </c>
      <c r="B4482" t="str">
        <f>LEFT(Table1[[#This Row],[Input]],1)</f>
        <v>R</v>
      </c>
      <c r="C4482">
        <f>_xlfn.LET(_xlpm.steps,SUBSTITUTE(Table1[[#This Row],[Input]],Table1[[#This Row],[Direction]],""),VALUE(IF(LEN(_xlpm.steps)&gt;2,RIGHT(_xlpm.steps,2),_xlpm.steps)))</f>
        <v>57</v>
      </c>
      <c r="D4482">
        <f>_xlfn.LET(_xlpm.dir,Table1[[#This Row],[Direction]],
IF(_xlpm.dir="L",
    IF(F4481-Table1[[#This Row],[Steps]]&lt;0,100+(F4481-Table1[[#This Row],[Steps]]),F4481-Table1[[#This Row],[Steps]]),
))</f>
        <v>0</v>
      </c>
      <c r="E4482">
        <f>_xlfn.LET(_xlpm.dir,Table1[[#This Row],[Direction]],
IF(_xlpm.dir="R",
    IF(F4481+Table1[[#This Row],[Steps]]&gt;99,(F4481+Table1[[#This Row],[Steps]])-100,F4481+Table1[[#This Row],[Steps]]),
))</f>
        <v>88</v>
      </c>
      <c r="F4482">
        <f>IF(Table1[[#This Row],[New Pos L]]&lt;&gt;0,Table1[[#This Row],[New Pos L]],Table1[[#This Row],[New Pos R]])</f>
        <v>88</v>
      </c>
    </row>
    <row r="4483" spans="1:6" ht="16" x14ac:dyDescent="0.2">
      <c r="A4483" s="1" t="s">
        <v>295</v>
      </c>
      <c r="B4483" t="str">
        <f>LEFT(Table1[[#This Row],[Input]],1)</f>
        <v>L</v>
      </c>
      <c r="C4483">
        <f>_xlfn.LET(_xlpm.steps,SUBSTITUTE(Table1[[#This Row],[Input]],Table1[[#This Row],[Direction]],""),VALUE(IF(LEN(_xlpm.steps)&gt;2,RIGHT(_xlpm.steps,2),_xlpm.steps)))</f>
        <v>88</v>
      </c>
      <c r="D4483">
        <f>_xlfn.LET(_xlpm.dir,Table1[[#This Row],[Direction]],
IF(_xlpm.dir="L",
    IF(F4482-Table1[[#This Row],[Steps]]&lt;0,100+(F4482-Table1[[#This Row],[Steps]]),F4482-Table1[[#This Row],[Steps]]),
))</f>
        <v>0</v>
      </c>
      <c r="E4483">
        <f>_xlfn.LET(_xlpm.dir,Table1[[#This Row],[Direction]],
IF(_xlpm.dir="R",
    IF(F4482+Table1[[#This Row],[Steps]]&gt;99,(F4482+Table1[[#This Row],[Steps]])-100,F4482+Table1[[#This Row],[Steps]]),
))</f>
        <v>0</v>
      </c>
      <c r="F4483">
        <f>IF(Table1[[#This Row],[New Pos L]]&lt;&gt;0,Table1[[#This Row],[New Pos L]],Table1[[#This Row],[New Pos R]])</f>
        <v>0</v>
      </c>
    </row>
    <row r="4484" spans="1:6" ht="16" x14ac:dyDescent="0.2">
      <c r="A4484" s="1" t="s">
        <v>127</v>
      </c>
      <c r="B4484" t="str">
        <f>LEFT(Table1[[#This Row],[Input]],1)</f>
        <v>L</v>
      </c>
      <c r="C4484">
        <f>_xlfn.LET(_xlpm.steps,SUBSTITUTE(Table1[[#This Row],[Input]],Table1[[#This Row],[Direction]],""),VALUE(IF(LEN(_xlpm.steps)&gt;2,RIGHT(_xlpm.steps,2),_xlpm.steps)))</f>
        <v>62</v>
      </c>
      <c r="D4484">
        <f>_xlfn.LET(_xlpm.dir,Table1[[#This Row],[Direction]],
IF(_xlpm.dir="L",
    IF(F4483-Table1[[#This Row],[Steps]]&lt;0,100+(F4483-Table1[[#This Row],[Steps]]),F4483-Table1[[#This Row],[Steps]]),
))</f>
        <v>38</v>
      </c>
      <c r="E4484">
        <f>_xlfn.LET(_xlpm.dir,Table1[[#This Row],[Direction]],
IF(_xlpm.dir="R",
    IF(F4483+Table1[[#This Row],[Steps]]&gt;99,(F4483+Table1[[#This Row],[Steps]])-100,F4483+Table1[[#This Row],[Steps]]),
))</f>
        <v>0</v>
      </c>
      <c r="F4484">
        <f>IF(Table1[[#This Row],[New Pos L]]&lt;&gt;0,Table1[[#This Row],[New Pos L]],Table1[[#This Row],[New Pos R]])</f>
        <v>38</v>
      </c>
    </row>
    <row r="4485" spans="1:6" ht="16" x14ac:dyDescent="0.2">
      <c r="A4485" s="1" t="s">
        <v>2</v>
      </c>
      <c r="B4485" t="str">
        <f>LEFT(Table1[[#This Row],[Input]],1)</f>
        <v>L</v>
      </c>
      <c r="C4485">
        <f>_xlfn.LET(_xlpm.steps,SUBSTITUTE(Table1[[#This Row],[Input]],Table1[[#This Row],[Direction]],""),VALUE(IF(LEN(_xlpm.steps)&gt;2,RIGHT(_xlpm.steps,2),_xlpm.steps)))</f>
        <v>38</v>
      </c>
      <c r="D4485">
        <f>_xlfn.LET(_xlpm.dir,Table1[[#This Row],[Direction]],
IF(_xlpm.dir="L",
    IF(F4484-Table1[[#This Row],[Steps]]&lt;0,100+(F4484-Table1[[#This Row],[Steps]]),F4484-Table1[[#This Row],[Steps]]),
))</f>
        <v>0</v>
      </c>
      <c r="E4485">
        <f>_xlfn.LET(_xlpm.dir,Table1[[#This Row],[Direction]],
IF(_xlpm.dir="R",
    IF(F4484+Table1[[#This Row],[Steps]]&gt;99,(F4484+Table1[[#This Row],[Steps]])-100,F4484+Table1[[#This Row],[Steps]]),
))</f>
        <v>0</v>
      </c>
      <c r="F4485">
        <f>IF(Table1[[#This Row],[New Pos L]]&lt;&gt;0,Table1[[#This Row],[New Pos L]],Table1[[#This Row],[New Pos R]])</f>
        <v>0</v>
      </c>
    </row>
    <row r="4486" spans="1:6" ht="16" x14ac:dyDescent="0.2">
      <c r="A4486" s="1" t="s">
        <v>65</v>
      </c>
      <c r="B4486" t="str">
        <f>LEFT(Table1[[#This Row],[Input]],1)</f>
        <v>L</v>
      </c>
      <c r="C4486">
        <f>_xlfn.LET(_xlpm.steps,SUBSTITUTE(Table1[[#This Row],[Input]],Table1[[#This Row],[Direction]],""),VALUE(IF(LEN(_xlpm.steps)&gt;2,RIGHT(_xlpm.steps,2),_xlpm.steps)))</f>
        <v>19</v>
      </c>
      <c r="D4486">
        <f>_xlfn.LET(_xlpm.dir,Table1[[#This Row],[Direction]],
IF(_xlpm.dir="L",
    IF(F4485-Table1[[#This Row],[Steps]]&lt;0,100+(F4485-Table1[[#This Row],[Steps]]),F4485-Table1[[#This Row],[Steps]]),
))</f>
        <v>81</v>
      </c>
      <c r="E4486">
        <f>_xlfn.LET(_xlpm.dir,Table1[[#This Row],[Direction]],
IF(_xlpm.dir="R",
    IF(F4485+Table1[[#This Row],[Steps]]&gt;99,(F4485+Table1[[#This Row],[Steps]])-100,F4485+Table1[[#This Row],[Steps]]),
))</f>
        <v>0</v>
      </c>
      <c r="F4486">
        <f>IF(Table1[[#This Row],[New Pos L]]&lt;&gt;0,Table1[[#This Row],[New Pos L]],Table1[[#This Row],[New Pos R]])</f>
        <v>81</v>
      </c>
    </row>
    <row r="4487" spans="1:6" ht="16" x14ac:dyDescent="0.2">
      <c r="A4487" s="1" t="s">
        <v>219</v>
      </c>
      <c r="B4487" t="str">
        <f>LEFT(Table1[[#This Row],[Input]],1)</f>
        <v>L</v>
      </c>
      <c r="C4487">
        <f>_xlfn.LET(_xlpm.steps,SUBSTITUTE(Table1[[#This Row],[Input]],Table1[[#This Row],[Direction]],""),VALUE(IF(LEN(_xlpm.steps)&gt;2,RIGHT(_xlpm.steps,2),_xlpm.steps)))</f>
        <v>64</v>
      </c>
      <c r="D4487">
        <f>_xlfn.LET(_xlpm.dir,Table1[[#This Row],[Direction]],
IF(_xlpm.dir="L",
    IF(F4486-Table1[[#This Row],[Steps]]&lt;0,100+(F4486-Table1[[#This Row],[Steps]]),F4486-Table1[[#This Row],[Steps]]),
))</f>
        <v>17</v>
      </c>
      <c r="E4487">
        <f>_xlfn.LET(_xlpm.dir,Table1[[#This Row],[Direction]],
IF(_xlpm.dir="R",
    IF(F4486+Table1[[#This Row],[Steps]]&gt;99,(F4486+Table1[[#This Row],[Steps]])-100,F4486+Table1[[#This Row],[Steps]]),
))</f>
        <v>0</v>
      </c>
      <c r="F4487">
        <f>IF(Table1[[#This Row],[New Pos L]]&lt;&gt;0,Table1[[#This Row],[New Pos L]],Table1[[#This Row],[New Pos R]])</f>
        <v>17</v>
      </c>
    </row>
    <row r="4488" spans="1:6" ht="16" x14ac:dyDescent="0.2">
      <c r="A4488" s="1" t="s">
        <v>205</v>
      </c>
      <c r="B4488" t="str">
        <f>LEFT(Table1[[#This Row],[Input]],1)</f>
        <v>R</v>
      </c>
      <c r="C4488">
        <f>_xlfn.LET(_xlpm.steps,SUBSTITUTE(Table1[[#This Row],[Input]],Table1[[#This Row],[Direction]],""),VALUE(IF(LEN(_xlpm.steps)&gt;2,RIGHT(_xlpm.steps,2),_xlpm.steps)))</f>
        <v>83</v>
      </c>
      <c r="D4488">
        <f>_xlfn.LET(_xlpm.dir,Table1[[#This Row],[Direction]],
IF(_xlpm.dir="L",
    IF(F4487-Table1[[#This Row],[Steps]]&lt;0,100+(F4487-Table1[[#This Row],[Steps]]),F4487-Table1[[#This Row],[Steps]]),
))</f>
        <v>0</v>
      </c>
      <c r="E4488">
        <f>_xlfn.LET(_xlpm.dir,Table1[[#This Row],[Direction]],
IF(_xlpm.dir="R",
    IF(F4487+Table1[[#This Row],[Steps]]&gt;99,(F4487+Table1[[#This Row],[Steps]])-100,F4487+Table1[[#This Row],[Steps]]),
))</f>
        <v>0</v>
      </c>
      <c r="F4488">
        <f>IF(Table1[[#This Row],[New Pos L]]&lt;&gt;0,Table1[[#This Row],[New Pos L]],Table1[[#This Row],[New Pos R]])</f>
        <v>0</v>
      </c>
    </row>
    <row r="4489" spans="1:6" ht="16" x14ac:dyDescent="0.2">
      <c r="A4489" s="1" t="s">
        <v>116</v>
      </c>
      <c r="B4489" t="str">
        <f>LEFT(Table1[[#This Row],[Input]],1)</f>
        <v>L</v>
      </c>
      <c r="C4489">
        <f>_xlfn.LET(_xlpm.steps,SUBSTITUTE(Table1[[#This Row],[Input]],Table1[[#This Row],[Direction]],""),VALUE(IF(LEN(_xlpm.steps)&gt;2,RIGHT(_xlpm.steps,2),_xlpm.steps)))</f>
        <v>58</v>
      </c>
      <c r="D4489">
        <f>_xlfn.LET(_xlpm.dir,Table1[[#This Row],[Direction]],
IF(_xlpm.dir="L",
    IF(F4488-Table1[[#This Row],[Steps]]&lt;0,100+(F4488-Table1[[#This Row],[Steps]]),F4488-Table1[[#This Row],[Steps]]),
))</f>
        <v>42</v>
      </c>
      <c r="E4489">
        <f>_xlfn.LET(_xlpm.dir,Table1[[#This Row],[Direction]],
IF(_xlpm.dir="R",
    IF(F4488+Table1[[#This Row],[Steps]]&gt;99,(F4488+Table1[[#This Row],[Steps]])-100,F4488+Table1[[#This Row],[Steps]]),
))</f>
        <v>0</v>
      </c>
      <c r="F4489">
        <f>IF(Table1[[#This Row],[New Pos L]]&lt;&gt;0,Table1[[#This Row],[New Pos L]],Table1[[#This Row],[New Pos R]])</f>
        <v>42</v>
      </c>
    </row>
    <row r="4490" spans="1:6" ht="16" x14ac:dyDescent="0.2">
      <c r="A4490" s="1" t="s">
        <v>100</v>
      </c>
      <c r="B4490" t="str">
        <f>LEFT(Table1[[#This Row],[Input]],1)</f>
        <v>R</v>
      </c>
      <c r="C4490">
        <f>_xlfn.LET(_xlpm.steps,SUBSTITUTE(Table1[[#This Row],[Input]],Table1[[#This Row],[Direction]],""),VALUE(IF(LEN(_xlpm.steps)&gt;2,RIGHT(_xlpm.steps,2),_xlpm.steps)))</f>
        <v>58</v>
      </c>
      <c r="D4490">
        <f>_xlfn.LET(_xlpm.dir,Table1[[#This Row],[Direction]],
IF(_xlpm.dir="L",
    IF(F4489-Table1[[#This Row],[Steps]]&lt;0,100+(F4489-Table1[[#This Row],[Steps]]),F4489-Table1[[#This Row],[Steps]]),
))</f>
        <v>0</v>
      </c>
      <c r="E4490">
        <f>_xlfn.LET(_xlpm.dir,Table1[[#This Row],[Direction]],
IF(_xlpm.dir="R",
    IF(F4489+Table1[[#This Row],[Steps]]&gt;99,(F4489+Table1[[#This Row],[Steps]])-100,F4489+Table1[[#This Row],[Steps]]),
))</f>
        <v>0</v>
      </c>
      <c r="F4490">
        <f>IF(Table1[[#This Row],[New Pos L]]&lt;&gt;0,Table1[[#This Row],[New Pos L]],Table1[[#This Row],[New Pos R]])</f>
        <v>0</v>
      </c>
    </row>
    <row r="4491" spans="1:6" ht="16" x14ac:dyDescent="0.2">
      <c r="A4491" s="1" t="s">
        <v>193</v>
      </c>
      <c r="B4491" t="str">
        <f>LEFT(Table1[[#This Row],[Input]],1)</f>
        <v>L</v>
      </c>
      <c r="C4491">
        <f>_xlfn.LET(_xlpm.steps,SUBSTITUTE(Table1[[#This Row],[Input]],Table1[[#This Row],[Direction]],""),VALUE(IF(LEN(_xlpm.steps)&gt;2,RIGHT(_xlpm.steps,2),_xlpm.steps)))</f>
        <v>12</v>
      </c>
      <c r="D4491">
        <f>_xlfn.LET(_xlpm.dir,Table1[[#This Row],[Direction]],
IF(_xlpm.dir="L",
    IF(F4490-Table1[[#This Row],[Steps]]&lt;0,100+(F4490-Table1[[#This Row],[Steps]]),F4490-Table1[[#This Row],[Steps]]),
))</f>
        <v>88</v>
      </c>
      <c r="E4491">
        <f>_xlfn.LET(_xlpm.dir,Table1[[#This Row],[Direction]],
IF(_xlpm.dir="R",
    IF(F4490+Table1[[#This Row],[Steps]]&gt;99,(F4490+Table1[[#This Row],[Steps]])-100,F4490+Table1[[#This Row],[Steps]]),
))</f>
        <v>0</v>
      </c>
      <c r="F4491">
        <f>IF(Table1[[#This Row],[New Pos L]]&lt;&gt;0,Table1[[#This Row],[New Pos L]],Table1[[#This Row],[New Pos R]])</f>
        <v>88</v>
      </c>
    </row>
    <row r="4492" spans="1:6" ht="16" x14ac:dyDescent="0.2">
      <c r="A4492" s="1" t="s">
        <v>48</v>
      </c>
      <c r="B4492" t="str">
        <f>LEFT(Table1[[#This Row],[Input]],1)</f>
        <v>R</v>
      </c>
      <c r="C4492">
        <f>_xlfn.LET(_xlpm.steps,SUBSTITUTE(Table1[[#This Row],[Input]],Table1[[#This Row],[Direction]],""),VALUE(IF(LEN(_xlpm.steps)&gt;2,RIGHT(_xlpm.steps,2),_xlpm.steps)))</f>
        <v>81</v>
      </c>
      <c r="D4492">
        <f>_xlfn.LET(_xlpm.dir,Table1[[#This Row],[Direction]],
IF(_xlpm.dir="L",
    IF(F4491-Table1[[#This Row],[Steps]]&lt;0,100+(F4491-Table1[[#This Row],[Steps]]),F4491-Table1[[#This Row],[Steps]]),
))</f>
        <v>0</v>
      </c>
      <c r="E4492">
        <f>_xlfn.LET(_xlpm.dir,Table1[[#This Row],[Direction]],
IF(_xlpm.dir="R",
    IF(F4491+Table1[[#This Row],[Steps]]&gt;99,(F4491+Table1[[#This Row],[Steps]])-100,F4491+Table1[[#This Row],[Steps]]),
))</f>
        <v>69</v>
      </c>
      <c r="F4492">
        <f>IF(Table1[[#This Row],[New Pos L]]&lt;&gt;0,Table1[[#This Row],[New Pos L]],Table1[[#This Row],[New Pos R]])</f>
        <v>69</v>
      </c>
    </row>
    <row r="4493" spans="1:6" ht="16" x14ac:dyDescent="0.2">
      <c r="A4493" s="1" t="s">
        <v>201</v>
      </c>
      <c r="B4493" t="str">
        <f>LEFT(Table1[[#This Row],[Input]],1)</f>
        <v>R</v>
      </c>
      <c r="C4493">
        <f>_xlfn.LET(_xlpm.steps,SUBSTITUTE(Table1[[#This Row],[Input]],Table1[[#This Row],[Direction]],""),VALUE(IF(LEN(_xlpm.steps)&gt;2,RIGHT(_xlpm.steps,2),_xlpm.steps)))</f>
        <v>31</v>
      </c>
      <c r="D4493">
        <f>_xlfn.LET(_xlpm.dir,Table1[[#This Row],[Direction]],
IF(_xlpm.dir="L",
    IF(F4492-Table1[[#This Row],[Steps]]&lt;0,100+(F4492-Table1[[#This Row],[Steps]]),F4492-Table1[[#This Row],[Steps]]),
))</f>
        <v>0</v>
      </c>
      <c r="E4493">
        <f>_xlfn.LET(_xlpm.dir,Table1[[#This Row],[Direction]],
IF(_xlpm.dir="R",
    IF(F4492+Table1[[#This Row],[Steps]]&gt;99,(F4492+Table1[[#This Row],[Steps]])-100,F4492+Table1[[#This Row],[Steps]]),
))</f>
        <v>0</v>
      </c>
      <c r="F4493">
        <f>IF(Table1[[#This Row],[New Pos L]]&lt;&gt;0,Table1[[#This Row],[New Pos L]],Table1[[#This Row],[New Pos R]])</f>
        <v>0</v>
      </c>
    </row>
    <row r="4494" spans="1:6" ht="16" x14ac:dyDescent="0.2">
      <c r="A4494" s="1" t="s">
        <v>213</v>
      </c>
      <c r="B4494" t="str">
        <f>LEFT(Table1[[#This Row],[Input]],1)</f>
        <v>R</v>
      </c>
      <c r="C4494">
        <f>_xlfn.LET(_xlpm.steps,SUBSTITUTE(Table1[[#This Row],[Input]],Table1[[#This Row],[Direction]],""),VALUE(IF(LEN(_xlpm.steps)&gt;2,RIGHT(_xlpm.steps,2),_xlpm.steps)))</f>
        <v>87</v>
      </c>
      <c r="D4494">
        <f>_xlfn.LET(_xlpm.dir,Table1[[#This Row],[Direction]],
IF(_xlpm.dir="L",
    IF(F4493-Table1[[#This Row],[Steps]]&lt;0,100+(F4493-Table1[[#This Row],[Steps]]),F4493-Table1[[#This Row],[Steps]]),
))</f>
        <v>0</v>
      </c>
      <c r="E4494">
        <f>_xlfn.LET(_xlpm.dir,Table1[[#This Row],[Direction]],
IF(_xlpm.dir="R",
    IF(F4493+Table1[[#This Row],[Steps]]&gt;99,(F4493+Table1[[#This Row],[Steps]])-100,F4493+Table1[[#This Row],[Steps]]),
))</f>
        <v>87</v>
      </c>
      <c r="F4494">
        <f>IF(Table1[[#This Row],[New Pos L]]&lt;&gt;0,Table1[[#This Row],[New Pos L]],Table1[[#This Row],[New Pos R]])</f>
        <v>87</v>
      </c>
    </row>
    <row r="4495" spans="1:6" ht="16" x14ac:dyDescent="0.2">
      <c r="A4495" s="1" t="s">
        <v>51</v>
      </c>
      <c r="B4495" t="str">
        <f>LEFT(Table1[[#This Row],[Input]],1)</f>
        <v>L</v>
      </c>
      <c r="C4495">
        <f>_xlfn.LET(_xlpm.steps,SUBSTITUTE(Table1[[#This Row],[Input]],Table1[[#This Row],[Direction]],""),VALUE(IF(LEN(_xlpm.steps)&gt;2,RIGHT(_xlpm.steps,2),_xlpm.steps)))</f>
        <v>25</v>
      </c>
      <c r="D4495">
        <f>_xlfn.LET(_xlpm.dir,Table1[[#This Row],[Direction]],
IF(_xlpm.dir="L",
    IF(F4494-Table1[[#This Row],[Steps]]&lt;0,100+(F4494-Table1[[#This Row],[Steps]]),F4494-Table1[[#This Row],[Steps]]),
))</f>
        <v>62</v>
      </c>
      <c r="E4495">
        <f>_xlfn.LET(_xlpm.dir,Table1[[#This Row],[Direction]],
IF(_xlpm.dir="R",
    IF(F4494+Table1[[#This Row],[Steps]]&gt;99,(F4494+Table1[[#This Row],[Steps]])-100,F4494+Table1[[#This Row],[Steps]]),
))</f>
        <v>0</v>
      </c>
      <c r="F4495">
        <f>IF(Table1[[#This Row],[New Pos L]]&lt;&gt;0,Table1[[#This Row],[New Pos L]],Table1[[#This Row],[New Pos R]])</f>
        <v>62</v>
      </c>
    </row>
    <row r="4496" spans="1:6" ht="16" x14ac:dyDescent="0.2">
      <c r="A4496" s="1" t="s">
        <v>58</v>
      </c>
      <c r="B4496" t="str">
        <f>LEFT(Table1[[#This Row],[Input]],1)</f>
        <v>L</v>
      </c>
      <c r="C4496">
        <f>_xlfn.LET(_xlpm.steps,SUBSTITUTE(Table1[[#This Row],[Input]],Table1[[#This Row],[Direction]],""),VALUE(IF(LEN(_xlpm.steps)&gt;2,RIGHT(_xlpm.steps,2),_xlpm.steps)))</f>
        <v>30</v>
      </c>
      <c r="D4496">
        <f>_xlfn.LET(_xlpm.dir,Table1[[#This Row],[Direction]],
IF(_xlpm.dir="L",
    IF(F4495-Table1[[#This Row],[Steps]]&lt;0,100+(F4495-Table1[[#This Row],[Steps]]),F4495-Table1[[#This Row],[Steps]]),
))</f>
        <v>32</v>
      </c>
      <c r="E4496">
        <f>_xlfn.LET(_xlpm.dir,Table1[[#This Row],[Direction]],
IF(_xlpm.dir="R",
    IF(F4495+Table1[[#This Row],[Steps]]&gt;99,(F4495+Table1[[#This Row],[Steps]])-100,F4495+Table1[[#This Row],[Steps]]),
))</f>
        <v>0</v>
      </c>
      <c r="F4496">
        <f>IF(Table1[[#This Row],[New Pos L]]&lt;&gt;0,Table1[[#This Row],[New Pos L]],Table1[[#This Row],[New Pos R]])</f>
        <v>32</v>
      </c>
    </row>
    <row r="4497" spans="1:6" ht="16" x14ac:dyDescent="0.2">
      <c r="A4497" s="1" t="s">
        <v>52</v>
      </c>
      <c r="B4497" t="str">
        <f>LEFT(Table1[[#This Row],[Input]],1)</f>
        <v>R</v>
      </c>
      <c r="C4497">
        <f>_xlfn.LET(_xlpm.steps,SUBSTITUTE(Table1[[#This Row],[Input]],Table1[[#This Row],[Direction]],""),VALUE(IF(LEN(_xlpm.steps)&gt;2,RIGHT(_xlpm.steps,2),_xlpm.steps)))</f>
        <v>11</v>
      </c>
      <c r="D4497">
        <f>_xlfn.LET(_xlpm.dir,Table1[[#This Row],[Direction]],
IF(_xlpm.dir="L",
    IF(F4496-Table1[[#This Row],[Steps]]&lt;0,100+(F4496-Table1[[#This Row],[Steps]]),F4496-Table1[[#This Row],[Steps]]),
))</f>
        <v>0</v>
      </c>
      <c r="E4497">
        <f>_xlfn.LET(_xlpm.dir,Table1[[#This Row],[Direction]],
IF(_xlpm.dir="R",
    IF(F4496+Table1[[#This Row],[Steps]]&gt;99,(F4496+Table1[[#This Row],[Steps]])-100,F4496+Table1[[#This Row],[Steps]]),
))</f>
        <v>43</v>
      </c>
      <c r="F4497">
        <f>IF(Table1[[#This Row],[New Pos L]]&lt;&gt;0,Table1[[#This Row],[New Pos L]],Table1[[#This Row],[New Pos R]])</f>
        <v>43</v>
      </c>
    </row>
    <row r="4498" spans="1:6" ht="16" x14ac:dyDescent="0.2">
      <c r="A4498" s="1" t="s">
        <v>330</v>
      </c>
      <c r="B4498" t="str">
        <f>LEFT(Table1[[#This Row],[Input]],1)</f>
        <v>L</v>
      </c>
      <c r="C4498">
        <f>_xlfn.LET(_xlpm.steps,SUBSTITUTE(Table1[[#This Row],[Input]],Table1[[#This Row],[Direction]],""),VALUE(IF(LEN(_xlpm.steps)&gt;2,RIGHT(_xlpm.steps,2),_xlpm.steps)))</f>
        <v>47</v>
      </c>
      <c r="D4498">
        <f>_xlfn.LET(_xlpm.dir,Table1[[#This Row],[Direction]],
IF(_xlpm.dir="L",
    IF(F4497-Table1[[#This Row],[Steps]]&lt;0,100+(F4497-Table1[[#This Row],[Steps]]),F4497-Table1[[#This Row],[Steps]]),
))</f>
        <v>96</v>
      </c>
      <c r="E4498">
        <f>_xlfn.LET(_xlpm.dir,Table1[[#This Row],[Direction]],
IF(_xlpm.dir="R",
    IF(F4497+Table1[[#This Row],[Steps]]&gt;99,(F4497+Table1[[#This Row],[Steps]])-100,F4497+Table1[[#This Row],[Steps]]),
))</f>
        <v>0</v>
      </c>
      <c r="F4498">
        <f>IF(Table1[[#This Row],[New Pos L]]&lt;&gt;0,Table1[[#This Row],[New Pos L]],Table1[[#This Row],[New Pos R]])</f>
        <v>96</v>
      </c>
    </row>
    <row r="4499" spans="1:6" ht="16" x14ac:dyDescent="0.2">
      <c r="A4499" s="1" t="s">
        <v>38</v>
      </c>
      <c r="B4499" t="str">
        <f>LEFT(Table1[[#This Row],[Input]],1)</f>
        <v>R</v>
      </c>
      <c r="C4499">
        <f>_xlfn.LET(_xlpm.steps,SUBSTITUTE(Table1[[#This Row],[Input]],Table1[[#This Row],[Direction]],""),VALUE(IF(LEN(_xlpm.steps)&gt;2,RIGHT(_xlpm.steps,2),_xlpm.steps)))</f>
        <v>15</v>
      </c>
      <c r="D4499">
        <f>_xlfn.LET(_xlpm.dir,Table1[[#This Row],[Direction]],
IF(_xlpm.dir="L",
    IF(F4498-Table1[[#This Row],[Steps]]&lt;0,100+(F4498-Table1[[#This Row],[Steps]]),F4498-Table1[[#This Row],[Steps]]),
))</f>
        <v>0</v>
      </c>
      <c r="E4499">
        <f>_xlfn.LET(_xlpm.dir,Table1[[#This Row],[Direction]],
IF(_xlpm.dir="R",
    IF(F4498+Table1[[#This Row],[Steps]]&gt;99,(F4498+Table1[[#This Row],[Steps]])-100,F4498+Table1[[#This Row],[Steps]]),
))</f>
        <v>11</v>
      </c>
      <c r="F4499">
        <f>IF(Table1[[#This Row],[New Pos L]]&lt;&gt;0,Table1[[#This Row],[New Pos L]],Table1[[#This Row],[New Pos R]])</f>
        <v>11</v>
      </c>
    </row>
    <row r="4500" spans="1:6" ht="16" x14ac:dyDescent="0.2">
      <c r="A4500" s="1" t="s">
        <v>201</v>
      </c>
      <c r="B4500" t="str">
        <f>LEFT(Table1[[#This Row],[Input]],1)</f>
        <v>R</v>
      </c>
      <c r="C4500">
        <f>_xlfn.LET(_xlpm.steps,SUBSTITUTE(Table1[[#This Row],[Input]],Table1[[#This Row],[Direction]],""),VALUE(IF(LEN(_xlpm.steps)&gt;2,RIGHT(_xlpm.steps,2),_xlpm.steps)))</f>
        <v>31</v>
      </c>
      <c r="D4500">
        <f>_xlfn.LET(_xlpm.dir,Table1[[#This Row],[Direction]],
IF(_xlpm.dir="L",
    IF(F4499-Table1[[#This Row],[Steps]]&lt;0,100+(F4499-Table1[[#This Row],[Steps]]),F4499-Table1[[#This Row],[Steps]]),
))</f>
        <v>0</v>
      </c>
      <c r="E4500">
        <f>_xlfn.LET(_xlpm.dir,Table1[[#This Row],[Direction]],
IF(_xlpm.dir="R",
    IF(F4499+Table1[[#This Row],[Steps]]&gt;99,(F4499+Table1[[#This Row],[Steps]])-100,F4499+Table1[[#This Row],[Steps]]),
))</f>
        <v>42</v>
      </c>
      <c r="F4500">
        <f>IF(Table1[[#This Row],[New Pos L]]&lt;&gt;0,Table1[[#This Row],[New Pos L]],Table1[[#This Row],[New Pos R]])</f>
        <v>42</v>
      </c>
    </row>
    <row r="4501" spans="1:6" ht="16" x14ac:dyDescent="0.2">
      <c r="A4501" s="1" t="s">
        <v>304</v>
      </c>
      <c r="B4501" t="str">
        <f>LEFT(Table1[[#This Row],[Input]],1)</f>
        <v>L</v>
      </c>
      <c r="C4501">
        <f>_xlfn.LET(_xlpm.steps,SUBSTITUTE(Table1[[#This Row],[Input]],Table1[[#This Row],[Direction]],""),VALUE(IF(LEN(_xlpm.steps)&gt;2,RIGHT(_xlpm.steps,2),_xlpm.steps)))</f>
        <v>26</v>
      </c>
      <c r="D4501">
        <f>_xlfn.LET(_xlpm.dir,Table1[[#This Row],[Direction]],
IF(_xlpm.dir="L",
    IF(F4500-Table1[[#This Row],[Steps]]&lt;0,100+(F4500-Table1[[#This Row],[Steps]]),F4500-Table1[[#This Row],[Steps]]),
))</f>
        <v>16</v>
      </c>
      <c r="E4501">
        <f>_xlfn.LET(_xlpm.dir,Table1[[#This Row],[Direction]],
IF(_xlpm.dir="R",
    IF(F4500+Table1[[#This Row],[Steps]]&gt;99,(F4500+Table1[[#This Row],[Steps]])-100,F4500+Table1[[#This Row],[Steps]]),
))</f>
        <v>0</v>
      </c>
      <c r="F4501">
        <f>IF(Table1[[#This Row],[New Pos L]]&lt;&gt;0,Table1[[#This Row],[New Pos L]],Table1[[#This Row],[New Pos R]])</f>
        <v>16</v>
      </c>
    </row>
    <row r="4502" spans="1:6" ht="16" x14ac:dyDescent="0.2">
      <c r="A4502" s="1" t="s">
        <v>18</v>
      </c>
      <c r="B4502" t="str">
        <f>LEFT(Table1[[#This Row],[Input]],1)</f>
        <v>L</v>
      </c>
      <c r="C4502">
        <f>_xlfn.LET(_xlpm.steps,SUBSTITUTE(Table1[[#This Row],[Input]],Table1[[#This Row],[Direction]],""),VALUE(IF(LEN(_xlpm.steps)&gt;2,RIGHT(_xlpm.steps,2),_xlpm.steps)))</f>
        <v>46</v>
      </c>
      <c r="D4502">
        <f>_xlfn.LET(_xlpm.dir,Table1[[#This Row],[Direction]],
IF(_xlpm.dir="L",
    IF(F4501-Table1[[#This Row],[Steps]]&lt;0,100+(F4501-Table1[[#This Row],[Steps]]),F4501-Table1[[#This Row],[Steps]]),
))</f>
        <v>70</v>
      </c>
      <c r="E4502">
        <f>_xlfn.LET(_xlpm.dir,Table1[[#This Row],[Direction]],
IF(_xlpm.dir="R",
    IF(F4501+Table1[[#This Row],[Steps]]&gt;99,(F4501+Table1[[#This Row],[Steps]])-100,F4501+Table1[[#This Row],[Steps]]),
))</f>
        <v>0</v>
      </c>
      <c r="F4502">
        <f>IF(Table1[[#This Row],[New Pos L]]&lt;&gt;0,Table1[[#This Row],[New Pos L]],Table1[[#This Row],[New Pos R]])</f>
        <v>70</v>
      </c>
    </row>
    <row r="4503" spans="1:6" ht="16" x14ac:dyDescent="0.2">
      <c r="A4503" s="1" t="s">
        <v>61</v>
      </c>
      <c r="B4503" t="str">
        <f>LEFT(Table1[[#This Row],[Input]],1)</f>
        <v>L</v>
      </c>
      <c r="C4503">
        <f>_xlfn.LET(_xlpm.steps,SUBSTITUTE(Table1[[#This Row],[Input]],Table1[[#This Row],[Direction]],""),VALUE(IF(LEN(_xlpm.steps)&gt;2,RIGHT(_xlpm.steps,2),_xlpm.steps)))</f>
        <v>16</v>
      </c>
      <c r="D4503">
        <f>_xlfn.LET(_xlpm.dir,Table1[[#This Row],[Direction]],
IF(_xlpm.dir="L",
    IF(F4502-Table1[[#This Row],[Steps]]&lt;0,100+(F4502-Table1[[#This Row],[Steps]]),F4502-Table1[[#This Row],[Steps]]),
))</f>
        <v>54</v>
      </c>
      <c r="E4503">
        <f>_xlfn.LET(_xlpm.dir,Table1[[#This Row],[Direction]],
IF(_xlpm.dir="R",
    IF(F4502+Table1[[#This Row],[Steps]]&gt;99,(F4502+Table1[[#This Row],[Steps]])-100,F4502+Table1[[#This Row],[Steps]]),
))</f>
        <v>0</v>
      </c>
      <c r="F4503">
        <f>IF(Table1[[#This Row],[New Pos L]]&lt;&gt;0,Table1[[#This Row],[New Pos L]],Table1[[#This Row],[New Pos R]])</f>
        <v>54</v>
      </c>
    </row>
    <row r="4504" spans="1:6" ht="16" x14ac:dyDescent="0.2">
      <c r="A4504" s="1" t="s">
        <v>3</v>
      </c>
      <c r="B4504" t="str">
        <f>LEFT(Table1[[#This Row],[Input]],1)</f>
        <v>R</v>
      </c>
      <c r="C4504">
        <f>_xlfn.LET(_xlpm.steps,SUBSTITUTE(Table1[[#This Row],[Input]],Table1[[#This Row],[Direction]],""),VALUE(IF(LEN(_xlpm.steps)&gt;2,RIGHT(_xlpm.steps,2),_xlpm.steps)))</f>
        <v>44</v>
      </c>
      <c r="D4504">
        <f>_xlfn.LET(_xlpm.dir,Table1[[#This Row],[Direction]],
IF(_xlpm.dir="L",
    IF(F4503-Table1[[#This Row],[Steps]]&lt;0,100+(F4503-Table1[[#This Row],[Steps]]),F4503-Table1[[#This Row],[Steps]]),
))</f>
        <v>0</v>
      </c>
      <c r="E4504">
        <f>_xlfn.LET(_xlpm.dir,Table1[[#This Row],[Direction]],
IF(_xlpm.dir="R",
    IF(F4503+Table1[[#This Row],[Steps]]&gt;99,(F4503+Table1[[#This Row],[Steps]])-100,F4503+Table1[[#This Row],[Steps]]),
))</f>
        <v>98</v>
      </c>
      <c r="F4504">
        <f>IF(Table1[[#This Row],[New Pos L]]&lt;&gt;0,Table1[[#This Row],[New Pos L]],Table1[[#This Row],[New Pos R]])</f>
        <v>98</v>
      </c>
    </row>
    <row r="4505" spans="1:6" ht="16" x14ac:dyDescent="0.2">
      <c r="A4505" s="1" t="s">
        <v>64</v>
      </c>
      <c r="B4505" t="str">
        <f>LEFT(Table1[[#This Row],[Input]],1)</f>
        <v>R</v>
      </c>
      <c r="C4505">
        <f>_xlfn.LET(_xlpm.steps,SUBSTITUTE(Table1[[#This Row],[Input]],Table1[[#This Row],[Direction]],""),VALUE(IF(LEN(_xlpm.steps)&gt;2,RIGHT(_xlpm.steps,2),_xlpm.steps)))</f>
        <v>10</v>
      </c>
      <c r="D4505">
        <f>_xlfn.LET(_xlpm.dir,Table1[[#This Row],[Direction]],
IF(_xlpm.dir="L",
    IF(F4504-Table1[[#This Row],[Steps]]&lt;0,100+(F4504-Table1[[#This Row],[Steps]]),F4504-Table1[[#This Row],[Steps]]),
))</f>
        <v>0</v>
      </c>
      <c r="E4505">
        <f>_xlfn.LET(_xlpm.dir,Table1[[#This Row],[Direction]],
IF(_xlpm.dir="R",
    IF(F4504+Table1[[#This Row],[Steps]]&gt;99,(F4504+Table1[[#This Row],[Steps]])-100,F4504+Table1[[#This Row],[Steps]]),
))</f>
        <v>8</v>
      </c>
      <c r="F4505">
        <f>IF(Table1[[#This Row],[New Pos L]]&lt;&gt;0,Table1[[#This Row],[New Pos L]],Table1[[#This Row],[New Pos R]])</f>
        <v>8</v>
      </c>
    </row>
    <row r="4506" spans="1:6" ht="16" x14ac:dyDescent="0.2">
      <c r="A4506" s="1" t="s">
        <v>39</v>
      </c>
      <c r="B4506" t="str">
        <f>LEFT(Table1[[#This Row],[Input]],1)</f>
        <v>R</v>
      </c>
      <c r="C4506">
        <f>_xlfn.LET(_xlpm.steps,SUBSTITUTE(Table1[[#This Row],[Input]],Table1[[#This Row],[Direction]],""),VALUE(IF(LEN(_xlpm.steps)&gt;2,RIGHT(_xlpm.steps,2),_xlpm.steps)))</f>
        <v>32</v>
      </c>
      <c r="D4506">
        <f>_xlfn.LET(_xlpm.dir,Table1[[#This Row],[Direction]],
IF(_xlpm.dir="L",
    IF(F4505-Table1[[#This Row],[Steps]]&lt;0,100+(F4505-Table1[[#This Row],[Steps]]),F4505-Table1[[#This Row],[Steps]]),
))</f>
        <v>0</v>
      </c>
      <c r="E4506">
        <f>_xlfn.LET(_xlpm.dir,Table1[[#This Row],[Direction]],
IF(_xlpm.dir="R",
    IF(F4505+Table1[[#This Row],[Steps]]&gt;99,(F4505+Table1[[#This Row],[Steps]])-100,F4505+Table1[[#This Row],[Steps]]),
))</f>
        <v>40</v>
      </c>
      <c r="F4506">
        <f>IF(Table1[[#This Row],[New Pos L]]&lt;&gt;0,Table1[[#This Row],[New Pos L]],Table1[[#This Row],[New Pos R]])</f>
        <v>40</v>
      </c>
    </row>
    <row r="4507" spans="1:6" ht="16" x14ac:dyDescent="0.2">
      <c r="A4507" s="1" t="s">
        <v>175</v>
      </c>
      <c r="B4507" t="str">
        <f>LEFT(Table1[[#This Row],[Input]],1)</f>
        <v>L</v>
      </c>
      <c r="C4507">
        <f>_xlfn.LET(_xlpm.steps,SUBSTITUTE(Table1[[#This Row],[Input]],Table1[[#This Row],[Direction]],""),VALUE(IF(LEN(_xlpm.steps)&gt;2,RIGHT(_xlpm.steps,2),_xlpm.steps)))</f>
        <v>1</v>
      </c>
      <c r="D4507">
        <f>_xlfn.LET(_xlpm.dir,Table1[[#This Row],[Direction]],
IF(_xlpm.dir="L",
    IF(F4506-Table1[[#This Row],[Steps]]&lt;0,100+(F4506-Table1[[#This Row],[Steps]]),F4506-Table1[[#This Row],[Steps]]),
))</f>
        <v>39</v>
      </c>
      <c r="E4507">
        <f>_xlfn.LET(_xlpm.dir,Table1[[#This Row],[Direction]],
IF(_xlpm.dir="R",
    IF(F4506+Table1[[#This Row],[Steps]]&gt;99,(F4506+Table1[[#This Row],[Steps]])-100,F4506+Table1[[#This Row],[Steps]]),
))</f>
        <v>0</v>
      </c>
      <c r="F4507">
        <f>IF(Table1[[#This Row],[New Pos L]]&lt;&gt;0,Table1[[#This Row],[New Pos L]],Table1[[#This Row],[New Pos R]])</f>
        <v>39</v>
      </c>
    </row>
    <row r="4508" spans="1:6" ht="16" x14ac:dyDescent="0.2">
      <c r="A4508" s="1" t="s">
        <v>102</v>
      </c>
      <c r="B4508" t="str">
        <f>LEFT(Table1[[#This Row],[Input]],1)</f>
        <v>R</v>
      </c>
      <c r="C4508">
        <f>_xlfn.LET(_xlpm.steps,SUBSTITUTE(Table1[[#This Row],[Input]],Table1[[#This Row],[Direction]],""),VALUE(IF(LEN(_xlpm.steps)&gt;2,RIGHT(_xlpm.steps,2),_xlpm.steps)))</f>
        <v>39</v>
      </c>
      <c r="D4508">
        <f>_xlfn.LET(_xlpm.dir,Table1[[#This Row],[Direction]],
IF(_xlpm.dir="L",
    IF(F4507-Table1[[#This Row],[Steps]]&lt;0,100+(F4507-Table1[[#This Row],[Steps]]),F4507-Table1[[#This Row],[Steps]]),
))</f>
        <v>0</v>
      </c>
      <c r="E4508">
        <f>_xlfn.LET(_xlpm.dir,Table1[[#This Row],[Direction]],
IF(_xlpm.dir="R",
    IF(F4507+Table1[[#This Row],[Steps]]&gt;99,(F4507+Table1[[#This Row],[Steps]])-100,F4507+Table1[[#This Row],[Steps]]),
))</f>
        <v>78</v>
      </c>
      <c r="F4508">
        <f>IF(Table1[[#This Row],[New Pos L]]&lt;&gt;0,Table1[[#This Row],[New Pos L]],Table1[[#This Row],[New Pos R]])</f>
        <v>78</v>
      </c>
    </row>
    <row r="4509" spans="1:6" ht="16" x14ac:dyDescent="0.2">
      <c r="A4509" s="1" t="s">
        <v>79</v>
      </c>
      <c r="B4509" t="str">
        <f>LEFT(Table1[[#This Row],[Input]],1)</f>
        <v>L</v>
      </c>
      <c r="C4509">
        <f>_xlfn.LET(_xlpm.steps,SUBSTITUTE(Table1[[#This Row],[Input]],Table1[[#This Row],[Direction]],""),VALUE(IF(LEN(_xlpm.steps)&gt;2,RIGHT(_xlpm.steps,2),_xlpm.steps)))</f>
        <v>45</v>
      </c>
      <c r="D4509">
        <f>_xlfn.LET(_xlpm.dir,Table1[[#This Row],[Direction]],
IF(_xlpm.dir="L",
    IF(F4508-Table1[[#This Row],[Steps]]&lt;0,100+(F4508-Table1[[#This Row],[Steps]]),F4508-Table1[[#This Row],[Steps]]),
))</f>
        <v>33</v>
      </c>
      <c r="E4509">
        <f>_xlfn.LET(_xlpm.dir,Table1[[#This Row],[Direction]],
IF(_xlpm.dir="R",
    IF(F4508+Table1[[#This Row],[Steps]]&gt;99,(F4508+Table1[[#This Row],[Steps]])-100,F4508+Table1[[#This Row],[Steps]]),
))</f>
        <v>0</v>
      </c>
      <c r="F4509">
        <f>IF(Table1[[#This Row],[New Pos L]]&lt;&gt;0,Table1[[#This Row],[New Pos L]],Table1[[#This Row],[New Pos R]])</f>
        <v>33</v>
      </c>
    </row>
    <row r="4510" spans="1:6" ht="16" x14ac:dyDescent="0.2">
      <c r="A4510" s="1" t="s">
        <v>71</v>
      </c>
      <c r="B4510" t="str">
        <f>LEFT(Table1[[#This Row],[Input]],1)</f>
        <v>R</v>
      </c>
      <c r="C4510">
        <f>_xlfn.LET(_xlpm.steps,SUBSTITUTE(Table1[[#This Row],[Input]],Table1[[#This Row],[Direction]],""),VALUE(IF(LEN(_xlpm.steps)&gt;2,RIGHT(_xlpm.steps,2),_xlpm.steps)))</f>
        <v>23</v>
      </c>
      <c r="D4510">
        <f>_xlfn.LET(_xlpm.dir,Table1[[#This Row],[Direction]],
IF(_xlpm.dir="L",
    IF(F4509-Table1[[#This Row],[Steps]]&lt;0,100+(F4509-Table1[[#This Row],[Steps]]),F4509-Table1[[#This Row],[Steps]]),
))</f>
        <v>0</v>
      </c>
      <c r="E4510">
        <f>_xlfn.LET(_xlpm.dir,Table1[[#This Row],[Direction]],
IF(_xlpm.dir="R",
    IF(F4509+Table1[[#This Row],[Steps]]&gt;99,(F4509+Table1[[#This Row],[Steps]])-100,F4509+Table1[[#This Row],[Steps]]),
))</f>
        <v>56</v>
      </c>
      <c r="F4510">
        <f>IF(Table1[[#This Row],[New Pos L]]&lt;&gt;0,Table1[[#This Row],[New Pos L]],Table1[[#This Row],[New Pos R]])</f>
        <v>56</v>
      </c>
    </row>
    <row r="4511" spans="1:6" ht="16" x14ac:dyDescent="0.2">
      <c r="A4511" s="1" t="s">
        <v>106</v>
      </c>
      <c r="B4511" t="str">
        <f>LEFT(Table1[[#This Row],[Input]],1)</f>
        <v>R</v>
      </c>
      <c r="C4511">
        <f>_xlfn.LET(_xlpm.steps,SUBSTITUTE(Table1[[#This Row],[Input]],Table1[[#This Row],[Direction]],""),VALUE(IF(LEN(_xlpm.steps)&gt;2,RIGHT(_xlpm.steps,2),_xlpm.steps)))</f>
        <v>41</v>
      </c>
      <c r="D4511">
        <f>_xlfn.LET(_xlpm.dir,Table1[[#This Row],[Direction]],
IF(_xlpm.dir="L",
    IF(F4510-Table1[[#This Row],[Steps]]&lt;0,100+(F4510-Table1[[#This Row],[Steps]]),F4510-Table1[[#This Row],[Steps]]),
))</f>
        <v>0</v>
      </c>
      <c r="E4511">
        <f>_xlfn.LET(_xlpm.dir,Table1[[#This Row],[Direction]],
IF(_xlpm.dir="R",
    IF(F4510+Table1[[#This Row],[Steps]]&gt;99,(F4510+Table1[[#This Row],[Steps]])-100,F4510+Table1[[#This Row],[Steps]]),
))</f>
        <v>97</v>
      </c>
      <c r="F4511">
        <f>IF(Table1[[#This Row],[New Pos L]]&lt;&gt;0,Table1[[#This Row],[New Pos L]],Table1[[#This Row],[New Pos R]])</f>
        <v>97</v>
      </c>
    </row>
    <row r="4512" spans="1:6" ht="16" x14ac:dyDescent="0.2">
      <c r="A4512" s="1" t="s">
        <v>16</v>
      </c>
      <c r="B4512" t="str">
        <f>LEFT(Table1[[#This Row],[Input]],1)</f>
        <v>L</v>
      </c>
      <c r="C4512">
        <f>_xlfn.LET(_xlpm.steps,SUBSTITUTE(Table1[[#This Row],[Input]],Table1[[#This Row],[Direction]],""),VALUE(IF(LEN(_xlpm.steps)&gt;2,RIGHT(_xlpm.steps,2),_xlpm.steps)))</f>
        <v>10</v>
      </c>
      <c r="D4512">
        <f>_xlfn.LET(_xlpm.dir,Table1[[#This Row],[Direction]],
IF(_xlpm.dir="L",
    IF(F4511-Table1[[#This Row],[Steps]]&lt;0,100+(F4511-Table1[[#This Row],[Steps]]),F4511-Table1[[#This Row],[Steps]]),
))</f>
        <v>87</v>
      </c>
      <c r="E4512">
        <f>_xlfn.LET(_xlpm.dir,Table1[[#This Row],[Direction]],
IF(_xlpm.dir="R",
    IF(F4511+Table1[[#This Row],[Steps]]&gt;99,(F4511+Table1[[#This Row],[Steps]])-100,F4511+Table1[[#This Row],[Steps]]),
))</f>
        <v>0</v>
      </c>
      <c r="F4512">
        <f>IF(Table1[[#This Row],[New Pos L]]&lt;&gt;0,Table1[[#This Row],[New Pos L]],Table1[[#This Row],[New Pos R]])</f>
        <v>87</v>
      </c>
    </row>
    <row r="4513" spans="1:6" ht="16" x14ac:dyDescent="0.2">
      <c r="A4513" s="1" t="s">
        <v>76</v>
      </c>
      <c r="B4513" t="str">
        <f>LEFT(Table1[[#This Row],[Input]],1)</f>
        <v>R</v>
      </c>
      <c r="C4513">
        <f>_xlfn.LET(_xlpm.steps,SUBSTITUTE(Table1[[#This Row],[Input]],Table1[[#This Row],[Direction]],""),VALUE(IF(LEN(_xlpm.steps)&gt;2,RIGHT(_xlpm.steps,2),_xlpm.steps)))</f>
        <v>37</v>
      </c>
      <c r="D4513">
        <f>_xlfn.LET(_xlpm.dir,Table1[[#This Row],[Direction]],
IF(_xlpm.dir="L",
    IF(F4512-Table1[[#This Row],[Steps]]&lt;0,100+(F4512-Table1[[#This Row],[Steps]]),F4512-Table1[[#This Row],[Steps]]),
))</f>
        <v>0</v>
      </c>
      <c r="E4513">
        <f>_xlfn.LET(_xlpm.dir,Table1[[#This Row],[Direction]],
IF(_xlpm.dir="R",
    IF(F4512+Table1[[#This Row],[Steps]]&gt;99,(F4512+Table1[[#This Row],[Steps]])-100,F4512+Table1[[#This Row],[Steps]]),
))</f>
        <v>24</v>
      </c>
      <c r="F4513">
        <f>IF(Table1[[#This Row],[New Pos L]]&lt;&gt;0,Table1[[#This Row],[New Pos L]],Table1[[#This Row],[New Pos R]])</f>
        <v>24</v>
      </c>
    </row>
    <row r="4514" spans="1:6" ht="16" x14ac:dyDescent="0.2">
      <c r="A4514" s="1" t="s">
        <v>5</v>
      </c>
      <c r="B4514" t="str">
        <f>LEFT(Table1[[#This Row],[Input]],1)</f>
        <v>R</v>
      </c>
      <c r="C4514">
        <f>_xlfn.LET(_xlpm.steps,SUBSTITUTE(Table1[[#This Row],[Input]],Table1[[#This Row],[Direction]],""),VALUE(IF(LEN(_xlpm.steps)&gt;2,RIGHT(_xlpm.steps,2),_xlpm.steps)))</f>
        <v>1</v>
      </c>
      <c r="D4514">
        <f>_xlfn.LET(_xlpm.dir,Table1[[#This Row],[Direction]],
IF(_xlpm.dir="L",
    IF(F4513-Table1[[#This Row],[Steps]]&lt;0,100+(F4513-Table1[[#This Row],[Steps]]),F4513-Table1[[#This Row],[Steps]]),
))</f>
        <v>0</v>
      </c>
      <c r="E4514">
        <f>_xlfn.LET(_xlpm.dir,Table1[[#This Row],[Direction]],
IF(_xlpm.dir="R",
    IF(F4513+Table1[[#This Row],[Steps]]&gt;99,(F4513+Table1[[#This Row],[Steps]])-100,F4513+Table1[[#This Row],[Steps]]),
))</f>
        <v>25</v>
      </c>
      <c r="F4514">
        <f>IF(Table1[[#This Row],[New Pos L]]&lt;&gt;0,Table1[[#This Row],[New Pos L]],Table1[[#This Row],[New Pos R]])</f>
        <v>25</v>
      </c>
    </row>
    <row r="4515" spans="1:6" ht="16" x14ac:dyDescent="0.2">
      <c r="A4515" s="1" t="s">
        <v>175</v>
      </c>
      <c r="B4515" t="str">
        <f>LEFT(Table1[[#This Row],[Input]],1)</f>
        <v>L</v>
      </c>
      <c r="C4515">
        <f>_xlfn.LET(_xlpm.steps,SUBSTITUTE(Table1[[#This Row],[Input]],Table1[[#This Row],[Direction]],""),VALUE(IF(LEN(_xlpm.steps)&gt;2,RIGHT(_xlpm.steps,2),_xlpm.steps)))</f>
        <v>1</v>
      </c>
      <c r="D4515">
        <f>_xlfn.LET(_xlpm.dir,Table1[[#This Row],[Direction]],
IF(_xlpm.dir="L",
    IF(F4514-Table1[[#This Row],[Steps]]&lt;0,100+(F4514-Table1[[#This Row],[Steps]]),F4514-Table1[[#This Row],[Steps]]),
))</f>
        <v>24</v>
      </c>
      <c r="E4515">
        <f>_xlfn.LET(_xlpm.dir,Table1[[#This Row],[Direction]],
IF(_xlpm.dir="R",
    IF(F4514+Table1[[#This Row],[Steps]]&gt;99,(F4514+Table1[[#This Row],[Steps]])-100,F4514+Table1[[#This Row],[Steps]]),
))</f>
        <v>0</v>
      </c>
      <c r="F4515">
        <f>IF(Table1[[#This Row],[New Pos L]]&lt;&gt;0,Table1[[#This Row],[New Pos L]],Table1[[#This Row],[New Pos R]])</f>
        <v>24</v>
      </c>
    </row>
    <row r="4516" spans="1:6" ht="16" x14ac:dyDescent="0.2">
      <c r="A4516" s="1" t="s">
        <v>191</v>
      </c>
      <c r="B4516" t="str">
        <f>LEFT(Table1[[#This Row],[Input]],1)</f>
        <v>L</v>
      </c>
      <c r="C4516">
        <f>_xlfn.LET(_xlpm.steps,SUBSTITUTE(Table1[[#This Row],[Input]],Table1[[#This Row],[Direction]],""),VALUE(IF(LEN(_xlpm.steps)&gt;2,RIGHT(_xlpm.steps,2),_xlpm.steps)))</f>
        <v>5</v>
      </c>
      <c r="D4516">
        <f>_xlfn.LET(_xlpm.dir,Table1[[#This Row],[Direction]],
IF(_xlpm.dir="L",
    IF(F4515-Table1[[#This Row],[Steps]]&lt;0,100+(F4515-Table1[[#This Row],[Steps]]),F4515-Table1[[#This Row],[Steps]]),
))</f>
        <v>19</v>
      </c>
      <c r="E4516">
        <f>_xlfn.LET(_xlpm.dir,Table1[[#This Row],[Direction]],
IF(_xlpm.dir="R",
    IF(F4515+Table1[[#This Row],[Steps]]&gt;99,(F4515+Table1[[#This Row],[Steps]])-100,F4515+Table1[[#This Row],[Steps]]),
))</f>
        <v>0</v>
      </c>
      <c r="F4516">
        <f>IF(Table1[[#This Row],[New Pos L]]&lt;&gt;0,Table1[[#This Row],[New Pos L]],Table1[[#This Row],[New Pos R]])</f>
        <v>19</v>
      </c>
    </row>
    <row r="4517" spans="1:6" ht="16" x14ac:dyDescent="0.2">
      <c r="A4517" s="1" t="s">
        <v>30</v>
      </c>
      <c r="B4517" t="str">
        <f>LEFT(Table1[[#This Row],[Input]],1)</f>
        <v>R</v>
      </c>
      <c r="C4517">
        <f>_xlfn.LET(_xlpm.steps,SUBSTITUTE(Table1[[#This Row],[Input]],Table1[[#This Row],[Direction]],""),VALUE(IF(LEN(_xlpm.steps)&gt;2,RIGHT(_xlpm.steps,2),_xlpm.steps)))</f>
        <v>48</v>
      </c>
      <c r="D4517">
        <f>_xlfn.LET(_xlpm.dir,Table1[[#This Row],[Direction]],
IF(_xlpm.dir="L",
    IF(F4516-Table1[[#This Row],[Steps]]&lt;0,100+(F4516-Table1[[#This Row],[Steps]]),F4516-Table1[[#This Row],[Steps]]),
))</f>
        <v>0</v>
      </c>
      <c r="E4517">
        <f>_xlfn.LET(_xlpm.dir,Table1[[#This Row],[Direction]],
IF(_xlpm.dir="R",
    IF(F4516+Table1[[#This Row],[Steps]]&gt;99,(F4516+Table1[[#This Row],[Steps]])-100,F4516+Table1[[#This Row],[Steps]]),
))</f>
        <v>67</v>
      </c>
      <c r="F4517">
        <f>IF(Table1[[#This Row],[New Pos L]]&lt;&gt;0,Table1[[#This Row],[New Pos L]],Table1[[#This Row],[New Pos R]])</f>
        <v>67</v>
      </c>
    </row>
    <row r="4518" spans="1:6" ht="16" x14ac:dyDescent="0.2">
      <c r="A4518" s="1" t="s">
        <v>9</v>
      </c>
      <c r="B4518" t="str">
        <f>LEFT(Table1[[#This Row],[Input]],1)</f>
        <v>L</v>
      </c>
      <c r="C4518">
        <f>_xlfn.LET(_xlpm.steps,SUBSTITUTE(Table1[[#This Row],[Input]],Table1[[#This Row],[Direction]],""),VALUE(IF(LEN(_xlpm.steps)&gt;2,RIGHT(_xlpm.steps,2),_xlpm.steps)))</f>
        <v>9</v>
      </c>
      <c r="D4518">
        <f>_xlfn.LET(_xlpm.dir,Table1[[#This Row],[Direction]],
IF(_xlpm.dir="L",
    IF(F4517-Table1[[#This Row],[Steps]]&lt;0,100+(F4517-Table1[[#This Row],[Steps]]),F4517-Table1[[#This Row],[Steps]]),
))</f>
        <v>58</v>
      </c>
      <c r="E4518">
        <f>_xlfn.LET(_xlpm.dir,Table1[[#This Row],[Direction]],
IF(_xlpm.dir="R",
    IF(F4517+Table1[[#This Row],[Steps]]&gt;99,(F4517+Table1[[#This Row],[Steps]])-100,F4517+Table1[[#This Row],[Steps]]),
))</f>
        <v>0</v>
      </c>
      <c r="F4518">
        <f>IF(Table1[[#This Row],[New Pos L]]&lt;&gt;0,Table1[[#This Row],[New Pos L]],Table1[[#This Row],[New Pos R]])</f>
        <v>58</v>
      </c>
    </row>
    <row r="4519" spans="1:6" ht="16" x14ac:dyDescent="0.2">
      <c r="A4519" s="1" t="s">
        <v>79</v>
      </c>
      <c r="B4519" t="str">
        <f>LEFT(Table1[[#This Row],[Input]],1)</f>
        <v>L</v>
      </c>
      <c r="C4519">
        <f>_xlfn.LET(_xlpm.steps,SUBSTITUTE(Table1[[#This Row],[Input]],Table1[[#This Row],[Direction]],""),VALUE(IF(LEN(_xlpm.steps)&gt;2,RIGHT(_xlpm.steps,2),_xlpm.steps)))</f>
        <v>45</v>
      </c>
      <c r="D4519">
        <f>_xlfn.LET(_xlpm.dir,Table1[[#This Row],[Direction]],
IF(_xlpm.dir="L",
    IF(F4518-Table1[[#This Row],[Steps]]&lt;0,100+(F4518-Table1[[#This Row],[Steps]]),F4518-Table1[[#This Row],[Steps]]),
))</f>
        <v>13</v>
      </c>
      <c r="E4519">
        <f>_xlfn.LET(_xlpm.dir,Table1[[#This Row],[Direction]],
IF(_xlpm.dir="R",
    IF(F4518+Table1[[#This Row],[Steps]]&gt;99,(F4518+Table1[[#This Row],[Steps]])-100,F4518+Table1[[#This Row],[Steps]]),
))</f>
        <v>0</v>
      </c>
      <c r="F4519">
        <f>IF(Table1[[#This Row],[New Pos L]]&lt;&gt;0,Table1[[#This Row],[New Pos L]],Table1[[#This Row],[New Pos R]])</f>
        <v>13</v>
      </c>
    </row>
    <row r="4520" spans="1:6" ht="16" x14ac:dyDescent="0.2">
      <c r="A4520" s="1" t="s">
        <v>9</v>
      </c>
      <c r="B4520" t="str">
        <f>LEFT(Table1[[#This Row],[Input]],1)</f>
        <v>L</v>
      </c>
      <c r="C4520">
        <f>_xlfn.LET(_xlpm.steps,SUBSTITUTE(Table1[[#This Row],[Input]],Table1[[#This Row],[Direction]],""),VALUE(IF(LEN(_xlpm.steps)&gt;2,RIGHT(_xlpm.steps,2),_xlpm.steps)))</f>
        <v>9</v>
      </c>
      <c r="D4520">
        <f>_xlfn.LET(_xlpm.dir,Table1[[#This Row],[Direction]],
IF(_xlpm.dir="L",
    IF(F4519-Table1[[#This Row],[Steps]]&lt;0,100+(F4519-Table1[[#This Row],[Steps]]),F4519-Table1[[#This Row],[Steps]]),
))</f>
        <v>4</v>
      </c>
      <c r="E4520">
        <f>_xlfn.LET(_xlpm.dir,Table1[[#This Row],[Direction]],
IF(_xlpm.dir="R",
    IF(F4519+Table1[[#This Row],[Steps]]&gt;99,(F4519+Table1[[#This Row],[Steps]])-100,F4519+Table1[[#This Row],[Steps]]),
))</f>
        <v>0</v>
      </c>
      <c r="F4520">
        <f>IF(Table1[[#This Row],[New Pos L]]&lt;&gt;0,Table1[[#This Row],[New Pos L]],Table1[[#This Row],[New Pos R]])</f>
        <v>4</v>
      </c>
    </row>
    <row r="4521" spans="1:6" ht="16" x14ac:dyDescent="0.2">
      <c r="A4521" s="1" t="s">
        <v>34</v>
      </c>
      <c r="B4521" t="str">
        <f>LEFT(Table1[[#This Row],[Input]],1)</f>
        <v>L</v>
      </c>
      <c r="C4521">
        <f>_xlfn.LET(_xlpm.steps,SUBSTITUTE(Table1[[#This Row],[Input]],Table1[[#This Row],[Direction]],""),VALUE(IF(LEN(_xlpm.steps)&gt;2,RIGHT(_xlpm.steps,2),_xlpm.steps)))</f>
        <v>15</v>
      </c>
      <c r="D4521">
        <f>_xlfn.LET(_xlpm.dir,Table1[[#This Row],[Direction]],
IF(_xlpm.dir="L",
    IF(F4520-Table1[[#This Row],[Steps]]&lt;0,100+(F4520-Table1[[#This Row],[Steps]]),F4520-Table1[[#This Row],[Steps]]),
))</f>
        <v>89</v>
      </c>
      <c r="E4521">
        <f>_xlfn.LET(_xlpm.dir,Table1[[#This Row],[Direction]],
IF(_xlpm.dir="R",
    IF(F4520+Table1[[#This Row],[Steps]]&gt;99,(F4520+Table1[[#This Row],[Steps]])-100,F4520+Table1[[#This Row],[Steps]]),
))</f>
        <v>0</v>
      </c>
      <c r="F4521">
        <f>IF(Table1[[#This Row],[New Pos L]]&lt;&gt;0,Table1[[#This Row],[New Pos L]],Table1[[#This Row],[New Pos R]])</f>
        <v>89</v>
      </c>
    </row>
    <row r="4522" spans="1:6" ht="16" x14ac:dyDescent="0.2">
      <c r="A4522" s="1" t="s">
        <v>23</v>
      </c>
      <c r="B4522" t="str">
        <f>LEFT(Table1[[#This Row],[Input]],1)</f>
        <v>L</v>
      </c>
      <c r="C4522">
        <f>_xlfn.LET(_xlpm.steps,SUBSTITUTE(Table1[[#This Row],[Input]],Table1[[#This Row],[Direction]],""),VALUE(IF(LEN(_xlpm.steps)&gt;2,RIGHT(_xlpm.steps,2),_xlpm.steps)))</f>
        <v>8</v>
      </c>
      <c r="D4522">
        <f>_xlfn.LET(_xlpm.dir,Table1[[#This Row],[Direction]],
IF(_xlpm.dir="L",
    IF(F4521-Table1[[#This Row],[Steps]]&lt;0,100+(F4521-Table1[[#This Row],[Steps]]),F4521-Table1[[#This Row],[Steps]]),
))</f>
        <v>81</v>
      </c>
      <c r="E4522">
        <f>_xlfn.LET(_xlpm.dir,Table1[[#This Row],[Direction]],
IF(_xlpm.dir="R",
    IF(F4521+Table1[[#This Row],[Steps]]&gt;99,(F4521+Table1[[#This Row],[Steps]])-100,F4521+Table1[[#This Row],[Steps]]),
))</f>
        <v>0</v>
      </c>
      <c r="F4522">
        <f>IF(Table1[[#This Row],[New Pos L]]&lt;&gt;0,Table1[[#This Row],[New Pos L]],Table1[[#This Row],[New Pos R]])</f>
        <v>81</v>
      </c>
    </row>
    <row r="4523" spans="1:6" ht="16" x14ac:dyDescent="0.2">
      <c r="A4523" s="1" t="s">
        <v>25</v>
      </c>
      <c r="B4523" t="str">
        <f>LEFT(Table1[[#This Row],[Input]],1)</f>
        <v>L</v>
      </c>
      <c r="C4523">
        <f>_xlfn.LET(_xlpm.steps,SUBSTITUTE(Table1[[#This Row],[Input]],Table1[[#This Row],[Direction]],""),VALUE(IF(LEN(_xlpm.steps)&gt;2,RIGHT(_xlpm.steps,2),_xlpm.steps)))</f>
        <v>20</v>
      </c>
      <c r="D4523">
        <f>_xlfn.LET(_xlpm.dir,Table1[[#This Row],[Direction]],
IF(_xlpm.dir="L",
    IF(F4522-Table1[[#This Row],[Steps]]&lt;0,100+(F4522-Table1[[#This Row],[Steps]]),F4522-Table1[[#This Row],[Steps]]),
))</f>
        <v>61</v>
      </c>
      <c r="E4523">
        <f>_xlfn.LET(_xlpm.dir,Table1[[#This Row],[Direction]],
IF(_xlpm.dir="R",
    IF(F4522+Table1[[#This Row],[Steps]]&gt;99,(F4522+Table1[[#This Row],[Steps]])-100,F4522+Table1[[#This Row],[Steps]]),
))</f>
        <v>0</v>
      </c>
      <c r="F4523">
        <f>IF(Table1[[#This Row],[New Pos L]]&lt;&gt;0,Table1[[#This Row],[New Pos L]],Table1[[#This Row],[New Pos R]])</f>
        <v>61</v>
      </c>
    </row>
    <row r="4524" spans="1:6" ht="16" x14ac:dyDescent="0.2">
      <c r="A4524" s="1" t="s">
        <v>71</v>
      </c>
      <c r="B4524" t="str">
        <f>LEFT(Table1[[#This Row],[Input]],1)</f>
        <v>R</v>
      </c>
      <c r="C4524">
        <f>_xlfn.LET(_xlpm.steps,SUBSTITUTE(Table1[[#This Row],[Input]],Table1[[#This Row],[Direction]],""),VALUE(IF(LEN(_xlpm.steps)&gt;2,RIGHT(_xlpm.steps,2),_xlpm.steps)))</f>
        <v>23</v>
      </c>
      <c r="D4524">
        <f>_xlfn.LET(_xlpm.dir,Table1[[#This Row],[Direction]],
IF(_xlpm.dir="L",
    IF(F4523-Table1[[#This Row],[Steps]]&lt;0,100+(F4523-Table1[[#This Row],[Steps]]),F4523-Table1[[#This Row],[Steps]]),
))</f>
        <v>0</v>
      </c>
      <c r="E4524">
        <f>_xlfn.LET(_xlpm.dir,Table1[[#This Row],[Direction]],
IF(_xlpm.dir="R",
    IF(F4523+Table1[[#This Row],[Steps]]&gt;99,(F4523+Table1[[#This Row],[Steps]])-100,F4523+Table1[[#This Row],[Steps]]),
))</f>
        <v>84</v>
      </c>
      <c r="F4524">
        <f>IF(Table1[[#This Row],[New Pos L]]&lt;&gt;0,Table1[[#This Row],[New Pos L]],Table1[[#This Row],[New Pos R]])</f>
        <v>84</v>
      </c>
    </row>
    <row r="4525" spans="1:6" ht="16" x14ac:dyDescent="0.2">
      <c r="A4525" s="1" t="s">
        <v>58</v>
      </c>
      <c r="B4525" t="str">
        <f>LEFT(Table1[[#This Row],[Input]],1)</f>
        <v>L</v>
      </c>
      <c r="C4525">
        <f>_xlfn.LET(_xlpm.steps,SUBSTITUTE(Table1[[#This Row],[Input]],Table1[[#This Row],[Direction]],""),VALUE(IF(LEN(_xlpm.steps)&gt;2,RIGHT(_xlpm.steps,2),_xlpm.steps)))</f>
        <v>30</v>
      </c>
      <c r="D4525">
        <f>_xlfn.LET(_xlpm.dir,Table1[[#This Row],[Direction]],
IF(_xlpm.dir="L",
    IF(F4524-Table1[[#This Row],[Steps]]&lt;0,100+(F4524-Table1[[#This Row],[Steps]]),F4524-Table1[[#This Row],[Steps]]),
))</f>
        <v>54</v>
      </c>
      <c r="E4525">
        <f>_xlfn.LET(_xlpm.dir,Table1[[#This Row],[Direction]],
IF(_xlpm.dir="R",
    IF(F4524+Table1[[#This Row],[Steps]]&gt;99,(F4524+Table1[[#This Row],[Steps]])-100,F4524+Table1[[#This Row],[Steps]]),
))</f>
        <v>0</v>
      </c>
      <c r="F4525">
        <f>IF(Table1[[#This Row],[New Pos L]]&lt;&gt;0,Table1[[#This Row],[New Pos L]],Table1[[#This Row],[New Pos R]])</f>
        <v>54</v>
      </c>
    </row>
    <row r="4526" spans="1:6" ht="16" x14ac:dyDescent="0.2">
      <c r="A4526" s="1" t="s">
        <v>26</v>
      </c>
      <c r="B4526" t="str">
        <f>LEFT(Table1[[#This Row],[Input]],1)</f>
        <v>R</v>
      </c>
      <c r="C4526">
        <f>_xlfn.LET(_xlpm.steps,SUBSTITUTE(Table1[[#This Row],[Input]],Table1[[#This Row],[Direction]],""),VALUE(IF(LEN(_xlpm.steps)&gt;2,RIGHT(_xlpm.steps,2),_xlpm.steps)))</f>
        <v>6</v>
      </c>
      <c r="D4526">
        <f>_xlfn.LET(_xlpm.dir,Table1[[#This Row],[Direction]],
IF(_xlpm.dir="L",
    IF(F4525-Table1[[#This Row],[Steps]]&lt;0,100+(F4525-Table1[[#This Row],[Steps]]),F4525-Table1[[#This Row],[Steps]]),
))</f>
        <v>0</v>
      </c>
      <c r="E4526">
        <f>_xlfn.LET(_xlpm.dir,Table1[[#This Row],[Direction]],
IF(_xlpm.dir="R",
    IF(F4525+Table1[[#This Row],[Steps]]&gt;99,(F4525+Table1[[#This Row],[Steps]])-100,F4525+Table1[[#This Row],[Steps]]),
))</f>
        <v>60</v>
      </c>
      <c r="F4526">
        <f>IF(Table1[[#This Row],[New Pos L]]&lt;&gt;0,Table1[[#This Row],[New Pos L]],Table1[[#This Row],[New Pos R]])</f>
        <v>60</v>
      </c>
    </row>
    <row r="4527" spans="1:6" ht="16" x14ac:dyDescent="0.2">
      <c r="A4527" s="1" t="s">
        <v>69</v>
      </c>
      <c r="B4527" t="str">
        <f>LEFT(Table1[[#This Row],[Input]],1)</f>
        <v>R</v>
      </c>
      <c r="C4527">
        <f>_xlfn.LET(_xlpm.steps,SUBSTITUTE(Table1[[#This Row],[Input]],Table1[[#This Row],[Direction]],""),VALUE(IF(LEN(_xlpm.steps)&gt;2,RIGHT(_xlpm.steps,2),_xlpm.steps)))</f>
        <v>27</v>
      </c>
      <c r="D4527">
        <f>_xlfn.LET(_xlpm.dir,Table1[[#This Row],[Direction]],
IF(_xlpm.dir="L",
    IF(F4526-Table1[[#This Row],[Steps]]&lt;0,100+(F4526-Table1[[#This Row],[Steps]]),F4526-Table1[[#This Row],[Steps]]),
))</f>
        <v>0</v>
      </c>
      <c r="E4527">
        <f>_xlfn.LET(_xlpm.dir,Table1[[#This Row],[Direction]],
IF(_xlpm.dir="R",
    IF(F4526+Table1[[#This Row],[Steps]]&gt;99,(F4526+Table1[[#This Row],[Steps]])-100,F4526+Table1[[#This Row],[Steps]]),
))</f>
        <v>87</v>
      </c>
      <c r="F4527">
        <f>IF(Table1[[#This Row],[New Pos L]]&lt;&gt;0,Table1[[#This Row],[New Pos L]],Table1[[#This Row],[New Pos R]])</f>
        <v>87</v>
      </c>
    </row>
    <row r="4528" spans="1:6" ht="16" x14ac:dyDescent="0.2">
      <c r="A4528" s="1" t="s">
        <v>6</v>
      </c>
      <c r="B4528" t="str">
        <f>LEFT(Table1[[#This Row],[Input]],1)</f>
        <v>R</v>
      </c>
      <c r="C4528">
        <f>_xlfn.LET(_xlpm.steps,SUBSTITUTE(Table1[[#This Row],[Input]],Table1[[#This Row],[Direction]],""),VALUE(IF(LEN(_xlpm.steps)&gt;2,RIGHT(_xlpm.steps,2),_xlpm.steps)))</f>
        <v>49</v>
      </c>
      <c r="D4528">
        <f>_xlfn.LET(_xlpm.dir,Table1[[#This Row],[Direction]],
IF(_xlpm.dir="L",
    IF(F4527-Table1[[#This Row],[Steps]]&lt;0,100+(F4527-Table1[[#This Row],[Steps]]),F4527-Table1[[#This Row],[Steps]]),
))</f>
        <v>0</v>
      </c>
      <c r="E4528">
        <f>_xlfn.LET(_xlpm.dir,Table1[[#This Row],[Direction]],
IF(_xlpm.dir="R",
    IF(F4527+Table1[[#This Row],[Steps]]&gt;99,(F4527+Table1[[#This Row],[Steps]])-100,F4527+Table1[[#This Row],[Steps]]),
))</f>
        <v>36</v>
      </c>
      <c r="F4528">
        <f>IF(Table1[[#This Row],[New Pos L]]&lt;&gt;0,Table1[[#This Row],[New Pos L]],Table1[[#This Row],[New Pos R]])</f>
        <v>36</v>
      </c>
    </row>
    <row r="4529" spans="1:6" ht="16" x14ac:dyDescent="0.2">
      <c r="A4529" s="1" t="s">
        <v>34</v>
      </c>
      <c r="B4529" t="str">
        <f>LEFT(Table1[[#This Row],[Input]],1)</f>
        <v>L</v>
      </c>
      <c r="C4529">
        <f>_xlfn.LET(_xlpm.steps,SUBSTITUTE(Table1[[#This Row],[Input]],Table1[[#This Row],[Direction]],""),VALUE(IF(LEN(_xlpm.steps)&gt;2,RIGHT(_xlpm.steps,2),_xlpm.steps)))</f>
        <v>15</v>
      </c>
      <c r="D4529">
        <f>_xlfn.LET(_xlpm.dir,Table1[[#This Row],[Direction]],
IF(_xlpm.dir="L",
    IF(F4528-Table1[[#This Row],[Steps]]&lt;0,100+(F4528-Table1[[#This Row],[Steps]]),F4528-Table1[[#This Row],[Steps]]),
))</f>
        <v>21</v>
      </c>
      <c r="E4529">
        <f>_xlfn.LET(_xlpm.dir,Table1[[#This Row],[Direction]],
IF(_xlpm.dir="R",
    IF(F4528+Table1[[#This Row],[Steps]]&gt;99,(F4528+Table1[[#This Row],[Steps]])-100,F4528+Table1[[#This Row],[Steps]]),
))</f>
        <v>0</v>
      </c>
      <c r="F4529">
        <f>IF(Table1[[#This Row],[New Pos L]]&lt;&gt;0,Table1[[#This Row],[New Pos L]],Table1[[#This Row],[New Pos R]])</f>
        <v>21</v>
      </c>
    </row>
    <row r="4530" spans="1:6" ht="16" x14ac:dyDescent="0.2">
      <c r="A4530" s="1" t="s">
        <v>137</v>
      </c>
      <c r="B4530" t="str">
        <f>LEFT(Table1[[#This Row],[Input]],1)</f>
        <v>R</v>
      </c>
      <c r="C4530">
        <f>_xlfn.LET(_xlpm.steps,SUBSTITUTE(Table1[[#This Row],[Input]],Table1[[#This Row],[Direction]],""),VALUE(IF(LEN(_xlpm.steps)&gt;2,RIGHT(_xlpm.steps,2),_xlpm.steps)))</f>
        <v>28</v>
      </c>
      <c r="D4530">
        <f>_xlfn.LET(_xlpm.dir,Table1[[#This Row],[Direction]],
IF(_xlpm.dir="L",
    IF(F4529-Table1[[#This Row],[Steps]]&lt;0,100+(F4529-Table1[[#This Row],[Steps]]),F4529-Table1[[#This Row],[Steps]]),
))</f>
        <v>0</v>
      </c>
      <c r="E4530">
        <f>_xlfn.LET(_xlpm.dir,Table1[[#This Row],[Direction]],
IF(_xlpm.dir="R",
    IF(F4529+Table1[[#This Row],[Steps]]&gt;99,(F4529+Table1[[#This Row],[Steps]])-100,F4529+Table1[[#This Row],[Steps]]),
))</f>
        <v>49</v>
      </c>
      <c r="F4530">
        <f>IF(Table1[[#This Row],[New Pos L]]&lt;&gt;0,Table1[[#This Row],[New Pos L]],Table1[[#This Row],[New Pos R]])</f>
        <v>49</v>
      </c>
    </row>
    <row r="4531" spans="1:6" ht="16" x14ac:dyDescent="0.2">
      <c r="A4531" s="1" t="s">
        <v>67</v>
      </c>
      <c r="B4531" t="str">
        <f>LEFT(Table1[[#This Row],[Input]],1)</f>
        <v>R</v>
      </c>
      <c r="C4531">
        <f>_xlfn.LET(_xlpm.steps,SUBSTITUTE(Table1[[#This Row],[Input]],Table1[[#This Row],[Direction]],""),VALUE(IF(LEN(_xlpm.steps)&gt;2,RIGHT(_xlpm.steps,2),_xlpm.steps)))</f>
        <v>33</v>
      </c>
      <c r="D4531">
        <f>_xlfn.LET(_xlpm.dir,Table1[[#This Row],[Direction]],
IF(_xlpm.dir="L",
    IF(F4530-Table1[[#This Row],[Steps]]&lt;0,100+(F4530-Table1[[#This Row],[Steps]]),F4530-Table1[[#This Row],[Steps]]),
))</f>
        <v>0</v>
      </c>
      <c r="E4531">
        <f>_xlfn.LET(_xlpm.dir,Table1[[#This Row],[Direction]],
IF(_xlpm.dir="R",
    IF(F4530+Table1[[#This Row],[Steps]]&gt;99,(F4530+Table1[[#This Row],[Steps]])-100,F4530+Table1[[#This Row],[Steps]]),
))</f>
        <v>82</v>
      </c>
      <c r="F4531">
        <f>IF(Table1[[#This Row],[New Pos L]]&lt;&gt;0,Table1[[#This Row],[New Pos L]],Table1[[#This Row],[New Pos R]])</f>
        <v>82</v>
      </c>
    </row>
    <row r="4532" spans="1:6" ht="16" x14ac:dyDescent="0.2">
      <c r="A4532" s="1" t="s">
        <v>146</v>
      </c>
      <c r="B4532" t="str">
        <f>LEFT(Table1[[#This Row],[Input]],1)</f>
        <v>R</v>
      </c>
      <c r="C4532">
        <f>_xlfn.LET(_xlpm.steps,SUBSTITUTE(Table1[[#This Row],[Input]],Table1[[#This Row],[Direction]],""),VALUE(IF(LEN(_xlpm.steps)&gt;2,RIGHT(_xlpm.steps,2),_xlpm.steps)))</f>
        <v>4</v>
      </c>
      <c r="D4532">
        <f>_xlfn.LET(_xlpm.dir,Table1[[#This Row],[Direction]],
IF(_xlpm.dir="L",
    IF(F4531-Table1[[#This Row],[Steps]]&lt;0,100+(F4531-Table1[[#This Row],[Steps]]),F4531-Table1[[#This Row],[Steps]]),
))</f>
        <v>0</v>
      </c>
      <c r="E4532">
        <f>_xlfn.LET(_xlpm.dir,Table1[[#This Row],[Direction]],
IF(_xlpm.dir="R",
    IF(F4531+Table1[[#This Row],[Steps]]&gt;99,(F4531+Table1[[#This Row],[Steps]])-100,F4531+Table1[[#This Row],[Steps]]),
))</f>
        <v>86</v>
      </c>
      <c r="F4532">
        <f>IF(Table1[[#This Row],[New Pos L]]&lt;&gt;0,Table1[[#This Row],[New Pos L]],Table1[[#This Row],[New Pos R]])</f>
        <v>86</v>
      </c>
    </row>
    <row r="4533" spans="1:6" ht="16" x14ac:dyDescent="0.2">
      <c r="A4533" s="1" t="s">
        <v>264</v>
      </c>
      <c r="B4533" t="str">
        <f>LEFT(Table1[[#This Row],[Input]],1)</f>
        <v>L</v>
      </c>
      <c r="C4533">
        <f>_xlfn.LET(_xlpm.steps,SUBSTITUTE(Table1[[#This Row],[Input]],Table1[[#This Row],[Direction]],""),VALUE(IF(LEN(_xlpm.steps)&gt;2,RIGHT(_xlpm.steps,2),_xlpm.steps)))</f>
        <v>21</v>
      </c>
      <c r="D4533">
        <f>_xlfn.LET(_xlpm.dir,Table1[[#This Row],[Direction]],
IF(_xlpm.dir="L",
    IF(F4532-Table1[[#This Row],[Steps]]&lt;0,100+(F4532-Table1[[#This Row],[Steps]]),F4532-Table1[[#This Row],[Steps]]),
))</f>
        <v>65</v>
      </c>
      <c r="E4533">
        <f>_xlfn.LET(_xlpm.dir,Table1[[#This Row],[Direction]],
IF(_xlpm.dir="R",
    IF(F4532+Table1[[#This Row],[Steps]]&gt;99,(F4532+Table1[[#This Row],[Steps]])-100,F4532+Table1[[#This Row],[Steps]]),
))</f>
        <v>0</v>
      </c>
      <c r="F4533">
        <f>IF(Table1[[#This Row],[New Pos L]]&lt;&gt;0,Table1[[#This Row],[New Pos L]],Table1[[#This Row],[New Pos R]])</f>
        <v>65</v>
      </c>
    </row>
    <row r="4534" spans="1:6" ht="16" x14ac:dyDescent="0.2">
      <c r="A4534" s="1" t="s">
        <v>193</v>
      </c>
      <c r="B4534" t="str">
        <f>LEFT(Table1[[#This Row],[Input]],1)</f>
        <v>L</v>
      </c>
      <c r="C4534">
        <f>_xlfn.LET(_xlpm.steps,SUBSTITUTE(Table1[[#This Row],[Input]],Table1[[#This Row],[Direction]],""),VALUE(IF(LEN(_xlpm.steps)&gt;2,RIGHT(_xlpm.steps,2),_xlpm.steps)))</f>
        <v>12</v>
      </c>
      <c r="D4534">
        <f>_xlfn.LET(_xlpm.dir,Table1[[#This Row],[Direction]],
IF(_xlpm.dir="L",
    IF(F4533-Table1[[#This Row],[Steps]]&lt;0,100+(F4533-Table1[[#This Row],[Steps]]),F4533-Table1[[#This Row],[Steps]]),
))</f>
        <v>53</v>
      </c>
      <c r="E4534">
        <f>_xlfn.LET(_xlpm.dir,Table1[[#This Row],[Direction]],
IF(_xlpm.dir="R",
    IF(F4533+Table1[[#This Row],[Steps]]&gt;99,(F4533+Table1[[#This Row],[Steps]])-100,F4533+Table1[[#This Row],[Steps]]),
))</f>
        <v>0</v>
      </c>
      <c r="F4534">
        <f>IF(Table1[[#This Row],[New Pos L]]&lt;&gt;0,Table1[[#This Row],[New Pos L]],Table1[[#This Row],[New Pos R]])</f>
        <v>53</v>
      </c>
    </row>
    <row r="4535" spans="1:6" ht="16" x14ac:dyDescent="0.2">
      <c r="A4535" s="1" t="s">
        <v>38</v>
      </c>
      <c r="B4535" t="str">
        <f>LEFT(Table1[[#This Row],[Input]],1)</f>
        <v>R</v>
      </c>
      <c r="C4535">
        <f>_xlfn.LET(_xlpm.steps,SUBSTITUTE(Table1[[#This Row],[Input]],Table1[[#This Row],[Direction]],""),VALUE(IF(LEN(_xlpm.steps)&gt;2,RIGHT(_xlpm.steps,2),_xlpm.steps)))</f>
        <v>15</v>
      </c>
      <c r="D4535">
        <f>_xlfn.LET(_xlpm.dir,Table1[[#This Row],[Direction]],
IF(_xlpm.dir="L",
    IF(F4534-Table1[[#This Row],[Steps]]&lt;0,100+(F4534-Table1[[#This Row],[Steps]]),F4534-Table1[[#This Row],[Steps]]),
))</f>
        <v>0</v>
      </c>
      <c r="E4535">
        <f>_xlfn.LET(_xlpm.dir,Table1[[#This Row],[Direction]],
IF(_xlpm.dir="R",
    IF(F4534+Table1[[#This Row],[Steps]]&gt;99,(F4534+Table1[[#This Row],[Steps]])-100,F4534+Table1[[#This Row],[Steps]]),
))</f>
        <v>68</v>
      </c>
      <c r="F4535">
        <f>IF(Table1[[#This Row],[New Pos L]]&lt;&gt;0,Table1[[#This Row],[New Pos L]],Table1[[#This Row],[New Pos R]])</f>
        <v>68</v>
      </c>
    </row>
    <row r="4536" spans="1:6" ht="16" x14ac:dyDescent="0.2">
      <c r="A4536" s="1" t="s">
        <v>23</v>
      </c>
      <c r="B4536" t="str">
        <f>LEFT(Table1[[#This Row],[Input]],1)</f>
        <v>L</v>
      </c>
      <c r="C4536">
        <f>_xlfn.LET(_xlpm.steps,SUBSTITUTE(Table1[[#This Row],[Input]],Table1[[#This Row],[Direction]],""),VALUE(IF(LEN(_xlpm.steps)&gt;2,RIGHT(_xlpm.steps,2),_xlpm.steps)))</f>
        <v>8</v>
      </c>
      <c r="D4536">
        <f>_xlfn.LET(_xlpm.dir,Table1[[#This Row],[Direction]],
IF(_xlpm.dir="L",
    IF(F4535-Table1[[#This Row],[Steps]]&lt;0,100+(F4535-Table1[[#This Row],[Steps]]),F4535-Table1[[#This Row],[Steps]]),
))</f>
        <v>60</v>
      </c>
      <c r="E4536">
        <f>_xlfn.LET(_xlpm.dir,Table1[[#This Row],[Direction]],
IF(_xlpm.dir="R",
    IF(F4535+Table1[[#This Row],[Steps]]&gt;99,(F4535+Table1[[#This Row],[Steps]])-100,F4535+Table1[[#This Row],[Steps]]),
))</f>
        <v>0</v>
      </c>
      <c r="F4536">
        <f>IF(Table1[[#This Row],[New Pos L]]&lt;&gt;0,Table1[[#This Row],[New Pos L]],Table1[[#This Row],[New Pos R]])</f>
        <v>60</v>
      </c>
    </row>
    <row r="4537" spans="1:6" ht="16" x14ac:dyDescent="0.2">
      <c r="A4537" s="1" t="s">
        <v>9</v>
      </c>
      <c r="B4537" t="str">
        <f>LEFT(Table1[[#This Row],[Input]],1)</f>
        <v>L</v>
      </c>
      <c r="C4537">
        <f>_xlfn.LET(_xlpm.steps,SUBSTITUTE(Table1[[#This Row],[Input]],Table1[[#This Row],[Direction]],""),VALUE(IF(LEN(_xlpm.steps)&gt;2,RIGHT(_xlpm.steps,2),_xlpm.steps)))</f>
        <v>9</v>
      </c>
      <c r="D4537">
        <f>_xlfn.LET(_xlpm.dir,Table1[[#This Row],[Direction]],
IF(_xlpm.dir="L",
    IF(F4536-Table1[[#This Row],[Steps]]&lt;0,100+(F4536-Table1[[#This Row],[Steps]]),F4536-Table1[[#This Row],[Steps]]),
))</f>
        <v>51</v>
      </c>
      <c r="E4537">
        <f>_xlfn.LET(_xlpm.dir,Table1[[#This Row],[Direction]],
IF(_xlpm.dir="R",
    IF(F4536+Table1[[#This Row],[Steps]]&gt;99,(F4536+Table1[[#This Row],[Steps]])-100,F4536+Table1[[#This Row],[Steps]]),
))</f>
        <v>0</v>
      </c>
      <c r="F4537">
        <f>IF(Table1[[#This Row],[New Pos L]]&lt;&gt;0,Table1[[#This Row],[New Pos L]],Table1[[#This Row],[New Pos R]])</f>
        <v>51</v>
      </c>
    </row>
    <row r="4538" spans="1:6" ht="16" x14ac:dyDescent="0.2">
      <c r="A4538" s="1" t="s">
        <v>42</v>
      </c>
      <c r="B4538" t="str">
        <f>LEFT(Table1[[#This Row],[Input]],1)</f>
        <v>L</v>
      </c>
      <c r="C4538">
        <f>_xlfn.LET(_xlpm.steps,SUBSTITUTE(Table1[[#This Row],[Input]],Table1[[#This Row],[Direction]],""),VALUE(IF(LEN(_xlpm.steps)&gt;2,RIGHT(_xlpm.steps,2),_xlpm.steps)))</f>
        <v>27</v>
      </c>
      <c r="D4538">
        <f>_xlfn.LET(_xlpm.dir,Table1[[#This Row],[Direction]],
IF(_xlpm.dir="L",
    IF(F4537-Table1[[#This Row],[Steps]]&lt;0,100+(F4537-Table1[[#This Row],[Steps]]),F4537-Table1[[#This Row],[Steps]]),
))</f>
        <v>24</v>
      </c>
      <c r="E4538">
        <f>_xlfn.LET(_xlpm.dir,Table1[[#This Row],[Direction]],
IF(_xlpm.dir="R",
    IF(F4537+Table1[[#This Row],[Steps]]&gt;99,(F4537+Table1[[#This Row],[Steps]])-100,F4537+Table1[[#This Row],[Steps]]),
))</f>
        <v>0</v>
      </c>
      <c r="F4538">
        <f>IF(Table1[[#This Row],[New Pos L]]&lt;&gt;0,Table1[[#This Row],[New Pos L]],Table1[[#This Row],[New Pos R]])</f>
        <v>24</v>
      </c>
    </row>
    <row r="4539" spans="1:6" ht="16" x14ac:dyDescent="0.2">
      <c r="A4539" s="1" t="s">
        <v>296</v>
      </c>
      <c r="B4539" t="str">
        <f>LEFT(Table1[[#This Row],[Input]],1)</f>
        <v>R</v>
      </c>
      <c r="C4539">
        <f>_xlfn.LET(_xlpm.steps,SUBSTITUTE(Table1[[#This Row],[Input]],Table1[[#This Row],[Direction]],""),VALUE(IF(LEN(_xlpm.steps)&gt;2,RIGHT(_xlpm.steps,2),_xlpm.steps)))</f>
        <v>19</v>
      </c>
      <c r="D4539">
        <f>_xlfn.LET(_xlpm.dir,Table1[[#This Row],[Direction]],
IF(_xlpm.dir="L",
    IF(F4538-Table1[[#This Row],[Steps]]&lt;0,100+(F4538-Table1[[#This Row],[Steps]]),F4538-Table1[[#This Row],[Steps]]),
))</f>
        <v>0</v>
      </c>
      <c r="E4539">
        <f>_xlfn.LET(_xlpm.dir,Table1[[#This Row],[Direction]],
IF(_xlpm.dir="R",
    IF(F4538+Table1[[#This Row],[Steps]]&gt;99,(F4538+Table1[[#This Row],[Steps]])-100,F4538+Table1[[#This Row],[Steps]]),
))</f>
        <v>43</v>
      </c>
      <c r="F4539">
        <f>IF(Table1[[#This Row],[New Pos L]]&lt;&gt;0,Table1[[#This Row],[New Pos L]],Table1[[#This Row],[New Pos R]])</f>
        <v>43</v>
      </c>
    </row>
    <row r="4540" spans="1:6" ht="16" x14ac:dyDescent="0.2">
      <c r="A4540" s="1" t="s">
        <v>75</v>
      </c>
      <c r="B4540" t="str">
        <f>LEFT(Table1[[#This Row],[Input]],1)</f>
        <v>R</v>
      </c>
      <c r="C4540">
        <f>_xlfn.LET(_xlpm.steps,SUBSTITUTE(Table1[[#This Row],[Input]],Table1[[#This Row],[Direction]],""),VALUE(IF(LEN(_xlpm.steps)&gt;2,RIGHT(_xlpm.steps,2),_xlpm.steps)))</f>
        <v>2</v>
      </c>
      <c r="D4540">
        <f>_xlfn.LET(_xlpm.dir,Table1[[#This Row],[Direction]],
IF(_xlpm.dir="L",
    IF(F4539-Table1[[#This Row],[Steps]]&lt;0,100+(F4539-Table1[[#This Row],[Steps]]),F4539-Table1[[#This Row],[Steps]]),
))</f>
        <v>0</v>
      </c>
      <c r="E4540">
        <f>_xlfn.LET(_xlpm.dir,Table1[[#This Row],[Direction]],
IF(_xlpm.dir="R",
    IF(F4539+Table1[[#This Row],[Steps]]&gt;99,(F4539+Table1[[#This Row],[Steps]])-100,F4539+Table1[[#This Row],[Steps]]),
))</f>
        <v>45</v>
      </c>
      <c r="F4540">
        <f>IF(Table1[[#This Row],[New Pos L]]&lt;&gt;0,Table1[[#This Row],[New Pos L]],Table1[[#This Row],[New Pos R]])</f>
        <v>45</v>
      </c>
    </row>
    <row r="4541" spans="1:6" ht="16" x14ac:dyDescent="0.2">
      <c r="A4541" s="1" t="s">
        <v>120</v>
      </c>
      <c r="B4541" t="str">
        <f>LEFT(Table1[[#This Row],[Input]],1)</f>
        <v>L</v>
      </c>
      <c r="C4541">
        <f>_xlfn.LET(_xlpm.steps,SUBSTITUTE(Table1[[#This Row],[Input]],Table1[[#This Row],[Direction]],""),VALUE(IF(LEN(_xlpm.steps)&gt;2,RIGHT(_xlpm.steps,2),_xlpm.steps)))</f>
        <v>23</v>
      </c>
      <c r="D4541">
        <f>_xlfn.LET(_xlpm.dir,Table1[[#This Row],[Direction]],
IF(_xlpm.dir="L",
    IF(F4540-Table1[[#This Row],[Steps]]&lt;0,100+(F4540-Table1[[#This Row],[Steps]]),F4540-Table1[[#This Row],[Steps]]),
))</f>
        <v>22</v>
      </c>
      <c r="E4541">
        <f>_xlfn.LET(_xlpm.dir,Table1[[#This Row],[Direction]],
IF(_xlpm.dir="R",
    IF(F4540+Table1[[#This Row],[Steps]]&gt;99,(F4540+Table1[[#This Row],[Steps]])-100,F4540+Table1[[#This Row],[Steps]]),
))</f>
        <v>0</v>
      </c>
      <c r="F4541">
        <f>IF(Table1[[#This Row],[New Pos L]]&lt;&gt;0,Table1[[#This Row],[New Pos L]],Table1[[#This Row],[New Pos R]])</f>
        <v>22</v>
      </c>
    </row>
    <row r="4542" spans="1:6" ht="16" x14ac:dyDescent="0.2">
      <c r="A4542" s="1" t="s">
        <v>1</v>
      </c>
      <c r="B4542" t="str">
        <f>LEFT(Table1[[#This Row],[Input]],1)</f>
        <v>R</v>
      </c>
      <c r="C4542">
        <f>_xlfn.LET(_xlpm.steps,SUBSTITUTE(Table1[[#This Row],[Input]],Table1[[#This Row],[Direction]],""),VALUE(IF(LEN(_xlpm.steps)&gt;2,RIGHT(_xlpm.steps,2),_xlpm.steps)))</f>
        <v>26</v>
      </c>
      <c r="D4542">
        <f>_xlfn.LET(_xlpm.dir,Table1[[#This Row],[Direction]],
IF(_xlpm.dir="L",
    IF(F4541-Table1[[#This Row],[Steps]]&lt;0,100+(F4541-Table1[[#This Row],[Steps]]),F4541-Table1[[#This Row],[Steps]]),
))</f>
        <v>0</v>
      </c>
      <c r="E4542">
        <f>_xlfn.LET(_xlpm.dir,Table1[[#This Row],[Direction]],
IF(_xlpm.dir="R",
    IF(F4541+Table1[[#This Row],[Steps]]&gt;99,(F4541+Table1[[#This Row],[Steps]])-100,F4541+Table1[[#This Row],[Steps]]),
))</f>
        <v>48</v>
      </c>
      <c r="F4542">
        <f>IF(Table1[[#This Row],[New Pos L]]&lt;&gt;0,Table1[[#This Row],[New Pos L]],Table1[[#This Row],[New Pos R]])</f>
        <v>48</v>
      </c>
    </row>
    <row r="4543" spans="1:6" ht="16" x14ac:dyDescent="0.2">
      <c r="A4543" s="1" t="s">
        <v>38</v>
      </c>
      <c r="B4543" t="str">
        <f>LEFT(Table1[[#This Row],[Input]],1)</f>
        <v>R</v>
      </c>
      <c r="C4543">
        <f>_xlfn.LET(_xlpm.steps,SUBSTITUTE(Table1[[#This Row],[Input]],Table1[[#This Row],[Direction]],""),VALUE(IF(LEN(_xlpm.steps)&gt;2,RIGHT(_xlpm.steps,2),_xlpm.steps)))</f>
        <v>15</v>
      </c>
      <c r="D4543">
        <f>_xlfn.LET(_xlpm.dir,Table1[[#This Row],[Direction]],
IF(_xlpm.dir="L",
    IF(F4542-Table1[[#This Row],[Steps]]&lt;0,100+(F4542-Table1[[#This Row],[Steps]]),F4542-Table1[[#This Row],[Steps]]),
))</f>
        <v>0</v>
      </c>
      <c r="E4543">
        <f>_xlfn.LET(_xlpm.dir,Table1[[#This Row],[Direction]],
IF(_xlpm.dir="R",
    IF(F4542+Table1[[#This Row],[Steps]]&gt;99,(F4542+Table1[[#This Row],[Steps]])-100,F4542+Table1[[#This Row],[Steps]]),
))</f>
        <v>63</v>
      </c>
      <c r="F4543">
        <f>IF(Table1[[#This Row],[New Pos L]]&lt;&gt;0,Table1[[#This Row],[New Pos L]],Table1[[#This Row],[New Pos R]])</f>
        <v>63</v>
      </c>
    </row>
    <row r="4544" spans="1:6" ht="16" x14ac:dyDescent="0.2">
      <c r="A4544" s="1" t="s">
        <v>32</v>
      </c>
      <c r="B4544" t="str">
        <f>LEFT(Table1[[#This Row],[Input]],1)</f>
        <v>L</v>
      </c>
      <c r="C4544">
        <f>_xlfn.LET(_xlpm.steps,SUBSTITUTE(Table1[[#This Row],[Input]],Table1[[#This Row],[Direction]],""),VALUE(IF(LEN(_xlpm.steps)&gt;2,RIGHT(_xlpm.steps,2),_xlpm.steps)))</f>
        <v>28</v>
      </c>
      <c r="D4544">
        <f>_xlfn.LET(_xlpm.dir,Table1[[#This Row],[Direction]],
IF(_xlpm.dir="L",
    IF(F4543-Table1[[#This Row],[Steps]]&lt;0,100+(F4543-Table1[[#This Row],[Steps]]),F4543-Table1[[#This Row],[Steps]]),
))</f>
        <v>35</v>
      </c>
      <c r="E4544">
        <f>_xlfn.LET(_xlpm.dir,Table1[[#This Row],[Direction]],
IF(_xlpm.dir="R",
    IF(F4543+Table1[[#This Row],[Steps]]&gt;99,(F4543+Table1[[#This Row],[Steps]])-100,F4543+Table1[[#This Row],[Steps]]),
))</f>
        <v>0</v>
      </c>
      <c r="F4544">
        <f>IF(Table1[[#This Row],[New Pos L]]&lt;&gt;0,Table1[[#This Row],[New Pos L]],Table1[[#This Row],[New Pos R]])</f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4BB0B-8616-4900-9C4F-ADA01483EB41}">
  <dimension ref="A1:N4544"/>
  <sheetViews>
    <sheetView tabSelected="1" workbookViewId="0">
      <selection activeCell="K9" sqref="K9"/>
    </sheetView>
  </sheetViews>
  <sheetFormatPr baseColWidth="10" defaultColWidth="8.83203125" defaultRowHeight="15" x14ac:dyDescent="0.2"/>
  <cols>
    <col min="2" max="2" width="11.5" customWidth="1"/>
    <col min="5" max="5" width="19.5" customWidth="1"/>
    <col min="6" max="6" width="12.6640625" bestFit="1" customWidth="1"/>
    <col min="8" max="8" width="12.83203125" bestFit="1" customWidth="1"/>
    <col min="11" max="11" width="10.6640625" bestFit="1" customWidth="1"/>
  </cols>
  <sheetData>
    <row r="1" spans="1:14" ht="15.75" customHeight="1" x14ac:dyDescent="0.2">
      <c r="A1" t="s">
        <v>885</v>
      </c>
      <c r="B1" t="s">
        <v>886</v>
      </c>
      <c r="C1" t="s">
        <v>887</v>
      </c>
      <c r="D1" t="s">
        <v>891</v>
      </c>
      <c r="E1" t="s">
        <v>888</v>
      </c>
      <c r="F1" t="s">
        <v>889</v>
      </c>
      <c r="G1" t="s">
        <v>890</v>
      </c>
      <c r="H1" t="s">
        <v>892</v>
      </c>
      <c r="I1" t="s">
        <v>893</v>
      </c>
      <c r="J1" t="s">
        <v>894</v>
      </c>
      <c r="K1" t="s">
        <v>895</v>
      </c>
      <c r="M1" t="s">
        <v>896</v>
      </c>
      <c r="N1">
        <f>SUM(Table13[Counter])</f>
        <v>6530</v>
      </c>
    </row>
    <row r="2" spans="1:14" ht="15.75" customHeight="1" x14ac:dyDescent="0.2">
      <c r="A2" s="1"/>
      <c r="B2" t="str">
        <f>LEFT(Table13[[#This Row],[Input]],1)</f>
        <v/>
      </c>
      <c r="G2">
        <v>50</v>
      </c>
      <c r="J2">
        <f>IF(Table13[[#This Row],[POS]]=0,1,0)</f>
        <v>0</v>
      </c>
    </row>
    <row r="3" spans="1:14" ht="16" x14ac:dyDescent="0.2">
      <c r="A3" s="1" t="s">
        <v>0</v>
      </c>
      <c r="B3" t="str">
        <f>LEFT(Table13[[#This Row],[Input]],1)</f>
        <v>L</v>
      </c>
      <c r="C3">
        <f>_xlfn.LET(_xlpm.steps,SUBSTITUTE(Table13[[#This Row],[Input]],Table13[[#This Row],[Direction]],""),VALUE(IF(LEN(_xlpm.steps)&gt;2,RIGHT(_xlpm.steps,2),_xlpm.steps)))</f>
        <v>44</v>
      </c>
      <c r="D3">
        <f>_xlfn.LET(_xlpm.steps,SUBSTITUTE(Table13[[#This Row],[Input]],Table13[[#This Row],[Direction]],""),VALUE(IF(LEN(_xlpm.steps)&gt;2,LEFT(_xlpm.steps,LEN(_xlpm.steps)-2),0)))</f>
        <v>0</v>
      </c>
      <c r="E3">
        <f>_xlfn.LET(_xlpm.dir,Table13[[#This Row],[Direction]],
IF(_xlpm.dir="L",
    IF(G2-Table13[[#This Row],[Steps]]&lt;0,100+(G2-Table13[[#This Row],[Steps]]),G2-Table13[[#This Row],[Steps]]),
))</f>
        <v>6</v>
      </c>
      <c r="F3">
        <f>_xlfn.LET(_xlpm.dir,Table13[[#This Row],[Direction]],
IF(_xlpm.dir="R",
    IF(G2+Table13[[#This Row],[Steps]]&gt;99,(G2+Table13[[#This Row],[Steps]])-100,G2+Table13[[#This Row],[Steps]]),
))</f>
        <v>0</v>
      </c>
      <c r="G3">
        <f>IF(Table13[[#This Row],[New Pos L]]&lt;&gt;0,Table13[[#This Row],[New Pos L]],Table13[[#This Row],[New Pos R]])</f>
        <v>6</v>
      </c>
      <c r="H3">
        <f>IF(AND(Table13[[#This Row],[Direction]]="L",Table13[[#This Row],[Steps]]&gt;G2,G2&lt;&gt;0),1,0)</f>
        <v>0</v>
      </c>
      <c r="I3">
        <f>IF(AND(Table13[[#This Row],[Direction]]="R",(G2+Table13[[#This Row],[Steps]])&gt;100),1,0)</f>
        <v>0</v>
      </c>
      <c r="K3">
        <f>SUM(Table13[[#This Row],[prefix]],Table13[[#This Row],[Past zero L]],Table13[[#This Row],[Past Zero R]],Table13[[#This Row],[Is Zero]])</f>
        <v>0</v>
      </c>
    </row>
    <row r="4" spans="1:14" ht="16" x14ac:dyDescent="0.2">
      <c r="A4" s="1" t="s">
        <v>1</v>
      </c>
      <c r="B4" t="str">
        <f>LEFT(Table13[[#This Row],[Input]],1)</f>
        <v>R</v>
      </c>
      <c r="C4">
        <f>_xlfn.LET(_xlpm.steps,SUBSTITUTE(Table13[[#This Row],[Input]],Table13[[#This Row],[Direction]],""),VALUE(IF(LEN(_xlpm.steps)&gt;2,RIGHT(_xlpm.steps,2),_xlpm.steps)))</f>
        <v>26</v>
      </c>
      <c r="D4">
        <f>_xlfn.LET(_xlpm.steps,SUBSTITUTE(Table13[[#This Row],[Input]],Table13[[#This Row],[Direction]],""),VALUE(IF(LEN(_xlpm.steps)&gt;2,LEFT(_xlpm.steps,LEN(_xlpm.steps)-2),0)))</f>
        <v>0</v>
      </c>
      <c r="E4">
        <f>_xlfn.LET(_xlpm.dir,Table13[[#This Row],[Direction]],
IF(_xlpm.dir="L",
    IF(G3-Table13[[#This Row],[Steps]]&lt;0,100+(G3-Table13[[#This Row],[Steps]]),G3-Table13[[#This Row],[Steps]]),
))</f>
        <v>0</v>
      </c>
      <c r="F4">
        <f>_xlfn.LET(_xlpm.dir,Table13[[#This Row],[Direction]],
IF(_xlpm.dir="R",
    IF(G3+Table13[[#This Row],[Steps]]&gt;99,(G3+Table13[[#This Row],[Steps]])-100,G3+Table13[[#This Row],[Steps]]),
))</f>
        <v>32</v>
      </c>
      <c r="G4">
        <f>IF(Table13[[#This Row],[New Pos L]]&lt;&gt;0,Table13[[#This Row],[New Pos L]],Table13[[#This Row],[New Pos R]])</f>
        <v>32</v>
      </c>
      <c r="H4">
        <f>IF(AND(Table13[[#This Row],[Direction]]="L",Table13[[#This Row],[Steps]]&gt;G3,G3&lt;&gt;0),1,0)</f>
        <v>0</v>
      </c>
      <c r="I4">
        <f>IF(AND(Table13[[#This Row],[Direction]]="R",(G3+Table13[[#This Row],[Steps]])&gt;100),1,0)</f>
        <v>0</v>
      </c>
      <c r="J4">
        <f>IF(Table13[[#This Row],[POS]]=0,1,0)</f>
        <v>0</v>
      </c>
      <c r="K4">
        <f>SUM(Table13[[#This Row],[prefix]],Table13[[#This Row],[Past zero L]],Table13[[#This Row],[Past Zero R]],Table13[[#This Row],[Is Zero]])</f>
        <v>0</v>
      </c>
    </row>
    <row r="5" spans="1:14" ht="16" x14ac:dyDescent="0.2">
      <c r="A5" s="1" t="s">
        <v>2</v>
      </c>
      <c r="B5" t="str">
        <f>LEFT(Table13[[#This Row],[Input]],1)</f>
        <v>L</v>
      </c>
      <c r="C5">
        <f>_xlfn.LET(_xlpm.steps,SUBSTITUTE(Table13[[#This Row],[Input]],Table13[[#This Row],[Direction]],""),VALUE(IF(LEN(_xlpm.steps)&gt;2,RIGHT(_xlpm.steps,2),_xlpm.steps)))</f>
        <v>38</v>
      </c>
      <c r="D5">
        <f>_xlfn.LET(_xlpm.steps,SUBSTITUTE(Table13[[#This Row],[Input]],Table13[[#This Row],[Direction]],""),VALUE(IF(LEN(_xlpm.steps)&gt;2,LEFT(_xlpm.steps,LEN(_xlpm.steps)-2),0)))</f>
        <v>0</v>
      </c>
      <c r="E5">
        <f>_xlfn.LET(_xlpm.dir,Table13[[#This Row],[Direction]],
IF(_xlpm.dir="L",
    IF(G4-Table13[[#This Row],[Steps]]&lt;0,100+(G4-Table13[[#This Row],[Steps]]),G4-Table13[[#This Row],[Steps]]),
))</f>
        <v>94</v>
      </c>
      <c r="F5">
        <f>_xlfn.LET(_xlpm.dir,Table13[[#This Row],[Direction]],
IF(_xlpm.dir="R",
    IF(G4+Table13[[#This Row],[Steps]]&gt;99,(G4+Table13[[#This Row],[Steps]])-100,G4+Table13[[#This Row],[Steps]]),
))</f>
        <v>0</v>
      </c>
      <c r="G5">
        <f>IF(Table13[[#This Row],[New Pos L]]&lt;&gt;0,Table13[[#This Row],[New Pos L]],Table13[[#This Row],[New Pos R]])</f>
        <v>94</v>
      </c>
      <c r="H5">
        <f>IF(AND(Table13[[#This Row],[Direction]]="L",Table13[[#This Row],[Steps]]&gt;G4,G4&lt;&gt;0),1,0)</f>
        <v>1</v>
      </c>
      <c r="I5">
        <f>IF(AND(Table13[[#This Row],[Direction]]="R",(G4+Table13[[#This Row],[Steps]])&gt;100),1,0)</f>
        <v>0</v>
      </c>
      <c r="J5">
        <f>IF(Table13[[#This Row],[POS]]=0,1,0)</f>
        <v>0</v>
      </c>
      <c r="K5">
        <f>SUM(Table13[[#This Row],[prefix]],Table13[[#This Row],[Past zero L]],Table13[[#This Row],[Past Zero R]],Table13[[#This Row],[Is Zero]])</f>
        <v>1</v>
      </c>
    </row>
    <row r="6" spans="1:14" ht="16" x14ac:dyDescent="0.2">
      <c r="A6" s="1" t="s">
        <v>3</v>
      </c>
      <c r="B6" t="str">
        <f>LEFT(Table13[[#This Row],[Input]],1)</f>
        <v>R</v>
      </c>
      <c r="C6">
        <f>_xlfn.LET(_xlpm.steps,SUBSTITUTE(Table13[[#This Row],[Input]],Table13[[#This Row],[Direction]],""),VALUE(IF(LEN(_xlpm.steps)&gt;2,RIGHT(_xlpm.steps,2),_xlpm.steps)))</f>
        <v>44</v>
      </c>
      <c r="D6">
        <f>_xlfn.LET(_xlpm.steps,SUBSTITUTE(Table13[[#This Row],[Input]],Table13[[#This Row],[Direction]],""),VALUE(IF(LEN(_xlpm.steps)&gt;2,LEFT(_xlpm.steps,LEN(_xlpm.steps)-2),0)))</f>
        <v>0</v>
      </c>
      <c r="E6">
        <f>_xlfn.LET(_xlpm.dir,Table13[[#This Row],[Direction]],
IF(_xlpm.dir="L",
    IF(G5-Table13[[#This Row],[Steps]]&lt;0,100+(G5-Table13[[#This Row],[Steps]]),G5-Table13[[#This Row],[Steps]]),
))</f>
        <v>0</v>
      </c>
      <c r="F6">
        <f>_xlfn.LET(_xlpm.dir,Table13[[#This Row],[Direction]],
IF(_xlpm.dir="R",
    IF(G5+Table13[[#This Row],[Steps]]&gt;99,(G5+Table13[[#This Row],[Steps]])-100,G5+Table13[[#This Row],[Steps]]),
))</f>
        <v>38</v>
      </c>
      <c r="G6">
        <f>IF(Table13[[#This Row],[New Pos L]]&lt;&gt;0,Table13[[#This Row],[New Pos L]],Table13[[#This Row],[New Pos R]])</f>
        <v>38</v>
      </c>
      <c r="H6">
        <f>IF(AND(Table13[[#This Row],[Direction]]="L",Table13[[#This Row],[Steps]]&gt;G5,G5&lt;&gt;0),1,0)</f>
        <v>0</v>
      </c>
      <c r="I6">
        <f>IF(AND(Table13[[#This Row],[Direction]]="R",(G5+Table13[[#This Row],[Steps]])&gt;100),1,0)</f>
        <v>1</v>
      </c>
      <c r="J6">
        <f>IF(Table13[[#This Row],[POS]]=0,1,0)</f>
        <v>0</v>
      </c>
      <c r="K6">
        <f>SUM(Table13[[#This Row],[prefix]],Table13[[#This Row],[Past zero L]],Table13[[#This Row],[Past Zero R]],Table13[[#This Row],[Is Zero]])</f>
        <v>1</v>
      </c>
    </row>
    <row r="7" spans="1:14" ht="16" x14ac:dyDescent="0.2">
      <c r="A7" s="1" t="s">
        <v>4</v>
      </c>
      <c r="B7" t="str">
        <f>LEFT(Table13[[#This Row],[Input]],1)</f>
        <v>R</v>
      </c>
      <c r="C7">
        <f>_xlfn.LET(_xlpm.steps,SUBSTITUTE(Table13[[#This Row],[Input]],Table13[[#This Row],[Direction]],""),VALUE(IF(LEN(_xlpm.steps)&gt;2,RIGHT(_xlpm.steps,2),_xlpm.steps)))</f>
        <v>3</v>
      </c>
      <c r="D7">
        <f>_xlfn.LET(_xlpm.steps,SUBSTITUTE(Table13[[#This Row],[Input]],Table13[[#This Row],[Direction]],""),VALUE(IF(LEN(_xlpm.steps)&gt;2,LEFT(_xlpm.steps,LEN(_xlpm.steps)-2),0)))</f>
        <v>0</v>
      </c>
      <c r="E7">
        <f>_xlfn.LET(_xlpm.dir,Table13[[#This Row],[Direction]],
IF(_xlpm.dir="L",
    IF(G6-Table13[[#This Row],[Steps]]&lt;0,100+(G6-Table13[[#This Row],[Steps]]),G6-Table13[[#This Row],[Steps]]),
))</f>
        <v>0</v>
      </c>
      <c r="F7">
        <f>_xlfn.LET(_xlpm.dir,Table13[[#This Row],[Direction]],
IF(_xlpm.dir="R",
    IF(G6+Table13[[#This Row],[Steps]]&gt;99,(G6+Table13[[#This Row],[Steps]])-100,G6+Table13[[#This Row],[Steps]]),
))</f>
        <v>41</v>
      </c>
      <c r="G7">
        <f>IF(Table13[[#This Row],[New Pos L]]&lt;&gt;0,Table13[[#This Row],[New Pos L]],Table13[[#This Row],[New Pos R]])</f>
        <v>41</v>
      </c>
      <c r="H7">
        <f>IF(AND(Table13[[#This Row],[Direction]]="L",Table13[[#This Row],[Steps]]&gt;G6,G6&lt;&gt;0),1,0)</f>
        <v>0</v>
      </c>
      <c r="I7">
        <f>IF(AND(Table13[[#This Row],[Direction]]="R",(G6+Table13[[#This Row],[Steps]])&gt;100),1,0)</f>
        <v>0</v>
      </c>
      <c r="J7">
        <f>IF(Table13[[#This Row],[POS]]=0,1,0)</f>
        <v>0</v>
      </c>
      <c r="K7">
        <f>SUM(Table13[[#This Row],[prefix]],Table13[[#This Row],[Past zero L]],Table13[[#This Row],[Past Zero R]],Table13[[#This Row],[Is Zero]])</f>
        <v>0</v>
      </c>
    </row>
    <row r="8" spans="1:14" ht="16" x14ac:dyDescent="0.2">
      <c r="A8" s="1" t="s">
        <v>5</v>
      </c>
      <c r="B8" t="str">
        <f>LEFT(Table13[[#This Row],[Input]],1)</f>
        <v>R</v>
      </c>
      <c r="C8">
        <f>_xlfn.LET(_xlpm.steps,SUBSTITUTE(Table13[[#This Row],[Input]],Table13[[#This Row],[Direction]],""),VALUE(IF(LEN(_xlpm.steps)&gt;2,RIGHT(_xlpm.steps,2),_xlpm.steps)))</f>
        <v>1</v>
      </c>
      <c r="D8">
        <f>_xlfn.LET(_xlpm.steps,SUBSTITUTE(Table13[[#This Row],[Input]],Table13[[#This Row],[Direction]],""),VALUE(IF(LEN(_xlpm.steps)&gt;2,LEFT(_xlpm.steps,LEN(_xlpm.steps)-2),0)))</f>
        <v>0</v>
      </c>
      <c r="E8">
        <f>_xlfn.LET(_xlpm.dir,Table13[[#This Row],[Direction]],
IF(_xlpm.dir="L",
    IF(G7-Table13[[#This Row],[Steps]]&lt;0,100+(G7-Table13[[#This Row],[Steps]]),G7-Table13[[#This Row],[Steps]]),
))</f>
        <v>0</v>
      </c>
      <c r="F8">
        <f>_xlfn.LET(_xlpm.dir,Table13[[#This Row],[Direction]],
IF(_xlpm.dir="R",
    IF(G7+Table13[[#This Row],[Steps]]&gt;99,(G7+Table13[[#This Row],[Steps]])-100,G7+Table13[[#This Row],[Steps]]),
))</f>
        <v>42</v>
      </c>
      <c r="G8">
        <f>IF(Table13[[#This Row],[New Pos L]]&lt;&gt;0,Table13[[#This Row],[New Pos L]],Table13[[#This Row],[New Pos R]])</f>
        <v>42</v>
      </c>
      <c r="H8">
        <f>IF(AND(Table13[[#This Row],[Direction]]="L",Table13[[#This Row],[Steps]]&gt;G7,G7&lt;&gt;0),1,0)</f>
        <v>0</v>
      </c>
      <c r="I8">
        <f>IF(AND(Table13[[#This Row],[Direction]]="R",(G7+Table13[[#This Row],[Steps]])&gt;100),1,0)</f>
        <v>0</v>
      </c>
      <c r="J8">
        <f>IF(Table13[[#This Row],[POS]]=0,1,0)</f>
        <v>0</v>
      </c>
      <c r="K8">
        <f>SUM(Table13[[#This Row],[prefix]],Table13[[#This Row],[Past zero L]],Table13[[#This Row],[Past Zero R]],Table13[[#This Row],[Is Zero]])</f>
        <v>0</v>
      </c>
    </row>
    <row r="9" spans="1:14" ht="16" x14ac:dyDescent="0.2">
      <c r="A9" s="1" t="s">
        <v>6</v>
      </c>
      <c r="B9" t="str">
        <f>LEFT(Table13[[#This Row],[Input]],1)</f>
        <v>R</v>
      </c>
      <c r="C9">
        <f>_xlfn.LET(_xlpm.steps,SUBSTITUTE(Table13[[#This Row],[Input]],Table13[[#This Row],[Direction]],""),VALUE(IF(LEN(_xlpm.steps)&gt;2,RIGHT(_xlpm.steps,2),_xlpm.steps)))</f>
        <v>49</v>
      </c>
      <c r="D9">
        <f>_xlfn.LET(_xlpm.steps,SUBSTITUTE(Table13[[#This Row],[Input]],Table13[[#This Row],[Direction]],""),VALUE(IF(LEN(_xlpm.steps)&gt;2,LEFT(_xlpm.steps,LEN(_xlpm.steps)-2),0)))</f>
        <v>0</v>
      </c>
      <c r="E9">
        <f>_xlfn.LET(_xlpm.dir,Table13[[#This Row],[Direction]],
IF(_xlpm.dir="L",
    IF(G8-Table13[[#This Row],[Steps]]&lt;0,100+(G8-Table13[[#This Row],[Steps]]),G8-Table13[[#This Row],[Steps]]),
))</f>
        <v>0</v>
      </c>
      <c r="F9">
        <f>_xlfn.LET(_xlpm.dir,Table13[[#This Row],[Direction]],
IF(_xlpm.dir="R",
    IF(G8+Table13[[#This Row],[Steps]]&gt;99,(G8+Table13[[#This Row],[Steps]])-100,G8+Table13[[#This Row],[Steps]]),
))</f>
        <v>91</v>
      </c>
      <c r="G9">
        <f>IF(Table13[[#This Row],[New Pos L]]&lt;&gt;0,Table13[[#This Row],[New Pos L]],Table13[[#This Row],[New Pos R]])</f>
        <v>91</v>
      </c>
      <c r="H9">
        <f>IF(AND(Table13[[#This Row],[Direction]]="L",Table13[[#This Row],[Steps]]&gt;G8,G8&lt;&gt;0),1,0)</f>
        <v>0</v>
      </c>
      <c r="I9">
        <f>IF(AND(Table13[[#This Row],[Direction]]="R",(G8+Table13[[#This Row],[Steps]])&gt;100),1,0)</f>
        <v>0</v>
      </c>
      <c r="J9">
        <f>IF(Table13[[#This Row],[POS]]=0,1,0)</f>
        <v>0</v>
      </c>
      <c r="K9">
        <f>SUM(Table13[[#This Row],[prefix]],Table13[[#This Row],[Past zero L]],Table13[[#This Row],[Past Zero R]],Table13[[#This Row],[Is Zero]])</f>
        <v>0</v>
      </c>
    </row>
    <row r="10" spans="1:14" ht="16" x14ac:dyDescent="0.2">
      <c r="A10" s="1" t="s">
        <v>7</v>
      </c>
      <c r="B10" t="str">
        <f>LEFT(Table13[[#This Row],[Input]],1)</f>
        <v>R</v>
      </c>
      <c r="C10">
        <f>_xlfn.LET(_xlpm.steps,SUBSTITUTE(Table13[[#This Row],[Input]],Table13[[#This Row],[Direction]],""),VALUE(IF(LEN(_xlpm.steps)&gt;2,RIGHT(_xlpm.steps,2),_xlpm.steps)))</f>
        <v>14</v>
      </c>
      <c r="D10">
        <f>_xlfn.LET(_xlpm.steps,SUBSTITUTE(Table13[[#This Row],[Input]],Table13[[#This Row],[Direction]],""),VALUE(IF(LEN(_xlpm.steps)&gt;2,LEFT(_xlpm.steps,LEN(_xlpm.steps)-2),0)))</f>
        <v>0</v>
      </c>
      <c r="E10">
        <f>_xlfn.LET(_xlpm.dir,Table13[[#This Row],[Direction]],
IF(_xlpm.dir="L",
    IF(G9-Table13[[#This Row],[Steps]]&lt;0,100+(G9-Table13[[#This Row],[Steps]]),G9-Table13[[#This Row],[Steps]]),
))</f>
        <v>0</v>
      </c>
      <c r="F10">
        <f>_xlfn.LET(_xlpm.dir,Table13[[#This Row],[Direction]],
IF(_xlpm.dir="R",
    IF(G9+Table13[[#This Row],[Steps]]&gt;99,(G9+Table13[[#This Row],[Steps]])-100,G9+Table13[[#This Row],[Steps]]),
))</f>
        <v>5</v>
      </c>
      <c r="G10">
        <f>IF(Table13[[#This Row],[New Pos L]]&lt;&gt;0,Table13[[#This Row],[New Pos L]],Table13[[#This Row],[New Pos R]])</f>
        <v>5</v>
      </c>
      <c r="H10">
        <f>IF(AND(Table13[[#This Row],[Direction]]="L",Table13[[#This Row],[Steps]]&gt;G9,G9&lt;&gt;0),1,0)</f>
        <v>0</v>
      </c>
      <c r="I10">
        <f>IF(AND(Table13[[#This Row],[Direction]]="R",(G9+Table13[[#This Row],[Steps]])&gt;100),1,0)</f>
        <v>1</v>
      </c>
      <c r="J10">
        <f>IF(Table13[[#This Row],[POS]]=0,1,0)</f>
        <v>0</v>
      </c>
      <c r="K10">
        <f>SUM(Table13[[#This Row],[prefix]],Table13[[#This Row],[Past zero L]],Table13[[#This Row],[Past Zero R]],Table13[[#This Row],[Is Zero]])</f>
        <v>1</v>
      </c>
    </row>
    <row r="11" spans="1:14" ht="16" x14ac:dyDescent="0.2">
      <c r="A11" s="1" t="s">
        <v>8</v>
      </c>
      <c r="B11" t="str">
        <f>LEFT(Table13[[#This Row],[Input]],1)</f>
        <v>R</v>
      </c>
      <c r="C11">
        <f>_xlfn.LET(_xlpm.steps,SUBSTITUTE(Table13[[#This Row],[Input]],Table13[[#This Row],[Direction]],""),VALUE(IF(LEN(_xlpm.steps)&gt;2,RIGHT(_xlpm.steps,2),_xlpm.steps)))</f>
        <v>18</v>
      </c>
      <c r="D11">
        <f>_xlfn.LET(_xlpm.steps,SUBSTITUTE(Table13[[#This Row],[Input]],Table13[[#This Row],[Direction]],""),VALUE(IF(LEN(_xlpm.steps)&gt;2,LEFT(_xlpm.steps,LEN(_xlpm.steps)-2),0)))</f>
        <v>0</v>
      </c>
      <c r="E11">
        <f>_xlfn.LET(_xlpm.dir,Table13[[#This Row],[Direction]],
IF(_xlpm.dir="L",
    IF(G10-Table13[[#This Row],[Steps]]&lt;0,100+(G10-Table13[[#This Row],[Steps]]),G10-Table13[[#This Row],[Steps]]),
))</f>
        <v>0</v>
      </c>
      <c r="F11">
        <f>_xlfn.LET(_xlpm.dir,Table13[[#This Row],[Direction]],
IF(_xlpm.dir="R",
    IF(G10+Table13[[#This Row],[Steps]]&gt;99,(G10+Table13[[#This Row],[Steps]])-100,G10+Table13[[#This Row],[Steps]]),
))</f>
        <v>23</v>
      </c>
      <c r="G11">
        <f>IF(Table13[[#This Row],[New Pos L]]&lt;&gt;0,Table13[[#This Row],[New Pos L]],Table13[[#This Row],[New Pos R]])</f>
        <v>23</v>
      </c>
      <c r="H11">
        <f>IF(AND(Table13[[#This Row],[Direction]]="L",Table13[[#This Row],[Steps]]&gt;G10,G10&lt;&gt;0),1,0)</f>
        <v>0</v>
      </c>
      <c r="I11">
        <f>IF(AND(Table13[[#This Row],[Direction]]="R",(G10+Table13[[#This Row],[Steps]])&gt;100),1,0)</f>
        <v>0</v>
      </c>
      <c r="J11">
        <f>IF(Table13[[#This Row],[POS]]=0,1,0)</f>
        <v>0</v>
      </c>
      <c r="K11">
        <f>SUM(Table13[[#This Row],[prefix]],Table13[[#This Row],[Past zero L]],Table13[[#This Row],[Past Zero R]],Table13[[#This Row],[Is Zero]])</f>
        <v>0</v>
      </c>
    </row>
    <row r="12" spans="1:14" ht="16" x14ac:dyDescent="0.2">
      <c r="A12" s="1" t="s">
        <v>9</v>
      </c>
      <c r="B12" t="str">
        <f>LEFT(Table13[[#This Row],[Input]],1)</f>
        <v>L</v>
      </c>
      <c r="C12">
        <f>_xlfn.LET(_xlpm.steps,SUBSTITUTE(Table13[[#This Row],[Input]],Table13[[#This Row],[Direction]],""),VALUE(IF(LEN(_xlpm.steps)&gt;2,RIGHT(_xlpm.steps,2),_xlpm.steps)))</f>
        <v>9</v>
      </c>
      <c r="D12">
        <f>_xlfn.LET(_xlpm.steps,SUBSTITUTE(Table13[[#This Row],[Input]],Table13[[#This Row],[Direction]],""),VALUE(IF(LEN(_xlpm.steps)&gt;2,LEFT(_xlpm.steps,LEN(_xlpm.steps)-2),0)))</f>
        <v>0</v>
      </c>
      <c r="E12">
        <f>_xlfn.LET(_xlpm.dir,Table13[[#This Row],[Direction]],
IF(_xlpm.dir="L",
    IF(G11-Table13[[#This Row],[Steps]]&lt;0,100+(G11-Table13[[#This Row],[Steps]]),G11-Table13[[#This Row],[Steps]]),
))</f>
        <v>14</v>
      </c>
      <c r="F12">
        <f>_xlfn.LET(_xlpm.dir,Table13[[#This Row],[Direction]],
IF(_xlpm.dir="R",
    IF(G11+Table13[[#This Row],[Steps]]&gt;99,(G11+Table13[[#This Row],[Steps]])-100,G11+Table13[[#This Row],[Steps]]),
))</f>
        <v>0</v>
      </c>
      <c r="G12">
        <f>IF(Table13[[#This Row],[New Pos L]]&lt;&gt;0,Table13[[#This Row],[New Pos L]],Table13[[#This Row],[New Pos R]])</f>
        <v>14</v>
      </c>
      <c r="H12">
        <f>IF(AND(Table13[[#This Row],[Direction]]="L",Table13[[#This Row],[Steps]]&gt;G11,G11&lt;&gt;0),1,0)</f>
        <v>0</v>
      </c>
      <c r="I12">
        <f>IF(AND(Table13[[#This Row],[Direction]]="R",(G11+Table13[[#This Row],[Steps]])&gt;100),1,0)</f>
        <v>0</v>
      </c>
      <c r="J12">
        <f>IF(Table13[[#This Row],[POS]]=0,1,0)</f>
        <v>0</v>
      </c>
      <c r="K12">
        <f>SUM(Table13[[#This Row],[prefix]],Table13[[#This Row],[Past zero L]],Table13[[#This Row],[Past Zero R]],Table13[[#This Row],[Is Zero]])</f>
        <v>0</v>
      </c>
    </row>
    <row r="13" spans="1:14" ht="16" x14ac:dyDescent="0.2">
      <c r="A13" s="1" t="s">
        <v>10</v>
      </c>
      <c r="B13" t="str">
        <f>LEFT(Table13[[#This Row],[Input]],1)</f>
        <v>L</v>
      </c>
      <c r="C13">
        <f>_xlfn.LET(_xlpm.steps,SUBSTITUTE(Table13[[#This Row],[Input]],Table13[[#This Row],[Direction]],""),VALUE(IF(LEN(_xlpm.steps)&gt;2,RIGHT(_xlpm.steps,2),_xlpm.steps)))</f>
        <v>35</v>
      </c>
      <c r="D13">
        <f>_xlfn.LET(_xlpm.steps,SUBSTITUTE(Table13[[#This Row],[Input]],Table13[[#This Row],[Direction]],""),VALUE(IF(LEN(_xlpm.steps)&gt;2,LEFT(_xlpm.steps,LEN(_xlpm.steps)-2),0)))</f>
        <v>0</v>
      </c>
      <c r="E13">
        <f>_xlfn.LET(_xlpm.dir,Table13[[#This Row],[Direction]],
IF(_xlpm.dir="L",
    IF(G12-Table13[[#This Row],[Steps]]&lt;0,100+(G12-Table13[[#This Row],[Steps]]),G12-Table13[[#This Row],[Steps]]),
))</f>
        <v>79</v>
      </c>
      <c r="F13">
        <f>_xlfn.LET(_xlpm.dir,Table13[[#This Row],[Direction]],
IF(_xlpm.dir="R",
    IF(G12+Table13[[#This Row],[Steps]]&gt;99,(G12+Table13[[#This Row],[Steps]])-100,G12+Table13[[#This Row],[Steps]]),
))</f>
        <v>0</v>
      </c>
      <c r="G13">
        <f>IF(Table13[[#This Row],[New Pos L]]&lt;&gt;0,Table13[[#This Row],[New Pos L]],Table13[[#This Row],[New Pos R]])</f>
        <v>79</v>
      </c>
      <c r="H13">
        <f>IF(AND(Table13[[#This Row],[Direction]]="L",Table13[[#This Row],[Steps]]&gt;G12,G12&lt;&gt;0),1,0)</f>
        <v>1</v>
      </c>
      <c r="I13">
        <f>IF(AND(Table13[[#This Row],[Direction]]="R",(G12+Table13[[#This Row],[Steps]])&gt;100),1,0)</f>
        <v>0</v>
      </c>
      <c r="J13">
        <f>IF(Table13[[#This Row],[POS]]=0,1,0)</f>
        <v>0</v>
      </c>
      <c r="K13">
        <f>SUM(Table13[[#This Row],[prefix]],Table13[[#This Row],[Past zero L]],Table13[[#This Row],[Past Zero R]],Table13[[#This Row],[Is Zero]])</f>
        <v>1</v>
      </c>
    </row>
    <row r="14" spans="1:14" ht="16" x14ac:dyDescent="0.2">
      <c r="A14" s="1" t="s">
        <v>11</v>
      </c>
      <c r="B14" t="str">
        <f>LEFT(Table13[[#This Row],[Input]],1)</f>
        <v>L</v>
      </c>
      <c r="C14">
        <f>_xlfn.LET(_xlpm.steps,SUBSTITUTE(Table13[[#This Row],[Input]],Table13[[#This Row],[Direction]],""),VALUE(IF(LEN(_xlpm.steps)&gt;2,RIGHT(_xlpm.steps,2),_xlpm.steps)))</f>
        <v>34</v>
      </c>
      <c r="D14">
        <f>_xlfn.LET(_xlpm.steps,SUBSTITUTE(Table13[[#This Row],[Input]],Table13[[#This Row],[Direction]],""),VALUE(IF(LEN(_xlpm.steps)&gt;2,LEFT(_xlpm.steps,LEN(_xlpm.steps)-2),0)))</f>
        <v>0</v>
      </c>
      <c r="E14">
        <f>_xlfn.LET(_xlpm.dir,Table13[[#This Row],[Direction]],
IF(_xlpm.dir="L",
    IF(G13-Table13[[#This Row],[Steps]]&lt;0,100+(G13-Table13[[#This Row],[Steps]]),G13-Table13[[#This Row],[Steps]]),
))</f>
        <v>45</v>
      </c>
      <c r="F14">
        <f>_xlfn.LET(_xlpm.dir,Table13[[#This Row],[Direction]],
IF(_xlpm.dir="R",
    IF(G13+Table13[[#This Row],[Steps]]&gt;99,(G13+Table13[[#This Row],[Steps]])-100,G13+Table13[[#This Row],[Steps]]),
))</f>
        <v>0</v>
      </c>
      <c r="G14">
        <f>IF(Table13[[#This Row],[New Pos L]]&lt;&gt;0,Table13[[#This Row],[New Pos L]],Table13[[#This Row],[New Pos R]])</f>
        <v>45</v>
      </c>
      <c r="H14">
        <f>IF(AND(Table13[[#This Row],[Direction]]="L",Table13[[#This Row],[Steps]]&gt;G13,G13&lt;&gt;0),1,0)</f>
        <v>0</v>
      </c>
      <c r="I14">
        <f>IF(AND(Table13[[#This Row],[Direction]]="R",(G13+Table13[[#This Row],[Steps]])&gt;100),1,0)</f>
        <v>0</v>
      </c>
      <c r="J14">
        <f>IF(Table13[[#This Row],[POS]]=0,1,0)</f>
        <v>0</v>
      </c>
      <c r="K14">
        <f>SUM(Table13[[#This Row],[prefix]],Table13[[#This Row],[Past zero L]],Table13[[#This Row],[Past Zero R]],Table13[[#This Row],[Is Zero]])</f>
        <v>0</v>
      </c>
    </row>
    <row r="15" spans="1:14" ht="16" x14ac:dyDescent="0.2">
      <c r="A15" s="1" t="s">
        <v>12</v>
      </c>
      <c r="B15" t="str">
        <f>LEFT(Table13[[#This Row],[Input]],1)</f>
        <v>L</v>
      </c>
      <c r="C15">
        <f>_xlfn.LET(_xlpm.steps,SUBSTITUTE(Table13[[#This Row],[Input]],Table13[[#This Row],[Direction]],""),VALUE(IF(LEN(_xlpm.steps)&gt;2,RIGHT(_xlpm.steps,2),_xlpm.steps)))</f>
        <v>11</v>
      </c>
      <c r="D15">
        <f>_xlfn.LET(_xlpm.steps,SUBSTITUTE(Table13[[#This Row],[Input]],Table13[[#This Row],[Direction]],""),VALUE(IF(LEN(_xlpm.steps)&gt;2,LEFT(_xlpm.steps,LEN(_xlpm.steps)-2),0)))</f>
        <v>0</v>
      </c>
      <c r="E15">
        <f>_xlfn.LET(_xlpm.dir,Table13[[#This Row],[Direction]],
IF(_xlpm.dir="L",
    IF(G14-Table13[[#This Row],[Steps]]&lt;0,100+(G14-Table13[[#This Row],[Steps]]),G14-Table13[[#This Row],[Steps]]),
))</f>
        <v>34</v>
      </c>
      <c r="F15">
        <f>_xlfn.LET(_xlpm.dir,Table13[[#This Row],[Direction]],
IF(_xlpm.dir="R",
    IF(G14+Table13[[#This Row],[Steps]]&gt;99,(G14+Table13[[#This Row],[Steps]])-100,G14+Table13[[#This Row],[Steps]]),
))</f>
        <v>0</v>
      </c>
      <c r="G15">
        <f>IF(Table13[[#This Row],[New Pos L]]&lt;&gt;0,Table13[[#This Row],[New Pos L]],Table13[[#This Row],[New Pos R]])</f>
        <v>34</v>
      </c>
      <c r="H15">
        <f>IF(AND(Table13[[#This Row],[Direction]]="L",Table13[[#This Row],[Steps]]&gt;G14,G14&lt;&gt;0),1,0)</f>
        <v>0</v>
      </c>
      <c r="I15">
        <f>IF(AND(Table13[[#This Row],[Direction]]="R",(G14+Table13[[#This Row],[Steps]])&gt;100),1,0)</f>
        <v>0</v>
      </c>
      <c r="J15">
        <f>IF(Table13[[#This Row],[POS]]=0,1,0)</f>
        <v>0</v>
      </c>
      <c r="K15">
        <f>SUM(Table13[[#This Row],[prefix]],Table13[[#This Row],[Past zero L]],Table13[[#This Row],[Past Zero R]],Table13[[#This Row],[Is Zero]])</f>
        <v>0</v>
      </c>
    </row>
    <row r="16" spans="1:14" ht="16" x14ac:dyDescent="0.2">
      <c r="A16" s="1" t="s">
        <v>13</v>
      </c>
      <c r="B16" t="str">
        <f>LEFT(Table13[[#This Row],[Input]],1)</f>
        <v>R</v>
      </c>
      <c r="C16">
        <f>_xlfn.LET(_xlpm.steps,SUBSTITUTE(Table13[[#This Row],[Input]],Table13[[#This Row],[Direction]],""),VALUE(IF(LEN(_xlpm.steps)&gt;2,RIGHT(_xlpm.steps,2),_xlpm.steps)))</f>
        <v>12</v>
      </c>
      <c r="D16">
        <f>_xlfn.LET(_xlpm.steps,SUBSTITUTE(Table13[[#This Row],[Input]],Table13[[#This Row],[Direction]],""),VALUE(IF(LEN(_xlpm.steps)&gt;2,LEFT(_xlpm.steps,LEN(_xlpm.steps)-2),0)))</f>
        <v>0</v>
      </c>
      <c r="E16">
        <f>_xlfn.LET(_xlpm.dir,Table13[[#This Row],[Direction]],
IF(_xlpm.dir="L",
    IF(G15-Table13[[#This Row],[Steps]]&lt;0,100+(G15-Table13[[#This Row],[Steps]]),G15-Table13[[#This Row],[Steps]]),
))</f>
        <v>0</v>
      </c>
      <c r="F16">
        <f>_xlfn.LET(_xlpm.dir,Table13[[#This Row],[Direction]],
IF(_xlpm.dir="R",
    IF(G15+Table13[[#This Row],[Steps]]&gt;99,(G15+Table13[[#This Row],[Steps]])-100,G15+Table13[[#This Row],[Steps]]),
))</f>
        <v>46</v>
      </c>
      <c r="G16">
        <f>IF(Table13[[#This Row],[New Pos L]]&lt;&gt;0,Table13[[#This Row],[New Pos L]],Table13[[#This Row],[New Pos R]])</f>
        <v>46</v>
      </c>
      <c r="H16">
        <f>IF(AND(Table13[[#This Row],[Direction]]="L",Table13[[#This Row],[Steps]]&gt;G15,G15&lt;&gt;0),1,0)</f>
        <v>0</v>
      </c>
      <c r="I16">
        <f>IF(AND(Table13[[#This Row],[Direction]]="R",(G15+Table13[[#This Row],[Steps]])&gt;100),1,0)</f>
        <v>0</v>
      </c>
      <c r="J16">
        <f>IF(Table13[[#This Row],[POS]]=0,1,0)</f>
        <v>0</v>
      </c>
      <c r="K16">
        <f>SUM(Table13[[#This Row],[prefix]],Table13[[#This Row],[Past zero L]],Table13[[#This Row],[Past Zero R]],Table13[[#This Row],[Is Zero]])</f>
        <v>0</v>
      </c>
    </row>
    <row r="17" spans="1:11" ht="16" x14ac:dyDescent="0.2">
      <c r="A17" s="1" t="s">
        <v>14</v>
      </c>
      <c r="B17" t="str">
        <f>LEFT(Table13[[#This Row],[Input]],1)</f>
        <v>L</v>
      </c>
      <c r="C17">
        <f>_xlfn.LET(_xlpm.steps,SUBSTITUTE(Table13[[#This Row],[Input]],Table13[[#This Row],[Direction]],""),VALUE(IF(LEN(_xlpm.steps)&gt;2,RIGHT(_xlpm.steps,2),_xlpm.steps)))</f>
        <v>43</v>
      </c>
      <c r="D17">
        <f>_xlfn.LET(_xlpm.steps,SUBSTITUTE(Table13[[#This Row],[Input]],Table13[[#This Row],[Direction]],""),VALUE(IF(LEN(_xlpm.steps)&gt;2,LEFT(_xlpm.steps,LEN(_xlpm.steps)-2),0)))</f>
        <v>0</v>
      </c>
      <c r="E17">
        <f>_xlfn.LET(_xlpm.dir,Table13[[#This Row],[Direction]],
IF(_xlpm.dir="L",
    IF(G16-Table13[[#This Row],[Steps]]&lt;0,100+(G16-Table13[[#This Row],[Steps]]),G16-Table13[[#This Row],[Steps]]),
))</f>
        <v>3</v>
      </c>
      <c r="F17">
        <f>_xlfn.LET(_xlpm.dir,Table13[[#This Row],[Direction]],
IF(_xlpm.dir="R",
    IF(G16+Table13[[#This Row],[Steps]]&gt;99,(G16+Table13[[#This Row],[Steps]])-100,G16+Table13[[#This Row],[Steps]]),
))</f>
        <v>0</v>
      </c>
      <c r="G17">
        <f>IF(Table13[[#This Row],[New Pos L]]&lt;&gt;0,Table13[[#This Row],[New Pos L]],Table13[[#This Row],[New Pos R]])</f>
        <v>3</v>
      </c>
      <c r="H17">
        <f>IF(AND(Table13[[#This Row],[Direction]]="L",Table13[[#This Row],[Steps]]&gt;G16,G16&lt;&gt;0),1,0)</f>
        <v>0</v>
      </c>
      <c r="I17">
        <f>IF(AND(Table13[[#This Row],[Direction]]="R",(G16+Table13[[#This Row],[Steps]])&gt;100),1,0)</f>
        <v>0</v>
      </c>
      <c r="J17">
        <f>IF(Table13[[#This Row],[POS]]=0,1,0)</f>
        <v>0</v>
      </c>
      <c r="K17">
        <f>SUM(Table13[[#This Row],[prefix]],Table13[[#This Row],[Past zero L]],Table13[[#This Row],[Past Zero R]],Table13[[#This Row],[Is Zero]])</f>
        <v>0</v>
      </c>
    </row>
    <row r="18" spans="1:11" ht="16" x14ac:dyDescent="0.2">
      <c r="A18" s="1" t="s">
        <v>15</v>
      </c>
      <c r="B18" t="str">
        <f>LEFT(Table13[[#This Row],[Input]],1)</f>
        <v>R</v>
      </c>
      <c r="C18">
        <f>_xlfn.LET(_xlpm.steps,SUBSTITUTE(Table13[[#This Row],[Input]],Table13[[#This Row],[Direction]],""),VALUE(IF(LEN(_xlpm.steps)&gt;2,RIGHT(_xlpm.steps,2),_xlpm.steps)))</f>
        <v>36</v>
      </c>
      <c r="D18">
        <f>_xlfn.LET(_xlpm.steps,SUBSTITUTE(Table13[[#This Row],[Input]],Table13[[#This Row],[Direction]],""),VALUE(IF(LEN(_xlpm.steps)&gt;2,LEFT(_xlpm.steps,LEN(_xlpm.steps)-2),0)))</f>
        <v>0</v>
      </c>
      <c r="E18">
        <f>_xlfn.LET(_xlpm.dir,Table13[[#This Row],[Direction]],
IF(_xlpm.dir="L",
    IF(G17-Table13[[#This Row],[Steps]]&lt;0,100+(G17-Table13[[#This Row],[Steps]]),G17-Table13[[#This Row],[Steps]]),
))</f>
        <v>0</v>
      </c>
      <c r="F18">
        <f>_xlfn.LET(_xlpm.dir,Table13[[#This Row],[Direction]],
IF(_xlpm.dir="R",
    IF(G17+Table13[[#This Row],[Steps]]&gt;99,(G17+Table13[[#This Row],[Steps]])-100,G17+Table13[[#This Row],[Steps]]),
))</f>
        <v>39</v>
      </c>
      <c r="G18">
        <f>IF(Table13[[#This Row],[New Pos L]]&lt;&gt;0,Table13[[#This Row],[New Pos L]],Table13[[#This Row],[New Pos R]])</f>
        <v>39</v>
      </c>
      <c r="H18">
        <f>IF(AND(Table13[[#This Row],[Direction]]="L",Table13[[#This Row],[Steps]]&gt;G17,G17&lt;&gt;0),1,0)</f>
        <v>0</v>
      </c>
      <c r="I18">
        <f>IF(AND(Table13[[#This Row],[Direction]]="R",(G17+Table13[[#This Row],[Steps]])&gt;100),1,0)</f>
        <v>0</v>
      </c>
      <c r="J18">
        <f>IF(Table13[[#This Row],[POS]]=0,1,0)</f>
        <v>0</v>
      </c>
      <c r="K18">
        <f>SUM(Table13[[#This Row],[prefix]],Table13[[#This Row],[Past zero L]],Table13[[#This Row],[Past Zero R]],Table13[[#This Row],[Is Zero]])</f>
        <v>0</v>
      </c>
    </row>
    <row r="19" spans="1:11" ht="16" x14ac:dyDescent="0.2">
      <c r="A19" s="1" t="s">
        <v>16</v>
      </c>
      <c r="B19" t="str">
        <f>LEFT(Table13[[#This Row],[Input]],1)</f>
        <v>L</v>
      </c>
      <c r="C19">
        <f>_xlfn.LET(_xlpm.steps,SUBSTITUTE(Table13[[#This Row],[Input]],Table13[[#This Row],[Direction]],""),VALUE(IF(LEN(_xlpm.steps)&gt;2,RIGHT(_xlpm.steps,2),_xlpm.steps)))</f>
        <v>10</v>
      </c>
      <c r="D19">
        <f>_xlfn.LET(_xlpm.steps,SUBSTITUTE(Table13[[#This Row],[Input]],Table13[[#This Row],[Direction]],""),VALUE(IF(LEN(_xlpm.steps)&gt;2,LEFT(_xlpm.steps,LEN(_xlpm.steps)-2),0)))</f>
        <v>0</v>
      </c>
      <c r="E19">
        <f>_xlfn.LET(_xlpm.dir,Table13[[#This Row],[Direction]],
IF(_xlpm.dir="L",
    IF(G18-Table13[[#This Row],[Steps]]&lt;0,100+(G18-Table13[[#This Row],[Steps]]),G18-Table13[[#This Row],[Steps]]),
))</f>
        <v>29</v>
      </c>
      <c r="F19">
        <f>_xlfn.LET(_xlpm.dir,Table13[[#This Row],[Direction]],
IF(_xlpm.dir="R",
    IF(G18+Table13[[#This Row],[Steps]]&gt;99,(G18+Table13[[#This Row],[Steps]])-100,G18+Table13[[#This Row],[Steps]]),
))</f>
        <v>0</v>
      </c>
      <c r="G19">
        <f>IF(Table13[[#This Row],[New Pos L]]&lt;&gt;0,Table13[[#This Row],[New Pos L]],Table13[[#This Row],[New Pos R]])</f>
        <v>29</v>
      </c>
      <c r="H19">
        <f>IF(AND(Table13[[#This Row],[Direction]]="L",Table13[[#This Row],[Steps]]&gt;G18,G18&lt;&gt;0),1,0)</f>
        <v>0</v>
      </c>
      <c r="I19">
        <f>IF(AND(Table13[[#This Row],[Direction]]="R",(G18+Table13[[#This Row],[Steps]])&gt;100),1,0)</f>
        <v>0</v>
      </c>
      <c r="J19">
        <f>IF(Table13[[#This Row],[POS]]=0,1,0)</f>
        <v>0</v>
      </c>
      <c r="K19">
        <f>SUM(Table13[[#This Row],[prefix]],Table13[[#This Row],[Past zero L]],Table13[[#This Row],[Past Zero R]],Table13[[#This Row],[Is Zero]])</f>
        <v>0</v>
      </c>
    </row>
    <row r="20" spans="1:11" ht="16" x14ac:dyDescent="0.2">
      <c r="A20" s="1" t="s">
        <v>17</v>
      </c>
      <c r="B20" t="str">
        <f>LEFT(Table13[[#This Row],[Input]],1)</f>
        <v>L</v>
      </c>
      <c r="C20">
        <f>_xlfn.LET(_xlpm.steps,SUBSTITUTE(Table13[[#This Row],[Input]],Table13[[#This Row],[Direction]],""),VALUE(IF(LEN(_xlpm.steps)&gt;2,RIGHT(_xlpm.steps,2),_xlpm.steps)))</f>
        <v>50</v>
      </c>
      <c r="D20">
        <f>_xlfn.LET(_xlpm.steps,SUBSTITUTE(Table13[[#This Row],[Input]],Table13[[#This Row],[Direction]],""),VALUE(IF(LEN(_xlpm.steps)&gt;2,LEFT(_xlpm.steps,LEN(_xlpm.steps)-2),0)))</f>
        <v>0</v>
      </c>
      <c r="E20">
        <f>_xlfn.LET(_xlpm.dir,Table13[[#This Row],[Direction]],
IF(_xlpm.dir="L",
    IF(G19-Table13[[#This Row],[Steps]]&lt;0,100+(G19-Table13[[#This Row],[Steps]]),G19-Table13[[#This Row],[Steps]]),
))</f>
        <v>79</v>
      </c>
      <c r="F20">
        <f>_xlfn.LET(_xlpm.dir,Table13[[#This Row],[Direction]],
IF(_xlpm.dir="R",
    IF(G19+Table13[[#This Row],[Steps]]&gt;99,(G19+Table13[[#This Row],[Steps]])-100,G19+Table13[[#This Row],[Steps]]),
))</f>
        <v>0</v>
      </c>
      <c r="G20">
        <f>IF(Table13[[#This Row],[New Pos L]]&lt;&gt;0,Table13[[#This Row],[New Pos L]],Table13[[#This Row],[New Pos R]])</f>
        <v>79</v>
      </c>
      <c r="H20">
        <f>IF(AND(Table13[[#This Row],[Direction]]="L",Table13[[#This Row],[Steps]]&gt;G19,G19&lt;&gt;0),1,0)</f>
        <v>1</v>
      </c>
      <c r="I20">
        <f>IF(AND(Table13[[#This Row],[Direction]]="R",(G19+Table13[[#This Row],[Steps]])&gt;100),1,0)</f>
        <v>0</v>
      </c>
      <c r="J20">
        <f>IF(Table13[[#This Row],[POS]]=0,1,0)</f>
        <v>0</v>
      </c>
      <c r="K20">
        <f>SUM(Table13[[#This Row],[prefix]],Table13[[#This Row],[Past zero L]],Table13[[#This Row],[Past Zero R]],Table13[[#This Row],[Is Zero]])</f>
        <v>1</v>
      </c>
    </row>
    <row r="21" spans="1:11" ht="16" x14ac:dyDescent="0.2">
      <c r="A21" s="1" t="s">
        <v>18</v>
      </c>
      <c r="B21" t="str">
        <f>LEFT(Table13[[#This Row],[Input]],1)</f>
        <v>L</v>
      </c>
      <c r="C21">
        <f>_xlfn.LET(_xlpm.steps,SUBSTITUTE(Table13[[#This Row],[Input]],Table13[[#This Row],[Direction]],""),VALUE(IF(LEN(_xlpm.steps)&gt;2,RIGHT(_xlpm.steps,2),_xlpm.steps)))</f>
        <v>46</v>
      </c>
      <c r="D21">
        <f>_xlfn.LET(_xlpm.steps,SUBSTITUTE(Table13[[#This Row],[Input]],Table13[[#This Row],[Direction]],""),VALUE(IF(LEN(_xlpm.steps)&gt;2,LEFT(_xlpm.steps,LEN(_xlpm.steps)-2),0)))</f>
        <v>0</v>
      </c>
      <c r="E21">
        <f>_xlfn.LET(_xlpm.dir,Table13[[#This Row],[Direction]],
IF(_xlpm.dir="L",
    IF(G20-Table13[[#This Row],[Steps]]&lt;0,100+(G20-Table13[[#This Row],[Steps]]),G20-Table13[[#This Row],[Steps]]),
))</f>
        <v>33</v>
      </c>
      <c r="F21">
        <f>_xlfn.LET(_xlpm.dir,Table13[[#This Row],[Direction]],
IF(_xlpm.dir="R",
    IF(G20+Table13[[#This Row],[Steps]]&gt;99,(G20+Table13[[#This Row],[Steps]])-100,G20+Table13[[#This Row],[Steps]]),
))</f>
        <v>0</v>
      </c>
      <c r="G21">
        <f>IF(Table13[[#This Row],[New Pos L]]&lt;&gt;0,Table13[[#This Row],[New Pos L]],Table13[[#This Row],[New Pos R]])</f>
        <v>33</v>
      </c>
      <c r="H21">
        <f>IF(AND(Table13[[#This Row],[Direction]]="L",Table13[[#This Row],[Steps]]&gt;G20,G20&lt;&gt;0),1,0)</f>
        <v>0</v>
      </c>
      <c r="I21">
        <f>IF(AND(Table13[[#This Row],[Direction]]="R",(G20+Table13[[#This Row],[Steps]])&gt;100),1,0)</f>
        <v>0</v>
      </c>
      <c r="J21">
        <f>IF(Table13[[#This Row],[POS]]=0,1,0)</f>
        <v>0</v>
      </c>
      <c r="K21">
        <f>SUM(Table13[[#This Row],[prefix]],Table13[[#This Row],[Past zero L]],Table13[[#This Row],[Past Zero R]],Table13[[#This Row],[Is Zero]])</f>
        <v>0</v>
      </c>
    </row>
    <row r="22" spans="1:11" ht="16" x14ac:dyDescent="0.2">
      <c r="A22" s="1" t="s">
        <v>19</v>
      </c>
      <c r="B22" t="str">
        <f>LEFT(Table13[[#This Row],[Input]],1)</f>
        <v>R</v>
      </c>
      <c r="C22">
        <f>_xlfn.LET(_xlpm.steps,SUBSTITUTE(Table13[[#This Row],[Input]],Table13[[#This Row],[Direction]],""),VALUE(IF(LEN(_xlpm.steps)&gt;2,RIGHT(_xlpm.steps,2),_xlpm.steps)))</f>
        <v>47</v>
      </c>
      <c r="D22">
        <f>_xlfn.LET(_xlpm.steps,SUBSTITUTE(Table13[[#This Row],[Input]],Table13[[#This Row],[Direction]],""),VALUE(IF(LEN(_xlpm.steps)&gt;2,LEFT(_xlpm.steps,LEN(_xlpm.steps)-2),0)))</f>
        <v>0</v>
      </c>
      <c r="E22">
        <f>_xlfn.LET(_xlpm.dir,Table13[[#This Row],[Direction]],
IF(_xlpm.dir="L",
    IF(G21-Table13[[#This Row],[Steps]]&lt;0,100+(G21-Table13[[#This Row],[Steps]]),G21-Table13[[#This Row],[Steps]]),
))</f>
        <v>0</v>
      </c>
      <c r="F22">
        <f>_xlfn.LET(_xlpm.dir,Table13[[#This Row],[Direction]],
IF(_xlpm.dir="R",
    IF(G21+Table13[[#This Row],[Steps]]&gt;99,(G21+Table13[[#This Row],[Steps]])-100,G21+Table13[[#This Row],[Steps]]),
))</f>
        <v>80</v>
      </c>
      <c r="G22">
        <f>IF(Table13[[#This Row],[New Pos L]]&lt;&gt;0,Table13[[#This Row],[New Pos L]],Table13[[#This Row],[New Pos R]])</f>
        <v>80</v>
      </c>
      <c r="H22">
        <f>IF(AND(Table13[[#This Row],[Direction]]="L",Table13[[#This Row],[Steps]]&gt;G21,G21&lt;&gt;0),1,0)</f>
        <v>0</v>
      </c>
      <c r="I22">
        <f>IF(AND(Table13[[#This Row],[Direction]]="R",(G21+Table13[[#This Row],[Steps]])&gt;100),1,0)</f>
        <v>0</v>
      </c>
      <c r="J22">
        <f>IF(Table13[[#This Row],[POS]]=0,1,0)</f>
        <v>0</v>
      </c>
      <c r="K22">
        <f>SUM(Table13[[#This Row],[prefix]],Table13[[#This Row],[Past zero L]],Table13[[#This Row],[Past Zero R]],Table13[[#This Row],[Is Zero]])</f>
        <v>0</v>
      </c>
    </row>
    <row r="23" spans="1:11" ht="16" x14ac:dyDescent="0.2">
      <c r="A23" s="1" t="s">
        <v>20</v>
      </c>
      <c r="B23" t="str">
        <f>LEFT(Table13[[#This Row],[Input]],1)</f>
        <v>R</v>
      </c>
      <c r="C23">
        <f>_xlfn.LET(_xlpm.steps,SUBSTITUTE(Table13[[#This Row],[Input]],Table13[[#This Row],[Direction]],""),VALUE(IF(LEN(_xlpm.steps)&gt;2,RIGHT(_xlpm.steps,2),_xlpm.steps)))</f>
        <v>46</v>
      </c>
      <c r="D23">
        <f>_xlfn.LET(_xlpm.steps,SUBSTITUTE(Table13[[#This Row],[Input]],Table13[[#This Row],[Direction]],""),VALUE(IF(LEN(_xlpm.steps)&gt;2,LEFT(_xlpm.steps,LEN(_xlpm.steps)-2),0)))</f>
        <v>0</v>
      </c>
      <c r="E23">
        <f>_xlfn.LET(_xlpm.dir,Table13[[#This Row],[Direction]],
IF(_xlpm.dir="L",
    IF(G22-Table13[[#This Row],[Steps]]&lt;0,100+(G22-Table13[[#This Row],[Steps]]),G22-Table13[[#This Row],[Steps]]),
))</f>
        <v>0</v>
      </c>
      <c r="F23">
        <f>_xlfn.LET(_xlpm.dir,Table13[[#This Row],[Direction]],
IF(_xlpm.dir="R",
    IF(G22+Table13[[#This Row],[Steps]]&gt;99,(G22+Table13[[#This Row],[Steps]])-100,G22+Table13[[#This Row],[Steps]]),
))</f>
        <v>26</v>
      </c>
      <c r="G23">
        <f>IF(Table13[[#This Row],[New Pos L]]&lt;&gt;0,Table13[[#This Row],[New Pos L]],Table13[[#This Row],[New Pos R]])</f>
        <v>26</v>
      </c>
      <c r="H23">
        <f>IF(AND(Table13[[#This Row],[Direction]]="L",Table13[[#This Row],[Steps]]&gt;G22,G22&lt;&gt;0),1,0)</f>
        <v>0</v>
      </c>
      <c r="I23">
        <f>IF(AND(Table13[[#This Row],[Direction]]="R",(G22+Table13[[#This Row],[Steps]])&gt;100),1,0)</f>
        <v>1</v>
      </c>
      <c r="J23">
        <f>IF(Table13[[#This Row],[POS]]=0,1,0)</f>
        <v>0</v>
      </c>
      <c r="K23">
        <f>SUM(Table13[[#This Row],[prefix]],Table13[[#This Row],[Past zero L]],Table13[[#This Row],[Past Zero R]],Table13[[#This Row],[Is Zero]])</f>
        <v>1</v>
      </c>
    </row>
    <row r="24" spans="1:11" ht="16" x14ac:dyDescent="0.2">
      <c r="A24" s="1" t="s">
        <v>0</v>
      </c>
      <c r="B24" t="str">
        <f>LEFT(Table13[[#This Row],[Input]],1)</f>
        <v>L</v>
      </c>
      <c r="C24">
        <f>_xlfn.LET(_xlpm.steps,SUBSTITUTE(Table13[[#This Row],[Input]],Table13[[#This Row],[Direction]],""),VALUE(IF(LEN(_xlpm.steps)&gt;2,RIGHT(_xlpm.steps,2),_xlpm.steps)))</f>
        <v>44</v>
      </c>
      <c r="D24">
        <f>_xlfn.LET(_xlpm.steps,SUBSTITUTE(Table13[[#This Row],[Input]],Table13[[#This Row],[Direction]],""),VALUE(IF(LEN(_xlpm.steps)&gt;2,LEFT(_xlpm.steps,LEN(_xlpm.steps)-2),0)))</f>
        <v>0</v>
      </c>
      <c r="E24">
        <f>_xlfn.LET(_xlpm.dir,Table13[[#This Row],[Direction]],
IF(_xlpm.dir="L",
    IF(G23-Table13[[#This Row],[Steps]]&lt;0,100+(G23-Table13[[#This Row],[Steps]]),G23-Table13[[#This Row],[Steps]]),
))</f>
        <v>82</v>
      </c>
      <c r="F24">
        <f>_xlfn.LET(_xlpm.dir,Table13[[#This Row],[Direction]],
IF(_xlpm.dir="R",
    IF(G23+Table13[[#This Row],[Steps]]&gt;99,(G23+Table13[[#This Row],[Steps]])-100,G23+Table13[[#This Row],[Steps]]),
))</f>
        <v>0</v>
      </c>
      <c r="G24">
        <f>IF(Table13[[#This Row],[New Pos L]]&lt;&gt;0,Table13[[#This Row],[New Pos L]],Table13[[#This Row],[New Pos R]])</f>
        <v>82</v>
      </c>
      <c r="H24">
        <f>IF(AND(Table13[[#This Row],[Direction]]="L",Table13[[#This Row],[Steps]]&gt;G23,G23&lt;&gt;0),1,0)</f>
        <v>1</v>
      </c>
      <c r="I24">
        <f>IF(AND(Table13[[#This Row],[Direction]]="R",(G23+Table13[[#This Row],[Steps]])&gt;100),1,0)</f>
        <v>0</v>
      </c>
      <c r="J24">
        <f>IF(Table13[[#This Row],[POS]]=0,1,0)</f>
        <v>0</v>
      </c>
      <c r="K24">
        <f>SUM(Table13[[#This Row],[prefix]],Table13[[#This Row],[Past zero L]],Table13[[#This Row],[Past Zero R]],Table13[[#This Row],[Is Zero]])</f>
        <v>1</v>
      </c>
    </row>
    <row r="25" spans="1:11" ht="16" x14ac:dyDescent="0.2">
      <c r="A25" s="1" t="s">
        <v>21</v>
      </c>
      <c r="B25" t="str">
        <f>LEFT(Table13[[#This Row],[Input]],1)</f>
        <v>L</v>
      </c>
      <c r="C25">
        <f>_xlfn.LET(_xlpm.steps,SUBSTITUTE(Table13[[#This Row],[Input]],Table13[[#This Row],[Direction]],""),VALUE(IF(LEN(_xlpm.steps)&gt;2,RIGHT(_xlpm.steps,2),_xlpm.steps)))</f>
        <v>36</v>
      </c>
      <c r="D25">
        <f>_xlfn.LET(_xlpm.steps,SUBSTITUTE(Table13[[#This Row],[Input]],Table13[[#This Row],[Direction]],""),VALUE(IF(LEN(_xlpm.steps)&gt;2,LEFT(_xlpm.steps,LEN(_xlpm.steps)-2),0)))</f>
        <v>0</v>
      </c>
      <c r="E25">
        <f>_xlfn.LET(_xlpm.dir,Table13[[#This Row],[Direction]],
IF(_xlpm.dir="L",
    IF(G24-Table13[[#This Row],[Steps]]&lt;0,100+(G24-Table13[[#This Row],[Steps]]),G24-Table13[[#This Row],[Steps]]),
))</f>
        <v>46</v>
      </c>
      <c r="F25">
        <f>_xlfn.LET(_xlpm.dir,Table13[[#This Row],[Direction]],
IF(_xlpm.dir="R",
    IF(G24+Table13[[#This Row],[Steps]]&gt;99,(G24+Table13[[#This Row],[Steps]])-100,G24+Table13[[#This Row],[Steps]]),
))</f>
        <v>0</v>
      </c>
      <c r="G25">
        <f>IF(Table13[[#This Row],[New Pos L]]&lt;&gt;0,Table13[[#This Row],[New Pos L]],Table13[[#This Row],[New Pos R]])</f>
        <v>46</v>
      </c>
      <c r="H25">
        <f>IF(AND(Table13[[#This Row],[Direction]]="L",Table13[[#This Row],[Steps]]&gt;G24,G24&lt;&gt;0),1,0)</f>
        <v>0</v>
      </c>
      <c r="I25">
        <f>IF(AND(Table13[[#This Row],[Direction]]="R",(G24+Table13[[#This Row],[Steps]])&gt;100),1,0)</f>
        <v>0</v>
      </c>
      <c r="J25">
        <f>IF(Table13[[#This Row],[POS]]=0,1,0)</f>
        <v>0</v>
      </c>
      <c r="K25">
        <f>SUM(Table13[[#This Row],[prefix]],Table13[[#This Row],[Past zero L]],Table13[[#This Row],[Past Zero R]],Table13[[#This Row],[Is Zero]])</f>
        <v>0</v>
      </c>
    </row>
    <row r="26" spans="1:11" ht="16" x14ac:dyDescent="0.2">
      <c r="A26" s="1" t="s">
        <v>22</v>
      </c>
      <c r="B26" t="str">
        <f>LEFT(Table13[[#This Row],[Input]],1)</f>
        <v>L</v>
      </c>
      <c r="C26">
        <f>_xlfn.LET(_xlpm.steps,SUBSTITUTE(Table13[[#This Row],[Input]],Table13[[#This Row],[Direction]],""),VALUE(IF(LEN(_xlpm.steps)&gt;2,RIGHT(_xlpm.steps,2),_xlpm.steps)))</f>
        <v>37</v>
      </c>
      <c r="D26">
        <f>_xlfn.LET(_xlpm.steps,SUBSTITUTE(Table13[[#This Row],[Input]],Table13[[#This Row],[Direction]],""),VALUE(IF(LEN(_xlpm.steps)&gt;2,LEFT(_xlpm.steps,LEN(_xlpm.steps)-2),0)))</f>
        <v>0</v>
      </c>
      <c r="E26">
        <f>_xlfn.LET(_xlpm.dir,Table13[[#This Row],[Direction]],
IF(_xlpm.dir="L",
    IF(G25-Table13[[#This Row],[Steps]]&lt;0,100+(G25-Table13[[#This Row],[Steps]]),G25-Table13[[#This Row],[Steps]]),
))</f>
        <v>9</v>
      </c>
      <c r="F26">
        <f>_xlfn.LET(_xlpm.dir,Table13[[#This Row],[Direction]],
IF(_xlpm.dir="R",
    IF(G25+Table13[[#This Row],[Steps]]&gt;99,(G25+Table13[[#This Row],[Steps]])-100,G25+Table13[[#This Row],[Steps]]),
))</f>
        <v>0</v>
      </c>
      <c r="G26">
        <f>IF(Table13[[#This Row],[New Pos L]]&lt;&gt;0,Table13[[#This Row],[New Pos L]],Table13[[#This Row],[New Pos R]])</f>
        <v>9</v>
      </c>
      <c r="H26">
        <f>IF(AND(Table13[[#This Row],[Direction]]="L",Table13[[#This Row],[Steps]]&gt;G25,G25&lt;&gt;0),1,0)</f>
        <v>0</v>
      </c>
      <c r="I26">
        <f>IF(AND(Table13[[#This Row],[Direction]]="R",(G25+Table13[[#This Row],[Steps]])&gt;100),1,0)</f>
        <v>0</v>
      </c>
      <c r="J26">
        <f>IF(Table13[[#This Row],[POS]]=0,1,0)</f>
        <v>0</v>
      </c>
      <c r="K26">
        <f>SUM(Table13[[#This Row],[prefix]],Table13[[#This Row],[Past zero L]],Table13[[#This Row],[Past Zero R]],Table13[[#This Row],[Is Zero]])</f>
        <v>0</v>
      </c>
    </row>
    <row r="27" spans="1:11" ht="16" x14ac:dyDescent="0.2">
      <c r="A27" s="1" t="s">
        <v>23</v>
      </c>
      <c r="B27" t="str">
        <f>LEFT(Table13[[#This Row],[Input]],1)</f>
        <v>L</v>
      </c>
      <c r="C27">
        <f>_xlfn.LET(_xlpm.steps,SUBSTITUTE(Table13[[#This Row],[Input]],Table13[[#This Row],[Direction]],""),VALUE(IF(LEN(_xlpm.steps)&gt;2,RIGHT(_xlpm.steps,2),_xlpm.steps)))</f>
        <v>8</v>
      </c>
      <c r="D27">
        <f>_xlfn.LET(_xlpm.steps,SUBSTITUTE(Table13[[#This Row],[Input]],Table13[[#This Row],[Direction]],""),VALUE(IF(LEN(_xlpm.steps)&gt;2,LEFT(_xlpm.steps,LEN(_xlpm.steps)-2),0)))</f>
        <v>0</v>
      </c>
      <c r="E27">
        <f>_xlfn.LET(_xlpm.dir,Table13[[#This Row],[Direction]],
IF(_xlpm.dir="L",
    IF(G26-Table13[[#This Row],[Steps]]&lt;0,100+(G26-Table13[[#This Row],[Steps]]),G26-Table13[[#This Row],[Steps]]),
))</f>
        <v>1</v>
      </c>
      <c r="F27">
        <f>_xlfn.LET(_xlpm.dir,Table13[[#This Row],[Direction]],
IF(_xlpm.dir="R",
    IF(G26+Table13[[#This Row],[Steps]]&gt;99,(G26+Table13[[#This Row],[Steps]])-100,G26+Table13[[#This Row],[Steps]]),
))</f>
        <v>0</v>
      </c>
      <c r="G27">
        <f>IF(Table13[[#This Row],[New Pos L]]&lt;&gt;0,Table13[[#This Row],[New Pos L]],Table13[[#This Row],[New Pos R]])</f>
        <v>1</v>
      </c>
      <c r="H27">
        <f>IF(AND(Table13[[#This Row],[Direction]]="L",Table13[[#This Row],[Steps]]&gt;G26,G26&lt;&gt;0),1,0)</f>
        <v>0</v>
      </c>
      <c r="I27">
        <f>IF(AND(Table13[[#This Row],[Direction]]="R",(G26+Table13[[#This Row],[Steps]])&gt;100),1,0)</f>
        <v>0</v>
      </c>
      <c r="J27">
        <f>IF(Table13[[#This Row],[POS]]=0,1,0)</f>
        <v>0</v>
      </c>
      <c r="K27">
        <f>SUM(Table13[[#This Row],[prefix]],Table13[[#This Row],[Past zero L]],Table13[[#This Row],[Past Zero R]],Table13[[#This Row],[Is Zero]])</f>
        <v>0</v>
      </c>
    </row>
    <row r="28" spans="1:11" ht="16" x14ac:dyDescent="0.2">
      <c r="A28" s="1" t="s">
        <v>24</v>
      </c>
      <c r="B28" t="str">
        <f>LEFT(Table13[[#This Row],[Input]],1)</f>
        <v>L</v>
      </c>
      <c r="C28">
        <f>_xlfn.LET(_xlpm.steps,SUBSTITUTE(Table13[[#This Row],[Input]],Table13[[#This Row],[Direction]],""),VALUE(IF(LEN(_xlpm.steps)&gt;2,RIGHT(_xlpm.steps,2),_xlpm.steps)))</f>
        <v>49</v>
      </c>
      <c r="D28">
        <f>_xlfn.LET(_xlpm.steps,SUBSTITUTE(Table13[[#This Row],[Input]],Table13[[#This Row],[Direction]],""),VALUE(IF(LEN(_xlpm.steps)&gt;2,LEFT(_xlpm.steps,LEN(_xlpm.steps)-2),0)))</f>
        <v>0</v>
      </c>
      <c r="E28">
        <f>_xlfn.LET(_xlpm.dir,Table13[[#This Row],[Direction]],
IF(_xlpm.dir="L",
    IF(G27-Table13[[#This Row],[Steps]]&lt;0,100+(G27-Table13[[#This Row],[Steps]]),G27-Table13[[#This Row],[Steps]]),
))</f>
        <v>52</v>
      </c>
      <c r="F28">
        <f>_xlfn.LET(_xlpm.dir,Table13[[#This Row],[Direction]],
IF(_xlpm.dir="R",
    IF(G27+Table13[[#This Row],[Steps]]&gt;99,(G27+Table13[[#This Row],[Steps]])-100,G27+Table13[[#This Row],[Steps]]),
))</f>
        <v>0</v>
      </c>
      <c r="G28">
        <f>IF(Table13[[#This Row],[New Pos L]]&lt;&gt;0,Table13[[#This Row],[New Pos L]],Table13[[#This Row],[New Pos R]])</f>
        <v>52</v>
      </c>
      <c r="H28">
        <f>IF(AND(Table13[[#This Row],[Direction]]="L",Table13[[#This Row],[Steps]]&gt;G27,G27&lt;&gt;0),1,0)</f>
        <v>1</v>
      </c>
      <c r="I28">
        <f>IF(AND(Table13[[#This Row],[Direction]]="R",(G27+Table13[[#This Row],[Steps]])&gt;100),1,0)</f>
        <v>0</v>
      </c>
      <c r="J28">
        <f>IF(Table13[[#This Row],[POS]]=0,1,0)</f>
        <v>0</v>
      </c>
      <c r="K28">
        <f>SUM(Table13[[#This Row],[prefix]],Table13[[#This Row],[Past zero L]],Table13[[#This Row],[Past Zero R]],Table13[[#This Row],[Is Zero]])</f>
        <v>1</v>
      </c>
    </row>
    <row r="29" spans="1:11" ht="16" x14ac:dyDescent="0.2">
      <c r="A29" s="1" t="s">
        <v>25</v>
      </c>
      <c r="B29" t="str">
        <f>LEFT(Table13[[#This Row],[Input]],1)</f>
        <v>L</v>
      </c>
      <c r="C29">
        <f>_xlfn.LET(_xlpm.steps,SUBSTITUTE(Table13[[#This Row],[Input]],Table13[[#This Row],[Direction]],""),VALUE(IF(LEN(_xlpm.steps)&gt;2,RIGHT(_xlpm.steps,2),_xlpm.steps)))</f>
        <v>20</v>
      </c>
      <c r="D29">
        <f>_xlfn.LET(_xlpm.steps,SUBSTITUTE(Table13[[#This Row],[Input]],Table13[[#This Row],[Direction]],""),VALUE(IF(LEN(_xlpm.steps)&gt;2,LEFT(_xlpm.steps,LEN(_xlpm.steps)-2),0)))</f>
        <v>0</v>
      </c>
      <c r="E29">
        <f>_xlfn.LET(_xlpm.dir,Table13[[#This Row],[Direction]],
IF(_xlpm.dir="L",
    IF(G28-Table13[[#This Row],[Steps]]&lt;0,100+(G28-Table13[[#This Row],[Steps]]),G28-Table13[[#This Row],[Steps]]),
))</f>
        <v>32</v>
      </c>
      <c r="F29">
        <f>_xlfn.LET(_xlpm.dir,Table13[[#This Row],[Direction]],
IF(_xlpm.dir="R",
    IF(G28+Table13[[#This Row],[Steps]]&gt;99,(G28+Table13[[#This Row],[Steps]])-100,G28+Table13[[#This Row],[Steps]]),
))</f>
        <v>0</v>
      </c>
      <c r="G29">
        <f>IF(Table13[[#This Row],[New Pos L]]&lt;&gt;0,Table13[[#This Row],[New Pos L]],Table13[[#This Row],[New Pos R]])</f>
        <v>32</v>
      </c>
      <c r="H29">
        <f>IF(AND(Table13[[#This Row],[Direction]]="L",Table13[[#This Row],[Steps]]&gt;G28,G28&lt;&gt;0),1,0)</f>
        <v>0</v>
      </c>
      <c r="I29">
        <f>IF(AND(Table13[[#This Row],[Direction]]="R",(G28+Table13[[#This Row],[Steps]])&gt;100),1,0)</f>
        <v>0</v>
      </c>
      <c r="J29">
        <f>IF(Table13[[#This Row],[POS]]=0,1,0)</f>
        <v>0</v>
      </c>
      <c r="K29">
        <f>SUM(Table13[[#This Row],[prefix]],Table13[[#This Row],[Past zero L]],Table13[[#This Row],[Past Zero R]],Table13[[#This Row],[Is Zero]])</f>
        <v>0</v>
      </c>
    </row>
    <row r="30" spans="1:11" ht="16" x14ac:dyDescent="0.2">
      <c r="A30" s="1" t="s">
        <v>26</v>
      </c>
      <c r="B30" t="str">
        <f>LEFT(Table13[[#This Row],[Input]],1)</f>
        <v>R</v>
      </c>
      <c r="C30">
        <f>_xlfn.LET(_xlpm.steps,SUBSTITUTE(Table13[[#This Row],[Input]],Table13[[#This Row],[Direction]],""),VALUE(IF(LEN(_xlpm.steps)&gt;2,RIGHT(_xlpm.steps,2),_xlpm.steps)))</f>
        <v>6</v>
      </c>
      <c r="D30">
        <f>_xlfn.LET(_xlpm.steps,SUBSTITUTE(Table13[[#This Row],[Input]],Table13[[#This Row],[Direction]],""),VALUE(IF(LEN(_xlpm.steps)&gt;2,LEFT(_xlpm.steps,LEN(_xlpm.steps)-2),0)))</f>
        <v>0</v>
      </c>
      <c r="E30">
        <f>_xlfn.LET(_xlpm.dir,Table13[[#This Row],[Direction]],
IF(_xlpm.dir="L",
    IF(G29-Table13[[#This Row],[Steps]]&lt;0,100+(G29-Table13[[#This Row],[Steps]]),G29-Table13[[#This Row],[Steps]]),
))</f>
        <v>0</v>
      </c>
      <c r="F30">
        <f>_xlfn.LET(_xlpm.dir,Table13[[#This Row],[Direction]],
IF(_xlpm.dir="R",
    IF(G29+Table13[[#This Row],[Steps]]&gt;99,(G29+Table13[[#This Row],[Steps]])-100,G29+Table13[[#This Row],[Steps]]),
))</f>
        <v>38</v>
      </c>
      <c r="G30">
        <f>IF(Table13[[#This Row],[New Pos L]]&lt;&gt;0,Table13[[#This Row],[New Pos L]],Table13[[#This Row],[New Pos R]])</f>
        <v>38</v>
      </c>
      <c r="H30">
        <f>IF(AND(Table13[[#This Row],[Direction]]="L",Table13[[#This Row],[Steps]]&gt;G29,G29&lt;&gt;0),1,0)</f>
        <v>0</v>
      </c>
      <c r="I30">
        <f>IF(AND(Table13[[#This Row],[Direction]]="R",(G29+Table13[[#This Row],[Steps]])&gt;100),1,0)</f>
        <v>0</v>
      </c>
      <c r="J30">
        <f>IF(Table13[[#This Row],[POS]]=0,1,0)</f>
        <v>0</v>
      </c>
      <c r="K30">
        <f>SUM(Table13[[#This Row],[prefix]],Table13[[#This Row],[Past zero L]],Table13[[#This Row],[Past Zero R]],Table13[[#This Row],[Is Zero]])</f>
        <v>0</v>
      </c>
    </row>
    <row r="31" spans="1:11" ht="16" x14ac:dyDescent="0.2">
      <c r="A31" s="1" t="s">
        <v>25</v>
      </c>
      <c r="B31" t="str">
        <f>LEFT(Table13[[#This Row],[Input]],1)</f>
        <v>L</v>
      </c>
      <c r="C31">
        <f>_xlfn.LET(_xlpm.steps,SUBSTITUTE(Table13[[#This Row],[Input]],Table13[[#This Row],[Direction]],""),VALUE(IF(LEN(_xlpm.steps)&gt;2,RIGHT(_xlpm.steps,2),_xlpm.steps)))</f>
        <v>20</v>
      </c>
      <c r="D31">
        <f>_xlfn.LET(_xlpm.steps,SUBSTITUTE(Table13[[#This Row],[Input]],Table13[[#This Row],[Direction]],""),VALUE(IF(LEN(_xlpm.steps)&gt;2,LEFT(_xlpm.steps,LEN(_xlpm.steps)-2),0)))</f>
        <v>0</v>
      </c>
      <c r="E31">
        <f>_xlfn.LET(_xlpm.dir,Table13[[#This Row],[Direction]],
IF(_xlpm.dir="L",
    IF(G30-Table13[[#This Row],[Steps]]&lt;0,100+(G30-Table13[[#This Row],[Steps]]),G30-Table13[[#This Row],[Steps]]),
))</f>
        <v>18</v>
      </c>
      <c r="F31">
        <f>_xlfn.LET(_xlpm.dir,Table13[[#This Row],[Direction]],
IF(_xlpm.dir="R",
    IF(G30+Table13[[#This Row],[Steps]]&gt;99,(G30+Table13[[#This Row],[Steps]])-100,G30+Table13[[#This Row],[Steps]]),
))</f>
        <v>0</v>
      </c>
      <c r="G31">
        <f>IF(Table13[[#This Row],[New Pos L]]&lt;&gt;0,Table13[[#This Row],[New Pos L]],Table13[[#This Row],[New Pos R]])</f>
        <v>18</v>
      </c>
      <c r="H31">
        <f>IF(AND(Table13[[#This Row],[Direction]]="L",Table13[[#This Row],[Steps]]&gt;G30,G30&lt;&gt;0),1,0)</f>
        <v>0</v>
      </c>
      <c r="I31">
        <f>IF(AND(Table13[[#This Row],[Direction]]="R",(G30+Table13[[#This Row],[Steps]])&gt;100),1,0)</f>
        <v>0</v>
      </c>
      <c r="J31">
        <f>IF(Table13[[#This Row],[POS]]=0,1,0)</f>
        <v>0</v>
      </c>
      <c r="K31">
        <f>SUM(Table13[[#This Row],[prefix]],Table13[[#This Row],[Past zero L]],Table13[[#This Row],[Past Zero R]],Table13[[#This Row],[Is Zero]])</f>
        <v>0</v>
      </c>
    </row>
    <row r="32" spans="1:11" ht="16" x14ac:dyDescent="0.2">
      <c r="A32" s="1" t="s">
        <v>27</v>
      </c>
      <c r="B32" t="str">
        <f>LEFT(Table13[[#This Row],[Input]],1)</f>
        <v>L</v>
      </c>
      <c r="C32">
        <f>_xlfn.LET(_xlpm.steps,SUBSTITUTE(Table13[[#This Row],[Input]],Table13[[#This Row],[Direction]],""),VALUE(IF(LEN(_xlpm.steps)&gt;2,RIGHT(_xlpm.steps,2),_xlpm.steps)))</f>
        <v>14</v>
      </c>
      <c r="D32">
        <f>_xlfn.LET(_xlpm.steps,SUBSTITUTE(Table13[[#This Row],[Input]],Table13[[#This Row],[Direction]],""),VALUE(IF(LEN(_xlpm.steps)&gt;2,LEFT(_xlpm.steps,LEN(_xlpm.steps)-2),0)))</f>
        <v>0</v>
      </c>
      <c r="E32">
        <f>_xlfn.LET(_xlpm.dir,Table13[[#This Row],[Direction]],
IF(_xlpm.dir="L",
    IF(G31-Table13[[#This Row],[Steps]]&lt;0,100+(G31-Table13[[#This Row],[Steps]]),G31-Table13[[#This Row],[Steps]]),
))</f>
        <v>4</v>
      </c>
      <c r="F32">
        <f>_xlfn.LET(_xlpm.dir,Table13[[#This Row],[Direction]],
IF(_xlpm.dir="R",
    IF(G31+Table13[[#This Row],[Steps]]&gt;99,(G31+Table13[[#This Row],[Steps]])-100,G31+Table13[[#This Row],[Steps]]),
))</f>
        <v>0</v>
      </c>
      <c r="G32">
        <f>IF(Table13[[#This Row],[New Pos L]]&lt;&gt;0,Table13[[#This Row],[New Pos L]],Table13[[#This Row],[New Pos R]])</f>
        <v>4</v>
      </c>
      <c r="H32">
        <f>IF(AND(Table13[[#This Row],[Direction]]="L",Table13[[#This Row],[Steps]]&gt;G31,G31&lt;&gt;0),1,0)</f>
        <v>0</v>
      </c>
      <c r="I32">
        <f>IF(AND(Table13[[#This Row],[Direction]]="R",(G31+Table13[[#This Row],[Steps]])&gt;100),1,0)</f>
        <v>0</v>
      </c>
      <c r="J32">
        <f>IF(Table13[[#This Row],[POS]]=0,1,0)</f>
        <v>0</v>
      </c>
      <c r="K32">
        <f>SUM(Table13[[#This Row],[prefix]],Table13[[#This Row],[Past zero L]],Table13[[#This Row],[Past Zero R]],Table13[[#This Row],[Is Zero]])</f>
        <v>0</v>
      </c>
    </row>
    <row r="33" spans="1:11" ht="16" x14ac:dyDescent="0.2">
      <c r="A33" s="1" t="s">
        <v>28</v>
      </c>
      <c r="B33" t="str">
        <f>LEFT(Table13[[#This Row],[Input]],1)</f>
        <v>R</v>
      </c>
      <c r="C33">
        <f>_xlfn.LET(_xlpm.steps,SUBSTITUTE(Table13[[#This Row],[Input]],Table13[[#This Row],[Direction]],""),VALUE(IF(LEN(_xlpm.steps)&gt;2,RIGHT(_xlpm.steps,2),_xlpm.steps)))</f>
        <v>30</v>
      </c>
      <c r="D33">
        <f>_xlfn.LET(_xlpm.steps,SUBSTITUTE(Table13[[#This Row],[Input]],Table13[[#This Row],[Direction]],""),VALUE(IF(LEN(_xlpm.steps)&gt;2,LEFT(_xlpm.steps,LEN(_xlpm.steps)-2),0)))</f>
        <v>0</v>
      </c>
      <c r="E33">
        <f>_xlfn.LET(_xlpm.dir,Table13[[#This Row],[Direction]],
IF(_xlpm.dir="L",
    IF(G32-Table13[[#This Row],[Steps]]&lt;0,100+(G32-Table13[[#This Row],[Steps]]),G32-Table13[[#This Row],[Steps]]),
))</f>
        <v>0</v>
      </c>
      <c r="F33">
        <f>_xlfn.LET(_xlpm.dir,Table13[[#This Row],[Direction]],
IF(_xlpm.dir="R",
    IF(G32+Table13[[#This Row],[Steps]]&gt;99,(G32+Table13[[#This Row],[Steps]])-100,G32+Table13[[#This Row],[Steps]]),
))</f>
        <v>34</v>
      </c>
      <c r="G33">
        <f>IF(Table13[[#This Row],[New Pos L]]&lt;&gt;0,Table13[[#This Row],[New Pos L]],Table13[[#This Row],[New Pos R]])</f>
        <v>34</v>
      </c>
      <c r="H33">
        <f>IF(AND(Table13[[#This Row],[Direction]]="L",Table13[[#This Row],[Steps]]&gt;G32,G32&lt;&gt;0),1,0)</f>
        <v>0</v>
      </c>
      <c r="I33">
        <f>IF(AND(Table13[[#This Row],[Direction]]="R",(G32+Table13[[#This Row],[Steps]])&gt;100),1,0)</f>
        <v>0</v>
      </c>
      <c r="J33">
        <f>IF(Table13[[#This Row],[POS]]=0,1,0)</f>
        <v>0</v>
      </c>
      <c r="K33">
        <f>SUM(Table13[[#This Row],[prefix]],Table13[[#This Row],[Past zero L]],Table13[[#This Row],[Past Zero R]],Table13[[#This Row],[Is Zero]])</f>
        <v>0</v>
      </c>
    </row>
    <row r="34" spans="1:11" ht="16" x14ac:dyDescent="0.2">
      <c r="A34" s="1" t="s">
        <v>29</v>
      </c>
      <c r="B34" t="str">
        <f>LEFT(Table13[[#This Row],[Input]],1)</f>
        <v>L</v>
      </c>
      <c r="C34">
        <f>_xlfn.LET(_xlpm.steps,SUBSTITUTE(Table13[[#This Row],[Input]],Table13[[#This Row],[Direction]],""),VALUE(IF(LEN(_xlpm.steps)&gt;2,RIGHT(_xlpm.steps,2),_xlpm.steps)))</f>
        <v>33</v>
      </c>
      <c r="D34">
        <f>_xlfn.LET(_xlpm.steps,SUBSTITUTE(Table13[[#This Row],[Input]],Table13[[#This Row],[Direction]],""),VALUE(IF(LEN(_xlpm.steps)&gt;2,LEFT(_xlpm.steps,LEN(_xlpm.steps)-2),0)))</f>
        <v>0</v>
      </c>
      <c r="E34">
        <f>_xlfn.LET(_xlpm.dir,Table13[[#This Row],[Direction]],
IF(_xlpm.dir="L",
    IF(G33-Table13[[#This Row],[Steps]]&lt;0,100+(G33-Table13[[#This Row],[Steps]]),G33-Table13[[#This Row],[Steps]]),
))</f>
        <v>1</v>
      </c>
      <c r="F34">
        <f>_xlfn.LET(_xlpm.dir,Table13[[#This Row],[Direction]],
IF(_xlpm.dir="R",
    IF(G33+Table13[[#This Row],[Steps]]&gt;99,(G33+Table13[[#This Row],[Steps]])-100,G33+Table13[[#This Row],[Steps]]),
))</f>
        <v>0</v>
      </c>
      <c r="G34">
        <f>IF(Table13[[#This Row],[New Pos L]]&lt;&gt;0,Table13[[#This Row],[New Pos L]],Table13[[#This Row],[New Pos R]])</f>
        <v>1</v>
      </c>
      <c r="H34">
        <f>IF(AND(Table13[[#This Row],[Direction]]="L",Table13[[#This Row],[Steps]]&gt;G33,G33&lt;&gt;0),1,0)</f>
        <v>0</v>
      </c>
      <c r="I34">
        <f>IF(AND(Table13[[#This Row],[Direction]]="R",(G33+Table13[[#This Row],[Steps]])&gt;100),1,0)</f>
        <v>0</v>
      </c>
      <c r="J34">
        <f>IF(Table13[[#This Row],[POS]]=0,1,0)</f>
        <v>0</v>
      </c>
      <c r="K34">
        <f>SUM(Table13[[#This Row],[prefix]],Table13[[#This Row],[Past zero L]],Table13[[#This Row],[Past Zero R]],Table13[[#This Row],[Is Zero]])</f>
        <v>0</v>
      </c>
    </row>
    <row r="35" spans="1:11" ht="16" x14ac:dyDescent="0.2">
      <c r="A35" s="1" t="s">
        <v>30</v>
      </c>
      <c r="B35" t="str">
        <f>LEFT(Table13[[#This Row],[Input]],1)</f>
        <v>R</v>
      </c>
      <c r="C35">
        <f>_xlfn.LET(_xlpm.steps,SUBSTITUTE(Table13[[#This Row],[Input]],Table13[[#This Row],[Direction]],""),VALUE(IF(LEN(_xlpm.steps)&gt;2,RIGHT(_xlpm.steps,2),_xlpm.steps)))</f>
        <v>48</v>
      </c>
      <c r="D35">
        <f>_xlfn.LET(_xlpm.steps,SUBSTITUTE(Table13[[#This Row],[Input]],Table13[[#This Row],[Direction]],""),VALUE(IF(LEN(_xlpm.steps)&gt;2,LEFT(_xlpm.steps,LEN(_xlpm.steps)-2),0)))</f>
        <v>0</v>
      </c>
      <c r="E35">
        <f>_xlfn.LET(_xlpm.dir,Table13[[#This Row],[Direction]],
IF(_xlpm.dir="L",
    IF(G34-Table13[[#This Row],[Steps]]&lt;0,100+(G34-Table13[[#This Row],[Steps]]),G34-Table13[[#This Row],[Steps]]),
))</f>
        <v>0</v>
      </c>
      <c r="F35">
        <f>_xlfn.LET(_xlpm.dir,Table13[[#This Row],[Direction]],
IF(_xlpm.dir="R",
    IF(G34+Table13[[#This Row],[Steps]]&gt;99,(G34+Table13[[#This Row],[Steps]])-100,G34+Table13[[#This Row],[Steps]]),
))</f>
        <v>49</v>
      </c>
      <c r="G35">
        <f>IF(Table13[[#This Row],[New Pos L]]&lt;&gt;0,Table13[[#This Row],[New Pos L]],Table13[[#This Row],[New Pos R]])</f>
        <v>49</v>
      </c>
      <c r="H35">
        <f>IF(AND(Table13[[#This Row],[Direction]]="L",Table13[[#This Row],[Steps]]&gt;G34,G34&lt;&gt;0),1,0)</f>
        <v>0</v>
      </c>
      <c r="I35">
        <f>IF(AND(Table13[[#This Row],[Direction]]="R",(G34+Table13[[#This Row],[Steps]])&gt;100),1,0)</f>
        <v>0</v>
      </c>
      <c r="J35">
        <f>IF(Table13[[#This Row],[POS]]=0,1,0)</f>
        <v>0</v>
      </c>
      <c r="K35">
        <f>SUM(Table13[[#This Row],[prefix]],Table13[[#This Row],[Past zero L]],Table13[[#This Row],[Past Zero R]],Table13[[#This Row],[Is Zero]])</f>
        <v>0</v>
      </c>
    </row>
    <row r="36" spans="1:11" ht="16" x14ac:dyDescent="0.2">
      <c r="A36" s="1" t="s">
        <v>31</v>
      </c>
      <c r="B36" t="str">
        <f>LEFT(Table13[[#This Row],[Input]],1)</f>
        <v>L</v>
      </c>
      <c r="C36">
        <f>_xlfn.LET(_xlpm.steps,SUBSTITUTE(Table13[[#This Row],[Input]],Table13[[#This Row],[Direction]],""),VALUE(IF(LEN(_xlpm.steps)&gt;2,RIGHT(_xlpm.steps,2),_xlpm.steps)))</f>
        <v>13</v>
      </c>
      <c r="D36">
        <f>_xlfn.LET(_xlpm.steps,SUBSTITUTE(Table13[[#This Row],[Input]],Table13[[#This Row],[Direction]],""),VALUE(IF(LEN(_xlpm.steps)&gt;2,LEFT(_xlpm.steps,LEN(_xlpm.steps)-2),0)))</f>
        <v>0</v>
      </c>
      <c r="E36">
        <f>_xlfn.LET(_xlpm.dir,Table13[[#This Row],[Direction]],
IF(_xlpm.dir="L",
    IF(G35-Table13[[#This Row],[Steps]]&lt;0,100+(G35-Table13[[#This Row],[Steps]]),G35-Table13[[#This Row],[Steps]]),
))</f>
        <v>36</v>
      </c>
      <c r="F36">
        <f>_xlfn.LET(_xlpm.dir,Table13[[#This Row],[Direction]],
IF(_xlpm.dir="R",
    IF(G35+Table13[[#This Row],[Steps]]&gt;99,(G35+Table13[[#This Row],[Steps]])-100,G35+Table13[[#This Row],[Steps]]),
))</f>
        <v>0</v>
      </c>
      <c r="G36">
        <f>IF(Table13[[#This Row],[New Pos L]]&lt;&gt;0,Table13[[#This Row],[New Pos L]],Table13[[#This Row],[New Pos R]])</f>
        <v>36</v>
      </c>
      <c r="H36">
        <f>IF(AND(Table13[[#This Row],[Direction]]="L",Table13[[#This Row],[Steps]]&gt;G35,G35&lt;&gt;0),1,0)</f>
        <v>0</v>
      </c>
      <c r="I36">
        <f>IF(AND(Table13[[#This Row],[Direction]]="R",(G35+Table13[[#This Row],[Steps]])&gt;100),1,0)</f>
        <v>0</v>
      </c>
      <c r="J36">
        <f>IF(Table13[[#This Row],[POS]]=0,1,0)</f>
        <v>0</v>
      </c>
      <c r="K36">
        <f>SUM(Table13[[#This Row],[prefix]],Table13[[#This Row],[Past zero L]],Table13[[#This Row],[Past Zero R]],Table13[[#This Row],[Is Zero]])</f>
        <v>0</v>
      </c>
    </row>
    <row r="37" spans="1:11" ht="16" x14ac:dyDescent="0.2">
      <c r="A37" s="1" t="s">
        <v>12</v>
      </c>
      <c r="B37" t="str">
        <f>LEFT(Table13[[#This Row],[Input]],1)</f>
        <v>L</v>
      </c>
      <c r="C37">
        <f>_xlfn.LET(_xlpm.steps,SUBSTITUTE(Table13[[#This Row],[Input]],Table13[[#This Row],[Direction]],""),VALUE(IF(LEN(_xlpm.steps)&gt;2,RIGHT(_xlpm.steps,2),_xlpm.steps)))</f>
        <v>11</v>
      </c>
      <c r="D37">
        <f>_xlfn.LET(_xlpm.steps,SUBSTITUTE(Table13[[#This Row],[Input]],Table13[[#This Row],[Direction]],""),VALUE(IF(LEN(_xlpm.steps)&gt;2,LEFT(_xlpm.steps,LEN(_xlpm.steps)-2),0)))</f>
        <v>0</v>
      </c>
      <c r="E37">
        <f>_xlfn.LET(_xlpm.dir,Table13[[#This Row],[Direction]],
IF(_xlpm.dir="L",
    IF(G36-Table13[[#This Row],[Steps]]&lt;0,100+(G36-Table13[[#This Row],[Steps]]),G36-Table13[[#This Row],[Steps]]),
))</f>
        <v>25</v>
      </c>
      <c r="F37">
        <f>_xlfn.LET(_xlpm.dir,Table13[[#This Row],[Direction]],
IF(_xlpm.dir="R",
    IF(G36+Table13[[#This Row],[Steps]]&gt;99,(G36+Table13[[#This Row],[Steps]])-100,G36+Table13[[#This Row],[Steps]]),
))</f>
        <v>0</v>
      </c>
      <c r="G37">
        <f>IF(Table13[[#This Row],[New Pos L]]&lt;&gt;0,Table13[[#This Row],[New Pos L]],Table13[[#This Row],[New Pos R]])</f>
        <v>25</v>
      </c>
      <c r="H37">
        <f>IF(AND(Table13[[#This Row],[Direction]]="L",Table13[[#This Row],[Steps]]&gt;G36,G36&lt;&gt;0),1,0)</f>
        <v>0</v>
      </c>
      <c r="I37">
        <f>IF(AND(Table13[[#This Row],[Direction]]="R",(G36+Table13[[#This Row],[Steps]])&gt;100),1,0)</f>
        <v>0</v>
      </c>
      <c r="J37">
        <f>IF(Table13[[#This Row],[POS]]=0,1,0)</f>
        <v>0</v>
      </c>
      <c r="K37">
        <f>SUM(Table13[[#This Row],[prefix]],Table13[[#This Row],[Past zero L]],Table13[[#This Row],[Past Zero R]],Table13[[#This Row],[Is Zero]])</f>
        <v>0</v>
      </c>
    </row>
    <row r="38" spans="1:11" ht="16" x14ac:dyDescent="0.2">
      <c r="A38" s="1" t="s">
        <v>30</v>
      </c>
      <c r="B38" t="str">
        <f>LEFT(Table13[[#This Row],[Input]],1)</f>
        <v>R</v>
      </c>
      <c r="C38">
        <f>_xlfn.LET(_xlpm.steps,SUBSTITUTE(Table13[[#This Row],[Input]],Table13[[#This Row],[Direction]],""),VALUE(IF(LEN(_xlpm.steps)&gt;2,RIGHT(_xlpm.steps,2),_xlpm.steps)))</f>
        <v>48</v>
      </c>
      <c r="D38">
        <f>_xlfn.LET(_xlpm.steps,SUBSTITUTE(Table13[[#This Row],[Input]],Table13[[#This Row],[Direction]],""),VALUE(IF(LEN(_xlpm.steps)&gt;2,LEFT(_xlpm.steps,LEN(_xlpm.steps)-2),0)))</f>
        <v>0</v>
      </c>
      <c r="E38">
        <f>_xlfn.LET(_xlpm.dir,Table13[[#This Row],[Direction]],
IF(_xlpm.dir="L",
    IF(G37-Table13[[#This Row],[Steps]]&lt;0,100+(G37-Table13[[#This Row],[Steps]]),G37-Table13[[#This Row],[Steps]]),
))</f>
        <v>0</v>
      </c>
      <c r="F38">
        <f>_xlfn.LET(_xlpm.dir,Table13[[#This Row],[Direction]],
IF(_xlpm.dir="R",
    IF(G37+Table13[[#This Row],[Steps]]&gt;99,(G37+Table13[[#This Row],[Steps]])-100,G37+Table13[[#This Row],[Steps]]),
))</f>
        <v>73</v>
      </c>
      <c r="G38">
        <f>IF(Table13[[#This Row],[New Pos L]]&lt;&gt;0,Table13[[#This Row],[New Pos L]],Table13[[#This Row],[New Pos R]])</f>
        <v>73</v>
      </c>
      <c r="H38">
        <f>IF(AND(Table13[[#This Row],[Direction]]="L",Table13[[#This Row],[Steps]]&gt;G37,G37&lt;&gt;0),1,0)</f>
        <v>0</v>
      </c>
      <c r="I38">
        <f>IF(AND(Table13[[#This Row],[Direction]]="R",(G37+Table13[[#This Row],[Steps]])&gt;100),1,0)</f>
        <v>0</v>
      </c>
      <c r="J38">
        <f>IF(Table13[[#This Row],[POS]]=0,1,0)</f>
        <v>0</v>
      </c>
      <c r="K38">
        <f>SUM(Table13[[#This Row],[prefix]],Table13[[#This Row],[Past zero L]],Table13[[#This Row],[Past Zero R]],Table13[[#This Row],[Is Zero]])</f>
        <v>0</v>
      </c>
    </row>
    <row r="39" spans="1:11" ht="16" x14ac:dyDescent="0.2">
      <c r="A39" s="1" t="s">
        <v>32</v>
      </c>
      <c r="B39" t="str">
        <f>LEFT(Table13[[#This Row],[Input]],1)</f>
        <v>L</v>
      </c>
      <c r="C39">
        <f>_xlfn.LET(_xlpm.steps,SUBSTITUTE(Table13[[#This Row],[Input]],Table13[[#This Row],[Direction]],""),VALUE(IF(LEN(_xlpm.steps)&gt;2,RIGHT(_xlpm.steps,2),_xlpm.steps)))</f>
        <v>28</v>
      </c>
      <c r="D39">
        <f>_xlfn.LET(_xlpm.steps,SUBSTITUTE(Table13[[#This Row],[Input]],Table13[[#This Row],[Direction]],""),VALUE(IF(LEN(_xlpm.steps)&gt;2,LEFT(_xlpm.steps,LEN(_xlpm.steps)-2),0)))</f>
        <v>0</v>
      </c>
      <c r="E39">
        <f>_xlfn.LET(_xlpm.dir,Table13[[#This Row],[Direction]],
IF(_xlpm.dir="L",
    IF(G38-Table13[[#This Row],[Steps]]&lt;0,100+(G38-Table13[[#This Row],[Steps]]),G38-Table13[[#This Row],[Steps]]),
))</f>
        <v>45</v>
      </c>
      <c r="F39">
        <f>_xlfn.LET(_xlpm.dir,Table13[[#This Row],[Direction]],
IF(_xlpm.dir="R",
    IF(G38+Table13[[#This Row],[Steps]]&gt;99,(G38+Table13[[#This Row],[Steps]])-100,G38+Table13[[#This Row],[Steps]]),
))</f>
        <v>0</v>
      </c>
      <c r="G39">
        <f>IF(Table13[[#This Row],[New Pos L]]&lt;&gt;0,Table13[[#This Row],[New Pos L]],Table13[[#This Row],[New Pos R]])</f>
        <v>45</v>
      </c>
      <c r="H39">
        <f>IF(AND(Table13[[#This Row],[Direction]]="L",Table13[[#This Row],[Steps]]&gt;G38,G38&lt;&gt;0),1,0)</f>
        <v>0</v>
      </c>
      <c r="I39">
        <f>IF(AND(Table13[[#This Row],[Direction]]="R",(G38+Table13[[#This Row],[Steps]])&gt;100),1,0)</f>
        <v>0</v>
      </c>
      <c r="J39">
        <f>IF(Table13[[#This Row],[POS]]=0,1,0)</f>
        <v>0</v>
      </c>
      <c r="K39">
        <f>SUM(Table13[[#This Row],[prefix]],Table13[[#This Row],[Past zero L]],Table13[[#This Row],[Past Zero R]],Table13[[#This Row],[Is Zero]])</f>
        <v>0</v>
      </c>
    </row>
    <row r="40" spans="1:11" ht="16" x14ac:dyDescent="0.2">
      <c r="A40" s="1" t="s">
        <v>33</v>
      </c>
      <c r="B40" t="str">
        <f>LEFT(Table13[[#This Row],[Input]],1)</f>
        <v>R</v>
      </c>
      <c r="C40">
        <f>_xlfn.LET(_xlpm.steps,SUBSTITUTE(Table13[[#This Row],[Input]],Table13[[#This Row],[Direction]],""),VALUE(IF(LEN(_xlpm.steps)&gt;2,RIGHT(_xlpm.steps,2),_xlpm.steps)))</f>
        <v>22</v>
      </c>
      <c r="D40">
        <f>_xlfn.LET(_xlpm.steps,SUBSTITUTE(Table13[[#This Row],[Input]],Table13[[#This Row],[Direction]],""),VALUE(IF(LEN(_xlpm.steps)&gt;2,LEFT(_xlpm.steps,LEN(_xlpm.steps)-2),0)))</f>
        <v>0</v>
      </c>
      <c r="E40">
        <f>_xlfn.LET(_xlpm.dir,Table13[[#This Row],[Direction]],
IF(_xlpm.dir="L",
    IF(G39-Table13[[#This Row],[Steps]]&lt;0,100+(G39-Table13[[#This Row],[Steps]]),G39-Table13[[#This Row],[Steps]]),
))</f>
        <v>0</v>
      </c>
      <c r="F40">
        <f>_xlfn.LET(_xlpm.dir,Table13[[#This Row],[Direction]],
IF(_xlpm.dir="R",
    IF(G39+Table13[[#This Row],[Steps]]&gt;99,(G39+Table13[[#This Row],[Steps]])-100,G39+Table13[[#This Row],[Steps]]),
))</f>
        <v>67</v>
      </c>
      <c r="G40">
        <f>IF(Table13[[#This Row],[New Pos L]]&lt;&gt;0,Table13[[#This Row],[New Pos L]],Table13[[#This Row],[New Pos R]])</f>
        <v>67</v>
      </c>
      <c r="H40">
        <f>IF(AND(Table13[[#This Row],[Direction]]="L",Table13[[#This Row],[Steps]]&gt;G39,G39&lt;&gt;0),1,0)</f>
        <v>0</v>
      </c>
      <c r="I40">
        <f>IF(AND(Table13[[#This Row],[Direction]]="R",(G39+Table13[[#This Row],[Steps]])&gt;100),1,0)</f>
        <v>0</v>
      </c>
      <c r="J40">
        <f>IF(Table13[[#This Row],[POS]]=0,1,0)</f>
        <v>0</v>
      </c>
      <c r="K40">
        <f>SUM(Table13[[#This Row],[prefix]],Table13[[#This Row],[Past zero L]],Table13[[#This Row],[Past Zero R]],Table13[[#This Row],[Is Zero]])</f>
        <v>0</v>
      </c>
    </row>
    <row r="41" spans="1:11" ht="16" x14ac:dyDescent="0.2">
      <c r="A41" s="1" t="s">
        <v>34</v>
      </c>
      <c r="B41" t="str">
        <f>LEFT(Table13[[#This Row],[Input]],1)</f>
        <v>L</v>
      </c>
      <c r="C41">
        <f>_xlfn.LET(_xlpm.steps,SUBSTITUTE(Table13[[#This Row],[Input]],Table13[[#This Row],[Direction]],""),VALUE(IF(LEN(_xlpm.steps)&gt;2,RIGHT(_xlpm.steps,2),_xlpm.steps)))</f>
        <v>15</v>
      </c>
      <c r="D41">
        <f>_xlfn.LET(_xlpm.steps,SUBSTITUTE(Table13[[#This Row],[Input]],Table13[[#This Row],[Direction]],""),VALUE(IF(LEN(_xlpm.steps)&gt;2,LEFT(_xlpm.steps,LEN(_xlpm.steps)-2),0)))</f>
        <v>0</v>
      </c>
      <c r="E41">
        <f>_xlfn.LET(_xlpm.dir,Table13[[#This Row],[Direction]],
IF(_xlpm.dir="L",
    IF(G40-Table13[[#This Row],[Steps]]&lt;0,100+(G40-Table13[[#This Row],[Steps]]),G40-Table13[[#This Row],[Steps]]),
))</f>
        <v>52</v>
      </c>
      <c r="F41">
        <f>_xlfn.LET(_xlpm.dir,Table13[[#This Row],[Direction]],
IF(_xlpm.dir="R",
    IF(G40+Table13[[#This Row],[Steps]]&gt;99,(G40+Table13[[#This Row],[Steps]])-100,G40+Table13[[#This Row],[Steps]]),
))</f>
        <v>0</v>
      </c>
      <c r="G41">
        <f>IF(Table13[[#This Row],[New Pos L]]&lt;&gt;0,Table13[[#This Row],[New Pos L]],Table13[[#This Row],[New Pos R]])</f>
        <v>52</v>
      </c>
      <c r="H41">
        <f>IF(AND(Table13[[#This Row],[Direction]]="L",Table13[[#This Row],[Steps]]&gt;G40,G40&lt;&gt;0),1,0)</f>
        <v>0</v>
      </c>
      <c r="I41">
        <f>IF(AND(Table13[[#This Row],[Direction]]="R",(G40+Table13[[#This Row],[Steps]])&gt;100),1,0)</f>
        <v>0</v>
      </c>
      <c r="J41">
        <f>IF(Table13[[#This Row],[POS]]=0,1,0)</f>
        <v>0</v>
      </c>
      <c r="K41">
        <f>SUM(Table13[[#This Row],[prefix]],Table13[[#This Row],[Past zero L]],Table13[[#This Row],[Past Zero R]],Table13[[#This Row],[Is Zero]])</f>
        <v>0</v>
      </c>
    </row>
    <row r="42" spans="1:11" ht="16" x14ac:dyDescent="0.2">
      <c r="A42" s="1" t="s">
        <v>35</v>
      </c>
      <c r="B42" t="str">
        <f>LEFT(Table13[[#This Row],[Input]],1)</f>
        <v>L</v>
      </c>
      <c r="C42">
        <f>_xlfn.LET(_xlpm.steps,SUBSTITUTE(Table13[[#This Row],[Input]],Table13[[#This Row],[Direction]],""),VALUE(IF(LEN(_xlpm.steps)&gt;2,RIGHT(_xlpm.steps,2),_xlpm.steps)))</f>
        <v>2</v>
      </c>
      <c r="D42">
        <f>_xlfn.LET(_xlpm.steps,SUBSTITUTE(Table13[[#This Row],[Input]],Table13[[#This Row],[Direction]],""),VALUE(IF(LEN(_xlpm.steps)&gt;2,LEFT(_xlpm.steps,LEN(_xlpm.steps)-2),0)))</f>
        <v>0</v>
      </c>
      <c r="E42">
        <f>_xlfn.LET(_xlpm.dir,Table13[[#This Row],[Direction]],
IF(_xlpm.dir="L",
    IF(G41-Table13[[#This Row],[Steps]]&lt;0,100+(G41-Table13[[#This Row],[Steps]]),G41-Table13[[#This Row],[Steps]]),
))</f>
        <v>50</v>
      </c>
      <c r="F42">
        <f>_xlfn.LET(_xlpm.dir,Table13[[#This Row],[Direction]],
IF(_xlpm.dir="R",
    IF(G41+Table13[[#This Row],[Steps]]&gt;99,(G41+Table13[[#This Row],[Steps]])-100,G41+Table13[[#This Row],[Steps]]),
))</f>
        <v>0</v>
      </c>
      <c r="G42">
        <f>IF(Table13[[#This Row],[New Pos L]]&lt;&gt;0,Table13[[#This Row],[New Pos L]],Table13[[#This Row],[New Pos R]])</f>
        <v>50</v>
      </c>
      <c r="H42">
        <f>IF(AND(Table13[[#This Row],[Direction]]="L",Table13[[#This Row],[Steps]]&gt;G41,G41&lt;&gt;0),1,0)</f>
        <v>0</v>
      </c>
      <c r="I42">
        <f>IF(AND(Table13[[#This Row],[Direction]]="R",(G41+Table13[[#This Row],[Steps]])&gt;100),1,0)</f>
        <v>0</v>
      </c>
      <c r="J42">
        <f>IF(Table13[[#This Row],[POS]]=0,1,0)</f>
        <v>0</v>
      </c>
      <c r="K42">
        <f>SUM(Table13[[#This Row],[prefix]],Table13[[#This Row],[Past zero L]],Table13[[#This Row],[Past Zero R]],Table13[[#This Row],[Is Zero]])</f>
        <v>0</v>
      </c>
    </row>
    <row r="43" spans="1:11" ht="16" x14ac:dyDescent="0.2">
      <c r="A43" s="1" t="s">
        <v>36</v>
      </c>
      <c r="B43" t="str">
        <f>LEFT(Table13[[#This Row],[Input]],1)</f>
        <v>R</v>
      </c>
      <c r="C43">
        <f>_xlfn.LET(_xlpm.steps,SUBSTITUTE(Table13[[#This Row],[Input]],Table13[[#This Row],[Direction]],""),VALUE(IF(LEN(_xlpm.steps)&gt;2,RIGHT(_xlpm.steps,2),_xlpm.steps)))</f>
        <v>50</v>
      </c>
      <c r="D43">
        <f>_xlfn.LET(_xlpm.steps,SUBSTITUTE(Table13[[#This Row],[Input]],Table13[[#This Row],[Direction]],""),VALUE(IF(LEN(_xlpm.steps)&gt;2,LEFT(_xlpm.steps,LEN(_xlpm.steps)-2),0)))</f>
        <v>0</v>
      </c>
      <c r="E43">
        <f>_xlfn.LET(_xlpm.dir,Table13[[#This Row],[Direction]],
IF(_xlpm.dir="L",
    IF(G42-Table13[[#This Row],[Steps]]&lt;0,100+(G42-Table13[[#This Row],[Steps]]),G42-Table13[[#This Row],[Steps]]),
))</f>
        <v>0</v>
      </c>
      <c r="F43">
        <f>_xlfn.LET(_xlpm.dir,Table13[[#This Row],[Direction]],
IF(_xlpm.dir="R",
    IF(G42+Table13[[#This Row],[Steps]]&gt;99,(G42+Table13[[#This Row],[Steps]])-100,G42+Table13[[#This Row],[Steps]]),
))</f>
        <v>0</v>
      </c>
      <c r="G43">
        <f>IF(Table13[[#This Row],[New Pos L]]&lt;&gt;0,Table13[[#This Row],[New Pos L]],Table13[[#This Row],[New Pos R]])</f>
        <v>0</v>
      </c>
      <c r="H43">
        <f>IF(AND(Table13[[#This Row],[Direction]]="L",Table13[[#This Row],[Steps]]&gt;G42,G42&lt;&gt;0),1,0)</f>
        <v>0</v>
      </c>
      <c r="I43">
        <f>IF(AND(Table13[[#This Row],[Direction]]="R",(G42+Table13[[#This Row],[Steps]])&gt;100),1,0)</f>
        <v>0</v>
      </c>
      <c r="J43">
        <f>IF(Table13[[#This Row],[POS]]=0,1,0)</f>
        <v>1</v>
      </c>
      <c r="K43">
        <f>SUM(Table13[[#This Row],[prefix]],Table13[[#This Row],[Past zero L]],Table13[[#This Row],[Past Zero R]],Table13[[#This Row],[Is Zero]])</f>
        <v>1</v>
      </c>
    </row>
    <row r="44" spans="1:11" ht="16" x14ac:dyDescent="0.2">
      <c r="A44" s="1" t="s">
        <v>37</v>
      </c>
      <c r="B44" t="str">
        <f>LEFT(Table13[[#This Row],[Input]],1)</f>
        <v>L</v>
      </c>
      <c r="C44">
        <f>_xlfn.LET(_xlpm.steps,SUBSTITUTE(Table13[[#This Row],[Input]],Table13[[#This Row],[Direction]],""),VALUE(IF(LEN(_xlpm.steps)&gt;2,RIGHT(_xlpm.steps,2),_xlpm.steps)))</f>
        <v>42</v>
      </c>
      <c r="D44">
        <f>_xlfn.LET(_xlpm.steps,SUBSTITUTE(Table13[[#This Row],[Input]],Table13[[#This Row],[Direction]],""),VALUE(IF(LEN(_xlpm.steps)&gt;2,LEFT(_xlpm.steps,LEN(_xlpm.steps)-2),0)))</f>
        <v>0</v>
      </c>
      <c r="E44">
        <f>_xlfn.LET(_xlpm.dir,Table13[[#This Row],[Direction]],
IF(_xlpm.dir="L",
    IF(G43-Table13[[#This Row],[Steps]]&lt;0,100+(G43-Table13[[#This Row],[Steps]]),G43-Table13[[#This Row],[Steps]]),
))</f>
        <v>58</v>
      </c>
      <c r="F44">
        <f>_xlfn.LET(_xlpm.dir,Table13[[#This Row],[Direction]],
IF(_xlpm.dir="R",
    IF(G43+Table13[[#This Row],[Steps]]&gt;99,(G43+Table13[[#This Row],[Steps]])-100,G43+Table13[[#This Row],[Steps]]),
))</f>
        <v>0</v>
      </c>
      <c r="G44">
        <f>IF(Table13[[#This Row],[New Pos L]]&lt;&gt;0,Table13[[#This Row],[New Pos L]],Table13[[#This Row],[New Pos R]])</f>
        <v>58</v>
      </c>
      <c r="H44">
        <f>IF(AND(Table13[[#This Row],[Direction]]="L",Table13[[#This Row],[Steps]]&gt;G43,G43&lt;&gt;0),1,0)</f>
        <v>0</v>
      </c>
      <c r="I44">
        <f>IF(AND(Table13[[#This Row],[Direction]]="R",(G43+Table13[[#This Row],[Steps]])&gt;100),1,0)</f>
        <v>0</v>
      </c>
      <c r="J44">
        <f>IF(Table13[[#This Row],[POS]]=0,1,0)</f>
        <v>0</v>
      </c>
      <c r="K44">
        <f>SUM(Table13[[#This Row],[prefix]],Table13[[#This Row],[Past zero L]],Table13[[#This Row],[Past Zero R]],Table13[[#This Row],[Is Zero]])</f>
        <v>0</v>
      </c>
    </row>
    <row r="45" spans="1:11" ht="16" x14ac:dyDescent="0.2">
      <c r="A45" s="1" t="s">
        <v>16</v>
      </c>
      <c r="B45" t="str">
        <f>LEFT(Table13[[#This Row],[Input]],1)</f>
        <v>L</v>
      </c>
      <c r="C45">
        <f>_xlfn.LET(_xlpm.steps,SUBSTITUTE(Table13[[#This Row],[Input]],Table13[[#This Row],[Direction]],""),VALUE(IF(LEN(_xlpm.steps)&gt;2,RIGHT(_xlpm.steps,2),_xlpm.steps)))</f>
        <v>10</v>
      </c>
      <c r="D45">
        <f>_xlfn.LET(_xlpm.steps,SUBSTITUTE(Table13[[#This Row],[Input]],Table13[[#This Row],[Direction]],""),VALUE(IF(LEN(_xlpm.steps)&gt;2,LEFT(_xlpm.steps,LEN(_xlpm.steps)-2),0)))</f>
        <v>0</v>
      </c>
      <c r="E45">
        <f>_xlfn.LET(_xlpm.dir,Table13[[#This Row],[Direction]],
IF(_xlpm.dir="L",
    IF(G44-Table13[[#This Row],[Steps]]&lt;0,100+(G44-Table13[[#This Row],[Steps]]),G44-Table13[[#This Row],[Steps]]),
))</f>
        <v>48</v>
      </c>
      <c r="F45">
        <f>_xlfn.LET(_xlpm.dir,Table13[[#This Row],[Direction]],
IF(_xlpm.dir="R",
    IF(G44+Table13[[#This Row],[Steps]]&gt;99,(G44+Table13[[#This Row],[Steps]])-100,G44+Table13[[#This Row],[Steps]]),
))</f>
        <v>0</v>
      </c>
      <c r="G45">
        <f>IF(Table13[[#This Row],[New Pos L]]&lt;&gt;0,Table13[[#This Row],[New Pos L]],Table13[[#This Row],[New Pos R]])</f>
        <v>48</v>
      </c>
      <c r="H45">
        <f>IF(AND(Table13[[#This Row],[Direction]]="L",Table13[[#This Row],[Steps]]&gt;G44,G44&lt;&gt;0),1,0)</f>
        <v>0</v>
      </c>
      <c r="I45">
        <f>IF(AND(Table13[[#This Row],[Direction]]="R",(G44+Table13[[#This Row],[Steps]])&gt;100),1,0)</f>
        <v>0</v>
      </c>
      <c r="J45">
        <f>IF(Table13[[#This Row],[POS]]=0,1,0)</f>
        <v>0</v>
      </c>
      <c r="K45">
        <f>SUM(Table13[[#This Row],[prefix]],Table13[[#This Row],[Past zero L]],Table13[[#This Row],[Past Zero R]],Table13[[#This Row],[Is Zero]])</f>
        <v>0</v>
      </c>
    </row>
    <row r="46" spans="1:11" ht="16" x14ac:dyDescent="0.2">
      <c r="A46" s="1" t="s">
        <v>27</v>
      </c>
      <c r="B46" t="str">
        <f>LEFT(Table13[[#This Row],[Input]],1)</f>
        <v>L</v>
      </c>
      <c r="C46">
        <f>_xlfn.LET(_xlpm.steps,SUBSTITUTE(Table13[[#This Row],[Input]],Table13[[#This Row],[Direction]],""),VALUE(IF(LEN(_xlpm.steps)&gt;2,RIGHT(_xlpm.steps,2),_xlpm.steps)))</f>
        <v>14</v>
      </c>
      <c r="D46">
        <f>_xlfn.LET(_xlpm.steps,SUBSTITUTE(Table13[[#This Row],[Input]],Table13[[#This Row],[Direction]],""),VALUE(IF(LEN(_xlpm.steps)&gt;2,LEFT(_xlpm.steps,LEN(_xlpm.steps)-2),0)))</f>
        <v>0</v>
      </c>
      <c r="E46">
        <f>_xlfn.LET(_xlpm.dir,Table13[[#This Row],[Direction]],
IF(_xlpm.dir="L",
    IF(G45-Table13[[#This Row],[Steps]]&lt;0,100+(G45-Table13[[#This Row],[Steps]]),G45-Table13[[#This Row],[Steps]]),
))</f>
        <v>34</v>
      </c>
      <c r="F46">
        <f>_xlfn.LET(_xlpm.dir,Table13[[#This Row],[Direction]],
IF(_xlpm.dir="R",
    IF(G45+Table13[[#This Row],[Steps]]&gt;99,(G45+Table13[[#This Row],[Steps]])-100,G45+Table13[[#This Row],[Steps]]),
))</f>
        <v>0</v>
      </c>
      <c r="G46">
        <f>IF(Table13[[#This Row],[New Pos L]]&lt;&gt;0,Table13[[#This Row],[New Pos L]],Table13[[#This Row],[New Pos R]])</f>
        <v>34</v>
      </c>
      <c r="H46">
        <f>IF(AND(Table13[[#This Row],[Direction]]="L",Table13[[#This Row],[Steps]]&gt;G45,G45&lt;&gt;0),1,0)</f>
        <v>0</v>
      </c>
      <c r="I46">
        <f>IF(AND(Table13[[#This Row],[Direction]]="R",(G45+Table13[[#This Row],[Steps]])&gt;100),1,0)</f>
        <v>0</v>
      </c>
      <c r="J46">
        <f>IF(Table13[[#This Row],[POS]]=0,1,0)</f>
        <v>0</v>
      </c>
      <c r="K46">
        <f>SUM(Table13[[#This Row],[prefix]],Table13[[#This Row],[Past zero L]],Table13[[#This Row],[Past Zero R]],Table13[[#This Row],[Is Zero]])</f>
        <v>0</v>
      </c>
    </row>
    <row r="47" spans="1:11" ht="16" x14ac:dyDescent="0.2">
      <c r="A47" s="1" t="s">
        <v>38</v>
      </c>
      <c r="B47" t="str">
        <f>LEFT(Table13[[#This Row],[Input]],1)</f>
        <v>R</v>
      </c>
      <c r="C47">
        <f>_xlfn.LET(_xlpm.steps,SUBSTITUTE(Table13[[#This Row],[Input]],Table13[[#This Row],[Direction]],""),VALUE(IF(LEN(_xlpm.steps)&gt;2,RIGHT(_xlpm.steps,2),_xlpm.steps)))</f>
        <v>15</v>
      </c>
      <c r="D47">
        <f>_xlfn.LET(_xlpm.steps,SUBSTITUTE(Table13[[#This Row],[Input]],Table13[[#This Row],[Direction]],""),VALUE(IF(LEN(_xlpm.steps)&gt;2,LEFT(_xlpm.steps,LEN(_xlpm.steps)-2),0)))</f>
        <v>0</v>
      </c>
      <c r="E47">
        <f>_xlfn.LET(_xlpm.dir,Table13[[#This Row],[Direction]],
IF(_xlpm.dir="L",
    IF(G46-Table13[[#This Row],[Steps]]&lt;0,100+(G46-Table13[[#This Row],[Steps]]),G46-Table13[[#This Row],[Steps]]),
))</f>
        <v>0</v>
      </c>
      <c r="F47">
        <f>_xlfn.LET(_xlpm.dir,Table13[[#This Row],[Direction]],
IF(_xlpm.dir="R",
    IF(G46+Table13[[#This Row],[Steps]]&gt;99,(G46+Table13[[#This Row],[Steps]])-100,G46+Table13[[#This Row],[Steps]]),
))</f>
        <v>49</v>
      </c>
      <c r="G47">
        <f>IF(Table13[[#This Row],[New Pos L]]&lt;&gt;0,Table13[[#This Row],[New Pos L]],Table13[[#This Row],[New Pos R]])</f>
        <v>49</v>
      </c>
      <c r="H47">
        <f>IF(AND(Table13[[#This Row],[Direction]]="L",Table13[[#This Row],[Steps]]&gt;G46,G46&lt;&gt;0),1,0)</f>
        <v>0</v>
      </c>
      <c r="I47">
        <f>IF(AND(Table13[[#This Row],[Direction]]="R",(G46+Table13[[#This Row],[Steps]])&gt;100),1,0)</f>
        <v>0</v>
      </c>
      <c r="J47">
        <f>IF(Table13[[#This Row],[POS]]=0,1,0)</f>
        <v>0</v>
      </c>
      <c r="K47">
        <f>SUM(Table13[[#This Row],[prefix]],Table13[[#This Row],[Past zero L]],Table13[[#This Row],[Past Zero R]],Table13[[#This Row],[Is Zero]])</f>
        <v>0</v>
      </c>
    </row>
    <row r="48" spans="1:11" ht="16" x14ac:dyDescent="0.2">
      <c r="A48" s="1" t="s">
        <v>39</v>
      </c>
      <c r="B48" t="str">
        <f>LEFT(Table13[[#This Row],[Input]],1)</f>
        <v>R</v>
      </c>
      <c r="C48">
        <f>_xlfn.LET(_xlpm.steps,SUBSTITUTE(Table13[[#This Row],[Input]],Table13[[#This Row],[Direction]],""),VALUE(IF(LEN(_xlpm.steps)&gt;2,RIGHT(_xlpm.steps,2),_xlpm.steps)))</f>
        <v>32</v>
      </c>
      <c r="D48">
        <f>_xlfn.LET(_xlpm.steps,SUBSTITUTE(Table13[[#This Row],[Input]],Table13[[#This Row],[Direction]],""),VALUE(IF(LEN(_xlpm.steps)&gt;2,LEFT(_xlpm.steps,LEN(_xlpm.steps)-2),0)))</f>
        <v>0</v>
      </c>
      <c r="E48">
        <f>_xlfn.LET(_xlpm.dir,Table13[[#This Row],[Direction]],
IF(_xlpm.dir="L",
    IF(G47-Table13[[#This Row],[Steps]]&lt;0,100+(G47-Table13[[#This Row],[Steps]]),G47-Table13[[#This Row],[Steps]]),
))</f>
        <v>0</v>
      </c>
      <c r="F48">
        <f>_xlfn.LET(_xlpm.dir,Table13[[#This Row],[Direction]],
IF(_xlpm.dir="R",
    IF(G47+Table13[[#This Row],[Steps]]&gt;99,(G47+Table13[[#This Row],[Steps]])-100,G47+Table13[[#This Row],[Steps]]),
))</f>
        <v>81</v>
      </c>
      <c r="G48">
        <f>IF(Table13[[#This Row],[New Pos L]]&lt;&gt;0,Table13[[#This Row],[New Pos L]],Table13[[#This Row],[New Pos R]])</f>
        <v>81</v>
      </c>
      <c r="H48">
        <f>IF(AND(Table13[[#This Row],[Direction]]="L",Table13[[#This Row],[Steps]]&gt;G47,G47&lt;&gt;0),1,0)</f>
        <v>0</v>
      </c>
      <c r="I48">
        <f>IF(AND(Table13[[#This Row],[Direction]]="R",(G47+Table13[[#This Row],[Steps]])&gt;100),1,0)</f>
        <v>0</v>
      </c>
      <c r="J48">
        <f>IF(Table13[[#This Row],[POS]]=0,1,0)</f>
        <v>0</v>
      </c>
      <c r="K48">
        <f>SUM(Table13[[#This Row],[prefix]],Table13[[#This Row],[Past zero L]],Table13[[#This Row],[Past Zero R]],Table13[[#This Row],[Is Zero]])</f>
        <v>0</v>
      </c>
    </row>
    <row r="49" spans="1:11" ht="16" x14ac:dyDescent="0.2">
      <c r="A49" s="1" t="s">
        <v>31</v>
      </c>
      <c r="B49" t="str">
        <f>LEFT(Table13[[#This Row],[Input]],1)</f>
        <v>L</v>
      </c>
      <c r="C49">
        <f>_xlfn.LET(_xlpm.steps,SUBSTITUTE(Table13[[#This Row],[Input]],Table13[[#This Row],[Direction]],""),VALUE(IF(LEN(_xlpm.steps)&gt;2,RIGHT(_xlpm.steps,2),_xlpm.steps)))</f>
        <v>13</v>
      </c>
      <c r="D49">
        <f>_xlfn.LET(_xlpm.steps,SUBSTITUTE(Table13[[#This Row],[Input]],Table13[[#This Row],[Direction]],""),VALUE(IF(LEN(_xlpm.steps)&gt;2,LEFT(_xlpm.steps,LEN(_xlpm.steps)-2),0)))</f>
        <v>0</v>
      </c>
      <c r="E49">
        <f>_xlfn.LET(_xlpm.dir,Table13[[#This Row],[Direction]],
IF(_xlpm.dir="L",
    IF(G48-Table13[[#This Row],[Steps]]&lt;0,100+(G48-Table13[[#This Row],[Steps]]),G48-Table13[[#This Row],[Steps]]),
))</f>
        <v>68</v>
      </c>
      <c r="F49">
        <f>_xlfn.LET(_xlpm.dir,Table13[[#This Row],[Direction]],
IF(_xlpm.dir="R",
    IF(G48+Table13[[#This Row],[Steps]]&gt;99,(G48+Table13[[#This Row],[Steps]])-100,G48+Table13[[#This Row],[Steps]]),
))</f>
        <v>0</v>
      </c>
      <c r="G49">
        <f>IF(Table13[[#This Row],[New Pos L]]&lt;&gt;0,Table13[[#This Row],[New Pos L]],Table13[[#This Row],[New Pos R]])</f>
        <v>68</v>
      </c>
      <c r="H49">
        <f>IF(AND(Table13[[#This Row],[Direction]]="L",Table13[[#This Row],[Steps]]&gt;G48,G48&lt;&gt;0),1,0)</f>
        <v>0</v>
      </c>
      <c r="I49">
        <f>IF(AND(Table13[[#This Row],[Direction]]="R",(G48+Table13[[#This Row],[Steps]])&gt;100),1,0)</f>
        <v>0</v>
      </c>
      <c r="J49">
        <f>IF(Table13[[#This Row],[POS]]=0,1,0)</f>
        <v>0</v>
      </c>
      <c r="K49">
        <f>SUM(Table13[[#This Row],[prefix]],Table13[[#This Row],[Past zero L]],Table13[[#This Row],[Past Zero R]],Table13[[#This Row],[Is Zero]])</f>
        <v>0</v>
      </c>
    </row>
    <row r="50" spans="1:11" ht="16" x14ac:dyDescent="0.2">
      <c r="A50" s="1" t="s">
        <v>13</v>
      </c>
      <c r="B50" t="str">
        <f>LEFT(Table13[[#This Row],[Input]],1)</f>
        <v>R</v>
      </c>
      <c r="C50">
        <f>_xlfn.LET(_xlpm.steps,SUBSTITUTE(Table13[[#This Row],[Input]],Table13[[#This Row],[Direction]],""),VALUE(IF(LEN(_xlpm.steps)&gt;2,RIGHT(_xlpm.steps,2),_xlpm.steps)))</f>
        <v>12</v>
      </c>
      <c r="D50">
        <f>_xlfn.LET(_xlpm.steps,SUBSTITUTE(Table13[[#This Row],[Input]],Table13[[#This Row],[Direction]],""),VALUE(IF(LEN(_xlpm.steps)&gt;2,LEFT(_xlpm.steps,LEN(_xlpm.steps)-2),0)))</f>
        <v>0</v>
      </c>
      <c r="E50">
        <f>_xlfn.LET(_xlpm.dir,Table13[[#This Row],[Direction]],
IF(_xlpm.dir="L",
    IF(G49-Table13[[#This Row],[Steps]]&lt;0,100+(G49-Table13[[#This Row],[Steps]]),G49-Table13[[#This Row],[Steps]]),
))</f>
        <v>0</v>
      </c>
      <c r="F50">
        <f>_xlfn.LET(_xlpm.dir,Table13[[#This Row],[Direction]],
IF(_xlpm.dir="R",
    IF(G49+Table13[[#This Row],[Steps]]&gt;99,(G49+Table13[[#This Row],[Steps]])-100,G49+Table13[[#This Row],[Steps]]),
))</f>
        <v>80</v>
      </c>
      <c r="G50">
        <f>IF(Table13[[#This Row],[New Pos L]]&lt;&gt;0,Table13[[#This Row],[New Pos L]],Table13[[#This Row],[New Pos R]])</f>
        <v>80</v>
      </c>
      <c r="H50">
        <f>IF(AND(Table13[[#This Row],[Direction]]="L",Table13[[#This Row],[Steps]]&gt;G49,G49&lt;&gt;0),1,0)</f>
        <v>0</v>
      </c>
      <c r="I50">
        <f>IF(AND(Table13[[#This Row],[Direction]]="R",(G49+Table13[[#This Row],[Steps]])&gt;100),1,0)</f>
        <v>0</v>
      </c>
      <c r="J50">
        <f>IF(Table13[[#This Row],[POS]]=0,1,0)</f>
        <v>0</v>
      </c>
      <c r="K50">
        <f>SUM(Table13[[#This Row],[prefix]],Table13[[#This Row],[Past zero L]],Table13[[#This Row],[Past Zero R]],Table13[[#This Row],[Is Zero]])</f>
        <v>0</v>
      </c>
    </row>
    <row r="51" spans="1:11" ht="16" x14ac:dyDescent="0.2">
      <c r="A51" s="1" t="s">
        <v>20</v>
      </c>
      <c r="B51" t="str">
        <f>LEFT(Table13[[#This Row],[Input]],1)</f>
        <v>R</v>
      </c>
      <c r="C51">
        <f>_xlfn.LET(_xlpm.steps,SUBSTITUTE(Table13[[#This Row],[Input]],Table13[[#This Row],[Direction]],""),VALUE(IF(LEN(_xlpm.steps)&gt;2,RIGHT(_xlpm.steps,2),_xlpm.steps)))</f>
        <v>46</v>
      </c>
      <c r="D51">
        <f>_xlfn.LET(_xlpm.steps,SUBSTITUTE(Table13[[#This Row],[Input]],Table13[[#This Row],[Direction]],""),VALUE(IF(LEN(_xlpm.steps)&gt;2,LEFT(_xlpm.steps,LEN(_xlpm.steps)-2),0)))</f>
        <v>0</v>
      </c>
      <c r="E51">
        <f>_xlfn.LET(_xlpm.dir,Table13[[#This Row],[Direction]],
IF(_xlpm.dir="L",
    IF(G50-Table13[[#This Row],[Steps]]&lt;0,100+(G50-Table13[[#This Row],[Steps]]),G50-Table13[[#This Row],[Steps]]),
))</f>
        <v>0</v>
      </c>
      <c r="F51">
        <f>_xlfn.LET(_xlpm.dir,Table13[[#This Row],[Direction]],
IF(_xlpm.dir="R",
    IF(G50+Table13[[#This Row],[Steps]]&gt;99,(G50+Table13[[#This Row],[Steps]])-100,G50+Table13[[#This Row],[Steps]]),
))</f>
        <v>26</v>
      </c>
      <c r="G51">
        <f>IF(Table13[[#This Row],[New Pos L]]&lt;&gt;0,Table13[[#This Row],[New Pos L]],Table13[[#This Row],[New Pos R]])</f>
        <v>26</v>
      </c>
      <c r="H51">
        <f>IF(AND(Table13[[#This Row],[Direction]]="L",Table13[[#This Row],[Steps]]&gt;G50,G50&lt;&gt;0),1,0)</f>
        <v>0</v>
      </c>
      <c r="I51">
        <f>IF(AND(Table13[[#This Row],[Direction]]="R",(G50+Table13[[#This Row],[Steps]])&gt;100),1,0)</f>
        <v>1</v>
      </c>
      <c r="J51">
        <f>IF(Table13[[#This Row],[POS]]=0,1,0)</f>
        <v>0</v>
      </c>
      <c r="K51">
        <f>SUM(Table13[[#This Row],[prefix]],Table13[[#This Row],[Past zero L]],Table13[[#This Row],[Past Zero R]],Table13[[#This Row],[Is Zero]])</f>
        <v>1</v>
      </c>
    </row>
    <row r="52" spans="1:11" ht="16" x14ac:dyDescent="0.2">
      <c r="A52" s="1" t="s">
        <v>40</v>
      </c>
      <c r="B52" t="str">
        <f>LEFT(Table13[[#This Row],[Input]],1)</f>
        <v>R</v>
      </c>
      <c r="C52">
        <f>_xlfn.LET(_xlpm.steps,SUBSTITUTE(Table13[[#This Row],[Input]],Table13[[#This Row],[Direction]],""),VALUE(IF(LEN(_xlpm.steps)&gt;2,RIGHT(_xlpm.steps,2),_xlpm.steps)))</f>
        <v>52</v>
      </c>
      <c r="D52">
        <f>_xlfn.LET(_xlpm.steps,SUBSTITUTE(Table13[[#This Row],[Input]],Table13[[#This Row],[Direction]],""),VALUE(IF(LEN(_xlpm.steps)&gt;2,LEFT(_xlpm.steps,LEN(_xlpm.steps)-2),0)))</f>
        <v>0</v>
      </c>
      <c r="E52">
        <f>_xlfn.LET(_xlpm.dir,Table13[[#This Row],[Direction]],
IF(_xlpm.dir="L",
    IF(G51-Table13[[#This Row],[Steps]]&lt;0,100+(G51-Table13[[#This Row],[Steps]]),G51-Table13[[#This Row],[Steps]]),
))</f>
        <v>0</v>
      </c>
      <c r="F52">
        <f>_xlfn.LET(_xlpm.dir,Table13[[#This Row],[Direction]],
IF(_xlpm.dir="R",
    IF(G51+Table13[[#This Row],[Steps]]&gt;99,(G51+Table13[[#This Row],[Steps]])-100,G51+Table13[[#This Row],[Steps]]),
))</f>
        <v>78</v>
      </c>
      <c r="G52">
        <f>IF(Table13[[#This Row],[New Pos L]]&lt;&gt;0,Table13[[#This Row],[New Pos L]],Table13[[#This Row],[New Pos R]])</f>
        <v>78</v>
      </c>
      <c r="H52">
        <f>IF(AND(Table13[[#This Row],[Direction]]="L",Table13[[#This Row],[Steps]]&gt;G51,G51&lt;&gt;0),1,0)</f>
        <v>0</v>
      </c>
      <c r="I52">
        <f>IF(AND(Table13[[#This Row],[Direction]]="R",(G51+Table13[[#This Row],[Steps]])&gt;100),1,0)</f>
        <v>0</v>
      </c>
      <c r="J52">
        <f>IF(Table13[[#This Row],[POS]]=0,1,0)</f>
        <v>0</v>
      </c>
      <c r="K52">
        <f>SUM(Table13[[#This Row],[prefix]],Table13[[#This Row],[Past zero L]],Table13[[#This Row],[Past Zero R]],Table13[[#This Row],[Is Zero]])</f>
        <v>0</v>
      </c>
    </row>
    <row r="53" spans="1:11" ht="16" x14ac:dyDescent="0.2">
      <c r="A53" s="1" t="s">
        <v>41</v>
      </c>
      <c r="B53" t="str">
        <f>LEFT(Table13[[#This Row],[Input]],1)</f>
        <v>L</v>
      </c>
      <c r="C53">
        <f>_xlfn.LET(_xlpm.steps,SUBSTITUTE(Table13[[#This Row],[Input]],Table13[[#This Row],[Direction]],""),VALUE(IF(LEN(_xlpm.steps)&gt;2,RIGHT(_xlpm.steps,2),_xlpm.steps)))</f>
        <v>7</v>
      </c>
      <c r="D53">
        <f>_xlfn.LET(_xlpm.steps,SUBSTITUTE(Table13[[#This Row],[Input]],Table13[[#This Row],[Direction]],""),VALUE(IF(LEN(_xlpm.steps)&gt;2,LEFT(_xlpm.steps,LEN(_xlpm.steps)-2),0)))</f>
        <v>0</v>
      </c>
      <c r="E53">
        <f>_xlfn.LET(_xlpm.dir,Table13[[#This Row],[Direction]],
IF(_xlpm.dir="L",
    IF(G52-Table13[[#This Row],[Steps]]&lt;0,100+(G52-Table13[[#This Row],[Steps]]),G52-Table13[[#This Row],[Steps]]),
))</f>
        <v>71</v>
      </c>
      <c r="F53">
        <f>_xlfn.LET(_xlpm.dir,Table13[[#This Row],[Direction]],
IF(_xlpm.dir="R",
    IF(G52+Table13[[#This Row],[Steps]]&gt;99,(G52+Table13[[#This Row],[Steps]])-100,G52+Table13[[#This Row],[Steps]]),
))</f>
        <v>0</v>
      </c>
      <c r="G53">
        <f>IF(Table13[[#This Row],[New Pos L]]&lt;&gt;0,Table13[[#This Row],[New Pos L]],Table13[[#This Row],[New Pos R]])</f>
        <v>71</v>
      </c>
      <c r="H53">
        <f>IF(AND(Table13[[#This Row],[Direction]]="L",Table13[[#This Row],[Steps]]&gt;G52,G52&lt;&gt;0),1,0)</f>
        <v>0</v>
      </c>
      <c r="I53">
        <f>IF(AND(Table13[[#This Row],[Direction]]="R",(G52+Table13[[#This Row],[Steps]])&gt;100),1,0)</f>
        <v>0</v>
      </c>
      <c r="J53">
        <f>IF(Table13[[#This Row],[POS]]=0,1,0)</f>
        <v>0</v>
      </c>
      <c r="K53">
        <f>SUM(Table13[[#This Row],[prefix]],Table13[[#This Row],[Past zero L]],Table13[[#This Row],[Past Zero R]],Table13[[#This Row],[Is Zero]])</f>
        <v>0</v>
      </c>
    </row>
    <row r="54" spans="1:11" ht="16" x14ac:dyDescent="0.2">
      <c r="A54" s="1" t="s">
        <v>11</v>
      </c>
      <c r="B54" t="str">
        <f>LEFT(Table13[[#This Row],[Input]],1)</f>
        <v>L</v>
      </c>
      <c r="C54">
        <f>_xlfn.LET(_xlpm.steps,SUBSTITUTE(Table13[[#This Row],[Input]],Table13[[#This Row],[Direction]],""),VALUE(IF(LEN(_xlpm.steps)&gt;2,RIGHT(_xlpm.steps,2),_xlpm.steps)))</f>
        <v>34</v>
      </c>
      <c r="D54">
        <f>_xlfn.LET(_xlpm.steps,SUBSTITUTE(Table13[[#This Row],[Input]],Table13[[#This Row],[Direction]],""),VALUE(IF(LEN(_xlpm.steps)&gt;2,LEFT(_xlpm.steps,LEN(_xlpm.steps)-2),0)))</f>
        <v>0</v>
      </c>
      <c r="E54">
        <f>_xlfn.LET(_xlpm.dir,Table13[[#This Row],[Direction]],
IF(_xlpm.dir="L",
    IF(G53-Table13[[#This Row],[Steps]]&lt;0,100+(G53-Table13[[#This Row],[Steps]]),G53-Table13[[#This Row],[Steps]]),
))</f>
        <v>37</v>
      </c>
      <c r="F54">
        <f>_xlfn.LET(_xlpm.dir,Table13[[#This Row],[Direction]],
IF(_xlpm.dir="R",
    IF(G53+Table13[[#This Row],[Steps]]&gt;99,(G53+Table13[[#This Row],[Steps]])-100,G53+Table13[[#This Row],[Steps]]),
))</f>
        <v>0</v>
      </c>
      <c r="G54">
        <f>IF(Table13[[#This Row],[New Pos L]]&lt;&gt;0,Table13[[#This Row],[New Pos L]],Table13[[#This Row],[New Pos R]])</f>
        <v>37</v>
      </c>
      <c r="H54">
        <f>IF(AND(Table13[[#This Row],[Direction]]="L",Table13[[#This Row],[Steps]]&gt;G53,G53&lt;&gt;0),1,0)</f>
        <v>0</v>
      </c>
      <c r="I54">
        <f>IF(AND(Table13[[#This Row],[Direction]]="R",(G53+Table13[[#This Row],[Steps]])&gt;100),1,0)</f>
        <v>0</v>
      </c>
      <c r="J54">
        <f>IF(Table13[[#This Row],[POS]]=0,1,0)</f>
        <v>0</v>
      </c>
      <c r="K54">
        <f>SUM(Table13[[#This Row],[prefix]],Table13[[#This Row],[Past zero L]],Table13[[#This Row],[Past Zero R]],Table13[[#This Row],[Is Zero]])</f>
        <v>0</v>
      </c>
    </row>
    <row r="55" spans="1:11" ht="16" x14ac:dyDescent="0.2">
      <c r="A55" s="1" t="s">
        <v>42</v>
      </c>
      <c r="B55" t="str">
        <f>LEFT(Table13[[#This Row],[Input]],1)</f>
        <v>L</v>
      </c>
      <c r="C55">
        <f>_xlfn.LET(_xlpm.steps,SUBSTITUTE(Table13[[#This Row],[Input]],Table13[[#This Row],[Direction]],""),VALUE(IF(LEN(_xlpm.steps)&gt;2,RIGHT(_xlpm.steps,2),_xlpm.steps)))</f>
        <v>27</v>
      </c>
      <c r="D55">
        <f>_xlfn.LET(_xlpm.steps,SUBSTITUTE(Table13[[#This Row],[Input]],Table13[[#This Row],[Direction]],""),VALUE(IF(LEN(_xlpm.steps)&gt;2,LEFT(_xlpm.steps,LEN(_xlpm.steps)-2),0)))</f>
        <v>0</v>
      </c>
      <c r="E55">
        <f>_xlfn.LET(_xlpm.dir,Table13[[#This Row],[Direction]],
IF(_xlpm.dir="L",
    IF(G54-Table13[[#This Row],[Steps]]&lt;0,100+(G54-Table13[[#This Row],[Steps]]),G54-Table13[[#This Row],[Steps]]),
))</f>
        <v>10</v>
      </c>
      <c r="F55">
        <f>_xlfn.LET(_xlpm.dir,Table13[[#This Row],[Direction]],
IF(_xlpm.dir="R",
    IF(G54+Table13[[#This Row],[Steps]]&gt;99,(G54+Table13[[#This Row],[Steps]])-100,G54+Table13[[#This Row],[Steps]]),
))</f>
        <v>0</v>
      </c>
      <c r="G55">
        <f>IF(Table13[[#This Row],[New Pos L]]&lt;&gt;0,Table13[[#This Row],[New Pos L]],Table13[[#This Row],[New Pos R]])</f>
        <v>10</v>
      </c>
      <c r="H55">
        <f>IF(AND(Table13[[#This Row],[Direction]]="L",Table13[[#This Row],[Steps]]&gt;G54,G54&lt;&gt;0),1,0)</f>
        <v>0</v>
      </c>
      <c r="I55">
        <f>IF(AND(Table13[[#This Row],[Direction]]="R",(G54+Table13[[#This Row],[Steps]])&gt;100),1,0)</f>
        <v>0</v>
      </c>
      <c r="J55">
        <f>IF(Table13[[#This Row],[POS]]=0,1,0)</f>
        <v>0</v>
      </c>
      <c r="K55">
        <f>SUM(Table13[[#This Row],[prefix]],Table13[[#This Row],[Past zero L]],Table13[[#This Row],[Past Zero R]],Table13[[#This Row],[Is Zero]])</f>
        <v>0</v>
      </c>
    </row>
    <row r="56" spans="1:11" ht="16" x14ac:dyDescent="0.2">
      <c r="A56" s="1" t="s">
        <v>43</v>
      </c>
      <c r="B56" t="str">
        <f>LEFT(Table13[[#This Row],[Input]],1)</f>
        <v>R</v>
      </c>
      <c r="C56">
        <f>_xlfn.LET(_xlpm.steps,SUBSTITUTE(Table13[[#This Row],[Input]],Table13[[#This Row],[Direction]],""),VALUE(IF(LEN(_xlpm.steps)&gt;2,RIGHT(_xlpm.steps,2),_xlpm.steps)))</f>
        <v>90</v>
      </c>
      <c r="D56">
        <f>_xlfn.LET(_xlpm.steps,SUBSTITUTE(Table13[[#This Row],[Input]],Table13[[#This Row],[Direction]],""),VALUE(IF(LEN(_xlpm.steps)&gt;2,LEFT(_xlpm.steps,LEN(_xlpm.steps)-2),0)))</f>
        <v>0</v>
      </c>
      <c r="E56">
        <f>_xlfn.LET(_xlpm.dir,Table13[[#This Row],[Direction]],
IF(_xlpm.dir="L",
    IF(G55-Table13[[#This Row],[Steps]]&lt;0,100+(G55-Table13[[#This Row],[Steps]]),G55-Table13[[#This Row],[Steps]]),
))</f>
        <v>0</v>
      </c>
      <c r="F56">
        <f>_xlfn.LET(_xlpm.dir,Table13[[#This Row],[Direction]],
IF(_xlpm.dir="R",
    IF(G55+Table13[[#This Row],[Steps]]&gt;99,(G55+Table13[[#This Row],[Steps]])-100,G55+Table13[[#This Row],[Steps]]),
))</f>
        <v>0</v>
      </c>
      <c r="G56">
        <f>IF(Table13[[#This Row],[New Pos L]]&lt;&gt;0,Table13[[#This Row],[New Pos L]],Table13[[#This Row],[New Pos R]])</f>
        <v>0</v>
      </c>
      <c r="H56">
        <f>IF(AND(Table13[[#This Row],[Direction]]="L",Table13[[#This Row],[Steps]]&gt;G55,G55&lt;&gt;0),1,0)</f>
        <v>0</v>
      </c>
      <c r="I56">
        <f>IF(AND(Table13[[#This Row],[Direction]]="R",(G55+Table13[[#This Row],[Steps]])&gt;100),1,0)</f>
        <v>0</v>
      </c>
      <c r="J56">
        <f>IF(Table13[[#This Row],[POS]]=0,1,0)</f>
        <v>1</v>
      </c>
      <c r="K56">
        <f>SUM(Table13[[#This Row],[prefix]],Table13[[#This Row],[Past zero L]],Table13[[#This Row],[Past Zero R]],Table13[[#This Row],[Is Zero]])</f>
        <v>1</v>
      </c>
    </row>
    <row r="57" spans="1:11" ht="16" x14ac:dyDescent="0.2">
      <c r="A57" s="1" t="s">
        <v>44</v>
      </c>
      <c r="B57" t="str">
        <f>LEFT(Table13[[#This Row],[Input]],1)</f>
        <v>R</v>
      </c>
      <c r="C57">
        <f>_xlfn.LET(_xlpm.steps,SUBSTITUTE(Table13[[#This Row],[Input]],Table13[[#This Row],[Direction]],""),VALUE(IF(LEN(_xlpm.steps)&gt;2,RIGHT(_xlpm.steps,2),_xlpm.steps)))</f>
        <v>96</v>
      </c>
      <c r="D57">
        <f>_xlfn.LET(_xlpm.steps,SUBSTITUTE(Table13[[#This Row],[Input]],Table13[[#This Row],[Direction]],""),VALUE(IF(LEN(_xlpm.steps)&gt;2,LEFT(_xlpm.steps,LEN(_xlpm.steps)-2),0)))</f>
        <v>0</v>
      </c>
      <c r="E57">
        <f>_xlfn.LET(_xlpm.dir,Table13[[#This Row],[Direction]],
IF(_xlpm.dir="L",
    IF(G56-Table13[[#This Row],[Steps]]&lt;0,100+(G56-Table13[[#This Row],[Steps]]),G56-Table13[[#This Row],[Steps]]),
))</f>
        <v>0</v>
      </c>
      <c r="F57">
        <f>_xlfn.LET(_xlpm.dir,Table13[[#This Row],[Direction]],
IF(_xlpm.dir="R",
    IF(G56+Table13[[#This Row],[Steps]]&gt;99,(G56+Table13[[#This Row],[Steps]])-100,G56+Table13[[#This Row],[Steps]]),
))</f>
        <v>96</v>
      </c>
      <c r="G57">
        <f>IF(Table13[[#This Row],[New Pos L]]&lt;&gt;0,Table13[[#This Row],[New Pos L]],Table13[[#This Row],[New Pos R]])</f>
        <v>96</v>
      </c>
      <c r="H57">
        <f>IF(AND(Table13[[#This Row],[Direction]]="L",Table13[[#This Row],[Steps]]&gt;G56,G56&lt;&gt;0),1,0)</f>
        <v>0</v>
      </c>
      <c r="I57">
        <f>IF(AND(Table13[[#This Row],[Direction]]="R",(G56+Table13[[#This Row],[Steps]])&gt;100),1,0)</f>
        <v>0</v>
      </c>
      <c r="J57">
        <f>IF(Table13[[#This Row],[POS]]=0,1,0)</f>
        <v>0</v>
      </c>
      <c r="K57">
        <f>SUM(Table13[[#This Row],[prefix]],Table13[[#This Row],[Past zero L]],Table13[[#This Row],[Past Zero R]],Table13[[#This Row],[Is Zero]])</f>
        <v>0</v>
      </c>
    </row>
    <row r="58" spans="1:11" ht="16" x14ac:dyDescent="0.2">
      <c r="A58" s="1" t="s">
        <v>45</v>
      </c>
      <c r="B58" t="str">
        <f>LEFT(Table13[[#This Row],[Input]],1)</f>
        <v>L</v>
      </c>
      <c r="C58">
        <f>_xlfn.LET(_xlpm.steps,SUBSTITUTE(Table13[[#This Row],[Input]],Table13[[#This Row],[Direction]],""),VALUE(IF(LEN(_xlpm.steps)&gt;2,RIGHT(_xlpm.steps,2),_xlpm.steps)))</f>
        <v>96</v>
      </c>
      <c r="D58">
        <f>_xlfn.LET(_xlpm.steps,SUBSTITUTE(Table13[[#This Row],[Input]],Table13[[#This Row],[Direction]],""),VALUE(IF(LEN(_xlpm.steps)&gt;2,LEFT(_xlpm.steps,LEN(_xlpm.steps)-2),0)))</f>
        <v>0</v>
      </c>
      <c r="E58">
        <f>_xlfn.LET(_xlpm.dir,Table13[[#This Row],[Direction]],
IF(_xlpm.dir="L",
    IF(G57-Table13[[#This Row],[Steps]]&lt;0,100+(G57-Table13[[#This Row],[Steps]]),G57-Table13[[#This Row],[Steps]]),
))</f>
        <v>0</v>
      </c>
      <c r="F58">
        <f>_xlfn.LET(_xlpm.dir,Table13[[#This Row],[Direction]],
IF(_xlpm.dir="R",
    IF(G57+Table13[[#This Row],[Steps]]&gt;99,(G57+Table13[[#This Row],[Steps]])-100,G57+Table13[[#This Row],[Steps]]),
))</f>
        <v>0</v>
      </c>
      <c r="G58">
        <f>IF(Table13[[#This Row],[New Pos L]]&lt;&gt;0,Table13[[#This Row],[New Pos L]],Table13[[#This Row],[New Pos R]])</f>
        <v>0</v>
      </c>
      <c r="H58">
        <f>IF(AND(Table13[[#This Row],[Direction]]="L",Table13[[#This Row],[Steps]]&gt;G57,G57&lt;&gt;0),1,0)</f>
        <v>0</v>
      </c>
      <c r="I58">
        <f>IF(AND(Table13[[#This Row],[Direction]]="R",(G57+Table13[[#This Row],[Steps]])&gt;100),1,0)</f>
        <v>0</v>
      </c>
      <c r="J58">
        <f>IF(Table13[[#This Row],[POS]]=0,1,0)</f>
        <v>1</v>
      </c>
      <c r="K58">
        <f>SUM(Table13[[#This Row],[prefix]],Table13[[#This Row],[Past zero L]],Table13[[#This Row],[Past Zero R]],Table13[[#This Row],[Is Zero]])</f>
        <v>1</v>
      </c>
    </row>
    <row r="59" spans="1:11" ht="16" x14ac:dyDescent="0.2">
      <c r="A59" s="1" t="s">
        <v>46</v>
      </c>
      <c r="B59" t="str">
        <f>LEFT(Table13[[#This Row],[Input]],1)</f>
        <v>L</v>
      </c>
      <c r="C59">
        <f>_xlfn.LET(_xlpm.steps,SUBSTITUTE(Table13[[#This Row],[Input]],Table13[[#This Row],[Direction]],""),VALUE(IF(LEN(_xlpm.steps)&gt;2,RIGHT(_xlpm.steps,2),_xlpm.steps)))</f>
        <v>97</v>
      </c>
      <c r="D59">
        <f>_xlfn.LET(_xlpm.steps,SUBSTITUTE(Table13[[#This Row],[Input]],Table13[[#This Row],[Direction]],""),VALUE(IF(LEN(_xlpm.steps)&gt;2,LEFT(_xlpm.steps,LEN(_xlpm.steps)-2),0)))</f>
        <v>0</v>
      </c>
      <c r="E59">
        <f>_xlfn.LET(_xlpm.dir,Table13[[#This Row],[Direction]],
IF(_xlpm.dir="L",
    IF(G58-Table13[[#This Row],[Steps]]&lt;0,100+(G58-Table13[[#This Row],[Steps]]),G58-Table13[[#This Row],[Steps]]),
))</f>
        <v>3</v>
      </c>
      <c r="F59">
        <f>_xlfn.LET(_xlpm.dir,Table13[[#This Row],[Direction]],
IF(_xlpm.dir="R",
    IF(G58+Table13[[#This Row],[Steps]]&gt;99,(G58+Table13[[#This Row],[Steps]])-100,G58+Table13[[#This Row],[Steps]]),
))</f>
        <v>0</v>
      </c>
      <c r="G59">
        <f>IF(Table13[[#This Row],[New Pos L]]&lt;&gt;0,Table13[[#This Row],[New Pos L]],Table13[[#This Row],[New Pos R]])</f>
        <v>3</v>
      </c>
      <c r="H59">
        <f>IF(AND(Table13[[#This Row],[Direction]]="L",Table13[[#This Row],[Steps]]&gt;G58,G58&lt;&gt;0),1,0)</f>
        <v>0</v>
      </c>
      <c r="I59">
        <f>IF(AND(Table13[[#This Row],[Direction]]="R",(G58+Table13[[#This Row],[Steps]])&gt;100),1,0)</f>
        <v>0</v>
      </c>
      <c r="J59">
        <f>IF(Table13[[#This Row],[POS]]=0,1,0)</f>
        <v>0</v>
      </c>
      <c r="K59">
        <f>SUM(Table13[[#This Row],[prefix]],Table13[[#This Row],[Past zero L]],Table13[[#This Row],[Past Zero R]],Table13[[#This Row],[Is Zero]])</f>
        <v>0</v>
      </c>
    </row>
    <row r="60" spans="1:11" ht="16" x14ac:dyDescent="0.2">
      <c r="A60" s="1" t="s">
        <v>47</v>
      </c>
      <c r="B60" t="str">
        <f>LEFT(Table13[[#This Row],[Input]],1)</f>
        <v>R</v>
      </c>
      <c r="C60">
        <f>_xlfn.LET(_xlpm.steps,SUBSTITUTE(Table13[[#This Row],[Input]],Table13[[#This Row],[Direction]],""),VALUE(IF(LEN(_xlpm.steps)&gt;2,RIGHT(_xlpm.steps,2),_xlpm.steps)))</f>
        <v>97</v>
      </c>
      <c r="D60">
        <f>_xlfn.LET(_xlpm.steps,SUBSTITUTE(Table13[[#This Row],[Input]],Table13[[#This Row],[Direction]],""),VALUE(IF(LEN(_xlpm.steps)&gt;2,LEFT(_xlpm.steps,LEN(_xlpm.steps)-2),0)))</f>
        <v>0</v>
      </c>
      <c r="E60">
        <f>_xlfn.LET(_xlpm.dir,Table13[[#This Row],[Direction]],
IF(_xlpm.dir="L",
    IF(G59-Table13[[#This Row],[Steps]]&lt;0,100+(G59-Table13[[#This Row],[Steps]]),G59-Table13[[#This Row],[Steps]]),
))</f>
        <v>0</v>
      </c>
      <c r="F60">
        <f>_xlfn.LET(_xlpm.dir,Table13[[#This Row],[Direction]],
IF(_xlpm.dir="R",
    IF(G59+Table13[[#This Row],[Steps]]&gt;99,(G59+Table13[[#This Row],[Steps]])-100,G59+Table13[[#This Row],[Steps]]),
))</f>
        <v>0</v>
      </c>
      <c r="G60">
        <f>IF(Table13[[#This Row],[New Pos L]]&lt;&gt;0,Table13[[#This Row],[New Pos L]],Table13[[#This Row],[New Pos R]])</f>
        <v>0</v>
      </c>
      <c r="H60">
        <f>IF(AND(Table13[[#This Row],[Direction]]="L",Table13[[#This Row],[Steps]]&gt;G59,G59&lt;&gt;0),1,0)</f>
        <v>0</v>
      </c>
      <c r="I60">
        <f>IF(AND(Table13[[#This Row],[Direction]]="R",(G59+Table13[[#This Row],[Steps]])&gt;100),1,0)</f>
        <v>0</v>
      </c>
      <c r="J60">
        <f>IF(Table13[[#This Row],[POS]]=0,1,0)</f>
        <v>1</v>
      </c>
      <c r="K60">
        <f>SUM(Table13[[#This Row],[prefix]],Table13[[#This Row],[Past zero L]],Table13[[#This Row],[Past Zero R]],Table13[[#This Row],[Is Zero]])</f>
        <v>1</v>
      </c>
    </row>
    <row r="61" spans="1:11" ht="16" x14ac:dyDescent="0.2">
      <c r="A61" s="1" t="s">
        <v>30</v>
      </c>
      <c r="B61" t="str">
        <f>LEFT(Table13[[#This Row],[Input]],1)</f>
        <v>R</v>
      </c>
      <c r="C61">
        <f>_xlfn.LET(_xlpm.steps,SUBSTITUTE(Table13[[#This Row],[Input]],Table13[[#This Row],[Direction]],""),VALUE(IF(LEN(_xlpm.steps)&gt;2,RIGHT(_xlpm.steps,2),_xlpm.steps)))</f>
        <v>48</v>
      </c>
      <c r="D61">
        <f>_xlfn.LET(_xlpm.steps,SUBSTITUTE(Table13[[#This Row],[Input]],Table13[[#This Row],[Direction]],""),VALUE(IF(LEN(_xlpm.steps)&gt;2,LEFT(_xlpm.steps,LEN(_xlpm.steps)-2),0)))</f>
        <v>0</v>
      </c>
      <c r="E61">
        <f>_xlfn.LET(_xlpm.dir,Table13[[#This Row],[Direction]],
IF(_xlpm.dir="L",
    IF(G60-Table13[[#This Row],[Steps]]&lt;0,100+(G60-Table13[[#This Row],[Steps]]),G60-Table13[[#This Row],[Steps]]),
))</f>
        <v>0</v>
      </c>
      <c r="F61">
        <f>_xlfn.LET(_xlpm.dir,Table13[[#This Row],[Direction]],
IF(_xlpm.dir="R",
    IF(G60+Table13[[#This Row],[Steps]]&gt;99,(G60+Table13[[#This Row],[Steps]])-100,G60+Table13[[#This Row],[Steps]]),
))</f>
        <v>48</v>
      </c>
      <c r="G61">
        <f>IF(Table13[[#This Row],[New Pos L]]&lt;&gt;0,Table13[[#This Row],[New Pos L]],Table13[[#This Row],[New Pos R]])</f>
        <v>48</v>
      </c>
      <c r="H61">
        <f>IF(AND(Table13[[#This Row],[Direction]]="L",Table13[[#This Row],[Steps]]&gt;G60,G60&lt;&gt;0),1,0)</f>
        <v>0</v>
      </c>
      <c r="I61">
        <f>IF(AND(Table13[[#This Row],[Direction]]="R",(G60+Table13[[#This Row],[Steps]])&gt;100),1,0)</f>
        <v>0</v>
      </c>
      <c r="J61">
        <f>IF(Table13[[#This Row],[POS]]=0,1,0)</f>
        <v>0</v>
      </c>
      <c r="K61">
        <f>SUM(Table13[[#This Row],[prefix]],Table13[[#This Row],[Past zero L]],Table13[[#This Row],[Past Zero R]],Table13[[#This Row],[Is Zero]])</f>
        <v>0</v>
      </c>
    </row>
    <row r="62" spans="1:11" ht="16" x14ac:dyDescent="0.2">
      <c r="A62" s="1" t="s">
        <v>48</v>
      </c>
      <c r="B62" t="str">
        <f>LEFT(Table13[[#This Row],[Input]],1)</f>
        <v>R</v>
      </c>
      <c r="C62">
        <f>_xlfn.LET(_xlpm.steps,SUBSTITUTE(Table13[[#This Row],[Input]],Table13[[#This Row],[Direction]],""),VALUE(IF(LEN(_xlpm.steps)&gt;2,RIGHT(_xlpm.steps,2),_xlpm.steps)))</f>
        <v>81</v>
      </c>
      <c r="D62">
        <f>_xlfn.LET(_xlpm.steps,SUBSTITUTE(Table13[[#This Row],[Input]],Table13[[#This Row],[Direction]],""),VALUE(IF(LEN(_xlpm.steps)&gt;2,LEFT(_xlpm.steps,LEN(_xlpm.steps)-2),0)))</f>
        <v>0</v>
      </c>
      <c r="E62">
        <f>_xlfn.LET(_xlpm.dir,Table13[[#This Row],[Direction]],
IF(_xlpm.dir="L",
    IF(G61-Table13[[#This Row],[Steps]]&lt;0,100+(G61-Table13[[#This Row],[Steps]]),G61-Table13[[#This Row],[Steps]]),
))</f>
        <v>0</v>
      </c>
      <c r="F62">
        <f>_xlfn.LET(_xlpm.dir,Table13[[#This Row],[Direction]],
IF(_xlpm.dir="R",
    IF(G61+Table13[[#This Row],[Steps]]&gt;99,(G61+Table13[[#This Row],[Steps]])-100,G61+Table13[[#This Row],[Steps]]),
))</f>
        <v>29</v>
      </c>
      <c r="G62">
        <f>IF(Table13[[#This Row],[New Pos L]]&lt;&gt;0,Table13[[#This Row],[New Pos L]],Table13[[#This Row],[New Pos R]])</f>
        <v>29</v>
      </c>
      <c r="H62">
        <f>IF(AND(Table13[[#This Row],[Direction]]="L",Table13[[#This Row],[Steps]]&gt;G61,G61&lt;&gt;0),1,0)</f>
        <v>0</v>
      </c>
      <c r="I62">
        <f>IF(AND(Table13[[#This Row],[Direction]]="R",(G61+Table13[[#This Row],[Steps]])&gt;100),1,0)</f>
        <v>1</v>
      </c>
      <c r="J62">
        <f>IF(Table13[[#This Row],[POS]]=0,1,0)</f>
        <v>0</v>
      </c>
      <c r="K62">
        <f>SUM(Table13[[#This Row],[prefix]],Table13[[#This Row],[Past zero L]],Table13[[#This Row],[Past Zero R]],Table13[[#This Row],[Is Zero]])</f>
        <v>1</v>
      </c>
    </row>
    <row r="63" spans="1:11" ht="16" x14ac:dyDescent="0.2">
      <c r="A63" s="1" t="s">
        <v>49</v>
      </c>
      <c r="B63" t="str">
        <f>LEFT(Table13[[#This Row],[Input]],1)</f>
        <v>L</v>
      </c>
      <c r="C63">
        <f>_xlfn.LET(_xlpm.steps,SUBSTITUTE(Table13[[#This Row],[Input]],Table13[[#This Row],[Direction]],""),VALUE(IF(LEN(_xlpm.steps)&gt;2,RIGHT(_xlpm.steps,2),_xlpm.steps)))</f>
        <v>93</v>
      </c>
      <c r="D63">
        <f>_xlfn.LET(_xlpm.steps,SUBSTITUTE(Table13[[#This Row],[Input]],Table13[[#This Row],[Direction]],""),VALUE(IF(LEN(_xlpm.steps)&gt;2,LEFT(_xlpm.steps,LEN(_xlpm.steps)-2),0)))</f>
        <v>0</v>
      </c>
      <c r="E63">
        <f>_xlfn.LET(_xlpm.dir,Table13[[#This Row],[Direction]],
IF(_xlpm.dir="L",
    IF(G62-Table13[[#This Row],[Steps]]&lt;0,100+(G62-Table13[[#This Row],[Steps]]),G62-Table13[[#This Row],[Steps]]),
))</f>
        <v>36</v>
      </c>
      <c r="F63">
        <f>_xlfn.LET(_xlpm.dir,Table13[[#This Row],[Direction]],
IF(_xlpm.dir="R",
    IF(G62+Table13[[#This Row],[Steps]]&gt;99,(G62+Table13[[#This Row],[Steps]])-100,G62+Table13[[#This Row],[Steps]]),
))</f>
        <v>0</v>
      </c>
      <c r="G63">
        <f>IF(Table13[[#This Row],[New Pos L]]&lt;&gt;0,Table13[[#This Row],[New Pos L]],Table13[[#This Row],[New Pos R]])</f>
        <v>36</v>
      </c>
      <c r="H63">
        <f>IF(AND(Table13[[#This Row],[Direction]]="L",Table13[[#This Row],[Steps]]&gt;G62,G62&lt;&gt;0),1,0)</f>
        <v>1</v>
      </c>
      <c r="I63">
        <f>IF(AND(Table13[[#This Row],[Direction]]="R",(G62+Table13[[#This Row],[Steps]])&gt;100),1,0)</f>
        <v>0</v>
      </c>
      <c r="J63">
        <f>IF(Table13[[#This Row],[POS]]=0,1,0)</f>
        <v>0</v>
      </c>
      <c r="K63">
        <f>SUM(Table13[[#This Row],[prefix]],Table13[[#This Row],[Past zero L]],Table13[[#This Row],[Past Zero R]],Table13[[#This Row],[Is Zero]])</f>
        <v>1</v>
      </c>
    </row>
    <row r="64" spans="1:11" ht="16" x14ac:dyDescent="0.2">
      <c r="A64" s="1" t="s">
        <v>50</v>
      </c>
      <c r="B64" t="str">
        <f>LEFT(Table13[[#This Row],[Input]],1)</f>
        <v>R</v>
      </c>
      <c r="C64">
        <f>_xlfn.LET(_xlpm.steps,SUBSTITUTE(Table13[[#This Row],[Input]],Table13[[#This Row],[Direction]],""),VALUE(IF(LEN(_xlpm.steps)&gt;2,RIGHT(_xlpm.steps,2),_xlpm.steps)))</f>
        <v>78</v>
      </c>
      <c r="D64">
        <f>_xlfn.LET(_xlpm.steps,SUBSTITUTE(Table13[[#This Row],[Input]],Table13[[#This Row],[Direction]],""),VALUE(IF(LEN(_xlpm.steps)&gt;2,LEFT(_xlpm.steps,LEN(_xlpm.steps)-2),0)))</f>
        <v>0</v>
      </c>
      <c r="E64">
        <f>_xlfn.LET(_xlpm.dir,Table13[[#This Row],[Direction]],
IF(_xlpm.dir="L",
    IF(G63-Table13[[#This Row],[Steps]]&lt;0,100+(G63-Table13[[#This Row],[Steps]]),G63-Table13[[#This Row],[Steps]]),
))</f>
        <v>0</v>
      </c>
      <c r="F64">
        <f>_xlfn.LET(_xlpm.dir,Table13[[#This Row],[Direction]],
IF(_xlpm.dir="R",
    IF(G63+Table13[[#This Row],[Steps]]&gt;99,(G63+Table13[[#This Row],[Steps]])-100,G63+Table13[[#This Row],[Steps]]),
))</f>
        <v>14</v>
      </c>
      <c r="G64">
        <f>IF(Table13[[#This Row],[New Pos L]]&lt;&gt;0,Table13[[#This Row],[New Pos L]],Table13[[#This Row],[New Pos R]])</f>
        <v>14</v>
      </c>
      <c r="H64">
        <f>IF(AND(Table13[[#This Row],[Direction]]="L",Table13[[#This Row],[Steps]]&gt;G63,G63&lt;&gt;0),1,0)</f>
        <v>0</v>
      </c>
      <c r="I64">
        <f>IF(AND(Table13[[#This Row],[Direction]]="R",(G63+Table13[[#This Row],[Steps]])&gt;100),1,0)</f>
        <v>1</v>
      </c>
      <c r="J64">
        <f>IF(Table13[[#This Row],[POS]]=0,1,0)</f>
        <v>0</v>
      </c>
      <c r="K64">
        <f>SUM(Table13[[#This Row],[prefix]],Table13[[#This Row],[Past zero L]],Table13[[#This Row],[Past Zero R]],Table13[[#This Row],[Is Zero]])</f>
        <v>1</v>
      </c>
    </row>
    <row r="65" spans="1:11" ht="16" x14ac:dyDescent="0.2">
      <c r="A65" s="1" t="s">
        <v>51</v>
      </c>
      <c r="B65" t="str">
        <f>LEFT(Table13[[#This Row],[Input]],1)</f>
        <v>L</v>
      </c>
      <c r="C65">
        <f>_xlfn.LET(_xlpm.steps,SUBSTITUTE(Table13[[#This Row],[Input]],Table13[[#This Row],[Direction]],""),VALUE(IF(LEN(_xlpm.steps)&gt;2,RIGHT(_xlpm.steps,2),_xlpm.steps)))</f>
        <v>25</v>
      </c>
      <c r="D65">
        <f>_xlfn.LET(_xlpm.steps,SUBSTITUTE(Table13[[#This Row],[Input]],Table13[[#This Row],[Direction]],""),VALUE(IF(LEN(_xlpm.steps)&gt;2,LEFT(_xlpm.steps,LEN(_xlpm.steps)-2),0)))</f>
        <v>0</v>
      </c>
      <c r="E65">
        <f>_xlfn.LET(_xlpm.dir,Table13[[#This Row],[Direction]],
IF(_xlpm.dir="L",
    IF(G64-Table13[[#This Row],[Steps]]&lt;0,100+(G64-Table13[[#This Row],[Steps]]),G64-Table13[[#This Row],[Steps]]),
))</f>
        <v>89</v>
      </c>
      <c r="F65">
        <f>_xlfn.LET(_xlpm.dir,Table13[[#This Row],[Direction]],
IF(_xlpm.dir="R",
    IF(G64+Table13[[#This Row],[Steps]]&gt;99,(G64+Table13[[#This Row],[Steps]])-100,G64+Table13[[#This Row],[Steps]]),
))</f>
        <v>0</v>
      </c>
      <c r="G65">
        <f>IF(Table13[[#This Row],[New Pos L]]&lt;&gt;0,Table13[[#This Row],[New Pos L]],Table13[[#This Row],[New Pos R]])</f>
        <v>89</v>
      </c>
      <c r="H65">
        <f>IF(AND(Table13[[#This Row],[Direction]]="L",Table13[[#This Row],[Steps]]&gt;G64,G64&lt;&gt;0),1,0)</f>
        <v>1</v>
      </c>
      <c r="I65">
        <f>IF(AND(Table13[[#This Row],[Direction]]="R",(G64+Table13[[#This Row],[Steps]])&gt;100),1,0)</f>
        <v>0</v>
      </c>
      <c r="J65">
        <f>IF(Table13[[#This Row],[POS]]=0,1,0)</f>
        <v>0</v>
      </c>
      <c r="K65">
        <f>SUM(Table13[[#This Row],[prefix]],Table13[[#This Row],[Past zero L]],Table13[[#This Row],[Past Zero R]],Table13[[#This Row],[Is Zero]])</f>
        <v>1</v>
      </c>
    </row>
    <row r="66" spans="1:11" ht="16" x14ac:dyDescent="0.2">
      <c r="A66" s="1" t="s">
        <v>52</v>
      </c>
      <c r="B66" t="str">
        <f>LEFT(Table13[[#This Row],[Input]],1)</f>
        <v>R</v>
      </c>
      <c r="C66">
        <f>_xlfn.LET(_xlpm.steps,SUBSTITUTE(Table13[[#This Row],[Input]],Table13[[#This Row],[Direction]],""),VALUE(IF(LEN(_xlpm.steps)&gt;2,RIGHT(_xlpm.steps,2),_xlpm.steps)))</f>
        <v>11</v>
      </c>
      <c r="D66">
        <f>_xlfn.LET(_xlpm.steps,SUBSTITUTE(Table13[[#This Row],[Input]],Table13[[#This Row],[Direction]],""),VALUE(IF(LEN(_xlpm.steps)&gt;2,LEFT(_xlpm.steps,LEN(_xlpm.steps)-2),0)))</f>
        <v>0</v>
      </c>
      <c r="E66">
        <f>_xlfn.LET(_xlpm.dir,Table13[[#This Row],[Direction]],
IF(_xlpm.dir="L",
    IF(G65-Table13[[#This Row],[Steps]]&lt;0,100+(G65-Table13[[#This Row],[Steps]]),G65-Table13[[#This Row],[Steps]]),
))</f>
        <v>0</v>
      </c>
      <c r="F66">
        <f>_xlfn.LET(_xlpm.dir,Table13[[#This Row],[Direction]],
IF(_xlpm.dir="R",
    IF(G65+Table13[[#This Row],[Steps]]&gt;99,(G65+Table13[[#This Row],[Steps]])-100,G65+Table13[[#This Row],[Steps]]),
))</f>
        <v>0</v>
      </c>
      <c r="G66">
        <f>IF(Table13[[#This Row],[New Pos L]]&lt;&gt;0,Table13[[#This Row],[New Pos L]],Table13[[#This Row],[New Pos R]])</f>
        <v>0</v>
      </c>
      <c r="H66">
        <f>IF(AND(Table13[[#This Row],[Direction]]="L",Table13[[#This Row],[Steps]]&gt;G65,G65&lt;&gt;0),1,0)</f>
        <v>0</v>
      </c>
      <c r="I66">
        <f>IF(AND(Table13[[#This Row],[Direction]]="R",(G65+Table13[[#This Row],[Steps]])&gt;100),1,0)</f>
        <v>0</v>
      </c>
      <c r="J66">
        <f>IF(Table13[[#This Row],[POS]]=0,1,0)</f>
        <v>1</v>
      </c>
      <c r="K66">
        <f>SUM(Table13[[#This Row],[prefix]],Table13[[#This Row],[Past zero L]],Table13[[#This Row],[Past Zero R]],Table13[[#This Row],[Is Zero]])</f>
        <v>1</v>
      </c>
    </row>
    <row r="67" spans="1:11" ht="16" x14ac:dyDescent="0.2">
      <c r="A67" s="1" t="s">
        <v>0</v>
      </c>
      <c r="B67" t="str">
        <f>LEFT(Table13[[#This Row],[Input]],1)</f>
        <v>L</v>
      </c>
      <c r="C67">
        <f>_xlfn.LET(_xlpm.steps,SUBSTITUTE(Table13[[#This Row],[Input]],Table13[[#This Row],[Direction]],""),VALUE(IF(LEN(_xlpm.steps)&gt;2,RIGHT(_xlpm.steps,2),_xlpm.steps)))</f>
        <v>44</v>
      </c>
      <c r="D67">
        <f>_xlfn.LET(_xlpm.steps,SUBSTITUTE(Table13[[#This Row],[Input]],Table13[[#This Row],[Direction]],""),VALUE(IF(LEN(_xlpm.steps)&gt;2,LEFT(_xlpm.steps,LEN(_xlpm.steps)-2),0)))</f>
        <v>0</v>
      </c>
      <c r="E67">
        <f>_xlfn.LET(_xlpm.dir,Table13[[#This Row],[Direction]],
IF(_xlpm.dir="L",
    IF(G66-Table13[[#This Row],[Steps]]&lt;0,100+(G66-Table13[[#This Row],[Steps]]),G66-Table13[[#This Row],[Steps]]),
))</f>
        <v>56</v>
      </c>
      <c r="F67">
        <f>_xlfn.LET(_xlpm.dir,Table13[[#This Row],[Direction]],
IF(_xlpm.dir="R",
    IF(G66+Table13[[#This Row],[Steps]]&gt;99,(G66+Table13[[#This Row],[Steps]])-100,G66+Table13[[#This Row],[Steps]]),
))</f>
        <v>0</v>
      </c>
      <c r="G67">
        <f>IF(Table13[[#This Row],[New Pos L]]&lt;&gt;0,Table13[[#This Row],[New Pos L]],Table13[[#This Row],[New Pos R]])</f>
        <v>56</v>
      </c>
      <c r="H67">
        <f>IF(AND(Table13[[#This Row],[Direction]]="L",Table13[[#This Row],[Steps]]&gt;G66,G66&lt;&gt;0),1,0)</f>
        <v>0</v>
      </c>
      <c r="I67">
        <f>IF(AND(Table13[[#This Row],[Direction]]="R",(G66+Table13[[#This Row],[Steps]])&gt;100),1,0)</f>
        <v>0</v>
      </c>
      <c r="J67">
        <f>IF(Table13[[#This Row],[POS]]=0,1,0)</f>
        <v>0</v>
      </c>
      <c r="K67">
        <f>SUM(Table13[[#This Row],[prefix]],Table13[[#This Row],[Past zero L]],Table13[[#This Row],[Past Zero R]],Table13[[#This Row],[Is Zero]])</f>
        <v>0</v>
      </c>
    </row>
    <row r="68" spans="1:11" ht="16" x14ac:dyDescent="0.2">
      <c r="A68" s="1" t="s">
        <v>53</v>
      </c>
      <c r="B68" t="str">
        <f>LEFT(Table13[[#This Row],[Input]],1)</f>
        <v>L</v>
      </c>
      <c r="C68">
        <f>_xlfn.LET(_xlpm.steps,SUBSTITUTE(Table13[[#This Row],[Input]],Table13[[#This Row],[Direction]],""),VALUE(IF(LEN(_xlpm.steps)&gt;2,RIGHT(_xlpm.steps,2),_xlpm.steps)))</f>
        <v>56</v>
      </c>
      <c r="D68">
        <f>_xlfn.LET(_xlpm.steps,SUBSTITUTE(Table13[[#This Row],[Input]],Table13[[#This Row],[Direction]],""),VALUE(IF(LEN(_xlpm.steps)&gt;2,LEFT(_xlpm.steps,LEN(_xlpm.steps)-2),0)))</f>
        <v>0</v>
      </c>
      <c r="E68">
        <f>_xlfn.LET(_xlpm.dir,Table13[[#This Row],[Direction]],
IF(_xlpm.dir="L",
    IF(G67-Table13[[#This Row],[Steps]]&lt;0,100+(G67-Table13[[#This Row],[Steps]]),G67-Table13[[#This Row],[Steps]]),
))</f>
        <v>0</v>
      </c>
      <c r="F68">
        <f>_xlfn.LET(_xlpm.dir,Table13[[#This Row],[Direction]],
IF(_xlpm.dir="R",
    IF(G67+Table13[[#This Row],[Steps]]&gt;99,(G67+Table13[[#This Row],[Steps]])-100,G67+Table13[[#This Row],[Steps]]),
))</f>
        <v>0</v>
      </c>
      <c r="G68">
        <f>IF(Table13[[#This Row],[New Pos L]]&lt;&gt;0,Table13[[#This Row],[New Pos L]],Table13[[#This Row],[New Pos R]])</f>
        <v>0</v>
      </c>
      <c r="H68">
        <f>IF(AND(Table13[[#This Row],[Direction]]="L",Table13[[#This Row],[Steps]]&gt;G67,G67&lt;&gt;0),1,0)</f>
        <v>0</v>
      </c>
      <c r="I68">
        <f>IF(AND(Table13[[#This Row],[Direction]]="R",(G67+Table13[[#This Row],[Steps]])&gt;100),1,0)</f>
        <v>0</v>
      </c>
      <c r="J68">
        <f>IF(Table13[[#This Row],[POS]]=0,1,0)</f>
        <v>1</v>
      </c>
      <c r="K68">
        <f>SUM(Table13[[#This Row],[prefix]],Table13[[#This Row],[Past zero L]],Table13[[#This Row],[Past Zero R]],Table13[[#This Row],[Is Zero]])</f>
        <v>1</v>
      </c>
    </row>
    <row r="69" spans="1:11" ht="16" x14ac:dyDescent="0.2">
      <c r="A69" s="1" t="s">
        <v>54</v>
      </c>
      <c r="B69" t="str">
        <f>LEFT(Table13[[#This Row],[Input]],1)</f>
        <v>L</v>
      </c>
      <c r="C69">
        <f>_xlfn.LET(_xlpm.steps,SUBSTITUTE(Table13[[#This Row],[Input]],Table13[[#This Row],[Direction]],""),VALUE(IF(LEN(_xlpm.steps)&gt;2,RIGHT(_xlpm.steps,2),_xlpm.steps)))</f>
        <v>75</v>
      </c>
      <c r="D69">
        <f>_xlfn.LET(_xlpm.steps,SUBSTITUTE(Table13[[#This Row],[Input]],Table13[[#This Row],[Direction]],""),VALUE(IF(LEN(_xlpm.steps)&gt;2,LEFT(_xlpm.steps,LEN(_xlpm.steps)-2),0)))</f>
        <v>0</v>
      </c>
      <c r="E69">
        <f>_xlfn.LET(_xlpm.dir,Table13[[#This Row],[Direction]],
IF(_xlpm.dir="L",
    IF(G68-Table13[[#This Row],[Steps]]&lt;0,100+(G68-Table13[[#This Row],[Steps]]),G68-Table13[[#This Row],[Steps]]),
))</f>
        <v>25</v>
      </c>
      <c r="F69">
        <f>_xlfn.LET(_xlpm.dir,Table13[[#This Row],[Direction]],
IF(_xlpm.dir="R",
    IF(G68+Table13[[#This Row],[Steps]]&gt;99,(G68+Table13[[#This Row],[Steps]])-100,G68+Table13[[#This Row],[Steps]]),
))</f>
        <v>0</v>
      </c>
      <c r="G69">
        <f>IF(Table13[[#This Row],[New Pos L]]&lt;&gt;0,Table13[[#This Row],[New Pos L]],Table13[[#This Row],[New Pos R]])</f>
        <v>25</v>
      </c>
      <c r="H69">
        <f>IF(AND(Table13[[#This Row],[Direction]]="L",Table13[[#This Row],[Steps]]&gt;G68,G68&lt;&gt;0),1,0)</f>
        <v>0</v>
      </c>
      <c r="I69">
        <f>IF(AND(Table13[[#This Row],[Direction]]="R",(G68+Table13[[#This Row],[Steps]])&gt;100),1,0)</f>
        <v>0</v>
      </c>
      <c r="J69">
        <f>IF(Table13[[#This Row],[POS]]=0,1,0)</f>
        <v>0</v>
      </c>
      <c r="K69">
        <f>SUM(Table13[[#This Row],[prefix]],Table13[[#This Row],[Past zero L]],Table13[[#This Row],[Past Zero R]],Table13[[#This Row],[Is Zero]])</f>
        <v>0</v>
      </c>
    </row>
    <row r="70" spans="1:11" ht="16" x14ac:dyDescent="0.2">
      <c r="A70" s="1" t="s">
        <v>55</v>
      </c>
      <c r="B70" t="str">
        <f>LEFT(Table13[[#This Row],[Input]],1)</f>
        <v>L</v>
      </c>
      <c r="C70">
        <f>_xlfn.LET(_xlpm.steps,SUBSTITUTE(Table13[[#This Row],[Input]],Table13[[#This Row],[Direction]],""),VALUE(IF(LEN(_xlpm.steps)&gt;2,RIGHT(_xlpm.steps,2),_xlpm.steps)))</f>
        <v>82</v>
      </c>
      <c r="D70">
        <f>_xlfn.LET(_xlpm.steps,SUBSTITUTE(Table13[[#This Row],[Input]],Table13[[#This Row],[Direction]],""),VALUE(IF(LEN(_xlpm.steps)&gt;2,LEFT(_xlpm.steps,LEN(_xlpm.steps)-2),0)))</f>
        <v>0</v>
      </c>
      <c r="E70">
        <f>_xlfn.LET(_xlpm.dir,Table13[[#This Row],[Direction]],
IF(_xlpm.dir="L",
    IF(G69-Table13[[#This Row],[Steps]]&lt;0,100+(G69-Table13[[#This Row],[Steps]]),G69-Table13[[#This Row],[Steps]]),
))</f>
        <v>43</v>
      </c>
      <c r="F70">
        <f>_xlfn.LET(_xlpm.dir,Table13[[#This Row],[Direction]],
IF(_xlpm.dir="R",
    IF(G69+Table13[[#This Row],[Steps]]&gt;99,(G69+Table13[[#This Row],[Steps]])-100,G69+Table13[[#This Row],[Steps]]),
))</f>
        <v>0</v>
      </c>
      <c r="G70">
        <f>IF(Table13[[#This Row],[New Pos L]]&lt;&gt;0,Table13[[#This Row],[New Pos L]],Table13[[#This Row],[New Pos R]])</f>
        <v>43</v>
      </c>
      <c r="H70">
        <f>IF(AND(Table13[[#This Row],[Direction]]="L",Table13[[#This Row],[Steps]]&gt;G69,G69&lt;&gt;0),1,0)</f>
        <v>1</v>
      </c>
      <c r="I70">
        <f>IF(AND(Table13[[#This Row],[Direction]]="R",(G69+Table13[[#This Row],[Steps]])&gt;100),1,0)</f>
        <v>0</v>
      </c>
      <c r="J70">
        <f>IF(Table13[[#This Row],[POS]]=0,1,0)</f>
        <v>0</v>
      </c>
      <c r="K70">
        <f>SUM(Table13[[#This Row],[prefix]],Table13[[#This Row],[Past zero L]],Table13[[#This Row],[Past Zero R]],Table13[[#This Row],[Is Zero]])</f>
        <v>1</v>
      </c>
    </row>
    <row r="71" spans="1:11" ht="16" x14ac:dyDescent="0.2">
      <c r="A71" s="1" t="s">
        <v>38</v>
      </c>
      <c r="B71" t="str">
        <f>LEFT(Table13[[#This Row],[Input]],1)</f>
        <v>R</v>
      </c>
      <c r="C71">
        <f>_xlfn.LET(_xlpm.steps,SUBSTITUTE(Table13[[#This Row],[Input]],Table13[[#This Row],[Direction]],""),VALUE(IF(LEN(_xlpm.steps)&gt;2,RIGHT(_xlpm.steps,2),_xlpm.steps)))</f>
        <v>15</v>
      </c>
      <c r="D71">
        <f>_xlfn.LET(_xlpm.steps,SUBSTITUTE(Table13[[#This Row],[Input]],Table13[[#This Row],[Direction]],""),VALUE(IF(LEN(_xlpm.steps)&gt;2,LEFT(_xlpm.steps,LEN(_xlpm.steps)-2),0)))</f>
        <v>0</v>
      </c>
      <c r="E71">
        <f>_xlfn.LET(_xlpm.dir,Table13[[#This Row],[Direction]],
IF(_xlpm.dir="L",
    IF(G70-Table13[[#This Row],[Steps]]&lt;0,100+(G70-Table13[[#This Row],[Steps]]),G70-Table13[[#This Row],[Steps]]),
))</f>
        <v>0</v>
      </c>
      <c r="F71">
        <f>_xlfn.LET(_xlpm.dir,Table13[[#This Row],[Direction]],
IF(_xlpm.dir="R",
    IF(G70+Table13[[#This Row],[Steps]]&gt;99,(G70+Table13[[#This Row],[Steps]])-100,G70+Table13[[#This Row],[Steps]]),
))</f>
        <v>58</v>
      </c>
      <c r="G71">
        <f>IF(Table13[[#This Row],[New Pos L]]&lt;&gt;0,Table13[[#This Row],[New Pos L]],Table13[[#This Row],[New Pos R]])</f>
        <v>58</v>
      </c>
      <c r="H71">
        <f>IF(AND(Table13[[#This Row],[Direction]]="L",Table13[[#This Row],[Steps]]&gt;G70,G70&lt;&gt;0),1,0)</f>
        <v>0</v>
      </c>
      <c r="I71">
        <f>IF(AND(Table13[[#This Row],[Direction]]="R",(G70+Table13[[#This Row],[Steps]])&gt;100),1,0)</f>
        <v>0</v>
      </c>
      <c r="J71">
        <f>IF(Table13[[#This Row],[POS]]=0,1,0)</f>
        <v>0</v>
      </c>
      <c r="K71">
        <f>SUM(Table13[[#This Row],[prefix]],Table13[[#This Row],[Past zero L]],Table13[[#This Row],[Past Zero R]],Table13[[#This Row],[Is Zero]])</f>
        <v>0</v>
      </c>
    </row>
    <row r="72" spans="1:11" ht="16" x14ac:dyDescent="0.2">
      <c r="A72" s="1" t="s">
        <v>56</v>
      </c>
      <c r="B72" t="str">
        <f>LEFT(Table13[[#This Row],[Input]],1)</f>
        <v>R</v>
      </c>
      <c r="C72">
        <f>_xlfn.LET(_xlpm.steps,SUBSTITUTE(Table13[[#This Row],[Input]],Table13[[#This Row],[Direction]],""),VALUE(IF(LEN(_xlpm.steps)&gt;2,RIGHT(_xlpm.steps,2),_xlpm.steps)))</f>
        <v>42</v>
      </c>
      <c r="D72">
        <f>_xlfn.LET(_xlpm.steps,SUBSTITUTE(Table13[[#This Row],[Input]],Table13[[#This Row],[Direction]],""),VALUE(IF(LEN(_xlpm.steps)&gt;2,LEFT(_xlpm.steps,LEN(_xlpm.steps)-2),0)))</f>
        <v>0</v>
      </c>
      <c r="E72">
        <f>_xlfn.LET(_xlpm.dir,Table13[[#This Row],[Direction]],
IF(_xlpm.dir="L",
    IF(G71-Table13[[#This Row],[Steps]]&lt;0,100+(G71-Table13[[#This Row],[Steps]]),G71-Table13[[#This Row],[Steps]]),
))</f>
        <v>0</v>
      </c>
      <c r="F72">
        <f>_xlfn.LET(_xlpm.dir,Table13[[#This Row],[Direction]],
IF(_xlpm.dir="R",
    IF(G71+Table13[[#This Row],[Steps]]&gt;99,(G71+Table13[[#This Row],[Steps]])-100,G71+Table13[[#This Row],[Steps]]),
))</f>
        <v>0</v>
      </c>
      <c r="G72">
        <f>IF(Table13[[#This Row],[New Pos L]]&lt;&gt;0,Table13[[#This Row],[New Pos L]],Table13[[#This Row],[New Pos R]])</f>
        <v>0</v>
      </c>
      <c r="H72">
        <f>IF(AND(Table13[[#This Row],[Direction]]="L",Table13[[#This Row],[Steps]]&gt;G71,G71&lt;&gt;0),1,0)</f>
        <v>0</v>
      </c>
      <c r="I72">
        <f>IF(AND(Table13[[#This Row],[Direction]]="R",(G71+Table13[[#This Row],[Steps]])&gt;100),1,0)</f>
        <v>0</v>
      </c>
      <c r="J72">
        <f>IF(Table13[[#This Row],[POS]]=0,1,0)</f>
        <v>1</v>
      </c>
      <c r="K72">
        <f>SUM(Table13[[#This Row],[prefix]],Table13[[#This Row],[Past zero L]],Table13[[#This Row],[Past Zero R]],Table13[[#This Row],[Is Zero]])</f>
        <v>1</v>
      </c>
    </row>
    <row r="73" spans="1:11" ht="16" x14ac:dyDescent="0.2">
      <c r="A73" s="1" t="s">
        <v>1</v>
      </c>
      <c r="B73" t="str">
        <f>LEFT(Table13[[#This Row],[Input]],1)</f>
        <v>R</v>
      </c>
      <c r="C73">
        <f>_xlfn.LET(_xlpm.steps,SUBSTITUTE(Table13[[#This Row],[Input]],Table13[[#This Row],[Direction]],""),VALUE(IF(LEN(_xlpm.steps)&gt;2,RIGHT(_xlpm.steps,2),_xlpm.steps)))</f>
        <v>26</v>
      </c>
      <c r="D73">
        <f>_xlfn.LET(_xlpm.steps,SUBSTITUTE(Table13[[#This Row],[Input]],Table13[[#This Row],[Direction]],""),VALUE(IF(LEN(_xlpm.steps)&gt;2,LEFT(_xlpm.steps,LEN(_xlpm.steps)-2),0)))</f>
        <v>0</v>
      </c>
      <c r="E73">
        <f>_xlfn.LET(_xlpm.dir,Table13[[#This Row],[Direction]],
IF(_xlpm.dir="L",
    IF(G72-Table13[[#This Row],[Steps]]&lt;0,100+(G72-Table13[[#This Row],[Steps]]),G72-Table13[[#This Row],[Steps]]),
))</f>
        <v>0</v>
      </c>
      <c r="F73">
        <f>_xlfn.LET(_xlpm.dir,Table13[[#This Row],[Direction]],
IF(_xlpm.dir="R",
    IF(G72+Table13[[#This Row],[Steps]]&gt;99,(G72+Table13[[#This Row],[Steps]])-100,G72+Table13[[#This Row],[Steps]]),
))</f>
        <v>26</v>
      </c>
      <c r="G73">
        <f>IF(Table13[[#This Row],[New Pos L]]&lt;&gt;0,Table13[[#This Row],[New Pos L]],Table13[[#This Row],[New Pos R]])</f>
        <v>26</v>
      </c>
      <c r="H73">
        <f>IF(AND(Table13[[#This Row],[Direction]]="L",Table13[[#This Row],[Steps]]&gt;G72,G72&lt;&gt;0),1,0)</f>
        <v>0</v>
      </c>
      <c r="I73">
        <f>IF(AND(Table13[[#This Row],[Direction]]="R",(G72+Table13[[#This Row],[Steps]])&gt;100),1,0)</f>
        <v>0</v>
      </c>
      <c r="J73">
        <f>IF(Table13[[#This Row],[POS]]=0,1,0)</f>
        <v>0</v>
      </c>
      <c r="K73">
        <f>SUM(Table13[[#This Row],[prefix]],Table13[[#This Row],[Past zero L]],Table13[[#This Row],[Past Zero R]],Table13[[#This Row],[Is Zero]])</f>
        <v>0</v>
      </c>
    </row>
    <row r="74" spans="1:11" ht="16" x14ac:dyDescent="0.2">
      <c r="A74" s="1" t="s">
        <v>14</v>
      </c>
      <c r="B74" t="str">
        <f>LEFT(Table13[[#This Row],[Input]],1)</f>
        <v>L</v>
      </c>
      <c r="C74">
        <f>_xlfn.LET(_xlpm.steps,SUBSTITUTE(Table13[[#This Row],[Input]],Table13[[#This Row],[Direction]],""),VALUE(IF(LEN(_xlpm.steps)&gt;2,RIGHT(_xlpm.steps,2),_xlpm.steps)))</f>
        <v>43</v>
      </c>
      <c r="D74">
        <f>_xlfn.LET(_xlpm.steps,SUBSTITUTE(Table13[[#This Row],[Input]],Table13[[#This Row],[Direction]],""),VALUE(IF(LEN(_xlpm.steps)&gt;2,LEFT(_xlpm.steps,LEN(_xlpm.steps)-2),0)))</f>
        <v>0</v>
      </c>
      <c r="E74">
        <f>_xlfn.LET(_xlpm.dir,Table13[[#This Row],[Direction]],
IF(_xlpm.dir="L",
    IF(G73-Table13[[#This Row],[Steps]]&lt;0,100+(G73-Table13[[#This Row],[Steps]]),G73-Table13[[#This Row],[Steps]]),
))</f>
        <v>83</v>
      </c>
      <c r="F74">
        <f>_xlfn.LET(_xlpm.dir,Table13[[#This Row],[Direction]],
IF(_xlpm.dir="R",
    IF(G73+Table13[[#This Row],[Steps]]&gt;99,(G73+Table13[[#This Row],[Steps]])-100,G73+Table13[[#This Row],[Steps]]),
))</f>
        <v>0</v>
      </c>
      <c r="G74">
        <f>IF(Table13[[#This Row],[New Pos L]]&lt;&gt;0,Table13[[#This Row],[New Pos L]],Table13[[#This Row],[New Pos R]])</f>
        <v>83</v>
      </c>
      <c r="H74">
        <f>IF(AND(Table13[[#This Row],[Direction]]="L",Table13[[#This Row],[Steps]]&gt;G73,G73&lt;&gt;0),1,0)</f>
        <v>1</v>
      </c>
      <c r="I74">
        <f>IF(AND(Table13[[#This Row],[Direction]]="R",(G73+Table13[[#This Row],[Steps]])&gt;100),1,0)</f>
        <v>0</v>
      </c>
      <c r="J74">
        <f>IF(Table13[[#This Row],[POS]]=0,1,0)</f>
        <v>0</v>
      </c>
      <c r="K74">
        <f>SUM(Table13[[#This Row],[prefix]],Table13[[#This Row],[Past zero L]],Table13[[#This Row],[Past Zero R]],Table13[[#This Row],[Is Zero]])</f>
        <v>1</v>
      </c>
    </row>
    <row r="75" spans="1:11" ht="16" x14ac:dyDescent="0.2">
      <c r="A75" s="1" t="s">
        <v>8</v>
      </c>
      <c r="B75" t="str">
        <f>LEFT(Table13[[#This Row],[Input]],1)</f>
        <v>R</v>
      </c>
      <c r="C75">
        <f>_xlfn.LET(_xlpm.steps,SUBSTITUTE(Table13[[#This Row],[Input]],Table13[[#This Row],[Direction]],""),VALUE(IF(LEN(_xlpm.steps)&gt;2,RIGHT(_xlpm.steps,2),_xlpm.steps)))</f>
        <v>18</v>
      </c>
      <c r="D75">
        <f>_xlfn.LET(_xlpm.steps,SUBSTITUTE(Table13[[#This Row],[Input]],Table13[[#This Row],[Direction]],""),VALUE(IF(LEN(_xlpm.steps)&gt;2,LEFT(_xlpm.steps,LEN(_xlpm.steps)-2),0)))</f>
        <v>0</v>
      </c>
      <c r="E75">
        <f>_xlfn.LET(_xlpm.dir,Table13[[#This Row],[Direction]],
IF(_xlpm.dir="L",
    IF(G74-Table13[[#This Row],[Steps]]&lt;0,100+(G74-Table13[[#This Row],[Steps]]),G74-Table13[[#This Row],[Steps]]),
))</f>
        <v>0</v>
      </c>
      <c r="F75">
        <f>_xlfn.LET(_xlpm.dir,Table13[[#This Row],[Direction]],
IF(_xlpm.dir="R",
    IF(G74+Table13[[#This Row],[Steps]]&gt;99,(G74+Table13[[#This Row],[Steps]])-100,G74+Table13[[#This Row],[Steps]]),
))</f>
        <v>1</v>
      </c>
      <c r="G75">
        <f>IF(Table13[[#This Row],[New Pos L]]&lt;&gt;0,Table13[[#This Row],[New Pos L]],Table13[[#This Row],[New Pos R]])</f>
        <v>1</v>
      </c>
      <c r="H75">
        <f>IF(AND(Table13[[#This Row],[Direction]]="L",Table13[[#This Row],[Steps]]&gt;G74,G74&lt;&gt;0),1,0)</f>
        <v>0</v>
      </c>
      <c r="I75">
        <f>IF(AND(Table13[[#This Row],[Direction]]="R",(G74+Table13[[#This Row],[Steps]])&gt;100),1,0)</f>
        <v>1</v>
      </c>
      <c r="J75">
        <f>IF(Table13[[#This Row],[POS]]=0,1,0)</f>
        <v>0</v>
      </c>
      <c r="K75">
        <f>SUM(Table13[[#This Row],[prefix]],Table13[[#This Row],[Past zero L]],Table13[[#This Row],[Past Zero R]],Table13[[#This Row],[Is Zero]])</f>
        <v>1</v>
      </c>
    </row>
    <row r="76" spans="1:11" ht="16" x14ac:dyDescent="0.2">
      <c r="A76" s="1" t="s">
        <v>57</v>
      </c>
      <c r="B76" t="str">
        <f>LEFT(Table13[[#This Row],[Input]],1)</f>
        <v>R</v>
      </c>
      <c r="C76">
        <f>_xlfn.LET(_xlpm.steps,SUBSTITUTE(Table13[[#This Row],[Input]],Table13[[#This Row],[Direction]],""),VALUE(IF(LEN(_xlpm.steps)&gt;2,RIGHT(_xlpm.steps,2),_xlpm.steps)))</f>
        <v>29</v>
      </c>
      <c r="D76">
        <f>_xlfn.LET(_xlpm.steps,SUBSTITUTE(Table13[[#This Row],[Input]],Table13[[#This Row],[Direction]],""),VALUE(IF(LEN(_xlpm.steps)&gt;2,LEFT(_xlpm.steps,LEN(_xlpm.steps)-2),0)))</f>
        <v>0</v>
      </c>
      <c r="E76">
        <f>_xlfn.LET(_xlpm.dir,Table13[[#This Row],[Direction]],
IF(_xlpm.dir="L",
    IF(G75-Table13[[#This Row],[Steps]]&lt;0,100+(G75-Table13[[#This Row],[Steps]]),G75-Table13[[#This Row],[Steps]]),
))</f>
        <v>0</v>
      </c>
      <c r="F76">
        <f>_xlfn.LET(_xlpm.dir,Table13[[#This Row],[Direction]],
IF(_xlpm.dir="R",
    IF(G75+Table13[[#This Row],[Steps]]&gt;99,(G75+Table13[[#This Row],[Steps]])-100,G75+Table13[[#This Row],[Steps]]),
))</f>
        <v>30</v>
      </c>
      <c r="G76">
        <f>IF(Table13[[#This Row],[New Pos L]]&lt;&gt;0,Table13[[#This Row],[New Pos L]],Table13[[#This Row],[New Pos R]])</f>
        <v>30</v>
      </c>
      <c r="H76">
        <f>IF(AND(Table13[[#This Row],[Direction]]="L",Table13[[#This Row],[Steps]]&gt;G75,G75&lt;&gt;0),1,0)</f>
        <v>0</v>
      </c>
      <c r="I76">
        <f>IF(AND(Table13[[#This Row],[Direction]]="R",(G75+Table13[[#This Row],[Steps]])&gt;100),1,0)</f>
        <v>0</v>
      </c>
      <c r="J76">
        <f>IF(Table13[[#This Row],[POS]]=0,1,0)</f>
        <v>0</v>
      </c>
      <c r="K76">
        <f>SUM(Table13[[#This Row],[prefix]],Table13[[#This Row],[Past zero L]],Table13[[#This Row],[Past Zero R]],Table13[[#This Row],[Is Zero]])</f>
        <v>0</v>
      </c>
    </row>
    <row r="77" spans="1:11" ht="16" x14ac:dyDescent="0.2">
      <c r="A77" s="1" t="s">
        <v>58</v>
      </c>
      <c r="B77" t="str">
        <f>LEFT(Table13[[#This Row],[Input]],1)</f>
        <v>L</v>
      </c>
      <c r="C77">
        <f>_xlfn.LET(_xlpm.steps,SUBSTITUTE(Table13[[#This Row],[Input]],Table13[[#This Row],[Direction]],""),VALUE(IF(LEN(_xlpm.steps)&gt;2,RIGHT(_xlpm.steps,2),_xlpm.steps)))</f>
        <v>30</v>
      </c>
      <c r="D77">
        <f>_xlfn.LET(_xlpm.steps,SUBSTITUTE(Table13[[#This Row],[Input]],Table13[[#This Row],[Direction]],""),VALUE(IF(LEN(_xlpm.steps)&gt;2,LEFT(_xlpm.steps,LEN(_xlpm.steps)-2),0)))</f>
        <v>0</v>
      </c>
      <c r="E77">
        <f>_xlfn.LET(_xlpm.dir,Table13[[#This Row],[Direction]],
IF(_xlpm.dir="L",
    IF(G76-Table13[[#This Row],[Steps]]&lt;0,100+(G76-Table13[[#This Row],[Steps]]),G76-Table13[[#This Row],[Steps]]),
))</f>
        <v>0</v>
      </c>
      <c r="F77">
        <f>_xlfn.LET(_xlpm.dir,Table13[[#This Row],[Direction]],
IF(_xlpm.dir="R",
    IF(G76+Table13[[#This Row],[Steps]]&gt;99,(G76+Table13[[#This Row],[Steps]])-100,G76+Table13[[#This Row],[Steps]]),
))</f>
        <v>0</v>
      </c>
      <c r="G77">
        <f>IF(Table13[[#This Row],[New Pos L]]&lt;&gt;0,Table13[[#This Row],[New Pos L]],Table13[[#This Row],[New Pos R]])</f>
        <v>0</v>
      </c>
      <c r="H77">
        <f>IF(AND(Table13[[#This Row],[Direction]]="L",Table13[[#This Row],[Steps]]&gt;G76,G76&lt;&gt;0),1,0)</f>
        <v>0</v>
      </c>
      <c r="I77">
        <f>IF(AND(Table13[[#This Row],[Direction]]="R",(G76+Table13[[#This Row],[Steps]])&gt;100),1,0)</f>
        <v>0</v>
      </c>
      <c r="J77">
        <f>IF(Table13[[#This Row],[POS]]=0,1,0)</f>
        <v>1</v>
      </c>
      <c r="K77">
        <f>SUM(Table13[[#This Row],[prefix]],Table13[[#This Row],[Past zero L]],Table13[[#This Row],[Past Zero R]],Table13[[#This Row],[Is Zero]])</f>
        <v>1</v>
      </c>
    </row>
    <row r="78" spans="1:11" ht="16" x14ac:dyDescent="0.2">
      <c r="A78" s="1" t="s">
        <v>15</v>
      </c>
      <c r="B78" t="str">
        <f>LEFT(Table13[[#This Row],[Input]],1)</f>
        <v>R</v>
      </c>
      <c r="C78">
        <f>_xlfn.LET(_xlpm.steps,SUBSTITUTE(Table13[[#This Row],[Input]],Table13[[#This Row],[Direction]],""),VALUE(IF(LEN(_xlpm.steps)&gt;2,RIGHT(_xlpm.steps,2),_xlpm.steps)))</f>
        <v>36</v>
      </c>
      <c r="D78">
        <f>_xlfn.LET(_xlpm.steps,SUBSTITUTE(Table13[[#This Row],[Input]],Table13[[#This Row],[Direction]],""),VALUE(IF(LEN(_xlpm.steps)&gt;2,LEFT(_xlpm.steps,LEN(_xlpm.steps)-2),0)))</f>
        <v>0</v>
      </c>
      <c r="E78">
        <f>_xlfn.LET(_xlpm.dir,Table13[[#This Row],[Direction]],
IF(_xlpm.dir="L",
    IF(G77-Table13[[#This Row],[Steps]]&lt;0,100+(G77-Table13[[#This Row],[Steps]]),G77-Table13[[#This Row],[Steps]]),
))</f>
        <v>0</v>
      </c>
      <c r="F78">
        <f>_xlfn.LET(_xlpm.dir,Table13[[#This Row],[Direction]],
IF(_xlpm.dir="R",
    IF(G77+Table13[[#This Row],[Steps]]&gt;99,(G77+Table13[[#This Row],[Steps]])-100,G77+Table13[[#This Row],[Steps]]),
))</f>
        <v>36</v>
      </c>
      <c r="G78">
        <f>IF(Table13[[#This Row],[New Pos L]]&lt;&gt;0,Table13[[#This Row],[New Pos L]],Table13[[#This Row],[New Pos R]])</f>
        <v>36</v>
      </c>
      <c r="H78">
        <f>IF(AND(Table13[[#This Row],[Direction]]="L",Table13[[#This Row],[Steps]]&gt;G77,G77&lt;&gt;0),1,0)</f>
        <v>0</v>
      </c>
      <c r="I78">
        <f>IF(AND(Table13[[#This Row],[Direction]]="R",(G77+Table13[[#This Row],[Steps]])&gt;100),1,0)</f>
        <v>0</v>
      </c>
      <c r="J78">
        <f>IF(Table13[[#This Row],[POS]]=0,1,0)</f>
        <v>0</v>
      </c>
      <c r="K78">
        <f>SUM(Table13[[#This Row],[prefix]],Table13[[#This Row],[Past zero L]],Table13[[#This Row],[Past Zero R]],Table13[[#This Row],[Is Zero]])</f>
        <v>0</v>
      </c>
    </row>
    <row r="79" spans="1:11" ht="16" x14ac:dyDescent="0.2">
      <c r="A79" s="1" t="s">
        <v>59</v>
      </c>
      <c r="B79" t="str">
        <f>LEFT(Table13[[#This Row],[Input]],1)</f>
        <v>L</v>
      </c>
      <c r="C79">
        <f>_xlfn.LET(_xlpm.steps,SUBSTITUTE(Table13[[#This Row],[Input]],Table13[[#This Row],[Direction]],""),VALUE(IF(LEN(_xlpm.steps)&gt;2,RIGHT(_xlpm.steps,2),_xlpm.steps)))</f>
        <v>6</v>
      </c>
      <c r="D79">
        <f>_xlfn.LET(_xlpm.steps,SUBSTITUTE(Table13[[#This Row],[Input]],Table13[[#This Row],[Direction]],""),VALUE(IF(LEN(_xlpm.steps)&gt;2,LEFT(_xlpm.steps,LEN(_xlpm.steps)-2),0)))</f>
        <v>0</v>
      </c>
      <c r="E79">
        <f>_xlfn.LET(_xlpm.dir,Table13[[#This Row],[Direction]],
IF(_xlpm.dir="L",
    IF(G78-Table13[[#This Row],[Steps]]&lt;0,100+(G78-Table13[[#This Row],[Steps]]),G78-Table13[[#This Row],[Steps]]),
))</f>
        <v>30</v>
      </c>
      <c r="F79">
        <f>_xlfn.LET(_xlpm.dir,Table13[[#This Row],[Direction]],
IF(_xlpm.dir="R",
    IF(G78+Table13[[#This Row],[Steps]]&gt;99,(G78+Table13[[#This Row],[Steps]])-100,G78+Table13[[#This Row],[Steps]]),
))</f>
        <v>0</v>
      </c>
      <c r="G79">
        <f>IF(Table13[[#This Row],[New Pos L]]&lt;&gt;0,Table13[[#This Row],[New Pos L]],Table13[[#This Row],[New Pos R]])</f>
        <v>30</v>
      </c>
      <c r="H79">
        <f>IF(AND(Table13[[#This Row],[Direction]]="L",Table13[[#This Row],[Steps]]&gt;G78,G78&lt;&gt;0),1,0)</f>
        <v>0</v>
      </c>
      <c r="I79">
        <f>IF(AND(Table13[[#This Row],[Direction]]="R",(G78+Table13[[#This Row],[Steps]])&gt;100),1,0)</f>
        <v>0</v>
      </c>
      <c r="J79">
        <f>IF(Table13[[#This Row],[POS]]=0,1,0)</f>
        <v>0</v>
      </c>
      <c r="K79">
        <f>SUM(Table13[[#This Row],[prefix]],Table13[[#This Row],[Past zero L]],Table13[[#This Row],[Past Zero R]],Table13[[#This Row],[Is Zero]])</f>
        <v>0</v>
      </c>
    </row>
    <row r="80" spans="1:11" ht="16" x14ac:dyDescent="0.2">
      <c r="A80" s="1" t="s">
        <v>60</v>
      </c>
      <c r="B80" t="str">
        <f>LEFT(Table13[[#This Row],[Input]],1)</f>
        <v>R</v>
      </c>
      <c r="C80">
        <f>_xlfn.LET(_xlpm.steps,SUBSTITUTE(Table13[[#This Row],[Input]],Table13[[#This Row],[Direction]],""),VALUE(IF(LEN(_xlpm.steps)&gt;2,RIGHT(_xlpm.steps,2),_xlpm.steps)))</f>
        <v>86</v>
      </c>
      <c r="D80">
        <f>_xlfn.LET(_xlpm.steps,SUBSTITUTE(Table13[[#This Row],[Input]],Table13[[#This Row],[Direction]],""),VALUE(IF(LEN(_xlpm.steps)&gt;2,LEFT(_xlpm.steps,LEN(_xlpm.steps)-2),0)))</f>
        <v>0</v>
      </c>
      <c r="E80">
        <f>_xlfn.LET(_xlpm.dir,Table13[[#This Row],[Direction]],
IF(_xlpm.dir="L",
    IF(G79-Table13[[#This Row],[Steps]]&lt;0,100+(G79-Table13[[#This Row],[Steps]]),G79-Table13[[#This Row],[Steps]]),
))</f>
        <v>0</v>
      </c>
      <c r="F80">
        <f>_xlfn.LET(_xlpm.dir,Table13[[#This Row],[Direction]],
IF(_xlpm.dir="R",
    IF(G79+Table13[[#This Row],[Steps]]&gt;99,(G79+Table13[[#This Row],[Steps]])-100,G79+Table13[[#This Row],[Steps]]),
))</f>
        <v>16</v>
      </c>
      <c r="G80">
        <f>IF(Table13[[#This Row],[New Pos L]]&lt;&gt;0,Table13[[#This Row],[New Pos L]],Table13[[#This Row],[New Pos R]])</f>
        <v>16</v>
      </c>
      <c r="H80">
        <f>IF(AND(Table13[[#This Row],[Direction]]="L",Table13[[#This Row],[Steps]]&gt;G79,G79&lt;&gt;0),1,0)</f>
        <v>0</v>
      </c>
      <c r="I80">
        <f>IF(AND(Table13[[#This Row],[Direction]]="R",(G79+Table13[[#This Row],[Steps]])&gt;100),1,0)</f>
        <v>1</v>
      </c>
      <c r="J80">
        <f>IF(Table13[[#This Row],[POS]]=0,1,0)</f>
        <v>0</v>
      </c>
      <c r="K80">
        <f>SUM(Table13[[#This Row],[prefix]],Table13[[#This Row],[Past zero L]],Table13[[#This Row],[Past Zero R]],Table13[[#This Row],[Is Zero]])</f>
        <v>1</v>
      </c>
    </row>
    <row r="81" spans="1:11" ht="16" x14ac:dyDescent="0.2">
      <c r="A81" s="1" t="s">
        <v>61</v>
      </c>
      <c r="B81" t="str">
        <f>LEFT(Table13[[#This Row],[Input]],1)</f>
        <v>L</v>
      </c>
      <c r="C81">
        <f>_xlfn.LET(_xlpm.steps,SUBSTITUTE(Table13[[#This Row],[Input]],Table13[[#This Row],[Direction]],""),VALUE(IF(LEN(_xlpm.steps)&gt;2,RIGHT(_xlpm.steps,2),_xlpm.steps)))</f>
        <v>16</v>
      </c>
      <c r="D81">
        <f>_xlfn.LET(_xlpm.steps,SUBSTITUTE(Table13[[#This Row],[Input]],Table13[[#This Row],[Direction]],""),VALUE(IF(LEN(_xlpm.steps)&gt;2,LEFT(_xlpm.steps,LEN(_xlpm.steps)-2),0)))</f>
        <v>0</v>
      </c>
      <c r="E81">
        <f>_xlfn.LET(_xlpm.dir,Table13[[#This Row],[Direction]],
IF(_xlpm.dir="L",
    IF(G80-Table13[[#This Row],[Steps]]&lt;0,100+(G80-Table13[[#This Row],[Steps]]),G80-Table13[[#This Row],[Steps]]),
))</f>
        <v>0</v>
      </c>
      <c r="F81">
        <f>_xlfn.LET(_xlpm.dir,Table13[[#This Row],[Direction]],
IF(_xlpm.dir="R",
    IF(G80+Table13[[#This Row],[Steps]]&gt;99,(G80+Table13[[#This Row],[Steps]])-100,G80+Table13[[#This Row],[Steps]]),
))</f>
        <v>0</v>
      </c>
      <c r="G81">
        <f>IF(Table13[[#This Row],[New Pos L]]&lt;&gt;0,Table13[[#This Row],[New Pos L]],Table13[[#This Row],[New Pos R]])</f>
        <v>0</v>
      </c>
      <c r="H81">
        <f>IF(AND(Table13[[#This Row],[Direction]]="L",Table13[[#This Row],[Steps]]&gt;G80,G80&lt;&gt;0),1,0)</f>
        <v>0</v>
      </c>
      <c r="I81">
        <f>IF(AND(Table13[[#This Row],[Direction]]="R",(G80+Table13[[#This Row],[Steps]])&gt;100),1,0)</f>
        <v>0</v>
      </c>
      <c r="J81">
        <f>IF(Table13[[#This Row],[POS]]=0,1,0)</f>
        <v>1</v>
      </c>
      <c r="K81">
        <f>SUM(Table13[[#This Row],[prefix]],Table13[[#This Row],[Past zero L]],Table13[[#This Row],[Past Zero R]],Table13[[#This Row],[Is Zero]])</f>
        <v>1</v>
      </c>
    </row>
    <row r="82" spans="1:11" ht="16" x14ac:dyDescent="0.2">
      <c r="A82" s="1" t="s">
        <v>62</v>
      </c>
      <c r="B82" t="str">
        <f>LEFT(Table13[[#This Row],[Input]],1)</f>
        <v>L</v>
      </c>
      <c r="C82">
        <f>_xlfn.LET(_xlpm.steps,SUBSTITUTE(Table13[[#This Row],[Input]],Table13[[#This Row],[Direction]],""),VALUE(IF(LEN(_xlpm.steps)&gt;2,RIGHT(_xlpm.steps,2),_xlpm.steps)))</f>
        <v>57</v>
      </c>
      <c r="D82">
        <f>_xlfn.LET(_xlpm.steps,SUBSTITUTE(Table13[[#This Row],[Input]],Table13[[#This Row],[Direction]],""),VALUE(IF(LEN(_xlpm.steps)&gt;2,LEFT(_xlpm.steps,LEN(_xlpm.steps)-2),0)))</f>
        <v>0</v>
      </c>
      <c r="E82">
        <f>_xlfn.LET(_xlpm.dir,Table13[[#This Row],[Direction]],
IF(_xlpm.dir="L",
    IF(G81-Table13[[#This Row],[Steps]]&lt;0,100+(G81-Table13[[#This Row],[Steps]]),G81-Table13[[#This Row],[Steps]]),
))</f>
        <v>43</v>
      </c>
      <c r="F82">
        <f>_xlfn.LET(_xlpm.dir,Table13[[#This Row],[Direction]],
IF(_xlpm.dir="R",
    IF(G81+Table13[[#This Row],[Steps]]&gt;99,(G81+Table13[[#This Row],[Steps]])-100,G81+Table13[[#This Row],[Steps]]),
))</f>
        <v>0</v>
      </c>
      <c r="G82">
        <f>IF(Table13[[#This Row],[New Pos L]]&lt;&gt;0,Table13[[#This Row],[New Pos L]],Table13[[#This Row],[New Pos R]])</f>
        <v>43</v>
      </c>
      <c r="H82">
        <f>IF(AND(Table13[[#This Row],[Direction]]="L",Table13[[#This Row],[Steps]]&gt;G81,G81&lt;&gt;0),1,0)</f>
        <v>0</v>
      </c>
      <c r="I82">
        <f>IF(AND(Table13[[#This Row],[Direction]]="R",(G81+Table13[[#This Row],[Steps]])&gt;100),1,0)</f>
        <v>0</v>
      </c>
      <c r="J82">
        <f>IF(Table13[[#This Row],[POS]]=0,1,0)</f>
        <v>0</v>
      </c>
      <c r="K82">
        <f>SUM(Table13[[#This Row],[prefix]],Table13[[#This Row],[Past zero L]],Table13[[#This Row],[Past Zero R]],Table13[[#This Row],[Is Zero]])</f>
        <v>0</v>
      </c>
    </row>
    <row r="83" spans="1:11" ht="16" x14ac:dyDescent="0.2">
      <c r="A83" s="1" t="s">
        <v>63</v>
      </c>
      <c r="B83" t="str">
        <f>LEFT(Table13[[#This Row],[Input]],1)</f>
        <v>R</v>
      </c>
      <c r="C83">
        <f>_xlfn.LET(_xlpm.steps,SUBSTITUTE(Table13[[#This Row],[Input]],Table13[[#This Row],[Direction]],""),VALUE(IF(LEN(_xlpm.steps)&gt;2,RIGHT(_xlpm.steps,2),_xlpm.steps)))</f>
        <v>57</v>
      </c>
      <c r="D83">
        <f>_xlfn.LET(_xlpm.steps,SUBSTITUTE(Table13[[#This Row],[Input]],Table13[[#This Row],[Direction]],""),VALUE(IF(LEN(_xlpm.steps)&gt;2,LEFT(_xlpm.steps,LEN(_xlpm.steps)-2),0)))</f>
        <v>0</v>
      </c>
      <c r="E83">
        <f>_xlfn.LET(_xlpm.dir,Table13[[#This Row],[Direction]],
IF(_xlpm.dir="L",
    IF(G82-Table13[[#This Row],[Steps]]&lt;0,100+(G82-Table13[[#This Row],[Steps]]),G82-Table13[[#This Row],[Steps]]),
))</f>
        <v>0</v>
      </c>
      <c r="F83">
        <f>_xlfn.LET(_xlpm.dir,Table13[[#This Row],[Direction]],
IF(_xlpm.dir="R",
    IF(G82+Table13[[#This Row],[Steps]]&gt;99,(G82+Table13[[#This Row],[Steps]])-100,G82+Table13[[#This Row],[Steps]]),
))</f>
        <v>0</v>
      </c>
      <c r="G83">
        <f>IF(Table13[[#This Row],[New Pos L]]&lt;&gt;0,Table13[[#This Row],[New Pos L]],Table13[[#This Row],[New Pos R]])</f>
        <v>0</v>
      </c>
      <c r="H83">
        <f>IF(AND(Table13[[#This Row],[Direction]]="L",Table13[[#This Row],[Steps]]&gt;G82,G82&lt;&gt;0),1,0)</f>
        <v>0</v>
      </c>
      <c r="I83">
        <f>IF(AND(Table13[[#This Row],[Direction]]="R",(G82+Table13[[#This Row],[Steps]])&gt;100),1,0)</f>
        <v>0</v>
      </c>
      <c r="J83">
        <f>IF(Table13[[#This Row],[POS]]=0,1,0)</f>
        <v>1</v>
      </c>
      <c r="K83">
        <f>SUM(Table13[[#This Row],[prefix]],Table13[[#This Row],[Past zero L]],Table13[[#This Row],[Past Zero R]],Table13[[#This Row],[Is Zero]])</f>
        <v>1</v>
      </c>
    </row>
    <row r="84" spans="1:11" ht="16" x14ac:dyDescent="0.2">
      <c r="A84" s="1" t="s">
        <v>62</v>
      </c>
      <c r="B84" t="str">
        <f>LEFT(Table13[[#This Row],[Input]],1)</f>
        <v>L</v>
      </c>
      <c r="C84">
        <f>_xlfn.LET(_xlpm.steps,SUBSTITUTE(Table13[[#This Row],[Input]],Table13[[#This Row],[Direction]],""),VALUE(IF(LEN(_xlpm.steps)&gt;2,RIGHT(_xlpm.steps,2),_xlpm.steps)))</f>
        <v>57</v>
      </c>
      <c r="D84">
        <f>_xlfn.LET(_xlpm.steps,SUBSTITUTE(Table13[[#This Row],[Input]],Table13[[#This Row],[Direction]],""),VALUE(IF(LEN(_xlpm.steps)&gt;2,LEFT(_xlpm.steps,LEN(_xlpm.steps)-2),0)))</f>
        <v>0</v>
      </c>
      <c r="E84">
        <f>_xlfn.LET(_xlpm.dir,Table13[[#This Row],[Direction]],
IF(_xlpm.dir="L",
    IF(G83-Table13[[#This Row],[Steps]]&lt;0,100+(G83-Table13[[#This Row],[Steps]]),G83-Table13[[#This Row],[Steps]]),
))</f>
        <v>43</v>
      </c>
      <c r="F84">
        <f>_xlfn.LET(_xlpm.dir,Table13[[#This Row],[Direction]],
IF(_xlpm.dir="R",
    IF(G83+Table13[[#This Row],[Steps]]&gt;99,(G83+Table13[[#This Row],[Steps]])-100,G83+Table13[[#This Row],[Steps]]),
))</f>
        <v>0</v>
      </c>
      <c r="G84">
        <f>IF(Table13[[#This Row],[New Pos L]]&lt;&gt;0,Table13[[#This Row],[New Pos L]],Table13[[#This Row],[New Pos R]])</f>
        <v>43</v>
      </c>
      <c r="H84">
        <f>IF(AND(Table13[[#This Row],[Direction]]="L",Table13[[#This Row],[Steps]]&gt;G83,G83&lt;&gt;0),1,0)</f>
        <v>0</v>
      </c>
      <c r="I84">
        <f>IF(AND(Table13[[#This Row],[Direction]]="R",(G83+Table13[[#This Row],[Steps]])&gt;100),1,0)</f>
        <v>0</v>
      </c>
      <c r="J84">
        <f>IF(Table13[[#This Row],[POS]]=0,1,0)</f>
        <v>0</v>
      </c>
      <c r="K84">
        <f>SUM(Table13[[#This Row],[prefix]],Table13[[#This Row],[Past zero L]],Table13[[#This Row],[Past Zero R]],Table13[[#This Row],[Is Zero]])</f>
        <v>0</v>
      </c>
    </row>
    <row r="85" spans="1:11" ht="16" x14ac:dyDescent="0.2">
      <c r="A85" s="1" t="s">
        <v>63</v>
      </c>
      <c r="B85" t="str">
        <f>LEFT(Table13[[#This Row],[Input]],1)</f>
        <v>R</v>
      </c>
      <c r="C85">
        <f>_xlfn.LET(_xlpm.steps,SUBSTITUTE(Table13[[#This Row],[Input]],Table13[[#This Row],[Direction]],""),VALUE(IF(LEN(_xlpm.steps)&gt;2,RIGHT(_xlpm.steps,2),_xlpm.steps)))</f>
        <v>57</v>
      </c>
      <c r="D85">
        <f>_xlfn.LET(_xlpm.steps,SUBSTITUTE(Table13[[#This Row],[Input]],Table13[[#This Row],[Direction]],""),VALUE(IF(LEN(_xlpm.steps)&gt;2,LEFT(_xlpm.steps,LEN(_xlpm.steps)-2),0)))</f>
        <v>0</v>
      </c>
      <c r="E85">
        <f>_xlfn.LET(_xlpm.dir,Table13[[#This Row],[Direction]],
IF(_xlpm.dir="L",
    IF(G84-Table13[[#This Row],[Steps]]&lt;0,100+(G84-Table13[[#This Row],[Steps]]),G84-Table13[[#This Row],[Steps]]),
))</f>
        <v>0</v>
      </c>
      <c r="F85">
        <f>_xlfn.LET(_xlpm.dir,Table13[[#This Row],[Direction]],
IF(_xlpm.dir="R",
    IF(G84+Table13[[#This Row],[Steps]]&gt;99,(G84+Table13[[#This Row],[Steps]])-100,G84+Table13[[#This Row],[Steps]]),
))</f>
        <v>0</v>
      </c>
      <c r="G85">
        <f>IF(Table13[[#This Row],[New Pos L]]&lt;&gt;0,Table13[[#This Row],[New Pos L]],Table13[[#This Row],[New Pos R]])</f>
        <v>0</v>
      </c>
      <c r="H85">
        <f>IF(AND(Table13[[#This Row],[Direction]]="L",Table13[[#This Row],[Steps]]&gt;G84,G84&lt;&gt;0),1,0)</f>
        <v>0</v>
      </c>
      <c r="I85">
        <f>IF(AND(Table13[[#This Row],[Direction]]="R",(G84+Table13[[#This Row],[Steps]])&gt;100),1,0)</f>
        <v>0</v>
      </c>
      <c r="J85">
        <f>IF(Table13[[#This Row],[POS]]=0,1,0)</f>
        <v>1</v>
      </c>
      <c r="K85">
        <f>SUM(Table13[[#This Row],[prefix]],Table13[[#This Row],[Past zero L]],Table13[[#This Row],[Past Zero R]],Table13[[#This Row],[Is Zero]])</f>
        <v>1</v>
      </c>
    </row>
    <row r="86" spans="1:11" ht="16" x14ac:dyDescent="0.2">
      <c r="A86" s="1" t="s">
        <v>64</v>
      </c>
      <c r="B86" t="str">
        <f>LEFT(Table13[[#This Row],[Input]],1)</f>
        <v>R</v>
      </c>
      <c r="C86">
        <f>_xlfn.LET(_xlpm.steps,SUBSTITUTE(Table13[[#This Row],[Input]],Table13[[#This Row],[Direction]],""),VALUE(IF(LEN(_xlpm.steps)&gt;2,RIGHT(_xlpm.steps,2),_xlpm.steps)))</f>
        <v>10</v>
      </c>
      <c r="D86">
        <f>_xlfn.LET(_xlpm.steps,SUBSTITUTE(Table13[[#This Row],[Input]],Table13[[#This Row],[Direction]],""),VALUE(IF(LEN(_xlpm.steps)&gt;2,LEFT(_xlpm.steps,LEN(_xlpm.steps)-2),0)))</f>
        <v>0</v>
      </c>
      <c r="E86">
        <f>_xlfn.LET(_xlpm.dir,Table13[[#This Row],[Direction]],
IF(_xlpm.dir="L",
    IF(G85-Table13[[#This Row],[Steps]]&lt;0,100+(G85-Table13[[#This Row],[Steps]]),G85-Table13[[#This Row],[Steps]]),
))</f>
        <v>0</v>
      </c>
      <c r="F86">
        <f>_xlfn.LET(_xlpm.dir,Table13[[#This Row],[Direction]],
IF(_xlpm.dir="R",
    IF(G85+Table13[[#This Row],[Steps]]&gt;99,(G85+Table13[[#This Row],[Steps]])-100,G85+Table13[[#This Row],[Steps]]),
))</f>
        <v>10</v>
      </c>
      <c r="G86">
        <f>IF(Table13[[#This Row],[New Pos L]]&lt;&gt;0,Table13[[#This Row],[New Pos L]],Table13[[#This Row],[New Pos R]])</f>
        <v>10</v>
      </c>
      <c r="H86">
        <f>IF(AND(Table13[[#This Row],[Direction]]="L",Table13[[#This Row],[Steps]]&gt;G85,G85&lt;&gt;0),1,0)</f>
        <v>0</v>
      </c>
      <c r="I86">
        <f>IF(AND(Table13[[#This Row],[Direction]]="R",(G85+Table13[[#This Row],[Steps]])&gt;100),1,0)</f>
        <v>0</v>
      </c>
      <c r="J86">
        <f>IF(Table13[[#This Row],[POS]]=0,1,0)</f>
        <v>0</v>
      </c>
      <c r="K86">
        <f>SUM(Table13[[#This Row],[prefix]],Table13[[#This Row],[Past zero L]],Table13[[#This Row],[Past Zero R]],Table13[[#This Row],[Is Zero]])</f>
        <v>0</v>
      </c>
    </row>
    <row r="87" spans="1:11" ht="16" x14ac:dyDescent="0.2">
      <c r="A87" s="1" t="s">
        <v>65</v>
      </c>
      <c r="B87" t="str">
        <f>LEFT(Table13[[#This Row],[Input]],1)</f>
        <v>L</v>
      </c>
      <c r="C87">
        <f>_xlfn.LET(_xlpm.steps,SUBSTITUTE(Table13[[#This Row],[Input]],Table13[[#This Row],[Direction]],""),VALUE(IF(LEN(_xlpm.steps)&gt;2,RIGHT(_xlpm.steps,2),_xlpm.steps)))</f>
        <v>19</v>
      </c>
      <c r="D87">
        <f>_xlfn.LET(_xlpm.steps,SUBSTITUTE(Table13[[#This Row],[Input]],Table13[[#This Row],[Direction]],""),VALUE(IF(LEN(_xlpm.steps)&gt;2,LEFT(_xlpm.steps,LEN(_xlpm.steps)-2),0)))</f>
        <v>0</v>
      </c>
      <c r="E87">
        <f>_xlfn.LET(_xlpm.dir,Table13[[#This Row],[Direction]],
IF(_xlpm.dir="L",
    IF(G86-Table13[[#This Row],[Steps]]&lt;0,100+(G86-Table13[[#This Row],[Steps]]),G86-Table13[[#This Row],[Steps]]),
))</f>
        <v>91</v>
      </c>
      <c r="F87">
        <f>_xlfn.LET(_xlpm.dir,Table13[[#This Row],[Direction]],
IF(_xlpm.dir="R",
    IF(G86+Table13[[#This Row],[Steps]]&gt;99,(G86+Table13[[#This Row],[Steps]])-100,G86+Table13[[#This Row],[Steps]]),
))</f>
        <v>0</v>
      </c>
      <c r="G87">
        <f>IF(Table13[[#This Row],[New Pos L]]&lt;&gt;0,Table13[[#This Row],[New Pos L]],Table13[[#This Row],[New Pos R]])</f>
        <v>91</v>
      </c>
      <c r="H87">
        <f>IF(AND(Table13[[#This Row],[Direction]]="L",Table13[[#This Row],[Steps]]&gt;G86,G86&lt;&gt;0),1,0)</f>
        <v>1</v>
      </c>
      <c r="I87">
        <f>IF(AND(Table13[[#This Row],[Direction]]="R",(G86+Table13[[#This Row],[Steps]])&gt;100),1,0)</f>
        <v>0</v>
      </c>
      <c r="J87">
        <f>IF(Table13[[#This Row],[POS]]=0,1,0)</f>
        <v>0</v>
      </c>
      <c r="K87">
        <f>SUM(Table13[[#This Row],[prefix]],Table13[[#This Row],[Past zero L]],Table13[[#This Row],[Past Zero R]],Table13[[#This Row],[Is Zero]])</f>
        <v>1</v>
      </c>
    </row>
    <row r="88" spans="1:11" ht="16" x14ac:dyDescent="0.2">
      <c r="A88" s="1" t="s">
        <v>66</v>
      </c>
      <c r="B88" t="str">
        <f>LEFT(Table13[[#This Row],[Input]],1)</f>
        <v>R</v>
      </c>
      <c r="C88">
        <f>_xlfn.LET(_xlpm.steps,SUBSTITUTE(Table13[[#This Row],[Input]],Table13[[#This Row],[Direction]],""),VALUE(IF(LEN(_xlpm.steps)&gt;2,RIGHT(_xlpm.steps,2),_xlpm.steps)))</f>
        <v>45</v>
      </c>
      <c r="D88">
        <f>_xlfn.LET(_xlpm.steps,SUBSTITUTE(Table13[[#This Row],[Input]],Table13[[#This Row],[Direction]],""),VALUE(IF(LEN(_xlpm.steps)&gt;2,LEFT(_xlpm.steps,LEN(_xlpm.steps)-2),0)))</f>
        <v>0</v>
      </c>
      <c r="E88">
        <f>_xlfn.LET(_xlpm.dir,Table13[[#This Row],[Direction]],
IF(_xlpm.dir="L",
    IF(G87-Table13[[#This Row],[Steps]]&lt;0,100+(G87-Table13[[#This Row],[Steps]]),G87-Table13[[#This Row],[Steps]]),
))</f>
        <v>0</v>
      </c>
      <c r="F88">
        <f>_xlfn.LET(_xlpm.dir,Table13[[#This Row],[Direction]],
IF(_xlpm.dir="R",
    IF(G87+Table13[[#This Row],[Steps]]&gt;99,(G87+Table13[[#This Row],[Steps]])-100,G87+Table13[[#This Row],[Steps]]),
))</f>
        <v>36</v>
      </c>
      <c r="G88">
        <f>IF(Table13[[#This Row],[New Pos L]]&lt;&gt;0,Table13[[#This Row],[New Pos L]],Table13[[#This Row],[New Pos R]])</f>
        <v>36</v>
      </c>
      <c r="H88">
        <f>IF(AND(Table13[[#This Row],[Direction]]="L",Table13[[#This Row],[Steps]]&gt;G87,G87&lt;&gt;0),1,0)</f>
        <v>0</v>
      </c>
      <c r="I88">
        <f>IF(AND(Table13[[#This Row],[Direction]]="R",(G87+Table13[[#This Row],[Steps]])&gt;100),1,0)</f>
        <v>1</v>
      </c>
      <c r="J88">
        <f>IF(Table13[[#This Row],[POS]]=0,1,0)</f>
        <v>0</v>
      </c>
      <c r="K88">
        <f>SUM(Table13[[#This Row],[prefix]],Table13[[#This Row],[Past zero L]],Table13[[#This Row],[Past Zero R]],Table13[[#This Row],[Is Zero]])</f>
        <v>1</v>
      </c>
    </row>
    <row r="89" spans="1:11" ht="16" x14ac:dyDescent="0.2">
      <c r="A89" s="1" t="s">
        <v>67</v>
      </c>
      <c r="B89" t="str">
        <f>LEFT(Table13[[#This Row],[Input]],1)</f>
        <v>R</v>
      </c>
      <c r="C89">
        <f>_xlfn.LET(_xlpm.steps,SUBSTITUTE(Table13[[#This Row],[Input]],Table13[[#This Row],[Direction]],""),VALUE(IF(LEN(_xlpm.steps)&gt;2,RIGHT(_xlpm.steps,2),_xlpm.steps)))</f>
        <v>33</v>
      </c>
      <c r="D89">
        <f>_xlfn.LET(_xlpm.steps,SUBSTITUTE(Table13[[#This Row],[Input]],Table13[[#This Row],[Direction]],""),VALUE(IF(LEN(_xlpm.steps)&gt;2,LEFT(_xlpm.steps,LEN(_xlpm.steps)-2),0)))</f>
        <v>0</v>
      </c>
      <c r="E89">
        <f>_xlfn.LET(_xlpm.dir,Table13[[#This Row],[Direction]],
IF(_xlpm.dir="L",
    IF(G88-Table13[[#This Row],[Steps]]&lt;0,100+(G88-Table13[[#This Row],[Steps]]),G88-Table13[[#This Row],[Steps]]),
))</f>
        <v>0</v>
      </c>
      <c r="F89">
        <f>_xlfn.LET(_xlpm.dir,Table13[[#This Row],[Direction]],
IF(_xlpm.dir="R",
    IF(G88+Table13[[#This Row],[Steps]]&gt;99,(G88+Table13[[#This Row],[Steps]])-100,G88+Table13[[#This Row],[Steps]]),
))</f>
        <v>69</v>
      </c>
      <c r="G89">
        <f>IF(Table13[[#This Row],[New Pos L]]&lt;&gt;0,Table13[[#This Row],[New Pos L]],Table13[[#This Row],[New Pos R]])</f>
        <v>69</v>
      </c>
      <c r="H89">
        <f>IF(AND(Table13[[#This Row],[Direction]]="L",Table13[[#This Row],[Steps]]&gt;G88,G88&lt;&gt;0),1,0)</f>
        <v>0</v>
      </c>
      <c r="I89">
        <f>IF(AND(Table13[[#This Row],[Direction]]="R",(G88+Table13[[#This Row],[Steps]])&gt;100),1,0)</f>
        <v>0</v>
      </c>
      <c r="J89">
        <f>IF(Table13[[#This Row],[POS]]=0,1,0)</f>
        <v>0</v>
      </c>
      <c r="K89">
        <f>SUM(Table13[[#This Row],[prefix]],Table13[[#This Row],[Past zero L]],Table13[[#This Row],[Past Zero R]],Table13[[#This Row],[Is Zero]])</f>
        <v>0</v>
      </c>
    </row>
    <row r="90" spans="1:11" ht="16" x14ac:dyDescent="0.2">
      <c r="A90" s="1" t="s">
        <v>68</v>
      </c>
      <c r="B90" t="str">
        <f>LEFT(Table13[[#This Row],[Input]],1)</f>
        <v>L</v>
      </c>
      <c r="C90">
        <f>_xlfn.LET(_xlpm.steps,SUBSTITUTE(Table13[[#This Row],[Input]],Table13[[#This Row],[Direction]],""),VALUE(IF(LEN(_xlpm.steps)&gt;2,RIGHT(_xlpm.steps,2),_xlpm.steps)))</f>
        <v>80</v>
      </c>
      <c r="D90">
        <f>_xlfn.LET(_xlpm.steps,SUBSTITUTE(Table13[[#This Row],[Input]],Table13[[#This Row],[Direction]],""),VALUE(IF(LEN(_xlpm.steps)&gt;2,LEFT(_xlpm.steps,LEN(_xlpm.steps)-2),0)))</f>
        <v>0</v>
      </c>
      <c r="E90">
        <f>_xlfn.LET(_xlpm.dir,Table13[[#This Row],[Direction]],
IF(_xlpm.dir="L",
    IF(G89-Table13[[#This Row],[Steps]]&lt;0,100+(G89-Table13[[#This Row],[Steps]]),G89-Table13[[#This Row],[Steps]]),
))</f>
        <v>89</v>
      </c>
      <c r="F90">
        <f>_xlfn.LET(_xlpm.dir,Table13[[#This Row],[Direction]],
IF(_xlpm.dir="R",
    IF(G89+Table13[[#This Row],[Steps]]&gt;99,(G89+Table13[[#This Row],[Steps]])-100,G89+Table13[[#This Row],[Steps]]),
))</f>
        <v>0</v>
      </c>
      <c r="G90">
        <f>IF(Table13[[#This Row],[New Pos L]]&lt;&gt;0,Table13[[#This Row],[New Pos L]],Table13[[#This Row],[New Pos R]])</f>
        <v>89</v>
      </c>
      <c r="H90">
        <f>IF(AND(Table13[[#This Row],[Direction]]="L",Table13[[#This Row],[Steps]]&gt;G89,G89&lt;&gt;0),1,0)</f>
        <v>1</v>
      </c>
      <c r="I90">
        <f>IF(AND(Table13[[#This Row],[Direction]]="R",(G89+Table13[[#This Row],[Steps]])&gt;100),1,0)</f>
        <v>0</v>
      </c>
      <c r="J90">
        <f>IF(Table13[[#This Row],[POS]]=0,1,0)</f>
        <v>0</v>
      </c>
      <c r="K90">
        <f>SUM(Table13[[#This Row],[prefix]],Table13[[#This Row],[Past zero L]],Table13[[#This Row],[Past Zero R]],Table13[[#This Row],[Is Zero]])</f>
        <v>1</v>
      </c>
    </row>
    <row r="91" spans="1:11" ht="16" x14ac:dyDescent="0.2">
      <c r="A91" s="1" t="s">
        <v>52</v>
      </c>
      <c r="B91" t="str">
        <f>LEFT(Table13[[#This Row],[Input]],1)</f>
        <v>R</v>
      </c>
      <c r="C91">
        <f>_xlfn.LET(_xlpm.steps,SUBSTITUTE(Table13[[#This Row],[Input]],Table13[[#This Row],[Direction]],""),VALUE(IF(LEN(_xlpm.steps)&gt;2,RIGHT(_xlpm.steps,2),_xlpm.steps)))</f>
        <v>11</v>
      </c>
      <c r="D91">
        <f>_xlfn.LET(_xlpm.steps,SUBSTITUTE(Table13[[#This Row],[Input]],Table13[[#This Row],[Direction]],""),VALUE(IF(LEN(_xlpm.steps)&gt;2,LEFT(_xlpm.steps,LEN(_xlpm.steps)-2),0)))</f>
        <v>0</v>
      </c>
      <c r="E91">
        <f>_xlfn.LET(_xlpm.dir,Table13[[#This Row],[Direction]],
IF(_xlpm.dir="L",
    IF(G90-Table13[[#This Row],[Steps]]&lt;0,100+(G90-Table13[[#This Row],[Steps]]),G90-Table13[[#This Row],[Steps]]),
))</f>
        <v>0</v>
      </c>
      <c r="F91">
        <f>_xlfn.LET(_xlpm.dir,Table13[[#This Row],[Direction]],
IF(_xlpm.dir="R",
    IF(G90+Table13[[#This Row],[Steps]]&gt;99,(G90+Table13[[#This Row],[Steps]])-100,G90+Table13[[#This Row],[Steps]]),
))</f>
        <v>0</v>
      </c>
      <c r="G91">
        <f>IF(Table13[[#This Row],[New Pos L]]&lt;&gt;0,Table13[[#This Row],[New Pos L]],Table13[[#This Row],[New Pos R]])</f>
        <v>0</v>
      </c>
      <c r="H91">
        <f>IF(AND(Table13[[#This Row],[Direction]]="L",Table13[[#This Row],[Steps]]&gt;G90,G90&lt;&gt;0),1,0)</f>
        <v>0</v>
      </c>
      <c r="I91">
        <f>IF(AND(Table13[[#This Row],[Direction]]="R",(G90+Table13[[#This Row],[Steps]])&gt;100),1,0)</f>
        <v>0</v>
      </c>
      <c r="J91">
        <f>IF(Table13[[#This Row],[POS]]=0,1,0)</f>
        <v>1</v>
      </c>
      <c r="K91">
        <f>SUM(Table13[[#This Row],[prefix]],Table13[[#This Row],[Past zero L]],Table13[[#This Row],[Past Zero R]],Table13[[#This Row],[Is Zero]])</f>
        <v>1</v>
      </c>
    </row>
    <row r="92" spans="1:11" ht="16" x14ac:dyDescent="0.2">
      <c r="A92" s="1" t="s">
        <v>69</v>
      </c>
      <c r="B92" t="str">
        <f>LEFT(Table13[[#This Row],[Input]],1)</f>
        <v>R</v>
      </c>
      <c r="C92">
        <f>_xlfn.LET(_xlpm.steps,SUBSTITUTE(Table13[[#This Row],[Input]],Table13[[#This Row],[Direction]],""),VALUE(IF(LEN(_xlpm.steps)&gt;2,RIGHT(_xlpm.steps,2),_xlpm.steps)))</f>
        <v>27</v>
      </c>
      <c r="D92">
        <f>_xlfn.LET(_xlpm.steps,SUBSTITUTE(Table13[[#This Row],[Input]],Table13[[#This Row],[Direction]],""),VALUE(IF(LEN(_xlpm.steps)&gt;2,LEFT(_xlpm.steps,LEN(_xlpm.steps)-2),0)))</f>
        <v>0</v>
      </c>
      <c r="E92">
        <f>_xlfn.LET(_xlpm.dir,Table13[[#This Row],[Direction]],
IF(_xlpm.dir="L",
    IF(G91-Table13[[#This Row],[Steps]]&lt;0,100+(G91-Table13[[#This Row],[Steps]]),G91-Table13[[#This Row],[Steps]]),
))</f>
        <v>0</v>
      </c>
      <c r="F92">
        <f>_xlfn.LET(_xlpm.dir,Table13[[#This Row],[Direction]],
IF(_xlpm.dir="R",
    IF(G91+Table13[[#This Row],[Steps]]&gt;99,(G91+Table13[[#This Row],[Steps]])-100,G91+Table13[[#This Row],[Steps]]),
))</f>
        <v>27</v>
      </c>
      <c r="G92">
        <f>IF(Table13[[#This Row],[New Pos L]]&lt;&gt;0,Table13[[#This Row],[New Pos L]],Table13[[#This Row],[New Pos R]])</f>
        <v>27</v>
      </c>
      <c r="H92">
        <f>IF(AND(Table13[[#This Row],[Direction]]="L",Table13[[#This Row],[Steps]]&gt;G91,G91&lt;&gt;0),1,0)</f>
        <v>0</v>
      </c>
      <c r="I92">
        <f>IF(AND(Table13[[#This Row],[Direction]]="R",(G91+Table13[[#This Row],[Steps]])&gt;100),1,0)</f>
        <v>0</v>
      </c>
      <c r="J92">
        <f>IF(Table13[[#This Row],[POS]]=0,1,0)</f>
        <v>0</v>
      </c>
      <c r="K92">
        <f>SUM(Table13[[#This Row],[prefix]],Table13[[#This Row],[Past zero L]],Table13[[#This Row],[Past Zero R]],Table13[[#This Row],[Is Zero]])</f>
        <v>0</v>
      </c>
    </row>
    <row r="93" spans="1:11" ht="16" x14ac:dyDescent="0.2">
      <c r="A93" s="1" t="s">
        <v>70</v>
      </c>
      <c r="B93" t="str">
        <f>LEFT(Table13[[#This Row],[Input]],1)</f>
        <v>R</v>
      </c>
      <c r="C93">
        <f>_xlfn.LET(_xlpm.steps,SUBSTITUTE(Table13[[#This Row],[Input]],Table13[[#This Row],[Direction]],""),VALUE(IF(LEN(_xlpm.steps)&gt;2,RIGHT(_xlpm.steps,2),_xlpm.steps)))</f>
        <v>73</v>
      </c>
      <c r="D93">
        <f>_xlfn.LET(_xlpm.steps,SUBSTITUTE(Table13[[#This Row],[Input]],Table13[[#This Row],[Direction]],""),VALUE(IF(LEN(_xlpm.steps)&gt;2,LEFT(_xlpm.steps,LEN(_xlpm.steps)-2),0)))</f>
        <v>0</v>
      </c>
      <c r="E93">
        <f>_xlfn.LET(_xlpm.dir,Table13[[#This Row],[Direction]],
IF(_xlpm.dir="L",
    IF(G92-Table13[[#This Row],[Steps]]&lt;0,100+(G92-Table13[[#This Row],[Steps]]),G92-Table13[[#This Row],[Steps]]),
))</f>
        <v>0</v>
      </c>
      <c r="F93">
        <f>_xlfn.LET(_xlpm.dir,Table13[[#This Row],[Direction]],
IF(_xlpm.dir="R",
    IF(G92+Table13[[#This Row],[Steps]]&gt;99,(G92+Table13[[#This Row],[Steps]])-100,G92+Table13[[#This Row],[Steps]]),
))</f>
        <v>0</v>
      </c>
      <c r="G93">
        <f>IF(Table13[[#This Row],[New Pos L]]&lt;&gt;0,Table13[[#This Row],[New Pos L]],Table13[[#This Row],[New Pos R]])</f>
        <v>0</v>
      </c>
      <c r="H93">
        <f>IF(AND(Table13[[#This Row],[Direction]]="L",Table13[[#This Row],[Steps]]&gt;G92,G92&lt;&gt;0),1,0)</f>
        <v>0</v>
      </c>
      <c r="I93">
        <f>IF(AND(Table13[[#This Row],[Direction]]="R",(G92+Table13[[#This Row],[Steps]])&gt;100),1,0)</f>
        <v>0</v>
      </c>
      <c r="J93">
        <f>IF(Table13[[#This Row],[POS]]=0,1,0)</f>
        <v>1</v>
      </c>
      <c r="K93">
        <f>SUM(Table13[[#This Row],[prefix]],Table13[[#This Row],[Past zero L]],Table13[[#This Row],[Past Zero R]],Table13[[#This Row],[Is Zero]])</f>
        <v>1</v>
      </c>
    </row>
    <row r="94" spans="1:11" ht="16" x14ac:dyDescent="0.2">
      <c r="A94" s="1" t="s">
        <v>71</v>
      </c>
      <c r="B94" t="str">
        <f>LEFT(Table13[[#This Row],[Input]],1)</f>
        <v>R</v>
      </c>
      <c r="C94">
        <f>_xlfn.LET(_xlpm.steps,SUBSTITUTE(Table13[[#This Row],[Input]],Table13[[#This Row],[Direction]],""),VALUE(IF(LEN(_xlpm.steps)&gt;2,RIGHT(_xlpm.steps,2),_xlpm.steps)))</f>
        <v>23</v>
      </c>
      <c r="D94">
        <f>_xlfn.LET(_xlpm.steps,SUBSTITUTE(Table13[[#This Row],[Input]],Table13[[#This Row],[Direction]],""),VALUE(IF(LEN(_xlpm.steps)&gt;2,LEFT(_xlpm.steps,LEN(_xlpm.steps)-2),0)))</f>
        <v>0</v>
      </c>
      <c r="E94">
        <f>_xlfn.LET(_xlpm.dir,Table13[[#This Row],[Direction]],
IF(_xlpm.dir="L",
    IF(G93-Table13[[#This Row],[Steps]]&lt;0,100+(G93-Table13[[#This Row],[Steps]]),G93-Table13[[#This Row],[Steps]]),
))</f>
        <v>0</v>
      </c>
      <c r="F94">
        <f>_xlfn.LET(_xlpm.dir,Table13[[#This Row],[Direction]],
IF(_xlpm.dir="R",
    IF(G93+Table13[[#This Row],[Steps]]&gt;99,(G93+Table13[[#This Row],[Steps]])-100,G93+Table13[[#This Row],[Steps]]),
))</f>
        <v>23</v>
      </c>
      <c r="G94">
        <f>IF(Table13[[#This Row],[New Pos L]]&lt;&gt;0,Table13[[#This Row],[New Pos L]],Table13[[#This Row],[New Pos R]])</f>
        <v>23</v>
      </c>
      <c r="H94">
        <f>IF(AND(Table13[[#This Row],[Direction]]="L",Table13[[#This Row],[Steps]]&gt;G93,G93&lt;&gt;0),1,0)</f>
        <v>0</v>
      </c>
      <c r="I94">
        <f>IF(AND(Table13[[#This Row],[Direction]]="R",(G93+Table13[[#This Row],[Steps]])&gt;100),1,0)</f>
        <v>0</v>
      </c>
      <c r="J94">
        <f>IF(Table13[[#This Row],[POS]]=0,1,0)</f>
        <v>0</v>
      </c>
      <c r="K94">
        <f>SUM(Table13[[#This Row],[prefix]],Table13[[#This Row],[Past zero L]],Table13[[#This Row],[Past Zero R]],Table13[[#This Row],[Is Zero]])</f>
        <v>0</v>
      </c>
    </row>
    <row r="95" spans="1:11" ht="16" x14ac:dyDescent="0.2">
      <c r="A95" s="1" t="s">
        <v>72</v>
      </c>
      <c r="B95" t="str">
        <f>LEFT(Table13[[#This Row],[Input]],1)</f>
        <v>R</v>
      </c>
      <c r="C95">
        <f>_xlfn.LET(_xlpm.steps,SUBSTITUTE(Table13[[#This Row],[Input]],Table13[[#This Row],[Direction]],""),VALUE(IF(LEN(_xlpm.steps)&gt;2,RIGHT(_xlpm.steps,2),_xlpm.steps)))</f>
        <v>43</v>
      </c>
      <c r="D95">
        <f>_xlfn.LET(_xlpm.steps,SUBSTITUTE(Table13[[#This Row],[Input]],Table13[[#This Row],[Direction]],""),VALUE(IF(LEN(_xlpm.steps)&gt;2,LEFT(_xlpm.steps,LEN(_xlpm.steps)-2),0)))</f>
        <v>0</v>
      </c>
      <c r="E95">
        <f>_xlfn.LET(_xlpm.dir,Table13[[#This Row],[Direction]],
IF(_xlpm.dir="L",
    IF(G94-Table13[[#This Row],[Steps]]&lt;0,100+(G94-Table13[[#This Row],[Steps]]),G94-Table13[[#This Row],[Steps]]),
))</f>
        <v>0</v>
      </c>
      <c r="F95">
        <f>_xlfn.LET(_xlpm.dir,Table13[[#This Row],[Direction]],
IF(_xlpm.dir="R",
    IF(G94+Table13[[#This Row],[Steps]]&gt;99,(G94+Table13[[#This Row],[Steps]])-100,G94+Table13[[#This Row],[Steps]]),
))</f>
        <v>66</v>
      </c>
      <c r="G95">
        <f>IF(Table13[[#This Row],[New Pos L]]&lt;&gt;0,Table13[[#This Row],[New Pos L]],Table13[[#This Row],[New Pos R]])</f>
        <v>66</v>
      </c>
      <c r="H95">
        <f>IF(AND(Table13[[#This Row],[Direction]]="L",Table13[[#This Row],[Steps]]&gt;G94,G94&lt;&gt;0),1,0)</f>
        <v>0</v>
      </c>
      <c r="I95">
        <f>IF(AND(Table13[[#This Row],[Direction]]="R",(G94+Table13[[#This Row],[Steps]])&gt;100),1,0)</f>
        <v>0</v>
      </c>
      <c r="J95">
        <f>IF(Table13[[#This Row],[POS]]=0,1,0)</f>
        <v>0</v>
      </c>
      <c r="K95">
        <f>SUM(Table13[[#This Row],[prefix]],Table13[[#This Row],[Past zero L]],Table13[[#This Row],[Past Zero R]],Table13[[#This Row],[Is Zero]])</f>
        <v>0</v>
      </c>
    </row>
    <row r="96" spans="1:11" ht="16" x14ac:dyDescent="0.2">
      <c r="A96" s="1" t="s">
        <v>73</v>
      </c>
      <c r="B96" t="str">
        <f>LEFT(Table13[[#This Row],[Input]],1)</f>
        <v>R</v>
      </c>
      <c r="C96">
        <f>_xlfn.LET(_xlpm.steps,SUBSTITUTE(Table13[[#This Row],[Input]],Table13[[#This Row],[Direction]],""),VALUE(IF(LEN(_xlpm.steps)&gt;2,RIGHT(_xlpm.steps,2),_xlpm.steps)))</f>
        <v>21</v>
      </c>
      <c r="D96">
        <f>_xlfn.LET(_xlpm.steps,SUBSTITUTE(Table13[[#This Row],[Input]],Table13[[#This Row],[Direction]],""),VALUE(IF(LEN(_xlpm.steps)&gt;2,LEFT(_xlpm.steps,LEN(_xlpm.steps)-2),0)))</f>
        <v>0</v>
      </c>
      <c r="E96">
        <f>_xlfn.LET(_xlpm.dir,Table13[[#This Row],[Direction]],
IF(_xlpm.dir="L",
    IF(G95-Table13[[#This Row],[Steps]]&lt;0,100+(G95-Table13[[#This Row],[Steps]]),G95-Table13[[#This Row],[Steps]]),
))</f>
        <v>0</v>
      </c>
      <c r="F96">
        <f>_xlfn.LET(_xlpm.dir,Table13[[#This Row],[Direction]],
IF(_xlpm.dir="R",
    IF(G95+Table13[[#This Row],[Steps]]&gt;99,(G95+Table13[[#This Row],[Steps]])-100,G95+Table13[[#This Row],[Steps]]),
))</f>
        <v>87</v>
      </c>
      <c r="G96">
        <f>IF(Table13[[#This Row],[New Pos L]]&lt;&gt;0,Table13[[#This Row],[New Pos L]],Table13[[#This Row],[New Pos R]])</f>
        <v>87</v>
      </c>
      <c r="H96">
        <f>IF(AND(Table13[[#This Row],[Direction]]="L",Table13[[#This Row],[Steps]]&gt;G95,G95&lt;&gt;0),1,0)</f>
        <v>0</v>
      </c>
      <c r="I96">
        <f>IF(AND(Table13[[#This Row],[Direction]]="R",(G95+Table13[[#This Row],[Steps]])&gt;100),1,0)</f>
        <v>0</v>
      </c>
      <c r="J96">
        <f>IF(Table13[[#This Row],[POS]]=0,1,0)</f>
        <v>0</v>
      </c>
      <c r="K96">
        <f>SUM(Table13[[#This Row],[prefix]],Table13[[#This Row],[Past zero L]],Table13[[#This Row],[Past Zero R]],Table13[[#This Row],[Is Zero]])</f>
        <v>0</v>
      </c>
    </row>
    <row r="97" spans="1:11" ht="16" x14ac:dyDescent="0.2">
      <c r="A97" s="1" t="s">
        <v>30</v>
      </c>
      <c r="B97" t="str">
        <f>LEFT(Table13[[#This Row],[Input]],1)</f>
        <v>R</v>
      </c>
      <c r="C97">
        <f>_xlfn.LET(_xlpm.steps,SUBSTITUTE(Table13[[#This Row],[Input]],Table13[[#This Row],[Direction]],""),VALUE(IF(LEN(_xlpm.steps)&gt;2,RIGHT(_xlpm.steps,2),_xlpm.steps)))</f>
        <v>48</v>
      </c>
      <c r="D97">
        <f>_xlfn.LET(_xlpm.steps,SUBSTITUTE(Table13[[#This Row],[Input]],Table13[[#This Row],[Direction]],""),VALUE(IF(LEN(_xlpm.steps)&gt;2,LEFT(_xlpm.steps,LEN(_xlpm.steps)-2),0)))</f>
        <v>0</v>
      </c>
      <c r="E97">
        <f>_xlfn.LET(_xlpm.dir,Table13[[#This Row],[Direction]],
IF(_xlpm.dir="L",
    IF(G96-Table13[[#This Row],[Steps]]&lt;0,100+(G96-Table13[[#This Row],[Steps]]),G96-Table13[[#This Row],[Steps]]),
))</f>
        <v>0</v>
      </c>
      <c r="F97">
        <f>_xlfn.LET(_xlpm.dir,Table13[[#This Row],[Direction]],
IF(_xlpm.dir="R",
    IF(G96+Table13[[#This Row],[Steps]]&gt;99,(G96+Table13[[#This Row],[Steps]])-100,G96+Table13[[#This Row],[Steps]]),
))</f>
        <v>35</v>
      </c>
      <c r="G97">
        <f>IF(Table13[[#This Row],[New Pos L]]&lt;&gt;0,Table13[[#This Row],[New Pos L]],Table13[[#This Row],[New Pos R]])</f>
        <v>35</v>
      </c>
      <c r="H97">
        <f>IF(AND(Table13[[#This Row],[Direction]]="L",Table13[[#This Row],[Steps]]&gt;G96,G96&lt;&gt;0),1,0)</f>
        <v>0</v>
      </c>
      <c r="I97">
        <f>IF(AND(Table13[[#This Row],[Direction]]="R",(G96+Table13[[#This Row],[Steps]])&gt;100),1,0)</f>
        <v>1</v>
      </c>
      <c r="J97">
        <f>IF(Table13[[#This Row],[POS]]=0,1,0)</f>
        <v>0</v>
      </c>
      <c r="K97">
        <f>SUM(Table13[[#This Row],[prefix]],Table13[[#This Row],[Past zero L]],Table13[[#This Row],[Past Zero R]],Table13[[#This Row],[Is Zero]])</f>
        <v>1</v>
      </c>
    </row>
    <row r="98" spans="1:11" ht="16" x14ac:dyDescent="0.2">
      <c r="A98" s="1" t="s">
        <v>74</v>
      </c>
      <c r="B98" t="str">
        <f>LEFT(Table13[[#This Row],[Input]],1)</f>
        <v>R</v>
      </c>
      <c r="C98">
        <f>_xlfn.LET(_xlpm.steps,SUBSTITUTE(Table13[[#This Row],[Input]],Table13[[#This Row],[Direction]],""),VALUE(IF(LEN(_xlpm.steps)&gt;2,RIGHT(_xlpm.steps,2),_xlpm.steps)))</f>
        <v>93</v>
      </c>
      <c r="D98">
        <f>_xlfn.LET(_xlpm.steps,SUBSTITUTE(Table13[[#This Row],[Input]],Table13[[#This Row],[Direction]],""),VALUE(IF(LEN(_xlpm.steps)&gt;2,LEFT(_xlpm.steps,LEN(_xlpm.steps)-2),0)))</f>
        <v>0</v>
      </c>
      <c r="E98">
        <f>_xlfn.LET(_xlpm.dir,Table13[[#This Row],[Direction]],
IF(_xlpm.dir="L",
    IF(G97-Table13[[#This Row],[Steps]]&lt;0,100+(G97-Table13[[#This Row],[Steps]]),G97-Table13[[#This Row],[Steps]]),
))</f>
        <v>0</v>
      </c>
      <c r="F98">
        <f>_xlfn.LET(_xlpm.dir,Table13[[#This Row],[Direction]],
IF(_xlpm.dir="R",
    IF(G97+Table13[[#This Row],[Steps]]&gt;99,(G97+Table13[[#This Row],[Steps]])-100,G97+Table13[[#This Row],[Steps]]),
))</f>
        <v>28</v>
      </c>
      <c r="G98">
        <f>IF(Table13[[#This Row],[New Pos L]]&lt;&gt;0,Table13[[#This Row],[New Pos L]],Table13[[#This Row],[New Pos R]])</f>
        <v>28</v>
      </c>
      <c r="H98">
        <f>IF(AND(Table13[[#This Row],[Direction]]="L",Table13[[#This Row],[Steps]]&gt;G97,G97&lt;&gt;0),1,0)</f>
        <v>0</v>
      </c>
      <c r="I98">
        <f>IF(AND(Table13[[#This Row],[Direction]]="R",(G97+Table13[[#This Row],[Steps]])&gt;100),1,0)</f>
        <v>1</v>
      </c>
      <c r="J98">
        <f>IF(Table13[[#This Row],[POS]]=0,1,0)</f>
        <v>0</v>
      </c>
      <c r="K98">
        <f>SUM(Table13[[#This Row],[prefix]],Table13[[#This Row],[Past zero L]],Table13[[#This Row],[Past Zero R]],Table13[[#This Row],[Is Zero]])</f>
        <v>1</v>
      </c>
    </row>
    <row r="99" spans="1:11" ht="16" x14ac:dyDescent="0.2">
      <c r="A99" s="1" t="s">
        <v>58</v>
      </c>
      <c r="B99" t="str">
        <f>LEFT(Table13[[#This Row],[Input]],1)</f>
        <v>L</v>
      </c>
      <c r="C99">
        <f>_xlfn.LET(_xlpm.steps,SUBSTITUTE(Table13[[#This Row],[Input]],Table13[[#This Row],[Direction]],""),VALUE(IF(LEN(_xlpm.steps)&gt;2,RIGHT(_xlpm.steps,2),_xlpm.steps)))</f>
        <v>30</v>
      </c>
      <c r="D99">
        <f>_xlfn.LET(_xlpm.steps,SUBSTITUTE(Table13[[#This Row],[Input]],Table13[[#This Row],[Direction]],""),VALUE(IF(LEN(_xlpm.steps)&gt;2,LEFT(_xlpm.steps,LEN(_xlpm.steps)-2),0)))</f>
        <v>0</v>
      </c>
      <c r="E99">
        <f>_xlfn.LET(_xlpm.dir,Table13[[#This Row],[Direction]],
IF(_xlpm.dir="L",
    IF(G98-Table13[[#This Row],[Steps]]&lt;0,100+(G98-Table13[[#This Row],[Steps]]),G98-Table13[[#This Row],[Steps]]),
))</f>
        <v>98</v>
      </c>
      <c r="F99">
        <f>_xlfn.LET(_xlpm.dir,Table13[[#This Row],[Direction]],
IF(_xlpm.dir="R",
    IF(G98+Table13[[#This Row],[Steps]]&gt;99,(G98+Table13[[#This Row],[Steps]])-100,G98+Table13[[#This Row],[Steps]]),
))</f>
        <v>0</v>
      </c>
      <c r="G99">
        <f>IF(Table13[[#This Row],[New Pos L]]&lt;&gt;0,Table13[[#This Row],[New Pos L]],Table13[[#This Row],[New Pos R]])</f>
        <v>98</v>
      </c>
      <c r="H99">
        <f>IF(AND(Table13[[#This Row],[Direction]]="L",Table13[[#This Row],[Steps]]&gt;G98,G98&lt;&gt;0),1,0)</f>
        <v>1</v>
      </c>
      <c r="I99">
        <f>IF(AND(Table13[[#This Row],[Direction]]="R",(G98+Table13[[#This Row],[Steps]])&gt;100),1,0)</f>
        <v>0</v>
      </c>
      <c r="J99">
        <f>IF(Table13[[#This Row],[POS]]=0,1,0)</f>
        <v>0</v>
      </c>
      <c r="K99">
        <f>SUM(Table13[[#This Row],[prefix]],Table13[[#This Row],[Past zero L]],Table13[[#This Row],[Past Zero R]],Table13[[#This Row],[Is Zero]])</f>
        <v>1</v>
      </c>
    </row>
    <row r="100" spans="1:11" ht="16" x14ac:dyDescent="0.2">
      <c r="A100" s="1" t="s">
        <v>75</v>
      </c>
      <c r="B100" t="str">
        <f>LEFT(Table13[[#This Row],[Input]],1)</f>
        <v>R</v>
      </c>
      <c r="C100">
        <f>_xlfn.LET(_xlpm.steps,SUBSTITUTE(Table13[[#This Row],[Input]],Table13[[#This Row],[Direction]],""),VALUE(IF(LEN(_xlpm.steps)&gt;2,RIGHT(_xlpm.steps,2),_xlpm.steps)))</f>
        <v>2</v>
      </c>
      <c r="D100">
        <f>_xlfn.LET(_xlpm.steps,SUBSTITUTE(Table13[[#This Row],[Input]],Table13[[#This Row],[Direction]],""),VALUE(IF(LEN(_xlpm.steps)&gt;2,LEFT(_xlpm.steps,LEN(_xlpm.steps)-2),0)))</f>
        <v>0</v>
      </c>
      <c r="E100">
        <f>_xlfn.LET(_xlpm.dir,Table13[[#This Row],[Direction]],
IF(_xlpm.dir="L",
    IF(G99-Table13[[#This Row],[Steps]]&lt;0,100+(G99-Table13[[#This Row],[Steps]]),G99-Table13[[#This Row],[Steps]]),
))</f>
        <v>0</v>
      </c>
      <c r="F100">
        <f>_xlfn.LET(_xlpm.dir,Table13[[#This Row],[Direction]],
IF(_xlpm.dir="R",
    IF(G99+Table13[[#This Row],[Steps]]&gt;99,(G99+Table13[[#This Row],[Steps]])-100,G99+Table13[[#This Row],[Steps]]),
))</f>
        <v>0</v>
      </c>
      <c r="G100">
        <f>IF(Table13[[#This Row],[New Pos L]]&lt;&gt;0,Table13[[#This Row],[New Pos L]],Table13[[#This Row],[New Pos R]])</f>
        <v>0</v>
      </c>
      <c r="H100">
        <f>IF(AND(Table13[[#This Row],[Direction]]="L",Table13[[#This Row],[Steps]]&gt;G99,G99&lt;&gt;0),1,0)</f>
        <v>0</v>
      </c>
      <c r="I100">
        <f>IF(AND(Table13[[#This Row],[Direction]]="R",(G99+Table13[[#This Row],[Steps]])&gt;100),1,0)</f>
        <v>0</v>
      </c>
      <c r="J100">
        <f>IF(Table13[[#This Row],[POS]]=0,1,0)</f>
        <v>1</v>
      </c>
      <c r="K100">
        <f>SUM(Table13[[#This Row],[prefix]],Table13[[#This Row],[Past zero L]],Table13[[#This Row],[Past Zero R]],Table13[[#This Row],[Is Zero]])</f>
        <v>1</v>
      </c>
    </row>
    <row r="101" spans="1:11" ht="16" x14ac:dyDescent="0.2">
      <c r="A101" s="1" t="s">
        <v>76</v>
      </c>
      <c r="B101" t="str">
        <f>LEFT(Table13[[#This Row],[Input]],1)</f>
        <v>R</v>
      </c>
      <c r="C101">
        <f>_xlfn.LET(_xlpm.steps,SUBSTITUTE(Table13[[#This Row],[Input]],Table13[[#This Row],[Direction]],""),VALUE(IF(LEN(_xlpm.steps)&gt;2,RIGHT(_xlpm.steps,2),_xlpm.steps)))</f>
        <v>37</v>
      </c>
      <c r="D101">
        <f>_xlfn.LET(_xlpm.steps,SUBSTITUTE(Table13[[#This Row],[Input]],Table13[[#This Row],[Direction]],""),VALUE(IF(LEN(_xlpm.steps)&gt;2,LEFT(_xlpm.steps,LEN(_xlpm.steps)-2),0)))</f>
        <v>0</v>
      </c>
      <c r="E101">
        <f>_xlfn.LET(_xlpm.dir,Table13[[#This Row],[Direction]],
IF(_xlpm.dir="L",
    IF(G100-Table13[[#This Row],[Steps]]&lt;0,100+(G100-Table13[[#This Row],[Steps]]),G100-Table13[[#This Row],[Steps]]),
))</f>
        <v>0</v>
      </c>
      <c r="F101">
        <f>_xlfn.LET(_xlpm.dir,Table13[[#This Row],[Direction]],
IF(_xlpm.dir="R",
    IF(G100+Table13[[#This Row],[Steps]]&gt;99,(G100+Table13[[#This Row],[Steps]])-100,G100+Table13[[#This Row],[Steps]]),
))</f>
        <v>37</v>
      </c>
      <c r="G101">
        <f>IF(Table13[[#This Row],[New Pos L]]&lt;&gt;0,Table13[[#This Row],[New Pos L]],Table13[[#This Row],[New Pos R]])</f>
        <v>37</v>
      </c>
      <c r="H101">
        <f>IF(AND(Table13[[#This Row],[Direction]]="L",Table13[[#This Row],[Steps]]&gt;G100,G100&lt;&gt;0),1,0)</f>
        <v>0</v>
      </c>
      <c r="I101">
        <f>IF(AND(Table13[[#This Row],[Direction]]="R",(G100+Table13[[#This Row],[Steps]])&gt;100),1,0)</f>
        <v>0</v>
      </c>
      <c r="J101">
        <f>IF(Table13[[#This Row],[POS]]=0,1,0)</f>
        <v>0</v>
      </c>
      <c r="K101">
        <f>SUM(Table13[[#This Row],[prefix]],Table13[[#This Row],[Past zero L]],Table13[[#This Row],[Past Zero R]],Table13[[#This Row],[Is Zero]])</f>
        <v>0</v>
      </c>
    </row>
    <row r="102" spans="1:11" ht="16" x14ac:dyDescent="0.2">
      <c r="A102" s="1" t="s">
        <v>12</v>
      </c>
      <c r="B102" t="str">
        <f>LEFT(Table13[[#This Row],[Input]],1)</f>
        <v>L</v>
      </c>
      <c r="C102">
        <f>_xlfn.LET(_xlpm.steps,SUBSTITUTE(Table13[[#This Row],[Input]],Table13[[#This Row],[Direction]],""),VALUE(IF(LEN(_xlpm.steps)&gt;2,RIGHT(_xlpm.steps,2),_xlpm.steps)))</f>
        <v>11</v>
      </c>
      <c r="D102">
        <f>_xlfn.LET(_xlpm.steps,SUBSTITUTE(Table13[[#This Row],[Input]],Table13[[#This Row],[Direction]],""),VALUE(IF(LEN(_xlpm.steps)&gt;2,LEFT(_xlpm.steps,LEN(_xlpm.steps)-2),0)))</f>
        <v>0</v>
      </c>
      <c r="E102">
        <f>_xlfn.LET(_xlpm.dir,Table13[[#This Row],[Direction]],
IF(_xlpm.dir="L",
    IF(G101-Table13[[#This Row],[Steps]]&lt;0,100+(G101-Table13[[#This Row],[Steps]]),G101-Table13[[#This Row],[Steps]]),
))</f>
        <v>26</v>
      </c>
      <c r="F102">
        <f>_xlfn.LET(_xlpm.dir,Table13[[#This Row],[Direction]],
IF(_xlpm.dir="R",
    IF(G101+Table13[[#This Row],[Steps]]&gt;99,(G101+Table13[[#This Row],[Steps]])-100,G101+Table13[[#This Row],[Steps]]),
))</f>
        <v>0</v>
      </c>
      <c r="G102">
        <f>IF(Table13[[#This Row],[New Pos L]]&lt;&gt;0,Table13[[#This Row],[New Pos L]],Table13[[#This Row],[New Pos R]])</f>
        <v>26</v>
      </c>
      <c r="H102">
        <f>IF(AND(Table13[[#This Row],[Direction]]="L",Table13[[#This Row],[Steps]]&gt;G101,G101&lt;&gt;0),1,0)</f>
        <v>0</v>
      </c>
      <c r="I102">
        <f>IF(AND(Table13[[#This Row],[Direction]]="R",(G101+Table13[[#This Row],[Steps]])&gt;100),1,0)</f>
        <v>0</v>
      </c>
      <c r="J102">
        <f>IF(Table13[[#This Row],[POS]]=0,1,0)</f>
        <v>0</v>
      </c>
      <c r="K102">
        <f>SUM(Table13[[#This Row],[prefix]],Table13[[#This Row],[Past zero L]],Table13[[#This Row],[Past Zero R]],Table13[[#This Row],[Is Zero]])</f>
        <v>0</v>
      </c>
    </row>
    <row r="103" spans="1:11" ht="16" x14ac:dyDescent="0.2">
      <c r="A103" s="1" t="s">
        <v>77</v>
      </c>
      <c r="B103" t="str">
        <f>LEFT(Table13[[#This Row],[Input]],1)</f>
        <v>R</v>
      </c>
      <c r="C103">
        <f>_xlfn.LET(_xlpm.steps,SUBSTITUTE(Table13[[#This Row],[Input]],Table13[[#This Row],[Direction]],""),VALUE(IF(LEN(_xlpm.steps)&gt;2,RIGHT(_xlpm.steps,2),_xlpm.steps)))</f>
        <v>74</v>
      </c>
      <c r="D103">
        <f>_xlfn.LET(_xlpm.steps,SUBSTITUTE(Table13[[#This Row],[Input]],Table13[[#This Row],[Direction]],""),VALUE(IF(LEN(_xlpm.steps)&gt;2,LEFT(_xlpm.steps,LEN(_xlpm.steps)-2),0)))</f>
        <v>0</v>
      </c>
      <c r="E103">
        <f>_xlfn.LET(_xlpm.dir,Table13[[#This Row],[Direction]],
IF(_xlpm.dir="L",
    IF(G102-Table13[[#This Row],[Steps]]&lt;0,100+(G102-Table13[[#This Row],[Steps]]),G102-Table13[[#This Row],[Steps]]),
))</f>
        <v>0</v>
      </c>
      <c r="F103">
        <f>_xlfn.LET(_xlpm.dir,Table13[[#This Row],[Direction]],
IF(_xlpm.dir="R",
    IF(G102+Table13[[#This Row],[Steps]]&gt;99,(G102+Table13[[#This Row],[Steps]])-100,G102+Table13[[#This Row],[Steps]]),
))</f>
        <v>0</v>
      </c>
      <c r="G103">
        <f>IF(Table13[[#This Row],[New Pos L]]&lt;&gt;0,Table13[[#This Row],[New Pos L]],Table13[[#This Row],[New Pos R]])</f>
        <v>0</v>
      </c>
      <c r="H103">
        <f>IF(AND(Table13[[#This Row],[Direction]]="L",Table13[[#This Row],[Steps]]&gt;G102,G102&lt;&gt;0),1,0)</f>
        <v>0</v>
      </c>
      <c r="I103">
        <f>IF(AND(Table13[[#This Row],[Direction]]="R",(G102+Table13[[#This Row],[Steps]])&gt;100),1,0)</f>
        <v>0</v>
      </c>
      <c r="J103">
        <f>IF(Table13[[#This Row],[POS]]=0,1,0)</f>
        <v>1</v>
      </c>
      <c r="K103">
        <f>SUM(Table13[[#This Row],[prefix]],Table13[[#This Row],[Past zero L]],Table13[[#This Row],[Past Zero R]],Table13[[#This Row],[Is Zero]])</f>
        <v>1</v>
      </c>
    </row>
    <row r="104" spans="1:11" ht="16" x14ac:dyDescent="0.2">
      <c r="A104" s="1" t="s">
        <v>33</v>
      </c>
      <c r="B104" t="str">
        <f>LEFT(Table13[[#This Row],[Input]],1)</f>
        <v>R</v>
      </c>
      <c r="C104">
        <f>_xlfn.LET(_xlpm.steps,SUBSTITUTE(Table13[[#This Row],[Input]],Table13[[#This Row],[Direction]],""),VALUE(IF(LEN(_xlpm.steps)&gt;2,RIGHT(_xlpm.steps,2),_xlpm.steps)))</f>
        <v>22</v>
      </c>
      <c r="D104">
        <f>_xlfn.LET(_xlpm.steps,SUBSTITUTE(Table13[[#This Row],[Input]],Table13[[#This Row],[Direction]],""),VALUE(IF(LEN(_xlpm.steps)&gt;2,LEFT(_xlpm.steps,LEN(_xlpm.steps)-2),0)))</f>
        <v>0</v>
      </c>
      <c r="E104">
        <f>_xlfn.LET(_xlpm.dir,Table13[[#This Row],[Direction]],
IF(_xlpm.dir="L",
    IF(G103-Table13[[#This Row],[Steps]]&lt;0,100+(G103-Table13[[#This Row],[Steps]]),G103-Table13[[#This Row],[Steps]]),
))</f>
        <v>0</v>
      </c>
      <c r="F104">
        <f>_xlfn.LET(_xlpm.dir,Table13[[#This Row],[Direction]],
IF(_xlpm.dir="R",
    IF(G103+Table13[[#This Row],[Steps]]&gt;99,(G103+Table13[[#This Row],[Steps]])-100,G103+Table13[[#This Row],[Steps]]),
))</f>
        <v>22</v>
      </c>
      <c r="G104">
        <f>IF(Table13[[#This Row],[New Pos L]]&lt;&gt;0,Table13[[#This Row],[New Pos L]],Table13[[#This Row],[New Pos R]])</f>
        <v>22</v>
      </c>
      <c r="H104">
        <f>IF(AND(Table13[[#This Row],[Direction]]="L",Table13[[#This Row],[Steps]]&gt;G103,G103&lt;&gt;0),1,0)</f>
        <v>0</v>
      </c>
      <c r="I104">
        <f>IF(AND(Table13[[#This Row],[Direction]]="R",(G103+Table13[[#This Row],[Steps]])&gt;100),1,0)</f>
        <v>0</v>
      </c>
      <c r="J104">
        <f>IF(Table13[[#This Row],[POS]]=0,1,0)</f>
        <v>0</v>
      </c>
      <c r="K104">
        <f>SUM(Table13[[#This Row],[prefix]],Table13[[#This Row],[Past zero L]],Table13[[#This Row],[Past Zero R]],Table13[[#This Row],[Is Zero]])</f>
        <v>0</v>
      </c>
    </row>
    <row r="105" spans="1:11" ht="16" x14ac:dyDescent="0.2">
      <c r="A105" s="1" t="s">
        <v>78</v>
      </c>
      <c r="B105" t="str">
        <f>LEFT(Table13[[#This Row],[Input]],1)</f>
        <v>R</v>
      </c>
      <c r="C105">
        <f>_xlfn.LET(_xlpm.steps,SUBSTITUTE(Table13[[#This Row],[Input]],Table13[[#This Row],[Direction]],""),VALUE(IF(LEN(_xlpm.steps)&gt;2,RIGHT(_xlpm.steps,2),_xlpm.steps)))</f>
        <v>78</v>
      </c>
      <c r="D105">
        <f>_xlfn.LET(_xlpm.steps,SUBSTITUTE(Table13[[#This Row],[Input]],Table13[[#This Row],[Direction]],""),VALUE(IF(LEN(_xlpm.steps)&gt;2,LEFT(_xlpm.steps,LEN(_xlpm.steps)-2),0)))</f>
        <v>4</v>
      </c>
      <c r="E105">
        <f>_xlfn.LET(_xlpm.dir,Table13[[#This Row],[Direction]],
IF(_xlpm.dir="L",
    IF(G104-Table13[[#This Row],[Steps]]&lt;0,100+(G104-Table13[[#This Row],[Steps]]),G104-Table13[[#This Row],[Steps]]),
))</f>
        <v>0</v>
      </c>
      <c r="F105">
        <f>_xlfn.LET(_xlpm.dir,Table13[[#This Row],[Direction]],
IF(_xlpm.dir="R",
    IF(G104+Table13[[#This Row],[Steps]]&gt;99,(G104+Table13[[#This Row],[Steps]])-100,G104+Table13[[#This Row],[Steps]]),
))</f>
        <v>0</v>
      </c>
      <c r="G105">
        <f>IF(Table13[[#This Row],[New Pos L]]&lt;&gt;0,Table13[[#This Row],[New Pos L]],Table13[[#This Row],[New Pos R]])</f>
        <v>0</v>
      </c>
      <c r="H105">
        <f>IF(AND(Table13[[#This Row],[Direction]]="L",Table13[[#This Row],[Steps]]&gt;G104,G104&lt;&gt;0),1,0)</f>
        <v>0</v>
      </c>
      <c r="I105">
        <f>IF(AND(Table13[[#This Row],[Direction]]="R",(G104+Table13[[#This Row],[Steps]])&gt;100),1,0)</f>
        <v>0</v>
      </c>
      <c r="J105">
        <f>IF(Table13[[#This Row],[POS]]=0,1,0)</f>
        <v>1</v>
      </c>
      <c r="K105">
        <f>SUM(Table13[[#This Row],[prefix]],Table13[[#This Row],[Past zero L]],Table13[[#This Row],[Past Zero R]],Table13[[#This Row],[Is Zero]])</f>
        <v>5</v>
      </c>
    </row>
    <row r="106" spans="1:11" ht="16" x14ac:dyDescent="0.2">
      <c r="A106" s="1" t="s">
        <v>16</v>
      </c>
      <c r="B106" t="str">
        <f>LEFT(Table13[[#This Row],[Input]],1)</f>
        <v>L</v>
      </c>
      <c r="C106">
        <f>_xlfn.LET(_xlpm.steps,SUBSTITUTE(Table13[[#This Row],[Input]],Table13[[#This Row],[Direction]],""),VALUE(IF(LEN(_xlpm.steps)&gt;2,RIGHT(_xlpm.steps,2),_xlpm.steps)))</f>
        <v>10</v>
      </c>
      <c r="D106">
        <f>_xlfn.LET(_xlpm.steps,SUBSTITUTE(Table13[[#This Row],[Input]],Table13[[#This Row],[Direction]],""),VALUE(IF(LEN(_xlpm.steps)&gt;2,LEFT(_xlpm.steps,LEN(_xlpm.steps)-2),0)))</f>
        <v>0</v>
      </c>
      <c r="E106">
        <f>_xlfn.LET(_xlpm.dir,Table13[[#This Row],[Direction]],
IF(_xlpm.dir="L",
    IF(G105-Table13[[#This Row],[Steps]]&lt;0,100+(G105-Table13[[#This Row],[Steps]]),G105-Table13[[#This Row],[Steps]]),
))</f>
        <v>90</v>
      </c>
      <c r="F106">
        <f>_xlfn.LET(_xlpm.dir,Table13[[#This Row],[Direction]],
IF(_xlpm.dir="R",
    IF(G105+Table13[[#This Row],[Steps]]&gt;99,(G105+Table13[[#This Row],[Steps]])-100,G105+Table13[[#This Row],[Steps]]),
))</f>
        <v>0</v>
      </c>
      <c r="G106">
        <f>IF(Table13[[#This Row],[New Pos L]]&lt;&gt;0,Table13[[#This Row],[New Pos L]],Table13[[#This Row],[New Pos R]])</f>
        <v>90</v>
      </c>
      <c r="H106">
        <f>IF(AND(Table13[[#This Row],[Direction]]="L",Table13[[#This Row],[Steps]]&gt;G105,G105&lt;&gt;0),1,0)</f>
        <v>0</v>
      </c>
      <c r="I106">
        <f>IF(AND(Table13[[#This Row],[Direction]]="R",(G105+Table13[[#This Row],[Steps]])&gt;100),1,0)</f>
        <v>0</v>
      </c>
      <c r="J106">
        <f>IF(Table13[[#This Row],[POS]]=0,1,0)</f>
        <v>0</v>
      </c>
      <c r="K106">
        <f>SUM(Table13[[#This Row],[prefix]],Table13[[#This Row],[Past zero L]],Table13[[#This Row],[Past Zero R]],Table13[[#This Row],[Is Zero]])</f>
        <v>0</v>
      </c>
    </row>
    <row r="107" spans="1:11" ht="16" x14ac:dyDescent="0.2">
      <c r="A107" s="1" t="s">
        <v>37</v>
      </c>
      <c r="B107" t="str">
        <f>LEFT(Table13[[#This Row],[Input]],1)</f>
        <v>L</v>
      </c>
      <c r="C107">
        <f>_xlfn.LET(_xlpm.steps,SUBSTITUTE(Table13[[#This Row],[Input]],Table13[[#This Row],[Direction]],""),VALUE(IF(LEN(_xlpm.steps)&gt;2,RIGHT(_xlpm.steps,2),_xlpm.steps)))</f>
        <v>42</v>
      </c>
      <c r="D107">
        <f>_xlfn.LET(_xlpm.steps,SUBSTITUTE(Table13[[#This Row],[Input]],Table13[[#This Row],[Direction]],""),VALUE(IF(LEN(_xlpm.steps)&gt;2,LEFT(_xlpm.steps,LEN(_xlpm.steps)-2),0)))</f>
        <v>0</v>
      </c>
      <c r="E107">
        <f>_xlfn.LET(_xlpm.dir,Table13[[#This Row],[Direction]],
IF(_xlpm.dir="L",
    IF(G106-Table13[[#This Row],[Steps]]&lt;0,100+(G106-Table13[[#This Row],[Steps]]),G106-Table13[[#This Row],[Steps]]),
))</f>
        <v>48</v>
      </c>
      <c r="F107">
        <f>_xlfn.LET(_xlpm.dir,Table13[[#This Row],[Direction]],
IF(_xlpm.dir="R",
    IF(G106+Table13[[#This Row],[Steps]]&gt;99,(G106+Table13[[#This Row],[Steps]])-100,G106+Table13[[#This Row],[Steps]]),
))</f>
        <v>0</v>
      </c>
      <c r="G107">
        <f>IF(Table13[[#This Row],[New Pos L]]&lt;&gt;0,Table13[[#This Row],[New Pos L]],Table13[[#This Row],[New Pos R]])</f>
        <v>48</v>
      </c>
      <c r="H107">
        <f>IF(AND(Table13[[#This Row],[Direction]]="L",Table13[[#This Row],[Steps]]&gt;G106,G106&lt;&gt;0),1,0)</f>
        <v>0</v>
      </c>
      <c r="I107">
        <f>IF(AND(Table13[[#This Row],[Direction]]="R",(G106+Table13[[#This Row],[Steps]])&gt;100),1,0)</f>
        <v>0</v>
      </c>
      <c r="J107">
        <f>IF(Table13[[#This Row],[POS]]=0,1,0)</f>
        <v>0</v>
      </c>
      <c r="K107">
        <f>SUM(Table13[[#This Row],[prefix]],Table13[[#This Row],[Past zero L]],Table13[[#This Row],[Past Zero R]],Table13[[#This Row],[Is Zero]])</f>
        <v>0</v>
      </c>
    </row>
    <row r="108" spans="1:11" ht="16" x14ac:dyDescent="0.2">
      <c r="A108" s="1" t="s">
        <v>47</v>
      </c>
      <c r="B108" t="str">
        <f>LEFT(Table13[[#This Row],[Input]],1)</f>
        <v>R</v>
      </c>
      <c r="C108">
        <f>_xlfn.LET(_xlpm.steps,SUBSTITUTE(Table13[[#This Row],[Input]],Table13[[#This Row],[Direction]],""),VALUE(IF(LEN(_xlpm.steps)&gt;2,RIGHT(_xlpm.steps,2),_xlpm.steps)))</f>
        <v>97</v>
      </c>
      <c r="D108">
        <f>_xlfn.LET(_xlpm.steps,SUBSTITUTE(Table13[[#This Row],[Input]],Table13[[#This Row],[Direction]],""),VALUE(IF(LEN(_xlpm.steps)&gt;2,LEFT(_xlpm.steps,LEN(_xlpm.steps)-2),0)))</f>
        <v>0</v>
      </c>
      <c r="E108">
        <f>_xlfn.LET(_xlpm.dir,Table13[[#This Row],[Direction]],
IF(_xlpm.dir="L",
    IF(G107-Table13[[#This Row],[Steps]]&lt;0,100+(G107-Table13[[#This Row],[Steps]]),G107-Table13[[#This Row],[Steps]]),
))</f>
        <v>0</v>
      </c>
      <c r="F108">
        <f>_xlfn.LET(_xlpm.dir,Table13[[#This Row],[Direction]],
IF(_xlpm.dir="R",
    IF(G107+Table13[[#This Row],[Steps]]&gt;99,(G107+Table13[[#This Row],[Steps]])-100,G107+Table13[[#This Row],[Steps]]),
))</f>
        <v>45</v>
      </c>
      <c r="G108">
        <f>IF(Table13[[#This Row],[New Pos L]]&lt;&gt;0,Table13[[#This Row],[New Pos L]],Table13[[#This Row],[New Pos R]])</f>
        <v>45</v>
      </c>
      <c r="H108">
        <f>IF(AND(Table13[[#This Row],[Direction]]="L",Table13[[#This Row],[Steps]]&gt;G107,G107&lt;&gt;0),1,0)</f>
        <v>0</v>
      </c>
      <c r="I108">
        <f>IF(AND(Table13[[#This Row],[Direction]]="R",(G107+Table13[[#This Row],[Steps]])&gt;100),1,0)</f>
        <v>1</v>
      </c>
      <c r="J108">
        <f>IF(Table13[[#This Row],[POS]]=0,1,0)</f>
        <v>0</v>
      </c>
      <c r="K108">
        <f>SUM(Table13[[#This Row],[prefix]],Table13[[#This Row],[Past zero L]],Table13[[#This Row],[Past Zero R]],Table13[[#This Row],[Is Zero]])</f>
        <v>1</v>
      </c>
    </row>
    <row r="109" spans="1:11" ht="16" x14ac:dyDescent="0.2">
      <c r="A109" s="1" t="s">
        <v>79</v>
      </c>
      <c r="B109" t="str">
        <f>LEFT(Table13[[#This Row],[Input]],1)</f>
        <v>L</v>
      </c>
      <c r="C109">
        <f>_xlfn.LET(_xlpm.steps,SUBSTITUTE(Table13[[#This Row],[Input]],Table13[[#This Row],[Direction]],""),VALUE(IF(LEN(_xlpm.steps)&gt;2,RIGHT(_xlpm.steps,2),_xlpm.steps)))</f>
        <v>45</v>
      </c>
      <c r="D109">
        <f>_xlfn.LET(_xlpm.steps,SUBSTITUTE(Table13[[#This Row],[Input]],Table13[[#This Row],[Direction]],""),VALUE(IF(LEN(_xlpm.steps)&gt;2,LEFT(_xlpm.steps,LEN(_xlpm.steps)-2),0)))</f>
        <v>0</v>
      </c>
      <c r="E109">
        <f>_xlfn.LET(_xlpm.dir,Table13[[#This Row],[Direction]],
IF(_xlpm.dir="L",
    IF(G108-Table13[[#This Row],[Steps]]&lt;0,100+(G108-Table13[[#This Row],[Steps]]),G108-Table13[[#This Row],[Steps]]),
))</f>
        <v>0</v>
      </c>
      <c r="F109">
        <f>_xlfn.LET(_xlpm.dir,Table13[[#This Row],[Direction]],
IF(_xlpm.dir="R",
    IF(G108+Table13[[#This Row],[Steps]]&gt;99,(G108+Table13[[#This Row],[Steps]])-100,G108+Table13[[#This Row],[Steps]]),
))</f>
        <v>0</v>
      </c>
      <c r="G109">
        <f>IF(Table13[[#This Row],[New Pos L]]&lt;&gt;0,Table13[[#This Row],[New Pos L]],Table13[[#This Row],[New Pos R]])</f>
        <v>0</v>
      </c>
      <c r="H109">
        <f>IF(AND(Table13[[#This Row],[Direction]]="L",Table13[[#This Row],[Steps]]&gt;G108,G108&lt;&gt;0),1,0)</f>
        <v>0</v>
      </c>
      <c r="I109">
        <f>IF(AND(Table13[[#This Row],[Direction]]="R",(G108+Table13[[#This Row],[Steps]])&gt;100),1,0)</f>
        <v>0</v>
      </c>
      <c r="J109">
        <f>IF(Table13[[#This Row],[POS]]=0,1,0)</f>
        <v>1</v>
      </c>
      <c r="K109">
        <f>SUM(Table13[[#This Row],[prefix]],Table13[[#This Row],[Past zero L]],Table13[[#This Row],[Past Zero R]],Table13[[#This Row],[Is Zero]])</f>
        <v>1</v>
      </c>
    </row>
    <row r="110" spans="1:11" ht="16" x14ac:dyDescent="0.2">
      <c r="A110" s="1" t="s">
        <v>80</v>
      </c>
      <c r="B110" t="str">
        <f>LEFT(Table13[[#This Row],[Input]],1)</f>
        <v>L</v>
      </c>
      <c r="C110">
        <f>_xlfn.LET(_xlpm.steps,SUBSTITUTE(Table13[[#This Row],[Input]],Table13[[#This Row],[Direction]],""),VALUE(IF(LEN(_xlpm.steps)&gt;2,RIGHT(_xlpm.steps,2),_xlpm.steps)))</f>
        <v>48</v>
      </c>
      <c r="D110">
        <f>_xlfn.LET(_xlpm.steps,SUBSTITUTE(Table13[[#This Row],[Input]],Table13[[#This Row],[Direction]],""),VALUE(IF(LEN(_xlpm.steps)&gt;2,LEFT(_xlpm.steps,LEN(_xlpm.steps)-2),0)))</f>
        <v>0</v>
      </c>
      <c r="E110">
        <f>_xlfn.LET(_xlpm.dir,Table13[[#This Row],[Direction]],
IF(_xlpm.dir="L",
    IF(G109-Table13[[#This Row],[Steps]]&lt;0,100+(G109-Table13[[#This Row],[Steps]]),G109-Table13[[#This Row],[Steps]]),
))</f>
        <v>52</v>
      </c>
      <c r="F110">
        <f>_xlfn.LET(_xlpm.dir,Table13[[#This Row],[Direction]],
IF(_xlpm.dir="R",
    IF(G109+Table13[[#This Row],[Steps]]&gt;99,(G109+Table13[[#This Row],[Steps]])-100,G109+Table13[[#This Row],[Steps]]),
))</f>
        <v>0</v>
      </c>
      <c r="G110">
        <f>IF(Table13[[#This Row],[New Pos L]]&lt;&gt;0,Table13[[#This Row],[New Pos L]],Table13[[#This Row],[New Pos R]])</f>
        <v>52</v>
      </c>
      <c r="H110">
        <f>IF(AND(Table13[[#This Row],[Direction]]="L",Table13[[#This Row],[Steps]]&gt;G109,G109&lt;&gt;0),1,0)</f>
        <v>0</v>
      </c>
      <c r="I110">
        <f>IF(AND(Table13[[#This Row],[Direction]]="R",(G109+Table13[[#This Row],[Steps]])&gt;100),1,0)</f>
        <v>0</v>
      </c>
      <c r="J110">
        <f>IF(Table13[[#This Row],[POS]]=0,1,0)</f>
        <v>0</v>
      </c>
      <c r="K110">
        <f>SUM(Table13[[#This Row],[prefix]],Table13[[#This Row],[Past zero L]],Table13[[#This Row],[Past Zero R]],Table13[[#This Row],[Is Zero]])</f>
        <v>0</v>
      </c>
    </row>
    <row r="111" spans="1:11" ht="16" x14ac:dyDescent="0.2">
      <c r="A111" s="1" t="s">
        <v>26</v>
      </c>
      <c r="B111" t="str">
        <f>LEFT(Table13[[#This Row],[Input]],1)</f>
        <v>R</v>
      </c>
      <c r="C111">
        <f>_xlfn.LET(_xlpm.steps,SUBSTITUTE(Table13[[#This Row],[Input]],Table13[[#This Row],[Direction]],""),VALUE(IF(LEN(_xlpm.steps)&gt;2,RIGHT(_xlpm.steps,2),_xlpm.steps)))</f>
        <v>6</v>
      </c>
      <c r="D111">
        <f>_xlfn.LET(_xlpm.steps,SUBSTITUTE(Table13[[#This Row],[Input]],Table13[[#This Row],[Direction]],""),VALUE(IF(LEN(_xlpm.steps)&gt;2,LEFT(_xlpm.steps,LEN(_xlpm.steps)-2),0)))</f>
        <v>0</v>
      </c>
      <c r="E111">
        <f>_xlfn.LET(_xlpm.dir,Table13[[#This Row],[Direction]],
IF(_xlpm.dir="L",
    IF(G110-Table13[[#This Row],[Steps]]&lt;0,100+(G110-Table13[[#This Row],[Steps]]),G110-Table13[[#This Row],[Steps]]),
))</f>
        <v>0</v>
      </c>
      <c r="F111">
        <f>_xlfn.LET(_xlpm.dir,Table13[[#This Row],[Direction]],
IF(_xlpm.dir="R",
    IF(G110+Table13[[#This Row],[Steps]]&gt;99,(G110+Table13[[#This Row],[Steps]])-100,G110+Table13[[#This Row],[Steps]]),
))</f>
        <v>58</v>
      </c>
      <c r="G111">
        <f>IF(Table13[[#This Row],[New Pos L]]&lt;&gt;0,Table13[[#This Row],[New Pos L]],Table13[[#This Row],[New Pos R]])</f>
        <v>58</v>
      </c>
      <c r="H111">
        <f>IF(AND(Table13[[#This Row],[Direction]]="L",Table13[[#This Row],[Steps]]&gt;G110,G110&lt;&gt;0),1,0)</f>
        <v>0</v>
      </c>
      <c r="I111">
        <f>IF(AND(Table13[[#This Row],[Direction]]="R",(G110+Table13[[#This Row],[Steps]])&gt;100),1,0)</f>
        <v>0</v>
      </c>
      <c r="J111">
        <f>IF(Table13[[#This Row],[POS]]=0,1,0)</f>
        <v>0</v>
      </c>
      <c r="K111">
        <f>SUM(Table13[[#This Row],[prefix]],Table13[[#This Row],[Past zero L]],Table13[[#This Row],[Past Zero R]],Table13[[#This Row],[Is Zero]])</f>
        <v>0</v>
      </c>
    </row>
    <row r="112" spans="1:11" ht="16" x14ac:dyDescent="0.2">
      <c r="A112" s="1" t="s">
        <v>81</v>
      </c>
      <c r="B112" t="str">
        <f>LEFT(Table13[[#This Row],[Input]],1)</f>
        <v>R</v>
      </c>
      <c r="C112">
        <f>_xlfn.LET(_xlpm.steps,SUBSTITUTE(Table13[[#This Row],[Input]],Table13[[#This Row],[Direction]],""),VALUE(IF(LEN(_xlpm.steps)&gt;2,RIGHT(_xlpm.steps,2),_xlpm.steps)))</f>
        <v>17</v>
      </c>
      <c r="D112">
        <f>_xlfn.LET(_xlpm.steps,SUBSTITUTE(Table13[[#This Row],[Input]],Table13[[#This Row],[Direction]],""),VALUE(IF(LEN(_xlpm.steps)&gt;2,LEFT(_xlpm.steps,LEN(_xlpm.steps)-2),0)))</f>
        <v>0</v>
      </c>
      <c r="E112">
        <f>_xlfn.LET(_xlpm.dir,Table13[[#This Row],[Direction]],
IF(_xlpm.dir="L",
    IF(G111-Table13[[#This Row],[Steps]]&lt;0,100+(G111-Table13[[#This Row],[Steps]]),G111-Table13[[#This Row],[Steps]]),
))</f>
        <v>0</v>
      </c>
      <c r="F112">
        <f>_xlfn.LET(_xlpm.dir,Table13[[#This Row],[Direction]],
IF(_xlpm.dir="R",
    IF(G111+Table13[[#This Row],[Steps]]&gt;99,(G111+Table13[[#This Row],[Steps]])-100,G111+Table13[[#This Row],[Steps]]),
))</f>
        <v>75</v>
      </c>
      <c r="G112">
        <f>IF(Table13[[#This Row],[New Pos L]]&lt;&gt;0,Table13[[#This Row],[New Pos L]],Table13[[#This Row],[New Pos R]])</f>
        <v>75</v>
      </c>
      <c r="H112">
        <f>IF(AND(Table13[[#This Row],[Direction]]="L",Table13[[#This Row],[Steps]]&gt;G111,G111&lt;&gt;0),1,0)</f>
        <v>0</v>
      </c>
      <c r="I112">
        <f>IF(AND(Table13[[#This Row],[Direction]]="R",(G111+Table13[[#This Row],[Steps]])&gt;100),1,0)</f>
        <v>0</v>
      </c>
      <c r="J112">
        <f>IF(Table13[[#This Row],[POS]]=0,1,0)</f>
        <v>0</v>
      </c>
      <c r="K112">
        <f>SUM(Table13[[#This Row],[prefix]],Table13[[#This Row],[Past zero L]],Table13[[#This Row],[Past Zero R]],Table13[[#This Row],[Is Zero]])</f>
        <v>0</v>
      </c>
    </row>
    <row r="113" spans="1:11" ht="16" x14ac:dyDescent="0.2">
      <c r="A113" s="1" t="s">
        <v>54</v>
      </c>
      <c r="B113" t="str">
        <f>LEFT(Table13[[#This Row],[Input]],1)</f>
        <v>L</v>
      </c>
      <c r="C113">
        <f>_xlfn.LET(_xlpm.steps,SUBSTITUTE(Table13[[#This Row],[Input]],Table13[[#This Row],[Direction]],""),VALUE(IF(LEN(_xlpm.steps)&gt;2,RIGHT(_xlpm.steps,2),_xlpm.steps)))</f>
        <v>75</v>
      </c>
      <c r="D113">
        <f>_xlfn.LET(_xlpm.steps,SUBSTITUTE(Table13[[#This Row],[Input]],Table13[[#This Row],[Direction]],""),VALUE(IF(LEN(_xlpm.steps)&gt;2,LEFT(_xlpm.steps,LEN(_xlpm.steps)-2),0)))</f>
        <v>0</v>
      </c>
      <c r="E113">
        <f>_xlfn.LET(_xlpm.dir,Table13[[#This Row],[Direction]],
IF(_xlpm.dir="L",
    IF(G112-Table13[[#This Row],[Steps]]&lt;0,100+(G112-Table13[[#This Row],[Steps]]),G112-Table13[[#This Row],[Steps]]),
))</f>
        <v>0</v>
      </c>
      <c r="F113">
        <f>_xlfn.LET(_xlpm.dir,Table13[[#This Row],[Direction]],
IF(_xlpm.dir="R",
    IF(G112+Table13[[#This Row],[Steps]]&gt;99,(G112+Table13[[#This Row],[Steps]])-100,G112+Table13[[#This Row],[Steps]]),
))</f>
        <v>0</v>
      </c>
      <c r="G113">
        <f>IF(Table13[[#This Row],[New Pos L]]&lt;&gt;0,Table13[[#This Row],[New Pos L]],Table13[[#This Row],[New Pos R]])</f>
        <v>0</v>
      </c>
      <c r="H113">
        <f>IF(AND(Table13[[#This Row],[Direction]]="L",Table13[[#This Row],[Steps]]&gt;G112,G112&lt;&gt;0),1,0)</f>
        <v>0</v>
      </c>
      <c r="I113">
        <f>IF(AND(Table13[[#This Row],[Direction]]="R",(G112+Table13[[#This Row],[Steps]])&gt;100),1,0)</f>
        <v>0</v>
      </c>
      <c r="J113">
        <f>IF(Table13[[#This Row],[POS]]=0,1,0)</f>
        <v>1</v>
      </c>
      <c r="K113">
        <f>SUM(Table13[[#This Row],[prefix]],Table13[[#This Row],[Past zero L]],Table13[[#This Row],[Past Zero R]],Table13[[#This Row],[Is Zero]])</f>
        <v>1</v>
      </c>
    </row>
    <row r="114" spans="1:11" ht="16" x14ac:dyDescent="0.2">
      <c r="A114" s="1" t="s">
        <v>37</v>
      </c>
      <c r="B114" t="str">
        <f>LEFT(Table13[[#This Row],[Input]],1)</f>
        <v>L</v>
      </c>
      <c r="C114">
        <f>_xlfn.LET(_xlpm.steps,SUBSTITUTE(Table13[[#This Row],[Input]],Table13[[#This Row],[Direction]],""),VALUE(IF(LEN(_xlpm.steps)&gt;2,RIGHT(_xlpm.steps,2),_xlpm.steps)))</f>
        <v>42</v>
      </c>
      <c r="D114">
        <f>_xlfn.LET(_xlpm.steps,SUBSTITUTE(Table13[[#This Row],[Input]],Table13[[#This Row],[Direction]],""),VALUE(IF(LEN(_xlpm.steps)&gt;2,LEFT(_xlpm.steps,LEN(_xlpm.steps)-2),0)))</f>
        <v>0</v>
      </c>
      <c r="E114">
        <f>_xlfn.LET(_xlpm.dir,Table13[[#This Row],[Direction]],
IF(_xlpm.dir="L",
    IF(G113-Table13[[#This Row],[Steps]]&lt;0,100+(G113-Table13[[#This Row],[Steps]]),G113-Table13[[#This Row],[Steps]]),
))</f>
        <v>58</v>
      </c>
      <c r="F114">
        <f>_xlfn.LET(_xlpm.dir,Table13[[#This Row],[Direction]],
IF(_xlpm.dir="R",
    IF(G113+Table13[[#This Row],[Steps]]&gt;99,(G113+Table13[[#This Row],[Steps]])-100,G113+Table13[[#This Row],[Steps]]),
))</f>
        <v>0</v>
      </c>
      <c r="G114">
        <f>IF(Table13[[#This Row],[New Pos L]]&lt;&gt;0,Table13[[#This Row],[New Pos L]],Table13[[#This Row],[New Pos R]])</f>
        <v>58</v>
      </c>
      <c r="H114">
        <f>IF(AND(Table13[[#This Row],[Direction]]="L",Table13[[#This Row],[Steps]]&gt;G113,G113&lt;&gt;0),1,0)</f>
        <v>0</v>
      </c>
      <c r="I114">
        <f>IF(AND(Table13[[#This Row],[Direction]]="R",(G113+Table13[[#This Row],[Steps]])&gt;100),1,0)</f>
        <v>0</v>
      </c>
      <c r="J114">
        <f>IF(Table13[[#This Row],[POS]]=0,1,0)</f>
        <v>0</v>
      </c>
      <c r="K114">
        <f>SUM(Table13[[#This Row],[prefix]],Table13[[#This Row],[Past zero L]],Table13[[#This Row],[Past Zero R]],Table13[[#This Row],[Is Zero]])</f>
        <v>0</v>
      </c>
    </row>
    <row r="115" spans="1:11" ht="16" x14ac:dyDescent="0.2">
      <c r="A115" s="1" t="s">
        <v>82</v>
      </c>
      <c r="B115" t="str">
        <f>LEFT(Table13[[#This Row],[Input]],1)</f>
        <v>L</v>
      </c>
      <c r="C115">
        <f>_xlfn.LET(_xlpm.steps,SUBSTITUTE(Table13[[#This Row],[Input]],Table13[[#This Row],[Direction]],""),VALUE(IF(LEN(_xlpm.steps)&gt;2,RIGHT(_xlpm.steps,2),_xlpm.steps)))</f>
        <v>55</v>
      </c>
      <c r="D115">
        <f>_xlfn.LET(_xlpm.steps,SUBSTITUTE(Table13[[#This Row],[Input]],Table13[[#This Row],[Direction]],""),VALUE(IF(LEN(_xlpm.steps)&gt;2,LEFT(_xlpm.steps,LEN(_xlpm.steps)-2),0)))</f>
        <v>0</v>
      </c>
      <c r="E115">
        <f>_xlfn.LET(_xlpm.dir,Table13[[#This Row],[Direction]],
IF(_xlpm.dir="L",
    IF(G114-Table13[[#This Row],[Steps]]&lt;0,100+(G114-Table13[[#This Row],[Steps]]),G114-Table13[[#This Row],[Steps]]),
))</f>
        <v>3</v>
      </c>
      <c r="F115">
        <f>_xlfn.LET(_xlpm.dir,Table13[[#This Row],[Direction]],
IF(_xlpm.dir="R",
    IF(G114+Table13[[#This Row],[Steps]]&gt;99,(G114+Table13[[#This Row],[Steps]])-100,G114+Table13[[#This Row],[Steps]]),
))</f>
        <v>0</v>
      </c>
      <c r="G115">
        <f>IF(Table13[[#This Row],[New Pos L]]&lt;&gt;0,Table13[[#This Row],[New Pos L]],Table13[[#This Row],[New Pos R]])</f>
        <v>3</v>
      </c>
      <c r="H115">
        <f>IF(AND(Table13[[#This Row],[Direction]]="L",Table13[[#This Row],[Steps]]&gt;G114,G114&lt;&gt;0),1,0)</f>
        <v>0</v>
      </c>
      <c r="I115">
        <f>IF(AND(Table13[[#This Row],[Direction]]="R",(G114+Table13[[#This Row],[Steps]])&gt;100),1,0)</f>
        <v>0</v>
      </c>
      <c r="J115">
        <f>IF(Table13[[#This Row],[POS]]=0,1,0)</f>
        <v>0</v>
      </c>
      <c r="K115">
        <f>SUM(Table13[[#This Row],[prefix]],Table13[[#This Row],[Past zero L]],Table13[[#This Row],[Past Zero R]],Table13[[#This Row],[Is Zero]])</f>
        <v>0</v>
      </c>
    </row>
    <row r="116" spans="1:11" ht="16" x14ac:dyDescent="0.2">
      <c r="A116" s="1" t="s">
        <v>83</v>
      </c>
      <c r="B116" t="str">
        <f>LEFT(Table13[[#This Row],[Input]],1)</f>
        <v>R</v>
      </c>
      <c r="C116">
        <f>_xlfn.LET(_xlpm.steps,SUBSTITUTE(Table13[[#This Row],[Input]],Table13[[#This Row],[Direction]],""),VALUE(IF(LEN(_xlpm.steps)&gt;2,RIGHT(_xlpm.steps,2),_xlpm.steps)))</f>
        <v>79</v>
      </c>
      <c r="D116">
        <f>_xlfn.LET(_xlpm.steps,SUBSTITUTE(Table13[[#This Row],[Input]],Table13[[#This Row],[Direction]],""),VALUE(IF(LEN(_xlpm.steps)&gt;2,LEFT(_xlpm.steps,LEN(_xlpm.steps)-2),0)))</f>
        <v>0</v>
      </c>
      <c r="E116">
        <f>_xlfn.LET(_xlpm.dir,Table13[[#This Row],[Direction]],
IF(_xlpm.dir="L",
    IF(G115-Table13[[#This Row],[Steps]]&lt;0,100+(G115-Table13[[#This Row],[Steps]]),G115-Table13[[#This Row],[Steps]]),
))</f>
        <v>0</v>
      </c>
      <c r="F116">
        <f>_xlfn.LET(_xlpm.dir,Table13[[#This Row],[Direction]],
IF(_xlpm.dir="R",
    IF(G115+Table13[[#This Row],[Steps]]&gt;99,(G115+Table13[[#This Row],[Steps]])-100,G115+Table13[[#This Row],[Steps]]),
))</f>
        <v>82</v>
      </c>
      <c r="G116">
        <f>IF(Table13[[#This Row],[New Pos L]]&lt;&gt;0,Table13[[#This Row],[New Pos L]],Table13[[#This Row],[New Pos R]])</f>
        <v>82</v>
      </c>
      <c r="H116">
        <f>IF(AND(Table13[[#This Row],[Direction]]="L",Table13[[#This Row],[Steps]]&gt;G115,G115&lt;&gt;0),1,0)</f>
        <v>0</v>
      </c>
      <c r="I116">
        <f>IF(AND(Table13[[#This Row],[Direction]]="R",(G115+Table13[[#This Row],[Steps]])&gt;100),1,0)</f>
        <v>0</v>
      </c>
      <c r="J116">
        <f>IF(Table13[[#This Row],[POS]]=0,1,0)</f>
        <v>0</v>
      </c>
      <c r="K116">
        <f>SUM(Table13[[#This Row],[prefix]],Table13[[#This Row],[Past zero L]],Table13[[#This Row],[Past Zero R]],Table13[[#This Row],[Is Zero]])</f>
        <v>0</v>
      </c>
    </row>
    <row r="117" spans="1:11" ht="16" x14ac:dyDescent="0.2">
      <c r="A117" s="1" t="s">
        <v>69</v>
      </c>
      <c r="B117" t="str">
        <f>LEFT(Table13[[#This Row],[Input]],1)</f>
        <v>R</v>
      </c>
      <c r="C117">
        <f>_xlfn.LET(_xlpm.steps,SUBSTITUTE(Table13[[#This Row],[Input]],Table13[[#This Row],[Direction]],""),VALUE(IF(LEN(_xlpm.steps)&gt;2,RIGHT(_xlpm.steps,2),_xlpm.steps)))</f>
        <v>27</v>
      </c>
      <c r="D117">
        <f>_xlfn.LET(_xlpm.steps,SUBSTITUTE(Table13[[#This Row],[Input]],Table13[[#This Row],[Direction]],""),VALUE(IF(LEN(_xlpm.steps)&gt;2,LEFT(_xlpm.steps,LEN(_xlpm.steps)-2),0)))</f>
        <v>0</v>
      </c>
      <c r="E117">
        <f>_xlfn.LET(_xlpm.dir,Table13[[#This Row],[Direction]],
IF(_xlpm.dir="L",
    IF(G116-Table13[[#This Row],[Steps]]&lt;0,100+(G116-Table13[[#This Row],[Steps]]),G116-Table13[[#This Row],[Steps]]),
))</f>
        <v>0</v>
      </c>
      <c r="F117">
        <f>_xlfn.LET(_xlpm.dir,Table13[[#This Row],[Direction]],
IF(_xlpm.dir="R",
    IF(G116+Table13[[#This Row],[Steps]]&gt;99,(G116+Table13[[#This Row],[Steps]])-100,G116+Table13[[#This Row],[Steps]]),
))</f>
        <v>9</v>
      </c>
      <c r="G117">
        <f>IF(Table13[[#This Row],[New Pos L]]&lt;&gt;0,Table13[[#This Row],[New Pos L]],Table13[[#This Row],[New Pos R]])</f>
        <v>9</v>
      </c>
      <c r="H117">
        <f>IF(AND(Table13[[#This Row],[Direction]]="L",Table13[[#This Row],[Steps]]&gt;G116,G116&lt;&gt;0),1,0)</f>
        <v>0</v>
      </c>
      <c r="I117">
        <f>IF(AND(Table13[[#This Row],[Direction]]="R",(G116+Table13[[#This Row],[Steps]])&gt;100),1,0)</f>
        <v>1</v>
      </c>
      <c r="J117">
        <f>IF(Table13[[#This Row],[POS]]=0,1,0)</f>
        <v>0</v>
      </c>
      <c r="K117">
        <f>SUM(Table13[[#This Row],[prefix]],Table13[[#This Row],[Past zero L]],Table13[[#This Row],[Past Zero R]],Table13[[#This Row],[Is Zero]])</f>
        <v>1</v>
      </c>
    </row>
    <row r="118" spans="1:11" ht="16" x14ac:dyDescent="0.2">
      <c r="A118" s="1" t="s">
        <v>55</v>
      </c>
      <c r="B118" t="str">
        <f>LEFT(Table13[[#This Row],[Input]],1)</f>
        <v>L</v>
      </c>
      <c r="C118">
        <f>_xlfn.LET(_xlpm.steps,SUBSTITUTE(Table13[[#This Row],[Input]],Table13[[#This Row],[Direction]],""),VALUE(IF(LEN(_xlpm.steps)&gt;2,RIGHT(_xlpm.steps,2),_xlpm.steps)))</f>
        <v>82</v>
      </c>
      <c r="D118">
        <f>_xlfn.LET(_xlpm.steps,SUBSTITUTE(Table13[[#This Row],[Input]],Table13[[#This Row],[Direction]],""),VALUE(IF(LEN(_xlpm.steps)&gt;2,LEFT(_xlpm.steps,LEN(_xlpm.steps)-2),0)))</f>
        <v>0</v>
      </c>
      <c r="E118">
        <f>_xlfn.LET(_xlpm.dir,Table13[[#This Row],[Direction]],
IF(_xlpm.dir="L",
    IF(G117-Table13[[#This Row],[Steps]]&lt;0,100+(G117-Table13[[#This Row],[Steps]]),G117-Table13[[#This Row],[Steps]]),
))</f>
        <v>27</v>
      </c>
      <c r="F118">
        <f>_xlfn.LET(_xlpm.dir,Table13[[#This Row],[Direction]],
IF(_xlpm.dir="R",
    IF(G117+Table13[[#This Row],[Steps]]&gt;99,(G117+Table13[[#This Row],[Steps]])-100,G117+Table13[[#This Row],[Steps]]),
))</f>
        <v>0</v>
      </c>
      <c r="G118">
        <f>IF(Table13[[#This Row],[New Pos L]]&lt;&gt;0,Table13[[#This Row],[New Pos L]],Table13[[#This Row],[New Pos R]])</f>
        <v>27</v>
      </c>
      <c r="H118">
        <f>IF(AND(Table13[[#This Row],[Direction]]="L",Table13[[#This Row],[Steps]]&gt;G117,G117&lt;&gt;0),1,0)</f>
        <v>1</v>
      </c>
      <c r="I118">
        <f>IF(AND(Table13[[#This Row],[Direction]]="R",(G117+Table13[[#This Row],[Steps]])&gt;100),1,0)</f>
        <v>0</v>
      </c>
      <c r="J118">
        <f>IF(Table13[[#This Row],[POS]]=0,1,0)</f>
        <v>0</v>
      </c>
      <c r="K118">
        <f>SUM(Table13[[#This Row],[prefix]],Table13[[#This Row],[Past zero L]],Table13[[#This Row],[Past Zero R]],Table13[[#This Row],[Is Zero]])</f>
        <v>1</v>
      </c>
    </row>
    <row r="119" spans="1:11" ht="16" x14ac:dyDescent="0.2">
      <c r="A119" s="1" t="s">
        <v>84</v>
      </c>
      <c r="B119" t="str">
        <f>LEFT(Table13[[#This Row],[Input]],1)</f>
        <v>R</v>
      </c>
      <c r="C119">
        <f>_xlfn.LET(_xlpm.steps,SUBSTITUTE(Table13[[#This Row],[Input]],Table13[[#This Row],[Direction]],""),VALUE(IF(LEN(_xlpm.steps)&gt;2,RIGHT(_xlpm.steps,2),_xlpm.steps)))</f>
        <v>88</v>
      </c>
      <c r="D119">
        <f>_xlfn.LET(_xlpm.steps,SUBSTITUTE(Table13[[#This Row],[Input]],Table13[[#This Row],[Direction]],""),VALUE(IF(LEN(_xlpm.steps)&gt;2,LEFT(_xlpm.steps,LEN(_xlpm.steps)-2),0)))</f>
        <v>0</v>
      </c>
      <c r="E119">
        <f>_xlfn.LET(_xlpm.dir,Table13[[#This Row],[Direction]],
IF(_xlpm.dir="L",
    IF(G118-Table13[[#This Row],[Steps]]&lt;0,100+(G118-Table13[[#This Row],[Steps]]),G118-Table13[[#This Row],[Steps]]),
))</f>
        <v>0</v>
      </c>
      <c r="F119">
        <f>_xlfn.LET(_xlpm.dir,Table13[[#This Row],[Direction]],
IF(_xlpm.dir="R",
    IF(G118+Table13[[#This Row],[Steps]]&gt;99,(G118+Table13[[#This Row],[Steps]])-100,G118+Table13[[#This Row],[Steps]]),
))</f>
        <v>15</v>
      </c>
      <c r="G119">
        <f>IF(Table13[[#This Row],[New Pos L]]&lt;&gt;0,Table13[[#This Row],[New Pos L]],Table13[[#This Row],[New Pos R]])</f>
        <v>15</v>
      </c>
      <c r="H119">
        <f>IF(AND(Table13[[#This Row],[Direction]]="L",Table13[[#This Row],[Steps]]&gt;G118,G118&lt;&gt;0),1,0)</f>
        <v>0</v>
      </c>
      <c r="I119">
        <f>IF(AND(Table13[[#This Row],[Direction]]="R",(G118+Table13[[#This Row],[Steps]])&gt;100),1,0)</f>
        <v>1</v>
      </c>
      <c r="J119">
        <f>IF(Table13[[#This Row],[POS]]=0,1,0)</f>
        <v>0</v>
      </c>
      <c r="K119">
        <f>SUM(Table13[[#This Row],[prefix]],Table13[[#This Row],[Past zero L]],Table13[[#This Row],[Past Zero R]],Table13[[#This Row],[Is Zero]])</f>
        <v>1</v>
      </c>
    </row>
    <row r="120" spans="1:11" ht="16" x14ac:dyDescent="0.2">
      <c r="A120" s="1" t="s">
        <v>85</v>
      </c>
      <c r="B120" t="str">
        <f>LEFT(Table13[[#This Row],[Input]],1)</f>
        <v>L</v>
      </c>
      <c r="C120">
        <f>_xlfn.LET(_xlpm.steps,SUBSTITUTE(Table13[[#This Row],[Input]],Table13[[#This Row],[Direction]],""),VALUE(IF(LEN(_xlpm.steps)&gt;2,RIGHT(_xlpm.steps,2),_xlpm.steps)))</f>
        <v>17</v>
      </c>
      <c r="D120">
        <f>_xlfn.LET(_xlpm.steps,SUBSTITUTE(Table13[[#This Row],[Input]],Table13[[#This Row],[Direction]],""),VALUE(IF(LEN(_xlpm.steps)&gt;2,LEFT(_xlpm.steps,LEN(_xlpm.steps)-2),0)))</f>
        <v>7</v>
      </c>
      <c r="E120">
        <f>_xlfn.LET(_xlpm.dir,Table13[[#This Row],[Direction]],
IF(_xlpm.dir="L",
    IF(G119-Table13[[#This Row],[Steps]]&lt;0,100+(G119-Table13[[#This Row],[Steps]]),G119-Table13[[#This Row],[Steps]]),
))</f>
        <v>98</v>
      </c>
      <c r="F120">
        <f>_xlfn.LET(_xlpm.dir,Table13[[#This Row],[Direction]],
IF(_xlpm.dir="R",
    IF(G119+Table13[[#This Row],[Steps]]&gt;99,(G119+Table13[[#This Row],[Steps]])-100,G119+Table13[[#This Row],[Steps]]),
))</f>
        <v>0</v>
      </c>
      <c r="G120">
        <f>IF(Table13[[#This Row],[New Pos L]]&lt;&gt;0,Table13[[#This Row],[New Pos L]],Table13[[#This Row],[New Pos R]])</f>
        <v>98</v>
      </c>
      <c r="H120">
        <f>IF(AND(Table13[[#This Row],[Direction]]="L",Table13[[#This Row],[Steps]]&gt;G119,G119&lt;&gt;0),1,0)</f>
        <v>1</v>
      </c>
      <c r="I120">
        <f>IF(AND(Table13[[#This Row],[Direction]]="R",(G119+Table13[[#This Row],[Steps]])&gt;100),1,0)</f>
        <v>0</v>
      </c>
      <c r="J120">
        <f>IF(Table13[[#This Row],[POS]]=0,1,0)</f>
        <v>0</v>
      </c>
      <c r="K120">
        <f>SUM(Table13[[#This Row],[prefix]],Table13[[#This Row],[Past zero L]],Table13[[#This Row],[Past Zero R]],Table13[[#This Row],[Is Zero]])</f>
        <v>8</v>
      </c>
    </row>
    <row r="121" spans="1:11" ht="16" x14ac:dyDescent="0.2">
      <c r="A121" s="1" t="s">
        <v>86</v>
      </c>
      <c r="B121" t="str">
        <f>LEFT(Table13[[#This Row],[Input]],1)</f>
        <v>R</v>
      </c>
      <c r="C121">
        <f>_xlfn.LET(_xlpm.steps,SUBSTITUTE(Table13[[#This Row],[Input]],Table13[[#This Row],[Direction]],""),VALUE(IF(LEN(_xlpm.steps)&gt;2,RIGHT(_xlpm.steps,2),_xlpm.steps)))</f>
        <v>60</v>
      </c>
      <c r="D121">
        <f>_xlfn.LET(_xlpm.steps,SUBSTITUTE(Table13[[#This Row],[Input]],Table13[[#This Row],[Direction]],""),VALUE(IF(LEN(_xlpm.steps)&gt;2,LEFT(_xlpm.steps,LEN(_xlpm.steps)-2),0)))</f>
        <v>7</v>
      </c>
      <c r="E121">
        <f>_xlfn.LET(_xlpm.dir,Table13[[#This Row],[Direction]],
IF(_xlpm.dir="L",
    IF(G120-Table13[[#This Row],[Steps]]&lt;0,100+(G120-Table13[[#This Row],[Steps]]),G120-Table13[[#This Row],[Steps]]),
))</f>
        <v>0</v>
      </c>
      <c r="F121">
        <f>_xlfn.LET(_xlpm.dir,Table13[[#This Row],[Direction]],
IF(_xlpm.dir="R",
    IF(G120+Table13[[#This Row],[Steps]]&gt;99,(G120+Table13[[#This Row],[Steps]])-100,G120+Table13[[#This Row],[Steps]]),
))</f>
        <v>58</v>
      </c>
      <c r="G121">
        <f>IF(Table13[[#This Row],[New Pos L]]&lt;&gt;0,Table13[[#This Row],[New Pos L]],Table13[[#This Row],[New Pos R]])</f>
        <v>58</v>
      </c>
      <c r="H121">
        <f>IF(AND(Table13[[#This Row],[Direction]]="L",Table13[[#This Row],[Steps]]&gt;G120,G120&lt;&gt;0),1,0)</f>
        <v>0</v>
      </c>
      <c r="I121">
        <f>IF(AND(Table13[[#This Row],[Direction]]="R",(G120+Table13[[#This Row],[Steps]])&gt;100),1,0)</f>
        <v>1</v>
      </c>
      <c r="J121">
        <f>IF(Table13[[#This Row],[POS]]=0,1,0)</f>
        <v>0</v>
      </c>
      <c r="K121">
        <f>SUM(Table13[[#This Row],[prefix]],Table13[[#This Row],[Past zero L]],Table13[[#This Row],[Past Zero R]],Table13[[#This Row],[Is Zero]])</f>
        <v>8</v>
      </c>
    </row>
    <row r="122" spans="1:11" ht="16" x14ac:dyDescent="0.2">
      <c r="A122" s="1" t="s">
        <v>87</v>
      </c>
      <c r="B122" t="str">
        <f>LEFT(Table13[[#This Row],[Input]],1)</f>
        <v>L</v>
      </c>
      <c r="C122">
        <f>_xlfn.LET(_xlpm.steps,SUBSTITUTE(Table13[[#This Row],[Input]],Table13[[#This Row],[Direction]],""),VALUE(IF(LEN(_xlpm.steps)&gt;2,RIGHT(_xlpm.steps,2),_xlpm.steps)))</f>
        <v>85</v>
      </c>
      <c r="D122">
        <f>_xlfn.LET(_xlpm.steps,SUBSTITUTE(Table13[[#This Row],[Input]],Table13[[#This Row],[Direction]],""),VALUE(IF(LEN(_xlpm.steps)&gt;2,LEFT(_xlpm.steps,LEN(_xlpm.steps)-2),0)))</f>
        <v>4</v>
      </c>
      <c r="E122">
        <f>_xlfn.LET(_xlpm.dir,Table13[[#This Row],[Direction]],
IF(_xlpm.dir="L",
    IF(G121-Table13[[#This Row],[Steps]]&lt;0,100+(G121-Table13[[#This Row],[Steps]]),G121-Table13[[#This Row],[Steps]]),
))</f>
        <v>73</v>
      </c>
      <c r="F122">
        <f>_xlfn.LET(_xlpm.dir,Table13[[#This Row],[Direction]],
IF(_xlpm.dir="R",
    IF(G121+Table13[[#This Row],[Steps]]&gt;99,(G121+Table13[[#This Row],[Steps]])-100,G121+Table13[[#This Row],[Steps]]),
))</f>
        <v>0</v>
      </c>
      <c r="G122">
        <f>IF(Table13[[#This Row],[New Pos L]]&lt;&gt;0,Table13[[#This Row],[New Pos L]],Table13[[#This Row],[New Pos R]])</f>
        <v>73</v>
      </c>
      <c r="H122">
        <f>IF(AND(Table13[[#This Row],[Direction]]="L",Table13[[#This Row],[Steps]]&gt;G121,G121&lt;&gt;0),1,0)</f>
        <v>1</v>
      </c>
      <c r="I122">
        <f>IF(AND(Table13[[#This Row],[Direction]]="R",(G121+Table13[[#This Row],[Steps]])&gt;100),1,0)</f>
        <v>0</v>
      </c>
      <c r="J122">
        <f>IF(Table13[[#This Row],[POS]]=0,1,0)</f>
        <v>0</v>
      </c>
      <c r="K122">
        <f>SUM(Table13[[#This Row],[prefix]],Table13[[#This Row],[Past zero L]],Table13[[#This Row],[Past Zero R]],Table13[[#This Row],[Is Zero]])</f>
        <v>5</v>
      </c>
    </row>
    <row r="123" spans="1:11" ht="16" x14ac:dyDescent="0.2">
      <c r="A123" s="1" t="s">
        <v>88</v>
      </c>
      <c r="B123" t="str">
        <f>LEFT(Table13[[#This Row],[Input]],1)</f>
        <v>R</v>
      </c>
      <c r="C123">
        <f>_xlfn.LET(_xlpm.steps,SUBSTITUTE(Table13[[#This Row],[Input]],Table13[[#This Row],[Direction]],""),VALUE(IF(LEN(_xlpm.steps)&gt;2,RIGHT(_xlpm.steps,2),_xlpm.steps)))</f>
        <v>53</v>
      </c>
      <c r="D123">
        <f>_xlfn.LET(_xlpm.steps,SUBSTITUTE(Table13[[#This Row],[Input]],Table13[[#This Row],[Direction]],""),VALUE(IF(LEN(_xlpm.steps)&gt;2,LEFT(_xlpm.steps,LEN(_xlpm.steps)-2),0)))</f>
        <v>0</v>
      </c>
      <c r="E123">
        <f>_xlfn.LET(_xlpm.dir,Table13[[#This Row],[Direction]],
IF(_xlpm.dir="L",
    IF(G122-Table13[[#This Row],[Steps]]&lt;0,100+(G122-Table13[[#This Row],[Steps]]),G122-Table13[[#This Row],[Steps]]),
))</f>
        <v>0</v>
      </c>
      <c r="F123">
        <f>_xlfn.LET(_xlpm.dir,Table13[[#This Row],[Direction]],
IF(_xlpm.dir="R",
    IF(G122+Table13[[#This Row],[Steps]]&gt;99,(G122+Table13[[#This Row],[Steps]])-100,G122+Table13[[#This Row],[Steps]]),
))</f>
        <v>26</v>
      </c>
      <c r="G123">
        <f>IF(Table13[[#This Row],[New Pos L]]&lt;&gt;0,Table13[[#This Row],[New Pos L]],Table13[[#This Row],[New Pos R]])</f>
        <v>26</v>
      </c>
      <c r="H123">
        <f>IF(AND(Table13[[#This Row],[Direction]]="L",Table13[[#This Row],[Steps]]&gt;G122,G122&lt;&gt;0),1,0)</f>
        <v>0</v>
      </c>
      <c r="I123">
        <f>IF(AND(Table13[[#This Row],[Direction]]="R",(G122+Table13[[#This Row],[Steps]])&gt;100),1,0)</f>
        <v>1</v>
      </c>
      <c r="J123">
        <f>IF(Table13[[#This Row],[POS]]=0,1,0)</f>
        <v>0</v>
      </c>
      <c r="K123">
        <f>SUM(Table13[[#This Row],[prefix]],Table13[[#This Row],[Past zero L]],Table13[[#This Row],[Past Zero R]],Table13[[#This Row],[Is Zero]])</f>
        <v>1</v>
      </c>
    </row>
    <row r="124" spans="1:11" ht="16" x14ac:dyDescent="0.2">
      <c r="A124" s="1" t="s">
        <v>89</v>
      </c>
      <c r="B124" t="str">
        <f>LEFT(Table13[[#This Row],[Input]],1)</f>
        <v>L</v>
      </c>
      <c r="C124">
        <f>_xlfn.LET(_xlpm.steps,SUBSTITUTE(Table13[[#This Row],[Input]],Table13[[#This Row],[Direction]],""),VALUE(IF(LEN(_xlpm.steps)&gt;2,RIGHT(_xlpm.steps,2),_xlpm.steps)))</f>
        <v>91</v>
      </c>
      <c r="D124">
        <f>_xlfn.LET(_xlpm.steps,SUBSTITUTE(Table13[[#This Row],[Input]],Table13[[#This Row],[Direction]],""),VALUE(IF(LEN(_xlpm.steps)&gt;2,LEFT(_xlpm.steps,LEN(_xlpm.steps)-2),0)))</f>
        <v>0</v>
      </c>
      <c r="E124">
        <f>_xlfn.LET(_xlpm.dir,Table13[[#This Row],[Direction]],
IF(_xlpm.dir="L",
    IF(G123-Table13[[#This Row],[Steps]]&lt;0,100+(G123-Table13[[#This Row],[Steps]]),G123-Table13[[#This Row],[Steps]]),
))</f>
        <v>35</v>
      </c>
      <c r="F124">
        <f>_xlfn.LET(_xlpm.dir,Table13[[#This Row],[Direction]],
IF(_xlpm.dir="R",
    IF(G123+Table13[[#This Row],[Steps]]&gt;99,(G123+Table13[[#This Row],[Steps]])-100,G123+Table13[[#This Row],[Steps]]),
))</f>
        <v>0</v>
      </c>
      <c r="G124">
        <f>IF(Table13[[#This Row],[New Pos L]]&lt;&gt;0,Table13[[#This Row],[New Pos L]],Table13[[#This Row],[New Pos R]])</f>
        <v>35</v>
      </c>
      <c r="H124">
        <f>IF(AND(Table13[[#This Row],[Direction]]="L",Table13[[#This Row],[Steps]]&gt;G123,G123&lt;&gt;0),1,0)</f>
        <v>1</v>
      </c>
      <c r="I124">
        <f>IF(AND(Table13[[#This Row],[Direction]]="R",(G123+Table13[[#This Row],[Steps]])&gt;100),1,0)</f>
        <v>0</v>
      </c>
      <c r="J124">
        <f>IF(Table13[[#This Row],[POS]]=0,1,0)</f>
        <v>0</v>
      </c>
      <c r="K124">
        <f>SUM(Table13[[#This Row],[prefix]],Table13[[#This Row],[Past zero L]],Table13[[#This Row],[Past Zero R]],Table13[[#This Row],[Is Zero]])</f>
        <v>1</v>
      </c>
    </row>
    <row r="125" spans="1:11" ht="16" x14ac:dyDescent="0.2">
      <c r="A125" s="1" t="s">
        <v>90</v>
      </c>
      <c r="B125" t="str">
        <f>LEFT(Table13[[#This Row],[Input]],1)</f>
        <v>R</v>
      </c>
      <c r="C125">
        <f>_xlfn.LET(_xlpm.steps,SUBSTITUTE(Table13[[#This Row],[Input]],Table13[[#This Row],[Direction]],""),VALUE(IF(LEN(_xlpm.steps)&gt;2,RIGHT(_xlpm.steps,2),_xlpm.steps)))</f>
        <v>14</v>
      </c>
      <c r="D125">
        <f>_xlfn.LET(_xlpm.steps,SUBSTITUTE(Table13[[#This Row],[Input]],Table13[[#This Row],[Direction]],""),VALUE(IF(LEN(_xlpm.steps)&gt;2,LEFT(_xlpm.steps,LEN(_xlpm.steps)-2),0)))</f>
        <v>1</v>
      </c>
      <c r="E125">
        <f>_xlfn.LET(_xlpm.dir,Table13[[#This Row],[Direction]],
IF(_xlpm.dir="L",
    IF(G124-Table13[[#This Row],[Steps]]&lt;0,100+(G124-Table13[[#This Row],[Steps]]),G124-Table13[[#This Row],[Steps]]),
))</f>
        <v>0</v>
      </c>
      <c r="F125">
        <f>_xlfn.LET(_xlpm.dir,Table13[[#This Row],[Direction]],
IF(_xlpm.dir="R",
    IF(G124+Table13[[#This Row],[Steps]]&gt;99,(G124+Table13[[#This Row],[Steps]])-100,G124+Table13[[#This Row],[Steps]]),
))</f>
        <v>49</v>
      </c>
      <c r="G125">
        <f>IF(Table13[[#This Row],[New Pos L]]&lt;&gt;0,Table13[[#This Row],[New Pos L]],Table13[[#This Row],[New Pos R]])</f>
        <v>49</v>
      </c>
      <c r="H125">
        <f>IF(AND(Table13[[#This Row],[Direction]]="L",Table13[[#This Row],[Steps]]&gt;G124,G124&lt;&gt;0),1,0)</f>
        <v>0</v>
      </c>
      <c r="I125">
        <f>IF(AND(Table13[[#This Row],[Direction]]="R",(G124+Table13[[#This Row],[Steps]])&gt;100),1,0)</f>
        <v>0</v>
      </c>
      <c r="J125">
        <f>IF(Table13[[#This Row],[POS]]=0,1,0)</f>
        <v>0</v>
      </c>
      <c r="K125">
        <f>SUM(Table13[[#This Row],[prefix]],Table13[[#This Row],[Past zero L]],Table13[[#This Row],[Past Zero R]],Table13[[#This Row],[Is Zero]])</f>
        <v>1</v>
      </c>
    </row>
    <row r="126" spans="1:11" ht="16" x14ac:dyDescent="0.2">
      <c r="A126" s="1" t="s">
        <v>43</v>
      </c>
      <c r="B126" t="str">
        <f>LEFT(Table13[[#This Row],[Input]],1)</f>
        <v>R</v>
      </c>
      <c r="C126">
        <f>_xlfn.LET(_xlpm.steps,SUBSTITUTE(Table13[[#This Row],[Input]],Table13[[#This Row],[Direction]],""),VALUE(IF(LEN(_xlpm.steps)&gt;2,RIGHT(_xlpm.steps,2),_xlpm.steps)))</f>
        <v>90</v>
      </c>
      <c r="D126">
        <f>_xlfn.LET(_xlpm.steps,SUBSTITUTE(Table13[[#This Row],[Input]],Table13[[#This Row],[Direction]],""),VALUE(IF(LEN(_xlpm.steps)&gt;2,LEFT(_xlpm.steps,LEN(_xlpm.steps)-2),0)))</f>
        <v>0</v>
      </c>
      <c r="E126">
        <f>_xlfn.LET(_xlpm.dir,Table13[[#This Row],[Direction]],
IF(_xlpm.dir="L",
    IF(G125-Table13[[#This Row],[Steps]]&lt;0,100+(G125-Table13[[#This Row],[Steps]]),G125-Table13[[#This Row],[Steps]]),
))</f>
        <v>0</v>
      </c>
      <c r="F126">
        <f>_xlfn.LET(_xlpm.dir,Table13[[#This Row],[Direction]],
IF(_xlpm.dir="R",
    IF(G125+Table13[[#This Row],[Steps]]&gt;99,(G125+Table13[[#This Row],[Steps]])-100,G125+Table13[[#This Row],[Steps]]),
))</f>
        <v>39</v>
      </c>
      <c r="G126">
        <f>IF(Table13[[#This Row],[New Pos L]]&lt;&gt;0,Table13[[#This Row],[New Pos L]],Table13[[#This Row],[New Pos R]])</f>
        <v>39</v>
      </c>
      <c r="H126">
        <f>IF(AND(Table13[[#This Row],[Direction]]="L",Table13[[#This Row],[Steps]]&gt;G125,G125&lt;&gt;0),1,0)</f>
        <v>0</v>
      </c>
      <c r="I126">
        <f>IF(AND(Table13[[#This Row],[Direction]]="R",(G125+Table13[[#This Row],[Steps]])&gt;100),1,0)</f>
        <v>1</v>
      </c>
      <c r="J126">
        <f>IF(Table13[[#This Row],[POS]]=0,1,0)</f>
        <v>0</v>
      </c>
      <c r="K126">
        <f>SUM(Table13[[#This Row],[prefix]],Table13[[#This Row],[Past zero L]],Table13[[#This Row],[Past Zero R]],Table13[[#This Row],[Is Zero]])</f>
        <v>1</v>
      </c>
    </row>
    <row r="127" spans="1:11" ht="16" x14ac:dyDescent="0.2">
      <c r="A127" s="1" t="s">
        <v>25</v>
      </c>
      <c r="B127" t="str">
        <f>LEFT(Table13[[#This Row],[Input]],1)</f>
        <v>L</v>
      </c>
      <c r="C127">
        <f>_xlfn.LET(_xlpm.steps,SUBSTITUTE(Table13[[#This Row],[Input]],Table13[[#This Row],[Direction]],""),VALUE(IF(LEN(_xlpm.steps)&gt;2,RIGHT(_xlpm.steps,2),_xlpm.steps)))</f>
        <v>20</v>
      </c>
      <c r="D127">
        <f>_xlfn.LET(_xlpm.steps,SUBSTITUTE(Table13[[#This Row],[Input]],Table13[[#This Row],[Direction]],""),VALUE(IF(LEN(_xlpm.steps)&gt;2,LEFT(_xlpm.steps,LEN(_xlpm.steps)-2),0)))</f>
        <v>0</v>
      </c>
      <c r="E127">
        <f>_xlfn.LET(_xlpm.dir,Table13[[#This Row],[Direction]],
IF(_xlpm.dir="L",
    IF(G126-Table13[[#This Row],[Steps]]&lt;0,100+(G126-Table13[[#This Row],[Steps]]),G126-Table13[[#This Row],[Steps]]),
))</f>
        <v>19</v>
      </c>
      <c r="F127">
        <f>_xlfn.LET(_xlpm.dir,Table13[[#This Row],[Direction]],
IF(_xlpm.dir="R",
    IF(G126+Table13[[#This Row],[Steps]]&gt;99,(G126+Table13[[#This Row],[Steps]])-100,G126+Table13[[#This Row],[Steps]]),
))</f>
        <v>0</v>
      </c>
      <c r="G127">
        <f>IF(Table13[[#This Row],[New Pos L]]&lt;&gt;0,Table13[[#This Row],[New Pos L]],Table13[[#This Row],[New Pos R]])</f>
        <v>19</v>
      </c>
      <c r="H127">
        <f>IF(AND(Table13[[#This Row],[Direction]]="L",Table13[[#This Row],[Steps]]&gt;G126,G126&lt;&gt;0),1,0)</f>
        <v>0</v>
      </c>
      <c r="I127">
        <f>IF(AND(Table13[[#This Row],[Direction]]="R",(G126+Table13[[#This Row],[Steps]])&gt;100),1,0)</f>
        <v>0</v>
      </c>
      <c r="J127">
        <f>IF(Table13[[#This Row],[POS]]=0,1,0)</f>
        <v>0</v>
      </c>
      <c r="K127">
        <f>SUM(Table13[[#This Row],[prefix]],Table13[[#This Row],[Past zero L]],Table13[[#This Row],[Past Zero R]],Table13[[#This Row],[Is Zero]])</f>
        <v>0</v>
      </c>
    </row>
    <row r="128" spans="1:11" ht="16" x14ac:dyDescent="0.2">
      <c r="A128" s="1" t="s">
        <v>65</v>
      </c>
      <c r="B128" t="str">
        <f>LEFT(Table13[[#This Row],[Input]],1)</f>
        <v>L</v>
      </c>
      <c r="C128">
        <f>_xlfn.LET(_xlpm.steps,SUBSTITUTE(Table13[[#This Row],[Input]],Table13[[#This Row],[Direction]],""),VALUE(IF(LEN(_xlpm.steps)&gt;2,RIGHT(_xlpm.steps,2),_xlpm.steps)))</f>
        <v>19</v>
      </c>
      <c r="D128">
        <f>_xlfn.LET(_xlpm.steps,SUBSTITUTE(Table13[[#This Row],[Input]],Table13[[#This Row],[Direction]],""),VALUE(IF(LEN(_xlpm.steps)&gt;2,LEFT(_xlpm.steps,LEN(_xlpm.steps)-2),0)))</f>
        <v>0</v>
      </c>
      <c r="E128">
        <f>_xlfn.LET(_xlpm.dir,Table13[[#This Row],[Direction]],
IF(_xlpm.dir="L",
    IF(G127-Table13[[#This Row],[Steps]]&lt;0,100+(G127-Table13[[#This Row],[Steps]]),G127-Table13[[#This Row],[Steps]]),
))</f>
        <v>0</v>
      </c>
      <c r="F128">
        <f>_xlfn.LET(_xlpm.dir,Table13[[#This Row],[Direction]],
IF(_xlpm.dir="R",
    IF(G127+Table13[[#This Row],[Steps]]&gt;99,(G127+Table13[[#This Row],[Steps]])-100,G127+Table13[[#This Row],[Steps]]),
))</f>
        <v>0</v>
      </c>
      <c r="G128">
        <f>IF(Table13[[#This Row],[New Pos L]]&lt;&gt;0,Table13[[#This Row],[New Pos L]],Table13[[#This Row],[New Pos R]])</f>
        <v>0</v>
      </c>
      <c r="H128">
        <f>IF(AND(Table13[[#This Row],[Direction]]="L",Table13[[#This Row],[Steps]]&gt;G127,G127&lt;&gt;0),1,0)</f>
        <v>0</v>
      </c>
      <c r="I128">
        <f>IF(AND(Table13[[#This Row],[Direction]]="R",(G127+Table13[[#This Row],[Steps]])&gt;100),1,0)</f>
        <v>0</v>
      </c>
      <c r="J128">
        <f>IF(Table13[[#This Row],[POS]]=0,1,0)</f>
        <v>1</v>
      </c>
      <c r="K128">
        <f>SUM(Table13[[#This Row],[prefix]],Table13[[#This Row],[Past zero L]],Table13[[#This Row],[Past Zero R]],Table13[[#This Row],[Is Zero]])</f>
        <v>1</v>
      </c>
    </row>
    <row r="129" spans="1:11" ht="16" x14ac:dyDescent="0.2">
      <c r="A129" s="1" t="s">
        <v>91</v>
      </c>
      <c r="B129" t="str">
        <f>LEFT(Table13[[#This Row],[Input]],1)</f>
        <v>L</v>
      </c>
      <c r="C129">
        <f>_xlfn.LET(_xlpm.steps,SUBSTITUTE(Table13[[#This Row],[Input]],Table13[[#This Row],[Direction]],""),VALUE(IF(LEN(_xlpm.steps)&gt;2,RIGHT(_xlpm.steps,2),_xlpm.steps)))</f>
        <v>22</v>
      </c>
      <c r="D129">
        <f>_xlfn.LET(_xlpm.steps,SUBSTITUTE(Table13[[#This Row],[Input]],Table13[[#This Row],[Direction]],""),VALUE(IF(LEN(_xlpm.steps)&gt;2,LEFT(_xlpm.steps,LEN(_xlpm.steps)-2),0)))</f>
        <v>0</v>
      </c>
      <c r="E129">
        <f>_xlfn.LET(_xlpm.dir,Table13[[#This Row],[Direction]],
IF(_xlpm.dir="L",
    IF(G128-Table13[[#This Row],[Steps]]&lt;0,100+(G128-Table13[[#This Row],[Steps]]),G128-Table13[[#This Row],[Steps]]),
))</f>
        <v>78</v>
      </c>
      <c r="F129">
        <f>_xlfn.LET(_xlpm.dir,Table13[[#This Row],[Direction]],
IF(_xlpm.dir="R",
    IF(G128+Table13[[#This Row],[Steps]]&gt;99,(G128+Table13[[#This Row],[Steps]])-100,G128+Table13[[#This Row],[Steps]]),
))</f>
        <v>0</v>
      </c>
      <c r="G129">
        <f>IF(Table13[[#This Row],[New Pos L]]&lt;&gt;0,Table13[[#This Row],[New Pos L]],Table13[[#This Row],[New Pos R]])</f>
        <v>78</v>
      </c>
      <c r="H129">
        <f>IF(AND(Table13[[#This Row],[Direction]]="L",Table13[[#This Row],[Steps]]&gt;G128,G128&lt;&gt;0),1,0)</f>
        <v>0</v>
      </c>
      <c r="I129">
        <f>IF(AND(Table13[[#This Row],[Direction]]="R",(G128+Table13[[#This Row],[Steps]])&gt;100),1,0)</f>
        <v>0</v>
      </c>
      <c r="J129">
        <f>IF(Table13[[#This Row],[POS]]=0,1,0)</f>
        <v>0</v>
      </c>
      <c r="K129">
        <f>SUM(Table13[[#This Row],[prefix]],Table13[[#This Row],[Past zero L]],Table13[[#This Row],[Past Zero R]],Table13[[#This Row],[Is Zero]])</f>
        <v>0</v>
      </c>
    </row>
    <row r="130" spans="1:11" ht="16" x14ac:dyDescent="0.2">
      <c r="A130" s="1" t="s">
        <v>23</v>
      </c>
      <c r="B130" t="str">
        <f>LEFT(Table13[[#This Row],[Input]],1)</f>
        <v>L</v>
      </c>
      <c r="C130">
        <f>_xlfn.LET(_xlpm.steps,SUBSTITUTE(Table13[[#This Row],[Input]],Table13[[#This Row],[Direction]],""),VALUE(IF(LEN(_xlpm.steps)&gt;2,RIGHT(_xlpm.steps,2),_xlpm.steps)))</f>
        <v>8</v>
      </c>
      <c r="D130">
        <f>_xlfn.LET(_xlpm.steps,SUBSTITUTE(Table13[[#This Row],[Input]],Table13[[#This Row],[Direction]],""),VALUE(IF(LEN(_xlpm.steps)&gt;2,LEFT(_xlpm.steps,LEN(_xlpm.steps)-2),0)))</f>
        <v>0</v>
      </c>
      <c r="E130">
        <f>_xlfn.LET(_xlpm.dir,Table13[[#This Row],[Direction]],
IF(_xlpm.dir="L",
    IF(G129-Table13[[#This Row],[Steps]]&lt;0,100+(G129-Table13[[#This Row],[Steps]]),G129-Table13[[#This Row],[Steps]]),
))</f>
        <v>70</v>
      </c>
      <c r="F130">
        <f>_xlfn.LET(_xlpm.dir,Table13[[#This Row],[Direction]],
IF(_xlpm.dir="R",
    IF(G129+Table13[[#This Row],[Steps]]&gt;99,(G129+Table13[[#This Row],[Steps]])-100,G129+Table13[[#This Row],[Steps]]),
))</f>
        <v>0</v>
      </c>
      <c r="G130">
        <f>IF(Table13[[#This Row],[New Pos L]]&lt;&gt;0,Table13[[#This Row],[New Pos L]],Table13[[#This Row],[New Pos R]])</f>
        <v>70</v>
      </c>
      <c r="H130">
        <f>IF(AND(Table13[[#This Row],[Direction]]="L",Table13[[#This Row],[Steps]]&gt;G129,G129&lt;&gt;0),1,0)</f>
        <v>0</v>
      </c>
      <c r="I130">
        <f>IF(AND(Table13[[#This Row],[Direction]]="R",(G129+Table13[[#This Row],[Steps]])&gt;100),1,0)</f>
        <v>0</v>
      </c>
      <c r="J130">
        <f>IF(Table13[[#This Row],[POS]]=0,1,0)</f>
        <v>0</v>
      </c>
      <c r="K130">
        <f>SUM(Table13[[#This Row],[prefix]],Table13[[#This Row],[Past zero L]],Table13[[#This Row],[Past Zero R]],Table13[[#This Row],[Is Zero]])</f>
        <v>0</v>
      </c>
    </row>
    <row r="131" spans="1:11" ht="16" x14ac:dyDescent="0.2">
      <c r="A131" s="1" t="s">
        <v>28</v>
      </c>
      <c r="B131" t="str">
        <f>LEFT(Table13[[#This Row],[Input]],1)</f>
        <v>R</v>
      </c>
      <c r="C131">
        <f>_xlfn.LET(_xlpm.steps,SUBSTITUTE(Table13[[#This Row],[Input]],Table13[[#This Row],[Direction]],""),VALUE(IF(LEN(_xlpm.steps)&gt;2,RIGHT(_xlpm.steps,2),_xlpm.steps)))</f>
        <v>30</v>
      </c>
      <c r="D131">
        <f>_xlfn.LET(_xlpm.steps,SUBSTITUTE(Table13[[#This Row],[Input]],Table13[[#This Row],[Direction]],""),VALUE(IF(LEN(_xlpm.steps)&gt;2,LEFT(_xlpm.steps,LEN(_xlpm.steps)-2),0)))</f>
        <v>0</v>
      </c>
      <c r="E131">
        <f>_xlfn.LET(_xlpm.dir,Table13[[#This Row],[Direction]],
IF(_xlpm.dir="L",
    IF(G130-Table13[[#This Row],[Steps]]&lt;0,100+(G130-Table13[[#This Row],[Steps]]),G130-Table13[[#This Row],[Steps]]),
))</f>
        <v>0</v>
      </c>
      <c r="F131">
        <f>_xlfn.LET(_xlpm.dir,Table13[[#This Row],[Direction]],
IF(_xlpm.dir="R",
    IF(G130+Table13[[#This Row],[Steps]]&gt;99,(G130+Table13[[#This Row],[Steps]])-100,G130+Table13[[#This Row],[Steps]]),
))</f>
        <v>0</v>
      </c>
      <c r="G131">
        <f>IF(Table13[[#This Row],[New Pos L]]&lt;&gt;0,Table13[[#This Row],[New Pos L]],Table13[[#This Row],[New Pos R]])</f>
        <v>0</v>
      </c>
      <c r="H131">
        <f>IF(AND(Table13[[#This Row],[Direction]]="L",Table13[[#This Row],[Steps]]&gt;G130,G130&lt;&gt;0),1,0)</f>
        <v>0</v>
      </c>
      <c r="I131">
        <f>IF(AND(Table13[[#This Row],[Direction]]="R",(G130+Table13[[#This Row],[Steps]])&gt;100),1,0)</f>
        <v>0</v>
      </c>
      <c r="J131">
        <f>IF(Table13[[#This Row],[POS]]=0,1,0)</f>
        <v>1</v>
      </c>
      <c r="K131">
        <f>SUM(Table13[[#This Row],[prefix]],Table13[[#This Row],[Past zero L]],Table13[[#This Row],[Past Zero R]],Table13[[#This Row],[Is Zero]])</f>
        <v>1</v>
      </c>
    </row>
    <row r="132" spans="1:11" ht="16" x14ac:dyDescent="0.2">
      <c r="A132" s="1" t="s">
        <v>92</v>
      </c>
      <c r="B132" t="str">
        <f>LEFT(Table13[[#This Row],[Input]],1)</f>
        <v>R</v>
      </c>
      <c r="C132">
        <f>_xlfn.LET(_xlpm.steps,SUBSTITUTE(Table13[[#This Row],[Input]],Table13[[#This Row],[Direction]],""),VALUE(IF(LEN(_xlpm.steps)&gt;2,RIGHT(_xlpm.steps,2),_xlpm.steps)))</f>
        <v>65</v>
      </c>
      <c r="D132">
        <f>_xlfn.LET(_xlpm.steps,SUBSTITUTE(Table13[[#This Row],[Input]],Table13[[#This Row],[Direction]],""),VALUE(IF(LEN(_xlpm.steps)&gt;2,LEFT(_xlpm.steps,LEN(_xlpm.steps)-2),0)))</f>
        <v>2</v>
      </c>
      <c r="E132">
        <f>_xlfn.LET(_xlpm.dir,Table13[[#This Row],[Direction]],
IF(_xlpm.dir="L",
    IF(G131-Table13[[#This Row],[Steps]]&lt;0,100+(G131-Table13[[#This Row],[Steps]]),G131-Table13[[#This Row],[Steps]]),
))</f>
        <v>0</v>
      </c>
      <c r="F132">
        <f>_xlfn.LET(_xlpm.dir,Table13[[#This Row],[Direction]],
IF(_xlpm.dir="R",
    IF(G131+Table13[[#This Row],[Steps]]&gt;99,(G131+Table13[[#This Row],[Steps]])-100,G131+Table13[[#This Row],[Steps]]),
))</f>
        <v>65</v>
      </c>
      <c r="G132">
        <f>IF(Table13[[#This Row],[New Pos L]]&lt;&gt;0,Table13[[#This Row],[New Pos L]],Table13[[#This Row],[New Pos R]])</f>
        <v>65</v>
      </c>
      <c r="H132">
        <f>IF(AND(Table13[[#This Row],[Direction]]="L",Table13[[#This Row],[Steps]]&gt;G131,G131&lt;&gt;0),1,0)</f>
        <v>0</v>
      </c>
      <c r="I132">
        <f>IF(AND(Table13[[#This Row],[Direction]]="R",(G131+Table13[[#This Row],[Steps]])&gt;100),1,0)</f>
        <v>0</v>
      </c>
      <c r="J132">
        <f>IF(Table13[[#This Row],[POS]]=0,1,0)</f>
        <v>0</v>
      </c>
      <c r="K132">
        <f>SUM(Table13[[#This Row],[prefix]],Table13[[#This Row],[Past zero L]],Table13[[#This Row],[Past Zero R]],Table13[[#This Row],[Is Zero]])</f>
        <v>2</v>
      </c>
    </row>
    <row r="133" spans="1:11" ht="16" x14ac:dyDescent="0.2">
      <c r="A133" s="1" t="s">
        <v>66</v>
      </c>
      <c r="B133" t="str">
        <f>LEFT(Table13[[#This Row],[Input]],1)</f>
        <v>R</v>
      </c>
      <c r="C133">
        <f>_xlfn.LET(_xlpm.steps,SUBSTITUTE(Table13[[#This Row],[Input]],Table13[[#This Row],[Direction]],""),VALUE(IF(LEN(_xlpm.steps)&gt;2,RIGHT(_xlpm.steps,2),_xlpm.steps)))</f>
        <v>45</v>
      </c>
      <c r="D133">
        <f>_xlfn.LET(_xlpm.steps,SUBSTITUTE(Table13[[#This Row],[Input]],Table13[[#This Row],[Direction]],""),VALUE(IF(LEN(_xlpm.steps)&gt;2,LEFT(_xlpm.steps,LEN(_xlpm.steps)-2),0)))</f>
        <v>0</v>
      </c>
      <c r="E133">
        <f>_xlfn.LET(_xlpm.dir,Table13[[#This Row],[Direction]],
IF(_xlpm.dir="L",
    IF(G132-Table13[[#This Row],[Steps]]&lt;0,100+(G132-Table13[[#This Row],[Steps]]),G132-Table13[[#This Row],[Steps]]),
))</f>
        <v>0</v>
      </c>
      <c r="F133">
        <f>_xlfn.LET(_xlpm.dir,Table13[[#This Row],[Direction]],
IF(_xlpm.dir="R",
    IF(G132+Table13[[#This Row],[Steps]]&gt;99,(G132+Table13[[#This Row],[Steps]])-100,G132+Table13[[#This Row],[Steps]]),
))</f>
        <v>10</v>
      </c>
      <c r="G133">
        <f>IF(Table13[[#This Row],[New Pos L]]&lt;&gt;0,Table13[[#This Row],[New Pos L]],Table13[[#This Row],[New Pos R]])</f>
        <v>10</v>
      </c>
      <c r="H133">
        <f>IF(AND(Table13[[#This Row],[Direction]]="L",Table13[[#This Row],[Steps]]&gt;G132,G132&lt;&gt;0),1,0)</f>
        <v>0</v>
      </c>
      <c r="I133">
        <f>IF(AND(Table13[[#This Row],[Direction]]="R",(G132+Table13[[#This Row],[Steps]])&gt;100),1,0)</f>
        <v>1</v>
      </c>
      <c r="J133">
        <f>IF(Table13[[#This Row],[POS]]=0,1,0)</f>
        <v>0</v>
      </c>
      <c r="K133">
        <f>SUM(Table13[[#This Row],[prefix]],Table13[[#This Row],[Past zero L]],Table13[[#This Row],[Past Zero R]],Table13[[#This Row],[Is Zero]])</f>
        <v>1</v>
      </c>
    </row>
    <row r="134" spans="1:11" ht="16" x14ac:dyDescent="0.2">
      <c r="A134" s="1" t="s">
        <v>93</v>
      </c>
      <c r="B134" t="str">
        <f>LEFT(Table13[[#This Row],[Input]],1)</f>
        <v>L</v>
      </c>
      <c r="C134">
        <f>_xlfn.LET(_xlpm.steps,SUBSTITUTE(Table13[[#This Row],[Input]],Table13[[#This Row],[Direction]],""),VALUE(IF(LEN(_xlpm.steps)&gt;2,RIGHT(_xlpm.steps,2),_xlpm.steps)))</f>
        <v>10</v>
      </c>
      <c r="D134">
        <f>_xlfn.LET(_xlpm.steps,SUBSTITUTE(Table13[[#This Row],[Input]],Table13[[#This Row],[Direction]],""),VALUE(IF(LEN(_xlpm.steps)&gt;2,LEFT(_xlpm.steps,LEN(_xlpm.steps)-2),0)))</f>
        <v>9</v>
      </c>
      <c r="E134">
        <f>_xlfn.LET(_xlpm.dir,Table13[[#This Row],[Direction]],
IF(_xlpm.dir="L",
    IF(G133-Table13[[#This Row],[Steps]]&lt;0,100+(G133-Table13[[#This Row],[Steps]]),G133-Table13[[#This Row],[Steps]]),
))</f>
        <v>0</v>
      </c>
      <c r="F134">
        <f>_xlfn.LET(_xlpm.dir,Table13[[#This Row],[Direction]],
IF(_xlpm.dir="R",
    IF(G133+Table13[[#This Row],[Steps]]&gt;99,(G133+Table13[[#This Row],[Steps]])-100,G133+Table13[[#This Row],[Steps]]),
))</f>
        <v>0</v>
      </c>
      <c r="G134">
        <f>IF(Table13[[#This Row],[New Pos L]]&lt;&gt;0,Table13[[#This Row],[New Pos L]],Table13[[#This Row],[New Pos R]])</f>
        <v>0</v>
      </c>
      <c r="H134">
        <f>IF(AND(Table13[[#This Row],[Direction]]="L",Table13[[#This Row],[Steps]]&gt;G133,G133&lt;&gt;0),1,0)</f>
        <v>0</v>
      </c>
      <c r="I134">
        <f>IF(AND(Table13[[#This Row],[Direction]]="R",(G133+Table13[[#This Row],[Steps]])&gt;100),1,0)</f>
        <v>0</v>
      </c>
      <c r="J134">
        <f>IF(Table13[[#This Row],[POS]]=0,1,0)</f>
        <v>1</v>
      </c>
      <c r="K134">
        <f>SUM(Table13[[#This Row],[prefix]],Table13[[#This Row],[Past zero L]],Table13[[#This Row],[Past Zero R]],Table13[[#This Row],[Is Zero]])</f>
        <v>10</v>
      </c>
    </row>
    <row r="135" spans="1:11" ht="16" x14ac:dyDescent="0.2">
      <c r="A135" s="1" t="s">
        <v>94</v>
      </c>
      <c r="B135" t="str">
        <f>LEFT(Table13[[#This Row],[Input]],1)</f>
        <v>L</v>
      </c>
      <c r="C135">
        <f>_xlfn.LET(_xlpm.steps,SUBSTITUTE(Table13[[#This Row],[Input]],Table13[[#This Row],[Direction]],""),VALUE(IF(LEN(_xlpm.steps)&gt;2,RIGHT(_xlpm.steps,2),_xlpm.steps)))</f>
        <v>71</v>
      </c>
      <c r="D135">
        <f>_xlfn.LET(_xlpm.steps,SUBSTITUTE(Table13[[#This Row],[Input]],Table13[[#This Row],[Direction]],""),VALUE(IF(LEN(_xlpm.steps)&gt;2,LEFT(_xlpm.steps,LEN(_xlpm.steps)-2),0)))</f>
        <v>0</v>
      </c>
      <c r="E135">
        <f>_xlfn.LET(_xlpm.dir,Table13[[#This Row],[Direction]],
IF(_xlpm.dir="L",
    IF(G134-Table13[[#This Row],[Steps]]&lt;0,100+(G134-Table13[[#This Row],[Steps]]),G134-Table13[[#This Row],[Steps]]),
))</f>
        <v>29</v>
      </c>
      <c r="F135">
        <f>_xlfn.LET(_xlpm.dir,Table13[[#This Row],[Direction]],
IF(_xlpm.dir="R",
    IF(G134+Table13[[#This Row],[Steps]]&gt;99,(G134+Table13[[#This Row],[Steps]])-100,G134+Table13[[#This Row],[Steps]]),
))</f>
        <v>0</v>
      </c>
      <c r="G135">
        <f>IF(Table13[[#This Row],[New Pos L]]&lt;&gt;0,Table13[[#This Row],[New Pos L]],Table13[[#This Row],[New Pos R]])</f>
        <v>29</v>
      </c>
      <c r="H135">
        <f>IF(AND(Table13[[#This Row],[Direction]]="L",Table13[[#This Row],[Steps]]&gt;G134,G134&lt;&gt;0),1,0)</f>
        <v>0</v>
      </c>
      <c r="I135">
        <f>IF(AND(Table13[[#This Row],[Direction]]="R",(G134+Table13[[#This Row],[Steps]])&gt;100),1,0)</f>
        <v>0</v>
      </c>
      <c r="J135">
        <f>IF(Table13[[#This Row],[POS]]=0,1,0)</f>
        <v>0</v>
      </c>
      <c r="K135">
        <f>SUM(Table13[[#This Row],[prefix]],Table13[[#This Row],[Past zero L]],Table13[[#This Row],[Past Zero R]],Table13[[#This Row],[Is Zero]])</f>
        <v>0</v>
      </c>
    </row>
    <row r="136" spans="1:11" ht="16" x14ac:dyDescent="0.2">
      <c r="A136" s="1" t="s">
        <v>95</v>
      </c>
      <c r="B136" t="str">
        <f>LEFT(Table13[[#This Row],[Input]],1)</f>
        <v>L</v>
      </c>
      <c r="C136">
        <f>_xlfn.LET(_xlpm.steps,SUBSTITUTE(Table13[[#This Row],[Input]],Table13[[#This Row],[Direction]],""),VALUE(IF(LEN(_xlpm.steps)&gt;2,RIGHT(_xlpm.steps,2),_xlpm.steps)))</f>
        <v>78</v>
      </c>
      <c r="D136">
        <f>_xlfn.LET(_xlpm.steps,SUBSTITUTE(Table13[[#This Row],[Input]],Table13[[#This Row],[Direction]],""),VALUE(IF(LEN(_xlpm.steps)&gt;2,LEFT(_xlpm.steps,LEN(_xlpm.steps)-2),0)))</f>
        <v>0</v>
      </c>
      <c r="E136">
        <f>_xlfn.LET(_xlpm.dir,Table13[[#This Row],[Direction]],
IF(_xlpm.dir="L",
    IF(G135-Table13[[#This Row],[Steps]]&lt;0,100+(G135-Table13[[#This Row],[Steps]]),G135-Table13[[#This Row],[Steps]]),
))</f>
        <v>51</v>
      </c>
      <c r="F136">
        <f>_xlfn.LET(_xlpm.dir,Table13[[#This Row],[Direction]],
IF(_xlpm.dir="R",
    IF(G135+Table13[[#This Row],[Steps]]&gt;99,(G135+Table13[[#This Row],[Steps]])-100,G135+Table13[[#This Row],[Steps]]),
))</f>
        <v>0</v>
      </c>
      <c r="G136">
        <f>IF(Table13[[#This Row],[New Pos L]]&lt;&gt;0,Table13[[#This Row],[New Pos L]],Table13[[#This Row],[New Pos R]])</f>
        <v>51</v>
      </c>
      <c r="H136">
        <f>IF(AND(Table13[[#This Row],[Direction]]="L",Table13[[#This Row],[Steps]]&gt;G135,G135&lt;&gt;0),1,0)</f>
        <v>1</v>
      </c>
      <c r="I136">
        <f>IF(AND(Table13[[#This Row],[Direction]]="R",(G135+Table13[[#This Row],[Steps]])&gt;100),1,0)</f>
        <v>0</v>
      </c>
      <c r="J136">
        <f>IF(Table13[[#This Row],[POS]]=0,1,0)</f>
        <v>0</v>
      </c>
      <c r="K136">
        <f>SUM(Table13[[#This Row],[prefix]],Table13[[#This Row],[Past zero L]],Table13[[#This Row],[Past Zero R]],Table13[[#This Row],[Is Zero]])</f>
        <v>1</v>
      </c>
    </row>
    <row r="137" spans="1:11" ht="16" x14ac:dyDescent="0.2">
      <c r="A137" s="1" t="s">
        <v>48</v>
      </c>
      <c r="B137" t="str">
        <f>LEFT(Table13[[#This Row],[Input]],1)</f>
        <v>R</v>
      </c>
      <c r="C137">
        <f>_xlfn.LET(_xlpm.steps,SUBSTITUTE(Table13[[#This Row],[Input]],Table13[[#This Row],[Direction]],""),VALUE(IF(LEN(_xlpm.steps)&gt;2,RIGHT(_xlpm.steps,2),_xlpm.steps)))</f>
        <v>81</v>
      </c>
      <c r="D137">
        <f>_xlfn.LET(_xlpm.steps,SUBSTITUTE(Table13[[#This Row],[Input]],Table13[[#This Row],[Direction]],""),VALUE(IF(LEN(_xlpm.steps)&gt;2,LEFT(_xlpm.steps,LEN(_xlpm.steps)-2),0)))</f>
        <v>0</v>
      </c>
      <c r="E137">
        <f>_xlfn.LET(_xlpm.dir,Table13[[#This Row],[Direction]],
IF(_xlpm.dir="L",
    IF(G136-Table13[[#This Row],[Steps]]&lt;0,100+(G136-Table13[[#This Row],[Steps]]),G136-Table13[[#This Row],[Steps]]),
))</f>
        <v>0</v>
      </c>
      <c r="F137">
        <f>_xlfn.LET(_xlpm.dir,Table13[[#This Row],[Direction]],
IF(_xlpm.dir="R",
    IF(G136+Table13[[#This Row],[Steps]]&gt;99,(G136+Table13[[#This Row],[Steps]])-100,G136+Table13[[#This Row],[Steps]]),
))</f>
        <v>32</v>
      </c>
      <c r="G137">
        <f>IF(Table13[[#This Row],[New Pos L]]&lt;&gt;0,Table13[[#This Row],[New Pos L]],Table13[[#This Row],[New Pos R]])</f>
        <v>32</v>
      </c>
      <c r="H137">
        <f>IF(AND(Table13[[#This Row],[Direction]]="L",Table13[[#This Row],[Steps]]&gt;G136,G136&lt;&gt;0),1,0)</f>
        <v>0</v>
      </c>
      <c r="I137">
        <f>IF(AND(Table13[[#This Row],[Direction]]="R",(G136+Table13[[#This Row],[Steps]])&gt;100),1,0)</f>
        <v>1</v>
      </c>
      <c r="J137">
        <f>IF(Table13[[#This Row],[POS]]=0,1,0)</f>
        <v>0</v>
      </c>
      <c r="K137">
        <f>SUM(Table13[[#This Row],[prefix]],Table13[[#This Row],[Past zero L]],Table13[[#This Row],[Past Zero R]],Table13[[#This Row],[Is Zero]])</f>
        <v>1</v>
      </c>
    </row>
    <row r="138" spans="1:11" ht="16" x14ac:dyDescent="0.2">
      <c r="A138" s="1" t="s">
        <v>96</v>
      </c>
      <c r="B138" t="str">
        <f>LEFT(Table13[[#This Row],[Input]],1)</f>
        <v>R</v>
      </c>
      <c r="C138">
        <f>_xlfn.LET(_xlpm.steps,SUBSTITUTE(Table13[[#This Row],[Input]],Table13[[#This Row],[Direction]],""),VALUE(IF(LEN(_xlpm.steps)&gt;2,RIGHT(_xlpm.steps,2),_xlpm.steps)))</f>
        <v>71</v>
      </c>
      <c r="D138">
        <f>_xlfn.LET(_xlpm.steps,SUBSTITUTE(Table13[[#This Row],[Input]],Table13[[#This Row],[Direction]],""),VALUE(IF(LEN(_xlpm.steps)&gt;2,LEFT(_xlpm.steps,LEN(_xlpm.steps)-2),0)))</f>
        <v>6</v>
      </c>
      <c r="E138">
        <f>_xlfn.LET(_xlpm.dir,Table13[[#This Row],[Direction]],
IF(_xlpm.dir="L",
    IF(G137-Table13[[#This Row],[Steps]]&lt;0,100+(G137-Table13[[#This Row],[Steps]]),G137-Table13[[#This Row],[Steps]]),
))</f>
        <v>0</v>
      </c>
      <c r="F138">
        <f>_xlfn.LET(_xlpm.dir,Table13[[#This Row],[Direction]],
IF(_xlpm.dir="R",
    IF(G137+Table13[[#This Row],[Steps]]&gt;99,(G137+Table13[[#This Row],[Steps]])-100,G137+Table13[[#This Row],[Steps]]),
))</f>
        <v>3</v>
      </c>
      <c r="G138">
        <f>IF(Table13[[#This Row],[New Pos L]]&lt;&gt;0,Table13[[#This Row],[New Pos L]],Table13[[#This Row],[New Pos R]])</f>
        <v>3</v>
      </c>
      <c r="H138">
        <f>IF(AND(Table13[[#This Row],[Direction]]="L",Table13[[#This Row],[Steps]]&gt;G137,G137&lt;&gt;0),1,0)</f>
        <v>0</v>
      </c>
      <c r="I138">
        <f>IF(AND(Table13[[#This Row],[Direction]]="R",(G137+Table13[[#This Row],[Steps]])&gt;100),1,0)</f>
        <v>1</v>
      </c>
      <c r="J138">
        <f>IF(Table13[[#This Row],[POS]]=0,1,0)</f>
        <v>0</v>
      </c>
      <c r="K138">
        <f>SUM(Table13[[#This Row],[prefix]],Table13[[#This Row],[Past zero L]],Table13[[#This Row],[Past Zero R]],Table13[[#This Row],[Is Zero]])</f>
        <v>7</v>
      </c>
    </row>
    <row r="139" spans="1:11" ht="16" x14ac:dyDescent="0.2">
      <c r="A139" s="1" t="s">
        <v>47</v>
      </c>
      <c r="B139" t="str">
        <f>LEFT(Table13[[#This Row],[Input]],1)</f>
        <v>R</v>
      </c>
      <c r="C139">
        <f>_xlfn.LET(_xlpm.steps,SUBSTITUTE(Table13[[#This Row],[Input]],Table13[[#This Row],[Direction]],""),VALUE(IF(LEN(_xlpm.steps)&gt;2,RIGHT(_xlpm.steps,2),_xlpm.steps)))</f>
        <v>97</v>
      </c>
      <c r="D139">
        <f>_xlfn.LET(_xlpm.steps,SUBSTITUTE(Table13[[#This Row],[Input]],Table13[[#This Row],[Direction]],""),VALUE(IF(LEN(_xlpm.steps)&gt;2,LEFT(_xlpm.steps,LEN(_xlpm.steps)-2),0)))</f>
        <v>0</v>
      </c>
      <c r="E139">
        <f>_xlfn.LET(_xlpm.dir,Table13[[#This Row],[Direction]],
IF(_xlpm.dir="L",
    IF(G138-Table13[[#This Row],[Steps]]&lt;0,100+(G138-Table13[[#This Row],[Steps]]),G138-Table13[[#This Row],[Steps]]),
))</f>
        <v>0</v>
      </c>
      <c r="F139">
        <f>_xlfn.LET(_xlpm.dir,Table13[[#This Row],[Direction]],
IF(_xlpm.dir="R",
    IF(G138+Table13[[#This Row],[Steps]]&gt;99,(G138+Table13[[#This Row],[Steps]])-100,G138+Table13[[#This Row],[Steps]]),
))</f>
        <v>0</v>
      </c>
      <c r="G139">
        <f>IF(Table13[[#This Row],[New Pos L]]&lt;&gt;0,Table13[[#This Row],[New Pos L]],Table13[[#This Row],[New Pos R]])</f>
        <v>0</v>
      </c>
      <c r="H139">
        <f>IF(AND(Table13[[#This Row],[Direction]]="L",Table13[[#This Row],[Steps]]&gt;G138,G138&lt;&gt;0),1,0)</f>
        <v>0</v>
      </c>
      <c r="I139">
        <f>IF(AND(Table13[[#This Row],[Direction]]="R",(G138+Table13[[#This Row],[Steps]])&gt;100),1,0)</f>
        <v>0</v>
      </c>
      <c r="J139">
        <f>IF(Table13[[#This Row],[POS]]=0,1,0)</f>
        <v>1</v>
      </c>
      <c r="K139">
        <f>SUM(Table13[[#This Row],[prefix]],Table13[[#This Row],[Past zero L]],Table13[[#This Row],[Past Zero R]],Table13[[#This Row],[Is Zero]])</f>
        <v>1</v>
      </c>
    </row>
    <row r="140" spans="1:11" ht="16" x14ac:dyDescent="0.2">
      <c r="A140" s="1" t="s">
        <v>23</v>
      </c>
      <c r="B140" t="str">
        <f>LEFT(Table13[[#This Row],[Input]],1)</f>
        <v>L</v>
      </c>
      <c r="C140">
        <f>_xlfn.LET(_xlpm.steps,SUBSTITUTE(Table13[[#This Row],[Input]],Table13[[#This Row],[Direction]],""),VALUE(IF(LEN(_xlpm.steps)&gt;2,RIGHT(_xlpm.steps,2),_xlpm.steps)))</f>
        <v>8</v>
      </c>
      <c r="D140">
        <f>_xlfn.LET(_xlpm.steps,SUBSTITUTE(Table13[[#This Row],[Input]],Table13[[#This Row],[Direction]],""),VALUE(IF(LEN(_xlpm.steps)&gt;2,LEFT(_xlpm.steps,LEN(_xlpm.steps)-2),0)))</f>
        <v>0</v>
      </c>
      <c r="E140">
        <f>_xlfn.LET(_xlpm.dir,Table13[[#This Row],[Direction]],
IF(_xlpm.dir="L",
    IF(G139-Table13[[#This Row],[Steps]]&lt;0,100+(G139-Table13[[#This Row],[Steps]]),G139-Table13[[#This Row],[Steps]]),
))</f>
        <v>92</v>
      </c>
      <c r="F140">
        <f>_xlfn.LET(_xlpm.dir,Table13[[#This Row],[Direction]],
IF(_xlpm.dir="R",
    IF(G139+Table13[[#This Row],[Steps]]&gt;99,(G139+Table13[[#This Row],[Steps]])-100,G139+Table13[[#This Row],[Steps]]),
))</f>
        <v>0</v>
      </c>
      <c r="G140">
        <f>IF(Table13[[#This Row],[New Pos L]]&lt;&gt;0,Table13[[#This Row],[New Pos L]],Table13[[#This Row],[New Pos R]])</f>
        <v>92</v>
      </c>
      <c r="H140">
        <f>IF(AND(Table13[[#This Row],[Direction]]="L",Table13[[#This Row],[Steps]]&gt;G139,G139&lt;&gt;0),1,0)</f>
        <v>0</v>
      </c>
      <c r="I140">
        <f>IF(AND(Table13[[#This Row],[Direction]]="R",(G139+Table13[[#This Row],[Steps]])&gt;100),1,0)</f>
        <v>0</v>
      </c>
      <c r="J140">
        <f>IF(Table13[[#This Row],[POS]]=0,1,0)</f>
        <v>0</v>
      </c>
      <c r="K140">
        <f>SUM(Table13[[#This Row],[prefix]],Table13[[#This Row],[Past zero L]],Table13[[#This Row],[Past Zero R]],Table13[[#This Row],[Is Zero]])</f>
        <v>0</v>
      </c>
    </row>
    <row r="141" spans="1:11" ht="16" x14ac:dyDescent="0.2">
      <c r="A141" s="1" t="s">
        <v>97</v>
      </c>
      <c r="B141" t="str">
        <f>LEFT(Table13[[#This Row],[Input]],1)</f>
        <v>L</v>
      </c>
      <c r="C141">
        <f>_xlfn.LET(_xlpm.steps,SUBSTITUTE(Table13[[#This Row],[Input]],Table13[[#This Row],[Direction]],""),VALUE(IF(LEN(_xlpm.steps)&gt;2,RIGHT(_xlpm.steps,2),_xlpm.steps)))</f>
        <v>97</v>
      </c>
      <c r="D141">
        <f>_xlfn.LET(_xlpm.steps,SUBSTITUTE(Table13[[#This Row],[Input]],Table13[[#This Row],[Direction]],""),VALUE(IF(LEN(_xlpm.steps)&gt;2,LEFT(_xlpm.steps,LEN(_xlpm.steps)-2),0)))</f>
        <v>1</v>
      </c>
      <c r="E141">
        <f>_xlfn.LET(_xlpm.dir,Table13[[#This Row],[Direction]],
IF(_xlpm.dir="L",
    IF(G140-Table13[[#This Row],[Steps]]&lt;0,100+(G140-Table13[[#This Row],[Steps]]),G140-Table13[[#This Row],[Steps]]),
))</f>
        <v>95</v>
      </c>
      <c r="F141">
        <f>_xlfn.LET(_xlpm.dir,Table13[[#This Row],[Direction]],
IF(_xlpm.dir="R",
    IF(G140+Table13[[#This Row],[Steps]]&gt;99,(G140+Table13[[#This Row],[Steps]])-100,G140+Table13[[#This Row],[Steps]]),
))</f>
        <v>0</v>
      </c>
      <c r="G141">
        <f>IF(Table13[[#This Row],[New Pos L]]&lt;&gt;0,Table13[[#This Row],[New Pos L]],Table13[[#This Row],[New Pos R]])</f>
        <v>95</v>
      </c>
      <c r="H141">
        <f>IF(AND(Table13[[#This Row],[Direction]]="L",Table13[[#This Row],[Steps]]&gt;G140,G140&lt;&gt;0),1,0)</f>
        <v>1</v>
      </c>
      <c r="I141">
        <f>IF(AND(Table13[[#This Row],[Direction]]="R",(G140+Table13[[#This Row],[Steps]])&gt;100),1,0)</f>
        <v>0</v>
      </c>
      <c r="J141">
        <f>IF(Table13[[#This Row],[POS]]=0,1,0)</f>
        <v>0</v>
      </c>
      <c r="K141">
        <f>SUM(Table13[[#This Row],[prefix]],Table13[[#This Row],[Past zero L]],Table13[[#This Row],[Past Zero R]],Table13[[#This Row],[Is Zero]])</f>
        <v>2</v>
      </c>
    </row>
    <row r="142" spans="1:11" ht="16" x14ac:dyDescent="0.2">
      <c r="A142" s="1" t="s">
        <v>84</v>
      </c>
      <c r="B142" t="str">
        <f>LEFT(Table13[[#This Row],[Input]],1)</f>
        <v>R</v>
      </c>
      <c r="C142">
        <f>_xlfn.LET(_xlpm.steps,SUBSTITUTE(Table13[[#This Row],[Input]],Table13[[#This Row],[Direction]],""),VALUE(IF(LEN(_xlpm.steps)&gt;2,RIGHT(_xlpm.steps,2),_xlpm.steps)))</f>
        <v>88</v>
      </c>
      <c r="D142">
        <f>_xlfn.LET(_xlpm.steps,SUBSTITUTE(Table13[[#This Row],[Input]],Table13[[#This Row],[Direction]],""),VALUE(IF(LEN(_xlpm.steps)&gt;2,LEFT(_xlpm.steps,LEN(_xlpm.steps)-2),0)))</f>
        <v>0</v>
      </c>
      <c r="E142">
        <f>_xlfn.LET(_xlpm.dir,Table13[[#This Row],[Direction]],
IF(_xlpm.dir="L",
    IF(G141-Table13[[#This Row],[Steps]]&lt;0,100+(G141-Table13[[#This Row],[Steps]]),G141-Table13[[#This Row],[Steps]]),
))</f>
        <v>0</v>
      </c>
      <c r="F142">
        <f>_xlfn.LET(_xlpm.dir,Table13[[#This Row],[Direction]],
IF(_xlpm.dir="R",
    IF(G141+Table13[[#This Row],[Steps]]&gt;99,(G141+Table13[[#This Row],[Steps]])-100,G141+Table13[[#This Row],[Steps]]),
))</f>
        <v>83</v>
      </c>
      <c r="G142">
        <f>IF(Table13[[#This Row],[New Pos L]]&lt;&gt;0,Table13[[#This Row],[New Pos L]],Table13[[#This Row],[New Pos R]])</f>
        <v>83</v>
      </c>
      <c r="H142">
        <f>IF(AND(Table13[[#This Row],[Direction]]="L",Table13[[#This Row],[Steps]]&gt;G141,G141&lt;&gt;0),1,0)</f>
        <v>0</v>
      </c>
      <c r="I142">
        <f>IF(AND(Table13[[#This Row],[Direction]]="R",(G141+Table13[[#This Row],[Steps]])&gt;100),1,0)</f>
        <v>1</v>
      </c>
      <c r="J142">
        <f>IF(Table13[[#This Row],[POS]]=0,1,0)</f>
        <v>0</v>
      </c>
      <c r="K142">
        <f>SUM(Table13[[#This Row],[prefix]],Table13[[#This Row],[Past zero L]],Table13[[#This Row],[Past Zero R]],Table13[[#This Row],[Is Zero]])</f>
        <v>1</v>
      </c>
    </row>
    <row r="143" spans="1:11" ht="16" x14ac:dyDescent="0.2">
      <c r="A143" s="1" t="s">
        <v>81</v>
      </c>
      <c r="B143" t="str">
        <f>LEFT(Table13[[#This Row],[Input]],1)</f>
        <v>R</v>
      </c>
      <c r="C143">
        <f>_xlfn.LET(_xlpm.steps,SUBSTITUTE(Table13[[#This Row],[Input]],Table13[[#This Row],[Direction]],""),VALUE(IF(LEN(_xlpm.steps)&gt;2,RIGHT(_xlpm.steps,2),_xlpm.steps)))</f>
        <v>17</v>
      </c>
      <c r="D143">
        <f>_xlfn.LET(_xlpm.steps,SUBSTITUTE(Table13[[#This Row],[Input]],Table13[[#This Row],[Direction]],""),VALUE(IF(LEN(_xlpm.steps)&gt;2,LEFT(_xlpm.steps,LEN(_xlpm.steps)-2),0)))</f>
        <v>0</v>
      </c>
      <c r="E143">
        <f>_xlfn.LET(_xlpm.dir,Table13[[#This Row],[Direction]],
IF(_xlpm.dir="L",
    IF(G142-Table13[[#This Row],[Steps]]&lt;0,100+(G142-Table13[[#This Row],[Steps]]),G142-Table13[[#This Row],[Steps]]),
))</f>
        <v>0</v>
      </c>
      <c r="F143">
        <f>_xlfn.LET(_xlpm.dir,Table13[[#This Row],[Direction]],
IF(_xlpm.dir="R",
    IF(G142+Table13[[#This Row],[Steps]]&gt;99,(G142+Table13[[#This Row],[Steps]])-100,G142+Table13[[#This Row],[Steps]]),
))</f>
        <v>0</v>
      </c>
      <c r="G143">
        <f>IF(Table13[[#This Row],[New Pos L]]&lt;&gt;0,Table13[[#This Row],[New Pos L]],Table13[[#This Row],[New Pos R]])</f>
        <v>0</v>
      </c>
      <c r="H143">
        <f>IF(AND(Table13[[#This Row],[Direction]]="L",Table13[[#This Row],[Steps]]&gt;G142,G142&lt;&gt;0),1,0)</f>
        <v>0</v>
      </c>
      <c r="I143">
        <f>IF(AND(Table13[[#This Row],[Direction]]="R",(G142+Table13[[#This Row],[Steps]])&gt;100),1,0)</f>
        <v>0</v>
      </c>
      <c r="J143">
        <f>IF(Table13[[#This Row],[POS]]=0,1,0)</f>
        <v>1</v>
      </c>
      <c r="K143">
        <f>SUM(Table13[[#This Row],[prefix]],Table13[[#This Row],[Past zero L]],Table13[[#This Row],[Past Zero R]],Table13[[#This Row],[Is Zero]])</f>
        <v>1</v>
      </c>
    </row>
    <row r="144" spans="1:11" ht="16" x14ac:dyDescent="0.2">
      <c r="A144" s="1" t="s">
        <v>98</v>
      </c>
      <c r="B144" t="str">
        <f>LEFT(Table13[[#This Row],[Input]],1)</f>
        <v>L</v>
      </c>
      <c r="C144">
        <f>_xlfn.LET(_xlpm.steps,SUBSTITUTE(Table13[[#This Row],[Input]],Table13[[#This Row],[Direction]],""),VALUE(IF(LEN(_xlpm.steps)&gt;2,RIGHT(_xlpm.steps,2),_xlpm.steps)))</f>
        <v>65</v>
      </c>
      <c r="D144">
        <f>_xlfn.LET(_xlpm.steps,SUBSTITUTE(Table13[[#This Row],[Input]],Table13[[#This Row],[Direction]],""),VALUE(IF(LEN(_xlpm.steps)&gt;2,LEFT(_xlpm.steps,LEN(_xlpm.steps)-2),0)))</f>
        <v>0</v>
      </c>
      <c r="E144">
        <f>_xlfn.LET(_xlpm.dir,Table13[[#This Row],[Direction]],
IF(_xlpm.dir="L",
    IF(G143-Table13[[#This Row],[Steps]]&lt;0,100+(G143-Table13[[#This Row],[Steps]]),G143-Table13[[#This Row],[Steps]]),
))</f>
        <v>35</v>
      </c>
      <c r="F144">
        <f>_xlfn.LET(_xlpm.dir,Table13[[#This Row],[Direction]],
IF(_xlpm.dir="R",
    IF(G143+Table13[[#This Row],[Steps]]&gt;99,(G143+Table13[[#This Row],[Steps]])-100,G143+Table13[[#This Row],[Steps]]),
))</f>
        <v>0</v>
      </c>
      <c r="G144">
        <f>IF(Table13[[#This Row],[New Pos L]]&lt;&gt;0,Table13[[#This Row],[New Pos L]],Table13[[#This Row],[New Pos R]])</f>
        <v>35</v>
      </c>
      <c r="H144">
        <f>IF(AND(Table13[[#This Row],[Direction]]="L",Table13[[#This Row],[Steps]]&gt;G143,G143&lt;&gt;0),1,0)</f>
        <v>0</v>
      </c>
      <c r="I144">
        <f>IF(AND(Table13[[#This Row],[Direction]]="R",(G143+Table13[[#This Row],[Steps]])&gt;100),1,0)</f>
        <v>0</v>
      </c>
      <c r="J144">
        <f>IF(Table13[[#This Row],[POS]]=0,1,0)</f>
        <v>0</v>
      </c>
      <c r="K144">
        <f>SUM(Table13[[#This Row],[prefix]],Table13[[#This Row],[Past zero L]],Table13[[#This Row],[Past Zero R]],Table13[[#This Row],[Is Zero]])</f>
        <v>0</v>
      </c>
    </row>
    <row r="145" spans="1:11" ht="16" x14ac:dyDescent="0.2">
      <c r="A145" s="1" t="s">
        <v>99</v>
      </c>
      <c r="B145" t="str">
        <f>LEFT(Table13[[#This Row],[Input]],1)</f>
        <v>R</v>
      </c>
      <c r="C145">
        <f>_xlfn.LET(_xlpm.steps,SUBSTITUTE(Table13[[#This Row],[Input]],Table13[[#This Row],[Direction]],""),VALUE(IF(LEN(_xlpm.steps)&gt;2,RIGHT(_xlpm.steps,2),_xlpm.steps)))</f>
        <v>26</v>
      </c>
      <c r="D145">
        <f>_xlfn.LET(_xlpm.steps,SUBSTITUTE(Table13[[#This Row],[Input]],Table13[[#This Row],[Direction]],""),VALUE(IF(LEN(_xlpm.steps)&gt;2,LEFT(_xlpm.steps,LEN(_xlpm.steps)-2),0)))</f>
        <v>1</v>
      </c>
      <c r="E145">
        <f>_xlfn.LET(_xlpm.dir,Table13[[#This Row],[Direction]],
IF(_xlpm.dir="L",
    IF(G144-Table13[[#This Row],[Steps]]&lt;0,100+(G144-Table13[[#This Row],[Steps]]),G144-Table13[[#This Row],[Steps]]),
))</f>
        <v>0</v>
      </c>
      <c r="F145">
        <f>_xlfn.LET(_xlpm.dir,Table13[[#This Row],[Direction]],
IF(_xlpm.dir="R",
    IF(G144+Table13[[#This Row],[Steps]]&gt;99,(G144+Table13[[#This Row],[Steps]])-100,G144+Table13[[#This Row],[Steps]]),
))</f>
        <v>61</v>
      </c>
      <c r="G145">
        <f>IF(Table13[[#This Row],[New Pos L]]&lt;&gt;0,Table13[[#This Row],[New Pos L]],Table13[[#This Row],[New Pos R]])</f>
        <v>61</v>
      </c>
      <c r="H145">
        <f>IF(AND(Table13[[#This Row],[Direction]]="L",Table13[[#This Row],[Steps]]&gt;G144,G144&lt;&gt;0),1,0)</f>
        <v>0</v>
      </c>
      <c r="I145">
        <f>IF(AND(Table13[[#This Row],[Direction]]="R",(G144+Table13[[#This Row],[Steps]])&gt;100),1,0)</f>
        <v>0</v>
      </c>
      <c r="J145">
        <f>IF(Table13[[#This Row],[POS]]=0,1,0)</f>
        <v>0</v>
      </c>
      <c r="K145">
        <f>SUM(Table13[[#This Row],[prefix]],Table13[[#This Row],[Past zero L]],Table13[[#This Row],[Past Zero R]],Table13[[#This Row],[Is Zero]])</f>
        <v>1</v>
      </c>
    </row>
    <row r="146" spans="1:11" ht="16" x14ac:dyDescent="0.2">
      <c r="A146" s="1" t="s">
        <v>67</v>
      </c>
      <c r="B146" t="str">
        <f>LEFT(Table13[[#This Row],[Input]],1)</f>
        <v>R</v>
      </c>
      <c r="C146">
        <f>_xlfn.LET(_xlpm.steps,SUBSTITUTE(Table13[[#This Row],[Input]],Table13[[#This Row],[Direction]],""),VALUE(IF(LEN(_xlpm.steps)&gt;2,RIGHT(_xlpm.steps,2),_xlpm.steps)))</f>
        <v>33</v>
      </c>
      <c r="D146">
        <f>_xlfn.LET(_xlpm.steps,SUBSTITUTE(Table13[[#This Row],[Input]],Table13[[#This Row],[Direction]],""),VALUE(IF(LEN(_xlpm.steps)&gt;2,LEFT(_xlpm.steps,LEN(_xlpm.steps)-2),0)))</f>
        <v>0</v>
      </c>
      <c r="E146">
        <f>_xlfn.LET(_xlpm.dir,Table13[[#This Row],[Direction]],
IF(_xlpm.dir="L",
    IF(G145-Table13[[#This Row],[Steps]]&lt;0,100+(G145-Table13[[#This Row],[Steps]]),G145-Table13[[#This Row],[Steps]]),
))</f>
        <v>0</v>
      </c>
      <c r="F146">
        <f>_xlfn.LET(_xlpm.dir,Table13[[#This Row],[Direction]],
IF(_xlpm.dir="R",
    IF(G145+Table13[[#This Row],[Steps]]&gt;99,(G145+Table13[[#This Row],[Steps]])-100,G145+Table13[[#This Row],[Steps]]),
))</f>
        <v>94</v>
      </c>
      <c r="G146">
        <f>IF(Table13[[#This Row],[New Pos L]]&lt;&gt;0,Table13[[#This Row],[New Pos L]],Table13[[#This Row],[New Pos R]])</f>
        <v>94</v>
      </c>
      <c r="H146">
        <f>IF(AND(Table13[[#This Row],[Direction]]="L",Table13[[#This Row],[Steps]]&gt;G145,G145&lt;&gt;0),1,0)</f>
        <v>0</v>
      </c>
      <c r="I146">
        <f>IF(AND(Table13[[#This Row],[Direction]]="R",(G145+Table13[[#This Row],[Steps]])&gt;100),1,0)</f>
        <v>0</v>
      </c>
      <c r="J146">
        <f>IF(Table13[[#This Row],[POS]]=0,1,0)</f>
        <v>0</v>
      </c>
      <c r="K146">
        <f>SUM(Table13[[#This Row],[prefix]],Table13[[#This Row],[Past zero L]],Table13[[#This Row],[Past Zero R]],Table13[[#This Row],[Is Zero]])</f>
        <v>0</v>
      </c>
    </row>
    <row r="147" spans="1:11" ht="16" x14ac:dyDescent="0.2">
      <c r="A147" s="1" t="s">
        <v>100</v>
      </c>
      <c r="B147" t="str">
        <f>LEFT(Table13[[#This Row],[Input]],1)</f>
        <v>R</v>
      </c>
      <c r="C147">
        <f>_xlfn.LET(_xlpm.steps,SUBSTITUTE(Table13[[#This Row],[Input]],Table13[[#This Row],[Direction]],""),VALUE(IF(LEN(_xlpm.steps)&gt;2,RIGHT(_xlpm.steps,2),_xlpm.steps)))</f>
        <v>58</v>
      </c>
      <c r="D147">
        <f>_xlfn.LET(_xlpm.steps,SUBSTITUTE(Table13[[#This Row],[Input]],Table13[[#This Row],[Direction]],""),VALUE(IF(LEN(_xlpm.steps)&gt;2,LEFT(_xlpm.steps,LEN(_xlpm.steps)-2),0)))</f>
        <v>0</v>
      </c>
      <c r="E147">
        <f>_xlfn.LET(_xlpm.dir,Table13[[#This Row],[Direction]],
IF(_xlpm.dir="L",
    IF(G146-Table13[[#This Row],[Steps]]&lt;0,100+(G146-Table13[[#This Row],[Steps]]),G146-Table13[[#This Row],[Steps]]),
))</f>
        <v>0</v>
      </c>
      <c r="F147">
        <f>_xlfn.LET(_xlpm.dir,Table13[[#This Row],[Direction]],
IF(_xlpm.dir="R",
    IF(G146+Table13[[#This Row],[Steps]]&gt;99,(G146+Table13[[#This Row],[Steps]])-100,G146+Table13[[#This Row],[Steps]]),
))</f>
        <v>52</v>
      </c>
      <c r="G147">
        <f>IF(Table13[[#This Row],[New Pos L]]&lt;&gt;0,Table13[[#This Row],[New Pos L]],Table13[[#This Row],[New Pos R]])</f>
        <v>52</v>
      </c>
      <c r="H147">
        <f>IF(AND(Table13[[#This Row],[Direction]]="L",Table13[[#This Row],[Steps]]&gt;G146,G146&lt;&gt;0),1,0)</f>
        <v>0</v>
      </c>
      <c r="I147">
        <f>IF(AND(Table13[[#This Row],[Direction]]="R",(G146+Table13[[#This Row],[Steps]])&gt;100),1,0)</f>
        <v>1</v>
      </c>
      <c r="J147">
        <f>IF(Table13[[#This Row],[POS]]=0,1,0)</f>
        <v>0</v>
      </c>
      <c r="K147">
        <f>SUM(Table13[[#This Row],[prefix]],Table13[[#This Row],[Past zero L]],Table13[[#This Row],[Past Zero R]],Table13[[#This Row],[Is Zero]])</f>
        <v>1</v>
      </c>
    </row>
    <row r="148" spans="1:11" ht="16" x14ac:dyDescent="0.2">
      <c r="A148" s="1" t="s">
        <v>101</v>
      </c>
      <c r="B148" t="str">
        <f>LEFT(Table13[[#This Row],[Input]],1)</f>
        <v>R</v>
      </c>
      <c r="C148">
        <f>_xlfn.LET(_xlpm.steps,SUBSTITUTE(Table13[[#This Row],[Input]],Table13[[#This Row],[Direction]],""),VALUE(IF(LEN(_xlpm.steps)&gt;2,RIGHT(_xlpm.steps,2),_xlpm.steps)))</f>
        <v>48</v>
      </c>
      <c r="D148">
        <f>_xlfn.LET(_xlpm.steps,SUBSTITUTE(Table13[[#This Row],[Input]],Table13[[#This Row],[Direction]],""),VALUE(IF(LEN(_xlpm.steps)&gt;2,LEFT(_xlpm.steps,LEN(_xlpm.steps)-2),0)))</f>
        <v>1</v>
      </c>
      <c r="E148">
        <f>_xlfn.LET(_xlpm.dir,Table13[[#This Row],[Direction]],
IF(_xlpm.dir="L",
    IF(G147-Table13[[#This Row],[Steps]]&lt;0,100+(G147-Table13[[#This Row],[Steps]]),G147-Table13[[#This Row],[Steps]]),
))</f>
        <v>0</v>
      </c>
      <c r="F148">
        <f>_xlfn.LET(_xlpm.dir,Table13[[#This Row],[Direction]],
IF(_xlpm.dir="R",
    IF(G147+Table13[[#This Row],[Steps]]&gt;99,(G147+Table13[[#This Row],[Steps]])-100,G147+Table13[[#This Row],[Steps]]),
))</f>
        <v>0</v>
      </c>
      <c r="G148">
        <f>IF(Table13[[#This Row],[New Pos L]]&lt;&gt;0,Table13[[#This Row],[New Pos L]],Table13[[#This Row],[New Pos R]])</f>
        <v>0</v>
      </c>
      <c r="H148">
        <f>IF(AND(Table13[[#This Row],[Direction]]="L",Table13[[#This Row],[Steps]]&gt;G147,G147&lt;&gt;0),1,0)</f>
        <v>0</v>
      </c>
      <c r="I148">
        <f>IF(AND(Table13[[#This Row],[Direction]]="R",(G147+Table13[[#This Row],[Steps]])&gt;100),1,0)</f>
        <v>0</v>
      </c>
      <c r="J148">
        <f>IF(Table13[[#This Row],[POS]]=0,1,0)</f>
        <v>1</v>
      </c>
      <c r="K148">
        <f>SUM(Table13[[#This Row],[prefix]],Table13[[#This Row],[Past zero L]],Table13[[#This Row],[Past Zero R]],Table13[[#This Row],[Is Zero]])</f>
        <v>2</v>
      </c>
    </row>
    <row r="149" spans="1:11" ht="16" x14ac:dyDescent="0.2">
      <c r="A149" s="1" t="s">
        <v>102</v>
      </c>
      <c r="B149" t="str">
        <f>LEFT(Table13[[#This Row],[Input]],1)</f>
        <v>R</v>
      </c>
      <c r="C149">
        <f>_xlfn.LET(_xlpm.steps,SUBSTITUTE(Table13[[#This Row],[Input]],Table13[[#This Row],[Direction]],""),VALUE(IF(LEN(_xlpm.steps)&gt;2,RIGHT(_xlpm.steps,2),_xlpm.steps)))</f>
        <v>39</v>
      </c>
      <c r="D149">
        <f>_xlfn.LET(_xlpm.steps,SUBSTITUTE(Table13[[#This Row],[Input]],Table13[[#This Row],[Direction]],""),VALUE(IF(LEN(_xlpm.steps)&gt;2,LEFT(_xlpm.steps,LEN(_xlpm.steps)-2),0)))</f>
        <v>0</v>
      </c>
      <c r="E149">
        <f>_xlfn.LET(_xlpm.dir,Table13[[#This Row],[Direction]],
IF(_xlpm.dir="L",
    IF(G148-Table13[[#This Row],[Steps]]&lt;0,100+(G148-Table13[[#This Row],[Steps]]),G148-Table13[[#This Row],[Steps]]),
))</f>
        <v>0</v>
      </c>
      <c r="F149">
        <f>_xlfn.LET(_xlpm.dir,Table13[[#This Row],[Direction]],
IF(_xlpm.dir="R",
    IF(G148+Table13[[#This Row],[Steps]]&gt;99,(G148+Table13[[#This Row],[Steps]])-100,G148+Table13[[#This Row],[Steps]]),
))</f>
        <v>39</v>
      </c>
      <c r="G149">
        <f>IF(Table13[[#This Row],[New Pos L]]&lt;&gt;0,Table13[[#This Row],[New Pos L]],Table13[[#This Row],[New Pos R]])</f>
        <v>39</v>
      </c>
      <c r="H149">
        <f>IF(AND(Table13[[#This Row],[Direction]]="L",Table13[[#This Row],[Steps]]&gt;G148,G148&lt;&gt;0),1,0)</f>
        <v>0</v>
      </c>
      <c r="I149">
        <f>IF(AND(Table13[[#This Row],[Direction]]="R",(G148+Table13[[#This Row],[Steps]])&gt;100),1,0)</f>
        <v>0</v>
      </c>
      <c r="J149">
        <f>IF(Table13[[#This Row],[POS]]=0,1,0)</f>
        <v>0</v>
      </c>
      <c r="K149">
        <f>SUM(Table13[[#This Row],[prefix]],Table13[[#This Row],[Past zero L]],Table13[[#This Row],[Past Zero R]],Table13[[#This Row],[Is Zero]])</f>
        <v>0</v>
      </c>
    </row>
    <row r="150" spans="1:11" ht="16" x14ac:dyDescent="0.2">
      <c r="A150" s="1" t="s">
        <v>103</v>
      </c>
      <c r="B150" t="str">
        <f>LEFT(Table13[[#This Row],[Input]],1)</f>
        <v>R</v>
      </c>
      <c r="C150">
        <f>_xlfn.LET(_xlpm.steps,SUBSTITUTE(Table13[[#This Row],[Input]],Table13[[#This Row],[Direction]],""),VALUE(IF(LEN(_xlpm.steps)&gt;2,RIGHT(_xlpm.steps,2),_xlpm.steps)))</f>
        <v>61</v>
      </c>
      <c r="D150">
        <f>_xlfn.LET(_xlpm.steps,SUBSTITUTE(Table13[[#This Row],[Input]],Table13[[#This Row],[Direction]],""),VALUE(IF(LEN(_xlpm.steps)&gt;2,LEFT(_xlpm.steps,LEN(_xlpm.steps)-2),0)))</f>
        <v>7</v>
      </c>
      <c r="E150">
        <f>_xlfn.LET(_xlpm.dir,Table13[[#This Row],[Direction]],
IF(_xlpm.dir="L",
    IF(G149-Table13[[#This Row],[Steps]]&lt;0,100+(G149-Table13[[#This Row],[Steps]]),G149-Table13[[#This Row],[Steps]]),
))</f>
        <v>0</v>
      </c>
      <c r="F150">
        <f>_xlfn.LET(_xlpm.dir,Table13[[#This Row],[Direction]],
IF(_xlpm.dir="R",
    IF(G149+Table13[[#This Row],[Steps]]&gt;99,(G149+Table13[[#This Row],[Steps]])-100,G149+Table13[[#This Row],[Steps]]),
))</f>
        <v>0</v>
      </c>
      <c r="G150">
        <f>IF(Table13[[#This Row],[New Pos L]]&lt;&gt;0,Table13[[#This Row],[New Pos L]],Table13[[#This Row],[New Pos R]])</f>
        <v>0</v>
      </c>
      <c r="H150">
        <f>IF(AND(Table13[[#This Row],[Direction]]="L",Table13[[#This Row],[Steps]]&gt;G149,G149&lt;&gt;0),1,0)</f>
        <v>0</v>
      </c>
      <c r="I150">
        <f>IF(AND(Table13[[#This Row],[Direction]]="R",(G149+Table13[[#This Row],[Steps]])&gt;100),1,0)</f>
        <v>0</v>
      </c>
      <c r="J150">
        <f>IF(Table13[[#This Row],[POS]]=0,1,0)</f>
        <v>1</v>
      </c>
      <c r="K150">
        <f>SUM(Table13[[#This Row],[prefix]],Table13[[#This Row],[Past zero L]],Table13[[#This Row],[Past Zero R]],Table13[[#This Row],[Is Zero]])</f>
        <v>8</v>
      </c>
    </row>
    <row r="151" spans="1:11" ht="16" x14ac:dyDescent="0.2">
      <c r="A151" s="1" t="s">
        <v>104</v>
      </c>
      <c r="B151" t="str">
        <f>LEFT(Table13[[#This Row],[Input]],1)</f>
        <v>R</v>
      </c>
      <c r="C151">
        <f>_xlfn.LET(_xlpm.steps,SUBSTITUTE(Table13[[#This Row],[Input]],Table13[[#This Row],[Direction]],""),VALUE(IF(LEN(_xlpm.steps)&gt;2,RIGHT(_xlpm.steps,2),_xlpm.steps)))</f>
        <v>59</v>
      </c>
      <c r="D151">
        <f>_xlfn.LET(_xlpm.steps,SUBSTITUTE(Table13[[#This Row],[Input]],Table13[[#This Row],[Direction]],""),VALUE(IF(LEN(_xlpm.steps)&gt;2,LEFT(_xlpm.steps,LEN(_xlpm.steps)-2),0)))</f>
        <v>0</v>
      </c>
      <c r="E151">
        <f>_xlfn.LET(_xlpm.dir,Table13[[#This Row],[Direction]],
IF(_xlpm.dir="L",
    IF(G150-Table13[[#This Row],[Steps]]&lt;0,100+(G150-Table13[[#This Row],[Steps]]),G150-Table13[[#This Row],[Steps]]),
))</f>
        <v>0</v>
      </c>
      <c r="F151">
        <f>_xlfn.LET(_xlpm.dir,Table13[[#This Row],[Direction]],
IF(_xlpm.dir="R",
    IF(G150+Table13[[#This Row],[Steps]]&gt;99,(G150+Table13[[#This Row],[Steps]])-100,G150+Table13[[#This Row],[Steps]]),
))</f>
        <v>59</v>
      </c>
      <c r="G151">
        <f>IF(Table13[[#This Row],[New Pos L]]&lt;&gt;0,Table13[[#This Row],[New Pos L]],Table13[[#This Row],[New Pos R]])</f>
        <v>59</v>
      </c>
      <c r="H151">
        <f>IF(AND(Table13[[#This Row],[Direction]]="L",Table13[[#This Row],[Steps]]&gt;G150,G150&lt;&gt;0),1,0)</f>
        <v>0</v>
      </c>
      <c r="I151">
        <f>IF(AND(Table13[[#This Row],[Direction]]="R",(G150+Table13[[#This Row],[Steps]])&gt;100),1,0)</f>
        <v>0</v>
      </c>
      <c r="J151">
        <f>IF(Table13[[#This Row],[POS]]=0,1,0)</f>
        <v>0</v>
      </c>
      <c r="K151">
        <f>SUM(Table13[[#This Row],[prefix]],Table13[[#This Row],[Past zero L]],Table13[[#This Row],[Past Zero R]],Table13[[#This Row],[Is Zero]])</f>
        <v>0</v>
      </c>
    </row>
    <row r="152" spans="1:11" ht="16" x14ac:dyDescent="0.2">
      <c r="A152" s="1" t="s">
        <v>79</v>
      </c>
      <c r="B152" t="str">
        <f>LEFT(Table13[[#This Row],[Input]],1)</f>
        <v>L</v>
      </c>
      <c r="C152">
        <f>_xlfn.LET(_xlpm.steps,SUBSTITUTE(Table13[[#This Row],[Input]],Table13[[#This Row],[Direction]],""),VALUE(IF(LEN(_xlpm.steps)&gt;2,RIGHT(_xlpm.steps,2),_xlpm.steps)))</f>
        <v>45</v>
      </c>
      <c r="D152">
        <f>_xlfn.LET(_xlpm.steps,SUBSTITUTE(Table13[[#This Row],[Input]],Table13[[#This Row],[Direction]],""),VALUE(IF(LEN(_xlpm.steps)&gt;2,LEFT(_xlpm.steps,LEN(_xlpm.steps)-2),0)))</f>
        <v>0</v>
      </c>
      <c r="E152">
        <f>_xlfn.LET(_xlpm.dir,Table13[[#This Row],[Direction]],
IF(_xlpm.dir="L",
    IF(G151-Table13[[#This Row],[Steps]]&lt;0,100+(G151-Table13[[#This Row],[Steps]]),G151-Table13[[#This Row],[Steps]]),
))</f>
        <v>14</v>
      </c>
      <c r="F152">
        <f>_xlfn.LET(_xlpm.dir,Table13[[#This Row],[Direction]],
IF(_xlpm.dir="R",
    IF(G151+Table13[[#This Row],[Steps]]&gt;99,(G151+Table13[[#This Row],[Steps]])-100,G151+Table13[[#This Row],[Steps]]),
))</f>
        <v>0</v>
      </c>
      <c r="G152">
        <f>IF(Table13[[#This Row],[New Pos L]]&lt;&gt;0,Table13[[#This Row],[New Pos L]],Table13[[#This Row],[New Pos R]])</f>
        <v>14</v>
      </c>
      <c r="H152">
        <f>IF(AND(Table13[[#This Row],[Direction]]="L",Table13[[#This Row],[Steps]]&gt;G151,G151&lt;&gt;0),1,0)</f>
        <v>0</v>
      </c>
      <c r="I152">
        <f>IF(AND(Table13[[#This Row],[Direction]]="R",(G151+Table13[[#This Row],[Steps]])&gt;100),1,0)</f>
        <v>0</v>
      </c>
      <c r="J152">
        <f>IF(Table13[[#This Row],[POS]]=0,1,0)</f>
        <v>0</v>
      </c>
      <c r="K152">
        <f>SUM(Table13[[#This Row],[prefix]],Table13[[#This Row],[Past zero L]],Table13[[#This Row],[Past Zero R]],Table13[[#This Row],[Is Zero]])</f>
        <v>0</v>
      </c>
    </row>
    <row r="153" spans="1:11" ht="16" x14ac:dyDescent="0.2">
      <c r="A153" s="1" t="s">
        <v>60</v>
      </c>
      <c r="B153" t="str">
        <f>LEFT(Table13[[#This Row],[Input]],1)</f>
        <v>R</v>
      </c>
      <c r="C153">
        <f>_xlfn.LET(_xlpm.steps,SUBSTITUTE(Table13[[#This Row],[Input]],Table13[[#This Row],[Direction]],""),VALUE(IF(LEN(_xlpm.steps)&gt;2,RIGHT(_xlpm.steps,2),_xlpm.steps)))</f>
        <v>86</v>
      </c>
      <c r="D153">
        <f>_xlfn.LET(_xlpm.steps,SUBSTITUTE(Table13[[#This Row],[Input]],Table13[[#This Row],[Direction]],""),VALUE(IF(LEN(_xlpm.steps)&gt;2,LEFT(_xlpm.steps,LEN(_xlpm.steps)-2),0)))</f>
        <v>0</v>
      </c>
      <c r="E153">
        <f>_xlfn.LET(_xlpm.dir,Table13[[#This Row],[Direction]],
IF(_xlpm.dir="L",
    IF(G152-Table13[[#This Row],[Steps]]&lt;0,100+(G152-Table13[[#This Row],[Steps]]),G152-Table13[[#This Row],[Steps]]),
))</f>
        <v>0</v>
      </c>
      <c r="F153">
        <f>_xlfn.LET(_xlpm.dir,Table13[[#This Row],[Direction]],
IF(_xlpm.dir="R",
    IF(G152+Table13[[#This Row],[Steps]]&gt;99,(G152+Table13[[#This Row],[Steps]])-100,G152+Table13[[#This Row],[Steps]]),
))</f>
        <v>0</v>
      </c>
      <c r="G153">
        <f>IF(Table13[[#This Row],[New Pos L]]&lt;&gt;0,Table13[[#This Row],[New Pos L]],Table13[[#This Row],[New Pos R]])</f>
        <v>0</v>
      </c>
      <c r="H153">
        <f>IF(AND(Table13[[#This Row],[Direction]]="L",Table13[[#This Row],[Steps]]&gt;G152,G152&lt;&gt;0),1,0)</f>
        <v>0</v>
      </c>
      <c r="I153">
        <f>IF(AND(Table13[[#This Row],[Direction]]="R",(G152+Table13[[#This Row],[Steps]])&gt;100),1,0)</f>
        <v>0</v>
      </c>
      <c r="J153">
        <f>IF(Table13[[#This Row],[POS]]=0,1,0)</f>
        <v>1</v>
      </c>
      <c r="K153">
        <f>SUM(Table13[[#This Row],[prefix]],Table13[[#This Row],[Past zero L]],Table13[[#This Row],[Past Zero R]],Table13[[#This Row],[Is Zero]])</f>
        <v>1</v>
      </c>
    </row>
    <row r="154" spans="1:11" ht="16" x14ac:dyDescent="0.2">
      <c r="A154" s="1" t="s">
        <v>19</v>
      </c>
      <c r="B154" t="str">
        <f>LEFT(Table13[[#This Row],[Input]],1)</f>
        <v>R</v>
      </c>
      <c r="C154">
        <f>_xlfn.LET(_xlpm.steps,SUBSTITUTE(Table13[[#This Row],[Input]],Table13[[#This Row],[Direction]],""),VALUE(IF(LEN(_xlpm.steps)&gt;2,RIGHT(_xlpm.steps,2),_xlpm.steps)))</f>
        <v>47</v>
      </c>
      <c r="D154">
        <f>_xlfn.LET(_xlpm.steps,SUBSTITUTE(Table13[[#This Row],[Input]],Table13[[#This Row],[Direction]],""),VALUE(IF(LEN(_xlpm.steps)&gt;2,LEFT(_xlpm.steps,LEN(_xlpm.steps)-2),0)))</f>
        <v>0</v>
      </c>
      <c r="E154">
        <f>_xlfn.LET(_xlpm.dir,Table13[[#This Row],[Direction]],
IF(_xlpm.dir="L",
    IF(G153-Table13[[#This Row],[Steps]]&lt;0,100+(G153-Table13[[#This Row],[Steps]]),G153-Table13[[#This Row],[Steps]]),
))</f>
        <v>0</v>
      </c>
      <c r="F154">
        <f>_xlfn.LET(_xlpm.dir,Table13[[#This Row],[Direction]],
IF(_xlpm.dir="R",
    IF(G153+Table13[[#This Row],[Steps]]&gt;99,(G153+Table13[[#This Row],[Steps]])-100,G153+Table13[[#This Row],[Steps]]),
))</f>
        <v>47</v>
      </c>
      <c r="G154">
        <f>IF(Table13[[#This Row],[New Pos L]]&lt;&gt;0,Table13[[#This Row],[New Pos L]],Table13[[#This Row],[New Pos R]])</f>
        <v>47</v>
      </c>
      <c r="H154">
        <f>IF(AND(Table13[[#This Row],[Direction]]="L",Table13[[#This Row],[Steps]]&gt;G153,G153&lt;&gt;0),1,0)</f>
        <v>0</v>
      </c>
      <c r="I154">
        <f>IF(AND(Table13[[#This Row],[Direction]]="R",(G153+Table13[[#This Row],[Steps]])&gt;100),1,0)</f>
        <v>0</v>
      </c>
      <c r="J154">
        <f>IF(Table13[[#This Row],[POS]]=0,1,0)</f>
        <v>0</v>
      </c>
      <c r="K154">
        <f>SUM(Table13[[#This Row],[prefix]],Table13[[#This Row],[Past zero L]],Table13[[#This Row],[Past Zero R]],Table13[[#This Row],[Is Zero]])</f>
        <v>0</v>
      </c>
    </row>
    <row r="155" spans="1:11" ht="16" x14ac:dyDescent="0.2">
      <c r="A155" s="1" t="s">
        <v>105</v>
      </c>
      <c r="B155" t="str">
        <f>LEFT(Table13[[#This Row],[Input]],1)</f>
        <v>R</v>
      </c>
      <c r="C155">
        <f>_xlfn.LET(_xlpm.steps,SUBSTITUTE(Table13[[#This Row],[Input]],Table13[[#This Row],[Direction]],""),VALUE(IF(LEN(_xlpm.steps)&gt;2,RIGHT(_xlpm.steps,2),_xlpm.steps)))</f>
        <v>98</v>
      </c>
      <c r="D155">
        <f>_xlfn.LET(_xlpm.steps,SUBSTITUTE(Table13[[#This Row],[Input]],Table13[[#This Row],[Direction]],""),VALUE(IF(LEN(_xlpm.steps)&gt;2,LEFT(_xlpm.steps,LEN(_xlpm.steps)-2),0)))</f>
        <v>0</v>
      </c>
      <c r="E155">
        <f>_xlfn.LET(_xlpm.dir,Table13[[#This Row],[Direction]],
IF(_xlpm.dir="L",
    IF(G154-Table13[[#This Row],[Steps]]&lt;0,100+(G154-Table13[[#This Row],[Steps]]),G154-Table13[[#This Row],[Steps]]),
))</f>
        <v>0</v>
      </c>
      <c r="F155">
        <f>_xlfn.LET(_xlpm.dir,Table13[[#This Row],[Direction]],
IF(_xlpm.dir="R",
    IF(G154+Table13[[#This Row],[Steps]]&gt;99,(G154+Table13[[#This Row],[Steps]])-100,G154+Table13[[#This Row],[Steps]]),
))</f>
        <v>45</v>
      </c>
      <c r="G155">
        <f>IF(Table13[[#This Row],[New Pos L]]&lt;&gt;0,Table13[[#This Row],[New Pos L]],Table13[[#This Row],[New Pos R]])</f>
        <v>45</v>
      </c>
      <c r="H155">
        <f>IF(AND(Table13[[#This Row],[Direction]]="L",Table13[[#This Row],[Steps]]&gt;G154,G154&lt;&gt;0),1,0)</f>
        <v>0</v>
      </c>
      <c r="I155">
        <f>IF(AND(Table13[[#This Row],[Direction]]="R",(G154+Table13[[#This Row],[Steps]])&gt;100),1,0)</f>
        <v>1</v>
      </c>
      <c r="J155">
        <f>IF(Table13[[#This Row],[POS]]=0,1,0)</f>
        <v>0</v>
      </c>
      <c r="K155">
        <f>SUM(Table13[[#This Row],[prefix]],Table13[[#This Row],[Past zero L]],Table13[[#This Row],[Past Zero R]],Table13[[#This Row],[Is Zero]])</f>
        <v>1</v>
      </c>
    </row>
    <row r="156" spans="1:11" ht="16" x14ac:dyDescent="0.2">
      <c r="A156" s="1" t="s">
        <v>106</v>
      </c>
      <c r="B156" t="str">
        <f>LEFT(Table13[[#This Row],[Input]],1)</f>
        <v>R</v>
      </c>
      <c r="C156">
        <f>_xlfn.LET(_xlpm.steps,SUBSTITUTE(Table13[[#This Row],[Input]],Table13[[#This Row],[Direction]],""),VALUE(IF(LEN(_xlpm.steps)&gt;2,RIGHT(_xlpm.steps,2),_xlpm.steps)))</f>
        <v>41</v>
      </c>
      <c r="D156">
        <f>_xlfn.LET(_xlpm.steps,SUBSTITUTE(Table13[[#This Row],[Input]],Table13[[#This Row],[Direction]],""),VALUE(IF(LEN(_xlpm.steps)&gt;2,LEFT(_xlpm.steps,LEN(_xlpm.steps)-2),0)))</f>
        <v>0</v>
      </c>
      <c r="E156">
        <f>_xlfn.LET(_xlpm.dir,Table13[[#This Row],[Direction]],
IF(_xlpm.dir="L",
    IF(G155-Table13[[#This Row],[Steps]]&lt;0,100+(G155-Table13[[#This Row],[Steps]]),G155-Table13[[#This Row],[Steps]]),
))</f>
        <v>0</v>
      </c>
      <c r="F156">
        <f>_xlfn.LET(_xlpm.dir,Table13[[#This Row],[Direction]],
IF(_xlpm.dir="R",
    IF(G155+Table13[[#This Row],[Steps]]&gt;99,(G155+Table13[[#This Row],[Steps]])-100,G155+Table13[[#This Row],[Steps]]),
))</f>
        <v>86</v>
      </c>
      <c r="G156">
        <f>IF(Table13[[#This Row],[New Pos L]]&lt;&gt;0,Table13[[#This Row],[New Pos L]],Table13[[#This Row],[New Pos R]])</f>
        <v>86</v>
      </c>
      <c r="H156">
        <f>IF(AND(Table13[[#This Row],[Direction]]="L",Table13[[#This Row],[Steps]]&gt;G155,G155&lt;&gt;0),1,0)</f>
        <v>0</v>
      </c>
      <c r="I156">
        <f>IF(AND(Table13[[#This Row],[Direction]]="R",(G155+Table13[[#This Row],[Steps]])&gt;100),1,0)</f>
        <v>0</v>
      </c>
      <c r="J156">
        <f>IF(Table13[[#This Row],[POS]]=0,1,0)</f>
        <v>0</v>
      </c>
      <c r="K156">
        <f>SUM(Table13[[#This Row],[prefix]],Table13[[#This Row],[Past zero L]],Table13[[#This Row],[Past Zero R]],Table13[[#This Row],[Is Zero]])</f>
        <v>0</v>
      </c>
    </row>
    <row r="157" spans="1:11" ht="16" x14ac:dyDescent="0.2">
      <c r="A157" s="1" t="s">
        <v>60</v>
      </c>
      <c r="B157" t="str">
        <f>LEFT(Table13[[#This Row],[Input]],1)</f>
        <v>R</v>
      </c>
      <c r="C157">
        <f>_xlfn.LET(_xlpm.steps,SUBSTITUTE(Table13[[#This Row],[Input]],Table13[[#This Row],[Direction]],""),VALUE(IF(LEN(_xlpm.steps)&gt;2,RIGHT(_xlpm.steps,2),_xlpm.steps)))</f>
        <v>86</v>
      </c>
      <c r="D157">
        <f>_xlfn.LET(_xlpm.steps,SUBSTITUTE(Table13[[#This Row],[Input]],Table13[[#This Row],[Direction]],""),VALUE(IF(LEN(_xlpm.steps)&gt;2,LEFT(_xlpm.steps,LEN(_xlpm.steps)-2),0)))</f>
        <v>0</v>
      </c>
      <c r="E157">
        <f>_xlfn.LET(_xlpm.dir,Table13[[#This Row],[Direction]],
IF(_xlpm.dir="L",
    IF(G156-Table13[[#This Row],[Steps]]&lt;0,100+(G156-Table13[[#This Row],[Steps]]),G156-Table13[[#This Row],[Steps]]),
))</f>
        <v>0</v>
      </c>
      <c r="F157">
        <f>_xlfn.LET(_xlpm.dir,Table13[[#This Row],[Direction]],
IF(_xlpm.dir="R",
    IF(G156+Table13[[#This Row],[Steps]]&gt;99,(G156+Table13[[#This Row],[Steps]])-100,G156+Table13[[#This Row],[Steps]]),
))</f>
        <v>72</v>
      </c>
      <c r="G157">
        <f>IF(Table13[[#This Row],[New Pos L]]&lt;&gt;0,Table13[[#This Row],[New Pos L]],Table13[[#This Row],[New Pos R]])</f>
        <v>72</v>
      </c>
      <c r="H157">
        <f>IF(AND(Table13[[#This Row],[Direction]]="L",Table13[[#This Row],[Steps]]&gt;G156,G156&lt;&gt;0),1,0)</f>
        <v>0</v>
      </c>
      <c r="I157">
        <f>IF(AND(Table13[[#This Row],[Direction]]="R",(G156+Table13[[#This Row],[Steps]])&gt;100),1,0)</f>
        <v>1</v>
      </c>
      <c r="J157">
        <f>IF(Table13[[#This Row],[POS]]=0,1,0)</f>
        <v>0</v>
      </c>
      <c r="K157">
        <f>SUM(Table13[[#This Row],[prefix]],Table13[[#This Row],[Past zero L]],Table13[[#This Row],[Past Zero R]],Table13[[#This Row],[Is Zero]])</f>
        <v>1</v>
      </c>
    </row>
    <row r="158" spans="1:11" ht="16" x14ac:dyDescent="0.2">
      <c r="A158" s="1" t="s">
        <v>107</v>
      </c>
      <c r="B158" t="str">
        <f>LEFT(Table13[[#This Row],[Input]],1)</f>
        <v>R</v>
      </c>
      <c r="C158">
        <f>_xlfn.LET(_xlpm.steps,SUBSTITUTE(Table13[[#This Row],[Input]],Table13[[#This Row],[Direction]],""),VALUE(IF(LEN(_xlpm.steps)&gt;2,RIGHT(_xlpm.steps,2),_xlpm.steps)))</f>
        <v>28</v>
      </c>
      <c r="D158">
        <f>_xlfn.LET(_xlpm.steps,SUBSTITUTE(Table13[[#This Row],[Input]],Table13[[#This Row],[Direction]],""),VALUE(IF(LEN(_xlpm.steps)&gt;2,LEFT(_xlpm.steps,LEN(_xlpm.steps)-2),0)))</f>
        <v>9</v>
      </c>
      <c r="E158">
        <f>_xlfn.LET(_xlpm.dir,Table13[[#This Row],[Direction]],
IF(_xlpm.dir="L",
    IF(G157-Table13[[#This Row],[Steps]]&lt;0,100+(G157-Table13[[#This Row],[Steps]]),G157-Table13[[#This Row],[Steps]]),
))</f>
        <v>0</v>
      </c>
      <c r="F158">
        <f>_xlfn.LET(_xlpm.dir,Table13[[#This Row],[Direction]],
IF(_xlpm.dir="R",
    IF(G157+Table13[[#This Row],[Steps]]&gt;99,(G157+Table13[[#This Row],[Steps]])-100,G157+Table13[[#This Row],[Steps]]),
))</f>
        <v>0</v>
      </c>
      <c r="G158">
        <f>IF(Table13[[#This Row],[New Pos L]]&lt;&gt;0,Table13[[#This Row],[New Pos L]],Table13[[#This Row],[New Pos R]])</f>
        <v>0</v>
      </c>
      <c r="H158">
        <f>IF(AND(Table13[[#This Row],[Direction]]="L",Table13[[#This Row],[Steps]]&gt;G157,G157&lt;&gt;0),1,0)</f>
        <v>0</v>
      </c>
      <c r="I158">
        <f>IF(AND(Table13[[#This Row],[Direction]]="R",(G157+Table13[[#This Row],[Steps]])&gt;100),1,0)</f>
        <v>0</v>
      </c>
      <c r="J158">
        <f>IF(Table13[[#This Row],[POS]]=0,1,0)</f>
        <v>1</v>
      </c>
      <c r="K158">
        <f>SUM(Table13[[#This Row],[prefix]],Table13[[#This Row],[Past zero L]],Table13[[#This Row],[Past Zero R]],Table13[[#This Row],[Is Zero]])</f>
        <v>10</v>
      </c>
    </row>
    <row r="159" spans="1:11" ht="16" x14ac:dyDescent="0.2">
      <c r="A159" s="1" t="s">
        <v>108</v>
      </c>
      <c r="B159" t="str">
        <f>LEFT(Table13[[#This Row],[Input]],1)</f>
        <v>R</v>
      </c>
      <c r="C159">
        <f>_xlfn.LET(_xlpm.steps,SUBSTITUTE(Table13[[#This Row],[Input]],Table13[[#This Row],[Direction]],""),VALUE(IF(LEN(_xlpm.steps)&gt;2,RIGHT(_xlpm.steps,2),_xlpm.steps)))</f>
        <v>66</v>
      </c>
      <c r="D159">
        <f>_xlfn.LET(_xlpm.steps,SUBSTITUTE(Table13[[#This Row],[Input]],Table13[[#This Row],[Direction]],""),VALUE(IF(LEN(_xlpm.steps)&gt;2,LEFT(_xlpm.steps,LEN(_xlpm.steps)-2),0)))</f>
        <v>0</v>
      </c>
      <c r="E159">
        <f>_xlfn.LET(_xlpm.dir,Table13[[#This Row],[Direction]],
IF(_xlpm.dir="L",
    IF(G158-Table13[[#This Row],[Steps]]&lt;0,100+(G158-Table13[[#This Row],[Steps]]),G158-Table13[[#This Row],[Steps]]),
))</f>
        <v>0</v>
      </c>
      <c r="F159">
        <f>_xlfn.LET(_xlpm.dir,Table13[[#This Row],[Direction]],
IF(_xlpm.dir="R",
    IF(G158+Table13[[#This Row],[Steps]]&gt;99,(G158+Table13[[#This Row],[Steps]])-100,G158+Table13[[#This Row],[Steps]]),
))</f>
        <v>66</v>
      </c>
      <c r="G159">
        <f>IF(Table13[[#This Row],[New Pos L]]&lt;&gt;0,Table13[[#This Row],[New Pos L]],Table13[[#This Row],[New Pos R]])</f>
        <v>66</v>
      </c>
      <c r="H159">
        <f>IF(AND(Table13[[#This Row],[Direction]]="L",Table13[[#This Row],[Steps]]&gt;G158,G158&lt;&gt;0),1,0)</f>
        <v>0</v>
      </c>
      <c r="I159">
        <f>IF(AND(Table13[[#This Row],[Direction]]="R",(G158+Table13[[#This Row],[Steps]])&gt;100),1,0)</f>
        <v>0</v>
      </c>
      <c r="J159">
        <f>IF(Table13[[#This Row],[POS]]=0,1,0)</f>
        <v>0</v>
      </c>
      <c r="K159">
        <f>SUM(Table13[[#This Row],[prefix]],Table13[[#This Row],[Past zero L]],Table13[[#This Row],[Past Zero R]],Table13[[#This Row],[Is Zero]])</f>
        <v>0</v>
      </c>
    </row>
    <row r="160" spans="1:11" ht="16" x14ac:dyDescent="0.2">
      <c r="A160" s="1" t="s">
        <v>109</v>
      </c>
      <c r="B160" t="str">
        <f>LEFT(Table13[[#This Row],[Input]],1)</f>
        <v>L</v>
      </c>
      <c r="C160">
        <f>_xlfn.LET(_xlpm.steps,SUBSTITUTE(Table13[[#This Row],[Input]],Table13[[#This Row],[Direction]],""),VALUE(IF(LEN(_xlpm.steps)&gt;2,RIGHT(_xlpm.steps,2),_xlpm.steps)))</f>
        <v>66</v>
      </c>
      <c r="D160">
        <f>_xlfn.LET(_xlpm.steps,SUBSTITUTE(Table13[[#This Row],[Input]],Table13[[#This Row],[Direction]],""),VALUE(IF(LEN(_xlpm.steps)&gt;2,LEFT(_xlpm.steps,LEN(_xlpm.steps)-2),0)))</f>
        <v>7</v>
      </c>
      <c r="E160">
        <f>_xlfn.LET(_xlpm.dir,Table13[[#This Row],[Direction]],
IF(_xlpm.dir="L",
    IF(G159-Table13[[#This Row],[Steps]]&lt;0,100+(G159-Table13[[#This Row],[Steps]]),G159-Table13[[#This Row],[Steps]]),
))</f>
        <v>0</v>
      </c>
      <c r="F160">
        <f>_xlfn.LET(_xlpm.dir,Table13[[#This Row],[Direction]],
IF(_xlpm.dir="R",
    IF(G159+Table13[[#This Row],[Steps]]&gt;99,(G159+Table13[[#This Row],[Steps]])-100,G159+Table13[[#This Row],[Steps]]),
))</f>
        <v>0</v>
      </c>
      <c r="G160">
        <f>IF(Table13[[#This Row],[New Pos L]]&lt;&gt;0,Table13[[#This Row],[New Pos L]],Table13[[#This Row],[New Pos R]])</f>
        <v>0</v>
      </c>
      <c r="H160">
        <f>IF(AND(Table13[[#This Row],[Direction]]="L",Table13[[#This Row],[Steps]]&gt;G159,G159&lt;&gt;0),1,0)</f>
        <v>0</v>
      </c>
      <c r="I160">
        <f>IF(AND(Table13[[#This Row],[Direction]]="R",(G159+Table13[[#This Row],[Steps]])&gt;100),1,0)</f>
        <v>0</v>
      </c>
      <c r="J160">
        <f>IF(Table13[[#This Row],[POS]]=0,1,0)</f>
        <v>1</v>
      </c>
      <c r="K160">
        <f>SUM(Table13[[#This Row],[prefix]],Table13[[#This Row],[Past zero L]],Table13[[#This Row],[Past Zero R]],Table13[[#This Row],[Is Zero]])</f>
        <v>8</v>
      </c>
    </row>
    <row r="161" spans="1:11" ht="16" x14ac:dyDescent="0.2">
      <c r="A161" s="1" t="s">
        <v>110</v>
      </c>
      <c r="B161" t="str">
        <f>LEFT(Table13[[#This Row],[Input]],1)</f>
        <v>L</v>
      </c>
      <c r="C161">
        <f>_xlfn.LET(_xlpm.steps,SUBSTITUTE(Table13[[#This Row],[Input]],Table13[[#This Row],[Direction]],""),VALUE(IF(LEN(_xlpm.steps)&gt;2,RIGHT(_xlpm.steps,2),_xlpm.steps)))</f>
        <v>81</v>
      </c>
      <c r="D161">
        <f>_xlfn.LET(_xlpm.steps,SUBSTITUTE(Table13[[#This Row],[Input]],Table13[[#This Row],[Direction]],""),VALUE(IF(LEN(_xlpm.steps)&gt;2,LEFT(_xlpm.steps,LEN(_xlpm.steps)-2),0)))</f>
        <v>0</v>
      </c>
      <c r="E161">
        <f>_xlfn.LET(_xlpm.dir,Table13[[#This Row],[Direction]],
IF(_xlpm.dir="L",
    IF(G160-Table13[[#This Row],[Steps]]&lt;0,100+(G160-Table13[[#This Row],[Steps]]),G160-Table13[[#This Row],[Steps]]),
))</f>
        <v>19</v>
      </c>
      <c r="F161">
        <f>_xlfn.LET(_xlpm.dir,Table13[[#This Row],[Direction]],
IF(_xlpm.dir="R",
    IF(G160+Table13[[#This Row],[Steps]]&gt;99,(G160+Table13[[#This Row],[Steps]])-100,G160+Table13[[#This Row],[Steps]]),
))</f>
        <v>0</v>
      </c>
      <c r="G161">
        <f>IF(Table13[[#This Row],[New Pos L]]&lt;&gt;0,Table13[[#This Row],[New Pos L]],Table13[[#This Row],[New Pos R]])</f>
        <v>19</v>
      </c>
      <c r="H161">
        <f>IF(AND(Table13[[#This Row],[Direction]]="L",Table13[[#This Row],[Steps]]&gt;G160,G160&lt;&gt;0),1,0)</f>
        <v>0</v>
      </c>
      <c r="I161">
        <f>IF(AND(Table13[[#This Row],[Direction]]="R",(G160+Table13[[#This Row],[Steps]])&gt;100),1,0)</f>
        <v>0</v>
      </c>
      <c r="J161">
        <f>IF(Table13[[#This Row],[POS]]=0,1,0)</f>
        <v>0</v>
      </c>
      <c r="K161">
        <f>SUM(Table13[[#This Row],[prefix]],Table13[[#This Row],[Past zero L]],Table13[[#This Row],[Past Zero R]],Table13[[#This Row],[Is Zero]])</f>
        <v>0</v>
      </c>
    </row>
    <row r="162" spans="1:11" ht="16" x14ac:dyDescent="0.2">
      <c r="A162" s="1" t="s">
        <v>65</v>
      </c>
      <c r="B162" t="str">
        <f>LEFT(Table13[[#This Row],[Input]],1)</f>
        <v>L</v>
      </c>
      <c r="C162">
        <f>_xlfn.LET(_xlpm.steps,SUBSTITUTE(Table13[[#This Row],[Input]],Table13[[#This Row],[Direction]],""),VALUE(IF(LEN(_xlpm.steps)&gt;2,RIGHT(_xlpm.steps,2),_xlpm.steps)))</f>
        <v>19</v>
      </c>
      <c r="D162">
        <f>_xlfn.LET(_xlpm.steps,SUBSTITUTE(Table13[[#This Row],[Input]],Table13[[#This Row],[Direction]],""),VALUE(IF(LEN(_xlpm.steps)&gt;2,LEFT(_xlpm.steps,LEN(_xlpm.steps)-2),0)))</f>
        <v>0</v>
      </c>
      <c r="E162">
        <f>_xlfn.LET(_xlpm.dir,Table13[[#This Row],[Direction]],
IF(_xlpm.dir="L",
    IF(G161-Table13[[#This Row],[Steps]]&lt;0,100+(G161-Table13[[#This Row],[Steps]]),G161-Table13[[#This Row],[Steps]]),
))</f>
        <v>0</v>
      </c>
      <c r="F162">
        <f>_xlfn.LET(_xlpm.dir,Table13[[#This Row],[Direction]],
IF(_xlpm.dir="R",
    IF(G161+Table13[[#This Row],[Steps]]&gt;99,(G161+Table13[[#This Row],[Steps]])-100,G161+Table13[[#This Row],[Steps]]),
))</f>
        <v>0</v>
      </c>
      <c r="G162">
        <f>IF(Table13[[#This Row],[New Pos L]]&lt;&gt;0,Table13[[#This Row],[New Pos L]],Table13[[#This Row],[New Pos R]])</f>
        <v>0</v>
      </c>
      <c r="H162">
        <f>IF(AND(Table13[[#This Row],[Direction]]="L",Table13[[#This Row],[Steps]]&gt;G161,G161&lt;&gt;0),1,0)</f>
        <v>0</v>
      </c>
      <c r="I162">
        <f>IF(AND(Table13[[#This Row],[Direction]]="R",(G161+Table13[[#This Row],[Steps]])&gt;100),1,0)</f>
        <v>0</v>
      </c>
      <c r="J162">
        <f>IF(Table13[[#This Row],[POS]]=0,1,0)</f>
        <v>1</v>
      </c>
      <c r="K162">
        <f>SUM(Table13[[#This Row],[prefix]],Table13[[#This Row],[Past zero L]],Table13[[#This Row],[Past Zero R]],Table13[[#This Row],[Is Zero]])</f>
        <v>1</v>
      </c>
    </row>
    <row r="163" spans="1:11" ht="16" x14ac:dyDescent="0.2">
      <c r="A163" s="1" t="s">
        <v>58</v>
      </c>
      <c r="B163" t="str">
        <f>LEFT(Table13[[#This Row],[Input]],1)</f>
        <v>L</v>
      </c>
      <c r="C163">
        <f>_xlfn.LET(_xlpm.steps,SUBSTITUTE(Table13[[#This Row],[Input]],Table13[[#This Row],[Direction]],""),VALUE(IF(LEN(_xlpm.steps)&gt;2,RIGHT(_xlpm.steps,2),_xlpm.steps)))</f>
        <v>30</v>
      </c>
      <c r="D163">
        <f>_xlfn.LET(_xlpm.steps,SUBSTITUTE(Table13[[#This Row],[Input]],Table13[[#This Row],[Direction]],""),VALUE(IF(LEN(_xlpm.steps)&gt;2,LEFT(_xlpm.steps,LEN(_xlpm.steps)-2),0)))</f>
        <v>0</v>
      </c>
      <c r="E163">
        <f>_xlfn.LET(_xlpm.dir,Table13[[#This Row],[Direction]],
IF(_xlpm.dir="L",
    IF(G162-Table13[[#This Row],[Steps]]&lt;0,100+(G162-Table13[[#This Row],[Steps]]),G162-Table13[[#This Row],[Steps]]),
))</f>
        <v>70</v>
      </c>
      <c r="F163">
        <f>_xlfn.LET(_xlpm.dir,Table13[[#This Row],[Direction]],
IF(_xlpm.dir="R",
    IF(G162+Table13[[#This Row],[Steps]]&gt;99,(G162+Table13[[#This Row],[Steps]])-100,G162+Table13[[#This Row],[Steps]]),
))</f>
        <v>0</v>
      </c>
      <c r="G163">
        <f>IF(Table13[[#This Row],[New Pos L]]&lt;&gt;0,Table13[[#This Row],[New Pos L]],Table13[[#This Row],[New Pos R]])</f>
        <v>70</v>
      </c>
      <c r="H163">
        <f>IF(AND(Table13[[#This Row],[Direction]]="L",Table13[[#This Row],[Steps]]&gt;G162,G162&lt;&gt;0),1,0)</f>
        <v>0</v>
      </c>
      <c r="I163">
        <f>IF(AND(Table13[[#This Row],[Direction]]="R",(G162+Table13[[#This Row],[Steps]])&gt;100),1,0)</f>
        <v>0</v>
      </c>
      <c r="J163">
        <f>IF(Table13[[#This Row],[POS]]=0,1,0)</f>
        <v>0</v>
      </c>
      <c r="K163">
        <f>SUM(Table13[[#This Row],[prefix]],Table13[[#This Row],[Past zero L]],Table13[[#This Row],[Past Zero R]],Table13[[#This Row],[Is Zero]])</f>
        <v>0</v>
      </c>
    </row>
    <row r="164" spans="1:11" ht="16" x14ac:dyDescent="0.2">
      <c r="A164" s="1" t="s">
        <v>111</v>
      </c>
      <c r="B164" t="str">
        <f>LEFT(Table13[[#This Row],[Input]],1)</f>
        <v>R</v>
      </c>
      <c r="C164">
        <f>_xlfn.LET(_xlpm.steps,SUBSTITUTE(Table13[[#This Row],[Input]],Table13[[#This Row],[Direction]],""),VALUE(IF(LEN(_xlpm.steps)&gt;2,RIGHT(_xlpm.steps,2),_xlpm.steps)))</f>
        <v>64</v>
      </c>
      <c r="D164">
        <f>_xlfn.LET(_xlpm.steps,SUBSTITUTE(Table13[[#This Row],[Input]],Table13[[#This Row],[Direction]],""),VALUE(IF(LEN(_xlpm.steps)&gt;2,LEFT(_xlpm.steps,LEN(_xlpm.steps)-2),0)))</f>
        <v>0</v>
      </c>
      <c r="E164">
        <f>_xlfn.LET(_xlpm.dir,Table13[[#This Row],[Direction]],
IF(_xlpm.dir="L",
    IF(G163-Table13[[#This Row],[Steps]]&lt;0,100+(G163-Table13[[#This Row],[Steps]]),G163-Table13[[#This Row],[Steps]]),
))</f>
        <v>0</v>
      </c>
      <c r="F164">
        <f>_xlfn.LET(_xlpm.dir,Table13[[#This Row],[Direction]],
IF(_xlpm.dir="R",
    IF(G163+Table13[[#This Row],[Steps]]&gt;99,(G163+Table13[[#This Row],[Steps]])-100,G163+Table13[[#This Row],[Steps]]),
))</f>
        <v>34</v>
      </c>
      <c r="G164">
        <f>IF(Table13[[#This Row],[New Pos L]]&lt;&gt;0,Table13[[#This Row],[New Pos L]],Table13[[#This Row],[New Pos R]])</f>
        <v>34</v>
      </c>
      <c r="H164">
        <f>IF(AND(Table13[[#This Row],[Direction]]="L",Table13[[#This Row],[Steps]]&gt;G163,G163&lt;&gt;0),1,0)</f>
        <v>0</v>
      </c>
      <c r="I164">
        <f>IF(AND(Table13[[#This Row],[Direction]]="R",(G163+Table13[[#This Row],[Steps]])&gt;100),1,0)</f>
        <v>1</v>
      </c>
      <c r="J164">
        <f>IF(Table13[[#This Row],[POS]]=0,1,0)</f>
        <v>0</v>
      </c>
      <c r="K164">
        <f>SUM(Table13[[#This Row],[prefix]],Table13[[#This Row],[Past zero L]],Table13[[#This Row],[Past Zero R]],Table13[[#This Row],[Is Zero]])</f>
        <v>1</v>
      </c>
    </row>
    <row r="165" spans="1:11" ht="16" x14ac:dyDescent="0.2">
      <c r="A165" s="1" t="s">
        <v>112</v>
      </c>
      <c r="B165" t="str">
        <f>LEFT(Table13[[#This Row],[Input]],1)</f>
        <v>R</v>
      </c>
      <c r="C165">
        <f>_xlfn.LET(_xlpm.steps,SUBSTITUTE(Table13[[#This Row],[Input]],Table13[[#This Row],[Direction]],""),VALUE(IF(LEN(_xlpm.steps)&gt;2,RIGHT(_xlpm.steps,2),_xlpm.steps)))</f>
        <v>33</v>
      </c>
      <c r="D165">
        <f>_xlfn.LET(_xlpm.steps,SUBSTITUTE(Table13[[#This Row],[Input]],Table13[[#This Row],[Direction]],""),VALUE(IF(LEN(_xlpm.steps)&gt;2,LEFT(_xlpm.steps,LEN(_xlpm.steps)-2),0)))</f>
        <v>8</v>
      </c>
      <c r="E165">
        <f>_xlfn.LET(_xlpm.dir,Table13[[#This Row],[Direction]],
IF(_xlpm.dir="L",
    IF(G164-Table13[[#This Row],[Steps]]&lt;0,100+(G164-Table13[[#This Row],[Steps]]),G164-Table13[[#This Row],[Steps]]),
))</f>
        <v>0</v>
      </c>
      <c r="F165">
        <f>_xlfn.LET(_xlpm.dir,Table13[[#This Row],[Direction]],
IF(_xlpm.dir="R",
    IF(G164+Table13[[#This Row],[Steps]]&gt;99,(G164+Table13[[#This Row],[Steps]])-100,G164+Table13[[#This Row],[Steps]]),
))</f>
        <v>67</v>
      </c>
      <c r="G165">
        <f>IF(Table13[[#This Row],[New Pos L]]&lt;&gt;0,Table13[[#This Row],[New Pos L]],Table13[[#This Row],[New Pos R]])</f>
        <v>67</v>
      </c>
      <c r="H165">
        <f>IF(AND(Table13[[#This Row],[Direction]]="L",Table13[[#This Row],[Steps]]&gt;G164,G164&lt;&gt;0),1,0)</f>
        <v>0</v>
      </c>
      <c r="I165">
        <f>IF(AND(Table13[[#This Row],[Direction]]="R",(G164+Table13[[#This Row],[Steps]])&gt;100),1,0)</f>
        <v>0</v>
      </c>
      <c r="J165">
        <f>IF(Table13[[#This Row],[POS]]=0,1,0)</f>
        <v>0</v>
      </c>
      <c r="K165">
        <f>SUM(Table13[[#This Row],[prefix]],Table13[[#This Row],[Past zero L]],Table13[[#This Row],[Past Zero R]],Table13[[#This Row],[Is Zero]])</f>
        <v>8</v>
      </c>
    </row>
    <row r="166" spans="1:11" ht="16" x14ac:dyDescent="0.2">
      <c r="A166" s="1" t="s">
        <v>113</v>
      </c>
      <c r="B166" t="str">
        <f>LEFT(Table13[[#This Row],[Input]],1)</f>
        <v>L</v>
      </c>
      <c r="C166">
        <f>_xlfn.LET(_xlpm.steps,SUBSTITUTE(Table13[[#This Row],[Input]],Table13[[#This Row],[Direction]],""),VALUE(IF(LEN(_xlpm.steps)&gt;2,RIGHT(_xlpm.steps,2),_xlpm.steps)))</f>
        <v>30</v>
      </c>
      <c r="D166">
        <f>_xlfn.LET(_xlpm.steps,SUBSTITUTE(Table13[[#This Row],[Input]],Table13[[#This Row],[Direction]],""),VALUE(IF(LEN(_xlpm.steps)&gt;2,LEFT(_xlpm.steps,LEN(_xlpm.steps)-2),0)))</f>
        <v>3</v>
      </c>
      <c r="E166">
        <f>_xlfn.LET(_xlpm.dir,Table13[[#This Row],[Direction]],
IF(_xlpm.dir="L",
    IF(G165-Table13[[#This Row],[Steps]]&lt;0,100+(G165-Table13[[#This Row],[Steps]]),G165-Table13[[#This Row],[Steps]]),
))</f>
        <v>37</v>
      </c>
      <c r="F166">
        <f>_xlfn.LET(_xlpm.dir,Table13[[#This Row],[Direction]],
IF(_xlpm.dir="R",
    IF(G165+Table13[[#This Row],[Steps]]&gt;99,(G165+Table13[[#This Row],[Steps]])-100,G165+Table13[[#This Row],[Steps]]),
))</f>
        <v>0</v>
      </c>
      <c r="G166">
        <f>IF(Table13[[#This Row],[New Pos L]]&lt;&gt;0,Table13[[#This Row],[New Pos L]],Table13[[#This Row],[New Pos R]])</f>
        <v>37</v>
      </c>
      <c r="H166">
        <f>IF(AND(Table13[[#This Row],[Direction]]="L",Table13[[#This Row],[Steps]]&gt;G165,G165&lt;&gt;0),1,0)</f>
        <v>0</v>
      </c>
      <c r="I166">
        <f>IF(AND(Table13[[#This Row],[Direction]]="R",(G165+Table13[[#This Row],[Steps]])&gt;100),1,0)</f>
        <v>0</v>
      </c>
      <c r="J166">
        <f>IF(Table13[[#This Row],[POS]]=0,1,0)</f>
        <v>0</v>
      </c>
      <c r="K166">
        <f>SUM(Table13[[#This Row],[prefix]],Table13[[#This Row],[Past zero L]],Table13[[#This Row],[Past Zero R]],Table13[[#This Row],[Is Zero]])</f>
        <v>3</v>
      </c>
    </row>
    <row r="167" spans="1:11" ht="16" x14ac:dyDescent="0.2">
      <c r="A167" s="1" t="s">
        <v>16</v>
      </c>
      <c r="B167" t="str">
        <f>LEFT(Table13[[#This Row],[Input]],1)</f>
        <v>L</v>
      </c>
      <c r="C167">
        <f>_xlfn.LET(_xlpm.steps,SUBSTITUTE(Table13[[#This Row],[Input]],Table13[[#This Row],[Direction]],""),VALUE(IF(LEN(_xlpm.steps)&gt;2,RIGHT(_xlpm.steps,2),_xlpm.steps)))</f>
        <v>10</v>
      </c>
      <c r="D167">
        <f>_xlfn.LET(_xlpm.steps,SUBSTITUTE(Table13[[#This Row],[Input]],Table13[[#This Row],[Direction]],""),VALUE(IF(LEN(_xlpm.steps)&gt;2,LEFT(_xlpm.steps,LEN(_xlpm.steps)-2),0)))</f>
        <v>0</v>
      </c>
      <c r="E167">
        <f>_xlfn.LET(_xlpm.dir,Table13[[#This Row],[Direction]],
IF(_xlpm.dir="L",
    IF(G166-Table13[[#This Row],[Steps]]&lt;0,100+(G166-Table13[[#This Row],[Steps]]),G166-Table13[[#This Row],[Steps]]),
))</f>
        <v>27</v>
      </c>
      <c r="F167">
        <f>_xlfn.LET(_xlpm.dir,Table13[[#This Row],[Direction]],
IF(_xlpm.dir="R",
    IF(G166+Table13[[#This Row],[Steps]]&gt;99,(G166+Table13[[#This Row],[Steps]])-100,G166+Table13[[#This Row],[Steps]]),
))</f>
        <v>0</v>
      </c>
      <c r="G167">
        <f>IF(Table13[[#This Row],[New Pos L]]&lt;&gt;0,Table13[[#This Row],[New Pos L]],Table13[[#This Row],[New Pos R]])</f>
        <v>27</v>
      </c>
      <c r="H167">
        <f>IF(AND(Table13[[#This Row],[Direction]]="L",Table13[[#This Row],[Steps]]&gt;G166,G166&lt;&gt;0),1,0)</f>
        <v>0</v>
      </c>
      <c r="I167">
        <f>IF(AND(Table13[[#This Row],[Direction]]="R",(G166+Table13[[#This Row],[Steps]])&gt;100),1,0)</f>
        <v>0</v>
      </c>
      <c r="J167">
        <f>IF(Table13[[#This Row],[POS]]=0,1,0)</f>
        <v>0</v>
      </c>
      <c r="K167">
        <f>SUM(Table13[[#This Row],[prefix]],Table13[[#This Row],[Past zero L]],Table13[[#This Row],[Past Zero R]],Table13[[#This Row],[Is Zero]])</f>
        <v>0</v>
      </c>
    </row>
    <row r="168" spans="1:11" ht="16" x14ac:dyDescent="0.2">
      <c r="A168" s="1" t="s">
        <v>42</v>
      </c>
      <c r="B168" t="str">
        <f>LEFT(Table13[[#This Row],[Input]],1)</f>
        <v>L</v>
      </c>
      <c r="C168">
        <f>_xlfn.LET(_xlpm.steps,SUBSTITUTE(Table13[[#This Row],[Input]],Table13[[#This Row],[Direction]],""),VALUE(IF(LEN(_xlpm.steps)&gt;2,RIGHT(_xlpm.steps,2),_xlpm.steps)))</f>
        <v>27</v>
      </c>
      <c r="D168">
        <f>_xlfn.LET(_xlpm.steps,SUBSTITUTE(Table13[[#This Row],[Input]],Table13[[#This Row],[Direction]],""),VALUE(IF(LEN(_xlpm.steps)&gt;2,LEFT(_xlpm.steps,LEN(_xlpm.steps)-2),0)))</f>
        <v>0</v>
      </c>
      <c r="E168">
        <f>_xlfn.LET(_xlpm.dir,Table13[[#This Row],[Direction]],
IF(_xlpm.dir="L",
    IF(G167-Table13[[#This Row],[Steps]]&lt;0,100+(G167-Table13[[#This Row],[Steps]]),G167-Table13[[#This Row],[Steps]]),
))</f>
        <v>0</v>
      </c>
      <c r="F168">
        <f>_xlfn.LET(_xlpm.dir,Table13[[#This Row],[Direction]],
IF(_xlpm.dir="R",
    IF(G167+Table13[[#This Row],[Steps]]&gt;99,(G167+Table13[[#This Row],[Steps]])-100,G167+Table13[[#This Row],[Steps]]),
))</f>
        <v>0</v>
      </c>
      <c r="G168">
        <f>IF(Table13[[#This Row],[New Pos L]]&lt;&gt;0,Table13[[#This Row],[New Pos L]],Table13[[#This Row],[New Pos R]])</f>
        <v>0</v>
      </c>
      <c r="H168">
        <f>IF(AND(Table13[[#This Row],[Direction]]="L",Table13[[#This Row],[Steps]]&gt;G167,G167&lt;&gt;0),1,0)</f>
        <v>0</v>
      </c>
      <c r="I168">
        <f>IF(AND(Table13[[#This Row],[Direction]]="R",(G167+Table13[[#This Row],[Steps]])&gt;100),1,0)</f>
        <v>0</v>
      </c>
      <c r="J168">
        <f>IF(Table13[[#This Row],[POS]]=0,1,0)</f>
        <v>1</v>
      </c>
      <c r="K168">
        <f>SUM(Table13[[#This Row],[prefix]],Table13[[#This Row],[Past zero L]],Table13[[#This Row],[Past Zero R]],Table13[[#This Row],[Is Zero]])</f>
        <v>1</v>
      </c>
    </row>
    <row r="169" spans="1:11" ht="16" x14ac:dyDescent="0.2">
      <c r="A169" s="1" t="s">
        <v>63</v>
      </c>
      <c r="B169" t="str">
        <f>LEFT(Table13[[#This Row],[Input]],1)</f>
        <v>R</v>
      </c>
      <c r="C169">
        <f>_xlfn.LET(_xlpm.steps,SUBSTITUTE(Table13[[#This Row],[Input]],Table13[[#This Row],[Direction]],""),VALUE(IF(LEN(_xlpm.steps)&gt;2,RIGHT(_xlpm.steps,2),_xlpm.steps)))</f>
        <v>57</v>
      </c>
      <c r="D169">
        <f>_xlfn.LET(_xlpm.steps,SUBSTITUTE(Table13[[#This Row],[Input]],Table13[[#This Row],[Direction]],""),VALUE(IF(LEN(_xlpm.steps)&gt;2,LEFT(_xlpm.steps,LEN(_xlpm.steps)-2),0)))</f>
        <v>0</v>
      </c>
      <c r="E169">
        <f>_xlfn.LET(_xlpm.dir,Table13[[#This Row],[Direction]],
IF(_xlpm.dir="L",
    IF(G168-Table13[[#This Row],[Steps]]&lt;0,100+(G168-Table13[[#This Row],[Steps]]),G168-Table13[[#This Row],[Steps]]),
))</f>
        <v>0</v>
      </c>
      <c r="F169">
        <f>_xlfn.LET(_xlpm.dir,Table13[[#This Row],[Direction]],
IF(_xlpm.dir="R",
    IF(G168+Table13[[#This Row],[Steps]]&gt;99,(G168+Table13[[#This Row],[Steps]])-100,G168+Table13[[#This Row],[Steps]]),
))</f>
        <v>57</v>
      </c>
      <c r="G169">
        <f>IF(Table13[[#This Row],[New Pos L]]&lt;&gt;0,Table13[[#This Row],[New Pos L]],Table13[[#This Row],[New Pos R]])</f>
        <v>57</v>
      </c>
      <c r="H169">
        <f>IF(AND(Table13[[#This Row],[Direction]]="L",Table13[[#This Row],[Steps]]&gt;G168,G168&lt;&gt;0),1,0)</f>
        <v>0</v>
      </c>
      <c r="I169">
        <f>IF(AND(Table13[[#This Row],[Direction]]="R",(G168+Table13[[#This Row],[Steps]])&gt;100),1,0)</f>
        <v>0</v>
      </c>
      <c r="J169">
        <f>IF(Table13[[#This Row],[POS]]=0,1,0)</f>
        <v>0</v>
      </c>
      <c r="K169">
        <f>SUM(Table13[[#This Row],[prefix]],Table13[[#This Row],[Past zero L]],Table13[[#This Row],[Past Zero R]],Table13[[#This Row],[Is Zero]])</f>
        <v>0</v>
      </c>
    </row>
    <row r="170" spans="1:11" ht="16" x14ac:dyDescent="0.2">
      <c r="A170" s="1" t="s">
        <v>54</v>
      </c>
      <c r="B170" t="str">
        <f>LEFT(Table13[[#This Row],[Input]],1)</f>
        <v>L</v>
      </c>
      <c r="C170">
        <f>_xlfn.LET(_xlpm.steps,SUBSTITUTE(Table13[[#This Row],[Input]],Table13[[#This Row],[Direction]],""),VALUE(IF(LEN(_xlpm.steps)&gt;2,RIGHT(_xlpm.steps,2),_xlpm.steps)))</f>
        <v>75</v>
      </c>
      <c r="D170">
        <f>_xlfn.LET(_xlpm.steps,SUBSTITUTE(Table13[[#This Row],[Input]],Table13[[#This Row],[Direction]],""),VALUE(IF(LEN(_xlpm.steps)&gt;2,LEFT(_xlpm.steps,LEN(_xlpm.steps)-2),0)))</f>
        <v>0</v>
      </c>
      <c r="E170">
        <f>_xlfn.LET(_xlpm.dir,Table13[[#This Row],[Direction]],
IF(_xlpm.dir="L",
    IF(G169-Table13[[#This Row],[Steps]]&lt;0,100+(G169-Table13[[#This Row],[Steps]]),G169-Table13[[#This Row],[Steps]]),
))</f>
        <v>82</v>
      </c>
      <c r="F170">
        <f>_xlfn.LET(_xlpm.dir,Table13[[#This Row],[Direction]],
IF(_xlpm.dir="R",
    IF(G169+Table13[[#This Row],[Steps]]&gt;99,(G169+Table13[[#This Row],[Steps]])-100,G169+Table13[[#This Row],[Steps]]),
))</f>
        <v>0</v>
      </c>
      <c r="G170">
        <f>IF(Table13[[#This Row],[New Pos L]]&lt;&gt;0,Table13[[#This Row],[New Pos L]],Table13[[#This Row],[New Pos R]])</f>
        <v>82</v>
      </c>
      <c r="H170">
        <f>IF(AND(Table13[[#This Row],[Direction]]="L",Table13[[#This Row],[Steps]]&gt;G169,G169&lt;&gt;0),1,0)</f>
        <v>1</v>
      </c>
      <c r="I170">
        <f>IF(AND(Table13[[#This Row],[Direction]]="R",(G169+Table13[[#This Row],[Steps]])&gt;100),1,0)</f>
        <v>0</v>
      </c>
      <c r="J170">
        <f>IF(Table13[[#This Row],[POS]]=0,1,0)</f>
        <v>0</v>
      </c>
      <c r="K170">
        <f>SUM(Table13[[#This Row],[prefix]],Table13[[#This Row],[Past zero L]],Table13[[#This Row],[Past Zero R]],Table13[[#This Row],[Is Zero]])</f>
        <v>1</v>
      </c>
    </row>
    <row r="171" spans="1:11" ht="16" x14ac:dyDescent="0.2">
      <c r="A171" s="1" t="s">
        <v>8</v>
      </c>
      <c r="B171" t="str">
        <f>LEFT(Table13[[#This Row],[Input]],1)</f>
        <v>R</v>
      </c>
      <c r="C171">
        <f>_xlfn.LET(_xlpm.steps,SUBSTITUTE(Table13[[#This Row],[Input]],Table13[[#This Row],[Direction]],""),VALUE(IF(LEN(_xlpm.steps)&gt;2,RIGHT(_xlpm.steps,2),_xlpm.steps)))</f>
        <v>18</v>
      </c>
      <c r="D171">
        <f>_xlfn.LET(_xlpm.steps,SUBSTITUTE(Table13[[#This Row],[Input]],Table13[[#This Row],[Direction]],""),VALUE(IF(LEN(_xlpm.steps)&gt;2,LEFT(_xlpm.steps,LEN(_xlpm.steps)-2),0)))</f>
        <v>0</v>
      </c>
      <c r="E171">
        <f>_xlfn.LET(_xlpm.dir,Table13[[#This Row],[Direction]],
IF(_xlpm.dir="L",
    IF(G170-Table13[[#This Row],[Steps]]&lt;0,100+(G170-Table13[[#This Row],[Steps]]),G170-Table13[[#This Row],[Steps]]),
))</f>
        <v>0</v>
      </c>
      <c r="F171">
        <f>_xlfn.LET(_xlpm.dir,Table13[[#This Row],[Direction]],
IF(_xlpm.dir="R",
    IF(G170+Table13[[#This Row],[Steps]]&gt;99,(G170+Table13[[#This Row],[Steps]])-100,G170+Table13[[#This Row],[Steps]]),
))</f>
        <v>0</v>
      </c>
      <c r="G171">
        <f>IF(Table13[[#This Row],[New Pos L]]&lt;&gt;0,Table13[[#This Row],[New Pos L]],Table13[[#This Row],[New Pos R]])</f>
        <v>0</v>
      </c>
      <c r="H171">
        <f>IF(AND(Table13[[#This Row],[Direction]]="L",Table13[[#This Row],[Steps]]&gt;G170,G170&lt;&gt;0),1,0)</f>
        <v>0</v>
      </c>
      <c r="I171">
        <f>IF(AND(Table13[[#This Row],[Direction]]="R",(G170+Table13[[#This Row],[Steps]])&gt;100),1,0)</f>
        <v>0</v>
      </c>
      <c r="J171">
        <f>IF(Table13[[#This Row],[POS]]=0,1,0)</f>
        <v>1</v>
      </c>
      <c r="K171">
        <f>SUM(Table13[[#This Row],[prefix]],Table13[[#This Row],[Past zero L]],Table13[[#This Row],[Past Zero R]],Table13[[#This Row],[Is Zero]])</f>
        <v>1</v>
      </c>
    </row>
    <row r="172" spans="1:11" ht="16" x14ac:dyDescent="0.2">
      <c r="A172" s="1" t="s">
        <v>28</v>
      </c>
      <c r="B172" t="str">
        <f>LEFT(Table13[[#This Row],[Input]],1)</f>
        <v>R</v>
      </c>
      <c r="C172">
        <f>_xlfn.LET(_xlpm.steps,SUBSTITUTE(Table13[[#This Row],[Input]],Table13[[#This Row],[Direction]],""),VALUE(IF(LEN(_xlpm.steps)&gt;2,RIGHT(_xlpm.steps,2),_xlpm.steps)))</f>
        <v>30</v>
      </c>
      <c r="D172">
        <f>_xlfn.LET(_xlpm.steps,SUBSTITUTE(Table13[[#This Row],[Input]],Table13[[#This Row],[Direction]],""),VALUE(IF(LEN(_xlpm.steps)&gt;2,LEFT(_xlpm.steps,LEN(_xlpm.steps)-2),0)))</f>
        <v>0</v>
      </c>
      <c r="E172">
        <f>_xlfn.LET(_xlpm.dir,Table13[[#This Row],[Direction]],
IF(_xlpm.dir="L",
    IF(G171-Table13[[#This Row],[Steps]]&lt;0,100+(G171-Table13[[#This Row],[Steps]]),G171-Table13[[#This Row],[Steps]]),
))</f>
        <v>0</v>
      </c>
      <c r="F172">
        <f>_xlfn.LET(_xlpm.dir,Table13[[#This Row],[Direction]],
IF(_xlpm.dir="R",
    IF(G171+Table13[[#This Row],[Steps]]&gt;99,(G171+Table13[[#This Row],[Steps]])-100,G171+Table13[[#This Row],[Steps]]),
))</f>
        <v>30</v>
      </c>
      <c r="G172">
        <f>IF(Table13[[#This Row],[New Pos L]]&lt;&gt;0,Table13[[#This Row],[New Pos L]],Table13[[#This Row],[New Pos R]])</f>
        <v>30</v>
      </c>
      <c r="H172">
        <f>IF(AND(Table13[[#This Row],[Direction]]="L",Table13[[#This Row],[Steps]]&gt;G171,G171&lt;&gt;0),1,0)</f>
        <v>0</v>
      </c>
      <c r="I172">
        <f>IF(AND(Table13[[#This Row],[Direction]]="R",(G171+Table13[[#This Row],[Steps]])&gt;100),1,0)</f>
        <v>0</v>
      </c>
      <c r="J172">
        <f>IF(Table13[[#This Row],[POS]]=0,1,0)</f>
        <v>0</v>
      </c>
      <c r="K172">
        <f>SUM(Table13[[#This Row],[prefix]],Table13[[#This Row],[Past zero L]],Table13[[#This Row],[Past Zero R]],Table13[[#This Row],[Is Zero]])</f>
        <v>0</v>
      </c>
    </row>
    <row r="173" spans="1:11" ht="16" x14ac:dyDescent="0.2">
      <c r="A173" s="1" t="s">
        <v>114</v>
      </c>
      <c r="B173" t="str">
        <f>LEFT(Table13[[#This Row],[Input]],1)</f>
        <v>R</v>
      </c>
      <c r="C173">
        <f>_xlfn.LET(_xlpm.steps,SUBSTITUTE(Table13[[#This Row],[Input]],Table13[[#This Row],[Direction]],""),VALUE(IF(LEN(_xlpm.steps)&gt;2,RIGHT(_xlpm.steps,2),_xlpm.steps)))</f>
        <v>70</v>
      </c>
      <c r="D173">
        <f>_xlfn.LET(_xlpm.steps,SUBSTITUTE(Table13[[#This Row],[Input]],Table13[[#This Row],[Direction]],""),VALUE(IF(LEN(_xlpm.steps)&gt;2,LEFT(_xlpm.steps,LEN(_xlpm.steps)-2),0)))</f>
        <v>0</v>
      </c>
      <c r="E173">
        <f>_xlfn.LET(_xlpm.dir,Table13[[#This Row],[Direction]],
IF(_xlpm.dir="L",
    IF(G172-Table13[[#This Row],[Steps]]&lt;0,100+(G172-Table13[[#This Row],[Steps]]),G172-Table13[[#This Row],[Steps]]),
))</f>
        <v>0</v>
      </c>
      <c r="F173">
        <f>_xlfn.LET(_xlpm.dir,Table13[[#This Row],[Direction]],
IF(_xlpm.dir="R",
    IF(G172+Table13[[#This Row],[Steps]]&gt;99,(G172+Table13[[#This Row],[Steps]])-100,G172+Table13[[#This Row],[Steps]]),
))</f>
        <v>0</v>
      </c>
      <c r="G173">
        <f>IF(Table13[[#This Row],[New Pos L]]&lt;&gt;0,Table13[[#This Row],[New Pos L]],Table13[[#This Row],[New Pos R]])</f>
        <v>0</v>
      </c>
      <c r="H173">
        <f>IF(AND(Table13[[#This Row],[Direction]]="L",Table13[[#This Row],[Steps]]&gt;G172,G172&lt;&gt;0),1,0)</f>
        <v>0</v>
      </c>
      <c r="I173">
        <f>IF(AND(Table13[[#This Row],[Direction]]="R",(G172+Table13[[#This Row],[Steps]])&gt;100),1,0)</f>
        <v>0</v>
      </c>
      <c r="J173">
        <f>IF(Table13[[#This Row],[POS]]=0,1,0)</f>
        <v>1</v>
      </c>
      <c r="K173">
        <f>SUM(Table13[[#This Row],[prefix]],Table13[[#This Row],[Past zero L]],Table13[[#This Row],[Past Zero R]],Table13[[#This Row],[Is Zero]])</f>
        <v>1</v>
      </c>
    </row>
    <row r="174" spans="1:11" ht="16" x14ac:dyDescent="0.2">
      <c r="A174" s="1" t="s">
        <v>115</v>
      </c>
      <c r="B174" t="str">
        <f>LEFT(Table13[[#This Row],[Input]],1)</f>
        <v>L</v>
      </c>
      <c r="C174">
        <f>_xlfn.LET(_xlpm.steps,SUBSTITUTE(Table13[[#This Row],[Input]],Table13[[#This Row],[Direction]],""),VALUE(IF(LEN(_xlpm.steps)&gt;2,RIGHT(_xlpm.steps,2),_xlpm.steps)))</f>
        <v>29</v>
      </c>
      <c r="D174">
        <f>_xlfn.LET(_xlpm.steps,SUBSTITUTE(Table13[[#This Row],[Input]],Table13[[#This Row],[Direction]],""),VALUE(IF(LEN(_xlpm.steps)&gt;2,LEFT(_xlpm.steps,LEN(_xlpm.steps)-2),0)))</f>
        <v>0</v>
      </c>
      <c r="E174">
        <f>_xlfn.LET(_xlpm.dir,Table13[[#This Row],[Direction]],
IF(_xlpm.dir="L",
    IF(G173-Table13[[#This Row],[Steps]]&lt;0,100+(G173-Table13[[#This Row],[Steps]]),G173-Table13[[#This Row],[Steps]]),
))</f>
        <v>71</v>
      </c>
      <c r="F174">
        <f>_xlfn.LET(_xlpm.dir,Table13[[#This Row],[Direction]],
IF(_xlpm.dir="R",
    IF(G173+Table13[[#This Row],[Steps]]&gt;99,(G173+Table13[[#This Row],[Steps]])-100,G173+Table13[[#This Row],[Steps]]),
))</f>
        <v>0</v>
      </c>
      <c r="G174">
        <f>IF(Table13[[#This Row],[New Pos L]]&lt;&gt;0,Table13[[#This Row],[New Pos L]],Table13[[#This Row],[New Pos R]])</f>
        <v>71</v>
      </c>
      <c r="H174">
        <f>IF(AND(Table13[[#This Row],[Direction]]="L",Table13[[#This Row],[Steps]]&gt;G173,G173&lt;&gt;0),1,0)</f>
        <v>0</v>
      </c>
      <c r="I174">
        <f>IF(AND(Table13[[#This Row],[Direction]]="R",(G173+Table13[[#This Row],[Steps]])&gt;100),1,0)</f>
        <v>0</v>
      </c>
      <c r="J174">
        <f>IF(Table13[[#This Row],[POS]]=0,1,0)</f>
        <v>0</v>
      </c>
      <c r="K174">
        <f>SUM(Table13[[#This Row],[prefix]],Table13[[#This Row],[Past zero L]],Table13[[#This Row],[Past Zero R]],Table13[[#This Row],[Is Zero]])</f>
        <v>0</v>
      </c>
    </row>
    <row r="175" spans="1:11" ht="16" x14ac:dyDescent="0.2">
      <c r="A175" s="1" t="s">
        <v>116</v>
      </c>
      <c r="B175" t="str">
        <f>LEFT(Table13[[#This Row],[Input]],1)</f>
        <v>L</v>
      </c>
      <c r="C175">
        <f>_xlfn.LET(_xlpm.steps,SUBSTITUTE(Table13[[#This Row],[Input]],Table13[[#This Row],[Direction]],""),VALUE(IF(LEN(_xlpm.steps)&gt;2,RIGHT(_xlpm.steps,2),_xlpm.steps)))</f>
        <v>58</v>
      </c>
      <c r="D175">
        <f>_xlfn.LET(_xlpm.steps,SUBSTITUTE(Table13[[#This Row],[Input]],Table13[[#This Row],[Direction]],""),VALUE(IF(LEN(_xlpm.steps)&gt;2,LEFT(_xlpm.steps,LEN(_xlpm.steps)-2),0)))</f>
        <v>0</v>
      </c>
      <c r="E175">
        <f>_xlfn.LET(_xlpm.dir,Table13[[#This Row],[Direction]],
IF(_xlpm.dir="L",
    IF(G174-Table13[[#This Row],[Steps]]&lt;0,100+(G174-Table13[[#This Row],[Steps]]),G174-Table13[[#This Row],[Steps]]),
))</f>
        <v>13</v>
      </c>
      <c r="F175">
        <f>_xlfn.LET(_xlpm.dir,Table13[[#This Row],[Direction]],
IF(_xlpm.dir="R",
    IF(G174+Table13[[#This Row],[Steps]]&gt;99,(G174+Table13[[#This Row],[Steps]])-100,G174+Table13[[#This Row],[Steps]]),
))</f>
        <v>0</v>
      </c>
      <c r="G175">
        <f>IF(Table13[[#This Row],[New Pos L]]&lt;&gt;0,Table13[[#This Row],[New Pos L]],Table13[[#This Row],[New Pos R]])</f>
        <v>13</v>
      </c>
      <c r="H175">
        <f>IF(AND(Table13[[#This Row],[Direction]]="L",Table13[[#This Row],[Steps]]&gt;G174,G174&lt;&gt;0),1,0)</f>
        <v>0</v>
      </c>
      <c r="I175">
        <f>IF(AND(Table13[[#This Row],[Direction]]="R",(G174+Table13[[#This Row],[Steps]])&gt;100),1,0)</f>
        <v>0</v>
      </c>
      <c r="J175">
        <f>IF(Table13[[#This Row],[POS]]=0,1,0)</f>
        <v>0</v>
      </c>
      <c r="K175">
        <f>SUM(Table13[[#This Row],[prefix]],Table13[[#This Row],[Past zero L]],Table13[[#This Row],[Past Zero R]],Table13[[#This Row],[Is Zero]])</f>
        <v>0</v>
      </c>
    </row>
    <row r="176" spans="1:11" ht="16" x14ac:dyDescent="0.2">
      <c r="A176" s="1" t="s">
        <v>117</v>
      </c>
      <c r="B176" t="str">
        <f>LEFT(Table13[[#This Row],[Input]],1)</f>
        <v>L</v>
      </c>
      <c r="C176">
        <f>_xlfn.LET(_xlpm.steps,SUBSTITUTE(Table13[[#This Row],[Input]],Table13[[#This Row],[Direction]],""),VALUE(IF(LEN(_xlpm.steps)&gt;2,RIGHT(_xlpm.steps,2),_xlpm.steps)))</f>
        <v>13</v>
      </c>
      <c r="D176">
        <f>_xlfn.LET(_xlpm.steps,SUBSTITUTE(Table13[[#This Row],[Input]],Table13[[#This Row],[Direction]],""),VALUE(IF(LEN(_xlpm.steps)&gt;2,LEFT(_xlpm.steps,LEN(_xlpm.steps)-2),0)))</f>
        <v>3</v>
      </c>
      <c r="E176">
        <f>_xlfn.LET(_xlpm.dir,Table13[[#This Row],[Direction]],
IF(_xlpm.dir="L",
    IF(G175-Table13[[#This Row],[Steps]]&lt;0,100+(G175-Table13[[#This Row],[Steps]]),G175-Table13[[#This Row],[Steps]]),
))</f>
        <v>0</v>
      </c>
      <c r="F176">
        <f>_xlfn.LET(_xlpm.dir,Table13[[#This Row],[Direction]],
IF(_xlpm.dir="R",
    IF(G175+Table13[[#This Row],[Steps]]&gt;99,(G175+Table13[[#This Row],[Steps]])-100,G175+Table13[[#This Row],[Steps]]),
))</f>
        <v>0</v>
      </c>
      <c r="G176">
        <f>IF(Table13[[#This Row],[New Pos L]]&lt;&gt;0,Table13[[#This Row],[New Pos L]],Table13[[#This Row],[New Pos R]])</f>
        <v>0</v>
      </c>
      <c r="H176">
        <f>IF(AND(Table13[[#This Row],[Direction]]="L",Table13[[#This Row],[Steps]]&gt;G175,G175&lt;&gt;0),1,0)</f>
        <v>0</v>
      </c>
      <c r="I176">
        <f>IF(AND(Table13[[#This Row],[Direction]]="R",(G175+Table13[[#This Row],[Steps]])&gt;100),1,0)</f>
        <v>0</v>
      </c>
      <c r="J176">
        <f>IF(Table13[[#This Row],[POS]]=0,1,0)</f>
        <v>1</v>
      </c>
      <c r="K176">
        <f>SUM(Table13[[#This Row],[prefix]],Table13[[#This Row],[Past zero L]],Table13[[#This Row],[Past Zero R]],Table13[[#This Row],[Is Zero]])</f>
        <v>4</v>
      </c>
    </row>
    <row r="177" spans="1:11" ht="16" x14ac:dyDescent="0.2">
      <c r="A177" s="1" t="s">
        <v>23</v>
      </c>
      <c r="B177" t="str">
        <f>LEFT(Table13[[#This Row],[Input]],1)</f>
        <v>L</v>
      </c>
      <c r="C177">
        <f>_xlfn.LET(_xlpm.steps,SUBSTITUTE(Table13[[#This Row],[Input]],Table13[[#This Row],[Direction]],""),VALUE(IF(LEN(_xlpm.steps)&gt;2,RIGHT(_xlpm.steps,2),_xlpm.steps)))</f>
        <v>8</v>
      </c>
      <c r="D177">
        <f>_xlfn.LET(_xlpm.steps,SUBSTITUTE(Table13[[#This Row],[Input]],Table13[[#This Row],[Direction]],""),VALUE(IF(LEN(_xlpm.steps)&gt;2,LEFT(_xlpm.steps,LEN(_xlpm.steps)-2),0)))</f>
        <v>0</v>
      </c>
      <c r="E177">
        <f>_xlfn.LET(_xlpm.dir,Table13[[#This Row],[Direction]],
IF(_xlpm.dir="L",
    IF(G176-Table13[[#This Row],[Steps]]&lt;0,100+(G176-Table13[[#This Row],[Steps]]),G176-Table13[[#This Row],[Steps]]),
))</f>
        <v>92</v>
      </c>
      <c r="F177">
        <f>_xlfn.LET(_xlpm.dir,Table13[[#This Row],[Direction]],
IF(_xlpm.dir="R",
    IF(G176+Table13[[#This Row],[Steps]]&gt;99,(G176+Table13[[#This Row],[Steps]])-100,G176+Table13[[#This Row],[Steps]]),
))</f>
        <v>0</v>
      </c>
      <c r="G177">
        <f>IF(Table13[[#This Row],[New Pos L]]&lt;&gt;0,Table13[[#This Row],[New Pos L]],Table13[[#This Row],[New Pos R]])</f>
        <v>92</v>
      </c>
      <c r="H177">
        <f>IF(AND(Table13[[#This Row],[Direction]]="L",Table13[[#This Row],[Steps]]&gt;G176,G176&lt;&gt;0),1,0)</f>
        <v>0</v>
      </c>
      <c r="I177">
        <f>IF(AND(Table13[[#This Row],[Direction]]="R",(G176+Table13[[#This Row],[Steps]])&gt;100),1,0)</f>
        <v>0</v>
      </c>
      <c r="J177">
        <f>IF(Table13[[#This Row],[POS]]=0,1,0)</f>
        <v>0</v>
      </c>
      <c r="K177">
        <f>SUM(Table13[[#This Row],[prefix]],Table13[[#This Row],[Past zero L]],Table13[[#This Row],[Past Zero R]],Table13[[#This Row],[Is Zero]])</f>
        <v>0</v>
      </c>
    </row>
    <row r="178" spans="1:11" ht="16" x14ac:dyDescent="0.2">
      <c r="A178" s="1" t="s">
        <v>118</v>
      </c>
      <c r="B178" t="str">
        <f>LEFT(Table13[[#This Row],[Input]],1)</f>
        <v>L</v>
      </c>
      <c r="C178">
        <f>_xlfn.LET(_xlpm.steps,SUBSTITUTE(Table13[[#This Row],[Input]],Table13[[#This Row],[Direction]],""),VALUE(IF(LEN(_xlpm.steps)&gt;2,RIGHT(_xlpm.steps,2),_xlpm.steps)))</f>
        <v>92</v>
      </c>
      <c r="D178">
        <f>_xlfn.LET(_xlpm.steps,SUBSTITUTE(Table13[[#This Row],[Input]],Table13[[#This Row],[Direction]],""),VALUE(IF(LEN(_xlpm.steps)&gt;2,LEFT(_xlpm.steps,LEN(_xlpm.steps)-2),0)))</f>
        <v>4</v>
      </c>
      <c r="E178">
        <f>_xlfn.LET(_xlpm.dir,Table13[[#This Row],[Direction]],
IF(_xlpm.dir="L",
    IF(G177-Table13[[#This Row],[Steps]]&lt;0,100+(G177-Table13[[#This Row],[Steps]]),G177-Table13[[#This Row],[Steps]]),
))</f>
        <v>0</v>
      </c>
      <c r="F178">
        <f>_xlfn.LET(_xlpm.dir,Table13[[#This Row],[Direction]],
IF(_xlpm.dir="R",
    IF(G177+Table13[[#This Row],[Steps]]&gt;99,(G177+Table13[[#This Row],[Steps]])-100,G177+Table13[[#This Row],[Steps]]),
))</f>
        <v>0</v>
      </c>
      <c r="G178">
        <f>IF(Table13[[#This Row],[New Pos L]]&lt;&gt;0,Table13[[#This Row],[New Pos L]],Table13[[#This Row],[New Pos R]])</f>
        <v>0</v>
      </c>
      <c r="H178">
        <f>IF(AND(Table13[[#This Row],[Direction]]="L",Table13[[#This Row],[Steps]]&gt;G177,G177&lt;&gt;0),1,0)</f>
        <v>0</v>
      </c>
      <c r="I178">
        <f>IF(AND(Table13[[#This Row],[Direction]]="R",(G177+Table13[[#This Row],[Steps]])&gt;100),1,0)</f>
        <v>0</v>
      </c>
      <c r="J178">
        <f>IF(Table13[[#This Row],[POS]]=0,1,0)</f>
        <v>1</v>
      </c>
      <c r="K178">
        <f>SUM(Table13[[#This Row],[prefix]],Table13[[#This Row],[Past zero L]],Table13[[#This Row],[Past Zero R]],Table13[[#This Row],[Is Zero]])</f>
        <v>5</v>
      </c>
    </row>
    <row r="179" spans="1:11" ht="16" x14ac:dyDescent="0.2">
      <c r="A179" s="1" t="s">
        <v>119</v>
      </c>
      <c r="B179" t="str">
        <f>LEFT(Table13[[#This Row],[Input]],1)</f>
        <v>L</v>
      </c>
      <c r="C179">
        <f>_xlfn.LET(_xlpm.steps,SUBSTITUTE(Table13[[#This Row],[Input]],Table13[[#This Row],[Direction]],""),VALUE(IF(LEN(_xlpm.steps)&gt;2,RIGHT(_xlpm.steps,2),_xlpm.steps)))</f>
        <v>77</v>
      </c>
      <c r="D179">
        <f>_xlfn.LET(_xlpm.steps,SUBSTITUTE(Table13[[#This Row],[Input]],Table13[[#This Row],[Direction]],""),VALUE(IF(LEN(_xlpm.steps)&gt;2,LEFT(_xlpm.steps,LEN(_xlpm.steps)-2),0)))</f>
        <v>0</v>
      </c>
      <c r="E179">
        <f>_xlfn.LET(_xlpm.dir,Table13[[#This Row],[Direction]],
IF(_xlpm.dir="L",
    IF(G178-Table13[[#This Row],[Steps]]&lt;0,100+(G178-Table13[[#This Row],[Steps]]),G178-Table13[[#This Row],[Steps]]),
))</f>
        <v>23</v>
      </c>
      <c r="F179">
        <f>_xlfn.LET(_xlpm.dir,Table13[[#This Row],[Direction]],
IF(_xlpm.dir="R",
    IF(G178+Table13[[#This Row],[Steps]]&gt;99,(G178+Table13[[#This Row],[Steps]])-100,G178+Table13[[#This Row],[Steps]]),
))</f>
        <v>0</v>
      </c>
      <c r="G179">
        <f>IF(Table13[[#This Row],[New Pos L]]&lt;&gt;0,Table13[[#This Row],[New Pos L]],Table13[[#This Row],[New Pos R]])</f>
        <v>23</v>
      </c>
      <c r="H179">
        <f>IF(AND(Table13[[#This Row],[Direction]]="L",Table13[[#This Row],[Steps]]&gt;G178,G178&lt;&gt;0),1,0)</f>
        <v>0</v>
      </c>
      <c r="I179">
        <f>IF(AND(Table13[[#This Row],[Direction]]="R",(G178+Table13[[#This Row],[Steps]])&gt;100),1,0)</f>
        <v>0</v>
      </c>
      <c r="J179">
        <f>IF(Table13[[#This Row],[POS]]=0,1,0)</f>
        <v>0</v>
      </c>
      <c r="K179">
        <f>SUM(Table13[[#This Row],[prefix]],Table13[[#This Row],[Past zero L]],Table13[[#This Row],[Past Zero R]],Table13[[#This Row],[Is Zero]])</f>
        <v>0</v>
      </c>
    </row>
    <row r="180" spans="1:11" ht="16" x14ac:dyDescent="0.2">
      <c r="A180" s="1" t="s">
        <v>120</v>
      </c>
      <c r="B180" t="str">
        <f>LEFT(Table13[[#This Row],[Input]],1)</f>
        <v>L</v>
      </c>
      <c r="C180">
        <f>_xlfn.LET(_xlpm.steps,SUBSTITUTE(Table13[[#This Row],[Input]],Table13[[#This Row],[Direction]],""),VALUE(IF(LEN(_xlpm.steps)&gt;2,RIGHT(_xlpm.steps,2),_xlpm.steps)))</f>
        <v>23</v>
      </c>
      <c r="D180">
        <f>_xlfn.LET(_xlpm.steps,SUBSTITUTE(Table13[[#This Row],[Input]],Table13[[#This Row],[Direction]],""),VALUE(IF(LEN(_xlpm.steps)&gt;2,LEFT(_xlpm.steps,LEN(_xlpm.steps)-2),0)))</f>
        <v>0</v>
      </c>
      <c r="E180">
        <f>_xlfn.LET(_xlpm.dir,Table13[[#This Row],[Direction]],
IF(_xlpm.dir="L",
    IF(G179-Table13[[#This Row],[Steps]]&lt;0,100+(G179-Table13[[#This Row],[Steps]]),G179-Table13[[#This Row],[Steps]]),
))</f>
        <v>0</v>
      </c>
      <c r="F180">
        <f>_xlfn.LET(_xlpm.dir,Table13[[#This Row],[Direction]],
IF(_xlpm.dir="R",
    IF(G179+Table13[[#This Row],[Steps]]&gt;99,(G179+Table13[[#This Row],[Steps]])-100,G179+Table13[[#This Row],[Steps]]),
))</f>
        <v>0</v>
      </c>
      <c r="G180">
        <f>IF(Table13[[#This Row],[New Pos L]]&lt;&gt;0,Table13[[#This Row],[New Pos L]],Table13[[#This Row],[New Pos R]])</f>
        <v>0</v>
      </c>
      <c r="H180">
        <f>IF(AND(Table13[[#This Row],[Direction]]="L",Table13[[#This Row],[Steps]]&gt;G179,G179&lt;&gt;0),1,0)</f>
        <v>0</v>
      </c>
      <c r="I180">
        <f>IF(AND(Table13[[#This Row],[Direction]]="R",(G179+Table13[[#This Row],[Steps]])&gt;100),1,0)</f>
        <v>0</v>
      </c>
      <c r="J180">
        <f>IF(Table13[[#This Row],[POS]]=0,1,0)</f>
        <v>1</v>
      </c>
      <c r="K180">
        <f>SUM(Table13[[#This Row],[prefix]],Table13[[#This Row],[Past zero L]],Table13[[#This Row],[Past Zero R]],Table13[[#This Row],[Is Zero]])</f>
        <v>1</v>
      </c>
    </row>
    <row r="181" spans="1:11" ht="16" x14ac:dyDescent="0.2">
      <c r="A181" s="1" t="s">
        <v>43</v>
      </c>
      <c r="B181" t="str">
        <f>LEFT(Table13[[#This Row],[Input]],1)</f>
        <v>R</v>
      </c>
      <c r="C181">
        <f>_xlfn.LET(_xlpm.steps,SUBSTITUTE(Table13[[#This Row],[Input]],Table13[[#This Row],[Direction]],""),VALUE(IF(LEN(_xlpm.steps)&gt;2,RIGHT(_xlpm.steps,2),_xlpm.steps)))</f>
        <v>90</v>
      </c>
      <c r="D181">
        <f>_xlfn.LET(_xlpm.steps,SUBSTITUTE(Table13[[#This Row],[Input]],Table13[[#This Row],[Direction]],""),VALUE(IF(LEN(_xlpm.steps)&gt;2,LEFT(_xlpm.steps,LEN(_xlpm.steps)-2),0)))</f>
        <v>0</v>
      </c>
      <c r="E181">
        <f>_xlfn.LET(_xlpm.dir,Table13[[#This Row],[Direction]],
IF(_xlpm.dir="L",
    IF(G180-Table13[[#This Row],[Steps]]&lt;0,100+(G180-Table13[[#This Row],[Steps]]),G180-Table13[[#This Row],[Steps]]),
))</f>
        <v>0</v>
      </c>
      <c r="F181">
        <f>_xlfn.LET(_xlpm.dir,Table13[[#This Row],[Direction]],
IF(_xlpm.dir="R",
    IF(G180+Table13[[#This Row],[Steps]]&gt;99,(G180+Table13[[#This Row],[Steps]])-100,G180+Table13[[#This Row],[Steps]]),
))</f>
        <v>90</v>
      </c>
      <c r="G181">
        <f>IF(Table13[[#This Row],[New Pos L]]&lt;&gt;0,Table13[[#This Row],[New Pos L]],Table13[[#This Row],[New Pos R]])</f>
        <v>90</v>
      </c>
      <c r="H181">
        <f>IF(AND(Table13[[#This Row],[Direction]]="L",Table13[[#This Row],[Steps]]&gt;G180,G180&lt;&gt;0),1,0)</f>
        <v>0</v>
      </c>
      <c r="I181">
        <f>IF(AND(Table13[[#This Row],[Direction]]="R",(G180+Table13[[#This Row],[Steps]])&gt;100),1,0)</f>
        <v>0</v>
      </c>
      <c r="J181">
        <f>IF(Table13[[#This Row],[POS]]=0,1,0)</f>
        <v>0</v>
      </c>
      <c r="K181">
        <f>SUM(Table13[[#This Row],[prefix]],Table13[[#This Row],[Past zero L]],Table13[[#This Row],[Past Zero R]],Table13[[#This Row],[Is Zero]])</f>
        <v>0</v>
      </c>
    </row>
    <row r="182" spans="1:11" ht="16" x14ac:dyDescent="0.2">
      <c r="A182" s="1" t="s">
        <v>121</v>
      </c>
      <c r="B182" t="str">
        <f>LEFT(Table13[[#This Row],[Input]],1)</f>
        <v>L</v>
      </c>
      <c r="C182">
        <f>_xlfn.LET(_xlpm.steps,SUBSTITUTE(Table13[[#This Row],[Input]],Table13[[#This Row],[Direction]],""),VALUE(IF(LEN(_xlpm.steps)&gt;2,RIGHT(_xlpm.steps,2),_xlpm.steps)))</f>
        <v>69</v>
      </c>
      <c r="D182">
        <f>_xlfn.LET(_xlpm.steps,SUBSTITUTE(Table13[[#This Row],[Input]],Table13[[#This Row],[Direction]],""),VALUE(IF(LEN(_xlpm.steps)&gt;2,LEFT(_xlpm.steps,LEN(_xlpm.steps)-2),0)))</f>
        <v>0</v>
      </c>
      <c r="E182">
        <f>_xlfn.LET(_xlpm.dir,Table13[[#This Row],[Direction]],
IF(_xlpm.dir="L",
    IF(G181-Table13[[#This Row],[Steps]]&lt;0,100+(G181-Table13[[#This Row],[Steps]]),G181-Table13[[#This Row],[Steps]]),
))</f>
        <v>21</v>
      </c>
      <c r="F182">
        <f>_xlfn.LET(_xlpm.dir,Table13[[#This Row],[Direction]],
IF(_xlpm.dir="R",
    IF(G181+Table13[[#This Row],[Steps]]&gt;99,(G181+Table13[[#This Row],[Steps]])-100,G181+Table13[[#This Row],[Steps]]),
))</f>
        <v>0</v>
      </c>
      <c r="G182">
        <f>IF(Table13[[#This Row],[New Pos L]]&lt;&gt;0,Table13[[#This Row],[New Pos L]],Table13[[#This Row],[New Pos R]])</f>
        <v>21</v>
      </c>
      <c r="H182">
        <f>IF(AND(Table13[[#This Row],[Direction]]="L",Table13[[#This Row],[Steps]]&gt;G181,G181&lt;&gt;0),1,0)</f>
        <v>0</v>
      </c>
      <c r="I182">
        <f>IF(AND(Table13[[#This Row],[Direction]]="R",(G181+Table13[[#This Row],[Steps]])&gt;100),1,0)</f>
        <v>0</v>
      </c>
      <c r="J182">
        <f>IF(Table13[[#This Row],[POS]]=0,1,0)</f>
        <v>0</v>
      </c>
      <c r="K182">
        <f>SUM(Table13[[#This Row],[prefix]],Table13[[#This Row],[Past zero L]],Table13[[#This Row],[Past Zero R]],Table13[[#This Row],[Is Zero]])</f>
        <v>0</v>
      </c>
    </row>
    <row r="183" spans="1:11" ht="16" x14ac:dyDescent="0.2">
      <c r="A183" s="1" t="s">
        <v>83</v>
      </c>
      <c r="B183" t="str">
        <f>LEFT(Table13[[#This Row],[Input]],1)</f>
        <v>R</v>
      </c>
      <c r="C183">
        <f>_xlfn.LET(_xlpm.steps,SUBSTITUTE(Table13[[#This Row],[Input]],Table13[[#This Row],[Direction]],""),VALUE(IF(LEN(_xlpm.steps)&gt;2,RIGHT(_xlpm.steps,2),_xlpm.steps)))</f>
        <v>79</v>
      </c>
      <c r="D183">
        <f>_xlfn.LET(_xlpm.steps,SUBSTITUTE(Table13[[#This Row],[Input]],Table13[[#This Row],[Direction]],""),VALUE(IF(LEN(_xlpm.steps)&gt;2,LEFT(_xlpm.steps,LEN(_xlpm.steps)-2),0)))</f>
        <v>0</v>
      </c>
      <c r="E183">
        <f>_xlfn.LET(_xlpm.dir,Table13[[#This Row],[Direction]],
IF(_xlpm.dir="L",
    IF(G182-Table13[[#This Row],[Steps]]&lt;0,100+(G182-Table13[[#This Row],[Steps]]),G182-Table13[[#This Row],[Steps]]),
))</f>
        <v>0</v>
      </c>
      <c r="F183">
        <f>_xlfn.LET(_xlpm.dir,Table13[[#This Row],[Direction]],
IF(_xlpm.dir="R",
    IF(G182+Table13[[#This Row],[Steps]]&gt;99,(G182+Table13[[#This Row],[Steps]])-100,G182+Table13[[#This Row],[Steps]]),
))</f>
        <v>0</v>
      </c>
      <c r="G183">
        <f>IF(Table13[[#This Row],[New Pos L]]&lt;&gt;0,Table13[[#This Row],[New Pos L]],Table13[[#This Row],[New Pos R]])</f>
        <v>0</v>
      </c>
      <c r="H183">
        <f>IF(AND(Table13[[#This Row],[Direction]]="L",Table13[[#This Row],[Steps]]&gt;G182,G182&lt;&gt;0),1,0)</f>
        <v>0</v>
      </c>
      <c r="I183">
        <f>IF(AND(Table13[[#This Row],[Direction]]="R",(G182+Table13[[#This Row],[Steps]])&gt;100),1,0)</f>
        <v>0</v>
      </c>
      <c r="J183">
        <f>IF(Table13[[#This Row],[POS]]=0,1,0)</f>
        <v>1</v>
      </c>
      <c r="K183">
        <f>SUM(Table13[[#This Row],[prefix]],Table13[[#This Row],[Past zero L]],Table13[[#This Row],[Past Zero R]],Table13[[#This Row],[Is Zero]])</f>
        <v>1</v>
      </c>
    </row>
    <row r="184" spans="1:11" ht="16" x14ac:dyDescent="0.2">
      <c r="A184" s="1" t="s">
        <v>122</v>
      </c>
      <c r="B184" t="str">
        <f>LEFT(Table13[[#This Row],[Input]],1)</f>
        <v>R</v>
      </c>
      <c r="C184">
        <f>_xlfn.LET(_xlpm.steps,SUBSTITUTE(Table13[[#This Row],[Input]],Table13[[#This Row],[Direction]],""),VALUE(IF(LEN(_xlpm.steps)&gt;2,RIGHT(_xlpm.steps,2),_xlpm.steps)))</f>
        <v>75</v>
      </c>
      <c r="D184">
        <f>_xlfn.LET(_xlpm.steps,SUBSTITUTE(Table13[[#This Row],[Input]],Table13[[#This Row],[Direction]],""),VALUE(IF(LEN(_xlpm.steps)&gt;2,LEFT(_xlpm.steps,LEN(_xlpm.steps)-2),0)))</f>
        <v>0</v>
      </c>
      <c r="E184">
        <f>_xlfn.LET(_xlpm.dir,Table13[[#This Row],[Direction]],
IF(_xlpm.dir="L",
    IF(G183-Table13[[#This Row],[Steps]]&lt;0,100+(G183-Table13[[#This Row],[Steps]]),G183-Table13[[#This Row],[Steps]]),
))</f>
        <v>0</v>
      </c>
      <c r="F184">
        <f>_xlfn.LET(_xlpm.dir,Table13[[#This Row],[Direction]],
IF(_xlpm.dir="R",
    IF(G183+Table13[[#This Row],[Steps]]&gt;99,(G183+Table13[[#This Row],[Steps]])-100,G183+Table13[[#This Row],[Steps]]),
))</f>
        <v>75</v>
      </c>
      <c r="G184">
        <f>IF(Table13[[#This Row],[New Pos L]]&lt;&gt;0,Table13[[#This Row],[New Pos L]],Table13[[#This Row],[New Pos R]])</f>
        <v>75</v>
      </c>
      <c r="H184">
        <f>IF(AND(Table13[[#This Row],[Direction]]="L",Table13[[#This Row],[Steps]]&gt;G183,G183&lt;&gt;0),1,0)</f>
        <v>0</v>
      </c>
      <c r="I184">
        <f>IF(AND(Table13[[#This Row],[Direction]]="R",(G183+Table13[[#This Row],[Steps]])&gt;100),1,0)</f>
        <v>0</v>
      </c>
      <c r="J184">
        <f>IF(Table13[[#This Row],[POS]]=0,1,0)</f>
        <v>0</v>
      </c>
      <c r="K184">
        <f>SUM(Table13[[#This Row],[prefix]],Table13[[#This Row],[Past zero L]],Table13[[#This Row],[Past Zero R]],Table13[[#This Row],[Is Zero]])</f>
        <v>0</v>
      </c>
    </row>
    <row r="185" spans="1:11" ht="16" x14ac:dyDescent="0.2">
      <c r="A185" s="1" t="s">
        <v>123</v>
      </c>
      <c r="B185" t="str">
        <f>LEFT(Table13[[#This Row],[Input]],1)</f>
        <v>L</v>
      </c>
      <c r="C185">
        <f>_xlfn.LET(_xlpm.steps,SUBSTITUTE(Table13[[#This Row],[Input]],Table13[[#This Row],[Direction]],""),VALUE(IF(LEN(_xlpm.steps)&gt;2,RIGHT(_xlpm.steps,2),_xlpm.steps)))</f>
        <v>63</v>
      </c>
      <c r="D185">
        <f>_xlfn.LET(_xlpm.steps,SUBSTITUTE(Table13[[#This Row],[Input]],Table13[[#This Row],[Direction]],""),VALUE(IF(LEN(_xlpm.steps)&gt;2,LEFT(_xlpm.steps,LEN(_xlpm.steps)-2),0)))</f>
        <v>0</v>
      </c>
      <c r="E185">
        <f>_xlfn.LET(_xlpm.dir,Table13[[#This Row],[Direction]],
IF(_xlpm.dir="L",
    IF(G184-Table13[[#This Row],[Steps]]&lt;0,100+(G184-Table13[[#This Row],[Steps]]),G184-Table13[[#This Row],[Steps]]),
))</f>
        <v>12</v>
      </c>
      <c r="F185">
        <f>_xlfn.LET(_xlpm.dir,Table13[[#This Row],[Direction]],
IF(_xlpm.dir="R",
    IF(G184+Table13[[#This Row],[Steps]]&gt;99,(G184+Table13[[#This Row],[Steps]])-100,G184+Table13[[#This Row],[Steps]]),
))</f>
        <v>0</v>
      </c>
      <c r="G185">
        <f>IF(Table13[[#This Row],[New Pos L]]&lt;&gt;0,Table13[[#This Row],[New Pos L]],Table13[[#This Row],[New Pos R]])</f>
        <v>12</v>
      </c>
      <c r="H185">
        <f>IF(AND(Table13[[#This Row],[Direction]]="L",Table13[[#This Row],[Steps]]&gt;G184,G184&lt;&gt;0),1,0)</f>
        <v>0</v>
      </c>
      <c r="I185">
        <f>IF(AND(Table13[[#This Row],[Direction]]="R",(G184+Table13[[#This Row],[Steps]])&gt;100),1,0)</f>
        <v>0</v>
      </c>
      <c r="J185">
        <f>IF(Table13[[#This Row],[POS]]=0,1,0)</f>
        <v>0</v>
      </c>
      <c r="K185">
        <f>SUM(Table13[[#This Row],[prefix]],Table13[[#This Row],[Past zero L]],Table13[[#This Row],[Past Zero R]],Table13[[#This Row],[Is Zero]])</f>
        <v>0</v>
      </c>
    </row>
    <row r="186" spans="1:11" ht="16" x14ac:dyDescent="0.2">
      <c r="A186" s="1" t="s">
        <v>124</v>
      </c>
      <c r="B186" t="str">
        <f>LEFT(Table13[[#This Row],[Input]],1)</f>
        <v>R</v>
      </c>
      <c r="C186">
        <f>_xlfn.LET(_xlpm.steps,SUBSTITUTE(Table13[[#This Row],[Input]],Table13[[#This Row],[Direction]],""),VALUE(IF(LEN(_xlpm.steps)&gt;2,RIGHT(_xlpm.steps,2),_xlpm.steps)))</f>
        <v>99</v>
      </c>
      <c r="D186">
        <f>_xlfn.LET(_xlpm.steps,SUBSTITUTE(Table13[[#This Row],[Input]],Table13[[#This Row],[Direction]],""),VALUE(IF(LEN(_xlpm.steps)&gt;2,LEFT(_xlpm.steps,LEN(_xlpm.steps)-2),0)))</f>
        <v>5</v>
      </c>
      <c r="E186">
        <f>_xlfn.LET(_xlpm.dir,Table13[[#This Row],[Direction]],
IF(_xlpm.dir="L",
    IF(G185-Table13[[#This Row],[Steps]]&lt;0,100+(G185-Table13[[#This Row],[Steps]]),G185-Table13[[#This Row],[Steps]]),
))</f>
        <v>0</v>
      </c>
      <c r="F186">
        <f>_xlfn.LET(_xlpm.dir,Table13[[#This Row],[Direction]],
IF(_xlpm.dir="R",
    IF(G185+Table13[[#This Row],[Steps]]&gt;99,(G185+Table13[[#This Row],[Steps]])-100,G185+Table13[[#This Row],[Steps]]),
))</f>
        <v>11</v>
      </c>
      <c r="G186">
        <f>IF(Table13[[#This Row],[New Pos L]]&lt;&gt;0,Table13[[#This Row],[New Pos L]],Table13[[#This Row],[New Pos R]])</f>
        <v>11</v>
      </c>
      <c r="H186">
        <f>IF(AND(Table13[[#This Row],[Direction]]="L",Table13[[#This Row],[Steps]]&gt;G185,G185&lt;&gt;0),1,0)</f>
        <v>0</v>
      </c>
      <c r="I186">
        <f>IF(AND(Table13[[#This Row],[Direction]]="R",(G185+Table13[[#This Row],[Steps]])&gt;100),1,0)</f>
        <v>1</v>
      </c>
      <c r="J186">
        <f>IF(Table13[[#This Row],[POS]]=0,1,0)</f>
        <v>0</v>
      </c>
      <c r="K186">
        <f>SUM(Table13[[#This Row],[prefix]],Table13[[#This Row],[Past zero L]],Table13[[#This Row],[Past Zero R]],Table13[[#This Row],[Is Zero]])</f>
        <v>6</v>
      </c>
    </row>
    <row r="187" spans="1:11" ht="16" x14ac:dyDescent="0.2">
      <c r="A187" s="1" t="s">
        <v>125</v>
      </c>
      <c r="B187" t="str">
        <f>LEFT(Table13[[#This Row],[Input]],1)</f>
        <v>L</v>
      </c>
      <c r="C187">
        <f>_xlfn.LET(_xlpm.steps,SUBSTITUTE(Table13[[#This Row],[Input]],Table13[[#This Row],[Direction]],""),VALUE(IF(LEN(_xlpm.steps)&gt;2,RIGHT(_xlpm.steps,2),_xlpm.steps)))</f>
        <v>76</v>
      </c>
      <c r="D187">
        <f>_xlfn.LET(_xlpm.steps,SUBSTITUTE(Table13[[#This Row],[Input]],Table13[[#This Row],[Direction]],""),VALUE(IF(LEN(_xlpm.steps)&gt;2,LEFT(_xlpm.steps,LEN(_xlpm.steps)-2),0)))</f>
        <v>0</v>
      </c>
      <c r="E187">
        <f>_xlfn.LET(_xlpm.dir,Table13[[#This Row],[Direction]],
IF(_xlpm.dir="L",
    IF(G186-Table13[[#This Row],[Steps]]&lt;0,100+(G186-Table13[[#This Row],[Steps]]),G186-Table13[[#This Row],[Steps]]),
))</f>
        <v>35</v>
      </c>
      <c r="F187">
        <f>_xlfn.LET(_xlpm.dir,Table13[[#This Row],[Direction]],
IF(_xlpm.dir="R",
    IF(G186+Table13[[#This Row],[Steps]]&gt;99,(G186+Table13[[#This Row],[Steps]])-100,G186+Table13[[#This Row],[Steps]]),
))</f>
        <v>0</v>
      </c>
      <c r="G187">
        <f>IF(Table13[[#This Row],[New Pos L]]&lt;&gt;0,Table13[[#This Row],[New Pos L]],Table13[[#This Row],[New Pos R]])</f>
        <v>35</v>
      </c>
      <c r="H187">
        <f>IF(AND(Table13[[#This Row],[Direction]]="L",Table13[[#This Row],[Steps]]&gt;G186,G186&lt;&gt;0),1,0)</f>
        <v>1</v>
      </c>
      <c r="I187">
        <f>IF(AND(Table13[[#This Row],[Direction]]="R",(G186+Table13[[#This Row],[Steps]])&gt;100),1,0)</f>
        <v>0</v>
      </c>
      <c r="J187">
        <f>IF(Table13[[#This Row],[POS]]=0,1,0)</f>
        <v>0</v>
      </c>
      <c r="K187">
        <f>SUM(Table13[[#This Row],[prefix]],Table13[[#This Row],[Past zero L]],Table13[[#This Row],[Past Zero R]],Table13[[#This Row],[Is Zero]])</f>
        <v>1</v>
      </c>
    </row>
    <row r="188" spans="1:11" ht="16" x14ac:dyDescent="0.2">
      <c r="A188" s="1" t="s">
        <v>126</v>
      </c>
      <c r="B188" t="str">
        <f>LEFT(Table13[[#This Row],[Input]],1)</f>
        <v>R</v>
      </c>
      <c r="C188">
        <f>_xlfn.LET(_xlpm.steps,SUBSTITUTE(Table13[[#This Row],[Input]],Table13[[#This Row],[Direction]],""),VALUE(IF(LEN(_xlpm.steps)&gt;2,RIGHT(_xlpm.steps,2),_xlpm.steps)))</f>
        <v>65</v>
      </c>
      <c r="D188">
        <f>_xlfn.LET(_xlpm.steps,SUBSTITUTE(Table13[[#This Row],[Input]],Table13[[#This Row],[Direction]],""),VALUE(IF(LEN(_xlpm.steps)&gt;2,LEFT(_xlpm.steps,LEN(_xlpm.steps)-2),0)))</f>
        <v>0</v>
      </c>
      <c r="E188">
        <f>_xlfn.LET(_xlpm.dir,Table13[[#This Row],[Direction]],
IF(_xlpm.dir="L",
    IF(G187-Table13[[#This Row],[Steps]]&lt;0,100+(G187-Table13[[#This Row],[Steps]]),G187-Table13[[#This Row],[Steps]]),
))</f>
        <v>0</v>
      </c>
      <c r="F188">
        <f>_xlfn.LET(_xlpm.dir,Table13[[#This Row],[Direction]],
IF(_xlpm.dir="R",
    IF(G187+Table13[[#This Row],[Steps]]&gt;99,(G187+Table13[[#This Row],[Steps]])-100,G187+Table13[[#This Row],[Steps]]),
))</f>
        <v>0</v>
      </c>
      <c r="G188">
        <f>IF(Table13[[#This Row],[New Pos L]]&lt;&gt;0,Table13[[#This Row],[New Pos L]],Table13[[#This Row],[New Pos R]])</f>
        <v>0</v>
      </c>
      <c r="H188">
        <f>IF(AND(Table13[[#This Row],[Direction]]="L",Table13[[#This Row],[Steps]]&gt;G187,G187&lt;&gt;0),1,0)</f>
        <v>0</v>
      </c>
      <c r="I188">
        <f>IF(AND(Table13[[#This Row],[Direction]]="R",(G187+Table13[[#This Row],[Steps]])&gt;100),1,0)</f>
        <v>0</v>
      </c>
      <c r="J188">
        <f>IF(Table13[[#This Row],[POS]]=0,1,0)</f>
        <v>1</v>
      </c>
      <c r="K188">
        <f>SUM(Table13[[#This Row],[prefix]],Table13[[#This Row],[Past zero L]],Table13[[#This Row],[Past Zero R]],Table13[[#This Row],[Is Zero]])</f>
        <v>1</v>
      </c>
    </row>
    <row r="189" spans="1:11" ht="16" x14ac:dyDescent="0.2">
      <c r="A189" s="1" t="s">
        <v>2</v>
      </c>
      <c r="B189" t="str">
        <f>LEFT(Table13[[#This Row],[Input]],1)</f>
        <v>L</v>
      </c>
      <c r="C189">
        <f>_xlfn.LET(_xlpm.steps,SUBSTITUTE(Table13[[#This Row],[Input]],Table13[[#This Row],[Direction]],""),VALUE(IF(LEN(_xlpm.steps)&gt;2,RIGHT(_xlpm.steps,2),_xlpm.steps)))</f>
        <v>38</v>
      </c>
      <c r="D189">
        <f>_xlfn.LET(_xlpm.steps,SUBSTITUTE(Table13[[#This Row],[Input]],Table13[[#This Row],[Direction]],""),VALUE(IF(LEN(_xlpm.steps)&gt;2,LEFT(_xlpm.steps,LEN(_xlpm.steps)-2),0)))</f>
        <v>0</v>
      </c>
      <c r="E189">
        <f>_xlfn.LET(_xlpm.dir,Table13[[#This Row],[Direction]],
IF(_xlpm.dir="L",
    IF(G188-Table13[[#This Row],[Steps]]&lt;0,100+(G188-Table13[[#This Row],[Steps]]),G188-Table13[[#This Row],[Steps]]),
))</f>
        <v>62</v>
      </c>
      <c r="F189">
        <f>_xlfn.LET(_xlpm.dir,Table13[[#This Row],[Direction]],
IF(_xlpm.dir="R",
    IF(G188+Table13[[#This Row],[Steps]]&gt;99,(G188+Table13[[#This Row],[Steps]])-100,G188+Table13[[#This Row],[Steps]]),
))</f>
        <v>0</v>
      </c>
      <c r="G189">
        <f>IF(Table13[[#This Row],[New Pos L]]&lt;&gt;0,Table13[[#This Row],[New Pos L]],Table13[[#This Row],[New Pos R]])</f>
        <v>62</v>
      </c>
      <c r="H189">
        <f>IF(AND(Table13[[#This Row],[Direction]]="L",Table13[[#This Row],[Steps]]&gt;G188,G188&lt;&gt;0),1,0)</f>
        <v>0</v>
      </c>
      <c r="I189">
        <f>IF(AND(Table13[[#This Row],[Direction]]="R",(G188+Table13[[#This Row],[Steps]])&gt;100),1,0)</f>
        <v>0</v>
      </c>
      <c r="J189">
        <f>IF(Table13[[#This Row],[POS]]=0,1,0)</f>
        <v>0</v>
      </c>
      <c r="K189">
        <f>SUM(Table13[[#This Row],[prefix]],Table13[[#This Row],[Past zero L]],Table13[[#This Row],[Past Zero R]],Table13[[#This Row],[Is Zero]])</f>
        <v>0</v>
      </c>
    </row>
    <row r="190" spans="1:11" ht="16" x14ac:dyDescent="0.2">
      <c r="A190" s="1" t="s">
        <v>127</v>
      </c>
      <c r="B190" t="str">
        <f>LEFT(Table13[[#This Row],[Input]],1)</f>
        <v>L</v>
      </c>
      <c r="C190">
        <f>_xlfn.LET(_xlpm.steps,SUBSTITUTE(Table13[[#This Row],[Input]],Table13[[#This Row],[Direction]],""),VALUE(IF(LEN(_xlpm.steps)&gt;2,RIGHT(_xlpm.steps,2),_xlpm.steps)))</f>
        <v>62</v>
      </c>
      <c r="D190">
        <f>_xlfn.LET(_xlpm.steps,SUBSTITUTE(Table13[[#This Row],[Input]],Table13[[#This Row],[Direction]],""),VALUE(IF(LEN(_xlpm.steps)&gt;2,LEFT(_xlpm.steps,LEN(_xlpm.steps)-2),0)))</f>
        <v>0</v>
      </c>
      <c r="E190">
        <f>_xlfn.LET(_xlpm.dir,Table13[[#This Row],[Direction]],
IF(_xlpm.dir="L",
    IF(G189-Table13[[#This Row],[Steps]]&lt;0,100+(G189-Table13[[#This Row],[Steps]]),G189-Table13[[#This Row],[Steps]]),
))</f>
        <v>0</v>
      </c>
      <c r="F190">
        <f>_xlfn.LET(_xlpm.dir,Table13[[#This Row],[Direction]],
IF(_xlpm.dir="R",
    IF(G189+Table13[[#This Row],[Steps]]&gt;99,(G189+Table13[[#This Row],[Steps]])-100,G189+Table13[[#This Row],[Steps]]),
))</f>
        <v>0</v>
      </c>
      <c r="G190">
        <f>IF(Table13[[#This Row],[New Pos L]]&lt;&gt;0,Table13[[#This Row],[New Pos L]],Table13[[#This Row],[New Pos R]])</f>
        <v>0</v>
      </c>
      <c r="H190">
        <f>IF(AND(Table13[[#This Row],[Direction]]="L",Table13[[#This Row],[Steps]]&gt;G189,G189&lt;&gt;0),1,0)</f>
        <v>0</v>
      </c>
      <c r="I190">
        <f>IF(AND(Table13[[#This Row],[Direction]]="R",(G189+Table13[[#This Row],[Steps]])&gt;100),1,0)</f>
        <v>0</v>
      </c>
      <c r="J190">
        <f>IF(Table13[[#This Row],[POS]]=0,1,0)</f>
        <v>1</v>
      </c>
      <c r="K190">
        <f>SUM(Table13[[#This Row],[prefix]],Table13[[#This Row],[Past zero L]],Table13[[#This Row],[Past Zero R]],Table13[[#This Row],[Is Zero]])</f>
        <v>1</v>
      </c>
    </row>
    <row r="191" spans="1:11" ht="16" x14ac:dyDescent="0.2">
      <c r="A191" s="1" t="s">
        <v>128</v>
      </c>
      <c r="B191" t="str">
        <f>LEFT(Table13[[#This Row],[Input]],1)</f>
        <v>R</v>
      </c>
      <c r="C191">
        <f>_xlfn.LET(_xlpm.steps,SUBSTITUTE(Table13[[#This Row],[Input]],Table13[[#This Row],[Direction]],""),VALUE(IF(LEN(_xlpm.steps)&gt;2,RIGHT(_xlpm.steps,2),_xlpm.steps)))</f>
        <v>92</v>
      </c>
      <c r="D191">
        <f>_xlfn.LET(_xlpm.steps,SUBSTITUTE(Table13[[#This Row],[Input]],Table13[[#This Row],[Direction]],""),VALUE(IF(LEN(_xlpm.steps)&gt;2,LEFT(_xlpm.steps,LEN(_xlpm.steps)-2),0)))</f>
        <v>0</v>
      </c>
      <c r="E191">
        <f>_xlfn.LET(_xlpm.dir,Table13[[#This Row],[Direction]],
IF(_xlpm.dir="L",
    IF(G190-Table13[[#This Row],[Steps]]&lt;0,100+(G190-Table13[[#This Row],[Steps]]),G190-Table13[[#This Row],[Steps]]),
))</f>
        <v>0</v>
      </c>
      <c r="F191">
        <f>_xlfn.LET(_xlpm.dir,Table13[[#This Row],[Direction]],
IF(_xlpm.dir="R",
    IF(G190+Table13[[#This Row],[Steps]]&gt;99,(G190+Table13[[#This Row],[Steps]])-100,G190+Table13[[#This Row],[Steps]]),
))</f>
        <v>92</v>
      </c>
      <c r="G191">
        <f>IF(Table13[[#This Row],[New Pos L]]&lt;&gt;0,Table13[[#This Row],[New Pos L]],Table13[[#This Row],[New Pos R]])</f>
        <v>92</v>
      </c>
      <c r="H191">
        <f>IF(AND(Table13[[#This Row],[Direction]]="L",Table13[[#This Row],[Steps]]&gt;G190,G190&lt;&gt;0),1,0)</f>
        <v>0</v>
      </c>
      <c r="I191">
        <f>IF(AND(Table13[[#This Row],[Direction]]="R",(G190+Table13[[#This Row],[Steps]])&gt;100),1,0)</f>
        <v>0</v>
      </c>
      <c r="J191">
        <f>IF(Table13[[#This Row],[POS]]=0,1,0)</f>
        <v>0</v>
      </c>
      <c r="K191">
        <f>SUM(Table13[[#This Row],[prefix]],Table13[[#This Row],[Past zero L]],Table13[[#This Row],[Past Zero R]],Table13[[#This Row],[Is Zero]])</f>
        <v>0</v>
      </c>
    </row>
    <row r="192" spans="1:11" ht="16" x14ac:dyDescent="0.2">
      <c r="A192" s="1" t="s">
        <v>129</v>
      </c>
      <c r="B192" t="str">
        <f>LEFT(Table13[[#This Row],[Input]],1)</f>
        <v>R</v>
      </c>
      <c r="C192">
        <f>_xlfn.LET(_xlpm.steps,SUBSTITUTE(Table13[[#This Row],[Input]],Table13[[#This Row],[Direction]],""),VALUE(IF(LEN(_xlpm.steps)&gt;2,RIGHT(_xlpm.steps,2),_xlpm.steps)))</f>
        <v>8</v>
      </c>
      <c r="D192">
        <f>_xlfn.LET(_xlpm.steps,SUBSTITUTE(Table13[[#This Row],[Input]],Table13[[#This Row],[Direction]],""),VALUE(IF(LEN(_xlpm.steps)&gt;2,LEFT(_xlpm.steps,LEN(_xlpm.steps)-2),0)))</f>
        <v>0</v>
      </c>
      <c r="E192">
        <f>_xlfn.LET(_xlpm.dir,Table13[[#This Row],[Direction]],
IF(_xlpm.dir="L",
    IF(G191-Table13[[#This Row],[Steps]]&lt;0,100+(G191-Table13[[#This Row],[Steps]]),G191-Table13[[#This Row],[Steps]]),
))</f>
        <v>0</v>
      </c>
      <c r="F192">
        <f>_xlfn.LET(_xlpm.dir,Table13[[#This Row],[Direction]],
IF(_xlpm.dir="R",
    IF(G191+Table13[[#This Row],[Steps]]&gt;99,(G191+Table13[[#This Row],[Steps]])-100,G191+Table13[[#This Row],[Steps]]),
))</f>
        <v>0</v>
      </c>
      <c r="G192">
        <f>IF(Table13[[#This Row],[New Pos L]]&lt;&gt;0,Table13[[#This Row],[New Pos L]],Table13[[#This Row],[New Pos R]])</f>
        <v>0</v>
      </c>
      <c r="H192">
        <f>IF(AND(Table13[[#This Row],[Direction]]="L",Table13[[#This Row],[Steps]]&gt;G191,G191&lt;&gt;0),1,0)</f>
        <v>0</v>
      </c>
      <c r="I192">
        <f>IF(AND(Table13[[#This Row],[Direction]]="R",(G191+Table13[[#This Row],[Steps]])&gt;100),1,0)</f>
        <v>0</v>
      </c>
      <c r="J192">
        <f>IF(Table13[[#This Row],[POS]]=0,1,0)</f>
        <v>1</v>
      </c>
      <c r="K192">
        <f>SUM(Table13[[#This Row],[prefix]],Table13[[#This Row],[Past zero L]],Table13[[#This Row],[Past Zero R]],Table13[[#This Row],[Is Zero]])</f>
        <v>1</v>
      </c>
    </row>
    <row r="193" spans="1:11" ht="16" x14ac:dyDescent="0.2">
      <c r="A193" s="1" t="s">
        <v>24</v>
      </c>
      <c r="B193" t="str">
        <f>LEFT(Table13[[#This Row],[Input]],1)</f>
        <v>L</v>
      </c>
      <c r="C193">
        <f>_xlfn.LET(_xlpm.steps,SUBSTITUTE(Table13[[#This Row],[Input]],Table13[[#This Row],[Direction]],""),VALUE(IF(LEN(_xlpm.steps)&gt;2,RIGHT(_xlpm.steps,2),_xlpm.steps)))</f>
        <v>49</v>
      </c>
      <c r="D193">
        <f>_xlfn.LET(_xlpm.steps,SUBSTITUTE(Table13[[#This Row],[Input]],Table13[[#This Row],[Direction]],""),VALUE(IF(LEN(_xlpm.steps)&gt;2,LEFT(_xlpm.steps,LEN(_xlpm.steps)-2),0)))</f>
        <v>0</v>
      </c>
      <c r="E193">
        <f>_xlfn.LET(_xlpm.dir,Table13[[#This Row],[Direction]],
IF(_xlpm.dir="L",
    IF(G192-Table13[[#This Row],[Steps]]&lt;0,100+(G192-Table13[[#This Row],[Steps]]),G192-Table13[[#This Row],[Steps]]),
))</f>
        <v>51</v>
      </c>
      <c r="F193">
        <f>_xlfn.LET(_xlpm.dir,Table13[[#This Row],[Direction]],
IF(_xlpm.dir="R",
    IF(G192+Table13[[#This Row],[Steps]]&gt;99,(G192+Table13[[#This Row],[Steps]])-100,G192+Table13[[#This Row],[Steps]]),
))</f>
        <v>0</v>
      </c>
      <c r="G193">
        <f>IF(Table13[[#This Row],[New Pos L]]&lt;&gt;0,Table13[[#This Row],[New Pos L]],Table13[[#This Row],[New Pos R]])</f>
        <v>51</v>
      </c>
      <c r="H193">
        <f>IF(AND(Table13[[#This Row],[Direction]]="L",Table13[[#This Row],[Steps]]&gt;G192,G192&lt;&gt;0),1,0)</f>
        <v>0</v>
      </c>
      <c r="I193">
        <f>IF(AND(Table13[[#This Row],[Direction]]="R",(G192+Table13[[#This Row],[Steps]])&gt;100),1,0)</f>
        <v>0</v>
      </c>
      <c r="J193">
        <f>IF(Table13[[#This Row],[POS]]=0,1,0)</f>
        <v>0</v>
      </c>
      <c r="K193">
        <f>SUM(Table13[[#This Row],[prefix]],Table13[[#This Row],[Past zero L]],Table13[[#This Row],[Past Zero R]],Table13[[#This Row],[Is Zero]])</f>
        <v>0</v>
      </c>
    </row>
    <row r="194" spans="1:11" ht="16" x14ac:dyDescent="0.2">
      <c r="A194" s="1" t="s">
        <v>130</v>
      </c>
      <c r="B194" t="str">
        <f>LEFT(Table13[[#This Row],[Input]],1)</f>
        <v>L</v>
      </c>
      <c r="C194">
        <f>_xlfn.LET(_xlpm.steps,SUBSTITUTE(Table13[[#This Row],[Input]],Table13[[#This Row],[Direction]],""),VALUE(IF(LEN(_xlpm.steps)&gt;2,RIGHT(_xlpm.steps,2),_xlpm.steps)))</f>
        <v>50</v>
      </c>
      <c r="D194">
        <f>_xlfn.LET(_xlpm.steps,SUBSTITUTE(Table13[[#This Row],[Input]],Table13[[#This Row],[Direction]],""),VALUE(IF(LEN(_xlpm.steps)&gt;2,LEFT(_xlpm.steps,LEN(_xlpm.steps)-2),0)))</f>
        <v>3</v>
      </c>
      <c r="E194">
        <f>_xlfn.LET(_xlpm.dir,Table13[[#This Row],[Direction]],
IF(_xlpm.dir="L",
    IF(G193-Table13[[#This Row],[Steps]]&lt;0,100+(G193-Table13[[#This Row],[Steps]]),G193-Table13[[#This Row],[Steps]]),
))</f>
        <v>1</v>
      </c>
      <c r="F194">
        <f>_xlfn.LET(_xlpm.dir,Table13[[#This Row],[Direction]],
IF(_xlpm.dir="R",
    IF(G193+Table13[[#This Row],[Steps]]&gt;99,(G193+Table13[[#This Row],[Steps]])-100,G193+Table13[[#This Row],[Steps]]),
))</f>
        <v>0</v>
      </c>
      <c r="G194">
        <f>IF(Table13[[#This Row],[New Pos L]]&lt;&gt;0,Table13[[#This Row],[New Pos L]],Table13[[#This Row],[New Pos R]])</f>
        <v>1</v>
      </c>
      <c r="H194">
        <f>IF(AND(Table13[[#This Row],[Direction]]="L",Table13[[#This Row],[Steps]]&gt;G193,G193&lt;&gt;0),1,0)</f>
        <v>0</v>
      </c>
      <c r="I194">
        <f>IF(AND(Table13[[#This Row],[Direction]]="R",(G193+Table13[[#This Row],[Steps]])&gt;100),1,0)</f>
        <v>0</v>
      </c>
      <c r="J194">
        <f>IF(Table13[[#This Row],[POS]]=0,1,0)</f>
        <v>0</v>
      </c>
      <c r="K194">
        <f>SUM(Table13[[#This Row],[prefix]],Table13[[#This Row],[Past zero L]],Table13[[#This Row],[Past Zero R]],Table13[[#This Row],[Is Zero]])</f>
        <v>3</v>
      </c>
    </row>
    <row r="195" spans="1:11" ht="16" x14ac:dyDescent="0.2">
      <c r="A195" s="1" t="s">
        <v>131</v>
      </c>
      <c r="B195" t="str">
        <f>LEFT(Table13[[#This Row],[Input]],1)</f>
        <v>R</v>
      </c>
      <c r="C195">
        <f>_xlfn.LET(_xlpm.steps,SUBSTITUTE(Table13[[#This Row],[Input]],Table13[[#This Row],[Direction]],""),VALUE(IF(LEN(_xlpm.steps)&gt;2,RIGHT(_xlpm.steps,2),_xlpm.steps)))</f>
        <v>99</v>
      </c>
      <c r="D195">
        <f>_xlfn.LET(_xlpm.steps,SUBSTITUTE(Table13[[#This Row],[Input]],Table13[[#This Row],[Direction]],""),VALUE(IF(LEN(_xlpm.steps)&gt;2,LEFT(_xlpm.steps,LEN(_xlpm.steps)-2),0)))</f>
        <v>0</v>
      </c>
      <c r="E195">
        <f>_xlfn.LET(_xlpm.dir,Table13[[#This Row],[Direction]],
IF(_xlpm.dir="L",
    IF(G194-Table13[[#This Row],[Steps]]&lt;0,100+(G194-Table13[[#This Row],[Steps]]),G194-Table13[[#This Row],[Steps]]),
))</f>
        <v>0</v>
      </c>
      <c r="F195">
        <f>_xlfn.LET(_xlpm.dir,Table13[[#This Row],[Direction]],
IF(_xlpm.dir="R",
    IF(G194+Table13[[#This Row],[Steps]]&gt;99,(G194+Table13[[#This Row],[Steps]])-100,G194+Table13[[#This Row],[Steps]]),
))</f>
        <v>0</v>
      </c>
      <c r="G195">
        <f>IF(Table13[[#This Row],[New Pos L]]&lt;&gt;0,Table13[[#This Row],[New Pos L]],Table13[[#This Row],[New Pos R]])</f>
        <v>0</v>
      </c>
      <c r="H195">
        <f>IF(AND(Table13[[#This Row],[Direction]]="L",Table13[[#This Row],[Steps]]&gt;G194,G194&lt;&gt;0),1,0)</f>
        <v>0</v>
      </c>
      <c r="I195">
        <f>IF(AND(Table13[[#This Row],[Direction]]="R",(G194+Table13[[#This Row],[Steps]])&gt;100),1,0)</f>
        <v>0</v>
      </c>
      <c r="J195">
        <f>IF(Table13[[#This Row],[POS]]=0,1,0)</f>
        <v>1</v>
      </c>
      <c r="K195">
        <f>SUM(Table13[[#This Row],[prefix]],Table13[[#This Row],[Past zero L]],Table13[[#This Row],[Past Zero R]],Table13[[#This Row],[Is Zero]])</f>
        <v>1</v>
      </c>
    </row>
    <row r="196" spans="1:11" ht="16" x14ac:dyDescent="0.2">
      <c r="A196" s="1" t="s">
        <v>132</v>
      </c>
      <c r="B196" t="str">
        <f>LEFT(Table13[[#This Row],[Input]],1)</f>
        <v>L</v>
      </c>
      <c r="C196">
        <f>_xlfn.LET(_xlpm.steps,SUBSTITUTE(Table13[[#This Row],[Input]],Table13[[#This Row],[Direction]],""),VALUE(IF(LEN(_xlpm.steps)&gt;2,RIGHT(_xlpm.steps,2),_xlpm.steps)))</f>
        <v>51</v>
      </c>
      <c r="D196">
        <f>_xlfn.LET(_xlpm.steps,SUBSTITUTE(Table13[[#This Row],[Input]],Table13[[#This Row],[Direction]],""),VALUE(IF(LEN(_xlpm.steps)&gt;2,LEFT(_xlpm.steps,LEN(_xlpm.steps)-2),0)))</f>
        <v>0</v>
      </c>
      <c r="E196">
        <f>_xlfn.LET(_xlpm.dir,Table13[[#This Row],[Direction]],
IF(_xlpm.dir="L",
    IF(G195-Table13[[#This Row],[Steps]]&lt;0,100+(G195-Table13[[#This Row],[Steps]]),G195-Table13[[#This Row],[Steps]]),
))</f>
        <v>49</v>
      </c>
      <c r="F196">
        <f>_xlfn.LET(_xlpm.dir,Table13[[#This Row],[Direction]],
IF(_xlpm.dir="R",
    IF(G195+Table13[[#This Row],[Steps]]&gt;99,(G195+Table13[[#This Row],[Steps]])-100,G195+Table13[[#This Row],[Steps]]),
))</f>
        <v>0</v>
      </c>
      <c r="G196">
        <f>IF(Table13[[#This Row],[New Pos L]]&lt;&gt;0,Table13[[#This Row],[New Pos L]],Table13[[#This Row],[New Pos R]])</f>
        <v>49</v>
      </c>
      <c r="H196">
        <f>IF(AND(Table13[[#This Row],[Direction]]="L",Table13[[#This Row],[Steps]]&gt;G195,G195&lt;&gt;0),1,0)</f>
        <v>0</v>
      </c>
      <c r="I196">
        <f>IF(AND(Table13[[#This Row],[Direction]]="R",(G195+Table13[[#This Row],[Steps]])&gt;100),1,0)</f>
        <v>0</v>
      </c>
      <c r="J196">
        <f>IF(Table13[[#This Row],[POS]]=0,1,0)</f>
        <v>0</v>
      </c>
      <c r="K196">
        <f>SUM(Table13[[#This Row],[prefix]],Table13[[#This Row],[Past zero L]],Table13[[#This Row],[Past Zero R]],Table13[[#This Row],[Is Zero]])</f>
        <v>0</v>
      </c>
    </row>
    <row r="197" spans="1:11" ht="16" x14ac:dyDescent="0.2">
      <c r="A197" s="1" t="s">
        <v>133</v>
      </c>
      <c r="B197" t="str">
        <f>LEFT(Table13[[#This Row],[Input]],1)</f>
        <v>R</v>
      </c>
      <c r="C197">
        <f>_xlfn.LET(_xlpm.steps,SUBSTITUTE(Table13[[#This Row],[Input]],Table13[[#This Row],[Direction]],""),VALUE(IF(LEN(_xlpm.steps)&gt;2,RIGHT(_xlpm.steps,2),_xlpm.steps)))</f>
        <v>77</v>
      </c>
      <c r="D197">
        <f>_xlfn.LET(_xlpm.steps,SUBSTITUTE(Table13[[#This Row],[Input]],Table13[[#This Row],[Direction]],""),VALUE(IF(LEN(_xlpm.steps)&gt;2,LEFT(_xlpm.steps,LEN(_xlpm.steps)-2),0)))</f>
        <v>6</v>
      </c>
      <c r="E197">
        <f>_xlfn.LET(_xlpm.dir,Table13[[#This Row],[Direction]],
IF(_xlpm.dir="L",
    IF(G196-Table13[[#This Row],[Steps]]&lt;0,100+(G196-Table13[[#This Row],[Steps]]),G196-Table13[[#This Row],[Steps]]),
))</f>
        <v>0</v>
      </c>
      <c r="F197">
        <f>_xlfn.LET(_xlpm.dir,Table13[[#This Row],[Direction]],
IF(_xlpm.dir="R",
    IF(G196+Table13[[#This Row],[Steps]]&gt;99,(G196+Table13[[#This Row],[Steps]])-100,G196+Table13[[#This Row],[Steps]]),
))</f>
        <v>26</v>
      </c>
      <c r="G197">
        <f>IF(Table13[[#This Row],[New Pos L]]&lt;&gt;0,Table13[[#This Row],[New Pos L]],Table13[[#This Row],[New Pos R]])</f>
        <v>26</v>
      </c>
      <c r="H197">
        <f>IF(AND(Table13[[#This Row],[Direction]]="L",Table13[[#This Row],[Steps]]&gt;G196,G196&lt;&gt;0),1,0)</f>
        <v>0</v>
      </c>
      <c r="I197">
        <f>IF(AND(Table13[[#This Row],[Direction]]="R",(G196+Table13[[#This Row],[Steps]])&gt;100),1,0)</f>
        <v>1</v>
      </c>
      <c r="J197">
        <f>IF(Table13[[#This Row],[POS]]=0,1,0)</f>
        <v>0</v>
      </c>
      <c r="K197">
        <f>SUM(Table13[[#This Row],[prefix]],Table13[[#This Row],[Past zero L]],Table13[[#This Row],[Past Zero R]],Table13[[#This Row],[Is Zero]])</f>
        <v>7</v>
      </c>
    </row>
    <row r="198" spans="1:11" ht="16" x14ac:dyDescent="0.2">
      <c r="A198" s="1" t="s">
        <v>134</v>
      </c>
      <c r="B198" t="str">
        <f>LEFT(Table13[[#This Row],[Input]],1)</f>
        <v>L</v>
      </c>
      <c r="C198">
        <f>_xlfn.LET(_xlpm.steps,SUBSTITUTE(Table13[[#This Row],[Input]],Table13[[#This Row],[Direction]],""),VALUE(IF(LEN(_xlpm.steps)&gt;2,RIGHT(_xlpm.steps,2),_xlpm.steps)))</f>
        <v>95</v>
      </c>
      <c r="D198">
        <f>_xlfn.LET(_xlpm.steps,SUBSTITUTE(Table13[[#This Row],[Input]],Table13[[#This Row],[Direction]],""),VALUE(IF(LEN(_xlpm.steps)&gt;2,LEFT(_xlpm.steps,LEN(_xlpm.steps)-2),0)))</f>
        <v>0</v>
      </c>
      <c r="E198">
        <f>_xlfn.LET(_xlpm.dir,Table13[[#This Row],[Direction]],
IF(_xlpm.dir="L",
    IF(G197-Table13[[#This Row],[Steps]]&lt;0,100+(G197-Table13[[#This Row],[Steps]]),G197-Table13[[#This Row],[Steps]]),
))</f>
        <v>31</v>
      </c>
      <c r="F198">
        <f>_xlfn.LET(_xlpm.dir,Table13[[#This Row],[Direction]],
IF(_xlpm.dir="R",
    IF(G197+Table13[[#This Row],[Steps]]&gt;99,(G197+Table13[[#This Row],[Steps]])-100,G197+Table13[[#This Row],[Steps]]),
))</f>
        <v>0</v>
      </c>
      <c r="G198">
        <f>IF(Table13[[#This Row],[New Pos L]]&lt;&gt;0,Table13[[#This Row],[New Pos L]],Table13[[#This Row],[New Pos R]])</f>
        <v>31</v>
      </c>
      <c r="H198">
        <f>IF(AND(Table13[[#This Row],[Direction]]="L",Table13[[#This Row],[Steps]]&gt;G197,G197&lt;&gt;0),1,0)</f>
        <v>1</v>
      </c>
      <c r="I198">
        <f>IF(AND(Table13[[#This Row],[Direction]]="R",(G197+Table13[[#This Row],[Steps]])&gt;100),1,0)</f>
        <v>0</v>
      </c>
      <c r="J198">
        <f>IF(Table13[[#This Row],[POS]]=0,1,0)</f>
        <v>0</v>
      </c>
      <c r="K198">
        <f>SUM(Table13[[#This Row],[prefix]],Table13[[#This Row],[Past zero L]],Table13[[#This Row],[Past Zero R]],Table13[[#This Row],[Is Zero]])</f>
        <v>1</v>
      </c>
    </row>
    <row r="199" spans="1:11" ht="16" x14ac:dyDescent="0.2">
      <c r="A199" s="1" t="s">
        <v>135</v>
      </c>
      <c r="B199" t="str">
        <f>LEFT(Table13[[#This Row],[Input]],1)</f>
        <v>R</v>
      </c>
      <c r="C199">
        <f>_xlfn.LET(_xlpm.steps,SUBSTITUTE(Table13[[#This Row],[Input]],Table13[[#This Row],[Direction]],""),VALUE(IF(LEN(_xlpm.steps)&gt;2,RIGHT(_xlpm.steps,2),_xlpm.steps)))</f>
        <v>69</v>
      </c>
      <c r="D199">
        <f>_xlfn.LET(_xlpm.steps,SUBSTITUTE(Table13[[#This Row],[Input]],Table13[[#This Row],[Direction]],""),VALUE(IF(LEN(_xlpm.steps)&gt;2,LEFT(_xlpm.steps,LEN(_xlpm.steps)-2),0)))</f>
        <v>0</v>
      </c>
      <c r="E199">
        <f>_xlfn.LET(_xlpm.dir,Table13[[#This Row],[Direction]],
IF(_xlpm.dir="L",
    IF(G198-Table13[[#This Row],[Steps]]&lt;0,100+(G198-Table13[[#This Row],[Steps]]),G198-Table13[[#This Row],[Steps]]),
))</f>
        <v>0</v>
      </c>
      <c r="F199">
        <f>_xlfn.LET(_xlpm.dir,Table13[[#This Row],[Direction]],
IF(_xlpm.dir="R",
    IF(G198+Table13[[#This Row],[Steps]]&gt;99,(G198+Table13[[#This Row],[Steps]])-100,G198+Table13[[#This Row],[Steps]]),
))</f>
        <v>0</v>
      </c>
      <c r="G199">
        <f>IF(Table13[[#This Row],[New Pos L]]&lt;&gt;0,Table13[[#This Row],[New Pos L]],Table13[[#This Row],[New Pos R]])</f>
        <v>0</v>
      </c>
      <c r="H199">
        <f>IF(AND(Table13[[#This Row],[Direction]]="L",Table13[[#This Row],[Steps]]&gt;G198,G198&lt;&gt;0),1,0)</f>
        <v>0</v>
      </c>
      <c r="I199">
        <f>IF(AND(Table13[[#This Row],[Direction]]="R",(G198+Table13[[#This Row],[Steps]])&gt;100),1,0)</f>
        <v>0</v>
      </c>
      <c r="J199">
        <f>IF(Table13[[#This Row],[POS]]=0,1,0)</f>
        <v>1</v>
      </c>
      <c r="K199">
        <f>SUM(Table13[[#This Row],[prefix]],Table13[[#This Row],[Past zero L]],Table13[[#This Row],[Past Zero R]],Table13[[#This Row],[Is Zero]])</f>
        <v>1</v>
      </c>
    </row>
    <row r="200" spans="1:11" ht="16" x14ac:dyDescent="0.2">
      <c r="A200" s="1" t="s">
        <v>123</v>
      </c>
      <c r="B200" t="str">
        <f>LEFT(Table13[[#This Row],[Input]],1)</f>
        <v>L</v>
      </c>
      <c r="C200">
        <f>_xlfn.LET(_xlpm.steps,SUBSTITUTE(Table13[[#This Row],[Input]],Table13[[#This Row],[Direction]],""),VALUE(IF(LEN(_xlpm.steps)&gt;2,RIGHT(_xlpm.steps,2),_xlpm.steps)))</f>
        <v>63</v>
      </c>
      <c r="D200">
        <f>_xlfn.LET(_xlpm.steps,SUBSTITUTE(Table13[[#This Row],[Input]],Table13[[#This Row],[Direction]],""),VALUE(IF(LEN(_xlpm.steps)&gt;2,LEFT(_xlpm.steps,LEN(_xlpm.steps)-2),0)))</f>
        <v>0</v>
      </c>
      <c r="E200">
        <f>_xlfn.LET(_xlpm.dir,Table13[[#This Row],[Direction]],
IF(_xlpm.dir="L",
    IF(G199-Table13[[#This Row],[Steps]]&lt;0,100+(G199-Table13[[#This Row],[Steps]]),G199-Table13[[#This Row],[Steps]]),
))</f>
        <v>37</v>
      </c>
      <c r="F200">
        <f>_xlfn.LET(_xlpm.dir,Table13[[#This Row],[Direction]],
IF(_xlpm.dir="R",
    IF(G199+Table13[[#This Row],[Steps]]&gt;99,(G199+Table13[[#This Row],[Steps]])-100,G199+Table13[[#This Row],[Steps]]),
))</f>
        <v>0</v>
      </c>
      <c r="G200">
        <f>IF(Table13[[#This Row],[New Pos L]]&lt;&gt;0,Table13[[#This Row],[New Pos L]],Table13[[#This Row],[New Pos R]])</f>
        <v>37</v>
      </c>
      <c r="H200">
        <f>IF(AND(Table13[[#This Row],[Direction]]="L",Table13[[#This Row],[Steps]]&gt;G199,G199&lt;&gt;0),1,0)</f>
        <v>0</v>
      </c>
      <c r="I200">
        <f>IF(AND(Table13[[#This Row],[Direction]]="R",(G199+Table13[[#This Row],[Steps]])&gt;100),1,0)</f>
        <v>0</v>
      </c>
      <c r="J200">
        <f>IF(Table13[[#This Row],[POS]]=0,1,0)</f>
        <v>0</v>
      </c>
      <c r="K200">
        <f>SUM(Table13[[#This Row],[prefix]],Table13[[#This Row],[Past zero L]],Table13[[#This Row],[Past Zero R]],Table13[[#This Row],[Is Zero]])</f>
        <v>0</v>
      </c>
    </row>
    <row r="201" spans="1:11" ht="16" x14ac:dyDescent="0.2">
      <c r="A201" s="1" t="s">
        <v>32</v>
      </c>
      <c r="B201" t="str">
        <f>LEFT(Table13[[#This Row],[Input]],1)</f>
        <v>L</v>
      </c>
      <c r="C201">
        <f>_xlfn.LET(_xlpm.steps,SUBSTITUTE(Table13[[#This Row],[Input]],Table13[[#This Row],[Direction]],""),VALUE(IF(LEN(_xlpm.steps)&gt;2,RIGHT(_xlpm.steps,2),_xlpm.steps)))</f>
        <v>28</v>
      </c>
      <c r="D201">
        <f>_xlfn.LET(_xlpm.steps,SUBSTITUTE(Table13[[#This Row],[Input]],Table13[[#This Row],[Direction]],""),VALUE(IF(LEN(_xlpm.steps)&gt;2,LEFT(_xlpm.steps,LEN(_xlpm.steps)-2),0)))</f>
        <v>0</v>
      </c>
      <c r="E201">
        <f>_xlfn.LET(_xlpm.dir,Table13[[#This Row],[Direction]],
IF(_xlpm.dir="L",
    IF(G200-Table13[[#This Row],[Steps]]&lt;0,100+(G200-Table13[[#This Row],[Steps]]),G200-Table13[[#This Row],[Steps]]),
))</f>
        <v>9</v>
      </c>
      <c r="F201">
        <f>_xlfn.LET(_xlpm.dir,Table13[[#This Row],[Direction]],
IF(_xlpm.dir="R",
    IF(G200+Table13[[#This Row],[Steps]]&gt;99,(G200+Table13[[#This Row],[Steps]])-100,G200+Table13[[#This Row],[Steps]]),
))</f>
        <v>0</v>
      </c>
      <c r="G201">
        <f>IF(Table13[[#This Row],[New Pos L]]&lt;&gt;0,Table13[[#This Row],[New Pos L]],Table13[[#This Row],[New Pos R]])</f>
        <v>9</v>
      </c>
      <c r="H201">
        <f>IF(AND(Table13[[#This Row],[Direction]]="L",Table13[[#This Row],[Steps]]&gt;G200,G200&lt;&gt;0),1,0)</f>
        <v>0</v>
      </c>
      <c r="I201">
        <f>IF(AND(Table13[[#This Row],[Direction]]="R",(G200+Table13[[#This Row],[Steps]])&gt;100),1,0)</f>
        <v>0</v>
      </c>
      <c r="J201">
        <f>IF(Table13[[#This Row],[POS]]=0,1,0)</f>
        <v>0</v>
      </c>
      <c r="K201">
        <f>SUM(Table13[[#This Row],[prefix]],Table13[[#This Row],[Past zero L]],Table13[[#This Row],[Past Zero R]],Table13[[#This Row],[Is Zero]])</f>
        <v>0</v>
      </c>
    </row>
    <row r="202" spans="1:11" ht="16" x14ac:dyDescent="0.2">
      <c r="A202" s="1" t="s">
        <v>9</v>
      </c>
      <c r="B202" t="str">
        <f>LEFT(Table13[[#This Row],[Input]],1)</f>
        <v>L</v>
      </c>
      <c r="C202">
        <f>_xlfn.LET(_xlpm.steps,SUBSTITUTE(Table13[[#This Row],[Input]],Table13[[#This Row],[Direction]],""),VALUE(IF(LEN(_xlpm.steps)&gt;2,RIGHT(_xlpm.steps,2),_xlpm.steps)))</f>
        <v>9</v>
      </c>
      <c r="D202">
        <f>_xlfn.LET(_xlpm.steps,SUBSTITUTE(Table13[[#This Row],[Input]],Table13[[#This Row],[Direction]],""),VALUE(IF(LEN(_xlpm.steps)&gt;2,LEFT(_xlpm.steps,LEN(_xlpm.steps)-2),0)))</f>
        <v>0</v>
      </c>
      <c r="E202">
        <f>_xlfn.LET(_xlpm.dir,Table13[[#This Row],[Direction]],
IF(_xlpm.dir="L",
    IF(G201-Table13[[#This Row],[Steps]]&lt;0,100+(G201-Table13[[#This Row],[Steps]]),G201-Table13[[#This Row],[Steps]]),
))</f>
        <v>0</v>
      </c>
      <c r="F202">
        <f>_xlfn.LET(_xlpm.dir,Table13[[#This Row],[Direction]],
IF(_xlpm.dir="R",
    IF(G201+Table13[[#This Row],[Steps]]&gt;99,(G201+Table13[[#This Row],[Steps]])-100,G201+Table13[[#This Row],[Steps]]),
))</f>
        <v>0</v>
      </c>
      <c r="G202">
        <f>IF(Table13[[#This Row],[New Pos L]]&lt;&gt;0,Table13[[#This Row],[New Pos L]],Table13[[#This Row],[New Pos R]])</f>
        <v>0</v>
      </c>
      <c r="H202">
        <f>IF(AND(Table13[[#This Row],[Direction]]="L",Table13[[#This Row],[Steps]]&gt;G201,G201&lt;&gt;0),1,0)</f>
        <v>0</v>
      </c>
      <c r="I202">
        <f>IF(AND(Table13[[#This Row],[Direction]]="R",(G201+Table13[[#This Row],[Steps]])&gt;100),1,0)</f>
        <v>0</v>
      </c>
      <c r="J202">
        <f>IF(Table13[[#This Row],[POS]]=0,1,0)</f>
        <v>1</v>
      </c>
      <c r="K202">
        <f>SUM(Table13[[#This Row],[prefix]],Table13[[#This Row],[Past zero L]],Table13[[#This Row],[Past Zero R]],Table13[[#This Row],[Is Zero]])</f>
        <v>1</v>
      </c>
    </row>
    <row r="203" spans="1:11" ht="16" x14ac:dyDescent="0.2">
      <c r="A203" s="1" t="s">
        <v>136</v>
      </c>
      <c r="B203" t="str">
        <f>LEFT(Table13[[#This Row],[Input]],1)</f>
        <v>L</v>
      </c>
      <c r="C203">
        <f>_xlfn.LET(_xlpm.steps,SUBSTITUTE(Table13[[#This Row],[Input]],Table13[[#This Row],[Direction]],""),VALUE(IF(LEN(_xlpm.steps)&gt;2,RIGHT(_xlpm.steps,2),_xlpm.steps)))</f>
        <v>72</v>
      </c>
      <c r="D203">
        <f>_xlfn.LET(_xlpm.steps,SUBSTITUTE(Table13[[#This Row],[Input]],Table13[[#This Row],[Direction]],""),VALUE(IF(LEN(_xlpm.steps)&gt;2,LEFT(_xlpm.steps,LEN(_xlpm.steps)-2),0)))</f>
        <v>0</v>
      </c>
      <c r="E203">
        <f>_xlfn.LET(_xlpm.dir,Table13[[#This Row],[Direction]],
IF(_xlpm.dir="L",
    IF(G202-Table13[[#This Row],[Steps]]&lt;0,100+(G202-Table13[[#This Row],[Steps]]),G202-Table13[[#This Row],[Steps]]),
))</f>
        <v>28</v>
      </c>
      <c r="F203">
        <f>_xlfn.LET(_xlpm.dir,Table13[[#This Row],[Direction]],
IF(_xlpm.dir="R",
    IF(G202+Table13[[#This Row],[Steps]]&gt;99,(G202+Table13[[#This Row],[Steps]])-100,G202+Table13[[#This Row],[Steps]]),
))</f>
        <v>0</v>
      </c>
      <c r="G203">
        <f>IF(Table13[[#This Row],[New Pos L]]&lt;&gt;0,Table13[[#This Row],[New Pos L]],Table13[[#This Row],[New Pos R]])</f>
        <v>28</v>
      </c>
      <c r="H203">
        <f>IF(AND(Table13[[#This Row],[Direction]]="L",Table13[[#This Row],[Steps]]&gt;G202,G202&lt;&gt;0),1,0)</f>
        <v>0</v>
      </c>
      <c r="I203">
        <f>IF(AND(Table13[[#This Row],[Direction]]="R",(G202+Table13[[#This Row],[Steps]])&gt;100),1,0)</f>
        <v>0</v>
      </c>
      <c r="J203">
        <f>IF(Table13[[#This Row],[POS]]=0,1,0)</f>
        <v>0</v>
      </c>
      <c r="K203">
        <f>SUM(Table13[[#This Row],[prefix]],Table13[[#This Row],[Past zero L]],Table13[[#This Row],[Past Zero R]],Table13[[#This Row],[Is Zero]])</f>
        <v>0</v>
      </c>
    </row>
    <row r="204" spans="1:11" ht="16" x14ac:dyDescent="0.2">
      <c r="A204" s="1" t="s">
        <v>137</v>
      </c>
      <c r="B204" t="str">
        <f>LEFT(Table13[[#This Row],[Input]],1)</f>
        <v>R</v>
      </c>
      <c r="C204">
        <f>_xlfn.LET(_xlpm.steps,SUBSTITUTE(Table13[[#This Row],[Input]],Table13[[#This Row],[Direction]],""),VALUE(IF(LEN(_xlpm.steps)&gt;2,RIGHT(_xlpm.steps,2),_xlpm.steps)))</f>
        <v>28</v>
      </c>
      <c r="D204">
        <f>_xlfn.LET(_xlpm.steps,SUBSTITUTE(Table13[[#This Row],[Input]],Table13[[#This Row],[Direction]],""),VALUE(IF(LEN(_xlpm.steps)&gt;2,LEFT(_xlpm.steps,LEN(_xlpm.steps)-2),0)))</f>
        <v>0</v>
      </c>
      <c r="E204">
        <f>_xlfn.LET(_xlpm.dir,Table13[[#This Row],[Direction]],
IF(_xlpm.dir="L",
    IF(G203-Table13[[#This Row],[Steps]]&lt;0,100+(G203-Table13[[#This Row],[Steps]]),G203-Table13[[#This Row],[Steps]]),
))</f>
        <v>0</v>
      </c>
      <c r="F204">
        <f>_xlfn.LET(_xlpm.dir,Table13[[#This Row],[Direction]],
IF(_xlpm.dir="R",
    IF(G203+Table13[[#This Row],[Steps]]&gt;99,(G203+Table13[[#This Row],[Steps]])-100,G203+Table13[[#This Row],[Steps]]),
))</f>
        <v>56</v>
      </c>
      <c r="G204">
        <f>IF(Table13[[#This Row],[New Pos L]]&lt;&gt;0,Table13[[#This Row],[New Pos L]],Table13[[#This Row],[New Pos R]])</f>
        <v>56</v>
      </c>
      <c r="H204">
        <f>IF(AND(Table13[[#This Row],[Direction]]="L",Table13[[#This Row],[Steps]]&gt;G203,G203&lt;&gt;0),1,0)</f>
        <v>0</v>
      </c>
      <c r="I204">
        <f>IF(AND(Table13[[#This Row],[Direction]]="R",(G203+Table13[[#This Row],[Steps]])&gt;100),1,0)</f>
        <v>0</v>
      </c>
      <c r="J204">
        <f>IF(Table13[[#This Row],[POS]]=0,1,0)</f>
        <v>0</v>
      </c>
      <c r="K204">
        <f>SUM(Table13[[#This Row],[prefix]],Table13[[#This Row],[Past zero L]],Table13[[#This Row],[Past Zero R]],Table13[[#This Row],[Is Zero]])</f>
        <v>0</v>
      </c>
    </row>
    <row r="205" spans="1:11" ht="16" x14ac:dyDescent="0.2">
      <c r="A205" s="1" t="s">
        <v>138</v>
      </c>
      <c r="B205" t="str">
        <f>LEFT(Table13[[#This Row],[Input]],1)</f>
        <v>L</v>
      </c>
      <c r="C205">
        <f>_xlfn.LET(_xlpm.steps,SUBSTITUTE(Table13[[#This Row],[Input]],Table13[[#This Row],[Direction]],""),VALUE(IF(LEN(_xlpm.steps)&gt;2,RIGHT(_xlpm.steps,2),_xlpm.steps)))</f>
        <v>94</v>
      </c>
      <c r="D205">
        <f>_xlfn.LET(_xlpm.steps,SUBSTITUTE(Table13[[#This Row],[Input]],Table13[[#This Row],[Direction]],""),VALUE(IF(LEN(_xlpm.steps)&gt;2,LEFT(_xlpm.steps,LEN(_xlpm.steps)-2),0)))</f>
        <v>0</v>
      </c>
      <c r="E205">
        <f>_xlfn.LET(_xlpm.dir,Table13[[#This Row],[Direction]],
IF(_xlpm.dir="L",
    IF(G204-Table13[[#This Row],[Steps]]&lt;0,100+(G204-Table13[[#This Row],[Steps]]),G204-Table13[[#This Row],[Steps]]),
))</f>
        <v>62</v>
      </c>
      <c r="F205">
        <f>_xlfn.LET(_xlpm.dir,Table13[[#This Row],[Direction]],
IF(_xlpm.dir="R",
    IF(G204+Table13[[#This Row],[Steps]]&gt;99,(G204+Table13[[#This Row],[Steps]])-100,G204+Table13[[#This Row],[Steps]]),
))</f>
        <v>0</v>
      </c>
      <c r="G205">
        <f>IF(Table13[[#This Row],[New Pos L]]&lt;&gt;0,Table13[[#This Row],[New Pos L]],Table13[[#This Row],[New Pos R]])</f>
        <v>62</v>
      </c>
      <c r="H205">
        <f>IF(AND(Table13[[#This Row],[Direction]]="L",Table13[[#This Row],[Steps]]&gt;G204,G204&lt;&gt;0),1,0)</f>
        <v>1</v>
      </c>
      <c r="I205">
        <f>IF(AND(Table13[[#This Row],[Direction]]="R",(G204+Table13[[#This Row],[Steps]])&gt;100),1,0)</f>
        <v>0</v>
      </c>
      <c r="J205">
        <f>IF(Table13[[#This Row],[POS]]=0,1,0)</f>
        <v>0</v>
      </c>
      <c r="K205">
        <f>SUM(Table13[[#This Row],[prefix]],Table13[[#This Row],[Past zero L]],Table13[[#This Row],[Past Zero R]],Table13[[#This Row],[Is Zero]])</f>
        <v>1</v>
      </c>
    </row>
    <row r="206" spans="1:11" ht="16" x14ac:dyDescent="0.2">
      <c r="A206" s="1" t="s">
        <v>139</v>
      </c>
      <c r="B206" t="str">
        <f>LEFT(Table13[[#This Row],[Input]],1)</f>
        <v>R</v>
      </c>
      <c r="C206">
        <f>_xlfn.LET(_xlpm.steps,SUBSTITUTE(Table13[[#This Row],[Input]],Table13[[#This Row],[Direction]],""),VALUE(IF(LEN(_xlpm.steps)&gt;2,RIGHT(_xlpm.steps,2),_xlpm.steps)))</f>
        <v>38</v>
      </c>
      <c r="D206">
        <f>_xlfn.LET(_xlpm.steps,SUBSTITUTE(Table13[[#This Row],[Input]],Table13[[#This Row],[Direction]],""),VALUE(IF(LEN(_xlpm.steps)&gt;2,LEFT(_xlpm.steps,LEN(_xlpm.steps)-2),0)))</f>
        <v>0</v>
      </c>
      <c r="E206">
        <f>_xlfn.LET(_xlpm.dir,Table13[[#This Row],[Direction]],
IF(_xlpm.dir="L",
    IF(G205-Table13[[#This Row],[Steps]]&lt;0,100+(G205-Table13[[#This Row],[Steps]]),G205-Table13[[#This Row],[Steps]]),
))</f>
        <v>0</v>
      </c>
      <c r="F206">
        <f>_xlfn.LET(_xlpm.dir,Table13[[#This Row],[Direction]],
IF(_xlpm.dir="R",
    IF(G205+Table13[[#This Row],[Steps]]&gt;99,(G205+Table13[[#This Row],[Steps]])-100,G205+Table13[[#This Row],[Steps]]),
))</f>
        <v>0</v>
      </c>
      <c r="G206">
        <f>IF(Table13[[#This Row],[New Pos L]]&lt;&gt;0,Table13[[#This Row],[New Pos L]],Table13[[#This Row],[New Pos R]])</f>
        <v>0</v>
      </c>
      <c r="H206">
        <f>IF(AND(Table13[[#This Row],[Direction]]="L",Table13[[#This Row],[Steps]]&gt;G205,G205&lt;&gt;0),1,0)</f>
        <v>0</v>
      </c>
      <c r="I206">
        <f>IF(AND(Table13[[#This Row],[Direction]]="R",(G205+Table13[[#This Row],[Steps]])&gt;100),1,0)</f>
        <v>0</v>
      </c>
      <c r="J206">
        <f>IF(Table13[[#This Row],[POS]]=0,1,0)</f>
        <v>1</v>
      </c>
      <c r="K206">
        <f>SUM(Table13[[#This Row],[prefix]],Table13[[#This Row],[Past zero L]],Table13[[#This Row],[Past Zero R]],Table13[[#This Row],[Is Zero]])</f>
        <v>1</v>
      </c>
    </row>
    <row r="207" spans="1:11" ht="16" x14ac:dyDescent="0.2">
      <c r="A207" s="1" t="s">
        <v>26</v>
      </c>
      <c r="B207" t="str">
        <f>LEFT(Table13[[#This Row],[Input]],1)</f>
        <v>R</v>
      </c>
      <c r="C207">
        <f>_xlfn.LET(_xlpm.steps,SUBSTITUTE(Table13[[#This Row],[Input]],Table13[[#This Row],[Direction]],""),VALUE(IF(LEN(_xlpm.steps)&gt;2,RIGHT(_xlpm.steps,2),_xlpm.steps)))</f>
        <v>6</v>
      </c>
      <c r="D207">
        <f>_xlfn.LET(_xlpm.steps,SUBSTITUTE(Table13[[#This Row],[Input]],Table13[[#This Row],[Direction]],""),VALUE(IF(LEN(_xlpm.steps)&gt;2,LEFT(_xlpm.steps,LEN(_xlpm.steps)-2),0)))</f>
        <v>0</v>
      </c>
      <c r="E207">
        <f>_xlfn.LET(_xlpm.dir,Table13[[#This Row],[Direction]],
IF(_xlpm.dir="L",
    IF(G206-Table13[[#This Row],[Steps]]&lt;0,100+(G206-Table13[[#This Row],[Steps]]),G206-Table13[[#This Row],[Steps]]),
))</f>
        <v>0</v>
      </c>
      <c r="F207">
        <f>_xlfn.LET(_xlpm.dir,Table13[[#This Row],[Direction]],
IF(_xlpm.dir="R",
    IF(G206+Table13[[#This Row],[Steps]]&gt;99,(G206+Table13[[#This Row],[Steps]])-100,G206+Table13[[#This Row],[Steps]]),
))</f>
        <v>6</v>
      </c>
      <c r="G207">
        <f>IF(Table13[[#This Row],[New Pos L]]&lt;&gt;0,Table13[[#This Row],[New Pos L]],Table13[[#This Row],[New Pos R]])</f>
        <v>6</v>
      </c>
      <c r="H207">
        <f>IF(AND(Table13[[#This Row],[Direction]]="L",Table13[[#This Row],[Steps]]&gt;G206,G206&lt;&gt;0),1,0)</f>
        <v>0</v>
      </c>
      <c r="I207">
        <f>IF(AND(Table13[[#This Row],[Direction]]="R",(G206+Table13[[#This Row],[Steps]])&gt;100),1,0)</f>
        <v>0</v>
      </c>
      <c r="J207">
        <f>IF(Table13[[#This Row],[POS]]=0,1,0)</f>
        <v>0</v>
      </c>
      <c r="K207">
        <f>SUM(Table13[[#This Row],[prefix]],Table13[[#This Row],[Past zero L]],Table13[[#This Row],[Past Zero R]],Table13[[#This Row],[Is Zero]])</f>
        <v>0</v>
      </c>
    </row>
    <row r="208" spans="1:11" ht="16" x14ac:dyDescent="0.2">
      <c r="A208" s="1" t="s">
        <v>114</v>
      </c>
      <c r="B208" t="str">
        <f>LEFT(Table13[[#This Row],[Input]],1)</f>
        <v>R</v>
      </c>
      <c r="C208">
        <f>_xlfn.LET(_xlpm.steps,SUBSTITUTE(Table13[[#This Row],[Input]],Table13[[#This Row],[Direction]],""),VALUE(IF(LEN(_xlpm.steps)&gt;2,RIGHT(_xlpm.steps,2),_xlpm.steps)))</f>
        <v>70</v>
      </c>
      <c r="D208">
        <f>_xlfn.LET(_xlpm.steps,SUBSTITUTE(Table13[[#This Row],[Input]],Table13[[#This Row],[Direction]],""),VALUE(IF(LEN(_xlpm.steps)&gt;2,LEFT(_xlpm.steps,LEN(_xlpm.steps)-2),0)))</f>
        <v>0</v>
      </c>
      <c r="E208">
        <f>_xlfn.LET(_xlpm.dir,Table13[[#This Row],[Direction]],
IF(_xlpm.dir="L",
    IF(G207-Table13[[#This Row],[Steps]]&lt;0,100+(G207-Table13[[#This Row],[Steps]]),G207-Table13[[#This Row],[Steps]]),
))</f>
        <v>0</v>
      </c>
      <c r="F208">
        <f>_xlfn.LET(_xlpm.dir,Table13[[#This Row],[Direction]],
IF(_xlpm.dir="R",
    IF(G207+Table13[[#This Row],[Steps]]&gt;99,(G207+Table13[[#This Row],[Steps]])-100,G207+Table13[[#This Row],[Steps]]),
))</f>
        <v>76</v>
      </c>
      <c r="G208">
        <f>IF(Table13[[#This Row],[New Pos L]]&lt;&gt;0,Table13[[#This Row],[New Pos L]],Table13[[#This Row],[New Pos R]])</f>
        <v>76</v>
      </c>
      <c r="H208">
        <f>IF(AND(Table13[[#This Row],[Direction]]="L",Table13[[#This Row],[Steps]]&gt;G207,G207&lt;&gt;0),1,0)</f>
        <v>0</v>
      </c>
      <c r="I208">
        <f>IF(AND(Table13[[#This Row],[Direction]]="R",(G207+Table13[[#This Row],[Steps]])&gt;100),1,0)</f>
        <v>0</v>
      </c>
      <c r="J208">
        <f>IF(Table13[[#This Row],[POS]]=0,1,0)</f>
        <v>0</v>
      </c>
      <c r="K208">
        <f>SUM(Table13[[#This Row],[prefix]],Table13[[#This Row],[Past zero L]],Table13[[#This Row],[Past Zero R]],Table13[[#This Row],[Is Zero]])</f>
        <v>0</v>
      </c>
    </row>
    <row r="209" spans="1:11" ht="16" x14ac:dyDescent="0.2">
      <c r="A209" s="1" t="s">
        <v>34</v>
      </c>
      <c r="B209" t="str">
        <f>LEFT(Table13[[#This Row],[Input]],1)</f>
        <v>L</v>
      </c>
      <c r="C209">
        <f>_xlfn.LET(_xlpm.steps,SUBSTITUTE(Table13[[#This Row],[Input]],Table13[[#This Row],[Direction]],""),VALUE(IF(LEN(_xlpm.steps)&gt;2,RIGHT(_xlpm.steps,2),_xlpm.steps)))</f>
        <v>15</v>
      </c>
      <c r="D209">
        <f>_xlfn.LET(_xlpm.steps,SUBSTITUTE(Table13[[#This Row],[Input]],Table13[[#This Row],[Direction]],""),VALUE(IF(LEN(_xlpm.steps)&gt;2,LEFT(_xlpm.steps,LEN(_xlpm.steps)-2),0)))</f>
        <v>0</v>
      </c>
      <c r="E209">
        <f>_xlfn.LET(_xlpm.dir,Table13[[#This Row],[Direction]],
IF(_xlpm.dir="L",
    IF(G208-Table13[[#This Row],[Steps]]&lt;0,100+(G208-Table13[[#This Row],[Steps]]),G208-Table13[[#This Row],[Steps]]),
))</f>
        <v>61</v>
      </c>
      <c r="F209">
        <f>_xlfn.LET(_xlpm.dir,Table13[[#This Row],[Direction]],
IF(_xlpm.dir="R",
    IF(G208+Table13[[#This Row],[Steps]]&gt;99,(G208+Table13[[#This Row],[Steps]])-100,G208+Table13[[#This Row],[Steps]]),
))</f>
        <v>0</v>
      </c>
      <c r="G209">
        <f>IF(Table13[[#This Row],[New Pos L]]&lt;&gt;0,Table13[[#This Row],[New Pos L]],Table13[[#This Row],[New Pos R]])</f>
        <v>61</v>
      </c>
      <c r="H209">
        <f>IF(AND(Table13[[#This Row],[Direction]]="L",Table13[[#This Row],[Steps]]&gt;G208,G208&lt;&gt;0),1,0)</f>
        <v>0</v>
      </c>
      <c r="I209">
        <f>IF(AND(Table13[[#This Row],[Direction]]="R",(G208+Table13[[#This Row],[Steps]])&gt;100),1,0)</f>
        <v>0</v>
      </c>
      <c r="J209">
        <f>IF(Table13[[#This Row],[POS]]=0,1,0)</f>
        <v>0</v>
      </c>
      <c r="K209">
        <f>SUM(Table13[[#This Row],[prefix]],Table13[[#This Row],[Past zero L]],Table13[[#This Row],[Past Zero R]],Table13[[#This Row],[Is Zero]])</f>
        <v>0</v>
      </c>
    </row>
    <row r="210" spans="1:11" ht="16" x14ac:dyDescent="0.2">
      <c r="A210" s="1" t="s">
        <v>140</v>
      </c>
      <c r="B210" t="str">
        <f>LEFT(Table13[[#This Row],[Input]],1)</f>
        <v>L</v>
      </c>
      <c r="C210">
        <f>_xlfn.LET(_xlpm.steps,SUBSTITUTE(Table13[[#This Row],[Input]],Table13[[#This Row],[Direction]],""),VALUE(IF(LEN(_xlpm.steps)&gt;2,RIGHT(_xlpm.steps,2),_xlpm.steps)))</f>
        <v>61</v>
      </c>
      <c r="D210">
        <f>_xlfn.LET(_xlpm.steps,SUBSTITUTE(Table13[[#This Row],[Input]],Table13[[#This Row],[Direction]],""),VALUE(IF(LEN(_xlpm.steps)&gt;2,LEFT(_xlpm.steps,LEN(_xlpm.steps)-2),0)))</f>
        <v>0</v>
      </c>
      <c r="E210">
        <f>_xlfn.LET(_xlpm.dir,Table13[[#This Row],[Direction]],
IF(_xlpm.dir="L",
    IF(G209-Table13[[#This Row],[Steps]]&lt;0,100+(G209-Table13[[#This Row],[Steps]]),G209-Table13[[#This Row],[Steps]]),
))</f>
        <v>0</v>
      </c>
      <c r="F210">
        <f>_xlfn.LET(_xlpm.dir,Table13[[#This Row],[Direction]],
IF(_xlpm.dir="R",
    IF(G209+Table13[[#This Row],[Steps]]&gt;99,(G209+Table13[[#This Row],[Steps]])-100,G209+Table13[[#This Row],[Steps]]),
))</f>
        <v>0</v>
      </c>
      <c r="G210">
        <f>IF(Table13[[#This Row],[New Pos L]]&lt;&gt;0,Table13[[#This Row],[New Pos L]],Table13[[#This Row],[New Pos R]])</f>
        <v>0</v>
      </c>
      <c r="H210">
        <f>IF(AND(Table13[[#This Row],[Direction]]="L",Table13[[#This Row],[Steps]]&gt;G209,G209&lt;&gt;0),1,0)</f>
        <v>0</v>
      </c>
      <c r="I210">
        <f>IF(AND(Table13[[#This Row],[Direction]]="R",(G209+Table13[[#This Row],[Steps]])&gt;100),1,0)</f>
        <v>0</v>
      </c>
      <c r="J210">
        <f>IF(Table13[[#This Row],[POS]]=0,1,0)</f>
        <v>1</v>
      </c>
      <c r="K210">
        <f>SUM(Table13[[#This Row],[prefix]],Table13[[#This Row],[Past zero L]],Table13[[#This Row],[Past Zero R]],Table13[[#This Row],[Is Zero]])</f>
        <v>1</v>
      </c>
    </row>
    <row r="211" spans="1:11" ht="16" x14ac:dyDescent="0.2">
      <c r="A211" s="1" t="s">
        <v>141</v>
      </c>
      <c r="B211" t="str">
        <f>LEFT(Table13[[#This Row],[Input]],1)</f>
        <v>L</v>
      </c>
      <c r="C211">
        <f>_xlfn.LET(_xlpm.steps,SUBSTITUTE(Table13[[#This Row],[Input]],Table13[[#This Row],[Direction]],""),VALUE(IF(LEN(_xlpm.steps)&gt;2,RIGHT(_xlpm.steps,2),_xlpm.steps)))</f>
        <v>90</v>
      </c>
      <c r="D211">
        <f>_xlfn.LET(_xlpm.steps,SUBSTITUTE(Table13[[#This Row],[Input]],Table13[[#This Row],[Direction]],""),VALUE(IF(LEN(_xlpm.steps)&gt;2,LEFT(_xlpm.steps,LEN(_xlpm.steps)-2),0)))</f>
        <v>0</v>
      </c>
      <c r="E211">
        <f>_xlfn.LET(_xlpm.dir,Table13[[#This Row],[Direction]],
IF(_xlpm.dir="L",
    IF(G210-Table13[[#This Row],[Steps]]&lt;0,100+(G210-Table13[[#This Row],[Steps]]),G210-Table13[[#This Row],[Steps]]),
))</f>
        <v>10</v>
      </c>
      <c r="F211">
        <f>_xlfn.LET(_xlpm.dir,Table13[[#This Row],[Direction]],
IF(_xlpm.dir="R",
    IF(G210+Table13[[#This Row],[Steps]]&gt;99,(G210+Table13[[#This Row],[Steps]])-100,G210+Table13[[#This Row],[Steps]]),
))</f>
        <v>0</v>
      </c>
      <c r="G211">
        <f>IF(Table13[[#This Row],[New Pos L]]&lt;&gt;0,Table13[[#This Row],[New Pos L]],Table13[[#This Row],[New Pos R]])</f>
        <v>10</v>
      </c>
      <c r="H211">
        <f>IF(AND(Table13[[#This Row],[Direction]]="L",Table13[[#This Row],[Steps]]&gt;G210,G210&lt;&gt;0),1,0)</f>
        <v>0</v>
      </c>
      <c r="I211">
        <f>IF(AND(Table13[[#This Row],[Direction]]="R",(G210+Table13[[#This Row],[Steps]])&gt;100),1,0)</f>
        <v>0</v>
      </c>
      <c r="J211">
        <f>IF(Table13[[#This Row],[POS]]=0,1,0)</f>
        <v>0</v>
      </c>
      <c r="K211">
        <f>SUM(Table13[[#This Row],[prefix]],Table13[[#This Row],[Past zero L]],Table13[[#This Row],[Past Zero R]],Table13[[#This Row],[Is Zero]])</f>
        <v>0</v>
      </c>
    </row>
    <row r="212" spans="1:11" ht="16" x14ac:dyDescent="0.2">
      <c r="A212" s="1" t="s">
        <v>43</v>
      </c>
      <c r="B212" t="str">
        <f>LEFT(Table13[[#This Row],[Input]],1)</f>
        <v>R</v>
      </c>
      <c r="C212">
        <f>_xlfn.LET(_xlpm.steps,SUBSTITUTE(Table13[[#This Row],[Input]],Table13[[#This Row],[Direction]],""),VALUE(IF(LEN(_xlpm.steps)&gt;2,RIGHT(_xlpm.steps,2),_xlpm.steps)))</f>
        <v>90</v>
      </c>
      <c r="D212">
        <f>_xlfn.LET(_xlpm.steps,SUBSTITUTE(Table13[[#This Row],[Input]],Table13[[#This Row],[Direction]],""),VALUE(IF(LEN(_xlpm.steps)&gt;2,LEFT(_xlpm.steps,LEN(_xlpm.steps)-2),0)))</f>
        <v>0</v>
      </c>
      <c r="E212">
        <f>_xlfn.LET(_xlpm.dir,Table13[[#This Row],[Direction]],
IF(_xlpm.dir="L",
    IF(G211-Table13[[#This Row],[Steps]]&lt;0,100+(G211-Table13[[#This Row],[Steps]]),G211-Table13[[#This Row],[Steps]]),
))</f>
        <v>0</v>
      </c>
      <c r="F212">
        <f>_xlfn.LET(_xlpm.dir,Table13[[#This Row],[Direction]],
IF(_xlpm.dir="R",
    IF(G211+Table13[[#This Row],[Steps]]&gt;99,(G211+Table13[[#This Row],[Steps]])-100,G211+Table13[[#This Row],[Steps]]),
))</f>
        <v>0</v>
      </c>
      <c r="G212">
        <f>IF(Table13[[#This Row],[New Pos L]]&lt;&gt;0,Table13[[#This Row],[New Pos L]],Table13[[#This Row],[New Pos R]])</f>
        <v>0</v>
      </c>
      <c r="H212">
        <f>IF(AND(Table13[[#This Row],[Direction]]="L",Table13[[#This Row],[Steps]]&gt;G211,G211&lt;&gt;0),1,0)</f>
        <v>0</v>
      </c>
      <c r="I212">
        <f>IF(AND(Table13[[#This Row],[Direction]]="R",(G211+Table13[[#This Row],[Steps]])&gt;100),1,0)</f>
        <v>0</v>
      </c>
      <c r="J212">
        <f>IF(Table13[[#This Row],[POS]]=0,1,0)</f>
        <v>1</v>
      </c>
      <c r="K212">
        <f>SUM(Table13[[#This Row],[prefix]],Table13[[#This Row],[Past zero L]],Table13[[#This Row],[Past Zero R]],Table13[[#This Row],[Is Zero]])</f>
        <v>1</v>
      </c>
    </row>
    <row r="213" spans="1:11" ht="16" x14ac:dyDescent="0.2">
      <c r="A213" s="1" t="s">
        <v>142</v>
      </c>
      <c r="B213" t="str">
        <f>LEFT(Table13[[#This Row],[Input]],1)</f>
        <v>L</v>
      </c>
      <c r="C213">
        <f>_xlfn.LET(_xlpm.steps,SUBSTITUTE(Table13[[#This Row],[Input]],Table13[[#This Row],[Direction]],""),VALUE(IF(LEN(_xlpm.steps)&gt;2,RIGHT(_xlpm.steps,2),_xlpm.steps)))</f>
        <v>45</v>
      </c>
      <c r="D213">
        <f>_xlfn.LET(_xlpm.steps,SUBSTITUTE(Table13[[#This Row],[Input]],Table13[[#This Row],[Direction]],""),VALUE(IF(LEN(_xlpm.steps)&gt;2,LEFT(_xlpm.steps,LEN(_xlpm.steps)-2),0)))</f>
        <v>7</v>
      </c>
      <c r="E213">
        <f>_xlfn.LET(_xlpm.dir,Table13[[#This Row],[Direction]],
IF(_xlpm.dir="L",
    IF(G212-Table13[[#This Row],[Steps]]&lt;0,100+(G212-Table13[[#This Row],[Steps]]),G212-Table13[[#This Row],[Steps]]),
))</f>
        <v>55</v>
      </c>
      <c r="F213">
        <f>_xlfn.LET(_xlpm.dir,Table13[[#This Row],[Direction]],
IF(_xlpm.dir="R",
    IF(G212+Table13[[#This Row],[Steps]]&gt;99,(G212+Table13[[#This Row],[Steps]])-100,G212+Table13[[#This Row],[Steps]]),
))</f>
        <v>0</v>
      </c>
      <c r="G213">
        <f>IF(Table13[[#This Row],[New Pos L]]&lt;&gt;0,Table13[[#This Row],[New Pos L]],Table13[[#This Row],[New Pos R]])</f>
        <v>55</v>
      </c>
      <c r="H213">
        <f>IF(AND(Table13[[#This Row],[Direction]]="L",Table13[[#This Row],[Steps]]&gt;G212,G212&lt;&gt;0),1,0)</f>
        <v>0</v>
      </c>
      <c r="I213">
        <f>IF(AND(Table13[[#This Row],[Direction]]="R",(G212+Table13[[#This Row],[Steps]])&gt;100),1,0)</f>
        <v>0</v>
      </c>
      <c r="J213">
        <f>IF(Table13[[#This Row],[POS]]=0,1,0)</f>
        <v>0</v>
      </c>
      <c r="K213">
        <f>SUM(Table13[[#This Row],[prefix]],Table13[[#This Row],[Past zero L]],Table13[[#This Row],[Past Zero R]],Table13[[#This Row],[Is Zero]])</f>
        <v>7</v>
      </c>
    </row>
    <row r="214" spans="1:11" ht="16" x14ac:dyDescent="0.2">
      <c r="A214" s="1" t="s">
        <v>143</v>
      </c>
      <c r="B214" t="str">
        <f>LEFT(Table13[[#This Row],[Input]],1)</f>
        <v>R</v>
      </c>
      <c r="C214">
        <f>_xlfn.LET(_xlpm.steps,SUBSTITUTE(Table13[[#This Row],[Input]],Table13[[#This Row],[Direction]],""),VALUE(IF(LEN(_xlpm.steps)&gt;2,RIGHT(_xlpm.steps,2),_xlpm.steps)))</f>
        <v>98</v>
      </c>
      <c r="D214">
        <f>_xlfn.LET(_xlpm.steps,SUBSTITUTE(Table13[[#This Row],[Input]],Table13[[#This Row],[Direction]],""),VALUE(IF(LEN(_xlpm.steps)&gt;2,LEFT(_xlpm.steps,LEN(_xlpm.steps)-2),0)))</f>
        <v>3</v>
      </c>
      <c r="E214">
        <f>_xlfn.LET(_xlpm.dir,Table13[[#This Row],[Direction]],
IF(_xlpm.dir="L",
    IF(G213-Table13[[#This Row],[Steps]]&lt;0,100+(G213-Table13[[#This Row],[Steps]]),G213-Table13[[#This Row],[Steps]]),
))</f>
        <v>0</v>
      </c>
      <c r="F214">
        <f>_xlfn.LET(_xlpm.dir,Table13[[#This Row],[Direction]],
IF(_xlpm.dir="R",
    IF(G213+Table13[[#This Row],[Steps]]&gt;99,(G213+Table13[[#This Row],[Steps]])-100,G213+Table13[[#This Row],[Steps]]),
))</f>
        <v>53</v>
      </c>
      <c r="G214">
        <f>IF(Table13[[#This Row],[New Pos L]]&lt;&gt;0,Table13[[#This Row],[New Pos L]],Table13[[#This Row],[New Pos R]])</f>
        <v>53</v>
      </c>
      <c r="H214">
        <f>IF(AND(Table13[[#This Row],[Direction]]="L",Table13[[#This Row],[Steps]]&gt;G213,G213&lt;&gt;0),1,0)</f>
        <v>0</v>
      </c>
      <c r="I214">
        <f>IF(AND(Table13[[#This Row],[Direction]]="R",(G213+Table13[[#This Row],[Steps]])&gt;100),1,0)</f>
        <v>1</v>
      </c>
      <c r="J214">
        <f>IF(Table13[[#This Row],[POS]]=0,1,0)</f>
        <v>0</v>
      </c>
      <c r="K214">
        <f>SUM(Table13[[#This Row],[prefix]],Table13[[#This Row],[Past zero L]],Table13[[#This Row],[Past Zero R]],Table13[[#This Row],[Is Zero]])</f>
        <v>4</v>
      </c>
    </row>
    <row r="215" spans="1:11" ht="16" x14ac:dyDescent="0.2">
      <c r="A215" s="1" t="s">
        <v>64</v>
      </c>
      <c r="B215" t="str">
        <f>LEFT(Table13[[#This Row],[Input]],1)</f>
        <v>R</v>
      </c>
      <c r="C215">
        <f>_xlfn.LET(_xlpm.steps,SUBSTITUTE(Table13[[#This Row],[Input]],Table13[[#This Row],[Direction]],""),VALUE(IF(LEN(_xlpm.steps)&gt;2,RIGHT(_xlpm.steps,2),_xlpm.steps)))</f>
        <v>10</v>
      </c>
      <c r="D215">
        <f>_xlfn.LET(_xlpm.steps,SUBSTITUTE(Table13[[#This Row],[Input]],Table13[[#This Row],[Direction]],""),VALUE(IF(LEN(_xlpm.steps)&gt;2,LEFT(_xlpm.steps,LEN(_xlpm.steps)-2),0)))</f>
        <v>0</v>
      </c>
      <c r="E215">
        <f>_xlfn.LET(_xlpm.dir,Table13[[#This Row],[Direction]],
IF(_xlpm.dir="L",
    IF(G214-Table13[[#This Row],[Steps]]&lt;0,100+(G214-Table13[[#This Row],[Steps]]),G214-Table13[[#This Row],[Steps]]),
))</f>
        <v>0</v>
      </c>
      <c r="F215">
        <f>_xlfn.LET(_xlpm.dir,Table13[[#This Row],[Direction]],
IF(_xlpm.dir="R",
    IF(G214+Table13[[#This Row],[Steps]]&gt;99,(G214+Table13[[#This Row],[Steps]])-100,G214+Table13[[#This Row],[Steps]]),
))</f>
        <v>63</v>
      </c>
      <c r="G215">
        <f>IF(Table13[[#This Row],[New Pos L]]&lt;&gt;0,Table13[[#This Row],[New Pos L]],Table13[[#This Row],[New Pos R]])</f>
        <v>63</v>
      </c>
      <c r="H215">
        <f>IF(AND(Table13[[#This Row],[Direction]]="L",Table13[[#This Row],[Steps]]&gt;G214,G214&lt;&gt;0),1,0)</f>
        <v>0</v>
      </c>
      <c r="I215">
        <f>IF(AND(Table13[[#This Row],[Direction]]="R",(G214+Table13[[#This Row],[Steps]])&gt;100),1,0)</f>
        <v>0</v>
      </c>
      <c r="J215">
        <f>IF(Table13[[#This Row],[POS]]=0,1,0)</f>
        <v>0</v>
      </c>
      <c r="K215">
        <f>SUM(Table13[[#This Row],[prefix]],Table13[[#This Row],[Past zero L]],Table13[[#This Row],[Past Zero R]],Table13[[#This Row],[Is Zero]])</f>
        <v>0</v>
      </c>
    </row>
    <row r="216" spans="1:11" ht="16" x14ac:dyDescent="0.2">
      <c r="A216" s="1" t="s">
        <v>76</v>
      </c>
      <c r="B216" t="str">
        <f>LEFT(Table13[[#This Row],[Input]],1)</f>
        <v>R</v>
      </c>
      <c r="C216">
        <f>_xlfn.LET(_xlpm.steps,SUBSTITUTE(Table13[[#This Row],[Input]],Table13[[#This Row],[Direction]],""),VALUE(IF(LEN(_xlpm.steps)&gt;2,RIGHT(_xlpm.steps,2),_xlpm.steps)))</f>
        <v>37</v>
      </c>
      <c r="D216">
        <f>_xlfn.LET(_xlpm.steps,SUBSTITUTE(Table13[[#This Row],[Input]],Table13[[#This Row],[Direction]],""),VALUE(IF(LEN(_xlpm.steps)&gt;2,LEFT(_xlpm.steps,LEN(_xlpm.steps)-2),0)))</f>
        <v>0</v>
      </c>
      <c r="E216">
        <f>_xlfn.LET(_xlpm.dir,Table13[[#This Row],[Direction]],
IF(_xlpm.dir="L",
    IF(G215-Table13[[#This Row],[Steps]]&lt;0,100+(G215-Table13[[#This Row],[Steps]]),G215-Table13[[#This Row],[Steps]]),
))</f>
        <v>0</v>
      </c>
      <c r="F216">
        <f>_xlfn.LET(_xlpm.dir,Table13[[#This Row],[Direction]],
IF(_xlpm.dir="R",
    IF(G215+Table13[[#This Row],[Steps]]&gt;99,(G215+Table13[[#This Row],[Steps]])-100,G215+Table13[[#This Row],[Steps]]),
))</f>
        <v>0</v>
      </c>
      <c r="G216">
        <f>IF(Table13[[#This Row],[New Pos L]]&lt;&gt;0,Table13[[#This Row],[New Pos L]],Table13[[#This Row],[New Pos R]])</f>
        <v>0</v>
      </c>
      <c r="H216">
        <f>IF(AND(Table13[[#This Row],[Direction]]="L",Table13[[#This Row],[Steps]]&gt;G215,G215&lt;&gt;0),1,0)</f>
        <v>0</v>
      </c>
      <c r="I216">
        <f>IF(AND(Table13[[#This Row],[Direction]]="R",(G215+Table13[[#This Row],[Steps]])&gt;100),1,0)</f>
        <v>0</v>
      </c>
      <c r="J216">
        <f>IF(Table13[[#This Row],[POS]]=0,1,0)</f>
        <v>1</v>
      </c>
      <c r="K216">
        <f>SUM(Table13[[#This Row],[prefix]],Table13[[#This Row],[Past zero L]],Table13[[#This Row],[Past Zero R]],Table13[[#This Row],[Is Zero]])</f>
        <v>1</v>
      </c>
    </row>
    <row r="217" spans="1:11" ht="16" x14ac:dyDescent="0.2">
      <c r="A217" s="1" t="s">
        <v>73</v>
      </c>
      <c r="B217" t="str">
        <f>LEFT(Table13[[#This Row],[Input]],1)</f>
        <v>R</v>
      </c>
      <c r="C217">
        <f>_xlfn.LET(_xlpm.steps,SUBSTITUTE(Table13[[#This Row],[Input]],Table13[[#This Row],[Direction]],""),VALUE(IF(LEN(_xlpm.steps)&gt;2,RIGHT(_xlpm.steps,2),_xlpm.steps)))</f>
        <v>21</v>
      </c>
      <c r="D217">
        <f>_xlfn.LET(_xlpm.steps,SUBSTITUTE(Table13[[#This Row],[Input]],Table13[[#This Row],[Direction]],""),VALUE(IF(LEN(_xlpm.steps)&gt;2,LEFT(_xlpm.steps,LEN(_xlpm.steps)-2),0)))</f>
        <v>0</v>
      </c>
      <c r="E217">
        <f>_xlfn.LET(_xlpm.dir,Table13[[#This Row],[Direction]],
IF(_xlpm.dir="L",
    IF(G216-Table13[[#This Row],[Steps]]&lt;0,100+(G216-Table13[[#This Row],[Steps]]),G216-Table13[[#This Row],[Steps]]),
))</f>
        <v>0</v>
      </c>
      <c r="F217">
        <f>_xlfn.LET(_xlpm.dir,Table13[[#This Row],[Direction]],
IF(_xlpm.dir="R",
    IF(G216+Table13[[#This Row],[Steps]]&gt;99,(G216+Table13[[#This Row],[Steps]])-100,G216+Table13[[#This Row],[Steps]]),
))</f>
        <v>21</v>
      </c>
      <c r="G217">
        <f>IF(Table13[[#This Row],[New Pos L]]&lt;&gt;0,Table13[[#This Row],[New Pos L]],Table13[[#This Row],[New Pos R]])</f>
        <v>21</v>
      </c>
      <c r="H217">
        <f>IF(AND(Table13[[#This Row],[Direction]]="L",Table13[[#This Row],[Steps]]&gt;G216,G216&lt;&gt;0),1,0)</f>
        <v>0</v>
      </c>
      <c r="I217">
        <f>IF(AND(Table13[[#This Row],[Direction]]="R",(G216+Table13[[#This Row],[Steps]])&gt;100),1,0)</f>
        <v>0</v>
      </c>
      <c r="J217">
        <f>IF(Table13[[#This Row],[POS]]=0,1,0)</f>
        <v>0</v>
      </c>
      <c r="K217">
        <f>SUM(Table13[[#This Row],[prefix]],Table13[[#This Row],[Past zero L]],Table13[[#This Row],[Past Zero R]],Table13[[#This Row],[Is Zero]])</f>
        <v>0</v>
      </c>
    </row>
    <row r="218" spans="1:11" ht="16" x14ac:dyDescent="0.2">
      <c r="A218" s="1" t="s">
        <v>74</v>
      </c>
      <c r="B218" t="str">
        <f>LEFT(Table13[[#This Row],[Input]],1)</f>
        <v>R</v>
      </c>
      <c r="C218">
        <f>_xlfn.LET(_xlpm.steps,SUBSTITUTE(Table13[[#This Row],[Input]],Table13[[#This Row],[Direction]],""),VALUE(IF(LEN(_xlpm.steps)&gt;2,RIGHT(_xlpm.steps,2),_xlpm.steps)))</f>
        <v>93</v>
      </c>
      <c r="D218">
        <f>_xlfn.LET(_xlpm.steps,SUBSTITUTE(Table13[[#This Row],[Input]],Table13[[#This Row],[Direction]],""),VALUE(IF(LEN(_xlpm.steps)&gt;2,LEFT(_xlpm.steps,LEN(_xlpm.steps)-2),0)))</f>
        <v>0</v>
      </c>
      <c r="E218">
        <f>_xlfn.LET(_xlpm.dir,Table13[[#This Row],[Direction]],
IF(_xlpm.dir="L",
    IF(G217-Table13[[#This Row],[Steps]]&lt;0,100+(G217-Table13[[#This Row],[Steps]]),G217-Table13[[#This Row],[Steps]]),
))</f>
        <v>0</v>
      </c>
      <c r="F218">
        <f>_xlfn.LET(_xlpm.dir,Table13[[#This Row],[Direction]],
IF(_xlpm.dir="R",
    IF(G217+Table13[[#This Row],[Steps]]&gt;99,(G217+Table13[[#This Row],[Steps]])-100,G217+Table13[[#This Row],[Steps]]),
))</f>
        <v>14</v>
      </c>
      <c r="G218">
        <f>IF(Table13[[#This Row],[New Pos L]]&lt;&gt;0,Table13[[#This Row],[New Pos L]],Table13[[#This Row],[New Pos R]])</f>
        <v>14</v>
      </c>
      <c r="H218">
        <f>IF(AND(Table13[[#This Row],[Direction]]="L",Table13[[#This Row],[Steps]]&gt;G217,G217&lt;&gt;0),1,0)</f>
        <v>0</v>
      </c>
      <c r="I218">
        <f>IF(AND(Table13[[#This Row],[Direction]]="R",(G217+Table13[[#This Row],[Steps]])&gt;100),1,0)</f>
        <v>1</v>
      </c>
      <c r="J218">
        <f>IF(Table13[[#This Row],[POS]]=0,1,0)</f>
        <v>0</v>
      </c>
      <c r="K218">
        <f>SUM(Table13[[#This Row],[prefix]],Table13[[#This Row],[Past zero L]],Table13[[#This Row],[Past Zero R]],Table13[[#This Row],[Is Zero]])</f>
        <v>1</v>
      </c>
    </row>
    <row r="219" spans="1:11" ht="16" x14ac:dyDescent="0.2">
      <c r="A219" s="1" t="s">
        <v>27</v>
      </c>
      <c r="B219" t="str">
        <f>LEFT(Table13[[#This Row],[Input]],1)</f>
        <v>L</v>
      </c>
      <c r="C219">
        <f>_xlfn.LET(_xlpm.steps,SUBSTITUTE(Table13[[#This Row],[Input]],Table13[[#This Row],[Direction]],""),VALUE(IF(LEN(_xlpm.steps)&gt;2,RIGHT(_xlpm.steps,2),_xlpm.steps)))</f>
        <v>14</v>
      </c>
      <c r="D219">
        <f>_xlfn.LET(_xlpm.steps,SUBSTITUTE(Table13[[#This Row],[Input]],Table13[[#This Row],[Direction]],""),VALUE(IF(LEN(_xlpm.steps)&gt;2,LEFT(_xlpm.steps,LEN(_xlpm.steps)-2),0)))</f>
        <v>0</v>
      </c>
      <c r="E219">
        <f>_xlfn.LET(_xlpm.dir,Table13[[#This Row],[Direction]],
IF(_xlpm.dir="L",
    IF(G218-Table13[[#This Row],[Steps]]&lt;0,100+(G218-Table13[[#This Row],[Steps]]),G218-Table13[[#This Row],[Steps]]),
))</f>
        <v>0</v>
      </c>
      <c r="F219">
        <f>_xlfn.LET(_xlpm.dir,Table13[[#This Row],[Direction]],
IF(_xlpm.dir="R",
    IF(G218+Table13[[#This Row],[Steps]]&gt;99,(G218+Table13[[#This Row],[Steps]])-100,G218+Table13[[#This Row],[Steps]]),
))</f>
        <v>0</v>
      </c>
      <c r="G219">
        <f>IF(Table13[[#This Row],[New Pos L]]&lt;&gt;0,Table13[[#This Row],[New Pos L]],Table13[[#This Row],[New Pos R]])</f>
        <v>0</v>
      </c>
      <c r="H219">
        <f>IF(AND(Table13[[#This Row],[Direction]]="L",Table13[[#This Row],[Steps]]&gt;G218,G218&lt;&gt;0),1,0)</f>
        <v>0</v>
      </c>
      <c r="I219">
        <f>IF(AND(Table13[[#This Row],[Direction]]="R",(G218+Table13[[#This Row],[Steps]])&gt;100),1,0)</f>
        <v>0</v>
      </c>
      <c r="J219">
        <f>IF(Table13[[#This Row],[POS]]=0,1,0)</f>
        <v>1</v>
      </c>
      <c r="K219">
        <f>SUM(Table13[[#This Row],[prefix]],Table13[[#This Row],[Past zero L]],Table13[[#This Row],[Past Zero R]],Table13[[#This Row],[Is Zero]])</f>
        <v>1</v>
      </c>
    </row>
    <row r="220" spans="1:11" ht="16" x14ac:dyDescent="0.2">
      <c r="A220" s="1" t="s">
        <v>16</v>
      </c>
      <c r="B220" t="str">
        <f>LEFT(Table13[[#This Row],[Input]],1)</f>
        <v>L</v>
      </c>
      <c r="C220">
        <f>_xlfn.LET(_xlpm.steps,SUBSTITUTE(Table13[[#This Row],[Input]],Table13[[#This Row],[Direction]],""),VALUE(IF(LEN(_xlpm.steps)&gt;2,RIGHT(_xlpm.steps,2),_xlpm.steps)))</f>
        <v>10</v>
      </c>
      <c r="D220">
        <f>_xlfn.LET(_xlpm.steps,SUBSTITUTE(Table13[[#This Row],[Input]],Table13[[#This Row],[Direction]],""),VALUE(IF(LEN(_xlpm.steps)&gt;2,LEFT(_xlpm.steps,LEN(_xlpm.steps)-2),0)))</f>
        <v>0</v>
      </c>
      <c r="E220">
        <f>_xlfn.LET(_xlpm.dir,Table13[[#This Row],[Direction]],
IF(_xlpm.dir="L",
    IF(G219-Table13[[#This Row],[Steps]]&lt;0,100+(G219-Table13[[#This Row],[Steps]]),G219-Table13[[#This Row],[Steps]]),
))</f>
        <v>90</v>
      </c>
      <c r="F220">
        <f>_xlfn.LET(_xlpm.dir,Table13[[#This Row],[Direction]],
IF(_xlpm.dir="R",
    IF(G219+Table13[[#This Row],[Steps]]&gt;99,(G219+Table13[[#This Row],[Steps]])-100,G219+Table13[[#This Row],[Steps]]),
))</f>
        <v>0</v>
      </c>
      <c r="G220">
        <f>IF(Table13[[#This Row],[New Pos L]]&lt;&gt;0,Table13[[#This Row],[New Pos L]],Table13[[#This Row],[New Pos R]])</f>
        <v>90</v>
      </c>
      <c r="H220">
        <f>IF(AND(Table13[[#This Row],[Direction]]="L",Table13[[#This Row],[Steps]]&gt;G219,G219&lt;&gt;0),1,0)</f>
        <v>0</v>
      </c>
      <c r="I220">
        <f>IF(AND(Table13[[#This Row],[Direction]]="R",(G219+Table13[[#This Row],[Steps]])&gt;100),1,0)</f>
        <v>0</v>
      </c>
      <c r="J220">
        <f>IF(Table13[[#This Row],[POS]]=0,1,0)</f>
        <v>0</v>
      </c>
      <c r="K220">
        <f>SUM(Table13[[#This Row],[prefix]],Table13[[#This Row],[Past zero L]],Table13[[#This Row],[Past Zero R]],Table13[[#This Row],[Is Zero]])</f>
        <v>0</v>
      </c>
    </row>
    <row r="221" spans="1:11" ht="16" x14ac:dyDescent="0.2">
      <c r="A221" s="1" t="s">
        <v>64</v>
      </c>
      <c r="B221" t="str">
        <f>LEFT(Table13[[#This Row],[Input]],1)</f>
        <v>R</v>
      </c>
      <c r="C221">
        <f>_xlfn.LET(_xlpm.steps,SUBSTITUTE(Table13[[#This Row],[Input]],Table13[[#This Row],[Direction]],""),VALUE(IF(LEN(_xlpm.steps)&gt;2,RIGHT(_xlpm.steps,2),_xlpm.steps)))</f>
        <v>10</v>
      </c>
      <c r="D221">
        <f>_xlfn.LET(_xlpm.steps,SUBSTITUTE(Table13[[#This Row],[Input]],Table13[[#This Row],[Direction]],""),VALUE(IF(LEN(_xlpm.steps)&gt;2,LEFT(_xlpm.steps,LEN(_xlpm.steps)-2),0)))</f>
        <v>0</v>
      </c>
      <c r="E221">
        <f>_xlfn.LET(_xlpm.dir,Table13[[#This Row],[Direction]],
IF(_xlpm.dir="L",
    IF(G220-Table13[[#This Row],[Steps]]&lt;0,100+(G220-Table13[[#This Row],[Steps]]),G220-Table13[[#This Row],[Steps]]),
))</f>
        <v>0</v>
      </c>
      <c r="F221">
        <f>_xlfn.LET(_xlpm.dir,Table13[[#This Row],[Direction]],
IF(_xlpm.dir="R",
    IF(G220+Table13[[#This Row],[Steps]]&gt;99,(G220+Table13[[#This Row],[Steps]])-100,G220+Table13[[#This Row],[Steps]]),
))</f>
        <v>0</v>
      </c>
      <c r="G221">
        <f>IF(Table13[[#This Row],[New Pos L]]&lt;&gt;0,Table13[[#This Row],[New Pos L]],Table13[[#This Row],[New Pos R]])</f>
        <v>0</v>
      </c>
      <c r="H221">
        <f>IF(AND(Table13[[#This Row],[Direction]]="L",Table13[[#This Row],[Steps]]&gt;G220,G220&lt;&gt;0),1,0)</f>
        <v>0</v>
      </c>
      <c r="I221">
        <f>IF(AND(Table13[[#This Row],[Direction]]="R",(G220+Table13[[#This Row],[Steps]])&gt;100),1,0)</f>
        <v>0</v>
      </c>
      <c r="J221">
        <f>IF(Table13[[#This Row],[POS]]=0,1,0)</f>
        <v>1</v>
      </c>
      <c r="K221">
        <f>SUM(Table13[[#This Row],[prefix]],Table13[[#This Row],[Past zero L]],Table13[[#This Row],[Past Zero R]],Table13[[#This Row],[Is Zero]])</f>
        <v>1</v>
      </c>
    </row>
    <row r="222" spans="1:11" ht="16" x14ac:dyDescent="0.2">
      <c r="A222" s="1" t="s">
        <v>144</v>
      </c>
      <c r="B222" t="str">
        <f>LEFT(Table13[[#This Row],[Input]],1)</f>
        <v>R</v>
      </c>
      <c r="C222">
        <f>_xlfn.LET(_xlpm.steps,SUBSTITUTE(Table13[[#This Row],[Input]],Table13[[#This Row],[Direction]],""),VALUE(IF(LEN(_xlpm.steps)&gt;2,RIGHT(_xlpm.steps,2),_xlpm.steps)))</f>
        <v>79</v>
      </c>
      <c r="D222">
        <f>_xlfn.LET(_xlpm.steps,SUBSTITUTE(Table13[[#This Row],[Input]],Table13[[#This Row],[Direction]],""),VALUE(IF(LEN(_xlpm.steps)&gt;2,LEFT(_xlpm.steps,LEN(_xlpm.steps)-2),0)))</f>
        <v>5</v>
      </c>
      <c r="E222">
        <f>_xlfn.LET(_xlpm.dir,Table13[[#This Row],[Direction]],
IF(_xlpm.dir="L",
    IF(G221-Table13[[#This Row],[Steps]]&lt;0,100+(G221-Table13[[#This Row],[Steps]]),G221-Table13[[#This Row],[Steps]]),
))</f>
        <v>0</v>
      </c>
      <c r="F222">
        <f>_xlfn.LET(_xlpm.dir,Table13[[#This Row],[Direction]],
IF(_xlpm.dir="R",
    IF(G221+Table13[[#This Row],[Steps]]&gt;99,(G221+Table13[[#This Row],[Steps]])-100,G221+Table13[[#This Row],[Steps]]),
))</f>
        <v>79</v>
      </c>
      <c r="G222">
        <f>IF(Table13[[#This Row],[New Pos L]]&lt;&gt;0,Table13[[#This Row],[New Pos L]],Table13[[#This Row],[New Pos R]])</f>
        <v>79</v>
      </c>
      <c r="H222">
        <f>IF(AND(Table13[[#This Row],[Direction]]="L",Table13[[#This Row],[Steps]]&gt;G221,G221&lt;&gt;0),1,0)</f>
        <v>0</v>
      </c>
      <c r="I222">
        <f>IF(AND(Table13[[#This Row],[Direction]]="R",(G221+Table13[[#This Row],[Steps]])&gt;100),1,0)</f>
        <v>0</v>
      </c>
      <c r="J222">
        <f>IF(Table13[[#This Row],[POS]]=0,1,0)</f>
        <v>0</v>
      </c>
      <c r="K222">
        <f>SUM(Table13[[#This Row],[prefix]],Table13[[#This Row],[Past zero L]],Table13[[#This Row],[Past Zero R]],Table13[[#This Row],[Is Zero]])</f>
        <v>5</v>
      </c>
    </row>
    <row r="223" spans="1:11" ht="16" x14ac:dyDescent="0.2">
      <c r="A223" s="1" t="s">
        <v>73</v>
      </c>
      <c r="B223" t="str">
        <f>LEFT(Table13[[#This Row],[Input]],1)</f>
        <v>R</v>
      </c>
      <c r="C223">
        <f>_xlfn.LET(_xlpm.steps,SUBSTITUTE(Table13[[#This Row],[Input]],Table13[[#This Row],[Direction]],""),VALUE(IF(LEN(_xlpm.steps)&gt;2,RIGHT(_xlpm.steps,2),_xlpm.steps)))</f>
        <v>21</v>
      </c>
      <c r="D223">
        <f>_xlfn.LET(_xlpm.steps,SUBSTITUTE(Table13[[#This Row],[Input]],Table13[[#This Row],[Direction]],""),VALUE(IF(LEN(_xlpm.steps)&gt;2,LEFT(_xlpm.steps,LEN(_xlpm.steps)-2),0)))</f>
        <v>0</v>
      </c>
      <c r="E223">
        <f>_xlfn.LET(_xlpm.dir,Table13[[#This Row],[Direction]],
IF(_xlpm.dir="L",
    IF(G222-Table13[[#This Row],[Steps]]&lt;0,100+(G222-Table13[[#This Row],[Steps]]),G222-Table13[[#This Row],[Steps]]),
))</f>
        <v>0</v>
      </c>
      <c r="F223">
        <f>_xlfn.LET(_xlpm.dir,Table13[[#This Row],[Direction]],
IF(_xlpm.dir="R",
    IF(G222+Table13[[#This Row],[Steps]]&gt;99,(G222+Table13[[#This Row],[Steps]])-100,G222+Table13[[#This Row],[Steps]]),
))</f>
        <v>0</v>
      </c>
      <c r="G223">
        <f>IF(Table13[[#This Row],[New Pos L]]&lt;&gt;0,Table13[[#This Row],[New Pos L]],Table13[[#This Row],[New Pos R]])</f>
        <v>0</v>
      </c>
      <c r="H223">
        <f>IF(AND(Table13[[#This Row],[Direction]]="L",Table13[[#This Row],[Steps]]&gt;G222,G222&lt;&gt;0),1,0)</f>
        <v>0</v>
      </c>
      <c r="I223">
        <f>IF(AND(Table13[[#This Row],[Direction]]="R",(G222+Table13[[#This Row],[Steps]])&gt;100),1,0)</f>
        <v>0</v>
      </c>
      <c r="J223">
        <f>IF(Table13[[#This Row],[POS]]=0,1,0)</f>
        <v>1</v>
      </c>
      <c r="K223">
        <f>SUM(Table13[[#This Row],[prefix]],Table13[[#This Row],[Past zero L]],Table13[[#This Row],[Past Zero R]],Table13[[#This Row],[Is Zero]])</f>
        <v>1</v>
      </c>
    </row>
    <row r="224" spans="1:11" ht="16" x14ac:dyDescent="0.2">
      <c r="A224" s="1" t="s">
        <v>119</v>
      </c>
      <c r="B224" t="str">
        <f>LEFT(Table13[[#This Row],[Input]],1)</f>
        <v>L</v>
      </c>
      <c r="C224">
        <f>_xlfn.LET(_xlpm.steps,SUBSTITUTE(Table13[[#This Row],[Input]],Table13[[#This Row],[Direction]],""),VALUE(IF(LEN(_xlpm.steps)&gt;2,RIGHT(_xlpm.steps,2),_xlpm.steps)))</f>
        <v>77</v>
      </c>
      <c r="D224">
        <f>_xlfn.LET(_xlpm.steps,SUBSTITUTE(Table13[[#This Row],[Input]],Table13[[#This Row],[Direction]],""),VALUE(IF(LEN(_xlpm.steps)&gt;2,LEFT(_xlpm.steps,LEN(_xlpm.steps)-2),0)))</f>
        <v>0</v>
      </c>
      <c r="E224">
        <f>_xlfn.LET(_xlpm.dir,Table13[[#This Row],[Direction]],
IF(_xlpm.dir="L",
    IF(G223-Table13[[#This Row],[Steps]]&lt;0,100+(G223-Table13[[#This Row],[Steps]]),G223-Table13[[#This Row],[Steps]]),
))</f>
        <v>23</v>
      </c>
      <c r="F224">
        <f>_xlfn.LET(_xlpm.dir,Table13[[#This Row],[Direction]],
IF(_xlpm.dir="R",
    IF(G223+Table13[[#This Row],[Steps]]&gt;99,(G223+Table13[[#This Row],[Steps]])-100,G223+Table13[[#This Row],[Steps]]),
))</f>
        <v>0</v>
      </c>
      <c r="G224">
        <f>IF(Table13[[#This Row],[New Pos L]]&lt;&gt;0,Table13[[#This Row],[New Pos L]],Table13[[#This Row],[New Pos R]])</f>
        <v>23</v>
      </c>
      <c r="H224">
        <f>IF(AND(Table13[[#This Row],[Direction]]="L",Table13[[#This Row],[Steps]]&gt;G223,G223&lt;&gt;0),1,0)</f>
        <v>0</v>
      </c>
      <c r="I224">
        <f>IF(AND(Table13[[#This Row],[Direction]]="R",(G223+Table13[[#This Row],[Steps]])&gt;100),1,0)</f>
        <v>0</v>
      </c>
      <c r="J224">
        <f>IF(Table13[[#This Row],[POS]]=0,1,0)</f>
        <v>0</v>
      </c>
      <c r="K224">
        <f>SUM(Table13[[#This Row],[prefix]],Table13[[#This Row],[Past zero L]],Table13[[#This Row],[Past Zero R]],Table13[[#This Row],[Is Zero]])</f>
        <v>0</v>
      </c>
    </row>
    <row r="225" spans="1:11" ht="16" x14ac:dyDescent="0.2">
      <c r="A225" s="1" t="s">
        <v>145</v>
      </c>
      <c r="B225" t="str">
        <f>LEFT(Table13[[#This Row],[Input]],1)</f>
        <v>L</v>
      </c>
      <c r="C225">
        <f>_xlfn.LET(_xlpm.steps,SUBSTITUTE(Table13[[#This Row],[Input]],Table13[[#This Row],[Direction]],""),VALUE(IF(LEN(_xlpm.steps)&gt;2,RIGHT(_xlpm.steps,2),_xlpm.steps)))</f>
        <v>83</v>
      </c>
      <c r="D225">
        <f>_xlfn.LET(_xlpm.steps,SUBSTITUTE(Table13[[#This Row],[Input]],Table13[[#This Row],[Direction]],""),VALUE(IF(LEN(_xlpm.steps)&gt;2,LEFT(_xlpm.steps,LEN(_xlpm.steps)-2),0)))</f>
        <v>0</v>
      </c>
      <c r="E225">
        <f>_xlfn.LET(_xlpm.dir,Table13[[#This Row],[Direction]],
IF(_xlpm.dir="L",
    IF(G224-Table13[[#This Row],[Steps]]&lt;0,100+(G224-Table13[[#This Row],[Steps]]),G224-Table13[[#This Row],[Steps]]),
))</f>
        <v>40</v>
      </c>
      <c r="F225">
        <f>_xlfn.LET(_xlpm.dir,Table13[[#This Row],[Direction]],
IF(_xlpm.dir="R",
    IF(G224+Table13[[#This Row],[Steps]]&gt;99,(G224+Table13[[#This Row],[Steps]])-100,G224+Table13[[#This Row],[Steps]]),
))</f>
        <v>0</v>
      </c>
      <c r="G225">
        <f>IF(Table13[[#This Row],[New Pos L]]&lt;&gt;0,Table13[[#This Row],[New Pos L]],Table13[[#This Row],[New Pos R]])</f>
        <v>40</v>
      </c>
      <c r="H225">
        <f>IF(AND(Table13[[#This Row],[Direction]]="L",Table13[[#This Row],[Steps]]&gt;G224,G224&lt;&gt;0),1,0)</f>
        <v>1</v>
      </c>
      <c r="I225">
        <f>IF(AND(Table13[[#This Row],[Direction]]="R",(G224+Table13[[#This Row],[Steps]])&gt;100),1,0)</f>
        <v>0</v>
      </c>
      <c r="J225">
        <f>IF(Table13[[#This Row],[POS]]=0,1,0)</f>
        <v>0</v>
      </c>
      <c r="K225">
        <f>SUM(Table13[[#This Row],[prefix]],Table13[[#This Row],[Past zero L]],Table13[[#This Row],[Past Zero R]],Table13[[#This Row],[Is Zero]])</f>
        <v>1</v>
      </c>
    </row>
    <row r="226" spans="1:11" ht="16" x14ac:dyDescent="0.2">
      <c r="A226" s="1" t="s">
        <v>146</v>
      </c>
      <c r="B226" t="str">
        <f>LEFT(Table13[[#This Row],[Input]],1)</f>
        <v>R</v>
      </c>
      <c r="C226">
        <f>_xlfn.LET(_xlpm.steps,SUBSTITUTE(Table13[[#This Row],[Input]],Table13[[#This Row],[Direction]],""),VALUE(IF(LEN(_xlpm.steps)&gt;2,RIGHT(_xlpm.steps,2),_xlpm.steps)))</f>
        <v>4</v>
      </c>
      <c r="D226">
        <f>_xlfn.LET(_xlpm.steps,SUBSTITUTE(Table13[[#This Row],[Input]],Table13[[#This Row],[Direction]],""),VALUE(IF(LEN(_xlpm.steps)&gt;2,LEFT(_xlpm.steps,LEN(_xlpm.steps)-2),0)))</f>
        <v>0</v>
      </c>
      <c r="E226">
        <f>_xlfn.LET(_xlpm.dir,Table13[[#This Row],[Direction]],
IF(_xlpm.dir="L",
    IF(G225-Table13[[#This Row],[Steps]]&lt;0,100+(G225-Table13[[#This Row],[Steps]]),G225-Table13[[#This Row],[Steps]]),
))</f>
        <v>0</v>
      </c>
      <c r="F226">
        <f>_xlfn.LET(_xlpm.dir,Table13[[#This Row],[Direction]],
IF(_xlpm.dir="R",
    IF(G225+Table13[[#This Row],[Steps]]&gt;99,(G225+Table13[[#This Row],[Steps]])-100,G225+Table13[[#This Row],[Steps]]),
))</f>
        <v>44</v>
      </c>
      <c r="G226">
        <f>IF(Table13[[#This Row],[New Pos L]]&lt;&gt;0,Table13[[#This Row],[New Pos L]],Table13[[#This Row],[New Pos R]])</f>
        <v>44</v>
      </c>
      <c r="H226">
        <f>IF(AND(Table13[[#This Row],[Direction]]="L",Table13[[#This Row],[Steps]]&gt;G225,G225&lt;&gt;0),1,0)</f>
        <v>0</v>
      </c>
      <c r="I226">
        <f>IF(AND(Table13[[#This Row],[Direction]]="R",(G225+Table13[[#This Row],[Steps]])&gt;100),1,0)</f>
        <v>0</v>
      </c>
      <c r="J226">
        <f>IF(Table13[[#This Row],[POS]]=0,1,0)</f>
        <v>0</v>
      </c>
      <c r="K226">
        <f>SUM(Table13[[#This Row],[prefix]],Table13[[#This Row],[Past zero L]],Table13[[#This Row],[Past Zero R]],Table13[[#This Row],[Is Zero]])</f>
        <v>0</v>
      </c>
    </row>
    <row r="227" spans="1:11" ht="16" x14ac:dyDescent="0.2">
      <c r="A227" s="1" t="s">
        <v>147</v>
      </c>
      <c r="B227" t="str">
        <f>LEFT(Table13[[#This Row],[Input]],1)</f>
        <v>L</v>
      </c>
      <c r="C227">
        <f>_xlfn.LET(_xlpm.steps,SUBSTITUTE(Table13[[#This Row],[Input]],Table13[[#This Row],[Direction]],""),VALUE(IF(LEN(_xlpm.steps)&gt;2,RIGHT(_xlpm.steps,2),_xlpm.steps)))</f>
        <v>44</v>
      </c>
      <c r="D227">
        <f>_xlfn.LET(_xlpm.steps,SUBSTITUTE(Table13[[#This Row],[Input]],Table13[[#This Row],[Direction]],""),VALUE(IF(LEN(_xlpm.steps)&gt;2,LEFT(_xlpm.steps,LEN(_xlpm.steps)-2),0)))</f>
        <v>2</v>
      </c>
      <c r="E227">
        <f>_xlfn.LET(_xlpm.dir,Table13[[#This Row],[Direction]],
IF(_xlpm.dir="L",
    IF(G226-Table13[[#This Row],[Steps]]&lt;0,100+(G226-Table13[[#This Row],[Steps]]),G226-Table13[[#This Row],[Steps]]),
))</f>
        <v>0</v>
      </c>
      <c r="F227">
        <f>_xlfn.LET(_xlpm.dir,Table13[[#This Row],[Direction]],
IF(_xlpm.dir="R",
    IF(G226+Table13[[#This Row],[Steps]]&gt;99,(G226+Table13[[#This Row],[Steps]])-100,G226+Table13[[#This Row],[Steps]]),
))</f>
        <v>0</v>
      </c>
      <c r="G227">
        <f>IF(Table13[[#This Row],[New Pos L]]&lt;&gt;0,Table13[[#This Row],[New Pos L]],Table13[[#This Row],[New Pos R]])</f>
        <v>0</v>
      </c>
      <c r="H227">
        <f>IF(AND(Table13[[#This Row],[Direction]]="L",Table13[[#This Row],[Steps]]&gt;G226,G226&lt;&gt;0),1,0)</f>
        <v>0</v>
      </c>
      <c r="I227">
        <f>IF(AND(Table13[[#This Row],[Direction]]="R",(G226+Table13[[#This Row],[Steps]])&gt;100),1,0)</f>
        <v>0</v>
      </c>
      <c r="J227">
        <f>IF(Table13[[#This Row],[POS]]=0,1,0)</f>
        <v>1</v>
      </c>
      <c r="K227">
        <f>SUM(Table13[[#This Row],[prefix]],Table13[[#This Row],[Past zero L]],Table13[[#This Row],[Past Zero R]],Table13[[#This Row],[Is Zero]])</f>
        <v>3</v>
      </c>
    </row>
    <row r="228" spans="1:11" ht="16" x14ac:dyDescent="0.2">
      <c r="A228" s="1" t="s">
        <v>148</v>
      </c>
      <c r="B228" t="str">
        <f>LEFT(Table13[[#This Row],[Input]],1)</f>
        <v>R</v>
      </c>
      <c r="C228">
        <f>_xlfn.LET(_xlpm.steps,SUBSTITUTE(Table13[[#This Row],[Input]],Table13[[#This Row],[Direction]],""),VALUE(IF(LEN(_xlpm.steps)&gt;2,RIGHT(_xlpm.steps,2),_xlpm.steps)))</f>
        <v>80</v>
      </c>
      <c r="D228">
        <f>_xlfn.LET(_xlpm.steps,SUBSTITUTE(Table13[[#This Row],[Input]],Table13[[#This Row],[Direction]],""),VALUE(IF(LEN(_xlpm.steps)&gt;2,LEFT(_xlpm.steps,LEN(_xlpm.steps)-2),0)))</f>
        <v>0</v>
      </c>
      <c r="E228">
        <f>_xlfn.LET(_xlpm.dir,Table13[[#This Row],[Direction]],
IF(_xlpm.dir="L",
    IF(G227-Table13[[#This Row],[Steps]]&lt;0,100+(G227-Table13[[#This Row],[Steps]]),G227-Table13[[#This Row],[Steps]]),
))</f>
        <v>0</v>
      </c>
      <c r="F228">
        <f>_xlfn.LET(_xlpm.dir,Table13[[#This Row],[Direction]],
IF(_xlpm.dir="R",
    IF(G227+Table13[[#This Row],[Steps]]&gt;99,(G227+Table13[[#This Row],[Steps]])-100,G227+Table13[[#This Row],[Steps]]),
))</f>
        <v>80</v>
      </c>
      <c r="G228">
        <f>IF(Table13[[#This Row],[New Pos L]]&lt;&gt;0,Table13[[#This Row],[New Pos L]],Table13[[#This Row],[New Pos R]])</f>
        <v>80</v>
      </c>
      <c r="H228">
        <f>IF(AND(Table13[[#This Row],[Direction]]="L",Table13[[#This Row],[Steps]]&gt;G227,G227&lt;&gt;0),1,0)</f>
        <v>0</v>
      </c>
      <c r="I228">
        <f>IF(AND(Table13[[#This Row],[Direction]]="R",(G227+Table13[[#This Row],[Steps]])&gt;100),1,0)</f>
        <v>0</v>
      </c>
      <c r="J228">
        <f>IF(Table13[[#This Row],[POS]]=0,1,0)</f>
        <v>0</v>
      </c>
      <c r="K228">
        <f>SUM(Table13[[#This Row],[prefix]],Table13[[#This Row],[Past zero L]],Table13[[#This Row],[Past Zero R]],Table13[[#This Row],[Is Zero]])</f>
        <v>0</v>
      </c>
    </row>
    <row r="229" spans="1:11" ht="16" x14ac:dyDescent="0.2">
      <c r="A229" s="1" t="s">
        <v>74</v>
      </c>
      <c r="B229" t="str">
        <f>LEFT(Table13[[#This Row],[Input]],1)</f>
        <v>R</v>
      </c>
      <c r="C229">
        <f>_xlfn.LET(_xlpm.steps,SUBSTITUTE(Table13[[#This Row],[Input]],Table13[[#This Row],[Direction]],""),VALUE(IF(LEN(_xlpm.steps)&gt;2,RIGHT(_xlpm.steps,2),_xlpm.steps)))</f>
        <v>93</v>
      </c>
      <c r="D229">
        <f>_xlfn.LET(_xlpm.steps,SUBSTITUTE(Table13[[#This Row],[Input]],Table13[[#This Row],[Direction]],""),VALUE(IF(LEN(_xlpm.steps)&gt;2,LEFT(_xlpm.steps,LEN(_xlpm.steps)-2),0)))</f>
        <v>0</v>
      </c>
      <c r="E229">
        <f>_xlfn.LET(_xlpm.dir,Table13[[#This Row],[Direction]],
IF(_xlpm.dir="L",
    IF(G228-Table13[[#This Row],[Steps]]&lt;0,100+(G228-Table13[[#This Row],[Steps]]),G228-Table13[[#This Row],[Steps]]),
))</f>
        <v>0</v>
      </c>
      <c r="F229">
        <f>_xlfn.LET(_xlpm.dir,Table13[[#This Row],[Direction]],
IF(_xlpm.dir="R",
    IF(G228+Table13[[#This Row],[Steps]]&gt;99,(G228+Table13[[#This Row],[Steps]])-100,G228+Table13[[#This Row],[Steps]]),
))</f>
        <v>73</v>
      </c>
      <c r="G229">
        <f>IF(Table13[[#This Row],[New Pos L]]&lt;&gt;0,Table13[[#This Row],[New Pos L]],Table13[[#This Row],[New Pos R]])</f>
        <v>73</v>
      </c>
      <c r="H229">
        <f>IF(AND(Table13[[#This Row],[Direction]]="L",Table13[[#This Row],[Steps]]&gt;G228,G228&lt;&gt;0),1,0)</f>
        <v>0</v>
      </c>
      <c r="I229">
        <f>IF(AND(Table13[[#This Row],[Direction]]="R",(G228+Table13[[#This Row],[Steps]])&gt;100),1,0)</f>
        <v>1</v>
      </c>
      <c r="J229">
        <f>IF(Table13[[#This Row],[POS]]=0,1,0)</f>
        <v>0</v>
      </c>
      <c r="K229">
        <f>SUM(Table13[[#This Row],[prefix]],Table13[[#This Row],[Past zero L]],Table13[[#This Row],[Past Zero R]],Table13[[#This Row],[Is Zero]])</f>
        <v>1</v>
      </c>
    </row>
    <row r="230" spans="1:11" ht="16" x14ac:dyDescent="0.2">
      <c r="A230" s="1" t="s">
        <v>149</v>
      </c>
      <c r="B230" t="str">
        <f>LEFT(Table13[[#This Row],[Input]],1)</f>
        <v>L</v>
      </c>
      <c r="C230">
        <f>_xlfn.LET(_xlpm.steps,SUBSTITUTE(Table13[[#This Row],[Input]],Table13[[#This Row],[Direction]],""),VALUE(IF(LEN(_xlpm.steps)&gt;2,RIGHT(_xlpm.steps,2),_xlpm.steps)))</f>
        <v>15</v>
      </c>
      <c r="D230">
        <f>_xlfn.LET(_xlpm.steps,SUBSTITUTE(Table13[[#This Row],[Input]],Table13[[#This Row],[Direction]],""),VALUE(IF(LEN(_xlpm.steps)&gt;2,LEFT(_xlpm.steps,LEN(_xlpm.steps)-2),0)))</f>
        <v>4</v>
      </c>
      <c r="E230">
        <f>_xlfn.LET(_xlpm.dir,Table13[[#This Row],[Direction]],
IF(_xlpm.dir="L",
    IF(G229-Table13[[#This Row],[Steps]]&lt;0,100+(G229-Table13[[#This Row],[Steps]]),G229-Table13[[#This Row],[Steps]]),
))</f>
        <v>58</v>
      </c>
      <c r="F230">
        <f>_xlfn.LET(_xlpm.dir,Table13[[#This Row],[Direction]],
IF(_xlpm.dir="R",
    IF(G229+Table13[[#This Row],[Steps]]&gt;99,(G229+Table13[[#This Row],[Steps]])-100,G229+Table13[[#This Row],[Steps]]),
))</f>
        <v>0</v>
      </c>
      <c r="G230">
        <f>IF(Table13[[#This Row],[New Pos L]]&lt;&gt;0,Table13[[#This Row],[New Pos L]],Table13[[#This Row],[New Pos R]])</f>
        <v>58</v>
      </c>
      <c r="H230">
        <f>IF(AND(Table13[[#This Row],[Direction]]="L",Table13[[#This Row],[Steps]]&gt;G229,G229&lt;&gt;0),1,0)</f>
        <v>0</v>
      </c>
      <c r="I230">
        <f>IF(AND(Table13[[#This Row],[Direction]]="R",(G229+Table13[[#This Row],[Steps]])&gt;100),1,0)</f>
        <v>0</v>
      </c>
      <c r="J230">
        <f>IF(Table13[[#This Row],[POS]]=0,1,0)</f>
        <v>0</v>
      </c>
      <c r="K230">
        <f>SUM(Table13[[#This Row],[prefix]],Table13[[#This Row],[Past zero L]],Table13[[#This Row],[Past Zero R]],Table13[[#This Row],[Is Zero]])</f>
        <v>4</v>
      </c>
    </row>
    <row r="231" spans="1:11" ht="16" x14ac:dyDescent="0.2">
      <c r="A231" s="1" t="s">
        <v>150</v>
      </c>
      <c r="B231" t="str">
        <f>LEFT(Table13[[#This Row],[Input]],1)</f>
        <v>R</v>
      </c>
      <c r="C231">
        <f>_xlfn.LET(_xlpm.steps,SUBSTITUTE(Table13[[#This Row],[Input]],Table13[[#This Row],[Direction]],""),VALUE(IF(LEN(_xlpm.steps)&gt;2,RIGHT(_xlpm.steps,2),_xlpm.steps)))</f>
        <v>53</v>
      </c>
      <c r="D231">
        <f>_xlfn.LET(_xlpm.steps,SUBSTITUTE(Table13[[#This Row],[Input]],Table13[[#This Row],[Direction]],""),VALUE(IF(LEN(_xlpm.steps)&gt;2,LEFT(_xlpm.steps,LEN(_xlpm.steps)-2),0)))</f>
        <v>9</v>
      </c>
      <c r="E231">
        <f>_xlfn.LET(_xlpm.dir,Table13[[#This Row],[Direction]],
IF(_xlpm.dir="L",
    IF(G230-Table13[[#This Row],[Steps]]&lt;0,100+(G230-Table13[[#This Row],[Steps]]),G230-Table13[[#This Row],[Steps]]),
))</f>
        <v>0</v>
      </c>
      <c r="F231">
        <f>_xlfn.LET(_xlpm.dir,Table13[[#This Row],[Direction]],
IF(_xlpm.dir="R",
    IF(G230+Table13[[#This Row],[Steps]]&gt;99,(G230+Table13[[#This Row],[Steps]])-100,G230+Table13[[#This Row],[Steps]]),
))</f>
        <v>11</v>
      </c>
      <c r="G231">
        <f>IF(Table13[[#This Row],[New Pos L]]&lt;&gt;0,Table13[[#This Row],[New Pos L]],Table13[[#This Row],[New Pos R]])</f>
        <v>11</v>
      </c>
      <c r="H231">
        <f>IF(AND(Table13[[#This Row],[Direction]]="L",Table13[[#This Row],[Steps]]&gt;G230,G230&lt;&gt;0),1,0)</f>
        <v>0</v>
      </c>
      <c r="I231">
        <f>IF(AND(Table13[[#This Row],[Direction]]="R",(G230+Table13[[#This Row],[Steps]])&gt;100),1,0)</f>
        <v>1</v>
      </c>
      <c r="J231">
        <f>IF(Table13[[#This Row],[POS]]=0,1,0)</f>
        <v>0</v>
      </c>
      <c r="K231">
        <f>SUM(Table13[[#This Row],[prefix]],Table13[[#This Row],[Past zero L]],Table13[[#This Row],[Past Zero R]],Table13[[#This Row],[Is Zero]])</f>
        <v>10</v>
      </c>
    </row>
    <row r="232" spans="1:11" ht="16" x14ac:dyDescent="0.2">
      <c r="A232" s="1" t="s">
        <v>151</v>
      </c>
      <c r="B232" t="str">
        <f>LEFT(Table13[[#This Row],[Input]],1)</f>
        <v>L</v>
      </c>
      <c r="C232">
        <f>_xlfn.LET(_xlpm.steps,SUBSTITUTE(Table13[[#This Row],[Input]],Table13[[#This Row],[Direction]],""),VALUE(IF(LEN(_xlpm.steps)&gt;2,RIGHT(_xlpm.steps,2),_xlpm.steps)))</f>
        <v>74</v>
      </c>
      <c r="D232">
        <f>_xlfn.LET(_xlpm.steps,SUBSTITUTE(Table13[[#This Row],[Input]],Table13[[#This Row],[Direction]],""),VALUE(IF(LEN(_xlpm.steps)&gt;2,LEFT(_xlpm.steps,LEN(_xlpm.steps)-2),0)))</f>
        <v>0</v>
      </c>
      <c r="E232">
        <f>_xlfn.LET(_xlpm.dir,Table13[[#This Row],[Direction]],
IF(_xlpm.dir="L",
    IF(G231-Table13[[#This Row],[Steps]]&lt;0,100+(G231-Table13[[#This Row],[Steps]]),G231-Table13[[#This Row],[Steps]]),
))</f>
        <v>37</v>
      </c>
      <c r="F232">
        <f>_xlfn.LET(_xlpm.dir,Table13[[#This Row],[Direction]],
IF(_xlpm.dir="R",
    IF(G231+Table13[[#This Row],[Steps]]&gt;99,(G231+Table13[[#This Row],[Steps]])-100,G231+Table13[[#This Row],[Steps]]),
))</f>
        <v>0</v>
      </c>
      <c r="G232">
        <f>IF(Table13[[#This Row],[New Pos L]]&lt;&gt;0,Table13[[#This Row],[New Pos L]],Table13[[#This Row],[New Pos R]])</f>
        <v>37</v>
      </c>
      <c r="H232">
        <f>IF(AND(Table13[[#This Row],[Direction]]="L",Table13[[#This Row],[Steps]]&gt;G231,G231&lt;&gt;0),1,0)</f>
        <v>1</v>
      </c>
      <c r="I232">
        <f>IF(AND(Table13[[#This Row],[Direction]]="R",(G231+Table13[[#This Row],[Steps]])&gt;100),1,0)</f>
        <v>0</v>
      </c>
      <c r="J232">
        <f>IF(Table13[[#This Row],[POS]]=0,1,0)</f>
        <v>0</v>
      </c>
      <c r="K232">
        <f>SUM(Table13[[#This Row],[prefix]],Table13[[#This Row],[Past zero L]],Table13[[#This Row],[Past Zero R]],Table13[[#This Row],[Is Zero]])</f>
        <v>1</v>
      </c>
    </row>
    <row r="233" spans="1:11" ht="16" x14ac:dyDescent="0.2">
      <c r="A233" s="1" t="s">
        <v>64</v>
      </c>
      <c r="B233" t="str">
        <f>LEFT(Table13[[#This Row],[Input]],1)</f>
        <v>R</v>
      </c>
      <c r="C233">
        <f>_xlfn.LET(_xlpm.steps,SUBSTITUTE(Table13[[#This Row],[Input]],Table13[[#This Row],[Direction]],""),VALUE(IF(LEN(_xlpm.steps)&gt;2,RIGHT(_xlpm.steps,2),_xlpm.steps)))</f>
        <v>10</v>
      </c>
      <c r="D233">
        <f>_xlfn.LET(_xlpm.steps,SUBSTITUTE(Table13[[#This Row],[Input]],Table13[[#This Row],[Direction]],""),VALUE(IF(LEN(_xlpm.steps)&gt;2,LEFT(_xlpm.steps,LEN(_xlpm.steps)-2),0)))</f>
        <v>0</v>
      </c>
      <c r="E233">
        <f>_xlfn.LET(_xlpm.dir,Table13[[#This Row],[Direction]],
IF(_xlpm.dir="L",
    IF(G232-Table13[[#This Row],[Steps]]&lt;0,100+(G232-Table13[[#This Row],[Steps]]),G232-Table13[[#This Row],[Steps]]),
))</f>
        <v>0</v>
      </c>
      <c r="F233">
        <f>_xlfn.LET(_xlpm.dir,Table13[[#This Row],[Direction]],
IF(_xlpm.dir="R",
    IF(G232+Table13[[#This Row],[Steps]]&gt;99,(G232+Table13[[#This Row],[Steps]])-100,G232+Table13[[#This Row],[Steps]]),
))</f>
        <v>47</v>
      </c>
      <c r="G233">
        <f>IF(Table13[[#This Row],[New Pos L]]&lt;&gt;0,Table13[[#This Row],[New Pos L]],Table13[[#This Row],[New Pos R]])</f>
        <v>47</v>
      </c>
      <c r="H233">
        <f>IF(AND(Table13[[#This Row],[Direction]]="L",Table13[[#This Row],[Steps]]&gt;G232,G232&lt;&gt;0),1,0)</f>
        <v>0</v>
      </c>
      <c r="I233">
        <f>IF(AND(Table13[[#This Row],[Direction]]="R",(G232+Table13[[#This Row],[Steps]])&gt;100),1,0)</f>
        <v>0</v>
      </c>
      <c r="J233">
        <f>IF(Table13[[#This Row],[POS]]=0,1,0)</f>
        <v>0</v>
      </c>
      <c r="K233">
        <f>SUM(Table13[[#This Row],[prefix]],Table13[[#This Row],[Past zero L]],Table13[[#This Row],[Past Zero R]],Table13[[#This Row],[Is Zero]])</f>
        <v>0</v>
      </c>
    </row>
    <row r="234" spans="1:11" ht="16" x14ac:dyDescent="0.2">
      <c r="A234" s="1" t="s">
        <v>79</v>
      </c>
      <c r="B234" t="str">
        <f>LEFT(Table13[[#This Row],[Input]],1)</f>
        <v>L</v>
      </c>
      <c r="C234">
        <f>_xlfn.LET(_xlpm.steps,SUBSTITUTE(Table13[[#This Row],[Input]],Table13[[#This Row],[Direction]],""),VALUE(IF(LEN(_xlpm.steps)&gt;2,RIGHT(_xlpm.steps,2),_xlpm.steps)))</f>
        <v>45</v>
      </c>
      <c r="D234">
        <f>_xlfn.LET(_xlpm.steps,SUBSTITUTE(Table13[[#This Row],[Input]],Table13[[#This Row],[Direction]],""),VALUE(IF(LEN(_xlpm.steps)&gt;2,LEFT(_xlpm.steps,LEN(_xlpm.steps)-2),0)))</f>
        <v>0</v>
      </c>
      <c r="E234">
        <f>_xlfn.LET(_xlpm.dir,Table13[[#This Row],[Direction]],
IF(_xlpm.dir="L",
    IF(G233-Table13[[#This Row],[Steps]]&lt;0,100+(G233-Table13[[#This Row],[Steps]]),G233-Table13[[#This Row],[Steps]]),
))</f>
        <v>2</v>
      </c>
      <c r="F234">
        <f>_xlfn.LET(_xlpm.dir,Table13[[#This Row],[Direction]],
IF(_xlpm.dir="R",
    IF(G233+Table13[[#This Row],[Steps]]&gt;99,(G233+Table13[[#This Row],[Steps]])-100,G233+Table13[[#This Row],[Steps]]),
))</f>
        <v>0</v>
      </c>
      <c r="G234">
        <f>IF(Table13[[#This Row],[New Pos L]]&lt;&gt;0,Table13[[#This Row],[New Pos L]],Table13[[#This Row],[New Pos R]])</f>
        <v>2</v>
      </c>
      <c r="H234">
        <f>IF(AND(Table13[[#This Row],[Direction]]="L",Table13[[#This Row],[Steps]]&gt;G233,G233&lt;&gt;0),1,0)</f>
        <v>0</v>
      </c>
      <c r="I234">
        <f>IF(AND(Table13[[#This Row],[Direction]]="R",(G233+Table13[[#This Row],[Steps]])&gt;100),1,0)</f>
        <v>0</v>
      </c>
      <c r="J234">
        <f>IF(Table13[[#This Row],[POS]]=0,1,0)</f>
        <v>0</v>
      </c>
      <c r="K234">
        <f>SUM(Table13[[#This Row],[prefix]],Table13[[#This Row],[Past zero L]],Table13[[#This Row],[Past Zero R]],Table13[[#This Row],[Is Zero]])</f>
        <v>0</v>
      </c>
    </row>
    <row r="235" spans="1:11" ht="16" x14ac:dyDescent="0.2">
      <c r="A235" s="1" t="s">
        <v>146</v>
      </c>
      <c r="B235" t="str">
        <f>LEFT(Table13[[#This Row],[Input]],1)</f>
        <v>R</v>
      </c>
      <c r="C235">
        <f>_xlfn.LET(_xlpm.steps,SUBSTITUTE(Table13[[#This Row],[Input]],Table13[[#This Row],[Direction]],""),VALUE(IF(LEN(_xlpm.steps)&gt;2,RIGHT(_xlpm.steps,2),_xlpm.steps)))</f>
        <v>4</v>
      </c>
      <c r="D235">
        <f>_xlfn.LET(_xlpm.steps,SUBSTITUTE(Table13[[#This Row],[Input]],Table13[[#This Row],[Direction]],""),VALUE(IF(LEN(_xlpm.steps)&gt;2,LEFT(_xlpm.steps,LEN(_xlpm.steps)-2),0)))</f>
        <v>0</v>
      </c>
      <c r="E235">
        <f>_xlfn.LET(_xlpm.dir,Table13[[#This Row],[Direction]],
IF(_xlpm.dir="L",
    IF(G234-Table13[[#This Row],[Steps]]&lt;0,100+(G234-Table13[[#This Row],[Steps]]),G234-Table13[[#This Row],[Steps]]),
))</f>
        <v>0</v>
      </c>
      <c r="F235">
        <f>_xlfn.LET(_xlpm.dir,Table13[[#This Row],[Direction]],
IF(_xlpm.dir="R",
    IF(G234+Table13[[#This Row],[Steps]]&gt;99,(G234+Table13[[#This Row],[Steps]])-100,G234+Table13[[#This Row],[Steps]]),
))</f>
        <v>6</v>
      </c>
      <c r="G235">
        <f>IF(Table13[[#This Row],[New Pos L]]&lt;&gt;0,Table13[[#This Row],[New Pos L]],Table13[[#This Row],[New Pos R]])</f>
        <v>6</v>
      </c>
      <c r="H235">
        <f>IF(AND(Table13[[#This Row],[Direction]]="L",Table13[[#This Row],[Steps]]&gt;G234,G234&lt;&gt;0),1,0)</f>
        <v>0</v>
      </c>
      <c r="I235">
        <f>IF(AND(Table13[[#This Row],[Direction]]="R",(G234+Table13[[#This Row],[Steps]])&gt;100),1,0)</f>
        <v>0</v>
      </c>
      <c r="J235">
        <f>IF(Table13[[#This Row],[POS]]=0,1,0)</f>
        <v>0</v>
      </c>
      <c r="K235">
        <f>SUM(Table13[[#This Row],[prefix]],Table13[[#This Row],[Past zero L]],Table13[[#This Row],[Past Zero R]],Table13[[#This Row],[Is Zero]])</f>
        <v>0</v>
      </c>
    </row>
    <row r="236" spans="1:11" ht="16" x14ac:dyDescent="0.2">
      <c r="A236" s="1" t="s">
        <v>138</v>
      </c>
      <c r="B236" t="str">
        <f>LEFT(Table13[[#This Row],[Input]],1)</f>
        <v>L</v>
      </c>
      <c r="C236">
        <f>_xlfn.LET(_xlpm.steps,SUBSTITUTE(Table13[[#This Row],[Input]],Table13[[#This Row],[Direction]],""),VALUE(IF(LEN(_xlpm.steps)&gt;2,RIGHT(_xlpm.steps,2),_xlpm.steps)))</f>
        <v>94</v>
      </c>
      <c r="D236">
        <f>_xlfn.LET(_xlpm.steps,SUBSTITUTE(Table13[[#This Row],[Input]],Table13[[#This Row],[Direction]],""),VALUE(IF(LEN(_xlpm.steps)&gt;2,LEFT(_xlpm.steps,LEN(_xlpm.steps)-2),0)))</f>
        <v>0</v>
      </c>
      <c r="E236">
        <f>_xlfn.LET(_xlpm.dir,Table13[[#This Row],[Direction]],
IF(_xlpm.dir="L",
    IF(G235-Table13[[#This Row],[Steps]]&lt;0,100+(G235-Table13[[#This Row],[Steps]]),G235-Table13[[#This Row],[Steps]]),
))</f>
        <v>12</v>
      </c>
      <c r="F236">
        <f>_xlfn.LET(_xlpm.dir,Table13[[#This Row],[Direction]],
IF(_xlpm.dir="R",
    IF(G235+Table13[[#This Row],[Steps]]&gt;99,(G235+Table13[[#This Row],[Steps]])-100,G235+Table13[[#This Row],[Steps]]),
))</f>
        <v>0</v>
      </c>
      <c r="G236">
        <f>IF(Table13[[#This Row],[New Pos L]]&lt;&gt;0,Table13[[#This Row],[New Pos L]],Table13[[#This Row],[New Pos R]])</f>
        <v>12</v>
      </c>
      <c r="H236">
        <f>IF(AND(Table13[[#This Row],[Direction]]="L",Table13[[#This Row],[Steps]]&gt;G235,G235&lt;&gt;0),1,0)</f>
        <v>1</v>
      </c>
      <c r="I236">
        <f>IF(AND(Table13[[#This Row],[Direction]]="R",(G235+Table13[[#This Row],[Steps]])&gt;100),1,0)</f>
        <v>0</v>
      </c>
      <c r="J236">
        <f>IF(Table13[[#This Row],[POS]]=0,1,0)</f>
        <v>0</v>
      </c>
      <c r="K236">
        <f>SUM(Table13[[#This Row],[prefix]],Table13[[#This Row],[Past zero L]],Table13[[#This Row],[Past Zero R]],Table13[[#This Row],[Is Zero]])</f>
        <v>1</v>
      </c>
    </row>
    <row r="237" spans="1:11" ht="16" x14ac:dyDescent="0.2">
      <c r="A237" s="1" t="s">
        <v>49</v>
      </c>
      <c r="B237" t="str">
        <f>LEFT(Table13[[#This Row],[Input]],1)</f>
        <v>L</v>
      </c>
      <c r="C237">
        <f>_xlfn.LET(_xlpm.steps,SUBSTITUTE(Table13[[#This Row],[Input]],Table13[[#This Row],[Direction]],""),VALUE(IF(LEN(_xlpm.steps)&gt;2,RIGHT(_xlpm.steps,2),_xlpm.steps)))</f>
        <v>93</v>
      </c>
      <c r="D237">
        <f>_xlfn.LET(_xlpm.steps,SUBSTITUTE(Table13[[#This Row],[Input]],Table13[[#This Row],[Direction]],""),VALUE(IF(LEN(_xlpm.steps)&gt;2,LEFT(_xlpm.steps,LEN(_xlpm.steps)-2),0)))</f>
        <v>0</v>
      </c>
      <c r="E237">
        <f>_xlfn.LET(_xlpm.dir,Table13[[#This Row],[Direction]],
IF(_xlpm.dir="L",
    IF(G236-Table13[[#This Row],[Steps]]&lt;0,100+(G236-Table13[[#This Row],[Steps]]),G236-Table13[[#This Row],[Steps]]),
))</f>
        <v>19</v>
      </c>
      <c r="F237">
        <f>_xlfn.LET(_xlpm.dir,Table13[[#This Row],[Direction]],
IF(_xlpm.dir="R",
    IF(G236+Table13[[#This Row],[Steps]]&gt;99,(G236+Table13[[#This Row],[Steps]])-100,G236+Table13[[#This Row],[Steps]]),
))</f>
        <v>0</v>
      </c>
      <c r="G237">
        <f>IF(Table13[[#This Row],[New Pos L]]&lt;&gt;0,Table13[[#This Row],[New Pos L]],Table13[[#This Row],[New Pos R]])</f>
        <v>19</v>
      </c>
      <c r="H237">
        <f>IF(AND(Table13[[#This Row],[Direction]]="L",Table13[[#This Row],[Steps]]&gt;G236,G236&lt;&gt;0),1,0)</f>
        <v>1</v>
      </c>
      <c r="I237">
        <f>IF(AND(Table13[[#This Row],[Direction]]="R",(G236+Table13[[#This Row],[Steps]])&gt;100),1,0)</f>
        <v>0</v>
      </c>
      <c r="J237">
        <f>IF(Table13[[#This Row],[POS]]=0,1,0)</f>
        <v>0</v>
      </c>
      <c r="K237">
        <f>SUM(Table13[[#This Row],[prefix]],Table13[[#This Row],[Past zero L]],Table13[[#This Row],[Past Zero R]],Table13[[#This Row],[Is Zero]])</f>
        <v>1</v>
      </c>
    </row>
    <row r="238" spans="1:11" ht="16" x14ac:dyDescent="0.2">
      <c r="A238" s="1" t="s">
        <v>152</v>
      </c>
      <c r="B238" t="str">
        <f>LEFT(Table13[[#This Row],[Input]],1)</f>
        <v>L</v>
      </c>
      <c r="C238">
        <f>_xlfn.LET(_xlpm.steps,SUBSTITUTE(Table13[[#This Row],[Input]],Table13[[#This Row],[Direction]],""),VALUE(IF(LEN(_xlpm.steps)&gt;2,RIGHT(_xlpm.steps,2),_xlpm.steps)))</f>
        <v>92</v>
      </c>
      <c r="D238">
        <f>_xlfn.LET(_xlpm.steps,SUBSTITUTE(Table13[[#This Row],[Input]],Table13[[#This Row],[Direction]],""),VALUE(IF(LEN(_xlpm.steps)&gt;2,LEFT(_xlpm.steps,LEN(_xlpm.steps)-2),0)))</f>
        <v>9</v>
      </c>
      <c r="E238">
        <f>_xlfn.LET(_xlpm.dir,Table13[[#This Row],[Direction]],
IF(_xlpm.dir="L",
    IF(G237-Table13[[#This Row],[Steps]]&lt;0,100+(G237-Table13[[#This Row],[Steps]]),G237-Table13[[#This Row],[Steps]]),
))</f>
        <v>27</v>
      </c>
      <c r="F238">
        <f>_xlfn.LET(_xlpm.dir,Table13[[#This Row],[Direction]],
IF(_xlpm.dir="R",
    IF(G237+Table13[[#This Row],[Steps]]&gt;99,(G237+Table13[[#This Row],[Steps]])-100,G237+Table13[[#This Row],[Steps]]),
))</f>
        <v>0</v>
      </c>
      <c r="G238">
        <f>IF(Table13[[#This Row],[New Pos L]]&lt;&gt;0,Table13[[#This Row],[New Pos L]],Table13[[#This Row],[New Pos R]])</f>
        <v>27</v>
      </c>
      <c r="H238">
        <f>IF(AND(Table13[[#This Row],[Direction]]="L",Table13[[#This Row],[Steps]]&gt;G237,G237&lt;&gt;0),1,0)</f>
        <v>1</v>
      </c>
      <c r="I238">
        <f>IF(AND(Table13[[#This Row],[Direction]]="R",(G237+Table13[[#This Row],[Steps]])&gt;100),1,0)</f>
        <v>0</v>
      </c>
      <c r="J238">
        <f>IF(Table13[[#This Row],[POS]]=0,1,0)</f>
        <v>0</v>
      </c>
      <c r="K238">
        <f>SUM(Table13[[#This Row],[prefix]],Table13[[#This Row],[Past zero L]],Table13[[#This Row],[Past Zero R]],Table13[[#This Row],[Is Zero]])</f>
        <v>10</v>
      </c>
    </row>
    <row r="239" spans="1:11" ht="16" x14ac:dyDescent="0.2">
      <c r="A239" s="1" t="s">
        <v>20</v>
      </c>
      <c r="B239" t="str">
        <f>LEFT(Table13[[#This Row],[Input]],1)</f>
        <v>R</v>
      </c>
      <c r="C239">
        <f>_xlfn.LET(_xlpm.steps,SUBSTITUTE(Table13[[#This Row],[Input]],Table13[[#This Row],[Direction]],""),VALUE(IF(LEN(_xlpm.steps)&gt;2,RIGHT(_xlpm.steps,2),_xlpm.steps)))</f>
        <v>46</v>
      </c>
      <c r="D239">
        <f>_xlfn.LET(_xlpm.steps,SUBSTITUTE(Table13[[#This Row],[Input]],Table13[[#This Row],[Direction]],""),VALUE(IF(LEN(_xlpm.steps)&gt;2,LEFT(_xlpm.steps,LEN(_xlpm.steps)-2),0)))</f>
        <v>0</v>
      </c>
      <c r="E239">
        <f>_xlfn.LET(_xlpm.dir,Table13[[#This Row],[Direction]],
IF(_xlpm.dir="L",
    IF(G238-Table13[[#This Row],[Steps]]&lt;0,100+(G238-Table13[[#This Row],[Steps]]),G238-Table13[[#This Row],[Steps]]),
))</f>
        <v>0</v>
      </c>
      <c r="F239">
        <f>_xlfn.LET(_xlpm.dir,Table13[[#This Row],[Direction]],
IF(_xlpm.dir="R",
    IF(G238+Table13[[#This Row],[Steps]]&gt;99,(G238+Table13[[#This Row],[Steps]])-100,G238+Table13[[#This Row],[Steps]]),
))</f>
        <v>73</v>
      </c>
      <c r="G239">
        <f>IF(Table13[[#This Row],[New Pos L]]&lt;&gt;0,Table13[[#This Row],[New Pos L]],Table13[[#This Row],[New Pos R]])</f>
        <v>73</v>
      </c>
      <c r="H239">
        <f>IF(AND(Table13[[#This Row],[Direction]]="L",Table13[[#This Row],[Steps]]&gt;G238,G238&lt;&gt;0),1,0)</f>
        <v>0</v>
      </c>
      <c r="I239">
        <f>IF(AND(Table13[[#This Row],[Direction]]="R",(G238+Table13[[#This Row],[Steps]])&gt;100),1,0)</f>
        <v>0</v>
      </c>
      <c r="J239">
        <f>IF(Table13[[#This Row],[POS]]=0,1,0)</f>
        <v>0</v>
      </c>
      <c r="K239">
        <f>SUM(Table13[[#This Row],[prefix]],Table13[[#This Row],[Past zero L]],Table13[[#This Row],[Past Zero R]],Table13[[#This Row],[Is Zero]])</f>
        <v>0</v>
      </c>
    </row>
    <row r="240" spans="1:11" ht="16" x14ac:dyDescent="0.2">
      <c r="A240" s="1" t="s">
        <v>146</v>
      </c>
      <c r="B240" t="str">
        <f>LEFT(Table13[[#This Row],[Input]],1)</f>
        <v>R</v>
      </c>
      <c r="C240">
        <f>_xlfn.LET(_xlpm.steps,SUBSTITUTE(Table13[[#This Row],[Input]],Table13[[#This Row],[Direction]],""),VALUE(IF(LEN(_xlpm.steps)&gt;2,RIGHT(_xlpm.steps,2),_xlpm.steps)))</f>
        <v>4</v>
      </c>
      <c r="D240">
        <f>_xlfn.LET(_xlpm.steps,SUBSTITUTE(Table13[[#This Row],[Input]],Table13[[#This Row],[Direction]],""),VALUE(IF(LEN(_xlpm.steps)&gt;2,LEFT(_xlpm.steps,LEN(_xlpm.steps)-2),0)))</f>
        <v>0</v>
      </c>
      <c r="E240">
        <f>_xlfn.LET(_xlpm.dir,Table13[[#This Row],[Direction]],
IF(_xlpm.dir="L",
    IF(G239-Table13[[#This Row],[Steps]]&lt;0,100+(G239-Table13[[#This Row],[Steps]]),G239-Table13[[#This Row],[Steps]]),
))</f>
        <v>0</v>
      </c>
      <c r="F240">
        <f>_xlfn.LET(_xlpm.dir,Table13[[#This Row],[Direction]],
IF(_xlpm.dir="R",
    IF(G239+Table13[[#This Row],[Steps]]&gt;99,(G239+Table13[[#This Row],[Steps]])-100,G239+Table13[[#This Row],[Steps]]),
))</f>
        <v>77</v>
      </c>
      <c r="G240">
        <f>IF(Table13[[#This Row],[New Pos L]]&lt;&gt;0,Table13[[#This Row],[New Pos L]],Table13[[#This Row],[New Pos R]])</f>
        <v>77</v>
      </c>
      <c r="H240">
        <f>IF(AND(Table13[[#This Row],[Direction]]="L",Table13[[#This Row],[Steps]]&gt;G239,G239&lt;&gt;0),1,0)</f>
        <v>0</v>
      </c>
      <c r="I240">
        <f>IF(AND(Table13[[#This Row],[Direction]]="R",(G239+Table13[[#This Row],[Steps]])&gt;100),1,0)</f>
        <v>0</v>
      </c>
      <c r="J240">
        <f>IF(Table13[[#This Row],[POS]]=0,1,0)</f>
        <v>0</v>
      </c>
      <c r="K240">
        <f>SUM(Table13[[#This Row],[prefix]],Table13[[#This Row],[Past zero L]],Table13[[#This Row],[Past Zero R]],Table13[[#This Row],[Is Zero]])</f>
        <v>0</v>
      </c>
    </row>
    <row r="241" spans="1:11" ht="16" x14ac:dyDescent="0.2">
      <c r="A241" s="1" t="s">
        <v>119</v>
      </c>
      <c r="B241" t="str">
        <f>LEFT(Table13[[#This Row],[Input]],1)</f>
        <v>L</v>
      </c>
      <c r="C241">
        <f>_xlfn.LET(_xlpm.steps,SUBSTITUTE(Table13[[#This Row],[Input]],Table13[[#This Row],[Direction]],""),VALUE(IF(LEN(_xlpm.steps)&gt;2,RIGHT(_xlpm.steps,2),_xlpm.steps)))</f>
        <v>77</v>
      </c>
      <c r="D241">
        <f>_xlfn.LET(_xlpm.steps,SUBSTITUTE(Table13[[#This Row],[Input]],Table13[[#This Row],[Direction]],""),VALUE(IF(LEN(_xlpm.steps)&gt;2,LEFT(_xlpm.steps,LEN(_xlpm.steps)-2),0)))</f>
        <v>0</v>
      </c>
      <c r="E241">
        <f>_xlfn.LET(_xlpm.dir,Table13[[#This Row],[Direction]],
IF(_xlpm.dir="L",
    IF(G240-Table13[[#This Row],[Steps]]&lt;0,100+(G240-Table13[[#This Row],[Steps]]),G240-Table13[[#This Row],[Steps]]),
))</f>
        <v>0</v>
      </c>
      <c r="F241">
        <f>_xlfn.LET(_xlpm.dir,Table13[[#This Row],[Direction]],
IF(_xlpm.dir="R",
    IF(G240+Table13[[#This Row],[Steps]]&gt;99,(G240+Table13[[#This Row],[Steps]])-100,G240+Table13[[#This Row],[Steps]]),
))</f>
        <v>0</v>
      </c>
      <c r="G241">
        <f>IF(Table13[[#This Row],[New Pos L]]&lt;&gt;0,Table13[[#This Row],[New Pos L]],Table13[[#This Row],[New Pos R]])</f>
        <v>0</v>
      </c>
      <c r="H241">
        <f>IF(AND(Table13[[#This Row],[Direction]]="L",Table13[[#This Row],[Steps]]&gt;G240,G240&lt;&gt;0),1,0)</f>
        <v>0</v>
      </c>
      <c r="I241">
        <f>IF(AND(Table13[[#This Row],[Direction]]="R",(G240+Table13[[#This Row],[Steps]])&gt;100),1,0)</f>
        <v>0</v>
      </c>
      <c r="J241">
        <f>IF(Table13[[#This Row],[POS]]=0,1,0)</f>
        <v>1</v>
      </c>
      <c r="K241">
        <f>SUM(Table13[[#This Row],[prefix]],Table13[[#This Row],[Past zero L]],Table13[[#This Row],[Past Zero R]],Table13[[#This Row],[Is Zero]])</f>
        <v>1</v>
      </c>
    </row>
    <row r="242" spans="1:11" ht="16" x14ac:dyDescent="0.2">
      <c r="A242" s="1" t="s">
        <v>153</v>
      </c>
      <c r="B242" t="str">
        <f>LEFT(Table13[[#This Row],[Input]],1)</f>
        <v>L</v>
      </c>
      <c r="C242">
        <f>_xlfn.LET(_xlpm.steps,SUBSTITUTE(Table13[[#This Row],[Input]],Table13[[#This Row],[Direction]],""),VALUE(IF(LEN(_xlpm.steps)&gt;2,RIGHT(_xlpm.steps,2),_xlpm.steps)))</f>
        <v>41</v>
      </c>
      <c r="D242">
        <f>_xlfn.LET(_xlpm.steps,SUBSTITUTE(Table13[[#This Row],[Input]],Table13[[#This Row],[Direction]],""),VALUE(IF(LEN(_xlpm.steps)&gt;2,LEFT(_xlpm.steps,LEN(_xlpm.steps)-2),0)))</f>
        <v>2</v>
      </c>
      <c r="E242">
        <f>_xlfn.LET(_xlpm.dir,Table13[[#This Row],[Direction]],
IF(_xlpm.dir="L",
    IF(G241-Table13[[#This Row],[Steps]]&lt;0,100+(G241-Table13[[#This Row],[Steps]]),G241-Table13[[#This Row],[Steps]]),
))</f>
        <v>59</v>
      </c>
      <c r="F242">
        <f>_xlfn.LET(_xlpm.dir,Table13[[#This Row],[Direction]],
IF(_xlpm.dir="R",
    IF(G241+Table13[[#This Row],[Steps]]&gt;99,(G241+Table13[[#This Row],[Steps]])-100,G241+Table13[[#This Row],[Steps]]),
))</f>
        <v>0</v>
      </c>
      <c r="G242">
        <f>IF(Table13[[#This Row],[New Pos L]]&lt;&gt;0,Table13[[#This Row],[New Pos L]],Table13[[#This Row],[New Pos R]])</f>
        <v>59</v>
      </c>
      <c r="H242">
        <f>IF(AND(Table13[[#This Row],[Direction]]="L",Table13[[#This Row],[Steps]]&gt;G241,G241&lt;&gt;0),1,0)</f>
        <v>0</v>
      </c>
      <c r="I242">
        <f>IF(AND(Table13[[#This Row],[Direction]]="R",(G241+Table13[[#This Row],[Steps]])&gt;100),1,0)</f>
        <v>0</v>
      </c>
      <c r="J242">
        <f>IF(Table13[[#This Row],[POS]]=0,1,0)</f>
        <v>0</v>
      </c>
      <c r="K242">
        <f>SUM(Table13[[#This Row],[prefix]],Table13[[#This Row],[Past zero L]],Table13[[#This Row],[Past Zero R]],Table13[[#This Row],[Is Zero]])</f>
        <v>2</v>
      </c>
    </row>
    <row r="243" spans="1:11" ht="16" x14ac:dyDescent="0.2">
      <c r="A243" s="1" t="s">
        <v>154</v>
      </c>
      <c r="B243" t="str">
        <f>LEFT(Table13[[#This Row],[Input]],1)</f>
        <v>L</v>
      </c>
      <c r="C243">
        <f>_xlfn.LET(_xlpm.steps,SUBSTITUTE(Table13[[#This Row],[Input]],Table13[[#This Row],[Direction]],""),VALUE(IF(LEN(_xlpm.steps)&gt;2,RIGHT(_xlpm.steps,2),_xlpm.steps)))</f>
        <v>6</v>
      </c>
      <c r="D243">
        <f>_xlfn.LET(_xlpm.steps,SUBSTITUTE(Table13[[#This Row],[Input]],Table13[[#This Row],[Direction]],""),VALUE(IF(LEN(_xlpm.steps)&gt;2,LEFT(_xlpm.steps,LEN(_xlpm.steps)-2),0)))</f>
        <v>2</v>
      </c>
      <c r="E243">
        <f>_xlfn.LET(_xlpm.dir,Table13[[#This Row],[Direction]],
IF(_xlpm.dir="L",
    IF(G242-Table13[[#This Row],[Steps]]&lt;0,100+(G242-Table13[[#This Row],[Steps]]),G242-Table13[[#This Row],[Steps]]),
))</f>
        <v>53</v>
      </c>
      <c r="F243">
        <f>_xlfn.LET(_xlpm.dir,Table13[[#This Row],[Direction]],
IF(_xlpm.dir="R",
    IF(G242+Table13[[#This Row],[Steps]]&gt;99,(G242+Table13[[#This Row],[Steps]])-100,G242+Table13[[#This Row],[Steps]]),
))</f>
        <v>0</v>
      </c>
      <c r="G243">
        <f>IF(Table13[[#This Row],[New Pos L]]&lt;&gt;0,Table13[[#This Row],[New Pos L]],Table13[[#This Row],[New Pos R]])</f>
        <v>53</v>
      </c>
      <c r="H243">
        <f>IF(AND(Table13[[#This Row],[Direction]]="L",Table13[[#This Row],[Steps]]&gt;G242,G242&lt;&gt;0),1,0)</f>
        <v>0</v>
      </c>
      <c r="I243">
        <f>IF(AND(Table13[[#This Row],[Direction]]="R",(G242+Table13[[#This Row],[Steps]])&gt;100),1,0)</f>
        <v>0</v>
      </c>
      <c r="J243">
        <f>IF(Table13[[#This Row],[POS]]=0,1,0)</f>
        <v>0</v>
      </c>
      <c r="K243">
        <f>SUM(Table13[[#This Row],[prefix]],Table13[[#This Row],[Past zero L]],Table13[[#This Row],[Past Zero R]],Table13[[#This Row],[Is Zero]])</f>
        <v>2</v>
      </c>
    </row>
    <row r="244" spans="1:11" ht="16" x14ac:dyDescent="0.2">
      <c r="A244" s="1" t="s">
        <v>155</v>
      </c>
      <c r="B244" t="str">
        <f>LEFT(Table13[[#This Row],[Input]],1)</f>
        <v>L</v>
      </c>
      <c r="C244">
        <f>_xlfn.LET(_xlpm.steps,SUBSTITUTE(Table13[[#This Row],[Input]],Table13[[#This Row],[Direction]],""),VALUE(IF(LEN(_xlpm.steps)&gt;2,RIGHT(_xlpm.steps,2),_xlpm.steps)))</f>
        <v>18</v>
      </c>
      <c r="D244">
        <f>_xlfn.LET(_xlpm.steps,SUBSTITUTE(Table13[[#This Row],[Input]],Table13[[#This Row],[Direction]],""),VALUE(IF(LEN(_xlpm.steps)&gt;2,LEFT(_xlpm.steps,LEN(_xlpm.steps)-2),0)))</f>
        <v>0</v>
      </c>
      <c r="E244">
        <f>_xlfn.LET(_xlpm.dir,Table13[[#This Row],[Direction]],
IF(_xlpm.dir="L",
    IF(G243-Table13[[#This Row],[Steps]]&lt;0,100+(G243-Table13[[#This Row],[Steps]]),G243-Table13[[#This Row],[Steps]]),
))</f>
        <v>35</v>
      </c>
      <c r="F244">
        <f>_xlfn.LET(_xlpm.dir,Table13[[#This Row],[Direction]],
IF(_xlpm.dir="R",
    IF(G243+Table13[[#This Row],[Steps]]&gt;99,(G243+Table13[[#This Row],[Steps]])-100,G243+Table13[[#This Row],[Steps]]),
))</f>
        <v>0</v>
      </c>
      <c r="G244">
        <f>IF(Table13[[#This Row],[New Pos L]]&lt;&gt;0,Table13[[#This Row],[New Pos L]],Table13[[#This Row],[New Pos R]])</f>
        <v>35</v>
      </c>
      <c r="H244">
        <f>IF(AND(Table13[[#This Row],[Direction]]="L",Table13[[#This Row],[Steps]]&gt;G243,G243&lt;&gt;0),1,0)</f>
        <v>0</v>
      </c>
      <c r="I244">
        <f>IF(AND(Table13[[#This Row],[Direction]]="R",(G243+Table13[[#This Row],[Steps]])&gt;100),1,0)</f>
        <v>0</v>
      </c>
      <c r="J244">
        <f>IF(Table13[[#This Row],[POS]]=0,1,0)</f>
        <v>0</v>
      </c>
      <c r="K244">
        <f>SUM(Table13[[#This Row],[prefix]],Table13[[#This Row],[Past zero L]],Table13[[#This Row],[Past Zero R]],Table13[[#This Row],[Is Zero]])</f>
        <v>0</v>
      </c>
    </row>
    <row r="245" spans="1:11" ht="16" x14ac:dyDescent="0.2">
      <c r="A245" s="1" t="s">
        <v>51</v>
      </c>
      <c r="B245" t="str">
        <f>LEFT(Table13[[#This Row],[Input]],1)</f>
        <v>L</v>
      </c>
      <c r="C245">
        <f>_xlfn.LET(_xlpm.steps,SUBSTITUTE(Table13[[#This Row],[Input]],Table13[[#This Row],[Direction]],""),VALUE(IF(LEN(_xlpm.steps)&gt;2,RIGHT(_xlpm.steps,2),_xlpm.steps)))</f>
        <v>25</v>
      </c>
      <c r="D245">
        <f>_xlfn.LET(_xlpm.steps,SUBSTITUTE(Table13[[#This Row],[Input]],Table13[[#This Row],[Direction]],""),VALUE(IF(LEN(_xlpm.steps)&gt;2,LEFT(_xlpm.steps,LEN(_xlpm.steps)-2),0)))</f>
        <v>0</v>
      </c>
      <c r="E245">
        <f>_xlfn.LET(_xlpm.dir,Table13[[#This Row],[Direction]],
IF(_xlpm.dir="L",
    IF(G244-Table13[[#This Row],[Steps]]&lt;0,100+(G244-Table13[[#This Row],[Steps]]),G244-Table13[[#This Row],[Steps]]),
))</f>
        <v>10</v>
      </c>
      <c r="F245">
        <f>_xlfn.LET(_xlpm.dir,Table13[[#This Row],[Direction]],
IF(_xlpm.dir="R",
    IF(G244+Table13[[#This Row],[Steps]]&gt;99,(G244+Table13[[#This Row],[Steps]])-100,G244+Table13[[#This Row],[Steps]]),
))</f>
        <v>0</v>
      </c>
      <c r="G245">
        <f>IF(Table13[[#This Row],[New Pos L]]&lt;&gt;0,Table13[[#This Row],[New Pos L]],Table13[[#This Row],[New Pos R]])</f>
        <v>10</v>
      </c>
      <c r="H245">
        <f>IF(AND(Table13[[#This Row],[Direction]]="L",Table13[[#This Row],[Steps]]&gt;G244,G244&lt;&gt;0),1,0)</f>
        <v>0</v>
      </c>
      <c r="I245">
        <f>IF(AND(Table13[[#This Row],[Direction]]="R",(G244+Table13[[#This Row],[Steps]])&gt;100),1,0)</f>
        <v>0</v>
      </c>
      <c r="J245">
        <f>IF(Table13[[#This Row],[POS]]=0,1,0)</f>
        <v>0</v>
      </c>
      <c r="K245">
        <f>SUM(Table13[[#This Row],[prefix]],Table13[[#This Row],[Past zero L]],Table13[[#This Row],[Past Zero R]],Table13[[#This Row],[Is Zero]])</f>
        <v>0</v>
      </c>
    </row>
    <row r="246" spans="1:11" ht="16" x14ac:dyDescent="0.2">
      <c r="A246" s="1" t="s">
        <v>43</v>
      </c>
      <c r="B246" t="str">
        <f>LEFT(Table13[[#This Row],[Input]],1)</f>
        <v>R</v>
      </c>
      <c r="C246">
        <f>_xlfn.LET(_xlpm.steps,SUBSTITUTE(Table13[[#This Row],[Input]],Table13[[#This Row],[Direction]],""),VALUE(IF(LEN(_xlpm.steps)&gt;2,RIGHT(_xlpm.steps,2),_xlpm.steps)))</f>
        <v>90</v>
      </c>
      <c r="D246">
        <f>_xlfn.LET(_xlpm.steps,SUBSTITUTE(Table13[[#This Row],[Input]],Table13[[#This Row],[Direction]],""),VALUE(IF(LEN(_xlpm.steps)&gt;2,LEFT(_xlpm.steps,LEN(_xlpm.steps)-2),0)))</f>
        <v>0</v>
      </c>
      <c r="E246">
        <f>_xlfn.LET(_xlpm.dir,Table13[[#This Row],[Direction]],
IF(_xlpm.dir="L",
    IF(G245-Table13[[#This Row],[Steps]]&lt;0,100+(G245-Table13[[#This Row],[Steps]]),G245-Table13[[#This Row],[Steps]]),
))</f>
        <v>0</v>
      </c>
      <c r="F246">
        <f>_xlfn.LET(_xlpm.dir,Table13[[#This Row],[Direction]],
IF(_xlpm.dir="R",
    IF(G245+Table13[[#This Row],[Steps]]&gt;99,(G245+Table13[[#This Row],[Steps]])-100,G245+Table13[[#This Row],[Steps]]),
))</f>
        <v>0</v>
      </c>
      <c r="G246">
        <f>IF(Table13[[#This Row],[New Pos L]]&lt;&gt;0,Table13[[#This Row],[New Pos L]],Table13[[#This Row],[New Pos R]])</f>
        <v>0</v>
      </c>
      <c r="H246">
        <f>IF(AND(Table13[[#This Row],[Direction]]="L",Table13[[#This Row],[Steps]]&gt;G245,G245&lt;&gt;0),1,0)</f>
        <v>0</v>
      </c>
      <c r="I246">
        <f>IF(AND(Table13[[#This Row],[Direction]]="R",(G245+Table13[[#This Row],[Steps]])&gt;100),1,0)</f>
        <v>0</v>
      </c>
      <c r="J246">
        <f>IF(Table13[[#This Row],[POS]]=0,1,0)</f>
        <v>1</v>
      </c>
      <c r="K246">
        <f>SUM(Table13[[#This Row],[prefix]],Table13[[#This Row],[Past zero L]],Table13[[#This Row],[Past Zero R]],Table13[[#This Row],[Is Zero]])</f>
        <v>1</v>
      </c>
    </row>
    <row r="247" spans="1:11" ht="16" x14ac:dyDescent="0.2">
      <c r="A247" s="1" t="s">
        <v>156</v>
      </c>
      <c r="B247" t="str">
        <f>LEFT(Table13[[#This Row],[Input]],1)</f>
        <v>L</v>
      </c>
      <c r="C247">
        <f>_xlfn.LET(_xlpm.steps,SUBSTITUTE(Table13[[#This Row],[Input]],Table13[[#This Row],[Direction]],""),VALUE(IF(LEN(_xlpm.steps)&gt;2,RIGHT(_xlpm.steps,2),_xlpm.steps)))</f>
        <v>58</v>
      </c>
      <c r="D247">
        <f>_xlfn.LET(_xlpm.steps,SUBSTITUTE(Table13[[#This Row],[Input]],Table13[[#This Row],[Direction]],""),VALUE(IF(LEN(_xlpm.steps)&gt;2,LEFT(_xlpm.steps,LEN(_xlpm.steps)-2),0)))</f>
        <v>4</v>
      </c>
      <c r="E247">
        <f>_xlfn.LET(_xlpm.dir,Table13[[#This Row],[Direction]],
IF(_xlpm.dir="L",
    IF(G246-Table13[[#This Row],[Steps]]&lt;0,100+(G246-Table13[[#This Row],[Steps]]),G246-Table13[[#This Row],[Steps]]),
))</f>
        <v>42</v>
      </c>
      <c r="F247">
        <f>_xlfn.LET(_xlpm.dir,Table13[[#This Row],[Direction]],
IF(_xlpm.dir="R",
    IF(G246+Table13[[#This Row],[Steps]]&gt;99,(G246+Table13[[#This Row],[Steps]])-100,G246+Table13[[#This Row],[Steps]]),
))</f>
        <v>0</v>
      </c>
      <c r="G247">
        <f>IF(Table13[[#This Row],[New Pos L]]&lt;&gt;0,Table13[[#This Row],[New Pos L]],Table13[[#This Row],[New Pos R]])</f>
        <v>42</v>
      </c>
      <c r="H247">
        <f>IF(AND(Table13[[#This Row],[Direction]]="L",Table13[[#This Row],[Steps]]&gt;G246,G246&lt;&gt;0),1,0)</f>
        <v>0</v>
      </c>
      <c r="I247">
        <f>IF(AND(Table13[[#This Row],[Direction]]="R",(G246+Table13[[#This Row],[Steps]])&gt;100),1,0)</f>
        <v>0</v>
      </c>
      <c r="J247">
        <f>IF(Table13[[#This Row],[POS]]=0,1,0)</f>
        <v>0</v>
      </c>
      <c r="K247">
        <f>SUM(Table13[[#This Row],[prefix]],Table13[[#This Row],[Past zero L]],Table13[[#This Row],[Past Zero R]],Table13[[#This Row],[Is Zero]])</f>
        <v>4</v>
      </c>
    </row>
    <row r="248" spans="1:11" ht="16" x14ac:dyDescent="0.2">
      <c r="A248" s="1" t="s">
        <v>157</v>
      </c>
      <c r="B248" t="str">
        <f>LEFT(Table13[[#This Row],[Input]],1)</f>
        <v>R</v>
      </c>
      <c r="C248">
        <f>_xlfn.LET(_xlpm.steps,SUBSTITUTE(Table13[[#This Row],[Input]],Table13[[#This Row],[Direction]],""),VALUE(IF(LEN(_xlpm.steps)&gt;2,RIGHT(_xlpm.steps,2),_xlpm.steps)))</f>
        <v>68</v>
      </c>
      <c r="D248">
        <f>_xlfn.LET(_xlpm.steps,SUBSTITUTE(Table13[[#This Row],[Input]],Table13[[#This Row],[Direction]],""),VALUE(IF(LEN(_xlpm.steps)&gt;2,LEFT(_xlpm.steps,LEN(_xlpm.steps)-2),0)))</f>
        <v>0</v>
      </c>
      <c r="E248">
        <f>_xlfn.LET(_xlpm.dir,Table13[[#This Row],[Direction]],
IF(_xlpm.dir="L",
    IF(G247-Table13[[#This Row],[Steps]]&lt;0,100+(G247-Table13[[#This Row],[Steps]]),G247-Table13[[#This Row],[Steps]]),
))</f>
        <v>0</v>
      </c>
      <c r="F248">
        <f>_xlfn.LET(_xlpm.dir,Table13[[#This Row],[Direction]],
IF(_xlpm.dir="R",
    IF(G247+Table13[[#This Row],[Steps]]&gt;99,(G247+Table13[[#This Row],[Steps]])-100,G247+Table13[[#This Row],[Steps]]),
))</f>
        <v>10</v>
      </c>
      <c r="G248">
        <f>IF(Table13[[#This Row],[New Pos L]]&lt;&gt;0,Table13[[#This Row],[New Pos L]],Table13[[#This Row],[New Pos R]])</f>
        <v>10</v>
      </c>
      <c r="H248">
        <f>IF(AND(Table13[[#This Row],[Direction]]="L",Table13[[#This Row],[Steps]]&gt;G247,G247&lt;&gt;0),1,0)</f>
        <v>0</v>
      </c>
      <c r="I248">
        <f>IF(AND(Table13[[#This Row],[Direction]]="R",(G247+Table13[[#This Row],[Steps]])&gt;100),1,0)</f>
        <v>1</v>
      </c>
      <c r="J248">
        <f>IF(Table13[[#This Row],[POS]]=0,1,0)</f>
        <v>0</v>
      </c>
      <c r="K248">
        <f>SUM(Table13[[#This Row],[prefix]],Table13[[#This Row],[Past zero L]],Table13[[#This Row],[Past Zero R]],Table13[[#This Row],[Is Zero]])</f>
        <v>1</v>
      </c>
    </row>
    <row r="249" spans="1:11" ht="16" x14ac:dyDescent="0.2">
      <c r="A249" s="1" t="s">
        <v>32</v>
      </c>
      <c r="B249" t="str">
        <f>LEFT(Table13[[#This Row],[Input]],1)</f>
        <v>L</v>
      </c>
      <c r="C249">
        <f>_xlfn.LET(_xlpm.steps,SUBSTITUTE(Table13[[#This Row],[Input]],Table13[[#This Row],[Direction]],""),VALUE(IF(LEN(_xlpm.steps)&gt;2,RIGHT(_xlpm.steps,2),_xlpm.steps)))</f>
        <v>28</v>
      </c>
      <c r="D249">
        <f>_xlfn.LET(_xlpm.steps,SUBSTITUTE(Table13[[#This Row],[Input]],Table13[[#This Row],[Direction]],""),VALUE(IF(LEN(_xlpm.steps)&gt;2,LEFT(_xlpm.steps,LEN(_xlpm.steps)-2),0)))</f>
        <v>0</v>
      </c>
      <c r="E249">
        <f>_xlfn.LET(_xlpm.dir,Table13[[#This Row],[Direction]],
IF(_xlpm.dir="L",
    IF(G248-Table13[[#This Row],[Steps]]&lt;0,100+(G248-Table13[[#This Row],[Steps]]),G248-Table13[[#This Row],[Steps]]),
))</f>
        <v>82</v>
      </c>
      <c r="F249">
        <f>_xlfn.LET(_xlpm.dir,Table13[[#This Row],[Direction]],
IF(_xlpm.dir="R",
    IF(G248+Table13[[#This Row],[Steps]]&gt;99,(G248+Table13[[#This Row],[Steps]])-100,G248+Table13[[#This Row],[Steps]]),
))</f>
        <v>0</v>
      </c>
      <c r="G249">
        <f>IF(Table13[[#This Row],[New Pos L]]&lt;&gt;0,Table13[[#This Row],[New Pos L]],Table13[[#This Row],[New Pos R]])</f>
        <v>82</v>
      </c>
      <c r="H249">
        <f>IF(AND(Table13[[#This Row],[Direction]]="L",Table13[[#This Row],[Steps]]&gt;G248,G248&lt;&gt;0),1,0)</f>
        <v>1</v>
      </c>
      <c r="I249">
        <f>IF(AND(Table13[[#This Row],[Direction]]="R",(G248+Table13[[#This Row],[Steps]])&gt;100),1,0)</f>
        <v>0</v>
      </c>
      <c r="J249">
        <f>IF(Table13[[#This Row],[POS]]=0,1,0)</f>
        <v>0</v>
      </c>
      <c r="K249">
        <f>SUM(Table13[[#This Row],[prefix]],Table13[[#This Row],[Past zero L]],Table13[[#This Row],[Past Zero R]],Table13[[#This Row],[Is Zero]])</f>
        <v>1</v>
      </c>
    </row>
    <row r="250" spans="1:11" ht="16" x14ac:dyDescent="0.2">
      <c r="A250" s="1" t="s">
        <v>158</v>
      </c>
      <c r="B250" t="str">
        <f>LEFT(Table13[[#This Row],[Input]],1)</f>
        <v>L</v>
      </c>
      <c r="C250">
        <f>_xlfn.LET(_xlpm.steps,SUBSTITUTE(Table13[[#This Row],[Input]],Table13[[#This Row],[Direction]],""),VALUE(IF(LEN(_xlpm.steps)&gt;2,RIGHT(_xlpm.steps,2),_xlpm.steps)))</f>
        <v>24</v>
      </c>
      <c r="D250">
        <f>_xlfn.LET(_xlpm.steps,SUBSTITUTE(Table13[[#This Row],[Input]],Table13[[#This Row],[Direction]],""),VALUE(IF(LEN(_xlpm.steps)&gt;2,LEFT(_xlpm.steps,LEN(_xlpm.steps)-2),0)))</f>
        <v>0</v>
      </c>
      <c r="E250">
        <f>_xlfn.LET(_xlpm.dir,Table13[[#This Row],[Direction]],
IF(_xlpm.dir="L",
    IF(G249-Table13[[#This Row],[Steps]]&lt;0,100+(G249-Table13[[#This Row],[Steps]]),G249-Table13[[#This Row],[Steps]]),
))</f>
        <v>58</v>
      </c>
      <c r="F250">
        <f>_xlfn.LET(_xlpm.dir,Table13[[#This Row],[Direction]],
IF(_xlpm.dir="R",
    IF(G249+Table13[[#This Row],[Steps]]&gt;99,(G249+Table13[[#This Row],[Steps]])-100,G249+Table13[[#This Row],[Steps]]),
))</f>
        <v>0</v>
      </c>
      <c r="G250">
        <f>IF(Table13[[#This Row],[New Pos L]]&lt;&gt;0,Table13[[#This Row],[New Pos L]],Table13[[#This Row],[New Pos R]])</f>
        <v>58</v>
      </c>
      <c r="H250">
        <f>IF(AND(Table13[[#This Row],[Direction]]="L",Table13[[#This Row],[Steps]]&gt;G249,G249&lt;&gt;0),1,0)</f>
        <v>0</v>
      </c>
      <c r="I250">
        <f>IF(AND(Table13[[#This Row],[Direction]]="R",(G249+Table13[[#This Row],[Steps]])&gt;100),1,0)</f>
        <v>0</v>
      </c>
      <c r="J250">
        <f>IF(Table13[[#This Row],[POS]]=0,1,0)</f>
        <v>0</v>
      </c>
      <c r="K250">
        <f>SUM(Table13[[#This Row],[prefix]],Table13[[#This Row],[Past zero L]],Table13[[#This Row],[Past Zero R]],Table13[[#This Row],[Is Zero]])</f>
        <v>0</v>
      </c>
    </row>
    <row r="251" spans="1:11" ht="16" x14ac:dyDescent="0.2">
      <c r="A251" s="1" t="s">
        <v>159</v>
      </c>
      <c r="B251" t="str">
        <f>LEFT(Table13[[#This Row],[Input]],1)</f>
        <v>R</v>
      </c>
      <c r="C251">
        <f>_xlfn.LET(_xlpm.steps,SUBSTITUTE(Table13[[#This Row],[Input]],Table13[[#This Row],[Direction]],""),VALUE(IF(LEN(_xlpm.steps)&gt;2,RIGHT(_xlpm.steps,2),_xlpm.steps)))</f>
        <v>24</v>
      </c>
      <c r="D251">
        <f>_xlfn.LET(_xlpm.steps,SUBSTITUTE(Table13[[#This Row],[Input]],Table13[[#This Row],[Direction]],""),VALUE(IF(LEN(_xlpm.steps)&gt;2,LEFT(_xlpm.steps,LEN(_xlpm.steps)-2),0)))</f>
        <v>0</v>
      </c>
      <c r="E251">
        <f>_xlfn.LET(_xlpm.dir,Table13[[#This Row],[Direction]],
IF(_xlpm.dir="L",
    IF(G250-Table13[[#This Row],[Steps]]&lt;0,100+(G250-Table13[[#This Row],[Steps]]),G250-Table13[[#This Row],[Steps]]),
))</f>
        <v>0</v>
      </c>
      <c r="F251">
        <f>_xlfn.LET(_xlpm.dir,Table13[[#This Row],[Direction]],
IF(_xlpm.dir="R",
    IF(G250+Table13[[#This Row],[Steps]]&gt;99,(G250+Table13[[#This Row],[Steps]])-100,G250+Table13[[#This Row],[Steps]]),
))</f>
        <v>82</v>
      </c>
      <c r="G251">
        <f>IF(Table13[[#This Row],[New Pos L]]&lt;&gt;0,Table13[[#This Row],[New Pos L]],Table13[[#This Row],[New Pos R]])</f>
        <v>82</v>
      </c>
      <c r="H251">
        <f>IF(AND(Table13[[#This Row],[Direction]]="L",Table13[[#This Row],[Steps]]&gt;G250,G250&lt;&gt;0),1,0)</f>
        <v>0</v>
      </c>
      <c r="I251">
        <f>IF(AND(Table13[[#This Row],[Direction]]="R",(G250+Table13[[#This Row],[Steps]])&gt;100),1,0)</f>
        <v>0</v>
      </c>
      <c r="J251">
        <f>IF(Table13[[#This Row],[POS]]=0,1,0)</f>
        <v>0</v>
      </c>
      <c r="K251">
        <f>SUM(Table13[[#This Row],[prefix]],Table13[[#This Row],[Past zero L]],Table13[[#This Row],[Past Zero R]],Table13[[#This Row],[Is Zero]])</f>
        <v>0</v>
      </c>
    </row>
    <row r="252" spans="1:11" ht="16" x14ac:dyDescent="0.2">
      <c r="A252" s="1" t="s">
        <v>55</v>
      </c>
      <c r="B252" t="str">
        <f>LEFT(Table13[[#This Row],[Input]],1)</f>
        <v>L</v>
      </c>
      <c r="C252">
        <f>_xlfn.LET(_xlpm.steps,SUBSTITUTE(Table13[[#This Row],[Input]],Table13[[#This Row],[Direction]],""),VALUE(IF(LEN(_xlpm.steps)&gt;2,RIGHT(_xlpm.steps,2),_xlpm.steps)))</f>
        <v>82</v>
      </c>
      <c r="D252">
        <f>_xlfn.LET(_xlpm.steps,SUBSTITUTE(Table13[[#This Row],[Input]],Table13[[#This Row],[Direction]],""),VALUE(IF(LEN(_xlpm.steps)&gt;2,LEFT(_xlpm.steps,LEN(_xlpm.steps)-2),0)))</f>
        <v>0</v>
      </c>
      <c r="E252">
        <f>_xlfn.LET(_xlpm.dir,Table13[[#This Row],[Direction]],
IF(_xlpm.dir="L",
    IF(G251-Table13[[#This Row],[Steps]]&lt;0,100+(G251-Table13[[#This Row],[Steps]]),G251-Table13[[#This Row],[Steps]]),
))</f>
        <v>0</v>
      </c>
      <c r="F252">
        <f>_xlfn.LET(_xlpm.dir,Table13[[#This Row],[Direction]],
IF(_xlpm.dir="R",
    IF(G251+Table13[[#This Row],[Steps]]&gt;99,(G251+Table13[[#This Row],[Steps]])-100,G251+Table13[[#This Row],[Steps]]),
))</f>
        <v>0</v>
      </c>
      <c r="G252">
        <f>IF(Table13[[#This Row],[New Pos L]]&lt;&gt;0,Table13[[#This Row],[New Pos L]],Table13[[#This Row],[New Pos R]])</f>
        <v>0</v>
      </c>
      <c r="H252">
        <f>IF(AND(Table13[[#This Row],[Direction]]="L",Table13[[#This Row],[Steps]]&gt;G251,G251&lt;&gt;0),1,0)</f>
        <v>0</v>
      </c>
      <c r="I252">
        <f>IF(AND(Table13[[#This Row],[Direction]]="R",(G251+Table13[[#This Row],[Steps]])&gt;100),1,0)</f>
        <v>0</v>
      </c>
      <c r="J252">
        <f>IF(Table13[[#This Row],[POS]]=0,1,0)</f>
        <v>1</v>
      </c>
      <c r="K252">
        <f>SUM(Table13[[#This Row],[prefix]],Table13[[#This Row],[Past zero L]],Table13[[#This Row],[Past Zero R]],Table13[[#This Row],[Is Zero]])</f>
        <v>1</v>
      </c>
    </row>
    <row r="253" spans="1:11" ht="16" x14ac:dyDescent="0.2">
      <c r="A253" s="1" t="s">
        <v>10</v>
      </c>
      <c r="B253" t="str">
        <f>LEFT(Table13[[#This Row],[Input]],1)</f>
        <v>L</v>
      </c>
      <c r="C253">
        <f>_xlfn.LET(_xlpm.steps,SUBSTITUTE(Table13[[#This Row],[Input]],Table13[[#This Row],[Direction]],""),VALUE(IF(LEN(_xlpm.steps)&gt;2,RIGHT(_xlpm.steps,2),_xlpm.steps)))</f>
        <v>35</v>
      </c>
      <c r="D253">
        <f>_xlfn.LET(_xlpm.steps,SUBSTITUTE(Table13[[#This Row],[Input]],Table13[[#This Row],[Direction]],""),VALUE(IF(LEN(_xlpm.steps)&gt;2,LEFT(_xlpm.steps,LEN(_xlpm.steps)-2),0)))</f>
        <v>0</v>
      </c>
      <c r="E253">
        <f>_xlfn.LET(_xlpm.dir,Table13[[#This Row],[Direction]],
IF(_xlpm.dir="L",
    IF(G252-Table13[[#This Row],[Steps]]&lt;0,100+(G252-Table13[[#This Row],[Steps]]),G252-Table13[[#This Row],[Steps]]),
))</f>
        <v>65</v>
      </c>
      <c r="F253">
        <f>_xlfn.LET(_xlpm.dir,Table13[[#This Row],[Direction]],
IF(_xlpm.dir="R",
    IF(G252+Table13[[#This Row],[Steps]]&gt;99,(G252+Table13[[#This Row],[Steps]])-100,G252+Table13[[#This Row],[Steps]]),
))</f>
        <v>0</v>
      </c>
      <c r="G253">
        <f>IF(Table13[[#This Row],[New Pos L]]&lt;&gt;0,Table13[[#This Row],[New Pos L]],Table13[[#This Row],[New Pos R]])</f>
        <v>65</v>
      </c>
      <c r="H253">
        <f>IF(AND(Table13[[#This Row],[Direction]]="L",Table13[[#This Row],[Steps]]&gt;G252,G252&lt;&gt;0),1,0)</f>
        <v>0</v>
      </c>
      <c r="I253">
        <f>IF(AND(Table13[[#This Row],[Direction]]="R",(G252+Table13[[#This Row],[Steps]])&gt;100),1,0)</f>
        <v>0</v>
      </c>
      <c r="J253">
        <f>IF(Table13[[#This Row],[POS]]=0,1,0)</f>
        <v>0</v>
      </c>
      <c r="K253">
        <f>SUM(Table13[[#This Row],[prefix]],Table13[[#This Row],[Past zero L]],Table13[[#This Row],[Past Zero R]],Table13[[#This Row],[Is Zero]])</f>
        <v>0</v>
      </c>
    </row>
    <row r="254" spans="1:11" ht="16" x14ac:dyDescent="0.2">
      <c r="A254" s="1" t="s">
        <v>160</v>
      </c>
      <c r="B254" t="str">
        <f>LEFT(Table13[[#This Row],[Input]],1)</f>
        <v>L</v>
      </c>
      <c r="C254">
        <f>_xlfn.LET(_xlpm.steps,SUBSTITUTE(Table13[[#This Row],[Input]],Table13[[#This Row],[Direction]],""),VALUE(IF(LEN(_xlpm.steps)&gt;2,RIGHT(_xlpm.steps,2),_xlpm.steps)))</f>
        <v>65</v>
      </c>
      <c r="D254">
        <f>_xlfn.LET(_xlpm.steps,SUBSTITUTE(Table13[[#This Row],[Input]],Table13[[#This Row],[Direction]],""),VALUE(IF(LEN(_xlpm.steps)&gt;2,LEFT(_xlpm.steps,LEN(_xlpm.steps)-2),0)))</f>
        <v>9</v>
      </c>
      <c r="E254">
        <f>_xlfn.LET(_xlpm.dir,Table13[[#This Row],[Direction]],
IF(_xlpm.dir="L",
    IF(G253-Table13[[#This Row],[Steps]]&lt;0,100+(G253-Table13[[#This Row],[Steps]]),G253-Table13[[#This Row],[Steps]]),
))</f>
        <v>0</v>
      </c>
      <c r="F254">
        <f>_xlfn.LET(_xlpm.dir,Table13[[#This Row],[Direction]],
IF(_xlpm.dir="R",
    IF(G253+Table13[[#This Row],[Steps]]&gt;99,(G253+Table13[[#This Row],[Steps]])-100,G253+Table13[[#This Row],[Steps]]),
))</f>
        <v>0</v>
      </c>
      <c r="G254">
        <f>IF(Table13[[#This Row],[New Pos L]]&lt;&gt;0,Table13[[#This Row],[New Pos L]],Table13[[#This Row],[New Pos R]])</f>
        <v>0</v>
      </c>
      <c r="H254">
        <f>IF(AND(Table13[[#This Row],[Direction]]="L",Table13[[#This Row],[Steps]]&gt;G253,G253&lt;&gt;0),1,0)</f>
        <v>0</v>
      </c>
      <c r="I254">
        <f>IF(AND(Table13[[#This Row],[Direction]]="R",(G253+Table13[[#This Row],[Steps]])&gt;100),1,0)</f>
        <v>0</v>
      </c>
      <c r="J254">
        <f>IF(Table13[[#This Row],[POS]]=0,1,0)</f>
        <v>1</v>
      </c>
      <c r="K254">
        <f>SUM(Table13[[#This Row],[prefix]],Table13[[#This Row],[Past zero L]],Table13[[#This Row],[Past Zero R]],Table13[[#This Row],[Is Zero]])</f>
        <v>10</v>
      </c>
    </row>
    <row r="255" spans="1:11" ht="16" x14ac:dyDescent="0.2">
      <c r="A255" s="1" t="s">
        <v>3</v>
      </c>
      <c r="B255" t="str">
        <f>LEFT(Table13[[#This Row],[Input]],1)</f>
        <v>R</v>
      </c>
      <c r="C255">
        <f>_xlfn.LET(_xlpm.steps,SUBSTITUTE(Table13[[#This Row],[Input]],Table13[[#This Row],[Direction]],""),VALUE(IF(LEN(_xlpm.steps)&gt;2,RIGHT(_xlpm.steps,2),_xlpm.steps)))</f>
        <v>44</v>
      </c>
      <c r="D255">
        <f>_xlfn.LET(_xlpm.steps,SUBSTITUTE(Table13[[#This Row],[Input]],Table13[[#This Row],[Direction]],""),VALUE(IF(LEN(_xlpm.steps)&gt;2,LEFT(_xlpm.steps,LEN(_xlpm.steps)-2),0)))</f>
        <v>0</v>
      </c>
      <c r="E255">
        <f>_xlfn.LET(_xlpm.dir,Table13[[#This Row],[Direction]],
IF(_xlpm.dir="L",
    IF(G254-Table13[[#This Row],[Steps]]&lt;0,100+(G254-Table13[[#This Row],[Steps]]),G254-Table13[[#This Row],[Steps]]),
))</f>
        <v>0</v>
      </c>
      <c r="F255">
        <f>_xlfn.LET(_xlpm.dir,Table13[[#This Row],[Direction]],
IF(_xlpm.dir="R",
    IF(G254+Table13[[#This Row],[Steps]]&gt;99,(G254+Table13[[#This Row],[Steps]])-100,G254+Table13[[#This Row],[Steps]]),
))</f>
        <v>44</v>
      </c>
      <c r="G255">
        <f>IF(Table13[[#This Row],[New Pos L]]&lt;&gt;0,Table13[[#This Row],[New Pos L]],Table13[[#This Row],[New Pos R]])</f>
        <v>44</v>
      </c>
      <c r="H255">
        <f>IF(AND(Table13[[#This Row],[Direction]]="L",Table13[[#This Row],[Steps]]&gt;G254,G254&lt;&gt;0),1,0)</f>
        <v>0</v>
      </c>
      <c r="I255">
        <f>IF(AND(Table13[[#This Row],[Direction]]="R",(G254+Table13[[#This Row],[Steps]])&gt;100),1,0)</f>
        <v>0</v>
      </c>
      <c r="J255">
        <f>IF(Table13[[#This Row],[POS]]=0,1,0)</f>
        <v>0</v>
      </c>
      <c r="K255">
        <f>SUM(Table13[[#This Row],[prefix]],Table13[[#This Row],[Past zero L]],Table13[[#This Row],[Past Zero R]],Table13[[#This Row],[Is Zero]])</f>
        <v>0</v>
      </c>
    </row>
    <row r="256" spans="1:11" ht="16" x14ac:dyDescent="0.2">
      <c r="A256" s="1" t="s">
        <v>0</v>
      </c>
      <c r="B256" t="str">
        <f>LEFT(Table13[[#This Row],[Input]],1)</f>
        <v>L</v>
      </c>
      <c r="C256">
        <f>_xlfn.LET(_xlpm.steps,SUBSTITUTE(Table13[[#This Row],[Input]],Table13[[#This Row],[Direction]],""),VALUE(IF(LEN(_xlpm.steps)&gt;2,RIGHT(_xlpm.steps,2),_xlpm.steps)))</f>
        <v>44</v>
      </c>
      <c r="D256">
        <f>_xlfn.LET(_xlpm.steps,SUBSTITUTE(Table13[[#This Row],[Input]],Table13[[#This Row],[Direction]],""),VALUE(IF(LEN(_xlpm.steps)&gt;2,LEFT(_xlpm.steps,LEN(_xlpm.steps)-2),0)))</f>
        <v>0</v>
      </c>
      <c r="E256">
        <f>_xlfn.LET(_xlpm.dir,Table13[[#This Row],[Direction]],
IF(_xlpm.dir="L",
    IF(G255-Table13[[#This Row],[Steps]]&lt;0,100+(G255-Table13[[#This Row],[Steps]]),G255-Table13[[#This Row],[Steps]]),
))</f>
        <v>0</v>
      </c>
      <c r="F256">
        <f>_xlfn.LET(_xlpm.dir,Table13[[#This Row],[Direction]],
IF(_xlpm.dir="R",
    IF(G255+Table13[[#This Row],[Steps]]&gt;99,(G255+Table13[[#This Row],[Steps]])-100,G255+Table13[[#This Row],[Steps]]),
))</f>
        <v>0</v>
      </c>
      <c r="G256">
        <f>IF(Table13[[#This Row],[New Pos L]]&lt;&gt;0,Table13[[#This Row],[New Pos L]],Table13[[#This Row],[New Pos R]])</f>
        <v>0</v>
      </c>
      <c r="H256">
        <f>IF(AND(Table13[[#This Row],[Direction]]="L",Table13[[#This Row],[Steps]]&gt;G255,G255&lt;&gt;0),1,0)</f>
        <v>0</v>
      </c>
      <c r="I256">
        <f>IF(AND(Table13[[#This Row],[Direction]]="R",(G255+Table13[[#This Row],[Steps]])&gt;100),1,0)</f>
        <v>0</v>
      </c>
      <c r="J256">
        <f>IF(Table13[[#This Row],[POS]]=0,1,0)</f>
        <v>1</v>
      </c>
      <c r="K256">
        <f>SUM(Table13[[#This Row],[prefix]],Table13[[#This Row],[Past zero L]],Table13[[#This Row],[Past Zero R]],Table13[[#This Row],[Is Zero]])</f>
        <v>1</v>
      </c>
    </row>
    <row r="257" spans="1:11" ht="16" x14ac:dyDescent="0.2">
      <c r="A257" s="1" t="s">
        <v>161</v>
      </c>
      <c r="B257" t="str">
        <f>LEFT(Table13[[#This Row],[Input]],1)</f>
        <v>R</v>
      </c>
      <c r="C257">
        <f>_xlfn.LET(_xlpm.steps,SUBSTITUTE(Table13[[#This Row],[Input]],Table13[[#This Row],[Direction]],""),VALUE(IF(LEN(_xlpm.steps)&gt;2,RIGHT(_xlpm.steps,2),_xlpm.steps)))</f>
        <v>76</v>
      </c>
      <c r="D257">
        <f>_xlfn.LET(_xlpm.steps,SUBSTITUTE(Table13[[#This Row],[Input]],Table13[[#This Row],[Direction]],""),VALUE(IF(LEN(_xlpm.steps)&gt;2,LEFT(_xlpm.steps,LEN(_xlpm.steps)-2),0)))</f>
        <v>0</v>
      </c>
      <c r="E257">
        <f>_xlfn.LET(_xlpm.dir,Table13[[#This Row],[Direction]],
IF(_xlpm.dir="L",
    IF(G256-Table13[[#This Row],[Steps]]&lt;0,100+(G256-Table13[[#This Row],[Steps]]),G256-Table13[[#This Row],[Steps]]),
))</f>
        <v>0</v>
      </c>
      <c r="F257">
        <f>_xlfn.LET(_xlpm.dir,Table13[[#This Row],[Direction]],
IF(_xlpm.dir="R",
    IF(G256+Table13[[#This Row],[Steps]]&gt;99,(G256+Table13[[#This Row],[Steps]])-100,G256+Table13[[#This Row],[Steps]]),
))</f>
        <v>76</v>
      </c>
      <c r="G257">
        <f>IF(Table13[[#This Row],[New Pos L]]&lt;&gt;0,Table13[[#This Row],[New Pos L]],Table13[[#This Row],[New Pos R]])</f>
        <v>76</v>
      </c>
      <c r="H257">
        <f>IF(AND(Table13[[#This Row],[Direction]]="L",Table13[[#This Row],[Steps]]&gt;G256,G256&lt;&gt;0),1,0)</f>
        <v>0</v>
      </c>
      <c r="I257">
        <f>IF(AND(Table13[[#This Row],[Direction]]="R",(G256+Table13[[#This Row],[Steps]])&gt;100),1,0)</f>
        <v>0</v>
      </c>
      <c r="J257">
        <f>IF(Table13[[#This Row],[POS]]=0,1,0)</f>
        <v>0</v>
      </c>
      <c r="K257">
        <f>SUM(Table13[[#This Row],[prefix]],Table13[[#This Row],[Past zero L]],Table13[[#This Row],[Past Zero R]],Table13[[#This Row],[Is Zero]])</f>
        <v>0</v>
      </c>
    </row>
    <row r="258" spans="1:11" ht="16" x14ac:dyDescent="0.2">
      <c r="A258" s="1" t="s">
        <v>162</v>
      </c>
      <c r="B258" t="str">
        <f>LEFT(Table13[[#This Row],[Input]],1)</f>
        <v>R</v>
      </c>
      <c r="C258">
        <f>_xlfn.LET(_xlpm.steps,SUBSTITUTE(Table13[[#This Row],[Input]],Table13[[#This Row],[Direction]],""),VALUE(IF(LEN(_xlpm.steps)&gt;2,RIGHT(_xlpm.steps,2),_xlpm.steps)))</f>
        <v>71</v>
      </c>
      <c r="D258">
        <f>_xlfn.LET(_xlpm.steps,SUBSTITUTE(Table13[[#This Row],[Input]],Table13[[#This Row],[Direction]],""),VALUE(IF(LEN(_xlpm.steps)&gt;2,LEFT(_xlpm.steps,LEN(_xlpm.steps)-2),0)))</f>
        <v>8</v>
      </c>
      <c r="E258">
        <f>_xlfn.LET(_xlpm.dir,Table13[[#This Row],[Direction]],
IF(_xlpm.dir="L",
    IF(G257-Table13[[#This Row],[Steps]]&lt;0,100+(G257-Table13[[#This Row],[Steps]]),G257-Table13[[#This Row],[Steps]]),
))</f>
        <v>0</v>
      </c>
      <c r="F258">
        <f>_xlfn.LET(_xlpm.dir,Table13[[#This Row],[Direction]],
IF(_xlpm.dir="R",
    IF(G257+Table13[[#This Row],[Steps]]&gt;99,(G257+Table13[[#This Row],[Steps]])-100,G257+Table13[[#This Row],[Steps]]),
))</f>
        <v>47</v>
      </c>
      <c r="G258">
        <f>IF(Table13[[#This Row],[New Pos L]]&lt;&gt;0,Table13[[#This Row],[New Pos L]],Table13[[#This Row],[New Pos R]])</f>
        <v>47</v>
      </c>
      <c r="H258">
        <f>IF(AND(Table13[[#This Row],[Direction]]="L",Table13[[#This Row],[Steps]]&gt;G257,G257&lt;&gt;0),1,0)</f>
        <v>0</v>
      </c>
      <c r="I258">
        <f>IF(AND(Table13[[#This Row],[Direction]]="R",(G257+Table13[[#This Row],[Steps]])&gt;100),1,0)</f>
        <v>1</v>
      </c>
      <c r="J258">
        <f>IF(Table13[[#This Row],[POS]]=0,1,0)</f>
        <v>0</v>
      </c>
      <c r="K258">
        <f>SUM(Table13[[#This Row],[prefix]],Table13[[#This Row],[Past zero L]],Table13[[#This Row],[Past Zero R]],Table13[[#This Row],[Is Zero]])</f>
        <v>9</v>
      </c>
    </row>
    <row r="259" spans="1:11" ht="16" x14ac:dyDescent="0.2">
      <c r="A259" s="1" t="s">
        <v>163</v>
      </c>
      <c r="B259" t="str">
        <f>LEFT(Table13[[#This Row],[Input]],1)</f>
        <v>R</v>
      </c>
      <c r="C259">
        <f>_xlfn.LET(_xlpm.steps,SUBSTITUTE(Table13[[#This Row],[Input]],Table13[[#This Row],[Direction]],""),VALUE(IF(LEN(_xlpm.steps)&gt;2,RIGHT(_xlpm.steps,2),_xlpm.steps)))</f>
        <v>53</v>
      </c>
      <c r="D259">
        <f>_xlfn.LET(_xlpm.steps,SUBSTITUTE(Table13[[#This Row],[Input]],Table13[[#This Row],[Direction]],""),VALUE(IF(LEN(_xlpm.steps)&gt;2,LEFT(_xlpm.steps,LEN(_xlpm.steps)-2),0)))</f>
        <v>5</v>
      </c>
      <c r="E259">
        <f>_xlfn.LET(_xlpm.dir,Table13[[#This Row],[Direction]],
IF(_xlpm.dir="L",
    IF(G258-Table13[[#This Row],[Steps]]&lt;0,100+(G258-Table13[[#This Row],[Steps]]),G258-Table13[[#This Row],[Steps]]),
))</f>
        <v>0</v>
      </c>
      <c r="F259">
        <f>_xlfn.LET(_xlpm.dir,Table13[[#This Row],[Direction]],
IF(_xlpm.dir="R",
    IF(G258+Table13[[#This Row],[Steps]]&gt;99,(G258+Table13[[#This Row],[Steps]])-100,G258+Table13[[#This Row],[Steps]]),
))</f>
        <v>0</v>
      </c>
      <c r="G259">
        <f>IF(Table13[[#This Row],[New Pos L]]&lt;&gt;0,Table13[[#This Row],[New Pos L]],Table13[[#This Row],[New Pos R]])</f>
        <v>0</v>
      </c>
      <c r="H259">
        <f>IF(AND(Table13[[#This Row],[Direction]]="L",Table13[[#This Row],[Steps]]&gt;G258,G258&lt;&gt;0),1,0)</f>
        <v>0</v>
      </c>
      <c r="I259">
        <f>IF(AND(Table13[[#This Row],[Direction]]="R",(G258+Table13[[#This Row],[Steps]])&gt;100),1,0)</f>
        <v>0</v>
      </c>
      <c r="J259">
        <f>IF(Table13[[#This Row],[POS]]=0,1,0)</f>
        <v>1</v>
      </c>
      <c r="K259">
        <f>SUM(Table13[[#This Row],[prefix]],Table13[[#This Row],[Past zero L]],Table13[[#This Row],[Past Zero R]],Table13[[#This Row],[Is Zero]])</f>
        <v>6</v>
      </c>
    </row>
    <row r="260" spans="1:11" ht="16" x14ac:dyDescent="0.2">
      <c r="A260" s="1" t="s">
        <v>5</v>
      </c>
      <c r="B260" t="str">
        <f>LEFT(Table13[[#This Row],[Input]],1)</f>
        <v>R</v>
      </c>
      <c r="C260">
        <f>_xlfn.LET(_xlpm.steps,SUBSTITUTE(Table13[[#This Row],[Input]],Table13[[#This Row],[Direction]],""),VALUE(IF(LEN(_xlpm.steps)&gt;2,RIGHT(_xlpm.steps,2),_xlpm.steps)))</f>
        <v>1</v>
      </c>
      <c r="D260">
        <f>_xlfn.LET(_xlpm.steps,SUBSTITUTE(Table13[[#This Row],[Input]],Table13[[#This Row],[Direction]],""),VALUE(IF(LEN(_xlpm.steps)&gt;2,LEFT(_xlpm.steps,LEN(_xlpm.steps)-2),0)))</f>
        <v>0</v>
      </c>
      <c r="E260">
        <f>_xlfn.LET(_xlpm.dir,Table13[[#This Row],[Direction]],
IF(_xlpm.dir="L",
    IF(G259-Table13[[#This Row],[Steps]]&lt;0,100+(G259-Table13[[#This Row],[Steps]]),G259-Table13[[#This Row],[Steps]]),
))</f>
        <v>0</v>
      </c>
      <c r="F260">
        <f>_xlfn.LET(_xlpm.dir,Table13[[#This Row],[Direction]],
IF(_xlpm.dir="R",
    IF(G259+Table13[[#This Row],[Steps]]&gt;99,(G259+Table13[[#This Row],[Steps]])-100,G259+Table13[[#This Row],[Steps]]),
))</f>
        <v>1</v>
      </c>
      <c r="G260">
        <f>IF(Table13[[#This Row],[New Pos L]]&lt;&gt;0,Table13[[#This Row],[New Pos L]],Table13[[#This Row],[New Pos R]])</f>
        <v>1</v>
      </c>
      <c r="H260">
        <f>IF(AND(Table13[[#This Row],[Direction]]="L",Table13[[#This Row],[Steps]]&gt;G259,G259&lt;&gt;0),1,0)</f>
        <v>0</v>
      </c>
      <c r="I260">
        <f>IF(AND(Table13[[#This Row],[Direction]]="R",(G259+Table13[[#This Row],[Steps]])&gt;100),1,0)</f>
        <v>0</v>
      </c>
      <c r="J260">
        <f>IF(Table13[[#This Row],[POS]]=0,1,0)</f>
        <v>0</v>
      </c>
      <c r="K260">
        <f>SUM(Table13[[#This Row],[prefix]],Table13[[#This Row],[Past zero L]],Table13[[#This Row],[Past Zero R]],Table13[[#This Row],[Is Zero]])</f>
        <v>0</v>
      </c>
    </row>
    <row r="261" spans="1:11" ht="16" x14ac:dyDescent="0.2">
      <c r="A261" s="1" t="s">
        <v>55</v>
      </c>
      <c r="B261" t="str">
        <f>LEFT(Table13[[#This Row],[Input]],1)</f>
        <v>L</v>
      </c>
      <c r="C261">
        <f>_xlfn.LET(_xlpm.steps,SUBSTITUTE(Table13[[#This Row],[Input]],Table13[[#This Row],[Direction]],""),VALUE(IF(LEN(_xlpm.steps)&gt;2,RIGHT(_xlpm.steps,2),_xlpm.steps)))</f>
        <v>82</v>
      </c>
      <c r="D261">
        <f>_xlfn.LET(_xlpm.steps,SUBSTITUTE(Table13[[#This Row],[Input]],Table13[[#This Row],[Direction]],""),VALUE(IF(LEN(_xlpm.steps)&gt;2,LEFT(_xlpm.steps,LEN(_xlpm.steps)-2),0)))</f>
        <v>0</v>
      </c>
      <c r="E261">
        <f>_xlfn.LET(_xlpm.dir,Table13[[#This Row],[Direction]],
IF(_xlpm.dir="L",
    IF(G260-Table13[[#This Row],[Steps]]&lt;0,100+(G260-Table13[[#This Row],[Steps]]),G260-Table13[[#This Row],[Steps]]),
))</f>
        <v>19</v>
      </c>
      <c r="F261">
        <f>_xlfn.LET(_xlpm.dir,Table13[[#This Row],[Direction]],
IF(_xlpm.dir="R",
    IF(G260+Table13[[#This Row],[Steps]]&gt;99,(G260+Table13[[#This Row],[Steps]])-100,G260+Table13[[#This Row],[Steps]]),
))</f>
        <v>0</v>
      </c>
      <c r="G261">
        <f>IF(Table13[[#This Row],[New Pos L]]&lt;&gt;0,Table13[[#This Row],[New Pos L]],Table13[[#This Row],[New Pos R]])</f>
        <v>19</v>
      </c>
      <c r="H261">
        <f>IF(AND(Table13[[#This Row],[Direction]]="L",Table13[[#This Row],[Steps]]&gt;G260,G260&lt;&gt;0),1,0)</f>
        <v>1</v>
      </c>
      <c r="I261">
        <f>IF(AND(Table13[[#This Row],[Direction]]="R",(G260+Table13[[#This Row],[Steps]])&gt;100),1,0)</f>
        <v>0</v>
      </c>
      <c r="J261">
        <f>IF(Table13[[#This Row],[POS]]=0,1,0)</f>
        <v>0</v>
      </c>
      <c r="K261">
        <f>SUM(Table13[[#This Row],[prefix]],Table13[[#This Row],[Past zero L]],Table13[[#This Row],[Past Zero R]],Table13[[#This Row],[Is Zero]])</f>
        <v>1</v>
      </c>
    </row>
    <row r="262" spans="1:11" ht="16" x14ac:dyDescent="0.2">
      <c r="A262" s="1" t="s">
        <v>48</v>
      </c>
      <c r="B262" t="str">
        <f>LEFT(Table13[[#This Row],[Input]],1)</f>
        <v>R</v>
      </c>
      <c r="C262">
        <f>_xlfn.LET(_xlpm.steps,SUBSTITUTE(Table13[[#This Row],[Input]],Table13[[#This Row],[Direction]],""),VALUE(IF(LEN(_xlpm.steps)&gt;2,RIGHT(_xlpm.steps,2),_xlpm.steps)))</f>
        <v>81</v>
      </c>
      <c r="D262">
        <f>_xlfn.LET(_xlpm.steps,SUBSTITUTE(Table13[[#This Row],[Input]],Table13[[#This Row],[Direction]],""),VALUE(IF(LEN(_xlpm.steps)&gt;2,LEFT(_xlpm.steps,LEN(_xlpm.steps)-2),0)))</f>
        <v>0</v>
      </c>
      <c r="E262">
        <f>_xlfn.LET(_xlpm.dir,Table13[[#This Row],[Direction]],
IF(_xlpm.dir="L",
    IF(G261-Table13[[#This Row],[Steps]]&lt;0,100+(G261-Table13[[#This Row],[Steps]]),G261-Table13[[#This Row],[Steps]]),
))</f>
        <v>0</v>
      </c>
      <c r="F262">
        <f>_xlfn.LET(_xlpm.dir,Table13[[#This Row],[Direction]],
IF(_xlpm.dir="R",
    IF(G261+Table13[[#This Row],[Steps]]&gt;99,(G261+Table13[[#This Row],[Steps]])-100,G261+Table13[[#This Row],[Steps]]),
))</f>
        <v>0</v>
      </c>
      <c r="G262">
        <f>IF(Table13[[#This Row],[New Pos L]]&lt;&gt;0,Table13[[#This Row],[New Pos L]],Table13[[#This Row],[New Pos R]])</f>
        <v>0</v>
      </c>
      <c r="H262">
        <f>IF(AND(Table13[[#This Row],[Direction]]="L",Table13[[#This Row],[Steps]]&gt;G261,G261&lt;&gt;0),1,0)</f>
        <v>0</v>
      </c>
      <c r="I262">
        <f>IF(AND(Table13[[#This Row],[Direction]]="R",(G261+Table13[[#This Row],[Steps]])&gt;100),1,0)</f>
        <v>0</v>
      </c>
      <c r="J262">
        <f>IF(Table13[[#This Row],[POS]]=0,1,0)</f>
        <v>1</v>
      </c>
      <c r="K262">
        <f>SUM(Table13[[#This Row],[prefix]],Table13[[#This Row],[Past zero L]],Table13[[#This Row],[Past Zero R]],Table13[[#This Row],[Is Zero]])</f>
        <v>1</v>
      </c>
    </row>
    <row r="263" spans="1:11" ht="16" x14ac:dyDescent="0.2">
      <c r="A263" s="1" t="s">
        <v>18</v>
      </c>
      <c r="B263" t="str">
        <f>LEFT(Table13[[#This Row],[Input]],1)</f>
        <v>L</v>
      </c>
      <c r="C263">
        <f>_xlfn.LET(_xlpm.steps,SUBSTITUTE(Table13[[#This Row],[Input]],Table13[[#This Row],[Direction]],""),VALUE(IF(LEN(_xlpm.steps)&gt;2,RIGHT(_xlpm.steps,2),_xlpm.steps)))</f>
        <v>46</v>
      </c>
      <c r="D263">
        <f>_xlfn.LET(_xlpm.steps,SUBSTITUTE(Table13[[#This Row],[Input]],Table13[[#This Row],[Direction]],""),VALUE(IF(LEN(_xlpm.steps)&gt;2,LEFT(_xlpm.steps,LEN(_xlpm.steps)-2),0)))</f>
        <v>0</v>
      </c>
      <c r="E263">
        <f>_xlfn.LET(_xlpm.dir,Table13[[#This Row],[Direction]],
IF(_xlpm.dir="L",
    IF(G262-Table13[[#This Row],[Steps]]&lt;0,100+(G262-Table13[[#This Row],[Steps]]),G262-Table13[[#This Row],[Steps]]),
))</f>
        <v>54</v>
      </c>
      <c r="F263">
        <f>_xlfn.LET(_xlpm.dir,Table13[[#This Row],[Direction]],
IF(_xlpm.dir="R",
    IF(G262+Table13[[#This Row],[Steps]]&gt;99,(G262+Table13[[#This Row],[Steps]])-100,G262+Table13[[#This Row],[Steps]]),
))</f>
        <v>0</v>
      </c>
      <c r="G263">
        <f>IF(Table13[[#This Row],[New Pos L]]&lt;&gt;0,Table13[[#This Row],[New Pos L]],Table13[[#This Row],[New Pos R]])</f>
        <v>54</v>
      </c>
      <c r="H263">
        <f>IF(AND(Table13[[#This Row],[Direction]]="L",Table13[[#This Row],[Steps]]&gt;G262,G262&lt;&gt;0),1,0)</f>
        <v>0</v>
      </c>
      <c r="I263">
        <f>IF(AND(Table13[[#This Row],[Direction]]="R",(G262+Table13[[#This Row],[Steps]])&gt;100),1,0)</f>
        <v>0</v>
      </c>
      <c r="J263">
        <f>IF(Table13[[#This Row],[POS]]=0,1,0)</f>
        <v>0</v>
      </c>
      <c r="K263">
        <f>SUM(Table13[[#This Row],[prefix]],Table13[[#This Row],[Past zero L]],Table13[[#This Row],[Past Zero R]],Table13[[#This Row],[Is Zero]])</f>
        <v>0</v>
      </c>
    </row>
    <row r="264" spans="1:11" ht="16" x14ac:dyDescent="0.2">
      <c r="A264" s="1" t="s">
        <v>10</v>
      </c>
      <c r="B264" t="str">
        <f>LEFT(Table13[[#This Row],[Input]],1)</f>
        <v>L</v>
      </c>
      <c r="C264">
        <f>_xlfn.LET(_xlpm.steps,SUBSTITUTE(Table13[[#This Row],[Input]],Table13[[#This Row],[Direction]],""),VALUE(IF(LEN(_xlpm.steps)&gt;2,RIGHT(_xlpm.steps,2),_xlpm.steps)))</f>
        <v>35</v>
      </c>
      <c r="D264">
        <f>_xlfn.LET(_xlpm.steps,SUBSTITUTE(Table13[[#This Row],[Input]],Table13[[#This Row],[Direction]],""),VALUE(IF(LEN(_xlpm.steps)&gt;2,LEFT(_xlpm.steps,LEN(_xlpm.steps)-2),0)))</f>
        <v>0</v>
      </c>
      <c r="E264">
        <f>_xlfn.LET(_xlpm.dir,Table13[[#This Row],[Direction]],
IF(_xlpm.dir="L",
    IF(G263-Table13[[#This Row],[Steps]]&lt;0,100+(G263-Table13[[#This Row],[Steps]]),G263-Table13[[#This Row],[Steps]]),
))</f>
        <v>19</v>
      </c>
      <c r="F264">
        <f>_xlfn.LET(_xlpm.dir,Table13[[#This Row],[Direction]],
IF(_xlpm.dir="R",
    IF(G263+Table13[[#This Row],[Steps]]&gt;99,(G263+Table13[[#This Row],[Steps]])-100,G263+Table13[[#This Row],[Steps]]),
))</f>
        <v>0</v>
      </c>
      <c r="G264">
        <f>IF(Table13[[#This Row],[New Pos L]]&lt;&gt;0,Table13[[#This Row],[New Pos L]],Table13[[#This Row],[New Pos R]])</f>
        <v>19</v>
      </c>
      <c r="H264">
        <f>IF(AND(Table13[[#This Row],[Direction]]="L",Table13[[#This Row],[Steps]]&gt;G263,G263&lt;&gt;0),1,0)</f>
        <v>0</v>
      </c>
      <c r="I264">
        <f>IF(AND(Table13[[#This Row],[Direction]]="R",(G263+Table13[[#This Row],[Steps]])&gt;100),1,0)</f>
        <v>0</v>
      </c>
      <c r="J264">
        <f>IF(Table13[[#This Row],[POS]]=0,1,0)</f>
        <v>0</v>
      </c>
      <c r="K264">
        <f>SUM(Table13[[#This Row],[prefix]],Table13[[#This Row],[Past zero L]],Table13[[#This Row],[Past Zero R]],Table13[[#This Row],[Is Zero]])</f>
        <v>0</v>
      </c>
    </row>
    <row r="265" spans="1:11" ht="16" x14ac:dyDescent="0.2">
      <c r="A265" s="1" t="s">
        <v>164</v>
      </c>
      <c r="B265" t="str">
        <f>LEFT(Table13[[#This Row],[Input]],1)</f>
        <v>R</v>
      </c>
      <c r="C265">
        <f>_xlfn.LET(_xlpm.steps,SUBSTITUTE(Table13[[#This Row],[Input]],Table13[[#This Row],[Direction]],""),VALUE(IF(LEN(_xlpm.steps)&gt;2,RIGHT(_xlpm.steps,2),_xlpm.steps)))</f>
        <v>85</v>
      </c>
      <c r="D265">
        <f>_xlfn.LET(_xlpm.steps,SUBSTITUTE(Table13[[#This Row],[Input]],Table13[[#This Row],[Direction]],""),VALUE(IF(LEN(_xlpm.steps)&gt;2,LEFT(_xlpm.steps,LEN(_xlpm.steps)-2),0)))</f>
        <v>0</v>
      </c>
      <c r="E265">
        <f>_xlfn.LET(_xlpm.dir,Table13[[#This Row],[Direction]],
IF(_xlpm.dir="L",
    IF(G264-Table13[[#This Row],[Steps]]&lt;0,100+(G264-Table13[[#This Row],[Steps]]),G264-Table13[[#This Row],[Steps]]),
))</f>
        <v>0</v>
      </c>
      <c r="F265">
        <f>_xlfn.LET(_xlpm.dir,Table13[[#This Row],[Direction]],
IF(_xlpm.dir="R",
    IF(G264+Table13[[#This Row],[Steps]]&gt;99,(G264+Table13[[#This Row],[Steps]])-100,G264+Table13[[#This Row],[Steps]]),
))</f>
        <v>4</v>
      </c>
      <c r="G265">
        <f>IF(Table13[[#This Row],[New Pos L]]&lt;&gt;0,Table13[[#This Row],[New Pos L]],Table13[[#This Row],[New Pos R]])</f>
        <v>4</v>
      </c>
      <c r="H265">
        <f>IF(AND(Table13[[#This Row],[Direction]]="L",Table13[[#This Row],[Steps]]&gt;G264,G264&lt;&gt;0),1,0)</f>
        <v>0</v>
      </c>
      <c r="I265">
        <f>IF(AND(Table13[[#This Row],[Direction]]="R",(G264+Table13[[#This Row],[Steps]])&gt;100),1,0)</f>
        <v>1</v>
      </c>
      <c r="J265">
        <f>IF(Table13[[#This Row],[POS]]=0,1,0)</f>
        <v>0</v>
      </c>
      <c r="K265">
        <f>SUM(Table13[[#This Row],[prefix]],Table13[[#This Row],[Past zero L]],Table13[[#This Row],[Past Zero R]],Table13[[#This Row],[Is Zero]])</f>
        <v>1</v>
      </c>
    </row>
    <row r="266" spans="1:11" ht="16" x14ac:dyDescent="0.2">
      <c r="A266" s="1" t="s">
        <v>51</v>
      </c>
      <c r="B266" t="str">
        <f>LEFT(Table13[[#This Row],[Input]],1)</f>
        <v>L</v>
      </c>
      <c r="C266">
        <f>_xlfn.LET(_xlpm.steps,SUBSTITUTE(Table13[[#This Row],[Input]],Table13[[#This Row],[Direction]],""),VALUE(IF(LEN(_xlpm.steps)&gt;2,RIGHT(_xlpm.steps,2),_xlpm.steps)))</f>
        <v>25</v>
      </c>
      <c r="D266">
        <f>_xlfn.LET(_xlpm.steps,SUBSTITUTE(Table13[[#This Row],[Input]],Table13[[#This Row],[Direction]],""),VALUE(IF(LEN(_xlpm.steps)&gt;2,LEFT(_xlpm.steps,LEN(_xlpm.steps)-2),0)))</f>
        <v>0</v>
      </c>
      <c r="E266">
        <f>_xlfn.LET(_xlpm.dir,Table13[[#This Row],[Direction]],
IF(_xlpm.dir="L",
    IF(G265-Table13[[#This Row],[Steps]]&lt;0,100+(G265-Table13[[#This Row],[Steps]]),G265-Table13[[#This Row],[Steps]]),
))</f>
        <v>79</v>
      </c>
      <c r="F266">
        <f>_xlfn.LET(_xlpm.dir,Table13[[#This Row],[Direction]],
IF(_xlpm.dir="R",
    IF(G265+Table13[[#This Row],[Steps]]&gt;99,(G265+Table13[[#This Row],[Steps]])-100,G265+Table13[[#This Row],[Steps]]),
))</f>
        <v>0</v>
      </c>
      <c r="G266">
        <f>IF(Table13[[#This Row],[New Pos L]]&lt;&gt;0,Table13[[#This Row],[New Pos L]],Table13[[#This Row],[New Pos R]])</f>
        <v>79</v>
      </c>
      <c r="H266">
        <f>IF(AND(Table13[[#This Row],[Direction]]="L",Table13[[#This Row],[Steps]]&gt;G265,G265&lt;&gt;0),1,0)</f>
        <v>1</v>
      </c>
      <c r="I266">
        <f>IF(AND(Table13[[#This Row],[Direction]]="R",(G265+Table13[[#This Row],[Steps]])&gt;100),1,0)</f>
        <v>0</v>
      </c>
      <c r="J266">
        <f>IF(Table13[[#This Row],[POS]]=0,1,0)</f>
        <v>0</v>
      </c>
      <c r="K266">
        <f>SUM(Table13[[#This Row],[prefix]],Table13[[#This Row],[Past zero L]],Table13[[#This Row],[Past Zero R]],Table13[[#This Row],[Is Zero]])</f>
        <v>1</v>
      </c>
    </row>
    <row r="267" spans="1:11" ht="16" x14ac:dyDescent="0.2">
      <c r="A267" s="1" t="s">
        <v>73</v>
      </c>
      <c r="B267" t="str">
        <f>LEFT(Table13[[#This Row],[Input]],1)</f>
        <v>R</v>
      </c>
      <c r="C267">
        <f>_xlfn.LET(_xlpm.steps,SUBSTITUTE(Table13[[#This Row],[Input]],Table13[[#This Row],[Direction]],""),VALUE(IF(LEN(_xlpm.steps)&gt;2,RIGHT(_xlpm.steps,2),_xlpm.steps)))</f>
        <v>21</v>
      </c>
      <c r="D267">
        <f>_xlfn.LET(_xlpm.steps,SUBSTITUTE(Table13[[#This Row],[Input]],Table13[[#This Row],[Direction]],""),VALUE(IF(LEN(_xlpm.steps)&gt;2,LEFT(_xlpm.steps,LEN(_xlpm.steps)-2),0)))</f>
        <v>0</v>
      </c>
      <c r="E267">
        <f>_xlfn.LET(_xlpm.dir,Table13[[#This Row],[Direction]],
IF(_xlpm.dir="L",
    IF(G266-Table13[[#This Row],[Steps]]&lt;0,100+(G266-Table13[[#This Row],[Steps]]),G266-Table13[[#This Row],[Steps]]),
))</f>
        <v>0</v>
      </c>
      <c r="F267">
        <f>_xlfn.LET(_xlpm.dir,Table13[[#This Row],[Direction]],
IF(_xlpm.dir="R",
    IF(G266+Table13[[#This Row],[Steps]]&gt;99,(G266+Table13[[#This Row],[Steps]])-100,G266+Table13[[#This Row],[Steps]]),
))</f>
        <v>0</v>
      </c>
      <c r="G267">
        <f>IF(Table13[[#This Row],[New Pos L]]&lt;&gt;0,Table13[[#This Row],[New Pos L]],Table13[[#This Row],[New Pos R]])</f>
        <v>0</v>
      </c>
      <c r="H267">
        <f>IF(AND(Table13[[#This Row],[Direction]]="L",Table13[[#This Row],[Steps]]&gt;G266,G266&lt;&gt;0),1,0)</f>
        <v>0</v>
      </c>
      <c r="I267">
        <f>IF(AND(Table13[[#This Row],[Direction]]="R",(G266+Table13[[#This Row],[Steps]])&gt;100),1,0)</f>
        <v>0</v>
      </c>
      <c r="J267">
        <f>IF(Table13[[#This Row],[POS]]=0,1,0)</f>
        <v>1</v>
      </c>
      <c r="K267">
        <f>SUM(Table13[[#This Row],[prefix]],Table13[[#This Row],[Past zero L]],Table13[[#This Row],[Past Zero R]],Table13[[#This Row],[Is Zero]])</f>
        <v>1</v>
      </c>
    </row>
    <row r="268" spans="1:11" ht="16" x14ac:dyDescent="0.2">
      <c r="A268" s="1" t="s">
        <v>54</v>
      </c>
      <c r="B268" t="str">
        <f>LEFT(Table13[[#This Row],[Input]],1)</f>
        <v>L</v>
      </c>
      <c r="C268">
        <f>_xlfn.LET(_xlpm.steps,SUBSTITUTE(Table13[[#This Row],[Input]],Table13[[#This Row],[Direction]],""),VALUE(IF(LEN(_xlpm.steps)&gt;2,RIGHT(_xlpm.steps,2),_xlpm.steps)))</f>
        <v>75</v>
      </c>
      <c r="D268">
        <f>_xlfn.LET(_xlpm.steps,SUBSTITUTE(Table13[[#This Row],[Input]],Table13[[#This Row],[Direction]],""),VALUE(IF(LEN(_xlpm.steps)&gt;2,LEFT(_xlpm.steps,LEN(_xlpm.steps)-2),0)))</f>
        <v>0</v>
      </c>
      <c r="E268">
        <f>_xlfn.LET(_xlpm.dir,Table13[[#This Row],[Direction]],
IF(_xlpm.dir="L",
    IF(G267-Table13[[#This Row],[Steps]]&lt;0,100+(G267-Table13[[#This Row],[Steps]]),G267-Table13[[#This Row],[Steps]]),
))</f>
        <v>25</v>
      </c>
      <c r="F268">
        <f>_xlfn.LET(_xlpm.dir,Table13[[#This Row],[Direction]],
IF(_xlpm.dir="R",
    IF(G267+Table13[[#This Row],[Steps]]&gt;99,(G267+Table13[[#This Row],[Steps]])-100,G267+Table13[[#This Row],[Steps]]),
))</f>
        <v>0</v>
      </c>
      <c r="G268">
        <f>IF(Table13[[#This Row],[New Pos L]]&lt;&gt;0,Table13[[#This Row],[New Pos L]],Table13[[#This Row],[New Pos R]])</f>
        <v>25</v>
      </c>
      <c r="H268">
        <f>IF(AND(Table13[[#This Row],[Direction]]="L",Table13[[#This Row],[Steps]]&gt;G267,G267&lt;&gt;0),1,0)</f>
        <v>0</v>
      </c>
      <c r="I268">
        <f>IF(AND(Table13[[#This Row],[Direction]]="R",(G267+Table13[[#This Row],[Steps]])&gt;100),1,0)</f>
        <v>0</v>
      </c>
      <c r="J268">
        <f>IF(Table13[[#This Row],[POS]]=0,1,0)</f>
        <v>0</v>
      </c>
      <c r="K268">
        <f>SUM(Table13[[#This Row],[prefix]],Table13[[#This Row],[Past zero L]],Table13[[#This Row],[Past Zero R]],Table13[[#This Row],[Is Zero]])</f>
        <v>0</v>
      </c>
    </row>
    <row r="269" spans="1:11" ht="16" x14ac:dyDescent="0.2">
      <c r="A269" s="1" t="s">
        <v>165</v>
      </c>
      <c r="B269" t="str">
        <f>LEFT(Table13[[#This Row],[Input]],1)</f>
        <v>R</v>
      </c>
      <c r="C269">
        <f>_xlfn.LET(_xlpm.steps,SUBSTITUTE(Table13[[#This Row],[Input]],Table13[[#This Row],[Direction]],""),VALUE(IF(LEN(_xlpm.steps)&gt;2,RIGHT(_xlpm.steps,2),_xlpm.steps)))</f>
        <v>55</v>
      </c>
      <c r="D269">
        <f>_xlfn.LET(_xlpm.steps,SUBSTITUTE(Table13[[#This Row],[Input]],Table13[[#This Row],[Direction]],""),VALUE(IF(LEN(_xlpm.steps)&gt;2,LEFT(_xlpm.steps,LEN(_xlpm.steps)-2),0)))</f>
        <v>0</v>
      </c>
      <c r="E269">
        <f>_xlfn.LET(_xlpm.dir,Table13[[#This Row],[Direction]],
IF(_xlpm.dir="L",
    IF(G268-Table13[[#This Row],[Steps]]&lt;0,100+(G268-Table13[[#This Row],[Steps]]),G268-Table13[[#This Row],[Steps]]),
))</f>
        <v>0</v>
      </c>
      <c r="F269">
        <f>_xlfn.LET(_xlpm.dir,Table13[[#This Row],[Direction]],
IF(_xlpm.dir="R",
    IF(G268+Table13[[#This Row],[Steps]]&gt;99,(G268+Table13[[#This Row],[Steps]])-100,G268+Table13[[#This Row],[Steps]]),
))</f>
        <v>80</v>
      </c>
      <c r="G269">
        <f>IF(Table13[[#This Row],[New Pos L]]&lt;&gt;0,Table13[[#This Row],[New Pos L]],Table13[[#This Row],[New Pos R]])</f>
        <v>80</v>
      </c>
      <c r="H269">
        <f>IF(AND(Table13[[#This Row],[Direction]]="L",Table13[[#This Row],[Steps]]&gt;G268,G268&lt;&gt;0),1,0)</f>
        <v>0</v>
      </c>
      <c r="I269">
        <f>IF(AND(Table13[[#This Row],[Direction]]="R",(G268+Table13[[#This Row],[Steps]])&gt;100),1,0)</f>
        <v>0</v>
      </c>
      <c r="J269">
        <f>IF(Table13[[#This Row],[POS]]=0,1,0)</f>
        <v>0</v>
      </c>
      <c r="K269">
        <f>SUM(Table13[[#This Row],[prefix]],Table13[[#This Row],[Past zero L]],Table13[[#This Row],[Past Zero R]],Table13[[#This Row],[Is Zero]])</f>
        <v>0</v>
      </c>
    </row>
    <row r="270" spans="1:11" ht="16" x14ac:dyDescent="0.2">
      <c r="A270" s="1" t="s">
        <v>19</v>
      </c>
      <c r="B270" t="str">
        <f>LEFT(Table13[[#This Row],[Input]],1)</f>
        <v>R</v>
      </c>
      <c r="C270">
        <f>_xlfn.LET(_xlpm.steps,SUBSTITUTE(Table13[[#This Row],[Input]],Table13[[#This Row],[Direction]],""),VALUE(IF(LEN(_xlpm.steps)&gt;2,RIGHT(_xlpm.steps,2),_xlpm.steps)))</f>
        <v>47</v>
      </c>
      <c r="D270">
        <f>_xlfn.LET(_xlpm.steps,SUBSTITUTE(Table13[[#This Row],[Input]],Table13[[#This Row],[Direction]],""),VALUE(IF(LEN(_xlpm.steps)&gt;2,LEFT(_xlpm.steps,LEN(_xlpm.steps)-2),0)))</f>
        <v>0</v>
      </c>
      <c r="E270">
        <f>_xlfn.LET(_xlpm.dir,Table13[[#This Row],[Direction]],
IF(_xlpm.dir="L",
    IF(G269-Table13[[#This Row],[Steps]]&lt;0,100+(G269-Table13[[#This Row],[Steps]]),G269-Table13[[#This Row],[Steps]]),
))</f>
        <v>0</v>
      </c>
      <c r="F270">
        <f>_xlfn.LET(_xlpm.dir,Table13[[#This Row],[Direction]],
IF(_xlpm.dir="R",
    IF(G269+Table13[[#This Row],[Steps]]&gt;99,(G269+Table13[[#This Row],[Steps]])-100,G269+Table13[[#This Row],[Steps]]),
))</f>
        <v>27</v>
      </c>
      <c r="G270">
        <f>IF(Table13[[#This Row],[New Pos L]]&lt;&gt;0,Table13[[#This Row],[New Pos L]],Table13[[#This Row],[New Pos R]])</f>
        <v>27</v>
      </c>
      <c r="H270">
        <f>IF(AND(Table13[[#This Row],[Direction]]="L",Table13[[#This Row],[Steps]]&gt;G269,G269&lt;&gt;0),1,0)</f>
        <v>0</v>
      </c>
      <c r="I270">
        <f>IF(AND(Table13[[#This Row],[Direction]]="R",(G269+Table13[[#This Row],[Steps]])&gt;100),1,0)</f>
        <v>1</v>
      </c>
      <c r="J270">
        <f>IF(Table13[[#This Row],[POS]]=0,1,0)</f>
        <v>0</v>
      </c>
      <c r="K270">
        <f>SUM(Table13[[#This Row],[prefix]],Table13[[#This Row],[Past zero L]],Table13[[#This Row],[Past Zero R]],Table13[[#This Row],[Is Zero]])</f>
        <v>1</v>
      </c>
    </row>
    <row r="271" spans="1:11" ht="16" x14ac:dyDescent="0.2">
      <c r="A271" s="1" t="s">
        <v>166</v>
      </c>
      <c r="B271" t="str">
        <f>LEFT(Table13[[#This Row],[Input]],1)</f>
        <v>L</v>
      </c>
      <c r="C271">
        <f>_xlfn.LET(_xlpm.steps,SUBSTITUTE(Table13[[#This Row],[Input]],Table13[[#This Row],[Direction]],""),VALUE(IF(LEN(_xlpm.steps)&gt;2,RIGHT(_xlpm.steps,2),_xlpm.steps)))</f>
        <v>22</v>
      </c>
      <c r="D271">
        <f>_xlfn.LET(_xlpm.steps,SUBSTITUTE(Table13[[#This Row],[Input]],Table13[[#This Row],[Direction]],""),VALUE(IF(LEN(_xlpm.steps)&gt;2,LEFT(_xlpm.steps,LEN(_xlpm.steps)-2),0)))</f>
        <v>9</v>
      </c>
      <c r="E271">
        <f>_xlfn.LET(_xlpm.dir,Table13[[#This Row],[Direction]],
IF(_xlpm.dir="L",
    IF(G270-Table13[[#This Row],[Steps]]&lt;0,100+(G270-Table13[[#This Row],[Steps]]),G270-Table13[[#This Row],[Steps]]),
))</f>
        <v>5</v>
      </c>
      <c r="F271">
        <f>_xlfn.LET(_xlpm.dir,Table13[[#This Row],[Direction]],
IF(_xlpm.dir="R",
    IF(G270+Table13[[#This Row],[Steps]]&gt;99,(G270+Table13[[#This Row],[Steps]])-100,G270+Table13[[#This Row],[Steps]]),
))</f>
        <v>0</v>
      </c>
      <c r="G271">
        <f>IF(Table13[[#This Row],[New Pos L]]&lt;&gt;0,Table13[[#This Row],[New Pos L]],Table13[[#This Row],[New Pos R]])</f>
        <v>5</v>
      </c>
      <c r="H271">
        <f>IF(AND(Table13[[#This Row],[Direction]]="L",Table13[[#This Row],[Steps]]&gt;G270,G270&lt;&gt;0),1,0)</f>
        <v>0</v>
      </c>
      <c r="I271">
        <f>IF(AND(Table13[[#This Row],[Direction]]="R",(G270+Table13[[#This Row],[Steps]])&gt;100),1,0)</f>
        <v>0</v>
      </c>
      <c r="J271">
        <f>IF(Table13[[#This Row],[POS]]=0,1,0)</f>
        <v>0</v>
      </c>
      <c r="K271">
        <f>SUM(Table13[[#This Row],[prefix]],Table13[[#This Row],[Past zero L]],Table13[[#This Row],[Past Zero R]],Table13[[#This Row],[Is Zero]])</f>
        <v>9</v>
      </c>
    </row>
    <row r="272" spans="1:11" ht="16" x14ac:dyDescent="0.2">
      <c r="A272" s="1" t="s">
        <v>167</v>
      </c>
      <c r="B272" t="str">
        <f>LEFT(Table13[[#This Row],[Input]],1)</f>
        <v>L</v>
      </c>
      <c r="C272">
        <f>_xlfn.LET(_xlpm.steps,SUBSTITUTE(Table13[[#This Row],[Input]],Table13[[#This Row],[Direction]],""),VALUE(IF(LEN(_xlpm.steps)&gt;2,RIGHT(_xlpm.steps,2),_xlpm.steps)))</f>
        <v>59</v>
      </c>
      <c r="D272">
        <f>_xlfn.LET(_xlpm.steps,SUBSTITUTE(Table13[[#This Row],[Input]],Table13[[#This Row],[Direction]],""),VALUE(IF(LEN(_xlpm.steps)&gt;2,LEFT(_xlpm.steps,LEN(_xlpm.steps)-2),0)))</f>
        <v>0</v>
      </c>
      <c r="E272">
        <f>_xlfn.LET(_xlpm.dir,Table13[[#This Row],[Direction]],
IF(_xlpm.dir="L",
    IF(G271-Table13[[#This Row],[Steps]]&lt;0,100+(G271-Table13[[#This Row],[Steps]]),G271-Table13[[#This Row],[Steps]]),
))</f>
        <v>46</v>
      </c>
      <c r="F272">
        <f>_xlfn.LET(_xlpm.dir,Table13[[#This Row],[Direction]],
IF(_xlpm.dir="R",
    IF(G271+Table13[[#This Row],[Steps]]&gt;99,(G271+Table13[[#This Row],[Steps]])-100,G271+Table13[[#This Row],[Steps]]),
))</f>
        <v>0</v>
      </c>
      <c r="G272">
        <f>IF(Table13[[#This Row],[New Pos L]]&lt;&gt;0,Table13[[#This Row],[New Pos L]],Table13[[#This Row],[New Pos R]])</f>
        <v>46</v>
      </c>
      <c r="H272">
        <f>IF(AND(Table13[[#This Row],[Direction]]="L",Table13[[#This Row],[Steps]]&gt;G271,G271&lt;&gt;0),1,0)</f>
        <v>1</v>
      </c>
      <c r="I272">
        <f>IF(AND(Table13[[#This Row],[Direction]]="R",(G271+Table13[[#This Row],[Steps]])&gt;100),1,0)</f>
        <v>0</v>
      </c>
      <c r="J272">
        <f>IF(Table13[[#This Row],[POS]]=0,1,0)</f>
        <v>0</v>
      </c>
      <c r="K272">
        <f>SUM(Table13[[#This Row],[prefix]],Table13[[#This Row],[Past zero L]],Table13[[#This Row],[Past Zero R]],Table13[[#This Row],[Is Zero]])</f>
        <v>1</v>
      </c>
    </row>
    <row r="273" spans="1:11" ht="16" x14ac:dyDescent="0.2">
      <c r="A273" s="1" t="s">
        <v>168</v>
      </c>
      <c r="B273" t="str">
        <f>LEFT(Table13[[#This Row],[Input]],1)</f>
        <v>R</v>
      </c>
      <c r="C273">
        <f>_xlfn.LET(_xlpm.steps,SUBSTITUTE(Table13[[#This Row],[Input]],Table13[[#This Row],[Direction]],""),VALUE(IF(LEN(_xlpm.steps)&gt;2,RIGHT(_xlpm.steps,2),_xlpm.steps)))</f>
        <v>54</v>
      </c>
      <c r="D273">
        <f>_xlfn.LET(_xlpm.steps,SUBSTITUTE(Table13[[#This Row],[Input]],Table13[[#This Row],[Direction]],""),VALUE(IF(LEN(_xlpm.steps)&gt;2,LEFT(_xlpm.steps,LEN(_xlpm.steps)-2),0)))</f>
        <v>2</v>
      </c>
      <c r="E273">
        <f>_xlfn.LET(_xlpm.dir,Table13[[#This Row],[Direction]],
IF(_xlpm.dir="L",
    IF(G272-Table13[[#This Row],[Steps]]&lt;0,100+(G272-Table13[[#This Row],[Steps]]),G272-Table13[[#This Row],[Steps]]),
))</f>
        <v>0</v>
      </c>
      <c r="F273">
        <f>_xlfn.LET(_xlpm.dir,Table13[[#This Row],[Direction]],
IF(_xlpm.dir="R",
    IF(G272+Table13[[#This Row],[Steps]]&gt;99,(G272+Table13[[#This Row],[Steps]])-100,G272+Table13[[#This Row],[Steps]]),
))</f>
        <v>0</v>
      </c>
      <c r="G273">
        <f>IF(Table13[[#This Row],[New Pos L]]&lt;&gt;0,Table13[[#This Row],[New Pos L]],Table13[[#This Row],[New Pos R]])</f>
        <v>0</v>
      </c>
      <c r="H273">
        <f>IF(AND(Table13[[#This Row],[Direction]]="L",Table13[[#This Row],[Steps]]&gt;G272,G272&lt;&gt;0),1,0)</f>
        <v>0</v>
      </c>
      <c r="I273">
        <f>IF(AND(Table13[[#This Row],[Direction]]="R",(G272+Table13[[#This Row],[Steps]])&gt;100),1,0)</f>
        <v>0</v>
      </c>
      <c r="J273">
        <f>IF(Table13[[#This Row],[POS]]=0,1,0)</f>
        <v>1</v>
      </c>
      <c r="K273">
        <f>SUM(Table13[[#This Row],[prefix]],Table13[[#This Row],[Past zero L]],Table13[[#This Row],[Past Zero R]],Table13[[#This Row],[Is Zero]])</f>
        <v>3</v>
      </c>
    </row>
    <row r="274" spans="1:11" ht="16" x14ac:dyDescent="0.2">
      <c r="A274" s="1" t="s">
        <v>151</v>
      </c>
      <c r="B274" t="str">
        <f>LEFT(Table13[[#This Row],[Input]],1)</f>
        <v>L</v>
      </c>
      <c r="C274">
        <f>_xlfn.LET(_xlpm.steps,SUBSTITUTE(Table13[[#This Row],[Input]],Table13[[#This Row],[Direction]],""),VALUE(IF(LEN(_xlpm.steps)&gt;2,RIGHT(_xlpm.steps,2),_xlpm.steps)))</f>
        <v>74</v>
      </c>
      <c r="D274">
        <f>_xlfn.LET(_xlpm.steps,SUBSTITUTE(Table13[[#This Row],[Input]],Table13[[#This Row],[Direction]],""),VALUE(IF(LEN(_xlpm.steps)&gt;2,LEFT(_xlpm.steps,LEN(_xlpm.steps)-2),0)))</f>
        <v>0</v>
      </c>
      <c r="E274">
        <f>_xlfn.LET(_xlpm.dir,Table13[[#This Row],[Direction]],
IF(_xlpm.dir="L",
    IF(G273-Table13[[#This Row],[Steps]]&lt;0,100+(G273-Table13[[#This Row],[Steps]]),G273-Table13[[#This Row],[Steps]]),
))</f>
        <v>26</v>
      </c>
      <c r="F274">
        <f>_xlfn.LET(_xlpm.dir,Table13[[#This Row],[Direction]],
IF(_xlpm.dir="R",
    IF(G273+Table13[[#This Row],[Steps]]&gt;99,(G273+Table13[[#This Row],[Steps]])-100,G273+Table13[[#This Row],[Steps]]),
))</f>
        <v>0</v>
      </c>
      <c r="G274">
        <f>IF(Table13[[#This Row],[New Pos L]]&lt;&gt;0,Table13[[#This Row],[New Pos L]],Table13[[#This Row],[New Pos R]])</f>
        <v>26</v>
      </c>
      <c r="H274">
        <f>IF(AND(Table13[[#This Row],[Direction]]="L",Table13[[#This Row],[Steps]]&gt;G273,G273&lt;&gt;0),1,0)</f>
        <v>0</v>
      </c>
      <c r="I274">
        <f>IF(AND(Table13[[#This Row],[Direction]]="R",(G273+Table13[[#This Row],[Steps]])&gt;100),1,0)</f>
        <v>0</v>
      </c>
      <c r="J274">
        <f>IF(Table13[[#This Row],[POS]]=0,1,0)</f>
        <v>0</v>
      </c>
      <c r="K274">
        <f>SUM(Table13[[#This Row],[prefix]],Table13[[#This Row],[Past zero L]],Table13[[#This Row],[Past Zero R]],Table13[[#This Row],[Is Zero]])</f>
        <v>0</v>
      </c>
    </row>
    <row r="275" spans="1:11" ht="16" x14ac:dyDescent="0.2">
      <c r="A275" s="1" t="s">
        <v>69</v>
      </c>
      <c r="B275" t="str">
        <f>LEFT(Table13[[#This Row],[Input]],1)</f>
        <v>R</v>
      </c>
      <c r="C275">
        <f>_xlfn.LET(_xlpm.steps,SUBSTITUTE(Table13[[#This Row],[Input]],Table13[[#This Row],[Direction]],""),VALUE(IF(LEN(_xlpm.steps)&gt;2,RIGHT(_xlpm.steps,2),_xlpm.steps)))</f>
        <v>27</v>
      </c>
      <c r="D275">
        <f>_xlfn.LET(_xlpm.steps,SUBSTITUTE(Table13[[#This Row],[Input]],Table13[[#This Row],[Direction]],""),VALUE(IF(LEN(_xlpm.steps)&gt;2,LEFT(_xlpm.steps,LEN(_xlpm.steps)-2),0)))</f>
        <v>0</v>
      </c>
      <c r="E275">
        <f>_xlfn.LET(_xlpm.dir,Table13[[#This Row],[Direction]],
IF(_xlpm.dir="L",
    IF(G274-Table13[[#This Row],[Steps]]&lt;0,100+(G274-Table13[[#This Row],[Steps]]),G274-Table13[[#This Row],[Steps]]),
))</f>
        <v>0</v>
      </c>
      <c r="F275">
        <f>_xlfn.LET(_xlpm.dir,Table13[[#This Row],[Direction]],
IF(_xlpm.dir="R",
    IF(G274+Table13[[#This Row],[Steps]]&gt;99,(G274+Table13[[#This Row],[Steps]])-100,G274+Table13[[#This Row],[Steps]]),
))</f>
        <v>53</v>
      </c>
      <c r="G275">
        <f>IF(Table13[[#This Row],[New Pos L]]&lt;&gt;0,Table13[[#This Row],[New Pos L]],Table13[[#This Row],[New Pos R]])</f>
        <v>53</v>
      </c>
      <c r="H275">
        <f>IF(AND(Table13[[#This Row],[Direction]]="L",Table13[[#This Row],[Steps]]&gt;G274,G274&lt;&gt;0),1,0)</f>
        <v>0</v>
      </c>
      <c r="I275">
        <f>IF(AND(Table13[[#This Row],[Direction]]="R",(G274+Table13[[#This Row],[Steps]])&gt;100),1,0)</f>
        <v>0</v>
      </c>
      <c r="J275">
        <f>IF(Table13[[#This Row],[POS]]=0,1,0)</f>
        <v>0</v>
      </c>
      <c r="K275">
        <f>SUM(Table13[[#This Row],[prefix]],Table13[[#This Row],[Past zero L]],Table13[[#This Row],[Past Zero R]],Table13[[#This Row],[Is Zero]])</f>
        <v>0</v>
      </c>
    </row>
    <row r="276" spans="1:11" ht="16" x14ac:dyDescent="0.2">
      <c r="A276" s="1" t="s">
        <v>169</v>
      </c>
      <c r="B276" t="str">
        <f>LEFT(Table13[[#This Row],[Input]],1)</f>
        <v>L</v>
      </c>
      <c r="C276">
        <f>_xlfn.LET(_xlpm.steps,SUBSTITUTE(Table13[[#This Row],[Input]],Table13[[#This Row],[Direction]],""),VALUE(IF(LEN(_xlpm.steps)&gt;2,RIGHT(_xlpm.steps,2),_xlpm.steps)))</f>
        <v>61</v>
      </c>
      <c r="D276">
        <f>_xlfn.LET(_xlpm.steps,SUBSTITUTE(Table13[[#This Row],[Input]],Table13[[#This Row],[Direction]],""),VALUE(IF(LEN(_xlpm.steps)&gt;2,LEFT(_xlpm.steps,LEN(_xlpm.steps)-2),0)))</f>
        <v>2</v>
      </c>
      <c r="E276">
        <f>_xlfn.LET(_xlpm.dir,Table13[[#This Row],[Direction]],
IF(_xlpm.dir="L",
    IF(G275-Table13[[#This Row],[Steps]]&lt;0,100+(G275-Table13[[#This Row],[Steps]]),G275-Table13[[#This Row],[Steps]]),
))</f>
        <v>92</v>
      </c>
      <c r="F276">
        <f>_xlfn.LET(_xlpm.dir,Table13[[#This Row],[Direction]],
IF(_xlpm.dir="R",
    IF(G275+Table13[[#This Row],[Steps]]&gt;99,(G275+Table13[[#This Row],[Steps]])-100,G275+Table13[[#This Row],[Steps]]),
))</f>
        <v>0</v>
      </c>
      <c r="G276">
        <f>IF(Table13[[#This Row],[New Pos L]]&lt;&gt;0,Table13[[#This Row],[New Pos L]],Table13[[#This Row],[New Pos R]])</f>
        <v>92</v>
      </c>
      <c r="H276">
        <f>IF(AND(Table13[[#This Row],[Direction]]="L",Table13[[#This Row],[Steps]]&gt;G275,G275&lt;&gt;0),1,0)</f>
        <v>1</v>
      </c>
      <c r="I276">
        <f>IF(AND(Table13[[#This Row],[Direction]]="R",(G275+Table13[[#This Row],[Steps]])&gt;100),1,0)</f>
        <v>0</v>
      </c>
      <c r="J276">
        <f>IF(Table13[[#This Row],[POS]]=0,1,0)</f>
        <v>0</v>
      </c>
      <c r="K276">
        <f>SUM(Table13[[#This Row],[prefix]],Table13[[#This Row],[Past zero L]],Table13[[#This Row],[Past Zero R]],Table13[[#This Row],[Is Zero]])</f>
        <v>3</v>
      </c>
    </row>
    <row r="277" spans="1:11" ht="16" x14ac:dyDescent="0.2">
      <c r="A277" s="1" t="s">
        <v>129</v>
      </c>
      <c r="B277" t="str">
        <f>LEFT(Table13[[#This Row],[Input]],1)</f>
        <v>R</v>
      </c>
      <c r="C277">
        <f>_xlfn.LET(_xlpm.steps,SUBSTITUTE(Table13[[#This Row],[Input]],Table13[[#This Row],[Direction]],""),VALUE(IF(LEN(_xlpm.steps)&gt;2,RIGHT(_xlpm.steps,2),_xlpm.steps)))</f>
        <v>8</v>
      </c>
      <c r="D277">
        <f>_xlfn.LET(_xlpm.steps,SUBSTITUTE(Table13[[#This Row],[Input]],Table13[[#This Row],[Direction]],""),VALUE(IF(LEN(_xlpm.steps)&gt;2,LEFT(_xlpm.steps,LEN(_xlpm.steps)-2),0)))</f>
        <v>0</v>
      </c>
      <c r="E277">
        <f>_xlfn.LET(_xlpm.dir,Table13[[#This Row],[Direction]],
IF(_xlpm.dir="L",
    IF(G276-Table13[[#This Row],[Steps]]&lt;0,100+(G276-Table13[[#This Row],[Steps]]),G276-Table13[[#This Row],[Steps]]),
))</f>
        <v>0</v>
      </c>
      <c r="F277">
        <f>_xlfn.LET(_xlpm.dir,Table13[[#This Row],[Direction]],
IF(_xlpm.dir="R",
    IF(G276+Table13[[#This Row],[Steps]]&gt;99,(G276+Table13[[#This Row],[Steps]])-100,G276+Table13[[#This Row],[Steps]]),
))</f>
        <v>0</v>
      </c>
      <c r="G277">
        <f>IF(Table13[[#This Row],[New Pos L]]&lt;&gt;0,Table13[[#This Row],[New Pos L]],Table13[[#This Row],[New Pos R]])</f>
        <v>0</v>
      </c>
      <c r="H277">
        <f>IF(AND(Table13[[#This Row],[Direction]]="L",Table13[[#This Row],[Steps]]&gt;G276,G276&lt;&gt;0),1,0)</f>
        <v>0</v>
      </c>
      <c r="I277">
        <f>IF(AND(Table13[[#This Row],[Direction]]="R",(G276+Table13[[#This Row],[Steps]])&gt;100),1,0)</f>
        <v>0</v>
      </c>
      <c r="J277">
        <f>IF(Table13[[#This Row],[POS]]=0,1,0)</f>
        <v>1</v>
      </c>
      <c r="K277">
        <f>SUM(Table13[[#This Row],[prefix]],Table13[[#This Row],[Past zero L]],Table13[[#This Row],[Past Zero R]],Table13[[#This Row],[Is Zero]])</f>
        <v>1</v>
      </c>
    </row>
    <row r="278" spans="1:11" ht="16" x14ac:dyDescent="0.2">
      <c r="A278" s="1" t="s">
        <v>170</v>
      </c>
      <c r="B278" t="str">
        <f>LEFT(Table13[[#This Row],[Input]],1)</f>
        <v>L</v>
      </c>
      <c r="C278">
        <f>_xlfn.LET(_xlpm.steps,SUBSTITUTE(Table13[[#This Row],[Input]],Table13[[#This Row],[Direction]],""),VALUE(IF(LEN(_xlpm.steps)&gt;2,RIGHT(_xlpm.steps,2),_xlpm.steps)))</f>
        <v>42</v>
      </c>
      <c r="D278">
        <f>_xlfn.LET(_xlpm.steps,SUBSTITUTE(Table13[[#This Row],[Input]],Table13[[#This Row],[Direction]],""),VALUE(IF(LEN(_xlpm.steps)&gt;2,LEFT(_xlpm.steps,LEN(_xlpm.steps)-2),0)))</f>
        <v>6</v>
      </c>
      <c r="E278">
        <f>_xlfn.LET(_xlpm.dir,Table13[[#This Row],[Direction]],
IF(_xlpm.dir="L",
    IF(G277-Table13[[#This Row],[Steps]]&lt;0,100+(G277-Table13[[#This Row],[Steps]]),G277-Table13[[#This Row],[Steps]]),
))</f>
        <v>58</v>
      </c>
      <c r="F278">
        <f>_xlfn.LET(_xlpm.dir,Table13[[#This Row],[Direction]],
IF(_xlpm.dir="R",
    IF(G277+Table13[[#This Row],[Steps]]&gt;99,(G277+Table13[[#This Row],[Steps]])-100,G277+Table13[[#This Row],[Steps]]),
))</f>
        <v>0</v>
      </c>
      <c r="G278">
        <f>IF(Table13[[#This Row],[New Pos L]]&lt;&gt;0,Table13[[#This Row],[New Pos L]],Table13[[#This Row],[New Pos R]])</f>
        <v>58</v>
      </c>
      <c r="H278">
        <f>IF(AND(Table13[[#This Row],[Direction]]="L",Table13[[#This Row],[Steps]]&gt;G277,G277&lt;&gt;0),1,0)</f>
        <v>0</v>
      </c>
      <c r="I278">
        <f>IF(AND(Table13[[#This Row],[Direction]]="R",(G277+Table13[[#This Row],[Steps]])&gt;100),1,0)</f>
        <v>0</v>
      </c>
      <c r="J278">
        <f>IF(Table13[[#This Row],[POS]]=0,1,0)</f>
        <v>0</v>
      </c>
      <c r="K278">
        <f>SUM(Table13[[#This Row],[prefix]],Table13[[#This Row],[Past zero L]],Table13[[#This Row],[Past Zero R]],Table13[[#This Row],[Is Zero]])</f>
        <v>6</v>
      </c>
    </row>
    <row r="279" spans="1:11" ht="16" x14ac:dyDescent="0.2">
      <c r="A279" s="1" t="s">
        <v>171</v>
      </c>
      <c r="B279" t="str">
        <f>LEFT(Table13[[#This Row],[Input]],1)</f>
        <v>L</v>
      </c>
      <c r="C279">
        <f>_xlfn.LET(_xlpm.steps,SUBSTITUTE(Table13[[#This Row],[Input]],Table13[[#This Row],[Direction]],""),VALUE(IF(LEN(_xlpm.steps)&gt;2,RIGHT(_xlpm.steps,2),_xlpm.steps)))</f>
        <v>73</v>
      </c>
      <c r="D279">
        <f>_xlfn.LET(_xlpm.steps,SUBSTITUTE(Table13[[#This Row],[Input]],Table13[[#This Row],[Direction]],""),VALUE(IF(LEN(_xlpm.steps)&gt;2,LEFT(_xlpm.steps,LEN(_xlpm.steps)-2),0)))</f>
        <v>0</v>
      </c>
      <c r="E279">
        <f>_xlfn.LET(_xlpm.dir,Table13[[#This Row],[Direction]],
IF(_xlpm.dir="L",
    IF(G278-Table13[[#This Row],[Steps]]&lt;0,100+(G278-Table13[[#This Row],[Steps]]),G278-Table13[[#This Row],[Steps]]),
))</f>
        <v>85</v>
      </c>
      <c r="F279">
        <f>_xlfn.LET(_xlpm.dir,Table13[[#This Row],[Direction]],
IF(_xlpm.dir="R",
    IF(G278+Table13[[#This Row],[Steps]]&gt;99,(G278+Table13[[#This Row],[Steps]])-100,G278+Table13[[#This Row],[Steps]]),
))</f>
        <v>0</v>
      </c>
      <c r="G279">
        <f>IF(Table13[[#This Row],[New Pos L]]&lt;&gt;0,Table13[[#This Row],[New Pos L]],Table13[[#This Row],[New Pos R]])</f>
        <v>85</v>
      </c>
      <c r="H279">
        <f>IF(AND(Table13[[#This Row],[Direction]]="L",Table13[[#This Row],[Steps]]&gt;G278,G278&lt;&gt;0),1,0)</f>
        <v>1</v>
      </c>
      <c r="I279">
        <f>IF(AND(Table13[[#This Row],[Direction]]="R",(G278+Table13[[#This Row],[Steps]])&gt;100),1,0)</f>
        <v>0</v>
      </c>
      <c r="J279">
        <f>IF(Table13[[#This Row],[POS]]=0,1,0)</f>
        <v>0</v>
      </c>
      <c r="K279">
        <f>SUM(Table13[[#This Row],[prefix]],Table13[[#This Row],[Past zero L]],Table13[[#This Row],[Past Zero R]],Table13[[#This Row],[Is Zero]])</f>
        <v>1</v>
      </c>
    </row>
    <row r="280" spans="1:11" ht="16" x14ac:dyDescent="0.2">
      <c r="A280" s="1" t="s">
        <v>38</v>
      </c>
      <c r="B280" t="str">
        <f>LEFT(Table13[[#This Row],[Input]],1)</f>
        <v>R</v>
      </c>
      <c r="C280">
        <f>_xlfn.LET(_xlpm.steps,SUBSTITUTE(Table13[[#This Row],[Input]],Table13[[#This Row],[Direction]],""),VALUE(IF(LEN(_xlpm.steps)&gt;2,RIGHT(_xlpm.steps,2),_xlpm.steps)))</f>
        <v>15</v>
      </c>
      <c r="D280">
        <f>_xlfn.LET(_xlpm.steps,SUBSTITUTE(Table13[[#This Row],[Input]],Table13[[#This Row],[Direction]],""),VALUE(IF(LEN(_xlpm.steps)&gt;2,LEFT(_xlpm.steps,LEN(_xlpm.steps)-2),0)))</f>
        <v>0</v>
      </c>
      <c r="E280">
        <f>_xlfn.LET(_xlpm.dir,Table13[[#This Row],[Direction]],
IF(_xlpm.dir="L",
    IF(G279-Table13[[#This Row],[Steps]]&lt;0,100+(G279-Table13[[#This Row],[Steps]]),G279-Table13[[#This Row],[Steps]]),
))</f>
        <v>0</v>
      </c>
      <c r="F280">
        <f>_xlfn.LET(_xlpm.dir,Table13[[#This Row],[Direction]],
IF(_xlpm.dir="R",
    IF(G279+Table13[[#This Row],[Steps]]&gt;99,(G279+Table13[[#This Row],[Steps]])-100,G279+Table13[[#This Row],[Steps]]),
))</f>
        <v>0</v>
      </c>
      <c r="G280">
        <f>IF(Table13[[#This Row],[New Pos L]]&lt;&gt;0,Table13[[#This Row],[New Pos L]],Table13[[#This Row],[New Pos R]])</f>
        <v>0</v>
      </c>
      <c r="H280">
        <f>IF(AND(Table13[[#This Row],[Direction]]="L",Table13[[#This Row],[Steps]]&gt;G279,G279&lt;&gt;0),1,0)</f>
        <v>0</v>
      </c>
      <c r="I280">
        <f>IF(AND(Table13[[#This Row],[Direction]]="R",(G279+Table13[[#This Row],[Steps]])&gt;100),1,0)</f>
        <v>0</v>
      </c>
      <c r="J280">
        <f>IF(Table13[[#This Row],[POS]]=0,1,0)</f>
        <v>1</v>
      </c>
      <c r="K280">
        <f>SUM(Table13[[#This Row],[prefix]],Table13[[#This Row],[Past zero L]],Table13[[#This Row],[Past Zero R]],Table13[[#This Row],[Is Zero]])</f>
        <v>1</v>
      </c>
    </row>
    <row r="281" spans="1:11" ht="16" x14ac:dyDescent="0.2">
      <c r="A281" s="1" t="s">
        <v>172</v>
      </c>
      <c r="B281" t="str">
        <f>LEFT(Table13[[#This Row],[Input]],1)</f>
        <v>L</v>
      </c>
      <c r="C281">
        <f>_xlfn.LET(_xlpm.steps,SUBSTITUTE(Table13[[#This Row],[Input]],Table13[[#This Row],[Direction]],""),VALUE(IF(LEN(_xlpm.steps)&gt;2,RIGHT(_xlpm.steps,2),_xlpm.steps)))</f>
        <v>66</v>
      </c>
      <c r="D281">
        <f>_xlfn.LET(_xlpm.steps,SUBSTITUTE(Table13[[#This Row],[Input]],Table13[[#This Row],[Direction]],""),VALUE(IF(LEN(_xlpm.steps)&gt;2,LEFT(_xlpm.steps,LEN(_xlpm.steps)-2),0)))</f>
        <v>0</v>
      </c>
      <c r="E281">
        <f>_xlfn.LET(_xlpm.dir,Table13[[#This Row],[Direction]],
IF(_xlpm.dir="L",
    IF(G280-Table13[[#This Row],[Steps]]&lt;0,100+(G280-Table13[[#This Row],[Steps]]),G280-Table13[[#This Row],[Steps]]),
))</f>
        <v>34</v>
      </c>
      <c r="F281">
        <f>_xlfn.LET(_xlpm.dir,Table13[[#This Row],[Direction]],
IF(_xlpm.dir="R",
    IF(G280+Table13[[#This Row],[Steps]]&gt;99,(G280+Table13[[#This Row],[Steps]])-100,G280+Table13[[#This Row],[Steps]]),
))</f>
        <v>0</v>
      </c>
      <c r="G281">
        <f>IF(Table13[[#This Row],[New Pos L]]&lt;&gt;0,Table13[[#This Row],[New Pos L]],Table13[[#This Row],[New Pos R]])</f>
        <v>34</v>
      </c>
      <c r="H281">
        <f>IF(AND(Table13[[#This Row],[Direction]]="L",Table13[[#This Row],[Steps]]&gt;G280,G280&lt;&gt;0),1,0)</f>
        <v>0</v>
      </c>
      <c r="I281">
        <f>IF(AND(Table13[[#This Row],[Direction]]="R",(G280+Table13[[#This Row],[Steps]])&gt;100),1,0)</f>
        <v>0</v>
      </c>
      <c r="J281">
        <f>IF(Table13[[#This Row],[POS]]=0,1,0)</f>
        <v>0</v>
      </c>
      <c r="K281">
        <f>SUM(Table13[[#This Row],[prefix]],Table13[[#This Row],[Past zero L]],Table13[[#This Row],[Past Zero R]],Table13[[#This Row],[Is Zero]])</f>
        <v>0</v>
      </c>
    </row>
    <row r="282" spans="1:11" ht="16" x14ac:dyDescent="0.2">
      <c r="A282" s="1" t="s">
        <v>173</v>
      </c>
      <c r="B282" t="str">
        <f>LEFT(Table13[[#This Row],[Input]],1)</f>
        <v>L</v>
      </c>
      <c r="C282">
        <f>_xlfn.LET(_xlpm.steps,SUBSTITUTE(Table13[[#This Row],[Input]],Table13[[#This Row],[Direction]],""),VALUE(IF(LEN(_xlpm.steps)&gt;2,RIGHT(_xlpm.steps,2),_xlpm.steps)))</f>
        <v>49</v>
      </c>
      <c r="D282">
        <f>_xlfn.LET(_xlpm.steps,SUBSTITUTE(Table13[[#This Row],[Input]],Table13[[#This Row],[Direction]],""),VALUE(IF(LEN(_xlpm.steps)&gt;2,LEFT(_xlpm.steps,LEN(_xlpm.steps)-2),0)))</f>
        <v>5</v>
      </c>
      <c r="E282">
        <f>_xlfn.LET(_xlpm.dir,Table13[[#This Row],[Direction]],
IF(_xlpm.dir="L",
    IF(G281-Table13[[#This Row],[Steps]]&lt;0,100+(G281-Table13[[#This Row],[Steps]]),G281-Table13[[#This Row],[Steps]]),
))</f>
        <v>85</v>
      </c>
      <c r="F282">
        <f>_xlfn.LET(_xlpm.dir,Table13[[#This Row],[Direction]],
IF(_xlpm.dir="R",
    IF(G281+Table13[[#This Row],[Steps]]&gt;99,(G281+Table13[[#This Row],[Steps]])-100,G281+Table13[[#This Row],[Steps]]),
))</f>
        <v>0</v>
      </c>
      <c r="G282">
        <f>IF(Table13[[#This Row],[New Pos L]]&lt;&gt;0,Table13[[#This Row],[New Pos L]],Table13[[#This Row],[New Pos R]])</f>
        <v>85</v>
      </c>
      <c r="H282">
        <f>IF(AND(Table13[[#This Row],[Direction]]="L",Table13[[#This Row],[Steps]]&gt;G281,G281&lt;&gt;0),1,0)</f>
        <v>1</v>
      </c>
      <c r="I282">
        <f>IF(AND(Table13[[#This Row],[Direction]]="R",(G281+Table13[[#This Row],[Steps]])&gt;100),1,0)</f>
        <v>0</v>
      </c>
      <c r="J282">
        <f>IF(Table13[[#This Row],[POS]]=0,1,0)</f>
        <v>0</v>
      </c>
      <c r="K282">
        <f>SUM(Table13[[#This Row],[prefix]],Table13[[#This Row],[Past zero L]],Table13[[#This Row],[Past Zero R]],Table13[[#This Row],[Is Zero]])</f>
        <v>6</v>
      </c>
    </row>
    <row r="283" spans="1:11" ht="16" x14ac:dyDescent="0.2">
      <c r="A283" s="1" t="s">
        <v>174</v>
      </c>
      <c r="B283" t="str">
        <f>LEFT(Table13[[#This Row],[Input]],1)</f>
        <v>L</v>
      </c>
      <c r="C283">
        <f>_xlfn.LET(_xlpm.steps,SUBSTITUTE(Table13[[#This Row],[Input]],Table13[[#This Row],[Direction]],""),VALUE(IF(LEN(_xlpm.steps)&gt;2,RIGHT(_xlpm.steps,2),_xlpm.steps)))</f>
        <v>92</v>
      </c>
      <c r="D283">
        <f>_xlfn.LET(_xlpm.steps,SUBSTITUTE(Table13[[#This Row],[Input]],Table13[[#This Row],[Direction]],""),VALUE(IF(LEN(_xlpm.steps)&gt;2,LEFT(_xlpm.steps,LEN(_xlpm.steps)-2),0)))</f>
        <v>0</v>
      </c>
      <c r="E283">
        <f>_xlfn.LET(_xlpm.dir,Table13[[#This Row],[Direction]],
IF(_xlpm.dir="L",
    IF(G282-Table13[[#This Row],[Steps]]&lt;0,100+(G282-Table13[[#This Row],[Steps]]),G282-Table13[[#This Row],[Steps]]),
))</f>
        <v>93</v>
      </c>
      <c r="F283">
        <f>_xlfn.LET(_xlpm.dir,Table13[[#This Row],[Direction]],
IF(_xlpm.dir="R",
    IF(G282+Table13[[#This Row],[Steps]]&gt;99,(G282+Table13[[#This Row],[Steps]])-100,G282+Table13[[#This Row],[Steps]]),
))</f>
        <v>0</v>
      </c>
      <c r="G283">
        <f>IF(Table13[[#This Row],[New Pos L]]&lt;&gt;0,Table13[[#This Row],[New Pos L]],Table13[[#This Row],[New Pos R]])</f>
        <v>93</v>
      </c>
      <c r="H283">
        <f>IF(AND(Table13[[#This Row],[Direction]]="L",Table13[[#This Row],[Steps]]&gt;G282,G282&lt;&gt;0),1,0)</f>
        <v>1</v>
      </c>
      <c r="I283">
        <f>IF(AND(Table13[[#This Row],[Direction]]="R",(G282+Table13[[#This Row],[Steps]])&gt;100),1,0)</f>
        <v>0</v>
      </c>
      <c r="J283">
        <f>IF(Table13[[#This Row],[POS]]=0,1,0)</f>
        <v>0</v>
      </c>
      <c r="K283">
        <f>SUM(Table13[[#This Row],[prefix]],Table13[[#This Row],[Past zero L]],Table13[[#This Row],[Past Zero R]],Table13[[#This Row],[Is Zero]])</f>
        <v>1</v>
      </c>
    </row>
    <row r="284" spans="1:11" ht="16" x14ac:dyDescent="0.2">
      <c r="A284" s="1" t="s">
        <v>175</v>
      </c>
      <c r="B284" t="str">
        <f>LEFT(Table13[[#This Row],[Input]],1)</f>
        <v>L</v>
      </c>
      <c r="C284">
        <f>_xlfn.LET(_xlpm.steps,SUBSTITUTE(Table13[[#This Row],[Input]],Table13[[#This Row],[Direction]],""),VALUE(IF(LEN(_xlpm.steps)&gt;2,RIGHT(_xlpm.steps,2),_xlpm.steps)))</f>
        <v>1</v>
      </c>
      <c r="D284">
        <f>_xlfn.LET(_xlpm.steps,SUBSTITUTE(Table13[[#This Row],[Input]],Table13[[#This Row],[Direction]],""),VALUE(IF(LEN(_xlpm.steps)&gt;2,LEFT(_xlpm.steps,LEN(_xlpm.steps)-2),0)))</f>
        <v>0</v>
      </c>
      <c r="E284">
        <f>_xlfn.LET(_xlpm.dir,Table13[[#This Row],[Direction]],
IF(_xlpm.dir="L",
    IF(G283-Table13[[#This Row],[Steps]]&lt;0,100+(G283-Table13[[#This Row],[Steps]]),G283-Table13[[#This Row],[Steps]]),
))</f>
        <v>92</v>
      </c>
      <c r="F284">
        <f>_xlfn.LET(_xlpm.dir,Table13[[#This Row],[Direction]],
IF(_xlpm.dir="R",
    IF(G283+Table13[[#This Row],[Steps]]&gt;99,(G283+Table13[[#This Row],[Steps]])-100,G283+Table13[[#This Row],[Steps]]),
))</f>
        <v>0</v>
      </c>
      <c r="G284">
        <f>IF(Table13[[#This Row],[New Pos L]]&lt;&gt;0,Table13[[#This Row],[New Pos L]],Table13[[#This Row],[New Pos R]])</f>
        <v>92</v>
      </c>
      <c r="H284">
        <f>IF(AND(Table13[[#This Row],[Direction]]="L",Table13[[#This Row],[Steps]]&gt;G283,G283&lt;&gt;0),1,0)</f>
        <v>0</v>
      </c>
      <c r="I284">
        <f>IF(AND(Table13[[#This Row],[Direction]]="R",(G283+Table13[[#This Row],[Steps]])&gt;100),1,0)</f>
        <v>0</v>
      </c>
      <c r="J284">
        <f>IF(Table13[[#This Row],[POS]]=0,1,0)</f>
        <v>0</v>
      </c>
      <c r="K284">
        <f>SUM(Table13[[#This Row],[prefix]],Table13[[#This Row],[Past zero L]],Table13[[#This Row],[Past Zero R]],Table13[[#This Row],[Is Zero]])</f>
        <v>0</v>
      </c>
    </row>
    <row r="285" spans="1:11" ht="16" x14ac:dyDescent="0.2">
      <c r="A285" s="1" t="s">
        <v>176</v>
      </c>
      <c r="B285" t="str">
        <f>LEFT(Table13[[#This Row],[Input]],1)</f>
        <v>L</v>
      </c>
      <c r="C285">
        <f>_xlfn.LET(_xlpm.steps,SUBSTITUTE(Table13[[#This Row],[Input]],Table13[[#This Row],[Direction]],""),VALUE(IF(LEN(_xlpm.steps)&gt;2,RIGHT(_xlpm.steps,2),_xlpm.steps)))</f>
        <v>67</v>
      </c>
      <c r="D285">
        <f>_xlfn.LET(_xlpm.steps,SUBSTITUTE(Table13[[#This Row],[Input]],Table13[[#This Row],[Direction]],""),VALUE(IF(LEN(_xlpm.steps)&gt;2,LEFT(_xlpm.steps,LEN(_xlpm.steps)-2),0)))</f>
        <v>9</v>
      </c>
      <c r="E285">
        <f>_xlfn.LET(_xlpm.dir,Table13[[#This Row],[Direction]],
IF(_xlpm.dir="L",
    IF(G284-Table13[[#This Row],[Steps]]&lt;0,100+(G284-Table13[[#This Row],[Steps]]),G284-Table13[[#This Row],[Steps]]),
))</f>
        <v>25</v>
      </c>
      <c r="F285">
        <f>_xlfn.LET(_xlpm.dir,Table13[[#This Row],[Direction]],
IF(_xlpm.dir="R",
    IF(G284+Table13[[#This Row],[Steps]]&gt;99,(G284+Table13[[#This Row],[Steps]])-100,G284+Table13[[#This Row],[Steps]]),
))</f>
        <v>0</v>
      </c>
      <c r="G285">
        <f>IF(Table13[[#This Row],[New Pos L]]&lt;&gt;0,Table13[[#This Row],[New Pos L]],Table13[[#This Row],[New Pos R]])</f>
        <v>25</v>
      </c>
      <c r="H285">
        <f>IF(AND(Table13[[#This Row],[Direction]]="L",Table13[[#This Row],[Steps]]&gt;G284,G284&lt;&gt;0),1,0)</f>
        <v>0</v>
      </c>
      <c r="I285">
        <f>IF(AND(Table13[[#This Row],[Direction]]="R",(G284+Table13[[#This Row],[Steps]])&gt;100),1,0)</f>
        <v>0</v>
      </c>
      <c r="J285">
        <f>IF(Table13[[#This Row],[POS]]=0,1,0)</f>
        <v>0</v>
      </c>
      <c r="K285">
        <f>SUM(Table13[[#This Row],[prefix]],Table13[[#This Row],[Past zero L]],Table13[[#This Row],[Past Zero R]],Table13[[#This Row],[Is Zero]])</f>
        <v>9</v>
      </c>
    </row>
    <row r="286" spans="1:11" ht="16" x14ac:dyDescent="0.2">
      <c r="A286" s="1" t="s">
        <v>177</v>
      </c>
      <c r="B286" t="str">
        <f>LEFT(Table13[[#This Row],[Input]],1)</f>
        <v>L</v>
      </c>
      <c r="C286">
        <f>_xlfn.LET(_xlpm.steps,SUBSTITUTE(Table13[[#This Row],[Input]],Table13[[#This Row],[Direction]],""),VALUE(IF(LEN(_xlpm.steps)&gt;2,RIGHT(_xlpm.steps,2),_xlpm.steps)))</f>
        <v>17</v>
      </c>
      <c r="D286">
        <f>_xlfn.LET(_xlpm.steps,SUBSTITUTE(Table13[[#This Row],[Input]],Table13[[#This Row],[Direction]],""),VALUE(IF(LEN(_xlpm.steps)&gt;2,LEFT(_xlpm.steps,LEN(_xlpm.steps)-2),0)))</f>
        <v>4</v>
      </c>
      <c r="E286">
        <f>_xlfn.LET(_xlpm.dir,Table13[[#This Row],[Direction]],
IF(_xlpm.dir="L",
    IF(G285-Table13[[#This Row],[Steps]]&lt;0,100+(G285-Table13[[#This Row],[Steps]]),G285-Table13[[#This Row],[Steps]]),
))</f>
        <v>8</v>
      </c>
      <c r="F286">
        <f>_xlfn.LET(_xlpm.dir,Table13[[#This Row],[Direction]],
IF(_xlpm.dir="R",
    IF(G285+Table13[[#This Row],[Steps]]&gt;99,(G285+Table13[[#This Row],[Steps]])-100,G285+Table13[[#This Row],[Steps]]),
))</f>
        <v>0</v>
      </c>
      <c r="G286">
        <f>IF(Table13[[#This Row],[New Pos L]]&lt;&gt;0,Table13[[#This Row],[New Pos L]],Table13[[#This Row],[New Pos R]])</f>
        <v>8</v>
      </c>
      <c r="H286">
        <f>IF(AND(Table13[[#This Row],[Direction]]="L",Table13[[#This Row],[Steps]]&gt;G285,G285&lt;&gt;0),1,0)</f>
        <v>0</v>
      </c>
      <c r="I286">
        <f>IF(AND(Table13[[#This Row],[Direction]]="R",(G285+Table13[[#This Row],[Steps]])&gt;100),1,0)</f>
        <v>0</v>
      </c>
      <c r="J286">
        <f>IF(Table13[[#This Row],[POS]]=0,1,0)</f>
        <v>0</v>
      </c>
      <c r="K286">
        <f>SUM(Table13[[#This Row],[prefix]],Table13[[#This Row],[Past zero L]],Table13[[#This Row],[Past Zero R]],Table13[[#This Row],[Is Zero]])</f>
        <v>4</v>
      </c>
    </row>
    <row r="287" spans="1:11" ht="16" x14ac:dyDescent="0.2">
      <c r="A287" s="1" t="s">
        <v>178</v>
      </c>
      <c r="B287" t="str">
        <f>LEFT(Table13[[#This Row],[Input]],1)</f>
        <v>L</v>
      </c>
      <c r="C287">
        <f>_xlfn.LET(_xlpm.steps,SUBSTITUTE(Table13[[#This Row],[Input]],Table13[[#This Row],[Direction]],""),VALUE(IF(LEN(_xlpm.steps)&gt;2,RIGHT(_xlpm.steps,2),_xlpm.steps)))</f>
        <v>21</v>
      </c>
      <c r="D287">
        <f>_xlfn.LET(_xlpm.steps,SUBSTITUTE(Table13[[#This Row],[Input]],Table13[[#This Row],[Direction]],""),VALUE(IF(LEN(_xlpm.steps)&gt;2,LEFT(_xlpm.steps,LEN(_xlpm.steps)-2),0)))</f>
        <v>9</v>
      </c>
      <c r="E287">
        <f>_xlfn.LET(_xlpm.dir,Table13[[#This Row],[Direction]],
IF(_xlpm.dir="L",
    IF(G286-Table13[[#This Row],[Steps]]&lt;0,100+(G286-Table13[[#This Row],[Steps]]),G286-Table13[[#This Row],[Steps]]),
))</f>
        <v>87</v>
      </c>
      <c r="F287">
        <f>_xlfn.LET(_xlpm.dir,Table13[[#This Row],[Direction]],
IF(_xlpm.dir="R",
    IF(G286+Table13[[#This Row],[Steps]]&gt;99,(G286+Table13[[#This Row],[Steps]])-100,G286+Table13[[#This Row],[Steps]]),
))</f>
        <v>0</v>
      </c>
      <c r="G287">
        <f>IF(Table13[[#This Row],[New Pos L]]&lt;&gt;0,Table13[[#This Row],[New Pos L]],Table13[[#This Row],[New Pos R]])</f>
        <v>87</v>
      </c>
      <c r="H287">
        <f>IF(AND(Table13[[#This Row],[Direction]]="L",Table13[[#This Row],[Steps]]&gt;G286,G286&lt;&gt;0),1,0)</f>
        <v>1</v>
      </c>
      <c r="I287">
        <f>IF(AND(Table13[[#This Row],[Direction]]="R",(G286+Table13[[#This Row],[Steps]])&gt;100),1,0)</f>
        <v>0</v>
      </c>
      <c r="J287">
        <f>IF(Table13[[#This Row],[POS]]=0,1,0)</f>
        <v>0</v>
      </c>
      <c r="K287">
        <f>SUM(Table13[[#This Row],[prefix]],Table13[[#This Row],[Past zero L]],Table13[[#This Row],[Past Zero R]],Table13[[#This Row],[Is Zero]])</f>
        <v>10</v>
      </c>
    </row>
    <row r="288" spans="1:11" ht="16" x14ac:dyDescent="0.2">
      <c r="A288" s="1" t="s">
        <v>135</v>
      </c>
      <c r="B288" t="str">
        <f>LEFT(Table13[[#This Row],[Input]],1)</f>
        <v>R</v>
      </c>
      <c r="C288">
        <f>_xlfn.LET(_xlpm.steps,SUBSTITUTE(Table13[[#This Row],[Input]],Table13[[#This Row],[Direction]],""),VALUE(IF(LEN(_xlpm.steps)&gt;2,RIGHT(_xlpm.steps,2),_xlpm.steps)))</f>
        <v>69</v>
      </c>
      <c r="D288">
        <f>_xlfn.LET(_xlpm.steps,SUBSTITUTE(Table13[[#This Row],[Input]],Table13[[#This Row],[Direction]],""),VALUE(IF(LEN(_xlpm.steps)&gt;2,LEFT(_xlpm.steps,LEN(_xlpm.steps)-2),0)))</f>
        <v>0</v>
      </c>
      <c r="E288">
        <f>_xlfn.LET(_xlpm.dir,Table13[[#This Row],[Direction]],
IF(_xlpm.dir="L",
    IF(G287-Table13[[#This Row],[Steps]]&lt;0,100+(G287-Table13[[#This Row],[Steps]]),G287-Table13[[#This Row],[Steps]]),
))</f>
        <v>0</v>
      </c>
      <c r="F288">
        <f>_xlfn.LET(_xlpm.dir,Table13[[#This Row],[Direction]],
IF(_xlpm.dir="R",
    IF(G287+Table13[[#This Row],[Steps]]&gt;99,(G287+Table13[[#This Row],[Steps]])-100,G287+Table13[[#This Row],[Steps]]),
))</f>
        <v>56</v>
      </c>
      <c r="G288">
        <f>IF(Table13[[#This Row],[New Pos L]]&lt;&gt;0,Table13[[#This Row],[New Pos L]],Table13[[#This Row],[New Pos R]])</f>
        <v>56</v>
      </c>
      <c r="H288">
        <f>IF(AND(Table13[[#This Row],[Direction]]="L",Table13[[#This Row],[Steps]]&gt;G287,G287&lt;&gt;0),1,0)</f>
        <v>0</v>
      </c>
      <c r="I288">
        <f>IF(AND(Table13[[#This Row],[Direction]]="R",(G287+Table13[[#This Row],[Steps]])&gt;100),1,0)</f>
        <v>1</v>
      </c>
      <c r="J288">
        <f>IF(Table13[[#This Row],[POS]]=0,1,0)</f>
        <v>0</v>
      </c>
      <c r="K288">
        <f>SUM(Table13[[#This Row],[prefix]],Table13[[#This Row],[Past zero L]],Table13[[#This Row],[Past Zero R]],Table13[[#This Row],[Is Zero]])</f>
        <v>1</v>
      </c>
    </row>
    <row r="289" spans="1:11" ht="16" x14ac:dyDescent="0.2">
      <c r="A289" s="1" t="s">
        <v>179</v>
      </c>
      <c r="B289" t="str">
        <f>LEFT(Table13[[#This Row],[Input]],1)</f>
        <v>L</v>
      </c>
      <c r="C289">
        <f>_xlfn.LET(_xlpm.steps,SUBSTITUTE(Table13[[#This Row],[Input]],Table13[[#This Row],[Direction]],""),VALUE(IF(LEN(_xlpm.steps)&gt;2,RIGHT(_xlpm.steps,2),_xlpm.steps)))</f>
        <v>54</v>
      </c>
      <c r="D289">
        <f>_xlfn.LET(_xlpm.steps,SUBSTITUTE(Table13[[#This Row],[Input]],Table13[[#This Row],[Direction]],""),VALUE(IF(LEN(_xlpm.steps)&gt;2,LEFT(_xlpm.steps,LEN(_xlpm.steps)-2),0)))</f>
        <v>0</v>
      </c>
      <c r="E289">
        <f>_xlfn.LET(_xlpm.dir,Table13[[#This Row],[Direction]],
IF(_xlpm.dir="L",
    IF(G288-Table13[[#This Row],[Steps]]&lt;0,100+(G288-Table13[[#This Row],[Steps]]),G288-Table13[[#This Row],[Steps]]),
))</f>
        <v>2</v>
      </c>
      <c r="F289">
        <f>_xlfn.LET(_xlpm.dir,Table13[[#This Row],[Direction]],
IF(_xlpm.dir="R",
    IF(G288+Table13[[#This Row],[Steps]]&gt;99,(G288+Table13[[#This Row],[Steps]])-100,G288+Table13[[#This Row],[Steps]]),
))</f>
        <v>0</v>
      </c>
      <c r="G289">
        <f>IF(Table13[[#This Row],[New Pos L]]&lt;&gt;0,Table13[[#This Row],[New Pos L]],Table13[[#This Row],[New Pos R]])</f>
        <v>2</v>
      </c>
      <c r="H289">
        <f>IF(AND(Table13[[#This Row],[Direction]]="L",Table13[[#This Row],[Steps]]&gt;G288,G288&lt;&gt;0),1,0)</f>
        <v>0</v>
      </c>
      <c r="I289">
        <f>IF(AND(Table13[[#This Row],[Direction]]="R",(G288+Table13[[#This Row],[Steps]])&gt;100),1,0)</f>
        <v>0</v>
      </c>
      <c r="J289">
        <f>IF(Table13[[#This Row],[POS]]=0,1,0)</f>
        <v>0</v>
      </c>
      <c r="K289">
        <f>SUM(Table13[[#This Row],[prefix]],Table13[[#This Row],[Past zero L]],Table13[[#This Row],[Past Zero R]],Table13[[#This Row],[Is Zero]])</f>
        <v>0</v>
      </c>
    </row>
    <row r="290" spans="1:11" ht="16" x14ac:dyDescent="0.2">
      <c r="A290" s="1" t="s">
        <v>35</v>
      </c>
      <c r="B290" t="str">
        <f>LEFT(Table13[[#This Row],[Input]],1)</f>
        <v>L</v>
      </c>
      <c r="C290">
        <f>_xlfn.LET(_xlpm.steps,SUBSTITUTE(Table13[[#This Row],[Input]],Table13[[#This Row],[Direction]],""),VALUE(IF(LEN(_xlpm.steps)&gt;2,RIGHT(_xlpm.steps,2),_xlpm.steps)))</f>
        <v>2</v>
      </c>
      <c r="D290">
        <f>_xlfn.LET(_xlpm.steps,SUBSTITUTE(Table13[[#This Row],[Input]],Table13[[#This Row],[Direction]],""),VALUE(IF(LEN(_xlpm.steps)&gt;2,LEFT(_xlpm.steps,LEN(_xlpm.steps)-2),0)))</f>
        <v>0</v>
      </c>
      <c r="E290">
        <f>_xlfn.LET(_xlpm.dir,Table13[[#This Row],[Direction]],
IF(_xlpm.dir="L",
    IF(G289-Table13[[#This Row],[Steps]]&lt;0,100+(G289-Table13[[#This Row],[Steps]]),G289-Table13[[#This Row],[Steps]]),
))</f>
        <v>0</v>
      </c>
      <c r="F290">
        <f>_xlfn.LET(_xlpm.dir,Table13[[#This Row],[Direction]],
IF(_xlpm.dir="R",
    IF(G289+Table13[[#This Row],[Steps]]&gt;99,(G289+Table13[[#This Row],[Steps]])-100,G289+Table13[[#This Row],[Steps]]),
))</f>
        <v>0</v>
      </c>
      <c r="G290">
        <f>IF(Table13[[#This Row],[New Pos L]]&lt;&gt;0,Table13[[#This Row],[New Pos L]],Table13[[#This Row],[New Pos R]])</f>
        <v>0</v>
      </c>
      <c r="H290">
        <f>IF(AND(Table13[[#This Row],[Direction]]="L",Table13[[#This Row],[Steps]]&gt;G289,G289&lt;&gt;0),1,0)</f>
        <v>0</v>
      </c>
      <c r="I290">
        <f>IF(AND(Table13[[#This Row],[Direction]]="R",(G289+Table13[[#This Row],[Steps]])&gt;100),1,0)</f>
        <v>0</v>
      </c>
      <c r="J290">
        <f>IF(Table13[[#This Row],[POS]]=0,1,0)</f>
        <v>1</v>
      </c>
      <c r="K290">
        <f>SUM(Table13[[#This Row],[prefix]],Table13[[#This Row],[Past zero L]],Table13[[#This Row],[Past Zero R]],Table13[[#This Row],[Is Zero]])</f>
        <v>1</v>
      </c>
    </row>
    <row r="291" spans="1:11" ht="16" x14ac:dyDescent="0.2">
      <c r="A291" s="1" t="s">
        <v>70</v>
      </c>
      <c r="B291" t="str">
        <f>LEFT(Table13[[#This Row],[Input]],1)</f>
        <v>R</v>
      </c>
      <c r="C291">
        <f>_xlfn.LET(_xlpm.steps,SUBSTITUTE(Table13[[#This Row],[Input]],Table13[[#This Row],[Direction]],""),VALUE(IF(LEN(_xlpm.steps)&gt;2,RIGHT(_xlpm.steps,2),_xlpm.steps)))</f>
        <v>73</v>
      </c>
      <c r="D291">
        <f>_xlfn.LET(_xlpm.steps,SUBSTITUTE(Table13[[#This Row],[Input]],Table13[[#This Row],[Direction]],""),VALUE(IF(LEN(_xlpm.steps)&gt;2,LEFT(_xlpm.steps,LEN(_xlpm.steps)-2),0)))</f>
        <v>0</v>
      </c>
      <c r="E291">
        <f>_xlfn.LET(_xlpm.dir,Table13[[#This Row],[Direction]],
IF(_xlpm.dir="L",
    IF(G290-Table13[[#This Row],[Steps]]&lt;0,100+(G290-Table13[[#This Row],[Steps]]),G290-Table13[[#This Row],[Steps]]),
))</f>
        <v>0</v>
      </c>
      <c r="F291">
        <f>_xlfn.LET(_xlpm.dir,Table13[[#This Row],[Direction]],
IF(_xlpm.dir="R",
    IF(G290+Table13[[#This Row],[Steps]]&gt;99,(G290+Table13[[#This Row],[Steps]])-100,G290+Table13[[#This Row],[Steps]]),
))</f>
        <v>73</v>
      </c>
      <c r="G291">
        <f>IF(Table13[[#This Row],[New Pos L]]&lt;&gt;0,Table13[[#This Row],[New Pos L]],Table13[[#This Row],[New Pos R]])</f>
        <v>73</v>
      </c>
      <c r="H291">
        <f>IF(AND(Table13[[#This Row],[Direction]]="L",Table13[[#This Row],[Steps]]&gt;G290,G290&lt;&gt;0),1,0)</f>
        <v>0</v>
      </c>
      <c r="I291">
        <f>IF(AND(Table13[[#This Row],[Direction]]="R",(G290+Table13[[#This Row],[Steps]])&gt;100),1,0)</f>
        <v>0</v>
      </c>
      <c r="J291">
        <f>IF(Table13[[#This Row],[POS]]=0,1,0)</f>
        <v>0</v>
      </c>
      <c r="K291">
        <f>SUM(Table13[[#This Row],[prefix]],Table13[[#This Row],[Past zero L]],Table13[[#This Row],[Past Zero R]],Table13[[#This Row],[Is Zero]])</f>
        <v>0</v>
      </c>
    </row>
    <row r="292" spans="1:11" ht="16" x14ac:dyDescent="0.2">
      <c r="A292" s="1" t="s">
        <v>180</v>
      </c>
      <c r="B292" t="str">
        <f>LEFT(Table13[[#This Row],[Input]],1)</f>
        <v>L</v>
      </c>
      <c r="C292">
        <f>_xlfn.LET(_xlpm.steps,SUBSTITUTE(Table13[[#This Row],[Input]],Table13[[#This Row],[Direction]],""),VALUE(IF(LEN(_xlpm.steps)&gt;2,RIGHT(_xlpm.steps,2),_xlpm.steps)))</f>
        <v>81</v>
      </c>
      <c r="D292">
        <f>_xlfn.LET(_xlpm.steps,SUBSTITUTE(Table13[[#This Row],[Input]],Table13[[#This Row],[Direction]],""),VALUE(IF(LEN(_xlpm.steps)&gt;2,LEFT(_xlpm.steps,LEN(_xlpm.steps)-2),0)))</f>
        <v>1</v>
      </c>
      <c r="E292">
        <f>_xlfn.LET(_xlpm.dir,Table13[[#This Row],[Direction]],
IF(_xlpm.dir="L",
    IF(G291-Table13[[#This Row],[Steps]]&lt;0,100+(G291-Table13[[#This Row],[Steps]]),G291-Table13[[#This Row],[Steps]]),
))</f>
        <v>92</v>
      </c>
      <c r="F292">
        <f>_xlfn.LET(_xlpm.dir,Table13[[#This Row],[Direction]],
IF(_xlpm.dir="R",
    IF(G291+Table13[[#This Row],[Steps]]&gt;99,(G291+Table13[[#This Row],[Steps]])-100,G291+Table13[[#This Row],[Steps]]),
))</f>
        <v>0</v>
      </c>
      <c r="G292">
        <f>IF(Table13[[#This Row],[New Pos L]]&lt;&gt;0,Table13[[#This Row],[New Pos L]],Table13[[#This Row],[New Pos R]])</f>
        <v>92</v>
      </c>
      <c r="H292">
        <f>IF(AND(Table13[[#This Row],[Direction]]="L",Table13[[#This Row],[Steps]]&gt;G291,G291&lt;&gt;0),1,0)</f>
        <v>1</v>
      </c>
      <c r="I292">
        <f>IF(AND(Table13[[#This Row],[Direction]]="R",(G291+Table13[[#This Row],[Steps]])&gt;100),1,0)</f>
        <v>0</v>
      </c>
      <c r="J292">
        <f>IF(Table13[[#This Row],[POS]]=0,1,0)</f>
        <v>0</v>
      </c>
      <c r="K292">
        <f>SUM(Table13[[#This Row],[prefix]],Table13[[#This Row],[Past zero L]],Table13[[#This Row],[Past Zero R]],Table13[[#This Row],[Is Zero]])</f>
        <v>2</v>
      </c>
    </row>
    <row r="293" spans="1:11" ht="16" x14ac:dyDescent="0.2">
      <c r="A293" s="1" t="s">
        <v>84</v>
      </c>
      <c r="B293" t="str">
        <f>LEFT(Table13[[#This Row],[Input]],1)</f>
        <v>R</v>
      </c>
      <c r="C293">
        <f>_xlfn.LET(_xlpm.steps,SUBSTITUTE(Table13[[#This Row],[Input]],Table13[[#This Row],[Direction]],""),VALUE(IF(LEN(_xlpm.steps)&gt;2,RIGHT(_xlpm.steps,2),_xlpm.steps)))</f>
        <v>88</v>
      </c>
      <c r="D293">
        <f>_xlfn.LET(_xlpm.steps,SUBSTITUTE(Table13[[#This Row],[Input]],Table13[[#This Row],[Direction]],""),VALUE(IF(LEN(_xlpm.steps)&gt;2,LEFT(_xlpm.steps,LEN(_xlpm.steps)-2),0)))</f>
        <v>0</v>
      </c>
      <c r="E293">
        <f>_xlfn.LET(_xlpm.dir,Table13[[#This Row],[Direction]],
IF(_xlpm.dir="L",
    IF(G292-Table13[[#This Row],[Steps]]&lt;0,100+(G292-Table13[[#This Row],[Steps]]),G292-Table13[[#This Row],[Steps]]),
))</f>
        <v>0</v>
      </c>
      <c r="F293">
        <f>_xlfn.LET(_xlpm.dir,Table13[[#This Row],[Direction]],
IF(_xlpm.dir="R",
    IF(G292+Table13[[#This Row],[Steps]]&gt;99,(G292+Table13[[#This Row],[Steps]])-100,G292+Table13[[#This Row],[Steps]]),
))</f>
        <v>80</v>
      </c>
      <c r="G293">
        <f>IF(Table13[[#This Row],[New Pos L]]&lt;&gt;0,Table13[[#This Row],[New Pos L]],Table13[[#This Row],[New Pos R]])</f>
        <v>80</v>
      </c>
      <c r="H293">
        <f>IF(AND(Table13[[#This Row],[Direction]]="L",Table13[[#This Row],[Steps]]&gt;G292,G292&lt;&gt;0),1,0)</f>
        <v>0</v>
      </c>
      <c r="I293">
        <f>IF(AND(Table13[[#This Row],[Direction]]="R",(G292+Table13[[#This Row],[Steps]])&gt;100),1,0)</f>
        <v>1</v>
      </c>
      <c r="J293">
        <f>IF(Table13[[#This Row],[POS]]=0,1,0)</f>
        <v>0</v>
      </c>
      <c r="K293">
        <f>SUM(Table13[[#This Row],[prefix]],Table13[[#This Row],[Past zero L]],Table13[[#This Row],[Past Zero R]],Table13[[#This Row],[Is Zero]])</f>
        <v>1</v>
      </c>
    </row>
    <row r="294" spans="1:11" ht="16" x14ac:dyDescent="0.2">
      <c r="A294" s="1" t="s">
        <v>68</v>
      </c>
      <c r="B294" t="str">
        <f>LEFT(Table13[[#This Row],[Input]],1)</f>
        <v>L</v>
      </c>
      <c r="C294">
        <f>_xlfn.LET(_xlpm.steps,SUBSTITUTE(Table13[[#This Row],[Input]],Table13[[#This Row],[Direction]],""),VALUE(IF(LEN(_xlpm.steps)&gt;2,RIGHT(_xlpm.steps,2),_xlpm.steps)))</f>
        <v>80</v>
      </c>
      <c r="D294">
        <f>_xlfn.LET(_xlpm.steps,SUBSTITUTE(Table13[[#This Row],[Input]],Table13[[#This Row],[Direction]],""),VALUE(IF(LEN(_xlpm.steps)&gt;2,LEFT(_xlpm.steps,LEN(_xlpm.steps)-2),0)))</f>
        <v>0</v>
      </c>
      <c r="E294">
        <f>_xlfn.LET(_xlpm.dir,Table13[[#This Row],[Direction]],
IF(_xlpm.dir="L",
    IF(G293-Table13[[#This Row],[Steps]]&lt;0,100+(G293-Table13[[#This Row],[Steps]]),G293-Table13[[#This Row],[Steps]]),
))</f>
        <v>0</v>
      </c>
      <c r="F294">
        <f>_xlfn.LET(_xlpm.dir,Table13[[#This Row],[Direction]],
IF(_xlpm.dir="R",
    IF(G293+Table13[[#This Row],[Steps]]&gt;99,(G293+Table13[[#This Row],[Steps]])-100,G293+Table13[[#This Row],[Steps]]),
))</f>
        <v>0</v>
      </c>
      <c r="G294">
        <f>IF(Table13[[#This Row],[New Pos L]]&lt;&gt;0,Table13[[#This Row],[New Pos L]],Table13[[#This Row],[New Pos R]])</f>
        <v>0</v>
      </c>
      <c r="H294">
        <f>IF(AND(Table13[[#This Row],[Direction]]="L",Table13[[#This Row],[Steps]]&gt;G293,G293&lt;&gt;0),1,0)</f>
        <v>0</v>
      </c>
      <c r="I294">
        <f>IF(AND(Table13[[#This Row],[Direction]]="R",(G293+Table13[[#This Row],[Steps]])&gt;100),1,0)</f>
        <v>0</v>
      </c>
      <c r="J294">
        <f>IF(Table13[[#This Row],[POS]]=0,1,0)</f>
        <v>1</v>
      </c>
      <c r="K294">
        <f>SUM(Table13[[#This Row],[prefix]],Table13[[#This Row],[Past zero L]],Table13[[#This Row],[Past Zero R]],Table13[[#This Row],[Is Zero]])</f>
        <v>1</v>
      </c>
    </row>
    <row r="295" spans="1:11" ht="16" x14ac:dyDescent="0.2">
      <c r="A295" s="1" t="s">
        <v>35</v>
      </c>
      <c r="B295" t="str">
        <f>LEFT(Table13[[#This Row],[Input]],1)</f>
        <v>L</v>
      </c>
      <c r="C295">
        <f>_xlfn.LET(_xlpm.steps,SUBSTITUTE(Table13[[#This Row],[Input]],Table13[[#This Row],[Direction]],""),VALUE(IF(LEN(_xlpm.steps)&gt;2,RIGHT(_xlpm.steps,2),_xlpm.steps)))</f>
        <v>2</v>
      </c>
      <c r="D295">
        <f>_xlfn.LET(_xlpm.steps,SUBSTITUTE(Table13[[#This Row],[Input]],Table13[[#This Row],[Direction]],""),VALUE(IF(LEN(_xlpm.steps)&gt;2,LEFT(_xlpm.steps,LEN(_xlpm.steps)-2),0)))</f>
        <v>0</v>
      </c>
      <c r="E295">
        <f>_xlfn.LET(_xlpm.dir,Table13[[#This Row],[Direction]],
IF(_xlpm.dir="L",
    IF(G294-Table13[[#This Row],[Steps]]&lt;0,100+(G294-Table13[[#This Row],[Steps]]),G294-Table13[[#This Row],[Steps]]),
))</f>
        <v>98</v>
      </c>
      <c r="F295">
        <f>_xlfn.LET(_xlpm.dir,Table13[[#This Row],[Direction]],
IF(_xlpm.dir="R",
    IF(G294+Table13[[#This Row],[Steps]]&gt;99,(G294+Table13[[#This Row],[Steps]])-100,G294+Table13[[#This Row],[Steps]]),
))</f>
        <v>0</v>
      </c>
      <c r="G295">
        <f>IF(Table13[[#This Row],[New Pos L]]&lt;&gt;0,Table13[[#This Row],[New Pos L]],Table13[[#This Row],[New Pos R]])</f>
        <v>98</v>
      </c>
      <c r="H295">
        <f>IF(AND(Table13[[#This Row],[Direction]]="L",Table13[[#This Row],[Steps]]&gt;G294,G294&lt;&gt;0),1,0)</f>
        <v>0</v>
      </c>
      <c r="I295">
        <f>IF(AND(Table13[[#This Row],[Direction]]="R",(G294+Table13[[#This Row],[Steps]])&gt;100),1,0)</f>
        <v>0</v>
      </c>
      <c r="J295">
        <f>IF(Table13[[#This Row],[POS]]=0,1,0)</f>
        <v>0</v>
      </c>
      <c r="K295">
        <f>SUM(Table13[[#This Row],[prefix]],Table13[[#This Row],[Past zero L]],Table13[[#This Row],[Past Zero R]],Table13[[#This Row],[Is Zero]])</f>
        <v>0</v>
      </c>
    </row>
    <row r="296" spans="1:11" ht="16" x14ac:dyDescent="0.2">
      <c r="A296" s="1" t="s">
        <v>181</v>
      </c>
      <c r="B296" t="str">
        <f>LEFT(Table13[[#This Row],[Input]],1)</f>
        <v>L</v>
      </c>
      <c r="C296">
        <f>_xlfn.LET(_xlpm.steps,SUBSTITUTE(Table13[[#This Row],[Input]],Table13[[#This Row],[Direction]],""),VALUE(IF(LEN(_xlpm.steps)&gt;2,RIGHT(_xlpm.steps,2),_xlpm.steps)))</f>
        <v>53</v>
      </c>
      <c r="D296">
        <f>_xlfn.LET(_xlpm.steps,SUBSTITUTE(Table13[[#This Row],[Input]],Table13[[#This Row],[Direction]],""),VALUE(IF(LEN(_xlpm.steps)&gt;2,LEFT(_xlpm.steps,LEN(_xlpm.steps)-2),0)))</f>
        <v>0</v>
      </c>
      <c r="E296">
        <f>_xlfn.LET(_xlpm.dir,Table13[[#This Row],[Direction]],
IF(_xlpm.dir="L",
    IF(G295-Table13[[#This Row],[Steps]]&lt;0,100+(G295-Table13[[#This Row],[Steps]]),G295-Table13[[#This Row],[Steps]]),
))</f>
        <v>45</v>
      </c>
      <c r="F296">
        <f>_xlfn.LET(_xlpm.dir,Table13[[#This Row],[Direction]],
IF(_xlpm.dir="R",
    IF(G295+Table13[[#This Row],[Steps]]&gt;99,(G295+Table13[[#This Row],[Steps]])-100,G295+Table13[[#This Row],[Steps]]),
))</f>
        <v>0</v>
      </c>
      <c r="G296">
        <f>IF(Table13[[#This Row],[New Pos L]]&lt;&gt;0,Table13[[#This Row],[New Pos L]],Table13[[#This Row],[New Pos R]])</f>
        <v>45</v>
      </c>
      <c r="H296">
        <f>IF(AND(Table13[[#This Row],[Direction]]="L",Table13[[#This Row],[Steps]]&gt;G295,G295&lt;&gt;0),1,0)</f>
        <v>0</v>
      </c>
      <c r="I296">
        <f>IF(AND(Table13[[#This Row],[Direction]]="R",(G295+Table13[[#This Row],[Steps]])&gt;100),1,0)</f>
        <v>0</v>
      </c>
      <c r="J296">
        <f>IF(Table13[[#This Row],[POS]]=0,1,0)</f>
        <v>0</v>
      </c>
      <c r="K296">
        <f>SUM(Table13[[#This Row],[prefix]],Table13[[#This Row],[Past zero L]],Table13[[#This Row],[Past Zero R]],Table13[[#This Row],[Is Zero]])</f>
        <v>0</v>
      </c>
    </row>
    <row r="297" spans="1:11" ht="16" x14ac:dyDescent="0.2">
      <c r="A297" s="1" t="s">
        <v>182</v>
      </c>
      <c r="B297" t="str">
        <f>LEFT(Table13[[#This Row],[Input]],1)</f>
        <v>L</v>
      </c>
      <c r="C297">
        <f>_xlfn.LET(_xlpm.steps,SUBSTITUTE(Table13[[#This Row],[Input]],Table13[[#This Row],[Direction]],""),VALUE(IF(LEN(_xlpm.steps)&gt;2,RIGHT(_xlpm.steps,2),_xlpm.steps)))</f>
        <v>3</v>
      </c>
      <c r="D297">
        <f>_xlfn.LET(_xlpm.steps,SUBSTITUTE(Table13[[#This Row],[Input]],Table13[[#This Row],[Direction]],""),VALUE(IF(LEN(_xlpm.steps)&gt;2,LEFT(_xlpm.steps,LEN(_xlpm.steps)-2),0)))</f>
        <v>0</v>
      </c>
      <c r="E297">
        <f>_xlfn.LET(_xlpm.dir,Table13[[#This Row],[Direction]],
IF(_xlpm.dir="L",
    IF(G296-Table13[[#This Row],[Steps]]&lt;0,100+(G296-Table13[[#This Row],[Steps]]),G296-Table13[[#This Row],[Steps]]),
))</f>
        <v>42</v>
      </c>
      <c r="F297">
        <f>_xlfn.LET(_xlpm.dir,Table13[[#This Row],[Direction]],
IF(_xlpm.dir="R",
    IF(G296+Table13[[#This Row],[Steps]]&gt;99,(G296+Table13[[#This Row],[Steps]])-100,G296+Table13[[#This Row],[Steps]]),
))</f>
        <v>0</v>
      </c>
      <c r="G297">
        <f>IF(Table13[[#This Row],[New Pos L]]&lt;&gt;0,Table13[[#This Row],[New Pos L]],Table13[[#This Row],[New Pos R]])</f>
        <v>42</v>
      </c>
      <c r="H297">
        <f>IF(AND(Table13[[#This Row],[Direction]]="L",Table13[[#This Row],[Steps]]&gt;G296,G296&lt;&gt;0),1,0)</f>
        <v>0</v>
      </c>
      <c r="I297">
        <f>IF(AND(Table13[[#This Row],[Direction]]="R",(G296+Table13[[#This Row],[Steps]])&gt;100),1,0)</f>
        <v>0</v>
      </c>
      <c r="J297">
        <f>IF(Table13[[#This Row],[POS]]=0,1,0)</f>
        <v>0</v>
      </c>
      <c r="K297">
        <f>SUM(Table13[[#This Row],[prefix]],Table13[[#This Row],[Past zero L]],Table13[[#This Row],[Past Zero R]],Table13[[#This Row],[Is Zero]])</f>
        <v>0</v>
      </c>
    </row>
    <row r="298" spans="1:11" ht="16" x14ac:dyDescent="0.2">
      <c r="A298" s="1" t="s">
        <v>37</v>
      </c>
      <c r="B298" t="str">
        <f>LEFT(Table13[[#This Row],[Input]],1)</f>
        <v>L</v>
      </c>
      <c r="C298">
        <f>_xlfn.LET(_xlpm.steps,SUBSTITUTE(Table13[[#This Row],[Input]],Table13[[#This Row],[Direction]],""),VALUE(IF(LEN(_xlpm.steps)&gt;2,RIGHT(_xlpm.steps,2),_xlpm.steps)))</f>
        <v>42</v>
      </c>
      <c r="D298">
        <f>_xlfn.LET(_xlpm.steps,SUBSTITUTE(Table13[[#This Row],[Input]],Table13[[#This Row],[Direction]],""),VALUE(IF(LEN(_xlpm.steps)&gt;2,LEFT(_xlpm.steps,LEN(_xlpm.steps)-2),0)))</f>
        <v>0</v>
      </c>
      <c r="E298">
        <f>_xlfn.LET(_xlpm.dir,Table13[[#This Row],[Direction]],
IF(_xlpm.dir="L",
    IF(G297-Table13[[#This Row],[Steps]]&lt;0,100+(G297-Table13[[#This Row],[Steps]]),G297-Table13[[#This Row],[Steps]]),
))</f>
        <v>0</v>
      </c>
      <c r="F298">
        <f>_xlfn.LET(_xlpm.dir,Table13[[#This Row],[Direction]],
IF(_xlpm.dir="R",
    IF(G297+Table13[[#This Row],[Steps]]&gt;99,(G297+Table13[[#This Row],[Steps]])-100,G297+Table13[[#This Row],[Steps]]),
))</f>
        <v>0</v>
      </c>
      <c r="G298">
        <f>IF(Table13[[#This Row],[New Pos L]]&lt;&gt;0,Table13[[#This Row],[New Pos L]],Table13[[#This Row],[New Pos R]])</f>
        <v>0</v>
      </c>
      <c r="H298">
        <f>IF(AND(Table13[[#This Row],[Direction]]="L",Table13[[#This Row],[Steps]]&gt;G297,G297&lt;&gt;0),1,0)</f>
        <v>0</v>
      </c>
      <c r="I298">
        <f>IF(AND(Table13[[#This Row],[Direction]]="R",(G297+Table13[[#This Row],[Steps]])&gt;100),1,0)</f>
        <v>0</v>
      </c>
      <c r="J298">
        <f>IF(Table13[[#This Row],[POS]]=0,1,0)</f>
        <v>1</v>
      </c>
      <c r="K298">
        <f>SUM(Table13[[#This Row],[prefix]],Table13[[#This Row],[Past zero L]],Table13[[#This Row],[Past Zero R]],Table13[[#This Row],[Is Zero]])</f>
        <v>1</v>
      </c>
    </row>
    <row r="299" spans="1:11" ht="16" x14ac:dyDescent="0.2">
      <c r="A299" s="1" t="s">
        <v>91</v>
      </c>
      <c r="B299" t="str">
        <f>LEFT(Table13[[#This Row],[Input]],1)</f>
        <v>L</v>
      </c>
      <c r="C299">
        <f>_xlfn.LET(_xlpm.steps,SUBSTITUTE(Table13[[#This Row],[Input]],Table13[[#This Row],[Direction]],""),VALUE(IF(LEN(_xlpm.steps)&gt;2,RIGHT(_xlpm.steps,2),_xlpm.steps)))</f>
        <v>22</v>
      </c>
      <c r="D299">
        <f>_xlfn.LET(_xlpm.steps,SUBSTITUTE(Table13[[#This Row],[Input]],Table13[[#This Row],[Direction]],""),VALUE(IF(LEN(_xlpm.steps)&gt;2,LEFT(_xlpm.steps,LEN(_xlpm.steps)-2),0)))</f>
        <v>0</v>
      </c>
      <c r="E299">
        <f>_xlfn.LET(_xlpm.dir,Table13[[#This Row],[Direction]],
IF(_xlpm.dir="L",
    IF(G298-Table13[[#This Row],[Steps]]&lt;0,100+(G298-Table13[[#This Row],[Steps]]),G298-Table13[[#This Row],[Steps]]),
))</f>
        <v>78</v>
      </c>
      <c r="F299">
        <f>_xlfn.LET(_xlpm.dir,Table13[[#This Row],[Direction]],
IF(_xlpm.dir="R",
    IF(G298+Table13[[#This Row],[Steps]]&gt;99,(G298+Table13[[#This Row],[Steps]])-100,G298+Table13[[#This Row],[Steps]]),
))</f>
        <v>0</v>
      </c>
      <c r="G299">
        <f>IF(Table13[[#This Row],[New Pos L]]&lt;&gt;0,Table13[[#This Row],[New Pos L]],Table13[[#This Row],[New Pos R]])</f>
        <v>78</v>
      </c>
      <c r="H299">
        <f>IF(AND(Table13[[#This Row],[Direction]]="L",Table13[[#This Row],[Steps]]&gt;G298,G298&lt;&gt;0),1,0)</f>
        <v>0</v>
      </c>
      <c r="I299">
        <f>IF(AND(Table13[[#This Row],[Direction]]="R",(G298+Table13[[#This Row],[Steps]])&gt;100),1,0)</f>
        <v>0</v>
      </c>
      <c r="J299">
        <f>IF(Table13[[#This Row],[POS]]=0,1,0)</f>
        <v>0</v>
      </c>
      <c r="K299">
        <f>SUM(Table13[[#This Row],[prefix]],Table13[[#This Row],[Past zero L]],Table13[[#This Row],[Past Zero R]],Table13[[#This Row],[Is Zero]])</f>
        <v>0</v>
      </c>
    </row>
    <row r="300" spans="1:11" ht="16" x14ac:dyDescent="0.2">
      <c r="A300" s="1" t="s">
        <v>183</v>
      </c>
      <c r="B300" t="str">
        <f>LEFT(Table13[[#This Row],[Input]],1)</f>
        <v>L</v>
      </c>
      <c r="C300">
        <f>_xlfn.LET(_xlpm.steps,SUBSTITUTE(Table13[[#This Row],[Input]],Table13[[#This Row],[Direction]],""),VALUE(IF(LEN(_xlpm.steps)&gt;2,RIGHT(_xlpm.steps,2),_xlpm.steps)))</f>
        <v>67</v>
      </c>
      <c r="D300">
        <f>_xlfn.LET(_xlpm.steps,SUBSTITUTE(Table13[[#This Row],[Input]],Table13[[#This Row],[Direction]],""),VALUE(IF(LEN(_xlpm.steps)&gt;2,LEFT(_xlpm.steps,LEN(_xlpm.steps)-2),0)))</f>
        <v>0</v>
      </c>
      <c r="E300">
        <f>_xlfn.LET(_xlpm.dir,Table13[[#This Row],[Direction]],
IF(_xlpm.dir="L",
    IF(G299-Table13[[#This Row],[Steps]]&lt;0,100+(G299-Table13[[#This Row],[Steps]]),G299-Table13[[#This Row],[Steps]]),
))</f>
        <v>11</v>
      </c>
      <c r="F300">
        <f>_xlfn.LET(_xlpm.dir,Table13[[#This Row],[Direction]],
IF(_xlpm.dir="R",
    IF(G299+Table13[[#This Row],[Steps]]&gt;99,(G299+Table13[[#This Row],[Steps]])-100,G299+Table13[[#This Row],[Steps]]),
))</f>
        <v>0</v>
      </c>
      <c r="G300">
        <f>IF(Table13[[#This Row],[New Pos L]]&lt;&gt;0,Table13[[#This Row],[New Pos L]],Table13[[#This Row],[New Pos R]])</f>
        <v>11</v>
      </c>
      <c r="H300">
        <f>IF(AND(Table13[[#This Row],[Direction]]="L",Table13[[#This Row],[Steps]]&gt;G299,G299&lt;&gt;0),1,0)</f>
        <v>0</v>
      </c>
      <c r="I300">
        <f>IF(AND(Table13[[#This Row],[Direction]]="R",(G299+Table13[[#This Row],[Steps]])&gt;100),1,0)</f>
        <v>0</v>
      </c>
      <c r="J300">
        <f>IF(Table13[[#This Row],[POS]]=0,1,0)</f>
        <v>0</v>
      </c>
      <c r="K300">
        <f>SUM(Table13[[#This Row],[prefix]],Table13[[#This Row],[Past zero L]],Table13[[#This Row],[Past Zero R]],Table13[[#This Row],[Is Zero]])</f>
        <v>0</v>
      </c>
    </row>
    <row r="301" spans="1:11" ht="16" x14ac:dyDescent="0.2">
      <c r="A301" s="1" t="s">
        <v>184</v>
      </c>
      <c r="B301" t="str">
        <f>LEFT(Table13[[#This Row],[Input]],1)</f>
        <v>R</v>
      </c>
      <c r="C301">
        <f>_xlfn.LET(_xlpm.steps,SUBSTITUTE(Table13[[#This Row],[Input]],Table13[[#This Row],[Direction]],""),VALUE(IF(LEN(_xlpm.steps)&gt;2,RIGHT(_xlpm.steps,2),_xlpm.steps)))</f>
        <v>28</v>
      </c>
      <c r="D301">
        <f>_xlfn.LET(_xlpm.steps,SUBSTITUTE(Table13[[#This Row],[Input]],Table13[[#This Row],[Direction]],""),VALUE(IF(LEN(_xlpm.steps)&gt;2,LEFT(_xlpm.steps,LEN(_xlpm.steps)-2),0)))</f>
        <v>7</v>
      </c>
      <c r="E301">
        <f>_xlfn.LET(_xlpm.dir,Table13[[#This Row],[Direction]],
IF(_xlpm.dir="L",
    IF(G300-Table13[[#This Row],[Steps]]&lt;0,100+(G300-Table13[[#This Row],[Steps]]),G300-Table13[[#This Row],[Steps]]),
))</f>
        <v>0</v>
      </c>
      <c r="F301">
        <f>_xlfn.LET(_xlpm.dir,Table13[[#This Row],[Direction]],
IF(_xlpm.dir="R",
    IF(G300+Table13[[#This Row],[Steps]]&gt;99,(G300+Table13[[#This Row],[Steps]])-100,G300+Table13[[#This Row],[Steps]]),
))</f>
        <v>39</v>
      </c>
      <c r="G301">
        <f>IF(Table13[[#This Row],[New Pos L]]&lt;&gt;0,Table13[[#This Row],[New Pos L]],Table13[[#This Row],[New Pos R]])</f>
        <v>39</v>
      </c>
      <c r="H301">
        <f>IF(AND(Table13[[#This Row],[Direction]]="L",Table13[[#This Row],[Steps]]&gt;G300,G300&lt;&gt;0),1,0)</f>
        <v>0</v>
      </c>
      <c r="I301">
        <f>IF(AND(Table13[[#This Row],[Direction]]="R",(G300+Table13[[#This Row],[Steps]])&gt;100),1,0)</f>
        <v>0</v>
      </c>
      <c r="J301">
        <f>IF(Table13[[#This Row],[POS]]=0,1,0)</f>
        <v>0</v>
      </c>
      <c r="K301">
        <f>SUM(Table13[[#This Row],[prefix]],Table13[[#This Row],[Past zero L]],Table13[[#This Row],[Past Zero R]],Table13[[#This Row],[Is Zero]])</f>
        <v>7</v>
      </c>
    </row>
    <row r="302" spans="1:11" ht="16" x14ac:dyDescent="0.2">
      <c r="A302" s="1" t="s">
        <v>185</v>
      </c>
      <c r="B302" t="str">
        <f>LEFT(Table13[[#This Row],[Input]],1)</f>
        <v>R</v>
      </c>
      <c r="C302">
        <f>_xlfn.LET(_xlpm.steps,SUBSTITUTE(Table13[[#This Row],[Input]],Table13[[#This Row],[Direction]],""),VALUE(IF(LEN(_xlpm.steps)&gt;2,RIGHT(_xlpm.steps,2),_xlpm.steps)))</f>
        <v>61</v>
      </c>
      <c r="D302">
        <f>_xlfn.LET(_xlpm.steps,SUBSTITUTE(Table13[[#This Row],[Input]],Table13[[#This Row],[Direction]],""),VALUE(IF(LEN(_xlpm.steps)&gt;2,LEFT(_xlpm.steps,LEN(_xlpm.steps)-2),0)))</f>
        <v>0</v>
      </c>
      <c r="E302">
        <f>_xlfn.LET(_xlpm.dir,Table13[[#This Row],[Direction]],
IF(_xlpm.dir="L",
    IF(G301-Table13[[#This Row],[Steps]]&lt;0,100+(G301-Table13[[#This Row],[Steps]]),G301-Table13[[#This Row],[Steps]]),
))</f>
        <v>0</v>
      </c>
      <c r="F302">
        <f>_xlfn.LET(_xlpm.dir,Table13[[#This Row],[Direction]],
IF(_xlpm.dir="R",
    IF(G301+Table13[[#This Row],[Steps]]&gt;99,(G301+Table13[[#This Row],[Steps]])-100,G301+Table13[[#This Row],[Steps]]),
))</f>
        <v>0</v>
      </c>
      <c r="G302">
        <f>IF(Table13[[#This Row],[New Pos L]]&lt;&gt;0,Table13[[#This Row],[New Pos L]],Table13[[#This Row],[New Pos R]])</f>
        <v>0</v>
      </c>
      <c r="H302">
        <f>IF(AND(Table13[[#This Row],[Direction]]="L",Table13[[#This Row],[Steps]]&gt;G301,G301&lt;&gt;0),1,0)</f>
        <v>0</v>
      </c>
      <c r="I302">
        <f>IF(AND(Table13[[#This Row],[Direction]]="R",(G301+Table13[[#This Row],[Steps]])&gt;100),1,0)</f>
        <v>0</v>
      </c>
      <c r="J302">
        <f>IF(Table13[[#This Row],[POS]]=0,1,0)</f>
        <v>1</v>
      </c>
      <c r="K302">
        <f>SUM(Table13[[#This Row],[prefix]],Table13[[#This Row],[Past zero L]],Table13[[#This Row],[Past Zero R]],Table13[[#This Row],[Is Zero]])</f>
        <v>1</v>
      </c>
    </row>
    <row r="303" spans="1:11" ht="16" x14ac:dyDescent="0.2">
      <c r="A303" s="1" t="s">
        <v>186</v>
      </c>
      <c r="B303" t="str">
        <f>LEFT(Table13[[#This Row],[Input]],1)</f>
        <v>L</v>
      </c>
      <c r="C303">
        <f>_xlfn.LET(_xlpm.steps,SUBSTITUTE(Table13[[#This Row],[Input]],Table13[[#This Row],[Direction]],""),VALUE(IF(LEN(_xlpm.steps)&gt;2,RIGHT(_xlpm.steps,2),_xlpm.steps)))</f>
        <v>84</v>
      </c>
      <c r="D303">
        <f>_xlfn.LET(_xlpm.steps,SUBSTITUTE(Table13[[#This Row],[Input]],Table13[[#This Row],[Direction]],""),VALUE(IF(LEN(_xlpm.steps)&gt;2,LEFT(_xlpm.steps,LEN(_xlpm.steps)-2),0)))</f>
        <v>0</v>
      </c>
      <c r="E303">
        <f>_xlfn.LET(_xlpm.dir,Table13[[#This Row],[Direction]],
IF(_xlpm.dir="L",
    IF(G302-Table13[[#This Row],[Steps]]&lt;0,100+(G302-Table13[[#This Row],[Steps]]),G302-Table13[[#This Row],[Steps]]),
))</f>
        <v>16</v>
      </c>
      <c r="F303">
        <f>_xlfn.LET(_xlpm.dir,Table13[[#This Row],[Direction]],
IF(_xlpm.dir="R",
    IF(G302+Table13[[#This Row],[Steps]]&gt;99,(G302+Table13[[#This Row],[Steps]])-100,G302+Table13[[#This Row],[Steps]]),
))</f>
        <v>0</v>
      </c>
      <c r="G303">
        <f>IF(Table13[[#This Row],[New Pos L]]&lt;&gt;0,Table13[[#This Row],[New Pos L]],Table13[[#This Row],[New Pos R]])</f>
        <v>16</v>
      </c>
      <c r="H303">
        <f>IF(AND(Table13[[#This Row],[Direction]]="L",Table13[[#This Row],[Steps]]&gt;G302,G302&lt;&gt;0),1,0)</f>
        <v>0</v>
      </c>
      <c r="I303">
        <f>IF(AND(Table13[[#This Row],[Direction]]="R",(G302+Table13[[#This Row],[Steps]])&gt;100),1,0)</f>
        <v>0</v>
      </c>
      <c r="J303">
        <f>IF(Table13[[#This Row],[POS]]=0,1,0)</f>
        <v>0</v>
      </c>
      <c r="K303">
        <f>SUM(Table13[[#This Row],[prefix]],Table13[[#This Row],[Past zero L]],Table13[[#This Row],[Past Zero R]],Table13[[#This Row],[Is Zero]])</f>
        <v>0</v>
      </c>
    </row>
    <row r="304" spans="1:11" ht="16" x14ac:dyDescent="0.2">
      <c r="A304" s="1" t="s">
        <v>187</v>
      </c>
      <c r="B304" t="str">
        <f>LEFT(Table13[[#This Row],[Input]],1)</f>
        <v>R</v>
      </c>
      <c r="C304">
        <f>_xlfn.LET(_xlpm.steps,SUBSTITUTE(Table13[[#This Row],[Input]],Table13[[#This Row],[Direction]],""),VALUE(IF(LEN(_xlpm.steps)&gt;2,RIGHT(_xlpm.steps,2),_xlpm.steps)))</f>
        <v>20</v>
      </c>
      <c r="D304">
        <f>_xlfn.LET(_xlpm.steps,SUBSTITUTE(Table13[[#This Row],[Input]],Table13[[#This Row],[Direction]],""),VALUE(IF(LEN(_xlpm.steps)&gt;2,LEFT(_xlpm.steps,LEN(_xlpm.steps)-2),0)))</f>
        <v>0</v>
      </c>
      <c r="E304">
        <f>_xlfn.LET(_xlpm.dir,Table13[[#This Row],[Direction]],
IF(_xlpm.dir="L",
    IF(G303-Table13[[#This Row],[Steps]]&lt;0,100+(G303-Table13[[#This Row],[Steps]]),G303-Table13[[#This Row],[Steps]]),
))</f>
        <v>0</v>
      </c>
      <c r="F304">
        <f>_xlfn.LET(_xlpm.dir,Table13[[#This Row],[Direction]],
IF(_xlpm.dir="R",
    IF(G303+Table13[[#This Row],[Steps]]&gt;99,(G303+Table13[[#This Row],[Steps]])-100,G303+Table13[[#This Row],[Steps]]),
))</f>
        <v>36</v>
      </c>
      <c r="G304">
        <f>IF(Table13[[#This Row],[New Pos L]]&lt;&gt;0,Table13[[#This Row],[New Pos L]],Table13[[#This Row],[New Pos R]])</f>
        <v>36</v>
      </c>
      <c r="H304">
        <f>IF(AND(Table13[[#This Row],[Direction]]="L",Table13[[#This Row],[Steps]]&gt;G303,G303&lt;&gt;0),1,0)</f>
        <v>0</v>
      </c>
      <c r="I304">
        <f>IF(AND(Table13[[#This Row],[Direction]]="R",(G303+Table13[[#This Row],[Steps]])&gt;100),1,0)</f>
        <v>0</v>
      </c>
      <c r="J304">
        <f>IF(Table13[[#This Row],[POS]]=0,1,0)</f>
        <v>0</v>
      </c>
      <c r="K304">
        <f>SUM(Table13[[#This Row],[prefix]],Table13[[#This Row],[Past zero L]],Table13[[#This Row],[Past Zero R]],Table13[[#This Row],[Is Zero]])</f>
        <v>0</v>
      </c>
    </row>
    <row r="305" spans="1:11" ht="16" x14ac:dyDescent="0.2">
      <c r="A305" s="1" t="s">
        <v>188</v>
      </c>
      <c r="B305" t="str">
        <f>LEFT(Table13[[#This Row],[Input]],1)</f>
        <v>R</v>
      </c>
      <c r="C305">
        <f>_xlfn.LET(_xlpm.steps,SUBSTITUTE(Table13[[#This Row],[Input]],Table13[[#This Row],[Direction]],""),VALUE(IF(LEN(_xlpm.steps)&gt;2,RIGHT(_xlpm.steps,2),_xlpm.steps)))</f>
        <v>5</v>
      </c>
      <c r="D305">
        <f>_xlfn.LET(_xlpm.steps,SUBSTITUTE(Table13[[#This Row],[Input]],Table13[[#This Row],[Direction]],""),VALUE(IF(LEN(_xlpm.steps)&gt;2,LEFT(_xlpm.steps,LEN(_xlpm.steps)-2),0)))</f>
        <v>0</v>
      </c>
      <c r="E305">
        <f>_xlfn.LET(_xlpm.dir,Table13[[#This Row],[Direction]],
IF(_xlpm.dir="L",
    IF(G304-Table13[[#This Row],[Steps]]&lt;0,100+(G304-Table13[[#This Row],[Steps]]),G304-Table13[[#This Row],[Steps]]),
))</f>
        <v>0</v>
      </c>
      <c r="F305">
        <f>_xlfn.LET(_xlpm.dir,Table13[[#This Row],[Direction]],
IF(_xlpm.dir="R",
    IF(G304+Table13[[#This Row],[Steps]]&gt;99,(G304+Table13[[#This Row],[Steps]])-100,G304+Table13[[#This Row],[Steps]]),
))</f>
        <v>41</v>
      </c>
      <c r="G305">
        <f>IF(Table13[[#This Row],[New Pos L]]&lt;&gt;0,Table13[[#This Row],[New Pos L]],Table13[[#This Row],[New Pos R]])</f>
        <v>41</v>
      </c>
      <c r="H305">
        <f>IF(AND(Table13[[#This Row],[Direction]]="L",Table13[[#This Row],[Steps]]&gt;G304,G304&lt;&gt;0),1,0)</f>
        <v>0</v>
      </c>
      <c r="I305">
        <f>IF(AND(Table13[[#This Row],[Direction]]="R",(G304+Table13[[#This Row],[Steps]])&gt;100),1,0)</f>
        <v>0</v>
      </c>
      <c r="J305">
        <f>IF(Table13[[#This Row],[POS]]=0,1,0)</f>
        <v>0</v>
      </c>
      <c r="K305">
        <f>SUM(Table13[[#This Row],[prefix]],Table13[[#This Row],[Past zero L]],Table13[[#This Row],[Past Zero R]],Table13[[#This Row],[Is Zero]])</f>
        <v>0</v>
      </c>
    </row>
    <row r="306" spans="1:11" ht="16" x14ac:dyDescent="0.2">
      <c r="A306" s="1" t="s">
        <v>182</v>
      </c>
      <c r="B306" t="str">
        <f>LEFT(Table13[[#This Row],[Input]],1)</f>
        <v>L</v>
      </c>
      <c r="C306">
        <f>_xlfn.LET(_xlpm.steps,SUBSTITUTE(Table13[[#This Row],[Input]],Table13[[#This Row],[Direction]],""),VALUE(IF(LEN(_xlpm.steps)&gt;2,RIGHT(_xlpm.steps,2),_xlpm.steps)))</f>
        <v>3</v>
      </c>
      <c r="D306">
        <f>_xlfn.LET(_xlpm.steps,SUBSTITUTE(Table13[[#This Row],[Input]],Table13[[#This Row],[Direction]],""),VALUE(IF(LEN(_xlpm.steps)&gt;2,LEFT(_xlpm.steps,LEN(_xlpm.steps)-2),0)))</f>
        <v>0</v>
      </c>
      <c r="E306">
        <f>_xlfn.LET(_xlpm.dir,Table13[[#This Row],[Direction]],
IF(_xlpm.dir="L",
    IF(G305-Table13[[#This Row],[Steps]]&lt;0,100+(G305-Table13[[#This Row],[Steps]]),G305-Table13[[#This Row],[Steps]]),
))</f>
        <v>38</v>
      </c>
      <c r="F306">
        <f>_xlfn.LET(_xlpm.dir,Table13[[#This Row],[Direction]],
IF(_xlpm.dir="R",
    IF(G305+Table13[[#This Row],[Steps]]&gt;99,(G305+Table13[[#This Row],[Steps]])-100,G305+Table13[[#This Row],[Steps]]),
))</f>
        <v>0</v>
      </c>
      <c r="G306">
        <f>IF(Table13[[#This Row],[New Pos L]]&lt;&gt;0,Table13[[#This Row],[New Pos L]],Table13[[#This Row],[New Pos R]])</f>
        <v>38</v>
      </c>
      <c r="H306">
        <f>IF(AND(Table13[[#This Row],[Direction]]="L",Table13[[#This Row],[Steps]]&gt;G305,G305&lt;&gt;0),1,0)</f>
        <v>0</v>
      </c>
      <c r="I306">
        <f>IF(AND(Table13[[#This Row],[Direction]]="R",(G305+Table13[[#This Row],[Steps]])&gt;100),1,0)</f>
        <v>0</v>
      </c>
      <c r="J306">
        <f>IF(Table13[[#This Row],[POS]]=0,1,0)</f>
        <v>0</v>
      </c>
      <c r="K306">
        <f>SUM(Table13[[#This Row],[prefix]],Table13[[#This Row],[Past zero L]],Table13[[#This Row],[Past Zero R]],Table13[[#This Row],[Is Zero]])</f>
        <v>0</v>
      </c>
    </row>
    <row r="307" spans="1:11" ht="16" x14ac:dyDescent="0.2">
      <c r="A307" s="1" t="s">
        <v>189</v>
      </c>
      <c r="B307" t="str">
        <f>LEFT(Table13[[#This Row],[Input]],1)</f>
        <v>L</v>
      </c>
      <c r="C307">
        <f>_xlfn.LET(_xlpm.steps,SUBSTITUTE(Table13[[#This Row],[Input]],Table13[[#This Row],[Direction]],""),VALUE(IF(LEN(_xlpm.steps)&gt;2,RIGHT(_xlpm.steps,2),_xlpm.steps)))</f>
        <v>38</v>
      </c>
      <c r="D307">
        <f>_xlfn.LET(_xlpm.steps,SUBSTITUTE(Table13[[#This Row],[Input]],Table13[[#This Row],[Direction]],""),VALUE(IF(LEN(_xlpm.steps)&gt;2,LEFT(_xlpm.steps,LEN(_xlpm.steps)-2),0)))</f>
        <v>8</v>
      </c>
      <c r="E307">
        <f>_xlfn.LET(_xlpm.dir,Table13[[#This Row],[Direction]],
IF(_xlpm.dir="L",
    IF(G306-Table13[[#This Row],[Steps]]&lt;0,100+(G306-Table13[[#This Row],[Steps]]),G306-Table13[[#This Row],[Steps]]),
))</f>
        <v>0</v>
      </c>
      <c r="F307">
        <f>_xlfn.LET(_xlpm.dir,Table13[[#This Row],[Direction]],
IF(_xlpm.dir="R",
    IF(G306+Table13[[#This Row],[Steps]]&gt;99,(G306+Table13[[#This Row],[Steps]])-100,G306+Table13[[#This Row],[Steps]]),
))</f>
        <v>0</v>
      </c>
      <c r="G307">
        <f>IF(Table13[[#This Row],[New Pos L]]&lt;&gt;0,Table13[[#This Row],[New Pos L]],Table13[[#This Row],[New Pos R]])</f>
        <v>0</v>
      </c>
      <c r="H307">
        <f>IF(AND(Table13[[#This Row],[Direction]]="L",Table13[[#This Row],[Steps]]&gt;G306,G306&lt;&gt;0),1,0)</f>
        <v>0</v>
      </c>
      <c r="I307">
        <f>IF(AND(Table13[[#This Row],[Direction]]="R",(G306+Table13[[#This Row],[Steps]])&gt;100),1,0)</f>
        <v>0</v>
      </c>
      <c r="J307">
        <f>IF(Table13[[#This Row],[POS]]=0,1,0)</f>
        <v>1</v>
      </c>
      <c r="K307">
        <f>SUM(Table13[[#This Row],[prefix]],Table13[[#This Row],[Past zero L]],Table13[[#This Row],[Past Zero R]],Table13[[#This Row],[Is Zero]])</f>
        <v>9</v>
      </c>
    </row>
    <row r="308" spans="1:11" ht="16" x14ac:dyDescent="0.2">
      <c r="A308" s="1" t="s">
        <v>84</v>
      </c>
      <c r="B308" t="str">
        <f>LEFT(Table13[[#This Row],[Input]],1)</f>
        <v>R</v>
      </c>
      <c r="C308">
        <f>_xlfn.LET(_xlpm.steps,SUBSTITUTE(Table13[[#This Row],[Input]],Table13[[#This Row],[Direction]],""),VALUE(IF(LEN(_xlpm.steps)&gt;2,RIGHT(_xlpm.steps,2),_xlpm.steps)))</f>
        <v>88</v>
      </c>
      <c r="D308">
        <f>_xlfn.LET(_xlpm.steps,SUBSTITUTE(Table13[[#This Row],[Input]],Table13[[#This Row],[Direction]],""),VALUE(IF(LEN(_xlpm.steps)&gt;2,LEFT(_xlpm.steps,LEN(_xlpm.steps)-2),0)))</f>
        <v>0</v>
      </c>
      <c r="E308">
        <f>_xlfn.LET(_xlpm.dir,Table13[[#This Row],[Direction]],
IF(_xlpm.dir="L",
    IF(G307-Table13[[#This Row],[Steps]]&lt;0,100+(G307-Table13[[#This Row],[Steps]]),G307-Table13[[#This Row],[Steps]]),
))</f>
        <v>0</v>
      </c>
      <c r="F308">
        <f>_xlfn.LET(_xlpm.dir,Table13[[#This Row],[Direction]],
IF(_xlpm.dir="R",
    IF(G307+Table13[[#This Row],[Steps]]&gt;99,(G307+Table13[[#This Row],[Steps]])-100,G307+Table13[[#This Row],[Steps]]),
))</f>
        <v>88</v>
      </c>
      <c r="G308">
        <f>IF(Table13[[#This Row],[New Pos L]]&lt;&gt;0,Table13[[#This Row],[New Pos L]],Table13[[#This Row],[New Pos R]])</f>
        <v>88</v>
      </c>
      <c r="H308">
        <f>IF(AND(Table13[[#This Row],[Direction]]="L",Table13[[#This Row],[Steps]]&gt;G307,G307&lt;&gt;0),1,0)</f>
        <v>0</v>
      </c>
      <c r="I308">
        <f>IF(AND(Table13[[#This Row],[Direction]]="R",(G307+Table13[[#This Row],[Steps]])&gt;100),1,0)</f>
        <v>0</v>
      </c>
      <c r="J308">
        <f>IF(Table13[[#This Row],[POS]]=0,1,0)</f>
        <v>0</v>
      </c>
      <c r="K308">
        <f>SUM(Table13[[#This Row],[prefix]],Table13[[#This Row],[Past zero L]],Table13[[#This Row],[Past Zero R]],Table13[[#This Row],[Is Zero]])</f>
        <v>0</v>
      </c>
    </row>
    <row r="309" spans="1:11" ht="16" x14ac:dyDescent="0.2">
      <c r="A309" s="1" t="s">
        <v>190</v>
      </c>
      <c r="B309" t="str">
        <f>LEFT(Table13[[#This Row],[Input]],1)</f>
        <v>R</v>
      </c>
      <c r="C309">
        <f>_xlfn.LET(_xlpm.steps,SUBSTITUTE(Table13[[#This Row],[Input]],Table13[[#This Row],[Direction]],""),VALUE(IF(LEN(_xlpm.steps)&gt;2,RIGHT(_xlpm.steps,2),_xlpm.steps)))</f>
        <v>78</v>
      </c>
      <c r="D309">
        <f>_xlfn.LET(_xlpm.steps,SUBSTITUTE(Table13[[#This Row],[Input]],Table13[[#This Row],[Direction]],""),VALUE(IF(LEN(_xlpm.steps)&gt;2,LEFT(_xlpm.steps,LEN(_xlpm.steps)-2),0)))</f>
        <v>2</v>
      </c>
      <c r="E309">
        <f>_xlfn.LET(_xlpm.dir,Table13[[#This Row],[Direction]],
IF(_xlpm.dir="L",
    IF(G308-Table13[[#This Row],[Steps]]&lt;0,100+(G308-Table13[[#This Row],[Steps]]),G308-Table13[[#This Row],[Steps]]),
))</f>
        <v>0</v>
      </c>
      <c r="F309">
        <f>_xlfn.LET(_xlpm.dir,Table13[[#This Row],[Direction]],
IF(_xlpm.dir="R",
    IF(G308+Table13[[#This Row],[Steps]]&gt;99,(G308+Table13[[#This Row],[Steps]])-100,G308+Table13[[#This Row],[Steps]]),
))</f>
        <v>66</v>
      </c>
      <c r="G309">
        <f>IF(Table13[[#This Row],[New Pos L]]&lt;&gt;0,Table13[[#This Row],[New Pos L]],Table13[[#This Row],[New Pos R]])</f>
        <v>66</v>
      </c>
      <c r="H309">
        <f>IF(AND(Table13[[#This Row],[Direction]]="L",Table13[[#This Row],[Steps]]&gt;G308,G308&lt;&gt;0),1,0)</f>
        <v>0</v>
      </c>
      <c r="I309">
        <f>IF(AND(Table13[[#This Row],[Direction]]="R",(G308+Table13[[#This Row],[Steps]])&gt;100),1,0)</f>
        <v>1</v>
      </c>
      <c r="J309">
        <f>IF(Table13[[#This Row],[POS]]=0,1,0)</f>
        <v>0</v>
      </c>
      <c r="K309">
        <f>SUM(Table13[[#This Row],[prefix]],Table13[[#This Row],[Past zero L]],Table13[[#This Row],[Past Zero R]],Table13[[#This Row],[Is Zero]])</f>
        <v>3</v>
      </c>
    </row>
    <row r="310" spans="1:11" ht="16" x14ac:dyDescent="0.2">
      <c r="A310" s="1" t="s">
        <v>129</v>
      </c>
      <c r="B310" t="str">
        <f>LEFT(Table13[[#This Row],[Input]],1)</f>
        <v>R</v>
      </c>
      <c r="C310">
        <f>_xlfn.LET(_xlpm.steps,SUBSTITUTE(Table13[[#This Row],[Input]],Table13[[#This Row],[Direction]],""),VALUE(IF(LEN(_xlpm.steps)&gt;2,RIGHT(_xlpm.steps,2),_xlpm.steps)))</f>
        <v>8</v>
      </c>
      <c r="D310">
        <f>_xlfn.LET(_xlpm.steps,SUBSTITUTE(Table13[[#This Row],[Input]],Table13[[#This Row],[Direction]],""),VALUE(IF(LEN(_xlpm.steps)&gt;2,LEFT(_xlpm.steps,LEN(_xlpm.steps)-2),0)))</f>
        <v>0</v>
      </c>
      <c r="E310">
        <f>_xlfn.LET(_xlpm.dir,Table13[[#This Row],[Direction]],
IF(_xlpm.dir="L",
    IF(G309-Table13[[#This Row],[Steps]]&lt;0,100+(G309-Table13[[#This Row],[Steps]]),G309-Table13[[#This Row],[Steps]]),
))</f>
        <v>0</v>
      </c>
      <c r="F310">
        <f>_xlfn.LET(_xlpm.dir,Table13[[#This Row],[Direction]],
IF(_xlpm.dir="R",
    IF(G309+Table13[[#This Row],[Steps]]&gt;99,(G309+Table13[[#This Row],[Steps]])-100,G309+Table13[[#This Row],[Steps]]),
))</f>
        <v>74</v>
      </c>
      <c r="G310">
        <f>IF(Table13[[#This Row],[New Pos L]]&lt;&gt;0,Table13[[#This Row],[New Pos L]],Table13[[#This Row],[New Pos R]])</f>
        <v>74</v>
      </c>
      <c r="H310">
        <f>IF(AND(Table13[[#This Row],[Direction]]="L",Table13[[#This Row],[Steps]]&gt;G309,G309&lt;&gt;0),1,0)</f>
        <v>0</v>
      </c>
      <c r="I310">
        <f>IF(AND(Table13[[#This Row],[Direction]]="R",(G309+Table13[[#This Row],[Steps]])&gt;100),1,0)</f>
        <v>0</v>
      </c>
      <c r="J310">
        <f>IF(Table13[[#This Row],[POS]]=0,1,0)</f>
        <v>0</v>
      </c>
      <c r="K310">
        <f>SUM(Table13[[#This Row],[prefix]],Table13[[#This Row],[Past zero L]],Table13[[#This Row],[Past Zero R]],Table13[[#This Row],[Is Zero]])</f>
        <v>0</v>
      </c>
    </row>
    <row r="311" spans="1:11" ht="16" x14ac:dyDescent="0.2">
      <c r="A311" s="1" t="s">
        <v>1</v>
      </c>
      <c r="B311" t="str">
        <f>LEFT(Table13[[#This Row],[Input]],1)</f>
        <v>R</v>
      </c>
      <c r="C311">
        <f>_xlfn.LET(_xlpm.steps,SUBSTITUTE(Table13[[#This Row],[Input]],Table13[[#This Row],[Direction]],""),VALUE(IF(LEN(_xlpm.steps)&gt;2,RIGHT(_xlpm.steps,2),_xlpm.steps)))</f>
        <v>26</v>
      </c>
      <c r="D311">
        <f>_xlfn.LET(_xlpm.steps,SUBSTITUTE(Table13[[#This Row],[Input]],Table13[[#This Row],[Direction]],""),VALUE(IF(LEN(_xlpm.steps)&gt;2,LEFT(_xlpm.steps,LEN(_xlpm.steps)-2),0)))</f>
        <v>0</v>
      </c>
      <c r="E311">
        <f>_xlfn.LET(_xlpm.dir,Table13[[#This Row],[Direction]],
IF(_xlpm.dir="L",
    IF(G310-Table13[[#This Row],[Steps]]&lt;0,100+(G310-Table13[[#This Row],[Steps]]),G310-Table13[[#This Row],[Steps]]),
))</f>
        <v>0</v>
      </c>
      <c r="F311">
        <f>_xlfn.LET(_xlpm.dir,Table13[[#This Row],[Direction]],
IF(_xlpm.dir="R",
    IF(G310+Table13[[#This Row],[Steps]]&gt;99,(G310+Table13[[#This Row],[Steps]])-100,G310+Table13[[#This Row],[Steps]]),
))</f>
        <v>0</v>
      </c>
      <c r="G311">
        <f>IF(Table13[[#This Row],[New Pos L]]&lt;&gt;0,Table13[[#This Row],[New Pos L]],Table13[[#This Row],[New Pos R]])</f>
        <v>0</v>
      </c>
      <c r="H311">
        <f>IF(AND(Table13[[#This Row],[Direction]]="L",Table13[[#This Row],[Steps]]&gt;G310,G310&lt;&gt;0),1,0)</f>
        <v>0</v>
      </c>
      <c r="I311">
        <f>IF(AND(Table13[[#This Row],[Direction]]="R",(G310+Table13[[#This Row],[Steps]])&gt;100),1,0)</f>
        <v>0</v>
      </c>
      <c r="J311">
        <f>IF(Table13[[#This Row],[POS]]=0,1,0)</f>
        <v>1</v>
      </c>
      <c r="K311">
        <f>SUM(Table13[[#This Row],[prefix]],Table13[[#This Row],[Past zero L]],Table13[[#This Row],[Past Zero R]],Table13[[#This Row],[Is Zero]])</f>
        <v>1</v>
      </c>
    </row>
    <row r="312" spans="1:11" ht="16" x14ac:dyDescent="0.2">
      <c r="A312" s="1" t="s">
        <v>191</v>
      </c>
      <c r="B312" t="str">
        <f>LEFT(Table13[[#This Row],[Input]],1)</f>
        <v>L</v>
      </c>
      <c r="C312">
        <f>_xlfn.LET(_xlpm.steps,SUBSTITUTE(Table13[[#This Row],[Input]],Table13[[#This Row],[Direction]],""),VALUE(IF(LEN(_xlpm.steps)&gt;2,RIGHT(_xlpm.steps,2),_xlpm.steps)))</f>
        <v>5</v>
      </c>
      <c r="D312">
        <f>_xlfn.LET(_xlpm.steps,SUBSTITUTE(Table13[[#This Row],[Input]],Table13[[#This Row],[Direction]],""),VALUE(IF(LEN(_xlpm.steps)&gt;2,LEFT(_xlpm.steps,LEN(_xlpm.steps)-2),0)))</f>
        <v>0</v>
      </c>
      <c r="E312">
        <f>_xlfn.LET(_xlpm.dir,Table13[[#This Row],[Direction]],
IF(_xlpm.dir="L",
    IF(G311-Table13[[#This Row],[Steps]]&lt;0,100+(G311-Table13[[#This Row],[Steps]]),G311-Table13[[#This Row],[Steps]]),
))</f>
        <v>95</v>
      </c>
      <c r="F312">
        <f>_xlfn.LET(_xlpm.dir,Table13[[#This Row],[Direction]],
IF(_xlpm.dir="R",
    IF(G311+Table13[[#This Row],[Steps]]&gt;99,(G311+Table13[[#This Row],[Steps]])-100,G311+Table13[[#This Row],[Steps]]),
))</f>
        <v>0</v>
      </c>
      <c r="G312">
        <f>IF(Table13[[#This Row],[New Pos L]]&lt;&gt;0,Table13[[#This Row],[New Pos L]],Table13[[#This Row],[New Pos R]])</f>
        <v>95</v>
      </c>
      <c r="H312">
        <f>IF(AND(Table13[[#This Row],[Direction]]="L",Table13[[#This Row],[Steps]]&gt;G311,G311&lt;&gt;0),1,0)</f>
        <v>0</v>
      </c>
      <c r="I312">
        <f>IF(AND(Table13[[#This Row],[Direction]]="R",(G311+Table13[[#This Row],[Steps]])&gt;100),1,0)</f>
        <v>0</v>
      </c>
      <c r="J312">
        <f>IF(Table13[[#This Row],[POS]]=0,1,0)</f>
        <v>0</v>
      </c>
      <c r="K312">
        <f>SUM(Table13[[#This Row],[prefix]],Table13[[#This Row],[Past zero L]],Table13[[#This Row],[Past Zero R]],Table13[[#This Row],[Is Zero]])</f>
        <v>0</v>
      </c>
    </row>
    <row r="313" spans="1:11" ht="16" x14ac:dyDescent="0.2">
      <c r="A313" s="1" t="s">
        <v>188</v>
      </c>
      <c r="B313" t="str">
        <f>LEFT(Table13[[#This Row],[Input]],1)</f>
        <v>R</v>
      </c>
      <c r="C313">
        <f>_xlfn.LET(_xlpm.steps,SUBSTITUTE(Table13[[#This Row],[Input]],Table13[[#This Row],[Direction]],""),VALUE(IF(LEN(_xlpm.steps)&gt;2,RIGHT(_xlpm.steps,2),_xlpm.steps)))</f>
        <v>5</v>
      </c>
      <c r="D313">
        <f>_xlfn.LET(_xlpm.steps,SUBSTITUTE(Table13[[#This Row],[Input]],Table13[[#This Row],[Direction]],""),VALUE(IF(LEN(_xlpm.steps)&gt;2,LEFT(_xlpm.steps,LEN(_xlpm.steps)-2),0)))</f>
        <v>0</v>
      </c>
      <c r="E313">
        <f>_xlfn.LET(_xlpm.dir,Table13[[#This Row],[Direction]],
IF(_xlpm.dir="L",
    IF(G312-Table13[[#This Row],[Steps]]&lt;0,100+(G312-Table13[[#This Row],[Steps]]),G312-Table13[[#This Row],[Steps]]),
))</f>
        <v>0</v>
      </c>
      <c r="F313">
        <f>_xlfn.LET(_xlpm.dir,Table13[[#This Row],[Direction]],
IF(_xlpm.dir="R",
    IF(G312+Table13[[#This Row],[Steps]]&gt;99,(G312+Table13[[#This Row],[Steps]])-100,G312+Table13[[#This Row],[Steps]]),
))</f>
        <v>0</v>
      </c>
      <c r="G313">
        <f>IF(Table13[[#This Row],[New Pos L]]&lt;&gt;0,Table13[[#This Row],[New Pos L]],Table13[[#This Row],[New Pos R]])</f>
        <v>0</v>
      </c>
      <c r="H313">
        <f>IF(AND(Table13[[#This Row],[Direction]]="L",Table13[[#This Row],[Steps]]&gt;G312,G312&lt;&gt;0),1,0)</f>
        <v>0</v>
      </c>
      <c r="I313">
        <f>IF(AND(Table13[[#This Row],[Direction]]="R",(G312+Table13[[#This Row],[Steps]])&gt;100),1,0)</f>
        <v>0</v>
      </c>
      <c r="J313">
        <f>IF(Table13[[#This Row],[POS]]=0,1,0)</f>
        <v>1</v>
      </c>
      <c r="K313">
        <f>SUM(Table13[[#This Row],[prefix]],Table13[[#This Row],[Past zero L]],Table13[[#This Row],[Past Zero R]],Table13[[#This Row],[Is Zero]])</f>
        <v>1</v>
      </c>
    </row>
    <row r="314" spans="1:11" ht="16" x14ac:dyDescent="0.2">
      <c r="A314" s="1" t="s">
        <v>128</v>
      </c>
      <c r="B314" t="str">
        <f>LEFT(Table13[[#This Row],[Input]],1)</f>
        <v>R</v>
      </c>
      <c r="C314">
        <f>_xlfn.LET(_xlpm.steps,SUBSTITUTE(Table13[[#This Row],[Input]],Table13[[#This Row],[Direction]],""),VALUE(IF(LEN(_xlpm.steps)&gt;2,RIGHT(_xlpm.steps,2),_xlpm.steps)))</f>
        <v>92</v>
      </c>
      <c r="D314">
        <f>_xlfn.LET(_xlpm.steps,SUBSTITUTE(Table13[[#This Row],[Input]],Table13[[#This Row],[Direction]],""),VALUE(IF(LEN(_xlpm.steps)&gt;2,LEFT(_xlpm.steps,LEN(_xlpm.steps)-2),0)))</f>
        <v>0</v>
      </c>
      <c r="E314">
        <f>_xlfn.LET(_xlpm.dir,Table13[[#This Row],[Direction]],
IF(_xlpm.dir="L",
    IF(G313-Table13[[#This Row],[Steps]]&lt;0,100+(G313-Table13[[#This Row],[Steps]]),G313-Table13[[#This Row],[Steps]]),
))</f>
        <v>0</v>
      </c>
      <c r="F314">
        <f>_xlfn.LET(_xlpm.dir,Table13[[#This Row],[Direction]],
IF(_xlpm.dir="R",
    IF(G313+Table13[[#This Row],[Steps]]&gt;99,(G313+Table13[[#This Row],[Steps]])-100,G313+Table13[[#This Row],[Steps]]),
))</f>
        <v>92</v>
      </c>
      <c r="G314">
        <f>IF(Table13[[#This Row],[New Pos L]]&lt;&gt;0,Table13[[#This Row],[New Pos L]],Table13[[#This Row],[New Pos R]])</f>
        <v>92</v>
      </c>
      <c r="H314">
        <f>IF(AND(Table13[[#This Row],[Direction]]="L",Table13[[#This Row],[Steps]]&gt;G313,G313&lt;&gt;0),1,0)</f>
        <v>0</v>
      </c>
      <c r="I314">
        <f>IF(AND(Table13[[#This Row],[Direction]]="R",(G313+Table13[[#This Row],[Steps]])&gt;100),1,0)</f>
        <v>0</v>
      </c>
      <c r="J314">
        <f>IF(Table13[[#This Row],[POS]]=0,1,0)</f>
        <v>0</v>
      </c>
      <c r="K314">
        <f>SUM(Table13[[#This Row],[prefix]],Table13[[#This Row],[Past zero L]],Table13[[#This Row],[Past Zero R]],Table13[[#This Row],[Is Zero]])</f>
        <v>0</v>
      </c>
    </row>
    <row r="315" spans="1:11" ht="16" x14ac:dyDescent="0.2">
      <c r="A315" s="1" t="s">
        <v>98</v>
      </c>
      <c r="B315" t="str">
        <f>LEFT(Table13[[#This Row],[Input]],1)</f>
        <v>L</v>
      </c>
      <c r="C315">
        <f>_xlfn.LET(_xlpm.steps,SUBSTITUTE(Table13[[#This Row],[Input]],Table13[[#This Row],[Direction]],""),VALUE(IF(LEN(_xlpm.steps)&gt;2,RIGHT(_xlpm.steps,2),_xlpm.steps)))</f>
        <v>65</v>
      </c>
      <c r="D315">
        <f>_xlfn.LET(_xlpm.steps,SUBSTITUTE(Table13[[#This Row],[Input]],Table13[[#This Row],[Direction]],""),VALUE(IF(LEN(_xlpm.steps)&gt;2,LEFT(_xlpm.steps,LEN(_xlpm.steps)-2),0)))</f>
        <v>0</v>
      </c>
      <c r="E315">
        <f>_xlfn.LET(_xlpm.dir,Table13[[#This Row],[Direction]],
IF(_xlpm.dir="L",
    IF(G314-Table13[[#This Row],[Steps]]&lt;0,100+(G314-Table13[[#This Row],[Steps]]),G314-Table13[[#This Row],[Steps]]),
))</f>
        <v>27</v>
      </c>
      <c r="F315">
        <f>_xlfn.LET(_xlpm.dir,Table13[[#This Row],[Direction]],
IF(_xlpm.dir="R",
    IF(G314+Table13[[#This Row],[Steps]]&gt;99,(G314+Table13[[#This Row],[Steps]])-100,G314+Table13[[#This Row],[Steps]]),
))</f>
        <v>0</v>
      </c>
      <c r="G315">
        <f>IF(Table13[[#This Row],[New Pos L]]&lt;&gt;0,Table13[[#This Row],[New Pos L]],Table13[[#This Row],[New Pos R]])</f>
        <v>27</v>
      </c>
      <c r="H315">
        <f>IF(AND(Table13[[#This Row],[Direction]]="L",Table13[[#This Row],[Steps]]&gt;G314,G314&lt;&gt;0),1,0)</f>
        <v>0</v>
      </c>
      <c r="I315">
        <f>IF(AND(Table13[[#This Row],[Direction]]="R",(G314+Table13[[#This Row],[Steps]])&gt;100),1,0)</f>
        <v>0</v>
      </c>
      <c r="J315">
        <f>IF(Table13[[#This Row],[POS]]=0,1,0)</f>
        <v>0</v>
      </c>
      <c r="K315">
        <f>SUM(Table13[[#This Row],[prefix]],Table13[[#This Row],[Past zero L]],Table13[[#This Row],[Past Zero R]],Table13[[#This Row],[Is Zero]])</f>
        <v>0</v>
      </c>
    </row>
    <row r="316" spans="1:11" ht="16" x14ac:dyDescent="0.2">
      <c r="A316" s="1" t="s">
        <v>70</v>
      </c>
      <c r="B316" t="str">
        <f>LEFT(Table13[[#This Row],[Input]],1)</f>
        <v>R</v>
      </c>
      <c r="C316">
        <f>_xlfn.LET(_xlpm.steps,SUBSTITUTE(Table13[[#This Row],[Input]],Table13[[#This Row],[Direction]],""),VALUE(IF(LEN(_xlpm.steps)&gt;2,RIGHT(_xlpm.steps,2),_xlpm.steps)))</f>
        <v>73</v>
      </c>
      <c r="D316">
        <f>_xlfn.LET(_xlpm.steps,SUBSTITUTE(Table13[[#This Row],[Input]],Table13[[#This Row],[Direction]],""),VALUE(IF(LEN(_xlpm.steps)&gt;2,LEFT(_xlpm.steps,LEN(_xlpm.steps)-2),0)))</f>
        <v>0</v>
      </c>
      <c r="E316">
        <f>_xlfn.LET(_xlpm.dir,Table13[[#This Row],[Direction]],
IF(_xlpm.dir="L",
    IF(G315-Table13[[#This Row],[Steps]]&lt;0,100+(G315-Table13[[#This Row],[Steps]]),G315-Table13[[#This Row],[Steps]]),
))</f>
        <v>0</v>
      </c>
      <c r="F316">
        <f>_xlfn.LET(_xlpm.dir,Table13[[#This Row],[Direction]],
IF(_xlpm.dir="R",
    IF(G315+Table13[[#This Row],[Steps]]&gt;99,(G315+Table13[[#This Row],[Steps]])-100,G315+Table13[[#This Row],[Steps]]),
))</f>
        <v>0</v>
      </c>
      <c r="G316">
        <f>IF(Table13[[#This Row],[New Pos L]]&lt;&gt;0,Table13[[#This Row],[New Pos L]],Table13[[#This Row],[New Pos R]])</f>
        <v>0</v>
      </c>
      <c r="H316">
        <f>IF(AND(Table13[[#This Row],[Direction]]="L",Table13[[#This Row],[Steps]]&gt;G315,G315&lt;&gt;0),1,0)</f>
        <v>0</v>
      </c>
      <c r="I316">
        <f>IF(AND(Table13[[#This Row],[Direction]]="R",(G315+Table13[[#This Row],[Steps]])&gt;100),1,0)</f>
        <v>0</v>
      </c>
      <c r="J316">
        <f>IF(Table13[[#This Row],[POS]]=0,1,0)</f>
        <v>1</v>
      </c>
      <c r="K316">
        <f>SUM(Table13[[#This Row],[prefix]],Table13[[#This Row],[Past zero L]],Table13[[#This Row],[Past Zero R]],Table13[[#This Row],[Is Zero]])</f>
        <v>1</v>
      </c>
    </row>
    <row r="317" spans="1:11" ht="16" x14ac:dyDescent="0.2">
      <c r="A317" s="1" t="s">
        <v>100</v>
      </c>
      <c r="B317" t="str">
        <f>LEFT(Table13[[#This Row],[Input]],1)</f>
        <v>R</v>
      </c>
      <c r="C317">
        <f>_xlfn.LET(_xlpm.steps,SUBSTITUTE(Table13[[#This Row],[Input]],Table13[[#This Row],[Direction]],""),VALUE(IF(LEN(_xlpm.steps)&gt;2,RIGHT(_xlpm.steps,2),_xlpm.steps)))</f>
        <v>58</v>
      </c>
      <c r="D317">
        <f>_xlfn.LET(_xlpm.steps,SUBSTITUTE(Table13[[#This Row],[Input]],Table13[[#This Row],[Direction]],""),VALUE(IF(LEN(_xlpm.steps)&gt;2,LEFT(_xlpm.steps,LEN(_xlpm.steps)-2),0)))</f>
        <v>0</v>
      </c>
      <c r="E317">
        <f>_xlfn.LET(_xlpm.dir,Table13[[#This Row],[Direction]],
IF(_xlpm.dir="L",
    IF(G316-Table13[[#This Row],[Steps]]&lt;0,100+(G316-Table13[[#This Row],[Steps]]),G316-Table13[[#This Row],[Steps]]),
))</f>
        <v>0</v>
      </c>
      <c r="F317">
        <f>_xlfn.LET(_xlpm.dir,Table13[[#This Row],[Direction]],
IF(_xlpm.dir="R",
    IF(G316+Table13[[#This Row],[Steps]]&gt;99,(G316+Table13[[#This Row],[Steps]])-100,G316+Table13[[#This Row],[Steps]]),
))</f>
        <v>58</v>
      </c>
      <c r="G317">
        <f>IF(Table13[[#This Row],[New Pos L]]&lt;&gt;0,Table13[[#This Row],[New Pos L]],Table13[[#This Row],[New Pos R]])</f>
        <v>58</v>
      </c>
      <c r="H317">
        <f>IF(AND(Table13[[#This Row],[Direction]]="L",Table13[[#This Row],[Steps]]&gt;G316,G316&lt;&gt;0),1,0)</f>
        <v>0</v>
      </c>
      <c r="I317">
        <f>IF(AND(Table13[[#This Row],[Direction]]="R",(G316+Table13[[#This Row],[Steps]])&gt;100),1,0)</f>
        <v>0</v>
      </c>
      <c r="J317">
        <f>IF(Table13[[#This Row],[POS]]=0,1,0)</f>
        <v>0</v>
      </c>
      <c r="K317">
        <f>SUM(Table13[[#This Row],[prefix]],Table13[[#This Row],[Past zero L]],Table13[[#This Row],[Past Zero R]],Table13[[#This Row],[Is Zero]])</f>
        <v>0</v>
      </c>
    </row>
    <row r="318" spans="1:11" ht="16" x14ac:dyDescent="0.2">
      <c r="A318" s="1" t="s">
        <v>192</v>
      </c>
      <c r="B318" t="str">
        <f>LEFT(Table13[[#This Row],[Input]],1)</f>
        <v>L</v>
      </c>
      <c r="C318">
        <f>_xlfn.LET(_xlpm.steps,SUBSTITUTE(Table13[[#This Row],[Input]],Table13[[#This Row],[Direction]],""),VALUE(IF(LEN(_xlpm.steps)&gt;2,RIGHT(_xlpm.steps,2),_xlpm.steps)))</f>
        <v>52</v>
      </c>
      <c r="D318">
        <f>_xlfn.LET(_xlpm.steps,SUBSTITUTE(Table13[[#This Row],[Input]],Table13[[#This Row],[Direction]],""),VALUE(IF(LEN(_xlpm.steps)&gt;2,LEFT(_xlpm.steps,LEN(_xlpm.steps)-2),0)))</f>
        <v>0</v>
      </c>
      <c r="E318">
        <f>_xlfn.LET(_xlpm.dir,Table13[[#This Row],[Direction]],
IF(_xlpm.dir="L",
    IF(G317-Table13[[#This Row],[Steps]]&lt;0,100+(G317-Table13[[#This Row],[Steps]]),G317-Table13[[#This Row],[Steps]]),
))</f>
        <v>6</v>
      </c>
      <c r="F318">
        <f>_xlfn.LET(_xlpm.dir,Table13[[#This Row],[Direction]],
IF(_xlpm.dir="R",
    IF(G317+Table13[[#This Row],[Steps]]&gt;99,(G317+Table13[[#This Row],[Steps]])-100,G317+Table13[[#This Row],[Steps]]),
))</f>
        <v>0</v>
      </c>
      <c r="G318">
        <f>IF(Table13[[#This Row],[New Pos L]]&lt;&gt;0,Table13[[#This Row],[New Pos L]],Table13[[#This Row],[New Pos R]])</f>
        <v>6</v>
      </c>
      <c r="H318">
        <f>IF(AND(Table13[[#This Row],[Direction]]="L",Table13[[#This Row],[Steps]]&gt;G317,G317&lt;&gt;0),1,0)</f>
        <v>0</v>
      </c>
      <c r="I318">
        <f>IF(AND(Table13[[#This Row],[Direction]]="R",(G317+Table13[[#This Row],[Steps]])&gt;100),1,0)</f>
        <v>0</v>
      </c>
      <c r="J318">
        <f>IF(Table13[[#This Row],[POS]]=0,1,0)</f>
        <v>0</v>
      </c>
      <c r="K318">
        <f>SUM(Table13[[#This Row],[prefix]],Table13[[#This Row],[Past zero L]],Table13[[#This Row],[Past Zero R]],Table13[[#This Row],[Is Zero]])</f>
        <v>0</v>
      </c>
    </row>
    <row r="319" spans="1:11" ht="16" x14ac:dyDescent="0.2">
      <c r="A319" s="1" t="s">
        <v>65</v>
      </c>
      <c r="B319" t="str">
        <f>LEFT(Table13[[#This Row],[Input]],1)</f>
        <v>L</v>
      </c>
      <c r="C319">
        <f>_xlfn.LET(_xlpm.steps,SUBSTITUTE(Table13[[#This Row],[Input]],Table13[[#This Row],[Direction]],""),VALUE(IF(LEN(_xlpm.steps)&gt;2,RIGHT(_xlpm.steps,2),_xlpm.steps)))</f>
        <v>19</v>
      </c>
      <c r="D319">
        <f>_xlfn.LET(_xlpm.steps,SUBSTITUTE(Table13[[#This Row],[Input]],Table13[[#This Row],[Direction]],""),VALUE(IF(LEN(_xlpm.steps)&gt;2,LEFT(_xlpm.steps,LEN(_xlpm.steps)-2),0)))</f>
        <v>0</v>
      </c>
      <c r="E319">
        <f>_xlfn.LET(_xlpm.dir,Table13[[#This Row],[Direction]],
IF(_xlpm.dir="L",
    IF(G318-Table13[[#This Row],[Steps]]&lt;0,100+(G318-Table13[[#This Row],[Steps]]),G318-Table13[[#This Row],[Steps]]),
))</f>
        <v>87</v>
      </c>
      <c r="F319">
        <f>_xlfn.LET(_xlpm.dir,Table13[[#This Row],[Direction]],
IF(_xlpm.dir="R",
    IF(G318+Table13[[#This Row],[Steps]]&gt;99,(G318+Table13[[#This Row],[Steps]])-100,G318+Table13[[#This Row],[Steps]]),
))</f>
        <v>0</v>
      </c>
      <c r="G319">
        <f>IF(Table13[[#This Row],[New Pos L]]&lt;&gt;0,Table13[[#This Row],[New Pos L]],Table13[[#This Row],[New Pos R]])</f>
        <v>87</v>
      </c>
      <c r="H319">
        <f>IF(AND(Table13[[#This Row],[Direction]]="L",Table13[[#This Row],[Steps]]&gt;G318,G318&lt;&gt;0),1,0)</f>
        <v>1</v>
      </c>
      <c r="I319">
        <f>IF(AND(Table13[[#This Row],[Direction]]="R",(G318+Table13[[#This Row],[Steps]])&gt;100),1,0)</f>
        <v>0</v>
      </c>
      <c r="J319">
        <f>IF(Table13[[#This Row],[POS]]=0,1,0)</f>
        <v>0</v>
      </c>
      <c r="K319">
        <f>SUM(Table13[[#This Row],[prefix]],Table13[[#This Row],[Past zero L]],Table13[[#This Row],[Past Zero R]],Table13[[#This Row],[Is Zero]])</f>
        <v>1</v>
      </c>
    </row>
    <row r="320" spans="1:11" ht="16" x14ac:dyDescent="0.2">
      <c r="A320" s="1" t="s">
        <v>54</v>
      </c>
      <c r="B320" t="str">
        <f>LEFT(Table13[[#This Row],[Input]],1)</f>
        <v>L</v>
      </c>
      <c r="C320">
        <f>_xlfn.LET(_xlpm.steps,SUBSTITUTE(Table13[[#This Row],[Input]],Table13[[#This Row],[Direction]],""),VALUE(IF(LEN(_xlpm.steps)&gt;2,RIGHT(_xlpm.steps,2),_xlpm.steps)))</f>
        <v>75</v>
      </c>
      <c r="D320">
        <f>_xlfn.LET(_xlpm.steps,SUBSTITUTE(Table13[[#This Row],[Input]],Table13[[#This Row],[Direction]],""),VALUE(IF(LEN(_xlpm.steps)&gt;2,LEFT(_xlpm.steps,LEN(_xlpm.steps)-2),0)))</f>
        <v>0</v>
      </c>
      <c r="E320">
        <f>_xlfn.LET(_xlpm.dir,Table13[[#This Row],[Direction]],
IF(_xlpm.dir="L",
    IF(G319-Table13[[#This Row],[Steps]]&lt;0,100+(G319-Table13[[#This Row],[Steps]]),G319-Table13[[#This Row],[Steps]]),
))</f>
        <v>12</v>
      </c>
      <c r="F320">
        <f>_xlfn.LET(_xlpm.dir,Table13[[#This Row],[Direction]],
IF(_xlpm.dir="R",
    IF(G319+Table13[[#This Row],[Steps]]&gt;99,(G319+Table13[[#This Row],[Steps]])-100,G319+Table13[[#This Row],[Steps]]),
))</f>
        <v>0</v>
      </c>
      <c r="G320">
        <f>IF(Table13[[#This Row],[New Pos L]]&lt;&gt;0,Table13[[#This Row],[New Pos L]],Table13[[#This Row],[New Pos R]])</f>
        <v>12</v>
      </c>
      <c r="H320">
        <f>IF(AND(Table13[[#This Row],[Direction]]="L",Table13[[#This Row],[Steps]]&gt;G319,G319&lt;&gt;0),1,0)</f>
        <v>0</v>
      </c>
      <c r="I320">
        <f>IF(AND(Table13[[#This Row],[Direction]]="R",(G319+Table13[[#This Row],[Steps]])&gt;100),1,0)</f>
        <v>0</v>
      </c>
      <c r="J320">
        <f>IF(Table13[[#This Row],[POS]]=0,1,0)</f>
        <v>0</v>
      </c>
      <c r="K320">
        <f>SUM(Table13[[#This Row],[prefix]],Table13[[#This Row],[Past zero L]],Table13[[#This Row],[Past Zero R]],Table13[[#This Row],[Is Zero]])</f>
        <v>0</v>
      </c>
    </row>
    <row r="321" spans="1:11" ht="16" x14ac:dyDescent="0.2">
      <c r="A321" s="1" t="s">
        <v>193</v>
      </c>
      <c r="B321" t="str">
        <f>LEFT(Table13[[#This Row],[Input]],1)</f>
        <v>L</v>
      </c>
      <c r="C321">
        <f>_xlfn.LET(_xlpm.steps,SUBSTITUTE(Table13[[#This Row],[Input]],Table13[[#This Row],[Direction]],""),VALUE(IF(LEN(_xlpm.steps)&gt;2,RIGHT(_xlpm.steps,2),_xlpm.steps)))</f>
        <v>12</v>
      </c>
      <c r="D321">
        <f>_xlfn.LET(_xlpm.steps,SUBSTITUTE(Table13[[#This Row],[Input]],Table13[[#This Row],[Direction]],""),VALUE(IF(LEN(_xlpm.steps)&gt;2,LEFT(_xlpm.steps,LEN(_xlpm.steps)-2),0)))</f>
        <v>0</v>
      </c>
      <c r="E321">
        <f>_xlfn.LET(_xlpm.dir,Table13[[#This Row],[Direction]],
IF(_xlpm.dir="L",
    IF(G320-Table13[[#This Row],[Steps]]&lt;0,100+(G320-Table13[[#This Row],[Steps]]),G320-Table13[[#This Row],[Steps]]),
))</f>
        <v>0</v>
      </c>
      <c r="F321">
        <f>_xlfn.LET(_xlpm.dir,Table13[[#This Row],[Direction]],
IF(_xlpm.dir="R",
    IF(G320+Table13[[#This Row],[Steps]]&gt;99,(G320+Table13[[#This Row],[Steps]])-100,G320+Table13[[#This Row],[Steps]]),
))</f>
        <v>0</v>
      </c>
      <c r="G321">
        <f>IF(Table13[[#This Row],[New Pos L]]&lt;&gt;0,Table13[[#This Row],[New Pos L]],Table13[[#This Row],[New Pos R]])</f>
        <v>0</v>
      </c>
      <c r="H321">
        <f>IF(AND(Table13[[#This Row],[Direction]]="L",Table13[[#This Row],[Steps]]&gt;G320,G320&lt;&gt;0),1,0)</f>
        <v>0</v>
      </c>
      <c r="I321">
        <f>IF(AND(Table13[[#This Row],[Direction]]="R",(G320+Table13[[#This Row],[Steps]])&gt;100),1,0)</f>
        <v>0</v>
      </c>
      <c r="J321">
        <f>IF(Table13[[#This Row],[POS]]=0,1,0)</f>
        <v>1</v>
      </c>
      <c r="K321">
        <f>SUM(Table13[[#This Row],[prefix]],Table13[[#This Row],[Past zero L]],Table13[[#This Row],[Past Zero R]],Table13[[#This Row],[Is Zero]])</f>
        <v>1</v>
      </c>
    </row>
    <row r="322" spans="1:11" ht="16" x14ac:dyDescent="0.2">
      <c r="A322" s="1" t="s">
        <v>183</v>
      </c>
      <c r="B322" t="str">
        <f>LEFT(Table13[[#This Row],[Input]],1)</f>
        <v>L</v>
      </c>
      <c r="C322">
        <f>_xlfn.LET(_xlpm.steps,SUBSTITUTE(Table13[[#This Row],[Input]],Table13[[#This Row],[Direction]],""),VALUE(IF(LEN(_xlpm.steps)&gt;2,RIGHT(_xlpm.steps,2),_xlpm.steps)))</f>
        <v>67</v>
      </c>
      <c r="D322">
        <f>_xlfn.LET(_xlpm.steps,SUBSTITUTE(Table13[[#This Row],[Input]],Table13[[#This Row],[Direction]],""),VALUE(IF(LEN(_xlpm.steps)&gt;2,LEFT(_xlpm.steps,LEN(_xlpm.steps)-2),0)))</f>
        <v>0</v>
      </c>
      <c r="E322">
        <f>_xlfn.LET(_xlpm.dir,Table13[[#This Row],[Direction]],
IF(_xlpm.dir="L",
    IF(G321-Table13[[#This Row],[Steps]]&lt;0,100+(G321-Table13[[#This Row],[Steps]]),G321-Table13[[#This Row],[Steps]]),
))</f>
        <v>33</v>
      </c>
      <c r="F322">
        <f>_xlfn.LET(_xlpm.dir,Table13[[#This Row],[Direction]],
IF(_xlpm.dir="R",
    IF(G321+Table13[[#This Row],[Steps]]&gt;99,(G321+Table13[[#This Row],[Steps]])-100,G321+Table13[[#This Row],[Steps]]),
))</f>
        <v>0</v>
      </c>
      <c r="G322">
        <f>IF(Table13[[#This Row],[New Pos L]]&lt;&gt;0,Table13[[#This Row],[New Pos L]],Table13[[#This Row],[New Pos R]])</f>
        <v>33</v>
      </c>
      <c r="H322">
        <f>IF(AND(Table13[[#This Row],[Direction]]="L",Table13[[#This Row],[Steps]]&gt;G321,G321&lt;&gt;0),1,0)</f>
        <v>0</v>
      </c>
      <c r="I322">
        <f>IF(AND(Table13[[#This Row],[Direction]]="R",(G321+Table13[[#This Row],[Steps]])&gt;100),1,0)</f>
        <v>0</v>
      </c>
      <c r="J322">
        <f>IF(Table13[[#This Row],[POS]]=0,1,0)</f>
        <v>0</v>
      </c>
      <c r="K322">
        <f>SUM(Table13[[#This Row],[prefix]],Table13[[#This Row],[Past zero L]],Table13[[#This Row],[Past Zero R]],Table13[[#This Row],[Is Zero]])</f>
        <v>0</v>
      </c>
    </row>
    <row r="323" spans="1:11" ht="16" x14ac:dyDescent="0.2">
      <c r="A323" s="1" t="s">
        <v>194</v>
      </c>
      <c r="B323" t="str">
        <f>LEFT(Table13[[#This Row],[Input]],1)</f>
        <v>R</v>
      </c>
      <c r="C323">
        <f>_xlfn.LET(_xlpm.steps,SUBSTITUTE(Table13[[#This Row],[Input]],Table13[[#This Row],[Direction]],""),VALUE(IF(LEN(_xlpm.steps)&gt;2,RIGHT(_xlpm.steps,2),_xlpm.steps)))</f>
        <v>51</v>
      </c>
      <c r="D323">
        <f>_xlfn.LET(_xlpm.steps,SUBSTITUTE(Table13[[#This Row],[Input]],Table13[[#This Row],[Direction]],""),VALUE(IF(LEN(_xlpm.steps)&gt;2,LEFT(_xlpm.steps,LEN(_xlpm.steps)-2),0)))</f>
        <v>0</v>
      </c>
      <c r="E323">
        <f>_xlfn.LET(_xlpm.dir,Table13[[#This Row],[Direction]],
IF(_xlpm.dir="L",
    IF(G322-Table13[[#This Row],[Steps]]&lt;0,100+(G322-Table13[[#This Row],[Steps]]),G322-Table13[[#This Row],[Steps]]),
))</f>
        <v>0</v>
      </c>
      <c r="F323">
        <f>_xlfn.LET(_xlpm.dir,Table13[[#This Row],[Direction]],
IF(_xlpm.dir="R",
    IF(G322+Table13[[#This Row],[Steps]]&gt;99,(G322+Table13[[#This Row],[Steps]])-100,G322+Table13[[#This Row],[Steps]]),
))</f>
        <v>84</v>
      </c>
      <c r="G323">
        <f>IF(Table13[[#This Row],[New Pos L]]&lt;&gt;0,Table13[[#This Row],[New Pos L]],Table13[[#This Row],[New Pos R]])</f>
        <v>84</v>
      </c>
      <c r="H323">
        <f>IF(AND(Table13[[#This Row],[Direction]]="L",Table13[[#This Row],[Steps]]&gt;G322,G322&lt;&gt;0),1,0)</f>
        <v>0</v>
      </c>
      <c r="I323">
        <f>IF(AND(Table13[[#This Row],[Direction]]="R",(G322+Table13[[#This Row],[Steps]])&gt;100),1,0)</f>
        <v>0</v>
      </c>
      <c r="J323">
        <f>IF(Table13[[#This Row],[POS]]=0,1,0)</f>
        <v>0</v>
      </c>
      <c r="K323">
        <f>SUM(Table13[[#This Row],[prefix]],Table13[[#This Row],[Past zero L]],Table13[[#This Row],[Past Zero R]],Table13[[#This Row],[Is Zero]])</f>
        <v>0</v>
      </c>
    </row>
    <row r="324" spans="1:11" ht="16" x14ac:dyDescent="0.2">
      <c r="A324" s="1" t="s">
        <v>183</v>
      </c>
      <c r="B324" t="str">
        <f>LEFT(Table13[[#This Row],[Input]],1)</f>
        <v>L</v>
      </c>
      <c r="C324">
        <f>_xlfn.LET(_xlpm.steps,SUBSTITUTE(Table13[[#This Row],[Input]],Table13[[#This Row],[Direction]],""),VALUE(IF(LEN(_xlpm.steps)&gt;2,RIGHT(_xlpm.steps,2),_xlpm.steps)))</f>
        <v>67</v>
      </c>
      <c r="D324">
        <f>_xlfn.LET(_xlpm.steps,SUBSTITUTE(Table13[[#This Row],[Input]],Table13[[#This Row],[Direction]],""),VALUE(IF(LEN(_xlpm.steps)&gt;2,LEFT(_xlpm.steps,LEN(_xlpm.steps)-2),0)))</f>
        <v>0</v>
      </c>
      <c r="E324">
        <f>_xlfn.LET(_xlpm.dir,Table13[[#This Row],[Direction]],
IF(_xlpm.dir="L",
    IF(G323-Table13[[#This Row],[Steps]]&lt;0,100+(G323-Table13[[#This Row],[Steps]]),G323-Table13[[#This Row],[Steps]]),
))</f>
        <v>17</v>
      </c>
      <c r="F324">
        <f>_xlfn.LET(_xlpm.dir,Table13[[#This Row],[Direction]],
IF(_xlpm.dir="R",
    IF(G323+Table13[[#This Row],[Steps]]&gt;99,(G323+Table13[[#This Row],[Steps]])-100,G323+Table13[[#This Row],[Steps]]),
))</f>
        <v>0</v>
      </c>
      <c r="G324">
        <f>IF(Table13[[#This Row],[New Pos L]]&lt;&gt;0,Table13[[#This Row],[New Pos L]],Table13[[#This Row],[New Pos R]])</f>
        <v>17</v>
      </c>
      <c r="H324">
        <f>IF(AND(Table13[[#This Row],[Direction]]="L",Table13[[#This Row],[Steps]]&gt;G323,G323&lt;&gt;0),1,0)</f>
        <v>0</v>
      </c>
      <c r="I324">
        <f>IF(AND(Table13[[#This Row],[Direction]]="R",(G323+Table13[[#This Row],[Steps]])&gt;100),1,0)</f>
        <v>0</v>
      </c>
      <c r="J324">
        <f>IF(Table13[[#This Row],[POS]]=0,1,0)</f>
        <v>0</v>
      </c>
      <c r="K324">
        <f>SUM(Table13[[#This Row],[prefix]],Table13[[#This Row],[Past zero L]],Table13[[#This Row],[Past Zero R]],Table13[[#This Row],[Is Zero]])</f>
        <v>0</v>
      </c>
    </row>
    <row r="325" spans="1:11" ht="16" x14ac:dyDescent="0.2">
      <c r="A325" s="1" t="s">
        <v>72</v>
      </c>
      <c r="B325" t="str">
        <f>LEFT(Table13[[#This Row],[Input]],1)</f>
        <v>R</v>
      </c>
      <c r="C325">
        <f>_xlfn.LET(_xlpm.steps,SUBSTITUTE(Table13[[#This Row],[Input]],Table13[[#This Row],[Direction]],""),VALUE(IF(LEN(_xlpm.steps)&gt;2,RIGHT(_xlpm.steps,2),_xlpm.steps)))</f>
        <v>43</v>
      </c>
      <c r="D325">
        <f>_xlfn.LET(_xlpm.steps,SUBSTITUTE(Table13[[#This Row],[Input]],Table13[[#This Row],[Direction]],""),VALUE(IF(LEN(_xlpm.steps)&gt;2,LEFT(_xlpm.steps,LEN(_xlpm.steps)-2),0)))</f>
        <v>0</v>
      </c>
      <c r="E325">
        <f>_xlfn.LET(_xlpm.dir,Table13[[#This Row],[Direction]],
IF(_xlpm.dir="L",
    IF(G324-Table13[[#This Row],[Steps]]&lt;0,100+(G324-Table13[[#This Row],[Steps]]),G324-Table13[[#This Row],[Steps]]),
))</f>
        <v>0</v>
      </c>
      <c r="F325">
        <f>_xlfn.LET(_xlpm.dir,Table13[[#This Row],[Direction]],
IF(_xlpm.dir="R",
    IF(G324+Table13[[#This Row],[Steps]]&gt;99,(G324+Table13[[#This Row],[Steps]])-100,G324+Table13[[#This Row],[Steps]]),
))</f>
        <v>60</v>
      </c>
      <c r="G325">
        <f>IF(Table13[[#This Row],[New Pos L]]&lt;&gt;0,Table13[[#This Row],[New Pos L]],Table13[[#This Row],[New Pos R]])</f>
        <v>60</v>
      </c>
      <c r="H325">
        <f>IF(AND(Table13[[#This Row],[Direction]]="L",Table13[[#This Row],[Steps]]&gt;G324,G324&lt;&gt;0),1,0)</f>
        <v>0</v>
      </c>
      <c r="I325">
        <f>IF(AND(Table13[[#This Row],[Direction]]="R",(G324+Table13[[#This Row],[Steps]])&gt;100),1,0)</f>
        <v>0</v>
      </c>
      <c r="J325">
        <f>IF(Table13[[#This Row],[POS]]=0,1,0)</f>
        <v>0</v>
      </c>
      <c r="K325">
        <f>SUM(Table13[[#This Row],[prefix]],Table13[[#This Row],[Past zero L]],Table13[[#This Row],[Past Zero R]],Table13[[#This Row],[Is Zero]])</f>
        <v>0</v>
      </c>
    </row>
    <row r="326" spans="1:11" ht="16" x14ac:dyDescent="0.2">
      <c r="A326" s="1" t="s">
        <v>195</v>
      </c>
      <c r="B326" t="str">
        <f>LEFT(Table13[[#This Row],[Input]],1)</f>
        <v>R</v>
      </c>
      <c r="C326">
        <f>_xlfn.LET(_xlpm.steps,SUBSTITUTE(Table13[[#This Row],[Input]],Table13[[#This Row],[Direction]],""),VALUE(IF(LEN(_xlpm.steps)&gt;2,RIGHT(_xlpm.steps,2),_xlpm.steps)))</f>
        <v>40</v>
      </c>
      <c r="D326">
        <f>_xlfn.LET(_xlpm.steps,SUBSTITUTE(Table13[[#This Row],[Input]],Table13[[#This Row],[Direction]],""),VALUE(IF(LEN(_xlpm.steps)&gt;2,LEFT(_xlpm.steps,LEN(_xlpm.steps)-2),0)))</f>
        <v>0</v>
      </c>
      <c r="E326">
        <f>_xlfn.LET(_xlpm.dir,Table13[[#This Row],[Direction]],
IF(_xlpm.dir="L",
    IF(G325-Table13[[#This Row],[Steps]]&lt;0,100+(G325-Table13[[#This Row],[Steps]]),G325-Table13[[#This Row],[Steps]]),
))</f>
        <v>0</v>
      </c>
      <c r="F326">
        <f>_xlfn.LET(_xlpm.dir,Table13[[#This Row],[Direction]],
IF(_xlpm.dir="R",
    IF(G325+Table13[[#This Row],[Steps]]&gt;99,(G325+Table13[[#This Row],[Steps]])-100,G325+Table13[[#This Row],[Steps]]),
))</f>
        <v>0</v>
      </c>
      <c r="G326">
        <f>IF(Table13[[#This Row],[New Pos L]]&lt;&gt;0,Table13[[#This Row],[New Pos L]],Table13[[#This Row],[New Pos R]])</f>
        <v>0</v>
      </c>
      <c r="H326">
        <f>IF(AND(Table13[[#This Row],[Direction]]="L",Table13[[#This Row],[Steps]]&gt;G325,G325&lt;&gt;0),1,0)</f>
        <v>0</v>
      </c>
      <c r="I326">
        <f>IF(AND(Table13[[#This Row],[Direction]]="R",(G325+Table13[[#This Row],[Steps]])&gt;100),1,0)</f>
        <v>0</v>
      </c>
      <c r="J326">
        <f>IF(Table13[[#This Row],[POS]]=0,1,0)</f>
        <v>1</v>
      </c>
      <c r="K326">
        <f>SUM(Table13[[#This Row],[prefix]],Table13[[#This Row],[Past zero L]],Table13[[#This Row],[Past Zero R]],Table13[[#This Row],[Is Zero]])</f>
        <v>1</v>
      </c>
    </row>
    <row r="327" spans="1:11" ht="16" x14ac:dyDescent="0.2">
      <c r="A327" s="1" t="s">
        <v>60</v>
      </c>
      <c r="B327" t="str">
        <f>LEFT(Table13[[#This Row],[Input]],1)</f>
        <v>R</v>
      </c>
      <c r="C327">
        <f>_xlfn.LET(_xlpm.steps,SUBSTITUTE(Table13[[#This Row],[Input]],Table13[[#This Row],[Direction]],""),VALUE(IF(LEN(_xlpm.steps)&gt;2,RIGHT(_xlpm.steps,2),_xlpm.steps)))</f>
        <v>86</v>
      </c>
      <c r="D327">
        <f>_xlfn.LET(_xlpm.steps,SUBSTITUTE(Table13[[#This Row],[Input]],Table13[[#This Row],[Direction]],""),VALUE(IF(LEN(_xlpm.steps)&gt;2,LEFT(_xlpm.steps,LEN(_xlpm.steps)-2),0)))</f>
        <v>0</v>
      </c>
      <c r="E327">
        <f>_xlfn.LET(_xlpm.dir,Table13[[#This Row],[Direction]],
IF(_xlpm.dir="L",
    IF(G326-Table13[[#This Row],[Steps]]&lt;0,100+(G326-Table13[[#This Row],[Steps]]),G326-Table13[[#This Row],[Steps]]),
))</f>
        <v>0</v>
      </c>
      <c r="F327">
        <f>_xlfn.LET(_xlpm.dir,Table13[[#This Row],[Direction]],
IF(_xlpm.dir="R",
    IF(G326+Table13[[#This Row],[Steps]]&gt;99,(G326+Table13[[#This Row],[Steps]])-100,G326+Table13[[#This Row],[Steps]]),
))</f>
        <v>86</v>
      </c>
      <c r="G327">
        <f>IF(Table13[[#This Row],[New Pos L]]&lt;&gt;0,Table13[[#This Row],[New Pos L]],Table13[[#This Row],[New Pos R]])</f>
        <v>86</v>
      </c>
      <c r="H327">
        <f>IF(AND(Table13[[#This Row],[Direction]]="L",Table13[[#This Row],[Steps]]&gt;G326,G326&lt;&gt;0),1,0)</f>
        <v>0</v>
      </c>
      <c r="I327">
        <f>IF(AND(Table13[[#This Row],[Direction]]="R",(G326+Table13[[#This Row],[Steps]])&gt;100),1,0)</f>
        <v>0</v>
      </c>
      <c r="J327">
        <f>IF(Table13[[#This Row],[POS]]=0,1,0)</f>
        <v>0</v>
      </c>
      <c r="K327">
        <f>SUM(Table13[[#This Row],[prefix]],Table13[[#This Row],[Past zero L]],Table13[[#This Row],[Past Zero R]],Table13[[#This Row],[Is Zero]])</f>
        <v>0</v>
      </c>
    </row>
    <row r="328" spans="1:11" ht="16" x14ac:dyDescent="0.2">
      <c r="A328" s="1" t="s">
        <v>196</v>
      </c>
      <c r="B328" t="str">
        <f>LEFT(Table13[[#This Row],[Input]],1)</f>
        <v>L</v>
      </c>
      <c r="C328">
        <f>_xlfn.LET(_xlpm.steps,SUBSTITUTE(Table13[[#This Row],[Input]],Table13[[#This Row],[Direction]],""),VALUE(IF(LEN(_xlpm.steps)&gt;2,RIGHT(_xlpm.steps,2),_xlpm.steps)))</f>
        <v>83</v>
      </c>
      <c r="D328">
        <f>_xlfn.LET(_xlpm.steps,SUBSTITUTE(Table13[[#This Row],[Input]],Table13[[#This Row],[Direction]],""),VALUE(IF(LEN(_xlpm.steps)&gt;2,LEFT(_xlpm.steps,LEN(_xlpm.steps)-2),0)))</f>
        <v>5</v>
      </c>
      <c r="E328">
        <f>_xlfn.LET(_xlpm.dir,Table13[[#This Row],[Direction]],
IF(_xlpm.dir="L",
    IF(G327-Table13[[#This Row],[Steps]]&lt;0,100+(G327-Table13[[#This Row],[Steps]]),G327-Table13[[#This Row],[Steps]]),
))</f>
        <v>3</v>
      </c>
      <c r="F328">
        <f>_xlfn.LET(_xlpm.dir,Table13[[#This Row],[Direction]],
IF(_xlpm.dir="R",
    IF(G327+Table13[[#This Row],[Steps]]&gt;99,(G327+Table13[[#This Row],[Steps]])-100,G327+Table13[[#This Row],[Steps]]),
))</f>
        <v>0</v>
      </c>
      <c r="G328">
        <f>IF(Table13[[#This Row],[New Pos L]]&lt;&gt;0,Table13[[#This Row],[New Pos L]],Table13[[#This Row],[New Pos R]])</f>
        <v>3</v>
      </c>
      <c r="H328">
        <f>IF(AND(Table13[[#This Row],[Direction]]="L",Table13[[#This Row],[Steps]]&gt;G327,G327&lt;&gt;0),1,0)</f>
        <v>0</v>
      </c>
      <c r="I328">
        <f>IF(AND(Table13[[#This Row],[Direction]]="R",(G327+Table13[[#This Row],[Steps]])&gt;100),1,0)</f>
        <v>0</v>
      </c>
      <c r="J328">
        <f>IF(Table13[[#This Row],[POS]]=0,1,0)</f>
        <v>0</v>
      </c>
      <c r="K328">
        <f>SUM(Table13[[#This Row],[prefix]],Table13[[#This Row],[Past zero L]],Table13[[#This Row],[Past Zero R]],Table13[[#This Row],[Is Zero]])</f>
        <v>5</v>
      </c>
    </row>
    <row r="329" spans="1:11" ht="16" x14ac:dyDescent="0.2">
      <c r="A329" s="1" t="s">
        <v>197</v>
      </c>
      <c r="B329" t="str">
        <f>LEFT(Table13[[#This Row],[Input]],1)</f>
        <v>R</v>
      </c>
      <c r="C329">
        <f>_xlfn.LET(_xlpm.steps,SUBSTITUTE(Table13[[#This Row],[Input]],Table13[[#This Row],[Direction]],""),VALUE(IF(LEN(_xlpm.steps)&gt;2,RIGHT(_xlpm.steps,2),_xlpm.steps)))</f>
        <v>97</v>
      </c>
      <c r="D329">
        <f>_xlfn.LET(_xlpm.steps,SUBSTITUTE(Table13[[#This Row],[Input]],Table13[[#This Row],[Direction]],""),VALUE(IF(LEN(_xlpm.steps)&gt;2,LEFT(_xlpm.steps,LEN(_xlpm.steps)-2),0)))</f>
        <v>5</v>
      </c>
      <c r="E329">
        <f>_xlfn.LET(_xlpm.dir,Table13[[#This Row],[Direction]],
IF(_xlpm.dir="L",
    IF(G328-Table13[[#This Row],[Steps]]&lt;0,100+(G328-Table13[[#This Row],[Steps]]),G328-Table13[[#This Row],[Steps]]),
))</f>
        <v>0</v>
      </c>
      <c r="F329">
        <f>_xlfn.LET(_xlpm.dir,Table13[[#This Row],[Direction]],
IF(_xlpm.dir="R",
    IF(G328+Table13[[#This Row],[Steps]]&gt;99,(G328+Table13[[#This Row],[Steps]])-100,G328+Table13[[#This Row],[Steps]]),
))</f>
        <v>0</v>
      </c>
      <c r="G329">
        <f>IF(Table13[[#This Row],[New Pos L]]&lt;&gt;0,Table13[[#This Row],[New Pos L]],Table13[[#This Row],[New Pos R]])</f>
        <v>0</v>
      </c>
      <c r="H329">
        <f>IF(AND(Table13[[#This Row],[Direction]]="L",Table13[[#This Row],[Steps]]&gt;G328,G328&lt;&gt;0),1,0)</f>
        <v>0</v>
      </c>
      <c r="I329">
        <f>IF(AND(Table13[[#This Row],[Direction]]="R",(G328+Table13[[#This Row],[Steps]])&gt;100),1,0)</f>
        <v>0</v>
      </c>
      <c r="J329">
        <f>IF(Table13[[#This Row],[POS]]=0,1,0)</f>
        <v>1</v>
      </c>
      <c r="K329">
        <f>SUM(Table13[[#This Row],[prefix]],Table13[[#This Row],[Past zero L]],Table13[[#This Row],[Past Zero R]],Table13[[#This Row],[Is Zero]])</f>
        <v>6</v>
      </c>
    </row>
    <row r="330" spans="1:11" ht="16" x14ac:dyDescent="0.2">
      <c r="A330" s="1" t="s">
        <v>198</v>
      </c>
      <c r="B330" t="str">
        <f>LEFT(Table13[[#This Row],[Input]],1)</f>
        <v>L</v>
      </c>
      <c r="C330">
        <f>_xlfn.LET(_xlpm.steps,SUBSTITUTE(Table13[[#This Row],[Input]],Table13[[#This Row],[Direction]],""),VALUE(IF(LEN(_xlpm.steps)&gt;2,RIGHT(_xlpm.steps,2),_xlpm.steps)))</f>
        <v>19</v>
      </c>
      <c r="D330">
        <f>_xlfn.LET(_xlpm.steps,SUBSTITUTE(Table13[[#This Row],[Input]],Table13[[#This Row],[Direction]],""),VALUE(IF(LEN(_xlpm.steps)&gt;2,LEFT(_xlpm.steps,LEN(_xlpm.steps)-2),0)))</f>
        <v>3</v>
      </c>
      <c r="E330">
        <f>_xlfn.LET(_xlpm.dir,Table13[[#This Row],[Direction]],
IF(_xlpm.dir="L",
    IF(G329-Table13[[#This Row],[Steps]]&lt;0,100+(G329-Table13[[#This Row],[Steps]]),G329-Table13[[#This Row],[Steps]]),
))</f>
        <v>81</v>
      </c>
      <c r="F330">
        <f>_xlfn.LET(_xlpm.dir,Table13[[#This Row],[Direction]],
IF(_xlpm.dir="R",
    IF(G329+Table13[[#This Row],[Steps]]&gt;99,(G329+Table13[[#This Row],[Steps]])-100,G329+Table13[[#This Row],[Steps]]),
))</f>
        <v>0</v>
      </c>
      <c r="G330">
        <f>IF(Table13[[#This Row],[New Pos L]]&lt;&gt;0,Table13[[#This Row],[New Pos L]],Table13[[#This Row],[New Pos R]])</f>
        <v>81</v>
      </c>
      <c r="H330">
        <f>IF(AND(Table13[[#This Row],[Direction]]="L",Table13[[#This Row],[Steps]]&gt;G329,G329&lt;&gt;0),1,0)</f>
        <v>0</v>
      </c>
      <c r="I330">
        <f>IF(AND(Table13[[#This Row],[Direction]]="R",(G329+Table13[[#This Row],[Steps]])&gt;100),1,0)</f>
        <v>0</v>
      </c>
      <c r="J330">
        <f>IF(Table13[[#This Row],[POS]]=0,1,0)</f>
        <v>0</v>
      </c>
      <c r="K330">
        <f>SUM(Table13[[#This Row],[prefix]],Table13[[#This Row],[Past zero L]],Table13[[#This Row],[Past Zero R]],Table13[[#This Row],[Is Zero]])</f>
        <v>3</v>
      </c>
    </row>
    <row r="331" spans="1:11" ht="16" x14ac:dyDescent="0.2">
      <c r="A331" s="1" t="s">
        <v>62</v>
      </c>
      <c r="B331" t="str">
        <f>LEFT(Table13[[#This Row],[Input]],1)</f>
        <v>L</v>
      </c>
      <c r="C331">
        <f>_xlfn.LET(_xlpm.steps,SUBSTITUTE(Table13[[#This Row],[Input]],Table13[[#This Row],[Direction]],""),VALUE(IF(LEN(_xlpm.steps)&gt;2,RIGHT(_xlpm.steps,2),_xlpm.steps)))</f>
        <v>57</v>
      </c>
      <c r="D331">
        <f>_xlfn.LET(_xlpm.steps,SUBSTITUTE(Table13[[#This Row],[Input]],Table13[[#This Row],[Direction]],""),VALUE(IF(LEN(_xlpm.steps)&gt;2,LEFT(_xlpm.steps,LEN(_xlpm.steps)-2),0)))</f>
        <v>0</v>
      </c>
      <c r="E331">
        <f>_xlfn.LET(_xlpm.dir,Table13[[#This Row],[Direction]],
IF(_xlpm.dir="L",
    IF(G330-Table13[[#This Row],[Steps]]&lt;0,100+(G330-Table13[[#This Row],[Steps]]),G330-Table13[[#This Row],[Steps]]),
))</f>
        <v>24</v>
      </c>
      <c r="F331">
        <f>_xlfn.LET(_xlpm.dir,Table13[[#This Row],[Direction]],
IF(_xlpm.dir="R",
    IF(G330+Table13[[#This Row],[Steps]]&gt;99,(G330+Table13[[#This Row],[Steps]])-100,G330+Table13[[#This Row],[Steps]]),
))</f>
        <v>0</v>
      </c>
      <c r="G331">
        <f>IF(Table13[[#This Row],[New Pos L]]&lt;&gt;0,Table13[[#This Row],[New Pos L]],Table13[[#This Row],[New Pos R]])</f>
        <v>24</v>
      </c>
      <c r="H331">
        <f>IF(AND(Table13[[#This Row],[Direction]]="L",Table13[[#This Row],[Steps]]&gt;G330,G330&lt;&gt;0),1,0)</f>
        <v>0</v>
      </c>
      <c r="I331">
        <f>IF(AND(Table13[[#This Row],[Direction]]="R",(G330+Table13[[#This Row],[Steps]])&gt;100),1,0)</f>
        <v>0</v>
      </c>
      <c r="J331">
        <f>IF(Table13[[#This Row],[POS]]=0,1,0)</f>
        <v>0</v>
      </c>
      <c r="K331">
        <f>SUM(Table13[[#This Row],[prefix]],Table13[[#This Row],[Past zero L]],Table13[[#This Row],[Past Zero R]],Table13[[#This Row],[Is Zero]])</f>
        <v>0</v>
      </c>
    </row>
    <row r="332" spans="1:11" ht="16" x14ac:dyDescent="0.2">
      <c r="A332" s="1" t="s">
        <v>199</v>
      </c>
      <c r="B332" t="str">
        <f>LEFT(Table13[[#This Row],[Input]],1)</f>
        <v>R</v>
      </c>
      <c r="C332">
        <f>_xlfn.LET(_xlpm.steps,SUBSTITUTE(Table13[[#This Row],[Input]],Table13[[#This Row],[Direction]],""),VALUE(IF(LEN(_xlpm.steps)&gt;2,RIGHT(_xlpm.steps,2),_xlpm.steps)))</f>
        <v>17</v>
      </c>
      <c r="D332">
        <f>_xlfn.LET(_xlpm.steps,SUBSTITUTE(Table13[[#This Row],[Input]],Table13[[#This Row],[Direction]],""),VALUE(IF(LEN(_xlpm.steps)&gt;2,LEFT(_xlpm.steps,LEN(_xlpm.steps)-2),0)))</f>
        <v>5</v>
      </c>
      <c r="E332">
        <f>_xlfn.LET(_xlpm.dir,Table13[[#This Row],[Direction]],
IF(_xlpm.dir="L",
    IF(G331-Table13[[#This Row],[Steps]]&lt;0,100+(G331-Table13[[#This Row],[Steps]]),G331-Table13[[#This Row],[Steps]]),
))</f>
        <v>0</v>
      </c>
      <c r="F332">
        <f>_xlfn.LET(_xlpm.dir,Table13[[#This Row],[Direction]],
IF(_xlpm.dir="R",
    IF(G331+Table13[[#This Row],[Steps]]&gt;99,(G331+Table13[[#This Row],[Steps]])-100,G331+Table13[[#This Row],[Steps]]),
))</f>
        <v>41</v>
      </c>
      <c r="G332">
        <f>IF(Table13[[#This Row],[New Pos L]]&lt;&gt;0,Table13[[#This Row],[New Pos L]],Table13[[#This Row],[New Pos R]])</f>
        <v>41</v>
      </c>
      <c r="H332">
        <f>IF(AND(Table13[[#This Row],[Direction]]="L",Table13[[#This Row],[Steps]]&gt;G331,G331&lt;&gt;0),1,0)</f>
        <v>0</v>
      </c>
      <c r="I332">
        <f>IF(AND(Table13[[#This Row],[Direction]]="R",(G331+Table13[[#This Row],[Steps]])&gt;100),1,0)</f>
        <v>0</v>
      </c>
      <c r="J332">
        <f>IF(Table13[[#This Row],[POS]]=0,1,0)</f>
        <v>0</v>
      </c>
      <c r="K332">
        <f>SUM(Table13[[#This Row],[prefix]],Table13[[#This Row],[Past zero L]],Table13[[#This Row],[Past Zero R]],Table13[[#This Row],[Is Zero]])</f>
        <v>5</v>
      </c>
    </row>
    <row r="333" spans="1:11" ht="16" x14ac:dyDescent="0.2">
      <c r="A333" s="1" t="s">
        <v>200</v>
      </c>
      <c r="B333" t="str">
        <f>LEFT(Table13[[#This Row],[Input]],1)</f>
        <v>R</v>
      </c>
      <c r="C333">
        <f>_xlfn.LET(_xlpm.steps,SUBSTITUTE(Table13[[#This Row],[Input]],Table13[[#This Row],[Direction]],""),VALUE(IF(LEN(_xlpm.steps)&gt;2,RIGHT(_xlpm.steps,2),_xlpm.steps)))</f>
        <v>67</v>
      </c>
      <c r="D333">
        <f>_xlfn.LET(_xlpm.steps,SUBSTITUTE(Table13[[#This Row],[Input]],Table13[[#This Row],[Direction]],""),VALUE(IF(LEN(_xlpm.steps)&gt;2,LEFT(_xlpm.steps,LEN(_xlpm.steps)-2),0)))</f>
        <v>5</v>
      </c>
      <c r="E333">
        <f>_xlfn.LET(_xlpm.dir,Table13[[#This Row],[Direction]],
IF(_xlpm.dir="L",
    IF(G332-Table13[[#This Row],[Steps]]&lt;0,100+(G332-Table13[[#This Row],[Steps]]),G332-Table13[[#This Row],[Steps]]),
))</f>
        <v>0</v>
      </c>
      <c r="F333">
        <f>_xlfn.LET(_xlpm.dir,Table13[[#This Row],[Direction]],
IF(_xlpm.dir="R",
    IF(G332+Table13[[#This Row],[Steps]]&gt;99,(G332+Table13[[#This Row],[Steps]])-100,G332+Table13[[#This Row],[Steps]]),
))</f>
        <v>8</v>
      </c>
      <c r="G333">
        <f>IF(Table13[[#This Row],[New Pos L]]&lt;&gt;0,Table13[[#This Row],[New Pos L]],Table13[[#This Row],[New Pos R]])</f>
        <v>8</v>
      </c>
      <c r="H333">
        <f>IF(AND(Table13[[#This Row],[Direction]]="L",Table13[[#This Row],[Steps]]&gt;G332,G332&lt;&gt;0),1,0)</f>
        <v>0</v>
      </c>
      <c r="I333">
        <f>IF(AND(Table13[[#This Row],[Direction]]="R",(G332+Table13[[#This Row],[Steps]])&gt;100),1,0)</f>
        <v>1</v>
      </c>
      <c r="J333">
        <f>IF(Table13[[#This Row],[POS]]=0,1,0)</f>
        <v>0</v>
      </c>
      <c r="K333">
        <f>SUM(Table13[[#This Row],[prefix]],Table13[[#This Row],[Past zero L]],Table13[[#This Row],[Past Zero R]],Table13[[#This Row],[Is Zero]])</f>
        <v>6</v>
      </c>
    </row>
    <row r="334" spans="1:11" ht="16" x14ac:dyDescent="0.2">
      <c r="A334" s="1" t="s">
        <v>183</v>
      </c>
      <c r="B334" t="str">
        <f>LEFT(Table13[[#This Row],[Input]],1)</f>
        <v>L</v>
      </c>
      <c r="C334">
        <f>_xlfn.LET(_xlpm.steps,SUBSTITUTE(Table13[[#This Row],[Input]],Table13[[#This Row],[Direction]],""),VALUE(IF(LEN(_xlpm.steps)&gt;2,RIGHT(_xlpm.steps,2),_xlpm.steps)))</f>
        <v>67</v>
      </c>
      <c r="D334">
        <f>_xlfn.LET(_xlpm.steps,SUBSTITUTE(Table13[[#This Row],[Input]],Table13[[#This Row],[Direction]],""),VALUE(IF(LEN(_xlpm.steps)&gt;2,LEFT(_xlpm.steps,LEN(_xlpm.steps)-2),0)))</f>
        <v>0</v>
      </c>
      <c r="E334">
        <f>_xlfn.LET(_xlpm.dir,Table13[[#This Row],[Direction]],
IF(_xlpm.dir="L",
    IF(G333-Table13[[#This Row],[Steps]]&lt;0,100+(G333-Table13[[#This Row],[Steps]]),G333-Table13[[#This Row],[Steps]]),
))</f>
        <v>41</v>
      </c>
      <c r="F334">
        <f>_xlfn.LET(_xlpm.dir,Table13[[#This Row],[Direction]],
IF(_xlpm.dir="R",
    IF(G333+Table13[[#This Row],[Steps]]&gt;99,(G333+Table13[[#This Row],[Steps]])-100,G333+Table13[[#This Row],[Steps]]),
))</f>
        <v>0</v>
      </c>
      <c r="G334">
        <f>IF(Table13[[#This Row],[New Pos L]]&lt;&gt;0,Table13[[#This Row],[New Pos L]],Table13[[#This Row],[New Pos R]])</f>
        <v>41</v>
      </c>
      <c r="H334">
        <f>IF(AND(Table13[[#This Row],[Direction]]="L",Table13[[#This Row],[Steps]]&gt;G333,G333&lt;&gt;0),1,0)</f>
        <v>1</v>
      </c>
      <c r="I334">
        <f>IF(AND(Table13[[#This Row],[Direction]]="R",(G333+Table13[[#This Row],[Steps]])&gt;100),1,0)</f>
        <v>0</v>
      </c>
      <c r="J334">
        <f>IF(Table13[[#This Row],[POS]]=0,1,0)</f>
        <v>0</v>
      </c>
      <c r="K334">
        <f>SUM(Table13[[#This Row],[prefix]],Table13[[#This Row],[Past zero L]],Table13[[#This Row],[Past Zero R]],Table13[[#This Row],[Is Zero]])</f>
        <v>1</v>
      </c>
    </row>
    <row r="335" spans="1:11" ht="16" x14ac:dyDescent="0.2">
      <c r="A335" s="1" t="s">
        <v>104</v>
      </c>
      <c r="B335" t="str">
        <f>LEFT(Table13[[#This Row],[Input]],1)</f>
        <v>R</v>
      </c>
      <c r="C335">
        <f>_xlfn.LET(_xlpm.steps,SUBSTITUTE(Table13[[#This Row],[Input]],Table13[[#This Row],[Direction]],""),VALUE(IF(LEN(_xlpm.steps)&gt;2,RIGHT(_xlpm.steps,2),_xlpm.steps)))</f>
        <v>59</v>
      </c>
      <c r="D335">
        <f>_xlfn.LET(_xlpm.steps,SUBSTITUTE(Table13[[#This Row],[Input]],Table13[[#This Row],[Direction]],""),VALUE(IF(LEN(_xlpm.steps)&gt;2,LEFT(_xlpm.steps,LEN(_xlpm.steps)-2),0)))</f>
        <v>0</v>
      </c>
      <c r="E335">
        <f>_xlfn.LET(_xlpm.dir,Table13[[#This Row],[Direction]],
IF(_xlpm.dir="L",
    IF(G334-Table13[[#This Row],[Steps]]&lt;0,100+(G334-Table13[[#This Row],[Steps]]),G334-Table13[[#This Row],[Steps]]),
))</f>
        <v>0</v>
      </c>
      <c r="F335">
        <f>_xlfn.LET(_xlpm.dir,Table13[[#This Row],[Direction]],
IF(_xlpm.dir="R",
    IF(G334+Table13[[#This Row],[Steps]]&gt;99,(G334+Table13[[#This Row],[Steps]])-100,G334+Table13[[#This Row],[Steps]]),
))</f>
        <v>0</v>
      </c>
      <c r="G335">
        <f>IF(Table13[[#This Row],[New Pos L]]&lt;&gt;0,Table13[[#This Row],[New Pos L]],Table13[[#This Row],[New Pos R]])</f>
        <v>0</v>
      </c>
      <c r="H335">
        <f>IF(AND(Table13[[#This Row],[Direction]]="L",Table13[[#This Row],[Steps]]&gt;G334,G334&lt;&gt;0),1,0)</f>
        <v>0</v>
      </c>
      <c r="I335">
        <f>IF(AND(Table13[[#This Row],[Direction]]="R",(G334+Table13[[#This Row],[Steps]])&gt;100),1,0)</f>
        <v>0</v>
      </c>
      <c r="J335">
        <f>IF(Table13[[#This Row],[POS]]=0,1,0)</f>
        <v>1</v>
      </c>
      <c r="K335">
        <f>SUM(Table13[[#This Row],[prefix]],Table13[[#This Row],[Past zero L]],Table13[[#This Row],[Past Zero R]],Table13[[#This Row],[Is Zero]])</f>
        <v>1</v>
      </c>
    </row>
    <row r="336" spans="1:11" ht="16" x14ac:dyDescent="0.2">
      <c r="A336" s="1" t="s">
        <v>201</v>
      </c>
      <c r="B336" t="str">
        <f>LEFT(Table13[[#This Row],[Input]],1)</f>
        <v>R</v>
      </c>
      <c r="C336">
        <f>_xlfn.LET(_xlpm.steps,SUBSTITUTE(Table13[[#This Row],[Input]],Table13[[#This Row],[Direction]],""),VALUE(IF(LEN(_xlpm.steps)&gt;2,RIGHT(_xlpm.steps,2),_xlpm.steps)))</f>
        <v>31</v>
      </c>
      <c r="D336">
        <f>_xlfn.LET(_xlpm.steps,SUBSTITUTE(Table13[[#This Row],[Input]],Table13[[#This Row],[Direction]],""),VALUE(IF(LEN(_xlpm.steps)&gt;2,LEFT(_xlpm.steps,LEN(_xlpm.steps)-2),0)))</f>
        <v>0</v>
      </c>
      <c r="E336">
        <f>_xlfn.LET(_xlpm.dir,Table13[[#This Row],[Direction]],
IF(_xlpm.dir="L",
    IF(G335-Table13[[#This Row],[Steps]]&lt;0,100+(G335-Table13[[#This Row],[Steps]]),G335-Table13[[#This Row],[Steps]]),
))</f>
        <v>0</v>
      </c>
      <c r="F336">
        <f>_xlfn.LET(_xlpm.dir,Table13[[#This Row],[Direction]],
IF(_xlpm.dir="R",
    IF(G335+Table13[[#This Row],[Steps]]&gt;99,(G335+Table13[[#This Row],[Steps]])-100,G335+Table13[[#This Row],[Steps]]),
))</f>
        <v>31</v>
      </c>
      <c r="G336">
        <f>IF(Table13[[#This Row],[New Pos L]]&lt;&gt;0,Table13[[#This Row],[New Pos L]],Table13[[#This Row],[New Pos R]])</f>
        <v>31</v>
      </c>
      <c r="H336">
        <f>IF(AND(Table13[[#This Row],[Direction]]="L",Table13[[#This Row],[Steps]]&gt;G335,G335&lt;&gt;0),1,0)</f>
        <v>0</v>
      </c>
      <c r="I336">
        <f>IF(AND(Table13[[#This Row],[Direction]]="R",(G335+Table13[[#This Row],[Steps]])&gt;100),1,0)</f>
        <v>0</v>
      </c>
      <c r="J336">
        <f>IF(Table13[[#This Row],[POS]]=0,1,0)</f>
        <v>0</v>
      </c>
      <c r="K336">
        <f>SUM(Table13[[#This Row],[prefix]],Table13[[#This Row],[Past zero L]],Table13[[#This Row],[Past Zero R]],Table13[[#This Row],[Is Zero]])</f>
        <v>0</v>
      </c>
    </row>
    <row r="337" spans="1:11" ht="16" x14ac:dyDescent="0.2">
      <c r="A337" s="1" t="s">
        <v>10</v>
      </c>
      <c r="B337" t="str">
        <f>LEFT(Table13[[#This Row],[Input]],1)</f>
        <v>L</v>
      </c>
      <c r="C337">
        <f>_xlfn.LET(_xlpm.steps,SUBSTITUTE(Table13[[#This Row],[Input]],Table13[[#This Row],[Direction]],""),VALUE(IF(LEN(_xlpm.steps)&gt;2,RIGHT(_xlpm.steps,2),_xlpm.steps)))</f>
        <v>35</v>
      </c>
      <c r="D337">
        <f>_xlfn.LET(_xlpm.steps,SUBSTITUTE(Table13[[#This Row],[Input]],Table13[[#This Row],[Direction]],""),VALUE(IF(LEN(_xlpm.steps)&gt;2,LEFT(_xlpm.steps,LEN(_xlpm.steps)-2),0)))</f>
        <v>0</v>
      </c>
      <c r="E337">
        <f>_xlfn.LET(_xlpm.dir,Table13[[#This Row],[Direction]],
IF(_xlpm.dir="L",
    IF(G336-Table13[[#This Row],[Steps]]&lt;0,100+(G336-Table13[[#This Row],[Steps]]),G336-Table13[[#This Row],[Steps]]),
))</f>
        <v>96</v>
      </c>
      <c r="F337">
        <f>_xlfn.LET(_xlpm.dir,Table13[[#This Row],[Direction]],
IF(_xlpm.dir="R",
    IF(G336+Table13[[#This Row],[Steps]]&gt;99,(G336+Table13[[#This Row],[Steps]])-100,G336+Table13[[#This Row],[Steps]]),
))</f>
        <v>0</v>
      </c>
      <c r="G337">
        <f>IF(Table13[[#This Row],[New Pos L]]&lt;&gt;0,Table13[[#This Row],[New Pos L]],Table13[[#This Row],[New Pos R]])</f>
        <v>96</v>
      </c>
      <c r="H337">
        <f>IF(AND(Table13[[#This Row],[Direction]]="L",Table13[[#This Row],[Steps]]&gt;G336,G336&lt;&gt;0),1,0)</f>
        <v>1</v>
      </c>
      <c r="I337">
        <f>IF(AND(Table13[[#This Row],[Direction]]="R",(G336+Table13[[#This Row],[Steps]])&gt;100),1,0)</f>
        <v>0</v>
      </c>
      <c r="J337">
        <f>IF(Table13[[#This Row],[POS]]=0,1,0)</f>
        <v>0</v>
      </c>
      <c r="K337">
        <f>SUM(Table13[[#This Row],[prefix]],Table13[[#This Row],[Past zero L]],Table13[[#This Row],[Past Zero R]],Table13[[#This Row],[Is Zero]])</f>
        <v>1</v>
      </c>
    </row>
    <row r="338" spans="1:11" ht="16" x14ac:dyDescent="0.2">
      <c r="A338" s="1" t="s">
        <v>146</v>
      </c>
      <c r="B338" t="str">
        <f>LEFT(Table13[[#This Row],[Input]],1)</f>
        <v>R</v>
      </c>
      <c r="C338">
        <f>_xlfn.LET(_xlpm.steps,SUBSTITUTE(Table13[[#This Row],[Input]],Table13[[#This Row],[Direction]],""),VALUE(IF(LEN(_xlpm.steps)&gt;2,RIGHT(_xlpm.steps,2),_xlpm.steps)))</f>
        <v>4</v>
      </c>
      <c r="D338">
        <f>_xlfn.LET(_xlpm.steps,SUBSTITUTE(Table13[[#This Row],[Input]],Table13[[#This Row],[Direction]],""),VALUE(IF(LEN(_xlpm.steps)&gt;2,LEFT(_xlpm.steps,LEN(_xlpm.steps)-2),0)))</f>
        <v>0</v>
      </c>
      <c r="E338">
        <f>_xlfn.LET(_xlpm.dir,Table13[[#This Row],[Direction]],
IF(_xlpm.dir="L",
    IF(G337-Table13[[#This Row],[Steps]]&lt;0,100+(G337-Table13[[#This Row],[Steps]]),G337-Table13[[#This Row],[Steps]]),
))</f>
        <v>0</v>
      </c>
      <c r="F338">
        <f>_xlfn.LET(_xlpm.dir,Table13[[#This Row],[Direction]],
IF(_xlpm.dir="R",
    IF(G337+Table13[[#This Row],[Steps]]&gt;99,(G337+Table13[[#This Row],[Steps]])-100,G337+Table13[[#This Row],[Steps]]),
))</f>
        <v>0</v>
      </c>
      <c r="G338">
        <f>IF(Table13[[#This Row],[New Pos L]]&lt;&gt;0,Table13[[#This Row],[New Pos L]],Table13[[#This Row],[New Pos R]])</f>
        <v>0</v>
      </c>
      <c r="H338">
        <f>IF(AND(Table13[[#This Row],[Direction]]="L",Table13[[#This Row],[Steps]]&gt;G337,G337&lt;&gt;0),1,0)</f>
        <v>0</v>
      </c>
      <c r="I338">
        <f>IF(AND(Table13[[#This Row],[Direction]]="R",(G337+Table13[[#This Row],[Steps]])&gt;100),1,0)</f>
        <v>0</v>
      </c>
      <c r="J338">
        <f>IF(Table13[[#This Row],[POS]]=0,1,0)</f>
        <v>1</v>
      </c>
      <c r="K338">
        <f>SUM(Table13[[#This Row],[prefix]],Table13[[#This Row],[Past zero L]],Table13[[#This Row],[Past Zero R]],Table13[[#This Row],[Is Zero]])</f>
        <v>1</v>
      </c>
    </row>
    <row r="339" spans="1:11" ht="16" x14ac:dyDescent="0.2">
      <c r="A339" s="1" t="s">
        <v>202</v>
      </c>
      <c r="B339" t="str">
        <f>LEFT(Table13[[#This Row],[Input]],1)</f>
        <v>L</v>
      </c>
      <c r="C339">
        <f>_xlfn.LET(_xlpm.steps,SUBSTITUTE(Table13[[#This Row],[Input]],Table13[[#This Row],[Direction]],""),VALUE(IF(LEN(_xlpm.steps)&gt;2,RIGHT(_xlpm.steps,2),_xlpm.steps)))</f>
        <v>2</v>
      </c>
      <c r="D339">
        <f>_xlfn.LET(_xlpm.steps,SUBSTITUTE(Table13[[#This Row],[Input]],Table13[[#This Row],[Direction]],""),VALUE(IF(LEN(_xlpm.steps)&gt;2,LEFT(_xlpm.steps,LEN(_xlpm.steps)-2),0)))</f>
        <v>3</v>
      </c>
      <c r="E339">
        <f>_xlfn.LET(_xlpm.dir,Table13[[#This Row],[Direction]],
IF(_xlpm.dir="L",
    IF(G338-Table13[[#This Row],[Steps]]&lt;0,100+(G338-Table13[[#This Row],[Steps]]),G338-Table13[[#This Row],[Steps]]),
))</f>
        <v>98</v>
      </c>
      <c r="F339">
        <f>_xlfn.LET(_xlpm.dir,Table13[[#This Row],[Direction]],
IF(_xlpm.dir="R",
    IF(G338+Table13[[#This Row],[Steps]]&gt;99,(G338+Table13[[#This Row],[Steps]])-100,G338+Table13[[#This Row],[Steps]]),
))</f>
        <v>0</v>
      </c>
      <c r="G339">
        <f>IF(Table13[[#This Row],[New Pos L]]&lt;&gt;0,Table13[[#This Row],[New Pos L]],Table13[[#This Row],[New Pos R]])</f>
        <v>98</v>
      </c>
      <c r="H339">
        <f>IF(AND(Table13[[#This Row],[Direction]]="L",Table13[[#This Row],[Steps]]&gt;G338,G338&lt;&gt;0),1,0)</f>
        <v>0</v>
      </c>
      <c r="I339">
        <f>IF(AND(Table13[[#This Row],[Direction]]="R",(G338+Table13[[#This Row],[Steps]])&gt;100),1,0)</f>
        <v>0</v>
      </c>
      <c r="J339">
        <f>IF(Table13[[#This Row],[POS]]=0,1,0)</f>
        <v>0</v>
      </c>
      <c r="K339">
        <f>SUM(Table13[[#This Row],[prefix]],Table13[[#This Row],[Past zero L]],Table13[[#This Row],[Past Zero R]],Table13[[#This Row],[Is Zero]])</f>
        <v>3</v>
      </c>
    </row>
    <row r="340" spans="1:11" ht="16" x14ac:dyDescent="0.2">
      <c r="A340" s="1" t="s">
        <v>3</v>
      </c>
      <c r="B340" t="str">
        <f>LEFT(Table13[[#This Row],[Input]],1)</f>
        <v>R</v>
      </c>
      <c r="C340">
        <f>_xlfn.LET(_xlpm.steps,SUBSTITUTE(Table13[[#This Row],[Input]],Table13[[#This Row],[Direction]],""),VALUE(IF(LEN(_xlpm.steps)&gt;2,RIGHT(_xlpm.steps,2),_xlpm.steps)))</f>
        <v>44</v>
      </c>
      <c r="D340">
        <f>_xlfn.LET(_xlpm.steps,SUBSTITUTE(Table13[[#This Row],[Input]],Table13[[#This Row],[Direction]],""),VALUE(IF(LEN(_xlpm.steps)&gt;2,LEFT(_xlpm.steps,LEN(_xlpm.steps)-2),0)))</f>
        <v>0</v>
      </c>
      <c r="E340">
        <f>_xlfn.LET(_xlpm.dir,Table13[[#This Row],[Direction]],
IF(_xlpm.dir="L",
    IF(G339-Table13[[#This Row],[Steps]]&lt;0,100+(G339-Table13[[#This Row],[Steps]]),G339-Table13[[#This Row],[Steps]]),
))</f>
        <v>0</v>
      </c>
      <c r="F340">
        <f>_xlfn.LET(_xlpm.dir,Table13[[#This Row],[Direction]],
IF(_xlpm.dir="R",
    IF(G339+Table13[[#This Row],[Steps]]&gt;99,(G339+Table13[[#This Row],[Steps]])-100,G339+Table13[[#This Row],[Steps]]),
))</f>
        <v>42</v>
      </c>
      <c r="G340">
        <f>IF(Table13[[#This Row],[New Pos L]]&lt;&gt;0,Table13[[#This Row],[New Pos L]],Table13[[#This Row],[New Pos R]])</f>
        <v>42</v>
      </c>
      <c r="H340">
        <f>IF(AND(Table13[[#This Row],[Direction]]="L",Table13[[#This Row],[Steps]]&gt;G339,G339&lt;&gt;0),1,0)</f>
        <v>0</v>
      </c>
      <c r="I340">
        <f>IF(AND(Table13[[#This Row],[Direction]]="R",(G339+Table13[[#This Row],[Steps]])&gt;100),1,0)</f>
        <v>1</v>
      </c>
      <c r="J340">
        <f>IF(Table13[[#This Row],[POS]]=0,1,0)</f>
        <v>0</v>
      </c>
      <c r="K340">
        <f>SUM(Table13[[#This Row],[prefix]],Table13[[#This Row],[Past zero L]],Table13[[#This Row],[Past Zero R]],Table13[[#This Row],[Is Zero]])</f>
        <v>1</v>
      </c>
    </row>
    <row r="341" spans="1:11" ht="16" x14ac:dyDescent="0.2">
      <c r="A341" s="1" t="s">
        <v>100</v>
      </c>
      <c r="B341" t="str">
        <f>LEFT(Table13[[#This Row],[Input]],1)</f>
        <v>R</v>
      </c>
      <c r="C341">
        <f>_xlfn.LET(_xlpm.steps,SUBSTITUTE(Table13[[#This Row],[Input]],Table13[[#This Row],[Direction]],""),VALUE(IF(LEN(_xlpm.steps)&gt;2,RIGHT(_xlpm.steps,2),_xlpm.steps)))</f>
        <v>58</v>
      </c>
      <c r="D341">
        <f>_xlfn.LET(_xlpm.steps,SUBSTITUTE(Table13[[#This Row],[Input]],Table13[[#This Row],[Direction]],""),VALUE(IF(LEN(_xlpm.steps)&gt;2,LEFT(_xlpm.steps,LEN(_xlpm.steps)-2),0)))</f>
        <v>0</v>
      </c>
      <c r="E341">
        <f>_xlfn.LET(_xlpm.dir,Table13[[#This Row],[Direction]],
IF(_xlpm.dir="L",
    IF(G340-Table13[[#This Row],[Steps]]&lt;0,100+(G340-Table13[[#This Row],[Steps]]),G340-Table13[[#This Row],[Steps]]),
))</f>
        <v>0</v>
      </c>
      <c r="F341">
        <f>_xlfn.LET(_xlpm.dir,Table13[[#This Row],[Direction]],
IF(_xlpm.dir="R",
    IF(G340+Table13[[#This Row],[Steps]]&gt;99,(G340+Table13[[#This Row],[Steps]])-100,G340+Table13[[#This Row],[Steps]]),
))</f>
        <v>0</v>
      </c>
      <c r="G341">
        <f>IF(Table13[[#This Row],[New Pos L]]&lt;&gt;0,Table13[[#This Row],[New Pos L]],Table13[[#This Row],[New Pos R]])</f>
        <v>0</v>
      </c>
      <c r="H341">
        <f>IF(AND(Table13[[#This Row],[Direction]]="L",Table13[[#This Row],[Steps]]&gt;G340,G340&lt;&gt;0),1,0)</f>
        <v>0</v>
      </c>
      <c r="I341">
        <f>IF(AND(Table13[[#This Row],[Direction]]="R",(G340+Table13[[#This Row],[Steps]])&gt;100),1,0)</f>
        <v>0</v>
      </c>
      <c r="J341">
        <f>IF(Table13[[#This Row],[POS]]=0,1,0)</f>
        <v>1</v>
      </c>
      <c r="K341">
        <f>SUM(Table13[[#This Row],[prefix]],Table13[[#This Row],[Past zero L]],Table13[[#This Row],[Past Zero R]],Table13[[#This Row],[Is Zero]])</f>
        <v>1</v>
      </c>
    </row>
    <row r="342" spans="1:11" ht="16" x14ac:dyDescent="0.2">
      <c r="A342" s="1" t="s">
        <v>31</v>
      </c>
      <c r="B342" t="str">
        <f>LEFT(Table13[[#This Row],[Input]],1)</f>
        <v>L</v>
      </c>
      <c r="C342">
        <f>_xlfn.LET(_xlpm.steps,SUBSTITUTE(Table13[[#This Row],[Input]],Table13[[#This Row],[Direction]],""),VALUE(IF(LEN(_xlpm.steps)&gt;2,RIGHT(_xlpm.steps,2),_xlpm.steps)))</f>
        <v>13</v>
      </c>
      <c r="D342">
        <f>_xlfn.LET(_xlpm.steps,SUBSTITUTE(Table13[[#This Row],[Input]],Table13[[#This Row],[Direction]],""),VALUE(IF(LEN(_xlpm.steps)&gt;2,LEFT(_xlpm.steps,LEN(_xlpm.steps)-2),0)))</f>
        <v>0</v>
      </c>
      <c r="E342">
        <f>_xlfn.LET(_xlpm.dir,Table13[[#This Row],[Direction]],
IF(_xlpm.dir="L",
    IF(G341-Table13[[#This Row],[Steps]]&lt;0,100+(G341-Table13[[#This Row],[Steps]]),G341-Table13[[#This Row],[Steps]]),
))</f>
        <v>87</v>
      </c>
      <c r="F342">
        <f>_xlfn.LET(_xlpm.dir,Table13[[#This Row],[Direction]],
IF(_xlpm.dir="R",
    IF(G341+Table13[[#This Row],[Steps]]&gt;99,(G341+Table13[[#This Row],[Steps]])-100,G341+Table13[[#This Row],[Steps]]),
))</f>
        <v>0</v>
      </c>
      <c r="G342">
        <f>IF(Table13[[#This Row],[New Pos L]]&lt;&gt;0,Table13[[#This Row],[New Pos L]],Table13[[#This Row],[New Pos R]])</f>
        <v>87</v>
      </c>
      <c r="H342">
        <f>IF(AND(Table13[[#This Row],[Direction]]="L",Table13[[#This Row],[Steps]]&gt;G341,G341&lt;&gt;0),1,0)</f>
        <v>0</v>
      </c>
      <c r="I342">
        <f>IF(AND(Table13[[#This Row],[Direction]]="R",(G341+Table13[[#This Row],[Steps]])&gt;100),1,0)</f>
        <v>0</v>
      </c>
      <c r="J342">
        <f>IF(Table13[[#This Row],[POS]]=0,1,0)</f>
        <v>0</v>
      </c>
      <c r="K342">
        <f>SUM(Table13[[#This Row],[prefix]],Table13[[#This Row],[Past zero L]],Table13[[#This Row],[Past Zero R]],Table13[[#This Row],[Is Zero]])</f>
        <v>0</v>
      </c>
    </row>
    <row r="343" spans="1:11" ht="16" x14ac:dyDescent="0.2">
      <c r="A343" s="1" t="s">
        <v>203</v>
      </c>
      <c r="B343" t="str">
        <f>LEFT(Table13[[#This Row],[Input]],1)</f>
        <v>R</v>
      </c>
      <c r="C343">
        <f>_xlfn.LET(_xlpm.steps,SUBSTITUTE(Table13[[#This Row],[Input]],Table13[[#This Row],[Direction]],""),VALUE(IF(LEN(_xlpm.steps)&gt;2,RIGHT(_xlpm.steps,2),_xlpm.steps)))</f>
        <v>37</v>
      </c>
      <c r="D343">
        <f>_xlfn.LET(_xlpm.steps,SUBSTITUTE(Table13[[#This Row],[Input]],Table13[[#This Row],[Direction]],""),VALUE(IF(LEN(_xlpm.steps)&gt;2,LEFT(_xlpm.steps,LEN(_xlpm.steps)-2),0)))</f>
        <v>7</v>
      </c>
      <c r="E343">
        <f>_xlfn.LET(_xlpm.dir,Table13[[#This Row],[Direction]],
IF(_xlpm.dir="L",
    IF(G342-Table13[[#This Row],[Steps]]&lt;0,100+(G342-Table13[[#This Row],[Steps]]),G342-Table13[[#This Row],[Steps]]),
))</f>
        <v>0</v>
      </c>
      <c r="F343">
        <f>_xlfn.LET(_xlpm.dir,Table13[[#This Row],[Direction]],
IF(_xlpm.dir="R",
    IF(G342+Table13[[#This Row],[Steps]]&gt;99,(G342+Table13[[#This Row],[Steps]])-100,G342+Table13[[#This Row],[Steps]]),
))</f>
        <v>24</v>
      </c>
      <c r="G343">
        <f>IF(Table13[[#This Row],[New Pos L]]&lt;&gt;0,Table13[[#This Row],[New Pos L]],Table13[[#This Row],[New Pos R]])</f>
        <v>24</v>
      </c>
      <c r="H343">
        <f>IF(AND(Table13[[#This Row],[Direction]]="L",Table13[[#This Row],[Steps]]&gt;G342,G342&lt;&gt;0),1,0)</f>
        <v>0</v>
      </c>
      <c r="I343">
        <f>IF(AND(Table13[[#This Row],[Direction]]="R",(G342+Table13[[#This Row],[Steps]])&gt;100),1,0)</f>
        <v>1</v>
      </c>
      <c r="J343">
        <f>IF(Table13[[#This Row],[POS]]=0,1,0)</f>
        <v>0</v>
      </c>
      <c r="K343">
        <f>SUM(Table13[[#This Row],[prefix]],Table13[[#This Row],[Past zero L]],Table13[[#This Row],[Past Zero R]],Table13[[#This Row],[Is Zero]])</f>
        <v>8</v>
      </c>
    </row>
    <row r="344" spans="1:11" ht="16" x14ac:dyDescent="0.2">
      <c r="A344" s="1" t="s">
        <v>161</v>
      </c>
      <c r="B344" t="str">
        <f>LEFT(Table13[[#This Row],[Input]],1)</f>
        <v>R</v>
      </c>
      <c r="C344">
        <f>_xlfn.LET(_xlpm.steps,SUBSTITUTE(Table13[[#This Row],[Input]],Table13[[#This Row],[Direction]],""),VALUE(IF(LEN(_xlpm.steps)&gt;2,RIGHT(_xlpm.steps,2),_xlpm.steps)))</f>
        <v>76</v>
      </c>
      <c r="D344">
        <f>_xlfn.LET(_xlpm.steps,SUBSTITUTE(Table13[[#This Row],[Input]],Table13[[#This Row],[Direction]],""),VALUE(IF(LEN(_xlpm.steps)&gt;2,LEFT(_xlpm.steps,LEN(_xlpm.steps)-2),0)))</f>
        <v>0</v>
      </c>
      <c r="E344">
        <f>_xlfn.LET(_xlpm.dir,Table13[[#This Row],[Direction]],
IF(_xlpm.dir="L",
    IF(G343-Table13[[#This Row],[Steps]]&lt;0,100+(G343-Table13[[#This Row],[Steps]]),G343-Table13[[#This Row],[Steps]]),
))</f>
        <v>0</v>
      </c>
      <c r="F344">
        <f>_xlfn.LET(_xlpm.dir,Table13[[#This Row],[Direction]],
IF(_xlpm.dir="R",
    IF(G343+Table13[[#This Row],[Steps]]&gt;99,(G343+Table13[[#This Row],[Steps]])-100,G343+Table13[[#This Row],[Steps]]),
))</f>
        <v>0</v>
      </c>
      <c r="G344">
        <f>IF(Table13[[#This Row],[New Pos L]]&lt;&gt;0,Table13[[#This Row],[New Pos L]],Table13[[#This Row],[New Pos R]])</f>
        <v>0</v>
      </c>
      <c r="H344">
        <f>IF(AND(Table13[[#This Row],[Direction]]="L",Table13[[#This Row],[Steps]]&gt;G343,G343&lt;&gt;0),1,0)</f>
        <v>0</v>
      </c>
      <c r="I344">
        <f>IF(AND(Table13[[#This Row],[Direction]]="R",(G343+Table13[[#This Row],[Steps]])&gt;100),1,0)</f>
        <v>0</v>
      </c>
      <c r="J344">
        <f>IF(Table13[[#This Row],[POS]]=0,1,0)</f>
        <v>1</v>
      </c>
      <c r="K344">
        <f>SUM(Table13[[#This Row],[prefix]],Table13[[#This Row],[Past zero L]],Table13[[#This Row],[Past Zero R]],Table13[[#This Row],[Is Zero]])</f>
        <v>1</v>
      </c>
    </row>
    <row r="345" spans="1:11" ht="16" x14ac:dyDescent="0.2">
      <c r="A345" s="1" t="s">
        <v>204</v>
      </c>
      <c r="B345" t="str">
        <f>LEFT(Table13[[#This Row],[Input]],1)</f>
        <v>R</v>
      </c>
      <c r="C345">
        <f>_xlfn.LET(_xlpm.steps,SUBSTITUTE(Table13[[#This Row],[Input]],Table13[[#This Row],[Direction]],""),VALUE(IF(LEN(_xlpm.steps)&gt;2,RIGHT(_xlpm.steps,2),_xlpm.steps)))</f>
        <v>20</v>
      </c>
      <c r="D345">
        <f>_xlfn.LET(_xlpm.steps,SUBSTITUTE(Table13[[#This Row],[Input]],Table13[[#This Row],[Direction]],""),VALUE(IF(LEN(_xlpm.steps)&gt;2,LEFT(_xlpm.steps,LEN(_xlpm.steps)-2),0)))</f>
        <v>3</v>
      </c>
      <c r="E345">
        <f>_xlfn.LET(_xlpm.dir,Table13[[#This Row],[Direction]],
IF(_xlpm.dir="L",
    IF(G344-Table13[[#This Row],[Steps]]&lt;0,100+(G344-Table13[[#This Row],[Steps]]),G344-Table13[[#This Row],[Steps]]),
))</f>
        <v>0</v>
      </c>
      <c r="F345">
        <f>_xlfn.LET(_xlpm.dir,Table13[[#This Row],[Direction]],
IF(_xlpm.dir="R",
    IF(G344+Table13[[#This Row],[Steps]]&gt;99,(G344+Table13[[#This Row],[Steps]])-100,G344+Table13[[#This Row],[Steps]]),
))</f>
        <v>20</v>
      </c>
      <c r="G345">
        <f>IF(Table13[[#This Row],[New Pos L]]&lt;&gt;0,Table13[[#This Row],[New Pos L]],Table13[[#This Row],[New Pos R]])</f>
        <v>20</v>
      </c>
      <c r="H345">
        <f>IF(AND(Table13[[#This Row],[Direction]]="L",Table13[[#This Row],[Steps]]&gt;G344,G344&lt;&gt;0),1,0)</f>
        <v>0</v>
      </c>
      <c r="I345">
        <f>IF(AND(Table13[[#This Row],[Direction]]="R",(G344+Table13[[#This Row],[Steps]])&gt;100),1,0)</f>
        <v>0</v>
      </c>
      <c r="J345">
        <f>IF(Table13[[#This Row],[POS]]=0,1,0)</f>
        <v>0</v>
      </c>
      <c r="K345">
        <f>SUM(Table13[[#This Row],[prefix]],Table13[[#This Row],[Past zero L]],Table13[[#This Row],[Past Zero R]],Table13[[#This Row],[Is Zero]])</f>
        <v>3</v>
      </c>
    </row>
    <row r="346" spans="1:11" ht="16" x14ac:dyDescent="0.2">
      <c r="A346" s="1" t="s">
        <v>205</v>
      </c>
      <c r="B346" t="str">
        <f>LEFT(Table13[[#This Row],[Input]],1)</f>
        <v>R</v>
      </c>
      <c r="C346">
        <f>_xlfn.LET(_xlpm.steps,SUBSTITUTE(Table13[[#This Row],[Input]],Table13[[#This Row],[Direction]],""),VALUE(IF(LEN(_xlpm.steps)&gt;2,RIGHT(_xlpm.steps,2),_xlpm.steps)))</f>
        <v>83</v>
      </c>
      <c r="D346">
        <f>_xlfn.LET(_xlpm.steps,SUBSTITUTE(Table13[[#This Row],[Input]],Table13[[#This Row],[Direction]],""),VALUE(IF(LEN(_xlpm.steps)&gt;2,LEFT(_xlpm.steps,LEN(_xlpm.steps)-2),0)))</f>
        <v>0</v>
      </c>
      <c r="E346">
        <f>_xlfn.LET(_xlpm.dir,Table13[[#This Row],[Direction]],
IF(_xlpm.dir="L",
    IF(G345-Table13[[#This Row],[Steps]]&lt;0,100+(G345-Table13[[#This Row],[Steps]]),G345-Table13[[#This Row],[Steps]]),
))</f>
        <v>0</v>
      </c>
      <c r="F346">
        <f>_xlfn.LET(_xlpm.dir,Table13[[#This Row],[Direction]],
IF(_xlpm.dir="R",
    IF(G345+Table13[[#This Row],[Steps]]&gt;99,(G345+Table13[[#This Row],[Steps]])-100,G345+Table13[[#This Row],[Steps]]),
))</f>
        <v>3</v>
      </c>
      <c r="G346">
        <f>IF(Table13[[#This Row],[New Pos L]]&lt;&gt;0,Table13[[#This Row],[New Pos L]],Table13[[#This Row],[New Pos R]])</f>
        <v>3</v>
      </c>
      <c r="H346">
        <f>IF(AND(Table13[[#This Row],[Direction]]="L",Table13[[#This Row],[Steps]]&gt;G345,G345&lt;&gt;0),1,0)</f>
        <v>0</v>
      </c>
      <c r="I346">
        <f>IF(AND(Table13[[#This Row],[Direction]]="R",(G345+Table13[[#This Row],[Steps]])&gt;100),1,0)</f>
        <v>1</v>
      </c>
      <c r="J346">
        <f>IF(Table13[[#This Row],[POS]]=0,1,0)</f>
        <v>0</v>
      </c>
      <c r="K346">
        <f>SUM(Table13[[#This Row],[prefix]],Table13[[#This Row],[Past zero L]],Table13[[#This Row],[Past Zero R]],Table13[[#This Row],[Is Zero]])</f>
        <v>1</v>
      </c>
    </row>
    <row r="347" spans="1:11" ht="16" x14ac:dyDescent="0.2">
      <c r="A347" s="1" t="s">
        <v>18</v>
      </c>
      <c r="B347" t="str">
        <f>LEFT(Table13[[#This Row],[Input]],1)</f>
        <v>L</v>
      </c>
      <c r="C347">
        <f>_xlfn.LET(_xlpm.steps,SUBSTITUTE(Table13[[#This Row],[Input]],Table13[[#This Row],[Direction]],""),VALUE(IF(LEN(_xlpm.steps)&gt;2,RIGHT(_xlpm.steps,2),_xlpm.steps)))</f>
        <v>46</v>
      </c>
      <c r="D347">
        <f>_xlfn.LET(_xlpm.steps,SUBSTITUTE(Table13[[#This Row],[Input]],Table13[[#This Row],[Direction]],""),VALUE(IF(LEN(_xlpm.steps)&gt;2,LEFT(_xlpm.steps,LEN(_xlpm.steps)-2),0)))</f>
        <v>0</v>
      </c>
      <c r="E347">
        <f>_xlfn.LET(_xlpm.dir,Table13[[#This Row],[Direction]],
IF(_xlpm.dir="L",
    IF(G346-Table13[[#This Row],[Steps]]&lt;0,100+(G346-Table13[[#This Row],[Steps]]),G346-Table13[[#This Row],[Steps]]),
))</f>
        <v>57</v>
      </c>
      <c r="F347">
        <f>_xlfn.LET(_xlpm.dir,Table13[[#This Row],[Direction]],
IF(_xlpm.dir="R",
    IF(G346+Table13[[#This Row],[Steps]]&gt;99,(G346+Table13[[#This Row],[Steps]])-100,G346+Table13[[#This Row],[Steps]]),
))</f>
        <v>0</v>
      </c>
      <c r="G347">
        <f>IF(Table13[[#This Row],[New Pos L]]&lt;&gt;0,Table13[[#This Row],[New Pos L]],Table13[[#This Row],[New Pos R]])</f>
        <v>57</v>
      </c>
      <c r="H347">
        <f>IF(AND(Table13[[#This Row],[Direction]]="L",Table13[[#This Row],[Steps]]&gt;G346,G346&lt;&gt;0),1,0)</f>
        <v>1</v>
      </c>
      <c r="I347">
        <f>IF(AND(Table13[[#This Row],[Direction]]="R",(G346+Table13[[#This Row],[Steps]])&gt;100),1,0)</f>
        <v>0</v>
      </c>
      <c r="J347">
        <f>IF(Table13[[#This Row],[POS]]=0,1,0)</f>
        <v>0</v>
      </c>
      <c r="K347">
        <f>SUM(Table13[[#This Row],[prefix]],Table13[[#This Row],[Past zero L]],Table13[[#This Row],[Past Zero R]],Table13[[#This Row],[Is Zero]])</f>
        <v>1</v>
      </c>
    </row>
    <row r="348" spans="1:11" ht="16" x14ac:dyDescent="0.2">
      <c r="A348" s="1" t="s">
        <v>206</v>
      </c>
      <c r="B348" t="str">
        <f>LEFT(Table13[[#This Row],[Input]],1)</f>
        <v>R</v>
      </c>
      <c r="C348">
        <f>_xlfn.LET(_xlpm.steps,SUBSTITUTE(Table13[[#This Row],[Input]],Table13[[#This Row],[Direction]],""),VALUE(IF(LEN(_xlpm.steps)&gt;2,RIGHT(_xlpm.steps,2),_xlpm.steps)))</f>
        <v>62</v>
      </c>
      <c r="D348">
        <f>_xlfn.LET(_xlpm.steps,SUBSTITUTE(Table13[[#This Row],[Input]],Table13[[#This Row],[Direction]],""),VALUE(IF(LEN(_xlpm.steps)&gt;2,LEFT(_xlpm.steps,LEN(_xlpm.steps)-2),0)))</f>
        <v>0</v>
      </c>
      <c r="E348">
        <f>_xlfn.LET(_xlpm.dir,Table13[[#This Row],[Direction]],
IF(_xlpm.dir="L",
    IF(G347-Table13[[#This Row],[Steps]]&lt;0,100+(G347-Table13[[#This Row],[Steps]]),G347-Table13[[#This Row],[Steps]]),
))</f>
        <v>0</v>
      </c>
      <c r="F348">
        <f>_xlfn.LET(_xlpm.dir,Table13[[#This Row],[Direction]],
IF(_xlpm.dir="R",
    IF(G347+Table13[[#This Row],[Steps]]&gt;99,(G347+Table13[[#This Row],[Steps]])-100,G347+Table13[[#This Row],[Steps]]),
))</f>
        <v>19</v>
      </c>
      <c r="G348">
        <f>IF(Table13[[#This Row],[New Pos L]]&lt;&gt;0,Table13[[#This Row],[New Pos L]],Table13[[#This Row],[New Pos R]])</f>
        <v>19</v>
      </c>
      <c r="H348">
        <f>IF(AND(Table13[[#This Row],[Direction]]="L",Table13[[#This Row],[Steps]]&gt;G347,G347&lt;&gt;0),1,0)</f>
        <v>0</v>
      </c>
      <c r="I348">
        <f>IF(AND(Table13[[#This Row],[Direction]]="R",(G347+Table13[[#This Row],[Steps]])&gt;100),1,0)</f>
        <v>1</v>
      </c>
      <c r="J348">
        <f>IF(Table13[[#This Row],[POS]]=0,1,0)</f>
        <v>0</v>
      </c>
      <c r="K348">
        <f>SUM(Table13[[#This Row],[prefix]],Table13[[#This Row],[Past zero L]],Table13[[#This Row],[Past Zero R]],Table13[[#This Row],[Is Zero]])</f>
        <v>1</v>
      </c>
    </row>
    <row r="349" spans="1:11" ht="16" x14ac:dyDescent="0.2">
      <c r="A349" s="1" t="s">
        <v>207</v>
      </c>
      <c r="B349" t="str">
        <f>LEFT(Table13[[#This Row],[Input]],1)</f>
        <v>L</v>
      </c>
      <c r="C349">
        <f>_xlfn.LET(_xlpm.steps,SUBSTITUTE(Table13[[#This Row],[Input]],Table13[[#This Row],[Direction]],""),VALUE(IF(LEN(_xlpm.steps)&gt;2,RIGHT(_xlpm.steps,2),_xlpm.steps)))</f>
        <v>89</v>
      </c>
      <c r="D349">
        <f>_xlfn.LET(_xlpm.steps,SUBSTITUTE(Table13[[#This Row],[Input]],Table13[[#This Row],[Direction]],""),VALUE(IF(LEN(_xlpm.steps)&gt;2,LEFT(_xlpm.steps,LEN(_xlpm.steps)-2),0)))</f>
        <v>0</v>
      </c>
      <c r="E349">
        <f>_xlfn.LET(_xlpm.dir,Table13[[#This Row],[Direction]],
IF(_xlpm.dir="L",
    IF(G348-Table13[[#This Row],[Steps]]&lt;0,100+(G348-Table13[[#This Row],[Steps]]),G348-Table13[[#This Row],[Steps]]),
))</f>
        <v>30</v>
      </c>
      <c r="F349">
        <f>_xlfn.LET(_xlpm.dir,Table13[[#This Row],[Direction]],
IF(_xlpm.dir="R",
    IF(G348+Table13[[#This Row],[Steps]]&gt;99,(G348+Table13[[#This Row],[Steps]])-100,G348+Table13[[#This Row],[Steps]]),
))</f>
        <v>0</v>
      </c>
      <c r="G349">
        <f>IF(Table13[[#This Row],[New Pos L]]&lt;&gt;0,Table13[[#This Row],[New Pos L]],Table13[[#This Row],[New Pos R]])</f>
        <v>30</v>
      </c>
      <c r="H349">
        <f>IF(AND(Table13[[#This Row],[Direction]]="L",Table13[[#This Row],[Steps]]&gt;G348,G348&lt;&gt;0),1,0)</f>
        <v>1</v>
      </c>
      <c r="I349">
        <f>IF(AND(Table13[[#This Row],[Direction]]="R",(G348+Table13[[#This Row],[Steps]])&gt;100),1,0)</f>
        <v>0</v>
      </c>
      <c r="J349">
        <f>IF(Table13[[#This Row],[POS]]=0,1,0)</f>
        <v>0</v>
      </c>
      <c r="K349">
        <f>SUM(Table13[[#This Row],[prefix]],Table13[[#This Row],[Past zero L]],Table13[[#This Row],[Past Zero R]],Table13[[#This Row],[Is Zero]])</f>
        <v>1</v>
      </c>
    </row>
    <row r="350" spans="1:11" ht="16" x14ac:dyDescent="0.2">
      <c r="A350" s="1" t="s">
        <v>114</v>
      </c>
      <c r="B350" t="str">
        <f>LEFT(Table13[[#This Row],[Input]],1)</f>
        <v>R</v>
      </c>
      <c r="C350">
        <f>_xlfn.LET(_xlpm.steps,SUBSTITUTE(Table13[[#This Row],[Input]],Table13[[#This Row],[Direction]],""),VALUE(IF(LEN(_xlpm.steps)&gt;2,RIGHT(_xlpm.steps,2),_xlpm.steps)))</f>
        <v>70</v>
      </c>
      <c r="D350">
        <f>_xlfn.LET(_xlpm.steps,SUBSTITUTE(Table13[[#This Row],[Input]],Table13[[#This Row],[Direction]],""),VALUE(IF(LEN(_xlpm.steps)&gt;2,LEFT(_xlpm.steps,LEN(_xlpm.steps)-2),0)))</f>
        <v>0</v>
      </c>
      <c r="E350">
        <f>_xlfn.LET(_xlpm.dir,Table13[[#This Row],[Direction]],
IF(_xlpm.dir="L",
    IF(G349-Table13[[#This Row],[Steps]]&lt;0,100+(G349-Table13[[#This Row],[Steps]]),G349-Table13[[#This Row],[Steps]]),
))</f>
        <v>0</v>
      </c>
      <c r="F350">
        <f>_xlfn.LET(_xlpm.dir,Table13[[#This Row],[Direction]],
IF(_xlpm.dir="R",
    IF(G349+Table13[[#This Row],[Steps]]&gt;99,(G349+Table13[[#This Row],[Steps]])-100,G349+Table13[[#This Row],[Steps]]),
))</f>
        <v>0</v>
      </c>
      <c r="G350">
        <f>IF(Table13[[#This Row],[New Pos L]]&lt;&gt;0,Table13[[#This Row],[New Pos L]],Table13[[#This Row],[New Pos R]])</f>
        <v>0</v>
      </c>
      <c r="H350">
        <f>IF(AND(Table13[[#This Row],[Direction]]="L",Table13[[#This Row],[Steps]]&gt;G349,G349&lt;&gt;0),1,0)</f>
        <v>0</v>
      </c>
      <c r="I350">
        <f>IF(AND(Table13[[#This Row],[Direction]]="R",(G349+Table13[[#This Row],[Steps]])&gt;100),1,0)</f>
        <v>0</v>
      </c>
      <c r="J350">
        <f>IF(Table13[[#This Row],[POS]]=0,1,0)</f>
        <v>1</v>
      </c>
      <c r="K350">
        <f>SUM(Table13[[#This Row],[prefix]],Table13[[#This Row],[Past zero L]],Table13[[#This Row],[Past Zero R]],Table13[[#This Row],[Is Zero]])</f>
        <v>1</v>
      </c>
    </row>
    <row r="351" spans="1:11" ht="16" x14ac:dyDescent="0.2">
      <c r="A351" s="1" t="s">
        <v>75</v>
      </c>
      <c r="B351" t="str">
        <f>LEFT(Table13[[#This Row],[Input]],1)</f>
        <v>R</v>
      </c>
      <c r="C351">
        <f>_xlfn.LET(_xlpm.steps,SUBSTITUTE(Table13[[#This Row],[Input]],Table13[[#This Row],[Direction]],""),VALUE(IF(LEN(_xlpm.steps)&gt;2,RIGHT(_xlpm.steps,2),_xlpm.steps)))</f>
        <v>2</v>
      </c>
      <c r="D351">
        <f>_xlfn.LET(_xlpm.steps,SUBSTITUTE(Table13[[#This Row],[Input]],Table13[[#This Row],[Direction]],""),VALUE(IF(LEN(_xlpm.steps)&gt;2,LEFT(_xlpm.steps,LEN(_xlpm.steps)-2),0)))</f>
        <v>0</v>
      </c>
      <c r="E351">
        <f>_xlfn.LET(_xlpm.dir,Table13[[#This Row],[Direction]],
IF(_xlpm.dir="L",
    IF(G350-Table13[[#This Row],[Steps]]&lt;0,100+(G350-Table13[[#This Row],[Steps]]),G350-Table13[[#This Row],[Steps]]),
))</f>
        <v>0</v>
      </c>
      <c r="F351">
        <f>_xlfn.LET(_xlpm.dir,Table13[[#This Row],[Direction]],
IF(_xlpm.dir="R",
    IF(G350+Table13[[#This Row],[Steps]]&gt;99,(G350+Table13[[#This Row],[Steps]])-100,G350+Table13[[#This Row],[Steps]]),
))</f>
        <v>2</v>
      </c>
      <c r="G351">
        <f>IF(Table13[[#This Row],[New Pos L]]&lt;&gt;0,Table13[[#This Row],[New Pos L]],Table13[[#This Row],[New Pos R]])</f>
        <v>2</v>
      </c>
      <c r="H351">
        <f>IF(AND(Table13[[#This Row],[Direction]]="L",Table13[[#This Row],[Steps]]&gt;G350,G350&lt;&gt;0),1,0)</f>
        <v>0</v>
      </c>
      <c r="I351">
        <f>IF(AND(Table13[[#This Row],[Direction]]="R",(G350+Table13[[#This Row],[Steps]])&gt;100),1,0)</f>
        <v>0</v>
      </c>
      <c r="J351">
        <f>IF(Table13[[#This Row],[POS]]=0,1,0)</f>
        <v>0</v>
      </c>
      <c r="K351">
        <f>SUM(Table13[[#This Row],[prefix]],Table13[[#This Row],[Past zero L]],Table13[[#This Row],[Past Zero R]],Table13[[#This Row],[Is Zero]])</f>
        <v>0</v>
      </c>
    </row>
    <row r="352" spans="1:11" ht="16" x14ac:dyDescent="0.2">
      <c r="A352" s="1" t="s">
        <v>31</v>
      </c>
      <c r="B352" t="str">
        <f>LEFT(Table13[[#This Row],[Input]],1)</f>
        <v>L</v>
      </c>
      <c r="C352">
        <f>_xlfn.LET(_xlpm.steps,SUBSTITUTE(Table13[[#This Row],[Input]],Table13[[#This Row],[Direction]],""),VALUE(IF(LEN(_xlpm.steps)&gt;2,RIGHT(_xlpm.steps,2),_xlpm.steps)))</f>
        <v>13</v>
      </c>
      <c r="D352">
        <f>_xlfn.LET(_xlpm.steps,SUBSTITUTE(Table13[[#This Row],[Input]],Table13[[#This Row],[Direction]],""),VALUE(IF(LEN(_xlpm.steps)&gt;2,LEFT(_xlpm.steps,LEN(_xlpm.steps)-2),0)))</f>
        <v>0</v>
      </c>
      <c r="E352">
        <f>_xlfn.LET(_xlpm.dir,Table13[[#This Row],[Direction]],
IF(_xlpm.dir="L",
    IF(G351-Table13[[#This Row],[Steps]]&lt;0,100+(G351-Table13[[#This Row],[Steps]]),G351-Table13[[#This Row],[Steps]]),
))</f>
        <v>89</v>
      </c>
      <c r="F352">
        <f>_xlfn.LET(_xlpm.dir,Table13[[#This Row],[Direction]],
IF(_xlpm.dir="R",
    IF(G351+Table13[[#This Row],[Steps]]&gt;99,(G351+Table13[[#This Row],[Steps]])-100,G351+Table13[[#This Row],[Steps]]),
))</f>
        <v>0</v>
      </c>
      <c r="G352">
        <f>IF(Table13[[#This Row],[New Pos L]]&lt;&gt;0,Table13[[#This Row],[New Pos L]],Table13[[#This Row],[New Pos R]])</f>
        <v>89</v>
      </c>
      <c r="H352">
        <f>IF(AND(Table13[[#This Row],[Direction]]="L",Table13[[#This Row],[Steps]]&gt;G351,G351&lt;&gt;0),1,0)</f>
        <v>1</v>
      </c>
      <c r="I352">
        <f>IF(AND(Table13[[#This Row],[Direction]]="R",(G351+Table13[[#This Row],[Steps]])&gt;100),1,0)</f>
        <v>0</v>
      </c>
      <c r="J352">
        <f>IF(Table13[[#This Row],[POS]]=0,1,0)</f>
        <v>0</v>
      </c>
      <c r="K352">
        <f>SUM(Table13[[#This Row],[prefix]],Table13[[#This Row],[Past zero L]],Table13[[#This Row],[Past Zero R]],Table13[[#This Row],[Is Zero]])</f>
        <v>1</v>
      </c>
    </row>
    <row r="353" spans="1:11" ht="16" x14ac:dyDescent="0.2">
      <c r="A353" s="1" t="s">
        <v>32</v>
      </c>
      <c r="B353" t="str">
        <f>LEFT(Table13[[#This Row],[Input]],1)</f>
        <v>L</v>
      </c>
      <c r="C353">
        <f>_xlfn.LET(_xlpm.steps,SUBSTITUTE(Table13[[#This Row],[Input]],Table13[[#This Row],[Direction]],""),VALUE(IF(LEN(_xlpm.steps)&gt;2,RIGHT(_xlpm.steps,2),_xlpm.steps)))</f>
        <v>28</v>
      </c>
      <c r="D353">
        <f>_xlfn.LET(_xlpm.steps,SUBSTITUTE(Table13[[#This Row],[Input]],Table13[[#This Row],[Direction]],""),VALUE(IF(LEN(_xlpm.steps)&gt;2,LEFT(_xlpm.steps,LEN(_xlpm.steps)-2),0)))</f>
        <v>0</v>
      </c>
      <c r="E353">
        <f>_xlfn.LET(_xlpm.dir,Table13[[#This Row],[Direction]],
IF(_xlpm.dir="L",
    IF(G352-Table13[[#This Row],[Steps]]&lt;0,100+(G352-Table13[[#This Row],[Steps]]),G352-Table13[[#This Row],[Steps]]),
))</f>
        <v>61</v>
      </c>
      <c r="F353">
        <f>_xlfn.LET(_xlpm.dir,Table13[[#This Row],[Direction]],
IF(_xlpm.dir="R",
    IF(G352+Table13[[#This Row],[Steps]]&gt;99,(G352+Table13[[#This Row],[Steps]])-100,G352+Table13[[#This Row],[Steps]]),
))</f>
        <v>0</v>
      </c>
      <c r="G353">
        <f>IF(Table13[[#This Row],[New Pos L]]&lt;&gt;0,Table13[[#This Row],[New Pos L]],Table13[[#This Row],[New Pos R]])</f>
        <v>61</v>
      </c>
      <c r="H353">
        <f>IF(AND(Table13[[#This Row],[Direction]]="L",Table13[[#This Row],[Steps]]&gt;G352,G352&lt;&gt;0),1,0)</f>
        <v>0</v>
      </c>
      <c r="I353">
        <f>IF(AND(Table13[[#This Row],[Direction]]="R",(G352+Table13[[#This Row],[Steps]])&gt;100),1,0)</f>
        <v>0</v>
      </c>
      <c r="J353">
        <f>IF(Table13[[#This Row],[POS]]=0,1,0)</f>
        <v>0</v>
      </c>
      <c r="K353">
        <f>SUM(Table13[[#This Row],[prefix]],Table13[[#This Row],[Past zero L]],Table13[[#This Row],[Past Zero R]],Table13[[#This Row],[Is Zero]])</f>
        <v>0</v>
      </c>
    </row>
    <row r="354" spans="1:11" ht="16" x14ac:dyDescent="0.2">
      <c r="A354" s="1" t="s">
        <v>208</v>
      </c>
      <c r="B354" t="str">
        <f>LEFT(Table13[[#This Row],[Input]],1)</f>
        <v>R</v>
      </c>
      <c r="C354">
        <f>_xlfn.LET(_xlpm.steps,SUBSTITUTE(Table13[[#This Row],[Input]],Table13[[#This Row],[Direction]],""),VALUE(IF(LEN(_xlpm.steps)&gt;2,RIGHT(_xlpm.steps,2),_xlpm.steps)))</f>
        <v>39</v>
      </c>
      <c r="D354">
        <f>_xlfn.LET(_xlpm.steps,SUBSTITUTE(Table13[[#This Row],[Input]],Table13[[#This Row],[Direction]],""),VALUE(IF(LEN(_xlpm.steps)&gt;2,LEFT(_xlpm.steps,LEN(_xlpm.steps)-2),0)))</f>
        <v>6</v>
      </c>
      <c r="E354">
        <f>_xlfn.LET(_xlpm.dir,Table13[[#This Row],[Direction]],
IF(_xlpm.dir="L",
    IF(G353-Table13[[#This Row],[Steps]]&lt;0,100+(G353-Table13[[#This Row],[Steps]]),G353-Table13[[#This Row],[Steps]]),
))</f>
        <v>0</v>
      </c>
      <c r="F354">
        <f>_xlfn.LET(_xlpm.dir,Table13[[#This Row],[Direction]],
IF(_xlpm.dir="R",
    IF(G353+Table13[[#This Row],[Steps]]&gt;99,(G353+Table13[[#This Row],[Steps]])-100,G353+Table13[[#This Row],[Steps]]),
))</f>
        <v>0</v>
      </c>
      <c r="G354">
        <f>IF(Table13[[#This Row],[New Pos L]]&lt;&gt;0,Table13[[#This Row],[New Pos L]],Table13[[#This Row],[New Pos R]])</f>
        <v>0</v>
      </c>
      <c r="H354">
        <f>IF(AND(Table13[[#This Row],[Direction]]="L",Table13[[#This Row],[Steps]]&gt;G353,G353&lt;&gt;0),1,0)</f>
        <v>0</v>
      </c>
      <c r="I354">
        <f>IF(AND(Table13[[#This Row],[Direction]]="R",(G353+Table13[[#This Row],[Steps]])&gt;100),1,0)</f>
        <v>0</v>
      </c>
      <c r="J354">
        <f>IF(Table13[[#This Row],[POS]]=0,1,0)</f>
        <v>1</v>
      </c>
      <c r="K354">
        <f>SUM(Table13[[#This Row],[prefix]],Table13[[#This Row],[Past zero L]],Table13[[#This Row],[Past Zero R]],Table13[[#This Row],[Is Zero]])</f>
        <v>7</v>
      </c>
    </row>
    <row r="355" spans="1:11" ht="16" x14ac:dyDescent="0.2">
      <c r="A355" s="1" t="s">
        <v>209</v>
      </c>
      <c r="B355" t="str">
        <f>LEFT(Table13[[#This Row],[Input]],1)</f>
        <v>L</v>
      </c>
      <c r="C355">
        <f>_xlfn.LET(_xlpm.steps,SUBSTITUTE(Table13[[#This Row],[Input]],Table13[[#This Row],[Direction]],""),VALUE(IF(LEN(_xlpm.steps)&gt;2,RIGHT(_xlpm.steps,2),_xlpm.steps)))</f>
        <v>86</v>
      </c>
      <c r="D355">
        <f>_xlfn.LET(_xlpm.steps,SUBSTITUTE(Table13[[#This Row],[Input]],Table13[[#This Row],[Direction]],""),VALUE(IF(LEN(_xlpm.steps)&gt;2,LEFT(_xlpm.steps,LEN(_xlpm.steps)-2),0)))</f>
        <v>0</v>
      </c>
      <c r="E355">
        <f>_xlfn.LET(_xlpm.dir,Table13[[#This Row],[Direction]],
IF(_xlpm.dir="L",
    IF(G354-Table13[[#This Row],[Steps]]&lt;0,100+(G354-Table13[[#This Row],[Steps]]),G354-Table13[[#This Row],[Steps]]),
))</f>
        <v>14</v>
      </c>
      <c r="F355">
        <f>_xlfn.LET(_xlpm.dir,Table13[[#This Row],[Direction]],
IF(_xlpm.dir="R",
    IF(G354+Table13[[#This Row],[Steps]]&gt;99,(G354+Table13[[#This Row],[Steps]])-100,G354+Table13[[#This Row],[Steps]]),
))</f>
        <v>0</v>
      </c>
      <c r="G355">
        <f>IF(Table13[[#This Row],[New Pos L]]&lt;&gt;0,Table13[[#This Row],[New Pos L]],Table13[[#This Row],[New Pos R]])</f>
        <v>14</v>
      </c>
      <c r="H355">
        <f>IF(AND(Table13[[#This Row],[Direction]]="L",Table13[[#This Row],[Steps]]&gt;G354,G354&lt;&gt;0),1,0)</f>
        <v>0</v>
      </c>
      <c r="I355">
        <f>IF(AND(Table13[[#This Row],[Direction]]="R",(G354+Table13[[#This Row],[Steps]])&gt;100),1,0)</f>
        <v>0</v>
      </c>
      <c r="J355">
        <f>IF(Table13[[#This Row],[POS]]=0,1,0)</f>
        <v>0</v>
      </c>
      <c r="K355">
        <f>SUM(Table13[[#This Row],[prefix]],Table13[[#This Row],[Past zero L]],Table13[[#This Row],[Past Zero R]],Table13[[#This Row],[Is Zero]])</f>
        <v>0</v>
      </c>
    </row>
    <row r="356" spans="1:11" ht="16" x14ac:dyDescent="0.2">
      <c r="A356" s="1" t="s">
        <v>60</v>
      </c>
      <c r="B356" t="str">
        <f>LEFT(Table13[[#This Row],[Input]],1)</f>
        <v>R</v>
      </c>
      <c r="C356">
        <f>_xlfn.LET(_xlpm.steps,SUBSTITUTE(Table13[[#This Row],[Input]],Table13[[#This Row],[Direction]],""),VALUE(IF(LEN(_xlpm.steps)&gt;2,RIGHT(_xlpm.steps,2),_xlpm.steps)))</f>
        <v>86</v>
      </c>
      <c r="D356">
        <f>_xlfn.LET(_xlpm.steps,SUBSTITUTE(Table13[[#This Row],[Input]],Table13[[#This Row],[Direction]],""),VALUE(IF(LEN(_xlpm.steps)&gt;2,LEFT(_xlpm.steps,LEN(_xlpm.steps)-2),0)))</f>
        <v>0</v>
      </c>
      <c r="E356">
        <f>_xlfn.LET(_xlpm.dir,Table13[[#This Row],[Direction]],
IF(_xlpm.dir="L",
    IF(G355-Table13[[#This Row],[Steps]]&lt;0,100+(G355-Table13[[#This Row],[Steps]]),G355-Table13[[#This Row],[Steps]]),
))</f>
        <v>0</v>
      </c>
      <c r="F356">
        <f>_xlfn.LET(_xlpm.dir,Table13[[#This Row],[Direction]],
IF(_xlpm.dir="R",
    IF(G355+Table13[[#This Row],[Steps]]&gt;99,(G355+Table13[[#This Row],[Steps]])-100,G355+Table13[[#This Row],[Steps]]),
))</f>
        <v>0</v>
      </c>
      <c r="G356">
        <f>IF(Table13[[#This Row],[New Pos L]]&lt;&gt;0,Table13[[#This Row],[New Pos L]],Table13[[#This Row],[New Pos R]])</f>
        <v>0</v>
      </c>
      <c r="H356">
        <f>IF(AND(Table13[[#This Row],[Direction]]="L",Table13[[#This Row],[Steps]]&gt;G355,G355&lt;&gt;0),1,0)</f>
        <v>0</v>
      </c>
      <c r="I356">
        <f>IF(AND(Table13[[#This Row],[Direction]]="R",(G355+Table13[[#This Row],[Steps]])&gt;100),1,0)</f>
        <v>0</v>
      </c>
      <c r="J356">
        <f>IF(Table13[[#This Row],[POS]]=0,1,0)</f>
        <v>1</v>
      </c>
      <c r="K356">
        <f>SUM(Table13[[#This Row],[prefix]],Table13[[#This Row],[Past zero L]],Table13[[#This Row],[Past Zero R]],Table13[[#This Row],[Is Zero]])</f>
        <v>1</v>
      </c>
    </row>
    <row r="357" spans="1:11" ht="16" x14ac:dyDescent="0.2">
      <c r="A357" s="1" t="s">
        <v>7</v>
      </c>
      <c r="B357" t="str">
        <f>LEFT(Table13[[#This Row],[Input]],1)</f>
        <v>R</v>
      </c>
      <c r="C357">
        <f>_xlfn.LET(_xlpm.steps,SUBSTITUTE(Table13[[#This Row],[Input]],Table13[[#This Row],[Direction]],""),VALUE(IF(LEN(_xlpm.steps)&gt;2,RIGHT(_xlpm.steps,2),_xlpm.steps)))</f>
        <v>14</v>
      </c>
      <c r="D357">
        <f>_xlfn.LET(_xlpm.steps,SUBSTITUTE(Table13[[#This Row],[Input]],Table13[[#This Row],[Direction]],""),VALUE(IF(LEN(_xlpm.steps)&gt;2,LEFT(_xlpm.steps,LEN(_xlpm.steps)-2),0)))</f>
        <v>0</v>
      </c>
      <c r="E357">
        <f>_xlfn.LET(_xlpm.dir,Table13[[#This Row],[Direction]],
IF(_xlpm.dir="L",
    IF(G356-Table13[[#This Row],[Steps]]&lt;0,100+(G356-Table13[[#This Row],[Steps]]),G356-Table13[[#This Row],[Steps]]),
))</f>
        <v>0</v>
      </c>
      <c r="F357">
        <f>_xlfn.LET(_xlpm.dir,Table13[[#This Row],[Direction]],
IF(_xlpm.dir="R",
    IF(G356+Table13[[#This Row],[Steps]]&gt;99,(G356+Table13[[#This Row],[Steps]])-100,G356+Table13[[#This Row],[Steps]]),
))</f>
        <v>14</v>
      </c>
      <c r="G357">
        <f>IF(Table13[[#This Row],[New Pos L]]&lt;&gt;0,Table13[[#This Row],[New Pos L]],Table13[[#This Row],[New Pos R]])</f>
        <v>14</v>
      </c>
      <c r="H357">
        <f>IF(AND(Table13[[#This Row],[Direction]]="L",Table13[[#This Row],[Steps]]&gt;G356,G356&lt;&gt;0),1,0)</f>
        <v>0</v>
      </c>
      <c r="I357">
        <f>IF(AND(Table13[[#This Row],[Direction]]="R",(G356+Table13[[#This Row],[Steps]])&gt;100),1,0)</f>
        <v>0</v>
      </c>
      <c r="J357">
        <f>IF(Table13[[#This Row],[POS]]=0,1,0)</f>
        <v>0</v>
      </c>
      <c r="K357">
        <f>SUM(Table13[[#This Row],[prefix]],Table13[[#This Row],[Past zero L]],Table13[[#This Row],[Past Zero R]],Table13[[#This Row],[Is Zero]])</f>
        <v>0</v>
      </c>
    </row>
    <row r="358" spans="1:11" ht="16" x14ac:dyDescent="0.2">
      <c r="A358" s="1" t="s">
        <v>60</v>
      </c>
      <c r="B358" t="str">
        <f>LEFT(Table13[[#This Row],[Input]],1)</f>
        <v>R</v>
      </c>
      <c r="C358">
        <f>_xlfn.LET(_xlpm.steps,SUBSTITUTE(Table13[[#This Row],[Input]],Table13[[#This Row],[Direction]],""),VALUE(IF(LEN(_xlpm.steps)&gt;2,RIGHT(_xlpm.steps,2),_xlpm.steps)))</f>
        <v>86</v>
      </c>
      <c r="D358">
        <f>_xlfn.LET(_xlpm.steps,SUBSTITUTE(Table13[[#This Row],[Input]],Table13[[#This Row],[Direction]],""),VALUE(IF(LEN(_xlpm.steps)&gt;2,LEFT(_xlpm.steps,LEN(_xlpm.steps)-2),0)))</f>
        <v>0</v>
      </c>
      <c r="E358">
        <f>_xlfn.LET(_xlpm.dir,Table13[[#This Row],[Direction]],
IF(_xlpm.dir="L",
    IF(G357-Table13[[#This Row],[Steps]]&lt;0,100+(G357-Table13[[#This Row],[Steps]]),G357-Table13[[#This Row],[Steps]]),
))</f>
        <v>0</v>
      </c>
      <c r="F358">
        <f>_xlfn.LET(_xlpm.dir,Table13[[#This Row],[Direction]],
IF(_xlpm.dir="R",
    IF(G357+Table13[[#This Row],[Steps]]&gt;99,(G357+Table13[[#This Row],[Steps]])-100,G357+Table13[[#This Row],[Steps]]),
))</f>
        <v>0</v>
      </c>
      <c r="G358">
        <f>IF(Table13[[#This Row],[New Pos L]]&lt;&gt;0,Table13[[#This Row],[New Pos L]],Table13[[#This Row],[New Pos R]])</f>
        <v>0</v>
      </c>
      <c r="H358">
        <f>IF(AND(Table13[[#This Row],[Direction]]="L",Table13[[#This Row],[Steps]]&gt;G357,G357&lt;&gt;0),1,0)</f>
        <v>0</v>
      </c>
      <c r="I358">
        <f>IF(AND(Table13[[#This Row],[Direction]]="R",(G357+Table13[[#This Row],[Steps]])&gt;100),1,0)</f>
        <v>0</v>
      </c>
      <c r="J358">
        <f>IF(Table13[[#This Row],[POS]]=0,1,0)</f>
        <v>1</v>
      </c>
      <c r="K358">
        <f>SUM(Table13[[#This Row],[prefix]],Table13[[#This Row],[Past zero L]],Table13[[#This Row],[Past Zero R]],Table13[[#This Row],[Is Zero]])</f>
        <v>1</v>
      </c>
    </row>
    <row r="359" spans="1:11" ht="16" x14ac:dyDescent="0.2">
      <c r="A359" s="1" t="s">
        <v>57</v>
      </c>
      <c r="B359" t="str">
        <f>LEFT(Table13[[#This Row],[Input]],1)</f>
        <v>R</v>
      </c>
      <c r="C359">
        <f>_xlfn.LET(_xlpm.steps,SUBSTITUTE(Table13[[#This Row],[Input]],Table13[[#This Row],[Direction]],""),VALUE(IF(LEN(_xlpm.steps)&gt;2,RIGHT(_xlpm.steps,2),_xlpm.steps)))</f>
        <v>29</v>
      </c>
      <c r="D359">
        <f>_xlfn.LET(_xlpm.steps,SUBSTITUTE(Table13[[#This Row],[Input]],Table13[[#This Row],[Direction]],""),VALUE(IF(LEN(_xlpm.steps)&gt;2,LEFT(_xlpm.steps,LEN(_xlpm.steps)-2),0)))</f>
        <v>0</v>
      </c>
      <c r="E359">
        <f>_xlfn.LET(_xlpm.dir,Table13[[#This Row],[Direction]],
IF(_xlpm.dir="L",
    IF(G358-Table13[[#This Row],[Steps]]&lt;0,100+(G358-Table13[[#This Row],[Steps]]),G358-Table13[[#This Row],[Steps]]),
))</f>
        <v>0</v>
      </c>
      <c r="F359">
        <f>_xlfn.LET(_xlpm.dir,Table13[[#This Row],[Direction]],
IF(_xlpm.dir="R",
    IF(G358+Table13[[#This Row],[Steps]]&gt;99,(G358+Table13[[#This Row],[Steps]])-100,G358+Table13[[#This Row],[Steps]]),
))</f>
        <v>29</v>
      </c>
      <c r="G359">
        <f>IF(Table13[[#This Row],[New Pos L]]&lt;&gt;0,Table13[[#This Row],[New Pos L]],Table13[[#This Row],[New Pos R]])</f>
        <v>29</v>
      </c>
      <c r="H359">
        <f>IF(AND(Table13[[#This Row],[Direction]]="L",Table13[[#This Row],[Steps]]&gt;G358,G358&lt;&gt;0),1,0)</f>
        <v>0</v>
      </c>
      <c r="I359">
        <f>IF(AND(Table13[[#This Row],[Direction]]="R",(G358+Table13[[#This Row],[Steps]])&gt;100),1,0)</f>
        <v>0</v>
      </c>
      <c r="J359">
        <f>IF(Table13[[#This Row],[POS]]=0,1,0)</f>
        <v>0</v>
      </c>
      <c r="K359">
        <f>SUM(Table13[[#This Row],[prefix]],Table13[[#This Row],[Past zero L]],Table13[[#This Row],[Past Zero R]],Table13[[#This Row],[Is Zero]])</f>
        <v>0</v>
      </c>
    </row>
    <row r="360" spans="1:11" ht="16" x14ac:dyDescent="0.2">
      <c r="A360" s="1" t="s">
        <v>22</v>
      </c>
      <c r="B360" t="str">
        <f>LEFT(Table13[[#This Row],[Input]],1)</f>
        <v>L</v>
      </c>
      <c r="C360">
        <f>_xlfn.LET(_xlpm.steps,SUBSTITUTE(Table13[[#This Row],[Input]],Table13[[#This Row],[Direction]],""),VALUE(IF(LEN(_xlpm.steps)&gt;2,RIGHT(_xlpm.steps,2),_xlpm.steps)))</f>
        <v>37</v>
      </c>
      <c r="D360">
        <f>_xlfn.LET(_xlpm.steps,SUBSTITUTE(Table13[[#This Row],[Input]],Table13[[#This Row],[Direction]],""),VALUE(IF(LEN(_xlpm.steps)&gt;2,LEFT(_xlpm.steps,LEN(_xlpm.steps)-2),0)))</f>
        <v>0</v>
      </c>
      <c r="E360">
        <f>_xlfn.LET(_xlpm.dir,Table13[[#This Row],[Direction]],
IF(_xlpm.dir="L",
    IF(G359-Table13[[#This Row],[Steps]]&lt;0,100+(G359-Table13[[#This Row],[Steps]]),G359-Table13[[#This Row],[Steps]]),
))</f>
        <v>92</v>
      </c>
      <c r="F360">
        <f>_xlfn.LET(_xlpm.dir,Table13[[#This Row],[Direction]],
IF(_xlpm.dir="R",
    IF(G359+Table13[[#This Row],[Steps]]&gt;99,(G359+Table13[[#This Row],[Steps]])-100,G359+Table13[[#This Row],[Steps]]),
))</f>
        <v>0</v>
      </c>
      <c r="G360">
        <f>IF(Table13[[#This Row],[New Pos L]]&lt;&gt;0,Table13[[#This Row],[New Pos L]],Table13[[#This Row],[New Pos R]])</f>
        <v>92</v>
      </c>
      <c r="H360">
        <f>IF(AND(Table13[[#This Row],[Direction]]="L",Table13[[#This Row],[Steps]]&gt;G359,G359&lt;&gt;0),1,0)</f>
        <v>1</v>
      </c>
      <c r="I360">
        <f>IF(AND(Table13[[#This Row],[Direction]]="R",(G359+Table13[[#This Row],[Steps]])&gt;100),1,0)</f>
        <v>0</v>
      </c>
      <c r="J360">
        <f>IF(Table13[[#This Row],[POS]]=0,1,0)</f>
        <v>0</v>
      </c>
      <c r="K360">
        <f>SUM(Table13[[#This Row],[prefix]],Table13[[#This Row],[Past zero L]],Table13[[#This Row],[Past Zero R]],Table13[[#This Row],[Is Zero]])</f>
        <v>1</v>
      </c>
    </row>
    <row r="361" spans="1:11" ht="16" x14ac:dyDescent="0.2">
      <c r="A361" s="1" t="s">
        <v>210</v>
      </c>
      <c r="B361" t="str">
        <f>LEFT(Table13[[#This Row],[Input]],1)</f>
        <v>R</v>
      </c>
      <c r="C361">
        <f>_xlfn.LET(_xlpm.steps,SUBSTITUTE(Table13[[#This Row],[Input]],Table13[[#This Row],[Direction]],""),VALUE(IF(LEN(_xlpm.steps)&gt;2,RIGHT(_xlpm.steps,2),_xlpm.steps)))</f>
        <v>89</v>
      </c>
      <c r="D361">
        <f>_xlfn.LET(_xlpm.steps,SUBSTITUTE(Table13[[#This Row],[Input]],Table13[[#This Row],[Direction]],""),VALUE(IF(LEN(_xlpm.steps)&gt;2,LEFT(_xlpm.steps,LEN(_xlpm.steps)-2),0)))</f>
        <v>0</v>
      </c>
      <c r="E361">
        <f>_xlfn.LET(_xlpm.dir,Table13[[#This Row],[Direction]],
IF(_xlpm.dir="L",
    IF(G360-Table13[[#This Row],[Steps]]&lt;0,100+(G360-Table13[[#This Row],[Steps]]),G360-Table13[[#This Row],[Steps]]),
))</f>
        <v>0</v>
      </c>
      <c r="F361">
        <f>_xlfn.LET(_xlpm.dir,Table13[[#This Row],[Direction]],
IF(_xlpm.dir="R",
    IF(G360+Table13[[#This Row],[Steps]]&gt;99,(G360+Table13[[#This Row],[Steps]])-100,G360+Table13[[#This Row],[Steps]]),
))</f>
        <v>81</v>
      </c>
      <c r="G361">
        <f>IF(Table13[[#This Row],[New Pos L]]&lt;&gt;0,Table13[[#This Row],[New Pos L]],Table13[[#This Row],[New Pos R]])</f>
        <v>81</v>
      </c>
      <c r="H361">
        <f>IF(AND(Table13[[#This Row],[Direction]]="L",Table13[[#This Row],[Steps]]&gt;G360,G360&lt;&gt;0),1,0)</f>
        <v>0</v>
      </c>
      <c r="I361">
        <f>IF(AND(Table13[[#This Row],[Direction]]="R",(G360+Table13[[#This Row],[Steps]])&gt;100),1,0)</f>
        <v>1</v>
      </c>
      <c r="J361">
        <f>IF(Table13[[#This Row],[POS]]=0,1,0)</f>
        <v>0</v>
      </c>
      <c r="K361">
        <f>SUM(Table13[[#This Row],[prefix]],Table13[[#This Row],[Past zero L]],Table13[[#This Row],[Past Zero R]],Table13[[#This Row],[Is Zero]])</f>
        <v>1</v>
      </c>
    </row>
    <row r="362" spans="1:11" ht="16" x14ac:dyDescent="0.2">
      <c r="A362" s="1" t="s">
        <v>211</v>
      </c>
      <c r="B362" t="str">
        <f>LEFT(Table13[[#This Row],[Input]],1)</f>
        <v>L</v>
      </c>
      <c r="C362">
        <f>_xlfn.LET(_xlpm.steps,SUBSTITUTE(Table13[[#This Row],[Input]],Table13[[#This Row],[Direction]],""),VALUE(IF(LEN(_xlpm.steps)&gt;2,RIGHT(_xlpm.steps,2),_xlpm.steps)))</f>
        <v>81</v>
      </c>
      <c r="D362">
        <f>_xlfn.LET(_xlpm.steps,SUBSTITUTE(Table13[[#This Row],[Input]],Table13[[#This Row],[Direction]],""),VALUE(IF(LEN(_xlpm.steps)&gt;2,LEFT(_xlpm.steps,LEN(_xlpm.steps)-2),0)))</f>
        <v>7</v>
      </c>
      <c r="E362">
        <f>_xlfn.LET(_xlpm.dir,Table13[[#This Row],[Direction]],
IF(_xlpm.dir="L",
    IF(G361-Table13[[#This Row],[Steps]]&lt;0,100+(G361-Table13[[#This Row],[Steps]]),G361-Table13[[#This Row],[Steps]]),
))</f>
        <v>0</v>
      </c>
      <c r="F362">
        <f>_xlfn.LET(_xlpm.dir,Table13[[#This Row],[Direction]],
IF(_xlpm.dir="R",
    IF(G361+Table13[[#This Row],[Steps]]&gt;99,(G361+Table13[[#This Row],[Steps]])-100,G361+Table13[[#This Row],[Steps]]),
))</f>
        <v>0</v>
      </c>
      <c r="G362">
        <f>IF(Table13[[#This Row],[New Pos L]]&lt;&gt;0,Table13[[#This Row],[New Pos L]],Table13[[#This Row],[New Pos R]])</f>
        <v>0</v>
      </c>
      <c r="H362">
        <f>IF(AND(Table13[[#This Row],[Direction]]="L",Table13[[#This Row],[Steps]]&gt;G361,G361&lt;&gt;0),1,0)</f>
        <v>0</v>
      </c>
      <c r="I362">
        <f>IF(AND(Table13[[#This Row],[Direction]]="R",(G361+Table13[[#This Row],[Steps]])&gt;100),1,0)</f>
        <v>0</v>
      </c>
      <c r="J362">
        <f>IF(Table13[[#This Row],[POS]]=0,1,0)</f>
        <v>1</v>
      </c>
      <c r="K362">
        <f>SUM(Table13[[#This Row],[prefix]],Table13[[#This Row],[Past zero L]],Table13[[#This Row],[Past Zero R]],Table13[[#This Row],[Is Zero]])</f>
        <v>8</v>
      </c>
    </row>
    <row r="363" spans="1:11" ht="16" x14ac:dyDescent="0.2">
      <c r="A363" s="1" t="s">
        <v>125</v>
      </c>
      <c r="B363" t="str">
        <f>LEFT(Table13[[#This Row],[Input]],1)</f>
        <v>L</v>
      </c>
      <c r="C363">
        <f>_xlfn.LET(_xlpm.steps,SUBSTITUTE(Table13[[#This Row],[Input]],Table13[[#This Row],[Direction]],""),VALUE(IF(LEN(_xlpm.steps)&gt;2,RIGHT(_xlpm.steps,2),_xlpm.steps)))</f>
        <v>76</v>
      </c>
      <c r="D363">
        <f>_xlfn.LET(_xlpm.steps,SUBSTITUTE(Table13[[#This Row],[Input]],Table13[[#This Row],[Direction]],""),VALUE(IF(LEN(_xlpm.steps)&gt;2,LEFT(_xlpm.steps,LEN(_xlpm.steps)-2),0)))</f>
        <v>0</v>
      </c>
      <c r="E363">
        <f>_xlfn.LET(_xlpm.dir,Table13[[#This Row],[Direction]],
IF(_xlpm.dir="L",
    IF(G362-Table13[[#This Row],[Steps]]&lt;0,100+(G362-Table13[[#This Row],[Steps]]),G362-Table13[[#This Row],[Steps]]),
))</f>
        <v>24</v>
      </c>
      <c r="F363">
        <f>_xlfn.LET(_xlpm.dir,Table13[[#This Row],[Direction]],
IF(_xlpm.dir="R",
    IF(G362+Table13[[#This Row],[Steps]]&gt;99,(G362+Table13[[#This Row],[Steps]])-100,G362+Table13[[#This Row],[Steps]]),
))</f>
        <v>0</v>
      </c>
      <c r="G363">
        <f>IF(Table13[[#This Row],[New Pos L]]&lt;&gt;0,Table13[[#This Row],[New Pos L]],Table13[[#This Row],[New Pos R]])</f>
        <v>24</v>
      </c>
      <c r="H363">
        <f>IF(AND(Table13[[#This Row],[Direction]]="L",Table13[[#This Row],[Steps]]&gt;G362,G362&lt;&gt;0),1,0)</f>
        <v>0</v>
      </c>
      <c r="I363">
        <f>IF(AND(Table13[[#This Row],[Direction]]="R",(G362+Table13[[#This Row],[Steps]])&gt;100),1,0)</f>
        <v>0</v>
      </c>
      <c r="J363">
        <f>IF(Table13[[#This Row],[POS]]=0,1,0)</f>
        <v>0</v>
      </c>
      <c r="K363">
        <f>SUM(Table13[[#This Row],[prefix]],Table13[[#This Row],[Past zero L]],Table13[[#This Row],[Past Zero R]],Table13[[#This Row],[Is Zero]])</f>
        <v>0</v>
      </c>
    </row>
    <row r="364" spans="1:11" ht="16" x14ac:dyDescent="0.2">
      <c r="A364" s="1" t="s">
        <v>212</v>
      </c>
      <c r="B364" t="str">
        <f>LEFT(Table13[[#This Row],[Input]],1)</f>
        <v>R</v>
      </c>
      <c r="C364">
        <f>_xlfn.LET(_xlpm.steps,SUBSTITUTE(Table13[[#This Row],[Input]],Table13[[#This Row],[Direction]],""),VALUE(IF(LEN(_xlpm.steps)&gt;2,RIGHT(_xlpm.steps,2),_xlpm.steps)))</f>
        <v>77</v>
      </c>
      <c r="D364">
        <f>_xlfn.LET(_xlpm.steps,SUBSTITUTE(Table13[[#This Row],[Input]],Table13[[#This Row],[Direction]],""),VALUE(IF(LEN(_xlpm.steps)&gt;2,LEFT(_xlpm.steps,LEN(_xlpm.steps)-2),0)))</f>
        <v>0</v>
      </c>
      <c r="E364">
        <f>_xlfn.LET(_xlpm.dir,Table13[[#This Row],[Direction]],
IF(_xlpm.dir="L",
    IF(G363-Table13[[#This Row],[Steps]]&lt;0,100+(G363-Table13[[#This Row],[Steps]]),G363-Table13[[#This Row],[Steps]]),
))</f>
        <v>0</v>
      </c>
      <c r="F364">
        <f>_xlfn.LET(_xlpm.dir,Table13[[#This Row],[Direction]],
IF(_xlpm.dir="R",
    IF(G363+Table13[[#This Row],[Steps]]&gt;99,(G363+Table13[[#This Row],[Steps]])-100,G363+Table13[[#This Row],[Steps]]),
))</f>
        <v>1</v>
      </c>
      <c r="G364">
        <f>IF(Table13[[#This Row],[New Pos L]]&lt;&gt;0,Table13[[#This Row],[New Pos L]],Table13[[#This Row],[New Pos R]])</f>
        <v>1</v>
      </c>
      <c r="H364">
        <f>IF(AND(Table13[[#This Row],[Direction]]="L",Table13[[#This Row],[Steps]]&gt;G363,G363&lt;&gt;0),1,0)</f>
        <v>0</v>
      </c>
      <c r="I364">
        <f>IF(AND(Table13[[#This Row],[Direction]]="R",(G363+Table13[[#This Row],[Steps]])&gt;100),1,0)</f>
        <v>1</v>
      </c>
      <c r="J364">
        <f>IF(Table13[[#This Row],[POS]]=0,1,0)</f>
        <v>0</v>
      </c>
      <c r="K364">
        <f>SUM(Table13[[#This Row],[prefix]],Table13[[#This Row],[Past zero L]],Table13[[#This Row],[Past Zero R]],Table13[[#This Row],[Is Zero]])</f>
        <v>1</v>
      </c>
    </row>
    <row r="365" spans="1:11" ht="16" x14ac:dyDescent="0.2">
      <c r="A365" s="1" t="s">
        <v>64</v>
      </c>
      <c r="B365" t="str">
        <f>LEFT(Table13[[#This Row],[Input]],1)</f>
        <v>R</v>
      </c>
      <c r="C365">
        <f>_xlfn.LET(_xlpm.steps,SUBSTITUTE(Table13[[#This Row],[Input]],Table13[[#This Row],[Direction]],""),VALUE(IF(LEN(_xlpm.steps)&gt;2,RIGHT(_xlpm.steps,2),_xlpm.steps)))</f>
        <v>10</v>
      </c>
      <c r="D365">
        <f>_xlfn.LET(_xlpm.steps,SUBSTITUTE(Table13[[#This Row],[Input]],Table13[[#This Row],[Direction]],""),VALUE(IF(LEN(_xlpm.steps)&gt;2,LEFT(_xlpm.steps,LEN(_xlpm.steps)-2),0)))</f>
        <v>0</v>
      </c>
      <c r="E365">
        <f>_xlfn.LET(_xlpm.dir,Table13[[#This Row],[Direction]],
IF(_xlpm.dir="L",
    IF(G364-Table13[[#This Row],[Steps]]&lt;0,100+(G364-Table13[[#This Row],[Steps]]),G364-Table13[[#This Row],[Steps]]),
))</f>
        <v>0</v>
      </c>
      <c r="F365">
        <f>_xlfn.LET(_xlpm.dir,Table13[[#This Row],[Direction]],
IF(_xlpm.dir="R",
    IF(G364+Table13[[#This Row],[Steps]]&gt;99,(G364+Table13[[#This Row],[Steps]])-100,G364+Table13[[#This Row],[Steps]]),
))</f>
        <v>11</v>
      </c>
      <c r="G365">
        <f>IF(Table13[[#This Row],[New Pos L]]&lt;&gt;0,Table13[[#This Row],[New Pos L]],Table13[[#This Row],[New Pos R]])</f>
        <v>11</v>
      </c>
      <c r="H365">
        <f>IF(AND(Table13[[#This Row],[Direction]]="L",Table13[[#This Row],[Steps]]&gt;G364,G364&lt;&gt;0),1,0)</f>
        <v>0</v>
      </c>
      <c r="I365">
        <f>IF(AND(Table13[[#This Row],[Direction]]="R",(G364+Table13[[#This Row],[Steps]])&gt;100),1,0)</f>
        <v>0</v>
      </c>
      <c r="J365">
        <f>IF(Table13[[#This Row],[POS]]=0,1,0)</f>
        <v>0</v>
      </c>
      <c r="K365">
        <f>SUM(Table13[[#This Row],[prefix]],Table13[[#This Row],[Past zero L]],Table13[[#This Row],[Past Zero R]],Table13[[#This Row],[Is Zero]])</f>
        <v>0</v>
      </c>
    </row>
    <row r="366" spans="1:11" ht="16" x14ac:dyDescent="0.2">
      <c r="A366" s="1" t="s">
        <v>213</v>
      </c>
      <c r="B366" t="str">
        <f>LEFT(Table13[[#This Row],[Input]],1)</f>
        <v>R</v>
      </c>
      <c r="C366">
        <f>_xlfn.LET(_xlpm.steps,SUBSTITUTE(Table13[[#This Row],[Input]],Table13[[#This Row],[Direction]],""),VALUE(IF(LEN(_xlpm.steps)&gt;2,RIGHT(_xlpm.steps,2),_xlpm.steps)))</f>
        <v>87</v>
      </c>
      <c r="D366">
        <f>_xlfn.LET(_xlpm.steps,SUBSTITUTE(Table13[[#This Row],[Input]],Table13[[#This Row],[Direction]],""),VALUE(IF(LEN(_xlpm.steps)&gt;2,LEFT(_xlpm.steps,LEN(_xlpm.steps)-2),0)))</f>
        <v>0</v>
      </c>
      <c r="E366">
        <f>_xlfn.LET(_xlpm.dir,Table13[[#This Row],[Direction]],
IF(_xlpm.dir="L",
    IF(G365-Table13[[#This Row],[Steps]]&lt;0,100+(G365-Table13[[#This Row],[Steps]]),G365-Table13[[#This Row],[Steps]]),
))</f>
        <v>0</v>
      </c>
      <c r="F366">
        <f>_xlfn.LET(_xlpm.dir,Table13[[#This Row],[Direction]],
IF(_xlpm.dir="R",
    IF(G365+Table13[[#This Row],[Steps]]&gt;99,(G365+Table13[[#This Row],[Steps]])-100,G365+Table13[[#This Row],[Steps]]),
))</f>
        <v>98</v>
      </c>
      <c r="G366">
        <f>IF(Table13[[#This Row],[New Pos L]]&lt;&gt;0,Table13[[#This Row],[New Pos L]],Table13[[#This Row],[New Pos R]])</f>
        <v>98</v>
      </c>
      <c r="H366">
        <f>IF(AND(Table13[[#This Row],[Direction]]="L",Table13[[#This Row],[Steps]]&gt;G365,G365&lt;&gt;0),1,0)</f>
        <v>0</v>
      </c>
      <c r="I366">
        <f>IF(AND(Table13[[#This Row],[Direction]]="R",(G365+Table13[[#This Row],[Steps]])&gt;100),1,0)</f>
        <v>0</v>
      </c>
      <c r="J366">
        <f>IF(Table13[[#This Row],[POS]]=0,1,0)</f>
        <v>0</v>
      </c>
      <c r="K366">
        <f>SUM(Table13[[#This Row],[prefix]],Table13[[#This Row],[Past zero L]],Table13[[#This Row],[Past Zero R]],Table13[[#This Row],[Is Zero]])</f>
        <v>0</v>
      </c>
    </row>
    <row r="367" spans="1:11" ht="16" x14ac:dyDescent="0.2">
      <c r="A367" s="1" t="s">
        <v>75</v>
      </c>
      <c r="B367" t="str">
        <f>LEFT(Table13[[#This Row],[Input]],1)</f>
        <v>R</v>
      </c>
      <c r="C367">
        <f>_xlfn.LET(_xlpm.steps,SUBSTITUTE(Table13[[#This Row],[Input]],Table13[[#This Row],[Direction]],""),VALUE(IF(LEN(_xlpm.steps)&gt;2,RIGHT(_xlpm.steps,2),_xlpm.steps)))</f>
        <v>2</v>
      </c>
      <c r="D367">
        <f>_xlfn.LET(_xlpm.steps,SUBSTITUTE(Table13[[#This Row],[Input]],Table13[[#This Row],[Direction]],""),VALUE(IF(LEN(_xlpm.steps)&gt;2,LEFT(_xlpm.steps,LEN(_xlpm.steps)-2),0)))</f>
        <v>0</v>
      </c>
      <c r="E367">
        <f>_xlfn.LET(_xlpm.dir,Table13[[#This Row],[Direction]],
IF(_xlpm.dir="L",
    IF(G366-Table13[[#This Row],[Steps]]&lt;0,100+(G366-Table13[[#This Row],[Steps]]),G366-Table13[[#This Row],[Steps]]),
))</f>
        <v>0</v>
      </c>
      <c r="F367">
        <f>_xlfn.LET(_xlpm.dir,Table13[[#This Row],[Direction]],
IF(_xlpm.dir="R",
    IF(G366+Table13[[#This Row],[Steps]]&gt;99,(G366+Table13[[#This Row],[Steps]])-100,G366+Table13[[#This Row],[Steps]]),
))</f>
        <v>0</v>
      </c>
      <c r="G367">
        <f>IF(Table13[[#This Row],[New Pos L]]&lt;&gt;0,Table13[[#This Row],[New Pos L]],Table13[[#This Row],[New Pos R]])</f>
        <v>0</v>
      </c>
      <c r="H367">
        <f>IF(AND(Table13[[#This Row],[Direction]]="L",Table13[[#This Row],[Steps]]&gt;G366,G366&lt;&gt;0),1,0)</f>
        <v>0</v>
      </c>
      <c r="I367">
        <f>IF(AND(Table13[[#This Row],[Direction]]="R",(G366+Table13[[#This Row],[Steps]])&gt;100),1,0)</f>
        <v>0</v>
      </c>
      <c r="J367">
        <f>IF(Table13[[#This Row],[POS]]=0,1,0)</f>
        <v>1</v>
      </c>
      <c r="K367">
        <f>SUM(Table13[[#This Row],[prefix]],Table13[[#This Row],[Past zero L]],Table13[[#This Row],[Past Zero R]],Table13[[#This Row],[Is Zero]])</f>
        <v>1</v>
      </c>
    </row>
    <row r="368" spans="1:11" ht="16" x14ac:dyDescent="0.2">
      <c r="A368" s="1" t="s">
        <v>61</v>
      </c>
      <c r="B368" t="str">
        <f>LEFT(Table13[[#This Row],[Input]],1)</f>
        <v>L</v>
      </c>
      <c r="C368">
        <f>_xlfn.LET(_xlpm.steps,SUBSTITUTE(Table13[[#This Row],[Input]],Table13[[#This Row],[Direction]],""),VALUE(IF(LEN(_xlpm.steps)&gt;2,RIGHT(_xlpm.steps,2),_xlpm.steps)))</f>
        <v>16</v>
      </c>
      <c r="D368">
        <f>_xlfn.LET(_xlpm.steps,SUBSTITUTE(Table13[[#This Row],[Input]],Table13[[#This Row],[Direction]],""),VALUE(IF(LEN(_xlpm.steps)&gt;2,LEFT(_xlpm.steps,LEN(_xlpm.steps)-2),0)))</f>
        <v>0</v>
      </c>
      <c r="E368">
        <f>_xlfn.LET(_xlpm.dir,Table13[[#This Row],[Direction]],
IF(_xlpm.dir="L",
    IF(G367-Table13[[#This Row],[Steps]]&lt;0,100+(G367-Table13[[#This Row],[Steps]]),G367-Table13[[#This Row],[Steps]]),
))</f>
        <v>84</v>
      </c>
      <c r="F368">
        <f>_xlfn.LET(_xlpm.dir,Table13[[#This Row],[Direction]],
IF(_xlpm.dir="R",
    IF(G367+Table13[[#This Row],[Steps]]&gt;99,(G367+Table13[[#This Row],[Steps]])-100,G367+Table13[[#This Row],[Steps]]),
))</f>
        <v>0</v>
      </c>
      <c r="G368">
        <f>IF(Table13[[#This Row],[New Pos L]]&lt;&gt;0,Table13[[#This Row],[New Pos L]],Table13[[#This Row],[New Pos R]])</f>
        <v>84</v>
      </c>
      <c r="H368">
        <f>IF(AND(Table13[[#This Row],[Direction]]="L",Table13[[#This Row],[Steps]]&gt;G367,G367&lt;&gt;0),1,0)</f>
        <v>0</v>
      </c>
      <c r="I368">
        <f>IF(AND(Table13[[#This Row],[Direction]]="R",(G367+Table13[[#This Row],[Steps]])&gt;100),1,0)</f>
        <v>0</v>
      </c>
      <c r="J368">
        <f>IF(Table13[[#This Row],[POS]]=0,1,0)</f>
        <v>0</v>
      </c>
      <c r="K368">
        <f>SUM(Table13[[#This Row],[prefix]],Table13[[#This Row],[Past zero L]],Table13[[#This Row],[Past Zero R]],Table13[[#This Row],[Is Zero]])</f>
        <v>0</v>
      </c>
    </row>
    <row r="369" spans="1:11" ht="16" x14ac:dyDescent="0.2">
      <c r="A369" s="1" t="s">
        <v>155</v>
      </c>
      <c r="B369" t="str">
        <f>LEFT(Table13[[#This Row],[Input]],1)</f>
        <v>L</v>
      </c>
      <c r="C369">
        <f>_xlfn.LET(_xlpm.steps,SUBSTITUTE(Table13[[#This Row],[Input]],Table13[[#This Row],[Direction]],""),VALUE(IF(LEN(_xlpm.steps)&gt;2,RIGHT(_xlpm.steps,2),_xlpm.steps)))</f>
        <v>18</v>
      </c>
      <c r="D369">
        <f>_xlfn.LET(_xlpm.steps,SUBSTITUTE(Table13[[#This Row],[Input]],Table13[[#This Row],[Direction]],""),VALUE(IF(LEN(_xlpm.steps)&gt;2,LEFT(_xlpm.steps,LEN(_xlpm.steps)-2),0)))</f>
        <v>0</v>
      </c>
      <c r="E369">
        <f>_xlfn.LET(_xlpm.dir,Table13[[#This Row],[Direction]],
IF(_xlpm.dir="L",
    IF(G368-Table13[[#This Row],[Steps]]&lt;0,100+(G368-Table13[[#This Row],[Steps]]),G368-Table13[[#This Row],[Steps]]),
))</f>
        <v>66</v>
      </c>
      <c r="F369">
        <f>_xlfn.LET(_xlpm.dir,Table13[[#This Row],[Direction]],
IF(_xlpm.dir="R",
    IF(G368+Table13[[#This Row],[Steps]]&gt;99,(G368+Table13[[#This Row],[Steps]])-100,G368+Table13[[#This Row],[Steps]]),
))</f>
        <v>0</v>
      </c>
      <c r="G369">
        <f>IF(Table13[[#This Row],[New Pos L]]&lt;&gt;0,Table13[[#This Row],[New Pos L]],Table13[[#This Row],[New Pos R]])</f>
        <v>66</v>
      </c>
      <c r="H369">
        <f>IF(AND(Table13[[#This Row],[Direction]]="L",Table13[[#This Row],[Steps]]&gt;G368,G368&lt;&gt;0),1,0)</f>
        <v>0</v>
      </c>
      <c r="I369">
        <f>IF(AND(Table13[[#This Row],[Direction]]="R",(G368+Table13[[#This Row],[Steps]])&gt;100),1,0)</f>
        <v>0</v>
      </c>
      <c r="J369">
        <f>IF(Table13[[#This Row],[POS]]=0,1,0)</f>
        <v>0</v>
      </c>
      <c r="K369">
        <f>SUM(Table13[[#This Row],[prefix]],Table13[[#This Row],[Past zero L]],Table13[[#This Row],[Past Zero R]],Table13[[#This Row],[Is Zero]])</f>
        <v>0</v>
      </c>
    </row>
    <row r="370" spans="1:11" ht="16" x14ac:dyDescent="0.2">
      <c r="A370" s="1" t="s">
        <v>214</v>
      </c>
      <c r="B370" t="str">
        <f>LEFT(Table13[[#This Row],[Input]],1)</f>
        <v>R</v>
      </c>
      <c r="C370">
        <f>_xlfn.LET(_xlpm.steps,SUBSTITUTE(Table13[[#This Row],[Input]],Table13[[#This Row],[Direction]],""),VALUE(IF(LEN(_xlpm.steps)&gt;2,RIGHT(_xlpm.steps,2),_xlpm.steps)))</f>
        <v>48</v>
      </c>
      <c r="D370">
        <f>_xlfn.LET(_xlpm.steps,SUBSTITUTE(Table13[[#This Row],[Input]],Table13[[#This Row],[Direction]],""),VALUE(IF(LEN(_xlpm.steps)&gt;2,LEFT(_xlpm.steps,LEN(_xlpm.steps)-2),0)))</f>
        <v>8</v>
      </c>
      <c r="E370">
        <f>_xlfn.LET(_xlpm.dir,Table13[[#This Row],[Direction]],
IF(_xlpm.dir="L",
    IF(G369-Table13[[#This Row],[Steps]]&lt;0,100+(G369-Table13[[#This Row],[Steps]]),G369-Table13[[#This Row],[Steps]]),
))</f>
        <v>0</v>
      </c>
      <c r="F370">
        <f>_xlfn.LET(_xlpm.dir,Table13[[#This Row],[Direction]],
IF(_xlpm.dir="R",
    IF(G369+Table13[[#This Row],[Steps]]&gt;99,(G369+Table13[[#This Row],[Steps]])-100,G369+Table13[[#This Row],[Steps]]),
))</f>
        <v>14</v>
      </c>
      <c r="G370">
        <f>IF(Table13[[#This Row],[New Pos L]]&lt;&gt;0,Table13[[#This Row],[New Pos L]],Table13[[#This Row],[New Pos R]])</f>
        <v>14</v>
      </c>
      <c r="H370">
        <f>IF(AND(Table13[[#This Row],[Direction]]="L",Table13[[#This Row],[Steps]]&gt;G369,G369&lt;&gt;0),1,0)</f>
        <v>0</v>
      </c>
      <c r="I370">
        <f>IF(AND(Table13[[#This Row],[Direction]]="R",(G369+Table13[[#This Row],[Steps]])&gt;100),1,0)</f>
        <v>1</v>
      </c>
      <c r="J370">
        <f>IF(Table13[[#This Row],[POS]]=0,1,0)</f>
        <v>0</v>
      </c>
      <c r="K370">
        <f>SUM(Table13[[#This Row],[prefix]],Table13[[#This Row],[Past zero L]],Table13[[#This Row],[Past Zero R]],Table13[[#This Row],[Is Zero]])</f>
        <v>9</v>
      </c>
    </row>
    <row r="371" spans="1:11" ht="16" x14ac:dyDescent="0.2">
      <c r="A371" s="1" t="s">
        <v>215</v>
      </c>
      <c r="B371" t="str">
        <f>LEFT(Table13[[#This Row],[Input]],1)</f>
        <v>L</v>
      </c>
      <c r="C371">
        <f>_xlfn.LET(_xlpm.steps,SUBSTITUTE(Table13[[#This Row],[Input]],Table13[[#This Row],[Direction]],""),VALUE(IF(LEN(_xlpm.steps)&gt;2,RIGHT(_xlpm.steps,2),_xlpm.steps)))</f>
        <v>14</v>
      </c>
      <c r="D371">
        <f>_xlfn.LET(_xlpm.steps,SUBSTITUTE(Table13[[#This Row],[Input]],Table13[[#This Row],[Direction]],""),VALUE(IF(LEN(_xlpm.steps)&gt;2,LEFT(_xlpm.steps,LEN(_xlpm.steps)-2),0)))</f>
        <v>3</v>
      </c>
      <c r="E371">
        <f>_xlfn.LET(_xlpm.dir,Table13[[#This Row],[Direction]],
IF(_xlpm.dir="L",
    IF(G370-Table13[[#This Row],[Steps]]&lt;0,100+(G370-Table13[[#This Row],[Steps]]),G370-Table13[[#This Row],[Steps]]),
))</f>
        <v>0</v>
      </c>
      <c r="F371">
        <f>_xlfn.LET(_xlpm.dir,Table13[[#This Row],[Direction]],
IF(_xlpm.dir="R",
    IF(G370+Table13[[#This Row],[Steps]]&gt;99,(G370+Table13[[#This Row],[Steps]])-100,G370+Table13[[#This Row],[Steps]]),
))</f>
        <v>0</v>
      </c>
      <c r="G371">
        <f>IF(Table13[[#This Row],[New Pos L]]&lt;&gt;0,Table13[[#This Row],[New Pos L]],Table13[[#This Row],[New Pos R]])</f>
        <v>0</v>
      </c>
      <c r="H371">
        <f>IF(AND(Table13[[#This Row],[Direction]]="L",Table13[[#This Row],[Steps]]&gt;G370,G370&lt;&gt;0),1,0)</f>
        <v>0</v>
      </c>
      <c r="I371">
        <f>IF(AND(Table13[[#This Row],[Direction]]="R",(G370+Table13[[#This Row],[Steps]])&gt;100),1,0)</f>
        <v>0</v>
      </c>
      <c r="J371">
        <f>IF(Table13[[#This Row],[POS]]=0,1,0)</f>
        <v>1</v>
      </c>
      <c r="K371">
        <f>SUM(Table13[[#This Row],[prefix]],Table13[[#This Row],[Past zero L]],Table13[[#This Row],[Past Zero R]],Table13[[#This Row],[Is Zero]])</f>
        <v>4</v>
      </c>
    </row>
    <row r="372" spans="1:11" ht="16" x14ac:dyDescent="0.2">
      <c r="A372" s="1" t="s">
        <v>216</v>
      </c>
      <c r="B372" t="str">
        <f>LEFT(Table13[[#This Row],[Input]],1)</f>
        <v>R</v>
      </c>
      <c r="C372">
        <f>_xlfn.LET(_xlpm.steps,SUBSTITUTE(Table13[[#This Row],[Input]],Table13[[#This Row],[Direction]],""),VALUE(IF(LEN(_xlpm.steps)&gt;2,RIGHT(_xlpm.steps,2),_xlpm.steps)))</f>
        <v>54</v>
      </c>
      <c r="D372">
        <f>_xlfn.LET(_xlpm.steps,SUBSTITUTE(Table13[[#This Row],[Input]],Table13[[#This Row],[Direction]],""),VALUE(IF(LEN(_xlpm.steps)&gt;2,LEFT(_xlpm.steps,LEN(_xlpm.steps)-2),0)))</f>
        <v>0</v>
      </c>
      <c r="E372">
        <f>_xlfn.LET(_xlpm.dir,Table13[[#This Row],[Direction]],
IF(_xlpm.dir="L",
    IF(G371-Table13[[#This Row],[Steps]]&lt;0,100+(G371-Table13[[#This Row],[Steps]]),G371-Table13[[#This Row],[Steps]]),
))</f>
        <v>0</v>
      </c>
      <c r="F372">
        <f>_xlfn.LET(_xlpm.dir,Table13[[#This Row],[Direction]],
IF(_xlpm.dir="R",
    IF(G371+Table13[[#This Row],[Steps]]&gt;99,(G371+Table13[[#This Row],[Steps]])-100,G371+Table13[[#This Row],[Steps]]),
))</f>
        <v>54</v>
      </c>
      <c r="G372">
        <f>IF(Table13[[#This Row],[New Pos L]]&lt;&gt;0,Table13[[#This Row],[New Pos L]],Table13[[#This Row],[New Pos R]])</f>
        <v>54</v>
      </c>
      <c r="H372">
        <f>IF(AND(Table13[[#This Row],[Direction]]="L",Table13[[#This Row],[Steps]]&gt;G371,G371&lt;&gt;0),1,0)</f>
        <v>0</v>
      </c>
      <c r="I372">
        <f>IF(AND(Table13[[#This Row],[Direction]]="R",(G371+Table13[[#This Row],[Steps]])&gt;100),1,0)</f>
        <v>0</v>
      </c>
      <c r="J372">
        <f>IF(Table13[[#This Row],[POS]]=0,1,0)</f>
        <v>0</v>
      </c>
      <c r="K372">
        <f>SUM(Table13[[#This Row],[prefix]],Table13[[#This Row],[Past zero L]],Table13[[#This Row],[Past Zero R]],Table13[[#This Row],[Is Zero]])</f>
        <v>0</v>
      </c>
    </row>
    <row r="373" spans="1:11" ht="16" x14ac:dyDescent="0.2">
      <c r="A373" s="1" t="s">
        <v>217</v>
      </c>
      <c r="B373" t="str">
        <f>LEFT(Table13[[#This Row],[Input]],1)</f>
        <v>R</v>
      </c>
      <c r="C373">
        <f>_xlfn.LET(_xlpm.steps,SUBSTITUTE(Table13[[#This Row],[Input]],Table13[[#This Row],[Direction]],""),VALUE(IF(LEN(_xlpm.steps)&gt;2,RIGHT(_xlpm.steps,2),_xlpm.steps)))</f>
        <v>91</v>
      </c>
      <c r="D373">
        <f>_xlfn.LET(_xlpm.steps,SUBSTITUTE(Table13[[#This Row],[Input]],Table13[[#This Row],[Direction]],""),VALUE(IF(LEN(_xlpm.steps)&gt;2,LEFT(_xlpm.steps,LEN(_xlpm.steps)-2),0)))</f>
        <v>0</v>
      </c>
      <c r="E373">
        <f>_xlfn.LET(_xlpm.dir,Table13[[#This Row],[Direction]],
IF(_xlpm.dir="L",
    IF(G372-Table13[[#This Row],[Steps]]&lt;0,100+(G372-Table13[[#This Row],[Steps]]),G372-Table13[[#This Row],[Steps]]),
))</f>
        <v>0</v>
      </c>
      <c r="F373">
        <f>_xlfn.LET(_xlpm.dir,Table13[[#This Row],[Direction]],
IF(_xlpm.dir="R",
    IF(G372+Table13[[#This Row],[Steps]]&gt;99,(G372+Table13[[#This Row],[Steps]])-100,G372+Table13[[#This Row],[Steps]]),
))</f>
        <v>45</v>
      </c>
      <c r="G373">
        <f>IF(Table13[[#This Row],[New Pos L]]&lt;&gt;0,Table13[[#This Row],[New Pos L]],Table13[[#This Row],[New Pos R]])</f>
        <v>45</v>
      </c>
      <c r="H373">
        <f>IF(AND(Table13[[#This Row],[Direction]]="L",Table13[[#This Row],[Steps]]&gt;G372,G372&lt;&gt;0),1,0)</f>
        <v>0</v>
      </c>
      <c r="I373">
        <f>IF(AND(Table13[[#This Row],[Direction]]="R",(G372+Table13[[#This Row],[Steps]])&gt;100),1,0)</f>
        <v>1</v>
      </c>
      <c r="J373">
        <f>IF(Table13[[#This Row],[POS]]=0,1,0)</f>
        <v>0</v>
      </c>
      <c r="K373">
        <f>SUM(Table13[[#This Row],[prefix]],Table13[[#This Row],[Past zero L]],Table13[[#This Row],[Past Zero R]],Table13[[#This Row],[Is Zero]])</f>
        <v>1</v>
      </c>
    </row>
    <row r="374" spans="1:11" ht="16" x14ac:dyDescent="0.2">
      <c r="A374" s="1" t="s">
        <v>171</v>
      </c>
      <c r="B374" t="str">
        <f>LEFT(Table13[[#This Row],[Input]],1)</f>
        <v>L</v>
      </c>
      <c r="C374">
        <f>_xlfn.LET(_xlpm.steps,SUBSTITUTE(Table13[[#This Row],[Input]],Table13[[#This Row],[Direction]],""),VALUE(IF(LEN(_xlpm.steps)&gt;2,RIGHT(_xlpm.steps,2),_xlpm.steps)))</f>
        <v>73</v>
      </c>
      <c r="D374">
        <f>_xlfn.LET(_xlpm.steps,SUBSTITUTE(Table13[[#This Row],[Input]],Table13[[#This Row],[Direction]],""),VALUE(IF(LEN(_xlpm.steps)&gt;2,LEFT(_xlpm.steps,LEN(_xlpm.steps)-2),0)))</f>
        <v>0</v>
      </c>
      <c r="E374">
        <f>_xlfn.LET(_xlpm.dir,Table13[[#This Row],[Direction]],
IF(_xlpm.dir="L",
    IF(G373-Table13[[#This Row],[Steps]]&lt;0,100+(G373-Table13[[#This Row],[Steps]]),G373-Table13[[#This Row],[Steps]]),
))</f>
        <v>72</v>
      </c>
      <c r="F374">
        <f>_xlfn.LET(_xlpm.dir,Table13[[#This Row],[Direction]],
IF(_xlpm.dir="R",
    IF(G373+Table13[[#This Row],[Steps]]&gt;99,(G373+Table13[[#This Row],[Steps]])-100,G373+Table13[[#This Row],[Steps]]),
))</f>
        <v>0</v>
      </c>
      <c r="G374">
        <f>IF(Table13[[#This Row],[New Pos L]]&lt;&gt;0,Table13[[#This Row],[New Pos L]],Table13[[#This Row],[New Pos R]])</f>
        <v>72</v>
      </c>
      <c r="H374">
        <f>IF(AND(Table13[[#This Row],[Direction]]="L",Table13[[#This Row],[Steps]]&gt;G373,G373&lt;&gt;0),1,0)</f>
        <v>1</v>
      </c>
      <c r="I374">
        <f>IF(AND(Table13[[#This Row],[Direction]]="R",(G373+Table13[[#This Row],[Steps]])&gt;100),1,0)</f>
        <v>0</v>
      </c>
      <c r="J374">
        <f>IF(Table13[[#This Row],[POS]]=0,1,0)</f>
        <v>0</v>
      </c>
      <c r="K374">
        <f>SUM(Table13[[#This Row],[prefix]],Table13[[#This Row],[Past zero L]],Table13[[#This Row],[Past Zero R]],Table13[[#This Row],[Is Zero]])</f>
        <v>1</v>
      </c>
    </row>
    <row r="375" spans="1:11" ht="16" x14ac:dyDescent="0.2">
      <c r="A375" s="1" t="s">
        <v>137</v>
      </c>
      <c r="B375" t="str">
        <f>LEFT(Table13[[#This Row],[Input]],1)</f>
        <v>R</v>
      </c>
      <c r="C375">
        <f>_xlfn.LET(_xlpm.steps,SUBSTITUTE(Table13[[#This Row],[Input]],Table13[[#This Row],[Direction]],""),VALUE(IF(LEN(_xlpm.steps)&gt;2,RIGHT(_xlpm.steps,2),_xlpm.steps)))</f>
        <v>28</v>
      </c>
      <c r="D375">
        <f>_xlfn.LET(_xlpm.steps,SUBSTITUTE(Table13[[#This Row],[Input]],Table13[[#This Row],[Direction]],""),VALUE(IF(LEN(_xlpm.steps)&gt;2,LEFT(_xlpm.steps,LEN(_xlpm.steps)-2),0)))</f>
        <v>0</v>
      </c>
      <c r="E375">
        <f>_xlfn.LET(_xlpm.dir,Table13[[#This Row],[Direction]],
IF(_xlpm.dir="L",
    IF(G374-Table13[[#This Row],[Steps]]&lt;0,100+(G374-Table13[[#This Row],[Steps]]),G374-Table13[[#This Row],[Steps]]),
))</f>
        <v>0</v>
      </c>
      <c r="F375">
        <f>_xlfn.LET(_xlpm.dir,Table13[[#This Row],[Direction]],
IF(_xlpm.dir="R",
    IF(G374+Table13[[#This Row],[Steps]]&gt;99,(G374+Table13[[#This Row],[Steps]])-100,G374+Table13[[#This Row],[Steps]]),
))</f>
        <v>0</v>
      </c>
      <c r="G375">
        <f>IF(Table13[[#This Row],[New Pos L]]&lt;&gt;0,Table13[[#This Row],[New Pos L]],Table13[[#This Row],[New Pos R]])</f>
        <v>0</v>
      </c>
      <c r="H375">
        <f>IF(AND(Table13[[#This Row],[Direction]]="L",Table13[[#This Row],[Steps]]&gt;G374,G374&lt;&gt;0),1,0)</f>
        <v>0</v>
      </c>
      <c r="I375">
        <f>IF(AND(Table13[[#This Row],[Direction]]="R",(G374+Table13[[#This Row],[Steps]])&gt;100),1,0)</f>
        <v>0</v>
      </c>
      <c r="J375">
        <f>IF(Table13[[#This Row],[POS]]=0,1,0)</f>
        <v>1</v>
      </c>
      <c r="K375">
        <f>SUM(Table13[[#This Row],[prefix]],Table13[[#This Row],[Past zero L]],Table13[[#This Row],[Past Zero R]],Table13[[#This Row],[Is Zero]])</f>
        <v>1</v>
      </c>
    </row>
    <row r="376" spans="1:11" ht="16" x14ac:dyDescent="0.2">
      <c r="A376" s="1" t="s">
        <v>165</v>
      </c>
      <c r="B376" t="str">
        <f>LEFT(Table13[[#This Row],[Input]],1)</f>
        <v>R</v>
      </c>
      <c r="C376">
        <f>_xlfn.LET(_xlpm.steps,SUBSTITUTE(Table13[[#This Row],[Input]],Table13[[#This Row],[Direction]],""),VALUE(IF(LEN(_xlpm.steps)&gt;2,RIGHT(_xlpm.steps,2),_xlpm.steps)))</f>
        <v>55</v>
      </c>
      <c r="D376">
        <f>_xlfn.LET(_xlpm.steps,SUBSTITUTE(Table13[[#This Row],[Input]],Table13[[#This Row],[Direction]],""),VALUE(IF(LEN(_xlpm.steps)&gt;2,LEFT(_xlpm.steps,LEN(_xlpm.steps)-2),0)))</f>
        <v>0</v>
      </c>
      <c r="E376">
        <f>_xlfn.LET(_xlpm.dir,Table13[[#This Row],[Direction]],
IF(_xlpm.dir="L",
    IF(G375-Table13[[#This Row],[Steps]]&lt;0,100+(G375-Table13[[#This Row],[Steps]]),G375-Table13[[#This Row],[Steps]]),
))</f>
        <v>0</v>
      </c>
      <c r="F376">
        <f>_xlfn.LET(_xlpm.dir,Table13[[#This Row],[Direction]],
IF(_xlpm.dir="R",
    IF(G375+Table13[[#This Row],[Steps]]&gt;99,(G375+Table13[[#This Row],[Steps]])-100,G375+Table13[[#This Row],[Steps]]),
))</f>
        <v>55</v>
      </c>
      <c r="G376">
        <f>IF(Table13[[#This Row],[New Pos L]]&lt;&gt;0,Table13[[#This Row],[New Pos L]],Table13[[#This Row],[New Pos R]])</f>
        <v>55</v>
      </c>
      <c r="H376">
        <f>IF(AND(Table13[[#This Row],[Direction]]="L",Table13[[#This Row],[Steps]]&gt;G375,G375&lt;&gt;0),1,0)</f>
        <v>0</v>
      </c>
      <c r="I376">
        <f>IF(AND(Table13[[#This Row],[Direction]]="R",(G375+Table13[[#This Row],[Steps]])&gt;100),1,0)</f>
        <v>0</v>
      </c>
      <c r="J376">
        <f>IF(Table13[[#This Row],[POS]]=0,1,0)</f>
        <v>0</v>
      </c>
      <c r="K376">
        <f>SUM(Table13[[#This Row],[prefix]],Table13[[#This Row],[Past zero L]],Table13[[#This Row],[Past Zero R]],Table13[[#This Row],[Is Zero]])</f>
        <v>0</v>
      </c>
    </row>
    <row r="377" spans="1:11" ht="16" x14ac:dyDescent="0.2">
      <c r="A377" s="1" t="s">
        <v>82</v>
      </c>
      <c r="B377" t="str">
        <f>LEFT(Table13[[#This Row],[Input]],1)</f>
        <v>L</v>
      </c>
      <c r="C377">
        <f>_xlfn.LET(_xlpm.steps,SUBSTITUTE(Table13[[#This Row],[Input]],Table13[[#This Row],[Direction]],""),VALUE(IF(LEN(_xlpm.steps)&gt;2,RIGHT(_xlpm.steps,2),_xlpm.steps)))</f>
        <v>55</v>
      </c>
      <c r="D377">
        <f>_xlfn.LET(_xlpm.steps,SUBSTITUTE(Table13[[#This Row],[Input]],Table13[[#This Row],[Direction]],""),VALUE(IF(LEN(_xlpm.steps)&gt;2,LEFT(_xlpm.steps,LEN(_xlpm.steps)-2),0)))</f>
        <v>0</v>
      </c>
      <c r="E377">
        <f>_xlfn.LET(_xlpm.dir,Table13[[#This Row],[Direction]],
IF(_xlpm.dir="L",
    IF(G376-Table13[[#This Row],[Steps]]&lt;0,100+(G376-Table13[[#This Row],[Steps]]),G376-Table13[[#This Row],[Steps]]),
))</f>
        <v>0</v>
      </c>
      <c r="F377">
        <f>_xlfn.LET(_xlpm.dir,Table13[[#This Row],[Direction]],
IF(_xlpm.dir="R",
    IF(G376+Table13[[#This Row],[Steps]]&gt;99,(G376+Table13[[#This Row],[Steps]])-100,G376+Table13[[#This Row],[Steps]]),
))</f>
        <v>0</v>
      </c>
      <c r="G377">
        <f>IF(Table13[[#This Row],[New Pos L]]&lt;&gt;0,Table13[[#This Row],[New Pos L]],Table13[[#This Row],[New Pos R]])</f>
        <v>0</v>
      </c>
      <c r="H377">
        <f>IF(AND(Table13[[#This Row],[Direction]]="L",Table13[[#This Row],[Steps]]&gt;G376,G376&lt;&gt;0),1,0)</f>
        <v>0</v>
      </c>
      <c r="I377">
        <f>IF(AND(Table13[[#This Row],[Direction]]="R",(G376+Table13[[#This Row],[Steps]])&gt;100),1,0)</f>
        <v>0</v>
      </c>
      <c r="J377">
        <f>IF(Table13[[#This Row],[POS]]=0,1,0)</f>
        <v>1</v>
      </c>
      <c r="K377">
        <f>SUM(Table13[[#This Row],[prefix]],Table13[[#This Row],[Past zero L]],Table13[[#This Row],[Past Zero R]],Table13[[#This Row],[Is Zero]])</f>
        <v>1</v>
      </c>
    </row>
    <row r="378" spans="1:11" ht="16" x14ac:dyDescent="0.2">
      <c r="A378" s="1" t="s">
        <v>108</v>
      </c>
      <c r="B378" t="str">
        <f>LEFT(Table13[[#This Row],[Input]],1)</f>
        <v>R</v>
      </c>
      <c r="C378">
        <f>_xlfn.LET(_xlpm.steps,SUBSTITUTE(Table13[[#This Row],[Input]],Table13[[#This Row],[Direction]],""),VALUE(IF(LEN(_xlpm.steps)&gt;2,RIGHT(_xlpm.steps,2),_xlpm.steps)))</f>
        <v>66</v>
      </c>
      <c r="D378">
        <f>_xlfn.LET(_xlpm.steps,SUBSTITUTE(Table13[[#This Row],[Input]],Table13[[#This Row],[Direction]],""),VALUE(IF(LEN(_xlpm.steps)&gt;2,LEFT(_xlpm.steps,LEN(_xlpm.steps)-2),0)))</f>
        <v>0</v>
      </c>
      <c r="E378">
        <f>_xlfn.LET(_xlpm.dir,Table13[[#This Row],[Direction]],
IF(_xlpm.dir="L",
    IF(G377-Table13[[#This Row],[Steps]]&lt;0,100+(G377-Table13[[#This Row],[Steps]]),G377-Table13[[#This Row],[Steps]]),
))</f>
        <v>0</v>
      </c>
      <c r="F378">
        <f>_xlfn.LET(_xlpm.dir,Table13[[#This Row],[Direction]],
IF(_xlpm.dir="R",
    IF(G377+Table13[[#This Row],[Steps]]&gt;99,(G377+Table13[[#This Row],[Steps]])-100,G377+Table13[[#This Row],[Steps]]),
))</f>
        <v>66</v>
      </c>
      <c r="G378">
        <f>IF(Table13[[#This Row],[New Pos L]]&lt;&gt;0,Table13[[#This Row],[New Pos L]],Table13[[#This Row],[New Pos R]])</f>
        <v>66</v>
      </c>
      <c r="H378">
        <f>IF(AND(Table13[[#This Row],[Direction]]="L",Table13[[#This Row],[Steps]]&gt;G377,G377&lt;&gt;0),1,0)</f>
        <v>0</v>
      </c>
      <c r="I378">
        <f>IF(AND(Table13[[#This Row],[Direction]]="R",(G377+Table13[[#This Row],[Steps]])&gt;100),1,0)</f>
        <v>0</v>
      </c>
      <c r="J378">
        <f>IF(Table13[[#This Row],[POS]]=0,1,0)</f>
        <v>0</v>
      </c>
      <c r="K378">
        <f>SUM(Table13[[#This Row],[prefix]],Table13[[#This Row],[Past zero L]],Table13[[#This Row],[Past Zero R]],Table13[[#This Row],[Is Zero]])</f>
        <v>0</v>
      </c>
    </row>
    <row r="379" spans="1:11" ht="16" x14ac:dyDescent="0.2">
      <c r="A379" s="1" t="s">
        <v>47</v>
      </c>
      <c r="B379" t="str">
        <f>LEFT(Table13[[#This Row],[Input]],1)</f>
        <v>R</v>
      </c>
      <c r="C379">
        <f>_xlfn.LET(_xlpm.steps,SUBSTITUTE(Table13[[#This Row],[Input]],Table13[[#This Row],[Direction]],""),VALUE(IF(LEN(_xlpm.steps)&gt;2,RIGHT(_xlpm.steps,2),_xlpm.steps)))</f>
        <v>97</v>
      </c>
      <c r="D379">
        <f>_xlfn.LET(_xlpm.steps,SUBSTITUTE(Table13[[#This Row],[Input]],Table13[[#This Row],[Direction]],""),VALUE(IF(LEN(_xlpm.steps)&gt;2,LEFT(_xlpm.steps,LEN(_xlpm.steps)-2),0)))</f>
        <v>0</v>
      </c>
      <c r="E379">
        <f>_xlfn.LET(_xlpm.dir,Table13[[#This Row],[Direction]],
IF(_xlpm.dir="L",
    IF(G378-Table13[[#This Row],[Steps]]&lt;0,100+(G378-Table13[[#This Row],[Steps]]),G378-Table13[[#This Row],[Steps]]),
))</f>
        <v>0</v>
      </c>
      <c r="F379">
        <f>_xlfn.LET(_xlpm.dir,Table13[[#This Row],[Direction]],
IF(_xlpm.dir="R",
    IF(G378+Table13[[#This Row],[Steps]]&gt;99,(G378+Table13[[#This Row],[Steps]])-100,G378+Table13[[#This Row],[Steps]]),
))</f>
        <v>63</v>
      </c>
      <c r="G379">
        <f>IF(Table13[[#This Row],[New Pos L]]&lt;&gt;0,Table13[[#This Row],[New Pos L]],Table13[[#This Row],[New Pos R]])</f>
        <v>63</v>
      </c>
      <c r="H379">
        <f>IF(AND(Table13[[#This Row],[Direction]]="L",Table13[[#This Row],[Steps]]&gt;G378,G378&lt;&gt;0),1,0)</f>
        <v>0</v>
      </c>
      <c r="I379">
        <f>IF(AND(Table13[[#This Row],[Direction]]="R",(G378+Table13[[#This Row],[Steps]])&gt;100),1,0)</f>
        <v>1</v>
      </c>
      <c r="J379">
        <f>IF(Table13[[#This Row],[POS]]=0,1,0)</f>
        <v>0</v>
      </c>
      <c r="K379">
        <f>SUM(Table13[[#This Row],[prefix]],Table13[[#This Row],[Past zero L]],Table13[[#This Row],[Past Zero R]],Table13[[#This Row],[Is Zero]])</f>
        <v>1</v>
      </c>
    </row>
    <row r="380" spans="1:11" ht="16" x14ac:dyDescent="0.2">
      <c r="A380" s="1" t="s">
        <v>218</v>
      </c>
      <c r="B380" t="str">
        <f>LEFT(Table13[[#This Row],[Input]],1)</f>
        <v>R</v>
      </c>
      <c r="C380">
        <f>_xlfn.LET(_xlpm.steps,SUBSTITUTE(Table13[[#This Row],[Input]],Table13[[#This Row],[Direction]],""),VALUE(IF(LEN(_xlpm.steps)&gt;2,RIGHT(_xlpm.steps,2),_xlpm.steps)))</f>
        <v>35</v>
      </c>
      <c r="D380">
        <f>_xlfn.LET(_xlpm.steps,SUBSTITUTE(Table13[[#This Row],[Input]],Table13[[#This Row],[Direction]],""),VALUE(IF(LEN(_xlpm.steps)&gt;2,LEFT(_xlpm.steps,LEN(_xlpm.steps)-2),0)))</f>
        <v>0</v>
      </c>
      <c r="E380">
        <f>_xlfn.LET(_xlpm.dir,Table13[[#This Row],[Direction]],
IF(_xlpm.dir="L",
    IF(G379-Table13[[#This Row],[Steps]]&lt;0,100+(G379-Table13[[#This Row],[Steps]]),G379-Table13[[#This Row],[Steps]]),
))</f>
        <v>0</v>
      </c>
      <c r="F380">
        <f>_xlfn.LET(_xlpm.dir,Table13[[#This Row],[Direction]],
IF(_xlpm.dir="R",
    IF(G379+Table13[[#This Row],[Steps]]&gt;99,(G379+Table13[[#This Row],[Steps]])-100,G379+Table13[[#This Row],[Steps]]),
))</f>
        <v>98</v>
      </c>
      <c r="G380">
        <f>IF(Table13[[#This Row],[New Pos L]]&lt;&gt;0,Table13[[#This Row],[New Pos L]],Table13[[#This Row],[New Pos R]])</f>
        <v>98</v>
      </c>
      <c r="H380">
        <f>IF(AND(Table13[[#This Row],[Direction]]="L",Table13[[#This Row],[Steps]]&gt;G379,G379&lt;&gt;0),1,0)</f>
        <v>0</v>
      </c>
      <c r="I380">
        <f>IF(AND(Table13[[#This Row],[Direction]]="R",(G379+Table13[[#This Row],[Steps]])&gt;100),1,0)</f>
        <v>0</v>
      </c>
      <c r="J380">
        <f>IF(Table13[[#This Row],[POS]]=0,1,0)</f>
        <v>0</v>
      </c>
      <c r="K380">
        <f>SUM(Table13[[#This Row],[prefix]],Table13[[#This Row],[Past zero L]],Table13[[#This Row],[Past Zero R]],Table13[[#This Row],[Is Zero]])</f>
        <v>0</v>
      </c>
    </row>
    <row r="381" spans="1:11" ht="16" x14ac:dyDescent="0.2">
      <c r="A381" s="1" t="s">
        <v>35</v>
      </c>
      <c r="B381" t="str">
        <f>LEFT(Table13[[#This Row],[Input]],1)</f>
        <v>L</v>
      </c>
      <c r="C381">
        <f>_xlfn.LET(_xlpm.steps,SUBSTITUTE(Table13[[#This Row],[Input]],Table13[[#This Row],[Direction]],""),VALUE(IF(LEN(_xlpm.steps)&gt;2,RIGHT(_xlpm.steps,2),_xlpm.steps)))</f>
        <v>2</v>
      </c>
      <c r="D381">
        <f>_xlfn.LET(_xlpm.steps,SUBSTITUTE(Table13[[#This Row],[Input]],Table13[[#This Row],[Direction]],""),VALUE(IF(LEN(_xlpm.steps)&gt;2,LEFT(_xlpm.steps,LEN(_xlpm.steps)-2),0)))</f>
        <v>0</v>
      </c>
      <c r="E381">
        <f>_xlfn.LET(_xlpm.dir,Table13[[#This Row],[Direction]],
IF(_xlpm.dir="L",
    IF(G380-Table13[[#This Row],[Steps]]&lt;0,100+(G380-Table13[[#This Row],[Steps]]),G380-Table13[[#This Row],[Steps]]),
))</f>
        <v>96</v>
      </c>
      <c r="F381">
        <f>_xlfn.LET(_xlpm.dir,Table13[[#This Row],[Direction]],
IF(_xlpm.dir="R",
    IF(G380+Table13[[#This Row],[Steps]]&gt;99,(G380+Table13[[#This Row],[Steps]])-100,G380+Table13[[#This Row],[Steps]]),
))</f>
        <v>0</v>
      </c>
      <c r="G381">
        <f>IF(Table13[[#This Row],[New Pos L]]&lt;&gt;0,Table13[[#This Row],[New Pos L]],Table13[[#This Row],[New Pos R]])</f>
        <v>96</v>
      </c>
      <c r="H381">
        <f>IF(AND(Table13[[#This Row],[Direction]]="L",Table13[[#This Row],[Steps]]&gt;G380,G380&lt;&gt;0),1,0)</f>
        <v>0</v>
      </c>
      <c r="I381">
        <f>IF(AND(Table13[[#This Row],[Direction]]="R",(G380+Table13[[#This Row],[Steps]])&gt;100),1,0)</f>
        <v>0</v>
      </c>
      <c r="J381">
        <f>IF(Table13[[#This Row],[POS]]=0,1,0)</f>
        <v>0</v>
      </c>
      <c r="K381">
        <f>SUM(Table13[[#This Row],[prefix]],Table13[[#This Row],[Past zero L]],Table13[[#This Row],[Past Zero R]],Table13[[#This Row],[Is Zero]])</f>
        <v>0</v>
      </c>
    </row>
    <row r="382" spans="1:11" ht="16" x14ac:dyDescent="0.2">
      <c r="A382" s="1" t="s">
        <v>26</v>
      </c>
      <c r="B382" t="str">
        <f>LEFT(Table13[[#This Row],[Input]],1)</f>
        <v>R</v>
      </c>
      <c r="C382">
        <f>_xlfn.LET(_xlpm.steps,SUBSTITUTE(Table13[[#This Row],[Input]],Table13[[#This Row],[Direction]],""),VALUE(IF(LEN(_xlpm.steps)&gt;2,RIGHT(_xlpm.steps,2),_xlpm.steps)))</f>
        <v>6</v>
      </c>
      <c r="D382">
        <f>_xlfn.LET(_xlpm.steps,SUBSTITUTE(Table13[[#This Row],[Input]],Table13[[#This Row],[Direction]],""),VALUE(IF(LEN(_xlpm.steps)&gt;2,LEFT(_xlpm.steps,LEN(_xlpm.steps)-2),0)))</f>
        <v>0</v>
      </c>
      <c r="E382">
        <f>_xlfn.LET(_xlpm.dir,Table13[[#This Row],[Direction]],
IF(_xlpm.dir="L",
    IF(G381-Table13[[#This Row],[Steps]]&lt;0,100+(G381-Table13[[#This Row],[Steps]]),G381-Table13[[#This Row],[Steps]]),
))</f>
        <v>0</v>
      </c>
      <c r="F382">
        <f>_xlfn.LET(_xlpm.dir,Table13[[#This Row],[Direction]],
IF(_xlpm.dir="R",
    IF(G381+Table13[[#This Row],[Steps]]&gt;99,(G381+Table13[[#This Row],[Steps]])-100,G381+Table13[[#This Row],[Steps]]),
))</f>
        <v>2</v>
      </c>
      <c r="G382">
        <f>IF(Table13[[#This Row],[New Pos L]]&lt;&gt;0,Table13[[#This Row],[New Pos L]],Table13[[#This Row],[New Pos R]])</f>
        <v>2</v>
      </c>
      <c r="H382">
        <f>IF(AND(Table13[[#This Row],[Direction]]="L",Table13[[#This Row],[Steps]]&gt;G381,G381&lt;&gt;0),1,0)</f>
        <v>0</v>
      </c>
      <c r="I382">
        <f>IF(AND(Table13[[#This Row],[Direction]]="R",(G381+Table13[[#This Row],[Steps]])&gt;100),1,0)</f>
        <v>1</v>
      </c>
      <c r="J382">
        <f>IF(Table13[[#This Row],[POS]]=0,1,0)</f>
        <v>0</v>
      </c>
      <c r="K382">
        <f>SUM(Table13[[#This Row],[prefix]],Table13[[#This Row],[Past zero L]],Table13[[#This Row],[Past Zero R]],Table13[[#This Row],[Is Zero]])</f>
        <v>1</v>
      </c>
    </row>
    <row r="383" spans="1:11" ht="16" x14ac:dyDescent="0.2">
      <c r="A383" s="1" t="s">
        <v>64</v>
      </c>
      <c r="B383" t="str">
        <f>LEFT(Table13[[#This Row],[Input]],1)</f>
        <v>R</v>
      </c>
      <c r="C383">
        <f>_xlfn.LET(_xlpm.steps,SUBSTITUTE(Table13[[#This Row],[Input]],Table13[[#This Row],[Direction]],""),VALUE(IF(LEN(_xlpm.steps)&gt;2,RIGHT(_xlpm.steps,2),_xlpm.steps)))</f>
        <v>10</v>
      </c>
      <c r="D383">
        <f>_xlfn.LET(_xlpm.steps,SUBSTITUTE(Table13[[#This Row],[Input]],Table13[[#This Row],[Direction]],""),VALUE(IF(LEN(_xlpm.steps)&gt;2,LEFT(_xlpm.steps,LEN(_xlpm.steps)-2),0)))</f>
        <v>0</v>
      </c>
      <c r="E383">
        <f>_xlfn.LET(_xlpm.dir,Table13[[#This Row],[Direction]],
IF(_xlpm.dir="L",
    IF(G382-Table13[[#This Row],[Steps]]&lt;0,100+(G382-Table13[[#This Row],[Steps]]),G382-Table13[[#This Row],[Steps]]),
))</f>
        <v>0</v>
      </c>
      <c r="F383">
        <f>_xlfn.LET(_xlpm.dir,Table13[[#This Row],[Direction]],
IF(_xlpm.dir="R",
    IF(G382+Table13[[#This Row],[Steps]]&gt;99,(G382+Table13[[#This Row],[Steps]])-100,G382+Table13[[#This Row],[Steps]]),
))</f>
        <v>12</v>
      </c>
      <c r="G383">
        <f>IF(Table13[[#This Row],[New Pos L]]&lt;&gt;0,Table13[[#This Row],[New Pos L]],Table13[[#This Row],[New Pos R]])</f>
        <v>12</v>
      </c>
      <c r="H383">
        <f>IF(AND(Table13[[#This Row],[Direction]]="L",Table13[[#This Row],[Steps]]&gt;G382,G382&lt;&gt;0),1,0)</f>
        <v>0</v>
      </c>
      <c r="I383">
        <f>IF(AND(Table13[[#This Row],[Direction]]="R",(G382+Table13[[#This Row],[Steps]])&gt;100),1,0)</f>
        <v>0</v>
      </c>
      <c r="J383">
        <f>IF(Table13[[#This Row],[POS]]=0,1,0)</f>
        <v>0</v>
      </c>
      <c r="K383">
        <f>SUM(Table13[[#This Row],[prefix]],Table13[[#This Row],[Past zero L]],Table13[[#This Row],[Past Zero R]],Table13[[#This Row],[Is Zero]])</f>
        <v>0</v>
      </c>
    </row>
    <row r="384" spans="1:11" ht="16" x14ac:dyDescent="0.2">
      <c r="A384" s="1" t="s">
        <v>88</v>
      </c>
      <c r="B384" t="str">
        <f>LEFT(Table13[[#This Row],[Input]],1)</f>
        <v>R</v>
      </c>
      <c r="C384">
        <f>_xlfn.LET(_xlpm.steps,SUBSTITUTE(Table13[[#This Row],[Input]],Table13[[#This Row],[Direction]],""),VALUE(IF(LEN(_xlpm.steps)&gt;2,RIGHT(_xlpm.steps,2),_xlpm.steps)))</f>
        <v>53</v>
      </c>
      <c r="D384">
        <f>_xlfn.LET(_xlpm.steps,SUBSTITUTE(Table13[[#This Row],[Input]],Table13[[#This Row],[Direction]],""),VALUE(IF(LEN(_xlpm.steps)&gt;2,LEFT(_xlpm.steps,LEN(_xlpm.steps)-2),0)))</f>
        <v>0</v>
      </c>
      <c r="E384">
        <f>_xlfn.LET(_xlpm.dir,Table13[[#This Row],[Direction]],
IF(_xlpm.dir="L",
    IF(G383-Table13[[#This Row],[Steps]]&lt;0,100+(G383-Table13[[#This Row],[Steps]]),G383-Table13[[#This Row],[Steps]]),
))</f>
        <v>0</v>
      </c>
      <c r="F384">
        <f>_xlfn.LET(_xlpm.dir,Table13[[#This Row],[Direction]],
IF(_xlpm.dir="R",
    IF(G383+Table13[[#This Row],[Steps]]&gt;99,(G383+Table13[[#This Row],[Steps]])-100,G383+Table13[[#This Row],[Steps]]),
))</f>
        <v>65</v>
      </c>
      <c r="G384">
        <f>IF(Table13[[#This Row],[New Pos L]]&lt;&gt;0,Table13[[#This Row],[New Pos L]],Table13[[#This Row],[New Pos R]])</f>
        <v>65</v>
      </c>
      <c r="H384">
        <f>IF(AND(Table13[[#This Row],[Direction]]="L",Table13[[#This Row],[Steps]]&gt;G383,G383&lt;&gt;0),1,0)</f>
        <v>0</v>
      </c>
      <c r="I384">
        <f>IF(AND(Table13[[#This Row],[Direction]]="R",(G383+Table13[[#This Row],[Steps]])&gt;100),1,0)</f>
        <v>0</v>
      </c>
      <c r="J384">
        <f>IF(Table13[[#This Row],[POS]]=0,1,0)</f>
        <v>0</v>
      </c>
      <c r="K384">
        <f>SUM(Table13[[#This Row],[prefix]],Table13[[#This Row],[Past zero L]],Table13[[#This Row],[Past Zero R]],Table13[[#This Row],[Is Zero]])</f>
        <v>0</v>
      </c>
    </row>
    <row r="385" spans="1:11" ht="16" x14ac:dyDescent="0.2">
      <c r="A385" s="1" t="s">
        <v>120</v>
      </c>
      <c r="B385" t="str">
        <f>LEFT(Table13[[#This Row],[Input]],1)</f>
        <v>L</v>
      </c>
      <c r="C385">
        <f>_xlfn.LET(_xlpm.steps,SUBSTITUTE(Table13[[#This Row],[Input]],Table13[[#This Row],[Direction]],""),VALUE(IF(LEN(_xlpm.steps)&gt;2,RIGHT(_xlpm.steps,2),_xlpm.steps)))</f>
        <v>23</v>
      </c>
      <c r="D385">
        <f>_xlfn.LET(_xlpm.steps,SUBSTITUTE(Table13[[#This Row],[Input]],Table13[[#This Row],[Direction]],""),VALUE(IF(LEN(_xlpm.steps)&gt;2,LEFT(_xlpm.steps,LEN(_xlpm.steps)-2),0)))</f>
        <v>0</v>
      </c>
      <c r="E385">
        <f>_xlfn.LET(_xlpm.dir,Table13[[#This Row],[Direction]],
IF(_xlpm.dir="L",
    IF(G384-Table13[[#This Row],[Steps]]&lt;0,100+(G384-Table13[[#This Row],[Steps]]),G384-Table13[[#This Row],[Steps]]),
))</f>
        <v>42</v>
      </c>
      <c r="F385">
        <f>_xlfn.LET(_xlpm.dir,Table13[[#This Row],[Direction]],
IF(_xlpm.dir="R",
    IF(G384+Table13[[#This Row],[Steps]]&gt;99,(G384+Table13[[#This Row],[Steps]])-100,G384+Table13[[#This Row],[Steps]]),
))</f>
        <v>0</v>
      </c>
      <c r="G385">
        <f>IF(Table13[[#This Row],[New Pos L]]&lt;&gt;0,Table13[[#This Row],[New Pos L]],Table13[[#This Row],[New Pos R]])</f>
        <v>42</v>
      </c>
      <c r="H385">
        <f>IF(AND(Table13[[#This Row],[Direction]]="L",Table13[[#This Row],[Steps]]&gt;G384,G384&lt;&gt;0),1,0)</f>
        <v>0</v>
      </c>
      <c r="I385">
        <f>IF(AND(Table13[[#This Row],[Direction]]="R",(G384+Table13[[#This Row],[Steps]])&gt;100),1,0)</f>
        <v>0</v>
      </c>
      <c r="J385">
        <f>IF(Table13[[#This Row],[POS]]=0,1,0)</f>
        <v>0</v>
      </c>
      <c r="K385">
        <f>SUM(Table13[[#This Row],[prefix]],Table13[[#This Row],[Past zero L]],Table13[[#This Row],[Past Zero R]],Table13[[#This Row],[Is Zero]])</f>
        <v>0</v>
      </c>
    </row>
    <row r="386" spans="1:11" ht="16" x14ac:dyDescent="0.2">
      <c r="A386" s="1" t="s">
        <v>13</v>
      </c>
      <c r="B386" t="str">
        <f>LEFT(Table13[[#This Row],[Input]],1)</f>
        <v>R</v>
      </c>
      <c r="C386">
        <f>_xlfn.LET(_xlpm.steps,SUBSTITUTE(Table13[[#This Row],[Input]],Table13[[#This Row],[Direction]],""),VALUE(IF(LEN(_xlpm.steps)&gt;2,RIGHT(_xlpm.steps,2),_xlpm.steps)))</f>
        <v>12</v>
      </c>
      <c r="D386">
        <f>_xlfn.LET(_xlpm.steps,SUBSTITUTE(Table13[[#This Row],[Input]],Table13[[#This Row],[Direction]],""),VALUE(IF(LEN(_xlpm.steps)&gt;2,LEFT(_xlpm.steps,LEN(_xlpm.steps)-2),0)))</f>
        <v>0</v>
      </c>
      <c r="E386">
        <f>_xlfn.LET(_xlpm.dir,Table13[[#This Row],[Direction]],
IF(_xlpm.dir="L",
    IF(G385-Table13[[#This Row],[Steps]]&lt;0,100+(G385-Table13[[#This Row],[Steps]]),G385-Table13[[#This Row],[Steps]]),
))</f>
        <v>0</v>
      </c>
      <c r="F386">
        <f>_xlfn.LET(_xlpm.dir,Table13[[#This Row],[Direction]],
IF(_xlpm.dir="R",
    IF(G385+Table13[[#This Row],[Steps]]&gt;99,(G385+Table13[[#This Row],[Steps]])-100,G385+Table13[[#This Row],[Steps]]),
))</f>
        <v>54</v>
      </c>
      <c r="G386">
        <f>IF(Table13[[#This Row],[New Pos L]]&lt;&gt;0,Table13[[#This Row],[New Pos L]],Table13[[#This Row],[New Pos R]])</f>
        <v>54</v>
      </c>
      <c r="H386">
        <f>IF(AND(Table13[[#This Row],[Direction]]="L",Table13[[#This Row],[Steps]]&gt;G385,G385&lt;&gt;0),1,0)</f>
        <v>0</v>
      </c>
      <c r="I386">
        <f>IF(AND(Table13[[#This Row],[Direction]]="R",(G385+Table13[[#This Row],[Steps]])&gt;100),1,0)</f>
        <v>0</v>
      </c>
      <c r="J386">
        <f>IF(Table13[[#This Row],[POS]]=0,1,0)</f>
        <v>0</v>
      </c>
      <c r="K386">
        <f>SUM(Table13[[#This Row],[prefix]],Table13[[#This Row],[Past zero L]],Table13[[#This Row],[Past Zero R]],Table13[[#This Row],[Is Zero]])</f>
        <v>0</v>
      </c>
    </row>
    <row r="387" spans="1:11" ht="16" x14ac:dyDescent="0.2">
      <c r="A387" s="1" t="s">
        <v>219</v>
      </c>
      <c r="B387" t="str">
        <f>LEFT(Table13[[#This Row],[Input]],1)</f>
        <v>L</v>
      </c>
      <c r="C387">
        <f>_xlfn.LET(_xlpm.steps,SUBSTITUTE(Table13[[#This Row],[Input]],Table13[[#This Row],[Direction]],""),VALUE(IF(LEN(_xlpm.steps)&gt;2,RIGHT(_xlpm.steps,2),_xlpm.steps)))</f>
        <v>64</v>
      </c>
      <c r="D387">
        <f>_xlfn.LET(_xlpm.steps,SUBSTITUTE(Table13[[#This Row],[Input]],Table13[[#This Row],[Direction]],""),VALUE(IF(LEN(_xlpm.steps)&gt;2,LEFT(_xlpm.steps,LEN(_xlpm.steps)-2),0)))</f>
        <v>0</v>
      </c>
      <c r="E387">
        <f>_xlfn.LET(_xlpm.dir,Table13[[#This Row],[Direction]],
IF(_xlpm.dir="L",
    IF(G386-Table13[[#This Row],[Steps]]&lt;0,100+(G386-Table13[[#This Row],[Steps]]),G386-Table13[[#This Row],[Steps]]),
))</f>
        <v>90</v>
      </c>
      <c r="F387">
        <f>_xlfn.LET(_xlpm.dir,Table13[[#This Row],[Direction]],
IF(_xlpm.dir="R",
    IF(G386+Table13[[#This Row],[Steps]]&gt;99,(G386+Table13[[#This Row],[Steps]])-100,G386+Table13[[#This Row],[Steps]]),
))</f>
        <v>0</v>
      </c>
      <c r="G387">
        <f>IF(Table13[[#This Row],[New Pos L]]&lt;&gt;0,Table13[[#This Row],[New Pos L]],Table13[[#This Row],[New Pos R]])</f>
        <v>90</v>
      </c>
      <c r="H387">
        <f>IF(AND(Table13[[#This Row],[Direction]]="L",Table13[[#This Row],[Steps]]&gt;G386,G386&lt;&gt;0),1,0)</f>
        <v>1</v>
      </c>
      <c r="I387">
        <f>IF(AND(Table13[[#This Row],[Direction]]="R",(G386+Table13[[#This Row],[Steps]])&gt;100),1,0)</f>
        <v>0</v>
      </c>
      <c r="J387">
        <f>IF(Table13[[#This Row],[POS]]=0,1,0)</f>
        <v>0</v>
      </c>
      <c r="K387">
        <f>SUM(Table13[[#This Row],[prefix]],Table13[[#This Row],[Past zero L]],Table13[[#This Row],[Past Zero R]],Table13[[#This Row],[Is Zero]])</f>
        <v>1</v>
      </c>
    </row>
    <row r="388" spans="1:11" ht="16" x14ac:dyDescent="0.2">
      <c r="A388" s="1" t="s">
        <v>220</v>
      </c>
      <c r="B388" t="str">
        <f>LEFT(Table13[[#This Row],[Input]],1)</f>
        <v>L</v>
      </c>
      <c r="C388">
        <f>_xlfn.LET(_xlpm.steps,SUBSTITUTE(Table13[[#This Row],[Input]],Table13[[#This Row],[Direction]],""),VALUE(IF(LEN(_xlpm.steps)&gt;2,RIGHT(_xlpm.steps,2),_xlpm.steps)))</f>
        <v>90</v>
      </c>
      <c r="D388">
        <f>_xlfn.LET(_xlpm.steps,SUBSTITUTE(Table13[[#This Row],[Input]],Table13[[#This Row],[Direction]],""),VALUE(IF(LEN(_xlpm.steps)&gt;2,LEFT(_xlpm.steps,LEN(_xlpm.steps)-2),0)))</f>
        <v>2</v>
      </c>
      <c r="E388">
        <f>_xlfn.LET(_xlpm.dir,Table13[[#This Row],[Direction]],
IF(_xlpm.dir="L",
    IF(G387-Table13[[#This Row],[Steps]]&lt;0,100+(G387-Table13[[#This Row],[Steps]]),G387-Table13[[#This Row],[Steps]]),
))</f>
        <v>0</v>
      </c>
      <c r="F388">
        <f>_xlfn.LET(_xlpm.dir,Table13[[#This Row],[Direction]],
IF(_xlpm.dir="R",
    IF(G387+Table13[[#This Row],[Steps]]&gt;99,(G387+Table13[[#This Row],[Steps]])-100,G387+Table13[[#This Row],[Steps]]),
))</f>
        <v>0</v>
      </c>
      <c r="G388">
        <f>IF(Table13[[#This Row],[New Pos L]]&lt;&gt;0,Table13[[#This Row],[New Pos L]],Table13[[#This Row],[New Pos R]])</f>
        <v>0</v>
      </c>
      <c r="H388">
        <f>IF(AND(Table13[[#This Row],[Direction]]="L",Table13[[#This Row],[Steps]]&gt;G387,G387&lt;&gt;0),1,0)</f>
        <v>0</v>
      </c>
      <c r="I388">
        <f>IF(AND(Table13[[#This Row],[Direction]]="R",(G387+Table13[[#This Row],[Steps]])&gt;100),1,0)</f>
        <v>0</v>
      </c>
      <c r="J388">
        <f>IF(Table13[[#This Row],[POS]]=0,1,0)</f>
        <v>1</v>
      </c>
      <c r="K388">
        <f>SUM(Table13[[#This Row],[prefix]],Table13[[#This Row],[Past zero L]],Table13[[#This Row],[Past Zero R]],Table13[[#This Row],[Is Zero]])</f>
        <v>3</v>
      </c>
    </row>
    <row r="389" spans="1:11" ht="16" x14ac:dyDescent="0.2">
      <c r="A389" s="1" t="s">
        <v>164</v>
      </c>
      <c r="B389" t="str">
        <f>LEFT(Table13[[#This Row],[Input]],1)</f>
        <v>R</v>
      </c>
      <c r="C389">
        <f>_xlfn.LET(_xlpm.steps,SUBSTITUTE(Table13[[#This Row],[Input]],Table13[[#This Row],[Direction]],""),VALUE(IF(LEN(_xlpm.steps)&gt;2,RIGHT(_xlpm.steps,2),_xlpm.steps)))</f>
        <v>85</v>
      </c>
      <c r="D389">
        <f>_xlfn.LET(_xlpm.steps,SUBSTITUTE(Table13[[#This Row],[Input]],Table13[[#This Row],[Direction]],""),VALUE(IF(LEN(_xlpm.steps)&gt;2,LEFT(_xlpm.steps,LEN(_xlpm.steps)-2),0)))</f>
        <v>0</v>
      </c>
      <c r="E389">
        <f>_xlfn.LET(_xlpm.dir,Table13[[#This Row],[Direction]],
IF(_xlpm.dir="L",
    IF(G388-Table13[[#This Row],[Steps]]&lt;0,100+(G388-Table13[[#This Row],[Steps]]),G388-Table13[[#This Row],[Steps]]),
))</f>
        <v>0</v>
      </c>
      <c r="F389">
        <f>_xlfn.LET(_xlpm.dir,Table13[[#This Row],[Direction]],
IF(_xlpm.dir="R",
    IF(G388+Table13[[#This Row],[Steps]]&gt;99,(G388+Table13[[#This Row],[Steps]])-100,G388+Table13[[#This Row],[Steps]]),
))</f>
        <v>85</v>
      </c>
      <c r="G389">
        <f>IF(Table13[[#This Row],[New Pos L]]&lt;&gt;0,Table13[[#This Row],[New Pos L]],Table13[[#This Row],[New Pos R]])</f>
        <v>85</v>
      </c>
      <c r="H389">
        <f>IF(AND(Table13[[#This Row],[Direction]]="L",Table13[[#This Row],[Steps]]&gt;G388,G388&lt;&gt;0),1,0)</f>
        <v>0</v>
      </c>
      <c r="I389">
        <f>IF(AND(Table13[[#This Row],[Direction]]="R",(G388+Table13[[#This Row],[Steps]])&gt;100),1,0)</f>
        <v>0</v>
      </c>
      <c r="J389">
        <f>IF(Table13[[#This Row],[POS]]=0,1,0)</f>
        <v>0</v>
      </c>
      <c r="K389">
        <f>SUM(Table13[[#This Row],[prefix]],Table13[[#This Row],[Past zero L]],Table13[[#This Row],[Past Zero R]],Table13[[#This Row],[Is Zero]])</f>
        <v>0</v>
      </c>
    </row>
    <row r="390" spans="1:11" ht="16" x14ac:dyDescent="0.2">
      <c r="A390" s="1" t="s">
        <v>221</v>
      </c>
      <c r="B390" t="str">
        <f>LEFT(Table13[[#This Row],[Input]],1)</f>
        <v>R</v>
      </c>
      <c r="C390">
        <f>_xlfn.LET(_xlpm.steps,SUBSTITUTE(Table13[[#This Row],[Input]],Table13[[#This Row],[Direction]],""),VALUE(IF(LEN(_xlpm.steps)&gt;2,RIGHT(_xlpm.steps,2),_xlpm.steps)))</f>
        <v>15</v>
      </c>
      <c r="D390">
        <f>_xlfn.LET(_xlpm.steps,SUBSTITUTE(Table13[[#This Row],[Input]],Table13[[#This Row],[Direction]],""),VALUE(IF(LEN(_xlpm.steps)&gt;2,LEFT(_xlpm.steps,LEN(_xlpm.steps)-2),0)))</f>
        <v>8</v>
      </c>
      <c r="E390">
        <f>_xlfn.LET(_xlpm.dir,Table13[[#This Row],[Direction]],
IF(_xlpm.dir="L",
    IF(G389-Table13[[#This Row],[Steps]]&lt;0,100+(G389-Table13[[#This Row],[Steps]]),G389-Table13[[#This Row],[Steps]]),
))</f>
        <v>0</v>
      </c>
      <c r="F390">
        <f>_xlfn.LET(_xlpm.dir,Table13[[#This Row],[Direction]],
IF(_xlpm.dir="R",
    IF(G389+Table13[[#This Row],[Steps]]&gt;99,(G389+Table13[[#This Row],[Steps]])-100,G389+Table13[[#This Row],[Steps]]),
))</f>
        <v>0</v>
      </c>
      <c r="G390">
        <f>IF(Table13[[#This Row],[New Pos L]]&lt;&gt;0,Table13[[#This Row],[New Pos L]],Table13[[#This Row],[New Pos R]])</f>
        <v>0</v>
      </c>
      <c r="H390">
        <f>IF(AND(Table13[[#This Row],[Direction]]="L",Table13[[#This Row],[Steps]]&gt;G389,G389&lt;&gt;0),1,0)</f>
        <v>0</v>
      </c>
      <c r="I390">
        <f>IF(AND(Table13[[#This Row],[Direction]]="R",(G389+Table13[[#This Row],[Steps]])&gt;100),1,0)</f>
        <v>0</v>
      </c>
      <c r="J390">
        <f>IF(Table13[[#This Row],[POS]]=0,1,0)</f>
        <v>1</v>
      </c>
      <c r="K390">
        <f>SUM(Table13[[#This Row],[prefix]],Table13[[#This Row],[Past zero L]],Table13[[#This Row],[Past Zero R]],Table13[[#This Row],[Is Zero]])</f>
        <v>9</v>
      </c>
    </row>
    <row r="391" spans="1:11" ht="16" x14ac:dyDescent="0.2">
      <c r="A391" s="1" t="s">
        <v>222</v>
      </c>
      <c r="B391" t="str">
        <f>LEFT(Table13[[#This Row],[Input]],1)</f>
        <v>R</v>
      </c>
      <c r="C391">
        <f>_xlfn.LET(_xlpm.steps,SUBSTITUTE(Table13[[#This Row],[Input]],Table13[[#This Row],[Direction]],""),VALUE(IF(LEN(_xlpm.steps)&gt;2,RIGHT(_xlpm.steps,2),_xlpm.steps)))</f>
        <v>1</v>
      </c>
      <c r="D391">
        <f>_xlfn.LET(_xlpm.steps,SUBSTITUTE(Table13[[#This Row],[Input]],Table13[[#This Row],[Direction]],""),VALUE(IF(LEN(_xlpm.steps)&gt;2,LEFT(_xlpm.steps,LEN(_xlpm.steps)-2),0)))</f>
        <v>4</v>
      </c>
      <c r="E391">
        <f>_xlfn.LET(_xlpm.dir,Table13[[#This Row],[Direction]],
IF(_xlpm.dir="L",
    IF(G390-Table13[[#This Row],[Steps]]&lt;0,100+(G390-Table13[[#This Row],[Steps]]),G390-Table13[[#This Row],[Steps]]),
))</f>
        <v>0</v>
      </c>
      <c r="F391">
        <f>_xlfn.LET(_xlpm.dir,Table13[[#This Row],[Direction]],
IF(_xlpm.dir="R",
    IF(G390+Table13[[#This Row],[Steps]]&gt;99,(G390+Table13[[#This Row],[Steps]])-100,G390+Table13[[#This Row],[Steps]]),
))</f>
        <v>1</v>
      </c>
      <c r="G391">
        <f>IF(Table13[[#This Row],[New Pos L]]&lt;&gt;0,Table13[[#This Row],[New Pos L]],Table13[[#This Row],[New Pos R]])</f>
        <v>1</v>
      </c>
      <c r="H391">
        <f>IF(AND(Table13[[#This Row],[Direction]]="L",Table13[[#This Row],[Steps]]&gt;G390,G390&lt;&gt;0),1,0)</f>
        <v>0</v>
      </c>
      <c r="I391">
        <f>IF(AND(Table13[[#This Row],[Direction]]="R",(G390+Table13[[#This Row],[Steps]])&gt;100),1,0)</f>
        <v>0</v>
      </c>
      <c r="J391">
        <f>IF(Table13[[#This Row],[POS]]=0,1,0)</f>
        <v>0</v>
      </c>
      <c r="K391">
        <f>SUM(Table13[[#This Row],[prefix]],Table13[[#This Row],[Past zero L]],Table13[[#This Row],[Past Zero R]],Table13[[#This Row],[Is Zero]])</f>
        <v>4</v>
      </c>
    </row>
    <row r="392" spans="1:11" ht="16" x14ac:dyDescent="0.2">
      <c r="A392" s="1" t="s">
        <v>131</v>
      </c>
      <c r="B392" t="str">
        <f>LEFT(Table13[[#This Row],[Input]],1)</f>
        <v>R</v>
      </c>
      <c r="C392">
        <f>_xlfn.LET(_xlpm.steps,SUBSTITUTE(Table13[[#This Row],[Input]],Table13[[#This Row],[Direction]],""),VALUE(IF(LEN(_xlpm.steps)&gt;2,RIGHT(_xlpm.steps,2),_xlpm.steps)))</f>
        <v>99</v>
      </c>
      <c r="D392">
        <f>_xlfn.LET(_xlpm.steps,SUBSTITUTE(Table13[[#This Row],[Input]],Table13[[#This Row],[Direction]],""),VALUE(IF(LEN(_xlpm.steps)&gt;2,LEFT(_xlpm.steps,LEN(_xlpm.steps)-2),0)))</f>
        <v>0</v>
      </c>
      <c r="E392">
        <f>_xlfn.LET(_xlpm.dir,Table13[[#This Row],[Direction]],
IF(_xlpm.dir="L",
    IF(G391-Table13[[#This Row],[Steps]]&lt;0,100+(G391-Table13[[#This Row],[Steps]]),G391-Table13[[#This Row],[Steps]]),
))</f>
        <v>0</v>
      </c>
      <c r="F392">
        <f>_xlfn.LET(_xlpm.dir,Table13[[#This Row],[Direction]],
IF(_xlpm.dir="R",
    IF(G391+Table13[[#This Row],[Steps]]&gt;99,(G391+Table13[[#This Row],[Steps]])-100,G391+Table13[[#This Row],[Steps]]),
))</f>
        <v>0</v>
      </c>
      <c r="G392">
        <f>IF(Table13[[#This Row],[New Pos L]]&lt;&gt;0,Table13[[#This Row],[New Pos L]],Table13[[#This Row],[New Pos R]])</f>
        <v>0</v>
      </c>
      <c r="H392">
        <f>IF(AND(Table13[[#This Row],[Direction]]="L",Table13[[#This Row],[Steps]]&gt;G391,G391&lt;&gt;0),1,0)</f>
        <v>0</v>
      </c>
      <c r="I392">
        <f>IF(AND(Table13[[#This Row],[Direction]]="R",(G391+Table13[[#This Row],[Steps]])&gt;100),1,0)</f>
        <v>0</v>
      </c>
      <c r="J392">
        <f>IF(Table13[[#This Row],[POS]]=0,1,0)</f>
        <v>1</v>
      </c>
      <c r="K392">
        <f>SUM(Table13[[#This Row],[prefix]],Table13[[#This Row],[Past zero L]],Table13[[#This Row],[Past Zero R]],Table13[[#This Row],[Is Zero]])</f>
        <v>1</v>
      </c>
    </row>
    <row r="393" spans="1:11" ht="16" x14ac:dyDescent="0.2">
      <c r="A393" s="1" t="s">
        <v>114</v>
      </c>
      <c r="B393" t="str">
        <f>LEFT(Table13[[#This Row],[Input]],1)</f>
        <v>R</v>
      </c>
      <c r="C393">
        <f>_xlfn.LET(_xlpm.steps,SUBSTITUTE(Table13[[#This Row],[Input]],Table13[[#This Row],[Direction]],""),VALUE(IF(LEN(_xlpm.steps)&gt;2,RIGHT(_xlpm.steps,2),_xlpm.steps)))</f>
        <v>70</v>
      </c>
      <c r="D393">
        <f>_xlfn.LET(_xlpm.steps,SUBSTITUTE(Table13[[#This Row],[Input]],Table13[[#This Row],[Direction]],""),VALUE(IF(LEN(_xlpm.steps)&gt;2,LEFT(_xlpm.steps,LEN(_xlpm.steps)-2),0)))</f>
        <v>0</v>
      </c>
      <c r="E393">
        <f>_xlfn.LET(_xlpm.dir,Table13[[#This Row],[Direction]],
IF(_xlpm.dir="L",
    IF(G392-Table13[[#This Row],[Steps]]&lt;0,100+(G392-Table13[[#This Row],[Steps]]),G392-Table13[[#This Row],[Steps]]),
))</f>
        <v>0</v>
      </c>
      <c r="F393">
        <f>_xlfn.LET(_xlpm.dir,Table13[[#This Row],[Direction]],
IF(_xlpm.dir="R",
    IF(G392+Table13[[#This Row],[Steps]]&gt;99,(G392+Table13[[#This Row],[Steps]])-100,G392+Table13[[#This Row],[Steps]]),
))</f>
        <v>70</v>
      </c>
      <c r="G393">
        <f>IF(Table13[[#This Row],[New Pos L]]&lt;&gt;0,Table13[[#This Row],[New Pos L]],Table13[[#This Row],[New Pos R]])</f>
        <v>70</v>
      </c>
      <c r="H393">
        <f>IF(AND(Table13[[#This Row],[Direction]]="L",Table13[[#This Row],[Steps]]&gt;G392,G392&lt;&gt;0),1,0)</f>
        <v>0</v>
      </c>
      <c r="I393">
        <f>IF(AND(Table13[[#This Row],[Direction]]="R",(G392+Table13[[#This Row],[Steps]])&gt;100),1,0)</f>
        <v>0</v>
      </c>
      <c r="J393">
        <f>IF(Table13[[#This Row],[POS]]=0,1,0)</f>
        <v>0</v>
      </c>
      <c r="K393">
        <f>SUM(Table13[[#This Row],[prefix]],Table13[[#This Row],[Past zero L]],Table13[[#This Row],[Past Zero R]],Table13[[#This Row],[Is Zero]])</f>
        <v>0</v>
      </c>
    </row>
    <row r="394" spans="1:11" ht="16" x14ac:dyDescent="0.2">
      <c r="A394" s="1" t="s">
        <v>28</v>
      </c>
      <c r="B394" t="str">
        <f>LEFT(Table13[[#This Row],[Input]],1)</f>
        <v>R</v>
      </c>
      <c r="C394">
        <f>_xlfn.LET(_xlpm.steps,SUBSTITUTE(Table13[[#This Row],[Input]],Table13[[#This Row],[Direction]],""),VALUE(IF(LEN(_xlpm.steps)&gt;2,RIGHT(_xlpm.steps,2),_xlpm.steps)))</f>
        <v>30</v>
      </c>
      <c r="D394">
        <f>_xlfn.LET(_xlpm.steps,SUBSTITUTE(Table13[[#This Row],[Input]],Table13[[#This Row],[Direction]],""),VALUE(IF(LEN(_xlpm.steps)&gt;2,LEFT(_xlpm.steps,LEN(_xlpm.steps)-2),0)))</f>
        <v>0</v>
      </c>
      <c r="E394">
        <f>_xlfn.LET(_xlpm.dir,Table13[[#This Row],[Direction]],
IF(_xlpm.dir="L",
    IF(G393-Table13[[#This Row],[Steps]]&lt;0,100+(G393-Table13[[#This Row],[Steps]]),G393-Table13[[#This Row],[Steps]]),
))</f>
        <v>0</v>
      </c>
      <c r="F394">
        <f>_xlfn.LET(_xlpm.dir,Table13[[#This Row],[Direction]],
IF(_xlpm.dir="R",
    IF(G393+Table13[[#This Row],[Steps]]&gt;99,(G393+Table13[[#This Row],[Steps]])-100,G393+Table13[[#This Row],[Steps]]),
))</f>
        <v>0</v>
      </c>
      <c r="G394">
        <f>IF(Table13[[#This Row],[New Pos L]]&lt;&gt;0,Table13[[#This Row],[New Pos L]],Table13[[#This Row],[New Pos R]])</f>
        <v>0</v>
      </c>
      <c r="H394">
        <f>IF(AND(Table13[[#This Row],[Direction]]="L",Table13[[#This Row],[Steps]]&gt;G393,G393&lt;&gt;0),1,0)</f>
        <v>0</v>
      </c>
      <c r="I394">
        <f>IF(AND(Table13[[#This Row],[Direction]]="R",(G393+Table13[[#This Row],[Steps]])&gt;100),1,0)</f>
        <v>0</v>
      </c>
      <c r="J394">
        <f>IF(Table13[[#This Row],[POS]]=0,1,0)</f>
        <v>1</v>
      </c>
      <c r="K394">
        <f>SUM(Table13[[#This Row],[prefix]],Table13[[#This Row],[Past zero L]],Table13[[#This Row],[Past Zero R]],Table13[[#This Row],[Is Zero]])</f>
        <v>1</v>
      </c>
    </row>
    <row r="395" spans="1:11" ht="16" x14ac:dyDescent="0.2">
      <c r="A395" s="1" t="s">
        <v>4</v>
      </c>
      <c r="B395" t="str">
        <f>LEFT(Table13[[#This Row],[Input]],1)</f>
        <v>R</v>
      </c>
      <c r="C395">
        <f>_xlfn.LET(_xlpm.steps,SUBSTITUTE(Table13[[#This Row],[Input]],Table13[[#This Row],[Direction]],""),VALUE(IF(LEN(_xlpm.steps)&gt;2,RIGHT(_xlpm.steps,2),_xlpm.steps)))</f>
        <v>3</v>
      </c>
      <c r="D395">
        <f>_xlfn.LET(_xlpm.steps,SUBSTITUTE(Table13[[#This Row],[Input]],Table13[[#This Row],[Direction]],""),VALUE(IF(LEN(_xlpm.steps)&gt;2,LEFT(_xlpm.steps,LEN(_xlpm.steps)-2),0)))</f>
        <v>0</v>
      </c>
      <c r="E395">
        <f>_xlfn.LET(_xlpm.dir,Table13[[#This Row],[Direction]],
IF(_xlpm.dir="L",
    IF(G394-Table13[[#This Row],[Steps]]&lt;0,100+(G394-Table13[[#This Row],[Steps]]),G394-Table13[[#This Row],[Steps]]),
))</f>
        <v>0</v>
      </c>
      <c r="F395">
        <f>_xlfn.LET(_xlpm.dir,Table13[[#This Row],[Direction]],
IF(_xlpm.dir="R",
    IF(G394+Table13[[#This Row],[Steps]]&gt;99,(G394+Table13[[#This Row],[Steps]])-100,G394+Table13[[#This Row],[Steps]]),
))</f>
        <v>3</v>
      </c>
      <c r="G395">
        <f>IF(Table13[[#This Row],[New Pos L]]&lt;&gt;0,Table13[[#This Row],[New Pos L]],Table13[[#This Row],[New Pos R]])</f>
        <v>3</v>
      </c>
      <c r="H395">
        <f>IF(AND(Table13[[#This Row],[Direction]]="L",Table13[[#This Row],[Steps]]&gt;G394,G394&lt;&gt;0),1,0)</f>
        <v>0</v>
      </c>
      <c r="I395">
        <f>IF(AND(Table13[[#This Row],[Direction]]="R",(G394+Table13[[#This Row],[Steps]])&gt;100),1,0)</f>
        <v>0</v>
      </c>
      <c r="J395">
        <f>IF(Table13[[#This Row],[POS]]=0,1,0)</f>
        <v>0</v>
      </c>
      <c r="K395">
        <f>SUM(Table13[[#This Row],[prefix]],Table13[[#This Row],[Past zero L]],Table13[[#This Row],[Past Zero R]],Table13[[#This Row],[Is Zero]])</f>
        <v>0</v>
      </c>
    </row>
    <row r="396" spans="1:11" ht="16" x14ac:dyDescent="0.2">
      <c r="A396" s="1" t="s">
        <v>100</v>
      </c>
      <c r="B396" t="str">
        <f>LEFT(Table13[[#This Row],[Input]],1)</f>
        <v>R</v>
      </c>
      <c r="C396">
        <f>_xlfn.LET(_xlpm.steps,SUBSTITUTE(Table13[[#This Row],[Input]],Table13[[#This Row],[Direction]],""),VALUE(IF(LEN(_xlpm.steps)&gt;2,RIGHT(_xlpm.steps,2),_xlpm.steps)))</f>
        <v>58</v>
      </c>
      <c r="D396">
        <f>_xlfn.LET(_xlpm.steps,SUBSTITUTE(Table13[[#This Row],[Input]],Table13[[#This Row],[Direction]],""),VALUE(IF(LEN(_xlpm.steps)&gt;2,LEFT(_xlpm.steps,LEN(_xlpm.steps)-2),0)))</f>
        <v>0</v>
      </c>
      <c r="E396">
        <f>_xlfn.LET(_xlpm.dir,Table13[[#This Row],[Direction]],
IF(_xlpm.dir="L",
    IF(G395-Table13[[#This Row],[Steps]]&lt;0,100+(G395-Table13[[#This Row],[Steps]]),G395-Table13[[#This Row],[Steps]]),
))</f>
        <v>0</v>
      </c>
      <c r="F396">
        <f>_xlfn.LET(_xlpm.dir,Table13[[#This Row],[Direction]],
IF(_xlpm.dir="R",
    IF(G395+Table13[[#This Row],[Steps]]&gt;99,(G395+Table13[[#This Row],[Steps]])-100,G395+Table13[[#This Row],[Steps]]),
))</f>
        <v>61</v>
      </c>
      <c r="G396">
        <f>IF(Table13[[#This Row],[New Pos L]]&lt;&gt;0,Table13[[#This Row],[New Pos L]],Table13[[#This Row],[New Pos R]])</f>
        <v>61</v>
      </c>
      <c r="H396">
        <f>IF(AND(Table13[[#This Row],[Direction]]="L",Table13[[#This Row],[Steps]]&gt;G395,G395&lt;&gt;0),1,0)</f>
        <v>0</v>
      </c>
      <c r="I396">
        <f>IF(AND(Table13[[#This Row],[Direction]]="R",(G395+Table13[[#This Row],[Steps]])&gt;100),1,0)</f>
        <v>0</v>
      </c>
      <c r="J396">
        <f>IF(Table13[[#This Row],[POS]]=0,1,0)</f>
        <v>0</v>
      </c>
      <c r="K396">
        <f>SUM(Table13[[#This Row],[prefix]],Table13[[#This Row],[Past zero L]],Table13[[#This Row],[Past Zero R]],Table13[[#This Row],[Is Zero]])</f>
        <v>0</v>
      </c>
    </row>
    <row r="397" spans="1:11" ht="16" x14ac:dyDescent="0.2">
      <c r="A397" s="1" t="s">
        <v>17</v>
      </c>
      <c r="B397" t="str">
        <f>LEFT(Table13[[#This Row],[Input]],1)</f>
        <v>L</v>
      </c>
      <c r="C397">
        <f>_xlfn.LET(_xlpm.steps,SUBSTITUTE(Table13[[#This Row],[Input]],Table13[[#This Row],[Direction]],""),VALUE(IF(LEN(_xlpm.steps)&gt;2,RIGHT(_xlpm.steps,2),_xlpm.steps)))</f>
        <v>50</v>
      </c>
      <c r="D397">
        <f>_xlfn.LET(_xlpm.steps,SUBSTITUTE(Table13[[#This Row],[Input]],Table13[[#This Row],[Direction]],""),VALUE(IF(LEN(_xlpm.steps)&gt;2,LEFT(_xlpm.steps,LEN(_xlpm.steps)-2),0)))</f>
        <v>0</v>
      </c>
      <c r="E397">
        <f>_xlfn.LET(_xlpm.dir,Table13[[#This Row],[Direction]],
IF(_xlpm.dir="L",
    IF(G396-Table13[[#This Row],[Steps]]&lt;0,100+(G396-Table13[[#This Row],[Steps]]),G396-Table13[[#This Row],[Steps]]),
))</f>
        <v>11</v>
      </c>
      <c r="F397">
        <f>_xlfn.LET(_xlpm.dir,Table13[[#This Row],[Direction]],
IF(_xlpm.dir="R",
    IF(G396+Table13[[#This Row],[Steps]]&gt;99,(G396+Table13[[#This Row],[Steps]])-100,G396+Table13[[#This Row],[Steps]]),
))</f>
        <v>0</v>
      </c>
      <c r="G397">
        <f>IF(Table13[[#This Row],[New Pos L]]&lt;&gt;0,Table13[[#This Row],[New Pos L]],Table13[[#This Row],[New Pos R]])</f>
        <v>11</v>
      </c>
      <c r="H397">
        <f>IF(AND(Table13[[#This Row],[Direction]]="L",Table13[[#This Row],[Steps]]&gt;G396,G396&lt;&gt;0),1,0)</f>
        <v>0</v>
      </c>
      <c r="I397">
        <f>IF(AND(Table13[[#This Row],[Direction]]="R",(G396+Table13[[#This Row],[Steps]])&gt;100),1,0)</f>
        <v>0</v>
      </c>
      <c r="J397">
        <f>IF(Table13[[#This Row],[POS]]=0,1,0)</f>
        <v>0</v>
      </c>
      <c r="K397">
        <f>SUM(Table13[[#This Row],[prefix]],Table13[[#This Row],[Past zero L]],Table13[[#This Row],[Past Zero R]],Table13[[#This Row],[Is Zero]])</f>
        <v>0</v>
      </c>
    </row>
    <row r="398" spans="1:11" ht="16" x14ac:dyDescent="0.2">
      <c r="A398" s="1" t="s">
        <v>158</v>
      </c>
      <c r="B398" t="str">
        <f>LEFT(Table13[[#This Row],[Input]],1)</f>
        <v>L</v>
      </c>
      <c r="C398">
        <f>_xlfn.LET(_xlpm.steps,SUBSTITUTE(Table13[[#This Row],[Input]],Table13[[#This Row],[Direction]],""),VALUE(IF(LEN(_xlpm.steps)&gt;2,RIGHT(_xlpm.steps,2),_xlpm.steps)))</f>
        <v>24</v>
      </c>
      <c r="D398">
        <f>_xlfn.LET(_xlpm.steps,SUBSTITUTE(Table13[[#This Row],[Input]],Table13[[#This Row],[Direction]],""),VALUE(IF(LEN(_xlpm.steps)&gt;2,LEFT(_xlpm.steps,LEN(_xlpm.steps)-2),0)))</f>
        <v>0</v>
      </c>
      <c r="E398">
        <f>_xlfn.LET(_xlpm.dir,Table13[[#This Row],[Direction]],
IF(_xlpm.dir="L",
    IF(G397-Table13[[#This Row],[Steps]]&lt;0,100+(G397-Table13[[#This Row],[Steps]]),G397-Table13[[#This Row],[Steps]]),
))</f>
        <v>87</v>
      </c>
      <c r="F398">
        <f>_xlfn.LET(_xlpm.dir,Table13[[#This Row],[Direction]],
IF(_xlpm.dir="R",
    IF(G397+Table13[[#This Row],[Steps]]&gt;99,(G397+Table13[[#This Row],[Steps]])-100,G397+Table13[[#This Row],[Steps]]),
))</f>
        <v>0</v>
      </c>
      <c r="G398">
        <f>IF(Table13[[#This Row],[New Pos L]]&lt;&gt;0,Table13[[#This Row],[New Pos L]],Table13[[#This Row],[New Pos R]])</f>
        <v>87</v>
      </c>
      <c r="H398">
        <f>IF(AND(Table13[[#This Row],[Direction]]="L",Table13[[#This Row],[Steps]]&gt;G397,G397&lt;&gt;0),1,0)</f>
        <v>1</v>
      </c>
      <c r="I398">
        <f>IF(AND(Table13[[#This Row],[Direction]]="R",(G397+Table13[[#This Row],[Steps]])&gt;100),1,0)</f>
        <v>0</v>
      </c>
      <c r="J398">
        <f>IF(Table13[[#This Row],[POS]]=0,1,0)</f>
        <v>0</v>
      </c>
      <c r="K398">
        <f>SUM(Table13[[#This Row],[prefix]],Table13[[#This Row],[Past zero L]],Table13[[#This Row],[Past Zero R]],Table13[[#This Row],[Is Zero]])</f>
        <v>1</v>
      </c>
    </row>
    <row r="399" spans="1:11" ht="16" x14ac:dyDescent="0.2">
      <c r="A399" s="1" t="s">
        <v>223</v>
      </c>
      <c r="B399" t="str">
        <f>LEFT(Table13[[#This Row],[Input]],1)</f>
        <v>L</v>
      </c>
      <c r="C399">
        <f>_xlfn.LET(_xlpm.steps,SUBSTITUTE(Table13[[#This Row],[Input]],Table13[[#This Row],[Direction]],""),VALUE(IF(LEN(_xlpm.steps)&gt;2,RIGHT(_xlpm.steps,2),_xlpm.steps)))</f>
        <v>87</v>
      </c>
      <c r="D399">
        <f>_xlfn.LET(_xlpm.steps,SUBSTITUTE(Table13[[#This Row],[Input]],Table13[[#This Row],[Direction]],""),VALUE(IF(LEN(_xlpm.steps)&gt;2,LEFT(_xlpm.steps,LEN(_xlpm.steps)-2),0)))</f>
        <v>0</v>
      </c>
      <c r="E399">
        <f>_xlfn.LET(_xlpm.dir,Table13[[#This Row],[Direction]],
IF(_xlpm.dir="L",
    IF(G398-Table13[[#This Row],[Steps]]&lt;0,100+(G398-Table13[[#This Row],[Steps]]),G398-Table13[[#This Row],[Steps]]),
))</f>
        <v>0</v>
      </c>
      <c r="F399">
        <f>_xlfn.LET(_xlpm.dir,Table13[[#This Row],[Direction]],
IF(_xlpm.dir="R",
    IF(G398+Table13[[#This Row],[Steps]]&gt;99,(G398+Table13[[#This Row],[Steps]])-100,G398+Table13[[#This Row],[Steps]]),
))</f>
        <v>0</v>
      </c>
      <c r="G399">
        <f>IF(Table13[[#This Row],[New Pos L]]&lt;&gt;0,Table13[[#This Row],[New Pos L]],Table13[[#This Row],[New Pos R]])</f>
        <v>0</v>
      </c>
      <c r="H399">
        <f>IF(AND(Table13[[#This Row],[Direction]]="L",Table13[[#This Row],[Steps]]&gt;G398,G398&lt;&gt;0),1,0)</f>
        <v>0</v>
      </c>
      <c r="I399">
        <f>IF(AND(Table13[[#This Row],[Direction]]="R",(G398+Table13[[#This Row],[Steps]])&gt;100),1,0)</f>
        <v>0</v>
      </c>
      <c r="J399">
        <f>IF(Table13[[#This Row],[POS]]=0,1,0)</f>
        <v>1</v>
      </c>
      <c r="K399">
        <f>SUM(Table13[[#This Row],[prefix]],Table13[[#This Row],[Past zero L]],Table13[[#This Row],[Past Zero R]],Table13[[#This Row],[Is Zero]])</f>
        <v>1</v>
      </c>
    </row>
    <row r="400" spans="1:11" ht="16" x14ac:dyDescent="0.2">
      <c r="A400" s="1" t="s">
        <v>79</v>
      </c>
      <c r="B400" t="str">
        <f>LEFT(Table13[[#This Row],[Input]],1)</f>
        <v>L</v>
      </c>
      <c r="C400">
        <f>_xlfn.LET(_xlpm.steps,SUBSTITUTE(Table13[[#This Row],[Input]],Table13[[#This Row],[Direction]],""),VALUE(IF(LEN(_xlpm.steps)&gt;2,RIGHT(_xlpm.steps,2),_xlpm.steps)))</f>
        <v>45</v>
      </c>
      <c r="D400">
        <f>_xlfn.LET(_xlpm.steps,SUBSTITUTE(Table13[[#This Row],[Input]],Table13[[#This Row],[Direction]],""),VALUE(IF(LEN(_xlpm.steps)&gt;2,LEFT(_xlpm.steps,LEN(_xlpm.steps)-2),0)))</f>
        <v>0</v>
      </c>
      <c r="E400">
        <f>_xlfn.LET(_xlpm.dir,Table13[[#This Row],[Direction]],
IF(_xlpm.dir="L",
    IF(G399-Table13[[#This Row],[Steps]]&lt;0,100+(G399-Table13[[#This Row],[Steps]]),G399-Table13[[#This Row],[Steps]]),
))</f>
        <v>55</v>
      </c>
      <c r="F400">
        <f>_xlfn.LET(_xlpm.dir,Table13[[#This Row],[Direction]],
IF(_xlpm.dir="R",
    IF(G399+Table13[[#This Row],[Steps]]&gt;99,(G399+Table13[[#This Row],[Steps]])-100,G399+Table13[[#This Row],[Steps]]),
))</f>
        <v>0</v>
      </c>
      <c r="G400">
        <f>IF(Table13[[#This Row],[New Pos L]]&lt;&gt;0,Table13[[#This Row],[New Pos L]],Table13[[#This Row],[New Pos R]])</f>
        <v>55</v>
      </c>
      <c r="H400">
        <f>IF(AND(Table13[[#This Row],[Direction]]="L",Table13[[#This Row],[Steps]]&gt;G399,G399&lt;&gt;0),1,0)</f>
        <v>0</v>
      </c>
      <c r="I400">
        <f>IF(AND(Table13[[#This Row],[Direction]]="R",(G399+Table13[[#This Row],[Steps]])&gt;100),1,0)</f>
        <v>0</v>
      </c>
      <c r="J400">
        <f>IF(Table13[[#This Row],[POS]]=0,1,0)</f>
        <v>0</v>
      </c>
      <c r="K400">
        <f>SUM(Table13[[#This Row],[prefix]],Table13[[#This Row],[Past zero L]],Table13[[#This Row],[Past Zero R]],Table13[[#This Row],[Is Zero]])</f>
        <v>0</v>
      </c>
    </row>
    <row r="401" spans="1:11" ht="16" x14ac:dyDescent="0.2">
      <c r="A401" s="1" t="s">
        <v>46</v>
      </c>
      <c r="B401" t="str">
        <f>LEFT(Table13[[#This Row],[Input]],1)</f>
        <v>L</v>
      </c>
      <c r="C401">
        <f>_xlfn.LET(_xlpm.steps,SUBSTITUTE(Table13[[#This Row],[Input]],Table13[[#This Row],[Direction]],""),VALUE(IF(LEN(_xlpm.steps)&gt;2,RIGHT(_xlpm.steps,2),_xlpm.steps)))</f>
        <v>97</v>
      </c>
      <c r="D401">
        <f>_xlfn.LET(_xlpm.steps,SUBSTITUTE(Table13[[#This Row],[Input]],Table13[[#This Row],[Direction]],""),VALUE(IF(LEN(_xlpm.steps)&gt;2,LEFT(_xlpm.steps,LEN(_xlpm.steps)-2),0)))</f>
        <v>0</v>
      </c>
      <c r="E401">
        <f>_xlfn.LET(_xlpm.dir,Table13[[#This Row],[Direction]],
IF(_xlpm.dir="L",
    IF(G400-Table13[[#This Row],[Steps]]&lt;0,100+(G400-Table13[[#This Row],[Steps]]),G400-Table13[[#This Row],[Steps]]),
))</f>
        <v>58</v>
      </c>
      <c r="F401">
        <f>_xlfn.LET(_xlpm.dir,Table13[[#This Row],[Direction]],
IF(_xlpm.dir="R",
    IF(G400+Table13[[#This Row],[Steps]]&gt;99,(G400+Table13[[#This Row],[Steps]])-100,G400+Table13[[#This Row],[Steps]]),
))</f>
        <v>0</v>
      </c>
      <c r="G401">
        <f>IF(Table13[[#This Row],[New Pos L]]&lt;&gt;0,Table13[[#This Row],[New Pos L]],Table13[[#This Row],[New Pos R]])</f>
        <v>58</v>
      </c>
      <c r="H401">
        <f>IF(AND(Table13[[#This Row],[Direction]]="L",Table13[[#This Row],[Steps]]&gt;G400,G400&lt;&gt;0),1,0)</f>
        <v>1</v>
      </c>
      <c r="I401">
        <f>IF(AND(Table13[[#This Row],[Direction]]="R",(G400+Table13[[#This Row],[Steps]])&gt;100),1,0)</f>
        <v>0</v>
      </c>
      <c r="J401">
        <f>IF(Table13[[#This Row],[POS]]=0,1,0)</f>
        <v>0</v>
      </c>
      <c r="K401">
        <f>SUM(Table13[[#This Row],[prefix]],Table13[[#This Row],[Past zero L]],Table13[[#This Row],[Past Zero R]],Table13[[#This Row],[Is Zero]])</f>
        <v>1</v>
      </c>
    </row>
    <row r="402" spans="1:11" ht="16" x14ac:dyDescent="0.2">
      <c r="A402" s="1" t="s">
        <v>116</v>
      </c>
      <c r="B402" t="str">
        <f>LEFT(Table13[[#This Row],[Input]],1)</f>
        <v>L</v>
      </c>
      <c r="C402">
        <f>_xlfn.LET(_xlpm.steps,SUBSTITUTE(Table13[[#This Row],[Input]],Table13[[#This Row],[Direction]],""),VALUE(IF(LEN(_xlpm.steps)&gt;2,RIGHT(_xlpm.steps,2),_xlpm.steps)))</f>
        <v>58</v>
      </c>
      <c r="D402">
        <f>_xlfn.LET(_xlpm.steps,SUBSTITUTE(Table13[[#This Row],[Input]],Table13[[#This Row],[Direction]],""),VALUE(IF(LEN(_xlpm.steps)&gt;2,LEFT(_xlpm.steps,LEN(_xlpm.steps)-2),0)))</f>
        <v>0</v>
      </c>
      <c r="E402">
        <f>_xlfn.LET(_xlpm.dir,Table13[[#This Row],[Direction]],
IF(_xlpm.dir="L",
    IF(G401-Table13[[#This Row],[Steps]]&lt;0,100+(G401-Table13[[#This Row],[Steps]]),G401-Table13[[#This Row],[Steps]]),
))</f>
        <v>0</v>
      </c>
      <c r="F402">
        <f>_xlfn.LET(_xlpm.dir,Table13[[#This Row],[Direction]],
IF(_xlpm.dir="R",
    IF(G401+Table13[[#This Row],[Steps]]&gt;99,(G401+Table13[[#This Row],[Steps]])-100,G401+Table13[[#This Row],[Steps]]),
))</f>
        <v>0</v>
      </c>
      <c r="G402">
        <f>IF(Table13[[#This Row],[New Pos L]]&lt;&gt;0,Table13[[#This Row],[New Pos L]],Table13[[#This Row],[New Pos R]])</f>
        <v>0</v>
      </c>
      <c r="H402">
        <f>IF(AND(Table13[[#This Row],[Direction]]="L",Table13[[#This Row],[Steps]]&gt;G401,G401&lt;&gt;0),1,0)</f>
        <v>0</v>
      </c>
      <c r="I402">
        <f>IF(AND(Table13[[#This Row],[Direction]]="R",(G401+Table13[[#This Row],[Steps]])&gt;100),1,0)</f>
        <v>0</v>
      </c>
      <c r="J402">
        <f>IF(Table13[[#This Row],[POS]]=0,1,0)</f>
        <v>1</v>
      </c>
      <c r="K402">
        <f>SUM(Table13[[#This Row],[prefix]],Table13[[#This Row],[Past zero L]],Table13[[#This Row],[Past Zero R]],Table13[[#This Row],[Is Zero]])</f>
        <v>1</v>
      </c>
    </row>
    <row r="403" spans="1:11" ht="16" x14ac:dyDescent="0.2">
      <c r="A403" s="1" t="s">
        <v>224</v>
      </c>
      <c r="B403" t="str">
        <f>LEFT(Table13[[#This Row],[Input]],1)</f>
        <v>L</v>
      </c>
      <c r="C403">
        <f>_xlfn.LET(_xlpm.steps,SUBSTITUTE(Table13[[#This Row],[Input]],Table13[[#This Row],[Direction]],""),VALUE(IF(LEN(_xlpm.steps)&gt;2,RIGHT(_xlpm.steps,2),_xlpm.steps)))</f>
        <v>58</v>
      </c>
      <c r="D403">
        <f>_xlfn.LET(_xlpm.steps,SUBSTITUTE(Table13[[#This Row],[Input]],Table13[[#This Row],[Direction]],""),VALUE(IF(LEN(_xlpm.steps)&gt;2,LEFT(_xlpm.steps,LEN(_xlpm.steps)-2),0)))</f>
        <v>1</v>
      </c>
      <c r="E403">
        <f>_xlfn.LET(_xlpm.dir,Table13[[#This Row],[Direction]],
IF(_xlpm.dir="L",
    IF(G402-Table13[[#This Row],[Steps]]&lt;0,100+(G402-Table13[[#This Row],[Steps]]),G402-Table13[[#This Row],[Steps]]),
))</f>
        <v>42</v>
      </c>
      <c r="F403">
        <f>_xlfn.LET(_xlpm.dir,Table13[[#This Row],[Direction]],
IF(_xlpm.dir="R",
    IF(G402+Table13[[#This Row],[Steps]]&gt;99,(G402+Table13[[#This Row],[Steps]])-100,G402+Table13[[#This Row],[Steps]]),
))</f>
        <v>0</v>
      </c>
      <c r="G403">
        <f>IF(Table13[[#This Row],[New Pos L]]&lt;&gt;0,Table13[[#This Row],[New Pos L]],Table13[[#This Row],[New Pos R]])</f>
        <v>42</v>
      </c>
      <c r="H403">
        <f>IF(AND(Table13[[#This Row],[Direction]]="L",Table13[[#This Row],[Steps]]&gt;G402,G402&lt;&gt;0),1,0)</f>
        <v>0</v>
      </c>
      <c r="I403">
        <f>IF(AND(Table13[[#This Row],[Direction]]="R",(G402+Table13[[#This Row],[Steps]])&gt;100),1,0)</f>
        <v>0</v>
      </c>
      <c r="J403">
        <f>IF(Table13[[#This Row],[POS]]=0,1,0)</f>
        <v>0</v>
      </c>
      <c r="K403">
        <f>SUM(Table13[[#This Row],[prefix]],Table13[[#This Row],[Past zero L]],Table13[[#This Row],[Past Zero R]],Table13[[#This Row],[Is Zero]])</f>
        <v>1</v>
      </c>
    </row>
    <row r="404" spans="1:11" ht="16" x14ac:dyDescent="0.2">
      <c r="A404" s="1" t="s">
        <v>225</v>
      </c>
      <c r="B404" t="str">
        <f>LEFT(Table13[[#This Row],[Input]],1)</f>
        <v>R</v>
      </c>
      <c r="C404">
        <f>_xlfn.LET(_xlpm.steps,SUBSTITUTE(Table13[[#This Row],[Input]],Table13[[#This Row],[Direction]],""),VALUE(IF(LEN(_xlpm.steps)&gt;2,RIGHT(_xlpm.steps,2),_xlpm.steps)))</f>
        <v>37</v>
      </c>
      <c r="D404">
        <f>_xlfn.LET(_xlpm.steps,SUBSTITUTE(Table13[[#This Row],[Input]],Table13[[#This Row],[Direction]],""),VALUE(IF(LEN(_xlpm.steps)&gt;2,LEFT(_xlpm.steps,LEN(_xlpm.steps)-2),0)))</f>
        <v>4</v>
      </c>
      <c r="E404">
        <f>_xlfn.LET(_xlpm.dir,Table13[[#This Row],[Direction]],
IF(_xlpm.dir="L",
    IF(G403-Table13[[#This Row],[Steps]]&lt;0,100+(G403-Table13[[#This Row],[Steps]]),G403-Table13[[#This Row],[Steps]]),
))</f>
        <v>0</v>
      </c>
      <c r="F404">
        <f>_xlfn.LET(_xlpm.dir,Table13[[#This Row],[Direction]],
IF(_xlpm.dir="R",
    IF(G403+Table13[[#This Row],[Steps]]&gt;99,(G403+Table13[[#This Row],[Steps]])-100,G403+Table13[[#This Row],[Steps]]),
))</f>
        <v>79</v>
      </c>
      <c r="G404">
        <f>IF(Table13[[#This Row],[New Pos L]]&lt;&gt;0,Table13[[#This Row],[New Pos L]],Table13[[#This Row],[New Pos R]])</f>
        <v>79</v>
      </c>
      <c r="H404">
        <f>IF(AND(Table13[[#This Row],[Direction]]="L",Table13[[#This Row],[Steps]]&gt;G403,G403&lt;&gt;0),1,0)</f>
        <v>0</v>
      </c>
      <c r="I404">
        <f>IF(AND(Table13[[#This Row],[Direction]]="R",(G403+Table13[[#This Row],[Steps]])&gt;100),1,0)</f>
        <v>0</v>
      </c>
      <c r="J404">
        <f>IF(Table13[[#This Row],[POS]]=0,1,0)</f>
        <v>0</v>
      </c>
      <c r="K404">
        <f>SUM(Table13[[#This Row],[prefix]],Table13[[#This Row],[Past zero L]],Table13[[#This Row],[Past Zero R]],Table13[[#This Row],[Is Zero]])</f>
        <v>4</v>
      </c>
    </row>
    <row r="405" spans="1:11" ht="16" x14ac:dyDescent="0.2">
      <c r="A405" s="1" t="s">
        <v>226</v>
      </c>
      <c r="B405" t="str">
        <f>LEFT(Table13[[#This Row],[Input]],1)</f>
        <v>L</v>
      </c>
      <c r="C405">
        <f>_xlfn.LET(_xlpm.steps,SUBSTITUTE(Table13[[#This Row],[Input]],Table13[[#This Row],[Direction]],""),VALUE(IF(LEN(_xlpm.steps)&gt;2,RIGHT(_xlpm.steps,2),_xlpm.steps)))</f>
        <v>31</v>
      </c>
      <c r="D405">
        <f>_xlfn.LET(_xlpm.steps,SUBSTITUTE(Table13[[#This Row],[Input]],Table13[[#This Row],[Direction]],""),VALUE(IF(LEN(_xlpm.steps)&gt;2,LEFT(_xlpm.steps,LEN(_xlpm.steps)-2),0)))</f>
        <v>0</v>
      </c>
      <c r="E405">
        <f>_xlfn.LET(_xlpm.dir,Table13[[#This Row],[Direction]],
IF(_xlpm.dir="L",
    IF(G404-Table13[[#This Row],[Steps]]&lt;0,100+(G404-Table13[[#This Row],[Steps]]),G404-Table13[[#This Row],[Steps]]),
))</f>
        <v>48</v>
      </c>
      <c r="F405">
        <f>_xlfn.LET(_xlpm.dir,Table13[[#This Row],[Direction]],
IF(_xlpm.dir="R",
    IF(G404+Table13[[#This Row],[Steps]]&gt;99,(G404+Table13[[#This Row],[Steps]])-100,G404+Table13[[#This Row],[Steps]]),
))</f>
        <v>0</v>
      </c>
      <c r="G405">
        <f>IF(Table13[[#This Row],[New Pos L]]&lt;&gt;0,Table13[[#This Row],[New Pos L]],Table13[[#This Row],[New Pos R]])</f>
        <v>48</v>
      </c>
      <c r="H405">
        <f>IF(AND(Table13[[#This Row],[Direction]]="L",Table13[[#This Row],[Steps]]&gt;G404,G404&lt;&gt;0),1,0)</f>
        <v>0</v>
      </c>
      <c r="I405">
        <f>IF(AND(Table13[[#This Row],[Direction]]="R",(G404+Table13[[#This Row],[Steps]])&gt;100),1,0)</f>
        <v>0</v>
      </c>
      <c r="J405">
        <f>IF(Table13[[#This Row],[POS]]=0,1,0)</f>
        <v>0</v>
      </c>
      <c r="K405">
        <f>SUM(Table13[[#This Row],[prefix]],Table13[[#This Row],[Past zero L]],Table13[[#This Row],[Past Zero R]],Table13[[#This Row],[Is Zero]])</f>
        <v>0</v>
      </c>
    </row>
    <row r="406" spans="1:11" ht="16" x14ac:dyDescent="0.2">
      <c r="A406" s="1" t="s">
        <v>227</v>
      </c>
      <c r="B406" t="str">
        <f>LEFT(Table13[[#This Row],[Input]],1)</f>
        <v>L</v>
      </c>
      <c r="C406">
        <f>_xlfn.LET(_xlpm.steps,SUBSTITUTE(Table13[[#This Row],[Input]],Table13[[#This Row],[Direction]],""),VALUE(IF(LEN(_xlpm.steps)&gt;2,RIGHT(_xlpm.steps,2),_xlpm.steps)))</f>
        <v>48</v>
      </c>
      <c r="D406">
        <f>_xlfn.LET(_xlpm.steps,SUBSTITUTE(Table13[[#This Row],[Input]],Table13[[#This Row],[Direction]],""),VALUE(IF(LEN(_xlpm.steps)&gt;2,LEFT(_xlpm.steps,LEN(_xlpm.steps)-2),0)))</f>
        <v>4</v>
      </c>
      <c r="E406">
        <f>_xlfn.LET(_xlpm.dir,Table13[[#This Row],[Direction]],
IF(_xlpm.dir="L",
    IF(G405-Table13[[#This Row],[Steps]]&lt;0,100+(G405-Table13[[#This Row],[Steps]]),G405-Table13[[#This Row],[Steps]]),
))</f>
        <v>0</v>
      </c>
      <c r="F406">
        <f>_xlfn.LET(_xlpm.dir,Table13[[#This Row],[Direction]],
IF(_xlpm.dir="R",
    IF(G405+Table13[[#This Row],[Steps]]&gt;99,(G405+Table13[[#This Row],[Steps]])-100,G405+Table13[[#This Row],[Steps]]),
))</f>
        <v>0</v>
      </c>
      <c r="G406">
        <f>IF(Table13[[#This Row],[New Pos L]]&lt;&gt;0,Table13[[#This Row],[New Pos L]],Table13[[#This Row],[New Pos R]])</f>
        <v>0</v>
      </c>
      <c r="H406">
        <f>IF(AND(Table13[[#This Row],[Direction]]="L",Table13[[#This Row],[Steps]]&gt;G405,G405&lt;&gt;0),1,0)</f>
        <v>0</v>
      </c>
      <c r="I406">
        <f>IF(AND(Table13[[#This Row],[Direction]]="R",(G405+Table13[[#This Row],[Steps]])&gt;100),1,0)</f>
        <v>0</v>
      </c>
      <c r="J406">
        <f>IF(Table13[[#This Row],[POS]]=0,1,0)</f>
        <v>1</v>
      </c>
      <c r="K406">
        <f>SUM(Table13[[#This Row],[prefix]],Table13[[#This Row],[Past zero L]],Table13[[#This Row],[Past Zero R]],Table13[[#This Row],[Is Zero]])</f>
        <v>5</v>
      </c>
    </row>
    <row r="407" spans="1:11" ht="16" x14ac:dyDescent="0.2">
      <c r="A407" s="1" t="s">
        <v>37</v>
      </c>
      <c r="B407" t="str">
        <f>LEFT(Table13[[#This Row],[Input]],1)</f>
        <v>L</v>
      </c>
      <c r="C407">
        <f>_xlfn.LET(_xlpm.steps,SUBSTITUTE(Table13[[#This Row],[Input]],Table13[[#This Row],[Direction]],""),VALUE(IF(LEN(_xlpm.steps)&gt;2,RIGHT(_xlpm.steps,2),_xlpm.steps)))</f>
        <v>42</v>
      </c>
      <c r="D407">
        <f>_xlfn.LET(_xlpm.steps,SUBSTITUTE(Table13[[#This Row],[Input]],Table13[[#This Row],[Direction]],""),VALUE(IF(LEN(_xlpm.steps)&gt;2,LEFT(_xlpm.steps,LEN(_xlpm.steps)-2),0)))</f>
        <v>0</v>
      </c>
      <c r="E407">
        <f>_xlfn.LET(_xlpm.dir,Table13[[#This Row],[Direction]],
IF(_xlpm.dir="L",
    IF(G406-Table13[[#This Row],[Steps]]&lt;0,100+(G406-Table13[[#This Row],[Steps]]),G406-Table13[[#This Row],[Steps]]),
))</f>
        <v>58</v>
      </c>
      <c r="F407">
        <f>_xlfn.LET(_xlpm.dir,Table13[[#This Row],[Direction]],
IF(_xlpm.dir="R",
    IF(G406+Table13[[#This Row],[Steps]]&gt;99,(G406+Table13[[#This Row],[Steps]])-100,G406+Table13[[#This Row],[Steps]]),
))</f>
        <v>0</v>
      </c>
      <c r="G407">
        <f>IF(Table13[[#This Row],[New Pos L]]&lt;&gt;0,Table13[[#This Row],[New Pos L]],Table13[[#This Row],[New Pos R]])</f>
        <v>58</v>
      </c>
      <c r="H407">
        <f>IF(AND(Table13[[#This Row],[Direction]]="L",Table13[[#This Row],[Steps]]&gt;G406,G406&lt;&gt;0),1,0)</f>
        <v>0</v>
      </c>
      <c r="I407">
        <f>IF(AND(Table13[[#This Row],[Direction]]="R",(G406+Table13[[#This Row],[Steps]])&gt;100),1,0)</f>
        <v>0</v>
      </c>
      <c r="J407">
        <f>IF(Table13[[#This Row],[POS]]=0,1,0)</f>
        <v>0</v>
      </c>
      <c r="K407">
        <f>SUM(Table13[[#This Row],[prefix]],Table13[[#This Row],[Past zero L]],Table13[[#This Row],[Past Zero R]],Table13[[#This Row],[Is Zero]])</f>
        <v>0</v>
      </c>
    </row>
    <row r="408" spans="1:11" ht="16" x14ac:dyDescent="0.2">
      <c r="A408" s="1" t="s">
        <v>46</v>
      </c>
      <c r="B408" t="str">
        <f>LEFT(Table13[[#This Row],[Input]],1)</f>
        <v>L</v>
      </c>
      <c r="C408">
        <f>_xlfn.LET(_xlpm.steps,SUBSTITUTE(Table13[[#This Row],[Input]],Table13[[#This Row],[Direction]],""),VALUE(IF(LEN(_xlpm.steps)&gt;2,RIGHT(_xlpm.steps,2),_xlpm.steps)))</f>
        <v>97</v>
      </c>
      <c r="D408">
        <f>_xlfn.LET(_xlpm.steps,SUBSTITUTE(Table13[[#This Row],[Input]],Table13[[#This Row],[Direction]],""),VALUE(IF(LEN(_xlpm.steps)&gt;2,LEFT(_xlpm.steps,LEN(_xlpm.steps)-2),0)))</f>
        <v>0</v>
      </c>
      <c r="E408">
        <f>_xlfn.LET(_xlpm.dir,Table13[[#This Row],[Direction]],
IF(_xlpm.dir="L",
    IF(G407-Table13[[#This Row],[Steps]]&lt;0,100+(G407-Table13[[#This Row],[Steps]]),G407-Table13[[#This Row],[Steps]]),
))</f>
        <v>61</v>
      </c>
      <c r="F408">
        <f>_xlfn.LET(_xlpm.dir,Table13[[#This Row],[Direction]],
IF(_xlpm.dir="R",
    IF(G407+Table13[[#This Row],[Steps]]&gt;99,(G407+Table13[[#This Row],[Steps]])-100,G407+Table13[[#This Row],[Steps]]),
))</f>
        <v>0</v>
      </c>
      <c r="G408">
        <f>IF(Table13[[#This Row],[New Pos L]]&lt;&gt;0,Table13[[#This Row],[New Pos L]],Table13[[#This Row],[New Pos R]])</f>
        <v>61</v>
      </c>
      <c r="H408">
        <f>IF(AND(Table13[[#This Row],[Direction]]="L",Table13[[#This Row],[Steps]]&gt;G407,G407&lt;&gt;0),1,0)</f>
        <v>1</v>
      </c>
      <c r="I408">
        <f>IF(AND(Table13[[#This Row],[Direction]]="R",(G407+Table13[[#This Row],[Steps]])&gt;100),1,0)</f>
        <v>0</v>
      </c>
      <c r="J408">
        <f>IF(Table13[[#This Row],[POS]]=0,1,0)</f>
        <v>0</v>
      </c>
      <c r="K408">
        <f>SUM(Table13[[#This Row],[prefix]],Table13[[#This Row],[Past zero L]],Table13[[#This Row],[Past Zero R]],Table13[[#This Row],[Is Zero]])</f>
        <v>1</v>
      </c>
    </row>
    <row r="409" spans="1:11" ht="16" x14ac:dyDescent="0.2">
      <c r="A409" s="1" t="s">
        <v>140</v>
      </c>
      <c r="B409" t="str">
        <f>LEFT(Table13[[#This Row],[Input]],1)</f>
        <v>L</v>
      </c>
      <c r="C409">
        <f>_xlfn.LET(_xlpm.steps,SUBSTITUTE(Table13[[#This Row],[Input]],Table13[[#This Row],[Direction]],""),VALUE(IF(LEN(_xlpm.steps)&gt;2,RIGHT(_xlpm.steps,2),_xlpm.steps)))</f>
        <v>61</v>
      </c>
      <c r="D409">
        <f>_xlfn.LET(_xlpm.steps,SUBSTITUTE(Table13[[#This Row],[Input]],Table13[[#This Row],[Direction]],""),VALUE(IF(LEN(_xlpm.steps)&gt;2,LEFT(_xlpm.steps,LEN(_xlpm.steps)-2),0)))</f>
        <v>0</v>
      </c>
      <c r="E409">
        <f>_xlfn.LET(_xlpm.dir,Table13[[#This Row],[Direction]],
IF(_xlpm.dir="L",
    IF(G408-Table13[[#This Row],[Steps]]&lt;0,100+(G408-Table13[[#This Row],[Steps]]),G408-Table13[[#This Row],[Steps]]),
))</f>
        <v>0</v>
      </c>
      <c r="F409">
        <f>_xlfn.LET(_xlpm.dir,Table13[[#This Row],[Direction]],
IF(_xlpm.dir="R",
    IF(G408+Table13[[#This Row],[Steps]]&gt;99,(G408+Table13[[#This Row],[Steps]])-100,G408+Table13[[#This Row],[Steps]]),
))</f>
        <v>0</v>
      </c>
      <c r="G409">
        <f>IF(Table13[[#This Row],[New Pos L]]&lt;&gt;0,Table13[[#This Row],[New Pos L]],Table13[[#This Row],[New Pos R]])</f>
        <v>0</v>
      </c>
      <c r="H409">
        <f>IF(AND(Table13[[#This Row],[Direction]]="L",Table13[[#This Row],[Steps]]&gt;G408,G408&lt;&gt;0),1,0)</f>
        <v>0</v>
      </c>
      <c r="I409">
        <f>IF(AND(Table13[[#This Row],[Direction]]="R",(G408+Table13[[#This Row],[Steps]])&gt;100),1,0)</f>
        <v>0</v>
      </c>
      <c r="J409">
        <f>IF(Table13[[#This Row],[POS]]=0,1,0)</f>
        <v>1</v>
      </c>
      <c r="K409">
        <f>SUM(Table13[[#This Row],[prefix]],Table13[[#This Row],[Past zero L]],Table13[[#This Row],[Past Zero R]],Table13[[#This Row],[Is Zero]])</f>
        <v>1</v>
      </c>
    </row>
    <row r="410" spans="1:11" ht="16" x14ac:dyDescent="0.2">
      <c r="A410" s="1" t="s">
        <v>88</v>
      </c>
      <c r="B410" t="str">
        <f>LEFT(Table13[[#This Row],[Input]],1)</f>
        <v>R</v>
      </c>
      <c r="C410">
        <f>_xlfn.LET(_xlpm.steps,SUBSTITUTE(Table13[[#This Row],[Input]],Table13[[#This Row],[Direction]],""),VALUE(IF(LEN(_xlpm.steps)&gt;2,RIGHT(_xlpm.steps,2),_xlpm.steps)))</f>
        <v>53</v>
      </c>
      <c r="D410">
        <f>_xlfn.LET(_xlpm.steps,SUBSTITUTE(Table13[[#This Row],[Input]],Table13[[#This Row],[Direction]],""),VALUE(IF(LEN(_xlpm.steps)&gt;2,LEFT(_xlpm.steps,LEN(_xlpm.steps)-2),0)))</f>
        <v>0</v>
      </c>
      <c r="E410">
        <f>_xlfn.LET(_xlpm.dir,Table13[[#This Row],[Direction]],
IF(_xlpm.dir="L",
    IF(G409-Table13[[#This Row],[Steps]]&lt;0,100+(G409-Table13[[#This Row],[Steps]]),G409-Table13[[#This Row],[Steps]]),
))</f>
        <v>0</v>
      </c>
      <c r="F410">
        <f>_xlfn.LET(_xlpm.dir,Table13[[#This Row],[Direction]],
IF(_xlpm.dir="R",
    IF(G409+Table13[[#This Row],[Steps]]&gt;99,(G409+Table13[[#This Row],[Steps]])-100,G409+Table13[[#This Row],[Steps]]),
))</f>
        <v>53</v>
      </c>
      <c r="G410">
        <f>IF(Table13[[#This Row],[New Pos L]]&lt;&gt;0,Table13[[#This Row],[New Pos L]],Table13[[#This Row],[New Pos R]])</f>
        <v>53</v>
      </c>
      <c r="H410">
        <f>IF(AND(Table13[[#This Row],[Direction]]="L",Table13[[#This Row],[Steps]]&gt;G409,G409&lt;&gt;0),1,0)</f>
        <v>0</v>
      </c>
      <c r="I410">
        <f>IF(AND(Table13[[#This Row],[Direction]]="R",(G409+Table13[[#This Row],[Steps]])&gt;100),1,0)</f>
        <v>0</v>
      </c>
      <c r="J410">
        <f>IF(Table13[[#This Row],[POS]]=0,1,0)</f>
        <v>0</v>
      </c>
      <c r="K410">
        <f>SUM(Table13[[#This Row],[prefix]],Table13[[#This Row],[Past zero L]],Table13[[#This Row],[Past Zero R]],Table13[[#This Row],[Is Zero]])</f>
        <v>0</v>
      </c>
    </row>
    <row r="411" spans="1:11" ht="16" x14ac:dyDescent="0.2">
      <c r="A411" s="1" t="s">
        <v>21</v>
      </c>
      <c r="B411" t="str">
        <f>LEFT(Table13[[#This Row],[Input]],1)</f>
        <v>L</v>
      </c>
      <c r="C411">
        <f>_xlfn.LET(_xlpm.steps,SUBSTITUTE(Table13[[#This Row],[Input]],Table13[[#This Row],[Direction]],""),VALUE(IF(LEN(_xlpm.steps)&gt;2,RIGHT(_xlpm.steps,2),_xlpm.steps)))</f>
        <v>36</v>
      </c>
      <c r="D411">
        <f>_xlfn.LET(_xlpm.steps,SUBSTITUTE(Table13[[#This Row],[Input]],Table13[[#This Row],[Direction]],""),VALUE(IF(LEN(_xlpm.steps)&gt;2,LEFT(_xlpm.steps,LEN(_xlpm.steps)-2),0)))</f>
        <v>0</v>
      </c>
      <c r="E411">
        <f>_xlfn.LET(_xlpm.dir,Table13[[#This Row],[Direction]],
IF(_xlpm.dir="L",
    IF(G410-Table13[[#This Row],[Steps]]&lt;0,100+(G410-Table13[[#This Row],[Steps]]),G410-Table13[[#This Row],[Steps]]),
))</f>
        <v>17</v>
      </c>
      <c r="F411">
        <f>_xlfn.LET(_xlpm.dir,Table13[[#This Row],[Direction]],
IF(_xlpm.dir="R",
    IF(G410+Table13[[#This Row],[Steps]]&gt;99,(G410+Table13[[#This Row],[Steps]])-100,G410+Table13[[#This Row],[Steps]]),
))</f>
        <v>0</v>
      </c>
      <c r="G411">
        <f>IF(Table13[[#This Row],[New Pos L]]&lt;&gt;0,Table13[[#This Row],[New Pos L]],Table13[[#This Row],[New Pos R]])</f>
        <v>17</v>
      </c>
      <c r="H411">
        <f>IF(AND(Table13[[#This Row],[Direction]]="L",Table13[[#This Row],[Steps]]&gt;G410,G410&lt;&gt;0),1,0)</f>
        <v>0</v>
      </c>
      <c r="I411">
        <f>IF(AND(Table13[[#This Row],[Direction]]="R",(G410+Table13[[#This Row],[Steps]])&gt;100),1,0)</f>
        <v>0</v>
      </c>
      <c r="J411">
        <f>IF(Table13[[#This Row],[POS]]=0,1,0)</f>
        <v>0</v>
      </c>
      <c r="K411">
        <f>SUM(Table13[[#This Row],[prefix]],Table13[[#This Row],[Past zero L]],Table13[[#This Row],[Past Zero R]],Table13[[#This Row],[Is Zero]])</f>
        <v>0</v>
      </c>
    </row>
    <row r="412" spans="1:11" ht="16" x14ac:dyDescent="0.2">
      <c r="A412" s="1" t="s">
        <v>84</v>
      </c>
      <c r="B412" t="str">
        <f>LEFT(Table13[[#This Row],[Input]],1)</f>
        <v>R</v>
      </c>
      <c r="C412">
        <f>_xlfn.LET(_xlpm.steps,SUBSTITUTE(Table13[[#This Row],[Input]],Table13[[#This Row],[Direction]],""),VALUE(IF(LEN(_xlpm.steps)&gt;2,RIGHT(_xlpm.steps,2),_xlpm.steps)))</f>
        <v>88</v>
      </c>
      <c r="D412">
        <f>_xlfn.LET(_xlpm.steps,SUBSTITUTE(Table13[[#This Row],[Input]],Table13[[#This Row],[Direction]],""),VALUE(IF(LEN(_xlpm.steps)&gt;2,LEFT(_xlpm.steps,LEN(_xlpm.steps)-2),0)))</f>
        <v>0</v>
      </c>
      <c r="E412">
        <f>_xlfn.LET(_xlpm.dir,Table13[[#This Row],[Direction]],
IF(_xlpm.dir="L",
    IF(G411-Table13[[#This Row],[Steps]]&lt;0,100+(G411-Table13[[#This Row],[Steps]]),G411-Table13[[#This Row],[Steps]]),
))</f>
        <v>0</v>
      </c>
      <c r="F412">
        <f>_xlfn.LET(_xlpm.dir,Table13[[#This Row],[Direction]],
IF(_xlpm.dir="R",
    IF(G411+Table13[[#This Row],[Steps]]&gt;99,(G411+Table13[[#This Row],[Steps]])-100,G411+Table13[[#This Row],[Steps]]),
))</f>
        <v>5</v>
      </c>
      <c r="G412">
        <f>IF(Table13[[#This Row],[New Pos L]]&lt;&gt;0,Table13[[#This Row],[New Pos L]],Table13[[#This Row],[New Pos R]])</f>
        <v>5</v>
      </c>
      <c r="H412">
        <f>IF(AND(Table13[[#This Row],[Direction]]="L",Table13[[#This Row],[Steps]]&gt;G411,G411&lt;&gt;0),1,0)</f>
        <v>0</v>
      </c>
      <c r="I412">
        <f>IF(AND(Table13[[#This Row],[Direction]]="R",(G411+Table13[[#This Row],[Steps]])&gt;100),1,0)</f>
        <v>1</v>
      </c>
      <c r="J412">
        <f>IF(Table13[[#This Row],[POS]]=0,1,0)</f>
        <v>0</v>
      </c>
      <c r="K412">
        <f>SUM(Table13[[#This Row],[prefix]],Table13[[#This Row],[Past zero L]],Table13[[#This Row],[Past Zero R]],Table13[[#This Row],[Is Zero]])</f>
        <v>1</v>
      </c>
    </row>
    <row r="413" spans="1:11" ht="16" x14ac:dyDescent="0.2">
      <c r="A413" s="1" t="s">
        <v>36</v>
      </c>
      <c r="B413" t="str">
        <f>LEFT(Table13[[#This Row],[Input]],1)</f>
        <v>R</v>
      </c>
      <c r="C413">
        <f>_xlfn.LET(_xlpm.steps,SUBSTITUTE(Table13[[#This Row],[Input]],Table13[[#This Row],[Direction]],""),VALUE(IF(LEN(_xlpm.steps)&gt;2,RIGHT(_xlpm.steps,2),_xlpm.steps)))</f>
        <v>50</v>
      </c>
      <c r="D413">
        <f>_xlfn.LET(_xlpm.steps,SUBSTITUTE(Table13[[#This Row],[Input]],Table13[[#This Row],[Direction]],""),VALUE(IF(LEN(_xlpm.steps)&gt;2,LEFT(_xlpm.steps,LEN(_xlpm.steps)-2),0)))</f>
        <v>0</v>
      </c>
      <c r="E413">
        <f>_xlfn.LET(_xlpm.dir,Table13[[#This Row],[Direction]],
IF(_xlpm.dir="L",
    IF(G412-Table13[[#This Row],[Steps]]&lt;0,100+(G412-Table13[[#This Row],[Steps]]),G412-Table13[[#This Row],[Steps]]),
))</f>
        <v>0</v>
      </c>
      <c r="F413">
        <f>_xlfn.LET(_xlpm.dir,Table13[[#This Row],[Direction]],
IF(_xlpm.dir="R",
    IF(G412+Table13[[#This Row],[Steps]]&gt;99,(G412+Table13[[#This Row],[Steps]])-100,G412+Table13[[#This Row],[Steps]]),
))</f>
        <v>55</v>
      </c>
      <c r="G413">
        <f>IF(Table13[[#This Row],[New Pos L]]&lt;&gt;0,Table13[[#This Row],[New Pos L]],Table13[[#This Row],[New Pos R]])</f>
        <v>55</v>
      </c>
      <c r="H413">
        <f>IF(AND(Table13[[#This Row],[Direction]]="L",Table13[[#This Row],[Steps]]&gt;G412,G412&lt;&gt;0),1,0)</f>
        <v>0</v>
      </c>
      <c r="I413">
        <f>IF(AND(Table13[[#This Row],[Direction]]="R",(G412+Table13[[#This Row],[Steps]])&gt;100),1,0)</f>
        <v>0</v>
      </c>
      <c r="J413">
        <f>IF(Table13[[#This Row],[POS]]=0,1,0)</f>
        <v>0</v>
      </c>
      <c r="K413">
        <f>SUM(Table13[[#This Row],[prefix]],Table13[[#This Row],[Past zero L]],Table13[[#This Row],[Past Zero R]],Table13[[#This Row],[Is Zero]])</f>
        <v>0</v>
      </c>
    </row>
    <row r="414" spans="1:11" ht="16" x14ac:dyDescent="0.2">
      <c r="A414" s="1" t="s">
        <v>66</v>
      </c>
      <c r="B414" t="str">
        <f>LEFT(Table13[[#This Row],[Input]],1)</f>
        <v>R</v>
      </c>
      <c r="C414">
        <f>_xlfn.LET(_xlpm.steps,SUBSTITUTE(Table13[[#This Row],[Input]],Table13[[#This Row],[Direction]],""),VALUE(IF(LEN(_xlpm.steps)&gt;2,RIGHT(_xlpm.steps,2),_xlpm.steps)))</f>
        <v>45</v>
      </c>
      <c r="D414">
        <f>_xlfn.LET(_xlpm.steps,SUBSTITUTE(Table13[[#This Row],[Input]],Table13[[#This Row],[Direction]],""),VALUE(IF(LEN(_xlpm.steps)&gt;2,LEFT(_xlpm.steps,LEN(_xlpm.steps)-2),0)))</f>
        <v>0</v>
      </c>
      <c r="E414">
        <f>_xlfn.LET(_xlpm.dir,Table13[[#This Row],[Direction]],
IF(_xlpm.dir="L",
    IF(G413-Table13[[#This Row],[Steps]]&lt;0,100+(G413-Table13[[#This Row],[Steps]]),G413-Table13[[#This Row],[Steps]]),
))</f>
        <v>0</v>
      </c>
      <c r="F414">
        <f>_xlfn.LET(_xlpm.dir,Table13[[#This Row],[Direction]],
IF(_xlpm.dir="R",
    IF(G413+Table13[[#This Row],[Steps]]&gt;99,(G413+Table13[[#This Row],[Steps]])-100,G413+Table13[[#This Row],[Steps]]),
))</f>
        <v>0</v>
      </c>
      <c r="G414">
        <f>IF(Table13[[#This Row],[New Pos L]]&lt;&gt;0,Table13[[#This Row],[New Pos L]],Table13[[#This Row],[New Pos R]])</f>
        <v>0</v>
      </c>
      <c r="H414">
        <f>IF(AND(Table13[[#This Row],[Direction]]="L",Table13[[#This Row],[Steps]]&gt;G413,G413&lt;&gt;0),1,0)</f>
        <v>0</v>
      </c>
      <c r="I414">
        <f>IF(AND(Table13[[#This Row],[Direction]]="R",(G413+Table13[[#This Row],[Steps]])&gt;100),1,0)</f>
        <v>0</v>
      </c>
      <c r="J414">
        <f>IF(Table13[[#This Row],[POS]]=0,1,0)</f>
        <v>1</v>
      </c>
      <c r="K414">
        <f>SUM(Table13[[#This Row],[prefix]],Table13[[#This Row],[Past zero L]],Table13[[#This Row],[Past Zero R]],Table13[[#This Row],[Is Zero]])</f>
        <v>1</v>
      </c>
    </row>
    <row r="415" spans="1:11" ht="16" x14ac:dyDescent="0.2">
      <c r="A415" s="1" t="s">
        <v>212</v>
      </c>
      <c r="B415" t="str">
        <f>LEFT(Table13[[#This Row],[Input]],1)</f>
        <v>R</v>
      </c>
      <c r="C415">
        <f>_xlfn.LET(_xlpm.steps,SUBSTITUTE(Table13[[#This Row],[Input]],Table13[[#This Row],[Direction]],""),VALUE(IF(LEN(_xlpm.steps)&gt;2,RIGHT(_xlpm.steps,2),_xlpm.steps)))</f>
        <v>77</v>
      </c>
      <c r="D415">
        <f>_xlfn.LET(_xlpm.steps,SUBSTITUTE(Table13[[#This Row],[Input]],Table13[[#This Row],[Direction]],""),VALUE(IF(LEN(_xlpm.steps)&gt;2,LEFT(_xlpm.steps,LEN(_xlpm.steps)-2),0)))</f>
        <v>0</v>
      </c>
      <c r="E415">
        <f>_xlfn.LET(_xlpm.dir,Table13[[#This Row],[Direction]],
IF(_xlpm.dir="L",
    IF(G414-Table13[[#This Row],[Steps]]&lt;0,100+(G414-Table13[[#This Row],[Steps]]),G414-Table13[[#This Row],[Steps]]),
))</f>
        <v>0</v>
      </c>
      <c r="F415">
        <f>_xlfn.LET(_xlpm.dir,Table13[[#This Row],[Direction]],
IF(_xlpm.dir="R",
    IF(G414+Table13[[#This Row],[Steps]]&gt;99,(G414+Table13[[#This Row],[Steps]])-100,G414+Table13[[#This Row],[Steps]]),
))</f>
        <v>77</v>
      </c>
      <c r="G415">
        <f>IF(Table13[[#This Row],[New Pos L]]&lt;&gt;0,Table13[[#This Row],[New Pos L]],Table13[[#This Row],[New Pos R]])</f>
        <v>77</v>
      </c>
      <c r="H415">
        <f>IF(AND(Table13[[#This Row],[Direction]]="L",Table13[[#This Row],[Steps]]&gt;G414,G414&lt;&gt;0),1,0)</f>
        <v>0</v>
      </c>
      <c r="I415">
        <f>IF(AND(Table13[[#This Row],[Direction]]="R",(G414+Table13[[#This Row],[Steps]])&gt;100),1,0)</f>
        <v>0</v>
      </c>
      <c r="J415">
        <f>IF(Table13[[#This Row],[POS]]=0,1,0)</f>
        <v>0</v>
      </c>
      <c r="K415">
        <f>SUM(Table13[[#This Row],[prefix]],Table13[[#This Row],[Past zero L]],Table13[[#This Row],[Past Zero R]],Table13[[#This Row],[Is Zero]])</f>
        <v>0</v>
      </c>
    </row>
    <row r="416" spans="1:11" ht="16" x14ac:dyDescent="0.2">
      <c r="A416" s="1" t="s">
        <v>119</v>
      </c>
      <c r="B416" t="str">
        <f>LEFT(Table13[[#This Row],[Input]],1)</f>
        <v>L</v>
      </c>
      <c r="C416">
        <f>_xlfn.LET(_xlpm.steps,SUBSTITUTE(Table13[[#This Row],[Input]],Table13[[#This Row],[Direction]],""),VALUE(IF(LEN(_xlpm.steps)&gt;2,RIGHT(_xlpm.steps,2),_xlpm.steps)))</f>
        <v>77</v>
      </c>
      <c r="D416">
        <f>_xlfn.LET(_xlpm.steps,SUBSTITUTE(Table13[[#This Row],[Input]],Table13[[#This Row],[Direction]],""),VALUE(IF(LEN(_xlpm.steps)&gt;2,LEFT(_xlpm.steps,LEN(_xlpm.steps)-2),0)))</f>
        <v>0</v>
      </c>
      <c r="E416">
        <f>_xlfn.LET(_xlpm.dir,Table13[[#This Row],[Direction]],
IF(_xlpm.dir="L",
    IF(G415-Table13[[#This Row],[Steps]]&lt;0,100+(G415-Table13[[#This Row],[Steps]]),G415-Table13[[#This Row],[Steps]]),
))</f>
        <v>0</v>
      </c>
      <c r="F416">
        <f>_xlfn.LET(_xlpm.dir,Table13[[#This Row],[Direction]],
IF(_xlpm.dir="R",
    IF(G415+Table13[[#This Row],[Steps]]&gt;99,(G415+Table13[[#This Row],[Steps]])-100,G415+Table13[[#This Row],[Steps]]),
))</f>
        <v>0</v>
      </c>
      <c r="G416">
        <f>IF(Table13[[#This Row],[New Pos L]]&lt;&gt;0,Table13[[#This Row],[New Pos L]],Table13[[#This Row],[New Pos R]])</f>
        <v>0</v>
      </c>
      <c r="H416">
        <f>IF(AND(Table13[[#This Row],[Direction]]="L",Table13[[#This Row],[Steps]]&gt;G415,G415&lt;&gt;0),1,0)</f>
        <v>0</v>
      </c>
      <c r="I416">
        <f>IF(AND(Table13[[#This Row],[Direction]]="R",(G415+Table13[[#This Row],[Steps]])&gt;100),1,0)</f>
        <v>0</v>
      </c>
      <c r="J416">
        <f>IF(Table13[[#This Row],[POS]]=0,1,0)</f>
        <v>1</v>
      </c>
      <c r="K416">
        <f>SUM(Table13[[#This Row],[prefix]],Table13[[#This Row],[Past zero L]],Table13[[#This Row],[Past Zero R]],Table13[[#This Row],[Is Zero]])</f>
        <v>1</v>
      </c>
    </row>
    <row r="417" spans="1:11" ht="16" x14ac:dyDescent="0.2">
      <c r="A417" s="1" t="s">
        <v>45</v>
      </c>
      <c r="B417" t="str">
        <f>LEFT(Table13[[#This Row],[Input]],1)</f>
        <v>L</v>
      </c>
      <c r="C417">
        <f>_xlfn.LET(_xlpm.steps,SUBSTITUTE(Table13[[#This Row],[Input]],Table13[[#This Row],[Direction]],""),VALUE(IF(LEN(_xlpm.steps)&gt;2,RIGHT(_xlpm.steps,2),_xlpm.steps)))</f>
        <v>96</v>
      </c>
      <c r="D417">
        <f>_xlfn.LET(_xlpm.steps,SUBSTITUTE(Table13[[#This Row],[Input]],Table13[[#This Row],[Direction]],""),VALUE(IF(LEN(_xlpm.steps)&gt;2,LEFT(_xlpm.steps,LEN(_xlpm.steps)-2),0)))</f>
        <v>0</v>
      </c>
      <c r="E417">
        <f>_xlfn.LET(_xlpm.dir,Table13[[#This Row],[Direction]],
IF(_xlpm.dir="L",
    IF(G416-Table13[[#This Row],[Steps]]&lt;0,100+(G416-Table13[[#This Row],[Steps]]),G416-Table13[[#This Row],[Steps]]),
))</f>
        <v>4</v>
      </c>
      <c r="F417">
        <f>_xlfn.LET(_xlpm.dir,Table13[[#This Row],[Direction]],
IF(_xlpm.dir="R",
    IF(G416+Table13[[#This Row],[Steps]]&gt;99,(G416+Table13[[#This Row],[Steps]])-100,G416+Table13[[#This Row],[Steps]]),
))</f>
        <v>0</v>
      </c>
      <c r="G417">
        <f>IF(Table13[[#This Row],[New Pos L]]&lt;&gt;0,Table13[[#This Row],[New Pos L]],Table13[[#This Row],[New Pos R]])</f>
        <v>4</v>
      </c>
      <c r="H417">
        <f>IF(AND(Table13[[#This Row],[Direction]]="L",Table13[[#This Row],[Steps]]&gt;G416,G416&lt;&gt;0),1,0)</f>
        <v>0</v>
      </c>
      <c r="I417">
        <f>IF(AND(Table13[[#This Row],[Direction]]="R",(G416+Table13[[#This Row],[Steps]])&gt;100),1,0)</f>
        <v>0</v>
      </c>
      <c r="J417">
        <f>IF(Table13[[#This Row],[POS]]=0,1,0)</f>
        <v>0</v>
      </c>
      <c r="K417">
        <f>SUM(Table13[[#This Row],[prefix]],Table13[[#This Row],[Past zero L]],Table13[[#This Row],[Past Zero R]],Table13[[#This Row],[Is Zero]])</f>
        <v>0</v>
      </c>
    </row>
    <row r="418" spans="1:11" ht="16" x14ac:dyDescent="0.2">
      <c r="A418" s="1" t="s">
        <v>14</v>
      </c>
      <c r="B418" t="str">
        <f>LEFT(Table13[[#This Row],[Input]],1)</f>
        <v>L</v>
      </c>
      <c r="C418">
        <f>_xlfn.LET(_xlpm.steps,SUBSTITUTE(Table13[[#This Row],[Input]],Table13[[#This Row],[Direction]],""),VALUE(IF(LEN(_xlpm.steps)&gt;2,RIGHT(_xlpm.steps,2),_xlpm.steps)))</f>
        <v>43</v>
      </c>
      <c r="D418">
        <f>_xlfn.LET(_xlpm.steps,SUBSTITUTE(Table13[[#This Row],[Input]],Table13[[#This Row],[Direction]],""),VALUE(IF(LEN(_xlpm.steps)&gt;2,LEFT(_xlpm.steps,LEN(_xlpm.steps)-2),0)))</f>
        <v>0</v>
      </c>
      <c r="E418">
        <f>_xlfn.LET(_xlpm.dir,Table13[[#This Row],[Direction]],
IF(_xlpm.dir="L",
    IF(G417-Table13[[#This Row],[Steps]]&lt;0,100+(G417-Table13[[#This Row],[Steps]]),G417-Table13[[#This Row],[Steps]]),
))</f>
        <v>61</v>
      </c>
      <c r="F418">
        <f>_xlfn.LET(_xlpm.dir,Table13[[#This Row],[Direction]],
IF(_xlpm.dir="R",
    IF(G417+Table13[[#This Row],[Steps]]&gt;99,(G417+Table13[[#This Row],[Steps]])-100,G417+Table13[[#This Row],[Steps]]),
))</f>
        <v>0</v>
      </c>
      <c r="G418">
        <f>IF(Table13[[#This Row],[New Pos L]]&lt;&gt;0,Table13[[#This Row],[New Pos L]],Table13[[#This Row],[New Pos R]])</f>
        <v>61</v>
      </c>
      <c r="H418">
        <f>IF(AND(Table13[[#This Row],[Direction]]="L",Table13[[#This Row],[Steps]]&gt;G417,G417&lt;&gt;0),1,0)</f>
        <v>1</v>
      </c>
      <c r="I418">
        <f>IF(AND(Table13[[#This Row],[Direction]]="R",(G417+Table13[[#This Row],[Steps]])&gt;100),1,0)</f>
        <v>0</v>
      </c>
      <c r="J418">
        <f>IF(Table13[[#This Row],[POS]]=0,1,0)</f>
        <v>0</v>
      </c>
      <c r="K418">
        <f>SUM(Table13[[#This Row],[prefix]],Table13[[#This Row],[Past zero L]],Table13[[#This Row],[Past Zero R]],Table13[[#This Row],[Is Zero]])</f>
        <v>1</v>
      </c>
    </row>
    <row r="419" spans="1:11" ht="16" x14ac:dyDescent="0.2">
      <c r="A419" s="1" t="s">
        <v>228</v>
      </c>
      <c r="B419" t="str">
        <f>LEFT(Table13[[#This Row],[Input]],1)</f>
        <v>R</v>
      </c>
      <c r="C419">
        <f>_xlfn.LET(_xlpm.steps,SUBSTITUTE(Table13[[#This Row],[Input]],Table13[[#This Row],[Direction]],""),VALUE(IF(LEN(_xlpm.steps)&gt;2,RIGHT(_xlpm.steps,2),_xlpm.steps)))</f>
        <v>16</v>
      </c>
      <c r="D419">
        <f>_xlfn.LET(_xlpm.steps,SUBSTITUTE(Table13[[#This Row],[Input]],Table13[[#This Row],[Direction]],""),VALUE(IF(LEN(_xlpm.steps)&gt;2,LEFT(_xlpm.steps,LEN(_xlpm.steps)-2),0)))</f>
        <v>9</v>
      </c>
      <c r="E419">
        <f>_xlfn.LET(_xlpm.dir,Table13[[#This Row],[Direction]],
IF(_xlpm.dir="L",
    IF(G418-Table13[[#This Row],[Steps]]&lt;0,100+(G418-Table13[[#This Row],[Steps]]),G418-Table13[[#This Row],[Steps]]),
))</f>
        <v>0</v>
      </c>
      <c r="F419">
        <f>_xlfn.LET(_xlpm.dir,Table13[[#This Row],[Direction]],
IF(_xlpm.dir="R",
    IF(G418+Table13[[#This Row],[Steps]]&gt;99,(G418+Table13[[#This Row],[Steps]])-100,G418+Table13[[#This Row],[Steps]]),
))</f>
        <v>77</v>
      </c>
      <c r="G419">
        <f>IF(Table13[[#This Row],[New Pos L]]&lt;&gt;0,Table13[[#This Row],[New Pos L]],Table13[[#This Row],[New Pos R]])</f>
        <v>77</v>
      </c>
      <c r="H419">
        <f>IF(AND(Table13[[#This Row],[Direction]]="L",Table13[[#This Row],[Steps]]&gt;G418,G418&lt;&gt;0),1,0)</f>
        <v>0</v>
      </c>
      <c r="I419">
        <f>IF(AND(Table13[[#This Row],[Direction]]="R",(G418+Table13[[#This Row],[Steps]])&gt;100),1,0)</f>
        <v>0</v>
      </c>
      <c r="J419">
        <f>IF(Table13[[#This Row],[POS]]=0,1,0)</f>
        <v>0</v>
      </c>
      <c r="K419">
        <f>SUM(Table13[[#This Row],[prefix]],Table13[[#This Row],[Past zero L]],Table13[[#This Row],[Past Zero R]],Table13[[#This Row],[Is Zero]])</f>
        <v>9</v>
      </c>
    </row>
    <row r="420" spans="1:11" ht="16" x14ac:dyDescent="0.2">
      <c r="A420" s="1" t="s">
        <v>145</v>
      </c>
      <c r="B420" t="str">
        <f>LEFT(Table13[[#This Row],[Input]],1)</f>
        <v>L</v>
      </c>
      <c r="C420">
        <f>_xlfn.LET(_xlpm.steps,SUBSTITUTE(Table13[[#This Row],[Input]],Table13[[#This Row],[Direction]],""),VALUE(IF(LEN(_xlpm.steps)&gt;2,RIGHT(_xlpm.steps,2),_xlpm.steps)))</f>
        <v>83</v>
      </c>
      <c r="D420">
        <f>_xlfn.LET(_xlpm.steps,SUBSTITUTE(Table13[[#This Row],[Input]],Table13[[#This Row],[Direction]],""),VALUE(IF(LEN(_xlpm.steps)&gt;2,LEFT(_xlpm.steps,LEN(_xlpm.steps)-2),0)))</f>
        <v>0</v>
      </c>
      <c r="E420">
        <f>_xlfn.LET(_xlpm.dir,Table13[[#This Row],[Direction]],
IF(_xlpm.dir="L",
    IF(G419-Table13[[#This Row],[Steps]]&lt;0,100+(G419-Table13[[#This Row],[Steps]]),G419-Table13[[#This Row],[Steps]]),
))</f>
        <v>94</v>
      </c>
      <c r="F420">
        <f>_xlfn.LET(_xlpm.dir,Table13[[#This Row],[Direction]],
IF(_xlpm.dir="R",
    IF(G419+Table13[[#This Row],[Steps]]&gt;99,(G419+Table13[[#This Row],[Steps]])-100,G419+Table13[[#This Row],[Steps]]),
))</f>
        <v>0</v>
      </c>
      <c r="G420">
        <f>IF(Table13[[#This Row],[New Pos L]]&lt;&gt;0,Table13[[#This Row],[New Pos L]],Table13[[#This Row],[New Pos R]])</f>
        <v>94</v>
      </c>
      <c r="H420">
        <f>IF(AND(Table13[[#This Row],[Direction]]="L",Table13[[#This Row],[Steps]]&gt;G419,G419&lt;&gt;0),1,0)</f>
        <v>1</v>
      </c>
      <c r="I420">
        <f>IF(AND(Table13[[#This Row],[Direction]]="R",(G419+Table13[[#This Row],[Steps]])&gt;100),1,0)</f>
        <v>0</v>
      </c>
      <c r="J420">
        <f>IF(Table13[[#This Row],[POS]]=0,1,0)</f>
        <v>0</v>
      </c>
      <c r="K420">
        <f>SUM(Table13[[#This Row],[prefix]],Table13[[#This Row],[Past zero L]],Table13[[#This Row],[Past Zero R]],Table13[[#This Row],[Is Zero]])</f>
        <v>1</v>
      </c>
    </row>
    <row r="421" spans="1:11" ht="16" x14ac:dyDescent="0.2">
      <c r="A421" s="1" t="s">
        <v>29</v>
      </c>
      <c r="B421" t="str">
        <f>LEFT(Table13[[#This Row],[Input]],1)</f>
        <v>L</v>
      </c>
      <c r="C421">
        <f>_xlfn.LET(_xlpm.steps,SUBSTITUTE(Table13[[#This Row],[Input]],Table13[[#This Row],[Direction]],""),VALUE(IF(LEN(_xlpm.steps)&gt;2,RIGHT(_xlpm.steps,2),_xlpm.steps)))</f>
        <v>33</v>
      </c>
      <c r="D421">
        <f>_xlfn.LET(_xlpm.steps,SUBSTITUTE(Table13[[#This Row],[Input]],Table13[[#This Row],[Direction]],""),VALUE(IF(LEN(_xlpm.steps)&gt;2,LEFT(_xlpm.steps,LEN(_xlpm.steps)-2),0)))</f>
        <v>0</v>
      </c>
      <c r="E421">
        <f>_xlfn.LET(_xlpm.dir,Table13[[#This Row],[Direction]],
IF(_xlpm.dir="L",
    IF(G420-Table13[[#This Row],[Steps]]&lt;0,100+(G420-Table13[[#This Row],[Steps]]),G420-Table13[[#This Row],[Steps]]),
))</f>
        <v>61</v>
      </c>
      <c r="F421">
        <f>_xlfn.LET(_xlpm.dir,Table13[[#This Row],[Direction]],
IF(_xlpm.dir="R",
    IF(G420+Table13[[#This Row],[Steps]]&gt;99,(G420+Table13[[#This Row],[Steps]])-100,G420+Table13[[#This Row],[Steps]]),
))</f>
        <v>0</v>
      </c>
      <c r="G421">
        <f>IF(Table13[[#This Row],[New Pos L]]&lt;&gt;0,Table13[[#This Row],[New Pos L]],Table13[[#This Row],[New Pos R]])</f>
        <v>61</v>
      </c>
      <c r="H421">
        <f>IF(AND(Table13[[#This Row],[Direction]]="L",Table13[[#This Row],[Steps]]&gt;G420,G420&lt;&gt;0),1,0)</f>
        <v>0</v>
      </c>
      <c r="I421">
        <f>IF(AND(Table13[[#This Row],[Direction]]="R",(G420+Table13[[#This Row],[Steps]])&gt;100),1,0)</f>
        <v>0</v>
      </c>
      <c r="J421">
        <f>IF(Table13[[#This Row],[POS]]=0,1,0)</f>
        <v>0</v>
      </c>
      <c r="K421">
        <f>SUM(Table13[[#This Row],[prefix]],Table13[[#This Row],[Past zero L]],Table13[[#This Row],[Past Zero R]],Table13[[#This Row],[Is Zero]])</f>
        <v>0</v>
      </c>
    </row>
    <row r="422" spans="1:11" ht="16" x14ac:dyDescent="0.2">
      <c r="A422" s="1" t="s">
        <v>223</v>
      </c>
      <c r="B422" t="str">
        <f>LEFT(Table13[[#This Row],[Input]],1)</f>
        <v>L</v>
      </c>
      <c r="C422">
        <f>_xlfn.LET(_xlpm.steps,SUBSTITUTE(Table13[[#This Row],[Input]],Table13[[#This Row],[Direction]],""),VALUE(IF(LEN(_xlpm.steps)&gt;2,RIGHT(_xlpm.steps,2),_xlpm.steps)))</f>
        <v>87</v>
      </c>
      <c r="D422">
        <f>_xlfn.LET(_xlpm.steps,SUBSTITUTE(Table13[[#This Row],[Input]],Table13[[#This Row],[Direction]],""),VALUE(IF(LEN(_xlpm.steps)&gt;2,LEFT(_xlpm.steps,LEN(_xlpm.steps)-2),0)))</f>
        <v>0</v>
      </c>
      <c r="E422">
        <f>_xlfn.LET(_xlpm.dir,Table13[[#This Row],[Direction]],
IF(_xlpm.dir="L",
    IF(G421-Table13[[#This Row],[Steps]]&lt;0,100+(G421-Table13[[#This Row],[Steps]]),G421-Table13[[#This Row],[Steps]]),
))</f>
        <v>74</v>
      </c>
      <c r="F422">
        <f>_xlfn.LET(_xlpm.dir,Table13[[#This Row],[Direction]],
IF(_xlpm.dir="R",
    IF(G421+Table13[[#This Row],[Steps]]&gt;99,(G421+Table13[[#This Row],[Steps]])-100,G421+Table13[[#This Row],[Steps]]),
))</f>
        <v>0</v>
      </c>
      <c r="G422">
        <f>IF(Table13[[#This Row],[New Pos L]]&lt;&gt;0,Table13[[#This Row],[New Pos L]],Table13[[#This Row],[New Pos R]])</f>
        <v>74</v>
      </c>
      <c r="H422">
        <f>IF(AND(Table13[[#This Row],[Direction]]="L",Table13[[#This Row],[Steps]]&gt;G421,G421&lt;&gt;0),1,0)</f>
        <v>1</v>
      </c>
      <c r="I422">
        <f>IF(AND(Table13[[#This Row],[Direction]]="R",(G421+Table13[[#This Row],[Steps]])&gt;100),1,0)</f>
        <v>0</v>
      </c>
      <c r="J422">
        <f>IF(Table13[[#This Row],[POS]]=0,1,0)</f>
        <v>0</v>
      </c>
      <c r="K422">
        <f>SUM(Table13[[#This Row],[prefix]],Table13[[#This Row],[Past zero L]],Table13[[#This Row],[Past Zero R]],Table13[[#This Row],[Is Zero]])</f>
        <v>1</v>
      </c>
    </row>
    <row r="423" spans="1:11" ht="16" x14ac:dyDescent="0.2">
      <c r="A423" s="1" t="s">
        <v>1</v>
      </c>
      <c r="B423" t="str">
        <f>LEFT(Table13[[#This Row],[Input]],1)</f>
        <v>R</v>
      </c>
      <c r="C423">
        <f>_xlfn.LET(_xlpm.steps,SUBSTITUTE(Table13[[#This Row],[Input]],Table13[[#This Row],[Direction]],""),VALUE(IF(LEN(_xlpm.steps)&gt;2,RIGHT(_xlpm.steps,2),_xlpm.steps)))</f>
        <v>26</v>
      </c>
      <c r="D423">
        <f>_xlfn.LET(_xlpm.steps,SUBSTITUTE(Table13[[#This Row],[Input]],Table13[[#This Row],[Direction]],""),VALUE(IF(LEN(_xlpm.steps)&gt;2,LEFT(_xlpm.steps,LEN(_xlpm.steps)-2),0)))</f>
        <v>0</v>
      </c>
      <c r="E423">
        <f>_xlfn.LET(_xlpm.dir,Table13[[#This Row],[Direction]],
IF(_xlpm.dir="L",
    IF(G422-Table13[[#This Row],[Steps]]&lt;0,100+(G422-Table13[[#This Row],[Steps]]),G422-Table13[[#This Row],[Steps]]),
))</f>
        <v>0</v>
      </c>
      <c r="F423">
        <f>_xlfn.LET(_xlpm.dir,Table13[[#This Row],[Direction]],
IF(_xlpm.dir="R",
    IF(G422+Table13[[#This Row],[Steps]]&gt;99,(G422+Table13[[#This Row],[Steps]])-100,G422+Table13[[#This Row],[Steps]]),
))</f>
        <v>0</v>
      </c>
      <c r="G423">
        <f>IF(Table13[[#This Row],[New Pos L]]&lt;&gt;0,Table13[[#This Row],[New Pos L]],Table13[[#This Row],[New Pos R]])</f>
        <v>0</v>
      </c>
      <c r="H423">
        <f>IF(AND(Table13[[#This Row],[Direction]]="L",Table13[[#This Row],[Steps]]&gt;G422,G422&lt;&gt;0),1,0)</f>
        <v>0</v>
      </c>
      <c r="I423">
        <f>IF(AND(Table13[[#This Row],[Direction]]="R",(G422+Table13[[#This Row],[Steps]])&gt;100),1,0)</f>
        <v>0</v>
      </c>
      <c r="J423">
        <f>IF(Table13[[#This Row],[POS]]=0,1,0)</f>
        <v>1</v>
      </c>
      <c r="K423">
        <f>SUM(Table13[[#This Row],[prefix]],Table13[[#This Row],[Past zero L]],Table13[[#This Row],[Past Zero R]],Table13[[#This Row],[Is Zero]])</f>
        <v>1</v>
      </c>
    </row>
    <row r="424" spans="1:11" ht="16" x14ac:dyDescent="0.2">
      <c r="A424" s="1" t="s">
        <v>27</v>
      </c>
      <c r="B424" t="str">
        <f>LEFT(Table13[[#This Row],[Input]],1)</f>
        <v>L</v>
      </c>
      <c r="C424">
        <f>_xlfn.LET(_xlpm.steps,SUBSTITUTE(Table13[[#This Row],[Input]],Table13[[#This Row],[Direction]],""),VALUE(IF(LEN(_xlpm.steps)&gt;2,RIGHT(_xlpm.steps,2),_xlpm.steps)))</f>
        <v>14</v>
      </c>
      <c r="D424">
        <f>_xlfn.LET(_xlpm.steps,SUBSTITUTE(Table13[[#This Row],[Input]],Table13[[#This Row],[Direction]],""),VALUE(IF(LEN(_xlpm.steps)&gt;2,LEFT(_xlpm.steps,LEN(_xlpm.steps)-2),0)))</f>
        <v>0</v>
      </c>
      <c r="E424">
        <f>_xlfn.LET(_xlpm.dir,Table13[[#This Row],[Direction]],
IF(_xlpm.dir="L",
    IF(G423-Table13[[#This Row],[Steps]]&lt;0,100+(G423-Table13[[#This Row],[Steps]]),G423-Table13[[#This Row],[Steps]]),
))</f>
        <v>86</v>
      </c>
      <c r="F424">
        <f>_xlfn.LET(_xlpm.dir,Table13[[#This Row],[Direction]],
IF(_xlpm.dir="R",
    IF(G423+Table13[[#This Row],[Steps]]&gt;99,(G423+Table13[[#This Row],[Steps]])-100,G423+Table13[[#This Row],[Steps]]),
))</f>
        <v>0</v>
      </c>
      <c r="G424">
        <f>IF(Table13[[#This Row],[New Pos L]]&lt;&gt;0,Table13[[#This Row],[New Pos L]],Table13[[#This Row],[New Pos R]])</f>
        <v>86</v>
      </c>
      <c r="H424">
        <f>IF(AND(Table13[[#This Row],[Direction]]="L",Table13[[#This Row],[Steps]]&gt;G423,G423&lt;&gt;0),1,0)</f>
        <v>0</v>
      </c>
      <c r="I424">
        <f>IF(AND(Table13[[#This Row],[Direction]]="R",(G423+Table13[[#This Row],[Steps]])&gt;100),1,0)</f>
        <v>0</v>
      </c>
      <c r="J424">
        <f>IF(Table13[[#This Row],[POS]]=0,1,0)</f>
        <v>0</v>
      </c>
      <c r="K424">
        <f>SUM(Table13[[#This Row],[prefix]],Table13[[#This Row],[Past zero L]],Table13[[#This Row],[Past Zero R]],Table13[[#This Row],[Is Zero]])</f>
        <v>0</v>
      </c>
    </row>
    <row r="425" spans="1:11" ht="16" x14ac:dyDescent="0.2">
      <c r="A425" s="1" t="s">
        <v>155</v>
      </c>
      <c r="B425" t="str">
        <f>LEFT(Table13[[#This Row],[Input]],1)</f>
        <v>L</v>
      </c>
      <c r="C425">
        <f>_xlfn.LET(_xlpm.steps,SUBSTITUTE(Table13[[#This Row],[Input]],Table13[[#This Row],[Direction]],""),VALUE(IF(LEN(_xlpm.steps)&gt;2,RIGHT(_xlpm.steps,2),_xlpm.steps)))</f>
        <v>18</v>
      </c>
      <c r="D425">
        <f>_xlfn.LET(_xlpm.steps,SUBSTITUTE(Table13[[#This Row],[Input]],Table13[[#This Row],[Direction]],""),VALUE(IF(LEN(_xlpm.steps)&gt;2,LEFT(_xlpm.steps,LEN(_xlpm.steps)-2),0)))</f>
        <v>0</v>
      </c>
      <c r="E425">
        <f>_xlfn.LET(_xlpm.dir,Table13[[#This Row],[Direction]],
IF(_xlpm.dir="L",
    IF(G424-Table13[[#This Row],[Steps]]&lt;0,100+(G424-Table13[[#This Row],[Steps]]),G424-Table13[[#This Row],[Steps]]),
))</f>
        <v>68</v>
      </c>
      <c r="F425">
        <f>_xlfn.LET(_xlpm.dir,Table13[[#This Row],[Direction]],
IF(_xlpm.dir="R",
    IF(G424+Table13[[#This Row],[Steps]]&gt;99,(G424+Table13[[#This Row],[Steps]])-100,G424+Table13[[#This Row],[Steps]]),
))</f>
        <v>0</v>
      </c>
      <c r="G425">
        <f>IF(Table13[[#This Row],[New Pos L]]&lt;&gt;0,Table13[[#This Row],[New Pos L]],Table13[[#This Row],[New Pos R]])</f>
        <v>68</v>
      </c>
      <c r="H425">
        <f>IF(AND(Table13[[#This Row],[Direction]]="L",Table13[[#This Row],[Steps]]&gt;G424,G424&lt;&gt;0),1,0)</f>
        <v>0</v>
      </c>
      <c r="I425">
        <f>IF(AND(Table13[[#This Row],[Direction]]="R",(G424+Table13[[#This Row],[Steps]])&gt;100),1,0)</f>
        <v>0</v>
      </c>
      <c r="J425">
        <f>IF(Table13[[#This Row],[POS]]=0,1,0)</f>
        <v>0</v>
      </c>
      <c r="K425">
        <f>SUM(Table13[[#This Row],[prefix]],Table13[[#This Row],[Past zero L]],Table13[[#This Row],[Past Zero R]],Table13[[#This Row],[Is Zero]])</f>
        <v>0</v>
      </c>
    </row>
    <row r="426" spans="1:11" ht="16" x14ac:dyDescent="0.2">
      <c r="A426" s="1" t="s">
        <v>38</v>
      </c>
      <c r="B426" t="str">
        <f>LEFT(Table13[[#This Row],[Input]],1)</f>
        <v>R</v>
      </c>
      <c r="C426">
        <f>_xlfn.LET(_xlpm.steps,SUBSTITUTE(Table13[[#This Row],[Input]],Table13[[#This Row],[Direction]],""),VALUE(IF(LEN(_xlpm.steps)&gt;2,RIGHT(_xlpm.steps,2),_xlpm.steps)))</f>
        <v>15</v>
      </c>
      <c r="D426">
        <f>_xlfn.LET(_xlpm.steps,SUBSTITUTE(Table13[[#This Row],[Input]],Table13[[#This Row],[Direction]],""),VALUE(IF(LEN(_xlpm.steps)&gt;2,LEFT(_xlpm.steps,LEN(_xlpm.steps)-2),0)))</f>
        <v>0</v>
      </c>
      <c r="E426">
        <f>_xlfn.LET(_xlpm.dir,Table13[[#This Row],[Direction]],
IF(_xlpm.dir="L",
    IF(G425-Table13[[#This Row],[Steps]]&lt;0,100+(G425-Table13[[#This Row],[Steps]]),G425-Table13[[#This Row],[Steps]]),
))</f>
        <v>0</v>
      </c>
      <c r="F426">
        <f>_xlfn.LET(_xlpm.dir,Table13[[#This Row],[Direction]],
IF(_xlpm.dir="R",
    IF(G425+Table13[[#This Row],[Steps]]&gt;99,(G425+Table13[[#This Row],[Steps]])-100,G425+Table13[[#This Row],[Steps]]),
))</f>
        <v>83</v>
      </c>
      <c r="G426">
        <f>IF(Table13[[#This Row],[New Pos L]]&lt;&gt;0,Table13[[#This Row],[New Pos L]],Table13[[#This Row],[New Pos R]])</f>
        <v>83</v>
      </c>
      <c r="H426">
        <f>IF(AND(Table13[[#This Row],[Direction]]="L",Table13[[#This Row],[Steps]]&gt;G425,G425&lt;&gt;0),1,0)</f>
        <v>0</v>
      </c>
      <c r="I426">
        <f>IF(AND(Table13[[#This Row],[Direction]]="R",(G425+Table13[[#This Row],[Steps]])&gt;100),1,0)</f>
        <v>0</v>
      </c>
      <c r="J426">
        <f>IF(Table13[[#This Row],[POS]]=0,1,0)</f>
        <v>0</v>
      </c>
      <c r="K426">
        <f>SUM(Table13[[#This Row],[prefix]],Table13[[#This Row],[Past zero L]],Table13[[#This Row],[Past Zero R]],Table13[[#This Row],[Is Zero]])</f>
        <v>0</v>
      </c>
    </row>
    <row r="427" spans="1:11" ht="16" x14ac:dyDescent="0.2">
      <c r="A427" s="1" t="s">
        <v>145</v>
      </c>
      <c r="B427" t="str">
        <f>LEFT(Table13[[#This Row],[Input]],1)</f>
        <v>L</v>
      </c>
      <c r="C427">
        <f>_xlfn.LET(_xlpm.steps,SUBSTITUTE(Table13[[#This Row],[Input]],Table13[[#This Row],[Direction]],""),VALUE(IF(LEN(_xlpm.steps)&gt;2,RIGHT(_xlpm.steps,2),_xlpm.steps)))</f>
        <v>83</v>
      </c>
      <c r="D427">
        <f>_xlfn.LET(_xlpm.steps,SUBSTITUTE(Table13[[#This Row],[Input]],Table13[[#This Row],[Direction]],""),VALUE(IF(LEN(_xlpm.steps)&gt;2,LEFT(_xlpm.steps,LEN(_xlpm.steps)-2),0)))</f>
        <v>0</v>
      </c>
      <c r="E427">
        <f>_xlfn.LET(_xlpm.dir,Table13[[#This Row],[Direction]],
IF(_xlpm.dir="L",
    IF(G426-Table13[[#This Row],[Steps]]&lt;0,100+(G426-Table13[[#This Row],[Steps]]),G426-Table13[[#This Row],[Steps]]),
))</f>
        <v>0</v>
      </c>
      <c r="F427">
        <f>_xlfn.LET(_xlpm.dir,Table13[[#This Row],[Direction]],
IF(_xlpm.dir="R",
    IF(G426+Table13[[#This Row],[Steps]]&gt;99,(G426+Table13[[#This Row],[Steps]])-100,G426+Table13[[#This Row],[Steps]]),
))</f>
        <v>0</v>
      </c>
      <c r="G427">
        <f>IF(Table13[[#This Row],[New Pos L]]&lt;&gt;0,Table13[[#This Row],[New Pos L]],Table13[[#This Row],[New Pos R]])</f>
        <v>0</v>
      </c>
      <c r="H427">
        <f>IF(AND(Table13[[#This Row],[Direction]]="L",Table13[[#This Row],[Steps]]&gt;G426,G426&lt;&gt;0),1,0)</f>
        <v>0</v>
      </c>
      <c r="I427">
        <f>IF(AND(Table13[[#This Row],[Direction]]="R",(G426+Table13[[#This Row],[Steps]])&gt;100),1,0)</f>
        <v>0</v>
      </c>
      <c r="J427">
        <f>IF(Table13[[#This Row],[POS]]=0,1,0)</f>
        <v>1</v>
      </c>
      <c r="K427">
        <f>SUM(Table13[[#This Row],[prefix]],Table13[[#This Row],[Past zero L]],Table13[[#This Row],[Past Zero R]],Table13[[#This Row],[Is Zero]])</f>
        <v>1</v>
      </c>
    </row>
    <row r="428" spans="1:11" ht="16" x14ac:dyDescent="0.2">
      <c r="A428" s="1" t="s">
        <v>3</v>
      </c>
      <c r="B428" t="str">
        <f>LEFT(Table13[[#This Row],[Input]],1)</f>
        <v>R</v>
      </c>
      <c r="C428">
        <f>_xlfn.LET(_xlpm.steps,SUBSTITUTE(Table13[[#This Row],[Input]],Table13[[#This Row],[Direction]],""),VALUE(IF(LEN(_xlpm.steps)&gt;2,RIGHT(_xlpm.steps,2),_xlpm.steps)))</f>
        <v>44</v>
      </c>
      <c r="D428">
        <f>_xlfn.LET(_xlpm.steps,SUBSTITUTE(Table13[[#This Row],[Input]],Table13[[#This Row],[Direction]],""),VALUE(IF(LEN(_xlpm.steps)&gt;2,LEFT(_xlpm.steps,LEN(_xlpm.steps)-2),0)))</f>
        <v>0</v>
      </c>
      <c r="E428">
        <f>_xlfn.LET(_xlpm.dir,Table13[[#This Row],[Direction]],
IF(_xlpm.dir="L",
    IF(G427-Table13[[#This Row],[Steps]]&lt;0,100+(G427-Table13[[#This Row],[Steps]]),G427-Table13[[#This Row],[Steps]]),
))</f>
        <v>0</v>
      </c>
      <c r="F428">
        <f>_xlfn.LET(_xlpm.dir,Table13[[#This Row],[Direction]],
IF(_xlpm.dir="R",
    IF(G427+Table13[[#This Row],[Steps]]&gt;99,(G427+Table13[[#This Row],[Steps]])-100,G427+Table13[[#This Row],[Steps]]),
))</f>
        <v>44</v>
      </c>
      <c r="G428">
        <f>IF(Table13[[#This Row],[New Pos L]]&lt;&gt;0,Table13[[#This Row],[New Pos L]],Table13[[#This Row],[New Pos R]])</f>
        <v>44</v>
      </c>
      <c r="H428">
        <f>IF(AND(Table13[[#This Row],[Direction]]="L",Table13[[#This Row],[Steps]]&gt;G427,G427&lt;&gt;0),1,0)</f>
        <v>0</v>
      </c>
      <c r="I428">
        <f>IF(AND(Table13[[#This Row],[Direction]]="R",(G427+Table13[[#This Row],[Steps]])&gt;100),1,0)</f>
        <v>0</v>
      </c>
      <c r="J428">
        <f>IF(Table13[[#This Row],[POS]]=0,1,0)</f>
        <v>0</v>
      </c>
      <c r="K428">
        <f>SUM(Table13[[#This Row],[prefix]],Table13[[#This Row],[Past zero L]],Table13[[#This Row],[Past Zero R]],Table13[[#This Row],[Is Zero]])</f>
        <v>0</v>
      </c>
    </row>
    <row r="429" spans="1:11" ht="16" x14ac:dyDescent="0.2">
      <c r="A429" s="1" t="s">
        <v>81</v>
      </c>
      <c r="B429" t="str">
        <f>LEFT(Table13[[#This Row],[Input]],1)</f>
        <v>R</v>
      </c>
      <c r="C429">
        <f>_xlfn.LET(_xlpm.steps,SUBSTITUTE(Table13[[#This Row],[Input]],Table13[[#This Row],[Direction]],""),VALUE(IF(LEN(_xlpm.steps)&gt;2,RIGHT(_xlpm.steps,2),_xlpm.steps)))</f>
        <v>17</v>
      </c>
      <c r="D429">
        <f>_xlfn.LET(_xlpm.steps,SUBSTITUTE(Table13[[#This Row],[Input]],Table13[[#This Row],[Direction]],""),VALUE(IF(LEN(_xlpm.steps)&gt;2,LEFT(_xlpm.steps,LEN(_xlpm.steps)-2),0)))</f>
        <v>0</v>
      </c>
      <c r="E429">
        <f>_xlfn.LET(_xlpm.dir,Table13[[#This Row],[Direction]],
IF(_xlpm.dir="L",
    IF(G428-Table13[[#This Row],[Steps]]&lt;0,100+(G428-Table13[[#This Row],[Steps]]),G428-Table13[[#This Row],[Steps]]),
))</f>
        <v>0</v>
      </c>
      <c r="F429">
        <f>_xlfn.LET(_xlpm.dir,Table13[[#This Row],[Direction]],
IF(_xlpm.dir="R",
    IF(G428+Table13[[#This Row],[Steps]]&gt;99,(G428+Table13[[#This Row],[Steps]])-100,G428+Table13[[#This Row],[Steps]]),
))</f>
        <v>61</v>
      </c>
      <c r="G429">
        <f>IF(Table13[[#This Row],[New Pos L]]&lt;&gt;0,Table13[[#This Row],[New Pos L]],Table13[[#This Row],[New Pos R]])</f>
        <v>61</v>
      </c>
      <c r="H429">
        <f>IF(AND(Table13[[#This Row],[Direction]]="L",Table13[[#This Row],[Steps]]&gt;G428,G428&lt;&gt;0),1,0)</f>
        <v>0</v>
      </c>
      <c r="I429">
        <f>IF(AND(Table13[[#This Row],[Direction]]="R",(G428+Table13[[#This Row],[Steps]])&gt;100),1,0)</f>
        <v>0</v>
      </c>
      <c r="J429">
        <f>IF(Table13[[#This Row],[POS]]=0,1,0)</f>
        <v>0</v>
      </c>
      <c r="K429">
        <f>SUM(Table13[[#This Row],[prefix]],Table13[[#This Row],[Past zero L]],Table13[[#This Row],[Past Zero R]],Table13[[#This Row],[Is Zero]])</f>
        <v>0</v>
      </c>
    </row>
    <row r="430" spans="1:11" ht="16" x14ac:dyDescent="0.2">
      <c r="A430" s="1" t="s">
        <v>12</v>
      </c>
      <c r="B430" t="str">
        <f>LEFT(Table13[[#This Row],[Input]],1)</f>
        <v>L</v>
      </c>
      <c r="C430">
        <f>_xlfn.LET(_xlpm.steps,SUBSTITUTE(Table13[[#This Row],[Input]],Table13[[#This Row],[Direction]],""),VALUE(IF(LEN(_xlpm.steps)&gt;2,RIGHT(_xlpm.steps,2),_xlpm.steps)))</f>
        <v>11</v>
      </c>
      <c r="D430">
        <f>_xlfn.LET(_xlpm.steps,SUBSTITUTE(Table13[[#This Row],[Input]],Table13[[#This Row],[Direction]],""),VALUE(IF(LEN(_xlpm.steps)&gt;2,LEFT(_xlpm.steps,LEN(_xlpm.steps)-2),0)))</f>
        <v>0</v>
      </c>
      <c r="E430">
        <f>_xlfn.LET(_xlpm.dir,Table13[[#This Row],[Direction]],
IF(_xlpm.dir="L",
    IF(G429-Table13[[#This Row],[Steps]]&lt;0,100+(G429-Table13[[#This Row],[Steps]]),G429-Table13[[#This Row],[Steps]]),
))</f>
        <v>50</v>
      </c>
      <c r="F430">
        <f>_xlfn.LET(_xlpm.dir,Table13[[#This Row],[Direction]],
IF(_xlpm.dir="R",
    IF(G429+Table13[[#This Row],[Steps]]&gt;99,(G429+Table13[[#This Row],[Steps]])-100,G429+Table13[[#This Row],[Steps]]),
))</f>
        <v>0</v>
      </c>
      <c r="G430">
        <f>IF(Table13[[#This Row],[New Pos L]]&lt;&gt;0,Table13[[#This Row],[New Pos L]],Table13[[#This Row],[New Pos R]])</f>
        <v>50</v>
      </c>
      <c r="H430">
        <f>IF(AND(Table13[[#This Row],[Direction]]="L",Table13[[#This Row],[Steps]]&gt;G429,G429&lt;&gt;0),1,0)</f>
        <v>0</v>
      </c>
      <c r="I430">
        <f>IF(AND(Table13[[#This Row],[Direction]]="R",(G429+Table13[[#This Row],[Steps]])&gt;100),1,0)</f>
        <v>0</v>
      </c>
      <c r="J430">
        <f>IF(Table13[[#This Row],[POS]]=0,1,0)</f>
        <v>0</v>
      </c>
      <c r="K430">
        <f>SUM(Table13[[#This Row],[prefix]],Table13[[#This Row],[Past zero L]],Table13[[#This Row],[Past Zero R]],Table13[[#This Row],[Is Zero]])</f>
        <v>0</v>
      </c>
    </row>
    <row r="431" spans="1:11" ht="16" x14ac:dyDescent="0.2">
      <c r="A431" s="1" t="s">
        <v>14</v>
      </c>
      <c r="B431" t="str">
        <f>LEFT(Table13[[#This Row],[Input]],1)</f>
        <v>L</v>
      </c>
      <c r="C431">
        <f>_xlfn.LET(_xlpm.steps,SUBSTITUTE(Table13[[#This Row],[Input]],Table13[[#This Row],[Direction]],""),VALUE(IF(LEN(_xlpm.steps)&gt;2,RIGHT(_xlpm.steps,2),_xlpm.steps)))</f>
        <v>43</v>
      </c>
      <c r="D431">
        <f>_xlfn.LET(_xlpm.steps,SUBSTITUTE(Table13[[#This Row],[Input]],Table13[[#This Row],[Direction]],""),VALUE(IF(LEN(_xlpm.steps)&gt;2,LEFT(_xlpm.steps,LEN(_xlpm.steps)-2),0)))</f>
        <v>0</v>
      </c>
      <c r="E431">
        <f>_xlfn.LET(_xlpm.dir,Table13[[#This Row],[Direction]],
IF(_xlpm.dir="L",
    IF(G430-Table13[[#This Row],[Steps]]&lt;0,100+(G430-Table13[[#This Row],[Steps]]),G430-Table13[[#This Row],[Steps]]),
))</f>
        <v>7</v>
      </c>
      <c r="F431">
        <f>_xlfn.LET(_xlpm.dir,Table13[[#This Row],[Direction]],
IF(_xlpm.dir="R",
    IF(G430+Table13[[#This Row],[Steps]]&gt;99,(G430+Table13[[#This Row],[Steps]])-100,G430+Table13[[#This Row],[Steps]]),
))</f>
        <v>0</v>
      </c>
      <c r="G431">
        <f>IF(Table13[[#This Row],[New Pos L]]&lt;&gt;0,Table13[[#This Row],[New Pos L]],Table13[[#This Row],[New Pos R]])</f>
        <v>7</v>
      </c>
      <c r="H431">
        <f>IF(AND(Table13[[#This Row],[Direction]]="L",Table13[[#This Row],[Steps]]&gt;G430,G430&lt;&gt;0),1,0)</f>
        <v>0</v>
      </c>
      <c r="I431">
        <f>IF(AND(Table13[[#This Row],[Direction]]="R",(G430+Table13[[#This Row],[Steps]])&gt;100),1,0)</f>
        <v>0</v>
      </c>
      <c r="J431">
        <f>IF(Table13[[#This Row],[POS]]=0,1,0)</f>
        <v>0</v>
      </c>
      <c r="K431">
        <f>SUM(Table13[[#This Row],[prefix]],Table13[[#This Row],[Past zero L]],Table13[[#This Row],[Past Zero R]],Table13[[#This Row],[Is Zero]])</f>
        <v>0</v>
      </c>
    </row>
    <row r="432" spans="1:11" ht="16" x14ac:dyDescent="0.2">
      <c r="A432" s="1" t="s">
        <v>123</v>
      </c>
      <c r="B432" t="str">
        <f>LEFT(Table13[[#This Row],[Input]],1)</f>
        <v>L</v>
      </c>
      <c r="C432">
        <f>_xlfn.LET(_xlpm.steps,SUBSTITUTE(Table13[[#This Row],[Input]],Table13[[#This Row],[Direction]],""),VALUE(IF(LEN(_xlpm.steps)&gt;2,RIGHT(_xlpm.steps,2),_xlpm.steps)))</f>
        <v>63</v>
      </c>
      <c r="D432">
        <f>_xlfn.LET(_xlpm.steps,SUBSTITUTE(Table13[[#This Row],[Input]],Table13[[#This Row],[Direction]],""),VALUE(IF(LEN(_xlpm.steps)&gt;2,LEFT(_xlpm.steps,LEN(_xlpm.steps)-2),0)))</f>
        <v>0</v>
      </c>
      <c r="E432">
        <f>_xlfn.LET(_xlpm.dir,Table13[[#This Row],[Direction]],
IF(_xlpm.dir="L",
    IF(G431-Table13[[#This Row],[Steps]]&lt;0,100+(G431-Table13[[#This Row],[Steps]]),G431-Table13[[#This Row],[Steps]]),
))</f>
        <v>44</v>
      </c>
      <c r="F432">
        <f>_xlfn.LET(_xlpm.dir,Table13[[#This Row],[Direction]],
IF(_xlpm.dir="R",
    IF(G431+Table13[[#This Row],[Steps]]&gt;99,(G431+Table13[[#This Row],[Steps]])-100,G431+Table13[[#This Row],[Steps]]),
))</f>
        <v>0</v>
      </c>
      <c r="G432">
        <f>IF(Table13[[#This Row],[New Pos L]]&lt;&gt;0,Table13[[#This Row],[New Pos L]],Table13[[#This Row],[New Pos R]])</f>
        <v>44</v>
      </c>
      <c r="H432">
        <f>IF(AND(Table13[[#This Row],[Direction]]="L",Table13[[#This Row],[Steps]]&gt;G431,G431&lt;&gt;0),1,0)</f>
        <v>1</v>
      </c>
      <c r="I432">
        <f>IF(AND(Table13[[#This Row],[Direction]]="R",(G431+Table13[[#This Row],[Steps]])&gt;100),1,0)</f>
        <v>0</v>
      </c>
      <c r="J432">
        <f>IF(Table13[[#This Row],[POS]]=0,1,0)</f>
        <v>0</v>
      </c>
      <c r="K432">
        <f>SUM(Table13[[#This Row],[prefix]],Table13[[#This Row],[Past zero L]],Table13[[#This Row],[Past Zero R]],Table13[[#This Row],[Is Zero]])</f>
        <v>1</v>
      </c>
    </row>
    <row r="433" spans="1:11" ht="16" x14ac:dyDescent="0.2">
      <c r="A433" s="1" t="s">
        <v>229</v>
      </c>
      <c r="B433" t="str">
        <f>LEFT(Table13[[#This Row],[Input]],1)</f>
        <v>R</v>
      </c>
      <c r="C433">
        <f>_xlfn.LET(_xlpm.steps,SUBSTITUTE(Table13[[#This Row],[Input]],Table13[[#This Row],[Direction]],""),VALUE(IF(LEN(_xlpm.steps)&gt;2,RIGHT(_xlpm.steps,2),_xlpm.steps)))</f>
        <v>75</v>
      </c>
      <c r="D433">
        <f>_xlfn.LET(_xlpm.steps,SUBSTITUTE(Table13[[#This Row],[Input]],Table13[[#This Row],[Direction]],""),VALUE(IF(LEN(_xlpm.steps)&gt;2,LEFT(_xlpm.steps,LEN(_xlpm.steps)-2),0)))</f>
        <v>7</v>
      </c>
      <c r="E433">
        <f>_xlfn.LET(_xlpm.dir,Table13[[#This Row],[Direction]],
IF(_xlpm.dir="L",
    IF(G432-Table13[[#This Row],[Steps]]&lt;0,100+(G432-Table13[[#This Row],[Steps]]),G432-Table13[[#This Row],[Steps]]),
))</f>
        <v>0</v>
      </c>
      <c r="F433">
        <f>_xlfn.LET(_xlpm.dir,Table13[[#This Row],[Direction]],
IF(_xlpm.dir="R",
    IF(G432+Table13[[#This Row],[Steps]]&gt;99,(G432+Table13[[#This Row],[Steps]])-100,G432+Table13[[#This Row],[Steps]]),
))</f>
        <v>19</v>
      </c>
      <c r="G433">
        <f>IF(Table13[[#This Row],[New Pos L]]&lt;&gt;0,Table13[[#This Row],[New Pos L]],Table13[[#This Row],[New Pos R]])</f>
        <v>19</v>
      </c>
      <c r="H433">
        <f>IF(AND(Table13[[#This Row],[Direction]]="L",Table13[[#This Row],[Steps]]&gt;G432,G432&lt;&gt;0),1,0)</f>
        <v>0</v>
      </c>
      <c r="I433">
        <f>IF(AND(Table13[[#This Row],[Direction]]="R",(G432+Table13[[#This Row],[Steps]])&gt;100),1,0)</f>
        <v>1</v>
      </c>
      <c r="J433">
        <f>IF(Table13[[#This Row],[POS]]=0,1,0)</f>
        <v>0</v>
      </c>
      <c r="K433">
        <f>SUM(Table13[[#This Row],[prefix]],Table13[[#This Row],[Past zero L]],Table13[[#This Row],[Past Zero R]],Table13[[#This Row],[Is Zero]])</f>
        <v>8</v>
      </c>
    </row>
    <row r="434" spans="1:11" ht="16" x14ac:dyDescent="0.2">
      <c r="A434" s="1" t="s">
        <v>65</v>
      </c>
      <c r="B434" t="str">
        <f>LEFT(Table13[[#This Row],[Input]],1)</f>
        <v>L</v>
      </c>
      <c r="C434">
        <f>_xlfn.LET(_xlpm.steps,SUBSTITUTE(Table13[[#This Row],[Input]],Table13[[#This Row],[Direction]],""),VALUE(IF(LEN(_xlpm.steps)&gt;2,RIGHT(_xlpm.steps,2),_xlpm.steps)))</f>
        <v>19</v>
      </c>
      <c r="D434">
        <f>_xlfn.LET(_xlpm.steps,SUBSTITUTE(Table13[[#This Row],[Input]],Table13[[#This Row],[Direction]],""),VALUE(IF(LEN(_xlpm.steps)&gt;2,LEFT(_xlpm.steps,LEN(_xlpm.steps)-2),0)))</f>
        <v>0</v>
      </c>
      <c r="E434">
        <f>_xlfn.LET(_xlpm.dir,Table13[[#This Row],[Direction]],
IF(_xlpm.dir="L",
    IF(G433-Table13[[#This Row],[Steps]]&lt;0,100+(G433-Table13[[#This Row],[Steps]]),G433-Table13[[#This Row],[Steps]]),
))</f>
        <v>0</v>
      </c>
      <c r="F434">
        <f>_xlfn.LET(_xlpm.dir,Table13[[#This Row],[Direction]],
IF(_xlpm.dir="R",
    IF(G433+Table13[[#This Row],[Steps]]&gt;99,(G433+Table13[[#This Row],[Steps]])-100,G433+Table13[[#This Row],[Steps]]),
))</f>
        <v>0</v>
      </c>
      <c r="G434">
        <f>IF(Table13[[#This Row],[New Pos L]]&lt;&gt;0,Table13[[#This Row],[New Pos L]],Table13[[#This Row],[New Pos R]])</f>
        <v>0</v>
      </c>
      <c r="H434">
        <f>IF(AND(Table13[[#This Row],[Direction]]="L",Table13[[#This Row],[Steps]]&gt;G433,G433&lt;&gt;0),1,0)</f>
        <v>0</v>
      </c>
      <c r="I434">
        <f>IF(AND(Table13[[#This Row],[Direction]]="R",(G433+Table13[[#This Row],[Steps]])&gt;100),1,0)</f>
        <v>0</v>
      </c>
      <c r="J434">
        <f>IF(Table13[[#This Row],[POS]]=0,1,0)</f>
        <v>1</v>
      </c>
      <c r="K434">
        <f>SUM(Table13[[#This Row],[prefix]],Table13[[#This Row],[Past zero L]],Table13[[#This Row],[Past Zero R]],Table13[[#This Row],[Is Zero]])</f>
        <v>1</v>
      </c>
    </row>
    <row r="435" spans="1:11" ht="16" x14ac:dyDescent="0.2">
      <c r="A435" s="1" t="s">
        <v>6</v>
      </c>
      <c r="B435" t="str">
        <f>LEFT(Table13[[#This Row],[Input]],1)</f>
        <v>R</v>
      </c>
      <c r="C435">
        <f>_xlfn.LET(_xlpm.steps,SUBSTITUTE(Table13[[#This Row],[Input]],Table13[[#This Row],[Direction]],""),VALUE(IF(LEN(_xlpm.steps)&gt;2,RIGHT(_xlpm.steps,2),_xlpm.steps)))</f>
        <v>49</v>
      </c>
      <c r="D435">
        <f>_xlfn.LET(_xlpm.steps,SUBSTITUTE(Table13[[#This Row],[Input]],Table13[[#This Row],[Direction]],""),VALUE(IF(LEN(_xlpm.steps)&gt;2,LEFT(_xlpm.steps,LEN(_xlpm.steps)-2),0)))</f>
        <v>0</v>
      </c>
      <c r="E435">
        <f>_xlfn.LET(_xlpm.dir,Table13[[#This Row],[Direction]],
IF(_xlpm.dir="L",
    IF(G434-Table13[[#This Row],[Steps]]&lt;0,100+(G434-Table13[[#This Row],[Steps]]),G434-Table13[[#This Row],[Steps]]),
))</f>
        <v>0</v>
      </c>
      <c r="F435">
        <f>_xlfn.LET(_xlpm.dir,Table13[[#This Row],[Direction]],
IF(_xlpm.dir="R",
    IF(G434+Table13[[#This Row],[Steps]]&gt;99,(G434+Table13[[#This Row],[Steps]])-100,G434+Table13[[#This Row],[Steps]]),
))</f>
        <v>49</v>
      </c>
      <c r="G435">
        <f>IF(Table13[[#This Row],[New Pos L]]&lt;&gt;0,Table13[[#This Row],[New Pos L]],Table13[[#This Row],[New Pos R]])</f>
        <v>49</v>
      </c>
      <c r="H435">
        <f>IF(AND(Table13[[#This Row],[Direction]]="L",Table13[[#This Row],[Steps]]&gt;G434,G434&lt;&gt;0),1,0)</f>
        <v>0</v>
      </c>
      <c r="I435">
        <f>IF(AND(Table13[[#This Row],[Direction]]="R",(G434+Table13[[#This Row],[Steps]])&gt;100),1,0)</f>
        <v>0</v>
      </c>
      <c r="J435">
        <f>IF(Table13[[#This Row],[POS]]=0,1,0)</f>
        <v>0</v>
      </c>
      <c r="K435">
        <f>SUM(Table13[[#This Row],[prefix]],Table13[[#This Row],[Past zero L]],Table13[[#This Row],[Past Zero R]],Table13[[#This Row],[Is Zero]])</f>
        <v>0</v>
      </c>
    </row>
    <row r="436" spans="1:11" ht="16" x14ac:dyDescent="0.2">
      <c r="A436" s="1" t="s">
        <v>127</v>
      </c>
      <c r="B436" t="str">
        <f>LEFT(Table13[[#This Row],[Input]],1)</f>
        <v>L</v>
      </c>
      <c r="C436">
        <f>_xlfn.LET(_xlpm.steps,SUBSTITUTE(Table13[[#This Row],[Input]],Table13[[#This Row],[Direction]],""),VALUE(IF(LEN(_xlpm.steps)&gt;2,RIGHT(_xlpm.steps,2),_xlpm.steps)))</f>
        <v>62</v>
      </c>
      <c r="D436">
        <f>_xlfn.LET(_xlpm.steps,SUBSTITUTE(Table13[[#This Row],[Input]],Table13[[#This Row],[Direction]],""),VALUE(IF(LEN(_xlpm.steps)&gt;2,LEFT(_xlpm.steps,LEN(_xlpm.steps)-2),0)))</f>
        <v>0</v>
      </c>
      <c r="E436">
        <f>_xlfn.LET(_xlpm.dir,Table13[[#This Row],[Direction]],
IF(_xlpm.dir="L",
    IF(G435-Table13[[#This Row],[Steps]]&lt;0,100+(G435-Table13[[#This Row],[Steps]]),G435-Table13[[#This Row],[Steps]]),
))</f>
        <v>87</v>
      </c>
      <c r="F436">
        <f>_xlfn.LET(_xlpm.dir,Table13[[#This Row],[Direction]],
IF(_xlpm.dir="R",
    IF(G435+Table13[[#This Row],[Steps]]&gt;99,(G435+Table13[[#This Row],[Steps]])-100,G435+Table13[[#This Row],[Steps]]),
))</f>
        <v>0</v>
      </c>
      <c r="G436">
        <f>IF(Table13[[#This Row],[New Pos L]]&lt;&gt;0,Table13[[#This Row],[New Pos L]],Table13[[#This Row],[New Pos R]])</f>
        <v>87</v>
      </c>
      <c r="H436">
        <f>IF(AND(Table13[[#This Row],[Direction]]="L",Table13[[#This Row],[Steps]]&gt;G435,G435&lt;&gt;0),1,0)</f>
        <v>1</v>
      </c>
      <c r="I436">
        <f>IF(AND(Table13[[#This Row],[Direction]]="R",(G435+Table13[[#This Row],[Steps]])&gt;100),1,0)</f>
        <v>0</v>
      </c>
      <c r="J436">
        <f>IF(Table13[[#This Row],[POS]]=0,1,0)</f>
        <v>0</v>
      </c>
      <c r="K436">
        <f>SUM(Table13[[#This Row],[prefix]],Table13[[#This Row],[Past zero L]],Table13[[#This Row],[Past Zero R]],Table13[[#This Row],[Is Zero]])</f>
        <v>1</v>
      </c>
    </row>
    <row r="437" spans="1:11" ht="16" x14ac:dyDescent="0.2">
      <c r="A437" s="1" t="s">
        <v>223</v>
      </c>
      <c r="B437" t="str">
        <f>LEFT(Table13[[#This Row],[Input]],1)</f>
        <v>L</v>
      </c>
      <c r="C437">
        <f>_xlfn.LET(_xlpm.steps,SUBSTITUTE(Table13[[#This Row],[Input]],Table13[[#This Row],[Direction]],""),VALUE(IF(LEN(_xlpm.steps)&gt;2,RIGHT(_xlpm.steps,2),_xlpm.steps)))</f>
        <v>87</v>
      </c>
      <c r="D437">
        <f>_xlfn.LET(_xlpm.steps,SUBSTITUTE(Table13[[#This Row],[Input]],Table13[[#This Row],[Direction]],""),VALUE(IF(LEN(_xlpm.steps)&gt;2,LEFT(_xlpm.steps,LEN(_xlpm.steps)-2),0)))</f>
        <v>0</v>
      </c>
      <c r="E437">
        <f>_xlfn.LET(_xlpm.dir,Table13[[#This Row],[Direction]],
IF(_xlpm.dir="L",
    IF(G436-Table13[[#This Row],[Steps]]&lt;0,100+(G436-Table13[[#This Row],[Steps]]),G436-Table13[[#This Row],[Steps]]),
))</f>
        <v>0</v>
      </c>
      <c r="F437">
        <f>_xlfn.LET(_xlpm.dir,Table13[[#This Row],[Direction]],
IF(_xlpm.dir="R",
    IF(G436+Table13[[#This Row],[Steps]]&gt;99,(G436+Table13[[#This Row],[Steps]])-100,G436+Table13[[#This Row],[Steps]]),
))</f>
        <v>0</v>
      </c>
      <c r="G437">
        <f>IF(Table13[[#This Row],[New Pos L]]&lt;&gt;0,Table13[[#This Row],[New Pos L]],Table13[[#This Row],[New Pos R]])</f>
        <v>0</v>
      </c>
      <c r="H437">
        <f>IF(AND(Table13[[#This Row],[Direction]]="L",Table13[[#This Row],[Steps]]&gt;G436,G436&lt;&gt;0),1,0)</f>
        <v>0</v>
      </c>
      <c r="I437">
        <f>IF(AND(Table13[[#This Row],[Direction]]="R",(G436+Table13[[#This Row],[Steps]])&gt;100),1,0)</f>
        <v>0</v>
      </c>
      <c r="J437">
        <f>IF(Table13[[#This Row],[POS]]=0,1,0)</f>
        <v>1</v>
      </c>
      <c r="K437">
        <f>SUM(Table13[[#This Row],[prefix]],Table13[[#This Row],[Past zero L]],Table13[[#This Row],[Past Zero R]],Table13[[#This Row],[Is Zero]])</f>
        <v>1</v>
      </c>
    </row>
    <row r="438" spans="1:11" ht="16" x14ac:dyDescent="0.2">
      <c r="A438" s="1" t="s">
        <v>230</v>
      </c>
      <c r="B438" t="str">
        <f>LEFT(Table13[[#This Row],[Input]],1)</f>
        <v>L</v>
      </c>
      <c r="C438">
        <f>_xlfn.LET(_xlpm.steps,SUBSTITUTE(Table13[[#This Row],[Input]],Table13[[#This Row],[Direction]],""),VALUE(IF(LEN(_xlpm.steps)&gt;2,RIGHT(_xlpm.steps,2),_xlpm.steps)))</f>
        <v>98</v>
      </c>
      <c r="D438">
        <f>_xlfn.LET(_xlpm.steps,SUBSTITUTE(Table13[[#This Row],[Input]],Table13[[#This Row],[Direction]],""),VALUE(IF(LEN(_xlpm.steps)&gt;2,LEFT(_xlpm.steps,LEN(_xlpm.steps)-2),0)))</f>
        <v>7</v>
      </c>
      <c r="E438">
        <f>_xlfn.LET(_xlpm.dir,Table13[[#This Row],[Direction]],
IF(_xlpm.dir="L",
    IF(G437-Table13[[#This Row],[Steps]]&lt;0,100+(G437-Table13[[#This Row],[Steps]]),G437-Table13[[#This Row],[Steps]]),
))</f>
        <v>2</v>
      </c>
      <c r="F438">
        <f>_xlfn.LET(_xlpm.dir,Table13[[#This Row],[Direction]],
IF(_xlpm.dir="R",
    IF(G437+Table13[[#This Row],[Steps]]&gt;99,(G437+Table13[[#This Row],[Steps]])-100,G437+Table13[[#This Row],[Steps]]),
))</f>
        <v>0</v>
      </c>
      <c r="G438">
        <f>IF(Table13[[#This Row],[New Pos L]]&lt;&gt;0,Table13[[#This Row],[New Pos L]],Table13[[#This Row],[New Pos R]])</f>
        <v>2</v>
      </c>
      <c r="H438">
        <f>IF(AND(Table13[[#This Row],[Direction]]="L",Table13[[#This Row],[Steps]]&gt;G437,G437&lt;&gt;0),1,0)</f>
        <v>0</v>
      </c>
      <c r="I438">
        <f>IF(AND(Table13[[#This Row],[Direction]]="R",(G437+Table13[[#This Row],[Steps]])&gt;100),1,0)</f>
        <v>0</v>
      </c>
      <c r="J438">
        <f>IF(Table13[[#This Row],[POS]]=0,1,0)</f>
        <v>0</v>
      </c>
      <c r="K438">
        <f>SUM(Table13[[#This Row],[prefix]],Table13[[#This Row],[Past zero L]],Table13[[#This Row],[Past Zero R]],Table13[[#This Row],[Is Zero]])</f>
        <v>7</v>
      </c>
    </row>
    <row r="439" spans="1:11" ht="16" x14ac:dyDescent="0.2">
      <c r="A439" s="1" t="s">
        <v>231</v>
      </c>
      <c r="B439" t="str">
        <f>LEFT(Table13[[#This Row],[Input]],1)</f>
        <v>R</v>
      </c>
      <c r="C439">
        <f>_xlfn.LET(_xlpm.steps,SUBSTITUTE(Table13[[#This Row],[Input]],Table13[[#This Row],[Direction]],""),VALUE(IF(LEN(_xlpm.steps)&gt;2,RIGHT(_xlpm.steps,2),_xlpm.steps)))</f>
        <v>98</v>
      </c>
      <c r="D439">
        <f>_xlfn.LET(_xlpm.steps,SUBSTITUTE(Table13[[#This Row],[Input]],Table13[[#This Row],[Direction]],""),VALUE(IF(LEN(_xlpm.steps)&gt;2,LEFT(_xlpm.steps,LEN(_xlpm.steps)-2),0)))</f>
        <v>4</v>
      </c>
      <c r="E439">
        <f>_xlfn.LET(_xlpm.dir,Table13[[#This Row],[Direction]],
IF(_xlpm.dir="L",
    IF(G438-Table13[[#This Row],[Steps]]&lt;0,100+(G438-Table13[[#This Row],[Steps]]),G438-Table13[[#This Row],[Steps]]),
))</f>
        <v>0</v>
      </c>
      <c r="F439">
        <f>_xlfn.LET(_xlpm.dir,Table13[[#This Row],[Direction]],
IF(_xlpm.dir="R",
    IF(G438+Table13[[#This Row],[Steps]]&gt;99,(G438+Table13[[#This Row],[Steps]])-100,G438+Table13[[#This Row],[Steps]]),
))</f>
        <v>0</v>
      </c>
      <c r="G439">
        <f>IF(Table13[[#This Row],[New Pos L]]&lt;&gt;0,Table13[[#This Row],[New Pos L]],Table13[[#This Row],[New Pos R]])</f>
        <v>0</v>
      </c>
      <c r="H439">
        <f>IF(AND(Table13[[#This Row],[Direction]]="L",Table13[[#This Row],[Steps]]&gt;G438,G438&lt;&gt;0),1,0)</f>
        <v>0</v>
      </c>
      <c r="I439">
        <f>IF(AND(Table13[[#This Row],[Direction]]="R",(G438+Table13[[#This Row],[Steps]])&gt;100),1,0)</f>
        <v>0</v>
      </c>
      <c r="J439">
        <f>IF(Table13[[#This Row],[POS]]=0,1,0)</f>
        <v>1</v>
      </c>
      <c r="K439">
        <f>SUM(Table13[[#This Row],[prefix]],Table13[[#This Row],[Past zero L]],Table13[[#This Row],[Past Zero R]],Table13[[#This Row],[Is Zero]])</f>
        <v>5</v>
      </c>
    </row>
    <row r="440" spans="1:11" ht="16" x14ac:dyDescent="0.2">
      <c r="A440" s="1" t="s">
        <v>74</v>
      </c>
      <c r="B440" t="str">
        <f>LEFT(Table13[[#This Row],[Input]],1)</f>
        <v>R</v>
      </c>
      <c r="C440">
        <f>_xlfn.LET(_xlpm.steps,SUBSTITUTE(Table13[[#This Row],[Input]],Table13[[#This Row],[Direction]],""),VALUE(IF(LEN(_xlpm.steps)&gt;2,RIGHT(_xlpm.steps,2),_xlpm.steps)))</f>
        <v>93</v>
      </c>
      <c r="D440">
        <f>_xlfn.LET(_xlpm.steps,SUBSTITUTE(Table13[[#This Row],[Input]],Table13[[#This Row],[Direction]],""),VALUE(IF(LEN(_xlpm.steps)&gt;2,LEFT(_xlpm.steps,LEN(_xlpm.steps)-2),0)))</f>
        <v>0</v>
      </c>
      <c r="E440">
        <f>_xlfn.LET(_xlpm.dir,Table13[[#This Row],[Direction]],
IF(_xlpm.dir="L",
    IF(G439-Table13[[#This Row],[Steps]]&lt;0,100+(G439-Table13[[#This Row],[Steps]]),G439-Table13[[#This Row],[Steps]]),
))</f>
        <v>0</v>
      </c>
      <c r="F440">
        <f>_xlfn.LET(_xlpm.dir,Table13[[#This Row],[Direction]],
IF(_xlpm.dir="R",
    IF(G439+Table13[[#This Row],[Steps]]&gt;99,(G439+Table13[[#This Row],[Steps]])-100,G439+Table13[[#This Row],[Steps]]),
))</f>
        <v>93</v>
      </c>
      <c r="G440">
        <f>IF(Table13[[#This Row],[New Pos L]]&lt;&gt;0,Table13[[#This Row],[New Pos L]],Table13[[#This Row],[New Pos R]])</f>
        <v>93</v>
      </c>
      <c r="H440">
        <f>IF(AND(Table13[[#This Row],[Direction]]="L",Table13[[#This Row],[Steps]]&gt;G439,G439&lt;&gt;0),1,0)</f>
        <v>0</v>
      </c>
      <c r="I440">
        <f>IF(AND(Table13[[#This Row],[Direction]]="R",(G439+Table13[[#This Row],[Steps]])&gt;100),1,0)</f>
        <v>0</v>
      </c>
      <c r="J440">
        <f>IF(Table13[[#This Row],[POS]]=0,1,0)</f>
        <v>0</v>
      </c>
      <c r="K440">
        <f>SUM(Table13[[#This Row],[prefix]],Table13[[#This Row],[Past zero L]],Table13[[#This Row],[Past Zero R]],Table13[[#This Row],[Is Zero]])</f>
        <v>0</v>
      </c>
    </row>
    <row r="441" spans="1:11" ht="16" x14ac:dyDescent="0.2">
      <c r="A441" s="1" t="s">
        <v>42</v>
      </c>
      <c r="B441" t="str">
        <f>LEFT(Table13[[#This Row],[Input]],1)</f>
        <v>L</v>
      </c>
      <c r="C441">
        <f>_xlfn.LET(_xlpm.steps,SUBSTITUTE(Table13[[#This Row],[Input]],Table13[[#This Row],[Direction]],""),VALUE(IF(LEN(_xlpm.steps)&gt;2,RIGHT(_xlpm.steps,2),_xlpm.steps)))</f>
        <v>27</v>
      </c>
      <c r="D441">
        <f>_xlfn.LET(_xlpm.steps,SUBSTITUTE(Table13[[#This Row],[Input]],Table13[[#This Row],[Direction]],""),VALUE(IF(LEN(_xlpm.steps)&gt;2,LEFT(_xlpm.steps,LEN(_xlpm.steps)-2),0)))</f>
        <v>0</v>
      </c>
      <c r="E441">
        <f>_xlfn.LET(_xlpm.dir,Table13[[#This Row],[Direction]],
IF(_xlpm.dir="L",
    IF(G440-Table13[[#This Row],[Steps]]&lt;0,100+(G440-Table13[[#This Row],[Steps]]),G440-Table13[[#This Row],[Steps]]),
))</f>
        <v>66</v>
      </c>
      <c r="F441">
        <f>_xlfn.LET(_xlpm.dir,Table13[[#This Row],[Direction]],
IF(_xlpm.dir="R",
    IF(G440+Table13[[#This Row],[Steps]]&gt;99,(G440+Table13[[#This Row],[Steps]])-100,G440+Table13[[#This Row],[Steps]]),
))</f>
        <v>0</v>
      </c>
      <c r="G441">
        <f>IF(Table13[[#This Row],[New Pos L]]&lt;&gt;0,Table13[[#This Row],[New Pos L]],Table13[[#This Row],[New Pos R]])</f>
        <v>66</v>
      </c>
      <c r="H441">
        <f>IF(AND(Table13[[#This Row],[Direction]]="L",Table13[[#This Row],[Steps]]&gt;G440,G440&lt;&gt;0),1,0)</f>
        <v>0</v>
      </c>
      <c r="I441">
        <f>IF(AND(Table13[[#This Row],[Direction]]="R",(G440+Table13[[#This Row],[Steps]])&gt;100),1,0)</f>
        <v>0</v>
      </c>
      <c r="J441">
        <f>IF(Table13[[#This Row],[POS]]=0,1,0)</f>
        <v>0</v>
      </c>
      <c r="K441">
        <f>SUM(Table13[[#This Row],[prefix]],Table13[[#This Row],[Past zero L]],Table13[[#This Row],[Past Zero R]],Table13[[#This Row],[Is Zero]])</f>
        <v>0</v>
      </c>
    </row>
    <row r="442" spans="1:11" ht="16" x14ac:dyDescent="0.2">
      <c r="A442" s="1" t="s">
        <v>223</v>
      </c>
      <c r="B442" t="str">
        <f>LEFT(Table13[[#This Row],[Input]],1)</f>
        <v>L</v>
      </c>
      <c r="C442">
        <f>_xlfn.LET(_xlpm.steps,SUBSTITUTE(Table13[[#This Row],[Input]],Table13[[#This Row],[Direction]],""),VALUE(IF(LEN(_xlpm.steps)&gt;2,RIGHT(_xlpm.steps,2),_xlpm.steps)))</f>
        <v>87</v>
      </c>
      <c r="D442">
        <f>_xlfn.LET(_xlpm.steps,SUBSTITUTE(Table13[[#This Row],[Input]],Table13[[#This Row],[Direction]],""),VALUE(IF(LEN(_xlpm.steps)&gt;2,LEFT(_xlpm.steps,LEN(_xlpm.steps)-2),0)))</f>
        <v>0</v>
      </c>
      <c r="E442">
        <f>_xlfn.LET(_xlpm.dir,Table13[[#This Row],[Direction]],
IF(_xlpm.dir="L",
    IF(G441-Table13[[#This Row],[Steps]]&lt;0,100+(G441-Table13[[#This Row],[Steps]]),G441-Table13[[#This Row],[Steps]]),
))</f>
        <v>79</v>
      </c>
      <c r="F442">
        <f>_xlfn.LET(_xlpm.dir,Table13[[#This Row],[Direction]],
IF(_xlpm.dir="R",
    IF(G441+Table13[[#This Row],[Steps]]&gt;99,(G441+Table13[[#This Row],[Steps]])-100,G441+Table13[[#This Row],[Steps]]),
))</f>
        <v>0</v>
      </c>
      <c r="G442">
        <f>IF(Table13[[#This Row],[New Pos L]]&lt;&gt;0,Table13[[#This Row],[New Pos L]],Table13[[#This Row],[New Pos R]])</f>
        <v>79</v>
      </c>
      <c r="H442">
        <f>IF(AND(Table13[[#This Row],[Direction]]="L",Table13[[#This Row],[Steps]]&gt;G441,G441&lt;&gt;0),1,0)</f>
        <v>1</v>
      </c>
      <c r="I442">
        <f>IF(AND(Table13[[#This Row],[Direction]]="R",(G441+Table13[[#This Row],[Steps]])&gt;100),1,0)</f>
        <v>0</v>
      </c>
      <c r="J442">
        <f>IF(Table13[[#This Row],[POS]]=0,1,0)</f>
        <v>0</v>
      </c>
      <c r="K442">
        <f>SUM(Table13[[#This Row],[prefix]],Table13[[#This Row],[Past zero L]],Table13[[#This Row],[Past Zero R]],Table13[[#This Row],[Is Zero]])</f>
        <v>1</v>
      </c>
    </row>
    <row r="443" spans="1:11" ht="16" x14ac:dyDescent="0.2">
      <c r="A443" s="1" t="s">
        <v>50</v>
      </c>
      <c r="B443" t="str">
        <f>LEFT(Table13[[#This Row],[Input]],1)</f>
        <v>R</v>
      </c>
      <c r="C443">
        <f>_xlfn.LET(_xlpm.steps,SUBSTITUTE(Table13[[#This Row],[Input]],Table13[[#This Row],[Direction]],""),VALUE(IF(LEN(_xlpm.steps)&gt;2,RIGHT(_xlpm.steps,2),_xlpm.steps)))</f>
        <v>78</v>
      </c>
      <c r="D443">
        <f>_xlfn.LET(_xlpm.steps,SUBSTITUTE(Table13[[#This Row],[Input]],Table13[[#This Row],[Direction]],""),VALUE(IF(LEN(_xlpm.steps)&gt;2,LEFT(_xlpm.steps,LEN(_xlpm.steps)-2),0)))</f>
        <v>0</v>
      </c>
      <c r="E443">
        <f>_xlfn.LET(_xlpm.dir,Table13[[#This Row],[Direction]],
IF(_xlpm.dir="L",
    IF(G442-Table13[[#This Row],[Steps]]&lt;0,100+(G442-Table13[[#This Row],[Steps]]),G442-Table13[[#This Row],[Steps]]),
))</f>
        <v>0</v>
      </c>
      <c r="F443">
        <f>_xlfn.LET(_xlpm.dir,Table13[[#This Row],[Direction]],
IF(_xlpm.dir="R",
    IF(G442+Table13[[#This Row],[Steps]]&gt;99,(G442+Table13[[#This Row],[Steps]])-100,G442+Table13[[#This Row],[Steps]]),
))</f>
        <v>57</v>
      </c>
      <c r="G443">
        <f>IF(Table13[[#This Row],[New Pos L]]&lt;&gt;0,Table13[[#This Row],[New Pos L]],Table13[[#This Row],[New Pos R]])</f>
        <v>57</v>
      </c>
      <c r="H443">
        <f>IF(AND(Table13[[#This Row],[Direction]]="L",Table13[[#This Row],[Steps]]&gt;G442,G442&lt;&gt;0),1,0)</f>
        <v>0</v>
      </c>
      <c r="I443">
        <f>IF(AND(Table13[[#This Row],[Direction]]="R",(G442+Table13[[#This Row],[Steps]])&gt;100),1,0)</f>
        <v>1</v>
      </c>
      <c r="J443">
        <f>IF(Table13[[#This Row],[POS]]=0,1,0)</f>
        <v>0</v>
      </c>
      <c r="K443">
        <f>SUM(Table13[[#This Row],[prefix]],Table13[[#This Row],[Past zero L]],Table13[[#This Row],[Past Zero R]],Table13[[#This Row],[Is Zero]])</f>
        <v>1</v>
      </c>
    </row>
    <row r="444" spans="1:11" ht="16" x14ac:dyDescent="0.2">
      <c r="A444" s="1" t="s">
        <v>232</v>
      </c>
      <c r="B444" t="str">
        <f>LEFT(Table13[[#This Row],[Input]],1)</f>
        <v>R</v>
      </c>
      <c r="C444">
        <f>_xlfn.LET(_xlpm.steps,SUBSTITUTE(Table13[[#This Row],[Input]],Table13[[#This Row],[Direction]],""),VALUE(IF(LEN(_xlpm.steps)&gt;2,RIGHT(_xlpm.steps,2),_xlpm.steps)))</f>
        <v>93</v>
      </c>
      <c r="D444">
        <f>_xlfn.LET(_xlpm.steps,SUBSTITUTE(Table13[[#This Row],[Input]],Table13[[#This Row],[Direction]],""),VALUE(IF(LEN(_xlpm.steps)&gt;2,LEFT(_xlpm.steps,LEN(_xlpm.steps)-2),0)))</f>
        <v>8</v>
      </c>
      <c r="E444">
        <f>_xlfn.LET(_xlpm.dir,Table13[[#This Row],[Direction]],
IF(_xlpm.dir="L",
    IF(G443-Table13[[#This Row],[Steps]]&lt;0,100+(G443-Table13[[#This Row],[Steps]]),G443-Table13[[#This Row],[Steps]]),
))</f>
        <v>0</v>
      </c>
      <c r="F444">
        <f>_xlfn.LET(_xlpm.dir,Table13[[#This Row],[Direction]],
IF(_xlpm.dir="R",
    IF(G443+Table13[[#This Row],[Steps]]&gt;99,(G443+Table13[[#This Row],[Steps]])-100,G443+Table13[[#This Row],[Steps]]),
))</f>
        <v>50</v>
      </c>
      <c r="G444">
        <f>IF(Table13[[#This Row],[New Pos L]]&lt;&gt;0,Table13[[#This Row],[New Pos L]],Table13[[#This Row],[New Pos R]])</f>
        <v>50</v>
      </c>
      <c r="H444">
        <f>IF(AND(Table13[[#This Row],[Direction]]="L",Table13[[#This Row],[Steps]]&gt;G443,G443&lt;&gt;0),1,0)</f>
        <v>0</v>
      </c>
      <c r="I444">
        <f>IF(AND(Table13[[#This Row],[Direction]]="R",(G443+Table13[[#This Row],[Steps]])&gt;100),1,0)</f>
        <v>1</v>
      </c>
      <c r="J444">
        <f>IF(Table13[[#This Row],[POS]]=0,1,0)</f>
        <v>0</v>
      </c>
      <c r="K444">
        <f>SUM(Table13[[#This Row],[prefix]],Table13[[#This Row],[Past zero L]],Table13[[#This Row],[Past Zero R]],Table13[[#This Row],[Is Zero]])</f>
        <v>9</v>
      </c>
    </row>
    <row r="445" spans="1:11" ht="16" x14ac:dyDescent="0.2">
      <c r="A445" s="1" t="s">
        <v>98</v>
      </c>
      <c r="B445" t="str">
        <f>LEFT(Table13[[#This Row],[Input]],1)</f>
        <v>L</v>
      </c>
      <c r="C445">
        <f>_xlfn.LET(_xlpm.steps,SUBSTITUTE(Table13[[#This Row],[Input]],Table13[[#This Row],[Direction]],""),VALUE(IF(LEN(_xlpm.steps)&gt;2,RIGHT(_xlpm.steps,2),_xlpm.steps)))</f>
        <v>65</v>
      </c>
      <c r="D445">
        <f>_xlfn.LET(_xlpm.steps,SUBSTITUTE(Table13[[#This Row],[Input]],Table13[[#This Row],[Direction]],""),VALUE(IF(LEN(_xlpm.steps)&gt;2,LEFT(_xlpm.steps,LEN(_xlpm.steps)-2),0)))</f>
        <v>0</v>
      </c>
      <c r="E445">
        <f>_xlfn.LET(_xlpm.dir,Table13[[#This Row],[Direction]],
IF(_xlpm.dir="L",
    IF(G444-Table13[[#This Row],[Steps]]&lt;0,100+(G444-Table13[[#This Row],[Steps]]),G444-Table13[[#This Row],[Steps]]),
))</f>
        <v>85</v>
      </c>
      <c r="F445">
        <f>_xlfn.LET(_xlpm.dir,Table13[[#This Row],[Direction]],
IF(_xlpm.dir="R",
    IF(G444+Table13[[#This Row],[Steps]]&gt;99,(G444+Table13[[#This Row],[Steps]])-100,G444+Table13[[#This Row],[Steps]]),
))</f>
        <v>0</v>
      </c>
      <c r="G445">
        <f>IF(Table13[[#This Row],[New Pos L]]&lt;&gt;0,Table13[[#This Row],[New Pos L]],Table13[[#This Row],[New Pos R]])</f>
        <v>85</v>
      </c>
      <c r="H445">
        <f>IF(AND(Table13[[#This Row],[Direction]]="L",Table13[[#This Row],[Steps]]&gt;G444,G444&lt;&gt;0),1,0)</f>
        <v>1</v>
      </c>
      <c r="I445">
        <f>IF(AND(Table13[[#This Row],[Direction]]="R",(G444+Table13[[#This Row],[Steps]])&gt;100),1,0)</f>
        <v>0</v>
      </c>
      <c r="J445">
        <f>IF(Table13[[#This Row],[POS]]=0,1,0)</f>
        <v>0</v>
      </c>
      <c r="K445">
        <f>SUM(Table13[[#This Row],[prefix]],Table13[[#This Row],[Past zero L]],Table13[[#This Row],[Past Zero R]],Table13[[#This Row],[Is Zero]])</f>
        <v>1</v>
      </c>
    </row>
    <row r="446" spans="1:11" ht="16" x14ac:dyDescent="0.2">
      <c r="A446" s="1" t="s">
        <v>151</v>
      </c>
      <c r="B446" t="str">
        <f>LEFT(Table13[[#This Row],[Input]],1)</f>
        <v>L</v>
      </c>
      <c r="C446">
        <f>_xlfn.LET(_xlpm.steps,SUBSTITUTE(Table13[[#This Row],[Input]],Table13[[#This Row],[Direction]],""),VALUE(IF(LEN(_xlpm.steps)&gt;2,RIGHT(_xlpm.steps,2),_xlpm.steps)))</f>
        <v>74</v>
      </c>
      <c r="D446">
        <f>_xlfn.LET(_xlpm.steps,SUBSTITUTE(Table13[[#This Row],[Input]],Table13[[#This Row],[Direction]],""),VALUE(IF(LEN(_xlpm.steps)&gt;2,LEFT(_xlpm.steps,LEN(_xlpm.steps)-2),0)))</f>
        <v>0</v>
      </c>
      <c r="E446">
        <f>_xlfn.LET(_xlpm.dir,Table13[[#This Row],[Direction]],
IF(_xlpm.dir="L",
    IF(G445-Table13[[#This Row],[Steps]]&lt;0,100+(G445-Table13[[#This Row],[Steps]]),G445-Table13[[#This Row],[Steps]]),
))</f>
        <v>11</v>
      </c>
      <c r="F446">
        <f>_xlfn.LET(_xlpm.dir,Table13[[#This Row],[Direction]],
IF(_xlpm.dir="R",
    IF(G445+Table13[[#This Row],[Steps]]&gt;99,(G445+Table13[[#This Row],[Steps]])-100,G445+Table13[[#This Row],[Steps]]),
))</f>
        <v>0</v>
      </c>
      <c r="G446">
        <f>IF(Table13[[#This Row],[New Pos L]]&lt;&gt;0,Table13[[#This Row],[New Pos L]],Table13[[#This Row],[New Pos R]])</f>
        <v>11</v>
      </c>
      <c r="H446">
        <f>IF(AND(Table13[[#This Row],[Direction]]="L",Table13[[#This Row],[Steps]]&gt;G445,G445&lt;&gt;0),1,0)</f>
        <v>0</v>
      </c>
      <c r="I446">
        <f>IF(AND(Table13[[#This Row],[Direction]]="R",(G445+Table13[[#This Row],[Steps]])&gt;100),1,0)</f>
        <v>0</v>
      </c>
      <c r="J446">
        <f>IF(Table13[[#This Row],[POS]]=0,1,0)</f>
        <v>0</v>
      </c>
      <c r="K446">
        <f>SUM(Table13[[#This Row],[prefix]],Table13[[#This Row],[Past zero L]],Table13[[#This Row],[Past Zero R]],Table13[[#This Row],[Is Zero]])</f>
        <v>0</v>
      </c>
    </row>
    <row r="447" spans="1:11" ht="16" x14ac:dyDescent="0.2">
      <c r="A447" s="1" t="s">
        <v>26</v>
      </c>
      <c r="B447" t="str">
        <f>LEFT(Table13[[#This Row],[Input]],1)</f>
        <v>R</v>
      </c>
      <c r="C447">
        <f>_xlfn.LET(_xlpm.steps,SUBSTITUTE(Table13[[#This Row],[Input]],Table13[[#This Row],[Direction]],""),VALUE(IF(LEN(_xlpm.steps)&gt;2,RIGHT(_xlpm.steps,2),_xlpm.steps)))</f>
        <v>6</v>
      </c>
      <c r="D447">
        <f>_xlfn.LET(_xlpm.steps,SUBSTITUTE(Table13[[#This Row],[Input]],Table13[[#This Row],[Direction]],""),VALUE(IF(LEN(_xlpm.steps)&gt;2,LEFT(_xlpm.steps,LEN(_xlpm.steps)-2),0)))</f>
        <v>0</v>
      </c>
      <c r="E447">
        <f>_xlfn.LET(_xlpm.dir,Table13[[#This Row],[Direction]],
IF(_xlpm.dir="L",
    IF(G446-Table13[[#This Row],[Steps]]&lt;0,100+(G446-Table13[[#This Row],[Steps]]),G446-Table13[[#This Row],[Steps]]),
))</f>
        <v>0</v>
      </c>
      <c r="F447">
        <f>_xlfn.LET(_xlpm.dir,Table13[[#This Row],[Direction]],
IF(_xlpm.dir="R",
    IF(G446+Table13[[#This Row],[Steps]]&gt;99,(G446+Table13[[#This Row],[Steps]])-100,G446+Table13[[#This Row],[Steps]]),
))</f>
        <v>17</v>
      </c>
      <c r="G447">
        <f>IF(Table13[[#This Row],[New Pos L]]&lt;&gt;0,Table13[[#This Row],[New Pos L]],Table13[[#This Row],[New Pos R]])</f>
        <v>17</v>
      </c>
      <c r="H447">
        <f>IF(AND(Table13[[#This Row],[Direction]]="L",Table13[[#This Row],[Steps]]&gt;G446,G446&lt;&gt;0),1,0)</f>
        <v>0</v>
      </c>
      <c r="I447">
        <f>IF(AND(Table13[[#This Row],[Direction]]="R",(G446+Table13[[#This Row],[Steps]])&gt;100),1,0)</f>
        <v>0</v>
      </c>
      <c r="J447">
        <f>IF(Table13[[#This Row],[POS]]=0,1,0)</f>
        <v>0</v>
      </c>
      <c r="K447">
        <f>SUM(Table13[[#This Row],[prefix]],Table13[[#This Row],[Past zero L]],Table13[[#This Row],[Past Zero R]],Table13[[#This Row],[Is Zero]])</f>
        <v>0</v>
      </c>
    </row>
    <row r="448" spans="1:11" ht="16" x14ac:dyDescent="0.2">
      <c r="A448" s="1" t="s">
        <v>79</v>
      </c>
      <c r="B448" t="str">
        <f>LEFT(Table13[[#This Row],[Input]],1)</f>
        <v>L</v>
      </c>
      <c r="C448">
        <f>_xlfn.LET(_xlpm.steps,SUBSTITUTE(Table13[[#This Row],[Input]],Table13[[#This Row],[Direction]],""),VALUE(IF(LEN(_xlpm.steps)&gt;2,RIGHT(_xlpm.steps,2),_xlpm.steps)))</f>
        <v>45</v>
      </c>
      <c r="D448">
        <f>_xlfn.LET(_xlpm.steps,SUBSTITUTE(Table13[[#This Row],[Input]],Table13[[#This Row],[Direction]],""),VALUE(IF(LEN(_xlpm.steps)&gt;2,LEFT(_xlpm.steps,LEN(_xlpm.steps)-2),0)))</f>
        <v>0</v>
      </c>
      <c r="E448">
        <f>_xlfn.LET(_xlpm.dir,Table13[[#This Row],[Direction]],
IF(_xlpm.dir="L",
    IF(G447-Table13[[#This Row],[Steps]]&lt;0,100+(G447-Table13[[#This Row],[Steps]]),G447-Table13[[#This Row],[Steps]]),
))</f>
        <v>72</v>
      </c>
      <c r="F448">
        <f>_xlfn.LET(_xlpm.dir,Table13[[#This Row],[Direction]],
IF(_xlpm.dir="R",
    IF(G447+Table13[[#This Row],[Steps]]&gt;99,(G447+Table13[[#This Row],[Steps]])-100,G447+Table13[[#This Row],[Steps]]),
))</f>
        <v>0</v>
      </c>
      <c r="G448">
        <f>IF(Table13[[#This Row],[New Pos L]]&lt;&gt;0,Table13[[#This Row],[New Pos L]],Table13[[#This Row],[New Pos R]])</f>
        <v>72</v>
      </c>
      <c r="H448">
        <f>IF(AND(Table13[[#This Row],[Direction]]="L",Table13[[#This Row],[Steps]]&gt;G447,G447&lt;&gt;0),1,0)</f>
        <v>1</v>
      </c>
      <c r="I448">
        <f>IF(AND(Table13[[#This Row],[Direction]]="R",(G447+Table13[[#This Row],[Steps]])&gt;100),1,0)</f>
        <v>0</v>
      </c>
      <c r="J448">
        <f>IF(Table13[[#This Row],[POS]]=0,1,0)</f>
        <v>0</v>
      </c>
      <c r="K448">
        <f>SUM(Table13[[#This Row],[prefix]],Table13[[#This Row],[Past zero L]],Table13[[#This Row],[Past Zero R]],Table13[[#This Row],[Is Zero]])</f>
        <v>1</v>
      </c>
    </row>
    <row r="449" spans="1:11" ht="16" x14ac:dyDescent="0.2">
      <c r="A449" s="1" t="s">
        <v>233</v>
      </c>
      <c r="B449" t="str">
        <f>LEFT(Table13[[#This Row],[Input]],1)</f>
        <v>R</v>
      </c>
      <c r="C449">
        <f>_xlfn.LET(_xlpm.steps,SUBSTITUTE(Table13[[#This Row],[Input]],Table13[[#This Row],[Direction]],""),VALUE(IF(LEN(_xlpm.steps)&gt;2,RIGHT(_xlpm.steps,2),_xlpm.steps)))</f>
        <v>24</v>
      </c>
      <c r="D449">
        <f>_xlfn.LET(_xlpm.steps,SUBSTITUTE(Table13[[#This Row],[Input]],Table13[[#This Row],[Direction]],""),VALUE(IF(LEN(_xlpm.steps)&gt;2,LEFT(_xlpm.steps,LEN(_xlpm.steps)-2),0)))</f>
        <v>1</v>
      </c>
      <c r="E449">
        <f>_xlfn.LET(_xlpm.dir,Table13[[#This Row],[Direction]],
IF(_xlpm.dir="L",
    IF(G448-Table13[[#This Row],[Steps]]&lt;0,100+(G448-Table13[[#This Row],[Steps]]),G448-Table13[[#This Row],[Steps]]),
))</f>
        <v>0</v>
      </c>
      <c r="F449">
        <f>_xlfn.LET(_xlpm.dir,Table13[[#This Row],[Direction]],
IF(_xlpm.dir="R",
    IF(G448+Table13[[#This Row],[Steps]]&gt;99,(G448+Table13[[#This Row],[Steps]])-100,G448+Table13[[#This Row],[Steps]]),
))</f>
        <v>96</v>
      </c>
      <c r="G449">
        <f>IF(Table13[[#This Row],[New Pos L]]&lt;&gt;0,Table13[[#This Row],[New Pos L]],Table13[[#This Row],[New Pos R]])</f>
        <v>96</v>
      </c>
      <c r="H449">
        <f>IF(AND(Table13[[#This Row],[Direction]]="L",Table13[[#This Row],[Steps]]&gt;G448,G448&lt;&gt;0),1,0)</f>
        <v>0</v>
      </c>
      <c r="I449">
        <f>IF(AND(Table13[[#This Row],[Direction]]="R",(G448+Table13[[#This Row],[Steps]])&gt;100),1,0)</f>
        <v>0</v>
      </c>
      <c r="J449">
        <f>IF(Table13[[#This Row],[POS]]=0,1,0)</f>
        <v>0</v>
      </c>
      <c r="K449">
        <f>SUM(Table13[[#This Row],[prefix]],Table13[[#This Row],[Past zero L]],Table13[[#This Row],[Past Zero R]],Table13[[#This Row],[Is Zero]])</f>
        <v>1</v>
      </c>
    </row>
    <row r="450" spans="1:11" ht="16" x14ac:dyDescent="0.2">
      <c r="A450" s="1" t="s">
        <v>146</v>
      </c>
      <c r="B450" t="str">
        <f>LEFT(Table13[[#This Row],[Input]],1)</f>
        <v>R</v>
      </c>
      <c r="C450">
        <f>_xlfn.LET(_xlpm.steps,SUBSTITUTE(Table13[[#This Row],[Input]],Table13[[#This Row],[Direction]],""),VALUE(IF(LEN(_xlpm.steps)&gt;2,RIGHT(_xlpm.steps,2),_xlpm.steps)))</f>
        <v>4</v>
      </c>
      <c r="D450">
        <f>_xlfn.LET(_xlpm.steps,SUBSTITUTE(Table13[[#This Row],[Input]],Table13[[#This Row],[Direction]],""),VALUE(IF(LEN(_xlpm.steps)&gt;2,LEFT(_xlpm.steps,LEN(_xlpm.steps)-2),0)))</f>
        <v>0</v>
      </c>
      <c r="E450">
        <f>_xlfn.LET(_xlpm.dir,Table13[[#This Row],[Direction]],
IF(_xlpm.dir="L",
    IF(G449-Table13[[#This Row],[Steps]]&lt;0,100+(G449-Table13[[#This Row],[Steps]]),G449-Table13[[#This Row],[Steps]]),
))</f>
        <v>0</v>
      </c>
      <c r="F450">
        <f>_xlfn.LET(_xlpm.dir,Table13[[#This Row],[Direction]],
IF(_xlpm.dir="R",
    IF(G449+Table13[[#This Row],[Steps]]&gt;99,(G449+Table13[[#This Row],[Steps]])-100,G449+Table13[[#This Row],[Steps]]),
))</f>
        <v>0</v>
      </c>
      <c r="G450">
        <f>IF(Table13[[#This Row],[New Pos L]]&lt;&gt;0,Table13[[#This Row],[New Pos L]],Table13[[#This Row],[New Pos R]])</f>
        <v>0</v>
      </c>
      <c r="H450">
        <f>IF(AND(Table13[[#This Row],[Direction]]="L",Table13[[#This Row],[Steps]]&gt;G449,G449&lt;&gt;0),1,0)</f>
        <v>0</v>
      </c>
      <c r="I450">
        <f>IF(AND(Table13[[#This Row],[Direction]]="R",(G449+Table13[[#This Row],[Steps]])&gt;100),1,0)</f>
        <v>0</v>
      </c>
      <c r="J450">
        <f>IF(Table13[[#This Row],[POS]]=0,1,0)</f>
        <v>1</v>
      </c>
      <c r="K450">
        <f>SUM(Table13[[#This Row],[prefix]],Table13[[#This Row],[Past zero L]],Table13[[#This Row],[Past Zero R]],Table13[[#This Row],[Is Zero]])</f>
        <v>1</v>
      </c>
    </row>
    <row r="451" spans="1:11" ht="16" x14ac:dyDescent="0.2">
      <c r="A451" s="1" t="s">
        <v>234</v>
      </c>
      <c r="B451" t="str">
        <f>LEFT(Table13[[#This Row],[Input]],1)</f>
        <v>R</v>
      </c>
      <c r="C451">
        <f>_xlfn.LET(_xlpm.steps,SUBSTITUTE(Table13[[#This Row],[Input]],Table13[[#This Row],[Direction]],""),VALUE(IF(LEN(_xlpm.steps)&gt;2,RIGHT(_xlpm.steps,2),_xlpm.steps)))</f>
        <v>82</v>
      </c>
      <c r="D451">
        <f>_xlfn.LET(_xlpm.steps,SUBSTITUTE(Table13[[#This Row],[Input]],Table13[[#This Row],[Direction]],""),VALUE(IF(LEN(_xlpm.steps)&gt;2,LEFT(_xlpm.steps,LEN(_xlpm.steps)-2),0)))</f>
        <v>0</v>
      </c>
      <c r="E451">
        <f>_xlfn.LET(_xlpm.dir,Table13[[#This Row],[Direction]],
IF(_xlpm.dir="L",
    IF(G450-Table13[[#This Row],[Steps]]&lt;0,100+(G450-Table13[[#This Row],[Steps]]),G450-Table13[[#This Row],[Steps]]),
))</f>
        <v>0</v>
      </c>
      <c r="F451">
        <f>_xlfn.LET(_xlpm.dir,Table13[[#This Row],[Direction]],
IF(_xlpm.dir="R",
    IF(G450+Table13[[#This Row],[Steps]]&gt;99,(G450+Table13[[#This Row],[Steps]])-100,G450+Table13[[#This Row],[Steps]]),
))</f>
        <v>82</v>
      </c>
      <c r="G451">
        <f>IF(Table13[[#This Row],[New Pos L]]&lt;&gt;0,Table13[[#This Row],[New Pos L]],Table13[[#This Row],[New Pos R]])</f>
        <v>82</v>
      </c>
      <c r="H451">
        <f>IF(AND(Table13[[#This Row],[Direction]]="L",Table13[[#This Row],[Steps]]&gt;G450,G450&lt;&gt;0),1,0)</f>
        <v>0</v>
      </c>
      <c r="I451">
        <f>IF(AND(Table13[[#This Row],[Direction]]="R",(G450+Table13[[#This Row],[Steps]])&gt;100),1,0)</f>
        <v>0</v>
      </c>
      <c r="J451">
        <f>IF(Table13[[#This Row],[POS]]=0,1,0)</f>
        <v>0</v>
      </c>
      <c r="K451">
        <f>SUM(Table13[[#This Row],[prefix]],Table13[[#This Row],[Past zero L]],Table13[[#This Row],[Past Zero R]],Table13[[#This Row],[Is Zero]])</f>
        <v>0</v>
      </c>
    </row>
    <row r="452" spans="1:11" ht="16" x14ac:dyDescent="0.2">
      <c r="A452" s="1" t="s">
        <v>51</v>
      </c>
      <c r="B452" t="str">
        <f>LEFT(Table13[[#This Row],[Input]],1)</f>
        <v>L</v>
      </c>
      <c r="C452">
        <f>_xlfn.LET(_xlpm.steps,SUBSTITUTE(Table13[[#This Row],[Input]],Table13[[#This Row],[Direction]],""),VALUE(IF(LEN(_xlpm.steps)&gt;2,RIGHT(_xlpm.steps,2),_xlpm.steps)))</f>
        <v>25</v>
      </c>
      <c r="D452">
        <f>_xlfn.LET(_xlpm.steps,SUBSTITUTE(Table13[[#This Row],[Input]],Table13[[#This Row],[Direction]],""),VALUE(IF(LEN(_xlpm.steps)&gt;2,LEFT(_xlpm.steps,LEN(_xlpm.steps)-2),0)))</f>
        <v>0</v>
      </c>
      <c r="E452">
        <f>_xlfn.LET(_xlpm.dir,Table13[[#This Row],[Direction]],
IF(_xlpm.dir="L",
    IF(G451-Table13[[#This Row],[Steps]]&lt;0,100+(G451-Table13[[#This Row],[Steps]]),G451-Table13[[#This Row],[Steps]]),
))</f>
        <v>57</v>
      </c>
      <c r="F452">
        <f>_xlfn.LET(_xlpm.dir,Table13[[#This Row],[Direction]],
IF(_xlpm.dir="R",
    IF(G451+Table13[[#This Row],[Steps]]&gt;99,(G451+Table13[[#This Row],[Steps]])-100,G451+Table13[[#This Row],[Steps]]),
))</f>
        <v>0</v>
      </c>
      <c r="G452">
        <f>IF(Table13[[#This Row],[New Pos L]]&lt;&gt;0,Table13[[#This Row],[New Pos L]],Table13[[#This Row],[New Pos R]])</f>
        <v>57</v>
      </c>
      <c r="H452">
        <f>IF(AND(Table13[[#This Row],[Direction]]="L",Table13[[#This Row],[Steps]]&gt;G451,G451&lt;&gt;0),1,0)</f>
        <v>0</v>
      </c>
      <c r="I452">
        <f>IF(AND(Table13[[#This Row],[Direction]]="R",(G451+Table13[[#This Row],[Steps]])&gt;100),1,0)</f>
        <v>0</v>
      </c>
      <c r="J452">
        <f>IF(Table13[[#This Row],[POS]]=0,1,0)</f>
        <v>0</v>
      </c>
      <c r="K452">
        <f>SUM(Table13[[#This Row],[prefix]],Table13[[#This Row],[Past zero L]],Table13[[#This Row],[Past Zero R]],Table13[[#This Row],[Is Zero]])</f>
        <v>0</v>
      </c>
    </row>
    <row r="453" spans="1:11" ht="16" x14ac:dyDescent="0.2">
      <c r="A453" s="1" t="s">
        <v>235</v>
      </c>
      <c r="B453" t="str">
        <f>LEFT(Table13[[#This Row],[Input]],1)</f>
        <v>L</v>
      </c>
      <c r="C453">
        <f>_xlfn.LET(_xlpm.steps,SUBSTITUTE(Table13[[#This Row],[Input]],Table13[[#This Row],[Direction]],""),VALUE(IF(LEN(_xlpm.steps)&gt;2,RIGHT(_xlpm.steps,2),_xlpm.steps)))</f>
        <v>9</v>
      </c>
      <c r="D453">
        <f>_xlfn.LET(_xlpm.steps,SUBSTITUTE(Table13[[#This Row],[Input]],Table13[[#This Row],[Direction]],""),VALUE(IF(LEN(_xlpm.steps)&gt;2,LEFT(_xlpm.steps,LEN(_xlpm.steps)-2),0)))</f>
        <v>9</v>
      </c>
      <c r="E453">
        <f>_xlfn.LET(_xlpm.dir,Table13[[#This Row],[Direction]],
IF(_xlpm.dir="L",
    IF(G452-Table13[[#This Row],[Steps]]&lt;0,100+(G452-Table13[[#This Row],[Steps]]),G452-Table13[[#This Row],[Steps]]),
))</f>
        <v>48</v>
      </c>
      <c r="F453">
        <f>_xlfn.LET(_xlpm.dir,Table13[[#This Row],[Direction]],
IF(_xlpm.dir="R",
    IF(G452+Table13[[#This Row],[Steps]]&gt;99,(G452+Table13[[#This Row],[Steps]])-100,G452+Table13[[#This Row],[Steps]]),
))</f>
        <v>0</v>
      </c>
      <c r="G453">
        <f>IF(Table13[[#This Row],[New Pos L]]&lt;&gt;0,Table13[[#This Row],[New Pos L]],Table13[[#This Row],[New Pos R]])</f>
        <v>48</v>
      </c>
      <c r="H453">
        <f>IF(AND(Table13[[#This Row],[Direction]]="L",Table13[[#This Row],[Steps]]&gt;G452,G452&lt;&gt;0),1,0)</f>
        <v>0</v>
      </c>
      <c r="I453">
        <f>IF(AND(Table13[[#This Row],[Direction]]="R",(G452+Table13[[#This Row],[Steps]])&gt;100),1,0)</f>
        <v>0</v>
      </c>
      <c r="J453">
        <f>IF(Table13[[#This Row],[POS]]=0,1,0)</f>
        <v>0</v>
      </c>
      <c r="K453">
        <f>SUM(Table13[[#This Row],[prefix]],Table13[[#This Row],[Past zero L]],Table13[[#This Row],[Past Zero R]],Table13[[#This Row],[Is Zero]])</f>
        <v>9</v>
      </c>
    </row>
    <row r="454" spans="1:11" ht="16" x14ac:dyDescent="0.2">
      <c r="A454" s="1" t="s">
        <v>16</v>
      </c>
      <c r="B454" t="str">
        <f>LEFT(Table13[[#This Row],[Input]],1)</f>
        <v>L</v>
      </c>
      <c r="C454">
        <f>_xlfn.LET(_xlpm.steps,SUBSTITUTE(Table13[[#This Row],[Input]],Table13[[#This Row],[Direction]],""),VALUE(IF(LEN(_xlpm.steps)&gt;2,RIGHT(_xlpm.steps,2),_xlpm.steps)))</f>
        <v>10</v>
      </c>
      <c r="D454">
        <f>_xlfn.LET(_xlpm.steps,SUBSTITUTE(Table13[[#This Row],[Input]],Table13[[#This Row],[Direction]],""),VALUE(IF(LEN(_xlpm.steps)&gt;2,LEFT(_xlpm.steps,LEN(_xlpm.steps)-2),0)))</f>
        <v>0</v>
      </c>
      <c r="E454">
        <f>_xlfn.LET(_xlpm.dir,Table13[[#This Row],[Direction]],
IF(_xlpm.dir="L",
    IF(G453-Table13[[#This Row],[Steps]]&lt;0,100+(G453-Table13[[#This Row],[Steps]]),G453-Table13[[#This Row],[Steps]]),
))</f>
        <v>38</v>
      </c>
      <c r="F454">
        <f>_xlfn.LET(_xlpm.dir,Table13[[#This Row],[Direction]],
IF(_xlpm.dir="R",
    IF(G453+Table13[[#This Row],[Steps]]&gt;99,(G453+Table13[[#This Row],[Steps]])-100,G453+Table13[[#This Row],[Steps]]),
))</f>
        <v>0</v>
      </c>
      <c r="G454">
        <f>IF(Table13[[#This Row],[New Pos L]]&lt;&gt;0,Table13[[#This Row],[New Pos L]],Table13[[#This Row],[New Pos R]])</f>
        <v>38</v>
      </c>
      <c r="H454">
        <f>IF(AND(Table13[[#This Row],[Direction]]="L",Table13[[#This Row],[Steps]]&gt;G453,G453&lt;&gt;0),1,0)</f>
        <v>0</v>
      </c>
      <c r="I454">
        <f>IF(AND(Table13[[#This Row],[Direction]]="R",(G453+Table13[[#This Row],[Steps]])&gt;100),1,0)</f>
        <v>0</v>
      </c>
      <c r="J454">
        <f>IF(Table13[[#This Row],[POS]]=0,1,0)</f>
        <v>0</v>
      </c>
      <c r="K454">
        <f>SUM(Table13[[#This Row],[prefix]],Table13[[#This Row],[Past zero L]],Table13[[#This Row],[Past Zero R]],Table13[[#This Row],[Is Zero]])</f>
        <v>0</v>
      </c>
    </row>
    <row r="455" spans="1:11" ht="16" x14ac:dyDescent="0.2">
      <c r="A455" s="1" t="s">
        <v>44</v>
      </c>
      <c r="B455" t="str">
        <f>LEFT(Table13[[#This Row],[Input]],1)</f>
        <v>R</v>
      </c>
      <c r="C455">
        <f>_xlfn.LET(_xlpm.steps,SUBSTITUTE(Table13[[#This Row],[Input]],Table13[[#This Row],[Direction]],""),VALUE(IF(LEN(_xlpm.steps)&gt;2,RIGHT(_xlpm.steps,2),_xlpm.steps)))</f>
        <v>96</v>
      </c>
      <c r="D455">
        <f>_xlfn.LET(_xlpm.steps,SUBSTITUTE(Table13[[#This Row],[Input]],Table13[[#This Row],[Direction]],""),VALUE(IF(LEN(_xlpm.steps)&gt;2,LEFT(_xlpm.steps,LEN(_xlpm.steps)-2),0)))</f>
        <v>0</v>
      </c>
      <c r="E455">
        <f>_xlfn.LET(_xlpm.dir,Table13[[#This Row],[Direction]],
IF(_xlpm.dir="L",
    IF(G454-Table13[[#This Row],[Steps]]&lt;0,100+(G454-Table13[[#This Row],[Steps]]),G454-Table13[[#This Row],[Steps]]),
))</f>
        <v>0</v>
      </c>
      <c r="F455">
        <f>_xlfn.LET(_xlpm.dir,Table13[[#This Row],[Direction]],
IF(_xlpm.dir="R",
    IF(G454+Table13[[#This Row],[Steps]]&gt;99,(G454+Table13[[#This Row],[Steps]])-100,G454+Table13[[#This Row],[Steps]]),
))</f>
        <v>34</v>
      </c>
      <c r="G455">
        <f>IF(Table13[[#This Row],[New Pos L]]&lt;&gt;0,Table13[[#This Row],[New Pos L]],Table13[[#This Row],[New Pos R]])</f>
        <v>34</v>
      </c>
      <c r="H455">
        <f>IF(AND(Table13[[#This Row],[Direction]]="L",Table13[[#This Row],[Steps]]&gt;G454,G454&lt;&gt;0),1,0)</f>
        <v>0</v>
      </c>
      <c r="I455">
        <f>IF(AND(Table13[[#This Row],[Direction]]="R",(G454+Table13[[#This Row],[Steps]])&gt;100),1,0)</f>
        <v>1</v>
      </c>
      <c r="J455">
        <f>IF(Table13[[#This Row],[POS]]=0,1,0)</f>
        <v>0</v>
      </c>
      <c r="K455">
        <f>SUM(Table13[[#This Row],[prefix]],Table13[[#This Row],[Past zero L]],Table13[[#This Row],[Past Zero R]],Table13[[#This Row],[Is Zero]])</f>
        <v>1</v>
      </c>
    </row>
    <row r="456" spans="1:11" ht="16" x14ac:dyDescent="0.2">
      <c r="A456" s="1" t="s">
        <v>236</v>
      </c>
      <c r="B456" t="str">
        <f>LEFT(Table13[[#This Row],[Input]],1)</f>
        <v>L</v>
      </c>
      <c r="C456">
        <f>_xlfn.LET(_xlpm.steps,SUBSTITUTE(Table13[[#This Row],[Input]],Table13[[#This Row],[Direction]],""),VALUE(IF(LEN(_xlpm.steps)&gt;2,RIGHT(_xlpm.steps,2),_xlpm.steps)))</f>
        <v>48</v>
      </c>
      <c r="D456">
        <f>_xlfn.LET(_xlpm.steps,SUBSTITUTE(Table13[[#This Row],[Input]],Table13[[#This Row],[Direction]],""),VALUE(IF(LEN(_xlpm.steps)&gt;2,LEFT(_xlpm.steps,LEN(_xlpm.steps)-2),0)))</f>
        <v>9</v>
      </c>
      <c r="E456">
        <f>_xlfn.LET(_xlpm.dir,Table13[[#This Row],[Direction]],
IF(_xlpm.dir="L",
    IF(G455-Table13[[#This Row],[Steps]]&lt;0,100+(G455-Table13[[#This Row],[Steps]]),G455-Table13[[#This Row],[Steps]]),
))</f>
        <v>86</v>
      </c>
      <c r="F456">
        <f>_xlfn.LET(_xlpm.dir,Table13[[#This Row],[Direction]],
IF(_xlpm.dir="R",
    IF(G455+Table13[[#This Row],[Steps]]&gt;99,(G455+Table13[[#This Row],[Steps]])-100,G455+Table13[[#This Row],[Steps]]),
))</f>
        <v>0</v>
      </c>
      <c r="G456">
        <f>IF(Table13[[#This Row],[New Pos L]]&lt;&gt;0,Table13[[#This Row],[New Pos L]],Table13[[#This Row],[New Pos R]])</f>
        <v>86</v>
      </c>
      <c r="H456">
        <f>IF(AND(Table13[[#This Row],[Direction]]="L",Table13[[#This Row],[Steps]]&gt;G455,G455&lt;&gt;0),1,0)</f>
        <v>1</v>
      </c>
      <c r="I456">
        <f>IF(AND(Table13[[#This Row],[Direction]]="R",(G455+Table13[[#This Row],[Steps]])&gt;100),1,0)</f>
        <v>0</v>
      </c>
      <c r="J456">
        <f>IF(Table13[[#This Row],[POS]]=0,1,0)</f>
        <v>0</v>
      </c>
      <c r="K456">
        <f>SUM(Table13[[#This Row],[prefix]],Table13[[#This Row],[Past zero L]],Table13[[#This Row],[Past Zero R]],Table13[[#This Row],[Is Zero]])</f>
        <v>10</v>
      </c>
    </row>
    <row r="457" spans="1:11" ht="16" x14ac:dyDescent="0.2">
      <c r="A457" s="1" t="s">
        <v>0</v>
      </c>
      <c r="B457" t="str">
        <f>LEFT(Table13[[#This Row],[Input]],1)</f>
        <v>L</v>
      </c>
      <c r="C457">
        <f>_xlfn.LET(_xlpm.steps,SUBSTITUTE(Table13[[#This Row],[Input]],Table13[[#This Row],[Direction]],""),VALUE(IF(LEN(_xlpm.steps)&gt;2,RIGHT(_xlpm.steps,2),_xlpm.steps)))</f>
        <v>44</v>
      </c>
      <c r="D457">
        <f>_xlfn.LET(_xlpm.steps,SUBSTITUTE(Table13[[#This Row],[Input]],Table13[[#This Row],[Direction]],""),VALUE(IF(LEN(_xlpm.steps)&gt;2,LEFT(_xlpm.steps,LEN(_xlpm.steps)-2),0)))</f>
        <v>0</v>
      </c>
      <c r="E457">
        <f>_xlfn.LET(_xlpm.dir,Table13[[#This Row],[Direction]],
IF(_xlpm.dir="L",
    IF(G456-Table13[[#This Row],[Steps]]&lt;0,100+(G456-Table13[[#This Row],[Steps]]),G456-Table13[[#This Row],[Steps]]),
))</f>
        <v>42</v>
      </c>
      <c r="F457">
        <f>_xlfn.LET(_xlpm.dir,Table13[[#This Row],[Direction]],
IF(_xlpm.dir="R",
    IF(G456+Table13[[#This Row],[Steps]]&gt;99,(G456+Table13[[#This Row],[Steps]])-100,G456+Table13[[#This Row],[Steps]]),
))</f>
        <v>0</v>
      </c>
      <c r="G457">
        <f>IF(Table13[[#This Row],[New Pos L]]&lt;&gt;0,Table13[[#This Row],[New Pos L]],Table13[[#This Row],[New Pos R]])</f>
        <v>42</v>
      </c>
      <c r="H457">
        <f>IF(AND(Table13[[#This Row],[Direction]]="L",Table13[[#This Row],[Steps]]&gt;G456,G456&lt;&gt;0),1,0)</f>
        <v>0</v>
      </c>
      <c r="I457">
        <f>IF(AND(Table13[[#This Row],[Direction]]="R",(G456+Table13[[#This Row],[Steps]])&gt;100),1,0)</f>
        <v>0</v>
      </c>
      <c r="J457">
        <f>IF(Table13[[#This Row],[POS]]=0,1,0)</f>
        <v>0</v>
      </c>
      <c r="K457">
        <f>SUM(Table13[[#This Row],[prefix]],Table13[[#This Row],[Past zero L]],Table13[[#This Row],[Past Zero R]],Table13[[#This Row],[Is Zero]])</f>
        <v>0</v>
      </c>
    </row>
    <row r="458" spans="1:11" ht="16" x14ac:dyDescent="0.2">
      <c r="A458" s="1" t="s">
        <v>237</v>
      </c>
      <c r="B458" t="str">
        <f>LEFT(Table13[[#This Row],[Input]],1)</f>
        <v>R</v>
      </c>
      <c r="C458">
        <f>_xlfn.LET(_xlpm.steps,SUBSTITUTE(Table13[[#This Row],[Input]],Table13[[#This Row],[Direction]],""),VALUE(IF(LEN(_xlpm.steps)&gt;2,RIGHT(_xlpm.steps,2),_xlpm.steps)))</f>
        <v>28</v>
      </c>
      <c r="D458">
        <f>_xlfn.LET(_xlpm.steps,SUBSTITUTE(Table13[[#This Row],[Input]],Table13[[#This Row],[Direction]],""),VALUE(IF(LEN(_xlpm.steps)&gt;2,LEFT(_xlpm.steps,LEN(_xlpm.steps)-2),0)))</f>
        <v>2</v>
      </c>
      <c r="E458">
        <f>_xlfn.LET(_xlpm.dir,Table13[[#This Row],[Direction]],
IF(_xlpm.dir="L",
    IF(G457-Table13[[#This Row],[Steps]]&lt;0,100+(G457-Table13[[#This Row],[Steps]]),G457-Table13[[#This Row],[Steps]]),
))</f>
        <v>0</v>
      </c>
      <c r="F458">
        <f>_xlfn.LET(_xlpm.dir,Table13[[#This Row],[Direction]],
IF(_xlpm.dir="R",
    IF(G457+Table13[[#This Row],[Steps]]&gt;99,(G457+Table13[[#This Row],[Steps]])-100,G457+Table13[[#This Row],[Steps]]),
))</f>
        <v>70</v>
      </c>
      <c r="G458">
        <f>IF(Table13[[#This Row],[New Pos L]]&lt;&gt;0,Table13[[#This Row],[New Pos L]],Table13[[#This Row],[New Pos R]])</f>
        <v>70</v>
      </c>
      <c r="H458">
        <f>IF(AND(Table13[[#This Row],[Direction]]="L",Table13[[#This Row],[Steps]]&gt;G457,G457&lt;&gt;0),1,0)</f>
        <v>0</v>
      </c>
      <c r="I458">
        <f>IF(AND(Table13[[#This Row],[Direction]]="R",(G457+Table13[[#This Row],[Steps]])&gt;100),1,0)</f>
        <v>0</v>
      </c>
      <c r="J458">
        <f>IF(Table13[[#This Row],[POS]]=0,1,0)</f>
        <v>0</v>
      </c>
      <c r="K458">
        <f>SUM(Table13[[#This Row],[prefix]],Table13[[#This Row],[Past zero L]],Table13[[#This Row],[Past Zero R]],Table13[[#This Row],[Is Zero]])</f>
        <v>2</v>
      </c>
    </row>
    <row r="459" spans="1:11" ht="16" x14ac:dyDescent="0.2">
      <c r="A459" s="1" t="s">
        <v>95</v>
      </c>
      <c r="B459" t="str">
        <f>LEFT(Table13[[#This Row],[Input]],1)</f>
        <v>L</v>
      </c>
      <c r="C459">
        <f>_xlfn.LET(_xlpm.steps,SUBSTITUTE(Table13[[#This Row],[Input]],Table13[[#This Row],[Direction]],""),VALUE(IF(LEN(_xlpm.steps)&gt;2,RIGHT(_xlpm.steps,2),_xlpm.steps)))</f>
        <v>78</v>
      </c>
      <c r="D459">
        <f>_xlfn.LET(_xlpm.steps,SUBSTITUTE(Table13[[#This Row],[Input]],Table13[[#This Row],[Direction]],""),VALUE(IF(LEN(_xlpm.steps)&gt;2,LEFT(_xlpm.steps,LEN(_xlpm.steps)-2),0)))</f>
        <v>0</v>
      </c>
      <c r="E459">
        <f>_xlfn.LET(_xlpm.dir,Table13[[#This Row],[Direction]],
IF(_xlpm.dir="L",
    IF(G458-Table13[[#This Row],[Steps]]&lt;0,100+(G458-Table13[[#This Row],[Steps]]),G458-Table13[[#This Row],[Steps]]),
))</f>
        <v>92</v>
      </c>
      <c r="F459">
        <f>_xlfn.LET(_xlpm.dir,Table13[[#This Row],[Direction]],
IF(_xlpm.dir="R",
    IF(G458+Table13[[#This Row],[Steps]]&gt;99,(G458+Table13[[#This Row],[Steps]])-100,G458+Table13[[#This Row],[Steps]]),
))</f>
        <v>0</v>
      </c>
      <c r="G459">
        <f>IF(Table13[[#This Row],[New Pos L]]&lt;&gt;0,Table13[[#This Row],[New Pos L]],Table13[[#This Row],[New Pos R]])</f>
        <v>92</v>
      </c>
      <c r="H459">
        <f>IF(AND(Table13[[#This Row],[Direction]]="L",Table13[[#This Row],[Steps]]&gt;G458,G458&lt;&gt;0),1,0)</f>
        <v>1</v>
      </c>
      <c r="I459">
        <f>IF(AND(Table13[[#This Row],[Direction]]="R",(G458+Table13[[#This Row],[Steps]])&gt;100),1,0)</f>
        <v>0</v>
      </c>
      <c r="J459">
        <f>IF(Table13[[#This Row],[POS]]=0,1,0)</f>
        <v>0</v>
      </c>
      <c r="K459">
        <f>SUM(Table13[[#This Row],[prefix]],Table13[[#This Row],[Past zero L]],Table13[[#This Row],[Past Zero R]],Table13[[#This Row],[Is Zero]])</f>
        <v>1</v>
      </c>
    </row>
    <row r="460" spans="1:11" ht="16" x14ac:dyDescent="0.2">
      <c r="A460" s="1" t="s">
        <v>129</v>
      </c>
      <c r="B460" t="str">
        <f>LEFT(Table13[[#This Row],[Input]],1)</f>
        <v>R</v>
      </c>
      <c r="C460">
        <f>_xlfn.LET(_xlpm.steps,SUBSTITUTE(Table13[[#This Row],[Input]],Table13[[#This Row],[Direction]],""),VALUE(IF(LEN(_xlpm.steps)&gt;2,RIGHT(_xlpm.steps,2),_xlpm.steps)))</f>
        <v>8</v>
      </c>
      <c r="D460">
        <f>_xlfn.LET(_xlpm.steps,SUBSTITUTE(Table13[[#This Row],[Input]],Table13[[#This Row],[Direction]],""),VALUE(IF(LEN(_xlpm.steps)&gt;2,LEFT(_xlpm.steps,LEN(_xlpm.steps)-2),0)))</f>
        <v>0</v>
      </c>
      <c r="E460">
        <f>_xlfn.LET(_xlpm.dir,Table13[[#This Row],[Direction]],
IF(_xlpm.dir="L",
    IF(G459-Table13[[#This Row],[Steps]]&lt;0,100+(G459-Table13[[#This Row],[Steps]]),G459-Table13[[#This Row],[Steps]]),
))</f>
        <v>0</v>
      </c>
      <c r="F460">
        <f>_xlfn.LET(_xlpm.dir,Table13[[#This Row],[Direction]],
IF(_xlpm.dir="R",
    IF(G459+Table13[[#This Row],[Steps]]&gt;99,(G459+Table13[[#This Row],[Steps]])-100,G459+Table13[[#This Row],[Steps]]),
))</f>
        <v>0</v>
      </c>
      <c r="G460">
        <f>IF(Table13[[#This Row],[New Pos L]]&lt;&gt;0,Table13[[#This Row],[New Pos L]],Table13[[#This Row],[New Pos R]])</f>
        <v>0</v>
      </c>
      <c r="H460">
        <f>IF(AND(Table13[[#This Row],[Direction]]="L",Table13[[#This Row],[Steps]]&gt;G459,G459&lt;&gt;0),1,0)</f>
        <v>0</v>
      </c>
      <c r="I460">
        <f>IF(AND(Table13[[#This Row],[Direction]]="R",(G459+Table13[[#This Row],[Steps]])&gt;100),1,0)</f>
        <v>0</v>
      </c>
      <c r="J460">
        <f>IF(Table13[[#This Row],[POS]]=0,1,0)</f>
        <v>1</v>
      </c>
      <c r="K460">
        <f>SUM(Table13[[#This Row],[prefix]],Table13[[#This Row],[Past zero L]],Table13[[#This Row],[Past Zero R]],Table13[[#This Row],[Is Zero]])</f>
        <v>1</v>
      </c>
    </row>
    <row r="461" spans="1:11" ht="16" x14ac:dyDescent="0.2">
      <c r="A461" s="1" t="s">
        <v>123</v>
      </c>
      <c r="B461" t="str">
        <f>LEFT(Table13[[#This Row],[Input]],1)</f>
        <v>L</v>
      </c>
      <c r="C461">
        <f>_xlfn.LET(_xlpm.steps,SUBSTITUTE(Table13[[#This Row],[Input]],Table13[[#This Row],[Direction]],""),VALUE(IF(LEN(_xlpm.steps)&gt;2,RIGHT(_xlpm.steps,2),_xlpm.steps)))</f>
        <v>63</v>
      </c>
      <c r="D461">
        <f>_xlfn.LET(_xlpm.steps,SUBSTITUTE(Table13[[#This Row],[Input]],Table13[[#This Row],[Direction]],""),VALUE(IF(LEN(_xlpm.steps)&gt;2,LEFT(_xlpm.steps,LEN(_xlpm.steps)-2),0)))</f>
        <v>0</v>
      </c>
      <c r="E461">
        <f>_xlfn.LET(_xlpm.dir,Table13[[#This Row],[Direction]],
IF(_xlpm.dir="L",
    IF(G460-Table13[[#This Row],[Steps]]&lt;0,100+(G460-Table13[[#This Row],[Steps]]),G460-Table13[[#This Row],[Steps]]),
))</f>
        <v>37</v>
      </c>
      <c r="F461">
        <f>_xlfn.LET(_xlpm.dir,Table13[[#This Row],[Direction]],
IF(_xlpm.dir="R",
    IF(G460+Table13[[#This Row],[Steps]]&gt;99,(G460+Table13[[#This Row],[Steps]])-100,G460+Table13[[#This Row],[Steps]]),
))</f>
        <v>0</v>
      </c>
      <c r="G461">
        <f>IF(Table13[[#This Row],[New Pos L]]&lt;&gt;0,Table13[[#This Row],[New Pos L]],Table13[[#This Row],[New Pos R]])</f>
        <v>37</v>
      </c>
      <c r="H461">
        <f>IF(AND(Table13[[#This Row],[Direction]]="L",Table13[[#This Row],[Steps]]&gt;G460,G460&lt;&gt;0),1,0)</f>
        <v>0</v>
      </c>
      <c r="I461">
        <f>IF(AND(Table13[[#This Row],[Direction]]="R",(G460+Table13[[#This Row],[Steps]])&gt;100),1,0)</f>
        <v>0</v>
      </c>
      <c r="J461">
        <f>IF(Table13[[#This Row],[POS]]=0,1,0)</f>
        <v>0</v>
      </c>
      <c r="K461">
        <f>SUM(Table13[[#This Row],[prefix]],Table13[[#This Row],[Past zero L]],Table13[[#This Row],[Past Zero R]],Table13[[#This Row],[Is Zero]])</f>
        <v>0</v>
      </c>
    </row>
    <row r="462" spans="1:11" ht="16" x14ac:dyDescent="0.2">
      <c r="A462" s="1" t="s">
        <v>238</v>
      </c>
      <c r="B462" t="str">
        <f>LEFT(Table13[[#This Row],[Input]],1)</f>
        <v>R</v>
      </c>
      <c r="C462">
        <f>_xlfn.LET(_xlpm.steps,SUBSTITUTE(Table13[[#This Row],[Input]],Table13[[#This Row],[Direction]],""),VALUE(IF(LEN(_xlpm.steps)&gt;2,RIGHT(_xlpm.steps,2),_xlpm.steps)))</f>
        <v>84</v>
      </c>
      <c r="D462">
        <f>_xlfn.LET(_xlpm.steps,SUBSTITUTE(Table13[[#This Row],[Input]],Table13[[#This Row],[Direction]],""),VALUE(IF(LEN(_xlpm.steps)&gt;2,LEFT(_xlpm.steps,LEN(_xlpm.steps)-2),0)))</f>
        <v>6</v>
      </c>
      <c r="E462">
        <f>_xlfn.LET(_xlpm.dir,Table13[[#This Row],[Direction]],
IF(_xlpm.dir="L",
    IF(G461-Table13[[#This Row],[Steps]]&lt;0,100+(G461-Table13[[#This Row],[Steps]]),G461-Table13[[#This Row],[Steps]]),
))</f>
        <v>0</v>
      </c>
      <c r="F462">
        <f>_xlfn.LET(_xlpm.dir,Table13[[#This Row],[Direction]],
IF(_xlpm.dir="R",
    IF(G461+Table13[[#This Row],[Steps]]&gt;99,(G461+Table13[[#This Row],[Steps]])-100,G461+Table13[[#This Row],[Steps]]),
))</f>
        <v>21</v>
      </c>
      <c r="G462">
        <f>IF(Table13[[#This Row],[New Pos L]]&lt;&gt;0,Table13[[#This Row],[New Pos L]],Table13[[#This Row],[New Pos R]])</f>
        <v>21</v>
      </c>
      <c r="H462">
        <f>IF(AND(Table13[[#This Row],[Direction]]="L",Table13[[#This Row],[Steps]]&gt;G461,G461&lt;&gt;0),1,0)</f>
        <v>0</v>
      </c>
      <c r="I462">
        <f>IF(AND(Table13[[#This Row],[Direction]]="R",(G461+Table13[[#This Row],[Steps]])&gt;100),1,0)</f>
        <v>1</v>
      </c>
      <c r="J462">
        <f>IF(Table13[[#This Row],[POS]]=0,1,0)</f>
        <v>0</v>
      </c>
      <c r="K462">
        <f>SUM(Table13[[#This Row],[prefix]],Table13[[#This Row],[Past zero L]],Table13[[#This Row],[Past Zero R]],Table13[[#This Row],[Is Zero]])</f>
        <v>7</v>
      </c>
    </row>
    <row r="463" spans="1:11" ht="16" x14ac:dyDescent="0.2">
      <c r="A463" s="1" t="s">
        <v>146</v>
      </c>
      <c r="B463" t="str">
        <f>LEFT(Table13[[#This Row],[Input]],1)</f>
        <v>R</v>
      </c>
      <c r="C463">
        <f>_xlfn.LET(_xlpm.steps,SUBSTITUTE(Table13[[#This Row],[Input]],Table13[[#This Row],[Direction]],""),VALUE(IF(LEN(_xlpm.steps)&gt;2,RIGHT(_xlpm.steps,2),_xlpm.steps)))</f>
        <v>4</v>
      </c>
      <c r="D463">
        <f>_xlfn.LET(_xlpm.steps,SUBSTITUTE(Table13[[#This Row],[Input]],Table13[[#This Row],[Direction]],""),VALUE(IF(LEN(_xlpm.steps)&gt;2,LEFT(_xlpm.steps,LEN(_xlpm.steps)-2),0)))</f>
        <v>0</v>
      </c>
      <c r="E463">
        <f>_xlfn.LET(_xlpm.dir,Table13[[#This Row],[Direction]],
IF(_xlpm.dir="L",
    IF(G462-Table13[[#This Row],[Steps]]&lt;0,100+(G462-Table13[[#This Row],[Steps]]),G462-Table13[[#This Row],[Steps]]),
))</f>
        <v>0</v>
      </c>
      <c r="F463">
        <f>_xlfn.LET(_xlpm.dir,Table13[[#This Row],[Direction]],
IF(_xlpm.dir="R",
    IF(G462+Table13[[#This Row],[Steps]]&gt;99,(G462+Table13[[#This Row],[Steps]])-100,G462+Table13[[#This Row],[Steps]]),
))</f>
        <v>25</v>
      </c>
      <c r="G463">
        <f>IF(Table13[[#This Row],[New Pos L]]&lt;&gt;0,Table13[[#This Row],[New Pos L]],Table13[[#This Row],[New Pos R]])</f>
        <v>25</v>
      </c>
      <c r="H463">
        <f>IF(AND(Table13[[#This Row],[Direction]]="L",Table13[[#This Row],[Steps]]&gt;G462,G462&lt;&gt;0),1,0)</f>
        <v>0</v>
      </c>
      <c r="I463">
        <f>IF(AND(Table13[[#This Row],[Direction]]="R",(G462+Table13[[#This Row],[Steps]])&gt;100),1,0)</f>
        <v>0</v>
      </c>
      <c r="J463">
        <f>IF(Table13[[#This Row],[POS]]=0,1,0)</f>
        <v>0</v>
      </c>
      <c r="K463">
        <f>SUM(Table13[[#This Row],[prefix]],Table13[[#This Row],[Past zero L]],Table13[[#This Row],[Past Zero R]],Table13[[#This Row],[Is Zero]])</f>
        <v>0</v>
      </c>
    </row>
    <row r="464" spans="1:11" ht="16" x14ac:dyDescent="0.2">
      <c r="A464" s="1" t="s">
        <v>239</v>
      </c>
      <c r="B464" t="str">
        <f>LEFT(Table13[[#This Row],[Input]],1)</f>
        <v>L</v>
      </c>
      <c r="C464">
        <f>_xlfn.LET(_xlpm.steps,SUBSTITUTE(Table13[[#This Row],[Input]],Table13[[#This Row],[Direction]],""),VALUE(IF(LEN(_xlpm.steps)&gt;2,RIGHT(_xlpm.steps,2),_xlpm.steps)))</f>
        <v>76</v>
      </c>
      <c r="D464">
        <f>_xlfn.LET(_xlpm.steps,SUBSTITUTE(Table13[[#This Row],[Input]],Table13[[#This Row],[Direction]],""),VALUE(IF(LEN(_xlpm.steps)&gt;2,LEFT(_xlpm.steps,LEN(_xlpm.steps)-2),0)))</f>
        <v>3</v>
      </c>
      <c r="E464">
        <f>_xlfn.LET(_xlpm.dir,Table13[[#This Row],[Direction]],
IF(_xlpm.dir="L",
    IF(G463-Table13[[#This Row],[Steps]]&lt;0,100+(G463-Table13[[#This Row],[Steps]]),G463-Table13[[#This Row],[Steps]]),
))</f>
        <v>49</v>
      </c>
      <c r="F464">
        <f>_xlfn.LET(_xlpm.dir,Table13[[#This Row],[Direction]],
IF(_xlpm.dir="R",
    IF(G463+Table13[[#This Row],[Steps]]&gt;99,(G463+Table13[[#This Row],[Steps]])-100,G463+Table13[[#This Row],[Steps]]),
))</f>
        <v>0</v>
      </c>
      <c r="G464">
        <f>IF(Table13[[#This Row],[New Pos L]]&lt;&gt;0,Table13[[#This Row],[New Pos L]],Table13[[#This Row],[New Pos R]])</f>
        <v>49</v>
      </c>
      <c r="H464">
        <f>IF(AND(Table13[[#This Row],[Direction]]="L",Table13[[#This Row],[Steps]]&gt;G463,G463&lt;&gt;0),1,0)</f>
        <v>1</v>
      </c>
      <c r="I464">
        <f>IF(AND(Table13[[#This Row],[Direction]]="R",(G463+Table13[[#This Row],[Steps]])&gt;100),1,0)</f>
        <v>0</v>
      </c>
      <c r="J464">
        <f>IF(Table13[[#This Row],[POS]]=0,1,0)</f>
        <v>0</v>
      </c>
      <c r="K464">
        <f>SUM(Table13[[#This Row],[prefix]],Table13[[#This Row],[Past zero L]],Table13[[#This Row],[Past Zero R]],Table13[[#This Row],[Is Zero]])</f>
        <v>4</v>
      </c>
    </row>
    <row r="465" spans="1:11" ht="16" x14ac:dyDescent="0.2">
      <c r="A465" s="1" t="s">
        <v>0</v>
      </c>
      <c r="B465" t="str">
        <f>LEFT(Table13[[#This Row],[Input]],1)</f>
        <v>L</v>
      </c>
      <c r="C465">
        <f>_xlfn.LET(_xlpm.steps,SUBSTITUTE(Table13[[#This Row],[Input]],Table13[[#This Row],[Direction]],""),VALUE(IF(LEN(_xlpm.steps)&gt;2,RIGHT(_xlpm.steps,2),_xlpm.steps)))</f>
        <v>44</v>
      </c>
      <c r="D465">
        <f>_xlfn.LET(_xlpm.steps,SUBSTITUTE(Table13[[#This Row],[Input]],Table13[[#This Row],[Direction]],""),VALUE(IF(LEN(_xlpm.steps)&gt;2,LEFT(_xlpm.steps,LEN(_xlpm.steps)-2),0)))</f>
        <v>0</v>
      </c>
      <c r="E465">
        <f>_xlfn.LET(_xlpm.dir,Table13[[#This Row],[Direction]],
IF(_xlpm.dir="L",
    IF(G464-Table13[[#This Row],[Steps]]&lt;0,100+(G464-Table13[[#This Row],[Steps]]),G464-Table13[[#This Row],[Steps]]),
))</f>
        <v>5</v>
      </c>
      <c r="F465">
        <f>_xlfn.LET(_xlpm.dir,Table13[[#This Row],[Direction]],
IF(_xlpm.dir="R",
    IF(G464+Table13[[#This Row],[Steps]]&gt;99,(G464+Table13[[#This Row],[Steps]])-100,G464+Table13[[#This Row],[Steps]]),
))</f>
        <v>0</v>
      </c>
      <c r="G465">
        <f>IF(Table13[[#This Row],[New Pos L]]&lt;&gt;0,Table13[[#This Row],[New Pos L]],Table13[[#This Row],[New Pos R]])</f>
        <v>5</v>
      </c>
      <c r="H465">
        <f>IF(AND(Table13[[#This Row],[Direction]]="L",Table13[[#This Row],[Steps]]&gt;G464,G464&lt;&gt;0),1,0)</f>
        <v>0</v>
      </c>
      <c r="I465">
        <f>IF(AND(Table13[[#This Row],[Direction]]="R",(G464+Table13[[#This Row],[Steps]])&gt;100),1,0)</f>
        <v>0</v>
      </c>
      <c r="J465">
        <f>IF(Table13[[#This Row],[POS]]=0,1,0)</f>
        <v>0</v>
      </c>
      <c r="K465">
        <f>SUM(Table13[[#This Row],[prefix]],Table13[[#This Row],[Past zero L]],Table13[[#This Row],[Past Zero R]],Table13[[#This Row],[Is Zero]])</f>
        <v>0</v>
      </c>
    </row>
    <row r="466" spans="1:11" ht="16" x14ac:dyDescent="0.2">
      <c r="A466" s="1" t="s">
        <v>240</v>
      </c>
      <c r="B466" t="str">
        <f>LEFT(Table13[[#This Row],[Input]],1)</f>
        <v>R</v>
      </c>
      <c r="C466">
        <f>_xlfn.LET(_xlpm.steps,SUBSTITUTE(Table13[[#This Row],[Input]],Table13[[#This Row],[Direction]],""),VALUE(IF(LEN(_xlpm.steps)&gt;2,RIGHT(_xlpm.steps,2),_xlpm.steps)))</f>
        <v>95</v>
      </c>
      <c r="D466">
        <f>_xlfn.LET(_xlpm.steps,SUBSTITUTE(Table13[[#This Row],[Input]],Table13[[#This Row],[Direction]],""),VALUE(IF(LEN(_xlpm.steps)&gt;2,LEFT(_xlpm.steps,LEN(_xlpm.steps)-2),0)))</f>
        <v>4</v>
      </c>
      <c r="E466">
        <f>_xlfn.LET(_xlpm.dir,Table13[[#This Row],[Direction]],
IF(_xlpm.dir="L",
    IF(G465-Table13[[#This Row],[Steps]]&lt;0,100+(G465-Table13[[#This Row],[Steps]]),G465-Table13[[#This Row],[Steps]]),
))</f>
        <v>0</v>
      </c>
      <c r="F466">
        <f>_xlfn.LET(_xlpm.dir,Table13[[#This Row],[Direction]],
IF(_xlpm.dir="R",
    IF(G465+Table13[[#This Row],[Steps]]&gt;99,(G465+Table13[[#This Row],[Steps]])-100,G465+Table13[[#This Row],[Steps]]),
))</f>
        <v>0</v>
      </c>
      <c r="G466">
        <f>IF(Table13[[#This Row],[New Pos L]]&lt;&gt;0,Table13[[#This Row],[New Pos L]],Table13[[#This Row],[New Pos R]])</f>
        <v>0</v>
      </c>
      <c r="H466">
        <f>IF(AND(Table13[[#This Row],[Direction]]="L",Table13[[#This Row],[Steps]]&gt;G465,G465&lt;&gt;0),1,0)</f>
        <v>0</v>
      </c>
      <c r="I466">
        <f>IF(AND(Table13[[#This Row],[Direction]]="R",(G465+Table13[[#This Row],[Steps]])&gt;100),1,0)</f>
        <v>0</v>
      </c>
      <c r="J466">
        <f>IF(Table13[[#This Row],[POS]]=0,1,0)</f>
        <v>1</v>
      </c>
      <c r="K466">
        <f>SUM(Table13[[#This Row],[prefix]],Table13[[#This Row],[Past zero L]],Table13[[#This Row],[Past Zero R]],Table13[[#This Row],[Is Zero]])</f>
        <v>5</v>
      </c>
    </row>
    <row r="467" spans="1:11" ht="16" x14ac:dyDescent="0.2">
      <c r="A467" s="1" t="s">
        <v>42</v>
      </c>
      <c r="B467" t="str">
        <f>LEFT(Table13[[#This Row],[Input]],1)</f>
        <v>L</v>
      </c>
      <c r="C467">
        <f>_xlfn.LET(_xlpm.steps,SUBSTITUTE(Table13[[#This Row],[Input]],Table13[[#This Row],[Direction]],""),VALUE(IF(LEN(_xlpm.steps)&gt;2,RIGHT(_xlpm.steps,2),_xlpm.steps)))</f>
        <v>27</v>
      </c>
      <c r="D467">
        <f>_xlfn.LET(_xlpm.steps,SUBSTITUTE(Table13[[#This Row],[Input]],Table13[[#This Row],[Direction]],""),VALUE(IF(LEN(_xlpm.steps)&gt;2,LEFT(_xlpm.steps,LEN(_xlpm.steps)-2),0)))</f>
        <v>0</v>
      </c>
      <c r="E467">
        <f>_xlfn.LET(_xlpm.dir,Table13[[#This Row],[Direction]],
IF(_xlpm.dir="L",
    IF(G466-Table13[[#This Row],[Steps]]&lt;0,100+(G466-Table13[[#This Row],[Steps]]),G466-Table13[[#This Row],[Steps]]),
))</f>
        <v>73</v>
      </c>
      <c r="F467">
        <f>_xlfn.LET(_xlpm.dir,Table13[[#This Row],[Direction]],
IF(_xlpm.dir="R",
    IF(G466+Table13[[#This Row],[Steps]]&gt;99,(G466+Table13[[#This Row],[Steps]])-100,G466+Table13[[#This Row],[Steps]]),
))</f>
        <v>0</v>
      </c>
      <c r="G467">
        <f>IF(Table13[[#This Row],[New Pos L]]&lt;&gt;0,Table13[[#This Row],[New Pos L]],Table13[[#This Row],[New Pos R]])</f>
        <v>73</v>
      </c>
      <c r="H467">
        <f>IF(AND(Table13[[#This Row],[Direction]]="L",Table13[[#This Row],[Steps]]&gt;G466,G466&lt;&gt;0),1,0)</f>
        <v>0</v>
      </c>
      <c r="I467">
        <f>IF(AND(Table13[[#This Row],[Direction]]="R",(G466+Table13[[#This Row],[Steps]])&gt;100),1,0)</f>
        <v>0</v>
      </c>
      <c r="J467">
        <f>IF(Table13[[#This Row],[POS]]=0,1,0)</f>
        <v>0</v>
      </c>
      <c r="K467">
        <f>SUM(Table13[[#This Row],[prefix]],Table13[[#This Row],[Past zero L]],Table13[[#This Row],[Past Zero R]],Table13[[#This Row],[Is Zero]])</f>
        <v>0</v>
      </c>
    </row>
    <row r="468" spans="1:11" ht="16" x14ac:dyDescent="0.2">
      <c r="A468" s="1" t="s">
        <v>100</v>
      </c>
      <c r="B468" t="str">
        <f>LEFT(Table13[[#This Row],[Input]],1)</f>
        <v>R</v>
      </c>
      <c r="C468">
        <f>_xlfn.LET(_xlpm.steps,SUBSTITUTE(Table13[[#This Row],[Input]],Table13[[#This Row],[Direction]],""),VALUE(IF(LEN(_xlpm.steps)&gt;2,RIGHT(_xlpm.steps,2),_xlpm.steps)))</f>
        <v>58</v>
      </c>
      <c r="D468">
        <f>_xlfn.LET(_xlpm.steps,SUBSTITUTE(Table13[[#This Row],[Input]],Table13[[#This Row],[Direction]],""),VALUE(IF(LEN(_xlpm.steps)&gt;2,LEFT(_xlpm.steps,LEN(_xlpm.steps)-2),0)))</f>
        <v>0</v>
      </c>
      <c r="E468">
        <f>_xlfn.LET(_xlpm.dir,Table13[[#This Row],[Direction]],
IF(_xlpm.dir="L",
    IF(G467-Table13[[#This Row],[Steps]]&lt;0,100+(G467-Table13[[#This Row],[Steps]]),G467-Table13[[#This Row],[Steps]]),
))</f>
        <v>0</v>
      </c>
      <c r="F468">
        <f>_xlfn.LET(_xlpm.dir,Table13[[#This Row],[Direction]],
IF(_xlpm.dir="R",
    IF(G467+Table13[[#This Row],[Steps]]&gt;99,(G467+Table13[[#This Row],[Steps]])-100,G467+Table13[[#This Row],[Steps]]),
))</f>
        <v>31</v>
      </c>
      <c r="G468">
        <f>IF(Table13[[#This Row],[New Pos L]]&lt;&gt;0,Table13[[#This Row],[New Pos L]],Table13[[#This Row],[New Pos R]])</f>
        <v>31</v>
      </c>
      <c r="H468">
        <f>IF(AND(Table13[[#This Row],[Direction]]="L",Table13[[#This Row],[Steps]]&gt;G467,G467&lt;&gt;0),1,0)</f>
        <v>0</v>
      </c>
      <c r="I468">
        <f>IF(AND(Table13[[#This Row],[Direction]]="R",(G467+Table13[[#This Row],[Steps]])&gt;100),1,0)</f>
        <v>1</v>
      </c>
      <c r="J468">
        <f>IF(Table13[[#This Row],[POS]]=0,1,0)</f>
        <v>0</v>
      </c>
      <c r="K468">
        <f>SUM(Table13[[#This Row],[prefix]],Table13[[#This Row],[Past zero L]],Table13[[#This Row],[Past Zero R]],Table13[[#This Row],[Is Zero]])</f>
        <v>1</v>
      </c>
    </row>
    <row r="469" spans="1:11" ht="16" x14ac:dyDescent="0.2">
      <c r="A469" s="1" t="s">
        <v>50</v>
      </c>
      <c r="B469" t="str">
        <f>LEFT(Table13[[#This Row],[Input]],1)</f>
        <v>R</v>
      </c>
      <c r="C469">
        <f>_xlfn.LET(_xlpm.steps,SUBSTITUTE(Table13[[#This Row],[Input]],Table13[[#This Row],[Direction]],""),VALUE(IF(LEN(_xlpm.steps)&gt;2,RIGHT(_xlpm.steps,2),_xlpm.steps)))</f>
        <v>78</v>
      </c>
      <c r="D469">
        <f>_xlfn.LET(_xlpm.steps,SUBSTITUTE(Table13[[#This Row],[Input]],Table13[[#This Row],[Direction]],""),VALUE(IF(LEN(_xlpm.steps)&gt;2,LEFT(_xlpm.steps,LEN(_xlpm.steps)-2),0)))</f>
        <v>0</v>
      </c>
      <c r="E469">
        <f>_xlfn.LET(_xlpm.dir,Table13[[#This Row],[Direction]],
IF(_xlpm.dir="L",
    IF(G468-Table13[[#This Row],[Steps]]&lt;0,100+(G468-Table13[[#This Row],[Steps]]),G468-Table13[[#This Row],[Steps]]),
))</f>
        <v>0</v>
      </c>
      <c r="F469">
        <f>_xlfn.LET(_xlpm.dir,Table13[[#This Row],[Direction]],
IF(_xlpm.dir="R",
    IF(G468+Table13[[#This Row],[Steps]]&gt;99,(G468+Table13[[#This Row],[Steps]])-100,G468+Table13[[#This Row],[Steps]]),
))</f>
        <v>9</v>
      </c>
      <c r="G469">
        <f>IF(Table13[[#This Row],[New Pos L]]&lt;&gt;0,Table13[[#This Row],[New Pos L]],Table13[[#This Row],[New Pos R]])</f>
        <v>9</v>
      </c>
      <c r="H469">
        <f>IF(AND(Table13[[#This Row],[Direction]]="L",Table13[[#This Row],[Steps]]&gt;G468,G468&lt;&gt;0),1,0)</f>
        <v>0</v>
      </c>
      <c r="I469">
        <f>IF(AND(Table13[[#This Row],[Direction]]="R",(G468+Table13[[#This Row],[Steps]])&gt;100),1,0)</f>
        <v>1</v>
      </c>
      <c r="J469">
        <f>IF(Table13[[#This Row],[POS]]=0,1,0)</f>
        <v>0</v>
      </c>
      <c r="K469">
        <f>SUM(Table13[[#This Row],[prefix]],Table13[[#This Row],[Past zero L]],Table13[[#This Row],[Past Zero R]],Table13[[#This Row],[Is Zero]])</f>
        <v>1</v>
      </c>
    </row>
    <row r="470" spans="1:11" ht="16" x14ac:dyDescent="0.2">
      <c r="A470" s="1" t="s">
        <v>138</v>
      </c>
      <c r="B470" t="str">
        <f>LEFT(Table13[[#This Row],[Input]],1)</f>
        <v>L</v>
      </c>
      <c r="C470">
        <f>_xlfn.LET(_xlpm.steps,SUBSTITUTE(Table13[[#This Row],[Input]],Table13[[#This Row],[Direction]],""),VALUE(IF(LEN(_xlpm.steps)&gt;2,RIGHT(_xlpm.steps,2),_xlpm.steps)))</f>
        <v>94</v>
      </c>
      <c r="D470">
        <f>_xlfn.LET(_xlpm.steps,SUBSTITUTE(Table13[[#This Row],[Input]],Table13[[#This Row],[Direction]],""),VALUE(IF(LEN(_xlpm.steps)&gt;2,LEFT(_xlpm.steps,LEN(_xlpm.steps)-2),0)))</f>
        <v>0</v>
      </c>
      <c r="E470">
        <f>_xlfn.LET(_xlpm.dir,Table13[[#This Row],[Direction]],
IF(_xlpm.dir="L",
    IF(G469-Table13[[#This Row],[Steps]]&lt;0,100+(G469-Table13[[#This Row],[Steps]]),G469-Table13[[#This Row],[Steps]]),
))</f>
        <v>15</v>
      </c>
      <c r="F470">
        <f>_xlfn.LET(_xlpm.dir,Table13[[#This Row],[Direction]],
IF(_xlpm.dir="R",
    IF(G469+Table13[[#This Row],[Steps]]&gt;99,(G469+Table13[[#This Row],[Steps]])-100,G469+Table13[[#This Row],[Steps]]),
))</f>
        <v>0</v>
      </c>
      <c r="G470">
        <f>IF(Table13[[#This Row],[New Pos L]]&lt;&gt;0,Table13[[#This Row],[New Pos L]],Table13[[#This Row],[New Pos R]])</f>
        <v>15</v>
      </c>
      <c r="H470">
        <f>IF(AND(Table13[[#This Row],[Direction]]="L",Table13[[#This Row],[Steps]]&gt;G469,G469&lt;&gt;0),1,0)</f>
        <v>1</v>
      </c>
      <c r="I470">
        <f>IF(AND(Table13[[#This Row],[Direction]]="R",(G469+Table13[[#This Row],[Steps]])&gt;100),1,0)</f>
        <v>0</v>
      </c>
      <c r="J470">
        <f>IF(Table13[[#This Row],[POS]]=0,1,0)</f>
        <v>0</v>
      </c>
      <c r="K470">
        <f>SUM(Table13[[#This Row],[prefix]],Table13[[#This Row],[Past zero L]],Table13[[#This Row],[Past Zero R]],Table13[[#This Row],[Is Zero]])</f>
        <v>1</v>
      </c>
    </row>
    <row r="471" spans="1:11" ht="16" x14ac:dyDescent="0.2">
      <c r="A471" s="1" t="s">
        <v>241</v>
      </c>
      <c r="B471" t="str">
        <f>LEFT(Table13[[#This Row],[Input]],1)</f>
        <v>R</v>
      </c>
      <c r="C471">
        <f>_xlfn.LET(_xlpm.steps,SUBSTITUTE(Table13[[#This Row],[Input]],Table13[[#This Row],[Direction]],""),VALUE(IF(LEN(_xlpm.steps)&gt;2,RIGHT(_xlpm.steps,2),_xlpm.steps)))</f>
        <v>60</v>
      </c>
      <c r="D471">
        <f>_xlfn.LET(_xlpm.steps,SUBSTITUTE(Table13[[#This Row],[Input]],Table13[[#This Row],[Direction]],""),VALUE(IF(LEN(_xlpm.steps)&gt;2,LEFT(_xlpm.steps,LEN(_xlpm.steps)-2),0)))</f>
        <v>0</v>
      </c>
      <c r="E471">
        <f>_xlfn.LET(_xlpm.dir,Table13[[#This Row],[Direction]],
IF(_xlpm.dir="L",
    IF(G470-Table13[[#This Row],[Steps]]&lt;0,100+(G470-Table13[[#This Row],[Steps]]),G470-Table13[[#This Row],[Steps]]),
))</f>
        <v>0</v>
      </c>
      <c r="F471">
        <f>_xlfn.LET(_xlpm.dir,Table13[[#This Row],[Direction]],
IF(_xlpm.dir="R",
    IF(G470+Table13[[#This Row],[Steps]]&gt;99,(G470+Table13[[#This Row],[Steps]])-100,G470+Table13[[#This Row],[Steps]]),
))</f>
        <v>75</v>
      </c>
      <c r="G471">
        <f>IF(Table13[[#This Row],[New Pos L]]&lt;&gt;0,Table13[[#This Row],[New Pos L]],Table13[[#This Row],[New Pos R]])</f>
        <v>75</v>
      </c>
      <c r="H471">
        <f>IF(AND(Table13[[#This Row],[Direction]]="L",Table13[[#This Row],[Steps]]&gt;G470,G470&lt;&gt;0),1,0)</f>
        <v>0</v>
      </c>
      <c r="I471">
        <f>IF(AND(Table13[[#This Row],[Direction]]="R",(G470+Table13[[#This Row],[Steps]])&gt;100),1,0)</f>
        <v>0</v>
      </c>
      <c r="J471">
        <f>IF(Table13[[#This Row],[POS]]=0,1,0)</f>
        <v>0</v>
      </c>
      <c r="K471">
        <f>SUM(Table13[[#This Row],[prefix]],Table13[[#This Row],[Past zero L]],Table13[[#This Row],[Past Zero R]],Table13[[#This Row],[Is Zero]])</f>
        <v>0</v>
      </c>
    </row>
    <row r="472" spans="1:11" ht="16" x14ac:dyDescent="0.2">
      <c r="A472" s="1" t="s">
        <v>3</v>
      </c>
      <c r="B472" t="str">
        <f>LEFT(Table13[[#This Row],[Input]],1)</f>
        <v>R</v>
      </c>
      <c r="C472">
        <f>_xlfn.LET(_xlpm.steps,SUBSTITUTE(Table13[[#This Row],[Input]],Table13[[#This Row],[Direction]],""),VALUE(IF(LEN(_xlpm.steps)&gt;2,RIGHT(_xlpm.steps,2),_xlpm.steps)))</f>
        <v>44</v>
      </c>
      <c r="D472">
        <f>_xlfn.LET(_xlpm.steps,SUBSTITUTE(Table13[[#This Row],[Input]],Table13[[#This Row],[Direction]],""),VALUE(IF(LEN(_xlpm.steps)&gt;2,LEFT(_xlpm.steps,LEN(_xlpm.steps)-2),0)))</f>
        <v>0</v>
      </c>
      <c r="E472">
        <f>_xlfn.LET(_xlpm.dir,Table13[[#This Row],[Direction]],
IF(_xlpm.dir="L",
    IF(G471-Table13[[#This Row],[Steps]]&lt;0,100+(G471-Table13[[#This Row],[Steps]]),G471-Table13[[#This Row],[Steps]]),
))</f>
        <v>0</v>
      </c>
      <c r="F472">
        <f>_xlfn.LET(_xlpm.dir,Table13[[#This Row],[Direction]],
IF(_xlpm.dir="R",
    IF(G471+Table13[[#This Row],[Steps]]&gt;99,(G471+Table13[[#This Row],[Steps]])-100,G471+Table13[[#This Row],[Steps]]),
))</f>
        <v>19</v>
      </c>
      <c r="G472">
        <f>IF(Table13[[#This Row],[New Pos L]]&lt;&gt;0,Table13[[#This Row],[New Pos L]],Table13[[#This Row],[New Pos R]])</f>
        <v>19</v>
      </c>
      <c r="H472">
        <f>IF(AND(Table13[[#This Row],[Direction]]="L",Table13[[#This Row],[Steps]]&gt;G471,G471&lt;&gt;0),1,0)</f>
        <v>0</v>
      </c>
      <c r="I472">
        <f>IF(AND(Table13[[#This Row],[Direction]]="R",(G471+Table13[[#This Row],[Steps]])&gt;100),1,0)</f>
        <v>1</v>
      </c>
      <c r="J472">
        <f>IF(Table13[[#This Row],[POS]]=0,1,0)</f>
        <v>0</v>
      </c>
      <c r="K472">
        <f>SUM(Table13[[#This Row],[prefix]],Table13[[#This Row],[Past zero L]],Table13[[#This Row],[Past Zero R]],Table13[[#This Row],[Is Zero]])</f>
        <v>1</v>
      </c>
    </row>
    <row r="473" spans="1:11" ht="16" x14ac:dyDescent="0.2">
      <c r="A473" s="1" t="s">
        <v>48</v>
      </c>
      <c r="B473" t="str">
        <f>LEFT(Table13[[#This Row],[Input]],1)</f>
        <v>R</v>
      </c>
      <c r="C473">
        <f>_xlfn.LET(_xlpm.steps,SUBSTITUTE(Table13[[#This Row],[Input]],Table13[[#This Row],[Direction]],""),VALUE(IF(LEN(_xlpm.steps)&gt;2,RIGHT(_xlpm.steps,2),_xlpm.steps)))</f>
        <v>81</v>
      </c>
      <c r="D473">
        <f>_xlfn.LET(_xlpm.steps,SUBSTITUTE(Table13[[#This Row],[Input]],Table13[[#This Row],[Direction]],""),VALUE(IF(LEN(_xlpm.steps)&gt;2,LEFT(_xlpm.steps,LEN(_xlpm.steps)-2),0)))</f>
        <v>0</v>
      </c>
      <c r="E473">
        <f>_xlfn.LET(_xlpm.dir,Table13[[#This Row],[Direction]],
IF(_xlpm.dir="L",
    IF(G472-Table13[[#This Row],[Steps]]&lt;0,100+(G472-Table13[[#This Row],[Steps]]),G472-Table13[[#This Row],[Steps]]),
))</f>
        <v>0</v>
      </c>
      <c r="F473">
        <f>_xlfn.LET(_xlpm.dir,Table13[[#This Row],[Direction]],
IF(_xlpm.dir="R",
    IF(G472+Table13[[#This Row],[Steps]]&gt;99,(G472+Table13[[#This Row],[Steps]])-100,G472+Table13[[#This Row],[Steps]]),
))</f>
        <v>0</v>
      </c>
      <c r="G473">
        <f>IF(Table13[[#This Row],[New Pos L]]&lt;&gt;0,Table13[[#This Row],[New Pos L]],Table13[[#This Row],[New Pos R]])</f>
        <v>0</v>
      </c>
      <c r="H473">
        <f>IF(AND(Table13[[#This Row],[Direction]]="L",Table13[[#This Row],[Steps]]&gt;G472,G472&lt;&gt;0),1,0)</f>
        <v>0</v>
      </c>
      <c r="I473">
        <f>IF(AND(Table13[[#This Row],[Direction]]="R",(G472+Table13[[#This Row],[Steps]])&gt;100),1,0)</f>
        <v>0</v>
      </c>
      <c r="J473">
        <f>IF(Table13[[#This Row],[POS]]=0,1,0)</f>
        <v>1</v>
      </c>
      <c r="K473">
        <f>SUM(Table13[[#This Row],[prefix]],Table13[[#This Row],[Past zero L]],Table13[[#This Row],[Past Zero R]],Table13[[#This Row],[Is Zero]])</f>
        <v>1</v>
      </c>
    </row>
    <row r="474" spans="1:11" ht="16" x14ac:dyDescent="0.2">
      <c r="A474" s="1" t="s">
        <v>242</v>
      </c>
      <c r="B474" t="str">
        <f>LEFT(Table13[[#This Row],[Input]],1)</f>
        <v>R</v>
      </c>
      <c r="C474">
        <f>_xlfn.LET(_xlpm.steps,SUBSTITUTE(Table13[[#This Row],[Input]],Table13[[#This Row],[Direction]],""),VALUE(IF(LEN(_xlpm.steps)&gt;2,RIGHT(_xlpm.steps,2),_xlpm.steps)))</f>
        <v>13</v>
      </c>
      <c r="D474">
        <f>_xlfn.LET(_xlpm.steps,SUBSTITUTE(Table13[[#This Row],[Input]],Table13[[#This Row],[Direction]],""),VALUE(IF(LEN(_xlpm.steps)&gt;2,LEFT(_xlpm.steps,LEN(_xlpm.steps)-2),0)))</f>
        <v>8</v>
      </c>
      <c r="E474">
        <f>_xlfn.LET(_xlpm.dir,Table13[[#This Row],[Direction]],
IF(_xlpm.dir="L",
    IF(G473-Table13[[#This Row],[Steps]]&lt;0,100+(G473-Table13[[#This Row],[Steps]]),G473-Table13[[#This Row],[Steps]]),
))</f>
        <v>0</v>
      </c>
      <c r="F474">
        <f>_xlfn.LET(_xlpm.dir,Table13[[#This Row],[Direction]],
IF(_xlpm.dir="R",
    IF(G473+Table13[[#This Row],[Steps]]&gt;99,(G473+Table13[[#This Row],[Steps]])-100,G473+Table13[[#This Row],[Steps]]),
))</f>
        <v>13</v>
      </c>
      <c r="G474">
        <f>IF(Table13[[#This Row],[New Pos L]]&lt;&gt;0,Table13[[#This Row],[New Pos L]],Table13[[#This Row],[New Pos R]])</f>
        <v>13</v>
      </c>
      <c r="H474">
        <f>IF(AND(Table13[[#This Row],[Direction]]="L",Table13[[#This Row],[Steps]]&gt;G473,G473&lt;&gt;0),1,0)</f>
        <v>0</v>
      </c>
      <c r="I474">
        <f>IF(AND(Table13[[#This Row],[Direction]]="R",(G473+Table13[[#This Row],[Steps]])&gt;100),1,0)</f>
        <v>0</v>
      </c>
      <c r="J474">
        <f>IF(Table13[[#This Row],[POS]]=0,1,0)</f>
        <v>0</v>
      </c>
      <c r="K474">
        <f>SUM(Table13[[#This Row],[prefix]],Table13[[#This Row],[Past zero L]],Table13[[#This Row],[Past Zero R]],Table13[[#This Row],[Is Zero]])</f>
        <v>8</v>
      </c>
    </row>
    <row r="475" spans="1:11" ht="16" x14ac:dyDescent="0.2">
      <c r="A475" s="1" t="s">
        <v>163</v>
      </c>
      <c r="B475" t="str">
        <f>LEFT(Table13[[#This Row],[Input]],1)</f>
        <v>R</v>
      </c>
      <c r="C475">
        <f>_xlfn.LET(_xlpm.steps,SUBSTITUTE(Table13[[#This Row],[Input]],Table13[[#This Row],[Direction]],""),VALUE(IF(LEN(_xlpm.steps)&gt;2,RIGHT(_xlpm.steps,2),_xlpm.steps)))</f>
        <v>53</v>
      </c>
      <c r="D475">
        <f>_xlfn.LET(_xlpm.steps,SUBSTITUTE(Table13[[#This Row],[Input]],Table13[[#This Row],[Direction]],""),VALUE(IF(LEN(_xlpm.steps)&gt;2,LEFT(_xlpm.steps,LEN(_xlpm.steps)-2),0)))</f>
        <v>5</v>
      </c>
      <c r="E475">
        <f>_xlfn.LET(_xlpm.dir,Table13[[#This Row],[Direction]],
IF(_xlpm.dir="L",
    IF(G474-Table13[[#This Row],[Steps]]&lt;0,100+(G474-Table13[[#This Row],[Steps]]),G474-Table13[[#This Row],[Steps]]),
))</f>
        <v>0</v>
      </c>
      <c r="F475">
        <f>_xlfn.LET(_xlpm.dir,Table13[[#This Row],[Direction]],
IF(_xlpm.dir="R",
    IF(G474+Table13[[#This Row],[Steps]]&gt;99,(G474+Table13[[#This Row],[Steps]])-100,G474+Table13[[#This Row],[Steps]]),
))</f>
        <v>66</v>
      </c>
      <c r="G475">
        <f>IF(Table13[[#This Row],[New Pos L]]&lt;&gt;0,Table13[[#This Row],[New Pos L]],Table13[[#This Row],[New Pos R]])</f>
        <v>66</v>
      </c>
      <c r="H475">
        <f>IF(AND(Table13[[#This Row],[Direction]]="L",Table13[[#This Row],[Steps]]&gt;G474,G474&lt;&gt;0),1,0)</f>
        <v>0</v>
      </c>
      <c r="I475">
        <f>IF(AND(Table13[[#This Row],[Direction]]="R",(G474+Table13[[#This Row],[Steps]])&gt;100),1,0)</f>
        <v>0</v>
      </c>
      <c r="J475">
        <f>IF(Table13[[#This Row],[POS]]=0,1,0)</f>
        <v>0</v>
      </c>
      <c r="K475">
        <f>SUM(Table13[[#This Row],[prefix]],Table13[[#This Row],[Past zero L]],Table13[[#This Row],[Past Zero R]],Table13[[#This Row],[Is Zero]])</f>
        <v>5</v>
      </c>
    </row>
    <row r="476" spans="1:11" ht="16" x14ac:dyDescent="0.2">
      <c r="A476" s="1" t="s">
        <v>138</v>
      </c>
      <c r="B476" t="str">
        <f>LEFT(Table13[[#This Row],[Input]],1)</f>
        <v>L</v>
      </c>
      <c r="C476">
        <f>_xlfn.LET(_xlpm.steps,SUBSTITUTE(Table13[[#This Row],[Input]],Table13[[#This Row],[Direction]],""),VALUE(IF(LEN(_xlpm.steps)&gt;2,RIGHT(_xlpm.steps,2),_xlpm.steps)))</f>
        <v>94</v>
      </c>
      <c r="D476">
        <f>_xlfn.LET(_xlpm.steps,SUBSTITUTE(Table13[[#This Row],[Input]],Table13[[#This Row],[Direction]],""),VALUE(IF(LEN(_xlpm.steps)&gt;2,LEFT(_xlpm.steps,LEN(_xlpm.steps)-2),0)))</f>
        <v>0</v>
      </c>
      <c r="E476">
        <f>_xlfn.LET(_xlpm.dir,Table13[[#This Row],[Direction]],
IF(_xlpm.dir="L",
    IF(G475-Table13[[#This Row],[Steps]]&lt;0,100+(G475-Table13[[#This Row],[Steps]]),G475-Table13[[#This Row],[Steps]]),
))</f>
        <v>72</v>
      </c>
      <c r="F476">
        <f>_xlfn.LET(_xlpm.dir,Table13[[#This Row],[Direction]],
IF(_xlpm.dir="R",
    IF(G475+Table13[[#This Row],[Steps]]&gt;99,(G475+Table13[[#This Row],[Steps]])-100,G475+Table13[[#This Row],[Steps]]),
))</f>
        <v>0</v>
      </c>
      <c r="G476">
        <f>IF(Table13[[#This Row],[New Pos L]]&lt;&gt;0,Table13[[#This Row],[New Pos L]],Table13[[#This Row],[New Pos R]])</f>
        <v>72</v>
      </c>
      <c r="H476">
        <f>IF(AND(Table13[[#This Row],[Direction]]="L",Table13[[#This Row],[Steps]]&gt;G475,G475&lt;&gt;0),1,0)</f>
        <v>1</v>
      </c>
      <c r="I476">
        <f>IF(AND(Table13[[#This Row],[Direction]]="R",(G475+Table13[[#This Row],[Steps]])&gt;100),1,0)</f>
        <v>0</v>
      </c>
      <c r="J476">
        <f>IF(Table13[[#This Row],[POS]]=0,1,0)</f>
        <v>0</v>
      </c>
      <c r="K476">
        <f>SUM(Table13[[#This Row],[prefix]],Table13[[#This Row],[Past zero L]],Table13[[#This Row],[Past Zero R]],Table13[[#This Row],[Is Zero]])</f>
        <v>1</v>
      </c>
    </row>
    <row r="477" spans="1:11" ht="16" x14ac:dyDescent="0.2">
      <c r="A477" s="1" t="s">
        <v>35</v>
      </c>
      <c r="B477" t="str">
        <f>LEFT(Table13[[#This Row],[Input]],1)</f>
        <v>L</v>
      </c>
      <c r="C477">
        <f>_xlfn.LET(_xlpm.steps,SUBSTITUTE(Table13[[#This Row],[Input]],Table13[[#This Row],[Direction]],""),VALUE(IF(LEN(_xlpm.steps)&gt;2,RIGHT(_xlpm.steps,2),_xlpm.steps)))</f>
        <v>2</v>
      </c>
      <c r="D477">
        <f>_xlfn.LET(_xlpm.steps,SUBSTITUTE(Table13[[#This Row],[Input]],Table13[[#This Row],[Direction]],""),VALUE(IF(LEN(_xlpm.steps)&gt;2,LEFT(_xlpm.steps,LEN(_xlpm.steps)-2),0)))</f>
        <v>0</v>
      </c>
      <c r="E477">
        <f>_xlfn.LET(_xlpm.dir,Table13[[#This Row],[Direction]],
IF(_xlpm.dir="L",
    IF(G476-Table13[[#This Row],[Steps]]&lt;0,100+(G476-Table13[[#This Row],[Steps]]),G476-Table13[[#This Row],[Steps]]),
))</f>
        <v>70</v>
      </c>
      <c r="F477">
        <f>_xlfn.LET(_xlpm.dir,Table13[[#This Row],[Direction]],
IF(_xlpm.dir="R",
    IF(G476+Table13[[#This Row],[Steps]]&gt;99,(G476+Table13[[#This Row],[Steps]])-100,G476+Table13[[#This Row],[Steps]]),
))</f>
        <v>0</v>
      </c>
      <c r="G477">
        <f>IF(Table13[[#This Row],[New Pos L]]&lt;&gt;0,Table13[[#This Row],[New Pos L]],Table13[[#This Row],[New Pos R]])</f>
        <v>70</v>
      </c>
      <c r="H477">
        <f>IF(AND(Table13[[#This Row],[Direction]]="L",Table13[[#This Row],[Steps]]&gt;G476,G476&lt;&gt;0),1,0)</f>
        <v>0</v>
      </c>
      <c r="I477">
        <f>IF(AND(Table13[[#This Row],[Direction]]="R",(G476+Table13[[#This Row],[Steps]])&gt;100),1,0)</f>
        <v>0</v>
      </c>
      <c r="J477">
        <f>IF(Table13[[#This Row],[POS]]=0,1,0)</f>
        <v>0</v>
      </c>
      <c r="K477">
        <f>SUM(Table13[[#This Row],[prefix]],Table13[[#This Row],[Past zero L]],Table13[[#This Row],[Past Zero R]],Table13[[#This Row],[Is Zero]])</f>
        <v>0</v>
      </c>
    </row>
    <row r="478" spans="1:11" ht="16" x14ac:dyDescent="0.2">
      <c r="A478" s="1" t="s">
        <v>91</v>
      </c>
      <c r="B478" t="str">
        <f>LEFT(Table13[[#This Row],[Input]],1)</f>
        <v>L</v>
      </c>
      <c r="C478">
        <f>_xlfn.LET(_xlpm.steps,SUBSTITUTE(Table13[[#This Row],[Input]],Table13[[#This Row],[Direction]],""),VALUE(IF(LEN(_xlpm.steps)&gt;2,RIGHT(_xlpm.steps,2),_xlpm.steps)))</f>
        <v>22</v>
      </c>
      <c r="D478">
        <f>_xlfn.LET(_xlpm.steps,SUBSTITUTE(Table13[[#This Row],[Input]],Table13[[#This Row],[Direction]],""),VALUE(IF(LEN(_xlpm.steps)&gt;2,LEFT(_xlpm.steps,LEN(_xlpm.steps)-2),0)))</f>
        <v>0</v>
      </c>
      <c r="E478">
        <f>_xlfn.LET(_xlpm.dir,Table13[[#This Row],[Direction]],
IF(_xlpm.dir="L",
    IF(G477-Table13[[#This Row],[Steps]]&lt;0,100+(G477-Table13[[#This Row],[Steps]]),G477-Table13[[#This Row],[Steps]]),
))</f>
        <v>48</v>
      </c>
      <c r="F478">
        <f>_xlfn.LET(_xlpm.dir,Table13[[#This Row],[Direction]],
IF(_xlpm.dir="R",
    IF(G477+Table13[[#This Row],[Steps]]&gt;99,(G477+Table13[[#This Row],[Steps]])-100,G477+Table13[[#This Row],[Steps]]),
))</f>
        <v>0</v>
      </c>
      <c r="G478">
        <f>IF(Table13[[#This Row],[New Pos L]]&lt;&gt;0,Table13[[#This Row],[New Pos L]],Table13[[#This Row],[New Pos R]])</f>
        <v>48</v>
      </c>
      <c r="H478">
        <f>IF(AND(Table13[[#This Row],[Direction]]="L",Table13[[#This Row],[Steps]]&gt;G477,G477&lt;&gt;0),1,0)</f>
        <v>0</v>
      </c>
      <c r="I478">
        <f>IF(AND(Table13[[#This Row],[Direction]]="R",(G477+Table13[[#This Row],[Steps]])&gt;100),1,0)</f>
        <v>0</v>
      </c>
      <c r="J478">
        <f>IF(Table13[[#This Row],[POS]]=0,1,0)</f>
        <v>0</v>
      </c>
      <c r="K478">
        <f>SUM(Table13[[#This Row],[prefix]],Table13[[#This Row],[Past zero L]],Table13[[#This Row],[Past Zero R]],Table13[[#This Row],[Is Zero]])</f>
        <v>0</v>
      </c>
    </row>
    <row r="479" spans="1:11" ht="16" x14ac:dyDescent="0.2">
      <c r="A479" s="1" t="s">
        <v>243</v>
      </c>
      <c r="B479" t="str">
        <f>LEFT(Table13[[#This Row],[Input]],1)</f>
        <v>R</v>
      </c>
      <c r="C479">
        <f>_xlfn.LET(_xlpm.steps,SUBSTITUTE(Table13[[#This Row],[Input]],Table13[[#This Row],[Direction]],""),VALUE(IF(LEN(_xlpm.steps)&gt;2,RIGHT(_xlpm.steps,2),_xlpm.steps)))</f>
        <v>29</v>
      </c>
      <c r="D479">
        <f>_xlfn.LET(_xlpm.steps,SUBSTITUTE(Table13[[#This Row],[Input]],Table13[[#This Row],[Direction]],""),VALUE(IF(LEN(_xlpm.steps)&gt;2,LEFT(_xlpm.steps,LEN(_xlpm.steps)-2),0)))</f>
        <v>5</v>
      </c>
      <c r="E479">
        <f>_xlfn.LET(_xlpm.dir,Table13[[#This Row],[Direction]],
IF(_xlpm.dir="L",
    IF(G478-Table13[[#This Row],[Steps]]&lt;0,100+(G478-Table13[[#This Row],[Steps]]),G478-Table13[[#This Row],[Steps]]),
))</f>
        <v>0</v>
      </c>
      <c r="F479">
        <f>_xlfn.LET(_xlpm.dir,Table13[[#This Row],[Direction]],
IF(_xlpm.dir="R",
    IF(G478+Table13[[#This Row],[Steps]]&gt;99,(G478+Table13[[#This Row],[Steps]])-100,G478+Table13[[#This Row],[Steps]]),
))</f>
        <v>77</v>
      </c>
      <c r="G479">
        <f>IF(Table13[[#This Row],[New Pos L]]&lt;&gt;0,Table13[[#This Row],[New Pos L]],Table13[[#This Row],[New Pos R]])</f>
        <v>77</v>
      </c>
      <c r="H479">
        <f>IF(AND(Table13[[#This Row],[Direction]]="L",Table13[[#This Row],[Steps]]&gt;G478,G478&lt;&gt;0),1,0)</f>
        <v>0</v>
      </c>
      <c r="I479">
        <f>IF(AND(Table13[[#This Row],[Direction]]="R",(G478+Table13[[#This Row],[Steps]])&gt;100),1,0)</f>
        <v>0</v>
      </c>
      <c r="J479">
        <f>IF(Table13[[#This Row],[POS]]=0,1,0)</f>
        <v>0</v>
      </c>
      <c r="K479">
        <f>SUM(Table13[[#This Row],[prefix]],Table13[[#This Row],[Past zero L]],Table13[[#This Row],[Past Zero R]],Table13[[#This Row],[Is Zero]])</f>
        <v>5</v>
      </c>
    </row>
    <row r="480" spans="1:11" ht="16" x14ac:dyDescent="0.2">
      <c r="A480" s="1" t="s">
        <v>44</v>
      </c>
      <c r="B480" t="str">
        <f>LEFT(Table13[[#This Row],[Input]],1)</f>
        <v>R</v>
      </c>
      <c r="C480">
        <f>_xlfn.LET(_xlpm.steps,SUBSTITUTE(Table13[[#This Row],[Input]],Table13[[#This Row],[Direction]],""),VALUE(IF(LEN(_xlpm.steps)&gt;2,RIGHT(_xlpm.steps,2),_xlpm.steps)))</f>
        <v>96</v>
      </c>
      <c r="D480">
        <f>_xlfn.LET(_xlpm.steps,SUBSTITUTE(Table13[[#This Row],[Input]],Table13[[#This Row],[Direction]],""),VALUE(IF(LEN(_xlpm.steps)&gt;2,LEFT(_xlpm.steps,LEN(_xlpm.steps)-2),0)))</f>
        <v>0</v>
      </c>
      <c r="E480">
        <f>_xlfn.LET(_xlpm.dir,Table13[[#This Row],[Direction]],
IF(_xlpm.dir="L",
    IF(G479-Table13[[#This Row],[Steps]]&lt;0,100+(G479-Table13[[#This Row],[Steps]]),G479-Table13[[#This Row],[Steps]]),
))</f>
        <v>0</v>
      </c>
      <c r="F480">
        <f>_xlfn.LET(_xlpm.dir,Table13[[#This Row],[Direction]],
IF(_xlpm.dir="R",
    IF(G479+Table13[[#This Row],[Steps]]&gt;99,(G479+Table13[[#This Row],[Steps]])-100,G479+Table13[[#This Row],[Steps]]),
))</f>
        <v>73</v>
      </c>
      <c r="G480">
        <f>IF(Table13[[#This Row],[New Pos L]]&lt;&gt;0,Table13[[#This Row],[New Pos L]],Table13[[#This Row],[New Pos R]])</f>
        <v>73</v>
      </c>
      <c r="H480">
        <f>IF(AND(Table13[[#This Row],[Direction]]="L",Table13[[#This Row],[Steps]]&gt;G479,G479&lt;&gt;0),1,0)</f>
        <v>0</v>
      </c>
      <c r="I480">
        <f>IF(AND(Table13[[#This Row],[Direction]]="R",(G479+Table13[[#This Row],[Steps]])&gt;100),1,0)</f>
        <v>1</v>
      </c>
      <c r="J480">
        <f>IF(Table13[[#This Row],[POS]]=0,1,0)</f>
        <v>0</v>
      </c>
      <c r="K480">
        <f>SUM(Table13[[#This Row],[prefix]],Table13[[#This Row],[Past zero L]],Table13[[#This Row],[Past Zero R]],Table13[[#This Row],[Is Zero]])</f>
        <v>1</v>
      </c>
    </row>
    <row r="481" spans="1:11" ht="16" x14ac:dyDescent="0.2">
      <c r="A481" s="1" t="s">
        <v>244</v>
      </c>
      <c r="B481" t="str">
        <f>LEFT(Table13[[#This Row],[Input]],1)</f>
        <v>L</v>
      </c>
      <c r="C481">
        <f>_xlfn.LET(_xlpm.steps,SUBSTITUTE(Table13[[#This Row],[Input]],Table13[[#This Row],[Direction]],""),VALUE(IF(LEN(_xlpm.steps)&gt;2,RIGHT(_xlpm.steps,2),_xlpm.steps)))</f>
        <v>98</v>
      </c>
      <c r="D481">
        <f>_xlfn.LET(_xlpm.steps,SUBSTITUTE(Table13[[#This Row],[Input]],Table13[[#This Row],[Direction]],""),VALUE(IF(LEN(_xlpm.steps)&gt;2,LEFT(_xlpm.steps,LEN(_xlpm.steps)-2),0)))</f>
        <v>0</v>
      </c>
      <c r="E481">
        <f>_xlfn.LET(_xlpm.dir,Table13[[#This Row],[Direction]],
IF(_xlpm.dir="L",
    IF(G480-Table13[[#This Row],[Steps]]&lt;0,100+(G480-Table13[[#This Row],[Steps]]),G480-Table13[[#This Row],[Steps]]),
))</f>
        <v>75</v>
      </c>
      <c r="F481">
        <f>_xlfn.LET(_xlpm.dir,Table13[[#This Row],[Direction]],
IF(_xlpm.dir="R",
    IF(G480+Table13[[#This Row],[Steps]]&gt;99,(G480+Table13[[#This Row],[Steps]])-100,G480+Table13[[#This Row],[Steps]]),
))</f>
        <v>0</v>
      </c>
      <c r="G481">
        <f>IF(Table13[[#This Row],[New Pos L]]&lt;&gt;0,Table13[[#This Row],[New Pos L]],Table13[[#This Row],[New Pos R]])</f>
        <v>75</v>
      </c>
      <c r="H481">
        <f>IF(AND(Table13[[#This Row],[Direction]]="L",Table13[[#This Row],[Steps]]&gt;G480,G480&lt;&gt;0),1,0)</f>
        <v>1</v>
      </c>
      <c r="I481">
        <f>IF(AND(Table13[[#This Row],[Direction]]="R",(G480+Table13[[#This Row],[Steps]])&gt;100),1,0)</f>
        <v>0</v>
      </c>
      <c r="J481">
        <f>IF(Table13[[#This Row],[POS]]=0,1,0)</f>
        <v>0</v>
      </c>
      <c r="K481">
        <f>SUM(Table13[[#This Row],[prefix]],Table13[[#This Row],[Past zero L]],Table13[[#This Row],[Past Zero R]],Table13[[#This Row],[Is Zero]])</f>
        <v>1</v>
      </c>
    </row>
    <row r="482" spans="1:11" ht="16" x14ac:dyDescent="0.2">
      <c r="A482" s="1" t="s">
        <v>54</v>
      </c>
      <c r="B482" t="str">
        <f>LEFT(Table13[[#This Row],[Input]],1)</f>
        <v>L</v>
      </c>
      <c r="C482">
        <f>_xlfn.LET(_xlpm.steps,SUBSTITUTE(Table13[[#This Row],[Input]],Table13[[#This Row],[Direction]],""),VALUE(IF(LEN(_xlpm.steps)&gt;2,RIGHT(_xlpm.steps,2),_xlpm.steps)))</f>
        <v>75</v>
      </c>
      <c r="D482">
        <f>_xlfn.LET(_xlpm.steps,SUBSTITUTE(Table13[[#This Row],[Input]],Table13[[#This Row],[Direction]],""),VALUE(IF(LEN(_xlpm.steps)&gt;2,LEFT(_xlpm.steps,LEN(_xlpm.steps)-2),0)))</f>
        <v>0</v>
      </c>
      <c r="E482">
        <f>_xlfn.LET(_xlpm.dir,Table13[[#This Row],[Direction]],
IF(_xlpm.dir="L",
    IF(G481-Table13[[#This Row],[Steps]]&lt;0,100+(G481-Table13[[#This Row],[Steps]]),G481-Table13[[#This Row],[Steps]]),
))</f>
        <v>0</v>
      </c>
      <c r="F482">
        <f>_xlfn.LET(_xlpm.dir,Table13[[#This Row],[Direction]],
IF(_xlpm.dir="R",
    IF(G481+Table13[[#This Row],[Steps]]&gt;99,(G481+Table13[[#This Row],[Steps]])-100,G481+Table13[[#This Row],[Steps]]),
))</f>
        <v>0</v>
      </c>
      <c r="G482">
        <f>IF(Table13[[#This Row],[New Pos L]]&lt;&gt;0,Table13[[#This Row],[New Pos L]],Table13[[#This Row],[New Pos R]])</f>
        <v>0</v>
      </c>
      <c r="H482">
        <f>IF(AND(Table13[[#This Row],[Direction]]="L",Table13[[#This Row],[Steps]]&gt;G481,G481&lt;&gt;0),1,0)</f>
        <v>0</v>
      </c>
      <c r="I482">
        <f>IF(AND(Table13[[#This Row],[Direction]]="R",(G481+Table13[[#This Row],[Steps]])&gt;100),1,0)</f>
        <v>0</v>
      </c>
      <c r="J482">
        <f>IF(Table13[[#This Row],[POS]]=0,1,0)</f>
        <v>1</v>
      </c>
      <c r="K482">
        <f>SUM(Table13[[#This Row],[prefix]],Table13[[#This Row],[Past zero L]],Table13[[#This Row],[Past Zero R]],Table13[[#This Row],[Is Zero]])</f>
        <v>1</v>
      </c>
    </row>
    <row r="483" spans="1:11" ht="16" x14ac:dyDescent="0.2">
      <c r="A483" s="1" t="s">
        <v>245</v>
      </c>
      <c r="B483" t="str">
        <f>LEFT(Table13[[#This Row],[Input]],1)</f>
        <v>R</v>
      </c>
      <c r="C483">
        <f>_xlfn.LET(_xlpm.steps,SUBSTITUTE(Table13[[#This Row],[Input]],Table13[[#This Row],[Direction]],""),VALUE(IF(LEN(_xlpm.steps)&gt;2,RIGHT(_xlpm.steps,2),_xlpm.steps)))</f>
        <v>71</v>
      </c>
      <c r="D483">
        <f>_xlfn.LET(_xlpm.steps,SUBSTITUTE(Table13[[#This Row],[Input]],Table13[[#This Row],[Direction]],""),VALUE(IF(LEN(_xlpm.steps)&gt;2,LEFT(_xlpm.steps,LEN(_xlpm.steps)-2),0)))</f>
        <v>0</v>
      </c>
      <c r="E483">
        <f>_xlfn.LET(_xlpm.dir,Table13[[#This Row],[Direction]],
IF(_xlpm.dir="L",
    IF(G482-Table13[[#This Row],[Steps]]&lt;0,100+(G482-Table13[[#This Row],[Steps]]),G482-Table13[[#This Row],[Steps]]),
))</f>
        <v>0</v>
      </c>
      <c r="F483">
        <f>_xlfn.LET(_xlpm.dir,Table13[[#This Row],[Direction]],
IF(_xlpm.dir="R",
    IF(G482+Table13[[#This Row],[Steps]]&gt;99,(G482+Table13[[#This Row],[Steps]])-100,G482+Table13[[#This Row],[Steps]]),
))</f>
        <v>71</v>
      </c>
      <c r="G483">
        <f>IF(Table13[[#This Row],[New Pos L]]&lt;&gt;0,Table13[[#This Row],[New Pos L]],Table13[[#This Row],[New Pos R]])</f>
        <v>71</v>
      </c>
      <c r="H483">
        <f>IF(AND(Table13[[#This Row],[Direction]]="L",Table13[[#This Row],[Steps]]&gt;G482,G482&lt;&gt;0),1,0)</f>
        <v>0</v>
      </c>
      <c r="I483">
        <f>IF(AND(Table13[[#This Row],[Direction]]="R",(G482+Table13[[#This Row],[Steps]])&gt;100),1,0)</f>
        <v>0</v>
      </c>
      <c r="J483">
        <f>IF(Table13[[#This Row],[POS]]=0,1,0)</f>
        <v>0</v>
      </c>
      <c r="K483">
        <f>SUM(Table13[[#This Row],[prefix]],Table13[[#This Row],[Past zero L]],Table13[[#This Row],[Past Zero R]],Table13[[#This Row],[Is Zero]])</f>
        <v>0</v>
      </c>
    </row>
    <row r="484" spans="1:11" ht="16" x14ac:dyDescent="0.2">
      <c r="A484" s="1" t="s">
        <v>139</v>
      </c>
      <c r="B484" t="str">
        <f>LEFT(Table13[[#This Row],[Input]],1)</f>
        <v>R</v>
      </c>
      <c r="C484">
        <f>_xlfn.LET(_xlpm.steps,SUBSTITUTE(Table13[[#This Row],[Input]],Table13[[#This Row],[Direction]],""),VALUE(IF(LEN(_xlpm.steps)&gt;2,RIGHT(_xlpm.steps,2),_xlpm.steps)))</f>
        <v>38</v>
      </c>
      <c r="D484">
        <f>_xlfn.LET(_xlpm.steps,SUBSTITUTE(Table13[[#This Row],[Input]],Table13[[#This Row],[Direction]],""),VALUE(IF(LEN(_xlpm.steps)&gt;2,LEFT(_xlpm.steps,LEN(_xlpm.steps)-2),0)))</f>
        <v>0</v>
      </c>
      <c r="E484">
        <f>_xlfn.LET(_xlpm.dir,Table13[[#This Row],[Direction]],
IF(_xlpm.dir="L",
    IF(G483-Table13[[#This Row],[Steps]]&lt;0,100+(G483-Table13[[#This Row],[Steps]]),G483-Table13[[#This Row],[Steps]]),
))</f>
        <v>0</v>
      </c>
      <c r="F484">
        <f>_xlfn.LET(_xlpm.dir,Table13[[#This Row],[Direction]],
IF(_xlpm.dir="R",
    IF(G483+Table13[[#This Row],[Steps]]&gt;99,(G483+Table13[[#This Row],[Steps]])-100,G483+Table13[[#This Row],[Steps]]),
))</f>
        <v>9</v>
      </c>
      <c r="G484">
        <f>IF(Table13[[#This Row],[New Pos L]]&lt;&gt;0,Table13[[#This Row],[New Pos L]],Table13[[#This Row],[New Pos R]])</f>
        <v>9</v>
      </c>
      <c r="H484">
        <f>IF(AND(Table13[[#This Row],[Direction]]="L",Table13[[#This Row],[Steps]]&gt;G483,G483&lt;&gt;0),1,0)</f>
        <v>0</v>
      </c>
      <c r="I484">
        <f>IF(AND(Table13[[#This Row],[Direction]]="R",(G483+Table13[[#This Row],[Steps]])&gt;100),1,0)</f>
        <v>1</v>
      </c>
      <c r="J484">
        <f>IF(Table13[[#This Row],[POS]]=0,1,0)</f>
        <v>0</v>
      </c>
      <c r="K484">
        <f>SUM(Table13[[#This Row],[prefix]],Table13[[#This Row],[Past zero L]],Table13[[#This Row],[Past Zero R]],Table13[[#This Row],[Is Zero]])</f>
        <v>1</v>
      </c>
    </row>
    <row r="485" spans="1:11" ht="16" x14ac:dyDescent="0.2">
      <c r="A485" s="1" t="s">
        <v>131</v>
      </c>
      <c r="B485" t="str">
        <f>LEFT(Table13[[#This Row],[Input]],1)</f>
        <v>R</v>
      </c>
      <c r="C485">
        <f>_xlfn.LET(_xlpm.steps,SUBSTITUTE(Table13[[#This Row],[Input]],Table13[[#This Row],[Direction]],""),VALUE(IF(LEN(_xlpm.steps)&gt;2,RIGHT(_xlpm.steps,2),_xlpm.steps)))</f>
        <v>99</v>
      </c>
      <c r="D485">
        <f>_xlfn.LET(_xlpm.steps,SUBSTITUTE(Table13[[#This Row],[Input]],Table13[[#This Row],[Direction]],""),VALUE(IF(LEN(_xlpm.steps)&gt;2,LEFT(_xlpm.steps,LEN(_xlpm.steps)-2),0)))</f>
        <v>0</v>
      </c>
      <c r="E485">
        <f>_xlfn.LET(_xlpm.dir,Table13[[#This Row],[Direction]],
IF(_xlpm.dir="L",
    IF(G484-Table13[[#This Row],[Steps]]&lt;0,100+(G484-Table13[[#This Row],[Steps]]),G484-Table13[[#This Row],[Steps]]),
))</f>
        <v>0</v>
      </c>
      <c r="F485">
        <f>_xlfn.LET(_xlpm.dir,Table13[[#This Row],[Direction]],
IF(_xlpm.dir="R",
    IF(G484+Table13[[#This Row],[Steps]]&gt;99,(G484+Table13[[#This Row],[Steps]])-100,G484+Table13[[#This Row],[Steps]]),
))</f>
        <v>8</v>
      </c>
      <c r="G485">
        <f>IF(Table13[[#This Row],[New Pos L]]&lt;&gt;0,Table13[[#This Row],[New Pos L]],Table13[[#This Row],[New Pos R]])</f>
        <v>8</v>
      </c>
      <c r="H485">
        <f>IF(AND(Table13[[#This Row],[Direction]]="L",Table13[[#This Row],[Steps]]&gt;G484,G484&lt;&gt;0),1,0)</f>
        <v>0</v>
      </c>
      <c r="I485">
        <f>IF(AND(Table13[[#This Row],[Direction]]="R",(G484+Table13[[#This Row],[Steps]])&gt;100),1,0)</f>
        <v>1</v>
      </c>
      <c r="J485">
        <f>IF(Table13[[#This Row],[POS]]=0,1,0)</f>
        <v>0</v>
      </c>
      <c r="K485">
        <f>SUM(Table13[[#This Row],[prefix]],Table13[[#This Row],[Past zero L]],Table13[[#This Row],[Past Zero R]],Table13[[#This Row],[Is Zero]])</f>
        <v>1</v>
      </c>
    </row>
    <row r="486" spans="1:11" ht="16" x14ac:dyDescent="0.2">
      <c r="A486" s="1" t="s">
        <v>217</v>
      </c>
      <c r="B486" t="str">
        <f>LEFT(Table13[[#This Row],[Input]],1)</f>
        <v>R</v>
      </c>
      <c r="C486">
        <f>_xlfn.LET(_xlpm.steps,SUBSTITUTE(Table13[[#This Row],[Input]],Table13[[#This Row],[Direction]],""),VALUE(IF(LEN(_xlpm.steps)&gt;2,RIGHT(_xlpm.steps,2),_xlpm.steps)))</f>
        <v>91</v>
      </c>
      <c r="D486">
        <f>_xlfn.LET(_xlpm.steps,SUBSTITUTE(Table13[[#This Row],[Input]],Table13[[#This Row],[Direction]],""),VALUE(IF(LEN(_xlpm.steps)&gt;2,LEFT(_xlpm.steps,LEN(_xlpm.steps)-2),0)))</f>
        <v>0</v>
      </c>
      <c r="E486">
        <f>_xlfn.LET(_xlpm.dir,Table13[[#This Row],[Direction]],
IF(_xlpm.dir="L",
    IF(G485-Table13[[#This Row],[Steps]]&lt;0,100+(G485-Table13[[#This Row],[Steps]]),G485-Table13[[#This Row],[Steps]]),
))</f>
        <v>0</v>
      </c>
      <c r="F486">
        <f>_xlfn.LET(_xlpm.dir,Table13[[#This Row],[Direction]],
IF(_xlpm.dir="R",
    IF(G485+Table13[[#This Row],[Steps]]&gt;99,(G485+Table13[[#This Row],[Steps]])-100,G485+Table13[[#This Row],[Steps]]),
))</f>
        <v>99</v>
      </c>
      <c r="G486">
        <f>IF(Table13[[#This Row],[New Pos L]]&lt;&gt;0,Table13[[#This Row],[New Pos L]],Table13[[#This Row],[New Pos R]])</f>
        <v>99</v>
      </c>
      <c r="H486">
        <f>IF(AND(Table13[[#This Row],[Direction]]="L",Table13[[#This Row],[Steps]]&gt;G485,G485&lt;&gt;0),1,0)</f>
        <v>0</v>
      </c>
      <c r="I486">
        <f>IF(AND(Table13[[#This Row],[Direction]]="R",(G485+Table13[[#This Row],[Steps]])&gt;100),1,0)</f>
        <v>0</v>
      </c>
      <c r="J486">
        <f>IF(Table13[[#This Row],[POS]]=0,1,0)</f>
        <v>0</v>
      </c>
      <c r="K486">
        <f>SUM(Table13[[#This Row],[prefix]],Table13[[#This Row],[Past zero L]],Table13[[#This Row],[Past Zero R]],Table13[[#This Row],[Is Zero]])</f>
        <v>0</v>
      </c>
    </row>
    <row r="487" spans="1:11" ht="16" x14ac:dyDescent="0.2">
      <c r="A487" s="1" t="s">
        <v>126</v>
      </c>
      <c r="B487" t="str">
        <f>LEFT(Table13[[#This Row],[Input]],1)</f>
        <v>R</v>
      </c>
      <c r="C487">
        <f>_xlfn.LET(_xlpm.steps,SUBSTITUTE(Table13[[#This Row],[Input]],Table13[[#This Row],[Direction]],""),VALUE(IF(LEN(_xlpm.steps)&gt;2,RIGHT(_xlpm.steps,2),_xlpm.steps)))</f>
        <v>65</v>
      </c>
      <c r="D487">
        <f>_xlfn.LET(_xlpm.steps,SUBSTITUTE(Table13[[#This Row],[Input]],Table13[[#This Row],[Direction]],""),VALUE(IF(LEN(_xlpm.steps)&gt;2,LEFT(_xlpm.steps,LEN(_xlpm.steps)-2),0)))</f>
        <v>0</v>
      </c>
      <c r="E487">
        <f>_xlfn.LET(_xlpm.dir,Table13[[#This Row],[Direction]],
IF(_xlpm.dir="L",
    IF(G486-Table13[[#This Row],[Steps]]&lt;0,100+(G486-Table13[[#This Row],[Steps]]),G486-Table13[[#This Row],[Steps]]),
))</f>
        <v>0</v>
      </c>
      <c r="F487">
        <f>_xlfn.LET(_xlpm.dir,Table13[[#This Row],[Direction]],
IF(_xlpm.dir="R",
    IF(G486+Table13[[#This Row],[Steps]]&gt;99,(G486+Table13[[#This Row],[Steps]])-100,G486+Table13[[#This Row],[Steps]]),
))</f>
        <v>64</v>
      </c>
      <c r="G487">
        <f>IF(Table13[[#This Row],[New Pos L]]&lt;&gt;0,Table13[[#This Row],[New Pos L]],Table13[[#This Row],[New Pos R]])</f>
        <v>64</v>
      </c>
      <c r="H487">
        <f>IF(AND(Table13[[#This Row],[Direction]]="L",Table13[[#This Row],[Steps]]&gt;G486,G486&lt;&gt;0),1,0)</f>
        <v>0</v>
      </c>
      <c r="I487">
        <f>IF(AND(Table13[[#This Row],[Direction]]="R",(G486+Table13[[#This Row],[Steps]])&gt;100),1,0)</f>
        <v>1</v>
      </c>
      <c r="J487">
        <f>IF(Table13[[#This Row],[POS]]=0,1,0)</f>
        <v>0</v>
      </c>
      <c r="K487">
        <f>SUM(Table13[[#This Row],[prefix]],Table13[[#This Row],[Past zero L]],Table13[[#This Row],[Past Zero R]],Table13[[#This Row],[Is Zero]])</f>
        <v>1</v>
      </c>
    </row>
    <row r="488" spans="1:11" ht="16" x14ac:dyDescent="0.2">
      <c r="A488" s="1" t="s">
        <v>219</v>
      </c>
      <c r="B488" t="str">
        <f>LEFT(Table13[[#This Row],[Input]],1)</f>
        <v>L</v>
      </c>
      <c r="C488">
        <f>_xlfn.LET(_xlpm.steps,SUBSTITUTE(Table13[[#This Row],[Input]],Table13[[#This Row],[Direction]],""),VALUE(IF(LEN(_xlpm.steps)&gt;2,RIGHT(_xlpm.steps,2),_xlpm.steps)))</f>
        <v>64</v>
      </c>
      <c r="D488">
        <f>_xlfn.LET(_xlpm.steps,SUBSTITUTE(Table13[[#This Row],[Input]],Table13[[#This Row],[Direction]],""),VALUE(IF(LEN(_xlpm.steps)&gt;2,LEFT(_xlpm.steps,LEN(_xlpm.steps)-2),0)))</f>
        <v>0</v>
      </c>
      <c r="E488">
        <f>_xlfn.LET(_xlpm.dir,Table13[[#This Row],[Direction]],
IF(_xlpm.dir="L",
    IF(G487-Table13[[#This Row],[Steps]]&lt;0,100+(G487-Table13[[#This Row],[Steps]]),G487-Table13[[#This Row],[Steps]]),
))</f>
        <v>0</v>
      </c>
      <c r="F488">
        <f>_xlfn.LET(_xlpm.dir,Table13[[#This Row],[Direction]],
IF(_xlpm.dir="R",
    IF(G487+Table13[[#This Row],[Steps]]&gt;99,(G487+Table13[[#This Row],[Steps]])-100,G487+Table13[[#This Row],[Steps]]),
))</f>
        <v>0</v>
      </c>
      <c r="G488">
        <f>IF(Table13[[#This Row],[New Pos L]]&lt;&gt;0,Table13[[#This Row],[New Pos L]],Table13[[#This Row],[New Pos R]])</f>
        <v>0</v>
      </c>
      <c r="H488">
        <f>IF(AND(Table13[[#This Row],[Direction]]="L",Table13[[#This Row],[Steps]]&gt;G487,G487&lt;&gt;0),1,0)</f>
        <v>0</v>
      </c>
      <c r="I488">
        <f>IF(AND(Table13[[#This Row],[Direction]]="R",(G487+Table13[[#This Row],[Steps]])&gt;100),1,0)</f>
        <v>0</v>
      </c>
      <c r="J488">
        <f>IF(Table13[[#This Row],[POS]]=0,1,0)</f>
        <v>1</v>
      </c>
      <c r="K488">
        <f>SUM(Table13[[#This Row],[prefix]],Table13[[#This Row],[Past zero L]],Table13[[#This Row],[Past Zero R]],Table13[[#This Row],[Is Zero]])</f>
        <v>1</v>
      </c>
    </row>
    <row r="489" spans="1:11" ht="16" x14ac:dyDescent="0.2">
      <c r="A489" s="1" t="s">
        <v>182</v>
      </c>
      <c r="B489" t="str">
        <f>LEFT(Table13[[#This Row],[Input]],1)</f>
        <v>L</v>
      </c>
      <c r="C489">
        <f>_xlfn.LET(_xlpm.steps,SUBSTITUTE(Table13[[#This Row],[Input]],Table13[[#This Row],[Direction]],""),VALUE(IF(LEN(_xlpm.steps)&gt;2,RIGHT(_xlpm.steps,2),_xlpm.steps)))</f>
        <v>3</v>
      </c>
      <c r="D489">
        <f>_xlfn.LET(_xlpm.steps,SUBSTITUTE(Table13[[#This Row],[Input]],Table13[[#This Row],[Direction]],""),VALUE(IF(LEN(_xlpm.steps)&gt;2,LEFT(_xlpm.steps,LEN(_xlpm.steps)-2),0)))</f>
        <v>0</v>
      </c>
      <c r="E489">
        <f>_xlfn.LET(_xlpm.dir,Table13[[#This Row],[Direction]],
IF(_xlpm.dir="L",
    IF(G488-Table13[[#This Row],[Steps]]&lt;0,100+(G488-Table13[[#This Row],[Steps]]),G488-Table13[[#This Row],[Steps]]),
))</f>
        <v>97</v>
      </c>
      <c r="F489">
        <f>_xlfn.LET(_xlpm.dir,Table13[[#This Row],[Direction]],
IF(_xlpm.dir="R",
    IF(G488+Table13[[#This Row],[Steps]]&gt;99,(G488+Table13[[#This Row],[Steps]])-100,G488+Table13[[#This Row],[Steps]]),
))</f>
        <v>0</v>
      </c>
      <c r="G489">
        <f>IF(Table13[[#This Row],[New Pos L]]&lt;&gt;0,Table13[[#This Row],[New Pos L]],Table13[[#This Row],[New Pos R]])</f>
        <v>97</v>
      </c>
      <c r="H489">
        <f>IF(AND(Table13[[#This Row],[Direction]]="L",Table13[[#This Row],[Steps]]&gt;G488,G488&lt;&gt;0),1,0)</f>
        <v>0</v>
      </c>
      <c r="I489">
        <f>IF(AND(Table13[[#This Row],[Direction]]="R",(G488+Table13[[#This Row],[Steps]])&gt;100),1,0)</f>
        <v>0</v>
      </c>
      <c r="J489">
        <f>IF(Table13[[#This Row],[POS]]=0,1,0)</f>
        <v>0</v>
      </c>
      <c r="K489">
        <f>SUM(Table13[[#This Row],[prefix]],Table13[[#This Row],[Past zero L]],Table13[[#This Row],[Past Zero R]],Table13[[#This Row],[Is Zero]])</f>
        <v>0</v>
      </c>
    </row>
    <row r="490" spans="1:11" ht="16" x14ac:dyDescent="0.2">
      <c r="A490" s="1" t="s">
        <v>41</v>
      </c>
      <c r="B490" t="str">
        <f>LEFT(Table13[[#This Row],[Input]],1)</f>
        <v>L</v>
      </c>
      <c r="C490">
        <f>_xlfn.LET(_xlpm.steps,SUBSTITUTE(Table13[[#This Row],[Input]],Table13[[#This Row],[Direction]],""),VALUE(IF(LEN(_xlpm.steps)&gt;2,RIGHT(_xlpm.steps,2),_xlpm.steps)))</f>
        <v>7</v>
      </c>
      <c r="D490">
        <f>_xlfn.LET(_xlpm.steps,SUBSTITUTE(Table13[[#This Row],[Input]],Table13[[#This Row],[Direction]],""),VALUE(IF(LEN(_xlpm.steps)&gt;2,LEFT(_xlpm.steps,LEN(_xlpm.steps)-2),0)))</f>
        <v>0</v>
      </c>
      <c r="E490">
        <f>_xlfn.LET(_xlpm.dir,Table13[[#This Row],[Direction]],
IF(_xlpm.dir="L",
    IF(G489-Table13[[#This Row],[Steps]]&lt;0,100+(G489-Table13[[#This Row],[Steps]]),G489-Table13[[#This Row],[Steps]]),
))</f>
        <v>90</v>
      </c>
      <c r="F490">
        <f>_xlfn.LET(_xlpm.dir,Table13[[#This Row],[Direction]],
IF(_xlpm.dir="R",
    IF(G489+Table13[[#This Row],[Steps]]&gt;99,(G489+Table13[[#This Row],[Steps]])-100,G489+Table13[[#This Row],[Steps]]),
))</f>
        <v>0</v>
      </c>
      <c r="G490">
        <f>IF(Table13[[#This Row],[New Pos L]]&lt;&gt;0,Table13[[#This Row],[New Pos L]],Table13[[#This Row],[New Pos R]])</f>
        <v>90</v>
      </c>
      <c r="H490">
        <f>IF(AND(Table13[[#This Row],[Direction]]="L",Table13[[#This Row],[Steps]]&gt;G489,G489&lt;&gt;0),1,0)</f>
        <v>0</v>
      </c>
      <c r="I490">
        <f>IF(AND(Table13[[#This Row],[Direction]]="R",(G489+Table13[[#This Row],[Steps]])&gt;100),1,0)</f>
        <v>0</v>
      </c>
      <c r="J490">
        <f>IF(Table13[[#This Row],[POS]]=0,1,0)</f>
        <v>0</v>
      </c>
      <c r="K490">
        <f>SUM(Table13[[#This Row],[prefix]],Table13[[#This Row],[Past zero L]],Table13[[#This Row],[Past Zero R]],Table13[[#This Row],[Is Zero]])</f>
        <v>0</v>
      </c>
    </row>
    <row r="491" spans="1:11" ht="16" x14ac:dyDescent="0.2">
      <c r="A491" s="1" t="s">
        <v>246</v>
      </c>
      <c r="B491" t="str">
        <f>LEFT(Table13[[#This Row],[Input]],1)</f>
        <v>L</v>
      </c>
      <c r="C491">
        <f>_xlfn.LET(_xlpm.steps,SUBSTITUTE(Table13[[#This Row],[Input]],Table13[[#This Row],[Direction]],""),VALUE(IF(LEN(_xlpm.steps)&gt;2,RIGHT(_xlpm.steps,2),_xlpm.steps)))</f>
        <v>90</v>
      </c>
      <c r="D491">
        <f>_xlfn.LET(_xlpm.steps,SUBSTITUTE(Table13[[#This Row],[Input]],Table13[[#This Row],[Direction]],""),VALUE(IF(LEN(_xlpm.steps)&gt;2,LEFT(_xlpm.steps,LEN(_xlpm.steps)-2),0)))</f>
        <v>4</v>
      </c>
      <c r="E491">
        <f>_xlfn.LET(_xlpm.dir,Table13[[#This Row],[Direction]],
IF(_xlpm.dir="L",
    IF(G490-Table13[[#This Row],[Steps]]&lt;0,100+(G490-Table13[[#This Row],[Steps]]),G490-Table13[[#This Row],[Steps]]),
))</f>
        <v>0</v>
      </c>
      <c r="F491">
        <f>_xlfn.LET(_xlpm.dir,Table13[[#This Row],[Direction]],
IF(_xlpm.dir="R",
    IF(G490+Table13[[#This Row],[Steps]]&gt;99,(G490+Table13[[#This Row],[Steps]])-100,G490+Table13[[#This Row],[Steps]]),
))</f>
        <v>0</v>
      </c>
      <c r="G491">
        <f>IF(Table13[[#This Row],[New Pos L]]&lt;&gt;0,Table13[[#This Row],[New Pos L]],Table13[[#This Row],[New Pos R]])</f>
        <v>0</v>
      </c>
      <c r="H491">
        <f>IF(AND(Table13[[#This Row],[Direction]]="L",Table13[[#This Row],[Steps]]&gt;G490,G490&lt;&gt;0),1,0)</f>
        <v>0</v>
      </c>
      <c r="I491">
        <f>IF(AND(Table13[[#This Row],[Direction]]="R",(G490+Table13[[#This Row],[Steps]])&gt;100),1,0)</f>
        <v>0</v>
      </c>
      <c r="J491">
        <f>IF(Table13[[#This Row],[POS]]=0,1,0)</f>
        <v>1</v>
      </c>
      <c r="K491">
        <f>SUM(Table13[[#This Row],[prefix]],Table13[[#This Row],[Past zero L]],Table13[[#This Row],[Past Zero R]],Table13[[#This Row],[Is Zero]])</f>
        <v>5</v>
      </c>
    </row>
    <row r="492" spans="1:11" ht="16" x14ac:dyDescent="0.2">
      <c r="A492" s="1" t="s">
        <v>183</v>
      </c>
      <c r="B492" t="str">
        <f>LEFT(Table13[[#This Row],[Input]],1)</f>
        <v>L</v>
      </c>
      <c r="C492">
        <f>_xlfn.LET(_xlpm.steps,SUBSTITUTE(Table13[[#This Row],[Input]],Table13[[#This Row],[Direction]],""),VALUE(IF(LEN(_xlpm.steps)&gt;2,RIGHT(_xlpm.steps,2),_xlpm.steps)))</f>
        <v>67</v>
      </c>
      <c r="D492">
        <f>_xlfn.LET(_xlpm.steps,SUBSTITUTE(Table13[[#This Row],[Input]],Table13[[#This Row],[Direction]],""),VALUE(IF(LEN(_xlpm.steps)&gt;2,LEFT(_xlpm.steps,LEN(_xlpm.steps)-2),0)))</f>
        <v>0</v>
      </c>
      <c r="E492">
        <f>_xlfn.LET(_xlpm.dir,Table13[[#This Row],[Direction]],
IF(_xlpm.dir="L",
    IF(G491-Table13[[#This Row],[Steps]]&lt;0,100+(G491-Table13[[#This Row],[Steps]]),G491-Table13[[#This Row],[Steps]]),
))</f>
        <v>33</v>
      </c>
      <c r="F492">
        <f>_xlfn.LET(_xlpm.dir,Table13[[#This Row],[Direction]],
IF(_xlpm.dir="R",
    IF(G491+Table13[[#This Row],[Steps]]&gt;99,(G491+Table13[[#This Row],[Steps]])-100,G491+Table13[[#This Row],[Steps]]),
))</f>
        <v>0</v>
      </c>
      <c r="G492">
        <f>IF(Table13[[#This Row],[New Pos L]]&lt;&gt;0,Table13[[#This Row],[New Pos L]],Table13[[#This Row],[New Pos R]])</f>
        <v>33</v>
      </c>
      <c r="H492">
        <f>IF(AND(Table13[[#This Row],[Direction]]="L",Table13[[#This Row],[Steps]]&gt;G491,G491&lt;&gt;0),1,0)</f>
        <v>0</v>
      </c>
      <c r="I492">
        <f>IF(AND(Table13[[#This Row],[Direction]]="R",(G491+Table13[[#This Row],[Steps]])&gt;100),1,0)</f>
        <v>0</v>
      </c>
      <c r="J492">
        <f>IF(Table13[[#This Row],[POS]]=0,1,0)</f>
        <v>0</v>
      </c>
      <c r="K492">
        <f>SUM(Table13[[#This Row],[prefix]],Table13[[#This Row],[Past zero L]],Table13[[#This Row],[Past Zero R]],Table13[[#This Row],[Is Zero]])</f>
        <v>0</v>
      </c>
    </row>
    <row r="493" spans="1:11" ht="16" x14ac:dyDescent="0.2">
      <c r="A493" s="1" t="s">
        <v>247</v>
      </c>
      <c r="B493" t="str">
        <f>LEFT(Table13[[#This Row],[Input]],1)</f>
        <v>L</v>
      </c>
      <c r="C493">
        <f>_xlfn.LET(_xlpm.steps,SUBSTITUTE(Table13[[#This Row],[Input]],Table13[[#This Row],[Direction]],""),VALUE(IF(LEN(_xlpm.steps)&gt;2,RIGHT(_xlpm.steps,2),_xlpm.steps)))</f>
        <v>54</v>
      </c>
      <c r="D493">
        <f>_xlfn.LET(_xlpm.steps,SUBSTITUTE(Table13[[#This Row],[Input]],Table13[[#This Row],[Direction]],""),VALUE(IF(LEN(_xlpm.steps)&gt;2,LEFT(_xlpm.steps,LEN(_xlpm.steps)-2),0)))</f>
        <v>8</v>
      </c>
      <c r="E493">
        <f>_xlfn.LET(_xlpm.dir,Table13[[#This Row],[Direction]],
IF(_xlpm.dir="L",
    IF(G492-Table13[[#This Row],[Steps]]&lt;0,100+(G492-Table13[[#This Row],[Steps]]),G492-Table13[[#This Row],[Steps]]),
))</f>
        <v>79</v>
      </c>
      <c r="F493">
        <f>_xlfn.LET(_xlpm.dir,Table13[[#This Row],[Direction]],
IF(_xlpm.dir="R",
    IF(G492+Table13[[#This Row],[Steps]]&gt;99,(G492+Table13[[#This Row],[Steps]])-100,G492+Table13[[#This Row],[Steps]]),
))</f>
        <v>0</v>
      </c>
      <c r="G493">
        <f>IF(Table13[[#This Row],[New Pos L]]&lt;&gt;0,Table13[[#This Row],[New Pos L]],Table13[[#This Row],[New Pos R]])</f>
        <v>79</v>
      </c>
      <c r="H493">
        <f>IF(AND(Table13[[#This Row],[Direction]]="L",Table13[[#This Row],[Steps]]&gt;G492,G492&lt;&gt;0),1,0)</f>
        <v>1</v>
      </c>
      <c r="I493">
        <f>IF(AND(Table13[[#This Row],[Direction]]="R",(G492+Table13[[#This Row],[Steps]])&gt;100),1,0)</f>
        <v>0</v>
      </c>
      <c r="J493">
        <f>IF(Table13[[#This Row],[POS]]=0,1,0)</f>
        <v>0</v>
      </c>
      <c r="K493">
        <f>SUM(Table13[[#This Row],[prefix]],Table13[[#This Row],[Past zero L]],Table13[[#This Row],[Past Zero R]],Table13[[#This Row],[Is Zero]])</f>
        <v>9</v>
      </c>
    </row>
    <row r="494" spans="1:11" ht="16" x14ac:dyDescent="0.2">
      <c r="A494" s="1" t="s">
        <v>248</v>
      </c>
      <c r="B494" t="str">
        <f>LEFT(Table13[[#This Row],[Input]],1)</f>
        <v>L</v>
      </c>
      <c r="C494">
        <f>_xlfn.LET(_xlpm.steps,SUBSTITUTE(Table13[[#This Row],[Input]],Table13[[#This Row],[Direction]],""),VALUE(IF(LEN(_xlpm.steps)&gt;2,RIGHT(_xlpm.steps,2),_xlpm.steps)))</f>
        <v>84</v>
      </c>
      <c r="D494">
        <f>_xlfn.LET(_xlpm.steps,SUBSTITUTE(Table13[[#This Row],[Input]],Table13[[#This Row],[Direction]],""),VALUE(IF(LEN(_xlpm.steps)&gt;2,LEFT(_xlpm.steps,LEN(_xlpm.steps)-2),0)))</f>
        <v>1</v>
      </c>
      <c r="E494">
        <f>_xlfn.LET(_xlpm.dir,Table13[[#This Row],[Direction]],
IF(_xlpm.dir="L",
    IF(G493-Table13[[#This Row],[Steps]]&lt;0,100+(G493-Table13[[#This Row],[Steps]]),G493-Table13[[#This Row],[Steps]]),
))</f>
        <v>95</v>
      </c>
      <c r="F494">
        <f>_xlfn.LET(_xlpm.dir,Table13[[#This Row],[Direction]],
IF(_xlpm.dir="R",
    IF(G493+Table13[[#This Row],[Steps]]&gt;99,(G493+Table13[[#This Row],[Steps]])-100,G493+Table13[[#This Row],[Steps]]),
))</f>
        <v>0</v>
      </c>
      <c r="G494">
        <f>IF(Table13[[#This Row],[New Pos L]]&lt;&gt;0,Table13[[#This Row],[New Pos L]],Table13[[#This Row],[New Pos R]])</f>
        <v>95</v>
      </c>
      <c r="H494">
        <f>IF(AND(Table13[[#This Row],[Direction]]="L",Table13[[#This Row],[Steps]]&gt;G493,G493&lt;&gt;0),1,0)</f>
        <v>1</v>
      </c>
      <c r="I494">
        <f>IF(AND(Table13[[#This Row],[Direction]]="R",(G493+Table13[[#This Row],[Steps]])&gt;100),1,0)</f>
        <v>0</v>
      </c>
      <c r="J494">
        <f>IF(Table13[[#This Row],[POS]]=0,1,0)</f>
        <v>0</v>
      </c>
      <c r="K494">
        <f>SUM(Table13[[#This Row],[prefix]],Table13[[#This Row],[Past zero L]],Table13[[#This Row],[Past Zero R]],Table13[[#This Row],[Is Zero]])</f>
        <v>2</v>
      </c>
    </row>
    <row r="495" spans="1:11" ht="16" x14ac:dyDescent="0.2">
      <c r="A495" s="1" t="s">
        <v>60</v>
      </c>
      <c r="B495" t="str">
        <f>LEFT(Table13[[#This Row],[Input]],1)</f>
        <v>R</v>
      </c>
      <c r="C495">
        <f>_xlfn.LET(_xlpm.steps,SUBSTITUTE(Table13[[#This Row],[Input]],Table13[[#This Row],[Direction]],""),VALUE(IF(LEN(_xlpm.steps)&gt;2,RIGHT(_xlpm.steps,2),_xlpm.steps)))</f>
        <v>86</v>
      </c>
      <c r="D495">
        <f>_xlfn.LET(_xlpm.steps,SUBSTITUTE(Table13[[#This Row],[Input]],Table13[[#This Row],[Direction]],""),VALUE(IF(LEN(_xlpm.steps)&gt;2,LEFT(_xlpm.steps,LEN(_xlpm.steps)-2),0)))</f>
        <v>0</v>
      </c>
      <c r="E495">
        <f>_xlfn.LET(_xlpm.dir,Table13[[#This Row],[Direction]],
IF(_xlpm.dir="L",
    IF(G494-Table13[[#This Row],[Steps]]&lt;0,100+(G494-Table13[[#This Row],[Steps]]),G494-Table13[[#This Row],[Steps]]),
))</f>
        <v>0</v>
      </c>
      <c r="F495">
        <f>_xlfn.LET(_xlpm.dir,Table13[[#This Row],[Direction]],
IF(_xlpm.dir="R",
    IF(G494+Table13[[#This Row],[Steps]]&gt;99,(G494+Table13[[#This Row],[Steps]])-100,G494+Table13[[#This Row],[Steps]]),
))</f>
        <v>81</v>
      </c>
      <c r="G495">
        <f>IF(Table13[[#This Row],[New Pos L]]&lt;&gt;0,Table13[[#This Row],[New Pos L]],Table13[[#This Row],[New Pos R]])</f>
        <v>81</v>
      </c>
      <c r="H495">
        <f>IF(AND(Table13[[#This Row],[Direction]]="L",Table13[[#This Row],[Steps]]&gt;G494,G494&lt;&gt;0),1,0)</f>
        <v>0</v>
      </c>
      <c r="I495">
        <f>IF(AND(Table13[[#This Row],[Direction]]="R",(G494+Table13[[#This Row],[Steps]])&gt;100),1,0)</f>
        <v>1</v>
      </c>
      <c r="J495">
        <f>IF(Table13[[#This Row],[POS]]=0,1,0)</f>
        <v>0</v>
      </c>
      <c r="K495">
        <f>SUM(Table13[[#This Row],[prefix]],Table13[[#This Row],[Past zero L]],Table13[[#This Row],[Past Zero R]],Table13[[#This Row],[Is Zero]])</f>
        <v>1</v>
      </c>
    </row>
    <row r="496" spans="1:11" ht="16" x14ac:dyDescent="0.2">
      <c r="A496" s="1" t="s">
        <v>249</v>
      </c>
      <c r="B496" t="str">
        <f>LEFT(Table13[[#This Row],[Input]],1)</f>
        <v>R</v>
      </c>
      <c r="C496">
        <f>_xlfn.LET(_xlpm.steps,SUBSTITUTE(Table13[[#This Row],[Input]],Table13[[#This Row],[Direction]],""),VALUE(IF(LEN(_xlpm.steps)&gt;2,RIGHT(_xlpm.steps,2),_xlpm.steps)))</f>
        <v>19</v>
      </c>
      <c r="D496">
        <f>_xlfn.LET(_xlpm.steps,SUBSTITUTE(Table13[[#This Row],[Input]],Table13[[#This Row],[Direction]],""),VALUE(IF(LEN(_xlpm.steps)&gt;2,LEFT(_xlpm.steps,LEN(_xlpm.steps)-2),0)))</f>
        <v>4</v>
      </c>
      <c r="E496">
        <f>_xlfn.LET(_xlpm.dir,Table13[[#This Row],[Direction]],
IF(_xlpm.dir="L",
    IF(G495-Table13[[#This Row],[Steps]]&lt;0,100+(G495-Table13[[#This Row],[Steps]]),G495-Table13[[#This Row],[Steps]]),
))</f>
        <v>0</v>
      </c>
      <c r="F496">
        <f>_xlfn.LET(_xlpm.dir,Table13[[#This Row],[Direction]],
IF(_xlpm.dir="R",
    IF(G495+Table13[[#This Row],[Steps]]&gt;99,(G495+Table13[[#This Row],[Steps]])-100,G495+Table13[[#This Row],[Steps]]),
))</f>
        <v>0</v>
      </c>
      <c r="G496">
        <f>IF(Table13[[#This Row],[New Pos L]]&lt;&gt;0,Table13[[#This Row],[New Pos L]],Table13[[#This Row],[New Pos R]])</f>
        <v>0</v>
      </c>
      <c r="H496">
        <f>IF(AND(Table13[[#This Row],[Direction]]="L",Table13[[#This Row],[Steps]]&gt;G495,G495&lt;&gt;0),1,0)</f>
        <v>0</v>
      </c>
      <c r="I496">
        <f>IF(AND(Table13[[#This Row],[Direction]]="R",(G495+Table13[[#This Row],[Steps]])&gt;100),1,0)</f>
        <v>0</v>
      </c>
      <c r="J496">
        <f>IF(Table13[[#This Row],[POS]]=0,1,0)</f>
        <v>1</v>
      </c>
      <c r="K496">
        <f>SUM(Table13[[#This Row],[prefix]],Table13[[#This Row],[Past zero L]],Table13[[#This Row],[Past Zero R]],Table13[[#This Row],[Is Zero]])</f>
        <v>5</v>
      </c>
    </row>
    <row r="497" spans="1:11" ht="16" x14ac:dyDescent="0.2">
      <c r="A497" s="1" t="s">
        <v>171</v>
      </c>
      <c r="B497" t="str">
        <f>LEFT(Table13[[#This Row],[Input]],1)</f>
        <v>L</v>
      </c>
      <c r="C497">
        <f>_xlfn.LET(_xlpm.steps,SUBSTITUTE(Table13[[#This Row],[Input]],Table13[[#This Row],[Direction]],""),VALUE(IF(LEN(_xlpm.steps)&gt;2,RIGHT(_xlpm.steps,2),_xlpm.steps)))</f>
        <v>73</v>
      </c>
      <c r="D497">
        <f>_xlfn.LET(_xlpm.steps,SUBSTITUTE(Table13[[#This Row],[Input]],Table13[[#This Row],[Direction]],""),VALUE(IF(LEN(_xlpm.steps)&gt;2,LEFT(_xlpm.steps,LEN(_xlpm.steps)-2),0)))</f>
        <v>0</v>
      </c>
      <c r="E497">
        <f>_xlfn.LET(_xlpm.dir,Table13[[#This Row],[Direction]],
IF(_xlpm.dir="L",
    IF(G496-Table13[[#This Row],[Steps]]&lt;0,100+(G496-Table13[[#This Row],[Steps]]),G496-Table13[[#This Row],[Steps]]),
))</f>
        <v>27</v>
      </c>
      <c r="F497">
        <f>_xlfn.LET(_xlpm.dir,Table13[[#This Row],[Direction]],
IF(_xlpm.dir="R",
    IF(G496+Table13[[#This Row],[Steps]]&gt;99,(G496+Table13[[#This Row],[Steps]])-100,G496+Table13[[#This Row],[Steps]]),
))</f>
        <v>0</v>
      </c>
      <c r="G497">
        <f>IF(Table13[[#This Row],[New Pos L]]&lt;&gt;0,Table13[[#This Row],[New Pos L]],Table13[[#This Row],[New Pos R]])</f>
        <v>27</v>
      </c>
      <c r="H497">
        <f>IF(AND(Table13[[#This Row],[Direction]]="L",Table13[[#This Row],[Steps]]&gt;G496,G496&lt;&gt;0),1,0)</f>
        <v>0</v>
      </c>
      <c r="I497">
        <f>IF(AND(Table13[[#This Row],[Direction]]="R",(G496+Table13[[#This Row],[Steps]])&gt;100),1,0)</f>
        <v>0</v>
      </c>
      <c r="J497">
        <f>IF(Table13[[#This Row],[POS]]=0,1,0)</f>
        <v>0</v>
      </c>
      <c r="K497">
        <f>SUM(Table13[[#This Row],[prefix]],Table13[[#This Row],[Past zero L]],Table13[[#This Row],[Past Zero R]],Table13[[#This Row],[Is Zero]])</f>
        <v>0</v>
      </c>
    </row>
    <row r="498" spans="1:11" ht="16" x14ac:dyDescent="0.2">
      <c r="A498" s="1" t="s">
        <v>42</v>
      </c>
      <c r="B498" t="str">
        <f>LEFT(Table13[[#This Row],[Input]],1)</f>
        <v>L</v>
      </c>
      <c r="C498">
        <f>_xlfn.LET(_xlpm.steps,SUBSTITUTE(Table13[[#This Row],[Input]],Table13[[#This Row],[Direction]],""),VALUE(IF(LEN(_xlpm.steps)&gt;2,RIGHT(_xlpm.steps,2),_xlpm.steps)))</f>
        <v>27</v>
      </c>
      <c r="D498">
        <f>_xlfn.LET(_xlpm.steps,SUBSTITUTE(Table13[[#This Row],[Input]],Table13[[#This Row],[Direction]],""),VALUE(IF(LEN(_xlpm.steps)&gt;2,LEFT(_xlpm.steps,LEN(_xlpm.steps)-2),0)))</f>
        <v>0</v>
      </c>
      <c r="E498">
        <f>_xlfn.LET(_xlpm.dir,Table13[[#This Row],[Direction]],
IF(_xlpm.dir="L",
    IF(G497-Table13[[#This Row],[Steps]]&lt;0,100+(G497-Table13[[#This Row],[Steps]]),G497-Table13[[#This Row],[Steps]]),
))</f>
        <v>0</v>
      </c>
      <c r="F498">
        <f>_xlfn.LET(_xlpm.dir,Table13[[#This Row],[Direction]],
IF(_xlpm.dir="R",
    IF(G497+Table13[[#This Row],[Steps]]&gt;99,(G497+Table13[[#This Row],[Steps]])-100,G497+Table13[[#This Row],[Steps]]),
))</f>
        <v>0</v>
      </c>
      <c r="G498">
        <f>IF(Table13[[#This Row],[New Pos L]]&lt;&gt;0,Table13[[#This Row],[New Pos L]],Table13[[#This Row],[New Pos R]])</f>
        <v>0</v>
      </c>
      <c r="H498">
        <f>IF(AND(Table13[[#This Row],[Direction]]="L",Table13[[#This Row],[Steps]]&gt;G497,G497&lt;&gt;0),1,0)</f>
        <v>0</v>
      </c>
      <c r="I498">
        <f>IF(AND(Table13[[#This Row],[Direction]]="R",(G497+Table13[[#This Row],[Steps]])&gt;100),1,0)</f>
        <v>0</v>
      </c>
      <c r="J498">
        <f>IF(Table13[[#This Row],[POS]]=0,1,0)</f>
        <v>1</v>
      </c>
      <c r="K498">
        <f>SUM(Table13[[#This Row],[prefix]],Table13[[#This Row],[Past zero L]],Table13[[#This Row],[Past Zero R]],Table13[[#This Row],[Is Zero]])</f>
        <v>1</v>
      </c>
    </row>
    <row r="499" spans="1:11" ht="16" x14ac:dyDescent="0.2">
      <c r="A499" s="1" t="s">
        <v>7</v>
      </c>
      <c r="B499" t="str">
        <f>LEFT(Table13[[#This Row],[Input]],1)</f>
        <v>R</v>
      </c>
      <c r="C499">
        <f>_xlfn.LET(_xlpm.steps,SUBSTITUTE(Table13[[#This Row],[Input]],Table13[[#This Row],[Direction]],""),VALUE(IF(LEN(_xlpm.steps)&gt;2,RIGHT(_xlpm.steps,2),_xlpm.steps)))</f>
        <v>14</v>
      </c>
      <c r="D499">
        <f>_xlfn.LET(_xlpm.steps,SUBSTITUTE(Table13[[#This Row],[Input]],Table13[[#This Row],[Direction]],""),VALUE(IF(LEN(_xlpm.steps)&gt;2,LEFT(_xlpm.steps,LEN(_xlpm.steps)-2),0)))</f>
        <v>0</v>
      </c>
      <c r="E499">
        <f>_xlfn.LET(_xlpm.dir,Table13[[#This Row],[Direction]],
IF(_xlpm.dir="L",
    IF(G498-Table13[[#This Row],[Steps]]&lt;0,100+(G498-Table13[[#This Row],[Steps]]),G498-Table13[[#This Row],[Steps]]),
))</f>
        <v>0</v>
      </c>
      <c r="F499">
        <f>_xlfn.LET(_xlpm.dir,Table13[[#This Row],[Direction]],
IF(_xlpm.dir="R",
    IF(G498+Table13[[#This Row],[Steps]]&gt;99,(G498+Table13[[#This Row],[Steps]])-100,G498+Table13[[#This Row],[Steps]]),
))</f>
        <v>14</v>
      </c>
      <c r="G499">
        <f>IF(Table13[[#This Row],[New Pos L]]&lt;&gt;0,Table13[[#This Row],[New Pos L]],Table13[[#This Row],[New Pos R]])</f>
        <v>14</v>
      </c>
      <c r="H499">
        <f>IF(AND(Table13[[#This Row],[Direction]]="L",Table13[[#This Row],[Steps]]&gt;G498,G498&lt;&gt;0),1,0)</f>
        <v>0</v>
      </c>
      <c r="I499">
        <f>IF(AND(Table13[[#This Row],[Direction]]="R",(G498+Table13[[#This Row],[Steps]])&gt;100),1,0)</f>
        <v>0</v>
      </c>
      <c r="J499">
        <f>IF(Table13[[#This Row],[POS]]=0,1,0)</f>
        <v>0</v>
      </c>
      <c r="K499">
        <f>SUM(Table13[[#This Row],[prefix]],Table13[[#This Row],[Past zero L]],Table13[[#This Row],[Past Zero R]],Table13[[#This Row],[Is Zero]])</f>
        <v>0</v>
      </c>
    </row>
    <row r="500" spans="1:11" ht="16" x14ac:dyDescent="0.2">
      <c r="A500" s="1" t="s">
        <v>29</v>
      </c>
      <c r="B500" t="str">
        <f>LEFT(Table13[[#This Row],[Input]],1)</f>
        <v>L</v>
      </c>
      <c r="C500">
        <f>_xlfn.LET(_xlpm.steps,SUBSTITUTE(Table13[[#This Row],[Input]],Table13[[#This Row],[Direction]],""),VALUE(IF(LEN(_xlpm.steps)&gt;2,RIGHT(_xlpm.steps,2),_xlpm.steps)))</f>
        <v>33</v>
      </c>
      <c r="D500">
        <f>_xlfn.LET(_xlpm.steps,SUBSTITUTE(Table13[[#This Row],[Input]],Table13[[#This Row],[Direction]],""),VALUE(IF(LEN(_xlpm.steps)&gt;2,LEFT(_xlpm.steps,LEN(_xlpm.steps)-2),0)))</f>
        <v>0</v>
      </c>
      <c r="E500">
        <f>_xlfn.LET(_xlpm.dir,Table13[[#This Row],[Direction]],
IF(_xlpm.dir="L",
    IF(G499-Table13[[#This Row],[Steps]]&lt;0,100+(G499-Table13[[#This Row],[Steps]]),G499-Table13[[#This Row],[Steps]]),
))</f>
        <v>81</v>
      </c>
      <c r="F500">
        <f>_xlfn.LET(_xlpm.dir,Table13[[#This Row],[Direction]],
IF(_xlpm.dir="R",
    IF(G499+Table13[[#This Row],[Steps]]&gt;99,(G499+Table13[[#This Row],[Steps]])-100,G499+Table13[[#This Row],[Steps]]),
))</f>
        <v>0</v>
      </c>
      <c r="G500">
        <f>IF(Table13[[#This Row],[New Pos L]]&lt;&gt;0,Table13[[#This Row],[New Pos L]],Table13[[#This Row],[New Pos R]])</f>
        <v>81</v>
      </c>
      <c r="H500">
        <f>IF(AND(Table13[[#This Row],[Direction]]="L",Table13[[#This Row],[Steps]]&gt;G499,G499&lt;&gt;0),1,0)</f>
        <v>1</v>
      </c>
      <c r="I500">
        <f>IF(AND(Table13[[#This Row],[Direction]]="R",(G499+Table13[[#This Row],[Steps]])&gt;100),1,0)</f>
        <v>0</v>
      </c>
      <c r="J500">
        <f>IF(Table13[[#This Row],[POS]]=0,1,0)</f>
        <v>0</v>
      </c>
      <c r="K500">
        <f>SUM(Table13[[#This Row],[prefix]],Table13[[#This Row],[Past zero L]],Table13[[#This Row],[Past Zero R]],Table13[[#This Row],[Is Zero]])</f>
        <v>1</v>
      </c>
    </row>
    <row r="501" spans="1:11" ht="16" x14ac:dyDescent="0.2">
      <c r="A501" s="1" t="s">
        <v>77</v>
      </c>
      <c r="B501" t="str">
        <f>LEFT(Table13[[#This Row],[Input]],1)</f>
        <v>R</v>
      </c>
      <c r="C501">
        <f>_xlfn.LET(_xlpm.steps,SUBSTITUTE(Table13[[#This Row],[Input]],Table13[[#This Row],[Direction]],""),VALUE(IF(LEN(_xlpm.steps)&gt;2,RIGHT(_xlpm.steps,2),_xlpm.steps)))</f>
        <v>74</v>
      </c>
      <c r="D501">
        <f>_xlfn.LET(_xlpm.steps,SUBSTITUTE(Table13[[#This Row],[Input]],Table13[[#This Row],[Direction]],""),VALUE(IF(LEN(_xlpm.steps)&gt;2,LEFT(_xlpm.steps,LEN(_xlpm.steps)-2),0)))</f>
        <v>0</v>
      </c>
      <c r="E501">
        <f>_xlfn.LET(_xlpm.dir,Table13[[#This Row],[Direction]],
IF(_xlpm.dir="L",
    IF(G500-Table13[[#This Row],[Steps]]&lt;0,100+(G500-Table13[[#This Row],[Steps]]),G500-Table13[[#This Row],[Steps]]),
))</f>
        <v>0</v>
      </c>
      <c r="F501">
        <f>_xlfn.LET(_xlpm.dir,Table13[[#This Row],[Direction]],
IF(_xlpm.dir="R",
    IF(G500+Table13[[#This Row],[Steps]]&gt;99,(G500+Table13[[#This Row],[Steps]])-100,G500+Table13[[#This Row],[Steps]]),
))</f>
        <v>55</v>
      </c>
      <c r="G501">
        <f>IF(Table13[[#This Row],[New Pos L]]&lt;&gt;0,Table13[[#This Row],[New Pos L]],Table13[[#This Row],[New Pos R]])</f>
        <v>55</v>
      </c>
      <c r="H501">
        <f>IF(AND(Table13[[#This Row],[Direction]]="L",Table13[[#This Row],[Steps]]&gt;G500,G500&lt;&gt;0),1,0)</f>
        <v>0</v>
      </c>
      <c r="I501">
        <f>IF(AND(Table13[[#This Row],[Direction]]="R",(G500+Table13[[#This Row],[Steps]])&gt;100),1,0)</f>
        <v>1</v>
      </c>
      <c r="J501">
        <f>IF(Table13[[#This Row],[POS]]=0,1,0)</f>
        <v>0</v>
      </c>
      <c r="K501">
        <f>SUM(Table13[[#This Row],[prefix]],Table13[[#This Row],[Past zero L]],Table13[[#This Row],[Past Zero R]],Table13[[#This Row],[Is Zero]])</f>
        <v>1</v>
      </c>
    </row>
    <row r="502" spans="1:11" ht="16" x14ac:dyDescent="0.2">
      <c r="A502" s="1" t="s">
        <v>40</v>
      </c>
      <c r="B502" t="str">
        <f>LEFT(Table13[[#This Row],[Input]],1)</f>
        <v>R</v>
      </c>
      <c r="C502">
        <f>_xlfn.LET(_xlpm.steps,SUBSTITUTE(Table13[[#This Row],[Input]],Table13[[#This Row],[Direction]],""),VALUE(IF(LEN(_xlpm.steps)&gt;2,RIGHT(_xlpm.steps,2),_xlpm.steps)))</f>
        <v>52</v>
      </c>
      <c r="D502">
        <f>_xlfn.LET(_xlpm.steps,SUBSTITUTE(Table13[[#This Row],[Input]],Table13[[#This Row],[Direction]],""),VALUE(IF(LEN(_xlpm.steps)&gt;2,LEFT(_xlpm.steps,LEN(_xlpm.steps)-2),0)))</f>
        <v>0</v>
      </c>
      <c r="E502">
        <f>_xlfn.LET(_xlpm.dir,Table13[[#This Row],[Direction]],
IF(_xlpm.dir="L",
    IF(G501-Table13[[#This Row],[Steps]]&lt;0,100+(G501-Table13[[#This Row],[Steps]]),G501-Table13[[#This Row],[Steps]]),
))</f>
        <v>0</v>
      </c>
      <c r="F502">
        <f>_xlfn.LET(_xlpm.dir,Table13[[#This Row],[Direction]],
IF(_xlpm.dir="R",
    IF(G501+Table13[[#This Row],[Steps]]&gt;99,(G501+Table13[[#This Row],[Steps]])-100,G501+Table13[[#This Row],[Steps]]),
))</f>
        <v>7</v>
      </c>
      <c r="G502">
        <f>IF(Table13[[#This Row],[New Pos L]]&lt;&gt;0,Table13[[#This Row],[New Pos L]],Table13[[#This Row],[New Pos R]])</f>
        <v>7</v>
      </c>
      <c r="H502">
        <f>IF(AND(Table13[[#This Row],[Direction]]="L",Table13[[#This Row],[Steps]]&gt;G501,G501&lt;&gt;0),1,0)</f>
        <v>0</v>
      </c>
      <c r="I502">
        <f>IF(AND(Table13[[#This Row],[Direction]]="R",(G501+Table13[[#This Row],[Steps]])&gt;100),1,0)</f>
        <v>1</v>
      </c>
      <c r="J502">
        <f>IF(Table13[[#This Row],[POS]]=0,1,0)</f>
        <v>0</v>
      </c>
      <c r="K502">
        <f>SUM(Table13[[#This Row],[prefix]],Table13[[#This Row],[Past zero L]],Table13[[#This Row],[Past Zero R]],Table13[[#This Row],[Is Zero]])</f>
        <v>1</v>
      </c>
    </row>
    <row r="503" spans="1:11" ht="16" x14ac:dyDescent="0.2">
      <c r="A503" s="1" t="s">
        <v>48</v>
      </c>
      <c r="B503" t="str">
        <f>LEFT(Table13[[#This Row],[Input]],1)</f>
        <v>R</v>
      </c>
      <c r="C503">
        <f>_xlfn.LET(_xlpm.steps,SUBSTITUTE(Table13[[#This Row],[Input]],Table13[[#This Row],[Direction]],""),VALUE(IF(LEN(_xlpm.steps)&gt;2,RIGHT(_xlpm.steps,2),_xlpm.steps)))</f>
        <v>81</v>
      </c>
      <c r="D503">
        <f>_xlfn.LET(_xlpm.steps,SUBSTITUTE(Table13[[#This Row],[Input]],Table13[[#This Row],[Direction]],""),VALUE(IF(LEN(_xlpm.steps)&gt;2,LEFT(_xlpm.steps,LEN(_xlpm.steps)-2),0)))</f>
        <v>0</v>
      </c>
      <c r="E503">
        <f>_xlfn.LET(_xlpm.dir,Table13[[#This Row],[Direction]],
IF(_xlpm.dir="L",
    IF(G502-Table13[[#This Row],[Steps]]&lt;0,100+(G502-Table13[[#This Row],[Steps]]),G502-Table13[[#This Row],[Steps]]),
))</f>
        <v>0</v>
      </c>
      <c r="F503">
        <f>_xlfn.LET(_xlpm.dir,Table13[[#This Row],[Direction]],
IF(_xlpm.dir="R",
    IF(G502+Table13[[#This Row],[Steps]]&gt;99,(G502+Table13[[#This Row],[Steps]])-100,G502+Table13[[#This Row],[Steps]]),
))</f>
        <v>88</v>
      </c>
      <c r="G503">
        <f>IF(Table13[[#This Row],[New Pos L]]&lt;&gt;0,Table13[[#This Row],[New Pos L]],Table13[[#This Row],[New Pos R]])</f>
        <v>88</v>
      </c>
      <c r="H503">
        <f>IF(AND(Table13[[#This Row],[Direction]]="L",Table13[[#This Row],[Steps]]&gt;G502,G502&lt;&gt;0),1,0)</f>
        <v>0</v>
      </c>
      <c r="I503">
        <f>IF(AND(Table13[[#This Row],[Direction]]="R",(G502+Table13[[#This Row],[Steps]])&gt;100),1,0)</f>
        <v>0</v>
      </c>
      <c r="J503">
        <f>IF(Table13[[#This Row],[POS]]=0,1,0)</f>
        <v>0</v>
      </c>
      <c r="K503">
        <f>SUM(Table13[[#This Row],[prefix]],Table13[[#This Row],[Past zero L]],Table13[[#This Row],[Past Zero R]],Table13[[#This Row],[Is Zero]])</f>
        <v>0</v>
      </c>
    </row>
    <row r="504" spans="1:11" ht="16" x14ac:dyDescent="0.2">
      <c r="A504" s="1" t="s">
        <v>2</v>
      </c>
      <c r="B504" t="str">
        <f>LEFT(Table13[[#This Row],[Input]],1)</f>
        <v>L</v>
      </c>
      <c r="C504">
        <f>_xlfn.LET(_xlpm.steps,SUBSTITUTE(Table13[[#This Row],[Input]],Table13[[#This Row],[Direction]],""),VALUE(IF(LEN(_xlpm.steps)&gt;2,RIGHT(_xlpm.steps,2),_xlpm.steps)))</f>
        <v>38</v>
      </c>
      <c r="D504">
        <f>_xlfn.LET(_xlpm.steps,SUBSTITUTE(Table13[[#This Row],[Input]],Table13[[#This Row],[Direction]],""),VALUE(IF(LEN(_xlpm.steps)&gt;2,LEFT(_xlpm.steps,LEN(_xlpm.steps)-2),0)))</f>
        <v>0</v>
      </c>
      <c r="E504">
        <f>_xlfn.LET(_xlpm.dir,Table13[[#This Row],[Direction]],
IF(_xlpm.dir="L",
    IF(G503-Table13[[#This Row],[Steps]]&lt;0,100+(G503-Table13[[#This Row],[Steps]]),G503-Table13[[#This Row],[Steps]]),
))</f>
        <v>50</v>
      </c>
      <c r="F504">
        <f>_xlfn.LET(_xlpm.dir,Table13[[#This Row],[Direction]],
IF(_xlpm.dir="R",
    IF(G503+Table13[[#This Row],[Steps]]&gt;99,(G503+Table13[[#This Row],[Steps]])-100,G503+Table13[[#This Row],[Steps]]),
))</f>
        <v>0</v>
      </c>
      <c r="G504">
        <f>IF(Table13[[#This Row],[New Pos L]]&lt;&gt;0,Table13[[#This Row],[New Pos L]],Table13[[#This Row],[New Pos R]])</f>
        <v>50</v>
      </c>
      <c r="H504">
        <f>IF(AND(Table13[[#This Row],[Direction]]="L",Table13[[#This Row],[Steps]]&gt;G503,G503&lt;&gt;0),1,0)</f>
        <v>0</v>
      </c>
      <c r="I504">
        <f>IF(AND(Table13[[#This Row],[Direction]]="R",(G503+Table13[[#This Row],[Steps]])&gt;100),1,0)</f>
        <v>0</v>
      </c>
      <c r="J504">
        <f>IF(Table13[[#This Row],[POS]]=0,1,0)</f>
        <v>0</v>
      </c>
      <c r="K504">
        <f>SUM(Table13[[#This Row],[prefix]],Table13[[#This Row],[Past zero L]],Table13[[#This Row],[Past Zero R]],Table13[[#This Row],[Is Zero]])</f>
        <v>0</v>
      </c>
    </row>
    <row r="505" spans="1:11" ht="16" x14ac:dyDescent="0.2">
      <c r="A505" s="1" t="s">
        <v>36</v>
      </c>
      <c r="B505" t="str">
        <f>LEFT(Table13[[#This Row],[Input]],1)</f>
        <v>R</v>
      </c>
      <c r="C505">
        <f>_xlfn.LET(_xlpm.steps,SUBSTITUTE(Table13[[#This Row],[Input]],Table13[[#This Row],[Direction]],""),VALUE(IF(LEN(_xlpm.steps)&gt;2,RIGHT(_xlpm.steps,2),_xlpm.steps)))</f>
        <v>50</v>
      </c>
      <c r="D505">
        <f>_xlfn.LET(_xlpm.steps,SUBSTITUTE(Table13[[#This Row],[Input]],Table13[[#This Row],[Direction]],""),VALUE(IF(LEN(_xlpm.steps)&gt;2,LEFT(_xlpm.steps,LEN(_xlpm.steps)-2),0)))</f>
        <v>0</v>
      </c>
      <c r="E505">
        <f>_xlfn.LET(_xlpm.dir,Table13[[#This Row],[Direction]],
IF(_xlpm.dir="L",
    IF(G504-Table13[[#This Row],[Steps]]&lt;0,100+(G504-Table13[[#This Row],[Steps]]),G504-Table13[[#This Row],[Steps]]),
))</f>
        <v>0</v>
      </c>
      <c r="F505">
        <f>_xlfn.LET(_xlpm.dir,Table13[[#This Row],[Direction]],
IF(_xlpm.dir="R",
    IF(G504+Table13[[#This Row],[Steps]]&gt;99,(G504+Table13[[#This Row],[Steps]])-100,G504+Table13[[#This Row],[Steps]]),
))</f>
        <v>0</v>
      </c>
      <c r="G505">
        <f>IF(Table13[[#This Row],[New Pos L]]&lt;&gt;0,Table13[[#This Row],[New Pos L]],Table13[[#This Row],[New Pos R]])</f>
        <v>0</v>
      </c>
      <c r="H505">
        <f>IF(AND(Table13[[#This Row],[Direction]]="L",Table13[[#This Row],[Steps]]&gt;G504,G504&lt;&gt;0),1,0)</f>
        <v>0</v>
      </c>
      <c r="I505">
        <f>IF(AND(Table13[[#This Row],[Direction]]="R",(G504+Table13[[#This Row],[Steps]])&gt;100),1,0)</f>
        <v>0</v>
      </c>
      <c r="J505">
        <f>IF(Table13[[#This Row],[POS]]=0,1,0)</f>
        <v>1</v>
      </c>
      <c r="K505">
        <f>SUM(Table13[[#This Row],[prefix]],Table13[[#This Row],[Past zero L]],Table13[[#This Row],[Past Zero R]],Table13[[#This Row],[Is Zero]])</f>
        <v>1</v>
      </c>
    </row>
    <row r="506" spans="1:11" ht="16" x14ac:dyDescent="0.2">
      <c r="A506" s="1" t="s">
        <v>44</v>
      </c>
      <c r="B506" t="str">
        <f>LEFT(Table13[[#This Row],[Input]],1)</f>
        <v>R</v>
      </c>
      <c r="C506">
        <f>_xlfn.LET(_xlpm.steps,SUBSTITUTE(Table13[[#This Row],[Input]],Table13[[#This Row],[Direction]],""),VALUE(IF(LEN(_xlpm.steps)&gt;2,RIGHT(_xlpm.steps,2),_xlpm.steps)))</f>
        <v>96</v>
      </c>
      <c r="D506">
        <f>_xlfn.LET(_xlpm.steps,SUBSTITUTE(Table13[[#This Row],[Input]],Table13[[#This Row],[Direction]],""),VALUE(IF(LEN(_xlpm.steps)&gt;2,LEFT(_xlpm.steps,LEN(_xlpm.steps)-2),0)))</f>
        <v>0</v>
      </c>
      <c r="E506">
        <f>_xlfn.LET(_xlpm.dir,Table13[[#This Row],[Direction]],
IF(_xlpm.dir="L",
    IF(G505-Table13[[#This Row],[Steps]]&lt;0,100+(G505-Table13[[#This Row],[Steps]]),G505-Table13[[#This Row],[Steps]]),
))</f>
        <v>0</v>
      </c>
      <c r="F506">
        <f>_xlfn.LET(_xlpm.dir,Table13[[#This Row],[Direction]],
IF(_xlpm.dir="R",
    IF(G505+Table13[[#This Row],[Steps]]&gt;99,(G505+Table13[[#This Row],[Steps]])-100,G505+Table13[[#This Row],[Steps]]),
))</f>
        <v>96</v>
      </c>
      <c r="G506">
        <f>IF(Table13[[#This Row],[New Pos L]]&lt;&gt;0,Table13[[#This Row],[New Pos L]],Table13[[#This Row],[New Pos R]])</f>
        <v>96</v>
      </c>
      <c r="H506">
        <f>IF(AND(Table13[[#This Row],[Direction]]="L",Table13[[#This Row],[Steps]]&gt;G505,G505&lt;&gt;0),1,0)</f>
        <v>0</v>
      </c>
      <c r="I506">
        <f>IF(AND(Table13[[#This Row],[Direction]]="R",(G505+Table13[[#This Row],[Steps]])&gt;100),1,0)</f>
        <v>0</v>
      </c>
      <c r="J506">
        <f>IF(Table13[[#This Row],[POS]]=0,1,0)</f>
        <v>0</v>
      </c>
      <c r="K506">
        <f>SUM(Table13[[#This Row],[prefix]],Table13[[#This Row],[Past zero L]],Table13[[#This Row],[Past Zero R]],Table13[[#This Row],[Is Zero]])</f>
        <v>0</v>
      </c>
    </row>
    <row r="507" spans="1:11" ht="16" x14ac:dyDescent="0.2">
      <c r="A507" s="1" t="s">
        <v>3</v>
      </c>
      <c r="B507" t="str">
        <f>LEFT(Table13[[#This Row],[Input]],1)</f>
        <v>R</v>
      </c>
      <c r="C507">
        <f>_xlfn.LET(_xlpm.steps,SUBSTITUTE(Table13[[#This Row],[Input]],Table13[[#This Row],[Direction]],""),VALUE(IF(LEN(_xlpm.steps)&gt;2,RIGHT(_xlpm.steps,2),_xlpm.steps)))</f>
        <v>44</v>
      </c>
      <c r="D507">
        <f>_xlfn.LET(_xlpm.steps,SUBSTITUTE(Table13[[#This Row],[Input]],Table13[[#This Row],[Direction]],""),VALUE(IF(LEN(_xlpm.steps)&gt;2,LEFT(_xlpm.steps,LEN(_xlpm.steps)-2),0)))</f>
        <v>0</v>
      </c>
      <c r="E507">
        <f>_xlfn.LET(_xlpm.dir,Table13[[#This Row],[Direction]],
IF(_xlpm.dir="L",
    IF(G506-Table13[[#This Row],[Steps]]&lt;0,100+(G506-Table13[[#This Row],[Steps]]),G506-Table13[[#This Row],[Steps]]),
))</f>
        <v>0</v>
      </c>
      <c r="F507">
        <f>_xlfn.LET(_xlpm.dir,Table13[[#This Row],[Direction]],
IF(_xlpm.dir="R",
    IF(G506+Table13[[#This Row],[Steps]]&gt;99,(G506+Table13[[#This Row],[Steps]])-100,G506+Table13[[#This Row],[Steps]]),
))</f>
        <v>40</v>
      </c>
      <c r="G507">
        <f>IF(Table13[[#This Row],[New Pos L]]&lt;&gt;0,Table13[[#This Row],[New Pos L]],Table13[[#This Row],[New Pos R]])</f>
        <v>40</v>
      </c>
      <c r="H507">
        <f>IF(AND(Table13[[#This Row],[Direction]]="L",Table13[[#This Row],[Steps]]&gt;G506,G506&lt;&gt;0),1,0)</f>
        <v>0</v>
      </c>
      <c r="I507">
        <f>IF(AND(Table13[[#This Row],[Direction]]="R",(G506+Table13[[#This Row],[Steps]])&gt;100),1,0)</f>
        <v>1</v>
      </c>
      <c r="J507">
        <f>IF(Table13[[#This Row],[POS]]=0,1,0)</f>
        <v>0</v>
      </c>
      <c r="K507">
        <f>SUM(Table13[[#This Row],[prefix]],Table13[[#This Row],[Past zero L]],Table13[[#This Row],[Past Zero R]],Table13[[#This Row],[Is Zero]])</f>
        <v>1</v>
      </c>
    </row>
    <row r="508" spans="1:11" ht="16" x14ac:dyDescent="0.2">
      <c r="A508" s="1" t="s">
        <v>127</v>
      </c>
      <c r="B508" t="str">
        <f>LEFT(Table13[[#This Row],[Input]],1)</f>
        <v>L</v>
      </c>
      <c r="C508">
        <f>_xlfn.LET(_xlpm.steps,SUBSTITUTE(Table13[[#This Row],[Input]],Table13[[#This Row],[Direction]],""),VALUE(IF(LEN(_xlpm.steps)&gt;2,RIGHT(_xlpm.steps,2),_xlpm.steps)))</f>
        <v>62</v>
      </c>
      <c r="D508">
        <f>_xlfn.LET(_xlpm.steps,SUBSTITUTE(Table13[[#This Row],[Input]],Table13[[#This Row],[Direction]],""),VALUE(IF(LEN(_xlpm.steps)&gt;2,LEFT(_xlpm.steps,LEN(_xlpm.steps)-2),0)))</f>
        <v>0</v>
      </c>
      <c r="E508">
        <f>_xlfn.LET(_xlpm.dir,Table13[[#This Row],[Direction]],
IF(_xlpm.dir="L",
    IF(G507-Table13[[#This Row],[Steps]]&lt;0,100+(G507-Table13[[#This Row],[Steps]]),G507-Table13[[#This Row],[Steps]]),
))</f>
        <v>78</v>
      </c>
      <c r="F508">
        <f>_xlfn.LET(_xlpm.dir,Table13[[#This Row],[Direction]],
IF(_xlpm.dir="R",
    IF(G507+Table13[[#This Row],[Steps]]&gt;99,(G507+Table13[[#This Row],[Steps]])-100,G507+Table13[[#This Row],[Steps]]),
))</f>
        <v>0</v>
      </c>
      <c r="G508">
        <f>IF(Table13[[#This Row],[New Pos L]]&lt;&gt;0,Table13[[#This Row],[New Pos L]],Table13[[#This Row],[New Pos R]])</f>
        <v>78</v>
      </c>
      <c r="H508">
        <f>IF(AND(Table13[[#This Row],[Direction]]="L",Table13[[#This Row],[Steps]]&gt;G507,G507&lt;&gt;0),1,0)</f>
        <v>1</v>
      </c>
      <c r="I508">
        <f>IF(AND(Table13[[#This Row],[Direction]]="R",(G507+Table13[[#This Row],[Steps]])&gt;100),1,0)</f>
        <v>0</v>
      </c>
      <c r="J508">
        <f>IF(Table13[[#This Row],[POS]]=0,1,0)</f>
        <v>0</v>
      </c>
      <c r="K508">
        <f>SUM(Table13[[#This Row],[prefix]],Table13[[#This Row],[Past zero L]],Table13[[#This Row],[Past Zero R]],Table13[[#This Row],[Is Zero]])</f>
        <v>1</v>
      </c>
    </row>
    <row r="509" spans="1:11" ht="16" x14ac:dyDescent="0.2">
      <c r="A509" s="1" t="s">
        <v>250</v>
      </c>
      <c r="B509" t="str">
        <f>LEFT(Table13[[#This Row],[Input]],1)</f>
        <v>R</v>
      </c>
      <c r="C509">
        <f>_xlfn.LET(_xlpm.steps,SUBSTITUTE(Table13[[#This Row],[Input]],Table13[[#This Row],[Direction]],""),VALUE(IF(LEN(_xlpm.steps)&gt;2,RIGHT(_xlpm.steps,2),_xlpm.steps)))</f>
        <v>22</v>
      </c>
      <c r="D509">
        <f>_xlfn.LET(_xlpm.steps,SUBSTITUTE(Table13[[#This Row],[Input]],Table13[[#This Row],[Direction]],""),VALUE(IF(LEN(_xlpm.steps)&gt;2,LEFT(_xlpm.steps,LEN(_xlpm.steps)-2),0)))</f>
        <v>2</v>
      </c>
      <c r="E509">
        <f>_xlfn.LET(_xlpm.dir,Table13[[#This Row],[Direction]],
IF(_xlpm.dir="L",
    IF(G508-Table13[[#This Row],[Steps]]&lt;0,100+(G508-Table13[[#This Row],[Steps]]),G508-Table13[[#This Row],[Steps]]),
))</f>
        <v>0</v>
      </c>
      <c r="F509">
        <f>_xlfn.LET(_xlpm.dir,Table13[[#This Row],[Direction]],
IF(_xlpm.dir="R",
    IF(G508+Table13[[#This Row],[Steps]]&gt;99,(G508+Table13[[#This Row],[Steps]])-100,G508+Table13[[#This Row],[Steps]]),
))</f>
        <v>0</v>
      </c>
      <c r="G509">
        <f>IF(Table13[[#This Row],[New Pos L]]&lt;&gt;0,Table13[[#This Row],[New Pos L]],Table13[[#This Row],[New Pos R]])</f>
        <v>0</v>
      </c>
      <c r="H509">
        <f>IF(AND(Table13[[#This Row],[Direction]]="L",Table13[[#This Row],[Steps]]&gt;G508,G508&lt;&gt;0),1,0)</f>
        <v>0</v>
      </c>
      <c r="I509">
        <f>IF(AND(Table13[[#This Row],[Direction]]="R",(G508+Table13[[#This Row],[Steps]])&gt;100),1,0)</f>
        <v>0</v>
      </c>
      <c r="J509">
        <f>IF(Table13[[#This Row],[POS]]=0,1,0)</f>
        <v>1</v>
      </c>
      <c r="K509">
        <f>SUM(Table13[[#This Row],[prefix]],Table13[[#This Row],[Past zero L]],Table13[[#This Row],[Past Zero R]],Table13[[#This Row],[Is Zero]])</f>
        <v>3</v>
      </c>
    </row>
    <row r="510" spans="1:11" ht="16" x14ac:dyDescent="0.2">
      <c r="A510" s="1" t="s">
        <v>102</v>
      </c>
      <c r="B510" t="str">
        <f>LEFT(Table13[[#This Row],[Input]],1)</f>
        <v>R</v>
      </c>
      <c r="C510">
        <f>_xlfn.LET(_xlpm.steps,SUBSTITUTE(Table13[[#This Row],[Input]],Table13[[#This Row],[Direction]],""),VALUE(IF(LEN(_xlpm.steps)&gt;2,RIGHT(_xlpm.steps,2),_xlpm.steps)))</f>
        <v>39</v>
      </c>
      <c r="D510">
        <f>_xlfn.LET(_xlpm.steps,SUBSTITUTE(Table13[[#This Row],[Input]],Table13[[#This Row],[Direction]],""),VALUE(IF(LEN(_xlpm.steps)&gt;2,LEFT(_xlpm.steps,LEN(_xlpm.steps)-2),0)))</f>
        <v>0</v>
      </c>
      <c r="E510">
        <f>_xlfn.LET(_xlpm.dir,Table13[[#This Row],[Direction]],
IF(_xlpm.dir="L",
    IF(G509-Table13[[#This Row],[Steps]]&lt;0,100+(G509-Table13[[#This Row],[Steps]]),G509-Table13[[#This Row],[Steps]]),
))</f>
        <v>0</v>
      </c>
      <c r="F510">
        <f>_xlfn.LET(_xlpm.dir,Table13[[#This Row],[Direction]],
IF(_xlpm.dir="R",
    IF(G509+Table13[[#This Row],[Steps]]&gt;99,(G509+Table13[[#This Row],[Steps]])-100,G509+Table13[[#This Row],[Steps]]),
))</f>
        <v>39</v>
      </c>
      <c r="G510">
        <f>IF(Table13[[#This Row],[New Pos L]]&lt;&gt;0,Table13[[#This Row],[New Pos L]],Table13[[#This Row],[New Pos R]])</f>
        <v>39</v>
      </c>
      <c r="H510">
        <f>IF(AND(Table13[[#This Row],[Direction]]="L",Table13[[#This Row],[Steps]]&gt;G509,G509&lt;&gt;0),1,0)</f>
        <v>0</v>
      </c>
      <c r="I510">
        <f>IF(AND(Table13[[#This Row],[Direction]]="R",(G509+Table13[[#This Row],[Steps]])&gt;100),1,0)</f>
        <v>0</v>
      </c>
      <c r="J510">
        <f>IF(Table13[[#This Row],[POS]]=0,1,0)</f>
        <v>0</v>
      </c>
      <c r="K510">
        <f>SUM(Table13[[#This Row],[prefix]],Table13[[#This Row],[Past zero L]],Table13[[#This Row],[Past Zero R]],Table13[[#This Row],[Is Zero]])</f>
        <v>0</v>
      </c>
    </row>
    <row r="511" spans="1:11" ht="16" x14ac:dyDescent="0.2">
      <c r="A511" s="1" t="s">
        <v>226</v>
      </c>
      <c r="B511" t="str">
        <f>LEFT(Table13[[#This Row],[Input]],1)</f>
        <v>L</v>
      </c>
      <c r="C511">
        <f>_xlfn.LET(_xlpm.steps,SUBSTITUTE(Table13[[#This Row],[Input]],Table13[[#This Row],[Direction]],""),VALUE(IF(LEN(_xlpm.steps)&gt;2,RIGHT(_xlpm.steps,2),_xlpm.steps)))</f>
        <v>31</v>
      </c>
      <c r="D511">
        <f>_xlfn.LET(_xlpm.steps,SUBSTITUTE(Table13[[#This Row],[Input]],Table13[[#This Row],[Direction]],""),VALUE(IF(LEN(_xlpm.steps)&gt;2,LEFT(_xlpm.steps,LEN(_xlpm.steps)-2),0)))</f>
        <v>0</v>
      </c>
      <c r="E511">
        <f>_xlfn.LET(_xlpm.dir,Table13[[#This Row],[Direction]],
IF(_xlpm.dir="L",
    IF(G510-Table13[[#This Row],[Steps]]&lt;0,100+(G510-Table13[[#This Row],[Steps]]),G510-Table13[[#This Row],[Steps]]),
))</f>
        <v>8</v>
      </c>
      <c r="F511">
        <f>_xlfn.LET(_xlpm.dir,Table13[[#This Row],[Direction]],
IF(_xlpm.dir="R",
    IF(G510+Table13[[#This Row],[Steps]]&gt;99,(G510+Table13[[#This Row],[Steps]])-100,G510+Table13[[#This Row],[Steps]]),
))</f>
        <v>0</v>
      </c>
      <c r="G511">
        <f>IF(Table13[[#This Row],[New Pos L]]&lt;&gt;0,Table13[[#This Row],[New Pos L]],Table13[[#This Row],[New Pos R]])</f>
        <v>8</v>
      </c>
      <c r="H511">
        <f>IF(AND(Table13[[#This Row],[Direction]]="L",Table13[[#This Row],[Steps]]&gt;G510,G510&lt;&gt;0),1,0)</f>
        <v>0</v>
      </c>
      <c r="I511">
        <f>IF(AND(Table13[[#This Row],[Direction]]="R",(G510+Table13[[#This Row],[Steps]])&gt;100),1,0)</f>
        <v>0</v>
      </c>
      <c r="J511">
        <f>IF(Table13[[#This Row],[POS]]=0,1,0)</f>
        <v>0</v>
      </c>
      <c r="K511">
        <f>SUM(Table13[[#This Row],[prefix]],Table13[[#This Row],[Past zero L]],Table13[[#This Row],[Past Zero R]],Table13[[#This Row],[Is Zero]])</f>
        <v>0</v>
      </c>
    </row>
    <row r="512" spans="1:11" ht="16" x14ac:dyDescent="0.2">
      <c r="A512" s="1" t="s">
        <v>251</v>
      </c>
      <c r="B512" t="str">
        <f>LEFT(Table13[[#This Row],[Input]],1)</f>
        <v>L</v>
      </c>
      <c r="C512">
        <f>_xlfn.LET(_xlpm.steps,SUBSTITUTE(Table13[[#This Row],[Input]],Table13[[#This Row],[Direction]],""),VALUE(IF(LEN(_xlpm.steps)&gt;2,RIGHT(_xlpm.steps,2),_xlpm.steps)))</f>
        <v>8</v>
      </c>
      <c r="D512">
        <f>_xlfn.LET(_xlpm.steps,SUBSTITUTE(Table13[[#This Row],[Input]],Table13[[#This Row],[Direction]],""),VALUE(IF(LEN(_xlpm.steps)&gt;2,LEFT(_xlpm.steps,LEN(_xlpm.steps)-2),0)))</f>
        <v>9</v>
      </c>
      <c r="E512">
        <f>_xlfn.LET(_xlpm.dir,Table13[[#This Row],[Direction]],
IF(_xlpm.dir="L",
    IF(G511-Table13[[#This Row],[Steps]]&lt;0,100+(G511-Table13[[#This Row],[Steps]]),G511-Table13[[#This Row],[Steps]]),
))</f>
        <v>0</v>
      </c>
      <c r="F512">
        <f>_xlfn.LET(_xlpm.dir,Table13[[#This Row],[Direction]],
IF(_xlpm.dir="R",
    IF(G511+Table13[[#This Row],[Steps]]&gt;99,(G511+Table13[[#This Row],[Steps]])-100,G511+Table13[[#This Row],[Steps]]),
))</f>
        <v>0</v>
      </c>
      <c r="G512">
        <f>IF(Table13[[#This Row],[New Pos L]]&lt;&gt;0,Table13[[#This Row],[New Pos L]],Table13[[#This Row],[New Pos R]])</f>
        <v>0</v>
      </c>
      <c r="H512">
        <f>IF(AND(Table13[[#This Row],[Direction]]="L",Table13[[#This Row],[Steps]]&gt;G511,G511&lt;&gt;0),1,0)</f>
        <v>0</v>
      </c>
      <c r="I512">
        <f>IF(AND(Table13[[#This Row],[Direction]]="R",(G511+Table13[[#This Row],[Steps]])&gt;100),1,0)</f>
        <v>0</v>
      </c>
      <c r="J512">
        <f>IF(Table13[[#This Row],[POS]]=0,1,0)</f>
        <v>1</v>
      </c>
      <c r="K512">
        <f>SUM(Table13[[#This Row],[prefix]],Table13[[#This Row],[Past zero L]],Table13[[#This Row],[Past Zero R]],Table13[[#This Row],[Is Zero]])</f>
        <v>10</v>
      </c>
    </row>
    <row r="513" spans="1:11" ht="16" x14ac:dyDescent="0.2">
      <c r="A513" s="1" t="s">
        <v>38</v>
      </c>
      <c r="B513" t="str">
        <f>LEFT(Table13[[#This Row],[Input]],1)</f>
        <v>R</v>
      </c>
      <c r="C513">
        <f>_xlfn.LET(_xlpm.steps,SUBSTITUTE(Table13[[#This Row],[Input]],Table13[[#This Row],[Direction]],""),VALUE(IF(LEN(_xlpm.steps)&gt;2,RIGHT(_xlpm.steps,2),_xlpm.steps)))</f>
        <v>15</v>
      </c>
      <c r="D513">
        <f>_xlfn.LET(_xlpm.steps,SUBSTITUTE(Table13[[#This Row],[Input]],Table13[[#This Row],[Direction]],""),VALUE(IF(LEN(_xlpm.steps)&gt;2,LEFT(_xlpm.steps,LEN(_xlpm.steps)-2),0)))</f>
        <v>0</v>
      </c>
      <c r="E513">
        <f>_xlfn.LET(_xlpm.dir,Table13[[#This Row],[Direction]],
IF(_xlpm.dir="L",
    IF(G512-Table13[[#This Row],[Steps]]&lt;0,100+(G512-Table13[[#This Row],[Steps]]),G512-Table13[[#This Row],[Steps]]),
))</f>
        <v>0</v>
      </c>
      <c r="F513">
        <f>_xlfn.LET(_xlpm.dir,Table13[[#This Row],[Direction]],
IF(_xlpm.dir="R",
    IF(G512+Table13[[#This Row],[Steps]]&gt;99,(G512+Table13[[#This Row],[Steps]])-100,G512+Table13[[#This Row],[Steps]]),
))</f>
        <v>15</v>
      </c>
      <c r="G513">
        <f>IF(Table13[[#This Row],[New Pos L]]&lt;&gt;0,Table13[[#This Row],[New Pos L]],Table13[[#This Row],[New Pos R]])</f>
        <v>15</v>
      </c>
      <c r="H513">
        <f>IF(AND(Table13[[#This Row],[Direction]]="L",Table13[[#This Row],[Steps]]&gt;G512,G512&lt;&gt;0),1,0)</f>
        <v>0</v>
      </c>
      <c r="I513">
        <f>IF(AND(Table13[[#This Row],[Direction]]="R",(G512+Table13[[#This Row],[Steps]])&gt;100),1,0)</f>
        <v>0</v>
      </c>
      <c r="J513">
        <f>IF(Table13[[#This Row],[POS]]=0,1,0)</f>
        <v>0</v>
      </c>
      <c r="K513">
        <f>SUM(Table13[[#This Row],[prefix]],Table13[[#This Row],[Past zero L]],Table13[[#This Row],[Past Zero R]],Table13[[#This Row],[Is Zero]])</f>
        <v>0</v>
      </c>
    </row>
    <row r="514" spans="1:11" ht="16" x14ac:dyDescent="0.2">
      <c r="A514" s="1" t="s">
        <v>164</v>
      </c>
      <c r="B514" t="str">
        <f>LEFT(Table13[[#This Row],[Input]],1)</f>
        <v>R</v>
      </c>
      <c r="C514">
        <f>_xlfn.LET(_xlpm.steps,SUBSTITUTE(Table13[[#This Row],[Input]],Table13[[#This Row],[Direction]],""),VALUE(IF(LEN(_xlpm.steps)&gt;2,RIGHT(_xlpm.steps,2),_xlpm.steps)))</f>
        <v>85</v>
      </c>
      <c r="D514">
        <f>_xlfn.LET(_xlpm.steps,SUBSTITUTE(Table13[[#This Row],[Input]],Table13[[#This Row],[Direction]],""),VALUE(IF(LEN(_xlpm.steps)&gt;2,LEFT(_xlpm.steps,LEN(_xlpm.steps)-2),0)))</f>
        <v>0</v>
      </c>
      <c r="E514">
        <f>_xlfn.LET(_xlpm.dir,Table13[[#This Row],[Direction]],
IF(_xlpm.dir="L",
    IF(G513-Table13[[#This Row],[Steps]]&lt;0,100+(G513-Table13[[#This Row],[Steps]]),G513-Table13[[#This Row],[Steps]]),
))</f>
        <v>0</v>
      </c>
      <c r="F514">
        <f>_xlfn.LET(_xlpm.dir,Table13[[#This Row],[Direction]],
IF(_xlpm.dir="R",
    IF(G513+Table13[[#This Row],[Steps]]&gt;99,(G513+Table13[[#This Row],[Steps]])-100,G513+Table13[[#This Row],[Steps]]),
))</f>
        <v>0</v>
      </c>
      <c r="G514">
        <f>IF(Table13[[#This Row],[New Pos L]]&lt;&gt;0,Table13[[#This Row],[New Pos L]],Table13[[#This Row],[New Pos R]])</f>
        <v>0</v>
      </c>
      <c r="H514">
        <f>IF(AND(Table13[[#This Row],[Direction]]="L",Table13[[#This Row],[Steps]]&gt;G513,G513&lt;&gt;0),1,0)</f>
        <v>0</v>
      </c>
      <c r="I514">
        <f>IF(AND(Table13[[#This Row],[Direction]]="R",(G513+Table13[[#This Row],[Steps]])&gt;100),1,0)</f>
        <v>0</v>
      </c>
      <c r="J514">
        <f>IF(Table13[[#This Row],[POS]]=0,1,0)</f>
        <v>1</v>
      </c>
      <c r="K514">
        <f>SUM(Table13[[#This Row],[prefix]],Table13[[#This Row],[Past zero L]],Table13[[#This Row],[Past Zero R]],Table13[[#This Row],[Is Zero]])</f>
        <v>1</v>
      </c>
    </row>
    <row r="515" spans="1:11" ht="16" x14ac:dyDescent="0.2">
      <c r="A515" s="1" t="s">
        <v>252</v>
      </c>
      <c r="B515" t="str">
        <f>LEFT(Table13[[#This Row],[Input]],1)</f>
        <v>L</v>
      </c>
      <c r="C515">
        <f>_xlfn.LET(_xlpm.steps,SUBSTITUTE(Table13[[#This Row],[Input]],Table13[[#This Row],[Direction]],""),VALUE(IF(LEN(_xlpm.steps)&gt;2,RIGHT(_xlpm.steps,2),_xlpm.steps)))</f>
        <v>99</v>
      </c>
      <c r="D515">
        <f>_xlfn.LET(_xlpm.steps,SUBSTITUTE(Table13[[#This Row],[Input]],Table13[[#This Row],[Direction]],""),VALUE(IF(LEN(_xlpm.steps)&gt;2,LEFT(_xlpm.steps,LEN(_xlpm.steps)-2),0)))</f>
        <v>0</v>
      </c>
      <c r="E515">
        <f>_xlfn.LET(_xlpm.dir,Table13[[#This Row],[Direction]],
IF(_xlpm.dir="L",
    IF(G514-Table13[[#This Row],[Steps]]&lt;0,100+(G514-Table13[[#This Row],[Steps]]),G514-Table13[[#This Row],[Steps]]),
))</f>
        <v>1</v>
      </c>
      <c r="F515">
        <f>_xlfn.LET(_xlpm.dir,Table13[[#This Row],[Direction]],
IF(_xlpm.dir="R",
    IF(G514+Table13[[#This Row],[Steps]]&gt;99,(G514+Table13[[#This Row],[Steps]])-100,G514+Table13[[#This Row],[Steps]]),
))</f>
        <v>0</v>
      </c>
      <c r="G515">
        <f>IF(Table13[[#This Row],[New Pos L]]&lt;&gt;0,Table13[[#This Row],[New Pos L]],Table13[[#This Row],[New Pos R]])</f>
        <v>1</v>
      </c>
      <c r="H515">
        <f>IF(AND(Table13[[#This Row],[Direction]]="L",Table13[[#This Row],[Steps]]&gt;G514,G514&lt;&gt;0),1,0)</f>
        <v>0</v>
      </c>
      <c r="I515">
        <f>IF(AND(Table13[[#This Row],[Direction]]="R",(G514+Table13[[#This Row],[Steps]])&gt;100),1,0)</f>
        <v>0</v>
      </c>
      <c r="J515">
        <f>IF(Table13[[#This Row],[POS]]=0,1,0)</f>
        <v>0</v>
      </c>
      <c r="K515">
        <f>SUM(Table13[[#This Row],[prefix]],Table13[[#This Row],[Past zero L]],Table13[[#This Row],[Past Zero R]],Table13[[#This Row],[Is Zero]])</f>
        <v>0</v>
      </c>
    </row>
    <row r="516" spans="1:11" ht="16" x14ac:dyDescent="0.2">
      <c r="A516" s="1" t="s">
        <v>253</v>
      </c>
      <c r="B516" t="str">
        <f>LEFT(Table13[[#This Row],[Input]],1)</f>
        <v>R</v>
      </c>
      <c r="C516">
        <f>_xlfn.LET(_xlpm.steps,SUBSTITUTE(Table13[[#This Row],[Input]],Table13[[#This Row],[Direction]],""),VALUE(IF(LEN(_xlpm.steps)&gt;2,RIGHT(_xlpm.steps,2),_xlpm.steps)))</f>
        <v>94</v>
      </c>
      <c r="D516">
        <f>_xlfn.LET(_xlpm.steps,SUBSTITUTE(Table13[[#This Row],[Input]],Table13[[#This Row],[Direction]],""),VALUE(IF(LEN(_xlpm.steps)&gt;2,LEFT(_xlpm.steps,LEN(_xlpm.steps)-2),0)))</f>
        <v>0</v>
      </c>
      <c r="E516">
        <f>_xlfn.LET(_xlpm.dir,Table13[[#This Row],[Direction]],
IF(_xlpm.dir="L",
    IF(G515-Table13[[#This Row],[Steps]]&lt;0,100+(G515-Table13[[#This Row],[Steps]]),G515-Table13[[#This Row],[Steps]]),
))</f>
        <v>0</v>
      </c>
      <c r="F516">
        <f>_xlfn.LET(_xlpm.dir,Table13[[#This Row],[Direction]],
IF(_xlpm.dir="R",
    IF(G515+Table13[[#This Row],[Steps]]&gt;99,(G515+Table13[[#This Row],[Steps]])-100,G515+Table13[[#This Row],[Steps]]),
))</f>
        <v>95</v>
      </c>
      <c r="G516">
        <f>IF(Table13[[#This Row],[New Pos L]]&lt;&gt;0,Table13[[#This Row],[New Pos L]],Table13[[#This Row],[New Pos R]])</f>
        <v>95</v>
      </c>
      <c r="H516">
        <f>IF(AND(Table13[[#This Row],[Direction]]="L",Table13[[#This Row],[Steps]]&gt;G515,G515&lt;&gt;0),1,0)</f>
        <v>0</v>
      </c>
      <c r="I516">
        <f>IF(AND(Table13[[#This Row],[Direction]]="R",(G515+Table13[[#This Row],[Steps]])&gt;100),1,0)</f>
        <v>0</v>
      </c>
      <c r="J516">
        <f>IF(Table13[[#This Row],[POS]]=0,1,0)</f>
        <v>0</v>
      </c>
      <c r="K516">
        <f>SUM(Table13[[#This Row],[prefix]],Table13[[#This Row],[Past zero L]],Table13[[#This Row],[Past Zero R]],Table13[[#This Row],[Is Zero]])</f>
        <v>0</v>
      </c>
    </row>
    <row r="517" spans="1:11" ht="16" x14ac:dyDescent="0.2">
      <c r="A517" s="1" t="s">
        <v>134</v>
      </c>
      <c r="B517" t="str">
        <f>LEFT(Table13[[#This Row],[Input]],1)</f>
        <v>L</v>
      </c>
      <c r="C517">
        <f>_xlfn.LET(_xlpm.steps,SUBSTITUTE(Table13[[#This Row],[Input]],Table13[[#This Row],[Direction]],""),VALUE(IF(LEN(_xlpm.steps)&gt;2,RIGHT(_xlpm.steps,2),_xlpm.steps)))</f>
        <v>95</v>
      </c>
      <c r="D517">
        <f>_xlfn.LET(_xlpm.steps,SUBSTITUTE(Table13[[#This Row],[Input]],Table13[[#This Row],[Direction]],""),VALUE(IF(LEN(_xlpm.steps)&gt;2,LEFT(_xlpm.steps,LEN(_xlpm.steps)-2),0)))</f>
        <v>0</v>
      </c>
      <c r="E517">
        <f>_xlfn.LET(_xlpm.dir,Table13[[#This Row],[Direction]],
IF(_xlpm.dir="L",
    IF(G516-Table13[[#This Row],[Steps]]&lt;0,100+(G516-Table13[[#This Row],[Steps]]),G516-Table13[[#This Row],[Steps]]),
))</f>
        <v>0</v>
      </c>
      <c r="F517">
        <f>_xlfn.LET(_xlpm.dir,Table13[[#This Row],[Direction]],
IF(_xlpm.dir="R",
    IF(G516+Table13[[#This Row],[Steps]]&gt;99,(G516+Table13[[#This Row],[Steps]])-100,G516+Table13[[#This Row],[Steps]]),
))</f>
        <v>0</v>
      </c>
      <c r="G517">
        <f>IF(Table13[[#This Row],[New Pos L]]&lt;&gt;0,Table13[[#This Row],[New Pos L]],Table13[[#This Row],[New Pos R]])</f>
        <v>0</v>
      </c>
      <c r="H517">
        <f>IF(AND(Table13[[#This Row],[Direction]]="L",Table13[[#This Row],[Steps]]&gt;G516,G516&lt;&gt;0),1,0)</f>
        <v>0</v>
      </c>
      <c r="I517">
        <f>IF(AND(Table13[[#This Row],[Direction]]="R",(G516+Table13[[#This Row],[Steps]])&gt;100),1,0)</f>
        <v>0</v>
      </c>
      <c r="J517">
        <f>IF(Table13[[#This Row],[POS]]=0,1,0)</f>
        <v>1</v>
      </c>
      <c r="K517">
        <f>SUM(Table13[[#This Row],[prefix]],Table13[[#This Row],[Past zero L]],Table13[[#This Row],[Past Zero R]],Table13[[#This Row],[Is Zero]])</f>
        <v>1</v>
      </c>
    </row>
    <row r="518" spans="1:11" ht="16" x14ac:dyDescent="0.2">
      <c r="A518" s="1" t="s">
        <v>254</v>
      </c>
      <c r="B518" t="str">
        <f>LEFT(Table13[[#This Row],[Input]],1)</f>
        <v>R</v>
      </c>
      <c r="C518">
        <f>_xlfn.LET(_xlpm.steps,SUBSTITUTE(Table13[[#This Row],[Input]],Table13[[#This Row],[Direction]],""),VALUE(IF(LEN(_xlpm.steps)&gt;2,RIGHT(_xlpm.steps,2),_xlpm.steps)))</f>
        <v>84</v>
      </c>
      <c r="D518">
        <f>_xlfn.LET(_xlpm.steps,SUBSTITUTE(Table13[[#This Row],[Input]],Table13[[#This Row],[Direction]],""),VALUE(IF(LEN(_xlpm.steps)&gt;2,LEFT(_xlpm.steps,LEN(_xlpm.steps)-2),0)))</f>
        <v>0</v>
      </c>
      <c r="E518">
        <f>_xlfn.LET(_xlpm.dir,Table13[[#This Row],[Direction]],
IF(_xlpm.dir="L",
    IF(G517-Table13[[#This Row],[Steps]]&lt;0,100+(G517-Table13[[#This Row],[Steps]]),G517-Table13[[#This Row],[Steps]]),
))</f>
        <v>0</v>
      </c>
      <c r="F518">
        <f>_xlfn.LET(_xlpm.dir,Table13[[#This Row],[Direction]],
IF(_xlpm.dir="R",
    IF(G517+Table13[[#This Row],[Steps]]&gt;99,(G517+Table13[[#This Row],[Steps]])-100,G517+Table13[[#This Row],[Steps]]),
))</f>
        <v>84</v>
      </c>
      <c r="G518">
        <f>IF(Table13[[#This Row],[New Pos L]]&lt;&gt;0,Table13[[#This Row],[New Pos L]],Table13[[#This Row],[New Pos R]])</f>
        <v>84</v>
      </c>
      <c r="H518">
        <f>IF(AND(Table13[[#This Row],[Direction]]="L",Table13[[#This Row],[Steps]]&gt;G517,G517&lt;&gt;0),1,0)</f>
        <v>0</v>
      </c>
      <c r="I518">
        <f>IF(AND(Table13[[#This Row],[Direction]]="R",(G517+Table13[[#This Row],[Steps]])&gt;100),1,0)</f>
        <v>0</v>
      </c>
      <c r="J518">
        <f>IF(Table13[[#This Row],[POS]]=0,1,0)</f>
        <v>0</v>
      </c>
      <c r="K518">
        <f>SUM(Table13[[#This Row],[prefix]],Table13[[#This Row],[Past zero L]],Table13[[#This Row],[Past Zero R]],Table13[[#This Row],[Is Zero]])</f>
        <v>0</v>
      </c>
    </row>
    <row r="519" spans="1:11" ht="16" x14ac:dyDescent="0.2">
      <c r="A519" s="1" t="s">
        <v>255</v>
      </c>
      <c r="B519" t="str">
        <f>LEFT(Table13[[#This Row],[Input]],1)</f>
        <v>R</v>
      </c>
      <c r="C519">
        <f>_xlfn.LET(_xlpm.steps,SUBSTITUTE(Table13[[#This Row],[Input]],Table13[[#This Row],[Direction]],""),VALUE(IF(LEN(_xlpm.steps)&gt;2,RIGHT(_xlpm.steps,2),_xlpm.steps)))</f>
        <v>16</v>
      </c>
      <c r="D519">
        <f>_xlfn.LET(_xlpm.steps,SUBSTITUTE(Table13[[#This Row],[Input]],Table13[[#This Row],[Direction]],""),VALUE(IF(LEN(_xlpm.steps)&gt;2,LEFT(_xlpm.steps,LEN(_xlpm.steps)-2),0)))</f>
        <v>0</v>
      </c>
      <c r="E519">
        <f>_xlfn.LET(_xlpm.dir,Table13[[#This Row],[Direction]],
IF(_xlpm.dir="L",
    IF(G518-Table13[[#This Row],[Steps]]&lt;0,100+(G518-Table13[[#This Row],[Steps]]),G518-Table13[[#This Row],[Steps]]),
))</f>
        <v>0</v>
      </c>
      <c r="F519">
        <f>_xlfn.LET(_xlpm.dir,Table13[[#This Row],[Direction]],
IF(_xlpm.dir="R",
    IF(G518+Table13[[#This Row],[Steps]]&gt;99,(G518+Table13[[#This Row],[Steps]])-100,G518+Table13[[#This Row],[Steps]]),
))</f>
        <v>0</v>
      </c>
      <c r="G519">
        <f>IF(Table13[[#This Row],[New Pos L]]&lt;&gt;0,Table13[[#This Row],[New Pos L]],Table13[[#This Row],[New Pos R]])</f>
        <v>0</v>
      </c>
      <c r="H519">
        <f>IF(AND(Table13[[#This Row],[Direction]]="L",Table13[[#This Row],[Steps]]&gt;G518,G518&lt;&gt;0),1,0)</f>
        <v>0</v>
      </c>
      <c r="I519">
        <f>IF(AND(Table13[[#This Row],[Direction]]="R",(G518+Table13[[#This Row],[Steps]])&gt;100),1,0)</f>
        <v>0</v>
      </c>
      <c r="J519">
        <f>IF(Table13[[#This Row],[POS]]=0,1,0)</f>
        <v>1</v>
      </c>
      <c r="K519">
        <f>SUM(Table13[[#This Row],[prefix]],Table13[[#This Row],[Past zero L]],Table13[[#This Row],[Past Zero R]],Table13[[#This Row],[Is Zero]])</f>
        <v>1</v>
      </c>
    </row>
    <row r="520" spans="1:11" ht="16" x14ac:dyDescent="0.2">
      <c r="A520" s="1" t="s">
        <v>256</v>
      </c>
      <c r="B520" t="str">
        <f>LEFT(Table13[[#This Row],[Input]],1)</f>
        <v>R</v>
      </c>
      <c r="C520">
        <f>_xlfn.LET(_xlpm.steps,SUBSTITUTE(Table13[[#This Row],[Input]],Table13[[#This Row],[Direction]],""),VALUE(IF(LEN(_xlpm.steps)&gt;2,RIGHT(_xlpm.steps,2),_xlpm.steps)))</f>
        <v>13</v>
      </c>
      <c r="D520">
        <f>_xlfn.LET(_xlpm.steps,SUBSTITUTE(Table13[[#This Row],[Input]],Table13[[#This Row],[Direction]],""),VALUE(IF(LEN(_xlpm.steps)&gt;2,LEFT(_xlpm.steps,LEN(_xlpm.steps)-2),0)))</f>
        <v>0</v>
      </c>
      <c r="E520">
        <f>_xlfn.LET(_xlpm.dir,Table13[[#This Row],[Direction]],
IF(_xlpm.dir="L",
    IF(G519-Table13[[#This Row],[Steps]]&lt;0,100+(G519-Table13[[#This Row],[Steps]]),G519-Table13[[#This Row],[Steps]]),
))</f>
        <v>0</v>
      </c>
      <c r="F520">
        <f>_xlfn.LET(_xlpm.dir,Table13[[#This Row],[Direction]],
IF(_xlpm.dir="R",
    IF(G519+Table13[[#This Row],[Steps]]&gt;99,(G519+Table13[[#This Row],[Steps]])-100,G519+Table13[[#This Row],[Steps]]),
))</f>
        <v>13</v>
      </c>
      <c r="G520">
        <f>IF(Table13[[#This Row],[New Pos L]]&lt;&gt;0,Table13[[#This Row],[New Pos L]],Table13[[#This Row],[New Pos R]])</f>
        <v>13</v>
      </c>
      <c r="H520">
        <f>IF(AND(Table13[[#This Row],[Direction]]="L",Table13[[#This Row],[Steps]]&gt;G519,G519&lt;&gt;0),1,0)</f>
        <v>0</v>
      </c>
      <c r="I520">
        <f>IF(AND(Table13[[#This Row],[Direction]]="R",(G519+Table13[[#This Row],[Steps]])&gt;100),1,0)</f>
        <v>0</v>
      </c>
      <c r="J520">
        <f>IF(Table13[[#This Row],[POS]]=0,1,0)</f>
        <v>0</v>
      </c>
      <c r="K520">
        <f>SUM(Table13[[#This Row],[prefix]],Table13[[#This Row],[Past zero L]],Table13[[#This Row],[Past Zero R]],Table13[[#This Row],[Is Zero]])</f>
        <v>0</v>
      </c>
    </row>
    <row r="521" spans="1:11" ht="16" x14ac:dyDescent="0.2">
      <c r="A521" s="1" t="s">
        <v>257</v>
      </c>
      <c r="B521" t="str">
        <f>LEFT(Table13[[#This Row],[Input]],1)</f>
        <v>R</v>
      </c>
      <c r="C521">
        <f>_xlfn.LET(_xlpm.steps,SUBSTITUTE(Table13[[#This Row],[Input]],Table13[[#This Row],[Direction]],""),VALUE(IF(LEN(_xlpm.steps)&gt;2,RIGHT(_xlpm.steps,2),_xlpm.steps)))</f>
        <v>27</v>
      </c>
      <c r="D521">
        <f>_xlfn.LET(_xlpm.steps,SUBSTITUTE(Table13[[#This Row],[Input]],Table13[[#This Row],[Direction]],""),VALUE(IF(LEN(_xlpm.steps)&gt;2,LEFT(_xlpm.steps,LEN(_xlpm.steps)-2),0)))</f>
        <v>5</v>
      </c>
      <c r="E521">
        <f>_xlfn.LET(_xlpm.dir,Table13[[#This Row],[Direction]],
IF(_xlpm.dir="L",
    IF(G520-Table13[[#This Row],[Steps]]&lt;0,100+(G520-Table13[[#This Row],[Steps]]),G520-Table13[[#This Row],[Steps]]),
))</f>
        <v>0</v>
      </c>
      <c r="F521">
        <f>_xlfn.LET(_xlpm.dir,Table13[[#This Row],[Direction]],
IF(_xlpm.dir="R",
    IF(G520+Table13[[#This Row],[Steps]]&gt;99,(G520+Table13[[#This Row],[Steps]])-100,G520+Table13[[#This Row],[Steps]]),
))</f>
        <v>40</v>
      </c>
      <c r="G521">
        <f>IF(Table13[[#This Row],[New Pos L]]&lt;&gt;0,Table13[[#This Row],[New Pos L]],Table13[[#This Row],[New Pos R]])</f>
        <v>40</v>
      </c>
      <c r="H521">
        <f>IF(AND(Table13[[#This Row],[Direction]]="L",Table13[[#This Row],[Steps]]&gt;G520,G520&lt;&gt;0),1,0)</f>
        <v>0</v>
      </c>
      <c r="I521">
        <f>IF(AND(Table13[[#This Row],[Direction]]="R",(G520+Table13[[#This Row],[Steps]])&gt;100),1,0)</f>
        <v>0</v>
      </c>
      <c r="J521">
        <f>IF(Table13[[#This Row],[POS]]=0,1,0)</f>
        <v>0</v>
      </c>
      <c r="K521">
        <f>SUM(Table13[[#This Row],[prefix]],Table13[[#This Row],[Past zero L]],Table13[[#This Row],[Past Zero R]],Table13[[#This Row],[Is Zero]])</f>
        <v>5</v>
      </c>
    </row>
    <row r="522" spans="1:11" ht="16" x14ac:dyDescent="0.2">
      <c r="A522" s="1" t="s">
        <v>258</v>
      </c>
      <c r="B522" t="str">
        <f>LEFT(Table13[[#This Row],[Input]],1)</f>
        <v>L</v>
      </c>
      <c r="C522">
        <f>_xlfn.LET(_xlpm.steps,SUBSTITUTE(Table13[[#This Row],[Input]],Table13[[#This Row],[Direction]],""),VALUE(IF(LEN(_xlpm.steps)&gt;2,RIGHT(_xlpm.steps,2),_xlpm.steps)))</f>
        <v>68</v>
      </c>
      <c r="D522">
        <f>_xlfn.LET(_xlpm.steps,SUBSTITUTE(Table13[[#This Row],[Input]],Table13[[#This Row],[Direction]],""),VALUE(IF(LEN(_xlpm.steps)&gt;2,LEFT(_xlpm.steps,LEN(_xlpm.steps)-2),0)))</f>
        <v>2</v>
      </c>
      <c r="E522">
        <f>_xlfn.LET(_xlpm.dir,Table13[[#This Row],[Direction]],
IF(_xlpm.dir="L",
    IF(G521-Table13[[#This Row],[Steps]]&lt;0,100+(G521-Table13[[#This Row],[Steps]]),G521-Table13[[#This Row],[Steps]]),
))</f>
        <v>72</v>
      </c>
      <c r="F522">
        <f>_xlfn.LET(_xlpm.dir,Table13[[#This Row],[Direction]],
IF(_xlpm.dir="R",
    IF(G521+Table13[[#This Row],[Steps]]&gt;99,(G521+Table13[[#This Row],[Steps]])-100,G521+Table13[[#This Row],[Steps]]),
))</f>
        <v>0</v>
      </c>
      <c r="G522">
        <f>IF(Table13[[#This Row],[New Pos L]]&lt;&gt;0,Table13[[#This Row],[New Pos L]],Table13[[#This Row],[New Pos R]])</f>
        <v>72</v>
      </c>
      <c r="H522">
        <f>IF(AND(Table13[[#This Row],[Direction]]="L",Table13[[#This Row],[Steps]]&gt;G521,G521&lt;&gt;0),1,0)</f>
        <v>1</v>
      </c>
      <c r="I522">
        <f>IF(AND(Table13[[#This Row],[Direction]]="R",(G521+Table13[[#This Row],[Steps]])&gt;100),1,0)</f>
        <v>0</v>
      </c>
      <c r="J522">
        <f>IF(Table13[[#This Row],[POS]]=0,1,0)</f>
        <v>0</v>
      </c>
      <c r="K522">
        <f>SUM(Table13[[#This Row],[prefix]],Table13[[#This Row],[Past zero L]],Table13[[#This Row],[Past Zero R]],Table13[[#This Row],[Is Zero]])</f>
        <v>3</v>
      </c>
    </row>
    <row r="523" spans="1:11" ht="16" x14ac:dyDescent="0.2">
      <c r="A523" s="1" t="s">
        <v>178</v>
      </c>
      <c r="B523" t="str">
        <f>LEFT(Table13[[#This Row],[Input]],1)</f>
        <v>L</v>
      </c>
      <c r="C523">
        <f>_xlfn.LET(_xlpm.steps,SUBSTITUTE(Table13[[#This Row],[Input]],Table13[[#This Row],[Direction]],""),VALUE(IF(LEN(_xlpm.steps)&gt;2,RIGHT(_xlpm.steps,2),_xlpm.steps)))</f>
        <v>21</v>
      </c>
      <c r="D523">
        <f>_xlfn.LET(_xlpm.steps,SUBSTITUTE(Table13[[#This Row],[Input]],Table13[[#This Row],[Direction]],""),VALUE(IF(LEN(_xlpm.steps)&gt;2,LEFT(_xlpm.steps,LEN(_xlpm.steps)-2),0)))</f>
        <v>9</v>
      </c>
      <c r="E523">
        <f>_xlfn.LET(_xlpm.dir,Table13[[#This Row],[Direction]],
IF(_xlpm.dir="L",
    IF(G522-Table13[[#This Row],[Steps]]&lt;0,100+(G522-Table13[[#This Row],[Steps]]),G522-Table13[[#This Row],[Steps]]),
))</f>
        <v>51</v>
      </c>
      <c r="F523">
        <f>_xlfn.LET(_xlpm.dir,Table13[[#This Row],[Direction]],
IF(_xlpm.dir="R",
    IF(G522+Table13[[#This Row],[Steps]]&gt;99,(G522+Table13[[#This Row],[Steps]])-100,G522+Table13[[#This Row],[Steps]]),
))</f>
        <v>0</v>
      </c>
      <c r="G523">
        <f>IF(Table13[[#This Row],[New Pos L]]&lt;&gt;0,Table13[[#This Row],[New Pos L]],Table13[[#This Row],[New Pos R]])</f>
        <v>51</v>
      </c>
      <c r="H523">
        <f>IF(AND(Table13[[#This Row],[Direction]]="L",Table13[[#This Row],[Steps]]&gt;G522,G522&lt;&gt;0),1,0)</f>
        <v>0</v>
      </c>
      <c r="I523">
        <f>IF(AND(Table13[[#This Row],[Direction]]="R",(G522+Table13[[#This Row],[Steps]])&gt;100),1,0)</f>
        <v>0</v>
      </c>
      <c r="J523">
        <f>IF(Table13[[#This Row],[POS]]=0,1,0)</f>
        <v>0</v>
      </c>
      <c r="K523">
        <f>SUM(Table13[[#This Row],[prefix]],Table13[[#This Row],[Past zero L]],Table13[[#This Row],[Past Zero R]],Table13[[#This Row],[Is Zero]])</f>
        <v>9</v>
      </c>
    </row>
    <row r="524" spans="1:11" ht="16" x14ac:dyDescent="0.2">
      <c r="A524" s="1" t="s">
        <v>132</v>
      </c>
      <c r="B524" t="str">
        <f>LEFT(Table13[[#This Row],[Input]],1)</f>
        <v>L</v>
      </c>
      <c r="C524">
        <f>_xlfn.LET(_xlpm.steps,SUBSTITUTE(Table13[[#This Row],[Input]],Table13[[#This Row],[Direction]],""),VALUE(IF(LEN(_xlpm.steps)&gt;2,RIGHT(_xlpm.steps,2),_xlpm.steps)))</f>
        <v>51</v>
      </c>
      <c r="D524">
        <f>_xlfn.LET(_xlpm.steps,SUBSTITUTE(Table13[[#This Row],[Input]],Table13[[#This Row],[Direction]],""),VALUE(IF(LEN(_xlpm.steps)&gt;2,LEFT(_xlpm.steps,LEN(_xlpm.steps)-2),0)))</f>
        <v>0</v>
      </c>
      <c r="E524">
        <f>_xlfn.LET(_xlpm.dir,Table13[[#This Row],[Direction]],
IF(_xlpm.dir="L",
    IF(G523-Table13[[#This Row],[Steps]]&lt;0,100+(G523-Table13[[#This Row],[Steps]]),G523-Table13[[#This Row],[Steps]]),
))</f>
        <v>0</v>
      </c>
      <c r="F524">
        <f>_xlfn.LET(_xlpm.dir,Table13[[#This Row],[Direction]],
IF(_xlpm.dir="R",
    IF(G523+Table13[[#This Row],[Steps]]&gt;99,(G523+Table13[[#This Row],[Steps]])-100,G523+Table13[[#This Row],[Steps]]),
))</f>
        <v>0</v>
      </c>
      <c r="G524">
        <f>IF(Table13[[#This Row],[New Pos L]]&lt;&gt;0,Table13[[#This Row],[New Pos L]],Table13[[#This Row],[New Pos R]])</f>
        <v>0</v>
      </c>
      <c r="H524">
        <f>IF(AND(Table13[[#This Row],[Direction]]="L",Table13[[#This Row],[Steps]]&gt;G523,G523&lt;&gt;0),1,0)</f>
        <v>0</v>
      </c>
      <c r="I524">
        <f>IF(AND(Table13[[#This Row],[Direction]]="R",(G523+Table13[[#This Row],[Steps]])&gt;100),1,0)</f>
        <v>0</v>
      </c>
      <c r="J524">
        <f>IF(Table13[[#This Row],[POS]]=0,1,0)</f>
        <v>1</v>
      </c>
      <c r="K524">
        <f>SUM(Table13[[#This Row],[prefix]],Table13[[#This Row],[Past zero L]],Table13[[#This Row],[Past Zero R]],Table13[[#This Row],[Is Zero]])</f>
        <v>1</v>
      </c>
    </row>
    <row r="525" spans="1:11" ht="16" x14ac:dyDescent="0.2">
      <c r="A525" s="1" t="s">
        <v>46</v>
      </c>
      <c r="B525" t="str">
        <f>LEFT(Table13[[#This Row],[Input]],1)</f>
        <v>L</v>
      </c>
      <c r="C525">
        <f>_xlfn.LET(_xlpm.steps,SUBSTITUTE(Table13[[#This Row],[Input]],Table13[[#This Row],[Direction]],""),VALUE(IF(LEN(_xlpm.steps)&gt;2,RIGHT(_xlpm.steps,2),_xlpm.steps)))</f>
        <v>97</v>
      </c>
      <c r="D525">
        <f>_xlfn.LET(_xlpm.steps,SUBSTITUTE(Table13[[#This Row],[Input]],Table13[[#This Row],[Direction]],""),VALUE(IF(LEN(_xlpm.steps)&gt;2,LEFT(_xlpm.steps,LEN(_xlpm.steps)-2),0)))</f>
        <v>0</v>
      </c>
      <c r="E525">
        <f>_xlfn.LET(_xlpm.dir,Table13[[#This Row],[Direction]],
IF(_xlpm.dir="L",
    IF(G524-Table13[[#This Row],[Steps]]&lt;0,100+(G524-Table13[[#This Row],[Steps]]),G524-Table13[[#This Row],[Steps]]),
))</f>
        <v>3</v>
      </c>
      <c r="F525">
        <f>_xlfn.LET(_xlpm.dir,Table13[[#This Row],[Direction]],
IF(_xlpm.dir="R",
    IF(G524+Table13[[#This Row],[Steps]]&gt;99,(G524+Table13[[#This Row],[Steps]])-100,G524+Table13[[#This Row],[Steps]]),
))</f>
        <v>0</v>
      </c>
      <c r="G525">
        <f>IF(Table13[[#This Row],[New Pos L]]&lt;&gt;0,Table13[[#This Row],[New Pos L]],Table13[[#This Row],[New Pos R]])</f>
        <v>3</v>
      </c>
      <c r="H525">
        <f>IF(AND(Table13[[#This Row],[Direction]]="L",Table13[[#This Row],[Steps]]&gt;G524,G524&lt;&gt;0),1,0)</f>
        <v>0</v>
      </c>
      <c r="I525">
        <f>IF(AND(Table13[[#This Row],[Direction]]="R",(G524+Table13[[#This Row],[Steps]])&gt;100),1,0)</f>
        <v>0</v>
      </c>
      <c r="J525">
        <f>IF(Table13[[#This Row],[POS]]=0,1,0)</f>
        <v>0</v>
      </c>
      <c r="K525">
        <f>SUM(Table13[[#This Row],[prefix]],Table13[[#This Row],[Past zero L]],Table13[[#This Row],[Past Zero R]],Table13[[#This Row],[Is Zero]])</f>
        <v>0</v>
      </c>
    </row>
    <row r="526" spans="1:11" ht="16" x14ac:dyDescent="0.2">
      <c r="A526" s="1" t="s">
        <v>259</v>
      </c>
      <c r="B526" t="str">
        <f>LEFT(Table13[[#This Row],[Input]],1)</f>
        <v>R</v>
      </c>
      <c r="C526">
        <f>_xlfn.LET(_xlpm.steps,SUBSTITUTE(Table13[[#This Row],[Input]],Table13[[#This Row],[Direction]],""),VALUE(IF(LEN(_xlpm.steps)&gt;2,RIGHT(_xlpm.steps,2),_xlpm.steps)))</f>
        <v>40</v>
      </c>
      <c r="D526">
        <f>_xlfn.LET(_xlpm.steps,SUBSTITUTE(Table13[[#This Row],[Input]],Table13[[#This Row],[Direction]],""),VALUE(IF(LEN(_xlpm.steps)&gt;2,LEFT(_xlpm.steps,LEN(_xlpm.steps)-2),0)))</f>
        <v>6</v>
      </c>
      <c r="E526">
        <f>_xlfn.LET(_xlpm.dir,Table13[[#This Row],[Direction]],
IF(_xlpm.dir="L",
    IF(G525-Table13[[#This Row],[Steps]]&lt;0,100+(G525-Table13[[#This Row],[Steps]]),G525-Table13[[#This Row],[Steps]]),
))</f>
        <v>0</v>
      </c>
      <c r="F526">
        <f>_xlfn.LET(_xlpm.dir,Table13[[#This Row],[Direction]],
IF(_xlpm.dir="R",
    IF(G525+Table13[[#This Row],[Steps]]&gt;99,(G525+Table13[[#This Row],[Steps]])-100,G525+Table13[[#This Row],[Steps]]),
))</f>
        <v>43</v>
      </c>
      <c r="G526">
        <f>IF(Table13[[#This Row],[New Pos L]]&lt;&gt;0,Table13[[#This Row],[New Pos L]],Table13[[#This Row],[New Pos R]])</f>
        <v>43</v>
      </c>
      <c r="H526">
        <f>IF(AND(Table13[[#This Row],[Direction]]="L",Table13[[#This Row],[Steps]]&gt;G525,G525&lt;&gt;0),1,0)</f>
        <v>0</v>
      </c>
      <c r="I526">
        <f>IF(AND(Table13[[#This Row],[Direction]]="R",(G525+Table13[[#This Row],[Steps]])&gt;100),1,0)</f>
        <v>0</v>
      </c>
      <c r="J526">
        <f>IF(Table13[[#This Row],[POS]]=0,1,0)</f>
        <v>0</v>
      </c>
      <c r="K526">
        <f>SUM(Table13[[#This Row],[prefix]],Table13[[#This Row],[Past zero L]],Table13[[#This Row],[Past Zero R]],Table13[[#This Row],[Is Zero]])</f>
        <v>6</v>
      </c>
    </row>
    <row r="527" spans="1:11" ht="16" x14ac:dyDescent="0.2">
      <c r="A527" s="1" t="s">
        <v>40</v>
      </c>
      <c r="B527" t="str">
        <f>LEFT(Table13[[#This Row],[Input]],1)</f>
        <v>R</v>
      </c>
      <c r="C527">
        <f>_xlfn.LET(_xlpm.steps,SUBSTITUTE(Table13[[#This Row],[Input]],Table13[[#This Row],[Direction]],""),VALUE(IF(LEN(_xlpm.steps)&gt;2,RIGHT(_xlpm.steps,2),_xlpm.steps)))</f>
        <v>52</v>
      </c>
      <c r="D527">
        <f>_xlfn.LET(_xlpm.steps,SUBSTITUTE(Table13[[#This Row],[Input]],Table13[[#This Row],[Direction]],""),VALUE(IF(LEN(_xlpm.steps)&gt;2,LEFT(_xlpm.steps,LEN(_xlpm.steps)-2),0)))</f>
        <v>0</v>
      </c>
      <c r="E527">
        <f>_xlfn.LET(_xlpm.dir,Table13[[#This Row],[Direction]],
IF(_xlpm.dir="L",
    IF(G526-Table13[[#This Row],[Steps]]&lt;0,100+(G526-Table13[[#This Row],[Steps]]),G526-Table13[[#This Row],[Steps]]),
))</f>
        <v>0</v>
      </c>
      <c r="F527">
        <f>_xlfn.LET(_xlpm.dir,Table13[[#This Row],[Direction]],
IF(_xlpm.dir="R",
    IF(G526+Table13[[#This Row],[Steps]]&gt;99,(G526+Table13[[#This Row],[Steps]])-100,G526+Table13[[#This Row],[Steps]]),
))</f>
        <v>95</v>
      </c>
      <c r="G527">
        <f>IF(Table13[[#This Row],[New Pos L]]&lt;&gt;0,Table13[[#This Row],[New Pos L]],Table13[[#This Row],[New Pos R]])</f>
        <v>95</v>
      </c>
      <c r="H527">
        <f>IF(AND(Table13[[#This Row],[Direction]]="L",Table13[[#This Row],[Steps]]&gt;G526,G526&lt;&gt;0),1,0)</f>
        <v>0</v>
      </c>
      <c r="I527">
        <f>IF(AND(Table13[[#This Row],[Direction]]="R",(G526+Table13[[#This Row],[Steps]])&gt;100),1,0)</f>
        <v>0</v>
      </c>
      <c r="J527">
        <f>IF(Table13[[#This Row],[POS]]=0,1,0)</f>
        <v>0</v>
      </c>
      <c r="K527">
        <f>SUM(Table13[[#This Row],[prefix]],Table13[[#This Row],[Past zero L]],Table13[[#This Row],[Past Zero R]],Table13[[#This Row],[Is Zero]])</f>
        <v>0</v>
      </c>
    </row>
    <row r="528" spans="1:11" ht="16" x14ac:dyDescent="0.2">
      <c r="A528" s="1" t="s">
        <v>19</v>
      </c>
      <c r="B528" t="str">
        <f>LEFT(Table13[[#This Row],[Input]],1)</f>
        <v>R</v>
      </c>
      <c r="C528">
        <f>_xlfn.LET(_xlpm.steps,SUBSTITUTE(Table13[[#This Row],[Input]],Table13[[#This Row],[Direction]],""),VALUE(IF(LEN(_xlpm.steps)&gt;2,RIGHT(_xlpm.steps,2),_xlpm.steps)))</f>
        <v>47</v>
      </c>
      <c r="D528">
        <f>_xlfn.LET(_xlpm.steps,SUBSTITUTE(Table13[[#This Row],[Input]],Table13[[#This Row],[Direction]],""),VALUE(IF(LEN(_xlpm.steps)&gt;2,LEFT(_xlpm.steps,LEN(_xlpm.steps)-2),0)))</f>
        <v>0</v>
      </c>
      <c r="E528">
        <f>_xlfn.LET(_xlpm.dir,Table13[[#This Row],[Direction]],
IF(_xlpm.dir="L",
    IF(G527-Table13[[#This Row],[Steps]]&lt;0,100+(G527-Table13[[#This Row],[Steps]]),G527-Table13[[#This Row],[Steps]]),
))</f>
        <v>0</v>
      </c>
      <c r="F528">
        <f>_xlfn.LET(_xlpm.dir,Table13[[#This Row],[Direction]],
IF(_xlpm.dir="R",
    IF(G527+Table13[[#This Row],[Steps]]&gt;99,(G527+Table13[[#This Row],[Steps]])-100,G527+Table13[[#This Row],[Steps]]),
))</f>
        <v>42</v>
      </c>
      <c r="G528">
        <f>IF(Table13[[#This Row],[New Pos L]]&lt;&gt;0,Table13[[#This Row],[New Pos L]],Table13[[#This Row],[New Pos R]])</f>
        <v>42</v>
      </c>
      <c r="H528">
        <f>IF(AND(Table13[[#This Row],[Direction]]="L",Table13[[#This Row],[Steps]]&gt;G527,G527&lt;&gt;0),1,0)</f>
        <v>0</v>
      </c>
      <c r="I528">
        <f>IF(AND(Table13[[#This Row],[Direction]]="R",(G527+Table13[[#This Row],[Steps]])&gt;100),1,0)</f>
        <v>1</v>
      </c>
      <c r="J528">
        <f>IF(Table13[[#This Row],[POS]]=0,1,0)</f>
        <v>0</v>
      </c>
      <c r="K528">
        <f>SUM(Table13[[#This Row],[prefix]],Table13[[#This Row],[Past zero L]],Table13[[#This Row],[Past Zero R]],Table13[[#This Row],[Is Zero]])</f>
        <v>1</v>
      </c>
    </row>
    <row r="529" spans="1:11" ht="16" x14ac:dyDescent="0.2">
      <c r="A529" s="1" t="s">
        <v>62</v>
      </c>
      <c r="B529" t="str">
        <f>LEFT(Table13[[#This Row],[Input]],1)</f>
        <v>L</v>
      </c>
      <c r="C529">
        <f>_xlfn.LET(_xlpm.steps,SUBSTITUTE(Table13[[#This Row],[Input]],Table13[[#This Row],[Direction]],""),VALUE(IF(LEN(_xlpm.steps)&gt;2,RIGHT(_xlpm.steps,2),_xlpm.steps)))</f>
        <v>57</v>
      </c>
      <c r="D529">
        <f>_xlfn.LET(_xlpm.steps,SUBSTITUTE(Table13[[#This Row],[Input]],Table13[[#This Row],[Direction]],""),VALUE(IF(LEN(_xlpm.steps)&gt;2,LEFT(_xlpm.steps,LEN(_xlpm.steps)-2),0)))</f>
        <v>0</v>
      </c>
      <c r="E529">
        <f>_xlfn.LET(_xlpm.dir,Table13[[#This Row],[Direction]],
IF(_xlpm.dir="L",
    IF(G528-Table13[[#This Row],[Steps]]&lt;0,100+(G528-Table13[[#This Row],[Steps]]),G528-Table13[[#This Row],[Steps]]),
))</f>
        <v>85</v>
      </c>
      <c r="F529">
        <f>_xlfn.LET(_xlpm.dir,Table13[[#This Row],[Direction]],
IF(_xlpm.dir="R",
    IF(G528+Table13[[#This Row],[Steps]]&gt;99,(G528+Table13[[#This Row],[Steps]])-100,G528+Table13[[#This Row],[Steps]]),
))</f>
        <v>0</v>
      </c>
      <c r="G529">
        <f>IF(Table13[[#This Row],[New Pos L]]&lt;&gt;0,Table13[[#This Row],[New Pos L]],Table13[[#This Row],[New Pos R]])</f>
        <v>85</v>
      </c>
      <c r="H529">
        <f>IF(AND(Table13[[#This Row],[Direction]]="L",Table13[[#This Row],[Steps]]&gt;G528,G528&lt;&gt;0),1,0)</f>
        <v>1</v>
      </c>
      <c r="I529">
        <f>IF(AND(Table13[[#This Row],[Direction]]="R",(G528+Table13[[#This Row],[Steps]])&gt;100),1,0)</f>
        <v>0</v>
      </c>
      <c r="J529">
        <f>IF(Table13[[#This Row],[POS]]=0,1,0)</f>
        <v>0</v>
      </c>
      <c r="K529">
        <f>SUM(Table13[[#This Row],[prefix]],Table13[[#This Row],[Past zero L]],Table13[[#This Row],[Past Zero R]],Table13[[#This Row],[Is Zero]])</f>
        <v>1</v>
      </c>
    </row>
    <row r="530" spans="1:11" ht="16" x14ac:dyDescent="0.2">
      <c r="A530" s="1" t="s">
        <v>260</v>
      </c>
      <c r="B530" t="str">
        <f>LEFT(Table13[[#This Row],[Input]],1)</f>
        <v>L</v>
      </c>
      <c r="C530">
        <f>_xlfn.LET(_xlpm.steps,SUBSTITUTE(Table13[[#This Row],[Input]],Table13[[#This Row],[Direction]],""),VALUE(IF(LEN(_xlpm.steps)&gt;2,RIGHT(_xlpm.steps,2),_xlpm.steps)))</f>
        <v>85</v>
      </c>
      <c r="D530">
        <f>_xlfn.LET(_xlpm.steps,SUBSTITUTE(Table13[[#This Row],[Input]],Table13[[#This Row],[Direction]],""),VALUE(IF(LEN(_xlpm.steps)&gt;2,LEFT(_xlpm.steps,LEN(_xlpm.steps)-2),0)))</f>
        <v>0</v>
      </c>
      <c r="E530">
        <f>_xlfn.LET(_xlpm.dir,Table13[[#This Row],[Direction]],
IF(_xlpm.dir="L",
    IF(G529-Table13[[#This Row],[Steps]]&lt;0,100+(G529-Table13[[#This Row],[Steps]]),G529-Table13[[#This Row],[Steps]]),
))</f>
        <v>0</v>
      </c>
      <c r="F530">
        <f>_xlfn.LET(_xlpm.dir,Table13[[#This Row],[Direction]],
IF(_xlpm.dir="R",
    IF(G529+Table13[[#This Row],[Steps]]&gt;99,(G529+Table13[[#This Row],[Steps]])-100,G529+Table13[[#This Row],[Steps]]),
))</f>
        <v>0</v>
      </c>
      <c r="G530">
        <f>IF(Table13[[#This Row],[New Pos L]]&lt;&gt;0,Table13[[#This Row],[New Pos L]],Table13[[#This Row],[New Pos R]])</f>
        <v>0</v>
      </c>
      <c r="H530">
        <f>IF(AND(Table13[[#This Row],[Direction]]="L",Table13[[#This Row],[Steps]]&gt;G529,G529&lt;&gt;0),1,0)</f>
        <v>0</v>
      </c>
      <c r="I530">
        <f>IF(AND(Table13[[#This Row],[Direction]]="R",(G529+Table13[[#This Row],[Steps]])&gt;100),1,0)</f>
        <v>0</v>
      </c>
      <c r="J530">
        <f>IF(Table13[[#This Row],[POS]]=0,1,0)</f>
        <v>1</v>
      </c>
      <c r="K530">
        <f>SUM(Table13[[#This Row],[prefix]],Table13[[#This Row],[Past zero L]],Table13[[#This Row],[Past Zero R]],Table13[[#This Row],[Is Zero]])</f>
        <v>1</v>
      </c>
    </row>
    <row r="531" spans="1:11" ht="16" x14ac:dyDescent="0.2">
      <c r="A531" s="1" t="s">
        <v>261</v>
      </c>
      <c r="B531" t="str">
        <f>LEFT(Table13[[#This Row],[Input]],1)</f>
        <v>L</v>
      </c>
      <c r="C531">
        <f>_xlfn.LET(_xlpm.steps,SUBSTITUTE(Table13[[#This Row],[Input]],Table13[[#This Row],[Direction]],""),VALUE(IF(LEN(_xlpm.steps)&gt;2,RIGHT(_xlpm.steps,2),_xlpm.steps)))</f>
        <v>37</v>
      </c>
      <c r="D531">
        <f>_xlfn.LET(_xlpm.steps,SUBSTITUTE(Table13[[#This Row],[Input]],Table13[[#This Row],[Direction]],""),VALUE(IF(LEN(_xlpm.steps)&gt;2,LEFT(_xlpm.steps,LEN(_xlpm.steps)-2),0)))</f>
        <v>7</v>
      </c>
      <c r="E531">
        <f>_xlfn.LET(_xlpm.dir,Table13[[#This Row],[Direction]],
IF(_xlpm.dir="L",
    IF(G530-Table13[[#This Row],[Steps]]&lt;0,100+(G530-Table13[[#This Row],[Steps]]),G530-Table13[[#This Row],[Steps]]),
))</f>
        <v>63</v>
      </c>
      <c r="F531">
        <f>_xlfn.LET(_xlpm.dir,Table13[[#This Row],[Direction]],
IF(_xlpm.dir="R",
    IF(G530+Table13[[#This Row],[Steps]]&gt;99,(G530+Table13[[#This Row],[Steps]])-100,G530+Table13[[#This Row],[Steps]]),
))</f>
        <v>0</v>
      </c>
      <c r="G531">
        <f>IF(Table13[[#This Row],[New Pos L]]&lt;&gt;0,Table13[[#This Row],[New Pos L]],Table13[[#This Row],[New Pos R]])</f>
        <v>63</v>
      </c>
      <c r="H531">
        <f>IF(AND(Table13[[#This Row],[Direction]]="L",Table13[[#This Row],[Steps]]&gt;G530,G530&lt;&gt;0),1,0)</f>
        <v>0</v>
      </c>
      <c r="I531">
        <f>IF(AND(Table13[[#This Row],[Direction]]="R",(G530+Table13[[#This Row],[Steps]])&gt;100),1,0)</f>
        <v>0</v>
      </c>
      <c r="J531">
        <f>IF(Table13[[#This Row],[POS]]=0,1,0)</f>
        <v>0</v>
      </c>
      <c r="K531">
        <f>SUM(Table13[[#This Row],[prefix]],Table13[[#This Row],[Past zero L]],Table13[[#This Row],[Past Zero R]],Table13[[#This Row],[Is Zero]])</f>
        <v>7</v>
      </c>
    </row>
    <row r="532" spans="1:11" ht="16" x14ac:dyDescent="0.2">
      <c r="A532" s="1" t="s">
        <v>151</v>
      </c>
      <c r="B532" t="str">
        <f>LEFT(Table13[[#This Row],[Input]],1)</f>
        <v>L</v>
      </c>
      <c r="C532">
        <f>_xlfn.LET(_xlpm.steps,SUBSTITUTE(Table13[[#This Row],[Input]],Table13[[#This Row],[Direction]],""),VALUE(IF(LEN(_xlpm.steps)&gt;2,RIGHT(_xlpm.steps,2),_xlpm.steps)))</f>
        <v>74</v>
      </c>
      <c r="D532">
        <f>_xlfn.LET(_xlpm.steps,SUBSTITUTE(Table13[[#This Row],[Input]],Table13[[#This Row],[Direction]],""),VALUE(IF(LEN(_xlpm.steps)&gt;2,LEFT(_xlpm.steps,LEN(_xlpm.steps)-2),0)))</f>
        <v>0</v>
      </c>
      <c r="E532">
        <f>_xlfn.LET(_xlpm.dir,Table13[[#This Row],[Direction]],
IF(_xlpm.dir="L",
    IF(G531-Table13[[#This Row],[Steps]]&lt;0,100+(G531-Table13[[#This Row],[Steps]]),G531-Table13[[#This Row],[Steps]]),
))</f>
        <v>89</v>
      </c>
      <c r="F532">
        <f>_xlfn.LET(_xlpm.dir,Table13[[#This Row],[Direction]],
IF(_xlpm.dir="R",
    IF(G531+Table13[[#This Row],[Steps]]&gt;99,(G531+Table13[[#This Row],[Steps]])-100,G531+Table13[[#This Row],[Steps]]),
))</f>
        <v>0</v>
      </c>
      <c r="G532">
        <f>IF(Table13[[#This Row],[New Pos L]]&lt;&gt;0,Table13[[#This Row],[New Pos L]],Table13[[#This Row],[New Pos R]])</f>
        <v>89</v>
      </c>
      <c r="H532">
        <f>IF(AND(Table13[[#This Row],[Direction]]="L",Table13[[#This Row],[Steps]]&gt;G531,G531&lt;&gt;0),1,0)</f>
        <v>1</v>
      </c>
      <c r="I532">
        <f>IF(AND(Table13[[#This Row],[Direction]]="R",(G531+Table13[[#This Row],[Steps]])&gt;100),1,0)</f>
        <v>0</v>
      </c>
      <c r="J532">
        <f>IF(Table13[[#This Row],[POS]]=0,1,0)</f>
        <v>0</v>
      </c>
      <c r="K532">
        <f>SUM(Table13[[#This Row],[prefix]],Table13[[#This Row],[Past zero L]],Table13[[#This Row],[Past Zero R]],Table13[[#This Row],[Is Zero]])</f>
        <v>1</v>
      </c>
    </row>
    <row r="533" spans="1:11" ht="16" x14ac:dyDescent="0.2">
      <c r="A533" s="1" t="s">
        <v>207</v>
      </c>
      <c r="B533" t="str">
        <f>LEFT(Table13[[#This Row],[Input]],1)</f>
        <v>L</v>
      </c>
      <c r="C533">
        <f>_xlfn.LET(_xlpm.steps,SUBSTITUTE(Table13[[#This Row],[Input]],Table13[[#This Row],[Direction]],""),VALUE(IF(LEN(_xlpm.steps)&gt;2,RIGHT(_xlpm.steps,2),_xlpm.steps)))</f>
        <v>89</v>
      </c>
      <c r="D533">
        <f>_xlfn.LET(_xlpm.steps,SUBSTITUTE(Table13[[#This Row],[Input]],Table13[[#This Row],[Direction]],""),VALUE(IF(LEN(_xlpm.steps)&gt;2,LEFT(_xlpm.steps,LEN(_xlpm.steps)-2),0)))</f>
        <v>0</v>
      </c>
      <c r="E533">
        <f>_xlfn.LET(_xlpm.dir,Table13[[#This Row],[Direction]],
IF(_xlpm.dir="L",
    IF(G532-Table13[[#This Row],[Steps]]&lt;0,100+(G532-Table13[[#This Row],[Steps]]),G532-Table13[[#This Row],[Steps]]),
))</f>
        <v>0</v>
      </c>
      <c r="F533">
        <f>_xlfn.LET(_xlpm.dir,Table13[[#This Row],[Direction]],
IF(_xlpm.dir="R",
    IF(G532+Table13[[#This Row],[Steps]]&gt;99,(G532+Table13[[#This Row],[Steps]])-100,G532+Table13[[#This Row],[Steps]]),
))</f>
        <v>0</v>
      </c>
      <c r="G533">
        <f>IF(Table13[[#This Row],[New Pos L]]&lt;&gt;0,Table13[[#This Row],[New Pos L]],Table13[[#This Row],[New Pos R]])</f>
        <v>0</v>
      </c>
      <c r="H533">
        <f>IF(AND(Table13[[#This Row],[Direction]]="L",Table13[[#This Row],[Steps]]&gt;G532,G532&lt;&gt;0),1,0)</f>
        <v>0</v>
      </c>
      <c r="I533">
        <f>IF(AND(Table13[[#This Row],[Direction]]="R",(G532+Table13[[#This Row],[Steps]])&gt;100),1,0)</f>
        <v>0</v>
      </c>
      <c r="J533">
        <f>IF(Table13[[#This Row],[POS]]=0,1,0)</f>
        <v>1</v>
      </c>
      <c r="K533">
        <f>SUM(Table13[[#This Row],[prefix]],Table13[[#This Row],[Past zero L]],Table13[[#This Row],[Past Zero R]],Table13[[#This Row],[Is Zero]])</f>
        <v>1</v>
      </c>
    </row>
    <row r="534" spans="1:11" ht="16" x14ac:dyDescent="0.2">
      <c r="A534" s="1" t="s">
        <v>262</v>
      </c>
      <c r="B534" t="str">
        <f>LEFT(Table13[[#This Row],[Input]],1)</f>
        <v>R</v>
      </c>
      <c r="C534">
        <f>_xlfn.LET(_xlpm.steps,SUBSTITUTE(Table13[[#This Row],[Input]],Table13[[#This Row],[Direction]],""),VALUE(IF(LEN(_xlpm.steps)&gt;2,RIGHT(_xlpm.steps,2),_xlpm.steps)))</f>
        <v>96</v>
      </c>
      <c r="D534">
        <f>_xlfn.LET(_xlpm.steps,SUBSTITUTE(Table13[[#This Row],[Input]],Table13[[#This Row],[Direction]],""),VALUE(IF(LEN(_xlpm.steps)&gt;2,LEFT(_xlpm.steps,LEN(_xlpm.steps)-2),0)))</f>
        <v>3</v>
      </c>
      <c r="E534">
        <f>_xlfn.LET(_xlpm.dir,Table13[[#This Row],[Direction]],
IF(_xlpm.dir="L",
    IF(G533-Table13[[#This Row],[Steps]]&lt;0,100+(G533-Table13[[#This Row],[Steps]]),G533-Table13[[#This Row],[Steps]]),
))</f>
        <v>0</v>
      </c>
      <c r="F534">
        <f>_xlfn.LET(_xlpm.dir,Table13[[#This Row],[Direction]],
IF(_xlpm.dir="R",
    IF(G533+Table13[[#This Row],[Steps]]&gt;99,(G533+Table13[[#This Row],[Steps]])-100,G533+Table13[[#This Row],[Steps]]),
))</f>
        <v>96</v>
      </c>
      <c r="G534">
        <f>IF(Table13[[#This Row],[New Pos L]]&lt;&gt;0,Table13[[#This Row],[New Pos L]],Table13[[#This Row],[New Pos R]])</f>
        <v>96</v>
      </c>
      <c r="H534">
        <f>IF(AND(Table13[[#This Row],[Direction]]="L",Table13[[#This Row],[Steps]]&gt;G533,G533&lt;&gt;0),1,0)</f>
        <v>0</v>
      </c>
      <c r="I534">
        <f>IF(AND(Table13[[#This Row],[Direction]]="R",(G533+Table13[[#This Row],[Steps]])&gt;100),1,0)</f>
        <v>0</v>
      </c>
      <c r="J534">
        <f>IF(Table13[[#This Row],[POS]]=0,1,0)</f>
        <v>0</v>
      </c>
      <c r="K534">
        <f>SUM(Table13[[#This Row],[prefix]],Table13[[#This Row],[Past zero L]],Table13[[#This Row],[Past Zero R]],Table13[[#This Row],[Is Zero]])</f>
        <v>3</v>
      </c>
    </row>
    <row r="535" spans="1:11" ht="16" x14ac:dyDescent="0.2">
      <c r="A535" s="1" t="s">
        <v>45</v>
      </c>
      <c r="B535" t="str">
        <f>LEFT(Table13[[#This Row],[Input]],1)</f>
        <v>L</v>
      </c>
      <c r="C535">
        <f>_xlfn.LET(_xlpm.steps,SUBSTITUTE(Table13[[#This Row],[Input]],Table13[[#This Row],[Direction]],""),VALUE(IF(LEN(_xlpm.steps)&gt;2,RIGHT(_xlpm.steps,2),_xlpm.steps)))</f>
        <v>96</v>
      </c>
      <c r="D535">
        <f>_xlfn.LET(_xlpm.steps,SUBSTITUTE(Table13[[#This Row],[Input]],Table13[[#This Row],[Direction]],""),VALUE(IF(LEN(_xlpm.steps)&gt;2,LEFT(_xlpm.steps,LEN(_xlpm.steps)-2),0)))</f>
        <v>0</v>
      </c>
      <c r="E535">
        <f>_xlfn.LET(_xlpm.dir,Table13[[#This Row],[Direction]],
IF(_xlpm.dir="L",
    IF(G534-Table13[[#This Row],[Steps]]&lt;0,100+(G534-Table13[[#This Row],[Steps]]),G534-Table13[[#This Row],[Steps]]),
))</f>
        <v>0</v>
      </c>
      <c r="F535">
        <f>_xlfn.LET(_xlpm.dir,Table13[[#This Row],[Direction]],
IF(_xlpm.dir="R",
    IF(G534+Table13[[#This Row],[Steps]]&gt;99,(G534+Table13[[#This Row],[Steps]])-100,G534+Table13[[#This Row],[Steps]]),
))</f>
        <v>0</v>
      </c>
      <c r="G535">
        <f>IF(Table13[[#This Row],[New Pos L]]&lt;&gt;0,Table13[[#This Row],[New Pos L]],Table13[[#This Row],[New Pos R]])</f>
        <v>0</v>
      </c>
      <c r="H535">
        <f>IF(AND(Table13[[#This Row],[Direction]]="L",Table13[[#This Row],[Steps]]&gt;G534,G534&lt;&gt;0),1,0)</f>
        <v>0</v>
      </c>
      <c r="I535">
        <f>IF(AND(Table13[[#This Row],[Direction]]="R",(G534+Table13[[#This Row],[Steps]])&gt;100),1,0)</f>
        <v>0</v>
      </c>
      <c r="J535">
        <f>IF(Table13[[#This Row],[POS]]=0,1,0)</f>
        <v>1</v>
      </c>
      <c r="K535">
        <f>SUM(Table13[[#This Row],[prefix]],Table13[[#This Row],[Past zero L]],Table13[[#This Row],[Past Zero R]],Table13[[#This Row],[Is Zero]])</f>
        <v>1</v>
      </c>
    </row>
    <row r="536" spans="1:11" ht="16" x14ac:dyDescent="0.2">
      <c r="A536" s="1" t="s">
        <v>122</v>
      </c>
      <c r="B536" t="str">
        <f>LEFT(Table13[[#This Row],[Input]],1)</f>
        <v>R</v>
      </c>
      <c r="C536">
        <f>_xlfn.LET(_xlpm.steps,SUBSTITUTE(Table13[[#This Row],[Input]],Table13[[#This Row],[Direction]],""),VALUE(IF(LEN(_xlpm.steps)&gt;2,RIGHT(_xlpm.steps,2),_xlpm.steps)))</f>
        <v>75</v>
      </c>
      <c r="D536">
        <f>_xlfn.LET(_xlpm.steps,SUBSTITUTE(Table13[[#This Row],[Input]],Table13[[#This Row],[Direction]],""),VALUE(IF(LEN(_xlpm.steps)&gt;2,LEFT(_xlpm.steps,LEN(_xlpm.steps)-2),0)))</f>
        <v>0</v>
      </c>
      <c r="E536">
        <f>_xlfn.LET(_xlpm.dir,Table13[[#This Row],[Direction]],
IF(_xlpm.dir="L",
    IF(G535-Table13[[#This Row],[Steps]]&lt;0,100+(G535-Table13[[#This Row],[Steps]]),G535-Table13[[#This Row],[Steps]]),
))</f>
        <v>0</v>
      </c>
      <c r="F536">
        <f>_xlfn.LET(_xlpm.dir,Table13[[#This Row],[Direction]],
IF(_xlpm.dir="R",
    IF(G535+Table13[[#This Row],[Steps]]&gt;99,(G535+Table13[[#This Row],[Steps]])-100,G535+Table13[[#This Row],[Steps]]),
))</f>
        <v>75</v>
      </c>
      <c r="G536">
        <f>IF(Table13[[#This Row],[New Pos L]]&lt;&gt;0,Table13[[#This Row],[New Pos L]],Table13[[#This Row],[New Pos R]])</f>
        <v>75</v>
      </c>
      <c r="H536">
        <f>IF(AND(Table13[[#This Row],[Direction]]="L",Table13[[#This Row],[Steps]]&gt;G535,G535&lt;&gt;0),1,0)</f>
        <v>0</v>
      </c>
      <c r="I536">
        <f>IF(AND(Table13[[#This Row],[Direction]]="R",(G535+Table13[[#This Row],[Steps]])&gt;100),1,0)</f>
        <v>0</v>
      </c>
      <c r="J536">
        <f>IF(Table13[[#This Row],[POS]]=0,1,0)</f>
        <v>0</v>
      </c>
      <c r="K536">
        <f>SUM(Table13[[#This Row],[prefix]],Table13[[#This Row],[Past zero L]],Table13[[#This Row],[Past Zero R]],Table13[[#This Row],[Is Zero]])</f>
        <v>0</v>
      </c>
    </row>
    <row r="537" spans="1:11" ht="16" x14ac:dyDescent="0.2">
      <c r="A537" s="1" t="s">
        <v>158</v>
      </c>
      <c r="B537" t="str">
        <f>LEFT(Table13[[#This Row],[Input]],1)</f>
        <v>L</v>
      </c>
      <c r="C537">
        <f>_xlfn.LET(_xlpm.steps,SUBSTITUTE(Table13[[#This Row],[Input]],Table13[[#This Row],[Direction]],""),VALUE(IF(LEN(_xlpm.steps)&gt;2,RIGHT(_xlpm.steps,2),_xlpm.steps)))</f>
        <v>24</v>
      </c>
      <c r="D537">
        <f>_xlfn.LET(_xlpm.steps,SUBSTITUTE(Table13[[#This Row],[Input]],Table13[[#This Row],[Direction]],""),VALUE(IF(LEN(_xlpm.steps)&gt;2,LEFT(_xlpm.steps,LEN(_xlpm.steps)-2),0)))</f>
        <v>0</v>
      </c>
      <c r="E537">
        <f>_xlfn.LET(_xlpm.dir,Table13[[#This Row],[Direction]],
IF(_xlpm.dir="L",
    IF(G536-Table13[[#This Row],[Steps]]&lt;0,100+(G536-Table13[[#This Row],[Steps]]),G536-Table13[[#This Row],[Steps]]),
))</f>
        <v>51</v>
      </c>
      <c r="F537">
        <f>_xlfn.LET(_xlpm.dir,Table13[[#This Row],[Direction]],
IF(_xlpm.dir="R",
    IF(G536+Table13[[#This Row],[Steps]]&gt;99,(G536+Table13[[#This Row],[Steps]])-100,G536+Table13[[#This Row],[Steps]]),
))</f>
        <v>0</v>
      </c>
      <c r="G537">
        <f>IF(Table13[[#This Row],[New Pos L]]&lt;&gt;0,Table13[[#This Row],[New Pos L]],Table13[[#This Row],[New Pos R]])</f>
        <v>51</v>
      </c>
      <c r="H537">
        <f>IF(AND(Table13[[#This Row],[Direction]]="L",Table13[[#This Row],[Steps]]&gt;G536,G536&lt;&gt;0),1,0)</f>
        <v>0</v>
      </c>
      <c r="I537">
        <f>IF(AND(Table13[[#This Row],[Direction]]="R",(G536+Table13[[#This Row],[Steps]])&gt;100),1,0)</f>
        <v>0</v>
      </c>
      <c r="J537">
        <f>IF(Table13[[#This Row],[POS]]=0,1,0)</f>
        <v>0</v>
      </c>
      <c r="K537">
        <f>SUM(Table13[[#This Row],[prefix]],Table13[[#This Row],[Past zero L]],Table13[[#This Row],[Past Zero R]],Table13[[#This Row],[Is Zero]])</f>
        <v>0</v>
      </c>
    </row>
    <row r="538" spans="1:11" ht="16" x14ac:dyDescent="0.2">
      <c r="A538" s="1" t="s">
        <v>263</v>
      </c>
      <c r="B538" t="str">
        <f>LEFT(Table13[[#This Row],[Input]],1)</f>
        <v>R</v>
      </c>
      <c r="C538">
        <f>_xlfn.LET(_xlpm.steps,SUBSTITUTE(Table13[[#This Row],[Input]],Table13[[#This Row],[Direction]],""),VALUE(IF(LEN(_xlpm.steps)&gt;2,RIGHT(_xlpm.steps,2),_xlpm.steps)))</f>
        <v>70</v>
      </c>
      <c r="D538">
        <f>_xlfn.LET(_xlpm.steps,SUBSTITUTE(Table13[[#This Row],[Input]],Table13[[#This Row],[Direction]],""),VALUE(IF(LEN(_xlpm.steps)&gt;2,LEFT(_xlpm.steps,LEN(_xlpm.steps)-2),0)))</f>
        <v>6</v>
      </c>
      <c r="E538">
        <f>_xlfn.LET(_xlpm.dir,Table13[[#This Row],[Direction]],
IF(_xlpm.dir="L",
    IF(G537-Table13[[#This Row],[Steps]]&lt;0,100+(G537-Table13[[#This Row],[Steps]]),G537-Table13[[#This Row],[Steps]]),
))</f>
        <v>0</v>
      </c>
      <c r="F538">
        <f>_xlfn.LET(_xlpm.dir,Table13[[#This Row],[Direction]],
IF(_xlpm.dir="R",
    IF(G537+Table13[[#This Row],[Steps]]&gt;99,(G537+Table13[[#This Row],[Steps]])-100,G537+Table13[[#This Row],[Steps]]),
))</f>
        <v>21</v>
      </c>
      <c r="G538">
        <f>IF(Table13[[#This Row],[New Pos L]]&lt;&gt;0,Table13[[#This Row],[New Pos L]],Table13[[#This Row],[New Pos R]])</f>
        <v>21</v>
      </c>
      <c r="H538">
        <f>IF(AND(Table13[[#This Row],[Direction]]="L",Table13[[#This Row],[Steps]]&gt;G537,G537&lt;&gt;0),1,0)</f>
        <v>0</v>
      </c>
      <c r="I538">
        <f>IF(AND(Table13[[#This Row],[Direction]]="R",(G537+Table13[[#This Row],[Steps]])&gt;100),1,0)</f>
        <v>1</v>
      </c>
      <c r="J538">
        <f>IF(Table13[[#This Row],[POS]]=0,1,0)</f>
        <v>0</v>
      </c>
      <c r="K538">
        <f>SUM(Table13[[#This Row],[prefix]],Table13[[#This Row],[Past zero L]],Table13[[#This Row],[Past Zero R]],Table13[[#This Row],[Is Zero]])</f>
        <v>7</v>
      </c>
    </row>
    <row r="539" spans="1:11" ht="16" x14ac:dyDescent="0.2">
      <c r="A539" s="1" t="s">
        <v>83</v>
      </c>
      <c r="B539" t="str">
        <f>LEFT(Table13[[#This Row],[Input]],1)</f>
        <v>R</v>
      </c>
      <c r="C539">
        <f>_xlfn.LET(_xlpm.steps,SUBSTITUTE(Table13[[#This Row],[Input]],Table13[[#This Row],[Direction]],""),VALUE(IF(LEN(_xlpm.steps)&gt;2,RIGHT(_xlpm.steps,2),_xlpm.steps)))</f>
        <v>79</v>
      </c>
      <c r="D539">
        <f>_xlfn.LET(_xlpm.steps,SUBSTITUTE(Table13[[#This Row],[Input]],Table13[[#This Row],[Direction]],""),VALUE(IF(LEN(_xlpm.steps)&gt;2,LEFT(_xlpm.steps,LEN(_xlpm.steps)-2),0)))</f>
        <v>0</v>
      </c>
      <c r="E539">
        <f>_xlfn.LET(_xlpm.dir,Table13[[#This Row],[Direction]],
IF(_xlpm.dir="L",
    IF(G538-Table13[[#This Row],[Steps]]&lt;0,100+(G538-Table13[[#This Row],[Steps]]),G538-Table13[[#This Row],[Steps]]),
))</f>
        <v>0</v>
      </c>
      <c r="F539">
        <f>_xlfn.LET(_xlpm.dir,Table13[[#This Row],[Direction]],
IF(_xlpm.dir="R",
    IF(G538+Table13[[#This Row],[Steps]]&gt;99,(G538+Table13[[#This Row],[Steps]])-100,G538+Table13[[#This Row],[Steps]]),
))</f>
        <v>0</v>
      </c>
      <c r="G539">
        <f>IF(Table13[[#This Row],[New Pos L]]&lt;&gt;0,Table13[[#This Row],[New Pos L]],Table13[[#This Row],[New Pos R]])</f>
        <v>0</v>
      </c>
      <c r="H539">
        <f>IF(AND(Table13[[#This Row],[Direction]]="L",Table13[[#This Row],[Steps]]&gt;G538,G538&lt;&gt;0),1,0)</f>
        <v>0</v>
      </c>
      <c r="I539">
        <f>IF(AND(Table13[[#This Row],[Direction]]="R",(G538+Table13[[#This Row],[Steps]])&gt;100),1,0)</f>
        <v>0</v>
      </c>
      <c r="J539">
        <f>IF(Table13[[#This Row],[POS]]=0,1,0)</f>
        <v>1</v>
      </c>
      <c r="K539">
        <f>SUM(Table13[[#This Row],[prefix]],Table13[[#This Row],[Past zero L]],Table13[[#This Row],[Past Zero R]],Table13[[#This Row],[Is Zero]])</f>
        <v>1</v>
      </c>
    </row>
    <row r="540" spans="1:11" ht="16" x14ac:dyDescent="0.2">
      <c r="A540" s="1" t="s">
        <v>28</v>
      </c>
      <c r="B540" t="str">
        <f>LEFT(Table13[[#This Row],[Input]],1)</f>
        <v>R</v>
      </c>
      <c r="C540">
        <f>_xlfn.LET(_xlpm.steps,SUBSTITUTE(Table13[[#This Row],[Input]],Table13[[#This Row],[Direction]],""),VALUE(IF(LEN(_xlpm.steps)&gt;2,RIGHT(_xlpm.steps,2),_xlpm.steps)))</f>
        <v>30</v>
      </c>
      <c r="D540">
        <f>_xlfn.LET(_xlpm.steps,SUBSTITUTE(Table13[[#This Row],[Input]],Table13[[#This Row],[Direction]],""),VALUE(IF(LEN(_xlpm.steps)&gt;2,LEFT(_xlpm.steps,LEN(_xlpm.steps)-2),0)))</f>
        <v>0</v>
      </c>
      <c r="E540">
        <f>_xlfn.LET(_xlpm.dir,Table13[[#This Row],[Direction]],
IF(_xlpm.dir="L",
    IF(G539-Table13[[#This Row],[Steps]]&lt;0,100+(G539-Table13[[#This Row],[Steps]]),G539-Table13[[#This Row],[Steps]]),
))</f>
        <v>0</v>
      </c>
      <c r="F540">
        <f>_xlfn.LET(_xlpm.dir,Table13[[#This Row],[Direction]],
IF(_xlpm.dir="R",
    IF(G539+Table13[[#This Row],[Steps]]&gt;99,(G539+Table13[[#This Row],[Steps]])-100,G539+Table13[[#This Row],[Steps]]),
))</f>
        <v>30</v>
      </c>
      <c r="G540">
        <f>IF(Table13[[#This Row],[New Pos L]]&lt;&gt;0,Table13[[#This Row],[New Pos L]],Table13[[#This Row],[New Pos R]])</f>
        <v>30</v>
      </c>
      <c r="H540">
        <f>IF(AND(Table13[[#This Row],[Direction]]="L",Table13[[#This Row],[Steps]]&gt;G539,G539&lt;&gt;0),1,0)</f>
        <v>0</v>
      </c>
      <c r="I540">
        <f>IF(AND(Table13[[#This Row],[Direction]]="R",(G539+Table13[[#This Row],[Steps]])&gt;100),1,0)</f>
        <v>0</v>
      </c>
      <c r="J540">
        <f>IF(Table13[[#This Row],[POS]]=0,1,0)</f>
        <v>0</v>
      </c>
      <c r="K540">
        <f>SUM(Table13[[#This Row],[prefix]],Table13[[#This Row],[Past zero L]],Table13[[#This Row],[Past Zero R]],Table13[[#This Row],[Is Zero]])</f>
        <v>0</v>
      </c>
    </row>
    <row r="541" spans="1:11" ht="16" x14ac:dyDescent="0.2">
      <c r="A541" s="1" t="s">
        <v>172</v>
      </c>
      <c r="B541" t="str">
        <f>LEFT(Table13[[#This Row],[Input]],1)</f>
        <v>L</v>
      </c>
      <c r="C541">
        <f>_xlfn.LET(_xlpm.steps,SUBSTITUTE(Table13[[#This Row],[Input]],Table13[[#This Row],[Direction]],""),VALUE(IF(LEN(_xlpm.steps)&gt;2,RIGHT(_xlpm.steps,2),_xlpm.steps)))</f>
        <v>66</v>
      </c>
      <c r="D541">
        <f>_xlfn.LET(_xlpm.steps,SUBSTITUTE(Table13[[#This Row],[Input]],Table13[[#This Row],[Direction]],""),VALUE(IF(LEN(_xlpm.steps)&gt;2,LEFT(_xlpm.steps,LEN(_xlpm.steps)-2),0)))</f>
        <v>0</v>
      </c>
      <c r="E541">
        <f>_xlfn.LET(_xlpm.dir,Table13[[#This Row],[Direction]],
IF(_xlpm.dir="L",
    IF(G540-Table13[[#This Row],[Steps]]&lt;0,100+(G540-Table13[[#This Row],[Steps]]),G540-Table13[[#This Row],[Steps]]),
))</f>
        <v>64</v>
      </c>
      <c r="F541">
        <f>_xlfn.LET(_xlpm.dir,Table13[[#This Row],[Direction]],
IF(_xlpm.dir="R",
    IF(G540+Table13[[#This Row],[Steps]]&gt;99,(G540+Table13[[#This Row],[Steps]])-100,G540+Table13[[#This Row],[Steps]]),
))</f>
        <v>0</v>
      </c>
      <c r="G541">
        <f>IF(Table13[[#This Row],[New Pos L]]&lt;&gt;0,Table13[[#This Row],[New Pos L]],Table13[[#This Row],[New Pos R]])</f>
        <v>64</v>
      </c>
      <c r="H541">
        <f>IF(AND(Table13[[#This Row],[Direction]]="L",Table13[[#This Row],[Steps]]&gt;G540,G540&lt;&gt;0),1,0)</f>
        <v>1</v>
      </c>
      <c r="I541">
        <f>IF(AND(Table13[[#This Row],[Direction]]="R",(G540+Table13[[#This Row],[Steps]])&gt;100),1,0)</f>
        <v>0</v>
      </c>
      <c r="J541">
        <f>IF(Table13[[#This Row],[POS]]=0,1,0)</f>
        <v>0</v>
      </c>
      <c r="K541">
        <f>SUM(Table13[[#This Row],[prefix]],Table13[[#This Row],[Past zero L]],Table13[[#This Row],[Past Zero R]],Table13[[#This Row],[Is Zero]])</f>
        <v>1</v>
      </c>
    </row>
    <row r="542" spans="1:11" ht="16" x14ac:dyDescent="0.2">
      <c r="A542" s="1" t="s">
        <v>264</v>
      </c>
      <c r="B542" t="str">
        <f>LEFT(Table13[[#This Row],[Input]],1)</f>
        <v>L</v>
      </c>
      <c r="C542">
        <f>_xlfn.LET(_xlpm.steps,SUBSTITUTE(Table13[[#This Row],[Input]],Table13[[#This Row],[Direction]],""),VALUE(IF(LEN(_xlpm.steps)&gt;2,RIGHT(_xlpm.steps,2),_xlpm.steps)))</f>
        <v>21</v>
      </c>
      <c r="D542">
        <f>_xlfn.LET(_xlpm.steps,SUBSTITUTE(Table13[[#This Row],[Input]],Table13[[#This Row],[Direction]],""),VALUE(IF(LEN(_xlpm.steps)&gt;2,LEFT(_xlpm.steps,LEN(_xlpm.steps)-2),0)))</f>
        <v>0</v>
      </c>
      <c r="E542">
        <f>_xlfn.LET(_xlpm.dir,Table13[[#This Row],[Direction]],
IF(_xlpm.dir="L",
    IF(G541-Table13[[#This Row],[Steps]]&lt;0,100+(G541-Table13[[#This Row],[Steps]]),G541-Table13[[#This Row],[Steps]]),
))</f>
        <v>43</v>
      </c>
      <c r="F542">
        <f>_xlfn.LET(_xlpm.dir,Table13[[#This Row],[Direction]],
IF(_xlpm.dir="R",
    IF(G541+Table13[[#This Row],[Steps]]&gt;99,(G541+Table13[[#This Row],[Steps]])-100,G541+Table13[[#This Row],[Steps]]),
))</f>
        <v>0</v>
      </c>
      <c r="G542">
        <f>IF(Table13[[#This Row],[New Pos L]]&lt;&gt;0,Table13[[#This Row],[New Pos L]],Table13[[#This Row],[New Pos R]])</f>
        <v>43</v>
      </c>
      <c r="H542">
        <f>IF(AND(Table13[[#This Row],[Direction]]="L",Table13[[#This Row],[Steps]]&gt;G541,G541&lt;&gt;0),1,0)</f>
        <v>0</v>
      </c>
      <c r="I542">
        <f>IF(AND(Table13[[#This Row],[Direction]]="R",(G541+Table13[[#This Row],[Steps]])&gt;100),1,0)</f>
        <v>0</v>
      </c>
      <c r="J542">
        <f>IF(Table13[[#This Row],[POS]]=0,1,0)</f>
        <v>0</v>
      </c>
      <c r="K542">
        <f>SUM(Table13[[#This Row],[prefix]],Table13[[#This Row],[Past zero L]],Table13[[#This Row],[Past Zero R]],Table13[[#This Row],[Is Zero]])</f>
        <v>0</v>
      </c>
    </row>
    <row r="543" spans="1:11" ht="16" x14ac:dyDescent="0.2">
      <c r="A543" s="1" t="s">
        <v>265</v>
      </c>
      <c r="B543" t="str">
        <f>LEFT(Table13[[#This Row],[Input]],1)</f>
        <v>L</v>
      </c>
      <c r="C543">
        <f>_xlfn.LET(_xlpm.steps,SUBSTITUTE(Table13[[#This Row],[Input]],Table13[[#This Row],[Direction]],""),VALUE(IF(LEN(_xlpm.steps)&gt;2,RIGHT(_xlpm.steps,2),_xlpm.steps)))</f>
        <v>80</v>
      </c>
      <c r="D543">
        <f>_xlfn.LET(_xlpm.steps,SUBSTITUTE(Table13[[#This Row],[Input]],Table13[[#This Row],[Direction]],""),VALUE(IF(LEN(_xlpm.steps)&gt;2,LEFT(_xlpm.steps,LEN(_xlpm.steps)-2),0)))</f>
        <v>4</v>
      </c>
      <c r="E543">
        <f>_xlfn.LET(_xlpm.dir,Table13[[#This Row],[Direction]],
IF(_xlpm.dir="L",
    IF(G542-Table13[[#This Row],[Steps]]&lt;0,100+(G542-Table13[[#This Row],[Steps]]),G542-Table13[[#This Row],[Steps]]),
))</f>
        <v>63</v>
      </c>
      <c r="F543">
        <f>_xlfn.LET(_xlpm.dir,Table13[[#This Row],[Direction]],
IF(_xlpm.dir="R",
    IF(G542+Table13[[#This Row],[Steps]]&gt;99,(G542+Table13[[#This Row],[Steps]])-100,G542+Table13[[#This Row],[Steps]]),
))</f>
        <v>0</v>
      </c>
      <c r="G543">
        <f>IF(Table13[[#This Row],[New Pos L]]&lt;&gt;0,Table13[[#This Row],[New Pos L]],Table13[[#This Row],[New Pos R]])</f>
        <v>63</v>
      </c>
      <c r="H543">
        <f>IF(AND(Table13[[#This Row],[Direction]]="L",Table13[[#This Row],[Steps]]&gt;G542,G542&lt;&gt;0),1,0)</f>
        <v>1</v>
      </c>
      <c r="I543">
        <f>IF(AND(Table13[[#This Row],[Direction]]="R",(G542+Table13[[#This Row],[Steps]])&gt;100),1,0)</f>
        <v>0</v>
      </c>
      <c r="J543">
        <f>IF(Table13[[#This Row],[POS]]=0,1,0)</f>
        <v>0</v>
      </c>
      <c r="K543">
        <f>SUM(Table13[[#This Row],[prefix]],Table13[[#This Row],[Past zero L]],Table13[[#This Row],[Past Zero R]],Table13[[#This Row],[Is Zero]])</f>
        <v>5</v>
      </c>
    </row>
    <row r="544" spans="1:11" ht="16" x14ac:dyDescent="0.2">
      <c r="A544" s="1" t="s">
        <v>44</v>
      </c>
      <c r="B544" t="str">
        <f>LEFT(Table13[[#This Row],[Input]],1)</f>
        <v>R</v>
      </c>
      <c r="C544">
        <f>_xlfn.LET(_xlpm.steps,SUBSTITUTE(Table13[[#This Row],[Input]],Table13[[#This Row],[Direction]],""),VALUE(IF(LEN(_xlpm.steps)&gt;2,RIGHT(_xlpm.steps,2),_xlpm.steps)))</f>
        <v>96</v>
      </c>
      <c r="D544">
        <f>_xlfn.LET(_xlpm.steps,SUBSTITUTE(Table13[[#This Row],[Input]],Table13[[#This Row],[Direction]],""),VALUE(IF(LEN(_xlpm.steps)&gt;2,LEFT(_xlpm.steps,LEN(_xlpm.steps)-2),0)))</f>
        <v>0</v>
      </c>
      <c r="E544">
        <f>_xlfn.LET(_xlpm.dir,Table13[[#This Row],[Direction]],
IF(_xlpm.dir="L",
    IF(G543-Table13[[#This Row],[Steps]]&lt;0,100+(G543-Table13[[#This Row],[Steps]]),G543-Table13[[#This Row],[Steps]]),
))</f>
        <v>0</v>
      </c>
      <c r="F544">
        <f>_xlfn.LET(_xlpm.dir,Table13[[#This Row],[Direction]],
IF(_xlpm.dir="R",
    IF(G543+Table13[[#This Row],[Steps]]&gt;99,(G543+Table13[[#This Row],[Steps]])-100,G543+Table13[[#This Row],[Steps]]),
))</f>
        <v>59</v>
      </c>
      <c r="G544">
        <f>IF(Table13[[#This Row],[New Pos L]]&lt;&gt;0,Table13[[#This Row],[New Pos L]],Table13[[#This Row],[New Pos R]])</f>
        <v>59</v>
      </c>
      <c r="H544">
        <f>IF(AND(Table13[[#This Row],[Direction]]="L",Table13[[#This Row],[Steps]]&gt;G543,G543&lt;&gt;0),1,0)</f>
        <v>0</v>
      </c>
      <c r="I544">
        <f>IF(AND(Table13[[#This Row],[Direction]]="R",(G543+Table13[[#This Row],[Steps]])&gt;100),1,0)</f>
        <v>1</v>
      </c>
      <c r="J544">
        <f>IF(Table13[[#This Row],[POS]]=0,1,0)</f>
        <v>0</v>
      </c>
      <c r="K544">
        <f>SUM(Table13[[#This Row],[prefix]],Table13[[#This Row],[Past zero L]],Table13[[#This Row],[Past Zero R]],Table13[[#This Row],[Is Zero]])</f>
        <v>1</v>
      </c>
    </row>
    <row r="545" spans="1:11" ht="16" x14ac:dyDescent="0.2">
      <c r="A545" s="1" t="s">
        <v>266</v>
      </c>
      <c r="B545" t="str">
        <f>LEFT(Table13[[#This Row],[Input]],1)</f>
        <v>L</v>
      </c>
      <c r="C545">
        <f>_xlfn.LET(_xlpm.steps,SUBSTITUTE(Table13[[#This Row],[Input]],Table13[[#This Row],[Direction]],""),VALUE(IF(LEN(_xlpm.steps)&gt;2,RIGHT(_xlpm.steps,2),_xlpm.steps)))</f>
        <v>65</v>
      </c>
      <c r="D545">
        <f>_xlfn.LET(_xlpm.steps,SUBSTITUTE(Table13[[#This Row],[Input]],Table13[[#This Row],[Direction]],""),VALUE(IF(LEN(_xlpm.steps)&gt;2,LEFT(_xlpm.steps,LEN(_xlpm.steps)-2),0)))</f>
        <v>6</v>
      </c>
      <c r="E545">
        <f>_xlfn.LET(_xlpm.dir,Table13[[#This Row],[Direction]],
IF(_xlpm.dir="L",
    IF(G544-Table13[[#This Row],[Steps]]&lt;0,100+(G544-Table13[[#This Row],[Steps]]),G544-Table13[[#This Row],[Steps]]),
))</f>
        <v>94</v>
      </c>
      <c r="F545">
        <f>_xlfn.LET(_xlpm.dir,Table13[[#This Row],[Direction]],
IF(_xlpm.dir="R",
    IF(G544+Table13[[#This Row],[Steps]]&gt;99,(G544+Table13[[#This Row],[Steps]])-100,G544+Table13[[#This Row],[Steps]]),
))</f>
        <v>0</v>
      </c>
      <c r="G545">
        <f>IF(Table13[[#This Row],[New Pos L]]&lt;&gt;0,Table13[[#This Row],[New Pos L]],Table13[[#This Row],[New Pos R]])</f>
        <v>94</v>
      </c>
      <c r="H545">
        <f>IF(AND(Table13[[#This Row],[Direction]]="L",Table13[[#This Row],[Steps]]&gt;G544,G544&lt;&gt;0),1,0)</f>
        <v>1</v>
      </c>
      <c r="I545">
        <f>IF(AND(Table13[[#This Row],[Direction]]="R",(G544+Table13[[#This Row],[Steps]])&gt;100),1,0)</f>
        <v>0</v>
      </c>
      <c r="J545">
        <f>IF(Table13[[#This Row],[POS]]=0,1,0)</f>
        <v>0</v>
      </c>
      <c r="K545">
        <f>SUM(Table13[[#This Row],[prefix]],Table13[[#This Row],[Past zero L]],Table13[[#This Row],[Past Zero R]],Table13[[#This Row],[Is Zero]])</f>
        <v>7</v>
      </c>
    </row>
    <row r="546" spans="1:11" ht="16" x14ac:dyDescent="0.2">
      <c r="A546" s="1" t="s">
        <v>138</v>
      </c>
      <c r="B546" t="str">
        <f>LEFT(Table13[[#This Row],[Input]],1)</f>
        <v>L</v>
      </c>
      <c r="C546">
        <f>_xlfn.LET(_xlpm.steps,SUBSTITUTE(Table13[[#This Row],[Input]],Table13[[#This Row],[Direction]],""),VALUE(IF(LEN(_xlpm.steps)&gt;2,RIGHT(_xlpm.steps,2),_xlpm.steps)))</f>
        <v>94</v>
      </c>
      <c r="D546">
        <f>_xlfn.LET(_xlpm.steps,SUBSTITUTE(Table13[[#This Row],[Input]],Table13[[#This Row],[Direction]],""),VALUE(IF(LEN(_xlpm.steps)&gt;2,LEFT(_xlpm.steps,LEN(_xlpm.steps)-2),0)))</f>
        <v>0</v>
      </c>
      <c r="E546">
        <f>_xlfn.LET(_xlpm.dir,Table13[[#This Row],[Direction]],
IF(_xlpm.dir="L",
    IF(G545-Table13[[#This Row],[Steps]]&lt;0,100+(G545-Table13[[#This Row],[Steps]]),G545-Table13[[#This Row],[Steps]]),
))</f>
        <v>0</v>
      </c>
      <c r="F546">
        <f>_xlfn.LET(_xlpm.dir,Table13[[#This Row],[Direction]],
IF(_xlpm.dir="R",
    IF(G545+Table13[[#This Row],[Steps]]&gt;99,(G545+Table13[[#This Row],[Steps]])-100,G545+Table13[[#This Row],[Steps]]),
))</f>
        <v>0</v>
      </c>
      <c r="G546">
        <f>IF(Table13[[#This Row],[New Pos L]]&lt;&gt;0,Table13[[#This Row],[New Pos L]],Table13[[#This Row],[New Pos R]])</f>
        <v>0</v>
      </c>
      <c r="H546">
        <f>IF(AND(Table13[[#This Row],[Direction]]="L",Table13[[#This Row],[Steps]]&gt;G545,G545&lt;&gt;0),1,0)</f>
        <v>0</v>
      </c>
      <c r="I546">
        <f>IF(AND(Table13[[#This Row],[Direction]]="R",(G545+Table13[[#This Row],[Steps]])&gt;100),1,0)</f>
        <v>0</v>
      </c>
      <c r="J546">
        <f>IF(Table13[[#This Row],[POS]]=0,1,0)</f>
        <v>1</v>
      </c>
      <c r="K546">
        <f>SUM(Table13[[#This Row],[prefix]],Table13[[#This Row],[Past zero L]],Table13[[#This Row],[Past Zero R]],Table13[[#This Row],[Is Zero]])</f>
        <v>1</v>
      </c>
    </row>
    <row r="547" spans="1:11" ht="16" x14ac:dyDescent="0.2">
      <c r="A547" s="1" t="s">
        <v>102</v>
      </c>
      <c r="B547" t="str">
        <f>LEFT(Table13[[#This Row],[Input]],1)</f>
        <v>R</v>
      </c>
      <c r="C547">
        <f>_xlfn.LET(_xlpm.steps,SUBSTITUTE(Table13[[#This Row],[Input]],Table13[[#This Row],[Direction]],""),VALUE(IF(LEN(_xlpm.steps)&gt;2,RIGHT(_xlpm.steps,2),_xlpm.steps)))</f>
        <v>39</v>
      </c>
      <c r="D547">
        <f>_xlfn.LET(_xlpm.steps,SUBSTITUTE(Table13[[#This Row],[Input]],Table13[[#This Row],[Direction]],""),VALUE(IF(LEN(_xlpm.steps)&gt;2,LEFT(_xlpm.steps,LEN(_xlpm.steps)-2),0)))</f>
        <v>0</v>
      </c>
      <c r="E547">
        <f>_xlfn.LET(_xlpm.dir,Table13[[#This Row],[Direction]],
IF(_xlpm.dir="L",
    IF(G546-Table13[[#This Row],[Steps]]&lt;0,100+(G546-Table13[[#This Row],[Steps]]),G546-Table13[[#This Row],[Steps]]),
))</f>
        <v>0</v>
      </c>
      <c r="F547">
        <f>_xlfn.LET(_xlpm.dir,Table13[[#This Row],[Direction]],
IF(_xlpm.dir="R",
    IF(G546+Table13[[#This Row],[Steps]]&gt;99,(G546+Table13[[#This Row],[Steps]])-100,G546+Table13[[#This Row],[Steps]]),
))</f>
        <v>39</v>
      </c>
      <c r="G547">
        <f>IF(Table13[[#This Row],[New Pos L]]&lt;&gt;0,Table13[[#This Row],[New Pos L]],Table13[[#This Row],[New Pos R]])</f>
        <v>39</v>
      </c>
      <c r="H547">
        <f>IF(AND(Table13[[#This Row],[Direction]]="L",Table13[[#This Row],[Steps]]&gt;G546,G546&lt;&gt;0),1,0)</f>
        <v>0</v>
      </c>
      <c r="I547">
        <f>IF(AND(Table13[[#This Row],[Direction]]="R",(G546+Table13[[#This Row],[Steps]])&gt;100),1,0)</f>
        <v>0</v>
      </c>
      <c r="J547">
        <f>IF(Table13[[#This Row],[POS]]=0,1,0)</f>
        <v>0</v>
      </c>
      <c r="K547">
        <f>SUM(Table13[[#This Row],[prefix]],Table13[[#This Row],[Past zero L]],Table13[[#This Row],[Past Zero R]],Table13[[#This Row],[Is Zero]])</f>
        <v>0</v>
      </c>
    </row>
    <row r="548" spans="1:11" ht="16" x14ac:dyDescent="0.2">
      <c r="A548" s="1" t="s">
        <v>267</v>
      </c>
      <c r="B548" t="str">
        <f>LEFT(Table13[[#This Row],[Input]],1)</f>
        <v>L</v>
      </c>
      <c r="C548">
        <f>_xlfn.LET(_xlpm.steps,SUBSTITUTE(Table13[[#This Row],[Input]],Table13[[#This Row],[Direction]],""),VALUE(IF(LEN(_xlpm.steps)&gt;2,RIGHT(_xlpm.steps,2),_xlpm.steps)))</f>
        <v>39</v>
      </c>
      <c r="D548">
        <f>_xlfn.LET(_xlpm.steps,SUBSTITUTE(Table13[[#This Row],[Input]],Table13[[#This Row],[Direction]],""),VALUE(IF(LEN(_xlpm.steps)&gt;2,LEFT(_xlpm.steps,LEN(_xlpm.steps)-2),0)))</f>
        <v>0</v>
      </c>
      <c r="E548">
        <f>_xlfn.LET(_xlpm.dir,Table13[[#This Row],[Direction]],
IF(_xlpm.dir="L",
    IF(G547-Table13[[#This Row],[Steps]]&lt;0,100+(G547-Table13[[#This Row],[Steps]]),G547-Table13[[#This Row],[Steps]]),
))</f>
        <v>0</v>
      </c>
      <c r="F548">
        <f>_xlfn.LET(_xlpm.dir,Table13[[#This Row],[Direction]],
IF(_xlpm.dir="R",
    IF(G547+Table13[[#This Row],[Steps]]&gt;99,(G547+Table13[[#This Row],[Steps]])-100,G547+Table13[[#This Row],[Steps]]),
))</f>
        <v>0</v>
      </c>
      <c r="G548">
        <f>IF(Table13[[#This Row],[New Pos L]]&lt;&gt;0,Table13[[#This Row],[New Pos L]],Table13[[#This Row],[New Pos R]])</f>
        <v>0</v>
      </c>
      <c r="H548">
        <f>IF(AND(Table13[[#This Row],[Direction]]="L",Table13[[#This Row],[Steps]]&gt;G547,G547&lt;&gt;0),1,0)</f>
        <v>0</v>
      </c>
      <c r="I548">
        <f>IF(AND(Table13[[#This Row],[Direction]]="R",(G547+Table13[[#This Row],[Steps]])&gt;100),1,0)</f>
        <v>0</v>
      </c>
      <c r="J548">
        <f>IF(Table13[[#This Row],[POS]]=0,1,0)</f>
        <v>1</v>
      </c>
      <c r="K548">
        <f>SUM(Table13[[#This Row],[prefix]],Table13[[#This Row],[Past zero L]],Table13[[#This Row],[Past Zero R]],Table13[[#This Row],[Is Zero]])</f>
        <v>1</v>
      </c>
    </row>
    <row r="549" spans="1:11" ht="16" x14ac:dyDescent="0.2">
      <c r="A549" s="1" t="s">
        <v>67</v>
      </c>
      <c r="B549" t="str">
        <f>LEFT(Table13[[#This Row],[Input]],1)</f>
        <v>R</v>
      </c>
      <c r="C549">
        <f>_xlfn.LET(_xlpm.steps,SUBSTITUTE(Table13[[#This Row],[Input]],Table13[[#This Row],[Direction]],""),VALUE(IF(LEN(_xlpm.steps)&gt;2,RIGHT(_xlpm.steps,2),_xlpm.steps)))</f>
        <v>33</v>
      </c>
      <c r="D549">
        <f>_xlfn.LET(_xlpm.steps,SUBSTITUTE(Table13[[#This Row],[Input]],Table13[[#This Row],[Direction]],""),VALUE(IF(LEN(_xlpm.steps)&gt;2,LEFT(_xlpm.steps,LEN(_xlpm.steps)-2),0)))</f>
        <v>0</v>
      </c>
      <c r="E549">
        <f>_xlfn.LET(_xlpm.dir,Table13[[#This Row],[Direction]],
IF(_xlpm.dir="L",
    IF(G548-Table13[[#This Row],[Steps]]&lt;0,100+(G548-Table13[[#This Row],[Steps]]),G548-Table13[[#This Row],[Steps]]),
))</f>
        <v>0</v>
      </c>
      <c r="F549">
        <f>_xlfn.LET(_xlpm.dir,Table13[[#This Row],[Direction]],
IF(_xlpm.dir="R",
    IF(G548+Table13[[#This Row],[Steps]]&gt;99,(G548+Table13[[#This Row],[Steps]])-100,G548+Table13[[#This Row],[Steps]]),
))</f>
        <v>33</v>
      </c>
      <c r="G549">
        <f>IF(Table13[[#This Row],[New Pos L]]&lt;&gt;0,Table13[[#This Row],[New Pos L]],Table13[[#This Row],[New Pos R]])</f>
        <v>33</v>
      </c>
      <c r="H549">
        <f>IF(AND(Table13[[#This Row],[Direction]]="L",Table13[[#This Row],[Steps]]&gt;G548,G548&lt;&gt;0),1,0)</f>
        <v>0</v>
      </c>
      <c r="I549">
        <f>IF(AND(Table13[[#This Row],[Direction]]="R",(G548+Table13[[#This Row],[Steps]])&gt;100),1,0)</f>
        <v>0</v>
      </c>
      <c r="J549">
        <f>IF(Table13[[#This Row],[POS]]=0,1,0)</f>
        <v>0</v>
      </c>
      <c r="K549">
        <f>SUM(Table13[[#This Row],[prefix]],Table13[[#This Row],[Past zero L]],Table13[[#This Row],[Past Zero R]],Table13[[#This Row],[Is Zero]])</f>
        <v>0</v>
      </c>
    </row>
    <row r="550" spans="1:11" ht="16" x14ac:dyDescent="0.2">
      <c r="A550" s="1" t="s">
        <v>187</v>
      </c>
      <c r="B550" t="str">
        <f>LEFT(Table13[[#This Row],[Input]],1)</f>
        <v>R</v>
      </c>
      <c r="C550">
        <f>_xlfn.LET(_xlpm.steps,SUBSTITUTE(Table13[[#This Row],[Input]],Table13[[#This Row],[Direction]],""),VALUE(IF(LEN(_xlpm.steps)&gt;2,RIGHT(_xlpm.steps,2),_xlpm.steps)))</f>
        <v>20</v>
      </c>
      <c r="D550">
        <f>_xlfn.LET(_xlpm.steps,SUBSTITUTE(Table13[[#This Row],[Input]],Table13[[#This Row],[Direction]],""),VALUE(IF(LEN(_xlpm.steps)&gt;2,LEFT(_xlpm.steps,LEN(_xlpm.steps)-2),0)))</f>
        <v>0</v>
      </c>
      <c r="E550">
        <f>_xlfn.LET(_xlpm.dir,Table13[[#This Row],[Direction]],
IF(_xlpm.dir="L",
    IF(G549-Table13[[#This Row],[Steps]]&lt;0,100+(G549-Table13[[#This Row],[Steps]]),G549-Table13[[#This Row],[Steps]]),
))</f>
        <v>0</v>
      </c>
      <c r="F550">
        <f>_xlfn.LET(_xlpm.dir,Table13[[#This Row],[Direction]],
IF(_xlpm.dir="R",
    IF(G549+Table13[[#This Row],[Steps]]&gt;99,(G549+Table13[[#This Row],[Steps]])-100,G549+Table13[[#This Row],[Steps]]),
))</f>
        <v>53</v>
      </c>
      <c r="G550">
        <f>IF(Table13[[#This Row],[New Pos L]]&lt;&gt;0,Table13[[#This Row],[New Pos L]],Table13[[#This Row],[New Pos R]])</f>
        <v>53</v>
      </c>
      <c r="H550">
        <f>IF(AND(Table13[[#This Row],[Direction]]="L",Table13[[#This Row],[Steps]]&gt;G549,G549&lt;&gt;0),1,0)</f>
        <v>0</v>
      </c>
      <c r="I550">
        <f>IF(AND(Table13[[#This Row],[Direction]]="R",(G549+Table13[[#This Row],[Steps]])&gt;100),1,0)</f>
        <v>0</v>
      </c>
      <c r="J550">
        <f>IF(Table13[[#This Row],[POS]]=0,1,0)</f>
        <v>0</v>
      </c>
      <c r="K550">
        <f>SUM(Table13[[#This Row],[prefix]],Table13[[#This Row],[Past zero L]],Table13[[#This Row],[Past Zero R]],Table13[[#This Row],[Is Zero]])</f>
        <v>0</v>
      </c>
    </row>
    <row r="551" spans="1:11" ht="16" x14ac:dyDescent="0.2">
      <c r="A551" s="1" t="s">
        <v>181</v>
      </c>
      <c r="B551" t="str">
        <f>LEFT(Table13[[#This Row],[Input]],1)</f>
        <v>L</v>
      </c>
      <c r="C551">
        <f>_xlfn.LET(_xlpm.steps,SUBSTITUTE(Table13[[#This Row],[Input]],Table13[[#This Row],[Direction]],""),VALUE(IF(LEN(_xlpm.steps)&gt;2,RIGHT(_xlpm.steps,2),_xlpm.steps)))</f>
        <v>53</v>
      </c>
      <c r="D551">
        <f>_xlfn.LET(_xlpm.steps,SUBSTITUTE(Table13[[#This Row],[Input]],Table13[[#This Row],[Direction]],""),VALUE(IF(LEN(_xlpm.steps)&gt;2,LEFT(_xlpm.steps,LEN(_xlpm.steps)-2),0)))</f>
        <v>0</v>
      </c>
      <c r="E551">
        <f>_xlfn.LET(_xlpm.dir,Table13[[#This Row],[Direction]],
IF(_xlpm.dir="L",
    IF(G550-Table13[[#This Row],[Steps]]&lt;0,100+(G550-Table13[[#This Row],[Steps]]),G550-Table13[[#This Row],[Steps]]),
))</f>
        <v>0</v>
      </c>
      <c r="F551">
        <f>_xlfn.LET(_xlpm.dir,Table13[[#This Row],[Direction]],
IF(_xlpm.dir="R",
    IF(G550+Table13[[#This Row],[Steps]]&gt;99,(G550+Table13[[#This Row],[Steps]])-100,G550+Table13[[#This Row],[Steps]]),
))</f>
        <v>0</v>
      </c>
      <c r="G551">
        <f>IF(Table13[[#This Row],[New Pos L]]&lt;&gt;0,Table13[[#This Row],[New Pos L]],Table13[[#This Row],[New Pos R]])</f>
        <v>0</v>
      </c>
      <c r="H551">
        <f>IF(AND(Table13[[#This Row],[Direction]]="L",Table13[[#This Row],[Steps]]&gt;G550,G550&lt;&gt;0),1,0)</f>
        <v>0</v>
      </c>
      <c r="I551">
        <f>IF(AND(Table13[[#This Row],[Direction]]="R",(G550+Table13[[#This Row],[Steps]])&gt;100),1,0)</f>
        <v>0</v>
      </c>
      <c r="J551">
        <f>IF(Table13[[#This Row],[POS]]=0,1,0)</f>
        <v>1</v>
      </c>
      <c r="K551">
        <f>SUM(Table13[[#This Row],[prefix]],Table13[[#This Row],[Past zero L]],Table13[[#This Row],[Past Zero R]],Table13[[#This Row],[Is Zero]])</f>
        <v>1</v>
      </c>
    </row>
    <row r="552" spans="1:11" ht="16" x14ac:dyDescent="0.2">
      <c r="A552" s="1" t="s">
        <v>181</v>
      </c>
      <c r="B552" t="str">
        <f>LEFT(Table13[[#This Row],[Input]],1)</f>
        <v>L</v>
      </c>
      <c r="C552">
        <f>_xlfn.LET(_xlpm.steps,SUBSTITUTE(Table13[[#This Row],[Input]],Table13[[#This Row],[Direction]],""),VALUE(IF(LEN(_xlpm.steps)&gt;2,RIGHT(_xlpm.steps,2),_xlpm.steps)))</f>
        <v>53</v>
      </c>
      <c r="D552">
        <f>_xlfn.LET(_xlpm.steps,SUBSTITUTE(Table13[[#This Row],[Input]],Table13[[#This Row],[Direction]],""),VALUE(IF(LEN(_xlpm.steps)&gt;2,LEFT(_xlpm.steps,LEN(_xlpm.steps)-2),0)))</f>
        <v>0</v>
      </c>
      <c r="E552">
        <f>_xlfn.LET(_xlpm.dir,Table13[[#This Row],[Direction]],
IF(_xlpm.dir="L",
    IF(G551-Table13[[#This Row],[Steps]]&lt;0,100+(G551-Table13[[#This Row],[Steps]]),G551-Table13[[#This Row],[Steps]]),
))</f>
        <v>47</v>
      </c>
      <c r="F552">
        <f>_xlfn.LET(_xlpm.dir,Table13[[#This Row],[Direction]],
IF(_xlpm.dir="R",
    IF(G551+Table13[[#This Row],[Steps]]&gt;99,(G551+Table13[[#This Row],[Steps]])-100,G551+Table13[[#This Row],[Steps]]),
))</f>
        <v>0</v>
      </c>
      <c r="G552">
        <f>IF(Table13[[#This Row],[New Pos L]]&lt;&gt;0,Table13[[#This Row],[New Pos L]],Table13[[#This Row],[New Pos R]])</f>
        <v>47</v>
      </c>
      <c r="H552">
        <f>IF(AND(Table13[[#This Row],[Direction]]="L",Table13[[#This Row],[Steps]]&gt;G551,G551&lt;&gt;0),1,0)</f>
        <v>0</v>
      </c>
      <c r="I552">
        <f>IF(AND(Table13[[#This Row],[Direction]]="R",(G551+Table13[[#This Row],[Steps]])&gt;100),1,0)</f>
        <v>0</v>
      </c>
      <c r="J552">
        <f>IF(Table13[[#This Row],[POS]]=0,1,0)</f>
        <v>0</v>
      </c>
      <c r="K552">
        <f>SUM(Table13[[#This Row],[prefix]],Table13[[#This Row],[Past zero L]],Table13[[#This Row],[Past Zero R]],Table13[[#This Row],[Is Zero]])</f>
        <v>0</v>
      </c>
    </row>
    <row r="553" spans="1:11" ht="16" x14ac:dyDescent="0.2">
      <c r="A553" s="1" t="s">
        <v>47</v>
      </c>
      <c r="B553" t="str">
        <f>LEFT(Table13[[#This Row],[Input]],1)</f>
        <v>R</v>
      </c>
      <c r="C553">
        <f>_xlfn.LET(_xlpm.steps,SUBSTITUTE(Table13[[#This Row],[Input]],Table13[[#This Row],[Direction]],""),VALUE(IF(LEN(_xlpm.steps)&gt;2,RIGHT(_xlpm.steps,2),_xlpm.steps)))</f>
        <v>97</v>
      </c>
      <c r="D553">
        <f>_xlfn.LET(_xlpm.steps,SUBSTITUTE(Table13[[#This Row],[Input]],Table13[[#This Row],[Direction]],""),VALUE(IF(LEN(_xlpm.steps)&gt;2,LEFT(_xlpm.steps,LEN(_xlpm.steps)-2),0)))</f>
        <v>0</v>
      </c>
      <c r="E553">
        <f>_xlfn.LET(_xlpm.dir,Table13[[#This Row],[Direction]],
IF(_xlpm.dir="L",
    IF(G552-Table13[[#This Row],[Steps]]&lt;0,100+(G552-Table13[[#This Row],[Steps]]),G552-Table13[[#This Row],[Steps]]),
))</f>
        <v>0</v>
      </c>
      <c r="F553">
        <f>_xlfn.LET(_xlpm.dir,Table13[[#This Row],[Direction]],
IF(_xlpm.dir="R",
    IF(G552+Table13[[#This Row],[Steps]]&gt;99,(G552+Table13[[#This Row],[Steps]])-100,G552+Table13[[#This Row],[Steps]]),
))</f>
        <v>44</v>
      </c>
      <c r="G553">
        <f>IF(Table13[[#This Row],[New Pos L]]&lt;&gt;0,Table13[[#This Row],[New Pos L]],Table13[[#This Row],[New Pos R]])</f>
        <v>44</v>
      </c>
      <c r="H553">
        <f>IF(AND(Table13[[#This Row],[Direction]]="L",Table13[[#This Row],[Steps]]&gt;G552,G552&lt;&gt;0),1,0)</f>
        <v>0</v>
      </c>
      <c r="I553">
        <f>IF(AND(Table13[[#This Row],[Direction]]="R",(G552+Table13[[#This Row],[Steps]])&gt;100),1,0)</f>
        <v>1</v>
      </c>
      <c r="J553">
        <f>IF(Table13[[#This Row],[POS]]=0,1,0)</f>
        <v>0</v>
      </c>
      <c r="K553">
        <f>SUM(Table13[[#This Row],[prefix]],Table13[[#This Row],[Past zero L]],Table13[[#This Row],[Past Zero R]],Table13[[#This Row],[Is Zero]])</f>
        <v>1</v>
      </c>
    </row>
    <row r="554" spans="1:11" ht="16" x14ac:dyDescent="0.2">
      <c r="A554" s="1" t="s">
        <v>23</v>
      </c>
      <c r="B554" t="str">
        <f>LEFT(Table13[[#This Row],[Input]],1)</f>
        <v>L</v>
      </c>
      <c r="C554">
        <f>_xlfn.LET(_xlpm.steps,SUBSTITUTE(Table13[[#This Row],[Input]],Table13[[#This Row],[Direction]],""),VALUE(IF(LEN(_xlpm.steps)&gt;2,RIGHT(_xlpm.steps,2),_xlpm.steps)))</f>
        <v>8</v>
      </c>
      <c r="D554">
        <f>_xlfn.LET(_xlpm.steps,SUBSTITUTE(Table13[[#This Row],[Input]],Table13[[#This Row],[Direction]],""),VALUE(IF(LEN(_xlpm.steps)&gt;2,LEFT(_xlpm.steps,LEN(_xlpm.steps)-2),0)))</f>
        <v>0</v>
      </c>
      <c r="E554">
        <f>_xlfn.LET(_xlpm.dir,Table13[[#This Row],[Direction]],
IF(_xlpm.dir="L",
    IF(G553-Table13[[#This Row],[Steps]]&lt;0,100+(G553-Table13[[#This Row],[Steps]]),G553-Table13[[#This Row],[Steps]]),
))</f>
        <v>36</v>
      </c>
      <c r="F554">
        <f>_xlfn.LET(_xlpm.dir,Table13[[#This Row],[Direction]],
IF(_xlpm.dir="R",
    IF(G553+Table13[[#This Row],[Steps]]&gt;99,(G553+Table13[[#This Row],[Steps]])-100,G553+Table13[[#This Row],[Steps]]),
))</f>
        <v>0</v>
      </c>
      <c r="G554">
        <f>IF(Table13[[#This Row],[New Pos L]]&lt;&gt;0,Table13[[#This Row],[New Pos L]],Table13[[#This Row],[New Pos R]])</f>
        <v>36</v>
      </c>
      <c r="H554">
        <f>IF(AND(Table13[[#This Row],[Direction]]="L",Table13[[#This Row],[Steps]]&gt;G553,G553&lt;&gt;0),1,0)</f>
        <v>0</v>
      </c>
      <c r="I554">
        <f>IF(AND(Table13[[#This Row],[Direction]]="R",(G553+Table13[[#This Row],[Steps]])&gt;100),1,0)</f>
        <v>0</v>
      </c>
      <c r="J554">
        <f>IF(Table13[[#This Row],[POS]]=0,1,0)</f>
        <v>0</v>
      </c>
      <c r="K554">
        <f>SUM(Table13[[#This Row],[prefix]],Table13[[#This Row],[Past zero L]],Table13[[#This Row],[Past Zero R]],Table13[[#This Row],[Is Zero]])</f>
        <v>0</v>
      </c>
    </row>
    <row r="555" spans="1:11" ht="16" x14ac:dyDescent="0.2">
      <c r="A555" s="1" t="s">
        <v>111</v>
      </c>
      <c r="B555" t="str">
        <f>LEFT(Table13[[#This Row],[Input]],1)</f>
        <v>R</v>
      </c>
      <c r="C555">
        <f>_xlfn.LET(_xlpm.steps,SUBSTITUTE(Table13[[#This Row],[Input]],Table13[[#This Row],[Direction]],""),VALUE(IF(LEN(_xlpm.steps)&gt;2,RIGHT(_xlpm.steps,2),_xlpm.steps)))</f>
        <v>64</v>
      </c>
      <c r="D555">
        <f>_xlfn.LET(_xlpm.steps,SUBSTITUTE(Table13[[#This Row],[Input]],Table13[[#This Row],[Direction]],""),VALUE(IF(LEN(_xlpm.steps)&gt;2,LEFT(_xlpm.steps,LEN(_xlpm.steps)-2),0)))</f>
        <v>0</v>
      </c>
      <c r="E555">
        <f>_xlfn.LET(_xlpm.dir,Table13[[#This Row],[Direction]],
IF(_xlpm.dir="L",
    IF(G554-Table13[[#This Row],[Steps]]&lt;0,100+(G554-Table13[[#This Row],[Steps]]),G554-Table13[[#This Row],[Steps]]),
))</f>
        <v>0</v>
      </c>
      <c r="F555">
        <f>_xlfn.LET(_xlpm.dir,Table13[[#This Row],[Direction]],
IF(_xlpm.dir="R",
    IF(G554+Table13[[#This Row],[Steps]]&gt;99,(G554+Table13[[#This Row],[Steps]])-100,G554+Table13[[#This Row],[Steps]]),
))</f>
        <v>0</v>
      </c>
      <c r="G555">
        <f>IF(Table13[[#This Row],[New Pos L]]&lt;&gt;0,Table13[[#This Row],[New Pos L]],Table13[[#This Row],[New Pos R]])</f>
        <v>0</v>
      </c>
      <c r="H555">
        <f>IF(AND(Table13[[#This Row],[Direction]]="L",Table13[[#This Row],[Steps]]&gt;G554,G554&lt;&gt;0),1,0)</f>
        <v>0</v>
      </c>
      <c r="I555">
        <f>IF(AND(Table13[[#This Row],[Direction]]="R",(G554+Table13[[#This Row],[Steps]])&gt;100),1,0)</f>
        <v>0</v>
      </c>
      <c r="J555">
        <f>IF(Table13[[#This Row],[POS]]=0,1,0)</f>
        <v>1</v>
      </c>
      <c r="K555">
        <f>SUM(Table13[[#This Row],[prefix]],Table13[[#This Row],[Past zero L]],Table13[[#This Row],[Past Zero R]],Table13[[#This Row],[Is Zero]])</f>
        <v>1</v>
      </c>
    </row>
    <row r="556" spans="1:11" ht="16" x14ac:dyDescent="0.2">
      <c r="A556" s="1" t="s">
        <v>99</v>
      </c>
      <c r="B556" t="str">
        <f>LEFT(Table13[[#This Row],[Input]],1)</f>
        <v>R</v>
      </c>
      <c r="C556">
        <f>_xlfn.LET(_xlpm.steps,SUBSTITUTE(Table13[[#This Row],[Input]],Table13[[#This Row],[Direction]],""),VALUE(IF(LEN(_xlpm.steps)&gt;2,RIGHT(_xlpm.steps,2),_xlpm.steps)))</f>
        <v>26</v>
      </c>
      <c r="D556">
        <f>_xlfn.LET(_xlpm.steps,SUBSTITUTE(Table13[[#This Row],[Input]],Table13[[#This Row],[Direction]],""),VALUE(IF(LEN(_xlpm.steps)&gt;2,LEFT(_xlpm.steps,LEN(_xlpm.steps)-2),0)))</f>
        <v>1</v>
      </c>
      <c r="E556">
        <f>_xlfn.LET(_xlpm.dir,Table13[[#This Row],[Direction]],
IF(_xlpm.dir="L",
    IF(G555-Table13[[#This Row],[Steps]]&lt;0,100+(G555-Table13[[#This Row],[Steps]]),G555-Table13[[#This Row],[Steps]]),
))</f>
        <v>0</v>
      </c>
      <c r="F556">
        <f>_xlfn.LET(_xlpm.dir,Table13[[#This Row],[Direction]],
IF(_xlpm.dir="R",
    IF(G555+Table13[[#This Row],[Steps]]&gt;99,(G555+Table13[[#This Row],[Steps]])-100,G555+Table13[[#This Row],[Steps]]),
))</f>
        <v>26</v>
      </c>
      <c r="G556">
        <f>IF(Table13[[#This Row],[New Pos L]]&lt;&gt;0,Table13[[#This Row],[New Pos L]],Table13[[#This Row],[New Pos R]])</f>
        <v>26</v>
      </c>
      <c r="H556">
        <f>IF(AND(Table13[[#This Row],[Direction]]="L",Table13[[#This Row],[Steps]]&gt;G555,G555&lt;&gt;0),1,0)</f>
        <v>0</v>
      </c>
      <c r="I556">
        <f>IF(AND(Table13[[#This Row],[Direction]]="R",(G555+Table13[[#This Row],[Steps]])&gt;100),1,0)</f>
        <v>0</v>
      </c>
      <c r="J556">
        <f>IF(Table13[[#This Row],[POS]]=0,1,0)</f>
        <v>0</v>
      </c>
      <c r="K556">
        <f>SUM(Table13[[#This Row],[prefix]],Table13[[#This Row],[Past zero L]],Table13[[#This Row],[Past Zero R]],Table13[[#This Row],[Is Zero]])</f>
        <v>1</v>
      </c>
    </row>
    <row r="557" spans="1:11" ht="16" x14ac:dyDescent="0.2">
      <c r="A557" s="1" t="s">
        <v>77</v>
      </c>
      <c r="B557" t="str">
        <f>LEFT(Table13[[#This Row],[Input]],1)</f>
        <v>R</v>
      </c>
      <c r="C557">
        <f>_xlfn.LET(_xlpm.steps,SUBSTITUTE(Table13[[#This Row],[Input]],Table13[[#This Row],[Direction]],""),VALUE(IF(LEN(_xlpm.steps)&gt;2,RIGHT(_xlpm.steps,2),_xlpm.steps)))</f>
        <v>74</v>
      </c>
      <c r="D557">
        <f>_xlfn.LET(_xlpm.steps,SUBSTITUTE(Table13[[#This Row],[Input]],Table13[[#This Row],[Direction]],""),VALUE(IF(LEN(_xlpm.steps)&gt;2,LEFT(_xlpm.steps,LEN(_xlpm.steps)-2),0)))</f>
        <v>0</v>
      </c>
      <c r="E557">
        <f>_xlfn.LET(_xlpm.dir,Table13[[#This Row],[Direction]],
IF(_xlpm.dir="L",
    IF(G556-Table13[[#This Row],[Steps]]&lt;0,100+(G556-Table13[[#This Row],[Steps]]),G556-Table13[[#This Row],[Steps]]),
))</f>
        <v>0</v>
      </c>
      <c r="F557">
        <f>_xlfn.LET(_xlpm.dir,Table13[[#This Row],[Direction]],
IF(_xlpm.dir="R",
    IF(G556+Table13[[#This Row],[Steps]]&gt;99,(G556+Table13[[#This Row],[Steps]])-100,G556+Table13[[#This Row],[Steps]]),
))</f>
        <v>0</v>
      </c>
      <c r="G557">
        <f>IF(Table13[[#This Row],[New Pos L]]&lt;&gt;0,Table13[[#This Row],[New Pos L]],Table13[[#This Row],[New Pos R]])</f>
        <v>0</v>
      </c>
      <c r="H557">
        <f>IF(AND(Table13[[#This Row],[Direction]]="L",Table13[[#This Row],[Steps]]&gt;G556,G556&lt;&gt;0),1,0)</f>
        <v>0</v>
      </c>
      <c r="I557">
        <f>IF(AND(Table13[[#This Row],[Direction]]="R",(G556+Table13[[#This Row],[Steps]])&gt;100),1,0)</f>
        <v>0</v>
      </c>
      <c r="J557">
        <f>IF(Table13[[#This Row],[POS]]=0,1,0)</f>
        <v>1</v>
      </c>
      <c r="K557">
        <f>SUM(Table13[[#This Row],[prefix]],Table13[[#This Row],[Past zero L]],Table13[[#This Row],[Past Zero R]],Table13[[#This Row],[Is Zero]])</f>
        <v>1</v>
      </c>
    </row>
    <row r="558" spans="1:11" ht="16" x14ac:dyDescent="0.2">
      <c r="A558" s="1" t="s">
        <v>268</v>
      </c>
      <c r="B558" t="str">
        <f>LEFT(Table13[[#This Row],[Input]],1)</f>
        <v>L</v>
      </c>
      <c r="C558">
        <f>_xlfn.LET(_xlpm.steps,SUBSTITUTE(Table13[[#This Row],[Input]],Table13[[#This Row],[Direction]],""),VALUE(IF(LEN(_xlpm.steps)&gt;2,RIGHT(_xlpm.steps,2),_xlpm.steps)))</f>
        <v>93</v>
      </c>
      <c r="D558">
        <f>_xlfn.LET(_xlpm.steps,SUBSTITUTE(Table13[[#This Row],[Input]],Table13[[#This Row],[Direction]],""),VALUE(IF(LEN(_xlpm.steps)&gt;2,LEFT(_xlpm.steps,LEN(_xlpm.steps)-2),0)))</f>
        <v>3</v>
      </c>
      <c r="E558">
        <f>_xlfn.LET(_xlpm.dir,Table13[[#This Row],[Direction]],
IF(_xlpm.dir="L",
    IF(G557-Table13[[#This Row],[Steps]]&lt;0,100+(G557-Table13[[#This Row],[Steps]]),G557-Table13[[#This Row],[Steps]]),
))</f>
        <v>7</v>
      </c>
      <c r="F558">
        <f>_xlfn.LET(_xlpm.dir,Table13[[#This Row],[Direction]],
IF(_xlpm.dir="R",
    IF(G557+Table13[[#This Row],[Steps]]&gt;99,(G557+Table13[[#This Row],[Steps]])-100,G557+Table13[[#This Row],[Steps]]),
))</f>
        <v>0</v>
      </c>
      <c r="G558">
        <f>IF(Table13[[#This Row],[New Pos L]]&lt;&gt;0,Table13[[#This Row],[New Pos L]],Table13[[#This Row],[New Pos R]])</f>
        <v>7</v>
      </c>
      <c r="H558">
        <f>IF(AND(Table13[[#This Row],[Direction]]="L",Table13[[#This Row],[Steps]]&gt;G557,G557&lt;&gt;0),1,0)</f>
        <v>0</v>
      </c>
      <c r="I558">
        <f>IF(AND(Table13[[#This Row],[Direction]]="R",(G557+Table13[[#This Row],[Steps]])&gt;100),1,0)</f>
        <v>0</v>
      </c>
      <c r="J558">
        <f>IF(Table13[[#This Row],[POS]]=0,1,0)</f>
        <v>0</v>
      </c>
      <c r="K558">
        <f>SUM(Table13[[#This Row],[prefix]],Table13[[#This Row],[Past zero L]],Table13[[#This Row],[Past Zero R]],Table13[[#This Row],[Is Zero]])</f>
        <v>3</v>
      </c>
    </row>
    <row r="559" spans="1:11" ht="16" x14ac:dyDescent="0.2">
      <c r="A559" s="1" t="s">
        <v>269</v>
      </c>
      <c r="B559" t="str">
        <f>LEFT(Table13[[#This Row],[Input]],1)</f>
        <v>L</v>
      </c>
      <c r="C559">
        <f>_xlfn.LET(_xlpm.steps,SUBSTITUTE(Table13[[#This Row],[Input]],Table13[[#This Row],[Direction]],""),VALUE(IF(LEN(_xlpm.steps)&gt;2,RIGHT(_xlpm.steps,2),_xlpm.steps)))</f>
        <v>7</v>
      </c>
      <c r="D559">
        <f>_xlfn.LET(_xlpm.steps,SUBSTITUTE(Table13[[#This Row],[Input]],Table13[[#This Row],[Direction]],""),VALUE(IF(LEN(_xlpm.steps)&gt;2,LEFT(_xlpm.steps,LEN(_xlpm.steps)-2),0)))</f>
        <v>7</v>
      </c>
      <c r="E559">
        <f>_xlfn.LET(_xlpm.dir,Table13[[#This Row],[Direction]],
IF(_xlpm.dir="L",
    IF(G558-Table13[[#This Row],[Steps]]&lt;0,100+(G558-Table13[[#This Row],[Steps]]),G558-Table13[[#This Row],[Steps]]),
))</f>
        <v>0</v>
      </c>
      <c r="F559">
        <f>_xlfn.LET(_xlpm.dir,Table13[[#This Row],[Direction]],
IF(_xlpm.dir="R",
    IF(G558+Table13[[#This Row],[Steps]]&gt;99,(G558+Table13[[#This Row],[Steps]])-100,G558+Table13[[#This Row],[Steps]]),
))</f>
        <v>0</v>
      </c>
      <c r="G559">
        <f>IF(Table13[[#This Row],[New Pos L]]&lt;&gt;0,Table13[[#This Row],[New Pos L]],Table13[[#This Row],[New Pos R]])</f>
        <v>0</v>
      </c>
      <c r="H559">
        <f>IF(AND(Table13[[#This Row],[Direction]]="L",Table13[[#This Row],[Steps]]&gt;G558,G558&lt;&gt;0),1,0)</f>
        <v>0</v>
      </c>
      <c r="I559">
        <f>IF(AND(Table13[[#This Row],[Direction]]="R",(G558+Table13[[#This Row],[Steps]])&gt;100),1,0)</f>
        <v>0</v>
      </c>
      <c r="J559">
        <f>IF(Table13[[#This Row],[POS]]=0,1,0)</f>
        <v>1</v>
      </c>
      <c r="K559">
        <f>SUM(Table13[[#This Row],[prefix]],Table13[[#This Row],[Past zero L]],Table13[[#This Row],[Past Zero R]],Table13[[#This Row],[Is Zero]])</f>
        <v>8</v>
      </c>
    </row>
    <row r="560" spans="1:11" ht="16" x14ac:dyDescent="0.2">
      <c r="A560" s="1" t="s">
        <v>256</v>
      </c>
      <c r="B560" t="str">
        <f>LEFT(Table13[[#This Row],[Input]],1)</f>
        <v>R</v>
      </c>
      <c r="C560">
        <f>_xlfn.LET(_xlpm.steps,SUBSTITUTE(Table13[[#This Row],[Input]],Table13[[#This Row],[Direction]],""),VALUE(IF(LEN(_xlpm.steps)&gt;2,RIGHT(_xlpm.steps,2),_xlpm.steps)))</f>
        <v>13</v>
      </c>
      <c r="D560">
        <f>_xlfn.LET(_xlpm.steps,SUBSTITUTE(Table13[[#This Row],[Input]],Table13[[#This Row],[Direction]],""),VALUE(IF(LEN(_xlpm.steps)&gt;2,LEFT(_xlpm.steps,LEN(_xlpm.steps)-2),0)))</f>
        <v>0</v>
      </c>
      <c r="E560">
        <f>_xlfn.LET(_xlpm.dir,Table13[[#This Row],[Direction]],
IF(_xlpm.dir="L",
    IF(G559-Table13[[#This Row],[Steps]]&lt;0,100+(G559-Table13[[#This Row],[Steps]]),G559-Table13[[#This Row],[Steps]]),
))</f>
        <v>0</v>
      </c>
      <c r="F560">
        <f>_xlfn.LET(_xlpm.dir,Table13[[#This Row],[Direction]],
IF(_xlpm.dir="R",
    IF(G559+Table13[[#This Row],[Steps]]&gt;99,(G559+Table13[[#This Row],[Steps]])-100,G559+Table13[[#This Row],[Steps]]),
))</f>
        <v>13</v>
      </c>
      <c r="G560">
        <f>IF(Table13[[#This Row],[New Pos L]]&lt;&gt;0,Table13[[#This Row],[New Pos L]],Table13[[#This Row],[New Pos R]])</f>
        <v>13</v>
      </c>
      <c r="H560">
        <f>IF(AND(Table13[[#This Row],[Direction]]="L",Table13[[#This Row],[Steps]]&gt;G559,G559&lt;&gt;0),1,0)</f>
        <v>0</v>
      </c>
      <c r="I560">
        <f>IF(AND(Table13[[#This Row],[Direction]]="R",(G559+Table13[[#This Row],[Steps]])&gt;100),1,0)</f>
        <v>0</v>
      </c>
      <c r="J560">
        <f>IF(Table13[[#This Row],[POS]]=0,1,0)</f>
        <v>0</v>
      </c>
      <c r="K560">
        <f>SUM(Table13[[#This Row],[prefix]],Table13[[#This Row],[Past zero L]],Table13[[#This Row],[Past Zero R]],Table13[[#This Row],[Is Zero]])</f>
        <v>0</v>
      </c>
    </row>
    <row r="561" spans="1:11" ht="16" x14ac:dyDescent="0.2">
      <c r="A561" s="1" t="s">
        <v>270</v>
      </c>
      <c r="B561" t="str">
        <f>LEFT(Table13[[#This Row],[Input]],1)</f>
        <v>R</v>
      </c>
      <c r="C561">
        <f>_xlfn.LET(_xlpm.steps,SUBSTITUTE(Table13[[#This Row],[Input]],Table13[[#This Row],[Direction]],""),VALUE(IF(LEN(_xlpm.steps)&gt;2,RIGHT(_xlpm.steps,2),_xlpm.steps)))</f>
        <v>77</v>
      </c>
      <c r="D561">
        <f>_xlfn.LET(_xlpm.steps,SUBSTITUTE(Table13[[#This Row],[Input]],Table13[[#This Row],[Direction]],""),VALUE(IF(LEN(_xlpm.steps)&gt;2,LEFT(_xlpm.steps,LEN(_xlpm.steps)-2),0)))</f>
        <v>9</v>
      </c>
      <c r="E561">
        <f>_xlfn.LET(_xlpm.dir,Table13[[#This Row],[Direction]],
IF(_xlpm.dir="L",
    IF(G560-Table13[[#This Row],[Steps]]&lt;0,100+(G560-Table13[[#This Row],[Steps]]),G560-Table13[[#This Row],[Steps]]),
))</f>
        <v>0</v>
      </c>
      <c r="F561">
        <f>_xlfn.LET(_xlpm.dir,Table13[[#This Row],[Direction]],
IF(_xlpm.dir="R",
    IF(G560+Table13[[#This Row],[Steps]]&gt;99,(G560+Table13[[#This Row],[Steps]])-100,G560+Table13[[#This Row],[Steps]]),
))</f>
        <v>90</v>
      </c>
      <c r="G561">
        <f>IF(Table13[[#This Row],[New Pos L]]&lt;&gt;0,Table13[[#This Row],[New Pos L]],Table13[[#This Row],[New Pos R]])</f>
        <v>90</v>
      </c>
      <c r="H561">
        <f>IF(AND(Table13[[#This Row],[Direction]]="L",Table13[[#This Row],[Steps]]&gt;G560,G560&lt;&gt;0),1,0)</f>
        <v>0</v>
      </c>
      <c r="I561">
        <f>IF(AND(Table13[[#This Row],[Direction]]="R",(G560+Table13[[#This Row],[Steps]])&gt;100),1,0)</f>
        <v>0</v>
      </c>
      <c r="J561">
        <f>IF(Table13[[#This Row],[POS]]=0,1,0)</f>
        <v>0</v>
      </c>
      <c r="K561">
        <f>SUM(Table13[[#This Row],[prefix]],Table13[[#This Row],[Past zero L]],Table13[[#This Row],[Past Zero R]],Table13[[#This Row],[Is Zero]])</f>
        <v>9</v>
      </c>
    </row>
    <row r="562" spans="1:11" ht="16" x14ac:dyDescent="0.2">
      <c r="A562" s="1" t="s">
        <v>256</v>
      </c>
      <c r="B562" t="str">
        <f>LEFT(Table13[[#This Row],[Input]],1)</f>
        <v>R</v>
      </c>
      <c r="C562">
        <f>_xlfn.LET(_xlpm.steps,SUBSTITUTE(Table13[[#This Row],[Input]],Table13[[#This Row],[Direction]],""),VALUE(IF(LEN(_xlpm.steps)&gt;2,RIGHT(_xlpm.steps,2),_xlpm.steps)))</f>
        <v>13</v>
      </c>
      <c r="D562">
        <f>_xlfn.LET(_xlpm.steps,SUBSTITUTE(Table13[[#This Row],[Input]],Table13[[#This Row],[Direction]],""),VALUE(IF(LEN(_xlpm.steps)&gt;2,LEFT(_xlpm.steps,LEN(_xlpm.steps)-2),0)))</f>
        <v>0</v>
      </c>
      <c r="E562">
        <f>_xlfn.LET(_xlpm.dir,Table13[[#This Row],[Direction]],
IF(_xlpm.dir="L",
    IF(G561-Table13[[#This Row],[Steps]]&lt;0,100+(G561-Table13[[#This Row],[Steps]]),G561-Table13[[#This Row],[Steps]]),
))</f>
        <v>0</v>
      </c>
      <c r="F562">
        <f>_xlfn.LET(_xlpm.dir,Table13[[#This Row],[Direction]],
IF(_xlpm.dir="R",
    IF(G561+Table13[[#This Row],[Steps]]&gt;99,(G561+Table13[[#This Row],[Steps]])-100,G561+Table13[[#This Row],[Steps]]),
))</f>
        <v>3</v>
      </c>
      <c r="G562">
        <f>IF(Table13[[#This Row],[New Pos L]]&lt;&gt;0,Table13[[#This Row],[New Pos L]],Table13[[#This Row],[New Pos R]])</f>
        <v>3</v>
      </c>
      <c r="H562">
        <f>IF(AND(Table13[[#This Row],[Direction]]="L",Table13[[#This Row],[Steps]]&gt;G561,G561&lt;&gt;0),1,0)</f>
        <v>0</v>
      </c>
      <c r="I562">
        <f>IF(AND(Table13[[#This Row],[Direction]]="R",(G561+Table13[[#This Row],[Steps]])&gt;100),1,0)</f>
        <v>1</v>
      </c>
      <c r="J562">
        <f>IF(Table13[[#This Row],[POS]]=0,1,0)</f>
        <v>0</v>
      </c>
      <c r="K562">
        <f>SUM(Table13[[#This Row],[prefix]],Table13[[#This Row],[Past zero L]],Table13[[#This Row],[Past Zero R]],Table13[[#This Row],[Is Zero]])</f>
        <v>1</v>
      </c>
    </row>
    <row r="563" spans="1:11" ht="16" x14ac:dyDescent="0.2">
      <c r="A563" s="1" t="s">
        <v>43</v>
      </c>
      <c r="B563" t="str">
        <f>LEFT(Table13[[#This Row],[Input]],1)</f>
        <v>R</v>
      </c>
      <c r="C563">
        <f>_xlfn.LET(_xlpm.steps,SUBSTITUTE(Table13[[#This Row],[Input]],Table13[[#This Row],[Direction]],""),VALUE(IF(LEN(_xlpm.steps)&gt;2,RIGHT(_xlpm.steps,2),_xlpm.steps)))</f>
        <v>90</v>
      </c>
      <c r="D563">
        <f>_xlfn.LET(_xlpm.steps,SUBSTITUTE(Table13[[#This Row],[Input]],Table13[[#This Row],[Direction]],""),VALUE(IF(LEN(_xlpm.steps)&gt;2,LEFT(_xlpm.steps,LEN(_xlpm.steps)-2),0)))</f>
        <v>0</v>
      </c>
      <c r="E563">
        <f>_xlfn.LET(_xlpm.dir,Table13[[#This Row],[Direction]],
IF(_xlpm.dir="L",
    IF(G562-Table13[[#This Row],[Steps]]&lt;0,100+(G562-Table13[[#This Row],[Steps]]),G562-Table13[[#This Row],[Steps]]),
))</f>
        <v>0</v>
      </c>
      <c r="F563">
        <f>_xlfn.LET(_xlpm.dir,Table13[[#This Row],[Direction]],
IF(_xlpm.dir="R",
    IF(G562+Table13[[#This Row],[Steps]]&gt;99,(G562+Table13[[#This Row],[Steps]])-100,G562+Table13[[#This Row],[Steps]]),
))</f>
        <v>93</v>
      </c>
      <c r="G563">
        <f>IF(Table13[[#This Row],[New Pos L]]&lt;&gt;0,Table13[[#This Row],[New Pos L]],Table13[[#This Row],[New Pos R]])</f>
        <v>93</v>
      </c>
      <c r="H563">
        <f>IF(AND(Table13[[#This Row],[Direction]]="L",Table13[[#This Row],[Steps]]&gt;G562,G562&lt;&gt;0),1,0)</f>
        <v>0</v>
      </c>
      <c r="I563">
        <f>IF(AND(Table13[[#This Row],[Direction]]="R",(G562+Table13[[#This Row],[Steps]])&gt;100),1,0)</f>
        <v>0</v>
      </c>
      <c r="J563">
        <f>IF(Table13[[#This Row],[POS]]=0,1,0)</f>
        <v>0</v>
      </c>
      <c r="K563">
        <f>SUM(Table13[[#This Row],[prefix]],Table13[[#This Row],[Past zero L]],Table13[[#This Row],[Past Zero R]],Table13[[#This Row],[Is Zero]])</f>
        <v>0</v>
      </c>
    </row>
    <row r="564" spans="1:11" ht="16" x14ac:dyDescent="0.2">
      <c r="A564" s="1" t="s">
        <v>25</v>
      </c>
      <c r="B564" t="str">
        <f>LEFT(Table13[[#This Row],[Input]],1)</f>
        <v>L</v>
      </c>
      <c r="C564">
        <f>_xlfn.LET(_xlpm.steps,SUBSTITUTE(Table13[[#This Row],[Input]],Table13[[#This Row],[Direction]],""),VALUE(IF(LEN(_xlpm.steps)&gt;2,RIGHT(_xlpm.steps,2),_xlpm.steps)))</f>
        <v>20</v>
      </c>
      <c r="D564">
        <f>_xlfn.LET(_xlpm.steps,SUBSTITUTE(Table13[[#This Row],[Input]],Table13[[#This Row],[Direction]],""),VALUE(IF(LEN(_xlpm.steps)&gt;2,LEFT(_xlpm.steps,LEN(_xlpm.steps)-2),0)))</f>
        <v>0</v>
      </c>
      <c r="E564">
        <f>_xlfn.LET(_xlpm.dir,Table13[[#This Row],[Direction]],
IF(_xlpm.dir="L",
    IF(G563-Table13[[#This Row],[Steps]]&lt;0,100+(G563-Table13[[#This Row],[Steps]]),G563-Table13[[#This Row],[Steps]]),
))</f>
        <v>73</v>
      </c>
      <c r="F564">
        <f>_xlfn.LET(_xlpm.dir,Table13[[#This Row],[Direction]],
IF(_xlpm.dir="R",
    IF(G563+Table13[[#This Row],[Steps]]&gt;99,(G563+Table13[[#This Row],[Steps]])-100,G563+Table13[[#This Row],[Steps]]),
))</f>
        <v>0</v>
      </c>
      <c r="G564">
        <f>IF(Table13[[#This Row],[New Pos L]]&lt;&gt;0,Table13[[#This Row],[New Pos L]],Table13[[#This Row],[New Pos R]])</f>
        <v>73</v>
      </c>
      <c r="H564">
        <f>IF(AND(Table13[[#This Row],[Direction]]="L",Table13[[#This Row],[Steps]]&gt;G563,G563&lt;&gt;0),1,0)</f>
        <v>0</v>
      </c>
      <c r="I564">
        <f>IF(AND(Table13[[#This Row],[Direction]]="R",(G563+Table13[[#This Row],[Steps]])&gt;100),1,0)</f>
        <v>0</v>
      </c>
      <c r="J564">
        <f>IF(Table13[[#This Row],[POS]]=0,1,0)</f>
        <v>0</v>
      </c>
      <c r="K564">
        <f>SUM(Table13[[#This Row],[prefix]],Table13[[#This Row],[Past zero L]],Table13[[#This Row],[Past Zero R]],Table13[[#This Row],[Is Zero]])</f>
        <v>0</v>
      </c>
    </row>
    <row r="565" spans="1:11" ht="16" x14ac:dyDescent="0.2">
      <c r="A565" s="1" t="s">
        <v>260</v>
      </c>
      <c r="B565" t="str">
        <f>LEFT(Table13[[#This Row],[Input]],1)</f>
        <v>L</v>
      </c>
      <c r="C565">
        <f>_xlfn.LET(_xlpm.steps,SUBSTITUTE(Table13[[#This Row],[Input]],Table13[[#This Row],[Direction]],""),VALUE(IF(LEN(_xlpm.steps)&gt;2,RIGHT(_xlpm.steps,2),_xlpm.steps)))</f>
        <v>85</v>
      </c>
      <c r="D565">
        <f>_xlfn.LET(_xlpm.steps,SUBSTITUTE(Table13[[#This Row],[Input]],Table13[[#This Row],[Direction]],""),VALUE(IF(LEN(_xlpm.steps)&gt;2,LEFT(_xlpm.steps,LEN(_xlpm.steps)-2),0)))</f>
        <v>0</v>
      </c>
      <c r="E565">
        <f>_xlfn.LET(_xlpm.dir,Table13[[#This Row],[Direction]],
IF(_xlpm.dir="L",
    IF(G564-Table13[[#This Row],[Steps]]&lt;0,100+(G564-Table13[[#This Row],[Steps]]),G564-Table13[[#This Row],[Steps]]),
))</f>
        <v>88</v>
      </c>
      <c r="F565">
        <f>_xlfn.LET(_xlpm.dir,Table13[[#This Row],[Direction]],
IF(_xlpm.dir="R",
    IF(G564+Table13[[#This Row],[Steps]]&gt;99,(G564+Table13[[#This Row],[Steps]])-100,G564+Table13[[#This Row],[Steps]]),
))</f>
        <v>0</v>
      </c>
      <c r="G565">
        <f>IF(Table13[[#This Row],[New Pos L]]&lt;&gt;0,Table13[[#This Row],[New Pos L]],Table13[[#This Row],[New Pos R]])</f>
        <v>88</v>
      </c>
      <c r="H565">
        <f>IF(AND(Table13[[#This Row],[Direction]]="L",Table13[[#This Row],[Steps]]&gt;G564,G564&lt;&gt;0),1,0)</f>
        <v>1</v>
      </c>
      <c r="I565">
        <f>IF(AND(Table13[[#This Row],[Direction]]="R",(G564+Table13[[#This Row],[Steps]])&gt;100),1,0)</f>
        <v>0</v>
      </c>
      <c r="J565">
        <f>IF(Table13[[#This Row],[POS]]=0,1,0)</f>
        <v>0</v>
      </c>
      <c r="K565">
        <f>SUM(Table13[[#This Row],[prefix]],Table13[[#This Row],[Past zero L]],Table13[[#This Row],[Past Zero R]],Table13[[#This Row],[Is Zero]])</f>
        <v>1</v>
      </c>
    </row>
    <row r="566" spans="1:11" ht="16" x14ac:dyDescent="0.2">
      <c r="A566" s="1" t="s">
        <v>13</v>
      </c>
      <c r="B566" t="str">
        <f>LEFT(Table13[[#This Row],[Input]],1)</f>
        <v>R</v>
      </c>
      <c r="C566">
        <f>_xlfn.LET(_xlpm.steps,SUBSTITUTE(Table13[[#This Row],[Input]],Table13[[#This Row],[Direction]],""),VALUE(IF(LEN(_xlpm.steps)&gt;2,RIGHT(_xlpm.steps,2),_xlpm.steps)))</f>
        <v>12</v>
      </c>
      <c r="D566">
        <f>_xlfn.LET(_xlpm.steps,SUBSTITUTE(Table13[[#This Row],[Input]],Table13[[#This Row],[Direction]],""),VALUE(IF(LEN(_xlpm.steps)&gt;2,LEFT(_xlpm.steps,LEN(_xlpm.steps)-2),0)))</f>
        <v>0</v>
      </c>
      <c r="E566">
        <f>_xlfn.LET(_xlpm.dir,Table13[[#This Row],[Direction]],
IF(_xlpm.dir="L",
    IF(G565-Table13[[#This Row],[Steps]]&lt;0,100+(G565-Table13[[#This Row],[Steps]]),G565-Table13[[#This Row],[Steps]]),
))</f>
        <v>0</v>
      </c>
      <c r="F566">
        <f>_xlfn.LET(_xlpm.dir,Table13[[#This Row],[Direction]],
IF(_xlpm.dir="R",
    IF(G565+Table13[[#This Row],[Steps]]&gt;99,(G565+Table13[[#This Row],[Steps]])-100,G565+Table13[[#This Row],[Steps]]),
))</f>
        <v>0</v>
      </c>
      <c r="G566">
        <f>IF(Table13[[#This Row],[New Pos L]]&lt;&gt;0,Table13[[#This Row],[New Pos L]],Table13[[#This Row],[New Pos R]])</f>
        <v>0</v>
      </c>
      <c r="H566">
        <f>IF(AND(Table13[[#This Row],[Direction]]="L",Table13[[#This Row],[Steps]]&gt;G565,G565&lt;&gt;0),1,0)</f>
        <v>0</v>
      </c>
      <c r="I566">
        <f>IF(AND(Table13[[#This Row],[Direction]]="R",(G565+Table13[[#This Row],[Steps]])&gt;100),1,0)</f>
        <v>0</v>
      </c>
      <c r="J566">
        <f>IF(Table13[[#This Row],[POS]]=0,1,0)</f>
        <v>1</v>
      </c>
      <c r="K566">
        <f>SUM(Table13[[#This Row],[prefix]],Table13[[#This Row],[Past zero L]],Table13[[#This Row],[Past Zero R]],Table13[[#This Row],[Is Zero]])</f>
        <v>1</v>
      </c>
    </row>
    <row r="567" spans="1:11" ht="16" x14ac:dyDescent="0.2">
      <c r="A567" s="1" t="s">
        <v>201</v>
      </c>
      <c r="B567" t="str">
        <f>LEFT(Table13[[#This Row],[Input]],1)</f>
        <v>R</v>
      </c>
      <c r="C567">
        <f>_xlfn.LET(_xlpm.steps,SUBSTITUTE(Table13[[#This Row],[Input]],Table13[[#This Row],[Direction]],""),VALUE(IF(LEN(_xlpm.steps)&gt;2,RIGHT(_xlpm.steps,2),_xlpm.steps)))</f>
        <v>31</v>
      </c>
      <c r="D567">
        <f>_xlfn.LET(_xlpm.steps,SUBSTITUTE(Table13[[#This Row],[Input]],Table13[[#This Row],[Direction]],""),VALUE(IF(LEN(_xlpm.steps)&gt;2,LEFT(_xlpm.steps,LEN(_xlpm.steps)-2),0)))</f>
        <v>0</v>
      </c>
      <c r="E567">
        <f>_xlfn.LET(_xlpm.dir,Table13[[#This Row],[Direction]],
IF(_xlpm.dir="L",
    IF(G566-Table13[[#This Row],[Steps]]&lt;0,100+(G566-Table13[[#This Row],[Steps]]),G566-Table13[[#This Row],[Steps]]),
))</f>
        <v>0</v>
      </c>
      <c r="F567">
        <f>_xlfn.LET(_xlpm.dir,Table13[[#This Row],[Direction]],
IF(_xlpm.dir="R",
    IF(G566+Table13[[#This Row],[Steps]]&gt;99,(G566+Table13[[#This Row],[Steps]])-100,G566+Table13[[#This Row],[Steps]]),
))</f>
        <v>31</v>
      </c>
      <c r="G567">
        <f>IF(Table13[[#This Row],[New Pos L]]&lt;&gt;0,Table13[[#This Row],[New Pos L]],Table13[[#This Row],[New Pos R]])</f>
        <v>31</v>
      </c>
      <c r="H567">
        <f>IF(AND(Table13[[#This Row],[Direction]]="L",Table13[[#This Row],[Steps]]&gt;G566,G566&lt;&gt;0),1,0)</f>
        <v>0</v>
      </c>
      <c r="I567">
        <f>IF(AND(Table13[[#This Row],[Direction]]="R",(G566+Table13[[#This Row],[Steps]])&gt;100),1,0)</f>
        <v>0</v>
      </c>
      <c r="J567">
        <f>IF(Table13[[#This Row],[POS]]=0,1,0)</f>
        <v>0</v>
      </c>
      <c r="K567">
        <f>SUM(Table13[[#This Row],[prefix]],Table13[[#This Row],[Past zero L]],Table13[[#This Row],[Past Zero R]],Table13[[#This Row],[Is Zero]])</f>
        <v>0</v>
      </c>
    </row>
    <row r="568" spans="1:11" ht="16" x14ac:dyDescent="0.2">
      <c r="A568" s="1" t="s">
        <v>172</v>
      </c>
      <c r="B568" t="str">
        <f>LEFT(Table13[[#This Row],[Input]],1)</f>
        <v>L</v>
      </c>
      <c r="C568">
        <f>_xlfn.LET(_xlpm.steps,SUBSTITUTE(Table13[[#This Row],[Input]],Table13[[#This Row],[Direction]],""),VALUE(IF(LEN(_xlpm.steps)&gt;2,RIGHT(_xlpm.steps,2),_xlpm.steps)))</f>
        <v>66</v>
      </c>
      <c r="D568">
        <f>_xlfn.LET(_xlpm.steps,SUBSTITUTE(Table13[[#This Row],[Input]],Table13[[#This Row],[Direction]],""),VALUE(IF(LEN(_xlpm.steps)&gt;2,LEFT(_xlpm.steps,LEN(_xlpm.steps)-2),0)))</f>
        <v>0</v>
      </c>
      <c r="E568">
        <f>_xlfn.LET(_xlpm.dir,Table13[[#This Row],[Direction]],
IF(_xlpm.dir="L",
    IF(G567-Table13[[#This Row],[Steps]]&lt;0,100+(G567-Table13[[#This Row],[Steps]]),G567-Table13[[#This Row],[Steps]]),
))</f>
        <v>65</v>
      </c>
      <c r="F568">
        <f>_xlfn.LET(_xlpm.dir,Table13[[#This Row],[Direction]],
IF(_xlpm.dir="R",
    IF(G567+Table13[[#This Row],[Steps]]&gt;99,(G567+Table13[[#This Row],[Steps]])-100,G567+Table13[[#This Row],[Steps]]),
))</f>
        <v>0</v>
      </c>
      <c r="G568">
        <f>IF(Table13[[#This Row],[New Pos L]]&lt;&gt;0,Table13[[#This Row],[New Pos L]],Table13[[#This Row],[New Pos R]])</f>
        <v>65</v>
      </c>
      <c r="H568">
        <f>IF(AND(Table13[[#This Row],[Direction]]="L",Table13[[#This Row],[Steps]]&gt;G567,G567&lt;&gt;0),1,0)</f>
        <v>1</v>
      </c>
      <c r="I568">
        <f>IF(AND(Table13[[#This Row],[Direction]]="R",(G567+Table13[[#This Row],[Steps]])&gt;100),1,0)</f>
        <v>0</v>
      </c>
      <c r="J568">
        <f>IF(Table13[[#This Row],[POS]]=0,1,0)</f>
        <v>0</v>
      </c>
      <c r="K568">
        <f>SUM(Table13[[#This Row],[prefix]],Table13[[#This Row],[Past zero L]],Table13[[#This Row],[Past Zero R]],Table13[[#This Row],[Is Zero]])</f>
        <v>1</v>
      </c>
    </row>
    <row r="569" spans="1:11" ht="16" x14ac:dyDescent="0.2">
      <c r="A569" s="1" t="s">
        <v>1</v>
      </c>
      <c r="B569" t="str">
        <f>LEFT(Table13[[#This Row],[Input]],1)</f>
        <v>R</v>
      </c>
      <c r="C569">
        <f>_xlfn.LET(_xlpm.steps,SUBSTITUTE(Table13[[#This Row],[Input]],Table13[[#This Row],[Direction]],""),VALUE(IF(LEN(_xlpm.steps)&gt;2,RIGHT(_xlpm.steps,2),_xlpm.steps)))</f>
        <v>26</v>
      </c>
      <c r="D569">
        <f>_xlfn.LET(_xlpm.steps,SUBSTITUTE(Table13[[#This Row],[Input]],Table13[[#This Row],[Direction]],""),VALUE(IF(LEN(_xlpm.steps)&gt;2,LEFT(_xlpm.steps,LEN(_xlpm.steps)-2),0)))</f>
        <v>0</v>
      </c>
      <c r="E569">
        <f>_xlfn.LET(_xlpm.dir,Table13[[#This Row],[Direction]],
IF(_xlpm.dir="L",
    IF(G568-Table13[[#This Row],[Steps]]&lt;0,100+(G568-Table13[[#This Row],[Steps]]),G568-Table13[[#This Row],[Steps]]),
))</f>
        <v>0</v>
      </c>
      <c r="F569">
        <f>_xlfn.LET(_xlpm.dir,Table13[[#This Row],[Direction]],
IF(_xlpm.dir="R",
    IF(G568+Table13[[#This Row],[Steps]]&gt;99,(G568+Table13[[#This Row],[Steps]])-100,G568+Table13[[#This Row],[Steps]]),
))</f>
        <v>91</v>
      </c>
      <c r="G569">
        <f>IF(Table13[[#This Row],[New Pos L]]&lt;&gt;0,Table13[[#This Row],[New Pos L]],Table13[[#This Row],[New Pos R]])</f>
        <v>91</v>
      </c>
      <c r="H569">
        <f>IF(AND(Table13[[#This Row],[Direction]]="L",Table13[[#This Row],[Steps]]&gt;G568,G568&lt;&gt;0),1,0)</f>
        <v>0</v>
      </c>
      <c r="I569">
        <f>IF(AND(Table13[[#This Row],[Direction]]="R",(G568+Table13[[#This Row],[Steps]])&gt;100),1,0)</f>
        <v>0</v>
      </c>
      <c r="J569">
        <f>IF(Table13[[#This Row],[POS]]=0,1,0)</f>
        <v>0</v>
      </c>
      <c r="K569">
        <f>SUM(Table13[[#This Row],[prefix]],Table13[[#This Row],[Past zero L]],Table13[[#This Row],[Past Zero R]],Table13[[#This Row],[Is Zero]])</f>
        <v>0</v>
      </c>
    </row>
    <row r="570" spans="1:11" ht="16" x14ac:dyDescent="0.2">
      <c r="A570" s="1" t="s">
        <v>244</v>
      </c>
      <c r="B570" t="str">
        <f>LEFT(Table13[[#This Row],[Input]],1)</f>
        <v>L</v>
      </c>
      <c r="C570">
        <f>_xlfn.LET(_xlpm.steps,SUBSTITUTE(Table13[[#This Row],[Input]],Table13[[#This Row],[Direction]],""),VALUE(IF(LEN(_xlpm.steps)&gt;2,RIGHT(_xlpm.steps,2),_xlpm.steps)))</f>
        <v>98</v>
      </c>
      <c r="D570">
        <f>_xlfn.LET(_xlpm.steps,SUBSTITUTE(Table13[[#This Row],[Input]],Table13[[#This Row],[Direction]],""),VALUE(IF(LEN(_xlpm.steps)&gt;2,LEFT(_xlpm.steps,LEN(_xlpm.steps)-2),0)))</f>
        <v>0</v>
      </c>
      <c r="E570">
        <f>_xlfn.LET(_xlpm.dir,Table13[[#This Row],[Direction]],
IF(_xlpm.dir="L",
    IF(G569-Table13[[#This Row],[Steps]]&lt;0,100+(G569-Table13[[#This Row],[Steps]]),G569-Table13[[#This Row],[Steps]]),
))</f>
        <v>93</v>
      </c>
      <c r="F570">
        <f>_xlfn.LET(_xlpm.dir,Table13[[#This Row],[Direction]],
IF(_xlpm.dir="R",
    IF(G569+Table13[[#This Row],[Steps]]&gt;99,(G569+Table13[[#This Row],[Steps]])-100,G569+Table13[[#This Row],[Steps]]),
))</f>
        <v>0</v>
      </c>
      <c r="G570">
        <f>IF(Table13[[#This Row],[New Pos L]]&lt;&gt;0,Table13[[#This Row],[New Pos L]],Table13[[#This Row],[New Pos R]])</f>
        <v>93</v>
      </c>
      <c r="H570">
        <f>IF(AND(Table13[[#This Row],[Direction]]="L",Table13[[#This Row],[Steps]]&gt;G569,G569&lt;&gt;0),1,0)</f>
        <v>1</v>
      </c>
      <c r="I570">
        <f>IF(AND(Table13[[#This Row],[Direction]]="R",(G569+Table13[[#This Row],[Steps]])&gt;100),1,0)</f>
        <v>0</v>
      </c>
      <c r="J570">
        <f>IF(Table13[[#This Row],[POS]]=0,1,0)</f>
        <v>0</v>
      </c>
      <c r="K570">
        <f>SUM(Table13[[#This Row],[prefix]],Table13[[#This Row],[Past zero L]],Table13[[#This Row],[Past Zero R]],Table13[[#This Row],[Is Zero]])</f>
        <v>1</v>
      </c>
    </row>
    <row r="571" spans="1:11" ht="16" x14ac:dyDescent="0.2">
      <c r="A571" s="1" t="s">
        <v>271</v>
      </c>
      <c r="B571" t="str">
        <f>LEFT(Table13[[#This Row],[Input]],1)</f>
        <v>R</v>
      </c>
      <c r="C571">
        <f>_xlfn.LET(_xlpm.steps,SUBSTITUTE(Table13[[#This Row],[Input]],Table13[[#This Row],[Direction]],""),VALUE(IF(LEN(_xlpm.steps)&gt;2,RIGHT(_xlpm.steps,2),_xlpm.steps)))</f>
        <v>7</v>
      </c>
      <c r="D571">
        <f>_xlfn.LET(_xlpm.steps,SUBSTITUTE(Table13[[#This Row],[Input]],Table13[[#This Row],[Direction]],""),VALUE(IF(LEN(_xlpm.steps)&gt;2,LEFT(_xlpm.steps,LEN(_xlpm.steps)-2),0)))</f>
        <v>3</v>
      </c>
      <c r="E571">
        <f>_xlfn.LET(_xlpm.dir,Table13[[#This Row],[Direction]],
IF(_xlpm.dir="L",
    IF(G570-Table13[[#This Row],[Steps]]&lt;0,100+(G570-Table13[[#This Row],[Steps]]),G570-Table13[[#This Row],[Steps]]),
))</f>
        <v>0</v>
      </c>
      <c r="F571">
        <f>_xlfn.LET(_xlpm.dir,Table13[[#This Row],[Direction]],
IF(_xlpm.dir="R",
    IF(G570+Table13[[#This Row],[Steps]]&gt;99,(G570+Table13[[#This Row],[Steps]])-100,G570+Table13[[#This Row],[Steps]]),
))</f>
        <v>0</v>
      </c>
      <c r="G571">
        <f>IF(Table13[[#This Row],[New Pos L]]&lt;&gt;0,Table13[[#This Row],[New Pos L]],Table13[[#This Row],[New Pos R]])</f>
        <v>0</v>
      </c>
      <c r="H571">
        <f>IF(AND(Table13[[#This Row],[Direction]]="L",Table13[[#This Row],[Steps]]&gt;G570,G570&lt;&gt;0),1,0)</f>
        <v>0</v>
      </c>
      <c r="I571">
        <f>IF(AND(Table13[[#This Row],[Direction]]="R",(G570+Table13[[#This Row],[Steps]])&gt;100),1,0)</f>
        <v>0</v>
      </c>
      <c r="J571">
        <f>IF(Table13[[#This Row],[POS]]=0,1,0)</f>
        <v>1</v>
      </c>
      <c r="K571">
        <f>SUM(Table13[[#This Row],[prefix]],Table13[[#This Row],[Past zero L]],Table13[[#This Row],[Past Zero R]],Table13[[#This Row],[Is Zero]])</f>
        <v>4</v>
      </c>
    </row>
    <row r="572" spans="1:11" ht="16" x14ac:dyDescent="0.2">
      <c r="A572" s="1" t="s">
        <v>174</v>
      </c>
      <c r="B572" t="str">
        <f>LEFT(Table13[[#This Row],[Input]],1)</f>
        <v>L</v>
      </c>
      <c r="C572">
        <f>_xlfn.LET(_xlpm.steps,SUBSTITUTE(Table13[[#This Row],[Input]],Table13[[#This Row],[Direction]],""),VALUE(IF(LEN(_xlpm.steps)&gt;2,RIGHT(_xlpm.steps,2),_xlpm.steps)))</f>
        <v>92</v>
      </c>
      <c r="D572">
        <f>_xlfn.LET(_xlpm.steps,SUBSTITUTE(Table13[[#This Row],[Input]],Table13[[#This Row],[Direction]],""),VALUE(IF(LEN(_xlpm.steps)&gt;2,LEFT(_xlpm.steps,LEN(_xlpm.steps)-2),0)))</f>
        <v>0</v>
      </c>
      <c r="E572">
        <f>_xlfn.LET(_xlpm.dir,Table13[[#This Row],[Direction]],
IF(_xlpm.dir="L",
    IF(G571-Table13[[#This Row],[Steps]]&lt;0,100+(G571-Table13[[#This Row],[Steps]]),G571-Table13[[#This Row],[Steps]]),
))</f>
        <v>8</v>
      </c>
      <c r="F572">
        <f>_xlfn.LET(_xlpm.dir,Table13[[#This Row],[Direction]],
IF(_xlpm.dir="R",
    IF(G571+Table13[[#This Row],[Steps]]&gt;99,(G571+Table13[[#This Row],[Steps]])-100,G571+Table13[[#This Row],[Steps]]),
))</f>
        <v>0</v>
      </c>
      <c r="G572">
        <f>IF(Table13[[#This Row],[New Pos L]]&lt;&gt;0,Table13[[#This Row],[New Pos L]],Table13[[#This Row],[New Pos R]])</f>
        <v>8</v>
      </c>
      <c r="H572">
        <f>IF(AND(Table13[[#This Row],[Direction]]="L",Table13[[#This Row],[Steps]]&gt;G571,G571&lt;&gt;0),1,0)</f>
        <v>0</v>
      </c>
      <c r="I572">
        <f>IF(AND(Table13[[#This Row],[Direction]]="R",(G571+Table13[[#This Row],[Steps]])&gt;100),1,0)</f>
        <v>0</v>
      </c>
      <c r="J572">
        <f>IF(Table13[[#This Row],[POS]]=0,1,0)</f>
        <v>0</v>
      </c>
      <c r="K572">
        <f>SUM(Table13[[#This Row],[prefix]],Table13[[#This Row],[Past zero L]],Table13[[#This Row],[Past Zero R]],Table13[[#This Row],[Is Zero]])</f>
        <v>0</v>
      </c>
    </row>
    <row r="573" spans="1:11" ht="16" x14ac:dyDescent="0.2">
      <c r="A573" s="1" t="s">
        <v>128</v>
      </c>
      <c r="B573" t="str">
        <f>LEFT(Table13[[#This Row],[Input]],1)</f>
        <v>R</v>
      </c>
      <c r="C573">
        <f>_xlfn.LET(_xlpm.steps,SUBSTITUTE(Table13[[#This Row],[Input]],Table13[[#This Row],[Direction]],""),VALUE(IF(LEN(_xlpm.steps)&gt;2,RIGHT(_xlpm.steps,2),_xlpm.steps)))</f>
        <v>92</v>
      </c>
      <c r="D573">
        <f>_xlfn.LET(_xlpm.steps,SUBSTITUTE(Table13[[#This Row],[Input]],Table13[[#This Row],[Direction]],""),VALUE(IF(LEN(_xlpm.steps)&gt;2,LEFT(_xlpm.steps,LEN(_xlpm.steps)-2),0)))</f>
        <v>0</v>
      </c>
      <c r="E573">
        <f>_xlfn.LET(_xlpm.dir,Table13[[#This Row],[Direction]],
IF(_xlpm.dir="L",
    IF(G572-Table13[[#This Row],[Steps]]&lt;0,100+(G572-Table13[[#This Row],[Steps]]),G572-Table13[[#This Row],[Steps]]),
))</f>
        <v>0</v>
      </c>
      <c r="F573">
        <f>_xlfn.LET(_xlpm.dir,Table13[[#This Row],[Direction]],
IF(_xlpm.dir="R",
    IF(G572+Table13[[#This Row],[Steps]]&gt;99,(G572+Table13[[#This Row],[Steps]])-100,G572+Table13[[#This Row],[Steps]]),
))</f>
        <v>0</v>
      </c>
      <c r="G573">
        <f>IF(Table13[[#This Row],[New Pos L]]&lt;&gt;0,Table13[[#This Row],[New Pos L]],Table13[[#This Row],[New Pos R]])</f>
        <v>0</v>
      </c>
      <c r="H573">
        <f>IF(AND(Table13[[#This Row],[Direction]]="L",Table13[[#This Row],[Steps]]&gt;G572,G572&lt;&gt;0),1,0)</f>
        <v>0</v>
      </c>
      <c r="I573">
        <f>IF(AND(Table13[[#This Row],[Direction]]="R",(G572+Table13[[#This Row],[Steps]])&gt;100),1,0)</f>
        <v>0</v>
      </c>
      <c r="J573">
        <f>IF(Table13[[#This Row],[POS]]=0,1,0)</f>
        <v>1</v>
      </c>
      <c r="K573">
        <f>SUM(Table13[[#This Row],[prefix]],Table13[[#This Row],[Past zero L]],Table13[[#This Row],[Past Zero R]],Table13[[#This Row],[Is Zero]])</f>
        <v>1</v>
      </c>
    </row>
    <row r="574" spans="1:11" ht="16" x14ac:dyDescent="0.2">
      <c r="A574" s="1" t="s">
        <v>272</v>
      </c>
      <c r="B574" t="str">
        <f>LEFT(Table13[[#This Row],[Input]],1)</f>
        <v>R</v>
      </c>
      <c r="C574">
        <f>_xlfn.LET(_xlpm.steps,SUBSTITUTE(Table13[[#This Row],[Input]],Table13[[#This Row],[Direction]],""),VALUE(IF(LEN(_xlpm.steps)&gt;2,RIGHT(_xlpm.steps,2),_xlpm.steps)))</f>
        <v>56</v>
      </c>
      <c r="D574">
        <f>_xlfn.LET(_xlpm.steps,SUBSTITUTE(Table13[[#This Row],[Input]],Table13[[#This Row],[Direction]],""),VALUE(IF(LEN(_xlpm.steps)&gt;2,LEFT(_xlpm.steps,LEN(_xlpm.steps)-2),0)))</f>
        <v>0</v>
      </c>
      <c r="E574">
        <f>_xlfn.LET(_xlpm.dir,Table13[[#This Row],[Direction]],
IF(_xlpm.dir="L",
    IF(G573-Table13[[#This Row],[Steps]]&lt;0,100+(G573-Table13[[#This Row],[Steps]]),G573-Table13[[#This Row],[Steps]]),
))</f>
        <v>0</v>
      </c>
      <c r="F574">
        <f>_xlfn.LET(_xlpm.dir,Table13[[#This Row],[Direction]],
IF(_xlpm.dir="R",
    IF(G573+Table13[[#This Row],[Steps]]&gt;99,(G573+Table13[[#This Row],[Steps]])-100,G573+Table13[[#This Row],[Steps]]),
))</f>
        <v>56</v>
      </c>
      <c r="G574">
        <f>IF(Table13[[#This Row],[New Pos L]]&lt;&gt;0,Table13[[#This Row],[New Pos L]],Table13[[#This Row],[New Pos R]])</f>
        <v>56</v>
      </c>
      <c r="H574">
        <f>IF(AND(Table13[[#This Row],[Direction]]="L",Table13[[#This Row],[Steps]]&gt;G573,G573&lt;&gt;0),1,0)</f>
        <v>0</v>
      </c>
      <c r="I574">
        <f>IF(AND(Table13[[#This Row],[Direction]]="R",(G573+Table13[[#This Row],[Steps]])&gt;100),1,0)</f>
        <v>0</v>
      </c>
      <c r="J574">
        <f>IF(Table13[[#This Row],[POS]]=0,1,0)</f>
        <v>0</v>
      </c>
      <c r="K574">
        <f>SUM(Table13[[#This Row],[prefix]],Table13[[#This Row],[Past zero L]],Table13[[#This Row],[Past Zero R]],Table13[[#This Row],[Is Zero]])</f>
        <v>0</v>
      </c>
    </row>
    <row r="575" spans="1:11" ht="16" x14ac:dyDescent="0.2">
      <c r="A575" s="1" t="s">
        <v>273</v>
      </c>
      <c r="B575" t="str">
        <f>LEFT(Table13[[#This Row],[Input]],1)</f>
        <v>L</v>
      </c>
      <c r="C575">
        <f>_xlfn.LET(_xlpm.steps,SUBSTITUTE(Table13[[#This Row],[Input]],Table13[[#This Row],[Direction]],""),VALUE(IF(LEN(_xlpm.steps)&gt;2,RIGHT(_xlpm.steps,2),_xlpm.steps)))</f>
        <v>60</v>
      </c>
      <c r="D575">
        <f>_xlfn.LET(_xlpm.steps,SUBSTITUTE(Table13[[#This Row],[Input]],Table13[[#This Row],[Direction]],""),VALUE(IF(LEN(_xlpm.steps)&gt;2,LEFT(_xlpm.steps,LEN(_xlpm.steps)-2),0)))</f>
        <v>3</v>
      </c>
      <c r="E575">
        <f>_xlfn.LET(_xlpm.dir,Table13[[#This Row],[Direction]],
IF(_xlpm.dir="L",
    IF(G574-Table13[[#This Row],[Steps]]&lt;0,100+(G574-Table13[[#This Row],[Steps]]),G574-Table13[[#This Row],[Steps]]),
))</f>
        <v>96</v>
      </c>
      <c r="F575">
        <f>_xlfn.LET(_xlpm.dir,Table13[[#This Row],[Direction]],
IF(_xlpm.dir="R",
    IF(G574+Table13[[#This Row],[Steps]]&gt;99,(G574+Table13[[#This Row],[Steps]])-100,G574+Table13[[#This Row],[Steps]]),
))</f>
        <v>0</v>
      </c>
      <c r="G575">
        <f>IF(Table13[[#This Row],[New Pos L]]&lt;&gt;0,Table13[[#This Row],[New Pos L]],Table13[[#This Row],[New Pos R]])</f>
        <v>96</v>
      </c>
      <c r="H575">
        <f>IF(AND(Table13[[#This Row],[Direction]]="L",Table13[[#This Row],[Steps]]&gt;G574,G574&lt;&gt;0),1,0)</f>
        <v>1</v>
      </c>
      <c r="I575">
        <f>IF(AND(Table13[[#This Row],[Direction]]="R",(G574+Table13[[#This Row],[Steps]])&gt;100),1,0)</f>
        <v>0</v>
      </c>
      <c r="J575">
        <f>IF(Table13[[#This Row],[POS]]=0,1,0)</f>
        <v>0</v>
      </c>
      <c r="K575">
        <f>SUM(Table13[[#This Row],[prefix]],Table13[[#This Row],[Past zero L]],Table13[[#This Row],[Past Zero R]],Table13[[#This Row],[Is Zero]])</f>
        <v>4</v>
      </c>
    </row>
    <row r="576" spans="1:11" ht="16" x14ac:dyDescent="0.2">
      <c r="A576" s="1" t="s">
        <v>36</v>
      </c>
      <c r="B576" t="str">
        <f>LEFT(Table13[[#This Row],[Input]],1)</f>
        <v>R</v>
      </c>
      <c r="C576">
        <f>_xlfn.LET(_xlpm.steps,SUBSTITUTE(Table13[[#This Row],[Input]],Table13[[#This Row],[Direction]],""),VALUE(IF(LEN(_xlpm.steps)&gt;2,RIGHT(_xlpm.steps,2),_xlpm.steps)))</f>
        <v>50</v>
      </c>
      <c r="D576">
        <f>_xlfn.LET(_xlpm.steps,SUBSTITUTE(Table13[[#This Row],[Input]],Table13[[#This Row],[Direction]],""),VALUE(IF(LEN(_xlpm.steps)&gt;2,LEFT(_xlpm.steps,LEN(_xlpm.steps)-2),0)))</f>
        <v>0</v>
      </c>
      <c r="E576">
        <f>_xlfn.LET(_xlpm.dir,Table13[[#This Row],[Direction]],
IF(_xlpm.dir="L",
    IF(G575-Table13[[#This Row],[Steps]]&lt;0,100+(G575-Table13[[#This Row],[Steps]]),G575-Table13[[#This Row],[Steps]]),
))</f>
        <v>0</v>
      </c>
      <c r="F576">
        <f>_xlfn.LET(_xlpm.dir,Table13[[#This Row],[Direction]],
IF(_xlpm.dir="R",
    IF(G575+Table13[[#This Row],[Steps]]&gt;99,(G575+Table13[[#This Row],[Steps]])-100,G575+Table13[[#This Row],[Steps]]),
))</f>
        <v>46</v>
      </c>
      <c r="G576">
        <f>IF(Table13[[#This Row],[New Pos L]]&lt;&gt;0,Table13[[#This Row],[New Pos L]],Table13[[#This Row],[New Pos R]])</f>
        <v>46</v>
      </c>
      <c r="H576">
        <f>IF(AND(Table13[[#This Row],[Direction]]="L",Table13[[#This Row],[Steps]]&gt;G575,G575&lt;&gt;0),1,0)</f>
        <v>0</v>
      </c>
      <c r="I576">
        <f>IF(AND(Table13[[#This Row],[Direction]]="R",(G575+Table13[[#This Row],[Steps]])&gt;100),1,0)</f>
        <v>1</v>
      </c>
      <c r="J576">
        <f>IF(Table13[[#This Row],[POS]]=0,1,0)</f>
        <v>0</v>
      </c>
      <c r="K576">
        <f>SUM(Table13[[#This Row],[prefix]],Table13[[#This Row],[Past zero L]],Table13[[#This Row],[Past Zero R]],Table13[[#This Row],[Is Zero]])</f>
        <v>1</v>
      </c>
    </row>
    <row r="577" spans="1:11" ht="16" x14ac:dyDescent="0.2">
      <c r="A577" s="1" t="s">
        <v>272</v>
      </c>
      <c r="B577" t="str">
        <f>LEFT(Table13[[#This Row],[Input]],1)</f>
        <v>R</v>
      </c>
      <c r="C577">
        <f>_xlfn.LET(_xlpm.steps,SUBSTITUTE(Table13[[#This Row],[Input]],Table13[[#This Row],[Direction]],""),VALUE(IF(LEN(_xlpm.steps)&gt;2,RIGHT(_xlpm.steps,2),_xlpm.steps)))</f>
        <v>56</v>
      </c>
      <c r="D577">
        <f>_xlfn.LET(_xlpm.steps,SUBSTITUTE(Table13[[#This Row],[Input]],Table13[[#This Row],[Direction]],""),VALUE(IF(LEN(_xlpm.steps)&gt;2,LEFT(_xlpm.steps,LEN(_xlpm.steps)-2),0)))</f>
        <v>0</v>
      </c>
      <c r="E577">
        <f>_xlfn.LET(_xlpm.dir,Table13[[#This Row],[Direction]],
IF(_xlpm.dir="L",
    IF(G576-Table13[[#This Row],[Steps]]&lt;0,100+(G576-Table13[[#This Row],[Steps]]),G576-Table13[[#This Row],[Steps]]),
))</f>
        <v>0</v>
      </c>
      <c r="F577">
        <f>_xlfn.LET(_xlpm.dir,Table13[[#This Row],[Direction]],
IF(_xlpm.dir="R",
    IF(G576+Table13[[#This Row],[Steps]]&gt;99,(G576+Table13[[#This Row],[Steps]])-100,G576+Table13[[#This Row],[Steps]]),
))</f>
        <v>2</v>
      </c>
      <c r="G577">
        <f>IF(Table13[[#This Row],[New Pos L]]&lt;&gt;0,Table13[[#This Row],[New Pos L]],Table13[[#This Row],[New Pos R]])</f>
        <v>2</v>
      </c>
      <c r="H577">
        <f>IF(AND(Table13[[#This Row],[Direction]]="L",Table13[[#This Row],[Steps]]&gt;G576,G576&lt;&gt;0),1,0)</f>
        <v>0</v>
      </c>
      <c r="I577">
        <f>IF(AND(Table13[[#This Row],[Direction]]="R",(G576+Table13[[#This Row],[Steps]])&gt;100),1,0)</f>
        <v>1</v>
      </c>
      <c r="J577">
        <f>IF(Table13[[#This Row],[POS]]=0,1,0)</f>
        <v>0</v>
      </c>
      <c r="K577">
        <f>SUM(Table13[[#This Row],[prefix]],Table13[[#This Row],[Past zero L]],Table13[[#This Row],[Past Zero R]],Table13[[#This Row],[Is Zero]])</f>
        <v>1</v>
      </c>
    </row>
    <row r="578" spans="1:11" ht="16" x14ac:dyDescent="0.2">
      <c r="A578" s="1" t="s">
        <v>146</v>
      </c>
      <c r="B578" t="str">
        <f>LEFT(Table13[[#This Row],[Input]],1)</f>
        <v>R</v>
      </c>
      <c r="C578">
        <f>_xlfn.LET(_xlpm.steps,SUBSTITUTE(Table13[[#This Row],[Input]],Table13[[#This Row],[Direction]],""),VALUE(IF(LEN(_xlpm.steps)&gt;2,RIGHT(_xlpm.steps,2),_xlpm.steps)))</f>
        <v>4</v>
      </c>
      <c r="D578">
        <f>_xlfn.LET(_xlpm.steps,SUBSTITUTE(Table13[[#This Row],[Input]],Table13[[#This Row],[Direction]],""),VALUE(IF(LEN(_xlpm.steps)&gt;2,LEFT(_xlpm.steps,LEN(_xlpm.steps)-2),0)))</f>
        <v>0</v>
      </c>
      <c r="E578">
        <f>_xlfn.LET(_xlpm.dir,Table13[[#This Row],[Direction]],
IF(_xlpm.dir="L",
    IF(G577-Table13[[#This Row],[Steps]]&lt;0,100+(G577-Table13[[#This Row],[Steps]]),G577-Table13[[#This Row],[Steps]]),
))</f>
        <v>0</v>
      </c>
      <c r="F578">
        <f>_xlfn.LET(_xlpm.dir,Table13[[#This Row],[Direction]],
IF(_xlpm.dir="R",
    IF(G577+Table13[[#This Row],[Steps]]&gt;99,(G577+Table13[[#This Row],[Steps]])-100,G577+Table13[[#This Row],[Steps]]),
))</f>
        <v>6</v>
      </c>
      <c r="G578">
        <f>IF(Table13[[#This Row],[New Pos L]]&lt;&gt;0,Table13[[#This Row],[New Pos L]],Table13[[#This Row],[New Pos R]])</f>
        <v>6</v>
      </c>
      <c r="H578">
        <f>IF(AND(Table13[[#This Row],[Direction]]="L",Table13[[#This Row],[Steps]]&gt;G577,G577&lt;&gt;0),1,0)</f>
        <v>0</v>
      </c>
      <c r="I578">
        <f>IF(AND(Table13[[#This Row],[Direction]]="R",(G577+Table13[[#This Row],[Steps]])&gt;100),1,0)</f>
        <v>0</v>
      </c>
      <c r="J578">
        <f>IF(Table13[[#This Row],[POS]]=0,1,0)</f>
        <v>0</v>
      </c>
      <c r="K578">
        <f>SUM(Table13[[#This Row],[prefix]],Table13[[#This Row],[Past zero L]],Table13[[#This Row],[Past Zero R]],Table13[[#This Row],[Is Zero]])</f>
        <v>0</v>
      </c>
    </row>
    <row r="579" spans="1:11" ht="16" x14ac:dyDescent="0.2">
      <c r="A579" s="1" t="s">
        <v>72</v>
      </c>
      <c r="B579" t="str">
        <f>LEFT(Table13[[#This Row],[Input]],1)</f>
        <v>R</v>
      </c>
      <c r="C579">
        <f>_xlfn.LET(_xlpm.steps,SUBSTITUTE(Table13[[#This Row],[Input]],Table13[[#This Row],[Direction]],""),VALUE(IF(LEN(_xlpm.steps)&gt;2,RIGHT(_xlpm.steps,2),_xlpm.steps)))</f>
        <v>43</v>
      </c>
      <c r="D579">
        <f>_xlfn.LET(_xlpm.steps,SUBSTITUTE(Table13[[#This Row],[Input]],Table13[[#This Row],[Direction]],""),VALUE(IF(LEN(_xlpm.steps)&gt;2,LEFT(_xlpm.steps,LEN(_xlpm.steps)-2),0)))</f>
        <v>0</v>
      </c>
      <c r="E579">
        <f>_xlfn.LET(_xlpm.dir,Table13[[#This Row],[Direction]],
IF(_xlpm.dir="L",
    IF(G578-Table13[[#This Row],[Steps]]&lt;0,100+(G578-Table13[[#This Row],[Steps]]),G578-Table13[[#This Row],[Steps]]),
))</f>
        <v>0</v>
      </c>
      <c r="F579">
        <f>_xlfn.LET(_xlpm.dir,Table13[[#This Row],[Direction]],
IF(_xlpm.dir="R",
    IF(G578+Table13[[#This Row],[Steps]]&gt;99,(G578+Table13[[#This Row],[Steps]])-100,G578+Table13[[#This Row],[Steps]]),
))</f>
        <v>49</v>
      </c>
      <c r="G579">
        <f>IF(Table13[[#This Row],[New Pos L]]&lt;&gt;0,Table13[[#This Row],[New Pos L]],Table13[[#This Row],[New Pos R]])</f>
        <v>49</v>
      </c>
      <c r="H579">
        <f>IF(AND(Table13[[#This Row],[Direction]]="L",Table13[[#This Row],[Steps]]&gt;G578,G578&lt;&gt;0),1,0)</f>
        <v>0</v>
      </c>
      <c r="I579">
        <f>IF(AND(Table13[[#This Row],[Direction]]="R",(G578+Table13[[#This Row],[Steps]])&gt;100),1,0)</f>
        <v>0</v>
      </c>
      <c r="J579">
        <f>IF(Table13[[#This Row],[POS]]=0,1,0)</f>
        <v>0</v>
      </c>
      <c r="K579">
        <f>SUM(Table13[[#This Row],[prefix]],Table13[[#This Row],[Past zero L]],Table13[[#This Row],[Past Zero R]],Table13[[#This Row],[Is Zero]])</f>
        <v>0</v>
      </c>
    </row>
    <row r="580" spans="1:11" ht="16" x14ac:dyDescent="0.2">
      <c r="A580" s="1" t="s">
        <v>182</v>
      </c>
      <c r="B580" t="str">
        <f>LEFT(Table13[[#This Row],[Input]],1)</f>
        <v>L</v>
      </c>
      <c r="C580">
        <f>_xlfn.LET(_xlpm.steps,SUBSTITUTE(Table13[[#This Row],[Input]],Table13[[#This Row],[Direction]],""),VALUE(IF(LEN(_xlpm.steps)&gt;2,RIGHT(_xlpm.steps,2),_xlpm.steps)))</f>
        <v>3</v>
      </c>
      <c r="D580">
        <f>_xlfn.LET(_xlpm.steps,SUBSTITUTE(Table13[[#This Row],[Input]],Table13[[#This Row],[Direction]],""),VALUE(IF(LEN(_xlpm.steps)&gt;2,LEFT(_xlpm.steps,LEN(_xlpm.steps)-2),0)))</f>
        <v>0</v>
      </c>
      <c r="E580">
        <f>_xlfn.LET(_xlpm.dir,Table13[[#This Row],[Direction]],
IF(_xlpm.dir="L",
    IF(G579-Table13[[#This Row],[Steps]]&lt;0,100+(G579-Table13[[#This Row],[Steps]]),G579-Table13[[#This Row],[Steps]]),
))</f>
        <v>46</v>
      </c>
      <c r="F580">
        <f>_xlfn.LET(_xlpm.dir,Table13[[#This Row],[Direction]],
IF(_xlpm.dir="R",
    IF(G579+Table13[[#This Row],[Steps]]&gt;99,(G579+Table13[[#This Row],[Steps]])-100,G579+Table13[[#This Row],[Steps]]),
))</f>
        <v>0</v>
      </c>
      <c r="G580">
        <f>IF(Table13[[#This Row],[New Pos L]]&lt;&gt;0,Table13[[#This Row],[New Pos L]],Table13[[#This Row],[New Pos R]])</f>
        <v>46</v>
      </c>
      <c r="H580">
        <f>IF(AND(Table13[[#This Row],[Direction]]="L",Table13[[#This Row],[Steps]]&gt;G579,G579&lt;&gt;0),1,0)</f>
        <v>0</v>
      </c>
      <c r="I580">
        <f>IF(AND(Table13[[#This Row],[Direction]]="R",(G579+Table13[[#This Row],[Steps]])&gt;100),1,0)</f>
        <v>0</v>
      </c>
      <c r="J580">
        <f>IF(Table13[[#This Row],[POS]]=0,1,0)</f>
        <v>0</v>
      </c>
      <c r="K580">
        <f>SUM(Table13[[#This Row],[prefix]],Table13[[#This Row],[Past zero L]],Table13[[#This Row],[Past Zero R]],Table13[[#This Row],[Is Zero]])</f>
        <v>0</v>
      </c>
    </row>
    <row r="581" spans="1:11" ht="16" x14ac:dyDescent="0.2">
      <c r="A581" s="1" t="s">
        <v>209</v>
      </c>
      <c r="B581" t="str">
        <f>LEFT(Table13[[#This Row],[Input]],1)</f>
        <v>L</v>
      </c>
      <c r="C581">
        <f>_xlfn.LET(_xlpm.steps,SUBSTITUTE(Table13[[#This Row],[Input]],Table13[[#This Row],[Direction]],""),VALUE(IF(LEN(_xlpm.steps)&gt;2,RIGHT(_xlpm.steps,2),_xlpm.steps)))</f>
        <v>86</v>
      </c>
      <c r="D581">
        <f>_xlfn.LET(_xlpm.steps,SUBSTITUTE(Table13[[#This Row],[Input]],Table13[[#This Row],[Direction]],""),VALUE(IF(LEN(_xlpm.steps)&gt;2,LEFT(_xlpm.steps,LEN(_xlpm.steps)-2),0)))</f>
        <v>0</v>
      </c>
      <c r="E581">
        <f>_xlfn.LET(_xlpm.dir,Table13[[#This Row],[Direction]],
IF(_xlpm.dir="L",
    IF(G580-Table13[[#This Row],[Steps]]&lt;0,100+(G580-Table13[[#This Row],[Steps]]),G580-Table13[[#This Row],[Steps]]),
))</f>
        <v>60</v>
      </c>
      <c r="F581">
        <f>_xlfn.LET(_xlpm.dir,Table13[[#This Row],[Direction]],
IF(_xlpm.dir="R",
    IF(G580+Table13[[#This Row],[Steps]]&gt;99,(G580+Table13[[#This Row],[Steps]])-100,G580+Table13[[#This Row],[Steps]]),
))</f>
        <v>0</v>
      </c>
      <c r="G581">
        <f>IF(Table13[[#This Row],[New Pos L]]&lt;&gt;0,Table13[[#This Row],[New Pos L]],Table13[[#This Row],[New Pos R]])</f>
        <v>60</v>
      </c>
      <c r="H581">
        <f>IF(AND(Table13[[#This Row],[Direction]]="L",Table13[[#This Row],[Steps]]&gt;G580,G580&lt;&gt;0),1,0)</f>
        <v>1</v>
      </c>
      <c r="I581">
        <f>IF(AND(Table13[[#This Row],[Direction]]="R",(G580+Table13[[#This Row],[Steps]])&gt;100),1,0)</f>
        <v>0</v>
      </c>
      <c r="J581">
        <f>IF(Table13[[#This Row],[POS]]=0,1,0)</f>
        <v>0</v>
      </c>
      <c r="K581">
        <f>SUM(Table13[[#This Row],[prefix]],Table13[[#This Row],[Past zero L]],Table13[[#This Row],[Past Zero R]],Table13[[#This Row],[Is Zero]])</f>
        <v>1</v>
      </c>
    </row>
    <row r="582" spans="1:11" ht="16" x14ac:dyDescent="0.2">
      <c r="A582" s="1" t="s">
        <v>274</v>
      </c>
      <c r="B582" t="str">
        <f>LEFT(Table13[[#This Row],[Input]],1)</f>
        <v>R</v>
      </c>
      <c r="C582">
        <f>_xlfn.LET(_xlpm.steps,SUBSTITUTE(Table13[[#This Row],[Input]],Table13[[#This Row],[Direction]],""),VALUE(IF(LEN(_xlpm.steps)&gt;2,RIGHT(_xlpm.steps,2),_xlpm.steps)))</f>
        <v>40</v>
      </c>
      <c r="D582">
        <f>_xlfn.LET(_xlpm.steps,SUBSTITUTE(Table13[[#This Row],[Input]],Table13[[#This Row],[Direction]],""),VALUE(IF(LEN(_xlpm.steps)&gt;2,LEFT(_xlpm.steps,LEN(_xlpm.steps)-2),0)))</f>
        <v>1</v>
      </c>
      <c r="E582">
        <f>_xlfn.LET(_xlpm.dir,Table13[[#This Row],[Direction]],
IF(_xlpm.dir="L",
    IF(G581-Table13[[#This Row],[Steps]]&lt;0,100+(G581-Table13[[#This Row],[Steps]]),G581-Table13[[#This Row],[Steps]]),
))</f>
        <v>0</v>
      </c>
      <c r="F582">
        <f>_xlfn.LET(_xlpm.dir,Table13[[#This Row],[Direction]],
IF(_xlpm.dir="R",
    IF(G581+Table13[[#This Row],[Steps]]&gt;99,(G581+Table13[[#This Row],[Steps]])-100,G581+Table13[[#This Row],[Steps]]),
))</f>
        <v>0</v>
      </c>
      <c r="G582">
        <f>IF(Table13[[#This Row],[New Pos L]]&lt;&gt;0,Table13[[#This Row],[New Pos L]],Table13[[#This Row],[New Pos R]])</f>
        <v>0</v>
      </c>
      <c r="H582">
        <f>IF(AND(Table13[[#This Row],[Direction]]="L",Table13[[#This Row],[Steps]]&gt;G581,G581&lt;&gt;0),1,0)</f>
        <v>0</v>
      </c>
      <c r="I582">
        <f>IF(AND(Table13[[#This Row],[Direction]]="R",(G581+Table13[[#This Row],[Steps]])&gt;100),1,0)</f>
        <v>0</v>
      </c>
      <c r="J582">
        <f>IF(Table13[[#This Row],[POS]]=0,1,0)</f>
        <v>1</v>
      </c>
      <c r="K582">
        <f>SUM(Table13[[#This Row],[prefix]],Table13[[#This Row],[Past zero L]],Table13[[#This Row],[Past Zero R]],Table13[[#This Row],[Is Zero]])</f>
        <v>2</v>
      </c>
    </row>
    <row r="583" spans="1:11" ht="16" x14ac:dyDescent="0.2">
      <c r="A583" s="1" t="s">
        <v>141</v>
      </c>
      <c r="B583" t="str">
        <f>LEFT(Table13[[#This Row],[Input]],1)</f>
        <v>L</v>
      </c>
      <c r="C583">
        <f>_xlfn.LET(_xlpm.steps,SUBSTITUTE(Table13[[#This Row],[Input]],Table13[[#This Row],[Direction]],""),VALUE(IF(LEN(_xlpm.steps)&gt;2,RIGHT(_xlpm.steps,2),_xlpm.steps)))</f>
        <v>90</v>
      </c>
      <c r="D583">
        <f>_xlfn.LET(_xlpm.steps,SUBSTITUTE(Table13[[#This Row],[Input]],Table13[[#This Row],[Direction]],""),VALUE(IF(LEN(_xlpm.steps)&gt;2,LEFT(_xlpm.steps,LEN(_xlpm.steps)-2),0)))</f>
        <v>0</v>
      </c>
      <c r="E583">
        <f>_xlfn.LET(_xlpm.dir,Table13[[#This Row],[Direction]],
IF(_xlpm.dir="L",
    IF(G582-Table13[[#This Row],[Steps]]&lt;0,100+(G582-Table13[[#This Row],[Steps]]),G582-Table13[[#This Row],[Steps]]),
))</f>
        <v>10</v>
      </c>
      <c r="F583">
        <f>_xlfn.LET(_xlpm.dir,Table13[[#This Row],[Direction]],
IF(_xlpm.dir="R",
    IF(G582+Table13[[#This Row],[Steps]]&gt;99,(G582+Table13[[#This Row],[Steps]])-100,G582+Table13[[#This Row],[Steps]]),
))</f>
        <v>0</v>
      </c>
      <c r="G583">
        <f>IF(Table13[[#This Row],[New Pos L]]&lt;&gt;0,Table13[[#This Row],[New Pos L]],Table13[[#This Row],[New Pos R]])</f>
        <v>10</v>
      </c>
      <c r="H583">
        <f>IF(AND(Table13[[#This Row],[Direction]]="L",Table13[[#This Row],[Steps]]&gt;G582,G582&lt;&gt;0),1,0)</f>
        <v>0</v>
      </c>
      <c r="I583">
        <f>IF(AND(Table13[[#This Row],[Direction]]="R",(G582+Table13[[#This Row],[Steps]])&gt;100),1,0)</f>
        <v>0</v>
      </c>
      <c r="J583">
        <f>IF(Table13[[#This Row],[POS]]=0,1,0)</f>
        <v>0</v>
      </c>
      <c r="K583">
        <f>SUM(Table13[[#This Row],[prefix]],Table13[[#This Row],[Past zero L]],Table13[[#This Row],[Past Zero R]],Table13[[#This Row],[Is Zero]])</f>
        <v>0</v>
      </c>
    </row>
    <row r="584" spans="1:11" ht="16" x14ac:dyDescent="0.2">
      <c r="A584" s="1" t="s">
        <v>16</v>
      </c>
      <c r="B584" t="str">
        <f>LEFT(Table13[[#This Row],[Input]],1)</f>
        <v>L</v>
      </c>
      <c r="C584">
        <f>_xlfn.LET(_xlpm.steps,SUBSTITUTE(Table13[[#This Row],[Input]],Table13[[#This Row],[Direction]],""),VALUE(IF(LEN(_xlpm.steps)&gt;2,RIGHT(_xlpm.steps,2),_xlpm.steps)))</f>
        <v>10</v>
      </c>
      <c r="D584">
        <f>_xlfn.LET(_xlpm.steps,SUBSTITUTE(Table13[[#This Row],[Input]],Table13[[#This Row],[Direction]],""),VALUE(IF(LEN(_xlpm.steps)&gt;2,LEFT(_xlpm.steps,LEN(_xlpm.steps)-2),0)))</f>
        <v>0</v>
      </c>
      <c r="E584">
        <f>_xlfn.LET(_xlpm.dir,Table13[[#This Row],[Direction]],
IF(_xlpm.dir="L",
    IF(G583-Table13[[#This Row],[Steps]]&lt;0,100+(G583-Table13[[#This Row],[Steps]]),G583-Table13[[#This Row],[Steps]]),
))</f>
        <v>0</v>
      </c>
      <c r="F584">
        <f>_xlfn.LET(_xlpm.dir,Table13[[#This Row],[Direction]],
IF(_xlpm.dir="R",
    IF(G583+Table13[[#This Row],[Steps]]&gt;99,(G583+Table13[[#This Row],[Steps]])-100,G583+Table13[[#This Row],[Steps]]),
))</f>
        <v>0</v>
      </c>
      <c r="G584">
        <f>IF(Table13[[#This Row],[New Pos L]]&lt;&gt;0,Table13[[#This Row],[New Pos L]],Table13[[#This Row],[New Pos R]])</f>
        <v>0</v>
      </c>
      <c r="H584">
        <f>IF(AND(Table13[[#This Row],[Direction]]="L",Table13[[#This Row],[Steps]]&gt;G583,G583&lt;&gt;0),1,0)</f>
        <v>0</v>
      </c>
      <c r="I584">
        <f>IF(AND(Table13[[#This Row],[Direction]]="R",(G583+Table13[[#This Row],[Steps]])&gt;100),1,0)</f>
        <v>0</v>
      </c>
      <c r="J584">
        <f>IF(Table13[[#This Row],[POS]]=0,1,0)</f>
        <v>1</v>
      </c>
      <c r="K584">
        <f>SUM(Table13[[#This Row],[prefix]],Table13[[#This Row],[Past zero L]],Table13[[#This Row],[Past Zero R]],Table13[[#This Row],[Is Zero]])</f>
        <v>1</v>
      </c>
    </row>
    <row r="585" spans="1:11" ht="16" x14ac:dyDescent="0.2">
      <c r="A585" s="1" t="s">
        <v>94</v>
      </c>
      <c r="B585" t="str">
        <f>LEFT(Table13[[#This Row],[Input]],1)</f>
        <v>L</v>
      </c>
      <c r="C585">
        <f>_xlfn.LET(_xlpm.steps,SUBSTITUTE(Table13[[#This Row],[Input]],Table13[[#This Row],[Direction]],""),VALUE(IF(LEN(_xlpm.steps)&gt;2,RIGHT(_xlpm.steps,2),_xlpm.steps)))</f>
        <v>71</v>
      </c>
      <c r="D585">
        <f>_xlfn.LET(_xlpm.steps,SUBSTITUTE(Table13[[#This Row],[Input]],Table13[[#This Row],[Direction]],""),VALUE(IF(LEN(_xlpm.steps)&gt;2,LEFT(_xlpm.steps,LEN(_xlpm.steps)-2),0)))</f>
        <v>0</v>
      </c>
      <c r="E585">
        <f>_xlfn.LET(_xlpm.dir,Table13[[#This Row],[Direction]],
IF(_xlpm.dir="L",
    IF(G584-Table13[[#This Row],[Steps]]&lt;0,100+(G584-Table13[[#This Row],[Steps]]),G584-Table13[[#This Row],[Steps]]),
))</f>
        <v>29</v>
      </c>
      <c r="F585">
        <f>_xlfn.LET(_xlpm.dir,Table13[[#This Row],[Direction]],
IF(_xlpm.dir="R",
    IF(G584+Table13[[#This Row],[Steps]]&gt;99,(G584+Table13[[#This Row],[Steps]])-100,G584+Table13[[#This Row],[Steps]]),
))</f>
        <v>0</v>
      </c>
      <c r="G585">
        <f>IF(Table13[[#This Row],[New Pos L]]&lt;&gt;0,Table13[[#This Row],[New Pos L]],Table13[[#This Row],[New Pos R]])</f>
        <v>29</v>
      </c>
      <c r="H585">
        <f>IF(AND(Table13[[#This Row],[Direction]]="L",Table13[[#This Row],[Steps]]&gt;G584,G584&lt;&gt;0),1,0)</f>
        <v>0</v>
      </c>
      <c r="I585">
        <f>IF(AND(Table13[[#This Row],[Direction]]="R",(G584+Table13[[#This Row],[Steps]])&gt;100),1,0)</f>
        <v>0</v>
      </c>
      <c r="J585">
        <f>IF(Table13[[#This Row],[POS]]=0,1,0)</f>
        <v>0</v>
      </c>
      <c r="K585">
        <f>SUM(Table13[[#This Row],[prefix]],Table13[[#This Row],[Past zero L]],Table13[[#This Row],[Past Zero R]],Table13[[#This Row],[Is Zero]])</f>
        <v>0</v>
      </c>
    </row>
    <row r="586" spans="1:11" ht="16" x14ac:dyDescent="0.2">
      <c r="A586" s="1" t="s">
        <v>115</v>
      </c>
      <c r="B586" t="str">
        <f>LEFT(Table13[[#This Row],[Input]],1)</f>
        <v>L</v>
      </c>
      <c r="C586">
        <f>_xlfn.LET(_xlpm.steps,SUBSTITUTE(Table13[[#This Row],[Input]],Table13[[#This Row],[Direction]],""),VALUE(IF(LEN(_xlpm.steps)&gt;2,RIGHT(_xlpm.steps,2),_xlpm.steps)))</f>
        <v>29</v>
      </c>
      <c r="D586">
        <f>_xlfn.LET(_xlpm.steps,SUBSTITUTE(Table13[[#This Row],[Input]],Table13[[#This Row],[Direction]],""),VALUE(IF(LEN(_xlpm.steps)&gt;2,LEFT(_xlpm.steps,LEN(_xlpm.steps)-2),0)))</f>
        <v>0</v>
      </c>
      <c r="E586">
        <f>_xlfn.LET(_xlpm.dir,Table13[[#This Row],[Direction]],
IF(_xlpm.dir="L",
    IF(G585-Table13[[#This Row],[Steps]]&lt;0,100+(G585-Table13[[#This Row],[Steps]]),G585-Table13[[#This Row],[Steps]]),
))</f>
        <v>0</v>
      </c>
      <c r="F586">
        <f>_xlfn.LET(_xlpm.dir,Table13[[#This Row],[Direction]],
IF(_xlpm.dir="R",
    IF(G585+Table13[[#This Row],[Steps]]&gt;99,(G585+Table13[[#This Row],[Steps]])-100,G585+Table13[[#This Row],[Steps]]),
))</f>
        <v>0</v>
      </c>
      <c r="G586">
        <f>IF(Table13[[#This Row],[New Pos L]]&lt;&gt;0,Table13[[#This Row],[New Pos L]],Table13[[#This Row],[New Pos R]])</f>
        <v>0</v>
      </c>
      <c r="H586">
        <f>IF(AND(Table13[[#This Row],[Direction]]="L",Table13[[#This Row],[Steps]]&gt;G585,G585&lt;&gt;0),1,0)</f>
        <v>0</v>
      </c>
      <c r="I586">
        <f>IF(AND(Table13[[#This Row],[Direction]]="R",(G585+Table13[[#This Row],[Steps]])&gt;100),1,0)</f>
        <v>0</v>
      </c>
      <c r="J586">
        <f>IF(Table13[[#This Row],[POS]]=0,1,0)</f>
        <v>1</v>
      </c>
      <c r="K586">
        <f>SUM(Table13[[#This Row],[prefix]],Table13[[#This Row],[Past zero L]],Table13[[#This Row],[Past Zero R]],Table13[[#This Row],[Is Zero]])</f>
        <v>1</v>
      </c>
    </row>
    <row r="587" spans="1:11" ht="16" x14ac:dyDescent="0.2">
      <c r="A587" s="1" t="s">
        <v>199</v>
      </c>
      <c r="B587" t="str">
        <f>LEFT(Table13[[#This Row],[Input]],1)</f>
        <v>R</v>
      </c>
      <c r="C587">
        <f>_xlfn.LET(_xlpm.steps,SUBSTITUTE(Table13[[#This Row],[Input]],Table13[[#This Row],[Direction]],""),VALUE(IF(LEN(_xlpm.steps)&gt;2,RIGHT(_xlpm.steps,2),_xlpm.steps)))</f>
        <v>17</v>
      </c>
      <c r="D587">
        <f>_xlfn.LET(_xlpm.steps,SUBSTITUTE(Table13[[#This Row],[Input]],Table13[[#This Row],[Direction]],""),VALUE(IF(LEN(_xlpm.steps)&gt;2,LEFT(_xlpm.steps,LEN(_xlpm.steps)-2),0)))</f>
        <v>5</v>
      </c>
      <c r="E587">
        <f>_xlfn.LET(_xlpm.dir,Table13[[#This Row],[Direction]],
IF(_xlpm.dir="L",
    IF(G586-Table13[[#This Row],[Steps]]&lt;0,100+(G586-Table13[[#This Row],[Steps]]),G586-Table13[[#This Row],[Steps]]),
))</f>
        <v>0</v>
      </c>
      <c r="F587">
        <f>_xlfn.LET(_xlpm.dir,Table13[[#This Row],[Direction]],
IF(_xlpm.dir="R",
    IF(G586+Table13[[#This Row],[Steps]]&gt;99,(G586+Table13[[#This Row],[Steps]])-100,G586+Table13[[#This Row],[Steps]]),
))</f>
        <v>17</v>
      </c>
      <c r="G587">
        <f>IF(Table13[[#This Row],[New Pos L]]&lt;&gt;0,Table13[[#This Row],[New Pos L]],Table13[[#This Row],[New Pos R]])</f>
        <v>17</v>
      </c>
      <c r="H587">
        <f>IF(AND(Table13[[#This Row],[Direction]]="L",Table13[[#This Row],[Steps]]&gt;G586,G586&lt;&gt;0),1,0)</f>
        <v>0</v>
      </c>
      <c r="I587">
        <f>IF(AND(Table13[[#This Row],[Direction]]="R",(G586+Table13[[#This Row],[Steps]])&gt;100),1,0)</f>
        <v>0</v>
      </c>
      <c r="J587">
        <f>IF(Table13[[#This Row],[POS]]=0,1,0)</f>
        <v>0</v>
      </c>
      <c r="K587">
        <f>SUM(Table13[[#This Row],[prefix]],Table13[[#This Row],[Past zero L]],Table13[[#This Row],[Past Zero R]],Table13[[#This Row],[Is Zero]])</f>
        <v>5</v>
      </c>
    </row>
    <row r="588" spans="1:11" ht="16" x14ac:dyDescent="0.2">
      <c r="A588" s="1" t="s">
        <v>60</v>
      </c>
      <c r="B588" t="str">
        <f>LEFT(Table13[[#This Row],[Input]],1)</f>
        <v>R</v>
      </c>
      <c r="C588">
        <f>_xlfn.LET(_xlpm.steps,SUBSTITUTE(Table13[[#This Row],[Input]],Table13[[#This Row],[Direction]],""),VALUE(IF(LEN(_xlpm.steps)&gt;2,RIGHT(_xlpm.steps,2),_xlpm.steps)))</f>
        <v>86</v>
      </c>
      <c r="D588">
        <f>_xlfn.LET(_xlpm.steps,SUBSTITUTE(Table13[[#This Row],[Input]],Table13[[#This Row],[Direction]],""),VALUE(IF(LEN(_xlpm.steps)&gt;2,LEFT(_xlpm.steps,LEN(_xlpm.steps)-2),0)))</f>
        <v>0</v>
      </c>
      <c r="E588">
        <f>_xlfn.LET(_xlpm.dir,Table13[[#This Row],[Direction]],
IF(_xlpm.dir="L",
    IF(G587-Table13[[#This Row],[Steps]]&lt;0,100+(G587-Table13[[#This Row],[Steps]]),G587-Table13[[#This Row],[Steps]]),
))</f>
        <v>0</v>
      </c>
      <c r="F588">
        <f>_xlfn.LET(_xlpm.dir,Table13[[#This Row],[Direction]],
IF(_xlpm.dir="R",
    IF(G587+Table13[[#This Row],[Steps]]&gt;99,(G587+Table13[[#This Row],[Steps]])-100,G587+Table13[[#This Row],[Steps]]),
))</f>
        <v>3</v>
      </c>
      <c r="G588">
        <f>IF(Table13[[#This Row],[New Pos L]]&lt;&gt;0,Table13[[#This Row],[New Pos L]],Table13[[#This Row],[New Pos R]])</f>
        <v>3</v>
      </c>
      <c r="H588">
        <f>IF(AND(Table13[[#This Row],[Direction]]="L",Table13[[#This Row],[Steps]]&gt;G587,G587&lt;&gt;0),1,0)</f>
        <v>0</v>
      </c>
      <c r="I588">
        <f>IF(AND(Table13[[#This Row],[Direction]]="R",(G587+Table13[[#This Row],[Steps]])&gt;100),1,0)</f>
        <v>1</v>
      </c>
      <c r="J588">
        <f>IF(Table13[[#This Row],[POS]]=0,1,0)</f>
        <v>0</v>
      </c>
      <c r="K588">
        <f>SUM(Table13[[#This Row],[prefix]],Table13[[#This Row],[Past zero L]],Table13[[#This Row],[Past Zero R]],Table13[[#This Row],[Is Zero]])</f>
        <v>1</v>
      </c>
    </row>
    <row r="589" spans="1:11" ht="16" x14ac:dyDescent="0.2">
      <c r="A589" s="1" t="s">
        <v>275</v>
      </c>
      <c r="B589" t="str">
        <f>LEFT(Table13[[#This Row],[Input]],1)</f>
        <v>R</v>
      </c>
      <c r="C589">
        <f>_xlfn.LET(_xlpm.steps,SUBSTITUTE(Table13[[#This Row],[Input]],Table13[[#This Row],[Direction]],""),VALUE(IF(LEN(_xlpm.steps)&gt;2,RIGHT(_xlpm.steps,2),_xlpm.steps)))</f>
        <v>97</v>
      </c>
      <c r="D589">
        <f>_xlfn.LET(_xlpm.steps,SUBSTITUTE(Table13[[#This Row],[Input]],Table13[[#This Row],[Direction]],""),VALUE(IF(LEN(_xlpm.steps)&gt;2,LEFT(_xlpm.steps,LEN(_xlpm.steps)-2),0)))</f>
        <v>3</v>
      </c>
      <c r="E589">
        <f>_xlfn.LET(_xlpm.dir,Table13[[#This Row],[Direction]],
IF(_xlpm.dir="L",
    IF(G588-Table13[[#This Row],[Steps]]&lt;0,100+(G588-Table13[[#This Row],[Steps]]),G588-Table13[[#This Row],[Steps]]),
))</f>
        <v>0</v>
      </c>
      <c r="F589">
        <f>_xlfn.LET(_xlpm.dir,Table13[[#This Row],[Direction]],
IF(_xlpm.dir="R",
    IF(G588+Table13[[#This Row],[Steps]]&gt;99,(G588+Table13[[#This Row],[Steps]])-100,G588+Table13[[#This Row],[Steps]]),
))</f>
        <v>0</v>
      </c>
      <c r="G589">
        <f>IF(Table13[[#This Row],[New Pos L]]&lt;&gt;0,Table13[[#This Row],[New Pos L]],Table13[[#This Row],[New Pos R]])</f>
        <v>0</v>
      </c>
      <c r="H589">
        <f>IF(AND(Table13[[#This Row],[Direction]]="L",Table13[[#This Row],[Steps]]&gt;G588,G588&lt;&gt;0),1,0)</f>
        <v>0</v>
      </c>
      <c r="I589">
        <f>IF(AND(Table13[[#This Row],[Direction]]="R",(G588+Table13[[#This Row],[Steps]])&gt;100),1,0)</f>
        <v>0</v>
      </c>
      <c r="J589">
        <f>IF(Table13[[#This Row],[POS]]=0,1,0)</f>
        <v>1</v>
      </c>
      <c r="K589">
        <f>SUM(Table13[[#This Row],[prefix]],Table13[[#This Row],[Past zero L]],Table13[[#This Row],[Past Zero R]],Table13[[#This Row],[Is Zero]])</f>
        <v>4</v>
      </c>
    </row>
    <row r="590" spans="1:11" ht="16" x14ac:dyDescent="0.2">
      <c r="A590" s="1" t="s">
        <v>213</v>
      </c>
      <c r="B590" t="str">
        <f>LEFT(Table13[[#This Row],[Input]],1)</f>
        <v>R</v>
      </c>
      <c r="C590">
        <f>_xlfn.LET(_xlpm.steps,SUBSTITUTE(Table13[[#This Row],[Input]],Table13[[#This Row],[Direction]],""),VALUE(IF(LEN(_xlpm.steps)&gt;2,RIGHT(_xlpm.steps,2),_xlpm.steps)))</f>
        <v>87</v>
      </c>
      <c r="D590">
        <f>_xlfn.LET(_xlpm.steps,SUBSTITUTE(Table13[[#This Row],[Input]],Table13[[#This Row],[Direction]],""),VALUE(IF(LEN(_xlpm.steps)&gt;2,LEFT(_xlpm.steps,LEN(_xlpm.steps)-2),0)))</f>
        <v>0</v>
      </c>
      <c r="E590">
        <f>_xlfn.LET(_xlpm.dir,Table13[[#This Row],[Direction]],
IF(_xlpm.dir="L",
    IF(G589-Table13[[#This Row],[Steps]]&lt;0,100+(G589-Table13[[#This Row],[Steps]]),G589-Table13[[#This Row],[Steps]]),
))</f>
        <v>0</v>
      </c>
      <c r="F590">
        <f>_xlfn.LET(_xlpm.dir,Table13[[#This Row],[Direction]],
IF(_xlpm.dir="R",
    IF(G589+Table13[[#This Row],[Steps]]&gt;99,(G589+Table13[[#This Row],[Steps]])-100,G589+Table13[[#This Row],[Steps]]),
))</f>
        <v>87</v>
      </c>
      <c r="G590">
        <f>IF(Table13[[#This Row],[New Pos L]]&lt;&gt;0,Table13[[#This Row],[New Pos L]],Table13[[#This Row],[New Pos R]])</f>
        <v>87</v>
      </c>
      <c r="H590">
        <f>IF(AND(Table13[[#This Row],[Direction]]="L",Table13[[#This Row],[Steps]]&gt;G589,G589&lt;&gt;0),1,0)</f>
        <v>0</v>
      </c>
      <c r="I590">
        <f>IF(AND(Table13[[#This Row],[Direction]]="R",(G589+Table13[[#This Row],[Steps]])&gt;100),1,0)</f>
        <v>0</v>
      </c>
      <c r="J590">
        <f>IF(Table13[[#This Row],[POS]]=0,1,0)</f>
        <v>0</v>
      </c>
      <c r="K590">
        <f>SUM(Table13[[#This Row],[prefix]],Table13[[#This Row],[Past zero L]],Table13[[#This Row],[Past Zero R]],Table13[[#This Row],[Is Zero]])</f>
        <v>0</v>
      </c>
    </row>
    <row r="591" spans="1:11" ht="16" x14ac:dyDescent="0.2">
      <c r="A591" s="1" t="s">
        <v>22</v>
      </c>
      <c r="B591" t="str">
        <f>LEFT(Table13[[#This Row],[Input]],1)</f>
        <v>L</v>
      </c>
      <c r="C591">
        <f>_xlfn.LET(_xlpm.steps,SUBSTITUTE(Table13[[#This Row],[Input]],Table13[[#This Row],[Direction]],""),VALUE(IF(LEN(_xlpm.steps)&gt;2,RIGHT(_xlpm.steps,2),_xlpm.steps)))</f>
        <v>37</v>
      </c>
      <c r="D591">
        <f>_xlfn.LET(_xlpm.steps,SUBSTITUTE(Table13[[#This Row],[Input]],Table13[[#This Row],[Direction]],""),VALUE(IF(LEN(_xlpm.steps)&gt;2,LEFT(_xlpm.steps,LEN(_xlpm.steps)-2),0)))</f>
        <v>0</v>
      </c>
      <c r="E591">
        <f>_xlfn.LET(_xlpm.dir,Table13[[#This Row],[Direction]],
IF(_xlpm.dir="L",
    IF(G590-Table13[[#This Row],[Steps]]&lt;0,100+(G590-Table13[[#This Row],[Steps]]),G590-Table13[[#This Row],[Steps]]),
))</f>
        <v>50</v>
      </c>
      <c r="F591">
        <f>_xlfn.LET(_xlpm.dir,Table13[[#This Row],[Direction]],
IF(_xlpm.dir="R",
    IF(G590+Table13[[#This Row],[Steps]]&gt;99,(G590+Table13[[#This Row],[Steps]])-100,G590+Table13[[#This Row],[Steps]]),
))</f>
        <v>0</v>
      </c>
      <c r="G591">
        <f>IF(Table13[[#This Row],[New Pos L]]&lt;&gt;0,Table13[[#This Row],[New Pos L]],Table13[[#This Row],[New Pos R]])</f>
        <v>50</v>
      </c>
      <c r="H591">
        <f>IF(AND(Table13[[#This Row],[Direction]]="L",Table13[[#This Row],[Steps]]&gt;G590,G590&lt;&gt;0),1,0)</f>
        <v>0</v>
      </c>
      <c r="I591">
        <f>IF(AND(Table13[[#This Row],[Direction]]="R",(G590+Table13[[#This Row],[Steps]])&gt;100),1,0)</f>
        <v>0</v>
      </c>
      <c r="J591">
        <f>IF(Table13[[#This Row],[POS]]=0,1,0)</f>
        <v>0</v>
      </c>
      <c r="K591">
        <f>SUM(Table13[[#This Row],[prefix]],Table13[[#This Row],[Past zero L]],Table13[[#This Row],[Past Zero R]],Table13[[#This Row],[Is Zero]])</f>
        <v>0</v>
      </c>
    </row>
    <row r="592" spans="1:11" ht="16" x14ac:dyDescent="0.2">
      <c r="A592" s="1" t="s">
        <v>14</v>
      </c>
      <c r="B592" t="str">
        <f>LEFT(Table13[[#This Row],[Input]],1)</f>
        <v>L</v>
      </c>
      <c r="C592">
        <f>_xlfn.LET(_xlpm.steps,SUBSTITUTE(Table13[[#This Row],[Input]],Table13[[#This Row],[Direction]],""),VALUE(IF(LEN(_xlpm.steps)&gt;2,RIGHT(_xlpm.steps,2),_xlpm.steps)))</f>
        <v>43</v>
      </c>
      <c r="D592">
        <f>_xlfn.LET(_xlpm.steps,SUBSTITUTE(Table13[[#This Row],[Input]],Table13[[#This Row],[Direction]],""),VALUE(IF(LEN(_xlpm.steps)&gt;2,LEFT(_xlpm.steps,LEN(_xlpm.steps)-2),0)))</f>
        <v>0</v>
      </c>
      <c r="E592">
        <f>_xlfn.LET(_xlpm.dir,Table13[[#This Row],[Direction]],
IF(_xlpm.dir="L",
    IF(G591-Table13[[#This Row],[Steps]]&lt;0,100+(G591-Table13[[#This Row],[Steps]]),G591-Table13[[#This Row],[Steps]]),
))</f>
        <v>7</v>
      </c>
      <c r="F592">
        <f>_xlfn.LET(_xlpm.dir,Table13[[#This Row],[Direction]],
IF(_xlpm.dir="R",
    IF(G591+Table13[[#This Row],[Steps]]&gt;99,(G591+Table13[[#This Row],[Steps]])-100,G591+Table13[[#This Row],[Steps]]),
))</f>
        <v>0</v>
      </c>
      <c r="G592">
        <f>IF(Table13[[#This Row],[New Pos L]]&lt;&gt;0,Table13[[#This Row],[New Pos L]],Table13[[#This Row],[New Pos R]])</f>
        <v>7</v>
      </c>
      <c r="H592">
        <f>IF(AND(Table13[[#This Row],[Direction]]="L",Table13[[#This Row],[Steps]]&gt;G591,G591&lt;&gt;0),1,0)</f>
        <v>0</v>
      </c>
      <c r="I592">
        <f>IF(AND(Table13[[#This Row],[Direction]]="R",(G591+Table13[[#This Row],[Steps]])&gt;100),1,0)</f>
        <v>0</v>
      </c>
      <c r="J592">
        <f>IF(Table13[[#This Row],[POS]]=0,1,0)</f>
        <v>0</v>
      </c>
      <c r="K592">
        <f>SUM(Table13[[#This Row],[prefix]],Table13[[#This Row],[Past zero L]],Table13[[#This Row],[Past Zero R]],Table13[[#This Row],[Is Zero]])</f>
        <v>0</v>
      </c>
    </row>
    <row r="593" spans="1:11" ht="16" x14ac:dyDescent="0.2">
      <c r="A593" s="1" t="s">
        <v>10</v>
      </c>
      <c r="B593" t="str">
        <f>LEFT(Table13[[#This Row],[Input]],1)</f>
        <v>L</v>
      </c>
      <c r="C593">
        <f>_xlfn.LET(_xlpm.steps,SUBSTITUTE(Table13[[#This Row],[Input]],Table13[[#This Row],[Direction]],""),VALUE(IF(LEN(_xlpm.steps)&gt;2,RIGHT(_xlpm.steps,2),_xlpm.steps)))</f>
        <v>35</v>
      </c>
      <c r="D593">
        <f>_xlfn.LET(_xlpm.steps,SUBSTITUTE(Table13[[#This Row],[Input]],Table13[[#This Row],[Direction]],""),VALUE(IF(LEN(_xlpm.steps)&gt;2,LEFT(_xlpm.steps,LEN(_xlpm.steps)-2),0)))</f>
        <v>0</v>
      </c>
      <c r="E593">
        <f>_xlfn.LET(_xlpm.dir,Table13[[#This Row],[Direction]],
IF(_xlpm.dir="L",
    IF(G592-Table13[[#This Row],[Steps]]&lt;0,100+(G592-Table13[[#This Row],[Steps]]),G592-Table13[[#This Row],[Steps]]),
))</f>
        <v>72</v>
      </c>
      <c r="F593">
        <f>_xlfn.LET(_xlpm.dir,Table13[[#This Row],[Direction]],
IF(_xlpm.dir="R",
    IF(G592+Table13[[#This Row],[Steps]]&gt;99,(G592+Table13[[#This Row],[Steps]])-100,G592+Table13[[#This Row],[Steps]]),
))</f>
        <v>0</v>
      </c>
      <c r="G593">
        <f>IF(Table13[[#This Row],[New Pos L]]&lt;&gt;0,Table13[[#This Row],[New Pos L]],Table13[[#This Row],[New Pos R]])</f>
        <v>72</v>
      </c>
      <c r="H593">
        <f>IF(AND(Table13[[#This Row],[Direction]]="L",Table13[[#This Row],[Steps]]&gt;G592,G592&lt;&gt;0),1,0)</f>
        <v>1</v>
      </c>
      <c r="I593">
        <f>IF(AND(Table13[[#This Row],[Direction]]="R",(G592+Table13[[#This Row],[Steps]])&gt;100),1,0)</f>
        <v>0</v>
      </c>
      <c r="J593">
        <f>IF(Table13[[#This Row],[POS]]=0,1,0)</f>
        <v>0</v>
      </c>
      <c r="K593">
        <f>SUM(Table13[[#This Row],[prefix]],Table13[[#This Row],[Past zero L]],Table13[[#This Row],[Past Zero R]],Table13[[#This Row],[Is Zero]])</f>
        <v>1</v>
      </c>
    </row>
    <row r="594" spans="1:11" ht="16" x14ac:dyDescent="0.2">
      <c r="A594" s="1" t="s">
        <v>137</v>
      </c>
      <c r="B594" t="str">
        <f>LEFT(Table13[[#This Row],[Input]],1)</f>
        <v>R</v>
      </c>
      <c r="C594">
        <f>_xlfn.LET(_xlpm.steps,SUBSTITUTE(Table13[[#This Row],[Input]],Table13[[#This Row],[Direction]],""),VALUE(IF(LEN(_xlpm.steps)&gt;2,RIGHT(_xlpm.steps,2),_xlpm.steps)))</f>
        <v>28</v>
      </c>
      <c r="D594">
        <f>_xlfn.LET(_xlpm.steps,SUBSTITUTE(Table13[[#This Row],[Input]],Table13[[#This Row],[Direction]],""),VALUE(IF(LEN(_xlpm.steps)&gt;2,LEFT(_xlpm.steps,LEN(_xlpm.steps)-2),0)))</f>
        <v>0</v>
      </c>
      <c r="E594">
        <f>_xlfn.LET(_xlpm.dir,Table13[[#This Row],[Direction]],
IF(_xlpm.dir="L",
    IF(G593-Table13[[#This Row],[Steps]]&lt;0,100+(G593-Table13[[#This Row],[Steps]]),G593-Table13[[#This Row],[Steps]]),
))</f>
        <v>0</v>
      </c>
      <c r="F594">
        <f>_xlfn.LET(_xlpm.dir,Table13[[#This Row],[Direction]],
IF(_xlpm.dir="R",
    IF(G593+Table13[[#This Row],[Steps]]&gt;99,(G593+Table13[[#This Row],[Steps]])-100,G593+Table13[[#This Row],[Steps]]),
))</f>
        <v>0</v>
      </c>
      <c r="G594">
        <f>IF(Table13[[#This Row],[New Pos L]]&lt;&gt;0,Table13[[#This Row],[New Pos L]],Table13[[#This Row],[New Pos R]])</f>
        <v>0</v>
      </c>
      <c r="H594">
        <f>IF(AND(Table13[[#This Row],[Direction]]="L",Table13[[#This Row],[Steps]]&gt;G593,G593&lt;&gt;0),1,0)</f>
        <v>0</v>
      </c>
      <c r="I594">
        <f>IF(AND(Table13[[#This Row],[Direction]]="R",(G593+Table13[[#This Row],[Steps]])&gt;100),1,0)</f>
        <v>0</v>
      </c>
      <c r="J594">
        <f>IF(Table13[[#This Row],[POS]]=0,1,0)</f>
        <v>1</v>
      </c>
      <c r="K594">
        <f>SUM(Table13[[#This Row],[prefix]],Table13[[#This Row],[Past zero L]],Table13[[#This Row],[Past Zero R]],Table13[[#This Row],[Is Zero]])</f>
        <v>1</v>
      </c>
    </row>
    <row r="595" spans="1:11" ht="16" x14ac:dyDescent="0.2">
      <c r="A595" s="1" t="s">
        <v>15</v>
      </c>
      <c r="B595" t="str">
        <f>LEFT(Table13[[#This Row],[Input]],1)</f>
        <v>R</v>
      </c>
      <c r="C595">
        <f>_xlfn.LET(_xlpm.steps,SUBSTITUTE(Table13[[#This Row],[Input]],Table13[[#This Row],[Direction]],""),VALUE(IF(LEN(_xlpm.steps)&gt;2,RIGHT(_xlpm.steps,2),_xlpm.steps)))</f>
        <v>36</v>
      </c>
      <c r="D595">
        <f>_xlfn.LET(_xlpm.steps,SUBSTITUTE(Table13[[#This Row],[Input]],Table13[[#This Row],[Direction]],""),VALUE(IF(LEN(_xlpm.steps)&gt;2,LEFT(_xlpm.steps,LEN(_xlpm.steps)-2),0)))</f>
        <v>0</v>
      </c>
      <c r="E595">
        <f>_xlfn.LET(_xlpm.dir,Table13[[#This Row],[Direction]],
IF(_xlpm.dir="L",
    IF(G594-Table13[[#This Row],[Steps]]&lt;0,100+(G594-Table13[[#This Row],[Steps]]),G594-Table13[[#This Row],[Steps]]),
))</f>
        <v>0</v>
      </c>
      <c r="F595">
        <f>_xlfn.LET(_xlpm.dir,Table13[[#This Row],[Direction]],
IF(_xlpm.dir="R",
    IF(G594+Table13[[#This Row],[Steps]]&gt;99,(G594+Table13[[#This Row],[Steps]])-100,G594+Table13[[#This Row],[Steps]]),
))</f>
        <v>36</v>
      </c>
      <c r="G595">
        <f>IF(Table13[[#This Row],[New Pos L]]&lt;&gt;0,Table13[[#This Row],[New Pos L]],Table13[[#This Row],[New Pos R]])</f>
        <v>36</v>
      </c>
      <c r="H595">
        <f>IF(AND(Table13[[#This Row],[Direction]]="L",Table13[[#This Row],[Steps]]&gt;G594,G594&lt;&gt;0),1,0)</f>
        <v>0</v>
      </c>
      <c r="I595">
        <f>IF(AND(Table13[[#This Row],[Direction]]="R",(G594+Table13[[#This Row],[Steps]])&gt;100),1,0)</f>
        <v>0</v>
      </c>
      <c r="J595">
        <f>IF(Table13[[#This Row],[POS]]=0,1,0)</f>
        <v>0</v>
      </c>
      <c r="K595">
        <f>SUM(Table13[[#This Row],[prefix]],Table13[[#This Row],[Past zero L]],Table13[[#This Row],[Past Zero R]],Table13[[#This Row],[Is Zero]])</f>
        <v>0</v>
      </c>
    </row>
    <row r="596" spans="1:11" ht="16" x14ac:dyDescent="0.2">
      <c r="A596" s="1" t="s">
        <v>276</v>
      </c>
      <c r="B596" t="str">
        <f>LEFT(Table13[[#This Row],[Input]],1)</f>
        <v>L</v>
      </c>
      <c r="C596">
        <f>_xlfn.LET(_xlpm.steps,SUBSTITUTE(Table13[[#This Row],[Input]],Table13[[#This Row],[Direction]],""),VALUE(IF(LEN(_xlpm.steps)&gt;2,RIGHT(_xlpm.steps,2),_xlpm.steps)))</f>
        <v>60</v>
      </c>
      <c r="D596">
        <f>_xlfn.LET(_xlpm.steps,SUBSTITUTE(Table13[[#This Row],[Input]],Table13[[#This Row],[Direction]],""),VALUE(IF(LEN(_xlpm.steps)&gt;2,LEFT(_xlpm.steps,LEN(_xlpm.steps)-2),0)))</f>
        <v>0</v>
      </c>
      <c r="E596">
        <f>_xlfn.LET(_xlpm.dir,Table13[[#This Row],[Direction]],
IF(_xlpm.dir="L",
    IF(G595-Table13[[#This Row],[Steps]]&lt;0,100+(G595-Table13[[#This Row],[Steps]]),G595-Table13[[#This Row],[Steps]]),
))</f>
        <v>76</v>
      </c>
      <c r="F596">
        <f>_xlfn.LET(_xlpm.dir,Table13[[#This Row],[Direction]],
IF(_xlpm.dir="R",
    IF(G595+Table13[[#This Row],[Steps]]&gt;99,(G595+Table13[[#This Row],[Steps]])-100,G595+Table13[[#This Row],[Steps]]),
))</f>
        <v>0</v>
      </c>
      <c r="G596">
        <f>IF(Table13[[#This Row],[New Pos L]]&lt;&gt;0,Table13[[#This Row],[New Pos L]],Table13[[#This Row],[New Pos R]])</f>
        <v>76</v>
      </c>
      <c r="H596">
        <f>IF(AND(Table13[[#This Row],[Direction]]="L",Table13[[#This Row],[Steps]]&gt;G595,G595&lt;&gt;0),1,0)</f>
        <v>1</v>
      </c>
      <c r="I596">
        <f>IF(AND(Table13[[#This Row],[Direction]]="R",(G595+Table13[[#This Row],[Steps]])&gt;100),1,0)</f>
        <v>0</v>
      </c>
      <c r="J596">
        <f>IF(Table13[[#This Row],[POS]]=0,1,0)</f>
        <v>0</v>
      </c>
      <c r="K596">
        <f>SUM(Table13[[#This Row],[prefix]],Table13[[#This Row],[Past zero L]],Table13[[#This Row],[Past Zero R]],Table13[[#This Row],[Is Zero]])</f>
        <v>1</v>
      </c>
    </row>
    <row r="597" spans="1:11" ht="16" x14ac:dyDescent="0.2">
      <c r="A597" s="1" t="s">
        <v>134</v>
      </c>
      <c r="B597" t="str">
        <f>LEFT(Table13[[#This Row],[Input]],1)</f>
        <v>L</v>
      </c>
      <c r="C597">
        <f>_xlfn.LET(_xlpm.steps,SUBSTITUTE(Table13[[#This Row],[Input]],Table13[[#This Row],[Direction]],""),VALUE(IF(LEN(_xlpm.steps)&gt;2,RIGHT(_xlpm.steps,2),_xlpm.steps)))</f>
        <v>95</v>
      </c>
      <c r="D597">
        <f>_xlfn.LET(_xlpm.steps,SUBSTITUTE(Table13[[#This Row],[Input]],Table13[[#This Row],[Direction]],""),VALUE(IF(LEN(_xlpm.steps)&gt;2,LEFT(_xlpm.steps,LEN(_xlpm.steps)-2),0)))</f>
        <v>0</v>
      </c>
      <c r="E597">
        <f>_xlfn.LET(_xlpm.dir,Table13[[#This Row],[Direction]],
IF(_xlpm.dir="L",
    IF(G596-Table13[[#This Row],[Steps]]&lt;0,100+(G596-Table13[[#This Row],[Steps]]),G596-Table13[[#This Row],[Steps]]),
))</f>
        <v>81</v>
      </c>
      <c r="F597">
        <f>_xlfn.LET(_xlpm.dir,Table13[[#This Row],[Direction]],
IF(_xlpm.dir="R",
    IF(G596+Table13[[#This Row],[Steps]]&gt;99,(G596+Table13[[#This Row],[Steps]])-100,G596+Table13[[#This Row],[Steps]]),
))</f>
        <v>0</v>
      </c>
      <c r="G597">
        <f>IF(Table13[[#This Row],[New Pos L]]&lt;&gt;0,Table13[[#This Row],[New Pos L]],Table13[[#This Row],[New Pos R]])</f>
        <v>81</v>
      </c>
      <c r="H597">
        <f>IF(AND(Table13[[#This Row],[Direction]]="L",Table13[[#This Row],[Steps]]&gt;G596,G596&lt;&gt;0),1,0)</f>
        <v>1</v>
      </c>
      <c r="I597">
        <f>IF(AND(Table13[[#This Row],[Direction]]="R",(G596+Table13[[#This Row],[Steps]])&gt;100),1,0)</f>
        <v>0</v>
      </c>
      <c r="J597">
        <f>IF(Table13[[#This Row],[POS]]=0,1,0)</f>
        <v>0</v>
      </c>
      <c r="K597">
        <f>SUM(Table13[[#This Row],[prefix]],Table13[[#This Row],[Past zero L]],Table13[[#This Row],[Past Zero R]],Table13[[#This Row],[Is Zero]])</f>
        <v>1</v>
      </c>
    </row>
    <row r="598" spans="1:11" ht="16" x14ac:dyDescent="0.2">
      <c r="A598" s="1" t="s">
        <v>121</v>
      </c>
      <c r="B598" t="str">
        <f>LEFT(Table13[[#This Row],[Input]],1)</f>
        <v>L</v>
      </c>
      <c r="C598">
        <f>_xlfn.LET(_xlpm.steps,SUBSTITUTE(Table13[[#This Row],[Input]],Table13[[#This Row],[Direction]],""),VALUE(IF(LEN(_xlpm.steps)&gt;2,RIGHT(_xlpm.steps,2),_xlpm.steps)))</f>
        <v>69</v>
      </c>
      <c r="D598">
        <f>_xlfn.LET(_xlpm.steps,SUBSTITUTE(Table13[[#This Row],[Input]],Table13[[#This Row],[Direction]],""),VALUE(IF(LEN(_xlpm.steps)&gt;2,LEFT(_xlpm.steps,LEN(_xlpm.steps)-2),0)))</f>
        <v>0</v>
      </c>
      <c r="E598">
        <f>_xlfn.LET(_xlpm.dir,Table13[[#This Row],[Direction]],
IF(_xlpm.dir="L",
    IF(G597-Table13[[#This Row],[Steps]]&lt;0,100+(G597-Table13[[#This Row],[Steps]]),G597-Table13[[#This Row],[Steps]]),
))</f>
        <v>12</v>
      </c>
      <c r="F598">
        <f>_xlfn.LET(_xlpm.dir,Table13[[#This Row],[Direction]],
IF(_xlpm.dir="R",
    IF(G597+Table13[[#This Row],[Steps]]&gt;99,(G597+Table13[[#This Row],[Steps]])-100,G597+Table13[[#This Row],[Steps]]),
))</f>
        <v>0</v>
      </c>
      <c r="G598">
        <f>IF(Table13[[#This Row],[New Pos L]]&lt;&gt;0,Table13[[#This Row],[New Pos L]],Table13[[#This Row],[New Pos R]])</f>
        <v>12</v>
      </c>
      <c r="H598">
        <f>IF(AND(Table13[[#This Row],[Direction]]="L",Table13[[#This Row],[Steps]]&gt;G597,G597&lt;&gt;0),1,0)</f>
        <v>0</v>
      </c>
      <c r="I598">
        <f>IF(AND(Table13[[#This Row],[Direction]]="R",(G597+Table13[[#This Row],[Steps]])&gt;100),1,0)</f>
        <v>0</v>
      </c>
      <c r="J598">
        <f>IF(Table13[[#This Row],[POS]]=0,1,0)</f>
        <v>0</v>
      </c>
      <c r="K598">
        <f>SUM(Table13[[#This Row],[prefix]],Table13[[#This Row],[Past zero L]],Table13[[#This Row],[Past Zero R]],Table13[[#This Row],[Is Zero]])</f>
        <v>0</v>
      </c>
    </row>
    <row r="599" spans="1:11" ht="16" x14ac:dyDescent="0.2">
      <c r="A599" s="1" t="s">
        <v>3</v>
      </c>
      <c r="B599" t="str">
        <f>LEFT(Table13[[#This Row],[Input]],1)</f>
        <v>R</v>
      </c>
      <c r="C599">
        <f>_xlfn.LET(_xlpm.steps,SUBSTITUTE(Table13[[#This Row],[Input]],Table13[[#This Row],[Direction]],""),VALUE(IF(LEN(_xlpm.steps)&gt;2,RIGHT(_xlpm.steps,2),_xlpm.steps)))</f>
        <v>44</v>
      </c>
      <c r="D599">
        <f>_xlfn.LET(_xlpm.steps,SUBSTITUTE(Table13[[#This Row],[Input]],Table13[[#This Row],[Direction]],""),VALUE(IF(LEN(_xlpm.steps)&gt;2,LEFT(_xlpm.steps,LEN(_xlpm.steps)-2),0)))</f>
        <v>0</v>
      </c>
      <c r="E599">
        <f>_xlfn.LET(_xlpm.dir,Table13[[#This Row],[Direction]],
IF(_xlpm.dir="L",
    IF(G598-Table13[[#This Row],[Steps]]&lt;0,100+(G598-Table13[[#This Row],[Steps]]),G598-Table13[[#This Row],[Steps]]),
))</f>
        <v>0</v>
      </c>
      <c r="F599">
        <f>_xlfn.LET(_xlpm.dir,Table13[[#This Row],[Direction]],
IF(_xlpm.dir="R",
    IF(G598+Table13[[#This Row],[Steps]]&gt;99,(G598+Table13[[#This Row],[Steps]])-100,G598+Table13[[#This Row],[Steps]]),
))</f>
        <v>56</v>
      </c>
      <c r="G599">
        <f>IF(Table13[[#This Row],[New Pos L]]&lt;&gt;0,Table13[[#This Row],[New Pos L]],Table13[[#This Row],[New Pos R]])</f>
        <v>56</v>
      </c>
      <c r="H599">
        <f>IF(AND(Table13[[#This Row],[Direction]]="L",Table13[[#This Row],[Steps]]&gt;G598,G598&lt;&gt;0),1,0)</f>
        <v>0</v>
      </c>
      <c r="I599">
        <f>IF(AND(Table13[[#This Row],[Direction]]="R",(G598+Table13[[#This Row],[Steps]])&gt;100),1,0)</f>
        <v>0</v>
      </c>
      <c r="J599">
        <f>IF(Table13[[#This Row],[POS]]=0,1,0)</f>
        <v>0</v>
      </c>
      <c r="K599">
        <f>SUM(Table13[[#This Row],[prefix]],Table13[[#This Row],[Past zero L]],Table13[[#This Row],[Past Zero R]],Table13[[#This Row],[Is Zero]])</f>
        <v>0</v>
      </c>
    </row>
    <row r="600" spans="1:11" ht="16" x14ac:dyDescent="0.2">
      <c r="A600" s="1" t="s">
        <v>218</v>
      </c>
      <c r="B600" t="str">
        <f>LEFT(Table13[[#This Row],[Input]],1)</f>
        <v>R</v>
      </c>
      <c r="C600">
        <f>_xlfn.LET(_xlpm.steps,SUBSTITUTE(Table13[[#This Row],[Input]],Table13[[#This Row],[Direction]],""),VALUE(IF(LEN(_xlpm.steps)&gt;2,RIGHT(_xlpm.steps,2),_xlpm.steps)))</f>
        <v>35</v>
      </c>
      <c r="D600">
        <f>_xlfn.LET(_xlpm.steps,SUBSTITUTE(Table13[[#This Row],[Input]],Table13[[#This Row],[Direction]],""),VALUE(IF(LEN(_xlpm.steps)&gt;2,LEFT(_xlpm.steps,LEN(_xlpm.steps)-2),0)))</f>
        <v>0</v>
      </c>
      <c r="E600">
        <f>_xlfn.LET(_xlpm.dir,Table13[[#This Row],[Direction]],
IF(_xlpm.dir="L",
    IF(G599-Table13[[#This Row],[Steps]]&lt;0,100+(G599-Table13[[#This Row],[Steps]]),G599-Table13[[#This Row],[Steps]]),
))</f>
        <v>0</v>
      </c>
      <c r="F600">
        <f>_xlfn.LET(_xlpm.dir,Table13[[#This Row],[Direction]],
IF(_xlpm.dir="R",
    IF(G599+Table13[[#This Row],[Steps]]&gt;99,(G599+Table13[[#This Row],[Steps]])-100,G599+Table13[[#This Row],[Steps]]),
))</f>
        <v>91</v>
      </c>
      <c r="G600">
        <f>IF(Table13[[#This Row],[New Pos L]]&lt;&gt;0,Table13[[#This Row],[New Pos L]],Table13[[#This Row],[New Pos R]])</f>
        <v>91</v>
      </c>
      <c r="H600">
        <f>IF(AND(Table13[[#This Row],[Direction]]="L",Table13[[#This Row],[Steps]]&gt;G599,G599&lt;&gt;0),1,0)</f>
        <v>0</v>
      </c>
      <c r="I600">
        <f>IF(AND(Table13[[#This Row],[Direction]]="R",(G599+Table13[[#This Row],[Steps]])&gt;100),1,0)</f>
        <v>0</v>
      </c>
      <c r="J600">
        <f>IF(Table13[[#This Row],[POS]]=0,1,0)</f>
        <v>0</v>
      </c>
      <c r="K600">
        <f>SUM(Table13[[#This Row],[prefix]],Table13[[#This Row],[Past zero L]],Table13[[#This Row],[Past Zero R]],Table13[[#This Row],[Is Zero]])</f>
        <v>0</v>
      </c>
    </row>
    <row r="601" spans="1:11" ht="16" x14ac:dyDescent="0.2">
      <c r="A601" s="1" t="s">
        <v>157</v>
      </c>
      <c r="B601" t="str">
        <f>LEFT(Table13[[#This Row],[Input]],1)</f>
        <v>R</v>
      </c>
      <c r="C601">
        <f>_xlfn.LET(_xlpm.steps,SUBSTITUTE(Table13[[#This Row],[Input]],Table13[[#This Row],[Direction]],""),VALUE(IF(LEN(_xlpm.steps)&gt;2,RIGHT(_xlpm.steps,2),_xlpm.steps)))</f>
        <v>68</v>
      </c>
      <c r="D601">
        <f>_xlfn.LET(_xlpm.steps,SUBSTITUTE(Table13[[#This Row],[Input]],Table13[[#This Row],[Direction]],""),VALUE(IF(LEN(_xlpm.steps)&gt;2,LEFT(_xlpm.steps,LEN(_xlpm.steps)-2),0)))</f>
        <v>0</v>
      </c>
      <c r="E601">
        <f>_xlfn.LET(_xlpm.dir,Table13[[#This Row],[Direction]],
IF(_xlpm.dir="L",
    IF(G600-Table13[[#This Row],[Steps]]&lt;0,100+(G600-Table13[[#This Row],[Steps]]),G600-Table13[[#This Row],[Steps]]),
))</f>
        <v>0</v>
      </c>
      <c r="F601">
        <f>_xlfn.LET(_xlpm.dir,Table13[[#This Row],[Direction]],
IF(_xlpm.dir="R",
    IF(G600+Table13[[#This Row],[Steps]]&gt;99,(G600+Table13[[#This Row],[Steps]])-100,G600+Table13[[#This Row],[Steps]]),
))</f>
        <v>59</v>
      </c>
      <c r="G601">
        <f>IF(Table13[[#This Row],[New Pos L]]&lt;&gt;0,Table13[[#This Row],[New Pos L]],Table13[[#This Row],[New Pos R]])</f>
        <v>59</v>
      </c>
      <c r="H601">
        <f>IF(AND(Table13[[#This Row],[Direction]]="L",Table13[[#This Row],[Steps]]&gt;G600,G600&lt;&gt;0),1,0)</f>
        <v>0</v>
      </c>
      <c r="I601">
        <f>IF(AND(Table13[[#This Row],[Direction]]="R",(G600+Table13[[#This Row],[Steps]])&gt;100),1,0)</f>
        <v>1</v>
      </c>
      <c r="J601">
        <f>IF(Table13[[#This Row],[POS]]=0,1,0)</f>
        <v>0</v>
      </c>
      <c r="K601">
        <f>SUM(Table13[[#This Row],[prefix]],Table13[[#This Row],[Past zero L]],Table13[[#This Row],[Past Zero R]],Table13[[#This Row],[Is Zero]])</f>
        <v>1</v>
      </c>
    </row>
    <row r="602" spans="1:11" ht="16" x14ac:dyDescent="0.2">
      <c r="A602" s="1" t="s">
        <v>123</v>
      </c>
      <c r="B602" t="str">
        <f>LEFT(Table13[[#This Row],[Input]],1)</f>
        <v>L</v>
      </c>
      <c r="C602">
        <f>_xlfn.LET(_xlpm.steps,SUBSTITUTE(Table13[[#This Row],[Input]],Table13[[#This Row],[Direction]],""),VALUE(IF(LEN(_xlpm.steps)&gt;2,RIGHT(_xlpm.steps,2),_xlpm.steps)))</f>
        <v>63</v>
      </c>
      <c r="D602">
        <f>_xlfn.LET(_xlpm.steps,SUBSTITUTE(Table13[[#This Row],[Input]],Table13[[#This Row],[Direction]],""),VALUE(IF(LEN(_xlpm.steps)&gt;2,LEFT(_xlpm.steps,LEN(_xlpm.steps)-2),0)))</f>
        <v>0</v>
      </c>
      <c r="E602">
        <f>_xlfn.LET(_xlpm.dir,Table13[[#This Row],[Direction]],
IF(_xlpm.dir="L",
    IF(G601-Table13[[#This Row],[Steps]]&lt;0,100+(G601-Table13[[#This Row],[Steps]]),G601-Table13[[#This Row],[Steps]]),
))</f>
        <v>96</v>
      </c>
      <c r="F602">
        <f>_xlfn.LET(_xlpm.dir,Table13[[#This Row],[Direction]],
IF(_xlpm.dir="R",
    IF(G601+Table13[[#This Row],[Steps]]&gt;99,(G601+Table13[[#This Row],[Steps]])-100,G601+Table13[[#This Row],[Steps]]),
))</f>
        <v>0</v>
      </c>
      <c r="G602">
        <f>IF(Table13[[#This Row],[New Pos L]]&lt;&gt;0,Table13[[#This Row],[New Pos L]],Table13[[#This Row],[New Pos R]])</f>
        <v>96</v>
      </c>
      <c r="H602">
        <f>IF(AND(Table13[[#This Row],[Direction]]="L",Table13[[#This Row],[Steps]]&gt;G601,G601&lt;&gt;0),1,0)</f>
        <v>1</v>
      </c>
      <c r="I602">
        <f>IF(AND(Table13[[#This Row],[Direction]]="R",(G601+Table13[[#This Row],[Steps]])&gt;100),1,0)</f>
        <v>0</v>
      </c>
      <c r="J602">
        <f>IF(Table13[[#This Row],[POS]]=0,1,0)</f>
        <v>0</v>
      </c>
      <c r="K602">
        <f>SUM(Table13[[#This Row],[prefix]],Table13[[#This Row],[Past zero L]],Table13[[#This Row],[Past Zero R]],Table13[[#This Row],[Is Zero]])</f>
        <v>1</v>
      </c>
    </row>
    <row r="603" spans="1:11" ht="16" x14ac:dyDescent="0.2">
      <c r="A603" s="1" t="s">
        <v>131</v>
      </c>
      <c r="B603" t="str">
        <f>LEFT(Table13[[#This Row],[Input]],1)</f>
        <v>R</v>
      </c>
      <c r="C603">
        <f>_xlfn.LET(_xlpm.steps,SUBSTITUTE(Table13[[#This Row],[Input]],Table13[[#This Row],[Direction]],""),VALUE(IF(LEN(_xlpm.steps)&gt;2,RIGHT(_xlpm.steps,2),_xlpm.steps)))</f>
        <v>99</v>
      </c>
      <c r="D603">
        <f>_xlfn.LET(_xlpm.steps,SUBSTITUTE(Table13[[#This Row],[Input]],Table13[[#This Row],[Direction]],""),VALUE(IF(LEN(_xlpm.steps)&gt;2,LEFT(_xlpm.steps,LEN(_xlpm.steps)-2),0)))</f>
        <v>0</v>
      </c>
      <c r="E603">
        <f>_xlfn.LET(_xlpm.dir,Table13[[#This Row],[Direction]],
IF(_xlpm.dir="L",
    IF(G602-Table13[[#This Row],[Steps]]&lt;0,100+(G602-Table13[[#This Row],[Steps]]),G602-Table13[[#This Row],[Steps]]),
))</f>
        <v>0</v>
      </c>
      <c r="F603">
        <f>_xlfn.LET(_xlpm.dir,Table13[[#This Row],[Direction]],
IF(_xlpm.dir="R",
    IF(G602+Table13[[#This Row],[Steps]]&gt;99,(G602+Table13[[#This Row],[Steps]])-100,G602+Table13[[#This Row],[Steps]]),
))</f>
        <v>95</v>
      </c>
      <c r="G603">
        <f>IF(Table13[[#This Row],[New Pos L]]&lt;&gt;0,Table13[[#This Row],[New Pos L]],Table13[[#This Row],[New Pos R]])</f>
        <v>95</v>
      </c>
      <c r="H603">
        <f>IF(AND(Table13[[#This Row],[Direction]]="L",Table13[[#This Row],[Steps]]&gt;G602,G602&lt;&gt;0),1,0)</f>
        <v>0</v>
      </c>
      <c r="I603">
        <f>IF(AND(Table13[[#This Row],[Direction]]="R",(G602+Table13[[#This Row],[Steps]])&gt;100),1,0)</f>
        <v>1</v>
      </c>
      <c r="J603">
        <f>IF(Table13[[#This Row],[POS]]=0,1,0)</f>
        <v>0</v>
      </c>
      <c r="K603">
        <f>SUM(Table13[[#This Row],[prefix]],Table13[[#This Row],[Past zero L]],Table13[[#This Row],[Past Zero R]],Table13[[#This Row],[Is Zero]])</f>
        <v>1</v>
      </c>
    </row>
    <row r="604" spans="1:11" ht="16" x14ac:dyDescent="0.2">
      <c r="A604" s="1" t="s">
        <v>134</v>
      </c>
      <c r="B604" t="str">
        <f>LEFT(Table13[[#This Row],[Input]],1)</f>
        <v>L</v>
      </c>
      <c r="C604">
        <f>_xlfn.LET(_xlpm.steps,SUBSTITUTE(Table13[[#This Row],[Input]],Table13[[#This Row],[Direction]],""),VALUE(IF(LEN(_xlpm.steps)&gt;2,RIGHT(_xlpm.steps,2),_xlpm.steps)))</f>
        <v>95</v>
      </c>
      <c r="D604">
        <f>_xlfn.LET(_xlpm.steps,SUBSTITUTE(Table13[[#This Row],[Input]],Table13[[#This Row],[Direction]],""),VALUE(IF(LEN(_xlpm.steps)&gt;2,LEFT(_xlpm.steps,LEN(_xlpm.steps)-2),0)))</f>
        <v>0</v>
      </c>
      <c r="E604">
        <f>_xlfn.LET(_xlpm.dir,Table13[[#This Row],[Direction]],
IF(_xlpm.dir="L",
    IF(G603-Table13[[#This Row],[Steps]]&lt;0,100+(G603-Table13[[#This Row],[Steps]]),G603-Table13[[#This Row],[Steps]]),
))</f>
        <v>0</v>
      </c>
      <c r="F604">
        <f>_xlfn.LET(_xlpm.dir,Table13[[#This Row],[Direction]],
IF(_xlpm.dir="R",
    IF(G603+Table13[[#This Row],[Steps]]&gt;99,(G603+Table13[[#This Row],[Steps]])-100,G603+Table13[[#This Row],[Steps]]),
))</f>
        <v>0</v>
      </c>
      <c r="G604">
        <f>IF(Table13[[#This Row],[New Pos L]]&lt;&gt;0,Table13[[#This Row],[New Pos L]],Table13[[#This Row],[New Pos R]])</f>
        <v>0</v>
      </c>
      <c r="H604">
        <f>IF(AND(Table13[[#This Row],[Direction]]="L",Table13[[#This Row],[Steps]]&gt;G603,G603&lt;&gt;0),1,0)</f>
        <v>0</v>
      </c>
      <c r="I604">
        <f>IF(AND(Table13[[#This Row],[Direction]]="R",(G603+Table13[[#This Row],[Steps]])&gt;100),1,0)</f>
        <v>0</v>
      </c>
      <c r="J604">
        <f>IF(Table13[[#This Row],[POS]]=0,1,0)</f>
        <v>1</v>
      </c>
      <c r="K604">
        <f>SUM(Table13[[#This Row],[prefix]],Table13[[#This Row],[Past zero L]],Table13[[#This Row],[Past Zero R]],Table13[[#This Row],[Is Zero]])</f>
        <v>1</v>
      </c>
    </row>
    <row r="605" spans="1:11" ht="16" x14ac:dyDescent="0.2">
      <c r="A605" s="1" t="s">
        <v>277</v>
      </c>
      <c r="B605" t="str">
        <f>LEFT(Table13[[#This Row],[Input]],1)</f>
        <v>L</v>
      </c>
      <c r="C605">
        <f>_xlfn.LET(_xlpm.steps,SUBSTITUTE(Table13[[#This Row],[Input]],Table13[[#This Row],[Direction]],""),VALUE(IF(LEN(_xlpm.steps)&gt;2,RIGHT(_xlpm.steps,2),_xlpm.steps)))</f>
        <v>60</v>
      </c>
      <c r="D605">
        <f>_xlfn.LET(_xlpm.steps,SUBSTITUTE(Table13[[#This Row],[Input]],Table13[[#This Row],[Direction]],""),VALUE(IF(LEN(_xlpm.steps)&gt;2,LEFT(_xlpm.steps,LEN(_xlpm.steps)-2),0)))</f>
        <v>2</v>
      </c>
      <c r="E605">
        <f>_xlfn.LET(_xlpm.dir,Table13[[#This Row],[Direction]],
IF(_xlpm.dir="L",
    IF(G604-Table13[[#This Row],[Steps]]&lt;0,100+(G604-Table13[[#This Row],[Steps]]),G604-Table13[[#This Row],[Steps]]),
))</f>
        <v>40</v>
      </c>
      <c r="F605">
        <f>_xlfn.LET(_xlpm.dir,Table13[[#This Row],[Direction]],
IF(_xlpm.dir="R",
    IF(G604+Table13[[#This Row],[Steps]]&gt;99,(G604+Table13[[#This Row],[Steps]])-100,G604+Table13[[#This Row],[Steps]]),
))</f>
        <v>0</v>
      </c>
      <c r="G605">
        <f>IF(Table13[[#This Row],[New Pos L]]&lt;&gt;0,Table13[[#This Row],[New Pos L]],Table13[[#This Row],[New Pos R]])</f>
        <v>40</v>
      </c>
      <c r="H605">
        <f>IF(AND(Table13[[#This Row],[Direction]]="L",Table13[[#This Row],[Steps]]&gt;G604,G604&lt;&gt;0),1,0)</f>
        <v>0</v>
      </c>
      <c r="I605">
        <f>IF(AND(Table13[[#This Row],[Direction]]="R",(G604+Table13[[#This Row],[Steps]])&gt;100),1,0)</f>
        <v>0</v>
      </c>
      <c r="J605">
        <f>IF(Table13[[#This Row],[POS]]=0,1,0)</f>
        <v>0</v>
      </c>
      <c r="K605">
        <f>SUM(Table13[[#This Row],[prefix]],Table13[[#This Row],[Past zero L]],Table13[[#This Row],[Past Zero R]],Table13[[#This Row],[Is Zero]])</f>
        <v>2</v>
      </c>
    </row>
    <row r="606" spans="1:11" ht="16" x14ac:dyDescent="0.2">
      <c r="A606" s="1" t="s">
        <v>278</v>
      </c>
      <c r="B606" t="str">
        <f>LEFT(Table13[[#This Row],[Input]],1)</f>
        <v>L</v>
      </c>
      <c r="C606">
        <f>_xlfn.LET(_xlpm.steps,SUBSTITUTE(Table13[[#This Row],[Input]],Table13[[#This Row],[Direction]],""),VALUE(IF(LEN(_xlpm.steps)&gt;2,RIGHT(_xlpm.steps,2),_xlpm.steps)))</f>
        <v>40</v>
      </c>
      <c r="D606">
        <f>_xlfn.LET(_xlpm.steps,SUBSTITUTE(Table13[[#This Row],[Input]],Table13[[#This Row],[Direction]],""),VALUE(IF(LEN(_xlpm.steps)&gt;2,LEFT(_xlpm.steps,LEN(_xlpm.steps)-2),0)))</f>
        <v>0</v>
      </c>
      <c r="E606">
        <f>_xlfn.LET(_xlpm.dir,Table13[[#This Row],[Direction]],
IF(_xlpm.dir="L",
    IF(G605-Table13[[#This Row],[Steps]]&lt;0,100+(G605-Table13[[#This Row],[Steps]]),G605-Table13[[#This Row],[Steps]]),
))</f>
        <v>0</v>
      </c>
      <c r="F606">
        <f>_xlfn.LET(_xlpm.dir,Table13[[#This Row],[Direction]],
IF(_xlpm.dir="R",
    IF(G605+Table13[[#This Row],[Steps]]&gt;99,(G605+Table13[[#This Row],[Steps]])-100,G605+Table13[[#This Row],[Steps]]),
))</f>
        <v>0</v>
      </c>
      <c r="G606">
        <f>IF(Table13[[#This Row],[New Pos L]]&lt;&gt;0,Table13[[#This Row],[New Pos L]],Table13[[#This Row],[New Pos R]])</f>
        <v>0</v>
      </c>
      <c r="H606">
        <f>IF(AND(Table13[[#This Row],[Direction]]="L",Table13[[#This Row],[Steps]]&gt;G605,G605&lt;&gt;0),1,0)</f>
        <v>0</v>
      </c>
      <c r="I606">
        <f>IF(AND(Table13[[#This Row],[Direction]]="R",(G605+Table13[[#This Row],[Steps]])&gt;100),1,0)</f>
        <v>0</v>
      </c>
      <c r="J606">
        <f>IF(Table13[[#This Row],[POS]]=0,1,0)</f>
        <v>1</v>
      </c>
      <c r="K606">
        <f>SUM(Table13[[#This Row],[prefix]],Table13[[#This Row],[Past zero L]],Table13[[#This Row],[Past Zero R]],Table13[[#This Row],[Is Zero]])</f>
        <v>1</v>
      </c>
    </row>
    <row r="607" spans="1:11" ht="16" x14ac:dyDescent="0.2">
      <c r="A607" s="1" t="s">
        <v>89</v>
      </c>
      <c r="B607" t="str">
        <f>LEFT(Table13[[#This Row],[Input]],1)</f>
        <v>L</v>
      </c>
      <c r="C607">
        <f>_xlfn.LET(_xlpm.steps,SUBSTITUTE(Table13[[#This Row],[Input]],Table13[[#This Row],[Direction]],""),VALUE(IF(LEN(_xlpm.steps)&gt;2,RIGHT(_xlpm.steps,2),_xlpm.steps)))</f>
        <v>91</v>
      </c>
      <c r="D607">
        <f>_xlfn.LET(_xlpm.steps,SUBSTITUTE(Table13[[#This Row],[Input]],Table13[[#This Row],[Direction]],""),VALUE(IF(LEN(_xlpm.steps)&gt;2,LEFT(_xlpm.steps,LEN(_xlpm.steps)-2),0)))</f>
        <v>0</v>
      </c>
      <c r="E607">
        <f>_xlfn.LET(_xlpm.dir,Table13[[#This Row],[Direction]],
IF(_xlpm.dir="L",
    IF(G606-Table13[[#This Row],[Steps]]&lt;0,100+(G606-Table13[[#This Row],[Steps]]),G606-Table13[[#This Row],[Steps]]),
))</f>
        <v>9</v>
      </c>
      <c r="F607">
        <f>_xlfn.LET(_xlpm.dir,Table13[[#This Row],[Direction]],
IF(_xlpm.dir="R",
    IF(G606+Table13[[#This Row],[Steps]]&gt;99,(G606+Table13[[#This Row],[Steps]])-100,G606+Table13[[#This Row],[Steps]]),
))</f>
        <v>0</v>
      </c>
      <c r="G607">
        <f>IF(Table13[[#This Row],[New Pos L]]&lt;&gt;0,Table13[[#This Row],[New Pos L]],Table13[[#This Row],[New Pos R]])</f>
        <v>9</v>
      </c>
      <c r="H607">
        <f>IF(AND(Table13[[#This Row],[Direction]]="L",Table13[[#This Row],[Steps]]&gt;G606,G606&lt;&gt;0),1,0)</f>
        <v>0</v>
      </c>
      <c r="I607">
        <f>IF(AND(Table13[[#This Row],[Direction]]="R",(G606+Table13[[#This Row],[Steps]])&gt;100),1,0)</f>
        <v>0</v>
      </c>
      <c r="J607">
        <f>IF(Table13[[#This Row],[POS]]=0,1,0)</f>
        <v>0</v>
      </c>
      <c r="K607">
        <f>SUM(Table13[[#This Row],[prefix]],Table13[[#This Row],[Past zero L]],Table13[[#This Row],[Past Zero R]],Table13[[#This Row],[Is Zero]])</f>
        <v>0</v>
      </c>
    </row>
    <row r="608" spans="1:11" ht="16" x14ac:dyDescent="0.2">
      <c r="A608" s="1" t="s">
        <v>216</v>
      </c>
      <c r="B608" t="str">
        <f>LEFT(Table13[[#This Row],[Input]],1)</f>
        <v>R</v>
      </c>
      <c r="C608">
        <f>_xlfn.LET(_xlpm.steps,SUBSTITUTE(Table13[[#This Row],[Input]],Table13[[#This Row],[Direction]],""),VALUE(IF(LEN(_xlpm.steps)&gt;2,RIGHT(_xlpm.steps,2),_xlpm.steps)))</f>
        <v>54</v>
      </c>
      <c r="D608">
        <f>_xlfn.LET(_xlpm.steps,SUBSTITUTE(Table13[[#This Row],[Input]],Table13[[#This Row],[Direction]],""),VALUE(IF(LEN(_xlpm.steps)&gt;2,LEFT(_xlpm.steps,LEN(_xlpm.steps)-2),0)))</f>
        <v>0</v>
      </c>
      <c r="E608">
        <f>_xlfn.LET(_xlpm.dir,Table13[[#This Row],[Direction]],
IF(_xlpm.dir="L",
    IF(G607-Table13[[#This Row],[Steps]]&lt;0,100+(G607-Table13[[#This Row],[Steps]]),G607-Table13[[#This Row],[Steps]]),
))</f>
        <v>0</v>
      </c>
      <c r="F608">
        <f>_xlfn.LET(_xlpm.dir,Table13[[#This Row],[Direction]],
IF(_xlpm.dir="R",
    IF(G607+Table13[[#This Row],[Steps]]&gt;99,(G607+Table13[[#This Row],[Steps]])-100,G607+Table13[[#This Row],[Steps]]),
))</f>
        <v>63</v>
      </c>
      <c r="G608">
        <f>IF(Table13[[#This Row],[New Pos L]]&lt;&gt;0,Table13[[#This Row],[New Pos L]],Table13[[#This Row],[New Pos R]])</f>
        <v>63</v>
      </c>
      <c r="H608">
        <f>IF(AND(Table13[[#This Row],[Direction]]="L",Table13[[#This Row],[Steps]]&gt;G607,G607&lt;&gt;0),1,0)</f>
        <v>0</v>
      </c>
      <c r="I608">
        <f>IF(AND(Table13[[#This Row],[Direction]]="R",(G607+Table13[[#This Row],[Steps]])&gt;100),1,0)</f>
        <v>0</v>
      </c>
      <c r="J608">
        <f>IF(Table13[[#This Row],[POS]]=0,1,0)</f>
        <v>0</v>
      </c>
      <c r="K608">
        <f>SUM(Table13[[#This Row],[prefix]],Table13[[#This Row],[Past zero L]],Table13[[#This Row],[Past Zero R]],Table13[[#This Row],[Is Zero]])</f>
        <v>0</v>
      </c>
    </row>
    <row r="609" spans="1:11" ht="16" x14ac:dyDescent="0.2">
      <c r="A609" s="1" t="s">
        <v>123</v>
      </c>
      <c r="B609" t="str">
        <f>LEFT(Table13[[#This Row],[Input]],1)</f>
        <v>L</v>
      </c>
      <c r="C609">
        <f>_xlfn.LET(_xlpm.steps,SUBSTITUTE(Table13[[#This Row],[Input]],Table13[[#This Row],[Direction]],""),VALUE(IF(LEN(_xlpm.steps)&gt;2,RIGHT(_xlpm.steps,2),_xlpm.steps)))</f>
        <v>63</v>
      </c>
      <c r="D609">
        <f>_xlfn.LET(_xlpm.steps,SUBSTITUTE(Table13[[#This Row],[Input]],Table13[[#This Row],[Direction]],""),VALUE(IF(LEN(_xlpm.steps)&gt;2,LEFT(_xlpm.steps,LEN(_xlpm.steps)-2),0)))</f>
        <v>0</v>
      </c>
      <c r="E609">
        <f>_xlfn.LET(_xlpm.dir,Table13[[#This Row],[Direction]],
IF(_xlpm.dir="L",
    IF(G608-Table13[[#This Row],[Steps]]&lt;0,100+(G608-Table13[[#This Row],[Steps]]),G608-Table13[[#This Row],[Steps]]),
))</f>
        <v>0</v>
      </c>
      <c r="F609">
        <f>_xlfn.LET(_xlpm.dir,Table13[[#This Row],[Direction]],
IF(_xlpm.dir="R",
    IF(G608+Table13[[#This Row],[Steps]]&gt;99,(G608+Table13[[#This Row],[Steps]])-100,G608+Table13[[#This Row],[Steps]]),
))</f>
        <v>0</v>
      </c>
      <c r="G609">
        <f>IF(Table13[[#This Row],[New Pos L]]&lt;&gt;0,Table13[[#This Row],[New Pos L]],Table13[[#This Row],[New Pos R]])</f>
        <v>0</v>
      </c>
      <c r="H609">
        <f>IF(AND(Table13[[#This Row],[Direction]]="L",Table13[[#This Row],[Steps]]&gt;G608,G608&lt;&gt;0),1,0)</f>
        <v>0</v>
      </c>
      <c r="I609">
        <f>IF(AND(Table13[[#This Row],[Direction]]="R",(G608+Table13[[#This Row],[Steps]])&gt;100),1,0)</f>
        <v>0</v>
      </c>
      <c r="J609">
        <f>IF(Table13[[#This Row],[POS]]=0,1,0)</f>
        <v>1</v>
      </c>
      <c r="K609">
        <f>SUM(Table13[[#This Row],[prefix]],Table13[[#This Row],[Past zero L]],Table13[[#This Row],[Past Zero R]],Table13[[#This Row],[Is Zero]])</f>
        <v>1</v>
      </c>
    </row>
    <row r="610" spans="1:11" ht="16" x14ac:dyDescent="0.2">
      <c r="A610" s="1" t="s">
        <v>279</v>
      </c>
      <c r="B610" t="str">
        <f>LEFT(Table13[[#This Row],[Input]],1)</f>
        <v>R</v>
      </c>
      <c r="C610">
        <f>_xlfn.LET(_xlpm.steps,SUBSTITUTE(Table13[[#This Row],[Input]],Table13[[#This Row],[Direction]],""),VALUE(IF(LEN(_xlpm.steps)&gt;2,RIGHT(_xlpm.steps,2),_xlpm.steps)))</f>
        <v>34</v>
      </c>
      <c r="D610">
        <f>_xlfn.LET(_xlpm.steps,SUBSTITUTE(Table13[[#This Row],[Input]],Table13[[#This Row],[Direction]],""),VALUE(IF(LEN(_xlpm.steps)&gt;2,LEFT(_xlpm.steps,LEN(_xlpm.steps)-2),0)))</f>
        <v>0</v>
      </c>
      <c r="E610">
        <f>_xlfn.LET(_xlpm.dir,Table13[[#This Row],[Direction]],
IF(_xlpm.dir="L",
    IF(G609-Table13[[#This Row],[Steps]]&lt;0,100+(G609-Table13[[#This Row],[Steps]]),G609-Table13[[#This Row],[Steps]]),
))</f>
        <v>0</v>
      </c>
      <c r="F610">
        <f>_xlfn.LET(_xlpm.dir,Table13[[#This Row],[Direction]],
IF(_xlpm.dir="R",
    IF(G609+Table13[[#This Row],[Steps]]&gt;99,(G609+Table13[[#This Row],[Steps]])-100,G609+Table13[[#This Row],[Steps]]),
))</f>
        <v>34</v>
      </c>
      <c r="G610">
        <f>IF(Table13[[#This Row],[New Pos L]]&lt;&gt;0,Table13[[#This Row],[New Pos L]],Table13[[#This Row],[New Pos R]])</f>
        <v>34</v>
      </c>
      <c r="H610">
        <f>IF(AND(Table13[[#This Row],[Direction]]="L",Table13[[#This Row],[Steps]]&gt;G609,G609&lt;&gt;0),1,0)</f>
        <v>0</v>
      </c>
      <c r="I610">
        <f>IF(AND(Table13[[#This Row],[Direction]]="R",(G609+Table13[[#This Row],[Steps]])&gt;100),1,0)</f>
        <v>0</v>
      </c>
      <c r="J610">
        <f>IF(Table13[[#This Row],[POS]]=0,1,0)</f>
        <v>0</v>
      </c>
      <c r="K610">
        <f>SUM(Table13[[#This Row],[prefix]],Table13[[#This Row],[Past zero L]],Table13[[#This Row],[Past Zero R]],Table13[[#This Row],[Is Zero]])</f>
        <v>0</v>
      </c>
    </row>
    <row r="611" spans="1:11" ht="16" x14ac:dyDescent="0.2">
      <c r="A611" s="1" t="s">
        <v>11</v>
      </c>
      <c r="B611" t="str">
        <f>LEFT(Table13[[#This Row],[Input]],1)</f>
        <v>L</v>
      </c>
      <c r="C611">
        <f>_xlfn.LET(_xlpm.steps,SUBSTITUTE(Table13[[#This Row],[Input]],Table13[[#This Row],[Direction]],""),VALUE(IF(LEN(_xlpm.steps)&gt;2,RIGHT(_xlpm.steps,2),_xlpm.steps)))</f>
        <v>34</v>
      </c>
      <c r="D611">
        <f>_xlfn.LET(_xlpm.steps,SUBSTITUTE(Table13[[#This Row],[Input]],Table13[[#This Row],[Direction]],""),VALUE(IF(LEN(_xlpm.steps)&gt;2,LEFT(_xlpm.steps,LEN(_xlpm.steps)-2),0)))</f>
        <v>0</v>
      </c>
      <c r="E611">
        <f>_xlfn.LET(_xlpm.dir,Table13[[#This Row],[Direction]],
IF(_xlpm.dir="L",
    IF(G610-Table13[[#This Row],[Steps]]&lt;0,100+(G610-Table13[[#This Row],[Steps]]),G610-Table13[[#This Row],[Steps]]),
))</f>
        <v>0</v>
      </c>
      <c r="F611">
        <f>_xlfn.LET(_xlpm.dir,Table13[[#This Row],[Direction]],
IF(_xlpm.dir="R",
    IF(G610+Table13[[#This Row],[Steps]]&gt;99,(G610+Table13[[#This Row],[Steps]])-100,G610+Table13[[#This Row],[Steps]]),
))</f>
        <v>0</v>
      </c>
      <c r="G611">
        <f>IF(Table13[[#This Row],[New Pos L]]&lt;&gt;0,Table13[[#This Row],[New Pos L]],Table13[[#This Row],[New Pos R]])</f>
        <v>0</v>
      </c>
      <c r="H611">
        <f>IF(AND(Table13[[#This Row],[Direction]]="L",Table13[[#This Row],[Steps]]&gt;G610,G610&lt;&gt;0),1,0)</f>
        <v>0</v>
      </c>
      <c r="I611">
        <f>IF(AND(Table13[[#This Row],[Direction]]="R",(G610+Table13[[#This Row],[Steps]])&gt;100),1,0)</f>
        <v>0</v>
      </c>
      <c r="J611">
        <f>IF(Table13[[#This Row],[POS]]=0,1,0)</f>
        <v>1</v>
      </c>
      <c r="K611">
        <f>SUM(Table13[[#This Row],[prefix]],Table13[[#This Row],[Past zero L]],Table13[[#This Row],[Past Zero R]],Table13[[#This Row],[Is Zero]])</f>
        <v>1</v>
      </c>
    </row>
    <row r="612" spans="1:11" ht="16" x14ac:dyDescent="0.2">
      <c r="A612" s="1" t="s">
        <v>194</v>
      </c>
      <c r="B612" t="str">
        <f>LEFT(Table13[[#This Row],[Input]],1)</f>
        <v>R</v>
      </c>
      <c r="C612">
        <f>_xlfn.LET(_xlpm.steps,SUBSTITUTE(Table13[[#This Row],[Input]],Table13[[#This Row],[Direction]],""),VALUE(IF(LEN(_xlpm.steps)&gt;2,RIGHT(_xlpm.steps,2),_xlpm.steps)))</f>
        <v>51</v>
      </c>
      <c r="D612">
        <f>_xlfn.LET(_xlpm.steps,SUBSTITUTE(Table13[[#This Row],[Input]],Table13[[#This Row],[Direction]],""),VALUE(IF(LEN(_xlpm.steps)&gt;2,LEFT(_xlpm.steps,LEN(_xlpm.steps)-2),0)))</f>
        <v>0</v>
      </c>
      <c r="E612">
        <f>_xlfn.LET(_xlpm.dir,Table13[[#This Row],[Direction]],
IF(_xlpm.dir="L",
    IF(G611-Table13[[#This Row],[Steps]]&lt;0,100+(G611-Table13[[#This Row],[Steps]]),G611-Table13[[#This Row],[Steps]]),
))</f>
        <v>0</v>
      </c>
      <c r="F612">
        <f>_xlfn.LET(_xlpm.dir,Table13[[#This Row],[Direction]],
IF(_xlpm.dir="R",
    IF(G611+Table13[[#This Row],[Steps]]&gt;99,(G611+Table13[[#This Row],[Steps]])-100,G611+Table13[[#This Row],[Steps]]),
))</f>
        <v>51</v>
      </c>
      <c r="G612">
        <f>IF(Table13[[#This Row],[New Pos L]]&lt;&gt;0,Table13[[#This Row],[New Pos L]],Table13[[#This Row],[New Pos R]])</f>
        <v>51</v>
      </c>
      <c r="H612">
        <f>IF(AND(Table13[[#This Row],[Direction]]="L",Table13[[#This Row],[Steps]]&gt;G611,G611&lt;&gt;0),1,0)</f>
        <v>0</v>
      </c>
      <c r="I612">
        <f>IF(AND(Table13[[#This Row],[Direction]]="R",(G611+Table13[[#This Row],[Steps]])&gt;100),1,0)</f>
        <v>0</v>
      </c>
      <c r="J612">
        <f>IF(Table13[[#This Row],[POS]]=0,1,0)</f>
        <v>0</v>
      </c>
      <c r="K612">
        <f>SUM(Table13[[#This Row],[prefix]],Table13[[#This Row],[Past zero L]],Table13[[#This Row],[Past Zero R]],Table13[[#This Row],[Is Zero]])</f>
        <v>0</v>
      </c>
    </row>
    <row r="613" spans="1:11" ht="16" x14ac:dyDescent="0.2">
      <c r="A613" s="1" t="s">
        <v>14</v>
      </c>
      <c r="B613" t="str">
        <f>LEFT(Table13[[#This Row],[Input]],1)</f>
        <v>L</v>
      </c>
      <c r="C613">
        <f>_xlfn.LET(_xlpm.steps,SUBSTITUTE(Table13[[#This Row],[Input]],Table13[[#This Row],[Direction]],""),VALUE(IF(LEN(_xlpm.steps)&gt;2,RIGHT(_xlpm.steps,2),_xlpm.steps)))</f>
        <v>43</v>
      </c>
      <c r="D613">
        <f>_xlfn.LET(_xlpm.steps,SUBSTITUTE(Table13[[#This Row],[Input]],Table13[[#This Row],[Direction]],""),VALUE(IF(LEN(_xlpm.steps)&gt;2,LEFT(_xlpm.steps,LEN(_xlpm.steps)-2),0)))</f>
        <v>0</v>
      </c>
      <c r="E613">
        <f>_xlfn.LET(_xlpm.dir,Table13[[#This Row],[Direction]],
IF(_xlpm.dir="L",
    IF(G612-Table13[[#This Row],[Steps]]&lt;0,100+(G612-Table13[[#This Row],[Steps]]),G612-Table13[[#This Row],[Steps]]),
))</f>
        <v>8</v>
      </c>
      <c r="F613">
        <f>_xlfn.LET(_xlpm.dir,Table13[[#This Row],[Direction]],
IF(_xlpm.dir="R",
    IF(G612+Table13[[#This Row],[Steps]]&gt;99,(G612+Table13[[#This Row],[Steps]])-100,G612+Table13[[#This Row],[Steps]]),
))</f>
        <v>0</v>
      </c>
      <c r="G613">
        <f>IF(Table13[[#This Row],[New Pos L]]&lt;&gt;0,Table13[[#This Row],[New Pos L]],Table13[[#This Row],[New Pos R]])</f>
        <v>8</v>
      </c>
      <c r="H613">
        <f>IF(AND(Table13[[#This Row],[Direction]]="L",Table13[[#This Row],[Steps]]&gt;G612,G612&lt;&gt;0),1,0)</f>
        <v>0</v>
      </c>
      <c r="I613">
        <f>IF(AND(Table13[[#This Row],[Direction]]="R",(G612+Table13[[#This Row],[Steps]])&gt;100),1,0)</f>
        <v>0</v>
      </c>
      <c r="J613">
        <f>IF(Table13[[#This Row],[POS]]=0,1,0)</f>
        <v>0</v>
      </c>
      <c r="K613">
        <f>SUM(Table13[[#This Row],[prefix]],Table13[[#This Row],[Past zero L]],Table13[[#This Row],[Past Zero R]],Table13[[#This Row],[Is Zero]])</f>
        <v>0</v>
      </c>
    </row>
    <row r="614" spans="1:11" ht="16" x14ac:dyDescent="0.2">
      <c r="A614" s="1" t="s">
        <v>280</v>
      </c>
      <c r="B614" t="str">
        <f>LEFT(Table13[[#This Row],[Input]],1)</f>
        <v>R</v>
      </c>
      <c r="C614">
        <f>_xlfn.LET(_xlpm.steps,SUBSTITUTE(Table13[[#This Row],[Input]],Table13[[#This Row],[Direction]],""),VALUE(IF(LEN(_xlpm.steps)&gt;2,RIGHT(_xlpm.steps,2),_xlpm.steps)))</f>
        <v>8</v>
      </c>
      <c r="D614">
        <f>_xlfn.LET(_xlpm.steps,SUBSTITUTE(Table13[[#This Row],[Input]],Table13[[#This Row],[Direction]],""),VALUE(IF(LEN(_xlpm.steps)&gt;2,LEFT(_xlpm.steps,LEN(_xlpm.steps)-2),0)))</f>
        <v>2</v>
      </c>
      <c r="E614">
        <f>_xlfn.LET(_xlpm.dir,Table13[[#This Row],[Direction]],
IF(_xlpm.dir="L",
    IF(G613-Table13[[#This Row],[Steps]]&lt;0,100+(G613-Table13[[#This Row],[Steps]]),G613-Table13[[#This Row],[Steps]]),
))</f>
        <v>0</v>
      </c>
      <c r="F614">
        <f>_xlfn.LET(_xlpm.dir,Table13[[#This Row],[Direction]],
IF(_xlpm.dir="R",
    IF(G613+Table13[[#This Row],[Steps]]&gt;99,(G613+Table13[[#This Row],[Steps]])-100,G613+Table13[[#This Row],[Steps]]),
))</f>
        <v>16</v>
      </c>
      <c r="G614">
        <f>IF(Table13[[#This Row],[New Pos L]]&lt;&gt;0,Table13[[#This Row],[New Pos L]],Table13[[#This Row],[New Pos R]])</f>
        <v>16</v>
      </c>
      <c r="H614">
        <f>IF(AND(Table13[[#This Row],[Direction]]="L",Table13[[#This Row],[Steps]]&gt;G613,G613&lt;&gt;0),1,0)</f>
        <v>0</v>
      </c>
      <c r="I614">
        <f>IF(AND(Table13[[#This Row],[Direction]]="R",(G613+Table13[[#This Row],[Steps]])&gt;100),1,0)</f>
        <v>0</v>
      </c>
      <c r="J614">
        <f>IF(Table13[[#This Row],[POS]]=0,1,0)</f>
        <v>0</v>
      </c>
      <c r="K614">
        <f>SUM(Table13[[#This Row],[prefix]],Table13[[#This Row],[Past zero L]],Table13[[#This Row],[Past Zero R]],Table13[[#This Row],[Is Zero]])</f>
        <v>2</v>
      </c>
    </row>
    <row r="615" spans="1:11" ht="16" x14ac:dyDescent="0.2">
      <c r="A615" s="1" t="s">
        <v>61</v>
      </c>
      <c r="B615" t="str">
        <f>LEFT(Table13[[#This Row],[Input]],1)</f>
        <v>L</v>
      </c>
      <c r="C615">
        <f>_xlfn.LET(_xlpm.steps,SUBSTITUTE(Table13[[#This Row],[Input]],Table13[[#This Row],[Direction]],""),VALUE(IF(LEN(_xlpm.steps)&gt;2,RIGHT(_xlpm.steps,2),_xlpm.steps)))</f>
        <v>16</v>
      </c>
      <c r="D615">
        <f>_xlfn.LET(_xlpm.steps,SUBSTITUTE(Table13[[#This Row],[Input]],Table13[[#This Row],[Direction]],""),VALUE(IF(LEN(_xlpm.steps)&gt;2,LEFT(_xlpm.steps,LEN(_xlpm.steps)-2),0)))</f>
        <v>0</v>
      </c>
      <c r="E615">
        <f>_xlfn.LET(_xlpm.dir,Table13[[#This Row],[Direction]],
IF(_xlpm.dir="L",
    IF(G614-Table13[[#This Row],[Steps]]&lt;0,100+(G614-Table13[[#This Row],[Steps]]),G614-Table13[[#This Row],[Steps]]),
))</f>
        <v>0</v>
      </c>
      <c r="F615">
        <f>_xlfn.LET(_xlpm.dir,Table13[[#This Row],[Direction]],
IF(_xlpm.dir="R",
    IF(G614+Table13[[#This Row],[Steps]]&gt;99,(G614+Table13[[#This Row],[Steps]])-100,G614+Table13[[#This Row],[Steps]]),
))</f>
        <v>0</v>
      </c>
      <c r="G615">
        <f>IF(Table13[[#This Row],[New Pos L]]&lt;&gt;0,Table13[[#This Row],[New Pos L]],Table13[[#This Row],[New Pos R]])</f>
        <v>0</v>
      </c>
      <c r="H615">
        <f>IF(AND(Table13[[#This Row],[Direction]]="L",Table13[[#This Row],[Steps]]&gt;G614,G614&lt;&gt;0),1,0)</f>
        <v>0</v>
      </c>
      <c r="I615">
        <f>IF(AND(Table13[[#This Row],[Direction]]="R",(G614+Table13[[#This Row],[Steps]])&gt;100),1,0)</f>
        <v>0</v>
      </c>
      <c r="J615">
        <f>IF(Table13[[#This Row],[POS]]=0,1,0)</f>
        <v>1</v>
      </c>
      <c r="K615">
        <f>SUM(Table13[[#This Row],[prefix]],Table13[[#This Row],[Past zero L]],Table13[[#This Row],[Past Zero R]],Table13[[#This Row],[Is Zero]])</f>
        <v>1</v>
      </c>
    </row>
    <row r="616" spans="1:11" ht="16" x14ac:dyDescent="0.2">
      <c r="A616" s="1" t="s">
        <v>281</v>
      </c>
      <c r="B616" t="str">
        <f>LEFT(Table13[[#This Row],[Input]],1)</f>
        <v>L</v>
      </c>
      <c r="C616">
        <f>_xlfn.LET(_xlpm.steps,SUBSTITUTE(Table13[[#This Row],[Input]],Table13[[#This Row],[Direction]],""),VALUE(IF(LEN(_xlpm.steps)&gt;2,RIGHT(_xlpm.steps,2),_xlpm.steps)))</f>
        <v>41</v>
      </c>
      <c r="D616">
        <f>_xlfn.LET(_xlpm.steps,SUBSTITUTE(Table13[[#This Row],[Input]],Table13[[#This Row],[Direction]],""),VALUE(IF(LEN(_xlpm.steps)&gt;2,LEFT(_xlpm.steps,LEN(_xlpm.steps)-2),0)))</f>
        <v>1</v>
      </c>
      <c r="E616">
        <f>_xlfn.LET(_xlpm.dir,Table13[[#This Row],[Direction]],
IF(_xlpm.dir="L",
    IF(G615-Table13[[#This Row],[Steps]]&lt;0,100+(G615-Table13[[#This Row],[Steps]]),G615-Table13[[#This Row],[Steps]]),
))</f>
        <v>59</v>
      </c>
      <c r="F616">
        <f>_xlfn.LET(_xlpm.dir,Table13[[#This Row],[Direction]],
IF(_xlpm.dir="R",
    IF(G615+Table13[[#This Row],[Steps]]&gt;99,(G615+Table13[[#This Row],[Steps]])-100,G615+Table13[[#This Row],[Steps]]),
))</f>
        <v>0</v>
      </c>
      <c r="G616">
        <f>IF(Table13[[#This Row],[New Pos L]]&lt;&gt;0,Table13[[#This Row],[New Pos L]],Table13[[#This Row],[New Pos R]])</f>
        <v>59</v>
      </c>
      <c r="H616">
        <f>IF(AND(Table13[[#This Row],[Direction]]="L",Table13[[#This Row],[Steps]]&gt;G615,G615&lt;&gt;0),1,0)</f>
        <v>0</v>
      </c>
      <c r="I616">
        <f>IF(AND(Table13[[#This Row],[Direction]]="R",(G615+Table13[[#This Row],[Steps]])&gt;100),1,0)</f>
        <v>0</v>
      </c>
      <c r="J616">
        <f>IF(Table13[[#This Row],[POS]]=0,1,0)</f>
        <v>0</v>
      </c>
      <c r="K616">
        <f>SUM(Table13[[#This Row],[prefix]],Table13[[#This Row],[Past zero L]],Table13[[#This Row],[Past Zero R]],Table13[[#This Row],[Is Zero]])</f>
        <v>1</v>
      </c>
    </row>
    <row r="617" spans="1:11" ht="16" x14ac:dyDescent="0.2">
      <c r="A617" s="1" t="s">
        <v>167</v>
      </c>
      <c r="B617" t="str">
        <f>LEFT(Table13[[#This Row],[Input]],1)</f>
        <v>L</v>
      </c>
      <c r="C617">
        <f>_xlfn.LET(_xlpm.steps,SUBSTITUTE(Table13[[#This Row],[Input]],Table13[[#This Row],[Direction]],""),VALUE(IF(LEN(_xlpm.steps)&gt;2,RIGHT(_xlpm.steps,2),_xlpm.steps)))</f>
        <v>59</v>
      </c>
      <c r="D617">
        <f>_xlfn.LET(_xlpm.steps,SUBSTITUTE(Table13[[#This Row],[Input]],Table13[[#This Row],[Direction]],""),VALUE(IF(LEN(_xlpm.steps)&gt;2,LEFT(_xlpm.steps,LEN(_xlpm.steps)-2),0)))</f>
        <v>0</v>
      </c>
      <c r="E617">
        <f>_xlfn.LET(_xlpm.dir,Table13[[#This Row],[Direction]],
IF(_xlpm.dir="L",
    IF(G616-Table13[[#This Row],[Steps]]&lt;0,100+(G616-Table13[[#This Row],[Steps]]),G616-Table13[[#This Row],[Steps]]),
))</f>
        <v>0</v>
      </c>
      <c r="F617">
        <f>_xlfn.LET(_xlpm.dir,Table13[[#This Row],[Direction]],
IF(_xlpm.dir="R",
    IF(G616+Table13[[#This Row],[Steps]]&gt;99,(G616+Table13[[#This Row],[Steps]])-100,G616+Table13[[#This Row],[Steps]]),
))</f>
        <v>0</v>
      </c>
      <c r="G617">
        <f>IF(Table13[[#This Row],[New Pos L]]&lt;&gt;0,Table13[[#This Row],[New Pos L]],Table13[[#This Row],[New Pos R]])</f>
        <v>0</v>
      </c>
      <c r="H617">
        <f>IF(AND(Table13[[#This Row],[Direction]]="L",Table13[[#This Row],[Steps]]&gt;G616,G616&lt;&gt;0),1,0)</f>
        <v>0</v>
      </c>
      <c r="I617">
        <f>IF(AND(Table13[[#This Row],[Direction]]="R",(G616+Table13[[#This Row],[Steps]])&gt;100),1,0)</f>
        <v>0</v>
      </c>
      <c r="J617">
        <f>IF(Table13[[#This Row],[POS]]=0,1,0)</f>
        <v>1</v>
      </c>
      <c r="K617">
        <f>SUM(Table13[[#This Row],[prefix]],Table13[[#This Row],[Past zero L]],Table13[[#This Row],[Past Zero R]],Table13[[#This Row],[Is Zero]])</f>
        <v>1</v>
      </c>
    </row>
    <row r="618" spans="1:11" ht="16" x14ac:dyDescent="0.2">
      <c r="A618" s="1" t="s">
        <v>245</v>
      </c>
      <c r="B618" t="str">
        <f>LEFT(Table13[[#This Row],[Input]],1)</f>
        <v>R</v>
      </c>
      <c r="C618">
        <f>_xlfn.LET(_xlpm.steps,SUBSTITUTE(Table13[[#This Row],[Input]],Table13[[#This Row],[Direction]],""),VALUE(IF(LEN(_xlpm.steps)&gt;2,RIGHT(_xlpm.steps,2),_xlpm.steps)))</f>
        <v>71</v>
      </c>
      <c r="D618">
        <f>_xlfn.LET(_xlpm.steps,SUBSTITUTE(Table13[[#This Row],[Input]],Table13[[#This Row],[Direction]],""),VALUE(IF(LEN(_xlpm.steps)&gt;2,LEFT(_xlpm.steps,LEN(_xlpm.steps)-2),0)))</f>
        <v>0</v>
      </c>
      <c r="E618">
        <f>_xlfn.LET(_xlpm.dir,Table13[[#This Row],[Direction]],
IF(_xlpm.dir="L",
    IF(G617-Table13[[#This Row],[Steps]]&lt;0,100+(G617-Table13[[#This Row],[Steps]]),G617-Table13[[#This Row],[Steps]]),
))</f>
        <v>0</v>
      </c>
      <c r="F618">
        <f>_xlfn.LET(_xlpm.dir,Table13[[#This Row],[Direction]],
IF(_xlpm.dir="R",
    IF(G617+Table13[[#This Row],[Steps]]&gt;99,(G617+Table13[[#This Row],[Steps]])-100,G617+Table13[[#This Row],[Steps]]),
))</f>
        <v>71</v>
      </c>
      <c r="G618">
        <f>IF(Table13[[#This Row],[New Pos L]]&lt;&gt;0,Table13[[#This Row],[New Pos L]],Table13[[#This Row],[New Pos R]])</f>
        <v>71</v>
      </c>
      <c r="H618">
        <f>IF(AND(Table13[[#This Row],[Direction]]="L",Table13[[#This Row],[Steps]]&gt;G617,G617&lt;&gt;0),1,0)</f>
        <v>0</v>
      </c>
      <c r="I618">
        <f>IF(AND(Table13[[#This Row],[Direction]]="R",(G617+Table13[[#This Row],[Steps]])&gt;100),1,0)</f>
        <v>0</v>
      </c>
      <c r="J618">
        <f>IF(Table13[[#This Row],[POS]]=0,1,0)</f>
        <v>0</v>
      </c>
      <c r="K618">
        <f>SUM(Table13[[#This Row],[prefix]],Table13[[#This Row],[Past zero L]],Table13[[#This Row],[Past Zero R]],Table13[[#This Row],[Is Zero]])</f>
        <v>0</v>
      </c>
    </row>
    <row r="619" spans="1:11" ht="16" x14ac:dyDescent="0.2">
      <c r="A619" s="1" t="s">
        <v>94</v>
      </c>
      <c r="B619" t="str">
        <f>LEFT(Table13[[#This Row],[Input]],1)</f>
        <v>L</v>
      </c>
      <c r="C619">
        <f>_xlfn.LET(_xlpm.steps,SUBSTITUTE(Table13[[#This Row],[Input]],Table13[[#This Row],[Direction]],""),VALUE(IF(LEN(_xlpm.steps)&gt;2,RIGHT(_xlpm.steps,2),_xlpm.steps)))</f>
        <v>71</v>
      </c>
      <c r="D619">
        <f>_xlfn.LET(_xlpm.steps,SUBSTITUTE(Table13[[#This Row],[Input]],Table13[[#This Row],[Direction]],""),VALUE(IF(LEN(_xlpm.steps)&gt;2,LEFT(_xlpm.steps,LEN(_xlpm.steps)-2),0)))</f>
        <v>0</v>
      </c>
      <c r="E619">
        <f>_xlfn.LET(_xlpm.dir,Table13[[#This Row],[Direction]],
IF(_xlpm.dir="L",
    IF(G618-Table13[[#This Row],[Steps]]&lt;0,100+(G618-Table13[[#This Row],[Steps]]),G618-Table13[[#This Row],[Steps]]),
))</f>
        <v>0</v>
      </c>
      <c r="F619">
        <f>_xlfn.LET(_xlpm.dir,Table13[[#This Row],[Direction]],
IF(_xlpm.dir="R",
    IF(G618+Table13[[#This Row],[Steps]]&gt;99,(G618+Table13[[#This Row],[Steps]])-100,G618+Table13[[#This Row],[Steps]]),
))</f>
        <v>0</v>
      </c>
      <c r="G619">
        <f>IF(Table13[[#This Row],[New Pos L]]&lt;&gt;0,Table13[[#This Row],[New Pos L]],Table13[[#This Row],[New Pos R]])</f>
        <v>0</v>
      </c>
      <c r="H619">
        <f>IF(AND(Table13[[#This Row],[Direction]]="L",Table13[[#This Row],[Steps]]&gt;G618,G618&lt;&gt;0),1,0)</f>
        <v>0</v>
      </c>
      <c r="I619">
        <f>IF(AND(Table13[[#This Row],[Direction]]="R",(G618+Table13[[#This Row],[Steps]])&gt;100),1,0)</f>
        <v>0</v>
      </c>
      <c r="J619">
        <f>IF(Table13[[#This Row],[POS]]=0,1,0)</f>
        <v>1</v>
      </c>
      <c r="K619">
        <f>SUM(Table13[[#This Row],[prefix]],Table13[[#This Row],[Past zero L]],Table13[[#This Row],[Past Zero R]],Table13[[#This Row],[Is Zero]])</f>
        <v>1</v>
      </c>
    </row>
    <row r="620" spans="1:11" ht="16" x14ac:dyDescent="0.2">
      <c r="A620" s="1" t="s">
        <v>171</v>
      </c>
      <c r="B620" t="str">
        <f>LEFT(Table13[[#This Row],[Input]],1)</f>
        <v>L</v>
      </c>
      <c r="C620">
        <f>_xlfn.LET(_xlpm.steps,SUBSTITUTE(Table13[[#This Row],[Input]],Table13[[#This Row],[Direction]],""),VALUE(IF(LEN(_xlpm.steps)&gt;2,RIGHT(_xlpm.steps,2),_xlpm.steps)))</f>
        <v>73</v>
      </c>
      <c r="D620">
        <f>_xlfn.LET(_xlpm.steps,SUBSTITUTE(Table13[[#This Row],[Input]],Table13[[#This Row],[Direction]],""),VALUE(IF(LEN(_xlpm.steps)&gt;2,LEFT(_xlpm.steps,LEN(_xlpm.steps)-2),0)))</f>
        <v>0</v>
      </c>
      <c r="E620">
        <f>_xlfn.LET(_xlpm.dir,Table13[[#This Row],[Direction]],
IF(_xlpm.dir="L",
    IF(G619-Table13[[#This Row],[Steps]]&lt;0,100+(G619-Table13[[#This Row],[Steps]]),G619-Table13[[#This Row],[Steps]]),
))</f>
        <v>27</v>
      </c>
      <c r="F620">
        <f>_xlfn.LET(_xlpm.dir,Table13[[#This Row],[Direction]],
IF(_xlpm.dir="R",
    IF(G619+Table13[[#This Row],[Steps]]&gt;99,(G619+Table13[[#This Row],[Steps]])-100,G619+Table13[[#This Row],[Steps]]),
))</f>
        <v>0</v>
      </c>
      <c r="G620">
        <f>IF(Table13[[#This Row],[New Pos L]]&lt;&gt;0,Table13[[#This Row],[New Pos L]],Table13[[#This Row],[New Pos R]])</f>
        <v>27</v>
      </c>
      <c r="H620">
        <f>IF(AND(Table13[[#This Row],[Direction]]="L",Table13[[#This Row],[Steps]]&gt;G619,G619&lt;&gt;0),1,0)</f>
        <v>0</v>
      </c>
      <c r="I620">
        <f>IF(AND(Table13[[#This Row],[Direction]]="R",(G619+Table13[[#This Row],[Steps]])&gt;100),1,0)</f>
        <v>0</v>
      </c>
      <c r="J620">
        <f>IF(Table13[[#This Row],[POS]]=0,1,0)</f>
        <v>0</v>
      </c>
      <c r="K620">
        <f>SUM(Table13[[#This Row],[prefix]],Table13[[#This Row],[Past zero L]],Table13[[#This Row],[Past Zero R]],Table13[[#This Row],[Is Zero]])</f>
        <v>0</v>
      </c>
    </row>
    <row r="621" spans="1:11" ht="16" x14ac:dyDescent="0.2">
      <c r="A621" s="1" t="s">
        <v>151</v>
      </c>
      <c r="B621" t="str">
        <f>LEFT(Table13[[#This Row],[Input]],1)</f>
        <v>L</v>
      </c>
      <c r="C621">
        <f>_xlfn.LET(_xlpm.steps,SUBSTITUTE(Table13[[#This Row],[Input]],Table13[[#This Row],[Direction]],""),VALUE(IF(LEN(_xlpm.steps)&gt;2,RIGHT(_xlpm.steps,2),_xlpm.steps)))</f>
        <v>74</v>
      </c>
      <c r="D621">
        <f>_xlfn.LET(_xlpm.steps,SUBSTITUTE(Table13[[#This Row],[Input]],Table13[[#This Row],[Direction]],""),VALUE(IF(LEN(_xlpm.steps)&gt;2,LEFT(_xlpm.steps,LEN(_xlpm.steps)-2),0)))</f>
        <v>0</v>
      </c>
      <c r="E621">
        <f>_xlfn.LET(_xlpm.dir,Table13[[#This Row],[Direction]],
IF(_xlpm.dir="L",
    IF(G620-Table13[[#This Row],[Steps]]&lt;0,100+(G620-Table13[[#This Row],[Steps]]),G620-Table13[[#This Row],[Steps]]),
))</f>
        <v>53</v>
      </c>
      <c r="F621">
        <f>_xlfn.LET(_xlpm.dir,Table13[[#This Row],[Direction]],
IF(_xlpm.dir="R",
    IF(G620+Table13[[#This Row],[Steps]]&gt;99,(G620+Table13[[#This Row],[Steps]])-100,G620+Table13[[#This Row],[Steps]]),
))</f>
        <v>0</v>
      </c>
      <c r="G621">
        <f>IF(Table13[[#This Row],[New Pos L]]&lt;&gt;0,Table13[[#This Row],[New Pos L]],Table13[[#This Row],[New Pos R]])</f>
        <v>53</v>
      </c>
      <c r="H621">
        <f>IF(AND(Table13[[#This Row],[Direction]]="L",Table13[[#This Row],[Steps]]&gt;G620,G620&lt;&gt;0),1,0)</f>
        <v>1</v>
      </c>
      <c r="I621">
        <f>IF(AND(Table13[[#This Row],[Direction]]="R",(G620+Table13[[#This Row],[Steps]])&gt;100),1,0)</f>
        <v>0</v>
      </c>
      <c r="J621">
        <f>IF(Table13[[#This Row],[POS]]=0,1,0)</f>
        <v>0</v>
      </c>
      <c r="K621">
        <f>SUM(Table13[[#This Row],[prefix]],Table13[[#This Row],[Past zero L]],Table13[[#This Row],[Past Zero R]],Table13[[#This Row],[Is Zero]])</f>
        <v>1</v>
      </c>
    </row>
    <row r="622" spans="1:11" ht="16" x14ac:dyDescent="0.2">
      <c r="A622" s="1" t="s">
        <v>31</v>
      </c>
      <c r="B622" t="str">
        <f>LEFT(Table13[[#This Row],[Input]],1)</f>
        <v>L</v>
      </c>
      <c r="C622">
        <f>_xlfn.LET(_xlpm.steps,SUBSTITUTE(Table13[[#This Row],[Input]],Table13[[#This Row],[Direction]],""),VALUE(IF(LEN(_xlpm.steps)&gt;2,RIGHT(_xlpm.steps,2),_xlpm.steps)))</f>
        <v>13</v>
      </c>
      <c r="D622">
        <f>_xlfn.LET(_xlpm.steps,SUBSTITUTE(Table13[[#This Row],[Input]],Table13[[#This Row],[Direction]],""),VALUE(IF(LEN(_xlpm.steps)&gt;2,LEFT(_xlpm.steps,LEN(_xlpm.steps)-2),0)))</f>
        <v>0</v>
      </c>
      <c r="E622">
        <f>_xlfn.LET(_xlpm.dir,Table13[[#This Row],[Direction]],
IF(_xlpm.dir="L",
    IF(G621-Table13[[#This Row],[Steps]]&lt;0,100+(G621-Table13[[#This Row],[Steps]]),G621-Table13[[#This Row],[Steps]]),
))</f>
        <v>40</v>
      </c>
      <c r="F622">
        <f>_xlfn.LET(_xlpm.dir,Table13[[#This Row],[Direction]],
IF(_xlpm.dir="R",
    IF(G621+Table13[[#This Row],[Steps]]&gt;99,(G621+Table13[[#This Row],[Steps]])-100,G621+Table13[[#This Row],[Steps]]),
))</f>
        <v>0</v>
      </c>
      <c r="G622">
        <f>IF(Table13[[#This Row],[New Pos L]]&lt;&gt;0,Table13[[#This Row],[New Pos L]],Table13[[#This Row],[New Pos R]])</f>
        <v>40</v>
      </c>
      <c r="H622">
        <f>IF(AND(Table13[[#This Row],[Direction]]="L",Table13[[#This Row],[Steps]]&gt;G621,G621&lt;&gt;0),1,0)</f>
        <v>0</v>
      </c>
      <c r="I622">
        <f>IF(AND(Table13[[#This Row],[Direction]]="R",(G621+Table13[[#This Row],[Steps]])&gt;100),1,0)</f>
        <v>0</v>
      </c>
      <c r="J622">
        <f>IF(Table13[[#This Row],[POS]]=0,1,0)</f>
        <v>0</v>
      </c>
      <c r="K622">
        <f>SUM(Table13[[#This Row],[prefix]],Table13[[#This Row],[Past zero L]],Table13[[#This Row],[Past Zero R]],Table13[[#This Row],[Is Zero]])</f>
        <v>0</v>
      </c>
    </row>
    <row r="623" spans="1:11" ht="16" x14ac:dyDescent="0.2">
      <c r="A623" s="1" t="s">
        <v>115</v>
      </c>
      <c r="B623" t="str">
        <f>LEFT(Table13[[#This Row],[Input]],1)</f>
        <v>L</v>
      </c>
      <c r="C623">
        <f>_xlfn.LET(_xlpm.steps,SUBSTITUTE(Table13[[#This Row],[Input]],Table13[[#This Row],[Direction]],""),VALUE(IF(LEN(_xlpm.steps)&gt;2,RIGHT(_xlpm.steps,2),_xlpm.steps)))</f>
        <v>29</v>
      </c>
      <c r="D623">
        <f>_xlfn.LET(_xlpm.steps,SUBSTITUTE(Table13[[#This Row],[Input]],Table13[[#This Row],[Direction]],""),VALUE(IF(LEN(_xlpm.steps)&gt;2,LEFT(_xlpm.steps,LEN(_xlpm.steps)-2),0)))</f>
        <v>0</v>
      </c>
      <c r="E623">
        <f>_xlfn.LET(_xlpm.dir,Table13[[#This Row],[Direction]],
IF(_xlpm.dir="L",
    IF(G622-Table13[[#This Row],[Steps]]&lt;0,100+(G622-Table13[[#This Row],[Steps]]),G622-Table13[[#This Row],[Steps]]),
))</f>
        <v>11</v>
      </c>
      <c r="F623">
        <f>_xlfn.LET(_xlpm.dir,Table13[[#This Row],[Direction]],
IF(_xlpm.dir="R",
    IF(G622+Table13[[#This Row],[Steps]]&gt;99,(G622+Table13[[#This Row],[Steps]])-100,G622+Table13[[#This Row],[Steps]]),
))</f>
        <v>0</v>
      </c>
      <c r="G623">
        <f>IF(Table13[[#This Row],[New Pos L]]&lt;&gt;0,Table13[[#This Row],[New Pos L]],Table13[[#This Row],[New Pos R]])</f>
        <v>11</v>
      </c>
      <c r="H623">
        <f>IF(AND(Table13[[#This Row],[Direction]]="L",Table13[[#This Row],[Steps]]&gt;G622,G622&lt;&gt;0),1,0)</f>
        <v>0</v>
      </c>
      <c r="I623">
        <f>IF(AND(Table13[[#This Row],[Direction]]="R",(G622+Table13[[#This Row],[Steps]])&gt;100),1,0)</f>
        <v>0</v>
      </c>
      <c r="J623">
        <f>IF(Table13[[#This Row],[POS]]=0,1,0)</f>
        <v>0</v>
      </c>
      <c r="K623">
        <f>SUM(Table13[[#This Row],[prefix]],Table13[[#This Row],[Past zero L]],Table13[[#This Row],[Past Zero R]],Table13[[#This Row],[Is Zero]])</f>
        <v>0</v>
      </c>
    </row>
    <row r="624" spans="1:11" ht="16" x14ac:dyDescent="0.2">
      <c r="A624" s="1" t="s">
        <v>24</v>
      </c>
      <c r="B624" t="str">
        <f>LEFT(Table13[[#This Row],[Input]],1)</f>
        <v>L</v>
      </c>
      <c r="C624">
        <f>_xlfn.LET(_xlpm.steps,SUBSTITUTE(Table13[[#This Row],[Input]],Table13[[#This Row],[Direction]],""),VALUE(IF(LEN(_xlpm.steps)&gt;2,RIGHT(_xlpm.steps,2),_xlpm.steps)))</f>
        <v>49</v>
      </c>
      <c r="D624">
        <f>_xlfn.LET(_xlpm.steps,SUBSTITUTE(Table13[[#This Row],[Input]],Table13[[#This Row],[Direction]],""),VALUE(IF(LEN(_xlpm.steps)&gt;2,LEFT(_xlpm.steps,LEN(_xlpm.steps)-2),0)))</f>
        <v>0</v>
      </c>
      <c r="E624">
        <f>_xlfn.LET(_xlpm.dir,Table13[[#This Row],[Direction]],
IF(_xlpm.dir="L",
    IF(G623-Table13[[#This Row],[Steps]]&lt;0,100+(G623-Table13[[#This Row],[Steps]]),G623-Table13[[#This Row],[Steps]]),
))</f>
        <v>62</v>
      </c>
      <c r="F624">
        <f>_xlfn.LET(_xlpm.dir,Table13[[#This Row],[Direction]],
IF(_xlpm.dir="R",
    IF(G623+Table13[[#This Row],[Steps]]&gt;99,(G623+Table13[[#This Row],[Steps]])-100,G623+Table13[[#This Row],[Steps]]),
))</f>
        <v>0</v>
      </c>
      <c r="G624">
        <f>IF(Table13[[#This Row],[New Pos L]]&lt;&gt;0,Table13[[#This Row],[New Pos L]],Table13[[#This Row],[New Pos R]])</f>
        <v>62</v>
      </c>
      <c r="H624">
        <f>IF(AND(Table13[[#This Row],[Direction]]="L",Table13[[#This Row],[Steps]]&gt;G623,G623&lt;&gt;0),1,0)</f>
        <v>1</v>
      </c>
      <c r="I624">
        <f>IF(AND(Table13[[#This Row],[Direction]]="R",(G623+Table13[[#This Row],[Steps]])&gt;100),1,0)</f>
        <v>0</v>
      </c>
      <c r="J624">
        <f>IF(Table13[[#This Row],[POS]]=0,1,0)</f>
        <v>0</v>
      </c>
      <c r="K624">
        <f>SUM(Table13[[#This Row],[prefix]],Table13[[#This Row],[Past zero L]],Table13[[#This Row],[Past Zero R]],Table13[[#This Row],[Is Zero]])</f>
        <v>1</v>
      </c>
    </row>
    <row r="625" spans="1:11" ht="16" x14ac:dyDescent="0.2">
      <c r="A625" s="1" t="s">
        <v>66</v>
      </c>
      <c r="B625" t="str">
        <f>LEFT(Table13[[#This Row],[Input]],1)</f>
        <v>R</v>
      </c>
      <c r="C625">
        <f>_xlfn.LET(_xlpm.steps,SUBSTITUTE(Table13[[#This Row],[Input]],Table13[[#This Row],[Direction]],""),VALUE(IF(LEN(_xlpm.steps)&gt;2,RIGHT(_xlpm.steps,2),_xlpm.steps)))</f>
        <v>45</v>
      </c>
      <c r="D625">
        <f>_xlfn.LET(_xlpm.steps,SUBSTITUTE(Table13[[#This Row],[Input]],Table13[[#This Row],[Direction]],""),VALUE(IF(LEN(_xlpm.steps)&gt;2,LEFT(_xlpm.steps,LEN(_xlpm.steps)-2),0)))</f>
        <v>0</v>
      </c>
      <c r="E625">
        <f>_xlfn.LET(_xlpm.dir,Table13[[#This Row],[Direction]],
IF(_xlpm.dir="L",
    IF(G624-Table13[[#This Row],[Steps]]&lt;0,100+(G624-Table13[[#This Row],[Steps]]),G624-Table13[[#This Row],[Steps]]),
))</f>
        <v>0</v>
      </c>
      <c r="F625">
        <f>_xlfn.LET(_xlpm.dir,Table13[[#This Row],[Direction]],
IF(_xlpm.dir="R",
    IF(G624+Table13[[#This Row],[Steps]]&gt;99,(G624+Table13[[#This Row],[Steps]])-100,G624+Table13[[#This Row],[Steps]]),
))</f>
        <v>7</v>
      </c>
      <c r="G625">
        <f>IF(Table13[[#This Row],[New Pos L]]&lt;&gt;0,Table13[[#This Row],[New Pos L]],Table13[[#This Row],[New Pos R]])</f>
        <v>7</v>
      </c>
      <c r="H625">
        <f>IF(AND(Table13[[#This Row],[Direction]]="L",Table13[[#This Row],[Steps]]&gt;G624,G624&lt;&gt;0),1,0)</f>
        <v>0</v>
      </c>
      <c r="I625">
        <f>IF(AND(Table13[[#This Row],[Direction]]="R",(G624+Table13[[#This Row],[Steps]])&gt;100),1,0)</f>
        <v>1</v>
      </c>
      <c r="J625">
        <f>IF(Table13[[#This Row],[POS]]=0,1,0)</f>
        <v>0</v>
      </c>
      <c r="K625">
        <f>SUM(Table13[[#This Row],[prefix]],Table13[[#This Row],[Past zero L]],Table13[[#This Row],[Past Zero R]],Table13[[#This Row],[Is Zero]])</f>
        <v>1</v>
      </c>
    </row>
    <row r="626" spans="1:11" ht="16" x14ac:dyDescent="0.2">
      <c r="A626" s="1" t="s">
        <v>16</v>
      </c>
      <c r="B626" t="str">
        <f>LEFT(Table13[[#This Row],[Input]],1)</f>
        <v>L</v>
      </c>
      <c r="C626">
        <f>_xlfn.LET(_xlpm.steps,SUBSTITUTE(Table13[[#This Row],[Input]],Table13[[#This Row],[Direction]],""),VALUE(IF(LEN(_xlpm.steps)&gt;2,RIGHT(_xlpm.steps,2),_xlpm.steps)))</f>
        <v>10</v>
      </c>
      <c r="D626">
        <f>_xlfn.LET(_xlpm.steps,SUBSTITUTE(Table13[[#This Row],[Input]],Table13[[#This Row],[Direction]],""),VALUE(IF(LEN(_xlpm.steps)&gt;2,LEFT(_xlpm.steps,LEN(_xlpm.steps)-2),0)))</f>
        <v>0</v>
      </c>
      <c r="E626">
        <f>_xlfn.LET(_xlpm.dir,Table13[[#This Row],[Direction]],
IF(_xlpm.dir="L",
    IF(G625-Table13[[#This Row],[Steps]]&lt;0,100+(G625-Table13[[#This Row],[Steps]]),G625-Table13[[#This Row],[Steps]]),
))</f>
        <v>97</v>
      </c>
      <c r="F626">
        <f>_xlfn.LET(_xlpm.dir,Table13[[#This Row],[Direction]],
IF(_xlpm.dir="R",
    IF(G625+Table13[[#This Row],[Steps]]&gt;99,(G625+Table13[[#This Row],[Steps]])-100,G625+Table13[[#This Row],[Steps]]),
))</f>
        <v>0</v>
      </c>
      <c r="G626">
        <f>IF(Table13[[#This Row],[New Pos L]]&lt;&gt;0,Table13[[#This Row],[New Pos L]],Table13[[#This Row],[New Pos R]])</f>
        <v>97</v>
      </c>
      <c r="H626">
        <f>IF(AND(Table13[[#This Row],[Direction]]="L",Table13[[#This Row],[Steps]]&gt;G625,G625&lt;&gt;0),1,0)</f>
        <v>1</v>
      </c>
      <c r="I626">
        <f>IF(AND(Table13[[#This Row],[Direction]]="R",(G625+Table13[[#This Row],[Steps]])&gt;100),1,0)</f>
        <v>0</v>
      </c>
      <c r="J626">
        <f>IF(Table13[[#This Row],[POS]]=0,1,0)</f>
        <v>0</v>
      </c>
      <c r="K626">
        <f>SUM(Table13[[#This Row],[prefix]],Table13[[#This Row],[Past zero L]],Table13[[#This Row],[Past Zero R]],Table13[[#This Row],[Is Zero]])</f>
        <v>1</v>
      </c>
    </row>
    <row r="627" spans="1:11" ht="16" x14ac:dyDescent="0.2">
      <c r="A627" s="1" t="s">
        <v>267</v>
      </c>
      <c r="B627" t="str">
        <f>LEFT(Table13[[#This Row],[Input]],1)</f>
        <v>L</v>
      </c>
      <c r="C627">
        <f>_xlfn.LET(_xlpm.steps,SUBSTITUTE(Table13[[#This Row],[Input]],Table13[[#This Row],[Direction]],""),VALUE(IF(LEN(_xlpm.steps)&gt;2,RIGHT(_xlpm.steps,2),_xlpm.steps)))</f>
        <v>39</v>
      </c>
      <c r="D627">
        <f>_xlfn.LET(_xlpm.steps,SUBSTITUTE(Table13[[#This Row],[Input]],Table13[[#This Row],[Direction]],""),VALUE(IF(LEN(_xlpm.steps)&gt;2,LEFT(_xlpm.steps,LEN(_xlpm.steps)-2),0)))</f>
        <v>0</v>
      </c>
      <c r="E627">
        <f>_xlfn.LET(_xlpm.dir,Table13[[#This Row],[Direction]],
IF(_xlpm.dir="L",
    IF(G626-Table13[[#This Row],[Steps]]&lt;0,100+(G626-Table13[[#This Row],[Steps]]),G626-Table13[[#This Row],[Steps]]),
))</f>
        <v>58</v>
      </c>
      <c r="F627">
        <f>_xlfn.LET(_xlpm.dir,Table13[[#This Row],[Direction]],
IF(_xlpm.dir="R",
    IF(G626+Table13[[#This Row],[Steps]]&gt;99,(G626+Table13[[#This Row],[Steps]])-100,G626+Table13[[#This Row],[Steps]]),
))</f>
        <v>0</v>
      </c>
      <c r="G627">
        <f>IF(Table13[[#This Row],[New Pos L]]&lt;&gt;0,Table13[[#This Row],[New Pos L]],Table13[[#This Row],[New Pos R]])</f>
        <v>58</v>
      </c>
      <c r="H627">
        <f>IF(AND(Table13[[#This Row],[Direction]]="L",Table13[[#This Row],[Steps]]&gt;G626,G626&lt;&gt;0),1,0)</f>
        <v>0</v>
      </c>
      <c r="I627">
        <f>IF(AND(Table13[[#This Row],[Direction]]="R",(G626+Table13[[#This Row],[Steps]])&gt;100),1,0)</f>
        <v>0</v>
      </c>
      <c r="J627">
        <f>IF(Table13[[#This Row],[POS]]=0,1,0)</f>
        <v>0</v>
      </c>
      <c r="K627">
        <f>SUM(Table13[[#This Row],[prefix]],Table13[[#This Row],[Past zero L]],Table13[[#This Row],[Past Zero R]],Table13[[#This Row],[Is Zero]])</f>
        <v>0</v>
      </c>
    </row>
    <row r="628" spans="1:11" ht="16" x14ac:dyDescent="0.2">
      <c r="A628" s="1" t="s">
        <v>123</v>
      </c>
      <c r="B628" t="str">
        <f>LEFT(Table13[[#This Row],[Input]],1)</f>
        <v>L</v>
      </c>
      <c r="C628">
        <f>_xlfn.LET(_xlpm.steps,SUBSTITUTE(Table13[[#This Row],[Input]],Table13[[#This Row],[Direction]],""),VALUE(IF(LEN(_xlpm.steps)&gt;2,RIGHT(_xlpm.steps,2),_xlpm.steps)))</f>
        <v>63</v>
      </c>
      <c r="D628">
        <f>_xlfn.LET(_xlpm.steps,SUBSTITUTE(Table13[[#This Row],[Input]],Table13[[#This Row],[Direction]],""),VALUE(IF(LEN(_xlpm.steps)&gt;2,LEFT(_xlpm.steps,LEN(_xlpm.steps)-2),0)))</f>
        <v>0</v>
      </c>
      <c r="E628">
        <f>_xlfn.LET(_xlpm.dir,Table13[[#This Row],[Direction]],
IF(_xlpm.dir="L",
    IF(G627-Table13[[#This Row],[Steps]]&lt;0,100+(G627-Table13[[#This Row],[Steps]]),G627-Table13[[#This Row],[Steps]]),
))</f>
        <v>95</v>
      </c>
      <c r="F628">
        <f>_xlfn.LET(_xlpm.dir,Table13[[#This Row],[Direction]],
IF(_xlpm.dir="R",
    IF(G627+Table13[[#This Row],[Steps]]&gt;99,(G627+Table13[[#This Row],[Steps]])-100,G627+Table13[[#This Row],[Steps]]),
))</f>
        <v>0</v>
      </c>
      <c r="G628">
        <f>IF(Table13[[#This Row],[New Pos L]]&lt;&gt;0,Table13[[#This Row],[New Pos L]],Table13[[#This Row],[New Pos R]])</f>
        <v>95</v>
      </c>
      <c r="H628">
        <f>IF(AND(Table13[[#This Row],[Direction]]="L",Table13[[#This Row],[Steps]]&gt;G627,G627&lt;&gt;0),1,0)</f>
        <v>1</v>
      </c>
      <c r="I628">
        <f>IF(AND(Table13[[#This Row],[Direction]]="R",(G627+Table13[[#This Row],[Steps]])&gt;100),1,0)</f>
        <v>0</v>
      </c>
      <c r="J628">
        <f>IF(Table13[[#This Row],[POS]]=0,1,0)</f>
        <v>0</v>
      </c>
      <c r="K628">
        <f>SUM(Table13[[#This Row],[prefix]],Table13[[#This Row],[Past zero L]],Table13[[#This Row],[Past Zero R]],Table13[[#This Row],[Is Zero]])</f>
        <v>1</v>
      </c>
    </row>
    <row r="629" spans="1:11" ht="16" x14ac:dyDescent="0.2">
      <c r="A629" s="1" t="s">
        <v>245</v>
      </c>
      <c r="B629" t="str">
        <f>LEFT(Table13[[#This Row],[Input]],1)</f>
        <v>R</v>
      </c>
      <c r="C629">
        <f>_xlfn.LET(_xlpm.steps,SUBSTITUTE(Table13[[#This Row],[Input]],Table13[[#This Row],[Direction]],""),VALUE(IF(LEN(_xlpm.steps)&gt;2,RIGHT(_xlpm.steps,2),_xlpm.steps)))</f>
        <v>71</v>
      </c>
      <c r="D629">
        <f>_xlfn.LET(_xlpm.steps,SUBSTITUTE(Table13[[#This Row],[Input]],Table13[[#This Row],[Direction]],""),VALUE(IF(LEN(_xlpm.steps)&gt;2,LEFT(_xlpm.steps,LEN(_xlpm.steps)-2),0)))</f>
        <v>0</v>
      </c>
      <c r="E629">
        <f>_xlfn.LET(_xlpm.dir,Table13[[#This Row],[Direction]],
IF(_xlpm.dir="L",
    IF(G628-Table13[[#This Row],[Steps]]&lt;0,100+(G628-Table13[[#This Row],[Steps]]),G628-Table13[[#This Row],[Steps]]),
))</f>
        <v>0</v>
      </c>
      <c r="F629">
        <f>_xlfn.LET(_xlpm.dir,Table13[[#This Row],[Direction]],
IF(_xlpm.dir="R",
    IF(G628+Table13[[#This Row],[Steps]]&gt;99,(G628+Table13[[#This Row],[Steps]])-100,G628+Table13[[#This Row],[Steps]]),
))</f>
        <v>66</v>
      </c>
      <c r="G629">
        <f>IF(Table13[[#This Row],[New Pos L]]&lt;&gt;0,Table13[[#This Row],[New Pos L]],Table13[[#This Row],[New Pos R]])</f>
        <v>66</v>
      </c>
      <c r="H629">
        <f>IF(AND(Table13[[#This Row],[Direction]]="L",Table13[[#This Row],[Steps]]&gt;G628,G628&lt;&gt;0),1,0)</f>
        <v>0</v>
      </c>
      <c r="I629">
        <f>IF(AND(Table13[[#This Row],[Direction]]="R",(G628+Table13[[#This Row],[Steps]])&gt;100),1,0)</f>
        <v>1</v>
      </c>
      <c r="J629">
        <f>IF(Table13[[#This Row],[POS]]=0,1,0)</f>
        <v>0</v>
      </c>
      <c r="K629">
        <f>SUM(Table13[[#This Row],[prefix]],Table13[[#This Row],[Past zero L]],Table13[[#This Row],[Past Zero R]],Table13[[#This Row],[Is Zero]])</f>
        <v>1</v>
      </c>
    </row>
    <row r="630" spans="1:11" ht="16" x14ac:dyDescent="0.2">
      <c r="A630" s="1" t="s">
        <v>279</v>
      </c>
      <c r="B630" t="str">
        <f>LEFT(Table13[[#This Row],[Input]],1)</f>
        <v>R</v>
      </c>
      <c r="C630">
        <f>_xlfn.LET(_xlpm.steps,SUBSTITUTE(Table13[[#This Row],[Input]],Table13[[#This Row],[Direction]],""),VALUE(IF(LEN(_xlpm.steps)&gt;2,RIGHT(_xlpm.steps,2),_xlpm.steps)))</f>
        <v>34</v>
      </c>
      <c r="D630">
        <f>_xlfn.LET(_xlpm.steps,SUBSTITUTE(Table13[[#This Row],[Input]],Table13[[#This Row],[Direction]],""),VALUE(IF(LEN(_xlpm.steps)&gt;2,LEFT(_xlpm.steps,LEN(_xlpm.steps)-2),0)))</f>
        <v>0</v>
      </c>
      <c r="E630">
        <f>_xlfn.LET(_xlpm.dir,Table13[[#This Row],[Direction]],
IF(_xlpm.dir="L",
    IF(G629-Table13[[#This Row],[Steps]]&lt;0,100+(G629-Table13[[#This Row],[Steps]]),G629-Table13[[#This Row],[Steps]]),
))</f>
        <v>0</v>
      </c>
      <c r="F630">
        <f>_xlfn.LET(_xlpm.dir,Table13[[#This Row],[Direction]],
IF(_xlpm.dir="R",
    IF(G629+Table13[[#This Row],[Steps]]&gt;99,(G629+Table13[[#This Row],[Steps]])-100,G629+Table13[[#This Row],[Steps]]),
))</f>
        <v>0</v>
      </c>
      <c r="G630">
        <f>IF(Table13[[#This Row],[New Pos L]]&lt;&gt;0,Table13[[#This Row],[New Pos L]],Table13[[#This Row],[New Pos R]])</f>
        <v>0</v>
      </c>
      <c r="H630">
        <f>IF(AND(Table13[[#This Row],[Direction]]="L",Table13[[#This Row],[Steps]]&gt;G629,G629&lt;&gt;0),1,0)</f>
        <v>0</v>
      </c>
      <c r="I630">
        <f>IF(AND(Table13[[#This Row],[Direction]]="R",(G629+Table13[[#This Row],[Steps]])&gt;100),1,0)</f>
        <v>0</v>
      </c>
      <c r="J630">
        <f>IF(Table13[[#This Row],[POS]]=0,1,0)</f>
        <v>1</v>
      </c>
      <c r="K630">
        <f>SUM(Table13[[#This Row],[prefix]],Table13[[#This Row],[Past zero L]],Table13[[#This Row],[Past Zero R]],Table13[[#This Row],[Is Zero]])</f>
        <v>1</v>
      </c>
    </row>
    <row r="631" spans="1:11" ht="16" x14ac:dyDescent="0.2">
      <c r="A631" s="1" t="s">
        <v>0</v>
      </c>
      <c r="B631" t="str">
        <f>LEFT(Table13[[#This Row],[Input]],1)</f>
        <v>L</v>
      </c>
      <c r="C631">
        <f>_xlfn.LET(_xlpm.steps,SUBSTITUTE(Table13[[#This Row],[Input]],Table13[[#This Row],[Direction]],""),VALUE(IF(LEN(_xlpm.steps)&gt;2,RIGHT(_xlpm.steps,2),_xlpm.steps)))</f>
        <v>44</v>
      </c>
      <c r="D631">
        <f>_xlfn.LET(_xlpm.steps,SUBSTITUTE(Table13[[#This Row],[Input]],Table13[[#This Row],[Direction]],""),VALUE(IF(LEN(_xlpm.steps)&gt;2,LEFT(_xlpm.steps,LEN(_xlpm.steps)-2),0)))</f>
        <v>0</v>
      </c>
      <c r="E631">
        <f>_xlfn.LET(_xlpm.dir,Table13[[#This Row],[Direction]],
IF(_xlpm.dir="L",
    IF(G630-Table13[[#This Row],[Steps]]&lt;0,100+(G630-Table13[[#This Row],[Steps]]),G630-Table13[[#This Row],[Steps]]),
))</f>
        <v>56</v>
      </c>
      <c r="F631">
        <f>_xlfn.LET(_xlpm.dir,Table13[[#This Row],[Direction]],
IF(_xlpm.dir="R",
    IF(G630+Table13[[#This Row],[Steps]]&gt;99,(G630+Table13[[#This Row],[Steps]])-100,G630+Table13[[#This Row],[Steps]]),
))</f>
        <v>0</v>
      </c>
      <c r="G631">
        <f>IF(Table13[[#This Row],[New Pos L]]&lt;&gt;0,Table13[[#This Row],[New Pos L]],Table13[[#This Row],[New Pos R]])</f>
        <v>56</v>
      </c>
      <c r="H631">
        <f>IF(AND(Table13[[#This Row],[Direction]]="L",Table13[[#This Row],[Steps]]&gt;G630,G630&lt;&gt;0),1,0)</f>
        <v>0</v>
      </c>
      <c r="I631">
        <f>IF(AND(Table13[[#This Row],[Direction]]="R",(G630+Table13[[#This Row],[Steps]])&gt;100),1,0)</f>
        <v>0</v>
      </c>
      <c r="J631">
        <f>IF(Table13[[#This Row],[POS]]=0,1,0)</f>
        <v>0</v>
      </c>
      <c r="K631">
        <f>SUM(Table13[[#This Row],[prefix]],Table13[[#This Row],[Past zero L]],Table13[[#This Row],[Past Zero R]],Table13[[#This Row],[Is Zero]])</f>
        <v>0</v>
      </c>
    </row>
    <row r="632" spans="1:11" ht="16" x14ac:dyDescent="0.2">
      <c r="A632" s="1" t="s">
        <v>282</v>
      </c>
      <c r="B632" t="str">
        <f>LEFT(Table13[[#This Row],[Input]],1)</f>
        <v>L</v>
      </c>
      <c r="C632">
        <f>_xlfn.LET(_xlpm.steps,SUBSTITUTE(Table13[[#This Row],[Input]],Table13[[#This Row],[Direction]],""),VALUE(IF(LEN(_xlpm.steps)&gt;2,RIGHT(_xlpm.steps,2),_xlpm.steps)))</f>
        <v>56</v>
      </c>
      <c r="D632">
        <f>_xlfn.LET(_xlpm.steps,SUBSTITUTE(Table13[[#This Row],[Input]],Table13[[#This Row],[Direction]],""),VALUE(IF(LEN(_xlpm.steps)&gt;2,LEFT(_xlpm.steps,LEN(_xlpm.steps)-2),0)))</f>
        <v>8</v>
      </c>
      <c r="E632">
        <f>_xlfn.LET(_xlpm.dir,Table13[[#This Row],[Direction]],
IF(_xlpm.dir="L",
    IF(G631-Table13[[#This Row],[Steps]]&lt;0,100+(G631-Table13[[#This Row],[Steps]]),G631-Table13[[#This Row],[Steps]]),
))</f>
        <v>0</v>
      </c>
      <c r="F632">
        <f>_xlfn.LET(_xlpm.dir,Table13[[#This Row],[Direction]],
IF(_xlpm.dir="R",
    IF(G631+Table13[[#This Row],[Steps]]&gt;99,(G631+Table13[[#This Row],[Steps]])-100,G631+Table13[[#This Row],[Steps]]),
))</f>
        <v>0</v>
      </c>
      <c r="G632">
        <f>IF(Table13[[#This Row],[New Pos L]]&lt;&gt;0,Table13[[#This Row],[New Pos L]],Table13[[#This Row],[New Pos R]])</f>
        <v>0</v>
      </c>
      <c r="H632">
        <f>IF(AND(Table13[[#This Row],[Direction]]="L",Table13[[#This Row],[Steps]]&gt;G631,G631&lt;&gt;0),1,0)</f>
        <v>0</v>
      </c>
      <c r="I632">
        <f>IF(AND(Table13[[#This Row],[Direction]]="R",(G631+Table13[[#This Row],[Steps]])&gt;100),1,0)</f>
        <v>0</v>
      </c>
      <c r="J632">
        <f>IF(Table13[[#This Row],[POS]]=0,1,0)</f>
        <v>1</v>
      </c>
      <c r="K632">
        <f>SUM(Table13[[#This Row],[prefix]],Table13[[#This Row],[Past zero L]],Table13[[#This Row],[Past Zero R]],Table13[[#This Row],[Is Zero]])</f>
        <v>9</v>
      </c>
    </row>
    <row r="633" spans="1:11" ht="16" x14ac:dyDescent="0.2">
      <c r="A633" s="1" t="s">
        <v>24</v>
      </c>
      <c r="B633" t="str">
        <f>LEFT(Table13[[#This Row],[Input]],1)</f>
        <v>L</v>
      </c>
      <c r="C633">
        <f>_xlfn.LET(_xlpm.steps,SUBSTITUTE(Table13[[#This Row],[Input]],Table13[[#This Row],[Direction]],""),VALUE(IF(LEN(_xlpm.steps)&gt;2,RIGHT(_xlpm.steps,2),_xlpm.steps)))</f>
        <v>49</v>
      </c>
      <c r="D633">
        <f>_xlfn.LET(_xlpm.steps,SUBSTITUTE(Table13[[#This Row],[Input]],Table13[[#This Row],[Direction]],""),VALUE(IF(LEN(_xlpm.steps)&gt;2,LEFT(_xlpm.steps,LEN(_xlpm.steps)-2),0)))</f>
        <v>0</v>
      </c>
      <c r="E633">
        <f>_xlfn.LET(_xlpm.dir,Table13[[#This Row],[Direction]],
IF(_xlpm.dir="L",
    IF(G632-Table13[[#This Row],[Steps]]&lt;0,100+(G632-Table13[[#This Row],[Steps]]),G632-Table13[[#This Row],[Steps]]),
))</f>
        <v>51</v>
      </c>
      <c r="F633">
        <f>_xlfn.LET(_xlpm.dir,Table13[[#This Row],[Direction]],
IF(_xlpm.dir="R",
    IF(G632+Table13[[#This Row],[Steps]]&gt;99,(G632+Table13[[#This Row],[Steps]])-100,G632+Table13[[#This Row],[Steps]]),
))</f>
        <v>0</v>
      </c>
      <c r="G633">
        <f>IF(Table13[[#This Row],[New Pos L]]&lt;&gt;0,Table13[[#This Row],[New Pos L]],Table13[[#This Row],[New Pos R]])</f>
        <v>51</v>
      </c>
      <c r="H633">
        <f>IF(AND(Table13[[#This Row],[Direction]]="L",Table13[[#This Row],[Steps]]&gt;G632,G632&lt;&gt;0),1,0)</f>
        <v>0</v>
      </c>
      <c r="I633">
        <f>IF(AND(Table13[[#This Row],[Direction]]="R",(G632+Table13[[#This Row],[Steps]])&gt;100),1,0)</f>
        <v>0</v>
      </c>
      <c r="J633">
        <f>IF(Table13[[#This Row],[POS]]=0,1,0)</f>
        <v>0</v>
      </c>
      <c r="K633">
        <f>SUM(Table13[[#This Row],[prefix]],Table13[[#This Row],[Past zero L]],Table13[[#This Row],[Past Zero R]],Table13[[#This Row],[Is Zero]])</f>
        <v>0</v>
      </c>
    </row>
    <row r="634" spans="1:11" ht="16" x14ac:dyDescent="0.2">
      <c r="A634" s="1" t="s">
        <v>283</v>
      </c>
      <c r="B634" t="str">
        <f>LEFT(Table13[[#This Row],[Input]],1)</f>
        <v>L</v>
      </c>
      <c r="C634">
        <f>_xlfn.LET(_xlpm.steps,SUBSTITUTE(Table13[[#This Row],[Input]],Table13[[#This Row],[Direction]],""),VALUE(IF(LEN(_xlpm.steps)&gt;2,RIGHT(_xlpm.steps,2),_xlpm.steps)))</f>
        <v>38</v>
      </c>
      <c r="D634">
        <f>_xlfn.LET(_xlpm.steps,SUBSTITUTE(Table13[[#This Row],[Input]],Table13[[#This Row],[Direction]],""),VALUE(IF(LEN(_xlpm.steps)&gt;2,LEFT(_xlpm.steps,LEN(_xlpm.steps)-2),0)))</f>
        <v>4</v>
      </c>
      <c r="E634">
        <f>_xlfn.LET(_xlpm.dir,Table13[[#This Row],[Direction]],
IF(_xlpm.dir="L",
    IF(G633-Table13[[#This Row],[Steps]]&lt;0,100+(G633-Table13[[#This Row],[Steps]]),G633-Table13[[#This Row],[Steps]]),
))</f>
        <v>13</v>
      </c>
      <c r="F634">
        <f>_xlfn.LET(_xlpm.dir,Table13[[#This Row],[Direction]],
IF(_xlpm.dir="R",
    IF(G633+Table13[[#This Row],[Steps]]&gt;99,(G633+Table13[[#This Row],[Steps]])-100,G633+Table13[[#This Row],[Steps]]),
))</f>
        <v>0</v>
      </c>
      <c r="G634">
        <f>IF(Table13[[#This Row],[New Pos L]]&lt;&gt;0,Table13[[#This Row],[New Pos L]],Table13[[#This Row],[New Pos R]])</f>
        <v>13</v>
      </c>
      <c r="H634">
        <f>IF(AND(Table13[[#This Row],[Direction]]="L",Table13[[#This Row],[Steps]]&gt;G633,G633&lt;&gt;0),1,0)</f>
        <v>0</v>
      </c>
      <c r="I634">
        <f>IF(AND(Table13[[#This Row],[Direction]]="R",(G633+Table13[[#This Row],[Steps]])&gt;100),1,0)</f>
        <v>0</v>
      </c>
      <c r="J634">
        <f>IF(Table13[[#This Row],[POS]]=0,1,0)</f>
        <v>0</v>
      </c>
      <c r="K634">
        <f>SUM(Table13[[#This Row],[prefix]],Table13[[#This Row],[Past zero L]],Table13[[#This Row],[Past Zero R]],Table13[[#This Row],[Is Zero]])</f>
        <v>4</v>
      </c>
    </row>
    <row r="635" spans="1:11" ht="16" x14ac:dyDescent="0.2">
      <c r="A635" s="1" t="s">
        <v>284</v>
      </c>
      <c r="B635" t="str">
        <f>LEFT(Table13[[#This Row],[Input]],1)</f>
        <v>R</v>
      </c>
      <c r="C635">
        <f>_xlfn.LET(_xlpm.steps,SUBSTITUTE(Table13[[#This Row],[Input]],Table13[[#This Row],[Direction]],""),VALUE(IF(LEN(_xlpm.steps)&gt;2,RIGHT(_xlpm.steps,2),_xlpm.steps)))</f>
        <v>66</v>
      </c>
      <c r="D635">
        <f>_xlfn.LET(_xlpm.steps,SUBSTITUTE(Table13[[#This Row],[Input]],Table13[[#This Row],[Direction]],""),VALUE(IF(LEN(_xlpm.steps)&gt;2,LEFT(_xlpm.steps,LEN(_xlpm.steps)-2),0)))</f>
        <v>8</v>
      </c>
      <c r="E635">
        <f>_xlfn.LET(_xlpm.dir,Table13[[#This Row],[Direction]],
IF(_xlpm.dir="L",
    IF(G634-Table13[[#This Row],[Steps]]&lt;0,100+(G634-Table13[[#This Row],[Steps]]),G634-Table13[[#This Row],[Steps]]),
))</f>
        <v>0</v>
      </c>
      <c r="F635">
        <f>_xlfn.LET(_xlpm.dir,Table13[[#This Row],[Direction]],
IF(_xlpm.dir="R",
    IF(G634+Table13[[#This Row],[Steps]]&gt;99,(G634+Table13[[#This Row],[Steps]])-100,G634+Table13[[#This Row],[Steps]]),
))</f>
        <v>79</v>
      </c>
      <c r="G635">
        <f>IF(Table13[[#This Row],[New Pos L]]&lt;&gt;0,Table13[[#This Row],[New Pos L]],Table13[[#This Row],[New Pos R]])</f>
        <v>79</v>
      </c>
      <c r="H635">
        <f>IF(AND(Table13[[#This Row],[Direction]]="L",Table13[[#This Row],[Steps]]&gt;G634,G634&lt;&gt;0),1,0)</f>
        <v>0</v>
      </c>
      <c r="I635">
        <f>IF(AND(Table13[[#This Row],[Direction]]="R",(G634+Table13[[#This Row],[Steps]])&gt;100),1,0)</f>
        <v>0</v>
      </c>
      <c r="J635">
        <f>IF(Table13[[#This Row],[POS]]=0,1,0)</f>
        <v>0</v>
      </c>
      <c r="K635">
        <f>SUM(Table13[[#This Row],[prefix]],Table13[[#This Row],[Past zero L]],Table13[[#This Row],[Past Zero R]],Table13[[#This Row],[Is Zero]])</f>
        <v>8</v>
      </c>
    </row>
    <row r="636" spans="1:11" ht="16" x14ac:dyDescent="0.2">
      <c r="A636" s="1" t="s">
        <v>209</v>
      </c>
      <c r="B636" t="str">
        <f>LEFT(Table13[[#This Row],[Input]],1)</f>
        <v>L</v>
      </c>
      <c r="C636">
        <f>_xlfn.LET(_xlpm.steps,SUBSTITUTE(Table13[[#This Row],[Input]],Table13[[#This Row],[Direction]],""),VALUE(IF(LEN(_xlpm.steps)&gt;2,RIGHT(_xlpm.steps,2),_xlpm.steps)))</f>
        <v>86</v>
      </c>
      <c r="D636">
        <f>_xlfn.LET(_xlpm.steps,SUBSTITUTE(Table13[[#This Row],[Input]],Table13[[#This Row],[Direction]],""),VALUE(IF(LEN(_xlpm.steps)&gt;2,LEFT(_xlpm.steps,LEN(_xlpm.steps)-2),0)))</f>
        <v>0</v>
      </c>
      <c r="E636">
        <f>_xlfn.LET(_xlpm.dir,Table13[[#This Row],[Direction]],
IF(_xlpm.dir="L",
    IF(G635-Table13[[#This Row],[Steps]]&lt;0,100+(G635-Table13[[#This Row],[Steps]]),G635-Table13[[#This Row],[Steps]]),
))</f>
        <v>93</v>
      </c>
      <c r="F636">
        <f>_xlfn.LET(_xlpm.dir,Table13[[#This Row],[Direction]],
IF(_xlpm.dir="R",
    IF(G635+Table13[[#This Row],[Steps]]&gt;99,(G635+Table13[[#This Row],[Steps]])-100,G635+Table13[[#This Row],[Steps]]),
))</f>
        <v>0</v>
      </c>
      <c r="G636">
        <f>IF(Table13[[#This Row],[New Pos L]]&lt;&gt;0,Table13[[#This Row],[New Pos L]],Table13[[#This Row],[New Pos R]])</f>
        <v>93</v>
      </c>
      <c r="H636">
        <f>IF(AND(Table13[[#This Row],[Direction]]="L",Table13[[#This Row],[Steps]]&gt;G635,G635&lt;&gt;0),1,0)</f>
        <v>1</v>
      </c>
      <c r="I636">
        <f>IF(AND(Table13[[#This Row],[Direction]]="R",(G635+Table13[[#This Row],[Steps]])&gt;100),1,0)</f>
        <v>0</v>
      </c>
      <c r="J636">
        <f>IF(Table13[[#This Row],[POS]]=0,1,0)</f>
        <v>0</v>
      </c>
      <c r="K636">
        <f>SUM(Table13[[#This Row],[prefix]],Table13[[#This Row],[Past zero L]],Table13[[#This Row],[Past Zero R]],Table13[[#This Row],[Is Zero]])</f>
        <v>1</v>
      </c>
    </row>
    <row r="637" spans="1:11" ht="16" x14ac:dyDescent="0.2">
      <c r="A637" s="1" t="s">
        <v>41</v>
      </c>
      <c r="B637" t="str">
        <f>LEFT(Table13[[#This Row],[Input]],1)</f>
        <v>L</v>
      </c>
      <c r="C637">
        <f>_xlfn.LET(_xlpm.steps,SUBSTITUTE(Table13[[#This Row],[Input]],Table13[[#This Row],[Direction]],""),VALUE(IF(LEN(_xlpm.steps)&gt;2,RIGHT(_xlpm.steps,2),_xlpm.steps)))</f>
        <v>7</v>
      </c>
      <c r="D637">
        <f>_xlfn.LET(_xlpm.steps,SUBSTITUTE(Table13[[#This Row],[Input]],Table13[[#This Row],[Direction]],""),VALUE(IF(LEN(_xlpm.steps)&gt;2,LEFT(_xlpm.steps,LEN(_xlpm.steps)-2),0)))</f>
        <v>0</v>
      </c>
      <c r="E637">
        <f>_xlfn.LET(_xlpm.dir,Table13[[#This Row],[Direction]],
IF(_xlpm.dir="L",
    IF(G636-Table13[[#This Row],[Steps]]&lt;0,100+(G636-Table13[[#This Row],[Steps]]),G636-Table13[[#This Row],[Steps]]),
))</f>
        <v>86</v>
      </c>
      <c r="F637">
        <f>_xlfn.LET(_xlpm.dir,Table13[[#This Row],[Direction]],
IF(_xlpm.dir="R",
    IF(G636+Table13[[#This Row],[Steps]]&gt;99,(G636+Table13[[#This Row],[Steps]])-100,G636+Table13[[#This Row],[Steps]]),
))</f>
        <v>0</v>
      </c>
      <c r="G637">
        <f>IF(Table13[[#This Row],[New Pos L]]&lt;&gt;0,Table13[[#This Row],[New Pos L]],Table13[[#This Row],[New Pos R]])</f>
        <v>86</v>
      </c>
      <c r="H637">
        <f>IF(AND(Table13[[#This Row],[Direction]]="L",Table13[[#This Row],[Steps]]&gt;G636,G636&lt;&gt;0),1,0)</f>
        <v>0</v>
      </c>
      <c r="I637">
        <f>IF(AND(Table13[[#This Row],[Direction]]="R",(G636+Table13[[#This Row],[Steps]])&gt;100),1,0)</f>
        <v>0</v>
      </c>
      <c r="J637">
        <f>IF(Table13[[#This Row],[POS]]=0,1,0)</f>
        <v>0</v>
      </c>
      <c r="K637">
        <f>SUM(Table13[[#This Row],[prefix]],Table13[[#This Row],[Past zero L]],Table13[[#This Row],[Past Zero R]],Table13[[#This Row],[Is Zero]])</f>
        <v>0</v>
      </c>
    </row>
    <row r="638" spans="1:11" ht="16" x14ac:dyDescent="0.2">
      <c r="A638" s="1" t="s">
        <v>209</v>
      </c>
      <c r="B638" t="str">
        <f>LEFT(Table13[[#This Row],[Input]],1)</f>
        <v>L</v>
      </c>
      <c r="C638">
        <f>_xlfn.LET(_xlpm.steps,SUBSTITUTE(Table13[[#This Row],[Input]],Table13[[#This Row],[Direction]],""),VALUE(IF(LEN(_xlpm.steps)&gt;2,RIGHT(_xlpm.steps,2),_xlpm.steps)))</f>
        <v>86</v>
      </c>
      <c r="D638">
        <f>_xlfn.LET(_xlpm.steps,SUBSTITUTE(Table13[[#This Row],[Input]],Table13[[#This Row],[Direction]],""),VALUE(IF(LEN(_xlpm.steps)&gt;2,LEFT(_xlpm.steps,LEN(_xlpm.steps)-2),0)))</f>
        <v>0</v>
      </c>
      <c r="E638">
        <f>_xlfn.LET(_xlpm.dir,Table13[[#This Row],[Direction]],
IF(_xlpm.dir="L",
    IF(G637-Table13[[#This Row],[Steps]]&lt;0,100+(G637-Table13[[#This Row],[Steps]]),G637-Table13[[#This Row],[Steps]]),
))</f>
        <v>0</v>
      </c>
      <c r="F638">
        <f>_xlfn.LET(_xlpm.dir,Table13[[#This Row],[Direction]],
IF(_xlpm.dir="R",
    IF(G637+Table13[[#This Row],[Steps]]&gt;99,(G637+Table13[[#This Row],[Steps]])-100,G637+Table13[[#This Row],[Steps]]),
))</f>
        <v>0</v>
      </c>
      <c r="G638">
        <f>IF(Table13[[#This Row],[New Pos L]]&lt;&gt;0,Table13[[#This Row],[New Pos L]],Table13[[#This Row],[New Pos R]])</f>
        <v>0</v>
      </c>
      <c r="H638">
        <f>IF(AND(Table13[[#This Row],[Direction]]="L",Table13[[#This Row],[Steps]]&gt;G637,G637&lt;&gt;0),1,0)</f>
        <v>0</v>
      </c>
      <c r="I638">
        <f>IF(AND(Table13[[#This Row],[Direction]]="R",(G637+Table13[[#This Row],[Steps]])&gt;100),1,0)</f>
        <v>0</v>
      </c>
      <c r="J638">
        <f>IF(Table13[[#This Row],[POS]]=0,1,0)</f>
        <v>1</v>
      </c>
      <c r="K638">
        <f>SUM(Table13[[#This Row],[prefix]],Table13[[#This Row],[Past zero L]],Table13[[#This Row],[Past Zero R]],Table13[[#This Row],[Is Zero]])</f>
        <v>1</v>
      </c>
    </row>
    <row r="639" spans="1:11" ht="16" x14ac:dyDescent="0.2">
      <c r="A639" s="1" t="s">
        <v>155</v>
      </c>
      <c r="B639" t="str">
        <f>LEFT(Table13[[#This Row],[Input]],1)</f>
        <v>L</v>
      </c>
      <c r="C639">
        <f>_xlfn.LET(_xlpm.steps,SUBSTITUTE(Table13[[#This Row],[Input]],Table13[[#This Row],[Direction]],""),VALUE(IF(LEN(_xlpm.steps)&gt;2,RIGHT(_xlpm.steps,2),_xlpm.steps)))</f>
        <v>18</v>
      </c>
      <c r="D639">
        <f>_xlfn.LET(_xlpm.steps,SUBSTITUTE(Table13[[#This Row],[Input]],Table13[[#This Row],[Direction]],""),VALUE(IF(LEN(_xlpm.steps)&gt;2,LEFT(_xlpm.steps,LEN(_xlpm.steps)-2),0)))</f>
        <v>0</v>
      </c>
      <c r="E639">
        <f>_xlfn.LET(_xlpm.dir,Table13[[#This Row],[Direction]],
IF(_xlpm.dir="L",
    IF(G638-Table13[[#This Row],[Steps]]&lt;0,100+(G638-Table13[[#This Row],[Steps]]),G638-Table13[[#This Row],[Steps]]),
))</f>
        <v>82</v>
      </c>
      <c r="F639">
        <f>_xlfn.LET(_xlpm.dir,Table13[[#This Row],[Direction]],
IF(_xlpm.dir="R",
    IF(G638+Table13[[#This Row],[Steps]]&gt;99,(G638+Table13[[#This Row],[Steps]])-100,G638+Table13[[#This Row],[Steps]]),
))</f>
        <v>0</v>
      </c>
      <c r="G639">
        <f>IF(Table13[[#This Row],[New Pos L]]&lt;&gt;0,Table13[[#This Row],[New Pos L]],Table13[[#This Row],[New Pos R]])</f>
        <v>82</v>
      </c>
      <c r="H639">
        <f>IF(AND(Table13[[#This Row],[Direction]]="L",Table13[[#This Row],[Steps]]&gt;G638,G638&lt;&gt;0),1,0)</f>
        <v>0</v>
      </c>
      <c r="I639">
        <f>IF(AND(Table13[[#This Row],[Direction]]="R",(G638+Table13[[#This Row],[Steps]])&gt;100),1,0)</f>
        <v>0</v>
      </c>
      <c r="J639">
        <f>IF(Table13[[#This Row],[POS]]=0,1,0)</f>
        <v>0</v>
      </c>
      <c r="K639">
        <f>SUM(Table13[[#This Row],[prefix]],Table13[[#This Row],[Past zero L]],Table13[[#This Row],[Past Zero R]],Table13[[#This Row],[Is Zero]])</f>
        <v>0</v>
      </c>
    </row>
    <row r="640" spans="1:11" ht="16" x14ac:dyDescent="0.2">
      <c r="A640" s="1" t="s">
        <v>194</v>
      </c>
      <c r="B640" t="str">
        <f>LEFT(Table13[[#This Row],[Input]],1)</f>
        <v>R</v>
      </c>
      <c r="C640">
        <f>_xlfn.LET(_xlpm.steps,SUBSTITUTE(Table13[[#This Row],[Input]],Table13[[#This Row],[Direction]],""),VALUE(IF(LEN(_xlpm.steps)&gt;2,RIGHT(_xlpm.steps,2),_xlpm.steps)))</f>
        <v>51</v>
      </c>
      <c r="D640">
        <f>_xlfn.LET(_xlpm.steps,SUBSTITUTE(Table13[[#This Row],[Input]],Table13[[#This Row],[Direction]],""),VALUE(IF(LEN(_xlpm.steps)&gt;2,LEFT(_xlpm.steps,LEN(_xlpm.steps)-2),0)))</f>
        <v>0</v>
      </c>
      <c r="E640">
        <f>_xlfn.LET(_xlpm.dir,Table13[[#This Row],[Direction]],
IF(_xlpm.dir="L",
    IF(G639-Table13[[#This Row],[Steps]]&lt;0,100+(G639-Table13[[#This Row],[Steps]]),G639-Table13[[#This Row],[Steps]]),
))</f>
        <v>0</v>
      </c>
      <c r="F640">
        <f>_xlfn.LET(_xlpm.dir,Table13[[#This Row],[Direction]],
IF(_xlpm.dir="R",
    IF(G639+Table13[[#This Row],[Steps]]&gt;99,(G639+Table13[[#This Row],[Steps]])-100,G639+Table13[[#This Row],[Steps]]),
))</f>
        <v>33</v>
      </c>
      <c r="G640">
        <f>IF(Table13[[#This Row],[New Pos L]]&lt;&gt;0,Table13[[#This Row],[New Pos L]],Table13[[#This Row],[New Pos R]])</f>
        <v>33</v>
      </c>
      <c r="H640">
        <f>IF(AND(Table13[[#This Row],[Direction]]="L",Table13[[#This Row],[Steps]]&gt;G639,G639&lt;&gt;0),1,0)</f>
        <v>0</v>
      </c>
      <c r="I640">
        <f>IF(AND(Table13[[#This Row],[Direction]]="R",(G639+Table13[[#This Row],[Steps]])&gt;100),1,0)</f>
        <v>1</v>
      </c>
      <c r="J640">
        <f>IF(Table13[[#This Row],[POS]]=0,1,0)</f>
        <v>0</v>
      </c>
      <c r="K640">
        <f>SUM(Table13[[#This Row],[prefix]],Table13[[#This Row],[Past zero L]],Table13[[#This Row],[Past Zero R]],Table13[[#This Row],[Is Zero]])</f>
        <v>1</v>
      </c>
    </row>
    <row r="641" spans="1:11" ht="16" x14ac:dyDescent="0.2">
      <c r="A641" s="1" t="s">
        <v>285</v>
      </c>
      <c r="B641" t="str">
        <f>LEFT(Table13[[#This Row],[Input]],1)</f>
        <v>R</v>
      </c>
      <c r="C641">
        <f>_xlfn.LET(_xlpm.steps,SUBSTITUTE(Table13[[#This Row],[Input]],Table13[[#This Row],[Direction]],""),VALUE(IF(LEN(_xlpm.steps)&gt;2,RIGHT(_xlpm.steps,2),_xlpm.steps)))</f>
        <v>41</v>
      </c>
      <c r="D641">
        <f>_xlfn.LET(_xlpm.steps,SUBSTITUTE(Table13[[#This Row],[Input]],Table13[[#This Row],[Direction]],""),VALUE(IF(LEN(_xlpm.steps)&gt;2,LEFT(_xlpm.steps,LEN(_xlpm.steps)-2),0)))</f>
        <v>5</v>
      </c>
      <c r="E641">
        <f>_xlfn.LET(_xlpm.dir,Table13[[#This Row],[Direction]],
IF(_xlpm.dir="L",
    IF(G640-Table13[[#This Row],[Steps]]&lt;0,100+(G640-Table13[[#This Row],[Steps]]),G640-Table13[[#This Row],[Steps]]),
))</f>
        <v>0</v>
      </c>
      <c r="F641">
        <f>_xlfn.LET(_xlpm.dir,Table13[[#This Row],[Direction]],
IF(_xlpm.dir="R",
    IF(G640+Table13[[#This Row],[Steps]]&gt;99,(G640+Table13[[#This Row],[Steps]])-100,G640+Table13[[#This Row],[Steps]]),
))</f>
        <v>74</v>
      </c>
      <c r="G641">
        <f>IF(Table13[[#This Row],[New Pos L]]&lt;&gt;0,Table13[[#This Row],[New Pos L]],Table13[[#This Row],[New Pos R]])</f>
        <v>74</v>
      </c>
      <c r="H641">
        <f>IF(AND(Table13[[#This Row],[Direction]]="L",Table13[[#This Row],[Steps]]&gt;G640,G640&lt;&gt;0),1,0)</f>
        <v>0</v>
      </c>
      <c r="I641">
        <f>IF(AND(Table13[[#This Row],[Direction]]="R",(G640+Table13[[#This Row],[Steps]])&gt;100),1,0)</f>
        <v>0</v>
      </c>
      <c r="J641">
        <f>IF(Table13[[#This Row],[POS]]=0,1,0)</f>
        <v>0</v>
      </c>
      <c r="K641">
        <f>SUM(Table13[[#This Row],[prefix]],Table13[[#This Row],[Past zero L]],Table13[[#This Row],[Past Zero R]],Table13[[#This Row],[Is Zero]])</f>
        <v>5</v>
      </c>
    </row>
    <row r="642" spans="1:11" ht="16" x14ac:dyDescent="0.2">
      <c r="A642" s="1" t="s">
        <v>151</v>
      </c>
      <c r="B642" t="str">
        <f>LEFT(Table13[[#This Row],[Input]],1)</f>
        <v>L</v>
      </c>
      <c r="C642">
        <f>_xlfn.LET(_xlpm.steps,SUBSTITUTE(Table13[[#This Row],[Input]],Table13[[#This Row],[Direction]],""),VALUE(IF(LEN(_xlpm.steps)&gt;2,RIGHT(_xlpm.steps,2),_xlpm.steps)))</f>
        <v>74</v>
      </c>
      <c r="D642">
        <f>_xlfn.LET(_xlpm.steps,SUBSTITUTE(Table13[[#This Row],[Input]],Table13[[#This Row],[Direction]],""),VALUE(IF(LEN(_xlpm.steps)&gt;2,LEFT(_xlpm.steps,LEN(_xlpm.steps)-2),0)))</f>
        <v>0</v>
      </c>
      <c r="E642">
        <f>_xlfn.LET(_xlpm.dir,Table13[[#This Row],[Direction]],
IF(_xlpm.dir="L",
    IF(G641-Table13[[#This Row],[Steps]]&lt;0,100+(G641-Table13[[#This Row],[Steps]]),G641-Table13[[#This Row],[Steps]]),
))</f>
        <v>0</v>
      </c>
      <c r="F642">
        <f>_xlfn.LET(_xlpm.dir,Table13[[#This Row],[Direction]],
IF(_xlpm.dir="R",
    IF(G641+Table13[[#This Row],[Steps]]&gt;99,(G641+Table13[[#This Row],[Steps]])-100,G641+Table13[[#This Row],[Steps]]),
))</f>
        <v>0</v>
      </c>
      <c r="G642">
        <f>IF(Table13[[#This Row],[New Pos L]]&lt;&gt;0,Table13[[#This Row],[New Pos L]],Table13[[#This Row],[New Pos R]])</f>
        <v>0</v>
      </c>
      <c r="H642">
        <f>IF(AND(Table13[[#This Row],[Direction]]="L",Table13[[#This Row],[Steps]]&gt;G641,G641&lt;&gt;0),1,0)</f>
        <v>0</v>
      </c>
      <c r="I642">
        <f>IF(AND(Table13[[#This Row],[Direction]]="R",(G641+Table13[[#This Row],[Steps]])&gt;100),1,0)</f>
        <v>0</v>
      </c>
      <c r="J642">
        <f>IF(Table13[[#This Row],[POS]]=0,1,0)</f>
        <v>1</v>
      </c>
      <c r="K642">
        <f>SUM(Table13[[#This Row],[prefix]],Table13[[#This Row],[Past zero L]],Table13[[#This Row],[Past Zero R]],Table13[[#This Row],[Is Zero]])</f>
        <v>1</v>
      </c>
    </row>
    <row r="643" spans="1:11" ht="16" x14ac:dyDescent="0.2">
      <c r="A643" s="1" t="s">
        <v>186</v>
      </c>
      <c r="B643" t="str">
        <f>LEFT(Table13[[#This Row],[Input]],1)</f>
        <v>L</v>
      </c>
      <c r="C643">
        <f>_xlfn.LET(_xlpm.steps,SUBSTITUTE(Table13[[#This Row],[Input]],Table13[[#This Row],[Direction]],""),VALUE(IF(LEN(_xlpm.steps)&gt;2,RIGHT(_xlpm.steps,2),_xlpm.steps)))</f>
        <v>84</v>
      </c>
      <c r="D643">
        <f>_xlfn.LET(_xlpm.steps,SUBSTITUTE(Table13[[#This Row],[Input]],Table13[[#This Row],[Direction]],""),VALUE(IF(LEN(_xlpm.steps)&gt;2,LEFT(_xlpm.steps,LEN(_xlpm.steps)-2),0)))</f>
        <v>0</v>
      </c>
      <c r="E643">
        <f>_xlfn.LET(_xlpm.dir,Table13[[#This Row],[Direction]],
IF(_xlpm.dir="L",
    IF(G642-Table13[[#This Row],[Steps]]&lt;0,100+(G642-Table13[[#This Row],[Steps]]),G642-Table13[[#This Row],[Steps]]),
))</f>
        <v>16</v>
      </c>
      <c r="F643">
        <f>_xlfn.LET(_xlpm.dir,Table13[[#This Row],[Direction]],
IF(_xlpm.dir="R",
    IF(G642+Table13[[#This Row],[Steps]]&gt;99,(G642+Table13[[#This Row],[Steps]])-100,G642+Table13[[#This Row],[Steps]]),
))</f>
        <v>0</v>
      </c>
      <c r="G643">
        <f>IF(Table13[[#This Row],[New Pos L]]&lt;&gt;0,Table13[[#This Row],[New Pos L]],Table13[[#This Row],[New Pos R]])</f>
        <v>16</v>
      </c>
      <c r="H643">
        <f>IF(AND(Table13[[#This Row],[Direction]]="L",Table13[[#This Row],[Steps]]&gt;G642,G642&lt;&gt;0),1,0)</f>
        <v>0</v>
      </c>
      <c r="I643">
        <f>IF(AND(Table13[[#This Row],[Direction]]="R",(G642+Table13[[#This Row],[Steps]])&gt;100),1,0)</f>
        <v>0</v>
      </c>
      <c r="J643">
        <f>IF(Table13[[#This Row],[POS]]=0,1,0)</f>
        <v>0</v>
      </c>
      <c r="K643">
        <f>SUM(Table13[[#This Row],[prefix]],Table13[[#This Row],[Past zero L]],Table13[[#This Row],[Past Zero R]],Table13[[#This Row],[Is Zero]])</f>
        <v>0</v>
      </c>
    </row>
    <row r="644" spans="1:11" ht="16" x14ac:dyDescent="0.2">
      <c r="A644" s="1" t="s">
        <v>254</v>
      </c>
      <c r="B644" t="str">
        <f>LEFT(Table13[[#This Row],[Input]],1)</f>
        <v>R</v>
      </c>
      <c r="C644">
        <f>_xlfn.LET(_xlpm.steps,SUBSTITUTE(Table13[[#This Row],[Input]],Table13[[#This Row],[Direction]],""),VALUE(IF(LEN(_xlpm.steps)&gt;2,RIGHT(_xlpm.steps,2),_xlpm.steps)))</f>
        <v>84</v>
      </c>
      <c r="D644">
        <f>_xlfn.LET(_xlpm.steps,SUBSTITUTE(Table13[[#This Row],[Input]],Table13[[#This Row],[Direction]],""),VALUE(IF(LEN(_xlpm.steps)&gt;2,LEFT(_xlpm.steps,LEN(_xlpm.steps)-2),0)))</f>
        <v>0</v>
      </c>
      <c r="E644">
        <f>_xlfn.LET(_xlpm.dir,Table13[[#This Row],[Direction]],
IF(_xlpm.dir="L",
    IF(G643-Table13[[#This Row],[Steps]]&lt;0,100+(G643-Table13[[#This Row],[Steps]]),G643-Table13[[#This Row],[Steps]]),
))</f>
        <v>0</v>
      </c>
      <c r="F644">
        <f>_xlfn.LET(_xlpm.dir,Table13[[#This Row],[Direction]],
IF(_xlpm.dir="R",
    IF(G643+Table13[[#This Row],[Steps]]&gt;99,(G643+Table13[[#This Row],[Steps]])-100,G643+Table13[[#This Row],[Steps]]),
))</f>
        <v>0</v>
      </c>
      <c r="G644">
        <f>IF(Table13[[#This Row],[New Pos L]]&lt;&gt;0,Table13[[#This Row],[New Pos L]],Table13[[#This Row],[New Pos R]])</f>
        <v>0</v>
      </c>
      <c r="H644">
        <f>IF(AND(Table13[[#This Row],[Direction]]="L",Table13[[#This Row],[Steps]]&gt;G643,G643&lt;&gt;0),1,0)</f>
        <v>0</v>
      </c>
      <c r="I644">
        <f>IF(AND(Table13[[#This Row],[Direction]]="R",(G643+Table13[[#This Row],[Steps]])&gt;100),1,0)</f>
        <v>0</v>
      </c>
      <c r="J644">
        <f>IF(Table13[[#This Row],[POS]]=0,1,0)</f>
        <v>1</v>
      </c>
      <c r="K644">
        <f>SUM(Table13[[#This Row],[prefix]],Table13[[#This Row],[Past zero L]],Table13[[#This Row],[Past Zero R]],Table13[[#This Row],[Is Zero]])</f>
        <v>1</v>
      </c>
    </row>
    <row r="645" spans="1:11" ht="16" x14ac:dyDescent="0.2">
      <c r="A645" s="1" t="s">
        <v>267</v>
      </c>
      <c r="B645" t="str">
        <f>LEFT(Table13[[#This Row],[Input]],1)</f>
        <v>L</v>
      </c>
      <c r="C645">
        <f>_xlfn.LET(_xlpm.steps,SUBSTITUTE(Table13[[#This Row],[Input]],Table13[[#This Row],[Direction]],""),VALUE(IF(LEN(_xlpm.steps)&gt;2,RIGHT(_xlpm.steps,2),_xlpm.steps)))</f>
        <v>39</v>
      </c>
      <c r="D645">
        <f>_xlfn.LET(_xlpm.steps,SUBSTITUTE(Table13[[#This Row],[Input]],Table13[[#This Row],[Direction]],""),VALUE(IF(LEN(_xlpm.steps)&gt;2,LEFT(_xlpm.steps,LEN(_xlpm.steps)-2),0)))</f>
        <v>0</v>
      </c>
      <c r="E645">
        <f>_xlfn.LET(_xlpm.dir,Table13[[#This Row],[Direction]],
IF(_xlpm.dir="L",
    IF(G644-Table13[[#This Row],[Steps]]&lt;0,100+(G644-Table13[[#This Row],[Steps]]),G644-Table13[[#This Row],[Steps]]),
))</f>
        <v>61</v>
      </c>
      <c r="F645">
        <f>_xlfn.LET(_xlpm.dir,Table13[[#This Row],[Direction]],
IF(_xlpm.dir="R",
    IF(G644+Table13[[#This Row],[Steps]]&gt;99,(G644+Table13[[#This Row],[Steps]])-100,G644+Table13[[#This Row],[Steps]]),
))</f>
        <v>0</v>
      </c>
      <c r="G645">
        <f>IF(Table13[[#This Row],[New Pos L]]&lt;&gt;0,Table13[[#This Row],[New Pos L]],Table13[[#This Row],[New Pos R]])</f>
        <v>61</v>
      </c>
      <c r="H645">
        <f>IF(AND(Table13[[#This Row],[Direction]]="L",Table13[[#This Row],[Steps]]&gt;G644,G644&lt;&gt;0),1,0)</f>
        <v>0</v>
      </c>
      <c r="I645">
        <f>IF(AND(Table13[[#This Row],[Direction]]="R",(G644+Table13[[#This Row],[Steps]])&gt;100),1,0)</f>
        <v>0</v>
      </c>
      <c r="J645">
        <f>IF(Table13[[#This Row],[POS]]=0,1,0)</f>
        <v>0</v>
      </c>
      <c r="K645">
        <f>SUM(Table13[[#This Row],[prefix]],Table13[[#This Row],[Past zero L]],Table13[[#This Row],[Past Zero R]],Table13[[#This Row],[Is Zero]])</f>
        <v>0</v>
      </c>
    </row>
    <row r="646" spans="1:11" ht="16" x14ac:dyDescent="0.2">
      <c r="A646" s="1" t="s">
        <v>140</v>
      </c>
      <c r="B646" t="str">
        <f>LEFT(Table13[[#This Row],[Input]],1)</f>
        <v>L</v>
      </c>
      <c r="C646">
        <f>_xlfn.LET(_xlpm.steps,SUBSTITUTE(Table13[[#This Row],[Input]],Table13[[#This Row],[Direction]],""),VALUE(IF(LEN(_xlpm.steps)&gt;2,RIGHT(_xlpm.steps,2),_xlpm.steps)))</f>
        <v>61</v>
      </c>
      <c r="D646">
        <f>_xlfn.LET(_xlpm.steps,SUBSTITUTE(Table13[[#This Row],[Input]],Table13[[#This Row],[Direction]],""),VALUE(IF(LEN(_xlpm.steps)&gt;2,LEFT(_xlpm.steps,LEN(_xlpm.steps)-2),0)))</f>
        <v>0</v>
      </c>
      <c r="E646">
        <f>_xlfn.LET(_xlpm.dir,Table13[[#This Row],[Direction]],
IF(_xlpm.dir="L",
    IF(G645-Table13[[#This Row],[Steps]]&lt;0,100+(G645-Table13[[#This Row],[Steps]]),G645-Table13[[#This Row],[Steps]]),
))</f>
        <v>0</v>
      </c>
      <c r="F646">
        <f>_xlfn.LET(_xlpm.dir,Table13[[#This Row],[Direction]],
IF(_xlpm.dir="R",
    IF(G645+Table13[[#This Row],[Steps]]&gt;99,(G645+Table13[[#This Row],[Steps]])-100,G645+Table13[[#This Row],[Steps]]),
))</f>
        <v>0</v>
      </c>
      <c r="G646">
        <f>IF(Table13[[#This Row],[New Pos L]]&lt;&gt;0,Table13[[#This Row],[New Pos L]],Table13[[#This Row],[New Pos R]])</f>
        <v>0</v>
      </c>
      <c r="H646">
        <f>IF(AND(Table13[[#This Row],[Direction]]="L",Table13[[#This Row],[Steps]]&gt;G645,G645&lt;&gt;0),1,0)</f>
        <v>0</v>
      </c>
      <c r="I646">
        <f>IF(AND(Table13[[#This Row],[Direction]]="R",(G645+Table13[[#This Row],[Steps]])&gt;100),1,0)</f>
        <v>0</v>
      </c>
      <c r="J646">
        <f>IF(Table13[[#This Row],[POS]]=0,1,0)</f>
        <v>1</v>
      </c>
      <c r="K646">
        <f>SUM(Table13[[#This Row],[prefix]],Table13[[#This Row],[Past zero L]],Table13[[#This Row],[Past Zero R]],Table13[[#This Row],[Is Zero]])</f>
        <v>1</v>
      </c>
    </row>
    <row r="647" spans="1:11" ht="16" x14ac:dyDescent="0.2">
      <c r="A647" s="1" t="s">
        <v>38</v>
      </c>
      <c r="B647" t="str">
        <f>LEFT(Table13[[#This Row],[Input]],1)</f>
        <v>R</v>
      </c>
      <c r="C647">
        <f>_xlfn.LET(_xlpm.steps,SUBSTITUTE(Table13[[#This Row],[Input]],Table13[[#This Row],[Direction]],""),VALUE(IF(LEN(_xlpm.steps)&gt;2,RIGHT(_xlpm.steps,2),_xlpm.steps)))</f>
        <v>15</v>
      </c>
      <c r="D647">
        <f>_xlfn.LET(_xlpm.steps,SUBSTITUTE(Table13[[#This Row],[Input]],Table13[[#This Row],[Direction]],""),VALUE(IF(LEN(_xlpm.steps)&gt;2,LEFT(_xlpm.steps,LEN(_xlpm.steps)-2),0)))</f>
        <v>0</v>
      </c>
      <c r="E647">
        <f>_xlfn.LET(_xlpm.dir,Table13[[#This Row],[Direction]],
IF(_xlpm.dir="L",
    IF(G646-Table13[[#This Row],[Steps]]&lt;0,100+(G646-Table13[[#This Row],[Steps]]),G646-Table13[[#This Row],[Steps]]),
))</f>
        <v>0</v>
      </c>
      <c r="F647">
        <f>_xlfn.LET(_xlpm.dir,Table13[[#This Row],[Direction]],
IF(_xlpm.dir="R",
    IF(G646+Table13[[#This Row],[Steps]]&gt;99,(G646+Table13[[#This Row],[Steps]])-100,G646+Table13[[#This Row],[Steps]]),
))</f>
        <v>15</v>
      </c>
      <c r="G647">
        <f>IF(Table13[[#This Row],[New Pos L]]&lt;&gt;0,Table13[[#This Row],[New Pos L]],Table13[[#This Row],[New Pos R]])</f>
        <v>15</v>
      </c>
      <c r="H647">
        <f>IF(AND(Table13[[#This Row],[Direction]]="L",Table13[[#This Row],[Steps]]&gt;G646,G646&lt;&gt;0),1,0)</f>
        <v>0</v>
      </c>
      <c r="I647">
        <f>IF(AND(Table13[[#This Row],[Direction]]="R",(G646+Table13[[#This Row],[Steps]])&gt;100),1,0)</f>
        <v>0</v>
      </c>
      <c r="J647">
        <f>IF(Table13[[#This Row],[POS]]=0,1,0)</f>
        <v>0</v>
      </c>
      <c r="K647">
        <f>SUM(Table13[[#This Row],[prefix]],Table13[[#This Row],[Past zero L]],Table13[[#This Row],[Past Zero R]],Table13[[#This Row],[Is Zero]])</f>
        <v>0</v>
      </c>
    </row>
    <row r="648" spans="1:11" ht="16" x14ac:dyDescent="0.2">
      <c r="A648" s="1" t="s">
        <v>34</v>
      </c>
      <c r="B648" t="str">
        <f>LEFT(Table13[[#This Row],[Input]],1)</f>
        <v>L</v>
      </c>
      <c r="C648">
        <f>_xlfn.LET(_xlpm.steps,SUBSTITUTE(Table13[[#This Row],[Input]],Table13[[#This Row],[Direction]],""),VALUE(IF(LEN(_xlpm.steps)&gt;2,RIGHT(_xlpm.steps,2),_xlpm.steps)))</f>
        <v>15</v>
      </c>
      <c r="D648">
        <f>_xlfn.LET(_xlpm.steps,SUBSTITUTE(Table13[[#This Row],[Input]],Table13[[#This Row],[Direction]],""),VALUE(IF(LEN(_xlpm.steps)&gt;2,LEFT(_xlpm.steps,LEN(_xlpm.steps)-2),0)))</f>
        <v>0</v>
      </c>
      <c r="E648">
        <f>_xlfn.LET(_xlpm.dir,Table13[[#This Row],[Direction]],
IF(_xlpm.dir="L",
    IF(G647-Table13[[#This Row],[Steps]]&lt;0,100+(G647-Table13[[#This Row],[Steps]]),G647-Table13[[#This Row],[Steps]]),
))</f>
        <v>0</v>
      </c>
      <c r="F648">
        <f>_xlfn.LET(_xlpm.dir,Table13[[#This Row],[Direction]],
IF(_xlpm.dir="R",
    IF(G647+Table13[[#This Row],[Steps]]&gt;99,(G647+Table13[[#This Row],[Steps]])-100,G647+Table13[[#This Row],[Steps]]),
))</f>
        <v>0</v>
      </c>
      <c r="G648">
        <f>IF(Table13[[#This Row],[New Pos L]]&lt;&gt;0,Table13[[#This Row],[New Pos L]],Table13[[#This Row],[New Pos R]])</f>
        <v>0</v>
      </c>
      <c r="H648">
        <f>IF(AND(Table13[[#This Row],[Direction]]="L",Table13[[#This Row],[Steps]]&gt;G647,G647&lt;&gt;0),1,0)</f>
        <v>0</v>
      </c>
      <c r="I648">
        <f>IF(AND(Table13[[#This Row],[Direction]]="R",(G647+Table13[[#This Row],[Steps]])&gt;100),1,0)</f>
        <v>0</v>
      </c>
      <c r="J648">
        <f>IF(Table13[[#This Row],[POS]]=0,1,0)</f>
        <v>1</v>
      </c>
      <c r="K648">
        <f>SUM(Table13[[#This Row],[prefix]],Table13[[#This Row],[Past zero L]],Table13[[#This Row],[Past Zero R]],Table13[[#This Row],[Is Zero]])</f>
        <v>1</v>
      </c>
    </row>
    <row r="649" spans="1:11" ht="16" x14ac:dyDescent="0.2">
      <c r="A649" s="1" t="s">
        <v>286</v>
      </c>
      <c r="B649" t="str">
        <f>LEFT(Table13[[#This Row],[Input]],1)</f>
        <v>L</v>
      </c>
      <c r="C649">
        <f>_xlfn.LET(_xlpm.steps,SUBSTITUTE(Table13[[#This Row],[Input]],Table13[[#This Row],[Direction]],""),VALUE(IF(LEN(_xlpm.steps)&gt;2,RIGHT(_xlpm.steps,2),_xlpm.steps)))</f>
        <v>53</v>
      </c>
      <c r="D649">
        <f>_xlfn.LET(_xlpm.steps,SUBSTITUTE(Table13[[#This Row],[Input]],Table13[[#This Row],[Direction]],""),VALUE(IF(LEN(_xlpm.steps)&gt;2,LEFT(_xlpm.steps,LEN(_xlpm.steps)-2),0)))</f>
        <v>5</v>
      </c>
      <c r="E649">
        <f>_xlfn.LET(_xlpm.dir,Table13[[#This Row],[Direction]],
IF(_xlpm.dir="L",
    IF(G648-Table13[[#This Row],[Steps]]&lt;0,100+(G648-Table13[[#This Row],[Steps]]),G648-Table13[[#This Row],[Steps]]),
))</f>
        <v>47</v>
      </c>
      <c r="F649">
        <f>_xlfn.LET(_xlpm.dir,Table13[[#This Row],[Direction]],
IF(_xlpm.dir="R",
    IF(G648+Table13[[#This Row],[Steps]]&gt;99,(G648+Table13[[#This Row],[Steps]])-100,G648+Table13[[#This Row],[Steps]]),
))</f>
        <v>0</v>
      </c>
      <c r="G649">
        <f>IF(Table13[[#This Row],[New Pos L]]&lt;&gt;0,Table13[[#This Row],[New Pos L]],Table13[[#This Row],[New Pos R]])</f>
        <v>47</v>
      </c>
      <c r="H649">
        <f>IF(AND(Table13[[#This Row],[Direction]]="L",Table13[[#This Row],[Steps]]&gt;G648,G648&lt;&gt;0),1,0)</f>
        <v>0</v>
      </c>
      <c r="I649">
        <f>IF(AND(Table13[[#This Row],[Direction]]="R",(G648+Table13[[#This Row],[Steps]])&gt;100),1,0)</f>
        <v>0</v>
      </c>
      <c r="J649">
        <f>IF(Table13[[#This Row],[POS]]=0,1,0)</f>
        <v>0</v>
      </c>
      <c r="K649">
        <f>SUM(Table13[[#This Row],[prefix]],Table13[[#This Row],[Past zero L]],Table13[[#This Row],[Past Zero R]],Table13[[#This Row],[Is Zero]])</f>
        <v>5</v>
      </c>
    </row>
    <row r="650" spans="1:11" ht="16" x14ac:dyDescent="0.2">
      <c r="A650" s="1" t="s">
        <v>287</v>
      </c>
      <c r="B650" t="str">
        <f>LEFT(Table13[[#This Row],[Input]],1)</f>
        <v>L</v>
      </c>
      <c r="C650">
        <f>_xlfn.LET(_xlpm.steps,SUBSTITUTE(Table13[[#This Row],[Input]],Table13[[#This Row],[Direction]],""),VALUE(IF(LEN(_xlpm.steps)&gt;2,RIGHT(_xlpm.steps,2),_xlpm.steps)))</f>
        <v>78</v>
      </c>
      <c r="D650">
        <f>_xlfn.LET(_xlpm.steps,SUBSTITUTE(Table13[[#This Row],[Input]],Table13[[#This Row],[Direction]],""),VALUE(IF(LEN(_xlpm.steps)&gt;2,LEFT(_xlpm.steps,LEN(_xlpm.steps)-2),0)))</f>
        <v>9</v>
      </c>
      <c r="E650">
        <f>_xlfn.LET(_xlpm.dir,Table13[[#This Row],[Direction]],
IF(_xlpm.dir="L",
    IF(G649-Table13[[#This Row],[Steps]]&lt;0,100+(G649-Table13[[#This Row],[Steps]]),G649-Table13[[#This Row],[Steps]]),
))</f>
        <v>69</v>
      </c>
      <c r="F650">
        <f>_xlfn.LET(_xlpm.dir,Table13[[#This Row],[Direction]],
IF(_xlpm.dir="R",
    IF(G649+Table13[[#This Row],[Steps]]&gt;99,(G649+Table13[[#This Row],[Steps]])-100,G649+Table13[[#This Row],[Steps]]),
))</f>
        <v>0</v>
      </c>
      <c r="G650">
        <f>IF(Table13[[#This Row],[New Pos L]]&lt;&gt;0,Table13[[#This Row],[New Pos L]],Table13[[#This Row],[New Pos R]])</f>
        <v>69</v>
      </c>
      <c r="H650">
        <f>IF(AND(Table13[[#This Row],[Direction]]="L",Table13[[#This Row],[Steps]]&gt;G649,G649&lt;&gt;0),1,0)</f>
        <v>1</v>
      </c>
      <c r="I650">
        <f>IF(AND(Table13[[#This Row],[Direction]]="R",(G649+Table13[[#This Row],[Steps]])&gt;100),1,0)</f>
        <v>0</v>
      </c>
      <c r="J650">
        <f>IF(Table13[[#This Row],[POS]]=0,1,0)</f>
        <v>0</v>
      </c>
      <c r="K650">
        <f>SUM(Table13[[#This Row],[prefix]],Table13[[#This Row],[Past zero L]],Table13[[#This Row],[Past Zero R]],Table13[[#This Row],[Is Zero]])</f>
        <v>10</v>
      </c>
    </row>
    <row r="651" spans="1:11" ht="16" x14ac:dyDescent="0.2">
      <c r="A651" s="1" t="s">
        <v>5</v>
      </c>
      <c r="B651" t="str">
        <f>LEFT(Table13[[#This Row],[Input]],1)</f>
        <v>R</v>
      </c>
      <c r="C651">
        <f>_xlfn.LET(_xlpm.steps,SUBSTITUTE(Table13[[#This Row],[Input]],Table13[[#This Row],[Direction]],""),VALUE(IF(LEN(_xlpm.steps)&gt;2,RIGHT(_xlpm.steps,2),_xlpm.steps)))</f>
        <v>1</v>
      </c>
      <c r="D651">
        <f>_xlfn.LET(_xlpm.steps,SUBSTITUTE(Table13[[#This Row],[Input]],Table13[[#This Row],[Direction]],""),VALUE(IF(LEN(_xlpm.steps)&gt;2,LEFT(_xlpm.steps,LEN(_xlpm.steps)-2),0)))</f>
        <v>0</v>
      </c>
      <c r="E651">
        <f>_xlfn.LET(_xlpm.dir,Table13[[#This Row],[Direction]],
IF(_xlpm.dir="L",
    IF(G650-Table13[[#This Row],[Steps]]&lt;0,100+(G650-Table13[[#This Row],[Steps]]),G650-Table13[[#This Row],[Steps]]),
))</f>
        <v>0</v>
      </c>
      <c r="F651">
        <f>_xlfn.LET(_xlpm.dir,Table13[[#This Row],[Direction]],
IF(_xlpm.dir="R",
    IF(G650+Table13[[#This Row],[Steps]]&gt;99,(G650+Table13[[#This Row],[Steps]])-100,G650+Table13[[#This Row],[Steps]]),
))</f>
        <v>70</v>
      </c>
      <c r="G651">
        <f>IF(Table13[[#This Row],[New Pos L]]&lt;&gt;0,Table13[[#This Row],[New Pos L]],Table13[[#This Row],[New Pos R]])</f>
        <v>70</v>
      </c>
      <c r="H651">
        <f>IF(AND(Table13[[#This Row],[Direction]]="L",Table13[[#This Row],[Steps]]&gt;G650,G650&lt;&gt;0),1,0)</f>
        <v>0</v>
      </c>
      <c r="I651">
        <f>IF(AND(Table13[[#This Row],[Direction]]="R",(G650+Table13[[#This Row],[Steps]])&gt;100),1,0)</f>
        <v>0</v>
      </c>
      <c r="J651">
        <f>IF(Table13[[#This Row],[POS]]=0,1,0)</f>
        <v>0</v>
      </c>
      <c r="K651">
        <f>SUM(Table13[[#This Row],[prefix]],Table13[[#This Row],[Past zero L]],Table13[[#This Row],[Past Zero R]],Table13[[#This Row],[Is Zero]])</f>
        <v>0</v>
      </c>
    </row>
    <row r="652" spans="1:11" ht="16" x14ac:dyDescent="0.2">
      <c r="A652" s="1" t="s">
        <v>264</v>
      </c>
      <c r="B652" t="str">
        <f>LEFT(Table13[[#This Row],[Input]],1)</f>
        <v>L</v>
      </c>
      <c r="C652">
        <f>_xlfn.LET(_xlpm.steps,SUBSTITUTE(Table13[[#This Row],[Input]],Table13[[#This Row],[Direction]],""),VALUE(IF(LEN(_xlpm.steps)&gt;2,RIGHT(_xlpm.steps,2),_xlpm.steps)))</f>
        <v>21</v>
      </c>
      <c r="D652">
        <f>_xlfn.LET(_xlpm.steps,SUBSTITUTE(Table13[[#This Row],[Input]],Table13[[#This Row],[Direction]],""),VALUE(IF(LEN(_xlpm.steps)&gt;2,LEFT(_xlpm.steps,LEN(_xlpm.steps)-2),0)))</f>
        <v>0</v>
      </c>
      <c r="E652">
        <f>_xlfn.LET(_xlpm.dir,Table13[[#This Row],[Direction]],
IF(_xlpm.dir="L",
    IF(G651-Table13[[#This Row],[Steps]]&lt;0,100+(G651-Table13[[#This Row],[Steps]]),G651-Table13[[#This Row],[Steps]]),
))</f>
        <v>49</v>
      </c>
      <c r="F652">
        <f>_xlfn.LET(_xlpm.dir,Table13[[#This Row],[Direction]],
IF(_xlpm.dir="R",
    IF(G651+Table13[[#This Row],[Steps]]&gt;99,(G651+Table13[[#This Row],[Steps]])-100,G651+Table13[[#This Row],[Steps]]),
))</f>
        <v>0</v>
      </c>
      <c r="G652">
        <f>IF(Table13[[#This Row],[New Pos L]]&lt;&gt;0,Table13[[#This Row],[New Pos L]],Table13[[#This Row],[New Pos R]])</f>
        <v>49</v>
      </c>
      <c r="H652">
        <f>IF(AND(Table13[[#This Row],[Direction]]="L",Table13[[#This Row],[Steps]]&gt;G651,G651&lt;&gt;0),1,0)</f>
        <v>0</v>
      </c>
      <c r="I652">
        <f>IF(AND(Table13[[#This Row],[Direction]]="R",(G651+Table13[[#This Row],[Steps]])&gt;100),1,0)</f>
        <v>0</v>
      </c>
      <c r="J652">
        <f>IF(Table13[[#This Row],[POS]]=0,1,0)</f>
        <v>0</v>
      </c>
      <c r="K652">
        <f>SUM(Table13[[#This Row],[prefix]],Table13[[#This Row],[Past zero L]],Table13[[#This Row],[Past Zero R]],Table13[[#This Row],[Is Zero]])</f>
        <v>0</v>
      </c>
    </row>
    <row r="653" spans="1:11" ht="16" x14ac:dyDescent="0.2">
      <c r="A653" s="1" t="s">
        <v>26</v>
      </c>
      <c r="B653" t="str">
        <f>LEFT(Table13[[#This Row],[Input]],1)</f>
        <v>R</v>
      </c>
      <c r="C653">
        <f>_xlfn.LET(_xlpm.steps,SUBSTITUTE(Table13[[#This Row],[Input]],Table13[[#This Row],[Direction]],""),VALUE(IF(LEN(_xlpm.steps)&gt;2,RIGHT(_xlpm.steps,2),_xlpm.steps)))</f>
        <v>6</v>
      </c>
      <c r="D653">
        <f>_xlfn.LET(_xlpm.steps,SUBSTITUTE(Table13[[#This Row],[Input]],Table13[[#This Row],[Direction]],""),VALUE(IF(LEN(_xlpm.steps)&gt;2,LEFT(_xlpm.steps,LEN(_xlpm.steps)-2),0)))</f>
        <v>0</v>
      </c>
      <c r="E653">
        <f>_xlfn.LET(_xlpm.dir,Table13[[#This Row],[Direction]],
IF(_xlpm.dir="L",
    IF(G652-Table13[[#This Row],[Steps]]&lt;0,100+(G652-Table13[[#This Row],[Steps]]),G652-Table13[[#This Row],[Steps]]),
))</f>
        <v>0</v>
      </c>
      <c r="F653">
        <f>_xlfn.LET(_xlpm.dir,Table13[[#This Row],[Direction]],
IF(_xlpm.dir="R",
    IF(G652+Table13[[#This Row],[Steps]]&gt;99,(G652+Table13[[#This Row],[Steps]])-100,G652+Table13[[#This Row],[Steps]]),
))</f>
        <v>55</v>
      </c>
      <c r="G653">
        <f>IF(Table13[[#This Row],[New Pos L]]&lt;&gt;0,Table13[[#This Row],[New Pos L]],Table13[[#This Row],[New Pos R]])</f>
        <v>55</v>
      </c>
      <c r="H653">
        <f>IF(AND(Table13[[#This Row],[Direction]]="L",Table13[[#This Row],[Steps]]&gt;G652,G652&lt;&gt;0),1,0)</f>
        <v>0</v>
      </c>
      <c r="I653">
        <f>IF(AND(Table13[[#This Row],[Direction]]="R",(G652+Table13[[#This Row],[Steps]])&gt;100),1,0)</f>
        <v>0</v>
      </c>
      <c r="J653">
        <f>IF(Table13[[#This Row],[POS]]=0,1,0)</f>
        <v>0</v>
      </c>
      <c r="K653">
        <f>SUM(Table13[[#This Row],[prefix]],Table13[[#This Row],[Past zero L]],Table13[[#This Row],[Past Zero R]],Table13[[#This Row],[Is Zero]])</f>
        <v>0</v>
      </c>
    </row>
    <row r="654" spans="1:11" ht="16" x14ac:dyDescent="0.2">
      <c r="A654" s="1" t="s">
        <v>187</v>
      </c>
      <c r="B654" t="str">
        <f>LEFT(Table13[[#This Row],[Input]],1)</f>
        <v>R</v>
      </c>
      <c r="C654">
        <f>_xlfn.LET(_xlpm.steps,SUBSTITUTE(Table13[[#This Row],[Input]],Table13[[#This Row],[Direction]],""),VALUE(IF(LEN(_xlpm.steps)&gt;2,RIGHT(_xlpm.steps,2),_xlpm.steps)))</f>
        <v>20</v>
      </c>
      <c r="D654">
        <f>_xlfn.LET(_xlpm.steps,SUBSTITUTE(Table13[[#This Row],[Input]],Table13[[#This Row],[Direction]],""),VALUE(IF(LEN(_xlpm.steps)&gt;2,LEFT(_xlpm.steps,LEN(_xlpm.steps)-2),0)))</f>
        <v>0</v>
      </c>
      <c r="E654">
        <f>_xlfn.LET(_xlpm.dir,Table13[[#This Row],[Direction]],
IF(_xlpm.dir="L",
    IF(G653-Table13[[#This Row],[Steps]]&lt;0,100+(G653-Table13[[#This Row],[Steps]]),G653-Table13[[#This Row],[Steps]]),
))</f>
        <v>0</v>
      </c>
      <c r="F654">
        <f>_xlfn.LET(_xlpm.dir,Table13[[#This Row],[Direction]],
IF(_xlpm.dir="R",
    IF(G653+Table13[[#This Row],[Steps]]&gt;99,(G653+Table13[[#This Row],[Steps]])-100,G653+Table13[[#This Row],[Steps]]),
))</f>
        <v>75</v>
      </c>
      <c r="G654">
        <f>IF(Table13[[#This Row],[New Pos L]]&lt;&gt;0,Table13[[#This Row],[New Pos L]],Table13[[#This Row],[New Pos R]])</f>
        <v>75</v>
      </c>
      <c r="H654">
        <f>IF(AND(Table13[[#This Row],[Direction]]="L",Table13[[#This Row],[Steps]]&gt;G653,G653&lt;&gt;0),1,0)</f>
        <v>0</v>
      </c>
      <c r="I654">
        <f>IF(AND(Table13[[#This Row],[Direction]]="R",(G653+Table13[[#This Row],[Steps]])&gt;100),1,0)</f>
        <v>0</v>
      </c>
      <c r="J654">
        <f>IF(Table13[[#This Row],[POS]]=0,1,0)</f>
        <v>0</v>
      </c>
      <c r="K654">
        <f>SUM(Table13[[#This Row],[prefix]],Table13[[#This Row],[Past zero L]],Table13[[#This Row],[Past Zero R]],Table13[[#This Row],[Is Zero]])</f>
        <v>0</v>
      </c>
    </row>
    <row r="655" spans="1:11" ht="16" x14ac:dyDescent="0.2">
      <c r="A655" s="1" t="s">
        <v>288</v>
      </c>
      <c r="B655" t="str">
        <f>LEFT(Table13[[#This Row],[Input]],1)</f>
        <v>R</v>
      </c>
      <c r="C655">
        <f>_xlfn.LET(_xlpm.steps,SUBSTITUTE(Table13[[#This Row],[Input]],Table13[[#This Row],[Direction]],""),VALUE(IF(LEN(_xlpm.steps)&gt;2,RIGHT(_xlpm.steps,2),_xlpm.steps)))</f>
        <v>25</v>
      </c>
      <c r="D655">
        <f>_xlfn.LET(_xlpm.steps,SUBSTITUTE(Table13[[#This Row],[Input]],Table13[[#This Row],[Direction]],""),VALUE(IF(LEN(_xlpm.steps)&gt;2,LEFT(_xlpm.steps,LEN(_xlpm.steps)-2),0)))</f>
        <v>0</v>
      </c>
      <c r="E655">
        <f>_xlfn.LET(_xlpm.dir,Table13[[#This Row],[Direction]],
IF(_xlpm.dir="L",
    IF(G654-Table13[[#This Row],[Steps]]&lt;0,100+(G654-Table13[[#This Row],[Steps]]),G654-Table13[[#This Row],[Steps]]),
))</f>
        <v>0</v>
      </c>
      <c r="F655">
        <f>_xlfn.LET(_xlpm.dir,Table13[[#This Row],[Direction]],
IF(_xlpm.dir="R",
    IF(G654+Table13[[#This Row],[Steps]]&gt;99,(G654+Table13[[#This Row],[Steps]])-100,G654+Table13[[#This Row],[Steps]]),
))</f>
        <v>0</v>
      </c>
      <c r="G655">
        <f>IF(Table13[[#This Row],[New Pos L]]&lt;&gt;0,Table13[[#This Row],[New Pos L]],Table13[[#This Row],[New Pos R]])</f>
        <v>0</v>
      </c>
      <c r="H655">
        <f>IF(AND(Table13[[#This Row],[Direction]]="L",Table13[[#This Row],[Steps]]&gt;G654,G654&lt;&gt;0),1,0)</f>
        <v>0</v>
      </c>
      <c r="I655">
        <f>IF(AND(Table13[[#This Row],[Direction]]="R",(G654+Table13[[#This Row],[Steps]])&gt;100),1,0)</f>
        <v>0</v>
      </c>
      <c r="J655">
        <f>IF(Table13[[#This Row],[POS]]=0,1,0)</f>
        <v>1</v>
      </c>
      <c r="K655">
        <f>SUM(Table13[[#This Row],[prefix]],Table13[[#This Row],[Past zero L]],Table13[[#This Row],[Past Zero R]],Table13[[#This Row],[Is Zero]])</f>
        <v>1</v>
      </c>
    </row>
    <row r="656" spans="1:11" ht="16" x14ac:dyDescent="0.2">
      <c r="A656" s="1" t="s">
        <v>264</v>
      </c>
      <c r="B656" t="str">
        <f>LEFT(Table13[[#This Row],[Input]],1)</f>
        <v>L</v>
      </c>
      <c r="C656">
        <f>_xlfn.LET(_xlpm.steps,SUBSTITUTE(Table13[[#This Row],[Input]],Table13[[#This Row],[Direction]],""),VALUE(IF(LEN(_xlpm.steps)&gt;2,RIGHT(_xlpm.steps,2),_xlpm.steps)))</f>
        <v>21</v>
      </c>
      <c r="D656">
        <f>_xlfn.LET(_xlpm.steps,SUBSTITUTE(Table13[[#This Row],[Input]],Table13[[#This Row],[Direction]],""),VALUE(IF(LEN(_xlpm.steps)&gt;2,LEFT(_xlpm.steps,LEN(_xlpm.steps)-2),0)))</f>
        <v>0</v>
      </c>
      <c r="E656">
        <f>_xlfn.LET(_xlpm.dir,Table13[[#This Row],[Direction]],
IF(_xlpm.dir="L",
    IF(G655-Table13[[#This Row],[Steps]]&lt;0,100+(G655-Table13[[#This Row],[Steps]]),G655-Table13[[#This Row],[Steps]]),
))</f>
        <v>79</v>
      </c>
      <c r="F656">
        <f>_xlfn.LET(_xlpm.dir,Table13[[#This Row],[Direction]],
IF(_xlpm.dir="R",
    IF(G655+Table13[[#This Row],[Steps]]&gt;99,(G655+Table13[[#This Row],[Steps]])-100,G655+Table13[[#This Row],[Steps]]),
))</f>
        <v>0</v>
      </c>
      <c r="G656">
        <f>IF(Table13[[#This Row],[New Pos L]]&lt;&gt;0,Table13[[#This Row],[New Pos L]],Table13[[#This Row],[New Pos R]])</f>
        <v>79</v>
      </c>
      <c r="H656">
        <f>IF(AND(Table13[[#This Row],[Direction]]="L",Table13[[#This Row],[Steps]]&gt;G655,G655&lt;&gt;0),1,0)</f>
        <v>0</v>
      </c>
      <c r="I656">
        <f>IF(AND(Table13[[#This Row],[Direction]]="R",(G655+Table13[[#This Row],[Steps]])&gt;100),1,0)</f>
        <v>0</v>
      </c>
      <c r="J656">
        <f>IF(Table13[[#This Row],[POS]]=0,1,0)</f>
        <v>0</v>
      </c>
      <c r="K656">
        <f>SUM(Table13[[#This Row],[prefix]],Table13[[#This Row],[Past zero L]],Table13[[#This Row],[Past Zero R]],Table13[[#This Row],[Is Zero]])</f>
        <v>0</v>
      </c>
    </row>
    <row r="657" spans="1:11" ht="16" x14ac:dyDescent="0.2">
      <c r="A657" s="1" t="s">
        <v>289</v>
      </c>
      <c r="B657" t="str">
        <f>LEFT(Table13[[#This Row],[Input]],1)</f>
        <v>R</v>
      </c>
      <c r="C657">
        <f>_xlfn.LET(_xlpm.steps,SUBSTITUTE(Table13[[#This Row],[Input]],Table13[[#This Row],[Direction]],""),VALUE(IF(LEN(_xlpm.steps)&gt;2,RIGHT(_xlpm.steps,2),_xlpm.steps)))</f>
        <v>21</v>
      </c>
      <c r="D657">
        <f>_xlfn.LET(_xlpm.steps,SUBSTITUTE(Table13[[#This Row],[Input]],Table13[[#This Row],[Direction]],""),VALUE(IF(LEN(_xlpm.steps)&gt;2,LEFT(_xlpm.steps,LEN(_xlpm.steps)-2),0)))</f>
        <v>7</v>
      </c>
      <c r="E657">
        <f>_xlfn.LET(_xlpm.dir,Table13[[#This Row],[Direction]],
IF(_xlpm.dir="L",
    IF(G656-Table13[[#This Row],[Steps]]&lt;0,100+(G656-Table13[[#This Row],[Steps]]),G656-Table13[[#This Row],[Steps]]),
))</f>
        <v>0</v>
      </c>
      <c r="F657">
        <f>_xlfn.LET(_xlpm.dir,Table13[[#This Row],[Direction]],
IF(_xlpm.dir="R",
    IF(G656+Table13[[#This Row],[Steps]]&gt;99,(G656+Table13[[#This Row],[Steps]])-100,G656+Table13[[#This Row],[Steps]]),
))</f>
        <v>0</v>
      </c>
      <c r="G657">
        <f>IF(Table13[[#This Row],[New Pos L]]&lt;&gt;0,Table13[[#This Row],[New Pos L]],Table13[[#This Row],[New Pos R]])</f>
        <v>0</v>
      </c>
      <c r="H657">
        <f>IF(AND(Table13[[#This Row],[Direction]]="L",Table13[[#This Row],[Steps]]&gt;G656,G656&lt;&gt;0),1,0)</f>
        <v>0</v>
      </c>
      <c r="I657">
        <f>IF(AND(Table13[[#This Row],[Direction]]="R",(G656+Table13[[#This Row],[Steps]])&gt;100),1,0)</f>
        <v>0</v>
      </c>
      <c r="J657">
        <f>IF(Table13[[#This Row],[POS]]=0,1,0)</f>
        <v>1</v>
      </c>
      <c r="K657">
        <f>SUM(Table13[[#This Row],[prefix]],Table13[[#This Row],[Past zero L]],Table13[[#This Row],[Past Zero R]],Table13[[#This Row],[Is Zero]])</f>
        <v>8</v>
      </c>
    </row>
    <row r="658" spans="1:11" ht="16" x14ac:dyDescent="0.2">
      <c r="A658" s="1" t="s">
        <v>290</v>
      </c>
      <c r="B658" t="str">
        <f>LEFT(Table13[[#This Row],[Input]],1)</f>
        <v>R</v>
      </c>
      <c r="C658">
        <f>_xlfn.LET(_xlpm.steps,SUBSTITUTE(Table13[[#This Row],[Input]],Table13[[#This Row],[Direction]],""),VALUE(IF(LEN(_xlpm.steps)&gt;2,RIGHT(_xlpm.steps,2),_xlpm.steps)))</f>
        <v>7</v>
      </c>
      <c r="D658">
        <f>_xlfn.LET(_xlpm.steps,SUBSTITUTE(Table13[[#This Row],[Input]],Table13[[#This Row],[Direction]],""),VALUE(IF(LEN(_xlpm.steps)&gt;2,LEFT(_xlpm.steps,LEN(_xlpm.steps)-2),0)))</f>
        <v>2</v>
      </c>
      <c r="E658">
        <f>_xlfn.LET(_xlpm.dir,Table13[[#This Row],[Direction]],
IF(_xlpm.dir="L",
    IF(G657-Table13[[#This Row],[Steps]]&lt;0,100+(G657-Table13[[#This Row],[Steps]]),G657-Table13[[#This Row],[Steps]]),
))</f>
        <v>0</v>
      </c>
      <c r="F658">
        <f>_xlfn.LET(_xlpm.dir,Table13[[#This Row],[Direction]],
IF(_xlpm.dir="R",
    IF(G657+Table13[[#This Row],[Steps]]&gt;99,(G657+Table13[[#This Row],[Steps]])-100,G657+Table13[[#This Row],[Steps]]),
))</f>
        <v>7</v>
      </c>
      <c r="G658">
        <f>IF(Table13[[#This Row],[New Pos L]]&lt;&gt;0,Table13[[#This Row],[New Pos L]],Table13[[#This Row],[New Pos R]])</f>
        <v>7</v>
      </c>
      <c r="H658">
        <f>IF(AND(Table13[[#This Row],[Direction]]="L",Table13[[#This Row],[Steps]]&gt;G657,G657&lt;&gt;0),1,0)</f>
        <v>0</v>
      </c>
      <c r="I658">
        <f>IF(AND(Table13[[#This Row],[Direction]]="R",(G657+Table13[[#This Row],[Steps]])&gt;100),1,0)</f>
        <v>0</v>
      </c>
      <c r="J658">
        <f>IF(Table13[[#This Row],[POS]]=0,1,0)</f>
        <v>0</v>
      </c>
      <c r="K658">
        <f>SUM(Table13[[#This Row],[prefix]],Table13[[#This Row],[Past zero L]],Table13[[#This Row],[Past Zero R]],Table13[[#This Row],[Is Zero]])</f>
        <v>2</v>
      </c>
    </row>
    <row r="659" spans="1:11" ht="16" x14ac:dyDescent="0.2">
      <c r="A659" s="1" t="s">
        <v>19</v>
      </c>
      <c r="B659" t="str">
        <f>LEFT(Table13[[#This Row],[Input]],1)</f>
        <v>R</v>
      </c>
      <c r="C659">
        <f>_xlfn.LET(_xlpm.steps,SUBSTITUTE(Table13[[#This Row],[Input]],Table13[[#This Row],[Direction]],""),VALUE(IF(LEN(_xlpm.steps)&gt;2,RIGHT(_xlpm.steps,2),_xlpm.steps)))</f>
        <v>47</v>
      </c>
      <c r="D659">
        <f>_xlfn.LET(_xlpm.steps,SUBSTITUTE(Table13[[#This Row],[Input]],Table13[[#This Row],[Direction]],""),VALUE(IF(LEN(_xlpm.steps)&gt;2,LEFT(_xlpm.steps,LEN(_xlpm.steps)-2),0)))</f>
        <v>0</v>
      </c>
      <c r="E659">
        <f>_xlfn.LET(_xlpm.dir,Table13[[#This Row],[Direction]],
IF(_xlpm.dir="L",
    IF(G658-Table13[[#This Row],[Steps]]&lt;0,100+(G658-Table13[[#This Row],[Steps]]),G658-Table13[[#This Row],[Steps]]),
))</f>
        <v>0</v>
      </c>
      <c r="F659">
        <f>_xlfn.LET(_xlpm.dir,Table13[[#This Row],[Direction]],
IF(_xlpm.dir="R",
    IF(G658+Table13[[#This Row],[Steps]]&gt;99,(G658+Table13[[#This Row],[Steps]])-100,G658+Table13[[#This Row],[Steps]]),
))</f>
        <v>54</v>
      </c>
      <c r="G659">
        <f>IF(Table13[[#This Row],[New Pos L]]&lt;&gt;0,Table13[[#This Row],[New Pos L]],Table13[[#This Row],[New Pos R]])</f>
        <v>54</v>
      </c>
      <c r="H659">
        <f>IF(AND(Table13[[#This Row],[Direction]]="L",Table13[[#This Row],[Steps]]&gt;G658,G658&lt;&gt;0),1,0)</f>
        <v>0</v>
      </c>
      <c r="I659">
        <f>IF(AND(Table13[[#This Row],[Direction]]="R",(G658+Table13[[#This Row],[Steps]])&gt;100),1,0)</f>
        <v>0</v>
      </c>
      <c r="J659">
        <f>IF(Table13[[#This Row],[POS]]=0,1,0)</f>
        <v>0</v>
      </c>
      <c r="K659">
        <f>SUM(Table13[[#This Row],[prefix]],Table13[[#This Row],[Past zero L]],Table13[[#This Row],[Past Zero R]],Table13[[#This Row],[Is Zero]])</f>
        <v>0</v>
      </c>
    </row>
    <row r="660" spans="1:11" ht="16" x14ac:dyDescent="0.2">
      <c r="A660" s="1" t="s">
        <v>179</v>
      </c>
      <c r="B660" t="str">
        <f>LEFT(Table13[[#This Row],[Input]],1)</f>
        <v>L</v>
      </c>
      <c r="C660">
        <f>_xlfn.LET(_xlpm.steps,SUBSTITUTE(Table13[[#This Row],[Input]],Table13[[#This Row],[Direction]],""),VALUE(IF(LEN(_xlpm.steps)&gt;2,RIGHT(_xlpm.steps,2),_xlpm.steps)))</f>
        <v>54</v>
      </c>
      <c r="D660">
        <f>_xlfn.LET(_xlpm.steps,SUBSTITUTE(Table13[[#This Row],[Input]],Table13[[#This Row],[Direction]],""),VALUE(IF(LEN(_xlpm.steps)&gt;2,LEFT(_xlpm.steps,LEN(_xlpm.steps)-2),0)))</f>
        <v>0</v>
      </c>
      <c r="E660">
        <f>_xlfn.LET(_xlpm.dir,Table13[[#This Row],[Direction]],
IF(_xlpm.dir="L",
    IF(G659-Table13[[#This Row],[Steps]]&lt;0,100+(G659-Table13[[#This Row],[Steps]]),G659-Table13[[#This Row],[Steps]]),
))</f>
        <v>0</v>
      </c>
      <c r="F660">
        <f>_xlfn.LET(_xlpm.dir,Table13[[#This Row],[Direction]],
IF(_xlpm.dir="R",
    IF(G659+Table13[[#This Row],[Steps]]&gt;99,(G659+Table13[[#This Row],[Steps]])-100,G659+Table13[[#This Row],[Steps]]),
))</f>
        <v>0</v>
      </c>
      <c r="G660">
        <f>IF(Table13[[#This Row],[New Pos L]]&lt;&gt;0,Table13[[#This Row],[New Pos L]],Table13[[#This Row],[New Pos R]])</f>
        <v>0</v>
      </c>
      <c r="H660">
        <f>IF(AND(Table13[[#This Row],[Direction]]="L",Table13[[#This Row],[Steps]]&gt;G659,G659&lt;&gt;0),1,0)</f>
        <v>0</v>
      </c>
      <c r="I660">
        <f>IF(AND(Table13[[#This Row],[Direction]]="R",(G659+Table13[[#This Row],[Steps]])&gt;100),1,0)</f>
        <v>0</v>
      </c>
      <c r="J660">
        <f>IF(Table13[[#This Row],[POS]]=0,1,0)</f>
        <v>1</v>
      </c>
      <c r="K660">
        <f>SUM(Table13[[#This Row],[prefix]],Table13[[#This Row],[Past zero L]],Table13[[#This Row],[Past Zero R]],Table13[[#This Row],[Is Zero]])</f>
        <v>1</v>
      </c>
    </row>
    <row r="661" spans="1:11" ht="16" x14ac:dyDescent="0.2">
      <c r="A661" s="1" t="s">
        <v>255</v>
      </c>
      <c r="B661" t="str">
        <f>LEFT(Table13[[#This Row],[Input]],1)</f>
        <v>R</v>
      </c>
      <c r="C661">
        <f>_xlfn.LET(_xlpm.steps,SUBSTITUTE(Table13[[#This Row],[Input]],Table13[[#This Row],[Direction]],""),VALUE(IF(LEN(_xlpm.steps)&gt;2,RIGHT(_xlpm.steps,2),_xlpm.steps)))</f>
        <v>16</v>
      </c>
      <c r="D661">
        <f>_xlfn.LET(_xlpm.steps,SUBSTITUTE(Table13[[#This Row],[Input]],Table13[[#This Row],[Direction]],""),VALUE(IF(LEN(_xlpm.steps)&gt;2,LEFT(_xlpm.steps,LEN(_xlpm.steps)-2),0)))</f>
        <v>0</v>
      </c>
      <c r="E661">
        <f>_xlfn.LET(_xlpm.dir,Table13[[#This Row],[Direction]],
IF(_xlpm.dir="L",
    IF(G660-Table13[[#This Row],[Steps]]&lt;0,100+(G660-Table13[[#This Row],[Steps]]),G660-Table13[[#This Row],[Steps]]),
))</f>
        <v>0</v>
      </c>
      <c r="F661">
        <f>_xlfn.LET(_xlpm.dir,Table13[[#This Row],[Direction]],
IF(_xlpm.dir="R",
    IF(G660+Table13[[#This Row],[Steps]]&gt;99,(G660+Table13[[#This Row],[Steps]])-100,G660+Table13[[#This Row],[Steps]]),
))</f>
        <v>16</v>
      </c>
      <c r="G661">
        <f>IF(Table13[[#This Row],[New Pos L]]&lt;&gt;0,Table13[[#This Row],[New Pos L]],Table13[[#This Row],[New Pos R]])</f>
        <v>16</v>
      </c>
      <c r="H661">
        <f>IF(AND(Table13[[#This Row],[Direction]]="L",Table13[[#This Row],[Steps]]&gt;G660,G660&lt;&gt;0),1,0)</f>
        <v>0</v>
      </c>
      <c r="I661">
        <f>IF(AND(Table13[[#This Row],[Direction]]="R",(G660+Table13[[#This Row],[Steps]])&gt;100),1,0)</f>
        <v>0</v>
      </c>
      <c r="J661">
        <f>IF(Table13[[#This Row],[POS]]=0,1,0)</f>
        <v>0</v>
      </c>
      <c r="K661">
        <f>SUM(Table13[[#This Row],[prefix]],Table13[[#This Row],[Past zero L]],Table13[[#This Row],[Past Zero R]],Table13[[#This Row],[Is Zero]])</f>
        <v>0</v>
      </c>
    </row>
    <row r="662" spans="1:11" ht="16" x14ac:dyDescent="0.2">
      <c r="A662" s="1" t="s">
        <v>61</v>
      </c>
      <c r="B662" t="str">
        <f>LEFT(Table13[[#This Row],[Input]],1)</f>
        <v>L</v>
      </c>
      <c r="C662">
        <f>_xlfn.LET(_xlpm.steps,SUBSTITUTE(Table13[[#This Row],[Input]],Table13[[#This Row],[Direction]],""),VALUE(IF(LEN(_xlpm.steps)&gt;2,RIGHT(_xlpm.steps,2),_xlpm.steps)))</f>
        <v>16</v>
      </c>
      <c r="D662">
        <f>_xlfn.LET(_xlpm.steps,SUBSTITUTE(Table13[[#This Row],[Input]],Table13[[#This Row],[Direction]],""),VALUE(IF(LEN(_xlpm.steps)&gt;2,LEFT(_xlpm.steps,LEN(_xlpm.steps)-2),0)))</f>
        <v>0</v>
      </c>
      <c r="E662">
        <f>_xlfn.LET(_xlpm.dir,Table13[[#This Row],[Direction]],
IF(_xlpm.dir="L",
    IF(G661-Table13[[#This Row],[Steps]]&lt;0,100+(G661-Table13[[#This Row],[Steps]]),G661-Table13[[#This Row],[Steps]]),
))</f>
        <v>0</v>
      </c>
      <c r="F662">
        <f>_xlfn.LET(_xlpm.dir,Table13[[#This Row],[Direction]],
IF(_xlpm.dir="R",
    IF(G661+Table13[[#This Row],[Steps]]&gt;99,(G661+Table13[[#This Row],[Steps]])-100,G661+Table13[[#This Row],[Steps]]),
))</f>
        <v>0</v>
      </c>
      <c r="G662">
        <f>IF(Table13[[#This Row],[New Pos L]]&lt;&gt;0,Table13[[#This Row],[New Pos L]],Table13[[#This Row],[New Pos R]])</f>
        <v>0</v>
      </c>
      <c r="H662">
        <f>IF(AND(Table13[[#This Row],[Direction]]="L",Table13[[#This Row],[Steps]]&gt;G661,G661&lt;&gt;0),1,0)</f>
        <v>0</v>
      </c>
      <c r="I662">
        <f>IF(AND(Table13[[#This Row],[Direction]]="R",(G661+Table13[[#This Row],[Steps]])&gt;100),1,0)</f>
        <v>0</v>
      </c>
      <c r="J662">
        <f>IF(Table13[[#This Row],[POS]]=0,1,0)</f>
        <v>1</v>
      </c>
      <c r="K662">
        <f>SUM(Table13[[#This Row],[prefix]],Table13[[#This Row],[Past zero L]],Table13[[#This Row],[Past Zero R]],Table13[[#This Row],[Is Zero]])</f>
        <v>1</v>
      </c>
    </row>
    <row r="663" spans="1:11" ht="16" x14ac:dyDescent="0.2">
      <c r="A663" s="1" t="s">
        <v>139</v>
      </c>
      <c r="B663" t="str">
        <f>LEFT(Table13[[#This Row],[Input]],1)</f>
        <v>R</v>
      </c>
      <c r="C663">
        <f>_xlfn.LET(_xlpm.steps,SUBSTITUTE(Table13[[#This Row],[Input]],Table13[[#This Row],[Direction]],""),VALUE(IF(LEN(_xlpm.steps)&gt;2,RIGHT(_xlpm.steps,2),_xlpm.steps)))</f>
        <v>38</v>
      </c>
      <c r="D663">
        <f>_xlfn.LET(_xlpm.steps,SUBSTITUTE(Table13[[#This Row],[Input]],Table13[[#This Row],[Direction]],""),VALUE(IF(LEN(_xlpm.steps)&gt;2,LEFT(_xlpm.steps,LEN(_xlpm.steps)-2),0)))</f>
        <v>0</v>
      </c>
      <c r="E663">
        <f>_xlfn.LET(_xlpm.dir,Table13[[#This Row],[Direction]],
IF(_xlpm.dir="L",
    IF(G662-Table13[[#This Row],[Steps]]&lt;0,100+(G662-Table13[[#This Row],[Steps]]),G662-Table13[[#This Row],[Steps]]),
))</f>
        <v>0</v>
      </c>
      <c r="F663">
        <f>_xlfn.LET(_xlpm.dir,Table13[[#This Row],[Direction]],
IF(_xlpm.dir="R",
    IF(G662+Table13[[#This Row],[Steps]]&gt;99,(G662+Table13[[#This Row],[Steps]])-100,G662+Table13[[#This Row],[Steps]]),
))</f>
        <v>38</v>
      </c>
      <c r="G663">
        <f>IF(Table13[[#This Row],[New Pos L]]&lt;&gt;0,Table13[[#This Row],[New Pos L]],Table13[[#This Row],[New Pos R]])</f>
        <v>38</v>
      </c>
      <c r="H663">
        <f>IF(AND(Table13[[#This Row],[Direction]]="L",Table13[[#This Row],[Steps]]&gt;G662,G662&lt;&gt;0),1,0)</f>
        <v>0</v>
      </c>
      <c r="I663">
        <f>IF(AND(Table13[[#This Row],[Direction]]="R",(G662+Table13[[#This Row],[Steps]])&gt;100),1,0)</f>
        <v>0</v>
      </c>
      <c r="J663">
        <f>IF(Table13[[#This Row],[POS]]=0,1,0)</f>
        <v>0</v>
      </c>
      <c r="K663">
        <f>SUM(Table13[[#This Row],[prefix]],Table13[[#This Row],[Past zero L]],Table13[[#This Row],[Past Zero R]],Table13[[#This Row],[Is Zero]])</f>
        <v>0</v>
      </c>
    </row>
    <row r="664" spans="1:11" ht="16" x14ac:dyDescent="0.2">
      <c r="A664" s="1" t="s">
        <v>291</v>
      </c>
      <c r="B664" t="str">
        <f>LEFT(Table13[[#This Row],[Input]],1)</f>
        <v>L</v>
      </c>
      <c r="C664">
        <f>_xlfn.LET(_xlpm.steps,SUBSTITUTE(Table13[[#This Row],[Input]],Table13[[#This Row],[Direction]],""),VALUE(IF(LEN(_xlpm.steps)&gt;2,RIGHT(_xlpm.steps,2),_xlpm.steps)))</f>
        <v>51</v>
      </c>
      <c r="D664">
        <f>_xlfn.LET(_xlpm.steps,SUBSTITUTE(Table13[[#This Row],[Input]],Table13[[#This Row],[Direction]],""),VALUE(IF(LEN(_xlpm.steps)&gt;2,LEFT(_xlpm.steps,LEN(_xlpm.steps)-2),0)))</f>
        <v>2</v>
      </c>
      <c r="E664">
        <f>_xlfn.LET(_xlpm.dir,Table13[[#This Row],[Direction]],
IF(_xlpm.dir="L",
    IF(G663-Table13[[#This Row],[Steps]]&lt;0,100+(G663-Table13[[#This Row],[Steps]]),G663-Table13[[#This Row],[Steps]]),
))</f>
        <v>87</v>
      </c>
      <c r="F664">
        <f>_xlfn.LET(_xlpm.dir,Table13[[#This Row],[Direction]],
IF(_xlpm.dir="R",
    IF(G663+Table13[[#This Row],[Steps]]&gt;99,(G663+Table13[[#This Row],[Steps]])-100,G663+Table13[[#This Row],[Steps]]),
))</f>
        <v>0</v>
      </c>
      <c r="G664">
        <f>IF(Table13[[#This Row],[New Pos L]]&lt;&gt;0,Table13[[#This Row],[New Pos L]],Table13[[#This Row],[New Pos R]])</f>
        <v>87</v>
      </c>
      <c r="H664">
        <f>IF(AND(Table13[[#This Row],[Direction]]="L",Table13[[#This Row],[Steps]]&gt;G663,G663&lt;&gt;0),1,0)</f>
        <v>1</v>
      </c>
      <c r="I664">
        <f>IF(AND(Table13[[#This Row],[Direction]]="R",(G663+Table13[[#This Row],[Steps]])&gt;100),1,0)</f>
        <v>0</v>
      </c>
      <c r="J664">
        <f>IF(Table13[[#This Row],[POS]]=0,1,0)</f>
        <v>0</v>
      </c>
      <c r="K664">
        <f>SUM(Table13[[#This Row],[prefix]],Table13[[#This Row],[Past zero L]],Table13[[#This Row],[Past Zero R]],Table13[[#This Row],[Is Zero]])</f>
        <v>3</v>
      </c>
    </row>
    <row r="665" spans="1:11" ht="16" x14ac:dyDescent="0.2">
      <c r="A665" s="1" t="s">
        <v>292</v>
      </c>
      <c r="B665" t="str">
        <f>LEFT(Table13[[#This Row],[Input]],1)</f>
        <v>L</v>
      </c>
      <c r="C665">
        <f>_xlfn.LET(_xlpm.steps,SUBSTITUTE(Table13[[#This Row],[Input]],Table13[[#This Row],[Direction]],""),VALUE(IF(LEN(_xlpm.steps)&gt;2,RIGHT(_xlpm.steps,2),_xlpm.steps)))</f>
        <v>88</v>
      </c>
      <c r="D665">
        <f>_xlfn.LET(_xlpm.steps,SUBSTITUTE(Table13[[#This Row],[Input]],Table13[[#This Row],[Direction]],""),VALUE(IF(LEN(_xlpm.steps)&gt;2,LEFT(_xlpm.steps,LEN(_xlpm.steps)-2),0)))</f>
        <v>2</v>
      </c>
      <c r="E665">
        <f>_xlfn.LET(_xlpm.dir,Table13[[#This Row],[Direction]],
IF(_xlpm.dir="L",
    IF(G664-Table13[[#This Row],[Steps]]&lt;0,100+(G664-Table13[[#This Row],[Steps]]),G664-Table13[[#This Row],[Steps]]),
))</f>
        <v>99</v>
      </c>
      <c r="F665">
        <f>_xlfn.LET(_xlpm.dir,Table13[[#This Row],[Direction]],
IF(_xlpm.dir="R",
    IF(G664+Table13[[#This Row],[Steps]]&gt;99,(G664+Table13[[#This Row],[Steps]])-100,G664+Table13[[#This Row],[Steps]]),
))</f>
        <v>0</v>
      </c>
      <c r="G665">
        <f>IF(Table13[[#This Row],[New Pos L]]&lt;&gt;0,Table13[[#This Row],[New Pos L]],Table13[[#This Row],[New Pos R]])</f>
        <v>99</v>
      </c>
      <c r="H665">
        <f>IF(AND(Table13[[#This Row],[Direction]]="L",Table13[[#This Row],[Steps]]&gt;G664,G664&lt;&gt;0),1,0)</f>
        <v>1</v>
      </c>
      <c r="I665">
        <f>IF(AND(Table13[[#This Row],[Direction]]="R",(G664+Table13[[#This Row],[Steps]])&gt;100),1,0)</f>
        <v>0</v>
      </c>
      <c r="J665">
        <f>IF(Table13[[#This Row],[POS]]=0,1,0)</f>
        <v>0</v>
      </c>
      <c r="K665">
        <f>SUM(Table13[[#This Row],[prefix]],Table13[[#This Row],[Past zero L]],Table13[[#This Row],[Past Zero R]],Table13[[#This Row],[Is Zero]])</f>
        <v>3</v>
      </c>
    </row>
    <row r="666" spans="1:11" ht="16" x14ac:dyDescent="0.2">
      <c r="A666" s="1" t="s">
        <v>201</v>
      </c>
      <c r="B666" t="str">
        <f>LEFT(Table13[[#This Row],[Input]],1)</f>
        <v>R</v>
      </c>
      <c r="C666">
        <f>_xlfn.LET(_xlpm.steps,SUBSTITUTE(Table13[[#This Row],[Input]],Table13[[#This Row],[Direction]],""),VALUE(IF(LEN(_xlpm.steps)&gt;2,RIGHT(_xlpm.steps,2),_xlpm.steps)))</f>
        <v>31</v>
      </c>
      <c r="D666">
        <f>_xlfn.LET(_xlpm.steps,SUBSTITUTE(Table13[[#This Row],[Input]],Table13[[#This Row],[Direction]],""),VALUE(IF(LEN(_xlpm.steps)&gt;2,LEFT(_xlpm.steps,LEN(_xlpm.steps)-2),0)))</f>
        <v>0</v>
      </c>
      <c r="E666">
        <f>_xlfn.LET(_xlpm.dir,Table13[[#This Row],[Direction]],
IF(_xlpm.dir="L",
    IF(G665-Table13[[#This Row],[Steps]]&lt;0,100+(G665-Table13[[#This Row],[Steps]]),G665-Table13[[#This Row],[Steps]]),
))</f>
        <v>0</v>
      </c>
      <c r="F666">
        <f>_xlfn.LET(_xlpm.dir,Table13[[#This Row],[Direction]],
IF(_xlpm.dir="R",
    IF(G665+Table13[[#This Row],[Steps]]&gt;99,(G665+Table13[[#This Row],[Steps]])-100,G665+Table13[[#This Row],[Steps]]),
))</f>
        <v>30</v>
      </c>
      <c r="G666">
        <f>IF(Table13[[#This Row],[New Pos L]]&lt;&gt;0,Table13[[#This Row],[New Pos L]],Table13[[#This Row],[New Pos R]])</f>
        <v>30</v>
      </c>
      <c r="H666">
        <f>IF(AND(Table13[[#This Row],[Direction]]="L",Table13[[#This Row],[Steps]]&gt;G665,G665&lt;&gt;0),1,0)</f>
        <v>0</v>
      </c>
      <c r="I666">
        <f>IF(AND(Table13[[#This Row],[Direction]]="R",(G665+Table13[[#This Row],[Steps]])&gt;100),1,0)</f>
        <v>1</v>
      </c>
      <c r="J666">
        <f>IF(Table13[[#This Row],[POS]]=0,1,0)</f>
        <v>0</v>
      </c>
      <c r="K666">
        <f>SUM(Table13[[#This Row],[prefix]],Table13[[#This Row],[Past zero L]],Table13[[#This Row],[Past Zero R]],Table13[[#This Row],[Is Zero]])</f>
        <v>1</v>
      </c>
    </row>
    <row r="667" spans="1:11" ht="16" x14ac:dyDescent="0.2">
      <c r="A667" s="1" t="s">
        <v>114</v>
      </c>
      <c r="B667" t="str">
        <f>LEFT(Table13[[#This Row],[Input]],1)</f>
        <v>R</v>
      </c>
      <c r="C667">
        <f>_xlfn.LET(_xlpm.steps,SUBSTITUTE(Table13[[#This Row],[Input]],Table13[[#This Row],[Direction]],""),VALUE(IF(LEN(_xlpm.steps)&gt;2,RIGHT(_xlpm.steps,2),_xlpm.steps)))</f>
        <v>70</v>
      </c>
      <c r="D667">
        <f>_xlfn.LET(_xlpm.steps,SUBSTITUTE(Table13[[#This Row],[Input]],Table13[[#This Row],[Direction]],""),VALUE(IF(LEN(_xlpm.steps)&gt;2,LEFT(_xlpm.steps,LEN(_xlpm.steps)-2),0)))</f>
        <v>0</v>
      </c>
      <c r="E667">
        <f>_xlfn.LET(_xlpm.dir,Table13[[#This Row],[Direction]],
IF(_xlpm.dir="L",
    IF(G666-Table13[[#This Row],[Steps]]&lt;0,100+(G666-Table13[[#This Row],[Steps]]),G666-Table13[[#This Row],[Steps]]),
))</f>
        <v>0</v>
      </c>
      <c r="F667">
        <f>_xlfn.LET(_xlpm.dir,Table13[[#This Row],[Direction]],
IF(_xlpm.dir="R",
    IF(G666+Table13[[#This Row],[Steps]]&gt;99,(G666+Table13[[#This Row],[Steps]])-100,G666+Table13[[#This Row],[Steps]]),
))</f>
        <v>0</v>
      </c>
      <c r="G667">
        <f>IF(Table13[[#This Row],[New Pos L]]&lt;&gt;0,Table13[[#This Row],[New Pos L]],Table13[[#This Row],[New Pos R]])</f>
        <v>0</v>
      </c>
      <c r="H667">
        <f>IF(AND(Table13[[#This Row],[Direction]]="L",Table13[[#This Row],[Steps]]&gt;G666,G666&lt;&gt;0),1,0)</f>
        <v>0</v>
      </c>
      <c r="I667">
        <f>IF(AND(Table13[[#This Row],[Direction]]="R",(G666+Table13[[#This Row],[Steps]])&gt;100),1,0)</f>
        <v>0</v>
      </c>
      <c r="J667">
        <f>IF(Table13[[#This Row],[POS]]=0,1,0)</f>
        <v>1</v>
      </c>
      <c r="K667">
        <f>SUM(Table13[[#This Row],[prefix]],Table13[[#This Row],[Past zero L]],Table13[[#This Row],[Past Zero R]],Table13[[#This Row],[Is Zero]])</f>
        <v>1</v>
      </c>
    </row>
    <row r="668" spans="1:11" ht="16" x14ac:dyDescent="0.2">
      <c r="A668" s="1" t="s">
        <v>1</v>
      </c>
      <c r="B668" t="str">
        <f>LEFT(Table13[[#This Row],[Input]],1)</f>
        <v>R</v>
      </c>
      <c r="C668">
        <f>_xlfn.LET(_xlpm.steps,SUBSTITUTE(Table13[[#This Row],[Input]],Table13[[#This Row],[Direction]],""),VALUE(IF(LEN(_xlpm.steps)&gt;2,RIGHT(_xlpm.steps,2),_xlpm.steps)))</f>
        <v>26</v>
      </c>
      <c r="D668">
        <f>_xlfn.LET(_xlpm.steps,SUBSTITUTE(Table13[[#This Row],[Input]],Table13[[#This Row],[Direction]],""),VALUE(IF(LEN(_xlpm.steps)&gt;2,LEFT(_xlpm.steps,LEN(_xlpm.steps)-2),0)))</f>
        <v>0</v>
      </c>
      <c r="E668">
        <f>_xlfn.LET(_xlpm.dir,Table13[[#This Row],[Direction]],
IF(_xlpm.dir="L",
    IF(G667-Table13[[#This Row],[Steps]]&lt;0,100+(G667-Table13[[#This Row],[Steps]]),G667-Table13[[#This Row],[Steps]]),
))</f>
        <v>0</v>
      </c>
      <c r="F668">
        <f>_xlfn.LET(_xlpm.dir,Table13[[#This Row],[Direction]],
IF(_xlpm.dir="R",
    IF(G667+Table13[[#This Row],[Steps]]&gt;99,(G667+Table13[[#This Row],[Steps]])-100,G667+Table13[[#This Row],[Steps]]),
))</f>
        <v>26</v>
      </c>
      <c r="G668">
        <f>IF(Table13[[#This Row],[New Pos L]]&lt;&gt;0,Table13[[#This Row],[New Pos L]],Table13[[#This Row],[New Pos R]])</f>
        <v>26</v>
      </c>
      <c r="H668">
        <f>IF(AND(Table13[[#This Row],[Direction]]="L",Table13[[#This Row],[Steps]]&gt;G667,G667&lt;&gt;0),1,0)</f>
        <v>0</v>
      </c>
      <c r="I668">
        <f>IF(AND(Table13[[#This Row],[Direction]]="R",(G667+Table13[[#This Row],[Steps]])&gt;100),1,0)</f>
        <v>0</v>
      </c>
      <c r="J668">
        <f>IF(Table13[[#This Row],[POS]]=0,1,0)</f>
        <v>0</v>
      </c>
      <c r="K668">
        <f>SUM(Table13[[#This Row],[prefix]],Table13[[#This Row],[Past zero L]],Table13[[#This Row],[Past Zero R]],Table13[[#This Row],[Is Zero]])</f>
        <v>0</v>
      </c>
    </row>
    <row r="669" spans="1:11" ht="16" x14ac:dyDescent="0.2">
      <c r="A669" s="1" t="s">
        <v>3</v>
      </c>
      <c r="B669" t="str">
        <f>LEFT(Table13[[#This Row],[Input]],1)</f>
        <v>R</v>
      </c>
      <c r="C669">
        <f>_xlfn.LET(_xlpm.steps,SUBSTITUTE(Table13[[#This Row],[Input]],Table13[[#This Row],[Direction]],""),VALUE(IF(LEN(_xlpm.steps)&gt;2,RIGHT(_xlpm.steps,2),_xlpm.steps)))</f>
        <v>44</v>
      </c>
      <c r="D669">
        <f>_xlfn.LET(_xlpm.steps,SUBSTITUTE(Table13[[#This Row],[Input]],Table13[[#This Row],[Direction]],""),VALUE(IF(LEN(_xlpm.steps)&gt;2,LEFT(_xlpm.steps,LEN(_xlpm.steps)-2),0)))</f>
        <v>0</v>
      </c>
      <c r="E669">
        <f>_xlfn.LET(_xlpm.dir,Table13[[#This Row],[Direction]],
IF(_xlpm.dir="L",
    IF(G668-Table13[[#This Row],[Steps]]&lt;0,100+(G668-Table13[[#This Row],[Steps]]),G668-Table13[[#This Row],[Steps]]),
))</f>
        <v>0</v>
      </c>
      <c r="F669">
        <f>_xlfn.LET(_xlpm.dir,Table13[[#This Row],[Direction]],
IF(_xlpm.dir="R",
    IF(G668+Table13[[#This Row],[Steps]]&gt;99,(G668+Table13[[#This Row],[Steps]])-100,G668+Table13[[#This Row],[Steps]]),
))</f>
        <v>70</v>
      </c>
      <c r="G669">
        <f>IF(Table13[[#This Row],[New Pos L]]&lt;&gt;0,Table13[[#This Row],[New Pos L]],Table13[[#This Row],[New Pos R]])</f>
        <v>70</v>
      </c>
      <c r="H669">
        <f>IF(AND(Table13[[#This Row],[Direction]]="L",Table13[[#This Row],[Steps]]&gt;G668,G668&lt;&gt;0),1,0)</f>
        <v>0</v>
      </c>
      <c r="I669">
        <f>IF(AND(Table13[[#This Row],[Direction]]="R",(G668+Table13[[#This Row],[Steps]])&gt;100),1,0)</f>
        <v>0</v>
      </c>
      <c r="J669">
        <f>IF(Table13[[#This Row],[POS]]=0,1,0)</f>
        <v>0</v>
      </c>
      <c r="K669">
        <f>SUM(Table13[[#This Row],[prefix]],Table13[[#This Row],[Past zero L]],Table13[[#This Row],[Past Zero R]],Table13[[#This Row],[Is Zero]])</f>
        <v>0</v>
      </c>
    </row>
    <row r="670" spans="1:11" ht="16" x14ac:dyDescent="0.2">
      <c r="A670" s="1" t="s">
        <v>28</v>
      </c>
      <c r="B670" t="str">
        <f>LEFT(Table13[[#This Row],[Input]],1)</f>
        <v>R</v>
      </c>
      <c r="C670">
        <f>_xlfn.LET(_xlpm.steps,SUBSTITUTE(Table13[[#This Row],[Input]],Table13[[#This Row],[Direction]],""),VALUE(IF(LEN(_xlpm.steps)&gt;2,RIGHT(_xlpm.steps,2),_xlpm.steps)))</f>
        <v>30</v>
      </c>
      <c r="D670">
        <f>_xlfn.LET(_xlpm.steps,SUBSTITUTE(Table13[[#This Row],[Input]],Table13[[#This Row],[Direction]],""),VALUE(IF(LEN(_xlpm.steps)&gt;2,LEFT(_xlpm.steps,LEN(_xlpm.steps)-2),0)))</f>
        <v>0</v>
      </c>
      <c r="E670">
        <f>_xlfn.LET(_xlpm.dir,Table13[[#This Row],[Direction]],
IF(_xlpm.dir="L",
    IF(G669-Table13[[#This Row],[Steps]]&lt;0,100+(G669-Table13[[#This Row],[Steps]]),G669-Table13[[#This Row],[Steps]]),
))</f>
        <v>0</v>
      </c>
      <c r="F670">
        <f>_xlfn.LET(_xlpm.dir,Table13[[#This Row],[Direction]],
IF(_xlpm.dir="R",
    IF(G669+Table13[[#This Row],[Steps]]&gt;99,(G669+Table13[[#This Row],[Steps]])-100,G669+Table13[[#This Row],[Steps]]),
))</f>
        <v>0</v>
      </c>
      <c r="G670">
        <f>IF(Table13[[#This Row],[New Pos L]]&lt;&gt;0,Table13[[#This Row],[New Pos L]],Table13[[#This Row],[New Pos R]])</f>
        <v>0</v>
      </c>
      <c r="H670">
        <f>IF(AND(Table13[[#This Row],[Direction]]="L",Table13[[#This Row],[Steps]]&gt;G669,G669&lt;&gt;0),1,0)</f>
        <v>0</v>
      </c>
      <c r="I670">
        <f>IF(AND(Table13[[#This Row],[Direction]]="R",(G669+Table13[[#This Row],[Steps]])&gt;100),1,0)</f>
        <v>0</v>
      </c>
      <c r="J670">
        <f>IF(Table13[[#This Row],[POS]]=0,1,0)</f>
        <v>1</v>
      </c>
      <c r="K670">
        <f>SUM(Table13[[#This Row],[prefix]],Table13[[#This Row],[Past zero L]],Table13[[#This Row],[Past Zero R]],Table13[[#This Row],[Is Zero]])</f>
        <v>1</v>
      </c>
    </row>
    <row r="671" spans="1:11" ht="16" x14ac:dyDescent="0.2">
      <c r="A671" s="1" t="s">
        <v>293</v>
      </c>
      <c r="B671" t="str">
        <f>LEFT(Table13[[#This Row],[Input]],1)</f>
        <v>R</v>
      </c>
      <c r="C671">
        <f>_xlfn.LET(_xlpm.steps,SUBSTITUTE(Table13[[#This Row],[Input]],Table13[[#This Row],[Direction]],""),VALUE(IF(LEN(_xlpm.steps)&gt;2,RIGHT(_xlpm.steps,2),_xlpm.steps)))</f>
        <v>67</v>
      </c>
      <c r="D671">
        <f>_xlfn.LET(_xlpm.steps,SUBSTITUTE(Table13[[#This Row],[Input]],Table13[[#This Row],[Direction]],""),VALUE(IF(LEN(_xlpm.steps)&gt;2,LEFT(_xlpm.steps,LEN(_xlpm.steps)-2),0)))</f>
        <v>0</v>
      </c>
      <c r="E671">
        <f>_xlfn.LET(_xlpm.dir,Table13[[#This Row],[Direction]],
IF(_xlpm.dir="L",
    IF(G670-Table13[[#This Row],[Steps]]&lt;0,100+(G670-Table13[[#This Row],[Steps]]),G670-Table13[[#This Row],[Steps]]),
))</f>
        <v>0</v>
      </c>
      <c r="F671">
        <f>_xlfn.LET(_xlpm.dir,Table13[[#This Row],[Direction]],
IF(_xlpm.dir="R",
    IF(G670+Table13[[#This Row],[Steps]]&gt;99,(G670+Table13[[#This Row],[Steps]])-100,G670+Table13[[#This Row],[Steps]]),
))</f>
        <v>67</v>
      </c>
      <c r="G671">
        <f>IF(Table13[[#This Row],[New Pos L]]&lt;&gt;0,Table13[[#This Row],[New Pos L]],Table13[[#This Row],[New Pos R]])</f>
        <v>67</v>
      </c>
      <c r="H671">
        <f>IF(AND(Table13[[#This Row],[Direction]]="L",Table13[[#This Row],[Steps]]&gt;G670,G670&lt;&gt;0),1,0)</f>
        <v>0</v>
      </c>
      <c r="I671">
        <f>IF(AND(Table13[[#This Row],[Direction]]="R",(G670+Table13[[#This Row],[Steps]])&gt;100),1,0)</f>
        <v>0</v>
      </c>
      <c r="J671">
        <f>IF(Table13[[#This Row],[POS]]=0,1,0)</f>
        <v>0</v>
      </c>
      <c r="K671">
        <f>SUM(Table13[[#This Row],[prefix]],Table13[[#This Row],[Past zero L]],Table13[[#This Row],[Past Zero R]],Table13[[#This Row],[Is Zero]])</f>
        <v>0</v>
      </c>
    </row>
    <row r="672" spans="1:11" ht="16" x14ac:dyDescent="0.2">
      <c r="A672" s="1" t="s">
        <v>20</v>
      </c>
      <c r="B672" t="str">
        <f>LEFT(Table13[[#This Row],[Input]],1)</f>
        <v>R</v>
      </c>
      <c r="C672">
        <f>_xlfn.LET(_xlpm.steps,SUBSTITUTE(Table13[[#This Row],[Input]],Table13[[#This Row],[Direction]],""),VALUE(IF(LEN(_xlpm.steps)&gt;2,RIGHT(_xlpm.steps,2),_xlpm.steps)))</f>
        <v>46</v>
      </c>
      <c r="D672">
        <f>_xlfn.LET(_xlpm.steps,SUBSTITUTE(Table13[[#This Row],[Input]],Table13[[#This Row],[Direction]],""),VALUE(IF(LEN(_xlpm.steps)&gt;2,LEFT(_xlpm.steps,LEN(_xlpm.steps)-2),0)))</f>
        <v>0</v>
      </c>
      <c r="E672">
        <f>_xlfn.LET(_xlpm.dir,Table13[[#This Row],[Direction]],
IF(_xlpm.dir="L",
    IF(G671-Table13[[#This Row],[Steps]]&lt;0,100+(G671-Table13[[#This Row],[Steps]]),G671-Table13[[#This Row],[Steps]]),
))</f>
        <v>0</v>
      </c>
      <c r="F672">
        <f>_xlfn.LET(_xlpm.dir,Table13[[#This Row],[Direction]],
IF(_xlpm.dir="R",
    IF(G671+Table13[[#This Row],[Steps]]&gt;99,(G671+Table13[[#This Row],[Steps]])-100,G671+Table13[[#This Row],[Steps]]),
))</f>
        <v>13</v>
      </c>
      <c r="G672">
        <f>IF(Table13[[#This Row],[New Pos L]]&lt;&gt;0,Table13[[#This Row],[New Pos L]],Table13[[#This Row],[New Pos R]])</f>
        <v>13</v>
      </c>
      <c r="H672">
        <f>IF(AND(Table13[[#This Row],[Direction]]="L",Table13[[#This Row],[Steps]]&gt;G671,G671&lt;&gt;0),1,0)</f>
        <v>0</v>
      </c>
      <c r="I672">
        <f>IF(AND(Table13[[#This Row],[Direction]]="R",(G671+Table13[[#This Row],[Steps]])&gt;100),1,0)</f>
        <v>1</v>
      </c>
      <c r="J672">
        <f>IF(Table13[[#This Row],[POS]]=0,1,0)</f>
        <v>0</v>
      </c>
      <c r="K672">
        <f>SUM(Table13[[#This Row],[prefix]],Table13[[#This Row],[Past zero L]],Table13[[#This Row],[Past Zero R]],Table13[[#This Row],[Is Zero]])</f>
        <v>1</v>
      </c>
    </row>
    <row r="673" spans="1:11" ht="16" x14ac:dyDescent="0.2">
      <c r="A673" s="1" t="s">
        <v>209</v>
      </c>
      <c r="B673" t="str">
        <f>LEFT(Table13[[#This Row],[Input]],1)</f>
        <v>L</v>
      </c>
      <c r="C673">
        <f>_xlfn.LET(_xlpm.steps,SUBSTITUTE(Table13[[#This Row],[Input]],Table13[[#This Row],[Direction]],""),VALUE(IF(LEN(_xlpm.steps)&gt;2,RIGHT(_xlpm.steps,2),_xlpm.steps)))</f>
        <v>86</v>
      </c>
      <c r="D673">
        <f>_xlfn.LET(_xlpm.steps,SUBSTITUTE(Table13[[#This Row],[Input]],Table13[[#This Row],[Direction]],""),VALUE(IF(LEN(_xlpm.steps)&gt;2,LEFT(_xlpm.steps,LEN(_xlpm.steps)-2),0)))</f>
        <v>0</v>
      </c>
      <c r="E673">
        <f>_xlfn.LET(_xlpm.dir,Table13[[#This Row],[Direction]],
IF(_xlpm.dir="L",
    IF(G672-Table13[[#This Row],[Steps]]&lt;0,100+(G672-Table13[[#This Row],[Steps]]),G672-Table13[[#This Row],[Steps]]),
))</f>
        <v>27</v>
      </c>
      <c r="F673">
        <f>_xlfn.LET(_xlpm.dir,Table13[[#This Row],[Direction]],
IF(_xlpm.dir="R",
    IF(G672+Table13[[#This Row],[Steps]]&gt;99,(G672+Table13[[#This Row],[Steps]])-100,G672+Table13[[#This Row],[Steps]]),
))</f>
        <v>0</v>
      </c>
      <c r="G673">
        <f>IF(Table13[[#This Row],[New Pos L]]&lt;&gt;0,Table13[[#This Row],[New Pos L]],Table13[[#This Row],[New Pos R]])</f>
        <v>27</v>
      </c>
      <c r="H673">
        <f>IF(AND(Table13[[#This Row],[Direction]]="L",Table13[[#This Row],[Steps]]&gt;G672,G672&lt;&gt;0),1,0)</f>
        <v>1</v>
      </c>
      <c r="I673">
        <f>IF(AND(Table13[[#This Row],[Direction]]="R",(G672+Table13[[#This Row],[Steps]])&gt;100),1,0)</f>
        <v>0</v>
      </c>
      <c r="J673">
        <f>IF(Table13[[#This Row],[POS]]=0,1,0)</f>
        <v>0</v>
      </c>
      <c r="K673">
        <f>SUM(Table13[[#This Row],[prefix]],Table13[[#This Row],[Past zero L]],Table13[[#This Row],[Past Zero R]],Table13[[#This Row],[Is Zero]])</f>
        <v>1</v>
      </c>
    </row>
    <row r="674" spans="1:11" ht="16" x14ac:dyDescent="0.2">
      <c r="A674" s="1" t="s">
        <v>64</v>
      </c>
      <c r="B674" t="str">
        <f>LEFT(Table13[[#This Row],[Input]],1)</f>
        <v>R</v>
      </c>
      <c r="C674">
        <f>_xlfn.LET(_xlpm.steps,SUBSTITUTE(Table13[[#This Row],[Input]],Table13[[#This Row],[Direction]],""),VALUE(IF(LEN(_xlpm.steps)&gt;2,RIGHT(_xlpm.steps,2),_xlpm.steps)))</f>
        <v>10</v>
      </c>
      <c r="D674">
        <f>_xlfn.LET(_xlpm.steps,SUBSTITUTE(Table13[[#This Row],[Input]],Table13[[#This Row],[Direction]],""),VALUE(IF(LEN(_xlpm.steps)&gt;2,LEFT(_xlpm.steps,LEN(_xlpm.steps)-2),0)))</f>
        <v>0</v>
      </c>
      <c r="E674">
        <f>_xlfn.LET(_xlpm.dir,Table13[[#This Row],[Direction]],
IF(_xlpm.dir="L",
    IF(G673-Table13[[#This Row],[Steps]]&lt;0,100+(G673-Table13[[#This Row],[Steps]]),G673-Table13[[#This Row],[Steps]]),
))</f>
        <v>0</v>
      </c>
      <c r="F674">
        <f>_xlfn.LET(_xlpm.dir,Table13[[#This Row],[Direction]],
IF(_xlpm.dir="R",
    IF(G673+Table13[[#This Row],[Steps]]&gt;99,(G673+Table13[[#This Row],[Steps]])-100,G673+Table13[[#This Row],[Steps]]),
))</f>
        <v>37</v>
      </c>
      <c r="G674">
        <f>IF(Table13[[#This Row],[New Pos L]]&lt;&gt;0,Table13[[#This Row],[New Pos L]],Table13[[#This Row],[New Pos R]])</f>
        <v>37</v>
      </c>
      <c r="H674">
        <f>IF(AND(Table13[[#This Row],[Direction]]="L",Table13[[#This Row],[Steps]]&gt;G673,G673&lt;&gt;0),1,0)</f>
        <v>0</v>
      </c>
      <c r="I674">
        <f>IF(AND(Table13[[#This Row],[Direction]]="R",(G673+Table13[[#This Row],[Steps]])&gt;100),1,0)</f>
        <v>0</v>
      </c>
      <c r="J674">
        <f>IF(Table13[[#This Row],[POS]]=0,1,0)</f>
        <v>0</v>
      </c>
      <c r="K674">
        <f>SUM(Table13[[#This Row],[prefix]],Table13[[#This Row],[Past zero L]],Table13[[#This Row],[Past Zero R]],Table13[[#This Row],[Is Zero]])</f>
        <v>0</v>
      </c>
    </row>
    <row r="675" spans="1:11" ht="16" x14ac:dyDescent="0.2">
      <c r="A675" s="1" t="s">
        <v>294</v>
      </c>
      <c r="B675" t="str">
        <f>LEFT(Table13[[#This Row],[Input]],1)</f>
        <v>R</v>
      </c>
      <c r="C675">
        <f>_xlfn.LET(_xlpm.steps,SUBSTITUTE(Table13[[#This Row],[Input]],Table13[[#This Row],[Direction]],""),VALUE(IF(LEN(_xlpm.steps)&gt;2,RIGHT(_xlpm.steps,2),_xlpm.steps)))</f>
        <v>91</v>
      </c>
      <c r="D675">
        <f>_xlfn.LET(_xlpm.steps,SUBSTITUTE(Table13[[#This Row],[Input]],Table13[[#This Row],[Direction]],""),VALUE(IF(LEN(_xlpm.steps)&gt;2,LEFT(_xlpm.steps,LEN(_xlpm.steps)-2),0)))</f>
        <v>5</v>
      </c>
      <c r="E675">
        <f>_xlfn.LET(_xlpm.dir,Table13[[#This Row],[Direction]],
IF(_xlpm.dir="L",
    IF(G674-Table13[[#This Row],[Steps]]&lt;0,100+(G674-Table13[[#This Row],[Steps]]),G674-Table13[[#This Row],[Steps]]),
))</f>
        <v>0</v>
      </c>
      <c r="F675">
        <f>_xlfn.LET(_xlpm.dir,Table13[[#This Row],[Direction]],
IF(_xlpm.dir="R",
    IF(G674+Table13[[#This Row],[Steps]]&gt;99,(G674+Table13[[#This Row],[Steps]])-100,G674+Table13[[#This Row],[Steps]]),
))</f>
        <v>28</v>
      </c>
      <c r="G675">
        <f>IF(Table13[[#This Row],[New Pos L]]&lt;&gt;0,Table13[[#This Row],[New Pos L]],Table13[[#This Row],[New Pos R]])</f>
        <v>28</v>
      </c>
      <c r="H675">
        <f>IF(AND(Table13[[#This Row],[Direction]]="L",Table13[[#This Row],[Steps]]&gt;G674,G674&lt;&gt;0),1,0)</f>
        <v>0</v>
      </c>
      <c r="I675">
        <f>IF(AND(Table13[[#This Row],[Direction]]="R",(G674+Table13[[#This Row],[Steps]])&gt;100),1,0)</f>
        <v>1</v>
      </c>
      <c r="J675">
        <f>IF(Table13[[#This Row],[POS]]=0,1,0)</f>
        <v>0</v>
      </c>
      <c r="K675">
        <f>SUM(Table13[[#This Row],[prefix]],Table13[[#This Row],[Past zero L]],Table13[[#This Row],[Past Zero R]],Table13[[#This Row],[Is Zero]])</f>
        <v>6</v>
      </c>
    </row>
    <row r="676" spans="1:11" ht="16" x14ac:dyDescent="0.2">
      <c r="A676" s="1" t="s">
        <v>165</v>
      </c>
      <c r="B676" t="str">
        <f>LEFT(Table13[[#This Row],[Input]],1)</f>
        <v>R</v>
      </c>
      <c r="C676">
        <f>_xlfn.LET(_xlpm.steps,SUBSTITUTE(Table13[[#This Row],[Input]],Table13[[#This Row],[Direction]],""),VALUE(IF(LEN(_xlpm.steps)&gt;2,RIGHT(_xlpm.steps,2),_xlpm.steps)))</f>
        <v>55</v>
      </c>
      <c r="D676">
        <f>_xlfn.LET(_xlpm.steps,SUBSTITUTE(Table13[[#This Row],[Input]],Table13[[#This Row],[Direction]],""),VALUE(IF(LEN(_xlpm.steps)&gt;2,LEFT(_xlpm.steps,LEN(_xlpm.steps)-2),0)))</f>
        <v>0</v>
      </c>
      <c r="E676">
        <f>_xlfn.LET(_xlpm.dir,Table13[[#This Row],[Direction]],
IF(_xlpm.dir="L",
    IF(G675-Table13[[#This Row],[Steps]]&lt;0,100+(G675-Table13[[#This Row],[Steps]]),G675-Table13[[#This Row],[Steps]]),
))</f>
        <v>0</v>
      </c>
      <c r="F676">
        <f>_xlfn.LET(_xlpm.dir,Table13[[#This Row],[Direction]],
IF(_xlpm.dir="R",
    IF(G675+Table13[[#This Row],[Steps]]&gt;99,(G675+Table13[[#This Row],[Steps]])-100,G675+Table13[[#This Row],[Steps]]),
))</f>
        <v>83</v>
      </c>
      <c r="G676">
        <f>IF(Table13[[#This Row],[New Pos L]]&lt;&gt;0,Table13[[#This Row],[New Pos L]],Table13[[#This Row],[New Pos R]])</f>
        <v>83</v>
      </c>
      <c r="H676">
        <f>IF(AND(Table13[[#This Row],[Direction]]="L",Table13[[#This Row],[Steps]]&gt;G675,G675&lt;&gt;0),1,0)</f>
        <v>0</v>
      </c>
      <c r="I676">
        <f>IF(AND(Table13[[#This Row],[Direction]]="R",(G675+Table13[[#This Row],[Steps]])&gt;100),1,0)</f>
        <v>0</v>
      </c>
      <c r="J676">
        <f>IF(Table13[[#This Row],[POS]]=0,1,0)</f>
        <v>0</v>
      </c>
      <c r="K676">
        <f>SUM(Table13[[#This Row],[prefix]],Table13[[#This Row],[Past zero L]],Table13[[#This Row],[Past Zero R]],Table13[[#This Row],[Is Zero]])</f>
        <v>0</v>
      </c>
    </row>
    <row r="677" spans="1:11" ht="16" x14ac:dyDescent="0.2">
      <c r="A677" s="1" t="s">
        <v>11</v>
      </c>
      <c r="B677" t="str">
        <f>LEFT(Table13[[#This Row],[Input]],1)</f>
        <v>L</v>
      </c>
      <c r="C677">
        <f>_xlfn.LET(_xlpm.steps,SUBSTITUTE(Table13[[#This Row],[Input]],Table13[[#This Row],[Direction]],""),VALUE(IF(LEN(_xlpm.steps)&gt;2,RIGHT(_xlpm.steps,2),_xlpm.steps)))</f>
        <v>34</v>
      </c>
      <c r="D677">
        <f>_xlfn.LET(_xlpm.steps,SUBSTITUTE(Table13[[#This Row],[Input]],Table13[[#This Row],[Direction]],""),VALUE(IF(LEN(_xlpm.steps)&gt;2,LEFT(_xlpm.steps,LEN(_xlpm.steps)-2),0)))</f>
        <v>0</v>
      </c>
      <c r="E677">
        <f>_xlfn.LET(_xlpm.dir,Table13[[#This Row],[Direction]],
IF(_xlpm.dir="L",
    IF(G676-Table13[[#This Row],[Steps]]&lt;0,100+(G676-Table13[[#This Row],[Steps]]),G676-Table13[[#This Row],[Steps]]),
))</f>
        <v>49</v>
      </c>
      <c r="F677">
        <f>_xlfn.LET(_xlpm.dir,Table13[[#This Row],[Direction]],
IF(_xlpm.dir="R",
    IF(G676+Table13[[#This Row],[Steps]]&gt;99,(G676+Table13[[#This Row],[Steps]])-100,G676+Table13[[#This Row],[Steps]]),
))</f>
        <v>0</v>
      </c>
      <c r="G677">
        <f>IF(Table13[[#This Row],[New Pos L]]&lt;&gt;0,Table13[[#This Row],[New Pos L]],Table13[[#This Row],[New Pos R]])</f>
        <v>49</v>
      </c>
      <c r="H677">
        <f>IF(AND(Table13[[#This Row],[Direction]]="L",Table13[[#This Row],[Steps]]&gt;G676,G676&lt;&gt;0),1,0)</f>
        <v>0</v>
      </c>
      <c r="I677">
        <f>IF(AND(Table13[[#This Row],[Direction]]="R",(G676+Table13[[#This Row],[Steps]])&gt;100),1,0)</f>
        <v>0</v>
      </c>
      <c r="J677">
        <f>IF(Table13[[#This Row],[POS]]=0,1,0)</f>
        <v>0</v>
      </c>
      <c r="K677">
        <f>SUM(Table13[[#This Row],[prefix]],Table13[[#This Row],[Past zero L]],Table13[[#This Row],[Past Zero R]],Table13[[#This Row],[Is Zero]])</f>
        <v>0</v>
      </c>
    </row>
    <row r="678" spans="1:11" ht="16" x14ac:dyDescent="0.2">
      <c r="A678" s="1" t="s">
        <v>194</v>
      </c>
      <c r="B678" t="str">
        <f>LEFT(Table13[[#This Row],[Input]],1)</f>
        <v>R</v>
      </c>
      <c r="C678">
        <f>_xlfn.LET(_xlpm.steps,SUBSTITUTE(Table13[[#This Row],[Input]],Table13[[#This Row],[Direction]],""),VALUE(IF(LEN(_xlpm.steps)&gt;2,RIGHT(_xlpm.steps,2),_xlpm.steps)))</f>
        <v>51</v>
      </c>
      <c r="D678">
        <f>_xlfn.LET(_xlpm.steps,SUBSTITUTE(Table13[[#This Row],[Input]],Table13[[#This Row],[Direction]],""),VALUE(IF(LEN(_xlpm.steps)&gt;2,LEFT(_xlpm.steps,LEN(_xlpm.steps)-2),0)))</f>
        <v>0</v>
      </c>
      <c r="E678">
        <f>_xlfn.LET(_xlpm.dir,Table13[[#This Row],[Direction]],
IF(_xlpm.dir="L",
    IF(G677-Table13[[#This Row],[Steps]]&lt;0,100+(G677-Table13[[#This Row],[Steps]]),G677-Table13[[#This Row],[Steps]]),
))</f>
        <v>0</v>
      </c>
      <c r="F678">
        <f>_xlfn.LET(_xlpm.dir,Table13[[#This Row],[Direction]],
IF(_xlpm.dir="R",
    IF(G677+Table13[[#This Row],[Steps]]&gt;99,(G677+Table13[[#This Row],[Steps]])-100,G677+Table13[[#This Row],[Steps]]),
))</f>
        <v>0</v>
      </c>
      <c r="G678">
        <f>IF(Table13[[#This Row],[New Pos L]]&lt;&gt;0,Table13[[#This Row],[New Pos L]],Table13[[#This Row],[New Pos R]])</f>
        <v>0</v>
      </c>
      <c r="H678">
        <f>IF(AND(Table13[[#This Row],[Direction]]="L",Table13[[#This Row],[Steps]]&gt;G677,G677&lt;&gt;0),1,0)</f>
        <v>0</v>
      </c>
      <c r="I678">
        <f>IF(AND(Table13[[#This Row],[Direction]]="R",(G677+Table13[[#This Row],[Steps]])&gt;100),1,0)</f>
        <v>0</v>
      </c>
      <c r="J678">
        <f>IF(Table13[[#This Row],[POS]]=0,1,0)</f>
        <v>1</v>
      </c>
      <c r="K678">
        <f>SUM(Table13[[#This Row],[prefix]],Table13[[#This Row],[Past zero L]],Table13[[#This Row],[Past Zero R]],Table13[[#This Row],[Is Zero]])</f>
        <v>1</v>
      </c>
    </row>
    <row r="679" spans="1:11" ht="16" x14ac:dyDescent="0.2">
      <c r="A679" s="1" t="s">
        <v>295</v>
      </c>
      <c r="B679" t="str">
        <f>LEFT(Table13[[#This Row],[Input]],1)</f>
        <v>L</v>
      </c>
      <c r="C679">
        <f>_xlfn.LET(_xlpm.steps,SUBSTITUTE(Table13[[#This Row],[Input]],Table13[[#This Row],[Direction]],""),VALUE(IF(LEN(_xlpm.steps)&gt;2,RIGHT(_xlpm.steps,2),_xlpm.steps)))</f>
        <v>88</v>
      </c>
      <c r="D679">
        <f>_xlfn.LET(_xlpm.steps,SUBSTITUTE(Table13[[#This Row],[Input]],Table13[[#This Row],[Direction]],""),VALUE(IF(LEN(_xlpm.steps)&gt;2,LEFT(_xlpm.steps,LEN(_xlpm.steps)-2),0)))</f>
        <v>0</v>
      </c>
      <c r="E679">
        <f>_xlfn.LET(_xlpm.dir,Table13[[#This Row],[Direction]],
IF(_xlpm.dir="L",
    IF(G678-Table13[[#This Row],[Steps]]&lt;0,100+(G678-Table13[[#This Row],[Steps]]),G678-Table13[[#This Row],[Steps]]),
))</f>
        <v>12</v>
      </c>
      <c r="F679">
        <f>_xlfn.LET(_xlpm.dir,Table13[[#This Row],[Direction]],
IF(_xlpm.dir="R",
    IF(G678+Table13[[#This Row],[Steps]]&gt;99,(G678+Table13[[#This Row],[Steps]])-100,G678+Table13[[#This Row],[Steps]]),
))</f>
        <v>0</v>
      </c>
      <c r="G679">
        <f>IF(Table13[[#This Row],[New Pos L]]&lt;&gt;0,Table13[[#This Row],[New Pos L]],Table13[[#This Row],[New Pos R]])</f>
        <v>12</v>
      </c>
      <c r="H679">
        <f>IF(AND(Table13[[#This Row],[Direction]]="L",Table13[[#This Row],[Steps]]&gt;G678,G678&lt;&gt;0),1,0)</f>
        <v>0</v>
      </c>
      <c r="I679">
        <f>IF(AND(Table13[[#This Row],[Direction]]="R",(G678+Table13[[#This Row],[Steps]])&gt;100),1,0)</f>
        <v>0</v>
      </c>
      <c r="J679">
        <f>IF(Table13[[#This Row],[POS]]=0,1,0)</f>
        <v>0</v>
      </c>
      <c r="K679">
        <f>SUM(Table13[[#This Row],[prefix]],Table13[[#This Row],[Past zero L]],Table13[[#This Row],[Past Zero R]],Table13[[#This Row],[Is Zero]])</f>
        <v>0</v>
      </c>
    </row>
    <row r="680" spans="1:11" ht="16" x14ac:dyDescent="0.2">
      <c r="A680" s="1" t="s">
        <v>84</v>
      </c>
      <c r="B680" t="str">
        <f>LEFT(Table13[[#This Row],[Input]],1)</f>
        <v>R</v>
      </c>
      <c r="C680">
        <f>_xlfn.LET(_xlpm.steps,SUBSTITUTE(Table13[[#This Row],[Input]],Table13[[#This Row],[Direction]],""),VALUE(IF(LEN(_xlpm.steps)&gt;2,RIGHT(_xlpm.steps,2),_xlpm.steps)))</f>
        <v>88</v>
      </c>
      <c r="D680">
        <f>_xlfn.LET(_xlpm.steps,SUBSTITUTE(Table13[[#This Row],[Input]],Table13[[#This Row],[Direction]],""),VALUE(IF(LEN(_xlpm.steps)&gt;2,LEFT(_xlpm.steps,LEN(_xlpm.steps)-2),0)))</f>
        <v>0</v>
      </c>
      <c r="E680">
        <f>_xlfn.LET(_xlpm.dir,Table13[[#This Row],[Direction]],
IF(_xlpm.dir="L",
    IF(G679-Table13[[#This Row],[Steps]]&lt;0,100+(G679-Table13[[#This Row],[Steps]]),G679-Table13[[#This Row],[Steps]]),
))</f>
        <v>0</v>
      </c>
      <c r="F680">
        <f>_xlfn.LET(_xlpm.dir,Table13[[#This Row],[Direction]],
IF(_xlpm.dir="R",
    IF(G679+Table13[[#This Row],[Steps]]&gt;99,(G679+Table13[[#This Row],[Steps]])-100,G679+Table13[[#This Row],[Steps]]),
))</f>
        <v>0</v>
      </c>
      <c r="G680">
        <f>IF(Table13[[#This Row],[New Pos L]]&lt;&gt;0,Table13[[#This Row],[New Pos L]],Table13[[#This Row],[New Pos R]])</f>
        <v>0</v>
      </c>
      <c r="H680">
        <f>IF(AND(Table13[[#This Row],[Direction]]="L",Table13[[#This Row],[Steps]]&gt;G679,G679&lt;&gt;0),1,0)</f>
        <v>0</v>
      </c>
      <c r="I680">
        <f>IF(AND(Table13[[#This Row],[Direction]]="R",(G679+Table13[[#This Row],[Steps]])&gt;100),1,0)</f>
        <v>0</v>
      </c>
      <c r="J680">
        <f>IF(Table13[[#This Row],[POS]]=0,1,0)</f>
        <v>1</v>
      </c>
      <c r="K680">
        <f>SUM(Table13[[#This Row],[prefix]],Table13[[#This Row],[Past zero L]],Table13[[#This Row],[Past Zero R]],Table13[[#This Row],[Is Zero]])</f>
        <v>1</v>
      </c>
    </row>
    <row r="681" spans="1:11" ht="16" x14ac:dyDescent="0.2">
      <c r="A681" s="1" t="s">
        <v>48</v>
      </c>
      <c r="B681" t="str">
        <f>LEFT(Table13[[#This Row],[Input]],1)</f>
        <v>R</v>
      </c>
      <c r="C681">
        <f>_xlfn.LET(_xlpm.steps,SUBSTITUTE(Table13[[#This Row],[Input]],Table13[[#This Row],[Direction]],""),VALUE(IF(LEN(_xlpm.steps)&gt;2,RIGHT(_xlpm.steps,2),_xlpm.steps)))</f>
        <v>81</v>
      </c>
      <c r="D681">
        <f>_xlfn.LET(_xlpm.steps,SUBSTITUTE(Table13[[#This Row],[Input]],Table13[[#This Row],[Direction]],""),VALUE(IF(LEN(_xlpm.steps)&gt;2,LEFT(_xlpm.steps,LEN(_xlpm.steps)-2),0)))</f>
        <v>0</v>
      </c>
      <c r="E681">
        <f>_xlfn.LET(_xlpm.dir,Table13[[#This Row],[Direction]],
IF(_xlpm.dir="L",
    IF(G680-Table13[[#This Row],[Steps]]&lt;0,100+(G680-Table13[[#This Row],[Steps]]),G680-Table13[[#This Row],[Steps]]),
))</f>
        <v>0</v>
      </c>
      <c r="F681">
        <f>_xlfn.LET(_xlpm.dir,Table13[[#This Row],[Direction]],
IF(_xlpm.dir="R",
    IF(G680+Table13[[#This Row],[Steps]]&gt;99,(G680+Table13[[#This Row],[Steps]])-100,G680+Table13[[#This Row],[Steps]]),
))</f>
        <v>81</v>
      </c>
      <c r="G681">
        <f>IF(Table13[[#This Row],[New Pos L]]&lt;&gt;0,Table13[[#This Row],[New Pos L]],Table13[[#This Row],[New Pos R]])</f>
        <v>81</v>
      </c>
      <c r="H681">
        <f>IF(AND(Table13[[#This Row],[Direction]]="L",Table13[[#This Row],[Steps]]&gt;G680,G680&lt;&gt;0),1,0)</f>
        <v>0</v>
      </c>
      <c r="I681">
        <f>IF(AND(Table13[[#This Row],[Direction]]="R",(G680+Table13[[#This Row],[Steps]])&gt;100),1,0)</f>
        <v>0</v>
      </c>
      <c r="J681">
        <f>IF(Table13[[#This Row],[POS]]=0,1,0)</f>
        <v>0</v>
      </c>
      <c r="K681">
        <f>SUM(Table13[[#This Row],[prefix]],Table13[[#This Row],[Past zero L]],Table13[[#This Row],[Past Zero R]],Table13[[#This Row],[Is Zero]])</f>
        <v>0</v>
      </c>
    </row>
    <row r="682" spans="1:11" ht="16" x14ac:dyDescent="0.2">
      <c r="A682" s="1" t="s">
        <v>296</v>
      </c>
      <c r="B682" t="str">
        <f>LEFT(Table13[[#This Row],[Input]],1)</f>
        <v>R</v>
      </c>
      <c r="C682">
        <f>_xlfn.LET(_xlpm.steps,SUBSTITUTE(Table13[[#This Row],[Input]],Table13[[#This Row],[Direction]],""),VALUE(IF(LEN(_xlpm.steps)&gt;2,RIGHT(_xlpm.steps,2),_xlpm.steps)))</f>
        <v>19</v>
      </c>
      <c r="D682">
        <f>_xlfn.LET(_xlpm.steps,SUBSTITUTE(Table13[[#This Row],[Input]],Table13[[#This Row],[Direction]],""),VALUE(IF(LEN(_xlpm.steps)&gt;2,LEFT(_xlpm.steps,LEN(_xlpm.steps)-2),0)))</f>
        <v>0</v>
      </c>
      <c r="E682">
        <f>_xlfn.LET(_xlpm.dir,Table13[[#This Row],[Direction]],
IF(_xlpm.dir="L",
    IF(G681-Table13[[#This Row],[Steps]]&lt;0,100+(G681-Table13[[#This Row],[Steps]]),G681-Table13[[#This Row],[Steps]]),
))</f>
        <v>0</v>
      </c>
      <c r="F682">
        <f>_xlfn.LET(_xlpm.dir,Table13[[#This Row],[Direction]],
IF(_xlpm.dir="R",
    IF(G681+Table13[[#This Row],[Steps]]&gt;99,(G681+Table13[[#This Row],[Steps]])-100,G681+Table13[[#This Row],[Steps]]),
))</f>
        <v>0</v>
      </c>
      <c r="G682">
        <f>IF(Table13[[#This Row],[New Pos L]]&lt;&gt;0,Table13[[#This Row],[New Pos L]],Table13[[#This Row],[New Pos R]])</f>
        <v>0</v>
      </c>
      <c r="H682">
        <f>IF(AND(Table13[[#This Row],[Direction]]="L",Table13[[#This Row],[Steps]]&gt;G681,G681&lt;&gt;0),1,0)</f>
        <v>0</v>
      </c>
      <c r="I682">
        <f>IF(AND(Table13[[#This Row],[Direction]]="R",(G681+Table13[[#This Row],[Steps]])&gt;100),1,0)</f>
        <v>0</v>
      </c>
      <c r="J682">
        <f>IF(Table13[[#This Row],[POS]]=0,1,0)</f>
        <v>1</v>
      </c>
      <c r="K682">
        <f>SUM(Table13[[#This Row],[prefix]],Table13[[#This Row],[Past zero L]],Table13[[#This Row],[Past Zero R]],Table13[[#This Row],[Is Zero]])</f>
        <v>1</v>
      </c>
    </row>
    <row r="683" spans="1:11" ht="16" x14ac:dyDescent="0.2">
      <c r="A683" s="1" t="s">
        <v>46</v>
      </c>
      <c r="B683" t="str">
        <f>LEFT(Table13[[#This Row],[Input]],1)</f>
        <v>L</v>
      </c>
      <c r="C683">
        <f>_xlfn.LET(_xlpm.steps,SUBSTITUTE(Table13[[#This Row],[Input]],Table13[[#This Row],[Direction]],""),VALUE(IF(LEN(_xlpm.steps)&gt;2,RIGHT(_xlpm.steps,2),_xlpm.steps)))</f>
        <v>97</v>
      </c>
      <c r="D683">
        <f>_xlfn.LET(_xlpm.steps,SUBSTITUTE(Table13[[#This Row],[Input]],Table13[[#This Row],[Direction]],""),VALUE(IF(LEN(_xlpm.steps)&gt;2,LEFT(_xlpm.steps,LEN(_xlpm.steps)-2),0)))</f>
        <v>0</v>
      </c>
      <c r="E683">
        <f>_xlfn.LET(_xlpm.dir,Table13[[#This Row],[Direction]],
IF(_xlpm.dir="L",
    IF(G682-Table13[[#This Row],[Steps]]&lt;0,100+(G682-Table13[[#This Row],[Steps]]),G682-Table13[[#This Row],[Steps]]),
))</f>
        <v>3</v>
      </c>
      <c r="F683">
        <f>_xlfn.LET(_xlpm.dir,Table13[[#This Row],[Direction]],
IF(_xlpm.dir="R",
    IF(G682+Table13[[#This Row],[Steps]]&gt;99,(G682+Table13[[#This Row],[Steps]])-100,G682+Table13[[#This Row],[Steps]]),
))</f>
        <v>0</v>
      </c>
      <c r="G683">
        <f>IF(Table13[[#This Row],[New Pos L]]&lt;&gt;0,Table13[[#This Row],[New Pos L]],Table13[[#This Row],[New Pos R]])</f>
        <v>3</v>
      </c>
      <c r="H683">
        <f>IF(AND(Table13[[#This Row],[Direction]]="L",Table13[[#This Row],[Steps]]&gt;G682,G682&lt;&gt;0),1,0)</f>
        <v>0</v>
      </c>
      <c r="I683">
        <f>IF(AND(Table13[[#This Row],[Direction]]="R",(G682+Table13[[#This Row],[Steps]])&gt;100),1,0)</f>
        <v>0</v>
      </c>
      <c r="J683">
        <f>IF(Table13[[#This Row],[POS]]=0,1,0)</f>
        <v>0</v>
      </c>
      <c r="K683">
        <f>SUM(Table13[[#This Row],[prefix]],Table13[[#This Row],[Past zero L]],Table13[[#This Row],[Past Zero R]],Table13[[#This Row],[Is Zero]])</f>
        <v>0</v>
      </c>
    </row>
    <row r="684" spans="1:11" ht="16" x14ac:dyDescent="0.2">
      <c r="A684" s="1" t="s">
        <v>60</v>
      </c>
      <c r="B684" t="str">
        <f>LEFT(Table13[[#This Row],[Input]],1)</f>
        <v>R</v>
      </c>
      <c r="C684">
        <f>_xlfn.LET(_xlpm.steps,SUBSTITUTE(Table13[[#This Row],[Input]],Table13[[#This Row],[Direction]],""),VALUE(IF(LEN(_xlpm.steps)&gt;2,RIGHT(_xlpm.steps,2),_xlpm.steps)))</f>
        <v>86</v>
      </c>
      <c r="D684">
        <f>_xlfn.LET(_xlpm.steps,SUBSTITUTE(Table13[[#This Row],[Input]],Table13[[#This Row],[Direction]],""),VALUE(IF(LEN(_xlpm.steps)&gt;2,LEFT(_xlpm.steps,LEN(_xlpm.steps)-2),0)))</f>
        <v>0</v>
      </c>
      <c r="E684">
        <f>_xlfn.LET(_xlpm.dir,Table13[[#This Row],[Direction]],
IF(_xlpm.dir="L",
    IF(G683-Table13[[#This Row],[Steps]]&lt;0,100+(G683-Table13[[#This Row],[Steps]]),G683-Table13[[#This Row],[Steps]]),
))</f>
        <v>0</v>
      </c>
      <c r="F684">
        <f>_xlfn.LET(_xlpm.dir,Table13[[#This Row],[Direction]],
IF(_xlpm.dir="R",
    IF(G683+Table13[[#This Row],[Steps]]&gt;99,(G683+Table13[[#This Row],[Steps]])-100,G683+Table13[[#This Row],[Steps]]),
))</f>
        <v>89</v>
      </c>
      <c r="G684">
        <f>IF(Table13[[#This Row],[New Pos L]]&lt;&gt;0,Table13[[#This Row],[New Pos L]],Table13[[#This Row],[New Pos R]])</f>
        <v>89</v>
      </c>
      <c r="H684">
        <f>IF(AND(Table13[[#This Row],[Direction]]="L",Table13[[#This Row],[Steps]]&gt;G683,G683&lt;&gt;0),1,0)</f>
        <v>0</v>
      </c>
      <c r="I684">
        <f>IF(AND(Table13[[#This Row],[Direction]]="R",(G683+Table13[[#This Row],[Steps]])&gt;100),1,0)</f>
        <v>0</v>
      </c>
      <c r="J684">
        <f>IF(Table13[[#This Row],[POS]]=0,1,0)</f>
        <v>0</v>
      </c>
      <c r="K684">
        <f>SUM(Table13[[#This Row],[prefix]],Table13[[#This Row],[Past zero L]],Table13[[#This Row],[Past Zero R]],Table13[[#This Row],[Is Zero]])</f>
        <v>0</v>
      </c>
    </row>
    <row r="685" spans="1:11" ht="16" x14ac:dyDescent="0.2">
      <c r="A685" s="1" t="s">
        <v>161</v>
      </c>
      <c r="B685" t="str">
        <f>LEFT(Table13[[#This Row],[Input]],1)</f>
        <v>R</v>
      </c>
      <c r="C685">
        <f>_xlfn.LET(_xlpm.steps,SUBSTITUTE(Table13[[#This Row],[Input]],Table13[[#This Row],[Direction]],""),VALUE(IF(LEN(_xlpm.steps)&gt;2,RIGHT(_xlpm.steps,2),_xlpm.steps)))</f>
        <v>76</v>
      </c>
      <c r="D685">
        <f>_xlfn.LET(_xlpm.steps,SUBSTITUTE(Table13[[#This Row],[Input]],Table13[[#This Row],[Direction]],""),VALUE(IF(LEN(_xlpm.steps)&gt;2,LEFT(_xlpm.steps,LEN(_xlpm.steps)-2),0)))</f>
        <v>0</v>
      </c>
      <c r="E685">
        <f>_xlfn.LET(_xlpm.dir,Table13[[#This Row],[Direction]],
IF(_xlpm.dir="L",
    IF(G684-Table13[[#This Row],[Steps]]&lt;0,100+(G684-Table13[[#This Row],[Steps]]),G684-Table13[[#This Row],[Steps]]),
))</f>
        <v>0</v>
      </c>
      <c r="F685">
        <f>_xlfn.LET(_xlpm.dir,Table13[[#This Row],[Direction]],
IF(_xlpm.dir="R",
    IF(G684+Table13[[#This Row],[Steps]]&gt;99,(G684+Table13[[#This Row],[Steps]])-100,G684+Table13[[#This Row],[Steps]]),
))</f>
        <v>65</v>
      </c>
      <c r="G685">
        <f>IF(Table13[[#This Row],[New Pos L]]&lt;&gt;0,Table13[[#This Row],[New Pos L]],Table13[[#This Row],[New Pos R]])</f>
        <v>65</v>
      </c>
      <c r="H685">
        <f>IF(AND(Table13[[#This Row],[Direction]]="L",Table13[[#This Row],[Steps]]&gt;G684,G684&lt;&gt;0),1,0)</f>
        <v>0</v>
      </c>
      <c r="I685">
        <f>IF(AND(Table13[[#This Row],[Direction]]="R",(G684+Table13[[#This Row],[Steps]])&gt;100),1,0)</f>
        <v>1</v>
      </c>
      <c r="J685">
        <f>IF(Table13[[#This Row],[POS]]=0,1,0)</f>
        <v>0</v>
      </c>
      <c r="K685">
        <f>SUM(Table13[[#This Row],[prefix]],Table13[[#This Row],[Past zero L]],Table13[[#This Row],[Past Zero R]],Table13[[#This Row],[Is Zero]])</f>
        <v>1</v>
      </c>
    </row>
    <row r="686" spans="1:11" ht="16" x14ac:dyDescent="0.2">
      <c r="A686" s="1" t="s">
        <v>116</v>
      </c>
      <c r="B686" t="str">
        <f>LEFT(Table13[[#This Row],[Input]],1)</f>
        <v>L</v>
      </c>
      <c r="C686">
        <f>_xlfn.LET(_xlpm.steps,SUBSTITUTE(Table13[[#This Row],[Input]],Table13[[#This Row],[Direction]],""),VALUE(IF(LEN(_xlpm.steps)&gt;2,RIGHT(_xlpm.steps,2),_xlpm.steps)))</f>
        <v>58</v>
      </c>
      <c r="D686">
        <f>_xlfn.LET(_xlpm.steps,SUBSTITUTE(Table13[[#This Row],[Input]],Table13[[#This Row],[Direction]],""),VALUE(IF(LEN(_xlpm.steps)&gt;2,LEFT(_xlpm.steps,LEN(_xlpm.steps)-2),0)))</f>
        <v>0</v>
      </c>
      <c r="E686">
        <f>_xlfn.LET(_xlpm.dir,Table13[[#This Row],[Direction]],
IF(_xlpm.dir="L",
    IF(G685-Table13[[#This Row],[Steps]]&lt;0,100+(G685-Table13[[#This Row],[Steps]]),G685-Table13[[#This Row],[Steps]]),
))</f>
        <v>7</v>
      </c>
      <c r="F686">
        <f>_xlfn.LET(_xlpm.dir,Table13[[#This Row],[Direction]],
IF(_xlpm.dir="R",
    IF(G685+Table13[[#This Row],[Steps]]&gt;99,(G685+Table13[[#This Row],[Steps]])-100,G685+Table13[[#This Row],[Steps]]),
))</f>
        <v>0</v>
      </c>
      <c r="G686">
        <f>IF(Table13[[#This Row],[New Pos L]]&lt;&gt;0,Table13[[#This Row],[New Pos L]],Table13[[#This Row],[New Pos R]])</f>
        <v>7</v>
      </c>
      <c r="H686">
        <f>IF(AND(Table13[[#This Row],[Direction]]="L",Table13[[#This Row],[Steps]]&gt;G685,G685&lt;&gt;0),1,0)</f>
        <v>0</v>
      </c>
      <c r="I686">
        <f>IF(AND(Table13[[#This Row],[Direction]]="R",(G685+Table13[[#This Row],[Steps]])&gt;100),1,0)</f>
        <v>0</v>
      </c>
      <c r="J686">
        <f>IF(Table13[[#This Row],[POS]]=0,1,0)</f>
        <v>0</v>
      </c>
      <c r="K686">
        <f>SUM(Table13[[#This Row],[prefix]],Table13[[#This Row],[Past zero L]],Table13[[#This Row],[Past Zero R]],Table13[[#This Row],[Is Zero]])</f>
        <v>0</v>
      </c>
    </row>
    <row r="687" spans="1:11" ht="16" x14ac:dyDescent="0.2">
      <c r="A687" s="1" t="s">
        <v>41</v>
      </c>
      <c r="B687" t="str">
        <f>LEFT(Table13[[#This Row],[Input]],1)</f>
        <v>L</v>
      </c>
      <c r="C687">
        <f>_xlfn.LET(_xlpm.steps,SUBSTITUTE(Table13[[#This Row],[Input]],Table13[[#This Row],[Direction]],""),VALUE(IF(LEN(_xlpm.steps)&gt;2,RIGHT(_xlpm.steps,2),_xlpm.steps)))</f>
        <v>7</v>
      </c>
      <c r="D687">
        <f>_xlfn.LET(_xlpm.steps,SUBSTITUTE(Table13[[#This Row],[Input]],Table13[[#This Row],[Direction]],""),VALUE(IF(LEN(_xlpm.steps)&gt;2,LEFT(_xlpm.steps,LEN(_xlpm.steps)-2),0)))</f>
        <v>0</v>
      </c>
      <c r="E687">
        <f>_xlfn.LET(_xlpm.dir,Table13[[#This Row],[Direction]],
IF(_xlpm.dir="L",
    IF(G686-Table13[[#This Row],[Steps]]&lt;0,100+(G686-Table13[[#This Row],[Steps]]),G686-Table13[[#This Row],[Steps]]),
))</f>
        <v>0</v>
      </c>
      <c r="F687">
        <f>_xlfn.LET(_xlpm.dir,Table13[[#This Row],[Direction]],
IF(_xlpm.dir="R",
    IF(G686+Table13[[#This Row],[Steps]]&gt;99,(G686+Table13[[#This Row],[Steps]])-100,G686+Table13[[#This Row],[Steps]]),
))</f>
        <v>0</v>
      </c>
      <c r="G687">
        <f>IF(Table13[[#This Row],[New Pos L]]&lt;&gt;0,Table13[[#This Row],[New Pos L]],Table13[[#This Row],[New Pos R]])</f>
        <v>0</v>
      </c>
      <c r="H687">
        <f>IF(AND(Table13[[#This Row],[Direction]]="L",Table13[[#This Row],[Steps]]&gt;G686,G686&lt;&gt;0),1,0)</f>
        <v>0</v>
      </c>
      <c r="I687">
        <f>IF(AND(Table13[[#This Row],[Direction]]="R",(G686+Table13[[#This Row],[Steps]])&gt;100),1,0)</f>
        <v>0</v>
      </c>
      <c r="J687">
        <f>IF(Table13[[#This Row],[POS]]=0,1,0)</f>
        <v>1</v>
      </c>
      <c r="K687">
        <f>SUM(Table13[[#This Row],[prefix]],Table13[[#This Row],[Past zero L]],Table13[[#This Row],[Past Zero R]],Table13[[#This Row],[Is Zero]])</f>
        <v>1</v>
      </c>
    </row>
    <row r="688" spans="1:11" ht="16" x14ac:dyDescent="0.2">
      <c r="A688" s="1" t="s">
        <v>194</v>
      </c>
      <c r="B688" t="str">
        <f>LEFT(Table13[[#This Row],[Input]],1)</f>
        <v>R</v>
      </c>
      <c r="C688">
        <f>_xlfn.LET(_xlpm.steps,SUBSTITUTE(Table13[[#This Row],[Input]],Table13[[#This Row],[Direction]],""),VALUE(IF(LEN(_xlpm.steps)&gt;2,RIGHT(_xlpm.steps,2),_xlpm.steps)))</f>
        <v>51</v>
      </c>
      <c r="D688">
        <f>_xlfn.LET(_xlpm.steps,SUBSTITUTE(Table13[[#This Row],[Input]],Table13[[#This Row],[Direction]],""),VALUE(IF(LEN(_xlpm.steps)&gt;2,LEFT(_xlpm.steps,LEN(_xlpm.steps)-2),0)))</f>
        <v>0</v>
      </c>
      <c r="E688">
        <f>_xlfn.LET(_xlpm.dir,Table13[[#This Row],[Direction]],
IF(_xlpm.dir="L",
    IF(G687-Table13[[#This Row],[Steps]]&lt;0,100+(G687-Table13[[#This Row],[Steps]]),G687-Table13[[#This Row],[Steps]]),
))</f>
        <v>0</v>
      </c>
      <c r="F688">
        <f>_xlfn.LET(_xlpm.dir,Table13[[#This Row],[Direction]],
IF(_xlpm.dir="R",
    IF(G687+Table13[[#This Row],[Steps]]&gt;99,(G687+Table13[[#This Row],[Steps]])-100,G687+Table13[[#This Row],[Steps]]),
))</f>
        <v>51</v>
      </c>
      <c r="G688">
        <f>IF(Table13[[#This Row],[New Pos L]]&lt;&gt;0,Table13[[#This Row],[New Pos L]],Table13[[#This Row],[New Pos R]])</f>
        <v>51</v>
      </c>
      <c r="H688">
        <f>IF(AND(Table13[[#This Row],[Direction]]="L",Table13[[#This Row],[Steps]]&gt;G687,G687&lt;&gt;0),1,0)</f>
        <v>0</v>
      </c>
      <c r="I688">
        <f>IF(AND(Table13[[#This Row],[Direction]]="R",(G687+Table13[[#This Row],[Steps]])&gt;100),1,0)</f>
        <v>0</v>
      </c>
      <c r="J688">
        <f>IF(Table13[[#This Row],[POS]]=0,1,0)</f>
        <v>0</v>
      </c>
      <c r="K688">
        <f>SUM(Table13[[#This Row],[prefix]],Table13[[#This Row],[Past zero L]],Table13[[#This Row],[Past Zero R]],Table13[[#This Row],[Is Zero]])</f>
        <v>0</v>
      </c>
    </row>
    <row r="689" spans="1:11" ht="16" x14ac:dyDescent="0.2">
      <c r="A689" s="1" t="s">
        <v>119</v>
      </c>
      <c r="B689" t="str">
        <f>LEFT(Table13[[#This Row],[Input]],1)</f>
        <v>L</v>
      </c>
      <c r="C689">
        <f>_xlfn.LET(_xlpm.steps,SUBSTITUTE(Table13[[#This Row],[Input]],Table13[[#This Row],[Direction]],""),VALUE(IF(LEN(_xlpm.steps)&gt;2,RIGHT(_xlpm.steps,2),_xlpm.steps)))</f>
        <v>77</v>
      </c>
      <c r="D689">
        <f>_xlfn.LET(_xlpm.steps,SUBSTITUTE(Table13[[#This Row],[Input]],Table13[[#This Row],[Direction]],""),VALUE(IF(LEN(_xlpm.steps)&gt;2,LEFT(_xlpm.steps,LEN(_xlpm.steps)-2),0)))</f>
        <v>0</v>
      </c>
      <c r="E689">
        <f>_xlfn.LET(_xlpm.dir,Table13[[#This Row],[Direction]],
IF(_xlpm.dir="L",
    IF(G688-Table13[[#This Row],[Steps]]&lt;0,100+(G688-Table13[[#This Row],[Steps]]),G688-Table13[[#This Row],[Steps]]),
))</f>
        <v>74</v>
      </c>
      <c r="F689">
        <f>_xlfn.LET(_xlpm.dir,Table13[[#This Row],[Direction]],
IF(_xlpm.dir="R",
    IF(G688+Table13[[#This Row],[Steps]]&gt;99,(G688+Table13[[#This Row],[Steps]])-100,G688+Table13[[#This Row],[Steps]]),
))</f>
        <v>0</v>
      </c>
      <c r="G689">
        <f>IF(Table13[[#This Row],[New Pos L]]&lt;&gt;0,Table13[[#This Row],[New Pos L]],Table13[[#This Row],[New Pos R]])</f>
        <v>74</v>
      </c>
      <c r="H689">
        <f>IF(AND(Table13[[#This Row],[Direction]]="L",Table13[[#This Row],[Steps]]&gt;G688,G688&lt;&gt;0),1,0)</f>
        <v>1</v>
      </c>
      <c r="I689">
        <f>IF(AND(Table13[[#This Row],[Direction]]="R",(G688+Table13[[#This Row],[Steps]])&gt;100),1,0)</f>
        <v>0</v>
      </c>
      <c r="J689">
        <f>IF(Table13[[#This Row],[POS]]=0,1,0)</f>
        <v>0</v>
      </c>
      <c r="K689">
        <f>SUM(Table13[[#This Row],[prefix]],Table13[[#This Row],[Past zero L]],Table13[[#This Row],[Past Zero R]],Table13[[#This Row],[Is Zero]])</f>
        <v>1</v>
      </c>
    </row>
    <row r="690" spans="1:11" ht="16" x14ac:dyDescent="0.2">
      <c r="A690" s="1" t="s">
        <v>297</v>
      </c>
      <c r="B690" t="str">
        <f>LEFT(Table13[[#This Row],[Input]],1)</f>
        <v>R</v>
      </c>
      <c r="C690">
        <f>_xlfn.LET(_xlpm.steps,SUBSTITUTE(Table13[[#This Row],[Input]],Table13[[#This Row],[Direction]],""),VALUE(IF(LEN(_xlpm.steps)&gt;2,RIGHT(_xlpm.steps,2),_xlpm.steps)))</f>
        <v>30</v>
      </c>
      <c r="D690">
        <f>_xlfn.LET(_xlpm.steps,SUBSTITUTE(Table13[[#This Row],[Input]],Table13[[#This Row],[Direction]],""),VALUE(IF(LEN(_xlpm.steps)&gt;2,LEFT(_xlpm.steps,LEN(_xlpm.steps)-2),0)))</f>
        <v>2</v>
      </c>
      <c r="E690">
        <f>_xlfn.LET(_xlpm.dir,Table13[[#This Row],[Direction]],
IF(_xlpm.dir="L",
    IF(G689-Table13[[#This Row],[Steps]]&lt;0,100+(G689-Table13[[#This Row],[Steps]]),G689-Table13[[#This Row],[Steps]]),
))</f>
        <v>0</v>
      </c>
      <c r="F690">
        <f>_xlfn.LET(_xlpm.dir,Table13[[#This Row],[Direction]],
IF(_xlpm.dir="R",
    IF(G689+Table13[[#This Row],[Steps]]&gt;99,(G689+Table13[[#This Row],[Steps]])-100,G689+Table13[[#This Row],[Steps]]),
))</f>
        <v>4</v>
      </c>
      <c r="G690">
        <f>IF(Table13[[#This Row],[New Pos L]]&lt;&gt;0,Table13[[#This Row],[New Pos L]],Table13[[#This Row],[New Pos R]])</f>
        <v>4</v>
      </c>
      <c r="H690">
        <f>IF(AND(Table13[[#This Row],[Direction]]="L",Table13[[#This Row],[Steps]]&gt;G689,G689&lt;&gt;0),1,0)</f>
        <v>0</v>
      </c>
      <c r="I690">
        <f>IF(AND(Table13[[#This Row],[Direction]]="R",(G689+Table13[[#This Row],[Steps]])&gt;100),1,0)</f>
        <v>1</v>
      </c>
      <c r="J690">
        <f>IF(Table13[[#This Row],[POS]]=0,1,0)</f>
        <v>0</v>
      </c>
      <c r="K690">
        <f>SUM(Table13[[#This Row],[prefix]],Table13[[#This Row],[Past zero L]],Table13[[#This Row],[Past Zero R]],Table13[[#This Row],[Is Zero]])</f>
        <v>3</v>
      </c>
    </row>
    <row r="691" spans="1:11" ht="16" x14ac:dyDescent="0.2">
      <c r="A691" s="1" t="s">
        <v>288</v>
      </c>
      <c r="B691" t="str">
        <f>LEFT(Table13[[#This Row],[Input]],1)</f>
        <v>R</v>
      </c>
      <c r="C691">
        <f>_xlfn.LET(_xlpm.steps,SUBSTITUTE(Table13[[#This Row],[Input]],Table13[[#This Row],[Direction]],""),VALUE(IF(LEN(_xlpm.steps)&gt;2,RIGHT(_xlpm.steps,2),_xlpm.steps)))</f>
        <v>25</v>
      </c>
      <c r="D691">
        <f>_xlfn.LET(_xlpm.steps,SUBSTITUTE(Table13[[#This Row],[Input]],Table13[[#This Row],[Direction]],""),VALUE(IF(LEN(_xlpm.steps)&gt;2,LEFT(_xlpm.steps,LEN(_xlpm.steps)-2),0)))</f>
        <v>0</v>
      </c>
      <c r="E691">
        <f>_xlfn.LET(_xlpm.dir,Table13[[#This Row],[Direction]],
IF(_xlpm.dir="L",
    IF(G690-Table13[[#This Row],[Steps]]&lt;0,100+(G690-Table13[[#This Row],[Steps]]),G690-Table13[[#This Row],[Steps]]),
))</f>
        <v>0</v>
      </c>
      <c r="F691">
        <f>_xlfn.LET(_xlpm.dir,Table13[[#This Row],[Direction]],
IF(_xlpm.dir="R",
    IF(G690+Table13[[#This Row],[Steps]]&gt;99,(G690+Table13[[#This Row],[Steps]])-100,G690+Table13[[#This Row],[Steps]]),
))</f>
        <v>29</v>
      </c>
      <c r="G691">
        <f>IF(Table13[[#This Row],[New Pos L]]&lt;&gt;0,Table13[[#This Row],[New Pos L]],Table13[[#This Row],[New Pos R]])</f>
        <v>29</v>
      </c>
      <c r="H691">
        <f>IF(AND(Table13[[#This Row],[Direction]]="L",Table13[[#This Row],[Steps]]&gt;G690,G690&lt;&gt;0),1,0)</f>
        <v>0</v>
      </c>
      <c r="I691">
        <f>IF(AND(Table13[[#This Row],[Direction]]="R",(G690+Table13[[#This Row],[Steps]])&gt;100),1,0)</f>
        <v>0</v>
      </c>
      <c r="J691">
        <f>IF(Table13[[#This Row],[POS]]=0,1,0)</f>
        <v>0</v>
      </c>
      <c r="K691">
        <f>SUM(Table13[[#This Row],[prefix]],Table13[[#This Row],[Past zero L]],Table13[[#This Row],[Past Zero R]],Table13[[#This Row],[Is Zero]])</f>
        <v>0</v>
      </c>
    </row>
    <row r="692" spans="1:11" ht="16" x14ac:dyDescent="0.2">
      <c r="A692" s="1" t="s">
        <v>115</v>
      </c>
      <c r="B692" t="str">
        <f>LEFT(Table13[[#This Row],[Input]],1)</f>
        <v>L</v>
      </c>
      <c r="C692">
        <f>_xlfn.LET(_xlpm.steps,SUBSTITUTE(Table13[[#This Row],[Input]],Table13[[#This Row],[Direction]],""),VALUE(IF(LEN(_xlpm.steps)&gt;2,RIGHT(_xlpm.steps,2),_xlpm.steps)))</f>
        <v>29</v>
      </c>
      <c r="D692">
        <f>_xlfn.LET(_xlpm.steps,SUBSTITUTE(Table13[[#This Row],[Input]],Table13[[#This Row],[Direction]],""),VALUE(IF(LEN(_xlpm.steps)&gt;2,LEFT(_xlpm.steps,LEN(_xlpm.steps)-2),0)))</f>
        <v>0</v>
      </c>
      <c r="E692">
        <f>_xlfn.LET(_xlpm.dir,Table13[[#This Row],[Direction]],
IF(_xlpm.dir="L",
    IF(G691-Table13[[#This Row],[Steps]]&lt;0,100+(G691-Table13[[#This Row],[Steps]]),G691-Table13[[#This Row],[Steps]]),
))</f>
        <v>0</v>
      </c>
      <c r="F692">
        <f>_xlfn.LET(_xlpm.dir,Table13[[#This Row],[Direction]],
IF(_xlpm.dir="R",
    IF(G691+Table13[[#This Row],[Steps]]&gt;99,(G691+Table13[[#This Row],[Steps]])-100,G691+Table13[[#This Row],[Steps]]),
))</f>
        <v>0</v>
      </c>
      <c r="G692">
        <f>IF(Table13[[#This Row],[New Pos L]]&lt;&gt;0,Table13[[#This Row],[New Pos L]],Table13[[#This Row],[New Pos R]])</f>
        <v>0</v>
      </c>
      <c r="H692">
        <f>IF(AND(Table13[[#This Row],[Direction]]="L",Table13[[#This Row],[Steps]]&gt;G691,G691&lt;&gt;0),1,0)</f>
        <v>0</v>
      </c>
      <c r="I692">
        <f>IF(AND(Table13[[#This Row],[Direction]]="R",(G691+Table13[[#This Row],[Steps]])&gt;100),1,0)</f>
        <v>0</v>
      </c>
      <c r="J692">
        <f>IF(Table13[[#This Row],[POS]]=0,1,0)</f>
        <v>1</v>
      </c>
      <c r="K692">
        <f>SUM(Table13[[#This Row],[prefix]],Table13[[#This Row],[Past zero L]],Table13[[#This Row],[Past Zero R]],Table13[[#This Row],[Is Zero]])</f>
        <v>1</v>
      </c>
    </row>
    <row r="693" spans="1:11" ht="16" x14ac:dyDescent="0.2">
      <c r="A693" s="1" t="s">
        <v>59</v>
      </c>
      <c r="B693" t="str">
        <f>LEFT(Table13[[#This Row],[Input]],1)</f>
        <v>L</v>
      </c>
      <c r="C693">
        <f>_xlfn.LET(_xlpm.steps,SUBSTITUTE(Table13[[#This Row],[Input]],Table13[[#This Row],[Direction]],""),VALUE(IF(LEN(_xlpm.steps)&gt;2,RIGHT(_xlpm.steps,2),_xlpm.steps)))</f>
        <v>6</v>
      </c>
      <c r="D693">
        <f>_xlfn.LET(_xlpm.steps,SUBSTITUTE(Table13[[#This Row],[Input]],Table13[[#This Row],[Direction]],""),VALUE(IF(LEN(_xlpm.steps)&gt;2,LEFT(_xlpm.steps,LEN(_xlpm.steps)-2),0)))</f>
        <v>0</v>
      </c>
      <c r="E693">
        <f>_xlfn.LET(_xlpm.dir,Table13[[#This Row],[Direction]],
IF(_xlpm.dir="L",
    IF(G692-Table13[[#This Row],[Steps]]&lt;0,100+(G692-Table13[[#This Row],[Steps]]),G692-Table13[[#This Row],[Steps]]),
))</f>
        <v>94</v>
      </c>
      <c r="F693">
        <f>_xlfn.LET(_xlpm.dir,Table13[[#This Row],[Direction]],
IF(_xlpm.dir="R",
    IF(G692+Table13[[#This Row],[Steps]]&gt;99,(G692+Table13[[#This Row],[Steps]])-100,G692+Table13[[#This Row],[Steps]]),
))</f>
        <v>0</v>
      </c>
      <c r="G693">
        <f>IF(Table13[[#This Row],[New Pos L]]&lt;&gt;0,Table13[[#This Row],[New Pos L]],Table13[[#This Row],[New Pos R]])</f>
        <v>94</v>
      </c>
      <c r="H693">
        <f>IF(AND(Table13[[#This Row],[Direction]]="L",Table13[[#This Row],[Steps]]&gt;G692,G692&lt;&gt;0),1,0)</f>
        <v>0</v>
      </c>
      <c r="I693">
        <f>IF(AND(Table13[[#This Row],[Direction]]="R",(G692+Table13[[#This Row],[Steps]])&gt;100),1,0)</f>
        <v>0</v>
      </c>
      <c r="J693">
        <f>IF(Table13[[#This Row],[POS]]=0,1,0)</f>
        <v>0</v>
      </c>
      <c r="K693">
        <f>SUM(Table13[[#This Row],[prefix]],Table13[[#This Row],[Past zero L]],Table13[[#This Row],[Past Zero R]],Table13[[#This Row],[Is Zero]])</f>
        <v>0</v>
      </c>
    </row>
    <row r="694" spans="1:11" ht="16" x14ac:dyDescent="0.2">
      <c r="A694" s="1" t="s">
        <v>26</v>
      </c>
      <c r="B694" t="str">
        <f>LEFT(Table13[[#This Row],[Input]],1)</f>
        <v>R</v>
      </c>
      <c r="C694">
        <f>_xlfn.LET(_xlpm.steps,SUBSTITUTE(Table13[[#This Row],[Input]],Table13[[#This Row],[Direction]],""),VALUE(IF(LEN(_xlpm.steps)&gt;2,RIGHT(_xlpm.steps,2),_xlpm.steps)))</f>
        <v>6</v>
      </c>
      <c r="D694">
        <f>_xlfn.LET(_xlpm.steps,SUBSTITUTE(Table13[[#This Row],[Input]],Table13[[#This Row],[Direction]],""),VALUE(IF(LEN(_xlpm.steps)&gt;2,LEFT(_xlpm.steps,LEN(_xlpm.steps)-2),0)))</f>
        <v>0</v>
      </c>
      <c r="E694">
        <f>_xlfn.LET(_xlpm.dir,Table13[[#This Row],[Direction]],
IF(_xlpm.dir="L",
    IF(G693-Table13[[#This Row],[Steps]]&lt;0,100+(G693-Table13[[#This Row],[Steps]]),G693-Table13[[#This Row],[Steps]]),
))</f>
        <v>0</v>
      </c>
      <c r="F694">
        <f>_xlfn.LET(_xlpm.dir,Table13[[#This Row],[Direction]],
IF(_xlpm.dir="R",
    IF(G693+Table13[[#This Row],[Steps]]&gt;99,(G693+Table13[[#This Row],[Steps]])-100,G693+Table13[[#This Row],[Steps]]),
))</f>
        <v>0</v>
      </c>
      <c r="G694">
        <f>IF(Table13[[#This Row],[New Pos L]]&lt;&gt;0,Table13[[#This Row],[New Pos L]],Table13[[#This Row],[New Pos R]])</f>
        <v>0</v>
      </c>
      <c r="H694">
        <f>IF(AND(Table13[[#This Row],[Direction]]="L",Table13[[#This Row],[Steps]]&gt;G693,G693&lt;&gt;0),1,0)</f>
        <v>0</v>
      </c>
      <c r="I694">
        <f>IF(AND(Table13[[#This Row],[Direction]]="R",(G693+Table13[[#This Row],[Steps]])&gt;100),1,0)</f>
        <v>0</v>
      </c>
      <c r="J694">
        <f>IF(Table13[[#This Row],[POS]]=0,1,0)</f>
        <v>1</v>
      </c>
      <c r="K694">
        <f>SUM(Table13[[#This Row],[prefix]],Table13[[#This Row],[Past zero L]],Table13[[#This Row],[Past Zero R]],Table13[[#This Row],[Is Zero]])</f>
        <v>1</v>
      </c>
    </row>
    <row r="695" spans="1:11" ht="16" x14ac:dyDescent="0.2">
      <c r="A695" s="1" t="s">
        <v>195</v>
      </c>
      <c r="B695" t="str">
        <f>LEFT(Table13[[#This Row],[Input]],1)</f>
        <v>R</v>
      </c>
      <c r="C695">
        <f>_xlfn.LET(_xlpm.steps,SUBSTITUTE(Table13[[#This Row],[Input]],Table13[[#This Row],[Direction]],""),VALUE(IF(LEN(_xlpm.steps)&gt;2,RIGHT(_xlpm.steps,2),_xlpm.steps)))</f>
        <v>40</v>
      </c>
      <c r="D695">
        <f>_xlfn.LET(_xlpm.steps,SUBSTITUTE(Table13[[#This Row],[Input]],Table13[[#This Row],[Direction]],""),VALUE(IF(LEN(_xlpm.steps)&gt;2,LEFT(_xlpm.steps,LEN(_xlpm.steps)-2),0)))</f>
        <v>0</v>
      </c>
      <c r="E695">
        <f>_xlfn.LET(_xlpm.dir,Table13[[#This Row],[Direction]],
IF(_xlpm.dir="L",
    IF(G694-Table13[[#This Row],[Steps]]&lt;0,100+(G694-Table13[[#This Row],[Steps]]),G694-Table13[[#This Row],[Steps]]),
))</f>
        <v>0</v>
      </c>
      <c r="F695">
        <f>_xlfn.LET(_xlpm.dir,Table13[[#This Row],[Direction]],
IF(_xlpm.dir="R",
    IF(G694+Table13[[#This Row],[Steps]]&gt;99,(G694+Table13[[#This Row],[Steps]])-100,G694+Table13[[#This Row],[Steps]]),
))</f>
        <v>40</v>
      </c>
      <c r="G695">
        <f>IF(Table13[[#This Row],[New Pos L]]&lt;&gt;0,Table13[[#This Row],[New Pos L]],Table13[[#This Row],[New Pos R]])</f>
        <v>40</v>
      </c>
      <c r="H695">
        <f>IF(AND(Table13[[#This Row],[Direction]]="L",Table13[[#This Row],[Steps]]&gt;G694,G694&lt;&gt;0),1,0)</f>
        <v>0</v>
      </c>
      <c r="I695">
        <f>IF(AND(Table13[[#This Row],[Direction]]="R",(G694+Table13[[#This Row],[Steps]])&gt;100),1,0)</f>
        <v>0</v>
      </c>
      <c r="J695">
        <f>IF(Table13[[#This Row],[POS]]=0,1,0)</f>
        <v>0</v>
      </c>
      <c r="K695">
        <f>SUM(Table13[[#This Row],[prefix]],Table13[[#This Row],[Past zero L]],Table13[[#This Row],[Past Zero R]],Table13[[#This Row],[Is Zero]])</f>
        <v>0</v>
      </c>
    </row>
    <row r="696" spans="1:11" ht="16" x14ac:dyDescent="0.2">
      <c r="A696" s="1" t="s">
        <v>298</v>
      </c>
      <c r="B696" t="str">
        <f>LEFT(Table13[[#This Row],[Input]],1)</f>
        <v>L</v>
      </c>
      <c r="C696">
        <f>_xlfn.LET(_xlpm.steps,SUBSTITUTE(Table13[[#This Row],[Input]],Table13[[#This Row],[Direction]],""),VALUE(IF(LEN(_xlpm.steps)&gt;2,RIGHT(_xlpm.steps,2),_xlpm.steps)))</f>
        <v>88</v>
      </c>
      <c r="D696">
        <f>_xlfn.LET(_xlpm.steps,SUBSTITUTE(Table13[[#This Row],[Input]],Table13[[#This Row],[Direction]],""),VALUE(IF(LEN(_xlpm.steps)&gt;2,LEFT(_xlpm.steps,LEN(_xlpm.steps)-2),0)))</f>
        <v>1</v>
      </c>
      <c r="E696">
        <f>_xlfn.LET(_xlpm.dir,Table13[[#This Row],[Direction]],
IF(_xlpm.dir="L",
    IF(G695-Table13[[#This Row],[Steps]]&lt;0,100+(G695-Table13[[#This Row],[Steps]]),G695-Table13[[#This Row],[Steps]]),
))</f>
        <v>52</v>
      </c>
      <c r="F696">
        <f>_xlfn.LET(_xlpm.dir,Table13[[#This Row],[Direction]],
IF(_xlpm.dir="R",
    IF(G695+Table13[[#This Row],[Steps]]&gt;99,(G695+Table13[[#This Row],[Steps]])-100,G695+Table13[[#This Row],[Steps]]),
))</f>
        <v>0</v>
      </c>
      <c r="G696">
        <f>IF(Table13[[#This Row],[New Pos L]]&lt;&gt;0,Table13[[#This Row],[New Pos L]],Table13[[#This Row],[New Pos R]])</f>
        <v>52</v>
      </c>
      <c r="H696">
        <f>IF(AND(Table13[[#This Row],[Direction]]="L",Table13[[#This Row],[Steps]]&gt;G695,G695&lt;&gt;0),1,0)</f>
        <v>1</v>
      </c>
      <c r="I696">
        <f>IF(AND(Table13[[#This Row],[Direction]]="R",(G695+Table13[[#This Row],[Steps]])&gt;100),1,0)</f>
        <v>0</v>
      </c>
      <c r="J696">
        <f>IF(Table13[[#This Row],[POS]]=0,1,0)</f>
        <v>0</v>
      </c>
      <c r="K696">
        <f>SUM(Table13[[#This Row],[prefix]],Table13[[#This Row],[Past zero L]],Table13[[#This Row],[Past Zero R]],Table13[[#This Row],[Is Zero]])</f>
        <v>2</v>
      </c>
    </row>
    <row r="697" spans="1:11" ht="16" x14ac:dyDescent="0.2">
      <c r="A697" s="1" t="s">
        <v>206</v>
      </c>
      <c r="B697" t="str">
        <f>LEFT(Table13[[#This Row],[Input]],1)</f>
        <v>R</v>
      </c>
      <c r="C697">
        <f>_xlfn.LET(_xlpm.steps,SUBSTITUTE(Table13[[#This Row],[Input]],Table13[[#This Row],[Direction]],""),VALUE(IF(LEN(_xlpm.steps)&gt;2,RIGHT(_xlpm.steps,2),_xlpm.steps)))</f>
        <v>62</v>
      </c>
      <c r="D697">
        <f>_xlfn.LET(_xlpm.steps,SUBSTITUTE(Table13[[#This Row],[Input]],Table13[[#This Row],[Direction]],""),VALUE(IF(LEN(_xlpm.steps)&gt;2,LEFT(_xlpm.steps,LEN(_xlpm.steps)-2),0)))</f>
        <v>0</v>
      </c>
      <c r="E697">
        <f>_xlfn.LET(_xlpm.dir,Table13[[#This Row],[Direction]],
IF(_xlpm.dir="L",
    IF(G696-Table13[[#This Row],[Steps]]&lt;0,100+(G696-Table13[[#This Row],[Steps]]),G696-Table13[[#This Row],[Steps]]),
))</f>
        <v>0</v>
      </c>
      <c r="F697">
        <f>_xlfn.LET(_xlpm.dir,Table13[[#This Row],[Direction]],
IF(_xlpm.dir="R",
    IF(G696+Table13[[#This Row],[Steps]]&gt;99,(G696+Table13[[#This Row],[Steps]])-100,G696+Table13[[#This Row],[Steps]]),
))</f>
        <v>14</v>
      </c>
      <c r="G697">
        <f>IF(Table13[[#This Row],[New Pos L]]&lt;&gt;0,Table13[[#This Row],[New Pos L]],Table13[[#This Row],[New Pos R]])</f>
        <v>14</v>
      </c>
      <c r="H697">
        <f>IF(AND(Table13[[#This Row],[Direction]]="L",Table13[[#This Row],[Steps]]&gt;G696,G696&lt;&gt;0),1,0)</f>
        <v>0</v>
      </c>
      <c r="I697">
        <f>IF(AND(Table13[[#This Row],[Direction]]="R",(G696+Table13[[#This Row],[Steps]])&gt;100),1,0)</f>
        <v>1</v>
      </c>
      <c r="J697">
        <f>IF(Table13[[#This Row],[POS]]=0,1,0)</f>
        <v>0</v>
      </c>
      <c r="K697">
        <f>SUM(Table13[[#This Row],[prefix]],Table13[[#This Row],[Past zero L]],Table13[[#This Row],[Past Zero R]],Table13[[#This Row],[Is Zero]])</f>
        <v>1</v>
      </c>
    </row>
    <row r="698" spans="1:11" ht="16" x14ac:dyDescent="0.2">
      <c r="A698" s="1" t="s">
        <v>299</v>
      </c>
      <c r="B698" t="str">
        <f>LEFT(Table13[[#This Row],[Input]],1)</f>
        <v>R</v>
      </c>
      <c r="C698">
        <f>_xlfn.LET(_xlpm.steps,SUBSTITUTE(Table13[[#This Row],[Input]],Table13[[#This Row],[Direction]],""),VALUE(IF(LEN(_xlpm.steps)&gt;2,RIGHT(_xlpm.steps,2),_xlpm.steps)))</f>
        <v>54</v>
      </c>
      <c r="D698">
        <f>_xlfn.LET(_xlpm.steps,SUBSTITUTE(Table13[[#This Row],[Input]],Table13[[#This Row],[Direction]],""),VALUE(IF(LEN(_xlpm.steps)&gt;2,LEFT(_xlpm.steps,LEN(_xlpm.steps)-2),0)))</f>
        <v>8</v>
      </c>
      <c r="E698">
        <f>_xlfn.LET(_xlpm.dir,Table13[[#This Row],[Direction]],
IF(_xlpm.dir="L",
    IF(G697-Table13[[#This Row],[Steps]]&lt;0,100+(G697-Table13[[#This Row],[Steps]]),G697-Table13[[#This Row],[Steps]]),
))</f>
        <v>0</v>
      </c>
      <c r="F698">
        <f>_xlfn.LET(_xlpm.dir,Table13[[#This Row],[Direction]],
IF(_xlpm.dir="R",
    IF(G697+Table13[[#This Row],[Steps]]&gt;99,(G697+Table13[[#This Row],[Steps]])-100,G697+Table13[[#This Row],[Steps]]),
))</f>
        <v>68</v>
      </c>
      <c r="G698">
        <f>IF(Table13[[#This Row],[New Pos L]]&lt;&gt;0,Table13[[#This Row],[New Pos L]],Table13[[#This Row],[New Pos R]])</f>
        <v>68</v>
      </c>
      <c r="H698">
        <f>IF(AND(Table13[[#This Row],[Direction]]="L",Table13[[#This Row],[Steps]]&gt;G697,G697&lt;&gt;0),1,0)</f>
        <v>0</v>
      </c>
      <c r="I698">
        <f>IF(AND(Table13[[#This Row],[Direction]]="R",(G697+Table13[[#This Row],[Steps]])&gt;100),1,0)</f>
        <v>0</v>
      </c>
      <c r="J698">
        <f>IF(Table13[[#This Row],[POS]]=0,1,0)</f>
        <v>0</v>
      </c>
      <c r="K698">
        <f>SUM(Table13[[#This Row],[prefix]],Table13[[#This Row],[Past zero L]],Table13[[#This Row],[Past Zero R]],Table13[[#This Row],[Is Zero]])</f>
        <v>8</v>
      </c>
    </row>
    <row r="699" spans="1:11" ht="16" x14ac:dyDescent="0.2">
      <c r="A699" s="1" t="s">
        <v>63</v>
      </c>
      <c r="B699" t="str">
        <f>LEFT(Table13[[#This Row],[Input]],1)</f>
        <v>R</v>
      </c>
      <c r="C699">
        <f>_xlfn.LET(_xlpm.steps,SUBSTITUTE(Table13[[#This Row],[Input]],Table13[[#This Row],[Direction]],""),VALUE(IF(LEN(_xlpm.steps)&gt;2,RIGHT(_xlpm.steps,2),_xlpm.steps)))</f>
        <v>57</v>
      </c>
      <c r="D699">
        <f>_xlfn.LET(_xlpm.steps,SUBSTITUTE(Table13[[#This Row],[Input]],Table13[[#This Row],[Direction]],""),VALUE(IF(LEN(_xlpm.steps)&gt;2,LEFT(_xlpm.steps,LEN(_xlpm.steps)-2),0)))</f>
        <v>0</v>
      </c>
      <c r="E699">
        <f>_xlfn.LET(_xlpm.dir,Table13[[#This Row],[Direction]],
IF(_xlpm.dir="L",
    IF(G698-Table13[[#This Row],[Steps]]&lt;0,100+(G698-Table13[[#This Row],[Steps]]),G698-Table13[[#This Row],[Steps]]),
))</f>
        <v>0</v>
      </c>
      <c r="F699">
        <f>_xlfn.LET(_xlpm.dir,Table13[[#This Row],[Direction]],
IF(_xlpm.dir="R",
    IF(G698+Table13[[#This Row],[Steps]]&gt;99,(G698+Table13[[#This Row],[Steps]])-100,G698+Table13[[#This Row],[Steps]]),
))</f>
        <v>25</v>
      </c>
      <c r="G699">
        <f>IF(Table13[[#This Row],[New Pos L]]&lt;&gt;0,Table13[[#This Row],[New Pos L]],Table13[[#This Row],[New Pos R]])</f>
        <v>25</v>
      </c>
      <c r="H699">
        <f>IF(AND(Table13[[#This Row],[Direction]]="L",Table13[[#This Row],[Steps]]&gt;G698,G698&lt;&gt;0),1,0)</f>
        <v>0</v>
      </c>
      <c r="I699">
        <f>IF(AND(Table13[[#This Row],[Direction]]="R",(G698+Table13[[#This Row],[Steps]])&gt;100),1,0)</f>
        <v>1</v>
      </c>
      <c r="J699">
        <f>IF(Table13[[#This Row],[POS]]=0,1,0)</f>
        <v>0</v>
      </c>
      <c r="K699">
        <f>SUM(Table13[[#This Row],[prefix]],Table13[[#This Row],[Past zero L]],Table13[[#This Row],[Past Zero R]],Table13[[#This Row],[Is Zero]])</f>
        <v>1</v>
      </c>
    </row>
    <row r="700" spans="1:11" ht="16" x14ac:dyDescent="0.2">
      <c r="A700" s="1" t="s">
        <v>122</v>
      </c>
      <c r="B700" t="str">
        <f>LEFT(Table13[[#This Row],[Input]],1)</f>
        <v>R</v>
      </c>
      <c r="C700">
        <f>_xlfn.LET(_xlpm.steps,SUBSTITUTE(Table13[[#This Row],[Input]],Table13[[#This Row],[Direction]],""),VALUE(IF(LEN(_xlpm.steps)&gt;2,RIGHT(_xlpm.steps,2),_xlpm.steps)))</f>
        <v>75</v>
      </c>
      <c r="D700">
        <f>_xlfn.LET(_xlpm.steps,SUBSTITUTE(Table13[[#This Row],[Input]],Table13[[#This Row],[Direction]],""),VALUE(IF(LEN(_xlpm.steps)&gt;2,LEFT(_xlpm.steps,LEN(_xlpm.steps)-2),0)))</f>
        <v>0</v>
      </c>
      <c r="E700">
        <f>_xlfn.LET(_xlpm.dir,Table13[[#This Row],[Direction]],
IF(_xlpm.dir="L",
    IF(G699-Table13[[#This Row],[Steps]]&lt;0,100+(G699-Table13[[#This Row],[Steps]]),G699-Table13[[#This Row],[Steps]]),
))</f>
        <v>0</v>
      </c>
      <c r="F700">
        <f>_xlfn.LET(_xlpm.dir,Table13[[#This Row],[Direction]],
IF(_xlpm.dir="R",
    IF(G699+Table13[[#This Row],[Steps]]&gt;99,(G699+Table13[[#This Row],[Steps]])-100,G699+Table13[[#This Row],[Steps]]),
))</f>
        <v>0</v>
      </c>
      <c r="G700">
        <f>IF(Table13[[#This Row],[New Pos L]]&lt;&gt;0,Table13[[#This Row],[New Pos L]],Table13[[#This Row],[New Pos R]])</f>
        <v>0</v>
      </c>
      <c r="H700">
        <f>IF(AND(Table13[[#This Row],[Direction]]="L",Table13[[#This Row],[Steps]]&gt;G699,G699&lt;&gt;0),1,0)</f>
        <v>0</v>
      </c>
      <c r="I700">
        <f>IF(AND(Table13[[#This Row],[Direction]]="R",(G699+Table13[[#This Row],[Steps]])&gt;100),1,0)</f>
        <v>0</v>
      </c>
      <c r="J700">
        <f>IF(Table13[[#This Row],[POS]]=0,1,0)</f>
        <v>1</v>
      </c>
      <c r="K700">
        <f>SUM(Table13[[#This Row],[prefix]],Table13[[#This Row],[Past zero L]],Table13[[#This Row],[Past Zero R]],Table13[[#This Row],[Is Zero]])</f>
        <v>1</v>
      </c>
    </row>
    <row r="701" spans="1:11" ht="16" x14ac:dyDescent="0.2">
      <c r="A701" s="1" t="s">
        <v>26</v>
      </c>
      <c r="B701" t="str">
        <f>LEFT(Table13[[#This Row],[Input]],1)</f>
        <v>R</v>
      </c>
      <c r="C701">
        <f>_xlfn.LET(_xlpm.steps,SUBSTITUTE(Table13[[#This Row],[Input]],Table13[[#This Row],[Direction]],""),VALUE(IF(LEN(_xlpm.steps)&gt;2,RIGHT(_xlpm.steps,2),_xlpm.steps)))</f>
        <v>6</v>
      </c>
      <c r="D701">
        <f>_xlfn.LET(_xlpm.steps,SUBSTITUTE(Table13[[#This Row],[Input]],Table13[[#This Row],[Direction]],""),VALUE(IF(LEN(_xlpm.steps)&gt;2,LEFT(_xlpm.steps,LEN(_xlpm.steps)-2),0)))</f>
        <v>0</v>
      </c>
      <c r="E701">
        <f>_xlfn.LET(_xlpm.dir,Table13[[#This Row],[Direction]],
IF(_xlpm.dir="L",
    IF(G700-Table13[[#This Row],[Steps]]&lt;0,100+(G700-Table13[[#This Row],[Steps]]),G700-Table13[[#This Row],[Steps]]),
))</f>
        <v>0</v>
      </c>
      <c r="F701">
        <f>_xlfn.LET(_xlpm.dir,Table13[[#This Row],[Direction]],
IF(_xlpm.dir="R",
    IF(G700+Table13[[#This Row],[Steps]]&gt;99,(G700+Table13[[#This Row],[Steps]])-100,G700+Table13[[#This Row],[Steps]]),
))</f>
        <v>6</v>
      </c>
      <c r="G701">
        <f>IF(Table13[[#This Row],[New Pos L]]&lt;&gt;0,Table13[[#This Row],[New Pos L]],Table13[[#This Row],[New Pos R]])</f>
        <v>6</v>
      </c>
      <c r="H701">
        <f>IF(AND(Table13[[#This Row],[Direction]]="L",Table13[[#This Row],[Steps]]&gt;G700,G700&lt;&gt;0),1,0)</f>
        <v>0</v>
      </c>
      <c r="I701">
        <f>IF(AND(Table13[[#This Row],[Direction]]="R",(G700+Table13[[#This Row],[Steps]])&gt;100),1,0)</f>
        <v>0</v>
      </c>
      <c r="J701">
        <f>IF(Table13[[#This Row],[POS]]=0,1,0)</f>
        <v>0</v>
      </c>
      <c r="K701">
        <f>SUM(Table13[[#This Row],[prefix]],Table13[[#This Row],[Past zero L]],Table13[[#This Row],[Past Zero R]],Table13[[#This Row],[Is Zero]])</f>
        <v>0</v>
      </c>
    </row>
    <row r="702" spans="1:11" ht="16" x14ac:dyDescent="0.2">
      <c r="A702" s="1" t="s">
        <v>125</v>
      </c>
      <c r="B702" t="str">
        <f>LEFT(Table13[[#This Row],[Input]],1)</f>
        <v>L</v>
      </c>
      <c r="C702">
        <f>_xlfn.LET(_xlpm.steps,SUBSTITUTE(Table13[[#This Row],[Input]],Table13[[#This Row],[Direction]],""),VALUE(IF(LEN(_xlpm.steps)&gt;2,RIGHT(_xlpm.steps,2),_xlpm.steps)))</f>
        <v>76</v>
      </c>
      <c r="D702">
        <f>_xlfn.LET(_xlpm.steps,SUBSTITUTE(Table13[[#This Row],[Input]],Table13[[#This Row],[Direction]],""),VALUE(IF(LEN(_xlpm.steps)&gt;2,LEFT(_xlpm.steps,LEN(_xlpm.steps)-2),0)))</f>
        <v>0</v>
      </c>
      <c r="E702">
        <f>_xlfn.LET(_xlpm.dir,Table13[[#This Row],[Direction]],
IF(_xlpm.dir="L",
    IF(G701-Table13[[#This Row],[Steps]]&lt;0,100+(G701-Table13[[#This Row],[Steps]]),G701-Table13[[#This Row],[Steps]]),
))</f>
        <v>30</v>
      </c>
      <c r="F702">
        <f>_xlfn.LET(_xlpm.dir,Table13[[#This Row],[Direction]],
IF(_xlpm.dir="R",
    IF(G701+Table13[[#This Row],[Steps]]&gt;99,(G701+Table13[[#This Row],[Steps]])-100,G701+Table13[[#This Row],[Steps]]),
))</f>
        <v>0</v>
      </c>
      <c r="G702">
        <f>IF(Table13[[#This Row],[New Pos L]]&lt;&gt;0,Table13[[#This Row],[New Pos L]],Table13[[#This Row],[New Pos R]])</f>
        <v>30</v>
      </c>
      <c r="H702">
        <f>IF(AND(Table13[[#This Row],[Direction]]="L",Table13[[#This Row],[Steps]]&gt;G701,G701&lt;&gt;0),1,0)</f>
        <v>1</v>
      </c>
      <c r="I702">
        <f>IF(AND(Table13[[#This Row],[Direction]]="R",(G701+Table13[[#This Row],[Steps]])&gt;100),1,0)</f>
        <v>0</v>
      </c>
      <c r="J702">
        <f>IF(Table13[[#This Row],[POS]]=0,1,0)</f>
        <v>0</v>
      </c>
      <c r="K702">
        <f>SUM(Table13[[#This Row],[prefix]],Table13[[#This Row],[Past zero L]],Table13[[#This Row],[Past Zero R]],Table13[[#This Row],[Is Zero]])</f>
        <v>1</v>
      </c>
    </row>
    <row r="703" spans="1:11" ht="16" x14ac:dyDescent="0.2">
      <c r="A703" s="1" t="s">
        <v>41</v>
      </c>
      <c r="B703" t="str">
        <f>LEFT(Table13[[#This Row],[Input]],1)</f>
        <v>L</v>
      </c>
      <c r="C703">
        <f>_xlfn.LET(_xlpm.steps,SUBSTITUTE(Table13[[#This Row],[Input]],Table13[[#This Row],[Direction]],""),VALUE(IF(LEN(_xlpm.steps)&gt;2,RIGHT(_xlpm.steps,2),_xlpm.steps)))</f>
        <v>7</v>
      </c>
      <c r="D703">
        <f>_xlfn.LET(_xlpm.steps,SUBSTITUTE(Table13[[#This Row],[Input]],Table13[[#This Row],[Direction]],""),VALUE(IF(LEN(_xlpm.steps)&gt;2,LEFT(_xlpm.steps,LEN(_xlpm.steps)-2),0)))</f>
        <v>0</v>
      </c>
      <c r="E703">
        <f>_xlfn.LET(_xlpm.dir,Table13[[#This Row],[Direction]],
IF(_xlpm.dir="L",
    IF(G702-Table13[[#This Row],[Steps]]&lt;0,100+(G702-Table13[[#This Row],[Steps]]),G702-Table13[[#This Row],[Steps]]),
))</f>
        <v>23</v>
      </c>
      <c r="F703">
        <f>_xlfn.LET(_xlpm.dir,Table13[[#This Row],[Direction]],
IF(_xlpm.dir="R",
    IF(G702+Table13[[#This Row],[Steps]]&gt;99,(G702+Table13[[#This Row],[Steps]])-100,G702+Table13[[#This Row],[Steps]]),
))</f>
        <v>0</v>
      </c>
      <c r="G703">
        <f>IF(Table13[[#This Row],[New Pos L]]&lt;&gt;0,Table13[[#This Row],[New Pos L]],Table13[[#This Row],[New Pos R]])</f>
        <v>23</v>
      </c>
      <c r="H703">
        <f>IF(AND(Table13[[#This Row],[Direction]]="L",Table13[[#This Row],[Steps]]&gt;G702,G702&lt;&gt;0),1,0)</f>
        <v>0</v>
      </c>
      <c r="I703">
        <f>IF(AND(Table13[[#This Row],[Direction]]="R",(G702+Table13[[#This Row],[Steps]])&gt;100),1,0)</f>
        <v>0</v>
      </c>
      <c r="J703">
        <f>IF(Table13[[#This Row],[POS]]=0,1,0)</f>
        <v>0</v>
      </c>
      <c r="K703">
        <f>SUM(Table13[[#This Row],[prefix]],Table13[[#This Row],[Past zero L]],Table13[[#This Row],[Past Zero R]],Table13[[#This Row],[Is Zero]])</f>
        <v>0</v>
      </c>
    </row>
    <row r="704" spans="1:11" ht="16" x14ac:dyDescent="0.2">
      <c r="A704" s="1" t="s">
        <v>120</v>
      </c>
      <c r="B704" t="str">
        <f>LEFT(Table13[[#This Row],[Input]],1)</f>
        <v>L</v>
      </c>
      <c r="C704">
        <f>_xlfn.LET(_xlpm.steps,SUBSTITUTE(Table13[[#This Row],[Input]],Table13[[#This Row],[Direction]],""),VALUE(IF(LEN(_xlpm.steps)&gt;2,RIGHT(_xlpm.steps,2),_xlpm.steps)))</f>
        <v>23</v>
      </c>
      <c r="D704">
        <f>_xlfn.LET(_xlpm.steps,SUBSTITUTE(Table13[[#This Row],[Input]],Table13[[#This Row],[Direction]],""),VALUE(IF(LEN(_xlpm.steps)&gt;2,LEFT(_xlpm.steps,LEN(_xlpm.steps)-2),0)))</f>
        <v>0</v>
      </c>
      <c r="E704">
        <f>_xlfn.LET(_xlpm.dir,Table13[[#This Row],[Direction]],
IF(_xlpm.dir="L",
    IF(G703-Table13[[#This Row],[Steps]]&lt;0,100+(G703-Table13[[#This Row],[Steps]]),G703-Table13[[#This Row],[Steps]]),
))</f>
        <v>0</v>
      </c>
      <c r="F704">
        <f>_xlfn.LET(_xlpm.dir,Table13[[#This Row],[Direction]],
IF(_xlpm.dir="R",
    IF(G703+Table13[[#This Row],[Steps]]&gt;99,(G703+Table13[[#This Row],[Steps]])-100,G703+Table13[[#This Row],[Steps]]),
))</f>
        <v>0</v>
      </c>
      <c r="G704">
        <f>IF(Table13[[#This Row],[New Pos L]]&lt;&gt;0,Table13[[#This Row],[New Pos L]],Table13[[#This Row],[New Pos R]])</f>
        <v>0</v>
      </c>
      <c r="H704">
        <f>IF(AND(Table13[[#This Row],[Direction]]="L",Table13[[#This Row],[Steps]]&gt;G703,G703&lt;&gt;0),1,0)</f>
        <v>0</v>
      </c>
      <c r="I704">
        <f>IF(AND(Table13[[#This Row],[Direction]]="R",(G703+Table13[[#This Row],[Steps]])&gt;100),1,0)</f>
        <v>0</v>
      </c>
      <c r="J704">
        <f>IF(Table13[[#This Row],[POS]]=0,1,0)</f>
        <v>1</v>
      </c>
      <c r="K704">
        <f>SUM(Table13[[#This Row],[prefix]],Table13[[#This Row],[Past zero L]],Table13[[#This Row],[Past Zero R]],Table13[[#This Row],[Is Zero]])</f>
        <v>1</v>
      </c>
    </row>
    <row r="705" spans="1:11" ht="16" x14ac:dyDescent="0.2">
      <c r="A705" s="1" t="s">
        <v>300</v>
      </c>
      <c r="B705" t="str">
        <f>LEFT(Table13[[#This Row],[Input]],1)</f>
        <v>R</v>
      </c>
      <c r="C705">
        <f>_xlfn.LET(_xlpm.steps,SUBSTITUTE(Table13[[#This Row],[Input]],Table13[[#This Row],[Direction]],""),VALUE(IF(LEN(_xlpm.steps)&gt;2,RIGHT(_xlpm.steps,2),_xlpm.steps)))</f>
        <v>43</v>
      </c>
      <c r="D705">
        <f>_xlfn.LET(_xlpm.steps,SUBSTITUTE(Table13[[#This Row],[Input]],Table13[[#This Row],[Direction]],""),VALUE(IF(LEN(_xlpm.steps)&gt;2,LEFT(_xlpm.steps,LEN(_xlpm.steps)-2),0)))</f>
        <v>8</v>
      </c>
      <c r="E705">
        <f>_xlfn.LET(_xlpm.dir,Table13[[#This Row],[Direction]],
IF(_xlpm.dir="L",
    IF(G704-Table13[[#This Row],[Steps]]&lt;0,100+(G704-Table13[[#This Row],[Steps]]),G704-Table13[[#This Row],[Steps]]),
))</f>
        <v>0</v>
      </c>
      <c r="F705">
        <f>_xlfn.LET(_xlpm.dir,Table13[[#This Row],[Direction]],
IF(_xlpm.dir="R",
    IF(G704+Table13[[#This Row],[Steps]]&gt;99,(G704+Table13[[#This Row],[Steps]])-100,G704+Table13[[#This Row],[Steps]]),
))</f>
        <v>43</v>
      </c>
      <c r="G705">
        <f>IF(Table13[[#This Row],[New Pos L]]&lt;&gt;0,Table13[[#This Row],[New Pos L]],Table13[[#This Row],[New Pos R]])</f>
        <v>43</v>
      </c>
      <c r="H705">
        <f>IF(AND(Table13[[#This Row],[Direction]]="L",Table13[[#This Row],[Steps]]&gt;G704,G704&lt;&gt;0),1,0)</f>
        <v>0</v>
      </c>
      <c r="I705">
        <f>IF(AND(Table13[[#This Row],[Direction]]="R",(G704+Table13[[#This Row],[Steps]])&gt;100),1,0)</f>
        <v>0</v>
      </c>
      <c r="J705">
        <f>IF(Table13[[#This Row],[POS]]=0,1,0)</f>
        <v>0</v>
      </c>
      <c r="K705">
        <f>SUM(Table13[[#This Row],[prefix]],Table13[[#This Row],[Past zero L]],Table13[[#This Row],[Past Zero R]],Table13[[#This Row],[Is Zero]])</f>
        <v>8</v>
      </c>
    </row>
    <row r="706" spans="1:11" ht="16" x14ac:dyDescent="0.2">
      <c r="A706" s="1" t="s">
        <v>11</v>
      </c>
      <c r="B706" t="str">
        <f>LEFT(Table13[[#This Row],[Input]],1)</f>
        <v>L</v>
      </c>
      <c r="C706">
        <f>_xlfn.LET(_xlpm.steps,SUBSTITUTE(Table13[[#This Row],[Input]],Table13[[#This Row],[Direction]],""),VALUE(IF(LEN(_xlpm.steps)&gt;2,RIGHT(_xlpm.steps,2),_xlpm.steps)))</f>
        <v>34</v>
      </c>
      <c r="D706">
        <f>_xlfn.LET(_xlpm.steps,SUBSTITUTE(Table13[[#This Row],[Input]],Table13[[#This Row],[Direction]],""),VALUE(IF(LEN(_xlpm.steps)&gt;2,LEFT(_xlpm.steps,LEN(_xlpm.steps)-2),0)))</f>
        <v>0</v>
      </c>
      <c r="E706">
        <f>_xlfn.LET(_xlpm.dir,Table13[[#This Row],[Direction]],
IF(_xlpm.dir="L",
    IF(G705-Table13[[#This Row],[Steps]]&lt;0,100+(G705-Table13[[#This Row],[Steps]]),G705-Table13[[#This Row],[Steps]]),
))</f>
        <v>9</v>
      </c>
      <c r="F706">
        <f>_xlfn.LET(_xlpm.dir,Table13[[#This Row],[Direction]],
IF(_xlpm.dir="R",
    IF(G705+Table13[[#This Row],[Steps]]&gt;99,(G705+Table13[[#This Row],[Steps]])-100,G705+Table13[[#This Row],[Steps]]),
))</f>
        <v>0</v>
      </c>
      <c r="G706">
        <f>IF(Table13[[#This Row],[New Pos L]]&lt;&gt;0,Table13[[#This Row],[New Pos L]],Table13[[#This Row],[New Pos R]])</f>
        <v>9</v>
      </c>
      <c r="H706">
        <f>IF(AND(Table13[[#This Row],[Direction]]="L",Table13[[#This Row],[Steps]]&gt;G705,G705&lt;&gt;0),1,0)</f>
        <v>0</v>
      </c>
      <c r="I706">
        <f>IF(AND(Table13[[#This Row],[Direction]]="R",(G705+Table13[[#This Row],[Steps]])&gt;100),1,0)</f>
        <v>0</v>
      </c>
      <c r="J706">
        <f>IF(Table13[[#This Row],[POS]]=0,1,0)</f>
        <v>0</v>
      </c>
      <c r="K706">
        <f>SUM(Table13[[#This Row],[prefix]],Table13[[#This Row],[Past zero L]],Table13[[#This Row],[Past Zero R]],Table13[[#This Row],[Is Zero]])</f>
        <v>0</v>
      </c>
    </row>
    <row r="707" spans="1:11" ht="16" x14ac:dyDescent="0.2">
      <c r="A707" s="1" t="s">
        <v>301</v>
      </c>
      <c r="B707" t="str">
        <f>LEFT(Table13[[#This Row],[Input]],1)</f>
        <v>L</v>
      </c>
      <c r="C707">
        <f>_xlfn.LET(_xlpm.steps,SUBSTITUTE(Table13[[#This Row],[Input]],Table13[[#This Row],[Direction]],""),VALUE(IF(LEN(_xlpm.steps)&gt;2,RIGHT(_xlpm.steps,2),_xlpm.steps)))</f>
        <v>9</v>
      </c>
      <c r="D707">
        <f>_xlfn.LET(_xlpm.steps,SUBSTITUTE(Table13[[#This Row],[Input]],Table13[[#This Row],[Direction]],""),VALUE(IF(LEN(_xlpm.steps)&gt;2,LEFT(_xlpm.steps,LEN(_xlpm.steps)-2),0)))</f>
        <v>7</v>
      </c>
      <c r="E707">
        <f>_xlfn.LET(_xlpm.dir,Table13[[#This Row],[Direction]],
IF(_xlpm.dir="L",
    IF(G706-Table13[[#This Row],[Steps]]&lt;0,100+(G706-Table13[[#This Row],[Steps]]),G706-Table13[[#This Row],[Steps]]),
))</f>
        <v>0</v>
      </c>
      <c r="F707">
        <f>_xlfn.LET(_xlpm.dir,Table13[[#This Row],[Direction]],
IF(_xlpm.dir="R",
    IF(G706+Table13[[#This Row],[Steps]]&gt;99,(G706+Table13[[#This Row],[Steps]])-100,G706+Table13[[#This Row],[Steps]]),
))</f>
        <v>0</v>
      </c>
      <c r="G707">
        <f>IF(Table13[[#This Row],[New Pos L]]&lt;&gt;0,Table13[[#This Row],[New Pos L]],Table13[[#This Row],[New Pos R]])</f>
        <v>0</v>
      </c>
      <c r="H707">
        <f>IF(AND(Table13[[#This Row],[Direction]]="L",Table13[[#This Row],[Steps]]&gt;G706,G706&lt;&gt;0),1,0)</f>
        <v>0</v>
      </c>
      <c r="I707">
        <f>IF(AND(Table13[[#This Row],[Direction]]="R",(G706+Table13[[#This Row],[Steps]])&gt;100),1,0)</f>
        <v>0</v>
      </c>
      <c r="J707">
        <f>IF(Table13[[#This Row],[POS]]=0,1,0)</f>
        <v>1</v>
      </c>
      <c r="K707">
        <f>SUM(Table13[[#This Row],[prefix]],Table13[[#This Row],[Past zero L]],Table13[[#This Row],[Past Zero R]],Table13[[#This Row],[Is Zero]])</f>
        <v>8</v>
      </c>
    </row>
    <row r="708" spans="1:11" ht="16" x14ac:dyDescent="0.2">
      <c r="A708" s="1" t="s">
        <v>20</v>
      </c>
      <c r="B708" t="str">
        <f>LEFT(Table13[[#This Row],[Input]],1)</f>
        <v>R</v>
      </c>
      <c r="C708">
        <f>_xlfn.LET(_xlpm.steps,SUBSTITUTE(Table13[[#This Row],[Input]],Table13[[#This Row],[Direction]],""),VALUE(IF(LEN(_xlpm.steps)&gt;2,RIGHT(_xlpm.steps,2),_xlpm.steps)))</f>
        <v>46</v>
      </c>
      <c r="D708">
        <f>_xlfn.LET(_xlpm.steps,SUBSTITUTE(Table13[[#This Row],[Input]],Table13[[#This Row],[Direction]],""),VALUE(IF(LEN(_xlpm.steps)&gt;2,LEFT(_xlpm.steps,LEN(_xlpm.steps)-2),0)))</f>
        <v>0</v>
      </c>
      <c r="E708">
        <f>_xlfn.LET(_xlpm.dir,Table13[[#This Row],[Direction]],
IF(_xlpm.dir="L",
    IF(G707-Table13[[#This Row],[Steps]]&lt;0,100+(G707-Table13[[#This Row],[Steps]]),G707-Table13[[#This Row],[Steps]]),
))</f>
        <v>0</v>
      </c>
      <c r="F708">
        <f>_xlfn.LET(_xlpm.dir,Table13[[#This Row],[Direction]],
IF(_xlpm.dir="R",
    IF(G707+Table13[[#This Row],[Steps]]&gt;99,(G707+Table13[[#This Row],[Steps]])-100,G707+Table13[[#This Row],[Steps]]),
))</f>
        <v>46</v>
      </c>
      <c r="G708">
        <f>IF(Table13[[#This Row],[New Pos L]]&lt;&gt;0,Table13[[#This Row],[New Pos L]],Table13[[#This Row],[New Pos R]])</f>
        <v>46</v>
      </c>
      <c r="H708">
        <f>IF(AND(Table13[[#This Row],[Direction]]="L",Table13[[#This Row],[Steps]]&gt;G707,G707&lt;&gt;0),1,0)</f>
        <v>0</v>
      </c>
      <c r="I708">
        <f>IF(AND(Table13[[#This Row],[Direction]]="R",(G707+Table13[[#This Row],[Steps]])&gt;100),1,0)</f>
        <v>0</v>
      </c>
      <c r="J708">
        <f>IF(Table13[[#This Row],[POS]]=0,1,0)</f>
        <v>0</v>
      </c>
      <c r="K708">
        <f>SUM(Table13[[#This Row],[prefix]],Table13[[#This Row],[Past zero L]],Table13[[#This Row],[Past Zero R]],Table13[[#This Row],[Is Zero]])</f>
        <v>0</v>
      </c>
    </row>
    <row r="709" spans="1:11" ht="16" x14ac:dyDescent="0.2">
      <c r="A709" s="1" t="s">
        <v>84</v>
      </c>
      <c r="B709" t="str">
        <f>LEFT(Table13[[#This Row],[Input]],1)</f>
        <v>R</v>
      </c>
      <c r="C709">
        <f>_xlfn.LET(_xlpm.steps,SUBSTITUTE(Table13[[#This Row],[Input]],Table13[[#This Row],[Direction]],""),VALUE(IF(LEN(_xlpm.steps)&gt;2,RIGHT(_xlpm.steps,2),_xlpm.steps)))</f>
        <v>88</v>
      </c>
      <c r="D709">
        <f>_xlfn.LET(_xlpm.steps,SUBSTITUTE(Table13[[#This Row],[Input]],Table13[[#This Row],[Direction]],""),VALUE(IF(LEN(_xlpm.steps)&gt;2,LEFT(_xlpm.steps,LEN(_xlpm.steps)-2),0)))</f>
        <v>0</v>
      </c>
      <c r="E709">
        <f>_xlfn.LET(_xlpm.dir,Table13[[#This Row],[Direction]],
IF(_xlpm.dir="L",
    IF(G708-Table13[[#This Row],[Steps]]&lt;0,100+(G708-Table13[[#This Row],[Steps]]),G708-Table13[[#This Row],[Steps]]),
))</f>
        <v>0</v>
      </c>
      <c r="F709">
        <f>_xlfn.LET(_xlpm.dir,Table13[[#This Row],[Direction]],
IF(_xlpm.dir="R",
    IF(G708+Table13[[#This Row],[Steps]]&gt;99,(G708+Table13[[#This Row],[Steps]])-100,G708+Table13[[#This Row],[Steps]]),
))</f>
        <v>34</v>
      </c>
      <c r="G709">
        <f>IF(Table13[[#This Row],[New Pos L]]&lt;&gt;0,Table13[[#This Row],[New Pos L]],Table13[[#This Row],[New Pos R]])</f>
        <v>34</v>
      </c>
      <c r="H709">
        <f>IF(AND(Table13[[#This Row],[Direction]]="L",Table13[[#This Row],[Steps]]&gt;G708,G708&lt;&gt;0),1,0)</f>
        <v>0</v>
      </c>
      <c r="I709">
        <f>IF(AND(Table13[[#This Row],[Direction]]="R",(G708+Table13[[#This Row],[Steps]])&gt;100),1,0)</f>
        <v>1</v>
      </c>
      <c r="J709">
        <f>IF(Table13[[#This Row],[POS]]=0,1,0)</f>
        <v>0</v>
      </c>
      <c r="K709">
        <f>SUM(Table13[[#This Row],[prefix]],Table13[[#This Row],[Past zero L]],Table13[[#This Row],[Past Zero R]],Table13[[#This Row],[Is Zero]])</f>
        <v>1</v>
      </c>
    </row>
    <row r="710" spans="1:11" ht="16" x14ac:dyDescent="0.2">
      <c r="A710" s="1" t="s">
        <v>108</v>
      </c>
      <c r="B710" t="str">
        <f>LEFT(Table13[[#This Row],[Input]],1)</f>
        <v>R</v>
      </c>
      <c r="C710">
        <f>_xlfn.LET(_xlpm.steps,SUBSTITUTE(Table13[[#This Row],[Input]],Table13[[#This Row],[Direction]],""),VALUE(IF(LEN(_xlpm.steps)&gt;2,RIGHT(_xlpm.steps,2),_xlpm.steps)))</f>
        <v>66</v>
      </c>
      <c r="D710">
        <f>_xlfn.LET(_xlpm.steps,SUBSTITUTE(Table13[[#This Row],[Input]],Table13[[#This Row],[Direction]],""),VALUE(IF(LEN(_xlpm.steps)&gt;2,LEFT(_xlpm.steps,LEN(_xlpm.steps)-2),0)))</f>
        <v>0</v>
      </c>
      <c r="E710">
        <f>_xlfn.LET(_xlpm.dir,Table13[[#This Row],[Direction]],
IF(_xlpm.dir="L",
    IF(G709-Table13[[#This Row],[Steps]]&lt;0,100+(G709-Table13[[#This Row],[Steps]]),G709-Table13[[#This Row],[Steps]]),
))</f>
        <v>0</v>
      </c>
      <c r="F710">
        <f>_xlfn.LET(_xlpm.dir,Table13[[#This Row],[Direction]],
IF(_xlpm.dir="R",
    IF(G709+Table13[[#This Row],[Steps]]&gt;99,(G709+Table13[[#This Row],[Steps]])-100,G709+Table13[[#This Row],[Steps]]),
))</f>
        <v>0</v>
      </c>
      <c r="G710">
        <f>IF(Table13[[#This Row],[New Pos L]]&lt;&gt;0,Table13[[#This Row],[New Pos L]],Table13[[#This Row],[New Pos R]])</f>
        <v>0</v>
      </c>
      <c r="H710">
        <f>IF(AND(Table13[[#This Row],[Direction]]="L",Table13[[#This Row],[Steps]]&gt;G709,G709&lt;&gt;0),1,0)</f>
        <v>0</v>
      </c>
      <c r="I710">
        <f>IF(AND(Table13[[#This Row],[Direction]]="R",(G709+Table13[[#This Row],[Steps]])&gt;100),1,0)</f>
        <v>0</v>
      </c>
      <c r="J710">
        <f>IF(Table13[[#This Row],[POS]]=0,1,0)</f>
        <v>1</v>
      </c>
      <c r="K710">
        <f>SUM(Table13[[#This Row],[prefix]],Table13[[#This Row],[Past zero L]],Table13[[#This Row],[Past Zero R]],Table13[[#This Row],[Is Zero]])</f>
        <v>1</v>
      </c>
    </row>
    <row r="711" spans="1:11" ht="16" x14ac:dyDescent="0.2">
      <c r="A711" s="1" t="s">
        <v>302</v>
      </c>
      <c r="B711" t="str">
        <f>LEFT(Table13[[#This Row],[Input]],1)</f>
        <v>R</v>
      </c>
      <c r="C711">
        <f>_xlfn.LET(_xlpm.steps,SUBSTITUTE(Table13[[#This Row],[Input]],Table13[[#This Row],[Direction]],""),VALUE(IF(LEN(_xlpm.steps)&gt;2,RIGHT(_xlpm.steps,2),_xlpm.steps)))</f>
        <v>33</v>
      </c>
      <c r="D711">
        <f>_xlfn.LET(_xlpm.steps,SUBSTITUTE(Table13[[#This Row],[Input]],Table13[[#This Row],[Direction]],""),VALUE(IF(LEN(_xlpm.steps)&gt;2,LEFT(_xlpm.steps,LEN(_xlpm.steps)-2),0)))</f>
        <v>6</v>
      </c>
      <c r="E711">
        <f>_xlfn.LET(_xlpm.dir,Table13[[#This Row],[Direction]],
IF(_xlpm.dir="L",
    IF(G710-Table13[[#This Row],[Steps]]&lt;0,100+(G710-Table13[[#This Row],[Steps]]),G710-Table13[[#This Row],[Steps]]),
))</f>
        <v>0</v>
      </c>
      <c r="F711">
        <f>_xlfn.LET(_xlpm.dir,Table13[[#This Row],[Direction]],
IF(_xlpm.dir="R",
    IF(G710+Table13[[#This Row],[Steps]]&gt;99,(G710+Table13[[#This Row],[Steps]])-100,G710+Table13[[#This Row],[Steps]]),
))</f>
        <v>33</v>
      </c>
      <c r="G711">
        <f>IF(Table13[[#This Row],[New Pos L]]&lt;&gt;0,Table13[[#This Row],[New Pos L]],Table13[[#This Row],[New Pos R]])</f>
        <v>33</v>
      </c>
      <c r="H711">
        <f>IF(AND(Table13[[#This Row],[Direction]]="L",Table13[[#This Row],[Steps]]&gt;G710,G710&lt;&gt;0),1,0)</f>
        <v>0</v>
      </c>
      <c r="I711">
        <f>IF(AND(Table13[[#This Row],[Direction]]="R",(G710+Table13[[#This Row],[Steps]])&gt;100),1,0)</f>
        <v>0</v>
      </c>
      <c r="J711">
        <f>IF(Table13[[#This Row],[POS]]=0,1,0)</f>
        <v>0</v>
      </c>
      <c r="K711">
        <f>SUM(Table13[[#This Row],[prefix]],Table13[[#This Row],[Past zero L]],Table13[[#This Row],[Past Zero R]],Table13[[#This Row],[Is Zero]])</f>
        <v>6</v>
      </c>
    </row>
    <row r="712" spans="1:11" ht="16" x14ac:dyDescent="0.2">
      <c r="A712" s="1" t="s">
        <v>223</v>
      </c>
      <c r="B712" t="str">
        <f>LEFT(Table13[[#This Row],[Input]],1)</f>
        <v>L</v>
      </c>
      <c r="C712">
        <f>_xlfn.LET(_xlpm.steps,SUBSTITUTE(Table13[[#This Row],[Input]],Table13[[#This Row],[Direction]],""),VALUE(IF(LEN(_xlpm.steps)&gt;2,RIGHT(_xlpm.steps,2),_xlpm.steps)))</f>
        <v>87</v>
      </c>
      <c r="D712">
        <f>_xlfn.LET(_xlpm.steps,SUBSTITUTE(Table13[[#This Row],[Input]],Table13[[#This Row],[Direction]],""),VALUE(IF(LEN(_xlpm.steps)&gt;2,LEFT(_xlpm.steps,LEN(_xlpm.steps)-2),0)))</f>
        <v>0</v>
      </c>
      <c r="E712">
        <f>_xlfn.LET(_xlpm.dir,Table13[[#This Row],[Direction]],
IF(_xlpm.dir="L",
    IF(G711-Table13[[#This Row],[Steps]]&lt;0,100+(G711-Table13[[#This Row],[Steps]]),G711-Table13[[#This Row],[Steps]]),
))</f>
        <v>46</v>
      </c>
      <c r="F712">
        <f>_xlfn.LET(_xlpm.dir,Table13[[#This Row],[Direction]],
IF(_xlpm.dir="R",
    IF(G711+Table13[[#This Row],[Steps]]&gt;99,(G711+Table13[[#This Row],[Steps]])-100,G711+Table13[[#This Row],[Steps]]),
))</f>
        <v>0</v>
      </c>
      <c r="G712">
        <f>IF(Table13[[#This Row],[New Pos L]]&lt;&gt;0,Table13[[#This Row],[New Pos L]],Table13[[#This Row],[New Pos R]])</f>
        <v>46</v>
      </c>
      <c r="H712">
        <f>IF(AND(Table13[[#This Row],[Direction]]="L",Table13[[#This Row],[Steps]]&gt;G711,G711&lt;&gt;0),1,0)</f>
        <v>1</v>
      </c>
      <c r="I712">
        <f>IF(AND(Table13[[#This Row],[Direction]]="R",(G711+Table13[[#This Row],[Steps]])&gt;100),1,0)</f>
        <v>0</v>
      </c>
      <c r="J712">
        <f>IF(Table13[[#This Row],[POS]]=0,1,0)</f>
        <v>0</v>
      </c>
      <c r="K712">
        <f>SUM(Table13[[#This Row],[prefix]],Table13[[#This Row],[Past zero L]],Table13[[#This Row],[Past Zero R]],Table13[[#This Row],[Is Zero]])</f>
        <v>1</v>
      </c>
    </row>
    <row r="713" spans="1:11" ht="16" x14ac:dyDescent="0.2">
      <c r="A713" s="1" t="s">
        <v>216</v>
      </c>
      <c r="B713" t="str">
        <f>LEFT(Table13[[#This Row],[Input]],1)</f>
        <v>R</v>
      </c>
      <c r="C713">
        <f>_xlfn.LET(_xlpm.steps,SUBSTITUTE(Table13[[#This Row],[Input]],Table13[[#This Row],[Direction]],""),VALUE(IF(LEN(_xlpm.steps)&gt;2,RIGHT(_xlpm.steps,2),_xlpm.steps)))</f>
        <v>54</v>
      </c>
      <c r="D713">
        <f>_xlfn.LET(_xlpm.steps,SUBSTITUTE(Table13[[#This Row],[Input]],Table13[[#This Row],[Direction]],""),VALUE(IF(LEN(_xlpm.steps)&gt;2,LEFT(_xlpm.steps,LEN(_xlpm.steps)-2),0)))</f>
        <v>0</v>
      </c>
      <c r="E713">
        <f>_xlfn.LET(_xlpm.dir,Table13[[#This Row],[Direction]],
IF(_xlpm.dir="L",
    IF(G712-Table13[[#This Row],[Steps]]&lt;0,100+(G712-Table13[[#This Row],[Steps]]),G712-Table13[[#This Row],[Steps]]),
))</f>
        <v>0</v>
      </c>
      <c r="F713">
        <f>_xlfn.LET(_xlpm.dir,Table13[[#This Row],[Direction]],
IF(_xlpm.dir="R",
    IF(G712+Table13[[#This Row],[Steps]]&gt;99,(G712+Table13[[#This Row],[Steps]])-100,G712+Table13[[#This Row],[Steps]]),
))</f>
        <v>0</v>
      </c>
      <c r="G713">
        <f>IF(Table13[[#This Row],[New Pos L]]&lt;&gt;0,Table13[[#This Row],[New Pos L]],Table13[[#This Row],[New Pos R]])</f>
        <v>0</v>
      </c>
      <c r="H713">
        <f>IF(AND(Table13[[#This Row],[Direction]]="L",Table13[[#This Row],[Steps]]&gt;G712,G712&lt;&gt;0),1,0)</f>
        <v>0</v>
      </c>
      <c r="I713">
        <f>IF(AND(Table13[[#This Row],[Direction]]="R",(G712+Table13[[#This Row],[Steps]])&gt;100),1,0)</f>
        <v>0</v>
      </c>
      <c r="J713">
        <f>IF(Table13[[#This Row],[POS]]=0,1,0)</f>
        <v>1</v>
      </c>
      <c r="K713">
        <f>SUM(Table13[[#This Row],[prefix]],Table13[[#This Row],[Past zero L]],Table13[[#This Row],[Past Zero R]],Table13[[#This Row],[Is Zero]])</f>
        <v>1</v>
      </c>
    </row>
    <row r="714" spans="1:11" ht="16" x14ac:dyDescent="0.2">
      <c r="A714" s="1" t="s">
        <v>57</v>
      </c>
      <c r="B714" t="str">
        <f>LEFT(Table13[[#This Row],[Input]],1)</f>
        <v>R</v>
      </c>
      <c r="C714">
        <f>_xlfn.LET(_xlpm.steps,SUBSTITUTE(Table13[[#This Row],[Input]],Table13[[#This Row],[Direction]],""),VALUE(IF(LEN(_xlpm.steps)&gt;2,RIGHT(_xlpm.steps,2),_xlpm.steps)))</f>
        <v>29</v>
      </c>
      <c r="D714">
        <f>_xlfn.LET(_xlpm.steps,SUBSTITUTE(Table13[[#This Row],[Input]],Table13[[#This Row],[Direction]],""),VALUE(IF(LEN(_xlpm.steps)&gt;2,LEFT(_xlpm.steps,LEN(_xlpm.steps)-2),0)))</f>
        <v>0</v>
      </c>
      <c r="E714">
        <f>_xlfn.LET(_xlpm.dir,Table13[[#This Row],[Direction]],
IF(_xlpm.dir="L",
    IF(G713-Table13[[#This Row],[Steps]]&lt;0,100+(G713-Table13[[#This Row],[Steps]]),G713-Table13[[#This Row],[Steps]]),
))</f>
        <v>0</v>
      </c>
      <c r="F714">
        <f>_xlfn.LET(_xlpm.dir,Table13[[#This Row],[Direction]],
IF(_xlpm.dir="R",
    IF(G713+Table13[[#This Row],[Steps]]&gt;99,(G713+Table13[[#This Row],[Steps]])-100,G713+Table13[[#This Row],[Steps]]),
))</f>
        <v>29</v>
      </c>
      <c r="G714">
        <f>IF(Table13[[#This Row],[New Pos L]]&lt;&gt;0,Table13[[#This Row],[New Pos L]],Table13[[#This Row],[New Pos R]])</f>
        <v>29</v>
      </c>
      <c r="H714">
        <f>IF(AND(Table13[[#This Row],[Direction]]="L",Table13[[#This Row],[Steps]]&gt;G713,G713&lt;&gt;0),1,0)</f>
        <v>0</v>
      </c>
      <c r="I714">
        <f>IF(AND(Table13[[#This Row],[Direction]]="R",(G713+Table13[[#This Row],[Steps]])&gt;100),1,0)</f>
        <v>0</v>
      </c>
      <c r="J714">
        <f>IF(Table13[[#This Row],[POS]]=0,1,0)</f>
        <v>0</v>
      </c>
      <c r="K714">
        <f>SUM(Table13[[#This Row],[prefix]],Table13[[#This Row],[Past zero L]],Table13[[#This Row],[Past Zero R]],Table13[[#This Row],[Is Zero]])</f>
        <v>0</v>
      </c>
    </row>
    <row r="715" spans="1:11" ht="16" x14ac:dyDescent="0.2">
      <c r="A715" s="1" t="s">
        <v>29</v>
      </c>
      <c r="B715" t="str">
        <f>LEFT(Table13[[#This Row],[Input]],1)</f>
        <v>L</v>
      </c>
      <c r="C715">
        <f>_xlfn.LET(_xlpm.steps,SUBSTITUTE(Table13[[#This Row],[Input]],Table13[[#This Row],[Direction]],""),VALUE(IF(LEN(_xlpm.steps)&gt;2,RIGHT(_xlpm.steps,2),_xlpm.steps)))</f>
        <v>33</v>
      </c>
      <c r="D715">
        <f>_xlfn.LET(_xlpm.steps,SUBSTITUTE(Table13[[#This Row],[Input]],Table13[[#This Row],[Direction]],""),VALUE(IF(LEN(_xlpm.steps)&gt;2,LEFT(_xlpm.steps,LEN(_xlpm.steps)-2),0)))</f>
        <v>0</v>
      </c>
      <c r="E715">
        <f>_xlfn.LET(_xlpm.dir,Table13[[#This Row],[Direction]],
IF(_xlpm.dir="L",
    IF(G714-Table13[[#This Row],[Steps]]&lt;0,100+(G714-Table13[[#This Row],[Steps]]),G714-Table13[[#This Row],[Steps]]),
))</f>
        <v>96</v>
      </c>
      <c r="F715">
        <f>_xlfn.LET(_xlpm.dir,Table13[[#This Row],[Direction]],
IF(_xlpm.dir="R",
    IF(G714+Table13[[#This Row],[Steps]]&gt;99,(G714+Table13[[#This Row],[Steps]])-100,G714+Table13[[#This Row],[Steps]]),
))</f>
        <v>0</v>
      </c>
      <c r="G715">
        <f>IF(Table13[[#This Row],[New Pos L]]&lt;&gt;0,Table13[[#This Row],[New Pos L]],Table13[[#This Row],[New Pos R]])</f>
        <v>96</v>
      </c>
      <c r="H715">
        <f>IF(AND(Table13[[#This Row],[Direction]]="L",Table13[[#This Row],[Steps]]&gt;G714,G714&lt;&gt;0),1,0)</f>
        <v>1</v>
      </c>
      <c r="I715">
        <f>IF(AND(Table13[[#This Row],[Direction]]="R",(G714+Table13[[#This Row],[Steps]])&gt;100),1,0)</f>
        <v>0</v>
      </c>
      <c r="J715">
        <f>IF(Table13[[#This Row],[POS]]=0,1,0)</f>
        <v>0</v>
      </c>
      <c r="K715">
        <f>SUM(Table13[[#This Row],[prefix]],Table13[[#This Row],[Past zero L]],Table13[[#This Row],[Past Zero R]],Table13[[#This Row],[Is Zero]])</f>
        <v>1</v>
      </c>
    </row>
    <row r="716" spans="1:11" ht="16" x14ac:dyDescent="0.2">
      <c r="A716" s="1" t="s">
        <v>172</v>
      </c>
      <c r="B716" t="str">
        <f>LEFT(Table13[[#This Row],[Input]],1)</f>
        <v>L</v>
      </c>
      <c r="C716">
        <f>_xlfn.LET(_xlpm.steps,SUBSTITUTE(Table13[[#This Row],[Input]],Table13[[#This Row],[Direction]],""),VALUE(IF(LEN(_xlpm.steps)&gt;2,RIGHT(_xlpm.steps,2),_xlpm.steps)))</f>
        <v>66</v>
      </c>
      <c r="D716">
        <f>_xlfn.LET(_xlpm.steps,SUBSTITUTE(Table13[[#This Row],[Input]],Table13[[#This Row],[Direction]],""),VALUE(IF(LEN(_xlpm.steps)&gt;2,LEFT(_xlpm.steps,LEN(_xlpm.steps)-2),0)))</f>
        <v>0</v>
      </c>
      <c r="E716">
        <f>_xlfn.LET(_xlpm.dir,Table13[[#This Row],[Direction]],
IF(_xlpm.dir="L",
    IF(G715-Table13[[#This Row],[Steps]]&lt;0,100+(G715-Table13[[#This Row],[Steps]]),G715-Table13[[#This Row],[Steps]]),
))</f>
        <v>30</v>
      </c>
      <c r="F716">
        <f>_xlfn.LET(_xlpm.dir,Table13[[#This Row],[Direction]],
IF(_xlpm.dir="R",
    IF(G715+Table13[[#This Row],[Steps]]&gt;99,(G715+Table13[[#This Row],[Steps]])-100,G715+Table13[[#This Row],[Steps]]),
))</f>
        <v>0</v>
      </c>
      <c r="G716">
        <f>IF(Table13[[#This Row],[New Pos L]]&lt;&gt;0,Table13[[#This Row],[New Pos L]],Table13[[#This Row],[New Pos R]])</f>
        <v>30</v>
      </c>
      <c r="H716">
        <f>IF(AND(Table13[[#This Row],[Direction]]="L",Table13[[#This Row],[Steps]]&gt;G715,G715&lt;&gt;0),1,0)</f>
        <v>0</v>
      </c>
      <c r="I716">
        <f>IF(AND(Table13[[#This Row],[Direction]]="R",(G715+Table13[[#This Row],[Steps]])&gt;100),1,0)</f>
        <v>0</v>
      </c>
      <c r="J716">
        <f>IF(Table13[[#This Row],[POS]]=0,1,0)</f>
        <v>0</v>
      </c>
      <c r="K716">
        <f>SUM(Table13[[#This Row],[prefix]],Table13[[#This Row],[Past zero L]],Table13[[#This Row],[Past Zero R]],Table13[[#This Row],[Is Zero]])</f>
        <v>0</v>
      </c>
    </row>
    <row r="717" spans="1:11" ht="16" x14ac:dyDescent="0.2">
      <c r="A717" s="1" t="s">
        <v>128</v>
      </c>
      <c r="B717" t="str">
        <f>LEFT(Table13[[#This Row],[Input]],1)</f>
        <v>R</v>
      </c>
      <c r="C717">
        <f>_xlfn.LET(_xlpm.steps,SUBSTITUTE(Table13[[#This Row],[Input]],Table13[[#This Row],[Direction]],""),VALUE(IF(LEN(_xlpm.steps)&gt;2,RIGHT(_xlpm.steps,2),_xlpm.steps)))</f>
        <v>92</v>
      </c>
      <c r="D717">
        <f>_xlfn.LET(_xlpm.steps,SUBSTITUTE(Table13[[#This Row],[Input]],Table13[[#This Row],[Direction]],""),VALUE(IF(LEN(_xlpm.steps)&gt;2,LEFT(_xlpm.steps,LEN(_xlpm.steps)-2),0)))</f>
        <v>0</v>
      </c>
      <c r="E717">
        <f>_xlfn.LET(_xlpm.dir,Table13[[#This Row],[Direction]],
IF(_xlpm.dir="L",
    IF(G716-Table13[[#This Row],[Steps]]&lt;0,100+(G716-Table13[[#This Row],[Steps]]),G716-Table13[[#This Row],[Steps]]),
))</f>
        <v>0</v>
      </c>
      <c r="F717">
        <f>_xlfn.LET(_xlpm.dir,Table13[[#This Row],[Direction]],
IF(_xlpm.dir="R",
    IF(G716+Table13[[#This Row],[Steps]]&gt;99,(G716+Table13[[#This Row],[Steps]])-100,G716+Table13[[#This Row],[Steps]]),
))</f>
        <v>22</v>
      </c>
      <c r="G717">
        <f>IF(Table13[[#This Row],[New Pos L]]&lt;&gt;0,Table13[[#This Row],[New Pos L]],Table13[[#This Row],[New Pos R]])</f>
        <v>22</v>
      </c>
      <c r="H717">
        <f>IF(AND(Table13[[#This Row],[Direction]]="L",Table13[[#This Row],[Steps]]&gt;G716,G716&lt;&gt;0),1,0)</f>
        <v>0</v>
      </c>
      <c r="I717">
        <f>IF(AND(Table13[[#This Row],[Direction]]="R",(G716+Table13[[#This Row],[Steps]])&gt;100),1,0)</f>
        <v>1</v>
      </c>
      <c r="J717">
        <f>IF(Table13[[#This Row],[POS]]=0,1,0)</f>
        <v>0</v>
      </c>
      <c r="K717">
        <f>SUM(Table13[[#This Row],[prefix]],Table13[[#This Row],[Past zero L]],Table13[[#This Row],[Past Zero R]],Table13[[#This Row],[Is Zero]])</f>
        <v>1</v>
      </c>
    </row>
    <row r="718" spans="1:11" ht="16" x14ac:dyDescent="0.2">
      <c r="A718" s="1" t="s">
        <v>4</v>
      </c>
      <c r="B718" t="str">
        <f>LEFT(Table13[[#This Row],[Input]],1)</f>
        <v>R</v>
      </c>
      <c r="C718">
        <f>_xlfn.LET(_xlpm.steps,SUBSTITUTE(Table13[[#This Row],[Input]],Table13[[#This Row],[Direction]],""),VALUE(IF(LEN(_xlpm.steps)&gt;2,RIGHT(_xlpm.steps,2),_xlpm.steps)))</f>
        <v>3</v>
      </c>
      <c r="D718">
        <f>_xlfn.LET(_xlpm.steps,SUBSTITUTE(Table13[[#This Row],[Input]],Table13[[#This Row],[Direction]],""),VALUE(IF(LEN(_xlpm.steps)&gt;2,LEFT(_xlpm.steps,LEN(_xlpm.steps)-2),0)))</f>
        <v>0</v>
      </c>
      <c r="E718">
        <f>_xlfn.LET(_xlpm.dir,Table13[[#This Row],[Direction]],
IF(_xlpm.dir="L",
    IF(G717-Table13[[#This Row],[Steps]]&lt;0,100+(G717-Table13[[#This Row],[Steps]]),G717-Table13[[#This Row],[Steps]]),
))</f>
        <v>0</v>
      </c>
      <c r="F718">
        <f>_xlfn.LET(_xlpm.dir,Table13[[#This Row],[Direction]],
IF(_xlpm.dir="R",
    IF(G717+Table13[[#This Row],[Steps]]&gt;99,(G717+Table13[[#This Row],[Steps]])-100,G717+Table13[[#This Row],[Steps]]),
))</f>
        <v>25</v>
      </c>
      <c r="G718">
        <f>IF(Table13[[#This Row],[New Pos L]]&lt;&gt;0,Table13[[#This Row],[New Pos L]],Table13[[#This Row],[New Pos R]])</f>
        <v>25</v>
      </c>
      <c r="H718">
        <f>IF(AND(Table13[[#This Row],[Direction]]="L",Table13[[#This Row],[Steps]]&gt;G717,G717&lt;&gt;0),1,0)</f>
        <v>0</v>
      </c>
      <c r="I718">
        <f>IF(AND(Table13[[#This Row],[Direction]]="R",(G717+Table13[[#This Row],[Steps]])&gt;100),1,0)</f>
        <v>0</v>
      </c>
      <c r="J718">
        <f>IF(Table13[[#This Row],[POS]]=0,1,0)</f>
        <v>0</v>
      </c>
      <c r="K718">
        <f>SUM(Table13[[#This Row],[prefix]],Table13[[#This Row],[Past zero L]],Table13[[#This Row],[Past Zero R]],Table13[[#This Row],[Is Zero]])</f>
        <v>0</v>
      </c>
    </row>
    <row r="719" spans="1:11" ht="16" x14ac:dyDescent="0.2">
      <c r="A719" s="1" t="s">
        <v>9</v>
      </c>
      <c r="B719" t="str">
        <f>LEFT(Table13[[#This Row],[Input]],1)</f>
        <v>L</v>
      </c>
      <c r="C719">
        <f>_xlfn.LET(_xlpm.steps,SUBSTITUTE(Table13[[#This Row],[Input]],Table13[[#This Row],[Direction]],""),VALUE(IF(LEN(_xlpm.steps)&gt;2,RIGHT(_xlpm.steps,2),_xlpm.steps)))</f>
        <v>9</v>
      </c>
      <c r="D719">
        <f>_xlfn.LET(_xlpm.steps,SUBSTITUTE(Table13[[#This Row],[Input]],Table13[[#This Row],[Direction]],""),VALUE(IF(LEN(_xlpm.steps)&gt;2,LEFT(_xlpm.steps,LEN(_xlpm.steps)-2),0)))</f>
        <v>0</v>
      </c>
      <c r="E719">
        <f>_xlfn.LET(_xlpm.dir,Table13[[#This Row],[Direction]],
IF(_xlpm.dir="L",
    IF(G718-Table13[[#This Row],[Steps]]&lt;0,100+(G718-Table13[[#This Row],[Steps]]),G718-Table13[[#This Row],[Steps]]),
))</f>
        <v>16</v>
      </c>
      <c r="F719">
        <f>_xlfn.LET(_xlpm.dir,Table13[[#This Row],[Direction]],
IF(_xlpm.dir="R",
    IF(G718+Table13[[#This Row],[Steps]]&gt;99,(G718+Table13[[#This Row],[Steps]])-100,G718+Table13[[#This Row],[Steps]]),
))</f>
        <v>0</v>
      </c>
      <c r="G719">
        <f>IF(Table13[[#This Row],[New Pos L]]&lt;&gt;0,Table13[[#This Row],[New Pos L]],Table13[[#This Row],[New Pos R]])</f>
        <v>16</v>
      </c>
      <c r="H719">
        <f>IF(AND(Table13[[#This Row],[Direction]]="L",Table13[[#This Row],[Steps]]&gt;G718,G718&lt;&gt;0),1,0)</f>
        <v>0</v>
      </c>
      <c r="I719">
        <f>IF(AND(Table13[[#This Row],[Direction]]="R",(G718+Table13[[#This Row],[Steps]])&gt;100),1,0)</f>
        <v>0</v>
      </c>
      <c r="J719">
        <f>IF(Table13[[#This Row],[POS]]=0,1,0)</f>
        <v>0</v>
      </c>
      <c r="K719">
        <f>SUM(Table13[[#This Row],[prefix]],Table13[[#This Row],[Past zero L]],Table13[[#This Row],[Past Zero R]],Table13[[#This Row],[Is Zero]])</f>
        <v>0</v>
      </c>
    </row>
    <row r="720" spans="1:11" ht="16" x14ac:dyDescent="0.2">
      <c r="A720" s="1" t="s">
        <v>279</v>
      </c>
      <c r="B720" t="str">
        <f>LEFT(Table13[[#This Row],[Input]],1)</f>
        <v>R</v>
      </c>
      <c r="C720">
        <f>_xlfn.LET(_xlpm.steps,SUBSTITUTE(Table13[[#This Row],[Input]],Table13[[#This Row],[Direction]],""),VALUE(IF(LEN(_xlpm.steps)&gt;2,RIGHT(_xlpm.steps,2),_xlpm.steps)))</f>
        <v>34</v>
      </c>
      <c r="D720">
        <f>_xlfn.LET(_xlpm.steps,SUBSTITUTE(Table13[[#This Row],[Input]],Table13[[#This Row],[Direction]],""),VALUE(IF(LEN(_xlpm.steps)&gt;2,LEFT(_xlpm.steps,LEN(_xlpm.steps)-2),0)))</f>
        <v>0</v>
      </c>
      <c r="E720">
        <f>_xlfn.LET(_xlpm.dir,Table13[[#This Row],[Direction]],
IF(_xlpm.dir="L",
    IF(G719-Table13[[#This Row],[Steps]]&lt;0,100+(G719-Table13[[#This Row],[Steps]]),G719-Table13[[#This Row],[Steps]]),
))</f>
        <v>0</v>
      </c>
      <c r="F720">
        <f>_xlfn.LET(_xlpm.dir,Table13[[#This Row],[Direction]],
IF(_xlpm.dir="R",
    IF(G719+Table13[[#This Row],[Steps]]&gt;99,(G719+Table13[[#This Row],[Steps]])-100,G719+Table13[[#This Row],[Steps]]),
))</f>
        <v>50</v>
      </c>
      <c r="G720">
        <f>IF(Table13[[#This Row],[New Pos L]]&lt;&gt;0,Table13[[#This Row],[New Pos L]],Table13[[#This Row],[New Pos R]])</f>
        <v>50</v>
      </c>
      <c r="H720">
        <f>IF(AND(Table13[[#This Row],[Direction]]="L",Table13[[#This Row],[Steps]]&gt;G719,G719&lt;&gt;0),1,0)</f>
        <v>0</v>
      </c>
      <c r="I720">
        <f>IF(AND(Table13[[#This Row],[Direction]]="R",(G719+Table13[[#This Row],[Steps]])&gt;100),1,0)</f>
        <v>0</v>
      </c>
      <c r="J720">
        <f>IF(Table13[[#This Row],[POS]]=0,1,0)</f>
        <v>0</v>
      </c>
      <c r="K720">
        <f>SUM(Table13[[#This Row],[prefix]],Table13[[#This Row],[Past zero L]],Table13[[#This Row],[Past Zero R]],Table13[[#This Row],[Is Zero]])</f>
        <v>0</v>
      </c>
    </row>
    <row r="721" spans="1:11" ht="16" x14ac:dyDescent="0.2">
      <c r="A721" s="1" t="s">
        <v>2</v>
      </c>
      <c r="B721" t="str">
        <f>LEFT(Table13[[#This Row],[Input]],1)</f>
        <v>L</v>
      </c>
      <c r="C721">
        <f>_xlfn.LET(_xlpm.steps,SUBSTITUTE(Table13[[#This Row],[Input]],Table13[[#This Row],[Direction]],""),VALUE(IF(LEN(_xlpm.steps)&gt;2,RIGHT(_xlpm.steps,2),_xlpm.steps)))</f>
        <v>38</v>
      </c>
      <c r="D721">
        <f>_xlfn.LET(_xlpm.steps,SUBSTITUTE(Table13[[#This Row],[Input]],Table13[[#This Row],[Direction]],""),VALUE(IF(LEN(_xlpm.steps)&gt;2,LEFT(_xlpm.steps,LEN(_xlpm.steps)-2),0)))</f>
        <v>0</v>
      </c>
      <c r="E721">
        <f>_xlfn.LET(_xlpm.dir,Table13[[#This Row],[Direction]],
IF(_xlpm.dir="L",
    IF(G720-Table13[[#This Row],[Steps]]&lt;0,100+(G720-Table13[[#This Row],[Steps]]),G720-Table13[[#This Row],[Steps]]),
))</f>
        <v>12</v>
      </c>
      <c r="F721">
        <f>_xlfn.LET(_xlpm.dir,Table13[[#This Row],[Direction]],
IF(_xlpm.dir="R",
    IF(G720+Table13[[#This Row],[Steps]]&gt;99,(G720+Table13[[#This Row],[Steps]])-100,G720+Table13[[#This Row],[Steps]]),
))</f>
        <v>0</v>
      </c>
      <c r="G721">
        <f>IF(Table13[[#This Row],[New Pos L]]&lt;&gt;0,Table13[[#This Row],[New Pos L]],Table13[[#This Row],[New Pos R]])</f>
        <v>12</v>
      </c>
      <c r="H721">
        <f>IF(AND(Table13[[#This Row],[Direction]]="L",Table13[[#This Row],[Steps]]&gt;G720,G720&lt;&gt;0),1,0)</f>
        <v>0</v>
      </c>
      <c r="I721">
        <f>IF(AND(Table13[[#This Row],[Direction]]="R",(G720+Table13[[#This Row],[Steps]])&gt;100),1,0)</f>
        <v>0</v>
      </c>
      <c r="J721">
        <f>IF(Table13[[#This Row],[POS]]=0,1,0)</f>
        <v>0</v>
      </c>
      <c r="K721">
        <f>SUM(Table13[[#This Row],[prefix]],Table13[[#This Row],[Past zero L]],Table13[[#This Row],[Past Zero R]],Table13[[#This Row],[Is Zero]])</f>
        <v>0</v>
      </c>
    </row>
    <row r="722" spans="1:11" ht="16" x14ac:dyDescent="0.2">
      <c r="A722" s="1" t="s">
        <v>84</v>
      </c>
      <c r="B722" t="str">
        <f>LEFT(Table13[[#This Row],[Input]],1)</f>
        <v>R</v>
      </c>
      <c r="C722">
        <f>_xlfn.LET(_xlpm.steps,SUBSTITUTE(Table13[[#This Row],[Input]],Table13[[#This Row],[Direction]],""),VALUE(IF(LEN(_xlpm.steps)&gt;2,RIGHT(_xlpm.steps,2),_xlpm.steps)))</f>
        <v>88</v>
      </c>
      <c r="D722">
        <f>_xlfn.LET(_xlpm.steps,SUBSTITUTE(Table13[[#This Row],[Input]],Table13[[#This Row],[Direction]],""),VALUE(IF(LEN(_xlpm.steps)&gt;2,LEFT(_xlpm.steps,LEN(_xlpm.steps)-2),0)))</f>
        <v>0</v>
      </c>
      <c r="E722">
        <f>_xlfn.LET(_xlpm.dir,Table13[[#This Row],[Direction]],
IF(_xlpm.dir="L",
    IF(G721-Table13[[#This Row],[Steps]]&lt;0,100+(G721-Table13[[#This Row],[Steps]]),G721-Table13[[#This Row],[Steps]]),
))</f>
        <v>0</v>
      </c>
      <c r="F722">
        <f>_xlfn.LET(_xlpm.dir,Table13[[#This Row],[Direction]],
IF(_xlpm.dir="R",
    IF(G721+Table13[[#This Row],[Steps]]&gt;99,(G721+Table13[[#This Row],[Steps]])-100,G721+Table13[[#This Row],[Steps]]),
))</f>
        <v>0</v>
      </c>
      <c r="G722">
        <f>IF(Table13[[#This Row],[New Pos L]]&lt;&gt;0,Table13[[#This Row],[New Pos L]],Table13[[#This Row],[New Pos R]])</f>
        <v>0</v>
      </c>
      <c r="H722">
        <f>IF(AND(Table13[[#This Row],[Direction]]="L",Table13[[#This Row],[Steps]]&gt;G721,G721&lt;&gt;0),1,0)</f>
        <v>0</v>
      </c>
      <c r="I722">
        <f>IF(AND(Table13[[#This Row],[Direction]]="R",(G721+Table13[[#This Row],[Steps]])&gt;100),1,0)</f>
        <v>0</v>
      </c>
      <c r="J722">
        <f>IF(Table13[[#This Row],[POS]]=0,1,0)</f>
        <v>1</v>
      </c>
      <c r="K722">
        <f>SUM(Table13[[#This Row],[prefix]],Table13[[#This Row],[Past zero L]],Table13[[#This Row],[Past Zero R]],Table13[[#This Row],[Is Zero]])</f>
        <v>1</v>
      </c>
    </row>
    <row r="723" spans="1:11" ht="16" x14ac:dyDescent="0.2">
      <c r="A723" s="1" t="s">
        <v>7</v>
      </c>
      <c r="B723" t="str">
        <f>LEFT(Table13[[#This Row],[Input]],1)</f>
        <v>R</v>
      </c>
      <c r="C723">
        <f>_xlfn.LET(_xlpm.steps,SUBSTITUTE(Table13[[#This Row],[Input]],Table13[[#This Row],[Direction]],""),VALUE(IF(LEN(_xlpm.steps)&gt;2,RIGHT(_xlpm.steps,2),_xlpm.steps)))</f>
        <v>14</v>
      </c>
      <c r="D723">
        <f>_xlfn.LET(_xlpm.steps,SUBSTITUTE(Table13[[#This Row],[Input]],Table13[[#This Row],[Direction]],""),VALUE(IF(LEN(_xlpm.steps)&gt;2,LEFT(_xlpm.steps,LEN(_xlpm.steps)-2),0)))</f>
        <v>0</v>
      </c>
      <c r="E723">
        <f>_xlfn.LET(_xlpm.dir,Table13[[#This Row],[Direction]],
IF(_xlpm.dir="L",
    IF(G722-Table13[[#This Row],[Steps]]&lt;0,100+(G722-Table13[[#This Row],[Steps]]),G722-Table13[[#This Row],[Steps]]),
))</f>
        <v>0</v>
      </c>
      <c r="F723">
        <f>_xlfn.LET(_xlpm.dir,Table13[[#This Row],[Direction]],
IF(_xlpm.dir="R",
    IF(G722+Table13[[#This Row],[Steps]]&gt;99,(G722+Table13[[#This Row],[Steps]])-100,G722+Table13[[#This Row],[Steps]]),
))</f>
        <v>14</v>
      </c>
      <c r="G723">
        <f>IF(Table13[[#This Row],[New Pos L]]&lt;&gt;0,Table13[[#This Row],[New Pos L]],Table13[[#This Row],[New Pos R]])</f>
        <v>14</v>
      </c>
      <c r="H723">
        <f>IF(AND(Table13[[#This Row],[Direction]]="L",Table13[[#This Row],[Steps]]&gt;G722,G722&lt;&gt;0),1,0)</f>
        <v>0</v>
      </c>
      <c r="I723">
        <f>IF(AND(Table13[[#This Row],[Direction]]="R",(G722+Table13[[#This Row],[Steps]])&gt;100),1,0)</f>
        <v>0</v>
      </c>
      <c r="J723">
        <f>IF(Table13[[#This Row],[POS]]=0,1,0)</f>
        <v>0</v>
      </c>
      <c r="K723">
        <f>SUM(Table13[[#This Row],[prefix]],Table13[[#This Row],[Past zero L]],Table13[[#This Row],[Past Zero R]],Table13[[#This Row],[Is Zero]])</f>
        <v>0</v>
      </c>
    </row>
    <row r="724" spans="1:11" ht="16" x14ac:dyDescent="0.2">
      <c r="A724" s="1" t="s">
        <v>303</v>
      </c>
      <c r="B724" t="str">
        <f>LEFT(Table13[[#This Row],[Input]],1)</f>
        <v>R</v>
      </c>
      <c r="C724">
        <f>_xlfn.LET(_xlpm.steps,SUBSTITUTE(Table13[[#This Row],[Input]],Table13[[#This Row],[Direction]],""),VALUE(IF(LEN(_xlpm.steps)&gt;2,RIGHT(_xlpm.steps,2),_xlpm.steps)))</f>
        <v>30</v>
      </c>
      <c r="D724">
        <f>_xlfn.LET(_xlpm.steps,SUBSTITUTE(Table13[[#This Row],[Input]],Table13[[#This Row],[Direction]],""),VALUE(IF(LEN(_xlpm.steps)&gt;2,LEFT(_xlpm.steps,LEN(_xlpm.steps)-2),0)))</f>
        <v>9</v>
      </c>
      <c r="E724">
        <f>_xlfn.LET(_xlpm.dir,Table13[[#This Row],[Direction]],
IF(_xlpm.dir="L",
    IF(G723-Table13[[#This Row],[Steps]]&lt;0,100+(G723-Table13[[#This Row],[Steps]]),G723-Table13[[#This Row],[Steps]]),
))</f>
        <v>0</v>
      </c>
      <c r="F724">
        <f>_xlfn.LET(_xlpm.dir,Table13[[#This Row],[Direction]],
IF(_xlpm.dir="R",
    IF(G723+Table13[[#This Row],[Steps]]&gt;99,(G723+Table13[[#This Row],[Steps]])-100,G723+Table13[[#This Row],[Steps]]),
))</f>
        <v>44</v>
      </c>
      <c r="G724">
        <f>IF(Table13[[#This Row],[New Pos L]]&lt;&gt;0,Table13[[#This Row],[New Pos L]],Table13[[#This Row],[New Pos R]])</f>
        <v>44</v>
      </c>
      <c r="H724">
        <f>IF(AND(Table13[[#This Row],[Direction]]="L",Table13[[#This Row],[Steps]]&gt;G723,G723&lt;&gt;0),1,0)</f>
        <v>0</v>
      </c>
      <c r="I724">
        <f>IF(AND(Table13[[#This Row],[Direction]]="R",(G723+Table13[[#This Row],[Steps]])&gt;100),1,0)</f>
        <v>0</v>
      </c>
      <c r="J724">
        <f>IF(Table13[[#This Row],[POS]]=0,1,0)</f>
        <v>0</v>
      </c>
      <c r="K724">
        <f>SUM(Table13[[#This Row],[prefix]],Table13[[#This Row],[Past zero L]],Table13[[#This Row],[Past Zero R]],Table13[[#This Row],[Is Zero]])</f>
        <v>9</v>
      </c>
    </row>
    <row r="725" spans="1:11" ht="16" x14ac:dyDescent="0.2">
      <c r="A725" s="1" t="s">
        <v>304</v>
      </c>
      <c r="B725" t="str">
        <f>LEFT(Table13[[#This Row],[Input]],1)</f>
        <v>L</v>
      </c>
      <c r="C725">
        <f>_xlfn.LET(_xlpm.steps,SUBSTITUTE(Table13[[#This Row],[Input]],Table13[[#This Row],[Direction]],""),VALUE(IF(LEN(_xlpm.steps)&gt;2,RIGHT(_xlpm.steps,2),_xlpm.steps)))</f>
        <v>26</v>
      </c>
      <c r="D725">
        <f>_xlfn.LET(_xlpm.steps,SUBSTITUTE(Table13[[#This Row],[Input]],Table13[[#This Row],[Direction]],""),VALUE(IF(LEN(_xlpm.steps)&gt;2,LEFT(_xlpm.steps,LEN(_xlpm.steps)-2),0)))</f>
        <v>0</v>
      </c>
      <c r="E725">
        <f>_xlfn.LET(_xlpm.dir,Table13[[#This Row],[Direction]],
IF(_xlpm.dir="L",
    IF(G724-Table13[[#This Row],[Steps]]&lt;0,100+(G724-Table13[[#This Row],[Steps]]),G724-Table13[[#This Row],[Steps]]),
))</f>
        <v>18</v>
      </c>
      <c r="F725">
        <f>_xlfn.LET(_xlpm.dir,Table13[[#This Row],[Direction]],
IF(_xlpm.dir="R",
    IF(G724+Table13[[#This Row],[Steps]]&gt;99,(G724+Table13[[#This Row],[Steps]])-100,G724+Table13[[#This Row],[Steps]]),
))</f>
        <v>0</v>
      </c>
      <c r="G725">
        <f>IF(Table13[[#This Row],[New Pos L]]&lt;&gt;0,Table13[[#This Row],[New Pos L]],Table13[[#This Row],[New Pos R]])</f>
        <v>18</v>
      </c>
      <c r="H725">
        <f>IF(AND(Table13[[#This Row],[Direction]]="L",Table13[[#This Row],[Steps]]&gt;G724,G724&lt;&gt;0),1,0)</f>
        <v>0</v>
      </c>
      <c r="I725">
        <f>IF(AND(Table13[[#This Row],[Direction]]="R",(G724+Table13[[#This Row],[Steps]])&gt;100),1,0)</f>
        <v>0</v>
      </c>
      <c r="J725">
        <f>IF(Table13[[#This Row],[POS]]=0,1,0)</f>
        <v>0</v>
      </c>
      <c r="K725">
        <f>SUM(Table13[[#This Row],[prefix]],Table13[[#This Row],[Past zero L]],Table13[[#This Row],[Past Zero R]],Table13[[#This Row],[Is Zero]])</f>
        <v>0</v>
      </c>
    </row>
    <row r="726" spans="1:11" ht="16" x14ac:dyDescent="0.2">
      <c r="A726" s="1" t="s">
        <v>57</v>
      </c>
      <c r="B726" t="str">
        <f>LEFT(Table13[[#This Row],[Input]],1)</f>
        <v>R</v>
      </c>
      <c r="C726">
        <f>_xlfn.LET(_xlpm.steps,SUBSTITUTE(Table13[[#This Row],[Input]],Table13[[#This Row],[Direction]],""),VALUE(IF(LEN(_xlpm.steps)&gt;2,RIGHT(_xlpm.steps,2),_xlpm.steps)))</f>
        <v>29</v>
      </c>
      <c r="D726">
        <f>_xlfn.LET(_xlpm.steps,SUBSTITUTE(Table13[[#This Row],[Input]],Table13[[#This Row],[Direction]],""),VALUE(IF(LEN(_xlpm.steps)&gt;2,LEFT(_xlpm.steps,LEN(_xlpm.steps)-2),0)))</f>
        <v>0</v>
      </c>
      <c r="E726">
        <f>_xlfn.LET(_xlpm.dir,Table13[[#This Row],[Direction]],
IF(_xlpm.dir="L",
    IF(G725-Table13[[#This Row],[Steps]]&lt;0,100+(G725-Table13[[#This Row],[Steps]]),G725-Table13[[#This Row],[Steps]]),
))</f>
        <v>0</v>
      </c>
      <c r="F726">
        <f>_xlfn.LET(_xlpm.dir,Table13[[#This Row],[Direction]],
IF(_xlpm.dir="R",
    IF(G725+Table13[[#This Row],[Steps]]&gt;99,(G725+Table13[[#This Row],[Steps]])-100,G725+Table13[[#This Row],[Steps]]),
))</f>
        <v>47</v>
      </c>
      <c r="G726">
        <f>IF(Table13[[#This Row],[New Pos L]]&lt;&gt;0,Table13[[#This Row],[New Pos L]],Table13[[#This Row],[New Pos R]])</f>
        <v>47</v>
      </c>
      <c r="H726">
        <f>IF(AND(Table13[[#This Row],[Direction]]="L",Table13[[#This Row],[Steps]]&gt;G725,G725&lt;&gt;0),1,0)</f>
        <v>0</v>
      </c>
      <c r="I726">
        <f>IF(AND(Table13[[#This Row],[Direction]]="R",(G725+Table13[[#This Row],[Steps]])&gt;100),1,0)</f>
        <v>0</v>
      </c>
      <c r="J726">
        <f>IF(Table13[[#This Row],[POS]]=0,1,0)</f>
        <v>0</v>
      </c>
      <c r="K726">
        <f>SUM(Table13[[#This Row],[prefix]],Table13[[#This Row],[Past zero L]],Table13[[#This Row],[Past Zero R]],Table13[[#This Row],[Is Zero]])</f>
        <v>0</v>
      </c>
    </row>
    <row r="727" spans="1:11" ht="16" x14ac:dyDescent="0.2">
      <c r="A727" s="1" t="s">
        <v>108</v>
      </c>
      <c r="B727" t="str">
        <f>LEFT(Table13[[#This Row],[Input]],1)</f>
        <v>R</v>
      </c>
      <c r="C727">
        <f>_xlfn.LET(_xlpm.steps,SUBSTITUTE(Table13[[#This Row],[Input]],Table13[[#This Row],[Direction]],""),VALUE(IF(LEN(_xlpm.steps)&gt;2,RIGHT(_xlpm.steps,2),_xlpm.steps)))</f>
        <v>66</v>
      </c>
      <c r="D727">
        <f>_xlfn.LET(_xlpm.steps,SUBSTITUTE(Table13[[#This Row],[Input]],Table13[[#This Row],[Direction]],""),VALUE(IF(LEN(_xlpm.steps)&gt;2,LEFT(_xlpm.steps,LEN(_xlpm.steps)-2),0)))</f>
        <v>0</v>
      </c>
      <c r="E727">
        <f>_xlfn.LET(_xlpm.dir,Table13[[#This Row],[Direction]],
IF(_xlpm.dir="L",
    IF(G726-Table13[[#This Row],[Steps]]&lt;0,100+(G726-Table13[[#This Row],[Steps]]),G726-Table13[[#This Row],[Steps]]),
))</f>
        <v>0</v>
      </c>
      <c r="F727">
        <f>_xlfn.LET(_xlpm.dir,Table13[[#This Row],[Direction]],
IF(_xlpm.dir="R",
    IF(G726+Table13[[#This Row],[Steps]]&gt;99,(G726+Table13[[#This Row],[Steps]])-100,G726+Table13[[#This Row],[Steps]]),
))</f>
        <v>13</v>
      </c>
      <c r="G727">
        <f>IF(Table13[[#This Row],[New Pos L]]&lt;&gt;0,Table13[[#This Row],[New Pos L]],Table13[[#This Row],[New Pos R]])</f>
        <v>13</v>
      </c>
      <c r="H727">
        <f>IF(AND(Table13[[#This Row],[Direction]]="L",Table13[[#This Row],[Steps]]&gt;G726,G726&lt;&gt;0),1,0)</f>
        <v>0</v>
      </c>
      <c r="I727">
        <f>IF(AND(Table13[[#This Row],[Direction]]="R",(G726+Table13[[#This Row],[Steps]])&gt;100),1,0)</f>
        <v>1</v>
      </c>
      <c r="J727">
        <f>IF(Table13[[#This Row],[POS]]=0,1,0)</f>
        <v>0</v>
      </c>
      <c r="K727">
        <f>SUM(Table13[[#This Row],[prefix]],Table13[[#This Row],[Past zero L]],Table13[[#This Row],[Past Zero R]],Table13[[#This Row],[Is Zero]])</f>
        <v>1</v>
      </c>
    </row>
    <row r="728" spans="1:11" ht="16" x14ac:dyDescent="0.2">
      <c r="A728" s="1" t="s">
        <v>213</v>
      </c>
      <c r="B728" t="str">
        <f>LEFT(Table13[[#This Row],[Input]],1)</f>
        <v>R</v>
      </c>
      <c r="C728">
        <f>_xlfn.LET(_xlpm.steps,SUBSTITUTE(Table13[[#This Row],[Input]],Table13[[#This Row],[Direction]],""),VALUE(IF(LEN(_xlpm.steps)&gt;2,RIGHT(_xlpm.steps,2),_xlpm.steps)))</f>
        <v>87</v>
      </c>
      <c r="D728">
        <f>_xlfn.LET(_xlpm.steps,SUBSTITUTE(Table13[[#This Row],[Input]],Table13[[#This Row],[Direction]],""),VALUE(IF(LEN(_xlpm.steps)&gt;2,LEFT(_xlpm.steps,LEN(_xlpm.steps)-2),0)))</f>
        <v>0</v>
      </c>
      <c r="E728">
        <f>_xlfn.LET(_xlpm.dir,Table13[[#This Row],[Direction]],
IF(_xlpm.dir="L",
    IF(G727-Table13[[#This Row],[Steps]]&lt;0,100+(G727-Table13[[#This Row],[Steps]]),G727-Table13[[#This Row],[Steps]]),
))</f>
        <v>0</v>
      </c>
      <c r="F728">
        <f>_xlfn.LET(_xlpm.dir,Table13[[#This Row],[Direction]],
IF(_xlpm.dir="R",
    IF(G727+Table13[[#This Row],[Steps]]&gt;99,(G727+Table13[[#This Row],[Steps]])-100,G727+Table13[[#This Row],[Steps]]),
))</f>
        <v>0</v>
      </c>
      <c r="G728">
        <f>IF(Table13[[#This Row],[New Pos L]]&lt;&gt;0,Table13[[#This Row],[New Pos L]],Table13[[#This Row],[New Pos R]])</f>
        <v>0</v>
      </c>
      <c r="H728">
        <f>IF(AND(Table13[[#This Row],[Direction]]="L",Table13[[#This Row],[Steps]]&gt;G727,G727&lt;&gt;0),1,0)</f>
        <v>0</v>
      </c>
      <c r="I728">
        <f>IF(AND(Table13[[#This Row],[Direction]]="R",(G727+Table13[[#This Row],[Steps]])&gt;100),1,0)</f>
        <v>0</v>
      </c>
      <c r="J728">
        <f>IF(Table13[[#This Row],[POS]]=0,1,0)</f>
        <v>1</v>
      </c>
      <c r="K728">
        <f>SUM(Table13[[#This Row],[prefix]],Table13[[#This Row],[Past zero L]],Table13[[#This Row],[Past Zero R]],Table13[[#This Row],[Is Zero]])</f>
        <v>1</v>
      </c>
    </row>
    <row r="729" spans="1:11" ht="16" x14ac:dyDescent="0.2">
      <c r="A729" s="1" t="s">
        <v>205</v>
      </c>
      <c r="B729" t="str">
        <f>LEFT(Table13[[#This Row],[Input]],1)</f>
        <v>R</v>
      </c>
      <c r="C729">
        <f>_xlfn.LET(_xlpm.steps,SUBSTITUTE(Table13[[#This Row],[Input]],Table13[[#This Row],[Direction]],""),VALUE(IF(LEN(_xlpm.steps)&gt;2,RIGHT(_xlpm.steps,2),_xlpm.steps)))</f>
        <v>83</v>
      </c>
      <c r="D729">
        <f>_xlfn.LET(_xlpm.steps,SUBSTITUTE(Table13[[#This Row],[Input]],Table13[[#This Row],[Direction]],""),VALUE(IF(LEN(_xlpm.steps)&gt;2,LEFT(_xlpm.steps,LEN(_xlpm.steps)-2),0)))</f>
        <v>0</v>
      </c>
      <c r="E729">
        <f>_xlfn.LET(_xlpm.dir,Table13[[#This Row],[Direction]],
IF(_xlpm.dir="L",
    IF(G728-Table13[[#This Row],[Steps]]&lt;0,100+(G728-Table13[[#This Row],[Steps]]),G728-Table13[[#This Row],[Steps]]),
))</f>
        <v>0</v>
      </c>
      <c r="F729">
        <f>_xlfn.LET(_xlpm.dir,Table13[[#This Row],[Direction]],
IF(_xlpm.dir="R",
    IF(G728+Table13[[#This Row],[Steps]]&gt;99,(G728+Table13[[#This Row],[Steps]])-100,G728+Table13[[#This Row],[Steps]]),
))</f>
        <v>83</v>
      </c>
      <c r="G729">
        <f>IF(Table13[[#This Row],[New Pos L]]&lt;&gt;0,Table13[[#This Row],[New Pos L]],Table13[[#This Row],[New Pos R]])</f>
        <v>83</v>
      </c>
      <c r="H729">
        <f>IF(AND(Table13[[#This Row],[Direction]]="L",Table13[[#This Row],[Steps]]&gt;G728,G728&lt;&gt;0),1,0)</f>
        <v>0</v>
      </c>
      <c r="I729">
        <f>IF(AND(Table13[[#This Row],[Direction]]="R",(G728+Table13[[#This Row],[Steps]])&gt;100),1,0)</f>
        <v>0</v>
      </c>
      <c r="J729">
        <f>IF(Table13[[#This Row],[POS]]=0,1,0)</f>
        <v>0</v>
      </c>
      <c r="K729">
        <f>SUM(Table13[[#This Row],[prefix]],Table13[[#This Row],[Past zero L]],Table13[[#This Row],[Past Zero R]],Table13[[#This Row],[Is Zero]])</f>
        <v>0</v>
      </c>
    </row>
    <row r="730" spans="1:11" ht="16" x14ac:dyDescent="0.2">
      <c r="A730" s="1" t="s">
        <v>187</v>
      </c>
      <c r="B730" t="str">
        <f>LEFT(Table13[[#This Row],[Input]],1)</f>
        <v>R</v>
      </c>
      <c r="C730">
        <f>_xlfn.LET(_xlpm.steps,SUBSTITUTE(Table13[[#This Row],[Input]],Table13[[#This Row],[Direction]],""),VALUE(IF(LEN(_xlpm.steps)&gt;2,RIGHT(_xlpm.steps,2),_xlpm.steps)))</f>
        <v>20</v>
      </c>
      <c r="D730">
        <f>_xlfn.LET(_xlpm.steps,SUBSTITUTE(Table13[[#This Row],[Input]],Table13[[#This Row],[Direction]],""),VALUE(IF(LEN(_xlpm.steps)&gt;2,LEFT(_xlpm.steps,LEN(_xlpm.steps)-2),0)))</f>
        <v>0</v>
      </c>
      <c r="E730">
        <f>_xlfn.LET(_xlpm.dir,Table13[[#This Row],[Direction]],
IF(_xlpm.dir="L",
    IF(G729-Table13[[#This Row],[Steps]]&lt;0,100+(G729-Table13[[#This Row],[Steps]]),G729-Table13[[#This Row],[Steps]]),
))</f>
        <v>0</v>
      </c>
      <c r="F730">
        <f>_xlfn.LET(_xlpm.dir,Table13[[#This Row],[Direction]],
IF(_xlpm.dir="R",
    IF(G729+Table13[[#This Row],[Steps]]&gt;99,(G729+Table13[[#This Row],[Steps]])-100,G729+Table13[[#This Row],[Steps]]),
))</f>
        <v>3</v>
      </c>
      <c r="G730">
        <f>IF(Table13[[#This Row],[New Pos L]]&lt;&gt;0,Table13[[#This Row],[New Pos L]],Table13[[#This Row],[New Pos R]])</f>
        <v>3</v>
      </c>
      <c r="H730">
        <f>IF(AND(Table13[[#This Row],[Direction]]="L",Table13[[#This Row],[Steps]]&gt;G729,G729&lt;&gt;0),1,0)</f>
        <v>0</v>
      </c>
      <c r="I730">
        <f>IF(AND(Table13[[#This Row],[Direction]]="R",(G729+Table13[[#This Row],[Steps]])&gt;100),1,0)</f>
        <v>1</v>
      </c>
      <c r="J730">
        <f>IF(Table13[[#This Row],[POS]]=0,1,0)</f>
        <v>0</v>
      </c>
      <c r="K730">
        <f>SUM(Table13[[#This Row],[prefix]],Table13[[#This Row],[Past zero L]],Table13[[#This Row],[Past Zero R]],Table13[[#This Row],[Is Zero]])</f>
        <v>1</v>
      </c>
    </row>
    <row r="731" spans="1:11" ht="16" x14ac:dyDescent="0.2">
      <c r="A731" s="1" t="s">
        <v>293</v>
      </c>
      <c r="B731" t="str">
        <f>LEFT(Table13[[#This Row],[Input]],1)</f>
        <v>R</v>
      </c>
      <c r="C731">
        <f>_xlfn.LET(_xlpm.steps,SUBSTITUTE(Table13[[#This Row],[Input]],Table13[[#This Row],[Direction]],""),VALUE(IF(LEN(_xlpm.steps)&gt;2,RIGHT(_xlpm.steps,2),_xlpm.steps)))</f>
        <v>67</v>
      </c>
      <c r="D731">
        <f>_xlfn.LET(_xlpm.steps,SUBSTITUTE(Table13[[#This Row],[Input]],Table13[[#This Row],[Direction]],""),VALUE(IF(LEN(_xlpm.steps)&gt;2,LEFT(_xlpm.steps,LEN(_xlpm.steps)-2),0)))</f>
        <v>0</v>
      </c>
      <c r="E731">
        <f>_xlfn.LET(_xlpm.dir,Table13[[#This Row],[Direction]],
IF(_xlpm.dir="L",
    IF(G730-Table13[[#This Row],[Steps]]&lt;0,100+(G730-Table13[[#This Row],[Steps]]),G730-Table13[[#This Row],[Steps]]),
))</f>
        <v>0</v>
      </c>
      <c r="F731">
        <f>_xlfn.LET(_xlpm.dir,Table13[[#This Row],[Direction]],
IF(_xlpm.dir="R",
    IF(G730+Table13[[#This Row],[Steps]]&gt;99,(G730+Table13[[#This Row],[Steps]])-100,G730+Table13[[#This Row],[Steps]]),
))</f>
        <v>70</v>
      </c>
      <c r="G731">
        <f>IF(Table13[[#This Row],[New Pos L]]&lt;&gt;0,Table13[[#This Row],[New Pos L]],Table13[[#This Row],[New Pos R]])</f>
        <v>70</v>
      </c>
      <c r="H731">
        <f>IF(AND(Table13[[#This Row],[Direction]]="L",Table13[[#This Row],[Steps]]&gt;G730,G730&lt;&gt;0),1,0)</f>
        <v>0</v>
      </c>
      <c r="I731">
        <f>IF(AND(Table13[[#This Row],[Direction]]="R",(G730+Table13[[#This Row],[Steps]])&gt;100),1,0)</f>
        <v>0</v>
      </c>
      <c r="J731">
        <f>IF(Table13[[#This Row],[POS]]=0,1,0)</f>
        <v>0</v>
      </c>
      <c r="K731">
        <f>SUM(Table13[[#This Row],[prefix]],Table13[[#This Row],[Past zero L]],Table13[[#This Row],[Past Zero R]],Table13[[#This Row],[Is Zero]])</f>
        <v>0</v>
      </c>
    </row>
    <row r="732" spans="1:11" ht="16" x14ac:dyDescent="0.2">
      <c r="A732" s="1" t="s">
        <v>305</v>
      </c>
      <c r="B732" t="str">
        <f>LEFT(Table13[[#This Row],[Input]],1)</f>
        <v>L</v>
      </c>
      <c r="C732">
        <f>_xlfn.LET(_xlpm.steps,SUBSTITUTE(Table13[[#This Row],[Input]],Table13[[#This Row],[Direction]],""),VALUE(IF(LEN(_xlpm.steps)&gt;2,RIGHT(_xlpm.steps,2),_xlpm.steps)))</f>
        <v>72</v>
      </c>
      <c r="D732">
        <f>_xlfn.LET(_xlpm.steps,SUBSTITUTE(Table13[[#This Row],[Input]],Table13[[#This Row],[Direction]],""),VALUE(IF(LEN(_xlpm.steps)&gt;2,LEFT(_xlpm.steps,LEN(_xlpm.steps)-2),0)))</f>
        <v>8</v>
      </c>
      <c r="E732">
        <f>_xlfn.LET(_xlpm.dir,Table13[[#This Row],[Direction]],
IF(_xlpm.dir="L",
    IF(G731-Table13[[#This Row],[Steps]]&lt;0,100+(G731-Table13[[#This Row],[Steps]]),G731-Table13[[#This Row],[Steps]]),
))</f>
        <v>98</v>
      </c>
      <c r="F732">
        <f>_xlfn.LET(_xlpm.dir,Table13[[#This Row],[Direction]],
IF(_xlpm.dir="R",
    IF(G731+Table13[[#This Row],[Steps]]&gt;99,(G731+Table13[[#This Row],[Steps]])-100,G731+Table13[[#This Row],[Steps]]),
))</f>
        <v>0</v>
      </c>
      <c r="G732">
        <f>IF(Table13[[#This Row],[New Pos L]]&lt;&gt;0,Table13[[#This Row],[New Pos L]],Table13[[#This Row],[New Pos R]])</f>
        <v>98</v>
      </c>
      <c r="H732">
        <f>IF(AND(Table13[[#This Row],[Direction]]="L",Table13[[#This Row],[Steps]]&gt;G731,G731&lt;&gt;0),1,0)</f>
        <v>1</v>
      </c>
      <c r="I732">
        <f>IF(AND(Table13[[#This Row],[Direction]]="R",(G731+Table13[[#This Row],[Steps]])&gt;100),1,0)</f>
        <v>0</v>
      </c>
      <c r="J732">
        <f>IF(Table13[[#This Row],[POS]]=0,1,0)</f>
        <v>0</v>
      </c>
      <c r="K732">
        <f>SUM(Table13[[#This Row],[prefix]],Table13[[#This Row],[Past zero L]],Table13[[#This Row],[Past Zero R]],Table13[[#This Row],[Is Zero]])</f>
        <v>9</v>
      </c>
    </row>
    <row r="733" spans="1:11" ht="16" x14ac:dyDescent="0.2">
      <c r="A733" s="1" t="s">
        <v>1</v>
      </c>
      <c r="B733" t="str">
        <f>LEFT(Table13[[#This Row],[Input]],1)</f>
        <v>R</v>
      </c>
      <c r="C733">
        <f>_xlfn.LET(_xlpm.steps,SUBSTITUTE(Table13[[#This Row],[Input]],Table13[[#This Row],[Direction]],""),VALUE(IF(LEN(_xlpm.steps)&gt;2,RIGHT(_xlpm.steps,2),_xlpm.steps)))</f>
        <v>26</v>
      </c>
      <c r="D733">
        <f>_xlfn.LET(_xlpm.steps,SUBSTITUTE(Table13[[#This Row],[Input]],Table13[[#This Row],[Direction]],""),VALUE(IF(LEN(_xlpm.steps)&gt;2,LEFT(_xlpm.steps,LEN(_xlpm.steps)-2),0)))</f>
        <v>0</v>
      </c>
      <c r="E733">
        <f>_xlfn.LET(_xlpm.dir,Table13[[#This Row],[Direction]],
IF(_xlpm.dir="L",
    IF(G732-Table13[[#This Row],[Steps]]&lt;0,100+(G732-Table13[[#This Row],[Steps]]),G732-Table13[[#This Row],[Steps]]),
))</f>
        <v>0</v>
      </c>
      <c r="F733">
        <f>_xlfn.LET(_xlpm.dir,Table13[[#This Row],[Direction]],
IF(_xlpm.dir="R",
    IF(G732+Table13[[#This Row],[Steps]]&gt;99,(G732+Table13[[#This Row],[Steps]])-100,G732+Table13[[#This Row],[Steps]]),
))</f>
        <v>24</v>
      </c>
      <c r="G733">
        <f>IF(Table13[[#This Row],[New Pos L]]&lt;&gt;0,Table13[[#This Row],[New Pos L]],Table13[[#This Row],[New Pos R]])</f>
        <v>24</v>
      </c>
      <c r="H733">
        <f>IF(AND(Table13[[#This Row],[Direction]]="L",Table13[[#This Row],[Steps]]&gt;G732,G732&lt;&gt;0),1,0)</f>
        <v>0</v>
      </c>
      <c r="I733">
        <f>IF(AND(Table13[[#This Row],[Direction]]="R",(G732+Table13[[#This Row],[Steps]])&gt;100),1,0)</f>
        <v>1</v>
      </c>
      <c r="J733">
        <f>IF(Table13[[#This Row],[POS]]=0,1,0)</f>
        <v>0</v>
      </c>
      <c r="K733">
        <f>SUM(Table13[[#This Row],[prefix]],Table13[[#This Row],[Past zero L]],Table13[[#This Row],[Past Zero R]],Table13[[#This Row],[Is Zero]])</f>
        <v>1</v>
      </c>
    </row>
    <row r="734" spans="1:11" ht="16" x14ac:dyDescent="0.2">
      <c r="A734" s="1" t="s">
        <v>306</v>
      </c>
      <c r="B734" t="str">
        <f>LEFT(Table13[[#This Row],[Input]],1)</f>
        <v>L</v>
      </c>
      <c r="C734">
        <f>_xlfn.LET(_xlpm.steps,SUBSTITUTE(Table13[[#This Row],[Input]],Table13[[#This Row],[Direction]],""),VALUE(IF(LEN(_xlpm.steps)&gt;2,RIGHT(_xlpm.steps,2),_xlpm.steps)))</f>
        <v>90</v>
      </c>
      <c r="D734">
        <f>_xlfn.LET(_xlpm.steps,SUBSTITUTE(Table13[[#This Row],[Input]],Table13[[#This Row],[Direction]],""),VALUE(IF(LEN(_xlpm.steps)&gt;2,LEFT(_xlpm.steps,LEN(_xlpm.steps)-2),0)))</f>
        <v>7</v>
      </c>
      <c r="E734">
        <f>_xlfn.LET(_xlpm.dir,Table13[[#This Row],[Direction]],
IF(_xlpm.dir="L",
    IF(G733-Table13[[#This Row],[Steps]]&lt;0,100+(G733-Table13[[#This Row],[Steps]]),G733-Table13[[#This Row],[Steps]]),
))</f>
        <v>34</v>
      </c>
      <c r="F734">
        <f>_xlfn.LET(_xlpm.dir,Table13[[#This Row],[Direction]],
IF(_xlpm.dir="R",
    IF(G733+Table13[[#This Row],[Steps]]&gt;99,(G733+Table13[[#This Row],[Steps]])-100,G733+Table13[[#This Row],[Steps]]),
))</f>
        <v>0</v>
      </c>
      <c r="G734">
        <f>IF(Table13[[#This Row],[New Pos L]]&lt;&gt;0,Table13[[#This Row],[New Pos L]],Table13[[#This Row],[New Pos R]])</f>
        <v>34</v>
      </c>
      <c r="H734">
        <f>IF(AND(Table13[[#This Row],[Direction]]="L",Table13[[#This Row],[Steps]]&gt;G733,G733&lt;&gt;0),1,0)</f>
        <v>1</v>
      </c>
      <c r="I734">
        <f>IF(AND(Table13[[#This Row],[Direction]]="R",(G733+Table13[[#This Row],[Steps]])&gt;100),1,0)</f>
        <v>0</v>
      </c>
      <c r="J734">
        <f>IF(Table13[[#This Row],[POS]]=0,1,0)</f>
        <v>0</v>
      </c>
      <c r="K734">
        <f>SUM(Table13[[#This Row],[prefix]],Table13[[#This Row],[Past zero L]],Table13[[#This Row],[Past Zero R]],Table13[[#This Row],[Is Zero]])</f>
        <v>8</v>
      </c>
    </row>
    <row r="735" spans="1:11" ht="16" x14ac:dyDescent="0.2">
      <c r="A735" s="1" t="s">
        <v>110</v>
      </c>
      <c r="B735" t="str">
        <f>LEFT(Table13[[#This Row],[Input]],1)</f>
        <v>L</v>
      </c>
      <c r="C735">
        <f>_xlfn.LET(_xlpm.steps,SUBSTITUTE(Table13[[#This Row],[Input]],Table13[[#This Row],[Direction]],""),VALUE(IF(LEN(_xlpm.steps)&gt;2,RIGHT(_xlpm.steps,2),_xlpm.steps)))</f>
        <v>81</v>
      </c>
      <c r="D735">
        <f>_xlfn.LET(_xlpm.steps,SUBSTITUTE(Table13[[#This Row],[Input]],Table13[[#This Row],[Direction]],""),VALUE(IF(LEN(_xlpm.steps)&gt;2,LEFT(_xlpm.steps,LEN(_xlpm.steps)-2),0)))</f>
        <v>0</v>
      </c>
      <c r="E735">
        <f>_xlfn.LET(_xlpm.dir,Table13[[#This Row],[Direction]],
IF(_xlpm.dir="L",
    IF(G734-Table13[[#This Row],[Steps]]&lt;0,100+(G734-Table13[[#This Row],[Steps]]),G734-Table13[[#This Row],[Steps]]),
))</f>
        <v>53</v>
      </c>
      <c r="F735">
        <f>_xlfn.LET(_xlpm.dir,Table13[[#This Row],[Direction]],
IF(_xlpm.dir="R",
    IF(G734+Table13[[#This Row],[Steps]]&gt;99,(G734+Table13[[#This Row],[Steps]])-100,G734+Table13[[#This Row],[Steps]]),
))</f>
        <v>0</v>
      </c>
      <c r="G735">
        <f>IF(Table13[[#This Row],[New Pos L]]&lt;&gt;0,Table13[[#This Row],[New Pos L]],Table13[[#This Row],[New Pos R]])</f>
        <v>53</v>
      </c>
      <c r="H735">
        <f>IF(AND(Table13[[#This Row],[Direction]]="L",Table13[[#This Row],[Steps]]&gt;G734,G734&lt;&gt;0),1,0)</f>
        <v>1</v>
      </c>
      <c r="I735">
        <f>IF(AND(Table13[[#This Row],[Direction]]="R",(G734+Table13[[#This Row],[Steps]])&gt;100),1,0)</f>
        <v>0</v>
      </c>
      <c r="J735">
        <f>IF(Table13[[#This Row],[POS]]=0,1,0)</f>
        <v>0</v>
      </c>
      <c r="K735">
        <f>SUM(Table13[[#This Row],[prefix]],Table13[[#This Row],[Past zero L]],Table13[[#This Row],[Past Zero R]],Table13[[#This Row],[Is Zero]])</f>
        <v>1</v>
      </c>
    </row>
    <row r="736" spans="1:11" ht="16" x14ac:dyDescent="0.2">
      <c r="A736" s="1" t="s">
        <v>19</v>
      </c>
      <c r="B736" t="str">
        <f>LEFT(Table13[[#This Row],[Input]],1)</f>
        <v>R</v>
      </c>
      <c r="C736">
        <f>_xlfn.LET(_xlpm.steps,SUBSTITUTE(Table13[[#This Row],[Input]],Table13[[#This Row],[Direction]],""),VALUE(IF(LEN(_xlpm.steps)&gt;2,RIGHT(_xlpm.steps,2),_xlpm.steps)))</f>
        <v>47</v>
      </c>
      <c r="D736">
        <f>_xlfn.LET(_xlpm.steps,SUBSTITUTE(Table13[[#This Row],[Input]],Table13[[#This Row],[Direction]],""),VALUE(IF(LEN(_xlpm.steps)&gt;2,LEFT(_xlpm.steps,LEN(_xlpm.steps)-2),0)))</f>
        <v>0</v>
      </c>
      <c r="E736">
        <f>_xlfn.LET(_xlpm.dir,Table13[[#This Row],[Direction]],
IF(_xlpm.dir="L",
    IF(G735-Table13[[#This Row],[Steps]]&lt;0,100+(G735-Table13[[#This Row],[Steps]]),G735-Table13[[#This Row],[Steps]]),
))</f>
        <v>0</v>
      </c>
      <c r="F736">
        <f>_xlfn.LET(_xlpm.dir,Table13[[#This Row],[Direction]],
IF(_xlpm.dir="R",
    IF(G735+Table13[[#This Row],[Steps]]&gt;99,(G735+Table13[[#This Row],[Steps]])-100,G735+Table13[[#This Row],[Steps]]),
))</f>
        <v>0</v>
      </c>
      <c r="G736">
        <f>IF(Table13[[#This Row],[New Pos L]]&lt;&gt;0,Table13[[#This Row],[New Pos L]],Table13[[#This Row],[New Pos R]])</f>
        <v>0</v>
      </c>
      <c r="H736">
        <f>IF(AND(Table13[[#This Row],[Direction]]="L",Table13[[#This Row],[Steps]]&gt;G735,G735&lt;&gt;0),1,0)</f>
        <v>0</v>
      </c>
      <c r="I736">
        <f>IF(AND(Table13[[#This Row],[Direction]]="R",(G735+Table13[[#This Row],[Steps]])&gt;100),1,0)</f>
        <v>0</v>
      </c>
      <c r="J736">
        <f>IF(Table13[[#This Row],[POS]]=0,1,0)</f>
        <v>1</v>
      </c>
      <c r="K736">
        <f>SUM(Table13[[#This Row],[prefix]],Table13[[#This Row],[Past zero L]],Table13[[#This Row],[Past Zero R]],Table13[[#This Row],[Is Zero]])</f>
        <v>1</v>
      </c>
    </row>
    <row r="737" spans="1:11" ht="16" x14ac:dyDescent="0.2">
      <c r="A737" s="1" t="s">
        <v>272</v>
      </c>
      <c r="B737" t="str">
        <f>LEFT(Table13[[#This Row],[Input]],1)</f>
        <v>R</v>
      </c>
      <c r="C737">
        <f>_xlfn.LET(_xlpm.steps,SUBSTITUTE(Table13[[#This Row],[Input]],Table13[[#This Row],[Direction]],""),VALUE(IF(LEN(_xlpm.steps)&gt;2,RIGHT(_xlpm.steps,2),_xlpm.steps)))</f>
        <v>56</v>
      </c>
      <c r="D737">
        <f>_xlfn.LET(_xlpm.steps,SUBSTITUTE(Table13[[#This Row],[Input]],Table13[[#This Row],[Direction]],""),VALUE(IF(LEN(_xlpm.steps)&gt;2,LEFT(_xlpm.steps,LEN(_xlpm.steps)-2),0)))</f>
        <v>0</v>
      </c>
      <c r="E737">
        <f>_xlfn.LET(_xlpm.dir,Table13[[#This Row],[Direction]],
IF(_xlpm.dir="L",
    IF(G736-Table13[[#This Row],[Steps]]&lt;0,100+(G736-Table13[[#This Row],[Steps]]),G736-Table13[[#This Row],[Steps]]),
))</f>
        <v>0</v>
      </c>
      <c r="F737">
        <f>_xlfn.LET(_xlpm.dir,Table13[[#This Row],[Direction]],
IF(_xlpm.dir="R",
    IF(G736+Table13[[#This Row],[Steps]]&gt;99,(G736+Table13[[#This Row],[Steps]])-100,G736+Table13[[#This Row],[Steps]]),
))</f>
        <v>56</v>
      </c>
      <c r="G737">
        <f>IF(Table13[[#This Row],[New Pos L]]&lt;&gt;0,Table13[[#This Row],[New Pos L]],Table13[[#This Row],[New Pos R]])</f>
        <v>56</v>
      </c>
      <c r="H737">
        <f>IF(AND(Table13[[#This Row],[Direction]]="L",Table13[[#This Row],[Steps]]&gt;G736,G736&lt;&gt;0),1,0)</f>
        <v>0</v>
      </c>
      <c r="I737">
        <f>IF(AND(Table13[[#This Row],[Direction]]="R",(G736+Table13[[#This Row],[Steps]])&gt;100),1,0)</f>
        <v>0</v>
      </c>
      <c r="J737">
        <f>IF(Table13[[#This Row],[POS]]=0,1,0)</f>
        <v>0</v>
      </c>
      <c r="K737">
        <f>SUM(Table13[[#This Row],[prefix]],Table13[[#This Row],[Past zero L]],Table13[[#This Row],[Past Zero R]],Table13[[#This Row],[Is Zero]])</f>
        <v>0</v>
      </c>
    </row>
    <row r="738" spans="1:11" ht="16" x14ac:dyDescent="0.2">
      <c r="A738" s="1" t="s">
        <v>256</v>
      </c>
      <c r="B738" t="str">
        <f>LEFT(Table13[[#This Row],[Input]],1)</f>
        <v>R</v>
      </c>
      <c r="C738">
        <f>_xlfn.LET(_xlpm.steps,SUBSTITUTE(Table13[[#This Row],[Input]],Table13[[#This Row],[Direction]],""),VALUE(IF(LEN(_xlpm.steps)&gt;2,RIGHT(_xlpm.steps,2),_xlpm.steps)))</f>
        <v>13</v>
      </c>
      <c r="D738">
        <f>_xlfn.LET(_xlpm.steps,SUBSTITUTE(Table13[[#This Row],[Input]],Table13[[#This Row],[Direction]],""),VALUE(IF(LEN(_xlpm.steps)&gt;2,LEFT(_xlpm.steps,LEN(_xlpm.steps)-2),0)))</f>
        <v>0</v>
      </c>
      <c r="E738">
        <f>_xlfn.LET(_xlpm.dir,Table13[[#This Row],[Direction]],
IF(_xlpm.dir="L",
    IF(G737-Table13[[#This Row],[Steps]]&lt;0,100+(G737-Table13[[#This Row],[Steps]]),G737-Table13[[#This Row],[Steps]]),
))</f>
        <v>0</v>
      </c>
      <c r="F738">
        <f>_xlfn.LET(_xlpm.dir,Table13[[#This Row],[Direction]],
IF(_xlpm.dir="R",
    IF(G737+Table13[[#This Row],[Steps]]&gt;99,(G737+Table13[[#This Row],[Steps]])-100,G737+Table13[[#This Row],[Steps]]),
))</f>
        <v>69</v>
      </c>
      <c r="G738">
        <f>IF(Table13[[#This Row],[New Pos L]]&lt;&gt;0,Table13[[#This Row],[New Pos L]],Table13[[#This Row],[New Pos R]])</f>
        <v>69</v>
      </c>
      <c r="H738">
        <f>IF(AND(Table13[[#This Row],[Direction]]="L",Table13[[#This Row],[Steps]]&gt;G737,G737&lt;&gt;0),1,0)</f>
        <v>0</v>
      </c>
      <c r="I738">
        <f>IF(AND(Table13[[#This Row],[Direction]]="R",(G737+Table13[[#This Row],[Steps]])&gt;100),1,0)</f>
        <v>0</v>
      </c>
      <c r="J738">
        <f>IF(Table13[[#This Row],[POS]]=0,1,0)</f>
        <v>0</v>
      </c>
      <c r="K738">
        <f>SUM(Table13[[#This Row],[prefix]],Table13[[#This Row],[Past zero L]],Table13[[#This Row],[Past Zero R]],Table13[[#This Row],[Is Zero]])</f>
        <v>0</v>
      </c>
    </row>
    <row r="739" spans="1:11" ht="16" x14ac:dyDescent="0.2">
      <c r="A739" s="1" t="s">
        <v>307</v>
      </c>
      <c r="B739" t="str">
        <f>LEFT(Table13[[#This Row],[Input]],1)</f>
        <v>R</v>
      </c>
      <c r="C739">
        <f>_xlfn.LET(_xlpm.steps,SUBSTITUTE(Table13[[#This Row],[Input]],Table13[[#This Row],[Direction]],""),VALUE(IF(LEN(_xlpm.steps)&gt;2,RIGHT(_xlpm.steps,2),_xlpm.steps)))</f>
        <v>94</v>
      </c>
      <c r="D739">
        <f>_xlfn.LET(_xlpm.steps,SUBSTITUTE(Table13[[#This Row],[Input]],Table13[[#This Row],[Direction]],""),VALUE(IF(LEN(_xlpm.steps)&gt;2,LEFT(_xlpm.steps,LEN(_xlpm.steps)-2),0)))</f>
        <v>6</v>
      </c>
      <c r="E739">
        <f>_xlfn.LET(_xlpm.dir,Table13[[#This Row],[Direction]],
IF(_xlpm.dir="L",
    IF(G738-Table13[[#This Row],[Steps]]&lt;0,100+(G738-Table13[[#This Row],[Steps]]),G738-Table13[[#This Row],[Steps]]),
))</f>
        <v>0</v>
      </c>
      <c r="F739">
        <f>_xlfn.LET(_xlpm.dir,Table13[[#This Row],[Direction]],
IF(_xlpm.dir="R",
    IF(G738+Table13[[#This Row],[Steps]]&gt;99,(G738+Table13[[#This Row],[Steps]])-100,G738+Table13[[#This Row],[Steps]]),
))</f>
        <v>63</v>
      </c>
      <c r="G739">
        <f>IF(Table13[[#This Row],[New Pos L]]&lt;&gt;0,Table13[[#This Row],[New Pos L]],Table13[[#This Row],[New Pos R]])</f>
        <v>63</v>
      </c>
      <c r="H739">
        <f>IF(AND(Table13[[#This Row],[Direction]]="L",Table13[[#This Row],[Steps]]&gt;G738,G738&lt;&gt;0),1,0)</f>
        <v>0</v>
      </c>
      <c r="I739">
        <f>IF(AND(Table13[[#This Row],[Direction]]="R",(G738+Table13[[#This Row],[Steps]])&gt;100),1,0)</f>
        <v>1</v>
      </c>
      <c r="J739">
        <f>IF(Table13[[#This Row],[POS]]=0,1,0)</f>
        <v>0</v>
      </c>
      <c r="K739">
        <f>SUM(Table13[[#This Row],[prefix]],Table13[[#This Row],[Past zero L]],Table13[[#This Row],[Past Zero R]],Table13[[#This Row],[Is Zero]])</f>
        <v>7</v>
      </c>
    </row>
    <row r="740" spans="1:11" ht="16" x14ac:dyDescent="0.2">
      <c r="A740" s="1" t="s">
        <v>131</v>
      </c>
      <c r="B740" t="str">
        <f>LEFT(Table13[[#This Row],[Input]],1)</f>
        <v>R</v>
      </c>
      <c r="C740">
        <f>_xlfn.LET(_xlpm.steps,SUBSTITUTE(Table13[[#This Row],[Input]],Table13[[#This Row],[Direction]],""),VALUE(IF(LEN(_xlpm.steps)&gt;2,RIGHT(_xlpm.steps,2),_xlpm.steps)))</f>
        <v>99</v>
      </c>
      <c r="D740">
        <f>_xlfn.LET(_xlpm.steps,SUBSTITUTE(Table13[[#This Row],[Input]],Table13[[#This Row],[Direction]],""),VALUE(IF(LEN(_xlpm.steps)&gt;2,LEFT(_xlpm.steps,LEN(_xlpm.steps)-2),0)))</f>
        <v>0</v>
      </c>
      <c r="E740">
        <f>_xlfn.LET(_xlpm.dir,Table13[[#This Row],[Direction]],
IF(_xlpm.dir="L",
    IF(G739-Table13[[#This Row],[Steps]]&lt;0,100+(G739-Table13[[#This Row],[Steps]]),G739-Table13[[#This Row],[Steps]]),
))</f>
        <v>0</v>
      </c>
      <c r="F740">
        <f>_xlfn.LET(_xlpm.dir,Table13[[#This Row],[Direction]],
IF(_xlpm.dir="R",
    IF(G739+Table13[[#This Row],[Steps]]&gt;99,(G739+Table13[[#This Row],[Steps]])-100,G739+Table13[[#This Row],[Steps]]),
))</f>
        <v>62</v>
      </c>
      <c r="G740">
        <f>IF(Table13[[#This Row],[New Pos L]]&lt;&gt;0,Table13[[#This Row],[New Pos L]],Table13[[#This Row],[New Pos R]])</f>
        <v>62</v>
      </c>
      <c r="H740">
        <f>IF(AND(Table13[[#This Row],[Direction]]="L",Table13[[#This Row],[Steps]]&gt;G739,G739&lt;&gt;0),1,0)</f>
        <v>0</v>
      </c>
      <c r="I740">
        <f>IF(AND(Table13[[#This Row],[Direction]]="R",(G739+Table13[[#This Row],[Steps]])&gt;100),1,0)</f>
        <v>1</v>
      </c>
      <c r="J740">
        <f>IF(Table13[[#This Row],[POS]]=0,1,0)</f>
        <v>0</v>
      </c>
      <c r="K740">
        <f>SUM(Table13[[#This Row],[prefix]],Table13[[#This Row],[Past zero L]],Table13[[#This Row],[Past Zero R]],Table13[[#This Row],[Is Zero]])</f>
        <v>1</v>
      </c>
    </row>
    <row r="741" spans="1:11" ht="16" x14ac:dyDescent="0.2">
      <c r="A741" s="1" t="s">
        <v>127</v>
      </c>
      <c r="B741" t="str">
        <f>LEFT(Table13[[#This Row],[Input]],1)</f>
        <v>L</v>
      </c>
      <c r="C741">
        <f>_xlfn.LET(_xlpm.steps,SUBSTITUTE(Table13[[#This Row],[Input]],Table13[[#This Row],[Direction]],""),VALUE(IF(LEN(_xlpm.steps)&gt;2,RIGHT(_xlpm.steps,2),_xlpm.steps)))</f>
        <v>62</v>
      </c>
      <c r="D741">
        <f>_xlfn.LET(_xlpm.steps,SUBSTITUTE(Table13[[#This Row],[Input]],Table13[[#This Row],[Direction]],""),VALUE(IF(LEN(_xlpm.steps)&gt;2,LEFT(_xlpm.steps,LEN(_xlpm.steps)-2),0)))</f>
        <v>0</v>
      </c>
      <c r="E741">
        <f>_xlfn.LET(_xlpm.dir,Table13[[#This Row],[Direction]],
IF(_xlpm.dir="L",
    IF(G740-Table13[[#This Row],[Steps]]&lt;0,100+(G740-Table13[[#This Row],[Steps]]),G740-Table13[[#This Row],[Steps]]),
))</f>
        <v>0</v>
      </c>
      <c r="F741">
        <f>_xlfn.LET(_xlpm.dir,Table13[[#This Row],[Direction]],
IF(_xlpm.dir="R",
    IF(G740+Table13[[#This Row],[Steps]]&gt;99,(G740+Table13[[#This Row],[Steps]])-100,G740+Table13[[#This Row],[Steps]]),
))</f>
        <v>0</v>
      </c>
      <c r="G741">
        <f>IF(Table13[[#This Row],[New Pos L]]&lt;&gt;0,Table13[[#This Row],[New Pos L]],Table13[[#This Row],[New Pos R]])</f>
        <v>0</v>
      </c>
      <c r="H741">
        <f>IF(AND(Table13[[#This Row],[Direction]]="L",Table13[[#This Row],[Steps]]&gt;G740,G740&lt;&gt;0),1,0)</f>
        <v>0</v>
      </c>
      <c r="I741">
        <f>IF(AND(Table13[[#This Row],[Direction]]="R",(G740+Table13[[#This Row],[Steps]])&gt;100),1,0)</f>
        <v>0</v>
      </c>
      <c r="J741">
        <f>IF(Table13[[#This Row],[POS]]=0,1,0)</f>
        <v>1</v>
      </c>
      <c r="K741">
        <f>SUM(Table13[[#This Row],[prefix]],Table13[[#This Row],[Past zero L]],Table13[[#This Row],[Past Zero R]],Table13[[#This Row],[Is Zero]])</f>
        <v>1</v>
      </c>
    </row>
    <row r="742" spans="1:11" ht="16" x14ac:dyDescent="0.2">
      <c r="A742" s="1" t="s">
        <v>100</v>
      </c>
      <c r="B742" t="str">
        <f>LEFT(Table13[[#This Row],[Input]],1)</f>
        <v>R</v>
      </c>
      <c r="C742">
        <f>_xlfn.LET(_xlpm.steps,SUBSTITUTE(Table13[[#This Row],[Input]],Table13[[#This Row],[Direction]],""),VALUE(IF(LEN(_xlpm.steps)&gt;2,RIGHT(_xlpm.steps,2),_xlpm.steps)))</f>
        <v>58</v>
      </c>
      <c r="D742">
        <f>_xlfn.LET(_xlpm.steps,SUBSTITUTE(Table13[[#This Row],[Input]],Table13[[#This Row],[Direction]],""),VALUE(IF(LEN(_xlpm.steps)&gt;2,LEFT(_xlpm.steps,LEN(_xlpm.steps)-2),0)))</f>
        <v>0</v>
      </c>
      <c r="E742">
        <f>_xlfn.LET(_xlpm.dir,Table13[[#This Row],[Direction]],
IF(_xlpm.dir="L",
    IF(G741-Table13[[#This Row],[Steps]]&lt;0,100+(G741-Table13[[#This Row],[Steps]]),G741-Table13[[#This Row],[Steps]]),
))</f>
        <v>0</v>
      </c>
      <c r="F742">
        <f>_xlfn.LET(_xlpm.dir,Table13[[#This Row],[Direction]],
IF(_xlpm.dir="R",
    IF(G741+Table13[[#This Row],[Steps]]&gt;99,(G741+Table13[[#This Row],[Steps]])-100,G741+Table13[[#This Row],[Steps]]),
))</f>
        <v>58</v>
      </c>
      <c r="G742">
        <f>IF(Table13[[#This Row],[New Pos L]]&lt;&gt;0,Table13[[#This Row],[New Pos L]],Table13[[#This Row],[New Pos R]])</f>
        <v>58</v>
      </c>
      <c r="H742">
        <f>IF(AND(Table13[[#This Row],[Direction]]="L",Table13[[#This Row],[Steps]]&gt;G741,G741&lt;&gt;0),1,0)</f>
        <v>0</v>
      </c>
      <c r="I742">
        <f>IF(AND(Table13[[#This Row],[Direction]]="R",(G741+Table13[[#This Row],[Steps]])&gt;100),1,0)</f>
        <v>0</v>
      </c>
      <c r="J742">
        <f>IF(Table13[[#This Row],[POS]]=0,1,0)</f>
        <v>0</v>
      </c>
      <c r="K742">
        <f>SUM(Table13[[#This Row],[prefix]],Table13[[#This Row],[Past zero L]],Table13[[#This Row],[Past Zero R]],Table13[[#This Row],[Is Zero]])</f>
        <v>0</v>
      </c>
    </row>
    <row r="743" spans="1:11" ht="16" x14ac:dyDescent="0.2">
      <c r="A743" s="1" t="s">
        <v>207</v>
      </c>
      <c r="B743" t="str">
        <f>LEFT(Table13[[#This Row],[Input]],1)</f>
        <v>L</v>
      </c>
      <c r="C743">
        <f>_xlfn.LET(_xlpm.steps,SUBSTITUTE(Table13[[#This Row],[Input]],Table13[[#This Row],[Direction]],""),VALUE(IF(LEN(_xlpm.steps)&gt;2,RIGHT(_xlpm.steps,2),_xlpm.steps)))</f>
        <v>89</v>
      </c>
      <c r="D743">
        <f>_xlfn.LET(_xlpm.steps,SUBSTITUTE(Table13[[#This Row],[Input]],Table13[[#This Row],[Direction]],""),VALUE(IF(LEN(_xlpm.steps)&gt;2,LEFT(_xlpm.steps,LEN(_xlpm.steps)-2),0)))</f>
        <v>0</v>
      </c>
      <c r="E743">
        <f>_xlfn.LET(_xlpm.dir,Table13[[#This Row],[Direction]],
IF(_xlpm.dir="L",
    IF(G742-Table13[[#This Row],[Steps]]&lt;0,100+(G742-Table13[[#This Row],[Steps]]),G742-Table13[[#This Row],[Steps]]),
))</f>
        <v>69</v>
      </c>
      <c r="F743">
        <f>_xlfn.LET(_xlpm.dir,Table13[[#This Row],[Direction]],
IF(_xlpm.dir="R",
    IF(G742+Table13[[#This Row],[Steps]]&gt;99,(G742+Table13[[#This Row],[Steps]])-100,G742+Table13[[#This Row],[Steps]]),
))</f>
        <v>0</v>
      </c>
      <c r="G743">
        <f>IF(Table13[[#This Row],[New Pos L]]&lt;&gt;0,Table13[[#This Row],[New Pos L]],Table13[[#This Row],[New Pos R]])</f>
        <v>69</v>
      </c>
      <c r="H743">
        <f>IF(AND(Table13[[#This Row],[Direction]]="L",Table13[[#This Row],[Steps]]&gt;G742,G742&lt;&gt;0),1,0)</f>
        <v>1</v>
      </c>
      <c r="I743">
        <f>IF(AND(Table13[[#This Row],[Direction]]="R",(G742+Table13[[#This Row],[Steps]])&gt;100),1,0)</f>
        <v>0</v>
      </c>
      <c r="J743">
        <f>IF(Table13[[#This Row],[POS]]=0,1,0)</f>
        <v>0</v>
      </c>
      <c r="K743">
        <f>SUM(Table13[[#This Row],[prefix]],Table13[[#This Row],[Past zero L]],Table13[[#This Row],[Past Zero R]],Table13[[#This Row],[Is Zero]])</f>
        <v>1</v>
      </c>
    </row>
    <row r="744" spans="1:11" ht="16" x14ac:dyDescent="0.2">
      <c r="A744" s="1" t="s">
        <v>308</v>
      </c>
      <c r="B744" t="str">
        <f>LEFT(Table13[[#This Row],[Input]],1)</f>
        <v>R</v>
      </c>
      <c r="C744">
        <f>_xlfn.LET(_xlpm.steps,SUBSTITUTE(Table13[[#This Row],[Input]],Table13[[#This Row],[Direction]],""),VALUE(IF(LEN(_xlpm.steps)&gt;2,RIGHT(_xlpm.steps,2),_xlpm.steps)))</f>
        <v>31</v>
      </c>
      <c r="D744">
        <f>_xlfn.LET(_xlpm.steps,SUBSTITUTE(Table13[[#This Row],[Input]],Table13[[#This Row],[Direction]],""),VALUE(IF(LEN(_xlpm.steps)&gt;2,LEFT(_xlpm.steps,LEN(_xlpm.steps)-2),0)))</f>
        <v>7</v>
      </c>
      <c r="E744">
        <f>_xlfn.LET(_xlpm.dir,Table13[[#This Row],[Direction]],
IF(_xlpm.dir="L",
    IF(G743-Table13[[#This Row],[Steps]]&lt;0,100+(G743-Table13[[#This Row],[Steps]]),G743-Table13[[#This Row],[Steps]]),
))</f>
        <v>0</v>
      </c>
      <c r="F744">
        <f>_xlfn.LET(_xlpm.dir,Table13[[#This Row],[Direction]],
IF(_xlpm.dir="R",
    IF(G743+Table13[[#This Row],[Steps]]&gt;99,(G743+Table13[[#This Row],[Steps]])-100,G743+Table13[[#This Row],[Steps]]),
))</f>
        <v>0</v>
      </c>
      <c r="G744">
        <f>IF(Table13[[#This Row],[New Pos L]]&lt;&gt;0,Table13[[#This Row],[New Pos L]],Table13[[#This Row],[New Pos R]])</f>
        <v>0</v>
      </c>
      <c r="H744">
        <f>IF(AND(Table13[[#This Row],[Direction]]="L",Table13[[#This Row],[Steps]]&gt;G743,G743&lt;&gt;0),1,0)</f>
        <v>0</v>
      </c>
      <c r="I744">
        <f>IF(AND(Table13[[#This Row],[Direction]]="R",(G743+Table13[[#This Row],[Steps]])&gt;100),1,0)</f>
        <v>0</v>
      </c>
      <c r="J744">
        <f>IF(Table13[[#This Row],[POS]]=0,1,0)</f>
        <v>1</v>
      </c>
      <c r="K744">
        <f>SUM(Table13[[#This Row],[prefix]],Table13[[#This Row],[Past zero L]],Table13[[#This Row],[Past Zero R]],Table13[[#This Row],[Is Zero]])</f>
        <v>8</v>
      </c>
    </row>
    <row r="745" spans="1:11" ht="16" x14ac:dyDescent="0.2">
      <c r="A745" s="1" t="s">
        <v>201</v>
      </c>
      <c r="B745" t="str">
        <f>LEFT(Table13[[#This Row],[Input]],1)</f>
        <v>R</v>
      </c>
      <c r="C745">
        <f>_xlfn.LET(_xlpm.steps,SUBSTITUTE(Table13[[#This Row],[Input]],Table13[[#This Row],[Direction]],""),VALUE(IF(LEN(_xlpm.steps)&gt;2,RIGHT(_xlpm.steps,2),_xlpm.steps)))</f>
        <v>31</v>
      </c>
      <c r="D745">
        <f>_xlfn.LET(_xlpm.steps,SUBSTITUTE(Table13[[#This Row],[Input]],Table13[[#This Row],[Direction]],""),VALUE(IF(LEN(_xlpm.steps)&gt;2,LEFT(_xlpm.steps,LEN(_xlpm.steps)-2),0)))</f>
        <v>0</v>
      </c>
      <c r="E745">
        <f>_xlfn.LET(_xlpm.dir,Table13[[#This Row],[Direction]],
IF(_xlpm.dir="L",
    IF(G744-Table13[[#This Row],[Steps]]&lt;0,100+(G744-Table13[[#This Row],[Steps]]),G744-Table13[[#This Row],[Steps]]),
))</f>
        <v>0</v>
      </c>
      <c r="F745">
        <f>_xlfn.LET(_xlpm.dir,Table13[[#This Row],[Direction]],
IF(_xlpm.dir="R",
    IF(G744+Table13[[#This Row],[Steps]]&gt;99,(G744+Table13[[#This Row],[Steps]])-100,G744+Table13[[#This Row],[Steps]]),
))</f>
        <v>31</v>
      </c>
      <c r="G745">
        <f>IF(Table13[[#This Row],[New Pos L]]&lt;&gt;0,Table13[[#This Row],[New Pos L]],Table13[[#This Row],[New Pos R]])</f>
        <v>31</v>
      </c>
      <c r="H745">
        <f>IF(AND(Table13[[#This Row],[Direction]]="L",Table13[[#This Row],[Steps]]&gt;G744,G744&lt;&gt;0),1,0)</f>
        <v>0</v>
      </c>
      <c r="I745">
        <f>IF(AND(Table13[[#This Row],[Direction]]="R",(G744+Table13[[#This Row],[Steps]])&gt;100),1,0)</f>
        <v>0</v>
      </c>
      <c r="J745">
        <f>IF(Table13[[#This Row],[POS]]=0,1,0)</f>
        <v>0</v>
      </c>
      <c r="K745">
        <f>SUM(Table13[[#This Row],[prefix]],Table13[[#This Row],[Past zero L]],Table13[[#This Row],[Past Zero R]],Table13[[#This Row],[Is Zero]])</f>
        <v>0</v>
      </c>
    </row>
    <row r="746" spans="1:11" ht="16" x14ac:dyDescent="0.2">
      <c r="A746" s="1" t="s">
        <v>309</v>
      </c>
      <c r="B746" t="str">
        <f>LEFT(Table13[[#This Row],[Input]],1)</f>
        <v>L</v>
      </c>
      <c r="C746">
        <f>_xlfn.LET(_xlpm.steps,SUBSTITUTE(Table13[[#This Row],[Input]],Table13[[#This Row],[Direction]],""),VALUE(IF(LEN(_xlpm.steps)&gt;2,RIGHT(_xlpm.steps,2),_xlpm.steps)))</f>
        <v>41</v>
      </c>
      <c r="D746">
        <f>_xlfn.LET(_xlpm.steps,SUBSTITUTE(Table13[[#This Row],[Input]],Table13[[#This Row],[Direction]],""),VALUE(IF(LEN(_xlpm.steps)&gt;2,LEFT(_xlpm.steps,LEN(_xlpm.steps)-2),0)))</f>
        <v>0</v>
      </c>
      <c r="E746">
        <f>_xlfn.LET(_xlpm.dir,Table13[[#This Row],[Direction]],
IF(_xlpm.dir="L",
    IF(G745-Table13[[#This Row],[Steps]]&lt;0,100+(G745-Table13[[#This Row],[Steps]]),G745-Table13[[#This Row],[Steps]]),
))</f>
        <v>90</v>
      </c>
      <c r="F746">
        <f>_xlfn.LET(_xlpm.dir,Table13[[#This Row],[Direction]],
IF(_xlpm.dir="R",
    IF(G745+Table13[[#This Row],[Steps]]&gt;99,(G745+Table13[[#This Row],[Steps]])-100,G745+Table13[[#This Row],[Steps]]),
))</f>
        <v>0</v>
      </c>
      <c r="G746">
        <f>IF(Table13[[#This Row],[New Pos L]]&lt;&gt;0,Table13[[#This Row],[New Pos L]],Table13[[#This Row],[New Pos R]])</f>
        <v>90</v>
      </c>
      <c r="H746">
        <f>IF(AND(Table13[[#This Row],[Direction]]="L",Table13[[#This Row],[Steps]]&gt;G745,G745&lt;&gt;0),1,0)</f>
        <v>1</v>
      </c>
      <c r="I746">
        <f>IF(AND(Table13[[#This Row],[Direction]]="R",(G745+Table13[[#This Row],[Steps]])&gt;100),1,0)</f>
        <v>0</v>
      </c>
      <c r="J746">
        <f>IF(Table13[[#This Row],[POS]]=0,1,0)</f>
        <v>0</v>
      </c>
      <c r="K746">
        <f>SUM(Table13[[#This Row],[prefix]],Table13[[#This Row],[Past zero L]],Table13[[#This Row],[Past Zero R]],Table13[[#This Row],[Is Zero]])</f>
        <v>1</v>
      </c>
    </row>
    <row r="747" spans="1:11" ht="16" x14ac:dyDescent="0.2">
      <c r="A747" s="1" t="s">
        <v>141</v>
      </c>
      <c r="B747" t="str">
        <f>LEFT(Table13[[#This Row],[Input]],1)</f>
        <v>L</v>
      </c>
      <c r="C747">
        <f>_xlfn.LET(_xlpm.steps,SUBSTITUTE(Table13[[#This Row],[Input]],Table13[[#This Row],[Direction]],""),VALUE(IF(LEN(_xlpm.steps)&gt;2,RIGHT(_xlpm.steps,2),_xlpm.steps)))</f>
        <v>90</v>
      </c>
      <c r="D747">
        <f>_xlfn.LET(_xlpm.steps,SUBSTITUTE(Table13[[#This Row],[Input]],Table13[[#This Row],[Direction]],""),VALUE(IF(LEN(_xlpm.steps)&gt;2,LEFT(_xlpm.steps,LEN(_xlpm.steps)-2),0)))</f>
        <v>0</v>
      </c>
      <c r="E747">
        <f>_xlfn.LET(_xlpm.dir,Table13[[#This Row],[Direction]],
IF(_xlpm.dir="L",
    IF(G746-Table13[[#This Row],[Steps]]&lt;0,100+(G746-Table13[[#This Row],[Steps]]),G746-Table13[[#This Row],[Steps]]),
))</f>
        <v>0</v>
      </c>
      <c r="F747">
        <f>_xlfn.LET(_xlpm.dir,Table13[[#This Row],[Direction]],
IF(_xlpm.dir="R",
    IF(G746+Table13[[#This Row],[Steps]]&gt;99,(G746+Table13[[#This Row],[Steps]])-100,G746+Table13[[#This Row],[Steps]]),
))</f>
        <v>0</v>
      </c>
      <c r="G747">
        <f>IF(Table13[[#This Row],[New Pos L]]&lt;&gt;0,Table13[[#This Row],[New Pos L]],Table13[[#This Row],[New Pos R]])</f>
        <v>0</v>
      </c>
      <c r="H747">
        <f>IF(AND(Table13[[#This Row],[Direction]]="L",Table13[[#This Row],[Steps]]&gt;G746,G746&lt;&gt;0),1,0)</f>
        <v>0</v>
      </c>
      <c r="I747">
        <f>IF(AND(Table13[[#This Row],[Direction]]="R",(G746+Table13[[#This Row],[Steps]])&gt;100),1,0)</f>
        <v>0</v>
      </c>
      <c r="J747">
        <f>IF(Table13[[#This Row],[POS]]=0,1,0)</f>
        <v>1</v>
      </c>
      <c r="K747">
        <f>SUM(Table13[[#This Row],[prefix]],Table13[[#This Row],[Past zero L]],Table13[[#This Row],[Past Zero R]],Table13[[#This Row],[Is Zero]])</f>
        <v>1</v>
      </c>
    </row>
    <row r="748" spans="1:11" ht="16" x14ac:dyDescent="0.2">
      <c r="A748" s="1" t="s">
        <v>128</v>
      </c>
      <c r="B748" t="str">
        <f>LEFT(Table13[[#This Row],[Input]],1)</f>
        <v>R</v>
      </c>
      <c r="C748">
        <f>_xlfn.LET(_xlpm.steps,SUBSTITUTE(Table13[[#This Row],[Input]],Table13[[#This Row],[Direction]],""),VALUE(IF(LEN(_xlpm.steps)&gt;2,RIGHT(_xlpm.steps,2),_xlpm.steps)))</f>
        <v>92</v>
      </c>
      <c r="D748">
        <f>_xlfn.LET(_xlpm.steps,SUBSTITUTE(Table13[[#This Row],[Input]],Table13[[#This Row],[Direction]],""),VALUE(IF(LEN(_xlpm.steps)&gt;2,LEFT(_xlpm.steps,LEN(_xlpm.steps)-2),0)))</f>
        <v>0</v>
      </c>
      <c r="E748">
        <f>_xlfn.LET(_xlpm.dir,Table13[[#This Row],[Direction]],
IF(_xlpm.dir="L",
    IF(G747-Table13[[#This Row],[Steps]]&lt;0,100+(G747-Table13[[#This Row],[Steps]]),G747-Table13[[#This Row],[Steps]]),
))</f>
        <v>0</v>
      </c>
      <c r="F748">
        <f>_xlfn.LET(_xlpm.dir,Table13[[#This Row],[Direction]],
IF(_xlpm.dir="R",
    IF(G747+Table13[[#This Row],[Steps]]&gt;99,(G747+Table13[[#This Row],[Steps]])-100,G747+Table13[[#This Row],[Steps]]),
))</f>
        <v>92</v>
      </c>
      <c r="G748">
        <f>IF(Table13[[#This Row],[New Pos L]]&lt;&gt;0,Table13[[#This Row],[New Pos L]],Table13[[#This Row],[New Pos R]])</f>
        <v>92</v>
      </c>
      <c r="H748">
        <f>IF(AND(Table13[[#This Row],[Direction]]="L",Table13[[#This Row],[Steps]]&gt;G747,G747&lt;&gt;0),1,0)</f>
        <v>0</v>
      </c>
      <c r="I748">
        <f>IF(AND(Table13[[#This Row],[Direction]]="R",(G747+Table13[[#This Row],[Steps]])&gt;100),1,0)</f>
        <v>0</v>
      </c>
      <c r="J748">
        <f>IF(Table13[[#This Row],[POS]]=0,1,0)</f>
        <v>0</v>
      </c>
      <c r="K748">
        <f>SUM(Table13[[#This Row],[prefix]],Table13[[#This Row],[Past zero L]],Table13[[#This Row],[Past Zero R]],Table13[[#This Row],[Is Zero]])</f>
        <v>0</v>
      </c>
    </row>
    <row r="749" spans="1:11" ht="16" x14ac:dyDescent="0.2">
      <c r="A749" s="1" t="s">
        <v>62</v>
      </c>
      <c r="B749" t="str">
        <f>LEFT(Table13[[#This Row],[Input]],1)</f>
        <v>L</v>
      </c>
      <c r="C749">
        <f>_xlfn.LET(_xlpm.steps,SUBSTITUTE(Table13[[#This Row],[Input]],Table13[[#This Row],[Direction]],""),VALUE(IF(LEN(_xlpm.steps)&gt;2,RIGHT(_xlpm.steps,2),_xlpm.steps)))</f>
        <v>57</v>
      </c>
      <c r="D749">
        <f>_xlfn.LET(_xlpm.steps,SUBSTITUTE(Table13[[#This Row],[Input]],Table13[[#This Row],[Direction]],""),VALUE(IF(LEN(_xlpm.steps)&gt;2,LEFT(_xlpm.steps,LEN(_xlpm.steps)-2),0)))</f>
        <v>0</v>
      </c>
      <c r="E749">
        <f>_xlfn.LET(_xlpm.dir,Table13[[#This Row],[Direction]],
IF(_xlpm.dir="L",
    IF(G748-Table13[[#This Row],[Steps]]&lt;0,100+(G748-Table13[[#This Row],[Steps]]),G748-Table13[[#This Row],[Steps]]),
))</f>
        <v>35</v>
      </c>
      <c r="F749">
        <f>_xlfn.LET(_xlpm.dir,Table13[[#This Row],[Direction]],
IF(_xlpm.dir="R",
    IF(G748+Table13[[#This Row],[Steps]]&gt;99,(G748+Table13[[#This Row],[Steps]])-100,G748+Table13[[#This Row],[Steps]]),
))</f>
        <v>0</v>
      </c>
      <c r="G749">
        <f>IF(Table13[[#This Row],[New Pos L]]&lt;&gt;0,Table13[[#This Row],[New Pos L]],Table13[[#This Row],[New Pos R]])</f>
        <v>35</v>
      </c>
      <c r="H749">
        <f>IF(AND(Table13[[#This Row],[Direction]]="L",Table13[[#This Row],[Steps]]&gt;G748,G748&lt;&gt;0),1,0)</f>
        <v>0</v>
      </c>
      <c r="I749">
        <f>IF(AND(Table13[[#This Row],[Direction]]="R",(G748+Table13[[#This Row],[Steps]])&gt;100),1,0)</f>
        <v>0</v>
      </c>
      <c r="J749">
        <f>IF(Table13[[#This Row],[POS]]=0,1,0)</f>
        <v>0</v>
      </c>
      <c r="K749">
        <f>SUM(Table13[[#This Row],[prefix]],Table13[[#This Row],[Past zero L]],Table13[[#This Row],[Past Zero R]],Table13[[#This Row],[Is Zero]])</f>
        <v>0</v>
      </c>
    </row>
    <row r="750" spans="1:11" ht="16" x14ac:dyDescent="0.2">
      <c r="A750" s="1" t="s">
        <v>13</v>
      </c>
      <c r="B750" t="str">
        <f>LEFT(Table13[[#This Row],[Input]],1)</f>
        <v>R</v>
      </c>
      <c r="C750">
        <f>_xlfn.LET(_xlpm.steps,SUBSTITUTE(Table13[[#This Row],[Input]],Table13[[#This Row],[Direction]],""),VALUE(IF(LEN(_xlpm.steps)&gt;2,RIGHT(_xlpm.steps,2),_xlpm.steps)))</f>
        <v>12</v>
      </c>
      <c r="D750">
        <f>_xlfn.LET(_xlpm.steps,SUBSTITUTE(Table13[[#This Row],[Input]],Table13[[#This Row],[Direction]],""),VALUE(IF(LEN(_xlpm.steps)&gt;2,LEFT(_xlpm.steps,LEN(_xlpm.steps)-2),0)))</f>
        <v>0</v>
      </c>
      <c r="E750">
        <f>_xlfn.LET(_xlpm.dir,Table13[[#This Row],[Direction]],
IF(_xlpm.dir="L",
    IF(G749-Table13[[#This Row],[Steps]]&lt;0,100+(G749-Table13[[#This Row],[Steps]]),G749-Table13[[#This Row],[Steps]]),
))</f>
        <v>0</v>
      </c>
      <c r="F750">
        <f>_xlfn.LET(_xlpm.dir,Table13[[#This Row],[Direction]],
IF(_xlpm.dir="R",
    IF(G749+Table13[[#This Row],[Steps]]&gt;99,(G749+Table13[[#This Row],[Steps]])-100,G749+Table13[[#This Row],[Steps]]),
))</f>
        <v>47</v>
      </c>
      <c r="G750">
        <f>IF(Table13[[#This Row],[New Pos L]]&lt;&gt;0,Table13[[#This Row],[New Pos L]],Table13[[#This Row],[New Pos R]])</f>
        <v>47</v>
      </c>
      <c r="H750">
        <f>IF(AND(Table13[[#This Row],[Direction]]="L",Table13[[#This Row],[Steps]]&gt;G749,G749&lt;&gt;0),1,0)</f>
        <v>0</v>
      </c>
      <c r="I750">
        <f>IF(AND(Table13[[#This Row],[Direction]]="R",(G749+Table13[[#This Row],[Steps]])&gt;100),1,0)</f>
        <v>0</v>
      </c>
      <c r="J750">
        <f>IF(Table13[[#This Row],[POS]]=0,1,0)</f>
        <v>0</v>
      </c>
      <c r="K750">
        <f>SUM(Table13[[#This Row],[prefix]],Table13[[#This Row],[Past zero L]],Table13[[#This Row],[Past Zero R]],Table13[[#This Row],[Is Zero]])</f>
        <v>0</v>
      </c>
    </row>
    <row r="751" spans="1:11" ht="16" x14ac:dyDescent="0.2">
      <c r="A751" s="1" t="s">
        <v>126</v>
      </c>
      <c r="B751" t="str">
        <f>LEFT(Table13[[#This Row],[Input]],1)</f>
        <v>R</v>
      </c>
      <c r="C751">
        <f>_xlfn.LET(_xlpm.steps,SUBSTITUTE(Table13[[#This Row],[Input]],Table13[[#This Row],[Direction]],""),VALUE(IF(LEN(_xlpm.steps)&gt;2,RIGHT(_xlpm.steps,2),_xlpm.steps)))</f>
        <v>65</v>
      </c>
      <c r="D751">
        <f>_xlfn.LET(_xlpm.steps,SUBSTITUTE(Table13[[#This Row],[Input]],Table13[[#This Row],[Direction]],""),VALUE(IF(LEN(_xlpm.steps)&gt;2,LEFT(_xlpm.steps,LEN(_xlpm.steps)-2),0)))</f>
        <v>0</v>
      </c>
      <c r="E751">
        <f>_xlfn.LET(_xlpm.dir,Table13[[#This Row],[Direction]],
IF(_xlpm.dir="L",
    IF(G750-Table13[[#This Row],[Steps]]&lt;0,100+(G750-Table13[[#This Row],[Steps]]),G750-Table13[[#This Row],[Steps]]),
))</f>
        <v>0</v>
      </c>
      <c r="F751">
        <f>_xlfn.LET(_xlpm.dir,Table13[[#This Row],[Direction]],
IF(_xlpm.dir="R",
    IF(G750+Table13[[#This Row],[Steps]]&gt;99,(G750+Table13[[#This Row],[Steps]])-100,G750+Table13[[#This Row],[Steps]]),
))</f>
        <v>12</v>
      </c>
      <c r="G751">
        <f>IF(Table13[[#This Row],[New Pos L]]&lt;&gt;0,Table13[[#This Row],[New Pos L]],Table13[[#This Row],[New Pos R]])</f>
        <v>12</v>
      </c>
      <c r="H751">
        <f>IF(AND(Table13[[#This Row],[Direction]]="L",Table13[[#This Row],[Steps]]&gt;G750,G750&lt;&gt;0),1,0)</f>
        <v>0</v>
      </c>
      <c r="I751">
        <f>IF(AND(Table13[[#This Row],[Direction]]="R",(G750+Table13[[#This Row],[Steps]])&gt;100),1,0)</f>
        <v>1</v>
      </c>
      <c r="J751">
        <f>IF(Table13[[#This Row],[POS]]=0,1,0)</f>
        <v>0</v>
      </c>
      <c r="K751">
        <f>SUM(Table13[[#This Row],[prefix]],Table13[[#This Row],[Past zero L]],Table13[[#This Row],[Past Zero R]],Table13[[#This Row],[Is Zero]])</f>
        <v>1</v>
      </c>
    </row>
    <row r="752" spans="1:11" ht="16" x14ac:dyDescent="0.2">
      <c r="A752" s="1" t="s">
        <v>84</v>
      </c>
      <c r="B752" t="str">
        <f>LEFT(Table13[[#This Row],[Input]],1)</f>
        <v>R</v>
      </c>
      <c r="C752">
        <f>_xlfn.LET(_xlpm.steps,SUBSTITUTE(Table13[[#This Row],[Input]],Table13[[#This Row],[Direction]],""),VALUE(IF(LEN(_xlpm.steps)&gt;2,RIGHT(_xlpm.steps,2),_xlpm.steps)))</f>
        <v>88</v>
      </c>
      <c r="D752">
        <f>_xlfn.LET(_xlpm.steps,SUBSTITUTE(Table13[[#This Row],[Input]],Table13[[#This Row],[Direction]],""),VALUE(IF(LEN(_xlpm.steps)&gt;2,LEFT(_xlpm.steps,LEN(_xlpm.steps)-2),0)))</f>
        <v>0</v>
      </c>
      <c r="E752">
        <f>_xlfn.LET(_xlpm.dir,Table13[[#This Row],[Direction]],
IF(_xlpm.dir="L",
    IF(G751-Table13[[#This Row],[Steps]]&lt;0,100+(G751-Table13[[#This Row],[Steps]]),G751-Table13[[#This Row],[Steps]]),
))</f>
        <v>0</v>
      </c>
      <c r="F752">
        <f>_xlfn.LET(_xlpm.dir,Table13[[#This Row],[Direction]],
IF(_xlpm.dir="R",
    IF(G751+Table13[[#This Row],[Steps]]&gt;99,(G751+Table13[[#This Row],[Steps]])-100,G751+Table13[[#This Row],[Steps]]),
))</f>
        <v>0</v>
      </c>
      <c r="G752">
        <f>IF(Table13[[#This Row],[New Pos L]]&lt;&gt;0,Table13[[#This Row],[New Pos L]],Table13[[#This Row],[New Pos R]])</f>
        <v>0</v>
      </c>
      <c r="H752">
        <f>IF(AND(Table13[[#This Row],[Direction]]="L",Table13[[#This Row],[Steps]]&gt;G751,G751&lt;&gt;0),1,0)</f>
        <v>0</v>
      </c>
      <c r="I752">
        <f>IF(AND(Table13[[#This Row],[Direction]]="R",(G751+Table13[[#This Row],[Steps]])&gt;100),1,0)</f>
        <v>0</v>
      </c>
      <c r="J752">
        <f>IF(Table13[[#This Row],[POS]]=0,1,0)</f>
        <v>1</v>
      </c>
      <c r="K752">
        <f>SUM(Table13[[#This Row],[prefix]],Table13[[#This Row],[Past zero L]],Table13[[#This Row],[Past Zero R]],Table13[[#This Row],[Is Zero]])</f>
        <v>1</v>
      </c>
    </row>
    <row r="753" spans="1:11" ht="16" x14ac:dyDescent="0.2">
      <c r="A753" s="1" t="s">
        <v>276</v>
      </c>
      <c r="B753" t="str">
        <f>LEFT(Table13[[#This Row],[Input]],1)</f>
        <v>L</v>
      </c>
      <c r="C753">
        <f>_xlfn.LET(_xlpm.steps,SUBSTITUTE(Table13[[#This Row],[Input]],Table13[[#This Row],[Direction]],""),VALUE(IF(LEN(_xlpm.steps)&gt;2,RIGHT(_xlpm.steps,2),_xlpm.steps)))</f>
        <v>60</v>
      </c>
      <c r="D753">
        <f>_xlfn.LET(_xlpm.steps,SUBSTITUTE(Table13[[#This Row],[Input]],Table13[[#This Row],[Direction]],""),VALUE(IF(LEN(_xlpm.steps)&gt;2,LEFT(_xlpm.steps,LEN(_xlpm.steps)-2),0)))</f>
        <v>0</v>
      </c>
      <c r="E753">
        <f>_xlfn.LET(_xlpm.dir,Table13[[#This Row],[Direction]],
IF(_xlpm.dir="L",
    IF(G752-Table13[[#This Row],[Steps]]&lt;0,100+(G752-Table13[[#This Row],[Steps]]),G752-Table13[[#This Row],[Steps]]),
))</f>
        <v>40</v>
      </c>
      <c r="F753">
        <f>_xlfn.LET(_xlpm.dir,Table13[[#This Row],[Direction]],
IF(_xlpm.dir="R",
    IF(G752+Table13[[#This Row],[Steps]]&gt;99,(G752+Table13[[#This Row],[Steps]])-100,G752+Table13[[#This Row],[Steps]]),
))</f>
        <v>0</v>
      </c>
      <c r="G753">
        <f>IF(Table13[[#This Row],[New Pos L]]&lt;&gt;0,Table13[[#This Row],[New Pos L]],Table13[[#This Row],[New Pos R]])</f>
        <v>40</v>
      </c>
      <c r="H753">
        <f>IF(AND(Table13[[#This Row],[Direction]]="L",Table13[[#This Row],[Steps]]&gt;G752,G752&lt;&gt;0),1,0)</f>
        <v>0</v>
      </c>
      <c r="I753">
        <f>IF(AND(Table13[[#This Row],[Direction]]="R",(G752+Table13[[#This Row],[Steps]])&gt;100),1,0)</f>
        <v>0</v>
      </c>
      <c r="J753">
        <f>IF(Table13[[#This Row],[POS]]=0,1,0)</f>
        <v>0</v>
      </c>
      <c r="K753">
        <f>SUM(Table13[[#This Row],[prefix]],Table13[[#This Row],[Past zero L]],Table13[[#This Row],[Past Zero R]],Table13[[#This Row],[Is Zero]])</f>
        <v>0</v>
      </c>
    </row>
    <row r="754" spans="1:11" ht="16" x14ac:dyDescent="0.2">
      <c r="A754" s="1" t="s">
        <v>278</v>
      </c>
      <c r="B754" t="str">
        <f>LEFT(Table13[[#This Row],[Input]],1)</f>
        <v>L</v>
      </c>
      <c r="C754">
        <f>_xlfn.LET(_xlpm.steps,SUBSTITUTE(Table13[[#This Row],[Input]],Table13[[#This Row],[Direction]],""),VALUE(IF(LEN(_xlpm.steps)&gt;2,RIGHT(_xlpm.steps,2),_xlpm.steps)))</f>
        <v>40</v>
      </c>
      <c r="D754">
        <f>_xlfn.LET(_xlpm.steps,SUBSTITUTE(Table13[[#This Row],[Input]],Table13[[#This Row],[Direction]],""),VALUE(IF(LEN(_xlpm.steps)&gt;2,LEFT(_xlpm.steps,LEN(_xlpm.steps)-2),0)))</f>
        <v>0</v>
      </c>
      <c r="E754">
        <f>_xlfn.LET(_xlpm.dir,Table13[[#This Row],[Direction]],
IF(_xlpm.dir="L",
    IF(G753-Table13[[#This Row],[Steps]]&lt;0,100+(G753-Table13[[#This Row],[Steps]]),G753-Table13[[#This Row],[Steps]]),
))</f>
        <v>0</v>
      </c>
      <c r="F754">
        <f>_xlfn.LET(_xlpm.dir,Table13[[#This Row],[Direction]],
IF(_xlpm.dir="R",
    IF(G753+Table13[[#This Row],[Steps]]&gt;99,(G753+Table13[[#This Row],[Steps]])-100,G753+Table13[[#This Row],[Steps]]),
))</f>
        <v>0</v>
      </c>
      <c r="G754">
        <f>IF(Table13[[#This Row],[New Pos L]]&lt;&gt;0,Table13[[#This Row],[New Pos L]],Table13[[#This Row],[New Pos R]])</f>
        <v>0</v>
      </c>
      <c r="H754">
        <f>IF(AND(Table13[[#This Row],[Direction]]="L",Table13[[#This Row],[Steps]]&gt;G753,G753&lt;&gt;0),1,0)</f>
        <v>0</v>
      </c>
      <c r="I754">
        <f>IF(AND(Table13[[#This Row],[Direction]]="R",(G753+Table13[[#This Row],[Steps]])&gt;100),1,0)</f>
        <v>0</v>
      </c>
      <c r="J754">
        <f>IF(Table13[[#This Row],[POS]]=0,1,0)</f>
        <v>1</v>
      </c>
      <c r="K754">
        <f>SUM(Table13[[#This Row],[prefix]],Table13[[#This Row],[Past zero L]],Table13[[#This Row],[Past Zero R]],Table13[[#This Row],[Is Zero]])</f>
        <v>1</v>
      </c>
    </row>
    <row r="755" spans="1:11" ht="16" x14ac:dyDescent="0.2">
      <c r="A755" s="1" t="s">
        <v>310</v>
      </c>
      <c r="B755" t="str">
        <f>LEFT(Table13[[#This Row],[Input]],1)</f>
        <v>R</v>
      </c>
      <c r="C755">
        <f>_xlfn.LET(_xlpm.steps,SUBSTITUTE(Table13[[#This Row],[Input]],Table13[[#This Row],[Direction]],""),VALUE(IF(LEN(_xlpm.steps)&gt;2,RIGHT(_xlpm.steps,2),_xlpm.steps)))</f>
        <v>12</v>
      </c>
      <c r="D755">
        <f>_xlfn.LET(_xlpm.steps,SUBSTITUTE(Table13[[#This Row],[Input]],Table13[[#This Row],[Direction]],""),VALUE(IF(LEN(_xlpm.steps)&gt;2,LEFT(_xlpm.steps,LEN(_xlpm.steps)-2),0)))</f>
        <v>2</v>
      </c>
      <c r="E755">
        <f>_xlfn.LET(_xlpm.dir,Table13[[#This Row],[Direction]],
IF(_xlpm.dir="L",
    IF(G754-Table13[[#This Row],[Steps]]&lt;0,100+(G754-Table13[[#This Row],[Steps]]),G754-Table13[[#This Row],[Steps]]),
))</f>
        <v>0</v>
      </c>
      <c r="F755">
        <f>_xlfn.LET(_xlpm.dir,Table13[[#This Row],[Direction]],
IF(_xlpm.dir="R",
    IF(G754+Table13[[#This Row],[Steps]]&gt;99,(G754+Table13[[#This Row],[Steps]])-100,G754+Table13[[#This Row],[Steps]]),
))</f>
        <v>12</v>
      </c>
      <c r="G755">
        <f>IF(Table13[[#This Row],[New Pos L]]&lt;&gt;0,Table13[[#This Row],[New Pos L]],Table13[[#This Row],[New Pos R]])</f>
        <v>12</v>
      </c>
      <c r="H755">
        <f>IF(AND(Table13[[#This Row],[Direction]]="L",Table13[[#This Row],[Steps]]&gt;G754,G754&lt;&gt;0),1,0)</f>
        <v>0</v>
      </c>
      <c r="I755">
        <f>IF(AND(Table13[[#This Row],[Direction]]="R",(G754+Table13[[#This Row],[Steps]])&gt;100),1,0)</f>
        <v>0</v>
      </c>
      <c r="J755">
        <f>IF(Table13[[#This Row],[POS]]=0,1,0)</f>
        <v>0</v>
      </c>
      <c r="K755">
        <f>SUM(Table13[[#This Row],[prefix]],Table13[[#This Row],[Past zero L]],Table13[[#This Row],[Past Zero R]],Table13[[#This Row],[Is Zero]])</f>
        <v>2</v>
      </c>
    </row>
    <row r="756" spans="1:11" ht="16" x14ac:dyDescent="0.2">
      <c r="A756" s="1" t="s">
        <v>187</v>
      </c>
      <c r="B756" t="str">
        <f>LEFT(Table13[[#This Row],[Input]],1)</f>
        <v>R</v>
      </c>
      <c r="C756">
        <f>_xlfn.LET(_xlpm.steps,SUBSTITUTE(Table13[[#This Row],[Input]],Table13[[#This Row],[Direction]],""),VALUE(IF(LEN(_xlpm.steps)&gt;2,RIGHT(_xlpm.steps,2),_xlpm.steps)))</f>
        <v>20</v>
      </c>
      <c r="D756">
        <f>_xlfn.LET(_xlpm.steps,SUBSTITUTE(Table13[[#This Row],[Input]],Table13[[#This Row],[Direction]],""),VALUE(IF(LEN(_xlpm.steps)&gt;2,LEFT(_xlpm.steps,LEN(_xlpm.steps)-2),0)))</f>
        <v>0</v>
      </c>
      <c r="E756">
        <f>_xlfn.LET(_xlpm.dir,Table13[[#This Row],[Direction]],
IF(_xlpm.dir="L",
    IF(G755-Table13[[#This Row],[Steps]]&lt;0,100+(G755-Table13[[#This Row],[Steps]]),G755-Table13[[#This Row],[Steps]]),
))</f>
        <v>0</v>
      </c>
      <c r="F756">
        <f>_xlfn.LET(_xlpm.dir,Table13[[#This Row],[Direction]],
IF(_xlpm.dir="R",
    IF(G755+Table13[[#This Row],[Steps]]&gt;99,(G755+Table13[[#This Row],[Steps]])-100,G755+Table13[[#This Row],[Steps]]),
))</f>
        <v>32</v>
      </c>
      <c r="G756">
        <f>IF(Table13[[#This Row],[New Pos L]]&lt;&gt;0,Table13[[#This Row],[New Pos L]],Table13[[#This Row],[New Pos R]])</f>
        <v>32</v>
      </c>
      <c r="H756">
        <f>IF(AND(Table13[[#This Row],[Direction]]="L",Table13[[#This Row],[Steps]]&gt;G755,G755&lt;&gt;0),1,0)</f>
        <v>0</v>
      </c>
      <c r="I756">
        <f>IF(AND(Table13[[#This Row],[Direction]]="R",(G755+Table13[[#This Row],[Steps]])&gt;100),1,0)</f>
        <v>0</v>
      </c>
      <c r="J756">
        <f>IF(Table13[[#This Row],[POS]]=0,1,0)</f>
        <v>0</v>
      </c>
      <c r="K756">
        <f>SUM(Table13[[#This Row],[prefix]],Table13[[#This Row],[Past zero L]],Table13[[#This Row],[Past Zero R]],Table13[[#This Row],[Is Zero]])</f>
        <v>0</v>
      </c>
    </row>
    <row r="757" spans="1:11" ht="16" x14ac:dyDescent="0.2">
      <c r="A757" s="1" t="s">
        <v>120</v>
      </c>
      <c r="B757" t="str">
        <f>LEFT(Table13[[#This Row],[Input]],1)</f>
        <v>L</v>
      </c>
      <c r="C757">
        <f>_xlfn.LET(_xlpm.steps,SUBSTITUTE(Table13[[#This Row],[Input]],Table13[[#This Row],[Direction]],""),VALUE(IF(LEN(_xlpm.steps)&gt;2,RIGHT(_xlpm.steps,2),_xlpm.steps)))</f>
        <v>23</v>
      </c>
      <c r="D757">
        <f>_xlfn.LET(_xlpm.steps,SUBSTITUTE(Table13[[#This Row],[Input]],Table13[[#This Row],[Direction]],""),VALUE(IF(LEN(_xlpm.steps)&gt;2,LEFT(_xlpm.steps,LEN(_xlpm.steps)-2),0)))</f>
        <v>0</v>
      </c>
      <c r="E757">
        <f>_xlfn.LET(_xlpm.dir,Table13[[#This Row],[Direction]],
IF(_xlpm.dir="L",
    IF(G756-Table13[[#This Row],[Steps]]&lt;0,100+(G756-Table13[[#This Row],[Steps]]),G756-Table13[[#This Row],[Steps]]),
))</f>
        <v>9</v>
      </c>
      <c r="F757">
        <f>_xlfn.LET(_xlpm.dir,Table13[[#This Row],[Direction]],
IF(_xlpm.dir="R",
    IF(G756+Table13[[#This Row],[Steps]]&gt;99,(G756+Table13[[#This Row],[Steps]])-100,G756+Table13[[#This Row],[Steps]]),
))</f>
        <v>0</v>
      </c>
      <c r="G757">
        <f>IF(Table13[[#This Row],[New Pos L]]&lt;&gt;0,Table13[[#This Row],[New Pos L]],Table13[[#This Row],[New Pos R]])</f>
        <v>9</v>
      </c>
      <c r="H757">
        <f>IF(AND(Table13[[#This Row],[Direction]]="L",Table13[[#This Row],[Steps]]&gt;G756,G756&lt;&gt;0),1,0)</f>
        <v>0</v>
      </c>
      <c r="I757">
        <f>IF(AND(Table13[[#This Row],[Direction]]="R",(G756+Table13[[#This Row],[Steps]])&gt;100),1,0)</f>
        <v>0</v>
      </c>
      <c r="J757">
        <f>IF(Table13[[#This Row],[POS]]=0,1,0)</f>
        <v>0</v>
      </c>
      <c r="K757">
        <f>SUM(Table13[[#This Row],[prefix]],Table13[[#This Row],[Past zero L]],Table13[[#This Row],[Past Zero R]],Table13[[#This Row],[Is Zero]])</f>
        <v>0</v>
      </c>
    </row>
    <row r="758" spans="1:11" ht="16" x14ac:dyDescent="0.2">
      <c r="A758" s="1" t="s">
        <v>68</v>
      </c>
      <c r="B758" t="str">
        <f>LEFT(Table13[[#This Row],[Input]],1)</f>
        <v>L</v>
      </c>
      <c r="C758">
        <f>_xlfn.LET(_xlpm.steps,SUBSTITUTE(Table13[[#This Row],[Input]],Table13[[#This Row],[Direction]],""),VALUE(IF(LEN(_xlpm.steps)&gt;2,RIGHT(_xlpm.steps,2),_xlpm.steps)))</f>
        <v>80</v>
      </c>
      <c r="D758">
        <f>_xlfn.LET(_xlpm.steps,SUBSTITUTE(Table13[[#This Row],[Input]],Table13[[#This Row],[Direction]],""),VALUE(IF(LEN(_xlpm.steps)&gt;2,LEFT(_xlpm.steps,LEN(_xlpm.steps)-2),0)))</f>
        <v>0</v>
      </c>
      <c r="E758">
        <f>_xlfn.LET(_xlpm.dir,Table13[[#This Row],[Direction]],
IF(_xlpm.dir="L",
    IF(G757-Table13[[#This Row],[Steps]]&lt;0,100+(G757-Table13[[#This Row],[Steps]]),G757-Table13[[#This Row],[Steps]]),
))</f>
        <v>29</v>
      </c>
      <c r="F758">
        <f>_xlfn.LET(_xlpm.dir,Table13[[#This Row],[Direction]],
IF(_xlpm.dir="R",
    IF(G757+Table13[[#This Row],[Steps]]&gt;99,(G757+Table13[[#This Row],[Steps]])-100,G757+Table13[[#This Row],[Steps]]),
))</f>
        <v>0</v>
      </c>
      <c r="G758">
        <f>IF(Table13[[#This Row],[New Pos L]]&lt;&gt;0,Table13[[#This Row],[New Pos L]],Table13[[#This Row],[New Pos R]])</f>
        <v>29</v>
      </c>
      <c r="H758">
        <f>IF(AND(Table13[[#This Row],[Direction]]="L",Table13[[#This Row],[Steps]]&gt;G757,G757&lt;&gt;0),1,0)</f>
        <v>1</v>
      </c>
      <c r="I758">
        <f>IF(AND(Table13[[#This Row],[Direction]]="R",(G757+Table13[[#This Row],[Steps]])&gt;100),1,0)</f>
        <v>0</v>
      </c>
      <c r="J758">
        <f>IF(Table13[[#This Row],[POS]]=0,1,0)</f>
        <v>0</v>
      </c>
      <c r="K758">
        <f>SUM(Table13[[#This Row],[prefix]],Table13[[#This Row],[Past zero L]],Table13[[#This Row],[Past Zero R]],Table13[[#This Row],[Is Zero]])</f>
        <v>1</v>
      </c>
    </row>
    <row r="759" spans="1:11" ht="16" x14ac:dyDescent="0.2">
      <c r="A759" s="1" t="s">
        <v>115</v>
      </c>
      <c r="B759" t="str">
        <f>LEFT(Table13[[#This Row],[Input]],1)</f>
        <v>L</v>
      </c>
      <c r="C759">
        <f>_xlfn.LET(_xlpm.steps,SUBSTITUTE(Table13[[#This Row],[Input]],Table13[[#This Row],[Direction]],""),VALUE(IF(LEN(_xlpm.steps)&gt;2,RIGHT(_xlpm.steps,2),_xlpm.steps)))</f>
        <v>29</v>
      </c>
      <c r="D759">
        <f>_xlfn.LET(_xlpm.steps,SUBSTITUTE(Table13[[#This Row],[Input]],Table13[[#This Row],[Direction]],""),VALUE(IF(LEN(_xlpm.steps)&gt;2,LEFT(_xlpm.steps,LEN(_xlpm.steps)-2),0)))</f>
        <v>0</v>
      </c>
      <c r="E759">
        <f>_xlfn.LET(_xlpm.dir,Table13[[#This Row],[Direction]],
IF(_xlpm.dir="L",
    IF(G758-Table13[[#This Row],[Steps]]&lt;0,100+(G758-Table13[[#This Row],[Steps]]),G758-Table13[[#This Row],[Steps]]),
))</f>
        <v>0</v>
      </c>
      <c r="F759">
        <f>_xlfn.LET(_xlpm.dir,Table13[[#This Row],[Direction]],
IF(_xlpm.dir="R",
    IF(G758+Table13[[#This Row],[Steps]]&gt;99,(G758+Table13[[#This Row],[Steps]])-100,G758+Table13[[#This Row],[Steps]]),
))</f>
        <v>0</v>
      </c>
      <c r="G759">
        <f>IF(Table13[[#This Row],[New Pos L]]&lt;&gt;0,Table13[[#This Row],[New Pos L]],Table13[[#This Row],[New Pos R]])</f>
        <v>0</v>
      </c>
      <c r="H759">
        <f>IF(AND(Table13[[#This Row],[Direction]]="L",Table13[[#This Row],[Steps]]&gt;G758,G758&lt;&gt;0),1,0)</f>
        <v>0</v>
      </c>
      <c r="I759">
        <f>IF(AND(Table13[[#This Row],[Direction]]="R",(G758+Table13[[#This Row],[Steps]])&gt;100),1,0)</f>
        <v>0</v>
      </c>
      <c r="J759">
        <f>IF(Table13[[#This Row],[POS]]=0,1,0)</f>
        <v>1</v>
      </c>
      <c r="K759">
        <f>SUM(Table13[[#This Row],[prefix]],Table13[[#This Row],[Past zero L]],Table13[[#This Row],[Past Zero R]],Table13[[#This Row],[Is Zero]])</f>
        <v>1</v>
      </c>
    </row>
    <row r="760" spans="1:11" ht="16" x14ac:dyDescent="0.2">
      <c r="A760" s="1" t="s">
        <v>311</v>
      </c>
      <c r="B760" t="str">
        <f>LEFT(Table13[[#This Row],[Input]],1)</f>
        <v>L</v>
      </c>
      <c r="C760">
        <f>_xlfn.LET(_xlpm.steps,SUBSTITUTE(Table13[[#This Row],[Input]],Table13[[#This Row],[Direction]],""),VALUE(IF(LEN(_xlpm.steps)&gt;2,RIGHT(_xlpm.steps,2),_xlpm.steps)))</f>
        <v>23</v>
      </c>
      <c r="D760">
        <f>_xlfn.LET(_xlpm.steps,SUBSTITUTE(Table13[[#This Row],[Input]],Table13[[#This Row],[Direction]],""),VALUE(IF(LEN(_xlpm.steps)&gt;2,LEFT(_xlpm.steps,LEN(_xlpm.steps)-2),0)))</f>
        <v>4</v>
      </c>
      <c r="E760">
        <f>_xlfn.LET(_xlpm.dir,Table13[[#This Row],[Direction]],
IF(_xlpm.dir="L",
    IF(G759-Table13[[#This Row],[Steps]]&lt;0,100+(G759-Table13[[#This Row],[Steps]]),G759-Table13[[#This Row],[Steps]]),
))</f>
        <v>77</v>
      </c>
      <c r="F760">
        <f>_xlfn.LET(_xlpm.dir,Table13[[#This Row],[Direction]],
IF(_xlpm.dir="R",
    IF(G759+Table13[[#This Row],[Steps]]&gt;99,(G759+Table13[[#This Row],[Steps]])-100,G759+Table13[[#This Row],[Steps]]),
))</f>
        <v>0</v>
      </c>
      <c r="G760">
        <f>IF(Table13[[#This Row],[New Pos L]]&lt;&gt;0,Table13[[#This Row],[New Pos L]],Table13[[#This Row],[New Pos R]])</f>
        <v>77</v>
      </c>
      <c r="H760">
        <f>IF(AND(Table13[[#This Row],[Direction]]="L",Table13[[#This Row],[Steps]]&gt;G759,G759&lt;&gt;0),1,0)</f>
        <v>0</v>
      </c>
      <c r="I760">
        <f>IF(AND(Table13[[#This Row],[Direction]]="R",(G759+Table13[[#This Row],[Steps]])&gt;100),1,0)</f>
        <v>0</v>
      </c>
      <c r="J760">
        <f>IF(Table13[[#This Row],[POS]]=0,1,0)</f>
        <v>0</v>
      </c>
      <c r="K760">
        <f>SUM(Table13[[#This Row],[prefix]],Table13[[#This Row],[Past zero L]],Table13[[#This Row],[Past Zero R]],Table13[[#This Row],[Is Zero]])</f>
        <v>4</v>
      </c>
    </row>
    <row r="761" spans="1:11" ht="16" x14ac:dyDescent="0.2">
      <c r="A761" s="1" t="s">
        <v>119</v>
      </c>
      <c r="B761" t="str">
        <f>LEFT(Table13[[#This Row],[Input]],1)</f>
        <v>L</v>
      </c>
      <c r="C761">
        <f>_xlfn.LET(_xlpm.steps,SUBSTITUTE(Table13[[#This Row],[Input]],Table13[[#This Row],[Direction]],""),VALUE(IF(LEN(_xlpm.steps)&gt;2,RIGHT(_xlpm.steps,2),_xlpm.steps)))</f>
        <v>77</v>
      </c>
      <c r="D761">
        <f>_xlfn.LET(_xlpm.steps,SUBSTITUTE(Table13[[#This Row],[Input]],Table13[[#This Row],[Direction]],""),VALUE(IF(LEN(_xlpm.steps)&gt;2,LEFT(_xlpm.steps,LEN(_xlpm.steps)-2),0)))</f>
        <v>0</v>
      </c>
      <c r="E761">
        <f>_xlfn.LET(_xlpm.dir,Table13[[#This Row],[Direction]],
IF(_xlpm.dir="L",
    IF(G760-Table13[[#This Row],[Steps]]&lt;0,100+(G760-Table13[[#This Row],[Steps]]),G760-Table13[[#This Row],[Steps]]),
))</f>
        <v>0</v>
      </c>
      <c r="F761">
        <f>_xlfn.LET(_xlpm.dir,Table13[[#This Row],[Direction]],
IF(_xlpm.dir="R",
    IF(G760+Table13[[#This Row],[Steps]]&gt;99,(G760+Table13[[#This Row],[Steps]])-100,G760+Table13[[#This Row],[Steps]]),
))</f>
        <v>0</v>
      </c>
      <c r="G761">
        <f>IF(Table13[[#This Row],[New Pos L]]&lt;&gt;0,Table13[[#This Row],[New Pos L]],Table13[[#This Row],[New Pos R]])</f>
        <v>0</v>
      </c>
      <c r="H761">
        <f>IF(AND(Table13[[#This Row],[Direction]]="L",Table13[[#This Row],[Steps]]&gt;G760,G760&lt;&gt;0),1,0)</f>
        <v>0</v>
      </c>
      <c r="I761">
        <f>IF(AND(Table13[[#This Row],[Direction]]="R",(G760+Table13[[#This Row],[Steps]])&gt;100),1,0)</f>
        <v>0</v>
      </c>
      <c r="J761">
        <f>IF(Table13[[#This Row],[POS]]=0,1,0)</f>
        <v>1</v>
      </c>
      <c r="K761">
        <f>SUM(Table13[[#This Row],[prefix]],Table13[[#This Row],[Past zero L]],Table13[[#This Row],[Past Zero R]],Table13[[#This Row],[Is Zero]])</f>
        <v>1</v>
      </c>
    </row>
    <row r="762" spans="1:11" ht="16" x14ac:dyDescent="0.2">
      <c r="A762" s="1" t="s">
        <v>70</v>
      </c>
      <c r="B762" t="str">
        <f>LEFT(Table13[[#This Row],[Input]],1)</f>
        <v>R</v>
      </c>
      <c r="C762">
        <f>_xlfn.LET(_xlpm.steps,SUBSTITUTE(Table13[[#This Row],[Input]],Table13[[#This Row],[Direction]],""),VALUE(IF(LEN(_xlpm.steps)&gt;2,RIGHT(_xlpm.steps,2),_xlpm.steps)))</f>
        <v>73</v>
      </c>
      <c r="D762">
        <f>_xlfn.LET(_xlpm.steps,SUBSTITUTE(Table13[[#This Row],[Input]],Table13[[#This Row],[Direction]],""),VALUE(IF(LEN(_xlpm.steps)&gt;2,LEFT(_xlpm.steps,LEN(_xlpm.steps)-2),0)))</f>
        <v>0</v>
      </c>
      <c r="E762">
        <f>_xlfn.LET(_xlpm.dir,Table13[[#This Row],[Direction]],
IF(_xlpm.dir="L",
    IF(G761-Table13[[#This Row],[Steps]]&lt;0,100+(G761-Table13[[#This Row],[Steps]]),G761-Table13[[#This Row],[Steps]]),
))</f>
        <v>0</v>
      </c>
      <c r="F762">
        <f>_xlfn.LET(_xlpm.dir,Table13[[#This Row],[Direction]],
IF(_xlpm.dir="R",
    IF(G761+Table13[[#This Row],[Steps]]&gt;99,(G761+Table13[[#This Row],[Steps]])-100,G761+Table13[[#This Row],[Steps]]),
))</f>
        <v>73</v>
      </c>
      <c r="G762">
        <f>IF(Table13[[#This Row],[New Pos L]]&lt;&gt;0,Table13[[#This Row],[New Pos L]],Table13[[#This Row],[New Pos R]])</f>
        <v>73</v>
      </c>
      <c r="H762">
        <f>IF(AND(Table13[[#This Row],[Direction]]="L",Table13[[#This Row],[Steps]]&gt;G761,G761&lt;&gt;0),1,0)</f>
        <v>0</v>
      </c>
      <c r="I762">
        <f>IF(AND(Table13[[#This Row],[Direction]]="R",(G761+Table13[[#This Row],[Steps]])&gt;100),1,0)</f>
        <v>0</v>
      </c>
      <c r="J762">
        <f>IF(Table13[[#This Row],[POS]]=0,1,0)</f>
        <v>0</v>
      </c>
      <c r="K762">
        <f>SUM(Table13[[#This Row],[prefix]],Table13[[#This Row],[Past zero L]],Table13[[#This Row],[Past Zero R]],Table13[[#This Row],[Is Zero]])</f>
        <v>0</v>
      </c>
    </row>
    <row r="763" spans="1:11" ht="16" x14ac:dyDescent="0.2">
      <c r="A763" s="1" t="s">
        <v>312</v>
      </c>
      <c r="B763" t="str">
        <f>LEFT(Table13[[#This Row],[Input]],1)</f>
        <v>R</v>
      </c>
      <c r="C763">
        <f>_xlfn.LET(_xlpm.steps,SUBSTITUTE(Table13[[#This Row],[Input]],Table13[[#This Row],[Direction]],""),VALUE(IF(LEN(_xlpm.steps)&gt;2,RIGHT(_xlpm.steps,2),_xlpm.steps)))</f>
        <v>43</v>
      </c>
      <c r="D763">
        <f>_xlfn.LET(_xlpm.steps,SUBSTITUTE(Table13[[#This Row],[Input]],Table13[[#This Row],[Direction]],""),VALUE(IF(LEN(_xlpm.steps)&gt;2,LEFT(_xlpm.steps,LEN(_xlpm.steps)-2),0)))</f>
        <v>6</v>
      </c>
      <c r="E763">
        <f>_xlfn.LET(_xlpm.dir,Table13[[#This Row],[Direction]],
IF(_xlpm.dir="L",
    IF(G762-Table13[[#This Row],[Steps]]&lt;0,100+(G762-Table13[[#This Row],[Steps]]),G762-Table13[[#This Row],[Steps]]),
))</f>
        <v>0</v>
      </c>
      <c r="F763">
        <f>_xlfn.LET(_xlpm.dir,Table13[[#This Row],[Direction]],
IF(_xlpm.dir="R",
    IF(G762+Table13[[#This Row],[Steps]]&gt;99,(G762+Table13[[#This Row],[Steps]])-100,G762+Table13[[#This Row],[Steps]]),
))</f>
        <v>16</v>
      </c>
      <c r="G763">
        <f>IF(Table13[[#This Row],[New Pos L]]&lt;&gt;0,Table13[[#This Row],[New Pos L]],Table13[[#This Row],[New Pos R]])</f>
        <v>16</v>
      </c>
      <c r="H763">
        <f>IF(AND(Table13[[#This Row],[Direction]]="L",Table13[[#This Row],[Steps]]&gt;G762,G762&lt;&gt;0),1,0)</f>
        <v>0</v>
      </c>
      <c r="I763">
        <f>IF(AND(Table13[[#This Row],[Direction]]="R",(G762+Table13[[#This Row],[Steps]])&gt;100),1,0)</f>
        <v>1</v>
      </c>
      <c r="J763">
        <f>IF(Table13[[#This Row],[POS]]=0,1,0)</f>
        <v>0</v>
      </c>
      <c r="K763">
        <f>SUM(Table13[[#This Row],[prefix]],Table13[[#This Row],[Past zero L]],Table13[[#This Row],[Past Zero R]],Table13[[#This Row],[Is Zero]])</f>
        <v>7</v>
      </c>
    </row>
    <row r="764" spans="1:11" ht="16" x14ac:dyDescent="0.2">
      <c r="A764" s="1" t="s">
        <v>254</v>
      </c>
      <c r="B764" t="str">
        <f>LEFT(Table13[[#This Row],[Input]],1)</f>
        <v>R</v>
      </c>
      <c r="C764">
        <f>_xlfn.LET(_xlpm.steps,SUBSTITUTE(Table13[[#This Row],[Input]],Table13[[#This Row],[Direction]],""),VALUE(IF(LEN(_xlpm.steps)&gt;2,RIGHT(_xlpm.steps,2),_xlpm.steps)))</f>
        <v>84</v>
      </c>
      <c r="D764">
        <f>_xlfn.LET(_xlpm.steps,SUBSTITUTE(Table13[[#This Row],[Input]],Table13[[#This Row],[Direction]],""),VALUE(IF(LEN(_xlpm.steps)&gt;2,LEFT(_xlpm.steps,LEN(_xlpm.steps)-2),0)))</f>
        <v>0</v>
      </c>
      <c r="E764">
        <f>_xlfn.LET(_xlpm.dir,Table13[[#This Row],[Direction]],
IF(_xlpm.dir="L",
    IF(G763-Table13[[#This Row],[Steps]]&lt;0,100+(G763-Table13[[#This Row],[Steps]]),G763-Table13[[#This Row],[Steps]]),
))</f>
        <v>0</v>
      </c>
      <c r="F764">
        <f>_xlfn.LET(_xlpm.dir,Table13[[#This Row],[Direction]],
IF(_xlpm.dir="R",
    IF(G763+Table13[[#This Row],[Steps]]&gt;99,(G763+Table13[[#This Row],[Steps]])-100,G763+Table13[[#This Row],[Steps]]),
))</f>
        <v>0</v>
      </c>
      <c r="G764">
        <f>IF(Table13[[#This Row],[New Pos L]]&lt;&gt;0,Table13[[#This Row],[New Pos L]],Table13[[#This Row],[New Pos R]])</f>
        <v>0</v>
      </c>
      <c r="H764">
        <f>IF(AND(Table13[[#This Row],[Direction]]="L",Table13[[#This Row],[Steps]]&gt;G763,G763&lt;&gt;0),1,0)</f>
        <v>0</v>
      </c>
      <c r="I764">
        <f>IF(AND(Table13[[#This Row],[Direction]]="R",(G763+Table13[[#This Row],[Steps]])&gt;100),1,0)</f>
        <v>0</v>
      </c>
      <c r="J764">
        <f>IF(Table13[[#This Row],[POS]]=0,1,0)</f>
        <v>1</v>
      </c>
      <c r="K764">
        <f>SUM(Table13[[#This Row],[prefix]],Table13[[#This Row],[Past zero L]],Table13[[#This Row],[Past Zero R]],Table13[[#This Row],[Is Zero]])</f>
        <v>1</v>
      </c>
    </row>
    <row r="765" spans="1:11" ht="16" x14ac:dyDescent="0.2">
      <c r="A765" s="1" t="s">
        <v>5</v>
      </c>
      <c r="B765" t="str">
        <f>LEFT(Table13[[#This Row],[Input]],1)</f>
        <v>R</v>
      </c>
      <c r="C765">
        <f>_xlfn.LET(_xlpm.steps,SUBSTITUTE(Table13[[#This Row],[Input]],Table13[[#This Row],[Direction]],""),VALUE(IF(LEN(_xlpm.steps)&gt;2,RIGHT(_xlpm.steps,2),_xlpm.steps)))</f>
        <v>1</v>
      </c>
      <c r="D765">
        <f>_xlfn.LET(_xlpm.steps,SUBSTITUTE(Table13[[#This Row],[Input]],Table13[[#This Row],[Direction]],""),VALUE(IF(LEN(_xlpm.steps)&gt;2,LEFT(_xlpm.steps,LEN(_xlpm.steps)-2),0)))</f>
        <v>0</v>
      </c>
      <c r="E765">
        <f>_xlfn.LET(_xlpm.dir,Table13[[#This Row],[Direction]],
IF(_xlpm.dir="L",
    IF(G764-Table13[[#This Row],[Steps]]&lt;0,100+(G764-Table13[[#This Row],[Steps]]),G764-Table13[[#This Row],[Steps]]),
))</f>
        <v>0</v>
      </c>
      <c r="F765">
        <f>_xlfn.LET(_xlpm.dir,Table13[[#This Row],[Direction]],
IF(_xlpm.dir="R",
    IF(G764+Table13[[#This Row],[Steps]]&gt;99,(G764+Table13[[#This Row],[Steps]])-100,G764+Table13[[#This Row],[Steps]]),
))</f>
        <v>1</v>
      </c>
      <c r="G765">
        <f>IF(Table13[[#This Row],[New Pos L]]&lt;&gt;0,Table13[[#This Row],[New Pos L]],Table13[[#This Row],[New Pos R]])</f>
        <v>1</v>
      </c>
      <c r="H765">
        <f>IF(AND(Table13[[#This Row],[Direction]]="L",Table13[[#This Row],[Steps]]&gt;G764,G764&lt;&gt;0),1,0)</f>
        <v>0</v>
      </c>
      <c r="I765">
        <f>IF(AND(Table13[[#This Row],[Direction]]="R",(G764+Table13[[#This Row],[Steps]])&gt;100),1,0)</f>
        <v>0</v>
      </c>
      <c r="J765">
        <f>IF(Table13[[#This Row],[POS]]=0,1,0)</f>
        <v>0</v>
      </c>
      <c r="K765">
        <f>SUM(Table13[[#This Row],[prefix]],Table13[[#This Row],[Past zero L]],Table13[[#This Row],[Past Zero R]],Table13[[#This Row],[Is Zero]])</f>
        <v>0</v>
      </c>
    </row>
    <row r="766" spans="1:11" ht="16" x14ac:dyDescent="0.2">
      <c r="A766" s="1" t="s">
        <v>28</v>
      </c>
      <c r="B766" t="str">
        <f>LEFT(Table13[[#This Row],[Input]],1)</f>
        <v>R</v>
      </c>
      <c r="C766">
        <f>_xlfn.LET(_xlpm.steps,SUBSTITUTE(Table13[[#This Row],[Input]],Table13[[#This Row],[Direction]],""),VALUE(IF(LEN(_xlpm.steps)&gt;2,RIGHT(_xlpm.steps,2),_xlpm.steps)))</f>
        <v>30</v>
      </c>
      <c r="D766">
        <f>_xlfn.LET(_xlpm.steps,SUBSTITUTE(Table13[[#This Row],[Input]],Table13[[#This Row],[Direction]],""),VALUE(IF(LEN(_xlpm.steps)&gt;2,LEFT(_xlpm.steps,LEN(_xlpm.steps)-2),0)))</f>
        <v>0</v>
      </c>
      <c r="E766">
        <f>_xlfn.LET(_xlpm.dir,Table13[[#This Row],[Direction]],
IF(_xlpm.dir="L",
    IF(G765-Table13[[#This Row],[Steps]]&lt;0,100+(G765-Table13[[#This Row],[Steps]]),G765-Table13[[#This Row],[Steps]]),
))</f>
        <v>0</v>
      </c>
      <c r="F766">
        <f>_xlfn.LET(_xlpm.dir,Table13[[#This Row],[Direction]],
IF(_xlpm.dir="R",
    IF(G765+Table13[[#This Row],[Steps]]&gt;99,(G765+Table13[[#This Row],[Steps]])-100,G765+Table13[[#This Row],[Steps]]),
))</f>
        <v>31</v>
      </c>
      <c r="G766">
        <f>IF(Table13[[#This Row],[New Pos L]]&lt;&gt;0,Table13[[#This Row],[New Pos L]],Table13[[#This Row],[New Pos R]])</f>
        <v>31</v>
      </c>
      <c r="H766">
        <f>IF(AND(Table13[[#This Row],[Direction]]="L",Table13[[#This Row],[Steps]]&gt;G765,G765&lt;&gt;0),1,0)</f>
        <v>0</v>
      </c>
      <c r="I766">
        <f>IF(AND(Table13[[#This Row],[Direction]]="R",(G765+Table13[[#This Row],[Steps]])&gt;100),1,0)</f>
        <v>0</v>
      </c>
      <c r="J766">
        <f>IF(Table13[[#This Row],[POS]]=0,1,0)</f>
        <v>0</v>
      </c>
      <c r="K766">
        <f>SUM(Table13[[#This Row],[prefix]],Table13[[#This Row],[Past zero L]],Table13[[#This Row],[Past Zero R]],Table13[[#This Row],[Is Zero]])</f>
        <v>0</v>
      </c>
    </row>
    <row r="767" spans="1:11" ht="16" x14ac:dyDescent="0.2">
      <c r="A767" s="1" t="s">
        <v>226</v>
      </c>
      <c r="B767" t="str">
        <f>LEFT(Table13[[#This Row],[Input]],1)</f>
        <v>L</v>
      </c>
      <c r="C767">
        <f>_xlfn.LET(_xlpm.steps,SUBSTITUTE(Table13[[#This Row],[Input]],Table13[[#This Row],[Direction]],""),VALUE(IF(LEN(_xlpm.steps)&gt;2,RIGHT(_xlpm.steps,2),_xlpm.steps)))</f>
        <v>31</v>
      </c>
      <c r="D767">
        <f>_xlfn.LET(_xlpm.steps,SUBSTITUTE(Table13[[#This Row],[Input]],Table13[[#This Row],[Direction]],""),VALUE(IF(LEN(_xlpm.steps)&gt;2,LEFT(_xlpm.steps,LEN(_xlpm.steps)-2),0)))</f>
        <v>0</v>
      </c>
      <c r="E767">
        <f>_xlfn.LET(_xlpm.dir,Table13[[#This Row],[Direction]],
IF(_xlpm.dir="L",
    IF(G766-Table13[[#This Row],[Steps]]&lt;0,100+(G766-Table13[[#This Row],[Steps]]),G766-Table13[[#This Row],[Steps]]),
))</f>
        <v>0</v>
      </c>
      <c r="F767">
        <f>_xlfn.LET(_xlpm.dir,Table13[[#This Row],[Direction]],
IF(_xlpm.dir="R",
    IF(G766+Table13[[#This Row],[Steps]]&gt;99,(G766+Table13[[#This Row],[Steps]])-100,G766+Table13[[#This Row],[Steps]]),
))</f>
        <v>0</v>
      </c>
      <c r="G767">
        <f>IF(Table13[[#This Row],[New Pos L]]&lt;&gt;0,Table13[[#This Row],[New Pos L]],Table13[[#This Row],[New Pos R]])</f>
        <v>0</v>
      </c>
      <c r="H767">
        <f>IF(AND(Table13[[#This Row],[Direction]]="L",Table13[[#This Row],[Steps]]&gt;G766,G766&lt;&gt;0),1,0)</f>
        <v>0</v>
      </c>
      <c r="I767">
        <f>IF(AND(Table13[[#This Row],[Direction]]="R",(G766+Table13[[#This Row],[Steps]])&gt;100),1,0)</f>
        <v>0</v>
      </c>
      <c r="J767">
        <f>IF(Table13[[#This Row],[POS]]=0,1,0)</f>
        <v>1</v>
      </c>
      <c r="K767">
        <f>SUM(Table13[[#This Row],[prefix]],Table13[[#This Row],[Past zero L]],Table13[[#This Row],[Past Zero R]],Table13[[#This Row],[Is Zero]])</f>
        <v>1</v>
      </c>
    </row>
    <row r="768" spans="1:11" ht="16" x14ac:dyDescent="0.2">
      <c r="A768" s="1" t="s">
        <v>183</v>
      </c>
      <c r="B768" t="str">
        <f>LEFT(Table13[[#This Row],[Input]],1)</f>
        <v>L</v>
      </c>
      <c r="C768">
        <f>_xlfn.LET(_xlpm.steps,SUBSTITUTE(Table13[[#This Row],[Input]],Table13[[#This Row],[Direction]],""),VALUE(IF(LEN(_xlpm.steps)&gt;2,RIGHT(_xlpm.steps,2),_xlpm.steps)))</f>
        <v>67</v>
      </c>
      <c r="D768">
        <f>_xlfn.LET(_xlpm.steps,SUBSTITUTE(Table13[[#This Row],[Input]],Table13[[#This Row],[Direction]],""),VALUE(IF(LEN(_xlpm.steps)&gt;2,LEFT(_xlpm.steps,LEN(_xlpm.steps)-2),0)))</f>
        <v>0</v>
      </c>
      <c r="E768">
        <f>_xlfn.LET(_xlpm.dir,Table13[[#This Row],[Direction]],
IF(_xlpm.dir="L",
    IF(G767-Table13[[#This Row],[Steps]]&lt;0,100+(G767-Table13[[#This Row],[Steps]]),G767-Table13[[#This Row],[Steps]]),
))</f>
        <v>33</v>
      </c>
      <c r="F768">
        <f>_xlfn.LET(_xlpm.dir,Table13[[#This Row],[Direction]],
IF(_xlpm.dir="R",
    IF(G767+Table13[[#This Row],[Steps]]&gt;99,(G767+Table13[[#This Row],[Steps]])-100,G767+Table13[[#This Row],[Steps]]),
))</f>
        <v>0</v>
      </c>
      <c r="G768">
        <f>IF(Table13[[#This Row],[New Pos L]]&lt;&gt;0,Table13[[#This Row],[New Pos L]],Table13[[#This Row],[New Pos R]])</f>
        <v>33</v>
      </c>
      <c r="H768">
        <f>IF(AND(Table13[[#This Row],[Direction]]="L",Table13[[#This Row],[Steps]]&gt;G767,G767&lt;&gt;0),1,0)</f>
        <v>0</v>
      </c>
      <c r="I768">
        <f>IF(AND(Table13[[#This Row],[Direction]]="R",(G767+Table13[[#This Row],[Steps]])&gt;100),1,0)</f>
        <v>0</v>
      </c>
      <c r="J768">
        <f>IF(Table13[[#This Row],[POS]]=0,1,0)</f>
        <v>0</v>
      </c>
      <c r="K768">
        <f>SUM(Table13[[#This Row],[prefix]],Table13[[#This Row],[Past zero L]],Table13[[#This Row],[Past Zero R]],Table13[[#This Row],[Is Zero]])</f>
        <v>0</v>
      </c>
    </row>
    <row r="769" spans="1:11" ht="16" x14ac:dyDescent="0.2">
      <c r="A769" s="1" t="s">
        <v>6</v>
      </c>
      <c r="B769" t="str">
        <f>LEFT(Table13[[#This Row],[Input]],1)</f>
        <v>R</v>
      </c>
      <c r="C769">
        <f>_xlfn.LET(_xlpm.steps,SUBSTITUTE(Table13[[#This Row],[Input]],Table13[[#This Row],[Direction]],""),VALUE(IF(LEN(_xlpm.steps)&gt;2,RIGHT(_xlpm.steps,2),_xlpm.steps)))</f>
        <v>49</v>
      </c>
      <c r="D769">
        <f>_xlfn.LET(_xlpm.steps,SUBSTITUTE(Table13[[#This Row],[Input]],Table13[[#This Row],[Direction]],""),VALUE(IF(LEN(_xlpm.steps)&gt;2,LEFT(_xlpm.steps,LEN(_xlpm.steps)-2),0)))</f>
        <v>0</v>
      </c>
      <c r="E769">
        <f>_xlfn.LET(_xlpm.dir,Table13[[#This Row],[Direction]],
IF(_xlpm.dir="L",
    IF(G768-Table13[[#This Row],[Steps]]&lt;0,100+(G768-Table13[[#This Row],[Steps]]),G768-Table13[[#This Row],[Steps]]),
))</f>
        <v>0</v>
      </c>
      <c r="F769">
        <f>_xlfn.LET(_xlpm.dir,Table13[[#This Row],[Direction]],
IF(_xlpm.dir="R",
    IF(G768+Table13[[#This Row],[Steps]]&gt;99,(G768+Table13[[#This Row],[Steps]])-100,G768+Table13[[#This Row],[Steps]]),
))</f>
        <v>82</v>
      </c>
      <c r="G769">
        <f>IF(Table13[[#This Row],[New Pos L]]&lt;&gt;0,Table13[[#This Row],[New Pos L]],Table13[[#This Row],[New Pos R]])</f>
        <v>82</v>
      </c>
      <c r="H769">
        <f>IF(AND(Table13[[#This Row],[Direction]]="L",Table13[[#This Row],[Steps]]&gt;G768,G768&lt;&gt;0),1,0)</f>
        <v>0</v>
      </c>
      <c r="I769">
        <f>IF(AND(Table13[[#This Row],[Direction]]="R",(G768+Table13[[#This Row],[Steps]])&gt;100),1,0)</f>
        <v>0</v>
      </c>
      <c r="J769">
        <f>IF(Table13[[#This Row],[POS]]=0,1,0)</f>
        <v>0</v>
      </c>
      <c r="K769">
        <f>SUM(Table13[[#This Row],[prefix]],Table13[[#This Row],[Past zero L]],Table13[[#This Row],[Past Zero R]],Table13[[#This Row],[Is Zero]])</f>
        <v>0</v>
      </c>
    </row>
    <row r="770" spans="1:11" ht="16" x14ac:dyDescent="0.2">
      <c r="A770" s="1" t="s">
        <v>139</v>
      </c>
      <c r="B770" t="str">
        <f>LEFT(Table13[[#This Row],[Input]],1)</f>
        <v>R</v>
      </c>
      <c r="C770">
        <f>_xlfn.LET(_xlpm.steps,SUBSTITUTE(Table13[[#This Row],[Input]],Table13[[#This Row],[Direction]],""),VALUE(IF(LEN(_xlpm.steps)&gt;2,RIGHT(_xlpm.steps,2),_xlpm.steps)))</f>
        <v>38</v>
      </c>
      <c r="D770">
        <f>_xlfn.LET(_xlpm.steps,SUBSTITUTE(Table13[[#This Row],[Input]],Table13[[#This Row],[Direction]],""),VALUE(IF(LEN(_xlpm.steps)&gt;2,LEFT(_xlpm.steps,LEN(_xlpm.steps)-2),0)))</f>
        <v>0</v>
      </c>
      <c r="E770">
        <f>_xlfn.LET(_xlpm.dir,Table13[[#This Row],[Direction]],
IF(_xlpm.dir="L",
    IF(G769-Table13[[#This Row],[Steps]]&lt;0,100+(G769-Table13[[#This Row],[Steps]]),G769-Table13[[#This Row],[Steps]]),
))</f>
        <v>0</v>
      </c>
      <c r="F770">
        <f>_xlfn.LET(_xlpm.dir,Table13[[#This Row],[Direction]],
IF(_xlpm.dir="R",
    IF(G769+Table13[[#This Row],[Steps]]&gt;99,(G769+Table13[[#This Row],[Steps]])-100,G769+Table13[[#This Row],[Steps]]),
))</f>
        <v>20</v>
      </c>
      <c r="G770">
        <f>IF(Table13[[#This Row],[New Pos L]]&lt;&gt;0,Table13[[#This Row],[New Pos L]],Table13[[#This Row],[New Pos R]])</f>
        <v>20</v>
      </c>
      <c r="H770">
        <f>IF(AND(Table13[[#This Row],[Direction]]="L",Table13[[#This Row],[Steps]]&gt;G769,G769&lt;&gt;0),1,0)</f>
        <v>0</v>
      </c>
      <c r="I770">
        <f>IF(AND(Table13[[#This Row],[Direction]]="R",(G769+Table13[[#This Row],[Steps]])&gt;100),1,0)</f>
        <v>1</v>
      </c>
      <c r="J770">
        <f>IF(Table13[[#This Row],[POS]]=0,1,0)</f>
        <v>0</v>
      </c>
      <c r="K770">
        <f>SUM(Table13[[#This Row],[prefix]],Table13[[#This Row],[Past zero L]],Table13[[#This Row],[Past Zero R]],Table13[[#This Row],[Is Zero]])</f>
        <v>1</v>
      </c>
    </row>
    <row r="771" spans="1:11" ht="16" x14ac:dyDescent="0.2">
      <c r="A771" s="1" t="s">
        <v>158</v>
      </c>
      <c r="B771" t="str">
        <f>LEFT(Table13[[#This Row],[Input]],1)</f>
        <v>L</v>
      </c>
      <c r="C771">
        <f>_xlfn.LET(_xlpm.steps,SUBSTITUTE(Table13[[#This Row],[Input]],Table13[[#This Row],[Direction]],""),VALUE(IF(LEN(_xlpm.steps)&gt;2,RIGHT(_xlpm.steps,2),_xlpm.steps)))</f>
        <v>24</v>
      </c>
      <c r="D771">
        <f>_xlfn.LET(_xlpm.steps,SUBSTITUTE(Table13[[#This Row],[Input]],Table13[[#This Row],[Direction]],""),VALUE(IF(LEN(_xlpm.steps)&gt;2,LEFT(_xlpm.steps,LEN(_xlpm.steps)-2),0)))</f>
        <v>0</v>
      </c>
      <c r="E771">
        <f>_xlfn.LET(_xlpm.dir,Table13[[#This Row],[Direction]],
IF(_xlpm.dir="L",
    IF(G770-Table13[[#This Row],[Steps]]&lt;0,100+(G770-Table13[[#This Row],[Steps]]),G770-Table13[[#This Row],[Steps]]),
))</f>
        <v>96</v>
      </c>
      <c r="F771">
        <f>_xlfn.LET(_xlpm.dir,Table13[[#This Row],[Direction]],
IF(_xlpm.dir="R",
    IF(G770+Table13[[#This Row],[Steps]]&gt;99,(G770+Table13[[#This Row],[Steps]])-100,G770+Table13[[#This Row],[Steps]]),
))</f>
        <v>0</v>
      </c>
      <c r="G771">
        <f>IF(Table13[[#This Row],[New Pos L]]&lt;&gt;0,Table13[[#This Row],[New Pos L]],Table13[[#This Row],[New Pos R]])</f>
        <v>96</v>
      </c>
      <c r="H771">
        <f>IF(AND(Table13[[#This Row],[Direction]]="L",Table13[[#This Row],[Steps]]&gt;G770,G770&lt;&gt;0),1,0)</f>
        <v>1</v>
      </c>
      <c r="I771">
        <f>IF(AND(Table13[[#This Row],[Direction]]="R",(G770+Table13[[#This Row],[Steps]])&gt;100),1,0)</f>
        <v>0</v>
      </c>
      <c r="J771">
        <f>IF(Table13[[#This Row],[POS]]=0,1,0)</f>
        <v>0</v>
      </c>
      <c r="K771">
        <f>SUM(Table13[[#This Row],[prefix]],Table13[[#This Row],[Past zero L]],Table13[[#This Row],[Past Zero R]],Table13[[#This Row],[Is Zero]])</f>
        <v>1</v>
      </c>
    </row>
    <row r="772" spans="1:11" ht="16" x14ac:dyDescent="0.2">
      <c r="A772" s="1" t="s">
        <v>205</v>
      </c>
      <c r="B772" t="str">
        <f>LEFT(Table13[[#This Row],[Input]],1)</f>
        <v>R</v>
      </c>
      <c r="C772">
        <f>_xlfn.LET(_xlpm.steps,SUBSTITUTE(Table13[[#This Row],[Input]],Table13[[#This Row],[Direction]],""),VALUE(IF(LEN(_xlpm.steps)&gt;2,RIGHT(_xlpm.steps,2),_xlpm.steps)))</f>
        <v>83</v>
      </c>
      <c r="D772">
        <f>_xlfn.LET(_xlpm.steps,SUBSTITUTE(Table13[[#This Row],[Input]],Table13[[#This Row],[Direction]],""),VALUE(IF(LEN(_xlpm.steps)&gt;2,LEFT(_xlpm.steps,LEN(_xlpm.steps)-2),0)))</f>
        <v>0</v>
      </c>
      <c r="E772">
        <f>_xlfn.LET(_xlpm.dir,Table13[[#This Row],[Direction]],
IF(_xlpm.dir="L",
    IF(G771-Table13[[#This Row],[Steps]]&lt;0,100+(G771-Table13[[#This Row],[Steps]]),G771-Table13[[#This Row],[Steps]]),
))</f>
        <v>0</v>
      </c>
      <c r="F772">
        <f>_xlfn.LET(_xlpm.dir,Table13[[#This Row],[Direction]],
IF(_xlpm.dir="R",
    IF(G771+Table13[[#This Row],[Steps]]&gt;99,(G771+Table13[[#This Row],[Steps]])-100,G771+Table13[[#This Row],[Steps]]),
))</f>
        <v>79</v>
      </c>
      <c r="G772">
        <f>IF(Table13[[#This Row],[New Pos L]]&lt;&gt;0,Table13[[#This Row],[New Pos L]],Table13[[#This Row],[New Pos R]])</f>
        <v>79</v>
      </c>
      <c r="H772">
        <f>IF(AND(Table13[[#This Row],[Direction]]="L",Table13[[#This Row],[Steps]]&gt;G771,G771&lt;&gt;0),1,0)</f>
        <v>0</v>
      </c>
      <c r="I772">
        <f>IF(AND(Table13[[#This Row],[Direction]]="R",(G771+Table13[[#This Row],[Steps]])&gt;100),1,0)</f>
        <v>1</v>
      </c>
      <c r="J772">
        <f>IF(Table13[[#This Row],[POS]]=0,1,0)</f>
        <v>0</v>
      </c>
      <c r="K772">
        <f>SUM(Table13[[#This Row],[prefix]],Table13[[#This Row],[Past zero L]],Table13[[#This Row],[Past Zero R]],Table13[[#This Row],[Is Zero]])</f>
        <v>1</v>
      </c>
    </row>
    <row r="773" spans="1:11" ht="16" x14ac:dyDescent="0.2">
      <c r="A773" s="1" t="s">
        <v>186</v>
      </c>
      <c r="B773" t="str">
        <f>LEFT(Table13[[#This Row],[Input]],1)</f>
        <v>L</v>
      </c>
      <c r="C773">
        <f>_xlfn.LET(_xlpm.steps,SUBSTITUTE(Table13[[#This Row],[Input]],Table13[[#This Row],[Direction]],""),VALUE(IF(LEN(_xlpm.steps)&gt;2,RIGHT(_xlpm.steps,2),_xlpm.steps)))</f>
        <v>84</v>
      </c>
      <c r="D773">
        <f>_xlfn.LET(_xlpm.steps,SUBSTITUTE(Table13[[#This Row],[Input]],Table13[[#This Row],[Direction]],""),VALUE(IF(LEN(_xlpm.steps)&gt;2,LEFT(_xlpm.steps,LEN(_xlpm.steps)-2),0)))</f>
        <v>0</v>
      </c>
      <c r="E773">
        <f>_xlfn.LET(_xlpm.dir,Table13[[#This Row],[Direction]],
IF(_xlpm.dir="L",
    IF(G772-Table13[[#This Row],[Steps]]&lt;0,100+(G772-Table13[[#This Row],[Steps]]),G772-Table13[[#This Row],[Steps]]),
))</f>
        <v>95</v>
      </c>
      <c r="F773">
        <f>_xlfn.LET(_xlpm.dir,Table13[[#This Row],[Direction]],
IF(_xlpm.dir="R",
    IF(G772+Table13[[#This Row],[Steps]]&gt;99,(G772+Table13[[#This Row],[Steps]])-100,G772+Table13[[#This Row],[Steps]]),
))</f>
        <v>0</v>
      </c>
      <c r="G773">
        <f>IF(Table13[[#This Row],[New Pos L]]&lt;&gt;0,Table13[[#This Row],[New Pos L]],Table13[[#This Row],[New Pos R]])</f>
        <v>95</v>
      </c>
      <c r="H773">
        <f>IF(AND(Table13[[#This Row],[Direction]]="L",Table13[[#This Row],[Steps]]&gt;G772,G772&lt;&gt;0),1,0)</f>
        <v>1</v>
      </c>
      <c r="I773">
        <f>IF(AND(Table13[[#This Row],[Direction]]="R",(G772+Table13[[#This Row],[Steps]])&gt;100),1,0)</f>
        <v>0</v>
      </c>
      <c r="J773">
        <f>IF(Table13[[#This Row],[POS]]=0,1,0)</f>
        <v>0</v>
      </c>
      <c r="K773">
        <f>SUM(Table13[[#This Row],[prefix]],Table13[[#This Row],[Past zero L]],Table13[[#This Row],[Past Zero R]],Table13[[#This Row],[Is Zero]])</f>
        <v>1</v>
      </c>
    </row>
    <row r="774" spans="1:11" ht="16" x14ac:dyDescent="0.2">
      <c r="A774" s="1" t="s">
        <v>108</v>
      </c>
      <c r="B774" t="str">
        <f>LEFT(Table13[[#This Row],[Input]],1)</f>
        <v>R</v>
      </c>
      <c r="C774">
        <f>_xlfn.LET(_xlpm.steps,SUBSTITUTE(Table13[[#This Row],[Input]],Table13[[#This Row],[Direction]],""),VALUE(IF(LEN(_xlpm.steps)&gt;2,RIGHT(_xlpm.steps,2),_xlpm.steps)))</f>
        <v>66</v>
      </c>
      <c r="D774">
        <f>_xlfn.LET(_xlpm.steps,SUBSTITUTE(Table13[[#This Row],[Input]],Table13[[#This Row],[Direction]],""),VALUE(IF(LEN(_xlpm.steps)&gt;2,LEFT(_xlpm.steps,LEN(_xlpm.steps)-2),0)))</f>
        <v>0</v>
      </c>
      <c r="E774">
        <f>_xlfn.LET(_xlpm.dir,Table13[[#This Row],[Direction]],
IF(_xlpm.dir="L",
    IF(G773-Table13[[#This Row],[Steps]]&lt;0,100+(G773-Table13[[#This Row],[Steps]]),G773-Table13[[#This Row],[Steps]]),
))</f>
        <v>0</v>
      </c>
      <c r="F774">
        <f>_xlfn.LET(_xlpm.dir,Table13[[#This Row],[Direction]],
IF(_xlpm.dir="R",
    IF(G773+Table13[[#This Row],[Steps]]&gt;99,(G773+Table13[[#This Row],[Steps]])-100,G773+Table13[[#This Row],[Steps]]),
))</f>
        <v>61</v>
      </c>
      <c r="G774">
        <f>IF(Table13[[#This Row],[New Pos L]]&lt;&gt;0,Table13[[#This Row],[New Pos L]],Table13[[#This Row],[New Pos R]])</f>
        <v>61</v>
      </c>
      <c r="H774">
        <f>IF(AND(Table13[[#This Row],[Direction]]="L",Table13[[#This Row],[Steps]]&gt;G773,G773&lt;&gt;0),1,0)</f>
        <v>0</v>
      </c>
      <c r="I774">
        <f>IF(AND(Table13[[#This Row],[Direction]]="R",(G773+Table13[[#This Row],[Steps]])&gt;100),1,0)</f>
        <v>1</v>
      </c>
      <c r="J774">
        <f>IF(Table13[[#This Row],[POS]]=0,1,0)</f>
        <v>0</v>
      </c>
      <c r="K774">
        <f>SUM(Table13[[#This Row],[prefix]],Table13[[#This Row],[Past zero L]],Table13[[#This Row],[Past Zero R]],Table13[[#This Row],[Is Zero]])</f>
        <v>1</v>
      </c>
    </row>
    <row r="775" spans="1:11" ht="16" x14ac:dyDescent="0.2">
      <c r="A775" s="1" t="s">
        <v>102</v>
      </c>
      <c r="B775" t="str">
        <f>LEFT(Table13[[#This Row],[Input]],1)</f>
        <v>R</v>
      </c>
      <c r="C775">
        <f>_xlfn.LET(_xlpm.steps,SUBSTITUTE(Table13[[#This Row],[Input]],Table13[[#This Row],[Direction]],""),VALUE(IF(LEN(_xlpm.steps)&gt;2,RIGHT(_xlpm.steps,2),_xlpm.steps)))</f>
        <v>39</v>
      </c>
      <c r="D775">
        <f>_xlfn.LET(_xlpm.steps,SUBSTITUTE(Table13[[#This Row],[Input]],Table13[[#This Row],[Direction]],""),VALUE(IF(LEN(_xlpm.steps)&gt;2,LEFT(_xlpm.steps,LEN(_xlpm.steps)-2),0)))</f>
        <v>0</v>
      </c>
      <c r="E775">
        <f>_xlfn.LET(_xlpm.dir,Table13[[#This Row],[Direction]],
IF(_xlpm.dir="L",
    IF(G774-Table13[[#This Row],[Steps]]&lt;0,100+(G774-Table13[[#This Row],[Steps]]),G774-Table13[[#This Row],[Steps]]),
))</f>
        <v>0</v>
      </c>
      <c r="F775">
        <f>_xlfn.LET(_xlpm.dir,Table13[[#This Row],[Direction]],
IF(_xlpm.dir="R",
    IF(G774+Table13[[#This Row],[Steps]]&gt;99,(G774+Table13[[#This Row],[Steps]])-100,G774+Table13[[#This Row],[Steps]]),
))</f>
        <v>0</v>
      </c>
      <c r="G775">
        <f>IF(Table13[[#This Row],[New Pos L]]&lt;&gt;0,Table13[[#This Row],[New Pos L]],Table13[[#This Row],[New Pos R]])</f>
        <v>0</v>
      </c>
      <c r="H775">
        <f>IF(AND(Table13[[#This Row],[Direction]]="L",Table13[[#This Row],[Steps]]&gt;G774,G774&lt;&gt;0),1,0)</f>
        <v>0</v>
      </c>
      <c r="I775">
        <f>IF(AND(Table13[[#This Row],[Direction]]="R",(G774+Table13[[#This Row],[Steps]])&gt;100),1,0)</f>
        <v>0</v>
      </c>
      <c r="J775">
        <f>IF(Table13[[#This Row],[POS]]=0,1,0)</f>
        <v>1</v>
      </c>
      <c r="K775">
        <f>SUM(Table13[[#This Row],[prefix]],Table13[[#This Row],[Past zero L]],Table13[[#This Row],[Past Zero R]],Table13[[#This Row],[Is Zero]])</f>
        <v>1</v>
      </c>
    </row>
    <row r="776" spans="1:11" ht="16" x14ac:dyDescent="0.2">
      <c r="A776" s="1" t="s">
        <v>313</v>
      </c>
      <c r="B776" t="str">
        <f>LEFT(Table13[[#This Row],[Input]],1)</f>
        <v>L</v>
      </c>
      <c r="C776">
        <f>_xlfn.LET(_xlpm.steps,SUBSTITUTE(Table13[[#This Row],[Input]],Table13[[#This Row],[Direction]],""),VALUE(IF(LEN(_xlpm.steps)&gt;2,RIGHT(_xlpm.steps,2),_xlpm.steps)))</f>
        <v>60</v>
      </c>
      <c r="D776">
        <f>_xlfn.LET(_xlpm.steps,SUBSTITUTE(Table13[[#This Row],[Input]],Table13[[#This Row],[Direction]],""),VALUE(IF(LEN(_xlpm.steps)&gt;2,LEFT(_xlpm.steps,LEN(_xlpm.steps)-2),0)))</f>
        <v>6</v>
      </c>
      <c r="E776">
        <f>_xlfn.LET(_xlpm.dir,Table13[[#This Row],[Direction]],
IF(_xlpm.dir="L",
    IF(G775-Table13[[#This Row],[Steps]]&lt;0,100+(G775-Table13[[#This Row],[Steps]]),G775-Table13[[#This Row],[Steps]]),
))</f>
        <v>40</v>
      </c>
      <c r="F776">
        <f>_xlfn.LET(_xlpm.dir,Table13[[#This Row],[Direction]],
IF(_xlpm.dir="R",
    IF(G775+Table13[[#This Row],[Steps]]&gt;99,(G775+Table13[[#This Row],[Steps]])-100,G775+Table13[[#This Row],[Steps]]),
))</f>
        <v>0</v>
      </c>
      <c r="G776">
        <f>IF(Table13[[#This Row],[New Pos L]]&lt;&gt;0,Table13[[#This Row],[New Pos L]],Table13[[#This Row],[New Pos R]])</f>
        <v>40</v>
      </c>
      <c r="H776">
        <f>IF(AND(Table13[[#This Row],[Direction]]="L",Table13[[#This Row],[Steps]]&gt;G775,G775&lt;&gt;0),1,0)</f>
        <v>0</v>
      </c>
      <c r="I776">
        <f>IF(AND(Table13[[#This Row],[Direction]]="R",(G775+Table13[[#This Row],[Steps]])&gt;100),1,0)</f>
        <v>0</v>
      </c>
      <c r="J776">
        <f>IF(Table13[[#This Row],[POS]]=0,1,0)</f>
        <v>0</v>
      </c>
      <c r="K776">
        <f>SUM(Table13[[#This Row],[prefix]],Table13[[#This Row],[Past zero L]],Table13[[#This Row],[Past Zero R]],Table13[[#This Row],[Is Zero]])</f>
        <v>6</v>
      </c>
    </row>
    <row r="777" spans="1:11" ht="16" x14ac:dyDescent="0.2">
      <c r="A777" s="1" t="s">
        <v>314</v>
      </c>
      <c r="B777" t="str">
        <f>LEFT(Table13[[#This Row],[Input]],1)</f>
        <v>L</v>
      </c>
      <c r="C777">
        <f>_xlfn.LET(_xlpm.steps,SUBSTITUTE(Table13[[#This Row],[Input]],Table13[[#This Row],[Direction]],""),VALUE(IF(LEN(_xlpm.steps)&gt;2,RIGHT(_xlpm.steps,2),_xlpm.steps)))</f>
        <v>94</v>
      </c>
      <c r="D777">
        <f>_xlfn.LET(_xlpm.steps,SUBSTITUTE(Table13[[#This Row],[Input]],Table13[[#This Row],[Direction]],""),VALUE(IF(LEN(_xlpm.steps)&gt;2,LEFT(_xlpm.steps,LEN(_xlpm.steps)-2),0)))</f>
        <v>5</v>
      </c>
      <c r="E777">
        <f>_xlfn.LET(_xlpm.dir,Table13[[#This Row],[Direction]],
IF(_xlpm.dir="L",
    IF(G776-Table13[[#This Row],[Steps]]&lt;0,100+(G776-Table13[[#This Row],[Steps]]),G776-Table13[[#This Row],[Steps]]),
))</f>
        <v>46</v>
      </c>
      <c r="F777">
        <f>_xlfn.LET(_xlpm.dir,Table13[[#This Row],[Direction]],
IF(_xlpm.dir="R",
    IF(G776+Table13[[#This Row],[Steps]]&gt;99,(G776+Table13[[#This Row],[Steps]])-100,G776+Table13[[#This Row],[Steps]]),
))</f>
        <v>0</v>
      </c>
      <c r="G777">
        <f>IF(Table13[[#This Row],[New Pos L]]&lt;&gt;0,Table13[[#This Row],[New Pos L]],Table13[[#This Row],[New Pos R]])</f>
        <v>46</v>
      </c>
      <c r="H777">
        <f>IF(AND(Table13[[#This Row],[Direction]]="L",Table13[[#This Row],[Steps]]&gt;G776,G776&lt;&gt;0),1,0)</f>
        <v>1</v>
      </c>
      <c r="I777">
        <f>IF(AND(Table13[[#This Row],[Direction]]="R",(G776+Table13[[#This Row],[Steps]])&gt;100),1,0)</f>
        <v>0</v>
      </c>
      <c r="J777">
        <f>IF(Table13[[#This Row],[POS]]=0,1,0)</f>
        <v>0</v>
      </c>
      <c r="K777">
        <f>SUM(Table13[[#This Row],[prefix]],Table13[[#This Row],[Past zero L]],Table13[[#This Row],[Past Zero R]],Table13[[#This Row],[Is Zero]])</f>
        <v>6</v>
      </c>
    </row>
    <row r="778" spans="1:11" ht="16" x14ac:dyDescent="0.2">
      <c r="A778" s="1" t="s">
        <v>108</v>
      </c>
      <c r="B778" t="str">
        <f>LEFT(Table13[[#This Row],[Input]],1)</f>
        <v>R</v>
      </c>
      <c r="C778">
        <f>_xlfn.LET(_xlpm.steps,SUBSTITUTE(Table13[[#This Row],[Input]],Table13[[#This Row],[Direction]],""),VALUE(IF(LEN(_xlpm.steps)&gt;2,RIGHT(_xlpm.steps,2),_xlpm.steps)))</f>
        <v>66</v>
      </c>
      <c r="D778">
        <f>_xlfn.LET(_xlpm.steps,SUBSTITUTE(Table13[[#This Row],[Input]],Table13[[#This Row],[Direction]],""),VALUE(IF(LEN(_xlpm.steps)&gt;2,LEFT(_xlpm.steps,LEN(_xlpm.steps)-2),0)))</f>
        <v>0</v>
      </c>
      <c r="E778">
        <f>_xlfn.LET(_xlpm.dir,Table13[[#This Row],[Direction]],
IF(_xlpm.dir="L",
    IF(G777-Table13[[#This Row],[Steps]]&lt;0,100+(G777-Table13[[#This Row],[Steps]]),G777-Table13[[#This Row],[Steps]]),
))</f>
        <v>0</v>
      </c>
      <c r="F778">
        <f>_xlfn.LET(_xlpm.dir,Table13[[#This Row],[Direction]],
IF(_xlpm.dir="R",
    IF(G777+Table13[[#This Row],[Steps]]&gt;99,(G777+Table13[[#This Row],[Steps]])-100,G777+Table13[[#This Row],[Steps]]),
))</f>
        <v>12</v>
      </c>
      <c r="G778">
        <f>IF(Table13[[#This Row],[New Pos L]]&lt;&gt;0,Table13[[#This Row],[New Pos L]],Table13[[#This Row],[New Pos R]])</f>
        <v>12</v>
      </c>
      <c r="H778">
        <f>IF(AND(Table13[[#This Row],[Direction]]="L",Table13[[#This Row],[Steps]]&gt;G777,G777&lt;&gt;0),1,0)</f>
        <v>0</v>
      </c>
      <c r="I778">
        <f>IF(AND(Table13[[#This Row],[Direction]]="R",(G777+Table13[[#This Row],[Steps]])&gt;100),1,0)</f>
        <v>1</v>
      </c>
      <c r="J778">
        <f>IF(Table13[[#This Row],[POS]]=0,1,0)</f>
        <v>0</v>
      </c>
      <c r="K778">
        <f>SUM(Table13[[#This Row],[prefix]],Table13[[#This Row],[Past zero L]],Table13[[#This Row],[Past Zero R]],Table13[[#This Row],[Is Zero]])</f>
        <v>1</v>
      </c>
    </row>
    <row r="779" spans="1:11" ht="16" x14ac:dyDescent="0.2">
      <c r="A779" s="1" t="s">
        <v>8</v>
      </c>
      <c r="B779" t="str">
        <f>LEFT(Table13[[#This Row],[Input]],1)</f>
        <v>R</v>
      </c>
      <c r="C779">
        <f>_xlfn.LET(_xlpm.steps,SUBSTITUTE(Table13[[#This Row],[Input]],Table13[[#This Row],[Direction]],""),VALUE(IF(LEN(_xlpm.steps)&gt;2,RIGHT(_xlpm.steps,2),_xlpm.steps)))</f>
        <v>18</v>
      </c>
      <c r="D779">
        <f>_xlfn.LET(_xlpm.steps,SUBSTITUTE(Table13[[#This Row],[Input]],Table13[[#This Row],[Direction]],""),VALUE(IF(LEN(_xlpm.steps)&gt;2,LEFT(_xlpm.steps,LEN(_xlpm.steps)-2),0)))</f>
        <v>0</v>
      </c>
      <c r="E779">
        <f>_xlfn.LET(_xlpm.dir,Table13[[#This Row],[Direction]],
IF(_xlpm.dir="L",
    IF(G778-Table13[[#This Row],[Steps]]&lt;0,100+(G778-Table13[[#This Row],[Steps]]),G778-Table13[[#This Row],[Steps]]),
))</f>
        <v>0</v>
      </c>
      <c r="F779">
        <f>_xlfn.LET(_xlpm.dir,Table13[[#This Row],[Direction]],
IF(_xlpm.dir="R",
    IF(G778+Table13[[#This Row],[Steps]]&gt;99,(G778+Table13[[#This Row],[Steps]])-100,G778+Table13[[#This Row],[Steps]]),
))</f>
        <v>30</v>
      </c>
      <c r="G779">
        <f>IF(Table13[[#This Row],[New Pos L]]&lt;&gt;0,Table13[[#This Row],[New Pos L]],Table13[[#This Row],[New Pos R]])</f>
        <v>30</v>
      </c>
      <c r="H779">
        <f>IF(AND(Table13[[#This Row],[Direction]]="L",Table13[[#This Row],[Steps]]&gt;G778,G778&lt;&gt;0),1,0)</f>
        <v>0</v>
      </c>
      <c r="I779">
        <f>IF(AND(Table13[[#This Row],[Direction]]="R",(G778+Table13[[#This Row],[Steps]])&gt;100),1,0)</f>
        <v>0</v>
      </c>
      <c r="J779">
        <f>IF(Table13[[#This Row],[POS]]=0,1,0)</f>
        <v>0</v>
      </c>
      <c r="K779">
        <f>SUM(Table13[[#This Row],[prefix]],Table13[[#This Row],[Past zero L]],Table13[[#This Row],[Past Zero R]],Table13[[#This Row],[Is Zero]])</f>
        <v>0</v>
      </c>
    </row>
    <row r="780" spans="1:11" ht="16" x14ac:dyDescent="0.2">
      <c r="A780" s="1" t="s">
        <v>53</v>
      </c>
      <c r="B780" t="str">
        <f>LEFT(Table13[[#This Row],[Input]],1)</f>
        <v>L</v>
      </c>
      <c r="C780">
        <f>_xlfn.LET(_xlpm.steps,SUBSTITUTE(Table13[[#This Row],[Input]],Table13[[#This Row],[Direction]],""),VALUE(IF(LEN(_xlpm.steps)&gt;2,RIGHT(_xlpm.steps,2),_xlpm.steps)))</f>
        <v>56</v>
      </c>
      <c r="D780">
        <f>_xlfn.LET(_xlpm.steps,SUBSTITUTE(Table13[[#This Row],[Input]],Table13[[#This Row],[Direction]],""),VALUE(IF(LEN(_xlpm.steps)&gt;2,LEFT(_xlpm.steps,LEN(_xlpm.steps)-2),0)))</f>
        <v>0</v>
      </c>
      <c r="E780">
        <f>_xlfn.LET(_xlpm.dir,Table13[[#This Row],[Direction]],
IF(_xlpm.dir="L",
    IF(G779-Table13[[#This Row],[Steps]]&lt;0,100+(G779-Table13[[#This Row],[Steps]]),G779-Table13[[#This Row],[Steps]]),
))</f>
        <v>74</v>
      </c>
      <c r="F780">
        <f>_xlfn.LET(_xlpm.dir,Table13[[#This Row],[Direction]],
IF(_xlpm.dir="R",
    IF(G779+Table13[[#This Row],[Steps]]&gt;99,(G779+Table13[[#This Row],[Steps]])-100,G779+Table13[[#This Row],[Steps]]),
))</f>
        <v>0</v>
      </c>
      <c r="G780">
        <f>IF(Table13[[#This Row],[New Pos L]]&lt;&gt;0,Table13[[#This Row],[New Pos L]],Table13[[#This Row],[New Pos R]])</f>
        <v>74</v>
      </c>
      <c r="H780">
        <f>IF(AND(Table13[[#This Row],[Direction]]="L",Table13[[#This Row],[Steps]]&gt;G779,G779&lt;&gt;0),1,0)</f>
        <v>1</v>
      </c>
      <c r="I780">
        <f>IF(AND(Table13[[#This Row],[Direction]]="R",(G779+Table13[[#This Row],[Steps]])&gt;100),1,0)</f>
        <v>0</v>
      </c>
      <c r="J780">
        <f>IF(Table13[[#This Row],[POS]]=0,1,0)</f>
        <v>0</v>
      </c>
      <c r="K780">
        <f>SUM(Table13[[#This Row],[prefix]],Table13[[#This Row],[Past zero L]],Table13[[#This Row],[Past Zero R]],Table13[[#This Row],[Is Zero]])</f>
        <v>1</v>
      </c>
    </row>
    <row r="781" spans="1:11" ht="16" x14ac:dyDescent="0.2">
      <c r="A781" s="1" t="s">
        <v>151</v>
      </c>
      <c r="B781" t="str">
        <f>LEFT(Table13[[#This Row],[Input]],1)</f>
        <v>L</v>
      </c>
      <c r="C781">
        <f>_xlfn.LET(_xlpm.steps,SUBSTITUTE(Table13[[#This Row],[Input]],Table13[[#This Row],[Direction]],""),VALUE(IF(LEN(_xlpm.steps)&gt;2,RIGHT(_xlpm.steps,2),_xlpm.steps)))</f>
        <v>74</v>
      </c>
      <c r="D781">
        <f>_xlfn.LET(_xlpm.steps,SUBSTITUTE(Table13[[#This Row],[Input]],Table13[[#This Row],[Direction]],""),VALUE(IF(LEN(_xlpm.steps)&gt;2,LEFT(_xlpm.steps,LEN(_xlpm.steps)-2),0)))</f>
        <v>0</v>
      </c>
      <c r="E781">
        <f>_xlfn.LET(_xlpm.dir,Table13[[#This Row],[Direction]],
IF(_xlpm.dir="L",
    IF(G780-Table13[[#This Row],[Steps]]&lt;0,100+(G780-Table13[[#This Row],[Steps]]),G780-Table13[[#This Row],[Steps]]),
))</f>
        <v>0</v>
      </c>
      <c r="F781">
        <f>_xlfn.LET(_xlpm.dir,Table13[[#This Row],[Direction]],
IF(_xlpm.dir="R",
    IF(G780+Table13[[#This Row],[Steps]]&gt;99,(G780+Table13[[#This Row],[Steps]])-100,G780+Table13[[#This Row],[Steps]]),
))</f>
        <v>0</v>
      </c>
      <c r="G781">
        <f>IF(Table13[[#This Row],[New Pos L]]&lt;&gt;0,Table13[[#This Row],[New Pos L]],Table13[[#This Row],[New Pos R]])</f>
        <v>0</v>
      </c>
      <c r="H781">
        <f>IF(AND(Table13[[#This Row],[Direction]]="L",Table13[[#This Row],[Steps]]&gt;G780,G780&lt;&gt;0),1,0)</f>
        <v>0</v>
      </c>
      <c r="I781">
        <f>IF(AND(Table13[[#This Row],[Direction]]="R",(G780+Table13[[#This Row],[Steps]])&gt;100),1,0)</f>
        <v>0</v>
      </c>
      <c r="J781">
        <f>IF(Table13[[#This Row],[POS]]=0,1,0)</f>
        <v>1</v>
      </c>
      <c r="K781">
        <f>SUM(Table13[[#This Row],[prefix]],Table13[[#This Row],[Past zero L]],Table13[[#This Row],[Past Zero R]],Table13[[#This Row],[Is Zero]])</f>
        <v>1</v>
      </c>
    </row>
    <row r="782" spans="1:11" ht="16" x14ac:dyDescent="0.2">
      <c r="A782" s="1" t="s">
        <v>35</v>
      </c>
      <c r="B782" t="str">
        <f>LEFT(Table13[[#This Row],[Input]],1)</f>
        <v>L</v>
      </c>
      <c r="C782">
        <f>_xlfn.LET(_xlpm.steps,SUBSTITUTE(Table13[[#This Row],[Input]],Table13[[#This Row],[Direction]],""),VALUE(IF(LEN(_xlpm.steps)&gt;2,RIGHT(_xlpm.steps,2),_xlpm.steps)))</f>
        <v>2</v>
      </c>
      <c r="D782">
        <f>_xlfn.LET(_xlpm.steps,SUBSTITUTE(Table13[[#This Row],[Input]],Table13[[#This Row],[Direction]],""),VALUE(IF(LEN(_xlpm.steps)&gt;2,LEFT(_xlpm.steps,LEN(_xlpm.steps)-2),0)))</f>
        <v>0</v>
      </c>
      <c r="E782">
        <f>_xlfn.LET(_xlpm.dir,Table13[[#This Row],[Direction]],
IF(_xlpm.dir="L",
    IF(G781-Table13[[#This Row],[Steps]]&lt;0,100+(G781-Table13[[#This Row],[Steps]]),G781-Table13[[#This Row],[Steps]]),
))</f>
        <v>98</v>
      </c>
      <c r="F782">
        <f>_xlfn.LET(_xlpm.dir,Table13[[#This Row],[Direction]],
IF(_xlpm.dir="R",
    IF(G781+Table13[[#This Row],[Steps]]&gt;99,(G781+Table13[[#This Row],[Steps]])-100,G781+Table13[[#This Row],[Steps]]),
))</f>
        <v>0</v>
      </c>
      <c r="G782">
        <f>IF(Table13[[#This Row],[New Pos L]]&lt;&gt;0,Table13[[#This Row],[New Pos L]],Table13[[#This Row],[New Pos R]])</f>
        <v>98</v>
      </c>
      <c r="H782">
        <f>IF(AND(Table13[[#This Row],[Direction]]="L",Table13[[#This Row],[Steps]]&gt;G781,G781&lt;&gt;0),1,0)</f>
        <v>0</v>
      </c>
      <c r="I782">
        <f>IF(AND(Table13[[#This Row],[Direction]]="R",(G781+Table13[[#This Row],[Steps]])&gt;100),1,0)</f>
        <v>0</v>
      </c>
      <c r="J782">
        <f>IF(Table13[[#This Row],[POS]]=0,1,0)</f>
        <v>0</v>
      </c>
      <c r="K782">
        <f>SUM(Table13[[#This Row],[prefix]],Table13[[#This Row],[Past zero L]],Table13[[#This Row],[Past Zero R]],Table13[[#This Row],[Is Zero]])</f>
        <v>0</v>
      </c>
    </row>
    <row r="783" spans="1:11" ht="16" x14ac:dyDescent="0.2">
      <c r="A783" s="1" t="s">
        <v>75</v>
      </c>
      <c r="B783" t="str">
        <f>LEFT(Table13[[#This Row],[Input]],1)</f>
        <v>R</v>
      </c>
      <c r="C783">
        <f>_xlfn.LET(_xlpm.steps,SUBSTITUTE(Table13[[#This Row],[Input]],Table13[[#This Row],[Direction]],""),VALUE(IF(LEN(_xlpm.steps)&gt;2,RIGHT(_xlpm.steps,2),_xlpm.steps)))</f>
        <v>2</v>
      </c>
      <c r="D783">
        <f>_xlfn.LET(_xlpm.steps,SUBSTITUTE(Table13[[#This Row],[Input]],Table13[[#This Row],[Direction]],""),VALUE(IF(LEN(_xlpm.steps)&gt;2,LEFT(_xlpm.steps,LEN(_xlpm.steps)-2),0)))</f>
        <v>0</v>
      </c>
      <c r="E783">
        <f>_xlfn.LET(_xlpm.dir,Table13[[#This Row],[Direction]],
IF(_xlpm.dir="L",
    IF(G782-Table13[[#This Row],[Steps]]&lt;0,100+(G782-Table13[[#This Row],[Steps]]),G782-Table13[[#This Row],[Steps]]),
))</f>
        <v>0</v>
      </c>
      <c r="F783">
        <f>_xlfn.LET(_xlpm.dir,Table13[[#This Row],[Direction]],
IF(_xlpm.dir="R",
    IF(G782+Table13[[#This Row],[Steps]]&gt;99,(G782+Table13[[#This Row],[Steps]])-100,G782+Table13[[#This Row],[Steps]]),
))</f>
        <v>0</v>
      </c>
      <c r="G783">
        <f>IF(Table13[[#This Row],[New Pos L]]&lt;&gt;0,Table13[[#This Row],[New Pos L]],Table13[[#This Row],[New Pos R]])</f>
        <v>0</v>
      </c>
      <c r="H783">
        <f>IF(AND(Table13[[#This Row],[Direction]]="L",Table13[[#This Row],[Steps]]&gt;G782,G782&lt;&gt;0),1,0)</f>
        <v>0</v>
      </c>
      <c r="I783">
        <f>IF(AND(Table13[[#This Row],[Direction]]="R",(G782+Table13[[#This Row],[Steps]])&gt;100),1,0)</f>
        <v>0</v>
      </c>
      <c r="J783">
        <f>IF(Table13[[#This Row],[POS]]=0,1,0)</f>
        <v>1</v>
      </c>
      <c r="K783">
        <f>SUM(Table13[[#This Row],[prefix]],Table13[[#This Row],[Past zero L]],Table13[[#This Row],[Past Zero R]],Table13[[#This Row],[Is Zero]])</f>
        <v>1</v>
      </c>
    </row>
    <row r="784" spans="1:11" ht="16" x14ac:dyDescent="0.2">
      <c r="A784" s="1" t="s">
        <v>65</v>
      </c>
      <c r="B784" t="str">
        <f>LEFT(Table13[[#This Row],[Input]],1)</f>
        <v>L</v>
      </c>
      <c r="C784">
        <f>_xlfn.LET(_xlpm.steps,SUBSTITUTE(Table13[[#This Row],[Input]],Table13[[#This Row],[Direction]],""),VALUE(IF(LEN(_xlpm.steps)&gt;2,RIGHT(_xlpm.steps,2),_xlpm.steps)))</f>
        <v>19</v>
      </c>
      <c r="D784">
        <f>_xlfn.LET(_xlpm.steps,SUBSTITUTE(Table13[[#This Row],[Input]],Table13[[#This Row],[Direction]],""),VALUE(IF(LEN(_xlpm.steps)&gt;2,LEFT(_xlpm.steps,LEN(_xlpm.steps)-2),0)))</f>
        <v>0</v>
      </c>
      <c r="E784">
        <f>_xlfn.LET(_xlpm.dir,Table13[[#This Row],[Direction]],
IF(_xlpm.dir="L",
    IF(G783-Table13[[#This Row],[Steps]]&lt;0,100+(G783-Table13[[#This Row],[Steps]]),G783-Table13[[#This Row],[Steps]]),
))</f>
        <v>81</v>
      </c>
      <c r="F784">
        <f>_xlfn.LET(_xlpm.dir,Table13[[#This Row],[Direction]],
IF(_xlpm.dir="R",
    IF(G783+Table13[[#This Row],[Steps]]&gt;99,(G783+Table13[[#This Row],[Steps]])-100,G783+Table13[[#This Row],[Steps]]),
))</f>
        <v>0</v>
      </c>
      <c r="G784">
        <f>IF(Table13[[#This Row],[New Pos L]]&lt;&gt;0,Table13[[#This Row],[New Pos L]],Table13[[#This Row],[New Pos R]])</f>
        <v>81</v>
      </c>
      <c r="H784">
        <f>IF(AND(Table13[[#This Row],[Direction]]="L",Table13[[#This Row],[Steps]]&gt;G783,G783&lt;&gt;0),1,0)</f>
        <v>0</v>
      </c>
      <c r="I784">
        <f>IF(AND(Table13[[#This Row],[Direction]]="R",(G783+Table13[[#This Row],[Steps]])&gt;100),1,0)</f>
        <v>0</v>
      </c>
      <c r="J784">
        <f>IF(Table13[[#This Row],[POS]]=0,1,0)</f>
        <v>0</v>
      </c>
      <c r="K784">
        <f>SUM(Table13[[#This Row],[prefix]],Table13[[#This Row],[Past zero L]],Table13[[#This Row],[Past Zero R]],Table13[[#This Row],[Is Zero]])</f>
        <v>0</v>
      </c>
    </row>
    <row r="785" spans="1:11" ht="16" x14ac:dyDescent="0.2">
      <c r="A785" s="1" t="s">
        <v>110</v>
      </c>
      <c r="B785" t="str">
        <f>LEFT(Table13[[#This Row],[Input]],1)</f>
        <v>L</v>
      </c>
      <c r="C785">
        <f>_xlfn.LET(_xlpm.steps,SUBSTITUTE(Table13[[#This Row],[Input]],Table13[[#This Row],[Direction]],""),VALUE(IF(LEN(_xlpm.steps)&gt;2,RIGHT(_xlpm.steps,2),_xlpm.steps)))</f>
        <v>81</v>
      </c>
      <c r="D785">
        <f>_xlfn.LET(_xlpm.steps,SUBSTITUTE(Table13[[#This Row],[Input]],Table13[[#This Row],[Direction]],""),VALUE(IF(LEN(_xlpm.steps)&gt;2,LEFT(_xlpm.steps,LEN(_xlpm.steps)-2),0)))</f>
        <v>0</v>
      </c>
      <c r="E785">
        <f>_xlfn.LET(_xlpm.dir,Table13[[#This Row],[Direction]],
IF(_xlpm.dir="L",
    IF(G784-Table13[[#This Row],[Steps]]&lt;0,100+(G784-Table13[[#This Row],[Steps]]),G784-Table13[[#This Row],[Steps]]),
))</f>
        <v>0</v>
      </c>
      <c r="F785">
        <f>_xlfn.LET(_xlpm.dir,Table13[[#This Row],[Direction]],
IF(_xlpm.dir="R",
    IF(G784+Table13[[#This Row],[Steps]]&gt;99,(G784+Table13[[#This Row],[Steps]])-100,G784+Table13[[#This Row],[Steps]]),
))</f>
        <v>0</v>
      </c>
      <c r="G785">
        <f>IF(Table13[[#This Row],[New Pos L]]&lt;&gt;0,Table13[[#This Row],[New Pos L]],Table13[[#This Row],[New Pos R]])</f>
        <v>0</v>
      </c>
      <c r="H785">
        <f>IF(AND(Table13[[#This Row],[Direction]]="L",Table13[[#This Row],[Steps]]&gt;G784,G784&lt;&gt;0),1,0)</f>
        <v>0</v>
      </c>
      <c r="I785">
        <f>IF(AND(Table13[[#This Row],[Direction]]="R",(G784+Table13[[#This Row],[Steps]])&gt;100),1,0)</f>
        <v>0</v>
      </c>
      <c r="J785">
        <f>IF(Table13[[#This Row],[POS]]=0,1,0)</f>
        <v>1</v>
      </c>
      <c r="K785">
        <f>SUM(Table13[[#This Row],[prefix]],Table13[[#This Row],[Past zero L]],Table13[[#This Row],[Past Zero R]],Table13[[#This Row],[Is Zero]])</f>
        <v>1</v>
      </c>
    </row>
    <row r="786" spans="1:11" ht="16" x14ac:dyDescent="0.2">
      <c r="A786" s="1" t="s">
        <v>192</v>
      </c>
      <c r="B786" t="str">
        <f>LEFT(Table13[[#This Row],[Input]],1)</f>
        <v>L</v>
      </c>
      <c r="C786">
        <f>_xlfn.LET(_xlpm.steps,SUBSTITUTE(Table13[[#This Row],[Input]],Table13[[#This Row],[Direction]],""),VALUE(IF(LEN(_xlpm.steps)&gt;2,RIGHT(_xlpm.steps,2),_xlpm.steps)))</f>
        <v>52</v>
      </c>
      <c r="D786">
        <f>_xlfn.LET(_xlpm.steps,SUBSTITUTE(Table13[[#This Row],[Input]],Table13[[#This Row],[Direction]],""),VALUE(IF(LEN(_xlpm.steps)&gt;2,LEFT(_xlpm.steps,LEN(_xlpm.steps)-2),0)))</f>
        <v>0</v>
      </c>
      <c r="E786">
        <f>_xlfn.LET(_xlpm.dir,Table13[[#This Row],[Direction]],
IF(_xlpm.dir="L",
    IF(G785-Table13[[#This Row],[Steps]]&lt;0,100+(G785-Table13[[#This Row],[Steps]]),G785-Table13[[#This Row],[Steps]]),
))</f>
        <v>48</v>
      </c>
      <c r="F786">
        <f>_xlfn.LET(_xlpm.dir,Table13[[#This Row],[Direction]],
IF(_xlpm.dir="R",
    IF(G785+Table13[[#This Row],[Steps]]&gt;99,(G785+Table13[[#This Row],[Steps]])-100,G785+Table13[[#This Row],[Steps]]),
))</f>
        <v>0</v>
      </c>
      <c r="G786">
        <f>IF(Table13[[#This Row],[New Pos L]]&lt;&gt;0,Table13[[#This Row],[New Pos L]],Table13[[#This Row],[New Pos R]])</f>
        <v>48</v>
      </c>
      <c r="H786">
        <f>IF(AND(Table13[[#This Row],[Direction]]="L",Table13[[#This Row],[Steps]]&gt;G785,G785&lt;&gt;0),1,0)</f>
        <v>0</v>
      </c>
      <c r="I786">
        <f>IF(AND(Table13[[#This Row],[Direction]]="R",(G785+Table13[[#This Row],[Steps]])&gt;100),1,0)</f>
        <v>0</v>
      </c>
      <c r="J786">
        <f>IF(Table13[[#This Row],[POS]]=0,1,0)</f>
        <v>0</v>
      </c>
      <c r="K786">
        <f>SUM(Table13[[#This Row],[prefix]],Table13[[#This Row],[Past zero L]],Table13[[#This Row],[Past Zero R]],Table13[[#This Row],[Is Zero]])</f>
        <v>0</v>
      </c>
    </row>
    <row r="787" spans="1:11" ht="16" x14ac:dyDescent="0.2">
      <c r="A787" s="1" t="s">
        <v>207</v>
      </c>
      <c r="B787" t="str">
        <f>LEFT(Table13[[#This Row],[Input]],1)</f>
        <v>L</v>
      </c>
      <c r="C787">
        <f>_xlfn.LET(_xlpm.steps,SUBSTITUTE(Table13[[#This Row],[Input]],Table13[[#This Row],[Direction]],""),VALUE(IF(LEN(_xlpm.steps)&gt;2,RIGHT(_xlpm.steps,2),_xlpm.steps)))</f>
        <v>89</v>
      </c>
      <c r="D787">
        <f>_xlfn.LET(_xlpm.steps,SUBSTITUTE(Table13[[#This Row],[Input]],Table13[[#This Row],[Direction]],""),VALUE(IF(LEN(_xlpm.steps)&gt;2,LEFT(_xlpm.steps,LEN(_xlpm.steps)-2),0)))</f>
        <v>0</v>
      </c>
      <c r="E787">
        <f>_xlfn.LET(_xlpm.dir,Table13[[#This Row],[Direction]],
IF(_xlpm.dir="L",
    IF(G786-Table13[[#This Row],[Steps]]&lt;0,100+(G786-Table13[[#This Row],[Steps]]),G786-Table13[[#This Row],[Steps]]),
))</f>
        <v>59</v>
      </c>
      <c r="F787">
        <f>_xlfn.LET(_xlpm.dir,Table13[[#This Row],[Direction]],
IF(_xlpm.dir="R",
    IF(G786+Table13[[#This Row],[Steps]]&gt;99,(G786+Table13[[#This Row],[Steps]])-100,G786+Table13[[#This Row],[Steps]]),
))</f>
        <v>0</v>
      </c>
      <c r="G787">
        <f>IF(Table13[[#This Row],[New Pos L]]&lt;&gt;0,Table13[[#This Row],[New Pos L]],Table13[[#This Row],[New Pos R]])</f>
        <v>59</v>
      </c>
      <c r="H787">
        <f>IF(AND(Table13[[#This Row],[Direction]]="L",Table13[[#This Row],[Steps]]&gt;G786,G786&lt;&gt;0),1,0)</f>
        <v>1</v>
      </c>
      <c r="I787">
        <f>IF(AND(Table13[[#This Row],[Direction]]="R",(G786+Table13[[#This Row],[Steps]])&gt;100),1,0)</f>
        <v>0</v>
      </c>
      <c r="J787">
        <f>IF(Table13[[#This Row],[POS]]=0,1,0)</f>
        <v>0</v>
      </c>
      <c r="K787">
        <f>SUM(Table13[[#This Row],[prefix]],Table13[[#This Row],[Past zero L]],Table13[[#This Row],[Past Zero R]],Table13[[#This Row],[Is Zero]])</f>
        <v>1</v>
      </c>
    </row>
    <row r="788" spans="1:11" ht="16" x14ac:dyDescent="0.2">
      <c r="A788" s="1" t="s">
        <v>315</v>
      </c>
      <c r="B788" t="str">
        <f>LEFT(Table13[[#This Row],[Input]],1)</f>
        <v>L</v>
      </c>
      <c r="C788">
        <f>_xlfn.LET(_xlpm.steps,SUBSTITUTE(Table13[[#This Row],[Input]],Table13[[#This Row],[Direction]],""),VALUE(IF(LEN(_xlpm.steps)&gt;2,RIGHT(_xlpm.steps,2),_xlpm.steps)))</f>
        <v>50</v>
      </c>
      <c r="D788">
        <f>_xlfn.LET(_xlpm.steps,SUBSTITUTE(Table13[[#This Row],[Input]],Table13[[#This Row],[Direction]],""),VALUE(IF(LEN(_xlpm.steps)&gt;2,LEFT(_xlpm.steps,LEN(_xlpm.steps)-2),0)))</f>
        <v>7</v>
      </c>
      <c r="E788">
        <f>_xlfn.LET(_xlpm.dir,Table13[[#This Row],[Direction]],
IF(_xlpm.dir="L",
    IF(G787-Table13[[#This Row],[Steps]]&lt;0,100+(G787-Table13[[#This Row],[Steps]]),G787-Table13[[#This Row],[Steps]]),
))</f>
        <v>9</v>
      </c>
      <c r="F788">
        <f>_xlfn.LET(_xlpm.dir,Table13[[#This Row],[Direction]],
IF(_xlpm.dir="R",
    IF(G787+Table13[[#This Row],[Steps]]&gt;99,(G787+Table13[[#This Row],[Steps]])-100,G787+Table13[[#This Row],[Steps]]),
))</f>
        <v>0</v>
      </c>
      <c r="G788">
        <f>IF(Table13[[#This Row],[New Pos L]]&lt;&gt;0,Table13[[#This Row],[New Pos L]],Table13[[#This Row],[New Pos R]])</f>
        <v>9</v>
      </c>
      <c r="H788">
        <f>IF(AND(Table13[[#This Row],[Direction]]="L",Table13[[#This Row],[Steps]]&gt;G787,G787&lt;&gt;0),1,0)</f>
        <v>0</v>
      </c>
      <c r="I788">
        <f>IF(AND(Table13[[#This Row],[Direction]]="R",(G787+Table13[[#This Row],[Steps]])&gt;100),1,0)</f>
        <v>0</v>
      </c>
      <c r="J788">
        <f>IF(Table13[[#This Row],[POS]]=0,1,0)</f>
        <v>0</v>
      </c>
      <c r="K788">
        <f>SUM(Table13[[#This Row],[prefix]],Table13[[#This Row],[Past zero L]],Table13[[#This Row],[Past Zero R]],Table13[[#This Row],[Is Zero]])</f>
        <v>7</v>
      </c>
    </row>
    <row r="789" spans="1:11" ht="16" x14ac:dyDescent="0.2">
      <c r="A789" s="1" t="s">
        <v>4</v>
      </c>
      <c r="B789" t="str">
        <f>LEFT(Table13[[#This Row],[Input]],1)</f>
        <v>R</v>
      </c>
      <c r="C789">
        <f>_xlfn.LET(_xlpm.steps,SUBSTITUTE(Table13[[#This Row],[Input]],Table13[[#This Row],[Direction]],""),VALUE(IF(LEN(_xlpm.steps)&gt;2,RIGHT(_xlpm.steps,2),_xlpm.steps)))</f>
        <v>3</v>
      </c>
      <c r="D789">
        <f>_xlfn.LET(_xlpm.steps,SUBSTITUTE(Table13[[#This Row],[Input]],Table13[[#This Row],[Direction]],""),VALUE(IF(LEN(_xlpm.steps)&gt;2,LEFT(_xlpm.steps,LEN(_xlpm.steps)-2),0)))</f>
        <v>0</v>
      </c>
      <c r="E789">
        <f>_xlfn.LET(_xlpm.dir,Table13[[#This Row],[Direction]],
IF(_xlpm.dir="L",
    IF(G788-Table13[[#This Row],[Steps]]&lt;0,100+(G788-Table13[[#This Row],[Steps]]),G788-Table13[[#This Row],[Steps]]),
))</f>
        <v>0</v>
      </c>
      <c r="F789">
        <f>_xlfn.LET(_xlpm.dir,Table13[[#This Row],[Direction]],
IF(_xlpm.dir="R",
    IF(G788+Table13[[#This Row],[Steps]]&gt;99,(G788+Table13[[#This Row],[Steps]])-100,G788+Table13[[#This Row],[Steps]]),
))</f>
        <v>12</v>
      </c>
      <c r="G789">
        <f>IF(Table13[[#This Row],[New Pos L]]&lt;&gt;0,Table13[[#This Row],[New Pos L]],Table13[[#This Row],[New Pos R]])</f>
        <v>12</v>
      </c>
      <c r="H789">
        <f>IF(AND(Table13[[#This Row],[Direction]]="L",Table13[[#This Row],[Steps]]&gt;G788,G788&lt;&gt;0),1,0)</f>
        <v>0</v>
      </c>
      <c r="I789">
        <f>IF(AND(Table13[[#This Row],[Direction]]="R",(G788+Table13[[#This Row],[Steps]])&gt;100),1,0)</f>
        <v>0</v>
      </c>
      <c r="J789">
        <f>IF(Table13[[#This Row],[POS]]=0,1,0)</f>
        <v>0</v>
      </c>
      <c r="K789">
        <f>SUM(Table13[[#This Row],[prefix]],Table13[[#This Row],[Past zero L]],Table13[[#This Row],[Past Zero R]],Table13[[#This Row],[Is Zero]])</f>
        <v>0</v>
      </c>
    </row>
    <row r="790" spans="1:11" ht="16" x14ac:dyDescent="0.2">
      <c r="A790" s="1" t="s">
        <v>129</v>
      </c>
      <c r="B790" t="str">
        <f>LEFT(Table13[[#This Row],[Input]],1)</f>
        <v>R</v>
      </c>
      <c r="C790">
        <f>_xlfn.LET(_xlpm.steps,SUBSTITUTE(Table13[[#This Row],[Input]],Table13[[#This Row],[Direction]],""),VALUE(IF(LEN(_xlpm.steps)&gt;2,RIGHT(_xlpm.steps,2),_xlpm.steps)))</f>
        <v>8</v>
      </c>
      <c r="D790">
        <f>_xlfn.LET(_xlpm.steps,SUBSTITUTE(Table13[[#This Row],[Input]],Table13[[#This Row],[Direction]],""),VALUE(IF(LEN(_xlpm.steps)&gt;2,LEFT(_xlpm.steps,LEN(_xlpm.steps)-2),0)))</f>
        <v>0</v>
      </c>
      <c r="E790">
        <f>_xlfn.LET(_xlpm.dir,Table13[[#This Row],[Direction]],
IF(_xlpm.dir="L",
    IF(G789-Table13[[#This Row],[Steps]]&lt;0,100+(G789-Table13[[#This Row],[Steps]]),G789-Table13[[#This Row],[Steps]]),
))</f>
        <v>0</v>
      </c>
      <c r="F790">
        <f>_xlfn.LET(_xlpm.dir,Table13[[#This Row],[Direction]],
IF(_xlpm.dir="R",
    IF(G789+Table13[[#This Row],[Steps]]&gt;99,(G789+Table13[[#This Row],[Steps]])-100,G789+Table13[[#This Row],[Steps]]),
))</f>
        <v>20</v>
      </c>
      <c r="G790">
        <f>IF(Table13[[#This Row],[New Pos L]]&lt;&gt;0,Table13[[#This Row],[New Pos L]],Table13[[#This Row],[New Pos R]])</f>
        <v>20</v>
      </c>
      <c r="H790">
        <f>IF(AND(Table13[[#This Row],[Direction]]="L",Table13[[#This Row],[Steps]]&gt;G789,G789&lt;&gt;0),1,0)</f>
        <v>0</v>
      </c>
      <c r="I790">
        <f>IF(AND(Table13[[#This Row],[Direction]]="R",(G789+Table13[[#This Row],[Steps]])&gt;100),1,0)</f>
        <v>0</v>
      </c>
      <c r="J790">
        <f>IF(Table13[[#This Row],[POS]]=0,1,0)</f>
        <v>0</v>
      </c>
      <c r="K790">
        <f>SUM(Table13[[#This Row],[prefix]],Table13[[#This Row],[Past zero L]],Table13[[#This Row],[Past Zero R]],Table13[[#This Row],[Is Zero]])</f>
        <v>0</v>
      </c>
    </row>
    <row r="791" spans="1:11" ht="16" x14ac:dyDescent="0.2">
      <c r="A791" s="1" t="s">
        <v>80</v>
      </c>
      <c r="B791" t="str">
        <f>LEFT(Table13[[#This Row],[Input]],1)</f>
        <v>L</v>
      </c>
      <c r="C791">
        <f>_xlfn.LET(_xlpm.steps,SUBSTITUTE(Table13[[#This Row],[Input]],Table13[[#This Row],[Direction]],""),VALUE(IF(LEN(_xlpm.steps)&gt;2,RIGHT(_xlpm.steps,2),_xlpm.steps)))</f>
        <v>48</v>
      </c>
      <c r="D791">
        <f>_xlfn.LET(_xlpm.steps,SUBSTITUTE(Table13[[#This Row],[Input]],Table13[[#This Row],[Direction]],""),VALUE(IF(LEN(_xlpm.steps)&gt;2,LEFT(_xlpm.steps,LEN(_xlpm.steps)-2),0)))</f>
        <v>0</v>
      </c>
      <c r="E791">
        <f>_xlfn.LET(_xlpm.dir,Table13[[#This Row],[Direction]],
IF(_xlpm.dir="L",
    IF(G790-Table13[[#This Row],[Steps]]&lt;0,100+(G790-Table13[[#This Row],[Steps]]),G790-Table13[[#This Row],[Steps]]),
))</f>
        <v>72</v>
      </c>
      <c r="F791">
        <f>_xlfn.LET(_xlpm.dir,Table13[[#This Row],[Direction]],
IF(_xlpm.dir="R",
    IF(G790+Table13[[#This Row],[Steps]]&gt;99,(G790+Table13[[#This Row],[Steps]])-100,G790+Table13[[#This Row],[Steps]]),
))</f>
        <v>0</v>
      </c>
      <c r="G791">
        <f>IF(Table13[[#This Row],[New Pos L]]&lt;&gt;0,Table13[[#This Row],[New Pos L]],Table13[[#This Row],[New Pos R]])</f>
        <v>72</v>
      </c>
      <c r="H791">
        <f>IF(AND(Table13[[#This Row],[Direction]]="L",Table13[[#This Row],[Steps]]&gt;G790,G790&lt;&gt;0),1,0)</f>
        <v>1</v>
      </c>
      <c r="I791">
        <f>IF(AND(Table13[[#This Row],[Direction]]="R",(G790+Table13[[#This Row],[Steps]])&gt;100),1,0)</f>
        <v>0</v>
      </c>
      <c r="J791">
        <f>IF(Table13[[#This Row],[POS]]=0,1,0)</f>
        <v>0</v>
      </c>
      <c r="K791">
        <f>SUM(Table13[[#This Row],[prefix]],Table13[[#This Row],[Past zero L]],Table13[[#This Row],[Past Zero R]],Table13[[#This Row],[Is Zero]])</f>
        <v>1</v>
      </c>
    </row>
    <row r="792" spans="1:11" ht="16" x14ac:dyDescent="0.2">
      <c r="A792" s="1" t="s">
        <v>151</v>
      </c>
      <c r="B792" t="str">
        <f>LEFT(Table13[[#This Row],[Input]],1)</f>
        <v>L</v>
      </c>
      <c r="C792">
        <f>_xlfn.LET(_xlpm.steps,SUBSTITUTE(Table13[[#This Row],[Input]],Table13[[#This Row],[Direction]],""),VALUE(IF(LEN(_xlpm.steps)&gt;2,RIGHT(_xlpm.steps,2),_xlpm.steps)))</f>
        <v>74</v>
      </c>
      <c r="D792">
        <f>_xlfn.LET(_xlpm.steps,SUBSTITUTE(Table13[[#This Row],[Input]],Table13[[#This Row],[Direction]],""),VALUE(IF(LEN(_xlpm.steps)&gt;2,LEFT(_xlpm.steps,LEN(_xlpm.steps)-2),0)))</f>
        <v>0</v>
      </c>
      <c r="E792">
        <f>_xlfn.LET(_xlpm.dir,Table13[[#This Row],[Direction]],
IF(_xlpm.dir="L",
    IF(G791-Table13[[#This Row],[Steps]]&lt;0,100+(G791-Table13[[#This Row],[Steps]]),G791-Table13[[#This Row],[Steps]]),
))</f>
        <v>98</v>
      </c>
      <c r="F792">
        <f>_xlfn.LET(_xlpm.dir,Table13[[#This Row],[Direction]],
IF(_xlpm.dir="R",
    IF(G791+Table13[[#This Row],[Steps]]&gt;99,(G791+Table13[[#This Row],[Steps]])-100,G791+Table13[[#This Row],[Steps]]),
))</f>
        <v>0</v>
      </c>
      <c r="G792">
        <f>IF(Table13[[#This Row],[New Pos L]]&lt;&gt;0,Table13[[#This Row],[New Pos L]],Table13[[#This Row],[New Pos R]])</f>
        <v>98</v>
      </c>
      <c r="H792">
        <f>IF(AND(Table13[[#This Row],[Direction]]="L",Table13[[#This Row],[Steps]]&gt;G791,G791&lt;&gt;0),1,0)</f>
        <v>1</v>
      </c>
      <c r="I792">
        <f>IF(AND(Table13[[#This Row],[Direction]]="R",(G791+Table13[[#This Row],[Steps]])&gt;100),1,0)</f>
        <v>0</v>
      </c>
      <c r="J792">
        <f>IF(Table13[[#This Row],[POS]]=0,1,0)</f>
        <v>0</v>
      </c>
      <c r="K792">
        <f>SUM(Table13[[#This Row],[prefix]],Table13[[#This Row],[Past zero L]],Table13[[#This Row],[Past Zero R]],Table13[[#This Row],[Is Zero]])</f>
        <v>1</v>
      </c>
    </row>
    <row r="793" spans="1:11" ht="16" x14ac:dyDescent="0.2">
      <c r="A793" s="1" t="s">
        <v>316</v>
      </c>
      <c r="B793" t="str">
        <f>LEFT(Table13[[#This Row],[Input]],1)</f>
        <v>L</v>
      </c>
      <c r="C793">
        <f>_xlfn.LET(_xlpm.steps,SUBSTITUTE(Table13[[#This Row],[Input]],Table13[[#This Row],[Direction]],""),VALUE(IF(LEN(_xlpm.steps)&gt;2,RIGHT(_xlpm.steps,2),_xlpm.steps)))</f>
        <v>32</v>
      </c>
      <c r="D793">
        <f>_xlfn.LET(_xlpm.steps,SUBSTITUTE(Table13[[#This Row],[Input]],Table13[[#This Row],[Direction]],""),VALUE(IF(LEN(_xlpm.steps)&gt;2,LEFT(_xlpm.steps,LEN(_xlpm.steps)-2),0)))</f>
        <v>9</v>
      </c>
      <c r="E793">
        <f>_xlfn.LET(_xlpm.dir,Table13[[#This Row],[Direction]],
IF(_xlpm.dir="L",
    IF(G792-Table13[[#This Row],[Steps]]&lt;0,100+(G792-Table13[[#This Row],[Steps]]),G792-Table13[[#This Row],[Steps]]),
))</f>
        <v>66</v>
      </c>
      <c r="F793">
        <f>_xlfn.LET(_xlpm.dir,Table13[[#This Row],[Direction]],
IF(_xlpm.dir="R",
    IF(G792+Table13[[#This Row],[Steps]]&gt;99,(G792+Table13[[#This Row],[Steps]])-100,G792+Table13[[#This Row],[Steps]]),
))</f>
        <v>0</v>
      </c>
      <c r="G793">
        <f>IF(Table13[[#This Row],[New Pos L]]&lt;&gt;0,Table13[[#This Row],[New Pos L]],Table13[[#This Row],[New Pos R]])</f>
        <v>66</v>
      </c>
      <c r="H793">
        <f>IF(AND(Table13[[#This Row],[Direction]]="L",Table13[[#This Row],[Steps]]&gt;G792,G792&lt;&gt;0),1,0)</f>
        <v>0</v>
      </c>
      <c r="I793">
        <f>IF(AND(Table13[[#This Row],[Direction]]="R",(G792+Table13[[#This Row],[Steps]])&gt;100),1,0)</f>
        <v>0</v>
      </c>
      <c r="J793">
        <f>IF(Table13[[#This Row],[POS]]=0,1,0)</f>
        <v>0</v>
      </c>
      <c r="K793">
        <f>SUM(Table13[[#This Row],[prefix]],Table13[[#This Row],[Past zero L]],Table13[[#This Row],[Past Zero R]],Table13[[#This Row],[Is Zero]])</f>
        <v>9</v>
      </c>
    </row>
    <row r="794" spans="1:11" ht="16" x14ac:dyDescent="0.2">
      <c r="A794" s="1" t="s">
        <v>216</v>
      </c>
      <c r="B794" t="str">
        <f>LEFT(Table13[[#This Row],[Input]],1)</f>
        <v>R</v>
      </c>
      <c r="C794">
        <f>_xlfn.LET(_xlpm.steps,SUBSTITUTE(Table13[[#This Row],[Input]],Table13[[#This Row],[Direction]],""),VALUE(IF(LEN(_xlpm.steps)&gt;2,RIGHT(_xlpm.steps,2),_xlpm.steps)))</f>
        <v>54</v>
      </c>
      <c r="D794">
        <f>_xlfn.LET(_xlpm.steps,SUBSTITUTE(Table13[[#This Row],[Input]],Table13[[#This Row],[Direction]],""),VALUE(IF(LEN(_xlpm.steps)&gt;2,LEFT(_xlpm.steps,LEN(_xlpm.steps)-2),0)))</f>
        <v>0</v>
      </c>
      <c r="E794">
        <f>_xlfn.LET(_xlpm.dir,Table13[[#This Row],[Direction]],
IF(_xlpm.dir="L",
    IF(G793-Table13[[#This Row],[Steps]]&lt;0,100+(G793-Table13[[#This Row],[Steps]]),G793-Table13[[#This Row],[Steps]]),
))</f>
        <v>0</v>
      </c>
      <c r="F794">
        <f>_xlfn.LET(_xlpm.dir,Table13[[#This Row],[Direction]],
IF(_xlpm.dir="R",
    IF(G793+Table13[[#This Row],[Steps]]&gt;99,(G793+Table13[[#This Row],[Steps]])-100,G793+Table13[[#This Row],[Steps]]),
))</f>
        <v>20</v>
      </c>
      <c r="G794">
        <f>IF(Table13[[#This Row],[New Pos L]]&lt;&gt;0,Table13[[#This Row],[New Pos L]],Table13[[#This Row],[New Pos R]])</f>
        <v>20</v>
      </c>
      <c r="H794">
        <f>IF(AND(Table13[[#This Row],[Direction]]="L",Table13[[#This Row],[Steps]]&gt;G793,G793&lt;&gt;0),1,0)</f>
        <v>0</v>
      </c>
      <c r="I794">
        <f>IF(AND(Table13[[#This Row],[Direction]]="R",(G793+Table13[[#This Row],[Steps]])&gt;100),1,0)</f>
        <v>1</v>
      </c>
      <c r="J794">
        <f>IF(Table13[[#This Row],[POS]]=0,1,0)</f>
        <v>0</v>
      </c>
      <c r="K794">
        <f>SUM(Table13[[#This Row],[prefix]],Table13[[#This Row],[Past zero L]],Table13[[#This Row],[Past Zero R]],Table13[[#This Row],[Is Zero]])</f>
        <v>1</v>
      </c>
    </row>
    <row r="795" spans="1:11" ht="16" x14ac:dyDescent="0.2">
      <c r="A795" s="1" t="s">
        <v>19</v>
      </c>
      <c r="B795" t="str">
        <f>LEFT(Table13[[#This Row],[Input]],1)</f>
        <v>R</v>
      </c>
      <c r="C795">
        <f>_xlfn.LET(_xlpm.steps,SUBSTITUTE(Table13[[#This Row],[Input]],Table13[[#This Row],[Direction]],""),VALUE(IF(LEN(_xlpm.steps)&gt;2,RIGHT(_xlpm.steps,2),_xlpm.steps)))</f>
        <v>47</v>
      </c>
      <c r="D795">
        <f>_xlfn.LET(_xlpm.steps,SUBSTITUTE(Table13[[#This Row],[Input]],Table13[[#This Row],[Direction]],""),VALUE(IF(LEN(_xlpm.steps)&gt;2,LEFT(_xlpm.steps,LEN(_xlpm.steps)-2),0)))</f>
        <v>0</v>
      </c>
      <c r="E795">
        <f>_xlfn.LET(_xlpm.dir,Table13[[#This Row],[Direction]],
IF(_xlpm.dir="L",
    IF(G794-Table13[[#This Row],[Steps]]&lt;0,100+(G794-Table13[[#This Row],[Steps]]),G794-Table13[[#This Row],[Steps]]),
))</f>
        <v>0</v>
      </c>
      <c r="F795">
        <f>_xlfn.LET(_xlpm.dir,Table13[[#This Row],[Direction]],
IF(_xlpm.dir="R",
    IF(G794+Table13[[#This Row],[Steps]]&gt;99,(G794+Table13[[#This Row],[Steps]])-100,G794+Table13[[#This Row],[Steps]]),
))</f>
        <v>67</v>
      </c>
      <c r="G795">
        <f>IF(Table13[[#This Row],[New Pos L]]&lt;&gt;0,Table13[[#This Row],[New Pos L]],Table13[[#This Row],[New Pos R]])</f>
        <v>67</v>
      </c>
      <c r="H795">
        <f>IF(AND(Table13[[#This Row],[Direction]]="L",Table13[[#This Row],[Steps]]&gt;G794,G794&lt;&gt;0),1,0)</f>
        <v>0</v>
      </c>
      <c r="I795">
        <f>IF(AND(Table13[[#This Row],[Direction]]="R",(G794+Table13[[#This Row],[Steps]])&gt;100),1,0)</f>
        <v>0</v>
      </c>
      <c r="J795">
        <f>IF(Table13[[#This Row],[POS]]=0,1,0)</f>
        <v>0</v>
      </c>
      <c r="K795">
        <f>SUM(Table13[[#This Row],[prefix]],Table13[[#This Row],[Past zero L]],Table13[[#This Row],[Past Zero R]],Table13[[#This Row],[Is Zero]])</f>
        <v>0</v>
      </c>
    </row>
    <row r="796" spans="1:11" ht="16" x14ac:dyDescent="0.2">
      <c r="A796" s="1" t="s">
        <v>252</v>
      </c>
      <c r="B796" t="str">
        <f>LEFT(Table13[[#This Row],[Input]],1)</f>
        <v>L</v>
      </c>
      <c r="C796">
        <f>_xlfn.LET(_xlpm.steps,SUBSTITUTE(Table13[[#This Row],[Input]],Table13[[#This Row],[Direction]],""),VALUE(IF(LEN(_xlpm.steps)&gt;2,RIGHT(_xlpm.steps,2),_xlpm.steps)))</f>
        <v>99</v>
      </c>
      <c r="D796">
        <f>_xlfn.LET(_xlpm.steps,SUBSTITUTE(Table13[[#This Row],[Input]],Table13[[#This Row],[Direction]],""),VALUE(IF(LEN(_xlpm.steps)&gt;2,LEFT(_xlpm.steps,LEN(_xlpm.steps)-2),0)))</f>
        <v>0</v>
      </c>
      <c r="E796">
        <f>_xlfn.LET(_xlpm.dir,Table13[[#This Row],[Direction]],
IF(_xlpm.dir="L",
    IF(G795-Table13[[#This Row],[Steps]]&lt;0,100+(G795-Table13[[#This Row],[Steps]]),G795-Table13[[#This Row],[Steps]]),
))</f>
        <v>68</v>
      </c>
      <c r="F796">
        <f>_xlfn.LET(_xlpm.dir,Table13[[#This Row],[Direction]],
IF(_xlpm.dir="R",
    IF(G795+Table13[[#This Row],[Steps]]&gt;99,(G795+Table13[[#This Row],[Steps]])-100,G795+Table13[[#This Row],[Steps]]),
))</f>
        <v>0</v>
      </c>
      <c r="G796">
        <f>IF(Table13[[#This Row],[New Pos L]]&lt;&gt;0,Table13[[#This Row],[New Pos L]],Table13[[#This Row],[New Pos R]])</f>
        <v>68</v>
      </c>
      <c r="H796">
        <f>IF(AND(Table13[[#This Row],[Direction]]="L",Table13[[#This Row],[Steps]]&gt;G795,G795&lt;&gt;0),1,0)</f>
        <v>1</v>
      </c>
      <c r="I796">
        <f>IF(AND(Table13[[#This Row],[Direction]]="R",(G795+Table13[[#This Row],[Steps]])&gt;100),1,0)</f>
        <v>0</v>
      </c>
      <c r="J796">
        <f>IF(Table13[[#This Row],[POS]]=0,1,0)</f>
        <v>0</v>
      </c>
      <c r="K796">
        <f>SUM(Table13[[#This Row],[prefix]],Table13[[#This Row],[Past zero L]],Table13[[#This Row],[Past Zero R]],Table13[[#This Row],[Is Zero]])</f>
        <v>1</v>
      </c>
    </row>
    <row r="797" spans="1:11" ht="16" x14ac:dyDescent="0.2">
      <c r="A797" s="1" t="s">
        <v>258</v>
      </c>
      <c r="B797" t="str">
        <f>LEFT(Table13[[#This Row],[Input]],1)</f>
        <v>L</v>
      </c>
      <c r="C797">
        <f>_xlfn.LET(_xlpm.steps,SUBSTITUTE(Table13[[#This Row],[Input]],Table13[[#This Row],[Direction]],""),VALUE(IF(LEN(_xlpm.steps)&gt;2,RIGHT(_xlpm.steps,2),_xlpm.steps)))</f>
        <v>68</v>
      </c>
      <c r="D797">
        <f>_xlfn.LET(_xlpm.steps,SUBSTITUTE(Table13[[#This Row],[Input]],Table13[[#This Row],[Direction]],""),VALUE(IF(LEN(_xlpm.steps)&gt;2,LEFT(_xlpm.steps,LEN(_xlpm.steps)-2),0)))</f>
        <v>2</v>
      </c>
      <c r="E797">
        <f>_xlfn.LET(_xlpm.dir,Table13[[#This Row],[Direction]],
IF(_xlpm.dir="L",
    IF(G796-Table13[[#This Row],[Steps]]&lt;0,100+(G796-Table13[[#This Row],[Steps]]),G796-Table13[[#This Row],[Steps]]),
))</f>
        <v>0</v>
      </c>
      <c r="F797">
        <f>_xlfn.LET(_xlpm.dir,Table13[[#This Row],[Direction]],
IF(_xlpm.dir="R",
    IF(G796+Table13[[#This Row],[Steps]]&gt;99,(G796+Table13[[#This Row],[Steps]])-100,G796+Table13[[#This Row],[Steps]]),
))</f>
        <v>0</v>
      </c>
      <c r="G797">
        <f>IF(Table13[[#This Row],[New Pos L]]&lt;&gt;0,Table13[[#This Row],[New Pos L]],Table13[[#This Row],[New Pos R]])</f>
        <v>0</v>
      </c>
      <c r="H797">
        <f>IF(AND(Table13[[#This Row],[Direction]]="L",Table13[[#This Row],[Steps]]&gt;G796,G796&lt;&gt;0),1,0)</f>
        <v>0</v>
      </c>
      <c r="I797">
        <f>IF(AND(Table13[[#This Row],[Direction]]="R",(G796+Table13[[#This Row],[Steps]])&gt;100),1,0)</f>
        <v>0</v>
      </c>
      <c r="J797">
        <f>IF(Table13[[#This Row],[POS]]=0,1,0)</f>
        <v>1</v>
      </c>
      <c r="K797">
        <f>SUM(Table13[[#This Row],[prefix]],Table13[[#This Row],[Past zero L]],Table13[[#This Row],[Past Zero R]],Table13[[#This Row],[Is Zero]])</f>
        <v>3</v>
      </c>
    </row>
    <row r="798" spans="1:11" ht="16" x14ac:dyDescent="0.2">
      <c r="A798" s="1" t="s">
        <v>102</v>
      </c>
      <c r="B798" t="str">
        <f>LEFT(Table13[[#This Row],[Input]],1)</f>
        <v>R</v>
      </c>
      <c r="C798">
        <f>_xlfn.LET(_xlpm.steps,SUBSTITUTE(Table13[[#This Row],[Input]],Table13[[#This Row],[Direction]],""),VALUE(IF(LEN(_xlpm.steps)&gt;2,RIGHT(_xlpm.steps,2),_xlpm.steps)))</f>
        <v>39</v>
      </c>
      <c r="D798">
        <f>_xlfn.LET(_xlpm.steps,SUBSTITUTE(Table13[[#This Row],[Input]],Table13[[#This Row],[Direction]],""),VALUE(IF(LEN(_xlpm.steps)&gt;2,LEFT(_xlpm.steps,LEN(_xlpm.steps)-2),0)))</f>
        <v>0</v>
      </c>
      <c r="E798">
        <f>_xlfn.LET(_xlpm.dir,Table13[[#This Row],[Direction]],
IF(_xlpm.dir="L",
    IF(G797-Table13[[#This Row],[Steps]]&lt;0,100+(G797-Table13[[#This Row],[Steps]]),G797-Table13[[#This Row],[Steps]]),
))</f>
        <v>0</v>
      </c>
      <c r="F798">
        <f>_xlfn.LET(_xlpm.dir,Table13[[#This Row],[Direction]],
IF(_xlpm.dir="R",
    IF(G797+Table13[[#This Row],[Steps]]&gt;99,(G797+Table13[[#This Row],[Steps]])-100,G797+Table13[[#This Row],[Steps]]),
))</f>
        <v>39</v>
      </c>
      <c r="G798">
        <f>IF(Table13[[#This Row],[New Pos L]]&lt;&gt;0,Table13[[#This Row],[New Pos L]],Table13[[#This Row],[New Pos R]])</f>
        <v>39</v>
      </c>
      <c r="H798">
        <f>IF(AND(Table13[[#This Row],[Direction]]="L",Table13[[#This Row],[Steps]]&gt;G797,G797&lt;&gt;0),1,0)</f>
        <v>0</v>
      </c>
      <c r="I798">
        <f>IF(AND(Table13[[#This Row],[Direction]]="R",(G797+Table13[[#This Row],[Steps]])&gt;100),1,0)</f>
        <v>0</v>
      </c>
      <c r="J798">
        <f>IF(Table13[[#This Row],[POS]]=0,1,0)</f>
        <v>0</v>
      </c>
      <c r="K798">
        <f>SUM(Table13[[#This Row],[prefix]],Table13[[#This Row],[Past zero L]],Table13[[#This Row],[Past Zero R]],Table13[[#This Row],[Is Zero]])</f>
        <v>0</v>
      </c>
    </row>
    <row r="799" spans="1:11" ht="16" x14ac:dyDescent="0.2">
      <c r="A799" s="1" t="s">
        <v>317</v>
      </c>
      <c r="B799" t="str">
        <f>LEFT(Table13[[#This Row],[Input]],1)</f>
        <v>L</v>
      </c>
      <c r="C799">
        <f>_xlfn.LET(_xlpm.steps,SUBSTITUTE(Table13[[#This Row],[Input]],Table13[[#This Row],[Direction]],""),VALUE(IF(LEN(_xlpm.steps)&gt;2,RIGHT(_xlpm.steps,2),_xlpm.steps)))</f>
        <v>39</v>
      </c>
      <c r="D799">
        <f>_xlfn.LET(_xlpm.steps,SUBSTITUTE(Table13[[#This Row],[Input]],Table13[[#This Row],[Direction]],""),VALUE(IF(LEN(_xlpm.steps)&gt;2,LEFT(_xlpm.steps,LEN(_xlpm.steps)-2),0)))</f>
        <v>9</v>
      </c>
      <c r="E799">
        <f>_xlfn.LET(_xlpm.dir,Table13[[#This Row],[Direction]],
IF(_xlpm.dir="L",
    IF(G798-Table13[[#This Row],[Steps]]&lt;0,100+(G798-Table13[[#This Row],[Steps]]),G798-Table13[[#This Row],[Steps]]),
))</f>
        <v>0</v>
      </c>
      <c r="F799">
        <f>_xlfn.LET(_xlpm.dir,Table13[[#This Row],[Direction]],
IF(_xlpm.dir="R",
    IF(G798+Table13[[#This Row],[Steps]]&gt;99,(G798+Table13[[#This Row],[Steps]])-100,G798+Table13[[#This Row],[Steps]]),
))</f>
        <v>0</v>
      </c>
      <c r="G799">
        <f>IF(Table13[[#This Row],[New Pos L]]&lt;&gt;0,Table13[[#This Row],[New Pos L]],Table13[[#This Row],[New Pos R]])</f>
        <v>0</v>
      </c>
      <c r="H799">
        <f>IF(AND(Table13[[#This Row],[Direction]]="L",Table13[[#This Row],[Steps]]&gt;G798,G798&lt;&gt;0),1,0)</f>
        <v>0</v>
      </c>
      <c r="I799">
        <f>IF(AND(Table13[[#This Row],[Direction]]="R",(G798+Table13[[#This Row],[Steps]])&gt;100),1,0)</f>
        <v>0</v>
      </c>
      <c r="J799">
        <f>IF(Table13[[#This Row],[POS]]=0,1,0)</f>
        <v>1</v>
      </c>
      <c r="K799">
        <f>SUM(Table13[[#This Row],[prefix]],Table13[[#This Row],[Past zero L]],Table13[[#This Row],[Past Zero R]],Table13[[#This Row],[Is Zero]])</f>
        <v>10</v>
      </c>
    </row>
    <row r="800" spans="1:11" ht="16" x14ac:dyDescent="0.2">
      <c r="A800" s="1" t="s">
        <v>318</v>
      </c>
      <c r="B800" t="str">
        <f>LEFT(Table13[[#This Row],[Input]],1)</f>
        <v>L</v>
      </c>
      <c r="C800">
        <f>_xlfn.LET(_xlpm.steps,SUBSTITUTE(Table13[[#This Row],[Input]],Table13[[#This Row],[Direction]],""),VALUE(IF(LEN(_xlpm.steps)&gt;2,RIGHT(_xlpm.steps,2),_xlpm.steps)))</f>
        <v>52</v>
      </c>
      <c r="D800">
        <f>_xlfn.LET(_xlpm.steps,SUBSTITUTE(Table13[[#This Row],[Input]],Table13[[#This Row],[Direction]],""),VALUE(IF(LEN(_xlpm.steps)&gt;2,LEFT(_xlpm.steps,LEN(_xlpm.steps)-2),0)))</f>
        <v>3</v>
      </c>
      <c r="E800">
        <f>_xlfn.LET(_xlpm.dir,Table13[[#This Row],[Direction]],
IF(_xlpm.dir="L",
    IF(G799-Table13[[#This Row],[Steps]]&lt;0,100+(G799-Table13[[#This Row],[Steps]]),G799-Table13[[#This Row],[Steps]]),
))</f>
        <v>48</v>
      </c>
      <c r="F800">
        <f>_xlfn.LET(_xlpm.dir,Table13[[#This Row],[Direction]],
IF(_xlpm.dir="R",
    IF(G799+Table13[[#This Row],[Steps]]&gt;99,(G799+Table13[[#This Row],[Steps]])-100,G799+Table13[[#This Row],[Steps]]),
))</f>
        <v>0</v>
      </c>
      <c r="G800">
        <f>IF(Table13[[#This Row],[New Pos L]]&lt;&gt;0,Table13[[#This Row],[New Pos L]],Table13[[#This Row],[New Pos R]])</f>
        <v>48</v>
      </c>
      <c r="H800">
        <f>IF(AND(Table13[[#This Row],[Direction]]="L",Table13[[#This Row],[Steps]]&gt;G799,G799&lt;&gt;0),1,0)</f>
        <v>0</v>
      </c>
      <c r="I800">
        <f>IF(AND(Table13[[#This Row],[Direction]]="R",(G799+Table13[[#This Row],[Steps]])&gt;100),1,0)</f>
        <v>0</v>
      </c>
      <c r="J800">
        <f>IF(Table13[[#This Row],[POS]]=0,1,0)</f>
        <v>0</v>
      </c>
      <c r="K800">
        <f>SUM(Table13[[#This Row],[prefix]],Table13[[#This Row],[Past zero L]],Table13[[#This Row],[Past Zero R]],Table13[[#This Row],[Is Zero]])</f>
        <v>3</v>
      </c>
    </row>
    <row r="801" spans="1:11" ht="16" x14ac:dyDescent="0.2">
      <c r="A801" s="1" t="s">
        <v>201</v>
      </c>
      <c r="B801" t="str">
        <f>LEFT(Table13[[#This Row],[Input]],1)</f>
        <v>R</v>
      </c>
      <c r="C801">
        <f>_xlfn.LET(_xlpm.steps,SUBSTITUTE(Table13[[#This Row],[Input]],Table13[[#This Row],[Direction]],""),VALUE(IF(LEN(_xlpm.steps)&gt;2,RIGHT(_xlpm.steps,2),_xlpm.steps)))</f>
        <v>31</v>
      </c>
      <c r="D801">
        <f>_xlfn.LET(_xlpm.steps,SUBSTITUTE(Table13[[#This Row],[Input]],Table13[[#This Row],[Direction]],""),VALUE(IF(LEN(_xlpm.steps)&gt;2,LEFT(_xlpm.steps,LEN(_xlpm.steps)-2),0)))</f>
        <v>0</v>
      </c>
      <c r="E801">
        <f>_xlfn.LET(_xlpm.dir,Table13[[#This Row],[Direction]],
IF(_xlpm.dir="L",
    IF(G800-Table13[[#This Row],[Steps]]&lt;0,100+(G800-Table13[[#This Row],[Steps]]),G800-Table13[[#This Row],[Steps]]),
))</f>
        <v>0</v>
      </c>
      <c r="F801">
        <f>_xlfn.LET(_xlpm.dir,Table13[[#This Row],[Direction]],
IF(_xlpm.dir="R",
    IF(G800+Table13[[#This Row],[Steps]]&gt;99,(G800+Table13[[#This Row],[Steps]])-100,G800+Table13[[#This Row],[Steps]]),
))</f>
        <v>79</v>
      </c>
      <c r="G801">
        <f>IF(Table13[[#This Row],[New Pos L]]&lt;&gt;0,Table13[[#This Row],[New Pos L]],Table13[[#This Row],[New Pos R]])</f>
        <v>79</v>
      </c>
      <c r="H801">
        <f>IF(AND(Table13[[#This Row],[Direction]]="L",Table13[[#This Row],[Steps]]&gt;G800,G800&lt;&gt;0),1,0)</f>
        <v>0</v>
      </c>
      <c r="I801">
        <f>IF(AND(Table13[[#This Row],[Direction]]="R",(G800+Table13[[#This Row],[Steps]])&gt;100),1,0)</f>
        <v>0</v>
      </c>
      <c r="J801">
        <f>IF(Table13[[#This Row],[POS]]=0,1,0)</f>
        <v>0</v>
      </c>
      <c r="K801">
        <f>SUM(Table13[[#This Row],[prefix]],Table13[[#This Row],[Past zero L]],Table13[[#This Row],[Past Zero R]],Table13[[#This Row],[Is Zero]])</f>
        <v>0</v>
      </c>
    </row>
    <row r="802" spans="1:11" ht="16" x14ac:dyDescent="0.2">
      <c r="A802" s="1" t="s">
        <v>319</v>
      </c>
      <c r="B802" t="str">
        <f>LEFT(Table13[[#This Row],[Input]],1)</f>
        <v>L</v>
      </c>
      <c r="C802">
        <f>_xlfn.LET(_xlpm.steps,SUBSTITUTE(Table13[[#This Row],[Input]],Table13[[#This Row],[Direction]],""),VALUE(IF(LEN(_xlpm.steps)&gt;2,RIGHT(_xlpm.steps,2),_xlpm.steps)))</f>
        <v>79</v>
      </c>
      <c r="D802">
        <f>_xlfn.LET(_xlpm.steps,SUBSTITUTE(Table13[[#This Row],[Input]],Table13[[#This Row],[Direction]],""),VALUE(IF(LEN(_xlpm.steps)&gt;2,LEFT(_xlpm.steps,LEN(_xlpm.steps)-2),0)))</f>
        <v>0</v>
      </c>
      <c r="E802">
        <f>_xlfn.LET(_xlpm.dir,Table13[[#This Row],[Direction]],
IF(_xlpm.dir="L",
    IF(G801-Table13[[#This Row],[Steps]]&lt;0,100+(G801-Table13[[#This Row],[Steps]]),G801-Table13[[#This Row],[Steps]]),
))</f>
        <v>0</v>
      </c>
      <c r="F802">
        <f>_xlfn.LET(_xlpm.dir,Table13[[#This Row],[Direction]],
IF(_xlpm.dir="R",
    IF(G801+Table13[[#This Row],[Steps]]&gt;99,(G801+Table13[[#This Row],[Steps]])-100,G801+Table13[[#This Row],[Steps]]),
))</f>
        <v>0</v>
      </c>
      <c r="G802">
        <f>IF(Table13[[#This Row],[New Pos L]]&lt;&gt;0,Table13[[#This Row],[New Pos L]],Table13[[#This Row],[New Pos R]])</f>
        <v>0</v>
      </c>
      <c r="H802">
        <f>IF(AND(Table13[[#This Row],[Direction]]="L",Table13[[#This Row],[Steps]]&gt;G801,G801&lt;&gt;0),1,0)</f>
        <v>0</v>
      </c>
      <c r="I802">
        <f>IF(AND(Table13[[#This Row],[Direction]]="R",(G801+Table13[[#This Row],[Steps]])&gt;100),1,0)</f>
        <v>0</v>
      </c>
      <c r="J802">
        <f>IF(Table13[[#This Row],[POS]]=0,1,0)</f>
        <v>1</v>
      </c>
      <c r="K802">
        <f>SUM(Table13[[#This Row],[prefix]],Table13[[#This Row],[Past zero L]],Table13[[#This Row],[Past Zero R]],Table13[[#This Row],[Is Zero]])</f>
        <v>1</v>
      </c>
    </row>
    <row r="803" spans="1:11" ht="16" x14ac:dyDescent="0.2">
      <c r="A803" s="1" t="s">
        <v>67</v>
      </c>
      <c r="B803" t="str">
        <f>LEFT(Table13[[#This Row],[Input]],1)</f>
        <v>R</v>
      </c>
      <c r="C803">
        <f>_xlfn.LET(_xlpm.steps,SUBSTITUTE(Table13[[#This Row],[Input]],Table13[[#This Row],[Direction]],""),VALUE(IF(LEN(_xlpm.steps)&gt;2,RIGHT(_xlpm.steps,2),_xlpm.steps)))</f>
        <v>33</v>
      </c>
      <c r="D803">
        <f>_xlfn.LET(_xlpm.steps,SUBSTITUTE(Table13[[#This Row],[Input]],Table13[[#This Row],[Direction]],""),VALUE(IF(LEN(_xlpm.steps)&gt;2,LEFT(_xlpm.steps,LEN(_xlpm.steps)-2),0)))</f>
        <v>0</v>
      </c>
      <c r="E803">
        <f>_xlfn.LET(_xlpm.dir,Table13[[#This Row],[Direction]],
IF(_xlpm.dir="L",
    IF(G802-Table13[[#This Row],[Steps]]&lt;0,100+(G802-Table13[[#This Row],[Steps]]),G802-Table13[[#This Row],[Steps]]),
))</f>
        <v>0</v>
      </c>
      <c r="F803">
        <f>_xlfn.LET(_xlpm.dir,Table13[[#This Row],[Direction]],
IF(_xlpm.dir="R",
    IF(G802+Table13[[#This Row],[Steps]]&gt;99,(G802+Table13[[#This Row],[Steps]])-100,G802+Table13[[#This Row],[Steps]]),
))</f>
        <v>33</v>
      </c>
      <c r="G803">
        <f>IF(Table13[[#This Row],[New Pos L]]&lt;&gt;0,Table13[[#This Row],[New Pos L]],Table13[[#This Row],[New Pos R]])</f>
        <v>33</v>
      </c>
      <c r="H803">
        <f>IF(AND(Table13[[#This Row],[Direction]]="L",Table13[[#This Row],[Steps]]&gt;G802,G802&lt;&gt;0),1,0)</f>
        <v>0</v>
      </c>
      <c r="I803">
        <f>IF(AND(Table13[[#This Row],[Direction]]="R",(G802+Table13[[#This Row],[Steps]])&gt;100),1,0)</f>
        <v>0</v>
      </c>
      <c r="J803">
        <f>IF(Table13[[#This Row],[POS]]=0,1,0)</f>
        <v>0</v>
      </c>
      <c r="K803">
        <f>SUM(Table13[[#This Row],[prefix]],Table13[[#This Row],[Past zero L]],Table13[[#This Row],[Past Zero R]],Table13[[#This Row],[Is Zero]])</f>
        <v>0</v>
      </c>
    </row>
    <row r="804" spans="1:11" ht="16" x14ac:dyDescent="0.2">
      <c r="A804" s="1" t="s">
        <v>135</v>
      </c>
      <c r="B804" t="str">
        <f>LEFT(Table13[[#This Row],[Input]],1)</f>
        <v>R</v>
      </c>
      <c r="C804">
        <f>_xlfn.LET(_xlpm.steps,SUBSTITUTE(Table13[[#This Row],[Input]],Table13[[#This Row],[Direction]],""),VALUE(IF(LEN(_xlpm.steps)&gt;2,RIGHT(_xlpm.steps,2),_xlpm.steps)))</f>
        <v>69</v>
      </c>
      <c r="D804">
        <f>_xlfn.LET(_xlpm.steps,SUBSTITUTE(Table13[[#This Row],[Input]],Table13[[#This Row],[Direction]],""),VALUE(IF(LEN(_xlpm.steps)&gt;2,LEFT(_xlpm.steps,LEN(_xlpm.steps)-2),0)))</f>
        <v>0</v>
      </c>
      <c r="E804">
        <f>_xlfn.LET(_xlpm.dir,Table13[[#This Row],[Direction]],
IF(_xlpm.dir="L",
    IF(G803-Table13[[#This Row],[Steps]]&lt;0,100+(G803-Table13[[#This Row],[Steps]]),G803-Table13[[#This Row],[Steps]]),
))</f>
        <v>0</v>
      </c>
      <c r="F804">
        <f>_xlfn.LET(_xlpm.dir,Table13[[#This Row],[Direction]],
IF(_xlpm.dir="R",
    IF(G803+Table13[[#This Row],[Steps]]&gt;99,(G803+Table13[[#This Row],[Steps]])-100,G803+Table13[[#This Row],[Steps]]),
))</f>
        <v>2</v>
      </c>
      <c r="G804">
        <f>IF(Table13[[#This Row],[New Pos L]]&lt;&gt;0,Table13[[#This Row],[New Pos L]],Table13[[#This Row],[New Pos R]])</f>
        <v>2</v>
      </c>
      <c r="H804">
        <f>IF(AND(Table13[[#This Row],[Direction]]="L",Table13[[#This Row],[Steps]]&gt;G803,G803&lt;&gt;0),1,0)</f>
        <v>0</v>
      </c>
      <c r="I804">
        <f>IF(AND(Table13[[#This Row],[Direction]]="R",(G803+Table13[[#This Row],[Steps]])&gt;100),1,0)</f>
        <v>1</v>
      </c>
      <c r="J804">
        <f>IF(Table13[[#This Row],[POS]]=0,1,0)</f>
        <v>0</v>
      </c>
      <c r="K804">
        <f>SUM(Table13[[#This Row],[prefix]],Table13[[#This Row],[Past zero L]],Table13[[#This Row],[Past Zero R]],Table13[[#This Row],[Is Zero]])</f>
        <v>1</v>
      </c>
    </row>
    <row r="805" spans="1:11" ht="16" x14ac:dyDescent="0.2">
      <c r="A805" s="1" t="s">
        <v>199</v>
      </c>
      <c r="B805" t="str">
        <f>LEFT(Table13[[#This Row],[Input]],1)</f>
        <v>R</v>
      </c>
      <c r="C805">
        <f>_xlfn.LET(_xlpm.steps,SUBSTITUTE(Table13[[#This Row],[Input]],Table13[[#This Row],[Direction]],""),VALUE(IF(LEN(_xlpm.steps)&gt;2,RIGHT(_xlpm.steps,2),_xlpm.steps)))</f>
        <v>17</v>
      </c>
      <c r="D805">
        <f>_xlfn.LET(_xlpm.steps,SUBSTITUTE(Table13[[#This Row],[Input]],Table13[[#This Row],[Direction]],""),VALUE(IF(LEN(_xlpm.steps)&gt;2,LEFT(_xlpm.steps,LEN(_xlpm.steps)-2),0)))</f>
        <v>5</v>
      </c>
      <c r="E805">
        <f>_xlfn.LET(_xlpm.dir,Table13[[#This Row],[Direction]],
IF(_xlpm.dir="L",
    IF(G804-Table13[[#This Row],[Steps]]&lt;0,100+(G804-Table13[[#This Row],[Steps]]),G804-Table13[[#This Row],[Steps]]),
))</f>
        <v>0</v>
      </c>
      <c r="F805">
        <f>_xlfn.LET(_xlpm.dir,Table13[[#This Row],[Direction]],
IF(_xlpm.dir="R",
    IF(G804+Table13[[#This Row],[Steps]]&gt;99,(G804+Table13[[#This Row],[Steps]])-100,G804+Table13[[#This Row],[Steps]]),
))</f>
        <v>19</v>
      </c>
      <c r="G805">
        <f>IF(Table13[[#This Row],[New Pos L]]&lt;&gt;0,Table13[[#This Row],[New Pos L]],Table13[[#This Row],[New Pos R]])</f>
        <v>19</v>
      </c>
      <c r="H805">
        <f>IF(AND(Table13[[#This Row],[Direction]]="L",Table13[[#This Row],[Steps]]&gt;G804,G804&lt;&gt;0),1,0)</f>
        <v>0</v>
      </c>
      <c r="I805">
        <f>IF(AND(Table13[[#This Row],[Direction]]="R",(G804+Table13[[#This Row],[Steps]])&gt;100),1,0)</f>
        <v>0</v>
      </c>
      <c r="J805">
        <f>IF(Table13[[#This Row],[POS]]=0,1,0)</f>
        <v>0</v>
      </c>
      <c r="K805">
        <f>SUM(Table13[[#This Row],[prefix]],Table13[[#This Row],[Past zero L]],Table13[[#This Row],[Past Zero R]],Table13[[#This Row],[Is Zero]])</f>
        <v>5</v>
      </c>
    </row>
    <row r="806" spans="1:11" ht="16" x14ac:dyDescent="0.2">
      <c r="A806" s="1" t="s">
        <v>81</v>
      </c>
      <c r="B806" t="str">
        <f>LEFT(Table13[[#This Row],[Input]],1)</f>
        <v>R</v>
      </c>
      <c r="C806">
        <f>_xlfn.LET(_xlpm.steps,SUBSTITUTE(Table13[[#This Row],[Input]],Table13[[#This Row],[Direction]],""),VALUE(IF(LEN(_xlpm.steps)&gt;2,RIGHT(_xlpm.steps,2),_xlpm.steps)))</f>
        <v>17</v>
      </c>
      <c r="D806">
        <f>_xlfn.LET(_xlpm.steps,SUBSTITUTE(Table13[[#This Row],[Input]],Table13[[#This Row],[Direction]],""),VALUE(IF(LEN(_xlpm.steps)&gt;2,LEFT(_xlpm.steps,LEN(_xlpm.steps)-2),0)))</f>
        <v>0</v>
      </c>
      <c r="E806">
        <f>_xlfn.LET(_xlpm.dir,Table13[[#This Row],[Direction]],
IF(_xlpm.dir="L",
    IF(G805-Table13[[#This Row],[Steps]]&lt;0,100+(G805-Table13[[#This Row],[Steps]]),G805-Table13[[#This Row],[Steps]]),
))</f>
        <v>0</v>
      </c>
      <c r="F806">
        <f>_xlfn.LET(_xlpm.dir,Table13[[#This Row],[Direction]],
IF(_xlpm.dir="R",
    IF(G805+Table13[[#This Row],[Steps]]&gt;99,(G805+Table13[[#This Row],[Steps]])-100,G805+Table13[[#This Row],[Steps]]),
))</f>
        <v>36</v>
      </c>
      <c r="G806">
        <f>IF(Table13[[#This Row],[New Pos L]]&lt;&gt;0,Table13[[#This Row],[New Pos L]],Table13[[#This Row],[New Pos R]])</f>
        <v>36</v>
      </c>
      <c r="H806">
        <f>IF(AND(Table13[[#This Row],[Direction]]="L",Table13[[#This Row],[Steps]]&gt;G805,G805&lt;&gt;0),1,0)</f>
        <v>0</v>
      </c>
      <c r="I806">
        <f>IF(AND(Table13[[#This Row],[Direction]]="R",(G805+Table13[[#This Row],[Steps]])&gt;100),1,0)</f>
        <v>0</v>
      </c>
      <c r="J806">
        <f>IF(Table13[[#This Row],[POS]]=0,1,0)</f>
        <v>0</v>
      </c>
      <c r="K806">
        <f>SUM(Table13[[#This Row],[prefix]],Table13[[#This Row],[Past zero L]],Table13[[#This Row],[Past Zero R]],Table13[[#This Row],[Is Zero]])</f>
        <v>0</v>
      </c>
    </row>
    <row r="807" spans="1:11" ht="16" x14ac:dyDescent="0.2">
      <c r="A807" s="1" t="s">
        <v>157</v>
      </c>
      <c r="B807" t="str">
        <f>LEFT(Table13[[#This Row],[Input]],1)</f>
        <v>R</v>
      </c>
      <c r="C807">
        <f>_xlfn.LET(_xlpm.steps,SUBSTITUTE(Table13[[#This Row],[Input]],Table13[[#This Row],[Direction]],""),VALUE(IF(LEN(_xlpm.steps)&gt;2,RIGHT(_xlpm.steps,2),_xlpm.steps)))</f>
        <v>68</v>
      </c>
      <c r="D807">
        <f>_xlfn.LET(_xlpm.steps,SUBSTITUTE(Table13[[#This Row],[Input]],Table13[[#This Row],[Direction]],""),VALUE(IF(LEN(_xlpm.steps)&gt;2,LEFT(_xlpm.steps,LEN(_xlpm.steps)-2),0)))</f>
        <v>0</v>
      </c>
      <c r="E807">
        <f>_xlfn.LET(_xlpm.dir,Table13[[#This Row],[Direction]],
IF(_xlpm.dir="L",
    IF(G806-Table13[[#This Row],[Steps]]&lt;0,100+(G806-Table13[[#This Row],[Steps]]),G806-Table13[[#This Row],[Steps]]),
))</f>
        <v>0</v>
      </c>
      <c r="F807">
        <f>_xlfn.LET(_xlpm.dir,Table13[[#This Row],[Direction]],
IF(_xlpm.dir="R",
    IF(G806+Table13[[#This Row],[Steps]]&gt;99,(G806+Table13[[#This Row],[Steps]])-100,G806+Table13[[#This Row],[Steps]]),
))</f>
        <v>4</v>
      </c>
      <c r="G807">
        <f>IF(Table13[[#This Row],[New Pos L]]&lt;&gt;0,Table13[[#This Row],[New Pos L]],Table13[[#This Row],[New Pos R]])</f>
        <v>4</v>
      </c>
      <c r="H807">
        <f>IF(AND(Table13[[#This Row],[Direction]]="L",Table13[[#This Row],[Steps]]&gt;G806,G806&lt;&gt;0),1,0)</f>
        <v>0</v>
      </c>
      <c r="I807">
        <f>IF(AND(Table13[[#This Row],[Direction]]="R",(G806+Table13[[#This Row],[Steps]])&gt;100),1,0)</f>
        <v>1</v>
      </c>
      <c r="J807">
        <f>IF(Table13[[#This Row],[POS]]=0,1,0)</f>
        <v>0</v>
      </c>
      <c r="K807">
        <f>SUM(Table13[[#This Row],[prefix]],Table13[[#This Row],[Past zero L]],Table13[[#This Row],[Past Zero R]],Table13[[#This Row],[Is Zero]])</f>
        <v>1</v>
      </c>
    </row>
    <row r="808" spans="1:11" ht="16" x14ac:dyDescent="0.2">
      <c r="A808" s="1" t="s">
        <v>171</v>
      </c>
      <c r="B808" t="str">
        <f>LEFT(Table13[[#This Row],[Input]],1)</f>
        <v>L</v>
      </c>
      <c r="C808">
        <f>_xlfn.LET(_xlpm.steps,SUBSTITUTE(Table13[[#This Row],[Input]],Table13[[#This Row],[Direction]],""),VALUE(IF(LEN(_xlpm.steps)&gt;2,RIGHT(_xlpm.steps,2),_xlpm.steps)))</f>
        <v>73</v>
      </c>
      <c r="D808">
        <f>_xlfn.LET(_xlpm.steps,SUBSTITUTE(Table13[[#This Row],[Input]],Table13[[#This Row],[Direction]],""),VALUE(IF(LEN(_xlpm.steps)&gt;2,LEFT(_xlpm.steps,LEN(_xlpm.steps)-2),0)))</f>
        <v>0</v>
      </c>
      <c r="E808">
        <f>_xlfn.LET(_xlpm.dir,Table13[[#This Row],[Direction]],
IF(_xlpm.dir="L",
    IF(G807-Table13[[#This Row],[Steps]]&lt;0,100+(G807-Table13[[#This Row],[Steps]]),G807-Table13[[#This Row],[Steps]]),
))</f>
        <v>31</v>
      </c>
      <c r="F808">
        <f>_xlfn.LET(_xlpm.dir,Table13[[#This Row],[Direction]],
IF(_xlpm.dir="R",
    IF(G807+Table13[[#This Row],[Steps]]&gt;99,(G807+Table13[[#This Row],[Steps]])-100,G807+Table13[[#This Row],[Steps]]),
))</f>
        <v>0</v>
      </c>
      <c r="G808">
        <f>IF(Table13[[#This Row],[New Pos L]]&lt;&gt;0,Table13[[#This Row],[New Pos L]],Table13[[#This Row],[New Pos R]])</f>
        <v>31</v>
      </c>
      <c r="H808">
        <f>IF(AND(Table13[[#This Row],[Direction]]="L",Table13[[#This Row],[Steps]]&gt;G807,G807&lt;&gt;0),1,0)</f>
        <v>1</v>
      </c>
      <c r="I808">
        <f>IF(AND(Table13[[#This Row],[Direction]]="R",(G807+Table13[[#This Row],[Steps]])&gt;100),1,0)</f>
        <v>0</v>
      </c>
      <c r="J808">
        <f>IF(Table13[[#This Row],[POS]]=0,1,0)</f>
        <v>0</v>
      </c>
      <c r="K808">
        <f>SUM(Table13[[#This Row],[prefix]],Table13[[#This Row],[Past zero L]],Table13[[#This Row],[Past Zero R]],Table13[[#This Row],[Is Zero]])</f>
        <v>1</v>
      </c>
    </row>
    <row r="809" spans="1:11" ht="16" x14ac:dyDescent="0.2">
      <c r="A809" s="1" t="s">
        <v>288</v>
      </c>
      <c r="B809" t="str">
        <f>LEFT(Table13[[#This Row],[Input]],1)</f>
        <v>R</v>
      </c>
      <c r="C809">
        <f>_xlfn.LET(_xlpm.steps,SUBSTITUTE(Table13[[#This Row],[Input]],Table13[[#This Row],[Direction]],""),VALUE(IF(LEN(_xlpm.steps)&gt;2,RIGHT(_xlpm.steps,2),_xlpm.steps)))</f>
        <v>25</v>
      </c>
      <c r="D809">
        <f>_xlfn.LET(_xlpm.steps,SUBSTITUTE(Table13[[#This Row],[Input]],Table13[[#This Row],[Direction]],""),VALUE(IF(LEN(_xlpm.steps)&gt;2,LEFT(_xlpm.steps,LEN(_xlpm.steps)-2),0)))</f>
        <v>0</v>
      </c>
      <c r="E809">
        <f>_xlfn.LET(_xlpm.dir,Table13[[#This Row],[Direction]],
IF(_xlpm.dir="L",
    IF(G808-Table13[[#This Row],[Steps]]&lt;0,100+(G808-Table13[[#This Row],[Steps]]),G808-Table13[[#This Row],[Steps]]),
))</f>
        <v>0</v>
      </c>
      <c r="F809">
        <f>_xlfn.LET(_xlpm.dir,Table13[[#This Row],[Direction]],
IF(_xlpm.dir="R",
    IF(G808+Table13[[#This Row],[Steps]]&gt;99,(G808+Table13[[#This Row],[Steps]])-100,G808+Table13[[#This Row],[Steps]]),
))</f>
        <v>56</v>
      </c>
      <c r="G809">
        <f>IF(Table13[[#This Row],[New Pos L]]&lt;&gt;0,Table13[[#This Row],[New Pos L]],Table13[[#This Row],[New Pos R]])</f>
        <v>56</v>
      </c>
      <c r="H809">
        <f>IF(AND(Table13[[#This Row],[Direction]]="L",Table13[[#This Row],[Steps]]&gt;G808,G808&lt;&gt;0),1,0)</f>
        <v>0</v>
      </c>
      <c r="I809">
        <f>IF(AND(Table13[[#This Row],[Direction]]="R",(G808+Table13[[#This Row],[Steps]])&gt;100),1,0)</f>
        <v>0</v>
      </c>
      <c r="J809">
        <f>IF(Table13[[#This Row],[POS]]=0,1,0)</f>
        <v>0</v>
      </c>
      <c r="K809">
        <f>SUM(Table13[[#This Row],[prefix]],Table13[[#This Row],[Past zero L]],Table13[[#This Row],[Past Zero R]],Table13[[#This Row],[Is Zero]])</f>
        <v>0</v>
      </c>
    </row>
    <row r="810" spans="1:11" ht="16" x14ac:dyDescent="0.2">
      <c r="A810" s="1" t="s">
        <v>278</v>
      </c>
      <c r="B810" t="str">
        <f>LEFT(Table13[[#This Row],[Input]],1)</f>
        <v>L</v>
      </c>
      <c r="C810">
        <f>_xlfn.LET(_xlpm.steps,SUBSTITUTE(Table13[[#This Row],[Input]],Table13[[#This Row],[Direction]],""),VALUE(IF(LEN(_xlpm.steps)&gt;2,RIGHT(_xlpm.steps,2),_xlpm.steps)))</f>
        <v>40</v>
      </c>
      <c r="D810">
        <f>_xlfn.LET(_xlpm.steps,SUBSTITUTE(Table13[[#This Row],[Input]],Table13[[#This Row],[Direction]],""),VALUE(IF(LEN(_xlpm.steps)&gt;2,LEFT(_xlpm.steps,LEN(_xlpm.steps)-2),0)))</f>
        <v>0</v>
      </c>
      <c r="E810">
        <f>_xlfn.LET(_xlpm.dir,Table13[[#This Row],[Direction]],
IF(_xlpm.dir="L",
    IF(G809-Table13[[#This Row],[Steps]]&lt;0,100+(G809-Table13[[#This Row],[Steps]]),G809-Table13[[#This Row],[Steps]]),
))</f>
        <v>16</v>
      </c>
      <c r="F810">
        <f>_xlfn.LET(_xlpm.dir,Table13[[#This Row],[Direction]],
IF(_xlpm.dir="R",
    IF(G809+Table13[[#This Row],[Steps]]&gt;99,(G809+Table13[[#This Row],[Steps]])-100,G809+Table13[[#This Row],[Steps]]),
))</f>
        <v>0</v>
      </c>
      <c r="G810">
        <f>IF(Table13[[#This Row],[New Pos L]]&lt;&gt;0,Table13[[#This Row],[New Pos L]],Table13[[#This Row],[New Pos R]])</f>
        <v>16</v>
      </c>
      <c r="H810">
        <f>IF(AND(Table13[[#This Row],[Direction]]="L",Table13[[#This Row],[Steps]]&gt;G809,G809&lt;&gt;0),1,0)</f>
        <v>0</v>
      </c>
      <c r="I810">
        <f>IF(AND(Table13[[#This Row],[Direction]]="R",(G809+Table13[[#This Row],[Steps]])&gt;100),1,0)</f>
        <v>0</v>
      </c>
      <c r="J810">
        <f>IF(Table13[[#This Row],[POS]]=0,1,0)</f>
        <v>0</v>
      </c>
      <c r="K810">
        <f>SUM(Table13[[#This Row],[prefix]],Table13[[#This Row],[Past zero L]],Table13[[#This Row],[Past Zero R]],Table13[[#This Row],[Is Zero]])</f>
        <v>0</v>
      </c>
    </row>
    <row r="811" spans="1:11" ht="16" x14ac:dyDescent="0.2">
      <c r="A811" s="1" t="s">
        <v>61</v>
      </c>
      <c r="B811" t="str">
        <f>LEFT(Table13[[#This Row],[Input]],1)</f>
        <v>L</v>
      </c>
      <c r="C811">
        <f>_xlfn.LET(_xlpm.steps,SUBSTITUTE(Table13[[#This Row],[Input]],Table13[[#This Row],[Direction]],""),VALUE(IF(LEN(_xlpm.steps)&gt;2,RIGHT(_xlpm.steps,2),_xlpm.steps)))</f>
        <v>16</v>
      </c>
      <c r="D811">
        <f>_xlfn.LET(_xlpm.steps,SUBSTITUTE(Table13[[#This Row],[Input]],Table13[[#This Row],[Direction]],""),VALUE(IF(LEN(_xlpm.steps)&gt;2,LEFT(_xlpm.steps,LEN(_xlpm.steps)-2),0)))</f>
        <v>0</v>
      </c>
      <c r="E811">
        <f>_xlfn.LET(_xlpm.dir,Table13[[#This Row],[Direction]],
IF(_xlpm.dir="L",
    IF(G810-Table13[[#This Row],[Steps]]&lt;0,100+(G810-Table13[[#This Row],[Steps]]),G810-Table13[[#This Row],[Steps]]),
))</f>
        <v>0</v>
      </c>
      <c r="F811">
        <f>_xlfn.LET(_xlpm.dir,Table13[[#This Row],[Direction]],
IF(_xlpm.dir="R",
    IF(G810+Table13[[#This Row],[Steps]]&gt;99,(G810+Table13[[#This Row],[Steps]])-100,G810+Table13[[#This Row],[Steps]]),
))</f>
        <v>0</v>
      </c>
      <c r="G811">
        <f>IF(Table13[[#This Row],[New Pos L]]&lt;&gt;0,Table13[[#This Row],[New Pos L]],Table13[[#This Row],[New Pos R]])</f>
        <v>0</v>
      </c>
      <c r="H811">
        <f>IF(AND(Table13[[#This Row],[Direction]]="L",Table13[[#This Row],[Steps]]&gt;G810,G810&lt;&gt;0),1,0)</f>
        <v>0</v>
      </c>
      <c r="I811">
        <f>IF(AND(Table13[[#This Row],[Direction]]="R",(G810+Table13[[#This Row],[Steps]])&gt;100),1,0)</f>
        <v>0</v>
      </c>
      <c r="J811">
        <f>IF(Table13[[#This Row],[POS]]=0,1,0)</f>
        <v>1</v>
      </c>
      <c r="K811">
        <f>SUM(Table13[[#This Row],[prefix]],Table13[[#This Row],[Past zero L]],Table13[[#This Row],[Past Zero R]],Table13[[#This Row],[Is Zero]])</f>
        <v>1</v>
      </c>
    </row>
    <row r="812" spans="1:11" ht="16" x14ac:dyDescent="0.2">
      <c r="A812" s="1" t="s">
        <v>35</v>
      </c>
      <c r="B812" t="str">
        <f>LEFT(Table13[[#This Row],[Input]],1)</f>
        <v>L</v>
      </c>
      <c r="C812">
        <f>_xlfn.LET(_xlpm.steps,SUBSTITUTE(Table13[[#This Row],[Input]],Table13[[#This Row],[Direction]],""),VALUE(IF(LEN(_xlpm.steps)&gt;2,RIGHT(_xlpm.steps,2),_xlpm.steps)))</f>
        <v>2</v>
      </c>
      <c r="D812">
        <f>_xlfn.LET(_xlpm.steps,SUBSTITUTE(Table13[[#This Row],[Input]],Table13[[#This Row],[Direction]],""),VALUE(IF(LEN(_xlpm.steps)&gt;2,LEFT(_xlpm.steps,LEN(_xlpm.steps)-2),0)))</f>
        <v>0</v>
      </c>
      <c r="E812">
        <f>_xlfn.LET(_xlpm.dir,Table13[[#This Row],[Direction]],
IF(_xlpm.dir="L",
    IF(G811-Table13[[#This Row],[Steps]]&lt;0,100+(G811-Table13[[#This Row],[Steps]]),G811-Table13[[#This Row],[Steps]]),
))</f>
        <v>98</v>
      </c>
      <c r="F812">
        <f>_xlfn.LET(_xlpm.dir,Table13[[#This Row],[Direction]],
IF(_xlpm.dir="R",
    IF(G811+Table13[[#This Row],[Steps]]&gt;99,(G811+Table13[[#This Row],[Steps]])-100,G811+Table13[[#This Row],[Steps]]),
))</f>
        <v>0</v>
      </c>
      <c r="G812">
        <f>IF(Table13[[#This Row],[New Pos L]]&lt;&gt;0,Table13[[#This Row],[New Pos L]],Table13[[#This Row],[New Pos R]])</f>
        <v>98</v>
      </c>
      <c r="H812">
        <f>IF(AND(Table13[[#This Row],[Direction]]="L",Table13[[#This Row],[Steps]]&gt;G811,G811&lt;&gt;0),1,0)</f>
        <v>0</v>
      </c>
      <c r="I812">
        <f>IF(AND(Table13[[#This Row],[Direction]]="R",(G811+Table13[[#This Row],[Steps]])&gt;100),1,0)</f>
        <v>0</v>
      </c>
      <c r="J812">
        <f>IF(Table13[[#This Row],[POS]]=0,1,0)</f>
        <v>0</v>
      </c>
      <c r="K812">
        <f>SUM(Table13[[#This Row],[prefix]],Table13[[#This Row],[Past zero L]],Table13[[#This Row],[Past Zero R]],Table13[[#This Row],[Is Zero]])</f>
        <v>0</v>
      </c>
    </row>
    <row r="813" spans="1:11" ht="16" x14ac:dyDescent="0.2">
      <c r="A813" s="1" t="s">
        <v>127</v>
      </c>
      <c r="B813" t="str">
        <f>LEFT(Table13[[#This Row],[Input]],1)</f>
        <v>L</v>
      </c>
      <c r="C813">
        <f>_xlfn.LET(_xlpm.steps,SUBSTITUTE(Table13[[#This Row],[Input]],Table13[[#This Row],[Direction]],""),VALUE(IF(LEN(_xlpm.steps)&gt;2,RIGHT(_xlpm.steps,2),_xlpm.steps)))</f>
        <v>62</v>
      </c>
      <c r="D813">
        <f>_xlfn.LET(_xlpm.steps,SUBSTITUTE(Table13[[#This Row],[Input]],Table13[[#This Row],[Direction]],""),VALUE(IF(LEN(_xlpm.steps)&gt;2,LEFT(_xlpm.steps,LEN(_xlpm.steps)-2),0)))</f>
        <v>0</v>
      </c>
      <c r="E813">
        <f>_xlfn.LET(_xlpm.dir,Table13[[#This Row],[Direction]],
IF(_xlpm.dir="L",
    IF(G812-Table13[[#This Row],[Steps]]&lt;0,100+(G812-Table13[[#This Row],[Steps]]),G812-Table13[[#This Row],[Steps]]),
))</f>
        <v>36</v>
      </c>
      <c r="F813">
        <f>_xlfn.LET(_xlpm.dir,Table13[[#This Row],[Direction]],
IF(_xlpm.dir="R",
    IF(G812+Table13[[#This Row],[Steps]]&gt;99,(G812+Table13[[#This Row],[Steps]])-100,G812+Table13[[#This Row],[Steps]]),
))</f>
        <v>0</v>
      </c>
      <c r="G813">
        <f>IF(Table13[[#This Row],[New Pos L]]&lt;&gt;0,Table13[[#This Row],[New Pos L]],Table13[[#This Row],[New Pos R]])</f>
        <v>36</v>
      </c>
      <c r="H813">
        <f>IF(AND(Table13[[#This Row],[Direction]]="L",Table13[[#This Row],[Steps]]&gt;G812,G812&lt;&gt;0),1,0)</f>
        <v>0</v>
      </c>
      <c r="I813">
        <f>IF(AND(Table13[[#This Row],[Direction]]="R",(G812+Table13[[#This Row],[Steps]])&gt;100),1,0)</f>
        <v>0</v>
      </c>
      <c r="J813">
        <f>IF(Table13[[#This Row],[POS]]=0,1,0)</f>
        <v>0</v>
      </c>
      <c r="K813">
        <f>SUM(Table13[[#This Row],[prefix]],Table13[[#This Row],[Past zero L]],Table13[[#This Row],[Past Zero R]],Table13[[#This Row],[Is Zero]])</f>
        <v>0</v>
      </c>
    </row>
    <row r="814" spans="1:11" ht="16" x14ac:dyDescent="0.2">
      <c r="A814" s="1" t="s">
        <v>302</v>
      </c>
      <c r="B814" t="str">
        <f>LEFT(Table13[[#This Row],[Input]],1)</f>
        <v>R</v>
      </c>
      <c r="C814">
        <f>_xlfn.LET(_xlpm.steps,SUBSTITUTE(Table13[[#This Row],[Input]],Table13[[#This Row],[Direction]],""),VALUE(IF(LEN(_xlpm.steps)&gt;2,RIGHT(_xlpm.steps,2),_xlpm.steps)))</f>
        <v>33</v>
      </c>
      <c r="D814">
        <f>_xlfn.LET(_xlpm.steps,SUBSTITUTE(Table13[[#This Row],[Input]],Table13[[#This Row],[Direction]],""),VALUE(IF(LEN(_xlpm.steps)&gt;2,LEFT(_xlpm.steps,LEN(_xlpm.steps)-2),0)))</f>
        <v>6</v>
      </c>
      <c r="E814">
        <f>_xlfn.LET(_xlpm.dir,Table13[[#This Row],[Direction]],
IF(_xlpm.dir="L",
    IF(G813-Table13[[#This Row],[Steps]]&lt;0,100+(G813-Table13[[#This Row],[Steps]]),G813-Table13[[#This Row],[Steps]]),
))</f>
        <v>0</v>
      </c>
      <c r="F814">
        <f>_xlfn.LET(_xlpm.dir,Table13[[#This Row],[Direction]],
IF(_xlpm.dir="R",
    IF(G813+Table13[[#This Row],[Steps]]&gt;99,(G813+Table13[[#This Row],[Steps]])-100,G813+Table13[[#This Row],[Steps]]),
))</f>
        <v>69</v>
      </c>
      <c r="G814">
        <f>IF(Table13[[#This Row],[New Pos L]]&lt;&gt;0,Table13[[#This Row],[New Pos L]],Table13[[#This Row],[New Pos R]])</f>
        <v>69</v>
      </c>
      <c r="H814">
        <f>IF(AND(Table13[[#This Row],[Direction]]="L",Table13[[#This Row],[Steps]]&gt;G813,G813&lt;&gt;0),1,0)</f>
        <v>0</v>
      </c>
      <c r="I814">
        <f>IF(AND(Table13[[#This Row],[Direction]]="R",(G813+Table13[[#This Row],[Steps]])&gt;100),1,0)</f>
        <v>0</v>
      </c>
      <c r="J814">
        <f>IF(Table13[[#This Row],[POS]]=0,1,0)</f>
        <v>0</v>
      </c>
      <c r="K814">
        <f>SUM(Table13[[#This Row],[prefix]],Table13[[#This Row],[Past zero L]],Table13[[#This Row],[Past Zero R]],Table13[[#This Row],[Is Zero]])</f>
        <v>6</v>
      </c>
    </row>
    <row r="815" spans="1:11" ht="16" x14ac:dyDescent="0.2">
      <c r="A815" s="1" t="s">
        <v>320</v>
      </c>
      <c r="B815" t="str">
        <f>LEFT(Table13[[#This Row],[Input]],1)</f>
        <v>L</v>
      </c>
      <c r="C815">
        <f>_xlfn.LET(_xlpm.steps,SUBSTITUTE(Table13[[#This Row],[Input]],Table13[[#This Row],[Direction]],""),VALUE(IF(LEN(_xlpm.steps)&gt;2,RIGHT(_xlpm.steps,2),_xlpm.steps)))</f>
        <v>69</v>
      </c>
      <c r="D815">
        <f>_xlfn.LET(_xlpm.steps,SUBSTITUTE(Table13[[#This Row],[Input]],Table13[[#This Row],[Direction]],""),VALUE(IF(LEN(_xlpm.steps)&gt;2,LEFT(_xlpm.steps,LEN(_xlpm.steps)-2),0)))</f>
        <v>1</v>
      </c>
      <c r="E815">
        <f>_xlfn.LET(_xlpm.dir,Table13[[#This Row],[Direction]],
IF(_xlpm.dir="L",
    IF(G814-Table13[[#This Row],[Steps]]&lt;0,100+(G814-Table13[[#This Row],[Steps]]),G814-Table13[[#This Row],[Steps]]),
))</f>
        <v>0</v>
      </c>
      <c r="F815">
        <f>_xlfn.LET(_xlpm.dir,Table13[[#This Row],[Direction]],
IF(_xlpm.dir="R",
    IF(G814+Table13[[#This Row],[Steps]]&gt;99,(G814+Table13[[#This Row],[Steps]])-100,G814+Table13[[#This Row],[Steps]]),
))</f>
        <v>0</v>
      </c>
      <c r="G815">
        <f>IF(Table13[[#This Row],[New Pos L]]&lt;&gt;0,Table13[[#This Row],[New Pos L]],Table13[[#This Row],[New Pos R]])</f>
        <v>0</v>
      </c>
      <c r="H815">
        <f>IF(AND(Table13[[#This Row],[Direction]]="L",Table13[[#This Row],[Steps]]&gt;G814,G814&lt;&gt;0),1,0)</f>
        <v>0</v>
      </c>
      <c r="I815">
        <f>IF(AND(Table13[[#This Row],[Direction]]="R",(G814+Table13[[#This Row],[Steps]])&gt;100),1,0)</f>
        <v>0</v>
      </c>
      <c r="J815">
        <f>IF(Table13[[#This Row],[POS]]=0,1,0)</f>
        <v>1</v>
      </c>
      <c r="K815">
        <f>SUM(Table13[[#This Row],[prefix]],Table13[[#This Row],[Past zero L]],Table13[[#This Row],[Past Zero R]],Table13[[#This Row],[Is Zero]])</f>
        <v>2</v>
      </c>
    </row>
    <row r="816" spans="1:11" ht="16" x14ac:dyDescent="0.2">
      <c r="A816" s="1" t="s">
        <v>36</v>
      </c>
      <c r="B816" t="str">
        <f>LEFT(Table13[[#This Row],[Input]],1)</f>
        <v>R</v>
      </c>
      <c r="C816">
        <f>_xlfn.LET(_xlpm.steps,SUBSTITUTE(Table13[[#This Row],[Input]],Table13[[#This Row],[Direction]],""),VALUE(IF(LEN(_xlpm.steps)&gt;2,RIGHT(_xlpm.steps,2),_xlpm.steps)))</f>
        <v>50</v>
      </c>
      <c r="D816">
        <f>_xlfn.LET(_xlpm.steps,SUBSTITUTE(Table13[[#This Row],[Input]],Table13[[#This Row],[Direction]],""),VALUE(IF(LEN(_xlpm.steps)&gt;2,LEFT(_xlpm.steps,LEN(_xlpm.steps)-2),0)))</f>
        <v>0</v>
      </c>
      <c r="E816">
        <f>_xlfn.LET(_xlpm.dir,Table13[[#This Row],[Direction]],
IF(_xlpm.dir="L",
    IF(G815-Table13[[#This Row],[Steps]]&lt;0,100+(G815-Table13[[#This Row],[Steps]]),G815-Table13[[#This Row],[Steps]]),
))</f>
        <v>0</v>
      </c>
      <c r="F816">
        <f>_xlfn.LET(_xlpm.dir,Table13[[#This Row],[Direction]],
IF(_xlpm.dir="R",
    IF(G815+Table13[[#This Row],[Steps]]&gt;99,(G815+Table13[[#This Row],[Steps]])-100,G815+Table13[[#This Row],[Steps]]),
))</f>
        <v>50</v>
      </c>
      <c r="G816">
        <f>IF(Table13[[#This Row],[New Pos L]]&lt;&gt;0,Table13[[#This Row],[New Pos L]],Table13[[#This Row],[New Pos R]])</f>
        <v>50</v>
      </c>
      <c r="H816">
        <f>IF(AND(Table13[[#This Row],[Direction]]="L",Table13[[#This Row],[Steps]]&gt;G815,G815&lt;&gt;0),1,0)</f>
        <v>0</v>
      </c>
      <c r="I816">
        <f>IF(AND(Table13[[#This Row],[Direction]]="R",(G815+Table13[[#This Row],[Steps]])&gt;100),1,0)</f>
        <v>0</v>
      </c>
      <c r="J816">
        <f>IF(Table13[[#This Row],[POS]]=0,1,0)</f>
        <v>0</v>
      </c>
      <c r="K816">
        <f>SUM(Table13[[#This Row],[prefix]],Table13[[#This Row],[Past zero L]],Table13[[#This Row],[Past Zero R]],Table13[[#This Row],[Is Zero]])</f>
        <v>0</v>
      </c>
    </row>
    <row r="817" spans="1:11" ht="16" x14ac:dyDescent="0.2">
      <c r="A817" s="1" t="s">
        <v>321</v>
      </c>
      <c r="B817" t="str">
        <f>LEFT(Table13[[#This Row],[Input]],1)</f>
        <v>L</v>
      </c>
      <c r="C817">
        <f>_xlfn.LET(_xlpm.steps,SUBSTITUTE(Table13[[#This Row],[Input]],Table13[[#This Row],[Direction]],""),VALUE(IF(LEN(_xlpm.steps)&gt;2,RIGHT(_xlpm.steps,2),_xlpm.steps)))</f>
        <v>50</v>
      </c>
      <c r="D817">
        <f>_xlfn.LET(_xlpm.steps,SUBSTITUTE(Table13[[#This Row],[Input]],Table13[[#This Row],[Direction]],""),VALUE(IF(LEN(_xlpm.steps)&gt;2,LEFT(_xlpm.steps,LEN(_xlpm.steps)-2),0)))</f>
        <v>5</v>
      </c>
      <c r="E817">
        <f>_xlfn.LET(_xlpm.dir,Table13[[#This Row],[Direction]],
IF(_xlpm.dir="L",
    IF(G816-Table13[[#This Row],[Steps]]&lt;0,100+(G816-Table13[[#This Row],[Steps]]),G816-Table13[[#This Row],[Steps]]),
))</f>
        <v>0</v>
      </c>
      <c r="F817">
        <f>_xlfn.LET(_xlpm.dir,Table13[[#This Row],[Direction]],
IF(_xlpm.dir="R",
    IF(G816+Table13[[#This Row],[Steps]]&gt;99,(G816+Table13[[#This Row],[Steps]])-100,G816+Table13[[#This Row],[Steps]]),
))</f>
        <v>0</v>
      </c>
      <c r="G817">
        <f>IF(Table13[[#This Row],[New Pos L]]&lt;&gt;0,Table13[[#This Row],[New Pos L]],Table13[[#This Row],[New Pos R]])</f>
        <v>0</v>
      </c>
      <c r="H817">
        <f>IF(AND(Table13[[#This Row],[Direction]]="L",Table13[[#This Row],[Steps]]&gt;G816,G816&lt;&gt;0),1,0)</f>
        <v>0</v>
      </c>
      <c r="I817">
        <f>IF(AND(Table13[[#This Row],[Direction]]="R",(G816+Table13[[#This Row],[Steps]])&gt;100),1,0)</f>
        <v>0</v>
      </c>
      <c r="J817">
        <f>IF(Table13[[#This Row],[POS]]=0,1,0)</f>
        <v>1</v>
      </c>
      <c r="K817">
        <f>SUM(Table13[[#This Row],[prefix]],Table13[[#This Row],[Past zero L]],Table13[[#This Row],[Past Zero R]],Table13[[#This Row],[Is Zero]])</f>
        <v>6</v>
      </c>
    </row>
    <row r="818" spans="1:11" ht="16" x14ac:dyDescent="0.2">
      <c r="A818" s="1" t="s">
        <v>58</v>
      </c>
      <c r="B818" t="str">
        <f>LEFT(Table13[[#This Row],[Input]],1)</f>
        <v>L</v>
      </c>
      <c r="C818">
        <f>_xlfn.LET(_xlpm.steps,SUBSTITUTE(Table13[[#This Row],[Input]],Table13[[#This Row],[Direction]],""),VALUE(IF(LEN(_xlpm.steps)&gt;2,RIGHT(_xlpm.steps,2),_xlpm.steps)))</f>
        <v>30</v>
      </c>
      <c r="D818">
        <f>_xlfn.LET(_xlpm.steps,SUBSTITUTE(Table13[[#This Row],[Input]],Table13[[#This Row],[Direction]],""),VALUE(IF(LEN(_xlpm.steps)&gt;2,LEFT(_xlpm.steps,LEN(_xlpm.steps)-2),0)))</f>
        <v>0</v>
      </c>
      <c r="E818">
        <f>_xlfn.LET(_xlpm.dir,Table13[[#This Row],[Direction]],
IF(_xlpm.dir="L",
    IF(G817-Table13[[#This Row],[Steps]]&lt;0,100+(G817-Table13[[#This Row],[Steps]]),G817-Table13[[#This Row],[Steps]]),
))</f>
        <v>70</v>
      </c>
      <c r="F818">
        <f>_xlfn.LET(_xlpm.dir,Table13[[#This Row],[Direction]],
IF(_xlpm.dir="R",
    IF(G817+Table13[[#This Row],[Steps]]&gt;99,(G817+Table13[[#This Row],[Steps]])-100,G817+Table13[[#This Row],[Steps]]),
))</f>
        <v>0</v>
      </c>
      <c r="G818">
        <f>IF(Table13[[#This Row],[New Pos L]]&lt;&gt;0,Table13[[#This Row],[New Pos L]],Table13[[#This Row],[New Pos R]])</f>
        <v>70</v>
      </c>
      <c r="H818">
        <f>IF(AND(Table13[[#This Row],[Direction]]="L",Table13[[#This Row],[Steps]]&gt;G817,G817&lt;&gt;0),1,0)</f>
        <v>0</v>
      </c>
      <c r="I818">
        <f>IF(AND(Table13[[#This Row],[Direction]]="R",(G817+Table13[[#This Row],[Steps]])&gt;100),1,0)</f>
        <v>0</v>
      </c>
      <c r="J818">
        <f>IF(Table13[[#This Row],[POS]]=0,1,0)</f>
        <v>0</v>
      </c>
      <c r="K818">
        <f>SUM(Table13[[#This Row],[prefix]],Table13[[#This Row],[Past zero L]],Table13[[#This Row],[Past Zero R]],Table13[[#This Row],[Is Zero]])</f>
        <v>0</v>
      </c>
    </row>
    <row r="819" spans="1:11" ht="16" x14ac:dyDescent="0.2">
      <c r="A819" s="1" t="s">
        <v>138</v>
      </c>
      <c r="B819" t="str">
        <f>LEFT(Table13[[#This Row],[Input]],1)</f>
        <v>L</v>
      </c>
      <c r="C819">
        <f>_xlfn.LET(_xlpm.steps,SUBSTITUTE(Table13[[#This Row],[Input]],Table13[[#This Row],[Direction]],""),VALUE(IF(LEN(_xlpm.steps)&gt;2,RIGHT(_xlpm.steps,2),_xlpm.steps)))</f>
        <v>94</v>
      </c>
      <c r="D819">
        <f>_xlfn.LET(_xlpm.steps,SUBSTITUTE(Table13[[#This Row],[Input]],Table13[[#This Row],[Direction]],""),VALUE(IF(LEN(_xlpm.steps)&gt;2,LEFT(_xlpm.steps,LEN(_xlpm.steps)-2),0)))</f>
        <v>0</v>
      </c>
      <c r="E819">
        <f>_xlfn.LET(_xlpm.dir,Table13[[#This Row],[Direction]],
IF(_xlpm.dir="L",
    IF(G818-Table13[[#This Row],[Steps]]&lt;0,100+(G818-Table13[[#This Row],[Steps]]),G818-Table13[[#This Row],[Steps]]),
))</f>
        <v>76</v>
      </c>
      <c r="F819">
        <f>_xlfn.LET(_xlpm.dir,Table13[[#This Row],[Direction]],
IF(_xlpm.dir="R",
    IF(G818+Table13[[#This Row],[Steps]]&gt;99,(G818+Table13[[#This Row],[Steps]])-100,G818+Table13[[#This Row],[Steps]]),
))</f>
        <v>0</v>
      </c>
      <c r="G819">
        <f>IF(Table13[[#This Row],[New Pos L]]&lt;&gt;0,Table13[[#This Row],[New Pos L]],Table13[[#This Row],[New Pos R]])</f>
        <v>76</v>
      </c>
      <c r="H819">
        <f>IF(AND(Table13[[#This Row],[Direction]]="L",Table13[[#This Row],[Steps]]&gt;G818,G818&lt;&gt;0),1,0)</f>
        <v>1</v>
      </c>
      <c r="I819">
        <f>IF(AND(Table13[[#This Row],[Direction]]="R",(G818+Table13[[#This Row],[Steps]])&gt;100),1,0)</f>
        <v>0</v>
      </c>
      <c r="J819">
        <f>IF(Table13[[#This Row],[POS]]=0,1,0)</f>
        <v>0</v>
      </c>
      <c r="K819">
        <f>SUM(Table13[[#This Row],[prefix]],Table13[[#This Row],[Past zero L]],Table13[[#This Row],[Past Zero R]],Table13[[#This Row],[Is Zero]])</f>
        <v>1</v>
      </c>
    </row>
    <row r="820" spans="1:11" ht="16" x14ac:dyDescent="0.2">
      <c r="A820" s="1" t="s">
        <v>322</v>
      </c>
      <c r="B820" t="str">
        <f>LEFT(Table13[[#This Row],[Input]],1)</f>
        <v>L</v>
      </c>
      <c r="C820">
        <f>_xlfn.LET(_xlpm.steps,SUBSTITUTE(Table13[[#This Row],[Input]],Table13[[#This Row],[Direction]],""),VALUE(IF(LEN(_xlpm.steps)&gt;2,RIGHT(_xlpm.steps,2),_xlpm.steps)))</f>
        <v>76</v>
      </c>
      <c r="D820">
        <f>_xlfn.LET(_xlpm.steps,SUBSTITUTE(Table13[[#This Row],[Input]],Table13[[#This Row],[Direction]],""),VALUE(IF(LEN(_xlpm.steps)&gt;2,LEFT(_xlpm.steps,LEN(_xlpm.steps)-2),0)))</f>
        <v>5</v>
      </c>
      <c r="E820">
        <f>_xlfn.LET(_xlpm.dir,Table13[[#This Row],[Direction]],
IF(_xlpm.dir="L",
    IF(G819-Table13[[#This Row],[Steps]]&lt;0,100+(G819-Table13[[#This Row],[Steps]]),G819-Table13[[#This Row],[Steps]]),
))</f>
        <v>0</v>
      </c>
      <c r="F820">
        <f>_xlfn.LET(_xlpm.dir,Table13[[#This Row],[Direction]],
IF(_xlpm.dir="R",
    IF(G819+Table13[[#This Row],[Steps]]&gt;99,(G819+Table13[[#This Row],[Steps]])-100,G819+Table13[[#This Row],[Steps]]),
))</f>
        <v>0</v>
      </c>
      <c r="G820">
        <f>IF(Table13[[#This Row],[New Pos L]]&lt;&gt;0,Table13[[#This Row],[New Pos L]],Table13[[#This Row],[New Pos R]])</f>
        <v>0</v>
      </c>
      <c r="H820">
        <f>IF(AND(Table13[[#This Row],[Direction]]="L",Table13[[#This Row],[Steps]]&gt;G819,G819&lt;&gt;0),1,0)</f>
        <v>0</v>
      </c>
      <c r="I820">
        <f>IF(AND(Table13[[#This Row],[Direction]]="R",(G819+Table13[[#This Row],[Steps]])&gt;100),1,0)</f>
        <v>0</v>
      </c>
      <c r="J820">
        <f>IF(Table13[[#This Row],[POS]]=0,1,0)</f>
        <v>1</v>
      </c>
      <c r="K820">
        <f>SUM(Table13[[#This Row],[prefix]],Table13[[#This Row],[Past zero L]],Table13[[#This Row],[Past Zero R]],Table13[[#This Row],[Is Zero]])</f>
        <v>6</v>
      </c>
    </row>
    <row r="821" spans="1:11" ht="16" x14ac:dyDescent="0.2">
      <c r="A821" s="1" t="s">
        <v>38</v>
      </c>
      <c r="B821" t="str">
        <f>LEFT(Table13[[#This Row],[Input]],1)</f>
        <v>R</v>
      </c>
      <c r="C821">
        <f>_xlfn.LET(_xlpm.steps,SUBSTITUTE(Table13[[#This Row],[Input]],Table13[[#This Row],[Direction]],""),VALUE(IF(LEN(_xlpm.steps)&gt;2,RIGHT(_xlpm.steps,2),_xlpm.steps)))</f>
        <v>15</v>
      </c>
      <c r="D821">
        <f>_xlfn.LET(_xlpm.steps,SUBSTITUTE(Table13[[#This Row],[Input]],Table13[[#This Row],[Direction]],""),VALUE(IF(LEN(_xlpm.steps)&gt;2,LEFT(_xlpm.steps,LEN(_xlpm.steps)-2),0)))</f>
        <v>0</v>
      </c>
      <c r="E821">
        <f>_xlfn.LET(_xlpm.dir,Table13[[#This Row],[Direction]],
IF(_xlpm.dir="L",
    IF(G820-Table13[[#This Row],[Steps]]&lt;0,100+(G820-Table13[[#This Row],[Steps]]),G820-Table13[[#This Row],[Steps]]),
))</f>
        <v>0</v>
      </c>
      <c r="F821">
        <f>_xlfn.LET(_xlpm.dir,Table13[[#This Row],[Direction]],
IF(_xlpm.dir="R",
    IF(G820+Table13[[#This Row],[Steps]]&gt;99,(G820+Table13[[#This Row],[Steps]])-100,G820+Table13[[#This Row],[Steps]]),
))</f>
        <v>15</v>
      </c>
      <c r="G821">
        <f>IF(Table13[[#This Row],[New Pos L]]&lt;&gt;0,Table13[[#This Row],[New Pos L]],Table13[[#This Row],[New Pos R]])</f>
        <v>15</v>
      </c>
      <c r="H821">
        <f>IF(AND(Table13[[#This Row],[Direction]]="L",Table13[[#This Row],[Steps]]&gt;G820,G820&lt;&gt;0),1,0)</f>
        <v>0</v>
      </c>
      <c r="I821">
        <f>IF(AND(Table13[[#This Row],[Direction]]="R",(G820+Table13[[#This Row],[Steps]])&gt;100),1,0)</f>
        <v>0</v>
      </c>
      <c r="J821">
        <f>IF(Table13[[#This Row],[POS]]=0,1,0)</f>
        <v>0</v>
      </c>
      <c r="K821">
        <f>SUM(Table13[[#This Row],[prefix]],Table13[[#This Row],[Past zero L]],Table13[[#This Row],[Past Zero R]],Table13[[#This Row],[Is Zero]])</f>
        <v>0</v>
      </c>
    </row>
    <row r="822" spans="1:11" ht="16" x14ac:dyDescent="0.2">
      <c r="A822" s="1" t="s">
        <v>129</v>
      </c>
      <c r="B822" t="str">
        <f>LEFT(Table13[[#This Row],[Input]],1)</f>
        <v>R</v>
      </c>
      <c r="C822">
        <f>_xlfn.LET(_xlpm.steps,SUBSTITUTE(Table13[[#This Row],[Input]],Table13[[#This Row],[Direction]],""),VALUE(IF(LEN(_xlpm.steps)&gt;2,RIGHT(_xlpm.steps,2),_xlpm.steps)))</f>
        <v>8</v>
      </c>
      <c r="D822">
        <f>_xlfn.LET(_xlpm.steps,SUBSTITUTE(Table13[[#This Row],[Input]],Table13[[#This Row],[Direction]],""),VALUE(IF(LEN(_xlpm.steps)&gt;2,LEFT(_xlpm.steps,LEN(_xlpm.steps)-2),0)))</f>
        <v>0</v>
      </c>
      <c r="E822">
        <f>_xlfn.LET(_xlpm.dir,Table13[[#This Row],[Direction]],
IF(_xlpm.dir="L",
    IF(G821-Table13[[#This Row],[Steps]]&lt;0,100+(G821-Table13[[#This Row],[Steps]]),G821-Table13[[#This Row],[Steps]]),
))</f>
        <v>0</v>
      </c>
      <c r="F822">
        <f>_xlfn.LET(_xlpm.dir,Table13[[#This Row],[Direction]],
IF(_xlpm.dir="R",
    IF(G821+Table13[[#This Row],[Steps]]&gt;99,(G821+Table13[[#This Row],[Steps]])-100,G821+Table13[[#This Row],[Steps]]),
))</f>
        <v>23</v>
      </c>
      <c r="G822">
        <f>IF(Table13[[#This Row],[New Pos L]]&lt;&gt;0,Table13[[#This Row],[New Pos L]],Table13[[#This Row],[New Pos R]])</f>
        <v>23</v>
      </c>
      <c r="H822">
        <f>IF(AND(Table13[[#This Row],[Direction]]="L",Table13[[#This Row],[Steps]]&gt;G821,G821&lt;&gt;0),1,0)</f>
        <v>0</v>
      </c>
      <c r="I822">
        <f>IF(AND(Table13[[#This Row],[Direction]]="R",(G821+Table13[[#This Row],[Steps]])&gt;100),1,0)</f>
        <v>0</v>
      </c>
      <c r="J822">
        <f>IF(Table13[[#This Row],[POS]]=0,1,0)</f>
        <v>0</v>
      </c>
      <c r="K822">
        <f>SUM(Table13[[#This Row],[prefix]],Table13[[#This Row],[Past zero L]],Table13[[#This Row],[Past Zero R]],Table13[[#This Row],[Is Zero]])</f>
        <v>0</v>
      </c>
    </row>
    <row r="823" spans="1:11" ht="16" x14ac:dyDescent="0.2">
      <c r="A823" s="1" t="s">
        <v>120</v>
      </c>
      <c r="B823" t="str">
        <f>LEFT(Table13[[#This Row],[Input]],1)</f>
        <v>L</v>
      </c>
      <c r="C823">
        <f>_xlfn.LET(_xlpm.steps,SUBSTITUTE(Table13[[#This Row],[Input]],Table13[[#This Row],[Direction]],""),VALUE(IF(LEN(_xlpm.steps)&gt;2,RIGHT(_xlpm.steps,2),_xlpm.steps)))</f>
        <v>23</v>
      </c>
      <c r="D823">
        <f>_xlfn.LET(_xlpm.steps,SUBSTITUTE(Table13[[#This Row],[Input]],Table13[[#This Row],[Direction]],""),VALUE(IF(LEN(_xlpm.steps)&gt;2,LEFT(_xlpm.steps,LEN(_xlpm.steps)-2),0)))</f>
        <v>0</v>
      </c>
      <c r="E823">
        <f>_xlfn.LET(_xlpm.dir,Table13[[#This Row],[Direction]],
IF(_xlpm.dir="L",
    IF(G822-Table13[[#This Row],[Steps]]&lt;0,100+(G822-Table13[[#This Row],[Steps]]),G822-Table13[[#This Row],[Steps]]),
))</f>
        <v>0</v>
      </c>
      <c r="F823">
        <f>_xlfn.LET(_xlpm.dir,Table13[[#This Row],[Direction]],
IF(_xlpm.dir="R",
    IF(G822+Table13[[#This Row],[Steps]]&gt;99,(G822+Table13[[#This Row],[Steps]])-100,G822+Table13[[#This Row],[Steps]]),
))</f>
        <v>0</v>
      </c>
      <c r="G823">
        <f>IF(Table13[[#This Row],[New Pos L]]&lt;&gt;0,Table13[[#This Row],[New Pos L]],Table13[[#This Row],[New Pos R]])</f>
        <v>0</v>
      </c>
      <c r="H823">
        <f>IF(AND(Table13[[#This Row],[Direction]]="L",Table13[[#This Row],[Steps]]&gt;G822,G822&lt;&gt;0),1,0)</f>
        <v>0</v>
      </c>
      <c r="I823">
        <f>IF(AND(Table13[[#This Row],[Direction]]="R",(G822+Table13[[#This Row],[Steps]])&gt;100),1,0)</f>
        <v>0</v>
      </c>
      <c r="J823">
        <f>IF(Table13[[#This Row],[POS]]=0,1,0)</f>
        <v>1</v>
      </c>
      <c r="K823">
        <f>SUM(Table13[[#This Row],[prefix]],Table13[[#This Row],[Past zero L]],Table13[[#This Row],[Past Zero R]],Table13[[#This Row],[Is Zero]])</f>
        <v>1</v>
      </c>
    </row>
    <row r="824" spans="1:11" ht="16" x14ac:dyDescent="0.2">
      <c r="A824" s="1" t="s">
        <v>255</v>
      </c>
      <c r="B824" t="str">
        <f>LEFT(Table13[[#This Row],[Input]],1)</f>
        <v>R</v>
      </c>
      <c r="C824">
        <f>_xlfn.LET(_xlpm.steps,SUBSTITUTE(Table13[[#This Row],[Input]],Table13[[#This Row],[Direction]],""),VALUE(IF(LEN(_xlpm.steps)&gt;2,RIGHT(_xlpm.steps,2),_xlpm.steps)))</f>
        <v>16</v>
      </c>
      <c r="D824">
        <f>_xlfn.LET(_xlpm.steps,SUBSTITUTE(Table13[[#This Row],[Input]],Table13[[#This Row],[Direction]],""),VALUE(IF(LEN(_xlpm.steps)&gt;2,LEFT(_xlpm.steps,LEN(_xlpm.steps)-2),0)))</f>
        <v>0</v>
      </c>
      <c r="E824">
        <f>_xlfn.LET(_xlpm.dir,Table13[[#This Row],[Direction]],
IF(_xlpm.dir="L",
    IF(G823-Table13[[#This Row],[Steps]]&lt;0,100+(G823-Table13[[#This Row],[Steps]]),G823-Table13[[#This Row],[Steps]]),
))</f>
        <v>0</v>
      </c>
      <c r="F824">
        <f>_xlfn.LET(_xlpm.dir,Table13[[#This Row],[Direction]],
IF(_xlpm.dir="R",
    IF(G823+Table13[[#This Row],[Steps]]&gt;99,(G823+Table13[[#This Row],[Steps]])-100,G823+Table13[[#This Row],[Steps]]),
))</f>
        <v>16</v>
      </c>
      <c r="G824">
        <f>IF(Table13[[#This Row],[New Pos L]]&lt;&gt;0,Table13[[#This Row],[New Pos L]],Table13[[#This Row],[New Pos R]])</f>
        <v>16</v>
      </c>
      <c r="H824">
        <f>IF(AND(Table13[[#This Row],[Direction]]="L",Table13[[#This Row],[Steps]]&gt;G823,G823&lt;&gt;0),1,0)</f>
        <v>0</v>
      </c>
      <c r="I824">
        <f>IF(AND(Table13[[#This Row],[Direction]]="R",(G823+Table13[[#This Row],[Steps]])&gt;100),1,0)</f>
        <v>0</v>
      </c>
      <c r="J824">
        <f>IF(Table13[[#This Row],[POS]]=0,1,0)</f>
        <v>0</v>
      </c>
      <c r="K824">
        <f>SUM(Table13[[#This Row],[prefix]],Table13[[#This Row],[Past zero L]],Table13[[#This Row],[Past Zero R]],Table13[[#This Row],[Is Zero]])</f>
        <v>0</v>
      </c>
    </row>
    <row r="825" spans="1:11" ht="16" x14ac:dyDescent="0.2">
      <c r="A825" s="1" t="s">
        <v>217</v>
      </c>
      <c r="B825" t="str">
        <f>LEFT(Table13[[#This Row],[Input]],1)</f>
        <v>R</v>
      </c>
      <c r="C825">
        <f>_xlfn.LET(_xlpm.steps,SUBSTITUTE(Table13[[#This Row],[Input]],Table13[[#This Row],[Direction]],""),VALUE(IF(LEN(_xlpm.steps)&gt;2,RIGHT(_xlpm.steps,2),_xlpm.steps)))</f>
        <v>91</v>
      </c>
      <c r="D825">
        <f>_xlfn.LET(_xlpm.steps,SUBSTITUTE(Table13[[#This Row],[Input]],Table13[[#This Row],[Direction]],""),VALUE(IF(LEN(_xlpm.steps)&gt;2,LEFT(_xlpm.steps,LEN(_xlpm.steps)-2),0)))</f>
        <v>0</v>
      </c>
      <c r="E825">
        <f>_xlfn.LET(_xlpm.dir,Table13[[#This Row],[Direction]],
IF(_xlpm.dir="L",
    IF(G824-Table13[[#This Row],[Steps]]&lt;0,100+(G824-Table13[[#This Row],[Steps]]),G824-Table13[[#This Row],[Steps]]),
))</f>
        <v>0</v>
      </c>
      <c r="F825">
        <f>_xlfn.LET(_xlpm.dir,Table13[[#This Row],[Direction]],
IF(_xlpm.dir="R",
    IF(G824+Table13[[#This Row],[Steps]]&gt;99,(G824+Table13[[#This Row],[Steps]])-100,G824+Table13[[#This Row],[Steps]]),
))</f>
        <v>7</v>
      </c>
      <c r="G825">
        <f>IF(Table13[[#This Row],[New Pos L]]&lt;&gt;0,Table13[[#This Row],[New Pos L]],Table13[[#This Row],[New Pos R]])</f>
        <v>7</v>
      </c>
      <c r="H825">
        <f>IF(AND(Table13[[#This Row],[Direction]]="L",Table13[[#This Row],[Steps]]&gt;G824,G824&lt;&gt;0),1,0)</f>
        <v>0</v>
      </c>
      <c r="I825">
        <f>IF(AND(Table13[[#This Row],[Direction]]="R",(G824+Table13[[#This Row],[Steps]])&gt;100),1,0)</f>
        <v>1</v>
      </c>
      <c r="J825">
        <f>IF(Table13[[#This Row],[POS]]=0,1,0)</f>
        <v>0</v>
      </c>
      <c r="K825">
        <f>SUM(Table13[[#This Row],[prefix]],Table13[[#This Row],[Past zero L]],Table13[[#This Row],[Past Zero R]],Table13[[#This Row],[Is Zero]])</f>
        <v>1</v>
      </c>
    </row>
    <row r="826" spans="1:11" ht="16" x14ac:dyDescent="0.2">
      <c r="A826" s="1" t="s">
        <v>0</v>
      </c>
      <c r="B826" t="str">
        <f>LEFT(Table13[[#This Row],[Input]],1)</f>
        <v>L</v>
      </c>
      <c r="C826">
        <f>_xlfn.LET(_xlpm.steps,SUBSTITUTE(Table13[[#This Row],[Input]],Table13[[#This Row],[Direction]],""),VALUE(IF(LEN(_xlpm.steps)&gt;2,RIGHT(_xlpm.steps,2),_xlpm.steps)))</f>
        <v>44</v>
      </c>
      <c r="D826">
        <f>_xlfn.LET(_xlpm.steps,SUBSTITUTE(Table13[[#This Row],[Input]],Table13[[#This Row],[Direction]],""),VALUE(IF(LEN(_xlpm.steps)&gt;2,LEFT(_xlpm.steps,LEN(_xlpm.steps)-2),0)))</f>
        <v>0</v>
      </c>
      <c r="E826">
        <f>_xlfn.LET(_xlpm.dir,Table13[[#This Row],[Direction]],
IF(_xlpm.dir="L",
    IF(G825-Table13[[#This Row],[Steps]]&lt;0,100+(G825-Table13[[#This Row],[Steps]]),G825-Table13[[#This Row],[Steps]]),
))</f>
        <v>63</v>
      </c>
      <c r="F826">
        <f>_xlfn.LET(_xlpm.dir,Table13[[#This Row],[Direction]],
IF(_xlpm.dir="R",
    IF(G825+Table13[[#This Row],[Steps]]&gt;99,(G825+Table13[[#This Row],[Steps]])-100,G825+Table13[[#This Row],[Steps]]),
))</f>
        <v>0</v>
      </c>
      <c r="G826">
        <f>IF(Table13[[#This Row],[New Pos L]]&lt;&gt;0,Table13[[#This Row],[New Pos L]],Table13[[#This Row],[New Pos R]])</f>
        <v>63</v>
      </c>
      <c r="H826">
        <f>IF(AND(Table13[[#This Row],[Direction]]="L",Table13[[#This Row],[Steps]]&gt;G825,G825&lt;&gt;0),1,0)</f>
        <v>1</v>
      </c>
      <c r="I826">
        <f>IF(AND(Table13[[#This Row],[Direction]]="R",(G825+Table13[[#This Row],[Steps]])&gt;100),1,0)</f>
        <v>0</v>
      </c>
      <c r="J826">
        <f>IF(Table13[[#This Row],[POS]]=0,1,0)</f>
        <v>0</v>
      </c>
      <c r="K826">
        <f>SUM(Table13[[#This Row],[prefix]],Table13[[#This Row],[Past zero L]],Table13[[#This Row],[Past Zero R]],Table13[[#This Row],[Is Zero]])</f>
        <v>1</v>
      </c>
    </row>
    <row r="827" spans="1:11" ht="16" x14ac:dyDescent="0.2">
      <c r="A827" s="1" t="s">
        <v>323</v>
      </c>
      <c r="B827" t="str">
        <f>LEFT(Table13[[#This Row],[Input]],1)</f>
        <v>R</v>
      </c>
      <c r="C827">
        <f>_xlfn.LET(_xlpm.steps,SUBSTITUTE(Table13[[#This Row],[Input]],Table13[[#This Row],[Direction]],""),VALUE(IF(LEN(_xlpm.steps)&gt;2,RIGHT(_xlpm.steps,2),_xlpm.steps)))</f>
        <v>37</v>
      </c>
      <c r="D827">
        <f>_xlfn.LET(_xlpm.steps,SUBSTITUTE(Table13[[#This Row],[Input]],Table13[[#This Row],[Direction]],""),VALUE(IF(LEN(_xlpm.steps)&gt;2,LEFT(_xlpm.steps,LEN(_xlpm.steps)-2),0)))</f>
        <v>1</v>
      </c>
      <c r="E827">
        <f>_xlfn.LET(_xlpm.dir,Table13[[#This Row],[Direction]],
IF(_xlpm.dir="L",
    IF(G826-Table13[[#This Row],[Steps]]&lt;0,100+(G826-Table13[[#This Row],[Steps]]),G826-Table13[[#This Row],[Steps]]),
))</f>
        <v>0</v>
      </c>
      <c r="F827">
        <f>_xlfn.LET(_xlpm.dir,Table13[[#This Row],[Direction]],
IF(_xlpm.dir="R",
    IF(G826+Table13[[#This Row],[Steps]]&gt;99,(G826+Table13[[#This Row],[Steps]])-100,G826+Table13[[#This Row],[Steps]]),
))</f>
        <v>0</v>
      </c>
      <c r="G827">
        <f>IF(Table13[[#This Row],[New Pos L]]&lt;&gt;0,Table13[[#This Row],[New Pos L]],Table13[[#This Row],[New Pos R]])</f>
        <v>0</v>
      </c>
      <c r="H827">
        <f>IF(AND(Table13[[#This Row],[Direction]]="L",Table13[[#This Row],[Steps]]&gt;G826,G826&lt;&gt;0),1,0)</f>
        <v>0</v>
      </c>
      <c r="I827">
        <f>IF(AND(Table13[[#This Row],[Direction]]="R",(G826+Table13[[#This Row],[Steps]])&gt;100),1,0)</f>
        <v>0</v>
      </c>
      <c r="J827">
        <f>IF(Table13[[#This Row],[POS]]=0,1,0)</f>
        <v>1</v>
      </c>
      <c r="K827">
        <f>SUM(Table13[[#This Row],[prefix]],Table13[[#This Row],[Past zero L]],Table13[[#This Row],[Past Zero R]],Table13[[#This Row],[Is Zero]])</f>
        <v>2</v>
      </c>
    </row>
    <row r="828" spans="1:11" ht="16" x14ac:dyDescent="0.2">
      <c r="A828" s="1" t="s">
        <v>324</v>
      </c>
      <c r="B828" t="str">
        <f>LEFT(Table13[[#This Row],[Input]],1)</f>
        <v>R</v>
      </c>
      <c r="C828">
        <f>_xlfn.LET(_xlpm.steps,SUBSTITUTE(Table13[[#This Row],[Input]],Table13[[#This Row],[Direction]],""),VALUE(IF(LEN(_xlpm.steps)&gt;2,RIGHT(_xlpm.steps,2),_xlpm.steps)))</f>
        <v>96</v>
      </c>
      <c r="D828">
        <f>_xlfn.LET(_xlpm.steps,SUBSTITUTE(Table13[[#This Row],[Input]],Table13[[#This Row],[Direction]],""),VALUE(IF(LEN(_xlpm.steps)&gt;2,LEFT(_xlpm.steps,LEN(_xlpm.steps)-2),0)))</f>
        <v>8</v>
      </c>
      <c r="E828">
        <f>_xlfn.LET(_xlpm.dir,Table13[[#This Row],[Direction]],
IF(_xlpm.dir="L",
    IF(G827-Table13[[#This Row],[Steps]]&lt;0,100+(G827-Table13[[#This Row],[Steps]]),G827-Table13[[#This Row],[Steps]]),
))</f>
        <v>0</v>
      </c>
      <c r="F828">
        <f>_xlfn.LET(_xlpm.dir,Table13[[#This Row],[Direction]],
IF(_xlpm.dir="R",
    IF(G827+Table13[[#This Row],[Steps]]&gt;99,(G827+Table13[[#This Row],[Steps]])-100,G827+Table13[[#This Row],[Steps]]),
))</f>
        <v>96</v>
      </c>
      <c r="G828">
        <f>IF(Table13[[#This Row],[New Pos L]]&lt;&gt;0,Table13[[#This Row],[New Pos L]],Table13[[#This Row],[New Pos R]])</f>
        <v>96</v>
      </c>
      <c r="H828">
        <f>IF(AND(Table13[[#This Row],[Direction]]="L",Table13[[#This Row],[Steps]]&gt;G827,G827&lt;&gt;0),1,0)</f>
        <v>0</v>
      </c>
      <c r="I828">
        <f>IF(AND(Table13[[#This Row],[Direction]]="R",(G827+Table13[[#This Row],[Steps]])&gt;100),1,0)</f>
        <v>0</v>
      </c>
      <c r="J828">
        <f>IF(Table13[[#This Row],[POS]]=0,1,0)</f>
        <v>0</v>
      </c>
      <c r="K828">
        <f>SUM(Table13[[#This Row],[prefix]],Table13[[#This Row],[Past zero L]],Table13[[#This Row],[Past Zero R]],Table13[[#This Row],[Is Zero]])</f>
        <v>8</v>
      </c>
    </row>
    <row r="829" spans="1:11" ht="16" x14ac:dyDescent="0.2">
      <c r="A829" s="1" t="s">
        <v>98</v>
      </c>
      <c r="B829" t="str">
        <f>LEFT(Table13[[#This Row],[Input]],1)</f>
        <v>L</v>
      </c>
      <c r="C829">
        <f>_xlfn.LET(_xlpm.steps,SUBSTITUTE(Table13[[#This Row],[Input]],Table13[[#This Row],[Direction]],""),VALUE(IF(LEN(_xlpm.steps)&gt;2,RIGHT(_xlpm.steps,2),_xlpm.steps)))</f>
        <v>65</v>
      </c>
      <c r="D829">
        <f>_xlfn.LET(_xlpm.steps,SUBSTITUTE(Table13[[#This Row],[Input]],Table13[[#This Row],[Direction]],""),VALUE(IF(LEN(_xlpm.steps)&gt;2,LEFT(_xlpm.steps,LEN(_xlpm.steps)-2),0)))</f>
        <v>0</v>
      </c>
      <c r="E829">
        <f>_xlfn.LET(_xlpm.dir,Table13[[#This Row],[Direction]],
IF(_xlpm.dir="L",
    IF(G828-Table13[[#This Row],[Steps]]&lt;0,100+(G828-Table13[[#This Row],[Steps]]),G828-Table13[[#This Row],[Steps]]),
))</f>
        <v>31</v>
      </c>
      <c r="F829">
        <f>_xlfn.LET(_xlpm.dir,Table13[[#This Row],[Direction]],
IF(_xlpm.dir="R",
    IF(G828+Table13[[#This Row],[Steps]]&gt;99,(G828+Table13[[#This Row],[Steps]])-100,G828+Table13[[#This Row],[Steps]]),
))</f>
        <v>0</v>
      </c>
      <c r="G829">
        <f>IF(Table13[[#This Row],[New Pos L]]&lt;&gt;0,Table13[[#This Row],[New Pos L]],Table13[[#This Row],[New Pos R]])</f>
        <v>31</v>
      </c>
      <c r="H829">
        <f>IF(AND(Table13[[#This Row],[Direction]]="L",Table13[[#This Row],[Steps]]&gt;G828,G828&lt;&gt;0),1,0)</f>
        <v>0</v>
      </c>
      <c r="I829">
        <f>IF(AND(Table13[[#This Row],[Direction]]="R",(G828+Table13[[#This Row],[Steps]])&gt;100),1,0)</f>
        <v>0</v>
      </c>
      <c r="J829">
        <f>IF(Table13[[#This Row],[POS]]=0,1,0)</f>
        <v>0</v>
      </c>
      <c r="K829">
        <f>SUM(Table13[[#This Row],[prefix]],Table13[[#This Row],[Past zero L]],Table13[[#This Row],[Past Zero R]],Table13[[#This Row],[Is Zero]])</f>
        <v>0</v>
      </c>
    </row>
    <row r="830" spans="1:11" ht="16" x14ac:dyDescent="0.2">
      <c r="A830" s="1" t="s">
        <v>98</v>
      </c>
      <c r="B830" t="str">
        <f>LEFT(Table13[[#This Row],[Input]],1)</f>
        <v>L</v>
      </c>
      <c r="C830">
        <f>_xlfn.LET(_xlpm.steps,SUBSTITUTE(Table13[[#This Row],[Input]],Table13[[#This Row],[Direction]],""),VALUE(IF(LEN(_xlpm.steps)&gt;2,RIGHT(_xlpm.steps,2),_xlpm.steps)))</f>
        <v>65</v>
      </c>
      <c r="D830">
        <f>_xlfn.LET(_xlpm.steps,SUBSTITUTE(Table13[[#This Row],[Input]],Table13[[#This Row],[Direction]],""),VALUE(IF(LEN(_xlpm.steps)&gt;2,LEFT(_xlpm.steps,LEN(_xlpm.steps)-2),0)))</f>
        <v>0</v>
      </c>
      <c r="E830">
        <f>_xlfn.LET(_xlpm.dir,Table13[[#This Row],[Direction]],
IF(_xlpm.dir="L",
    IF(G829-Table13[[#This Row],[Steps]]&lt;0,100+(G829-Table13[[#This Row],[Steps]]),G829-Table13[[#This Row],[Steps]]),
))</f>
        <v>66</v>
      </c>
      <c r="F830">
        <f>_xlfn.LET(_xlpm.dir,Table13[[#This Row],[Direction]],
IF(_xlpm.dir="R",
    IF(G829+Table13[[#This Row],[Steps]]&gt;99,(G829+Table13[[#This Row],[Steps]])-100,G829+Table13[[#This Row],[Steps]]),
))</f>
        <v>0</v>
      </c>
      <c r="G830">
        <f>IF(Table13[[#This Row],[New Pos L]]&lt;&gt;0,Table13[[#This Row],[New Pos L]],Table13[[#This Row],[New Pos R]])</f>
        <v>66</v>
      </c>
      <c r="H830">
        <f>IF(AND(Table13[[#This Row],[Direction]]="L",Table13[[#This Row],[Steps]]&gt;G829,G829&lt;&gt;0),1,0)</f>
        <v>1</v>
      </c>
      <c r="I830">
        <f>IF(AND(Table13[[#This Row],[Direction]]="R",(G829+Table13[[#This Row],[Steps]])&gt;100),1,0)</f>
        <v>0</v>
      </c>
      <c r="J830">
        <f>IF(Table13[[#This Row],[POS]]=0,1,0)</f>
        <v>0</v>
      </c>
      <c r="K830">
        <f>SUM(Table13[[#This Row],[prefix]],Table13[[#This Row],[Past zero L]],Table13[[#This Row],[Past Zero R]],Table13[[#This Row],[Is Zero]])</f>
        <v>1</v>
      </c>
    </row>
    <row r="831" spans="1:11" ht="16" x14ac:dyDescent="0.2">
      <c r="A831" s="1" t="s">
        <v>279</v>
      </c>
      <c r="B831" t="str">
        <f>LEFT(Table13[[#This Row],[Input]],1)</f>
        <v>R</v>
      </c>
      <c r="C831">
        <f>_xlfn.LET(_xlpm.steps,SUBSTITUTE(Table13[[#This Row],[Input]],Table13[[#This Row],[Direction]],""),VALUE(IF(LEN(_xlpm.steps)&gt;2,RIGHT(_xlpm.steps,2),_xlpm.steps)))</f>
        <v>34</v>
      </c>
      <c r="D831">
        <f>_xlfn.LET(_xlpm.steps,SUBSTITUTE(Table13[[#This Row],[Input]],Table13[[#This Row],[Direction]],""),VALUE(IF(LEN(_xlpm.steps)&gt;2,LEFT(_xlpm.steps,LEN(_xlpm.steps)-2),0)))</f>
        <v>0</v>
      </c>
      <c r="E831">
        <f>_xlfn.LET(_xlpm.dir,Table13[[#This Row],[Direction]],
IF(_xlpm.dir="L",
    IF(G830-Table13[[#This Row],[Steps]]&lt;0,100+(G830-Table13[[#This Row],[Steps]]),G830-Table13[[#This Row],[Steps]]),
))</f>
        <v>0</v>
      </c>
      <c r="F831">
        <f>_xlfn.LET(_xlpm.dir,Table13[[#This Row],[Direction]],
IF(_xlpm.dir="R",
    IF(G830+Table13[[#This Row],[Steps]]&gt;99,(G830+Table13[[#This Row],[Steps]])-100,G830+Table13[[#This Row],[Steps]]),
))</f>
        <v>0</v>
      </c>
      <c r="G831">
        <f>IF(Table13[[#This Row],[New Pos L]]&lt;&gt;0,Table13[[#This Row],[New Pos L]],Table13[[#This Row],[New Pos R]])</f>
        <v>0</v>
      </c>
      <c r="H831">
        <f>IF(AND(Table13[[#This Row],[Direction]]="L",Table13[[#This Row],[Steps]]&gt;G830,G830&lt;&gt;0),1,0)</f>
        <v>0</v>
      </c>
      <c r="I831">
        <f>IF(AND(Table13[[#This Row],[Direction]]="R",(G830+Table13[[#This Row],[Steps]])&gt;100),1,0)</f>
        <v>0</v>
      </c>
      <c r="J831">
        <f>IF(Table13[[#This Row],[POS]]=0,1,0)</f>
        <v>1</v>
      </c>
      <c r="K831">
        <f>SUM(Table13[[#This Row],[prefix]],Table13[[#This Row],[Past zero L]],Table13[[#This Row],[Past Zero R]],Table13[[#This Row],[Is Zero]])</f>
        <v>1</v>
      </c>
    </row>
    <row r="832" spans="1:11" ht="16" x14ac:dyDescent="0.2">
      <c r="A832" s="1" t="s">
        <v>325</v>
      </c>
      <c r="B832" t="str">
        <f>LEFT(Table13[[#This Row],[Input]],1)</f>
        <v>L</v>
      </c>
      <c r="C832">
        <f>_xlfn.LET(_xlpm.steps,SUBSTITUTE(Table13[[#This Row],[Input]],Table13[[#This Row],[Direction]],""),VALUE(IF(LEN(_xlpm.steps)&gt;2,RIGHT(_xlpm.steps,2),_xlpm.steps)))</f>
        <v>68</v>
      </c>
      <c r="D832">
        <f>_xlfn.LET(_xlpm.steps,SUBSTITUTE(Table13[[#This Row],[Input]],Table13[[#This Row],[Direction]],""),VALUE(IF(LEN(_xlpm.steps)&gt;2,LEFT(_xlpm.steps,LEN(_xlpm.steps)-2),0)))</f>
        <v>0</v>
      </c>
      <c r="E832">
        <f>_xlfn.LET(_xlpm.dir,Table13[[#This Row],[Direction]],
IF(_xlpm.dir="L",
    IF(G831-Table13[[#This Row],[Steps]]&lt;0,100+(G831-Table13[[#This Row],[Steps]]),G831-Table13[[#This Row],[Steps]]),
))</f>
        <v>32</v>
      </c>
      <c r="F832">
        <f>_xlfn.LET(_xlpm.dir,Table13[[#This Row],[Direction]],
IF(_xlpm.dir="R",
    IF(G831+Table13[[#This Row],[Steps]]&gt;99,(G831+Table13[[#This Row],[Steps]])-100,G831+Table13[[#This Row],[Steps]]),
))</f>
        <v>0</v>
      </c>
      <c r="G832">
        <f>IF(Table13[[#This Row],[New Pos L]]&lt;&gt;0,Table13[[#This Row],[New Pos L]],Table13[[#This Row],[New Pos R]])</f>
        <v>32</v>
      </c>
      <c r="H832">
        <f>IF(AND(Table13[[#This Row],[Direction]]="L",Table13[[#This Row],[Steps]]&gt;G831,G831&lt;&gt;0),1,0)</f>
        <v>0</v>
      </c>
      <c r="I832">
        <f>IF(AND(Table13[[#This Row],[Direction]]="R",(G831+Table13[[#This Row],[Steps]])&gt;100),1,0)</f>
        <v>0</v>
      </c>
      <c r="J832">
        <f>IF(Table13[[#This Row],[POS]]=0,1,0)</f>
        <v>0</v>
      </c>
      <c r="K832">
        <f>SUM(Table13[[#This Row],[prefix]],Table13[[#This Row],[Past zero L]],Table13[[#This Row],[Past Zero R]],Table13[[#This Row],[Is Zero]])</f>
        <v>0</v>
      </c>
    </row>
    <row r="833" spans="1:11" ht="16" x14ac:dyDescent="0.2">
      <c r="A833" s="1" t="s">
        <v>157</v>
      </c>
      <c r="B833" t="str">
        <f>LEFT(Table13[[#This Row],[Input]],1)</f>
        <v>R</v>
      </c>
      <c r="C833">
        <f>_xlfn.LET(_xlpm.steps,SUBSTITUTE(Table13[[#This Row],[Input]],Table13[[#This Row],[Direction]],""),VALUE(IF(LEN(_xlpm.steps)&gt;2,RIGHT(_xlpm.steps,2),_xlpm.steps)))</f>
        <v>68</v>
      </c>
      <c r="D833">
        <f>_xlfn.LET(_xlpm.steps,SUBSTITUTE(Table13[[#This Row],[Input]],Table13[[#This Row],[Direction]],""),VALUE(IF(LEN(_xlpm.steps)&gt;2,LEFT(_xlpm.steps,LEN(_xlpm.steps)-2),0)))</f>
        <v>0</v>
      </c>
      <c r="E833">
        <f>_xlfn.LET(_xlpm.dir,Table13[[#This Row],[Direction]],
IF(_xlpm.dir="L",
    IF(G832-Table13[[#This Row],[Steps]]&lt;0,100+(G832-Table13[[#This Row],[Steps]]),G832-Table13[[#This Row],[Steps]]),
))</f>
        <v>0</v>
      </c>
      <c r="F833">
        <f>_xlfn.LET(_xlpm.dir,Table13[[#This Row],[Direction]],
IF(_xlpm.dir="R",
    IF(G832+Table13[[#This Row],[Steps]]&gt;99,(G832+Table13[[#This Row],[Steps]])-100,G832+Table13[[#This Row],[Steps]]),
))</f>
        <v>0</v>
      </c>
      <c r="G833">
        <f>IF(Table13[[#This Row],[New Pos L]]&lt;&gt;0,Table13[[#This Row],[New Pos L]],Table13[[#This Row],[New Pos R]])</f>
        <v>0</v>
      </c>
      <c r="H833">
        <f>IF(AND(Table13[[#This Row],[Direction]]="L",Table13[[#This Row],[Steps]]&gt;G832,G832&lt;&gt;0),1,0)</f>
        <v>0</v>
      </c>
      <c r="I833">
        <f>IF(AND(Table13[[#This Row],[Direction]]="R",(G832+Table13[[#This Row],[Steps]])&gt;100),1,0)</f>
        <v>0</v>
      </c>
      <c r="J833">
        <f>IF(Table13[[#This Row],[POS]]=0,1,0)</f>
        <v>1</v>
      </c>
      <c r="K833">
        <f>SUM(Table13[[#This Row],[prefix]],Table13[[#This Row],[Past zero L]],Table13[[#This Row],[Past Zero R]],Table13[[#This Row],[Is Zero]])</f>
        <v>1</v>
      </c>
    </row>
    <row r="834" spans="1:11" ht="16" x14ac:dyDescent="0.2">
      <c r="A834" s="1" t="s">
        <v>89</v>
      </c>
      <c r="B834" t="str">
        <f>LEFT(Table13[[#This Row],[Input]],1)</f>
        <v>L</v>
      </c>
      <c r="C834">
        <f>_xlfn.LET(_xlpm.steps,SUBSTITUTE(Table13[[#This Row],[Input]],Table13[[#This Row],[Direction]],""),VALUE(IF(LEN(_xlpm.steps)&gt;2,RIGHT(_xlpm.steps,2),_xlpm.steps)))</f>
        <v>91</v>
      </c>
      <c r="D834">
        <f>_xlfn.LET(_xlpm.steps,SUBSTITUTE(Table13[[#This Row],[Input]],Table13[[#This Row],[Direction]],""),VALUE(IF(LEN(_xlpm.steps)&gt;2,LEFT(_xlpm.steps,LEN(_xlpm.steps)-2),0)))</f>
        <v>0</v>
      </c>
      <c r="E834">
        <f>_xlfn.LET(_xlpm.dir,Table13[[#This Row],[Direction]],
IF(_xlpm.dir="L",
    IF(G833-Table13[[#This Row],[Steps]]&lt;0,100+(G833-Table13[[#This Row],[Steps]]),G833-Table13[[#This Row],[Steps]]),
))</f>
        <v>9</v>
      </c>
      <c r="F834">
        <f>_xlfn.LET(_xlpm.dir,Table13[[#This Row],[Direction]],
IF(_xlpm.dir="R",
    IF(G833+Table13[[#This Row],[Steps]]&gt;99,(G833+Table13[[#This Row],[Steps]])-100,G833+Table13[[#This Row],[Steps]]),
))</f>
        <v>0</v>
      </c>
      <c r="G834">
        <f>IF(Table13[[#This Row],[New Pos L]]&lt;&gt;0,Table13[[#This Row],[New Pos L]],Table13[[#This Row],[New Pos R]])</f>
        <v>9</v>
      </c>
      <c r="H834">
        <f>IF(AND(Table13[[#This Row],[Direction]]="L",Table13[[#This Row],[Steps]]&gt;G833,G833&lt;&gt;0),1,0)</f>
        <v>0</v>
      </c>
      <c r="I834">
        <f>IF(AND(Table13[[#This Row],[Direction]]="R",(G833+Table13[[#This Row],[Steps]])&gt;100),1,0)</f>
        <v>0</v>
      </c>
      <c r="J834">
        <f>IF(Table13[[#This Row],[POS]]=0,1,0)</f>
        <v>0</v>
      </c>
      <c r="K834">
        <f>SUM(Table13[[#This Row],[prefix]],Table13[[#This Row],[Past zero L]],Table13[[#This Row],[Past Zero R]],Table13[[#This Row],[Is Zero]])</f>
        <v>0</v>
      </c>
    </row>
    <row r="835" spans="1:11" ht="16" x14ac:dyDescent="0.2">
      <c r="A835" s="1" t="s">
        <v>326</v>
      </c>
      <c r="B835" t="str">
        <f>LEFT(Table13[[#This Row],[Input]],1)</f>
        <v>L</v>
      </c>
      <c r="C835">
        <f>_xlfn.LET(_xlpm.steps,SUBSTITUTE(Table13[[#This Row],[Input]],Table13[[#This Row],[Direction]],""),VALUE(IF(LEN(_xlpm.steps)&gt;2,RIGHT(_xlpm.steps,2),_xlpm.steps)))</f>
        <v>9</v>
      </c>
      <c r="D835">
        <f>_xlfn.LET(_xlpm.steps,SUBSTITUTE(Table13[[#This Row],[Input]],Table13[[#This Row],[Direction]],""),VALUE(IF(LEN(_xlpm.steps)&gt;2,LEFT(_xlpm.steps,LEN(_xlpm.steps)-2),0)))</f>
        <v>4</v>
      </c>
      <c r="E835">
        <f>_xlfn.LET(_xlpm.dir,Table13[[#This Row],[Direction]],
IF(_xlpm.dir="L",
    IF(G834-Table13[[#This Row],[Steps]]&lt;0,100+(G834-Table13[[#This Row],[Steps]]),G834-Table13[[#This Row],[Steps]]),
))</f>
        <v>0</v>
      </c>
      <c r="F835">
        <f>_xlfn.LET(_xlpm.dir,Table13[[#This Row],[Direction]],
IF(_xlpm.dir="R",
    IF(G834+Table13[[#This Row],[Steps]]&gt;99,(G834+Table13[[#This Row],[Steps]])-100,G834+Table13[[#This Row],[Steps]]),
))</f>
        <v>0</v>
      </c>
      <c r="G835">
        <f>IF(Table13[[#This Row],[New Pos L]]&lt;&gt;0,Table13[[#This Row],[New Pos L]],Table13[[#This Row],[New Pos R]])</f>
        <v>0</v>
      </c>
      <c r="H835">
        <f>IF(AND(Table13[[#This Row],[Direction]]="L",Table13[[#This Row],[Steps]]&gt;G834,G834&lt;&gt;0),1,0)</f>
        <v>0</v>
      </c>
      <c r="I835">
        <f>IF(AND(Table13[[#This Row],[Direction]]="R",(G834+Table13[[#This Row],[Steps]])&gt;100),1,0)</f>
        <v>0</v>
      </c>
      <c r="J835">
        <f>IF(Table13[[#This Row],[POS]]=0,1,0)</f>
        <v>1</v>
      </c>
      <c r="K835">
        <f>SUM(Table13[[#This Row],[prefix]],Table13[[#This Row],[Past zero L]],Table13[[#This Row],[Past Zero R]],Table13[[#This Row],[Is Zero]])</f>
        <v>5</v>
      </c>
    </row>
    <row r="836" spans="1:11" ht="16" x14ac:dyDescent="0.2">
      <c r="A836" s="1" t="s">
        <v>75</v>
      </c>
      <c r="B836" t="str">
        <f>LEFT(Table13[[#This Row],[Input]],1)</f>
        <v>R</v>
      </c>
      <c r="C836">
        <f>_xlfn.LET(_xlpm.steps,SUBSTITUTE(Table13[[#This Row],[Input]],Table13[[#This Row],[Direction]],""),VALUE(IF(LEN(_xlpm.steps)&gt;2,RIGHT(_xlpm.steps,2),_xlpm.steps)))</f>
        <v>2</v>
      </c>
      <c r="D836">
        <f>_xlfn.LET(_xlpm.steps,SUBSTITUTE(Table13[[#This Row],[Input]],Table13[[#This Row],[Direction]],""),VALUE(IF(LEN(_xlpm.steps)&gt;2,LEFT(_xlpm.steps,LEN(_xlpm.steps)-2),0)))</f>
        <v>0</v>
      </c>
      <c r="E836">
        <f>_xlfn.LET(_xlpm.dir,Table13[[#This Row],[Direction]],
IF(_xlpm.dir="L",
    IF(G835-Table13[[#This Row],[Steps]]&lt;0,100+(G835-Table13[[#This Row],[Steps]]),G835-Table13[[#This Row],[Steps]]),
))</f>
        <v>0</v>
      </c>
      <c r="F836">
        <f>_xlfn.LET(_xlpm.dir,Table13[[#This Row],[Direction]],
IF(_xlpm.dir="R",
    IF(G835+Table13[[#This Row],[Steps]]&gt;99,(G835+Table13[[#This Row],[Steps]])-100,G835+Table13[[#This Row],[Steps]]),
))</f>
        <v>2</v>
      </c>
      <c r="G836">
        <f>IF(Table13[[#This Row],[New Pos L]]&lt;&gt;0,Table13[[#This Row],[New Pos L]],Table13[[#This Row],[New Pos R]])</f>
        <v>2</v>
      </c>
      <c r="H836">
        <f>IF(AND(Table13[[#This Row],[Direction]]="L",Table13[[#This Row],[Steps]]&gt;G835,G835&lt;&gt;0),1,0)</f>
        <v>0</v>
      </c>
      <c r="I836">
        <f>IF(AND(Table13[[#This Row],[Direction]]="R",(G835+Table13[[#This Row],[Steps]])&gt;100),1,0)</f>
        <v>0</v>
      </c>
      <c r="J836">
        <f>IF(Table13[[#This Row],[POS]]=0,1,0)</f>
        <v>0</v>
      </c>
      <c r="K836">
        <f>SUM(Table13[[#This Row],[prefix]],Table13[[#This Row],[Past zero L]],Table13[[#This Row],[Past Zero R]],Table13[[#This Row],[Is Zero]])</f>
        <v>0</v>
      </c>
    </row>
    <row r="837" spans="1:11" ht="16" x14ac:dyDescent="0.2">
      <c r="A837" s="1" t="s">
        <v>104</v>
      </c>
      <c r="B837" t="str">
        <f>LEFT(Table13[[#This Row],[Input]],1)</f>
        <v>R</v>
      </c>
      <c r="C837">
        <f>_xlfn.LET(_xlpm.steps,SUBSTITUTE(Table13[[#This Row],[Input]],Table13[[#This Row],[Direction]],""),VALUE(IF(LEN(_xlpm.steps)&gt;2,RIGHT(_xlpm.steps,2),_xlpm.steps)))</f>
        <v>59</v>
      </c>
      <c r="D837">
        <f>_xlfn.LET(_xlpm.steps,SUBSTITUTE(Table13[[#This Row],[Input]],Table13[[#This Row],[Direction]],""),VALUE(IF(LEN(_xlpm.steps)&gt;2,LEFT(_xlpm.steps,LEN(_xlpm.steps)-2),0)))</f>
        <v>0</v>
      </c>
      <c r="E837">
        <f>_xlfn.LET(_xlpm.dir,Table13[[#This Row],[Direction]],
IF(_xlpm.dir="L",
    IF(G836-Table13[[#This Row],[Steps]]&lt;0,100+(G836-Table13[[#This Row],[Steps]]),G836-Table13[[#This Row],[Steps]]),
))</f>
        <v>0</v>
      </c>
      <c r="F837">
        <f>_xlfn.LET(_xlpm.dir,Table13[[#This Row],[Direction]],
IF(_xlpm.dir="R",
    IF(G836+Table13[[#This Row],[Steps]]&gt;99,(G836+Table13[[#This Row],[Steps]])-100,G836+Table13[[#This Row],[Steps]]),
))</f>
        <v>61</v>
      </c>
      <c r="G837">
        <f>IF(Table13[[#This Row],[New Pos L]]&lt;&gt;0,Table13[[#This Row],[New Pos L]],Table13[[#This Row],[New Pos R]])</f>
        <v>61</v>
      </c>
      <c r="H837">
        <f>IF(AND(Table13[[#This Row],[Direction]]="L",Table13[[#This Row],[Steps]]&gt;G836,G836&lt;&gt;0),1,0)</f>
        <v>0</v>
      </c>
      <c r="I837">
        <f>IF(AND(Table13[[#This Row],[Direction]]="R",(G836+Table13[[#This Row],[Steps]])&gt;100),1,0)</f>
        <v>0</v>
      </c>
      <c r="J837">
        <f>IF(Table13[[#This Row],[POS]]=0,1,0)</f>
        <v>0</v>
      </c>
      <c r="K837">
        <f>SUM(Table13[[#This Row],[prefix]],Table13[[#This Row],[Past zero L]],Table13[[#This Row],[Past Zero R]],Table13[[#This Row],[Is Zero]])</f>
        <v>0</v>
      </c>
    </row>
    <row r="838" spans="1:11" ht="16" x14ac:dyDescent="0.2">
      <c r="A838" s="1" t="s">
        <v>140</v>
      </c>
      <c r="B838" t="str">
        <f>LEFT(Table13[[#This Row],[Input]],1)</f>
        <v>L</v>
      </c>
      <c r="C838">
        <f>_xlfn.LET(_xlpm.steps,SUBSTITUTE(Table13[[#This Row],[Input]],Table13[[#This Row],[Direction]],""),VALUE(IF(LEN(_xlpm.steps)&gt;2,RIGHT(_xlpm.steps,2),_xlpm.steps)))</f>
        <v>61</v>
      </c>
      <c r="D838">
        <f>_xlfn.LET(_xlpm.steps,SUBSTITUTE(Table13[[#This Row],[Input]],Table13[[#This Row],[Direction]],""),VALUE(IF(LEN(_xlpm.steps)&gt;2,LEFT(_xlpm.steps,LEN(_xlpm.steps)-2),0)))</f>
        <v>0</v>
      </c>
      <c r="E838">
        <f>_xlfn.LET(_xlpm.dir,Table13[[#This Row],[Direction]],
IF(_xlpm.dir="L",
    IF(G837-Table13[[#This Row],[Steps]]&lt;0,100+(G837-Table13[[#This Row],[Steps]]),G837-Table13[[#This Row],[Steps]]),
))</f>
        <v>0</v>
      </c>
      <c r="F838">
        <f>_xlfn.LET(_xlpm.dir,Table13[[#This Row],[Direction]],
IF(_xlpm.dir="R",
    IF(G837+Table13[[#This Row],[Steps]]&gt;99,(G837+Table13[[#This Row],[Steps]])-100,G837+Table13[[#This Row],[Steps]]),
))</f>
        <v>0</v>
      </c>
      <c r="G838">
        <f>IF(Table13[[#This Row],[New Pos L]]&lt;&gt;0,Table13[[#This Row],[New Pos L]],Table13[[#This Row],[New Pos R]])</f>
        <v>0</v>
      </c>
      <c r="H838">
        <f>IF(AND(Table13[[#This Row],[Direction]]="L",Table13[[#This Row],[Steps]]&gt;G837,G837&lt;&gt;0),1,0)</f>
        <v>0</v>
      </c>
      <c r="I838">
        <f>IF(AND(Table13[[#This Row],[Direction]]="R",(G837+Table13[[#This Row],[Steps]])&gt;100),1,0)</f>
        <v>0</v>
      </c>
      <c r="J838">
        <f>IF(Table13[[#This Row],[POS]]=0,1,0)</f>
        <v>1</v>
      </c>
      <c r="K838">
        <f>SUM(Table13[[#This Row],[prefix]],Table13[[#This Row],[Past zero L]],Table13[[#This Row],[Past Zero R]],Table13[[#This Row],[Is Zero]])</f>
        <v>1</v>
      </c>
    </row>
    <row r="839" spans="1:11" ht="16" x14ac:dyDescent="0.2">
      <c r="A839" s="1" t="s">
        <v>327</v>
      </c>
      <c r="B839" t="str">
        <f>LEFT(Table13[[#This Row],[Input]],1)</f>
        <v>L</v>
      </c>
      <c r="C839">
        <f>_xlfn.LET(_xlpm.steps,SUBSTITUTE(Table13[[#This Row],[Input]],Table13[[#This Row],[Direction]],""),VALUE(IF(LEN(_xlpm.steps)&gt;2,RIGHT(_xlpm.steps,2),_xlpm.steps)))</f>
        <v>19</v>
      </c>
      <c r="D839">
        <f>_xlfn.LET(_xlpm.steps,SUBSTITUTE(Table13[[#This Row],[Input]],Table13[[#This Row],[Direction]],""),VALUE(IF(LEN(_xlpm.steps)&gt;2,LEFT(_xlpm.steps,LEN(_xlpm.steps)-2),0)))</f>
        <v>9</v>
      </c>
      <c r="E839">
        <f>_xlfn.LET(_xlpm.dir,Table13[[#This Row],[Direction]],
IF(_xlpm.dir="L",
    IF(G838-Table13[[#This Row],[Steps]]&lt;0,100+(G838-Table13[[#This Row],[Steps]]),G838-Table13[[#This Row],[Steps]]),
))</f>
        <v>81</v>
      </c>
      <c r="F839">
        <f>_xlfn.LET(_xlpm.dir,Table13[[#This Row],[Direction]],
IF(_xlpm.dir="R",
    IF(G838+Table13[[#This Row],[Steps]]&gt;99,(G838+Table13[[#This Row],[Steps]])-100,G838+Table13[[#This Row],[Steps]]),
))</f>
        <v>0</v>
      </c>
      <c r="G839">
        <f>IF(Table13[[#This Row],[New Pos L]]&lt;&gt;0,Table13[[#This Row],[New Pos L]],Table13[[#This Row],[New Pos R]])</f>
        <v>81</v>
      </c>
      <c r="H839">
        <f>IF(AND(Table13[[#This Row],[Direction]]="L",Table13[[#This Row],[Steps]]&gt;G838,G838&lt;&gt;0),1,0)</f>
        <v>0</v>
      </c>
      <c r="I839">
        <f>IF(AND(Table13[[#This Row],[Direction]]="R",(G838+Table13[[#This Row],[Steps]])&gt;100),1,0)</f>
        <v>0</v>
      </c>
      <c r="J839">
        <f>IF(Table13[[#This Row],[POS]]=0,1,0)</f>
        <v>0</v>
      </c>
      <c r="K839">
        <f>SUM(Table13[[#This Row],[prefix]],Table13[[#This Row],[Past zero L]],Table13[[#This Row],[Past Zero R]],Table13[[#This Row],[Is Zero]])</f>
        <v>9</v>
      </c>
    </row>
    <row r="840" spans="1:11" ht="16" x14ac:dyDescent="0.2">
      <c r="A840" s="1" t="s">
        <v>244</v>
      </c>
      <c r="B840" t="str">
        <f>LEFT(Table13[[#This Row],[Input]],1)</f>
        <v>L</v>
      </c>
      <c r="C840">
        <f>_xlfn.LET(_xlpm.steps,SUBSTITUTE(Table13[[#This Row],[Input]],Table13[[#This Row],[Direction]],""),VALUE(IF(LEN(_xlpm.steps)&gt;2,RIGHT(_xlpm.steps,2),_xlpm.steps)))</f>
        <v>98</v>
      </c>
      <c r="D840">
        <f>_xlfn.LET(_xlpm.steps,SUBSTITUTE(Table13[[#This Row],[Input]],Table13[[#This Row],[Direction]],""),VALUE(IF(LEN(_xlpm.steps)&gt;2,LEFT(_xlpm.steps,LEN(_xlpm.steps)-2),0)))</f>
        <v>0</v>
      </c>
      <c r="E840">
        <f>_xlfn.LET(_xlpm.dir,Table13[[#This Row],[Direction]],
IF(_xlpm.dir="L",
    IF(G839-Table13[[#This Row],[Steps]]&lt;0,100+(G839-Table13[[#This Row],[Steps]]),G839-Table13[[#This Row],[Steps]]),
))</f>
        <v>83</v>
      </c>
      <c r="F840">
        <f>_xlfn.LET(_xlpm.dir,Table13[[#This Row],[Direction]],
IF(_xlpm.dir="R",
    IF(G839+Table13[[#This Row],[Steps]]&gt;99,(G839+Table13[[#This Row],[Steps]])-100,G839+Table13[[#This Row],[Steps]]),
))</f>
        <v>0</v>
      </c>
      <c r="G840">
        <f>IF(Table13[[#This Row],[New Pos L]]&lt;&gt;0,Table13[[#This Row],[New Pos L]],Table13[[#This Row],[New Pos R]])</f>
        <v>83</v>
      </c>
      <c r="H840">
        <f>IF(AND(Table13[[#This Row],[Direction]]="L",Table13[[#This Row],[Steps]]&gt;G839,G839&lt;&gt;0),1,0)</f>
        <v>1</v>
      </c>
      <c r="I840">
        <f>IF(AND(Table13[[#This Row],[Direction]]="R",(G839+Table13[[#This Row],[Steps]])&gt;100),1,0)</f>
        <v>0</v>
      </c>
      <c r="J840">
        <f>IF(Table13[[#This Row],[POS]]=0,1,0)</f>
        <v>0</v>
      </c>
      <c r="K840">
        <f>SUM(Table13[[#This Row],[prefix]],Table13[[#This Row],[Past zero L]],Table13[[#This Row],[Past Zero R]],Table13[[#This Row],[Is Zero]])</f>
        <v>1</v>
      </c>
    </row>
    <row r="841" spans="1:11" ht="16" x14ac:dyDescent="0.2">
      <c r="A841" s="1" t="s">
        <v>74</v>
      </c>
      <c r="B841" t="str">
        <f>LEFT(Table13[[#This Row],[Input]],1)</f>
        <v>R</v>
      </c>
      <c r="C841">
        <f>_xlfn.LET(_xlpm.steps,SUBSTITUTE(Table13[[#This Row],[Input]],Table13[[#This Row],[Direction]],""),VALUE(IF(LEN(_xlpm.steps)&gt;2,RIGHT(_xlpm.steps,2),_xlpm.steps)))</f>
        <v>93</v>
      </c>
      <c r="D841">
        <f>_xlfn.LET(_xlpm.steps,SUBSTITUTE(Table13[[#This Row],[Input]],Table13[[#This Row],[Direction]],""),VALUE(IF(LEN(_xlpm.steps)&gt;2,LEFT(_xlpm.steps,LEN(_xlpm.steps)-2),0)))</f>
        <v>0</v>
      </c>
      <c r="E841">
        <f>_xlfn.LET(_xlpm.dir,Table13[[#This Row],[Direction]],
IF(_xlpm.dir="L",
    IF(G840-Table13[[#This Row],[Steps]]&lt;0,100+(G840-Table13[[#This Row],[Steps]]),G840-Table13[[#This Row],[Steps]]),
))</f>
        <v>0</v>
      </c>
      <c r="F841">
        <f>_xlfn.LET(_xlpm.dir,Table13[[#This Row],[Direction]],
IF(_xlpm.dir="R",
    IF(G840+Table13[[#This Row],[Steps]]&gt;99,(G840+Table13[[#This Row],[Steps]])-100,G840+Table13[[#This Row],[Steps]]),
))</f>
        <v>76</v>
      </c>
      <c r="G841">
        <f>IF(Table13[[#This Row],[New Pos L]]&lt;&gt;0,Table13[[#This Row],[New Pos L]],Table13[[#This Row],[New Pos R]])</f>
        <v>76</v>
      </c>
      <c r="H841">
        <f>IF(AND(Table13[[#This Row],[Direction]]="L",Table13[[#This Row],[Steps]]&gt;G840,G840&lt;&gt;0),1,0)</f>
        <v>0</v>
      </c>
      <c r="I841">
        <f>IF(AND(Table13[[#This Row],[Direction]]="R",(G840+Table13[[#This Row],[Steps]])&gt;100),1,0)</f>
        <v>1</v>
      </c>
      <c r="J841">
        <f>IF(Table13[[#This Row],[POS]]=0,1,0)</f>
        <v>0</v>
      </c>
      <c r="K841">
        <f>SUM(Table13[[#This Row],[prefix]],Table13[[#This Row],[Past zero L]],Table13[[#This Row],[Past Zero R]],Table13[[#This Row],[Is Zero]])</f>
        <v>1</v>
      </c>
    </row>
    <row r="842" spans="1:11" ht="16" x14ac:dyDescent="0.2">
      <c r="A842" s="1" t="s">
        <v>159</v>
      </c>
      <c r="B842" t="str">
        <f>LEFT(Table13[[#This Row],[Input]],1)</f>
        <v>R</v>
      </c>
      <c r="C842">
        <f>_xlfn.LET(_xlpm.steps,SUBSTITUTE(Table13[[#This Row],[Input]],Table13[[#This Row],[Direction]],""),VALUE(IF(LEN(_xlpm.steps)&gt;2,RIGHT(_xlpm.steps,2),_xlpm.steps)))</f>
        <v>24</v>
      </c>
      <c r="D842">
        <f>_xlfn.LET(_xlpm.steps,SUBSTITUTE(Table13[[#This Row],[Input]],Table13[[#This Row],[Direction]],""),VALUE(IF(LEN(_xlpm.steps)&gt;2,LEFT(_xlpm.steps,LEN(_xlpm.steps)-2),0)))</f>
        <v>0</v>
      </c>
      <c r="E842">
        <f>_xlfn.LET(_xlpm.dir,Table13[[#This Row],[Direction]],
IF(_xlpm.dir="L",
    IF(G841-Table13[[#This Row],[Steps]]&lt;0,100+(G841-Table13[[#This Row],[Steps]]),G841-Table13[[#This Row],[Steps]]),
))</f>
        <v>0</v>
      </c>
      <c r="F842">
        <f>_xlfn.LET(_xlpm.dir,Table13[[#This Row],[Direction]],
IF(_xlpm.dir="R",
    IF(G841+Table13[[#This Row],[Steps]]&gt;99,(G841+Table13[[#This Row],[Steps]])-100,G841+Table13[[#This Row],[Steps]]),
))</f>
        <v>0</v>
      </c>
      <c r="G842">
        <f>IF(Table13[[#This Row],[New Pos L]]&lt;&gt;0,Table13[[#This Row],[New Pos L]],Table13[[#This Row],[New Pos R]])</f>
        <v>0</v>
      </c>
      <c r="H842">
        <f>IF(AND(Table13[[#This Row],[Direction]]="L",Table13[[#This Row],[Steps]]&gt;G841,G841&lt;&gt;0),1,0)</f>
        <v>0</v>
      </c>
      <c r="I842">
        <f>IF(AND(Table13[[#This Row],[Direction]]="R",(G841+Table13[[#This Row],[Steps]])&gt;100),1,0)</f>
        <v>0</v>
      </c>
      <c r="J842">
        <f>IF(Table13[[#This Row],[POS]]=0,1,0)</f>
        <v>1</v>
      </c>
      <c r="K842">
        <f>SUM(Table13[[#This Row],[prefix]],Table13[[#This Row],[Past zero L]],Table13[[#This Row],[Past Zero R]],Table13[[#This Row],[Is Zero]])</f>
        <v>1</v>
      </c>
    </row>
    <row r="843" spans="1:11" ht="16" x14ac:dyDescent="0.2">
      <c r="A843" s="1" t="s">
        <v>194</v>
      </c>
      <c r="B843" t="str">
        <f>LEFT(Table13[[#This Row],[Input]],1)</f>
        <v>R</v>
      </c>
      <c r="C843">
        <f>_xlfn.LET(_xlpm.steps,SUBSTITUTE(Table13[[#This Row],[Input]],Table13[[#This Row],[Direction]],""),VALUE(IF(LEN(_xlpm.steps)&gt;2,RIGHT(_xlpm.steps,2),_xlpm.steps)))</f>
        <v>51</v>
      </c>
      <c r="D843">
        <f>_xlfn.LET(_xlpm.steps,SUBSTITUTE(Table13[[#This Row],[Input]],Table13[[#This Row],[Direction]],""),VALUE(IF(LEN(_xlpm.steps)&gt;2,LEFT(_xlpm.steps,LEN(_xlpm.steps)-2),0)))</f>
        <v>0</v>
      </c>
      <c r="E843">
        <f>_xlfn.LET(_xlpm.dir,Table13[[#This Row],[Direction]],
IF(_xlpm.dir="L",
    IF(G842-Table13[[#This Row],[Steps]]&lt;0,100+(G842-Table13[[#This Row],[Steps]]),G842-Table13[[#This Row],[Steps]]),
))</f>
        <v>0</v>
      </c>
      <c r="F843">
        <f>_xlfn.LET(_xlpm.dir,Table13[[#This Row],[Direction]],
IF(_xlpm.dir="R",
    IF(G842+Table13[[#This Row],[Steps]]&gt;99,(G842+Table13[[#This Row],[Steps]])-100,G842+Table13[[#This Row],[Steps]]),
))</f>
        <v>51</v>
      </c>
      <c r="G843">
        <f>IF(Table13[[#This Row],[New Pos L]]&lt;&gt;0,Table13[[#This Row],[New Pos L]],Table13[[#This Row],[New Pos R]])</f>
        <v>51</v>
      </c>
      <c r="H843">
        <f>IF(AND(Table13[[#This Row],[Direction]]="L",Table13[[#This Row],[Steps]]&gt;G842,G842&lt;&gt;0),1,0)</f>
        <v>0</v>
      </c>
      <c r="I843">
        <f>IF(AND(Table13[[#This Row],[Direction]]="R",(G842+Table13[[#This Row],[Steps]])&gt;100),1,0)</f>
        <v>0</v>
      </c>
      <c r="J843">
        <f>IF(Table13[[#This Row],[POS]]=0,1,0)</f>
        <v>0</v>
      </c>
      <c r="K843">
        <f>SUM(Table13[[#This Row],[prefix]],Table13[[#This Row],[Past zero L]],Table13[[#This Row],[Past Zero R]],Table13[[#This Row],[Is Zero]])</f>
        <v>0</v>
      </c>
    </row>
    <row r="844" spans="1:11" ht="16" x14ac:dyDescent="0.2">
      <c r="A844" s="1" t="s">
        <v>26</v>
      </c>
      <c r="B844" t="str">
        <f>LEFT(Table13[[#This Row],[Input]],1)</f>
        <v>R</v>
      </c>
      <c r="C844">
        <f>_xlfn.LET(_xlpm.steps,SUBSTITUTE(Table13[[#This Row],[Input]],Table13[[#This Row],[Direction]],""),VALUE(IF(LEN(_xlpm.steps)&gt;2,RIGHT(_xlpm.steps,2),_xlpm.steps)))</f>
        <v>6</v>
      </c>
      <c r="D844">
        <f>_xlfn.LET(_xlpm.steps,SUBSTITUTE(Table13[[#This Row],[Input]],Table13[[#This Row],[Direction]],""),VALUE(IF(LEN(_xlpm.steps)&gt;2,LEFT(_xlpm.steps,LEN(_xlpm.steps)-2),0)))</f>
        <v>0</v>
      </c>
      <c r="E844">
        <f>_xlfn.LET(_xlpm.dir,Table13[[#This Row],[Direction]],
IF(_xlpm.dir="L",
    IF(G843-Table13[[#This Row],[Steps]]&lt;0,100+(G843-Table13[[#This Row],[Steps]]),G843-Table13[[#This Row],[Steps]]),
))</f>
        <v>0</v>
      </c>
      <c r="F844">
        <f>_xlfn.LET(_xlpm.dir,Table13[[#This Row],[Direction]],
IF(_xlpm.dir="R",
    IF(G843+Table13[[#This Row],[Steps]]&gt;99,(G843+Table13[[#This Row],[Steps]])-100,G843+Table13[[#This Row],[Steps]]),
))</f>
        <v>57</v>
      </c>
      <c r="G844">
        <f>IF(Table13[[#This Row],[New Pos L]]&lt;&gt;0,Table13[[#This Row],[New Pos L]],Table13[[#This Row],[New Pos R]])</f>
        <v>57</v>
      </c>
      <c r="H844">
        <f>IF(AND(Table13[[#This Row],[Direction]]="L",Table13[[#This Row],[Steps]]&gt;G843,G843&lt;&gt;0),1,0)</f>
        <v>0</v>
      </c>
      <c r="I844">
        <f>IF(AND(Table13[[#This Row],[Direction]]="R",(G843+Table13[[#This Row],[Steps]])&gt;100),1,0)</f>
        <v>0</v>
      </c>
      <c r="J844">
        <f>IF(Table13[[#This Row],[POS]]=0,1,0)</f>
        <v>0</v>
      </c>
      <c r="K844">
        <f>SUM(Table13[[#This Row],[prefix]],Table13[[#This Row],[Past zero L]],Table13[[#This Row],[Past Zero R]],Table13[[#This Row],[Is Zero]])</f>
        <v>0</v>
      </c>
    </row>
    <row r="845" spans="1:11" ht="16" x14ac:dyDescent="0.2">
      <c r="A845" s="1" t="s">
        <v>328</v>
      </c>
      <c r="B845" t="str">
        <f>LEFT(Table13[[#This Row],[Input]],1)</f>
        <v>L</v>
      </c>
      <c r="C845">
        <f>_xlfn.LET(_xlpm.steps,SUBSTITUTE(Table13[[#This Row],[Input]],Table13[[#This Row],[Direction]],""),VALUE(IF(LEN(_xlpm.steps)&gt;2,RIGHT(_xlpm.steps,2),_xlpm.steps)))</f>
        <v>57</v>
      </c>
      <c r="D845">
        <f>_xlfn.LET(_xlpm.steps,SUBSTITUTE(Table13[[#This Row],[Input]],Table13[[#This Row],[Direction]],""),VALUE(IF(LEN(_xlpm.steps)&gt;2,LEFT(_xlpm.steps,LEN(_xlpm.steps)-2),0)))</f>
        <v>4</v>
      </c>
      <c r="E845">
        <f>_xlfn.LET(_xlpm.dir,Table13[[#This Row],[Direction]],
IF(_xlpm.dir="L",
    IF(G844-Table13[[#This Row],[Steps]]&lt;0,100+(G844-Table13[[#This Row],[Steps]]),G844-Table13[[#This Row],[Steps]]),
))</f>
        <v>0</v>
      </c>
      <c r="F845">
        <f>_xlfn.LET(_xlpm.dir,Table13[[#This Row],[Direction]],
IF(_xlpm.dir="R",
    IF(G844+Table13[[#This Row],[Steps]]&gt;99,(G844+Table13[[#This Row],[Steps]])-100,G844+Table13[[#This Row],[Steps]]),
))</f>
        <v>0</v>
      </c>
      <c r="G845">
        <f>IF(Table13[[#This Row],[New Pos L]]&lt;&gt;0,Table13[[#This Row],[New Pos L]],Table13[[#This Row],[New Pos R]])</f>
        <v>0</v>
      </c>
      <c r="H845">
        <f>IF(AND(Table13[[#This Row],[Direction]]="L",Table13[[#This Row],[Steps]]&gt;G844,G844&lt;&gt;0),1,0)</f>
        <v>0</v>
      </c>
      <c r="I845">
        <f>IF(AND(Table13[[#This Row],[Direction]]="R",(G844+Table13[[#This Row],[Steps]])&gt;100),1,0)</f>
        <v>0</v>
      </c>
      <c r="J845">
        <f>IF(Table13[[#This Row],[POS]]=0,1,0)</f>
        <v>1</v>
      </c>
      <c r="K845">
        <f>SUM(Table13[[#This Row],[prefix]],Table13[[#This Row],[Past zero L]],Table13[[#This Row],[Past Zero R]],Table13[[#This Row],[Is Zero]])</f>
        <v>5</v>
      </c>
    </row>
    <row r="846" spans="1:11" ht="16" x14ac:dyDescent="0.2">
      <c r="A846" s="1" t="s">
        <v>138</v>
      </c>
      <c r="B846" t="str">
        <f>LEFT(Table13[[#This Row],[Input]],1)</f>
        <v>L</v>
      </c>
      <c r="C846">
        <f>_xlfn.LET(_xlpm.steps,SUBSTITUTE(Table13[[#This Row],[Input]],Table13[[#This Row],[Direction]],""),VALUE(IF(LEN(_xlpm.steps)&gt;2,RIGHT(_xlpm.steps,2),_xlpm.steps)))</f>
        <v>94</v>
      </c>
      <c r="D846">
        <f>_xlfn.LET(_xlpm.steps,SUBSTITUTE(Table13[[#This Row],[Input]],Table13[[#This Row],[Direction]],""),VALUE(IF(LEN(_xlpm.steps)&gt;2,LEFT(_xlpm.steps,LEN(_xlpm.steps)-2),0)))</f>
        <v>0</v>
      </c>
      <c r="E846">
        <f>_xlfn.LET(_xlpm.dir,Table13[[#This Row],[Direction]],
IF(_xlpm.dir="L",
    IF(G845-Table13[[#This Row],[Steps]]&lt;0,100+(G845-Table13[[#This Row],[Steps]]),G845-Table13[[#This Row],[Steps]]),
))</f>
        <v>6</v>
      </c>
      <c r="F846">
        <f>_xlfn.LET(_xlpm.dir,Table13[[#This Row],[Direction]],
IF(_xlpm.dir="R",
    IF(G845+Table13[[#This Row],[Steps]]&gt;99,(G845+Table13[[#This Row],[Steps]])-100,G845+Table13[[#This Row],[Steps]]),
))</f>
        <v>0</v>
      </c>
      <c r="G846">
        <f>IF(Table13[[#This Row],[New Pos L]]&lt;&gt;0,Table13[[#This Row],[New Pos L]],Table13[[#This Row],[New Pos R]])</f>
        <v>6</v>
      </c>
      <c r="H846">
        <f>IF(AND(Table13[[#This Row],[Direction]]="L",Table13[[#This Row],[Steps]]&gt;G845,G845&lt;&gt;0),1,0)</f>
        <v>0</v>
      </c>
      <c r="I846">
        <f>IF(AND(Table13[[#This Row],[Direction]]="R",(G845+Table13[[#This Row],[Steps]])&gt;100),1,0)</f>
        <v>0</v>
      </c>
      <c r="J846">
        <f>IF(Table13[[#This Row],[POS]]=0,1,0)</f>
        <v>0</v>
      </c>
      <c r="K846">
        <f>SUM(Table13[[#This Row],[prefix]],Table13[[#This Row],[Past zero L]],Table13[[#This Row],[Past Zero R]],Table13[[#This Row],[Is Zero]])</f>
        <v>0</v>
      </c>
    </row>
    <row r="847" spans="1:11" ht="16" x14ac:dyDescent="0.2">
      <c r="A847" s="1" t="s">
        <v>11</v>
      </c>
      <c r="B847" t="str">
        <f>LEFT(Table13[[#This Row],[Input]],1)</f>
        <v>L</v>
      </c>
      <c r="C847">
        <f>_xlfn.LET(_xlpm.steps,SUBSTITUTE(Table13[[#This Row],[Input]],Table13[[#This Row],[Direction]],""),VALUE(IF(LEN(_xlpm.steps)&gt;2,RIGHT(_xlpm.steps,2),_xlpm.steps)))</f>
        <v>34</v>
      </c>
      <c r="D847">
        <f>_xlfn.LET(_xlpm.steps,SUBSTITUTE(Table13[[#This Row],[Input]],Table13[[#This Row],[Direction]],""),VALUE(IF(LEN(_xlpm.steps)&gt;2,LEFT(_xlpm.steps,LEN(_xlpm.steps)-2),0)))</f>
        <v>0</v>
      </c>
      <c r="E847">
        <f>_xlfn.LET(_xlpm.dir,Table13[[#This Row],[Direction]],
IF(_xlpm.dir="L",
    IF(G846-Table13[[#This Row],[Steps]]&lt;0,100+(G846-Table13[[#This Row],[Steps]]),G846-Table13[[#This Row],[Steps]]),
))</f>
        <v>72</v>
      </c>
      <c r="F847">
        <f>_xlfn.LET(_xlpm.dir,Table13[[#This Row],[Direction]],
IF(_xlpm.dir="R",
    IF(G846+Table13[[#This Row],[Steps]]&gt;99,(G846+Table13[[#This Row],[Steps]])-100,G846+Table13[[#This Row],[Steps]]),
))</f>
        <v>0</v>
      </c>
      <c r="G847">
        <f>IF(Table13[[#This Row],[New Pos L]]&lt;&gt;0,Table13[[#This Row],[New Pos L]],Table13[[#This Row],[New Pos R]])</f>
        <v>72</v>
      </c>
      <c r="H847">
        <f>IF(AND(Table13[[#This Row],[Direction]]="L",Table13[[#This Row],[Steps]]&gt;G846,G846&lt;&gt;0),1,0)</f>
        <v>1</v>
      </c>
      <c r="I847">
        <f>IF(AND(Table13[[#This Row],[Direction]]="R",(G846+Table13[[#This Row],[Steps]])&gt;100),1,0)</f>
        <v>0</v>
      </c>
      <c r="J847">
        <f>IF(Table13[[#This Row],[POS]]=0,1,0)</f>
        <v>0</v>
      </c>
      <c r="K847">
        <f>SUM(Table13[[#This Row],[prefix]],Table13[[#This Row],[Past zero L]],Table13[[#This Row],[Past Zero R]],Table13[[#This Row],[Is Zero]])</f>
        <v>1</v>
      </c>
    </row>
    <row r="848" spans="1:11" ht="16" x14ac:dyDescent="0.2">
      <c r="A848" s="1" t="s">
        <v>136</v>
      </c>
      <c r="B848" t="str">
        <f>LEFT(Table13[[#This Row],[Input]],1)</f>
        <v>L</v>
      </c>
      <c r="C848">
        <f>_xlfn.LET(_xlpm.steps,SUBSTITUTE(Table13[[#This Row],[Input]],Table13[[#This Row],[Direction]],""),VALUE(IF(LEN(_xlpm.steps)&gt;2,RIGHT(_xlpm.steps,2),_xlpm.steps)))</f>
        <v>72</v>
      </c>
      <c r="D848">
        <f>_xlfn.LET(_xlpm.steps,SUBSTITUTE(Table13[[#This Row],[Input]],Table13[[#This Row],[Direction]],""),VALUE(IF(LEN(_xlpm.steps)&gt;2,LEFT(_xlpm.steps,LEN(_xlpm.steps)-2),0)))</f>
        <v>0</v>
      </c>
      <c r="E848">
        <f>_xlfn.LET(_xlpm.dir,Table13[[#This Row],[Direction]],
IF(_xlpm.dir="L",
    IF(G847-Table13[[#This Row],[Steps]]&lt;0,100+(G847-Table13[[#This Row],[Steps]]),G847-Table13[[#This Row],[Steps]]),
))</f>
        <v>0</v>
      </c>
      <c r="F848">
        <f>_xlfn.LET(_xlpm.dir,Table13[[#This Row],[Direction]],
IF(_xlpm.dir="R",
    IF(G847+Table13[[#This Row],[Steps]]&gt;99,(G847+Table13[[#This Row],[Steps]])-100,G847+Table13[[#This Row],[Steps]]),
))</f>
        <v>0</v>
      </c>
      <c r="G848">
        <f>IF(Table13[[#This Row],[New Pos L]]&lt;&gt;0,Table13[[#This Row],[New Pos L]],Table13[[#This Row],[New Pos R]])</f>
        <v>0</v>
      </c>
      <c r="H848">
        <f>IF(AND(Table13[[#This Row],[Direction]]="L",Table13[[#This Row],[Steps]]&gt;G847,G847&lt;&gt;0),1,0)</f>
        <v>0</v>
      </c>
      <c r="I848">
        <f>IF(AND(Table13[[#This Row],[Direction]]="R",(G847+Table13[[#This Row],[Steps]])&gt;100),1,0)</f>
        <v>0</v>
      </c>
      <c r="J848">
        <f>IF(Table13[[#This Row],[POS]]=0,1,0)</f>
        <v>1</v>
      </c>
      <c r="K848">
        <f>SUM(Table13[[#This Row],[prefix]],Table13[[#This Row],[Past zero L]],Table13[[#This Row],[Past Zero R]],Table13[[#This Row],[Is Zero]])</f>
        <v>1</v>
      </c>
    </row>
    <row r="849" spans="1:11" ht="16" x14ac:dyDescent="0.2">
      <c r="A849" s="1" t="s">
        <v>4</v>
      </c>
      <c r="B849" t="str">
        <f>LEFT(Table13[[#This Row],[Input]],1)</f>
        <v>R</v>
      </c>
      <c r="C849">
        <f>_xlfn.LET(_xlpm.steps,SUBSTITUTE(Table13[[#This Row],[Input]],Table13[[#This Row],[Direction]],""),VALUE(IF(LEN(_xlpm.steps)&gt;2,RIGHT(_xlpm.steps,2),_xlpm.steps)))</f>
        <v>3</v>
      </c>
      <c r="D849">
        <f>_xlfn.LET(_xlpm.steps,SUBSTITUTE(Table13[[#This Row],[Input]],Table13[[#This Row],[Direction]],""),VALUE(IF(LEN(_xlpm.steps)&gt;2,LEFT(_xlpm.steps,LEN(_xlpm.steps)-2),0)))</f>
        <v>0</v>
      </c>
      <c r="E849">
        <f>_xlfn.LET(_xlpm.dir,Table13[[#This Row],[Direction]],
IF(_xlpm.dir="L",
    IF(G848-Table13[[#This Row],[Steps]]&lt;0,100+(G848-Table13[[#This Row],[Steps]]),G848-Table13[[#This Row],[Steps]]),
))</f>
        <v>0</v>
      </c>
      <c r="F849">
        <f>_xlfn.LET(_xlpm.dir,Table13[[#This Row],[Direction]],
IF(_xlpm.dir="R",
    IF(G848+Table13[[#This Row],[Steps]]&gt;99,(G848+Table13[[#This Row],[Steps]])-100,G848+Table13[[#This Row],[Steps]]),
))</f>
        <v>3</v>
      </c>
      <c r="G849">
        <f>IF(Table13[[#This Row],[New Pos L]]&lt;&gt;0,Table13[[#This Row],[New Pos L]],Table13[[#This Row],[New Pos R]])</f>
        <v>3</v>
      </c>
      <c r="H849">
        <f>IF(AND(Table13[[#This Row],[Direction]]="L",Table13[[#This Row],[Steps]]&gt;G848,G848&lt;&gt;0),1,0)</f>
        <v>0</v>
      </c>
      <c r="I849">
        <f>IF(AND(Table13[[#This Row],[Direction]]="R",(G848+Table13[[#This Row],[Steps]])&gt;100),1,0)</f>
        <v>0</v>
      </c>
      <c r="J849">
        <f>IF(Table13[[#This Row],[POS]]=0,1,0)</f>
        <v>0</v>
      </c>
      <c r="K849">
        <f>SUM(Table13[[#This Row],[prefix]],Table13[[#This Row],[Past zero L]],Table13[[#This Row],[Past Zero R]],Table13[[#This Row],[Is Zero]])</f>
        <v>0</v>
      </c>
    </row>
    <row r="850" spans="1:11" ht="16" x14ac:dyDescent="0.2">
      <c r="A850" s="1" t="s">
        <v>296</v>
      </c>
      <c r="B850" t="str">
        <f>LEFT(Table13[[#This Row],[Input]],1)</f>
        <v>R</v>
      </c>
      <c r="C850">
        <f>_xlfn.LET(_xlpm.steps,SUBSTITUTE(Table13[[#This Row],[Input]],Table13[[#This Row],[Direction]],""),VALUE(IF(LEN(_xlpm.steps)&gt;2,RIGHT(_xlpm.steps,2),_xlpm.steps)))</f>
        <v>19</v>
      </c>
      <c r="D850">
        <f>_xlfn.LET(_xlpm.steps,SUBSTITUTE(Table13[[#This Row],[Input]],Table13[[#This Row],[Direction]],""),VALUE(IF(LEN(_xlpm.steps)&gt;2,LEFT(_xlpm.steps,LEN(_xlpm.steps)-2),0)))</f>
        <v>0</v>
      </c>
      <c r="E850">
        <f>_xlfn.LET(_xlpm.dir,Table13[[#This Row],[Direction]],
IF(_xlpm.dir="L",
    IF(G849-Table13[[#This Row],[Steps]]&lt;0,100+(G849-Table13[[#This Row],[Steps]]),G849-Table13[[#This Row],[Steps]]),
))</f>
        <v>0</v>
      </c>
      <c r="F850">
        <f>_xlfn.LET(_xlpm.dir,Table13[[#This Row],[Direction]],
IF(_xlpm.dir="R",
    IF(G849+Table13[[#This Row],[Steps]]&gt;99,(G849+Table13[[#This Row],[Steps]])-100,G849+Table13[[#This Row],[Steps]]),
))</f>
        <v>22</v>
      </c>
      <c r="G850">
        <f>IF(Table13[[#This Row],[New Pos L]]&lt;&gt;0,Table13[[#This Row],[New Pos L]],Table13[[#This Row],[New Pos R]])</f>
        <v>22</v>
      </c>
      <c r="H850">
        <f>IF(AND(Table13[[#This Row],[Direction]]="L",Table13[[#This Row],[Steps]]&gt;G849,G849&lt;&gt;0),1,0)</f>
        <v>0</v>
      </c>
      <c r="I850">
        <f>IF(AND(Table13[[#This Row],[Direction]]="R",(G849+Table13[[#This Row],[Steps]])&gt;100),1,0)</f>
        <v>0</v>
      </c>
      <c r="J850">
        <f>IF(Table13[[#This Row],[POS]]=0,1,0)</f>
        <v>0</v>
      </c>
      <c r="K850">
        <f>SUM(Table13[[#This Row],[prefix]],Table13[[#This Row],[Past zero L]],Table13[[#This Row],[Past Zero R]],Table13[[#This Row],[Is Zero]])</f>
        <v>0</v>
      </c>
    </row>
    <row r="851" spans="1:11" ht="16" x14ac:dyDescent="0.2">
      <c r="A851" s="1" t="s">
        <v>38</v>
      </c>
      <c r="B851" t="str">
        <f>LEFT(Table13[[#This Row],[Input]],1)</f>
        <v>R</v>
      </c>
      <c r="C851">
        <f>_xlfn.LET(_xlpm.steps,SUBSTITUTE(Table13[[#This Row],[Input]],Table13[[#This Row],[Direction]],""),VALUE(IF(LEN(_xlpm.steps)&gt;2,RIGHT(_xlpm.steps,2),_xlpm.steps)))</f>
        <v>15</v>
      </c>
      <c r="D851">
        <f>_xlfn.LET(_xlpm.steps,SUBSTITUTE(Table13[[#This Row],[Input]],Table13[[#This Row],[Direction]],""),VALUE(IF(LEN(_xlpm.steps)&gt;2,LEFT(_xlpm.steps,LEN(_xlpm.steps)-2),0)))</f>
        <v>0</v>
      </c>
      <c r="E851">
        <f>_xlfn.LET(_xlpm.dir,Table13[[#This Row],[Direction]],
IF(_xlpm.dir="L",
    IF(G850-Table13[[#This Row],[Steps]]&lt;0,100+(G850-Table13[[#This Row],[Steps]]),G850-Table13[[#This Row],[Steps]]),
))</f>
        <v>0</v>
      </c>
      <c r="F851">
        <f>_xlfn.LET(_xlpm.dir,Table13[[#This Row],[Direction]],
IF(_xlpm.dir="R",
    IF(G850+Table13[[#This Row],[Steps]]&gt;99,(G850+Table13[[#This Row],[Steps]])-100,G850+Table13[[#This Row],[Steps]]),
))</f>
        <v>37</v>
      </c>
      <c r="G851">
        <f>IF(Table13[[#This Row],[New Pos L]]&lt;&gt;0,Table13[[#This Row],[New Pos L]],Table13[[#This Row],[New Pos R]])</f>
        <v>37</v>
      </c>
      <c r="H851">
        <f>IF(AND(Table13[[#This Row],[Direction]]="L",Table13[[#This Row],[Steps]]&gt;G850,G850&lt;&gt;0),1,0)</f>
        <v>0</v>
      </c>
      <c r="I851">
        <f>IF(AND(Table13[[#This Row],[Direction]]="R",(G850+Table13[[#This Row],[Steps]])&gt;100),1,0)</f>
        <v>0</v>
      </c>
      <c r="J851">
        <f>IF(Table13[[#This Row],[POS]]=0,1,0)</f>
        <v>0</v>
      </c>
      <c r="K851">
        <f>SUM(Table13[[#This Row],[prefix]],Table13[[#This Row],[Past zero L]],Table13[[#This Row],[Past Zero R]],Table13[[#This Row],[Is Zero]])</f>
        <v>0</v>
      </c>
    </row>
    <row r="852" spans="1:11" ht="16" x14ac:dyDescent="0.2">
      <c r="A852" s="1" t="s">
        <v>329</v>
      </c>
      <c r="B852" t="str">
        <f>LEFT(Table13[[#This Row],[Input]],1)</f>
        <v>R</v>
      </c>
      <c r="C852">
        <f>_xlfn.LET(_xlpm.steps,SUBSTITUTE(Table13[[#This Row],[Input]],Table13[[#This Row],[Direction]],""),VALUE(IF(LEN(_xlpm.steps)&gt;2,RIGHT(_xlpm.steps,2),_xlpm.steps)))</f>
        <v>33</v>
      </c>
      <c r="D852">
        <f>_xlfn.LET(_xlpm.steps,SUBSTITUTE(Table13[[#This Row],[Input]],Table13[[#This Row],[Direction]],""),VALUE(IF(LEN(_xlpm.steps)&gt;2,LEFT(_xlpm.steps,LEN(_xlpm.steps)-2),0)))</f>
        <v>9</v>
      </c>
      <c r="E852">
        <f>_xlfn.LET(_xlpm.dir,Table13[[#This Row],[Direction]],
IF(_xlpm.dir="L",
    IF(G851-Table13[[#This Row],[Steps]]&lt;0,100+(G851-Table13[[#This Row],[Steps]]),G851-Table13[[#This Row],[Steps]]),
))</f>
        <v>0</v>
      </c>
      <c r="F852">
        <f>_xlfn.LET(_xlpm.dir,Table13[[#This Row],[Direction]],
IF(_xlpm.dir="R",
    IF(G851+Table13[[#This Row],[Steps]]&gt;99,(G851+Table13[[#This Row],[Steps]])-100,G851+Table13[[#This Row],[Steps]]),
))</f>
        <v>70</v>
      </c>
      <c r="G852">
        <f>IF(Table13[[#This Row],[New Pos L]]&lt;&gt;0,Table13[[#This Row],[New Pos L]],Table13[[#This Row],[New Pos R]])</f>
        <v>70</v>
      </c>
      <c r="H852">
        <f>IF(AND(Table13[[#This Row],[Direction]]="L",Table13[[#This Row],[Steps]]&gt;G851,G851&lt;&gt;0),1,0)</f>
        <v>0</v>
      </c>
      <c r="I852">
        <f>IF(AND(Table13[[#This Row],[Direction]]="R",(G851+Table13[[#This Row],[Steps]])&gt;100),1,0)</f>
        <v>0</v>
      </c>
      <c r="J852">
        <f>IF(Table13[[#This Row],[POS]]=0,1,0)</f>
        <v>0</v>
      </c>
      <c r="K852">
        <f>SUM(Table13[[#This Row],[prefix]],Table13[[#This Row],[Past zero L]],Table13[[#This Row],[Past Zero R]],Table13[[#This Row],[Is Zero]])</f>
        <v>9</v>
      </c>
    </row>
    <row r="853" spans="1:11" ht="16" x14ac:dyDescent="0.2">
      <c r="A853" s="1" t="s">
        <v>47</v>
      </c>
      <c r="B853" t="str">
        <f>LEFT(Table13[[#This Row],[Input]],1)</f>
        <v>R</v>
      </c>
      <c r="C853">
        <f>_xlfn.LET(_xlpm.steps,SUBSTITUTE(Table13[[#This Row],[Input]],Table13[[#This Row],[Direction]],""),VALUE(IF(LEN(_xlpm.steps)&gt;2,RIGHT(_xlpm.steps,2),_xlpm.steps)))</f>
        <v>97</v>
      </c>
      <c r="D853">
        <f>_xlfn.LET(_xlpm.steps,SUBSTITUTE(Table13[[#This Row],[Input]],Table13[[#This Row],[Direction]],""),VALUE(IF(LEN(_xlpm.steps)&gt;2,LEFT(_xlpm.steps,LEN(_xlpm.steps)-2),0)))</f>
        <v>0</v>
      </c>
      <c r="E853">
        <f>_xlfn.LET(_xlpm.dir,Table13[[#This Row],[Direction]],
IF(_xlpm.dir="L",
    IF(G852-Table13[[#This Row],[Steps]]&lt;0,100+(G852-Table13[[#This Row],[Steps]]),G852-Table13[[#This Row],[Steps]]),
))</f>
        <v>0</v>
      </c>
      <c r="F853">
        <f>_xlfn.LET(_xlpm.dir,Table13[[#This Row],[Direction]],
IF(_xlpm.dir="R",
    IF(G852+Table13[[#This Row],[Steps]]&gt;99,(G852+Table13[[#This Row],[Steps]])-100,G852+Table13[[#This Row],[Steps]]),
))</f>
        <v>67</v>
      </c>
      <c r="G853">
        <f>IF(Table13[[#This Row],[New Pos L]]&lt;&gt;0,Table13[[#This Row],[New Pos L]],Table13[[#This Row],[New Pos R]])</f>
        <v>67</v>
      </c>
      <c r="H853">
        <f>IF(AND(Table13[[#This Row],[Direction]]="L",Table13[[#This Row],[Steps]]&gt;G852,G852&lt;&gt;0),1,0)</f>
        <v>0</v>
      </c>
      <c r="I853">
        <f>IF(AND(Table13[[#This Row],[Direction]]="R",(G852+Table13[[#This Row],[Steps]])&gt;100),1,0)</f>
        <v>1</v>
      </c>
      <c r="J853">
        <f>IF(Table13[[#This Row],[POS]]=0,1,0)</f>
        <v>0</v>
      </c>
      <c r="K853">
        <f>SUM(Table13[[#This Row],[prefix]],Table13[[#This Row],[Past zero L]],Table13[[#This Row],[Past Zero R]],Table13[[#This Row],[Is Zero]])</f>
        <v>1</v>
      </c>
    </row>
    <row r="854" spans="1:11" ht="16" x14ac:dyDescent="0.2">
      <c r="A854" s="1" t="s">
        <v>183</v>
      </c>
      <c r="B854" t="str">
        <f>LEFT(Table13[[#This Row],[Input]],1)</f>
        <v>L</v>
      </c>
      <c r="C854">
        <f>_xlfn.LET(_xlpm.steps,SUBSTITUTE(Table13[[#This Row],[Input]],Table13[[#This Row],[Direction]],""),VALUE(IF(LEN(_xlpm.steps)&gt;2,RIGHT(_xlpm.steps,2),_xlpm.steps)))</f>
        <v>67</v>
      </c>
      <c r="D854">
        <f>_xlfn.LET(_xlpm.steps,SUBSTITUTE(Table13[[#This Row],[Input]],Table13[[#This Row],[Direction]],""),VALUE(IF(LEN(_xlpm.steps)&gt;2,LEFT(_xlpm.steps,LEN(_xlpm.steps)-2),0)))</f>
        <v>0</v>
      </c>
      <c r="E854">
        <f>_xlfn.LET(_xlpm.dir,Table13[[#This Row],[Direction]],
IF(_xlpm.dir="L",
    IF(G853-Table13[[#This Row],[Steps]]&lt;0,100+(G853-Table13[[#This Row],[Steps]]),G853-Table13[[#This Row],[Steps]]),
))</f>
        <v>0</v>
      </c>
      <c r="F854">
        <f>_xlfn.LET(_xlpm.dir,Table13[[#This Row],[Direction]],
IF(_xlpm.dir="R",
    IF(G853+Table13[[#This Row],[Steps]]&gt;99,(G853+Table13[[#This Row],[Steps]])-100,G853+Table13[[#This Row],[Steps]]),
))</f>
        <v>0</v>
      </c>
      <c r="G854">
        <f>IF(Table13[[#This Row],[New Pos L]]&lt;&gt;0,Table13[[#This Row],[New Pos L]],Table13[[#This Row],[New Pos R]])</f>
        <v>0</v>
      </c>
      <c r="H854">
        <f>IF(AND(Table13[[#This Row],[Direction]]="L",Table13[[#This Row],[Steps]]&gt;G853,G853&lt;&gt;0),1,0)</f>
        <v>0</v>
      </c>
      <c r="I854">
        <f>IF(AND(Table13[[#This Row],[Direction]]="R",(G853+Table13[[#This Row],[Steps]])&gt;100),1,0)</f>
        <v>0</v>
      </c>
      <c r="J854">
        <f>IF(Table13[[#This Row],[POS]]=0,1,0)</f>
        <v>1</v>
      </c>
      <c r="K854">
        <f>SUM(Table13[[#This Row],[prefix]],Table13[[#This Row],[Past zero L]],Table13[[#This Row],[Past Zero R]],Table13[[#This Row],[Is Zero]])</f>
        <v>1</v>
      </c>
    </row>
    <row r="855" spans="1:11" ht="16" x14ac:dyDescent="0.2">
      <c r="A855" s="1" t="s">
        <v>57</v>
      </c>
      <c r="B855" t="str">
        <f>LEFT(Table13[[#This Row],[Input]],1)</f>
        <v>R</v>
      </c>
      <c r="C855">
        <f>_xlfn.LET(_xlpm.steps,SUBSTITUTE(Table13[[#This Row],[Input]],Table13[[#This Row],[Direction]],""),VALUE(IF(LEN(_xlpm.steps)&gt;2,RIGHT(_xlpm.steps,2),_xlpm.steps)))</f>
        <v>29</v>
      </c>
      <c r="D855">
        <f>_xlfn.LET(_xlpm.steps,SUBSTITUTE(Table13[[#This Row],[Input]],Table13[[#This Row],[Direction]],""),VALUE(IF(LEN(_xlpm.steps)&gt;2,LEFT(_xlpm.steps,LEN(_xlpm.steps)-2),0)))</f>
        <v>0</v>
      </c>
      <c r="E855">
        <f>_xlfn.LET(_xlpm.dir,Table13[[#This Row],[Direction]],
IF(_xlpm.dir="L",
    IF(G854-Table13[[#This Row],[Steps]]&lt;0,100+(G854-Table13[[#This Row],[Steps]]),G854-Table13[[#This Row],[Steps]]),
))</f>
        <v>0</v>
      </c>
      <c r="F855">
        <f>_xlfn.LET(_xlpm.dir,Table13[[#This Row],[Direction]],
IF(_xlpm.dir="R",
    IF(G854+Table13[[#This Row],[Steps]]&gt;99,(G854+Table13[[#This Row],[Steps]])-100,G854+Table13[[#This Row],[Steps]]),
))</f>
        <v>29</v>
      </c>
      <c r="G855">
        <f>IF(Table13[[#This Row],[New Pos L]]&lt;&gt;0,Table13[[#This Row],[New Pos L]],Table13[[#This Row],[New Pos R]])</f>
        <v>29</v>
      </c>
      <c r="H855">
        <f>IF(AND(Table13[[#This Row],[Direction]]="L",Table13[[#This Row],[Steps]]&gt;G854,G854&lt;&gt;0),1,0)</f>
        <v>0</v>
      </c>
      <c r="I855">
        <f>IF(AND(Table13[[#This Row],[Direction]]="R",(G854+Table13[[#This Row],[Steps]])&gt;100),1,0)</f>
        <v>0</v>
      </c>
      <c r="J855">
        <f>IF(Table13[[#This Row],[POS]]=0,1,0)</f>
        <v>0</v>
      </c>
      <c r="K855">
        <f>SUM(Table13[[#This Row],[prefix]],Table13[[#This Row],[Past zero L]],Table13[[#This Row],[Past Zero R]],Table13[[#This Row],[Is Zero]])</f>
        <v>0</v>
      </c>
    </row>
    <row r="856" spans="1:11" ht="16" x14ac:dyDescent="0.2">
      <c r="A856" s="1" t="s">
        <v>174</v>
      </c>
      <c r="B856" t="str">
        <f>LEFT(Table13[[#This Row],[Input]],1)</f>
        <v>L</v>
      </c>
      <c r="C856">
        <f>_xlfn.LET(_xlpm.steps,SUBSTITUTE(Table13[[#This Row],[Input]],Table13[[#This Row],[Direction]],""),VALUE(IF(LEN(_xlpm.steps)&gt;2,RIGHT(_xlpm.steps,2),_xlpm.steps)))</f>
        <v>92</v>
      </c>
      <c r="D856">
        <f>_xlfn.LET(_xlpm.steps,SUBSTITUTE(Table13[[#This Row],[Input]],Table13[[#This Row],[Direction]],""),VALUE(IF(LEN(_xlpm.steps)&gt;2,LEFT(_xlpm.steps,LEN(_xlpm.steps)-2),0)))</f>
        <v>0</v>
      </c>
      <c r="E856">
        <f>_xlfn.LET(_xlpm.dir,Table13[[#This Row],[Direction]],
IF(_xlpm.dir="L",
    IF(G855-Table13[[#This Row],[Steps]]&lt;0,100+(G855-Table13[[#This Row],[Steps]]),G855-Table13[[#This Row],[Steps]]),
))</f>
        <v>37</v>
      </c>
      <c r="F856">
        <f>_xlfn.LET(_xlpm.dir,Table13[[#This Row],[Direction]],
IF(_xlpm.dir="R",
    IF(G855+Table13[[#This Row],[Steps]]&gt;99,(G855+Table13[[#This Row],[Steps]])-100,G855+Table13[[#This Row],[Steps]]),
))</f>
        <v>0</v>
      </c>
      <c r="G856">
        <f>IF(Table13[[#This Row],[New Pos L]]&lt;&gt;0,Table13[[#This Row],[New Pos L]],Table13[[#This Row],[New Pos R]])</f>
        <v>37</v>
      </c>
      <c r="H856">
        <f>IF(AND(Table13[[#This Row],[Direction]]="L",Table13[[#This Row],[Steps]]&gt;G855,G855&lt;&gt;0),1,0)</f>
        <v>1</v>
      </c>
      <c r="I856">
        <f>IF(AND(Table13[[#This Row],[Direction]]="R",(G855+Table13[[#This Row],[Steps]])&gt;100),1,0)</f>
        <v>0</v>
      </c>
      <c r="J856">
        <f>IF(Table13[[#This Row],[POS]]=0,1,0)</f>
        <v>0</v>
      </c>
      <c r="K856">
        <f>SUM(Table13[[#This Row],[prefix]],Table13[[#This Row],[Past zero L]],Table13[[#This Row],[Past Zero R]],Table13[[#This Row],[Is Zero]])</f>
        <v>1</v>
      </c>
    </row>
    <row r="857" spans="1:11" ht="16" x14ac:dyDescent="0.2">
      <c r="A857" s="1" t="s">
        <v>141</v>
      </c>
      <c r="B857" t="str">
        <f>LEFT(Table13[[#This Row],[Input]],1)</f>
        <v>L</v>
      </c>
      <c r="C857">
        <f>_xlfn.LET(_xlpm.steps,SUBSTITUTE(Table13[[#This Row],[Input]],Table13[[#This Row],[Direction]],""),VALUE(IF(LEN(_xlpm.steps)&gt;2,RIGHT(_xlpm.steps,2),_xlpm.steps)))</f>
        <v>90</v>
      </c>
      <c r="D857">
        <f>_xlfn.LET(_xlpm.steps,SUBSTITUTE(Table13[[#This Row],[Input]],Table13[[#This Row],[Direction]],""),VALUE(IF(LEN(_xlpm.steps)&gt;2,LEFT(_xlpm.steps,LEN(_xlpm.steps)-2),0)))</f>
        <v>0</v>
      </c>
      <c r="E857">
        <f>_xlfn.LET(_xlpm.dir,Table13[[#This Row],[Direction]],
IF(_xlpm.dir="L",
    IF(G856-Table13[[#This Row],[Steps]]&lt;0,100+(G856-Table13[[#This Row],[Steps]]),G856-Table13[[#This Row],[Steps]]),
))</f>
        <v>47</v>
      </c>
      <c r="F857">
        <f>_xlfn.LET(_xlpm.dir,Table13[[#This Row],[Direction]],
IF(_xlpm.dir="R",
    IF(G856+Table13[[#This Row],[Steps]]&gt;99,(G856+Table13[[#This Row],[Steps]])-100,G856+Table13[[#This Row],[Steps]]),
))</f>
        <v>0</v>
      </c>
      <c r="G857">
        <f>IF(Table13[[#This Row],[New Pos L]]&lt;&gt;0,Table13[[#This Row],[New Pos L]],Table13[[#This Row],[New Pos R]])</f>
        <v>47</v>
      </c>
      <c r="H857">
        <f>IF(AND(Table13[[#This Row],[Direction]]="L",Table13[[#This Row],[Steps]]&gt;G856,G856&lt;&gt;0),1,0)</f>
        <v>1</v>
      </c>
      <c r="I857">
        <f>IF(AND(Table13[[#This Row],[Direction]]="R",(G856+Table13[[#This Row],[Steps]])&gt;100),1,0)</f>
        <v>0</v>
      </c>
      <c r="J857">
        <f>IF(Table13[[#This Row],[POS]]=0,1,0)</f>
        <v>0</v>
      </c>
      <c r="K857">
        <f>SUM(Table13[[#This Row],[prefix]],Table13[[#This Row],[Past zero L]],Table13[[#This Row],[Past Zero R]],Table13[[#This Row],[Is Zero]])</f>
        <v>1</v>
      </c>
    </row>
    <row r="858" spans="1:11" ht="16" x14ac:dyDescent="0.2">
      <c r="A858" s="1" t="s">
        <v>330</v>
      </c>
      <c r="B858" t="str">
        <f>LEFT(Table13[[#This Row],[Input]],1)</f>
        <v>L</v>
      </c>
      <c r="C858">
        <f>_xlfn.LET(_xlpm.steps,SUBSTITUTE(Table13[[#This Row],[Input]],Table13[[#This Row],[Direction]],""),VALUE(IF(LEN(_xlpm.steps)&gt;2,RIGHT(_xlpm.steps,2),_xlpm.steps)))</f>
        <v>47</v>
      </c>
      <c r="D858">
        <f>_xlfn.LET(_xlpm.steps,SUBSTITUTE(Table13[[#This Row],[Input]],Table13[[#This Row],[Direction]],""),VALUE(IF(LEN(_xlpm.steps)&gt;2,LEFT(_xlpm.steps,LEN(_xlpm.steps)-2),0)))</f>
        <v>0</v>
      </c>
      <c r="E858">
        <f>_xlfn.LET(_xlpm.dir,Table13[[#This Row],[Direction]],
IF(_xlpm.dir="L",
    IF(G857-Table13[[#This Row],[Steps]]&lt;0,100+(G857-Table13[[#This Row],[Steps]]),G857-Table13[[#This Row],[Steps]]),
))</f>
        <v>0</v>
      </c>
      <c r="F858">
        <f>_xlfn.LET(_xlpm.dir,Table13[[#This Row],[Direction]],
IF(_xlpm.dir="R",
    IF(G857+Table13[[#This Row],[Steps]]&gt;99,(G857+Table13[[#This Row],[Steps]])-100,G857+Table13[[#This Row],[Steps]]),
))</f>
        <v>0</v>
      </c>
      <c r="G858">
        <f>IF(Table13[[#This Row],[New Pos L]]&lt;&gt;0,Table13[[#This Row],[New Pos L]],Table13[[#This Row],[New Pos R]])</f>
        <v>0</v>
      </c>
      <c r="H858">
        <f>IF(AND(Table13[[#This Row],[Direction]]="L",Table13[[#This Row],[Steps]]&gt;G857,G857&lt;&gt;0),1,0)</f>
        <v>0</v>
      </c>
      <c r="I858">
        <f>IF(AND(Table13[[#This Row],[Direction]]="R",(G857+Table13[[#This Row],[Steps]])&gt;100),1,0)</f>
        <v>0</v>
      </c>
      <c r="J858">
        <f>IF(Table13[[#This Row],[POS]]=0,1,0)</f>
        <v>1</v>
      </c>
      <c r="K858">
        <f>SUM(Table13[[#This Row],[prefix]],Table13[[#This Row],[Past zero L]],Table13[[#This Row],[Past Zero R]],Table13[[#This Row],[Is Zero]])</f>
        <v>1</v>
      </c>
    </row>
    <row r="859" spans="1:11" ht="16" x14ac:dyDescent="0.2">
      <c r="A859" s="1" t="s">
        <v>26</v>
      </c>
      <c r="B859" t="str">
        <f>LEFT(Table13[[#This Row],[Input]],1)</f>
        <v>R</v>
      </c>
      <c r="C859">
        <f>_xlfn.LET(_xlpm.steps,SUBSTITUTE(Table13[[#This Row],[Input]],Table13[[#This Row],[Direction]],""),VALUE(IF(LEN(_xlpm.steps)&gt;2,RIGHT(_xlpm.steps,2),_xlpm.steps)))</f>
        <v>6</v>
      </c>
      <c r="D859">
        <f>_xlfn.LET(_xlpm.steps,SUBSTITUTE(Table13[[#This Row],[Input]],Table13[[#This Row],[Direction]],""),VALUE(IF(LEN(_xlpm.steps)&gt;2,LEFT(_xlpm.steps,LEN(_xlpm.steps)-2),0)))</f>
        <v>0</v>
      </c>
      <c r="E859">
        <f>_xlfn.LET(_xlpm.dir,Table13[[#This Row],[Direction]],
IF(_xlpm.dir="L",
    IF(G858-Table13[[#This Row],[Steps]]&lt;0,100+(G858-Table13[[#This Row],[Steps]]),G858-Table13[[#This Row],[Steps]]),
))</f>
        <v>0</v>
      </c>
      <c r="F859">
        <f>_xlfn.LET(_xlpm.dir,Table13[[#This Row],[Direction]],
IF(_xlpm.dir="R",
    IF(G858+Table13[[#This Row],[Steps]]&gt;99,(G858+Table13[[#This Row],[Steps]])-100,G858+Table13[[#This Row],[Steps]]),
))</f>
        <v>6</v>
      </c>
      <c r="G859">
        <f>IF(Table13[[#This Row],[New Pos L]]&lt;&gt;0,Table13[[#This Row],[New Pos L]],Table13[[#This Row],[New Pos R]])</f>
        <v>6</v>
      </c>
      <c r="H859">
        <f>IF(AND(Table13[[#This Row],[Direction]]="L",Table13[[#This Row],[Steps]]&gt;G858,G858&lt;&gt;0),1,0)</f>
        <v>0</v>
      </c>
      <c r="I859">
        <f>IF(AND(Table13[[#This Row],[Direction]]="R",(G858+Table13[[#This Row],[Steps]])&gt;100),1,0)</f>
        <v>0</v>
      </c>
      <c r="J859">
        <f>IF(Table13[[#This Row],[POS]]=0,1,0)</f>
        <v>0</v>
      </c>
      <c r="K859">
        <f>SUM(Table13[[#This Row],[prefix]],Table13[[#This Row],[Past zero L]],Table13[[#This Row],[Past Zero R]],Table13[[#This Row],[Is Zero]])</f>
        <v>0</v>
      </c>
    </row>
    <row r="860" spans="1:11" ht="16" x14ac:dyDescent="0.2">
      <c r="A860" s="1" t="s">
        <v>209</v>
      </c>
      <c r="B860" t="str">
        <f>LEFT(Table13[[#This Row],[Input]],1)</f>
        <v>L</v>
      </c>
      <c r="C860">
        <f>_xlfn.LET(_xlpm.steps,SUBSTITUTE(Table13[[#This Row],[Input]],Table13[[#This Row],[Direction]],""),VALUE(IF(LEN(_xlpm.steps)&gt;2,RIGHT(_xlpm.steps,2),_xlpm.steps)))</f>
        <v>86</v>
      </c>
      <c r="D860">
        <f>_xlfn.LET(_xlpm.steps,SUBSTITUTE(Table13[[#This Row],[Input]],Table13[[#This Row],[Direction]],""),VALUE(IF(LEN(_xlpm.steps)&gt;2,LEFT(_xlpm.steps,LEN(_xlpm.steps)-2),0)))</f>
        <v>0</v>
      </c>
      <c r="E860">
        <f>_xlfn.LET(_xlpm.dir,Table13[[#This Row],[Direction]],
IF(_xlpm.dir="L",
    IF(G859-Table13[[#This Row],[Steps]]&lt;0,100+(G859-Table13[[#This Row],[Steps]]),G859-Table13[[#This Row],[Steps]]),
))</f>
        <v>20</v>
      </c>
      <c r="F860">
        <f>_xlfn.LET(_xlpm.dir,Table13[[#This Row],[Direction]],
IF(_xlpm.dir="R",
    IF(G859+Table13[[#This Row],[Steps]]&gt;99,(G859+Table13[[#This Row],[Steps]])-100,G859+Table13[[#This Row],[Steps]]),
))</f>
        <v>0</v>
      </c>
      <c r="G860">
        <f>IF(Table13[[#This Row],[New Pos L]]&lt;&gt;0,Table13[[#This Row],[New Pos L]],Table13[[#This Row],[New Pos R]])</f>
        <v>20</v>
      </c>
      <c r="H860">
        <f>IF(AND(Table13[[#This Row],[Direction]]="L",Table13[[#This Row],[Steps]]&gt;G859,G859&lt;&gt;0),1,0)</f>
        <v>1</v>
      </c>
      <c r="I860">
        <f>IF(AND(Table13[[#This Row],[Direction]]="R",(G859+Table13[[#This Row],[Steps]])&gt;100),1,0)</f>
        <v>0</v>
      </c>
      <c r="J860">
        <f>IF(Table13[[#This Row],[POS]]=0,1,0)</f>
        <v>0</v>
      </c>
      <c r="K860">
        <f>SUM(Table13[[#This Row],[prefix]],Table13[[#This Row],[Past zero L]],Table13[[#This Row],[Past Zero R]],Table13[[#This Row],[Is Zero]])</f>
        <v>1</v>
      </c>
    </row>
    <row r="861" spans="1:11" ht="16" x14ac:dyDescent="0.2">
      <c r="A861" s="1" t="s">
        <v>331</v>
      </c>
      <c r="B861" t="str">
        <f>LEFT(Table13[[#This Row],[Input]],1)</f>
        <v>R</v>
      </c>
      <c r="C861">
        <f>_xlfn.LET(_xlpm.steps,SUBSTITUTE(Table13[[#This Row],[Input]],Table13[[#This Row],[Direction]],""),VALUE(IF(LEN(_xlpm.steps)&gt;2,RIGHT(_xlpm.steps,2),_xlpm.steps)))</f>
        <v>80</v>
      </c>
      <c r="D861">
        <f>_xlfn.LET(_xlpm.steps,SUBSTITUTE(Table13[[#This Row],[Input]],Table13[[#This Row],[Direction]],""),VALUE(IF(LEN(_xlpm.steps)&gt;2,LEFT(_xlpm.steps,LEN(_xlpm.steps)-2),0)))</f>
        <v>6</v>
      </c>
      <c r="E861">
        <f>_xlfn.LET(_xlpm.dir,Table13[[#This Row],[Direction]],
IF(_xlpm.dir="L",
    IF(G860-Table13[[#This Row],[Steps]]&lt;0,100+(G860-Table13[[#This Row],[Steps]]),G860-Table13[[#This Row],[Steps]]),
))</f>
        <v>0</v>
      </c>
      <c r="F861">
        <f>_xlfn.LET(_xlpm.dir,Table13[[#This Row],[Direction]],
IF(_xlpm.dir="R",
    IF(G860+Table13[[#This Row],[Steps]]&gt;99,(G860+Table13[[#This Row],[Steps]])-100,G860+Table13[[#This Row],[Steps]]),
))</f>
        <v>0</v>
      </c>
      <c r="G861">
        <f>IF(Table13[[#This Row],[New Pos L]]&lt;&gt;0,Table13[[#This Row],[New Pos L]],Table13[[#This Row],[New Pos R]])</f>
        <v>0</v>
      </c>
      <c r="H861">
        <f>IF(AND(Table13[[#This Row],[Direction]]="L",Table13[[#This Row],[Steps]]&gt;G860,G860&lt;&gt;0),1,0)</f>
        <v>0</v>
      </c>
      <c r="I861">
        <f>IF(AND(Table13[[#This Row],[Direction]]="R",(G860+Table13[[#This Row],[Steps]])&gt;100),1,0)</f>
        <v>0</v>
      </c>
      <c r="J861">
        <f>IF(Table13[[#This Row],[POS]]=0,1,0)</f>
        <v>1</v>
      </c>
      <c r="K861">
        <f>SUM(Table13[[#This Row],[prefix]],Table13[[#This Row],[Past zero L]],Table13[[#This Row],[Past Zero R]],Table13[[#This Row],[Is Zero]])</f>
        <v>7</v>
      </c>
    </row>
    <row r="862" spans="1:11" ht="16" x14ac:dyDescent="0.2">
      <c r="A862" s="1" t="s">
        <v>212</v>
      </c>
      <c r="B862" t="str">
        <f>LEFT(Table13[[#This Row],[Input]],1)</f>
        <v>R</v>
      </c>
      <c r="C862">
        <f>_xlfn.LET(_xlpm.steps,SUBSTITUTE(Table13[[#This Row],[Input]],Table13[[#This Row],[Direction]],""),VALUE(IF(LEN(_xlpm.steps)&gt;2,RIGHT(_xlpm.steps,2),_xlpm.steps)))</f>
        <v>77</v>
      </c>
      <c r="D862">
        <f>_xlfn.LET(_xlpm.steps,SUBSTITUTE(Table13[[#This Row],[Input]],Table13[[#This Row],[Direction]],""),VALUE(IF(LEN(_xlpm.steps)&gt;2,LEFT(_xlpm.steps,LEN(_xlpm.steps)-2),0)))</f>
        <v>0</v>
      </c>
      <c r="E862">
        <f>_xlfn.LET(_xlpm.dir,Table13[[#This Row],[Direction]],
IF(_xlpm.dir="L",
    IF(G861-Table13[[#This Row],[Steps]]&lt;0,100+(G861-Table13[[#This Row],[Steps]]),G861-Table13[[#This Row],[Steps]]),
))</f>
        <v>0</v>
      </c>
      <c r="F862">
        <f>_xlfn.LET(_xlpm.dir,Table13[[#This Row],[Direction]],
IF(_xlpm.dir="R",
    IF(G861+Table13[[#This Row],[Steps]]&gt;99,(G861+Table13[[#This Row],[Steps]])-100,G861+Table13[[#This Row],[Steps]]),
))</f>
        <v>77</v>
      </c>
      <c r="G862">
        <f>IF(Table13[[#This Row],[New Pos L]]&lt;&gt;0,Table13[[#This Row],[New Pos L]],Table13[[#This Row],[New Pos R]])</f>
        <v>77</v>
      </c>
      <c r="H862">
        <f>IF(AND(Table13[[#This Row],[Direction]]="L",Table13[[#This Row],[Steps]]&gt;G861,G861&lt;&gt;0),1,0)</f>
        <v>0</v>
      </c>
      <c r="I862">
        <f>IF(AND(Table13[[#This Row],[Direction]]="R",(G861+Table13[[#This Row],[Steps]])&gt;100),1,0)</f>
        <v>0</v>
      </c>
      <c r="J862">
        <f>IF(Table13[[#This Row],[POS]]=0,1,0)</f>
        <v>0</v>
      </c>
      <c r="K862">
        <f>SUM(Table13[[#This Row],[prefix]],Table13[[#This Row],[Past zero L]],Table13[[#This Row],[Past Zero R]],Table13[[#This Row],[Is Zero]])</f>
        <v>0</v>
      </c>
    </row>
    <row r="863" spans="1:11" ht="16" x14ac:dyDescent="0.2">
      <c r="A863" s="1" t="s">
        <v>119</v>
      </c>
      <c r="B863" t="str">
        <f>LEFT(Table13[[#This Row],[Input]],1)</f>
        <v>L</v>
      </c>
      <c r="C863">
        <f>_xlfn.LET(_xlpm.steps,SUBSTITUTE(Table13[[#This Row],[Input]],Table13[[#This Row],[Direction]],""),VALUE(IF(LEN(_xlpm.steps)&gt;2,RIGHT(_xlpm.steps,2),_xlpm.steps)))</f>
        <v>77</v>
      </c>
      <c r="D863">
        <f>_xlfn.LET(_xlpm.steps,SUBSTITUTE(Table13[[#This Row],[Input]],Table13[[#This Row],[Direction]],""),VALUE(IF(LEN(_xlpm.steps)&gt;2,LEFT(_xlpm.steps,LEN(_xlpm.steps)-2),0)))</f>
        <v>0</v>
      </c>
      <c r="E863">
        <f>_xlfn.LET(_xlpm.dir,Table13[[#This Row],[Direction]],
IF(_xlpm.dir="L",
    IF(G862-Table13[[#This Row],[Steps]]&lt;0,100+(G862-Table13[[#This Row],[Steps]]),G862-Table13[[#This Row],[Steps]]),
))</f>
        <v>0</v>
      </c>
      <c r="F863">
        <f>_xlfn.LET(_xlpm.dir,Table13[[#This Row],[Direction]],
IF(_xlpm.dir="R",
    IF(G862+Table13[[#This Row],[Steps]]&gt;99,(G862+Table13[[#This Row],[Steps]])-100,G862+Table13[[#This Row],[Steps]]),
))</f>
        <v>0</v>
      </c>
      <c r="G863">
        <f>IF(Table13[[#This Row],[New Pos L]]&lt;&gt;0,Table13[[#This Row],[New Pos L]],Table13[[#This Row],[New Pos R]])</f>
        <v>0</v>
      </c>
      <c r="H863">
        <f>IF(AND(Table13[[#This Row],[Direction]]="L",Table13[[#This Row],[Steps]]&gt;G862,G862&lt;&gt;0),1,0)</f>
        <v>0</v>
      </c>
      <c r="I863">
        <f>IF(AND(Table13[[#This Row],[Direction]]="R",(G862+Table13[[#This Row],[Steps]])&gt;100),1,0)</f>
        <v>0</v>
      </c>
      <c r="J863">
        <f>IF(Table13[[#This Row],[POS]]=0,1,0)</f>
        <v>1</v>
      </c>
      <c r="K863">
        <f>SUM(Table13[[#This Row],[prefix]],Table13[[#This Row],[Past zero L]],Table13[[#This Row],[Past Zero R]],Table13[[#This Row],[Is Zero]])</f>
        <v>1</v>
      </c>
    </row>
    <row r="864" spans="1:11" ht="16" x14ac:dyDescent="0.2">
      <c r="A864" s="1" t="s">
        <v>136</v>
      </c>
      <c r="B864" t="str">
        <f>LEFT(Table13[[#This Row],[Input]],1)</f>
        <v>L</v>
      </c>
      <c r="C864">
        <f>_xlfn.LET(_xlpm.steps,SUBSTITUTE(Table13[[#This Row],[Input]],Table13[[#This Row],[Direction]],""),VALUE(IF(LEN(_xlpm.steps)&gt;2,RIGHT(_xlpm.steps,2),_xlpm.steps)))</f>
        <v>72</v>
      </c>
      <c r="D864">
        <f>_xlfn.LET(_xlpm.steps,SUBSTITUTE(Table13[[#This Row],[Input]],Table13[[#This Row],[Direction]],""),VALUE(IF(LEN(_xlpm.steps)&gt;2,LEFT(_xlpm.steps,LEN(_xlpm.steps)-2),0)))</f>
        <v>0</v>
      </c>
      <c r="E864">
        <f>_xlfn.LET(_xlpm.dir,Table13[[#This Row],[Direction]],
IF(_xlpm.dir="L",
    IF(G863-Table13[[#This Row],[Steps]]&lt;0,100+(G863-Table13[[#This Row],[Steps]]),G863-Table13[[#This Row],[Steps]]),
))</f>
        <v>28</v>
      </c>
      <c r="F864">
        <f>_xlfn.LET(_xlpm.dir,Table13[[#This Row],[Direction]],
IF(_xlpm.dir="R",
    IF(G863+Table13[[#This Row],[Steps]]&gt;99,(G863+Table13[[#This Row],[Steps]])-100,G863+Table13[[#This Row],[Steps]]),
))</f>
        <v>0</v>
      </c>
      <c r="G864">
        <f>IF(Table13[[#This Row],[New Pos L]]&lt;&gt;0,Table13[[#This Row],[New Pos L]],Table13[[#This Row],[New Pos R]])</f>
        <v>28</v>
      </c>
      <c r="H864">
        <f>IF(AND(Table13[[#This Row],[Direction]]="L",Table13[[#This Row],[Steps]]&gt;G863,G863&lt;&gt;0),1,0)</f>
        <v>0</v>
      </c>
      <c r="I864">
        <f>IF(AND(Table13[[#This Row],[Direction]]="R",(G863+Table13[[#This Row],[Steps]])&gt;100),1,0)</f>
        <v>0</v>
      </c>
      <c r="J864">
        <f>IF(Table13[[#This Row],[POS]]=0,1,0)</f>
        <v>0</v>
      </c>
      <c r="K864">
        <f>SUM(Table13[[#This Row],[prefix]],Table13[[#This Row],[Past zero L]],Table13[[#This Row],[Past Zero R]],Table13[[#This Row],[Is Zero]])</f>
        <v>0</v>
      </c>
    </row>
    <row r="865" spans="1:11" ht="16" x14ac:dyDescent="0.2">
      <c r="A865" s="1" t="s">
        <v>115</v>
      </c>
      <c r="B865" t="str">
        <f>LEFT(Table13[[#This Row],[Input]],1)</f>
        <v>L</v>
      </c>
      <c r="C865">
        <f>_xlfn.LET(_xlpm.steps,SUBSTITUTE(Table13[[#This Row],[Input]],Table13[[#This Row],[Direction]],""),VALUE(IF(LEN(_xlpm.steps)&gt;2,RIGHT(_xlpm.steps,2),_xlpm.steps)))</f>
        <v>29</v>
      </c>
      <c r="D865">
        <f>_xlfn.LET(_xlpm.steps,SUBSTITUTE(Table13[[#This Row],[Input]],Table13[[#This Row],[Direction]],""),VALUE(IF(LEN(_xlpm.steps)&gt;2,LEFT(_xlpm.steps,LEN(_xlpm.steps)-2),0)))</f>
        <v>0</v>
      </c>
      <c r="E865">
        <f>_xlfn.LET(_xlpm.dir,Table13[[#This Row],[Direction]],
IF(_xlpm.dir="L",
    IF(G864-Table13[[#This Row],[Steps]]&lt;0,100+(G864-Table13[[#This Row],[Steps]]),G864-Table13[[#This Row],[Steps]]),
))</f>
        <v>99</v>
      </c>
      <c r="F865">
        <f>_xlfn.LET(_xlpm.dir,Table13[[#This Row],[Direction]],
IF(_xlpm.dir="R",
    IF(G864+Table13[[#This Row],[Steps]]&gt;99,(G864+Table13[[#This Row],[Steps]])-100,G864+Table13[[#This Row],[Steps]]),
))</f>
        <v>0</v>
      </c>
      <c r="G865">
        <f>IF(Table13[[#This Row],[New Pos L]]&lt;&gt;0,Table13[[#This Row],[New Pos L]],Table13[[#This Row],[New Pos R]])</f>
        <v>99</v>
      </c>
      <c r="H865">
        <f>IF(AND(Table13[[#This Row],[Direction]]="L",Table13[[#This Row],[Steps]]&gt;G864,G864&lt;&gt;0),1,0)</f>
        <v>1</v>
      </c>
      <c r="I865">
        <f>IF(AND(Table13[[#This Row],[Direction]]="R",(G864+Table13[[#This Row],[Steps]])&gt;100),1,0)</f>
        <v>0</v>
      </c>
      <c r="J865">
        <f>IF(Table13[[#This Row],[POS]]=0,1,0)</f>
        <v>0</v>
      </c>
      <c r="K865">
        <f>SUM(Table13[[#This Row],[prefix]],Table13[[#This Row],[Past zero L]],Table13[[#This Row],[Past Zero R]],Table13[[#This Row],[Is Zero]])</f>
        <v>1</v>
      </c>
    </row>
    <row r="866" spans="1:11" ht="16" x14ac:dyDescent="0.2">
      <c r="A866" s="1" t="s">
        <v>134</v>
      </c>
      <c r="B866" t="str">
        <f>LEFT(Table13[[#This Row],[Input]],1)</f>
        <v>L</v>
      </c>
      <c r="C866">
        <f>_xlfn.LET(_xlpm.steps,SUBSTITUTE(Table13[[#This Row],[Input]],Table13[[#This Row],[Direction]],""),VALUE(IF(LEN(_xlpm.steps)&gt;2,RIGHT(_xlpm.steps,2),_xlpm.steps)))</f>
        <v>95</v>
      </c>
      <c r="D866">
        <f>_xlfn.LET(_xlpm.steps,SUBSTITUTE(Table13[[#This Row],[Input]],Table13[[#This Row],[Direction]],""),VALUE(IF(LEN(_xlpm.steps)&gt;2,LEFT(_xlpm.steps,LEN(_xlpm.steps)-2),0)))</f>
        <v>0</v>
      </c>
      <c r="E866">
        <f>_xlfn.LET(_xlpm.dir,Table13[[#This Row],[Direction]],
IF(_xlpm.dir="L",
    IF(G865-Table13[[#This Row],[Steps]]&lt;0,100+(G865-Table13[[#This Row],[Steps]]),G865-Table13[[#This Row],[Steps]]),
))</f>
        <v>4</v>
      </c>
      <c r="F866">
        <f>_xlfn.LET(_xlpm.dir,Table13[[#This Row],[Direction]],
IF(_xlpm.dir="R",
    IF(G865+Table13[[#This Row],[Steps]]&gt;99,(G865+Table13[[#This Row],[Steps]])-100,G865+Table13[[#This Row],[Steps]]),
))</f>
        <v>0</v>
      </c>
      <c r="G866">
        <f>IF(Table13[[#This Row],[New Pos L]]&lt;&gt;0,Table13[[#This Row],[New Pos L]],Table13[[#This Row],[New Pos R]])</f>
        <v>4</v>
      </c>
      <c r="H866">
        <f>IF(AND(Table13[[#This Row],[Direction]]="L",Table13[[#This Row],[Steps]]&gt;G865,G865&lt;&gt;0),1,0)</f>
        <v>0</v>
      </c>
      <c r="I866">
        <f>IF(AND(Table13[[#This Row],[Direction]]="R",(G865+Table13[[#This Row],[Steps]])&gt;100),1,0)</f>
        <v>0</v>
      </c>
      <c r="J866">
        <f>IF(Table13[[#This Row],[POS]]=0,1,0)</f>
        <v>0</v>
      </c>
      <c r="K866">
        <f>SUM(Table13[[#This Row],[prefix]],Table13[[#This Row],[Past zero L]],Table13[[#This Row],[Past Zero R]],Table13[[#This Row],[Is Zero]])</f>
        <v>0</v>
      </c>
    </row>
    <row r="867" spans="1:11" ht="16" x14ac:dyDescent="0.2">
      <c r="A867" s="1" t="s">
        <v>58</v>
      </c>
      <c r="B867" t="str">
        <f>LEFT(Table13[[#This Row],[Input]],1)</f>
        <v>L</v>
      </c>
      <c r="C867">
        <f>_xlfn.LET(_xlpm.steps,SUBSTITUTE(Table13[[#This Row],[Input]],Table13[[#This Row],[Direction]],""),VALUE(IF(LEN(_xlpm.steps)&gt;2,RIGHT(_xlpm.steps,2),_xlpm.steps)))</f>
        <v>30</v>
      </c>
      <c r="D867">
        <f>_xlfn.LET(_xlpm.steps,SUBSTITUTE(Table13[[#This Row],[Input]],Table13[[#This Row],[Direction]],""),VALUE(IF(LEN(_xlpm.steps)&gt;2,LEFT(_xlpm.steps,LEN(_xlpm.steps)-2),0)))</f>
        <v>0</v>
      </c>
      <c r="E867">
        <f>_xlfn.LET(_xlpm.dir,Table13[[#This Row],[Direction]],
IF(_xlpm.dir="L",
    IF(G866-Table13[[#This Row],[Steps]]&lt;0,100+(G866-Table13[[#This Row],[Steps]]),G866-Table13[[#This Row],[Steps]]),
))</f>
        <v>74</v>
      </c>
      <c r="F867">
        <f>_xlfn.LET(_xlpm.dir,Table13[[#This Row],[Direction]],
IF(_xlpm.dir="R",
    IF(G866+Table13[[#This Row],[Steps]]&gt;99,(G866+Table13[[#This Row],[Steps]])-100,G866+Table13[[#This Row],[Steps]]),
))</f>
        <v>0</v>
      </c>
      <c r="G867">
        <f>IF(Table13[[#This Row],[New Pos L]]&lt;&gt;0,Table13[[#This Row],[New Pos L]],Table13[[#This Row],[New Pos R]])</f>
        <v>74</v>
      </c>
      <c r="H867">
        <f>IF(AND(Table13[[#This Row],[Direction]]="L",Table13[[#This Row],[Steps]]&gt;G866,G866&lt;&gt;0),1,0)</f>
        <v>1</v>
      </c>
      <c r="I867">
        <f>IF(AND(Table13[[#This Row],[Direction]]="R",(G866+Table13[[#This Row],[Steps]])&gt;100),1,0)</f>
        <v>0</v>
      </c>
      <c r="J867">
        <f>IF(Table13[[#This Row],[POS]]=0,1,0)</f>
        <v>0</v>
      </c>
      <c r="K867">
        <f>SUM(Table13[[#This Row],[prefix]],Table13[[#This Row],[Past zero L]],Table13[[#This Row],[Past Zero R]],Table13[[#This Row],[Is Zero]])</f>
        <v>1</v>
      </c>
    </row>
    <row r="868" spans="1:11" ht="16" x14ac:dyDescent="0.2">
      <c r="A868" s="1" t="s">
        <v>332</v>
      </c>
      <c r="B868" t="str">
        <f>LEFT(Table13[[#This Row],[Input]],1)</f>
        <v>L</v>
      </c>
      <c r="C868">
        <f>_xlfn.LET(_xlpm.steps,SUBSTITUTE(Table13[[#This Row],[Input]],Table13[[#This Row],[Direction]],""),VALUE(IF(LEN(_xlpm.steps)&gt;2,RIGHT(_xlpm.steps,2),_xlpm.steps)))</f>
        <v>54</v>
      </c>
      <c r="D868">
        <f>_xlfn.LET(_xlpm.steps,SUBSTITUTE(Table13[[#This Row],[Input]],Table13[[#This Row],[Direction]],""),VALUE(IF(LEN(_xlpm.steps)&gt;2,LEFT(_xlpm.steps,LEN(_xlpm.steps)-2),0)))</f>
        <v>7</v>
      </c>
      <c r="E868">
        <f>_xlfn.LET(_xlpm.dir,Table13[[#This Row],[Direction]],
IF(_xlpm.dir="L",
    IF(G867-Table13[[#This Row],[Steps]]&lt;0,100+(G867-Table13[[#This Row],[Steps]]),G867-Table13[[#This Row],[Steps]]),
))</f>
        <v>20</v>
      </c>
      <c r="F868">
        <f>_xlfn.LET(_xlpm.dir,Table13[[#This Row],[Direction]],
IF(_xlpm.dir="R",
    IF(G867+Table13[[#This Row],[Steps]]&gt;99,(G867+Table13[[#This Row],[Steps]])-100,G867+Table13[[#This Row],[Steps]]),
))</f>
        <v>0</v>
      </c>
      <c r="G868">
        <f>IF(Table13[[#This Row],[New Pos L]]&lt;&gt;0,Table13[[#This Row],[New Pos L]],Table13[[#This Row],[New Pos R]])</f>
        <v>20</v>
      </c>
      <c r="H868">
        <f>IF(AND(Table13[[#This Row],[Direction]]="L",Table13[[#This Row],[Steps]]&gt;G867,G867&lt;&gt;0),1,0)</f>
        <v>0</v>
      </c>
      <c r="I868">
        <f>IF(AND(Table13[[#This Row],[Direction]]="R",(G867+Table13[[#This Row],[Steps]])&gt;100),1,0)</f>
        <v>0</v>
      </c>
      <c r="J868">
        <f>IF(Table13[[#This Row],[POS]]=0,1,0)</f>
        <v>0</v>
      </c>
      <c r="K868">
        <f>SUM(Table13[[#This Row],[prefix]],Table13[[#This Row],[Past zero L]],Table13[[#This Row],[Past Zero R]],Table13[[#This Row],[Is Zero]])</f>
        <v>7</v>
      </c>
    </row>
    <row r="869" spans="1:11" ht="16" x14ac:dyDescent="0.2">
      <c r="A869" s="1" t="s">
        <v>333</v>
      </c>
      <c r="B869" t="str">
        <f>LEFT(Table13[[#This Row],[Input]],1)</f>
        <v>L</v>
      </c>
      <c r="C869">
        <f>_xlfn.LET(_xlpm.steps,SUBSTITUTE(Table13[[#This Row],[Input]],Table13[[#This Row],[Direction]],""),VALUE(IF(LEN(_xlpm.steps)&gt;2,RIGHT(_xlpm.steps,2),_xlpm.steps)))</f>
        <v>40</v>
      </c>
      <c r="D869">
        <f>_xlfn.LET(_xlpm.steps,SUBSTITUTE(Table13[[#This Row],[Input]],Table13[[#This Row],[Direction]],""),VALUE(IF(LEN(_xlpm.steps)&gt;2,LEFT(_xlpm.steps,LEN(_xlpm.steps)-2),0)))</f>
        <v>1</v>
      </c>
      <c r="E869">
        <f>_xlfn.LET(_xlpm.dir,Table13[[#This Row],[Direction]],
IF(_xlpm.dir="L",
    IF(G868-Table13[[#This Row],[Steps]]&lt;0,100+(G868-Table13[[#This Row],[Steps]]),G868-Table13[[#This Row],[Steps]]),
))</f>
        <v>80</v>
      </c>
      <c r="F869">
        <f>_xlfn.LET(_xlpm.dir,Table13[[#This Row],[Direction]],
IF(_xlpm.dir="R",
    IF(G868+Table13[[#This Row],[Steps]]&gt;99,(G868+Table13[[#This Row],[Steps]])-100,G868+Table13[[#This Row],[Steps]]),
))</f>
        <v>0</v>
      </c>
      <c r="G869">
        <f>IF(Table13[[#This Row],[New Pos L]]&lt;&gt;0,Table13[[#This Row],[New Pos L]],Table13[[#This Row],[New Pos R]])</f>
        <v>80</v>
      </c>
      <c r="H869">
        <f>IF(AND(Table13[[#This Row],[Direction]]="L",Table13[[#This Row],[Steps]]&gt;G868,G868&lt;&gt;0),1,0)</f>
        <v>1</v>
      </c>
      <c r="I869">
        <f>IF(AND(Table13[[#This Row],[Direction]]="R",(G868+Table13[[#This Row],[Steps]])&gt;100),1,0)</f>
        <v>0</v>
      </c>
      <c r="J869">
        <f>IF(Table13[[#This Row],[POS]]=0,1,0)</f>
        <v>0</v>
      </c>
      <c r="K869">
        <f>SUM(Table13[[#This Row],[prefix]],Table13[[#This Row],[Past zero L]],Table13[[#This Row],[Past Zero R]],Table13[[#This Row],[Is Zero]])</f>
        <v>2</v>
      </c>
    </row>
    <row r="870" spans="1:11" ht="16" x14ac:dyDescent="0.2">
      <c r="A870" s="1" t="s">
        <v>135</v>
      </c>
      <c r="B870" t="str">
        <f>LEFT(Table13[[#This Row],[Input]],1)</f>
        <v>R</v>
      </c>
      <c r="C870">
        <f>_xlfn.LET(_xlpm.steps,SUBSTITUTE(Table13[[#This Row],[Input]],Table13[[#This Row],[Direction]],""),VALUE(IF(LEN(_xlpm.steps)&gt;2,RIGHT(_xlpm.steps,2),_xlpm.steps)))</f>
        <v>69</v>
      </c>
      <c r="D870">
        <f>_xlfn.LET(_xlpm.steps,SUBSTITUTE(Table13[[#This Row],[Input]],Table13[[#This Row],[Direction]],""),VALUE(IF(LEN(_xlpm.steps)&gt;2,LEFT(_xlpm.steps,LEN(_xlpm.steps)-2),0)))</f>
        <v>0</v>
      </c>
      <c r="E870">
        <f>_xlfn.LET(_xlpm.dir,Table13[[#This Row],[Direction]],
IF(_xlpm.dir="L",
    IF(G869-Table13[[#This Row],[Steps]]&lt;0,100+(G869-Table13[[#This Row],[Steps]]),G869-Table13[[#This Row],[Steps]]),
))</f>
        <v>0</v>
      </c>
      <c r="F870">
        <f>_xlfn.LET(_xlpm.dir,Table13[[#This Row],[Direction]],
IF(_xlpm.dir="R",
    IF(G869+Table13[[#This Row],[Steps]]&gt;99,(G869+Table13[[#This Row],[Steps]])-100,G869+Table13[[#This Row],[Steps]]),
))</f>
        <v>49</v>
      </c>
      <c r="G870">
        <f>IF(Table13[[#This Row],[New Pos L]]&lt;&gt;0,Table13[[#This Row],[New Pos L]],Table13[[#This Row],[New Pos R]])</f>
        <v>49</v>
      </c>
      <c r="H870">
        <f>IF(AND(Table13[[#This Row],[Direction]]="L",Table13[[#This Row],[Steps]]&gt;G869,G869&lt;&gt;0),1,0)</f>
        <v>0</v>
      </c>
      <c r="I870">
        <f>IF(AND(Table13[[#This Row],[Direction]]="R",(G869+Table13[[#This Row],[Steps]])&gt;100),1,0)</f>
        <v>1</v>
      </c>
      <c r="J870">
        <f>IF(Table13[[#This Row],[POS]]=0,1,0)</f>
        <v>0</v>
      </c>
      <c r="K870">
        <f>SUM(Table13[[#This Row],[prefix]],Table13[[#This Row],[Past zero L]],Table13[[#This Row],[Past Zero R]],Table13[[#This Row],[Is Zero]])</f>
        <v>1</v>
      </c>
    </row>
    <row r="871" spans="1:11" ht="16" x14ac:dyDescent="0.2">
      <c r="A871" s="1" t="s">
        <v>24</v>
      </c>
      <c r="B871" t="str">
        <f>LEFT(Table13[[#This Row],[Input]],1)</f>
        <v>L</v>
      </c>
      <c r="C871">
        <f>_xlfn.LET(_xlpm.steps,SUBSTITUTE(Table13[[#This Row],[Input]],Table13[[#This Row],[Direction]],""),VALUE(IF(LEN(_xlpm.steps)&gt;2,RIGHT(_xlpm.steps,2),_xlpm.steps)))</f>
        <v>49</v>
      </c>
      <c r="D871">
        <f>_xlfn.LET(_xlpm.steps,SUBSTITUTE(Table13[[#This Row],[Input]],Table13[[#This Row],[Direction]],""),VALUE(IF(LEN(_xlpm.steps)&gt;2,LEFT(_xlpm.steps,LEN(_xlpm.steps)-2),0)))</f>
        <v>0</v>
      </c>
      <c r="E871">
        <f>_xlfn.LET(_xlpm.dir,Table13[[#This Row],[Direction]],
IF(_xlpm.dir="L",
    IF(G870-Table13[[#This Row],[Steps]]&lt;0,100+(G870-Table13[[#This Row],[Steps]]),G870-Table13[[#This Row],[Steps]]),
))</f>
        <v>0</v>
      </c>
      <c r="F871">
        <f>_xlfn.LET(_xlpm.dir,Table13[[#This Row],[Direction]],
IF(_xlpm.dir="R",
    IF(G870+Table13[[#This Row],[Steps]]&gt;99,(G870+Table13[[#This Row],[Steps]])-100,G870+Table13[[#This Row],[Steps]]),
))</f>
        <v>0</v>
      </c>
      <c r="G871">
        <f>IF(Table13[[#This Row],[New Pos L]]&lt;&gt;0,Table13[[#This Row],[New Pos L]],Table13[[#This Row],[New Pos R]])</f>
        <v>0</v>
      </c>
      <c r="H871">
        <f>IF(AND(Table13[[#This Row],[Direction]]="L",Table13[[#This Row],[Steps]]&gt;G870,G870&lt;&gt;0),1,0)</f>
        <v>0</v>
      </c>
      <c r="I871">
        <f>IF(AND(Table13[[#This Row],[Direction]]="R",(G870+Table13[[#This Row],[Steps]])&gt;100),1,0)</f>
        <v>0</v>
      </c>
      <c r="J871">
        <f>IF(Table13[[#This Row],[POS]]=0,1,0)</f>
        <v>1</v>
      </c>
      <c r="K871">
        <f>SUM(Table13[[#This Row],[prefix]],Table13[[#This Row],[Past zero L]],Table13[[#This Row],[Past Zero R]],Table13[[#This Row],[Is Zero]])</f>
        <v>1</v>
      </c>
    </row>
    <row r="872" spans="1:11" ht="16" x14ac:dyDescent="0.2">
      <c r="A872" s="1" t="s">
        <v>254</v>
      </c>
      <c r="B872" t="str">
        <f>LEFT(Table13[[#This Row],[Input]],1)</f>
        <v>R</v>
      </c>
      <c r="C872">
        <f>_xlfn.LET(_xlpm.steps,SUBSTITUTE(Table13[[#This Row],[Input]],Table13[[#This Row],[Direction]],""),VALUE(IF(LEN(_xlpm.steps)&gt;2,RIGHT(_xlpm.steps,2),_xlpm.steps)))</f>
        <v>84</v>
      </c>
      <c r="D872">
        <f>_xlfn.LET(_xlpm.steps,SUBSTITUTE(Table13[[#This Row],[Input]],Table13[[#This Row],[Direction]],""),VALUE(IF(LEN(_xlpm.steps)&gt;2,LEFT(_xlpm.steps,LEN(_xlpm.steps)-2),0)))</f>
        <v>0</v>
      </c>
      <c r="E872">
        <f>_xlfn.LET(_xlpm.dir,Table13[[#This Row],[Direction]],
IF(_xlpm.dir="L",
    IF(G871-Table13[[#This Row],[Steps]]&lt;0,100+(G871-Table13[[#This Row],[Steps]]),G871-Table13[[#This Row],[Steps]]),
))</f>
        <v>0</v>
      </c>
      <c r="F872">
        <f>_xlfn.LET(_xlpm.dir,Table13[[#This Row],[Direction]],
IF(_xlpm.dir="R",
    IF(G871+Table13[[#This Row],[Steps]]&gt;99,(G871+Table13[[#This Row],[Steps]])-100,G871+Table13[[#This Row],[Steps]]),
))</f>
        <v>84</v>
      </c>
      <c r="G872">
        <f>IF(Table13[[#This Row],[New Pos L]]&lt;&gt;0,Table13[[#This Row],[New Pos L]],Table13[[#This Row],[New Pos R]])</f>
        <v>84</v>
      </c>
      <c r="H872">
        <f>IF(AND(Table13[[#This Row],[Direction]]="L",Table13[[#This Row],[Steps]]&gt;G871,G871&lt;&gt;0),1,0)</f>
        <v>0</v>
      </c>
      <c r="I872">
        <f>IF(AND(Table13[[#This Row],[Direction]]="R",(G871+Table13[[#This Row],[Steps]])&gt;100),1,0)</f>
        <v>0</v>
      </c>
      <c r="J872">
        <f>IF(Table13[[#This Row],[POS]]=0,1,0)</f>
        <v>0</v>
      </c>
      <c r="K872">
        <f>SUM(Table13[[#This Row],[prefix]],Table13[[#This Row],[Past zero L]],Table13[[#This Row],[Past Zero R]],Table13[[#This Row],[Is Zero]])</f>
        <v>0</v>
      </c>
    </row>
    <row r="873" spans="1:11" ht="16" x14ac:dyDescent="0.2">
      <c r="A873" s="1" t="s">
        <v>334</v>
      </c>
      <c r="B873" t="str">
        <f>LEFT(Table13[[#This Row],[Input]],1)</f>
        <v>L</v>
      </c>
      <c r="C873">
        <f>_xlfn.LET(_xlpm.steps,SUBSTITUTE(Table13[[#This Row],[Input]],Table13[[#This Row],[Direction]],""),VALUE(IF(LEN(_xlpm.steps)&gt;2,RIGHT(_xlpm.steps,2),_xlpm.steps)))</f>
        <v>26</v>
      </c>
      <c r="D873">
        <f>_xlfn.LET(_xlpm.steps,SUBSTITUTE(Table13[[#This Row],[Input]],Table13[[#This Row],[Direction]],""),VALUE(IF(LEN(_xlpm.steps)&gt;2,LEFT(_xlpm.steps,LEN(_xlpm.steps)-2),0)))</f>
        <v>3</v>
      </c>
      <c r="E873">
        <f>_xlfn.LET(_xlpm.dir,Table13[[#This Row],[Direction]],
IF(_xlpm.dir="L",
    IF(G872-Table13[[#This Row],[Steps]]&lt;0,100+(G872-Table13[[#This Row],[Steps]]),G872-Table13[[#This Row],[Steps]]),
))</f>
        <v>58</v>
      </c>
      <c r="F873">
        <f>_xlfn.LET(_xlpm.dir,Table13[[#This Row],[Direction]],
IF(_xlpm.dir="R",
    IF(G872+Table13[[#This Row],[Steps]]&gt;99,(G872+Table13[[#This Row],[Steps]])-100,G872+Table13[[#This Row],[Steps]]),
))</f>
        <v>0</v>
      </c>
      <c r="G873">
        <f>IF(Table13[[#This Row],[New Pos L]]&lt;&gt;0,Table13[[#This Row],[New Pos L]],Table13[[#This Row],[New Pos R]])</f>
        <v>58</v>
      </c>
      <c r="H873">
        <f>IF(AND(Table13[[#This Row],[Direction]]="L",Table13[[#This Row],[Steps]]&gt;G872,G872&lt;&gt;0),1,0)</f>
        <v>0</v>
      </c>
      <c r="I873">
        <f>IF(AND(Table13[[#This Row],[Direction]]="R",(G872+Table13[[#This Row],[Steps]])&gt;100),1,0)</f>
        <v>0</v>
      </c>
      <c r="J873">
        <f>IF(Table13[[#This Row],[POS]]=0,1,0)</f>
        <v>0</v>
      </c>
      <c r="K873">
        <f>SUM(Table13[[#This Row],[prefix]],Table13[[#This Row],[Past zero L]],Table13[[#This Row],[Past Zero R]],Table13[[#This Row],[Is Zero]])</f>
        <v>3</v>
      </c>
    </row>
    <row r="874" spans="1:11" ht="16" x14ac:dyDescent="0.2">
      <c r="A874" s="1" t="s">
        <v>116</v>
      </c>
      <c r="B874" t="str">
        <f>LEFT(Table13[[#This Row],[Input]],1)</f>
        <v>L</v>
      </c>
      <c r="C874">
        <f>_xlfn.LET(_xlpm.steps,SUBSTITUTE(Table13[[#This Row],[Input]],Table13[[#This Row],[Direction]],""),VALUE(IF(LEN(_xlpm.steps)&gt;2,RIGHT(_xlpm.steps,2),_xlpm.steps)))</f>
        <v>58</v>
      </c>
      <c r="D874">
        <f>_xlfn.LET(_xlpm.steps,SUBSTITUTE(Table13[[#This Row],[Input]],Table13[[#This Row],[Direction]],""),VALUE(IF(LEN(_xlpm.steps)&gt;2,LEFT(_xlpm.steps,LEN(_xlpm.steps)-2),0)))</f>
        <v>0</v>
      </c>
      <c r="E874">
        <f>_xlfn.LET(_xlpm.dir,Table13[[#This Row],[Direction]],
IF(_xlpm.dir="L",
    IF(G873-Table13[[#This Row],[Steps]]&lt;0,100+(G873-Table13[[#This Row],[Steps]]),G873-Table13[[#This Row],[Steps]]),
))</f>
        <v>0</v>
      </c>
      <c r="F874">
        <f>_xlfn.LET(_xlpm.dir,Table13[[#This Row],[Direction]],
IF(_xlpm.dir="R",
    IF(G873+Table13[[#This Row],[Steps]]&gt;99,(G873+Table13[[#This Row],[Steps]])-100,G873+Table13[[#This Row],[Steps]]),
))</f>
        <v>0</v>
      </c>
      <c r="G874">
        <f>IF(Table13[[#This Row],[New Pos L]]&lt;&gt;0,Table13[[#This Row],[New Pos L]],Table13[[#This Row],[New Pos R]])</f>
        <v>0</v>
      </c>
      <c r="H874">
        <f>IF(AND(Table13[[#This Row],[Direction]]="L",Table13[[#This Row],[Steps]]&gt;G873,G873&lt;&gt;0),1,0)</f>
        <v>0</v>
      </c>
      <c r="I874">
        <f>IF(AND(Table13[[#This Row],[Direction]]="R",(G873+Table13[[#This Row],[Steps]])&gt;100),1,0)</f>
        <v>0</v>
      </c>
      <c r="J874">
        <f>IF(Table13[[#This Row],[POS]]=0,1,0)</f>
        <v>1</v>
      </c>
      <c r="K874">
        <f>SUM(Table13[[#This Row],[prefix]],Table13[[#This Row],[Past zero L]],Table13[[#This Row],[Past Zero R]],Table13[[#This Row],[Is Zero]])</f>
        <v>1</v>
      </c>
    </row>
    <row r="875" spans="1:11" ht="16" x14ac:dyDescent="0.2">
      <c r="A875" s="1" t="s">
        <v>2</v>
      </c>
      <c r="B875" t="str">
        <f>LEFT(Table13[[#This Row],[Input]],1)</f>
        <v>L</v>
      </c>
      <c r="C875">
        <f>_xlfn.LET(_xlpm.steps,SUBSTITUTE(Table13[[#This Row],[Input]],Table13[[#This Row],[Direction]],""),VALUE(IF(LEN(_xlpm.steps)&gt;2,RIGHT(_xlpm.steps,2),_xlpm.steps)))</f>
        <v>38</v>
      </c>
      <c r="D875">
        <f>_xlfn.LET(_xlpm.steps,SUBSTITUTE(Table13[[#This Row],[Input]],Table13[[#This Row],[Direction]],""),VALUE(IF(LEN(_xlpm.steps)&gt;2,LEFT(_xlpm.steps,LEN(_xlpm.steps)-2),0)))</f>
        <v>0</v>
      </c>
      <c r="E875">
        <f>_xlfn.LET(_xlpm.dir,Table13[[#This Row],[Direction]],
IF(_xlpm.dir="L",
    IF(G874-Table13[[#This Row],[Steps]]&lt;0,100+(G874-Table13[[#This Row],[Steps]]),G874-Table13[[#This Row],[Steps]]),
))</f>
        <v>62</v>
      </c>
      <c r="F875">
        <f>_xlfn.LET(_xlpm.dir,Table13[[#This Row],[Direction]],
IF(_xlpm.dir="R",
    IF(G874+Table13[[#This Row],[Steps]]&gt;99,(G874+Table13[[#This Row],[Steps]])-100,G874+Table13[[#This Row],[Steps]]),
))</f>
        <v>0</v>
      </c>
      <c r="G875">
        <f>IF(Table13[[#This Row],[New Pos L]]&lt;&gt;0,Table13[[#This Row],[New Pos L]],Table13[[#This Row],[New Pos R]])</f>
        <v>62</v>
      </c>
      <c r="H875">
        <f>IF(AND(Table13[[#This Row],[Direction]]="L",Table13[[#This Row],[Steps]]&gt;G874,G874&lt;&gt;0),1,0)</f>
        <v>0</v>
      </c>
      <c r="I875">
        <f>IF(AND(Table13[[#This Row],[Direction]]="R",(G874+Table13[[#This Row],[Steps]])&gt;100),1,0)</f>
        <v>0</v>
      </c>
      <c r="J875">
        <f>IF(Table13[[#This Row],[POS]]=0,1,0)</f>
        <v>0</v>
      </c>
      <c r="K875">
        <f>SUM(Table13[[#This Row],[prefix]],Table13[[#This Row],[Past zero L]],Table13[[#This Row],[Past Zero R]],Table13[[#This Row],[Is Zero]])</f>
        <v>0</v>
      </c>
    </row>
    <row r="876" spans="1:11" ht="16" x14ac:dyDescent="0.2">
      <c r="A876" s="1" t="s">
        <v>48</v>
      </c>
      <c r="B876" t="str">
        <f>LEFT(Table13[[#This Row],[Input]],1)</f>
        <v>R</v>
      </c>
      <c r="C876">
        <f>_xlfn.LET(_xlpm.steps,SUBSTITUTE(Table13[[#This Row],[Input]],Table13[[#This Row],[Direction]],""),VALUE(IF(LEN(_xlpm.steps)&gt;2,RIGHT(_xlpm.steps,2),_xlpm.steps)))</f>
        <v>81</v>
      </c>
      <c r="D876">
        <f>_xlfn.LET(_xlpm.steps,SUBSTITUTE(Table13[[#This Row],[Input]],Table13[[#This Row],[Direction]],""),VALUE(IF(LEN(_xlpm.steps)&gt;2,LEFT(_xlpm.steps,LEN(_xlpm.steps)-2),0)))</f>
        <v>0</v>
      </c>
      <c r="E876">
        <f>_xlfn.LET(_xlpm.dir,Table13[[#This Row],[Direction]],
IF(_xlpm.dir="L",
    IF(G875-Table13[[#This Row],[Steps]]&lt;0,100+(G875-Table13[[#This Row],[Steps]]),G875-Table13[[#This Row],[Steps]]),
))</f>
        <v>0</v>
      </c>
      <c r="F876">
        <f>_xlfn.LET(_xlpm.dir,Table13[[#This Row],[Direction]],
IF(_xlpm.dir="R",
    IF(G875+Table13[[#This Row],[Steps]]&gt;99,(G875+Table13[[#This Row],[Steps]])-100,G875+Table13[[#This Row],[Steps]]),
))</f>
        <v>43</v>
      </c>
      <c r="G876">
        <f>IF(Table13[[#This Row],[New Pos L]]&lt;&gt;0,Table13[[#This Row],[New Pos L]],Table13[[#This Row],[New Pos R]])</f>
        <v>43</v>
      </c>
      <c r="H876">
        <f>IF(AND(Table13[[#This Row],[Direction]]="L",Table13[[#This Row],[Steps]]&gt;G875,G875&lt;&gt;0),1,0)</f>
        <v>0</v>
      </c>
      <c r="I876">
        <f>IF(AND(Table13[[#This Row],[Direction]]="R",(G875+Table13[[#This Row],[Steps]])&gt;100),1,0)</f>
        <v>1</v>
      </c>
      <c r="J876">
        <f>IF(Table13[[#This Row],[POS]]=0,1,0)</f>
        <v>0</v>
      </c>
      <c r="K876">
        <f>SUM(Table13[[#This Row],[prefix]],Table13[[#This Row],[Past zero L]],Table13[[#This Row],[Past Zero R]],Table13[[#This Row],[Is Zero]])</f>
        <v>1</v>
      </c>
    </row>
    <row r="877" spans="1:11" ht="16" x14ac:dyDescent="0.2">
      <c r="A877" s="1" t="s">
        <v>63</v>
      </c>
      <c r="B877" t="str">
        <f>LEFT(Table13[[#This Row],[Input]],1)</f>
        <v>R</v>
      </c>
      <c r="C877">
        <f>_xlfn.LET(_xlpm.steps,SUBSTITUTE(Table13[[#This Row],[Input]],Table13[[#This Row],[Direction]],""),VALUE(IF(LEN(_xlpm.steps)&gt;2,RIGHT(_xlpm.steps,2),_xlpm.steps)))</f>
        <v>57</v>
      </c>
      <c r="D877">
        <f>_xlfn.LET(_xlpm.steps,SUBSTITUTE(Table13[[#This Row],[Input]],Table13[[#This Row],[Direction]],""),VALUE(IF(LEN(_xlpm.steps)&gt;2,LEFT(_xlpm.steps,LEN(_xlpm.steps)-2),0)))</f>
        <v>0</v>
      </c>
      <c r="E877">
        <f>_xlfn.LET(_xlpm.dir,Table13[[#This Row],[Direction]],
IF(_xlpm.dir="L",
    IF(G876-Table13[[#This Row],[Steps]]&lt;0,100+(G876-Table13[[#This Row],[Steps]]),G876-Table13[[#This Row],[Steps]]),
))</f>
        <v>0</v>
      </c>
      <c r="F877">
        <f>_xlfn.LET(_xlpm.dir,Table13[[#This Row],[Direction]],
IF(_xlpm.dir="R",
    IF(G876+Table13[[#This Row],[Steps]]&gt;99,(G876+Table13[[#This Row],[Steps]])-100,G876+Table13[[#This Row],[Steps]]),
))</f>
        <v>0</v>
      </c>
      <c r="G877">
        <f>IF(Table13[[#This Row],[New Pos L]]&lt;&gt;0,Table13[[#This Row],[New Pos L]],Table13[[#This Row],[New Pos R]])</f>
        <v>0</v>
      </c>
      <c r="H877">
        <f>IF(AND(Table13[[#This Row],[Direction]]="L",Table13[[#This Row],[Steps]]&gt;G876,G876&lt;&gt;0),1,0)</f>
        <v>0</v>
      </c>
      <c r="I877">
        <f>IF(AND(Table13[[#This Row],[Direction]]="R",(G876+Table13[[#This Row],[Steps]])&gt;100),1,0)</f>
        <v>0</v>
      </c>
      <c r="J877">
        <f>IF(Table13[[#This Row],[POS]]=0,1,0)</f>
        <v>1</v>
      </c>
      <c r="K877">
        <f>SUM(Table13[[#This Row],[prefix]],Table13[[#This Row],[Past zero L]],Table13[[#This Row],[Past Zero R]],Table13[[#This Row],[Is Zero]])</f>
        <v>1</v>
      </c>
    </row>
    <row r="878" spans="1:11" ht="16" x14ac:dyDescent="0.2">
      <c r="A878" s="1" t="s">
        <v>89</v>
      </c>
      <c r="B878" t="str">
        <f>LEFT(Table13[[#This Row],[Input]],1)</f>
        <v>L</v>
      </c>
      <c r="C878">
        <f>_xlfn.LET(_xlpm.steps,SUBSTITUTE(Table13[[#This Row],[Input]],Table13[[#This Row],[Direction]],""),VALUE(IF(LEN(_xlpm.steps)&gt;2,RIGHT(_xlpm.steps,2),_xlpm.steps)))</f>
        <v>91</v>
      </c>
      <c r="D878">
        <f>_xlfn.LET(_xlpm.steps,SUBSTITUTE(Table13[[#This Row],[Input]],Table13[[#This Row],[Direction]],""),VALUE(IF(LEN(_xlpm.steps)&gt;2,LEFT(_xlpm.steps,LEN(_xlpm.steps)-2),0)))</f>
        <v>0</v>
      </c>
      <c r="E878">
        <f>_xlfn.LET(_xlpm.dir,Table13[[#This Row],[Direction]],
IF(_xlpm.dir="L",
    IF(G877-Table13[[#This Row],[Steps]]&lt;0,100+(G877-Table13[[#This Row],[Steps]]),G877-Table13[[#This Row],[Steps]]),
))</f>
        <v>9</v>
      </c>
      <c r="F878">
        <f>_xlfn.LET(_xlpm.dir,Table13[[#This Row],[Direction]],
IF(_xlpm.dir="R",
    IF(G877+Table13[[#This Row],[Steps]]&gt;99,(G877+Table13[[#This Row],[Steps]])-100,G877+Table13[[#This Row],[Steps]]),
))</f>
        <v>0</v>
      </c>
      <c r="G878">
        <f>IF(Table13[[#This Row],[New Pos L]]&lt;&gt;0,Table13[[#This Row],[New Pos L]],Table13[[#This Row],[New Pos R]])</f>
        <v>9</v>
      </c>
      <c r="H878">
        <f>IF(AND(Table13[[#This Row],[Direction]]="L",Table13[[#This Row],[Steps]]&gt;G877,G877&lt;&gt;0),1,0)</f>
        <v>0</v>
      </c>
      <c r="I878">
        <f>IF(AND(Table13[[#This Row],[Direction]]="R",(G877+Table13[[#This Row],[Steps]])&gt;100),1,0)</f>
        <v>0</v>
      </c>
      <c r="J878">
        <f>IF(Table13[[#This Row],[POS]]=0,1,0)</f>
        <v>0</v>
      </c>
      <c r="K878">
        <f>SUM(Table13[[#This Row],[prefix]],Table13[[#This Row],[Past zero L]],Table13[[#This Row],[Past Zero R]],Table13[[#This Row],[Is Zero]])</f>
        <v>0</v>
      </c>
    </row>
    <row r="879" spans="1:11" ht="16" x14ac:dyDescent="0.2">
      <c r="A879" s="1" t="s">
        <v>217</v>
      </c>
      <c r="B879" t="str">
        <f>LEFT(Table13[[#This Row],[Input]],1)</f>
        <v>R</v>
      </c>
      <c r="C879">
        <f>_xlfn.LET(_xlpm.steps,SUBSTITUTE(Table13[[#This Row],[Input]],Table13[[#This Row],[Direction]],""),VALUE(IF(LEN(_xlpm.steps)&gt;2,RIGHT(_xlpm.steps,2),_xlpm.steps)))</f>
        <v>91</v>
      </c>
      <c r="D879">
        <f>_xlfn.LET(_xlpm.steps,SUBSTITUTE(Table13[[#This Row],[Input]],Table13[[#This Row],[Direction]],""),VALUE(IF(LEN(_xlpm.steps)&gt;2,LEFT(_xlpm.steps,LEN(_xlpm.steps)-2),0)))</f>
        <v>0</v>
      </c>
      <c r="E879">
        <f>_xlfn.LET(_xlpm.dir,Table13[[#This Row],[Direction]],
IF(_xlpm.dir="L",
    IF(G878-Table13[[#This Row],[Steps]]&lt;0,100+(G878-Table13[[#This Row],[Steps]]),G878-Table13[[#This Row],[Steps]]),
))</f>
        <v>0</v>
      </c>
      <c r="F879">
        <f>_xlfn.LET(_xlpm.dir,Table13[[#This Row],[Direction]],
IF(_xlpm.dir="R",
    IF(G878+Table13[[#This Row],[Steps]]&gt;99,(G878+Table13[[#This Row],[Steps]])-100,G878+Table13[[#This Row],[Steps]]),
))</f>
        <v>0</v>
      </c>
      <c r="G879">
        <f>IF(Table13[[#This Row],[New Pos L]]&lt;&gt;0,Table13[[#This Row],[New Pos L]],Table13[[#This Row],[New Pos R]])</f>
        <v>0</v>
      </c>
      <c r="H879">
        <f>IF(AND(Table13[[#This Row],[Direction]]="L",Table13[[#This Row],[Steps]]&gt;G878,G878&lt;&gt;0),1,0)</f>
        <v>0</v>
      </c>
      <c r="I879">
        <f>IF(AND(Table13[[#This Row],[Direction]]="R",(G878+Table13[[#This Row],[Steps]])&gt;100),1,0)</f>
        <v>0</v>
      </c>
      <c r="J879">
        <f>IF(Table13[[#This Row],[POS]]=0,1,0)</f>
        <v>1</v>
      </c>
      <c r="K879">
        <f>SUM(Table13[[#This Row],[prefix]],Table13[[#This Row],[Past zero L]],Table13[[#This Row],[Past Zero R]],Table13[[#This Row],[Is Zero]])</f>
        <v>1</v>
      </c>
    </row>
    <row r="880" spans="1:11" ht="16" x14ac:dyDescent="0.2">
      <c r="A880" s="1" t="s">
        <v>335</v>
      </c>
      <c r="B880" t="str">
        <f>LEFT(Table13[[#This Row],[Input]],1)</f>
        <v>R</v>
      </c>
      <c r="C880">
        <f>_xlfn.LET(_xlpm.steps,SUBSTITUTE(Table13[[#This Row],[Input]],Table13[[#This Row],[Direction]],""),VALUE(IF(LEN(_xlpm.steps)&gt;2,RIGHT(_xlpm.steps,2),_xlpm.steps)))</f>
        <v>71</v>
      </c>
      <c r="D880">
        <f>_xlfn.LET(_xlpm.steps,SUBSTITUTE(Table13[[#This Row],[Input]],Table13[[#This Row],[Direction]],""),VALUE(IF(LEN(_xlpm.steps)&gt;2,LEFT(_xlpm.steps,LEN(_xlpm.steps)-2),0)))</f>
        <v>1</v>
      </c>
      <c r="E880">
        <f>_xlfn.LET(_xlpm.dir,Table13[[#This Row],[Direction]],
IF(_xlpm.dir="L",
    IF(G879-Table13[[#This Row],[Steps]]&lt;0,100+(G879-Table13[[#This Row],[Steps]]),G879-Table13[[#This Row],[Steps]]),
))</f>
        <v>0</v>
      </c>
      <c r="F880">
        <f>_xlfn.LET(_xlpm.dir,Table13[[#This Row],[Direction]],
IF(_xlpm.dir="R",
    IF(G879+Table13[[#This Row],[Steps]]&gt;99,(G879+Table13[[#This Row],[Steps]])-100,G879+Table13[[#This Row],[Steps]]),
))</f>
        <v>71</v>
      </c>
      <c r="G880">
        <f>IF(Table13[[#This Row],[New Pos L]]&lt;&gt;0,Table13[[#This Row],[New Pos L]],Table13[[#This Row],[New Pos R]])</f>
        <v>71</v>
      </c>
      <c r="H880">
        <f>IF(AND(Table13[[#This Row],[Direction]]="L",Table13[[#This Row],[Steps]]&gt;G879,G879&lt;&gt;0),1,0)</f>
        <v>0</v>
      </c>
      <c r="I880">
        <f>IF(AND(Table13[[#This Row],[Direction]]="R",(G879+Table13[[#This Row],[Steps]])&gt;100),1,0)</f>
        <v>0</v>
      </c>
      <c r="J880">
        <f>IF(Table13[[#This Row],[POS]]=0,1,0)</f>
        <v>0</v>
      </c>
      <c r="K880">
        <f>SUM(Table13[[#This Row],[prefix]],Table13[[#This Row],[Past zero L]],Table13[[#This Row],[Past Zero R]],Table13[[#This Row],[Is Zero]])</f>
        <v>1</v>
      </c>
    </row>
    <row r="881" spans="1:11" ht="16" x14ac:dyDescent="0.2">
      <c r="A881" s="1" t="s">
        <v>49</v>
      </c>
      <c r="B881" t="str">
        <f>LEFT(Table13[[#This Row],[Input]],1)</f>
        <v>L</v>
      </c>
      <c r="C881">
        <f>_xlfn.LET(_xlpm.steps,SUBSTITUTE(Table13[[#This Row],[Input]],Table13[[#This Row],[Direction]],""),VALUE(IF(LEN(_xlpm.steps)&gt;2,RIGHT(_xlpm.steps,2),_xlpm.steps)))</f>
        <v>93</v>
      </c>
      <c r="D881">
        <f>_xlfn.LET(_xlpm.steps,SUBSTITUTE(Table13[[#This Row],[Input]],Table13[[#This Row],[Direction]],""),VALUE(IF(LEN(_xlpm.steps)&gt;2,LEFT(_xlpm.steps,LEN(_xlpm.steps)-2),0)))</f>
        <v>0</v>
      </c>
      <c r="E881">
        <f>_xlfn.LET(_xlpm.dir,Table13[[#This Row],[Direction]],
IF(_xlpm.dir="L",
    IF(G880-Table13[[#This Row],[Steps]]&lt;0,100+(G880-Table13[[#This Row],[Steps]]),G880-Table13[[#This Row],[Steps]]),
))</f>
        <v>78</v>
      </c>
      <c r="F881">
        <f>_xlfn.LET(_xlpm.dir,Table13[[#This Row],[Direction]],
IF(_xlpm.dir="R",
    IF(G880+Table13[[#This Row],[Steps]]&gt;99,(G880+Table13[[#This Row],[Steps]])-100,G880+Table13[[#This Row],[Steps]]),
))</f>
        <v>0</v>
      </c>
      <c r="G881">
        <f>IF(Table13[[#This Row],[New Pos L]]&lt;&gt;0,Table13[[#This Row],[New Pos L]],Table13[[#This Row],[New Pos R]])</f>
        <v>78</v>
      </c>
      <c r="H881">
        <f>IF(AND(Table13[[#This Row],[Direction]]="L",Table13[[#This Row],[Steps]]&gt;G880,G880&lt;&gt;0),1,0)</f>
        <v>1</v>
      </c>
      <c r="I881">
        <f>IF(AND(Table13[[#This Row],[Direction]]="R",(G880+Table13[[#This Row],[Steps]])&gt;100),1,0)</f>
        <v>0</v>
      </c>
      <c r="J881">
        <f>IF(Table13[[#This Row],[POS]]=0,1,0)</f>
        <v>0</v>
      </c>
      <c r="K881">
        <f>SUM(Table13[[#This Row],[prefix]],Table13[[#This Row],[Past zero L]],Table13[[#This Row],[Past Zero R]],Table13[[#This Row],[Is Zero]])</f>
        <v>1</v>
      </c>
    </row>
    <row r="882" spans="1:11" ht="16" x14ac:dyDescent="0.2">
      <c r="A882" s="1" t="s">
        <v>213</v>
      </c>
      <c r="B882" t="str">
        <f>LEFT(Table13[[#This Row],[Input]],1)</f>
        <v>R</v>
      </c>
      <c r="C882">
        <f>_xlfn.LET(_xlpm.steps,SUBSTITUTE(Table13[[#This Row],[Input]],Table13[[#This Row],[Direction]],""),VALUE(IF(LEN(_xlpm.steps)&gt;2,RIGHT(_xlpm.steps,2),_xlpm.steps)))</f>
        <v>87</v>
      </c>
      <c r="D882">
        <f>_xlfn.LET(_xlpm.steps,SUBSTITUTE(Table13[[#This Row],[Input]],Table13[[#This Row],[Direction]],""),VALUE(IF(LEN(_xlpm.steps)&gt;2,LEFT(_xlpm.steps,LEN(_xlpm.steps)-2),0)))</f>
        <v>0</v>
      </c>
      <c r="E882">
        <f>_xlfn.LET(_xlpm.dir,Table13[[#This Row],[Direction]],
IF(_xlpm.dir="L",
    IF(G881-Table13[[#This Row],[Steps]]&lt;0,100+(G881-Table13[[#This Row],[Steps]]),G881-Table13[[#This Row],[Steps]]),
))</f>
        <v>0</v>
      </c>
      <c r="F882">
        <f>_xlfn.LET(_xlpm.dir,Table13[[#This Row],[Direction]],
IF(_xlpm.dir="R",
    IF(G881+Table13[[#This Row],[Steps]]&gt;99,(G881+Table13[[#This Row],[Steps]])-100,G881+Table13[[#This Row],[Steps]]),
))</f>
        <v>65</v>
      </c>
      <c r="G882">
        <f>IF(Table13[[#This Row],[New Pos L]]&lt;&gt;0,Table13[[#This Row],[New Pos L]],Table13[[#This Row],[New Pos R]])</f>
        <v>65</v>
      </c>
      <c r="H882">
        <f>IF(AND(Table13[[#This Row],[Direction]]="L",Table13[[#This Row],[Steps]]&gt;G881,G881&lt;&gt;0),1,0)</f>
        <v>0</v>
      </c>
      <c r="I882">
        <f>IF(AND(Table13[[#This Row],[Direction]]="R",(G881+Table13[[#This Row],[Steps]])&gt;100),1,0)</f>
        <v>1</v>
      </c>
      <c r="J882">
        <f>IF(Table13[[#This Row],[POS]]=0,1,0)</f>
        <v>0</v>
      </c>
      <c r="K882">
        <f>SUM(Table13[[#This Row],[prefix]],Table13[[#This Row],[Past zero L]],Table13[[#This Row],[Past Zero R]],Table13[[#This Row],[Is Zero]])</f>
        <v>1</v>
      </c>
    </row>
    <row r="883" spans="1:11" ht="16" x14ac:dyDescent="0.2">
      <c r="A883" s="1" t="s">
        <v>336</v>
      </c>
      <c r="B883" t="str">
        <f>LEFT(Table13[[#This Row],[Input]],1)</f>
        <v>R</v>
      </c>
      <c r="C883">
        <f>_xlfn.LET(_xlpm.steps,SUBSTITUTE(Table13[[#This Row],[Input]],Table13[[#This Row],[Direction]],""),VALUE(IF(LEN(_xlpm.steps)&gt;2,RIGHT(_xlpm.steps,2),_xlpm.steps)))</f>
        <v>95</v>
      </c>
      <c r="D883">
        <f>_xlfn.LET(_xlpm.steps,SUBSTITUTE(Table13[[#This Row],[Input]],Table13[[#This Row],[Direction]],""),VALUE(IF(LEN(_xlpm.steps)&gt;2,LEFT(_xlpm.steps,LEN(_xlpm.steps)-2),0)))</f>
        <v>0</v>
      </c>
      <c r="E883">
        <f>_xlfn.LET(_xlpm.dir,Table13[[#This Row],[Direction]],
IF(_xlpm.dir="L",
    IF(G882-Table13[[#This Row],[Steps]]&lt;0,100+(G882-Table13[[#This Row],[Steps]]),G882-Table13[[#This Row],[Steps]]),
))</f>
        <v>0</v>
      </c>
      <c r="F883">
        <f>_xlfn.LET(_xlpm.dir,Table13[[#This Row],[Direction]],
IF(_xlpm.dir="R",
    IF(G882+Table13[[#This Row],[Steps]]&gt;99,(G882+Table13[[#This Row],[Steps]])-100,G882+Table13[[#This Row],[Steps]]),
))</f>
        <v>60</v>
      </c>
      <c r="G883">
        <f>IF(Table13[[#This Row],[New Pos L]]&lt;&gt;0,Table13[[#This Row],[New Pos L]],Table13[[#This Row],[New Pos R]])</f>
        <v>60</v>
      </c>
      <c r="H883">
        <f>IF(AND(Table13[[#This Row],[Direction]]="L",Table13[[#This Row],[Steps]]&gt;G882,G882&lt;&gt;0),1,0)</f>
        <v>0</v>
      </c>
      <c r="I883">
        <f>IF(AND(Table13[[#This Row],[Direction]]="R",(G882+Table13[[#This Row],[Steps]])&gt;100),1,0)</f>
        <v>1</v>
      </c>
      <c r="J883">
        <f>IF(Table13[[#This Row],[POS]]=0,1,0)</f>
        <v>0</v>
      </c>
      <c r="K883">
        <f>SUM(Table13[[#This Row],[prefix]],Table13[[#This Row],[Past zero L]],Table13[[#This Row],[Past Zero R]],Table13[[#This Row],[Is Zero]])</f>
        <v>1</v>
      </c>
    </row>
    <row r="884" spans="1:11" ht="16" x14ac:dyDescent="0.2">
      <c r="A884" s="1" t="s">
        <v>138</v>
      </c>
      <c r="B884" t="str">
        <f>LEFT(Table13[[#This Row],[Input]],1)</f>
        <v>L</v>
      </c>
      <c r="C884">
        <f>_xlfn.LET(_xlpm.steps,SUBSTITUTE(Table13[[#This Row],[Input]],Table13[[#This Row],[Direction]],""),VALUE(IF(LEN(_xlpm.steps)&gt;2,RIGHT(_xlpm.steps,2),_xlpm.steps)))</f>
        <v>94</v>
      </c>
      <c r="D884">
        <f>_xlfn.LET(_xlpm.steps,SUBSTITUTE(Table13[[#This Row],[Input]],Table13[[#This Row],[Direction]],""),VALUE(IF(LEN(_xlpm.steps)&gt;2,LEFT(_xlpm.steps,LEN(_xlpm.steps)-2),0)))</f>
        <v>0</v>
      </c>
      <c r="E884">
        <f>_xlfn.LET(_xlpm.dir,Table13[[#This Row],[Direction]],
IF(_xlpm.dir="L",
    IF(G883-Table13[[#This Row],[Steps]]&lt;0,100+(G883-Table13[[#This Row],[Steps]]),G883-Table13[[#This Row],[Steps]]),
))</f>
        <v>66</v>
      </c>
      <c r="F884">
        <f>_xlfn.LET(_xlpm.dir,Table13[[#This Row],[Direction]],
IF(_xlpm.dir="R",
    IF(G883+Table13[[#This Row],[Steps]]&gt;99,(G883+Table13[[#This Row],[Steps]])-100,G883+Table13[[#This Row],[Steps]]),
))</f>
        <v>0</v>
      </c>
      <c r="G884">
        <f>IF(Table13[[#This Row],[New Pos L]]&lt;&gt;0,Table13[[#This Row],[New Pos L]],Table13[[#This Row],[New Pos R]])</f>
        <v>66</v>
      </c>
      <c r="H884">
        <f>IF(AND(Table13[[#This Row],[Direction]]="L",Table13[[#This Row],[Steps]]&gt;G883,G883&lt;&gt;0),1,0)</f>
        <v>1</v>
      </c>
      <c r="I884">
        <f>IF(AND(Table13[[#This Row],[Direction]]="R",(G883+Table13[[#This Row],[Steps]])&gt;100),1,0)</f>
        <v>0</v>
      </c>
      <c r="J884">
        <f>IF(Table13[[#This Row],[POS]]=0,1,0)</f>
        <v>0</v>
      </c>
      <c r="K884">
        <f>SUM(Table13[[#This Row],[prefix]],Table13[[#This Row],[Past zero L]],Table13[[#This Row],[Past Zero R]],Table13[[#This Row],[Is Zero]])</f>
        <v>1</v>
      </c>
    </row>
    <row r="885" spans="1:11" ht="16" x14ac:dyDescent="0.2">
      <c r="A885" s="1" t="s">
        <v>172</v>
      </c>
      <c r="B885" t="str">
        <f>LEFT(Table13[[#This Row],[Input]],1)</f>
        <v>L</v>
      </c>
      <c r="C885">
        <f>_xlfn.LET(_xlpm.steps,SUBSTITUTE(Table13[[#This Row],[Input]],Table13[[#This Row],[Direction]],""),VALUE(IF(LEN(_xlpm.steps)&gt;2,RIGHT(_xlpm.steps,2),_xlpm.steps)))</f>
        <v>66</v>
      </c>
      <c r="D885">
        <f>_xlfn.LET(_xlpm.steps,SUBSTITUTE(Table13[[#This Row],[Input]],Table13[[#This Row],[Direction]],""),VALUE(IF(LEN(_xlpm.steps)&gt;2,LEFT(_xlpm.steps,LEN(_xlpm.steps)-2),0)))</f>
        <v>0</v>
      </c>
      <c r="E885">
        <f>_xlfn.LET(_xlpm.dir,Table13[[#This Row],[Direction]],
IF(_xlpm.dir="L",
    IF(G884-Table13[[#This Row],[Steps]]&lt;0,100+(G884-Table13[[#This Row],[Steps]]),G884-Table13[[#This Row],[Steps]]),
))</f>
        <v>0</v>
      </c>
      <c r="F885">
        <f>_xlfn.LET(_xlpm.dir,Table13[[#This Row],[Direction]],
IF(_xlpm.dir="R",
    IF(G884+Table13[[#This Row],[Steps]]&gt;99,(G884+Table13[[#This Row],[Steps]])-100,G884+Table13[[#This Row],[Steps]]),
))</f>
        <v>0</v>
      </c>
      <c r="G885">
        <f>IF(Table13[[#This Row],[New Pos L]]&lt;&gt;0,Table13[[#This Row],[New Pos L]],Table13[[#This Row],[New Pos R]])</f>
        <v>0</v>
      </c>
      <c r="H885">
        <f>IF(AND(Table13[[#This Row],[Direction]]="L",Table13[[#This Row],[Steps]]&gt;G884,G884&lt;&gt;0),1,0)</f>
        <v>0</v>
      </c>
      <c r="I885">
        <f>IF(AND(Table13[[#This Row],[Direction]]="R",(G884+Table13[[#This Row],[Steps]])&gt;100),1,0)</f>
        <v>0</v>
      </c>
      <c r="J885">
        <f>IF(Table13[[#This Row],[POS]]=0,1,0)</f>
        <v>1</v>
      </c>
      <c r="K885">
        <f>SUM(Table13[[#This Row],[prefix]],Table13[[#This Row],[Past zero L]],Table13[[#This Row],[Past Zero R]],Table13[[#This Row],[Is Zero]])</f>
        <v>1</v>
      </c>
    </row>
    <row r="886" spans="1:11" ht="16" x14ac:dyDescent="0.2">
      <c r="A886" s="1" t="s">
        <v>135</v>
      </c>
      <c r="B886" t="str">
        <f>LEFT(Table13[[#This Row],[Input]],1)</f>
        <v>R</v>
      </c>
      <c r="C886">
        <f>_xlfn.LET(_xlpm.steps,SUBSTITUTE(Table13[[#This Row],[Input]],Table13[[#This Row],[Direction]],""),VALUE(IF(LEN(_xlpm.steps)&gt;2,RIGHT(_xlpm.steps,2),_xlpm.steps)))</f>
        <v>69</v>
      </c>
      <c r="D886">
        <f>_xlfn.LET(_xlpm.steps,SUBSTITUTE(Table13[[#This Row],[Input]],Table13[[#This Row],[Direction]],""),VALUE(IF(LEN(_xlpm.steps)&gt;2,LEFT(_xlpm.steps,LEN(_xlpm.steps)-2),0)))</f>
        <v>0</v>
      </c>
      <c r="E886">
        <f>_xlfn.LET(_xlpm.dir,Table13[[#This Row],[Direction]],
IF(_xlpm.dir="L",
    IF(G885-Table13[[#This Row],[Steps]]&lt;0,100+(G885-Table13[[#This Row],[Steps]]),G885-Table13[[#This Row],[Steps]]),
))</f>
        <v>0</v>
      </c>
      <c r="F886">
        <f>_xlfn.LET(_xlpm.dir,Table13[[#This Row],[Direction]],
IF(_xlpm.dir="R",
    IF(G885+Table13[[#This Row],[Steps]]&gt;99,(G885+Table13[[#This Row],[Steps]])-100,G885+Table13[[#This Row],[Steps]]),
))</f>
        <v>69</v>
      </c>
      <c r="G886">
        <f>IF(Table13[[#This Row],[New Pos L]]&lt;&gt;0,Table13[[#This Row],[New Pos L]],Table13[[#This Row],[New Pos R]])</f>
        <v>69</v>
      </c>
      <c r="H886">
        <f>IF(AND(Table13[[#This Row],[Direction]]="L",Table13[[#This Row],[Steps]]&gt;G885,G885&lt;&gt;0),1,0)</f>
        <v>0</v>
      </c>
      <c r="I886">
        <f>IF(AND(Table13[[#This Row],[Direction]]="R",(G885+Table13[[#This Row],[Steps]])&gt;100),1,0)</f>
        <v>0</v>
      </c>
      <c r="J886">
        <f>IF(Table13[[#This Row],[POS]]=0,1,0)</f>
        <v>0</v>
      </c>
      <c r="K886">
        <f>SUM(Table13[[#This Row],[prefix]],Table13[[#This Row],[Past zero L]],Table13[[#This Row],[Past Zero R]],Table13[[#This Row],[Is Zero]])</f>
        <v>0</v>
      </c>
    </row>
    <row r="887" spans="1:11" ht="16" x14ac:dyDescent="0.2">
      <c r="A887" s="1" t="s">
        <v>121</v>
      </c>
      <c r="B887" t="str">
        <f>LEFT(Table13[[#This Row],[Input]],1)</f>
        <v>L</v>
      </c>
      <c r="C887">
        <f>_xlfn.LET(_xlpm.steps,SUBSTITUTE(Table13[[#This Row],[Input]],Table13[[#This Row],[Direction]],""),VALUE(IF(LEN(_xlpm.steps)&gt;2,RIGHT(_xlpm.steps,2),_xlpm.steps)))</f>
        <v>69</v>
      </c>
      <c r="D887">
        <f>_xlfn.LET(_xlpm.steps,SUBSTITUTE(Table13[[#This Row],[Input]],Table13[[#This Row],[Direction]],""),VALUE(IF(LEN(_xlpm.steps)&gt;2,LEFT(_xlpm.steps,LEN(_xlpm.steps)-2),0)))</f>
        <v>0</v>
      </c>
      <c r="E887">
        <f>_xlfn.LET(_xlpm.dir,Table13[[#This Row],[Direction]],
IF(_xlpm.dir="L",
    IF(G886-Table13[[#This Row],[Steps]]&lt;0,100+(G886-Table13[[#This Row],[Steps]]),G886-Table13[[#This Row],[Steps]]),
))</f>
        <v>0</v>
      </c>
      <c r="F887">
        <f>_xlfn.LET(_xlpm.dir,Table13[[#This Row],[Direction]],
IF(_xlpm.dir="R",
    IF(G886+Table13[[#This Row],[Steps]]&gt;99,(G886+Table13[[#This Row],[Steps]])-100,G886+Table13[[#This Row],[Steps]]),
))</f>
        <v>0</v>
      </c>
      <c r="G887">
        <f>IF(Table13[[#This Row],[New Pos L]]&lt;&gt;0,Table13[[#This Row],[New Pos L]],Table13[[#This Row],[New Pos R]])</f>
        <v>0</v>
      </c>
      <c r="H887">
        <f>IF(AND(Table13[[#This Row],[Direction]]="L",Table13[[#This Row],[Steps]]&gt;G886,G886&lt;&gt;0),1,0)</f>
        <v>0</v>
      </c>
      <c r="I887">
        <f>IF(AND(Table13[[#This Row],[Direction]]="R",(G886+Table13[[#This Row],[Steps]])&gt;100),1,0)</f>
        <v>0</v>
      </c>
      <c r="J887">
        <f>IF(Table13[[#This Row],[POS]]=0,1,0)</f>
        <v>1</v>
      </c>
      <c r="K887">
        <f>SUM(Table13[[#This Row],[prefix]],Table13[[#This Row],[Past zero L]],Table13[[#This Row],[Past Zero R]],Table13[[#This Row],[Is Zero]])</f>
        <v>1</v>
      </c>
    </row>
    <row r="888" spans="1:11" ht="16" x14ac:dyDescent="0.2">
      <c r="A888" s="1" t="s">
        <v>115</v>
      </c>
      <c r="B888" t="str">
        <f>LEFT(Table13[[#This Row],[Input]],1)</f>
        <v>L</v>
      </c>
      <c r="C888">
        <f>_xlfn.LET(_xlpm.steps,SUBSTITUTE(Table13[[#This Row],[Input]],Table13[[#This Row],[Direction]],""),VALUE(IF(LEN(_xlpm.steps)&gt;2,RIGHT(_xlpm.steps,2),_xlpm.steps)))</f>
        <v>29</v>
      </c>
      <c r="D888">
        <f>_xlfn.LET(_xlpm.steps,SUBSTITUTE(Table13[[#This Row],[Input]],Table13[[#This Row],[Direction]],""),VALUE(IF(LEN(_xlpm.steps)&gt;2,LEFT(_xlpm.steps,LEN(_xlpm.steps)-2),0)))</f>
        <v>0</v>
      </c>
      <c r="E888">
        <f>_xlfn.LET(_xlpm.dir,Table13[[#This Row],[Direction]],
IF(_xlpm.dir="L",
    IF(G887-Table13[[#This Row],[Steps]]&lt;0,100+(G887-Table13[[#This Row],[Steps]]),G887-Table13[[#This Row],[Steps]]),
))</f>
        <v>71</v>
      </c>
      <c r="F888">
        <f>_xlfn.LET(_xlpm.dir,Table13[[#This Row],[Direction]],
IF(_xlpm.dir="R",
    IF(G887+Table13[[#This Row],[Steps]]&gt;99,(G887+Table13[[#This Row],[Steps]])-100,G887+Table13[[#This Row],[Steps]]),
))</f>
        <v>0</v>
      </c>
      <c r="G888">
        <f>IF(Table13[[#This Row],[New Pos L]]&lt;&gt;0,Table13[[#This Row],[New Pos L]],Table13[[#This Row],[New Pos R]])</f>
        <v>71</v>
      </c>
      <c r="H888">
        <f>IF(AND(Table13[[#This Row],[Direction]]="L",Table13[[#This Row],[Steps]]&gt;G887,G887&lt;&gt;0),1,0)</f>
        <v>0</v>
      </c>
      <c r="I888">
        <f>IF(AND(Table13[[#This Row],[Direction]]="R",(G887+Table13[[#This Row],[Steps]])&gt;100),1,0)</f>
        <v>0</v>
      </c>
      <c r="J888">
        <f>IF(Table13[[#This Row],[POS]]=0,1,0)</f>
        <v>0</v>
      </c>
      <c r="K888">
        <f>SUM(Table13[[#This Row],[prefix]],Table13[[#This Row],[Past zero L]],Table13[[#This Row],[Past Zero R]],Table13[[#This Row],[Is Zero]])</f>
        <v>0</v>
      </c>
    </row>
    <row r="889" spans="1:11" ht="16" x14ac:dyDescent="0.2">
      <c r="A889" s="1" t="s">
        <v>330</v>
      </c>
      <c r="B889" t="str">
        <f>LEFT(Table13[[#This Row],[Input]],1)</f>
        <v>L</v>
      </c>
      <c r="C889">
        <f>_xlfn.LET(_xlpm.steps,SUBSTITUTE(Table13[[#This Row],[Input]],Table13[[#This Row],[Direction]],""),VALUE(IF(LEN(_xlpm.steps)&gt;2,RIGHT(_xlpm.steps,2),_xlpm.steps)))</f>
        <v>47</v>
      </c>
      <c r="D889">
        <f>_xlfn.LET(_xlpm.steps,SUBSTITUTE(Table13[[#This Row],[Input]],Table13[[#This Row],[Direction]],""),VALUE(IF(LEN(_xlpm.steps)&gt;2,LEFT(_xlpm.steps,LEN(_xlpm.steps)-2),0)))</f>
        <v>0</v>
      </c>
      <c r="E889">
        <f>_xlfn.LET(_xlpm.dir,Table13[[#This Row],[Direction]],
IF(_xlpm.dir="L",
    IF(G888-Table13[[#This Row],[Steps]]&lt;0,100+(G888-Table13[[#This Row],[Steps]]),G888-Table13[[#This Row],[Steps]]),
))</f>
        <v>24</v>
      </c>
      <c r="F889">
        <f>_xlfn.LET(_xlpm.dir,Table13[[#This Row],[Direction]],
IF(_xlpm.dir="R",
    IF(G888+Table13[[#This Row],[Steps]]&gt;99,(G888+Table13[[#This Row],[Steps]])-100,G888+Table13[[#This Row],[Steps]]),
))</f>
        <v>0</v>
      </c>
      <c r="G889">
        <f>IF(Table13[[#This Row],[New Pos L]]&lt;&gt;0,Table13[[#This Row],[New Pos L]],Table13[[#This Row],[New Pos R]])</f>
        <v>24</v>
      </c>
      <c r="H889">
        <f>IF(AND(Table13[[#This Row],[Direction]]="L",Table13[[#This Row],[Steps]]&gt;G888,G888&lt;&gt;0),1,0)</f>
        <v>0</v>
      </c>
      <c r="I889">
        <f>IF(AND(Table13[[#This Row],[Direction]]="R",(G888+Table13[[#This Row],[Steps]])&gt;100),1,0)</f>
        <v>0</v>
      </c>
      <c r="J889">
        <f>IF(Table13[[#This Row],[POS]]=0,1,0)</f>
        <v>0</v>
      </c>
      <c r="K889">
        <f>SUM(Table13[[#This Row],[prefix]],Table13[[#This Row],[Past zero L]],Table13[[#This Row],[Past Zero R]],Table13[[#This Row],[Is Zero]])</f>
        <v>0</v>
      </c>
    </row>
    <row r="890" spans="1:11" ht="16" x14ac:dyDescent="0.2">
      <c r="A890" s="1" t="s">
        <v>221</v>
      </c>
      <c r="B890" t="str">
        <f>LEFT(Table13[[#This Row],[Input]],1)</f>
        <v>R</v>
      </c>
      <c r="C890">
        <f>_xlfn.LET(_xlpm.steps,SUBSTITUTE(Table13[[#This Row],[Input]],Table13[[#This Row],[Direction]],""),VALUE(IF(LEN(_xlpm.steps)&gt;2,RIGHT(_xlpm.steps,2),_xlpm.steps)))</f>
        <v>15</v>
      </c>
      <c r="D890">
        <f>_xlfn.LET(_xlpm.steps,SUBSTITUTE(Table13[[#This Row],[Input]],Table13[[#This Row],[Direction]],""),VALUE(IF(LEN(_xlpm.steps)&gt;2,LEFT(_xlpm.steps,LEN(_xlpm.steps)-2),0)))</f>
        <v>8</v>
      </c>
      <c r="E890">
        <f>_xlfn.LET(_xlpm.dir,Table13[[#This Row],[Direction]],
IF(_xlpm.dir="L",
    IF(G889-Table13[[#This Row],[Steps]]&lt;0,100+(G889-Table13[[#This Row],[Steps]]),G889-Table13[[#This Row],[Steps]]),
))</f>
        <v>0</v>
      </c>
      <c r="F890">
        <f>_xlfn.LET(_xlpm.dir,Table13[[#This Row],[Direction]],
IF(_xlpm.dir="R",
    IF(G889+Table13[[#This Row],[Steps]]&gt;99,(G889+Table13[[#This Row],[Steps]])-100,G889+Table13[[#This Row],[Steps]]),
))</f>
        <v>39</v>
      </c>
      <c r="G890">
        <f>IF(Table13[[#This Row],[New Pos L]]&lt;&gt;0,Table13[[#This Row],[New Pos L]],Table13[[#This Row],[New Pos R]])</f>
        <v>39</v>
      </c>
      <c r="H890">
        <f>IF(AND(Table13[[#This Row],[Direction]]="L",Table13[[#This Row],[Steps]]&gt;G889,G889&lt;&gt;0),1,0)</f>
        <v>0</v>
      </c>
      <c r="I890">
        <f>IF(AND(Table13[[#This Row],[Direction]]="R",(G889+Table13[[#This Row],[Steps]])&gt;100),1,0)</f>
        <v>0</v>
      </c>
      <c r="J890">
        <f>IF(Table13[[#This Row],[POS]]=0,1,0)</f>
        <v>0</v>
      </c>
      <c r="K890">
        <f>SUM(Table13[[#This Row],[prefix]],Table13[[#This Row],[Past zero L]],Table13[[#This Row],[Past Zero R]],Table13[[#This Row],[Is Zero]])</f>
        <v>8</v>
      </c>
    </row>
    <row r="891" spans="1:11" ht="16" x14ac:dyDescent="0.2">
      <c r="A891" s="1" t="s">
        <v>255</v>
      </c>
      <c r="B891" t="str">
        <f>LEFT(Table13[[#This Row],[Input]],1)</f>
        <v>R</v>
      </c>
      <c r="C891">
        <f>_xlfn.LET(_xlpm.steps,SUBSTITUTE(Table13[[#This Row],[Input]],Table13[[#This Row],[Direction]],""),VALUE(IF(LEN(_xlpm.steps)&gt;2,RIGHT(_xlpm.steps,2),_xlpm.steps)))</f>
        <v>16</v>
      </c>
      <c r="D891">
        <f>_xlfn.LET(_xlpm.steps,SUBSTITUTE(Table13[[#This Row],[Input]],Table13[[#This Row],[Direction]],""),VALUE(IF(LEN(_xlpm.steps)&gt;2,LEFT(_xlpm.steps,LEN(_xlpm.steps)-2),0)))</f>
        <v>0</v>
      </c>
      <c r="E891">
        <f>_xlfn.LET(_xlpm.dir,Table13[[#This Row],[Direction]],
IF(_xlpm.dir="L",
    IF(G890-Table13[[#This Row],[Steps]]&lt;0,100+(G890-Table13[[#This Row],[Steps]]),G890-Table13[[#This Row],[Steps]]),
))</f>
        <v>0</v>
      </c>
      <c r="F891">
        <f>_xlfn.LET(_xlpm.dir,Table13[[#This Row],[Direction]],
IF(_xlpm.dir="R",
    IF(G890+Table13[[#This Row],[Steps]]&gt;99,(G890+Table13[[#This Row],[Steps]])-100,G890+Table13[[#This Row],[Steps]]),
))</f>
        <v>55</v>
      </c>
      <c r="G891">
        <f>IF(Table13[[#This Row],[New Pos L]]&lt;&gt;0,Table13[[#This Row],[New Pos L]],Table13[[#This Row],[New Pos R]])</f>
        <v>55</v>
      </c>
      <c r="H891">
        <f>IF(AND(Table13[[#This Row],[Direction]]="L",Table13[[#This Row],[Steps]]&gt;G890,G890&lt;&gt;0),1,0)</f>
        <v>0</v>
      </c>
      <c r="I891">
        <f>IF(AND(Table13[[#This Row],[Direction]]="R",(G890+Table13[[#This Row],[Steps]])&gt;100),1,0)</f>
        <v>0</v>
      </c>
      <c r="J891">
        <f>IF(Table13[[#This Row],[POS]]=0,1,0)</f>
        <v>0</v>
      </c>
      <c r="K891">
        <f>SUM(Table13[[#This Row],[prefix]],Table13[[#This Row],[Past zero L]],Table13[[#This Row],[Past Zero R]],Table13[[#This Row],[Is Zero]])</f>
        <v>0</v>
      </c>
    </row>
    <row r="892" spans="1:11" ht="16" x14ac:dyDescent="0.2">
      <c r="A892" s="1" t="s">
        <v>337</v>
      </c>
      <c r="B892" t="str">
        <f>LEFT(Table13[[#This Row],[Input]],1)</f>
        <v>L</v>
      </c>
      <c r="C892">
        <f>_xlfn.LET(_xlpm.steps,SUBSTITUTE(Table13[[#This Row],[Input]],Table13[[#This Row],[Direction]],""),VALUE(IF(LEN(_xlpm.steps)&gt;2,RIGHT(_xlpm.steps,2),_xlpm.steps)))</f>
        <v>38</v>
      </c>
      <c r="D892">
        <f>_xlfn.LET(_xlpm.steps,SUBSTITUTE(Table13[[#This Row],[Input]],Table13[[#This Row],[Direction]],""),VALUE(IF(LEN(_xlpm.steps)&gt;2,LEFT(_xlpm.steps,LEN(_xlpm.steps)-2),0)))</f>
        <v>1</v>
      </c>
      <c r="E892">
        <f>_xlfn.LET(_xlpm.dir,Table13[[#This Row],[Direction]],
IF(_xlpm.dir="L",
    IF(G891-Table13[[#This Row],[Steps]]&lt;0,100+(G891-Table13[[#This Row],[Steps]]),G891-Table13[[#This Row],[Steps]]),
))</f>
        <v>17</v>
      </c>
      <c r="F892">
        <f>_xlfn.LET(_xlpm.dir,Table13[[#This Row],[Direction]],
IF(_xlpm.dir="R",
    IF(G891+Table13[[#This Row],[Steps]]&gt;99,(G891+Table13[[#This Row],[Steps]])-100,G891+Table13[[#This Row],[Steps]]),
))</f>
        <v>0</v>
      </c>
      <c r="G892">
        <f>IF(Table13[[#This Row],[New Pos L]]&lt;&gt;0,Table13[[#This Row],[New Pos L]],Table13[[#This Row],[New Pos R]])</f>
        <v>17</v>
      </c>
      <c r="H892">
        <f>IF(AND(Table13[[#This Row],[Direction]]="L",Table13[[#This Row],[Steps]]&gt;G891,G891&lt;&gt;0),1,0)</f>
        <v>0</v>
      </c>
      <c r="I892">
        <f>IF(AND(Table13[[#This Row],[Direction]]="R",(G891+Table13[[#This Row],[Steps]])&gt;100),1,0)</f>
        <v>0</v>
      </c>
      <c r="J892">
        <f>IF(Table13[[#This Row],[POS]]=0,1,0)</f>
        <v>0</v>
      </c>
      <c r="K892">
        <f>SUM(Table13[[#This Row],[prefix]],Table13[[#This Row],[Past zero L]],Table13[[#This Row],[Past Zero R]],Table13[[#This Row],[Is Zero]])</f>
        <v>1</v>
      </c>
    </row>
    <row r="893" spans="1:11" ht="16" x14ac:dyDescent="0.2">
      <c r="A893" s="1" t="s">
        <v>205</v>
      </c>
      <c r="B893" t="str">
        <f>LEFT(Table13[[#This Row],[Input]],1)</f>
        <v>R</v>
      </c>
      <c r="C893">
        <f>_xlfn.LET(_xlpm.steps,SUBSTITUTE(Table13[[#This Row],[Input]],Table13[[#This Row],[Direction]],""),VALUE(IF(LEN(_xlpm.steps)&gt;2,RIGHT(_xlpm.steps,2),_xlpm.steps)))</f>
        <v>83</v>
      </c>
      <c r="D893">
        <f>_xlfn.LET(_xlpm.steps,SUBSTITUTE(Table13[[#This Row],[Input]],Table13[[#This Row],[Direction]],""),VALUE(IF(LEN(_xlpm.steps)&gt;2,LEFT(_xlpm.steps,LEN(_xlpm.steps)-2),0)))</f>
        <v>0</v>
      </c>
      <c r="E893">
        <f>_xlfn.LET(_xlpm.dir,Table13[[#This Row],[Direction]],
IF(_xlpm.dir="L",
    IF(G892-Table13[[#This Row],[Steps]]&lt;0,100+(G892-Table13[[#This Row],[Steps]]),G892-Table13[[#This Row],[Steps]]),
))</f>
        <v>0</v>
      </c>
      <c r="F893">
        <f>_xlfn.LET(_xlpm.dir,Table13[[#This Row],[Direction]],
IF(_xlpm.dir="R",
    IF(G892+Table13[[#This Row],[Steps]]&gt;99,(G892+Table13[[#This Row],[Steps]])-100,G892+Table13[[#This Row],[Steps]]),
))</f>
        <v>0</v>
      </c>
      <c r="G893">
        <f>IF(Table13[[#This Row],[New Pos L]]&lt;&gt;0,Table13[[#This Row],[New Pos L]],Table13[[#This Row],[New Pos R]])</f>
        <v>0</v>
      </c>
      <c r="H893">
        <f>IF(AND(Table13[[#This Row],[Direction]]="L",Table13[[#This Row],[Steps]]&gt;G892,G892&lt;&gt;0),1,0)</f>
        <v>0</v>
      </c>
      <c r="I893">
        <f>IF(AND(Table13[[#This Row],[Direction]]="R",(G892+Table13[[#This Row],[Steps]])&gt;100),1,0)</f>
        <v>0</v>
      </c>
      <c r="J893">
        <f>IF(Table13[[#This Row],[POS]]=0,1,0)</f>
        <v>1</v>
      </c>
      <c r="K893">
        <f>SUM(Table13[[#This Row],[prefix]],Table13[[#This Row],[Past zero L]],Table13[[#This Row],[Past Zero R]],Table13[[#This Row],[Is Zero]])</f>
        <v>1</v>
      </c>
    </row>
    <row r="894" spans="1:11" ht="16" x14ac:dyDescent="0.2">
      <c r="A894" s="1" t="s">
        <v>174</v>
      </c>
      <c r="B894" t="str">
        <f>LEFT(Table13[[#This Row],[Input]],1)</f>
        <v>L</v>
      </c>
      <c r="C894">
        <f>_xlfn.LET(_xlpm.steps,SUBSTITUTE(Table13[[#This Row],[Input]],Table13[[#This Row],[Direction]],""),VALUE(IF(LEN(_xlpm.steps)&gt;2,RIGHT(_xlpm.steps,2),_xlpm.steps)))</f>
        <v>92</v>
      </c>
      <c r="D894">
        <f>_xlfn.LET(_xlpm.steps,SUBSTITUTE(Table13[[#This Row],[Input]],Table13[[#This Row],[Direction]],""),VALUE(IF(LEN(_xlpm.steps)&gt;2,LEFT(_xlpm.steps,LEN(_xlpm.steps)-2),0)))</f>
        <v>0</v>
      </c>
      <c r="E894">
        <f>_xlfn.LET(_xlpm.dir,Table13[[#This Row],[Direction]],
IF(_xlpm.dir="L",
    IF(G893-Table13[[#This Row],[Steps]]&lt;0,100+(G893-Table13[[#This Row],[Steps]]),G893-Table13[[#This Row],[Steps]]),
))</f>
        <v>8</v>
      </c>
      <c r="F894">
        <f>_xlfn.LET(_xlpm.dir,Table13[[#This Row],[Direction]],
IF(_xlpm.dir="R",
    IF(G893+Table13[[#This Row],[Steps]]&gt;99,(G893+Table13[[#This Row],[Steps]])-100,G893+Table13[[#This Row],[Steps]]),
))</f>
        <v>0</v>
      </c>
      <c r="G894">
        <f>IF(Table13[[#This Row],[New Pos L]]&lt;&gt;0,Table13[[#This Row],[New Pos L]],Table13[[#This Row],[New Pos R]])</f>
        <v>8</v>
      </c>
      <c r="H894">
        <f>IF(AND(Table13[[#This Row],[Direction]]="L",Table13[[#This Row],[Steps]]&gt;G893,G893&lt;&gt;0),1,0)</f>
        <v>0</v>
      </c>
      <c r="I894">
        <f>IF(AND(Table13[[#This Row],[Direction]]="R",(G893+Table13[[#This Row],[Steps]])&gt;100),1,0)</f>
        <v>0</v>
      </c>
      <c r="J894">
        <f>IF(Table13[[#This Row],[POS]]=0,1,0)</f>
        <v>0</v>
      </c>
      <c r="K894">
        <f>SUM(Table13[[#This Row],[prefix]],Table13[[#This Row],[Past zero L]],Table13[[#This Row],[Past Zero R]],Table13[[#This Row],[Is Zero]])</f>
        <v>0</v>
      </c>
    </row>
    <row r="895" spans="1:11" ht="16" x14ac:dyDescent="0.2">
      <c r="A895" s="1" t="s">
        <v>123</v>
      </c>
      <c r="B895" t="str">
        <f>LEFT(Table13[[#This Row],[Input]],1)</f>
        <v>L</v>
      </c>
      <c r="C895">
        <f>_xlfn.LET(_xlpm.steps,SUBSTITUTE(Table13[[#This Row],[Input]],Table13[[#This Row],[Direction]],""),VALUE(IF(LEN(_xlpm.steps)&gt;2,RIGHT(_xlpm.steps,2),_xlpm.steps)))</f>
        <v>63</v>
      </c>
      <c r="D895">
        <f>_xlfn.LET(_xlpm.steps,SUBSTITUTE(Table13[[#This Row],[Input]],Table13[[#This Row],[Direction]],""),VALUE(IF(LEN(_xlpm.steps)&gt;2,LEFT(_xlpm.steps,LEN(_xlpm.steps)-2),0)))</f>
        <v>0</v>
      </c>
      <c r="E895">
        <f>_xlfn.LET(_xlpm.dir,Table13[[#This Row],[Direction]],
IF(_xlpm.dir="L",
    IF(G894-Table13[[#This Row],[Steps]]&lt;0,100+(G894-Table13[[#This Row],[Steps]]),G894-Table13[[#This Row],[Steps]]),
))</f>
        <v>45</v>
      </c>
      <c r="F895">
        <f>_xlfn.LET(_xlpm.dir,Table13[[#This Row],[Direction]],
IF(_xlpm.dir="R",
    IF(G894+Table13[[#This Row],[Steps]]&gt;99,(G894+Table13[[#This Row],[Steps]])-100,G894+Table13[[#This Row],[Steps]]),
))</f>
        <v>0</v>
      </c>
      <c r="G895">
        <f>IF(Table13[[#This Row],[New Pos L]]&lt;&gt;0,Table13[[#This Row],[New Pos L]],Table13[[#This Row],[New Pos R]])</f>
        <v>45</v>
      </c>
      <c r="H895">
        <f>IF(AND(Table13[[#This Row],[Direction]]="L",Table13[[#This Row],[Steps]]&gt;G894,G894&lt;&gt;0),1,0)</f>
        <v>1</v>
      </c>
      <c r="I895">
        <f>IF(AND(Table13[[#This Row],[Direction]]="R",(G894+Table13[[#This Row],[Steps]])&gt;100),1,0)</f>
        <v>0</v>
      </c>
      <c r="J895">
        <f>IF(Table13[[#This Row],[POS]]=0,1,0)</f>
        <v>0</v>
      </c>
      <c r="K895">
        <f>SUM(Table13[[#This Row],[prefix]],Table13[[#This Row],[Past zero L]],Table13[[#This Row],[Past Zero R]],Table13[[#This Row],[Is Zero]])</f>
        <v>1</v>
      </c>
    </row>
    <row r="896" spans="1:11" ht="16" x14ac:dyDescent="0.2">
      <c r="A896" s="1" t="s">
        <v>59</v>
      </c>
      <c r="B896" t="str">
        <f>LEFT(Table13[[#This Row],[Input]],1)</f>
        <v>L</v>
      </c>
      <c r="C896">
        <f>_xlfn.LET(_xlpm.steps,SUBSTITUTE(Table13[[#This Row],[Input]],Table13[[#This Row],[Direction]],""),VALUE(IF(LEN(_xlpm.steps)&gt;2,RIGHT(_xlpm.steps,2),_xlpm.steps)))</f>
        <v>6</v>
      </c>
      <c r="D896">
        <f>_xlfn.LET(_xlpm.steps,SUBSTITUTE(Table13[[#This Row],[Input]],Table13[[#This Row],[Direction]],""),VALUE(IF(LEN(_xlpm.steps)&gt;2,LEFT(_xlpm.steps,LEN(_xlpm.steps)-2),0)))</f>
        <v>0</v>
      </c>
      <c r="E896">
        <f>_xlfn.LET(_xlpm.dir,Table13[[#This Row],[Direction]],
IF(_xlpm.dir="L",
    IF(G895-Table13[[#This Row],[Steps]]&lt;0,100+(G895-Table13[[#This Row],[Steps]]),G895-Table13[[#This Row],[Steps]]),
))</f>
        <v>39</v>
      </c>
      <c r="F896">
        <f>_xlfn.LET(_xlpm.dir,Table13[[#This Row],[Direction]],
IF(_xlpm.dir="R",
    IF(G895+Table13[[#This Row],[Steps]]&gt;99,(G895+Table13[[#This Row],[Steps]])-100,G895+Table13[[#This Row],[Steps]]),
))</f>
        <v>0</v>
      </c>
      <c r="G896">
        <f>IF(Table13[[#This Row],[New Pos L]]&lt;&gt;0,Table13[[#This Row],[New Pos L]],Table13[[#This Row],[New Pos R]])</f>
        <v>39</v>
      </c>
      <c r="H896">
        <f>IF(AND(Table13[[#This Row],[Direction]]="L",Table13[[#This Row],[Steps]]&gt;G895,G895&lt;&gt;0),1,0)</f>
        <v>0</v>
      </c>
      <c r="I896">
        <f>IF(AND(Table13[[#This Row],[Direction]]="R",(G895+Table13[[#This Row],[Steps]])&gt;100),1,0)</f>
        <v>0</v>
      </c>
      <c r="J896">
        <f>IF(Table13[[#This Row],[POS]]=0,1,0)</f>
        <v>0</v>
      </c>
      <c r="K896">
        <f>SUM(Table13[[#This Row],[prefix]],Table13[[#This Row],[Past zero L]],Table13[[#This Row],[Past Zero R]],Table13[[#This Row],[Is Zero]])</f>
        <v>0</v>
      </c>
    </row>
    <row r="897" spans="1:11" ht="16" x14ac:dyDescent="0.2">
      <c r="A897" s="1" t="s">
        <v>185</v>
      </c>
      <c r="B897" t="str">
        <f>LEFT(Table13[[#This Row],[Input]],1)</f>
        <v>R</v>
      </c>
      <c r="C897">
        <f>_xlfn.LET(_xlpm.steps,SUBSTITUTE(Table13[[#This Row],[Input]],Table13[[#This Row],[Direction]],""),VALUE(IF(LEN(_xlpm.steps)&gt;2,RIGHT(_xlpm.steps,2),_xlpm.steps)))</f>
        <v>61</v>
      </c>
      <c r="D897">
        <f>_xlfn.LET(_xlpm.steps,SUBSTITUTE(Table13[[#This Row],[Input]],Table13[[#This Row],[Direction]],""),VALUE(IF(LEN(_xlpm.steps)&gt;2,LEFT(_xlpm.steps,LEN(_xlpm.steps)-2),0)))</f>
        <v>0</v>
      </c>
      <c r="E897">
        <f>_xlfn.LET(_xlpm.dir,Table13[[#This Row],[Direction]],
IF(_xlpm.dir="L",
    IF(G896-Table13[[#This Row],[Steps]]&lt;0,100+(G896-Table13[[#This Row],[Steps]]),G896-Table13[[#This Row],[Steps]]),
))</f>
        <v>0</v>
      </c>
      <c r="F897">
        <f>_xlfn.LET(_xlpm.dir,Table13[[#This Row],[Direction]],
IF(_xlpm.dir="R",
    IF(G896+Table13[[#This Row],[Steps]]&gt;99,(G896+Table13[[#This Row],[Steps]])-100,G896+Table13[[#This Row],[Steps]]),
))</f>
        <v>0</v>
      </c>
      <c r="G897">
        <f>IF(Table13[[#This Row],[New Pos L]]&lt;&gt;0,Table13[[#This Row],[New Pos L]],Table13[[#This Row],[New Pos R]])</f>
        <v>0</v>
      </c>
      <c r="H897">
        <f>IF(AND(Table13[[#This Row],[Direction]]="L",Table13[[#This Row],[Steps]]&gt;G896,G896&lt;&gt;0),1,0)</f>
        <v>0</v>
      </c>
      <c r="I897">
        <f>IF(AND(Table13[[#This Row],[Direction]]="R",(G896+Table13[[#This Row],[Steps]])&gt;100),1,0)</f>
        <v>0</v>
      </c>
      <c r="J897">
        <f>IF(Table13[[#This Row],[POS]]=0,1,0)</f>
        <v>1</v>
      </c>
      <c r="K897">
        <f>SUM(Table13[[#This Row],[prefix]],Table13[[#This Row],[Past zero L]],Table13[[#This Row],[Past Zero R]],Table13[[#This Row],[Is Zero]])</f>
        <v>1</v>
      </c>
    </row>
    <row r="898" spans="1:11" ht="16" x14ac:dyDescent="0.2">
      <c r="A898" s="1" t="s">
        <v>187</v>
      </c>
      <c r="B898" t="str">
        <f>LEFT(Table13[[#This Row],[Input]],1)</f>
        <v>R</v>
      </c>
      <c r="C898">
        <f>_xlfn.LET(_xlpm.steps,SUBSTITUTE(Table13[[#This Row],[Input]],Table13[[#This Row],[Direction]],""),VALUE(IF(LEN(_xlpm.steps)&gt;2,RIGHT(_xlpm.steps,2),_xlpm.steps)))</f>
        <v>20</v>
      </c>
      <c r="D898">
        <f>_xlfn.LET(_xlpm.steps,SUBSTITUTE(Table13[[#This Row],[Input]],Table13[[#This Row],[Direction]],""),VALUE(IF(LEN(_xlpm.steps)&gt;2,LEFT(_xlpm.steps,LEN(_xlpm.steps)-2),0)))</f>
        <v>0</v>
      </c>
      <c r="E898">
        <f>_xlfn.LET(_xlpm.dir,Table13[[#This Row],[Direction]],
IF(_xlpm.dir="L",
    IF(G897-Table13[[#This Row],[Steps]]&lt;0,100+(G897-Table13[[#This Row],[Steps]]),G897-Table13[[#This Row],[Steps]]),
))</f>
        <v>0</v>
      </c>
      <c r="F898">
        <f>_xlfn.LET(_xlpm.dir,Table13[[#This Row],[Direction]],
IF(_xlpm.dir="R",
    IF(G897+Table13[[#This Row],[Steps]]&gt;99,(G897+Table13[[#This Row],[Steps]])-100,G897+Table13[[#This Row],[Steps]]),
))</f>
        <v>20</v>
      </c>
      <c r="G898">
        <f>IF(Table13[[#This Row],[New Pos L]]&lt;&gt;0,Table13[[#This Row],[New Pos L]],Table13[[#This Row],[New Pos R]])</f>
        <v>20</v>
      </c>
      <c r="H898">
        <f>IF(AND(Table13[[#This Row],[Direction]]="L",Table13[[#This Row],[Steps]]&gt;G897,G897&lt;&gt;0),1,0)</f>
        <v>0</v>
      </c>
      <c r="I898">
        <f>IF(AND(Table13[[#This Row],[Direction]]="R",(G897+Table13[[#This Row],[Steps]])&gt;100),1,0)</f>
        <v>0</v>
      </c>
      <c r="J898">
        <f>IF(Table13[[#This Row],[POS]]=0,1,0)</f>
        <v>0</v>
      </c>
      <c r="K898">
        <f>SUM(Table13[[#This Row],[prefix]],Table13[[#This Row],[Past zero L]],Table13[[#This Row],[Past Zero R]],Table13[[#This Row],[Is Zero]])</f>
        <v>0</v>
      </c>
    </row>
    <row r="899" spans="1:11" ht="16" x14ac:dyDescent="0.2">
      <c r="A899" s="1" t="s">
        <v>338</v>
      </c>
      <c r="B899" t="str">
        <f>LEFT(Table13[[#This Row],[Input]],1)</f>
        <v>R</v>
      </c>
      <c r="C899">
        <f>_xlfn.LET(_xlpm.steps,SUBSTITUTE(Table13[[#This Row],[Input]],Table13[[#This Row],[Direction]],""),VALUE(IF(LEN(_xlpm.steps)&gt;2,RIGHT(_xlpm.steps,2),_xlpm.steps)))</f>
        <v>61</v>
      </c>
      <c r="D899">
        <f>_xlfn.LET(_xlpm.steps,SUBSTITUTE(Table13[[#This Row],[Input]],Table13[[#This Row],[Direction]],""),VALUE(IF(LEN(_xlpm.steps)&gt;2,LEFT(_xlpm.steps,LEN(_xlpm.steps)-2),0)))</f>
        <v>2</v>
      </c>
      <c r="E899">
        <f>_xlfn.LET(_xlpm.dir,Table13[[#This Row],[Direction]],
IF(_xlpm.dir="L",
    IF(G898-Table13[[#This Row],[Steps]]&lt;0,100+(G898-Table13[[#This Row],[Steps]]),G898-Table13[[#This Row],[Steps]]),
))</f>
        <v>0</v>
      </c>
      <c r="F899">
        <f>_xlfn.LET(_xlpm.dir,Table13[[#This Row],[Direction]],
IF(_xlpm.dir="R",
    IF(G898+Table13[[#This Row],[Steps]]&gt;99,(G898+Table13[[#This Row],[Steps]])-100,G898+Table13[[#This Row],[Steps]]),
))</f>
        <v>81</v>
      </c>
      <c r="G899">
        <f>IF(Table13[[#This Row],[New Pos L]]&lt;&gt;0,Table13[[#This Row],[New Pos L]],Table13[[#This Row],[New Pos R]])</f>
        <v>81</v>
      </c>
      <c r="H899">
        <f>IF(AND(Table13[[#This Row],[Direction]]="L",Table13[[#This Row],[Steps]]&gt;G898,G898&lt;&gt;0),1,0)</f>
        <v>0</v>
      </c>
      <c r="I899">
        <f>IF(AND(Table13[[#This Row],[Direction]]="R",(G898+Table13[[#This Row],[Steps]])&gt;100),1,0)</f>
        <v>0</v>
      </c>
      <c r="J899">
        <f>IF(Table13[[#This Row],[POS]]=0,1,0)</f>
        <v>0</v>
      </c>
      <c r="K899">
        <f>SUM(Table13[[#This Row],[prefix]],Table13[[#This Row],[Past zero L]],Table13[[#This Row],[Past Zero R]],Table13[[#This Row],[Is Zero]])</f>
        <v>2</v>
      </c>
    </row>
    <row r="900" spans="1:11" ht="16" x14ac:dyDescent="0.2">
      <c r="A900" s="1" t="s">
        <v>339</v>
      </c>
      <c r="B900" t="str">
        <f>LEFT(Table13[[#This Row],[Input]],1)</f>
        <v>R</v>
      </c>
      <c r="C900">
        <f>_xlfn.LET(_xlpm.steps,SUBSTITUTE(Table13[[#This Row],[Input]],Table13[[#This Row],[Direction]],""),VALUE(IF(LEN(_xlpm.steps)&gt;2,RIGHT(_xlpm.steps,2),_xlpm.steps)))</f>
        <v>9</v>
      </c>
      <c r="D900">
        <f>_xlfn.LET(_xlpm.steps,SUBSTITUTE(Table13[[#This Row],[Input]],Table13[[#This Row],[Direction]],""),VALUE(IF(LEN(_xlpm.steps)&gt;2,LEFT(_xlpm.steps,LEN(_xlpm.steps)-2),0)))</f>
        <v>8</v>
      </c>
      <c r="E900">
        <f>_xlfn.LET(_xlpm.dir,Table13[[#This Row],[Direction]],
IF(_xlpm.dir="L",
    IF(G899-Table13[[#This Row],[Steps]]&lt;0,100+(G899-Table13[[#This Row],[Steps]]),G899-Table13[[#This Row],[Steps]]),
))</f>
        <v>0</v>
      </c>
      <c r="F900">
        <f>_xlfn.LET(_xlpm.dir,Table13[[#This Row],[Direction]],
IF(_xlpm.dir="R",
    IF(G899+Table13[[#This Row],[Steps]]&gt;99,(G899+Table13[[#This Row],[Steps]])-100,G899+Table13[[#This Row],[Steps]]),
))</f>
        <v>90</v>
      </c>
      <c r="G900">
        <f>IF(Table13[[#This Row],[New Pos L]]&lt;&gt;0,Table13[[#This Row],[New Pos L]],Table13[[#This Row],[New Pos R]])</f>
        <v>90</v>
      </c>
      <c r="H900">
        <f>IF(AND(Table13[[#This Row],[Direction]]="L",Table13[[#This Row],[Steps]]&gt;G899,G899&lt;&gt;0),1,0)</f>
        <v>0</v>
      </c>
      <c r="I900">
        <f>IF(AND(Table13[[#This Row],[Direction]]="R",(G899+Table13[[#This Row],[Steps]])&gt;100),1,0)</f>
        <v>0</v>
      </c>
      <c r="J900">
        <f>IF(Table13[[#This Row],[POS]]=0,1,0)</f>
        <v>0</v>
      </c>
      <c r="K900">
        <f>SUM(Table13[[#This Row],[prefix]],Table13[[#This Row],[Past zero L]],Table13[[#This Row],[Past Zero R]],Table13[[#This Row],[Is Zero]])</f>
        <v>8</v>
      </c>
    </row>
    <row r="901" spans="1:11" ht="16" x14ac:dyDescent="0.2">
      <c r="A901" s="1" t="s">
        <v>179</v>
      </c>
      <c r="B901" t="str">
        <f>LEFT(Table13[[#This Row],[Input]],1)</f>
        <v>L</v>
      </c>
      <c r="C901">
        <f>_xlfn.LET(_xlpm.steps,SUBSTITUTE(Table13[[#This Row],[Input]],Table13[[#This Row],[Direction]],""),VALUE(IF(LEN(_xlpm.steps)&gt;2,RIGHT(_xlpm.steps,2),_xlpm.steps)))</f>
        <v>54</v>
      </c>
      <c r="D901">
        <f>_xlfn.LET(_xlpm.steps,SUBSTITUTE(Table13[[#This Row],[Input]],Table13[[#This Row],[Direction]],""),VALUE(IF(LEN(_xlpm.steps)&gt;2,LEFT(_xlpm.steps,LEN(_xlpm.steps)-2),0)))</f>
        <v>0</v>
      </c>
      <c r="E901">
        <f>_xlfn.LET(_xlpm.dir,Table13[[#This Row],[Direction]],
IF(_xlpm.dir="L",
    IF(G900-Table13[[#This Row],[Steps]]&lt;0,100+(G900-Table13[[#This Row],[Steps]]),G900-Table13[[#This Row],[Steps]]),
))</f>
        <v>36</v>
      </c>
      <c r="F901">
        <f>_xlfn.LET(_xlpm.dir,Table13[[#This Row],[Direction]],
IF(_xlpm.dir="R",
    IF(G900+Table13[[#This Row],[Steps]]&gt;99,(G900+Table13[[#This Row],[Steps]])-100,G900+Table13[[#This Row],[Steps]]),
))</f>
        <v>0</v>
      </c>
      <c r="G901">
        <f>IF(Table13[[#This Row],[New Pos L]]&lt;&gt;0,Table13[[#This Row],[New Pos L]],Table13[[#This Row],[New Pos R]])</f>
        <v>36</v>
      </c>
      <c r="H901">
        <f>IF(AND(Table13[[#This Row],[Direction]]="L",Table13[[#This Row],[Steps]]&gt;G900,G900&lt;&gt;0),1,0)</f>
        <v>0</v>
      </c>
      <c r="I901">
        <f>IF(AND(Table13[[#This Row],[Direction]]="R",(G900+Table13[[#This Row],[Steps]])&gt;100),1,0)</f>
        <v>0</v>
      </c>
      <c r="J901">
        <f>IF(Table13[[#This Row],[POS]]=0,1,0)</f>
        <v>0</v>
      </c>
      <c r="K901">
        <f>SUM(Table13[[#This Row],[prefix]],Table13[[#This Row],[Past zero L]],Table13[[#This Row],[Past Zero R]],Table13[[#This Row],[Is Zero]])</f>
        <v>0</v>
      </c>
    </row>
    <row r="902" spans="1:11" ht="16" x14ac:dyDescent="0.2">
      <c r="A902" s="1" t="s">
        <v>128</v>
      </c>
      <c r="B902" t="str">
        <f>LEFT(Table13[[#This Row],[Input]],1)</f>
        <v>R</v>
      </c>
      <c r="C902">
        <f>_xlfn.LET(_xlpm.steps,SUBSTITUTE(Table13[[#This Row],[Input]],Table13[[#This Row],[Direction]],""),VALUE(IF(LEN(_xlpm.steps)&gt;2,RIGHT(_xlpm.steps,2),_xlpm.steps)))</f>
        <v>92</v>
      </c>
      <c r="D902">
        <f>_xlfn.LET(_xlpm.steps,SUBSTITUTE(Table13[[#This Row],[Input]],Table13[[#This Row],[Direction]],""),VALUE(IF(LEN(_xlpm.steps)&gt;2,LEFT(_xlpm.steps,LEN(_xlpm.steps)-2),0)))</f>
        <v>0</v>
      </c>
      <c r="E902">
        <f>_xlfn.LET(_xlpm.dir,Table13[[#This Row],[Direction]],
IF(_xlpm.dir="L",
    IF(G901-Table13[[#This Row],[Steps]]&lt;0,100+(G901-Table13[[#This Row],[Steps]]),G901-Table13[[#This Row],[Steps]]),
))</f>
        <v>0</v>
      </c>
      <c r="F902">
        <f>_xlfn.LET(_xlpm.dir,Table13[[#This Row],[Direction]],
IF(_xlpm.dir="R",
    IF(G901+Table13[[#This Row],[Steps]]&gt;99,(G901+Table13[[#This Row],[Steps]])-100,G901+Table13[[#This Row],[Steps]]),
))</f>
        <v>28</v>
      </c>
      <c r="G902">
        <f>IF(Table13[[#This Row],[New Pos L]]&lt;&gt;0,Table13[[#This Row],[New Pos L]],Table13[[#This Row],[New Pos R]])</f>
        <v>28</v>
      </c>
      <c r="H902">
        <f>IF(AND(Table13[[#This Row],[Direction]]="L",Table13[[#This Row],[Steps]]&gt;G901,G901&lt;&gt;0),1,0)</f>
        <v>0</v>
      </c>
      <c r="I902">
        <f>IF(AND(Table13[[#This Row],[Direction]]="R",(G901+Table13[[#This Row],[Steps]])&gt;100),1,0)</f>
        <v>1</v>
      </c>
      <c r="J902">
        <f>IF(Table13[[#This Row],[POS]]=0,1,0)</f>
        <v>0</v>
      </c>
      <c r="K902">
        <f>SUM(Table13[[#This Row],[prefix]],Table13[[#This Row],[Past zero L]],Table13[[#This Row],[Past Zero R]],Table13[[#This Row],[Is Zero]])</f>
        <v>1</v>
      </c>
    </row>
    <row r="903" spans="1:11" ht="16" x14ac:dyDescent="0.2">
      <c r="A903" s="1" t="s">
        <v>32</v>
      </c>
      <c r="B903" t="str">
        <f>LEFT(Table13[[#This Row],[Input]],1)</f>
        <v>L</v>
      </c>
      <c r="C903">
        <f>_xlfn.LET(_xlpm.steps,SUBSTITUTE(Table13[[#This Row],[Input]],Table13[[#This Row],[Direction]],""),VALUE(IF(LEN(_xlpm.steps)&gt;2,RIGHT(_xlpm.steps,2),_xlpm.steps)))</f>
        <v>28</v>
      </c>
      <c r="D903">
        <f>_xlfn.LET(_xlpm.steps,SUBSTITUTE(Table13[[#This Row],[Input]],Table13[[#This Row],[Direction]],""),VALUE(IF(LEN(_xlpm.steps)&gt;2,LEFT(_xlpm.steps,LEN(_xlpm.steps)-2),0)))</f>
        <v>0</v>
      </c>
      <c r="E903">
        <f>_xlfn.LET(_xlpm.dir,Table13[[#This Row],[Direction]],
IF(_xlpm.dir="L",
    IF(G902-Table13[[#This Row],[Steps]]&lt;0,100+(G902-Table13[[#This Row],[Steps]]),G902-Table13[[#This Row],[Steps]]),
))</f>
        <v>0</v>
      </c>
      <c r="F903">
        <f>_xlfn.LET(_xlpm.dir,Table13[[#This Row],[Direction]],
IF(_xlpm.dir="R",
    IF(G902+Table13[[#This Row],[Steps]]&gt;99,(G902+Table13[[#This Row],[Steps]])-100,G902+Table13[[#This Row],[Steps]]),
))</f>
        <v>0</v>
      </c>
      <c r="G903">
        <f>IF(Table13[[#This Row],[New Pos L]]&lt;&gt;0,Table13[[#This Row],[New Pos L]],Table13[[#This Row],[New Pos R]])</f>
        <v>0</v>
      </c>
      <c r="H903">
        <f>IF(AND(Table13[[#This Row],[Direction]]="L",Table13[[#This Row],[Steps]]&gt;G902,G902&lt;&gt;0),1,0)</f>
        <v>0</v>
      </c>
      <c r="I903">
        <f>IF(AND(Table13[[#This Row],[Direction]]="R",(G902+Table13[[#This Row],[Steps]])&gt;100),1,0)</f>
        <v>0</v>
      </c>
      <c r="J903">
        <f>IF(Table13[[#This Row],[POS]]=0,1,0)</f>
        <v>1</v>
      </c>
      <c r="K903">
        <f>SUM(Table13[[#This Row],[prefix]],Table13[[#This Row],[Past zero L]],Table13[[#This Row],[Past Zero R]],Table13[[#This Row],[Is Zero]])</f>
        <v>1</v>
      </c>
    </row>
    <row r="904" spans="1:11" ht="16" x14ac:dyDescent="0.2">
      <c r="A904" s="1" t="s">
        <v>0</v>
      </c>
      <c r="B904" t="str">
        <f>LEFT(Table13[[#This Row],[Input]],1)</f>
        <v>L</v>
      </c>
      <c r="C904">
        <f>_xlfn.LET(_xlpm.steps,SUBSTITUTE(Table13[[#This Row],[Input]],Table13[[#This Row],[Direction]],""),VALUE(IF(LEN(_xlpm.steps)&gt;2,RIGHT(_xlpm.steps,2),_xlpm.steps)))</f>
        <v>44</v>
      </c>
      <c r="D904">
        <f>_xlfn.LET(_xlpm.steps,SUBSTITUTE(Table13[[#This Row],[Input]],Table13[[#This Row],[Direction]],""),VALUE(IF(LEN(_xlpm.steps)&gt;2,LEFT(_xlpm.steps,LEN(_xlpm.steps)-2),0)))</f>
        <v>0</v>
      </c>
      <c r="E904">
        <f>_xlfn.LET(_xlpm.dir,Table13[[#This Row],[Direction]],
IF(_xlpm.dir="L",
    IF(G903-Table13[[#This Row],[Steps]]&lt;0,100+(G903-Table13[[#This Row],[Steps]]),G903-Table13[[#This Row],[Steps]]),
))</f>
        <v>56</v>
      </c>
      <c r="F904">
        <f>_xlfn.LET(_xlpm.dir,Table13[[#This Row],[Direction]],
IF(_xlpm.dir="R",
    IF(G903+Table13[[#This Row],[Steps]]&gt;99,(G903+Table13[[#This Row],[Steps]])-100,G903+Table13[[#This Row],[Steps]]),
))</f>
        <v>0</v>
      </c>
      <c r="G904">
        <f>IF(Table13[[#This Row],[New Pos L]]&lt;&gt;0,Table13[[#This Row],[New Pos L]],Table13[[#This Row],[New Pos R]])</f>
        <v>56</v>
      </c>
      <c r="H904">
        <f>IF(AND(Table13[[#This Row],[Direction]]="L",Table13[[#This Row],[Steps]]&gt;G903,G903&lt;&gt;0),1,0)</f>
        <v>0</v>
      </c>
      <c r="I904">
        <f>IF(AND(Table13[[#This Row],[Direction]]="R",(G903+Table13[[#This Row],[Steps]])&gt;100),1,0)</f>
        <v>0</v>
      </c>
      <c r="J904">
        <f>IF(Table13[[#This Row],[POS]]=0,1,0)</f>
        <v>0</v>
      </c>
      <c r="K904">
        <f>SUM(Table13[[#This Row],[prefix]],Table13[[#This Row],[Past zero L]],Table13[[#This Row],[Past Zero R]],Table13[[#This Row],[Is Zero]])</f>
        <v>0</v>
      </c>
    </row>
    <row r="905" spans="1:11" ht="16" x14ac:dyDescent="0.2">
      <c r="A905" s="1" t="s">
        <v>185</v>
      </c>
      <c r="B905" t="str">
        <f>LEFT(Table13[[#This Row],[Input]],1)</f>
        <v>R</v>
      </c>
      <c r="C905">
        <f>_xlfn.LET(_xlpm.steps,SUBSTITUTE(Table13[[#This Row],[Input]],Table13[[#This Row],[Direction]],""),VALUE(IF(LEN(_xlpm.steps)&gt;2,RIGHT(_xlpm.steps,2),_xlpm.steps)))</f>
        <v>61</v>
      </c>
      <c r="D905">
        <f>_xlfn.LET(_xlpm.steps,SUBSTITUTE(Table13[[#This Row],[Input]],Table13[[#This Row],[Direction]],""),VALUE(IF(LEN(_xlpm.steps)&gt;2,LEFT(_xlpm.steps,LEN(_xlpm.steps)-2),0)))</f>
        <v>0</v>
      </c>
      <c r="E905">
        <f>_xlfn.LET(_xlpm.dir,Table13[[#This Row],[Direction]],
IF(_xlpm.dir="L",
    IF(G904-Table13[[#This Row],[Steps]]&lt;0,100+(G904-Table13[[#This Row],[Steps]]),G904-Table13[[#This Row],[Steps]]),
))</f>
        <v>0</v>
      </c>
      <c r="F905">
        <f>_xlfn.LET(_xlpm.dir,Table13[[#This Row],[Direction]],
IF(_xlpm.dir="R",
    IF(G904+Table13[[#This Row],[Steps]]&gt;99,(G904+Table13[[#This Row],[Steps]])-100,G904+Table13[[#This Row],[Steps]]),
))</f>
        <v>17</v>
      </c>
      <c r="G905">
        <f>IF(Table13[[#This Row],[New Pos L]]&lt;&gt;0,Table13[[#This Row],[New Pos L]],Table13[[#This Row],[New Pos R]])</f>
        <v>17</v>
      </c>
      <c r="H905">
        <f>IF(AND(Table13[[#This Row],[Direction]]="L",Table13[[#This Row],[Steps]]&gt;G904,G904&lt;&gt;0),1,0)</f>
        <v>0</v>
      </c>
      <c r="I905">
        <f>IF(AND(Table13[[#This Row],[Direction]]="R",(G904+Table13[[#This Row],[Steps]])&gt;100),1,0)</f>
        <v>1</v>
      </c>
      <c r="J905">
        <f>IF(Table13[[#This Row],[POS]]=0,1,0)</f>
        <v>0</v>
      </c>
      <c r="K905">
        <f>SUM(Table13[[#This Row],[prefix]],Table13[[#This Row],[Past zero L]],Table13[[#This Row],[Past Zero R]],Table13[[#This Row],[Is Zero]])</f>
        <v>1</v>
      </c>
    </row>
    <row r="906" spans="1:11" ht="16" x14ac:dyDescent="0.2">
      <c r="A906" s="1" t="s">
        <v>98</v>
      </c>
      <c r="B906" t="str">
        <f>LEFT(Table13[[#This Row],[Input]],1)</f>
        <v>L</v>
      </c>
      <c r="C906">
        <f>_xlfn.LET(_xlpm.steps,SUBSTITUTE(Table13[[#This Row],[Input]],Table13[[#This Row],[Direction]],""),VALUE(IF(LEN(_xlpm.steps)&gt;2,RIGHT(_xlpm.steps,2),_xlpm.steps)))</f>
        <v>65</v>
      </c>
      <c r="D906">
        <f>_xlfn.LET(_xlpm.steps,SUBSTITUTE(Table13[[#This Row],[Input]],Table13[[#This Row],[Direction]],""),VALUE(IF(LEN(_xlpm.steps)&gt;2,LEFT(_xlpm.steps,LEN(_xlpm.steps)-2),0)))</f>
        <v>0</v>
      </c>
      <c r="E906">
        <f>_xlfn.LET(_xlpm.dir,Table13[[#This Row],[Direction]],
IF(_xlpm.dir="L",
    IF(G905-Table13[[#This Row],[Steps]]&lt;0,100+(G905-Table13[[#This Row],[Steps]]),G905-Table13[[#This Row],[Steps]]),
))</f>
        <v>52</v>
      </c>
      <c r="F906">
        <f>_xlfn.LET(_xlpm.dir,Table13[[#This Row],[Direction]],
IF(_xlpm.dir="R",
    IF(G905+Table13[[#This Row],[Steps]]&gt;99,(G905+Table13[[#This Row],[Steps]])-100,G905+Table13[[#This Row],[Steps]]),
))</f>
        <v>0</v>
      </c>
      <c r="G906">
        <f>IF(Table13[[#This Row],[New Pos L]]&lt;&gt;0,Table13[[#This Row],[New Pos L]],Table13[[#This Row],[New Pos R]])</f>
        <v>52</v>
      </c>
      <c r="H906">
        <f>IF(AND(Table13[[#This Row],[Direction]]="L",Table13[[#This Row],[Steps]]&gt;G905,G905&lt;&gt;0),1,0)</f>
        <v>1</v>
      </c>
      <c r="I906">
        <f>IF(AND(Table13[[#This Row],[Direction]]="R",(G905+Table13[[#This Row],[Steps]])&gt;100),1,0)</f>
        <v>0</v>
      </c>
      <c r="J906">
        <f>IF(Table13[[#This Row],[POS]]=0,1,0)</f>
        <v>0</v>
      </c>
      <c r="K906">
        <f>SUM(Table13[[#This Row],[prefix]],Table13[[#This Row],[Past zero L]],Table13[[#This Row],[Past Zero R]],Table13[[#This Row],[Is Zero]])</f>
        <v>1</v>
      </c>
    </row>
    <row r="907" spans="1:11" ht="16" x14ac:dyDescent="0.2">
      <c r="A907" s="1" t="s">
        <v>30</v>
      </c>
      <c r="B907" t="str">
        <f>LEFT(Table13[[#This Row],[Input]],1)</f>
        <v>R</v>
      </c>
      <c r="C907">
        <f>_xlfn.LET(_xlpm.steps,SUBSTITUTE(Table13[[#This Row],[Input]],Table13[[#This Row],[Direction]],""),VALUE(IF(LEN(_xlpm.steps)&gt;2,RIGHT(_xlpm.steps,2),_xlpm.steps)))</f>
        <v>48</v>
      </c>
      <c r="D907">
        <f>_xlfn.LET(_xlpm.steps,SUBSTITUTE(Table13[[#This Row],[Input]],Table13[[#This Row],[Direction]],""),VALUE(IF(LEN(_xlpm.steps)&gt;2,LEFT(_xlpm.steps,LEN(_xlpm.steps)-2),0)))</f>
        <v>0</v>
      </c>
      <c r="E907">
        <f>_xlfn.LET(_xlpm.dir,Table13[[#This Row],[Direction]],
IF(_xlpm.dir="L",
    IF(G906-Table13[[#This Row],[Steps]]&lt;0,100+(G906-Table13[[#This Row],[Steps]]),G906-Table13[[#This Row],[Steps]]),
))</f>
        <v>0</v>
      </c>
      <c r="F907">
        <f>_xlfn.LET(_xlpm.dir,Table13[[#This Row],[Direction]],
IF(_xlpm.dir="R",
    IF(G906+Table13[[#This Row],[Steps]]&gt;99,(G906+Table13[[#This Row],[Steps]])-100,G906+Table13[[#This Row],[Steps]]),
))</f>
        <v>0</v>
      </c>
      <c r="G907">
        <f>IF(Table13[[#This Row],[New Pos L]]&lt;&gt;0,Table13[[#This Row],[New Pos L]],Table13[[#This Row],[New Pos R]])</f>
        <v>0</v>
      </c>
      <c r="H907">
        <f>IF(AND(Table13[[#This Row],[Direction]]="L",Table13[[#This Row],[Steps]]&gt;G906,G906&lt;&gt;0),1,0)</f>
        <v>0</v>
      </c>
      <c r="I907">
        <f>IF(AND(Table13[[#This Row],[Direction]]="R",(G906+Table13[[#This Row],[Steps]])&gt;100),1,0)</f>
        <v>0</v>
      </c>
      <c r="J907">
        <f>IF(Table13[[#This Row],[POS]]=0,1,0)</f>
        <v>1</v>
      </c>
      <c r="K907">
        <f>SUM(Table13[[#This Row],[prefix]],Table13[[#This Row],[Past zero L]],Table13[[#This Row],[Past Zero R]],Table13[[#This Row],[Is Zero]])</f>
        <v>1</v>
      </c>
    </row>
    <row r="908" spans="1:11" ht="16" x14ac:dyDescent="0.2">
      <c r="A908" s="1" t="s">
        <v>254</v>
      </c>
      <c r="B908" t="str">
        <f>LEFT(Table13[[#This Row],[Input]],1)</f>
        <v>R</v>
      </c>
      <c r="C908">
        <f>_xlfn.LET(_xlpm.steps,SUBSTITUTE(Table13[[#This Row],[Input]],Table13[[#This Row],[Direction]],""),VALUE(IF(LEN(_xlpm.steps)&gt;2,RIGHT(_xlpm.steps,2),_xlpm.steps)))</f>
        <v>84</v>
      </c>
      <c r="D908">
        <f>_xlfn.LET(_xlpm.steps,SUBSTITUTE(Table13[[#This Row],[Input]],Table13[[#This Row],[Direction]],""),VALUE(IF(LEN(_xlpm.steps)&gt;2,LEFT(_xlpm.steps,LEN(_xlpm.steps)-2),0)))</f>
        <v>0</v>
      </c>
      <c r="E908">
        <f>_xlfn.LET(_xlpm.dir,Table13[[#This Row],[Direction]],
IF(_xlpm.dir="L",
    IF(G907-Table13[[#This Row],[Steps]]&lt;0,100+(G907-Table13[[#This Row],[Steps]]),G907-Table13[[#This Row],[Steps]]),
))</f>
        <v>0</v>
      </c>
      <c r="F908">
        <f>_xlfn.LET(_xlpm.dir,Table13[[#This Row],[Direction]],
IF(_xlpm.dir="R",
    IF(G907+Table13[[#This Row],[Steps]]&gt;99,(G907+Table13[[#This Row],[Steps]])-100,G907+Table13[[#This Row],[Steps]]),
))</f>
        <v>84</v>
      </c>
      <c r="G908">
        <f>IF(Table13[[#This Row],[New Pos L]]&lt;&gt;0,Table13[[#This Row],[New Pos L]],Table13[[#This Row],[New Pos R]])</f>
        <v>84</v>
      </c>
      <c r="H908">
        <f>IF(AND(Table13[[#This Row],[Direction]]="L",Table13[[#This Row],[Steps]]&gt;G907,G907&lt;&gt;0),1,0)</f>
        <v>0</v>
      </c>
      <c r="I908">
        <f>IF(AND(Table13[[#This Row],[Direction]]="R",(G907+Table13[[#This Row],[Steps]])&gt;100),1,0)</f>
        <v>0</v>
      </c>
      <c r="J908">
        <f>IF(Table13[[#This Row],[POS]]=0,1,0)</f>
        <v>0</v>
      </c>
      <c r="K908">
        <f>SUM(Table13[[#This Row],[prefix]],Table13[[#This Row],[Past zero L]],Table13[[#This Row],[Past Zero R]],Table13[[#This Row],[Is Zero]])</f>
        <v>0</v>
      </c>
    </row>
    <row r="909" spans="1:11" ht="16" x14ac:dyDescent="0.2">
      <c r="A909" s="1" t="s">
        <v>340</v>
      </c>
      <c r="B909" t="str">
        <f>LEFT(Table13[[#This Row],[Input]],1)</f>
        <v>L</v>
      </c>
      <c r="C909">
        <f>_xlfn.LET(_xlpm.steps,SUBSTITUTE(Table13[[#This Row],[Input]],Table13[[#This Row],[Direction]],""),VALUE(IF(LEN(_xlpm.steps)&gt;2,RIGHT(_xlpm.steps,2),_xlpm.steps)))</f>
        <v>26</v>
      </c>
      <c r="D909">
        <f>_xlfn.LET(_xlpm.steps,SUBSTITUTE(Table13[[#This Row],[Input]],Table13[[#This Row],[Direction]],""),VALUE(IF(LEN(_xlpm.steps)&gt;2,LEFT(_xlpm.steps,LEN(_xlpm.steps)-2),0)))</f>
        <v>5</v>
      </c>
      <c r="E909">
        <f>_xlfn.LET(_xlpm.dir,Table13[[#This Row],[Direction]],
IF(_xlpm.dir="L",
    IF(G908-Table13[[#This Row],[Steps]]&lt;0,100+(G908-Table13[[#This Row],[Steps]]),G908-Table13[[#This Row],[Steps]]),
))</f>
        <v>58</v>
      </c>
      <c r="F909">
        <f>_xlfn.LET(_xlpm.dir,Table13[[#This Row],[Direction]],
IF(_xlpm.dir="R",
    IF(G908+Table13[[#This Row],[Steps]]&gt;99,(G908+Table13[[#This Row],[Steps]])-100,G908+Table13[[#This Row],[Steps]]),
))</f>
        <v>0</v>
      </c>
      <c r="G909">
        <f>IF(Table13[[#This Row],[New Pos L]]&lt;&gt;0,Table13[[#This Row],[New Pos L]],Table13[[#This Row],[New Pos R]])</f>
        <v>58</v>
      </c>
      <c r="H909">
        <f>IF(AND(Table13[[#This Row],[Direction]]="L",Table13[[#This Row],[Steps]]&gt;G908,G908&lt;&gt;0),1,0)</f>
        <v>0</v>
      </c>
      <c r="I909">
        <f>IF(AND(Table13[[#This Row],[Direction]]="R",(G908+Table13[[#This Row],[Steps]])&gt;100),1,0)</f>
        <v>0</v>
      </c>
      <c r="J909">
        <f>IF(Table13[[#This Row],[POS]]=0,1,0)</f>
        <v>0</v>
      </c>
      <c r="K909">
        <f>SUM(Table13[[#This Row],[prefix]],Table13[[#This Row],[Past zero L]],Table13[[#This Row],[Past Zero R]],Table13[[#This Row],[Is Zero]])</f>
        <v>5</v>
      </c>
    </row>
    <row r="910" spans="1:11" ht="16" x14ac:dyDescent="0.2">
      <c r="A910" s="1" t="s">
        <v>341</v>
      </c>
      <c r="B910" t="str">
        <f>LEFT(Table13[[#This Row],[Input]],1)</f>
        <v>L</v>
      </c>
      <c r="C910">
        <f>_xlfn.LET(_xlpm.steps,SUBSTITUTE(Table13[[#This Row],[Input]],Table13[[#This Row],[Direction]],""),VALUE(IF(LEN(_xlpm.steps)&gt;2,RIGHT(_xlpm.steps,2),_xlpm.steps)))</f>
        <v>58</v>
      </c>
      <c r="D910">
        <f>_xlfn.LET(_xlpm.steps,SUBSTITUTE(Table13[[#This Row],[Input]],Table13[[#This Row],[Direction]],""),VALUE(IF(LEN(_xlpm.steps)&gt;2,LEFT(_xlpm.steps,LEN(_xlpm.steps)-2),0)))</f>
        <v>5</v>
      </c>
      <c r="E910">
        <f>_xlfn.LET(_xlpm.dir,Table13[[#This Row],[Direction]],
IF(_xlpm.dir="L",
    IF(G909-Table13[[#This Row],[Steps]]&lt;0,100+(G909-Table13[[#This Row],[Steps]]),G909-Table13[[#This Row],[Steps]]),
))</f>
        <v>0</v>
      </c>
      <c r="F910">
        <f>_xlfn.LET(_xlpm.dir,Table13[[#This Row],[Direction]],
IF(_xlpm.dir="R",
    IF(G909+Table13[[#This Row],[Steps]]&gt;99,(G909+Table13[[#This Row],[Steps]])-100,G909+Table13[[#This Row],[Steps]]),
))</f>
        <v>0</v>
      </c>
      <c r="G910">
        <f>IF(Table13[[#This Row],[New Pos L]]&lt;&gt;0,Table13[[#This Row],[New Pos L]],Table13[[#This Row],[New Pos R]])</f>
        <v>0</v>
      </c>
      <c r="H910">
        <f>IF(AND(Table13[[#This Row],[Direction]]="L",Table13[[#This Row],[Steps]]&gt;G909,G909&lt;&gt;0),1,0)</f>
        <v>0</v>
      </c>
      <c r="I910">
        <f>IF(AND(Table13[[#This Row],[Direction]]="R",(G909+Table13[[#This Row],[Steps]])&gt;100),1,0)</f>
        <v>0</v>
      </c>
      <c r="J910">
        <f>IF(Table13[[#This Row],[POS]]=0,1,0)</f>
        <v>1</v>
      </c>
      <c r="K910">
        <f>SUM(Table13[[#This Row],[prefix]],Table13[[#This Row],[Past zero L]],Table13[[#This Row],[Past Zero R]],Table13[[#This Row],[Is Zero]])</f>
        <v>6</v>
      </c>
    </row>
    <row r="911" spans="1:11" ht="16" x14ac:dyDescent="0.2">
      <c r="A911" s="1" t="s">
        <v>186</v>
      </c>
      <c r="B911" t="str">
        <f>LEFT(Table13[[#This Row],[Input]],1)</f>
        <v>L</v>
      </c>
      <c r="C911">
        <f>_xlfn.LET(_xlpm.steps,SUBSTITUTE(Table13[[#This Row],[Input]],Table13[[#This Row],[Direction]],""),VALUE(IF(LEN(_xlpm.steps)&gt;2,RIGHT(_xlpm.steps,2),_xlpm.steps)))</f>
        <v>84</v>
      </c>
      <c r="D911">
        <f>_xlfn.LET(_xlpm.steps,SUBSTITUTE(Table13[[#This Row],[Input]],Table13[[#This Row],[Direction]],""),VALUE(IF(LEN(_xlpm.steps)&gt;2,LEFT(_xlpm.steps,LEN(_xlpm.steps)-2),0)))</f>
        <v>0</v>
      </c>
      <c r="E911">
        <f>_xlfn.LET(_xlpm.dir,Table13[[#This Row],[Direction]],
IF(_xlpm.dir="L",
    IF(G910-Table13[[#This Row],[Steps]]&lt;0,100+(G910-Table13[[#This Row],[Steps]]),G910-Table13[[#This Row],[Steps]]),
))</f>
        <v>16</v>
      </c>
      <c r="F911">
        <f>_xlfn.LET(_xlpm.dir,Table13[[#This Row],[Direction]],
IF(_xlpm.dir="R",
    IF(G910+Table13[[#This Row],[Steps]]&gt;99,(G910+Table13[[#This Row],[Steps]])-100,G910+Table13[[#This Row],[Steps]]),
))</f>
        <v>0</v>
      </c>
      <c r="G911">
        <f>IF(Table13[[#This Row],[New Pos L]]&lt;&gt;0,Table13[[#This Row],[New Pos L]],Table13[[#This Row],[New Pos R]])</f>
        <v>16</v>
      </c>
      <c r="H911">
        <f>IF(AND(Table13[[#This Row],[Direction]]="L",Table13[[#This Row],[Steps]]&gt;G910,G910&lt;&gt;0),1,0)</f>
        <v>0</v>
      </c>
      <c r="I911">
        <f>IF(AND(Table13[[#This Row],[Direction]]="R",(G910+Table13[[#This Row],[Steps]])&gt;100),1,0)</f>
        <v>0</v>
      </c>
      <c r="J911">
        <f>IF(Table13[[#This Row],[POS]]=0,1,0)</f>
        <v>0</v>
      </c>
      <c r="K911">
        <f>SUM(Table13[[#This Row],[prefix]],Table13[[#This Row],[Past zero L]],Table13[[#This Row],[Past Zero R]],Table13[[#This Row],[Is Zero]])</f>
        <v>0</v>
      </c>
    </row>
    <row r="912" spans="1:11" ht="16" x14ac:dyDescent="0.2">
      <c r="A912" s="1" t="s">
        <v>254</v>
      </c>
      <c r="B912" t="str">
        <f>LEFT(Table13[[#This Row],[Input]],1)</f>
        <v>R</v>
      </c>
      <c r="C912">
        <f>_xlfn.LET(_xlpm.steps,SUBSTITUTE(Table13[[#This Row],[Input]],Table13[[#This Row],[Direction]],""),VALUE(IF(LEN(_xlpm.steps)&gt;2,RIGHT(_xlpm.steps,2),_xlpm.steps)))</f>
        <v>84</v>
      </c>
      <c r="D912">
        <f>_xlfn.LET(_xlpm.steps,SUBSTITUTE(Table13[[#This Row],[Input]],Table13[[#This Row],[Direction]],""),VALUE(IF(LEN(_xlpm.steps)&gt;2,LEFT(_xlpm.steps,LEN(_xlpm.steps)-2),0)))</f>
        <v>0</v>
      </c>
      <c r="E912">
        <f>_xlfn.LET(_xlpm.dir,Table13[[#This Row],[Direction]],
IF(_xlpm.dir="L",
    IF(G911-Table13[[#This Row],[Steps]]&lt;0,100+(G911-Table13[[#This Row],[Steps]]),G911-Table13[[#This Row],[Steps]]),
))</f>
        <v>0</v>
      </c>
      <c r="F912">
        <f>_xlfn.LET(_xlpm.dir,Table13[[#This Row],[Direction]],
IF(_xlpm.dir="R",
    IF(G911+Table13[[#This Row],[Steps]]&gt;99,(G911+Table13[[#This Row],[Steps]])-100,G911+Table13[[#This Row],[Steps]]),
))</f>
        <v>0</v>
      </c>
      <c r="G912">
        <f>IF(Table13[[#This Row],[New Pos L]]&lt;&gt;0,Table13[[#This Row],[New Pos L]],Table13[[#This Row],[New Pos R]])</f>
        <v>0</v>
      </c>
      <c r="H912">
        <f>IF(AND(Table13[[#This Row],[Direction]]="L",Table13[[#This Row],[Steps]]&gt;G911,G911&lt;&gt;0),1,0)</f>
        <v>0</v>
      </c>
      <c r="I912">
        <f>IF(AND(Table13[[#This Row],[Direction]]="R",(G911+Table13[[#This Row],[Steps]])&gt;100),1,0)</f>
        <v>0</v>
      </c>
      <c r="J912">
        <f>IF(Table13[[#This Row],[POS]]=0,1,0)</f>
        <v>1</v>
      </c>
      <c r="K912">
        <f>SUM(Table13[[#This Row],[prefix]],Table13[[#This Row],[Past zero L]],Table13[[#This Row],[Past Zero R]],Table13[[#This Row],[Is Zero]])</f>
        <v>1</v>
      </c>
    </row>
    <row r="913" spans="1:11" ht="16" x14ac:dyDescent="0.2">
      <c r="A913" s="1" t="s">
        <v>21</v>
      </c>
      <c r="B913" t="str">
        <f>LEFT(Table13[[#This Row],[Input]],1)</f>
        <v>L</v>
      </c>
      <c r="C913">
        <f>_xlfn.LET(_xlpm.steps,SUBSTITUTE(Table13[[#This Row],[Input]],Table13[[#This Row],[Direction]],""),VALUE(IF(LEN(_xlpm.steps)&gt;2,RIGHT(_xlpm.steps,2),_xlpm.steps)))</f>
        <v>36</v>
      </c>
      <c r="D913">
        <f>_xlfn.LET(_xlpm.steps,SUBSTITUTE(Table13[[#This Row],[Input]],Table13[[#This Row],[Direction]],""),VALUE(IF(LEN(_xlpm.steps)&gt;2,LEFT(_xlpm.steps,LEN(_xlpm.steps)-2),0)))</f>
        <v>0</v>
      </c>
      <c r="E913">
        <f>_xlfn.LET(_xlpm.dir,Table13[[#This Row],[Direction]],
IF(_xlpm.dir="L",
    IF(G912-Table13[[#This Row],[Steps]]&lt;0,100+(G912-Table13[[#This Row],[Steps]]),G912-Table13[[#This Row],[Steps]]),
))</f>
        <v>64</v>
      </c>
      <c r="F913">
        <f>_xlfn.LET(_xlpm.dir,Table13[[#This Row],[Direction]],
IF(_xlpm.dir="R",
    IF(G912+Table13[[#This Row],[Steps]]&gt;99,(G912+Table13[[#This Row],[Steps]])-100,G912+Table13[[#This Row],[Steps]]),
))</f>
        <v>0</v>
      </c>
      <c r="G913">
        <f>IF(Table13[[#This Row],[New Pos L]]&lt;&gt;0,Table13[[#This Row],[New Pos L]],Table13[[#This Row],[New Pos R]])</f>
        <v>64</v>
      </c>
      <c r="H913">
        <f>IF(AND(Table13[[#This Row],[Direction]]="L",Table13[[#This Row],[Steps]]&gt;G912,G912&lt;&gt;0),1,0)</f>
        <v>0</v>
      </c>
      <c r="I913">
        <f>IF(AND(Table13[[#This Row],[Direction]]="R",(G912+Table13[[#This Row],[Steps]])&gt;100),1,0)</f>
        <v>0</v>
      </c>
      <c r="J913">
        <f>IF(Table13[[#This Row],[POS]]=0,1,0)</f>
        <v>0</v>
      </c>
      <c r="K913">
        <f>SUM(Table13[[#This Row],[prefix]],Table13[[#This Row],[Past zero L]],Table13[[#This Row],[Past Zero R]],Table13[[#This Row],[Is Zero]])</f>
        <v>0</v>
      </c>
    </row>
    <row r="914" spans="1:11" ht="16" x14ac:dyDescent="0.2">
      <c r="A914" s="1" t="s">
        <v>342</v>
      </c>
      <c r="B914" t="str">
        <f>LEFT(Table13[[#This Row],[Input]],1)</f>
        <v>L</v>
      </c>
      <c r="C914">
        <f>_xlfn.LET(_xlpm.steps,SUBSTITUTE(Table13[[#This Row],[Input]],Table13[[#This Row],[Direction]],""),VALUE(IF(LEN(_xlpm.steps)&gt;2,RIGHT(_xlpm.steps,2),_xlpm.steps)))</f>
        <v>25</v>
      </c>
      <c r="D914">
        <f>_xlfn.LET(_xlpm.steps,SUBSTITUTE(Table13[[#This Row],[Input]],Table13[[#This Row],[Direction]],""),VALUE(IF(LEN(_xlpm.steps)&gt;2,LEFT(_xlpm.steps,LEN(_xlpm.steps)-2),0)))</f>
        <v>7</v>
      </c>
      <c r="E914">
        <f>_xlfn.LET(_xlpm.dir,Table13[[#This Row],[Direction]],
IF(_xlpm.dir="L",
    IF(G913-Table13[[#This Row],[Steps]]&lt;0,100+(G913-Table13[[#This Row],[Steps]]),G913-Table13[[#This Row],[Steps]]),
))</f>
        <v>39</v>
      </c>
      <c r="F914">
        <f>_xlfn.LET(_xlpm.dir,Table13[[#This Row],[Direction]],
IF(_xlpm.dir="R",
    IF(G913+Table13[[#This Row],[Steps]]&gt;99,(G913+Table13[[#This Row],[Steps]])-100,G913+Table13[[#This Row],[Steps]]),
))</f>
        <v>0</v>
      </c>
      <c r="G914">
        <f>IF(Table13[[#This Row],[New Pos L]]&lt;&gt;0,Table13[[#This Row],[New Pos L]],Table13[[#This Row],[New Pos R]])</f>
        <v>39</v>
      </c>
      <c r="H914">
        <f>IF(AND(Table13[[#This Row],[Direction]]="L",Table13[[#This Row],[Steps]]&gt;G913,G913&lt;&gt;0),1,0)</f>
        <v>0</v>
      </c>
      <c r="I914">
        <f>IF(AND(Table13[[#This Row],[Direction]]="R",(G913+Table13[[#This Row],[Steps]])&gt;100),1,0)</f>
        <v>0</v>
      </c>
      <c r="J914">
        <f>IF(Table13[[#This Row],[POS]]=0,1,0)</f>
        <v>0</v>
      </c>
      <c r="K914">
        <f>SUM(Table13[[#This Row],[prefix]],Table13[[#This Row],[Past zero L]],Table13[[#This Row],[Past Zero R]],Table13[[#This Row],[Is Zero]])</f>
        <v>7</v>
      </c>
    </row>
    <row r="915" spans="1:11" ht="16" x14ac:dyDescent="0.2">
      <c r="A915" s="1" t="s">
        <v>343</v>
      </c>
      <c r="B915" t="str">
        <f>LEFT(Table13[[#This Row],[Input]],1)</f>
        <v>L</v>
      </c>
      <c r="C915">
        <f>_xlfn.LET(_xlpm.steps,SUBSTITUTE(Table13[[#This Row],[Input]],Table13[[#This Row],[Direction]],""),VALUE(IF(LEN(_xlpm.steps)&gt;2,RIGHT(_xlpm.steps,2),_xlpm.steps)))</f>
        <v>33</v>
      </c>
      <c r="D915">
        <f>_xlfn.LET(_xlpm.steps,SUBSTITUTE(Table13[[#This Row],[Input]],Table13[[#This Row],[Direction]],""),VALUE(IF(LEN(_xlpm.steps)&gt;2,LEFT(_xlpm.steps,LEN(_xlpm.steps)-2),0)))</f>
        <v>6</v>
      </c>
      <c r="E915">
        <f>_xlfn.LET(_xlpm.dir,Table13[[#This Row],[Direction]],
IF(_xlpm.dir="L",
    IF(G914-Table13[[#This Row],[Steps]]&lt;0,100+(G914-Table13[[#This Row],[Steps]]),G914-Table13[[#This Row],[Steps]]),
))</f>
        <v>6</v>
      </c>
      <c r="F915">
        <f>_xlfn.LET(_xlpm.dir,Table13[[#This Row],[Direction]],
IF(_xlpm.dir="R",
    IF(G914+Table13[[#This Row],[Steps]]&gt;99,(G914+Table13[[#This Row],[Steps]])-100,G914+Table13[[#This Row],[Steps]]),
))</f>
        <v>0</v>
      </c>
      <c r="G915">
        <f>IF(Table13[[#This Row],[New Pos L]]&lt;&gt;0,Table13[[#This Row],[New Pos L]],Table13[[#This Row],[New Pos R]])</f>
        <v>6</v>
      </c>
      <c r="H915">
        <f>IF(AND(Table13[[#This Row],[Direction]]="L",Table13[[#This Row],[Steps]]&gt;G914,G914&lt;&gt;0),1,0)</f>
        <v>0</v>
      </c>
      <c r="I915">
        <f>IF(AND(Table13[[#This Row],[Direction]]="R",(G914+Table13[[#This Row],[Steps]])&gt;100),1,0)</f>
        <v>0</v>
      </c>
      <c r="J915">
        <f>IF(Table13[[#This Row],[POS]]=0,1,0)</f>
        <v>0</v>
      </c>
      <c r="K915">
        <f>SUM(Table13[[#This Row],[prefix]],Table13[[#This Row],[Past zero L]],Table13[[#This Row],[Past Zero R]],Table13[[#This Row],[Is Zero]])</f>
        <v>6</v>
      </c>
    </row>
    <row r="916" spans="1:11" ht="16" x14ac:dyDescent="0.2">
      <c r="A916" s="1" t="s">
        <v>253</v>
      </c>
      <c r="B916" t="str">
        <f>LEFT(Table13[[#This Row],[Input]],1)</f>
        <v>R</v>
      </c>
      <c r="C916">
        <f>_xlfn.LET(_xlpm.steps,SUBSTITUTE(Table13[[#This Row],[Input]],Table13[[#This Row],[Direction]],""),VALUE(IF(LEN(_xlpm.steps)&gt;2,RIGHT(_xlpm.steps,2),_xlpm.steps)))</f>
        <v>94</v>
      </c>
      <c r="D916">
        <f>_xlfn.LET(_xlpm.steps,SUBSTITUTE(Table13[[#This Row],[Input]],Table13[[#This Row],[Direction]],""),VALUE(IF(LEN(_xlpm.steps)&gt;2,LEFT(_xlpm.steps,LEN(_xlpm.steps)-2),0)))</f>
        <v>0</v>
      </c>
      <c r="E916">
        <f>_xlfn.LET(_xlpm.dir,Table13[[#This Row],[Direction]],
IF(_xlpm.dir="L",
    IF(G915-Table13[[#This Row],[Steps]]&lt;0,100+(G915-Table13[[#This Row],[Steps]]),G915-Table13[[#This Row],[Steps]]),
))</f>
        <v>0</v>
      </c>
      <c r="F916">
        <f>_xlfn.LET(_xlpm.dir,Table13[[#This Row],[Direction]],
IF(_xlpm.dir="R",
    IF(G915+Table13[[#This Row],[Steps]]&gt;99,(G915+Table13[[#This Row],[Steps]])-100,G915+Table13[[#This Row],[Steps]]),
))</f>
        <v>0</v>
      </c>
      <c r="G916">
        <f>IF(Table13[[#This Row],[New Pos L]]&lt;&gt;0,Table13[[#This Row],[New Pos L]],Table13[[#This Row],[New Pos R]])</f>
        <v>0</v>
      </c>
      <c r="H916">
        <f>IF(AND(Table13[[#This Row],[Direction]]="L",Table13[[#This Row],[Steps]]&gt;G915,G915&lt;&gt;0),1,0)</f>
        <v>0</v>
      </c>
      <c r="I916">
        <f>IF(AND(Table13[[#This Row],[Direction]]="R",(G915+Table13[[#This Row],[Steps]])&gt;100),1,0)</f>
        <v>0</v>
      </c>
      <c r="J916">
        <f>IF(Table13[[#This Row],[POS]]=0,1,0)</f>
        <v>1</v>
      </c>
      <c r="K916">
        <f>SUM(Table13[[#This Row],[prefix]],Table13[[#This Row],[Past zero L]],Table13[[#This Row],[Past Zero R]],Table13[[#This Row],[Is Zero]])</f>
        <v>1</v>
      </c>
    </row>
    <row r="917" spans="1:11" ht="16" x14ac:dyDescent="0.2">
      <c r="A917" s="1" t="s">
        <v>53</v>
      </c>
      <c r="B917" t="str">
        <f>LEFT(Table13[[#This Row],[Input]],1)</f>
        <v>L</v>
      </c>
      <c r="C917">
        <f>_xlfn.LET(_xlpm.steps,SUBSTITUTE(Table13[[#This Row],[Input]],Table13[[#This Row],[Direction]],""),VALUE(IF(LEN(_xlpm.steps)&gt;2,RIGHT(_xlpm.steps,2),_xlpm.steps)))</f>
        <v>56</v>
      </c>
      <c r="D917">
        <f>_xlfn.LET(_xlpm.steps,SUBSTITUTE(Table13[[#This Row],[Input]],Table13[[#This Row],[Direction]],""),VALUE(IF(LEN(_xlpm.steps)&gt;2,LEFT(_xlpm.steps,LEN(_xlpm.steps)-2),0)))</f>
        <v>0</v>
      </c>
      <c r="E917">
        <f>_xlfn.LET(_xlpm.dir,Table13[[#This Row],[Direction]],
IF(_xlpm.dir="L",
    IF(G916-Table13[[#This Row],[Steps]]&lt;0,100+(G916-Table13[[#This Row],[Steps]]),G916-Table13[[#This Row],[Steps]]),
))</f>
        <v>44</v>
      </c>
      <c r="F917">
        <f>_xlfn.LET(_xlpm.dir,Table13[[#This Row],[Direction]],
IF(_xlpm.dir="R",
    IF(G916+Table13[[#This Row],[Steps]]&gt;99,(G916+Table13[[#This Row],[Steps]])-100,G916+Table13[[#This Row],[Steps]]),
))</f>
        <v>0</v>
      </c>
      <c r="G917">
        <f>IF(Table13[[#This Row],[New Pos L]]&lt;&gt;0,Table13[[#This Row],[New Pos L]],Table13[[#This Row],[New Pos R]])</f>
        <v>44</v>
      </c>
      <c r="H917">
        <f>IF(AND(Table13[[#This Row],[Direction]]="L",Table13[[#This Row],[Steps]]&gt;G916,G916&lt;&gt;0),1,0)</f>
        <v>0</v>
      </c>
      <c r="I917">
        <f>IF(AND(Table13[[#This Row],[Direction]]="R",(G916+Table13[[#This Row],[Steps]])&gt;100),1,0)</f>
        <v>0</v>
      </c>
      <c r="J917">
        <f>IF(Table13[[#This Row],[POS]]=0,1,0)</f>
        <v>0</v>
      </c>
      <c r="K917">
        <f>SUM(Table13[[#This Row],[prefix]],Table13[[#This Row],[Past zero L]],Table13[[#This Row],[Past Zero R]],Table13[[#This Row],[Is Zero]])</f>
        <v>0</v>
      </c>
    </row>
    <row r="918" spans="1:11" ht="16" x14ac:dyDescent="0.2">
      <c r="A918" s="1" t="s">
        <v>0</v>
      </c>
      <c r="B918" t="str">
        <f>LEFT(Table13[[#This Row],[Input]],1)</f>
        <v>L</v>
      </c>
      <c r="C918">
        <f>_xlfn.LET(_xlpm.steps,SUBSTITUTE(Table13[[#This Row],[Input]],Table13[[#This Row],[Direction]],""),VALUE(IF(LEN(_xlpm.steps)&gt;2,RIGHT(_xlpm.steps,2),_xlpm.steps)))</f>
        <v>44</v>
      </c>
      <c r="D918">
        <f>_xlfn.LET(_xlpm.steps,SUBSTITUTE(Table13[[#This Row],[Input]],Table13[[#This Row],[Direction]],""),VALUE(IF(LEN(_xlpm.steps)&gt;2,LEFT(_xlpm.steps,LEN(_xlpm.steps)-2),0)))</f>
        <v>0</v>
      </c>
      <c r="E918">
        <f>_xlfn.LET(_xlpm.dir,Table13[[#This Row],[Direction]],
IF(_xlpm.dir="L",
    IF(G917-Table13[[#This Row],[Steps]]&lt;0,100+(G917-Table13[[#This Row],[Steps]]),G917-Table13[[#This Row],[Steps]]),
))</f>
        <v>0</v>
      </c>
      <c r="F918">
        <f>_xlfn.LET(_xlpm.dir,Table13[[#This Row],[Direction]],
IF(_xlpm.dir="R",
    IF(G917+Table13[[#This Row],[Steps]]&gt;99,(G917+Table13[[#This Row],[Steps]])-100,G917+Table13[[#This Row],[Steps]]),
))</f>
        <v>0</v>
      </c>
      <c r="G918">
        <f>IF(Table13[[#This Row],[New Pos L]]&lt;&gt;0,Table13[[#This Row],[New Pos L]],Table13[[#This Row],[New Pos R]])</f>
        <v>0</v>
      </c>
      <c r="H918">
        <f>IF(AND(Table13[[#This Row],[Direction]]="L",Table13[[#This Row],[Steps]]&gt;G917,G917&lt;&gt;0),1,0)</f>
        <v>0</v>
      </c>
      <c r="I918">
        <f>IF(AND(Table13[[#This Row],[Direction]]="R",(G917+Table13[[#This Row],[Steps]])&gt;100),1,0)</f>
        <v>0</v>
      </c>
      <c r="J918">
        <f>IF(Table13[[#This Row],[POS]]=0,1,0)</f>
        <v>1</v>
      </c>
      <c r="K918">
        <f>SUM(Table13[[#This Row],[prefix]],Table13[[#This Row],[Past zero L]],Table13[[#This Row],[Past Zero R]],Table13[[#This Row],[Is Zero]])</f>
        <v>1</v>
      </c>
    </row>
    <row r="919" spans="1:11" ht="16" x14ac:dyDescent="0.2">
      <c r="A919" s="1" t="s">
        <v>50</v>
      </c>
      <c r="B919" t="str">
        <f>LEFT(Table13[[#This Row],[Input]],1)</f>
        <v>R</v>
      </c>
      <c r="C919">
        <f>_xlfn.LET(_xlpm.steps,SUBSTITUTE(Table13[[#This Row],[Input]],Table13[[#This Row],[Direction]],""),VALUE(IF(LEN(_xlpm.steps)&gt;2,RIGHT(_xlpm.steps,2),_xlpm.steps)))</f>
        <v>78</v>
      </c>
      <c r="D919">
        <f>_xlfn.LET(_xlpm.steps,SUBSTITUTE(Table13[[#This Row],[Input]],Table13[[#This Row],[Direction]],""),VALUE(IF(LEN(_xlpm.steps)&gt;2,LEFT(_xlpm.steps,LEN(_xlpm.steps)-2),0)))</f>
        <v>0</v>
      </c>
      <c r="E919">
        <f>_xlfn.LET(_xlpm.dir,Table13[[#This Row],[Direction]],
IF(_xlpm.dir="L",
    IF(G918-Table13[[#This Row],[Steps]]&lt;0,100+(G918-Table13[[#This Row],[Steps]]),G918-Table13[[#This Row],[Steps]]),
))</f>
        <v>0</v>
      </c>
      <c r="F919">
        <f>_xlfn.LET(_xlpm.dir,Table13[[#This Row],[Direction]],
IF(_xlpm.dir="R",
    IF(G918+Table13[[#This Row],[Steps]]&gt;99,(G918+Table13[[#This Row],[Steps]])-100,G918+Table13[[#This Row],[Steps]]),
))</f>
        <v>78</v>
      </c>
      <c r="G919">
        <f>IF(Table13[[#This Row],[New Pos L]]&lt;&gt;0,Table13[[#This Row],[New Pos L]],Table13[[#This Row],[New Pos R]])</f>
        <v>78</v>
      </c>
      <c r="H919">
        <f>IF(AND(Table13[[#This Row],[Direction]]="L",Table13[[#This Row],[Steps]]&gt;G918,G918&lt;&gt;0),1,0)</f>
        <v>0</v>
      </c>
      <c r="I919">
        <f>IF(AND(Table13[[#This Row],[Direction]]="R",(G918+Table13[[#This Row],[Steps]])&gt;100),1,0)</f>
        <v>0</v>
      </c>
      <c r="J919">
        <f>IF(Table13[[#This Row],[POS]]=0,1,0)</f>
        <v>0</v>
      </c>
      <c r="K919">
        <f>SUM(Table13[[#This Row],[prefix]],Table13[[#This Row],[Past zero L]],Table13[[#This Row],[Past Zero R]],Table13[[#This Row],[Is Zero]])</f>
        <v>0</v>
      </c>
    </row>
    <row r="920" spans="1:11" ht="16" x14ac:dyDescent="0.2">
      <c r="A920" s="1" t="s">
        <v>9</v>
      </c>
      <c r="B920" t="str">
        <f>LEFT(Table13[[#This Row],[Input]],1)</f>
        <v>L</v>
      </c>
      <c r="C920">
        <f>_xlfn.LET(_xlpm.steps,SUBSTITUTE(Table13[[#This Row],[Input]],Table13[[#This Row],[Direction]],""),VALUE(IF(LEN(_xlpm.steps)&gt;2,RIGHT(_xlpm.steps,2),_xlpm.steps)))</f>
        <v>9</v>
      </c>
      <c r="D920">
        <f>_xlfn.LET(_xlpm.steps,SUBSTITUTE(Table13[[#This Row],[Input]],Table13[[#This Row],[Direction]],""),VALUE(IF(LEN(_xlpm.steps)&gt;2,LEFT(_xlpm.steps,LEN(_xlpm.steps)-2),0)))</f>
        <v>0</v>
      </c>
      <c r="E920">
        <f>_xlfn.LET(_xlpm.dir,Table13[[#This Row],[Direction]],
IF(_xlpm.dir="L",
    IF(G919-Table13[[#This Row],[Steps]]&lt;0,100+(G919-Table13[[#This Row],[Steps]]),G919-Table13[[#This Row],[Steps]]),
))</f>
        <v>69</v>
      </c>
      <c r="F920">
        <f>_xlfn.LET(_xlpm.dir,Table13[[#This Row],[Direction]],
IF(_xlpm.dir="R",
    IF(G919+Table13[[#This Row],[Steps]]&gt;99,(G919+Table13[[#This Row],[Steps]])-100,G919+Table13[[#This Row],[Steps]]),
))</f>
        <v>0</v>
      </c>
      <c r="G920">
        <f>IF(Table13[[#This Row],[New Pos L]]&lt;&gt;0,Table13[[#This Row],[New Pos L]],Table13[[#This Row],[New Pos R]])</f>
        <v>69</v>
      </c>
      <c r="H920">
        <f>IF(AND(Table13[[#This Row],[Direction]]="L",Table13[[#This Row],[Steps]]&gt;G919,G919&lt;&gt;0),1,0)</f>
        <v>0</v>
      </c>
      <c r="I920">
        <f>IF(AND(Table13[[#This Row],[Direction]]="R",(G919+Table13[[#This Row],[Steps]])&gt;100),1,0)</f>
        <v>0</v>
      </c>
      <c r="J920">
        <f>IF(Table13[[#This Row],[POS]]=0,1,0)</f>
        <v>0</v>
      </c>
      <c r="K920">
        <f>SUM(Table13[[#This Row],[prefix]],Table13[[#This Row],[Past zero L]],Table13[[#This Row],[Past Zero R]],Table13[[#This Row],[Is Zero]])</f>
        <v>0</v>
      </c>
    </row>
    <row r="921" spans="1:11" ht="16" x14ac:dyDescent="0.2">
      <c r="A921" s="1" t="s">
        <v>344</v>
      </c>
      <c r="B921" t="str">
        <f>LEFT(Table13[[#This Row],[Input]],1)</f>
        <v>R</v>
      </c>
      <c r="C921">
        <f>_xlfn.LET(_xlpm.steps,SUBSTITUTE(Table13[[#This Row],[Input]],Table13[[#This Row],[Direction]],""),VALUE(IF(LEN(_xlpm.steps)&gt;2,RIGHT(_xlpm.steps,2),_xlpm.steps)))</f>
        <v>9</v>
      </c>
      <c r="D921">
        <f>_xlfn.LET(_xlpm.steps,SUBSTITUTE(Table13[[#This Row],[Input]],Table13[[#This Row],[Direction]],""),VALUE(IF(LEN(_xlpm.steps)&gt;2,LEFT(_xlpm.steps,LEN(_xlpm.steps)-2),0)))</f>
        <v>0</v>
      </c>
      <c r="E921">
        <f>_xlfn.LET(_xlpm.dir,Table13[[#This Row],[Direction]],
IF(_xlpm.dir="L",
    IF(G920-Table13[[#This Row],[Steps]]&lt;0,100+(G920-Table13[[#This Row],[Steps]]),G920-Table13[[#This Row],[Steps]]),
))</f>
        <v>0</v>
      </c>
      <c r="F921">
        <f>_xlfn.LET(_xlpm.dir,Table13[[#This Row],[Direction]],
IF(_xlpm.dir="R",
    IF(G920+Table13[[#This Row],[Steps]]&gt;99,(G920+Table13[[#This Row],[Steps]])-100,G920+Table13[[#This Row],[Steps]]),
))</f>
        <v>78</v>
      </c>
      <c r="G921">
        <f>IF(Table13[[#This Row],[New Pos L]]&lt;&gt;0,Table13[[#This Row],[New Pos L]],Table13[[#This Row],[New Pos R]])</f>
        <v>78</v>
      </c>
      <c r="H921">
        <f>IF(AND(Table13[[#This Row],[Direction]]="L",Table13[[#This Row],[Steps]]&gt;G920,G920&lt;&gt;0),1,0)</f>
        <v>0</v>
      </c>
      <c r="I921">
        <f>IF(AND(Table13[[#This Row],[Direction]]="R",(G920+Table13[[#This Row],[Steps]])&gt;100),1,0)</f>
        <v>0</v>
      </c>
      <c r="J921">
        <f>IF(Table13[[#This Row],[POS]]=0,1,0)</f>
        <v>0</v>
      </c>
      <c r="K921">
        <f>SUM(Table13[[#This Row],[prefix]],Table13[[#This Row],[Past zero L]],Table13[[#This Row],[Past Zero R]],Table13[[#This Row],[Is Zero]])</f>
        <v>0</v>
      </c>
    </row>
    <row r="922" spans="1:11" ht="16" x14ac:dyDescent="0.2">
      <c r="A922" s="1" t="s">
        <v>345</v>
      </c>
      <c r="B922" t="str">
        <f>LEFT(Table13[[#This Row],[Input]],1)</f>
        <v>L</v>
      </c>
      <c r="C922">
        <f>_xlfn.LET(_xlpm.steps,SUBSTITUTE(Table13[[#This Row],[Input]],Table13[[#This Row],[Direction]],""),VALUE(IF(LEN(_xlpm.steps)&gt;2,RIGHT(_xlpm.steps,2),_xlpm.steps)))</f>
        <v>78</v>
      </c>
      <c r="D922">
        <f>_xlfn.LET(_xlpm.steps,SUBSTITUTE(Table13[[#This Row],[Input]],Table13[[#This Row],[Direction]],""),VALUE(IF(LEN(_xlpm.steps)&gt;2,LEFT(_xlpm.steps,LEN(_xlpm.steps)-2),0)))</f>
        <v>6</v>
      </c>
      <c r="E922">
        <f>_xlfn.LET(_xlpm.dir,Table13[[#This Row],[Direction]],
IF(_xlpm.dir="L",
    IF(G921-Table13[[#This Row],[Steps]]&lt;0,100+(G921-Table13[[#This Row],[Steps]]),G921-Table13[[#This Row],[Steps]]),
))</f>
        <v>0</v>
      </c>
      <c r="F922">
        <f>_xlfn.LET(_xlpm.dir,Table13[[#This Row],[Direction]],
IF(_xlpm.dir="R",
    IF(G921+Table13[[#This Row],[Steps]]&gt;99,(G921+Table13[[#This Row],[Steps]])-100,G921+Table13[[#This Row],[Steps]]),
))</f>
        <v>0</v>
      </c>
      <c r="G922">
        <f>IF(Table13[[#This Row],[New Pos L]]&lt;&gt;0,Table13[[#This Row],[New Pos L]],Table13[[#This Row],[New Pos R]])</f>
        <v>0</v>
      </c>
      <c r="H922">
        <f>IF(AND(Table13[[#This Row],[Direction]]="L",Table13[[#This Row],[Steps]]&gt;G921,G921&lt;&gt;0),1,0)</f>
        <v>0</v>
      </c>
      <c r="I922">
        <f>IF(AND(Table13[[#This Row],[Direction]]="R",(G921+Table13[[#This Row],[Steps]])&gt;100),1,0)</f>
        <v>0</v>
      </c>
      <c r="J922">
        <f>IF(Table13[[#This Row],[POS]]=0,1,0)</f>
        <v>1</v>
      </c>
      <c r="K922">
        <f>SUM(Table13[[#This Row],[prefix]],Table13[[#This Row],[Past zero L]],Table13[[#This Row],[Past Zero R]],Table13[[#This Row],[Is Zero]])</f>
        <v>7</v>
      </c>
    </row>
    <row r="923" spans="1:11" ht="16" x14ac:dyDescent="0.2">
      <c r="A923" s="1" t="s">
        <v>36</v>
      </c>
      <c r="B923" t="str">
        <f>LEFT(Table13[[#This Row],[Input]],1)</f>
        <v>R</v>
      </c>
      <c r="C923">
        <f>_xlfn.LET(_xlpm.steps,SUBSTITUTE(Table13[[#This Row],[Input]],Table13[[#This Row],[Direction]],""),VALUE(IF(LEN(_xlpm.steps)&gt;2,RIGHT(_xlpm.steps,2),_xlpm.steps)))</f>
        <v>50</v>
      </c>
      <c r="D923">
        <f>_xlfn.LET(_xlpm.steps,SUBSTITUTE(Table13[[#This Row],[Input]],Table13[[#This Row],[Direction]],""),VALUE(IF(LEN(_xlpm.steps)&gt;2,LEFT(_xlpm.steps,LEN(_xlpm.steps)-2),0)))</f>
        <v>0</v>
      </c>
      <c r="E923">
        <f>_xlfn.LET(_xlpm.dir,Table13[[#This Row],[Direction]],
IF(_xlpm.dir="L",
    IF(G922-Table13[[#This Row],[Steps]]&lt;0,100+(G922-Table13[[#This Row],[Steps]]),G922-Table13[[#This Row],[Steps]]),
))</f>
        <v>0</v>
      </c>
      <c r="F923">
        <f>_xlfn.LET(_xlpm.dir,Table13[[#This Row],[Direction]],
IF(_xlpm.dir="R",
    IF(G922+Table13[[#This Row],[Steps]]&gt;99,(G922+Table13[[#This Row],[Steps]])-100,G922+Table13[[#This Row],[Steps]]),
))</f>
        <v>50</v>
      </c>
      <c r="G923">
        <f>IF(Table13[[#This Row],[New Pos L]]&lt;&gt;0,Table13[[#This Row],[New Pos L]],Table13[[#This Row],[New Pos R]])</f>
        <v>50</v>
      </c>
      <c r="H923">
        <f>IF(AND(Table13[[#This Row],[Direction]]="L",Table13[[#This Row],[Steps]]&gt;G922,G922&lt;&gt;0),1,0)</f>
        <v>0</v>
      </c>
      <c r="I923">
        <f>IF(AND(Table13[[#This Row],[Direction]]="R",(G922+Table13[[#This Row],[Steps]])&gt;100),1,0)</f>
        <v>0</v>
      </c>
      <c r="J923">
        <f>IF(Table13[[#This Row],[POS]]=0,1,0)</f>
        <v>0</v>
      </c>
      <c r="K923">
        <f>SUM(Table13[[#This Row],[prefix]],Table13[[#This Row],[Past zero L]],Table13[[#This Row],[Past Zero R]],Table13[[#This Row],[Is Zero]])</f>
        <v>0</v>
      </c>
    </row>
    <row r="924" spans="1:11" ht="16" x14ac:dyDescent="0.2">
      <c r="A924" s="1" t="s">
        <v>17</v>
      </c>
      <c r="B924" t="str">
        <f>LEFT(Table13[[#This Row],[Input]],1)</f>
        <v>L</v>
      </c>
      <c r="C924">
        <f>_xlfn.LET(_xlpm.steps,SUBSTITUTE(Table13[[#This Row],[Input]],Table13[[#This Row],[Direction]],""),VALUE(IF(LEN(_xlpm.steps)&gt;2,RIGHT(_xlpm.steps,2),_xlpm.steps)))</f>
        <v>50</v>
      </c>
      <c r="D924">
        <f>_xlfn.LET(_xlpm.steps,SUBSTITUTE(Table13[[#This Row],[Input]],Table13[[#This Row],[Direction]],""),VALUE(IF(LEN(_xlpm.steps)&gt;2,LEFT(_xlpm.steps,LEN(_xlpm.steps)-2),0)))</f>
        <v>0</v>
      </c>
      <c r="E924">
        <f>_xlfn.LET(_xlpm.dir,Table13[[#This Row],[Direction]],
IF(_xlpm.dir="L",
    IF(G923-Table13[[#This Row],[Steps]]&lt;0,100+(G923-Table13[[#This Row],[Steps]]),G923-Table13[[#This Row],[Steps]]),
))</f>
        <v>0</v>
      </c>
      <c r="F924">
        <f>_xlfn.LET(_xlpm.dir,Table13[[#This Row],[Direction]],
IF(_xlpm.dir="R",
    IF(G923+Table13[[#This Row],[Steps]]&gt;99,(G923+Table13[[#This Row],[Steps]])-100,G923+Table13[[#This Row],[Steps]]),
))</f>
        <v>0</v>
      </c>
      <c r="G924">
        <f>IF(Table13[[#This Row],[New Pos L]]&lt;&gt;0,Table13[[#This Row],[New Pos L]],Table13[[#This Row],[New Pos R]])</f>
        <v>0</v>
      </c>
      <c r="H924">
        <f>IF(AND(Table13[[#This Row],[Direction]]="L",Table13[[#This Row],[Steps]]&gt;G923,G923&lt;&gt;0),1,0)</f>
        <v>0</v>
      </c>
      <c r="I924">
        <f>IF(AND(Table13[[#This Row],[Direction]]="R",(G923+Table13[[#This Row],[Steps]])&gt;100),1,0)</f>
        <v>0</v>
      </c>
      <c r="J924">
        <f>IF(Table13[[#This Row],[POS]]=0,1,0)</f>
        <v>1</v>
      </c>
      <c r="K924">
        <f>SUM(Table13[[#This Row],[prefix]],Table13[[#This Row],[Past zero L]],Table13[[#This Row],[Past Zero R]],Table13[[#This Row],[Is Zero]])</f>
        <v>1</v>
      </c>
    </row>
    <row r="925" spans="1:11" ht="16" x14ac:dyDescent="0.2">
      <c r="A925" s="1" t="s">
        <v>52</v>
      </c>
      <c r="B925" t="str">
        <f>LEFT(Table13[[#This Row],[Input]],1)</f>
        <v>R</v>
      </c>
      <c r="C925">
        <f>_xlfn.LET(_xlpm.steps,SUBSTITUTE(Table13[[#This Row],[Input]],Table13[[#This Row],[Direction]],""),VALUE(IF(LEN(_xlpm.steps)&gt;2,RIGHT(_xlpm.steps,2),_xlpm.steps)))</f>
        <v>11</v>
      </c>
      <c r="D925">
        <f>_xlfn.LET(_xlpm.steps,SUBSTITUTE(Table13[[#This Row],[Input]],Table13[[#This Row],[Direction]],""),VALUE(IF(LEN(_xlpm.steps)&gt;2,LEFT(_xlpm.steps,LEN(_xlpm.steps)-2),0)))</f>
        <v>0</v>
      </c>
      <c r="E925">
        <f>_xlfn.LET(_xlpm.dir,Table13[[#This Row],[Direction]],
IF(_xlpm.dir="L",
    IF(G924-Table13[[#This Row],[Steps]]&lt;0,100+(G924-Table13[[#This Row],[Steps]]),G924-Table13[[#This Row],[Steps]]),
))</f>
        <v>0</v>
      </c>
      <c r="F925">
        <f>_xlfn.LET(_xlpm.dir,Table13[[#This Row],[Direction]],
IF(_xlpm.dir="R",
    IF(G924+Table13[[#This Row],[Steps]]&gt;99,(G924+Table13[[#This Row],[Steps]])-100,G924+Table13[[#This Row],[Steps]]),
))</f>
        <v>11</v>
      </c>
      <c r="G925">
        <f>IF(Table13[[#This Row],[New Pos L]]&lt;&gt;0,Table13[[#This Row],[New Pos L]],Table13[[#This Row],[New Pos R]])</f>
        <v>11</v>
      </c>
      <c r="H925">
        <f>IF(AND(Table13[[#This Row],[Direction]]="L",Table13[[#This Row],[Steps]]&gt;G924,G924&lt;&gt;0),1,0)</f>
        <v>0</v>
      </c>
      <c r="I925">
        <f>IF(AND(Table13[[#This Row],[Direction]]="R",(G924+Table13[[#This Row],[Steps]])&gt;100),1,0)</f>
        <v>0</v>
      </c>
      <c r="J925">
        <f>IF(Table13[[#This Row],[POS]]=0,1,0)</f>
        <v>0</v>
      </c>
      <c r="K925">
        <f>SUM(Table13[[#This Row],[prefix]],Table13[[#This Row],[Past zero L]],Table13[[#This Row],[Past Zero R]],Table13[[#This Row],[Is Zero]])</f>
        <v>0</v>
      </c>
    </row>
    <row r="926" spans="1:11" ht="16" x14ac:dyDescent="0.2">
      <c r="A926" s="1" t="s">
        <v>129</v>
      </c>
      <c r="B926" t="str">
        <f>LEFT(Table13[[#This Row],[Input]],1)</f>
        <v>R</v>
      </c>
      <c r="C926">
        <f>_xlfn.LET(_xlpm.steps,SUBSTITUTE(Table13[[#This Row],[Input]],Table13[[#This Row],[Direction]],""),VALUE(IF(LEN(_xlpm.steps)&gt;2,RIGHT(_xlpm.steps,2),_xlpm.steps)))</f>
        <v>8</v>
      </c>
      <c r="D926">
        <f>_xlfn.LET(_xlpm.steps,SUBSTITUTE(Table13[[#This Row],[Input]],Table13[[#This Row],[Direction]],""),VALUE(IF(LEN(_xlpm.steps)&gt;2,LEFT(_xlpm.steps,LEN(_xlpm.steps)-2),0)))</f>
        <v>0</v>
      </c>
      <c r="E926">
        <f>_xlfn.LET(_xlpm.dir,Table13[[#This Row],[Direction]],
IF(_xlpm.dir="L",
    IF(G925-Table13[[#This Row],[Steps]]&lt;0,100+(G925-Table13[[#This Row],[Steps]]),G925-Table13[[#This Row],[Steps]]),
))</f>
        <v>0</v>
      </c>
      <c r="F926">
        <f>_xlfn.LET(_xlpm.dir,Table13[[#This Row],[Direction]],
IF(_xlpm.dir="R",
    IF(G925+Table13[[#This Row],[Steps]]&gt;99,(G925+Table13[[#This Row],[Steps]])-100,G925+Table13[[#This Row],[Steps]]),
))</f>
        <v>19</v>
      </c>
      <c r="G926">
        <f>IF(Table13[[#This Row],[New Pos L]]&lt;&gt;0,Table13[[#This Row],[New Pos L]],Table13[[#This Row],[New Pos R]])</f>
        <v>19</v>
      </c>
      <c r="H926">
        <f>IF(AND(Table13[[#This Row],[Direction]]="L",Table13[[#This Row],[Steps]]&gt;G925,G925&lt;&gt;0),1,0)</f>
        <v>0</v>
      </c>
      <c r="I926">
        <f>IF(AND(Table13[[#This Row],[Direction]]="R",(G925+Table13[[#This Row],[Steps]])&gt;100),1,0)</f>
        <v>0</v>
      </c>
      <c r="J926">
        <f>IF(Table13[[#This Row],[POS]]=0,1,0)</f>
        <v>0</v>
      </c>
      <c r="K926">
        <f>SUM(Table13[[#This Row],[prefix]],Table13[[#This Row],[Past zero L]],Table13[[#This Row],[Past Zero R]],Table13[[#This Row],[Is Zero]])</f>
        <v>0</v>
      </c>
    </row>
    <row r="927" spans="1:11" ht="16" x14ac:dyDescent="0.2">
      <c r="A927" s="1" t="s">
        <v>325</v>
      </c>
      <c r="B927" t="str">
        <f>LEFT(Table13[[#This Row],[Input]],1)</f>
        <v>L</v>
      </c>
      <c r="C927">
        <f>_xlfn.LET(_xlpm.steps,SUBSTITUTE(Table13[[#This Row],[Input]],Table13[[#This Row],[Direction]],""),VALUE(IF(LEN(_xlpm.steps)&gt;2,RIGHT(_xlpm.steps,2),_xlpm.steps)))</f>
        <v>68</v>
      </c>
      <c r="D927">
        <f>_xlfn.LET(_xlpm.steps,SUBSTITUTE(Table13[[#This Row],[Input]],Table13[[#This Row],[Direction]],""),VALUE(IF(LEN(_xlpm.steps)&gt;2,LEFT(_xlpm.steps,LEN(_xlpm.steps)-2),0)))</f>
        <v>0</v>
      </c>
      <c r="E927">
        <f>_xlfn.LET(_xlpm.dir,Table13[[#This Row],[Direction]],
IF(_xlpm.dir="L",
    IF(G926-Table13[[#This Row],[Steps]]&lt;0,100+(G926-Table13[[#This Row],[Steps]]),G926-Table13[[#This Row],[Steps]]),
))</f>
        <v>51</v>
      </c>
      <c r="F927">
        <f>_xlfn.LET(_xlpm.dir,Table13[[#This Row],[Direction]],
IF(_xlpm.dir="R",
    IF(G926+Table13[[#This Row],[Steps]]&gt;99,(G926+Table13[[#This Row],[Steps]])-100,G926+Table13[[#This Row],[Steps]]),
))</f>
        <v>0</v>
      </c>
      <c r="G927">
        <f>IF(Table13[[#This Row],[New Pos L]]&lt;&gt;0,Table13[[#This Row],[New Pos L]],Table13[[#This Row],[New Pos R]])</f>
        <v>51</v>
      </c>
      <c r="H927">
        <f>IF(AND(Table13[[#This Row],[Direction]]="L",Table13[[#This Row],[Steps]]&gt;G926,G926&lt;&gt;0),1,0)</f>
        <v>1</v>
      </c>
      <c r="I927">
        <f>IF(AND(Table13[[#This Row],[Direction]]="R",(G926+Table13[[#This Row],[Steps]])&gt;100),1,0)</f>
        <v>0</v>
      </c>
      <c r="J927">
        <f>IF(Table13[[#This Row],[POS]]=0,1,0)</f>
        <v>0</v>
      </c>
      <c r="K927">
        <f>SUM(Table13[[#This Row],[prefix]],Table13[[#This Row],[Past zero L]],Table13[[#This Row],[Past Zero R]],Table13[[#This Row],[Is Zero]])</f>
        <v>1</v>
      </c>
    </row>
    <row r="928" spans="1:11" ht="16" x14ac:dyDescent="0.2">
      <c r="A928" s="1" t="s">
        <v>346</v>
      </c>
      <c r="B928" t="str">
        <f>LEFT(Table13[[#This Row],[Input]],1)</f>
        <v>L</v>
      </c>
      <c r="C928">
        <f>_xlfn.LET(_xlpm.steps,SUBSTITUTE(Table13[[#This Row],[Input]],Table13[[#This Row],[Direction]],""),VALUE(IF(LEN(_xlpm.steps)&gt;2,RIGHT(_xlpm.steps,2),_xlpm.steps)))</f>
        <v>61</v>
      </c>
      <c r="D928">
        <f>_xlfn.LET(_xlpm.steps,SUBSTITUTE(Table13[[#This Row],[Input]],Table13[[#This Row],[Direction]],""),VALUE(IF(LEN(_xlpm.steps)&gt;2,LEFT(_xlpm.steps,LEN(_xlpm.steps)-2),0)))</f>
        <v>1</v>
      </c>
      <c r="E928">
        <f>_xlfn.LET(_xlpm.dir,Table13[[#This Row],[Direction]],
IF(_xlpm.dir="L",
    IF(G927-Table13[[#This Row],[Steps]]&lt;0,100+(G927-Table13[[#This Row],[Steps]]),G927-Table13[[#This Row],[Steps]]),
))</f>
        <v>90</v>
      </c>
      <c r="F928">
        <f>_xlfn.LET(_xlpm.dir,Table13[[#This Row],[Direction]],
IF(_xlpm.dir="R",
    IF(G927+Table13[[#This Row],[Steps]]&gt;99,(G927+Table13[[#This Row],[Steps]])-100,G927+Table13[[#This Row],[Steps]]),
))</f>
        <v>0</v>
      </c>
      <c r="G928">
        <f>IF(Table13[[#This Row],[New Pos L]]&lt;&gt;0,Table13[[#This Row],[New Pos L]],Table13[[#This Row],[New Pos R]])</f>
        <v>90</v>
      </c>
      <c r="H928">
        <f>IF(AND(Table13[[#This Row],[Direction]]="L",Table13[[#This Row],[Steps]]&gt;G927,G927&lt;&gt;0),1,0)</f>
        <v>1</v>
      </c>
      <c r="I928">
        <f>IF(AND(Table13[[#This Row],[Direction]]="R",(G927+Table13[[#This Row],[Steps]])&gt;100),1,0)</f>
        <v>0</v>
      </c>
      <c r="J928">
        <f>IF(Table13[[#This Row],[POS]]=0,1,0)</f>
        <v>0</v>
      </c>
      <c r="K928">
        <f>SUM(Table13[[#This Row],[prefix]],Table13[[#This Row],[Past zero L]],Table13[[#This Row],[Past Zero R]],Table13[[#This Row],[Is Zero]])</f>
        <v>2</v>
      </c>
    </row>
    <row r="929" spans="1:11" ht="16" x14ac:dyDescent="0.2">
      <c r="A929" s="1" t="s">
        <v>64</v>
      </c>
      <c r="B929" t="str">
        <f>LEFT(Table13[[#This Row],[Input]],1)</f>
        <v>R</v>
      </c>
      <c r="C929">
        <f>_xlfn.LET(_xlpm.steps,SUBSTITUTE(Table13[[#This Row],[Input]],Table13[[#This Row],[Direction]],""),VALUE(IF(LEN(_xlpm.steps)&gt;2,RIGHT(_xlpm.steps,2),_xlpm.steps)))</f>
        <v>10</v>
      </c>
      <c r="D929">
        <f>_xlfn.LET(_xlpm.steps,SUBSTITUTE(Table13[[#This Row],[Input]],Table13[[#This Row],[Direction]],""),VALUE(IF(LEN(_xlpm.steps)&gt;2,LEFT(_xlpm.steps,LEN(_xlpm.steps)-2),0)))</f>
        <v>0</v>
      </c>
      <c r="E929">
        <f>_xlfn.LET(_xlpm.dir,Table13[[#This Row],[Direction]],
IF(_xlpm.dir="L",
    IF(G928-Table13[[#This Row],[Steps]]&lt;0,100+(G928-Table13[[#This Row],[Steps]]),G928-Table13[[#This Row],[Steps]]),
))</f>
        <v>0</v>
      </c>
      <c r="F929">
        <f>_xlfn.LET(_xlpm.dir,Table13[[#This Row],[Direction]],
IF(_xlpm.dir="R",
    IF(G928+Table13[[#This Row],[Steps]]&gt;99,(G928+Table13[[#This Row],[Steps]])-100,G928+Table13[[#This Row],[Steps]]),
))</f>
        <v>0</v>
      </c>
      <c r="G929">
        <f>IF(Table13[[#This Row],[New Pos L]]&lt;&gt;0,Table13[[#This Row],[New Pos L]],Table13[[#This Row],[New Pos R]])</f>
        <v>0</v>
      </c>
      <c r="H929">
        <f>IF(AND(Table13[[#This Row],[Direction]]="L",Table13[[#This Row],[Steps]]&gt;G928,G928&lt;&gt;0),1,0)</f>
        <v>0</v>
      </c>
      <c r="I929">
        <f>IF(AND(Table13[[#This Row],[Direction]]="R",(G928+Table13[[#This Row],[Steps]])&gt;100),1,0)</f>
        <v>0</v>
      </c>
      <c r="J929">
        <f>IF(Table13[[#This Row],[POS]]=0,1,0)</f>
        <v>1</v>
      </c>
      <c r="K929">
        <f>SUM(Table13[[#This Row],[prefix]],Table13[[#This Row],[Past zero L]],Table13[[#This Row],[Past Zero R]],Table13[[#This Row],[Is Zero]])</f>
        <v>1</v>
      </c>
    </row>
    <row r="930" spans="1:11" ht="16" x14ac:dyDescent="0.2">
      <c r="A930" s="1" t="s">
        <v>218</v>
      </c>
      <c r="B930" t="str">
        <f>LEFT(Table13[[#This Row],[Input]],1)</f>
        <v>R</v>
      </c>
      <c r="C930">
        <f>_xlfn.LET(_xlpm.steps,SUBSTITUTE(Table13[[#This Row],[Input]],Table13[[#This Row],[Direction]],""),VALUE(IF(LEN(_xlpm.steps)&gt;2,RIGHT(_xlpm.steps,2),_xlpm.steps)))</f>
        <v>35</v>
      </c>
      <c r="D930">
        <f>_xlfn.LET(_xlpm.steps,SUBSTITUTE(Table13[[#This Row],[Input]],Table13[[#This Row],[Direction]],""),VALUE(IF(LEN(_xlpm.steps)&gt;2,LEFT(_xlpm.steps,LEN(_xlpm.steps)-2),0)))</f>
        <v>0</v>
      </c>
      <c r="E930">
        <f>_xlfn.LET(_xlpm.dir,Table13[[#This Row],[Direction]],
IF(_xlpm.dir="L",
    IF(G929-Table13[[#This Row],[Steps]]&lt;0,100+(G929-Table13[[#This Row],[Steps]]),G929-Table13[[#This Row],[Steps]]),
))</f>
        <v>0</v>
      </c>
      <c r="F930">
        <f>_xlfn.LET(_xlpm.dir,Table13[[#This Row],[Direction]],
IF(_xlpm.dir="R",
    IF(G929+Table13[[#This Row],[Steps]]&gt;99,(G929+Table13[[#This Row],[Steps]])-100,G929+Table13[[#This Row],[Steps]]),
))</f>
        <v>35</v>
      </c>
      <c r="G930">
        <f>IF(Table13[[#This Row],[New Pos L]]&lt;&gt;0,Table13[[#This Row],[New Pos L]],Table13[[#This Row],[New Pos R]])</f>
        <v>35</v>
      </c>
      <c r="H930">
        <f>IF(AND(Table13[[#This Row],[Direction]]="L",Table13[[#This Row],[Steps]]&gt;G929,G929&lt;&gt;0),1,0)</f>
        <v>0</v>
      </c>
      <c r="I930">
        <f>IF(AND(Table13[[#This Row],[Direction]]="R",(G929+Table13[[#This Row],[Steps]])&gt;100),1,0)</f>
        <v>0</v>
      </c>
      <c r="J930">
        <f>IF(Table13[[#This Row],[POS]]=0,1,0)</f>
        <v>0</v>
      </c>
      <c r="K930">
        <f>SUM(Table13[[#This Row],[prefix]],Table13[[#This Row],[Past zero L]],Table13[[#This Row],[Past Zero R]],Table13[[#This Row],[Is Zero]])</f>
        <v>0</v>
      </c>
    </row>
    <row r="931" spans="1:11" ht="16" x14ac:dyDescent="0.2">
      <c r="A931" s="1" t="s">
        <v>126</v>
      </c>
      <c r="B931" t="str">
        <f>LEFT(Table13[[#This Row],[Input]],1)</f>
        <v>R</v>
      </c>
      <c r="C931">
        <f>_xlfn.LET(_xlpm.steps,SUBSTITUTE(Table13[[#This Row],[Input]],Table13[[#This Row],[Direction]],""),VALUE(IF(LEN(_xlpm.steps)&gt;2,RIGHT(_xlpm.steps,2),_xlpm.steps)))</f>
        <v>65</v>
      </c>
      <c r="D931">
        <f>_xlfn.LET(_xlpm.steps,SUBSTITUTE(Table13[[#This Row],[Input]],Table13[[#This Row],[Direction]],""),VALUE(IF(LEN(_xlpm.steps)&gt;2,LEFT(_xlpm.steps,LEN(_xlpm.steps)-2),0)))</f>
        <v>0</v>
      </c>
      <c r="E931">
        <f>_xlfn.LET(_xlpm.dir,Table13[[#This Row],[Direction]],
IF(_xlpm.dir="L",
    IF(G930-Table13[[#This Row],[Steps]]&lt;0,100+(G930-Table13[[#This Row],[Steps]]),G930-Table13[[#This Row],[Steps]]),
))</f>
        <v>0</v>
      </c>
      <c r="F931">
        <f>_xlfn.LET(_xlpm.dir,Table13[[#This Row],[Direction]],
IF(_xlpm.dir="R",
    IF(G930+Table13[[#This Row],[Steps]]&gt;99,(G930+Table13[[#This Row],[Steps]])-100,G930+Table13[[#This Row],[Steps]]),
))</f>
        <v>0</v>
      </c>
      <c r="G931">
        <f>IF(Table13[[#This Row],[New Pos L]]&lt;&gt;0,Table13[[#This Row],[New Pos L]],Table13[[#This Row],[New Pos R]])</f>
        <v>0</v>
      </c>
      <c r="H931">
        <f>IF(AND(Table13[[#This Row],[Direction]]="L",Table13[[#This Row],[Steps]]&gt;G930,G930&lt;&gt;0),1,0)</f>
        <v>0</v>
      </c>
      <c r="I931">
        <f>IF(AND(Table13[[#This Row],[Direction]]="R",(G930+Table13[[#This Row],[Steps]])&gt;100),1,0)</f>
        <v>0</v>
      </c>
      <c r="J931">
        <f>IF(Table13[[#This Row],[POS]]=0,1,0)</f>
        <v>1</v>
      </c>
      <c r="K931">
        <f>SUM(Table13[[#This Row],[prefix]],Table13[[#This Row],[Past zero L]],Table13[[#This Row],[Past Zero R]],Table13[[#This Row],[Is Zero]])</f>
        <v>1</v>
      </c>
    </row>
    <row r="932" spans="1:11" ht="16" x14ac:dyDescent="0.2">
      <c r="A932" s="1" t="s">
        <v>80</v>
      </c>
      <c r="B932" t="str">
        <f>LEFT(Table13[[#This Row],[Input]],1)</f>
        <v>L</v>
      </c>
      <c r="C932">
        <f>_xlfn.LET(_xlpm.steps,SUBSTITUTE(Table13[[#This Row],[Input]],Table13[[#This Row],[Direction]],""),VALUE(IF(LEN(_xlpm.steps)&gt;2,RIGHT(_xlpm.steps,2),_xlpm.steps)))</f>
        <v>48</v>
      </c>
      <c r="D932">
        <f>_xlfn.LET(_xlpm.steps,SUBSTITUTE(Table13[[#This Row],[Input]],Table13[[#This Row],[Direction]],""),VALUE(IF(LEN(_xlpm.steps)&gt;2,LEFT(_xlpm.steps,LEN(_xlpm.steps)-2),0)))</f>
        <v>0</v>
      </c>
      <c r="E932">
        <f>_xlfn.LET(_xlpm.dir,Table13[[#This Row],[Direction]],
IF(_xlpm.dir="L",
    IF(G931-Table13[[#This Row],[Steps]]&lt;0,100+(G931-Table13[[#This Row],[Steps]]),G931-Table13[[#This Row],[Steps]]),
))</f>
        <v>52</v>
      </c>
      <c r="F932">
        <f>_xlfn.LET(_xlpm.dir,Table13[[#This Row],[Direction]],
IF(_xlpm.dir="R",
    IF(G931+Table13[[#This Row],[Steps]]&gt;99,(G931+Table13[[#This Row],[Steps]])-100,G931+Table13[[#This Row],[Steps]]),
))</f>
        <v>0</v>
      </c>
      <c r="G932">
        <f>IF(Table13[[#This Row],[New Pos L]]&lt;&gt;0,Table13[[#This Row],[New Pos L]],Table13[[#This Row],[New Pos R]])</f>
        <v>52</v>
      </c>
      <c r="H932">
        <f>IF(AND(Table13[[#This Row],[Direction]]="L",Table13[[#This Row],[Steps]]&gt;G931,G931&lt;&gt;0),1,0)</f>
        <v>0</v>
      </c>
      <c r="I932">
        <f>IF(AND(Table13[[#This Row],[Direction]]="R",(G931+Table13[[#This Row],[Steps]])&gt;100),1,0)</f>
        <v>0</v>
      </c>
      <c r="J932">
        <f>IF(Table13[[#This Row],[POS]]=0,1,0)</f>
        <v>0</v>
      </c>
      <c r="K932">
        <f>SUM(Table13[[#This Row],[prefix]],Table13[[#This Row],[Past zero L]],Table13[[#This Row],[Past Zero R]],Table13[[#This Row],[Is Zero]])</f>
        <v>0</v>
      </c>
    </row>
    <row r="933" spans="1:11" ht="16" x14ac:dyDescent="0.2">
      <c r="A933" s="1" t="s">
        <v>255</v>
      </c>
      <c r="B933" t="str">
        <f>LEFT(Table13[[#This Row],[Input]],1)</f>
        <v>R</v>
      </c>
      <c r="C933">
        <f>_xlfn.LET(_xlpm.steps,SUBSTITUTE(Table13[[#This Row],[Input]],Table13[[#This Row],[Direction]],""),VALUE(IF(LEN(_xlpm.steps)&gt;2,RIGHT(_xlpm.steps,2),_xlpm.steps)))</f>
        <v>16</v>
      </c>
      <c r="D933">
        <f>_xlfn.LET(_xlpm.steps,SUBSTITUTE(Table13[[#This Row],[Input]],Table13[[#This Row],[Direction]],""),VALUE(IF(LEN(_xlpm.steps)&gt;2,LEFT(_xlpm.steps,LEN(_xlpm.steps)-2),0)))</f>
        <v>0</v>
      </c>
      <c r="E933">
        <f>_xlfn.LET(_xlpm.dir,Table13[[#This Row],[Direction]],
IF(_xlpm.dir="L",
    IF(G932-Table13[[#This Row],[Steps]]&lt;0,100+(G932-Table13[[#This Row],[Steps]]),G932-Table13[[#This Row],[Steps]]),
))</f>
        <v>0</v>
      </c>
      <c r="F933">
        <f>_xlfn.LET(_xlpm.dir,Table13[[#This Row],[Direction]],
IF(_xlpm.dir="R",
    IF(G932+Table13[[#This Row],[Steps]]&gt;99,(G932+Table13[[#This Row],[Steps]])-100,G932+Table13[[#This Row],[Steps]]),
))</f>
        <v>68</v>
      </c>
      <c r="G933">
        <f>IF(Table13[[#This Row],[New Pos L]]&lt;&gt;0,Table13[[#This Row],[New Pos L]],Table13[[#This Row],[New Pos R]])</f>
        <v>68</v>
      </c>
      <c r="H933">
        <f>IF(AND(Table13[[#This Row],[Direction]]="L",Table13[[#This Row],[Steps]]&gt;G932,G932&lt;&gt;0),1,0)</f>
        <v>0</v>
      </c>
      <c r="I933">
        <f>IF(AND(Table13[[#This Row],[Direction]]="R",(G932+Table13[[#This Row],[Steps]])&gt;100),1,0)</f>
        <v>0</v>
      </c>
      <c r="J933">
        <f>IF(Table13[[#This Row],[POS]]=0,1,0)</f>
        <v>0</v>
      </c>
      <c r="K933">
        <f>SUM(Table13[[#This Row],[prefix]],Table13[[#This Row],[Past zero L]],Table13[[#This Row],[Past Zero R]],Table13[[#This Row],[Is Zero]])</f>
        <v>0</v>
      </c>
    </row>
    <row r="934" spans="1:11" ht="16" x14ac:dyDescent="0.2">
      <c r="A934" s="1" t="s">
        <v>256</v>
      </c>
      <c r="B934" t="str">
        <f>LEFT(Table13[[#This Row],[Input]],1)</f>
        <v>R</v>
      </c>
      <c r="C934">
        <f>_xlfn.LET(_xlpm.steps,SUBSTITUTE(Table13[[#This Row],[Input]],Table13[[#This Row],[Direction]],""),VALUE(IF(LEN(_xlpm.steps)&gt;2,RIGHT(_xlpm.steps,2),_xlpm.steps)))</f>
        <v>13</v>
      </c>
      <c r="D934">
        <f>_xlfn.LET(_xlpm.steps,SUBSTITUTE(Table13[[#This Row],[Input]],Table13[[#This Row],[Direction]],""),VALUE(IF(LEN(_xlpm.steps)&gt;2,LEFT(_xlpm.steps,LEN(_xlpm.steps)-2),0)))</f>
        <v>0</v>
      </c>
      <c r="E934">
        <f>_xlfn.LET(_xlpm.dir,Table13[[#This Row],[Direction]],
IF(_xlpm.dir="L",
    IF(G933-Table13[[#This Row],[Steps]]&lt;0,100+(G933-Table13[[#This Row],[Steps]]),G933-Table13[[#This Row],[Steps]]),
))</f>
        <v>0</v>
      </c>
      <c r="F934">
        <f>_xlfn.LET(_xlpm.dir,Table13[[#This Row],[Direction]],
IF(_xlpm.dir="R",
    IF(G933+Table13[[#This Row],[Steps]]&gt;99,(G933+Table13[[#This Row],[Steps]])-100,G933+Table13[[#This Row],[Steps]]),
))</f>
        <v>81</v>
      </c>
      <c r="G934">
        <f>IF(Table13[[#This Row],[New Pos L]]&lt;&gt;0,Table13[[#This Row],[New Pos L]],Table13[[#This Row],[New Pos R]])</f>
        <v>81</v>
      </c>
      <c r="H934">
        <f>IF(AND(Table13[[#This Row],[Direction]]="L",Table13[[#This Row],[Steps]]&gt;G933,G933&lt;&gt;0),1,0)</f>
        <v>0</v>
      </c>
      <c r="I934">
        <f>IF(AND(Table13[[#This Row],[Direction]]="R",(G933+Table13[[#This Row],[Steps]])&gt;100),1,0)</f>
        <v>0</v>
      </c>
      <c r="J934">
        <f>IF(Table13[[#This Row],[POS]]=0,1,0)</f>
        <v>0</v>
      </c>
      <c r="K934">
        <f>SUM(Table13[[#This Row],[prefix]],Table13[[#This Row],[Past zero L]],Table13[[#This Row],[Past Zero R]],Table13[[#This Row],[Is Zero]])</f>
        <v>0</v>
      </c>
    </row>
    <row r="935" spans="1:11" ht="16" x14ac:dyDescent="0.2">
      <c r="A935" s="1" t="s">
        <v>139</v>
      </c>
      <c r="B935" t="str">
        <f>LEFT(Table13[[#This Row],[Input]],1)</f>
        <v>R</v>
      </c>
      <c r="C935">
        <f>_xlfn.LET(_xlpm.steps,SUBSTITUTE(Table13[[#This Row],[Input]],Table13[[#This Row],[Direction]],""),VALUE(IF(LEN(_xlpm.steps)&gt;2,RIGHT(_xlpm.steps,2),_xlpm.steps)))</f>
        <v>38</v>
      </c>
      <c r="D935">
        <f>_xlfn.LET(_xlpm.steps,SUBSTITUTE(Table13[[#This Row],[Input]],Table13[[#This Row],[Direction]],""),VALUE(IF(LEN(_xlpm.steps)&gt;2,LEFT(_xlpm.steps,LEN(_xlpm.steps)-2),0)))</f>
        <v>0</v>
      </c>
      <c r="E935">
        <f>_xlfn.LET(_xlpm.dir,Table13[[#This Row],[Direction]],
IF(_xlpm.dir="L",
    IF(G934-Table13[[#This Row],[Steps]]&lt;0,100+(G934-Table13[[#This Row],[Steps]]),G934-Table13[[#This Row],[Steps]]),
))</f>
        <v>0</v>
      </c>
      <c r="F935">
        <f>_xlfn.LET(_xlpm.dir,Table13[[#This Row],[Direction]],
IF(_xlpm.dir="R",
    IF(G934+Table13[[#This Row],[Steps]]&gt;99,(G934+Table13[[#This Row],[Steps]])-100,G934+Table13[[#This Row],[Steps]]),
))</f>
        <v>19</v>
      </c>
      <c r="G935">
        <f>IF(Table13[[#This Row],[New Pos L]]&lt;&gt;0,Table13[[#This Row],[New Pos L]],Table13[[#This Row],[New Pos R]])</f>
        <v>19</v>
      </c>
      <c r="H935">
        <f>IF(AND(Table13[[#This Row],[Direction]]="L",Table13[[#This Row],[Steps]]&gt;G934,G934&lt;&gt;0),1,0)</f>
        <v>0</v>
      </c>
      <c r="I935">
        <f>IF(AND(Table13[[#This Row],[Direction]]="R",(G934+Table13[[#This Row],[Steps]])&gt;100),1,0)</f>
        <v>1</v>
      </c>
      <c r="J935">
        <f>IF(Table13[[#This Row],[POS]]=0,1,0)</f>
        <v>0</v>
      </c>
      <c r="K935">
        <f>SUM(Table13[[#This Row],[prefix]],Table13[[#This Row],[Past zero L]],Table13[[#This Row],[Past Zero R]],Table13[[#This Row],[Is Zero]])</f>
        <v>1</v>
      </c>
    </row>
    <row r="936" spans="1:11" ht="16" x14ac:dyDescent="0.2">
      <c r="A936" s="1" t="s">
        <v>309</v>
      </c>
      <c r="B936" t="str">
        <f>LEFT(Table13[[#This Row],[Input]],1)</f>
        <v>L</v>
      </c>
      <c r="C936">
        <f>_xlfn.LET(_xlpm.steps,SUBSTITUTE(Table13[[#This Row],[Input]],Table13[[#This Row],[Direction]],""),VALUE(IF(LEN(_xlpm.steps)&gt;2,RIGHT(_xlpm.steps,2),_xlpm.steps)))</f>
        <v>41</v>
      </c>
      <c r="D936">
        <f>_xlfn.LET(_xlpm.steps,SUBSTITUTE(Table13[[#This Row],[Input]],Table13[[#This Row],[Direction]],""),VALUE(IF(LEN(_xlpm.steps)&gt;2,LEFT(_xlpm.steps,LEN(_xlpm.steps)-2),0)))</f>
        <v>0</v>
      </c>
      <c r="E936">
        <f>_xlfn.LET(_xlpm.dir,Table13[[#This Row],[Direction]],
IF(_xlpm.dir="L",
    IF(G935-Table13[[#This Row],[Steps]]&lt;0,100+(G935-Table13[[#This Row],[Steps]]),G935-Table13[[#This Row],[Steps]]),
))</f>
        <v>78</v>
      </c>
      <c r="F936">
        <f>_xlfn.LET(_xlpm.dir,Table13[[#This Row],[Direction]],
IF(_xlpm.dir="R",
    IF(G935+Table13[[#This Row],[Steps]]&gt;99,(G935+Table13[[#This Row],[Steps]])-100,G935+Table13[[#This Row],[Steps]]),
))</f>
        <v>0</v>
      </c>
      <c r="G936">
        <f>IF(Table13[[#This Row],[New Pos L]]&lt;&gt;0,Table13[[#This Row],[New Pos L]],Table13[[#This Row],[New Pos R]])</f>
        <v>78</v>
      </c>
      <c r="H936">
        <f>IF(AND(Table13[[#This Row],[Direction]]="L",Table13[[#This Row],[Steps]]&gt;G935,G935&lt;&gt;0),1,0)</f>
        <v>1</v>
      </c>
      <c r="I936">
        <f>IF(AND(Table13[[#This Row],[Direction]]="R",(G935+Table13[[#This Row],[Steps]])&gt;100),1,0)</f>
        <v>0</v>
      </c>
      <c r="J936">
        <f>IF(Table13[[#This Row],[POS]]=0,1,0)</f>
        <v>0</v>
      </c>
      <c r="K936">
        <f>SUM(Table13[[#This Row],[prefix]],Table13[[#This Row],[Past zero L]],Table13[[#This Row],[Past Zero R]],Table13[[#This Row],[Is Zero]])</f>
        <v>1</v>
      </c>
    </row>
    <row r="937" spans="1:11" ht="16" x14ac:dyDescent="0.2">
      <c r="A937" s="1" t="s">
        <v>95</v>
      </c>
      <c r="B937" t="str">
        <f>LEFT(Table13[[#This Row],[Input]],1)</f>
        <v>L</v>
      </c>
      <c r="C937">
        <f>_xlfn.LET(_xlpm.steps,SUBSTITUTE(Table13[[#This Row],[Input]],Table13[[#This Row],[Direction]],""),VALUE(IF(LEN(_xlpm.steps)&gt;2,RIGHT(_xlpm.steps,2),_xlpm.steps)))</f>
        <v>78</v>
      </c>
      <c r="D937">
        <f>_xlfn.LET(_xlpm.steps,SUBSTITUTE(Table13[[#This Row],[Input]],Table13[[#This Row],[Direction]],""),VALUE(IF(LEN(_xlpm.steps)&gt;2,LEFT(_xlpm.steps,LEN(_xlpm.steps)-2),0)))</f>
        <v>0</v>
      </c>
      <c r="E937">
        <f>_xlfn.LET(_xlpm.dir,Table13[[#This Row],[Direction]],
IF(_xlpm.dir="L",
    IF(G936-Table13[[#This Row],[Steps]]&lt;0,100+(G936-Table13[[#This Row],[Steps]]),G936-Table13[[#This Row],[Steps]]),
))</f>
        <v>0</v>
      </c>
      <c r="F937">
        <f>_xlfn.LET(_xlpm.dir,Table13[[#This Row],[Direction]],
IF(_xlpm.dir="R",
    IF(G936+Table13[[#This Row],[Steps]]&gt;99,(G936+Table13[[#This Row],[Steps]])-100,G936+Table13[[#This Row],[Steps]]),
))</f>
        <v>0</v>
      </c>
      <c r="G937">
        <f>IF(Table13[[#This Row],[New Pos L]]&lt;&gt;0,Table13[[#This Row],[New Pos L]],Table13[[#This Row],[New Pos R]])</f>
        <v>0</v>
      </c>
      <c r="H937">
        <f>IF(AND(Table13[[#This Row],[Direction]]="L",Table13[[#This Row],[Steps]]&gt;G936,G936&lt;&gt;0),1,0)</f>
        <v>0</v>
      </c>
      <c r="I937">
        <f>IF(AND(Table13[[#This Row],[Direction]]="R",(G936+Table13[[#This Row],[Steps]])&gt;100),1,0)</f>
        <v>0</v>
      </c>
      <c r="J937">
        <f>IF(Table13[[#This Row],[POS]]=0,1,0)</f>
        <v>1</v>
      </c>
      <c r="K937">
        <f>SUM(Table13[[#This Row],[prefix]],Table13[[#This Row],[Past zero L]],Table13[[#This Row],[Past Zero R]],Table13[[#This Row],[Is Zero]])</f>
        <v>1</v>
      </c>
    </row>
    <row r="938" spans="1:11" ht="16" x14ac:dyDescent="0.2">
      <c r="A938" s="1" t="s">
        <v>347</v>
      </c>
      <c r="B938" t="str">
        <f>LEFT(Table13[[#This Row],[Input]],1)</f>
        <v>R</v>
      </c>
      <c r="C938">
        <f>_xlfn.LET(_xlpm.steps,SUBSTITUTE(Table13[[#This Row],[Input]],Table13[[#This Row],[Direction]],""),VALUE(IF(LEN(_xlpm.steps)&gt;2,RIGHT(_xlpm.steps,2),_xlpm.steps)))</f>
        <v>25</v>
      </c>
      <c r="D938">
        <f>_xlfn.LET(_xlpm.steps,SUBSTITUTE(Table13[[#This Row],[Input]],Table13[[#This Row],[Direction]],""),VALUE(IF(LEN(_xlpm.steps)&gt;2,LEFT(_xlpm.steps,LEN(_xlpm.steps)-2),0)))</f>
        <v>1</v>
      </c>
      <c r="E938">
        <f>_xlfn.LET(_xlpm.dir,Table13[[#This Row],[Direction]],
IF(_xlpm.dir="L",
    IF(G937-Table13[[#This Row],[Steps]]&lt;0,100+(G937-Table13[[#This Row],[Steps]]),G937-Table13[[#This Row],[Steps]]),
))</f>
        <v>0</v>
      </c>
      <c r="F938">
        <f>_xlfn.LET(_xlpm.dir,Table13[[#This Row],[Direction]],
IF(_xlpm.dir="R",
    IF(G937+Table13[[#This Row],[Steps]]&gt;99,(G937+Table13[[#This Row],[Steps]])-100,G937+Table13[[#This Row],[Steps]]),
))</f>
        <v>25</v>
      </c>
      <c r="G938">
        <f>IF(Table13[[#This Row],[New Pos L]]&lt;&gt;0,Table13[[#This Row],[New Pos L]],Table13[[#This Row],[New Pos R]])</f>
        <v>25</v>
      </c>
      <c r="H938">
        <f>IF(AND(Table13[[#This Row],[Direction]]="L",Table13[[#This Row],[Steps]]&gt;G937,G937&lt;&gt;0),1,0)</f>
        <v>0</v>
      </c>
      <c r="I938">
        <f>IF(AND(Table13[[#This Row],[Direction]]="R",(G937+Table13[[#This Row],[Steps]])&gt;100),1,0)</f>
        <v>0</v>
      </c>
      <c r="J938">
        <f>IF(Table13[[#This Row],[POS]]=0,1,0)</f>
        <v>0</v>
      </c>
      <c r="K938">
        <f>SUM(Table13[[#This Row],[prefix]],Table13[[#This Row],[Past zero L]],Table13[[#This Row],[Past Zero R]],Table13[[#This Row],[Is Zero]])</f>
        <v>1</v>
      </c>
    </row>
    <row r="939" spans="1:11" ht="16" x14ac:dyDescent="0.2">
      <c r="A939" s="1" t="s">
        <v>348</v>
      </c>
      <c r="B939" t="str">
        <f>LEFT(Table13[[#This Row],[Input]],1)</f>
        <v>R</v>
      </c>
      <c r="C939">
        <f>_xlfn.LET(_xlpm.steps,SUBSTITUTE(Table13[[#This Row],[Input]],Table13[[#This Row],[Direction]],""),VALUE(IF(LEN(_xlpm.steps)&gt;2,RIGHT(_xlpm.steps,2),_xlpm.steps)))</f>
        <v>48</v>
      </c>
      <c r="D939">
        <f>_xlfn.LET(_xlpm.steps,SUBSTITUTE(Table13[[#This Row],[Input]],Table13[[#This Row],[Direction]],""),VALUE(IF(LEN(_xlpm.steps)&gt;2,LEFT(_xlpm.steps,LEN(_xlpm.steps)-2),0)))</f>
        <v>7</v>
      </c>
      <c r="E939">
        <f>_xlfn.LET(_xlpm.dir,Table13[[#This Row],[Direction]],
IF(_xlpm.dir="L",
    IF(G938-Table13[[#This Row],[Steps]]&lt;0,100+(G938-Table13[[#This Row],[Steps]]),G938-Table13[[#This Row],[Steps]]),
))</f>
        <v>0</v>
      </c>
      <c r="F939">
        <f>_xlfn.LET(_xlpm.dir,Table13[[#This Row],[Direction]],
IF(_xlpm.dir="R",
    IF(G938+Table13[[#This Row],[Steps]]&gt;99,(G938+Table13[[#This Row],[Steps]])-100,G938+Table13[[#This Row],[Steps]]),
))</f>
        <v>73</v>
      </c>
      <c r="G939">
        <f>IF(Table13[[#This Row],[New Pos L]]&lt;&gt;0,Table13[[#This Row],[New Pos L]],Table13[[#This Row],[New Pos R]])</f>
        <v>73</v>
      </c>
      <c r="H939">
        <f>IF(AND(Table13[[#This Row],[Direction]]="L",Table13[[#This Row],[Steps]]&gt;G938,G938&lt;&gt;0),1,0)</f>
        <v>0</v>
      </c>
      <c r="I939">
        <f>IF(AND(Table13[[#This Row],[Direction]]="R",(G938+Table13[[#This Row],[Steps]])&gt;100),1,0)</f>
        <v>0</v>
      </c>
      <c r="J939">
        <f>IF(Table13[[#This Row],[POS]]=0,1,0)</f>
        <v>0</v>
      </c>
      <c r="K939">
        <f>SUM(Table13[[#This Row],[prefix]],Table13[[#This Row],[Past zero L]],Table13[[#This Row],[Past Zero R]],Table13[[#This Row],[Is Zero]])</f>
        <v>7</v>
      </c>
    </row>
    <row r="940" spans="1:11" ht="16" x14ac:dyDescent="0.2">
      <c r="A940" s="1" t="s">
        <v>7</v>
      </c>
      <c r="B940" t="str">
        <f>LEFT(Table13[[#This Row],[Input]],1)</f>
        <v>R</v>
      </c>
      <c r="C940">
        <f>_xlfn.LET(_xlpm.steps,SUBSTITUTE(Table13[[#This Row],[Input]],Table13[[#This Row],[Direction]],""),VALUE(IF(LEN(_xlpm.steps)&gt;2,RIGHT(_xlpm.steps,2),_xlpm.steps)))</f>
        <v>14</v>
      </c>
      <c r="D940">
        <f>_xlfn.LET(_xlpm.steps,SUBSTITUTE(Table13[[#This Row],[Input]],Table13[[#This Row],[Direction]],""),VALUE(IF(LEN(_xlpm.steps)&gt;2,LEFT(_xlpm.steps,LEN(_xlpm.steps)-2),0)))</f>
        <v>0</v>
      </c>
      <c r="E940">
        <f>_xlfn.LET(_xlpm.dir,Table13[[#This Row],[Direction]],
IF(_xlpm.dir="L",
    IF(G939-Table13[[#This Row],[Steps]]&lt;0,100+(G939-Table13[[#This Row],[Steps]]),G939-Table13[[#This Row],[Steps]]),
))</f>
        <v>0</v>
      </c>
      <c r="F940">
        <f>_xlfn.LET(_xlpm.dir,Table13[[#This Row],[Direction]],
IF(_xlpm.dir="R",
    IF(G939+Table13[[#This Row],[Steps]]&gt;99,(G939+Table13[[#This Row],[Steps]])-100,G939+Table13[[#This Row],[Steps]]),
))</f>
        <v>87</v>
      </c>
      <c r="G940">
        <f>IF(Table13[[#This Row],[New Pos L]]&lt;&gt;0,Table13[[#This Row],[New Pos L]],Table13[[#This Row],[New Pos R]])</f>
        <v>87</v>
      </c>
      <c r="H940">
        <f>IF(AND(Table13[[#This Row],[Direction]]="L",Table13[[#This Row],[Steps]]&gt;G939,G939&lt;&gt;0),1,0)</f>
        <v>0</v>
      </c>
      <c r="I940">
        <f>IF(AND(Table13[[#This Row],[Direction]]="R",(G939+Table13[[#This Row],[Steps]])&gt;100),1,0)</f>
        <v>0</v>
      </c>
      <c r="J940">
        <f>IF(Table13[[#This Row],[POS]]=0,1,0)</f>
        <v>0</v>
      </c>
      <c r="K940">
        <f>SUM(Table13[[#This Row],[prefix]],Table13[[#This Row],[Past zero L]],Table13[[#This Row],[Past Zero R]],Table13[[#This Row],[Is Zero]])</f>
        <v>0</v>
      </c>
    </row>
    <row r="941" spans="1:11" ht="16" x14ac:dyDescent="0.2">
      <c r="A941" s="1" t="s">
        <v>244</v>
      </c>
      <c r="B941" t="str">
        <f>LEFT(Table13[[#This Row],[Input]],1)</f>
        <v>L</v>
      </c>
      <c r="C941">
        <f>_xlfn.LET(_xlpm.steps,SUBSTITUTE(Table13[[#This Row],[Input]],Table13[[#This Row],[Direction]],""),VALUE(IF(LEN(_xlpm.steps)&gt;2,RIGHT(_xlpm.steps,2),_xlpm.steps)))</f>
        <v>98</v>
      </c>
      <c r="D941">
        <f>_xlfn.LET(_xlpm.steps,SUBSTITUTE(Table13[[#This Row],[Input]],Table13[[#This Row],[Direction]],""),VALUE(IF(LEN(_xlpm.steps)&gt;2,LEFT(_xlpm.steps,LEN(_xlpm.steps)-2),0)))</f>
        <v>0</v>
      </c>
      <c r="E941">
        <f>_xlfn.LET(_xlpm.dir,Table13[[#This Row],[Direction]],
IF(_xlpm.dir="L",
    IF(G940-Table13[[#This Row],[Steps]]&lt;0,100+(G940-Table13[[#This Row],[Steps]]),G940-Table13[[#This Row],[Steps]]),
))</f>
        <v>89</v>
      </c>
      <c r="F941">
        <f>_xlfn.LET(_xlpm.dir,Table13[[#This Row],[Direction]],
IF(_xlpm.dir="R",
    IF(G940+Table13[[#This Row],[Steps]]&gt;99,(G940+Table13[[#This Row],[Steps]])-100,G940+Table13[[#This Row],[Steps]]),
))</f>
        <v>0</v>
      </c>
      <c r="G941">
        <f>IF(Table13[[#This Row],[New Pos L]]&lt;&gt;0,Table13[[#This Row],[New Pos L]],Table13[[#This Row],[New Pos R]])</f>
        <v>89</v>
      </c>
      <c r="H941">
        <f>IF(AND(Table13[[#This Row],[Direction]]="L",Table13[[#This Row],[Steps]]&gt;G940,G940&lt;&gt;0),1,0)</f>
        <v>1</v>
      </c>
      <c r="I941">
        <f>IF(AND(Table13[[#This Row],[Direction]]="R",(G940+Table13[[#This Row],[Steps]])&gt;100),1,0)</f>
        <v>0</v>
      </c>
      <c r="J941">
        <f>IF(Table13[[#This Row],[POS]]=0,1,0)</f>
        <v>0</v>
      </c>
      <c r="K941">
        <f>SUM(Table13[[#This Row],[prefix]],Table13[[#This Row],[Past zero L]],Table13[[#This Row],[Past Zero R]],Table13[[#This Row],[Is Zero]])</f>
        <v>1</v>
      </c>
    </row>
    <row r="942" spans="1:11" ht="16" x14ac:dyDescent="0.2">
      <c r="A942" s="1" t="s">
        <v>349</v>
      </c>
      <c r="B942" t="str">
        <f>LEFT(Table13[[#This Row],[Input]],1)</f>
        <v>L</v>
      </c>
      <c r="C942">
        <f>_xlfn.LET(_xlpm.steps,SUBSTITUTE(Table13[[#This Row],[Input]],Table13[[#This Row],[Direction]],""),VALUE(IF(LEN(_xlpm.steps)&gt;2,RIGHT(_xlpm.steps,2),_xlpm.steps)))</f>
        <v>89</v>
      </c>
      <c r="D942">
        <f>_xlfn.LET(_xlpm.steps,SUBSTITUTE(Table13[[#This Row],[Input]],Table13[[#This Row],[Direction]],""),VALUE(IF(LEN(_xlpm.steps)&gt;2,LEFT(_xlpm.steps,LEN(_xlpm.steps)-2),0)))</f>
        <v>7</v>
      </c>
      <c r="E942">
        <f>_xlfn.LET(_xlpm.dir,Table13[[#This Row],[Direction]],
IF(_xlpm.dir="L",
    IF(G941-Table13[[#This Row],[Steps]]&lt;0,100+(G941-Table13[[#This Row],[Steps]]),G941-Table13[[#This Row],[Steps]]),
))</f>
        <v>0</v>
      </c>
      <c r="F942">
        <f>_xlfn.LET(_xlpm.dir,Table13[[#This Row],[Direction]],
IF(_xlpm.dir="R",
    IF(G941+Table13[[#This Row],[Steps]]&gt;99,(G941+Table13[[#This Row],[Steps]])-100,G941+Table13[[#This Row],[Steps]]),
))</f>
        <v>0</v>
      </c>
      <c r="G942">
        <f>IF(Table13[[#This Row],[New Pos L]]&lt;&gt;0,Table13[[#This Row],[New Pos L]],Table13[[#This Row],[New Pos R]])</f>
        <v>0</v>
      </c>
      <c r="H942">
        <f>IF(AND(Table13[[#This Row],[Direction]]="L",Table13[[#This Row],[Steps]]&gt;G941,G941&lt;&gt;0),1,0)</f>
        <v>0</v>
      </c>
      <c r="I942">
        <f>IF(AND(Table13[[#This Row],[Direction]]="R",(G941+Table13[[#This Row],[Steps]])&gt;100),1,0)</f>
        <v>0</v>
      </c>
      <c r="J942">
        <f>IF(Table13[[#This Row],[POS]]=0,1,0)</f>
        <v>1</v>
      </c>
      <c r="K942">
        <f>SUM(Table13[[#This Row],[prefix]],Table13[[#This Row],[Past zero L]],Table13[[#This Row],[Past Zero R]],Table13[[#This Row],[Is Zero]])</f>
        <v>8</v>
      </c>
    </row>
    <row r="943" spans="1:11" ht="16" x14ac:dyDescent="0.2">
      <c r="A943" s="1" t="s">
        <v>267</v>
      </c>
      <c r="B943" t="str">
        <f>LEFT(Table13[[#This Row],[Input]],1)</f>
        <v>L</v>
      </c>
      <c r="C943">
        <f>_xlfn.LET(_xlpm.steps,SUBSTITUTE(Table13[[#This Row],[Input]],Table13[[#This Row],[Direction]],""),VALUE(IF(LEN(_xlpm.steps)&gt;2,RIGHT(_xlpm.steps,2),_xlpm.steps)))</f>
        <v>39</v>
      </c>
      <c r="D943">
        <f>_xlfn.LET(_xlpm.steps,SUBSTITUTE(Table13[[#This Row],[Input]],Table13[[#This Row],[Direction]],""),VALUE(IF(LEN(_xlpm.steps)&gt;2,LEFT(_xlpm.steps,LEN(_xlpm.steps)-2),0)))</f>
        <v>0</v>
      </c>
      <c r="E943">
        <f>_xlfn.LET(_xlpm.dir,Table13[[#This Row],[Direction]],
IF(_xlpm.dir="L",
    IF(G942-Table13[[#This Row],[Steps]]&lt;0,100+(G942-Table13[[#This Row],[Steps]]),G942-Table13[[#This Row],[Steps]]),
))</f>
        <v>61</v>
      </c>
      <c r="F943">
        <f>_xlfn.LET(_xlpm.dir,Table13[[#This Row],[Direction]],
IF(_xlpm.dir="R",
    IF(G942+Table13[[#This Row],[Steps]]&gt;99,(G942+Table13[[#This Row],[Steps]])-100,G942+Table13[[#This Row],[Steps]]),
))</f>
        <v>0</v>
      </c>
      <c r="G943">
        <f>IF(Table13[[#This Row],[New Pos L]]&lt;&gt;0,Table13[[#This Row],[New Pos L]],Table13[[#This Row],[New Pos R]])</f>
        <v>61</v>
      </c>
      <c r="H943">
        <f>IF(AND(Table13[[#This Row],[Direction]]="L",Table13[[#This Row],[Steps]]&gt;G942,G942&lt;&gt;0),1,0)</f>
        <v>0</v>
      </c>
      <c r="I943">
        <f>IF(AND(Table13[[#This Row],[Direction]]="R",(G942+Table13[[#This Row],[Steps]])&gt;100),1,0)</f>
        <v>0</v>
      </c>
      <c r="J943">
        <f>IF(Table13[[#This Row],[POS]]=0,1,0)</f>
        <v>0</v>
      </c>
      <c r="K943">
        <f>SUM(Table13[[#This Row],[prefix]],Table13[[#This Row],[Past zero L]],Table13[[#This Row],[Past Zero R]],Table13[[#This Row],[Is Zero]])</f>
        <v>0</v>
      </c>
    </row>
    <row r="944" spans="1:11" ht="16" x14ac:dyDescent="0.2">
      <c r="A944" s="1" t="s">
        <v>102</v>
      </c>
      <c r="B944" t="str">
        <f>LEFT(Table13[[#This Row],[Input]],1)</f>
        <v>R</v>
      </c>
      <c r="C944">
        <f>_xlfn.LET(_xlpm.steps,SUBSTITUTE(Table13[[#This Row],[Input]],Table13[[#This Row],[Direction]],""),VALUE(IF(LEN(_xlpm.steps)&gt;2,RIGHT(_xlpm.steps,2),_xlpm.steps)))</f>
        <v>39</v>
      </c>
      <c r="D944">
        <f>_xlfn.LET(_xlpm.steps,SUBSTITUTE(Table13[[#This Row],[Input]],Table13[[#This Row],[Direction]],""),VALUE(IF(LEN(_xlpm.steps)&gt;2,LEFT(_xlpm.steps,LEN(_xlpm.steps)-2),0)))</f>
        <v>0</v>
      </c>
      <c r="E944">
        <f>_xlfn.LET(_xlpm.dir,Table13[[#This Row],[Direction]],
IF(_xlpm.dir="L",
    IF(G943-Table13[[#This Row],[Steps]]&lt;0,100+(G943-Table13[[#This Row],[Steps]]),G943-Table13[[#This Row],[Steps]]),
))</f>
        <v>0</v>
      </c>
      <c r="F944">
        <f>_xlfn.LET(_xlpm.dir,Table13[[#This Row],[Direction]],
IF(_xlpm.dir="R",
    IF(G943+Table13[[#This Row],[Steps]]&gt;99,(G943+Table13[[#This Row],[Steps]])-100,G943+Table13[[#This Row],[Steps]]),
))</f>
        <v>0</v>
      </c>
      <c r="G944">
        <f>IF(Table13[[#This Row],[New Pos L]]&lt;&gt;0,Table13[[#This Row],[New Pos L]],Table13[[#This Row],[New Pos R]])</f>
        <v>0</v>
      </c>
      <c r="H944">
        <f>IF(AND(Table13[[#This Row],[Direction]]="L",Table13[[#This Row],[Steps]]&gt;G943,G943&lt;&gt;0),1,0)</f>
        <v>0</v>
      </c>
      <c r="I944">
        <f>IF(AND(Table13[[#This Row],[Direction]]="R",(G943+Table13[[#This Row],[Steps]])&gt;100),1,0)</f>
        <v>0</v>
      </c>
      <c r="J944">
        <f>IF(Table13[[#This Row],[POS]]=0,1,0)</f>
        <v>1</v>
      </c>
      <c r="K944">
        <f>SUM(Table13[[#This Row],[prefix]],Table13[[#This Row],[Past zero L]],Table13[[#This Row],[Past Zero R]],Table13[[#This Row],[Is Zero]])</f>
        <v>1</v>
      </c>
    </row>
    <row r="945" spans="1:11" ht="16" x14ac:dyDescent="0.2">
      <c r="A945" s="1" t="s">
        <v>350</v>
      </c>
      <c r="B945" t="str">
        <f>LEFT(Table13[[#This Row],[Input]],1)</f>
        <v>R</v>
      </c>
      <c r="C945">
        <f>_xlfn.LET(_xlpm.steps,SUBSTITUTE(Table13[[#This Row],[Input]],Table13[[#This Row],[Direction]],""),VALUE(IF(LEN(_xlpm.steps)&gt;2,RIGHT(_xlpm.steps,2),_xlpm.steps)))</f>
        <v>92</v>
      </c>
      <c r="D945">
        <f>_xlfn.LET(_xlpm.steps,SUBSTITUTE(Table13[[#This Row],[Input]],Table13[[#This Row],[Direction]],""),VALUE(IF(LEN(_xlpm.steps)&gt;2,LEFT(_xlpm.steps,LEN(_xlpm.steps)-2),0)))</f>
        <v>2</v>
      </c>
      <c r="E945">
        <f>_xlfn.LET(_xlpm.dir,Table13[[#This Row],[Direction]],
IF(_xlpm.dir="L",
    IF(G944-Table13[[#This Row],[Steps]]&lt;0,100+(G944-Table13[[#This Row],[Steps]]),G944-Table13[[#This Row],[Steps]]),
))</f>
        <v>0</v>
      </c>
      <c r="F945">
        <f>_xlfn.LET(_xlpm.dir,Table13[[#This Row],[Direction]],
IF(_xlpm.dir="R",
    IF(G944+Table13[[#This Row],[Steps]]&gt;99,(G944+Table13[[#This Row],[Steps]])-100,G944+Table13[[#This Row],[Steps]]),
))</f>
        <v>92</v>
      </c>
      <c r="G945">
        <f>IF(Table13[[#This Row],[New Pos L]]&lt;&gt;0,Table13[[#This Row],[New Pos L]],Table13[[#This Row],[New Pos R]])</f>
        <v>92</v>
      </c>
      <c r="H945">
        <f>IF(AND(Table13[[#This Row],[Direction]]="L",Table13[[#This Row],[Steps]]&gt;G944,G944&lt;&gt;0),1,0)</f>
        <v>0</v>
      </c>
      <c r="I945">
        <f>IF(AND(Table13[[#This Row],[Direction]]="R",(G944+Table13[[#This Row],[Steps]])&gt;100),1,0)</f>
        <v>0</v>
      </c>
      <c r="J945">
        <f>IF(Table13[[#This Row],[POS]]=0,1,0)</f>
        <v>0</v>
      </c>
      <c r="K945">
        <f>SUM(Table13[[#This Row],[prefix]],Table13[[#This Row],[Past zero L]],Table13[[#This Row],[Past Zero R]],Table13[[#This Row],[Is Zero]])</f>
        <v>2</v>
      </c>
    </row>
    <row r="946" spans="1:11" ht="16" x14ac:dyDescent="0.2">
      <c r="A946" s="1" t="s">
        <v>351</v>
      </c>
      <c r="B946" t="str">
        <f>LEFT(Table13[[#This Row],[Input]],1)</f>
        <v>R</v>
      </c>
      <c r="C946">
        <f>_xlfn.LET(_xlpm.steps,SUBSTITUTE(Table13[[#This Row],[Input]],Table13[[#This Row],[Direction]],""),VALUE(IF(LEN(_xlpm.steps)&gt;2,RIGHT(_xlpm.steps,2),_xlpm.steps)))</f>
        <v>8</v>
      </c>
      <c r="D946">
        <f>_xlfn.LET(_xlpm.steps,SUBSTITUTE(Table13[[#This Row],[Input]],Table13[[#This Row],[Direction]],""),VALUE(IF(LEN(_xlpm.steps)&gt;2,LEFT(_xlpm.steps,LEN(_xlpm.steps)-2),0)))</f>
        <v>3</v>
      </c>
      <c r="E946">
        <f>_xlfn.LET(_xlpm.dir,Table13[[#This Row],[Direction]],
IF(_xlpm.dir="L",
    IF(G945-Table13[[#This Row],[Steps]]&lt;0,100+(G945-Table13[[#This Row],[Steps]]),G945-Table13[[#This Row],[Steps]]),
))</f>
        <v>0</v>
      </c>
      <c r="F946">
        <f>_xlfn.LET(_xlpm.dir,Table13[[#This Row],[Direction]],
IF(_xlpm.dir="R",
    IF(G945+Table13[[#This Row],[Steps]]&gt;99,(G945+Table13[[#This Row],[Steps]])-100,G945+Table13[[#This Row],[Steps]]),
))</f>
        <v>0</v>
      </c>
      <c r="G946">
        <f>IF(Table13[[#This Row],[New Pos L]]&lt;&gt;0,Table13[[#This Row],[New Pos L]],Table13[[#This Row],[New Pos R]])</f>
        <v>0</v>
      </c>
      <c r="H946">
        <f>IF(AND(Table13[[#This Row],[Direction]]="L",Table13[[#This Row],[Steps]]&gt;G945,G945&lt;&gt;0),1,0)</f>
        <v>0</v>
      </c>
      <c r="I946">
        <f>IF(AND(Table13[[#This Row],[Direction]]="R",(G945+Table13[[#This Row],[Steps]])&gt;100),1,0)</f>
        <v>0</v>
      </c>
      <c r="J946">
        <f>IF(Table13[[#This Row],[POS]]=0,1,0)</f>
        <v>1</v>
      </c>
      <c r="K946">
        <f>SUM(Table13[[#This Row],[prefix]],Table13[[#This Row],[Past zero L]],Table13[[#This Row],[Past Zero R]],Table13[[#This Row],[Is Zero]])</f>
        <v>4</v>
      </c>
    </row>
    <row r="947" spans="1:11" ht="16" x14ac:dyDescent="0.2">
      <c r="A947" s="1" t="s">
        <v>7</v>
      </c>
      <c r="B947" t="str">
        <f>LEFT(Table13[[#This Row],[Input]],1)</f>
        <v>R</v>
      </c>
      <c r="C947">
        <f>_xlfn.LET(_xlpm.steps,SUBSTITUTE(Table13[[#This Row],[Input]],Table13[[#This Row],[Direction]],""),VALUE(IF(LEN(_xlpm.steps)&gt;2,RIGHT(_xlpm.steps,2),_xlpm.steps)))</f>
        <v>14</v>
      </c>
      <c r="D947">
        <f>_xlfn.LET(_xlpm.steps,SUBSTITUTE(Table13[[#This Row],[Input]],Table13[[#This Row],[Direction]],""),VALUE(IF(LEN(_xlpm.steps)&gt;2,LEFT(_xlpm.steps,LEN(_xlpm.steps)-2),0)))</f>
        <v>0</v>
      </c>
      <c r="E947">
        <f>_xlfn.LET(_xlpm.dir,Table13[[#This Row],[Direction]],
IF(_xlpm.dir="L",
    IF(G946-Table13[[#This Row],[Steps]]&lt;0,100+(G946-Table13[[#This Row],[Steps]]),G946-Table13[[#This Row],[Steps]]),
))</f>
        <v>0</v>
      </c>
      <c r="F947">
        <f>_xlfn.LET(_xlpm.dir,Table13[[#This Row],[Direction]],
IF(_xlpm.dir="R",
    IF(G946+Table13[[#This Row],[Steps]]&gt;99,(G946+Table13[[#This Row],[Steps]])-100,G946+Table13[[#This Row],[Steps]]),
))</f>
        <v>14</v>
      </c>
      <c r="G947">
        <f>IF(Table13[[#This Row],[New Pos L]]&lt;&gt;0,Table13[[#This Row],[New Pos L]],Table13[[#This Row],[New Pos R]])</f>
        <v>14</v>
      </c>
      <c r="H947">
        <f>IF(AND(Table13[[#This Row],[Direction]]="L",Table13[[#This Row],[Steps]]&gt;G946,G946&lt;&gt;0),1,0)</f>
        <v>0</v>
      </c>
      <c r="I947">
        <f>IF(AND(Table13[[#This Row],[Direction]]="R",(G946+Table13[[#This Row],[Steps]])&gt;100),1,0)</f>
        <v>0</v>
      </c>
      <c r="J947">
        <f>IF(Table13[[#This Row],[POS]]=0,1,0)</f>
        <v>0</v>
      </c>
      <c r="K947">
        <f>SUM(Table13[[#This Row],[prefix]],Table13[[#This Row],[Past zero L]],Table13[[#This Row],[Past Zero R]],Table13[[#This Row],[Is Zero]])</f>
        <v>0</v>
      </c>
    </row>
    <row r="948" spans="1:11" ht="16" x14ac:dyDescent="0.2">
      <c r="A948" s="1" t="s">
        <v>352</v>
      </c>
      <c r="B948" t="str">
        <f>LEFT(Table13[[#This Row],[Input]],1)</f>
        <v>L</v>
      </c>
      <c r="C948">
        <f>_xlfn.LET(_xlpm.steps,SUBSTITUTE(Table13[[#This Row],[Input]],Table13[[#This Row],[Direction]],""),VALUE(IF(LEN(_xlpm.steps)&gt;2,RIGHT(_xlpm.steps,2),_xlpm.steps)))</f>
        <v>99</v>
      </c>
      <c r="D948">
        <f>_xlfn.LET(_xlpm.steps,SUBSTITUTE(Table13[[#This Row],[Input]],Table13[[#This Row],[Direction]],""),VALUE(IF(LEN(_xlpm.steps)&gt;2,LEFT(_xlpm.steps,LEN(_xlpm.steps)-2),0)))</f>
        <v>1</v>
      </c>
      <c r="E948">
        <f>_xlfn.LET(_xlpm.dir,Table13[[#This Row],[Direction]],
IF(_xlpm.dir="L",
    IF(G947-Table13[[#This Row],[Steps]]&lt;0,100+(G947-Table13[[#This Row],[Steps]]),G947-Table13[[#This Row],[Steps]]),
))</f>
        <v>15</v>
      </c>
      <c r="F948">
        <f>_xlfn.LET(_xlpm.dir,Table13[[#This Row],[Direction]],
IF(_xlpm.dir="R",
    IF(G947+Table13[[#This Row],[Steps]]&gt;99,(G947+Table13[[#This Row],[Steps]])-100,G947+Table13[[#This Row],[Steps]]),
))</f>
        <v>0</v>
      </c>
      <c r="G948">
        <f>IF(Table13[[#This Row],[New Pos L]]&lt;&gt;0,Table13[[#This Row],[New Pos L]],Table13[[#This Row],[New Pos R]])</f>
        <v>15</v>
      </c>
      <c r="H948">
        <f>IF(AND(Table13[[#This Row],[Direction]]="L",Table13[[#This Row],[Steps]]&gt;G947,G947&lt;&gt;0),1,0)</f>
        <v>1</v>
      </c>
      <c r="I948">
        <f>IF(AND(Table13[[#This Row],[Direction]]="R",(G947+Table13[[#This Row],[Steps]])&gt;100),1,0)</f>
        <v>0</v>
      </c>
      <c r="J948">
        <f>IF(Table13[[#This Row],[POS]]=0,1,0)</f>
        <v>0</v>
      </c>
      <c r="K948">
        <f>SUM(Table13[[#This Row],[prefix]],Table13[[#This Row],[Past zero L]],Table13[[#This Row],[Past Zero R]],Table13[[#This Row],[Is Zero]])</f>
        <v>2</v>
      </c>
    </row>
    <row r="949" spans="1:11" ht="16" x14ac:dyDescent="0.2">
      <c r="A949" s="1" t="s">
        <v>148</v>
      </c>
      <c r="B949" t="str">
        <f>LEFT(Table13[[#This Row],[Input]],1)</f>
        <v>R</v>
      </c>
      <c r="C949">
        <f>_xlfn.LET(_xlpm.steps,SUBSTITUTE(Table13[[#This Row],[Input]],Table13[[#This Row],[Direction]],""),VALUE(IF(LEN(_xlpm.steps)&gt;2,RIGHT(_xlpm.steps,2),_xlpm.steps)))</f>
        <v>80</v>
      </c>
      <c r="D949">
        <f>_xlfn.LET(_xlpm.steps,SUBSTITUTE(Table13[[#This Row],[Input]],Table13[[#This Row],[Direction]],""),VALUE(IF(LEN(_xlpm.steps)&gt;2,LEFT(_xlpm.steps,LEN(_xlpm.steps)-2),0)))</f>
        <v>0</v>
      </c>
      <c r="E949">
        <f>_xlfn.LET(_xlpm.dir,Table13[[#This Row],[Direction]],
IF(_xlpm.dir="L",
    IF(G948-Table13[[#This Row],[Steps]]&lt;0,100+(G948-Table13[[#This Row],[Steps]]),G948-Table13[[#This Row],[Steps]]),
))</f>
        <v>0</v>
      </c>
      <c r="F949">
        <f>_xlfn.LET(_xlpm.dir,Table13[[#This Row],[Direction]],
IF(_xlpm.dir="R",
    IF(G948+Table13[[#This Row],[Steps]]&gt;99,(G948+Table13[[#This Row],[Steps]])-100,G948+Table13[[#This Row],[Steps]]),
))</f>
        <v>95</v>
      </c>
      <c r="G949">
        <f>IF(Table13[[#This Row],[New Pos L]]&lt;&gt;0,Table13[[#This Row],[New Pos L]],Table13[[#This Row],[New Pos R]])</f>
        <v>95</v>
      </c>
      <c r="H949">
        <f>IF(AND(Table13[[#This Row],[Direction]]="L",Table13[[#This Row],[Steps]]&gt;G948,G948&lt;&gt;0),1,0)</f>
        <v>0</v>
      </c>
      <c r="I949">
        <f>IF(AND(Table13[[#This Row],[Direction]]="R",(G948+Table13[[#This Row],[Steps]])&gt;100),1,0)</f>
        <v>0</v>
      </c>
      <c r="J949">
        <f>IF(Table13[[#This Row],[POS]]=0,1,0)</f>
        <v>0</v>
      </c>
      <c r="K949">
        <f>SUM(Table13[[#This Row],[prefix]],Table13[[#This Row],[Past zero L]],Table13[[#This Row],[Past Zero R]],Table13[[#This Row],[Is Zero]])</f>
        <v>0</v>
      </c>
    </row>
    <row r="950" spans="1:11" ht="16" x14ac:dyDescent="0.2">
      <c r="A950" s="1" t="s">
        <v>134</v>
      </c>
      <c r="B950" t="str">
        <f>LEFT(Table13[[#This Row],[Input]],1)</f>
        <v>L</v>
      </c>
      <c r="C950">
        <f>_xlfn.LET(_xlpm.steps,SUBSTITUTE(Table13[[#This Row],[Input]],Table13[[#This Row],[Direction]],""),VALUE(IF(LEN(_xlpm.steps)&gt;2,RIGHT(_xlpm.steps,2),_xlpm.steps)))</f>
        <v>95</v>
      </c>
      <c r="D950">
        <f>_xlfn.LET(_xlpm.steps,SUBSTITUTE(Table13[[#This Row],[Input]],Table13[[#This Row],[Direction]],""),VALUE(IF(LEN(_xlpm.steps)&gt;2,LEFT(_xlpm.steps,LEN(_xlpm.steps)-2),0)))</f>
        <v>0</v>
      </c>
      <c r="E950">
        <f>_xlfn.LET(_xlpm.dir,Table13[[#This Row],[Direction]],
IF(_xlpm.dir="L",
    IF(G949-Table13[[#This Row],[Steps]]&lt;0,100+(G949-Table13[[#This Row],[Steps]]),G949-Table13[[#This Row],[Steps]]),
))</f>
        <v>0</v>
      </c>
      <c r="F950">
        <f>_xlfn.LET(_xlpm.dir,Table13[[#This Row],[Direction]],
IF(_xlpm.dir="R",
    IF(G949+Table13[[#This Row],[Steps]]&gt;99,(G949+Table13[[#This Row],[Steps]])-100,G949+Table13[[#This Row],[Steps]]),
))</f>
        <v>0</v>
      </c>
      <c r="G950">
        <f>IF(Table13[[#This Row],[New Pos L]]&lt;&gt;0,Table13[[#This Row],[New Pos L]],Table13[[#This Row],[New Pos R]])</f>
        <v>0</v>
      </c>
      <c r="H950">
        <f>IF(AND(Table13[[#This Row],[Direction]]="L",Table13[[#This Row],[Steps]]&gt;G949,G949&lt;&gt;0),1,0)</f>
        <v>0</v>
      </c>
      <c r="I950">
        <f>IF(AND(Table13[[#This Row],[Direction]]="R",(G949+Table13[[#This Row],[Steps]])&gt;100),1,0)</f>
        <v>0</v>
      </c>
      <c r="J950">
        <f>IF(Table13[[#This Row],[POS]]=0,1,0)</f>
        <v>1</v>
      </c>
      <c r="K950">
        <f>SUM(Table13[[#This Row],[prefix]],Table13[[#This Row],[Past zero L]],Table13[[#This Row],[Past Zero R]],Table13[[#This Row],[Is Zero]])</f>
        <v>1</v>
      </c>
    </row>
    <row r="951" spans="1:11" ht="16" x14ac:dyDescent="0.2">
      <c r="A951" s="1" t="s">
        <v>0</v>
      </c>
      <c r="B951" t="str">
        <f>LEFT(Table13[[#This Row],[Input]],1)</f>
        <v>L</v>
      </c>
      <c r="C951">
        <f>_xlfn.LET(_xlpm.steps,SUBSTITUTE(Table13[[#This Row],[Input]],Table13[[#This Row],[Direction]],""),VALUE(IF(LEN(_xlpm.steps)&gt;2,RIGHT(_xlpm.steps,2),_xlpm.steps)))</f>
        <v>44</v>
      </c>
      <c r="D951">
        <f>_xlfn.LET(_xlpm.steps,SUBSTITUTE(Table13[[#This Row],[Input]],Table13[[#This Row],[Direction]],""),VALUE(IF(LEN(_xlpm.steps)&gt;2,LEFT(_xlpm.steps,LEN(_xlpm.steps)-2),0)))</f>
        <v>0</v>
      </c>
      <c r="E951">
        <f>_xlfn.LET(_xlpm.dir,Table13[[#This Row],[Direction]],
IF(_xlpm.dir="L",
    IF(G950-Table13[[#This Row],[Steps]]&lt;0,100+(G950-Table13[[#This Row],[Steps]]),G950-Table13[[#This Row],[Steps]]),
))</f>
        <v>56</v>
      </c>
      <c r="F951">
        <f>_xlfn.LET(_xlpm.dir,Table13[[#This Row],[Direction]],
IF(_xlpm.dir="R",
    IF(G950+Table13[[#This Row],[Steps]]&gt;99,(G950+Table13[[#This Row],[Steps]])-100,G950+Table13[[#This Row],[Steps]]),
))</f>
        <v>0</v>
      </c>
      <c r="G951">
        <f>IF(Table13[[#This Row],[New Pos L]]&lt;&gt;0,Table13[[#This Row],[New Pos L]],Table13[[#This Row],[New Pos R]])</f>
        <v>56</v>
      </c>
      <c r="H951">
        <f>IF(AND(Table13[[#This Row],[Direction]]="L",Table13[[#This Row],[Steps]]&gt;G950,G950&lt;&gt;0),1,0)</f>
        <v>0</v>
      </c>
      <c r="I951">
        <f>IF(AND(Table13[[#This Row],[Direction]]="R",(G950+Table13[[#This Row],[Steps]])&gt;100),1,0)</f>
        <v>0</v>
      </c>
      <c r="J951">
        <f>IF(Table13[[#This Row],[POS]]=0,1,0)</f>
        <v>0</v>
      </c>
      <c r="K951">
        <f>SUM(Table13[[#This Row],[prefix]],Table13[[#This Row],[Past zero L]],Table13[[#This Row],[Past Zero R]],Table13[[#This Row],[Is Zero]])</f>
        <v>0</v>
      </c>
    </row>
    <row r="952" spans="1:11" ht="16" x14ac:dyDescent="0.2">
      <c r="A952" s="1" t="s">
        <v>76</v>
      </c>
      <c r="B952" t="str">
        <f>LEFT(Table13[[#This Row],[Input]],1)</f>
        <v>R</v>
      </c>
      <c r="C952">
        <f>_xlfn.LET(_xlpm.steps,SUBSTITUTE(Table13[[#This Row],[Input]],Table13[[#This Row],[Direction]],""),VALUE(IF(LEN(_xlpm.steps)&gt;2,RIGHT(_xlpm.steps,2),_xlpm.steps)))</f>
        <v>37</v>
      </c>
      <c r="D952">
        <f>_xlfn.LET(_xlpm.steps,SUBSTITUTE(Table13[[#This Row],[Input]],Table13[[#This Row],[Direction]],""),VALUE(IF(LEN(_xlpm.steps)&gt;2,LEFT(_xlpm.steps,LEN(_xlpm.steps)-2),0)))</f>
        <v>0</v>
      </c>
      <c r="E952">
        <f>_xlfn.LET(_xlpm.dir,Table13[[#This Row],[Direction]],
IF(_xlpm.dir="L",
    IF(G951-Table13[[#This Row],[Steps]]&lt;0,100+(G951-Table13[[#This Row],[Steps]]),G951-Table13[[#This Row],[Steps]]),
))</f>
        <v>0</v>
      </c>
      <c r="F952">
        <f>_xlfn.LET(_xlpm.dir,Table13[[#This Row],[Direction]],
IF(_xlpm.dir="R",
    IF(G951+Table13[[#This Row],[Steps]]&gt;99,(G951+Table13[[#This Row],[Steps]])-100,G951+Table13[[#This Row],[Steps]]),
))</f>
        <v>93</v>
      </c>
      <c r="G952">
        <f>IF(Table13[[#This Row],[New Pos L]]&lt;&gt;0,Table13[[#This Row],[New Pos L]],Table13[[#This Row],[New Pos R]])</f>
        <v>93</v>
      </c>
      <c r="H952">
        <f>IF(AND(Table13[[#This Row],[Direction]]="L",Table13[[#This Row],[Steps]]&gt;G951,G951&lt;&gt;0),1,0)</f>
        <v>0</v>
      </c>
      <c r="I952">
        <f>IF(AND(Table13[[#This Row],[Direction]]="R",(G951+Table13[[#This Row],[Steps]])&gt;100),1,0)</f>
        <v>0</v>
      </c>
      <c r="J952">
        <f>IF(Table13[[#This Row],[POS]]=0,1,0)</f>
        <v>0</v>
      </c>
      <c r="K952">
        <f>SUM(Table13[[#This Row],[prefix]],Table13[[#This Row],[Past zero L]],Table13[[#This Row],[Past Zero R]],Table13[[#This Row],[Is Zero]])</f>
        <v>0</v>
      </c>
    </row>
    <row r="953" spans="1:11" ht="16" x14ac:dyDescent="0.2">
      <c r="A953" s="1" t="s">
        <v>353</v>
      </c>
      <c r="B953" t="str">
        <f>LEFT(Table13[[#This Row],[Input]],1)</f>
        <v>R</v>
      </c>
      <c r="C953">
        <f>_xlfn.LET(_xlpm.steps,SUBSTITUTE(Table13[[#This Row],[Input]],Table13[[#This Row],[Direction]],""),VALUE(IF(LEN(_xlpm.steps)&gt;2,RIGHT(_xlpm.steps,2),_xlpm.steps)))</f>
        <v>7</v>
      </c>
      <c r="D953">
        <f>_xlfn.LET(_xlpm.steps,SUBSTITUTE(Table13[[#This Row],[Input]],Table13[[#This Row],[Direction]],""),VALUE(IF(LEN(_xlpm.steps)&gt;2,LEFT(_xlpm.steps,LEN(_xlpm.steps)-2),0)))</f>
        <v>0</v>
      </c>
      <c r="E953">
        <f>_xlfn.LET(_xlpm.dir,Table13[[#This Row],[Direction]],
IF(_xlpm.dir="L",
    IF(G952-Table13[[#This Row],[Steps]]&lt;0,100+(G952-Table13[[#This Row],[Steps]]),G952-Table13[[#This Row],[Steps]]),
))</f>
        <v>0</v>
      </c>
      <c r="F953">
        <f>_xlfn.LET(_xlpm.dir,Table13[[#This Row],[Direction]],
IF(_xlpm.dir="R",
    IF(G952+Table13[[#This Row],[Steps]]&gt;99,(G952+Table13[[#This Row],[Steps]])-100,G952+Table13[[#This Row],[Steps]]),
))</f>
        <v>0</v>
      </c>
      <c r="G953">
        <f>IF(Table13[[#This Row],[New Pos L]]&lt;&gt;0,Table13[[#This Row],[New Pos L]],Table13[[#This Row],[New Pos R]])</f>
        <v>0</v>
      </c>
      <c r="H953">
        <f>IF(AND(Table13[[#This Row],[Direction]]="L",Table13[[#This Row],[Steps]]&gt;G952,G952&lt;&gt;0),1,0)</f>
        <v>0</v>
      </c>
      <c r="I953">
        <f>IF(AND(Table13[[#This Row],[Direction]]="R",(G952+Table13[[#This Row],[Steps]])&gt;100),1,0)</f>
        <v>0</v>
      </c>
      <c r="J953">
        <f>IF(Table13[[#This Row],[POS]]=0,1,0)</f>
        <v>1</v>
      </c>
      <c r="K953">
        <f>SUM(Table13[[#This Row],[prefix]],Table13[[#This Row],[Past zero L]],Table13[[#This Row],[Past Zero R]],Table13[[#This Row],[Is Zero]])</f>
        <v>1</v>
      </c>
    </row>
    <row r="954" spans="1:11" ht="16" x14ac:dyDescent="0.2">
      <c r="A954" s="1" t="s">
        <v>105</v>
      </c>
      <c r="B954" t="str">
        <f>LEFT(Table13[[#This Row],[Input]],1)</f>
        <v>R</v>
      </c>
      <c r="C954">
        <f>_xlfn.LET(_xlpm.steps,SUBSTITUTE(Table13[[#This Row],[Input]],Table13[[#This Row],[Direction]],""),VALUE(IF(LEN(_xlpm.steps)&gt;2,RIGHT(_xlpm.steps,2),_xlpm.steps)))</f>
        <v>98</v>
      </c>
      <c r="D954">
        <f>_xlfn.LET(_xlpm.steps,SUBSTITUTE(Table13[[#This Row],[Input]],Table13[[#This Row],[Direction]],""),VALUE(IF(LEN(_xlpm.steps)&gt;2,LEFT(_xlpm.steps,LEN(_xlpm.steps)-2),0)))</f>
        <v>0</v>
      </c>
      <c r="E954">
        <f>_xlfn.LET(_xlpm.dir,Table13[[#This Row],[Direction]],
IF(_xlpm.dir="L",
    IF(G953-Table13[[#This Row],[Steps]]&lt;0,100+(G953-Table13[[#This Row],[Steps]]),G953-Table13[[#This Row],[Steps]]),
))</f>
        <v>0</v>
      </c>
      <c r="F954">
        <f>_xlfn.LET(_xlpm.dir,Table13[[#This Row],[Direction]],
IF(_xlpm.dir="R",
    IF(G953+Table13[[#This Row],[Steps]]&gt;99,(G953+Table13[[#This Row],[Steps]])-100,G953+Table13[[#This Row],[Steps]]),
))</f>
        <v>98</v>
      </c>
      <c r="G954">
        <f>IF(Table13[[#This Row],[New Pos L]]&lt;&gt;0,Table13[[#This Row],[New Pos L]],Table13[[#This Row],[New Pos R]])</f>
        <v>98</v>
      </c>
      <c r="H954">
        <f>IF(AND(Table13[[#This Row],[Direction]]="L",Table13[[#This Row],[Steps]]&gt;G953,G953&lt;&gt;0),1,0)</f>
        <v>0</v>
      </c>
      <c r="I954">
        <f>IF(AND(Table13[[#This Row],[Direction]]="R",(G953+Table13[[#This Row],[Steps]])&gt;100),1,0)</f>
        <v>0</v>
      </c>
      <c r="J954">
        <f>IF(Table13[[#This Row],[POS]]=0,1,0)</f>
        <v>0</v>
      </c>
      <c r="K954">
        <f>SUM(Table13[[#This Row],[prefix]],Table13[[#This Row],[Past zero L]],Table13[[#This Row],[Past Zero R]],Table13[[#This Row],[Is Zero]])</f>
        <v>0</v>
      </c>
    </row>
    <row r="955" spans="1:11" ht="16" x14ac:dyDescent="0.2">
      <c r="A955" s="1" t="s">
        <v>69</v>
      </c>
      <c r="B955" t="str">
        <f>LEFT(Table13[[#This Row],[Input]],1)</f>
        <v>R</v>
      </c>
      <c r="C955">
        <f>_xlfn.LET(_xlpm.steps,SUBSTITUTE(Table13[[#This Row],[Input]],Table13[[#This Row],[Direction]],""),VALUE(IF(LEN(_xlpm.steps)&gt;2,RIGHT(_xlpm.steps,2),_xlpm.steps)))</f>
        <v>27</v>
      </c>
      <c r="D955">
        <f>_xlfn.LET(_xlpm.steps,SUBSTITUTE(Table13[[#This Row],[Input]],Table13[[#This Row],[Direction]],""),VALUE(IF(LEN(_xlpm.steps)&gt;2,LEFT(_xlpm.steps,LEN(_xlpm.steps)-2),0)))</f>
        <v>0</v>
      </c>
      <c r="E955">
        <f>_xlfn.LET(_xlpm.dir,Table13[[#This Row],[Direction]],
IF(_xlpm.dir="L",
    IF(G954-Table13[[#This Row],[Steps]]&lt;0,100+(G954-Table13[[#This Row],[Steps]]),G954-Table13[[#This Row],[Steps]]),
))</f>
        <v>0</v>
      </c>
      <c r="F955">
        <f>_xlfn.LET(_xlpm.dir,Table13[[#This Row],[Direction]],
IF(_xlpm.dir="R",
    IF(G954+Table13[[#This Row],[Steps]]&gt;99,(G954+Table13[[#This Row],[Steps]])-100,G954+Table13[[#This Row],[Steps]]),
))</f>
        <v>25</v>
      </c>
      <c r="G955">
        <f>IF(Table13[[#This Row],[New Pos L]]&lt;&gt;0,Table13[[#This Row],[New Pos L]],Table13[[#This Row],[New Pos R]])</f>
        <v>25</v>
      </c>
      <c r="H955">
        <f>IF(AND(Table13[[#This Row],[Direction]]="L",Table13[[#This Row],[Steps]]&gt;G954,G954&lt;&gt;0),1,0)</f>
        <v>0</v>
      </c>
      <c r="I955">
        <f>IF(AND(Table13[[#This Row],[Direction]]="R",(G954+Table13[[#This Row],[Steps]])&gt;100),1,0)</f>
        <v>1</v>
      </c>
      <c r="J955">
        <f>IF(Table13[[#This Row],[POS]]=0,1,0)</f>
        <v>0</v>
      </c>
      <c r="K955">
        <f>SUM(Table13[[#This Row],[prefix]],Table13[[#This Row],[Past zero L]],Table13[[#This Row],[Past Zero R]],Table13[[#This Row],[Is Zero]])</f>
        <v>1</v>
      </c>
    </row>
    <row r="956" spans="1:11" ht="16" x14ac:dyDescent="0.2">
      <c r="A956" s="1" t="s">
        <v>354</v>
      </c>
      <c r="B956" t="str">
        <f>LEFT(Table13[[#This Row],[Input]],1)</f>
        <v>R</v>
      </c>
      <c r="C956">
        <f>_xlfn.LET(_xlpm.steps,SUBSTITUTE(Table13[[#This Row],[Input]],Table13[[#This Row],[Direction]],""),VALUE(IF(LEN(_xlpm.steps)&gt;2,RIGHT(_xlpm.steps,2),_xlpm.steps)))</f>
        <v>74</v>
      </c>
      <c r="D956">
        <f>_xlfn.LET(_xlpm.steps,SUBSTITUTE(Table13[[#This Row],[Input]],Table13[[#This Row],[Direction]],""),VALUE(IF(LEN(_xlpm.steps)&gt;2,LEFT(_xlpm.steps,LEN(_xlpm.steps)-2),0)))</f>
        <v>2</v>
      </c>
      <c r="E956">
        <f>_xlfn.LET(_xlpm.dir,Table13[[#This Row],[Direction]],
IF(_xlpm.dir="L",
    IF(G955-Table13[[#This Row],[Steps]]&lt;0,100+(G955-Table13[[#This Row],[Steps]]),G955-Table13[[#This Row],[Steps]]),
))</f>
        <v>0</v>
      </c>
      <c r="F956">
        <f>_xlfn.LET(_xlpm.dir,Table13[[#This Row],[Direction]],
IF(_xlpm.dir="R",
    IF(G955+Table13[[#This Row],[Steps]]&gt;99,(G955+Table13[[#This Row],[Steps]])-100,G955+Table13[[#This Row],[Steps]]),
))</f>
        <v>99</v>
      </c>
      <c r="G956">
        <f>IF(Table13[[#This Row],[New Pos L]]&lt;&gt;0,Table13[[#This Row],[New Pos L]],Table13[[#This Row],[New Pos R]])</f>
        <v>99</v>
      </c>
      <c r="H956">
        <f>IF(AND(Table13[[#This Row],[Direction]]="L",Table13[[#This Row],[Steps]]&gt;G955,G955&lt;&gt;0),1,0)</f>
        <v>0</v>
      </c>
      <c r="I956">
        <f>IF(AND(Table13[[#This Row],[Direction]]="R",(G955+Table13[[#This Row],[Steps]])&gt;100),1,0)</f>
        <v>0</v>
      </c>
      <c r="J956">
        <f>IF(Table13[[#This Row],[POS]]=0,1,0)</f>
        <v>0</v>
      </c>
      <c r="K956">
        <f>SUM(Table13[[#This Row],[prefix]],Table13[[#This Row],[Past zero L]],Table13[[#This Row],[Past Zero R]],Table13[[#This Row],[Is Zero]])</f>
        <v>2</v>
      </c>
    </row>
    <row r="957" spans="1:11" ht="16" x14ac:dyDescent="0.2">
      <c r="A957" s="1" t="s">
        <v>110</v>
      </c>
      <c r="B957" t="str">
        <f>LEFT(Table13[[#This Row],[Input]],1)</f>
        <v>L</v>
      </c>
      <c r="C957">
        <f>_xlfn.LET(_xlpm.steps,SUBSTITUTE(Table13[[#This Row],[Input]],Table13[[#This Row],[Direction]],""),VALUE(IF(LEN(_xlpm.steps)&gt;2,RIGHT(_xlpm.steps,2),_xlpm.steps)))</f>
        <v>81</v>
      </c>
      <c r="D957">
        <f>_xlfn.LET(_xlpm.steps,SUBSTITUTE(Table13[[#This Row],[Input]],Table13[[#This Row],[Direction]],""),VALUE(IF(LEN(_xlpm.steps)&gt;2,LEFT(_xlpm.steps,LEN(_xlpm.steps)-2),0)))</f>
        <v>0</v>
      </c>
      <c r="E957">
        <f>_xlfn.LET(_xlpm.dir,Table13[[#This Row],[Direction]],
IF(_xlpm.dir="L",
    IF(G956-Table13[[#This Row],[Steps]]&lt;0,100+(G956-Table13[[#This Row],[Steps]]),G956-Table13[[#This Row],[Steps]]),
))</f>
        <v>18</v>
      </c>
      <c r="F957">
        <f>_xlfn.LET(_xlpm.dir,Table13[[#This Row],[Direction]],
IF(_xlpm.dir="R",
    IF(G956+Table13[[#This Row],[Steps]]&gt;99,(G956+Table13[[#This Row],[Steps]])-100,G956+Table13[[#This Row],[Steps]]),
))</f>
        <v>0</v>
      </c>
      <c r="G957">
        <f>IF(Table13[[#This Row],[New Pos L]]&lt;&gt;0,Table13[[#This Row],[New Pos L]],Table13[[#This Row],[New Pos R]])</f>
        <v>18</v>
      </c>
      <c r="H957">
        <f>IF(AND(Table13[[#This Row],[Direction]]="L",Table13[[#This Row],[Steps]]&gt;G956,G956&lt;&gt;0),1,0)</f>
        <v>0</v>
      </c>
      <c r="I957">
        <f>IF(AND(Table13[[#This Row],[Direction]]="R",(G956+Table13[[#This Row],[Steps]])&gt;100),1,0)</f>
        <v>0</v>
      </c>
      <c r="J957">
        <f>IF(Table13[[#This Row],[POS]]=0,1,0)</f>
        <v>0</v>
      </c>
      <c r="K957">
        <f>SUM(Table13[[#This Row],[prefix]],Table13[[#This Row],[Past zero L]],Table13[[#This Row],[Past Zero R]],Table13[[#This Row],[Is Zero]])</f>
        <v>0</v>
      </c>
    </row>
    <row r="958" spans="1:11" ht="16" x14ac:dyDescent="0.2">
      <c r="A958" s="1" t="s">
        <v>155</v>
      </c>
      <c r="B958" t="str">
        <f>LEFT(Table13[[#This Row],[Input]],1)</f>
        <v>L</v>
      </c>
      <c r="C958">
        <f>_xlfn.LET(_xlpm.steps,SUBSTITUTE(Table13[[#This Row],[Input]],Table13[[#This Row],[Direction]],""),VALUE(IF(LEN(_xlpm.steps)&gt;2,RIGHT(_xlpm.steps,2),_xlpm.steps)))</f>
        <v>18</v>
      </c>
      <c r="D958">
        <f>_xlfn.LET(_xlpm.steps,SUBSTITUTE(Table13[[#This Row],[Input]],Table13[[#This Row],[Direction]],""),VALUE(IF(LEN(_xlpm.steps)&gt;2,LEFT(_xlpm.steps,LEN(_xlpm.steps)-2),0)))</f>
        <v>0</v>
      </c>
      <c r="E958">
        <f>_xlfn.LET(_xlpm.dir,Table13[[#This Row],[Direction]],
IF(_xlpm.dir="L",
    IF(G957-Table13[[#This Row],[Steps]]&lt;0,100+(G957-Table13[[#This Row],[Steps]]),G957-Table13[[#This Row],[Steps]]),
))</f>
        <v>0</v>
      </c>
      <c r="F958">
        <f>_xlfn.LET(_xlpm.dir,Table13[[#This Row],[Direction]],
IF(_xlpm.dir="R",
    IF(G957+Table13[[#This Row],[Steps]]&gt;99,(G957+Table13[[#This Row],[Steps]])-100,G957+Table13[[#This Row],[Steps]]),
))</f>
        <v>0</v>
      </c>
      <c r="G958">
        <f>IF(Table13[[#This Row],[New Pos L]]&lt;&gt;0,Table13[[#This Row],[New Pos L]],Table13[[#This Row],[New Pos R]])</f>
        <v>0</v>
      </c>
      <c r="H958">
        <f>IF(AND(Table13[[#This Row],[Direction]]="L",Table13[[#This Row],[Steps]]&gt;G957,G957&lt;&gt;0),1,0)</f>
        <v>0</v>
      </c>
      <c r="I958">
        <f>IF(AND(Table13[[#This Row],[Direction]]="R",(G957+Table13[[#This Row],[Steps]])&gt;100),1,0)</f>
        <v>0</v>
      </c>
      <c r="J958">
        <f>IF(Table13[[#This Row],[POS]]=0,1,0)</f>
        <v>1</v>
      </c>
      <c r="K958">
        <f>SUM(Table13[[#This Row],[prefix]],Table13[[#This Row],[Past zero L]],Table13[[#This Row],[Past Zero R]],Table13[[#This Row],[Is Zero]])</f>
        <v>1</v>
      </c>
    </row>
    <row r="959" spans="1:11" ht="16" x14ac:dyDescent="0.2">
      <c r="A959" s="1" t="s">
        <v>47</v>
      </c>
      <c r="B959" t="str">
        <f>LEFT(Table13[[#This Row],[Input]],1)</f>
        <v>R</v>
      </c>
      <c r="C959">
        <f>_xlfn.LET(_xlpm.steps,SUBSTITUTE(Table13[[#This Row],[Input]],Table13[[#This Row],[Direction]],""),VALUE(IF(LEN(_xlpm.steps)&gt;2,RIGHT(_xlpm.steps,2),_xlpm.steps)))</f>
        <v>97</v>
      </c>
      <c r="D959">
        <f>_xlfn.LET(_xlpm.steps,SUBSTITUTE(Table13[[#This Row],[Input]],Table13[[#This Row],[Direction]],""),VALUE(IF(LEN(_xlpm.steps)&gt;2,LEFT(_xlpm.steps,LEN(_xlpm.steps)-2),0)))</f>
        <v>0</v>
      </c>
      <c r="E959">
        <f>_xlfn.LET(_xlpm.dir,Table13[[#This Row],[Direction]],
IF(_xlpm.dir="L",
    IF(G958-Table13[[#This Row],[Steps]]&lt;0,100+(G958-Table13[[#This Row],[Steps]]),G958-Table13[[#This Row],[Steps]]),
))</f>
        <v>0</v>
      </c>
      <c r="F959">
        <f>_xlfn.LET(_xlpm.dir,Table13[[#This Row],[Direction]],
IF(_xlpm.dir="R",
    IF(G958+Table13[[#This Row],[Steps]]&gt;99,(G958+Table13[[#This Row],[Steps]])-100,G958+Table13[[#This Row],[Steps]]),
))</f>
        <v>97</v>
      </c>
      <c r="G959">
        <f>IF(Table13[[#This Row],[New Pos L]]&lt;&gt;0,Table13[[#This Row],[New Pos L]],Table13[[#This Row],[New Pos R]])</f>
        <v>97</v>
      </c>
      <c r="H959">
        <f>IF(AND(Table13[[#This Row],[Direction]]="L",Table13[[#This Row],[Steps]]&gt;G958,G958&lt;&gt;0),1,0)</f>
        <v>0</v>
      </c>
      <c r="I959">
        <f>IF(AND(Table13[[#This Row],[Direction]]="R",(G958+Table13[[#This Row],[Steps]])&gt;100),1,0)</f>
        <v>0</v>
      </c>
      <c r="J959">
        <f>IF(Table13[[#This Row],[POS]]=0,1,0)</f>
        <v>0</v>
      </c>
      <c r="K959">
        <f>SUM(Table13[[#This Row],[prefix]],Table13[[#This Row],[Past zero L]],Table13[[#This Row],[Past Zero R]],Table13[[#This Row],[Is Zero]])</f>
        <v>0</v>
      </c>
    </row>
    <row r="960" spans="1:11" ht="16" x14ac:dyDescent="0.2">
      <c r="A960" s="1" t="s">
        <v>146</v>
      </c>
      <c r="B960" t="str">
        <f>LEFT(Table13[[#This Row],[Input]],1)</f>
        <v>R</v>
      </c>
      <c r="C960">
        <f>_xlfn.LET(_xlpm.steps,SUBSTITUTE(Table13[[#This Row],[Input]],Table13[[#This Row],[Direction]],""),VALUE(IF(LEN(_xlpm.steps)&gt;2,RIGHT(_xlpm.steps,2),_xlpm.steps)))</f>
        <v>4</v>
      </c>
      <c r="D960">
        <f>_xlfn.LET(_xlpm.steps,SUBSTITUTE(Table13[[#This Row],[Input]],Table13[[#This Row],[Direction]],""),VALUE(IF(LEN(_xlpm.steps)&gt;2,LEFT(_xlpm.steps,LEN(_xlpm.steps)-2),0)))</f>
        <v>0</v>
      </c>
      <c r="E960">
        <f>_xlfn.LET(_xlpm.dir,Table13[[#This Row],[Direction]],
IF(_xlpm.dir="L",
    IF(G959-Table13[[#This Row],[Steps]]&lt;0,100+(G959-Table13[[#This Row],[Steps]]),G959-Table13[[#This Row],[Steps]]),
))</f>
        <v>0</v>
      </c>
      <c r="F960">
        <f>_xlfn.LET(_xlpm.dir,Table13[[#This Row],[Direction]],
IF(_xlpm.dir="R",
    IF(G959+Table13[[#This Row],[Steps]]&gt;99,(G959+Table13[[#This Row],[Steps]])-100,G959+Table13[[#This Row],[Steps]]),
))</f>
        <v>1</v>
      </c>
      <c r="G960">
        <f>IF(Table13[[#This Row],[New Pos L]]&lt;&gt;0,Table13[[#This Row],[New Pos L]],Table13[[#This Row],[New Pos R]])</f>
        <v>1</v>
      </c>
      <c r="H960">
        <f>IF(AND(Table13[[#This Row],[Direction]]="L",Table13[[#This Row],[Steps]]&gt;G959,G959&lt;&gt;0),1,0)</f>
        <v>0</v>
      </c>
      <c r="I960">
        <f>IF(AND(Table13[[#This Row],[Direction]]="R",(G959+Table13[[#This Row],[Steps]])&gt;100),1,0)</f>
        <v>1</v>
      </c>
      <c r="J960">
        <f>IF(Table13[[#This Row],[POS]]=0,1,0)</f>
        <v>0</v>
      </c>
      <c r="K960">
        <f>SUM(Table13[[#This Row],[prefix]],Table13[[#This Row],[Past zero L]],Table13[[#This Row],[Past Zero R]],Table13[[#This Row],[Is Zero]])</f>
        <v>1</v>
      </c>
    </row>
    <row r="961" spans="1:11" ht="16" x14ac:dyDescent="0.2">
      <c r="A961" s="1" t="s">
        <v>355</v>
      </c>
      <c r="B961" t="str">
        <f>LEFT(Table13[[#This Row],[Input]],1)</f>
        <v>R</v>
      </c>
      <c r="C961">
        <f>_xlfn.LET(_xlpm.steps,SUBSTITUTE(Table13[[#This Row],[Input]],Table13[[#This Row],[Direction]],""),VALUE(IF(LEN(_xlpm.steps)&gt;2,RIGHT(_xlpm.steps,2),_xlpm.steps)))</f>
        <v>99</v>
      </c>
      <c r="D961">
        <f>_xlfn.LET(_xlpm.steps,SUBSTITUTE(Table13[[#This Row],[Input]],Table13[[#This Row],[Direction]],""),VALUE(IF(LEN(_xlpm.steps)&gt;2,LEFT(_xlpm.steps,LEN(_xlpm.steps)-2),0)))</f>
        <v>4</v>
      </c>
      <c r="E961">
        <f>_xlfn.LET(_xlpm.dir,Table13[[#This Row],[Direction]],
IF(_xlpm.dir="L",
    IF(G960-Table13[[#This Row],[Steps]]&lt;0,100+(G960-Table13[[#This Row],[Steps]]),G960-Table13[[#This Row],[Steps]]),
))</f>
        <v>0</v>
      </c>
      <c r="F961">
        <f>_xlfn.LET(_xlpm.dir,Table13[[#This Row],[Direction]],
IF(_xlpm.dir="R",
    IF(G960+Table13[[#This Row],[Steps]]&gt;99,(G960+Table13[[#This Row],[Steps]])-100,G960+Table13[[#This Row],[Steps]]),
))</f>
        <v>0</v>
      </c>
      <c r="G961">
        <f>IF(Table13[[#This Row],[New Pos L]]&lt;&gt;0,Table13[[#This Row],[New Pos L]],Table13[[#This Row],[New Pos R]])</f>
        <v>0</v>
      </c>
      <c r="H961">
        <f>IF(AND(Table13[[#This Row],[Direction]]="L",Table13[[#This Row],[Steps]]&gt;G960,G960&lt;&gt;0),1,0)</f>
        <v>0</v>
      </c>
      <c r="I961">
        <f>IF(AND(Table13[[#This Row],[Direction]]="R",(G960+Table13[[#This Row],[Steps]])&gt;100),1,0)</f>
        <v>0</v>
      </c>
      <c r="J961">
        <f>IF(Table13[[#This Row],[POS]]=0,1,0)</f>
        <v>1</v>
      </c>
      <c r="K961">
        <f>SUM(Table13[[#This Row],[prefix]],Table13[[#This Row],[Past zero L]],Table13[[#This Row],[Past Zero R]],Table13[[#This Row],[Is Zero]])</f>
        <v>5</v>
      </c>
    </row>
    <row r="962" spans="1:11" ht="16" x14ac:dyDescent="0.2">
      <c r="A962" s="1" t="s">
        <v>140</v>
      </c>
      <c r="B962" t="str">
        <f>LEFT(Table13[[#This Row],[Input]],1)</f>
        <v>L</v>
      </c>
      <c r="C962">
        <f>_xlfn.LET(_xlpm.steps,SUBSTITUTE(Table13[[#This Row],[Input]],Table13[[#This Row],[Direction]],""),VALUE(IF(LEN(_xlpm.steps)&gt;2,RIGHT(_xlpm.steps,2),_xlpm.steps)))</f>
        <v>61</v>
      </c>
      <c r="D962">
        <f>_xlfn.LET(_xlpm.steps,SUBSTITUTE(Table13[[#This Row],[Input]],Table13[[#This Row],[Direction]],""),VALUE(IF(LEN(_xlpm.steps)&gt;2,LEFT(_xlpm.steps,LEN(_xlpm.steps)-2),0)))</f>
        <v>0</v>
      </c>
      <c r="E962">
        <f>_xlfn.LET(_xlpm.dir,Table13[[#This Row],[Direction]],
IF(_xlpm.dir="L",
    IF(G961-Table13[[#This Row],[Steps]]&lt;0,100+(G961-Table13[[#This Row],[Steps]]),G961-Table13[[#This Row],[Steps]]),
))</f>
        <v>39</v>
      </c>
      <c r="F962">
        <f>_xlfn.LET(_xlpm.dir,Table13[[#This Row],[Direction]],
IF(_xlpm.dir="R",
    IF(G961+Table13[[#This Row],[Steps]]&gt;99,(G961+Table13[[#This Row],[Steps]])-100,G961+Table13[[#This Row],[Steps]]),
))</f>
        <v>0</v>
      </c>
      <c r="G962">
        <f>IF(Table13[[#This Row],[New Pos L]]&lt;&gt;0,Table13[[#This Row],[New Pos L]],Table13[[#This Row],[New Pos R]])</f>
        <v>39</v>
      </c>
      <c r="H962">
        <f>IF(AND(Table13[[#This Row],[Direction]]="L",Table13[[#This Row],[Steps]]&gt;G961,G961&lt;&gt;0),1,0)</f>
        <v>0</v>
      </c>
      <c r="I962">
        <f>IF(AND(Table13[[#This Row],[Direction]]="R",(G961+Table13[[#This Row],[Steps]])&gt;100),1,0)</f>
        <v>0</v>
      </c>
      <c r="J962">
        <f>IF(Table13[[#This Row],[POS]]=0,1,0)</f>
        <v>0</v>
      </c>
      <c r="K962">
        <f>SUM(Table13[[#This Row],[prefix]],Table13[[#This Row],[Past zero L]],Table13[[#This Row],[Past Zero R]],Table13[[#This Row],[Is Zero]])</f>
        <v>0</v>
      </c>
    </row>
    <row r="963" spans="1:11" ht="16" x14ac:dyDescent="0.2">
      <c r="A963" s="1" t="s">
        <v>148</v>
      </c>
      <c r="B963" t="str">
        <f>LEFT(Table13[[#This Row],[Input]],1)</f>
        <v>R</v>
      </c>
      <c r="C963">
        <f>_xlfn.LET(_xlpm.steps,SUBSTITUTE(Table13[[#This Row],[Input]],Table13[[#This Row],[Direction]],""),VALUE(IF(LEN(_xlpm.steps)&gt;2,RIGHT(_xlpm.steps,2),_xlpm.steps)))</f>
        <v>80</v>
      </c>
      <c r="D963">
        <f>_xlfn.LET(_xlpm.steps,SUBSTITUTE(Table13[[#This Row],[Input]],Table13[[#This Row],[Direction]],""),VALUE(IF(LEN(_xlpm.steps)&gt;2,LEFT(_xlpm.steps,LEN(_xlpm.steps)-2),0)))</f>
        <v>0</v>
      </c>
      <c r="E963">
        <f>_xlfn.LET(_xlpm.dir,Table13[[#This Row],[Direction]],
IF(_xlpm.dir="L",
    IF(G962-Table13[[#This Row],[Steps]]&lt;0,100+(G962-Table13[[#This Row],[Steps]]),G962-Table13[[#This Row],[Steps]]),
))</f>
        <v>0</v>
      </c>
      <c r="F963">
        <f>_xlfn.LET(_xlpm.dir,Table13[[#This Row],[Direction]],
IF(_xlpm.dir="R",
    IF(G962+Table13[[#This Row],[Steps]]&gt;99,(G962+Table13[[#This Row],[Steps]])-100,G962+Table13[[#This Row],[Steps]]),
))</f>
        <v>19</v>
      </c>
      <c r="G963">
        <f>IF(Table13[[#This Row],[New Pos L]]&lt;&gt;0,Table13[[#This Row],[New Pos L]],Table13[[#This Row],[New Pos R]])</f>
        <v>19</v>
      </c>
      <c r="H963">
        <f>IF(AND(Table13[[#This Row],[Direction]]="L",Table13[[#This Row],[Steps]]&gt;G962,G962&lt;&gt;0),1,0)</f>
        <v>0</v>
      </c>
      <c r="I963">
        <f>IF(AND(Table13[[#This Row],[Direction]]="R",(G962+Table13[[#This Row],[Steps]])&gt;100),1,0)</f>
        <v>1</v>
      </c>
      <c r="J963">
        <f>IF(Table13[[#This Row],[POS]]=0,1,0)</f>
        <v>0</v>
      </c>
      <c r="K963">
        <f>SUM(Table13[[#This Row],[prefix]],Table13[[#This Row],[Past zero L]],Table13[[#This Row],[Past Zero R]],Table13[[#This Row],[Is Zero]])</f>
        <v>1</v>
      </c>
    </row>
    <row r="964" spans="1:11" ht="16" x14ac:dyDescent="0.2">
      <c r="A964" s="1" t="s">
        <v>134</v>
      </c>
      <c r="B964" t="str">
        <f>LEFT(Table13[[#This Row],[Input]],1)</f>
        <v>L</v>
      </c>
      <c r="C964">
        <f>_xlfn.LET(_xlpm.steps,SUBSTITUTE(Table13[[#This Row],[Input]],Table13[[#This Row],[Direction]],""),VALUE(IF(LEN(_xlpm.steps)&gt;2,RIGHT(_xlpm.steps,2),_xlpm.steps)))</f>
        <v>95</v>
      </c>
      <c r="D964">
        <f>_xlfn.LET(_xlpm.steps,SUBSTITUTE(Table13[[#This Row],[Input]],Table13[[#This Row],[Direction]],""),VALUE(IF(LEN(_xlpm.steps)&gt;2,LEFT(_xlpm.steps,LEN(_xlpm.steps)-2),0)))</f>
        <v>0</v>
      </c>
      <c r="E964">
        <f>_xlfn.LET(_xlpm.dir,Table13[[#This Row],[Direction]],
IF(_xlpm.dir="L",
    IF(G963-Table13[[#This Row],[Steps]]&lt;0,100+(G963-Table13[[#This Row],[Steps]]),G963-Table13[[#This Row],[Steps]]),
))</f>
        <v>24</v>
      </c>
      <c r="F964">
        <f>_xlfn.LET(_xlpm.dir,Table13[[#This Row],[Direction]],
IF(_xlpm.dir="R",
    IF(G963+Table13[[#This Row],[Steps]]&gt;99,(G963+Table13[[#This Row],[Steps]])-100,G963+Table13[[#This Row],[Steps]]),
))</f>
        <v>0</v>
      </c>
      <c r="G964">
        <f>IF(Table13[[#This Row],[New Pos L]]&lt;&gt;0,Table13[[#This Row],[New Pos L]],Table13[[#This Row],[New Pos R]])</f>
        <v>24</v>
      </c>
      <c r="H964">
        <f>IF(AND(Table13[[#This Row],[Direction]]="L",Table13[[#This Row],[Steps]]&gt;G963,G963&lt;&gt;0),1,0)</f>
        <v>1</v>
      </c>
      <c r="I964">
        <f>IF(AND(Table13[[#This Row],[Direction]]="R",(G963+Table13[[#This Row],[Steps]])&gt;100),1,0)</f>
        <v>0</v>
      </c>
      <c r="J964">
        <f>IF(Table13[[#This Row],[POS]]=0,1,0)</f>
        <v>0</v>
      </c>
      <c r="K964">
        <f>SUM(Table13[[#This Row],[prefix]],Table13[[#This Row],[Past zero L]],Table13[[#This Row],[Past Zero R]],Table13[[#This Row],[Is Zero]])</f>
        <v>1</v>
      </c>
    </row>
    <row r="965" spans="1:11" ht="16" x14ac:dyDescent="0.2">
      <c r="A965" s="1" t="s">
        <v>54</v>
      </c>
      <c r="B965" t="str">
        <f>LEFT(Table13[[#This Row],[Input]],1)</f>
        <v>L</v>
      </c>
      <c r="C965">
        <f>_xlfn.LET(_xlpm.steps,SUBSTITUTE(Table13[[#This Row],[Input]],Table13[[#This Row],[Direction]],""),VALUE(IF(LEN(_xlpm.steps)&gt;2,RIGHT(_xlpm.steps,2),_xlpm.steps)))</f>
        <v>75</v>
      </c>
      <c r="D965">
        <f>_xlfn.LET(_xlpm.steps,SUBSTITUTE(Table13[[#This Row],[Input]],Table13[[#This Row],[Direction]],""),VALUE(IF(LEN(_xlpm.steps)&gt;2,LEFT(_xlpm.steps,LEN(_xlpm.steps)-2),0)))</f>
        <v>0</v>
      </c>
      <c r="E965">
        <f>_xlfn.LET(_xlpm.dir,Table13[[#This Row],[Direction]],
IF(_xlpm.dir="L",
    IF(G964-Table13[[#This Row],[Steps]]&lt;0,100+(G964-Table13[[#This Row],[Steps]]),G964-Table13[[#This Row],[Steps]]),
))</f>
        <v>49</v>
      </c>
      <c r="F965">
        <f>_xlfn.LET(_xlpm.dir,Table13[[#This Row],[Direction]],
IF(_xlpm.dir="R",
    IF(G964+Table13[[#This Row],[Steps]]&gt;99,(G964+Table13[[#This Row],[Steps]])-100,G964+Table13[[#This Row],[Steps]]),
))</f>
        <v>0</v>
      </c>
      <c r="G965">
        <f>IF(Table13[[#This Row],[New Pos L]]&lt;&gt;0,Table13[[#This Row],[New Pos L]],Table13[[#This Row],[New Pos R]])</f>
        <v>49</v>
      </c>
      <c r="H965">
        <f>IF(AND(Table13[[#This Row],[Direction]]="L",Table13[[#This Row],[Steps]]&gt;G964,G964&lt;&gt;0),1,0)</f>
        <v>1</v>
      </c>
      <c r="I965">
        <f>IF(AND(Table13[[#This Row],[Direction]]="R",(G964+Table13[[#This Row],[Steps]])&gt;100),1,0)</f>
        <v>0</v>
      </c>
      <c r="J965">
        <f>IF(Table13[[#This Row],[POS]]=0,1,0)</f>
        <v>0</v>
      </c>
      <c r="K965">
        <f>SUM(Table13[[#This Row],[prefix]],Table13[[#This Row],[Past zero L]],Table13[[#This Row],[Past Zero R]],Table13[[#This Row],[Is Zero]])</f>
        <v>1</v>
      </c>
    </row>
    <row r="966" spans="1:11" ht="16" x14ac:dyDescent="0.2">
      <c r="A966" s="1" t="s">
        <v>19</v>
      </c>
      <c r="B966" t="str">
        <f>LEFT(Table13[[#This Row],[Input]],1)</f>
        <v>R</v>
      </c>
      <c r="C966">
        <f>_xlfn.LET(_xlpm.steps,SUBSTITUTE(Table13[[#This Row],[Input]],Table13[[#This Row],[Direction]],""),VALUE(IF(LEN(_xlpm.steps)&gt;2,RIGHT(_xlpm.steps,2),_xlpm.steps)))</f>
        <v>47</v>
      </c>
      <c r="D966">
        <f>_xlfn.LET(_xlpm.steps,SUBSTITUTE(Table13[[#This Row],[Input]],Table13[[#This Row],[Direction]],""),VALUE(IF(LEN(_xlpm.steps)&gt;2,LEFT(_xlpm.steps,LEN(_xlpm.steps)-2),0)))</f>
        <v>0</v>
      </c>
      <c r="E966">
        <f>_xlfn.LET(_xlpm.dir,Table13[[#This Row],[Direction]],
IF(_xlpm.dir="L",
    IF(G965-Table13[[#This Row],[Steps]]&lt;0,100+(G965-Table13[[#This Row],[Steps]]),G965-Table13[[#This Row],[Steps]]),
))</f>
        <v>0</v>
      </c>
      <c r="F966">
        <f>_xlfn.LET(_xlpm.dir,Table13[[#This Row],[Direction]],
IF(_xlpm.dir="R",
    IF(G965+Table13[[#This Row],[Steps]]&gt;99,(G965+Table13[[#This Row],[Steps]])-100,G965+Table13[[#This Row],[Steps]]),
))</f>
        <v>96</v>
      </c>
      <c r="G966">
        <f>IF(Table13[[#This Row],[New Pos L]]&lt;&gt;0,Table13[[#This Row],[New Pos L]],Table13[[#This Row],[New Pos R]])</f>
        <v>96</v>
      </c>
      <c r="H966">
        <f>IF(AND(Table13[[#This Row],[Direction]]="L",Table13[[#This Row],[Steps]]&gt;G965,G965&lt;&gt;0),1,0)</f>
        <v>0</v>
      </c>
      <c r="I966">
        <f>IF(AND(Table13[[#This Row],[Direction]]="R",(G965+Table13[[#This Row],[Steps]])&gt;100),1,0)</f>
        <v>0</v>
      </c>
      <c r="J966">
        <f>IF(Table13[[#This Row],[POS]]=0,1,0)</f>
        <v>0</v>
      </c>
      <c r="K966">
        <f>SUM(Table13[[#This Row],[prefix]],Table13[[#This Row],[Past zero L]],Table13[[#This Row],[Past Zero R]],Table13[[#This Row],[Is Zero]])</f>
        <v>0</v>
      </c>
    </row>
    <row r="967" spans="1:11" ht="16" x14ac:dyDescent="0.2">
      <c r="A967" s="1" t="s">
        <v>81</v>
      </c>
      <c r="B967" t="str">
        <f>LEFT(Table13[[#This Row],[Input]],1)</f>
        <v>R</v>
      </c>
      <c r="C967">
        <f>_xlfn.LET(_xlpm.steps,SUBSTITUTE(Table13[[#This Row],[Input]],Table13[[#This Row],[Direction]],""),VALUE(IF(LEN(_xlpm.steps)&gt;2,RIGHT(_xlpm.steps,2),_xlpm.steps)))</f>
        <v>17</v>
      </c>
      <c r="D967">
        <f>_xlfn.LET(_xlpm.steps,SUBSTITUTE(Table13[[#This Row],[Input]],Table13[[#This Row],[Direction]],""),VALUE(IF(LEN(_xlpm.steps)&gt;2,LEFT(_xlpm.steps,LEN(_xlpm.steps)-2),0)))</f>
        <v>0</v>
      </c>
      <c r="E967">
        <f>_xlfn.LET(_xlpm.dir,Table13[[#This Row],[Direction]],
IF(_xlpm.dir="L",
    IF(G966-Table13[[#This Row],[Steps]]&lt;0,100+(G966-Table13[[#This Row],[Steps]]),G966-Table13[[#This Row],[Steps]]),
))</f>
        <v>0</v>
      </c>
      <c r="F967">
        <f>_xlfn.LET(_xlpm.dir,Table13[[#This Row],[Direction]],
IF(_xlpm.dir="R",
    IF(G966+Table13[[#This Row],[Steps]]&gt;99,(G966+Table13[[#This Row],[Steps]])-100,G966+Table13[[#This Row],[Steps]]),
))</f>
        <v>13</v>
      </c>
      <c r="G967">
        <f>IF(Table13[[#This Row],[New Pos L]]&lt;&gt;0,Table13[[#This Row],[New Pos L]],Table13[[#This Row],[New Pos R]])</f>
        <v>13</v>
      </c>
      <c r="H967">
        <f>IF(AND(Table13[[#This Row],[Direction]]="L",Table13[[#This Row],[Steps]]&gt;G966,G966&lt;&gt;0),1,0)</f>
        <v>0</v>
      </c>
      <c r="I967">
        <f>IF(AND(Table13[[#This Row],[Direction]]="R",(G966+Table13[[#This Row],[Steps]])&gt;100),1,0)</f>
        <v>1</v>
      </c>
      <c r="J967">
        <f>IF(Table13[[#This Row],[POS]]=0,1,0)</f>
        <v>0</v>
      </c>
      <c r="K967">
        <f>SUM(Table13[[#This Row],[prefix]],Table13[[#This Row],[Past zero L]],Table13[[#This Row],[Past Zero R]],Table13[[#This Row],[Is Zero]])</f>
        <v>1</v>
      </c>
    </row>
    <row r="968" spans="1:11" ht="16" x14ac:dyDescent="0.2">
      <c r="A968" s="1" t="s">
        <v>116</v>
      </c>
      <c r="B968" t="str">
        <f>LEFT(Table13[[#This Row],[Input]],1)</f>
        <v>L</v>
      </c>
      <c r="C968">
        <f>_xlfn.LET(_xlpm.steps,SUBSTITUTE(Table13[[#This Row],[Input]],Table13[[#This Row],[Direction]],""),VALUE(IF(LEN(_xlpm.steps)&gt;2,RIGHT(_xlpm.steps,2),_xlpm.steps)))</f>
        <v>58</v>
      </c>
      <c r="D968">
        <f>_xlfn.LET(_xlpm.steps,SUBSTITUTE(Table13[[#This Row],[Input]],Table13[[#This Row],[Direction]],""),VALUE(IF(LEN(_xlpm.steps)&gt;2,LEFT(_xlpm.steps,LEN(_xlpm.steps)-2),0)))</f>
        <v>0</v>
      </c>
      <c r="E968">
        <f>_xlfn.LET(_xlpm.dir,Table13[[#This Row],[Direction]],
IF(_xlpm.dir="L",
    IF(G967-Table13[[#This Row],[Steps]]&lt;0,100+(G967-Table13[[#This Row],[Steps]]),G967-Table13[[#This Row],[Steps]]),
))</f>
        <v>55</v>
      </c>
      <c r="F968">
        <f>_xlfn.LET(_xlpm.dir,Table13[[#This Row],[Direction]],
IF(_xlpm.dir="R",
    IF(G967+Table13[[#This Row],[Steps]]&gt;99,(G967+Table13[[#This Row],[Steps]])-100,G967+Table13[[#This Row],[Steps]]),
))</f>
        <v>0</v>
      </c>
      <c r="G968">
        <f>IF(Table13[[#This Row],[New Pos L]]&lt;&gt;0,Table13[[#This Row],[New Pos L]],Table13[[#This Row],[New Pos R]])</f>
        <v>55</v>
      </c>
      <c r="H968">
        <f>IF(AND(Table13[[#This Row],[Direction]]="L",Table13[[#This Row],[Steps]]&gt;G967,G967&lt;&gt;0),1,0)</f>
        <v>1</v>
      </c>
      <c r="I968">
        <f>IF(AND(Table13[[#This Row],[Direction]]="R",(G967+Table13[[#This Row],[Steps]])&gt;100),1,0)</f>
        <v>0</v>
      </c>
      <c r="J968">
        <f>IF(Table13[[#This Row],[POS]]=0,1,0)</f>
        <v>0</v>
      </c>
      <c r="K968">
        <f>SUM(Table13[[#This Row],[prefix]],Table13[[#This Row],[Past zero L]],Table13[[#This Row],[Past Zero R]],Table13[[#This Row],[Is Zero]])</f>
        <v>1</v>
      </c>
    </row>
    <row r="969" spans="1:11" ht="16" x14ac:dyDescent="0.2">
      <c r="A969" s="1" t="s">
        <v>38</v>
      </c>
      <c r="B969" t="str">
        <f>LEFT(Table13[[#This Row],[Input]],1)</f>
        <v>R</v>
      </c>
      <c r="C969">
        <f>_xlfn.LET(_xlpm.steps,SUBSTITUTE(Table13[[#This Row],[Input]],Table13[[#This Row],[Direction]],""),VALUE(IF(LEN(_xlpm.steps)&gt;2,RIGHT(_xlpm.steps,2),_xlpm.steps)))</f>
        <v>15</v>
      </c>
      <c r="D969">
        <f>_xlfn.LET(_xlpm.steps,SUBSTITUTE(Table13[[#This Row],[Input]],Table13[[#This Row],[Direction]],""),VALUE(IF(LEN(_xlpm.steps)&gt;2,LEFT(_xlpm.steps,LEN(_xlpm.steps)-2),0)))</f>
        <v>0</v>
      </c>
      <c r="E969">
        <f>_xlfn.LET(_xlpm.dir,Table13[[#This Row],[Direction]],
IF(_xlpm.dir="L",
    IF(G968-Table13[[#This Row],[Steps]]&lt;0,100+(G968-Table13[[#This Row],[Steps]]),G968-Table13[[#This Row],[Steps]]),
))</f>
        <v>0</v>
      </c>
      <c r="F969">
        <f>_xlfn.LET(_xlpm.dir,Table13[[#This Row],[Direction]],
IF(_xlpm.dir="R",
    IF(G968+Table13[[#This Row],[Steps]]&gt;99,(G968+Table13[[#This Row],[Steps]])-100,G968+Table13[[#This Row],[Steps]]),
))</f>
        <v>70</v>
      </c>
      <c r="G969">
        <f>IF(Table13[[#This Row],[New Pos L]]&lt;&gt;0,Table13[[#This Row],[New Pos L]],Table13[[#This Row],[New Pos R]])</f>
        <v>70</v>
      </c>
      <c r="H969">
        <f>IF(AND(Table13[[#This Row],[Direction]]="L",Table13[[#This Row],[Steps]]&gt;G968,G968&lt;&gt;0),1,0)</f>
        <v>0</v>
      </c>
      <c r="I969">
        <f>IF(AND(Table13[[#This Row],[Direction]]="R",(G968+Table13[[#This Row],[Steps]])&gt;100),1,0)</f>
        <v>0</v>
      </c>
      <c r="J969">
        <f>IF(Table13[[#This Row],[POS]]=0,1,0)</f>
        <v>0</v>
      </c>
      <c r="K969">
        <f>SUM(Table13[[#This Row],[prefix]],Table13[[#This Row],[Past zero L]],Table13[[#This Row],[Past Zero R]],Table13[[#This Row],[Is Zero]])</f>
        <v>0</v>
      </c>
    </row>
    <row r="970" spans="1:11" ht="16" x14ac:dyDescent="0.2">
      <c r="A970" s="1" t="s">
        <v>136</v>
      </c>
      <c r="B970" t="str">
        <f>LEFT(Table13[[#This Row],[Input]],1)</f>
        <v>L</v>
      </c>
      <c r="C970">
        <f>_xlfn.LET(_xlpm.steps,SUBSTITUTE(Table13[[#This Row],[Input]],Table13[[#This Row],[Direction]],""),VALUE(IF(LEN(_xlpm.steps)&gt;2,RIGHT(_xlpm.steps,2),_xlpm.steps)))</f>
        <v>72</v>
      </c>
      <c r="D970">
        <f>_xlfn.LET(_xlpm.steps,SUBSTITUTE(Table13[[#This Row],[Input]],Table13[[#This Row],[Direction]],""),VALUE(IF(LEN(_xlpm.steps)&gt;2,LEFT(_xlpm.steps,LEN(_xlpm.steps)-2),0)))</f>
        <v>0</v>
      </c>
      <c r="E970">
        <f>_xlfn.LET(_xlpm.dir,Table13[[#This Row],[Direction]],
IF(_xlpm.dir="L",
    IF(G969-Table13[[#This Row],[Steps]]&lt;0,100+(G969-Table13[[#This Row],[Steps]]),G969-Table13[[#This Row],[Steps]]),
))</f>
        <v>98</v>
      </c>
      <c r="F970">
        <f>_xlfn.LET(_xlpm.dir,Table13[[#This Row],[Direction]],
IF(_xlpm.dir="R",
    IF(G969+Table13[[#This Row],[Steps]]&gt;99,(G969+Table13[[#This Row],[Steps]])-100,G969+Table13[[#This Row],[Steps]]),
))</f>
        <v>0</v>
      </c>
      <c r="G970">
        <f>IF(Table13[[#This Row],[New Pos L]]&lt;&gt;0,Table13[[#This Row],[New Pos L]],Table13[[#This Row],[New Pos R]])</f>
        <v>98</v>
      </c>
      <c r="H970">
        <f>IF(AND(Table13[[#This Row],[Direction]]="L",Table13[[#This Row],[Steps]]&gt;G969,G969&lt;&gt;0),1,0)</f>
        <v>1</v>
      </c>
      <c r="I970">
        <f>IF(AND(Table13[[#This Row],[Direction]]="R",(G969+Table13[[#This Row],[Steps]])&gt;100),1,0)</f>
        <v>0</v>
      </c>
      <c r="J970">
        <f>IF(Table13[[#This Row],[POS]]=0,1,0)</f>
        <v>0</v>
      </c>
      <c r="K970">
        <f>SUM(Table13[[#This Row],[prefix]],Table13[[#This Row],[Past zero L]],Table13[[#This Row],[Past Zero R]],Table13[[#This Row],[Is Zero]])</f>
        <v>1</v>
      </c>
    </row>
    <row r="971" spans="1:11" ht="16" x14ac:dyDescent="0.2">
      <c r="A971" s="1" t="s">
        <v>73</v>
      </c>
      <c r="B971" t="str">
        <f>LEFT(Table13[[#This Row],[Input]],1)</f>
        <v>R</v>
      </c>
      <c r="C971">
        <f>_xlfn.LET(_xlpm.steps,SUBSTITUTE(Table13[[#This Row],[Input]],Table13[[#This Row],[Direction]],""),VALUE(IF(LEN(_xlpm.steps)&gt;2,RIGHT(_xlpm.steps,2),_xlpm.steps)))</f>
        <v>21</v>
      </c>
      <c r="D971">
        <f>_xlfn.LET(_xlpm.steps,SUBSTITUTE(Table13[[#This Row],[Input]],Table13[[#This Row],[Direction]],""),VALUE(IF(LEN(_xlpm.steps)&gt;2,LEFT(_xlpm.steps,LEN(_xlpm.steps)-2),0)))</f>
        <v>0</v>
      </c>
      <c r="E971">
        <f>_xlfn.LET(_xlpm.dir,Table13[[#This Row],[Direction]],
IF(_xlpm.dir="L",
    IF(G970-Table13[[#This Row],[Steps]]&lt;0,100+(G970-Table13[[#This Row],[Steps]]),G970-Table13[[#This Row],[Steps]]),
))</f>
        <v>0</v>
      </c>
      <c r="F971">
        <f>_xlfn.LET(_xlpm.dir,Table13[[#This Row],[Direction]],
IF(_xlpm.dir="R",
    IF(G970+Table13[[#This Row],[Steps]]&gt;99,(G970+Table13[[#This Row],[Steps]])-100,G970+Table13[[#This Row],[Steps]]),
))</f>
        <v>19</v>
      </c>
      <c r="G971">
        <f>IF(Table13[[#This Row],[New Pos L]]&lt;&gt;0,Table13[[#This Row],[New Pos L]],Table13[[#This Row],[New Pos R]])</f>
        <v>19</v>
      </c>
      <c r="H971">
        <f>IF(AND(Table13[[#This Row],[Direction]]="L",Table13[[#This Row],[Steps]]&gt;G970,G970&lt;&gt;0),1,0)</f>
        <v>0</v>
      </c>
      <c r="I971">
        <f>IF(AND(Table13[[#This Row],[Direction]]="R",(G970+Table13[[#This Row],[Steps]])&gt;100),1,0)</f>
        <v>1</v>
      </c>
      <c r="J971">
        <f>IF(Table13[[#This Row],[POS]]=0,1,0)</f>
        <v>0</v>
      </c>
      <c r="K971">
        <f>SUM(Table13[[#This Row],[prefix]],Table13[[#This Row],[Past zero L]],Table13[[#This Row],[Past Zero R]],Table13[[#This Row],[Is Zero]])</f>
        <v>1</v>
      </c>
    </row>
    <row r="972" spans="1:11" ht="16" x14ac:dyDescent="0.2">
      <c r="A972" s="1" t="s">
        <v>325</v>
      </c>
      <c r="B972" t="str">
        <f>LEFT(Table13[[#This Row],[Input]],1)</f>
        <v>L</v>
      </c>
      <c r="C972">
        <f>_xlfn.LET(_xlpm.steps,SUBSTITUTE(Table13[[#This Row],[Input]],Table13[[#This Row],[Direction]],""),VALUE(IF(LEN(_xlpm.steps)&gt;2,RIGHT(_xlpm.steps,2),_xlpm.steps)))</f>
        <v>68</v>
      </c>
      <c r="D972">
        <f>_xlfn.LET(_xlpm.steps,SUBSTITUTE(Table13[[#This Row],[Input]],Table13[[#This Row],[Direction]],""),VALUE(IF(LEN(_xlpm.steps)&gt;2,LEFT(_xlpm.steps,LEN(_xlpm.steps)-2),0)))</f>
        <v>0</v>
      </c>
      <c r="E972">
        <f>_xlfn.LET(_xlpm.dir,Table13[[#This Row],[Direction]],
IF(_xlpm.dir="L",
    IF(G971-Table13[[#This Row],[Steps]]&lt;0,100+(G971-Table13[[#This Row],[Steps]]),G971-Table13[[#This Row],[Steps]]),
))</f>
        <v>51</v>
      </c>
      <c r="F972">
        <f>_xlfn.LET(_xlpm.dir,Table13[[#This Row],[Direction]],
IF(_xlpm.dir="R",
    IF(G971+Table13[[#This Row],[Steps]]&gt;99,(G971+Table13[[#This Row],[Steps]])-100,G971+Table13[[#This Row],[Steps]]),
))</f>
        <v>0</v>
      </c>
      <c r="G972">
        <f>IF(Table13[[#This Row],[New Pos L]]&lt;&gt;0,Table13[[#This Row],[New Pos L]],Table13[[#This Row],[New Pos R]])</f>
        <v>51</v>
      </c>
      <c r="H972">
        <f>IF(AND(Table13[[#This Row],[Direction]]="L",Table13[[#This Row],[Steps]]&gt;G971,G971&lt;&gt;0),1,0)</f>
        <v>1</v>
      </c>
      <c r="I972">
        <f>IF(AND(Table13[[#This Row],[Direction]]="R",(G971+Table13[[#This Row],[Steps]])&gt;100),1,0)</f>
        <v>0</v>
      </c>
      <c r="J972">
        <f>IF(Table13[[#This Row],[POS]]=0,1,0)</f>
        <v>0</v>
      </c>
      <c r="K972">
        <f>SUM(Table13[[#This Row],[prefix]],Table13[[#This Row],[Past zero L]],Table13[[#This Row],[Past Zero R]],Table13[[#This Row],[Is Zero]])</f>
        <v>1</v>
      </c>
    </row>
    <row r="973" spans="1:11" ht="16" x14ac:dyDescent="0.2">
      <c r="A973" s="1" t="s">
        <v>356</v>
      </c>
      <c r="B973" t="str">
        <f>LEFT(Table13[[#This Row],[Input]],1)</f>
        <v>L</v>
      </c>
      <c r="C973">
        <f>_xlfn.LET(_xlpm.steps,SUBSTITUTE(Table13[[#This Row],[Input]],Table13[[#This Row],[Direction]],""),VALUE(IF(LEN(_xlpm.steps)&gt;2,RIGHT(_xlpm.steps,2),_xlpm.steps)))</f>
        <v>51</v>
      </c>
      <c r="D973">
        <f>_xlfn.LET(_xlpm.steps,SUBSTITUTE(Table13[[#This Row],[Input]],Table13[[#This Row],[Direction]],""),VALUE(IF(LEN(_xlpm.steps)&gt;2,LEFT(_xlpm.steps,LEN(_xlpm.steps)-2),0)))</f>
        <v>3</v>
      </c>
      <c r="E973">
        <f>_xlfn.LET(_xlpm.dir,Table13[[#This Row],[Direction]],
IF(_xlpm.dir="L",
    IF(G972-Table13[[#This Row],[Steps]]&lt;0,100+(G972-Table13[[#This Row],[Steps]]),G972-Table13[[#This Row],[Steps]]),
))</f>
        <v>0</v>
      </c>
      <c r="F973">
        <f>_xlfn.LET(_xlpm.dir,Table13[[#This Row],[Direction]],
IF(_xlpm.dir="R",
    IF(G972+Table13[[#This Row],[Steps]]&gt;99,(G972+Table13[[#This Row],[Steps]])-100,G972+Table13[[#This Row],[Steps]]),
))</f>
        <v>0</v>
      </c>
      <c r="G973">
        <f>IF(Table13[[#This Row],[New Pos L]]&lt;&gt;0,Table13[[#This Row],[New Pos L]],Table13[[#This Row],[New Pos R]])</f>
        <v>0</v>
      </c>
      <c r="H973">
        <f>IF(AND(Table13[[#This Row],[Direction]]="L",Table13[[#This Row],[Steps]]&gt;G972,G972&lt;&gt;0),1,0)</f>
        <v>0</v>
      </c>
      <c r="I973">
        <f>IF(AND(Table13[[#This Row],[Direction]]="R",(G972+Table13[[#This Row],[Steps]])&gt;100),1,0)</f>
        <v>0</v>
      </c>
      <c r="J973">
        <f>IF(Table13[[#This Row],[POS]]=0,1,0)</f>
        <v>1</v>
      </c>
      <c r="K973">
        <f>SUM(Table13[[#This Row],[prefix]],Table13[[#This Row],[Past zero L]],Table13[[#This Row],[Past Zero R]],Table13[[#This Row],[Is Zero]])</f>
        <v>4</v>
      </c>
    </row>
    <row r="974" spans="1:11" ht="16" x14ac:dyDescent="0.2">
      <c r="A974" s="1" t="s">
        <v>40</v>
      </c>
      <c r="B974" t="str">
        <f>LEFT(Table13[[#This Row],[Input]],1)</f>
        <v>R</v>
      </c>
      <c r="C974">
        <f>_xlfn.LET(_xlpm.steps,SUBSTITUTE(Table13[[#This Row],[Input]],Table13[[#This Row],[Direction]],""),VALUE(IF(LEN(_xlpm.steps)&gt;2,RIGHT(_xlpm.steps,2),_xlpm.steps)))</f>
        <v>52</v>
      </c>
      <c r="D974">
        <f>_xlfn.LET(_xlpm.steps,SUBSTITUTE(Table13[[#This Row],[Input]],Table13[[#This Row],[Direction]],""),VALUE(IF(LEN(_xlpm.steps)&gt;2,LEFT(_xlpm.steps,LEN(_xlpm.steps)-2),0)))</f>
        <v>0</v>
      </c>
      <c r="E974">
        <f>_xlfn.LET(_xlpm.dir,Table13[[#This Row],[Direction]],
IF(_xlpm.dir="L",
    IF(G973-Table13[[#This Row],[Steps]]&lt;0,100+(G973-Table13[[#This Row],[Steps]]),G973-Table13[[#This Row],[Steps]]),
))</f>
        <v>0</v>
      </c>
      <c r="F974">
        <f>_xlfn.LET(_xlpm.dir,Table13[[#This Row],[Direction]],
IF(_xlpm.dir="R",
    IF(G973+Table13[[#This Row],[Steps]]&gt;99,(G973+Table13[[#This Row],[Steps]])-100,G973+Table13[[#This Row],[Steps]]),
))</f>
        <v>52</v>
      </c>
      <c r="G974">
        <f>IF(Table13[[#This Row],[New Pos L]]&lt;&gt;0,Table13[[#This Row],[New Pos L]],Table13[[#This Row],[New Pos R]])</f>
        <v>52</v>
      </c>
      <c r="H974">
        <f>IF(AND(Table13[[#This Row],[Direction]]="L",Table13[[#This Row],[Steps]]&gt;G973,G973&lt;&gt;0),1,0)</f>
        <v>0</v>
      </c>
      <c r="I974">
        <f>IF(AND(Table13[[#This Row],[Direction]]="R",(G973+Table13[[#This Row],[Steps]])&gt;100),1,0)</f>
        <v>0</v>
      </c>
      <c r="J974">
        <f>IF(Table13[[#This Row],[POS]]=0,1,0)</f>
        <v>0</v>
      </c>
      <c r="K974">
        <f>SUM(Table13[[#This Row],[prefix]],Table13[[#This Row],[Past zero L]],Table13[[#This Row],[Past Zero R]],Table13[[#This Row],[Is Zero]])</f>
        <v>0</v>
      </c>
    </row>
    <row r="975" spans="1:11" ht="16" x14ac:dyDescent="0.2">
      <c r="A975" s="1" t="s">
        <v>192</v>
      </c>
      <c r="B975" t="str">
        <f>LEFT(Table13[[#This Row],[Input]],1)</f>
        <v>L</v>
      </c>
      <c r="C975">
        <f>_xlfn.LET(_xlpm.steps,SUBSTITUTE(Table13[[#This Row],[Input]],Table13[[#This Row],[Direction]],""),VALUE(IF(LEN(_xlpm.steps)&gt;2,RIGHT(_xlpm.steps,2),_xlpm.steps)))</f>
        <v>52</v>
      </c>
      <c r="D975">
        <f>_xlfn.LET(_xlpm.steps,SUBSTITUTE(Table13[[#This Row],[Input]],Table13[[#This Row],[Direction]],""),VALUE(IF(LEN(_xlpm.steps)&gt;2,LEFT(_xlpm.steps,LEN(_xlpm.steps)-2),0)))</f>
        <v>0</v>
      </c>
      <c r="E975">
        <f>_xlfn.LET(_xlpm.dir,Table13[[#This Row],[Direction]],
IF(_xlpm.dir="L",
    IF(G974-Table13[[#This Row],[Steps]]&lt;0,100+(G974-Table13[[#This Row],[Steps]]),G974-Table13[[#This Row],[Steps]]),
))</f>
        <v>0</v>
      </c>
      <c r="F975">
        <f>_xlfn.LET(_xlpm.dir,Table13[[#This Row],[Direction]],
IF(_xlpm.dir="R",
    IF(G974+Table13[[#This Row],[Steps]]&gt;99,(G974+Table13[[#This Row],[Steps]])-100,G974+Table13[[#This Row],[Steps]]),
))</f>
        <v>0</v>
      </c>
      <c r="G975">
        <f>IF(Table13[[#This Row],[New Pos L]]&lt;&gt;0,Table13[[#This Row],[New Pos L]],Table13[[#This Row],[New Pos R]])</f>
        <v>0</v>
      </c>
      <c r="H975">
        <f>IF(AND(Table13[[#This Row],[Direction]]="L",Table13[[#This Row],[Steps]]&gt;G974,G974&lt;&gt;0),1,0)</f>
        <v>0</v>
      </c>
      <c r="I975">
        <f>IF(AND(Table13[[#This Row],[Direction]]="R",(G974+Table13[[#This Row],[Steps]])&gt;100),1,0)</f>
        <v>0</v>
      </c>
      <c r="J975">
        <f>IF(Table13[[#This Row],[POS]]=0,1,0)</f>
        <v>1</v>
      </c>
      <c r="K975">
        <f>SUM(Table13[[#This Row],[prefix]],Table13[[#This Row],[Past zero L]],Table13[[#This Row],[Past Zero R]],Table13[[#This Row],[Is Zero]])</f>
        <v>1</v>
      </c>
    </row>
    <row r="976" spans="1:11" ht="16" x14ac:dyDescent="0.2">
      <c r="A976" s="1" t="s">
        <v>42</v>
      </c>
      <c r="B976" t="str">
        <f>LEFT(Table13[[#This Row],[Input]],1)</f>
        <v>L</v>
      </c>
      <c r="C976">
        <f>_xlfn.LET(_xlpm.steps,SUBSTITUTE(Table13[[#This Row],[Input]],Table13[[#This Row],[Direction]],""),VALUE(IF(LEN(_xlpm.steps)&gt;2,RIGHT(_xlpm.steps,2),_xlpm.steps)))</f>
        <v>27</v>
      </c>
      <c r="D976">
        <f>_xlfn.LET(_xlpm.steps,SUBSTITUTE(Table13[[#This Row],[Input]],Table13[[#This Row],[Direction]],""),VALUE(IF(LEN(_xlpm.steps)&gt;2,LEFT(_xlpm.steps,LEN(_xlpm.steps)-2),0)))</f>
        <v>0</v>
      </c>
      <c r="E976">
        <f>_xlfn.LET(_xlpm.dir,Table13[[#This Row],[Direction]],
IF(_xlpm.dir="L",
    IF(G975-Table13[[#This Row],[Steps]]&lt;0,100+(G975-Table13[[#This Row],[Steps]]),G975-Table13[[#This Row],[Steps]]),
))</f>
        <v>73</v>
      </c>
      <c r="F976">
        <f>_xlfn.LET(_xlpm.dir,Table13[[#This Row],[Direction]],
IF(_xlpm.dir="R",
    IF(G975+Table13[[#This Row],[Steps]]&gt;99,(G975+Table13[[#This Row],[Steps]])-100,G975+Table13[[#This Row],[Steps]]),
))</f>
        <v>0</v>
      </c>
      <c r="G976">
        <f>IF(Table13[[#This Row],[New Pos L]]&lt;&gt;0,Table13[[#This Row],[New Pos L]],Table13[[#This Row],[New Pos R]])</f>
        <v>73</v>
      </c>
      <c r="H976">
        <f>IF(AND(Table13[[#This Row],[Direction]]="L",Table13[[#This Row],[Steps]]&gt;G975,G975&lt;&gt;0),1,0)</f>
        <v>0</v>
      </c>
      <c r="I976">
        <f>IF(AND(Table13[[#This Row],[Direction]]="R",(G975+Table13[[#This Row],[Steps]])&gt;100),1,0)</f>
        <v>0</v>
      </c>
      <c r="J976">
        <f>IF(Table13[[#This Row],[POS]]=0,1,0)</f>
        <v>0</v>
      </c>
      <c r="K976">
        <f>SUM(Table13[[#This Row],[prefix]],Table13[[#This Row],[Past zero L]],Table13[[#This Row],[Past Zero R]],Table13[[#This Row],[Is Zero]])</f>
        <v>0</v>
      </c>
    </row>
    <row r="977" spans="1:11" ht="16" x14ac:dyDescent="0.2">
      <c r="A977" s="1" t="s">
        <v>309</v>
      </c>
      <c r="B977" t="str">
        <f>LEFT(Table13[[#This Row],[Input]],1)</f>
        <v>L</v>
      </c>
      <c r="C977">
        <f>_xlfn.LET(_xlpm.steps,SUBSTITUTE(Table13[[#This Row],[Input]],Table13[[#This Row],[Direction]],""),VALUE(IF(LEN(_xlpm.steps)&gt;2,RIGHT(_xlpm.steps,2),_xlpm.steps)))</f>
        <v>41</v>
      </c>
      <c r="D977">
        <f>_xlfn.LET(_xlpm.steps,SUBSTITUTE(Table13[[#This Row],[Input]],Table13[[#This Row],[Direction]],""),VALUE(IF(LEN(_xlpm.steps)&gt;2,LEFT(_xlpm.steps,LEN(_xlpm.steps)-2),0)))</f>
        <v>0</v>
      </c>
      <c r="E977">
        <f>_xlfn.LET(_xlpm.dir,Table13[[#This Row],[Direction]],
IF(_xlpm.dir="L",
    IF(G976-Table13[[#This Row],[Steps]]&lt;0,100+(G976-Table13[[#This Row],[Steps]]),G976-Table13[[#This Row],[Steps]]),
))</f>
        <v>32</v>
      </c>
      <c r="F977">
        <f>_xlfn.LET(_xlpm.dir,Table13[[#This Row],[Direction]],
IF(_xlpm.dir="R",
    IF(G976+Table13[[#This Row],[Steps]]&gt;99,(G976+Table13[[#This Row],[Steps]])-100,G976+Table13[[#This Row],[Steps]]),
))</f>
        <v>0</v>
      </c>
      <c r="G977">
        <f>IF(Table13[[#This Row],[New Pos L]]&lt;&gt;0,Table13[[#This Row],[New Pos L]],Table13[[#This Row],[New Pos R]])</f>
        <v>32</v>
      </c>
      <c r="H977">
        <f>IF(AND(Table13[[#This Row],[Direction]]="L",Table13[[#This Row],[Steps]]&gt;G976,G976&lt;&gt;0),1,0)</f>
        <v>0</v>
      </c>
      <c r="I977">
        <f>IF(AND(Table13[[#This Row],[Direction]]="R",(G976+Table13[[#This Row],[Steps]])&gt;100),1,0)</f>
        <v>0</v>
      </c>
      <c r="J977">
        <f>IF(Table13[[#This Row],[POS]]=0,1,0)</f>
        <v>0</v>
      </c>
      <c r="K977">
        <f>SUM(Table13[[#This Row],[prefix]],Table13[[#This Row],[Past zero L]],Table13[[#This Row],[Past Zero R]],Table13[[#This Row],[Is Zero]])</f>
        <v>0</v>
      </c>
    </row>
    <row r="978" spans="1:11" ht="16" x14ac:dyDescent="0.2">
      <c r="A978" s="1" t="s">
        <v>344</v>
      </c>
      <c r="B978" t="str">
        <f>LEFT(Table13[[#This Row],[Input]],1)</f>
        <v>R</v>
      </c>
      <c r="C978">
        <f>_xlfn.LET(_xlpm.steps,SUBSTITUTE(Table13[[#This Row],[Input]],Table13[[#This Row],[Direction]],""),VALUE(IF(LEN(_xlpm.steps)&gt;2,RIGHT(_xlpm.steps,2),_xlpm.steps)))</f>
        <v>9</v>
      </c>
      <c r="D978">
        <f>_xlfn.LET(_xlpm.steps,SUBSTITUTE(Table13[[#This Row],[Input]],Table13[[#This Row],[Direction]],""),VALUE(IF(LEN(_xlpm.steps)&gt;2,LEFT(_xlpm.steps,LEN(_xlpm.steps)-2),0)))</f>
        <v>0</v>
      </c>
      <c r="E978">
        <f>_xlfn.LET(_xlpm.dir,Table13[[#This Row],[Direction]],
IF(_xlpm.dir="L",
    IF(G977-Table13[[#This Row],[Steps]]&lt;0,100+(G977-Table13[[#This Row],[Steps]]),G977-Table13[[#This Row],[Steps]]),
))</f>
        <v>0</v>
      </c>
      <c r="F978">
        <f>_xlfn.LET(_xlpm.dir,Table13[[#This Row],[Direction]],
IF(_xlpm.dir="R",
    IF(G977+Table13[[#This Row],[Steps]]&gt;99,(G977+Table13[[#This Row],[Steps]])-100,G977+Table13[[#This Row],[Steps]]),
))</f>
        <v>41</v>
      </c>
      <c r="G978">
        <f>IF(Table13[[#This Row],[New Pos L]]&lt;&gt;0,Table13[[#This Row],[New Pos L]],Table13[[#This Row],[New Pos R]])</f>
        <v>41</v>
      </c>
      <c r="H978">
        <f>IF(AND(Table13[[#This Row],[Direction]]="L",Table13[[#This Row],[Steps]]&gt;G977,G977&lt;&gt;0),1,0)</f>
        <v>0</v>
      </c>
      <c r="I978">
        <f>IF(AND(Table13[[#This Row],[Direction]]="R",(G977+Table13[[#This Row],[Steps]])&gt;100),1,0)</f>
        <v>0</v>
      </c>
      <c r="J978">
        <f>IF(Table13[[#This Row],[POS]]=0,1,0)</f>
        <v>0</v>
      </c>
      <c r="K978">
        <f>SUM(Table13[[#This Row],[prefix]],Table13[[#This Row],[Past zero L]],Table13[[#This Row],[Past Zero R]],Table13[[#This Row],[Is Zero]])</f>
        <v>0</v>
      </c>
    </row>
    <row r="979" spans="1:11" ht="16" x14ac:dyDescent="0.2">
      <c r="A979" s="1" t="s">
        <v>104</v>
      </c>
      <c r="B979" t="str">
        <f>LEFT(Table13[[#This Row],[Input]],1)</f>
        <v>R</v>
      </c>
      <c r="C979">
        <f>_xlfn.LET(_xlpm.steps,SUBSTITUTE(Table13[[#This Row],[Input]],Table13[[#This Row],[Direction]],""),VALUE(IF(LEN(_xlpm.steps)&gt;2,RIGHT(_xlpm.steps,2),_xlpm.steps)))</f>
        <v>59</v>
      </c>
      <c r="D979">
        <f>_xlfn.LET(_xlpm.steps,SUBSTITUTE(Table13[[#This Row],[Input]],Table13[[#This Row],[Direction]],""),VALUE(IF(LEN(_xlpm.steps)&gt;2,LEFT(_xlpm.steps,LEN(_xlpm.steps)-2),0)))</f>
        <v>0</v>
      </c>
      <c r="E979">
        <f>_xlfn.LET(_xlpm.dir,Table13[[#This Row],[Direction]],
IF(_xlpm.dir="L",
    IF(G978-Table13[[#This Row],[Steps]]&lt;0,100+(G978-Table13[[#This Row],[Steps]]),G978-Table13[[#This Row],[Steps]]),
))</f>
        <v>0</v>
      </c>
      <c r="F979">
        <f>_xlfn.LET(_xlpm.dir,Table13[[#This Row],[Direction]],
IF(_xlpm.dir="R",
    IF(G978+Table13[[#This Row],[Steps]]&gt;99,(G978+Table13[[#This Row],[Steps]])-100,G978+Table13[[#This Row],[Steps]]),
))</f>
        <v>0</v>
      </c>
      <c r="G979">
        <f>IF(Table13[[#This Row],[New Pos L]]&lt;&gt;0,Table13[[#This Row],[New Pos L]],Table13[[#This Row],[New Pos R]])</f>
        <v>0</v>
      </c>
      <c r="H979">
        <f>IF(AND(Table13[[#This Row],[Direction]]="L",Table13[[#This Row],[Steps]]&gt;G978,G978&lt;&gt;0),1,0)</f>
        <v>0</v>
      </c>
      <c r="I979">
        <f>IF(AND(Table13[[#This Row],[Direction]]="R",(G978+Table13[[#This Row],[Steps]])&gt;100),1,0)</f>
        <v>0</v>
      </c>
      <c r="J979">
        <f>IF(Table13[[#This Row],[POS]]=0,1,0)</f>
        <v>1</v>
      </c>
      <c r="K979">
        <f>SUM(Table13[[#This Row],[prefix]],Table13[[#This Row],[Past zero L]],Table13[[#This Row],[Past Zero R]],Table13[[#This Row],[Is Zero]])</f>
        <v>1</v>
      </c>
    </row>
    <row r="980" spans="1:11" ht="16" x14ac:dyDescent="0.2">
      <c r="A980" s="1" t="s">
        <v>185</v>
      </c>
      <c r="B980" t="str">
        <f>LEFT(Table13[[#This Row],[Input]],1)</f>
        <v>R</v>
      </c>
      <c r="C980">
        <f>_xlfn.LET(_xlpm.steps,SUBSTITUTE(Table13[[#This Row],[Input]],Table13[[#This Row],[Direction]],""),VALUE(IF(LEN(_xlpm.steps)&gt;2,RIGHT(_xlpm.steps,2),_xlpm.steps)))</f>
        <v>61</v>
      </c>
      <c r="D980">
        <f>_xlfn.LET(_xlpm.steps,SUBSTITUTE(Table13[[#This Row],[Input]],Table13[[#This Row],[Direction]],""),VALUE(IF(LEN(_xlpm.steps)&gt;2,LEFT(_xlpm.steps,LEN(_xlpm.steps)-2),0)))</f>
        <v>0</v>
      </c>
      <c r="E980">
        <f>_xlfn.LET(_xlpm.dir,Table13[[#This Row],[Direction]],
IF(_xlpm.dir="L",
    IF(G979-Table13[[#This Row],[Steps]]&lt;0,100+(G979-Table13[[#This Row],[Steps]]),G979-Table13[[#This Row],[Steps]]),
))</f>
        <v>0</v>
      </c>
      <c r="F980">
        <f>_xlfn.LET(_xlpm.dir,Table13[[#This Row],[Direction]],
IF(_xlpm.dir="R",
    IF(G979+Table13[[#This Row],[Steps]]&gt;99,(G979+Table13[[#This Row],[Steps]])-100,G979+Table13[[#This Row],[Steps]]),
))</f>
        <v>61</v>
      </c>
      <c r="G980">
        <f>IF(Table13[[#This Row],[New Pos L]]&lt;&gt;0,Table13[[#This Row],[New Pos L]],Table13[[#This Row],[New Pos R]])</f>
        <v>61</v>
      </c>
      <c r="H980">
        <f>IF(AND(Table13[[#This Row],[Direction]]="L",Table13[[#This Row],[Steps]]&gt;G979,G979&lt;&gt;0),1,0)</f>
        <v>0</v>
      </c>
      <c r="I980">
        <f>IF(AND(Table13[[#This Row],[Direction]]="R",(G979+Table13[[#This Row],[Steps]])&gt;100),1,0)</f>
        <v>0</v>
      </c>
      <c r="J980">
        <f>IF(Table13[[#This Row],[POS]]=0,1,0)</f>
        <v>0</v>
      </c>
      <c r="K980">
        <f>SUM(Table13[[#This Row],[prefix]],Table13[[#This Row],[Past zero L]],Table13[[#This Row],[Past Zero R]],Table13[[#This Row],[Is Zero]])</f>
        <v>0</v>
      </c>
    </row>
    <row r="981" spans="1:11" ht="16" x14ac:dyDescent="0.2">
      <c r="A981" s="1" t="s">
        <v>41</v>
      </c>
      <c r="B981" t="str">
        <f>LEFT(Table13[[#This Row],[Input]],1)</f>
        <v>L</v>
      </c>
      <c r="C981">
        <f>_xlfn.LET(_xlpm.steps,SUBSTITUTE(Table13[[#This Row],[Input]],Table13[[#This Row],[Direction]],""),VALUE(IF(LEN(_xlpm.steps)&gt;2,RIGHT(_xlpm.steps,2),_xlpm.steps)))</f>
        <v>7</v>
      </c>
      <c r="D981">
        <f>_xlfn.LET(_xlpm.steps,SUBSTITUTE(Table13[[#This Row],[Input]],Table13[[#This Row],[Direction]],""),VALUE(IF(LEN(_xlpm.steps)&gt;2,LEFT(_xlpm.steps,LEN(_xlpm.steps)-2),0)))</f>
        <v>0</v>
      </c>
      <c r="E981">
        <f>_xlfn.LET(_xlpm.dir,Table13[[#This Row],[Direction]],
IF(_xlpm.dir="L",
    IF(G980-Table13[[#This Row],[Steps]]&lt;0,100+(G980-Table13[[#This Row],[Steps]]),G980-Table13[[#This Row],[Steps]]),
))</f>
        <v>54</v>
      </c>
      <c r="F981">
        <f>_xlfn.LET(_xlpm.dir,Table13[[#This Row],[Direction]],
IF(_xlpm.dir="R",
    IF(G980+Table13[[#This Row],[Steps]]&gt;99,(G980+Table13[[#This Row],[Steps]])-100,G980+Table13[[#This Row],[Steps]]),
))</f>
        <v>0</v>
      </c>
      <c r="G981">
        <f>IF(Table13[[#This Row],[New Pos L]]&lt;&gt;0,Table13[[#This Row],[New Pos L]],Table13[[#This Row],[New Pos R]])</f>
        <v>54</v>
      </c>
      <c r="H981">
        <f>IF(AND(Table13[[#This Row],[Direction]]="L",Table13[[#This Row],[Steps]]&gt;G980,G980&lt;&gt;0),1,0)</f>
        <v>0</v>
      </c>
      <c r="I981">
        <f>IF(AND(Table13[[#This Row],[Direction]]="R",(G980+Table13[[#This Row],[Steps]])&gt;100),1,0)</f>
        <v>0</v>
      </c>
      <c r="J981">
        <f>IF(Table13[[#This Row],[POS]]=0,1,0)</f>
        <v>0</v>
      </c>
      <c r="K981">
        <f>SUM(Table13[[#This Row],[prefix]],Table13[[#This Row],[Past zero L]],Table13[[#This Row],[Past Zero R]],Table13[[#This Row],[Is Zero]])</f>
        <v>0</v>
      </c>
    </row>
    <row r="982" spans="1:11" ht="16" x14ac:dyDescent="0.2">
      <c r="A982" s="1" t="s">
        <v>179</v>
      </c>
      <c r="B982" t="str">
        <f>LEFT(Table13[[#This Row],[Input]],1)</f>
        <v>L</v>
      </c>
      <c r="C982">
        <f>_xlfn.LET(_xlpm.steps,SUBSTITUTE(Table13[[#This Row],[Input]],Table13[[#This Row],[Direction]],""),VALUE(IF(LEN(_xlpm.steps)&gt;2,RIGHT(_xlpm.steps,2),_xlpm.steps)))</f>
        <v>54</v>
      </c>
      <c r="D982">
        <f>_xlfn.LET(_xlpm.steps,SUBSTITUTE(Table13[[#This Row],[Input]],Table13[[#This Row],[Direction]],""),VALUE(IF(LEN(_xlpm.steps)&gt;2,LEFT(_xlpm.steps,LEN(_xlpm.steps)-2),0)))</f>
        <v>0</v>
      </c>
      <c r="E982">
        <f>_xlfn.LET(_xlpm.dir,Table13[[#This Row],[Direction]],
IF(_xlpm.dir="L",
    IF(G981-Table13[[#This Row],[Steps]]&lt;0,100+(G981-Table13[[#This Row],[Steps]]),G981-Table13[[#This Row],[Steps]]),
))</f>
        <v>0</v>
      </c>
      <c r="F982">
        <f>_xlfn.LET(_xlpm.dir,Table13[[#This Row],[Direction]],
IF(_xlpm.dir="R",
    IF(G981+Table13[[#This Row],[Steps]]&gt;99,(G981+Table13[[#This Row],[Steps]])-100,G981+Table13[[#This Row],[Steps]]),
))</f>
        <v>0</v>
      </c>
      <c r="G982">
        <f>IF(Table13[[#This Row],[New Pos L]]&lt;&gt;0,Table13[[#This Row],[New Pos L]],Table13[[#This Row],[New Pos R]])</f>
        <v>0</v>
      </c>
      <c r="H982">
        <f>IF(AND(Table13[[#This Row],[Direction]]="L",Table13[[#This Row],[Steps]]&gt;G981,G981&lt;&gt;0),1,0)</f>
        <v>0</v>
      </c>
      <c r="I982">
        <f>IF(AND(Table13[[#This Row],[Direction]]="R",(G981+Table13[[#This Row],[Steps]])&gt;100),1,0)</f>
        <v>0</v>
      </c>
      <c r="J982">
        <f>IF(Table13[[#This Row],[POS]]=0,1,0)</f>
        <v>1</v>
      </c>
      <c r="K982">
        <f>SUM(Table13[[#This Row],[prefix]],Table13[[#This Row],[Past zero L]],Table13[[#This Row],[Past Zero R]],Table13[[#This Row],[Is Zero]])</f>
        <v>1</v>
      </c>
    </row>
    <row r="983" spans="1:11" ht="16" x14ac:dyDescent="0.2">
      <c r="A983" s="1" t="s">
        <v>331</v>
      </c>
      <c r="B983" t="str">
        <f>LEFT(Table13[[#This Row],[Input]],1)</f>
        <v>R</v>
      </c>
      <c r="C983">
        <f>_xlfn.LET(_xlpm.steps,SUBSTITUTE(Table13[[#This Row],[Input]],Table13[[#This Row],[Direction]],""),VALUE(IF(LEN(_xlpm.steps)&gt;2,RIGHT(_xlpm.steps,2),_xlpm.steps)))</f>
        <v>80</v>
      </c>
      <c r="D983">
        <f>_xlfn.LET(_xlpm.steps,SUBSTITUTE(Table13[[#This Row],[Input]],Table13[[#This Row],[Direction]],""),VALUE(IF(LEN(_xlpm.steps)&gt;2,LEFT(_xlpm.steps,LEN(_xlpm.steps)-2),0)))</f>
        <v>6</v>
      </c>
      <c r="E983">
        <f>_xlfn.LET(_xlpm.dir,Table13[[#This Row],[Direction]],
IF(_xlpm.dir="L",
    IF(G982-Table13[[#This Row],[Steps]]&lt;0,100+(G982-Table13[[#This Row],[Steps]]),G982-Table13[[#This Row],[Steps]]),
))</f>
        <v>0</v>
      </c>
      <c r="F983">
        <f>_xlfn.LET(_xlpm.dir,Table13[[#This Row],[Direction]],
IF(_xlpm.dir="R",
    IF(G982+Table13[[#This Row],[Steps]]&gt;99,(G982+Table13[[#This Row],[Steps]])-100,G982+Table13[[#This Row],[Steps]]),
))</f>
        <v>80</v>
      </c>
      <c r="G983">
        <f>IF(Table13[[#This Row],[New Pos L]]&lt;&gt;0,Table13[[#This Row],[New Pos L]],Table13[[#This Row],[New Pos R]])</f>
        <v>80</v>
      </c>
      <c r="H983">
        <f>IF(AND(Table13[[#This Row],[Direction]]="L",Table13[[#This Row],[Steps]]&gt;G982,G982&lt;&gt;0),1,0)</f>
        <v>0</v>
      </c>
      <c r="I983">
        <f>IF(AND(Table13[[#This Row],[Direction]]="R",(G982+Table13[[#This Row],[Steps]])&gt;100),1,0)</f>
        <v>0</v>
      </c>
      <c r="J983">
        <f>IF(Table13[[#This Row],[POS]]=0,1,0)</f>
        <v>0</v>
      </c>
      <c r="K983">
        <f>SUM(Table13[[#This Row],[prefix]],Table13[[#This Row],[Past zero L]],Table13[[#This Row],[Past Zero R]],Table13[[#This Row],[Is Zero]])</f>
        <v>6</v>
      </c>
    </row>
    <row r="984" spans="1:11" ht="16" x14ac:dyDescent="0.2">
      <c r="A984" s="1" t="s">
        <v>187</v>
      </c>
      <c r="B984" t="str">
        <f>LEFT(Table13[[#This Row],[Input]],1)</f>
        <v>R</v>
      </c>
      <c r="C984">
        <f>_xlfn.LET(_xlpm.steps,SUBSTITUTE(Table13[[#This Row],[Input]],Table13[[#This Row],[Direction]],""),VALUE(IF(LEN(_xlpm.steps)&gt;2,RIGHT(_xlpm.steps,2),_xlpm.steps)))</f>
        <v>20</v>
      </c>
      <c r="D984">
        <f>_xlfn.LET(_xlpm.steps,SUBSTITUTE(Table13[[#This Row],[Input]],Table13[[#This Row],[Direction]],""),VALUE(IF(LEN(_xlpm.steps)&gt;2,LEFT(_xlpm.steps,LEN(_xlpm.steps)-2),0)))</f>
        <v>0</v>
      </c>
      <c r="E984">
        <f>_xlfn.LET(_xlpm.dir,Table13[[#This Row],[Direction]],
IF(_xlpm.dir="L",
    IF(G983-Table13[[#This Row],[Steps]]&lt;0,100+(G983-Table13[[#This Row],[Steps]]),G983-Table13[[#This Row],[Steps]]),
))</f>
        <v>0</v>
      </c>
      <c r="F984">
        <f>_xlfn.LET(_xlpm.dir,Table13[[#This Row],[Direction]],
IF(_xlpm.dir="R",
    IF(G983+Table13[[#This Row],[Steps]]&gt;99,(G983+Table13[[#This Row],[Steps]])-100,G983+Table13[[#This Row],[Steps]]),
))</f>
        <v>0</v>
      </c>
      <c r="G984">
        <f>IF(Table13[[#This Row],[New Pos L]]&lt;&gt;0,Table13[[#This Row],[New Pos L]],Table13[[#This Row],[New Pos R]])</f>
        <v>0</v>
      </c>
      <c r="H984">
        <f>IF(AND(Table13[[#This Row],[Direction]]="L",Table13[[#This Row],[Steps]]&gt;G983,G983&lt;&gt;0),1,0)</f>
        <v>0</v>
      </c>
      <c r="I984">
        <f>IF(AND(Table13[[#This Row],[Direction]]="R",(G983+Table13[[#This Row],[Steps]])&gt;100),1,0)</f>
        <v>0</v>
      </c>
      <c r="J984">
        <f>IF(Table13[[#This Row],[POS]]=0,1,0)</f>
        <v>1</v>
      </c>
      <c r="K984">
        <f>SUM(Table13[[#This Row],[prefix]],Table13[[#This Row],[Past zero L]],Table13[[#This Row],[Past Zero R]],Table13[[#This Row],[Is Zero]])</f>
        <v>1</v>
      </c>
    </row>
    <row r="985" spans="1:11" ht="16" x14ac:dyDescent="0.2">
      <c r="A985" s="1" t="s">
        <v>11</v>
      </c>
      <c r="B985" t="str">
        <f>LEFT(Table13[[#This Row],[Input]],1)</f>
        <v>L</v>
      </c>
      <c r="C985">
        <f>_xlfn.LET(_xlpm.steps,SUBSTITUTE(Table13[[#This Row],[Input]],Table13[[#This Row],[Direction]],""),VALUE(IF(LEN(_xlpm.steps)&gt;2,RIGHT(_xlpm.steps,2),_xlpm.steps)))</f>
        <v>34</v>
      </c>
      <c r="D985">
        <f>_xlfn.LET(_xlpm.steps,SUBSTITUTE(Table13[[#This Row],[Input]],Table13[[#This Row],[Direction]],""),VALUE(IF(LEN(_xlpm.steps)&gt;2,LEFT(_xlpm.steps,LEN(_xlpm.steps)-2),0)))</f>
        <v>0</v>
      </c>
      <c r="E985">
        <f>_xlfn.LET(_xlpm.dir,Table13[[#This Row],[Direction]],
IF(_xlpm.dir="L",
    IF(G984-Table13[[#This Row],[Steps]]&lt;0,100+(G984-Table13[[#This Row],[Steps]]),G984-Table13[[#This Row],[Steps]]),
))</f>
        <v>66</v>
      </c>
      <c r="F985">
        <f>_xlfn.LET(_xlpm.dir,Table13[[#This Row],[Direction]],
IF(_xlpm.dir="R",
    IF(G984+Table13[[#This Row],[Steps]]&gt;99,(G984+Table13[[#This Row],[Steps]])-100,G984+Table13[[#This Row],[Steps]]),
))</f>
        <v>0</v>
      </c>
      <c r="G985">
        <f>IF(Table13[[#This Row],[New Pos L]]&lt;&gt;0,Table13[[#This Row],[New Pos L]],Table13[[#This Row],[New Pos R]])</f>
        <v>66</v>
      </c>
      <c r="H985">
        <f>IF(AND(Table13[[#This Row],[Direction]]="L",Table13[[#This Row],[Steps]]&gt;G984,G984&lt;&gt;0),1,0)</f>
        <v>0</v>
      </c>
      <c r="I985">
        <f>IF(AND(Table13[[#This Row],[Direction]]="R",(G984+Table13[[#This Row],[Steps]])&gt;100),1,0)</f>
        <v>0</v>
      </c>
      <c r="J985">
        <f>IF(Table13[[#This Row],[POS]]=0,1,0)</f>
        <v>0</v>
      </c>
      <c r="K985">
        <f>SUM(Table13[[#This Row],[prefix]],Table13[[#This Row],[Past zero L]],Table13[[#This Row],[Past Zero R]],Table13[[#This Row],[Is Zero]])</f>
        <v>0</v>
      </c>
    </row>
    <row r="986" spans="1:11" ht="16" x14ac:dyDescent="0.2">
      <c r="A986" s="1" t="s">
        <v>279</v>
      </c>
      <c r="B986" t="str">
        <f>LEFT(Table13[[#This Row],[Input]],1)</f>
        <v>R</v>
      </c>
      <c r="C986">
        <f>_xlfn.LET(_xlpm.steps,SUBSTITUTE(Table13[[#This Row],[Input]],Table13[[#This Row],[Direction]],""),VALUE(IF(LEN(_xlpm.steps)&gt;2,RIGHT(_xlpm.steps,2),_xlpm.steps)))</f>
        <v>34</v>
      </c>
      <c r="D986">
        <f>_xlfn.LET(_xlpm.steps,SUBSTITUTE(Table13[[#This Row],[Input]],Table13[[#This Row],[Direction]],""),VALUE(IF(LEN(_xlpm.steps)&gt;2,LEFT(_xlpm.steps,LEN(_xlpm.steps)-2),0)))</f>
        <v>0</v>
      </c>
      <c r="E986">
        <f>_xlfn.LET(_xlpm.dir,Table13[[#This Row],[Direction]],
IF(_xlpm.dir="L",
    IF(G985-Table13[[#This Row],[Steps]]&lt;0,100+(G985-Table13[[#This Row],[Steps]]),G985-Table13[[#This Row],[Steps]]),
))</f>
        <v>0</v>
      </c>
      <c r="F986">
        <f>_xlfn.LET(_xlpm.dir,Table13[[#This Row],[Direction]],
IF(_xlpm.dir="R",
    IF(G985+Table13[[#This Row],[Steps]]&gt;99,(G985+Table13[[#This Row],[Steps]])-100,G985+Table13[[#This Row],[Steps]]),
))</f>
        <v>0</v>
      </c>
      <c r="G986">
        <f>IF(Table13[[#This Row],[New Pos L]]&lt;&gt;0,Table13[[#This Row],[New Pos L]],Table13[[#This Row],[New Pos R]])</f>
        <v>0</v>
      </c>
      <c r="H986">
        <f>IF(AND(Table13[[#This Row],[Direction]]="L",Table13[[#This Row],[Steps]]&gt;G985,G985&lt;&gt;0),1,0)</f>
        <v>0</v>
      </c>
      <c r="I986">
        <f>IF(AND(Table13[[#This Row],[Direction]]="R",(G985+Table13[[#This Row],[Steps]])&gt;100),1,0)</f>
        <v>0</v>
      </c>
      <c r="J986">
        <f>IF(Table13[[#This Row],[POS]]=0,1,0)</f>
        <v>1</v>
      </c>
      <c r="K986">
        <f>SUM(Table13[[#This Row],[prefix]],Table13[[#This Row],[Past zero L]],Table13[[#This Row],[Past Zero R]],Table13[[#This Row],[Is Zero]])</f>
        <v>1</v>
      </c>
    </row>
    <row r="987" spans="1:11" ht="16" x14ac:dyDescent="0.2">
      <c r="A987" s="1" t="s">
        <v>127</v>
      </c>
      <c r="B987" t="str">
        <f>LEFT(Table13[[#This Row],[Input]],1)</f>
        <v>L</v>
      </c>
      <c r="C987">
        <f>_xlfn.LET(_xlpm.steps,SUBSTITUTE(Table13[[#This Row],[Input]],Table13[[#This Row],[Direction]],""),VALUE(IF(LEN(_xlpm.steps)&gt;2,RIGHT(_xlpm.steps,2),_xlpm.steps)))</f>
        <v>62</v>
      </c>
      <c r="D987">
        <f>_xlfn.LET(_xlpm.steps,SUBSTITUTE(Table13[[#This Row],[Input]],Table13[[#This Row],[Direction]],""),VALUE(IF(LEN(_xlpm.steps)&gt;2,LEFT(_xlpm.steps,LEN(_xlpm.steps)-2),0)))</f>
        <v>0</v>
      </c>
      <c r="E987">
        <f>_xlfn.LET(_xlpm.dir,Table13[[#This Row],[Direction]],
IF(_xlpm.dir="L",
    IF(G986-Table13[[#This Row],[Steps]]&lt;0,100+(G986-Table13[[#This Row],[Steps]]),G986-Table13[[#This Row],[Steps]]),
))</f>
        <v>38</v>
      </c>
      <c r="F987">
        <f>_xlfn.LET(_xlpm.dir,Table13[[#This Row],[Direction]],
IF(_xlpm.dir="R",
    IF(G986+Table13[[#This Row],[Steps]]&gt;99,(G986+Table13[[#This Row],[Steps]])-100,G986+Table13[[#This Row],[Steps]]),
))</f>
        <v>0</v>
      </c>
      <c r="G987">
        <f>IF(Table13[[#This Row],[New Pos L]]&lt;&gt;0,Table13[[#This Row],[New Pos L]],Table13[[#This Row],[New Pos R]])</f>
        <v>38</v>
      </c>
      <c r="H987">
        <f>IF(AND(Table13[[#This Row],[Direction]]="L",Table13[[#This Row],[Steps]]&gt;G986,G986&lt;&gt;0),1,0)</f>
        <v>0</v>
      </c>
      <c r="I987">
        <f>IF(AND(Table13[[#This Row],[Direction]]="R",(G986+Table13[[#This Row],[Steps]])&gt;100),1,0)</f>
        <v>0</v>
      </c>
      <c r="J987">
        <f>IF(Table13[[#This Row],[POS]]=0,1,0)</f>
        <v>0</v>
      </c>
      <c r="K987">
        <f>SUM(Table13[[#This Row],[prefix]],Table13[[#This Row],[Past zero L]],Table13[[#This Row],[Past Zero R]],Table13[[#This Row],[Is Zero]])</f>
        <v>0</v>
      </c>
    </row>
    <row r="988" spans="1:11" ht="16" x14ac:dyDescent="0.2">
      <c r="A988" s="1" t="s">
        <v>43</v>
      </c>
      <c r="B988" t="str">
        <f>LEFT(Table13[[#This Row],[Input]],1)</f>
        <v>R</v>
      </c>
      <c r="C988">
        <f>_xlfn.LET(_xlpm.steps,SUBSTITUTE(Table13[[#This Row],[Input]],Table13[[#This Row],[Direction]],""),VALUE(IF(LEN(_xlpm.steps)&gt;2,RIGHT(_xlpm.steps,2),_xlpm.steps)))</f>
        <v>90</v>
      </c>
      <c r="D988">
        <f>_xlfn.LET(_xlpm.steps,SUBSTITUTE(Table13[[#This Row],[Input]],Table13[[#This Row],[Direction]],""),VALUE(IF(LEN(_xlpm.steps)&gt;2,LEFT(_xlpm.steps,LEN(_xlpm.steps)-2),0)))</f>
        <v>0</v>
      </c>
      <c r="E988">
        <f>_xlfn.LET(_xlpm.dir,Table13[[#This Row],[Direction]],
IF(_xlpm.dir="L",
    IF(G987-Table13[[#This Row],[Steps]]&lt;0,100+(G987-Table13[[#This Row],[Steps]]),G987-Table13[[#This Row],[Steps]]),
))</f>
        <v>0</v>
      </c>
      <c r="F988">
        <f>_xlfn.LET(_xlpm.dir,Table13[[#This Row],[Direction]],
IF(_xlpm.dir="R",
    IF(G987+Table13[[#This Row],[Steps]]&gt;99,(G987+Table13[[#This Row],[Steps]])-100,G987+Table13[[#This Row],[Steps]]),
))</f>
        <v>28</v>
      </c>
      <c r="G988">
        <f>IF(Table13[[#This Row],[New Pos L]]&lt;&gt;0,Table13[[#This Row],[New Pos L]],Table13[[#This Row],[New Pos R]])</f>
        <v>28</v>
      </c>
      <c r="H988">
        <f>IF(AND(Table13[[#This Row],[Direction]]="L",Table13[[#This Row],[Steps]]&gt;G987,G987&lt;&gt;0),1,0)</f>
        <v>0</v>
      </c>
      <c r="I988">
        <f>IF(AND(Table13[[#This Row],[Direction]]="R",(G987+Table13[[#This Row],[Steps]])&gt;100),1,0)</f>
        <v>1</v>
      </c>
      <c r="J988">
        <f>IF(Table13[[#This Row],[POS]]=0,1,0)</f>
        <v>0</v>
      </c>
      <c r="K988">
        <f>SUM(Table13[[#This Row],[prefix]],Table13[[#This Row],[Past zero L]],Table13[[#This Row],[Past Zero R]],Table13[[#This Row],[Is Zero]])</f>
        <v>1</v>
      </c>
    </row>
    <row r="989" spans="1:11" ht="16" x14ac:dyDescent="0.2">
      <c r="A989" s="1" t="s">
        <v>357</v>
      </c>
      <c r="B989" t="str">
        <f>LEFT(Table13[[#This Row],[Input]],1)</f>
        <v>R</v>
      </c>
      <c r="C989">
        <f>_xlfn.LET(_xlpm.steps,SUBSTITUTE(Table13[[#This Row],[Input]],Table13[[#This Row],[Direction]],""),VALUE(IF(LEN(_xlpm.steps)&gt;2,RIGHT(_xlpm.steps,2),_xlpm.steps)))</f>
        <v>72</v>
      </c>
      <c r="D989">
        <f>_xlfn.LET(_xlpm.steps,SUBSTITUTE(Table13[[#This Row],[Input]],Table13[[#This Row],[Direction]],""),VALUE(IF(LEN(_xlpm.steps)&gt;2,LEFT(_xlpm.steps,LEN(_xlpm.steps)-2),0)))</f>
        <v>0</v>
      </c>
      <c r="E989">
        <f>_xlfn.LET(_xlpm.dir,Table13[[#This Row],[Direction]],
IF(_xlpm.dir="L",
    IF(G988-Table13[[#This Row],[Steps]]&lt;0,100+(G988-Table13[[#This Row],[Steps]]),G988-Table13[[#This Row],[Steps]]),
))</f>
        <v>0</v>
      </c>
      <c r="F989">
        <f>_xlfn.LET(_xlpm.dir,Table13[[#This Row],[Direction]],
IF(_xlpm.dir="R",
    IF(G988+Table13[[#This Row],[Steps]]&gt;99,(G988+Table13[[#This Row],[Steps]])-100,G988+Table13[[#This Row],[Steps]]),
))</f>
        <v>0</v>
      </c>
      <c r="G989">
        <f>IF(Table13[[#This Row],[New Pos L]]&lt;&gt;0,Table13[[#This Row],[New Pos L]],Table13[[#This Row],[New Pos R]])</f>
        <v>0</v>
      </c>
      <c r="H989">
        <f>IF(AND(Table13[[#This Row],[Direction]]="L",Table13[[#This Row],[Steps]]&gt;G988,G988&lt;&gt;0),1,0)</f>
        <v>0</v>
      </c>
      <c r="I989">
        <f>IF(AND(Table13[[#This Row],[Direction]]="R",(G988+Table13[[#This Row],[Steps]])&gt;100),1,0)</f>
        <v>0</v>
      </c>
      <c r="J989">
        <f>IF(Table13[[#This Row],[POS]]=0,1,0)</f>
        <v>1</v>
      </c>
      <c r="K989">
        <f>SUM(Table13[[#This Row],[prefix]],Table13[[#This Row],[Past zero L]],Table13[[#This Row],[Past Zero R]],Table13[[#This Row],[Is Zero]])</f>
        <v>1</v>
      </c>
    </row>
    <row r="990" spans="1:11" ht="16" x14ac:dyDescent="0.2">
      <c r="A990" s="1" t="s">
        <v>5</v>
      </c>
      <c r="B990" t="str">
        <f>LEFT(Table13[[#This Row],[Input]],1)</f>
        <v>R</v>
      </c>
      <c r="C990">
        <f>_xlfn.LET(_xlpm.steps,SUBSTITUTE(Table13[[#This Row],[Input]],Table13[[#This Row],[Direction]],""),VALUE(IF(LEN(_xlpm.steps)&gt;2,RIGHT(_xlpm.steps,2),_xlpm.steps)))</f>
        <v>1</v>
      </c>
      <c r="D990">
        <f>_xlfn.LET(_xlpm.steps,SUBSTITUTE(Table13[[#This Row],[Input]],Table13[[#This Row],[Direction]],""),VALUE(IF(LEN(_xlpm.steps)&gt;2,LEFT(_xlpm.steps,LEN(_xlpm.steps)-2),0)))</f>
        <v>0</v>
      </c>
      <c r="E990">
        <f>_xlfn.LET(_xlpm.dir,Table13[[#This Row],[Direction]],
IF(_xlpm.dir="L",
    IF(G989-Table13[[#This Row],[Steps]]&lt;0,100+(G989-Table13[[#This Row],[Steps]]),G989-Table13[[#This Row],[Steps]]),
))</f>
        <v>0</v>
      </c>
      <c r="F990">
        <f>_xlfn.LET(_xlpm.dir,Table13[[#This Row],[Direction]],
IF(_xlpm.dir="R",
    IF(G989+Table13[[#This Row],[Steps]]&gt;99,(G989+Table13[[#This Row],[Steps]])-100,G989+Table13[[#This Row],[Steps]]),
))</f>
        <v>1</v>
      </c>
      <c r="G990">
        <f>IF(Table13[[#This Row],[New Pos L]]&lt;&gt;0,Table13[[#This Row],[New Pos L]],Table13[[#This Row],[New Pos R]])</f>
        <v>1</v>
      </c>
      <c r="H990">
        <f>IF(AND(Table13[[#This Row],[Direction]]="L",Table13[[#This Row],[Steps]]&gt;G989,G989&lt;&gt;0),1,0)</f>
        <v>0</v>
      </c>
      <c r="I990">
        <f>IF(AND(Table13[[#This Row],[Direction]]="R",(G989+Table13[[#This Row],[Steps]])&gt;100),1,0)</f>
        <v>0</v>
      </c>
      <c r="J990">
        <f>IF(Table13[[#This Row],[POS]]=0,1,0)</f>
        <v>0</v>
      </c>
      <c r="K990">
        <f>SUM(Table13[[#This Row],[prefix]],Table13[[#This Row],[Past zero L]],Table13[[#This Row],[Past Zero R]],Table13[[#This Row],[Is Zero]])</f>
        <v>0</v>
      </c>
    </row>
    <row r="991" spans="1:11" ht="16" x14ac:dyDescent="0.2">
      <c r="A991" s="1" t="s">
        <v>358</v>
      </c>
      <c r="B991" t="str">
        <f>LEFT(Table13[[#This Row],[Input]],1)</f>
        <v>R</v>
      </c>
      <c r="C991">
        <f>_xlfn.LET(_xlpm.steps,SUBSTITUTE(Table13[[#This Row],[Input]],Table13[[#This Row],[Direction]],""),VALUE(IF(LEN(_xlpm.steps)&gt;2,RIGHT(_xlpm.steps,2),_xlpm.steps)))</f>
        <v>27</v>
      </c>
      <c r="D991">
        <f>_xlfn.LET(_xlpm.steps,SUBSTITUTE(Table13[[#This Row],[Input]],Table13[[#This Row],[Direction]],""),VALUE(IF(LEN(_xlpm.steps)&gt;2,LEFT(_xlpm.steps,LEN(_xlpm.steps)-2),0)))</f>
        <v>1</v>
      </c>
      <c r="E991">
        <f>_xlfn.LET(_xlpm.dir,Table13[[#This Row],[Direction]],
IF(_xlpm.dir="L",
    IF(G990-Table13[[#This Row],[Steps]]&lt;0,100+(G990-Table13[[#This Row],[Steps]]),G990-Table13[[#This Row],[Steps]]),
))</f>
        <v>0</v>
      </c>
      <c r="F991">
        <f>_xlfn.LET(_xlpm.dir,Table13[[#This Row],[Direction]],
IF(_xlpm.dir="R",
    IF(G990+Table13[[#This Row],[Steps]]&gt;99,(G990+Table13[[#This Row],[Steps]])-100,G990+Table13[[#This Row],[Steps]]),
))</f>
        <v>28</v>
      </c>
      <c r="G991">
        <f>IF(Table13[[#This Row],[New Pos L]]&lt;&gt;0,Table13[[#This Row],[New Pos L]],Table13[[#This Row],[New Pos R]])</f>
        <v>28</v>
      </c>
      <c r="H991">
        <f>IF(AND(Table13[[#This Row],[Direction]]="L",Table13[[#This Row],[Steps]]&gt;G990,G990&lt;&gt;0),1,0)</f>
        <v>0</v>
      </c>
      <c r="I991">
        <f>IF(AND(Table13[[#This Row],[Direction]]="R",(G990+Table13[[#This Row],[Steps]])&gt;100),1,0)</f>
        <v>0</v>
      </c>
      <c r="J991">
        <f>IF(Table13[[#This Row],[POS]]=0,1,0)</f>
        <v>0</v>
      </c>
      <c r="K991">
        <f>SUM(Table13[[#This Row],[prefix]],Table13[[#This Row],[Past zero L]],Table13[[#This Row],[Past Zero R]],Table13[[#This Row],[Is Zero]])</f>
        <v>1</v>
      </c>
    </row>
    <row r="992" spans="1:11" ht="16" x14ac:dyDescent="0.2">
      <c r="A992" s="1" t="s">
        <v>32</v>
      </c>
      <c r="B992" t="str">
        <f>LEFT(Table13[[#This Row],[Input]],1)</f>
        <v>L</v>
      </c>
      <c r="C992">
        <f>_xlfn.LET(_xlpm.steps,SUBSTITUTE(Table13[[#This Row],[Input]],Table13[[#This Row],[Direction]],""),VALUE(IF(LEN(_xlpm.steps)&gt;2,RIGHT(_xlpm.steps,2),_xlpm.steps)))</f>
        <v>28</v>
      </c>
      <c r="D992">
        <f>_xlfn.LET(_xlpm.steps,SUBSTITUTE(Table13[[#This Row],[Input]],Table13[[#This Row],[Direction]],""),VALUE(IF(LEN(_xlpm.steps)&gt;2,LEFT(_xlpm.steps,LEN(_xlpm.steps)-2),0)))</f>
        <v>0</v>
      </c>
      <c r="E992">
        <f>_xlfn.LET(_xlpm.dir,Table13[[#This Row],[Direction]],
IF(_xlpm.dir="L",
    IF(G991-Table13[[#This Row],[Steps]]&lt;0,100+(G991-Table13[[#This Row],[Steps]]),G991-Table13[[#This Row],[Steps]]),
))</f>
        <v>0</v>
      </c>
      <c r="F992">
        <f>_xlfn.LET(_xlpm.dir,Table13[[#This Row],[Direction]],
IF(_xlpm.dir="R",
    IF(G991+Table13[[#This Row],[Steps]]&gt;99,(G991+Table13[[#This Row],[Steps]])-100,G991+Table13[[#This Row],[Steps]]),
))</f>
        <v>0</v>
      </c>
      <c r="G992">
        <f>IF(Table13[[#This Row],[New Pos L]]&lt;&gt;0,Table13[[#This Row],[New Pos L]],Table13[[#This Row],[New Pos R]])</f>
        <v>0</v>
      </c>
      <c r="H992">
        <f>IF(AND(Table13[[#This Row],[Direction]]="L",Table13[[#This Row],[Steps]]&gt;G991,G991&lt;&gt;0),1,0)</f>
        <v>0</v>
      </c>
      <c r="I992">
        <f>IF(AND(Table13[[#This Row],[Direction]]="R",(G991+Table13[[#This Row],[Steps]])&gt;100),1,0)</f>
        <v>0</v>
      </c>
      <c r="J992">
        <f>IF(Table13[[#This Row],[POS]]=0,1,0)</f>
        <v>1</v>
      </c>
      <c r="K992">
        <f>SUM(Table13[[#This Row],[prefix]],Table13[[#This Row],[Past zero L]],Table13[[#This Row],[Past Zero R]],Table13[[#This Row],[Is Zero]])</f>
        <v>1</v>
      </c>
    </row>
    <row r="993" spans="1:11" ht="16" x14ac:dyDescent="0.2">
      <c r="A993" s="1" t="s">
        <v>359</v>
      </c>
      <c r="B993" t="str">
        <f>LEFT(Table13[[#This Row],[Input]],1)</f>
        <v>L</v>
      </c>
      <c r="C993">
        <f>_xlfn.LET(_xlpm.steps,SUBSTITUTE(Table13[[#This Row],[Input]],Table13[[#This Row],[Direction]],""),VALUE(IF(LEN(_xlpm.steps)&gt;2,RIGHT(_xlpm.steps,2),_xlpm.steps)))</f>
        <v>32</v>
      </c>
      <c r="D993">
        <f>_xlfn.LET(_xlpm.steps,SUBSTITUTE(Table13[[#This Row],[Input]],Table13[[#This Row],[Direction]],""),VALUE(IF(LEN(_xlpm.steps)&gt;2,LEFT(_xlpm.steps,LEN(_xlpm.steps)-2),0)))</f>
        <v>5</v>
      </c>
      <c r="E993">
        <f>_xlfn.LET(_xlpm.dir,Table13[[#This Row],[Direction]],
IF(_xlpm.dir="L",
    IF(G992-Table13[[#This Row],[Steps]]&lt;0,100+(G992-Table13[[#This Row],[Steps]]),G992-Table13[[#This Row],[Steps]]),
))</f>
        <v>68</v>
      </c>
      <c r="F993">
        <f>_xlfn.LET(_xlpm.dir,Table13[[#This Row],[Direction]],
IF(_xlpm.dir="R",
    IF(G992+Table13[[#This Row],[Steps]]&gt;99,(G992+Table13[[#This Row],[Steps]])-100,G992+Table13[[#This Row],[Steps]]),
))</f>
        <v>0</v>
      </c>
      <c r="G993">
        <f>IF(Table13[[#This Row],[New Pos L]]&lt;&gt;0,Table13[[#This Row],[New Pos L]],Table13[[#This Row],[New Pos R]])</f>
        <v>68</v>
      </c>
      <c r="H993">
        <f>IF(AND(Table13[[#This Row],[Direction]]="L",Table13[[#This Row],[Steps]]&gt;G992,G992&lt;&gt;0),1,0)</f>
        <v>0</v>
      </c>
      <c r="I993">
        <f>IF(AND(Table13[[#This Row],[Direction]]="R",(G992+Table13[[#This Row],[Steps]])&gt;100),1,0)</f>
        <v>0</v>
      </c>
      <c r="J993">
        <f>IF(Table13[[#This Row],[POS]]=0,1,0)</f>
        <v>0</v>
      </c>
      <c r="K993">
        <f>SUM(Table13[[#This Row],[prefix]],Table13[[#This Row],[Past zero L]],Table13[[#This Row],[Past Zero R]],Table13[[#This Row],[Is Zero]])</f>
        <v>5</v>
      </c>
    </row>
    <row r="994" spans="1:11" ht="16" x14ac:dyDescent="0.2">
      <c r="A994" s="1" t="s">
        <v>325</v>
      </c>
      <c r="B994" t="str">
        <f>LEFT(Table13[[#This Row],[Input]],1)</f>
        <v>L</v>
      </c>
      <c r="C994">
        <f>_xlfn.LET(_xlpm.steps,SUBSTITUTE(Table13[[#This Row],[Input]],Table13[[#This Row],[Direction]],""),VALUE(IF(LEN(_xlpm.steps)&gt;2,RIGHT(_xlpm.steps,2),_xlpm.steps)))</f>
        <v>68</v>
      </c>
      <c r="D994">
        <f>_xlfn.LET(_xlpm.steps,SUBSTITUTE(Table13[[#This Row],[Input]],Table13[[#This Row],[Direction]],""),VALUE(IF(LEN(_xlpm.steps)&gt;2,LEFT(_xlpm.steps,LEN(_xlpm.steps)-2),0)))</f>
        <v>0</v>
      </c>
      <c r="E994">
        <f>_xlfn.LET(_xlpm.dir,Table13[[#This Row],[Direction]],
IF(_xlpm.dir="L",
    IF(G993-Table13[[#This Row],[Steps]]&lt;0,100+(G993-Table13[[#This Row],[Steps]]),G993-Table13[[#This Row],[Steps]]),
))</f>
        <v>0</v>
      </c>
      <c r="F994">
        <f>_xlfn.LET(_xlpm.dir,Table13[[#This Row],[Direction]],
IF(_xlpm.dir="R",
    IF(G993+Table13[[#This Row],[Steps]]&gt;99,(G993+Table13[[#This Row],[Steps]])-100,G993+Table13[[#This Row],[Steps]]),
))</f>
        <v>0</v>
      </c>
      <c r="G994">
        <f>IF(Table13[[#This Row],[New Pos L]]&lt;&gt;0,Table13[[#This Row],[New Pos L]],Table13[[#This Row],[New Pos R]])</f>
        <v>0</v>
      </c>
      <c r="H994">
        <f>IF(AND(Table13[[#This Row],[Direction]]="L",Table13[[#This Row],[Steps]]&gt;G993,G993&lt;&gt;0),1,0)</f>
        <v>0</v>
      </c>
      <c r="I994">
        <f>IF(AND(Table13[[#This Row],[Direction]]="R",(G993+Table13[[#This Row],[Steps]])&gt;100),1,0)</f>
        <v>0</v>
      </c>
      <c r="J994">
        <f>IF(Table13[[#This Row],[POS]]=0,1,0)</f>
        <v>1</v>
      </c>
      <c r="K994">
        <f>SUM(Table13[[#This Row],[prefix]],Table13[[#This Row],[Past zero L]],Table13[[#This Row],[Past Zero R]],Table13[[#This Row],[Is Zero]])</f>
        <v>1</v>
      </c>
    </row>
    <row r="995" spans="1:11" ht="16" x14ac:dyDescent="0.2">
      <c r="A995" s="1" t="s">
        <v>48</v>
      </c>
      <c r="B995" t="str">
        <f>LEFT(Table13[[#This Row],[Input]],1)</f>
        <v>R</v>
      </c>
      <c r="C995">
        <f>_xlfn.LET(_xlpm.steps,SUBSTITUTE(Table13[[#This Row],[Input]],Table13[[#This Row],[Direction]],""),VALUE(IF(LEN(_xlpm.steps)&gt;2,RIGHT(_xlpm.steps,2),_xlpm.steps)))</f>
        <v>81</v>
      </c>
      <c r="D995">
        <f>_xlfn.LET(_xlpm.steps,SUBSTITUTE(Table13[[#This Row],[Input]],Table13[[#This Row],[Direction]],""),VALUE(IF(LEN(_xlpm.steps)&gt;2,LEFT(_xlpm.steps,LEN(_xlpm.steps)-2),0)))</f>
        <v>0</v>
      </c>
      <c r="E995">
        <f>_xlfn.LET(_xlpm.dir,Table13[[#This Row],[Direction]],
IF(_xlpm.dir="L",
    IF(G994-Table13[[#This Row],[Steps]]&lt;0,100+(G994-Table13[[#This Row],[Steps]]),G994-Table13[[#This Row],[Steps]]),
))</f>
        <v>0</v>
      </c>
      <c r="F995">
        <f>_xlfn.LET(_xlpm.dir,Table13[[#This Row],[Direction]],
IF(_xlpm.dir="R",
    IF(G994+Table13[[#This Row],[Steps]]&gt;99,(G994+Table13[[#This Row],[Steps]])-100,G994+Table13[[#This Row],[Steps]]),
))</f>
        <v>81</v>
      </c>
      <c r="G995">
        <f>IF(Table13[[#This Row],[New Pos L]]&lt;&gt;0,Table13[[#This Row],[New Pos L]],Table13[[#This Row],[New Pos R]])</f>
        <v>81</v>
      </c>
      <c r="H995">
        <f>IF(AND(Table13[[#This Row],[Direction]]="L",Table13[[#This Row],[Steps]]&gt;G994,G994&lt;&gt;0),1,0)</f>
        <v>0</v>
      </c>
      <c r="I995">
        <f>IF(AND(Table13[[#This Row],[Direction]]="R",(G994+Table13[[#This Row],[Steps]])&gt;100),1,0)</f>
        <v>0</v>
      </c>
      <c r="J995">
        <f>IF(Table13[[#This Row],[POS]]=0,1,0)</f>
        <v>0</v>
      </c>
      <c r="K995">
        <f>SUM(Table13[[#This Row],[prefix]],Table13[[#This Row],[Past zero L]],Table13[[#This Row],[Past Zero R]],Table13[[#This Row],[Is Zero]])</f>
        <v>0</v>
      </c>
    </row>
    <row r="996" spans="1:11" ht="16" x14ac:dyDescent="0.2">
      <c r="A996" s="1" t="s">
        <v>360</v>
      </c>
      <c r="B996" t="str">
        <f>LEFT(Table13[[#This Row],[Input]],1)</f>
        <v>R</v>
      </c>
      <c r="C996">
        <f>_xlfn.LET(_xlpm.steps,SUBSTITUTE(Table13[[#This Row],[Input]],Table13[[#This Row],[Direction]],""),VALUE(IF(LEN(_xlpm.steps)&gt;2,RIGHT(_xlpm.steps,2),_xlpm.steps)))</f>
        <v>10</v>
      </c>
      <c r="D996">
        <f>_xlfn.LET(_xlpm.steps,SUBSTITUTE(Table13[[#This Row],[Input]],Table13[[#This Row],[Direction]],""),VALUE(IF(LEN(_xlpm.steps)&gt;2,LEFT(_xlpm.steps,LEN(_xlpm.steps)-2),0)))</f>
        <v>5</v>
      </c>
      <c r="E996">
        <f>_xlfn.LET(_xlpm.dir,Table13[[#This Row],[Direction]],
IF(_xlpm.dir="L",
    IF(G995-Table13[[#This Row],[Steps]]&lt;0,100+(G995-Table13[[#This Row],[Steps]]),G995-Table13[[#This Row],[Steps]]),
))</f>
        <v>0</v>
      </c>
      <c r="F996">
        <f>_xlfn.LET(_xlpm.dir,Table13[[#This Row],[Direction]],
IF(_xlpm.dir="R",
    IF(G995+Table13[[#This Row],[Steps]]&gt;99,(G995+Table13[[#This Row],[Steps]])-100,G995+Table13[[#This Row],[Steps]]),
))</f>
        <v>91</v>
      </c>
      <c r="G996">
        <f>IF(Table13[[#This Row],[New Pos L]]&lt;&gt;0,Table13[[#This Row],[New Pos L]],Table13[[#This Row],[New Pos R]])</f>
        <v>91</v>
      </c>
      <c r="H996">
        <f>IF(AND(Table13[[#This Row],[Direction]]="L",Table13[[#This Row],[Steps]]&gt;G995,G995&lt;&gt;0),1,0)</f>
        <v>0</v>
      </c>
      <c r="I996">
        <f>IF(AND(Table13[[#This Row],[Direction]]="R",(G995+Table13[[#This Row],[Steps]])&gt;100),1,0)</f>
        <v>0</v>
      </c>
      <c r="J996">
        <f>IF(Table13[[#This Row],[POS]]=0,1,0)</f>
        <v>0</v>
      </c>
      <c r="K996">
        <f>SUM(Table13[[#This Row],[prefix]],Table13[[#This Row],[Past zero L]],Table13[[#This Row],[Past Zero R]],Table13[[#This Row],[Is Zero]])</f>
        <v>5</v>
      </c>
    </row>
    <row r="997" spans="1:11" ht="16" x14ac:dyDescent="0.2">
      <c r="A997" s="1" t="s">
        <v>344</v>
      </c>
      <c r="B997" t="str">
        <f>LEFT(Table13[[#This Row],[Input]],1)</f>
        <v>R</v>
      </c>
      <c r="C997">
        <f>_xlfn.LET(_xlpm.steps,SUBSTITUTE(Table13[[#This Row],[Input]],Table13[[#This Row],[Direction]],""),VALUE(IF(LEN(_xlpm.steps)&gt;2,RIGHT(_xlpm.steps,2),_xlpm.steps)))</f>
        <v>9</v>
      </c>
      <c r="D997">
        <f>_xlfn.LET(_xlpm.steps,SUBSTITUTE(Table13[[#This Row],[Input]],Table13[[#This Row],[Direction]],""),VALUE(IF(LEN(_xlpm.steps)&gt;2,LEFT(_xlpm.steps,LEN(_xlpm.steps)-2),0)))</f>
        <v>0</v>
      </c>
      <c r="E997">
        <f>_xlfn.LET(_xlpm.dir,Table13[[#This Row],[Direction]],
IF(_xlpm.dir="L",
    IF(G996-Table13[[#This Row],[Steps]]&lt;0,100+(G996-Table13[[#This Row],[Steps]]),G996-Table13[[#This Row],[Steps]]),
))</f>
        <v>0</v>
      </c>
      <c r="F997">
        <f>_xlfn.LET(_xlpm.dir,Table13[[#This Row],[Direction]],
IF(_xlpm.dir="R",
    IF(G996+Table13[[#This Row],[Steps]]&gt;99,(G996+Table13[[#This Row],[Steps]])-100,G996+Table13[[#This Row],[Steps]]),
))</f>
        <v>0</v>
      </c>
      <c r="G997">
        <f>IF(Table13[[#This Row],[New Pos L]]&lt;&gt;0,Table13[[#This Row],[New Pos L]],Table13[[#This Row],[New Pos R]])</f>
        <v>0</v>
      </c>
      <c r="H997">
        <f>IF(AND(Table13[[#This Row],[Direction]]="L",Table13[[#This Row],[Steps]]&gt;G996,G996&lt;&gt;0),1,0)</f>
        <v>0</v>
      </c>
      <c r="I997">
        <f>IF(AND(Table13[[#This Row],[Direction]]="R",(G996+Table13[[#This Row],[Steps]])&gt;100),1,0)</f>
        <v>0</v>
      </c>
      <c r="J997">
        <f>IF(Table13[[#This Row],[POS]]=0,1,0)</f>
        <v>1</v>
      </c>
      <c r="K997">
        <f>SUM(Table13[[#This Row],[prefix]],Table13[[#This Row],[Past zero L]],Table13[[#This Row],[Past Zero R]],Table13[[#This Row],[Is Zero]])</f>
        <v>1</v>
      </c>
    </row>
    <row r="998" spans="1:11" ht="16" x14ac:dyDescent="0.2">
      <c r="A998" s="1" t="s">
        <v>295</v>
      </c>
      <c r="B998" t="str">
        <f>LEFT(Table13[[#This Row],[Input]],1)</f>
        <v>L</v>
      </c>
      <c r="C998">
        <f>_xlfn.LET(_xlpm.steps,SUBSTITUTE(Table13[[#This Row],[Input]],Table13[[#This Row],[Direction]],""),VALUE(IF(LEN(_xlpm.steps)&gt;2,RIGHT(_xlpm.steps,2),_xlpm.steps)))</f>
        <v>88</v>
      </c>
      <c r="D998">
        <f>_xlfn.LET(_xlpm.steps,SUBSTITUTE(Table13[[#This Row],[Input]],Table13[[#This Row],[Direction]],""),VALUE(IF(LEN(_xlpm.steps)&gt;2,LEFT(_xlpm.steps,LEN(_xlpm.steps)-2),0)))</f>
        <v>0</v>
      </c>
      <c r="E998">
        <f>_xlfn.LET(_xlpm.dir,Table13[[#This Row],[Direction]],
IF(_xlpm.dir="L",
    IF(G997-Table13[[#This Row],[Steps]]&lt;0,100+(G997-Table13[[#This Row],[Steps]]),G997-Table13[[#This Row],[Steps]]),
))</f>
        <v>12</v>
      </c>
      <c r="F998">
        <f>_xlfn.LET(_xlpm.dir,Table13[[#This Row],[Direction]],
IF(_xlpm.dir="R",
    IF(G997+Table13[[#This Row],[Steps]]&gt;99,(G997+Table13[[#This Row],[Steps]])-100,G997+Table13[[#This Row],[Steps]]),
))</f>
        <v>0</v>
      </c>
      <c r="G998">
        <f>IF(Table13[[#This Row],[New Pos L]]&lt;&gt;0,Table13[[#This Row],[New Pos L]],Table13[[#This Row],[New Pos R]])</f>
        <v>12</v>
      </c>
      <c r="H998">
        <f>IF(AND(Table13[[#This Row],[Direction]]="L",Table13[[#This Row],[Steps]]&gt;G997,G997&lt;&gt;0),1,0)</f>
        <v>0</v>
      </c>
      <c r="I998">
        <f>IF(AND(Table13[[#This Row],[Direction]]="R",(G997+Table13[[#This Row],[Steps]])&gt;100),1,0)</f>
        <v>0</v>
      </c>
      <c r="J998">
        <f>IF(Table13[[#This Row],[POS]]=0,1,0)</f>
        <v>0</v>
      </c>
      <c r="K998">
        <f>SUM(Table13[[#This Row],[prefix]],Table13[[#This Row],[Past zero L]],Table13[[#This Row],[Past Zero R]],Table13[[#This Row],[Is Zero]])</f>
        <v>0</v>
      </c>
    </row>
    <row r="999" spans="1:11" ht="16" x14ac:dyDescent="0.2">
      <c r="A999" s="1" t="s">
        <v>213</v>
      </c>
      <c r="B999" t="str">
        <f>LEFT(Table13[[#This Row],[Input]],1)</f>
        <v>R</v>
      </c>
      <c r="C999">
        <f>_xlfn.LET(_xlpm.steps,SUBSTITUTE(Table13[[#This Row],[Input]],Table13[[#This Row],[Direction]],""),VALUE(IF(LEN(_xlpm.steps)&gt;2,RIGHT(_xlpm.steps,2),_xlpm.steps)))</f>
        <v>87</v>
      </c>
      <c r="D999">
        <f>_xlfn.LET(_xlpm.steps,SUBSTITUTE(Table13[[#This Row],[Input]],Table13[[#This Row],[Direction]],""),VALUE(IF(LEN(_xlpm.steps)&gt;2,LEFT(_xlpm.steps,LEN(_xlpm.steps)-2),0)))</f>
        <v>0</v>
      </c>
      <c r="E999">
        <f>_xlfn.LET(_xlpm.dir,Table13[[#This Row],[Direction]],
IF(_xlpm.dir="L",
    IF(G998-Table13[[#This Row],[Steps]]&lt;0,100+(G998-Table13[[#This Row],[Steps]]),G998-Table13[[#This Row],[Steps]]),
))</f>
        <v>0</v>
      </c>
      <c r="F999">
        <f>_xlfn.LET(_xlpm.dir,Table13[[#This Row],[Direction]],
IF(_xlpm.dir="R",
    IF(G998+Table13[[#This Row],[Steps]]&gt;99,(G998+Table13[[#This Row],[Steps]])-100,G998+Table13[[#This Row],[Steps]]),
))</f>
        <v>99</v>
      </c>
      <c r="G999">
        <f>IF(Table13[[#This Row],[New Pos L]]&lt;&gt;0,Table13[[#This Row],[New Pos L]],Table13[[#This Row],[New Pos R]])</f>
        <v>99</v>
      </c>
      <c r="H999">
        <f>IF(AND(Table13[[#This Row],[Direction]]="L",Table13[[#This Row],[Steps]]&gt;G998,G998&lt;&gt;0),1,0)</f>
        <v>0</v>
      </c>
      <c r="I999">
        <f>IF(AND(Table13[[#This Row],[Direction]]="R",(G998+Table13[[#This Row],[Steps]])&gt;100),1,0)</f>
        <v>0</v>
      </c>
      <c r="J999">
        <f>IF(Table13[[#This Row],[POS]]=0,1,0)</f>
        <v>0</v>
      </c>
      <c r="K999">
        <f>SUM(Table13[[#This Row],[prefix]],Table13[[#This Row],[Past zero L]],Table13[[#This Row],[Past Zero R]],Table13[[#This Row],[Is Zero]])</f>
        <v>0</v>
      </c>
    </row>
    <row r="1000" spans="1:11" ht="16" x14ac:dyDescent="0.2">
      <c r="A1000" s="1" t="s">
        <v>127</v>
      </c>
      <c r="B1000" t="str">
        <f>LEFT(Table13[[#This Row],[Input]],1)</f>
        <v>L</v>
      </c>
      <c r="C1000">
        <f>_xlfn.LET(_xlpm.steps,SUBSTITUTE(Table13[[#This Row],[Input]],Table13[[#This Row],[Direction]],""),VALUE(IF(LEN(_xlpm.steps)&gt;2,RIGHT(_xlpm.steps,2),_xlpm.steps)))</f>
        <v>62</v>
      </c>
      <c r="D1000">
        <f>_xlfn.LET(_xlpm.steps,SUBSTITUTE(Table13[[#This Row],[Input]],Table13[[#This Row],[Direction]],""),VALUE(IF(LEN(_xlpm.steps)&gt;2,LEFT(_xlpm.steps,LEN(_xlpm.steps)-2),0)))</f>
        <v>0</v>
      </c>
      <c r="E1000">
        <f>_xlfn.LET(_xlpm.dir,Table13[[#This Row],[Direction]],
IF(_xlpm.dir="L",
    IF(G999-Table13[[#This Row],[Steps]]&lt;0,100+(G999-Table13[[#This Row],[Steps]]),G999-Table13[[#This Row],[Steps]]),
))</f>
        <v>37</v>
      </c>
      <c r="F1000">
        <f>_xlfn.LET(_xlpm.dir,Table13[[#This Row],[Direction]],
IF(_xlpm.dir="R",
    IF(G999+Table13[[#This Row],[Steps]]&gt;99,(G999+Table13[[#This Row],[Steps]])-100,G999+Table13[[#This Row],[Steps]]),
))</f>
        <v>0</v>
      </c>
      <c r="G1000">
        <f>IF(Table13[[#This Row],[New Pos L]]&lt;&gt;0,Table13[[#This Row],[New Pos L]],Table13[[#This Row],[New Pos R]])</f>
        <v>37</v>
      </c>
      <c r="H1000">
        <f>IF(AND(Table13[[#This Row],[Direction]]="L",Table13[[#This Row],[Steps]]&gt;G999,G999&lt;&gt;0),1,0)</f>
        <v>0</v>
      </c>
      <c r="I1000">
        <f>IF(AND(Table13[[#This Row],[Direction]]="R",(G999+Table13[[#This Row],[Steps]])&gt;100),1,0)</f>
        <v>0</v>
      </c>
      <c r="J1000">
        <f>IF(Table13[[#This Row],[POS]]=0,1,0)</f>
        <v>0</v>
      </c>
      <c r="K1000">
        <f>SUM(Table13[[#This Row],[prefix]],Table13[[#This Row],[Past zero L]],Table13[[#This Row],[Past Zero R]],Table13[[#This Row],[Is Zero]])</f>
        <v>0</v>
      </c>
    </row>
    <row r="1001" spans="1:11" ht="16" x14ac:dyDescent="0.2">
      <c r="A1001" s="1" t="s">
        <v>186</v>
      </c>
      <c r="B1001" t="str">
        <f>LEFT(Table13[[#This Row],[Input]],1)</f>
        <v>L</v>
      </c>
      <c r="C1001">
        <f>_xlfn.LET(_xlpm.steps,SUBSTITUTE(Table13[[#This Row],[Input]],Table13[[#This Row],[Direction]],""),VALUE(IF(LEN(_xlpm.steps)&gt;2,RIGHT(_xlpm.steps,2),_xlpm.steps)))</f>
        <v>84</v>
      </c>
      <c r="D1001">
        <f>_xlfn.LET(_xlpm.steps,SUBSTITUTE(Table13[[#This Row],[Input]],Table13[[#This Row],[Direction]],""),VALUE(IF(LEN(_xlpm.steps)&gt;2,LEFT(_xlpm.steps,LEN(_xlpm.steps)-2),0)))</f>
        <v>0</v>
      </c>
      <c r="E1001">
        <f>_xlfn.LET(_xlpm.dir,Table13[[#This Row],[Direction]],
IF(_xlpm.dir="L",
    IF(G1000-Table13[[#This Row],[Steps]]&lt;0,100+(G1000-Table13[[#This Row],[Steps]]),G1000-Table13[[#This Row],[Steps]]),
))</f>
        <v>53</v>
      </c>
      <c r="F1001">
        <f>_xlfn.LET(_xlpm.dir,Table13[[#This Row],[Direction]],
IF(_xlpm.dir="R",
    IF(G1000+Table13[[#This Row],[Steps]]&gt;99,(G1000+Table13[[#This Row],[Steps]])-100,G1000+Table13[[#This Row],[Steps]]),
))</f>
        <v>0</v>
      </c>
      <c r="G1001">
        <f>IF(Table13[[#This Row],[New Pos L]]&lt;&gt;0,Table13[[#This Row],[New Pos L]],Table13[[#This Row],[New Pos R]])</f>
        <v>53</v>
      </c>
      <c r="H1001">
        <f>IF(AND(Table13[[#This Row],[Direction]]="L",Table13[[#This Row],[Steps]]&gt;G1000,G1000&lt;&gt;0),1,0)</f>
        <v>1</v>
      </c>
      <c r="I1001">
        <f>IF(AND(Table13[[#This Row],[Direction]]="R",(G1000+Table13[[#This Row],[Steps]])&gt;100),1,0)</f>
        <v>0</v>
      </c>
      <c r="J1001">
        <f>IF(Table13[[#This Row],[POS]]=0,1,0)</f>
        <v>0</v>
      </c>
      <c r="K1001">
        <f>SUM(Table13[[#This Row],[prefix]],Table13[[#This Row],[Past zero L]],Table13[[#This Row],[Past Zero R]],Table13[[#This Row],[Is Zero]])</f>
        <v>1</v>
      </c>
    </row>
    <row r="1002" spans="1:11" ht="16" x14ac:dyDescent="0.2">
      <c r="A1002" s="1" t="s">
        <v>191</v>
      </c>
      <c r="B1002" t="str">
        <f>LEFT(Table13[[#This Row],[Input]],1)</f>
        <v>L</v>
      </c>
      <c r="C1002">
        <f>_xlfn.LET(_xlpm.steps,SUBSTITUTE(Table13[[#This Row],[Input]],Table13[[#This Row],[Direction]],""),VALUE(IF(LEN(_xlpm.steps)&gt;2,RIGHT(_xlpm.steps,2),_xlpm.steps)))</f>
        <v>5</v>
      </c>
      <c r="D1002">
        <f>_xlfn.LET(_xlpm.steps,SUBSTITUTE(Table13[[#This Row],[Input]],Table13[[#This Row],[Direction]],""),VALUE(IF(LEN(_xlpm.steps)&gt;2,LEFT(_xlpm.steps,LEN(_xlpm.steps)-2),0)))</f>
        <v>0</v>
      </c>
      <c r="E1002">
        <f>_xlfn.LET(_xlpm.dir,Table13[[#This Row],[Direction]],
IF(_xlpm.dir="L",
    IF(G1001-Table13[[#This Row],[Steps]]&lt;0,100+(G1001-Table13[[#This Row],[Steps]]),G1001-Table13[[#This Row],[Steps]]),
))</f>
        <v>48</v>
      </c>
      <c r="F1002">
        <f>_xlfn.LET(_xlpm.dir,Table13[[#This Row],[Direction]],
IF(_xlpm.dir="R",
    IF(G1001+Table13[[#This Row],[Steps]]&gt;99,(G1001+Table13[[#This Row],[Steps]])-100,G1001+Table13[[#This Row],[Steps]]),
))</f>
        <v>0</v>
      </c>
      <c r="G1002">
        <f>IF(Table13[[#This Row],[New Pos L]]&lt;&gt;0,Table13[[#This Row],[New Pos L]],Table13[[#This Row],[New Pos R]])</f>
        <v>48</v>
      </c>
      <c r="H1002">
        <f>IF(AND(Table13[[#This Row],[Direction]]="L",Table13[[#This Row],[Steps]]&gt;G1001,G1001&lt;&gt;0),1,0)</f>
        <v>0</v>
      </c>
      <c r="I1002">
        <f>IF(AND(Table13[[#This Row],[Direction]]="R",(G1001+Table13[[#This Row],[Steps]])&gt;100),1,0)</f>
        <v>0</v>
      </c>
      <c r="J1002">
        <f>IF(Table13[[#This Row],[POS]]=0,1,0)</f>
        <v>0</v>
      </c>
      <c r="K1002">
        <f>SUM(Table13[[#This Row],[prefix]],Table13[[#This Row],[Past zero L]],Table13[[#This Row],[Past Zero R]],Table13[[#This Row],[Is Zero]])</f>
        <v>0</v>
      </c>
    </row>
    <row r="1003" spans="1:11" ht="16" x14ac:dyDescent="0.2">
      <c r="A1003" s="1" t="s">
        <v>12</v>
      </c>
      <c r="B1003" t="str">
        <f>LEFT(Table13[[#This Row],[Input]],1)</f>
        <v>L</v>
      </c>
      <c r="C1003">
        <f>_xlfn.LET(_xlpm.steps,SUBSTITUTE(Table13[[#This Row],[Input]],Table13[[#This Row],[Direction]],""),VALUE(IF(LEN(_xlpm.steps)&gt;2,RIGHT(_xlpm.steps,2),_xlpm.steps)))</f>
        <v>11</v>
      </c>
      <c r="D1003">
        <f>_xlfn.LET(_xlpm.steps,SUBSTITUTE(Table13[[#This Row],[Input]],Table13[[#This Row],[Direction]],""),VALUE(IF(LEN(_xlpm.steps)&gt;2,LEFT(_xlpm.steps,LEN(_xlpm.steps)-2),0)))</f>
        <v>0</v>
      </c>
      <c r="E1003">
        <f>_xlfn.LET(_xlpm.dir,Table13[[#This Row],[Direction]],
IF(_xlpm.dir="L",
    IF(G1002-Table13[[#This Row],[Steps]]&lt;0,100+(G1002-Table13[[#This Row],[Steps]]),G1002-Table13[[#This Row],[Steps]]),
))</f>
        <v>37</v>
      </c>
      <c r="F1003">
        <f>_xlfn.LET(_xlpm.dir,Table13[[#This Row],[Direction]],
IF(_xlpm.dir="R",
    IF(G1002+Table13[[#This Row],[Steps]]&gt;99,(G1002+Table13[[#This Row],[Steps]])-100,G1002+Table13[[#This Row],[Steps]]),
))</f>
        <v>0</v>
      </c>
      <c r="G1003">
        <f>IF(Table13[[#This Row],[New Pos L]]&lt;&gt;0,Table13[[#This Row],[New Pos L]],Table13[[#This Row],[New Pos R]])</f>
        <v>37</v>
      </c>
      <c r="H1003">
        <f>IF(AND(Table13[[#This Row],[Direction]]="L",Table13[[#This Row],[Steps]]&gt;G1002,G1002&lt;&gt;0),1,0)</f>
        <v>0</v>
      </c>
      <c r="I1003">
        <f>IF(AND(Table13[[#This Row],[Direction]]="R",(G1002+Table13[[#This Row],[Steps]])&gt;100),1,0)</f>
        <v>0</v>
      </c>
      <c r="J1003">
        <f>IF(Table13[[#This Row],[POS]]=0,1,0)</f>
        <v>0</v>
      </c>
      <c r="K1003">
        <f>SUM(Table13[[#This Row],[prefix]],Table13[[#This Row],[Past zero L]],Table13[[#This Row],[Past Zero R]],Table13[[#This Row],[Is Zero]])</f>
        <v>0</v>
      </c>
    </row>
    <row r="1004" spans="1:11" ht="16" x14ac:dyDescent="0.2">
      <c r="A1004" s="1" t="s">
        <v>361</v>
      </c>
      <c r="B1004" t="str">
        <f>LEFT(Table13[[#This Row],[Input]],1)</f>
        <v>L</v>
      </c>
      <c r="C1004">
        <f>_xlfn.LET(_xlpm.steps,SUBSTITUTE(Table13[[#This Row],[Input]],Table13[[#This Row],[Direction]],""),VALUE(IF(LEN(_xlpm.steps)&gt;2,RIGHT(_xlpm.steps,2),_xlpm.steps)))</f>
        <v>37</v>
      </c>
      <c r="D1004">
        <f>_xlfn.LET(_xlpm.steps,SUBSTITUTE(Table13[[#This Row],[Input]],Table13[[#This Row],[Direction]],""),VALUE(IF(LEN(_xlpm.steps)&gt;2,LEFT(_xlpm.steps,LEN(_xlpm.steps)-2),0)))</f>
        <v>6</v>
      </c>
      <c r="E1004">
        <f>_xlfn.LET(_xlpm.dir,Table13[[#This Row],[Direction]],
IF(_xlpm.dir="L",
    IF(G1003-Table13[[#This Row],[Steps]]&lt;0,100+(G1003-Table13[[#This Row],[Steps]]),G1003-Table13[[#This Row],[Steps]]),
))</f>
        <v>0</v>
      </c>
      <c r="F1004">
        <f>_xlfn.LET(_xlpm.dir,Table13[[#This Row],[Direction]],
IF(_xlpm.dir="R",
    IF(G1003+Table13[[#This Row],[Steps]]&gt;99,(G1003+Table13[[#This Row],[Steps]])-100,G1003+Table13[[#This Row],[Steps]]),
))</f>
        <v>0</v>
      </c>
      <c r="G1004">
        <f>IF(Table13[[#This Row],[New Pos L]]&lt;&gt;0,Table13[[#This Row],[New Pos L]],Table13[[#This Row],[New Pos R]])</f>
        <v>0</v>
      </c>
      <c r="H1004">
        <f>IF(AND(Table13[[#This Row],[Direction]]="L",Table13[[#This Row],[Steps]]&gt;G1003,G1003&lt;&gt;0),1,0)</f>
        <v>0</v>
      </c>
      <c r="I1004">
        <f>IF(AND(Table13[[#This Row],[Direction]]="R",(G1003+Table13[[#This Row],[Steps]])&gt;100),1,0)</f>
        <v>0</v>
      </c>
      <c r="J1004">
        <f>IF(Table13[[#This Row],[POS]]=0,1,0)</f>
        <v>1</v>
      </c>
      <c r="K1004">
        <f>SUM(Table13[[#This Row],[prefix]],Table13[[#This Row],[Past zero L]],Table13[[#This Row],[Past Zero R]],Table13[[#This Row],[Is Zero]])</f>
        <v>7</v>
      </c>
    </row>
    <row r="1005" spans="1:11" ht="16" x14ac:dyDescent="0.2">
      <c r="A1005" s="1" t="s">
        <v>3</v>
      </c>
      <c r="B1005" t="str">
        <f>LEFT(Table13[[#This Row],[Input]],1)</f>
        <v>R</v>
      </c>
      <c r="C1005">
        <f>_xlfn.LET(_xlpm.steps,SUBSTITUTE(Table13[[#This Row],[Input]],Table13[[#This Row],[Direction]],""),VALUE(IF(LEN(_xlpm.steps)&gt;2,RIGHT(_xlpm.steps,2),_xlpm.steps)))</f>
        <v>44</v>
      </c>
      <c r="D1005">
        <f>_xlfn.LET(_xlpm.steps,SUBSTITUTE(Table13[[#This Row],[Input]],Table13[[#This Row],[Direction]],""),VALUE(IF(LEN(_xlpm.steps)&gt;2,LEFT(_xlpm.steps,LEN(_xlpm.steps)-2),0)))</f>
        <v>0</v>
      </c>
      <c r="E1005">
        <f>_xlfn.LET(_xlpm.dir,Table13[[#This Row],[Direction]],
IF(_xlpm.dir="L",
    IF(G1004-Table13[[#This Row],[Steps]]&lt;0,100+(G1004-Table13[[#This Row],[Steps]]),G1004-Table13[[#This Row],[Steps]]),
))</f>
        <v>0</v>
      </c>
      <c r="F1005">
        <f>_xlfn.LET(_xlpm.dir,Table13[[#This Row],[Direction]],
IF(_xlpm.dir="R",
    IF(G1004+Table13[[#This Row],[Steps]]&gt;99,(G1004+Table13[[#This Row],[Steps]])-100,G1004+Table13[[#This Row],[Steps]]),
))</f>
        <v>44</v>
      </c>
      <c r="G1005">
        <f>IF(Table13[[#This Row],[New Pos L]]&lt;&gt;0,Table13[[#This Row],[New Pos L]],Table13[[#This Row],[New Pos R]])</f>
        <v>44</v>
      </c>
      <c r="H1005">
        <f>IF(AND(Table13[[#This Row],[Direction]]="L",Table13[[#This Row],[Steps]]&gt;G1004,G1004&lt;&gt;0),1,0)</f>
        <v>0</v>
      </c>
      <c r="I1005">
        <f>IF(AND(Table13[[#This Row],[Direction]]="R",(G1004+Table13[[#This Row],[Steps]])&gt;100),1,0)</f>
        <v>0</v>
      </c>
      <c r="J1005">
        <f>IF(Table13[[#This Row],[POS]]=0,1,0)</f>
        <v>0</v>
      </c>
      <c r="K1005">
        <f>SUM(Table13[[#This Row],[prefix]],Table13[[#This Row],[Past zero L]],Table13[[#This Row],[Past Zero R]],Table13[[#This Row],[Is Zero]])</f>
        <v>0</v>
      </c>
    </row>
    <row r="1006" spans="1:11" ht="16" x14ac:dyDescent="0.2">
      <c r="A1006" s="1" t="s">
        <v>362</v>
      </c>
      <c r="B1006" t="str">
        <f>LEFT(Table13[[#This Row],[Input]],1)</f>
        <v>L</v>
      </c>
      <c r="C1006">
        <f>_xlfn.LET(_xlpm.steps,SUBSTITUTE(Table13[[#This Row],[Input]],Table13[[#This Row],[Direction]],""),VALUE(IF(LEN(_xlpm.steps)&gt;2,RIGHT(_xlpm.steps,2),_xlpm.steps)))</f>
        <v>15</v>
      </c>
      <c r="D1006">
        <f>_xlfn.LET(_xlpm.steps,SUBSTITUTE(Table13[[#This Row],[Input]],Table13[[#This Row],[Direction]],""),VALUE(IF(LEN(_xlpm.steps)&gt;2,LEFT(_xlpm.steps,LEN(_xlpm.steps)-2),0)))</f>
        <v>3</v>
      </c>
      <c r="E1006">
        <f>_xlfn.LET(_xlpm.dir,Table13[[#This Row],[Direction]],
IF(_xlpm.dir="L",
    IF(G1005-Table13[[#This Row],[Steps]]&lt;0,100+(G1005-Table13[[#This Row],[Steps]]),G1005-Table13[[#This Row],[Steps]]),
))</f>
        <v>29</v>
      </c>
      <c r="F1006">
        <f>_xlfn.LET(_xlpm.dir,Table13[[#This Row],[Direction]],
IF(_xlpm.dir="R",
    IF(G1005+Table13[[#This Row],[Steps]]&gt;99,(G1005+Table13[[#This Row],[Steps]])-100,G1005+Table13[[#This Row],[Steps]]),
))</f>
        <v>0</v>
      </c>
      <c r="G1006">
        <f>IF(Table13[[#This Row],[New Pos L]]&lt;&gt;0,Table13[[#This Row],[New Pos L]],Table13[[#This Row],[New Pos R]])</f>
        <v>29</v>
      </c>
      <c r="H1006">
        <f>IF(AND(Table13[[#This Row],[Direction]]="L",Table13[[#This Row],[Steps]]&gt;G1005,G1005&lt;&gt;0),1,0)</f>
        <v>0</v>
      </c>
      <c r="I1006">
        <f>IF(AND(Table13[[#This Row],[Direction]]="R",(G1005+Table13[[#This Row],[Steps]])&gt;100),1,0)</f>
        <v>0</v>
      </c>
      <c r="J1006">
        <f>IF(Table13[[#This Row],[POS]]=0,1,0)</f>
        <v>0</v>
      </c>
      <c r="K1006">
        <f>SUM(Table13[[#This Row],[prefix]],Table13[[#This Row],[Past zero L]],Table13[[#This Row],[Past Zero R]],Table13[[#This Row],[Is Zero]])</f>
        <v>3</v>
      </c>
    </row>
    <row r="1007" spans="1:11" ht="16" x14ac:dyDescent="0.2">
      <c r="A1007" s="1" t="s">
        <v>129</v>
      </c>
      <c r="B1007" t="str">
        <f>LEFT(Table13[[#This Row],[Input]],1)</f>
        <v>R</v>
      </c>
      <c r="C1007">
        <f>_xlfn.LET(_xlpm.steps,SUBSTITUTE(Table13[[#This Row],[Input]],Table13[[#This Row],[Direction]],""),VALUE(IF(LEN(_xlpm.steps)&gt;2,RIGHT(_xlpm.steps,2),_xlpm.steps)))</f>
        <v>8</v>
      </c>
      <c r="D1007">
        <f>_xlfn.LET(_xlpm.steps,SUBSTITUTE(Table13[[#This Row],[Input]],Table13[[#This Row],[Direction]],""),VALUE(IF(LEN(_xlpm.steps)&gt;2,LEFT(_xlpm.steps,LEN(_xlpm.steps)-2),0)))</f>
        <v>0</v>
      </c>
      <c r="E1007">
        <f>_xlfn.LET(_xlpm.dir,Table13[[#This Row],[Direction]],
IF(_xlpm.dir="L",
    IF(G1006-Table13[[#This Row],[Steps]]&lt;0,100+(G1006-Table13[[#This Row],[Steps]]),G1006-Table13[[#This Row],[Steps]]),
))</f>
        <v>0</v>
      </c>
      <c r="F1007">
        <f>_xlfn.LET(_xlpm.dir,Table13[[#This Row],[Direction]],
IF(_xlpm.dir="R",
    IF(G1006+Table13[[#This Row],[Steps]]&gt;99,(G1006+Table13[[#This Row],[Steps]])-100,G1006+Table13[[#This Row],[Steps]]),
))</f>
        <v>37</v>
      </c>
      <c r="G1007">
        <f>IF(Table13[[#This Row],[New Pos L]]&lt;&gt;0,Table13[[#This Row],[New Pos L]],Table13[[#This Row],[New Pos R]])</f>
        <v>37</v>
      </c>
      <c r="H1007">
        <f>IF(AND(Table13[[#This Row],[Direction]]="L",Table13[[#This Row],[Steps]]&gt;G1006,G1006&lt;&gt;0),1,0)</f>
        <v>0</v>
      </c>
      <c r="I1007">
        <f>IF(AND(Table13[[#This Row],[Direction]]="R",(G1006+Table13[[#This Row],[Steps]])&gt;100),1,0)</f>
        <v>0</v>
      </c>
      <c r="J1007">
        <f>IF(Table13[[#This Row],[POS]]=0,1,0)</f>
        <v>0</v>
      </c>
      <c r="K1007">
        <f>SUM(Table13[[#This Row],[prefix]],Table13[[#This Row],[Past zero L]],Table13[[#This Row],[Past Zero R]],Table13[[#This Row],[Is Zero]])</f>
        <v>0</v>
      </c>
    </row>
    <row r="1008" spans="1:11" ht="16" x14ac:dyDescent="0.2">
      <c r="A1008" s="1" t="s">
        <v>363</v>
      </c>
      <c r="B1008" t="str">
        <f>LEFT(Table13[[#This Row],[Input]],1)</f>
        <v>R</v>
      </c>
      <c r="C1008">
        <f>_xlfn.LET(_xlpm.steps,SUBSTITUTE(Table13[[#This Row],[Input]],Table13[[#This Row],[Direction]],""),VALUE(IF(LEN(_xlpm.steps)&gt;2,RIGHT(_xlpm.steps,2),_xlpm.steps)))</f>
        <v>63</v>
      </c>
      <c r="D1008">
        <f>_xlfn.LET(_xlpm.steps,SUBSTITUTE(Table13[[#This Row],[Input]],Table13[[#This Row],[Direction]],""),VALUE(IF(LEN(_xlpm.steps)&gt;2,LEFT(_xlpm.steps,LEN(_xlpm.steps)-2),0)))</f>
        <v>0</v>
      </c>
      <c r="E1008">
        <f>_xlfn.LET(_xlpm.dir,Table13[[#This Row],[Direction]],
IF(_xlpm.dir="L",
    IF(G1007-Table13[[#This Row],[Steps]]&lt;0,100+(G1007-Table13[[#This Row],[Steps]]),G1007-Table13[[#This Row],[Steps]]),
))</f>
        <v>0</v>
      </c>
      <c r="F1008">
        <f>_xlfn.LET(_xlpm.dir,Table13[[#This Row],[Direction]],
IF(_xlpm.dir="R",
    IF(G1007+Table13[[#This Row],[Steps]]&gt;99,(G1007+Table13[[#This Row],[Steps]])-100,G1007+Table13[[#This Row],[Steps]]),
))</f>
        <v>0</v>
      </c>
      <c r="G1008">
        <f>IF(Table13[[#This Row],[New Pos L]]&lt;&gt;0,Table13[[#This Row],[New Pos L]],Table13[[#This Row],[New Pos R]])</f>
        <v>0</v>
      </c>
      <c r="H1008">
        <f>IF(AND(Table13[[#This Row],[Direction]]="L",Table13[[#This Row],[Steps]]&gt;G1007,G1007&lt;&gt;0),1,0)</f>
        <v>0</v>
      </c>
      <c r="I1008">
        <f>IF(AND(Table13[[#This Row],[Direction]]="R",(G1007+Table13[[#This Row],[Steps]])&gt;100),1,0)</f>
        <v>0</v>
      </c>
      <c r="J1008">
        <f>IF(Table13[[#This Row],[POS]]=0,1,0)</f>
        <v>1</v>
      </c>
      <c r="K1008">
        <f>SUM(Table13[[#This Row],[prefix]],Table13[[#This Row],[Past zero L]],Table13[[#This Row],[Past Zero R]],Table13[[#This Row],[Is Zero]])</f>
        <v>1</v>
      </c>
    </row>
    <row r="1009" spans="1:11" ht="16" x14ac:dyDescent="0.2">
      <c r="A1009" s="1" t="s">
        <v>37</v>
      </c>
      <c r="B1009" t="str">
        <f>LEFT(Table13[[#This Row],[Input]],1)</f>
        <v>L</v>
      </c>
      <c r="C1009">
        <f>_xlfn.LET(_xlpm.steps,SUBSTITUTE(Table13[[#This Row],[Input]],Table13[[#This Row],[Direction]],""),VALUE(IF(LEN(_xlpm.steps)&gt;2,RIGHT(_xlpm.steps,2),_xlpm.steps)))</f>
        <v>42</v>
      </c>
      <c r="D1009">
        <f>_xlfn.LET(_xlpm.steps,SUBSTITUTE(Table13[[#This Row],[Input]],Table13[[#This Row],[Direction]],""),VALUE(IF(LEN(_xlpm.steps)&gt;2,LEFT(_xlpm.steps,LEN(_xlpm.steps)-2),0)))</f>
        <v>0</v>
      </c>
      <c r="E1009">
        <f>_xlfn.LET(_xlpm.dir,Table13[[#This Row],[Direction]],
IF(_xlpm.dir="L",
    IF(G1008-Table13[[#This Row],[Steps]]&lt;0,100+(G1008-Table13[[#This Row],[Steps]]),G1008-Table13[[#This Row],[Steps]]),
))</f>
        <v>58</v>
      </c>
      <c r="F1009">
        <f>_xlfn.LET(_xlpm.dir,Table13[[#This Row],[Direction]],
IF(_xlpm.dir="R",
    IF(G1008+Table13[[#This Row],[Steps]]&gt;99,(G1008+Table13[[#This Row],[Steps]])-100,G1008+Table13[[#This Row],[Steps]]),
))</f>
        <v>0</v>
      </c>
      <c r="G1009">
        <f>IF(Table13[[#This Row],[New Pos L]]&lt;&gt;0,Table13[[#This Row],[New Pos L]],Table13[[#This Row],[New Pos R]])</f>
        <v>58</v>
      </c>
      <c r="H1009">
        <f>IF(AND(Table13[[#This Row],[Direction]]="L",Table13[[#This Row],[Steps]]&gt;G1008,G1008&lt;&gt;0),1,0)</f>
        <v>0</v>
      </c>
      <c r="I1009">
        <f>IF(AND(Table13[[#This Row],[Direction]]="R",(G1008+Table13[[#This Row],[Steps]])&gt;100),1,0)</f>
        <v>0</v>
      </c>
      <c r="J1009">
        <f>IF(Table13[[#This Row],[POS]]=0,1,0)</f>
        <v>0</v>
      </c>
      <c r="K1009">
        <f>SUM(Table13[[#This Row],[prefix]],Table13[[#This Row],[Past zero L]],Table13[[#This Row],[Past Zero R]],Table13[[#This Row],[Is Zero]])</f>
        <v>0</v>
      </c>
    </row>
    <row r="1010" spans="1:11" ht="16" x14ac:dyDescent="0.2">
      <c r="A1010" s="1" t="s">
        <v>116</v>
      </c>
      <c r="B1010" t="str">
        <f>LEFT(Table13[[#This Row],[Input]],1)</f>
        <v>L</v>
      </c>
      <c r="C1010">
        <f>_xlfn.LET(_xlpm.steps,SUBSTITUTE(Table13[[#This Row],[Input]],Table13[[#This Row],[Direction]],""),VALUE(IF(LEN(_xlpm.steps)&gt;2,RIGHT(_xlpm.steps,2),_xlpm.steps)))</f>
        <v>58</v>
      </c>
      <c r="D1010">
        <f>_xlfn.LET(_xlpm.steps,SUBSTITUTE(Table13[[#This Row],[Input]],Table13[[#This Row],[Direction]],""),VALUE(IF(LEN(_xlpm.steps)&gt;2,LEFT(_xlpm.steps,LEN(_xlpm.steps)-2),0)))</f>
        <v>0</v>
      </c>
      <c r="E1010">
        <f>_xlfn.LET(_xlpm.dir,Table13[[#This Row],[Direction]],
IF(_xlpm.dir="L",
    IF(G1009-Table13[[#This Row],[Steps]]&lt;0,100+(G1009-Table13[[#This Row],[Steps]]),G1009-Table13[[#This Row],[Steps]]),
))</f>
        <v>0</v>
      </c>
      <c r="F1010">
        <f>_xlfn.LET(_xlpm.dir,Table13[[#This Row],[Direction]],
IF(_xlpm.dir="R",
    IF(G1009+Table13[[#This Row],[Steps]]&gt;99,(G1009+Table13[[#This Row],[Steps]])-100,G1009+Table13[[#This Row],[Steps]]),
))</f>
        <v>0</v>
      </c>
      <c r="G1010">
        <f>IF(Table13[[#This Row],[New Pos L]]&lt;&gt;0,Table13[[#This Row],[New Pos L]],Table13[[#This Row],[New Pos R]])</f>
        <v>0</v>
      </c>
      <c r="H1010">
        <f>IF(AND(Table13[[#This Row],[Direction]]="L",Table13[[#This Row],[Steps]]&gt;G1009,G1009&lt;&gt;0),1,0)</f>
        <v>0</v>
      </c>
      <c r="I1010">
        <f>IF(AND(Table13[[#This Row],[Direction]]="R",(G1009+Table13[[#This Row],[Steps]])&gt;100),1,0)</f>
        <v>0</v>
      </c>
      <c r="J1010">
        <f>IF(Table13[[#This Row],[POS]]=0,1,0)</f>
        <v>1</v>
      </c>
      <c r="K1010">
        <f>SUM(Table13[[#This Row],[prefix]],Table13[[#This Row],[Past zero L]],Table13[[#This Row],[Past Zero R]],Table13[[#This Row],[Is Zero]])</f>
        <v>1</v>
      </c>
    </row>
    <row r="1011" spans="1:11" ht="16" x14ac:dyDescent="0.2">
      <c r="A1011" s="1" t="s">
        <v>364</v>
      </c>
      <c r="B1011" t="str">
        <f>LEFT(Table13[[#This Row],[Input]],1)</f>
        <v>L</v>
      </c>
      <c r="C1011">
        <f>_xlfn.LET(_xlpm.steps,SUBSTITUTE(Table13[[#This Row],[Input]],Table13[[#This Row],[Direction]],""),VALUE(IF(LEN(_xlpm.steps)&gt;2,RIGHT(_xlpm.steps,2),_xlpm.steps)))</f>
        <v>70</v>
      </c>
      <c r="D1011">
        <f>_xlfn.LET(_xlpm.steps,SUBSTITUTE(Table13[[#This Row],[Input]],Table13[[#This Row],[Direction]],""),VALUE(IF(LEN(_xlpm.steps)&gt;2,LEFT(_xlpm.steps,LEN(_xlpm.steps)-2),0)))</f>
        <v>0</v>
      </c>
      <c r="E1011">
        <f>_xlfn.LET(_xlpm.dir,Table13[[#This Row],[Direction]],
IF(_xlpm.dir="L",
    IF(G1010-Table13[[#This Row],[Steps]]&lt;0,100+(G1010-Table13[[#This Row],[Steps]]),G1010-Table13[[#This Row],[Steps]]),
))</f>
        <v>30</v>
      </c>
      <c r="F1011">
        <f>_xlfn.LET(_xlpm.dir,Table13[[#This Row],[Direction]],
IF(_xlpm.dir="R",
    IF(G1010+Table13[[#This Row],[Steps]]&gt;99,(G1010+Table13[[#This Row],[Steps]])-100,G1010+Table13[[#This Row],[Steps]]),
))</f>
        <v>0</v>
      </c>
      <c r="G1011">
        <f>IF(Table13[[#This Row],[New Pos L]]&lt;&gt;0,Table13[[#This Row],[New Pos L]],Table13[[#This Row],[New Pos R]])</f>
        <v>30</v>
      </c>
      <c r="H1011">
        <f>IF(AND(Table13[[#This Row],[Direction]]="L",Table13[[#This Row],[Steps]]&gt;G1010,G1010&lt;&gt;0),1,0)</f>
        <v>0</v>
      </c>
      <c r="I1011">
        <f>IF(AND(Table13[[#This Row],[Direction]]="R",(G1010+Table13[[#This Row],[Steps]])&gt;100),1,0)</f>
        <v>0</v>
      </c>
      <c r="J1011">
        <f>IF(Table13[[#This Row],[POS]]=0,1,0)</f>
        <v>0</v>
      </c>
      <c r="K1011">
        <f>SUM(Table13[[#This Row],[prefix]],Table13[[#This Row],[Past zero L]],Table13[[#This Row],[Past Zero R]],Table13[[#This Row],[Is Zero]])</f>
        <v>0</v>
      </c>
    </row>
    <row r="1012" spans="1:11" ht="16" x14ac:dyDescent="0.2">
      <c r="A1012" s="1" t="s">
        <v>58</v>
      </c>
      <c r="B1012" t="str">
        <f>LEFT(Table13[[#This Row],[Input]],1)</f>
        <v>L</v>
      </c>
      <c r="C1012">
        <f>_xlfn.LET(_xlpm.steps,SUBSTITUTE(Table13[[#This Row],[Input]],Table13[[#This Row],[Direction]],""),VALUE(IF(LEN(_xlpm.steps)&gt;2,RIGHT(_xlpm.steps,2),_xlpm.steps)))</f>
        <v>30</v>
      </c>
      <c r="D1012">
        <f>_xlfn.LET(_xlpm.steps,SUBSTITUTE(Table13[[#This Row],[Input]],Table13[[#This Row],[Direction]],""),VALUE(IF(LEN(_xlpm.steps)&gt;2,LEFT(_xlpm.steps,LEN(_xlpm.steps)-2),0)))</f>
        <v>0</v>
      </c>
      <c r="E1012">
        <f>_xlfn.LET(_xlpm.dir,Table13[[#This Row],[Direction]],
IF(_xlpm.dir="L",
    IF(G1011-Table13[[#This Row],[Steps]]&lt;0,100+(G1011-Table13[[#This Row],[Steps]]),G1011-Table13[[#This Row],[Steps]]),
))</f>
        <v>0</v>
      </c>
      <c r="F1012">
        <f>_xlfn.LET(_xlpm.dir,Table13[[#This Row],[Direction]],
IF(_xlpm.dir="R",
    IF(G1011+Table13[[#This Row],[Steps]]&gt;99,(G1011+Table13[[#This Row],[Steps]])-100,G1011+Table13[[#This Row],[Steps]]),
))</f>
        <v>0</v>
      </c>
      <c r="G1012">
        <f>IF(Table13[[#This Row],[New Pos L]]&lt;&gt;0,Table13[[#This Row],[New Pos L]],Table13[[#This Row],[New Pos R]])</f>
        <v>0</v>
      </c>
      <c r="H1012">
        <f>IF(AND(Table13[[#This Row],[Direction]]="L",Table13[[#This Row],[Steps]]&gt;G1011,G1011&lt;&gt;0),1,0)</f>
        <v>0</v>
      </c>
      <c r="I1012">
        <f>IF(AND(Table13[[#This Row],[Direction]]="R",(G1011+Table13[[#This Row],[Steps]])&gt;100),1,0)</f>
        <v>0</v>
      </c>
      <c r="J1012">
        <f>IF(Table13[[#This Row],[POS]]=0,1,0)</f>
        <v>1</v>
      </c>
      <c r="K1012">
        <f>SUM(Table13[[#This Row],[prefix]],Table13[[#This Row],[Past zero L]],Table13[[#This Row],[Past Zero R]],Table13[[#This Row],[Is Zero]])</f>
        <v>1</v>
      </c>
    </row>
    <row r="1013" spans="1:11" ht="16" x14ac:dyDescent="0.2">
      <c r="A1013" s="1" t="s">
        <v>114</v>
      </c>
      <c r="B1013" t="str">
        <f>LEFT(Table13[[#This Row],[Input]],1)</f>
        <v>R</v>
      </c>
      <c r="C1013">
        <f>_xlfn.LET(_xlpm.steps,SUBSTITUTE(Table13[[#This Row],[Input]],Table13[[#This Row],[Direction]],""),VALUE(IF(LEN(_xlpm.steps)&gt;2,RIGHT(_xlpm.steps,2),_xlpm.steps)))</f>
        <v>70</v>
      </c>
      <c r="D1013">
        <f>_xlfn.LET(_xlpm.steps,SUBSTITUTE(Table13[[#This Row],[Input]],Table13[[#This Row],[Direction]],""),VALUE(IF(LEN(_xlpm.steps)&gt;2,LEFT(_xlpm.steps,LEN(_xlpm.steps)-2),0)))</f>
        <v>0</v>
      </c>
      <c r="E1013">
        <f>_xlfn.LET(_xlpm.dir,Table13[[#This Row],[Direction]],
IF(_xlpm.dir="L",
    IF(G1012-Table13[[#This Row],[Steps]]&lt;0,100+(G1012-Table13[[#This Row],[Steps]]),G1012-Table13[[#This Row],[Steps]]),
))</f>
        <v>0</v>
      </c>
      <c r="F1013">
        <f>_xlfn.LET(_xlpm.dir,Table13[[#This Row],[Direction]],
IF(_xlpm.dir="R",
    IF(G1012+Table13[[#This Row],[Steps]]&gt;99,(G1012+Table13[[#This Row],[Steps]])-100,G1012+Table13[[#This Row],[Steps]]),
))</f>
        <v>70</v>
      </c>
      <c r="G1013">
        <f>IF(Table13[[#This Row],[New Pos L]]&lt;&gt;0,Table13[[#This Row],[New Pos L]],Table13[[#This Row],[New Pos R]])</f>
        <v>70</v>
      </c>
      <c r="H1013">
        <f>IF(AND(Table13[[#This Row],[Direction]]="L",Table13[[#This Row],[Steps]]&gt;G1012,G1012&lt;&gt;0),1,0)</f>
        <v>0</v>
      </c>
      <c r="I1013">
        <f>IF(AND(Table13[[#This Row],[Direction]]="R",(G1012+Table13[[#This Row],[Steps]])&gt;100),1,0)</f>
        <v>0</v>
      </c>
      <c r="J1013">
        <f>IF(Table13[[#This Row],[POS]]=0,1,0)</f>
        <v>0</v>
      </c>
      <c r="K1013">
        <f>SUM(Table13[[#This Row],[prefix]],Table13[[#This Row],[Past zero L]],Table13[[#This Row],[Past Zero R]],Table13[[#This Row],[Is Zero]])</f>
        <v>0</v>
      </c>
    </row>
    <row r="1014" spans="1:11" ht="16" x14ac:dyDescent="0.2">
      <c r="A1014" s="1" t="s">
        <v>89</v>
      </c>
      <c r="B1014" t="str">
        <f>LEFT(Table13[[#This Row],[Input]],1)</f>
        <v>L</v>
      </c>
      <c r="C1014">
        <f>_xlfn.LET(_xlpm.steps,SUBSTITUTE(Table13[[#This Row],[Input]],Table13[[#This Row],[Direction]],""),VALUE(IF(LEN(_xlpm.steps)&gt;2,RIGHT(_xlpm.steps,2),_xlpm.steps)))</f>
        <v>91</v>
      </c>
      <c r="D1014">
        <f>_xlfn.LET(_xlpm.steps,SUBSTITUTE(Table13[[#This Row],[Input]],Table13[[#This Row],[Direction]],""),VALUE(IF(LEN(_xlpm.steps)&gt;2,LEFT(_xlpm.steps,LEN(_xlpm.steps)-2),0)))</f>
        <v>0</v>
      </c>
      <c r="E1014">
        <f>_xlfn.LET(_xlpm.dir,Table13[[#This Row],[Direction]],
IF(_xlpm.dir="L",
    IF(G1013-Table13[[#This Row],[Steps]]&lt;0,100+(G1013-Table13[[#This Row],[Steps]]),G1013-Table13[[#This Row],[Steps]]),
))</f>
        <v>79</v>
      </c>
      <c r="F1014">
        <f>_xlfn.LET(_xlpm.dir,Table13[[#This Row],[Direction]],
IF(_xlpm.dir="R",
    IF(G1013+Table13[[#This Row],[Steps]]&gt;99,(G1013+Table13[[#This Row],[Steps]])-100,G1013+Table13[[#This Row],[Steps]]),
))</f>
        <v>0</v>
      </c>
      <c r="G1014">
        <f>IF(Table13[[#This Row],[New Pos L]]&lt;&gt;0,Table13[[#This Row],[New Pos L]],Table13[[#This Row],[New Pos R]])</f>
        <v>79</v>
      </c>
      <c r="H1014">
        <f>IF(AND(Table13[[#This Row],[Direction]]="L",Table13[[#This Row],[Steps]]&gt;G1013,G1013&lt;&gt;0),1,0)</f>
        <v>1</v>
      </c>
      <c r="I1014">
        <f>IF(AND(Table13[[#This Row],[Direction]]="R",(G1013+Table13[[#This Row],[Steps]])&gt;100),1,0)</f>
        <v>0</v>
      </c>
      <c r="J1014">
        <f>IF(Table13[[#This Row],[POS]]=0,1,0)</f>
        <v>0</v>
      </c>
      <c r="K1014">
        <f>SUM(Table13[[#This Row],[prefix]],Table13[[#This Row],[Past zero L]],Table13[[#This Row],[Past Zero R]],Table13[[#This Row],[Is Zero]])</f>
        <v>1</v>
      </c>
    </row>
    <row r="1015" spans="1:11" ht="16" x14ac:dyDescent="0.2">
      <c r="A1015" s="1" t="s">
        <v>365</v>
      </c>
      <c r="B1015" t="str">
        <f>LEFT(Table13[[#This Row],[Input]],1)</f>
        <v>R</v>
      </c>
      <c r="C1015">
        <f>_xlfn.LET(_xlpm.steps,SUBSTITUTE(Table13[[#This Row],[Input]],Table13[[#This Row],[Direction]],""),VALUE(IF(LEN(_xlpm.steps)&gt;2,RIGHT(_xlpm.steps,2),_xlpm.steps)))</f>
        <v>37</v>
      </c>
      <c r="D1015">
        <f>_xlfn.LET(_xlpm.steps,SUBSTITUTE(Table13[[#This Row],[Input]],Table13[[#This Row],[Direction]],""),VALUE(IF(LEN(_xlpm.steps)&gt;2,LEFT(_xlpm.steps,LEN(_xlpm.steps)-2),0)))</f>
        <v>8</v>
      </c>
      <c r="E1015">
        <f>_xlfn.LET(_xlpm.dir,Table13[[#This Row],[Direction]],
IF(_xlpm.dir="L",
    IF(G1014-Table13[[#This Row],[Steps]]&lt;0,100+(G1014-Table13[[#This Row],[Steps]]),G1014-Table13[[#This Row],[Steps]]),
))</f>
        <v>0</v>
      </c>
      <c r="F1015">
        <f>_xlfn.LET(_xlpm.dir,Table13[[#This Row],[Direction]],
IF(_xlpm.dir="R",
    IF(G1014+Table13[[#This Row],[Steps]]&gt;99,(G1014+Table13[[#This Row],[Steps]])-100,G1014+Table13[[#This Row],[Steps]]),
))</f>
        <v>16</v>
      </c>
      <c r="G1015">
        <f>IF(Table13[[#This Row],[New Pos L]]&lt;&gt;0,Table13[[#This Row],[New Pos L]],Table13[[#This Row],[New Pos R]])</f>
        <v>16</v>
      </c>
      <c r="H1015">
        <f>IF(AND(Table13[[#This Row],[Direction]]="L",Table13[[#This Row],[Steps]]&gt;G1014,G1014&lt;&gt;0),1,0)</f>
        <v>0</v>
      </c>
      <c r="I1015">
        <f>IF(AND(Table13[[#This Row],[Direction]]="R",(G1014+Table13[[#This Row],[Steps]])&gt;100),1,0)</f>
        <v>1</v>
      </c>
      <c r="J1015">
        <f>IF(Table13[[#This Row],[POS]]=0,1,0)</f>
        <v>0</v>
      </c>
      <c r="K1015">
        <f>SUM(Table13[[#This Row],[prefix]],Table13[[#This Row],[Past zero L]],Table13[[#This Row],[Past Zero R]],Table13[[#This Row],[Is Zero]])</f>
        <v>9</v>
      </c>
    </row>
    <row r="1016" spans="1:11" ht="16" x14ac:dyDescent="0.2">
      <c r="A1016" s="1" t="s">
        <v>79</v>
      </c>
      <c r="B1016" t="str">
        <f>LEFT(Table13[[#This Row],[Input]],1)</f>
        <v>L</v>
      </c>
      <c r="C1016">
        <f>_xlfn.LET(_xlpm.steps,SUBSTITUTE(Table13[[#This Row],[Input]],Table13[[#This Row],[Direction]],""),VALUE(IF(LEN(_xlpm.steps)&gt;2,RIGHT(_xlpm.steps,2),_xlpm.steps)))</f>
        <v>45</v>
      </c>
      <c r="D1016">
        <f>_xlfn.LET(_xlpm.steps,SUBSTITUTE(Table13[[#This Row],[Input]],Table13[[#This Row],[Direction]],""),VALUE(IF(LEN(_xlpm.steps)&gt;2,LEFT(_xlpm.steps,LEN(_xlpm.steps)-2),0)))</f>
        <v>0</v>
      </c>
      <c r="E1016">
        <f>_xlfn.LET(_xlpm.dir,Table13[[#This Row],[Direction]],
IF(_xlpm.dir="L",
    IF(G1015-Table13[[#This Row],[Steps]]&lt;0,100+(G1015-Table13[[#This Row],[Steps]]),G1015-Table13[[#This Row],[Steps]]),
))</f>
        <v>71</v>
      </c>
      <c r="F1016">
        <f>_xlfn.LET(_xlpm.dir,Table13[[#This Row],[Direction]],
IF(_xlpm.dir="R",
    IF(G1015+Table13[[#This Row],[Steps]]&gt;99,(G1015+Table13[[#This Row],[Steps]])-100,G1015+Table13[[#This Row],[Steps]]),
))</f>
        <v>0</v>
      </c>
      <c r="G1016">
        <f>IF(Table13[[#This Row],[New Pos L]]&lt;&gt;0,Table13[[#This Row],[New Pos L]],Table13[[#This Row],[New Pos R]])</f>
        <v>71</v>
      </c>
      <c r="H1016">
        <f>IF(AND(Table13[[#This Row],[Direction]]="L",Table13[[#This Row],[Steps]]&gt;G1015,G1015&lt;&gt;0),1,0)</f>
        <v>1</v>
      </c>
      <c r="I1016">
        <f>IF(AND(Table13[[#This Row],[Direction]]="R",(G1015+Table13[[#This Row],[Steps]])&gt;100),1,0)</f>
        <v>0</v>
      </c>
      <c r="J1016">
        <f>IF(Table13[[#This Row],[POS]]=0,1,0)</f>
        <v>0</v>
      </c>
      <c r="K1016">
        <f>SUM(Table13[[#This Row],[prefix]],Table13[[#This Row],[Past zero L]],Table13[[#This Row],[Past Zero R]],Table13[[#This Row],[Is Zero]])</f>
        <v>1</v>
      </c>
    </row>
    <row r="1017" spans="1:11" ht="16" x14ac:dyDescent="0.2">
      <c r="A1017" s="1" t="s">
        <v>17</v>
      </c>
      <c r="B1017" t="str">
        <f>LEFT(Table13[[#This Row],[Input]],1)</f>
        <v>L</v>
      </c>
      <c r="C1017">
        <f>_xlfn.LET(_xlpm.steps,SUBSTITUTE(Table13[[#This Row],[Input]],Table13[[#This Row],[Direction]],""),VALUE(IF(LEN(_xlpm.steps)&gt;2,RIGHT(_xlpm.steps,2),_xlpm.steps)))</f>
        <v>50</v>
      </c>
      <c r="D1017">
        <f>_xlfn.LET(_xlpm.steps,SUBSTITUTE(Table13[[#This Row],[Input]],Table13[[#This Row],[Direction]],""),VALUE(IF(LEN(_xlpm.steps)&gt;2,LEFT(_xlpm.steps,LEN(_xlpm.steps)-2),0)))</f>
        <v>0</v>
      </c>
      <c r="E1017">
        <f>_xlfn.LET(_xlpm.dir,Table13[[#This Row],[Direction]],
IF(_xlpm.dir="L",
    IF(G1016-Table13[[#This Row],[Steps]]&lt;0,100+(G1016-Table13[[#This Row],[Steps]]),G1016-Table13[[#This Row],[Steps]]),
))</f>
        <v>21</v>
      </c>
      <c r="F1017">
        <f>_xlfn.LET(_xlpm.dir,Table13[[#This Row],[Direction]],
IF(_xlpm.dir="R",
    IF(G1016+Table13[[#This Row],[Steps]]&gt;99,(G1016+Table13[[#This Row],[Steps]])-100,G1016+Table13[[#This Row],[Steps]]),
))</f>
        <v>0</v>
      </c>
      <c r="G1017">
        <f>IF(Table13[[#This Row],[New Pos L]]&lt;&gt;0,Table13[[#This Row],[New Pos L]],Table13[[#This Row],[New Pos R]])</f>
        <v>21</v>
      </c>
      <c r="H1017">
        <f>IF(AND(Table13[[#This Row],[Direction]]="L",Table13[[#This Row],[Steps]]&gt;G1016,G1016&lt;&gt;0),1,0)</f>
        <v>0</v>
      </c>
      <c r="I1017">
        <f>IF(AND(Table13[[#This Row],[Direction]]="R",(G1016+Table13[[#This Row],[Steps]])&gt;100),1,0)</f>
        <v>0</v>
      </c>
      <c r="J1017">
        <f>IF(Table13[[#This Row],[POS]]=0,1,0)</f>
        <v>0</v>
      </c>
      <c r="K1017">
        <f>SUM(Table13[[#This Row],[prefix]],Table13[[#This Row],[Past zero L]],Table13[[#This Row],[Past Zero R]],Table13[[#This Row],[Is Zero]])</f>
        <v>0</v>
      </c>
    </row>
    <row r="1018" spans="1:11" ht="16" x14ac:dyDescent="0.2">
      <c r="A1018" s="1" t="s">
        <v>83</v>
      </c>
      <c r="B1018" t="str">
        <f>LEFT(Table13[[#This Row],[Input]],1)</f>
        <v>R</v>
      </c>
      <c r="C1018">
        <f>_xlfn.LET(_xlpm.steps,SUBSTITUTE(Table13[[#This Row],[Input]],Table13[[#This Row],[Direction]],""),VALUE(IF(LEN(_xlpm.steps)&gt;2,RIGHT(_xlpm.steps,2),_xlpm.steps)))</f>
        <v>79</v>
      </c>
      <c r="D1018">
        <f>_xlfn.LET(_xlpm.steps,SUBSTITUTE(Table13[[#This Row],[Input]],Table13[[#This Row],[Direction]],""),VALUE(IF(LEN(_xlpm.steps)&gt;2,LEFT(_xlpm.steps,LEN(_xlpm.steps)-2),0)))</f>
        <v>0</v>
      </c>
      <c r="E1018">
        <f>_xlfn.LET(_xlpm.dir,Table13[[#This Row],[Direction]],
IF(_xlpm.dir="L",
    IF(G1017-Table13[[#This Row],[Steps]]&lt;0,100+(G1017-Table13[[#This Row],[Steps]]),G1017-Table13[[#This Row],[Steps]]),
))</f>
        <v>0</v>
      </c>
      <c r="F1018">
        <f>_xlfn.LET(_xlpm.dir,Table13[[#This Row],[Direction]],
IF(_xlpm.dir="R",
    IF(G1017+Table13[[#This Row],[Steps]]&gt;99,(G1017+Table13[[#This Row],[Steps]])-100,G1017+Table13[[#This Row],[Steps]]),
))</f>
        <v>0</v>
      </c>
      <c r="G1018">
        <f>IF(Table13[[#This Row],[New Pos L]]&lt;&gt;0,Table13[[#This Row],[New Pos L]],Table13[[#This Row],[New Pos R]])</f>
        <v>0</v>
      </c>
      <c r="H1018">
        <f>IF(AND(Table13[[#This Row],[Direction]]="L",Table13[[#This Row],[Steps]]&gt;G1017,G1017&lt;&gt;0),1,0)</f>
        <v>0</v>
      </c>
      <c r="I1018">
        <f>IF(AND(Table13[[#This Row],[Direction]]="R",(G1017+Table13[[#This Row],[Steps]])&gt;100),1,0)</f>
        <v>0</v>
      </c>
      <c r="J1018">
        <f>IF(Table13[[#This Row],[POS]]=0,1,0)</f>
        <v>1</v>
      </c>
      <c r="K1018">
        <f>SUM(Table13[[#This Row],[prefix]],Table13[[#This Row],[Past zero L]],Table13[[#This Row],[Past Zero R]],Table13[[#This Row],[Is Zero]])</f>
        <v>1</v>
      </c>
    </row>
    <row r="1019" spans="1:11" ht="16" x14ac:dyDescent="0.2">
      <c r="A1019" s="1" t="s">
        <v>60</v>
      </c>
      <c r="B1019" t="str">
        <f>LEFT(Table13[[#This Row],[Input]],1)</f>
        <v>R</v>
      </c>
      <c r="C1019">
        <f>_xlfn.LET(_xlpm.steps,SUBSTITUTE(Table13[[#This Row],[Input]],Table13[[#This Row],[Direction]],""),VALUE(IF(LEN(_xlpm.steps)&gt;2,RIGHT(_xlpm.steps,2),_xlpm.steps)))</f>
        <v>86</v>
      </c>
      <c r="D1019">
        <f>_xlfn.LET(_xlpm.steps,SUBSTITUTE(Table13[[#This Row],[Input]],Table13[[#This Row],[Direction]],""),VALUE(IF(LEN(_xlpm.steps)&gt;2,LEFT(_xlpm.steps,LEN(_xlpm.steps)-2),0)))</f>
        <v>0</v>
      </c>
      <c r="E1019">
        <f>_xlfn.LET(_xlpm.dir,Table13[[#This Row],[Direction]],
IF(_xlpm.dir="L",
    IF(G1018-Table13[[#This Row],[Steps]]&lt;0,100+(G1018-Table13[[#This Row],[Steps]]),G1018-Table13[[#This Row],[Steps]]),
))</f>
        <v>0</v>
      </c>
      <c r="F1019">
        <f>_xlfn.LET(_xlpm.dir,Table13[[#This Row],[Direction]],
IF(_xlpm.dir="R",
    IF(G1018+Table13[[#This Row],[Steps]]&gt;99,(G1018+Table13[[#This Row],[Steps]])-100,G1018+Table13[[#This Row],[Steps]]),
))</f>
        <v>86</v>
      </c>
      <c r="G1019">
        <f>IF(Table13[[#This Row],[New Pos L]]&lt;&gt;0,Table13[[#This Row],[New Pos L]],Table13[[#This Row],[New Pos R]])</f>
        <v>86</v>
      </c>
      <c r="H1019">
        <f>IF(AND(Table13[[#This Row],[Direction]]="L",Table13[[#This Row],[Steps]]&gt;G1018,G1018&lt;&gt;0),1,0)</f>
        <v>0</v>
      </c>
      <c r="I1019">
        <f>IF(AND(Table13[[#This Row],[Direction]]="R",(G1018+Table13[[#This Row],[Steps]])&gt;100),1,0)</f>
        <v>0</v>
      </c>
      <c r="J1019">
        <f>IF(Table13[[#This Row],[POS]]=0,1,0)</f>
        <v>0</v>
      </c>
      <c r="K1019">
        <f>SUM(Table13[[#This Row],[prefix]],Table13[[#This Row],[Past zero L]],Table13[[#This Row],[Past Zero R]],Table13[[#This Row],[Is Zero]])</f>
        <v>0</v>
      </c>
    </row>
    <row r="1020" spans="1:11" ht="16" x14ac:dyDescent="0.2">
      <c r="A1020" s="1" t="s">
        <v>191</v>
      </c>
      <c r="B1020" t="str">
        <f>LEFT(Table13[[#This Row],[Input]],1)</f>
        <v>L</v>
      </c>
      <c r="C1020">
        <f>_xlfn.LET(_xlpm.steps,SUBSTITUTE(Table13[[#This Row],[Input]],Table13[[#This Row],[Direction]],""),VALUE(IF(LEN(_xlpm.steps)&gt;2,RIGHT(_xlpm.steps,2),_xlpm.steps)))</f>
        <v>5</v>
      </c>
      <c r="D1020">
        <f>_xlfn.LET(_xlpm.steps,SUBSTITUTE(Table13[[#This Row],[Input]],Table13[[#This Row],[Direction]],""),VALUE(IF(LEN(_xlpm.steps)&gt;2,LEFT(_xlpm.steps,LEN(_xlpm.steps)-2),0)))</f>
        <v>0</v>
      </c>
      <c r="E1020">
        <f>_xlfn.LET(_xlpm.dir,Table13[[#This Row],[Direction]],
IF(_xlpm.dir="L",
    IF(G1019-Table13[[#This Row],[Steps]]&lt;0,100+(G1019-Table13[[#This Row],[Steps]]),G1019-Table13[[#This Row],[Steps]]),
))</f>
        <v>81</v>
      </c>
      <c r="F1020">
        <f>_xlfn.LET(_xlpm.dir,Table13[[#This Row],[Direction]],
IF(_xlpm.dir="R",
    IF(G1019+Table13[[#This Row],[Steps]]&gt;99,(G1019+Table13[[#This Row],[Steps]])-100,G1019+Table13[[#This Row],[Steps]]),
))</f>
        <v>0</v>
      </c>
      <c r="G1020">
        <f>IF(Table13[[#This Row],[New Pos L]]&lt;&gt;0,Table13[[#This Row],[New Pos L]],Table13[[#This Row],[New Pos R]])</f>
        <v>81</v>
      </c>
      <c r="H1020">
        <f>IF(AND(Table13[[#This Row],[Direction]]="L",Table13[[#This Row],[Steps]]&gt;G1019,G1019&lt;&gt;0),1,0)</f>
        <v>0</v>
      </c>
      <c r="I1020">
        <f>IF(AND(Table13[[#This Row],[Direction]]="R",(G1019+Table13[[#This Row],[Steps]])&gt;100),1,0)</f>
        <v>0</v>
      </c>
      <c r="J1020">
        <f>IF(Table13[[#This Row],[POS]]=0,1,0)</f>
        <v>0</v>
      </c>
      <c r="K1020">
        <f>SUM(Table13[[#This Row],[prefix]],Table13[[#This Row],[Past zero L]],Table13[[#This Row],[Past Zero R]],Table13[[#This Row],[Is Zero]])</f>
        <v>0</v>
      </c>
    </row>
    <row r="1021" spans="1:11" ht="16" x14ac:dyDescent="0.2">
      <c r="A1021" s="1" t="s">
        <v>363</v>
      </c>
      <c r="B1021" t="str">
        <f>LEFT(Table13[[#This Row],[Input]],1)</f>
        <v>R</v>
      </c>
      <c r="C1021">
        <f>_xlfn.LET(_xlpm.steps,SUBSTITUTE(Table13[[#This Row],[Input]],Table13[[#This Row],[Direction]],""),VALUE(IF(LEN(_xlpm.steps)&gt;2,RIGHT(_xlpm.steps,2),_xlpm.steps)))</f>
        <v>63</v>
      </c>
      <c r="D1021">
        <f>_xlfn.LET(_xlpm.steps,SUBSTITUTE(Table13[[#This Row],[Input]],Table13[[#This Row],[Direction]],""),VALUE(IF(LEN(_xlpm.steps)&gt;2,LEFT(_xlpm.steps,LEN(_xlpm.steps)-2),0)))</f>
        <v>0</v>
      </c>
      <c r="E1021">
        <f>_xlfn.LET(_xlpm.dir,Table13[[#This Row],[Direction]],
IF(_xlpm.dir="L",
    IF(G1020-Table13[[#This Row],[Steps]]&lt;0,100+(G1020-Table13[[#This Row],[Steps]]),G1020-Table13[[#This Row],[Steps]]),
))</f>
        <v>0</v>
      </c>
      <c r="F1021">
        <f>_xlfn.LET(_xlpm.dir,Table13[[#This Row],[Direction]],
IF(_xlpm.dir="R",
    IF(G1020+Table13[[#This Row],[Steps]]&gt;99,(G1020+Table13[[#This Row],[Steps]])-100,G1020+Table13[[#This Row],[Steps]]),
))</f>
        <v>44</v>
      </c>
      <c r="G1021">
        <f>IF(Table13[[#This Row],[New Pos L]]&lt;&gt;0,Table13[[#This Row],[New Pos L]],Table13[[#This Row],[New Pos R]])</f>
        <v>44</v>
      </c>
      <c r="H1021">
        <f>IF(AND(Table13[[#This Row],[Direction]]="L",Table13[[#This Row],[Steps]]&gt;G1020,G1020&lt;&gt;0),1,0)</f>
        <v>0</v>
      </c>
      <c r="I1021">
        <f>IF(AND(Table13[[#This Row],[Direction]]="R",(G1020+Table13[[#This Row],[Steps]])&gt;100),1,0)</f>
        <v>1</v>
      </c>
      <c r="J1021">
        <f>IF(Table13[[#This Row],[POS]]=0,1,0)</f>
        <v>0</v>
      </c>
      <c r="K1021">
        <f>SUM(Table13[[#This Row],[prefix]],Table13[[#This Row],[Past zero L]],Table13[[#This Row],[Past Zero R]],Table13[[#This Row],[Is Zero]])</f>
        <v>1</v>
      </c>
    </row>
    <row r="1022" spans="1:11" ht="16" x14ac:dyDescent="0.2">
      <c r="A1022" s="1" t="s">
        <v>172</v>
      </c>
      <c r="B1022" t="str">
        <f>LEFT(Table13[[#This Row],[Input]],1)</f>
        <v>L</v>
      </c>
      <c r="C1022">
        <f>_xlfn.LET(_xlpm.steps,SUBSTITUTE(Table13[[#This Row],[Input]],Table13[[#This Row],[Direction]],""),VALUE(IF(LEN(_xlpm.steps)&gt;2,RIGHT(_xlpm.steps,2),_xlpm.steps)))</f>
        <v>66</v>
      </c>
      <c r="D1022">
        <f>_xlfn.LET(_xlpm.steps,SUBSTITUTE(Table13[[#This Row],[Input]],Table13[[#This Row],[Direction]],""),VALUE(IF(LEN(_xlpm.steps)&gt;2,LEFT(_xlpm.steps,LEN(_xlpm.steps)-2),0)))</f>
        <v>0</v>
      </c>
      <c r="E1022">
        <f>_xlfn.LET(_xlpm.dir,Table13[[#This Row],[Direction]],
IF(_xlpm.dir="L",
    IF(G1021-Table13[[#This Row],[Steps]]&lt;0,100+(G1021-Table13[[#This Row],[Steps]]),G1021-Table13[[#This Row],[Steps]]),
))</f>
        <v>78</v>
      </c>
      <c r="F1022">
        <f>_xlfn.LET(_xlpm.dir,Table13[[#This Row],[Direction]],
IF(_xlpm.dir="R",
    IF(G1021+Table13[[#This Row],[Steps]]&gt;99,(G1021+Table13[[#This Row],[Steps]])-100,G1021+Table13[[#This Row],[Steps]]),
))</f>
        <v>0</v>
      </c>
      <c r="G1022">
        <f>IF(Table13[[#This Row],[New Pos L]]&lt;&gt;0,Table13[[#This Row],[New Pos L]],Table13[[#This Row],[New Pos R]])</f>
        <v>78</v>
      </c>
      <c r="H1022">
        <f>IF(AND(Table13[[#This Row],[Direction]]="L",Table13[[#This Row],[Steps]]&gt;G1021,G1021&lt;&gt;0),1,0)</f>
        <v>1</v>
      </c>
      <c r="I1022">
        <f>IF(AND(Table13[[#This Row],[Direction]]="R",(G1021+Table13[[#This Row],[Steps]])&gt;100),1,0)</f>
        <v>0</v>
      </c>
      <c r="J1022">
        <f>IF(Table13[[#This Row],[POS]]=0,1,0)</f>
        <v>0</v>
      </c>
      <c r="K1022">
        <f>SUM(Table13[[#This Row],[prefix]],Table13[[#This Row],[Past zero L]],Table13[[#This Row],[Past Zero R]],Table13[[#This Row],[Is Zero]])</f>
        <v>1</v>
      </c>
    </row>
    <row r="1023" spans="1:11" ht="16" x14ac:dyDescent="0.2">
      <c r="A1023" s="1" t="s">
        <v>366</v>
      </c>
      <c r="B1023" t="str">
        <f>LEFT(Table13[[#This Row],[Input]],1)</f>
        <v>R</v>
      </c>
      <c r="C1023">
        <f>_xlfn.LET(_xlpm.steps,SUBSTITUTE(Table13[[#This Row],[Input]],Table13[[#This Row],[Direction]],""),VALUE(IF(LEN(_xlpm.steps)&gt;2,RIGHT(_xlpm.steps,2),_xlpm.steps)))</f>
        <v>23</v>
      </c>
      <c r="D1023">
        <f>_xlfn.LET(_xlpm.steps,SUBSTITUTE(Table13[[#This Row],[Input]],Table13[[#This Row],[Direction]],""),VALUE(IF(LEN(_xlpm.steps)&gt;2,LEFT(_xlpm.steps,LEN(_xlpm.steps)-2),0)))</f>
        <v>9</v>
      </c>
      <c r="E1023">
        <f>_xlfn.LET(_xlpm.dir,Table13[[#This Row],[Direction]],
IF(_xlpm.dir="L",
    IF(G1022-Table13[[#This Row],[Steps]]&lt;0,100+(G1022-Table13[[#This Row],[Steps]]),G1022-Table13[[#This Row],[Steps]]),
))</f>
        <v>0</v>
      </c>
      <c r="F1023">
        <f>_xlfn.LET(_xlpm.dir,Table13[[#This Row],[Direction]],
IF(_xlpm.dir="R",
    IF(G1022+Table13[[#This Row],[Steps]]&gt;99,(G1022+Table13[[#This Row],[Steps]])-100,G1022+Table13[[#This Row],[Steps]]),
))</f>
        <v>1</v>
      </c>
      <c r="G1023">
        <f>IF(Table13[[#This Row],[New Pos L]]&lt;&gt;0,Table13[[#This Row],[New Pos L]],Table13[[#This Row],[New Pos R]])</f>
        <v>1</v>
      </c>
      <c r="H1023">
        <f>IF(AND(Table13[[#This Row],[Direction]]="L",Table13[[#This Row],[Steps]]&gt;G1022,G1022&lt;&gt;0),1,0)</f>
        <v>0</v>
      </c>
      <c r="I1023">
        <f>IF(AND(Table13[[#This Row],[Direction]]="R",(G1022+Table13[[#This Row],[Steps]])&gt;100),1,0)</f>
        <v>1</v>
      </c>
      <c r="J1023">
        <f>IF(Table13[[#This Row],[POS]]=0,1,0)</f>
        <v>0</v>
      </c>
      <c r="K1023">
        <f>SUM(Table13[[#This Row],[prefix]],Table13[[#This Row],[Past zero L]],Table13[[#This Row],[Past Zero R]],Table13[[#This Row],[Is Zero]])</f>
        <v>10</v>
      </c>
    </row>
    <row r="1024" spans="1:11" ht="16" x14ac:dyDescent="0.2">
      <c r="A1024" s="1" t="s">
        <v>295</v>
      </c>
      <c r="B1024" t="str">
        <f>LEFT(Table13[[#This Row],[Input]],1)</f>
        <v>L</v>
      </c>
      <c r="C1024">
        <f>_xlfn.LET(_xlpm.steps,SUBSTITUTE(Table13[[#This Row],[Input]],Table13[[#This Row],[Direction]],""),VALUE(IF(LEN(_xlpm.steps)&gt;2,RIGHT(_xlpm.steps,2),_xlpm.steps)))</f>
        <v>88</v>
      </c>
      <c r="D1024">
        <f>_xlfn.LET(_xlpm.steps,SUBSTITUTE(Table13[[#This Row],[Input]],Table13[[#This Row],[Direction]],""),VALUE(IF(LEN(_xlpm.steps)&gt;2,LEFT(_xlpm.steps,LEN(_xlpm.steps)-2),0)))</f>
        <v>0</v>
      </c>
      <c r="E1024">
        <f>_xlfn.LET(_xlpm.dir,Table13[[#This Row],[Direction]],
IF(_xlpm.dir="L",
    IF(G1023-Table13[[#This Row],[Steps]]&lt;0,100+(G1023-Table13[[#This Row],[Steps]]),G1023-Table13[[#This Row],[Steps]]),
))</f>
        <v>13</v>
      </c>
      <c r="F1024">
        <f>_xlfn.LET(_xlpm.dir,Table13[[#This Row],[Direction]],
IF(_xlpm.dir="R",
    IF(G1023+Table13[[#This Row],[Steps]]&gt;99,(G1023+Table13[[#This Row],[Steps]])-100,G1023+Table13[[#This Row],[Steps]]),
))</f>
        <v>0</v>
      </c>
      <c r="G1024">
        <f>IF(Table13[[#This Row],[New Pos L]]&lt;&gt;0,Table13[[#This Row],[New Pos L]],Table13[[#This Row],[New Pos R]])</f>
        <v>13</v>
      </c>
      <c r="H1024">
        <f>IF(AND(Table13[[#This Row],[Direction]]="L",Table13[[#This Row],[Steps]]&gt;G1023,G1023&lt;&gt;0),1,0)</f>
        <v>1</v>
      </c>
      <c r="I1024">
        <f>IF(AND(Table13[[#This Row],[Direction]]="R",(G1023+Table13[[#This Row],[Steps]])&gt;100),1,0)</f>
        <v>0</v>
      </c>
      <c r="J1024">
        <f>IF(Table13[[#This Row],[POS]]=0,1,0)</f>
        <v>0</v>
      </c>
      <c r="K1024">
        <f>SUM(Table13[[#This Row],[prefix]],Table13[[#This Row],[Past zero L]],Table13[[#This Row],[Past Zero R]],Table13[[#This Row],[Is Zero]])</f>
        <v>1</v>
      </c>
    </row>
    <row r="1025" spans="1:11" ht="16" x14ac:dyDescent="0.2">
      <c r="A1025" s="1" t="s">
        <v>39</v>
      </c>
      <c r="B1025" t="str">
        <f>LEFT(Table13[[#This Row],[Input]],1)</f>
        <v>R</v>
      </c>
      <c r="C1025">
        <f>_xlfn.LET(_xlpm.steps,SUBSTITUTE(Table13[[#This Row],[Input]],Table13[[#This Row],[Direction]],""),VALUE(IF(LEN(_xlpm.steps)&gt;2,RIGHT(_xlpm.steps,2),_xlpm.steps)))</f>
        <v>32</v>
      </c>
      <c r="D1025">
        <f>_xlfn.LET(_xlpm.steps,SUBSTITUTE(Table13[[#This Row],[Input]],Table13[[#This Row],[Direction]],""),VALUE(IF(LEN(_xlpm.steps)&gt;2,LEFT(_xlpm.steps,LEN(_xlpm.steps)-2),0)))</f>
        <v>0</v>
      </c>
      <c r="E1025">
        <f>_xlfn.LET(_xlpm.dir,Table13[[#This Row],[Direction]],
IF(_xlpm.dir="L",
    IF(G1024-Table13[[#This Row],[Steps]]&lt;0,100+(G1024-Table13[[#This Row],[Steps]]),G1024-Table13[[#This Row],[Steps]]),
))</f>
        <v>0</v>
      </c>
      <c r="F1025">
        <f>_xlfn.LET(_xlpm.dir,Table13[[#This Row],[Direction]],
IF(_xlpm.dir="R",
    IF(G1024+Table13[[#This Row],[Steps]]&gt;99,(G1024+Table13[[#This Row],[Steps]])-100,G1024+Table13[[#This Row],[Steps]]),
))</f>
        <v>45</v>
      </c>
      <c r="G1025">
        <f>IF(Table13[[#This Row],[New Pos L]]&lt;&gt;0,Table13[[#This Row],[New Pos L]],Table13[[#This Row],[New Pos R]])</f>
        <v>45</v>
      </c>
      <c r="H1025">
        <f>IF(AND(Table13[[#This Row],[Direction]]="L",Table13[[#This Row],[Steps]]&gt;G1024,G1024&lt;&gt;0),1,0)</f>
        <v>0</v>
      </c>
      <c r="I1025">
        <f>IF(AND(Table13[[#This Row],[Direction]]="R",(G1024+Table13[[#This Row],[Steps]])&gt;100),1,0)</f>
        <v>0</v>
      </c>
      <c r="J1025">
        <f>IF(Table13[[#This Row],[POS]]=0,1,0)</f>
        <v>0</v>
      </c>
      <c r="K1025">
        <f>SUM(Table13[[#This Row],[prefix]],Table13[[#This Row],[Past zero L]],Table13[[#This Row],[Past Zero R]],Table13[[#This Row],[Is Zero]])</f>
        <v>0</v>
      </c>
    </row>
    <row r="1026" spans="1:11" ht="16" x14ac:dyDescent="0.2">
      <c r="A1026" s="1" t="s">
        <v>79</v>
      </c>
      <c r="B1026" t="str">
        <f>LEFT(Table13[[#This Row],[Input]],1)</f>
        <v>L</v>
      </c>
      <c r="C1026">
        <f>_xlfn.LET(_xlpm.steps,SUBSTITUTE(Table13[[#This Row],[Input]],Table13[[#This Row],[Direction]],""),VALUE(IF(LEN(_xlpm.steps)&gt;2,RIGHT(_xlpm.steps,2),_xlpm.steps)))</f>
        <v>45</v>
      </c>
      <c r="D1026">
        <f>_xlfn.LET(_xlpm.steps,SUBSTITUTE(Table13[[#This Row],[Input]],Table13[[#This Row],[Direction]],""),VALUE(IF(LEN(_xlpm.steps)&gt;2,LEFT(_xlpm.steps,LEN(_xlpm.steps)-2),0)))</f>
        <v>0</v>
      </c>
      <c r="E1026">
        <f>_xlfn.LET(_xlpm.dir,Table13[[#This Row],[Direction]],
IF(_xlpm.dir="L",
    IF(G1025-Table13[[#This Row],[Steps]]&lt;0,100+(G1025-Table13[[#This Row],[Steps]]),G1025-Table13[[#This Row],[Steps]]),
))</f>
        <v>0</v>
      </c>
      <c r="F1026">
        <f>_xlfn.LET(_xlpm.dir,Table13[[#This Row],[Direction]],
IF(_xlpm.dir="R",
    IF(G1025+Table13[[#This Row],[Steps]]&gt;99,(G1025+Table13[[#This Row],[Steps]])-100,G1025+Table13[[#This Row],[Steps]]),
))</f>
        <v>0</v>
      </c>
      <c r="G1026">
        <f>IF(Table13[[#This Row],[New Pos L]]&lt;&gt;0,Table13[[#This Row],[New Pos L]],Table13[[#This Row],[New Pos R]])</f>
        <v>0</v>
      </c>
      <c r="H1026">
        <f>IF(AND(Table13[[#This Row],[Direction]]="L",Table13[[#This Row],[Steps]]&gt;G1025,G1025&lt;&gt;0),1,0)</f>
        <v>0</v>
      </c>
      <c r="I1026">
        <f>IF(AND(Table13[[#This Row],[Direction]]="R",(G1025+Table13[[#This Row],[Steps]])&gt;100),1,0)</f>
        <v>0</v>
      </c>
      <c r="J1026">
        <f>IF(Table13[[#This Row],[POS]]=0,1,0)</f>
        <v>1</v>
      </c>
      <c r="K1026">
        <f>SUM(Table13[[#This Row],[prefix]],Table13[[#This Row],[Past zero L]],Table13[[#This Row],[Past Zero R]],Table13[[#This Row],[Is Zero]])</f>
        <v>1</v>
      </c>
    </row>
    <row r="1027" spans="1:11" ht="16" x14ac:dyDescent="0.2">
      <c r="A1027" s="1" t="s">
        <v>5</v>
      </c>
      <c r="B1027" t="str">
        <f>LEFT(Table13[[#This Row],[Input]],1)</f>
        <v>R</v>
      </c>
      <c r="C1027">
        <f>_xlfn.LET(_xlpm.steps,SUBSTITUTE(Table13[[#This Row],[Input]],Table13[[#This Row],[Direction]],""),VALUE(IF(LEN(_xlpm.steps)&gt;2,RIGHT(_xlpm.steps,2),_xlpm.steps)))</f>
        <v>1</v>
      </c>
      <c r="D1027">
        <f>_xlfn.LET(_xlpm.steps,SUBSTITUTE(Table13[[#This Row],[Input]],Table13[[#This Row],[Direction]],""),VALUE(IF(LEN(_xlpm.steps)&gt;2,LEFT(_xlpm.steps,LEN(_xlpm.steps)-2),0)))</f>
        <v>0</v>
      </c>
      <c r="E1027">
        <f>_xlfn.LET(_xlpm.dir,Table13[[#This Row],[Direction]],
IF(_xlpm.dir="L",
    IF(G1026-Table13[[#This Row],[Steps]]&lt;0,100+(G1026-Table13[[#This Row],[Steps]]),G1026-Table13[[#This Row],[Steps]]),
))</f>
        <v>0</v>
      </c>
      <c r="F1027">
        <f>_xlfn.LET(_xlpm.dir,Table13[[#This Row],[Direction]],
IF(_xlpm.dir="R",
    IF(G1026+Table13[[#This Row],[Steps]]&gt;99,(G1026+Table13[[#This Row],[Steps]])-100,G1026+Table13[[#This Row],[Steps]]),
))</f>
        <v>1</v>
      </c>
      <c r="G1027">
        <f>IF(Table13[[#This Row],[New Pos L]]&lt;&gt;0,Table13[[#This Row],[New Pos L]],Table13[[#This Row],[New Pos R]])</f>
        <v>1</v>
      </c>
      <c r="H1027">
        <f>IF(AND(Table13[[#This Row],[Direction]]="L",Table13[[#This Row],[Steps]]&gt;G1026,G1026&lt;&gt;0),1,0)</f>
        <v>0</v>
      </c>
      <c r="I1027">
        <f>IF(AND(Table13[[#This Row],[Direction]]="R",(G1026+Table13[[#This Row],[Steps]])&gt;100),1,0)</f>
        <v>0</v>
      </c>
      <c r="J1027">
        <f>IF(Table13[[#This Row],[POS]]=0,1,0)</f>
        <v>0</v>
      </c>
      <c r="K1027">
        <f>SUM(Table13[[#This Row],[prefix]],Table13[[#This Row],[Past zero L]],Table13[[#This Row],[Past Zero R]],Table13[[#This Row],[Is Zero]])</f>
        <v>0</v>
      </c>
    </row>
    <row r="1028" spans="1:11" ht="16" x14ac:dyDescent="0.2">
      <c r="A1028" s="1" t="s">
        <v>39</v>
      </c>
      <c r="B1028" t="str">
        <f>LEFT(Table13[[#This Row],[Input]],1)</f>
        <v>R</v>
      </c>
      <c r="C1028">
        <f>_xlfn.LET(_xlpm.steps,SUBSTITUTE(Table13[[#This Row],[Input]],Table13[[#This Row],[Direction]],""),VALUE(IF(LEN(_xlpm.steps)&gt;2,RIGHT(_xlpm.steps,2),_xlpm.steps)))</f>
        <v>32</v>
      </c>
      <c r="D1028">
        <f>_xlfn.LET(_xlpm.steps,SUBSTITUTE(Table13[[#This Row],[Input]],Table13[[#This Row],[Direction]],""),VALUE(IF(LEN(_xlpm.steps)&gt;2,LEFT(_xlpm.steps,LEN(_xlpm.steps)-2),0)))</f>
        <v>0</v>
      </c>
      <c r="E1028">
        <f>_xlfn.LET(_xlpm.dir,Table13[[#This Row],[Direction]],
IF(_xlpm.dir="L",
    IF(G1027-Table13[[#This Row],[Steps]]&lt;0,100+(G1027-Table13[[#This Row],[Steps]]),G1027-Table13[[#This Row],[Steps]]),
))</f>
        <v>0</v>
      </c>
      <c r="F1028">
        <f>_xlfn.LET(_xlpm.dir,Table13[[#This Row],[Direction]],
IF(_xlpm.dir="R",
    IF(G1027+Table13[[#This Row],[Steps]]&gt;99,(G1027+Table13[[#This Row],[Steps]])-100,G1027+Table13[[#This Row],[Steps]]),
))</f>
        <v>33</v>
      </c>
      <c r="G1028">
        <f>IF(Table13[[#This Row],[New Pos L]]&lt;&gt;0,Table13[[#This Row],[New Pos L]],Table13[[#This Row],[New Pos R]])</f>
        <v>33</v>
      </c>
      <c r="H1028">
        <f>IF(AND(Table13[[#This Row],[Direction]]="L",Table13[[#This Row],[Steps]]&gt;G1027,G1027&lt;&gt;0),1,0)</f>
        <v>0</v>
      </c>
      <c r="I1028">
        <f>IF(AND(Table13[[#This Row],[Direction]]="R",(G1027+Table13[[#This Row],[Steps]])&gt;100),1,0)</f>
        <v>0</v>
      </c>
      <c r="J1028">
        <f>IF(Table13[[#This Row],[POS]]=0,1,0)</f>
        <v>0</v>
      </c>
      <c r="K1028">
        <f>SUM(Table13[[#This Row],[prefix]],Table13[[#This Row],[Past zero L]],Table13[[#This Row],[Past Zero R]],Table13[[#This Row],[Is Zero]])</f>
        <v>0</v>
      </c>
    </row>
    <row r="1029" spans="1:11" ht="16" x14ac:dyDescent="0.2">
      <c r="A1029" s="1" t="s">
        <v>42</v>
      </c>
      <c r="B1029" t="str">
        <f>LEFT(Table13[[#This Row],[Input]],1)</f>
        <v>L</v>
      </c>
      <c r="C1029">
        <f>_xlfn.LET(_xlpm.steps,SUBSTITUTE(Table13[[#This Row],[Input]],Table13[[#This Row],[Direction]],""),VALUE(IF(LEN(_xlpm.steps)&gt;2,RIGHT(_xlpm.steps,2),_xlpm.steps)))</f>
        <v>27</v>
      </c>
      <c r="D1029">
        <f>_xlfn.LET(_xlpm.steps,SUBSTITUTE(Table13[[#This Row],[Input]],Table13[[#This Row],[Direction]],""),VALUE(IF(LEN(_xlpm.steps)&gt;2,LEFT(_xlpm.steps,LEN(_xlpm.steps)-2),0)))</f>
        <v>0</v>
      </c>
      <c r="E1029">
        <f>_xlfn.LET(_xlpm.dir,Table13[[#This Row],[Direction]],
IF(_xlpm.dir="L",
    IF(G1028-Table13[[#This Row],[Steps]]&lt;0,100+(G1028-Table13[[#This Row],[Steps]]),G1028-Table13[[#This Row],[Steps]]),
))</f>
        <v>6</v>
      </c>
      <c r="F1029">
        <f>_xlfn.LET(_xlpm.dir,Table13[[#This Row],[Direction]],
IF(_xlpm.dir="R",
    IF(G1028+Table13[[#This Row],[Steps]]&gt;99,(G1028+Table13[[#This Row],[Steps]])-100,G1028+Table13[[#This Row],[Steps]]),
))</f>
        <v>0</v>
      </c>
      <c r="G1029">
        <f>IF(Table13[[#This Row],[New Pos L]]&lt;&gt;0,Table13[[#This Row],[New Pos L]],Table13[[#This Row],[New Pos R]])</f>
        <v>6</v>
      </c>
      <c r="H1029">
        <f>IF(AND(Table13[[#This Row],[Direction]]="L",Table13[[#This Row],[Steps]]&gt;G1028,G1028&lt;&gt;0),1,0)</f>
        <v>0</v>
      </c>
      <c r="I1029">
        <f>IF(AND(Table13[[#This Row],[Direction]]="R",(G1028+Table13[[#This Row],[Steps]])&gt;100),1,0)</f>
        <v>0</v>
      </c>
      <c r="J1029">
        <f>IF(Table13[[#This Row],[POS]]=0,1,0)</f>
        <v>0</v>
      </c>
      <c r="K1029">
        <f>SUM(Table13[[#This Row],[prefix]],Table13[[#This Row],[Past zero L]],Table13[[#This Row],[Past Zero R]],Table13[[#This Row],[Is Zero]])</f>
        <v>0</v>
      </c>
    </row>
    <row r="1030" spans="1:11" ht="16" x14ac:dyDescent="0.2">
      <c r="A1030" s="1" t="s">
        <v>59</v>
      </c>
      <c r="B1030" t="str">
        <f>LEFT(Table13[[#This Row],[Input]],1)</f>
        <v>L</v>
      </c>
      <c r="C1030">
        <f>_xlfn.LET(_xlpm.steps,SUBSTITUTE(Table13[[#This Row],[Input]],Table13[[#This Row],[Direction]],""),VALUE(IF(LEN(_xlpm.steps)&gt;2,RIGHT(_xlpm.steps,2),_xlpm.steps)))</f>
        <v>6</v>
      </c>
      <c r="D1030">
        <f>_xlfn.LET(_xlpm.steps,SUBSTITUTE(Table13[[#This Row],[Input]],Table13[[#This Row],[Direction]],""),VALUE(IF(LEN(_xlpm.steps)&gt;2,LEFT(_xlpm.steps,LEN(_xlpm.steps)-2),0)))</f>
        <v>0</v>
      </c>
      <c r="E1030">
        <f>_xlfn.LET(_xlpm.dir,Table13[[#This Row],[Direction]],
IF(_xlpm.dir="L",
    IF(G1029-Table13[[#This Row],[Steps]]&lt;0,100+(G1029-Table13[[#This Row],[Steps]]),G1029-Table13[[#This Row],[Steps]]),
))</f>
        <v>0</v>
      </c>
      <c r="F1030">
        <f>_xlfn.LET(_xlpm.dir,Table13[[#This Row],[Direction]],
IF(_xlpm.dir="R",
    IF(G1029+Table13[[#This Row],[Steps]]&gt;99,(G1029+Table13[[#This Row],[Steps]])-100,G1029+Table13[[#This Row],[Steps]]),
))</f>
        <v>0</v>
      </c>
      <c r="G1030">
        <f>IF(Table13[[#This Row],[New Pos L]]&lt;&gt;0,Table13[[#This Row],[New Pos L]],Table13[[#This Row],[New Pos R]])</f>
        <v>0</v>
      </c>
      <c r="H1030">
        <f>IF(AND(Table13[[#This Row],[Direction]]="L",Table13[[#This Row],[Steps]]&gt;G1029,G1029&lt;&gt;0),1,0)</f>
        <v>0</v>
      </c>
      <c r="I1030">
        <f>IF(AND(Table13[[#This Row],[Direction]]="R",(G1029+Table13[[#This Row],[Steps]])&gt;100),1,0)</f>
        <v>0</v>
      </c>
      <c r="J1030">
        <f>IF(Table13[[#This Row],[POS]]=0,1,0)</f>
        <v>1</v>
      </c>
      <c r="K1030">
        <f>SUM(Table13[[#This Row],[prefix]],Table13[[#This Row],[Past zero L]],Table13[[#This Row],[Past Zero R]],Table13[[#This Row],[Is Zero]])</f>
        <v>1</v>
      </c>
    </row>
    <row r="1031" spans="1:11" ht="16" x14ac:dyDescent="0.2">
      <c r="A1031" s="1" t="s">
        <v>60</v>
      </c>
      <c r="B1031" t="str">
        <f>LEFT(Table13[[#This Row],[Input]],1)</f>
        <v>R</v>
      </c>
      <c r="C1031">
        <f>_xlfn.LET(_xlpm.steps,SUBSTITUTE(Table13[[#This Row],[Input]],Table13[[#This Row],[Direction]],""),VALUE(IF(LEN(_xlpm.steps)&gt;2,RIGHT(_xlpm.steps,2),_xlpm.steps)))</f>
        <v>86</v>
      </c>
      <c r="D1031">
        <f>_xlfn.LET(_xlpm.steps,SUBSTITUTE(Table13[[#This Row],[Input]],Table13[[#This Row],[Direction]],""),VALUE(IF(LEN(_xlpm.steps)&gt;2,LEFT(_xlpm.steps,LEN(_xlpm.steps)-2),0)))</f>
        <v>0</v>
      </c>
      <c r="E1031">
        <f>_xlfn.LET(_xlpm.dir,Table13[[#This Row],[Direction]],
IF(_xlpm.dir="L",
    IF(G1030-Table13[[#This Row],[Steps]]&lt;0,100+(G1030-Table13[[#This Row],[Steps]]),G1030-Table13[[#This Row],[Steps]]),
))</f>
        <v>0</v>
      </c>
      <c r="F1031">
        <f>_xlfn.LET(_xlpm.dir,Table13[[#This Row],[Direction]],
IF(_xlpm.dir="R",
    IF(G1030+Table13[[#This Row],[Steps]]&gt;99,(G1030+Table13[[#This Row],[Steps]])-100,G1030+Table13[[#This Row],[Steps]]),
))</f>
        <v>86</v>
      </c>
      <c r="G1031">
        <f>IF(Table13[[#This Row],[New Pos L]]&lt;&gt;0,Table13[[#This Row],[New Pos L]],Table13[[#This Row],[New Pos R]])</f>
        <v>86</v>
      </c>
      <c r="H1031">
        <f>IF(AND(Table13[[#This Row],[Direction]]="L",Table13[[#This Row],[Steps]]&gt;G1030,G1030&lt;&gt;0),1,0)</f>
        <v>0</v>
      </c>
      <c r="I1031">
        <f>IF(AND(Table13[[#This Row],[Direction]]="R",(G1030+Table13[[#This Row],[Steps]])&gt;100),1,0)</f>
        <v>0</v>
      </c>
      <c r="J1031">
        <f>IF(Table13[[#This Row],[POS]]=0,1,0)</f>
        <v>0</v>
      </c>
      <c r="K1031">
        <f>SUM(Table13[[#This Row],[prefix]],Table13[[#This Row],[Past zero L]],Table13[[#This Row],[Past Zero R]],Table13[[#This Row],[Is Zero]])</f>
        <v>0</v>
      </c>
    </row>
    <row r="1032" spans="1:11" ht="16" x14ac:dyDescent="0.2">
      <c r="A1032" s="1" t="s">
        <v>367</v>
      </c>
      <c r="B1032" t="str">
        <f>LEFT(Table13[[#This Row],[Input]],1)</f>
        <v>R</v>
      </c>
      <c r="C1032">
        <f>_xlfn.LET(_xlpm.steps,SUBSTITUTE(Table13[[#This Row],[Input]],Table13[[#This Row],[Direction]],""),VALUE(IF(LEN(_xlpm.steps)&gt;2,RIGHT(_xlpm.steps,2),_xlpm.steps)))</f>
        <v>47</v>
      </c>
      <c r="D1032">
        <f>_xlfn.LET(_xlpm.steps,SUBSTITUTE(Table13[[#This Row],[Input]],Table13[[#This Row],[Direction]],""),VALUE(IF(LEN(_xlpm.steps)&gt;2,LEFT(_xlpm.steps,LEN(_xlpm.steps)-2),0)))</f>
        <v>6</v>
      </c>
      <c r="E1032">
        <f>_xlfn.LET(_xlpm.dir,Table13[[#This Row],[Direction]],
IF(_xlpm.dir="L",
    IF(G1031-Table13[[#This Row],[Steps]]&lt;0,100+(G1031-Table13[[#This Row],[Steps]]),G1031-Table13[[#This Row],[Steps]]),
))</f>
        <v>0</v>
      </c>
      <c r="F1032">
        <f>_xlfn.LET(_xlpm.dir,Table13[[#This Row],[Direction]],
IF(_xlpm.dir="R",
    IF(G1031+Table13[[#This Row],[Steps]]&gt;99,(G1031+Table13[[#This Row],[Steps]])-100,G1031+Table13[[#This Row],[Steps]]),
))</f>
        <v>33</v>
      </c>
      <c r="G1032">
        <f>IF(Table13[[#This Row],[New Pos L]]&lt;&gt;0,Table13[[#This Row],[New Pos L]],Table13[[#This Row],[New Pos R]])</f>
        <v>33</v>
      </c>
      <c r="H1032">
        <f>IF(AND(Table13[[#This Row],[Direction]]="L",Table13[[#This Row],[Steps]]&gt;G1031,G1031&lt;&gt;0),1,0)</f>
        <v>0</v>
      </c>
      <c r="I1032">
        <f>IF(AND(Table13[[#This Row],[Direction]]="R",(G1031+Table13[[#This Row],[Steps]])&gt;100),1,0)</f>
        <v>1</v>
      </c>
      <c r="J1032">
        <f>IF(Table13[[#This Row],[POS]]=0,1,0)</f>
        <v>0</v>
      </c>
      <c r="K1032">
        <f>SUM(Table13[[#This Row],[prefix]],Table13[[#This Row],[Past zero L]],Table13[[#This Row],[Past Zero R]],Table13[[#This Row],[Is Zero]])</f>
        <v>7</v>
      </c>
    </row>
    <row r="1033" spans="1:11" ht="16" x14ac:dyDescent="0.2">
      <c r="A1033" s="1" t="s">
        <v>253</v>
      </c>
      <c r="B1033" t="str">
        <f>LEFT(Table13[[#This Row],[Input]],1)</f>
        <v>R</v>
      </c>
      <c r="C1033">
        <f>_xlfn.LET(_xlpm.steps,SUBSTITUTE(Table13[[#This Row],[Input]],Table13[[#This Row],[Direction]],""),VALUE(IF(LEN(_xlpm.steps)&gt;2,RIGHT(_xlpm.steps,2),_xlpm.steps)))</f>
        <v>94</v>
      </c>
      <c r="D1033">
        <f>_xlfn.LET(_xlpm.steps,SUBSTITUTE(Table13[[#This Row],[Input]],Table13[[#This Row],[Direction]],""),VALUE(IF(LEN(_xlpm.steps)&gt;2,LEFT(_xlpm.steps,LEN(_xlpm.steps)-2),0)))</f>
        <v>0</v>
      </c>
      <c r="E1033">
        <f>_xlfn.LET(_xlpm.dir,Table13[[#This Row],[Direction]],
IF(_xlpm.dir="L",
    IF(G1032-Table13[[#This Row],[Steps]]&lt;0,100+(G1032-Table13[[#This Row],[Steps]]),G1032-Table13[[#This Row],[Steps]]),
))</f>
        <v>0</v>
      </c>
      <c r="F1033">
        <f>_xlfn.LET(_xlpm.dir,Table13[[#This Row],[Direction]],
IF(_xlpm.dir="R",
    IF(G1032+Table13[[#This Row],[Steps]]&gt;99,(G1032+Table13[[#This Row],[Steps]])-100,G1032+Table13[[#This Row],[Steps]]),
))</f>
        <v>27</v>
      </c>
      <c r="G1033">
        <f>IF(Table13[[#This Row],[New Pos L]]&lt;&gt;0,Table13[[#This Row],[New Pos L]],Table13[[#This Row],[New Pos R]])</f>
        <v>27</v>
      </c>
      <c r="H1033">
        <f>IF(AND(Table13[[#This Row],[Direction]]="L",Table13[[#This Row],[Steps]]&gt;G1032,G1032&lt;&gt;0),1,0)</f>
        <v>0</v>
      </c>
      <c r="I1033">
        <f>IF(AND(Table13[[#This Row],[Direction]]="R",(G1032+Table13[[#This Row],[Steps]])&gt;100),1,0)</f>
        <v>1</v>
      </c>
      <c r="J1033">
        <f>IF(Table13[[#This Row],[POS]]=0,1,0)</f>
        <v>0</v>
      </c>
      <c r="K1033">
        <f>SUM(Table13[[#This Row],[prefix]],Table13[[#This Row],[Past zero L]],Table13[[#This Row],[Past Zero R]],Table13[[#This Row],[Is Zero]])</f>
        <v>1</v>
      </c>
    </row>
    <row r="1034" spans="1:11" ht="16" x14ac:dyDescent="0.2">
      <c r="A1034" s="1" t="s">
        <v>194</v>
      </c>
      <c r="B1034" t="str">
        <f>LEFT(Table13[[#This Row],[Input]],1)</f>
        <v>R</v>
      </c>
      <c r="C1034">
        <f>_xlfn.LET(_xlpm.steps,SUBSTITUTE(Table13[[#This Row],[Input]],Table13[[#This Row],[Direction]],""),VALUE(IF(LEN(_xlpm.steps)&gt;2,RIGHT(_xlpm.steps,2),_xlpm.steps)))</f>
        <v>51</v>
      </c>
      <c r="D1034">
        <f>_xlfn.LET(_xlpm.steps,SUBSTITUTE(Table13[[#This Row],[Input]],Table13[[#This Row],[Direction]],""),VALUE(IF(LEN(_xlpm.steps)&gt;2,LEFT(_xlpm.steps,LEN(_xlpm.steps)-2),0)))</f>
        <v>0</v>
      </c>
      <c r="E1034">
        <f>_xlfn.LET(_xlpm.dir,Table13[[#This Row],[Direction]],
IF(_xlpm.dir="L",
    IF(G1033-Table13[[#This Row],[Steps]]&lt;0,100+(G1033-Table13[[#This Row],[Steps]]),G1033-Table13[[#This Row],[Steps]]),
))</f>
        <v>0</v>
      </c>
      <c r="F1034">
        <f>_xlfn.LET(_xlpm.dir,Table13[[#This Row],[Direction]],
IF(_xlpm.dir="R",
    IF(G1033+Table13[[#This Row],[Steps]]&gt;99,(G1033+Table13[[#This Row],[Steps]])-100,G1033+Table13[[#This Row],[Steps]]),
))</f>
        <v>78</v>
      </c>
      <c r="G1034">
        <f>IF(Table13[[#This Row],[New Pos L]]&lt;&gt;0,Table13[[#This Row],[New Pos L]],Table13[[#This Row],[New Pos R]])</f>
        <v>78</v>
      </c>
      <c r="H1034">
        <f>IF(AND(Table13[[#This Row],[Direction]]="L",Table13[[#This Row],[Steps]]&gt;G1033,G1033&lt;&gt;0),1,0)</f>
        <v>0</v>
      </c>
      <c r="I1034">
        <f>IF(AND(Table13[[#This Row],[Direction]]="R",(G1033+Table13[[#This Row],[Steps]])&gt;100),1,0)</f>
        <v>0</v>
      </c>
      <c r="J1034">
        <f>IF(Table13[[#This Row],[POS]]=0,1,0)</f>
        <v>0</v>
      </c>
      <c r="K1034">
        <f>SUM(Table13[[#This Row],[prefix]],Table13[[#This Row],[Past zero L]],Table13[[#This Row],[Past Zero R]],Table13[[#This Row],[Is Zero]])</f>
        <v>0</v>
      </c>
    </row>
    <row r="1035" spans="1:11" ht="16" x14ac:dyDescent="0.2">
      <c r="A1035" s="1" t="s">
        <v>9</v>
      </c>
      <c r="B1035" t="str">
        <f>LEFT(Table13[[#This Row],[Input]],1)</f>
        <v>L</v>
      </c>
      <c r="C1035">
        <f>_xlfn.LET(_xlpm.steps,SUBSTITUTE(Table13[[#This Row],[Input]],Table13[[#This Row],[Direction]],""),VALUE(IF(LEN(_xlpm.steps)&gt;2,RIGHT(_xlpm.steps,2),_xlpm.steps)))</f>
        <v>9</v>
      </c>
      <c r="D1035">
        <f>_xlfn.LET(_xlpm.steps,SUBSTITUTE(Table13[[#This Row],[Input]],Table13[[#This Row],[Direction]],""),VALUE(IF(LEN(_xlpm.steps)&gt;2,LEFT(_xlpm.steps,LEN(_xlpm.steps)-2),0)))</f>
        <v>0</v>
      </c>
      <c r="E1035">
        <f>_xlfn.LET(_xlpm.dir,Table13[[#This Row],[Direction]],
IF(_xlpm.dir="L",
    IF(G1034-Table13[[#This Row],[Steps]]&lt;0,100+(G1034-Table13[[#This Row],[Steps]]),G1034-Table13[[#This Row],[Steps]]),
))</f>
        <v>69</v>
      </c>
      <c r="F1035">
        <f>_xlfn.LET(_xlpm.dir,Table13[[#This Row],[Direction]],
IF(_xlpm.dir="R",
    IF(G1034+Table13[[#This Row],[Steps]]&gt;99,(G1034+Table13[[#This Row],[Steps]])-100,G1034+Table13[[#This Row],[Steps]]),
))</f>
        <v>0</v>
      </c>
      <c r="G1035">
        <f>IF(Table13[[#This Row],[New Pos L]]&lt;&gt;0,Table13[[#This Row],[New Pos L]],Table13[[#This Row],[New Pos R]])</f>
        <v>69</v>
      </c>
      <c r="H1035">
        <f>IF(AND(Table13[[#This Row],[Direction]]="L",Table13[[#This Row],[Steps]]&gt;G1034,G1034&lt;&gt;0),1,0)</f>
        <v>0</v>
      </c>
      <c r="I1035">
        <f>IF(AND(Table13[[#This Row],[Direction]]="R",(G1034+Table13[[#This Row],[Steps]])&gt;100),1,0)</f>
        <v>0</v>
      </c>
      <c r="J1035">
        <f>IF(Table13[[#This Row],[POS]]=0,1,0)</f>
        <v>0</v>
      </c>
      <c r="K1035">
        <f>SUM(Table13[[#This Row],[prefix]],Table13[[#This Row],[Past zero L]],Table13[[#This Row],[Past Zero R]],Table13[[#This Row],[Is Zero]])</f>
        <v>0</v>
      </c>
    </row>
    <row r="1036" spans="1:11" ht="16" x14ac:dyDescent="0.2">
      <c r="A1036" s="1" t="s">
        <v>35</v>
      </c>
      <c r="B1036" t="str">
        <f>LEFT(Table13[[#This Row],[Input]],1)</f>
        <v>L</v>
      </c>
      <c r="C1036">
        <f>_xlfn.LET(_xlpm.steps,SUBSTITUTE(Table13[[#This Row],[Input]],Table13[[#This Row],[Direction]],""),VALUE(IF(LEN(_xlpm.steps)&gt;2,RIGHT(_xlpm.steps,2),_xlpm.steps)))</f>
        <v>2</v>
      </c>
      <c r="D1036">
        <f>_xlfn.LET(_xlpm.steps,SUBSTITUTE(Table13[[#This Row],[Input]],Table13[[#This Row],[Direction]],""),VALUE(IF(LEN(_xlpm.steps)&gt;2,LEFT(_xlpm.steps,LEN(_xlpm.steps)-2),0)))</f>
        <v>0</v>
      </c>
      <c r="E1036">
        <f>_xlfn.LET(_xlpm.dir,Table13[[#This Row],[Direction]],
IF(_xlpm.dir="L",
    IF(G1035-Table13[[#This Row],[Steps]]&lt;0,100+(G1035-Table13[[#This Row],[Steps]]),G1035-Table13[[#This Row],[Steps]]),
))</f>
        <v>67</v>
      </c>
      <c r="F1036">
        <f>_xlfn.LET(_xlpm.dir,Table13[[#This Row],[Direction]],
IF(_xlpm.dir="R",
    IF(G1035+Table13[[#This Row],[Steps]]&gt;99,(G1035+Table13[[#This Row],[Steps]])-100,G1035+Table13[[#This Row],[Steps]]),
))</f>
        <v>0</v>
      </c>
      <c r="G1036">
        <f>IF(Table13[[#This Row],[New Pos L]]&lt;&gt;0,Table13[[#This Row],[New Pos L]],Table13[[#This Row],[New Pos R]])</f>
        <v>67</v>
      </c>
      <c r="H1036">
        <f>IF(AND(Table13[[#This Row],[Direction]]="L",Table13[[#This Row],[Steps]]&gt;G1035,G1035&lt;&gt;0),1,0)</f>
        <v>0</v>
      </c>
      <c r="I1036">
        <f>IF(AND(Table13[[#This Row],[Direction]]="R",(G1035+Table13[[#This Row],[Steps]])&gt;100),1,0)</f>
        <v>0</v>
      </c>
      <c r="J1036">
        <f>IF(Table13[[#This Row],[POS]]=0,1,0)</f>
        <v>0</v>
      </c>
      <c r="K1036">
        <f>SUM(Table13[[#This Row],[prefix]],Table13[[#This Row],[Past zero L]],Table13[[#This Row],[Past Zero R]],Table13[[#This Row],[Is Zero]])</f>
        <v>0</v>
      </c>
    </row>
    <row r="1037" spans="1:11" ht="16" x14ac:dyDescent="0.2">
      <c r="A1037" s="1" t="s">
        <v>288</v>
      </c>
      <c r="B1037" t="str">
        <f>LEFT(Table13[[#This Row],[Input]],1)</f>
        <v>R</v>
      </c>
      <c r="C1037">
        <f>_xlfn.LET(_xlpm.steps,SUBSTITUTE(Table13[[#This Row],[Input]],Table13[[#This Row],[Direction]],""),VALUE(IF(LEN(_xlpm.steps)&gt;2,RIGHT(_xlpm.steps,2),_xlpm.steps)))</f>
        <v>25</v>
      </c>
      <c r="D1037">
        <f>_xlfn.LET(_xlpm.steps,SUBSTITUTE(Table13[[#This Row],[Input]],Table13[[#This Row],[Direction]],""),VALUE(IF(LEN(_xlpm.steps)&gt;2,LEFT(_xlpm.steps,LEN(_xlpm.steps)-2),0)))</f>
        <v>0</v>
      </c>
      <c r="E1037">
        <f>_xlfn.LET(_xlpm.dir,Table13[[#This Row],[Direction]],
IF(_xlpm.dir="L",
    IF(G1036-Table13[[#This Row],[Steps]]&lt;0,100+(G1036-Table13[[#This Row],[Steps]]),G1036-Table13[[#This Row],[Steps]]),
))</f>
        <v>0</v>
      </c>
      <c r="F1037">
        <f>_xlfn.LET(_xlpm.dir,Table13[[#This Row],[Direction]],
IF(_xlpm.dir="R",
    IF(G1036+Table13[[#This Row],[Steps]]&gt;99,(G1036+Table13[[#This Row],[Steps]])-100,G1036+Table13[[#This Row],[Steps]]),
))</f>
        <v>92</v>
      </c>
      <c r="G1037">
        <f>IF(Table13[[#This Row],[New Pos L]]&lt;&gt;0,Table13[[#This Row],[New Pos L]],Table13[[#This Row],[New Pos R]])</f>
        <v>92</v>
      </c>
      <c r="H1037">
        <f>IF(AND(Table13[[#This Row],[Direction]]="L",Table13[[#This Row],[Steps]]&gt;G1036,G1036&lt;&gt;0),1,0)</f>
        <v>0</v>
      </c>
      <c r="I1037">
        <f>IF(AND(Table13[[#This Row],[Direction]]="R",(G1036+Table13[[#This Row],[Steps]])&gt;100),1,0)</f>
        <v>0</v>
      </c>
      <c r="J1037">
        <f>IF(Table13[[#This Row],[POS]]=0,1,0)</f>
        <v>0</v>
      </c>
      <c r="K1037">
        <f>SUM(Table13[[#This Row],[prefix]],Table13[[#This Row],[Past zero L]],Table13[[#This Row],[Past Zero R]],Table13[[#This Row],[Is Zero]])</f>
        <v>0</v>
      </c>
    </row>
    <row r="1038" spans="1:11" ht="16" x14ac:dyDescent="0.2">
      <c r="A1038" s="1" t="s">
        <v>174</v>
      </c>
      <c r="B1038" t="str">
        <f>LEFT(Table13[[#This Row],[Input]],1)</f>
        <v>L</v>
      </c>
      <c r="C1038">
        <f>_xlfn.LET(_xlpm.steps,SUBSTITUTE(Table13[[#This Row],[Input]],Table13[[#This Row],[Direction]],""),VALUE(IF(LEN(_xlpm.steps)&gt;2,RIGHT(_xlpm.steps,2),_xlpm.steps)))</f>
        <v>92</v>
      </c>
      <c r="D1038">
        <f>_xlfn.LET(_xlpm.steps,SUBSTITUTE(Table13[[#This Row],[Input]],Table13[[#This Row],[Direction]],""),VALUE(IF(LEN(_xlpm.steps)&gt;2,LEFT(_xlpm.steps,LEN(_xlpm.steps)-2),0)))</f>
        <v>0</v>
      </c>
      <c r="E1038">
        <f>_xlfn.LET(_xlpm.dir,Table13[[#This Row],[Direction]],
IF(_xlpm.dir="L",
    IF(G1037-Table13[[#This Row],[Steps]]&lt;0,100+(G1037-Table13[[#This Row],[Steps]]),G1037-Table13[[#This Row],[Steps]]),
))</f>
        <v>0</v>
      </c>
      <c r="F1038">
        <f>_xlfn.LET(_xlpm.dir,Table13[[#This Row],[Direction]],
IF(_xlpm.dir="R",
    IF(G1037+Table13[[#This Row],[Steps]]&gt;99,(G1037+Table13[[#This Row],[Steps]])-100,G1037+Table13[[#This Row],[Steps]]),
))</f>
        <v>0</v>
      </c>
      <c r="G1038">
        <f>IF(Table13[[#This Row],[New Pos L]]&lt;&gt;0,Table13[[#This Row],[New Pos L]],Table13[[#This Row],[New Pos R]])</f>
        <v>0</v>
      </c>
      <c r="H1038">
        <f>IF(AND(Table13[[#This Row],[Direction]]="L",Table13[[#This Row],[Steps]]&gt;G1037,G1037&lt;&gt;0),1,0)</f>
        <v>0</v>
      </c>
      <c r="I1038">
        <f>IF(AND(Table13[[#This Row],[Direction]]="R",(G1037+Table13[[#This Row],[Steps]])&gt;100),1,0)</f>
        <v>0</v>
      </c>
      <c r="J1038">
        <f>IF(Table13[[#This Row],[POS]]=0,1,0)</f>
        <v>1</v>
      </c>
      <c r="K1038">
        <f>SUM(Table13[[#This Row],[prefix]],Table13[[#This Row],[Past zero L]],Table13[[#This Row],[Past Zero R]],Table13[[#This Row],[Is Zero]])</f>
        <v>1</v>
      </c>
    </row>
    <row r="1039" spans="1:11" ht="16" x14ac:dyDescent="0.2">
      <c r="A1039" s="1" t="s">
        <v>161</v>
      </c>
      <c r="B1039" t="str">
        <f>LEFT(Table13[[#This Row],[Input]],1)</f>
        <v>R</v>
      </c>
      <c r="C1039">
        <f>_xlfn.LET(_xlpm.steps,SUBSTITUTE(Table13[[#This Row],[Input]],Table13[[#This Row],[Direction]],""),VALUE(IF(LEN(_xlpm.steps)&gt;2,RIGHT(_xlpm.steps,2),_xlpm.steps)))</f>
        <v>76</v>
      </c>
      <c r="D1039">
        <f>_xlfn.LET(_xlpm.steps,SUBSTITUTE(Table13[[#This Row],[Input]],Table13[[#This Row],[Direction]],""),VALUE(IF(LEN(_xlpm.steps)&gt;2,LEFT(_xlpm.steps,LEN(_xlpm.steps)-2),0)))</f>
        <v>0</v>
      </c>
      <c r="E1039">
        <f>_xlfn.LET(_xlpm.dir,Table13[[#This Row],[Direction]],
IF(_xlpm.dir="L",
    IF(G1038-Table13[[#This Row],[Steps]]&lt;0,100+(G1038-Table13[[#This Row],[Steps]]),G1038-Table13[[#This Row],[Steps]]),
))</f>
        <v>0</v>
      </c>
      <c r="F1039">
        <f>_xlfn.LET(_xlpm.dir,Table13[[#This Row],[Direction]],
IF(_xlpm.dir="R",
    IF(G1038+Table13[[#This Row],[Steps]]&gt;99,(G1038+Table13[[#This Row],[Steps]])-100,G1038+Table13[[#This Row],[Steps]]),
))</f>
        <v>76</v>
      </c>
      <c r="G1039">
        <f>IF(Table13[[#This Row],[New Pos L]]&lt;&gt;0,Table13[[#This Row],[New Pos L]],Table13[[#This Row],[New Pos R]])</f>
        <v>76</v>
      </c>
      <c r="H1039">
        <f>IF(AND(Table13[[#This Row],[Direction]]="L",Table13[[#This Row],[Steps]]&gt;G1038,G1038&lt;&gt;0),1,0)</f>
        <v>0</v>
      </c>
      <c r="I1039">
        <f>IF(AND(Table13[[#This Row],[Direction]]="R",(G1038+Table13[[#This Row],[Steps]])&gt;100),1,0)</f>
        <v>0</v>
      </c>
      <c r="J1039">
        <f>IF(Table13[[#This Row],[POS]]=0,1,0)</f>
        <v>0</v>
      </c>
      <c r="K1039">
        <f>SUM(Table13[[#This Row],[prefix]],Table13[[#This Row],[Past zero L]],Table13[[#This Row],[Past Zero R]],Table13[[#This Row],[Is Zero]])</f>
        <v>0</v>
      </c>
    </row>
    <row r="1040" spans="1:11" ht="16" x14ac:dyDescent="0.2">
      <c r="A1040" s="1" t="s">
        <v>368</v>
      </c>
      <c r="B1040" t="str">
        <f>LEFT(Table13[[#This Row],[Input]],1)</f>
        <v>L</v>
      </c>
      <c r="C1040">
        <f>_xlfn.LET(_xlpm.steps,SUBSTITUTE(Table13[[#This Row],[Input]],Table13[[#This Row],[Direction]],""),VALUE(IF(LEN(_xlpm.steps)&gt;2,RIGHT(_xlpm.steps,2),_xlpm.steps)))</f>
        <v>59</v>
      </c>
      <c r="D1040">
        <f>_xlfn.LET(_xlpm.steps,SUBSTITUTE(Table13[[#This Row],[Input]],Table13[[#This Row],[Direction]],""),VALUE(IF(LEN(_xlpm.steps)&gt;2,LEFT(_xlpm.steps,LEN(_xlpm.steps)-2),0)))</f>
        <v>5</v>
      </c>
      <c r="E1040">
        <f>_xlfn.LET(_xlpm.dir,Table13[[#This Row],[Direction]],
IF(_xlpm.dir="L",
    IF(G1039-Table13[[#This Row],[Steps]]&lt;0,100+(G1039-Table13[[#This Row],[Steps]]),G1039-Table13[[#This Row],[Steps]]),
))</f>
        <v>17</v>
      </c>
      <c r="F1040">
        <f>_xlfn.LET(_xlpm.dir,Table13[[#This Row],[Direction]],
IF(_xlpm.dir="R",
    IF(G1039+Table13[[#This Row],[Steps]]&gt;99,(G1039+Table13[[#This Row],[Steps]])-100,G1039+Table13[[#This Row],[Steps]]),
))</f>
        <v>0</v>
      </c>
      <c r="G1040">
        <f>IF(Table13[[#This Row],[New Pos L]]&lt;&gt;0,Table13[[#This Row],[New Pos L]],Table13[[#This Row],[New Pos R]])</f>
        <v>17</v>
      </c>
      <c r="H1040">
        <f>IF(AND(Table13[[#This Row],[Direction]]="L",Table13[[#This Row],[Steps]]&gt;G1039,G1039&lt;&gt;0),1,0)</f>
        <v>0</v>
      </c>
      <c r="I1040">
        <f>IF(AND(Table13[[#This Row],[Direction]]="R",(G1039+Table13[[#This Row],[Steps]])&gt;100),1,0)</f>
        <v>0</v>
      </c>
      <c r="J1040">
        <f>IF(Table13[[#This Row],[POS]]=0,1,0)</f>
        <v>0</v>
      </c>
      <c r="K1040">
        <f>SUM(Table13[[#This Row],[prefix]],Table13[[#This Row],[Past zero L]],Table13[[#This Row],[Past Zero R]],Table13[[#This Row],[Is Zero]])</f>
        <v>5</v>
      </c>
    </row>
    <row r="1041" spans="1:11" ht="16" x14ac:dyDescent="0.2">
      <c r="A1041" s="1" t="s">
        <v>205</v>
      </c>
      <c r="B1041" t="str">
        <f>LEFT(Table13[[#This Row],[Input]],1)</f>
        <v>R</v>
      </c>
      <c r="C1041">
        <f>_xlfn.LET(_xlpm.steps,SUBSTITUTE(Table13[[#This Row],[Input]],Table13[[#This Row],[Direction]],""),VALUE(IF(LEN(_xlpm.steps)&gt;2,RIGHT(_xlpm.steps,2),_xlpm.steps)))</f>
        <v>83</v>
      </c>
      <c r="D1041">
        <f>_xlfn.LET(_xlpm.steps,SUBSTITUTE(Table13[[#This Row],[Input]],Table13[[#This Row],[Direction]],""),VALUE(IF(LEN(_xlpm.steps)&gt;2,LEFT(_xlpm.steps,LEN(_xlpm.steps)-2),0)))</f>
        <v>0</v>
      </c>
      <c r="E1041">
        <f>_xlfn.LET(_xlpm.dir,Table13[[#This Row],[Direction]],
IF(_xlpm.dir="L",
    IF(G1040-Table13[[#This Row],[Steps]]&lt;0,100+(G1040-Table13[[#This Row],[Steps]]),G1040-Table13[[#This Row],[Steps]]),
))</f>
        <v>0</v>
      </c>
      <c r="F1041">
        <f>_xlfn.LET(_xlpm.dir,Table13[[#This Row],[Direction]],
IF(_xlpm.dir="R",
    IF(G1040+Table13[[#This Row],[Steps]]&gt;99,(G1040+Table13[[#This Row],[Steps]])-100,G1040+Table13[[#This Row],[Steps]]),
))</f>
        <v>0</v>
      </c>
      <c r="G1041">
        <f>IF(Table13[[#This Row],[New Pos L]]&lt;&gt;0,Table13[[#This Row],[New Pos L]],Table13[[#This Row],[New Pos R]])</f>
        <v>0</v>
      </c>
      <c r="H1041">
        <f>IF(AND(Table13[[#This Row],[Direction]]="L",Table13[[#This Row],[Steps]]&gt;G1040,G1040&lt;&gt;0),1,0)</f>
        <v>0</v>
      </c>
      <c r="I1041">
        <f>IF(AND(Table13[[#This Row],[Direction]]="R",(G1040+Table13[[#This Row],[Steps]])&gt;100),1,0)</f>
        <v>0</v>
      </c>
      <c r="J1041">
        <f>IF(Table13[[#This Row],[POS]]=0,1,0)</f>
        <v>1</v>
      </c>
      <c r="K1041">
        <f>SUM(Table13[[#This Row],[prefix]],Table13[[#This Row],[Past zero L]],Table13[[#This Row],[Past Zero R]],Table13[[#This Row],[Is Zero]])</f>
        <v>1</v>
      </c>
    </row>
    <row r="1042" spans="1:11" ht="16" x14ac:dyDescent="0.2">
      <c r="A1042" s="1" t="s">
        <v>19</v>
      </c>
      <c r="B1042" t="str">
        <f>LEFT(Table13[[#This Row],[Input]],1)</f>
        <v>R</v>
      </c>
      <c r="C1042">
        <f>_xlfn.LET(_xlpm.steps,SUBSTITUTE(Table13[[#This Row],[Input]],Table13[[#This Row],[Direction]],""),VALUE(IF(LEN(_xlpm.steps)&gt;2,RIGHT(_xlpm.steps,2),_xlpm.steps)))</f>
        <v>47</v>
      </c>
      <c r="D1042">
        <f>_xlfn.LET(_xlpm.steps,SUBSTITUTE(Table13[[#This Row],[Input]],Table13[[#This Row],[Direction]],""),VALUE(IF(LEN(_xlpm.steps)&gt;2,LEFT(_xlpm.steps,LEN(_xlpm.steps)-2),0)))</f>
        <v>0</v>
      </c>
      <c r="E1042">
        <f>_xlfn.LET(_xlpm.dir,Table13[[#This Row],[Direction]],
IF(_xlpm.dir="L",
    IF(G1041-Table13[[#This Row],[Steps]]&lt;0,100+(G1041-Table13[[#This Row],[Steps]]),G1041-Table13[[#This Row],[Steps]]),
))</f>
        <v>0</v>
      </c>
      <c r="F1042">
        <f>_xlfn.LET(_xlpm.dir,Table13[[#This Row],[Direction]],
IF(_xlpm.dir="R",
    IF(G1041+Table13[[#This Row],[Steps]]&gt;99,(G1041+Table13[[#This Row],[Steps]])-100,G1041+Table13[[#This Row],[Steps]]),
))</f>
        <v>47</v>
      </c>
      <c r="G1042">
        <f>IF(Table13[[#This Row],[New Pos L]]&lt;&gt;0,Table13[[#This Row],[New Pos L]],Table13[[#This Row],[New Pos R]])</f>
        <v>47</v>
      </c>
      <c r="H1042">
        <f>IF(AND(Table13[[#This Row],[Direction]]="L",Table13[[#This Row],[Steps]]&gt;G1041,G1041&lt;&gt;0),1,0)</f>
        <v>0</v>
      </c>
      <c r="I1042">
        <f>IF(AND(Table13[[#This Row],[Direction]]="R",(G1041+Table13[[#This Row],[Steps]])&gt;100),1,0)</f>
        <v>0</v>
      </c>
      <c r="J1042">
        <f>IF(Table13[[#This Row],[POS]]=0,1,0)</f>
        <v>0</v>
      </c>
      <c r="K1042">
        <f>SUM(Table13[[#This Row],[prefix]],Table13[[#This Row],[Past zero L]],Table13[[#This Row],[Past Zero R]],Table13[[#This Row],[Is Zero]])</f>
        <v>0</v>
      </c>
    </row>
    <row r="1043" spans="1:11" ht="16" x14ac:dyDescent="0.2">
      <c r="A1043" s="1" t="s">
        <v>88</v>
      </c>
      <c r="B1043" t="str">
        <f>LEFT(Table13[[#This Row],[Input]],1)</f>
        <v>R</v>
      </c>
      <c r="C1043">
        <f>_xlfn.LET(_xlpm.steps,SUBSTITUTE(Table13[[#This Row],[Input]],Table13[[#This Row],[Direction]],""),VALUE(IF(LEN(_xlpm.steps)&gt;2,RIGHT(_xlpm.steps,2),_xlpm.steps)))</f>
        <v>53</v>
      </c>
      <c r="D1043">
        <f>_xlfn.LET(_xlpm.steps,SUBSTITUTE(Table13[[#This Row],[Input]],Table13[[#This Row],[Direction]],""),VALUE(IF(LEN(_xlpm.steps)&gt;2,LEFT(_xlpm.steps,LEN(_xlpm.steps)-2),0)))</f>
        <v>0</v>
      </c>
      <c r="E1043">
        <f>_xlfn.LET(_xlpm.dir,Table13[[#This Row],[Direction]],
IF(_xlpm.dir="L",
    IF(G1042-Table13[[#This Row],[Steps]]&lt;0,100+(G1042-Table13[[#This Row],[Steps]]),G1042-Table13[[#This Row],[Steps]]),
))</f>
        <v>0</v>
      </c>
      <c r="F1043">
        <f>_xlfn.LET(_xlpm.dir,Table13[[#This Row],[Direction]],
IF(_xlpm.dir="R",
    IF(G1042+Table13[[#This Row],[Steps]]&gt;99,(G1042+Table13[[#This Row],[Steps]])-100,G1042+Table13[[#This Row],[Steps]]),
))</f>
        <v>0</v>
      </c>
      <c r="G1043">
        <f>IF(Table13[[#This Row],[New Pos L]]&lt;&gt;0,Table13[[#This Row],[New Pos L]],Table13[[#This Row],[New Pos R]])</f>
        <v>0</v>
      </c>
      <c r="H1043">
        <f>IF(AND(Table13[[#This Row],[Direction]]="L",Table13[[#This Row],[Steps]]&gt;G1042,G1042&lt;&gt;0),1,0)</f>
        <v>0</v>
      </c>
      <c r="I1043">
        <f>IF(AND(Table13[[#This Row],[Direction]]="R",(G1042+Table13[[#This Row],[Steps]])&gt;100),1,0)</f>
        <v>0</v>
      </c>
      <c r="J1043">
        <f>IF(Table13[[#This Row],[POS]]=0,1,0)</f>
        <v>1</v>
      </c>
      <c r="K1043">
        <f>SUM(Table13[[#This Row],[prefix]],Table13[[#This Row],[Past zero L]],Table13[[#This Row],[Past Zero R]],Table13[[#This Row],[Is Zero]])</f>
        <v>1</v>
      </c>
    </row>
    <row r="1044" spans="1:11" ht="16" x14ac:dyDescent="0.2">
      <c r="A1044" s="1" t="s">
        <v>71</v>
      </c>
      <c r="B1044" t="str">
        <f>LEFT(Table13[[#This Row],[Input]],1)</f>
        <v>R</v>
      </c>
      <c r="C1044">
        <f>_xlfn.LET(_xlpm.steps,SUBSTITUTE(Table13[[#This Row],[Input]],Table13[[#This Row],[Direction]],""),VALUE(IF(LEN(_xlpm.steps)&gt;2,RIGHT(_xlpm.steps,2),_xlpm.steps)))</f>
        <v>23</v>
      </c>
      <c r="D1044">
        <f>_xlfn.LET(_xlpm.steps,SUBSTITUTE(Table13[[#This Row],[Input]],Table13[[#This Row],[Direction]],""),VALUE(IF(LEN(_xlpm.steps)&gt;2,LEFT(_xlpm.steps,LEN(_xlpm.steps)-2),0)))</f>
        <v>0</v>
      </c>
      <c r="E1044">
        <f>_xlfn.LET(_xlpm.dir,Table13[[#This Row],[Direction]],
IF(_xlpm.dir="L",
    IF(G1043-Table13[[#This Row],[Steps]]&lt;0,100+(G1043-Table13[[#This Row],[Steps]]),G1043-Table13[[#This Row],[Steps]]),
))</f>
        <v>0</v>
      </c>
      <c r="F1044">
        <f>_xlfn.LET(_xlpm.dir,Table13[[#This Row],[Direction]],
IF(_xlpm.dir="R",
    IF(G1043+Table13[[#This Row],[Steps]]&gt;99,(G1043+Table13[[#This Row],[Steps]])-100,G1043+Table13[[#This Row],[Steps]]),
))</f>
        <v>23</v>
      </c>
      <c r="G1044">
        <f>IF(Table13[[#This Row],[New Pos L]]&lt;&gt;0,Table13[[#This Row],[New Pos L]],Table13[[#This Row],[New Pos R]])</f>
        <v>23</v>
      </c>
      <c r="H1044">
        <f>IF(AND(Table13[[#This Row],[Direction]]="L",Table13[[#This Row],[Steps]]&gt;G1043,G1043&lt;&gt;0),1,0)</f>
        <v>0</v>
      </c>
      <c r="I1044">
        <f>IF(AND(Table13[[#This Row],[Direction]]="R",(G1043+Table13[[#This Row],[Steps]])&gt;100),1,0)</f>
        <v>0</v>
      </c>
      <c r="J1044">
        <f>IF(Table13[[#This Row],[POS]]=0,1,0)</f>
        <v>0</v>
      </c>
      <c r="K1044">
        <f>SUM(Table13[[#This Row],[prefix]],Table13[[#This Row],[Past zero L]],Table13[[#This Row],[Past Zero R]],Table13[[#This Row],[Is Zero]])</f>
        <v>0</v>
      </c>
    </row>
    <row r="1045" spans="1:11" ht="16" x14ac:dyDescent="0.2">
      <c r="A1045" s="1" t="s">
        <v>223</v>
      </c>
      <c r="B1045" t="str">
        <f>LEFT(Table13[[#This Row],[Input]],1)</f>
        <v>L</v>
      </c>
      <c r="C1045">
        <f>_xlfn.LET(_xlpm.steps,SUBSTITUTE(Table13[[#This Row],[Input]],Table13[[#This Row],[Direction]],""),VALUE(IF(LEN(_xlpm.steps)&gt;2,RIGHT(_xlpm.steps,2),_xlpm.steps)))</f>
        <v>87</v>
      </c>
      <c r="D1045">
        <f>_xlfn.LET(_xlpm.steps,SUBSTITUTE(Table13[[#This Row],[Input]],Table13[[#This Row],[Direction]],""),VALUE(IF(LEN(_xlpm.steps)&gt;2,LEFT(_xlpm.steps,LEN(_xlpm.steps)-2),0)))</f>
        <v>0</v>
      </c>
      <c r="E1045">
        <f>_xlfn.LET(_xlpm.dir,Table13[[#This Row],[Direction]],
IF(_xlpm.dir="L",
    IF(G1044-Table13[[#This Row],[Steps]]&lt;0,100+(G1044-Table13[[#This Row],[Steps]]),G1044-Table13[[#This Row],[Steps]]),
))</f>
        <v>36</v>
      </c>
      <c r="F1045">
        <f>_xlfn.LET(_xlpm.dir,Table13[[#This Row],[Direction]],
IF(_xlpm.dir="R",
    IF(G1044+Table13[[#This Row],[Steps]]&gt;99,(G1044+Table13[[#This Row],[Steps]])-100,G1044+Table13[[#This Row],[Steps]]),
))</f>
        <v>0</v>
      </c>
      <c r="G1045">
        <f>IF(Table13[[#This Row],[New Pos L]]&lt;&gt;0,Table13[[#This Row],[New Pos L]],Table13[[#This Row],[New Pos R]])</f>
        <v>36</v>
      </c>
      <c r="H1045">
        <f>IF(AND(Table13[[#This Row],[Direction]]="L",Table13[[#This Row],[Steps]]&gt;G1044,G1044&lt;&gt;0),1,0)</f>
        <v>1</v>
      </c>
      <c r="I1045">
        <f>IF(AND(Table13[[#This Row],[Direction]]="R",(G1044+Table13[[#This Row],[Steps]])&gt;100),1,0)</f>
        <v>0</v>
      </c>
      <c r="J1045">
        <f>IF(Table13[[#This Row],[POS]]=0,1,0)</f>
        <v>0</v>
      </c>
      <c r="K1045">
        <f>SUM(Table13[[#This Row],[prefix]],Table13[[#This Row],[Past zero L]],Table13[[#This Row],[Past Zero R]],Table13[[#This Row],[Is Zero]])</f>
        <v>1</v>
      </c>
    </row>
    <row r="1046" spans="1:11" ht="16" x14ac:dyDescent="0.2">
      <c r="A1046" s="1" t="s">
        <v>127</v>
      </c>
      <c r="B1046" t="str">
        <f>LEFT(Table13[[#This Row],[Input]],1)</f>
        <v>L</v>
      </c>
      <c r="C1046">
        <f>_xlfn.LET(_xlpm.steps,SUBSTITUTE(Table13[[#This Row],[Input]],Table13[[#This Row],[Direction]],""),VALUE(IF(LEN(_xlpm.steps)&gt;2,RIGHT(_xlpm.steps,2),_xlpm.steps)))</f>
        <v>62</v>
      </c>
      <c r="D1046">
        <f>_xlfn.LET(_xlpm.steps,SUBSTITUTE(Table13[[#This Row],[Input]],Table13[[#This Row],[Direction]],""),VALUE(IF(LEN(_xlpm.steps)&gt;2,LEFT(_xlpm.steps,LEN(_xlpm.steps)-2),0)))</f>
        <v>0</v>
      </c>
      <c r="E1046">
        <f>_xlfn.LET(_xlpm.dir,Table13[[#This Row],[Direction]],
IF(_xlpm.dir="L",
    IF(G1045-Table13[[#This Row],[Steps]]&lt;0,100+(G1045-Table13[[#This Row],[Steps]]),G1045-Table13[[#This Row],[Steps]]),
))</f>
        <v>74</v>
      </c>
      <c r="F1046">
        <f>_xlfn.LET(_xlpm.dir,Table13[[#This Row],[Direction]],
IF(_xlpm.dir="R",
    IF(G1045+Table13[[#This Row],[Steps]]&gt;99,(G1045+Table13[[#This Row],[Steps]])-100,G1045+Table13[[#This Row],[Steps]]),
))</f>
        <v>0</v>
      </c>
      <c r="G1046">
        <f>IF(Table13[[#This Row],[New Pos L]]&lt;&gt;0,Table13[[#This Row],[New Pos L]],Table13[[#This Row],[New Pos R]])</f>
        <v>74</v>
      </c>
      <c r="H1046">
        <f>IF(AND(Table13[[#This Row],[Direction]]="L",Table13[[#This Row],[Steps]]&gt;G1045,G1045&lt;&gt;0),1,0)</f>
        <v>1</v>
      </c>
      <c r="I1046">
        <f>IF(AND(Table13[[#This Row],[Direction]]="R",(G1045+Table13[[#This Row],[Steps]])&gt;100),1,0)</f>
        <v>0</v>
      </c>
      <c r="J1046">
        <f>IF(Table13[[#This Row],[POS]]=0,1,0)</f>
        <v>0</v>
      </c>
      <c r="K1046">
        <f>SUM(Table13[[#This Row],[prefix]],Table13[[#This Row],[Past zero L]],Table13[[#This Row],[Past Zero R]],Table13[[#This Row],[Is Zero]])</f>
        <v>1</v>
      </c>
    </row>
    <row r="1047" spans="1:11" ht="16" x14ac:dyDescent="0.2">
      <c r="A1047" s="1" t="s">
        <v>119</v>
      </c>
      <c r="B1047" t="str">
        <f>LEFT(Table13[[#This Row],[Input]],1)</f>
        <v>L</v>
      </c>
      <c r="C1047">
        <f>_xlfn.LET(_xlpm.steps,SUBSTITUTE(Table13[[#This Row],[Input]],Table13[[#This Row],[Direction]],""),VALUE(IF(LEN(_xlpm.steps)&gt;2,RIGHT(_xlpm.steps,2),_xlpm.steps)))</f>
        <v>77</v>
      </c>
      <c r="D1047">
        <f>_xlfn.LET(_xlpm.steps,SUBSTITUTE(Table13[[#This Row],[Input]],Table13[[#This Row],[Direction]],""),VALUE(IF(LEN(_xlpm.steps)&gt;2,LEFT(_xlpm.steps,LEN(_xlpm.steps)-2),0)))</f>
        <v>0</v>
      </c>
      <c r="E1047">
        <f>_xlfn.LET(_xlpm.dir,Table13[[#This Row],[Direction]],
IF(_xlpm.dir="L",
    IF(G1046-Table13[[#This Row],[Steps]]&lt;0,100+(G1046-Table13[[#This Row],[Steps]]),G1046-Table13[[#This Row],[Steps]]),
))</f>
        <v>97</v>
      </c>
      <c r="F1047">
        <f>_xlfn.LET(_xlpm.dir,Table13[[#This Row],[Direction]],
IF(_xlpm.dir="R",
    IF(G1046+Table13[[#This Row],[Steps]]&gt;99,(G1046+Table13[[#This Row],[Steps]])-100,G1046+Table13[[#This Row],[Steps]]),
))</f>
        <v>0</v>
      </c>
      <c r="G1047">
        <f>IF(Table13[[#This Row],[New Pos L]]&lt;&gt;0,Table13[[#This Row],[New Pos L]],Table13[[#This Row],[New Pos R]])</f>
        <v>97</v>
      </c>
      <c r="H1047">
        <f>IF(AND(Table13[[#This Row],[Direction]]="L",Table13[[#This Row],[Steps]]&gt;G1046,G1046&lt;&gt;0),1,0)</f>
        <v>1</v>
      </c>
      <c r="I1047">
        <f>IF(AND(Table13[[#This Row],[Direction]]="R",(G1046+Table13[[#This Row],[Steps]])&gt;100),1,0)</f>
        <v>0</v>
      </c>
      <c r="J1047">
        <f>IF(Table13[[#This Row],[POS]]=0,1,0)</f>
        <v>0</v>
      </c>
      <c r="K1047">
        <f>SUM(Table13[[#This Row],[prefix]],Table13[[#This Row],[Past zero L]],Table13[[#This Row],[Past Zero R]],Table13[[#This Row],[Is Zero]])</f>
        <v>1</v>
      </c>
    </row>
    <row r="1048" spans="1:11" ht="16" x14ac:dyDescent="0.2">
      <c r="A1048" s="1" t="s">
        <v>106</v>
      </c>
      <c r="B1048" t="str">
        <f>LEFT(Table13[[#This Row],[Input]],1)</f>
        <v>R</v>
      </c>
      <c r="C1048">
        <f>_xlfn.LET(_xlpm.steps,SUBSTITUTE(Table13[[#This Row],[Input]],Table13[[#This Row],[Direction]],""),VALUE(IF(LEN(_xlpm.steps)&gt;2,RIGHT(_xlpm.steps,2),_xlpm.steps)))</f>
        <v>41</v>
      </c>
      <c r="D1048">
        <f>_xlfn.LET(_xlpm.steps,SUBSTITUTE(Table13[[#This Row],[Input]],Table13[[#This Row],[Direction]],""),VALUE(IF(LEN(_xlpm.steps)&gt;2,LEFT(_xlpm.steps,LEN(_xlpm.steps)-2),0)))</f>
        <v>0</v>
      </c>
      <c r="E1048">
        <f>_xlfn.LET(_xlpm.dir,Table13[[#This Row],[Direction]],
IF(_xlpm.dir="L",
    IF(G1047-Table13[[#This Row],[Steps]]&lt;0,100+(G1047-Table13[[#This Row],[Steps]]),G1047-Table13[[#This Row],[Steps]]),
))</f>
        <v>0</v>
      </c>
      <c r="F1048">
        <f>_xlfn.LET(_xlpm.dir,Table13[[#This Row],[Direction]],
IF(_xlpm.dir="R",
    IF(G1047+Table13[[#This Row],[Steps]]&gt;99,(G1047+Table13[[#This Row],[Steps]])-100,G1047+Table13[[#This Row],[Steps]]),
))</f>
        <v>38</v>
      </c>
      <c r="G1048">
        <f>IF(Table13[[#This Row],[New Pos L]]&lt;&gt;0,Table13[[#This Row],[New Pos L]],Table13[[#This Row],[New Pos R]])</f>
        <v>38</v>
      </c>
      <c r="H1048">
        <f>IF(AND(Table13[[#This Row],[Direction]]="L",Table13[[#This Row],[Steps]]&gt;G1047,G1047&lt;&gt;0),1,0)</f>
        <v>0</v>
      </c>
      <c r="I1048">
        <f>IF(AND(Table13[[#This Row],[Direction]]="R",(G1047+Table13[[#This Row],[Steps]])&gt;100),1,0)</f>
        <v>1</v>
      </c>
      <c r="J1048">
        <f>IF(Table13[[#This Row],[POS]]=0,1,0)</f>
        <v>0</v>
      </c>
      <c r="K1048">
        <f>SUM(Table13[[#This Row],[prefix]],Table13[[#This Row],[Past zero L]],Table13[[#This Row],[Past Zero R]],Table13[[#This Row],[Is Zero]])</f>
        <v>1</v>
      </c>
    </row>
    <row r="1049" spans="1:11" ht="16" x14ac:dyDescent="0.2">
      <c r="A1049" s="1" t="s">
        <v>179</v>
      </c>
      <c r="B1049" t="str">
        <f>LEFT(Table13[[#This Row],[Input]],1)</f>
        <v>L</v>
      </c>
      <c r="C1049">
        <f>_xlfn.LET(_xlpm.steps,SUBSTITUTE(Table13[[#This Row],[Input]],Table13[[#This Row],[Direction]],""),VALUE(IF(LEN(_xlpm.steps)&gt;2,RIGHT(_xlpm.steps,2),_xlpm.steps)))</f>
        <v>54</v>
      </c>
      <c r="D1049">
        <f>_xlfn.LET(_xlpm.steps,SUBSTITUTE(Table13[[#This Row],[Input]],Table13[[#This Row],[Direction]],""),VALUE(IF(LEN(_xlpm.steps)&gt;2,LEFT(_xlpm.steps,LEN(_xlpm.steps)-2),0)))</f>
        <v>0</v>
      </c>
      <c r="E1049">
        <f>_xlfn.LET(_xlpm.dir,Table13[[#This Row],[Direction]],
IF(_xlpm.dir="L",
    IF(G1048-Table13[[#This Row],[Steps]]&lt;0,100+(G1048-Table13[[#This Row],[Steps]]),G1048-Table13[[#This Row],[Steps]]),
))</f>
        <v>84</v>
      </c>
      <c r="F1049">
        <f>_xlfn.LET(_xlpm.dir,Table13[[#This Row],[Direction]],
IF(_xlpm.dir="R",
    IF(G1048+Table13[[#This Row],[Steps]]&gt;99,(G1048+Table13[[#This Row],[Steps]])-100,G1048+Table13[[#This Row],[Steps]]),
))</f>
        <v>0</v>
      </c>
      <c r="G1049">
        <f>IF(Table13[[#This Row],[New Pos L]]&lt;&gt;0,Table13[[#This Row],[New Pos L]],Table13[[#This Row],[New Pos R]])</f>
        <v>84</v>
      </c>
      <c r="H1049">
        <f>IF(AND(Table13[[#This Row],[Direction]]="L",Table13[[#This Row],[Steps]]&gt;G1048,G1048&lt;&gt;0),1,0)</f>
        <v>1</v>
      </c>
      <c r="I1049">
        <f>IF(AND(Table13[[#This Row],[Direction]]="R",(G1048+Table13[[#This Row],[Steps]])&gt;100),1,0)</f>
        <v>0</v>
      </c>
      <c r="J1049">
        <f>IF(Table13[[#This Row],[POS]]=0,1,0)</f>
        <v>0</v>
      </c>
      <c r="K1049">
        <f>SUM(Table13[[#This Row],[prefix]],Table13[[#This Row],[Past zero L]],Table13[[#This Row],[Past Zero R]],Table13[[#This Row],[Is Zero]])</f>
        <v>1</v>
      </c>
    </row>
    <row r="1050" spans="1:11" ht="16" x14ac:dyDescent="0.2">
      <c r="A1050" s="1" t="s">
        <v>161</v>
      </c>
      <c r="B1050" t="str">
        <f>LEFT(Table13[[#This Row],[Input]],1)</f>
        <v>R</v>
      </c>
      <c r="C1050">
        <f>_xlfn.LET(_xlpm.steps,SUBSTITUTE(Table13[[#This Row],[Input]],Table13[[#This Row],[Direction]],""),VALUE(IF(LEN(_xlpm.steps)&gt;2,RIGHT(_xlpm.steps,2),_xlpm.steps)))</f>
        <v>76</v>
      </c>
      <c r="D1050">
        <f>_xlfn.LET(_xlpm.steps,SUBSTITUTE(Table13[[#This Row],[Input]],Table13[[#This Row],[Direction]],""),VALUE(IF(LEN(_xlpm.steps)&gt;2,LEFT(_xlpm.steps,LEN(_xlpm.steps)-2),0)))</f>
        <v>0</v>
      </c>
      <c r="E1050">
        <f>_xlfn.LET(_xlpm.dir,Table13[[#This Row],[Direction]],
IF(_xlpm.dir="L",
    IF(G1049-Table13[[#This Row],[Steps]]&lt;0,100+(G1049-Table13[[#This Row],[Steps]]),G1049-Table13[[#This Row],[Steps]]),
))</f>
        <v>0</v>
      </c>
      <c r="F1050">
        <f>_xlfn.LET(_xlpm.dir,Table13[[#This Row],[Direction]],
IF(_xlpm.dir="R",
    IF(G1049+Table13[[#This Row],[Steps]]&gt;99,(G1049+Table13[[#This Row],[Steps]])-100,G1049+Table13[[#This Row],[Steps]]),
))</f>
        <v>60</v>
      </c>
      <c r="G1050">
        <f>IF(Table13[[#This Row],[New Pos L]]&lt;&gt;0,Table13[[#This Row],[New Pos L]],Table13[[#This Row],[New Pos R]])</f>
        <v>60</v>
      </c>
      <c r="H1050">
        <f>IF(AND(Table13[[#This Row],[Direction]]="L",Table13[[#This Row],[Steps]]&gt;G1049,G1049&lt;&gt;0),1,0)</f>
        <v>0</v>
      </c>
      <c r="I1050">
        <f>IF(AND(Table13[[#This Row],[Direction]]="R",(G1049+Table13[[#This Row],[Steps]])&gt;100),1,0)</f>
        <v>1</v>
      </c>
      <c r="J1050">
        <f>IF(Table13[[#This Row],[POS]]=0,1,0)</f>
        <v>0</v>
      </c>
      <c r="K1050">
        <f>SUM(Table13[[#This Row],[prefix]],Table13[[#This Row],[Past zero L]],Table13[[#This Row],[Past Zero R]],Table13[[#This Row],[Is Zero]])</f>
        <v>1</v>
      </c>
    </row>
    <row r="1051" spans="1:11" ht="16" x14ac:dyDescent="0.2">
      <c r="A1051" s="1" t="s">
        <v>126</v>
      </c>
      <c r="B1051" t="str">
        <f>LEFT(Table13[[#This Row],[Input]],1)</f>
        <v>R</v>
      </c>
      <c r="C1051">
        <f>_xlfn.LET(_xlpm.steps,SUBSTITUTE(Table13[[#This Row],[Input]],Table13[[#This Row],[Direction]],""),VALUE(IF(LEN(_xlpm.steps)&gt;2,RIGHT(_xlpm.steps,2),_xlpm.steps)))</f>
        <v>65</v>
      </c>
      <c r="D1051">
        <f>_xlfn.LET(_xlpm.steps,SUBSTITUTE(Table13[[#This Row],[Input]],Table13[[#This Row],[Direction]],""),VALUE(IF(LEN(_xlpm.steps)&gt;2,LEFT(_xlpm.steps,LEN(_xlpm.steps)-2),0)))</f>
        <v>0</v>
      </c>
      <c r="E1051">
        <f>_xlfn.LET(_xlpm.dir,Table13[[#This Row],[Direction]],
IF(_xlpm.dir="L",
    IF(G1050-Table13[[#This Row],[Steps]]&lt;0,100+(G1050-Table13[[#This Row],[Steps]]),G1050-Table13[[#This Row],[Steps]]),
))</f>
        <v>0</v>
      </c>
      <c r="F1051">
        <f>_xlfn.LET(_xlpm.dir,Table13[[#This Row],[Direction]],
IF(_xlpm.dir="R",
    IF(G1050+Table13[[#This Row],[Steps]]&gt;99,(G1050+Table13[[#This Row],[Steps]])-100,G1050+Table13[[#This Row],[Steps]]),
))</f>
        <v>25</v>
      </c>
      <c r="G1051">
        <f>IF(Table13[[#This Row],[New Pos L]]&lt;&gt;0,Table13[[#This Row],[New Pos L]],Table13[[#This Row],[New Pos R]])</f>
        <v>25</v>
      </c>
      <c r="H1051">
        <f>IF(AND(Table13[[#This Row],[Direction]]="L",Table13[[#This Row],[Steps]]&gt;G1050,G1050&lt;&gt;0),1,0)</f>
        <v>0</v>
      </c>
      <c r="I1051">
        <f>IF(AND(Table13[[#This Row],[Direction]]="R",(G1050+Table13[[#This Row],[Steps]])&gt;100),1,0)</f>
        <v>1</v>
      </c>
      <c r="J1051">
        <f>IF(Table13[[#This Row],[POS]]=0,1,0)</f>
        <v>0</v>
      </c>
      <c r="K1051">
        <f>SUM(Table13[[#This Row],[prefix]],Table13[[#This Row],[Past zero L]],Table13[[#This Row],[Past Zero R]],Table13[[#This Row],[Is Zero]])</f>
        <v>1</v>
      </c>
    </row>
    <row r="1052" spans="1:11" ht="16" x14ac:dyDescent="0.2">
      <c r="A1052" s="1" t="s">
        <v>16</v>
      </c>
      <c r="B1052" t="str">
        <f>LEFT(Table13[[#This Row],[Input]],1)</f>
        <v>L</v>
      </c>
      <c r="C1052">
        <f>_xlfn.LET(_xlpm.steps,SUBSTITUTE(Table13[[#This Row],[Input]],Table13[[#This Row],[Direction]],""),VALUE(IF(LEN(_xlpm.steps)&gt;2,RIGHT(_xlpm.steps,2),_xlpm.steps)))</f>
        <v>10</v>
      </c>
      <c r="D1052">
        <f>_xlfn.LET(_xlpm.steps,SUBSTITUTE(Table13[[#This Row],[Input]],Table13[[#This Row],[Direction]],""),VALUE(IF(LEN(_xlpm.steps)&gt;2,LEFT(_xlpm.steps,LEN(_xlpm.steps)-2),0)))</f>
        <v>0</v>
      </c>
      <c r="E1052">
        <f>_xlfn.LET(_xlpm.dir,Table13[[#This Row],[Direction]],
IF(_xlpm.dir="L",
    IF(G1051-Table13[[#This Row],[Steps]]&lt;0,100+(G1051-Table13[[#This Row],[Steps]]),G1051-Table13[[#This Row],[Steps]]),
))</f>
        <v>15</v>
      </c>
      <c r="F1052">
        <f>_xlfn.LET(_xlpm.dir,Table13[[#This Row],[Direction]],
IF(_xlpm.dir="R",
    IF(G1051+Table13[[#This Row],[Steps]]&gt;99,(G1051+Table13[[#This Row],[Steps]])-100,G1051+Table13[[#This Row],[Steps]]),
))</f>
        <v>0</v>
      </c>
      <c r="G1052">
        <f>IF(Table13[[#This Row],[New Pos L]]&lt;&gt;0,Table13[[#This Row],[New Pos L]],Table13[[#This Row],[New Pos R]])</f>
        <v>15</v>
      </c>
      <c r="H1052">
        <f>IF(AND(Table13[[#This Row],[Direction]]="L",Table13[[#This Row],[Steps]]&gt;G1051,G1051&lt;&gt;0),1,0)</f>
        <v>0</v>
      </c>
      <c r="I1052">
        <f>IF(AND(Table13[[#This Row],[Direction]]="R",(G1051+Table13[[#This Row],[Steps]])&gt;100),1,0)</f>
        <v>0</v>
      </c>
      <c r="J1052">
        <f>IF(Table13[[#This Row],[POS]]=0,1,0)</f>
        <v>0</v>
      </c>
      <c r="K1052">
        <f>SUM(Table13[[#This Row],[prefix]],Table13[[#This Row],[Past zero L]],Table13[[#This Row],[Past Zero R]],Table13[[#This Row],[Is Zero]])</f>
        <v>0</v>
      </c>
    </row>
    <row r="1053" spans="1:11" ht="16" x14ac:dyDescent="0.2">
      <c r="A1053" s="1" t="s">
        <v>139</v>
      </c>
      <c r="B1053" t="str">
        <f>LEFT(Table13[[#This Row],[Input]],1)</f>
        <v>R</v>
      </c>
      <c r="C1053">
        <f>_xlfn.LET(_xlpm.steps,SUBSTITUTE(Table13[[#This Row],[Input]],Table13[[#This Row],[Direction]],""),VALUE(IF(LEN(_xlpm.steps)&gt;2,RIGHT(_xlpm.steps,2),_xlpm.steps)))</f>
        <v>38</v>
      </c>
      <c r="D1053">
        <f>_xlfn.LET(_xlpm.steps,SUBSTITUTE(Table13[[#This Row],[Input]],Table13[[#This Row],[Direction]],""),VALUE(IF(LEN(_xlpm.steps)&gt;2,LEFT(_xlpm.steps,LEN(_xlpm.steps)-2),0)))</f>
        <v>0</v>
      </c>
      <c r="E1053">
        <f>_xlfn.LET(_xlpm.dir,Table13[[#This Row],[Direction]],
IF(_xlpm.dir="L",
    IF(G1052-Table13[[#This Row],[Steps]]&lt;0,100+(G1052-Table13[[#This Row],[Steps]]),G1052-Table13[[#This Row],[Steps]]),
))</f>
        <v>0</v>
      </c>
      <c r="F1053">
        <f>_xlfn.LET(_xlpm.dir,Table13[[#This Row],[Direction]],
IF(_xlpm.dir="R",
    IF(G1052+Table13[[#This Row],[Steps]]&gt;99,(G1052+Table13[[#This Row],[Steps]])-100,G1052+Table13[[#This Row],[Steps]]),
))</f>
        <v>53</v>
      </c>
      <c r="G1053">
        <f>IF(Table13[[#This Row],[New Pos L]]&lt;&gt;0,Table13[[#This Row],[New Pos L]],Table13[[#This Row],[New Pos R]])</f>
        <v>53</v>
      </c>
      <c r="H1053">
        <f>IF(AND(Table13[[#This Row],[Direction]]="L",Table13[[#This Row],[Steps]]&gt;G1052,G1052&lt;&gt;0),1,0)</f>
        <v>0</v>
      </c>
      <c r="I1053">
        <f>IF(AND(Table13[[#This Row],[Direction]]="R",(G1052+Table13[[#This Row],[Steps]])&gt;100),1,0)</f>
        <v>0</v>
      </c>
      <c r="J1053">
        <f>IF(Table13[[#This Row],[POS]]=0,1,0)</f>
        <v>0</v>
      </c>
      <c r="K1053">
        <f>SUM(Table13[[#This Row],[prefix]],Table13[[#This Row],[Past zero L]],Table13[[#This Row],[Past Zero R]],Table13[[#This Row],[Is Zero]])</f>
        <v>0</v>
      </c>
    </row>
    <row r="1054" spans="1:11" ht="16" x14ac:dyDescent="0.2">
      <c r="A1054" s="1" t="s">
        <v>344</v>
      </c>
      <c r="B1054" t="str">
        <f>LEFT(Table13[[#This Row],[Input]],1)</f>
        <v>R</v>
      </c>
      <c r="C1054">
        <f>_xlfn.LET(_xlpm.steps,SUBSTITUTE(Table13[[#This Row],[Input]],Table13[[#This Row],[Direction]],""),VALUE(IF(LEN(_xlpm.steps)&gt;2,RIGHT(_xlpm.steps,2),_xlpm.steps)))</f>
        <v>9</v>
      </c>
      <c r="D1054">
        <f>_xlfn.LET(_xlpm.steps,SUBSTITUTE(Table13[[#This Row],[Input]],Table13[[#This Row],[Direction]],""),VALUE(IF(LEN(_xlpm.steps)&gt;2,LEFT(_xlpm.steps,LEN(_xlpm.steps)-2),0)))</f>
        <v>0</v>
      </c>
      <c r="E1054">
        <f>_xlfn.LET(_xlpm.dir,Table13[[#This Row],[Direction]],
IF(_xlpm.dir="L",
    IF(G1053-Table13[[#This Row],[Steps]]&lt;0,100+(G1053-Table13[[#This Row],[Steps]]),G1053-Table13[[#This Row],[Steps]]),
))</f>
        <v>0</v>
      </c>
      <c r="F1054">
        <f>_xlfn.LET(_xlpm.dir,Table13[[#This Row],[Direction]],
IF(_xlpm.dir="R",
    IF(G1053+Table13[[#This Row],[Steps]]&gt;99,(G1053+Table13[[#This Row],[Steps]])-100,G1053+Table13[[#This Row],[Steps]]),
))</f>
        <v>62</v>
      </c>
      <c r="G1054">
        <f>IF(Table13[[#This Row],[New Pos L]]&lt;&gt;0,Table13[[#This Row],[New Pos L]],Table13[[#This Row],[New Pos R]])</f>
        <v>62</v>
      </c>
      <c r="H1054">
        <f>IF(AND(Table13[[#This Row],[Direction]]="L",Table13[[#This Row],[Steps]]&gt;G1053,G1053&lt;&gt;0),1,0)</f>
        <v>0</v>
      </c>
      <c r="I1054">
        <f>IF(AND(Table13[[#This Row],[Direction]]="R",(G1053+Table13[[#This Row],[Steps]])&gt;100),1,0)</f>
        <v>0</v>
      </c>
      <c r="J1054">
        <f>IF(Table13[[#This Row],[POS]]=0,1,0)</f>
        <v>0</v>
      </c>
      <c r="K1054">
        <f>SUM(Table13[[#This Row],[prefix]],Table13[[#This Row],[Past zero L]],Table13[[#This Row],[Past Zero R]],Table13[[#This Row],[Is Zero]])</f>
        <v>0</v>
      </c>
    </row>
    <row r="1055" spans="1:11" ht="16" x14ac:dyDescent="0.2">
      <c r="A1055" s="1" t="s">
        <v>369</v>
      </c>
      <c r="B1055" t="str">
        <f>LEFT(Table13[[#This Row],[Input]],1)</f>
        <v>R</v>
      </c>
      <c r="C1055">
        <f>_xlfn.LET(_xlpm.steps,SUBSTITUTE(Table13[[#This Row],[Input]],Table13[[#This Row],[Direction]],""),VALUE(IF(LEN(_xlpm.steps)&gt;2,RIGHT(_xlpm.steps,2),_xlpm.steps)))</f>
        <v>38</v>
      </c>
      <c r="D1055">
        <f>_xlfn.LET(_xlpm.steps,SUBSTITUTE(Table13[[#This Row],[Input]],Table13[[#This Row],[Direction]],""),VALUE(IF(LEN(_xlpm.steps)&gt;2,LEFT(_xlpm.steps,LEN(_xlpm.steps)-2),0)))</f>
        <v>4</v>
      </c>
      <c r="E1055">
        <f>_xlfn.LET(_xlpm.dir,Table13[[#This Row],[Direction]],
IF(_xlpm.dir="L",
    IF(G1054-Table13[[#This Row],[Steps]]&lt;0,100+(G1054-Table13[[#This Row],[Steps]]),G1054-Table13[[#This Row],[Steps]]),
))</f>
        <v>0</v>
      </c>
      <c r="F1055">
        <f>_xlfn.LET(_xlpm.dir,Table13[[#This Row],[Direction]],
IF(_xlpm.dir="R",
    IF(G1054+Table13[[#This Row],[Steps]]&gt;99,(G1054+Table13[[#This Row],[Steps]])-100,G1054+Table13[[#This Row],[Steps]]),
))</f>
        <v>0</v>
      </c>
      <c r="G1055">
        <f>IF(Table13[[#This Row],[New Pos L]]&lt;&gt;0,Table13[[#This Row],[New Pos L]],Table13[[#This Row],[New Pos R]])</f>
        <v>0</v>
      </c>
      <c r="H1055">
        <f>IF(AND(Table13[[#This Row],[Direction]]="L",Table13[[#This Row],[Steps]]&gt;G1054,G1054&lt;&gt;0),1,0)</f>
        <v>0</v>
      </c>
      <c r="I1055">
        <f>IF(AND(Table13[[#This Row],[Direction]]="R",(G1054+Table13[[#This Row],[Steps]])&gt;100),1,0)</f>
        <v>0</v>
      </c>
      <c r="J1055">
        <f>IF(Table13[[#This Row],[POS]]=0,1,0)</f>
        <v>1</v>
      </c>
      <c r="K1055">
        <f>SUM(Table13[[#This Row],[prefix]],Table13[[#This Row],[Past zero L]],Table13[[#This Row],[Past Zero R]],Table13[[#This Row],[Is Zero]])</f>
        <v>5</v>
      </c>
    </row>
    <row r="1056" spans="1:11" ht="16" x14ac:dyDescent="0.2">
      <c r="A1056" s="1" t="s">
        <v>49</v>
      </c>
      <c r="B1056" t="str">
        <f>LEFT(Table13[[#This Row],[Input]],1)</f>
        <v>L</v>
      </c>
      <c r="C1056">
        <f>_xlfn.LET(_xlpm.steps,SUBSTITUTE(Table13[[#This Row],[Input]],Table13[[#This Row],[Direction]],""),VALUE(IF(LEN(_xlpm.steps)&gt;2,RIGHT(_xlpm.steps,2),_xlpm.steps)))</f>
        <v>93</v>
      </c>
      <c r="D1056">
        <f>_xlfn.LET(_xlpm.steps,SUBSTITUTE(Table13[[#This Row],[Input]],Table13[[#This Row],[Direction]],""),VALUE(IF(LEN(_xlpm.steps)&gt;2,LEFT(_xlpm.steps,LEN(_xlpm.steps)-2),0)))</f>
        <v>0</v>
      </c>
      <c r="E1056">
        <f>_xlfn.LET(_xlpm.dir,Table13[[#This Row],[Direction]],
IF(_xlpm.dir="L",
    IF(G1055-Table13[[#This Row],[Steps]]&lt;0,100+(G1055-Table13[[#This Row],[Steps]]),G1055-Table13[[#This Row],[Steps]]),
))</f>
        <v>7</v>
      </c>
      <c r="F1056">
        <f>_xlfn.LET(_xlpm.dir,Table13[[#This Row],[Direction]],
IF(_xlpm.dir="R",
    IF(G1055+Table13[[#This Row],[Steps]]&gt;99,(G1055+Table13[[#This Row],[Steps]])-100,G1055+Table13[[#This Row],[Steps]]),
))</f>
        <v>0</v>
      </c>
      <c r="G1056">
        <f>IF(Table13[[#This Row],[New Pos L]]&lt;&gt;0,Table13[[#This Row],[New Pos L]],Table13[[#This Row],[New Pos R]])</f>
        <v>7</v>
      </c>
      <c r="H1056">
        <f>IF(AND(Table13[[#This Row],[Direction]]="L",Table13[[#This Row],[Steps]]&gt;G1055,G1055&lt;&gt;0),1,0)</f>
        <v>0</v>
      </c>
      <c r="I1056">
        <f>IF(AND(Table13[[#This Row],[Direction]]="R",(G1055+Table13[[#This Row],[Steps]])&gt;100),1,0)</f>
        <v>0</v>
      </c>
      <c r="J1056">
        <f>IF(Table13[[#This Row],[POS]]=0,1,0)</f>
        <v>0</v>
      </c>
      <c r="K1056">
        <f>SUM(Table13[[#This Row],[prefix]],Table13[[#This Row],[Past zero L]],Table13[[#This Row],[Past Zero R]],Table13[[#This Row],[Is Zero]])</f>
        <v>0</v>
      </c>
    </row>
    <row r="1057" spans="1:11" ht="16" x14ac:dyDescent="0.2">
      <c r="A1057" s="1" t="s">
        <v>3</v>
      </c>
      <c r="B1057" t="str">
        <f>LEFT(Table13[[#This Row],[Input]],1)</f>
        <v>R</v>
      </c>
      <c r="C1057">
        <f>_xlfn.LET(_xlpm.steps,SUBSTITUTE(Table13[[#This Row],[Input]],Table13[[#This Row],[Direction]],""),VALUE(IF(LEN(_xlpm.steps)&gt;2,RIGHT(_xlpm.steps,2),_xlpm.steps)))</f>
        <v>44</v>
      </c>
      <c r="D1057">
        <f>_xlfn.LET(_xlpm.steps,SUBSTITUTE(Table13[[#This Row],[Input]],Table13[[#This Row],[Direction]],""),VALUE(IF(LEN(_xlpm.steps)&gt;2,LEFT(_xlpm.steps,LEN(_xlpm.steps)-2),0)))</f>
        <v>0</v>
      </c>
      <c r="E1057">
        <f>_xlfn.LET(_xlpm.dir,Table13[[#This Row],[Direction]],
IF(_xlpm.dir="L",
    IF(G1056-Table13[[#This Row],[Steps]]&lt;0,100+(G1056-Table13[[#This Row],[Steps]]),G1056-Table13[[#This Row],[Steps]]),
))</f>
        <v>0</v>
      </c>
      <c r="F1057">
        <f>_xlfn.LET(_xlpm.dir,Table13[[#This Row],[Direction]],
IF(_xlpm.dir="R",
    IF(G1056+Table13[[#This Row],[Steps]]&gt;99,(G1056+Table13[[#This Row],[Steps]])-100,G1056+Table13[[#This Row],[Steps]]),
))</f>
        <v>51</v>
      </c>
      <c r="G1057">
        <f>IF(Table13[[#This Row],[New Pos L]]&lt;&gt;0,Table13[[#This Row],[New Pos L]],Table13[[#This Row],[New Pos R]])</f>
        <v>51</v>
      </c>
      <c r="H1057">
        <f>IF(AND(Table13[[#This Row],[Direction]]="L",Table13[[#This Row],[Steps]]&gt;G1056,G1056&lt;&gt;0),1,0)</f>
        <v>0</v>
      </c>
      <c r="I1057">
        <f>IF(AND(Table13[[#This Row],[Direction]]="R",(G1056+Table13[[#This Row],[Steps]])&gt;100),1,0)</f>
        <v>0</v>
      </c>
      <c r="J1057">
        <f>IF(Table13[[#This Row],[POS]]=0,1,0)</f>
        <v>0</v>
      </c>
      <c r="K1057">
        <f>SUM(Table13[[#This Row],[prefix]],Table13[[#This Row],[Past zero L]],Table13[[#This Row],[Past Zero R]],Table13[[#This Row],[Is Zero]])</f>
        <v>0</v>
      </c>
    </row>
    <row r="1058" spans="1:11" ht="16" x14ac:dyDescent="0.2">
      <c r="A1058" s="1" t="s">
        <v>370</v>
      </c>
      <c r="B1058" t="str">
        <f>LEFT(Table13[[#This Row],[Input]],1)</f>
        <v>L</v>
      </c>
      <c r="C1058">
        <f>_xlfn.LET(_xlpm.steps,SUBSTITUTE(Table13[[#This Row],[Input]],Table13[[#This Row],[Direction]],""),VALUE(IF(LEN(_xlpm.steps)&gt;2,RIGHT(_xlpm.steps,2),_xlpm.steps)))</f>
        <v>6</v>
      </c>
      <c r="D1058">
        <f>_xlfn.LET(_xlpm.steps,SUBSTITUTE(Table13[[#This Row],[Input]],Table13[[#This Row],[Direction]],""),VALUE(IF(LEN(_xlpm.steps)&gt;2,LEFT(_xlpm.steps,LEN(_xlpm.steps)-2),0)))</f>
        <v>3</v>
      </c>
      <c r="E1058">
        <f>_xlfn.LET(_xlpm.dir,Table13[[#This Row],[Direction]],
IF(_xlpm.dir="L",
    IF(G1057-Table13[[#This Row],[Steps]]&lt;0,100+(G1057-Table13[[#This Row],[Steps]]),G1057-Table13[[#This Row],[Steps]]),
))</f>
        <v>45</v>
      </c>
      <c r="F1058">
        <f>_xlfn.LET(_xlpm.dir,Table13[[#This Row],[Direction]],
IF(_xlpm.dir="R",
    IF(G1057+Table13[[#This Row],[Steps]]&gt;99,(G1057+Table13[[#This Row],[Steps]])-100,G1057+Table13[[#This Row],[Steps]]),
))</f>
        <v>0</v>
      </c>
      <c r="G1058">
        <f>IF(Table13[[#This Row],[New Pos L]]&lt;&gt;0,Table13[[#This Row],[New Pos L]],Table13[[#This Row],[New Pos R]])</f>
        <v>45</v>
      </c>
      <c r="H1058">
        <f>IF(AND(Table13[[#This Row],[Direction]]="L",Table13[[#This Row],[Steps]]&gt;G1057,G1057&lt;&gt;0),1,0)</f>
        <v>0</v>
      </c>
      <c r="I1058">
        <f>IF(AND(Table13[[#This Row],[Direction]]="R",(G1057+Table13[[#This Row],[Steps]])&gt;100),1,0)</f>
        <v>0</v>
      </c>
      <c r="J1058">
        <f>IF(Table13[[#This Row],[POS]]=0,1,0)</f>
        <v>0</v>
      </c>
      <c r="K1058">
        <f>SUM(Table13[[#This Row],[prefix]],Table13[[#This Row],[Past zero L]],Table13[[#This Row],[Past Zero R]],Table13[[#This Row],[Is Zero]])</f>
        <v>3</v>
      </c>
    </row>
    <row r="1059" spans="1:11" ht="16" x14ac:dyDescent="0.2">
      <c r="A1059" s="1" t="s">
        <v>181</v>
      </c>
      <c r="B1059" t="str">
        <f>LEFT(Table13[[#This Row],[Input]],1)</f>
        <v>L</v>
      </c>
      <c r="C1059">
        <f>_xlfn.LET(_xlpm.steps,SUBSTITUTE(Table13[[#This Row],[Input]],Table13[[#This Row],[Direction]],""),VALUE(IF(LEN(_xlpm.steps)&gt;2,RIGHT(_xlpm.steps,2),_xlpm.steps)))</f>
        <v>53</v>
      </c>
      <c r="D1059">
        <f>_xlfn.LET(_xlpm.steps,SUBSTITUTE(Table13[[#This Row],[Input]],Table13[[#This Row],[Direction]],""),VALUE(IF(LEN(_xlpm.steps)&gt;2,LEFT(_xlpm.steps,LEN(_xlpm.steps)-2),0)))</f>
        <v>0</v>
      </c>
      <c r="E1059">
        <f>_xlfn.LET(_xlpm.dir,Table13[[#This Row],[Direction]],
IF(_xlpm.dir="L",
    IF(G1058-Table13[[#This Row],[Steps]]&lt;0,100+(G1058-Table13[[#This Row],[Steps]]),G1058-Table13[[#This Row],[Steps]]),
))</f>
        <v>92</v>
      </c>
      <c r="F1059">
        <f>_xlfn.LET(_xlpm.dir,Table13[[#This Row],[Direction]],
IF(_xlpm.dir="R",
    IF(G1058+Table13[[#This Row],[Steps]]&gt;99,(G1058+Table13[[#This Row],[Steps]])-100,G1058+Table13[[#This Row],[Steps]]),
))</f>
        <v>0</v>
      </c>
      <c r="G1059">
        <f>IF(Table13[[#This Row],[New Pos L]]&lt;&gt;0,Table13[[#This Row],[New Pos L]],Table13[[#This Row],[New Pos R]])</f>
        <v>92</v>
      </c>
      <c r="H1059">
        <f>IF(AND(Table13[[#This Row],[Direction]]="L",Table13[[#This Row],[Steps]]&gt;G1058,G1058&lt;&gt;0),1,0)</f>
        <v>1</v>
      </c>
      <c r="I1059">
        <f>IF(AND(Table13[[#This Row],[Direction]]="R",(G1058+Table13[[#This Row],[Steps]])&gt;100),1,0)</f>
        <v>0</v>
      </c>
      <c r="J1059">
        <f>IF(Table13[[#This Row],[POS]]=0,1,0)</f>
        <v>0</v>
      </c>
      <c r="K1059">
        <f>SUM(Table13[[#This Row],[prefix]],Table13[[#This Row],[Past zero L]],Table13[[#This Row],[Past Zero R]],Table13[[#This Row],[Is Zero]])</f>
        <v>1</v>
      </c>
    </row>
    <row r="1060" spans="1:11" ht="16" x14ac:dyDescent="0.2">
      <c r="A1060" s="1" t="s">
        <v>296</v>
      </c>
      <c r="B1060" t="str">
        <f>LEFT(Table13[[#This Row],[Input]],1)</f>
        <v>R</v>
      </c>
      <c r="C1060">
        <f>_xlfn.LET(_xlpm.steps,SUBSTITUTE(Table13[[#This Row],[Input]],Table13[[#This Row],[Direction]],""),VALUE(IF(LEN(_xlpm.steps)&gt;2,RIGHT(_xlpm.steps,2),_xlpm.steps)))</f>
        <v>19</v>
      </c>
      <c r="D1060">
        <f>_xlfn.LET(_xlpm.steps,SUBSTITUTE(Table13[[#This Row],[Input]],Table13[[#This Row],[Direction]],""),VALUE(IF(LEN(_xlpm.steps)&gt;2,LEFT(_xlpm.steps,LEN(_xlpm.steps)-2),0)))</f>
        <v>0</v>
      </c>
      <c r="E1060">
        <f>_xlfn.LET(_xlpm.dir,Table13[[#This Row],[Direction]],
IF(_xlpm.dir="L",
    IF(G1059-Table13[[#This Row],[Steps]]&lt;0,100+(G1059-Table13[[#This Row],[Steps]]),G1059-Table13[[#This Row],[Steps]]),
))</f>
        <v>0</v>
      </c>
      <c r="F1060">
        <f>_xlfn.LET(_xlpm.dir,Table13[[#This Row],[Direction]],
IF(_xlpm.dir="R",
    IF(G1059+Table13[[#This Row],[Steps]]&gt;99,(G1059+Table13[[#This Row],[Steps]])-100,G1059+Table13[[#This Row],[Steps]]),
))</f>
        <v>11</v>
      </c>
      <c r="G1060">
        <f>IF(Table13[[#This Row],[New Pos L]]&lt;&gt;0,Table13[[#This Row],[New Pos L]],Table13[[#This Row],[New Pos R]])</f>
        <v>11</v>
      </c>
      <c r="H1060">
        <f>IF(AND(Table13[[#This Row],[Direction]]="L",Table13[[#This Row],[Steps]]&gt;G1059,G1059&lt;&gt;0),1,0)</f>
        <v>0</v>
      </c>
      <c r="I1060">
        <f>IF(AND(Table13[[#This Row],[Direction]]="R",(G1059+Table13[[#This Row],[Steps]])&gt;100),1,0)</f>
        <v>1</v>
      </c>
      <c r="J1060">
        <f>IF(Table13[[#This Row],[POS]]=0,1,0)</f>
        <v>0</v>
      </c>
      <c r="K1060">
        <f>SUM(Table13[[#This Row],[prefix]],Table13[[#This Row],[Past zero L]],Table13[[#This Row],[Past Zero R]],Table13[[#This Row],[Is Zero]])</f>
        <v>1</v>
      </c>
    </row>
    <row r="1061" spans="1:11" ht="16" x14ac:dyDescent="0.2">
      <c r="A1061" s="1" t="s">
        <v>210</v>
      </c>
      <c r="B1061" t="str">
        <f>LEFT(Table13[[#This Row],[Input]],1)</f>
        <v>R</v>
      </c>
      <c r="C1061">
        <f>_xlfn.LET(_xlpm.steps,SUBSTITUTE(Table13[[#This Row],[Input]],Table13[[#This Row],[Direction]],""),VALUE(IF(LEN(_xlpm.steps)&gt;2,RIGHT(_xlpm.steps,2),_xlpm.steps)))</f>
        <v>89</v>
      </c>
      <c r="D1061">
        <f>_xlfn.LET(_xlpm.steps,SUBSTITUTE(Table13[[#This Row],[Input]],Table13[[#This Row],[Direction]],""),VALUE(IF(LEN(_xlpm.steps)&gt;2,LEFT(_xlpm.steps,LEN(_xlpm.steps)-2),0)))</f>
        <v>0</v>
      </c>
      <c r="E1061">
        <f>_xlfn.LET(_xlpm.dir,Table13[[#This Row],[Direction]],
IF(_xlpm.dir="L",
    IF(G1060-Table13[[#This Row],[Steps]]&lt;0,100+(G1060-Table13[[#This Row],[Steps]]),G1060-Table13[[#This Row],[Steps]]),
))</f>
        <v>0</v>
      </c>
      <c r="F1061">
        <f>_xlfn.LET(_xlpm.dir,Table13[[#This Row],[Direction]],
IF(_xlpm.dir="R",
    IF(G1060+Table13[[#This Row],[Steps]]&gt;99,(G1060+Table13[[#This Row],[Steps]])-100,G1060+Table13[[#This Row],[Steps]]),
))</f>
        <v>0</v>
      </c>
      <c r="G1061">
        <f>IF(Table13[[#This Row],[New Pos L]]&lt;&gt;0,Table13[[#This Row],[New Pos L]],Table13[[#This Row],[New Pos R]])</f>
        <v>0</v>
      </c>
      <c r="H1061">
        <f>IF(AND(Table13[[#This Row],[Direction]]="L",Table13[[#This Row],[Steps]]&gt;G1060,G1060&lt;&gt;0),1,0)</f>
        <v>0</v>
      </c>
      <c r="I1061">
        <f>IF(AND(Table13[[#This Row],[Direction]]="R",(G1060+Table13[[#This Row],[Steps]])&gt;100),1,0)</f>
        <v>0</v>
      </c>
      <c r="J1061">
        <f>IF(Table13[[#This Row],[POS]]=0,1,0)</f>
        <v>1</v>
      </c>
      <c r="K1061">
        <f>SUM(Table13[[#This Row],[prefix]],Table13[[#This Row],[Past zero L]],Table13[[#This Row],[Past Zero R]],Table13[[#This Row],[Is Zero]])</f>
        <v>1</v>
      </c>
    </row>
    <row r="1062" spans="1:11" ht="16" x14ac:dyDescent="0.2">
      <c r="A1062" s="1" t="s">
        <v>139</v>
      </c>
      <c r="B1062" t="str">
        <f>LEFT(Table13[[#This Row],[Input]],1)</f>
        <v>R</v>
      </c>
      <c r="C1062">
        <f>_xlfn.LET(_xlpm.steps,SUBSTITUTE(Table13[[#This Row],[Input]],Table13[[#This Row],[Direction]],""),VALUE(IF(LEN(_xlpm.steps)&gt;2,RIGHT(_xlpm.steps,2),_xlpm.steps)))</f>
        <v>38</v>
      </c>
      <c r="D1062">
        <f>_xlfn.LET(_xlpm.steps,SUBSTITUTE(Table13[[#This Row],[Input]],Table13[[#This Row],[Direction]],""),VALUE(IF(LEN(_xlpm.steps)&gt;2,LEFT(_xlpm.steps,LEN(_xlpm.steps)-2),0)))</f>
        <v>0</v>
      </c>
      <c r="E1062">
        <f>_xlfn.LET(_xlpm.dir,Table13[[#This Row],[Direction]],
IF(_xlpm.dir="L",
    IF(G1061-Table13[[#This Row],[Steps]]&lt;0,100+(G1061-Table13[[#This Row],[Steps]]),G1061-Table13[[#This Row],[Steps]]),
))</f>
        <v>0</v>
      </c>
      <c r="F1062">
        <f>_xlfn.LET(_xlpm.dir,Table13[[#This Row],[Direction]],
IF(_xlpm.dir="R",
    IF(G1061+Table13[[#This Row],[Steps]]&gt;99,(G1061+Table13[[#This Row],[Steps]])-100,G1061+Table13[[#This Row],[Steps]]),
))</f>
        <v>38</v>
      </c>
      <c r="G1062">
        <f>IF(Table13[[#This Row],[New Pos L]]&lt;&gt;0,Table13[[#This Row],[New Pos L]],Table13[[#This Row],[New Pos R]])</f>
        <v>38</v>
      </c>
      <c r="H1062">
        <f>IF(AND(Table13[[#This Row],[Direction]]="L",Table13[[#This Row],[Steps]]&gt;G1061,G1061&lt;&gt;0),1,0)</f>
        <v>0</v>
      </c>
      <c r="I1062">
        <f>IF(AND(Table13[[#This Row],[Direction]]="R",(G1061+Table13[[#This Row],[Steps]])&gt;100),1,0)</f>
        <v>0</v>
      </c>
      <c r="J1062">
        <f>IF(Table13[[#This Row],[POS]]=0,1,0)</f>
        <v>0</v>
      </c>
      <c r="K1062">
        <f>SUM(Table13[[#This Row],[prefix]],Table13[[#This Row],[Past zero L]],Table13[[#This Row],[Past Zero R]],Table13[[#This Row],[Is Zero]])</f>
        <v>0</v>
      </c>
    </row>
    <row r="1063" spans="1:11" ht="16" x14ac:dyDescent="0.2">
      <c r="A1063" s="1" t="s">
        <v>38</v>
      </c>
      <c r="B1063" t="str">
        <f>LEFT(Table13[[#This Row],[Input]],1)</f>
        <v>R</v>
      </c>
      <c r="C1063">
        <f>_xlfn.LET(_xlpm.steps,SUBSTITUTE(Table13[[#This Row],[Input]],Table13[[#This Row],[Direction]],""),VALUE(IF(LEN(_xlpm.steps)&gt;2,RIGHT(_xlpm.steps,2),_xlpm.steps)))</f>
        <v>15</v>
      </c>
      <c r="D1063">
        <f>_xlfn.LET(_xlpm.steps,SUBSTITUTE(Table13[[#This Row],[Input]],Table13[[#This Row],[Direction]],""),VALUE(IF(LEN(_xlpm.steps)&gt;2,LEFT(_xlpm.steps,LEN(_xlpm.steps)-2),0)))</f>
        <v>0</v>
      </c>
      <c r="E1063">
        <f>_xlfn.LET(_xlpm.dir,Table13[[#This Row],[Direction]],
IF(_xlpm.dir="L",
    IF(G1062-Table13[[#This Row],[Steps]]&lt;0,100+(G1062-Table13[[#This Row],[Steps]]),G1062-Table13[[#This Row],[Steps]]),
))</f>
        <v>0</v>
      </c>
      <c r="F1063">
        <f>_xlfn.LET(_xlpm.dir,Table13[[#This Row],[Direction]],
IF(_xlpm.dir="R",
    IF(G1062+Table13[[#This Row],[Steps]]&gt;99,(G1062+Table13[[#This Row],[Steps]])-100,G1062+Table13[[#This Row],[Steps]]),
))</f>
        <v>53</v>
      </c>
      <c r="G1063">
        <f>IF(Table13[[#This Row],[New Pos L]]&lt;&gt;0,Table13[[#This Row],[New Pos L]],Table13[[#This Row],[New Pos R]])</f>
        <v>53</v>
      </c>
      <c r="H1063">
        <f>IF(AND(Table13[[#This Row],[Direction]]="L",Table13[[#This Row],[Steps]]&gt;G1062,G1062&lt;&gt;0),1,0)</f>
        <v>0</v>
      </c>
      <c r="I1063">
        <f>IF(AND(Table13[[#This Row],[Direction]]="R",(G1062+Table13[[#This Row],[Steps]])&gt;100),1,0)</f>
        <v>0</v>
      </c>
      <c r="J1063">
        <f>IF(Table13[[#This Row],[POS]]=0,1,0)</f>
        <v>0</v>
      </c>
      <c r="K1063">
        <f>SUM(Table13[[#This Row],[prefix]],Table13[[#This Row],[Past zero L]],Table13[[#This Row],[Past Zero R]],Table13[[#This Row],[Is Zero]])</f>
        <v>0</v>
      </c>
    </row>
    <row r="1064" spans="1:11" ht="16" x14ac:dyDescent="0.2">
      <c r="A1064" s="1" t="s">
        <v>371</v>
      </c>
      <c r="B1064" t="str">
        <f>LEFT(Table13[[#This Row],[Input]],1)</f>
        <v>L</v>
      </c>
      <c r="C1064">
        <f>_xlfn.LET(_xlpm.steps,SUBSTITUTE(Table13[[#This Row],[Input]],Table13[[#This Row],[Direction]],""),VALUE(IF(LEN(_xlpm.steps)&gt;2,RIGHT(_xlpm.steps,2),_xlpm.steps)))</f>
        <v>53</v>
      </c>
      <c r="D1064">
        <f>_xlfn.LET(_xlpm.steps,SUBSTITUTE(Table13[[#This Row],[Input]],Table13[[#This Row],[Direction]],""),VALUE(IF(LEN(_xlpm.steps)&gt;2,LEFT(_xlpm.steps,LEN(_xlpm.steps)-2),0)))</f>
        <v>9</v>
      </c>
      <c r="E1064">
        <f>_xlfn.LET(_xlpm.dir,Table13[[#This Row],[Direction]],
IF(_xlpm.dir="L",
    IF(G1063-Table13[[#This Row],[Steps]]&lt;0,100+(G1063-Table13[[#This Row],[Steps]]),G1063-Table13[[#This Row],[Steps]]),
))</f>
        <v>0</v>
      </c>
      <c r="F1064">
        <f>_xlfn.LET(_xlpm.dir,Table13[[#This Row],[Direction]],
IF(_xlpm.dir="R",
    IF(G1063+Table13[[#This Row],[Steps]]&gt;99,(G1063+Table13[[#This Row],[Steps]])-100,G1063+Table13[[#This Row],[Steps]]),
))</f>
        <v>0</v>
      </c>
      <c r="G1064">
        <f>IF(Table13[[#This Row],[New Pos L]]&lt;&gt;0,Table13[[#This Row],[New Pos L]],Table13[[#This Row],[New Pos R]])</f>
        <v>0</v>
      </c>
      <c r="H1064">
        <f>IF(AND(Table13[[#This Row],[Direction]]="L",Table13[[#This Row],[Steps]]&gt;G1063,G1063&lt;&gt;0),1,0)</f>
        <v>0</v>
      </c>
      <c r="I1064">
        <f>IF(AND(Table13[[#This Row],[Direction]]="R",(G1063+Table13[[#This Row],[Steps]])&gt;100),1,0)</f>
        <v>0</v>
      </c>
      <c r="J1064">
        <f>IF(Table13[[#This Row],[POS]]=0,1,0)</f>
        <v>1</v>
      </c>
      <c r="K1064">
        <f>SUM(Table13[[#This Row],[prefix]],Table13[[#This Row],[Past zero L]],Table13[[#This Row],[Past Zero R]],Table13[[#This Row],[Is Zero]])</f>
        <v>10</v>
      </c>
    </row>
    <row r="1065" spans="1:11" ht="16" x14ac:dyDescent="0.2">
      <c r="A1065" s="1" t="s">
        <v>77</v>
      </c>
      <c r="B1065" t="str">
        <f>LEFT(Table13[[#This Row],[Input]],1)</f>
        <v>R</v>
      </c>
      <c r="C1065">
        <f>_xlfn.LET(_xlpm.steps,SUBSTITUTE(Table13[[#This Row],[Input]],Table13[[#This Row],[Direction]],""),VALUE(IF(LEN(_xlpm.steps)&gt;2,RIGHT(_xlpm.steps,2),_xlpm.steps)))</f>
        <v>74</v>
      </c>
      <c r="D1065">
        <f>_xlfn.LET(_xlpm.steps,SUBSTITUTE(Table13[[#This Row],[Input]],Table13[[#This Row],[Direction]],""),VALUE(IF(LEN(_xlpm.steps)&gt;2,LEFT(_xlpm.steps,LEN(_xlpm.steps)-2),0)))</f>
        <v>0</v>
      </c>
      <c r="E1065">
        <f>_xlfn.LET(_xlpm.dir,Table13[[#This Row],[Direction]],
IF(_xlpm.dir="L",
    IF(G1064-Table13[[#This Row],[Steps]]&lt;0,100+(G1064-Table13[[#This Row],[Steps]]),G1064-Table13[[#This Row],[Steps]]),
))</f>
        <v>0</v>
      </c>
      <c r="F1065">
        <f>_xlfn.LET(_xlpm.dir,Table13[[#This Row],[Direction]],
IF(_xlpm.dir="R",
    IF(G1064+Table13[[#This Row],[Steps]]&gt;99,(G1064+Table13[[#This Row],[Steps]])-100,G1064+Table13[[#This Row],[Steps]]),
))</f>
        <v>74</v>
      </c>
      <c r="G1065">
        <f>IF(Table13[[#This Row],[New Pos L]]&lt;&gt;0,Table13[[#This Row],[New Pos L]],Table13[[#This Row],[New Pos R]])</f>
        <v>74</v>
      </c>
      <c r="H1065">
        <f>IF(AND(Table13[[#This Row],[Direction]]="L",Table13[[#This Row],[Steps]]&gt;G1064,G1064&lt;&gt;0),1,0)</f>
        <v>0</v>
      </c>
      <c r="I1065">
        <f>IF(AND(Table13[[#This Row],[Direction]]="R",(G1064+Table13[[#This Row],[Steps]])&gt;100),1,0)</f>
        <v>0</v>
      </c>
      <c r="J1065">
        <f>IF(Table13[[#This Row],[POS]]=0,1,0)</f>
        <v>0</v>
      </c>
      <c r="K1065">
        <f>SUM(Table13[[#This Row],[prefix]],Table13[[#This Row],[Past zero L]],Table13[[#This Row],[Past Zero R]],Table13[[#This Row],[Is Zero]])</f>
        <v>0</v>
      </c>
    </row>
    <row r="1066" spans="1:11" ht="16" x14ac:dyDescent="0.2">
      <c r="A1066" s="1" t="s">
        <v>31</v>
      </c>
      <c r="B1066" t="str">
        <f>LEFT(Table13[[#This Row],[Input]],1)</f>
        <v>L</v>
      </c>
      <c r="C1066">
        <f>_xlfn.LET(_xlpm.steps,SUBSTITUTE(Table13[[#This Row],[Input]],Table13[[#This Row],[Direction]],""),VALUE(IF(LEN(_xlpm.steps)&gt;2,RIGHT(_xlpm.steps,2),_xlpm.steps)))</f>
        <v>13</v>
      </c>
      <c r="D1066">
        <f>_xlfn.LET(_xlpm.steps,SUBSTITUTE(Table13[[#This Row],[Input]],Table13[[#This Row],[Direction]],""),VALUE(IF(LEN(_xlpm.steps)&gt;2,LEFT(_xlpm.steps,LEN(_xlpm.steps)-2),0)))</f>
        <v>0</v>
      </c>
      <c r="E1066">
        <f>_xlfn.LET(_xlpm.dir,Table13[[#This Row],[Direction]],
IF(_xlpm.dir="L",
    IF(G1065-Table13[[#This Row],[Steps]]&lt;0,100+(G1065-Table13[[#This Row],[Steps]]),G1065-Table13[[#This Row],[Steps]]),
))</f>
        <v>61</v>
      </c>
      <c r="F1066">
        <f>_xlfn.LET(_xlpm.dir,Table13[[#This Row],[Direction]],
IF(_xlpm.dir="R",
    IF(G1065+Table13[[#This Row],[Steps]]&gt;99,(G1065+Table13[[#This Row],[Steps]])-100,G1065+Table13[[#This Row],[Steps]]),
))</f>
        <v>0</v>
      </c>
      <c r="G1066">
        <f>IF(Table13[[#This Row],[New Pos L]]&lt;&gt;0,Table13[[#This Row],[New Pos L]],Table13[[#This Row],[New Pos R]])</f>
        <v>61</v>
      </c>
      <c r="H1066">
        <f>IF(AND(Table13[[#This Row],[Direction]]="L",Table13[[#This Row],[Steps]]&gt;G1065,G1065&lt;&gt;0),1,0)</f>
        <v>0</v>
      </c>
      <c r="I1066">
        <f>IF(AND(Table13[[#This Row],[Direction]]="R",(G1065+Table13[[#This Row],[Steps]])&gt;100),1,0)</f>
        <v>0</v>
      </c>
      <c r="J1066">
        <f>IF(Table13[[#This Row],[POS]]=0,1,0)</f>
        <v>0</v>
      </c>
      <c r="K1066">
        <f>SUM(Table13[[#This Row],[prefix]],Table13[[#This Row],[Past zero L]],Table13[[#This Row],[Past Zero R]],Table13[[#This Row],[Is Zero]])</f>
        <v>0</v>
      </c>
    </row>
    <row r="1067" spans="1:11" ht="16" x14ac:dyDescent="0.2">
      <c r="A1067" s="1" t="s">
        <v>59</v>
      </c>
      <c r="B1067" t="str">
        <f>LEFT(Table13[[#This Row],[Input]],1)</f>
        <v>L</v>
      </c>
      <c r="C1067">
        <f>_xlfn.LET(_xlpm.steps,SUBSTITUTE(Table13[[#This Row],[Input]],Table13[[#This Row],[Direction]],""),VALUE(IF(LEN(_xlpm.steps)&gt;2,RIGHT(_xlpm.steps,2),_xlpm.steps)))</f>
        <v>6</v>
      </c>
      <c r="D1067">
        <f>_xlfn.LET(_xlpm.steps,SUBSTITUTE(Table13[[#This Row],[Input]],Table13[[#This Row],[Direction]],""),VALUE(IF(LEN(_xlpm.steps)&gt;2,LEFT(_xlpm.steps,LEN(_xlpm.steps)-2),0)))</f>
        <v>0</v>
      </c>
      <c r="E1067">
        <f>_xlfn.LET(_xlpm.dir,Table13[[#This Row],[Direction]],
IF(_xlpm.dir="L",
    IF(G1066-Table13[[#This Row],[Steps]]&lt;0,100+(G1066-Table13[[#This Row],[Steps]]),G1066-Table13[[#This Row],[Steps]]),
))</f>
        <v>55</v>
      </c>
      <c r="F1067">
        <f>_xlfn.LET(_xlpm.dir,Table13[[#This Row],[Direction]],
IF(_xlpm.dir="R",
    IF(G1066+Table13[[#This Row],[Steps]]&gt;99,(G1066+Table13[[#This Row],[Steps]])-100,G1066+Table13[[#This Row],[Steps]]),
))</f>
        <v>0</v>
      </c>
      <c r="G1067">
        <f>IF(Table13[[#This Row],[New Pos L]]&lt;&gt;0,Table13[[#This Row],[New Pos L]],Table13[[#This Row],[New Pos R]])</f>
        <v>55</v>
      </c>
      <c r="H1067">
        <f>IF(AND(Table13[[#This Row],[Direction]]="L",Table13[[#This Row],[Steps]]&gt;G1066,G1066&lt;&gt;0),1,0)</f>
        <v>0</v>
      </c>
      <c r="I1067">
        <f>IF(AND(Table13[[#This Row],[Direction]]="R",(G1066+Table13[[#This Row],[Steps]])&gt;100),1,0)</f>
        <v>0</v>
      </c>
      <c r="J1067">
        <f>IF(Table13[[#This Row],[POS]]=0,1,0)</f>
        <v>0</v>
      </c>
      <c r="K1067">
        <f>SUM(Table13[[#This Row],[prefix]],Table13[[#This Row],[Past zero L]],Table13[[#This Row],[Past Zero R]],Table13[[#This Row],[Is Zero]])</f>
        <v>0</v>
      </c>
    </row>
    <row r="1068" spans="1:11" ht="16" x14ac:dyDescent="0.2">
      <c r="A1068" s="1" t="s">
        <v>86</v>
      </c>
      <c r="B1068" t="str">
        <f>LEFT(Table13[[#This Row],[Input]],1)</f>
        <v>R</v>
      </c>
      <c r="C1068">
        <f>_xlfn.LET(_xlpm.steps,SUBSTITUTE(Table13[[#This Row],[Input]],Table13[[#This Row],[Direction]],""),VALUE(IF(LEN(_xlpm.steps)&gt;2,RIGHT(_xlpm.steps,2),_xlpm.steps)))</f>
        <v>60</v>
      </c>
      <c r="D1068">
        <f>_xlfn.LET(_xlpm.steps,SUBSTITUTE(Table13[[#This Row],[Input]],Table13[[#This Row],[Direction]],""),VALUE(IF(LEN(_xlpm.steps)&gt;2,LEFT(_xlpm.steps,LEN(_xlpm.steps)-2),0)))</f>
        <v>7</v>
      </c>
      <c r="E1068">
        <f>_xlfn.LET(_xlpm.dir,Table13[[#This Row],[Direction]],
IF(_xlpm.dir="L",
    IF(G1067-Table13[[#This Row],[Steps]]&lt;0,100+(G1067-Table13[[#This Row],[Steps]]),G1067-Table13[[#This Row],[Steps]]),
))</f>
        <v>0</v>
      </c>
      <c r="F1068">
        <f>_xlfn.LET(_xlpm.dir,Table13[[#This Row],[Direction]],
IF(_xlpm.dir="R",
    IF(G1067+Table13[[#This Row],[Steps]]&gt;99,(G1067+Table13[[#This Row],[Steps]])-100,G1067+Table13[[#This Row],[Steps]]),
))</f>
        <v>15</v>
      </c>
      <c r="G1068">
        <f>IF(Table13[[#This Row],[New Pos L]]&lt;&gt;0,Table13[[#This Row],[New Pos L]],Table13[[#This Row],[New Pos R]])</f>
        <v>15</v>
      </c>
      <c r="H1068">
        <f>IF(AND(Table13[[#This Row],[Direction]]="L",Table13[[#This Row],[Steps]]&gt;G1067,G1067&lt;&gt;0),1,0)</f>
        <v>0</v>
      </c>
      <c r="I1068">
        <f>IF(AND(Table13[[#This Row],[Direction]]="R",(G1067+Table13[[#This Row],[Steps]])&gt;100),1,0)</f>
        <v>1</v>
      </c>
      <c r="J1068">
        <f>IF(Table13[[#This Row],[POS]]=0,1,0)</f>
        <v>0</v>
      </c>
      <c r="K1068">
        <f>SUM(Table13[[#This Row],[prefix]],Table13[[#This Row],[Past zero L]],Table13[[#This Row],[Past Zero R]],Table13[[#This Row],[Is Zero]])</f>
        <v>8</v>
      </c>
    </row>
    <row r="1069" spans="1:11" ht="16" x14ac:dyDescent="0.2">
      <c r="A1069" s="1" t="s">
        <v>34</v>
      </c>
      <c r="B1069" t="str">
        <f>LEFT(Table13[[#This Row],[Input]],1)</f>
        <v>L</v>
      </c>
      <c r="C1069">
        <f>_xlfn.LET(_xlpm.steps,SUBSTITUTE(Table13[[#This Row],[Input]],Table13[[#This Row],[Direction]],""),VALUE(IF(LEN(_xlpm.steps)&gt;2,RIGHT(_xlpm.steps,2),_xlpm.steps)))</f>
        <v>15</v>
      </c>
      <c r="D1069">
        <f>_xlfn.LET(_xlpm.steps,SUBSTITUTE(Table13[[#This Row],[Input]],Table13[[#This Row],[Direction]],""),VALUE(IF(LEN(_xlpm.steps)&gt;2,LEFT(_xlpm.steps,LEN(_xlpm.steps)-2),0)))</f>
        <v>0</v>
      </c>
      <c r="E1069">
        <f>_xlfn.LET(_xlpm.dir,Table13[[#This Row],[Direction]],
IF(_xlpm.dir="L",
    IF(G1068-Table13[[#This Row],[Steps]]&lt;0,100+(G1068-Table13[[#This Row],[Steps]]),G1068-Table13[[#This Row],[Steps]]),
))</f>
        <v>0</v>
      </c>
      <c r="F1069">
        <f>_xlfn.LET(_xlpm.dir,Table13[[#This Row],[Direction]],
IF(_xlpm.dir="R",
    IF(G1068+Table13[[#This Row],[Steps]]&gt;99,(G1068+Table13[[#This Row],[Steps]])-100,G1068+Table13[[#This Row],[Steps]]),
))</f>
        <v>0</v>
      </c>
      <c r="G1069">
        <f>IF(Table13[[#This Row],[New Pos L]]&lt;&gt;0,Table13[[#This Row],[New Pos L]],Table13[[#This Row],[New Pos R]])</f>
        <v>0</v>
      </c>
      <c r="H1069">
        <f>IF(AND(Table13[[#This Row],[Direction]]="L",Table13[[#This Row],[Steps]]&gt;G1068,G1068&lt;&gt;0),1,0)</f>
        <v>0</v>
      </c>
      <c r="I1069">
        <f>IF(AND(Table13[[#This Row],[Direction]]="R",(G1068+Table13[[#This Row],[Steps]])&gt;100),1,0)</f>
        <v>0</v>
      </c>
      <c r="J1069">
        <f>IF(Table13[[#This Row],[POS]]=0,1,0)</f>
        <v>1</v>
      </c>
      <c r="K1069">
        <f>SUM(Table13[[#This Row],[prefix]],Table13[[#This Row],[Past zero L]],Table13[[#This Row],[Past Zero R]],Table13[[#This Row],[Is Zero]])</f>
        <v>1</v>
      </c>
    </row>
    <row r="1070" spans="1:11" ht="16" x14ac:dyDescent="0.2">
      <c r="A1070" s="1" t="s">
        <v>183</v>
      </c>
      <c r="B1070" t="str">
        <f>LEFT(Table13[[#This Row],[Input]],1)</f>
        <v>L</v>
      </c>
      <c r="C1070">
        <f>_xlfn.LET(_xlpm.steps,SUBSTITUTE(Table13[[#This Row],[Input]],Table13[[#This Row],[Direction]],""),VALUE(IF(LEN(_xlpm.steps)&gt;2,RIGHT(_xlpm.steps,2),_xlpm.steps)))</f>
        <v>67</v>
      </c>
      <c r="D1070">
        <f>_xlfn.LET(_xlpm.steps,SUBSTITUTE(Table13[[#This Row],[Input]],Table13[[#This Row],[Direction]],""),VALUE(IF(LEN(_xlpm.steps)&gt;2,LEFT(_xlpm.steps,LEN(_xlpm.steps)-2),0)))</f>
        <v>0</v>
      </c>
      <c r="E1070">
        <f>_xlfn.LET(_xlpm.dir,Table13[[#This Row],[Direction]],
IF(_xlpm.dir="L",
    IF(G1069-Table13[[#This Row],[Steps]]&lt;0,100+(G1069-Table13[[#This Row],[Steps]]),G1069-Table13[[#This Row],[Steps]]),
))</f>
        <v>33</v>
      </c>
      <c r="F1070">
        <f>_xlfn.LET(_xlpm.dir,Table13[[#This Row],[Direction]],
IF(_xlpm.dir="R",
    IF(G1069+Table13[[#This Row],[Steps]]&gt;99,(G1069+Table13[[#This Row],[Steps]])-100,G1069+Table13[[#This Row],[Steps]]),
))</f>
        <v>0</v>
      </c>
      <c r="G1070">
        <f>IF(Table13[[#This Row],[New Pos L]]&lt;&gt;0,Table13[[#This Row],[New Pos L]],Table13[[#This Row],[New Pos R]])</f>
        <v>33</v>
      </c>
      <c r="H1070">
        <f>IF(AND(Table13[[#This Row],[Direction]]="L",Table13[[#This Row],[Steps]]&gt;G1069,G1069&lt;&gt;0),1,0)</f>
        <v>0</v>
      </c>
      <c r="I1070">
        <f>IF(AND(Table13[[#This Row],[Direction]]="R",(G1069+Table13[[#This Row],[Steps]])&gt;100),1,0)</f>
        <v>0</v>
      </c>
      <c r="J1070">
        <f>IF(Table13[[#This Row],[POS]]=0,1,0)</f>
        <v>0</v>
      </c>
      <c r="K1070">
        <f>SUM(Table13[[#This Row],[prefix]],Table13[[#This Row],[Past zero L]],Table13[[#This Row],[Past Zero R]],Table13[[#This Row],[Is Zero]])</f>
        <v>0</v>
      </c>
    </row>
    <row r="1071" spans="1:11" ht="16" x14ac:dyDescent="0.2">
      <c r="A1071" s="1" t="s">
        <v>29</v>
      </c>
      <c r="B1071" t="str">
        <f>LEFT(Table13[[#This Row],[Input]],1)</f>
        <v>L</v>
      </c>
      <c r="C1071">
        <f>_xlfn.LET(_xlpm.steps,SUBSTITUTE(Table13[[#This Row],[Input]],Table13[[#This Row],[Direction]],""),VALUE(IF(LEN(_xlpm.steps)&gt;2,RIGHT(_xlpm.steps,2),_xlpm.steps)))</f>
        <v>33</v>
      </c>
      <c r="D1071">
        <f>_xlfn.LET(_xlpm.steps,SUBSTITUTE(Table13[[#This Row],[Input]],Table13[[#This Row],[Direction]],""),VALUE(IF(LEN(_xlpm.steps)&gt;2,LEFT(_xlpm.steps,LEN(_xlpm.steps)-2),0)))</f>
        <v>0</v>
      </c>
      <c r="E1071">
        <f>_xlfn.LET(_xlpm.dir,Table13[[#This Row],[Direction]],
IF(_xlpm.dir="L",
    IF(G1070-Table13[[#This Row],[Steps]]&lt;0,100+(G1070-Table13[[#This Row],[Steps]]),G1070-Table13[[#This Row],[Steps]]),
))</f>
        <v>0</v>
      </c>
      <c r="F1071">
        <f>_xlfn.LET(_xlpm.dir,Table13[[#This Row],[Direction]],
IF(_xlpm.dir="R",
    IF(G1070+Table13[[#This Row],[Steps]]&gt;99,(G1070+Table13[[#This Row],[Steps]])-100,G1070+Table13[[#This Row],[Steps]]),
))</f>
        <v>0</v>
      </c>
      <c r="G1071">
        <f>IF(Table13[[#This Row],[New Pos L]]&lt;&gt;0,Table13[[#This Row],[New Pos L]],Table13[[#This Row],[New Pos R]])</f>
        <v>0</v>
      </c>
      <c r="H1071">
        <f>IF(AND(Table13[[#This Row],[Direction]]="L",Table13[[#This Row],[Steps]]&gt;G1070,G1070&lt;&gt;0),1,0)</f>
        <v>0</v>
      </c>
      <c r="I1071">
        <f>IF(AND(Table13[[#This Row],[Direction]]="R",(G1070+Table13[[#This Row],[Steps]])&gt;100),1,0)</f>
        <v>0</v>
      </c>
      <c r="J1071">
        <f>IF(Table13[[#This Row],[POS]]=0,1,0)</f>
        <v>1</v>
      </c>
      <c r="K1071">
        <f>SUM(Table13[[#This Row],[prefix]],Table13[[#This Row],[Past zero L]],Table13[[#This Row],[Past Zero R]],Table13[[#This Row],[Is Zero]])</f>
        <v>1</v>
      </c>
    </row>
    <row r="1072" spans="1:11" ht="16" x14ac:dyDescent="0.2">
      <c r="A1072" s="1" t="s">
        <v>253</v>
      </c>
      <c r="B1072" t="str">
        <f>LEFT(Table13[[#This Row],[Input]],1)</f>
        <v>R</v>
      </c>
      <c r="C1072">
        <f>_xlfn.LET(_xlpm.steps,SUBSTITUTE(Table13[[#This Row],[Input]],Table13[[#This Row],[Direction]],""),VALUE(IF(LEN(_xlpm.steps)&gt;2,RIGHT(_xlpm.steps,2),_xlpm.steps)))</f>
        <v>94</v>
      </c>
      <c r="D1072">
        <f>_xlfn.LET(_xlpm.steps,SUBSTITUTE(Table13[[#This Row],[Input]],Table13[[#This Row],[Direction]],""),VALUE(IF(LEN(_xlpm.steps)&gt;2,LEFT(_xlpm.steps,LEN(_xlpm.steps)-2),0)))</f>
        <v>0</v>
      </c>
      <c r="E1072">
        <f>_xlfn.LET(_xlpm.dir,Table13[[#This Row],[Direction]],
IF(_xlpm.dir="L",
    IF(G1071-Table13[[#This Row],[Steps]]&lt;0,100+(G1071-Table13[[#This Row],[Steps]]),G1071-Table13[[#This Row],[Steps]]),
))</f>
        <v>0</v>
      </c>
      <c r="F1072">
        <f>_xlfn.LET(_xlpm.dir,Table13[[#This Row],[Direction]],
IF(_xlpm.dir="R",
    IF(G1071+Table13[[#This Row],[Steps]]&gt;99,(G1071+Table13[[#This Row],[Steps]])-100,G1071+Table13[[#This Row],[Steps]]),
))</f>
        <v>94</v>
      </c>
      <c r="G1072">
        <f>IF(Table13[[#This Row],[New Pos L]]&lt;&gt;0,Table13[[#This Row],[New Pos L]],Table13[[#This Row],[New Pos R]])</f>
        <v>94</v>
      </c>
      <c r="H1072">
        <f>IF(AND(Table13[[#This Row],[Direction]]="L",Table13[[#This Row],[Steps]]&gt;G1071,G1071&lt;&gt;0),1,0)</f>
        <v>0</v>
      </c>
      <c r="I1072">
        <f>IF(AND(Table13[[#This Row],[Direction]]="R",(G1071+Table13[[#This Row],[Steps]])&gt;100),1,0)</f>
        <v>0</v>
      </c>
      <c r="J1072">
        <f>IF(Table13[[#This Row],[POS]]=0,1,0)</f>
        <v>0</v>
      </c>
      <c r="K1072">
        <f>SUM(Table13[[#This Row],[prefix]],Table13[[#This Row],[Past zero L]],Table13[[#This Row],[Past Zero R]],Table13[[#This Row],[Is Zero]])</f>
        <v>0</v>
      </c>
    </row>
    <row r="1073" spans="1:11" ht="16" x14ac:dyDescent="0.2">
      <c r="A1073" s="1" t="s">
        <v>71</v>
      </c>
      <c r="B1073" t="str">
        <f>LEFT(Table13[[#This Row],[Input]],1)</f>
        <v>R</v>
      </c>
      <c r="C1073">
        <f>_xlfn.LET(_xlpm.steps,SUBSTITUTE(Table13[[#This Row],[Input]],Table13[[#This Row],[Direction]],""),VALUE(IF(LEN(_xlpm.steps)&gt;2,RIGHT(_xlpm.steps,2),_xlpm.steps)))</f>
        <v>23</v>
      </c>
      <c r="D1073">
        <f>_xlfn.LET(_xlpm.steps,SUBSTITUTE(Table13[[#This Row],[Input]],Table13[[#This Row],[Direction]],""),VALUE(IF(LEN(_xlpm.steps)&gt;2,LEFT(_xlpm.steps,LEN(_xlpm.steps)-2),0)))</f>
        <v>0</v>
      </c>
      <c r="E1073">
        <f>_xlfn.LET(_xlpm.dir,Table13[[#This Row],[Direction]],
IF(_xlpm.dir="L",
    IF(G1072-Table13[[#This Row],[Steps]]&lt;0,100+(G1072-Table13[[#This Row],[Steps]]),G1072-Table13[[#This Row],[Steps]]),
))</f>
        <v>0</v>
      </c>
      <c r="F1073">
        <f>_xlfn.LET(_xlpm.dir,Table13[[#This Row],[Direction]],
IF(_xlpm.dir="R",
    IF(G1072+Table13[[#This Row],[Steps]]&gt;99,(G1072+Table13[[#This Row],[Steps]])-100,G1072+Table13[[#This Row],[Steps]]),
))</f>
        <v>17</v>
      </c>
      <c r="G1073">
        <f>IF(Table13[[#This Row],[New Pos L]]&lt;&gt;0,Table13[[#This Row],[New Pos L]],Table13[[#This Row],[New Pos R]])</f>
        <v>17</v>
      </c>
      <c r="H1073">
        <f>IF(AND(Table13[[#This Row],[Direction]]="L",Table13[[#This Row],[Steps]]&gt;G1072,G1072&lt;&gt;0),1,0)</f>
        <v>0</v>
      </c>
      <c r="I1073">
        <f>IF(AND(Table13[[#This Row],[Direction]]="R",(G1072+Table13[[#This Row],[Steps]])&gt;100),1,0)</f>
        <v>1</v>
      </c>
      <c r="J1073">
        <f>IF(Table13[[#This Row],[POS]]=0,1,0)</f>
        <v>0</v>
      </c>
      <c r="K1073">
        <f>SUM(Table13[[#This Row],[prefix]],Table13[[#This Row],[Past zero L]],Table13[[#This Row],[Past Zero R]],Table13[[#This Row],[Is Zero]])</f>
        <v>1</v>
      </c>
    </row>
    <row r="1074" spans="1:11" ht="16" x14ac:dyDescent="0.2">
      <c r="A1074" s="1" t="s">
        <v>58</v>
      </c>
      <c r="B1074" t="str">
        <f>LEFT(Table13[[#This Row],[Input]],1)</f>
        <v>L</v>
      </c>
      <c r="C1074">
        <f>_xlfn.LET(_xlpm.steps,SUBSTITUTE(Table13[[#This Row],[Input]],Table13[[#This Row],[Direction]],""),VALUE(IF(LEN(_xlpm.steps)&gt;2,RIGHT(_xlpm.steps,2),_xlpm.steps)))</f>
        <v>30</v>
      </c>
      <c r="D1074">
        <f>_xlfn.LET(_xlpm.steps,SUBSTITUTE(Table13[[#This Row],[Input]],Table13[[#This Row],[Direction]],""),VALUE(IF(LEN(_xlpm.steps)&gt;2,LEFT(_xlpm.steps,LEN(_xlpm.steps)-2),0)))</f>
        <v>0</v>
      </c>
      <c r="E1074">
        <f>_xlfn.LET(_xlpm.dir,Table13[[#This Row],[Direction]],
IF(_xlpm.dir="L",
    IF(G1073-Table13[[#This Row],[Steps]]&lt;0,100+(G1073-Table13[[#This Row],[Steps]]),G1073-Table13[[#This Row],[Steps]]),
))</f>
        <v>87</v>
      </c>
      <c r="F1074">
        <f>_xlfn.LET(_xlpm.dir,Table13[[#This Row],[Direction]],
IF(_xlpm.dir="R",
    IF(G1073+Table13[[#This Row],[Steps]]&gt;99,(G1073+Table13[[#This Row],[Steps]])-100,G1073+Table13[[#This Row],[Steps]]),
))</f>
        <v>0</v>
      </c>
      <c r="G1074">
        <f>IF(Table13[[#This Row],[New Pos L]]&lt;&gt;0,Table13[[#This Row],[New Pos L]],Table13[[#This Row],[New Pos R]])</f>
        <v>87</v>
      </c>
      <c r="H1074">
        <f>IF(AND(Table13[[#This Row],[Direction]]="L",Table13[[#This Row],[Steps]]&gt;G1073,G1073&lt;&gt;0),1,0)</f>
        <v>1</v>
      </c>
      <c r="I1074">
        <f>IF(AND(Table13[[#This Row],[Direction]]="R",(G1073+Table13[[#This Row],[Steps]])&gt;100),1,0)</f>
        <v>0</v>
      </c>
      <c r="J1074">
        <f>IF(Table13[[#This Row],[POS]]=0,1,0)</f>
        <v>0</v>
      </c>
      <c r="K1074">
        <f>SUM(Table13[[#This Row],[prefix]],Table13[[#This Row],[Past zero L]],Table13[[#This Row],[Past Zero R]],Table13[[#This Row],[Is Zero]])</f>
        <v>1</v>
      </c>
    </row>
    <row r="1075" spans="1:11" ht="16" x14ac:dyDescent="0.2">
      <c r="A1075" s="1" t="s">
        <v>256</v>
      </c>
      <c r="B1075" t="str">
        <f>LEFT(Table13[[#This Row],[Input]],1)</f>
        <v>R</v>
      </c>
      <c r="C1075">
        <f>_xlfn.LET(_xlpm.steps,SUBSTITUTE(Table13[[#This Row],[Input]],Table13[[#This Row],[Direction]],""),VALUE(IF(LEN(_xlpm.steps)&gt;2,RIGHT(_xlpm.steps,2),_xlpm.steps)))</f>
        <v>13</v>
      </c>
      <c r="D1075">
        <f>_xlfn.LET(_xlpm.steps,SUBSTITUTE(Table13[[#This Row],[Input]],Table13[[#This Row],[Direction]],""),VALUE(IF(LEN(_xlpm.steps)&gt;2,LEFT(_xlpm.steps,LEN(_xlpm.steps)-2),0)))</f>
        <v>0</v>
      </c>
      <c r="E1075">
        <f>_xlfn.LET(_xlpm.dir,Table13[[#This Row],[Direction]],
IF(_xlpm.dir="L",
    IF(G1074-Table13[[#This Row],[Steps]]&lt;0,100+(G1074-Table13[[#This Row],[Steps]]),G1074-Table13[[#This Row],[Steps]]),
))</f>
        <v>0</v>
      </c>
      <c r="F1075">
        <f>_xlfn.LET(_xlpm.dir,Table13[[#This Row],[Direction]],
IF(_xlpm.dir="R",
    IF(G1074+Table13[[#This Row],[Steps]]&gt;99,(G1074+Table13[[#This Row],[Steps]])-100,G1074+Table13[[#This Row],[Steps]]),
))</f>
        <v>0</v>
      </c>
      <c r="G1075">
        <f>IF(Table13[[#This Row],[New Pos L]]&lt;&gt;0,Table13[[#This Row],[New Pos L]],Table13[[#This Row],[New Pos R]])</f>
        <v>0</v>
      </c>
      <c r="H1075">
        <f>IF(AND(Table13[[#This Row],[Direction]]="L",Table13[[#This Row],[Steps]]&gt;G1074,G1074&lt;&gt;0),1,0)</f>
        <v>0</v>
      </c>
      <c r="I1075">
        <f>IF(AND(Table13[[#This Row],[Direction]]="R",(G1074+Table13[[#This Row],[Steps]])&gt;100),1,0)</f>
        <v>0</v>
      </c>
      <c r="J1075">
        <f>IF(Table13[[#This Row],[POS]]=0,1,0)</f>
        <v>1</v>
      </c>
      <c r="K1075">
        <f>SUM(Table13[[#This Row],[prefix]],Table13[[#This Row],[Past zero L]],Table13[[#This Row],[Past Zero R]],Table13[[#This Row],[Is Zero]])</f>
        <v>1</v>
      </c>
    </row>
    <row r="1076" spans="1:11" ht="16" x14ac:dyDescent="0.2">
      <c r="A1076" s="1" t="s">
        <v>148</v>
      </c>
      <c r="B1076" t="str">
        <f>LEFT(Table13[[#This Row],[Input]],1)</f>
        <v>R</v>
      </c>
      <c r="C1076">
        <f>_xlfn.LET(_xlpm.steps,SUBSTITUTE(Table13[[#This Row],[Input]],Table13[[#This Row],[Direction]],""),VALUE(IF(LEN(_xlpm.steps)&gt;2,RIGHT(_xlpm.steps,2),_xlpm.steps)))</f>
        <v>80</v>
      </c>
      <c r="D1076">
        <f>_xlfn.LET(_xlpm.steps,SUBSTITUTE(Table13[[#This Row],[Input]],Table13[[#This Row],[Direction]],""),VALUE(IF(LEN(_xlpm.steps)&gt;2,LEFT(_xlpm.steps,LEN(_xlpm.steps)-2),0)))</f>
        <v>0</v>
      </c>
      <c r="E1076">
        <f>_xlfn.LET(_xlpm.dir,Table13[[#This Row],[Direction]],
IF(_xlpm.dir="L",
    IF(G1075-Table13[[#This Row],[Steps]]&lt;0,100+(G1075-Table13[[#This Row],[Steps]]),G1075-Table13[[#This Row],[Steps]]),
))</f>
        <v>0</v>
      </c>
      <c r="F1076">
        <f>_xlfn.LET(_xlpm.dir,Table13[[#This Row],[Direction]],
IF(_xlpm.dir="R",
    IF(G1075+Table13[[#This Row],[Steps]]&gt;99,(G1075+Table13[[#This Row],[Steps]])-100,G1075+Table13[[#This Row],[Steps]]),
))</f>
        <v>80</v>
      </c>
      <c r="G1076">
        <f>IF(Table13[[#This Row],[New Pos L]]&lt;&gt;0,Table13[[#This Row],[New Pos L]],Table13[[#This Row],[New Pos R]])</f>
        <v>80</v>
      </c>
      <c r="H1076">
        <f>IF(AND(Table13[[#This Row],[Direction]]="L",Table13[[#This Row],[Steps]]&gt;G1075,G1075&lt;&gt;0),1,0)</f>
        <v>0</v>
      </c>
      <c r="I1076">
        <f>IF(AND(Table13[[#This Row],[Direction]]="R",(G1075+Table13[[#This Row],[Steps]])&gt;100),1,0)</f>
        <v>0</v>
      </c>
      <c r="J1076">
        <f>IF(Table13[[#This Row],[POS]]=0,1,0)</f>
        <v>0</v>
      </c>
      <c r="K1076">
        <f>SUM(Table13[[#This Row],[prefix]],Table13[[#This Row],[Past zero L]],Table13[[#This Row],[Past Zero R]],Table13[[#This Row],[Is Zero]])</f>
        <v>0</v>
      </c>
    </row>
    <row r="1077" spans="1:11" ht="16" x14ac:dyDescent="0.2">
      <c r="A1077" s="1" t="s">
        <v>69</v>
      </c>
      <c r="B1077" t="str">
        <f>LEFT(Table13[[#This Row],[Input]],1)</f>
        <v>R</v>
      </c>
      <c r="C1077">
        <f>_xlfn.LET(_xlpm.steps,SUBSTITUTE(Table13[[#This Row],[Input]],Table13[[#This Row],[Direction]],""),VALUE(IF(LEN(_xlpm.steps)&gt;2,RIGHT(_xlpm.steps,2),_xlpm.steps)))</f>
        <v>27</v>
      </c>
      <c r="D1077">
        <f>_xlfn.LET(_xlpm.steps,SUBSTITUTE(Table13[[#This Row],[Input]],Table13[[#This Row],[Direction]],""),VALUE(IF(LEN(_xlpm.steps)&gt;2,LEFT(_xlpm.steps,LEN(_xlpm.steps)-2),0)))</f>
        <v>0</v>
      </c>
      <c r="E1077">
        <f>_xlfn.LET(_xlpm.dir,Table13[[#This Row],[Direction]],
IF(_xlpm.dir="L",
    IF(G1076-Table13[[#This Row],[Steps]]&lt;0,100+(G1076-Table13[[#This Row],[Steps]]),G1076-Table13[[#This Row],[Steps]]),
))</f>
        <v>0</v>
      </c>
      <c r="F1077">
        <f>_xlfn.LET(_xlpm.dir,Table13[[#This Row],[Direction]],
IF(_xlpm.dir="R",
    IF(G1076+Table13[[#This Row],[Steps]]&gt;99,(G1076+Table13[[#This Row],[Steps]])-100,G1076+Table13[[#This Row],[Steps]]),
))</f>
        <v>7</v>
      </c>
      <c r="G1077">
        <f>IF(Table13[[#This Row],[New Pos L]]&lt;&gt;0,Table13[[#This Row],[New Pos L]],Table13[[#This Row],[New Pos R]])</f>
        <v>7</v>
      </c>
      <c r="H1077">
        <f>IF(AND(Table13[[#This Row],[Direction]]="L",Table13[[#This Row],[Steps]]&gt;G1076,G1076&lt;&gt;0),1,0)</f>
        <v>0</v>
      </c>
      <c r="I1077">
        <f>IF(AND(Table13[[#This Row],[Direction]]="R",(G1076+Table13[[#This Row],[Steps]])&gt;100),1,0)</f>
        <v>1</v>
      </c>
      <c r="J1077">
        <f>IF(Table13[[#This Row],[POS]]=0,1,0)</f>
        <v>0</v>
      </c>
      <c r="K1077">
        <f>SUM(Table13[[#This Row],[prefix]],Table13[[#This Row],[Past zero L]],Table13[[#This Row],[Past Zero R]],Table13[[#This Row],[Is Zero]])</f>
        <v>1</v>
      </c>
    </row>
    <row r="1078" spans="1:11" ht="16" x14ac:dyDescent="0.2">
      <c r="A1078" s="1" t="s">
        <v>105</v>
      </c>
      <c r="B1078" t="str">
        <f>LEFT(Table13[[#This Row],[Input]],1)</f>
        <v>R</v>
      </c>
      <c r="C1078">
        <f>_xlfn.LET(_xlpm.steps,SUBSTITUTE(Table13[[#This Row],[Input]],Table13[[#This Row],[Direction]],""),VALUE(IF(LEN(_xlpm.steps)&gt;2,RIGHT(_xlpm.steps,2),_xlpm.steps)))</f>
        <v>98</v>
      </c>
      <c r="D1078">
        <f>_xlfn.LET(_xlpm.steps,SUBSTITUTE(Table13[[#This Row],[Input]],Table13[[#This Row],[Direction]],""),VALUE(IF(LEN(_xlpm.steps)&gt;2,LEFT(_xlpm.steps,LEN(_xlpm.steps)-2),0)))</f>
        <v>0</v>
      </c>
      <c r="E1078">
        <f>_xlfn.LET(_xlpm.dir,Table13[[#This Row],[Direction]],
IF(_xlpm.dir="L",
    IF(G1077-Table13[[#This Row],[Steps]]&lt;0,100+(G1077-Table13[[#This Row],[Steps]]),G1077-Table13[[#This Row],[Steps]]),
))</f>
        <v>0</v>
      </c>
      <c r="F1078">
        <f>_xlfn.LET(_xlpm.dir,Table13[[#This Row],[Direction]],
IF(_xlpm.dir="R",
    IF(G1077+Table13[[#This Row],[Steps]]&gt;99,(G1077+Table13[[#This Row],[Steps]])-100,G1077+Table13[[#This Row],[Steps]]),
))</f>
        <v>5</v>
      </c>
      <c r="G1078">
        <f>IF(Table13[[#This Row],[New Pos L]]&lt;&gt;0,Table13[[#This Row],[New Pos L]],Table13[[#This Row],[New Pos R]])</f>
        <v>5</v>
      </c>
      <c r="H1078">
        <f>IF(AND(Table13[[#This Row],[Direction]]="L",Table13[[#This Row],[Steps]]&gt;G1077,G1077&lt;&gt;0),1,0)</f>
        <v>0</v>
      </c>
      <c r="I1078">
        <f>IF(AND(Table13[[#This Row],[Direction]]="R",(G1077+Table13[[#This Row],[Steps]])&gt;100),1,0)</f>
        <v>1</v>
      </c>
      <c r="J1078">
        <f>IF(Table13[[#This Row],[POS]]=0,1,0)</f>
        <v>0</v>
      </c>
      <c r="K1078">
        <f>SUM(Table13[[#This Row],[prefix]],Table13[[#This Row],[Past zero L]],Table13[[#This Row],[Past Zero R]],Table13[[#This Row],[Is Zero]])</f>
        <v>1</v>
      </c>
    </row>
    <row r="1079" spans="1:11" ht="16" x14ac:dyDescent="0.2">
      <c r="A1079" s="1" t="s">
        <v>131</v>
      </c>
      <c r="B1079" t="str">
        <f>LEFT(Table13[[#This Row],[Input]],1)</f>
        <v>R</v>
      </c>
      <c r="C1079">
        <f>_xlfn.LET(_xlpm.steps,SUBSTITUTE(Table13[[#This Row],[Input]],Table13[[#This Row],[Direction]],""),VALUE(IF(LEN(_xlpm.steps)&gt;2,RIGHT(_xlpm.steps,2),_xlpm.steps)))</f>
        <v>99</v>
      </c>
      <c r="D1079">
        <f>_xlfn.LET(_xlpm.steps,SUBSTITUTE(Table13[[#This Row],[Input]],Table13[[#This Row],[Direction]],""),VALUE(IF(LEN(_xlpm.steps)&gt;2,LEFT(_xlpm.steps,LEN(_xlpm.steps)-2),0)))</f>
        <v>0</v>
      </c>
      <c r="E1079">
        <f>_xlfn.LET(_xlpm.dir,Table13[[#This Row],[Direction]],
IF(_xlpm.dir="L",
    IF(G1078-Table13[[#This Row],[Steps]]&lt;0,100+(G1078-Table13[[#This Row],[Steps]]),G1078-Table13[[#This Row],[Steps]]),
))</f>
        <v>0</v>
      </c>
      <c r="F1079">
        <f>_xlfn.LET(_xlpm.dir,Table13[[#This Row],[Direction]],
IF(_xlpm.dir="R",
    IF(G1078+Table13[[#This Row],[Steps]]&gt;99,(G1078+Table13[[#This Row],[Steps]])-100,G1078+Table13[[#This Row],[Steps]]),
))</f>
        <v>4</v>
      </c>
      <c r="G1079">
        <f>IF(Table13[[#This Row],[New Pos L]]&lt;&gt;0,Table13[[#This Row],[New Pos L]],Table13[[#This Row],[New Pos R]])</f>
        <v>4</v>
      </c>
      <c r="H1079">
        <f>IF(AND(Table13[[#This Row],[Direction]]="L",Table13[[#This Row],[Steps]]&gt;G1078,G1078&lt;&gt;0),1,0)</f>
        <v>0</v>
      </c>
      <c r="I1079">
        <f>IF(AND(Table13[[#This Row],[Direction]]="R",(G1078+Table13[[#This Row],[Steps]])&gt;100),1,0)</f>
        <v>1</v>
      </c>
      <c r="J1079">
        <f>IF(Table13[[#This Row],[POS]]=0,1,0)</f>
        <v>0</v>
      </c>
      <c r="K1079">
        <f>SUM(Table13[[#This Row],[prefix]],Table13[[#This Row],[Past zero L]],Table13[[#This Row],[Past Zero R]],Table13[[#This Row],[Is Zero]])</f>
        <v>1</v>
      </c>
    </row>
    <row r="1080" spans="1:11" ht="16" x14ac:dyDescent="0.2">
      <c r="A1080" s="1" t="s">
        <v>44</v>
      </c>
      <c r="B1080" t="str">
        <f>LEFT(Table13[[#This Row],[Input]],1)</f>
        <v>R</v>
      </c>
      <c r="C1080">
        <f>_xlfn.LET(_xlpm.steps,SUBSTITUTE(Table13[[#This Row],[Input]],Table13[[#This Row],[Direction]],""),VALUE(IF(LEN(_xlpm.steps)&gt;2,RIGHT(_xlpm.steps,2),_xlpm.steps)))</f>
        <v>96</v>
      </c>
      <c r="D1080">
        <f>_xlfn.LET(_xlpm.steps,SUBSTITUTE(Table13[[#This Row],[Input]],Table13[[#This Row],[Direction]],""),VALUE(IF(LEN(_xlpm.steps)&gt;2,LEFT(_xlpm.steps,LEN(_xlpm.steps)-2),0)))</f>
        <v>0</v>
      </c>
      <c r="E1080">
        <f>_xlfn.LET(_xlpm.dir,Table13[[#This Row],[Direction]],
IF(_xlpm.dir="L",
    IF(G1079-Table13[[#This Row],[Steps]]&lt;0,100+(G1079-Table13[[#This Row],[Steps]]),G1079-Table13[[#This Row],[Steps]]),
))</f>
        <v>0</v>
      </c>
      <c r="F1080">
        <f>_xlfn.LET(_xlpm.dir,Table13[[#This Row],[Direction]],
IF(_xlpm.dir="R",
    IF(G1079+Table13[[#This Row],[Steps]]&gt;99,(G1079+Table13[[#This Row],[Steps]])-100,G1079+Table13[[#This Row],[Steps]]),
))</f>
        <v>0</v>
      </c>
      <c r="G1080">
        <f>IF(Table13[[#This Row],[New Pos L]]&lt;&gt;0,Table13[[#This Row],[New Pos L]],Table13[[#This Row],[New Pos R]])</f>
        <v>0</v>
      </c>
      <c r="H1080">
        <f>IF(AND(Table13[[#This Row],[Direction]]="L",Table13[[#This Row],[Steps]]&gt;G1079,G1079&lt;&gt;0),1,0)</f>
        <v>0</v>
      </c>
      <c r="I1080">
        <f>IF(AND(Table13[[#This Row],[Direction]]="R",(G1079+Table13[[#This Row],[Steps]])&gt;100),1,0)</f>
        <v>0</v>
      </c>
      <c r="J1080">
        <f>IF(Table13[[#This Row],[POS]]=0,1,0)</f>
        <v>1</v>
      </c>
      <c r="K1080">
        <f>SUM(Table13[[#This Row],[prefix]],Table13[[#This Row],[Past zero L]],Table13[[#This Row],[Past Zero R]],Table13[[#This Row],[Is Zero]])</f>
        <v>1</v>
      </c>
    </row>
    <row r="1081" spans="1:11" ht="16" x14ac:dyDescent="0.2">
      <c r="A1081" s="1" t="s">
        <v>29</v>
      </c>
      <c r="B1081" t="str">
        <f>LEFT(Table13[[#This Row],[Input]],1)</f>
        <v>L</v>
      </c>
      <c r="C1081">
        <f>_xlfn.LET(_xlpm.steps,SUBSTITUTE(Table13[[#This Row],[Input]],Table13[[#This Row],[Direction]],""),VALUE(IF(LEN(_xlpm.steps)&gt;2,RIGHT(_xlpm.steps,2),_xlpm.steps)))</f>
        <v>33</v>
      </c>
      <c r="D1081">
        <f>_xlfn.LET(_xlpm.steps,SUBSTITUTE(Table13[[#This Row],[Input]],Table13[[#This Row],[Direction]],""),VALUE(IF(LEN(_xlpm.steps)&gt;2,LEFT(_xlpm.steps,LEN(_xlpm.steps)-2),0)))</f>
        <v>0</v>
      </c>
      <c r="E1081">
        <f>_xlfn.LET(_xlpm.dir,Table13[[#This Row],[Direction]],
IF(_xlpm.dir="L",
    IF(G1080-Table13[[#This Row],[Steps]]&lt;0,100+(G1080-Table13[[#This Row],[Steps]]),G1080-Table13[[#This Row],[Steps]]),
))</f>
        <v>67</v>
      </c>
      <c r="F1081">
        <f>_xlfn.LET(_xlpm.dir,Table13[[#This Row],[Direction]],
IF(_xlpm.dir="R",
    IF(G1080+Table13[[#This Row],[Steps]]&gt;99,(G1080+Table13[[#This Row],[Steps]])-100,G1080+Table13[[#This Row],[Steps]]),
))</f>
        <v>0</v>
      </c>
      <c r="G1081">
        <f>IF(Table13[[#This Row],[New Pos L]]&lt;&gt;0,Table13[[#This Row],[New Pos L]],Table13[[#This Row],[New Pos R]])</f>
        <v>67</v>
      </c>
      <c r="H1081">
        <f>IF(AND(Table13[[#This Row],[Direction]]="L",Table13[[#This Row],[Steps]]&gt;G1080,G1080&lt;&gt;0),1,0)</f>
        <v>0</v>
      </c>
      <c r="I1081">
        <f>IF(AND(Table13[[#This Row],[Direction]]="R",(G1080+Table13[[#This Row],[Steps]])&gt;100),1,0)</f>
        <v>0</v>
      </c>
      <c r="J1081">
        <f>IF(Table13[[#This Row],[POS]]=0,1,0)</f>
        <v>0</v>
      </c>
      <c r="K1081">
        <f>SUM(Table13[[#This Row],[prefix]],Table13[[#This Row],[Past zero L]],Table13[[#This Row],[Past Zero R]],Table13[[#This Row],[Is Zero]])</f>
        <v>0</v>
      </c>
    </row>
    <row r="1082" spans="1:11" ht="16" x14ac:dyDescent="0.2">
      <c r="A1082" s="1" t="s">
        <v>67</v>
      </c>
      <c r="B1082" t="str">
        <f>LEFT(Table13[[#This Row],[Input]],1)</f>
        <v>R</v>
      </c>
      <c r="C1082">
        <f>_xlfn.LET(_xlpm.steps,SUBSTITUTE(Table13[[#This Row],[Input]],Table13[[#This Row],[Direction]],""),VALUE(IF(LEN(_xlpm.steps)&gt;2,RIGHT(_xlpm.steps,2),_xlpm.steps)))</f>
        <v>33</v>
      </c>
      <c r="D1082">
        <f>_xlfn.LET(_xlpm.steps,SUBSTITUTE(Table13[[#This Row],[Input]],Table13[[#This Row],[Direction]],""),VALUE(IF(LEN(_xlpm.steps)&gt;2,LEFT(_xlpm.steps,LEN(_xlpm.steps)-2),0)))</f>
        <v>0</v>
      </c>
      <c r="E1082">
        <f>_xlfn.LET(_xlpm.dir,Table13[[#This Row],[Direction]],
IF(_xlpm.dir="L",
    IF(G1081-Table13[[#This Row],[Steps]]&lt;0,100+(G1081-Table13[[#This Row],[Steps]]),G1081-Table13[[#This Row],[Steps]]),
))</f>
        <v>0</v>
      </c>
      <c r="F1082">
        <f>_xlfn.LET(_xlpm.dir,Table13[[#This Row],[Direction]],
IF(_xlpm.dir="R",
    IF(G1081+Table13[[#This Row],[Steps]]&gt;99,(G1081+Table13[[#This Row],[Steps]])-100,G1081+Table13[[#This Row],[Steps]]),
))</f>
        <v>0</v>
      </c>
      <c r="G1082">
        <f>IF(Table13[[#This Row],[New Pos L]]&lt;&gt;0,Table13[[#This Row],[New Pos L]],Table13[[#This Row],[New Pos R]])</f>
        <v>0</v>
      </c>
      <c r="H1082">
        <f>IF(AND(Table13[[#This Row],[Direction]]="L",Table13[[#This Row],[Steps]]&gt;G1081,G1081&lt;&gt;0),1,0)</f>
        <v>0</v>
      </c>
      <c r="I1082">
        <f>IF(AND(Table13[[#This Row],[Direction]]="R",(G1081+Table13[[#This Row],[Steps]])&gt;100),1,0)</f>
        <v>0</v>
      </c>
      <c r="J1082">
        <f>IF(Table13[[#This Row],[POS]]=0,1,0)</f>
        <v>1</v>
      </c>
      <c r="K1082">
        <f>SUM(Table13[[#This Row],[prefix]],Table13[[#This Row],[Past zero L]],Table13[[#This Row],[Past Zero R]],Table13[[#This Row],[Is Zero]])</f>
        <v>1</v>
      </c>
    </row>
    <row r="1083" spans="1:11" ht="16" x14ac:dyDescent="0.2">
      <c r="A1083" s="1" t="s">
        <v>134</v>
      </c>
      <c r="B1083" t="str">
        <f>LEFT(Table13[[#This Row],[Input]],1)</f>
        <v>L</v>
      </c>
      <c r="C1083">
        <f>_xlfn.LET(_xlpm.steps,SUBSTITUTE(Table13[[#This Row],[Input]],Table13[[#This Row],[Direction]],""),VALUE(IF(LEN(_xlpm.steps)&gt;2,RIGHT(_xlpm.steps,2),_xlpm.steps)))</f>
        <v>95</v>
      </c>
      <c r="D1083">
        <f>_xlfn.LET(_xlpm.steps,SUBSTITUTE(Table13[[#This Row],[Input]],Table13[[#This Row],[Direction]],""),VALUE(IF(LEN(_xlpm.steps)&gt;2,LEFT(_xlpm.steps,LEN(_xlpm.steps)-2),0)))</f>
        <v>0</v>
      </c>
      <c r="E1083">
        <f>_xlfn.LET(_xlpm.dir,Table13[[#This Row],[Direction]],
IF(_xlpm.dir="L",
    IF(G1082-Table13[[#This Row],[Steps]]&lt;0,100+(G1082-Table13[[#This Row],[Steps]]),G1082-Table13[[#This Row],[Steps]]),
))</f>
        <v>5</v>
      </c>
      <c r="F1083">
        <f>_xlfn.LET(_xlpm.dir,Table13[[#This Row],[Direction]],
IF(_xlpm.dir="R",
    IF(G1082+Table13[[#This Row],[Steps]]&gt;99,(G1082+Table13[[#This Row],[Steps]])-100,G1082+Table13[[#This Row],[Steps]]),
))</f>
        <v>0</v>
      </c>
      <c r="G1083">
        <f>IF(Table13[[#This Row],[New Pos L]]&lt;&gt;0,Table13[[#This Row],[New Pos L]],Table13[[#This Row],[New Pos R]])</f>
        <v>5</v>
      </c>
      <c r="H1083">
        <f>IF(AND(Table13[[#This Row],[Direction]]="L",Table13[[#This Row],[Steps]]&gt;G1082,G1082&lt;&gt;0),1,0)</f>
        <v>0</v>
      </c>
      <c r="I1083">
        <f>IF(AND(Table13[[#This Row],[Direction]]="R",(G1082+Table13[[#This Row],[Steps]])&gt;100),1,0)</f>
        <v>0</v>
      </c>
      <c r="J1083">
        <f>IF(Table13[[#This Row],[POS]]=0,1,0)</f>
        <v>0</v>
      </c>
      <c r="K1083">
        <f>SUM(Table13[[#This Row],[prefix]],Table13[[#This Row],[Past zero L]],Table13[[#This Row],[Past Zero R]],Table13[[#This Row],[Is Zero]])</f>
        <v>0</v>
      </c>
    </row>
    <row r="1084" spans="1:11" ht="16" x14ac:dyDescent="0.2">
      <c r="A1084" s="1" t="s">
        <v>39</v>
      </c>
      <c r="B1084" t="str">
        <f>LEFT(Table13[[#This Row],[Input]],1)</f>
        <v>R</v>
      </c>
      <c r="C1084">
        <f>_xlfn.LET(_xlpm.steps,SUBSTITUTE(Table13[[#This Row],[Input]],Table13[[#This Row],[Direction]],""),VALUE(IF(LEN(_xlpm.steps)&gt;2,RIGHT(_xlpm.steps,2),_xlpm.steps)))</f>
        <v>32</v>
      </c>
      <c r="D1084">
        <f>_xlfn.LET(_xlpm.steps,SUBSTITUTE(Table13[[#This Row],[Input]],Table13[[#This Row],[Direction]],""),VALUE(IF(LEN(_xlpm.steps)&gt;2,LEFT(_xlpm.steps,LEN(_xlpm.steps)-2),0)))</f>
        <v>0</v>
      </c>
      <c r="E1084">
        <f>_xlfn.LET(_xlpm.dir,Table13[[#This Row],[Direction]],
IF(_xlpm.dir="L",
    IF(G1083-Table13[[#This Row],[Steps]]&lt;0,100+(G1083-Table13[[#This Row],[Steps]]),G1083-Table13[[#This Row],[Steps]]),
))</f>
        <v>0</v>
      </c>
      <c r="F1084">
        <f>_xlfn.LET(_xlpm.dir,Table13[[#This Row],[Direction]],
IF(_xlpm.dir="R",
    IF(G1083+Table13[[#This Row],[Steps]]&gt;99,(G1083+Table13[[#This Row],[Steps]])-100,G1083+Table13[[#This Row],[Steps]]),
))</f>
        <v>37</v>
      </c>
      <c r="G1084">
        <f>IF(Table13[[#This Row],[New Pos L]]&lt;&gt;0,Table13[[#This Row],[New Pos L]],Table13[[#This Row],[New Pos R]])</f>
        <v>37</v>
      </c>
      <c r="H1084">
        <f>IF(AND(Table13[[#This Row],[Direction]]="L",Table13[[#This Row],[Steps]]&gt;G1083,G1083&lt;&gt;0),1,0)</f>
        <v>0</v>
      </c>
      <c r="I1084">
        <f>IF(AND(Table13[[#This Row],[Direction]]="R",(G1083+Table13[[#This Row],[Steps]])&gt;100),1,0)</f>
        <v>0</v>
      </c>
      <c r="J1084">
        <f>IF(Table13[[#This Row],[POS]]=0,1,0)</f>
        <v>0</v>
      </c>
      <c r="K1084">
        <f>SUM(Table13[[#This Row],[prefix]],Table13[[#This Row],[Past zero L]],Table13[[#This Row],[Past Zero R]],Table13[[#This Row],[Is Zero]])</f>
        <v>0</v>
      </c>
    </row>
    <row r="1085" spans="1:11" ht="16" x14ac:dyDescent="0.2">
      <c r="A1085" s="1" t="s">
        <v>372</v>
      </c>
      <c r="B1085" t="str">
        <f>LEFT(Table13[[#This Row],[Input]],1)</f>
        <v>L</v>
      </c>
      <c r="C1085">
        <f>_xlfn.LET(_xlpm.steps,SUBSTITUTE(Table13[[#This Row],[Input]],Table13[[#This Row],[Direction]],""),VALUE(IF(LEN(_xlpm.steps)&gt;2,RIGHT(_xlpm.steps,2),_xlpm.steps)))</f>
        <v>10</v>
      </c>
      <c r="D1085">
        <f>_xlfn.LET(_xlpm.steps,SUBSTITUTE(Table13[[#This Row],[Input]],Table13[[#This Row],[Direction]],""),VALUE(IF(LEN(_xlpm.steps)&gt;2,LEFT(_xlpm.steps,LEN(_xlpm.steps)-2),0)))</f>
        <v>3</v>
      </c>
      <c r="E1085">
        <f>_xlfn.LET(_xlpm.dir,Table13[[#This Row],[Direction]],
IF(_xlpm.dir="L",
    IF(G1084-Table13[[#This Row],[Steps]]&lt;0,100+(G1084-Table13[[#This Row],[Steps]]),G1084-Table13[[#This Row],[Steps]]),
))</f>
        <v>27</v>
      </c>
      <c r="F1085">
        <f>_xlfn.LET(_xlpm.dir,Table13[[#This Row],[Direction]],
IF(_xlpm.dir="R",
    IF(G1084+Table13[[#This Row],[Steps]]&gt;99,(G1084+Table13[[#This Row],[Steps]])-100,G1084+Table13[[#This Row],[Steps]]),
))</f>
        <v>0</v>
      </c>
      <c r="G1085">
        <f>IF(Table13[[#This Row],[New Pos L]]&lt;&gt;0,Table13[[#This Row],[New Pos L]],Table13[[#This Row],[New Pos R]])</f>
        <v>27</v>
      </c>
      <c r="H1085">
        <f>IF(AND(Table13[[#This Row],[Direction]]="L",Table13[[#This Row],[Steps]]&gt;G1084,G1084&lt;&gt;0),1,0)</f>
        <v>0</v>
      </c>
      <c r="I1085">
        <f>IF(AND(Table13[[#This Row],[Direction]]="R",(G1084+Table13[[#This Row],[Steps]])&gt;100),1,0)</f>
        <v>0</v>
      </c>
      <c r="J1085">
        <f>IF(Table13[[#This Row],[POS]]=0,1,0)</f>
        <v>0</v>
      </c>
      <c r="K1085">
        <f>SUM(Table13[[#This Row],[prefix]],Table13[[#This Row],[Past zero L]],Table13[[#This Row],[Past Zero R]],Table13[[#This Row],[Is Zero]])</f>
        <v>3</v>
      </c>
    </row>
    <row r="1086" spans="1:11" ht="16" x14ac:dyDescent="0.2">
      <c r="A1086" s="1" t="s">
        <v>91</v>
      </c>
      <c r="B1086" t="str">
        <f>LEFT(Table13[[#This Row],[Input]],1)</f>
        <v>L</v>
      </c>
      <c r="C1086">
        <f>_xlfn.LET(_xlpm.steps,SUBSTITUTE(Table13[[#This Row],[Input]],Table13[[#This Row],[Direction]],""),VALUE(IF(LEN(_xlpm.steps)&gt;2,RIGHT(_xlpm.steps,2),_xlpm.steps)))</f>
        <v>22</v>
      </c>
      <c r="D1086">
        <f>_xlfn.LET(_xlpm.steps,SUBSTITUTE(Table13[[#This Row],[Input]],Table13[[#This Row],[Direction]],""),VALUE(IF(LEN(_xlpm.steps)&gt;2,LEFT(_xlpm.steps,LEN(_xlpm.steps)-2),0)))</f>
        <v>0</v>
      </c>
      <c r="E1086">
        <f>_xlfn.LET(_xlpm.dir,Table13[[#This Row],[Direction]],
IF(_xlpm.dir="L",
    IF(G1085-Table13[[#This Row],[Steps]]&lt;0,100+(G1085-Table13[[#This Row],[Steps]]),G1085-Table13[[#This Row],[Steps]]),
))</f>
        <v>5</v>
      </c>
      <c r="F1086">
        <f>_xlfn.LET(_xlpm.dir,Table13[[#This Row],[Direction]],
IF(_xlpm.dir="R",
    IF(G1085+Table13[[#This Row],[Steps]]&gt;99,(G1085+Table13[[#This Row],[Steps]])-100,G1085+Table13[[#This Row],[Steps]]),
))</f>
        <v>0</v>
      </c>
      <c r="G1086">
        <f>IF(Table13[[#This Row],[New Pos L]]&lt;&gt;0,Table13[[#This Row],[New Pos L]],Table13[[#This Row],[New Pos R]])</f>
        <v>5</v>
      </c>
      <c r="H1086">
        <f>IF(AND(Table13[[#This Row],[Direction]]="L",Table13[[#This Row],[Steps]]&gt;G1085,G1085&lt;&gt;0),1,0)</f>
        <v>0</v>
      </c>
      <c r="I1086">
        <f>IF(AND(Table13[[#This Row],[Direction]]="R",(G1085+Table13[[#This Row],[Steps]])&gt;100),1,0)</f>
        <v>0</v>
      </c>
      <c r="J1086">
        <f>IF(Table13[[#This Row],[POS]]=0,1,0)</f>
        <v>0</v>
      </c>
      <c r="K1086">
        <f>SUM(Table13[[#This Row],[prefix]],Table13[[#This Row],[Past zero L]],Table13[[#This Row],[Past Zero R]],Table13[[#This Row],[Is Zero]])</f>
        <v>0</v>
      </c>
    </row>
    <row r="1087" spans="1:11" ht="16" x14ac:dyDescent="0.2">
      <c r="A1087" s="1" t="s">
        <v>191</v>
      </c>
      <c r="B1087" t="str">
        <f>LEFT(Table13[[#This Row],[Input]],1)</f>
        <v>L</v>
      </c>
      <c r="C1087">
        <f>_xlfn.LET(_xlpm.steps,SUBSTITUTE(Table13[[#This Row],[Input]],Table13[[#This Row],[Direction]],""),VALUE(IF(LEN(_xlpm.steps)&gt;2,RIGHT(_xlpm.steps,2),_xlpm.steps)))</f>
        <v>5</v>
      </c>
      <c r="D1087">
        <f>_xlfn.LET(_xlpm.steps,SUBSTITUTE(Table13[[#This Row],[Input]],Table13[[#This Row],[Direction]],""),VALUE(IF(LEN(_xlpm.steps)&gt;2,LEFT(_xlpm.steps,LEN(_xlpm.steps)-2),0)))</f>
        <v>0</v>
      </c>
      <c r="E1087">
        <f>_xlfn.LET(_xlpm.dir,Table13[[#This Row],[Direction]],
IF(_xlpm.dir="L",
    IF(G1086-Table13[[#This Row],[Steps]]&lt;0,100+(G1086-Table13[[#This Row],[Steps]]),G1086-Table13[[#This Row],[Steps]]),
))</f>
        <v>0</v>
      </c>
      <c r="F1087">
        <f>_xlfn.LET(_xlpm.dir,Table13[[#This Row],[Direction]],
IF(_xlpm.dir="R",
    IF(G1086+Table13[[#This Row],[Steps]]&gt;99,(G1086+Table13[[#This Row],[Steps]])-100,G1086+Table13[[#This Row],[Steps]]),
))</f>
        <v>0</v>
      </c>
      <c r="G1087">
        <f>IF(Table13[[#This Row],[New Pos L]]&lt;&gt;0,Table13[[#This Row],[New Pos L]],Table13[[#This Row],[New Pos R]])</f>
        <v>0</v>
      </c>
      <c r="H1087">
        <f>IF(AND(Table13[[#This Row],[Direction]]="L",Table13[[#This Row],[Steps]]&gt;G1086,G1086&lt;&gt;0),1,0)</f>
        <v>0</v>
      </c>
      <c r="I1087">
        <f>IF(AND(Table13[[#This Row],[Direction]]="R",(G1086+Table13[[#This Row],[Steps]])&gt;100),1,0)</f>
        <v>0</v>
      </c>
      <c r="J1087">
        <f>IF(Table13[[#This Row],[POS]]=0,1,0)</f>
        <v>1</v>
      </c>
      <c r="K1087">
        <f>SUM(Table13[[#This Row],[prefix]],Table13[[#This Row],[Past zero L]],Table13[[#This Row],[Past Zero R]],Table13[[#This Row],[Is Zero]])</f>
        <v>1</v>
      </c>
    </row>
    <row r="1088" spans="1:11" ht="16" x14ac:dyDescent="0.2">
      <c r="A1088" s="1" t="s">
        <v>223</v>
      </c>
      <c r="B1088" t="str">
        <f>LEFT(Table13[[#This Row],[Input]],1)</f>
        <v>L</v>
      </c>
      <c r="C1088">
        <f>_xlfn.LET(_xlpm.steps,SUBSTITUTE(Table13[[#This Row],[Input]],Table13[[#This Row],[Direction]],""),VALUE(IF(LEN(_xlpm.steps)&gt;2,RIGHT(_xlpm.steps,2),_xlpm.steps)))</f>
        <v>87</v>
      </c>
      <c r="D1088">
        <f>_xlfn.LET(_xlpm.steps,SUBSTITUTE(Table13[[#This Row],[Input]],Table13[[#This Row],[Direction]],""),VALUE(IF(LEN(_xlpm.steps)&gt;2,LEFT(_xlpm.steps,LEN(_xlpm.steps)-2),0)))</f>
        <v>0</v>
      </c>
      <c r="E1088">
        <f>_xlfn.LET(_xlpm.dir,Table13[[#This Row],[Direction]],
IF(_xlpm.dir="L",
    IF(G1087-Table13[[#This Row],[Steps]]&lt;0,100+(G1087-Table13[[#This Row],[Steps]]),G1087-Table13[[#This Row],[Steps]]),
))</f>
        <v>13</v>
      </c>
      <c r="F1088">
        <f>_xlfn.LET(_xlpm.dir,Table13[[#This Row],[Direction]],
IF(_xlpm.dir="R",
    IF(G1087+Table13[[#This Row],[Steps]]&gt;99,(G1087+Table13[[#This Row],[Steps]])-100,G1087+Table13[[#This Row],[Steps]]),
))</f>
        <v>0</v>
      </c>
      <c r="G1088">
        <f>IF(Table13[[#This Row],[New Pos L]]&lt;&gt;0,Table13[[#This Row],[New Pos L]],Table13[[#This Row],[New Pos R]])</f>
        <v>13</v>
      </c>
      <c r="H1088">
        <f>IF(AND(Table13[[#This Row],[Direction]]="L",Table13[[#This Row],[Steps]]&gt;G1087,G1087&lt;&gt;0),1,0)</f>
        <v>0</v>
      </c>
      <c r="I1088">
        <f>IF(AND(Table13[[#This Row],[Direction]]="R",(G1087+Table13[[#This Row],[Steps]])&gt;100),1,0)</f>
        <v>0</v>
      </c>
      <c r="J1088">
        <f>IF(Table13[[#This Row],[POS]]=0,1,0)</f>
        <v>0</v>
      </c>
      <c r="K1088">
        <f>SUM(Table13[[#This Row],[prefix]],Table13[[#This Row],[Past zero L]],Table13[[#This Row],[Past Zero R]],Table13[[#This Row],[Is Zero]])</f>
        <v>0</v>
      </c>
    </row>
    <row r="1089" spans="1:11" ht="16" x14ac:dyDescent="0.2">
      <c r="A1089" s="1" t="s">
        <v>68</v>
      </c>
      <c r="B1089" t="str">
        <f>LEFT(Table13[[#This Row],[Input]],1)</f>
        <v>L</v>
      </c>
      <c r="C1089">
        <f>_xlfn.LET(_xlpm.steps,SUBSTITUTE(Table13[[#This Row],[Input]],Table13[[#This Row],[Direction]],""),VALUE(IF(LEN(_xlpm.steps)&gt;2,RIGHT(_xlpm.steps,2),_xlpm.steps)))</f>
        <v>80</v>
      </c>
      <c r="D1089">
        <f>_xlfn.LET(_xlpm.steps,SUBSTITUTE(Table13[[#This Row],[Input]],Table13[[#This Row],[Direction]],""),VALUE(IF(LEN(_xlpm.steps)&gt;2,LEFT(_xlpm.steps,LEN(_xlpm.steps)-2),0)))</f>
        <v>0</v>
      </c>
      <c r="E1089">
        <f>_xlfn.LET(_xlpm.dir,Table13[[#This Row],[Direction]],
IF(_xlpm.dir="L",
    IF(G1088-Table13[[#This Row],[Steps]]&lt;0,100+(G1088-Table13[[#This Row],[Steps]]),G1088-Table13[[#This Row],[Steps]]),
))</f>
        <v>33</v>
      </c>
      <c r="F1089">
        <f>_xlfn.LET(_xlpm.dir,Table13[[#This Row],[Direction]],
IF(_xlpm.dir="R",
    IF(G1088+Table13[[#This Row],[Steps]]&gt;99,(G1088+Table13[[#This Row],[Steps]])-100,G1088+Table13[[#This Row],[Steps]]),
))</f>
        <v>0</v>
      </c>
      <c r="G1089">
        <f>IF(Table13[[#This Row],[New Pos L]]&lt;&gt;0,Table13[[#This Row],[New Pos L]],Table13[[#This Row],[New Pos R]])</f>
        <v>33</v>
      </c>
      <c r="H1089">
        <f>IF(AND(Table13[[#This Row],[Direction]]="L",Table13[[#This Row],[Steps]]&gt;G1088,G1088&lt;&gt;0),1,0)</f>
        <v>1</v>
      </c>
      <c r="I1089">
        <f>IF(AND(Table13[[#This Row],[Direction]]="R",(G1088+Table13[[#This Row],[Steps]])&gt;100),1,0)</f>
        <v>0</v>
      </c>
      <c r="J1089">
        <f>IF(Table13[[#This Row],[POS]]=0,1,0)</f>
        <v>0</v>
      </c>
      <c r="K1089">
        <f>SUM(Table13[[#This Row],[prefix]],Table13[[#This Row],[Past zero L]],Table13[[#This Row],[Past Zero R]],Table13[[#This Row],[Is Zero]])</f>
        <v>1</v>
      </c>
    </row>
    <row r="1090" spans="1:11" ht="16" x14ac:dyDescent="0.2">
      <c r="A1090" s="1" t="s">
        <v>29</v>
      </c>
      <c r="B1090" t="str">
        <f>LEFT(Table13[[#This Row],[Input]],1)</f>
        <v>L</v>
      </c>
      <c r="C1090">
        <f>_xlfn.LET(_xlpm.steps,SUBSTITUTE(Table13[[#This Row],[Input]],Table13[[#This Row],[Direction]],""),VALUE(IF(LEN(_xlpm.steps)&gt;2,RIGHT(_xlpm.steps,2),_xlpm.steps)))</f>
        <v>33</v>
      </c>
      <c r="D1090">
        <f>_xlfn.LET(_xlpm.steps,SUBSTITUTE(Table13[[#This Row],[Input]],Table13[[#This Row],[Direction]],""),VALUE(IF(LEN(_xlpm.steps)&gt;2,LEFT(_xlpm.steps,LEN(_xlpm.steps)-2),0)))</f>
        <v>0</v>
      </c>
      <c r="E1090">
        <f>_xlfn.LET(_xlpm.dir,Table13[[#This Row],[Direction]],
IF(_xlpm.dir="L",
    IF(G1089-Table13[[#This Row],[Steps]]&lt;0,100+(G1089-Table13[[#This Row],[Steps]]),G1089-Table13[[#This Row],[Steps]]),
))</f>
        <v>0</v>
      </c>
      <c r="F1090">
        <f>_xlfn.LET(_xlpm.dir,Table13[[#This Row],[Direction]],
IF(_xlpm.dir="R",
    IF(G1089+Table13[[#This Row],[Steps]]&gt;99,(G1089+Table13[[#This Row],[Steps]])-100,G1089+Table13[[#This Row],[Steps]]),
))</f>
        <v>0</v>
      </c>
      <c r="G1090">
        <f>IF(Table13[[#This Row],[New Pos L]]&lt;&gt;0,Table13[[#This Row],[New Pos L]],Table13[[#This Row],[New Pos R]])</f>
        <v>0</v>
      </c>
      <c r="H1090">
        <f>IF(AND(Table13[[#This Row],[Direction]]="L",Table13[[#This Row],[Steps]]&gt;G1089,G1089&lt;&gt;0),1,0)</f>
        <v>0</v>
      </c>
      <c r="I1090">
        <f>IF(AND(Table13[[#This Row],[Direction]]="R",(G1089+Table13[[#This Row],[Steps]])&gt;100),1,0)</f>
        <v>0</v>
      </c>
      <c r="J1090">
        <f>IF(Table13[[#This Row],[POS]]=0,1,0)</f>
        <v>1</v>
      </c>
      <c r="K1090">
        <f>SUM(Table13[[#This Row],[prefix]],Table13[[#This Row],[Past zero L]],Table13[[#This Row],[Past Zero R]],Table13[[#This Row],[Is Zero]])</f>
        <v>1</v>
      </c>
    </row>
    <row r="1091" spans="1:11" ht="16" x14ac:dyDescent="0.2">
      <c r="A1091" s="1" t="s">
        <v>373</v>
      </c>
      <c r="B1091" t="str">
        <f>LEFT(Table13[[#This Row],[Input]],1)</f>
        <v>L</v>
      </c>
      <c r="C1091">
        <f>_xlfn.LET(_xlpm.steps,SUBSTITUTE(Table13[[#This Row],[Input]],Table13[[#This Row],[Direction]],""),VALUE(IF(LEN(_xlpm.steps)&gt;2,RIGHT(_xlpm.steps,2),_xlpm.steps)))</f>
        <v>44</v>
      </c>
      <c r="D1091">
        <f>_xlfn.LET(_xlpm.steps,SUBSTITUTE(Table13[[#This Row],[Input]],Table13[[#This Row],[Direction]],""),VALUE(IF(LEN(_xlpm.steps)&gt;2,LEFT(_xlpm.steps,LEN(_xlpm.steps)-2),0)))</f>
        <v>4</v>
      </c>
      <c r="E1091">
        <f>_xlfn.LET(_xlpm.dir,Table13[[#This Row],[Direction]],
IF(_xlpm.dir="L",
    IF(G1090-Table13[[#This Row],[Steps]]&lt;0,100+(G1090-Table13[[#This Row],[Steps]]),G1090-Table13[[#This Row],[Steps]]),
))</f>
        <v>56</v>
      </c>
      <c r="F1091">
        <f>_xlfn.LET(_xlpm.dir,Table13[[#This Row],[Direction]],
IF(_xlpm.dir="R",
    IF(G1090+Table13[[#This Row],[Steps]]&gt;99,(G1090+Table13[[#This Row],[Steps]])-100,G1090+Table13[[#This Row],[Steps]]),
))</f>
        <v>0</v>
      </c>
      <c r="G1091">
        <f>IF(Table13[[#This Row],[New Pos L]]&lt;&gt;0,Table13[[#This Row],[New Pos L]],Table13[[#This Row],[New Pos R]])</f>
        <v>56</v>
      </c>
      <c r="H1091">
        <f>IF(AND(Table13[[#This Row],[Direction]]="L",Table13[[#This Row],[Steps]]&gt;G1090,G1090&lt;&gt;0),1,0)</f>
        <v>0</v>
      </c>
      <c r="I1091">
        <f>IF(AND(Table13[[#This Row],[Direction]]="R",(G1090+Table13[[#This Row],[Steps]])&gt;100),1,0)</f>
        <v>0</v>
      </c>
      <c r="J1091">
        <f>IF(Table13[[#This Row],[POS]]=0,1,0)</f>
        <v>0</v>
      </c>
      <c r="K1091">
        <f>SUM(Table13[[#This Row],[prefix]],Table13[[#This Row],[Past zero L]],Table13[[#This Row],[Past Zero R]],Table13[[#This Row],[Is Zero]])</f>
        <v>4</v>
      </c>
    </row>
    <row r="1092" spans="1:11" ht="16" x14ac:dyDescent="0.2">
      <c r="A1092" s="1" t="s">
        <v>295</v>
      </c>
      <c r="B1092" t="str">
        <f>LEFT(Table13[[#This Row],[Input]],1)</f>
        <v>L</v>
      </c>
      <c r="C1092">
        <f>_xlfn.LET(_xlpm.steps,SUBSTITUTE(Table13[[#This Row],[Input]],Table13[[#This Row],[Direction]],""),VALUE(IF(LEN(_xlpm.steps)&gt;2,RIGHT(_xlpm.steps,2),_xlpm.steps)))</f>
        <v>88</v>
      </c>
      <c r="D1092">
        <f>_xlfn.LET(_xlpm.steps,SUBSTITUTE(Table13[[#This Row],[Input]],Table13[[#This Row],[Direction]],""),VALUE(IF(LEN(_xlpm.steps)&gt;2,LEFT(_xlpm.steps,LEN(_xlpm.steps)-2),0)))</f>
        <v>0</v>
      </c>
      <c r="E1092">
        <f>_xlfn.LET(_xlpm.dir,Table13[[#This Row],[Direction]],
IF(_xlpm.dir="L",
    IF(G1091-Table13[[#This Row],[Steps]]&lt;0,100+(G1091-Table13[[#This Row],[Steps]]),G1091-Table13[[#This Row],[Steps]]),
))</f>
        <v>68</v>
      </c>
      <c r="F1092">
        <f>_xlfn.LET(_xlpm.dir,Table13[[#This Row],[Direction]],
IF(_xlpm.dir="R",
    IF(G1091+Table13[[#This Row],[Steps]]&gt;99,(G1091+Table13[[#This Row],[Steps]])-100,G1091+Table13[[#This Row],[Steps]]),
))</f>
        <v>0</v>
      </c>
      <c r="G1092">
        <f>IF(Table13[[#This Row],[New Pos L]]&lt;&gt;0,Table13[[#This Row],[New Pos L]],Table13[[#This Row],[New Pos R]])</f>
        <v>68</v>
      </c>
      <c r="H1092">
        <f>IF(AND(Table13[[#This Row],[Direction]]="L",Table13[[#This Row],[Steps]]&gt;G1091,G1091&lt;&gt;0),1,0)</f>
        <v>1</v>
      </c>
      <c r="I1092">
        <f>IF(AND(Table13[[#This Row],[Direction]]="R",(G1091+Table13[[#This Row],[Steps]])&gt;100),1,0)</f>
        <v>0</v>
      </c>
      <c r="J1092">
        <f>IF(Table13[[#This Row],[POS]]=0,1,0)</f>
        <v>0</v>
      </c>
      <c r="K1092">
        <f>SUM(Table13[[#This Row],[prefix]],Table13[[#This Row],[Past zero L]],Table13[[#This Row],[Past Zero R]],Table13[[#This Row],[Is Zero]])</f>
        <v>1</v>
      </c>
    </row>
    <row r="1093" spans="1:11" ht="16" x14ac:dyDescent="0.2">
      <c r="A1093" s="1" t="s">
        <v>230</v>
      </c>
      <c r="B1093" t="str">
        <f>LEFT(Table13[[#This Row],[Input]],1)</f>
        <v>L</v>
      </c>
      <c r="C1093">
        <f>_xlfn.LET(_xlpm.steps,SUBSTITUTE(Table13[[#This Row],[Input]],Table13[[#This Row],[Direction]],""),VALUE(IF(LEN(_xlpm.steps)&gt;2,RIGHT(_xlpm.steps,2),_xlpm.steps)))</f>
        <v>98</v>
      </c>
      <c r="D1093">
        <f>_xlfn.LET(_xlpm.steps,SUBSTITUTE(Table13[[#This Row],[Input]],Table13[[#This Row],[Direction]],""),VALUE(IF(LEN(_xlpm.steps)&gt;2,LEFT(_xlpm.steps,LEN(_xlpm.steps)-2),0)))</f>
        <v>7</v>
      </c>
      <c r="E1093">
        <f>_xlfn.LET(_xlpm.dir,Table13[[#This Row],[Direction]],
IF(_xlpm.dir="L",
    IF(G1092-Table13[[#This Row],[Steps]]&lt;0,100+(G1092-Table13[[#This Row],[Steps]]),G1092-Table13[[#This Row],[Steps]]),
))</f>
        <v>70</v>
      </c>
      <c r="F1093">
        <f>_xlfn.LET(_xlpm.dir,Table13[[#This Row],[Direction]],
IF(_xlpm.dir="R",
    IF(G1092+Table13[[#This Row],[Steps]]&gt;99,(G1092+Table13[[#This Row],[Steps]])-100,G1092+Table13[[#This Row],[Steps]]),
))</f>
        <v>0</v>
      </c>
      <c r="G1093">
        <f>IF(Table13[[#This Row],[New Pos L]]&lt;&gt;0,Table13[[#This Row],[New Pos L]],Table13[[#This Row],[New Pos R]])</f>
        <v>70</v>
      </c>
      <c r="H1093">
        <f>IF(AND(Table13[[#This Row],[Direction]]="L",Table13[[#This Row],[Steps]]&gt;G1092,G1092&lt;&gt;0),1,0)</f>
        <v>1</v>
      </c>
      <c r="I1093">
        <f>IF(AND(Table13[[#This Row],[Direction]]="R",(G1092+Table13[[#This Row],[Steps]])&gt;100),1,0)</f>
        <v>0</v>
      </c>
      <c r="J1093">
        <f>IF(Table13[[#This Row],[POS]]=0,1,0)</f>
        <v>0</v>
      </c>
      <c r="K1093">
        <f>SUM(Table13[[#This Row],[prefix]],Table13[[#This Row],[Past zero L]],Table13[[#This Row],[Past Zero R]],Table13[[#This Row],[Is Zero]])</f>
        <v>8</v>
      </c>
    </row>
    <row r="1094" spans="1:11" ht="16" x14ac:dyDescent="0.2">
      <c r="A1094" s="1" t="s">
        <v>364</v>
      </c>
      <c r="B1094" t="str">
        <f>LEFT(Table13[[#This Row],[Input]],1)</f>
        <v>L</v>
      </c>
      <c r="C1094">
        <f>_xlfn.LET(_xlpm.steps,SUBSTITUTE(Table13[[#This Row],[Input]],Table13[[#This Row],[Direction]],""),VALUE(IF(LEN(_xlpm.steps)&gt;2,RIGHT(_xlpm.steps,2),_xlpm.steps)))</f>
        <v>70</v>
      </c>
      <c r="D1094">
        <f>_xlfn.LET(_xlpm.steps,SUBSTITUTE(Table13[[#This Row],[Input]],Table13[[#This Row],[Direction]],""),VALUE(IF(LEN(_xlpm.steps)&gt;2,LEFT(_xlpm.steps,LEN(_xlpm.steps)-2),0)))</f>
        <v>0</v>
      </c>
      <c r="E1094">
        <f>_xlfn.LET(_xlpm.dir,Table13[[#This Row],[Direction]],
IF(_xlpm.dir="L",
    IF(G1093-Table13[[#This Row],[Steps]]&lt;0,100+(G1093-Table13[[#This Row],[Steps]]),G1093-Table13[[#This Row],[Steps]]),
))</f>
        <v>0</v>
      </c>
      <c r="F1094">
        <f>_xlfn.LET(_xlpm.dir,Table13[[#This Row],[Direction]],
IF(_xlpm.dir="R",
    IF(G1093+Table13[[#This Row],[Steps]]&gt;99,(G1093+Table13[[#This Row],[Steps]])-100,G1093+Table13[[#This Row],[Steps]]),
))</f>
        <v>0</v>
      </c>
      <c r="G1094">
        <f>IF(Table13[[#This Row],[New Pos L]]&lt;&gt;0,Table13[[#This Row],[New Pos L]],Table13[[#This Row],[New Pos R]])</f>
        <v>0</v>
      </c>
      <c r="H1094">
        <f>IF(AND(Table13[[#This Row],[Direction]]="L",Table13[[#This Row],[Steps]]&gt;G1093,G1093&lt;&gt;0),1,0)</f>
        <v>0</v>
      </c>
      <c r="I1094">
        <f>IF(AND(Table13[[#This Row],[Direction]]="R",(G1093+Table13[[#This Row],[Steps]])&gt;100),1,0)</f>
        <v>0</v>
      </c>
      <c r="J1094">
        <f>IF(Table13[[#This Row],[POS]]=0,1,0)</f>
        <v>1</v>
      </c>
      <c r="K1094">
        <f>SUM(Table13[[#This Row],[prefix]],Table13[[#This Row],[Past zero L]],Table13[[#This Row],[Past Zero R]],Table13[[#This Row],[Is Zero]])</f>
        <v>1</v>
      </c>
    </row>
    <row r="1095" spans="1:11" ht="16" x14ac:dyDescent="0.2">
      <c r="A1095" s="1" t="s">
        <v>319</v>
      </c>
      <c r="B1095" t="str">
        <f>LEFT(Table13[[#This Row],[Input]],1)</f>
        <v>L</v>
      </c>
      <c r="C1095">
        <f>_xlfn.LET(_xlpm.steps,SUBSTITUTE(Table13[[#This Row],[Input]],Table13[[#This Row],[Direction]],""),VALUE(IF(LEN(_xlpm.steps)&gt;2,RIGHT(_xlpm.steps,2),_xlpm.steps)))</f>
        <v>79</v>
      </c>
      <c r="D1095">
        <f>_xlfn.LET(_xlpm.steps,SUBSTITUTE(Table13[[#This Row],[Input]],Table13[[#This Row],[Direction]],""),VALUE(IF(LEN(_xlpm.steps)&gt;2,LEFT(_xlpm.steps,LEN(_xlpm.steps)-2),0)))</f>
        <v>0</v>
      </c>
      <c r="E1095">
        <f>_xlfn.LET(_xlpm.dir,Table13[[#This Row],[Direction]],
IF(_xlpm.dir="L",
    IF(G1094-Table13[[#This Row],[Steps]]&lt;0,100+(G1094-Table13[[#This Row],[Steps]]),G1094-Table13[[#This Row],[Steps]]),
))</f>
        <v>21</v>
      </c>
      <c r="F1095">
        <f>_xlfn.LET(_xlpm.dir,Table13[[#This Row],[Direction]],
IF(_xlpm.dir="R",
    IF(G1094+Table13[[#This Row],[Steps]]&gt;99,(G1094+Table13[[#This Row],[Steps]])-100,G1094+Table13[[#This Row],[Steps]]),
))</f>
        <v>0</v>
      </c>
      <c r="G1095">
        <f>IF(Table13[[#This Row],[New Pos L]]&lt;&gt;0,Table13[[#This Row],[New Pos L]],Table13[[#This Row],[New Pos R]])</f>
        <v>21</v>
      </c>
      <c r="H1095">
        <f>IF(AND(Table13[[#This Row],[Direction]]="L",Table13[[#This Row],[Steps]]&gt;G1094,G1094&lt;&gt;0),1,0)</f>
        <v>0</v>
      </c>
      <c r="I1095">
        <f>IF(AND(Table13[[#This Row],[Direction]]="R",(G1094+Table13[[#This Row],[Steps]])&gt;100),1,0)</f>
        <v>0</v>
      </c>
      <c r="J1095">
        <f>IF(Table13[[#This Row],[POS]]=0,1,0)</f>
        <v>0</v>
      </c>
      <c r="K1095">
        <f>SUM(Table13[[#This Row],[prefix]],Table13[[#This Row],[Past zero L]],Table13[[#This Row],[Past Zero R]],Table13[[#This Row],[Is Zero]])</f>
        <v>0</v>
      </c>
    </row>
    <row r="1096" spans="1:11" ht="16" x14ac:dyDescent="0.2">
      <c r="A1096" s="1" t="s">
        <v>374</v>
      </c>
      <c r="B1096" t="str">
        <f>LEFT(Table13[[#This Row],[Input]],1)</f>
        <v>R</v>
      </c>
      <c r="C1096">
        <f>_xlfn.LET(_xlpm.steps,SUBSTITUTE(Table13[[#This Row],[Input]],Table13[[#This Row],[Direction]],""),VALUE(IF(LEN(_xlpm.steps)&gt;2,RIGHT(_xlpm.steps,2),_xlpm.steps)))</f>
        <v>64</v>
      </c>
      <c r="D1096">
        <f>_xlfn.LET(_xlpm.steps,SUBSTITUTE(Table13[[#This Row],[Input]],Table13[[#This Row],[Direction]],""),VALUE(IF(LEN(_xlpm.steps)&gt;2,LEFT(_xlpm.steps,LEN(_xlpm.steps)-2),0)))</f>
        <v>2</v>
      </c>
      <c r="E1096">
        <f>_xlfn.LET(_xlpm.dir,Table13[[#This Row],[Direction]],
IF(_xlpm.dir="L",
    IF(G1095-Table13[[#This Row],[Steps]]&lt;0,100+(G1095-Table13[[#This Row],[Steps]]),G1095-Table13[[#This Row],[Steps]]),
))</f>
        <v>0</v>
      </c>
      <c r="F1096">
        <f>_xlfn.LET(_xlpm.dir,Table13[[#This Row],[Direction]],
IF(_xlpm.dir="R",
    IF(G1095+Table13[[#This Row],[Steps]]&gt;99,(G1095+Table13[[#This Row],[Steps]])-100,G1095+Table13[[#This Row],[Steps]]),
))</f>
        <v>85</v>
      </c>
      <c r="G1096">
        <f>IF(Table13[[#This Row],[New Pos L]]&lt;&gt;0,Table13[[#This Row],[New Pos L]],Table13[[#This Row],[New Pos R]])</f>
        <v>85</v>
      </c>
      <c r="H1096">
        <f>IF(AND(Table13[[#This Row],[Direction]]="L",Table13[[#This Row],[Steps]]&gt;G1095,G1095&lt;&gt;0),1,0)</f>
        <v>0</v>
      </c>
      <c r="I1096">
        <f>IF(AND(Table13[[#This Row],[Direction]]="R",(G1095+Table13[[#This Row],[Steps]])&gt;100),1,0)</f>
        <v>0</v>
      </c>
      <c r="J1096">
        <f>IF(Table13[[#This Row],[POS]]=0,1,0)</f>
        <v>0</v>
      </c>
      <c r="K1096">
        <f>SUM(Table13[[#This Row],[prefix]],Table13[[#This Row],[Past zero L]],Table13[[#This Row],[Past Zero R]],Table13[[#This Row],[Is Zero]])</f>
        <v>2</v>
      </c>
    </row>
    <row r="1097" spans="1:11" ht="16" x14ac:dyDescent="0.2">
      <c r="A1097" s="1" t="s">
        <v>260</v>
      </c>
      <c r="B1097" t="str">
        <f>LEFT(Table13[[#This Row],[Input]],1)</f>
        <v>L</v>
      </c>
      <c r="C1097">
        <f>_xlfn.LET(_xlpm.steps,SUBSTITUTE(Table13[[#This Row],[Input]],Table13[[#This Row],[Direction]],""),VALUE(IF(LEN(_xlpm.steps)&gt;2,RIGHT(_xlpm.steps,2),_xlpm.steps)))</f>
        <v>85</v>
      </c>
      <c r="D1097">
        <f>_xlfn.LET(_xlpm.steps,SUBSTITUTE(Table13[[#This Row],[Input]],Table13[[#This Row],[Direction]],""),VALUE(IF(LEN(_xlpm.steps)&gt;2,LEFT(_xlpm.steps,LEN(_xlpm.steps)-2),0)))</f>
        <v>0</v>
      </c>
      <c r="E1097">
        <f>_xlfn.LET(_xlpm.dir,Table13[[#This Row],[Direction]],
IF(_xlpm.dir="L",
    IF(G1096-Table13[[#This Row],[Steps]]&lt;0,100+(G1096-Table13[[#This Row],[Steps]]),G1096-Table13[[#This Row],[Steps]]),
))</f>
        <v>0</v>
      </c>
      <c r="F1097">
        <f>_xlfn.LET(_xlpm.dir,Table13[[#This Row],[Direction]],
IF(_xlpm.dir="R",
    IF(G1096+Table13[[#This Row],[Steps]]&gt;99,(G1096+Table13[[#This Row],[Steps]])-100,G1096+Table13[[#This Row],[Steps]]),
))</f>
        <v>0</v>
      </c>
      <c r="G1097">
        <f>IF(Table13[[#This Row],[New Pos L]]&lt;&gt;0,Table13[[#This Row],[New Pos L]],Table13[[#This Row],[New Pos R]])</f>
        <v>0</v>
      </c>
      <c r="H1097">
        <f>IF(AND(Table13[[#This Row],[Direction]]="L",Table13[[#This Row],[Steps]]&gt;G1096,G1096&lt;&gt;0),1,0)</f>
        <v>0</v>
      </c>
      <c r="I1097">
        <f>IF(AND(Table13[[#This Row],[Direction]]="R",(G1096+Table13[[#This Row],[Steps]])&gt;100),1,0)</f>
        <v>0</v>
      </c>
      <c r="J1097">
        <f>IF(Table13[[#This Row],[POS]]=0,1,0)</f>
        <v>1</v>
      </c>
      <c r="K1097">
        <f>SUM(Table13[[#This Row],[prefix]],Table13[[#This Row],[Past zero L]],Table13[[#This Row],[Past Zero R]],Table13[[#This Row],[Is Zero]])</f>
        <v>1</v>
      </c>
    </row>
    <row r="1098" spans="1:11" ht="16" x14ac:dyDescent="0.2">
      <c r="A1098" s="1" t="s">
        <v>13</v>
      </c>
      <c r="B1098" t="str">
        <f>LEFT(Table13[[#This Row],[Input]],1)</f>
        <v>R</v>
      </c>
      <c r="C1098">
        <f>_xlfn.LET(_xlpm.steps,SUBSTITUTE(Table13[[#This Row],[Input]],Table13[[#This Row],[Direction]],""),VALUE(IF(LEN(_xlpm.steps)&gt;2,RIGHT(_xlpm.steps,2),_xlpm.steps)))</f>
        <v>12</v>
      </c>
      <c r="D1098">
        <f>_xlfn.LET(_xlpm.steps,SUBSTITUTE(Table13[[#This Row],[Input]],Table13[[#This Row],[Direction]],""),VALUE(IF(LEN(_xlpm.steps)&gt;2,LEFT(_xlpm.steps,LEN(_xlpm.steps)-2),0)))</f>
        <v>0</v>
      </c>
      <c r="E1098">
        <f>_xlfn.LET(_xlpm.dir,Table13[[#This Row],[Direction]],
IF(_xlpm.dir="L",
    IF(G1097-Table13[[#This Row],[Steps]]&lt;0,100+(G1097-Table13[[#This Row],[Steps]]),G1097-Table13[[#This Row],[Steps]]),
))</f>
        <v>0</v>
      </c>
      <c r="F1098">
        <f>_xlfn.LET(_xlpm.dir,Table13[[#This Row],[Direction]],
IF(_xlpm.dir="R",
    IF(G1097+Table13[[#This Row],[Steps]]&gt;99,(G1097+Table13[[#This Row],[Steps]])-100,G1097+Table13[[#This Row],[Steps]]),
))</f>
        <v>12</v>
      </c>
      <c r="G1098">
        <f>IF(Table13[[#This Row],[New Pos L]]&lt;&gt;0,Table13[[#This Row],[New Pos L]],Table13[[#This Row],[New Pos R]])</f>
        <v>12</v>
      </c>
      <c r="H1098">
        <f>IF(AND(Table13[[#This Row],[Direction]]="L",Table13[[#This Row],[Steps]]&gt;G1097,G1097&lt;&gt;0),1,0)</f>
        <v>0</v>
      </c>
      <c r="I1098">
        <f>IF(AND(Table13[[#This Row],[Direction]]="R",(G1097+Table13[[#This Row],[Steps]])&gt;100),1,0)</f>
        <v>0</v>
      </c>
      <c r="J1098">
        <f>IF(Table13[[#This Row],[POS]]=0,1,0)</f>
        <v>0</v>
      </c>
      <c r="K1098">
        <f>SUM(Table13[[#This Row],[prefix]],Table13[[#This Row],[Past zero L]],Table13[[#This Row],[Past Zero R]],Table13[[#This Row],[Is Zero]])</f>
        <v>0</v>
      </c>
    </row>
    <row r="1099" spans="1:11" ht="16" x14ac:dyDescent="0.2">
      <c r="A1099" s="1" t="s">
        <v>375</v>
      </c>
      <c r="B1099" t="str">
        <f>LEFT(Table13[[#This Row],[Input]],1)</f>
        <v>R</v>
      </c>
      <c r="C1099">
        <f>_xlfn.LET(_xlpm.steps,SUBSTITUTE(Table13[[#This Row],[Input]],Table13[[#This Row],[Direction]],""),VALUE(IF(LEN(_xlpm.steps)&gt;2,RIGHT(_xlpm.steps,2),_xlpm.steps)))</f>
        <v>5</v>
      </c>
      <c r="D1099">
        <f>_xlfn.LET(_xlpm.steps,SUBSTITUTE(Table13[[#This Row],[Input]],Table13[[#This Row],[Direction]],""),VALUE(IF(LEN(_xlpm.steps)&gt;2,LEFT(_xlpm.steps,LEN(_xlpm.steps)-2),0)))</f>
        <v>7</v>
      </c>
      <c r="E1099">
        <f>_xlfn.LET(_xlpm.dir,Table13[[#This Row],[Direction]],
IF(_xlpm.dir="L",
    IF(G1098-Table13[[#This Row],[Steps]]&lt;0,100+(G1098-Table13[[#This Row],[Steps]]),G1098-Table13[[#This Row],[Steps]]),
))</f>
        <v>0</v>
      </c>
      <c r="F1099">
        <f>_xlfn.LET(_xlpm.dir,Table13[[#This Row],[Direction]],
IF(_xlpm.dir="R",
    IF(G1098+Table13[[#This Row],[Steps]]&gt;99,(G1098+Table13[[#This Row],[Steps]])-100,G1098+Table13[[#This Row],[Steps]]),
))</f>
        <v>17</v>
      </c>
      <c r="G1099">
        <f>IF(Table13[[#This Row],[New Pos L]]&lt;&gt;0,Table13[[#This Row],[New Pos L]],Table13[[#This Row],[New Pos R]])</f>
        <v>17</v>
      </c>
      <c r="H1099">
        <f>IF(AND(Table13[[#This Row],[Direction]]="L",Table13[[#This Row],[Steps]]&gt;G1098,G1098&lt;&gt;0),1,0)</f>
        <v>0</v>
      </c>
      <c r="I1099">
        <f>IF(AND(Table13[[#This Row],[Direction]]="R",(G1098+Table13[[#This Row],[Steps]])&gt;100),1,0)</f>
        <v>0</v>
      </c>
      <c r="J1099">
        <f>IF(Table13[[#This Row],[POS]]=0,1,0)</f>
        <v>0</v>
      </c>
      <c r="K1099">
        <f>SUM(Table13[[#This Row],[prefix]],Table13[[#This Row],[Past zero L]],Table13[[#This Row],[Past Zero R]],Table13[[#This Row],[Is Zero]])</f>
        <v>7</v>
      </c>
    </row>
    <row r="1100" spans="1:11" ht="16" x14ac:dyDescent="0.2">
      <c r="A1100" s="1" t="s">
        <v>376</v>
      </c>
      <c r="B1100" t="str">
        <f>LEFT(Table13[[#This Row],[Input]],1)</f>
        <v>R</v>
      </c>
      <c r="C1100">
        <f>_xlfn.LET(_xlpm.steps,SUBSTITUTE(Table13[[#This Row],[Input]],Table13[[#This Row],[Direction]],""),VALUE(IF(LEN(_xlpm.steps)&gt;2,RIGHT(_xlpm.steps,2),_xlpm.steps)))</f>
        <v>83</v>
      </c>
      <c r="D1100">
        <f>_xlfn.LET(_xlpm.steps,SUBSTITUTE(Table13[[#This Row],[Input]],Table13[[#This Row],[Direction]],""),VALUE(IF(LEN(_xlpm.steps)&gt;2,LEFT(_xlpm.steps,LEN(_xlpm.steps)-2),0)))</f>
        <v>2</v>
      </c>
      <c r="E1100">
        <f>_xlfn.LET(_xlpm.dir,Table13[[#This Row],[Direction]],
IF(_xlpm.dir="L",
    IF(G1099-Table13[[#This Row],[Steps]]&lt;0,100+(G1099-Table13[[#This Row],[Steps]]),G1099-Table13[[#This Row],[Steps]]),
))</f>
        <v>0</v>
      </c>
      <c r="F1100">
        <f>_xlfn.LET(_xlpm.dir,Table13[[#This Row],[Direction]],
IF(_xlpm.dir="R",
    IF(G1099+Table13[[#This Row],[Steps]]&gt;99,(G1099+Table13[[#This Row],[Steps]])-100,G1099+Table13[[#This Row],[Steps]]),
))</f>
        <v>0</v>
      </c>
      <c r="G1100">
        <f>IF(Table13[[#This Row],[New Pos L]]&lt;&gt;0,Table13[[#This Row],[New Pos L]],Table13[[#This Row],[New Pos R]])</f>
        <v>0</v>
      </c>
      <c r="H1100">
        <f>IF(AND(Table13[[#This Row],[Direction]]="L",Table13[[#This Row],[Steps]]&gt;G1099,G1099&lt;&gt;0),1,0)</f>
        <v>0</v>
      </c>
      <c r="I1100">
        <f>IF(AND(Table13[[#This Row],[Direction]]="R",(G1099+Table13[[#This Row],[Steps]])&gt;100),1,0)</f>
        <v>0</v>
      </c>
      <c r="J1100">
        <f>IF(Table13[[#This Row],[POS]]=0,1,0)</f>
        <v>1</v>
      </c>
      <c r="K1100">
        <f>SUM(Table13[[#This Row],[prefix]],Table13[[#This Row],[Past zero L]],Table13[[#This Row],[Past Zero R]],Table13[[#This Row],[Is Zero]])</f>
        <v>3</v>
      </c>
    </row>
    <row r="1101" spans="1:11" ht="16" x14ac:dyDescent="0.2">
      <c r="A1101" s="1" t="s">
        <v>14</v>
      </c>
      <c r="B1101" t="str">
        <f>LEFT(Table13[[#This Row],[Input]],1)</f>
        <v>L</v>
      </c>
      <c r="C1101">
        <f>_xlfn.LET(_xlpm.steps,SUBSTITUTE(Table13[[#This Row],[Input]],Table13[[#This Row],[Direction]],""),VALUE(IF(LEN(_xlpm.steps)&gt;2,RIGHT(_xlpm.steps,2),_xlpm.steps)))</f>
        <v>43</v>
      </c>
      <c r="D1101">
        <f>_xlfn.LET(_xlpm.steps,SUBSTITUTE(Table13[[#This Row],[Input]],Table13[[#This Row],[Direction]],""),VALUE(IF(LEN(_xlpm.steps)&gt;2,LEFT(_xlpm.steps,LEN(_xlpm.steps)-2),0)))</f>
        <v>0</v>
      </c>
      <c r="E1101">
        <f>_xlfn.LET(_xlpm.dir,Table13[[#This Row],[Direction]],
IF(_xlpm.dir="L",
    IF(G1100-Table13[[#This Row],[Steps]]&lt;0,100+(G1100-Table13[[#This Row],[Steps]]),G1100-Table13[[#This Row],[Steps]]),
))</f>
        <v>57</v>
      </c>
      <c r="F1101">
        <f>_xlfn.LET(_xlpm.dir,Table13[[#This Row],[Direction]],
IF(_xlpm.dir="R",
    IF(G1100+Table13[[#This Row],[Steps]]&gt;99,(G1100+Table13[[#This Row],[Steps]])-100,G1100+Table13[[#This Row],[Steps]]),
))</f>
        <v>0</v>
      </c>
      <c r="G1101">
        <f>IF(Table13[[#This Row],[New Pos L]]&lt;&gt;0,Table13[[#This Row],[New Pos L]],Table13[[#This Row],[New Pos R]])</f>
        <v>57</v>
      </c>
      <c r="H1101">
        <f>IF(AND(Table13[[#This Row],[Direction]]="L",Table13[[#This Row],[Steps]]&gt;G1100,G1100&lt;&gt;0),1,0)</f>
        <v>0</v>
      </c>
      <c r="I1101">
        <f>IF(AND(Table13[[#This Row],[Direction]]="R",(G1100+Table13[[#This Row],[Steps]])&gt;100),1,0)</f>
        <v>0</v>
      </c>
      <c r="J1101">
        <f>IF(Table13[[#This Row],[POS]]=0,1,0)</f>
        <v>0</v>
      </c>
      <c r="K1101">
        <f>SUM(Table13[[#This Row],[prefix]],Table13[[#This Row],[Past zero L]],Table13[[#This Row],[Past Zero R]],Table13[[#This Row],[Is Zero]])</f>
        <v>0</v>
      </c>
    </row>
    <row r="1102" spans="1:11" ht="16" x14ac:dyDescent="0.2">
      <c r="A1102" s="1" t="s">
        <v>72</v>
      </c>
      <c r="B1102" t="str">
        <f>LEFT(Table13[[#This Row],[Input]],1)</f>
        <v>R</v>
      </c>
      <c r="C1102">
        <f>_xlfn.LET(_xlpm.steps,SUBSTITUTE(Table13[[#This Row],[Input]],Table13[[#This Row],[Direction]],""),VALUE(IF(LEN(_xlpm.steps)&gt;2,RIGHT(_xlpm.steps,2),_xlpm.steps)))</f>
        <v>43</v>
      </c>
      <c r="D1102">
        <f>_xlfn.LET(_xlpm.steps,SUBSTITUTE(Table13[[#This Row],[Input]],Table13[[#This Row],[Direction]],""),VALUE(IF(LEN(_xlpm.steps)&gt;2,LEFT(_xlpm.steps,LEN(_xlpm.steps)-2),0)))</f>
        <v>0</v>
      </c>
      <c r="E1102">
        <f>_xlfn.LET(_xlpm.dir,Table13[[#This Row],[Direction]],
IF(_xlpm.dir="L",
    IF(G1101-Table13[[#This Row],[Steps]]&lt;0,100+(G1101-Table13[[#This Row],[Steps]]),G1101-Table13[[#This Row],[Steps]]),
))</f>
        <v>0</v>
      </c>
      <c r="F1102">
        <f>_xlfn.LET(_xlpm.dir,Table13[[#This Row],[Direction]],
IF(_xlpm.dir="R",
    IF(G1101+Table13[[#This Row],[Steps]]&gt;99,(G1101+Table13[[#This Row],[Steps]])-100,G1101+Table13[[#This Row],[Steps]]),
))</f>
        <v>0</v>
      </c>
      <c r="G1102">
        <f>IF(Table13[[#This Row],[New Pos L]]&lt;&gt;0,Table13[[#This Row],[New Pos L]],Table13[[#This Row],[New Pos R]])</f>
        <v>0</v>
      </c>
      <c r="H1102">
        <f>IF(AND(Table13[[#This Row],[Direction]]="L",Table13[[#This Row],[Steps]]&gt;G1101,G1101&lt;&gt;0),1,0)</f>
        <v>0</v>
      </c>
      <c r="I1102">
        <f>IF(AND(Table13[[#This Row],[Direction]]="R",(G1101+Table13[[#This Row],[Steps]])&gt;100),1,0)</f>
        <v>0</v>
      </c>
      <c r="J1102">
        <f>IF(Table13[[#This Row],[POS]]=0,1,0)</f>
        <v>1</v>
      </c>
      <c r="K1102">
        <f>SUM(Table13[[#This Row],[prefix]],Table13[[#This Row],[Past zero L]],Table13[[#This Row],[Past Zero R]],Table13[[#This Row],[Is Zero]])</f>
        <v>1</v>
      </c>
    </row>
    <row r="1103" spans="1:11" ht="16" x14ac:dyDescent="0.2">
      <c r="A1103" s="1" t="s">
        <v>94</v>
      </c>
      <c r="B1103" t="str">
        <f>LEFT(Table13[[#This Row],[Input]],1)</f>
        <v>L</v>
      </c>
      <c r="C1103">
        <f>_xlfn.LET(_xlpm.steps,SUBSTITUTE(Table13[[#This Row],[Input]],Table13[[#This Row],[Direction]],""),VALUE(IF(LEN(_xlpm.steps)&gt;2,RIGHT(_xlpm.steps,2),_xlpm.steps)))</f>
        <v>71</v>
      </c>
      <c r="D1103">
        <f>_xlfn.LET(_xlpm.steps,SUBSTITUTE(Table13[[#This Row],[Input]],Table13[[#This Row],[Direction]],""),VALUE(IF(LEN(_xlpm.steps)&gt;2,LEFT(_xlpm.steps,LEN(_xlpm.steps)-2),0)))</f>
        <v>0</v>
      </c>
      <c r="E1103">
        <f>_xlfn.LET(_xlpm.dir,Table13[[#This Row],[Direction]],
IF(_xlpm.dir="L",
    IF(G1102-Table13[[#This Row],[Steps]]&lt;0,100+(G1102-Table13[[#This Row],[Steps]]),G1102-Table13[[#This Row],[Steps]]),
))</f>
        <v>29</v>
      </c>
      <c r="F1103">
        <f>_xlfn.LET(_xlpm.dir,Table13[[#This Row],[Direction]],
IF(_xlpm.dir="R",
    IF(G1102+Table13[[#This Row],[Steps]]&gt;99,(G1102+Table13[[#This Row],[Steps]])-100,G1102+Table13[[#This Row],[Steps]]),
))</f>
        <v>0</v>
      </c>
      <c r="G1103">
        <f>IF(Table13[[#This Row],[New Pos L]]&lt;&gt;0,Table13[[#This Row],[New Pos L]],Table13[[#This Row],[New Pos R]])</f>
        <v>29</v>
      </c>
      <c r="H1103">
        <f>IF(AND(Table13[[#This Row],[Direction]]="L",Table13[[#This Row],[Steps]]&gt;G1102,G1102&lt;&gt;0),1,0)</f>
        <v>0</v>
      </c>
      <c r="I1103">
        <f>IF(AND(Table13[[#This Row],[Direction]]="R",(G1102+Table13[[#This Row],[Steps]])&gt;100),1,0)</f>
        <v>0</v>
      </c>
      <c r="J1103">
        <f>IF(Table13[[#This Row],[POS]]=0,1,0)</f>
        <v>0</v>
      </c>
      <c r="K1103">
        <f>SUM(Table13[[#This Row],[prefix]],Table13[[#This Row],[Past zero L]],Table13[[#This Row],[Past Zero R]],Table13[[#This Row],[Is Zero]])</f>
        <v>0</v>
      </c>
    </row>
    <row r="1104" spans="1:11" ht="16" x14ac:dyDescent="0.2">
      <c r="A1104" s="1" t="s">
        <v>272</v>
      </c>
      <c r="B1104" t="str">
        <f>LEFT(Table13[[#This Row],[Input]],1)</f>
        <v>R</v>
      </c>
      <c r="C1104">
        <f>_xlfn.LET(_xlpm.steps,SUBSTITUTE(Table13[[#This Row],[Input]],Table13[[#This Row],[Direction]],""),VALUE(IF(LEN(_xlpm.steps)&gt;2,RIGHT(_xlpm.steps,2),_xlpm.steps)))</f>
        <v>56</v>
      </c>
      <c r="D1104">
        <f>_xlfn.LET(_xlpm.steps,SUBSTITUTE(Table13[[#This Row],[Input]],Table13[[#This Row],[Direction]],""),VALUE(IF(LEN(_xlpm.steps)&gt;2,LEFT(_xlpm.steps,LEN(_xlpm.steps)-2),0)))</f>
        <v>0</v>
      </c>
      <c r="E1104">
        <f>_xlfn.LET(_xlpm.dir,Table13[[#This Row],[Direction]],
IF(_xlpm.dir="L",
    IF(G1103-Table13[[#This Row],[Steps]]&lt;0,100+(G1103-Table13[[#This Row],[Steps]]),G1103-Table13[[#This Row],[Steps]]),
))</f>
        <v>0</v>
      </c>
      <c r="F1104">
        <f>_xlfn.LET(_xlpm.dir,Table13[[#This Row],[Direction]],
IF(_xlpm.dir="R",
    IF(G1103+Table13[[#This Row],[Steps]]&gt;99,(G1103+Table13[[#This Row],[Steps]])-100,G1103+Table13[[#This Row],[Steps]]),
))</f>
        <v>85</v>
      </c>
      <c r="G1104">
        <f>IF(Table13[[#This Row],[New Pos L]]&lt;&gt;0,Table13[[#This Row],[New Pos L]],Table13[[#This Row],[New Pos R]])</f>
        <v>85</v>
      </c>
      <c r="H1104">
        <f>IF(AND(Table13[[#This Row],[Direction]]="L",Table13[[#This Row],[Steps]]&gt;G1103,G1103&lt;&gt;0),1,0)</f>
        <v>0</v>
      </c>
      <c r="I1104">
        <f>IF(AND(Table13[[#This Row],[Direction]]="R",(G1103+Table13[[#This Row],[Steps]])&gt;100),1,0)</f>
        <v>0</v>
      </c>
      <c r="J1104">
        <f>IF(Table13[[#This Row],[POS]]=0,1,0)</f>
        <v>0</v>
      </c>
      <c r="K1104">
        <f>SUM(Table13[[#This Row],[prefix]],Table13[[#This Row],[Past zero L]],Table13[[#This Row],[Past Zero R]],Table13[[#This Row],[Is Zero]])</f>
        <v>0</v>
      </c>
    </row>
    <row r="1105" spans="1:11" ht="16" x14ac:dyDescent="0.2">
      <c r="A1105" s="1" t="s">
        <v>260</v>
      </c>
      <c r="B1105" t="str">
        <f>LEFT(Table13[[#This Row],[Input]],1)</f>
        <v>L</v>
      </c>
      <c r="C1105">
        <f>_xlfn.LET(_xlpm.steps,SUBSTITUTE(Table13[[#This Row],[Input]],Table13[[#This Row],[Direction]],""),VALUE(IF(LEN(_xlpm.steps)&gt;2,RIGHT(_xlpm.steps,2),_xlpm.steps)))</f>
        <v>85</v>
      </c>
      <c r="D1105">
        <f>_xlfn.LET(_xlpm.steps,SUBSTITUTE(Table13[[#This Row],[Input]],Table13[[#This Row],[Direction]],""),VALUE(IF(LEN(_xlpm.steps)&gt;2,LEFT(_xlpm.steps,LEN(_xlpm.steps)-2),0)))</f>
        <v>0</v>
      </c>
      <c r="E1105">
        <f>_xlfn.LET(_xlpm.dir,Table13[[#This Row],[Direction]],
IF(_xlpm.dir="L",
    IF(G1104-Table13[[#This Row],[Steps]]&lt;0,100+(G1104-Table13[[#This Row],[Steps]]),G1104-Table13[[#This Row],[Steps]]),
))</f>
        <v>0</v>
      </c>
      <c r="F1105">
        <f>_xlfn.LET(_xlpm.dir,Table13[[#This Row],[Direction]],
IF(_xlpm.dir="R",
    IF(G1104+Table13[[#This Row],[Steps]]&gt;99,(G1104+Table13[[#This Row],[Steps]])-100,G1104+Table13[[#This Row],[Steps]]),
))</f>
        <v>0</v>
      </c>
      <c r="G1105">
        <f>IF(Table13[[#This Row],[New Pos L]]&lt;&gt;0,Table13[[#This Row],[New Pos L]],Table13[[#This Row],[New Pos R]])</f>
        <v>0</v>
      </c>
      <c r="H1105">
        <f>IF(AND(Table13[[#This Row],[Direction]]="L",Table13[[#This Row],[Steps]]&gt;G1104,G1104&lt;&gt;0),1,0)</f>
        <v>0</v>
      </c>
      <c r="I1105">
        <f>IF(AND(Table13[[#This Row],[Direction]]="R",(G1104+Table13[[#This Row],[Steps]])&gt;100),1,0)</f>
        <v>0</v>
      </c>
      <c r="J1105">
        <f>IF(Table13[[#This Row],[POS]]=0,1,0)</f>
        <v>1</v>
      </c>
      <c r="K1105">
        <f>SUM(Table13[[#This Row],[prefix]],Table13[[#This Row],[Past zero L]],Table13[[#This Row],[Past Zero R]],Table13[[#This Row],[Is Zero]])</f>
        <v>1</v>
      </c>
    </row>
    <row r="1106" spans="1:11" ht="16" x14ac:dyDescent="0.2">
      <c r="A1106" s="1" t="s">
        <v>371</v>
      </c>
      <c r="B1106" t="str">
        <f>LEFT(Table13[[#This Row],[Input]],1)</f>
        <v>L</v>
      </c>
      <c r="C1106">
        <f>_xlfn.LET(_xlpm.steps,SUBSTITUTE(Table13[[#This Row],[Input]],Table13[[#This Row],[Direction]],""),VALUE(IF(LEN(_xlpm.steps)&gt;2,RIGHT(_xlpm.steps,2),_xlpm.steps)))</f>
        <v>53</v>
      </c>
      <c r="D1106">
        <f>_xlfn.LET(_xlpm.steps,SUBSTITUTE(Table13[[#This Row],[Input]],Table13[[#This Row],[Direction]],""),VALUE(IF(LEN(_xlpm.steps)&gt;2,LEFT(_xlpm.steps,LEN(_xlpm.steps)-2),0)))</f>
        <v>9</v>
      </c>
      <c r="E1106">
        <f>_xlfn.LET(_xlpm.dir,Table13[[#This Row],[Direction]],
IF(_xlpm.dir="L",
    IF(G1105-Table13[[#This Row],[Steps]]&lt;0,100+(G1105-Table13[[#This Row],[Steps]]),G1105-Table13[[#This Row],[Steps]]),
))</f>
        <v>47</v>
      </c>
      <c r="F1106">
        <f>_xlfn.LET(_xlpm.dir,Table13[[#This Row],[Direction]],
IF(_xlpm.dir="R",
    IF(G1105+Table13[[#This Row],[Steps]]&gt;99,(G1105+Table13[[#This Row],[Steps]])-100,G1105+Table13[[#This Row],[Steps]]),
))</f>
        <v>0</v>
      </c>
      <c r="G1106">
        <f>IF(Table13[[#This Row],[New Pos L]]&lt;&gt;0,Table13[[#This Row],[New Pos L]],Table13[[#This Row],[New Pos R]])</f>
        <v>47</v>
      </c>
      <c r="H1106">
        <f>IF(AND(Table13[[#This Row],[Direction]]="L",Table13[[#This Row],[Steps]]&gt;G1105,G1105&lt;&gt;0),1,0)</f>
        <v>0</v>
      </c>
      <c r="I1106">
        <f>IF(AND(Table13[[#This Row],[Direction]]="R",(G1105+Table13[[#This Row],[Steps]])&gt;100),1,0)</f>
        <v>0</v>
      </c>
      <c r="J1106">
        <f>IF(Table13[[#This Row],[POS]]=0,1,0)</f>
        <v>0</v>
      </c>
      <c r="K1106">
        <f>SUM(Table13[[#This Row],[prefix]],Table13[[#This Row],[Past zero L]],Table13[[#This Row],[Past Zero R]],Table13[[#This Row],[Is Zero]])</f>
        <v>9</v>
      </c>
    </row>
    <row r="1107" spans="1:11" ht="16" x14ac:dyDescent="0.2">
      <c r="A1107" s="1" t="s">
        <v>148</v>
      </c>
      <c r="B1107" t="str">
        <f>LEFT(Table13[[#This Row],[Input]],1)</f>
        <v>R</v>
      </c>
      <c r="C1107">
        <f>_xlfn.LET(_xlpm.steps,SUBSTITUTE(Table13[[#This Row],[Input]],Table13[[#This Row],[Direction]],""),VALUE(IF(LEN(_xlpm.steps)&gt;2,RIGHT(_xlpm.steps,2),_xlpm.steps)))</f>
        <v>80</v>
      </c>
      <c r="D1107">
        <f>_xlfn.LET(_xlpm.steps,SUBSTITUTE(Table13[[#This Row],[Input]],Table13[[#This Row],[Direction]],""),VALUE(IF(LEN(_xlpm.steps)&gt;2,LEFT(_xlpm.steps,LEN(_xlpm.steps)-2),0)))</f>
        <v>0</v>
      </c>
      <c r="E1107">
        <f>_xlfn.LET(_xlpm.dir,Table13[[#This Row],[Direction]],
IF(_xlpm.dir="L",
    IF(G1106-Table13[[#This Row],[Steps]]&lt;0,100+(G1106-Table13[[#This Row],[Steps]]),G1106-Table13[[#This Row],[Steps]]),
))</f>
        <v>0</v>
      </c>
      <c r="F1107">
        <f>_xlfn.LET(_xlpm.dir,Table13[[#This Row],[Direction]],
IF(_xlpm.dir="R",
    IF(G1106+Table13[[#This Row],[Steps]]&gt;99,(G1106+Table13[[#This Row],[Steps]])-100,G1106+Table13[[#This Row],[Steps]]),
))</f>
        <v>27</v>
      </c>
      <c r="G1107">
        <f>IF(Table13[[#This Row],[New Pos L]]&lt;&gt;0,Table13[[#This Row],[New Pos L]],Table13[[#This Row],[New Pos R]])</f>
        <v>27</v>
      </c>
      <c r="H1107">
        <f>IF(AND(Table13[[#This Row],[Direction]]="L",Table13[[#This Row],[Steps]]&gt;G1106,G1106&lt;&gt;0),1,0)</f>
        <v>0</v>
      </c>
      <c r="I1107">
        <f>IF(AND(Table13[[#This Row],[Direction]]="R",(G1106+Table13[[#This Row],[Steps]])&gt;100),1,0)</f>
        <v>1</v>
      </c>
      <c r="J1107">
        <f>IF(Table13[[#This Row],[POS]]=0,1,0)</f>
        <v>0</v>
      </c>
      <c r="K1107">
        <f>SUM(Table13[[#This Row],[prefix]],Table13[[#This Row],[Past zero L]],Table13[[#This Row],[Past Zero R]],Table13[[#This Row],[Is Zero]])</f>
        <v>1</v>
      </c>
    </row>
    <row r="1108" spans="1:11" ht="16" x14ac:dyDescent="0.2">
      <c r="A1108" s="1" t="s">
        <v>148</v>
      </c>
      <c r="B1108" t="str">
        <f>LEFT(Table13[[#This Row],[Input]],1)</f>
        <v>R</v>
      </c>
      <c r="C1108">
        <f>_xlfn.LET(_xlpm.steps,SUBSTITUTE(Table13[[#This Row],[Input]],Table13[[#This Row],[Direction]],""),VALUE(IF(LEN(_xlpm.steps)&gt;2,RIGHT(_xlpm.steps,2),_xlpm.steps)))</f>
        <v>80</v>
      </c>
      <c r="D1108">
        <f>_xlfn.LET(_xlpm.steps,SUBSTITUTE(Table13[[#This Row],[Input]],Table13[[#This Row],[Direction]],""),VALUE(IF(LEN(_xlpm.steps)&gt;2,LEFT(_xlpm.steps,LEN(_xlpm.steps)-2),0)))</f>
        <v>0</v>
      </c>
      <c r="E1108">
        <f>_xlfn.LET(_xlpm.dir,Table13[[#This Row],[Direction]],
IF(_xlpm.dir="L",
    IF(G1107-Table13[[#This Row],[Steps]]&lt;0,100+(G1107-Table13[[#This Row],[Steps]]),G1107-Table13[[#This Row],[Steps]]),
))</f>
        <v>0</v>
      </c>
      <c r="F1108">
        <f>_xlfn.LET(_xlpm.dir,Table13[[#This Row],[Direction]],
IF(_xlpm.dir="R",
    IF(G1107+Table13[[#This Row],[Steps]]&gt;99,(G1107+Table13[[#This Row],[Steps]])-100,G1107+Table13[[#This Row],[Steps]]),
))</f>
        <v>7</v>
      </c>
      <c r="G1108">
        <f>IF(Table13[[#This Row],[New Pos L]]&lt;&gt;0,Table13[[#This Row],[New Pos L]],Table13[[#This Row],[New Pos R]])</f>
        <v>7</v>
      </c>
      <c r="H1108">
        <f>IF(AND(Table13[[#This Row],[Direction]]="L",Table13[[#This Row],[Steps]]&gt;G1107,G1107&lt;&gt;0),1,0)</f>
        <v>0</v>
      </c>
      <c r="I1108">
        <f>IF(AND(Table13[[#This Row],[Direction]]="R",(G1107+Table13[[#This Row],[Steps]])&gt;100),1,0)</f>
        <v>1</v>
      </c>
      <c r="J1108">
        <f>IF(Table13[[#This Row],[POS]]=0,1,0)</f>
        <v>0</v>
      </c>
      <c r="K1108">
        <f>SUM(Table13[[#This Row],[prefix]],Table13[[#This Row],[Past zero L]],Table13[[#This Row],[Past Zero R]],Table13[[#This Row],[Is Zero]])</f>
        <v>1</v>
      </c>
    </row>
    <row r="1109" spans="1:11" ht="16" x14ac:dyDescent="0.2">
      <c r="A1109" s="1" t="s">
        <v>62</v>
      </c>
      <c r="B1109" t="str">
        <f>LEFT(Table13[[#This Row],[Input]],1)</f>
        <v>L</v>
      </c>
      <c r="C1109">
        <f>_xlfn.LET(_xlpm.steps,SUBSTITUTE(Table13[[#This Row],[Input]],Table13[[#This Row],[Direction]],""),VALUE(IF(LEN(_xlpm.steps)&gt;2,RIGHT(_xlpm.steps,2),_xlpm.steps)))</f>
        <v>57</v>
      </c>
      <c r="D1109">
        <f>_xlfn.LET(_xlpm.steps,SUBSTITUTE(Table13[[#This Row],[Input]],Table13[[#This Row],[Direction]],""),VALUE(IF(LEN(_xlpm.steps)&gt;2,LEFT(_xlpm.steps,LEN(_xlpm.steps)-2),0)))</f>
        <v>0</v>
      </c>
      <c r="E1109">
        <f>_xlfn.LET(_xlpm.dir,Table13[[#This Row],[Direction]],
IF(_xlpm.dir="L",
    IF(G1108-Table13[[#This Row],[Steps]]&lt;0,100+(G1108-Table13[[#This Row],[Steps]]),G1108-Table13[[#This Row],[Steps]]),
))</f>
        <v>50</v>
      </c>
      <c r="F1109">
        <f>_xlfn.LET(_xlpm.dir,Table13[[#This Row],[Direction]],
IF(_xlpm.dir="R",
    IF(G1108+Table13[[#This Row],[Steps]]&gt;99,(G1108+Table13[[#This Row],[Steps]])-100,G1108+Table13[[#This Row],[Steps]]),
))</f>
        <v>0</v>
      </c>
      <c r="G1109">
        <f>IF(Table13[[#This Row],[New Pos L]]&lt;&gt;0,Table13[[#This Row],[New Pos L]],Table13[[#This Row],[New Pos R]])</f>
        <v>50</v>
      </c>
      <c r="H1109">
        <f>IF(AND(Table13[[#This Row],[Direction]]="L",Table13[[#This Row],[Steps]]&gt;G1108,G1108&lt;&gt;0),1,0)</f>
        <v>1</v>
      </c>
      <c r="I1109">
        <f>IF(AND(Table13[[#This Row],[Direction]]="R",(G1108+Table13[[#This Row],[Steps]])&gt;100),1,0)</f>
        <v>0</v>
      </c>
      <c r="J1109">
        <f>IF(Table13[[#This Row],[POS]]=0,1,0)</f>
        <v>0</v>
      </c>
      <c r="K1109">
        <f>SUM(Table13[[#This Row],[prefix]],Table13[[#This Row],[Past zero L]],Table13[[#This Row],[Past Zero R]],Table13[[#This Row],[Is Zero]])</f>
        <v>1</v>
      </c>
    </row>
    <row r="1110" spans="1:11" ht="16" x14ac:dyDescent="0.2">
      <c r="A1110" s="1" t="s">
        <v>89</v>
      </c>
      <c r="B1110" t="str">
        <f>LEFT(Table13[[#This Row],[Input]],1)</f>
        <v>L</v>
      </c>
      <c r="C1110">
        <f>_xlfn.LET(_xlpm.steps,SUBSTITUTE(Table13[[#This Row],[Input]],Table13[[#This Row],[Direction]],""),VALUE(IF(LEN(_xlpm.steps)&gt;2,RIGHT(_xlpm.steps,2),_xlpm.steps)))</f>
        <v>91</v>
      </c>
      <c r="D1110">
        <f>_xlfn.LET(_xlpm.steps,SUBSTITUTE(Table13[[#This Row],[Input]],Table13[[#This Row],[Direction]],""),VALUE(IF(LEN(_xlpm.steps)&gt;2,LEFT(_xlpm.steps,LEN(_xlpm.steps)-2),0)))</f>
        <v>0</v>
      </c>
      <c r="E1110">
        <f>_xlfn.LET(_xlpm.dir,Table13[[#This Row],[Direction]],
IF(_xlpm.dir="L",
    IF(G1109-Table13[[#This Row],[Steps]]&lt;0,100+(G1109-Table13[[#This Row],[Steps]]),G1109-Table13[[#This Row],[Steps]]),
))</f>
        <v>59</v>
      </c>
      <c r="F1110">
        <f>_xlfn.LET(_xlpm.dir,Table13[[#This Row],[Direction]],
IF(_xlpm.dir="R",
    IF(G1109+Table13[[#This Row],[Steps]]&gt;99,(G1109+Table13[[#This Row],[Steps]])-100,G1109+Table13[[#This Row],[Steps]]),
))</f>
        <v>0</v>
      </c>
      <c r="G1110">
        <f>IF(Table13[[#This Row],[New Pos L]]&lt;&gt;0,Table13[[#This Row],[New Pos L]],Table13[[#This Row],[New Pos R]])</f>
        <v>59</v>
      </c>
      <c r="H1110">
        <f>IF(AND(Table13[[#This Row],[Direction]]="L",Table13[[#This Row],[Steps]]&gt;G1109,G1109&lt;&gt;0),1,0)</f>
        <v>1</v>
      </c>
      <c r="I1110">
        <f>IF(AND(Table13[[#This Row],[Direction]]="R",(G1109+Table13[[#This Row],[Steps]])&gt;100),1,0)</f>
        <v>0</v>
      </c>
      <c r="J1110">
        <f>IF(Table13[[#This Row],[POS]]=0,1,0)</f>
        <v>0</v>
      </c>
      <c r="K1110">
        <f>SUM(Table13[[#This Row],[prefix]],Table13[[#This Row],[Past zero L]],Table13[[#This Row],[Past Zero R]],Table13[[#This Row],[Is Zero]])</f>
        <v>1</v>
      </c>
    </row>
    <row r="1111" spans="1:11" ht="16" x14ac:dyDescent="0.2">
      <c r="A1111" s="1" t="s">
        <v>244</v>
      </c>
      <c r="B1111" t="str">
        <f>LEFT(Table13[[#This Row],[Input]],1)</f>
        <v>L</v>
      </c>
      <c r="C1111">
        <f>_xlfn.LET(_xlpm.steps,SUBSTITUTE(Table13[[#This Row],[Input]],Table13[[#This Row],[Direction]],""),VALUE(IF(LEN(_xlpm.steps)&gt;2,RIGHT(_xlpm.steps,2),_xlpm.steps)))</f>
        <v>98</v>
      </c>
      <c r="D1111">
        <f>_xlfn.LET(_xlpm.steps,SUBSTITUTE(Table13[[#This Row],[Input]],Table13[[#This Row],[Direction]],""),VALUE(IF(LEN(_xlpm.steps)&gt;2,LEFT(_xlpm.steps,LEN(_xlpm.steps)-2),0)))</f>
        <v>0</v>
      </c>
      <c r="E1111">
        <f>_xlfn.LET(_xlpm.dir,Table13[[#This Row],[Direction]],
IF(_xlpm.dir="L",
    IF(G1110-Table13[[#This Row],[Steps]]&lt;0,100+(G1110-Table13[[#This Row],[Steps]]),G1110-Table13[[#This Row],[Steps]]),
))</f>
        <v>61</v>
      </c>
      <c r="F1111">
        <f>_xlfn.LET(_xlpm.dir,Table13[[#This Row],[Direction]],
IF(_xlpm.dir="R",
    IF(G1110+Table13[[#This Row],[Steps]]&gt;99,(G1110+Table13[[#This Row],[Steps]])-100,G1110+Table13[[#This Row],[Steps]]),
))</f>
        <v>0</v>
      </c>
      <c r="G1111">
        <f>IF(Table13[[#This Row],[New Pos L]]&lt;&gt;0,Table13[[#This Row],[New Pos L]],Table13[[#This Row],[New Pos R]])</f>
        <v>61</v>
      </c>
      <c r="H1111">
        <f>IF(AND(Table13[[#This Row],[Direction]]="L",Table13[[#This Row],[Steps]]&gt;G1110,G1110&lt;&gt;0),1,0)</f>
        <v>1</v>
      </c>
      <c r="I1111">
        <f>IF(AND(Table13[[#This Row],[Direction]]="R",(G1110+Table13[[#This Row],[Steps]])&gt;100),1,0)</f>
        <v>0</v>
      </c>
      <c r="J1111">
        <f>IF(Table13[[#This Row],[POS]]=0,1,0)</f>
        <v>0</v>
      </c>
      <c r="K1111">
        <f>SUM(Table13[[#This Row],[prefix]],Table13[[#This Row],[Past zero L]],Table13[[#This Row],[Past Zero R]],Table13[[#This Row],[Is Zero]])</f>
        <v>1</v>
      </c>
    </row>
    <row r="1112" spans="1:11" ht="16" x14ac:dyDescent="0.2">
      <c r="A1112" s="1" t="s">
        <v>102</v>
      </c>
      <c r="B1112" t="str">
        <f>LEFT(Table13[[#This Row],[Input]],1)</f>
        <v>R</v>
      </c>
      <c r="C1112">
        <f>_xlfn.LET(_xlpm.steps,SUBSTITUTE(Table13[[#This Row],[Input]],Table13[[#This Row],[Direction]],""),VALUE(IF(LEN(_xlpm.steps)&gt;2,RIGHT(_xlpm.steps,2),_xlpm.steps)))</f>
        <v>39</v>
      </c>
      <c r="D1112">
        <f>_xlfn.LET(_xlpm.steps,SUBSTITUTE(Table13[[#This Row],[Input]],Table13[[#This Row],[Direction]],""),VALUE(IF(LEN(_xlpm.steps)&gt;2,LEFT(_xlpm.steps,LEN(_xlpm.steps)-2),0)))</f>
        <v>0</v>
      </c>
      <c r="E1112">
        <f>_xlfn.LET(_xlpm.dir,Table13[[#This Row],[Direction]],
IF(_xlpm.dir="L",
    IF(G1111-Table13[[#This Row],[Steps]]&lt;0,100+(G1111-Table13[[#This Row],[Steps]]),G1111-Table13[[#This Row],[Steps]]),
))</f>
        <v>0</v>
      </c>
      <c r="F1112">
        <f>_xlfn.LET(_xlpm.dir,Table13[[#This Row],[Direction]],
IF(_xlpm.dir="R",
    IF(G1111+Table13[[#This Row],[Steps]]&gt;99,(G1111+Table13[[#This Row],[Steps]])-100,G1111+Table13[[#This Row],[Steps]]),
))</f>
        <v>0</v>
      </c>
      <c r="G1112">
        <f>IF(Table13[[#This Row],[New Pos L]]&lt;&gt;0,Table13[[#This Row],[New Pos L]],Table13[[#This Row],[New Pos R]])</f>
        <v>0</v>
      </c>
      <c r="H1112">
        <f>IF(AND(Table13[[#This Row],[Direction]]="L",Table13[[#This Row],[Steps]]&gt;G1111,G1111&lt;&gt;0),1,0)</f>
        <v>0</v>
      </c>
      <c r="I1112">
        <f>IF(AND(Table13[[#This Row],[Direction]]="R",(G1111+Table13[[#This Row],[Steps]])&gt;100),1,0)</f>
        <v>0</v>
      </c>
      <c r="J1112">
        <f>IF(Table13[[#This Row],[POS]]=0,1,0)</f>
        <v>1</v>
      </c>
      <c r="K1112">
        <f>SUM(Table13[[#This Row],[prefix]],Table13[[#This Row],[Past zero L]],Table13[[#This Row],[Past Zero R]],Table13[[#This Row],[Is Zero]])</f>
        <v>1</v>
      </c>
    </row>
    <row r="1113" spans="1:11" ht="16" x14ac:dyDescent="0.2">
      <c r="A1113" s="1" t="s">
        <v>34</v>
      </c>
      <c r="B1113" t="str">
        <f>LEFT(Table13[[#This Row],[Input]],1)</f>
        <v>L</v>
      </c>
      <c r="C1113">
        <f>_xlfn.LET(_xlpm.steps,SUBSTITUTE(Table13[[#This Row],[Input]],Table13[[#This Row],[Direction]],""),VALUE(IF(LEN(_xlpm.steps)&gt;2,RIGHT(_xlpm.steps,2),_xlpm.steps)))</f>
        <v>15</v>
      </c>
      <c r="D1113">
        <f>_xlfn.LET(_xlpm.steps,SUBSTITUTE(Table13[[#This Row],[Input]],Table13[[#This Row],[Direction]],""),VALUE(IF(LEN(_xlpm.steps)&gt;2,LEFT(_xlpm.steps,LEN(_xlpm.steps)-2),0)))</f>
        <v>0</v>
      </c>
      <c r="E1113">
        <f>_xlfn.LET(_xlpm.dir,Table13[[#This Row],[Direction]],
IF(_xlpm.dir="L",
    IF(G1112-Table13[[#This Row],[Steps]]&lt;0,100+(G1112-Table13[[#This Row],[Steps]]),G1112-Table13[[#This Row],[Steps]]),
))</f>
        <v>85</v>
      </c>
      <c r="F1113">
        <f>_xlfn.LET(_xlpm.dir,Table13[[#This Row],[Direction]],
IF(_xlpm.dir="R",
    IF(G1112+Table13[[#This Row],[Steps]]&gt;99,(G1112+Table13[[#This Row],[Steps]])-100,G1112+Table13[[#This Row],[Steps]]),
))</f>
        <v>0</v>
      </c>
      <c r="G1113">
        <f>IF(Table13[[#This Row],[New Pos L]]&lt;&gt;0,Table13[[#This Row],[New Pos L]],Table13[[#This Row],[New Pos R]])</f>
        <v>85</v>
      </c>
      <c r="H1113">
        <f>IF(AND(Table13[[#This Row],[Direction]]="L",Table13[[#This Row],[Steps]]&gt;G1112,G1112&lt;&gt;0),1,0)</f>
        <v>0</v>
      </c>
      <c r="I1113">
        <f>IF(AND(Table13[[#This Row],[Direction]]="R",(G1112+Table13[[#This Row],[Steps]])&gt;100),1,0)</f>
        <v>0</v>
      </c>
      <c r="J1113">
        <f>IF(Table13[[#This Row],[POS]]=0,1,0)</f>
        <v>0</v>
      </c>
      <c r="K1113">
        <f>SUM(Table13[[#This Row],[prefix]],Table13[[#This Row],[Past zero L]],Table13[[#This Row],[Past Zero R]],Table13[[#This Row],[Is Zero]])</f>
        <v>0</v>
      </c>
    </row>
    <row r="1114" spans="1:11" ht="16" x14ac:dyDescent="0.2">
      <c r="A1114" s="1" t="s">
        <v>260</v>
      </c>
      <c r="B1114" t="str">
        <f>LEFT(Table13[[#This Row],[Input]],1)</f>
        <v>L</v>
      </c>
      <c r="C1114">
        <f>_xlfn.LET(_xlpm.steps,SUBSTITUTE(Table13[[#This Row],[Input]],Table13[[#This Row],[Direction]],""),VALUE(IF(LEN(_xlpm.steps)&gt;2,RIGHT(_xlpm.steps,2),_xlpm.steps)))</f>
        <v>85</v>
      </c>
      <c r="D1114">
        <f>_xlfn.LET(_xlpm.steps,SUBSTITUTE(Table13[[#This Row],[Input]],Table13[[#This Row],[Direction]],""),VALUE(IF(LEN(_xlpm.steps)&gt;2,LEFT(_xlpm.steps,LEN(_xlpm.steps)-2),0)))</f>
        <v>0</v>
      </c>
      <c r="E1114">
        <f>_xlfn.LET(_xlpm.dir,Table13[[#This Row],[Direction]],
IF(_xlpm.dir="L",
    IF(G1113-Table13[[#This Row],[Steps]]&lt;0,100+(G1113-Table13[[#This Row],[Steps]]),G1113-Table13[[#This Row],[Steps]]),
))</f>
        <v>0</v>
      </c>
      <c r="F1114">
        <f>_xlfn.LET(_xlpm.dir,Table13[[#This Row],[Direction]],
IF(_xlpm.dir="R",
    IF(G1113+Table13[[#This Row],[Steps]]&gt;99,(G1113+Table13[[#This Row],[Steps]])-100,G1113+Table13[[#This Row],[Steps]]),
))</f>
        <v>0</v>
      </c>
      <c r="G1114">
        <f>IF(Table13[[#This Row],[New Pos L]]&lt;&gt;0,Table13[[#This Row],[New Pos L]],Table13[[#This Row],[New Pos R]])</f>
        <v>0</v>
      </c>
      <c r="H1114">
        <f>IF(AND(Table13[[#This Row],[Direction]]="L",Table13[[#This Row],[Steps]]&gt;G1113,G1113&lt;&gt;0),1,0)</f>
        <v>0</v>
      </c>
      <c r="I1114">
        <f>IF(AND(Table13[[#This Row],[Direction]]="R",(G1113+Table13[[#This Row],[Steps]])&gt;100),1,0)</f>
        <v>0</v>
      </c>
      <c r="J1114">
        <f>IF(Table13[[#This Row],[POS]]=0,1,0)</f>
        <v>1</v>
      </c>
      <c r="K1114">
        <f>SUM(Table13[[#This Row],[prefix]],Table13[[#This Row],[Past zero L]],Table13[[#This Row],[Past Zero R]],Table13[[#This Row],[Is Zero]])</f>
        <v>1</v>
      </c>
    </row>
    <row r="1115" spans="1:11" ht="16" x14ac:dyDescent="0.2">
      <c r="A1115" s="1" t="s">
        <v>213</v>
      </c>
      <c r="B1115" t="str">
        <f>LEFT(Table13[[#This Row],[Input]],1)</f>
        <v>R</v>
      </c>
      <c r="C1115">
        <f>_xlfn.LET(_xlpm.steps,SUBSTITUTE(Table13[[#This Row],[Input]],Table13[[#This Row],[Direction]],""),VALUE(IF(LEN(_xlpm.steps)&gt;2,RIGHT(_xlpm.steps,2),_xlpm.steps)))</f>
        <v>87</v>
      </c>
      <c r="D1115">
        <f>_xlfn.LET(_xlpm.steps,SUBSTITUTE(Table13[[#This Row],[Input]],Table13[[#This Row],[Direction]],""),VALUE(IF(LEN(_xlpm.steps)&gt;2,LEFT(_xlpm.steps,LEN(_xlpm.steps)-2),0)))</f>
        <v>0</v>
      </c>
      <c r="E1115">
        <f>_xlfn.LET(_xlpm.dir,Table13[[#This Row],[Direction]],
IF(_xlpm.dir="L",
    IF(G1114-Table13[[#This Row],[Steps]]&lt;0,100+(G1114-Table13[[#This Row],[Steps]]),G1114-Table13[[#This Row],[Steps]]),
))</f>
        <v>0</v>
      </c>
      <c r="F1115">
        <f>_xlfn.LET(_xlpm.dir,Table13[[#This Row],[Direction]],
IF(_xlpm.dir="R",
    IF(G1114+Table13[[#This Row],[Steps]]&gt;99,(G1114+Table13[[#This Row],[Steps]])-100,G1114+Table13[[#This Row],[Steps]]),
))</f>
        <v>87</v>
      </c>
      <c r="G1115">
        <f>IF(Table13[[#This Row],[New Pos L]]&lt;&gt;0,Table13[[#This Row],[New Pos L]],Table13[[#This Row],[New Pos R]])</f>
        <v>87</v>
      </c>
      <c r="H1115">
        <f>IF(AND(Table13[[#This Row],[Direction]]="L",Table13[[#This Row],[Steps]]&gt;G1114,G1114&lt;&gt;0),1,0)</f>
        <v>0</v>
      </c>
      <c r="I1115">
        <f>IF(AND(Table13[[#This Row],[Direction]]="R",(G1114+Table13[[#This Row],[Steps]])&gt;100),1,0)</f>
        <v>0</v>
      </c>
      <c r="J1115">
        <f>IF(Table13[[#This Row],[POS]]=0,1,0)</f>
        <v>0</v>
      </c>
      <c r="K1115">
        <f>SUM(Table13[[#This Row],[prefix]],Table13[[#This Row],[Past zero L]],Table13[[#This Row],[Past Zero R]],Table13[[#This Row],[Is Zero]])</f>
        <v>0</v>
      </c>
    </row>
    <row r="1116" spans="1:11" ht="16" x14ac:dyDescent="0.2">
      <c r="A1116" s="1" t="s">
        <v>212</v>
      </c>
      <c r="B1116" t="str">
        <f>LEFT(Table13[[#This Row],[Input]],1)</f>
        <v>R</v>
      </c>
      <c r="C1116">
        <f>_xlfn.LET(_xlpm.steps,SUBSTITUTE(Table13[[#This Row],[Input]],Table13[[#This Row],[Direction]],""),VALUE(IF(LEN(_xlpm.steps)&gt;2,RIGHT(_xlpm.steps,2),_xlpm.steps)))</f>
        <v>77</v>
      </c>
      <c r="D1116">
        <f>_xlfn.LET(_xlpm.steps,SUBSTITUTE(Table13[[#This Row],[Input]],Table13[[#This Row],[Direction]],""),VALUE(IF(LEN(_xlpm.steps)&gt;2,LEFT(_xlpm.steps,LEN(_xlpm.steps)-2),0)))</f>
        <v>0</v>
      </c>
      <c r="E1116">
        <f>_xlfn.LET(_xlpm.dir,Table13[[#This Row],[Direction]],
IF(_xlpm.dir="L",
    IF(G1115-Table13[[#This Row],[Steps]]&lt;0,100+(G1115-Table13[[#This Row],[Steps]]),G1115-Table13[[#This Row],[Steps]]),
))</f>
        <v>0</v>
      </c>
      <c r="F1116">
        <f>_xlfn.LET(_xlpm.dir,Table13[[#This Row],[Direction]],
IF(_xlpm.dir="R",
    IF(G1115+Table13[[#This Row],[Steps]]&gt;99,(G1115+Table13[[#This Row],[Steps]])-100,G1115+Table13[[#This Row],[Steps]]),
))</f>
        <v>64</v>
      </c>
      <c r="G1116">
        <f>IF(Table13[[#This Row],[New Pos L]]&lt;&gt;0,Table13[[#This Row],[New Pos L]],Table13[[#This Row],[New Pos R]])</f>
        <v>64</v>
      </c>
      <c r="H1116">
        <f>IF(AND(Table13[[#This Row],[Direction]]="L",Table13[[#This Row],[Steps]]&gt;G1115,G1115&lt;&gt;0),1,0)</f>
        <v>0</v>
      </c>
      <c r="I1116">
        <f>IF(AND(Table13[[#This Row],[Direction]]="R",(G1115+Table13[[#This Row],[Steps]])&gt;100),1,0)</f>
        <v>1</v>
      </c>
      <c r="J1116">
        <f>IF(Table13[[#This Row],[POS]]=0,1,0)</f>
        <v>0</v>
      </c>
      <c r="K1116">
        <f>SUM(Table13[[#This Row],[prefix]],Table13[[#This Row],[Past zero L]],Table13[[#This Row],[Past Zero R]],Table13[[#This Row],[Is Zero]])</f>
        <v>1</v>
      </c>
    </row>
    <row r="1117" spans="1:11" ht="16" x14ac:dyDescent="0.2">
      <c r="A1117" s="1" t="s">
        <v>223</v>
      </c>
      <c r="B1117" t="str">
        <f>LEFT(Table13[[#This Row],[Input]],1)</f>
        <v>L</v>
      </c>
      <c r="C1117">
        <f>_xlfn.LET(_xlpm.steps,SUBSTITUTE(Table13[[#This Row],[Input]],Table13[[#This Row],[Direction]],""),VALUE(IF(LEN(_xlpm.steps)&gt;2,RIGHT(_xlpm.steps,2),_xlpm.steps)))</f>
        <v>87</v>
      </c>
      <c r="D1117">
        <f>_xlfn.LET(_xlpm.steps,SUBSTITUTE(Table13[[#This Row],[Input]],Table13[[#This Row],[Direction]],""),VALUE(IF(LEN(_xlpm.steps)&gt;2,LEFT(_xlpm.steps,LEN(_xlpm.steps)-2),0)))</f>
        <v>0</v>
      </c>
      <c r="E1117">
        <f>_xlfn.LET(_xlpm.dir,Table13[[#This Row],[Direction]],
IF(_xlpm.dir="L",
    IF(G1116-Table13[[#This Row],[Steps]]&lt;0,100+(G1116-Table13[[#This Row],[Steps]]),G1116-Table13[[#This Row],[Steps]]),
))</f>
        <v>77</v>
      </c>
      <c r="F1117">
        <f>_xlfn.LET(_xlpm.dir,Table13[[#This Row],[Direction]],
IF(_xlpm.dir="R",
    IF(G1116+Table13[[#This Row],[Steps]]&gt;99,(G1116+Table13[[#This Row],[Steps]])-100,G1116+Table13[[#This Row],[Steps]]),
))</f>
        <v>0</v>
      </c>
      <c r="G1117">
        <f>IF(Table13[[#This Row],[New Pos L]]&lt;&gt;0,Table13[[#This Row],[New Pos L]],Table13[[#This Row],[New Pos R]])</f>
        <v>77</v>
      </c>
      <c r="H1117">
        <f>IF(AND(Table13[[#This Row],[Direction]]="L",Table13[[#This Row],[Steps]]&gt;G1116,G1116&lt;&gt;0),1,0)</f>
        <v>1</v>
      </c>
      <c r="I1117">
        <f>IF(AND(Table13[[#This Row],[Direction]]="R",(G1116+Table13[[#This Row],[Steps]])&gt;100),1,0)</f>
        <v>0</v>
      </c>
      <c r="J1117">
        <f>IF(Table13[[#This Row],[POS]]=0,1,0)</f>
        <v>0</v>
      </c>
      <c r="K1117">
        <f>SUM(Table13[[#This Row],[prefix]],Table13[[#This Row],[Past zero L]],Table13[[#This Row],[Past Zero R]],Table13[[#This Row],[Is Zero]])</f>
        <v>1</v>
      </c>
    </row>
    <row r="1118" spans="1:11" ht="16" x14ac:dyDescent="0.2">
      <c r="A1118" s="1" t="s">
        <v>81</v>
      </c>
      <c r="B1118" t="str">
        <f>LEFT(Table13[[#This Row],[Input]],1)</f>
        <v>R</v>
      </c>
      <c r="C1118">
        <f>_xlfn.LET(_xlpm.steps,SUBSTITUTE(Table13[[#This Row],[Input]],Table13[[#This Row],[Direction]],""),VALUE(IF(LEN(_xlpm.steps)&gt;2,RIGHT(_xlpm.steps,2),_xlpm.steps)))</f>
        <v>17</v>
      </c>
      <c r="D1118">
        <f>_xlfn.LET(_xlpm.steps,SUBSTITUTE(Table13[[#This Row],[Input]],Table13[[#This Row],[Direction]],""),VALUE(IF(LEN(_xlpm.steps)&gt;2,LEFT(_xlpm.steps,LEN(_xlpm.steps)-2),0)))</f>
        <v>0</v>
      </c>
      <c r="E1118">
        <f>_xlfn.LET(_xlpm.dir,Table13[[#This Row],[Direction]],
IF(_xlpm.dir="L",
    IF(G1117-Table13[[#This Row],[Steps]]&lt;0,100+(G1117-Table13[[#This Row],[Steps]]),G1117-Table13[[#This Row],[Steps]]),
))</f>
        <v>0</v>
      </c>
      <c r="F1118">
        <f>_xlfn.LET(_xlpm.dir,Table13[[#This Row],[Direction]],
IF(_xlpm.dir="R",
    IF(G1117+Table13[[#This Row],[Steps]]&gt;99,(G1117+Table13[[#This Row],[Steps]])-100,G1117+Table13[[#This Row],[Steps]]),
))</f>
        <v>94</v>
      </c>
      <c r="G1118">
        <f>IF(Table13[[#This Row],[New Pos L]]&lt;&gt;0,Table13[[#This Row],[New Pos L]],Table13[[#This Row],[New Pos R]])</f>
        <v>94</v>
      </c>
      <c r="H1118">
        <f>IF(AND(Table13[[#This Row],[Direction]]="L",Table13[[#This Row],[Steps]]&gt;G1117,G1117&lt;&gt;0),1,0)</f>
        <v>0</v>
      </c>
      <c r="I1118">
        <f>IF(AND(Table13[[#This Row],[Direction]]="R",(G1117+Table13[[#This Row],[Steps]])&gt;100),1,0)</f>
        <v>0</v>
      </c>
      <c r="J1118">
        <f>IF(Table13[[#This Row],[POS]]=0,1,0)</f>
        <v>0</v>
      </c>
      <c r="K1118">
        <f>SUM(Table13[[#This Row],[prefix]],Table13[[#This Row],[Past zero L]],Table13[[#This Row],[Past Zero R]],Table13[[#This Row],[Is Zero]])</f>
        <v>0</v>
      </c>
    </row>
    <row r="1119" spans="1:11" ht="16" x14ac:dyDescent="0.2">
      <c r="A1119" s="1" t="s">
        <v>26</v>
      </c>
      <c r="B1119" t="str">
        <f>LEFT(Table13[[#This Row],[Input]],1)</f>
        <v>R</v>
      </c>
      <c r="C1119">
        <f>_xlfn.LET(_xlpm.steps,SUBSTITUTE(Table13[[#This Row],[Input]],Table13[[#This Row],[Direction]],""),VALUE(IF(LEN(_xlpm.steps)&gt;2,RIGHT(_xlpm.steps,2),_xlpm.steps)))</f>
        <v>6</v>
      </c>
      <c r="D1119">
        <f>_xlfn.LET(_xlpm.steps,SUBSTITUTE(Table13[[#This Row],[Input]],Table13[[#This Row],[Direction]],""),VALUE(IF(LEN(_xlpm.steps)&gt;2,LEFT(_xlpm.steps,LEN(_xlpm.steps)-2),0)))</f>
        <v>0</v>
      </c>
      <c r="E1119">
        <f>_xlfn.LET(_xlpm.dir,Table13[[#This Row],[Direction]],
IF(_xlpm.dir="L",
    IF(G1118-Table13[[#This Row],[Steps]]&lt;0,100+(G1118-Table13[[#This Row],[Steps]]),G1118-Table13[[#This Row],[Steps]]),
))</f>
        <v>0</v>
      </c>
      <c r="F1119">
        <f>_xlfn.LET(_xlpm.dir,Table13[[#This Row],[Direction]],
IF(_xlpm.dir="R",
    IF(G1118+Table13[[#This Row],[Steps]]&gt;99,(G1118+Table13[[#This Row],[Steps]])-100,G1118+Table13[[#This Row],[Steps]]),
))</f>
        <v>0</v>
      </c>
      <c r="G1119">
        <f>IF(Table13[[#This Row],[New Pos L]]&lt;&gt;0,Table13[[#This Row],[New Pos L]],Table13[[#This Row],[New Pos R]])</f>
        <v>0</v>
      </c>
      <c r="H1119">
        <f>IF(AND(Table13[[#This Row],[Direction]]="L",Table13[[#This Row],[Steps]]&gt;G1118,G1118&lt;&gt;0),1,0)</f>
        <v>0</v>
      </c>
      <c r="I1119">
        <f>IF(AND(Table13[[#This Row],[Direction]]="R",(G1118+Table13[[#This Row],[Steps]])&gt;100),1,0)</f>
        <v>0</v>
      </c>
      <c r="J1119">
        <f>IF(Table13[[#This Row],[POS]]=0,1,0)</f>
        <v>1</v>
      </c>
      <c r="K1119">
        <f>SUM(Table13[[#This Row],[prefix]],Table13[[#This Row],[Past zero L]],Table13[[#This Row],[Past Zero R]],Table13[[#This Row],[Is Zero]])</f>
        <v>1</v>
      </c>
    </row>
    <row r="1120" spans="1:11" ht="16" x14ac:dyDescent="0.2">
      <c r="A1120" s="1" t="s">
        <v>377</v>
      </c>
      <c r="B1120" t="str">
        <f>LEFT(Table13[[#This Row],[Input]],1)</f>
        <v>L</v>
      </c>
      <c r="C1120">
        <f>_xlfn.LET(_xlpm.steps,SUBSTITUTE(Table13[[#This Row],[Input]],Table13[[#This Row],[Direction]],""),VALUE(IF(LEN(_xlpm.steps)&gt;2,RIGHT(_xlpm.steps,2),_xlpm.steps)))</f>
        <v>44</v>
      </c>
      <c r="D1120">
        <f>_xlfn.LET(_xlpm.steps,SUBSTITUTE(Table13[[#This Row],[Input]],Table13[[#This Row],[Direction]],""),VALUE(IF(LEN(_xlpm.steps)&gt;2,LEFT(_xlpm.steps,LEN(_xlpm.steps)-2),0)))</f>
        <v>8</v>
      </c>
      <c r="E1120">
        <f>_xlfn.LET(_xlpm.dir,Table13[[#This Row],[Direction]],
IF(_xlpm.dir="L",
    IF(G1119-Table13[[#This Row],[Steps]]&lt;0,100+(G1119-Table13[[#This Row],[Steps]]),G1119-Table13[[#This Row],[Steps]]),
))</f>
        <v>56</v>
      </c>
      <c r="F1120">
        <f>_xlfn.LET(_xlpm.dir,Table13[[#This Row],[Direction]],
IF(_xlpm.dir="R",
    IF(G1119+Table13[[#This Row],[Steps]]&gt;99,(G1119+Table13[[#This Row],[Steps]])-100,G1119+Table13[[#This Row],[Steps]]),
))</f>
        <v>0</v>
      </c>
      <c r="G1120">
        <f>IF(Table13[[#This Row],[New Pos L]]&lt;&gt;0,Table13[[#This Row],[New Pos L]],Table13[[#This Row],[New Pos R]])</f>
        <v>56</v>
      </c>
      <c r="H1120">
        <f>IF(AND(Table13[[#This Row],[Direction]]="L",Table13[[#This Row],[Steps]]&gt;G1119,G1119&lt;&gt;0),1,0)</f>
        <v>0</v>
      </c>
      <c r="I1120">
        <f>IF(AND(Table13[[#This Row],[Direction]]="R",(G1119+Table13[[#This Row],[Steps]])&gt;100),1,0)</f>
        <v>0</v>
      </c>
      <c r="J1120">
        <f>IF(Table13[[#This Row],[POS]]=0,1,0)</f>
        <v>0</v>
      </c>
      <c r="K1120">
        <f>SUM(Table13[[#This Row],[prefix]],Table13[[#This Row],[Past zero L]],Table13[[#This Row],[Past Zero R]],Table13[[#This Row],[Is Zero]])</f>
        <v>8</v>
      </c>
    </row>
    <row r="1121" spans="1:11" ht="16" x14ac:dyDescent="0.2">
      <c r="A1121" s="1" t="s">
        <v>53</v>
      </c>
      <c r="B1121" t="str">
        <f>LEFT(Table13[[#This Row],[Input]],1)</f>
        <v>L</v>
      </c>
      <c r="C1121">
        <f>_xlfn.LET(_xlpm.steps,SUBSTITUTE(Table13[[#This Row],[Input]],Table13[[#This Row],[Direction]],""),VALUE(IF(LEN(_xlpm.steps)&gt;2,RIGHT(_xlpm.steps,2),_xlpm.steps)))</f>
        <v>56</v>
      </c>
      <c r="D1121">
        <f>_xlfn.LET(_xlpm.steps,SUBSTITUTE(Table13[[#This Row],[Input]],Table13[[#This Row],[Direction]],""),VALUE(IF(LEN(_xlpm.steps)&gt;2,LEFT(_xlpm.steps,LEN(_xlpm.steps)-2),0)))</f>
        <v>0</v>
      </c>
      <c r="E1121">
        <f>_xlfn.LET(_xlpm.dir,Table13[[#This Row],[Direction]],
IF(_xlpm.dir="L",
    IF(G1120-Table13[[#This Row],[Steps]]&lt;0,100+(G1120-Table13[[#This Row],[Steps]]),G1120-Table13[[#This Row],[Steps]]),
))</f>
        <v>0</v>
      </c>
      <c r="F1121">
        <f>_xlfn.LET(_xlpm.dir,Table13[[#This Row],[Direction]],
IF(_xlpm.dir="R",
    IF(G1120+Table13[[#This Row],[Steps]]&gt;99,(G1120+Table13[[#This Row],[Steps]])-100,G1120+Table13[[#This Row],[Steps]]),
))</f>
        <v>0</v>
      </c>
      <c r="G1121">
        <f>IF(Table13[[#This Row],[New Pos L]]&lt;&gt;0,Table13[[#This Row],[New Pos L]],Table13[[#This Row],[New Pos R]])</f>
        <v>0</v>
      </c>
      <c r="H1121">
        <f>IF(AND(Table13[[#This Row],[Direction]]="L",Table13[[#This Row],[Steps]]&gt;G1120,G1120&lt;&gt;0),1,0)</f>
        <v>0</v>
      </c>
      <c r="I1121">
        <f>IF(AND(Table13[[#This Row],[Direction]]="R",(G1120+Table13[[#This Row],[Steps]])&gt;100),1,0)</f>
        <v>0</v>
      </c>
      <c r="J1121">
        <f>IF(Table13[[#This Row],[POS]]=0,1,0)</f>
        <v>1</v>
      </c>
      <c r="K1121">
        <f>SUM(Table13[[#This Row],[prefix]],Table13[[#This Row],[Past zero L]],Table13[[#This Row],[Past Zero R]],Table13[[#This Row],[Is Zero]])</f>
        <v>1</v>
      </c>
    </row>
    <row r="1122" spans="1:11" ht="16" x14ac:dyDescent="0.2">
      <c r="A1122" s="1" t="s">
        <v>111</v>
      </c>
      <c r="B1122" t="str">
        <f>LEFT(Table13[[#This Row],[Input]],1)</f>
        <v>R</v>
      </c>
      <c r="C1122">
        <f>_xlfn.LET(_xlpm.steps,SUBSTITUTE(Table13[[#This Row],[Input]],Table13[[#This Row],[Direction]],""),VALUE(IF(LEN(_xlpm.steps)&gt;2,RIGHT(_xlpm.steps,2),_xlpm.steps)))</f>
        <v>64</v>
      </c>
      <c r="D1122">
        <f>_xlfn.LET(_xlpm.steps,SUBSTITUTE(Table13[[#This Row],[Input]],Table13[[#This Row],[Direction]],""),VALUE(IF(LEN(_xlpm.steps)&gt;2,LEFT(_xlpm.steps,LEN(_xlpm.steps)-2),0)))</f>
        <v>0</v>
      </c>
      <c r="E1122">
        <f>_xlfn.LET(_xlpm.dir,Table13[[#This Row],[Direction]],
IF(_xlpm.dir="L",
    IF(G1121-Table13[[#This Row],[Steps]]&lt;0,100+(G1121-Table13[[#This Row],[Steps]]),G1121-Table13[[#This Row],[Steps]]),
))</f>
        <v>0</v>
      </c>
      <c r="F1122">
        <f>_xlfn.LET(_xlpm.dir,Table13[[#This Row],[Direction]],
IF(_xlpm.dir="R",
    IF(G1121+Table13[[#This Row],[Steps]]&gt;99,(G1121+Table13[[#This Row],[Steps]])-100,G1121+Table13[[#This Row],[Steps]]),
))</f>
        <v>64</v>
      </c>
      <c r="G1122">
        <f>IF(Table13[[#This Row],[New Pos L]]&lt;&gt;0,Table13[[#This Row],[New Pos L]],Table13[[#This Row],[New Pos R]])</f>
        <v>64</v>
      </c>
      <c r="H1122">
        <f>IF(AND(Table13[[#This Row],[Direction]]="L",Table13[[#This Row],[Steps]]&gt;G1121,G1121&lt;&gt;0),1,0)</f>
        <v>0</v>
      </c>
      <c r="I1122">
        <f>IF(AND(Table13[[#This Row],[Direction]]="R",(G1121+Table13[[#This Row],[Steps]])&gt;100),1,0)</f>
        <v>0</v>
      </c>
      <c r="J1122">
        <f>IF(Table13[[#This Row],[POS]]=0,1,0)</f>
        <v>0</v>
      </c>
      <c r="K1122">
        <f>SUM(Table13[[#This Row],[prefix]],Table13[[#This Row],[Past zero L]],Table13[[#This Row],[Past Zero R]],Table13[[#This Row],[Is Zero]])</f>
        <v>0</v>
      </c>
    </row>
    <row r="1123" spans="1:11" ht="16" x14ac:dyDescent="0.2">
      <c r="A1123" s="1" t="s">
        <v>141</v>
      </c>
      <c r="B1123" t="str">
        <f>LEFT(Table13[[#This Row],[Input]],1)</f>
        <v>L</v>
      </c>
      <c r="C1123">
        <f>_xlfn.LET(_xlpm.steps,SUBSTITUTE(Table13[[#This Row],[Input]],Table13[[#This Row],[Direction]],""),VALUE(IF(LEN(_xlpm.steps)&gt;2,RIGHT(_xlpm.steps,2),_xlpm.steps)))</f>
        <v>90</v>
      </c>
      <c r="D1123">
        <f>_xlfn.LET(_xlpm.steps,SUBSTITUTE(Table13[[#This Row],[Input]],Table13[[#This Row],[Direction]],""),VALUE(IF(LEN(_xlpm.steps)&gt;2,LEFT(_xlpm.steps,LEN(_xlpm.steps)-2),0)))</f>
        <v>0</v>
      </c>
      <c r="E1123">
        <f>_xlfn.LET(_xlpm.dir,Table13[[#This Row],[Direction]],
IF(_xlpm.dir="L",
    IF(G1122-Table13[[#This Row],[Steps]]&lt;0,100+(G1122-Table13[[#This Row],[Steps]]),G1122-Table13[[#This Row],[Steps]]),
))</f>
        <v>74</v>
      </c>
      <c r="F1123">
        <f>_xlfn.LET(_xlpm.dir,Table13[[#This Row],[Direction]],
IF(_xlpm.dir="R",
    IF(G1122+Table13[[#This Row],[Steps]]&gt;99,(G1122+Table13[[#This Row],[Steps]])-100,G1122+Table13[[#This Row],[Steps]]),
))</f>
        <v>0</v>
      </c>
      <c r="G1123">
        <f>IF(Table13[[#This Row],[New Pos L]]&lt;&gt;0,Table13[[#This Row],[New Pos L]],Table13[[#This Row],[New Pos R]])</f>
        <v>74</v>
      </c>
      <c r="H1123">
        <f>IF(AND(Table13[[#This Row],[Direction]]="L",Table13[[#This Row],[Steps]]&gt;G1122,G1122&lt;&gt;0),1,0)</f>
        <v>1</v>
      </c>
      <c r="I1123">
        <f>IF(AND(Table13[[#This Row],[Direction]]="R",(G1122+Table13[[#This Row],[Steps]])&gt;100),1,0)</f>
        <v>0</v>
      </c>
      <c r="J1123">
        <f>IF(Table13[[#This Row],[POS]]=0,1,0)</f>
        <v>0</v>
      </c>
      <c r="K1123">
        <f>SUM(Table13[[#This Row],[prefix]],Table13[[#This Row],[Past zero L]],Table13[[#This Row],[Past Zero R]],Table13[[#This Row],[Is Zero]])</f>
        <v>1</v>
      </c>
    </row>
    <row r="1124" spans="1:11" ht="16" x14ac:dyDescent="0.2">
      <c r="A1124" s="1" t="s">
        <v>378</v>
      </c>
      <c r="B1124" t="str">
        <f>LEFT(Table13[[#This Row],[Input]],1)</f>
        <v>R</v>
      </c>
      <c r="C1124">
        <f>_xlfn.LET(_xlpm.steps,SUBSTITUTE(Table13[[#This Row],[Input]],Table13[[#This Row],[Direction]],""),VALUE(IF(LEN(_xlpm.steps)&gt;2,RIGHT(_xlpm.steps,2),_xlpm.steps)))</f>
        <v>36</v>
      </c>
      <c r="D1124">
        <f>_xlfn.LET(_xlpm.steps,SUBSTITUTE(Table13[[#This Row],[Input]],Table13[[#This Row],[Direction]],""),VALUE(IF(LEN(_xlpm.steps)&gt;2,LEFT(_xlpm.steps,LEN(_xlpm.steps)-2),0)))</f>
        <v>2</v>
      </c>
      <c r="E1124">
        <f>_xlfn.LET(_xlpm.dir,Table13[[#This Row],[Direction]],
IF(_xlpm.dir="L",
    IF(G1123-Table13[[#This Row],[Steps]]&lt;0,100+(G1123-Table13[[#This Row],[Steps]]),G1123-Table13[[#This Row],[Steps]]),
))</f>
        <v>0</v>
      </c>
      <c r="F1124">
        <f>_xlfn.LET(_xlpm.dir,Table13[[#This Row],[Direction]],
IF(_xlpm.dir="R",
    IF(G1123+Table13[[#This Row],[Steps]]&gt;99,(G1123+Table13[[#This Row],[Steps]])-100,G1123+Table13[[#This Row],[Steps]]),
))</f>
        <v>10</v>
      </c>
      <c r="G1124">
        <f>IF(Table13[[#This Row],[New Pos L]]&lt;&gt;0,Table13[[#This Row],[New Pos L]],Table13[[#This Row],[New Pos R]])</f>
        <v>10</v>
      </c>
      <c r="H1124">
        <f>IF(AND(Table13[[#This Row],[Direction]]="L",Table13[[#This Row],[Steps]]&gt;G1123,G1123&lt;&gt;0),1,0)</f>
        <v>0</v>
      </c>
      <c r="I1124">
        <f>IF(AND(Table13[[#This Row],[Direction]]="R",(G1123+Table13[[#This Row],[Steps]])&gt;100),1,0)</f>
        <v>1</v>
      </c>
      <c r="J1124">
        <f>IF(Table13[[#This Row],[POS]]=0,1,0)</f>
        <v>0</v>
      </c>
      <c r="K1124">
        <f>SUM(Table13[[#This Row],[prefix]],Table13[[#This Row],[Past zero L]],Table13[[#This Row],[Past Zero R]],Table13[[#This Row],[Is Zero]])</f>
        <v>3</v>
      </c>
    </row>
    <row r="1125" spans="1:11" ht="16" x14ac:dyDescent="0.2">
      <c r="A1125" s="1" t="s">
        <v>28</v>
      </c>
      <c r="B1125" t="str">
        <f>LEFT(Table13[[#This Row],[Input]],1)</f>
        <v>R</v>
      </c>
      <c r="C1125">
        <f>_xlfn.LET(_xlpm.steps,SUBSTITUTE(Table13[[#This Row],[Input]],Table13[[#This Row],[Direction]],""),VALUE(IF(LEN(_xlpm.steps)&gt;2,RIGHT(_xlpm.steps,2),_xlpm.steps)))</f>
        <v>30</v>
      </c>
      <c r="D1125">
        <f>_xlfn.LET(_xlpm.steps,SUBSTITUTE(Table13[[#This Row],[Input]],Table13[[#This Row],[Direction]],""),VALUE(IF(LEN(_xlpm.steps)&gt;2,LEFT(_xlpm.steps,LEN(_xlpm.steps)-2),0)))</f>
        <v>0</v>
      </c>
      <c r="E1125">
        <f>_xlfn.LET(_xlpm.dir,Table13[[#This Row],[Direction]],
IF(_xlpm.dir="L",
    IF(G1124-Table13[[#This Row],[Steps]]&lt;0,100+(G1124-Table13[[#This Row],[Steps]]),G1124-Table13[[#This Row],[Steps]]),
))</f>
        <v>0</v>
      </c>
      <c r="F1125">
        <f>_xlfn.LET(_xlpm.dir,Table13[[#This Row],[Direction]],
IF(_xlpm.dir="R",
    IF(G1124+Table13[[#This Row],[Steps]]&gt;99,(G1124+Table13[[#This Row],[Steps]])-100,G1124+Table13[[#This Row],[Steps]]),
))</f>
        <v>40</v>
      </c>
      <c r="G1125">
        <f>IF(Table13[[#This Row],[New Pos L]]&lt;&gt;0,Table13[[#This Row],[New Pos L]],Table13[[#This Row],[New Pos R]])</f>
        <v>40</v>
      </c>
      <c r="H1125">
        <f>IF(AND(Table13[[#This Row],[Direction]]="L",Table13[[#This Row],[Steps]]&gt;G1124,G1124&lt;&gt;0),1,0)</f>
        <v>0</v>
      </c>
      <c r="I1125">
        <f>IF(AND(Table13[[#This Row],[Direction]]="R",(G1124+Table13[[#This Row],[Steps]])&gt;100),1,0)</f>
        <v>0</v>
      </c>
      <c r="J1125">
        <f>IF(Table13[[#This Row],[POS]]=0,1,0)</f>
        <v>0</v>
      </c>
      <c r="K1125">
        <f>SUM(Table13[[#This Row],[prefix]],Table13[[#This Row],[Past zero L]],Table13[[#This Row],[Past Zero R]],Table13[[#This Row],[Is Zero]])</f>
        <v>0</v>
      </c>
    </row>
    <row r="1126" spans="1:11" ht="16" x14ac:dyDescent="0.2">
      <c r="A1126" s="1" t="s">
        <v>379</v>
      </c>
      <c r="B1126" t="str">
        <f>LEFT(Table13[[#This Row],[Input]],1)</f>
        <v>L</v>
      </c>
      <c r="C1126">
        <f>_xlfn.LET(_xlpm.steps,SUBSTITUTE(Table13[[#This Row],[Input]],Table13[[#This Row],[Direction]],""),VALUE(IF(LEN(_xlpm.steps)&gt;2,RIGHT(_xlpm.steps,2),_xlpm.steps)))</f>
        <v>4</v>
      </c>
      <c r="D1126">
        <f>_xlfn.LET(_xlpm.steps,SUBSTITUTE(Table13[[#This Row],[Input]],Table13[[#This Row],[Direction]],""),VALUE(IF(LEN(_xlpm.steps)&gt;2,LEFT(_xlpm.steps,LEN(_xlpm.steps)-2),0)))</f>
        <v>0</v>
      </c>
      <c r="E1126">
        <f>_xlfn.LET(_xlpm.dir,Table13[[#This Row],[Direction]],
IF(_xlpm.dir="L",
    IF(G1125-Table13[[#This Row],[Steps]]&lt;0,100+(G1125-Table13[[#This Row],[Steps]]),G1125-Table13[[#This Row],[Steps]]),
))</f>
        <v>36</v>
      </c>
      <c r="F1126">
        <f>_xlfn.LET(_xlpm.dir,Table13[[#This Row],[Direction]],
IF(_xlpm.dir="R",
    IF(G1125+Table13[[#This Row],[Steps]]&gt;99,(G1125+Table13[[#This Row],[Steps]])-100,G1125+Table13[[#This Row],[Steps]]),
))</f>
        <v>0</v>
      </c>
      <c r="G1126">
        <f>IF(Table13[[#This Row],[New Pos L]]&lt;&gt;0,Table13[[#This Row],[New Pos L]],Table13[[#This Row],[New Pos R]])</f>
        <v>36</v>
      </c>
      <c r="H1126">
        <f>IF(AND(Table13[[#This Row],[Direction]]="L",Table13[[#This Row],[Steps]]&gt;G1125,G1125&lt;&gt;0),1,0)</f>
        <v>0</v>
      </c>
      <c r="I1126">
        <f>IF(AND(Table13[[#This Row],[Direction]]="R",(G1125+Table13[[#This Row],[Steps]])&gt;100),1,0)</f>
        <v>0</v>
      </c>
      <c r="J1126">
        <f>IF(Table13[[#This Row],[POS]]=0,1,0)</f>
        <v>0</v>
      </c>
      <c r="K1126">
        <f>SUM(Table13[[#This Row],[prefix]],Table13[[#This Row],[Past zero L]],Table13[[#This Row],[Past Zero R]],Table13[[#This Row],[Is Zero]])</f>
        <v>0</v>
      </c>
    </row>
    <row r="1127" spans="1:11" ht="16" x14ac:dyDescent="0.2">
      <c r="A1127" s="1" t="s">
        <v>80</v>
      </c>
      <c r="B1127" t="str">
        <f>LEFT(Table13[[#This Row],[Input]],1)</f>
        <v>L</v>
      </c>
      <c r="C1127">
        <f>_xlfn.LET(_xlpm.steps,SUBSTITUTE(Table13[[#This Row],[Input]],Table13[[#This Row],[Direction]],""),VALUE(IF(LEN(_xlpm.steps)&gt;2,RIGHT(_xlpm.steps,2),_xlpm.steps)))</f>
        <v>48</v>
      </c>
      <c r="D1127">
        <f>_xlfn.LET(_xlpm.steps,SUBSTITUTE(Table13[[#This Row],[Input]],Table13[[#This Row],[Direction]],""),VALUE(IF(LEN(_xlpm.steps)&gt;2,LEFT(_xlpm.steps,LEN(_xlpm.steps)-2),0)))</f>
        <v>0</v>
      </c>
      <c r="E1127">
        <f>_xlfn.LET(_xlpm.dir,Table13[[#This Row],[Direction]],
IF(_xlpm.dir="L",
    IF(G1126-Table13[[#This Row],[Steps]]&lt;0,100+(G1126-Table13[[#This Row],[Steps]]),G1126-Table13[[#This Row],[Steps]]),
))</f>
        <v>88</v>
      </c>
      <c r="F1127">
        <f>_xlfn.LET(_xlpm.dir,Table13[[#This Row],[Direction]],
IF(_xlpm.dir="R",
    IF(G1126+Table13[[#This Row],[Steps]]&gt;99,(G1126+Table13[[#This Row],[Steps]])-100,G1126+Table13[[#This Row],[Steps]]),
))</f>
        <v>0</v>
      </c>
      <c r="G1127">
        <f>IF(Table13[[#This Row],[New Pos L]]&lt;&gt;0,Table13[[#This Row],[New Pos L]],Table13[[#This Row],[New Pos R]])</f>
        <v>88</v>
      </c>
      <c r="H1127">
        <f>IF(AND(Table13[[#This Row],[Direction]]="L",Table13[[#This Row],[Steps]]&gt;G1126,G1126&lt;&gt;0),1,0)</f>
        <v>1</v>
      </c>
      <c r="I1127">
        <f>IF(AND(Table13[[#This Row],[Direction]]="R",(G1126+Table13[[#This Row],[Steps]])&gt;100),1,0)</f>
        <v>0</v>
      </c>
      <c r="J1127">
        <f>IF(Table13[[#This Row],[POS]]=0,1,0)</f>
        <v>0</v>
      </c>
      <c r="K1127">
        <f>SUM(Table13[[#This Row],[prefix]],Table13[[#This Row],[Past zero L]],Table13[[#This Row],[Past Zero R]],Table13[[#This Row],[Is Zero]])</f>
        <v>1</v>
      </c>
    </row>
    <row r="1128" spans="1:11" ht="16" x14ac:dyDescent="0.2">
      <c r="A1128" s="1" t="s">
        <v>73</v>
      </c>
      <c r="B1128" t="str">
        <f>LEFT(Table13[[#This Row],[Input]],1)</f>
        <v>R</v>
      </c>
      <c r="C1128">
        <f>_xlfn.LET(_xlpm.steps,SUBSTITUTE(Table13[[#This Row],[Input]],Table13[[#This Row],[Direction]],""),VALUE(IF(LEN(_xlpm.steps)&gt;2,RIGHT(_xlpm.steps,2),_xlpm.steps)))</f>
        <v>21</v>
      </c>
      <c r="D1128">
        <f>_xlfn.LET(_xlpm.steps,SUBSTITUTE(Table13[[#This Row],[Input]],Table13[[#This Row],[Direction]],""),VALUE(IF(LEN(_xlpm.steps)&gt;2,LEFT(_xlpm.steps,LEN(_xlpm.steps)-2),0)))</f>
        <v>0</v>
      </c>
      <c r="E1128">
        <f>_xlfn.LET(_xlpm.dir,Table13[[#This Row],[Direction]],
IF(_xlpm.dir="L",
    IF(G1127-Table13[[#This Row],[Steps]]&lt;0,100+(G1127-Table13[[#This Row],[Steps]]),G1127-Table13[[#This Row],[Steps]]),
))</f>
        <v>0</v>
      </c>
      <c r="F1128">
        <f>_xlfn.LET(_xlpm.dir,Table13[[#This Row],[Direction]],
IF(_xlpm.dir="R",
    IF(G1127+Table13[[#This Row],[Steps]]&gt;99,(G1127+Table13[[#This Row],[Steps]])-100,G1127+Table13[[#This Row],[Steps]]),
))</f>
        <v>9</v>
      </c>
      <c r="G1128">
        <f>IF(Table13[[#This Row],[New Pos L]]&lt;&gt;0,Table13[[#This Row],[New Pos L]],Table13[[#This Row],[New Pos R]])</f>
        <v>9</v>
      </c>
      <c r="H1128">
        <f>IF(AND(Table13[[#This Row],[Direction]]="L",Table13[[#This Row],[Steps]]&gt;G1127,G1127&lt;&gt;0),1,0)</f>
        <v>0</v>
      </c>
      <c r="I1128">
        <f>IF(AND(Table13[[#This Row],[Direction]]="R",(G1127+Table13[[#This Row],[Steps]])&gt;100),1,0)</f>
        <v>1</v>
      </c>
      <c r="J1128">
        <f>IF(Table13[[#This Row],[POS]]=0,1,0)</f>
        <v>0</v>
      </c>
      <c r="K1128">
        <f>SUM(Table13[[#This Row],[prefix]],Table13[[#This Row],[Past zero L]],Table13[[#This Row],[Past Zero R]],Table13[[#This Row],[Is Zero]])</f>
        <v>1</v>
      </c>
    </row>
    <row r="1129" spans="1:11" ht="16" x14ac:dyDescent="0.2">
      <c r="A1129" s="1" t="s">
        <v>83</v>
      </c>
      <c r="B1129" t="str">
        <f>LEFT(Table13[[#This Row],[Input]],1)</f>
        <v>R</v>
      </c>
      <c r="C1129">
        <f>_xlfn.LET(_xlpm.steps,SUBSTITUTE(Table13[[#This Row],[Input]],Table13[[#This Row],[Direction]],""),VALUE(IF(LEN(_xlpm.steps)&gt;2,RIGHT(_xlpm.steps,2),_xlpm.steps)))</f>
        <v>79</v>
      </c>
      <c r="D1129">
        <f>_xlfn.LET(_xlpm.steps,SUBSTITUTE(Table13[[#This Row],[Input]],Table13[[#This Row],[Direction]],""),VALUE(IF(LEN(_xlpm.steps)&gt;2,LEFT(_xlpm.steps,LEN(_xlpm.steps)-2),0)))</f>
        <v>0</v>
      </c>
      <c r="E1129">
        <f>_xlfn.LET(_xlpm.dir,Table13[[#This Row],[Direction]],
IF(_xlpm.dir="L",
    IF(G1128-Table13[[#This Row],[Steps]]&lt;0,100+(G1128-Table13[[#This Row],[Steps]]),G1128-Table13[[#This Row],[Steps]]),
))</f>
        <v>0</v>
      </c>
      <c r="F1129">
        <f>_xlfn.LET(_xlpm.dir,Table13[[#This Row],[Direction]],
IF(_xlpm.dir="R",
    IF(G1128+Table13[[#This Row],[Steps]]&gt;99,(G1128+Table13[[#This Row],[Steps]])-100,G1128+Table13[[#This Row],[Steps]]),
))</f>
        <v>88</v>
      </c>
      <c r="G1129">
        <f>IF(Table13[[#This Row],[New Pos L]]&lt;&gt;0,Table13[[#This Row],[New Pos L]],Table13[[#This Row],[New Pos R]])</f>
        <v>88</v>
      </c>
      <c r="H1129">
        <f>IF(AND(Table13[[#This Row],[Direction]]="L",Table13[[#This Row],[Steps]]&gt;G1128,G1128&lt;&gt;0),1,0)</f>
        <v>0</v>
      </c>
      <c r="I1129">
        <f>IF(AND(Table13[[#This Row],[Direction]]="R",(G1128+Table13[[#This Row],[Steps]])&gt;100),1,0)</f>
        <v>0</v>
      </c>
      <c r="J1129">
        <f>IF(Table13[[#This Row],[POS]]=0,1,0)</f>
        <v>0</v>
      </c>
      <c r="K1129">
        <f>SUM(Table13[[#This Row],[prefix]],Table13[[#This Row],[Past zero L]],Table13[[#This Row],[Past Zero R]],Table13[[#This Row],[Is Zero]])</f>
        <v>0</v>
      </c>
    </row>
    <row r="1130" spans="1:11" ht="16" x14ac:dyDescent="0.2">
      <c r="A1130" s="1" t="s">
        <v>26</v>
      </c>
      <c r="B1130" t="str">
        <f>LEFT(Table13[[#This Row],[Input]],1)</f>
        <v>R</v>
      </c>
      <c r="C1130">
        <f>_xlfn.LET(_xlpm.steps,SUBSTITUTE(Table13[[#This Row],[Input]],Table13[[#This Row],[Direction]],""),VALUE(IF(LEN(_xlpm.steps)&gt;2,RIGHT(_xlpm.steps,2),_xlpm.steps)))</f>
        <v>6</v>
      </c>
      <c r="D1130">
        <f>_xlfn.LET(_xlpm.steps,SUBSTITUTE(Table13[[#This Row],[Input]],Table13[[#This Row],[Direction]],""),VALUE(IF(LEN(_xlpm.steps)&gt;2,LEFT(_xlpm.steps,LEN(_xlpm.steps)-2),0)))</f>
        <v>0</v>
      </c>
      <c r="E1130">
        <f>_xlfn.LET(_xlpm.dir,Table13[[#This Row],[Direction]],
IF(_xlpm.dir="L",
    IF(G1129-Table13[[#This Row],[Steps]]&lt;0,100+(G1129-Table13[[#This Row],[Steps]]),G1129-Table13[[#This Row],[Steps]]),
))</f>
        <v>0</v>
      </c>
      <c r="F1130">
        <f>_xlfn.LET(_xlpm.dir,Table13[[#This Row],[Direction]],
IF(_xlpm.dir="R",
    IF(G1129+Table13[[#This Row],[Steps]]&gt;99,(G1129+Table13[[#This Row],[Steps]])-100,G1129+Table13[[#This Row],[Steps]]),
))</f>
        <v>94</v>
      </c>
      <c r="G1130">
        <f>IF(Table13[[#This Row],[New Pos L]]&lt;&gt;0,Table13[[#This Row],[New Pos L]],Table13[[#This Row],[New Pos R]])</f>
        <v>94</v>
      </c>
      <c r="H1130">
        <f>IF(AND(Table13[[#This Row],[Direction]]="L",Table13[[#This Row],[Steps]]&gt;G1129,G1129&lt;&gt;0),1,0)</f>
        <v>0</v>
      </c>
      <c r="I1130">
        <f>IF(AND(Table13[[#This Row],[Direction]]="R",(G1129+Table13[[#This Row],[Steps]])&gt;100),1,0)</f>
        <v>0</v>
      </c>
      <c r="J1130">
        <f>IF(Table13[[#This Row],[POS]]=0,1,0)</f>
        <v>0</v>
      </c>
      <c r="K1130">
        <f>SUM(Table13[[#This Row],[prefix]],Table13[[#This Row],[Past zero L]],Table13[[#This Row],[Past Zero R]],Table13[[#This Row],[Is Zero]])</f>
        <v>0</v>
      </c>
    </row>
    <row r="1131" spans="1:11" ht="16" x14ac:dyDescent="0.2">
      <c r="A1131" s="1" t="s">
        <v>22</v>
      </c>
      <c r="B1131" t="str">
        <f>LEFT(Table13[[#This Row],[Input]],1)</f>
        <v>L</v>
      </c>
      <c r="C1131">
        <f>_xlfn.LET(_xlpm.steps,SUBSTITUTE(Table13[[#This Row],[Input]],Table13[[#This Row],[Direction]],""),VALUE(IF(LEN(_xlpm.steps)&gt;2,RIGHT(_xlpm.steps,2),_xlpm.steps)))</f>
        <v>37</v>
      </c>
      <c r="D1131">
        <f>_xlfn.LET(_xlpm.steps,SUBSTITUTE(Table13[[#This Row],[Input]],Table13[[#This Row],[Direction]],""),VALUE(IF(LEN(_xlpm.steps)&gt;2,LEFT(_xlpm.steps,LEN(_xlpm.steps)-2),0)))</f>
        <v>0</v>
      </c>
      <c r="E1131">
        <f>_xlfn.LET(_xlpm.dir,Table13[[#This Row],[Direction]],
IF(_xlpm.dir="L",
    IF(G1130-Table13[[#This Row],[Steps]]&lt;0,100+(G1130-Table13[[#This Row],[Steps]]),G1130-Table13[[#This Row],[Steps]]),
))</f>
        <v>57</v>
      </c>
      <c r="F1131">
        <f>_xlfn.LET(_xlpm.dir,Table13[[#This Row],[Direction]],
IF(_xlpm.dir="R",
    IF(G1130+Table13[[#This Row],[Steps]]&gt;99,(G1130+Table13[[#This Row],[Steps]])-100,G1130+Table13[[#This Row],[Steps]]),
))</f>
        <v>0</v>
      </c>
      <c r="G1131">
        <f>IF(Table13[[#This Row],[New Pos L]]&lt;&gt;0,Table13[[#This Row],[New Pos L]],Table13[[#This Row],[New Pos R]])</f>
        <v>57</v>
      </c>
      <c r="H1131">
        <f>IF(AND(Table13[[#This Row],[Direction]]="L",Table13[[#This Row],[Steps]]&gt;G1130,G1130&lt;&gt;0),1,0)</f>
        <v>0</v>
      </c>
      <c r="I1131">
        <f>IF(AND(Table13[[#This Row],[Direction]]="R",(G1130+Table13[[#This Row],[Steps]])&gt;100),1,0)</f>
        <v>0</v>
      </c>
      <c r="J1131">
        <f>IF(Table13[[#This Row],[POS]]=0,1,0)</f>
        <v>0</v>
      </c>
      <c r="K1131">
        <f>SUM(Table13[[#This Row],[prefix]],Table13[[#This Row],[Past zero L]],Table13[[#This Row],[Past Zero R]],Table13[[#This Row],[Is Zero]])</f>
        <v>0</v>
      </c>
    </row>
    <row r="1132" spans="1:11" ht="16" x14ac:dyDescent="0.2">
      <c r="A1132" s="1" t="s">
        <v>309</v>
      </c>
      <c r="B1132" t="str">
        <f>LEFT(Table13[[#This Row],[Input]],1)</f>
        <v>L</v>
      </c>
      <c r="C1132">
        <f>_xlfn.LET(_xlpm.steps,SUBSTITUTE(Table13[[#This Row],[Input]],Table13[[#This Row],[Direction]],""),VALUE(IF(LEN(_xlpm.steps)&gt;2,RIGHT(_xlpm.steps,2),_xlpm.steps)))</f>
        <v>41</v>
      </c>
      <c r="D1132">
        <f>_xlfn.LET(_xlpm.steps,SUBSTITUTE(Table13[[#This Row],[Input]],Table13[[#This Row],[Direction]],""),VALUE(IF(LEN(_xlpm.steps)&gt;2,LEFT(_xlpm.steps,LEN(_xlpm.steps)-2),0)))</f>
        <v>0</v>
      </c>
      <c r="E1132">
        <f>_xlfn.LET(_xlpm.dir,Table13[[#This Row],[Direction]],
IF(_xlpm.dir="L",
    IF(G1131-Table13[[#This Row],[Steps]]&lt;0,100+(G1131-Table13[[#This Row],[Steps]]),G1131-Table13[[#This Row],[Steps]]),
))</f>
        <v>16</v>
      </c>
      <c r="F1132">
        <f>_xlfn.LET(_xlpm.dir,Table13[[#This Row],[Direction]],
IF(_xlpm.dir="R",
    IF(G1131+Table13[[#This Row],[Steps]]&gt;99,(G1131+Table13[[#This Row],[Steps]])-100,G1131+Table13[[#This Row],[Steps]]),
))</f>
        <v>0</v>
      </c>
      <c r="G1132">
        <f>IF(Table13[[#This Row],[New Pos L]]&lt;&gt;0,Table13[[#This Row],[New Pos L]],Table13[[#This Row],[New Pos R]])</f>
        <v>16</v>
      </c>
      <c r="H1132">
        <f>IF(AND(Table13[[#This Row],[Direction]]="L",Table13[[#This Row],[Steps]]&gt;G1131,G1131&lt;&gt;0),1,0)</f>
        <v>0</v>
      </c>
      <c r="I1132">
        <f>IF(AND(Table13[[#This Row],[Direction]]="R",(G1131+Table13[[#This Row],[Steps]])&gt;100),1,0)</f>
        <v>0</v>
      </c>
      <c r="J1132">
        <f>IF(Table13[[#This Row],[POS]]=0,1,0)</f>
        <v>0</v>
      </c>
      <c r="K1132">
        <f>SUM(Table13[[#This Row],[prefix]],Table13[[#This Row],[Past zero L]],Table13[[#This Row],[Past Zero R]],Table13[[#This Row],[Is Zero]])</f>
        <v>0</v>
      </c>
    </row>
    <row r="1133" spans="1:11" ht="16" x14ac:dyDescent="0.2">
      <c r="A1133" s="1" t="s">
        <v>42</v>
      </c>
      <c r="B1133" t="str">
        <f>LEFT(Table13[[#This Row],[Input]],1)</f>
        <v>L</v>
      </c>
      <c r="C1133">
        <f>_xlfn.LET(_xlpm.steps,SUBSTITUTE(Table13[[#This Row],[Input]],Table13[[#This Row],[Direction]],""),VALUE(IF(LEN(_xlpm.steps)&gt;2,RIGHT(_xlpm.steps,2),_xlpm.steps)))</f>
        <v>27</v>
      </c>
      <c r="D1133">
        <f>_xlfn.LET(_xlpm.steps,SUBSTITUTE(Table13[[#This Row],[Input]],Table13[[#This Row],[Direction]],""),VALUE(IF(LEN(_xlpm.steps)&gt;2,LEFT(_xlpm.steps,LEN(_xlpm.steps)-2),0)))</f>
        <v>0</v>
      </c>
      <c r="E1133">
        <f>_xlfn.LET(_xlpm.dir,Table13[[#This Row],[Direction]],
IF(_xlpm.dir="L",
    IF(G1132-Table13[[#This Row],[Steps]]&lt;0,100+(G1132-Table13[[#This Row],[Steps]]),G1132-Table13[[#This Row],[Steps]]),
))</f>
        <v>89</v>
      </c>
      <c r="F1133">
        <f>_xlfn.LET(_xlpm.dir,Table13[[#This Row],[Direction]],
IF(_xlpm.dir="R",
    IF(G1132+Table13[[#This Row],[Steps]]&gt;99,(G1132+Table13[[#This Row],[Steps]])-100,G1132+Table13[[#This Row],[Steps]]),
))</f>
        <v>0</v>
      </c>
      <c r="G1133">
        <f>IF(Table13[[#This Row],[New Pos L]]&lt;&gt;0,Table13[[#This Row],[New Pos L]],Table13[[#This Row],[New Pos R]])</f>
        <v>89</v>
      </c>
      <c r="H1133">
        <f>IF(AND(Table13[[#This Row],[Direction]]="L",Table13[[#This Row],[Steps]]&gt;G1132,G1132&lt;&gt;0),1,0)</f>
        <v>1</v>
      </c>
      <c r="I1133">
        <f>IF(AND(Table13[[#This Row],[Direction]]="R",(G1132+Table13[[#This Row],[Steps]])&gt;100),1,0)</f>
        <v>0</v>
      </c>
      <c r="J1133">
        <f>IF(Table13[[#This Row],[POS]]=0,1,0)</f>
        <v>0</v>
      </c>
      <c r="K1133">
        <f>SUM(Table13[[#This Row],[prefix]],Table13[[#This Row],[Past zero L]],Table13[[#This Row],[Past Zero R]],Table13[[#This Row],[Is Zero]])</f>
        <v>1</v>
      </c>
    </row>
    <row r="1134" spans="1:11" ht="16" x14ac:dyDescent="0.2">
      <c r="A1134" s="1" t="s">
        <v>137</v>
      </c>
      <c r="B1134" t="str">
        <f>LEFT(Table13[[#This Row],[Input]],1)</f>
        <v>R</v>
      </c>
      <c r="C1134">
        <f>_xlfn.LET(_xlpm.steps,SUBSTITUTE(Table13[[#This Row],[Input]],Table13[[#This Row],[Direction]],""),VALUE(IF(LEN(_xlpm.steps)&gt;2,RIGHT(_xlpm.steps,2),_xlpm.steps)))</f>
        <v>28</v>
      </c>
      <c r="D1134">
        <f>_xlfn.LET(_xlpm.steps,SUBSTITUTE(Table13[[#This Row],[Input]],Table13[[#This Row],[Direction]],""),VALUE(IF(LEN(_xlpm.steps)&gt;2,LEFT(_xlpm.steps,LEN(_xlpm.steps)-2),0)))</f>
        <v>0</v>
      </c>
      <c r="E1134">
        <f>_xlfn.LET(_xlpm.dir,Table13[[#This Row],[Direction]],
IF(_xlpm.dir="L",
    IF(G1133-Table13[[#This Row],[Steps]]&lt;0,100+(G1133-Table13[[#This Row],[Steps]]),G1133-Table13[[#This Row],[Steps]]),
))</f>
        <v>0</v>
      </c>
      <c r="F1134">
        <f>_xlfn.LET(_xlpm.dir,Table13[[#This Row],[Direction]],
IF(_xlpm.dir="R",
    IF(G1133+Table13[[#This Row],[Steps]]&gt;99,(G1133+Table13[[#This Row],[Steps]])-100,G1133+Table13[[#This Row],[Steps]]),
))</f>
        <v>17</v>
      </c>
      <c r="G1134">
        <f>IF(Table13[[#This Row],[New Pos L]]&lt;&gt;0,Table13[[#This Row],[New Pos L]],Table13[[#This Row],[New Pos R]])</f>
        <v>17</v>
      </c>
      <c r="H1134">
        <f>IF(AND(Table13[[#This Row],[Direction]]="L",Table13[[#This Row],[Steps]]&gt;G1133,G1133&lt;&gt;0),1,0)</f>
        <v>0</v>
      </c>
      <c r="I1134">
        <f>IF(AND(Table13[[#This Row],[Direction]]="R",(G1133+Table13[[#This Row],[Steps]])&gt;100),1,0)</f>
        <v>1</v>
      </c>
      <c r="J1134">
        <f>IF(Table13[[#This Row],[POS]]=0,1,0)</f>
        <v>0</v>
      </c>
      <c r="K1134">
        <f>SUM(Table13[[#This Row],[prefix]],Table13[[#This Row],[Past zero L]],Table13[[#This Row],[Past Zero R]],Table13[[#This Row],[Is Zero]])</f>
        <v>1</v>
      </c>
    </row>
    <row r="1135" spans="1:11" ht="16" x14ac:dyDescent="0.2">
      <c r="A1135" s="1" t="s">
        <v>219</v>
      </c>
      <c r="B1135" t="str">
        <f>LEFT(Table13[[#This Row],[Input]],1)</f>
        <v>L</v>
      </c>
      <c r="C1135">
        <f>_xlfn.LET(_xlpm.steps,SUBSTITUTE(Table13[[#This Row],[Input]],Table13[[#This Row],[Direction]],""),VALUE(IF(LEN(_xlpm.steps)&gt;2,RIGHT(_xlpm.steps,2),_xlpm.steps)))</f>
        <v>64</v>
      </c>
      <c r="D1135">
        <f>_xlfn.LET(_xlpm.steps,SUBSTITUTE(Table13[[#This Row],[Input]],Table13[[#This Row],[Direction]],""),VALUE(IF(LEN(_xlpm.steps)&gt;2,LEFT(_xlpm.steps,LEN(_xlpm.steps)-2),0)))</f>
        <v>0</v>
      </c>
      <c r="E1135">
        <f>_xlfn.LET(_xlpm.dir,Table13[[#This Row],[Direction]],
IF(_xlpm.dir="L",
    IF(G1134-Table13[[#This Row],[Steps]]&lt;0,100+(G1134-Table13[[#This Row],[Steps]]),G1134-Table13[[#This Row],[Steps]]),
))</f>
        <v>53</v>
      </c>
      <c r="F1135">
        <f>_xlfn.LET(_xlpm.dir,Table13[[#This Row],[Direction]],
IF(_xlpm.dir="R",
    IF(G1134+Table13[[#This Row],[Steps]]&gt;99,(G1134+Table13[[#This Row],[Steps]])-100,G1134+Table13[[#This Row],[Steps]]),
))</f>
        <v>0</v>
      </c>
      <c r="G1135">
        <f>IF(Table13[[#This Row],[New Pos L]]&lt;&gt;0,Table13[[#This Row],[New Pos L]],Table13[[#This Row],[New Pos R]])</f>
        <v>53</v>
      </c>
      <c r="H1135">
        <f>IF(AND(Table13[[#This Row],[Direction]]="L",Table13[[#This Row],[Steps]]&gt;G1134,G1134&lt;&gt;0),1,0)</f>
        <v>1</v>
      </c>
      <c r="I1135">
        <f>IF(AND(Table13[[#This Row],[Direction]]="R",(G1134+Table13[[#This Row],[Steps]])&gt;100),1,0)</f>
        <v>0</v>
      </c>
      <c r="J1135">
        <f>IF(Table13[[#This Row],[POS]]=0,1,0)</f>
        <v>0</v>
      </c>
      <c r="K1135">
        <f>SUM(Table13[[#This Row],[prefix]],Table13[[#This Row],[Past zero L]],Table13[[#This Row],[Past Zero R]],Table13[[#This Row],[Is Zero]])</f>
        <v>1</v>
      </c>
    </row>
    <row r="1136" spans="1:11" ht="16" x14ac:dyDescent="0.2">
      <c r="A1136" s="1" t="s">
        <v>325</v>
      </c>
      <c r="B1136" t="str">
        <f>LEFT(Table13[[#This Row],[Input]],1)</f>
        <v>L</v>
      </c>
      <c r="C1136">
        <f>_xlfn.LET(_xlpm.steps,SUBSTITUTE(Table13[[#This Row],[Input]],Table13[[#This Row],[Direction]],""),VALUE(IF(LEN(_xlpm.steps)&gt;2,RIGHT(_xlpm.steps,2),_xlpm.steps)))</f>
        <v>68</v>
      </c>
      <c r="D1136">
        <f>_xlfn.LET(_xlpm.steps,SUBSTITUTE(Table13[[#This Row],[Input]],Table13[[#This Row],[Direction]],""),VALUE(IF(LEN(_xlpm.steps)&gt;2,LEFT(_xlpm.steps,LEN(_xlpm.steps)-2),0)))</f>
        <v>0</v>
      </c>
      <c r="E1136">
        <f>_xlfn.LET(_xlpm.dir,Table13[[#This Row],[Direction]],
IF(_xlpm.dir="L",
    IF(G1135-Table13[[#This Row],[Steps]]&lt;0,100+(G1135-Table13[[#This Row],[Steps]]),G1135-Table13[[#This Row],[Steps]]),
))</f>
        <v>85</v>
      </c>
      <c r="F1136">
        <f>_xlfn.LET(_xlpm.dir,Table13[[#This Row],[Direction]],
IF(_xlpm.dir="R",
    IF(G1135+Table13[[#This Row],[Steps]]&gt;99,(G1135+Table13[[#This Row],[Steps]])-100,G1135+Table13[[#This Row],[Steps]]),
))</f>
        <v>0</v>
      </c>
      <c r="G1136">
        <f>IF(Table13[[#This Row],[New Pos L]]&lt;&gt;0,Table13[[#This Row],[New Pos L]],Table13[[#This Row],[New Pos R]])</f>
        <v>85</v>
      </c>
      <c r="H1136">
        <f>IF(AND(Table13[[#This Row],[Direction]]="L",Table13[[#This Row],[Steps]]&gt;G1135,G1135&lt;&gt;0),1,0)</f>
        <v>1</v>
      </c>
      <c r="I1136">
        <f>IF(AND(Table13[[#This Row],[Direction]]="R",(G1135+Table13[[#This Row],[Steps]])&gt;100),1,0)</f>
        <v>0</v>
      </c>
      <c r="J1136">
        <f>IF(Table13[[#This Row],[POS]]=0,1,0)</f>
        <v>0</v>
      </c>
      <c r="K1136">
        <f>SUM(Table13[[#This Row],[prefix]],Table13[[#This Row],[Past zero L]],Table13[[#This Row],[Past Zero R]],Table13[[#This Row],[Is Zero]])</f>
        <v>1</v>
      </c>
    </row>
    <row r="1137" spans="1:11" ht="16" x14ac:dyDescent="0.2">
      <c r="A1137" s="1" t="s">
        <v>38</v>
      </c>
      <c r="B1137" t="str">
        <f>LEFT(Table13[[#This Row],[Input]],1)</f>
        <v>R</v>
      </c>
      <c r="C1137">
        <f>_xlfn.LET(_xlpm.steps,SUBSTITUTE(Table13[[#This Row],[Input]],Table13[[#This Row],[Direction]],""),VALUE(IF(LEN(_xlpm.steps)&gt;2,RIGHT(_xlpm.steps,2),_xlpm.steps)))</f>
        <v>15</v>
      </c>
      <c r="D1137">
        <f>_xlfn.LET(_xlpm.steps,SUBSTITUTE(Table13[[#This Row],[Input]],Table13[[#This Row],[Direction]],""),VALUE(IF(LEN(_xlpm.steps)&gt;2,LEFT(_xlpm.steps,LEN(_xlpm.steps)-2),0)))</f>
        <v>0</v>
      </c>
      <c r="E1137">
        <f>_xlfn.LET(_xlpm.dir,Table13[[#This Row],[Direction]],
IF(_xlpm.dir="L",
    IF(G1136-Table13[[#This Row],[Steps]]&lt;0,100+(G1136-Table13[[#This Row],[Steps]]),G1136-Table13[[#This Row],[Steps]]),
))</f>
        <v>0</v>
      </c>
      <c r="F1137">
        <f>_xlfn.LET(_xlpm.dir,Table13[[#This Row],[Direction]],
IF(_xlpm.dir="R",
    IF(G1136+Table13[[#This Row],[Steps]]&gt;99,(G1136+Table13[[#This Row],[Steps]])-100,G1136+Table13[[#This Row],[Steps]]),
))</f>
        <v>0</v>
      </c>
      <c r="G1137">
        <f>IF(Table13[[#This Row],[New Pos L]]&lt;&gt;0,Table13[[#This Row],[New Pos L]],Table13[[#This Row],[New Pos R]])</f>
        <v>0</v>
      </c>
      <c r="H1137">
        <f>IF(AND(Table13[[#This Row],[Direction]]="L",Table13[[#This Row],[Steps]]&gt;G1136,G1136&lt;&gt;0),1,0)</f>
        <v>0</v>
      </c>
      <c r="I1137">
        <f>IF(AND(Table13[[#This Row],[Direction]]="R",(G1136+Table13[[#This Row],[Steps]])&gt;100),1,0)</f>
        <v>0</v>
      </c>
      <c r="J1137">
        <f>IF(Table13[[#This Row],[POS]]=0,1,0)</f>
        <v>1</v>
      </c>
      <c r="K1137">
        <f>SUM(Table13[[#This Row],[prefix]],Table13[[#This Row],[Past zero L]],Table13[[#This Row],[Past Zero R]],Table13[[#This Row],[Is Zero]])</f>
        <v>1</v>
      </c>
    </row>
    <row r="1138" spans="1:11" ht="16" x14ac:dyDescent="0.2">
      <c r="A1138" s="1" t="s">
        <v>59</v>
      </c>
      <c r="B1138" t="str">
        <f>LEFT(Table13[[#This Row],[Input]],1)</f>
        <v>L</v>
      </c>
      <c r="C1138">
        <f>_xlfn.LET(_xlpm.steps,SUBSTITUTE(Table13[[#This Row],[Input]],Table13[[#This Row],[Direction]],""),VALUE(IF(LEN(_xlpm.steps)&gt;2,RIGHT(_xlpm.steps,2),_xlpm.steps)))</f>
        <v>6</v>
      </c>
      <c r="D1138">
        <f>_xlfn.LET(_xlpm.steps,SUBSTITUTE(Table13[[#This Row],[Input]],Table13[[#This Row],[Direction]],""),VALUE(IF(LEN(_xlpm.steps)&gt;2,LEFT(_xlpm.steps,LEN(_xlpm.steps)-2),0)))</f>
        <v>0</v>
      </c>
      <c r="E1138">
        <f>_xlfn.LET(_xlpm.dir,Table13[[#This Row],[Direction]],
IF(_xlpm.dir="L",
    IF(G1137-Table13[[#This Row],[Steps]]&lt;0,100+(G1137-Table13[[#This Row],[Steps]]),G1137-Table13[[#This Row],[Steps]]),
))</f>
        <v>94</v>
      </c>
      <c r="F1138">
        <f>_xlfn.LET(_xlpm.dir,Table13[[#This Row],[Direction]],
IF(_xlpm.dir="R",
    IF(G1137+Table13[[#This Row],[Steps]]&gt;99,(G1137+Table13[[#This Row],[Steps]])-100,G1137+Table13[[#This Row],[Steps]]),
))</f>
        <v>0</v>
      </c>
      <c r="G1138">
        <f>IF(Table13[[#This Row],[New Pos L]]&lt;&gt;0,Table13[[#This Row],[New Pos L]],Table13[[#This Row],[New Pos R]])</f>
        <v>94</v>
      </c>
      <c r="H1138">
        <f>IF(AND(Table13[[#This Row],[Direction]]="L",Table13[[#This Row],[Steps]]&gt;G1137,G1137&lt;&gt;0),1,0)</f>
        <v>0</v>
      </c>
      <c r="I1138">
        <f>IF(AND(Table13[[#This Row],[Direction]]="R",(G1137+Table13[[#This Row],[Steps]])&gt;100),1,0)</f>
        <v>0</v>
      </c>
      <c r="J1138">
        <f>IF(Table13[[#This Row],[POS]]=0,1,0)</f>
        <v>0</v>
      </c>
      <c r="K1138">
        <f>SUM(Table13[[#This Row],[prefix]],Table13[[#This Row],[Past zero L]],Table13[[#This Row],[Past Zero R]],Table13[[#This Row],[Is Zero]])</f>
        <v>0</v>
      </c>
    </row>
    <row r="1139" spans="1:11" ht="16" x14ac:dyDescent="0.2">
      <c r="A1139" s="1" t="s">
        <v>138</v>
      </c>
      <c r="B1139" t="str">
        <f>LEFT(Table13[[#This Row],[Input]],1)</f>
        <v>L</v>
      </c>
      <c r="C1139">
        <f>_xlfn.LET(_xlpm.steps,SUBSTITUTE(Table13[[#This Row],[Input]],Table13[[#This Row],[Direction]],""),VALUE(IF(LEN(_xlpm.steps)&gt;2,RIGHT(_xlpm.steps,2),_xlpm.steps)))</f>
        <v>94</v>
      </c>
      <c r="D1139">
        <f>_xlfn.LET(_xlpm.steps,SUBSTITUTE(Table13[[#This Row],[Input]],Table13[[#This Row],[Direction]],""),VALUE(IF(LEN(_xlpm.steps)&gt;2,LEFT(_xlpm.steps,LEN(_xlpm.steps)-2),0)))</f>
        <v>0</v>
      </c>
      <c r="E1139">
        <f>_xlfn.LET(_xlpm.dir,Table13[[#This Row],[Direction]],
IF(_xlpm.dir="L",
    IF(G1138-Table13[[#This Row],[Steps]]&lt;0,100+(G1138-Table13[[#This Row],[Steps]]),G1138-Table13[[#This Row],[Steps]]),
))</f>
        <v>0</v>
      </c>
      <c r="F1139">
        <f>_xlfn.LET(_xlpm.dir,Table13[[#This Row],[Direction]],
IF(_xlpm.dir="R",
    IF(G1138+Table13[[#This Row],[Steps]]&gt;99,(G1138+Table13[[#This Row],[Steps]])-100,G1138+Table13[[#This Row],[Steps]]),
))</f>
        <v>0</v>
      </c>
      <c r="G1139">
        <f>IF(Table13[[#This Row],[New Pos L]]&lt;&gt;0,Table13[[#This Row],[New Pos L]],Table13[[#This Row],[New Pos R]])</f>
        <v>0</v>
      </c>
      <c r="H1139">
        <f>IF(AND(Table13[[#This Row],[Direction]]="L",Table13[[#This Row],[Steps]]&gt;G1138,G1138&lt;&gt;0),1,0)</f>
        <v>0</v>
      </c>
      <c r="I1139">
        <f>IF(AND(Table13[[#This Row],[Direction]]="R",(G1138+Table13[[#This Row],[Steps]])&gt;100),1,0)</f>
        <v>0</v>
      </c>
      <c r="J1139">
        <f>IF(Table13[[#This Row],[POS]]=0,1,0)</f>
        <v>1</v>
      </c>
      <c r="K1139">
        <f>SUM(Table13[[#This Row],[prefix]],Table13[[#This Row],[Past zero L]],Table13[[#This Row],[Past Zero R]],Table13[[#This Row],[Is Zero]])</f>
        <v>1</v>
      </c>
    </row>
    <row r="1140" spans="1:11" ht="16" x14ac:dyDescent="0.2">
      <c r="A1140" s="1" t="s">
        <v>56</v>
      </c>
      <c r="B1140" t="str">
        <f>LEFT(Table13[[#This Row],[Input]],1)</f>
        <v>R</v>
      </c>
      <c r="C1140">
        <f>_xlfn.LET(_xlpm.steps,SUBSTITUTE(Table13[[#This Row],[Input]],Table13[[#This Row],[Direction]],""),VALUE(IF(LEN(_xlpm.steps)&gt;2,RIGHT(_xlpm.steps,2),_xlpm.steps)))</f>
        <v>42</v>
      </c>
      <c r="D1140">
        <f>_xlfn.LET(_xlpm.steps,SUBSTITUTE(Table13[[#This Row],[Input]],Table13[[#This Row],[Direction]],""),VALUE(IF(LEN(_xlpm.steps)&gt;2,LEFT(_xlpm.steps,LEN(_xlpm.steps)-2),0)))</f>
        <v>0</v>
      </c>
      <c r="E1140">
        <f>_xlfn.LET(_xlpm.dir,Table13[[#This Row],[Direction]],
IF(_xlpm.dir="L",
    IF(G1139-Table13[[#This Row],[Steps]]&lt;0,100+(G1139-Table13[[#This Row],[Steps]]),G1139-Table13[[#This Row],[Steps]]),
))</f>
        <v>0</v>
      </c>
      <c r="F1140">
        <f>_xlfn.LET(_xlpm.dir,Table13[[#This Row],[Direction]],
IF(_xlpm.dir="R",
    IF(G1139+Table13[[#This Row],[Steps]]&gt;99,(G1139+Table13[[#This Row],[Steps]])-100,G1139+Table13[[#This Row],[Steps]]),
))</f>
        <v>42</v>
      </c>
      <c r="G1140">
        <f>IF(Table13[[#This Row],[New Pos L]]&lt;&gt;0,Table13[[#This Row],[New Pos L]],Table13[[#This Row],[New Pos R]])</f>
        <v>42</v>
      </c>
      <c r="H1140">
        <f>IF(AND(Table13[[#This Row],[Direction]]="L",Table13[[#This Row],[Steps]]&gt;G1139,G1139&lt;&gt;0),1,0)</f>
        <v>0</v>
      </c>
      <c r="I1140">
        <f>IF(AND(Table13[[#This Row],[Direction]]="R",(G1139+Table13[[#This Row],[Steps]])&gt;100),1,0)</f>
        <v>0</v>
      </c>
      <c r="J1140">
        <f>IF(Table13[[#This Row],[POS]]=0,1,0)</f>
        <v>0</v>
      </c>
      <c r="K1140">
        <f>SUM(Table13[[#This Row],[prefix]],Table13[[#This Row],[Past zero L]],Table13[[#This Row],[Past Zero R]],Table13[[#This Row],[Is Zero]])</f>
        <v>0</v>
      </c>
    </row>
    <row r="1141" spans="1:11" ht="16" x14ac:dyDescent="0.2">
      <c r="A1141" s="1" t="s">
        <v>207</v>
      </c>
      <c r="B1141" t="str">
        <f>LEFT(Table13[[#This Row],[Input]],1)</f>
        <v>L</v>
      </c>
      <c r="C1141">
        <f>_xlfn.LET(_xlpm.steps,SUBSTITUTE(Table13[[#This Row],[Input]],Table13[[#This Row],[Direction]],""),VALUE(IF(LEN(_xlpm.steps)&gt;2,RIGHT(_xlpm.steps,2),_xlpm.steps)))</f>
        <v>89</v>
      </c>
      <c r="D1141">
        <f>_xlfn.LET(_xlpm.steps,SUBSTITUTE(Table13[[#This Row],[Input]],Table13[[#This Row],[Direction]],""),VALUE(IF(LEN(_xlpm.steps)&gt;2,LEFT(_xlpm.steps,LEN(_xlpm.steps)-2),0)))</f>
        <v>0</v>
      </c>
      <c r="E1141">
        <f>_xlfn.LET(_xlpm.dir,Table13[[#This Row],[Direction]],
IF(_xlpm.dir="L",
    IF(G1140-Table13[[#This Row],[Steps]]&lt;0,100+(G1140-Table13[[#This Row],[Steps]]),G1140-Table13[[#This Row],[Steps]]),
))</f>
        <v>53</v>
      </c>
      <c r="F1141">
        <f>_xlfn.LET(_xlpm.dir,Table13[[#This Row],[Direction]],
IF(_xlpm.dir="R",
    IF(G1140+Table13[[#This Row],[Steps]]&gt;99,(G1140+Table13[[#This Row],[Steps]])-100,G1140+Table13[[#This Row],[Steps]]),
))</f>
        <v>0</v>
      </c>
      <c r="G1141">
        <f>IF(Table13[[#This Row],[New Pos L]]&lt;&gt;0,Table13[[#This Row],[New Pos L]],Table13[[#This Row],[New Pos R]])</f>
        <v>53</v>
      </c>
      <c r="H1141">
        <f>IF(AND(Table13[[#This Row],[Direction]]="L",Table13[[#This Row],[Steps]]&gt;G1140,G1140&lt;&gt;0),1,0)</f>
        <v>1</v>
      </c>
      <c r="I1141">
        <f>IF(AND(Table13[[#This Row],[Direction]]="R",(G1140+Table13[[#This Row],[Steps]])&gt;100),1,0)</f>
        <v>0</v>
      </c>
      <c r="J1141">
        <f>IF(Table13[[#This Row],[POS]]=0,1,0)</f>
        <v>0</v>
      </c>
      <c r="K1141">
        <f>SUM(Table13[[#This Row],[prefix]],Table13[[#This Row],[Past zero L]],Table13[[#This Row],[Past Zero R]],Table13[[#This Row],[Is Zero]])</f>
        <v>1</v>
      </c>
    </row>
    <row r="1142" spans="1:11" ht="16" x14ac:dyDescent="0.2">
      <c r="A1142" s="1" t="s">
        <v>145</v>
      </c>
      <c r="B1142" t="str">
        <f>LEFT(Table13[[#This Row],[Input]],1)</f>
        <v>L</v>
      </c>
      <c r="C1142">
        <f>_xlfn.LET(_xlpm.steps,SUBSTITUTE(Table13[[#This Row],[Input]],Table13[[#This Row],[Direction]],""),VALUE(IF(LEN(_xlpm.steps)&gt;2,RIGHT(_xlpm.steps,2),_xlpm.steps)))</f>
        <v>83</v>
      </c>
      <c r="D1142">
        <f>_xlfn.LET(_xlpm.steps,SUBSTITUTE(Table13[[#This Row],[Input]],Table13[[#This Row],[Direction]],""),VALUE(IF(LEN(_xlpm.steps)&gt;2,LEFT(_xlpm.steps,LEN(_xlpm.steps)-2),0)))</f>
        <v>0</v>
      </c>
      <c r="E1142">
        <f>_xlfn.LET(_xlpm.dir,Table13[[#This Row],[Direction]],
IF(_xlpm.dir="L",
    IF(G1141-Table13[[#This Row],[Steps]]&lt;0,100+(G1141-Table13[[#This Row],[Steps]]),G1141-Table13[[#This Row],[Steps]]),
))</f>
        <v>70</v>
      </c>
      <c r="F1142">
        <f>_xlfn.LET(_xlpm.dir,Table13[[#This Row],[Direction]],
IF(_xlpm.dir="R",
    IF(G1141+Table13[[#This Row],[Steps]]&gt;99,(G1141+Table13[[#This Row],[Steps]])-100,G1141+Table13[[#This Row],[Steps]]),
))</f>
        <v>0</v>
      </c>
      <c r="G1142">
        <f>IF(Table13[[#This Row],[New Pos L]]&lt;&gt;0,Table13[[#This Row],[New Pos L]],Table13[[#This Row],[New Pos R]])</f>
        <v>70</v>
      </c>
      <c r="H1142">
        <f>IF(AND(Table13[[#This Row],[Direction]]="L",Table13[[#This Row],[Steps]]&gt;G1141,G1141&lt;&gt;0),1,0)</f>
        <v>1</v>
      </c>
      <c r="I1142">
        <f>IF(AND(Table13[[#This Row],[Direction]]="R",(G1141+Table13[[#This Row],[Steps]])&gt;100),1,0)</f>
        <v>0</v>
      </c>
      <c r="J1142">
        <f>IF(Table13[[#This Row],[POS]]=0,1,0)</f>
        <v>0</v>
      </c>
      <c r="K1142">
        <f>SUM(Table13[[#This Row],[prefix]],Table13[[#This Row],[Past zero L]],Table13[[#This Row],[Past Zero R]],Table13[[#This Row],[Is Zero]])</f>
        <v>1</v>
      </c>
    </row>
    <row r="1143" spans="1:11" ht="16" x14ac:dyDescent="0.2">
      <c r="A1143" s="1" t="s">
        <v>11</v>
      </c>
      <c r="B1143" t="str">
        <f>LEFT(Table13[[#This Row],[Input]],1)</f>
        <v>L</v>
      </c>
      <c r="C1143">
        <f>_xlfn.LET(_xlpm.steps,SUBSTITUTE(Table13[[#This Row],[Input]],Table13[[#This Row],[Direction]],""),VALUE(IF(LEN(_xlpm.steps)&gt;2,RIGHT(_xlpm.steps,2),_xlpm.steps)))</f>
        <v>34</v>
      </c>
      <c r="D1143">
        <f>_xlfn.LET(_xlpm.steps,SUBSTITUTE(Table13[[#This Row],[Input]],Table13[[#This Row],[Direction]],""),VALUE(IF(LEN(_xlpm.steps)&gt;2,LEFT(_xlpm.steps,LEN(_xlpm.steps)-2),0)))</f>
        <v>0</v>
      </c>
      <c r="E1143">
        <f>_xlfn.LET(_xlpm.dir,Table13[[#This Row],[Direction]],
IF(_xlpm.dir="L",
    IF(G1142-Table13[[#This Row],[Steps]]&lt;0,100+(G1142-Table13[[#This Row],[Steps]]),G1142-Table13[[#This Row],[Steps]]),
))</f>
        <v>36</v>
      </c>
      <c r="F1143">
        <f>_xlfn.LET(_xlpm.dir,Table13[[#This Row],[Direction]],
IF(_xlpm.dir="R",
    IF(G1142+Table13[[#This Row],[Steps]]&gt;99,(G1142+Table13[[#This Row],[Steps]])-100,G1142+Table13[[#This Row],[Steps]]),
))</f>
        <v>0</v>
      </c>
      <c r="G1143">
        <f>IF(Table13[[#This Row],[New Pos L]]&lt;&gt;0,Table13[[#This Row],[New Pos L]],Table13[[#This Row],[New Pos R]])</f>
        <v>36</v>
      </c>
      <c r="H1143">
        <f>IF(AND(Table13[[#This Row],[Direction]]="L",Table13[[#This Row],[Steps]]&gt;G1142,G1142&lt;&gt;0),1,0)</f>
        <v>0</v>
      </c>
      <c r="I1143">
        <f>IF(AND(Table13[[#This Row],[Direction]]="R",(G1142+Table13[[#This Row],[Steps]])&gt;100),1,0)</f>
        <v>0</v>
      </c>
      <c r="J1143">
        <f>IF(Table13[[#This Row],[POS]]=0,1,0)</f>
        <v>0</v>
      </c>
      <c r="K1143">
        <f>SUM(Table13[[#This Row],[prefix]],Table13[[#This Row],[Past zero L]],Table13[[#This Row],[Past Zero R]],Table13[[#This Row],[Is Zero]])</f>
        <v>0</v>
      </c>
    </row>
    <row r="1144" spans="1:11" ht="16" x14ac:dyDescent="0.2">
      <c r="A1144" s="1" t="s">
        <v>380</v>
      </c>
      <c r="B1144" t="str">
        <f>LEFT(Table13[[#This Row],[Input]],1)</f>
        <v>L</v>
      </c>
      <c r="C1144">
        <f>_xlfn.LET(_xlpm.steps,SUBSTITUTE(Table13[[#This Row],[Input]],Table13[[#This Row],[Direction]],""),VALUE(IF(LEN(_xlpm.steps)&gt;2,RIGHT(_xlpm.steps,2),_xlpm.steps)))</f>
        <v>36</v>
      </c>
      <c r="D1144">
        <f>_xlfn.LET(_xlpm.steps,SUBSTITUTE(Table13[[#This Row],[Input]],Table13[[#This Row],[Direction]],""),VALUE(IF(LEN(_xlpm.steps)&gt;2,LEFT(_xlpm.steps,LEN(_xlpm.steps)-2),0)))</f>
        <v>5</v>
      </c>
      <c r="E1144">
        <f>_xlfn.LET(_xlpm.dir,Table13[[#This Row],[Direction]],
IF(_xlpm.dir="L",
    IF(G1143-Table13[[#This Row],[Steps]]&lt;0,100+(G1143-Table13[[#This Row],[Steps]]),G1143-Table13[[#This Row],[Steps]]),
))</f>
        <v>0</v>
      </c>
      <c r="F1144">
        <f>_xlfn.LET(_xlpm.dir,Table13[[#This Row],[Direction]],
IF(_xlpm.dir="R",
    IF(G1143+Table13[[#This Row],[Steps]]&gt;99,(G1143+Table13[[#This Row],[Steps]])-100,G1143+Table13[[#This Row],[Steps]]),
))</f>
        <v>0</v>
      </c>
      <c r="G1144">
        <f>IF(Table13[[#This Row],[New Pos L]]&lt;&gt;0,Table13[[#This Row],[New Pos L]],Table13[[#This Row],[New Pos R]])</f>
        <v>0</v>
      </c>
      <c r="H1144">
        <f>IF(AND(Table13[[#This Row],[Direction]]="L",Table13[[#This Row],[Steps]]&gt;G1143,G1143&lt;&gt;0),1,0)</f>
        <v>0</v>
      </c>
      <c r="I1144">
        <f>IF(AND(Table13[[#This Row],[Direction]]="R",(G1143+Table13[[#This Row],[Steps]])&gt;100),1,0)</f>
        <v>0</v>
      </c>
      <c r="J1144">
        <f>IF(Table13[[#This Row],[POS]]=0,1,0)</f>
        <v>1</v>
      </c>
      <c r="K1144">
        <f>SUM(Table13[[#This Row],[prefix]],Table13[[#This Row],[Past zero L]],Table13[[#This Row],[Past Zero R]],Table13[[#This Row],[Is Zero]])</f>
        <v>6</v>
      </c>
    </row>
    <row r="1145" spans="1:11" ht="16" x14ac:dyDescent="0.2">
      <c r="A1145" s="1" t="s">
        <v>381</v>
      </c>
      <c r="B1145" t="str">
        <f>LEFT(Table13[[#This Row],[Input]],1)</f>
        <v>R</v>
      </c>
      <c r="C1145">
        <f>_xlfn.LET(_xlpm.steps,SUBSTITUTE(Table13[[#This Row],[Input]],Table13[[#This Row],[Direction]],""),VALUE(IF(LEN(_xlpm.steps)&gt;2,RIGHT(_xlpm.steps,2),_xlpm.steps)))</f>
        <v>73</v>
      </c>
      <c r="D1145">
        <f>_xlfn.LET(_xlpm.steps,SUBSTITUTE(Table13[[#This Row],[Input]],Table13[[#This Row],[Direction]],""),VALUE(IF(LEN(_xlpm.steps)&gt;2,LEFT(_xlpm.steps,LEN(_xlpm.steps)-2),0)))</f>
        <v>7</v>
      </c>
      <c r="E1145">
        <f>_xlfn.LET(_xlpm.dir,Table13[[#This Row],[Direction]],
IF(_xlpm.dir="L",
    IF(G1144-Table13[[#This Row],[Steps]]&lt;0,100+(G1144-Table13[[#This Row],[Steps]]),G1144-Table13[[#This Row],[Steps]]),
))</f>
        <v>0</v>
      </c>
      <c r="F1145">
        <f>_xlfn.LET(_xlpm.dir,Table13[[#This Row],[Direction]],
IF(_xlpm.dir="R",
    IF(G1144+Table13[[#This Row],[Steps]]&gt;99,(G1144+Table13[[#This Row],[Steps]])-100,G1144+Table13[[#This Row],[Steps]]),
))</f>
        <v>73</v>
      </c>
      <c r="G1145">
        <f>IF(Table13[[#This Row],[New Pos L]]&lt;&gt;0,Table13[[#This Row],[New Pos L]],Table13[[#This Row],[New Pos R]])</f>
        <v>73</v>
      </c>
      <c r="H1145">
        <f>IF(AND(Table13[[#This Row],[Direction]]="L",Table13[[#This Row],[Steps]]&gt;G1144,G1144&lt;&gt;0),1,0)</f>
        <v>0</v>
      </c>
      <c r="I1145">
        <f>IF(AND(Table13[[#This Row],[Direction]]="R",(G1144+Table13[[#This Row],[Steps]])&gt;100),1,0)</f>
        <v>0</v>
      </c>
      <c r="J1145">
        <f>IF(Table13[[#This Row],[POS]]=0,1,0)</f>
        <v>0</v>
      </c>
      <c r="K1145">
        <f>SUM(Table13[[#This Row],[prefix]],Table13[[#This Row],[Past zero L]],Table13[[#This Row],[Past Zero R]],Table13[[#This Row],[Is Zero]])</f>
        <v>7</v>
      </c>
    </row>
    <row r="1146" spans="1:11" ht="16" x14ac:dyDescent="0.2">
      <c r="A1146" s="1" t="s">
        <v>69</v>
      </c>
      <c r="B1146" t="str">
        <f>LEFT(Table13[[#This Row],[Input]],1)</f>
        <v>R</v>
      </c>
      <c r="C1146">
        <f>_xlfn.LET(_xlpm.steps,SUBSTITUTE(Table13[[#This Row],[Input]],Table13[[#This Row],[Direction]],""),VALUE(IF(LEN(_xlpm.steps)&gt;2,RIGHT(_xlpm.steps,2),_xlpm.steps)))</f>
        <v>27</v>
      </c>
      <c r="D1146">
        <f>_xlfn.LET(_xlpm.steps,SUBSTITUTE(Table13[[#This Row],[Input]],Table13[[#This Row],[Direction]],""),VALUE(IF(LEN(_xlpm.steps)&gt;2,LEFT(_xlpm.steps,LEN(_xlpm.steps)-2),0)))</f>
        <v>0</v>
      </c>
      <c r="E1146">
        <f>_xlfn.LET(_xlpm.dir,Table13[[#This Row],[Direction]],
IF(_xlpm.dir="L",
    IF(G1145-Table13[[#This Row],[Steps]]&lt;0,100+(G1145-Table13[[#This Row],[Steps]]),G1145-Table13[[#This Row],[Steps]]),
))</f>
        <v>0</v>
      </c>
      <c r="F1146">
        <f>_xlfn.LET(_xlpm.dir,Table13[[#This Row],[Direction]],
IF(_xlpm.dir="R",
    IF(G1145+Table13[[#This Row],[Steps]]&gt;99,(G1145+Table13[[#This Row],[Steps]])-100,G1145+Table13[[#This Row],[Steps]]),
))</f>
        <v>0</v>
      </c>
      <c r="G1146">
        <f>IF(Table13[[#This Row],[New Pos L]]&lt;&gt;0,Table13[[#This Row],[New Pos L]],Table13[[#This Row],[New Pos R]])</f>
        <v>0</v>
      </c>
      <c r="H1146">
        <f>IF(AND(Table13[[#This Row],[Direction]]="L",Table13[[#This Row],[Steps]]&gt;G1145,G1145&lt;&gt;0),1,0)</f>
        <v>0</v>
      </c>
      <c r="I1146">
        <f>IF(AND(Table13[[#This Row],[Direction]]="R",(G1145+Table13[[#This Row],[Steps]])&gt;100),1,0)</f>
        <v>0</v>
      </c>
      <c r="J1146">
        <f>IF(Table13[[#This Row],[POS]]=0,1,0)</f>
        <v>1</v>
      </c>
      <c r="K1146">
        <f>SUM(Table13[[#This Row],[prefix]],Table13[[#This Row],[Past zero L]],Table13[[#This Row],[Past Zero R]],Table13[[#This Row],[Is Zero]])</f>
        <v>1</v>
      </c>
    </row>
    <row r="1147" spans="1:11" ht="16" x14ac:dyDescent="0.2">
      <c r="A1147" s="1" t="s">
        <v>201</v>
      </c>
      <c r="B1147" t="str">
        <f>LEFT(Table13[[#This Row],[Input]],1)</f>
        <v>R</v>
      </c>
      <c r="C1147">
        <f>_xlfn.LET(_xlpm.steps,SUBSTITUTE(Table13[[#This Row],[Input]],Table13[[#This Row],[Direction]],""),VALUE(IF(LEN(_xlpm.steps)&gt;2,RIGHT(_xlpm.steps,2),_xlpm.steps)))</f>
        <v>31</v>
      </c>
      <c r="D1147">
        <f>_xlfn.LET(_xlpm.steps,SUBSTITUTE(Table13[[#This Row],[Input]],Table13[[#This Row],[Direction]],""),VALUE(IF(LEN(_xlpm.steps)&gt;2,LEFT(_xlpm.steps,LEN(_xlpm.steps)-2),0)))</f>
        <v>0</v>
      </c>
      <c r="E1147">
        <f>_xlfn.LET(_xlpm.dir,Table13[[#This Row],[Direction]],
IF(_xlpm.dir="L",
    IF(G1146-Table13[[#This Row],[Steps]]&lt;0,100+(G1146-Table13[[#This Row],[Steps]]),G1146-Table13[[#This Row],[Steps]]),
))</f>
        <v>0</v>
      </c>
      <c r="F1147">
        <f>_xlfn.LET(_xlpm.dir,Table13[[#This Row],[Direction]],
IF(_xlpm.dir="R",
    IF(G1146+Table13[[#This Row],[Steps]]&gt;99,(G1146+Table13[[#This Row],[Steps]])-100,G1146+Table13[[#This Row],[Steps]]),
))</f>
        <v>31</v>
      </c>
      <c r="G1147">
        <f>IF(Table13[[#This Row],[New Pos L]]&lt;&gt;0,Table13[[#This Row],[New Pos L]],Table13[[#This Row],[New Pos R]])</f>
        <v>31</v>
      </c>
      <c r="H1147">
        <f>IF(AND(Table13[[#This Row],[Direction]]="L",Table13[[#This Row],[Steps]]&gt;G1146,G1146&lt;&gt;0),1,0)</f>
        <v>0</v>
      </c>
      <c r="I1147">
        <f>IF(AND(Table13[[#This Row],[Direction]]="R",(G1146+Table13[[#This Row],[Steps]])&gt;100),1,0)</f>
        <v>0</v>
      </c>
      <c r="J1147">
        <f>IF(Table13[[#This Row],[POS]]=0,1,0)</f>
        <v>0</v>
      </c>
      <c r="K1147">
        <f>SUM(Table13[[#This Row],[prefix]],Table13[[#This Row],[Past zero L]],Table13[[#This Row],[Past Zero R]],Table13[[#This Row],[Is Zero]])</f>
        <v>0</v>
      </c>
    </row>
    <row r="1148" spans="1:11" ht="16" x14ac:dyDescent="0.2">
      <c r="A1148" s="1" t="s">
        <v>79</v>
      </c>
      <c r="B1148" t="str">
        <f>LEFT(Table13[[#This Row],[Input]],1)</f>
        <v>L</v>
      </c>
      <c r="C1148">
        <f>_xlfn.LET(_xlpm.steps,SUBSTITUTE(Table13[[#This Row],[Input]],Table13[[#This Row],[Direction]],""),VALUE(IF(LEN(_xlpm.steps)&gt;2,RIGHT(_xlpm.steps,2),_xlpm.steps)))</f>
        <v>45</v>
      </c>
      <c r="D1148">
        <f>_xlfn.LET(_xlpm.steps,SUBSTITUTE(Table13[[#This Row],[Input]],Table13[[#This Row],[Direction]],""),VALUE(IF(LEN(_xlpm.steps)&gt;2,LEFT(_xlpm.steps,LEN(_xlpm.steps)-2),0)))</f>
        <v>0</v>
      </c>
      <c r="E1148">
        <f>_xlfn.LET(_xlpm.dir,Table13[[#This Row],[Direction]],
IF(_xlpm.dir="L",
    IF(G1147-Table13[[#This Row],[Steps]]&lt;0,100+(G1147-Table13[[#This Row],[Steps]]),G1147-Table13[[#This Row],[Steps]]),
))</f>
        <v>86</v>
      </c>
      <c r="F1148">
        <f>_xlfn.LET(_xlpm.dir,Table13[[#This Row],[Direction]],
IF(_xlpm.dir="R",
    IF(G1147+Table13[[#This Row],[Steps]]&gt;99,(G1147+Table13[[#This Row],[Steps]])-100,G1147+Table13[[#This Row],[Steps]]),
))</f>
        <v>0</v>
      </c>
      <c r="G1148">
        <f>IF(Table13[[#This Row],[New Pos L]]&lt;&gt;0,Table13[[#This Row],[New Pos L]],Table13[[#This Row],[New Pos R]])</f>
        <v>86</v>
      </c>
      <c r="H1148">
        <f>IF(AND(Table13[[#This Row],[Direction]]="L",Table13[[#This Row],[Steps]]&gt;G1147,G1147&lt;&gt;0),1,0)</f>
        <v>1</v>
      </c>
      <c r="I1148">
        <f>IF(AND(Table13[[#This Row],[Direction]]="R",(G1147+Table13[[#This Row],[Steps]])&gt;100),1,0)</f>
        <v>0</v>
      </c>
      <c r="J1148">
        <f>IF(Table13[[#This Row],[POS]]=0,1,0)</f>
        <v>0</v>
      </c>
      <c r="K1148">
        <f>SUM(Table13[[#This Row],[prefix]],Table13[[#This Row],[Past zero L]],Table13[[#This Row],[Past Zero R]],Table13[[#This Row],[Is Zero]])</f>
        <v>1</v>
      </c>
    </row>
    <row r="1149" spans="1:11" ht="16" x14ac:dyDescent="0.2">
      <c r="A1149" s="1" t="s">
        <v>7</v>
      </c>
      <c r="B1149" t="str">
        <f>LEFT(Table13[[#This Row],[Input]],1)</f>
        <v>R</v>
      </c>
      <c r="C1149">
        <f>_xlfn.LET(_xlpm.steps,SUBSTITUTE(Table13[[#This Row],[Input]],Table13[[#This Row],[Direction]],""),VALUE(IF(LEN(_xlpm.steps)&gt;2,RIGHT(_xlpm.steps,2),_xlpm.steps)))</f>
        <v>14</v>
      </c>
      <c r="D1149">
        <f>_xlfn.LET(_xlpm.steps,SUBSTITUTE(Table13[[#This Row],[Input]],Table13[[#This Row],[Direction]],""),VALUE(IF(LEN(_xlpm.steps)&gt;2,LEFT(_xlpm.steps,LEN(_xlpm.steps)-2),0)))</f>
        <v>0</v>
      </c>
      <c r="E1149">
        <f>_xlfn.LET(_xlpm.dir,Table13[[#This Row],[Direction]],
IF(_xlpm.dir="L",
    IF(G1148-Table13[[#This Row],[Steps]]&lt;0,100+(G1148-Table13[[#This Row],[Steps]]),G1148-Table13[[#This Row],[Steps]]),
))</f>
        <v>0</v>
      </c>
      <c r="F1149">
        <f>_xlfn.LET(_xlpm.dir,Table13[[#This Row],[Direction]],
IF(_xlpm.dir="R",
    IF(G1148+Table13[[#This Row],[Steps]]&gt;99,(G1148+Table13[[#This Row],[Steps]])-100,G1148+Table13[[#This Row],[Steps]]),
))</f>
        <v>0</v>
      </c>
      <c r="G1149">
        <f>IF(Table13[[#This Row],[New Pos L]]&lt;&gt;0,Table13[[#This Row],[New Pos L]],Table13[[#This Row],[New Pos R]])</f>
        <v>0</v>
      </c>
      <c r="H1149">
        <f>IF(AND(Table13[[#This Row],[Direction]]="L",Table13[[#This Row],[Steps]]&gt;G1148,G1148&lt;&gt;0),1,0)</f>
        <v>0</v>
      </c>
      <c r="I1149">
        <f>IF(AND(Table13[[#This Row],[Direction]]="R",(G1148+Table13[[#This Row],[Steps]])&gt;100),1,0)</f>
        <v>0</v>
      </c>
      <c r="J1149">
        <f>IF(Table13[[#This Row],[POS]]=0,1,0)</f>
        <v>1</v>
      </c>
      <c r="K1149">
        <f>SUM(Table13[[#This Row],[prefix]],Table13[[#This Row],[Past zero L]],Table13[[#This Row],[Past Zero R]],Table13[[#This Row],[Is Zero]])</f>
        <v>1</v>
      </c>
    </row>
    <row r="1150" spans="1:11" ht="16" x14ac:dyDescent="0.2">
      <c r="A1150" s="1" t="s">
        <v>382</v>
      </c>
      <c r="B1150" t="str">
        <f>LEFT(Table13[[#This Row],[Input]],1)</f>
        <v>L</v>
      </c>
      <c r="C1150">
        <f>_xlfn.LET(_xlpm.steps,SUBSTITUTE(Table13[[#This Row],[Input]],Table13[[#This Row],[Direction]],""),VALUE(IF(LEN(_xlpm.steps)&gt;2,RIGHT(_xlpm.steps,2),_xlpm.steps)))</f>
        <v>76</v>
      </c>
      <c r="D1150">
        <f>_xlfn.LET(_xlpm.steps,SUBSTITUTE(Table13[[#This Row],[Input]],Table13[[#This Row],[Direction]],""),VALUE(IF(LEN(_xlpm.steps)&gt;2,LEFT(_xlpm.steps,LEN(_xlpm.steps)-2),0)))</f>
        <v>8</v>
      </c>
      <c r="E1150">
        <f>_xlfn.LET(_xlpm.dir,Table13[[#This Row],[Direction]],
IF(_xlpm.dir="L",
    IF(G1149-Table13[[#This Row],[Steps]]&lt;0,100+(G1149-Table13[[#This Row],[Steps]]),G1149-Table13[[#This Row],[Steps]]),
))</f>
        <v>24</v>
      </c>
      <c r="F1150">
        <f>_xlfn.LET(_xlpm.dir,Table13[[#This Row],[Direction]],
IF(_xlpm.dir="R",
    IF(G1149+Table13[[#This Row],[Steps]]&gt;99,(G1149+Table13[[#This Row],[Steps]])-100,G1149+Table13[[#This Row],[Steps]]),
))</f>
        <v>0</v>
      </c>
      <c r="G1150">
        <f>IF(Table13[[#This Row],[New Pos L]]&lt;&gt;0,Table13[[#This Row],[New Pos L]],Table13[[#This Row],[New Pos R]])</f>
        <v>24</v>
      </c>
      <c r="H1150">
        <f>IF(AND(Table13[[#This Row],[Direction]]="L",Table13[[#This Row],[Steps]]&gt;G1149,G1149&lt;&gt;0),1,0)</f>
        <v>0</v>
      </c>
      <c r="I1150">
        <f>IF(AND(Table13[[#This Row],[Direction]]="R",(G1149+Table13[[#This Row],[Steps]])&gt;100),1,0)</f>
        <v>0</v>
      </c>
      <c r="J1150">
        <f>IF(Table13[[#This Row],[POS]]=0,1,0)</f>
        <v>0</v>
      </c>
      <c r="K1150">
        <f>SUM(Table13[[#This Row],[prefix]],Table13[[#This Row],[Past zero L]],Table13[[#This Row],[Past Zero R]],Table13[[#This Row],[Is Zero]])</f>
        <v>8</v>
      </c>
    </row>
    <row r="1151" spans="1:11" ht="16" x14ac:dyDescent="0.2">
      <c r="A1151" s="1" t="s">
        <v>43</v>
      </c>
      <c r="B1151" t="str">
        <f>LEFT(Table13[[#This Row],[Input]],1)</f>
        <v>R</v>
      </c>
      <c r="C1151">
        <f>_xlfn.LET(_xlpm.steps,SUBSTITUTE(Table13[[#This Row],[Input]],Table13[[#This Row],[Direction]],""),VALUE(IF(LEN(_xlpm.steps)&gt;2,RIGHT(_xlpm.steps,2),_xlpm.steps)))</f>
        <v>90</v>
      </c>
      <c r="D1151">
        <f>_xlfn.LET(_xlpm.steps,SUBSTITUTE(Table13[[#This Row],[Input]],Table13[[#This Row],[Direction]],""),VALUE(IF(LEN(_xlpm.steps)&gt;2,LEFT(_xlpm.steps,LEN(_xlpm.steps)-2),0)))</f>
        <v>0</v>
      </c>
      <c r="E1151">
        <f>_xlfn.LET(_xlpm.dir,Table13[[#This Row],[Direction]],
IF(_xlpm.dir="L",
    IF(G1150-Table13[[#This Row],[Steps]]&lt;0,100+(G1150-Table13[[#This Row],[Steps]]),G1150-Table13[[#This Row],[Steps]]),
))</f>
        <v>0</v>
      </c>
      <c r="F1151">
        <f>_xlfn.LET(_xlpm.dir,Table13[[#This Row],[Direction]],
IF(_xlpm.dir="R",
    IF(G1150+Table13[[#This Row],[Steps]]&gt;99,(G1150+Table13[[#This Row],[Steps]])-100,G1150+Table13[[#This Row],[Steps]]),
))</f>
        <v>14</v>
      </c>
      <c r="G1151">
        <f>IF(Table13[[#This Row],[New Pos L]]&lt;&gt;0,Table13[[#This Row],[New Pos L]],Table13[[#This Row],[New Pos R]])</f>
        <v>14</v>
      </c>
      <c r="H1151">
        <f>IF(AND(Table13[[#This Row],[Direction]]="L",Table13[[#This Row],[Steps]]&gt;G1150,G1150&lt;&gt;0),1,0)</f>
        <v>0</v>
      </c>
      <c r="I1151">
        <f>IF(AND(Table13[[#This Row],[Direction]]="R",(G1150+Table13[[#This Row],[Steps]])&gt;100),1,0)</f>
        <v>1</v>
      </c>
      <c r="J1151">
        <f>IF(Table13[[#This Row],[POS]]=0,1,0)</f>
        <v>0</v>
      </c>
      <c r="K1151">
        <f>SUM(Table13[[#This Row],[prefix]],Table13[[#This Row],[Past zero L]],Table13[[#This Row],[Past Zero R]],Table13[[#This Row],[Is Zero]])</f>
        <v>1</v>
      </c>
    </row>
    <row r="1152" spans="1:11" ht="16" x14ac:dyDescent="0.2">
      <c r="A1152" s="1" t="s">
        <v>174</v>
      </c>
      <c r="B1152" t="str">
        <f>LEFT(Table13[[#This Row],[Input]],1)</f>
        <v>L</v>
      </c>
      <c r="C1152">
        <f>_xlfn.LET(_xlpm.steps,SUBSTITUTE(Table13[[#This Row],[Input]],Table13[[#This Row],[Direction]],""),VALUE(IF(LEN(_xlpm.steps)&gt;2,RIGHT(_xlpm.steps,2),_xlpm.steps)))</f>
        <v>92</v>
      </c>
      <c r="D1152">
        <f>_xlfn.LET(_xlpm.steps,SUBSTITUTE(Table13[[#This Row],[Input]],Table13[[#This Row],[Direction]],""),VALUE(IF(LEN(_xlpm.steps)&gt;2,LEFT(_xlpm.steps,LEN(_xlpm.steps)-2),0)))</f>
        <v>0</v>
      </c>
      <c r="E1152">
        <f>_xlfn.LET(_xlpm.dir,Table13[[#This Row],[Direction]],
IF(_xlpm.dir="L",
    IF(G1151-Table13[[#This Row],[Steps]]&lt;0,100+(G1151-Table13[[#This Row],[Steps]]),G1151-Table13[[#This Row],[Steps]]),
))</f>
        <v>22</v>
      </c>
      <c r="F1152">
        <f>_xlfn.LET(_xlpm.dir,Table13[[#This Row],[Direction]],
IF(_xlpm.dir="R",
    IF(G1151+Table13[[#This Row],[Steps]]&gt;99,(G1151+Table13[[#This Row],[Steps]])-100,G1151+Table13[[#This Row],[Steps]]),
))</f>
        <v>0</v>
      </c>
      <c r="G1152">
        <f>IF(Table13[[#This Row],[New Pos L]]&lt;&gt;0,Table13[[#This Row],[New Pos L]],Table13[[#This Row],[New Pos R]])</f>
        <v>22</v>
      </c>
      <c r="H1152">
        <f>IF(AND(Table13[[#This Row],[Direction]]="L",Table13[[#This Row],[Steps]]&gt;G1151,G1151&lt;&gt;0),1,0)</f>
        <v>1</v>
      </c>
      <c r="I1152">
        <f>IF(AND(Table13[[#This Row],[Direction]]="R",(G1151+Table13[[#This Row],[Steps]])&gt;100),1,0)</f>
        <v>0</v>
      </c>
      <c r="J1152">
        <f>IF(Table13[[#This Row],[POS]]=0,1,0)</f>
        <v>0</v>
      </c>
      <c r="K1152">
        <f>SUM(Table13[[#This Row],[prefix]],Table13[[#This Row],[Past zero L]],Table13[[#This Row],[Past Zero R]],Table13[[#This Row],[Is Zero]])</f>
        <v>1</v>
      </c>
    </row>
    <row r="1153" spans="1:11" ht="16" x14ac:dyDescent="0.2">
      <c r="A1153" s="1" t="s">
        <v>383</v>
      </c>
      <c r="B1153" t="str">
        <f>LEFT(Table13[[#This Row],[Input]],1)</f>
        <v>R</v>
      </c>
      <c r="C1153">
        <f>_xlfn.LET(_xlpm.steps,SUBSTITUTE(Table13[[#This Row],[Input]],Table13[[#This Row],[Direction]],""),VALUE(IF(LEN(_xlpm.steps)&gt;2,RIGHT(_xlpm.steps,2),_xlpm.steps)))</f>
        <v>78</v>
      </c>
      <c r="D1153">
        <f>_xlfn.LET(_xlpm.steps,SUBSTITUTE(Table13[[#This Row],[Input]],Table13[[#This Row],[Direction]],""),VALUE(IF(LEN(_xlpm.steps)&gt;2,LEFT(_xlpm.steps,LEN(_xlpm.steps)-2),0)))</f>
        <v>7</v>
      </c>
      <c r="E1153">
        <f>_xlfn.LET(_xlpm.dir,Table13[[#This Row],[Direction]],
IF(_xlpm.dir="L",
    IF(G1152-Table13[[#This Row],[Steps]]&lt;0,100+(G1152-Table13[[#This Row],[Steps]]),G1152-Table13[[#This Row],[Steps]]),
))</f>
        <v>0</v>
      </c>
      <c r="F1153">
        <f>_xlfn.LET(_xlpm.dir,Table13[[#This Row],[Direction]],
IF(_xlpm.dir="R",
    IF(G1152+Table13[[#This Row],[Steps]]&gt;99,(G1152+Table13[[#This Row],[Steps]])-100,G1152+Table13[[#This Row],[Steps]]),
))</f>
        <v>0</v>
      </c>
      <c r="G1153">
        <f>IF(Table13[[#This Row],[New Pos L]]&lt;&gt;0,Table13[[#This Row],[New Pos L]],Table13[[#This Row],[New Pos R]])</f>
        <v>0</v>
      </c>
      <c r="H1153">
        <f>IF(AND(Table13[[#This Row],[Direction]]="L",Table13[[#This Row],[Steps]]&gt;G1152,G1152&lt;&gt;0),1,0)</f>
        <v>0</v>
      </c>
      <c r="I1153">
        <f>IF(AND(Table13[[#This Row],[Direction]]="R",(G1152+Table13[[#This Row],[Steps]])&gt;100),1,0)</f>
        <v>0</v>
      </c>
      <c r="J1153">
        <f>IF(Table13[[#This Row],[POS]]=0,1,0)</f>
        <v>1</v>
      </c>
      <c r="K1153">
        <f>SUM(Table13[[#This Row],[prefix]],Table13[[#This Row],[Past zero L]],Table13[[#This Row],[Past Zero R]],Table13[[#This Row],[Is Zero]])</f>
        <v>8</v>
      </c>
    </row>
    <row r="1154" spans="1:11" ht="16" x14ac:dyDescent="0.2">
      <c r="A1154" s="1" t="s">
        <v>151</v>
      </c>
      <c r="B1154" t="str">
        <f>LEFT(Table13[[#This Row],[Input]],1)</f>
        <v>L</v>
      </c>
      <c r="C1154">
        <f>_xlfn.LET(_xlpm.steps,SUBSTITUTE(Table13[[#This Row],[Input]],Table13[[#This Row],[Direction]],""),VALUE(IF(LEN(_xlpm.steps)&gt;2,RIGHT(_xlpm.steps,2),_xlpm.steps)))</f>
        <v>74</v>
      </c>
      <c r="D1154">
        <f>_xlfn.LET(_xlpm.steps,SUBSTITUTE(Table13[[#This Row],[Input]],Table13[[#This Row],[Direction]],""),VALUE(IF(LEN(_xlpm.steps)&gt;2,LEFT(_xlpm.steps,LEN(_xlpm.steps)-2),0)))</f>
        <v>0</v>
      </c>
      <c r="E1154">
        <f>_xlfn.LET(_xlpm.dir,Table13[[#This Row],[Direction]],
IF(_xlpm.dir="L",
    IF(G1153-Table13[[#This Row],[Steps]]&lt;0,100+(G1153-Table13[[#This Row],[Steps]]),G1153-Table13[[#This Row],[Steps]]),
))</f>
        <v>26</v>
      </c>
      <c r="F1154">
        <f>_xlfn.LET(_xlpm.dir,Table13[[#This Row],[Direction]],
IF(_xlpm.dir="R",
    IF(G1153+Table13[[#This Row],[Steps]]&gt;99,(G1153+Table13[[#This Row],[Steps]])-100,G1153+Table13[[#This Row],[Steps]]),
))</f>
        <v>0</v>
      </c>
      <c r="G1154">
        <f>IF(Table13[[#This Row],[New Pos L]]&lt;&gt;0,Table13[[#This Row],[New Pos L]],Table13[[#This Row],[New Pos R]])</f>
        <v>26</v>
      </c>
      <c r="H1154">
        <f>IF(AND(Table13[[#This Row],[Direction]]="L",Table13[[#This Row],[Steps]]&gt;G1153,G1153&lt;&gt;0),1,0)</f>
        <v>0</v>
      </c>
      <c r="I1154">
        <f>IF(AND(Table13[[#This Row],[Direction]]="R",(G1153+Table13[[#This Row],[Steps]])&gt;100),1,0)</f>
        <v>0</v>
      </c>
      <c r="J1154">
        <f>IF(Table13[[#This Row],[POS]]=0,1,0)</f>
        <v>0</v>
      </c>
      <c r="K1154">
        <f>SUM(Table13[[#This Row],[prefix]],Table13[[#This Row],[Past zero L]],Table13[[#This Row],[Past Zero R]],Table13[[#This Row],[Is Zero]])</f>
        <v>0</v>
      </c>
    </row>
    <row r="1155" spans="1:11" ht="16" x14ac:dyDescent="0.2">
      <c r="A1155" s="1" t="s">
        <v>148</v>
      </c>
      <c r="B1155" t="str">
        <f>LEFT(Table13[[#This Row],[Input]],1)</f>
        <v>R</v>
      </c>
      <c r="C1155">
        <f>_xlfn.LET(_xlpm.steps,SUBSTITUTE(Table13[[#This Row],[Input]],Table13[[#This Row],[Direction]],""),VALUE(IF(LEN(_xlpm.steps)&gt;2,RIGHT(_xlpm.steps,2),_xlpm.steps)))</f>
        <v>80</v>
      </c>
      <c r="D1155">
        <f>_xlfn.LET(_xlpm.steps,SUBSTITUTE(Table13[[#This Row],[Input]],Table13[[#This Row],[Direction]],""),VALUE(IF(LEN(_xlpm.steps)&gt;2,LEFT(_xlpm.steps,LEN(_xlpm.steps)-2),0)))</f>
        <v>0</v>
      </c>
      <c r="E1155">
        <f>_xlfn.LET(_xlpm.dir,Table13[[#This Row],[Direction]],
IF(_xlpm.dir="L",
    IF(G1154-Table13[[#This Row],[Steps]]&lt;0,100+(G1154-Table13[[#This Row],[Steps]]),G1154-Table13[[#This Row],[Steps]]),
))</f>
        <v>0</v>
      </c>
      <c r="F1155">
        <f>_xlfn.LET(_xlpm.dir,Table13[[#This Row],[Direction]],
IF(_xlpm.dir="R",
    IF(G1154+Table13[[#This Row],[Steps]]&gt;99,(G1154+Table13[[#This Row],[Steps]])-100,G1154+Table13[[#This Row],[Steps]]),
))</f>
        <v>6</v>
      </c>
      <c r="G1155">
        <f>IF(Table13[[#This Row],[New Pos L]]&lt;&gt;0,Table13[[#This Row],[New Pos L]],Table13[[#This Row],[New Pos R]])</f>
        <v>6</v>
      </c>
      <c r="H1155">
        <f>IF(AND(Table13[[#This Row],[Direction]]="L",Table13[[#This Row],[Steps]]&gt;G1154,G1154&lt;&gt;0),1,0)</f>
        <v>0</v>
      </c>
      <c r="I1155">
        <f>IF(AND(Table13[[#This Row],[Direction]]="R",(G1154+Table13[[#This Row],[Steps]])&gt;100),1,0)</f>
        <v>1</v>
      </c>
      <c r="J1155">
        <f>IF(Table13[[#This Row],[POS]]=0,1,0)</f>
        <v>0</v>
      </c>
      <c r="K1155">
        <f>SUM(Table13[[#This Row],[prefix]],Table13[[#This Row],[Past zero L]],Table13[[#This Row],[Past Zero R]],Table13[[#This Row],[Is Zero]])</f>
        <v>1</v>
      </c>
    </row>
    <row r="1156" spans="1:11" ht="16" x14ac:dyDescent="0.2">
      <c r="A1156" s="1" t="s">
        <v>384</v>
      </c>
      <c r="B1156" t="str">
        <f>LEFT(Table13[[#This Row],[Input]],1)</f>
        <v>L</v>
      </c>
      <c r="C1156">
        <f>_xlfn.LET(_xlpm.steps,SUBSTITUTE(Table13[[#This Row],[Input]],Table13[[#This Row],[Direction]],""),VALUE(IF(LEN(_xlpm.steps)&gt;2,RIGHT(_xlpm.steps,2),_xlpm.steps)))</f>
        <v>88</v>
      </c>
      <c r="D1156">
        <f>_xlfn.LET(_xlpm.steps,SUBSTITUTE(Table13[[#This Row],[Input]],Table13[[#This Row],[Direction]],""),VALUE(IF(LEN(_xlpm.steps)&gt;2,LEFT(_xlpm.steps,LEN(_xlpm.steps)-2),0)))</f>
        <v>6</v>
      </c>
      <c r="E1156">
        <f>_xlfn.LET(_xlpm.dir,Table13[[#This Row],[Direction]],
IF(_xlpm.dir="L",
    IF(G1155-Table13[[#This Row],[Steps]]&lt;0,100+(G1155-Table13[[#This Row],[Steps]]),G1155-Table13[[#This Row],[Steps]]),
))</f>
        <v>18</v>
      </c>
      <c r="F1156">
        <f>_xlfn.LET(_xlpm.dir,Table13[[#This Row],[Direction]],
IF(_xlpm.dir="R",
    IF(G1155+Table13[[#This Row],[Steps]]&gt;99,(G1155+Table13[[#This Row],[Steps]])-100,G1155+Table13[[#This Row],[Steps]]),
))</f>
        <v>0</v>
      </c>
      <c r="G1156">
        <f>IF(Table13[[#This Row],[New Pos L]]&lt;&gt;0,Table13[[#This Row],[New Pos L]],Table13[[#This Row],[New Pos R]])</f>
        <v>18</v>
      </c>
      <c r="H1156">
        <f>IF(AND(Table13[[#This Row],[Direction]]="L",Table13[[#This Row],[Steps]]&gt;G1155,G1155&lt;&gt;0),1,0)</f>
        <v>1</v>
      </c>
      <c r="I1156">
        <f>IF(AND(Table13[[#This Row],[Direction]]="R",(G1155+Table13[[#This Row],[Steps]])&gt;100),1,0)</f>
        <v>0</v>
      </c>
      <c r="J1156">
        <f>IF(Table13[[#This Row],[POS]]=0,1,0)</f>
        <v>0</v>
      </c>
      <c r="K1156">
        <f>SUM(Table13[[#This Row],[prefix]],Table13[[#This Row],[Past zero L]],Table13[[#This Row],[Past Zero R]],Table13[[#This Row],[Is Zero]])</f>
        <v>7</v>
      </c>
    </row>
    <row r="1157" spans="1:11" ht="16" x14ac:dyDescent="0.2">
      <c r="A1157" s="1" t="s">
        <v>175</v>
      </c>
      <c r="B1157" t="str">
        <f>LEFT(Table13[[#This Row],[Input]],1)</f>
        <v>L</v>
      </c>
      <c r="C1157">
        <f>_xlfn.LET(_xlpm.steps,SUBSTITUTE(Table13[[#This Row],[Input]],Table13[[#This Row],[Direction]],""),VALUE(IF(LEN(_xlpm.steps)&gt;2,RIGHT(_xlpm.steps,2),_xlpm.steps)))</f>
        <v>1</v>
      </c>
      <c r="D1157">
        <f>_xlfn.LET(_xlpm.steps,SUBSTITUTE(Table13[[#This Row],[Input]],Table13[[#This Row],[Direction]],""),VALUE(IF(LEN(_xlpm.steps)&gt;2,LEFT(_xlpm.steps,LEN(_xlpm.steps)-2),0)))</f>
        <v>0</v>
      </c>
      <c r="E1157">
        <f>_xlfn.LET(_xlpm.dir,Table13[[#This Row],[Direction]],
IF(_xlpm.dir="L",
    IF(G1156-Table13[[#This Row],[Steps]]&lt;0,100+(G1156-Table13[[#This Row],[Steps]]),G1156-Table13[[#This Row],[Steps]]),
))</f>
        <v>17</v>
      </c>
      <c r="F1157">
        <f>_xlfn.LET(_xlpm.dir,Table13[[#This Row],[Direction]],
IF(_xlpm.dir="R",
    IF(G1156+Table13[[#This Row],[Steps]]&gt;99,(G1156+Table13[[#This Row],[Steps]])-100,G1156+Table13[[#This Row],[Steps]]),
))</f>
        <v>0</v>
      </c>
      <c r="G1157">
        <f>IF(Table13[[#This Row],[New Pos L]]&lt;&gt;0,Table13[[#This Row],[New Pos L]],Table13[[#This Row],[New Pos R]])</f>
        <v>17</v>
      </c>
      <c r="H1157">
        <f>IF(AND(Table13[[#This Row],[Direction]]="L",Table13[[#This Row],[Steps]]&gt;G1156,G1156&lt;&gt;0),1,0)</f>
        <v>0</v>
      </c>
      <c r="I1157">
        <f>IF(AND(Table13[[#This Row],[Direction]]="R",(G1156+Table13[[#This Row],[Steps]])&gt;100),1,0)</f>
        <v>0</v>
      </c>
      <c r="J1157">
        <f>IF(Table13[[#This Row],[POS]]=0,1,0)</f>
        <v>0</v>
      </c>
      <c r="K1157">
        <f>SUM(Table13[[#This Row],[prefix]],Table13[[#This Row],[Past zero L]],Table13[[#This Row],[Past Zero R]],Table13[[#This Row],[Is Zero]])</f>
        <v>0</v>
      </c>
    </row>
    <row r="1158" spans="1:11" ht="16" x14ac:dyDescent="0.2">
      <c r="A1158" s="1" t="s">
        <v>385</v>
      </c>
      <c r="B1158" t="str">
        <f>LEFT(Table13[[#This Row],[Input]],1)</f>
        <v>R</v>
      </c>
      <c r="C1158">
        <f>_xlfn.LET(_xlpm.steps,SUBSTITUTE(Table13[[#This Row],[Input]],Table13[[#This Row],[Direction]],""),VALUE(IF(LEN(_xlpm.steps)&gt;2,RIGHT(_xlpm.steps,2),_xlpm.steps)))</f>
        <v>93</v>
      </c>
      <c r="D1158">
        <f>_xlfn.LET(_xlpm.steps,SUBSTITUTE(Table13[[#This Row],[Input]],Table13[[#This Row],[Direction]],""),VALUE(IF(LEN(_xlpm.steps)&gt;2,LEFT(_xlpm.steps,LEN(_xlpm.steps)-2),0)))</f>
        <v>5</v>
      </c>
      <c r="E1158">
        <f>_xlfn.LET(_xlpm.dir,Table13[[#This Row],[Direction]],
IF(_xlpm.dir="L",
    IF(G1157-Table13[[#This Row],[Steps]]&lt;0,100+(G1157-Table13[[#This Row],[Steps]]),G1157-Table13[[#This Row],[Steps]]),
))</f>
        <v>0</v>
      </c>
      <c r="F1158">
        <f>_xlfn.LET(_xlpm.dir,Table13[[#This Row],[Direction]],
IF(_xlpm.dir="R",
    IF(G1157+Table13[[#This Row],[Steps]]&gt;99,(G1157+Table13[[#This Row],[Steps]])-100,G1157+Table13[[#This Row],[Steps]]),
))</f>
        <v>10</v>
      </c>
      <c r="G1158">
        <f>IF(Table13[[#This Row],[New Pos L]]&lt;&gt;0,Table13[[#This Row],[New Pos L]],Table13[[#This Row],[New Pos R]])</f>
        <v>10</v>
      </c>
      <c r="H1158">
        <f>IF(AND(Table13[[#This Row],[Direction]]="L",Table13[[#This Row],[Steps]]&gt;G1157,G1157&lt;&gt;0),1,0)</f>
        <v>0</v>
      </c>
      <c r="I1158">
        <f>IF(AND(Table13[[#This Row],[Direction]]="R",(G1157+Table13[[#This Row],[Steps]])&gt;100),1,0)</f>
        <v>1</v>
      </c>
      <c r="J1158">
        <f>IF(Table13[[#This Row],[POS]]=0,1,0)</f>
        <v>0</v>
      </c>
      <c r="K1158">
        <f>SUM(Table13[[#This Row],[prefix]],Table13[[#This Row],[Past zero L]],Table13[[#This Row],[Past Zero R]],Table13[[#This Row],[Is Zero]])</f>
        <v>6</v>
      </c>
    </row>
    <row r="1159" spans="1:11" ht="16" x14ac:dyDescent="0.2">
      <c r="A1159" s="1" t="s">
        <v>386</v>
      </c>
      <c r="B1159" t="str">
        <f>LEFT(Table13[[#This Row],[Input]],1)</f>
        <v>R</v>
      </c>
      <c r="C1159">
        <f>_xlfn.LET(_xlpm.steps,SUBSTITUTE(Table13[[#This Row],[Input]],Table13[[#This Row],[Direction]],""),VALUE(IF(LEN(_xlpm.steps)&gt;2,RIGHT(_xlpm.steps,2),_xlpm.steps)))</f>
        <v>99</v>
      </c>
      <c r="D1159">
        <f>_xlfn.LET(_xlpm.steps,SUBSTITUTE(Table13[[#This Row],[Input]],Table13[[#This Row],[Direction]],""),VALUE(IF(LEN(_xlpm.steps)&gt;2,LEFT(_xlpm.steps,LEN(_xlpm.steps)-2),0)))</f>
        <v>9</v>
      </c>
      <c r="E1159">
        <f>_xlfn.LET(_xlpm.dir,Table13[[#This Row],[Direction]],
IF(_xlpm.dir="L",
    IF(G1158-Table13[[#This Row],[Steps]]&lt;0,100+(G1158-Table13[[#This Row],[Steps]]),G1158-Table13[[#This Row],[Steps]]),
))</f>
        <v>0</v>
      </c>
      <c r="F1159">
        <f>_xlfn.LET(_xlpm.dir,Table13[[#This Row],[Direction]],
IF(_xlpm.dir="R",
    IF(G1158+Table13[[#This Row],[Steps]]&gt;99,(G1158+Table13[[#This Row],[Steps]])-100,G1158+Table13[[#This Row],[Steps]]),
))</f>
        <v>9</v>
      </c>
      <c r="G1159">
        <f>IF(Table13[[#This Row],[New Pos L]]&lt;&gt;0,Table13[[#This Row],[New Pos L]],Table13[[#This Row],[New Pos R]])</f>
        <v>9</v>
      </c>
      <c r="H1159">
        <f>IF(AND(Table13[[#This Row],[Direction]]="L",Table13[[#This Row],[Steps]]&gt;G1158,G1158&lt;&gt;0),1,0)</f>
        <v>0</v>
      </c>
      <c r="I1159">
        <f>IF(AND(Table13[[#This Row],[Direction]]="R",(G1158+Table13[[#This Row],[Steps]])&gt;100),1,0)</f>
        <v>1</v>
      </c>
      <c r="J1159">
        <f>IF(Table13[[#This Row],[POS]]=0,1,0)</f>
        <v>0</v>
      </c>
      <c r="K1159">
        <f>SUM(Table13[[#This Row],[prefix]],Table13[[#This Row],[Past zero L]],Table13[[#This Row],[Past Zero R]],Table13[[#This Row],[Is Zero]])</f>
        <v>10</v>
      </c>
    </row>
    <row r="1160" spans="1:11" ht="16" x14ac:dyDescent="0.2">
      <c r="A1160" s="1" t="s">
        <v>70</v>
      </c>
      <c r="B1160" t="str">
        <f>LEFT(Table13[[#This Row],[Input]],1)</f>
        <v>R</v>
      </c>
      <c r="C1160">
        <f>_xlfn.LET(_xlpm.steps,SUBSTITUTE(Table13[[#This Row],[Input]],Table13[[#This Row],[Direction]],""),VALUE(IF(LEN(_xlpm.steps)&gt;2,RIGHT(_xlpm.steps,2),_xlpm.steps)))</f>
        <v>73</v>
      </c>
      <c r="D1160">
        <f>_xlfn.LET(_xlpm.steps,SUBSTITUTE(Table13[[#This Row],[Input]],Table13[[#This Row],[Direction]],""),VALUE(IF(LEN(_xlpm.steps)&gt;2,LEFT(_xlpm.steps,LEN(_xlpm.steps)-2),0)))</f>
        <v>0</v>
      </c>
      <c r="E1160">
        <f>_xlfn.LET(_xlpm.dir,Table13[[#This Row],[Direction]],
IF(_xlpm.dir="L",
    IF(G1159-Table13[[#This Row],[Steps]]&lt;0,100+(G1159-Table13[[#This Row],[Steps]]),G1159-Table13[[#This Row],[Steps]]),
))</f>
        <v>0</v>
      </c>
      <c r="F1160">
        <f>_xlfn.LET(_xlpm.dir,Table13[[#This Row],[Direction]],
IF(_xlpm.dir="R",
    IF(G1159+Table13[[#This Row],[Steps]]&gt;99,(G1159+Table13[[#This Row],[Steps]])-100,G1159+Table13[[#This Row],[Steps]]),
))</f>
        <v>82</v>
      </c>
      <c r="G1160">
        <f>IF(Table13[[#This Row],[New Pos L]]&lt;&gt;0,Table13[[#This Row],[New Pos L]],Table13[[#This Row],[New Pos R]])</f>
        <v>82</v>
      </c>
      <c r="H1160">
        <f>IF(AND(Table13[[#This Row],[Direction]]="L",Table13[[#This Row],[Steps]]&gt;G1159,G1159&lt;&gt;0),1,0)</f>
        <v>0</v>
      </c>
      <c r="I1160">
        <f>IF(AND(Table13[[#This Row],[Direction]]="R",(G1159+Table13[[#This Row],[Steps]])&gt;100),1,0)</f>
        <v>0</v>
      </c>
      <c r="J1160">
        <f>IF(Table13[[#This Row],[POS]]=0,1,0)</f>
        <v>0</v>
      </c>
      <c r="K1160">
        <f>SUM(Table13[[#This Row],[prefix]],Table13[[#This Row],[Past zero L]],Table13[[#This Row],[Past Zero R]],Table13[[#This Row],[Is Zero]])</f>
        <v>0</v>
      </c>
    </row>
    <row r="1161" spans="1:11" ht="16" x14ac:dyDescent="0.2">
      <c r="A1161" s="1" t="s">
        <v>387</v>
      </c>
      <c r="B1161" t="str">
        <f>LEFT(Table13[[#This Row],[Input]],1)</f>
        <v>L</v>
      </c>
      <c r="C1161">
        <f>_xlfn.LET(_xlpm.steps,SUBSTITUTE(Table13[[#This Row],[Input]],Table13[[#This Row],[Direction]],""),VALUE(IF(LEN(_xlpm.steps)&gt;2,RIGHT(_xlpm.steps,2),_xlpm.steps)))</f>
        <v>82</v>
      </c>
      <c r="D1161">
        <f>_xlfn.LET(_xlpm.steps,SUBSTITUTE(Table13[[#This Row],[Input]],Table13[[#This Row],[Direction]],""),VALUE(IF(LEN(_xlpm.steps)&gt;2,LEFT(_xlpm.steps,LEN(_xlpm.steps)-2),0)))</f>
        <v>8</v>
      </c>
      <c r="E1161">
        <f>_xlfn.LET(_xlpm.dir,Table13[[#This Row],[Direction]],
IF(_xlpm.dir="L",
    IF(G1160-Table13[[#This Row],[Steps]]&lt;0,100+(G1160-Table13[[#This Row],[Steps]]),G1160-Table13[[#This Row],[Steps]]),
))</f>
        <v>0</v>
      </c>
      <c r="F1161">
        <f>_xlfn.LET(_xlpm.dir,Table13[[#This Row],[Direction]],
IF(_xlpm.dir="R",
    IF(G1160+Table13[[#This Row],[Steps]]&gt;99,(G1160+Table13[[#This Row],[Steps]])-100,G1160+Table13[[#This Row],[Steps]]),
))</f>
        <v>0</v>
      </c>
      <c r="G1161">
        <f>IF(Table13[[#This Row],[New Pos L]]&lt;&gt;0,Table13[[#This Row],[New Pos L]],Table13[[#This Row],[New Pos R]])</f>
        <v>0</v>
      </c>
      <c r="H1161">
        <f>IF(AND(Table13[[#This Row],[Direction]]="L",Table13[[#This Row],[Steps]]&gt;G1160,G1160&lt;&gt;0),1,0)</f>
        <v>0</v>
      </c>
      <c r="I1161">
        <f>IF(AND(Table13[[#This Row],[Direction]]="R",(G1160+Table13[[#This Row],[Steps]])&gt;100),1,0)</f>
        <v>0</v>
      </c>
      <c r="J1161">
        <f>IF(Table13[[#This Row],[POS]]=0,1,0)</f>
        <v>1</v>
      </c>
      <c r="K1161">
        <f>SUM(Table13[[#This Row],[prefix]],Table13[[#This Row],[Past zero L]],Table13[[#This Row],[Past Zero R]],Table13[[#This Row],[Is Zero]])</f>
        <v>9</v>
      </c>
    </row>
    <row r="1162" spans="1:11" ht="16" x14ac:dyDescent="0.2">
      <c r="A1162" s="1" t="s">
        <v>80</v>
      </c>
      <c r="B1162" t="str">
        <f>LEFT(Table13[[#This Row],[Input]],1)</f>
        <v>L</v>
      </c>
      <c r="C1162">
        <f>_xlfn.LET(_xlpm.steps,SUBSTITUTE(Table13[[#This Row],[Input]],Table13[[#This Row],[Direction]],""),VALUE(IF(LEN(_xlpm.steps)&gt;2,RIGHT(_xlpm.steps,2),_xlpm.steps)))</f>
        <v>48</v>
      </c>
      <c r="D1162">
        <f>_xlfn.LET(_xlpm.steps,SUBSTITUTE(Table13[[#This Row],[Input]],Table13[[#This Row],[Direction]],""),VALUE(IF(LEN(_xlpm.steps)&gt;2,LEFT(_xlpm.steps,LEN(_xlpm.steps)-2),0)))</f>
        <v>0</v>
      </c>
      <c r="E1162">
        <f>_xlfn.LET(_xlpm.dir,Table13[[#This Row],[Direction]],
IF(_xlpm.dir="L",
    IF(G1161-Table13[[#This Row],[Steps]]&lt;0,100+(G1161-Table13[[#This Row],[Steps]]),G1161-Table13[[#This Row],[Steps]]),
))</f>
        <v>52</v>
      </c>
      <c r="F1162">
        <f>_xlfn.LET(_xlpm.dir,Table13[[#This Row],[Direction]],
IF(_xlpm.dir="R",
    IF(G1161+Table13[[#This Row],[Steps]]&gt;99,(G1161+Table13[[#This Row],[Steps]])-100,G1161+Table13[[#This Row],[Steps]]),
))</f>
        <v>0</v>
      </c>
      <c r="G1162">
        <f>IF(Table13[[#This Row],[New Pos L]]&lt;&gt;0,Table13[[#This Row],[New Pos L]],Table13[[#This Row],[New Pos R]])</f>
        <v>52</v>
      </c>
      <c r="H1162">
        <f>IF(AND(Table13[[#This Row],[Direction]]="L",Table13[[#This Row],[Steps]]&gt;G1161,G1161&lt;&gt;0),1,0)</f>
        <v>0</v>
      </c>
      <c r="I1162">
        <f>IF(AND(Table13[[#This Row],[Direction]]="R",(G1161+Table13[[#This Row],[Steps]])&gt;100),1,0)</f>
        <v>0</v>
      </c>
      <c r="J1162">
        <f>IF(Table13[[#This Row],[POS]]=0,1,0)</f>
        <v>0</v>
      </c>
      <c r="K1162">
        <f>SUM(Table13[[#This Row],[prefix]],Table13[[#This Row],[Past zero L]],Table13[[#This Row],[Past Zero R]],Table13[[#This Row],[Is Zero]])</f>
        <v>0</v>
      </c>
    </row>
    <row r="1163" spans="1:11" ht="16" x14ac:dyDescent="0.2">
      <c r="A1163" s="1" t="s">
        <v>71</v>
      </c>
      <c r="B1163" t="str">
        <f>LEFT(Table13[[#This Row],[Input]],1)</f>
        <v>R</v>
      </c>
      <c r="C1163">
        <f>_xlfn.LET(_xlpm.steps,SUBSTITUTE(Table13[[#This Row],[Input]],Table13[[#This Row],[Direction]],""),VALUE(IF(LEN(_xlpm.steps)&gt;2,RIGHT(_xlpm.steps,2),_xlpm.steps)))</f>
        <v>23</v>
      </c>
      <c r="D1163">
        <f>_xlfn.LET(_xlpm.steps,SUBSTITUTE(Table13[[#This Row],[Input]],Table13[[#This Row],[Direction]],""),VALUE(IF(LEN(_xlpm.steps)&gt;2,LEFT(_xlpm.steps,LEN(_xlpm.steps)-2),0)))</f>
        <v>0</v>
      </c>
      <c r="E1163">
        <f>_xlfn.LET(_xlpm.dir,Table13[[#This Row],[Direction]],
IF(_xlpm.dir="L",
    IF(G1162-Table13[[#This Row],[Steps]]&lt;0,100+(G1162-Table13[[#This Row],[Steps]]),G1162-Table13[[#This Row],[Steps]]),
))</f>
        <v>0</v>
      </c>
      <c r="F1163">
        <f>_xlfn.LET(_xlpm.dir,Table13[[#This Row],[Direction]],
IF(_xlpm.dir="R",
    IF(G1162+Table13[[#This Row],[Steps]]&gt;99,(G1162+Table13[[#This Row],[Steps]])-100,G1162+Table13[[#This Row],[Steps]]),
))</f>
        <v>75</v>
      </c>
      <c r="G1163">
        <f>IF(Table13[[#This Row],[New Pos L]]&lt;&gt;0,Table13[[#This Row],[New Pos L]],Table13[[#This Row],[New Pos R]])</f>
        <v>75</v>
      </c>
      <c r="H1163">
        <f>IF(AND(Table13[[#This Row],[Direction]]="L",Table13[[#This Row],[Steps]]&gt;G1162,G1162&lt;&gt;0),1,0)</f>
        <v>0</v>
      </c>
      <c r="I1163">
        <f>IF(AND(Table13[[#This Row],[Direction]]="R",(G1162+Table13[[#This Row],[Steps]])&gt;100),1,0)</f>
        <v>0</v>
      </c>
      <c r="J1163">
        <f>IF(Table13[[#This Row],[POS]]=0,1,0)</f>
        <v>0</v>
      </c>
      <c r="K1163">
        <f>SUM(Table13[[#This Row],[prefix]],Table13[[#This Row],[Past zero L]],Table13[[#This Row],[Past Zero R]],Table13[[#This Row],[Is Zero]])</f>
        <v>0</v>
      </c>
    </row>
    <row r="1164" spans="1:11" ht="16" x14ac:dyDescent="0.2">
      <c r="A1164" s="1" t="s">
        <v>82</v>
      </c>
      <c r="B1164" t="str">
        <f>LEFT(Table13[[#This Row],[Input]],1)</f>
        <v>L</v>
      </c>
      <c r="C1164">
        <f>_xlfn.LET(_xlpm.steps,SUBSTITUTE(Table13[[#This Row],[Input]],Table13[[#This Row],[Direction]],""),VALUE(IF(LEN(_xlpm.steps)&gt;2,RIGHT(_xlpm.steps,2),_xlpm.steps)))</f>
        <v>55</v>
      </c>
      <c r="D1164">
        <f>_xlfn.LET(_xlpm.steps,SUBSTITUTE(Table13[[#This Row],[Input]],Table13[[#This Row],[Direction]],""),VALUE(IF(LEN(_xlpm.steps)&gt;2,LEFT(_xlpm.steps,LEN(_xlpm.steps)-2),0)))</f>
        <v>0</v>
      </c>
      <c r="E1164">
        <f>_xlfn.LET(_xlpm.dir,Table13[[#This Row],[Direction]],
IF(_xlpm.dir="L",
    IF(G1163-Table13[[#This Row],[Steps]]&lt;0,100+(G1163-Table13[[#This Row],[Steps]]),G1163-Table13[[#This Row],[Steps]]),
))</f>
        <v>20</v>
      </c>
      <c r="F1164">
        <f>_xlfn.LET(_xlpm.dir,Table13[[#This Row],[Direction]],
IF(_xlpm.dir="R",
    IF(G1163+Table13[[#This Row],[Steps]]&gt;99,(G1163+Table13[[#This Row],[Steps]])-100,G1163+Table13[[#This Row],[Steps]]),
))</f>
        <v>0</v>
      </c>
      <c r="G1164">
        <f>IF(Table13[[#This Row],[New Pos L]]&lt;&gt;0,Table13[[#This Row],[New Pos L]],Table13[[#This Row],[New Pos R]])</f>
        <v>20</v>
      </c>
      <c r="H1164">
        <f>IF(AND(Table13[[#This Row],[Direction]]="L",Table13[[#This Row],[Steps]]&gt;G1163,G1163&lt;&gt;0),1,0)</f>
        <v>0</v>
      </c>
      <c r="I1164">
        <f>IF(AND(Table13[[#This Row],[Direction]]="R",(G1163+Table13[[#This Row],[Steps]])&gt;100),1,0)</f>
        <v>0</v>
      </c>
      <c r="J1164">
        <f>IF(Table13[[#This Row],[POS]]=0,1,0)</f>
        <v>0</v>
      </c>
      <c r="K1164">
        <f>SUM(Table13[[#This Row],[prefix]],Table13[[#This Row],[Past zero L]],Table13[[#This Row],[Past Zero R]],Table13[[#This Row],[Is Zero]])</f>
        <v>0</v>
      </c>
    </row>
    <row r="1165" spans="1:11" ht="16" x14ac:dyDescent="0.2">
      <c r="A1165" s="1" t="s">
        <v>17</v>
      </c>
      <c r="B1165" t="str">
        <f>LEFT(Table13[[#This Row],[Input]],1)</f>
        <v>L</v>
      </c>
      <c r="C1165">
        <f>_xlfn.LET(_xlpm.steps,SUBSTITUTE(Table13[[#This Row],[Input]],Table13[[#This Row],[Direction]],""),VALUE(IF(LEN(_xlpm.steps)&gt;2,RIGHT(_xlpm.steps,2),_xlpm.steps)))</f>
        <v>50</v>
      </c>
      <c r="D1165">
        <f>_xlfn.LET(_xlpm.steps,SUBSTITUTE(Table13[[#This Row],[Input]],Table13[[#This Row],[Direction]],""),VALUE(IF(LEN(_xlpm.steps)&gt;2,LEFT(_xlpm.steps,LEN(_xlpm.steps)-2),0)))</f>
        <v>0</v>
      </c>
      <c r="E1165">
        <f>_xlfn.LET(_xlpm.dir,Table13[[#This Row],[Direction]],
IF(_xlpm.dir="L",
    IF(G1164-Table13[[#This Row],[Steps]]&lt;0,100+(G1164-Table13[[#This Row],[Steps]]),G1164-Table13[[#This Row],[Steps]]),
))</f>
        <v>70</v>
      </c>
      <c r="F1165">
        <f>_xlfn.LET(_xlpm.dir,Table13[[#This Row],[Direction]],
IF(_xlpm.dir="R",
    IF(G1164+Table13[[#This Row],[Steps]]&gt;99,(G1164+Table13[[#This Row],[Steps]])-100,G1164+Table13[[#This Row],[Steps]]),
))</f>
        <v>0</v>
      </c>
      <c r="G1165">
        <f>IF(Table13[[#This Row],[New Pos L]]&lt;&gt;0,Table13[[#This Row],[New Pos L]],Table13[[#This Row],[New Pos R]])</f>
        <v>70</v>
      </c>
      <c r="H1165">
        <f>IF(AND(Table13[[#This Row],[Direction]]="L",Table13[[#This Row],[Steps]]&gt;G1164,G1164&lt;&gt;0),1,0)</f>
        <v>1</v>
      </c>
      <c r="I1165">
        <f>IF(AND(Table13[[#This Row],[Direction]]="R",(G1164+Table13[[#This Row],[Steps]])&gt;100),1,0)</f>
        <v>0</v>
      </c>
      <c r="J1165">
        <f>IF(Table13[[#This Row],[POS]]=0,1,0)</f>
        <v>0</v>
      </c>
      <c r="K1165">
        <f>SUM(Table13[[#This Row],[prefix]],Table13[[#This Row],[Past zero L]],Table13[[#This Row],[Past Zero R]],Table13[[#This Row],[Is Zero]])</f>
        <v>1</v>
      </c>
    </row>
    <row r="1166" spans="1:11" ht="16" x14ac:dyDescent="0.2">
      <c r="A1166" s="1" t="s">
        <v>388</v>
      </c>
      <c r="B1166" t="str">
        <f>LEFT(Table13[[#This Row],[Input]],1)</f>
        <v>L</v>
      </c>
      <c r="C1166">
        <f>_xlfn.LET(_xlpm.steps,SUBSTITUTE(Table13[[#This Row],[Input]],Table13[[#This Row],[Direction]],""),VALUE(IF(LEN(_xlpm.steps)&gt;2,RIGHT(_xlpm.steps,2),_xlpm.steps)))</f>
        <v>83</v>
      </c>
      <c r="D1166">
        <f>_xlfn.LET(_xlpm.steps,SUBSTITUTE(Table13[[#This Row],[Input]],Table13[[#This Row],[Direction]],""),VALUE(IF(LEN(_xlpm.steps)&gt;2,LEFT(_xlpm.steps,LEN(_xlpm.steps)-2),0)))</f>
        <v>6</v>
      </c>
      <c r="E1166">
        <f>_xlfn.LET(_xlpm.dir,Table13[[#This Row],[Direction]],
IF(_xlpm.dir="L",
    IF(G1165-Table13[[#This Row],[Steps]]&lt;0,100+(G1165-Table13[[#This Row],[Steps]]),G1165-Table13[[#This Row],[Steps]]),
))</f>
        <v>87</v>
      </c>
      <c r="F1166">
        <f>_xlfn.LET(_xlpm.dir,Table13[[#This Row],[Direction]],
IF(_xlpm.dir="R",
    IF(G1165+Table13[[#This Row],[Steps]]&gt;99,(G1165+Table13[[#This Row],[Steps]])-100,G1165+Table13[[#This Row],[Steps]]),
))</f>
        <v>0</v>
      </c>
      <c r="G1166">
        <f>IF(Table13[[#This Row],[New Pos L]]&lt;&gt;0,Table13[[#This Row],[New Pos L]],Table13[[#This Row],[New Pos R]])</f>
        <v>87</v>
      </c>
      <c r="H1166">
        <f>IF(AND(Table13[[#This Row],[Direction]]="L",Table13[[#This Row],[Steps]]&gt;G1165,G1165&lt;&gt;0),1,0)</f>
        <v>1</v>
      </c>
      <c r="I1166">
        <f>IF(AND(Table13[[#This Row],[Direction]]="R",(G1165+Table13[[#This Row],[Steps]])&gt;100),1,0)</f>
        <v>0</v>
      </c>
      <c r="J1166">
        <f>IF(Table13[[#This Row],[POS]]=0,1,0)</f>
        <v>0</v>
      </c>
      <c r="K1166">
        <f>SUM(Table13[[#This Row],[prefix]],Table13[[#This Row],[Past zero L]],Table13[[#This Row],[Past Zero R]],Table13[[#This Row],[Is Zero]])</f>
        <v>7</v>
      </c>
    </row>
    <row r="1167" spans="1:11" ht="16" x14ac:dyDescent="0.2">
      <c r="A1167" s="1" t="s">
        <v>210</v>
      </c>
      <c r="B1167" t="str">
        <f>LEFT(Table13[[#This Row],[Input]],1)</f>
        <v>R</v>
      </c>
      <c r="C1167">
        <f>_xlfn.LET(_xlpm.steps,SUBSTITUTE(Table13[[#This Row],[Input]],Table13[[#This Row],[Direction]],""),VALUE(IF(LEN(_xlpm.steps)&gt;2,RIGHT(_xlpm.steps,2),_xlpm.steps)))</f>
        <v>89</v>
      </c>
      <c r="D1167">
        <f>_xlfn.LET(_xlpm.steps,SUBSTITUTE(Table13[[#This Row],[Input]],Table13[[#This Row],[Direction]],""),VALUE(IF(LEN(_xlpm.steps)&gt;2,LEFT(_xlpm.steps,LEN(_xlpm.steps)-2),0)))</f>
        <v>0</v>
      </c>
      <c r="E1167">
        <f>_xlfn.LET(_xlpm.dir,Table13[[#This Row],[Direction]],
IF(_xlpm.dir="L",
    IF(G1166-Table13[[#This Row],[Steps]]&lt;0,100+(G1166-Table13[[#This Row],[Steps]]),G1166-Table13[[#This Row],[Steps]]),
))</f>
        <v>0</v>
      </c>
      <c r="F1167">
        <f>_xlfn.LET(_xlpm.dir,Table13[[#This Row],[Direction]],
IF(_xlpm.dir="R",
    IF(G1166+Table13[[#This Row],[Steps]]&gt;99,(G1166+Table13[[#This Row],[Steps]])-100,G1166+Table13[[#This Row],[Steps]]),
))</f>
        <v>76</v>
      </c>
      <c r="G1167">
        <f>IF(Table13[[#This Row],[New Pos L]]&lt;&gt;0,Table13[[#This Row],[New Pos L]],Table13[[#This Row],[New Pos R]])</f>
        <v>76</v>
      </c>
      <c r="H1167">
        <f>IF(AND(Table13[[#This Row],[Direction]]="L",Table13[[#This Row],[Steps]]&gt;G1166,G1166&lt;&gt;0),1,0)</f>
        <v>0</v>
      </c>
      <c r="I1167">
        <f>IF(AND(Table13[[#This Row],[Direction]]="R",(G1166+Table13[[#This Row],[Steps]])&gt;100),1,0)</f>
        <v>1</v>
      </c>
      <c r="J1167">
        <f>IF(Table13[[#This Row],[POS]]=0,1,0)</f>
        <v>0</v>
      </c>
      <c r="K1167">
        <f>SUM(Table13[[#This Row],[prefix]],Table13[[#This Row],[Past zero L]],Table13[[#This Row],[Past Zero R]],Table13[[#This Row],[Is Zero]])</f>
        <v>1</v>
      </c>
    </row>
    <row r="1168" spans="1:11" ht="16" x14ac:dyDescent="0.2">
      <c r="A1168" s="1" t="s">
        <v>330</v>
      </c>
      <c r="B1168" t="str">
        <f>LEFT(Table13[[#This Row],[Input]],1)</f>
        <v>L</v>
      </c>
      <c r="C1168">
        <f>_xlfn.LET(_xlpm.steps,SUBSTITUTE(Table13[[#This Row],[Input]],Table13[[#This Row],[Direction]],""),VALUE(IF(LEN(_xlpm.steps)&gt;2,RIGHT(_xlpm.steps,2),_xlpm.steps)))</f>
        <v>47</v>
      </c>
      <c r="D1168">
        <f>_xlfn.LET(_xlpm.steps,SUBSTITUTE(Table13[[#This Row],[Input]],Table13[[#This Row],[Direction]],""),VALUE(IF(LEN(_xlpm.steps)&gt;2,LEFT(_xlpm.steps,LEN(_xlpm.steps)-2),0)))</f>
        <v>0</v>
      </c>
      <c r="E1168">
        <f>_xlfn.LET(_xlpm.dir,Table13[[#This Row],[Direction]],
IF(_xlpm.dir="L",
    IF(G1167-Table13[[#This Row],[Steps]]&lt;0,100+(G1167-Table13[[#This Row],[Steps]]),G1167-Table13[[#This Row],[Steps]]),
))</f>
        <v>29</v>
      </c>
      <c r="F1168">
        <f>_xlfn.LET(_xlpm.dir,Table13[[#This Row],[Direction]],
IF(_xlpm.dir="R",
    IF(G1167+Table13[[#This Row],[Steps]]&gt;99,(G1167+Table13[[#This Row],[Steps]])-100,G1167+Table13[[#This Row],[Steps]]),
))</f>
        <v>0</v>
      </c>
      <c r="G1168">
        <f>IF(Table13[[#This Row],[New Pos L]]&lt;&gt;0,Table13[[#This Row],[New Pos L]],Table13[[#This Row],[New Pos R]])</f>
        <v>29</v>
      </c>
      <c r="H1168">
        <f>IF(AND(Table13[[#This Row],[Direction]]="L",Table13[[#This Row],[Steps]]&gt;G1167,G1167&lt;&gt;0),1,0)</f>
        <v>0</v>
      </c>
      <c r="I1168">
        <f>IF(AND(Table13[[#This Row],[Direction]]="R",(G1167+Table13[[#This Row],[Steps]])&gt;100),1,0)</f>
        <v>0</v>
      </c>
      <c r="J1168">
        <f>IF(Table13[[#This Row],[POS]]=0,1,0)</f>
        <v>0</v>
      </c>
      <c r="K1168">
        <f>SUM(Table13[[#This Row],[prefix]],Table13[[#This Row],[Past zero L]],Table13[[#This Row],[Past Zero R]],Table13[[#This Row],[Is Zero]])</f>
        <v>0</v>
      </c>
    </row>
    <row r="1169" spans="1:11" ht="16" x14ac:dyDescent="0.2">
      <c r="A1169" s="1" t="s">
        <v>146</v>
      </c>
      <c r="B1169" t="str">
        <f>LEFT(Table13[[#This Row],[Input]],1)</f>
        <v>R</v>
      </c>
      <c r="C1169">
        <f>_xlfn.LET(_xlpm.steps,SUBSTITUTE(Table13[[#This Row],[Input]],Table13[[#This Row],[Direction]],""),VALUE(IF(LEN(_xlpm.steps)&gt;2,RIGHT(_xlpm.steps,2),_xlpm.steps)))</f>
        <v>4</v>
      </c>
      <c r="D1169">
        <f>_xlfn.LET(_xlpm.steps,SUBSTITUTE(Table13[[#This Row],[Input]],Table13[[#This Row],[Direction]],""),VALUE(IF(LEN(_xlpm.steps)&gt;2,LEFT(_xlpm.steps,LEN(_xlpm.steps)-2),0)))</f>
        <v>0</v>
      </c>
      <c r="E1169">
        <f>_xlfn.LET(_xlpm.dir,Table13[[#This Row],[Direction]],
IF(_xlpm.dir="L",
    IF(G1168-Table13[[#This Row],[Steps]]&lt;0,100+(G1168-Table13[[#This Row],[Steps]]),G1168-Table13[[#This Row],[Steps]]),
))</f>
        <v>0</v>
      </c>
      <c r="F1169">
        <f>_xlfn.LET(_xlpm.dir,Table13[[#This Row],[Direction]],
IF(_xlpm.dir="R",
    IF(G1168+Table13[[#This Row],[Steps]]&gt;99,(G1168+Table13[[#This Row],[Steps]])-100,G1168+Table13[[#This Row],[Steps]]),
))</f>
        <v>33</v>
      </c>
      <c r="G1169">
        <f>IF(Table13[[#This Row],[New Pos L]]&lt;&gt;0,Table13[[#This Row],[New Pos L]],Table13[[#This Row],[New Pos R]])</f>
        <v>33</v>
      </c>
      <c r="H1169">
        <f>IF(AND(Table13[[#This Row],[Direction]]="L",Table13[[#This Row],[Steps]]&gt;G1168,G1168&lt;&gt;0),1,0)</f>
        <v>0</v>
      </c>
      <c r="I1169">
        <f>IF(AND(Table13[[#This Row],[Direction]]="R",(G1168+Table13[[#This Row],[Steps]])&gt;100),1,0)</f>
        <v>0</v>
      </c>
      <c r="J1169">
        <f>IF(Table13[[#This Row],[POS]]=0,1,0)</f>
        <v>0</v>
      </c>
      <c r="K1169">
        <f>SUM(Table13[[#This Row],[prefix]],Table13[[#This Row],[Past zero L]],Table13[[#This Row],[Past Zero R]],Table13[[#This Row],[Is Zero]])</f>
        <v>0</v>
      </c>
    </row>
    <row r="1170" spans="1:11" ht="16" x14ac:dyDescent="0.2">
      <c r="A1170" s="1" t="s">
        <v>48</v>
      </c>
      <c r="B1170" t="str">
        <f>LEFT(Table13[[#This Row],[Input]],1)</f>
        <v>R</v>
      </c>
      <c r="C1170">
        <f>_xlfn.LET(_xlpm.steps,SUBSTITUTE(Table13[[#This Row],[Input]],Table13[[#This Row],[Direction]],""),VALUE(IF(LEN(_xlpm.steps)&gt;2,RIGHT(_xlpm.steps,2),_xlpm.steps)))</f>
        <v>81</v>
      </c>
      <c r="D1170">
        <f>_xlfn.LET(_xlpm.steps,SUBSTITUTE(Table13[[#This Row],[Input]],Table13[[#This Row],[Direction]],""),VALUE(IF(LEN(_xlpm.steps)&gt;2,LEFT(_xlpm.steps,LEN(_xlpm.steps)-2),0)))</f>
        <v>0</v>
      </c>
      <c r="E1170">
        <f>_xlfn.LET(_xlpm.dir,Table13[[#This Row],[Direction]],
IF(_xlpm.dir="L",
    IF(G1169-Table13[[#This Row],[Steps]]&lt;0,100+(G1169-Table13[[#This Row],[Steps]]),G1169-Table13[[#This Row],[Steps]]),
))</f>
        <v>0</v>
      </c>
      <c r="F1170">
        <f>_xlfn.LET(_xlpm.dir,Table13[[#This Row],[Direction]],
IF(_xlpm.dir="R",
    IF(G1169+Table13[[#This Row],[Steps]]&gt;99,(G1169+Table13[[#This Row],[Steps]])-100,G1169+Table13[[#This Row],[Steps]]),
))</f>
        <v>14</v>
      </c>
      <c r="G1170">
        <f>IF(Table13[[#This Row],[New Pos L]]&lt;&gt;0,Table13[[#This Row],[New Pos L]],Table13[[#This Row],[New Pos R]])</f>
        <v>14</v>
      </c>
      <c r="H1170">
        <f>IF(AND(Table13[[#This Row],[Direction]]="L",Table13[[#This Row],[Steps]]&gt;G1169,G1169&lt;&gt;0),1,0)</f>
        <v>0</v>
      </c>
      <c r="I1170">
        <f>IF(AND(Table13[[#This Row],[Direction]]="R",(G1169+Table13[[#This Row],[Steps]])&gt;100),1,0)</f>
        <v>1</v>
      </c>
      <c r="J1170">
        <f>IF(Table13[[#This Row],[POS]]=0,1,0)</f>
        <v>0</v>
      </c>
      <c r="K1170">
        <f>SUM(Table13[[#This Row],[prefix]],Table13[[#This Row],[Past zero L]],Table13[[#This Row],[Past Zero R]],Table13[[#This Row],[Is Zero]])</f>
        <v>1</v>
      </c>
    </row>
    <row r="1171" spans="1:11" ht="16" x14ac:dyDescent="0.2">
      <c r="A1171" s="1" t="s">
        <v>389</v>
      </c>
      <c r="B1171" t="str">
        <f>LEFT(Table13[[#This Row],[Input]],1)</f>
        <v>L</v>
      </c>
      <c r="C1171">
        <f>_xlfn.LET(_xlpm.steps,SUBSTITUTE(Table13[[#This Row],[Input]],Table13[[#This Row],[Direction]],""),VALUE(IF(LEN(_xlpm.steps)&gt;2,RIGHT(_xlpm.steps,2),_xlpm.steps)))</f>
        <v>14</v>
      </c>
      <c r="D1171">
        <f>_xlfn.LET(_xlpm.steps,SUBSTITUTE(Table13[[#This Row],[Input]],Table13[[#This Row],[Direction]],""),VALUE(IF(LEN(_xlpm.steps)&gt;2,LEFT(_xlpm.steps,LEN(_xlpm.steps)-2),0)))</f>
        <v>6</v>
      </c>
      <c r="E1171">
        <f>_xlfn.LET(_xlpm.dir,Table13[[#This Row],[Direction]],
IF(_xlpm.dir="L",
    IF(G1170-Table13[[#This Row],[Steps]]&lt;0,100+(G1170-Table13[[#This Row],[Steps]]),G1170-Table13[[#This Row],[Steps]]),
))</f>
        <v>0</v>
      </c>
      <c r="F1171">
        <f>_xlfn.LET(_xlpm.dir,Table13[[#This Row],[Direction]],
IF(_xlpm.dir="R",
    IF(G1170+Table13[[#This Row],[Steps]]&gt;99,(G1170+Table13[[#This Row],[Steps]])-100,G1170+Table13[[#This Row],[Steps]]),
))</f>
        <v>0</v>
      </c>
      <c r="G1171">
        <f>IF(Table13[[#This Row],[New Pos L]]&lt;&gt;0,Table13[[#This Row],[New Pos L]],Table13[[#This Row],[New Pos R]])</f>
        <v>0</v>
      </c>
      <c r="H1171">
        <f>IF(AND(Table13[[#This Row],[Direction]]="L",Table13[[#This Row],[Steps]]&gt;G1170,G1170&lt;&gt;0),1,0)</f>
        <v>0</v>
      </c>
      <c r="I1171">
        <f>IF(AND(Table13[[#This Row],[Direction]]="R",(G1170+Table13[[#This Row],[Steps]])&gt;100),1,0)</f>
        <v>0</v>
      </c>
      <c r="J1171">
        <f>IF(Table13[[#This Row],[POS]]=0,1,0)</f>
        <v>1</v>
      </c>
      <c r="K1171">
        <f>SUM(Table13[[#This Row],[prefix]],Table13[[#This Row],[Past zero L]],Table13[[#This Row],[Past Zero R]],Table13[[#This Row],[Is Zero]])</f>
        <v>7</v>
      </c>
    </row>
    <row r="1172" spans="1:11" ht="16" x14ac:dyDescent="0.2">
      <c r="A1172" s="1" t="s">
        <v>158</v>
      </c>
      <c r="B1172" t="str">
        <f>LEFT(Table13[[#This Row],[Input]],1)</f>
        <v>L</v>
      </c>
      <c r="C1172">
        <f>_xlfn.LET(_xlpm.steps,SUBSTITUTE(Table13[[#This Row],[Input]],Table13[[#This Row],[Direction]],""),VALUE(IF(LEN(_xlpm.steps)&gt;2,RIGHT(_xlpm.steps,2),_xlpm.steps)))</f>
        <v>24</v>
      </c>
      <c r="D1172">
        <f>_xlfn.LET(_xlpm.steps,SUBSTITUTE(Table13[[#This Row],[Input]],Table13[[#This Row],[Direction]],""),VALUE(IF(LEN(_xlpm.steps)&gt;2,LEFT(_xlpm.steps,LEN(_xlpm.steps)-2),0)))</f>
        <v>0</v>
      </c>
      <c r="E1172">
        <f>_xlfn.LET(_xlpm.dir,Table13[[#This Row],[Direction]],
IF(_xlpm.dir="L",
    IF(G1171-Table13[[#This Row],[Steps]]&lt;0,100+(G1171-Table13[[#This Row],[Steps]]),G1171-Table13[[#This Row],[Steps]]),
))</f>
        <v>76</v>
      </c>
      <c r="F1172">
        <f>_xlfn.LET(_xlpm.dir,Table13[[#This Row],[Direction]],
IF(_xlpm.dir="R",
    IF(G1171+Table13[[#This Row],[Steps]]&gt;99,(G1171+Table13[[#This Row],[Steps]])-100,G1171+Table13[[#This Row],[Steps]]),
))</f>
        <v>0</v>
      </c>
      <c r="G1172">
        <f>IF(Table13[[#This Row],[New Pos L]]&lt;&gt;0,Table13[[#This Row],[New Pos L]],Table13[[#This Row],[New Pos R]])</f>
        <v>76</v>
      </c>
      <c r="H1172">
        <f>IF(AND(Table13[[#This Row],[Direction]]="L",Table13[[#This Row],[Steps]]&gt;G1171,G1171&lt;&gt;0),1,0)</f>
        <v>0</v>
      </c>
      <c r="I1172">
        <f>IF(AND(Table13[[#This Row],[Direction]]="R",(G1171+Table13[[#This Row],[Steps]])&gt;100),1,0)</f>
        <v>0</v>
      </c>
      <c r="J1172">
        <f>IF(Table13[[#This Row],[POS]]=0,1,0)</f>
        <v>0</v>
      </c>
      <c r="K1172">
        <f>SUM(Table13[[#This Row],[prefix]],Table13[[#This Row],[Past zero L]],Table13[[#This Row],[Past Zero R]],Table13[[#This Row],[Is Zero]])</f>
        <v>0</v>
      </c>
    </row>
    <row r="1173" spans="1:11" ht="16" x14ac:dyDescent="0.2">
      <c r="A1173" s="1" t="s">
        <v>14</v>
      </c>
      <c r="B1173" t="str">
        <f>LEFT(Table13[[#This Row],[Input]],1)</f>
        <v>L</v>
      </c>
      <c r="C1173">
        <f>_xlfn.LET(_xlpm.steps,SUBSTITUTE(Table13[[#This Row],[Input]],Table13[[#This Row],[Direction]],""),VALUE(IF(LEN(_xlpm.steps)&gt;2,RIGHT(_xlpm.steps,2),_xlpm.steps)))</f>
        <v>43</v>
      </c>
      <c r="D1173">
        <f>_xlfn.LET(_xlpm.steps,SUBSTITUTE(Table13[[#This Row],[Input]],Table13[[#This Row],[Direction]],""),VALUE(IF(LEN(_xlpm.steps)&gt;2,LEFT(_xlpm.steps,LEN(_xlpm.steps)-2),0)))</f>
        <v>0</v>
      </c>
      <c r="E1173">
        <f>_xlfn.LET(_xlpm.dir,Table13[[#This Row],[Direction]],
IF(_xlpm.dir="L",
    IF(G1172-Table13[[#This Row],[Steps]]&lt;0,100+(G1172-Table13[[#This Row],[Steps]]),G1172-Table13[[#This Row],[Steps]]),
))</f>
        <v>33</v>
      </c>
      <c r="F1173">
        <f>_xlfn.LET(_xlpm.dir,Table13[[#This Row],[Direction]],
IF(_xlpm.dir="R",
    IF(G1172+Table13[[#This Row],[Steps]]&gt;99,(G1172+Table13[[#This Row],[Steps]])-100,G1172+Table13[[#This Row],[Steps]]),
))</f>
        <v>0</v>
      </c>
      <c r="G1173">
        <f>IF(Table13[[#This Row],[New Pos L]]&lt;&gt;0,Table13[[#This Row],[New Pos L]],Table13[[#This Row],[New Pos R]])</f>
        <v>33</v>
      </c>
      <c r="H1173">
        <f>IF(AND(Table13[[#This Row],[Direction]]="L",Table13[[#This Row],[Steps]]&gt;G1172,G1172&lt;&gt;0),1,0)</f>
        <v>0</v>
      </c>
      <c r="I1173">
        <f>IF(AND(Table13[[#This Row],[Direction]]="R",(G1172+Table13[[#This Row],[Steps]])&gt;100),1,0)</f>
        <v>0</v>
      </c>
      <c r="J1173">
        <f>IF(Table13[[#This Row],[POS]]=0,1,0)</f>
        <v>0</v>
      </c>
      <c r="K1173">
        <f>SUM(Table13[[#This Row],[prefix]],Table13[[#This Row],[Past zero L]],Table13[[#This Row],[Past Zero R]],Table13[[#This Row],[Is Zero]])</f>
        <v>0</v>
      </c>
    </row>
    <row r="1174" spans="1:11" ht="16" x14ac:dyDescent="0.2">
      <c r="A1174" s="1" t="s">
        <v>66</v>
      </c>
      <c r="B1174" t="str">
        <f>LEFT(Table13[[#This Row],[Input]],1)</f>
        <v>R</v>
      </c>
      <c r="C1174">
        <f>_xlfn.LET(_xlpm.steps,SUBSTITUTE(Table13[[#This Row],[Input]],Table13[[#This Row],[Direction]],""),VALUE(IF(LEN(_xlpm.steps)&gt;2,RIGHT(_xlpm.steps,2),_xlpm.steps)))</f>
        <v>45</v>
      </c>
      <c r="D1174">
        <f>_xlfn.LET(_xlpm.steps,SUBSTITUTE(Table13[[#This Row],[Input]],Table13[[#This Row],[Direction]],""),VALUE(IF(LEN(_xlpm.steps)&gt;2,LEFT(_xlpm.steps,LEN(_xlpm.steps)-2),0)))</f>
        <v>0</v>
      </c>
      <c r="E1174">
        <f>_xlfn.LET(_xlpm.dir,Table13[[#This Row],[Direction]],
IF(_xlpm.dir="L",
    IF(G1173-Table13[[#This Row],[Steps]]&lt;0,100+(G1173-Table13[[#This Row],[Steps]]),G1173-Table13[[#This Row],[Steps]]),
))</f>
        <v>0</v>
      </c>
      <c r="F1174">
        <f>_xlfn.LET(_xlpm.dir,Table13[[#This Row],[Direction]],
IF(_xlpm.dir="R",
    IF(G1173+Table13[[#This Row],[Steps]]&gt;99,(G1173+Table13[[#This Row],[Steps]])-100,G1173+Table13[[#This Row],[Steps]]),
))</f>
        <v>78</v>
      </c>
      <c r="G1174">
        <f>IF(Table13[[#This Row],[New Pos L]]&lt;&gt;0,Table13[[#This Row],[New Pos L]],Table13[[#This Row],[New Pos R]])</f>
        <v>78</v>
      </c>
      <c r="H1174">
        <f>IF(AND(Table13[[#This Row],[Direction]]="L",Table13[[#This Row],[Steps]]&gt;G1173,G1173&lt;&gt;0),1,0)</f>
        <v>0</v>
      </c>
      <c r="I1174">
        <f>IF(AND(Table13[[#This Row],[Direction]]="R",(G1173+Table13[[#This Row],[Steps]])&gt;100),1,0)</f>
        <v>0</v>
      </c>
      <c r="J1174">
        <f>IF(Table13[[#This Row],[POS]]=0,1,0)</f>
        <v>0</v>
      </c>
      <c r="K1174">
        <f>SUM(Table13[[#This Row],[prefix]],Table13[[#This Row],[Past zero L]],Table13[[#This Row],[Past Zero R]],Table13[[#This Row],[Is Zero]])</f>
        <v>0</v>
      </c>
    </row>
    <row r="1175" spans="1:11" ht="16" x14ac:dyDescent="0.2">
      <c r="A1175" s="1" t="s">
        <v>77</v>
      </c>
      <c r="B1175" t="str">
        <f>LEFT(Table13[[#This Row],[Input]],1)</f>
        <v>R</v>
      </c>
      <c r="C1175">
        <f>_xlfn.LET(_xlpm.steps,SUBSTITUTE(Table13[[#This Row],[Input]],Table13[[#This Row],[Direction]],""),VALUE(IF(LEN(_xlpm.steps)&gt;2,RIGHT(_xlpm.steps,2),_xlpm.steps)))</f>
        <v>74</v>
      </c>
      <c r="D1175">
        <f>_xlfn.LET(_xlpm.steps,SUBSTITUTE(Table13[[#This Row],[Input]],Table13[[#This Row],[Direction]],""),VALUE(IF(LEN(_xlpm.steps)&gt;2,LEFT(_xlpm.steps,LEN(_xlpm.steps)-2),0)))</f>
        <v>0</v>
      </c>
      <c r="E1175">
        <f>_xlfn.LET(_xlpm.dir,Table13[[#This Row],[Direction]],
IF(_xlpm.dir="L",
    IF(G1174-Table13[[#This Row],[Steps]]&lt;0,100+(G1174-Table13[[#This Row],[Steps]]),G1174-Table13[[#This Row],[Steps]]),
))</f>
        <v>0</v>
      </c>
      <c r="F1175">
        <f>_xlfn.LET(_xlpm.dir,Table13[[#This Row],[Direction]],
IF(_xlpm.dir="R",
    IF(G1174+Table13[[#This Row],[Steps]]&gt;99,(G1174+Table13[[#This Row],[Steps]])-100,G1174+Table13[[#This Row],[Steps]]),
))</f>
        <v>52</v>
      </c>
      <c r="G1175">
        <f>IF(Table13[[#This Row],[New Pos L]]&lt;&gt;0,Table13[[#This Row],[New Pos L]],Table13[[#This Row],[New Pos R]])</f>
        <v>52</v>
      </c>
      <c r="H1175">
        <f>IF(AND(Table13[[#This Row],[Direction]]="L",Table13[[#This Row],[Steps]]&gt;G1174,G1174&lt;&gt;0),1,0)</f>
        <v>0</v>
      </c>
      <c r="I1175">
        <f>IF(AND(Table13[[#This Row],[Direction]]="R",(G1174+Table13[[#This Row],[Steps]])&gt;100),1,0)</f>
        <v>1</v>
      </c>
      <c r="J1175">
        <f>IF(Table13[[#This Row],[POS]]=0,1,0)</f>
        <v>0</v>
      </c>
      <c r="K1175">
        <f>SUM(Table13[[#This Row],[prefix]],Table13[[#This Row],[Past zero L]],Table13[[#This Row],[Past Zero R]],Table13[[#This Row],[Is Zero]])</f>
        <v>1</v>
      </c>
    </row>
    <row r="1176" spans="1:11" ht="16" x14ac:dyDescent="0.2">
      <c r="A1176" s="1" t="s">
        <v>390</v>
      </c>
      <c r="B1176" t="str">
        <f>LEFT(Table13[[#This Row],[Input]],1)</f>
        <v>L</v>
      </c>
      <c r="C1176">
        <f>_xlfn.LET(_xlpm.steps,SUBSTITUTE(Table13[[#This Row],[Input]],Table13[[#This Row],[Direction]],""),VALUE(IF(LEN(_xlpm.steps)&gt;2,RIGHT(_xlpm.steps,2),_xlpm.steps)))</f>
        <v>52</v>
      </c>
      <c r="D1176">
        <f>_xlfn.LET(_xlpm.steps,SUBSTITUTE(Table13[[#This Row],[Input]],Table13[[#This Row],[Direction]],""),VALUE(IF(LEN(_xlpm.steps)&gt;2,LEFT(_xlpm.steps,LEN(_xlpm.steps)-2),0)))</f>
        <v>4</v>
      </c>
      <c r="E1176">
        <f>_xlfn.LET(_xlpm.dir,Table13[[#This Row],[Direction]],
IF(_xlpm.dir="L",
    IF(G1175-Table13[[#This Row],[Steps]]&lt;0,100+(G1175-Table13[[#This Row],[Steps]]),G1175-Table13[[#This Row],[Steps]]),
))</f>
        <v>0</v>
      </c>
      <c r="F1176">
        <f>_xlfn.LET(_xlpm.dir,Table13[[#This Row],[Direction]],
IF(_xlpm.dir="R",
    IF(G1175+Table13[[#This Row],[Steps]]&gt;99,(G1175+Table13[[#This Row],[Steps]])-100,G1175+Table13[[#This Row],[Steps]]),
))</f>
        <v>0</v>
      </c>
      <c r="G1176">
        <f>IF(Table13[[#This Row],[New Pos L]]&lt;&gt;0,Table13[[#This Row],[New Pos L]],Table13[[#This Row],[New Pos R]])</f>
        <v>0</v>
      </c>
      <c r="H1176">
        <f>IF(AND(Table13[[#This Row],[Direction]]="L",Table13[[#This Row],[Steps]]&gt;G1175,G1175&lt;&gt;0),1,0)</f>
        <v>0</v>
      </c>
      <c r="I1176">
        <f>IF(AND(Table13[[#This Row],[Direction]]="R",(G1175+Table13[[#This Row],[Steps]])&gt;100),1,0)</f>
        <v>0</v>
      </c>
      <c r="J1176">
        <f>IF(Table13[[#This Row],[POS]]=0,1,0)</f>
        <v>1</v>
      </c>
      <c r="K1176">
        <f>SUM(Table13[[#This Row],[prefix]],Table13[[#This Row],[Past zero L]],Table13[[#This Row],[Past Zero R]],Table13[[#This Row],[Is Zero]])</f>
        <v>5</v>
      </c>
    </row>
    <row r="1177" spans="1:11" ht="16" x14ac:dyDescent="0.2">
      <c r="A1177" s="1" t="s">
        <v>74</v>
      </c>
      <c r="B1177" t="str">
        <f>LEFT(Table13[[#This Row],[Input]],1)</f>
        <v>R</v>
      </c>
      <c r="C1177">
        <f>_xlfn.LET(_xlpm.steps,SUBSTITUTE(Table13[[#This Row],[Input]],Table13[[#This Row],[Direction]],""),VALUE(IF(LEN(_xlpm.steps)&gt;2,RIGHT(_xlpm.steps,2),_xlpm.steps)))</f>
        <v>93</v>
      </c>
      <c r="D1177">
        <f>_xlfn.LET(_xlpm.steps,SUBSTITUTE(Table13[[#This Row],[Input]],Table13[[#This Row],[Direction]],""),VALUE(IF(LEN(_xlpm.steps)&gt;2,LEFT(_xlpm.steps,LEN(_xlpm.steps)-2),0)))</f>
        <v>0</v>
      </c>
      <c r="E1177">
        <f>_xlfn.LET(_xlpm.dir,Table13[[#This Row],[Direction]],
IF(_xlpm.dir="L",
    IF(G1176-Table13[[#This Row],[Steps]]&lt;0,100+(G1176-Table13[[#This Row],[Steps]]),G1176-Table13[[#This Row],[Steps]]),
))</f>
        <v>0</v>
      </c>
      <c r="F1177">
        <f>_xlfn.LET(_xlpm.dir,Table13[[#This Row],[Direction]],
IF(_xlpm.dir="R",
    IF(G1176+Table13[[#This Row],[Steps]]&gt;99,(G1176+Table13[[#This Row],[Steps]])-100,G1176+Table13[[#This Row],[Steps]]),
))</f>
        <v>93</v>
      </c>
      <c r="G1177">
        <f>IF(Table13[[#This Row],[New Pos L]]&lt;&gt;0,Table13[[#This Row],[New Pos L]],Table13[[#This Row],[New Pos R]])</f>
        <v>93</v>
      </c>
      <c r="H1177">
        <f>IF(AND(Table13[[#This Row],[Direction]]="L",Table13[[#This Row],[Steps]]&gt;G1176,G1176&lt;&gt;0),1,0)</f>
        <v>0</v>
      </c>
      <c r="I1177">
        <f>IF(AND(Table13[[#This Row],[Direction]]="R",(G1176+Table13[[#This Row],[Steps]])&gt;100),1,0)</f>
        <v>0</v>
      </c>
      <c r="J1177">
        <f>IF(Table13[[#This Row],[POS]]=0,1,0)</f>
        <v>0</v>
      </c>
      <c r="K1177">
        <f>SUM(Table13[[#This Row],[prefix]],Table13[[#This Row],[Past zero L]],Table13[[#This Row],[Past Zero R]],Table13[[#This Row],[Is Zero]])</f>
        <v>0</v>
      </c>
    </row>
    <row r="1178" spans="1:11" ht="16" x14ac:dyDescent="0.2">
      <c r="A1178" s="1" t="s">
        <v>167</v>
      </c>
      <c r="B1178" t="str">
        <f>LEFT(Table13[[#This Row],[Input]],1)</f>
        <v>L</v>
      </c>
      <c r="C1178">
        <f>_xlfn.LET(_xlpm.steps,SUBSTITUTE(Table13[[#This Row],[Input]],Table13[[#This Row],[Direction]],""),VALUE(IF(LEN(_xlpm.steps)&gt;2,RIGHT(_xlpm.steps,2),_xlpm.steps)))</f>
        <v>59</v>
      </c>
      <c r="D1178">
        <f>_xlfn.LET(_xlpm.steps,SUBSTITUTE(Table13[[#This Row],[Input]],Table13[[#This Row],[Direction]],""),VALUE(IF(LEN(_xlpm.steps)&gt;2,LEFT(_xlpm.steps,LEN(_xlpm.steps)-2),0)))</f>
        <v>0</v>
      </c>
      <c r="E1178">
        <f>_xlfn.LET(_xlpm.dir,Table13[[#This Row],[Direction]],
IF(_xlpm.dir="L",
    IF(G1177-Table13[[#This Row],[Steps]]&lt;0,100+(G1177-Table13[[#This Row],[Steps]]),G1177-Table13[[#This Row],[Steps]]),
))</f>
        <v>34</v>
      </c>
      <c r="F1178">
        <f>_xlfn.LET(_xlpm.dir,Table13[[#This Row],[Direction]],
IF(_xlpm.dir="R",
    IF(G1177+Table13[[#This Row],[Steps]]&gt;99,(G1177+Table13[[#This Row],[Steps]])-100,G1177+Table13[[#This Row],[Steps]]),
))</f>
        <v>0</v>
      </c>
      <c r="G1178">
        <f>IF(Table13[[#This Row],[New Pos L]]&lt;&gt;0,Table13[[#This Row],[New Pos L]],Table13[[#This Row],[New Pos R]])</f>
        <v>34</v>
      </c>
      <c r="H1178">
        <f>IF(AND(Table13[[#This Row],[Direction]]="L",Table13[[#This Row],[Steps]]&gt;G1177,G1177&lt;&gt;0),1,0)</f>
        <v>0</v>
      </c>
      <c r="I1178">
        <f>IF(AND(Table13[[#This Row],[Direction]]="R",(G1177+Table13[[#This Row],[Steps]])&gt;100),1,0)</f>
        <v>0</v>
      </c>
      <c r="J1178">
        <f>IF(Table13[[#This Row],[POS]]=0,1,0)</f>
        <v>0</v>
      </c>
      <c r="K1178">
        <f>SUM(Table13[[#This Row],[prefix]],Table13[[#This Row],[Past zero L]],Table13[[#This Row],[Past Zero R]],Table13[[#This Row],[Is Zero]])</f>
        <v>0</v>
      </c>
    </row>
    <row r="1179" spans="1:11" ht="16" x14ac:dyDescent="0.2">
      <c r="A1179" s="1" t="s">
        <v>61</v>
      </c>
      <c r="B1179" t="str">
        <f>LEFT(Table13[[#This Row],[Input]],1)</f>
        <v>L</v>
      </c>
      <c r="C1179">
        <f>_xlfn.LET(_xlpm.steps,SUBSTITUTE(Table13[[#This Row],[Input]],Table13[[#This Row],[Direction]],""),VALUE(IF(LEN(_xlpm.steps)&gt;2,RIGHT(_xlpm.steps,2),_xlpm.steps)))</f>
        <v>16</v>
      </c>
      <c r="D1179">
        <f>_xlfn.LET(_xlpm.steps,SUBSTITUTE(Table13[[#This Row],[Input]],Table13[[#This Row],[Direction]],""),VALUE(IF(LEN(_xlpm.steps)&gt;2,LEFT(_xlpm.steps,LEN(_xlpm.steps)-2),0)))</f>
        <v>0</v>
      </c>
      <c r="E1179">
        <f>_xlfn.LET(_xlpm.dir,Table13[[#This Row],[Direction]],
IF(_xlpm.dir="L",
    IF(G1178-Table13[[#This Row],[Steps]]&lt;0,100+(G1178-Table13[[#This Row],[Steps]]),G1178-Table13[[#This Row],[Steps]]),
))</f>
        <v>18</v>
      </c>
      <c r="F1179">
        <f>_xlfn.LET(_xlpm.dir,Table13[[#This Row],[Direction]],
IF(_xlpm.dir="R",
    IF(G1178+Table13[[#This Row],[Steps]]&gt;99,(G1178+Table13[[#This Row],[Steps]])-100,G1178+Table13[[#This Row],[Steps]]),
))</f>
        <v>0</v>
      </c>
      <c r="G1179">
        <f>IF(Table13[[#This Row],[New Pos L]]&lt;&gt;0,Table13[[#This Row],[New Pos L]],Table13[[#This Row],[New Pos R]])</f>
        <v>18</v>
      </c>
      <c r="H1179">
        <f>IF(AND(Table13[[#This Row],[Direction]]="L",Table13[[#This Row],[Steps]]&gt;G1178,G1178&lt;&gt;0),1,0)</f>
        <v>0</v>
      </c>
      <c r="I1179">
        <f>IF(AND(Table13[[#This Row],[Direction]]="R",(G1178+Table13[[#This Row],[Steps]])&gt;100),1,0)</f>
        <v>0</v>
      </c>
      <c r="J1179">
        <f>IF(Table13[[#This Row],[POS]]=0,1,0)</f>
        <v>0</v>
      </c>
      <c r="K1179">
        <f>SUM(Table13[[#This Row],[prefix]],Table13[[#This Row],[Past zero L]],Table13[[#This Row],[Past Zero R]],Table13[[#This Row],[Is Zero]])</f>
        <v>0</v>
      </c>
    </row>
    <row r="1180" spans="1:11" ht="16" x14ac:dyDescent="0.2">
      <c r="A1180" s="1" t="s">
        <v>234</v>
      </c>
      <c r="B1180" t="str">
        <f>LEFT(Table13[[#This Row],[Input]],1)</f>
        <v>R</v>
      </c>
      <c r="C1180">
        <f>_xlfn.LET(_xlpm.steps,SUBSTITUTE(Table13[[#This Row],[Input]],Table13[[#This Row],[Direction]],""),VALUE(IF(LEN(_xlpm.steps)&gt;2,RIGHT(_xlpm.steps,2),_xlpm.steps)))</f>
        <v>82</v>
      </c>
      <c r="D1180">
        <f>_xlfn.LET(_xlpm.steps,SUBSTITUTE(Table13[[#This Row],[Input]],Table13[[#This Row],[Direction]],""),VALUE(IF(LEN(_xlpm.steps)&gt;2,LEFT(_xlpm.steps,LEN(_xlpm.steps)-2),0)))</f>
        <v>0</v>
      </c>
      <c r="E1180">
        <f>_xlfn.LET(_xlpm.dir,Table13[[#This Row],[Direction]],
IF(_xlpm.dir="L",
    IF(G1179-Table13[[#This Row],[Steps]]&lt;0,100+(G1179-Table13[[#This Row],[Steps]]),G1179-Table13[[#This Row],[Steps]]),
))</f>
        <v>0</v>
      </c>
      <c r="F1180">
        <f>_xlfn.LET(_xlpm.dir,Table13[[#This Row],[Direction]],
IF(_xlpm.dir="R",
    IF(G1179+Table13[[#This Row],[Steps]]&gt;99,(G1179+Table13[[#This Row],[Steps]])-100,G1179+Table13[[#This Row],[Steps]]),
))</f>
        <v>0</v>
      </c>
      <c r="G1180">
        <f>IF(Table13[[#This Row],[New Pos L]]&lt;&gt;0,Table13[[#This Row],[New Pos L]],Table13[[#This Row],[New Pos R]])</f>
        <v>0</v>
      </c>
      <c r="H1180">
        <f>IF(AND(Table13[[#This Row],[Direction]]="L",Table13[[#This Row],[Steps]]&gt;G1179,G1179&lt;&gt;0),1,0)</f>
        <v>0</v>
      </c>
      <c r="I1180">
        <f>IF(AND(Table13[[#This Row],[Direction]]="R",(G1179+Table13[[#This Row],[Steps]])&gt;100),1,0)</f>
        <v>0</v>
      </c>
      <c r="J1180">
        <f>IF(Table13[[#This Row],[POS]]=0,1,0)</f>
        <v>1</v>
      </c>
      <c r="K1180">
        <f>SUM(Table13[[#This Row],[prefix]],Table13[[#This Row],[Past zero L]],Table13[[#This Row],[Past Zero R]],Table13[[#This Row],[Is Zero]])</f>
        <v>1</v>
      </c>
    </row>
    <row r="1181" spans="1:11" ht="16" x14ac:dyDescent="0.2">
      <c r="A1181" s="1" t="s">
        <v>217</v>
      </c>
      <c r="B1181" t="str">
        <f>LEFT(Table13[[#This Row],[Input]],1)</f>
        <v>R</v>
      </c>
      <c r="C1181">
        <f>_xlfn.LET(_xlpm.steps,SUBSTITUTE(Table13[[#This Row],[Input]],Table13[[#This Row],[Direction]],""),VALUE(IF(LEN(_xlpm.steps)&gt;2,RIGHT(_xlpm.steps,2),_xlpm.steps)))</f>
        <v>91</v>
      </c>
      <c r="D1181">
        <f>_xlfn.LET(_xlpm.steps,SUBSTITUTE(Table13[[#This Row],[Input]],Table13[[#This Row],[Direction]],""),VALUE(IF(LEN(_xlpm.steps)&gt;2,LEFT(_xlpm.steps,LEN(_xlpm.steps)-2),0)))</f>
        <v>0</v>
      </c>
      <c r="E1181">
        <f>_xlfn.LET(_xlpm.dir,Table13[[#This Row],[Direction]],
IF(_xlpm.dir="L",
    IF(G1180-Table13[[#This Row],[Steps]]&lt;0,100+(G1180-Table13[[#This Row],[Steps]]),G1180-Table13[[#This Row],[Steps]]),
))</f>
        <v>0</v>
      </c>
      <c r="F1181">
        <f>_xlfn.LET(_xlpm.dir,Table13[[#This Row],[Direction]],
IF(_xlpm.dir="R",
    IF(G1180+Table13[[#This Row],[Steps]]&gt;99,(G1180+Table13[[#This Row],[Steps]])-100,G1180+Table13[[#This Row],[Steps]]),
))</f>
        <v>91</v>
      </c>
      <c r="G1181">
        <f>IF(Table13[[#This Row],[New Pos L]]&lt;&gt;0,Table13[[#This Row],[New Pos L]],Table13[[#This Row],[New Pos R]])</f>
        <v>91</v>
      </c>
      <c r="H1181">
        <f>IF(AND(Table13[[#This Row],[Direction]]="L",Table13[[#This Row],[Steps]]&gt;G1180,G1180&lt;&gt;0),1,0)</f>
        <v>0</v>
      </c>
      <c r="I1181">
        <f>IF(AND(Table13[[#This Row],[Direction]]="R",(G1180+Table13[[#This Row],[Steps]])&gt;100),1,0)</f>
        <v>0</v>
      </c>
      <c r="J1181">
        <f>IF(Table13[[#This Row],[POS]]=0,1,0)</f>
        <v>0</v>
      </c>
      <c r="K1181">
        <f>SUM(Table13[[#This Row],[prefix]],Table13[[#This Row],[Past zero L]],Table13[[#This Row],[Past Zero R]],Table13[[#This Row],[Is Zero]])</f>
        <v>0</v>
      </c>
    </row>
    <row r="1182" spans="1:11" ht="16" x14ac:dyDescent="0.2">
      <c r="A1182" s="1" t="s">
        <v>8</v>
      </c>
      <c r="B1182" t="str">
        <f>LEFT(Table13[[#This Row],[Input]],1)</f>
        <v>R</v>
      </c>
      <c r="C1182">
        <f>_xlfn.LET(_xlpm.steps,SUBSTITUTE(Table13[[#This Row],[Input]],Table13[[#This Row],[Direction]],""),VALUE(IF(LEN(_xlpm.steps)&gt;2,RIGHT(_xlpm.steps,2),_xlpm.steps)))</f>
        <v>18</v>
      </c>
      <c r="D1182">
        <f>_xlfn.LET(_xlpm.steps,SUBSTITUTE(Table13[[#This Row],[Input]],Table13[[#This Row],[Direction]],""),VALUE(IF(LEN(_xlpm.steps)&gt;2,LEFT(_xlpm.steps,LEN(_xlpm.steps)-2),0)))</f>
        <v>0</v>
      </c>
      <c r="E1182">
        <f>_xlfn.LET(_xlpm.dir,Table13[[#This Row],[Direction]],
IF(_xlpm.dir="L",
    IF(G1181-Table13[[#This Row],[Steps]]&lt;0,100+(G1181-Table13[[#This Row],[Steps]]),G1181-Table13[[#This Row],[Steps]]),
))</f>
        <v>0</v>
      </c>
      <c r="F1182">
        <f>_xlfn.LET(_xlpm.dir,Table13[[#This Row],[Direction]],
IF(_xlpm.dir="R",
    IF(G1181+Table13[[#This Row],[Steps]]&gt;99,(G1181+Table13[[#This Row],[Steps]])-100,G1181+Table13[[#This Row],[Steps]]),
))</f>
        <v>9</v>
      </c>
      <c r="G1182">
        <f>IF(Table13[[#This Row],[New Pos L]]&lt;&gt;0,Table13[[#This Row],[New Pos L]],Table13[[#This Row],[New Pos R]])</f>
        <v>9</v>
      </c>
      <c r="H1182">
        <f>IF(AND(Table13[[#This Row],[Direction]]="L",Table13[[#This Row],[Steps]]&gt;G1181,G1181&lt;&gt;0),1,0)</f>
        <v>0</v>
      </c>
      <c r="I1182">
        <f>IF(AND(Table13[[#This Row],[Direction]]="R",(G1181+Table13[[#This Row],[Steps]])&gt;100),1,0)</f>
        <v>1</v>
      </c>
      <c r="J1182">
        <f>IF(Table13[[#This Row],[POS]]=0,1,0)</f>
        <v>0</v>
      </c>
      <c r="K1182">
        <f>SUM(Table13[[#This Row],[prefix]],Table13[[#This Row],[Past zero L]],Table13[[#This Row],[Past Zero R]],Table13[[#This Row],[Is Zero]])</f>
        <v>1</v>
      </c>
    </row>
    <row r="1183" spans="1:11" ht="16" x14ac:dyDescent="0.2">
      <c r="A1183" s="1" t="s">
        <v>91</v>
      </c>
      <c r="B1183" t="str">
        <f>LEFT(Table13[[#This Row],[Input]],1)</f>
        <v>L</v>
      </c>
      <c r="C1183">
        <f>_xlfn.LET(_xlpm.steps,SUBSTITUTE(Table13[[#This Row],[Input]],Table13[[#This Row],[Direction]],""),VALUE(IF(LEN(_xlpm.steps)&gt;2,RIGHT(_xlpm.steps,2),_xlpm.steps)))</f>
        <v>22</v>
      </c>
      <c r="D1183">
        <f>_xlfn.LET(_xlpm.steps,SUBSTITUTE(Table13[[#This Row],[Input]],Table13[[#This Row],[Direction]],""),VALUE(IF(LEN(_xlpm.steps)&gt;2,LEFT(_xlpm.steps,LEN(_xlpm.steps)-2),0)))</f>
        <v>0</v>
      </c>
      <c r="E1183">
        <f>_xlfn.LET(_xlpm.dir,Table13[[#This Row],[Direction]],
IF(_xlpm.dir="L",
    IF(G1182-Table13[[#This Row],[Steps]]&lt;0,100+(G1182-Table13[[#This Row],[Steps]]),G1182-Table13[[#This Row],[Steps]]),
))</f>
        <v>87</v>
      </c>
      <c r="F1183">
        <f>_xlfn.LET(_xlpm.dir,Table13[[#This Row],[Direction]],
IF(_xlpm.dir="R",
    IF(G1182+Table13[[#This Row],[Steps]]&gt;99,(G1182+Table13[[#This Row],[Steps]])-100,G1182+Table13[[#This Row],[Steps]]),
))</f>
        <v>0</v>
      </c>
      <c r="G1183">
        <f>IF(Table13[[#This Row],[New Pos L]]&lt;&gt;0,Table13[[#This Row],[New Pos L]],Table13[[#This Row],[New Pos R]])</f>
        <v>87</v>
      </c>
      <c r="H1183">
        <f>IF(AND(Table13[[#This Row],[Direction]]="L",Table13[[#This Row],[Steps]]&gt;G1182,G1182&lt;&gt;0),1,0)</f>
        <v>1</v>
      </c>
      <c r="I1183">
        <f>IF(AND(Table13[[#This Row],[Direction]]="R",(G1182+Table13[[#This Row],[Steps]])&gt;100),1,0)</f>
        <v>0</v>
      </c>
      <c r="J1183">
        <f>IF(Table13[[#This Row],[POS]]=0,1,0)</f>
        <v>0</v>
      </c>
      <c r="K1183">
        <f>SUM(Table13[[#This Row],[prefix]],Table13[[#This Row],[Past zero L]],Table13[[#This Row],[Past Zero R]],Table13[[#This Row],[Is Zero]])</f>
        <v>1</v>
      </c>
    </row>
    <row r="1184" spans="1:11" ht="16" x14ac:dyDescent="0.2">
      <c r="A1184" s="1" t="s">
        <v>247</v>
      </c>
      <c r="B1184" t="str">
        <f>LEFT(Table13[[#This Row],[Input]],1)</f>
        <v>L</v>
      </c>
      <c r="C1184">
        <f>_xlfn.LET(_xlpm.steps,SUBSTITUTE(Table13[[#This Row],[Input]],Table13[[#This Row],[Direction]],""),VALUE(IF(LEN(_xlpm.steps)&gt;2,RIGHT(_xlpm.steps,2),_xlpm.steps)))</f>
        <v>54</v>
      </c>
      <c r="D1184">
        <f>_xlfn.LET(_xlpm.steps,SUBSTITUTE(Table13[[#This Row],[Input]],Table13[[#This Row],[Direction]],""),VALUE(IF(LEN(_xlpm.steps)&gt;2,LEFT(_xlpm.steps,LEN(_xlpm.steps)-2),0)))</f>
        <v>8</v>
      </c>
      <c r="E1184">
        <f>_xlfn.LET(_xlpm.dir,Table13[[#This Row],[Direction]],
IF(_xlpm.dir="L",
    IF(G1183-Table13[[#This Row],[Steps]]&lt;0,100+(G1183-Table13[[#This Row],[Steps]]),G1183-Table13[[#This Row],[Steps]]),
))</f>
        <v>33</v>
      </c>
      <c r="F1184">
        <f>_xlfn.LET(_xlpm.dir,Table13[[#This Row],[Direction]],
IF(_xlpm.dir="R",
    IF(G1183+Table13[[#This Row],[Steps]]&gt;99,(G1183+Table13[[#This Row],[Steps]])-100,G1183+Table13[[#This Row],[Steps]]),
))</f>
        <v>0</v>
      </c>
      <c r="G1184">
        <f>IF(Table13[[#This Row],[New Pos L]]&lt;&gt;0,Table13[[#This Row],[New Pos L]],Table13[[#This Row],[New Pos R]])</f>
        <v>33</v>
      </c>
      <c r="H1184">
        <f>IF(AND(Table13[[#This Row],[Direction]]="L",Table13[[#This Row],[Steps]]&gt;G1183,G1183&lt;&gt;0),1,0)</f>
        <v>0</v>
      </c>
      <c r="I1184">
        <f>IF(AND(Table13[[#This Row],[Direction]]="R",(G1183+Table13[[#This Row],[Steps]])&gt;100),1,0)</f>
        <v>0</v>
      </c>
      <c r="J1184">
        <f>IF(Table13[[#This Row],[POS]]=0,1,0)</f>
        <v>0</v>
      </c>
      <c r="K1184">
        <f>SUM(Table13[[#This Row],[prefix]],Table13[[#This Row],[Past zero L]],Table13[[#This Row],[Past Zero R]],Table13[[#This Row],[Is Zero]])</f>
        <v>8</v>
      </c>
    </row>
    <row r="1185" spans="1:11" ht="16" x14ac:dyDescent="0.2">
      <c r="A1185" s="1" t="s">
        <v>36</v>
      </c>
      <c r="B1185" t="str">
        <f>LEFT(Table13[[#This Row],[Input]],1)</f>
        <v>R</v>
      </c>
      <c r="C1185">
        <f>_xlfn.LET(_xlpm.steps,SUBSTITUTE(Table13[[#This Row],[Input]],Table13[[#This Row],[Direction]],""),VALUE(IF(LEN(_xlpm.steps)&gt;2,RIGHT(_xlpm.steps,2),_xlpm.steps)))</f>
        <v>50</v>
      </c>
      <c r="D1185">
        <f>_xlfn.LET(_xlpm.steps,SUBSTITUTE(Table13[[#This Row],[Input]],Table13[[#This Row],[Direction]],""),VALUE(IF(LEN(_xlpm.steps)&gt;2,LEFT(_xlpm.steps,LEN(_xlpm.steps)-2),0)))</f>
        <v>0</v>
      </c>
      <c r="E1185">
        <f>_xlfn.LET(_xlpm.dir,Table13[[#This Row],[Direction]],
IF(_xlpm.dir="L",
    IF(G1184-Table13[[#This Row],[Steps]]&lt;0,100+(G1184-Table13[[#This Row],[Steps]]),G1184-Table13[[#This Row],[Steps]]),
))</f>
        <v>0</v>
      </c>
      <c r="F1185">
        <f>_xlfn.LET(_xlpm.dir,Table13[[#This Row],[Direction]],
IF(_xlpm.dir="R",
    IF(G1184+Table13[[#This Row],[Steps]]&gt;99,(G1184+Table13[[#This Row],[Steps]])-100,G1184+Table13[[#This Row],[Steps]]),
))</f>
        <v>83</v>
      </c>
      <c r="G1185">
        <f>IF(Table13[[#This Row],[New Pos L]]&lt;&gt;0,Table13[[#This Row],[New Pos L]],Table13[[#This Row],[New Pos R]])</f>
        <v>83</v>
      </c>
      <c r="H1185">
        <f>IF(AND(Table13[[#This Row],[Direction]]="L",Table13[[#This Row],[Steps]]&gt;G1184,G1184&lt;&gt;0),1,0)</f>
        <v>0</v>
      </c>
      <c r="I1185">
        <f>IF(AND(Table13[[#This Row],[Direction]]="R",(G1184+Table13[[#This Row],[Steps]])&gt;100),1,0)</f>
        <v>0</v>
      </c>
      <c r="J1185">
        <f>IF(Table13[[#This Row],[POS]]=0,1,0)</f>
        <v>0</v>
      </c>
      <c r="K1185">
        <f>SUM(Table13[[#This Row],[prefix]],Table13[[#This Row],[Past zero L]],Table13[[#This Row],[Past Zero R]],Table13[[#This Row],[Is Zero]])</f>
        <v>0</v>
      </c>
    </row>
    <row r="1186" spans="1:11" ht="16" x14ac:dyDescent="0.2">
      <c r="A1186" s="1" t="s">
        <v>81</v>
      </c>
      <c r="B1186" t="str">
        <f>LEFT(Table13[[#This Row],[Input]],1)</f>
        <v>R</v>
      </c>
      <c r="C1186">
        <f>_xlfn.LET(_xlpm.steps,SUBSTITUTE(Table13[[#This Row],[Input]],Table13[[#This Row],[Direction]],""),VALUE(IF(LEN(_xlpm.steps)&gt;2,RIGHT(_xlpm.steps,2),_xlpm.steps)))</f>
        <v>17</v>
      </c>
      <c r="D1186">
        <f>_xlfn.LET(_xlpm.steps,SUBSTITUTE(Table13[[#This Row],[Input]],Table13[[#This Row],[Direction]],""),VALUE(IF(LEN(_xlpm.steps)&gt;2,LEFT(_xlpm.steps,LEN(_xlpm.steps)-2),0)))</f>
        <v>0</v>
      </c>
      <c r="E1186">
        <f>_xlfn.LET(_xlpm.dir,Table13[[#This Row],[Direction]],
IF(_xlpm.dir="L",
    IF(G1185-Table13[[#This Row],[Steps]]&lt;0,100+(G1185-Table13[[#This Row],[Steps]]),G1185-Table13[[#This Row],[Steps]]),
))</f>
        <v>0</v>
      </c>
      <c r="F1186">
        <f>_xlfn.LET(_xlpm.dir,Table13[[#This Row],[Direction]],
IF(_xlpm.dir="R",
    IF(G1185+Table13[[#This Row],[Steps]]&gt;99,(G1185+Table13[[#This Row],[Steps]])-100,G1185+Table13[[#This Row],[Steps]]),
))</f>
        <v>0</v>
      </c>
      <c r="G1186">
        <f>IF(Table13[[#This Row],[New Pos L]]&lt;&gt;0,Table13[[#This Row],[New Pos L]],Table13[[#This Row],[New Pos R]])</f>
        <v>0</v>
      </c>
      <c r="H1186">
        <f>IF(AND(Table13[[#This Row],[Direction]]="L",Table13[[#This Row],[Steps]]&gt;G1185,G1185&lt;&gt;0),1,0)</f>
        <v>0</v>
      </c>
      <c r="I1186">
        <f>IF(AND(Table13[[#This Row],[Direction]]="R",(G1185+Table13[[#This Row],[Steps]])&gt;100),1,0)</f>
        <v>0</v>
      </c>
      <c r="J1186">
        <f>IF(Table13[[#This Row],[POS]]=0,1,0)</f>
        <v>1</v>
      </c>
      <c r="K1186">
        <f>SUM(Table13[[#This Row],[prefix]],Table13[[#This Row],[Past zero L]],Table13[[#This Row],[Past Zero R]],Table13[[#This Row],[Is Zero]])</f>
        <v>1</v>
      </c>
    </row>
    <row r="1187" spans="1:11" ht="16" x14ac:dyDescent="0.2">
      <c r="A1187" s="1" t="s">
        <v>353</v>
      </c>
      <c r="B1187" t="str">
        <f>LEFT(Table13[[#This Row],[Input]],1)</f>
        <v>R</v>
      </c>
      <c r="C1187">
        <f>_xlfn.LET(_xlpm.steps,SUBSTITUTE(Table13[[#This Row],[Input]],Table13[[#This Row],[Direction]],""),VALUE(IF(LEN(_xlpm.steps)&gt;2,RIGHT(_xlpm.steps,2),_xlpm.steps)))</f>
        <v>7</v>
      </c>
      <c r="D1187">
        <f>_xlfn.LET(_xlpm.steps,SUBSTITUTE(Table13[[#This Row],[Input]],Table13[[#This Row],[Direction]],""),VALUE(IF(LEN(_xlpm.steps)&gt;2,LEFT(_xlpm.steps,LEN(_xlpm.steps)-2),0)))</f>
        <v>0</v>
      </c>
      <c r="E1187">
        <f>_xlfn.LET(_xlpm.dir,Table13[[#This Row],[Direction]],
IF(_xlpm.dir="L",
    IF(G1186-Table13[[#This Row],[Steps]]&lt;0,100+(G1186-Table13[[#This Row],[Steps]]),G1186-Table13[[#This Row],[Steps]]),
))</f>
        <v>0</v>
      </c>
      <c r="F1187">
        <f>_xlfn.LET(_xlpm.dir,Table13[[#This Row],[Direction]],
IF(_xlpm.dir="R",
    IF(G1186+Table13[[#This Row],[Steps]]&gt;99,(G1186+Table13[[#This Row],[Steps]])-100,G1186+Table13[[#This Row],[Steps]]),
))</f>
        <v>7</v>
      </c>
      <c r="G1187">
        <f>IF(Table13[[#This Row],[New Pos L]]&lt;&gt;0,Table13[[#This Row],[New Pos L]],Table13[[#This Row],[New Pos R]])</f>
        <v>7</v>
      </c>
      <c r="H1187">
        <f>IF(AND(Table13[[#This Row],[Direction]]="L",Table13[[#This Row],[Steps]]&gt;G1186,G1186&lt;&gt;0),1,0)</f>
        <v>0</v>
      </c>
      <c r="I1187">
        <f>IF(AND(Table13[[#This Row],[Direction]]="R",(G1186+Table13[[#This Row],[Steps]])&gt;100),1,0)</f>
        <v>0</v>
      </c>
      <c r="J1187">
        <f>IF(Table13[[#This Row],[POS]]=0,1,0)</f>
        <v>0</v>
      </c>
      <c r="K1187">
        <f>SUM(Table13[[#This Row],[prefix]],Table13[[#This Row],[Past zero L]],Table13[[#This Row],[Past Zero R]],Table13[[#This Row],[Is Zero]])</f>
        <v>0</v>
      </c>
    </row>
    <row r="1188" spans="1:11" ht="16" x14ac:dyDescent="0.2">
      <c r="A1188" s="1" t="s">
        <v>2</v>
      </c>
      <c r="B1188" t="str">
        <f>LEFT(Table13[[#This Row],[Input]],1)</f>
        <v>L</v>
      </c>
      <c r="C1188">
        <f>_xlfn.LET(_xlpm.steps,SUBSTITUTE(Table13[[#This Row],[Input]],Table13[[#This Row],[Direction]],""),VALUE(IF(LEN(_xlpm.steps)&gt;2,RIGHT(_xlpm.steps,2),_xlpm.steps)))</f>
        <v>38</v>
      </c>
      <c r="D1188">
        <f>_xlfn.LET(_xlpm.steps,SUBSTITUTE(Table13[[#This Row],[Input]],Table13[[#This Row],[Direction]],""),VALUE(IF(LEN(_xlpm.steps)&gt;2,LEFT(_xlpm.steps,LEN(_xlpm.steps)-2),0)))</f>
        <v>0</v>
      </c>
      <c r="E1188">
        <f>_xlfn.LET(_xlpm.dir,Table13[[#This Row],[Direction]],
IF(_xlpm.dir="L",
    IF(G1187-Table13[[#This Row],[Steps]]&lt;0,100+(G1187-Table13[[#This Row],[Steps]]),G1187-Table13[[#This Row],[Steps]]),
))</f>
        <v>69</v>
      </c>
      <c r="F1188">
        <f>_xlfn.LET(_xlpm.dir,Table13[[#This Row],[Direction]],
IF(_xlpm.dir="R",
    IF(G1187+Table13[[#This Row],[Steps]]&gt;99,(G1187+Table13[[#This Row],[Steps]])-100,G1187+Table13[[#This Row],[Steps]]),
))</f>
        <v>0</v>
      </c>
      <c r="G1188">
        <f>IF(Table13[[#This Row],[New Pos L]]&lt;&gt;0,Table13[[#This Row],[New Pos L]],Table13[[#This Row],[New Pos R]])</f>
        <v>69</v>
      </c>
      <c r="H1188">
        <f>IF(AND(Table13[[#This Row],[Direction]]="L",Table13[[#This Row],[Steps]]&gt;G1187,G1187&lt;&gt;0),1,0)</f>
        <v>1</v>
      </c>
      <c r="I1188">
        <f>IF(AND(Table13[[#This Row],[Direction]]="R",(G1187+Table13[[#This Row],[Steps]])&gt;100),1,0)</f>
        <v>0</v>
      </c>
      <c r="J1188">
        <f>IF(Table13[[#This Row],[POS]]=0,1,0)</f>
        <v>0</v>
      </c>
      <c r="K1188">
        <f>SUM(Table13[[#This Row],[prefix]],Table13[[#This Row],[Past zero L]],Table13[[#This Row],[Past Zero R]],Table13[[#This Row],[Is Zero]])</f>
        <v>1</v>
      </c>
    </row>
    <row r="1189" spans="1:11" ht="16" x14ac:dyDescent="0.2">
      <c r="A1189" s="1" t="s">
        <v>382</v>
      </c>
      <c r="B1189" t="str">
        <f>LEFT(Table13[[#This Row],[Input]],1)</f>
        <v>L</v>
      </c>
      <c r="C1189">
        <f>_xlfn.LET(_xlpm.steps,SUBSTITUTE(Table13[[#This Row],[Input]],Table13[[#This Row],[Direction]],""),VALUE(IF(LEN(_xlpm.steps)&gt;2,RIGHT(_xlpm.steps,2),_xlpm.steps)))</f>
        <v>76</v>
      </c>
      <c r="D1189">
        <f>_xlfn.LET(_xlpm.steps,SUBSTITUTE(Table13[[#This Row],[Input]],Table13[[#This Row],[Direction]],""),VALUE(IF(LEN(_xlpm.steps)&gt;2,LEFT(_xlpm.steps,LEN(_xlpm.steps)-2),0)))</f>
        <v>8</v>
      </c>
      <c r="E1189">
        <f>_xlfn.LET(_xlpm.dir,Table13[[#This Row],[Direction]],
IF(_xlpm.dir="L",
    IF(G1188-Table13[[#This Row],[Steps]]&lt;0,100+(G1188-Table13[[#This Row],[Steps]]),G1188-Table13[[#This Row],[Steps]]),
))</f>
        <v>93</v>
      </c>
      <c r="F1189">
        <f>_xlfn.LET(_xlpm.dir,Table13[[#This Row],[Direction]],
IF(_xlpm.dir="R",
    IF(G1188+Table13[[#This Row],[Steps]]&gt;99,(G1188+Table13[[#This Row],[Steps]])-100,G1188+Table13[[#This Row],[Steps]]),
))</f>
        <v>0</v>
      </c>
      <c r="G1189">
        <f>IF(Table13[[#This Row],[New Pos L]]&lt;&gt;0,Table13[[#This Row],[New Pos L]],Table13[[#This Row],[New Pos R]])</f>
        <v>93</v>
      </c>
      <c r="H1189">
        <f>IF(AND(Table13[[#This Row],[Direction]]="L",Table13[[#This Row],[Steps]]&gt;G1188,G1188&lt;&gt;0),1,0)</f>
        <v>1</v>
      </c>
      <c r="I1189">
        <f>IF(AND(Table13[[#This Row],[Direction]]="R",(G1188+Table13[[#This Row],[Steps]])&gt;100),1,0)</f>
        <v>0</v>
      </c>
      <c r="J1189">
        <f>IF(Table13[[#This Row],[POS]]=0,1,0)</f>
        <v>0</v>
      </c>
      <c r="K1189">
        <f>SUM(Table13[[#This Row],[prefix]],Table13[[#This Row],[Past zero L]],Table13[[#This Row],[Past Zero R]],Table13[[#This Row],[Is Zero]])</f>
        <v>9</v>
      </c>
    </row>
    <row r="1190" spans="1:11" ht="16" x14ac:dyDescent="0.2">
      <c r="A1190" s="1" t="s">
        <v>98</v>
      </c>
      <c r="B1190" t="str">
        <f>LEFT(Table13[[#This Row],[Input]],1)</f>
        <v>L</v>
      </c>
      <c r="C1190">
        <f>_xlfn.LET(_xlpm.steps,SUBSTITUTE(Table13[[#This Row],[Input]],Table13[[#This Row],[Direction]],""),VALUE(IF(LEN(_xlpm.steps)&gt;2,RIGHT(_xlpm.steps,2),_xlpm.steps)))</f>
        <v>65</v>
      </c>
      <c r="D1190">
        <f>_xlfn.LET(_xlpm.steps,SUBSTITUTE(Table13[[#This Row],[Input]],Table13[[#This Row],[Direction]],""),VALUE(IF(LEN(_xlpm.steps)&gt;2,LEFT(_xlpm.steps,LEN(_xlpm.steps)-2),0)))</f>
        <v>0</v>
      </c>
      <c r="E1190">
        <f>_xlfn.LET(_xlpm.dir,Table13[[#This Row],[Direction]],
IF(_xlpm.dir="L",
    IF(G1189-Table13[[#This Row],[Steps]]&lt;0,100+(G1189-Table13[[#This Row],[Steps]]),G1189-Table13[[#This Row],[Steps]]),
))</f>
        <v>28</v>
      </c>
      <c r="F1190">
        <f>_xlfn.LET(_xlpm.dir,Table13[[#This Row],[Direction]],
IF(_xlpm.dir="R",
    IF(G1189+Table13[[#This Row],[Steps]]&gt;99,(G1189+Table13[[#This Row],[Steps]])-100,G1189+Table13[[#This Row],[Steps]]),
))</f>
        <v>0</v>
      </c>
      <c r="G1190">
        <f>IF(Table13[[#This Row],[New Pos L]]&lt;&gt;0,Table13[[#This Row],[New Pos L]],Table13[[#This Row],[New Pos R]])</f>
        <v>28</v>
      </c>
      <c r="H1190">
        <f>IF(AND(Table13[[#This Row],[Direction]]="L",Table13[[#This Row],[Steps]]&gt;G1189,G1189&lt;&gt;0),1,0)</f>
        <v>0</v>
      </c>
      <c r="I1190">
        <f>IF(AND(Table13[[#This Row],[Direction]]="R",(G1189+Table13[[#This Row],[Steps]])&gt;100),1,0)</f>
        <v>0</v>
      </c>
      <c r="J1190">
        <f>IF(Table13[[#This Row],[POS]]=0,1,0)</f>
        <v>0</v>
      </c>
      <c r="K1190">
        <f>SUM(Table13[[#This Row],[prefix]],Table13[[#This Row],[Past zero L]],Table13[[#This Row],[Past Zero R]],Table13[[#This Row],[Is Zero]])</f>
        <v>0</v>
      </c>
    </row>
    <row r="1191" spans="1:11" ht="16" x14ac:dyDescent="0.2">
      <c r="A1191" s="1" t="s">
        <v>391</v>
      </c>
      <c r="B1191" t="str">
        <f>LEFT(Table13[[#This Row],[Input]],1)</f>
        <v>R</v>
      </c>
      <c r="C1191">
        <f>_xlfn.LET(_xlpm.steps,SUBSTITUTE(Table13[[#This Row],[Input]],Table13[[#This Row],[Direction]],""),VALUE(IF(LEN(_xlpm.steps)&gt;2,RIGHT(_xlpm.steps,2),_xlpm.steps)))</f>
        <v>72</v>
      </c>
      <c r="D1191">
        <f>_xlfn.LET(_xlpm.steps,SUBSTITUTE(Table13[[#This Row],[Input]],Table13[[#This Row],[Direction]],""),VALUE(IF(LEN(_xlpm.steps)&gt;2,LEFT(_xlpm.steps,LEN(_xlpm.steps)-2),0)))</f>
        <v>8</v>
      </c>
      <c r="E1191">
        <f>_xlfn.LET(_xlpm.dir,Table13[[#This Row],[Direction]],
IF(_xlpm.dir="L",
    IF(G1190-Table13[[#This Row],[Steps]]&lt;0,100+(G1190-Table13[[#This Row],[Steps]]),G1190-Table13[[#This Row],[Steps]]),
))</f>
        <v>0</v>
      </c>
      <c r="F1191">
        <f>_xlfn.LET(_xlpm.dir,Table13[[#This Row],[Direction]],
IF(_xlpm.dir="R",
    IF(G1190+Table13[[#This Row],[Steps]]&gt;99,(G1190+Table13[[#This Row],[Steps]])-100,G1190+Table13[[#This Row],[Steps]]),
))</f>
        <v>0</v>
      </c>
      <c r="G1191">
        <f>IF(Table13[[#This Row],[New Pos L]]&lt;&gt;0,Table13[[#This Row],[New Pos L]],Table13[[#This Row],[New Pos R]])</f>
        <v>0</v>
      </c>
      <c r="H1191">
        <f>IF(AND(Table13[[#This Row],[Direction]]="L",Table13[[#This Row],[Steps]]&gt;G1190,G1190&lt;&gt;0),1,0)</f>
        <v>0</v>
      </c>
      <c r="I1191">
        <f>IF(AND(Table13[[#This Row],[Direction]]="R",(G1190+Table13[[#This Row],[Steps]])&gt;100),1,0)</f>
        <v>0</v>
      </c>
      <c r="J1191">
        <f>IF(Table13[[#This Row],[POS]]=0,1,0)</f>
        <v>1</v>
      </c>
      <c r="K1191">
        <f>SUM(Table13[[#This Row],[prefix]],Table13[[#This Row],[Past zero L]],Table13[[#This Row],[Past Zero R]],Table13[[#This Row],[Is Zero]])</f>
        <v>9</v>
      </c>
    </row>
    <row r="1192" spans="1:11" ht="16" x14ac:dyDescent="0.2">
      <c r="A1192" s="1" t="s">
        <v>50</v>
      </c>
      <c r="B1192" t="str">
        <f>LEFT(Table13[[#This Row],[Input]],1)</f>
        <v>R</v>
      </c>
      <c r="C1192">
        <f>_xlfn.LET(_xlpm.steps,SUBSTITUTE(Table13[[#This Row],[Input]],Table13[[#This Row],[Direction]],""),VALUE(IF(LEN(_xlpm.steps)&gt;2,RIGHT(_xlpm.steps,2),_xlpm.steps)))</f>
        <v>78</v>
      </c>
      <c r="D1192">
        <f>_xlfn.LET(_xlpm.steps,SUBSTITUTE(Table13[[#This Row],[Input]],Table13[[#This Row],[Direction]],""),VALUE(IF(LEN(_xlpm.steps)&gt;2,LEFT(_xlpm.steps,LEN(_xlpm.steps)-2),0)))</f>
        <v>0</v>
      </c>
      <c r="E1192">
        <f>_xlfn.LET(_xlpm.dir,Table13[[#This Row],[Direction]],
IF(_xlpm.dir="L",
    IF(G1191-Table13[[#This Row],[Steps]]&lt;0,100+(G1191-Table13[[#This Row],[Steps]]),G1191-Table13[[#This Row],[Steps]]),
))</f>
        <v>0</v>
      </c>
      <c r="F1192">
        <f>_xlfn.LET(_xlpm.dir,Table13[[#This Row],[Direction]],
IF(_xlpm.dir="R",
    IF(G1191+Table13[[#This Row],[Steps]]&gt;99,(G1191+Table13[[#This Row],[Steps]])-100,G1191+Table13[[#This Row],[Steps]]),
))</f>
        <v>78</v>
      </c>
      <c r="G1192">
        <f>IF(Table13[[#This Row],[New Pos L]]&lt;&gt;0,Table13[[#This Row],[New Pos L]],Table13[[#This Row],[New Pos R]])</f>
        <v>78</v>
      </c>
      <c r="H1192">
        <f>IF(AND(Table13[[#This Row],[Direction]]="L",Table13[[#This Row],[Steps]]&gt;G1191,G1191&lt;&gt;0),1,0)</f>
        <v>0</v>
      </c>
      <c r="I1192">
        <f>IF(AND(Table13[[#This Row],[Direction]]="R",(G1191+Table13[[#This Row],[Steps]])&gt;100),1,0)</f>
        <v>0</v>
      </c>
      <c r="J1192">
        <f>IF(Table13[[#This Row],[POS]]=0,1,0)</f>
        <v>0</v>
      </c>
      <c r="K1192">
        <f>SUM(Table13[[#This Row],[prefix]],Table13[[#This Row],[Past zero L]],Table13[[#This Row],[Past Zero R]],Table13[[#This Row],[Is Zero]])</f>
        <v>0</v>
      </c>
    </row>
    <row r="1193" spans="1:11" ht="16" x14ac:dyDescent="0.2">
      <c r="A1193" s="1" t="s">
        <v>34</v>
      </c>
      <c r="B1193" t="str">
        <f>LEFT(Table13[[#This Row],[Input]],1)</f>
        <v>L</v>
      </c>
      <c r="C1193">
        <f>_xlfn.LET(_xlpm.steps,SUBSTITUTE(Table13[[#This Row],[Input]],Table13[[#This Row],[Direction]],""),VALUE(IF(LEN(_xlpm.steps)&gt;2,RIGHT(_xlpm.steps,2),_xlpm.steps)))</f>
        <v>15</v>
      </c>
      <c r="D1193">
        <f>_xlfn.LET(_xlpm.steps,SUBSTITUTE(Table13[[#This Row],[Input]],Table13[[#This Row],[Direction]],""),VALUE(IF(LEN(_xlpm.steps)&gt;2,LEFT(_xlpm.steps,LEN(_xlpm.steps)-2),0)))</f>
        <v>0</v>
      </c>
      <c r="E1193">
        <f>_xlfn.LET(_xlpm.dir,Table13[[#This Row],[Direction]],
IF(_xlpm.dir="L",
    IF(G1192-Table13[[#This Row],[Steps]]&lt;0,100+(G1192-Table13[[#This Row],[Steps]]),G1192-Table13[[#This Row],[Steps]]),
))</f>
        <v>63</v>
      </c>
      <c r="F1193">
        <f>_xlfn.LET(_xlpm.dir,Table13[[#This Row],[Direction]],
IF(_xlpm.dir="R",
    IF(G1192+Table13[[#This Row],[Steps]]&gt;99,(G1192+Table13[[#This Row],[Steps]])-100,G1192+Table13[[#This Row],[Steps]]),
))</f>
        <v>0</v>
      </c>
      <c r="G1193">
        <f>IF(Table13[[#This Row],[New Pos L]]&lt;&gt;0,Table13[[#This Row],[New Pos L]],Table13[[#This Row],[New Pos R]])</f>
        <v>63</v>
      </c>
      <c r="H1193">
        <f>IF(AND(Table13[[#This Row],[Direction]]="L",Table13[[#This Row],[Steps]]&gt;G1192,G1192&lt;&gt;0),1,0)</f>
        <v>0</v>
      </c>
      <c r="I1193">
        <f>IF(AND(Table13[[#This Row],[Direction]]="R",(G1192+Table13[[#This Row],[Steps]])&gt;100),1,0)</f>
        <v>0</v>
      </c>
      <c r="J1193">
        <f>IF(Table13[[#This Row],[POS]]=0,1,0)</f>
        <v>0</v>
      </c>
      <c r="K1193">
        <f>SUM(Table13[[#This Row],[prefix]],Table13[[#This Row],[Past zero L]],Table13[[#This Row],[Past Zero R]],Table13[[#This Row],[Is Zero]])</f>
        <v>0</v>
      </c>
    </row>
    <row r="1194" spans="1:11" ht="16" x14ac:dyDescent="0.2">
      <c r="A1194" s="1" t="s">
        <v>33</v>
      </c>
      <c r="B1194" t="str">
        <f>LEFT(Table13[[#This Row],[Input]],1)</f>
        <v>R</v>
      </c>
      <c r="C1194">
        <f>_xlfn.LET(_xlpm.steps,SUBSTITUTE(Table13[[#This Row],[Input]],Table13[[#This Row],[Direction]],""),VALUE(IF(LEN(_xlpm.steps)&gt;2,RIGHT(_xlpm.steps,2),_xlpm.steps)))</f>
        <v>22</v>
      </c>
      <c r="D1194">
        <f>_xlfn.LET(_xlpm.steps,SUBSTITUTE(Table13[[#This Row],[Input]],Table13[[#This Row],[Direction]],""),VALUE(IF(LEN(_xlpm.steps)&gt;2,LEFT(_xlpm.steps,LEN(_xlpm.steps)-2),0)))</f>
        <v>0</v>
      </c>
      <c r="E1194">
        <f>_xlfn.LET(_xlpm.dir,Table13[[#This Row],[Direction]],
IF(_xlpm.dir="L",
    IF(G1193-Table13[[#This Row],[Steps]]&lt;0,100+(G1193-Table13[[#This Row],[Steps]]),G1193-Table13[[#This Row],[Steps]]),
))</f>
        <v>0</v>
      </c>
      <c r="F1194">
        <f>_xlfn.LET(_xlpm.dir,Table13[[#This Row],[Direction]],
IF(_xlpm.dir="R",
    IF(G1193+Table13[[#This Row],[Steps]]&gt;99,(G1193+Table13[[#This Row],[Steps]])-100,G1193+Table13[[#This Row],[Steps]]),
))</f>
        <v>85</v>
      </c>
      <c r="G1194">
        <f>IF(Table13[[#This Row],[New Pos L]]&lt;&gt;0,Table13[[#This Row],[New Pos L]],Table13[[#This Row],[New Pos R]])</f>
        <v>85</v>
      </c>
      <c r="H1194">
        <f>IF(AND(Table13[[#This Row],[Direction]]="L",Table13[[#This Row],[Steps]]&gt;G1193,G1193&lt;&gt;0),1,0)</f>
        <v>0</v>
      </c>
      <c r="I1194">
        <f>IF(AND(Table13[[#This Row],[Direction]]="R",(G1193+Table13[[#This Row],[Steps]])&gt;100),1,0)</f>
        <v>0</v>
      </c>
      <c r="J1194">
        <f>IF(Table13[[#This Row],[POS]]=0,1,0)</f>
        <v>0</v>
      </c>
      <c r="K1194">
        <f>SUM(Table13[[#This Row],[prefix]],Table13[[#This Row],[Past zero L]],Table13[[#This Row],[Past Zero R]],Table13[[#This Row],[Is Zero]])</f>
        <v>0</v>
      </c>
    </row>
    <row r="1195" spans="1:11" ht="16" x14ac:dyDescent="0.2">
      <c r="A1195" s="1" t="s">
        <v>194</v>
      </c>
      <c r="B1195" t="str">
        <f>LEFT(Table13[[#This Row],[Input]],1)</f>
        <v>R</v>
      </c>
      <c r="C1195">
        <f>_xlfn.LET(_xlpm.steps,SUBSTITUTE(Table13[[#This Row],[Input]],Table13[[#This Row],[Direction]],""),VALUE(IF(LEN(_xlpm.steps)&gt;2,RIGHT(_xlpm.steps,2),_xlpm.steps)))</f>
        <v>51</v>
      </c>
      <c r="D1195">
        <f>_xlfn.LET(_xlpm.steps,SUBSTITUTE(Table13[[#This Row],[Input]],Table13[[#This Row],[Direction]],""),VALUE(IF(LEN(_xlpm.steps)&gt;2,LEFT(_xlpm.steps,LEN(_xlpm.steps)-2),0)))</f>
        <v>0</v>
      </c>
      <c r="E1195">
        <f>_xlfn.LET(_xlpm.dir,Table13[[#This Row],[Direction]],
IF(_xlpm.dir="L",
    IF(G1194-Table13[[#This Row],[Steps]]&lt;0,100+(G1194-Table13[[#This Row],[Steps]]),G1194-Table13[[#This Row],[Steps]]),
))</f>
        <v>0</v>
      </c>
      <c r="F1195">
        <f>_xlfn.LET(_xlpm.dir,Table13[[#This Row],[Direction]],
IF(_xlpm.dir="R",
    IF(G1194+Table13[[#This Row],[Steps]]&gt;99,(G1194+Table13[[#This Row],[Steps]])-100,G1194+Table13[[#This Row],[Steps]]),
))</f>
        <v>36</v>
      </c>
      <c r="G1195">
        <f>IF(Table13[[#This Row],[New Pos L]]&lt;&gt;0,Table13[[#This Row],[New Pos L]],Table13[[#This Row],[New Pos R]])</f>
        <v>36</v>
      </c>
      <c r="H1195">
        <f>IF(AND(Table13[[#This Row],[Direction]]="L",Table13[[#This Row],[Steps]]&gt;G1194,G1194&lt;&gt;0),1,0)</f>
        <v>0</v>
      </c>
      <c r="I1195">
        <f>IF(AND(Table13[[#This Row],[Direction]]="R",(G1194+Table13[[#This Row],[Steps]])&gt;100),1,0)</f>
        <v>1</v>
      </c>
      <c r="J1195">
        <f>IF(Table13[[#This Row],[POS]]=0,1,0)</f>
        <v>0</v>
      </c>
      <c r="K1195">
        <f>SUM(Table13[[#This Row],[prefix]],Table13[[#This Row],[Past zero L]],Table13[[#This Row],[Past Zero R]],Table13[[#This Row],[Is Zero]])</f>
        <v>1</v>
      </c>
    </row>
    <row r="1196" spans="1:11" ht="16" x14ac:dyDescent="0.2">
      <c r="A1196" s="1" t="s">
        <v>111</v>
      </c>
      <c r="B1196" t="str">
        <f>LEFT(Table13[[#This Row],[Input]],1)</f>
        <v>R</v>
      </c>
      <c r="C1196">
        <f>_xlfn.LET(_xlpm.steps,SUBSTITUTE(Table13[[#This Row],[Input]],Table13[[#This Row],[Direction]],""),VALUE(IF(LEN(_xlpm.steps)&gt;2,RIGHT(_xlpm.steps,2),_xlpm.steps)))</f>
        <v>64</v>
      </c>
      <c r="D1196">
        <f>_xlfn.LET(_xlpm.steps,SUBSTITUTE(Table13[[#This Row],[Input]],Table13[[#This Row],[Direction]],""),VALUE(IF(LEN(_xlpm.steps)&gt;2,LEFT(_xlpm.steps,LEN(_xlpm.steps)-2),0)))</f>
        <v>0</v>
      </c>
      <c r="E1196">
        <f>_xlfn.LET(_xlpm.dir,Table13[[#This Row],[Direction]],
IF(_xlpm.dir="L",
    IF(G1195-Table13[[#This Row],[Steps]]&lt;0,100+(G1195-Table13[[#This Row],[Steps]]),G1195-Table13[[#This Row],[Steps]]),
))</f>
        <v>0</v>
      </c>
      <c r="F1196">
        <f>_xlfn.LET(_xlpm.dir,Table13[[#This Row],[Direction]],
IF(_xlpm.dir="R",
    IF(G1195+Table13[[#This Row],[Steps]]&gt;99,(G1195+Table13[[#This Row],[Steps]])-100,G1195+Table13[[#This Row],[Steps]]),
))</f>
        <v>0</v>
      </c>
      <c r="G1196">
        <f>IF(Table13[[#This Row],[New Pos L]]&lt;&gt;0,Table13[[#This Row],[New Pos L]],Table13[[#This Row],[New Pos R]])</f>
        <v>0</v>
      </c>
      <c r="H1196">
        <f>IF(AND(Table13[[#This Row],[Direction]]="L",Table13[[#This Row],[Steps]]&gt;G1195,G1195&lt;&gt;0),1,0)</f>
        <v>0</v>
      </c>
      <c r="I1196">
        <f>IF(AND(Table13[[#This Row],[Direction]]="R",(G1195+Table13[[#This Row],[Steps]])&gt;100),1,0)</f>
        <v>0</v>
      </c>
      <c r="J1196">
        <f>IF(Table13[[#This Row],[POS]]=0,1,0)</f>
        <v>1</v>
      </c>
      <c r="K1196">
        <f>SUM(Table13[[#This Row],[prefix]],Table13[[#This Row],[Past zero L]],Table13[[#This Row],[Past Zero R]],Table13[[#This Row],[Is Zero]])</f>
        <v>1</v>
      </c>
    </row>
    <row r="1197" spans="1:11" ht="16" x14ac:dyDescent="0.2">
      <c r="A1197" s="1" t="s">
        <v>135</v>
      </c>
      <c r="B1197" t="str">
        <f>LEFT(Table13[[#This Row],[Input]],1)</f>
        <v>R</v>
      </c>
      <c r="C1197">
        <f>_xlfn.LET(_xlpm.steps,SUBSTITUTE(Table13[[#This Row],[Input]],Table13[[#This Row],[Direction]],""),VALUE(IF(LEN(_xlpm.steps)&gt;2,RIGHT(_xlpm.steps,2),_xlpm.steps)))</f>
        <v>69</v>
      </c>
      <c r="D1197">
        <f>_xlfn.LET(_xlpm.steps,SUBSTITUTE(Table13[[#This Row],[Input]],Table13[[#This Row],[Direction]],""),VALUE(IF(LEN(_xlpm.steps)&gt;2,LEFT(_xlpm.steps,LEN(_xlpm.steps)-2),0)))</f>
        <v>0</v>
      </c>
      <c r="E1197">
        <f>_xlfn.LET(_xlpm.dir,Table13[[#This Row],[Direction]],
IF(_xlpm.dir="L",
    IF(G1196-Table13[[#This Row],[Steps]]&lt;0,100+(G1196-Table13[[#This Row],[Steps]]),G1196-Table13[[#This Row],[Steps]]),
))</f>
        <v>0</v>
      </c>
      <c r="F1197">
        <f>_xlfn.LET(_xlpm.dir,Table13[[#This Row],[Direction]],
IF(_xlpm.dir="R",
    IF(G1196+Table13[[#This Row],[Steps]]&gt;99,(G1196+Table13[[#This Row],[Steps]])-100,G1196+Table13[[#This Row],[Steps]]),
))</f>
        <v>69</v>
      </c>
      <c r="G1197">
        <f>IF(Table13[[#This Row],[New Pos L]]&lt;&gt;0,Table13[[#This Row],[New Pos L]],Table13[[#This Row],[New Pos R]])</f>
        <v>69</v>
      </c>
      <c r="H1197">
        <f>IF(AND(Table13[[#This Row],[Direction]]="L",Table13[[#This Row],[Steps]]&gt;G1196,G1196&lt;&gt;0),1,0)</f>
        <v>0</v>
      </c>
      <c r="I1197">
        <f>IF(AND(Table13[[#This Row],[Direction]]="R",(G1196+Table13[[#This Row],[Steps]])&gt;100),1,0)</f>
        <v>0</v>
      </c>
      <c r="J1197">
        <f>IF(Table13[[#This Row],[POS]]=0,1,0)</f>
        <v>0</v>
      </c>
      <c r="K1197">
        <f>SUM(Table13[[#This Row],[prefix]],Table13[[#This Row],[Past zero L]],Table13[[#This Row],[Past Zero R]],Table13[[#This Row],[Is Zero]])</f>
        <v>0</v>
      </c>
    </row>
    <row r="1198" spans="1:11" ht="16" x14ac:dyDescent="0.2">
      <c r="A1198" s="1" t="s">
        <v>205</v>
      </c>
      <c r="B1198" t="str">
        <f>LEFT(Table13[[#This Row],[Input]],1)</f>
        <v>R</v>
      </c>
      <c r="C1198">
        <f>_xlfn.LET(_xlpm.steps,SUBSTITUTE(Table13[[#This Row],[Input]],Table13[[#This Row],[Direction]],""),VALUE(IF(LEN(_xlpm.steps)&gt;2,RIGHT(_xlpm.steps,2),_xlpm.steps)))</f>
        <v>83</v>
      </c>
      <c r="D1198">
        <f>_xlfn.LET(_xlpm.steps,SUBSTITUTE(Table13[[#This Row],[Input]],Table13[[#This Row],[Direction]],""),VALUE(IF(LEN(_xlpm.steps)&gt;2,LEFT(_xlpm.steps,LEN(_xlpm.steps)-2),0)))</f>
        <v>0</v>
      </c>
      <c r="E1198">
        <f>_xlfn.LET(_xlpm.dir,Table13[[#This Row],[Direction]],
IF(_xlpm.dir="L",
    IF(G1197-Table13[[#This Row],[Steps]]&lt;0,100+(G1197-Table13[[#This Row],[Steps]]),G1197-Table13[[#This Row],[Steps]]),
))</f>
        <v>0</v>
      </c>
      <c r="F1198">
        <f>_xlfn.LET(_xlpm.dir,Table13[[#This Row],[Direction]],
IF(_xlpm.dir="R",
    IF(G1197+Table13[[#This Row],[Steps]]&gt;99,(G1197+Table13[[#This Row],[Steps]])-100,G1197+Table13[[#This Row],[Steps]]),
))</f>
        <v>52</v>
      </c>
      <c r="G1198">
        <f>IF(Table13[[#This Row],[New Pos L]]&lt;&gt;0,Table13[[#This Row],[New Pos L]],Table13[[#This Row],[New Pos R]])</f>
        <v>52</v>
      </c>
      <c r="H1198">
        <f>IF(AND(Table13[[#This Row],[Direction]]="L",Table13[[#This Row],[Steps]]&gt;G1197,G1197&lt;&gt;0),1,0)</f>
        <v>0</v>
      </c>
      <c r="I1198">
        <f>IF(AND(Table13[[#This Row],[Direction]]="R",(G1197+Table13[[#This Row],[Steps]])&gt;100),1,0)</f>
        <v>1</v>
      </c>
      <c r="J1198">
        <f>IF(Table13[[#This Row],[POS]]=0,1,0)</f>
        <v>0</v>
      </c>
      <c r="K1198">
        <f>SUM(Table13[[#This Row],[prefix]],Table13[[#This Row],[Past zero L]],Table13[[#This Row],[Past Zero R]],Table13[[#This Row],[Is Zero]])</f>
        <v>1</v>
      </c>
    </row>
    <row r="1199" spans="1:11" ht="16" x14ac:dyDescent="0.2">
      <c r="A1199" s="1" t="s">
        <v>392</v>
      </c>
      <c r="B1199" t="str">
        <f>LEFT(Table13[[#This Row],[Input]],1)</f>
        <v>L</v>
      </c>
      <c r="C1199">
        <f>_xlfn.LET(_xlpm.steps,SUBSTITUTE(Table13[[#This Row],[Input]],Table13[[#This Row],[Direction]],""),VALUE(IF(LEN(_xlpm.steps)&gt;2,RIGHT(_xlpm.steps,2),_xlpm.steps)))</f>
        <v>36</v>
      </c>
      <c r="D1199">
        <f>_xlfn.LET(_xlpm.steps,SUBSTITUTE(Table13[[#This Row],[Input]],Table13[[#This Row],[Direction]],""),VALUE(IF(LEN(_xlpm.steps)&gt;2,LEFT(_xlpm.steps,LEN(_xlpm.steps)-2),0)))</f>
        <v>1</v>
      </c>
      <c r="E1199">
        <f>_xlfn.LET(_xlpm.dir,Table13[[#This Row],[Direction]],
IF(_xlpm.dir="L",
    IF(G1198-Table13[[#This Row],[Steps]]&lt;0,100+(G1198-Table13[[#This Row],[Steps]]),G1198-Table13[[#This Row],[Steps]]),
))</f>
        <v>16</v>
      </c>
      <c r="F1199">
        <f>_xlfn.LET(_xlpm.dir,Table13[[#This Row],[Direction]],
IF(_xlpm.dir="R",
    IF(G1198+Table13[[#This Row],[Steps]]&gt;99,(G1198+Table13[[#This Row],[Steps]])-100,G1198+Table13[[#This Row],[Steps]]),
))</f>
        <v>0</v>
      </c>
      <c r="G1199">
        <f>IF(Table13[[#This Row],[New Pos L]]&lt;&gt;0,Table13[[#This Row],[New Pos L]],Table13[[#This Row],[New Pos R]])</f>
        <v>16</v>
      </c>
      <c r="H1199">
        <f>IF(AND(Table13[[#This Row],[Direction]]="L",Table13[[#This Row],[Steps]]&gt;G1198,G1198&lt;&gt;0),1,0)</f>
        <v>0</v>
      </c>
      <c r="I1199">
        <f>IF(AND(Table13[[#This Row],[Direction]]="R",(G1198+Table13[[#This Row],[Steps]])&gt;100),1,0)</f>
        <v>0</v>
      </c>
      <c r="J1199">
        <f>IF(Table13[[#This Row],[POS]]=0,1,0)</f>
        <v>0</v>
      </c>
      <c r="K1199">
        <f>SUM(Table13[[#This Row],[prefix]],Table13[[#This Row],[Past zero L]],Table13[[#This Row],[Past Zero R]],Table13[[#This Row],[Is Zero]])</f>
        <v>1</v>
      </c>
    </row>
    <row r="1200" spans="1:11" ht="16" x14ac:dyDescent="0.2">
      <c r="A1200" s="1" t="s">
        <v>393</v>
      </c>
      <c r="B1200" t="str">
        <f>LEFT(Table13[[#This Row],[Input]],1)</f>
        <v>R</v>
      </c>
      <c r="C1200">
        <f>_xlfn.LET(_xlpm.steps,SUBSTITUTE(Table13[[#This Row],[Input]],Table13[[#This Row],[Direction]],""),VALUE(IF(LEN(_xlpm.steps)&gt;2,RIGHT(_xlpm.steps,2),_xlpm.steps)))</f>
        <v>84</v>
      </c>
      <c r="D1200">
        <f>_xlfn.LET(_xlpm.steps,SUBSTITUTE(Table13[[#This Row],[Input]],Table13[[#This Row],[Direction]],""),VALUE(IF(LEN(_xlpm.steps)&gt;2,LEFT(_xlpm.steps,LEN(_xlpm.steps)-2),0)))</f>
        <v>5</v>
      </c>
      <c r="E1200">
        <f>_xlfn.LET(_xlpm.dir,Table13[[#This Row],[Direction]],
IF(_xlpm.dir="L",
    IF(G1199-Table13[[#This Row],[Steps]]&lt;0,100+(G1199-Table13[[#This Row],[Steps]]),G1199-Table13[[#This Row],[Steps]]),
))</f>
        <v>0</v>
      </c>
      <c r="F1200">
        <f>_xlfn.LET(_xlpm.dir,Table13[[#This Row],[Direction]],
IF(_xlpm.dir="R",
    IF(G1199+Table13[[#This Row],[Steps]]&gt;99,(G1199+Table13[[#This Row],[Steps]])-100,G1199+Table13[[#This Row],[Steps]]),
))</f>
        <v>0</v>
      </c>
      <c r="G1200">
        <f>IF(Table13[[#This Row],[New Pos L]]&lt;&gt;0,Table13[[#This Row],[New Pos L]],Table13[[#This Row],[New Pos R]])</f>
        <v>0</v>
      </c>
      <c r="H1200">
        <f>IF(AND(Table13[[#This Row],[Direction]]="L",Table13[[#This Row],[Steps]]&gt;G1199,G1199&lt;&gt;0),1,0)</f>
        <v>0</v>
      </c>
      <c r="I1200">
        <f>IF(AND(Table13[[#This Row],[Direction]]="R",(G1199+Table13[[#This Row],[Steps]])&gt;100),1,0)</f>
        <v>0</v>
      </c>
      <c r="J1200">
        <f>IF(Table13[[#This Row],[POS]]=0,1,0)</f>
        <v>1</v>
      </c>
      <c r="K1200">
        <f>SUM(Table13[[#This Row],[prefix]],Table13[[#This Row],[Past zero L]],Table13[[#This Row],[Past Zero R]],Table13[[#This Row],[Is Zero]])</f>
        <v>6</v>
      </c>
    </row>
    <row r="1201" spans="1:11" ht="16" x14ac:dyDescent="0.2">
      <c r="A1201" s="1" t="s">
        <v>16</v>
      </c>
      <c r="B1201" t="str">
        <f>LEFT(Table13[[#This Row],[Input]],1)</f>
        <v>L</v>
      </c>
      <c r="C1201">
        <f>_xlfn.LET(_xlpm.steps,SUBSTITUTE(Table13[[#This Row],[Input]],Table13[[#This Row],[Direction]],""),VALUE(IF(LEN(_xlpm.steps)&gt;2,RIGHT(_xlpm.steps,2),_xlpm.steps)))</f>
        <v>10</v>
      </c>
      <c r="D1201">
        <f>_xlfn.LET(_xlpm.steps,SUBSTITUTE(Table13[[#This Row],[Input]],Table13[[#This Row],[Direction]],""),VALUE(IF(LEN(_xlpm.steps)&gt;2,LEFT(_xlpm.steps,LEN(_xlpm.steps)-2),0)))</f>
        <v>0</v>
      </c>
      <c r="E1201">
        <f>_xlfn.LET(_xlpm.dir,Table13[[#This Row],[Direction]],
IF(_xlpm.dir="L",
    IF(G1200-Table13[[#This Row],[Steps]]&lt;0,100+(G1200-Table13[[#This Row],[Steps]]),G1200-Table13[[#This Row],[Steps]]),
))</f>
        <v>90</v>
      </c>
      <c r="F1201">
        <f>_xlfn.LET(_xlpm.dir,Table13[[#This Row],[Direction]],
IF(_xlpm.dir="R",
    IF(G1200+Table13[[#This Row],[Steps]]&gt;99,(G1200+Table13[[#This Row],[Steps]])-100,G1200+Table13[[#This Row],[Steps]]),
))</f>
        <v>0</v>
      </c>
      <c r="G1201">
        <f>IF(Table13[[#This Row],[New Pos L]]&lt;&gt;0,Table13[[#This Row],[New Pos L]],Table13[[#This Row],[New Pos R]])</f>
        <v>90</v>
      </c>
      <c r="H1201">
        <f>IF(AND(Table13[[#This Row],[Direction]]="L",Table13[[#This Row],[Steps]]&gt;G1200,G1200&lt;&gt;0),1,0)</f>
        <v>0</v>
      </c>
      <c r="I1201">
        <f>IF(AND(Table13[[#This Row],[Direction]]="R",(G1200+Table13[[#This Row],[Steps]])&gt;100),1,0)</f>
        <v>0</v>
      </c>
      <c r="J1201">
        <f>IF(Table13[[#This Row],[POS]]=0,1,0)</f>
        <v>0</v>
      </c>
      <c r="K1201">
        <f>SUM(Table13[[#This Row],[prefix]],Table13[[#This Row],[Past zero L]],Table13[[#This Row],[Past Zero R]],Table13[[#This Row],[Is Zero]])</f>
        <v>0</v>
      </c>
    </row>
    <row r="1202" spans="1:11" ht="16" x14ac:dyDescent="0.2">
      <c r="A1202" s="1" t="s">
        <v>64</v>
      </c>
      <c r="B1202" t="str">
        <f>LEFT(Table13[[#This Row],[Input]],1)</f>
        <v>R</v>
      </c>
      <c r="C1202">
        <f>_xlfn.LET(_xlpm.steps,SUBSTITUTE(Table13[[#This Row],[Input]],Table13[[#This Row],[Direction]],""),VALUE(IF(LEN(_xlpm.steps)&gt;2,RIGHT(_xlpm.steps,2),_xlpm.steps)))</f>
        <v>10</v>
      </c>
      <c r="D1202">
        <f>_xlfn.LET(_xlpm.steps,SUBSTITUTE(Table13[[#This Row],[Input]],Table13[[#This Row],[Direction]],""),VALUE(IF(LEN(_xlpm.steps)&gt;2,LEFT(_xlpm.steps,LEN(_xlpm.steps)-2),0)))</f>
        <v>0</v>
      </c>
      <c r="E1202">
        <f>_xlfn.LET(_xlpm.dir,Table13[[#This Row],[Direction]],
IF(_xlpm.dir="L",
    IF(G1201-Table13[[#This Row],[Steps]]&lt;0,100+(G1201-Table13[[#This Row],[Steps]]),G1201-Table13[[#This Row],[Steps]]),
))</f>
        <v>0</v>
      </c>
      <c r="F1202">
        <f>_xlfn.LET(_xlpm.dir,Table13[[#This Row],[Direction]],
IF(_xlpm.dir="R",
    IF(G1201+Table13[[#This Row],[Steps]]&gt;99,(G1201+Table13[[#This Row],[Steps]])-100,G1201+Table13[[#This Row],[Steps]]),
))</f>
        <v>0</v>
      </c>
      <c r="G1202">
        <f>IF(Table13[[#This Row],[New Pos L]]&lt;&gt;0,Table13[[#This Row],[New Pos L]],Table13[[#This Row],[New Pos R]])</f>
        <v>0</v>
      </c>
      <c r="H1202">
        <f>IF(AND(Table13[[#This Row],[Direction]]="L",Table13[[#This Row],[Steps]]&gt;G1201,G1201&lt;&gt;0),1,0)</f>
        <v>0</v>
      </c>
      <c r="I1202">
        <f>IF(AND(Table13[[#This Row],[Direction]]="R",(G1201+Table13[[#This Row],[Steps]])&gt;100),1,0)</f>
        <v>0</v>
      </c>
      <c r="J1202">
        <f>IF(Table13[[#This Row],[POS]]=0,1,0)</f>
        <v>1</v>
      </c>
      <c r="K1202">
        <f>SUM(Table13[[#This Row],[prefix]],Table13[[#This Row],[Past zero L]],Table13[[#This Row],[Past Zero R]],Table13[[#This Row],[Is Zero]])</f>
        <v>1</v>
      </c>
    </row>
    <row r="1203" spans="1:11" ht="16" x14ac:dyDescent="0.2">
      <c r="A1203" s="1" t="s">
        <v>115</v>
      </c>
      <c r="B1203" t="str">
        <f>LEFT(Table13[[#This Row],[Input]],1)</f>
        <v>L</v>
      </c>
      <c r="C1203">
        <f>_xlfn.LET(_xlpm.steps,SUBSTITUTE(Table13[[#This Row],[Input]],Table13[[#This Row],[Direction]],""),VALUE(IF(LEN(_xlpm.steps)&gt;2,RIGHT(_xlpm.steps,2),_xlpm.steps)))</f>
        <v>29</v>
      </c>
      <c r="D1203">
        <f>_xlfn.LET(_xlpm.steps,SUBSTITUTE(Table13[[#This Row],[Input]],Table13[[#This Row],[Direction]],""),VALUE(IF(LEN(_xlpm.steps)&gt;2,LEFT(_xlpm.steps,LEN(_xlpm.steps)-2),0)))</f>
        <v>0</v>
      </c>
      <c r="E1203">
        <f>_xlfn.LET(_xlpm.dir,Table13[[#This Row],[Direction]],
IF(_xlpm.dir="L",
    IF(G1202-Table13[[#This Row],[Steps]]&lt;0,100+(G1202-Table13[[#This Row],[Steps]]),G1202-Table13[[#This Row],[Steps]]),
))</f>
        <v>71</v>
      </c>
      <c r="F1203">
        <f>_xlfn.LET(_xlpm.dir,Table13[[#This Row],[Direction]],
IF(_xlpm.dir="R",
    IF(G1202+Table13[[#This Row],[Steps]]&gt;99,(G1202+Table13[[#This Row],[Steps]])-100,G1202+Table13[[#This Row],[Steps]]),
))</f>
        <v>0</v>
      </c>
      <c r="G1203">
        <f>IF(Table13[[#This Row],[New Pos L]]&lt;&gt;0,Table13[[#This Row],[New Pos L]],Table13[[#This Row],[New Pos R]])</f>
        <v>71</v>
      </c>
      <c r="H1203">
        <f>IF(AND(Table13[[#This Row],[Direction]]="L",Table13[[#This Row],[Steps]]&gt;G1202,G1202&lt;&gt;0),1,0)</f>
        <v>0</v>
      </c>
      <c r="I1203">
        <f>IF(AND(Table13[[#This Row],[Direction]]="R",(G1202+Table13[[#This Row],[Steps]])&gt;100),1,0)</f>
        <v>0</v>
      </c>
      <c r="J1203">
        <f>IF(Table13[[#This Row],[POS]]=0,1,0)</f>
        <v>0</v>
      </c>
      <c r="K1203">
        <f>SUM(Table13[[#This Row],[prefix]],Table13[[#This Row],[Past zero L]],Table13[[#This Row],[Past Zero R]],Table13[[#This Row],[Is Zero]])</f>
        <v>0</v>
      </c>
    </row>
    <row r="1204" spans="1:11" ht="16" x14ac:dyDescent="0.2">
      <c r="A1204" s="1" t="s">
        <v>94</v>
      </c>
      <c r="B1204" t="str">
        <f>LEFT(Table13[[#This Row],[Input]],1)</f>
        <v>L</v>
      </c>
      <c r="C1204">
        <f>_xlfn.LET(_xlpm.steps,SUBSTITUTE(Table13[[#This Row],[Input]],Table13[[#This Row],[Direction]],""),VALUE(IF(LEN(_xlpm.steps)&gt;2,RIGHT(_xlpm.steps,2),_xlpm.steps)))</f>
        <v>71</v>
      </c>
      <c r="D1204">
        <f>_xlfn.LET(_xlpm.steps,SUBSTITUTE(Table13[[#This Row],[Input]],Table13[[#This Row],[Direction]],""),VALUE(IF(LEN(_xlpm.steps)&gt;2,LEFT(_xlpm.steps,LEN(_xlpm.steps)-2),0)))</f>
        <v>0</v>
      </c>
      <c r="E1204">
        <f>_xlfn.LET(_xlpm.dir,Table13[[#This Row],[Direction]],
IF(_xlpm.dir="L",
    IF(G1203-Table13[[#This Row],[Steps]]&lt;0,100+(G1203-Table13[[#This Row],[Steps]]),G1203-Table13[[#This Row],[Steps]]),
))</f>
        <v>0</v>
      </c>
      <c r="F1204">
        <f>_xlfn.LET(_xlpm.dir,Table13[[#This Row],[Direction]],
IF(_xlpm.dir="R",
    IF(G1203+Table13[[#This Row],[Steps]]&gt;99,(G1203+Table13[[#This Row],[Steps]])-100,G1203+Table13[[#This Row],[Steps]]),
))</f>
        <v>0</v>
      </c>
      <c r="G1204">
        <f>IF(Table13[[#This Row],[New Pos L]]&lt;&gt;0,Table13[[#This Row],[New Pos L]],Table13[[#This Row],[New Pos R]])</f>
        <v>0</v>
      </c>
      <c r="H1204">
        <f>IF(AND(Table13[[#This Row],[Direction]]="L",Table13[[#This Row],[Steps]]&gt;G1203,G1203&lt;&gt;0),1,0)</f>
        <v>0</v>
      </c>
      <c r="I1204">
        <f>IF(AND(Table13[[#This Row],[Direction]]="R",(G1203+Table13[[#This Row],[Steps]])&gt;100),1,0)</f>
        <v>0</v>
      </c>
      <c r="J1204">
        <f>IF(Table13[[#This Row],[POS]]=0,1,0)</f>
        <v>1</v>
      </c>
      <c r="K1204">
        <f>SUM(Table13[[#This Row],[prefix]],Table13[[#This Row],[Past zero L]],Table13[[#This Row],[Past Zero R]],Table13[[#This Row],[Is Zero]])</f>
        <v>1</v>
      </c>
    </row>
    <row r="1205" spans="1:11" ht="16" x14ac:dyDescent="0.2">
      <c r="A1205" s="1" t="s">
        <v>370</v>
      </c>
      <c r="B1205" t="str">
        <f>LEFT(Table13[[#This Row],[Input]],1)</f>
        <v>L</v>
      </c>
      <c r="C1205">
        <f>_xlfn.LET(_xlpm.steps,SUBSTITUTE(Table13[[#This Row],[Input]],Table13[[#This Row],[Direction]],""),VALUE(IF(LEN(_xlpm.steps)&gt;2,RIGHT(_xlpm.steps,2),_xlpm.steps)))</f>
        <v>6</v>
      </c>
      <c r="D1205">
        <f>_xlfn.LET(_xlpm.steps,SUBSTITUTE(Table13[[#This Row],[Input]],Table13[[#This Row],[Direction]],""),VALUE(IF(LEN(_xlpm.steps)&gt;2,LEFT(_xlpm.steps,LEN(_xlpm.steps)-2),0)))</f>
        <v>3</v>
      </c>
      <c r="E1205">
        <f>_xlfn.LET(_xlpm.dir,Table13[[#This Row],[Direction]],
IF(_xlpm.dir="L",
    IF(G1204-Table13[[#This Row],[Steps]]&lt;0,100+(G1204-Table13[[#This Row],[Steps]]),G1204-Table13[[#This Row],[Steps]]),
))</f>
        <v>94</v>
      </c>
      <c r="F1205">
        <f>_xlfn.LET(_xlpm.dir,Table13[[#This Row],[Direction]],
IF(_xlpm.dir="R",
    IF(G1204+Table13[[#This Row],[Steps]]&gt;99,(G1204+Table13[[#This Row],[Steps]])-100,G1204+Table13[[#This Row],[Steps]]),
))</f>
        <v>0</v>
      </c>
      <c r="G1205">
        <f>IF(Table13[[#This Row],[New Pos L]]&lt;&gt;0,Table13[[#This Row],[New Pos L]],Table13[[#This Row],[New Pos R]])</f>
        <v>94</v>
      </c>
      <c r="H1205">
        <f>IF(AND(Table13[[#This Row],[Direction]]="L",Table13[[#This Row],[Steps]]&gt;G1204,G1204&lt;&gt;0),1,0)</f>
        <v>0</v>
      </c>
      <c r="I1205">
        <f>IF(AND(Table13[[#This Row],[Direction]]="R",(G1204+Table13[[#This Row],[Steps]])&gt;100),1,0)</f>
        <v>0</v>
      </c>
      <c r="J1205">
        <f>IF(Table13[[#This Row],[POS]]=0,1,0)</f>
        <v>0</v>
      </c>
      <c r="K1205">
        <f>SUM(Table13[[#This Row],[prefix]],Table13[[#This Row],[Past zero L]],Table13[[#This Row],[Past Zero R]],Table13[[#This Row],[Is Zero]])</f>
        <v>3</v>
      </c>
    </row>
    <row r="1206" spans="1:11" ht="16" x14ac:dyDescent="0.2">
      <c r="A1206" s="1" t="s">
        <v>244</v>
      </c>
      <c r="B1206" t="str">
        <f>LEFT(Table13[[#This Row],[Input]],1)</f>
        <v>L</v>
      </c>
      <c r="C1206">
        <f>_xlfn.LET(_xlpm.steps,SUBSTITUTE(Table13[[#This Row],[Input]],Table13[[#This Row],[Direction]],""),VALUE(IF(LEN(_xlpm.steps)&gt;2,RIGHT(_xlpm.steps,2),_xlpm.steps)))</f>
        <v>98</v>
      </c>
      <c r="D1206">
        <f>_xlfn.LET(_xlpm.steps,SUBSTITUTE(Table13[[#This Row],[Input]],Table13[[#This Row],[Direction]],""),VALUE(IF(LEN(_xlpm.steps)&gt;2,LEFT(_xlpm.steps,LEN(_xlpm.steps)-2),0)))</f>
        <v>0</v>
      </c>
      <c r="E1206">
        <f>_xlfn.LET(_xlpm.dir,Table13[[#This Row],[Direction]],
IF(_xlpm.dir="L",
    IF(G1205-Table13[[#This Row],[Steps]]&lt;0,100+(G1205-Table13[[#This Row],[Steps]]),G1205-Table13[[#This Row],[Steps]]),
))</f>
        <v>96</v>
      </c>
      <c r="F1206">
        <f>_xlfn.LET(_xlpm.dir,Table13[[#This Row],[Direction]],
IF(_xlpm.dir="R",
    IF(G1205+Table13[[#This Row],[Steps]]&gt;99,(G1205+Table13[[#This Row],[Steps]])-100,G1205+Table13[[#This Row],[Steps]]),
))</f>
        <v>0</v>
      </c>
      <c r="G1206">
        <f>IF(Table13[[#This Row],[New Pos L]]&lt;&gt;0,Table13[[#This Row],[New Pos L]],Table13[[#This Row],[New Pos R]])</f>
        <v>96</v>
      </c>
      <c r="H1206">
        <f>IF(AND(Table13[[#This Row],[Direction]]="L",Table13[[#This Row],[Steps]]&gt;G1205,G1205&lt;&gt;0),1,0)</f>
        <v>1</v>
      </c>
      <c r="I1206">
        <f>IF(AND(Table13[[#This Row],[Direction]]="R",(G1205+Table13[[#This Row],[Steps]])&gt;100),1,0)</f>
        <v>0</v>
      </c>
      <c r="J1206">
        <f>IF(Table13[[#This Row],[POS]]=0,1,0)</f>
        <v>0</v>
      </c>
      <c r="K1206">
        <f>SUM(Table13[[#This Row],[prefix]],Table13[[#This Row],[Past zero L]],Table13[[#This Row],[Past Zero R]],Table13[[#This Row],[Is Zero]])</f>
        <v>1</v>
      </c>
    </row>
    <row r="1207" spans="1:11" ht="16" x14ac:dyDescent="0.2">
      <c r="A1207" s="1" t="s">
        <v>146</v>
      </c>
      <c r="B1207" t="str">
        <f>LEFT(Table13[[#This Row],[Input]],1)</f>
        <v>R</v>
      </c>
      <c r="C1207">
        <f>_xlfn.LET(_xlpm.steps,SUBSTITUTE(Table13[[#This Row],[Input]],Table13[[#This Row],[Direction]],""),VALUE(IF(LEN(_xlpm.steps)&gt;2,RIGHT(_xlpm.steps,2),_xlpm.steps)))</f>
        <v>4</v>
      </c>
      <c r="D1207">
        <f>_xlfn.LET(_xlpm.steps,SUBSTITUTE(Table13[[#This Row],[Input]],Table13[[#This Row],[Direction]],""),VALUE(IF(LEN(_xlpm.steps)&gt;2,LEFT(_xlpm.steps,LEN(_xlpm.steps)-2),0)))</f>
        <v>0</v>
      </c>
      <c r="E1207">
        <f>_xlfn.LET(_xlpm.dir,Table13[[#This Row],[Direction]],
IF(_xlpm.dir="L",
    IF(G1206-Table13[[#This Row],[Steps]]&lt;0,100+(G1206-Table13[[#This Row],[Steps]]),G1206-Table13[[#This Row],[Steps]]),
))</f>
        <v>0</v>
      </c>
      <c r="F1207">
        <f>_xlfn.LET(_xlpm.dir,Table13[[#This Row],[Direction]],
IF(_xlpm.dir="R",
    IF(G1206+Table13[[#This Row],[Steps]]&gt;99,(G1206+Table13[[#This Row],[Steps]])-100,G1206+Table13[[#This Row],[Steps]]),
))</f>
        <v>0</v>
      </c>
      <c r="G1207">
        <f>IF(Table13[[#This Row],[New Pos L]]&lt;&gt;0,Table13[[#This Row],[New Pos L]],Table13[[#This Row],[New Pos R]])</f>
        <v>0</v>
      </c>
      <c r="H1207">
        <f>IF(AND(Table13[[#This Row],[Direction]]="L",Table13[[#This Row],[Steps]]&gt;G1206,G1206&lt;&gt;0),1,0)</f>
        <v>0</v>
      </c>
      <c r="I1207">
        <f>IF(AND(Table13[[#This Row],[Direction]]="R",(G1206+Table13[[#This Row],[Steps]])&gt;100),1,0)</f>
        <v>0</v>
      </c>
      <c r="J1207">
        <f>IF(Table13[[#This Row],[POS]]=0,1,0)</f>
        <v>1</v>
      </c>
      <c r="K1207">
        <f>SUM(Table13[[#This Row],[prefix]],Table13[[#This Row],[Past zero L]],Table13[[#This Row],[Past Zero R]],Table13[[#This Row],[Is Zero]])</f>
        <v>1</v>
      </c>
    </row>
    <row r="1208" spans="1:11" ht="16" x14ac:dyDescent="0.2">
      <c r="A1208" s="1" t="s">
        <v>54</v>
      </c>
      <c r="B1208" t="str">
        <f>LEFT(Table13[[#This Row],[Input]],1)</f>
        <v>L</v>
      </c>
      <c r="C1208">
        <f>_xlfn.LET(_xlpm.steps,SUBSTITUTE(Table13[[#This Row],[Input]],Table13[[#This Row],[Direction]],""),VALUE(IF(LEN(_xlpm.steps)&gt;2,RIGHT(_xlpm.steps,2),_xlpm.steps)))</f>
        <v>75</v>
      </c>
      <c r="D1208">
        <f>_xlfn.LET(_xlpm.steps,SUBSTITUTE(Table13[[#This Row],[Input]],Table13[[#This Row],[Direction]],""),VALUE(IF(LEN(_xlpm.steps)&gt;2,LEFT(_xlpm.steps,LEN(_xlpm.steps)-2),0)))</f>
        <v>0</v>
      </c>
      <c r="E1208">
        <f>_xlfn.LET(_xlpm.dir,Table13[[#This Row],[Direction]],
IF(_xlpm.dir="L",
    IF(G1207-Table13[[#This Row],[Steps]]&lt;0,100+(G1207-Table13[[#This Row],[Steps]]),G1207-Table13[[#This Row],[Steps]]),
))</f>
        <v>25</v>
      </c>
      <c r="F1208">
        <f>_xlfn.LET(_xlpm.dir,Table13[[#This Row],[Direction]],
IF(_xlpm.dir="R",
    IF(G1207+Table13[[#This Row],[Steps]]&gt;99,(G1207+Table13[[#This Row],[Steps]])-100,G1207+Table13[[#This Row],[Steps]]),
))</f>
        <v>0</v>
      </c>
      <c r="G1208">
        <f>IF(Table13[[#This Row],[New Pos L]]&lt;&gt;0,Table13[[#This Row],[New Pos L]],Table13[[#This Row],[New Pos R]])</f>
        <v>25</v>
      </c>
      <c r="H1208">
        <f>IF(AND(Table13[[#This Row],[Direction]]="L",Table13[[#This Row],[Steps]]&gt;G1207,G1207&lt;&gt;0),1,0)</f>
        <v>0</v>
      </c>
      <c r="I1208">
        <f>IF(AND(Table13[[#This Row],[Direction]]="R",(G1207+Table13[[#This Row],[Steps]])&gt;100),1,0)</f>
        <v>0</v>
      </c>
      <c r="J1208">
        <f>IF(Table13[[#This Row],[POS]]=0,1,0)</f>
        <v>0</v>
      </c>
      <c r="K1208">
        <f>SUM(Table13[[#This Row],[prefix]],Table13[[#This Row],[Past zero L]],Table13[[#This Row],[Past Zero R]],Table13[[#This Row],[Is Zero]])</f>
        <v>0</v>
      </c>
    </row>
    <row r="1209" spans="1:11" ht="16" x14ac:dyDescent="0.2">
      <c r="A1209" s="1" t="s">
        <v>122</v>
      </c>
      <c r="B1209" t="str">
        <f>LEFT(Table13[[#This Row],[Input]],1)</f>
        <v>R</v>
      </c>
      <c r="C1209">
        <f>_xlfn.LET(_xlpm.steps,SUBSTITUTE(Table13[[#This Row],[Input]],Table13[[#This Row],[Direction]],""),VALUE(IF(LEN(_xlpm.steps)&gt;2,RIGHT(_xlpm.steps,2),_xlpm.steps)))</f>
        <v>75</v>
      </c>
      <c r="D1209">
        <f>_xlfn.LET(_xlpm.steps,SUBSTITUTE(Table13[[#This Row],[Input]],Table13[[#This Row],[Direction]],""),VALUE(IF(LEN(_xlpm.steps)&gt;2,LEFT(_xlpm.steps,LEN(_xlpm.steps)-2),0)))</f>
        <v>0</v>
      </c>
      <c r="E1209">
        <f>_xlfn.LET(_xlpm.dir,Table13[[#This Row],[Direction]],
IF(_xlpm.dir="L",
    IF(G1208-Table13[[#This Row],[Steps]]&lt;0,100+(G1208-Table13[[#This Row],[Steps]]),G1208-Table13[[#This Row],[Steps]]),
))</f>
        <v>0</v>
      </c>
      <c r="F1209">
        <f>_xlfn.LET(_xlpm.dir,Table13[[#This Row],[Direction]],
IF(_xlpm.dir="R",
    IF(G1208+Table13[[#This Row],[Steps]]&gt;99,(G1208+Table13[[#This Row],[Steps]])-100,G1208+Table13[[#This Row],[Steps]]),
))</f>
        <v>0</v>
      </c>
      <c r="G1209">
        <f>IF(Table13[[#This Row],[New Pos L]]&lt;&gt;0,Table13[[#This Row],[New Pos L]],Table13[[#This Row],[New Pos R]])</f>
        <v>0</v>
      </c>
      <c r="H1209">
        <f>IF(AND(Table13[[#This Row],[Direction]]="L",Table13[[#This Row],[Steps]]&gt;G1208,G1208&lt;&gt;0),1,0)</f>
        <v>0</v>
      </c>
      <c r="I1209">
        <f>IF(AND(Table13[[#This Row],[Direction]]="R",(G1208+Table13[[#This Row],[Steps]])&gt;100),1,0)</f>
        <v>0</v>
      </c>
      <c r="J1209">
        <f>IF(Table13[[#This Row],[POS]]=0,1,0)</f>
        <v>1</v>
      </c>
      <c r="K1209">
        <f>SUM(Table13[[#This Row],[prefix]],Table13[[#This Row],[Past zero L]],Table13[[#This Row],[Past Zero R]],Table13[[#This Row],[Is Zero]])</f>
        <v>1</v>
      </c>
    </row>
    <row r="1210" spans="1:11" ht="16" x14ac:dyDescent="0.2">
      <c r="A1210" s="1" t="s">
        <v>255</v>
      </c>
      <c r="B1210" t="str">
        <f>LEFT(Table13[[#This Row],[Input]],1)</f>
        <v>R</v>
      </c>
      <c r="C1210">
        <f>_xlfn.LET(_xlpm.steps,SUBSTITUTE(Table13[[#This Row],[Input]],Table13[[#This Row],[Direction]],""),VALUE(IF(LEN(_xlpm.steps)&gt;2,RIGHT(_xlpm.steps,2),_xlpm.steps)))</f>
        <v>16</v>
      </c>
      <c r="D1210">
        <f>_xlfn.LET(_xlpm.steps,SUBSTITUTE(Table13[[#This Row],[Input]],Table13[[#This Row],[Direction]],""),VALUE(IF(LEN(_xlpm.steps)&gt;2,LEFT(_xlpm.steps,LEN(_xlpm.steps)-2),0)))</f>
        <v>0</v>
      </c>
      <c r="E1210">
        <f>_xlfn.LET(_xlpm.dir,Table13[[#This Row],[Direction]],
IF(_xlpm.dir="L",
    IF(G1209-Table13[[#This Row],[Steps]]&lt;0,100+(G1209-Table13[[#This Row],[Steps]]),G1209-Table13[[#This Row],[Steps]]),
))</f>
        <v>0</v>
      </c>
      <c r="F1210">
        <f>_xlfn.LET(_xlpm.dir,Table13[[#This Row],[Direction]],
IF(_xlpm.dir="R",
    IF(G1209+Table13[[#This Row],[Steps]]&gt;99,(G1209+Table13[[#This Row],[Steps]])-100,G1209+Table13[[#This Row],[Steps]]),
))</f>
        <v>16</v>
      </c>
      <c r="G1210">
        <f>IF(Table13[[#This Row],[New Pos L]]&lt;&gt;0,Table13[[#This Row],[New Pos L]],Table13[[#This Row],[New Pos R]])</f>
        <v>16</v>
      </c>
      <c r="H1210">
        <f>IF(AND(Table13[[#This Row],[Direction]]="L",Table13[[#This Row],[Steps]]&gt;G1209,G1209&lt;&gt;0),1,0)</f>
        <v>0</v>
      </c>
      <c r="I1210">
        <f>IF(AND(Table13[[#This Row],[Direction]]="R",(G1209+Table13[[#This Row],[Steps]])&gt;100),1,0)</f>
        <v>0</v>
      </c>
      <c r="J1210">
        <f>IF(Table13[[#This Row],[POS]]=0,1,0)</f>
        <v>0</v>
      </c>
      <c r="K1210">
        <f>SUM(Table13[[#This Row],[prefix]],Table13[[#This Row],[Past zero L]],Table13[[#This Row],[Past Zero R]],Table13[[#This Row],[Is Zero]])</f>
        <v>0</v>
      </c>
    </row>
    <row r="1211" spans="1:11" ht="16" x14ac:dyDescent="0.2">
      <c r="A1211" s="1" t="s">
        <v>108</v>
      </c>
      <c r="B1211" t="str">
        <f>LEFT(Table13[[#This Row],[Input]],1)</f>
        <v>R</v>
      </c>
      <c r="C1211">
        <f>_xlfn.LET(_xlpm.steps,SUBSTITUTE(Table13[[#This Row],[Input]],Table13[[#This Row],[Direction]],""),VALUE(IF(LEN(_xlpm.steps)&gt;2,RIGHT(_xlpm.steps,2),_xlpm.steps)))</f>
        <v>66</v>
      </c>
      <c r="D1211">
        <f>_xlfn.LET(_xlpm.steps,SUBSTITUTE(Table13[[#This Row],[Input]],Table13[[#This Row],[Direction]],""),VALUE(IF(LEN(_xlpm.steps)&gt;2,LEFT(_xlpm.steps,LEN(_xlpm.steps)-2),0)))</f>
        <v>0</v>
      </c>
      <c r="E1211">
        <f>_xlfn.LET(_xlpm.dir,Table13[[#This Row],[Direction]],
IF(_xlpm.dir="L",
    IF(G1210-Table13[[#This Row],[Steps]]&lt;0,100+(G1210-Table13[[#This Row],[Steps]]),G1210-Table13[[#This Row],[Steps]]),
))</f>
        <v>0</v>
      </c>
      <c r="F1211">
        <f>_xlfn.LET(_xlpm.dir,Table13[[#This Row],[Direction]],
IF(_xlpm.dir="R",
    IF(G1210+Table13[[#This Row],[Steps]]&gt;99,(G1210+Table13[[#This Row],[Steps]])-100,G1210+Table13[[#This Row],[Steps]]),
))</f>
        <v>82</v>
      </c>
      <c r="G1211">
        <f>IF(Table13[[#This Row],[New Pos L]]&lt;&gt;0,Table13[[#This Row],[New Pos L]],Table13[[#This Row],[New Pos R]])</f>
        <v>82</v>
      </c>
      <c r="H1211">
        <f>IF(AND(Table13[[#This Row],[Direction]]="L",Table13[[#This Row],[Steps]]&gt;G1210,G1210&lt;&gt;0),1,0)</f>
        <v>0</v>
      </c>
      <c r="I1211">
        <f>IF(AND(Table13[[#This Row],[Direction]]="R",(G1210+Table13[[#This Row],[Steps]])&gt;100),1,0)</f>
        <v>0</v>
      </c>
      <c r="J1211">
        <f>IF(Table13[[#This Row],[POS]]=0,1,0)</f>
        <v>0</v>
      </c>
      <c r="K1211">
        <f>SUM(Table13[[#This Row],[prefix]],Table13[[#This Row],[Past zero L]],Table13[[#This Row],[Past Zero R]],Table13[[#This Row],[Is Zero]])</f>
        <v>0</v>
      </c>
    </row>
    <row r="1212" spans="1:11" ht="16" x14ac:dyDescent="0.2">
      <c r="A1212" s="1" t="s">
        <v>46</v>
      </c>
      <c r="B1212" t="str">
        <f>LEFT(Table13[[#This Row],[Input]],1)</f>
        <v>L</v>
      </c>
      <c r="C1212">
        <f>_xlfn.LET(_xlpm.steps,SUBSTITUTE(Table13[[#This Row],[Input]],Table13[[#This Row],[Direction]],""),VALUE(IF(LEN(_xlpm.steps)&gt;2,RIGHT(_xlpm.steps,2),_xlpm.steps)))</f>
        <v>97</v>
      </c>
      <c r="D1212">
        <f>_xlfn.LET(_xlpm.steps,SUBSTITUTE(Table13[[#This Row],[Input]],Table13[[#This Row],[Direction]],""),VALUE(IF(LEN(_xlpm.steps)&gt;2,LEFT(_xlpm.steps,LEN(_xlpm.steps)-2),0)))</f>
        <v>0</v>
      </c>
      <c r="E1212">
        <f>_xlfn.LET(_xlpm.dir,Table13[[#This Row],[Direction]],
IF(_xlpm.dir="L",
    IF(G1211-Table13[[#This Row],[Steps]]&lt;0,100+(G1211-Table13[[#This Row],[Steps]]),G1211-Table13[[#This Row],[Steps]]),
))</f>
        <v>85</v>
      </c>
      <c r="F1212">
        <f>_xlfn.LET(_xlpm.dir,Table13[[#This Row],[Direction]],
IF(_xlpm.dir="R",
    IF(G1211+Table13[[#This Row],[Steps]]&gt;99,(G1211+Table13[[#This Row],[Steps]])-100,G1211+Table13[[#This Row],[Steps]]),
))</f>
        <v>0</v>
      </c>
      <c r="G1212">
        <f>IF(Table13[[#This Row],[New Pos L]]&lt;&gt;0,Table13[[#This Row],[New Pos L]],Table13[[#This Row],[New Pos R]])</f>
        <v>85</v>
      </c>
      <c r="H1212">
        <f>IF(AND(Table13[[#This Row],[Direction]]="L",Table13[[#This Row],[Steps]]&gt;G1211,G1211&lt;&gt;0),1,0)</f>
        <v>1</v>
      </c>
      <c r="I1212">
        <f>IF(AND(Table13[[#This Row],[Direction]]="R",(G1211+Table13[[#This Row],[Steps]])&gt;100),1,0)</f>
        <v>0</v>
      </c>
      <c r="J1212">
        <f>IF(Table13[[#This Row],[POS]]=0,1,0)</f>
        <v>0</v>
      </c>
      <c r="K1212">
        <f>SUM(Table13[[#This Row],[prefix]],Table13[[#This Row],[Past zero L]],Table13[[#This Row],[Past Zero R]],Table13[[#This Row],[Is Zero]])</f>
        <v>1</v>
      </c>
    </row>
    <row r="1213" spans="1:11" ht="16" x14ac:dyDescent="0.2">
      <c r="A1213" s="1" t="s">
        <v>87</v>
      </c>
      <c r="B1213" t="str">
        <f>LEFT(Table13[[#This Row],[Input]],1)</f>
        <v>L</v>
      </c>
      <c r="C1213">
        <f>_xlfn.LET(_xlpm.steps,SUBSTITUTE(Table13[[#This Row],[Input]],Table13[[#This Row],[Direction]],""),VALUE(IF(LEN(_xlpm.steps)&gt;2,RIGHT(_xlpm.steps,2),_xlpm.steps)))</f>
        <v>85</v>
      </c>
      <c r="D1213">
        <f>_xlfn.LET(_xlpm.steps,SUBSTITUTE(Table13[[#This Row],[Input]],Table13[[#This Row],[Direction]],""),VALUE(IF(LEN(_xlpm.steps)&gt;2,LEFT(_xlpm.steps,LEN(_xlpm.steps)-2),0)))</f>
        <v>4</v>
      </c>
      <c r="E1213">
        <f>_xlfn.LET(_xlpm.dir,Table13[[#This Row],[Direction]],
IF(_xlpm.dir="L",
    IF(G1212-Table13[[#This Row],[Steps]]&lt;0,100+(G1212-Table13[[#This Row],[Steps]]),G1212-Table13[[#This Row],[Steps]]),
))</f>
        <v>0</v>
      </c>
      <c r="F1213">
        <f>_xlfn.LET(_xlpm.dir,Table13[[#This Row],[Direction]],
IF(_xlpm.dir="R",
    IF(G1212+Table13[[#This Row],[Steps]]&gt;99,(G1212+Table13[[#This Row],[Steps]])-100,G1212+Table13[[#This Row],[Steps]]),
))</f>
        <v>0</v>
      </c>
      <c r="G1213">
        <f>IF(Table13[[#This Row],[New Pos L]]&lt;&gt;0,Table13[[#This Row],[New Pos L]],Table13[[#This Row],[New Pos R]])</f>
        <v>0</v>
      </c>
      <c r="H1213">
        <f>IF(AND(Table13[[#This Row],[Direction]]="L",Table13[[#This Row],[Steps]]&gt;G1212,G1212&lt;&gt;0),1,0)</f>
        <v>0</v>
      </c>
      <c r="I1213">
        <f>IF(AND(Table13[[#This Row],[Direction]]="R",(G1212+Table13[[#This Row],[Steps]])&gt;100),1,0)</f>
        <v>0</v>
      </c>
      <c r="J1213">
        <f>IF(Table13[[#This Row],[POS]]=0,1,0)</f>
        <v>1</v>
      </c>
      <c r="K1213">
        <f>SUM(Table13[[#This Row],[prefix]],Table13[[#This Row],[Past zero L]],Table13[[#This Row],[Past Zero R]],Table13[[#This Row],[Is Zero]])</f>
        <v>5</v>
      </c>
    </row>
    <row r="1214" spans="1:11" ht="16" x14ac:dyDescent="0.2">
      <c r="A1214" s="1" t="s">
        <v>141</v>
      </c>
      <c r="B1214" t="str">
        <f>LEFT(Table13[[#This Row],[Input]],1)</f>
        <v>L</v>
      </c>
      <c r="C1214">
        <f>_xlfn.LET(_xlpm.steps,SUBSTITUTE(Table13[[#This Row],[Input]],Table13[[#This Row],[Direction]],""),VALUE(IF(LEN(_xlpm.steps)&gt;2,RIGHT(_xlpm.steps,2),_xlpm.steps)))</f>
        <v>90</v>
      </c>
      <c r="D1214">
        <f>_xlfn.LET(_xlpm.steps,SUBSTITUTE(Table13[[#This Row],[Input]],Table13[[#This Row],[Direction]],""),VALUE(IF(LEN(_xlpm.steps)&gt;2,LEFT(_xlpm.steps,LEN(_xlpm.steps)-2),0)))</f>
        <v>0</v>
      </c>
      <c r="E1214">
        <f>_xlfn.LET(_xlpm.dir,Table13[[#This Row],[Direction]],
IF(_xlpm.dir="L",
    IF(G1213-Table13[[#This Row],[Steps]]&lt;0,100+(G1213-Table13[[#This Row],[Steps]]),G1213-Table13[[#This Row],[Steps]]),
))</f>
        <v>10</v>
      </c>
      <c r="F1214">
        <f>_xlfn.LET(_xlpm.dir,Table13[[#This Row],[Direction]],
IF(_xlpm.dir="R",
    IF(G1213+Table13[[#This Row],[Steps]]&gt;99,(G1213+Table13[[#This Row],[Steps]])-100,G1213+Table13[[#This Row],[Steps]]),
))</f>
        <v>0</v>
      </c>
      <c r="G1214">
        <f>IF(Table13[[#This Row],[New Pos L]]&lt;&gt;0,Table13[[#This Row],[New Pos L]],Table13[[#This Row],[New Pos R]])</f>
        <v>10</v>
      </c>
      <c r="H1214">
        <f>IF(AND(Table13[[#This Row],[Direction]]="L",Table13[[#This Row],[Steps]]&gt;G1213,G1213&lt;&gt;0),1,0)</f>
        <v>0</v>
      </c>
      <c r="I1214">
        <f>IF(AND(Table13[[#This Row],[Direction]]="R",(G1213+Table13[[#This Row],[Steps]])&gt;100),1,0)</f>
        <v>0</v>
      </c>
      <c r="J1214">
        <f>IF(Table13[[#This Row],[POS]]=0,1,0)</f>
        <v>0</v>
      </c>
      <c r="K1214">
        <f>SUM(Table13[[#This Row],[prefix]],Table13[[#This Row],[Past zero L]],Table13[[#This Row],[Past Zero R]],Table13[[#This Row],[Is Zero]])</f>
        <v>0</v>
      </c>
    </row>
    <row r="1215" spans="1:11" ht="16" x14ac:dyDescent="0.2">
      <c r="A1215" s="1" t="s">
        <v>81</v>
      </c>
      <c r="B1215" t="str">
        <f>LEFT(Table13[[#This Row],[Input]],1)</f>
        <v>R</v>
      </c>
      <c r="C1215">
        <f>_xlfn.LET(_xlpm.steps,SUBSTITUTE(Table13[[#This Row],[Input]],Table13[[#This Row],[Direction]],""),VALUE(IF(LEN(_xlpm.steps)&gt;2,RIGHT(_xlpm.steps,2),_xlpm.steps)))</f>
        <v>17</v>
      </c>
      <c r="D1215">
        <f>_xlfn.LET(_xlpm.steps,SUBSTITUTE(Table13[[#This Row],[Input]],Table13[[#This Row],[Direction]],""),VALUE(IF(LEN(_xlpm.steps)&gt;2,LEFT(_xlpm.steps,LEN(_xlpm.steps)-2),0)))</f>
        <v>0</v>
      </c>
      <c r="E1215">
        <f>_xlfn.LET(_xlpm.dir,Table13[[#This Row],[Direction]],
IF(_xlpm.dir="L",
    IF(G1214-Table13[[#This Row],[Steps]]&lt;0,100+(G1214-Table13[[#This Row],[Steps]]),G1214-Table13[[#This Row],[Steps]]),
))</f>
        <v>0</v>
      </c>
      <c r="F1215">
        <f>_xlfn.LET(_xlpm.dir,Table13[[#This Row],[Direction]],
IF(_xlpm.dir="R",
    IF(G1214+Table13[[#This Row],[Steps]]&gt;99,(G1214+Table13[[#This Row],[Steps]])-100,G1214+Table13[[#This Row],[Steps]]),
))</f>
        <v>27</v>
      </c>
      <c r="G1215">
        <f>IF(Table13[[#This Row],[New Pos L]]&lt;&gt;0,Table13[[#This Row],[New Pos L]],Table13[[#This Row],[New Pos R]])</f>
        <v>27</v>
      </c>
      <c r="H1215">
        <f>IF(AND(Table13[[#This Row],[Direction]]="L",Table13[[#This Row],[Steps]]&gt;G1214,G1214&lt;&gt;0),1,0)</f>
        <v>0</v>
      </c>
      <c r="I1215">
        <f>IF(AND(Table13[[#This Row],[Direction]]="R",(G1214+Table13[[#This Row],[Steps]])&gt;100),1,0)</f>
        <v>0</v>
      </c>
      <c r="J1215">
        <f>IF(Table13[[#This Row],[POS]]=0,1,0)</f>
        <v>0</v>
      </c>
      <c r="K1215">
        <f>SUM(Table13[[#This Row],[prefix]],Table13[[#This Row],[Past zero L]],Table13[[#This Row],[Past Zero R]],Table13[[#This Row],[Is Zero]])</f>
        <v>0</v>
      </c>
    </row>
    <row r="1216" spans="1:11" ht="16" x14ac:dyDescent="0.2">
      <c r="A1216" s="1" t="s">
        <v>394</v>
      </c>
      <c r="B1216" t="str">
        <f>LEFT(Table13[[#This Row],[Input]],1)</f>
        <v>L</v>
      </c>
      <c r="C1216">
        <f>_xlfn.LET(_xlpm.steps,SUBSTITUTE(Table13[[#This Row],[Input]],Table13[[#This Row],[Direction]],""),VALUE(IF(LEN(_xlpm.steps)&gt;2,RIGHT(_xlpm.steps,2),_xlpm.steps)))</f>
        <v>27</v>
      </c>
      <c r="D1216">
        <f>_xlfn.LET(_xlpm.steps,SUBSTITUTE(Table13[[#This Row],[Input]],Table13[[#This Row],[Direction]],""),VALUE(IF(LEN(_xlpm.steps)&gt;2,LEFT(_xlpm.steps,LEN(_xlpm.steps)-2),0)))</f>
        <v>7</v>
      </c>
      <c r="E1216">
        <f>_xlfn.LET(_xlpm.dir,Table13[[#This Row],[Direction]],
IF(_xlpm.dir="L",
    IF(G1215-Table13[[#This Row],[Steps]]&lt;0,100+(G1215-Table13[[#This Row],[Steps]]),G1215-Table13[[#This Row],[Steps]]),
))</f>
        <v>0</v>
      </c>
      <c r="F1216">
        <f>_xlfn.LET(_xlpm.dir,Table13[[#This Row],[Direction]],
IF(_xlpm.dir="R",
    IF(G1215+Table13[[#This Row],[Steps]]&gt;99,(G1215+Table13[[#This Row],[Steps]])-100,G1215+Table13[[#This Row],[Steps]]),
))</f>
        <v>0</v>
      </c>
      <c r="G1216">
        <f>IF(Table13[[#This Row],[New Pos L]]&lt;&gt;0,Table13[[#This Row],[New Pos L]],Table13[[#This Row],[New Pos R]])</f>
        <v>0</v>
      </c>
      <c r="H1216">
        <f>IF(AND(Table13[[#This Row],[Direction]]="L",Table13[[#This Row],[Steps]]&gt;G1215,G1215&lt;&gt;0),1,0)</f>
        <v>0</v>
      </c>
      <c r="I1216">
        <f>IF(AND(Table13[[#This Row],[Direction]]="R",(G1215+Table13[[#This Row],[Steps]])&gt;100),1,0)</f>
        <v>0</v>
      </c>
      <c r="J1216">
        <f>IF(Table13[[#This Row],[POS]]=0,1,0)</f>
        <v>1</v>
      </c>
      <c r="K1216">
        <f>SUM(Table13[[#This Row],[prefix]],Table13[[#This Row],[Past zero L]],Table13[[#This Row],[Past Zero R]],Table13[[#This Row],[Is Zero]])</f>
        <v>8</v>
      </c>
    </row>
    <row r="1217" spans="1:11" ht="16" x14ac:dyDescent="0.2">
      <c r="A1217" s="1" t="s">
        <v>179</v>
      </c>
      <c r="B1217" t="str">
        <f>LEFT(Table13[[#This Row],[Input]],1)</f>
        <v>L</v>
      </c>
      <c r="C1217">
        <f>_xlfn.LET(_xlpm.steps,SUBSTITUTE(Table13[[#This Row],[Input]],Table13[[#This Row],[Direction]],""),VALUE(IF(LEN(_xlpm.steps)&gt;2,RIGHT(_xlpm.steps,2),_xlpm.steps)))</f>
        <v>54</v>
      </c>
      <c r="D1217">
        <f>_xlfn.LET(_xlpm.steps,SUBSTITUTE(Table13[[#This Row],[Input]],Table13[[#This Row],[Direction]],""),VALUE(IF(LEN(_xlpm.steps)&gt;2,LEFT(_xlpm.steps,LEN(_xlpm.steps)-2),0)))</f>
        <v>0</v>
      </c>
      <c r="E1217">
        <f>_xlfn.LET(_xlpm.dir,Table13[[#This Row],[Direction]],
IF(_xlpm.dir="L",
    IF(G1216-Table13[[#This Row],[Steps]]&lt;0,100+(G1216-Table13[[#This Row],[Steps]]),G1216-Table13[[#This Row],[Steps]]),
))</f>
        <v>46</v>
      </c>
      <c r="F1217">
        <f>_xlfn.LET(_xlpm.dir,Table13[[#This Row],[Direction]],
IF(_xlpm.dir="R",
    IF(G1216+Table13[[#This Row],[Steps]]&gt;99,(G1216+Table13[[#This Row],[Steps]])-100,G1216+Table13[[#This Row],[Steps]]),
))</f>
        <v>0</v>
      </c>
      <c r="G1217">
        <f>IF(Table13[[#This Row],[New Pos L]]&lt;&gt;0,Table13[[#This Row],[New Pos L]],Table13[[#This Row],[New Pos R]])</f>
        <v>46</v>
      </c>
      <c r="H1217">
        <f>IF(AND(Table13[[#This Row],[Direction]]="L",Table13[[#This Row],[Steps]]&gt;G1216,G1216&lt;&gt;0),1,0)</f>
        <v>0</v>
      </c>
      <c r="I1217">
        <f>IF(AND(Table13[[#This Row],[Direction]]="R",(G1216+Table13[[#This Row],[Steps]])&gt;100),1,0)</f>
        <v>0</v>
      </c>
      <c r="J1217">
        <f>IF(Table13[[#This Row],[POS]]=0,1,0)</f>
        <v>0</v>
      </c>
      <c r="K1217">
        <f>SUM(Table13[[#This Row],[prefix]],Table13[[#This Row],[Past zero L]],Table13[[#This Row],[Past Zero R]],Table13[[#This Row],[Is Zero]])</f>
        <v>0</v>
      </c>
    </row>
    <row r="1218" spans="1:11" ht="16" x14ac:dyDescent="0.2">
      <c r="A1218" s="1" t="s">
        <v>136</v>
      </c>
      <c r="B1218" t="str">
        <f>LEFT(Table13[[#This Row],[Input]],1)</f>
        <v>L</v>
      </c>
      <c r="C1218">
        <f>_xlfn.LET(_xlpm.steps,SUBSTITUTE(Table13[[#This Row],[Input]],Table13[[#This Row],[Direction]],""),VALUE(IF(LEN(_xlpm.steps)&gt;2,RIGHT(_xlpm.steps,2),_xlpm.steps)))</f>
        <v>72</v>
      </c>
      <c r="D1218">
        <f>_xlfn.LET(_xlpm.steps,SUBSTITUTE(Table13[[#This Row],[Input]],Table13[[#This Row],[Direction]],""),VALUE(IF(LEN(_xlpm.steps)&gt;2,LEFT(_xlpm.steps,LEN(_xlpm.steps)-2),0)))</f>
        <v>0</v>
      </c>
      <c r="E1218">
        <f>_xlfn.LET(_xlpm.dir,Table13[[#This Row],[Direction]],
IF(_xlpm.dir="L",
    IF(G1217-Table13[[#This Row],[Steps]]&lt;0,100+(G1217-Table13[[#This Row],[Steps]]),G1217-Table13[[#This Row],[Steps]]),
))</f>
        <v>74</v>
      </c>
      <c r="F1218">
        <f>_xlfn.LET(_xlpm.dir,Table13[[#This Row],[Direction]],
IF(_xlpm.dir="R",
    IF(G1217+Table13[[#This Row],[Steps]]&gt;99,(G1217+Table13[[#This Row],[Steps]])-100,G1217+Table13[[#This Row],[Steps]]),
))</f>
        <v>0</v>
      </c>
      <c r="G1218">
        <f>IF(Table13[[#This Row],[New Pos L]]&lt;&gt;0,Table13[[#This Row],[New Pos L]],Table13[[#This Row],[New Pos R]])</f>
        <v>74</v>
      </c>
      <c r="H1218">
        <f>IF(AND(Table13[[#This Row],[Direction]]="L",Table13[[#This Row],[Steps]]&gt;G1217,G1217&lt;&gt;0),1,0)</f>
        <v>1</v>
      </c>
      <c r="I1218">
        <f>IF(AND(Table13[[#This Row],[Direction]]="R",(G1217+Table13[[#This Row],[Steps]])&gt;100),1,0)</f>
        <v>0</v>
      </c>
      <c r="J1218">
        <f>IF(Table13[[#This Row],[POS]]=0,1,0)</f>
        <v>0</v>
      </c>
      <c r="K1218">
        <f>SUM(Table13[[#This Row],[prefix]],Table13[[#This Row],[Past zero L]],Table13[[#This Row],[Past Zero R]],Table13[[#This Row],[Is Zero]])</f>
        <v>1</v>
      </c>
    </row>
    <row r="1219" spans="1:11" ht="16" x14ac:dyDescent="0.2">
      <c r="A1219" s="1" t="s">
        <v>151</v>
      </c>
      <c r="B1219" t="str">
        <f>LEFT(Table13[[#This Row],[Input]],1)</f>
        <v>L</v>
      </c>
      <c r="C1219">
        <f>_xlfn.LET(_xlpm.steps,SUBSTITUTE(Table13[[#This Row],[Input]],Table13[[#This Row],[Direction]],""),VALUE(IF(LEN(_xlpm.steps)&gt;2,RIGHT(_xlpm.steps,2),_xlpm.steps)))</f>
        <v>74</v>
      </c>
      <c r="D1219">
        <f>_xlfn.LET(_xlpm.steps,SUBSTITUTE(Table13[[#This Row],[Input]],Table13[[#This Row],[Direction]],""),VALUE(IF(LEN(_xlpm.steps)&gt;2,LEFT(_xlpm.steps,LEN(_xlpm.steps)-2),0)))</f>
        <v>0</v>
      </c>
      <c r="E1219">
        <f>_xlfn.LET(_xlpm.dir,Table13[[#This Row],[Direction]],
IF(_xlpm.dir="L",
    IF(G1218-Table13[[#This Row],[Steps]]&lt;0,100+(G1218-Table13[[#This Row],[Steps]]),G1218-Table13[[#This Row],[Steps]]),
))</f>
        <v>0</v>
      </c>
      <c r="F1219">
        <f>_xlfn.LET(_xlpm.dir,Table13[[#This Row],[Direction]],
IF(_xlpm.dir="R",
    IF(G1218+Table13[[#This Row],[Steps]]&gt;99,(G1218+Table13[[#This Row],[Steps]])-100,G1218+Table13[[#This Row],[Steps]]),
))</f>
        <v>0</v>
      </c>
      <c r="G1219">
        <f>IF(Table13[[#This Row],[New Pos L]]&lt;&gt;0,Table13[[#This Row],[New Pos L]],Table13[[#This Row],[New Pos R]])</f>
        <v>0</v>
      </c>
      <c r="H1219">
        <f>IF(AND(Table13[[#This Row],[Direction]]="L",Table13[[#This Row],[Steps]]&gt;G1218,G1218&lt;&gt;0),1,0)</f>
        <v>0</v>
      </c>
      <c r="I1219">
        <f>IF(AND(Table13[[#This Row],[Direction]]="R",(G1218+Table13[[#This Row],[Steps]])&gt;100),1,0)</f>
        <v>0</v>
      </c>
      <c r="J1219">
        <f>IF(Table13[[#This Row],[POS]]=0,1,0)</f>
        <v>1</v>
      </c>
      <c r="K1219">
        <f>SUM(Table13[[#This Row],[prefix]],Table13[[#This Row],[Past zero L]],Table13[[#This Row],[Past Zero R]],Table13[[#This Row],[Is Zero]])</f>
        <v>1</v>
      </c>
    </row>
    <row r="1220" spans="1:11" ht="16" x14ac:dyDescent="0.2">
      <c r="A1220" s="1" t="s">
        <v>53</v>
      </c>
      <c r="B1220" t="str">
        <f>LEFT(Table13[[#This Row],[Input]],1)</f>
        <v>L</v>
      </c>
      <c r="C1220">
        <f>_xlfn.LET(_xlpm.steps,SUBSTITUTE(Table13[[#This Row],[Input]],Table13[[#This Row],[Direction]],""),VALUE(IF(LEN(_xlpm.steps)&gt;2,RIGHT(_xlpm.steps,2),_xlpm.steps)))</f>
        <v>56</v>
      </c>
      <c r="D1220">
        <f>_xlfn.LET(_xlpm.steps,SUBSTITUTE(Table13[[#This Row],[Input]],Table13[[#This Row],[Direction]],""),VALUE(IF(LEN(_xlpm.steps)&gt;2,LEFT(_xlpm.steps,LEN(_xlpm.steps)-2),0)))</f>
        <v>0</v>
      </c>
      <c r="E1220">
        <f>_xlfn.LET(_xlpm.dir,Table13[[#This Row],[Direction]],
IF(_xlpm.dir="L",
    IF(G1219-Table13[[#This Row],[Steps]]&lt;0,100+(G1219-Table13[[#This Row],[Steps]]),G1219-Table13[[#This Row],[Steps]]),
))</f>
        <v>44</v>
      </c>
      <c r="F1220">
        <f>_xlfn.LET(_xlpm.dir,Table13[[#This Row],[Direction]],
IF(_xlpm.dir="R",
    IF(G1219+Table13[[#This Row],[Steps]]&gt;99,(G1219+Table13[[#This Row],[Steps]])-100,G1219+Table13[[#This Row],[Steps]]),
))</f>
        <v>0</v>
      </c>
      <c r="G1220">
        <f>IF(Table13[[#This Row],[New Pos L]]&lt;&gt;0,Table13[[#This Row],[New Pos L]],Table13[[#This Row],[New Pos R]])</f>
        <v>44</v>
      </c>
      <c r="H1220">
        <f>IF(AND(Table13[[#This Row],[Direction]]="L",Table13[[#This Row],[Steps]]&gt;G1219,G1219&lt;&gt;0),1,0)</f>
        <v>0</v>
      </c>
      <c r="I1220">
        <f>IF(AND(Table13[[#This Row],[Direction]]="R",(G1219+Table13[[#This Row],[Steps]])&gt;100),1,0)</f>
        <v>0</v>
      </c>
      <c r="J1220">
        <f>IF(Table13[[#This Row],[POS]]=0,1,0)</f>
        <v>0</v>
      </c>
      <c r="K1220">
        <f>SUM(Table13[[#This Row],[prefix]],Table13[[#This Row],[Past zero L]],Table13[[#This Row],[Past Zero R]],Table13[[#This Row],[Is Zero]])</f>
        <v>0</v>
      </c>
    </row>
    <row r="1221" spans="1:11" ht="16" x14ac:dyDescent="0.2">
      <c r="A1221" s="1" t="s">
        <v>0</v>
      </c>
      <c r="B1221" t="str">
        <f>LEFT(Table13[[#This Row],[Input]],1)</f>
        <v>L</v>
      </c>
      <c r="C1221">
        <f>_xlfn.LET(_xlpm.steps,SUBSTITUTE(Table13[[#This Row],[Input]],Table13[[#This Row],[Direction]],""),VALUE(IF(LEN(_xlpm.steps)&gt;2,RIGHT(_xlpm.steps,2),_xlpm.steps)))</f>
        <v>44</v>
      </c>
      <c r="D1221">
        <f>_xlfn.LET(_xlpm.steps,SUBSTITUTE(Table13[[#This Row],[Input]],Table13[[#This Row],[Direction]],""),VALUE(IF(LEN(_xlpm.steps)&gt;2,LEFT(_xlpm.steps,LEN(_xlpm.steps)-2),0)))</f>
        <v>0</v>
      </c>
      <c r="E1221">
        <f>_xlfn.LET(_xlpm.dir,Table13[[#This Row],[Direction]],
IF(_xlpm.dir="L",
    IF(G1220-Table13[[#This Row],[Steps]]&lt;0,100+(G1220-Table13[[#This Row],[Steps]]),G1220-Table13[[#This Row],[Steps]]),
))</f>
        <v>0</v>
      </c>
      <c r="F1221">
        <f>_xlfn.LET(_xlpm.dir,Table13[[#This Row],[Direction]],
IF(_xlpm.dir="R",
    IF(G1220+Table13[[#This Row],[Steps]]&gt;99,(G1220+Table13[[#This Row],[Steps]])-100,G1220+Table13[[#This Row],[Steps]]),
))</f>
        <v>0</v>
      </c>
      <c r="G1221">
        <f>IF(Table13[[#This Row],[New Pos L]]&lt;&gt;0,Table13[[#This Row],[New Pos L]],Table13[[#This Row],[New Pos R]])</f>
        <v>0</v>
      </c>
      <c r="H1221">
        <f>IF(AND(Table13[[#This Row],[Direction]]="L",Table13[[#This Row],[Steps]]&gt;G1220,G1220&lt;&gt;0),1,0)</f>
        <v>0</v>
      </c>
      <c r="I1221">
        <f>IF(AND(Table13[[#This Row],[Direction]]="R",(G1220+Table13[[#This Row],[Steps]])&gt;100),1,0)</f>
        <v>0</v>
      </c>
      <c r="J1221">
        <f>IF(Table13[[#This Row],[POS]]=0,1,0)</f>
        <v>1</v>
      </c>
      <c r="K1221">
        <f>SUM(Table13[[#This Row],[prefix]],Table13[[#This Row],[Past zero L]],Table13[[#This Row],[Past Zero R]],Table13[[#This Row],[Is Zero]])</f>
        <v>1</v>
      </c>
    </row>
    <row r="1222" spans="1:11" ht="16" x14ac:dyDescent="0.2">
      <c r="A1222" s="1" t="s">
        <v>129</v>
      </c>
      <c r="B1222" t="str">
        <f>LEFT(Table13[[#This Row],[Input]],1)</f>
        <v>R</v>
      </c>
      <c r="C1222">
        <f>_xlfn.LET(_xlpm.steps,SUBSTITUTE(Table13[[#This Row],[Input]],Table13[[#This Row],[Direction]],""),VALUE(IF(LEN(_xlpm.steps)&gt;2,RIGHT(_xlpm.steps,2),_xlpm.steps)))</f>
        <v>8</v>
      </c>
      <c r="D1222">
        <f>_xlfn.LET(_xlpm.steps,SUBSTITUTE(Table13[[#This Row],[Input]],Table13[[#This Row],[Direction]],""),VALUE(IF(LEN(_xlpm.steps)&gt;2,LEFT(_xlpm.steps,LEN(_xlpm.steps)-2),0)))</f>
        <v>0</v>
      </c>
      <c r="E1222">
        <f>_xlfn.LET(_xlpm.dir,Table13[[#This Row],[Direction]],
IF(_xlpm.dir="L",
    IF(G1221-Table13[[#This Row],[Steps]]&lt;0,100+(G1221-Table13[[#This Row],[Steps]]),G1221-Table13[[#This Row],[Steps]]),
))</f>
        <v>0</v>
      </c>
      <c r="F1222">
        <f>_xlfn.LET(_xlpm.dir,Table13[[#This Row],[Direction]],
IF(_xlpm.dir="R",
    IF(G1221+Table13[[#This Row],[Steps]]&gt;99,(G1221+Table13[[#This Row],[Steps]])-100,G1221+Table13[[#This Row],[Steps]]),
))</f>
        <v>8</v>
      </c>
      <c r="G1222">
        <f>IF(Table13[[#This Row],[New Pos L]]&lt;&gt;0,Table13[[#This Row],[New Pos L]],Table13[[#This Row],[New Pos R]])</f>
        <v>8</v>
      </c>
      <c r="H1222">
        <f>IF(AND(Table13[[#This Row],[Direction]]="L",Table13[[#This Row],[Steps]]&gt;G1221,G1221&lt;&gt;0),1,0)</f>
        <v>0</v>
      </c>
      <c r="I1222">
        <f>IF(AND(Table13[[#This Row],[Direction]]="R",(G1221+Table13[[#This Row],[Steps]])&gt;100),1,0)</f>
        <v>0</v>
      </c>
      <c r="J1222">
        <f>IF(Table13[[#This Row],[POS]]=0,1,0)</f>
        <v>0</v>
      </c>
      <c r="K1222">
        <f>SUM(Table13[[#This Row],[prefix]],Table13[[#This Row],[Past zero L]],Table13[[#This Row],[Past Zero R]],Table13[[#This Row],[Is Zero]])</f>
        <v>0</v>
      </c>
    </row>
    <row r="1223" spans="1:11" ht="16" x14ac:dyDescent="0.2">
      <c r="A1223" s="1" t="s">
        <v>128</v>
      </c>
      <c r="B1223" t="str">
        <f>LEFT(Table13[[#This Row],[Input]],1)</f>
        <v>R</v>
      </c>
      <c r="C1223">
        <f>_xlfn.LET(_xlpm.steps,SUBSTITUTE(Table13[[#This Row],[Input]],Table13[[#This Row],[Direction]],""),VALUE(IF(LEN(_xlpm.steps)&gt;2,RIGHT(_xlpm.steps,2),_xlpm.steps)))</f>
        <v>92</v>
      </c>
      <c r="D1223">
        <f>_xlfn.LET(_xlpm.steps,SUBSTITUTE(Table13[[#This Row],[Input]],Table13[[#This Row],[Direction]],""),VALUE(IF(LEN(_xlpm.steps)&gt;2,LEFT(_xlpm.steps,LEN(_xlpm.steps)-2),0)))</f>
        <v>0</v>
      </c>
      <c r="E1223">
        <f>_xlfn.LET(_xlpm.dir,Table13[[#This Row],[Direction]],
IF(_xlpm.dir="L",
    IF(G1222-Table13[[#This Row],[Steps]]&lt;0,100+(G1222-Table13[[#This Row],[Steps]]),G1222-Table13[[#This Row],[Steps]]),
))</f>
        <v>0</v>
      </c>
      <c r="F1223">
        <f>_xlfn.LET(_xlpm.dir,Table13[[#This Row],[Direction]],
IF(_xlpm.dir="R",
    IF(G1222+Table13[[#This Row],[Steps]]&gt;99,(G1222+Table13[[#This Row],[Steps]])-100,G1222+Table13[[#This Row],[Steps]]),
))</f>
        <v>0</v>
      </c>
      <c r="G1223">
        <f>IF(Table13[[#This Row],[New Pos L]]&lt;&gt;0,Table13[[#This Row],[New Pos L]],Table13[[#This Row],[New Pos R]])</f>
        <v>0</v>
      </c>
      <c r="H1223">
        <f>IF(AND(Table13[[#This Row],[Direction]]="L",Table13[[#This Row],[Steps]]&gt;G1222,G1222&lt;&gt;0),1,0)</f>
        <v>0</v>
      </c>
      <c r="I1223">
        <f>IF(AND(Table13[[#This Row],[Direction]]="R",(G1222+Table13[[#This Row],[Steps]])&gt;100),1,0)</f>
        <v>0</v>
      </c>
      <c r="J1223">
        <f>IF(Table13[[#This Row],[POS]]=0,1,0)</f>
        <v>1</v>
      </c>
      <c r="K1223">
        <f>SUM(Table13[[#This Row],[prefix]],Table13[[#This Row],[Past zero L]],Table13[[#This Row],[Past Zero R]],Table13[[#This Row],[Is Zero]])</f>
        <v>1</v>
      </c>
    </row>
    <row r="1224" spans="1:11" ht="16" x14ac:dyDescent="0.2">
      <c r="A1224" s="1" t="s">
        <v>205</v>
      </c>
      <c r="B1224" t="str">
        <f>LEFT(Table13[[#This Row],[Input]],1)</f>
        <v>R</v>
      </c>
      <c r="C1224">
        <f>_xlfn.LET(_xlpm.steps,SUBSTITUTE(Table13[[#This Row],[Input]],Table13[[#This Row],[Direction]],""),VALUE(IF(LEN(_xlpm.steps)&gt;2,RIGHT(_xlpm.steps,2),_xlpm.steps)))</f>
        <v>83</v>
      </c>
      <c r="D1224">
        <f>_xlfn.LET(_xlpm.steps,SUBSTITUTE(Table13[[#This Row],[Input]],Table13[[#This Row],[Direction]],""),VALUE(IF(LEN(_xlpm.steps)&gt;2,LEFT(_xlpm.steps,LEN(_xlpm.steps)-2),0)))</f>
        <v>0</v>
      </c>
      <c r="E1224">
        <f>_xlfn.LET(_xlpm.dir,Table13[[#This Row],[Direction]],
IF(_xlpm.dir="L",
    IF(G1223-Table13[[#This Row],[Steps]]&lt;0,100+(G1223-Table13[[#This Row],[Steps]]),G1223-Table13[[#This Row],[Steps]]),
))</f>
        <v>0</v>
      </c>
      <c r="F1224">
        <f>_xlfn.LET(_xlpm.dir,Table13[[#This Row],[Direction]],
IF(_xlpm.dir="R",
    IF(G1223+Table13[[#This Row],[Steps]]&gt;99,(G1223+Table13[[#This Row],[Steps]])-100,G1223+Table13[[#This Row],[Steps]]),
))</f>
        <v>83</v>
      </c>
      <c r="G1224">
        <f>IF(Table13[[#This Row],[New Pos L]]&lt;&gt;0,Table13[[#This Row],[New Pos L]],Table13[[#This Row],[New Pos R]])</f>
        <v>83</v>
      </c>
      <c r="H1224">
        <f>IF(AND(Table13[[#This Row],[Direction]]="L",Table13[[#This Row],[Steps]]&gt;G1223,G1223&lt;&gt;0),1,0)</f>
        <v>0</v>
      </c>
      <c r="I1224">
        <f>IF(AND(Table13[[#This Row],[Direction]]="R",(G1223+Table13[[#This Row],[Steps]])&gt;100),1,0)</f>
        <v>0</v>
      </c>
      <c r="J1224">
        <f>IF(Table13[[#This Row],[POS]]=0,1,0)</f>
        <v>0</v>
      </c>
      <c r="K1224">
        <f>SUM(Table13[[#This Row],[prefix]],Table13[[#This Row],[Past zero L]],Table13[[#This Row],[Past Zero R]],Table13[[#This Row],[Is Zero]])</f>
        <v>0</v>
      </c>
    </row>
    <row r="1225" spans="1:11" ht="16" x14ac:dyDescent="0.2">
      <c r="A1225" s="1" t="s">
        <v>19</v>
      </c>
      <c r="B1225" t="str">
        <f>LEFT(Table13[[#This Row],[Input]],1)</f>
        <v>R</v>
      </c>
      <c r="C1225">
        <f>_xlfn.LET(_xlpm.steps,SUBSTITUTE(Table13[[#This Row],[Input]],Table13[[#This Row],[Direction]],""),VALUE(IF(LEN(_xlpm.steps)&gt;2,RIGHT(_xlpm.steps,2),_xlpm.steps)))</f>
        <v>47</v>
      </c>
      <c r="D1225">
        <f>_xlfn.LET(_xlpm.steps,SUBSTITUTE(Table13[[#This Row],[Input]],Table13[[#This Row],[Direction]],""),VALUE(IF(LEN(_xlpm.steps)&gt;2,LEFT(_xlpm.steps,LEN(_xlpm.steps)-2),0)))</f>
        <v>0</v>
      </c>
      <c r="E1225">
        <f>_xlfn.LET(_xlpm.dir,Table13[[#This Row],[Direction]],
IF(_xlpm.dir="L",
    IF(G1224-Table13[[#This Row],[Steps]]&lt;0,100+(G1224-Table13[[#This Row],[Steps]]),G1224-Table13[[#This Row],[Steps]]),
))</f>
        <v>0</v>
      </c>
      <c r="F1225">
        <f>_xlfn.LET(_xlpm.dir,Table13[[#This Row],[Direction]],
IF(_xlpm.dir="R",
    IF(G1224+Table13[[#This Row],[Steps]]&gt;99,(G1224+Table13[[#This Row],[Steps]])-100,G1224+Table13[[#This Row],[Steps]]),
))</f>
        <v>30</v>
      </c>
      <c r="G1225">
        <f>IF(Table13[[#This Row],[New Pos L]]&lt;&gt;0,Table13[[#This Row],[New Pos L]],Table13[[#This Row],[New Pos R]])</f>
        <v>30</v>
      </c>
      <c r="H1225">
        <f>IF(AND(Table13[[#This Row],[Direction]]="L",Table13[[#This Row],[Steps]]&gt;G1224,G1224&lt;&gt;0),1,0)</f>
        <v>0</v>
      </c>
      <c r="I1225">
        <f>IF(AND(Table13[[#This Row],[Direction]]="R",(G1224+Table13[[#This Row],[Steps]])&gt;100),1,0)</f>
        <v>1</v>
      </c>
      <c r="J1225">
        <f>IF(Table13[[#This Row],[POS]]=0,1,0)</f>
        <v>0</v>
      </c>
      <c r="K1225">
        <f>SUM(Table13[[#This Row],[prefix]],Table13[[#This Row],[Past zero L]],Table13[[#This Row],[Past Zero R]],Table13[[#This Row],[Is Zero]])</f>
        <v>1</v>
      </c>
    </row>
    <row r="1226" spans="1:11" ht="16" x14ac:dyDescent="0.2">
      <c r="A1226" s="1" t="s">
        <v>58</v>
      </c>
      <c r="B1226" t="str">
        <f>LEFT(Table13[[#This Row],[Input]],1)</f>
        <v>L</v>
      </c>
      <c r="C1226">
        <f>_xlfn.LET(_xlpm.steps,SUBSTITUTE(Table13[[#This Row],[Input]],Table13[[#This Row],[Direction]],""),VALUE(IF(LEN(_xlpm.steps)&gt;2,RIGHT(_xlpm.steps,2),_xlpm.steps)))</f>
        <v>30</v>
      </c>
      <c r="D1226">
        <f>_xlfn.LET(_xlpm.steps,SUBSTITUTE(Table13[[#This Row],[Input]],Table13[[#This Row],[Direction]],""),VALUE(IF(LEN(_xlpm.steps)&gt;2,LEFT(_xlpm.steps,LEN(_xlpm.steps)-2),0)))</f>
        <v>0</v>
      </c>
      <c r="E1226">
        <f>_xlfn.LET(_xlpm.dir,Table13[[#This Row],[Direction]],
IF(_xlpm.dir="L",
    IF(G1225-Table13[[#This Row],[Steps]]&lt;0,100+(G1225-Table13[[#This Row],[Steps]]),G1225-Table13[[#This Row],[Steps]]),
))</f>
        <v>0</v>
      </c>
      <c r="F1226">
        <f>_xlfn.LET(_xlpm.dir,Table13[[#This Row],[Direction]],
IF(_xlpm.dir="R",
    IF(G1225+Table13[[#This Row],[Steps]]&gt;99,(G1225+Table13[[#This Row],[Steps]])-100,G1225+Table13[[#This Row],[Steps]]),
))</f>
        <v>0</v>
      </c>
      <c r="G1226">
        <f>IF(Table13[[#This Row],[New Pos L]]&lt;&gt;0,Table13[[#This Row],[New Pos L]],Table13[[#This Row],[New Pos R]])</f>
        <v>0</v>
      </c>
      <c r="H1226">
        <f>IF(AND(Table13[[#This Row],[Direction]]="L",Table13[[#This Row],[Steps]]&gt;G1225,G1225&lt;&gt;0),1,0)</f>
        <v>0</v>
      </c>
      <c r="I1226">
        <f>IF(AND(Table13[[#This Row],[Direction]]="R",(G1225+Table13[[#This Row],[Steps]])&gt;100),1,0)</f>
        <v>0</v>
      </c>
      <c r="J1226">
        <f>IF(Table13[[#This Row],[POS]]=0,1,0)</f>
        <v>1</v>
      </c>
      <c r="K1226">
        <f>SUM(Table13[[#This Row],[prefix]],Table13[[#This Row],[Past zero L]],Table13[[#This Row],[Past Zero R]],Table13[[#This Row],[Is Zero]])</f>
        <v>1</v>
      </c>
    </row>
    <row r="1227" spans="1:11" ht="16" x14ac:dyDescent="0.2">
      <c r="A1227" s="1" t="s">
        <v>58</v>
      </c>
      <c r="B1227" t="str">
        <f>LEFT(Table13[[#This Row],[Input]],1)</f>
        <v>L</v>
      </c>
      <c r="C1227">
        <f>_xlfn.LET(_xlpm.steps,SUBSTITUTE(Table13[[#This Row],[Input]],Table13[[#This Row],[Direction]],""),VALUE(IF(LEN(_xlpm.steps)&gt;2,RIGHT(_xlpm.steps,2),_xlpm.steps)))</f>
        <v>30</v>
      </c>
      <c r="D1227">
        <f>_xlfn.LET(_xlpm.steps,SUBSTITUTE(Table13[[#This Row],[Input]],Table13[[#This Row],[Direction]],""),VALUE(IF(LEN(_xlpm.steps)&gt;2,LEFT(_xlpm.steps,LEN(_xlpm.steps)-2),0)))</f>
        <v>0</v>
      </c>
      <c r="E1227">
        <f>_xlfn.LET(_xlpm.dir,Table13[[#This Row],[Direction]],
IF(_xlpm.dir="L",
    IF(G1226-Table13[[#This Row],[Steps]]&lt;0,100+(G1226-Table13[[#This Row],[Steps]]),G1226-Table13[[#This Row],[Steps]]),
))</f>
        <v>70</v>
      </c>
      <c r="F1227">
        <f>_xlfn.LET(_xlpm.dir,Table13[[#This Row],[Direction]],
IF(_xlpm.dir="R",
    IF(G1226+Table13[[#This Row],[Steps]]&gt;99,(G1226+Table13[[#This Row],[Steps]])-100,G1226+Table13[[#This Row],[Steps]]),
))</f>
        <v>0</v>
      </c>
      <c r="G1227">
        <f>IF(Table13[[#This Row],[New Pos L]]&lt;&gt;0,Table13[[#This Row],[New Pos L]],Table13[[#This Row],[New Pos R]])</f>
        <v>70</v>
      </c>
      <c r="H1227">
        <f>IF(AND(Table13[[#This Row],[Direction]]="L",Table13[[#This Row],[Steps]]&gt;G1226,G1226&lt;&gt;0),1,0)</f>
        <v>0</v>
      </c>
      <c r="I1227">
        <f>IF(AND(Table13[[#This Row],[Direction]]="R",(G1226+Table13[[#This Row],[Steps]])&gt;100),1,0)</f>
        <v>0</v>
      </c>
      <c r="J1227">
        <f>IF(Table13[[#This Row],[POS]]=0,1,0)</f>
        <v>0</v>
      </c>
      <c r="K1227">
        <f>SUM(Table13[[#This Row],[prefix]],Table13[[#This Row],[Past zero L]],Table13[[#This Row],[Past Zero R]],Table13[[#This Row],[Is Zero]])</f>
        <v>0</v>
      </c>
    </row>
    <row r="1228" spans="1:11" ht="16" x14ac:dyDescent="0.2">
      <c r="A1228" s="1" t="s">
        <v>104</v>
      </c>
      <c r="B1228" t="str">
        <f>LEFT(Table13[[#This Row],[Input]],1)</f>
        <v>R</v>
      </c>
      <c r="C1228">
        <f>_xlfn.LET(_xlpm.steps,SUBSTITUTE(Table13[[#This Row],[Input]],Table13[[#This Row],[Direction]],""),VALUE(IF(LEN(_xlpm.steps)&gt;2,RIGHT(_xlpm.steps,2),_xlpm.steps)))</f>
        <v>59</v>
      </c>
      <c r="D1228">
        <f>_xlfn.LET(_xlpm.steps,SUBSTITUTE(Table13[[#This Row],[Input]],Table13[[#This Row],[Direction]],""),VALUE(IF(LEN(_xlpm.steps)&gt;2,LEFT(_xlpm.steps,LEN(_xlpm.steps)-2),0)))</f>
        <v>0</v>
      </c>
      <c r="E1228">
        <f>_xlfn.LET(_xlpm.dir,Table13[[#This Row],[Direction]],
IF(_xlpm.dir="L",
    IF(G1227-Table13[[#This Row],[Steps]]&lt;0,100+(G1227-Table13[[#This Row],[Steps]]),G1227-Table13[[#This Row],[Steps]]),
))</f>
        <v>0</v>
      </c>
      <c r="F1228">
        <f>_xlfn.LET(_xlpm.dir,Table13[[#This Row],[Direction]],
IF(_xlpm.dir="R",
    IF(G1227+Table13[[#This Row],[Steps]]&gt;99,(G1227+Table13[[#This Row],[Steps]])-100,G1227+Table13[[#This Row],[Steps]]),
))</f>
        <v>29</v>
      </c>
      <c r="G1228">
        <f>IF(Table13[[#This Row],[New Pos L]]&lt;&gt;0,Table13[[#This Row],[New Pos L]],Table13[[#This Row],[New Pos R]])</f>
        <v>29</v>
      </c>
      <c r="H1228">
        <f>IF(AND(Table13[[#This Row],[Direction]]="L",Table13[[#This Row],[Steps]]&gt;G1227,G1227&lt;&gt;0),1,0)</f>
        <v>0</v>
      </c>
      <c r="I1228">
        <f>IF(AND(Table13[[#This Row],[Direction]]="R",(G1227+Table13[[#This Row],[Steps]])&gt;100),1,0)</f>
        <v>1</v>
      </c>
      <c r="J1228">
        <f>IF(Table13[[#This Row],[POS]]=0,1,0)</f>
        <v>0</v>
      </c>
      <c r="K1228">
        <f>SUM(Table13[[#This Row],[prefix]],Table13[[#This Row],[Past zero L]],Table13[[#This Row],[Past Zero R]],Table13[[#This Row],[Is Zero]])</f>
        <v>1</v>
      </c>
    </row>
    <row r="1229" spans="1:11" ht="16" x14ac:dyDescent="0.2">
      <c r="A1229" s="1" t="s">
        <v>153</v>
      </c>
      <c r="B1229" t="str">
        <f>LEFT(Table13[[#This Row],[Input]],1)</f>
        <v>L</v>
      </c>
      <c r="C1229">
        <f>_xlfn.LET(_xlpm.steps,SUBSTITUTE(Table13[[#This Row],[Input]],Table13[[#This Row],[Direction]],""),VALUE(IF(LEN(_xlpm.steps)&gt;2,RIGHT(_xlpm.steps,2),_xlpm.steps)))</f>
        <v>41</v>
      </c>
      <c r="D1229">
        <f>_xlfn.LET(_xlpm.steps,SUBSTITUTE(Table13[[#This Row],[Input]],Table13[[#This Row],[Direction]],""),VALUE(IF(LEN(_xlpm.steps)&gt;2,LEFT(_xlpm.steps,LEN(_xlpm.steps)-2),0)))</f>
        <v>2</v>
      </c>
      <c r="E1229">
        <f>_xlfn.LET(_xlpm.dir,Table13[[#This Row],[Direction]],
IF(_xlpm.dir="L",
    IF(G1228-Table13[[#This Row],[Steps]]&lt;0,100+(G1228-Table13[[#This Row],[Steps]]),G1228-Table13[[#This Row],[Steps]]),
))</f>
        <v>88</v>
      </c>
      <c r="F1229">
        <f>_xlfn.LET(_xlpm.dir,Table13[[#This Row],[Direction]],
IF(_xlpm.dir="R",
    IF(G1228+Table13[[#This Row],[Steps]]&gt;99,(G1228+Table13[[#This Row],[Steps]])-100,G1228+Table13[[#This Row],[Steps]]),
))</f>
        <v>0</v>
      </c>
      <c r="G1229">
        <f>IF(Table13[[#This Row],[New Pos L]]&lt;&gt;0,Table13[[#This Row],[New Pos L]],Table13[[#This Row],[New Pos R]])</f>
        <v>88</v>
      </c>
      <c r="H1229">
        <f>IF(AND(Table13[[#This Row],[Direction]]="L",Table13[[#This Row],[Steps]]&gt;G1228,G1228&lt;&gt;0),1,0)</f>
        <v>1</v>
      </c>
      <c r="I1229">
        <f>IF(AND(Table13[[#This Row],[Direction]]="R",(G1228+Table13[[#This Row],[Steps]])&gt;100),1,0)</f>
        <v>0</v>
      </c>
      <c r="J1229">
        <f>IF(Table13[[#This Row],[POS]]=0,1,0)</f>
        <v>0</v>
      </c>
      <c r="K1229">
        <f>SUM(Table13[[#This Row],[prefix]],Table13[[#This Row],[Past zero L]],Table13[[#This Row],[Past Zero R]],Table13[[#This Row],[Is Zero]])</f>
        <v>3</v>
      </c>
    </row>
    <row r="1230" spans="1:11" ht="16" x14ac:dyDescent="0.2">
      <c r="A1230" s="1" t="s">
        <v>395</v>
      </c>
      <c r="B1230" t="str">
        <f>LEFT(Table13[[#This Row],[Input]],1)</f>
        <v>L</v>
      </c>
      <c r="C1230">
        <f>_xlfn.LET(_xlpm.steps,SUBSTITUTE(Table13[[#This Row],[Input]],Table13[[#This Row],[Direction]],""),VALUE(IF(LEN(_xlpm.steps)&gt;2,RIGHT(_xlpm.steps,2),_xlpm.steps)))</f>
        <v>23</v>
      </c>
      <c r="D1230">
        <f>_xlfn.LET(_xlpm.steps,SUBSTITUTE(Table13[[#This Row],[Input]],Table13[[#This Row],[Direction]],""),VALUE(IF(LEN(_xlpm.steps)&gt;2,LEFT(_xlpm.steps,LEN(_xlpm.steps)-2),0)))</f>
        <v>8</v>
      </c>
      <c r="E1230">
        <f>_xlfn.LET(_xlpm.dir,Table13[[#This Row],[Direction]],
IF(_xlpm.dir="L",
    IF(G1229-Table13[[#This Row],[Steps]]&lt;0,100+(G1229-Table13[[#This Row],[Steps]]),G1229-Table13[[#This Row],[Steps]]),
))</f>
        <v>65</v>
      </c>
      <c r="F1230">
        <f>_xlfn.LET(_xlpm.dir,Table13[[#This Row],[Direction]],
IF(_xlpm.dir="R",
    IF(G1229+Table13[[#This Row],[Steps]]&gt;99,(G1229+Table13[[#This Row],[Steps]])-100,G1229+Table13[[#This Row],[Steps]]),
))</f>
        <v>0</v>
      </c>
      <c r="G1230">
        <f>IF(Table13[[#This Row],[New Pos L]]&lt;&gt;0,Table13[[#This Row],[New Pos L]],Table13[[#This Row],[New Pos R]])</f>
        <v>65</v>
      </c>
      <c r="H1230">
        <f>IF(AND(Table13[[#This Row],[Direction]]="L",Table13[[#This Row],[Steps]]&gt;G1229,G1229&lt;&gt;0),1,0)</f>
        <v>0</v>
      </c>
      <c r="I1230">
        <f>IF(AND(Table13[[#This Row],[Direction]]="R",(G1229+Table13[[#This Row],[Steps]])&gt;100),1,0)</f>
        <v>0</v>
      </c>
      <c r="J1230">
        <f>IF(Table13[[#This Row],[POS]]=0,1,0)</f>
        <v>0</v>
      </c>
      <c r="K1230">
        <f>SUM(Table13[[#This Row],[prefix]],Table13[[#This Row],[Past zero L]],Table13[[#This Row],[Past Zero R]],Table13[[#This Row],[Is Zero]])</f>
        <v>8</v>
      </c>
    </row>
    <row r="1231" spans="1:11" ht="16" x14ac:dyDescent="0.2">
      <c r="A1231" s="1" t="s">
        <v>396</v>
      </c>
      <c r="B1231" t="str">
        <f>LEFT(Table13[[#This Row],[Input]],1)</f>
        <v>R</v>
      </c>
      <c r="C1231">
        <f>_xlfn.LET(_xlpm.steps,SUBSTITUTE(Table13[[#This Row],[Input]],Table13[[#This Row],[Direction]],""),VALUE(IF(LEN(_xlpm.steps)&gt;2,RIGHT(_xlpm.steps,2),_xlpm.steps)))</f>
        <v>84</v>
      </c>
      <c r="D1231">
        <f>_xlfn.LET(_xlpm.steps,SUBSTITUTE(Table13[[#This Row],[Input]],Table13[[#This Row],[Direction]],""),VALUE(IF(LEN(_xlpm.steps)&gt;2,LEFT(_xlpm.steps,LEN(_xlpm.steps)-2),0)))</f>
        <v>3</v>
      </c>
      <c r="E1231">
        <f>_xlfn.LET(_xlpm.dir,Table13[[#This Row],[Direction]],
IF(_xlpm.dir="L",
    IF(G1230-Table13[[#This Row],[Steps]]&lt;0,100+(G1230-Table13[[#This Row],[Steps]]),G1230-Table13[[#This Row],[Steps]]),
))</f>
        <v>0</v>
      </c>
      <c r="F1231">
        <f>_xlfn.LET(_xlpm.dir,Table13[[#This Row],[Direction]],
IF(_xlpm.dir="R",
    IF(G1230+Table13[[#This Row],[Steps]]&gt;99,(G1230+Table13[[#This Row],[Steps]])-100,G1230+Table13[[#This Row],[Steps]]),
))</f>
        <v>49</v>
      </c>
      <c r="G1231">
        <f>IF(Table13[[#This Row],[New Pos L]]&lt;&gt;0,Table13[[#This Row],[New Pos L]],Table13[[#This Row],[New Pos R]])</f>
        <v>49</v>
      </c>
      <c r="H1231">
        <f>IF(AND(Table13[[#This Row],[Direction]]="L",Table13[[#This Row],[Steps]]&gt;G1230,G1230&lt;&gt;0),1,0)</f>
        <v>0</v>
      </c>
      <c r="I1231">
        <f>IF(AND(Table13[[#This Row],[Direction]]="R",(G1230+Table13[[#This Row],[Steps]])&gt;100),1,0)</f>
        <v>1</v>
      </c>
      <c r="J1231">
        <f>IF(Table13[[#This Row],[POS]]=0,1,0)</f>
        <v>0</v>
      </c>
      <c r="K1231">
        <f>SUM(Table13[[#This Row],[prefix]],Table13[[#This Row],[Past zero L]],Table13[[#This Row],[Past Zero R]],Table13[[#This Row],[Is Zero]])</f>
        <v>4</v>
      </c>
    </row>
    <row r="1232" spans="1:11" ht="16" x14ac:dyDescent="0.2">
      <c r="A1232" s="1" t="s">
        <v>75</v>
      </c>
      <c r="B1232" t="str">
        <f>LEFT(Table13[[#This Row],[Input]],1)</f>
        <v>R</v>
      </c>
      <c r="C1232">
        <f>_xlfn.LET(_xlpm.steps,SUBSTITUTE(Table13[[#This Row],[Input]],Table13[[#This Row],[Direction]],""),VALUE(IF(LEN(_xlpm.steps)&gt;2,RIGHT(_xlpm.steps,2),_xlpm.steps)))</f>
        <v>2</v>
      </c>
      <c r="D1232">
        <f>_xlfn.LET(_xlpm.steps,SUBSTITUTE(Table13[[#This Row],[Input]],Table13[[#This Row],[Direction]],""),VALUE(IF(LEN(_xlpm.steps)&gt;2,LEFT(_xlpm.steps,LEN(_xlpm.steps)-2),0)))</f>
        <v>0</v>
      </c>
      <c r="E1232">
        <f>_xlfn.LET(_xlpm.dir,Table13[[#This Row],[Direction]],
IF(_xlpm.dir="L",
    IF(G1231-Table13[[#This Row],[Steps]]&lt;0,100+(G1231-Table13[[#This Row],[Steps]]),G1231-Table13[[#This Row],[Steps]]),
))</f>
        <v>0</v>
      </c>
      <c r="F1232">
        <f>_xlfn.LET(_xlpm.dir,Table13[[#This Row],[Direction]],
IF(_xlpm.dir="R",
    IF(G1231+Table13[[#This Row],[Steps]]&gt;99,(G1231+Table13[[#This Row],[Steps]])-100,G1231+Table13[[#This Row],[Steps]]),
))</f>
        <v>51</v>
      </c>
      <c r="G1232">
        <f>IF(Table13[[#This Row],[New Pos L]]&lt;&gt;0,Table13[[#This Row],[New Pos L]],Table13[[#This Row],[New Pos R]])</f>
        <v>51</v>
      </c>
      <c r="H1232">
        <f>IF(AND(Table13[[#This Row],[Direction]]="L",Table13[[#This Row],[Steps]]&gt;G1231,G1231&lt;&gt;0),1,0)</f>
        <v>0</v>
      </c>
      <c r="I1232">
        <f>IF(AND(Table13[[#This Row],[Direction]]="R",(G1231+Table13[[#This Row],[Steps]])&gt;100),1,0)</f>
        <v>0</v>
      </c>
      <c r="J1232">
        <f>IF(Table13[[#This Row],[POS]]=0,1,0)</f>
        <v>0</v>
      </c>
      <c r="K1232">
        <f>SUM(Table13[[#This Row],[prefix]],Table13[[#This Row],[Past zero L]],Table13[[#This Row],[Past Zero R]],Table13[[#This Row],[Is Zero]])</f>
        <v>0</v>
      </c>
    </row>
    <row r="1233" spans="1:11" ht="16" x14ac:dyDescent="0.2">
      <c r="A1233" s="1" t="s">
        <v>314</v>
      </c>
      <c r="B1233" t="str">
        <f>LEFT(Table13[[#This Row],[Input]],1)</f>
        <v>L</v>
      </c>
      <c r="C1233">
        <f>_xlfn.LET(_xlpm.steps,SUBSTITUTE(Table13[[#This Row],[Input]],Table13[[#This Row],[Direction]],""),VALUE(IF(LEN(_xlpm.steps)&gt;2,RIGHT(_xlpm.steps,2),_xlpm.steps)))</f>
        <v>94</v>
      </c>
      <c r="D1233">
        <f>_xlfn.LET(_xlpm.steps,SUBSTITUTE(Table13[[#This Row],[Input]],Table13[[#This Row],[Direction]],""),VALUE(IF(LEN(_xlpm.steps)&gt;2,LEFT(_xlpm.steps,LEN(_xlpm.steps)-2),0)))</f>
        <v>5</v>
      </c>
      <c r="E1233">
        <f>_xlfn.LET(_xlpm.dir,Table13[[#This Row],[Direction]],
IF(_xlpm.dir="L",
    IF(G1232-Table13[[#This Row],[Steps]]&lt;0,100+(G1232-Table13[[#This Row],[Steps]]),G1232-Table13[[#This Row],[Steps]]),
))</f>
        <v>57</v>
      </c>
      <c r="F1233">
        <f>_xlfn.LET(_xlpm.dir,Table13[[#This Row],[Direction]],
IF(_xlpm.dir="R",
    IF(G1232+Table13[[#This Row],[Steps]]&gt;99,(G1232+Table13[[#This Row],[Steps]])-100,G1232+Table13[[#This Row],[Steps]]),
))</f>
        <v>0</v>
      </c>
      <c r="G1233">
        <f>IF(Table13[[#This Row],[New Pos L]]&lt;&gt;0,Table13[[#This Row],[New Pos L]],Table13[[#This Row],[New Pos R]])</f>
        <v>57</v>
      </c>
      <c r="H1233">
        <f>IF(AND(Table13[[#This Row],[Direction]]="L",Table13[[#This Row],[Steps]]&gt;G1232,G1232&lt;&gt;0),1,0)</f>
        <v>1</v>
      </c>
      <c r="I1233">
        <f>IF(AND(Table13[[#This Row],[Direction]]="R",(G1232+Table13[[#This Row],[Steps]])&gt;100),1,0)</f>
        <v>0</v>
      </c>
      <c r="J1233">
        <f>IF(Table13[[#This Row],[POS]]=0,1,0)</f>
        <v>0</v>
      </c>
      <c r="K1233">
        <f>SUM(Table13[[#This Row],[prefix]],Table13[[#This Row],[Past zero L]],Table13[[#This Row],[Past Zero R]],Table13[[#This Row],[Is Zero]])</f>
        <v>6</v>
      </c>
    </row>
    <row r="1234" spans="1:11" ht="16" x14ac:dyDescent="0.2">
      <c r="A1234" s="1" t="s">
        <v>135</v>
      </c>
      <c r="B1234" t="str">
        <f>LEFT(Table13[[#This Row],[Input]],1)</f>
        <v>R</v>
      </c>
      <c r="C1234">
        <f>_xlfn.LET(_xlpm.steps,SUBSTITUTE(Table13[[#This Row],[Input]],Table13[[#This Row],[Direction]],""),VALUE(IF(LEN(_xlpm.steps)&gt;2,RIGHT(_xlpm.steps,2),_xlpm.steps)))</f>
        <v>69</v>
      </c>
      <c r="D1234">
        <f>_xlfn.LET(_xlpm.steps,SUBSTITUTE(Table13[[#This Row],[Input]],Table13[[#This Row],[Direction]],""),VALUE(IF(LEN(_xlpm.steps)&gt;2,LEFT(_xlpm.steps,LEN(_xlpm.steps)-2),0)))</f>
        <v>0</v>
      </c>
      <c r="E1234">
        <f>_xlfn.LET(_xlpm.dir,Table13[[#This Row],[Direction]],
IF(_xlpm.dir="L",
    IF(G1233-Table13[[#This Row],[Steps]]&lt;0,100+(G1233-Table13[[#This Row],[Steps]]),G1233-Table13[[#This Row],[Steps]]),
))</f>
        <v>0</v>
      </c>
      <c r="F1234">
        <f>_xlfn.LET(_xlpm.dir,Table13[[#This Row],[Direction]],
IF(_xlpm.dir="R",
    IF(G1233+Table13[[#This Row],[Steps]]&gt;99,(G1233+Table13[[#This Row],[Steps]])-100,G1233+Table13[[#This Row],[Steps]]),
))</f>
        <v>26</v>
      </c>
      <c r="G1234">
        <f>IF(Table13[[#This Row],[New Pos L]]&lt;&gt;0,Table13[[#This Row],[New Pos L]],Table13[[#This Row],[New Pos R]])</f>
        <v>26</v>
      </c>
      <c r="H1234">
        <f>IF(AND(Table13[[#This Row],[Direction]]="L",Table13[[#This Row],[Steps]]&gt;G1233,G1233&lt;&gt;0),1,0)</f>
        <v>0</v>
      </c>
      <c r="I1234">
        <f>IF(AND(Table13[[#This Row],[Direction]]="R",(G1233+Table13[[#This Row],[Steps]])&gt;100),1,0)</f>
        <v>1</v>
      </c>
      <c r="J1234">
        <f>IF(Table13[[#This Row],[POS]]=0,1,0)</f>
        <v>0</v>
      </c>
      <c r="K1234">
        <f>SUM(Table13[[#This Row],[prefix]],Table13[[#This Row],[Past zero L]],Table13[[#This Row],[Past Zero R]],Table13[[#This Row],[Is Zero]])</f>
        <v>1</v>
      </c>
    </row>
    <row r="1235" spans="1:11" ht="16" x14ac:dyDescent="0.2">
      <c r="A1235" s="1" t="s">
        <v>77</v>
      </c>
      <c r="B1235" t="str">
        <f>LEFT(Table13[[#This Row],[Input]],1)</f>
        <v>R</v>
      </c>
      <c r="C1235">
        <f>_xlfn.LET(_xlpm.steps,SUBSTITUTE(Table13[[#This Row],[Input]],Table13[[#This Row],[Direction]],""),VALUE(IF(LEN(_xlpm.steps)&gt;2,RIGHT(_xlpm.steps,2),_xlpm.steps)))</f>
        <v>74</v>
      </c>
      <c r="D1235">
        <f>_xlfn.LET(_xlpm.steps,SUBSTITUTE(Table13[[#This Row],[Input]],Table13[[#This Row],[Direction]],""),VALUE(IF(LEN(_xlpm.steps)&gt;2,LEFT(_xlpm.steps,LEN(_xlpm.steps)-2),0)))</f>
        <v>0</v>
      </c>
      <c r="E1235">
        <f>_xlfn.LET(_xlpm.dir,Table13[[#This Row],[Direction]],
IF(_xlpm.dir="L",
    IF(G1234-Table13[[#This Row],[Steps]]&lt;0,100+(G1234-Table13[[#This Row],[Steps]]),G1234-Table13[[#This Row],[Steps]]),
))</f>
        <v>0</v>
      </c>
      <c r="F1235">
        <f>_xlfn.LET(_xlpm.dir,Table13[[#This Row],[Direction]],
IF(_xlpm.dir="R",
    IF(G1234+Table13[[#This Row],[Steps]]&gt;99,(G1234+Table13[[#This Row],[Steps]])-100,G1234+Table13[[#This Row],[Steps]]),
))</f>
        <v>0</v>
      </c>
      <c r="G1235">
        <f>IF(Table13[[#This Row],[New Pos L]]&lt;&gt;0,Table13[[#This Row],[New Pos L]],Table13[[#This Row],[New Pos R]])</f>
        <v>0</v>
      </c>
      <c r="H1235">
        <f>IF(AND(Table13[[#This Row],[Direction]]="L",Table13[[#This Row],[Steps]]&gt;G1234,G1234&lt;&gt;0),1,0)</f>
        <v>0</v>
      </c>
      <c r="I1235">
        <f>IF(AND(Table13[[#This Row],[Direction]]="R",(G1234+Table13[[#This Row],[Steps]])&gt;100),1,0)</f>
        <v>0</v>
      </c>
      <c r="J1235">
        <f>IF(Table13[[#This Row],[POS]]=0,1,0)</f>
        <v>1</v>
      </c>
      <c r="K1235">
        <f>SUM(Table13[[#This Row],[prefix]],Table13[[#This Row],[Past zero L]],Table13[[#This Row],[Past Zero R]],Table13[[#This Row],[Is Zero]])</f>
        <v>1</v>
      </c>
    </row>
    <row r="1236" spans="1:11" ht="16" x14ac:dyDescent="0.2">
      <c r="A1236" s="1" t="s">
        <v>379</v>
      </c>
      <c r="B1236" t="str">
        <f>LEFT(Table13[[#This Row],[Input]],1)</f>
        <v>L</v>
      </c>
      <c r="C1236">
        <f>_xlfn.LET(_xlpm.steps,SUBSTITUTE(Table13[[#This Row],[Input]],Table13[[#This Row],[Direction]],""),VALUE(IF(LEN(_xlpm.steps)&gt;2,RIGHT(_xlpm.steps,2),_xlpm.steps)))</f>
        <v>4</v>
      </c>
      <c r="D1236">
        <f>_xlfn.LET(_xlpm.steps,SUBSTITUTE(Table13[[#This Row],[Input]],Table13[[#This Row],[Direction]],""),VALUE(IF(LEN(_xlpm.steps)&gt;2,LEFT(_xlpm.steps,LEN(_xlpm.steps)-2),0)))</f>
        <v>0</v>
      </c>
      <c r="E1236">
        <f>_xlfn.LET(_xlpm.dir,Table13[[#This Row],[Direction]],
IF(_xlpm.dir="L",
    IF(G1235-Table13[[#This Row],[Steps]]&lt;0,100+(G1235-Table13[[#This Row],[Steps]]),G1235-Table13[[#This Row],[Steps]]),
))</f>
        <v>96</v>
      </c>
      <c r="F1236">
        <f>_xlfn.LET(_xlpm.dir,Table13[[#This Row],[Direction]],
IF(_xlpm.dir="R",
    IF(G1235+Table13[[#This Row],[Steps]]&gt;99,(G1235+Table13[[#This Row],[Steps]])-100,G1235+Table13[[#This Row],[Steps]]),
))</f>
        <v>0</v>
      </c>
      <c r="G1236">
        <f>IF(Table13[[#This Row],[New Pos L]]&lt;&gt;0,Table13[[#This Row],[New Pos L]],Table13[[#This Row],[New Pos R]])</f>
        <v>96</v>
      </c>
      <c r="H1236">
        <f>IF(AND(Table13[[#This Row],[Direction]]="L",Table13[[#This Row],[Steps]]&gt;G1235,G1235&lt;&gt;0),1,0)</f>
        <v>0</v>
      </c>
      <c r="I1236">
        <f>IF(AND(Table13[[#This Row],[Direction]]="R",(G1235+Table13[[#This Row],[Steps]])&gt;100),1,0)</f>
        <v>0</v>
      </c>
      <c r="J1236">
        <f>IF(Table13[[#This Row],[POS]]=0,1,0)</f>
        <v>0</v>
      </c>
      <c r="K1236">
        <f>SUM(Table13[[#This Row],[prefix]],Table13[[#This Row],[Past zero L]],Table13[[#This Row],[Past Zero R]],Table13[[#This Row],[Is Zero]])</f>
        <v>0</v>
      </c>
    </row>
    <row r="1237" spans="1:11" ht="16" x14ac:dyDescent="0.2">
      <c r="A1237" s="1" t="s">
        <v>62</v>
      </c>
      <c r="B1237" t="str">
        <f>LEFT(Table13[[#This Row],[Input]],1)</f>
        <v>L</v>
      </c>
      <c r="C1237">
        <f>_xlfn.LET(_xlpm.steps,SUBSTITUTE(Table13[[#This Row],[Input]],Table13[[#This Row],[Direction]],""),VALUE(IF(LEN(_xlpm.steps)&gt;2,RIGHT(_xlpm.steps,2),_xlpm.steps)))</f>
        <v>57</v>
      </c>
      <c r="D1237">
        <f>_xlfn.LET(_xlpm.steps,SUBSTITUTE(Table13[[#This Row],[Input]],Table13[[#This Row],[Direction]],""),VALUE(IF(LEN(_xlpm.steps)&gt;2,LEFT(_xlpm.steps,LEN(_xlpm.steps)-2),0)))</f>
        <v>0</v>
      </c>
      <c r="E1237">
        <f>_xlfn.LET(_xlpm.dir,Table13[[#This Row],[Direction]],
IF(_xlpm.dir="L",
    IF(G1236-Table13[[#This Row],[Steps]]&lt;0,100+(G1236-Table13[[#This Row],[Steps]]),G1236-Table13[[#This Row],[Steps]]),
))</f>
        <v>39</v>
      </c>
      <c r="F1237">
        <f>_xlfn.LET(_xlpm.dir,Table13[[#This Row],[Direction]],
IF(_xlpm.dir="R",
    IF(G1236+Table13[[#This Row],[Steps]]&gt;99,(G1236+Table13[[#This Row],[Steps]])-100,G1236+Table13[[#This Row],[Steps]]),
))</f>
        <v>0</v>
      </c>
      <c r="G1237">
        <f>IF(Table13[[#This Row],[New Pos L]]&lt;&gt;0,Table13[[#This Row],[New Pos L]],Table13[[#This Row],[New Pos R]])</f>
        <v>39</v>
      </c>
      <c r="H1237">
        <f>IF(AND(Table13[[#This Row],[Direction]]="L",Table13[[#This Row],[Steps]]&gt;G1236,G1236&lt;&gt;0),1,0)</f>
        <v>0</v>
      </c>
      <c r="I1237">
        <f>IF(AND(Table13[[#This Row],[Direction]]="R",(G1236+Table13[[#This Row],[Steps]])&gt;100),1,0)</f>
        <v>0</v>
      </c>
      <c r="J1237">
        <f>IF(Table13[[#This Row],[POS]]=0,1,0)</f>
        <v>0</v>
      </c>
      <c r="K1237">
        <f>SUM(Table13[[#This Row],[prefix]],Table13[[#This Row],[Past zero L]],Table13[[#This Row],[Past Zero R]],Table13[[#This Row],[Is Zero]])</f>
        <v>0</v>
      </c>
    </row>
    <row r="1238" spans="1:11" ht="16" x14ac:dyDescent="0.2">
      <c r="A1238" s="1" t="s">
        <v>185</v>
      </c>
      <c r="B1238" t="str">
        <f>LEFT(Table13[[#This Row],[Input]],1)</f>
        <v>R</v>
      </c>
      <c r="C1238">
        <f>_xlfn.LET(_xlpm.steps,SUBSTITUTE(Table13[[#This Row],[Input]],Table13[[#This Row],[Direction]],""),VALUE(IF(LEN(_xlpm.steps)&gt;2,RIGHT(_xlpm.steps,2),_xlpm.steps)))</f>
        <v>61</v>
      </c>
      <c r="D1238">
        <f>_xlfn.LET(_xlpm.steps,SUBSTITUTE(Table13[[#This Row],[Input]],Table13[[#This Row],[Direction]],""),VALUE(IF(LEN(_xlpm.steps)&gt;2,LEFT(_xlpm.steps,LEN(_xlpm.steps)-2),0)))</f>
        <v>0</v>
      </c>
      <c r="E1238">
        <f>_xlfn.LET(_xlpm.dir,Table13[[#This Row],[Direction]],
IF(_xlpm.dir="L",
    IF(G1237-Table13[[#This Row],[Steps]]&lt;0,100+(G1237-Table13[[#This Row],[Steps]]),G1237-Table13[[#This Row],[Steps]]),
))</f>
        <v>0</v>
      </c>
      <c r="F1238">
        <f>_xlfn.LET(_xlpm.dir,Table13[[#This Row],[Direction]],
IF(_xlpm.dir="R",
    IF(G1237+Table13[[#This Row],[Steps]]&gt;99,(G1237+Table13[[#This Row],[Steps]])-100,G1237+Table13[[#This Row],[Steps]]),
))</f>
        <v>0</v>
      </c>
      <c r="G1238">
        <f>IF(Table13[[#This Row],[New Pos L]]&lt;&gt;0,Table13[[#This Row],[New Pos L]],Table13[[#This Row],[New Pos R]])</f>
        <v>0</v>
      </c>
      <c r="H1238">
        <f>IF(AND(Table13[[#This Row],[Direction]]="L",Table13[[#This Row],[Steps]]&gt;G1237,G1237&lt;&gt;0),1,0)</f>
        <v>0</v>
      </c>
      <c r="I1238">
        <f>IF(AND(Table13[[#This Row],[Direction]]="R",(G1237+Table13[[#This Row],[Steps]])&gt;100),1,0)</f>
        <v>0</v>
      </c>
      <c r="J1238">
        <f>IF(Table13[[#This Row],[POS]]=0,1,0)</f>
        <v>1</v>
      </c>
      <c r="K1238">
        <f>SUM(Table13[[#This Row],[prefix]],Table13[[#This Row],[Past zero L]],Table13[[#This Row],[Past Zero R]],Table13[[#This Row],[Is Zero]])</f>
        <v>1</v>
      </c>
    </row>
    <row r="1239" spans="1:11" ht="16" x14ac:dyDescent="0.2">
      <c r="A1239" s="1" t="s">
        <v>132</v>
      </c>
      <c r="B1239" t="str">
        <f>LEFT(Table13[[#This Row],[Input]],1)</f>
        <v>L</v>
      </c>
      <c r="C1239">
        <f>_xlfn.LET(_xlpm.steps,SUBSTITUTE(Table13[[#This Row],[Input]],Table13[[#This Row],[Direction]],""),VALUE(IF(LEN(_xlpm.steps)&gt;2,RIGHT(_xlpm.steps,2),_xlpm.steps)))</f>
        <v>51</v>
      </c>
      <c r="D1239">
        <f>_xlfn.LET(_xlpm.steps,SUBSTITUTE(Table13[[#This Row],[Input]],Table13[[#This Row],[Direction]],""),VALUE(IF(LEN(_xlpm.steps)&gt;2,LEFT(_xlpm.steps,LEN(_xlpm.steps)-2),0)))</f>
        <v>0</v>
      </c>
      <c r="E1239">
        <f>_xlfn.LET(_xlpm.dir,Table13[[#This Row],[Direction]],
IF(_xlpm.dir="L",
    IF(G1238-Table13[[#This Row],[Steps]]&lt;0,100+(G1238-Table13[[#This Row],[Steps]]),G1238-Table13[[#This Row],[Steps]]),
))</f>
        <v>49</v>
      </c>
      <c r="F1239">
        <f>_xlfn.LET(_xlpm.dir,Table13[[#This Row],[Direction]],
IF(_xlpm.dir="R",
    IF(G1238+Table13[[#This Row],[Steps]]&gt;99,(G1238+Table13[[#This Row],[Steps]])-100,G1238+Table13[[#This Row],[Steps]]),
))</f>
        <v>0</v>
      </c>
      <c r="G1239">
        <f>IF(Table13[[#This Row],[New Pos L]]&lt;&gt;0,Table13[[#This Row],[New Pos L]],Table13[[#This Row],[New Pos R]])</f>
        <v>49</v>
      </c>
      <c r="H1239">
        <f>IF(AND(Table13[[#This Row],[Direction]]="L",Table13[[#This Row],[Steps]]&gt;G1238,G1238&lt;&gt;0),1,0)</f>
        <v>0</v>
      </c>
      <c r="I1239">
        <f>IF(AND(Table13[[#This Row],[Direction]]="R",(G1238+Table13[[#This Row],[Steps]])&gt;100),1,0)</f>
        <v>0</v>
      </c>
      <c r="J1239">
        <f>IF(Table13[[#This Row],[POS]]=0,1,0)</f>
        <v>0</v>
      </c>
      <c r="K1239">
        <f>SUM(Table13[[#This Row],[prefix]],Table13[[#This Row],[Past zero L]],Table13[[#This Row],[Past Zero R]],Table13[[#This Row],[Is Zero]])</f>
        <v>0</v>
      </c>
    </row>
    <row r="1240" spans="1:11" ht="16" x14ac:dyDescent="0.2">
      <c r="A1240" s="1" t="s">
        <v>246</v>
      </c>
      <c r="B1240" t="str">
        <f>LEFT(Table13[[#This Row],[Input]],1)</f>
        <v>L</v>
      </c>
      <c r="C1240">
        <f>_xlfn.LET(_xlpm.steps,SUBSTITUTE(Table13[[#This Row],[Input]],Table13[[#This Row],[Direction]],""),VALUE(IF(LEN(_xlpm.steps)&gt;2,RIGHT(_xlpm.steps,2),_xlpm.steps)))</f>
        <v>90</v>
      </c>
      <c r="D1240">
        <f>_xlfn.LET(_xlpm.steps,SUBSTITUTE(Table13[[#This Row],[Input]],Table13[[#This Row],[Direction]],""),VALUE(IF(LEN(_xlpm.steps)&gt;2,LEFT(_xlpm.steps,LEN(_xlpm.steps)-2),0)))</f>
        <v>4</v>
      </c>
      <c r="E1240">
        <f>_xlfn.LET(_xlpm.dir,Table13[[#This Row],[Direction]],
IF(_xlpm.dir="L",
    IF(G1239-Table13[[#This Row],[Steps]]&lt;0,100+(G1239-Table13[[#This Row],[Steps]]),G1239-Table13[[#This Row],[Steps]]),
))</f>
        <v>59</v>
      </c>
      <c r="F1240">
        <f>_xlfn.LET(_xlpm.dir,Table13[[#This Row],[Direction]],
IF(_xlpm.dir="R",
    IF(G1239+Table13[[#This Row],[Steps]]&gt;99,(G1239+Table13[[#This Row],[Steps]])-100,G1239+Table13[[#This Row],[Steps]]),
))</f>
        <v>0</v>
      </c>
      <c r="G1240">
        <f>IF(Table13[[#This Row],[New Pos L]]&lt;&gt;0,Table13[[#This Row],[New Pos L]],Table13[[#This Row],[New Pos R]])</f>
        <v>59</v>
      </c>
      <c r="H1240">
        <f>IF(AND(Table13[[#This Row],[Direction]]="L",Table13[[#This Row],[Steps]]&gt;G1239,G1239&lt;&gt;0),1,0)</f>
        <v>1</v>
      </c>
      <c r="I1240">
        <f>IF(AND(Table13[[#This Row],[Direction]]="R",(G1239+Table13[[#This Row],[Steps]])&gt;100),1,0)</f>
        <v>0</v>
      </c>
      <c r="J1240">
        <f>IF(Table13[[#This Row],[POS]]=0,1,0)</f>
        <v>0</v>
      </c>
      <c r="K1240">
        <f>SUM(Table13[[#This Row],[prefix]],Table13[[#This Row],[Past zero L]],Table13[[#This Row],[Past Zero R]],Table13[[#This Row],[Is Zero]])</f>
        <v>5</v>
      </c>
    </row>
    <row r="1241" spans="1:11" ht="16" x14ac:dyDescent="0.2">
      <c r="A1241" s="1" t="s">
        <v>155</v>
      </c>
      <c r="B1241" t="str">
        <f>LEFT(Table13[[#This Row],[Input]],1)</f>
        <v>L</v>
      </c>
      <c r="C1241">
        <f>_xlfn.LET(_xlpm.steps,SUBSTITUTE(Table13[[#This Row],[Input]],Table13[[#This Row],[Direction]],""),VALUE(IF(LEN(_xlpm.steps)&gt;2,RIGHT(_xlpm.steps,2),_xlpm.steps)))</f>
        <v>18</v>
      </c>
      <c r="D1241">
        <f>_xlfn.LET(_xlpm.steps,SUBSTITUTE(Table13[[#This Row],[Input]],Table13[[#This Row],[Direction]],""),VALUE(IF(LEN(_xlpm.steps)&gt;2,LEFT(_xlpm.steps,LEN(_xlpm.steps)-2),0)))</f>
        <v>0</v>
      </c>
      <c r="E1241">
        <f>_xlfn.LET(_xlpm.dir,Table13[[#This Row],[Direction]],
IF(_xlpm.dir="L",
    IF(G1240-Table13[[#This Row],[Steps]]&lt;0,100+(G1240-Table13[[#This Row],[Steps]]),G1240-Table13[[#This Row],[Steps]]),
))</f>
        <v>41</v>
      </c>
      <c r="F1241">
        <f>_xlfn.LET(_xlpm.dir,Table13[[#This Row],[Direction]],
IF(_xlpm.dir="R",
    IF(G1240+Table13[[#This Row],[Steps]]&gt;99,(G1240+Table13[[#This Row],[Steps]])-100,G1240+Table13[[#This Row],[Steps]]),
))</f>
        <v>0</v>
      </c>
      <c r="G1241">
        <f>IF(Table13[[#This Row],[New Pos L]]&lt;&gt;0,Table13[[#This Row],[New Pos L]],Table13[[#This Row],[New Pos R]])</f>
        <v>41</v>
      </c>
      <c r="H1241">
        <f>IF(AND(Table13[[#This Row],[Direction]]="L",Table13[[#This Row],[Steps]]&gt;G1240,G1240&lt;&gt;0),1,0)</f>
        <v>0</v>
      </c>
      <c r="I1241">
        <f>IF(AND(Table13[[#This Row],[Direction]]="R",(G1240+Table13[[#This Row],[Steps]])&gt;100),1,0)</f>
        <v>0</v>
      </c>
      <c r="J1241">
        <f>IF(Table13[[#This Row],[POS]]=0,1,0)</f>
        <v>0</v>
      </c>
      <c r="K1241">
        <f>SUM(Table13[[#This Row],[prefix]],Table13[[#This Row],[Past zero L]],Table13[[#This Row],[Past Zero R]],Table13[[#This Row],[Is Zero]])</f>
        <v>0</v>
      </c>
    </row>
    <row r="1242" spans="1:11" ht="16" x14ac:dyDescent="0.2">
      <c r="A1242" s="1" t="s">
        <v>397</v>
      </c>
      <c r="B1242" t="str">
        <f>LEFT(Table13[[#This Row],[Input]],1)</f>
        <v>R</v>
      </c>
      <c r="C1242">
        <f>_xlfn.LET(_xlpm.steps,SUBSTITUTE(Table13[[#This Row],[Input]],Table13[[#This Row],[Direction]],""),VALUE(IF(LEN(_xlpm.steps)&gt;2,RIGHT(_xlpm.steps,2),_xlpm.steps)))</f>
        <v>82</v>
      </c>
      <c r="D1242">
        <f>_xlfn.LET(_xlpm.steps,SUBSTITUTE(Table13[[#This Row],[Input]],Table13[[#This Row],[Direction]],""),VALUE(IF(LEN(_xlpm.steps)&gt;2,LEFT(_xlpm.steps,LEN(_xlpm.steps)-2),0)))</f>
        <v>8</v>
      </c>
      <c r="E1242">
        <f>_xlfn.LET(_xlpm.dir,Table13[[#This Row],[Direction]],
IF(_xlpm.dir="L",
    IF(G1241-Table13[[#This Row],[Steps]]&lt;0,100+(G1241-Table13[[#This Row],[Steps]]),G1241-Table13[[#This Row],[Steps]]),
))</f>
        <v>0</v>
      </c>
      <c r="F1242">
        <f>_xlfn.LET(_xlpm.dir,Table13[[#This Row],[Direction]],
IF(_xlpm.dir="R",
    IF(G1241+Table13[[#This Row],[Steps]]&gt;99,(G1241+Table13[[#This Row],[Steps]])-100,G1241+Table13[[#This Row],[Steps]]),
))</f>
        <v>23</v>
      </c>
      <c r="G1242">
        <f>IF(Table13[[#This Row],[New Pos L]]&lt;&gt;0,Table13[[#This Row],[New Pos L]],Table13[[#This Row],[New Pos R]])</f>
        <v>23</v>
      </c>
      <c r="H1242">
        <f>IF(AND(Table13[[#This Row],[Direction]]="L",Table13[[#This Row],[Steps]]&gt;G1241,G1241&lt;&gt;0),1,0)</f>
        <v>0</v>
      </c>
      <c r="I1242">
        <f>IF(AND(Table13[[#This Row],[Direction]]="R",(G1241+Table13[[#This Row],[Steps]])&gt;100),1,0)</f>
        <v>1</v>
      </c>
      <c r="J1242">
        <f>IF(Table13[[#This Row],[POS]]=0,1,0)</f>
        <v>0</v>
      </c>
      <c r="K1242">
        <f>SUM(Table13[[#This Row],[prefix]],Table13[[#This Row],[Past zero L]],Table13[[#This Row],[Past Zero R]],Table13[[#This Row],[Is Zero]])</f>
        <v>9</v>
      </c>
    </row>
    <row r="1243" spans="1:11" ht="16" x14ac:dyDescent="0.2">
      <c r="A1243" s="1" t="s">
        <v>2</v>
      </c>
      <c r="B1243" t="str">
        <f>LEFT(Table13[[#This Row],[Input]],1)</f>
        <v>L</v>
      </c>
      <c r="C1243">
        <f>_xlfn.LET(_xlpm.steps,SUBSTITUTE(Table13[[#This Row],[Input]],Table13[[#This Row],[Direction]],""),VALUE(IF(LEN(_xlpm.steps)&gt;2,RIGHT(_xlpm.steps,2),_xlpm.steps)))</f>
        <v>38</v>
      </c>
      <c r="D1243">
        <f>_xlfn.LET(_xlpm.steps,SUBSTITUTE(Table13[[#This Row],[Input]],Table13[[#This Row],[Direction]],""),VALUE(IF(LEN(_xlpm.steps)&gt;2,LEFT(_xlpm.steps,LEN(_xlpm.steps)-2),0)))</f>
        <v>0</v>
      </c>
      <c r="E1243">
        <f>_xlfn.LET(_xlpm.dir,Table13[[#This Row],[Direction]],
IF(_xlpm.dir="L",
    IF(G1242-Table13[[#This Row],[Steps]]&lt;0,100+(G1242-Table13[[#This Row],[Steps]]),G1242-Table13[[#This Row],[Steps]]),
))</f>
        <v>85</v>
      </c>
      <c r="F1243">
        <f>_xlfn.LET(_xlpm.dir,Table13[[#This Row],[Direction]],
IF(_xlpm.dir="R",
    IF(G1242+Table13[[#This Row],[Steps]]&gt;99,(G1242+Table13[[#This Row],[Steps]])-100,G1242+Table13[[#This Row],[Steps]]),
))</f>
        <v>0</v>
      </c>
      <c r="G1243">
        <f>IF(Table13[[#This Row],[New Pos L]]&lt;&gt;0,Table13[[#This Row],[New Pos L]],Table13[[#This Row],[New Pos R]])</f>
        <v>85</v>
      </c>
      <c r="H1243">
        <f>IF(AND(Table13[[#This Row],[Direction]]="L",Table13[[#This Row],[Steps]]&gt;G1242,G1242&lt;&gt;0),1,0)</f>
        <v>1</v>
      </c>
      <c r="I1243">
        <f>IF(AND(Table13[[#This Row],[Direction]]="R",(G1242+Table13[[#This Row],[Steps]])&gt;100),1,0)</f>
        <v>0</v>
      </c>
      <c r="J1243">
        <f>IF(Table13[[#This Row],[POS]]=0,1,0)</f>
        <v>0</v>
      </c>
      <c r="K1243">
        <f>SUM(Table13[[#This Row],[prefix]],Table13[[#This Row],[Past zero L]],Table13[[#This Row],[Past Zero R]],Table13[[#This Row],[Is Zero]])</f>
        <v>1</v>
      </c>
    </row>
    <row r="1244" spans="1:11" ht="16" x14ac:dyDescent="0.2">
      <c r="A1244" s="1" t="s">
        <v>175</v>
      </c>
      <c r="B1244" t="str">
        <f>LEFT(Table13[[#This Row],[Input]],1)</f>
        <v>L</v>
      </c>
      <c r="C1244">
        <f>_xlfn.LET(_xlpm.steps,SUBSTITUTE(Table13[[#This Row],[Input]],Table13[[#This Row],[Direction]],""),VALUE(IF(LEN(_xlpm.steps)&gt;2,RIGHT(_xlpm.steps,2),_xlpm.steps)))</f>
        <v>1</v>
      </c>
      <c r="D1244">
        <f>_xlfn.LET(_xlpm.steps,SUBSTITUTE(Table13[[#This Row],[Input]],Table13[[#This Row],[Direction]],""),VALUE(IF(LEN(_xlpm.steps)&gt;2,LEFT(_xlpm.steps,LEN(_xlpm.steps)-2),0)))</f>
        <v>0</v>
      </c>
      <c r="E1244">
        <f>_xlfn.LET(_xlpm.dir,Table13[[#This Row],[Direction]],
IF(_xlpm.dir="L",
    IF(G1243-Table13[[#This Row],[Steps]]&lt;0,100+(G1243-Table13[[#This Row],[Steps]]),G1243-Table13[[#This Row],[Steps]]),
))</f>
        <v>84</v>
      </c>
      <c r="F1244">
        <f>_xlfn.LET(_xlpm.dir,Table13[[#This Row],[Direction]],
IF(_xlpm.dir="R",
    IF(G1243+Table13[[#This Row],[Steps]]&gt;99,(G1243+Table13[[#This Row],[Steps]])-100,G1243+Table13[[#This Row],[Steps]]),
))</f>
        <v>0</v>
      </c>
      <c r="G1244">
        <f>IF(Table13[[#This Row],[New Pos L]]&lt;&gt;0,Table13[[#This Row],[New Pos L]],Table13[[#This Row],[New Pos R]])</f>
        <v>84</v>
      </c>
      <c r="H1244">
        <f>IF(AND(Table13[[#This Row],[Direction]]="L",Table13[[#This Row],[Steps]]&gt;G1243,G1243&lt;&gt;0),1,0)</f>
        <v>0</v>
      </c>
      <c r="I1244">
        <f>IF(AND(Table13[[#This Row],[Direction]]="R",(G1243+Table13[[#This Row],[Steps]])&gt;100),1,0)</f>
        <v>0</v>
      </c>
      <c r="J1244">
        <f>IF(Table13[[#This Row],[POS]]=0,1,0)</f>
        <v>0</v>
      </c>
      <c r="K1244">
        <f>SUM(Table13[[#This Row],[prefix]],Table13[[#This Row],[Past zero L]],Table13[[#This Row],[Past Zero R]],Table13[[#This Row],[Is Zero]])</f>
        <v>0</v>
      </c>
    </row>
    <row r="1245" spans="1:11" ht="16" x14ac:dyDescent="0.2">
      <c r="A1245" s="1" t="s">
        <v>15</v>
      </c>
      <c r="B1245" t="str">
        <f>LEFT(Table13[[#This Row],[Input]],1)</f>
        <v>R</v>
      </c>
      <c r="C1245">
        <f>_xlfn.LET(_xlpm.steps,SUBSTITUTE(Table13[[#This Row],[Input]],Table13[[#This Row],[Direction]],""),VALUE(IF(LEN(_xlpm.steps)&gt;2,RIGHT(_xlpm.steps,2),_xlpm.steps)))</f>
        <v>36</v>
      </c>
      <c r="D1245">
        <f>_xlfn.LET(_xlpm.steps,SUBSTITUTE(Table13[[#This Row],[Input]],Table13[[#This Row],[Direction]],""),VALUE(IF(LEN(_xlpm.steps)&gt;2,LEFT(_xlpm.steps,LEN(_xlpm.steps)-2),0)))</f>
        <v>0</v>
      </c>
      <c r="E1245">
        <f>_xlfn.LET(_xlpm.dir,Table13[[#This Row],[Direction]],
IF(_xlpm.dir="L",
    IF(G1244-Table13[[#This Row],[Steps]]&lt;0,100+(G1244-Table13[[#This Row],[Steps]]),G1244-Table13[[#This Row],[Steps]]),
))</f>
        <v>0</v>
      </c>
      <c r="F1245">
        <f>_xlfn.LET(_xlpm.dir,Table13[[#This Row],[Direction]],
IF(_xlpm.dir="R",
    IF(G1244+Table13[[#This Row],[Steps]]&gt;99,(G1244+Table13[[#This Row],[Steps]])-100,G1244+Table13[[#This Row],[Steps]]),
))</f>
        <v>20</v>
      </c>
      <c r="G1245">
        <f>IF(Table13[[#This Row],[New Pos L]]&lt;&gt;0,Table13[[#This Row],[New Pos L]],Table13[[#This Row],[New Pos R]])</f>
        <v>20</v>
      </c>
      <c r="H1245">
        <f>IF(AND(Table13[[#This Row],[Direction]]="L",Table13[[#This Row],[Steps]]&gt;G1244,G1244&lt;&gt;0),1,0)</f>
        <v>0</v>
      </c>
      <c r="I1245">
        <f>IF(AND(Table13[[#This Row],[Direction]]="R",(G1244+Table13[[#This Row],[Steps]])&gt;100),1,0)</f>
        <v>1</v>
      </c>
      <c r="J1245">
        <f>IF(Table13[[#This Row],[POS]]=0,1,0)</f>
        <v>0</v>
      </c>
      <c r="K1245">
        <f>SUM(Table13[[#This Row],[prefix]],Table13[[#This Row],[Past zero L]],Table13[[#This Row],[Past Zero R]],Table13[[#This Row],[Is Zero]])</f>
        <v>1</v>
      </c>
    </row>
    <row r="1246" spans="1:11" ht="16" x14ac:dyDescent="0.2">
      <c r="A1246" s="1" t="s">
        <v>88</v>
      </c>
      <c r="B1246" t="str">
        <f>LEFT(Table13[[#This Row],[Input]],1)</f>
        <v>R</v>
      </c>
      <c r="C1246">
        <f>_xlfn.LET(_xlpm.steps,SUBSTITUTE(Table13[[#This Row],[Input]],Table13[[#This Row],[Direction]],""),VALUE(IF(LEN(_xlpm.steps)&gt;2,RIGHT(_xlpm.steps,2),_xlpm.steps)))</f>
        <v>53</v>
      </c>
      <c r="D1246">
        <f>_xlfn.LET(_xlpm.steps,SUBSTITUTE(Table13[[#This Row],[Input]],Table13[[#This Row],[Direction]],""),VALUE(IF(LEN(_xlpm.steps)&gt;2,LEFT(_xlpm.steps,LEN(_xlpm.steps)-2),0)))</f>
        <v>0</v>
      </c>
      <c r="E1246">
        <f>_xlfn.LET(_xlpm.dir,Table13[[#This Row],[Direction]],
IF(_xlpm.dir="L",
    IF(G1245-Table13[[#This Row],[Steps]]&lt;0,100+(G1245-Table13[[#This Row],[Steps]]),G1245-Table13[[#This Row],[Steps]]),
))</f>
        <v>0</v>
      </c>
      <c r="F1246">
        <f>_xlfn.LET(_xlpm.dir,Table13[[#This Row],[Direction]],
IF(_xlpm.dir="R",
    IF(G1245+Table13[[#This Row],[Steps]]&gt;99,(G1245+Table13[[#This Row],[Steps]])-100,G1245+Table13[[#This Row],[Steps]]),
))</f>
        <v>73</v>
      </c>
      <c r="G1246">
        <f>IF(Table13[[#This Row],[New Pos L]]&lt;&gt;0,Table13[[#This Row],[New Pos L]],Table13[[#This Row],[New Pos R]])</f>
        <v>73</v>
      </c>
      <c r="H1246">
        <f>IF(AND(Table13[[#This Row],[Direction]]="L",Table13[[#This Row],[Steps]]&gt;G1245,G1245&lt;&gt;0),1,0)</f>
        <v>0</v>
      </c>
      <c r="I1246">
        <f>IF(AND(Table13[[#This Row],[Direction]]="R",(G1245+Table13[[#This Row],[Steps]])&gt;100),1,0)</f>
        <v>0</v>
      </c>
      <c r="J1246">
        <f>IF(Table13[[#This Row],[POS]]=0,1,0)</f>
        <v>0</v>
      </c>
      <c r="K1246">
        <f>SUM(Table13[[#This Row],[prefix]],Table13[[#This Row],[Past zero L]],Table13[[#This Row],[Past Zero R]],Table13[[#This Row],[Is Zero]])</f>
        <v>0</v>
      </c>
    </row>
    <row r="1247" spans="1:11" ht="16" x14ac:dyDescent="0.2">
      <c r="A1247" s="1" t="s">
        <v>398</v>
      </c>
      <c r="B1247" t="str">
        <f>LEFT(Table13[[#This Row],[Input]],1)</f>
        <v>R</v>
      </c>
      <c r="C1247">
        <f>_xlfn.LET(_xlpm.steps,SUBSTITUTE(Table13[[#This Row],[Input]],Table13[[#This Row],[Direction]],""),VALUE(IF(LEN(_xlpm.steps)&gt;2,RIGHT(_xlpm.steps,2),_xlpm.steps)))</f>
        <v>27</v>
      </c>
      <c r="D1247">
        <f>_xlfn.LET(_xlpm.steps,SUBSTITUTE(Table13[[#This Row],[Input]],Table13[[#This Row],[Direction]],""),VALUE(IF(LEN(_xlpm.steps)&gt;2,LEFT(_xlpm.steps,LEN(_xlpm.steps)-2),0)))</f>
        <v>3</v>
      </c>
      <c r="E1247">
        <f>_xlfn.LET(_xlpm.dir,Table13[[#This Row],[Direction]],
IF(_xlpm.dir="L",
    IF(G1246-Table13[[#This Row],[Steps]]&lt;0,100+(G1246-Table13[[#This Row],[Steps]]),G1246-Table13[[#This Row],[Steps]]),
))</f>
        <v>0</v>
      </c>
      <c r="F1247">
        <f>_xlfn.LET(_xlpm.dir,Table13[[#This Row],[Direction]],
IF(_xlpm.dir="R",
    IF(G1246+Table13[[#This Row],[Steps]]&gt;99,(G1246+Table13[[#This Row],[Steps]])-100,G1246+Table13[[#This Row],[Steps]]),
))</f>
        <v>0</v>
      </c>
      <c r="G1247">
        <f>IF(Table13[[#This Row],[New Pos L]]&lt;&gt;0,Table13[[#This Row],[New Pos L]],Table13[[#This Row],[New Pos R]])</f>
        <v>0</v>
      </c>
      <c r="H1247">
        <f>IF(AND(Table13[[#This Row],[Direction]]="L",Table13[[#This Row],[Steps]]&gt;G1246,G1246&lt;&gt;0),1,0)</f>
        <v>0</v>
      </c>
      <c r="I1247">
        <f>IF(AND(Table13[[#This Row],[Direction]]="R",(G1246+Table13[[#This Row],[Steps]])&gt;100),1,0)</f>
        <v>0</v>
      </c>
      <c r="J1247">
        <f>IF(Table13[[#This Row],[POS]]=0,1,0)</f>
        <v>1</v>
      </c>
      <c r="K1247">
        <f>SUM(Table13[[#This Row],[prefix]],Table13[[#This Row],[Past zero L]],Table13[[#This Row],[Past Zero R]],Table13[[#This Row],[Is Zero]])</f>
        <v>4</v>
      </c>
    </row>
    <row r="1248" spans="1:11" ht="16" x14ac:dyDescent="0.2">
      <c r="A1248" s="1" t="s">
        <v>155</v>
      </c>
      <c r="B1248" t="str">
        <f>LEFT(Table13[[#This Row],[Input]],1)</f>
        <v>L</v>
      </c>
      <c r="C1248">
        <f>_xlfn.LET(_xlpm.steps,SUBSTITUTE(Table13[[#This Row],[Input]],Table13[[#This Row],[Direction]],""),VALUE(IF(LEN(_xlpm.steps)&gt;2,RIGHT(_xlpm.steps,2),_xlpm.steps)))</f>
        <v>18</v>
      </c>
      <c r="D1248">
        <f>_xlfn.LET(_xlpm.steps,SUBSTITUTE(Table13[[#This Row],[Input]],Table13[[#This Row],[Direction]],""),VALUE(IF(LEN(_xlpm.steps)&gt;2,LEFT(_xlpm.steps,LEN(_xlpm.steps)-2),0)))</f>
        <v>0</v>
      </c>
      <c r="E1248">
        <f>_xlfn.LET(_xlpm.dir,Table13[[#This Row],[Direction]],
IF(_xlpm.dir="L",
    IF(G1247-Table13[[#This Row],[Steps]]&lt;0,100+(G1247-Table13[[#This Row],[Steps]]),G1247-Table13[[#This Row],[Steps]]),
))</f>
        <v>82</v>
      </c>
      <c r="F1248">
        <f>_xlfn.LET(_xlpm.dir,Table13[[#This Row],[Direction]],
IF(_xlpm.dir="R",
    IF(G1247+Table13[[#This Row],[Steps]]&gt;99,(G1247+Table13[[#This Row],[Steps]])-100,G1247+Table13[[#This Row],[Steps]]),
))</f>
        <v>0</v>
      </c>
      <c r="G1248">
        <f>IF(Table13[[#This Row],[New Pos L]]&lt;&gt;0,Table13[[#This Row],[New Pos L]],Table13[[#This Row],[New Pos R]])</f>
        <v>82</v>
      </c>
      <c r="H1248">
        <f>IF(AND(Table13[[#This Row],[Direction]]="L",Table13[[#This Row],[Steps]]&gt;G1247,G1247&lt;&gt;0),1,0)</f>
        <v>0</v>
      </c>
      <c r="I1248">
        <f>IF(AND(Table13[[#This Row],[Direction]]="R",(G1247+Table13[[#This Row],[Steps]])&gt;100),1,0)</f>
        <v>0</v>
      </c>
      <c r="J1248">
        <f>IF(Table13[[#This Row],[POS]]=0,1,0)</f>
        <v>0</v>
      </c>
      <c r="K1248">
        <f>SUM(Table13[[#This Row],[prefix]],Table13[[#This Row],[Past zero L]],Table13[[#This Row],[Past Zero R]],Table13[[#This Row],[Is Zero]])</f>
        <v>0</v>
      </c>
    </row>
    <row r="1249" spans="1:11" ht="16" x14ac:dyDescent="0.2">
      <c r="A1249" s="1" t="s">
        <v>8</v>
      </c>
      <c r="B1249" t="str">
        <f>LEFT(Table13[[#This Row],[Input]],1)</f>
        <v>R</v>
      </c>
      <c r="C1249">
        <f>_xlfn.LET(_xlpm.steps,SUBSTITUTE(Table13[[#This Row],[Input]],Table13[[#This Row],[Direction]],""),VALUE(IF(LEN(_xlpm.steps)&gt;2,RIGHT(_xlpm.steps,2),_xlpm.steps)))</f>
        <v>18</v>
      </c>
      <c r="D1249">
        <f>_xlfn.LET(_xlpm.steps,SUBSTITUTE(Table13[[#This Row],[Input]],Table13[[#This Row],[Direction]],""),VALUE(IF(LEN(_xlpm.steps)&gt;2,LEFT(_xlpm.steps,LEN(_xlpm.steps)-2),0)))</f>
        <v>0</v>
      </c>
      <c r="E1249">
        <f>_xlfn.LET(_xlpm.dir,Table13[[#This Row],[Direction]],
IF(_xlpm.dir="L",
    IF(G1248-Table13[[#This Row],[Steps]]&lt;0,100+(G1248-Table13[[#This Row],[Steps]]),G1248-Table13[[#This Row],[Steps]]),
))</f>
        <v>0</v>
      </c>
      <c r="F1249">
        <f>_xlfn.LET(_xlpm.dir,Table13[[#This Row],[Direction]],
IF(_xlpm.dir="R",
    IF(G1248+Table13[[#This Row],[Steps]]&gt;99,(G1248+Table13[[#This Row],[Steps]])-100,G1248+Table13[[#This Row],[Steps]]),
))</f>
        <v>0</v>
      </c>
      <c r="G1249">
        <f>IF(Table13[[#This Row],[New Pos L]]&lt;&gt;0,Table13[[#This Row],[New Pos L]],Table13[[#This Row],[New Pos R]])</f>
        <v>0</v>
      </c>
      <c r="H1249">
        <f>IF(AND(Table13[[#This Row],[Direction]]="L",Table13[[#This Row],[Steps]]&gt;G1248,G1248&lt;&gt;0),1,0)</f>
        <v>0</v>
      </c>
      <c r="I1249">
        <f>IF(AND(Table13[[#This Row],[Direction]]="R",(G1248+Table13[[#This Row],[Steps]])&gt;100),1,0)</f>
        <v>0</v>
      </c>
      <c r="J1249">
        <f>IF(Table13[[#This Row],[POS]]=0,1,0)</f>
        <v>1</v>
      </c>
      <c r="K1249">
        <f>SUM(Table13[[#This Row],[prefix]],Table13[[#This Row],[Past zero L]],Table13[[#This Row],[Past Zero R]],Table13[[#This Row],[Is Zero]])</f>
        <v>1</v>
      </c>
    </row>
    <row r="1250" spans="1:11" ht="16" x14ac:dyDescent="0.2">
      <c r="A1250" s="1" t="s">
        <v>126</v>
      </c>
      <c r="B1250" t="str">
        <f>LEFT(Table13[[#This Row],[Input]],1)</f>
        <v>R</v>
      </c>
      <c r="C1250">
        <f>_xlfn.LET(_xlpm.steps,SUBSTITUTE(Table13[[#This Row],[Input]],Table13[[#This Row],[Direction]],""),VALUE(IF(LEN(_xlpm.steps)&gt;2,RIGHT(_xlpm.steps,2),_xlpm.steps)))</f>
        <v>65</v>
      </c>
      <c r="D1250">
        <f>_xlfn.LET(_xlpm.steps,SUBSTITUTE(Table13[[#This Row],[Input]],Table13[[#This Row],[Direction]],""),VALUE(IF(LEN(_xlpm.steps)&gt;2,LEFT(_xlpm.steps,LEN(_xlpm.steps)-2),0)))</f>
        <v>0</v>
      </c>
      <c r="E1250">
        <f>_xlfn.LET(_xlpm.dir,Table13[[#This Row],[Direction]],
IF(_xlpm.dir="L",
    IF(G1249-Table13[[#This Row],[Steps]]&lt;0,100+(G1249-Table13[[#This Row],[Steps]]),G1249-Table13[[#This Row],[Steps]]),
))</f>
        <v>0</v>
      </c>
      <c r="F1250">
        <f>_xlfn.LET(_xlpm.dir,Table13[[#This Row],[Direction]],
IF(_xlpm.dir="R",
    IF(G1249+Table13[[#This Row],[Steps]]&gt;99,(G1249+Table13[[#This Row],[Steps]])-100,G1249+Table13[[#This Row],[Steps]]),
))</f>
        <v>65</v>
      </c>
      <c r="G1250">
        <f>IF(Table13[[#This Row],[New Pos L]]&lt;&gt;0,Table13[[#This Row],[New Pos L]],Table13[[#This Row],[New Pos R]])</f>
        <v>65</v>
      </c>
      <c r="H1250">
        <f>IF(AND(Table13[[#This Row],[Direction]]="L",Table13[[#This Row],[Steps]]&gt;G1249,G1249&lt;&gt;0),1,0)</f>
        <v>0</v>
      </c>
      <c r="I1250">
        <f>IF(AND(Table13[[#This Row],[Direction]]="R",(G1249+Table13[[#This Row],[Steps]])&gt;100),1,0)</f>
        <v>0</v>
      </c>
      <c r="J1250">
        <f>IF(Table13[[#This Row],[POS]]=0,1,0)</f>
        <v>0</v>
      </c>
      <c r="K1250">
        <f>SUM(Table13[[#This Row],[prefix]],Table13[[#This Row],[Past zero L]],Table13[[#This Row],[Past Zero R]],Table13[[#This Row],[Is Zero]])</f>
        <v>0</v>
      </c>
    </row>
    <row r="1251" spans="1:11" ht="16" x14ac:dyDescent="0.2">
      <c r="A1251" s="1" t="s">
        <v>67</v>
      </c>
      <c r="B1251" t="str">
        <f>LEFT(Table13[[#This Row],[Input]],1)</f>
        <v>R</v>
      </c>
      <c r="C1251">
        <f>_xlfn.LET(_xlpm.steps,SUBSTITUTE(Table13[[#This Row],[Input]],Table13[[#This Row],[Direction]],""),VALUE(IF(LEN(_xlpm.steps)&gt;2,RIGHT(_xlpm.steps,2),_xlpm.steps)))</f>
        <v>33</v>
      </c>
      <c r="D1251">
        <f>_xlfn.LET(_xlpm.steps,SUBSTITUTE(Table13[[#This Row],[Input]],Table13[[#This Row],[Direction]],""),VALUE(IF(LEN(_xlpm.steps)&gt;2,LEFT(_xlpm.steps,LEN(_xlpm.steps)-2),0)))</f>
        <v>0</v>
      </c>
      <c r="E1251">
        <f>_xlfn.LET(_xlpm.dir,Table13[[#This Row],[Direction]],
IF(_xlpm.dir="L",
    IF(G1250-Table13[[#This Row],[Steps]]&lt;0,100+(G1250-Table13[[#This Row],[Steps]]),G1250-Table13[[#This Row],[Steps]]),
))</f>
        <v>0</v>
      </c>
      <c r="F1251">
        <f>_xlfn.LET(_xlpm.dir,Table13[[#This Row],[Direction]],
IF(_xlpm.dir="R",
    IF(G1250+Table13[[#This Row],[Steps]]&gt;99,(G1250+Table13[[#This Row],[Steps]])-100,G1250+Table13[[#This Row],[Steps]]),
))</f>
        <v>98</v>
      </c>
      <c r="G1251">
        <f>IF(Table13[[#This Row],[New Pos L]]&lt;&gt;0,Table13[[#This Row],[New Pos L]],Table13[[#This Row],[New Pos R]])</f>
        <v>98</v>
      </c>
      <c r="H1251">
        <f>IF(AND(Table13[[#This Row],[Direction]]="L",Table13[[#This Row],[Steps]]&gt;G1250,G1250&lt;&gt;0),1,0)</f>
        <v>0</v>
      </c>
      <c r="I1251">
        <f>IF(AND(Table13[[#This Row],[Direction]]="R",(G1250+Table13[[#This Row],[Steps]])&gt;100),1,0)</f>
        <v>0</v>
      </c>
      <c r="J1251">
        <f>IF(Table13[[#This Row],[POS]]=0,1,0)</f>
        <v>0</v>
      </c>
      <c r="K1251">
        <f>SUM(Table13[[#This Row],[prefix]],Table13[[#This Row],[Past zero L]],Table13[[#This Row],[Past Zero R]],Table13[[#This Row],[Is Zero]])</f>
        <v>0</v>
      </c>
    </row>
    <row r="1252" spans="1:11" ht="16" x14ac:dyDescent="0.2">
      <c r="A1252" s="1" t="s">
        <v>65</v>
      </c>
      <c r="B1252" t="str">
        <f>LEFT(Table13[[#This Row],[Input]],1)</f>
        <v>L</v>
      </c>
      <c r="C1252">
        <f>_xlfn.LET(_xlpm.steps,SUBSTITUTE(Table13[[#This Row],[Input]],Table13[[#This Row],[Direction]],""),VALUE(IF(LEN(_xlpm.steps)&gt;2,RIGHT(_xlpm.steps,2),_xlpm.steps)))</f>
        <v>19</v>
      </c>
      <c r="D1252">
        <f>_xlfn.LET(_xlpm.steps,SUBSTITUTE(Table13[[#This Row],[Input]],Table13[[#This Row],[Direction]],""),VALUE(IF(LEN(_xlpm.steps)&gt;2,LEFT(_xlpm.steps,LEN(_xlpm.steps)-2),0)))</f>
        <v>0</v>
      </c>
      <c r="E1252">
        <f>_xlfn.LET(_xlpm.dir,Table13[[#This Row],[Direction]],
IF(_xlpm.dir="L",
    IF(G1251-Table13[[#This Row],[Steps]]&lt;0,100+(G1251-Table13[[#This Row],[Steps]]),G1251-Table13[[#This Row],[Steps]]),
))</f>
        <v>79</v>
      </c>
      <c r="F1252">
        <f>_xlfn.LET(_xlpm.dir,Table13[[#This Row],[Direction]],
IF(_xlpm.dir="R",
    IF(G1251+Table13[[#This Row],[Steps]]&gt;99,(G1251+Table13[[#This Row],[Steps]])-100,G1251+Table13[[#This Row],[Steps]]),
))</f>
        <v>0</v>
      </c>
      <c r="G1252">
        <f>IF(Table13[[#This Row],[New Pos L]]&lt;&gt;0,Table13[[#This Row],[New Pos L]],Table13[[#This Row],[New Pos R]])</f>
        <v>79</v>
      </c>
      <c r="H1252">
        <f>IF(AND(Table13[[#This Row],[Direction]]="L",Table13[[#This Row],[Steps]]&gt;G1251,G1251&lt;&gt;0),1,0)</f>
        <v>0</v>
      </c>
      <c r="I1252">
        <f>IF(AND(Table13[[#This Row],[Direction]]="R",(G1251+Table13[[#This Row],[Steps]])&gt;100),1,0)</f>
        <v>0</v>
      </c>
      <c r="J1252">
        <f>IF(Table13[[#This Row],[POS]]=0,1,0)</f>
        <v>0</v>
      </c>
      <c r="K1252">
        <f>SUM(Table13[[#This Row],[prefix]],Table13[[#This Row],[Past zero L]],Table13[[#This Row],[Past Zero R]],Table13[[#This Row],[Is Zero]])</f>
        <v>0</v>
      </c>
    </row>
    <row r="1253" spans="1:11" ht="16" x14ac:dyDescent="0.2">
      <c r="A1253" s="1" t="s">
        <v>399</v>
      </c>
      <c r="B1253" t="str">
        <f>LEFT(Table13[[#This Row],[Input]],1)</f>
        <v>R</v>
      </c>
      <c r="C1253">
        <f>_xlfn.LET(_xlpm.steps,SUBSTITUTE(Table13[[#This Row],[Input]],Table13[[#This Row],[Direction]],""),VALUE(IF(LEN(_xlpm.steps)&gt;2,RIGHT(_xlpm.steps,2),_xlpm.steps)))</f>
        <v>95</v>
      </c>
      <c r="D1253">
        <f>_xlfn.LET(_xlpm.steps,SUBSTITUTE(Table13[[#This Row],[Input]],Table13[[#This Row],[Direction]],""),VALUE(IF(LEN(_xlpm.steps)&gt;2,LEFT(_xlpm.steps,LEN(_xlpm.steps)-2),0)))</f>
        <v>3</v>
      </c>
      <c r="E1253">
        <f>_xlfn.LET(_xlpm.dir,Table13[[#This Row],[Direction]],
IF(_xlpm.dir="L",
    IF(G1252-Table13[[#This Row],[Steps]]&lt;0,100+(G1252-Table13[[#This Row],[Steps]]),G1252-Table13[[#This Row],[Steps]]),
))</f>
        <v>0</v>
      </c>
      <c r="F1253">
        <f>_xlfn.LET(_xlpm.dir,Table13[[#This Row],[Direction]],
IF(_xlpm.dir="R",
    IF(G1252+Table13[[#This Row],[Steps]]&gt;99,(G1252+Table13[[#This Row],[Steps]])-100,G1252+Table13[[#This Row],[Steps]]),
))</f>
        <v>74</v>
      </c>
      <c r="G1253">
        <f>IF(Table13[[#This Row],[New Pos L]]&lt;&gt;0,Table13[[#This Row],[New Pos L]],Table13[[#This Row],[New Pos R]])</f>
        <v>74</v>
      </c>
      <c r="H1253">
        <f>IF(AND(Table13[[#This Row],[Direction]]="L",Table13[[#This Row],[Steps]]&gt;G1252,G1252&lt;&gt;0),1,0)</f>
        <v>0</v>
      </c>
      <c r="I1253">
        <f>IF(AND(Table13[[#This Row],[Direction]]="R",(G1252+Table13[[#This Row],[Steps]])&gt;100),1,0)</f>
        <v>1</v>
      </c>
      <c r="J1253">
        <f>IF(Table13[[#This Row],[POS]]=0,1,0)</f>
        <v>0</v>
      </c>
      <c r="K1253">
        <f>SUM(Table13[[#This Row],[prefix]],Table13[[#This Row],[Past zero L]],Table13[[#This Row],[Past Zero R]],Table13[[#This Row],[Is Zero]])</f>
        <v>4</v>
      </c>
    </row>
    <row r="1254" spans="1:11" ht="16" x14ac:dyDescent="0.2">
      <c r="A1254" s="1" t="s">
        <v>319</v>
      </c>
      <c r="B1254" t="str">
        <f>LEFT(Table13[[#This Row],[Input]],1)</f>
        <v>L</v>
      </c>
      <c r="C1254">
        <f>_xlfn.LET(_xlpm.steps,SUBSTITUTE(Table13[[#This Row],[Input]],Table13[[#This Row],[Direction]],""),VALUE(IF(LEN(_xlpm.steps)&gt;2,RIGHT(_xlpm.steps,2),_xlpm.steps)))</f>
        <v>79</v>
      </c>
      <c r="D1254">
        <f>_xlfn.LET(_xlpm.steps,SUBSTITUTE(Table13[[#This Row],[Input]],Table13[[#This Row],[Direction]],""),VALUE(IF(LEN(_xlpm.steps)&gt;2,LEFT(_xlpm.steps,LEN(_xlpm.steps)-2),0)))</f>
        <v>0</v>
      </c>
      <c r="E1254">
        <f>_xlfn.LET(_xlpm.dir,Table13[[#This Row],[Direction]],
IF(_xlpm.dir="L",
    IF(G1253-Table13[[#This Row],[Steps]]&lt;0,100+(G1253-Table13[[#This Row],[Steps]]),G1253-Table13[[#This Row],[Steps]]),
))</f>
        <v>95</v>
      </c>
      <c r="F1254">
        <f>_xlfn.LET(_xlpm.dir,Table13[[#This Row],[Direction]],
IF(_xlpm.dir="R",
    IF(G1253+Table13[[#This Row],[Steps]]&gt;99,(G1253+Table13[[#This Row],[Steps]])-100,G1253+Table13[[#This Row],[Steps]]),
))</f>
        <v>0</v>
      </c>
      <c r="G1254">
        <f>IF(Table13[[#This Row],[New Pos L]]&lt;&gt;0,Table13[[#This Row],[New Pos L]],Table13[[#This Row],[New Pos R]])</f>
        <v>95</v>
      </c>
      <c r="H1254">
        <f>IF(AND(Table13[[#This Row],[Direction]]="L",Table13[[#This Row],[Steps]]&gt;G1253,G1253&lt;&gt;0),1,0)</f>
        <v>1</v>
      </c>
      <c r="I1254">
        <f>IF(AND(Table13[[#This Row],[Direction]]="R",(G1253+Table13[[#This Row],[Steps]])&gt;100),1,0)</f>
        <v>0</v>
      </c>
      <c r="J1254">
        <f>IF(Table13[[#This Row],[POS]]=0,1,0)</f>
        <v>0</v>
      </c>
      <c r="K1254">
        <f>SUM(Table13[[#This Row],[prefix]],Table13[[#This Row],[Past zero L]],Table13[[#This Row],[Past Zero R]],Table13[[#This Row],[Is Zero]])</f>
        <v>1</v>
      </c>
    </row>
    <row r="1255" spans="1:11" ht="16" x14ac:dyDescent="0.2">
      <c r="A1255" s="1" t="s">
        <v>188</v>
      </c>
      <c r="B1255" t="str">
        <f>LEFT(Table13[[#This Row],[Input]],1)</f>
        <v>R</v>
      </c>
      <c r="C1255">
        <f>_xlfn.LET(_xlpm.steps,SUBSTITUTE(Table13[[#This Row],[Input]],Table13[[#This Row],[Direction]],""),VALUE(IF(LEN(_xlpm.steps)&gt;2,RIGHT(_xlpm.steps,2),_xlpm.steps)))</f>
        <v>5</v>
      </c>
      <c r="D1255">
        <f>_xlfn.LET(_xlpm.steps,SUBSTITUTE(Table13[[#This Row],[Input]],Table13[[#This Row],[Direction]],""),VALUE(IF(LEN(_xlpm.steps)&gt;2,LEFT(_xlpm.steps,LEN(_xlpm.steps)-2),0)))</f>
        <v>0</v>
      </c>
      <c r="E1255">
        <f>_xlfn.LET(_xlpm.dir,Table13[[#This Row],[Direction]],
IF(_xlpm.dir="L",
    IF(G1254-Table13[[#This Row],[Steps]]&lt;0,100+(G1254-Table13[[#This Row],[Steps]]),G1254-Table13[[#This Row],[Steps]]),
))</f>
        <v>0</v>
      </c>
      <c r="F1255">
        <f>_xlfn.LET(_xlpm.dir,Table13[[#This Row],[Direction]],
IF(_xlpm.dir="R",
    IF(G1254+Table13[[#This Row],[Steps]]&gt;99,(G1254+Table13[[#This Row],[Steps]])-100,G1254+Table13[[#This Row],[Steps]]),
))</f>
        <v>0</v>
      </c>
      <c r="G1255">
        <f>IF(Table13[[#This Row],[New Pos L]]&lt;&gt;0,Table13[[#This Row],[New Pos L]],Table13[[#This Row],[New Pos R]])</f>
        <v>0</v>
      </c>
      <c r="H1255">
        <f>IF(AND(Table13[[#This Row],[Direction]]="L",Table13[[#This Row],[Steps]]&gt;G1254,G1254&lt;&gt;0),1,0)</f>
        <v>0</v>
      </c>
      <c r="I1255">
        <f>IF(AND(Table13[[#This Row],[Direction]]="R",(G1254+Table13[[#This Row],[Steps]])&gt;100),1,0)</f>
        <v>0</v>
      </c>
      <c r="J1255">
        <f>IF(Table13[[#This Row],[POS]]=0,1,0)</f>
        <v>1</v>
      </c>
      <c r="K1255">
        <f>SUM(Table13[[#This Row],[prefix]],Table13[[#This Row],[Past zero L]],Table13[[#This Row],[Past Zero R]],Table13[[#This Row],[Is Zero]])</f>
        <v>1</v>
      </c>
    </row>
    <row r="1256" spans="1:11" ht="16" x14ac:dyDescent="0.2">
      <c r="A1256" s="1" t="s">
        <v>9</v>
      </c>
      <c r="B1256" t="str">
        <f>LEFT(Table13[[#This Row],[Input]],1)</f>
        <v>L</v>
      </c>
      <c r="C1256">
        <f>_xlfn.LET(_xlpm.steps,SUBSTITUTE(Table13[[#This Row],[Input]],Table13[[#This Row],[Direction]],""),VALUE(IF(LEN(_xlpm.steps)&gt;2,RIGHT(_xlpm.steps,2),_xlpm.steps)))</f>
        <v>9</v>
      </c>
      <c r="D1256">
        <f>_xlfn.LET(_xlpm.steps,SUBSTITUTE(Table13[[#This Row],[Input]],Table13[[#This Row],[Direction]],""),VALUE(IF(LEN(_xlpm.steps)&gt;2,LEFT(_xlpm.steps,LEN(_xlpm.steps)-2),0)))</f>
        <v>0</v>
      </c>
      <c r="E1256">
        <f>_xlfn.LET(_xlpm.dir,Table13[[#This Row],[Direction]],
IF(_xlpm.dir="L",
    IF(G1255-Table13[[#This Row],[Steps]]&lt;0,100+(G1255-Table13[[#This Row],[Steps]]),G1255-Table13[[#This Row],[Steps]]),
))</f>
        <v>91</v>
      </c>
      <c r="F1256">
        <f>_xlfn.LET(_xlpm.dir,Table13[[#This Row],[Direction]],
IF(_xlpm.dir="R",
    IF(G1255+Table13[[#This Row],[Steps]]&gt;99,(G1255+Table13[[#This Row],[Steps]])-100,G1255+Table13[[#This Row],[Steps]]),
))</f>
        <v>0</v>
      </c>
      <c r="G1256">
        <f>IF(Table13[[#This Row],[New Pos L]]&lt;&gt;0,Table13[[#This Row],[New Pos L]],Table13[[#This Row],[New Pos R]])</f>
        <v>91</v>
      </c>
      <c r="H1256">
        <f>IF(AND(Table13[[#This Row],[Direction]]="L",Table13[[#This Row],[Steps]]&gt;G1255,G1255&lt;&gt;0),1,0)</f>
        <v>0</v>
      </c>
      <c r="I1256">
        <f>IF(AND(Table13[[#This Row],[Direction]]="R",(G1255+Table13[[#This Row],[Steps]])&gt;100),1,0)</f>
        <v>0</v>
      </c>
      <c r="J1256">
        <f>IF(Table13[[#This Row],[POS]]=0,1,0)</f>
        <v>0</v>
      </c>
      <c r="K1256">
        <f>SUM(Table13[[#This Row],[prefix]],Table13[[#This Row],[Past zero L]],Table13[[#This Row],[Past Zero R]],Table13[[#This Row],[Is Zero]])</f>
        <v>0</v>
      </c>
    </row>
    <row r="1257" spans="1:11" ht="16" x14ac:dyDescent="0.2">
      <c r="A1257" s="1" t="s">
        <v>344</v>
      </c>
      <c r="B1257" t="str">
        <f>LEFT(Table13[[#This Row],[Input]],1)</f>
        <v>R</v>
      </c>
      <c r="C1257">
        <f>_xlfn.LET(_xlpm.steps,SUBSTITUTE(Table13[[#This Row],[Input]],Table13[[#This Row],[Direction]],""),VALUE(IF(LEN(_xlpm.steps)&gt;2,RIGHT(_xlpm.steps,2),_xlpm.steps)))</f>
        <v>9</v>
      </c>
      <c r="D1257">
        <f>_xlfn.LET(_xlpm.steps,SUBSTITUTE(Table13[[#This Row],[Input]],Table13[[#This Row],[Direction]],""),VALUE(IF(LEN(_xlpm.steps)&gt;2,LEFT(_xlpm.steps,LEN(_xlpm.steps)-2),0)))</f>
        <v>0</v>
      </c>
      <c r="E1257">
        <f>_xlfn.LET(_xlpm.dir,Table13[[#This Row],[Direction]],
IF(_xlpm.dir="L",
    IF(G1256-Table13[[#This Row],[Steps]]&lt;0,100+(G1256-Table13[[#This Row],[Steps]]),G1256-Table13[[#This Row],[Steps]]),
))</f>
        <v>0</v>
      </c>
      <c r="F1257">
        <f>_xlfn.LET(_xlpm.dir,Table13[[#This Row],[Direction]],
IF(_xlpm.dir="R",
    IF(G1256+Table13[[#This Row],[Steps]]&gt;99,(G1256+Table13[[#This Row],[Steps]])-100,G1256+Table13[[#This Row],[Steps]]),
))</f>
        <v>0</v>
      </c>
      <c r="G1257">
        <f>IF(Table13[[#This Row],[New Pos L]]&lt;&gt;0,Table13[[#This Row],[New Pos L]],Table13[[#This Row],[New Pos R]])</f>
        <v>0</v>
      </c>
      <c r="H1257">
        <f>IF(AND(Table13[[#This Row],[Direction]]="L",Table13[[#This Row],[Steps]]&gt;G1256,G1256&lt;&gt;0),1,0)</f>
        <v>0</v>
      </c>
      <c r="I1257">
        <f>IF(AND(Table13[[#This Row],[Direction]]="R",(G1256+Table13[[#This Row],[Steps]])&gt;100),1,0)</f>
        <v>0</v>
      </c>
      <c r="J1257">
        <f>IF(Table13[[#This Row],[POS]]=0,1,0)</f>
        <v>1</v>
      </c>
      <c r="K1257">
        <f>SUM(Table13[[#This Row],[prefix]],Table13[[#This Row],[Past zero L]],Table13[[#This Row],[Past Zero R]],Table13[[#This Row],[Is Zero]])</f>
        <v>1</v>
      </c>
    </row>
    <row r="1258" spans="1:11" ht="16" x14ac:dyDescent="0.2">
      <c r="A1258" s="1" t="s">
        <v>59</v>
      </c>
      <c r="B1258" t="str">
        <f>LEFT(Table13[[#This Row],[Input]],1)</f>
        <v>L</v>
      </c>
      <c r="C1258">
        <f>_xlfn.LET(_xlpm.steps,SUBSTITUTE(Table13[[#This Row],[Input]],Table13[[#This Row],[Direction]],""),VALUE(IF(LEN(_xlpm.steps)&gt;2,RIGHT(_xlpm.steps,2),_xlpm.steps)))</f>
        <v>6</v>
      </c>
      <c r="D1258">
        <f>_xlfn.LET(_xlpm.steps,SUBSTITUTE(Table13[[#This Row],[Input]],Table13[[#This Row],[Direction]],""),VALUE(IF(LEN(_xlpm.steps)&gt;2,LEFT(_xlpm.steps,LEN(_xlpm.steps)-2),0)))</f>
        <v>0</v>
      </c>
      <c r="E1258">
        <f>_xlfn.LET(_xlpm.dir,Table13[[#This Row],[Direction]],
IF(_xlpm.dir="L",
    IF(G1257-Table13[[#This Row],[Steps]]&lt;0,100+(G1257-Table13[[#This Row],[Steps]]),G1257-Table13[[#This Row],[Steps]]),
))</f>
        <v>94</v>
      </c>
      <c r="F1258">
        <f>_xlfn.LET(_xlpm.dir,Table13[[#This Row],[Direction]],
IF(_xlpm.dir="R",
    IF(G1257+Table13[[#This Row],[Steps]]&gt;99,(G1257+Table13[[#This Row],[Steps]])-100,G1257+Table13[[#This Row],[Steps]]),
))</f>
        <v>0</v>
      </c>
      <c r="G1258">
        <f>IF(Table13[[#This Row],[New Pos L]]&lt;&gt;0,Table13[[#This Row],[New Pos L]],Table13[[#This Row],[New Pos R]])</f>
        <v>94</v>
      </c>
      <c r="H1258">
        <f>IF(AND(Table13[[#This Row],[Direction]]="L",Table13[[#This Row],[Steps]]&gt;G1257,G1257&lt;&gt;0),1,0)</f>
        <v>0</v>
      </c>
      <c r="I1258">
        <f>IF(AND(Table13[[#This Row],[Direction]]="R",(G1257+Table13[[#This Row],[Steps]])&gt;100),1,0)</f>
        <v>0</v>
      </c>
      <c r="J1258">
        <f>IF(Table13[[#This Row],[POS]]=0,1,0)</f>
        <v>0</v>
      </c>
      <c r="K1258">
        <f>SUM(Table13[[#This Row],[prefix]],Table13[[#This Row],[Past zero L]],Table13[[#This Row],[Past Zero R]],Table13[[#This Row],[Is Zero]])</f>
        <v>0</v>
      </c>
    </row>
    <row r="1259" spans="1:11" ht="16" x14ac:dyDescent="0.2">
      <c r="A1259" s="1" t="s">
        <v>400</v>
      </c>
      <c r="B1259" t="str">
        <f>LEFT(Table13[[#This Row],[Input]],1)</f>
        <v>L</v>
      </c>
      <c r="C1259">
        <f>_xlfn.LET(_xlpm.steps,SUBSTITUTE(Table13[[#This Row],[Input]],Table13[[#This Row],[Direction]],""),VALUE(IF(LEN(_xlpm.steps)&gt;2,RIGHT(_xlpm.steps,2),_xlpm.steps)))</f>
        <v>95</v>
      </c>
      <c r="D1259">
        <f>_xlfn.LET(_xlpm.steps,SUBSTITUTE(Table13[[#This Row],[Input]],Table13[[#This Row],[Direction]],""),VALUE(IF(LEN(_xlpm.steps)&gt;2,LEFT(_xlpm.steps,LEN(_xlpm.steps)-2),0)))</f>
        <v>4</v>
      </c>
      <c r="E1259">
        <f>_xlfn.LET(_xlpm.dir,Table13[[#This Row],[Direction]],
IF(_xlpm.dir="L",
    IF(G1258-Table13[[#This Row],[Steps]]&lt;0,100+(G1258-Table13[[#This Row],[Steps]]),G1258-Table13[[#This Row],[Steps]]),
))</f>
        <v>99</v>
      </c>
      <c r="F1259">
        <f>_xlfn.LET(_xlpm.dir,Table13[[#This Row],[Direction]],
IF(_xlpm.dir="R",
    IF(G1258+Table13[[#This Row],[Steps]]&gt;99,(G1258+Table13[[#This Row],[Steps]])-100,G1258+Table13[[#This Row],[Steps]]),
))</f>
        <v>0</v>
      </c>
      <c r="G1259">
        <f>IF(Table13[[#This Row],[New Pos L]]&lt;&gt;0,Table13[[#This Row],[New Pos L]],Table13[[#This Row],[New Pos R]])</f>
        <v>99</v>
      </c>
      <c r="H1259">
        <f>IF(AND(Table13[[#This Row],[Direction]]="L",Table13[[#This Row],[Steps]]&gt;G1258,G1258&lt;&gt;0),1,0)</f>
        <v>1</v>
      </c>
      <c r="I1259">
        <f>IF(AND(Table13[[#This Row],[Direction]]="R",(G1258+Table13[[#This Row],[Steps]])&gt;100),1,0)</f>
        <v>0</v>
      </c>
      <c r="J1259">
        <f>IF(Table13[[#This Row],[POS]]=0,1,0)</f>
        <v>0</v>
      </c>
      <c r="K1259">
        <f>SUM(Table13[[#This Row],[prefix]],Table13[[#This Row],[Past zero L]],Table13[[#This Row],[Past Zero R]],Table13[[#This Row],[Is Zero]])</f>
        <v>5</v>
      </c>
    </row>
    <row r="1260" spans="1:11" ht="16" x14ac:dyDescent="0.2">
      <c r="A1260" s="1" t="s">
        <v>252</v>
      </c>
      <c r="B1260" t="str">
        <f>LEFT(Table13[[#This Row],[Input]],1)</f>
        <v>L</v>
      </c>
      <c r="C1260">
        <f>_xlfn.LET(_xlpm.steps,SUBSTITUTE(Table13[[#This Row],[Input]],Table13[[#This Row],[Direction]],""),VALUE(IF(LEN(_xlpm.steps)&gt;2,RIGHT(_xlpm.steps,2),_xlpm.steps)))</f>
        <v>99</v>
      </c>
      <c r="D1260">
        <f>_xlfn.LET(_xlpm.steps,SUBSTITUTE(Table13[[#This Row],[Input]],Table13[[#This Row],[Direction]],""),VALUE(IF(LEN(_xlpm.steps)&gt;2,LEFT(_xlpm.steps,LEN(_xlpm.steps)-2),0)))</f>
        <v>0</v>
      </c>
      <c r="E1260">
        <f>_xlfn.LET(_xlpm.dir,Table13[[#This Row],[Direction]],
IF(_xlpm.dir="L",
    IF(G1259-Table13[[#This Row],[Steps]]&lt;0,100+(G1259-Table13[[#This Row],[Steps]]),G1259-Table13[[#This Row],[Steps]]),
))</f>
        <v>0</v>
      </c>
      <c r="F1260">
        <f>_xlfn.LET(_xlpm.dir,Table13[[#This Row],[Direction]],
IF(_xlpm.dir="R",
    IF(G1259+Table13[[#This Row],[Steps]]&gt;99,(G1259+Table13[[#This Row],[Steps]])-100,G1259+Table13[[#This Row],[Steps]]),
))</f>
        <v>0</v>
      </c>
      <c r="G1260">
        <f>IF(Table13[[#This Row],[New Pos L]]&lt;&gt;0,Table13[[#This Row],[New Pos L]],Table13[[#This Row],[New Pos R]])</f>
        <v>0</v>
      </c>
      <c r="H1260">
        <f>IF(AND(Table13[[#This Row],[Direction]]="L",Table13[[#This Row],[Steps]]&gt;G1259,G1259&lt;&gt;0),1,0)</f>
        <v>0</v>
      </c>
      <c r="I1260">
        <f>IF(AND(Table13[[#This Row],[Direction]]="R",(G1259+Table13[[#This Row],[Steps]])&gt;100),1,0)</f>
        <v>0</v>
      </c>
      <c r="J1260">
        <f>IF(Table13[[#This Row],[POS]]=0,1,0)</f>
        <v>1</v>
      </c>
      <c r="K1260">
        <f>SUM(Table13[[#This Row],[prefix]],Table13[[#This Row],[Past zero L]],Table13[[#This Row],[Past Zero R]],Table13[[#This Row],[Is Zero]])</f>
        <v>1</v>
      </c>
    </row>
    <row r="1261" spans="1:11" ht="16" x14ac:dyDescent="0.2">
      <c r="A1261" s="1" t="s">
        <v>62</v>
      </c>
      <c r="B1261" t="str">
        <f>LEFT(Table13[[#This Row],[Input]],1)</f>
        <v>L</v>
      </c>
      <c r="C1261">
        <f>_xlfn.LET(_xlpm.steps,SUBSTITUTE(Table13[[#This Row],[Input]],Table13[[#This Row],[Direction]],""),VALUE(IF(LEN(_xlpm.steps)&gt;2,RIGHT(_xlpm.steps,2),_xlpm.steps)))</f>
        <v>57</v>
      </c>
      <c r="D1261">
        <f>_xlfn.LET(_xlpm.steps,SUBSTITUTE(Table13[[#This Row],[Input]],Table13[[#This Row],[Direction]],""),VALUE(IF(LEN(_xlpm.steps)&gt;2,LEFT(_xlpm.steps,LEN(_xlpm.steps)-2),0)))</f>
        <v>0</v>
      </c>
      <c r="E1261">
        <f>_xlfn.LET(_xlpm.dir,Table13[[#This Row],[Direction]],
IF(_xlpm.dir="L",
    IF(G1260-Table13[[#This Row],[Steps]]&lt;0,100+(G1260-Table13[[#This Row],[Steps]]),G1260-Table13[[#This Row],[Steps]]),
))</f>
        <v>43</v>
      </c>
      <c r="F1261">
        <f>_xlfn.LET(_xlpm.dir,Table13[[#This Row],[Direction]],
IF(_xlpm.dir="R",
    IF(G1260+Table13[[#This Row],[Steps]]&gt;99,(G1260+Table13[[#This Row],[Steps]])-100,G1260+Table13[[#This Row],[Steps]]),
))</f>
        <v>0</v>
      </c>
      <c r="G1261">
        <f>IF(Table13[[#This Row],[New Pos L]]&lt;&gt;0,Table13[[#This Row],[New Pos L]],Table13[[#This Row],[New Pos R]])</f>
        <v>43</v>
      </c>
      <c r="H1261">
        <f>IF(AND(Table13[[#This Row],[Direction]]="L",Table13[[#This Row],[Steps]]&gt;G1260,G1260&lt;&gt;0),1,0)</f>
        <v>0</v>
      </c>
      <c r="I1261">
        <f>IF(AND(Table13[[#This Row],[Direction]]="R",(G1260+Table13[[#This Row],[Steps]])&gt;100),1,0)</f>
        <v>0</v>
      </c>
      <c r="J1261">
        <f>IF(Table13[[#This Row],[POS]]=0,1,0)</f>
        <v>0</v>
      </c>
      <c r="K1261">
        <f>SUM(Table13[[#This Row],[prefix]],Table13[[#This Row],[Past zero L]],Table13[[#This Row],[Past Zero R]],Table13[[#This Row],[Is Zero]])</f>
        <v>0</v>
      </c>
    </row>
    <row r="1262" spans="1:11" ht="16" x14ac:dyDescent="0.2">
      <c r="A1262" s="1" t="s">
        <v>75</v>
      </c>
      <c r="B1262" t="str">
        <f>LEFT(Table13[[#This Row],[Input]],1)</f>
        <v>R</v>
      </c>
      <c r="C1262">
        <f>_xlfn.LET(_xlpm.steps,SUBSTITUTE(Table13[[#This Row],[Input]],Table13[[#This Row],[Direction]],""),VALUE(IF(LEN(_xlpm.steps)&gt;2,RIGHT(_xlpm.steps,2),_xlpm.steps)))</f>
        <v>2</v>
      </c>
      <c r="D1262">
        <f>_xlfn.LET(_xlpm.steps,SUBSTITUTE(Table13[[#This Row],[Input]],Table13[[#This Row],[Direction]],""),VALUE(IF(LEN(_xlpm.steps)&gt;2,LEFT(_xlpm.steps,LEN(_xlpm.steps)-2),0)))</f>
        <v>0</v>
      </c>
      <c r="E1262">
        <f>_xlfn.LET(_xlpm.dir,Table13[[#This Row],[Direction]],
IF(_xlpm.dir="L",
    IF(G1261-Table13[[#This Row],[Steps]]&lt;0,100+(G1261-Table13[[#This Row],[Steps]]),G1261-Table13[[#This Row],[Steps]]),
))</f>
        <v>0</v>
      </c>
      <c r="F1262">
        <f>_xlfn.LET(_xlpm.dir,Table13[[#This Row],[Direction]],
IF(_xlpm.dir="R",
    IF(G1261+Table13[[#This Row],[Steps]]&gt;99,(G1261+Table13[[#This Row],[Steps]])-100,G1261+Table13[[#This Row],[Steps]]),
))</f>
        <v>45</v>
      </c>
      <c r="G1262">
        <f>IF(Table13[[#This Row],[New Pos L]]&lt;&gt;0,Table13[[#This Row],[New Pos L]],Table13[[#This Row],[New Pos R]])</f>
        <v>45</v>
      </c>
      <c r="H1262">
        <f>IF(AND(Table13[[#This Row],[Direction]]="L",Table13[[#This Row],[Steps]]&gt;G1261,G1261&lt;&gt;0),1,0)</f>
        <v>0</v>
      </c>
      <c r="I1262">
        <f>IF(AND(Table13[[#This Row],[Direction]]="R",(G1261+Table13[[#This Row],[Steps]])&gt;100),1,0)</f>
        <v>0</v>
      </c>
      <c r="J1262">
        <f>IF(Table13[[#This Row],[POS]]=0,1,0)</f>
        <v>0</v>
      </c>
      <c r="K1262">
        <f>SUM(Table13[[#This Row],[prefix]],Table13[[#This Row],[Past zero L]],Table13[[#This Row],[Past Zero R]],Table13[[#This Row],[Is Zero]])</f>
        <v>0</v>
      </c>
    </row>
    <row r="1263" spans="1:11" ht="16" x14ac:dyDescent="0.2">
      <c r="A1263" s="1" t="s">
        <v>79</v>
      </c>
      <c r="B1263" t="str">
        <f>LEFT(Table13[[#This Row],[Input]],1)</f>
        <v>L</v>
      </c>
      <c r="C1263">
        <f>_xlfn.LET(_xlpm.steps,SUBSTITUTE(Table13[[#This Row],[Input]],Table13[[#This Row],[Direction]],""),VALUE(IF(LEN(_xlpm.steps)&gt;2,RIGHT(_xlpm.steps,2),_xlpm.steps)))</f>
        <v>45</v>
      </c>
      <c r="D1263">
        <f>_xlfn.LET(_xlpm.steps,SUBSTITUTE(Table13[[#This Row],[Input]],Table13[[#This Row],[Direction]],""),VALUE(IF(LEN(_xlpm.steps)&gt;2,LEFT(_xlpm.steps,LEN(_xlpm.steps)-2),0)))</f>
        <v>0</v>
      </c>
      <c r="E1263">
        <f>_xlfn.LET(_xlpm.dir,Table13[[#This Row],[Direction]],
IF(_xlpm.dir="L",
    IF(G1262-Table13[[#This Row],[Steps]]&lt;0,100+(G1262-Table13[[#This Row],[Steps]]),G1262-Table13[[#This Row],[Steps]]),
))</f>
        <v>0</v>
      </c>
      <c r="F1263">
        <f>_xlfn.LET(_xlpm.dir,Table13[[#This Row],[Direction]],
IF(_xlpm.dir="R",
    IF(G1262+Table13[[#This Row],[Steps]]&gt;99,(G1262+Table13[[#This Row],[Steps]])-100,G1262+Table13[[#This Row],[Steps]]),
))</f>
        <v>0</v>
      </c>
      <c r="G1263">
        <f>IF(Table13[[#This Row],[New Pos L]]&lt;&gt;0,Table13[[#This Row],[New Pos L]],Table13[[#This Row],[New Pos R]])</f>
        <v>0</v>
      </c>
      <c r="H1263">
        <f>IF(AND(Table13[[#This Row],[Direction]]="L",Table13[[#This Row],[Steps]]&gt;G1262,G1262&lt;&gt;0),1,0)</f>
        <v>0</v>
      </c>
      <c r="I1263">
        <f>IF(AND(Table13[[#This Row],[Direction]]="R",(G1262+Table13[[#This Row],[Steps]])&gt;100),1,0)</f>
        <v>0</v>
      </c>
      <c r="J1263">
        <f>IF(Table13[[#This Row],[POS]]=0,1,0)</f>
        <v>1</v>
      </c>
      <c r="K1263">
        <f>SUM(Table13[[#This Row],[prefix]],Table13[[#This Row],[Past zero L]],Table13[[#This Row],[Past Zero R]],Table13[[#This Row],[Is Zero]])</f>
        <v>1</v>
      </c>
    </row>
    <row r="1264" spans="1:11" ht="16" x14ac:dyDescent="0.2">
      <c r="A1264" s="1" t="s">
        <v>401</v>
      </c>
      <c r="B1264" t="str">
        <f>LEFT(Table13[[#This Row],[Input]],1)</f>
        <v>L</v>
      </c>
      <c r="C1264">
        <f>_xlfn.LET(_xlpm.steps,SUBSTITUTE(Table13[[#This Row],[Input]],Table13[[#This Row],[Direction]],""),VALUE(IF(LEN(_xlpm.steps)&gt;2,RIGHT(_xlpm.steps,2),_xlpm.steps)))</f>
        <v>4</v>
      </c>
      <c r="D1264">
        <f>_xlfn.LET(_xlpm.steps,SUBSTITUTE(Table13[[#This Row],[Input]],Table13[[#This Row],[Direction]],""),VALUE(IF(LEN(_xlpm.steps)&gt;2,LEFT(_xlpm.steps,LEN(_xlpm.steps)-2),0)))</f>
        <v>4</v>
      </c>
      <c r="E1264">
        <f>_xlfn.LET(_xlpm.dir,Table13[[#This Row],[Direction]],
IF(_xlpm.dir="L",
    IF(G1263-Table13[[#This Row],[Steps]]&lt;0,100+(G1263-Table13[[#This Row],[Steps]]),G1263-Table13[[#This Row],[Steps]]),
))</f>
        <v>96</v>
      </c>
      <c r="F1264">
        <f>_xlfn.LET(_xlpm.dir,Table13[[#This Row],[Direction]],
IF(_xlpm.dir="R",
    IF(G1263+Table13[[#This Row],[Steps]]&gt;99,(G1263+Table13[[#This Row],[Steps]])-100,G1263+Table13[[#This Row],[Steps]]),
))</f>
        <v>0</v>
      </c>
      <c r="G1264">
        <f>IF(Table13[[#This Row],[New Pos L]]&lt;&gt;0,Table13[[#This Row],[New Pos L]],Table13[[#This Row],[New Pos R]])</f>
        <v>96</v>
      </c>
      <c r="H1264">
        <f>IF(AND(Table13[[#This Row],[Direction]]="L",Table13[[#This Row],[Steps]]&gt;G1263,G1263&lt;&gt;0),1,0)</f>
        <v>0</v>
      </c>
      <c r="I1264">
        <f>IF(AND(Table13[[#This Row],[Direction]]="R",(G1263+Table13[[#This Row],[Steps]])&gt;100),1,0)</f>
        <v>0</v>
      </c>
      <c r="J1264">
        <f>IF(Table13[[#This Row],[POS]]=0,1,0)</f>
        <v>0</v>
      </c>
      <c r="K1264">
        <f>SUM(Table13[[#This Row],[prefix]],Table13[[#This Row],[Past zero L]],Table13[[#This Row],[Past Zero R]],Table13[[#This Row],[Is Zero]])</f>
        <v>4</v>
      </c>
    </row>
    <row r="1265" spans="1:11" ht="16" x14ac:dyDescent="0.2">
      <c r="A1265" s="1" t="s">
        <v>74</v>
      </c>
      <c r="B1265" t="str">
        <f>LEFT(Table13[[#This Row],[Input]],1)</f>
        <v>R</v>
      </c>
      <c r="C1265">
        <f>_xlfn.LET(_xlpm.steps,SUBSTITUTE(Table13[[#This Row],[Input]],Table13[[#This Row],[Direction]],""),VALUE(IF(LEN(_xlpm.steps)&gt;2,RIGHT(_xlpm.steps,2),_xlpm.steps)))</f>
        <v>93</v>
      </c>
      <c r="D1265">
        <f>_xlfn.LET(_xlpm.steps,SUBSTITUTE(Table13[[#This Row],[Input]],Table13[[#This Row],[Direction]],""),VALUE(IF(LEN(_xlpm.steps)&gt;2,LEFT(_xlpm.steps,LEN(_xlpm.steps)-2),0)))</f>
        <v>0</v>
      </c>
      <c r="E1265">
        <f>_xlfn.LET(_xlpm.dir,Table13[[#This Row],[Direction]],
IF(_xlpm.dir="L",
    IF(G1264-Table13[[#This Row],[Steps]]&lt;0,100+(G1264-Table13[[#This Row],[Steps]]),G1264-Table13[[#This Row],[Steps]]),
))</f>
        <v>0</v>
      </c>
      <c r="F1265">
        <f>_xlfn.LET(_xlpm.dir,Table13[[#This Row],[Direction]],
IF(_xlpm.dir="R",
    IF(G1264+Table13[[#This Row],[Steps]]&gt;99,(G1264+Table13[[#This Row],[Steps]])-100,G1264+Table13[[#This Row],[Steps]]),
))</f>
        <v>89</v>
      </c>
      <c r="G1265">
        <f>IF(Table13[[#This Row],[New Pos L]]&lt;&gt;0,Table13[[#This Row],[New Pos L]],Table13[[#This Row],[New Pos R]])</f>
        <v>89</v>
      </c>
      <c r="H1265">
        <f>IF(AND(Table13[[#This Row],[Direction]]="L",Table13[[#This Row],[Steps]]&gt;G1264,G1264&lt;&gt;0),1,0)</f>
        <v>0</v>
      </c>
      <c r="I1265">
        <f>IF(AND(Table13[[#This Row],[Direction]]="R",(G1264+Table13[[#This Row],[Steps]])&gt;100),1,0)</f>
        <v>1</v>
      </c>
      <c r="J1265">
        <f>IF(Table13[[#This Row],[POS]]=0,1,0)</f>
        <v>0</v>
      </c>
      <c r="K1265">
        <f>SUM(Table13[[#This Row],[prefix]],Table13[[#This Row],[Past zero L]],Table13[[#This Row],[Past Zero R]],Table13[[#This Row],[Is Zero]])</f>
        <v>1</v>
      </c>
    </row>
    <row r="1266" spans="1:11" ht="16" x14ac:dyDescent="0.2">
      <c r="A1266" s="1" t="s">
        <v>379</v>
      </c>
      <c r="B1266" t="str">
        <f>LEFT(Table13[[#This Row],[Input]],1)</f>
        <v>L</v>
      </c>
      <c r="C1266">
        <f>_xlfn.LET(_xlpm.steps,SUBSTITUTE(Table13[[#This Row],[Input]],Table13[[#This Row],[Direction]],""),VALUE(IF(LEN(_xlpm.steps)&gt;2,RIGHT(_xlpm.steps,2),_xlpm.steps)))</f>
        <v>4</v>
      </c>
      <c r="D1266">
        <f>_xlfn.LET(_xlpm.steps,SUBSTITUTE(Table13[[#This Row],[Input]],Table13[[#This Row],[Direction]],""),VALUE(IF(LEN(_xlpm.steps)&gt;2,LEFT(_xlpm.steps,LEN(_xlpm.steps)-2),0)))</f>
        <v>0</v>
      </c>
      <c r="E1266">
        <f>_xlfn.LET(_xlpm.dir,Table13[[#This Row],[Direction]],
IF(_xlpm.dir="L",
    IF(G1265-Table13[[#This Row],[Steps]]&lt;0,100+(G1265-Table13[[#This Row],[Steps]]),G1265-Table13[[#This Row],[Steps]]),
))</f>
        <v>85</v>
      </c>
      <c r="F1266">
        <f>_xlfn.LET(_xlpm.dir,Table13[[#This Row],[Direction]],
IF(_xlpm.dir="R",
    IF(G1265+Table13[[#This Row],[Steps]]&gt;99,(G1265+Table13[[#This Row],[Steps]])-100,G1265+Table13[[#This Row],[Steps]]),
))</f>
        <v>0</v>
      </c>
      <c r="G1266">
        <f>IF(Table13[[#This Row],[New Pos L]]&lt;&gt;0,Table13[[#This Row],[New Pos L]],Table13[[#This Row],[New Pos R]])</f>
        <v>85</v>
      </c>
      <c r="H1266">
        <f>IF(AND(Table13[[#This Row],[Direction]]="L",Table13[[#This Row],[Steps]]&gt;G1265,G1265&lt;&gt;0),1,0)</f>
        <v>0</v>
      </c>
      <c r="I1266">
        <f>IF(AND(Table13[[#This Row],[Direction]]="R",(G1265+Table13[[#This Row],[Steps]])&gt;100),1,0)</f>
        <v>0</v>
      </c>
      <c r="J1266">
        <f>IF(Table13[[#This Row],[POS]]=0,1,0)</f>
        <v>0</v>
      </c>
      <c r="K1266">
        <f>SUM(Table13[[#This Row],[prefix]],Table13[[#This Row],[Past zero L]],Table13[[#This Row],[Past Zero R]],Table13[[#This Row],[Is Zero]])</f>
        <v>0</v>
      </c>
    </row>
    <row r="1267" spans="1:11" ht="16" x14ac:dyDescent="0.2">
      <c r="A1267" s="1" t="s">
        <v>125</v>
      </c>
      <c r="B1267" t="str">
        <f>LEFT(Table13[[#This Row],[Input]],1)</f>
        <v>L</v>
      </c>
      <c r="C1267">
        <f>_xlfn.LET(_xlpm.steps,SUBSTITUTE(Table13[[#This Row],[Input]],Table13[[#This Row],[Direction]],""),VALUE(IF(LEN(_xlpm.steps)&gt;2,RIGHT(_xlpm.steps,2),_xlpm.steps)))</f>
        <v>76</v>
      </c>
      <c r="D1267">
        <f>_xlfn.LET(_xlpm.steps,SUBSTITUTE(Table13[[#This Row],[Input]],Table13[[#This Row],[Direction]],""),VALUE(IF(LEN(_xlpm.steps)&gt;2,LEFT(_xlpm.steps,LEN(_xlpm.steps)-2),0)))</f>
        <v>0</v>
      </c>
      <c r="E1267">
        <f>_xlfn.LET(_xlpm.dir,Table13[[#This Row],[Direction]],
IF(_xlpm.dir="L",
    IF(G1266-Table13[[#This Row],[Steps]]&lt;0,100+(G1266-Table13[[#This Row],[Steps]]),G1266-Table13[[#This Row],[Steps]]),
))</f>
        <v>9</v>
      </c>
      <c r="F1267">
        <f>_xlfn.LET(_xlpm.dir,Table13[[#This Row],[Direction]],
IF(_xlpm.dir="R",
    IF(G1266+Table13[[#This Row],[Steps]]&gt;99,(G1266+Table13[[#This Row],[Steps]])-100,G1266+Table13[[#This Row],[Steps]]),
))</f>
        <v>0</v>
      </c>
      <c r="G1267">
        <f>IF(Table13[[#This Row],[New Pos L]]&lt;&gt;0,Table13[[#This Row],[New Pos L]],Table13[[#This Row],[New Pos R]])</f>
        <v>9</v>
      </c>
      <c r="H1267">
        <f>IF(AND(Table13[[#This Row],[Direction]]="L",Table13[[#This Row],[Steps]]&gt;G1266,G1266&lt;&gt;0),1,0)</f>
        <v>0</v>
      </c>
      <c r="I1267">
        <f>IF(AND(Table13[[#This Row],[Direction]]="R",(G1266+Table13[[#This Row],[Steps]])&gt;100),1,0)</f>
        <v>0</v>
      </c>
      <c r="J1267">
        <f>IF(Table13[[#This Row],[POS]]=0,1,0)</f>
        <v>0</v>
      </c>
      <c r="K1267">
        <f>SUM(Table13[[#This Row],[prefix]],Table13[[#This Row],[Past zero L]],Table13[[#This Row],[Past Zero R]],Table13[[#This Row],[Is Zero]])</f>
        <v>0</v>
      </c>
    </row>
    <row r="1268" spans="1:11" ht="16" x14ac:dyDescent="0.2">
      <c r="A1268" s="1" t="s">
        <v>402</v>
      </c>
      <c r="B1268" t="str">
        <f>LEFT(Table13[[#This Row],[Input]],1)</f>
        <v>R</v>
      </c>
      <c r="C1268">
        <f>_xlfn.LET(_xlpm.steps,SUBSTITUTE(Table13[[#This Row],[Input]],Table13[[#This Row],[Direction]],""),VALUE(IF(LEN(_xlpm.steps)&gt;2,RIGHT(_xlpm.steps,2),_xlpm.steps)))</f>
        <v>91</v>
      </c>
      <c r="D1268">
        <f>_xlfn.LET(_xlpm.steps,SUBSTITUTE(Table13[[#This Row],[Input]],Table13[[#This Row],[Direction]],""),VALUE(IF(LEN(_xlpm.steps)&gt;2,LEFT(_xlpm.steps,LEN(_xlpm.steps)-2),0)))</f>
        <v>1</v>
      </c>
      <c r="E1268">
        <f>_xlfn.LET(_xlpm.dir,Table13[[#This Row],[Direction]],
IF(_xlpm.dir="L",
    IF(G1267-Table13[[#This Row],[Steps]]&lt;0,100+(G1267-Table13[[#This Row],[Steps]]),G1267-Table13[[#This Row],[Steps]]),
))</f>
        <v>0</v>
      </c>
      <c r="F1268">
        <f>_xlfn.LET(_xlpm.dir,Table13[[#This Row],[Direction]],
IF(_xlpm.dir="R",
    IF(G1267+Table13[[#This Row],[Steps]]&gt;99,(G1267+Table13[[#This Row],[Steps]])-100,G1267+Table13[[#This Row],[Steps]]),
))</f>
        <v>0</v>
      </c>
      <c r="G1268">
        <f>IF(Table13[[#This Row],[New Pos L]]&lt;&gt;0,Table13[[#This Row],[New Pos L]],Table13[[#This Row],[New Pos R]])</f>
        <v>0</v>
      </c>
      <c r="H1268">
        <f>IF(AND(Table13[[#This Row],[Direction]]="L",Table13[[#This Row],[Steps]]&gt;G1267,G1267&lt;&gt;0),1,0)</f>
        <v>0</v>
      </c>
      <c r="I1268">
        <f>IF(AND(Table13[[#This Row],[Direction]]="R",(G1267+Table13[[#This Row],[Steps]])&gt;100),1,0)</f>
        <v>0</v>
      </c>
      <c r="J1268">
        <f>IF(Table13[[#This Row],[POS]]=0,1,0)</f>
        <v>1</v>
      </c>
      <c r="K1268">
        <f>SUM(Table13[[#This Row],[prefix]],Table13[[#This Row],[Past zero L]],Table13[[#This Row],[Past Zero R]],Table13[[#This Row],[Is Zero]])</f>
        <v>2</v>
      </c>
    </row>
    <row r="1269" spans="1:11" ht="16" x14ac:dyDescent="0.2">
      <c r="A1269" s="1" t="s">
        <v>129</v>
      </c>
      <c r="B1269" t="str">
        <f>LEFT(Table13[[#This Row],[Input]],1)</f>
        <v>R</v>
      </c>
      <c r="C1269">
        <f>_xlfn.LET(_xlpm.steps,SUBSTITUTE(Table13[[#This Row],[Input]],Table13[[#This Row],[Direction]],""),VALUE(IF(LEN(_xlpm.steps)&gt;2,RIGHT(_xlpm.steps,2),_xlpm.steps)))</f>
        <v>8</v>
      </c>
      <c r="D1269">
        <f>_xlfn.LET(_xlpm.steps,SUBSTITUTE(Table13[[#This Row],[Input]],Table13[[#This Row],[Direction]],""),VALUE(IF(LEN(_xlpm.steps)&gt;2,LEFT(_xlpm.steps,LEN(_xlpm.steps)-2),0)))</f>
        <v>0</v>
      </c>
      <c r="E1269">
        <f>_xlfn.LET(_xlpm.dir,Table13[[#This Row],[Direction]],
IF(_xlpm.dir="L",
    IF(G1268-Table13[[#This Row],[Steps]]&lt;0,100+(G1268-Table13[[#This Row],[Steps]]),G1268-Table13[[#This Row],[Steps]]),
))</f>
        <v>0</v>
      </c>
      <c r="F1269">
        <f>_xlfn.LET(_xlpm.dir,Table13[[#This Row],[Direction]],
IF(_xlpm.dir="R",
    IF(G1268+Table13[[#This Row],[Steps]]&gt;99,(G1268+Table13[[#This Row],[Steps]])-100,G1268+Table13[[#This Row],[Steps]]),
))</f>
        <v>8</v>
      </c>
      <c r="G1269">
        <f>IF(Table13[[#This Row],[New Pos L]]&lt;&gt;0,Table13[[#This Row],[New Pos L]],Table13[[#This Row],[New Pos R]])</f>
        <v>8</v>
      </c>
      <c r="H1269">
        <f>IF(AND(Table13[[#This Row],[Direction]]="L",Table13[[#This Row],[Steps]]&gt;G1268,G1268&lt;&gt;0),1,0)</f>
        <v>0</v>
      </c>
      <c r="I1269">
        <f>IF(AND(Table13[[#This Row],[Direction]]="R",(G1268+Table13[[#This Row],[Steps]])&gt;100),1,0)</f>
        <v>0</v>
      </c>
      <c r="J1269">
        <f>IF(Table13[[#This Row],[POS]]=0,1,0)</f>
        <v>0</v>
      </c>
      <c r="K1269">
        <f>SUM(Table13[[#This Row],[prefix]],Table13[[#This Row],[Past zero L]],Table13[[#This Row],[Past Zero R]],Table13[[#This Row],[Is Zero]])</f>
        <v>0</v>
      </c>
    </row>
    <row r="1270" spans="1:11" ht="16" x14ac:dyDescent="0.2">
      <c r="A1270" s="1" t="s">
        <v>59</v>
      </c>
      <c r="B1270" t="str">
        <f>LEFT(Table13[[#This Row],[Input]],1)</f>
        <v>L</v>
      </c>
      <c r="C1270">
        <f>_xlfn.LET(_xlpm.steps,SUBSTITUTE(Table13[[#This Row],[Input]],Table13[[#This Row],[Direction]],""),VALUE(IF(LEN(_xlpm.steps)&gt;2,RIGHT(_xlpm.steps,2),_xlpm.steps)))</f>
        <v>6</v>
      </c>
      <c r="D1270">
        <f>_xlfn.LET(_xlpm.steps,SUBSTITUTE(Table13[[#This Row],[Input]],Table13[[#This Row],[Direction]],""),VALUE(IF(LEN(_xlpm.steps)&gt;2,LEFT(_xlpm.steps,LEN(_xlpm.steps)-2),0)))</f>
        <v>0</v>
      </c>
      <c r="E1270">
        <f>_xlfn.LET(_xlpm.dir,Table13[[#This Row],[Direction]],
IF(_xlpm.dir="L",
    IF(G1269-Table13[[#This Row],[Steps]]&lt;0,100+(G1269-Table13[[#This Row],[Steps]]),G1269-Table13[[#This Row],[Steps]]),
))</f>
        <v>2</v>
      </c>
      <c r="F1270">
        <f>_xlfn.LET(_xlpm.dir,Table13[[#This Row],[Direction]],
IF(_xlpm.dir="R",
    IF(G1269+Table13[[#This Row],[Steps]]&gt;99,(G1269+Table13[[#This Row],[Steps]])-100,G1269+Table13[[#This Row],[Steps]]),
))</f>
        <v>0</v>
      </c>
      <c r="G1270">
        <f>IF(Table13[[#This Row],[New Pos L]]&lt;&gt;0,Table13[[#This Row],[New Pos L]],Table13[[#This Row],[New Pos R]])</f>
        <v>2</v>
      </c>
      <c r="H1270">
        <f>IF(AND(Table13[[#This Row],[Direction]]="L",Table13[[#This Row],[Steps]]&gt;G1269,G1269&lt;&gt;0),1,0)</f>
        <v>0</v>
      </c>
      <c r="I1270">
        <f>IF(AND(Table13[[#This Row],[Direction]]="R",(G1269+Table13[[#This Row],[Steps]])&gt;100),1,0)</f>
        <v>0</v>
      </c>
      <c r="J1270">
        <f>IF(Table13[[#This Row],[POS]]=0,1,0)</f>
        <v>0</v>
      </c>
      <c r="K1270">
        <f>SUM(Table13[[#This Row],[prefix]],Table13[[#This Row],[Past zero L]],Table13[[#This Row],[Past Zero R]],Table13[[#This Row],[Is Zero]])</f>
        <v>0</v>
      </c>
    </row>
    <row r="1271" spans="1:11" ht="16" x14ac:dyDescent="0.2">
      <c r="A1271" s="1" t="s">
        <v>403</v>
      </c>
      <c r="B1271" t="str">
        <f>LEFT(Table13[[#This Row],[Input]],1)</f>
        <v>L</v>
      </c>
      <c r="C1271">
        <f>_xlfn.LET(_xlpm.steps,SUBSTITUTE(Table13[[#This Row],[Input]],Table13[[#This Row],[Direction]],""),VALUE(IF(LEN(_xlpm.steps)&gt;2,RIGHT(_xlpm.steps,2),_xlpm.steps)))</f>
        <v>2</v>
      </c>
      <c r="D1271">
        <f>_xlfn.LET(_xlpm.steps,SUBSTITUTE(Table13[[#This Row],[Input]],Table13[[#This Row],[Direction]],""),VALUE(IF(LEN(_xlpm.steps)&gt;2,LEFT(_xlpm.steps,LEN(_xlpm.steps)-2),0)))</f>
        <v>4</v>
      </c>
      <c r="E1271">
        <f>_xlfn.LET(_xlpm.dir,Table13[[#This Row],[Direction]],
IF(_xlpm.dir="L",
    IF(G1270-Table13[[#This Row],[Steps]]&lt;0,100+(G1270-Table13[[#This Row],[Steps]]),G1270-Table13[[#This Row],[Steps]]),
))</f>
        <v>0</v>
      </c>
      <c r="F1271">
        <f>_xlfn.LET(_xlpm.dir,Table13[[#This Row],[Direction]],
IF(_xlpm.dir="R",
    IF(G1270+Table13[[#This Row],[Steps]]&gt;99,(G1270+Table13[[#This Row],[Steps]])-100,G1270+Table13[[#This Row],[Steps]]),
))</f>
        <v>0</v>
      </c>
      <c r="G1271">
        <f>IF(Table13[[#This Row],[New Pos L]]&lt;&gt;0,Table13[[#This Row],[New Pos L]],Table13[[#This Row],[New Pos R]])</f>
        <v>0</v>
      </c>
      <c r="H1271">
        <f>IF(AND(Table13[[#This Row],[Direction]]="L",Table13[[#This Row],[Steps]]&gt;G1270,G1270&lt;&gt;0),1,0)</f>
        <v>0</v>
      </c>
      <c r="I1271">
        <f>IF(AND(Table13[[#This Row],[Direction]]="R",(G1270+Table13[[#This Row],[Steps]])&gt;100),1,0)</f>
        <v>0</v>
      </c>
      <c r="J1271">
        <f>IF(Table13[[#This Row],[POS]]=0,1,0)</f>
        <v>1</v>
      </c>
      <c r="K1271">
        <f>SUM(Table13[[#This Row],[prefix]],Table13[[#This Row],[Past zero L]],Table13[[#This Row],[Past Zero R]],Table13[[#This Row],[Is Zero]])</f>
        <v>5</v>
      </c>
    </row>
    <row r="1272" spans="1:11" ht="16" x14ac:dyDescent="0.2">
      <c r="A1272" s="1" t="s">
        <v>167</v>
      </c>
      <c r="B1272" t="str">
        <f>LEFT(Table13[[#This Row],[Input]],1)</f>
        <v>L</v>
      </c>
      <c r="C1272">
        <f>_xlfn.LET(_xlpm.steps,SUBSTITUTE(Table13[[#This Row],[Input]],Table13[[#This Row],[Direction]],""),VALUE(IF(LEN(_xlpm.steps)&gt;2,RIGHT(_xlpm.steps,2),_xlpm.steps)))</f>
        <v>59</v>
      </c>
      <c r="D1272">
        <f>_xlfn.LET(_xlpm.steps,SUBSTITUTE(Table13[[#This Row],[Input]],Table13[[#This Row],[Direction]],""),VALUE(IF(LEN(_xlpm.steps)&gt;2,LEFT(_xlpm.steps,LEN(_xlpm.steps)-2),0)))</f>
        <v>0</v>
      </c>
      <c r="E1272">
        <f>_xlfn.LET(_xlpm.dir,Table13[[#This Row],[Direction]],
IF(_xlpm.dir="L",
    IF(G1271-Table13[[#This Row],[Steps]]&lt;0,100+(G1271-Table13[[#This Row],[Steps]]),G1271-Table13[[#This Row],[Steps]]),
))</f>
        <v>41</v>
      </c>
      <c r="F1272">
        <f>_xlfn.LET(_xlpm.dir,Table13[[#This Row],[Direction]],
IF(_xlpm.dir="R",
    IF(G1271+Table13[[#This Row],[Steps]]&gt;99,(G1271+Table13[[#This Row],[Steps]])-100,G1271+Table13[[#This Row],[Steps]]),
))</f>
        <v>0</v>
      </c>
      <c r="G1272">
        <f>IF(Table13[[#This Row],[New Pos L]]&lt;&gt;0,Table13[[#This Row],[New Pos L]],Table13[[#This Row],[New Pos R]])</f>
        <v>41</v>
      </c>
      <c r="H1272">
        <f>IF(AND(Table13[[#This Row],[Direction]]="L",Table13[[#This Row],[Steps]]&gt;G1271,G1271&lt;&gt;0),1,0)</f>
        <v>0</v>
      </c>
      <c r="I1272">
        <f>IF(AND(Table13[[#This Row],[Direction]]="R",(G1271+Table13[[#This Row],[Steps]])&gt;100),1,0)</f>
        <v>0</v>
      </c>
      <c r="J1272">
        <f>IF(Table13[[#This Row],[POS]]=0,1,0)</f>
        <v>0</v>
      </c>
      <c r="K1272">
        <f>SUM(Table13[[#This Row],[prefix]],Table13[[#This Row],[Past zero L]],Table13[[#This Row],[Past Zero R]],Table13[[#This Row],[Is Zero]])</f>
        <v>0</v>
      </c>
    </row>
    <row r="1273" spans="1:11" ht="16" x14ac:dyDescent="0.2">
      <c r="A1273" s="1" t="s">
        <v>194</v>
      </c>
      <c r="B1273" t="str">
        <f>LEFT(Table13[[#This Row],[Input]],1)</f>
        <v>R</v>
      </c>
      <c r="C1273">
        <f>_xlfn.LET(_xlpm.steps,SUBSTITUTE(Table13[[#This Row],[Input]],Table13[[#This Row],[Direction]],""),VALUE(IF(LEN(_xlpm.steps)&gt;2,RIGHT(_xlpm.steps,2),_xlpm.steps)))</f>
        <v>51</v>
      </c>
      <c r="D1273">
        <f>_xlfn.LET(_xlpm.steps,SUBSTITUTE(Table13[[#This Row],[Input]],Table13[[#This Row],[Direction]],""),VALUE(IF(LEN(_xlpm.steps)&gt;2,LEFT(_xlpm.steps,LEN(_xlpm.steps)-2),0)))</f>
        <v>0</v>
      </c>
      <c r="E1273">
        <f>_xlfn.LET(_xlpm.dir,Table13[[#This Row],[Direction]],
IF(_xlpm.dir="L",
    IF(G1272-Table13[[#This Row],[Steps]]&lt;0,100+(G1272-Table13[[#This Row],[Steps]]),G1272-Table13[[#This Row],[Steps]]),
))</f>
        <v>0</v>
      </c>
      <c r="F1273">
        <f>_xlfn.LET(_xlpm.dir,Table13[[#This Row],[Direction]],
IF(_xlpm.dir="R",
    IF(G1272+Table13[[#This Row],[Steps]]&gt;99,(G1272+Table13[[#This Row],[Steps]])-100,G1272+Table13[[#This Row],[Steps]]),
))</f>
        <v>92</v>
      </c>
      <c r="G1273">
        <f>IF(Table13[[#This Row],[New Pos L]]&lt;&gt;0,Table13[[#This Row],[New Pos L]],Table13[[#This Row],[New Pos R]])</f>
        <v>92</v>
      </c>
      <c r="H1273">
        <f>IF(AND(Table13[[#This Row],[Direction]]="L",Table13[[#This Row],[Steps]]&gt;G1272,G1272&lt;&gt;0),1,0)</f>
        <v>0</v>
      </c>
      <c r="I1273">
        <f>IF(AND(Table13[[#This Row],[Direction]]="R",(G1272+Table13[[#This Row],[Steps]])&gt;100),1,0)</f>
        <v>0</v>
      </c>
      <c r="J1273">
        <f>IF(Table13[[#This Row],[POS]]=0,1,0)</f>
        <v>0</v>
      </c>
      <c r="K1273">
        <f>SUM(Table13[[#This Row],[prefix]],Table13[[#This Row],[Past zero L]],Table13[[#This Row],[Past Zero R]],Table13[[#This Row],[Is Zero]])</f>
        <v>0</v>
      </c>
    </row>
    <row r="1274" spans="1:11" ht="16" x14ac:dyDescent="0.2">
      <c r="A1274" s="1" t="s">
        <v>35</v>
      </c>
      <c r="B1274" t="str">
        <f>LEFT(Table13[[#This Row],[Input]],1)</f>
        <v>L</v>
      </c>
      <c r="C1274">
        <f>_xlfn.LET(_xlpm.steps,SUBSTITUTE(Table13[[#This Row],[Input]],Table13[[#This Row],[Direction]],""),VALUE(IF(LEN(_xlpm.steps)&gt;2,RIGHT(_xlpm.steps,2),_xlpm.steps)))</f>
        <v>2</v>
      </c>
      <c r="D1274">
        <f>_xlfn.LET(_xlpm.steps,SUBSTITUTE(Table13[[#This Row],[Input]],Table13[[#This Row],[Direction]],""),VALUE(IF(LEN(_xlpm.steps)&gt;2,LEFT(_xlpm.steps,LEN(_xlpm.steps)-2),0)))</f>
        <v>0</v>
      </c>
      <c r="E1274">
        <f>_xlfn.LET(_xlpm.dir,Table13[[#This Row],[Direction]],
IF(_xlpm.dir="L",
    IF(G1273-Table13[[#This Row],[Steps]]&lt;0,100+(G1273-Table13[[#This Row],[Steps]]),G1273-Table13[[#This Row],[Steps]]),
))</f>
        <v>90</v>
      </c>
      <c r="F1274">
        <f>_xlfn.LET(_xlpm.dir,Table13[[#This Row],[Direction]],
IF(_xlpm.dir="R",
    IF(G1273+Table13[[#This Row],[Steps]]&gt;99,(G1273+Table13[[#This Row],[Steps]])-100,G1273+Table13[[#This Row],[Steps]]),
))</f>
        <v>0</v>
      </c>
      <c r="G1274">
        <f>IF(Table13[[#This Row],[New Pos L]]&lt;&gt;0,Table13[[#This Row],[New Pos L]],Table13[[#This Row],[New Pos R]])</f>
        <v>90</v>
      </c>
      <c r="H1274">
        <f>IF(AND(Table13[[#This Row],[Direction]]="L",Table13[[#This Row],[Steps]]&gt;G1273,G1273&lt;&gt;0),1,0)</f>
        <v>0</v>
      </c>
      <c r="I1274">
        <f>IF(AND(Table13[[#This Row],[Direction]]="R",(G1273+Table13[[#This Row],[Steps]])&gt;100),1,0)</f>
        <v>0</v>
      </c>
      <c r="J1274">
        <f>IF(Table13[[#This Row],[POS]]=0,1,0)</f>
        <v>0</v>
      </c>
      <c r="K1274">
        <f>SUM(Table13[[#This Row],[prefix]],Table13[[#This Row],[Past zero L]],Table13[[#This Row],[Past Zero R]],Table13[[#This Row],[Is Zero]])</f>
        <v>0</v>
      </c>
    </row>
    <row r="1275" spans="1:11" ht="16" x14ac:dyDescent="0.2">
      <c r="A1275" s="1" t="s">
        <v>64</v>
      </c>
      <c r="B1275" t="str">
        <f>LEFT(Table13[[#This Row],[Input]],1)</f>
        <v>R</v>
      </c>
      <c r="C1275">
        <f>_xlfn.LET(_xlpm.steps,SUBSTITUTE(Table13[[#This Row],[Input]],Table13[[#This Row],[Direction]],""),VALUE(IF(LEN(_xlpm.steps)&gt;2,RIGHT(_xlpm.steps,2),_xlpm.steps)))</f>
        <v>10</v>
      </c>
      <c r="D1275">
        <f>_xlfn.LET(_xlpm.steps,SUBSTITUTE(Table13[[#This Row],[Input]],Table13[[#This Row],[Direction]],""),VALUE(IF(LEN(_xlpm.steps)&gt;2,LEFT(_xlpm.steps,LEN(_xlpm.steps)-2),0)))</f>
        <v>0</v>
      </c>
      <c r="E1275">
        <f>_xlfn.LET(_xlpm.dir,Table13[[#This Row],[Direction]],
IF(_xlpm.dir="L",
    IF(G1274-Table13[[#This Row],[Steps]]&lt;0,100+(G1274-Table13[[#This Row],[Steps]]),G1274-Table13[[#This Row],[Steps]]),
))</f>
        <v>0</v>
      </c>
      <c r="F1275">
        <f>_xlfn.LET(_xlpm.dir,Table13[[#This Row],[Direction]],
IF(_xlpm.dir="R",
    IF(G1274+Table13[[#This Row],[Steps]]&gt;99,(G1274+Table13[[#This Row],[Steps]])-100,G1274+Table13[[#This Row],[Steps]]),
))</f>
        <v>0</v>
      </c>
      <c r="G1275">
        <f>IF(Table13[[#This Row],[New Pos L]]&lt;&gt;0,Table13[[#This Row],[New Pos L]],Table13[[#This Row],[New Pos R]])</f>
        <v>0</v>
      </c>
      <c r="H1275">
        <f>IF(AND(Table13[[#This Row],[Direction]]="L",Table13[[#This Row],[Steps]]&gt;G1274,G1274&lt;&gt;0),1,0)</f>
        <v>0</v>
      </c>
      <c r="I1275">
        <f>IF(AND(Table13[[#This Row],[Direction]]="R",(G1274+Table13[[#This Row],[Steps]])&gt;100),1,0)</f>
        <v>0</v>
      </c>
      <c r="J1275">
        <f>IF(Table13[[#This Row],[POS]]=0,1,0)</f>
        <v>1</v>
      </c>
      <c r="K1275">
        <f>SUM(Table13[[#This Row],[prefix]],Table13[[#This Row],[Past zero L]],Table13[[#This Row],[Past Zero R]],Table13[[#This Row],[Is Zero]])</f>
        <v>1</v>
      </c>
    </row>
    <row r="1276" spans="1:11" ht="16" x14ac:dyDescent="0.2">
      <c r="A1276" s="1" t="s">
        <v>404</v>
      </c>
      <c r="B1276" t="str">
        <f>LEFT(Table13[[#This Row],[Input]],1)</f>
        <v>R</v>
      </c>
      <c r="C1276">
        <f>_xlfn.LET(_xlpm.steps,SUBSTITUTE(Table13[[#This Row],[Input]],Table13[[#This Row],[Direction]],""),VALUE(IF(LEN(_xlpm.steps)&gt;2,RIGHT(_xlpm.steps,2),_xlpm.steps)))</f>
        <v>13</v>
      </c>
      <c r="D1276">
        <f>_xlfn.LET(_xlpm.steps,SUBSTITUTE(Table13[[#This Row],[Input]],Table13[[#This Row],[Direction]],""),VALUE(IF(LEN(_xlpm.steps)&gt;2,LEFT(_xlpm.steps,LEN(_xlpm.steps)-2),0)))</f>
        <v>3</v>
      </c>
      <c r="E1276">
        <f>_xlfn.LET(_xlpm.dir,Table13[[#This Row],[Direction]],
IF(_xlpm.dir="L",
    IF(G1275-Table13[[#This Row],[Steps]]&lt;0,100+(G1275-Table13[[#This Row],[Steps]]),G1275-Table13[[#This Row],[Steps]]),
))</f>
        <v>0</v>
      </c>
      <c r="F1276">
        <f>_xlfn.LET(_xlpm.dir,Table13[[#This Row],[Direction]],
IF(_xlpm.dir="R",
    IF(G1275+Table13[[#This Row],[Steps]]&gt;99,(G1275+Table13[[#This Row],[Steps]])-100,G1275+Table13[[#This Row],[Steps]]),
))</f>
        <v>13</v>
      </c>
      <c r="G1276">
        <f>IF(Table13[[#This Row],[New Pos L]]&lt;&gt;0,Table13[[#This Row],[New Pos L]],Table13[[#This Row],[New Pos R]])</f>
        <v>13</v>
      </c>
      <c r="H1276">
        <f>IF(AND(Table13[[#This Row],[Direction]]="L",Table13[[#This Row],[Steps]]&gt;G1275,G1275&lt;&gt;0),1,0)</f>
        <v>0</v>
      </c>
      <c r="I1276">
        <f>IF(AND(Table13[[#This Row],[Direction]]="R",(G1275+Table13[[#This Row],[Steps]])&gt;100),1,0)</f>
        <v>0</v>
      </c>
      <c r="J1276">
        <f>IF(Table13[[#This Row],[POS]]=0,1,0)</f>
        <v>0</v>
      </c>
      <c r="K1276">
        <f>SUM(Table13[[#This Row],[prefix]],Table13[[#This Row],[Past zero L]],Table13[[#This Row],[Past Zero R]],Table13[[#This Row],[Is Zero]])</f>
        <v>3</v>
      </c>
    </row>
    <row r="1277" spans="1:11" ht="16" x14ac:dyDescent="0.2">
      <c r="A1277" s="1" t="s">
        <v>117</v>
      </c>
      <c r="B1277" t="str">
        <f>LEFT(Table13[[#This Row],[Input]],1)</f>
        <v>L</v>
      </c>
      <c r="C1277">
        <f>_xlfn.LET(_xlpm.steps,SUBSTITUTE(Table13[[#This Row],[Input]],Table13[[#This Row],[Direction]],""),VALUE(IF(LEN(_xlpm.steps)&gt;2,RIGHT(_xlpm.steps,2),_xlpm.steps)))</f>
        <v>13</v>
      </c>
      <c r="D1277">
        <f>_xlfn.LET(_xlpm.steps,SUBSTITUTE(Table13[[#This Row],[Input]],Table13[[#This Row],[Direction]],""),VALUE(IF(LEN(_xlpm.steps)&gt;2,LEFT(_xlpm.steps,LEN(_xlpm.steps)-2),0)))</f>
        <v>3</v>
      </c>
      <c r="E1277">
        <f>_xlfn.LET(_xlpm.dir,Table13[[#This Row],[Direction]],
IF(_xlpm.dir="L",
    IF(G1276-Table13[[#This Row],[Steps]]&lt;0,100+(G1276-Table13[[#This Row],[Steps]]),G1276-Table13[[#This Row],[Steps]]),
))</f>
        <v>0</v>
      </c>
      <c r="F1277">
        <f>_xlfn.LET(_xlpm.dir,Table13[[#This Row],[Direction]],
IF(_xlpm.dir="R",
    IF(G1276+Table13[[#This Row],[Steps]]&gt;99,(G1276+Table13[[#This Row],[Steps]])-100,G1276+Table13[[#This Row],[Steps]]),
))</f>
        <v>0</v>
      </c>
      <c r="G1277">
        <f>IF(Table13[[#This Row],[New Pos L]]&lt;&gt;0,Table13[[#This Row],[New Pos L]],Table13[[#This Row],[New Pos R]])</f>
        <v>0</v>
      </c>
      <c r="H1277">
        <f>IF(AND(Table13[[#This Row],[Direction]]="L",Table13[[#This Row],[Steps]]&gt;G1276,G1276&lt;&gt;0),1,0)</f>
        <v>0</v>
      </c>
      <c r="I1277">
        <f>IF(AND(Table13[[#This Row],[Direction]]="R",(G1276+Table13[[#This Row],[Steps]])&gt;100),1,0)</f>
        <v>0</v>
      </c>
      <c r="J1277">
        <f>IF(Table13[[#This Row],[POS]]=0,1,0)</f>
        <v>1</v>
      </c>
      <c r="K1277">
        <f>SUM(Table13[[#This Row],[prefix]],Table13[[#This Row],[Past zero L]],Table13[[#This Row],[Past Zero R]],Table13[[#This Row],[Is Zero]])</f>
        <v>4</v>
      </c>
    </row>
    <row r="1278" spans="1:11" ht="16" x14ac:dyDescent="0.2">
      <c r="A1278" s="1" t="s">
        <v>138</v>
      </c>
      <c r="B1278" t="str">
        <f>LEFT(Table13[[#This Row],[Input]],1)</f>
        <v>L</v>
      </c>
      <c r="C1278">
        <f>_xlfn.LET(_xlpm.steps,SUBSTITUTE(Table13[[#This Row],[Input]],Table13[[#This Row],[Direction]],""),VALUE(IF(LEN(_xlpm.steps)&gt;2,RIGHT(_xlpm.steps,2),_xlpm.steps)))</f>
        <v>94</v>
      </c>
      <c r="D1278">
        <f>_xlfn.LET(_xlpm.steps,SUBSTITUTE(Table13[[#This Row],[Input]],Table13[[#This Row],[Direction]],""),VALUE(IF(LEN(_xlpm.steps)&gt;2,LEFT(_xlpm.steps,LEN(_xlpm.steps)-2),0)))</f>
        <v>0</v>
      </c>
      <c r="E1278">
        <f>_xlfn.LET(_xlpm.dir,Table13[[#This Row],[Direction]],
IF(_xlpm.dir="L",
    IF(G1277-Table13[[#This Row],[Steps]]&lt;0,100+(G1277-Table13[[#This Row],[Steps]]),G1277-Table13[[#This Row],[Steps]]),
))</f>
        <v>6</v>
      </c>
      <c r="F1278">
        <f>_xlfn.LET(_xlpm.dir,Table13[[#This Row],[Direction]],
IF(_xlpm.dir="R",
    IF(G1277+Table13[[#This Row],[Steps]]&gt;99,(G1277+Table13[[#This Row],[Steps]])-100,G1277+Table13[[#This Row],[Steps]]),
))</f>
        <v>0</v>
      </c>
      <c r="G1278">
        <f>IF(Table13[[#This Row],[New Pos L]]&lt;&gt;0,Table13[[#This Row],[New Pos L]],Table13[[#This Row],[New Pos R]])</f>
        <v>6</v>
      </c>
      <c r="H1278">
        <f>IF(AND(Table13[[#This Row],[Direction]]="L",Table13[[#This Row],[Steps]]&gt;G1277,G1277&lt;&gt;0),1,0)</f>
        <v>0</v>
      </c>
      <c r="I1278">
        <f>IF(AND(Table13[[#This Row],[Direction]]="R",(G1277+Table13[[#This Row],[Steps]])&gt;100),1,0)</f>
        <v>0</v>
      </c>
      <c r="J1278">
        <f>IF(Table13[[#This Row],[POS]]=0,1,0)</f>
        <v>0</v>
      </c>
      <c r="K1278">
        <f>SUM(Table13[[#This Row],[prefix]],Table13[[#This Row],[Past zero L]],Table13[[#This Row],[Past Zero R]],Table13[[#This Row],[Is Zero]])</f>
        <v>0</v>
      </c>
    </row>
    <row r="1279" spans="1:11" ht="16" x14ac:dyDescent="0.2">
      <c r="A1279" s="1" t="s">
        <v>253</v>
      </c>
      <c r="B1279" t="str">
        <f>LEFT(Table13[[#This Row],[Input]],1)</f>
        <v>R</v>
      </c>
      <c r="C1279">
        <f>_xlfn.LET(_xlpm.steps,SUBSTITUTE(Table13[[#This Row],[Input]],Table13[[#This Row],[Direction]],""),VALUE(IF(LEN(_xlpm.steps)&gt;2,RIGHT(_xlpm.steps,2),_xlpm.steps)))</f>
        <v>94</v>
      </c>
      <c r="D1279">
        <f>_xlfn.LET(_xlpm.steps,SUBSTITUTE(Table13[[#This Row],[Input]],Table13[[#This Row],[Direction]],""),VALUE(IF(LEN(_xlpm.steps)&gt;2,LEFT(_xlpm.steps,LEN(_xlpm.steps)-2),0)))</f>
        <v>0</v>
      </c>
      <c r="E1279">
        <f>_xlfn.LET(_xlpm.dir,Table13[[#This Row],[Direction]],
IF(_xlpm.dir="L",
    IF(G1278-Table13[[#This Row],[Steps]]&lt;0,100+(G1278-Table13[[#This Row],[Steps]]),G1278-Table13[[#This Row],[Steps]]),
))</f>
        <v>0</v>
      </c>
      <c r="F1279">
        <f>_xlfn.LET(_xlpm.dir,Table13[[#This Row],[Direction]],
IF(_xlpm.dir="R",
    IF(G1278+Table13[[#This Row],[Steps]]&gt;99,(G1278+Table13[[#This Row],[Steps]])-100,G1278+Table13[[#This Row],[Steps]]),
))</f>
        <v>0</v>
      </c>
      <c r="G1279">
        <f>IF(Table13[[#This Row],[New Pos L]]&lt;&gt;0,Table13[[#This Row],[New Pos L]],Table13[[#This Row],[New Pos R]])</f>
        <v>0</v>
      </c>
      <c r="H1279">
        <f>IF(AND(Table13[[#This Row],[Direction]]="L",Table13[[#This Row],[Steps]]&gt;G1278,G1278&lt;&gt;0),1,0)</f>
        <v>0</v>
      </c>
      <c r="I1279">
        <f>IF(AND(Table13[[#This Row],[Direction]]="R",(G1278+Table13[[#This Row],[Steps]])&gt;100),1,0)</f>
        <v>0</v>
      </c>
      <c r="J1279">
        <f>IF(Table13[[#This Row],[POS]]=0,1,0)</f>
        <v>1</v>
      </c>
      <c r="K1279">
        <f>SUM(Table13[[#This Row],[prefix]],Table13[[#This Row],[Past zero L]],Table13[[#This Row],[Past Zero R]],Table13[[#This Row],[Is Zero]])</f>
        <v>1</v>
      </c>
    </row>
    <row r="1280" spans="1:11" ht="16" x14ac:dyDescent="0.2">
      <c r="A1280" s="1" t="s">
        <v>405</v>
      </c>
      <c r="B1280" t="str">
        <f>LEFT(Table13[[#This Row],[Input]],1)</f>
        <v>L</v>
      </c>
      <c r="C1280">
        <f>_xlfn.LET(_xlpm.steps,SUBSTITUTE(Table13[[#This Row],[Input]],Table13[[#This Row],[Direction]],""),VALUE(IF(LEN(_xlpm.steps)&gt;2,RIGHT(_xlpm.steps,2),_xlpm.steps)))</f>
        <v>32</v>
      </c>
      <c r="D1280">
        <f>_xlfn.LET(_xlpm.steps,SUBSTITUTE(Table13[[#This Row],[Input]],Table13[[#This Row],[Direction]],""),VALUE(IF(LEN(_xlpm.steps)&gt;2,LEFT(_xlpm.steps,LEN(_xlpm.steps)-2),0)))</f>
        <v>0</v>
      </c>
      <c r="E1280">
        <f>_xlfn.LET(_xlpm.dir,Table13[[#This Row],[Direction]],
IF(_xlpm.dir="L",
    IF(G1279-Table13[[#This Row],[Steps]]&lt;0,100+(G1279-Table13[[#This Row],[Steps]]),G1279-Table13[[#This Row],[Steps]]),
))</f>
        <v>68</v>
      </c>
      <c r="F1280">
        <f>_xlfn.LET(_xlpm.dir,Table13[[#This Row],[Direction]],
IF(_xlpm.dir="R",
    IF(G1279+Table13[[#This Row],[Steps]]&gt;99,(G1279+Table13[[#This Row],[Steps]])-100,G1279+Table13[[#This Row],[Steps]]),
))</f>
        <v>0</v>
      </c>
      <c r="G1280">
        <f>IF(Table13[[#This Row],[New Pos L]]&lt;&gt;0,Table13[[#This Row],[New Pos L]],Table13[[#This Row],[New Pos R]])</f>
        <v>68</v>
      </c>
      <c r="H1280">
        <f>IF(AND(Table13[[#This Row],[Direction]]="L",Table13[[#This Row],[Steps]]&gt;G1279,G1279&lt;&gt;0),1,0)</f>
        <v>0</v>
      </c>
      <c r="I1280">
        <f>IF(AND(Table13[[#This Row],[Direction]]="R",(G1279+Table13[[#This Row],[Steps]])&gt;100),1,0)</f>
        <v>0</v>
      </c>
      <c r="J1280">
        <f>IF(Table13[[#This Row],[POS]]=0,1,0)</f>
        <v>0</v>
      </c>
      <c r="K1280">
        <f>SUM(Table13[[#This Row],[prefix]],Table13[[#This Row],[Past zero L]],Table13[[#This Row],[Past Zero R]],Table13[[#This Row],[Is Zero]])</f>
        <v>0</v>
      </c>
    </row>
    <row r="1281" spans="1:11" ht="16" x14ac:dyDescent="0.2">
      <c r="A1281" s="1" t="s">
        <v>39</v>
      </c>
      <c r="B1281" t="str">
        <f>LEFT(Table13[[#This Row],[Input]],1)</f>
        <v>R</v>
      </c>
      <c r="C1281">
        <f>_xlfn.LET(_xlpm.steps,SUBSTITUTE(Table13[[#This Row],[Input]],Table13[[#This Row],[Direction]],""),VALUE(IF(LEN(_xlpm.steps)&gt;2,RIGHT(_xlpm.steps,2),_xlpm.steps)))</f>
        <v>32</v>
      </c>
      <c r="D1281">
        <f>_xlfn.LET(_xlpm.steps,SUBSTITUTE(Table13[[#This Row],[Input]],Table13[[#This Row],[Direction]],""),VALUE(IF(LEN(_xlpm.steps)&gt;2,LEFT(_xlpm.steps,LEN(_xlpm.steps)-2),0)))</f>
        <v>0</v>
      </c>
      <c r="E1281">
        <f>_xlfn.LET(_xlpm.dir,Table13[[#This Row],[Direction]],
IF(_xlpm.dir="L",
    IF(G1280-Table13[[#This Row],[Steps]]&lt;0,100+(G1280-Table13[[#This Row],[Steps]]),G1280-Table13[[#This Row],[Steps]]),
))</f>
        <v>0</v>
      </c>
      <c r="F1281">
        <f>_xlfn.LET(_xlpm.dir,Table13[[#This Row],[Direction]],
IF(_xlpm.dir="R",
    IF(G1280+Table13[[#This Row],[Steps]]&gt;99,(G1280+Table13[[#This Row],[Steps]])-100,G1280+Table13[[#This Row],[Steps]]),
))</f>
        <v>0</v>
      </c>
      <c r="G1281">
        <f>IF(Table13[[#This Row],[New Pos L]]&lt;&gt;0,Table13[[#This Row],[New Pos L]],Table13[[#This Row],[New Pos R]])</f>
        <v>0</v>
      </c>
      <c r="H1281">
        <f>IF(AND(Table13[[#This Row],[Direction]]="L",Table13[[#This Row],[Steps]]&gt;G1280,G1280&lt;&gt;0),1,0)</f>
        <v>0</v>
      </c>
      <c r="I1281">
        <f>IF(AND(Table13[[#This Row],[Direction]]="R",(G1280+Table13[[#This Row],[Steps]])&gt;100),1,0)</f>
        <v>0</v>
      </c>
      <c r="J1281">
        <f>IF(Table13[[#This Row],[POS]]=0,1,0)</f>
        <v>1</v>
      </c>
      <c r="K1281">
        <f>SUM(Table13[[#This Row],[prefix]],Table13[[#This Row],[Past zero L]],Table13[[#This Row],[Past Zero R]],Table13[[#This Row],[Is Zero]])</f>
        <v>1</v>
      </c>
    </row>
    <row r="1282" spans="1:11" ht="16" x14ac:dyDescent="0.2">
      <c r="A1282" s="1" t="s">
        <v>42</v>
      </c>
      <c r="B1282" t="str">
        <f>LEFT(Table13[[#This Row],[Input]],1)</f>
        <v>L</v>
      </c>
      <c r="C1282">
        <f>_xlfn.LET(_xlpm.steps,SUBSTITUTE(Table13[[#This Row],[Input]],Table13[[#This Row],[Direction]],""),VALUE(IF(LEN(_xlpm.steps)&gt;2,RIGHT(_xlpm.steps,2),_xlpm.steps)))</f>
        <v>27</v>
      </c>
      <c r="D1282">
        <f>_xlfn.LET(_xlpm.steps,SUBSTITUTE(Table13[[#This Row],[Input]],Table13[[#This Row],[Direction]],""),VALUE(IF(LEN(_xlpm.steps)&gt;2,LEFT(_xlpm.steps,LEN(_xlpm.steps)-2),0)))</f>
        <v>0</v>
      </c>
      <c r="E1282">
        <f>_xlfn.LET(_xlpm.dir,Table13[[#This Row],[Direction]],
IF(_xlpm.dir="L",
    IF(G1281-Table13[[#This Row],[Steps]]&lt;0,100+(G1281-Table13[[#This Row],[Steps]]),G1281-Table13[[#This Row],[Steps]]),
))</f>
        <v>73</v>
      </c>
      <c r="F1282">
        <f>_xlfn.LET(_xlpm.dir,Table13[[#This Row],[Direction]],
IF(_xlpm.dir="R",
    IF(G1281+Table13[[#This Row],[Steps]]&gt;99,(G1281+Table13[[#This Row],[Steps]])-100,G1281+Table13[[#This Row],[Steps]]),
))</f>
        <v>0</v>
      </c>
      <c r="G1282">
        <f>IF(Table13[[#This Row],[New Pos L]]&lt;&gt;0,Table13[[#This Row],[New Pos L]],Table13[[#This Row],[New Pos R]])</f>
        <v>73</v>
      </c>
      <c r="H1282">
        <f>IF(AND(Table13[[#This Row],[Direction]]="L",Table13[[#This Row],[Steps]]&gt;G1281,G1281&lt;&gt;0),1,0)</f>
        <v>0</v>
      </c>
      <c r="I1282">
        <f>IF(AND(Table13[[#This Row],[Direction]]="R",(G1281+Table13[[#This Row],[Steps]])&gt;100),1,0)</f>
        <v>0</v>
      </c>
      <c r="J1282">
        <f>IF(Table13[[#This Row],[POS]]=0,1,0)</f>
        <v>0</v>
      </c>
      <c r="K1282">
        <f>SUM(Table13[[#This Row],[prefix]],Table13[[#This Row],[Past zero L]],Table13[[#This Row],[Past Zero R]],Table13[[#This Row],[Is Zero]])</f>
        <v>0</v>
      </c>
    </row>
    <row r="1283" spans="1:11" ht="16" x14ac:dyDescent="0.2">
      <c r="A1283" s="1" t="s">
        <v>13</v>
      </c>
      <c r="B1283" t="str">
        <f>LEFT(Table13[[#This Row],[Input]],1)</f>
        <v>R</v>
      </c>
      <c r="C1283">
        <f>_xlfn.LET(_xlpm.steps,SUBSTITUTE(Table13[[#This Row],[Input]],Table13[[#This Row],[Direction]],""),VALUE(IF(LEN(_xlpm.steps)&gt;2,RIGHT(_xlpm.steps,2),_xlpm.steps)))</f>
        <v>12</v>
      </c>
      <c r="D1283">
        <f>_xlfn.LET(_xlpm.steps,SUBSTITUTE(Table13[[#This Row],[Input]],Table13[[#This Row],[Direction]],""),VALUE(IF(LEN(_xlpm.steps)&gt;2,LEFT(_xlpm.steps,LEN(_xlpm.steps)-2),0)))</f>
        <v>0</v>
      </c>
      <c r="E1283">
        <f>_xlfn.LET(_xlpm.dir,Table13[[#This Row],[Direction]],
IF(_xlpm.dir="L",
    IF(G1282-Table13[[#This Row],[Steps]]&lt;0,100+(G1282-Table13[[#This Row],[Steps]]),G1282-Table13[[#This Row],[Steps]]),
))</f>
        <v>0</v>
      </c>
      <c r="F1283">
        <f>_xlfn.LET(_xlpm.dir,Table13[[#This Row],[Direction]],
IF(_xlpm.dir="R",
    IF(G1282+Table13[[#This Row],[Steps]]&gt;99,(G1282+Table13[[#This Row],[Steps]])-100,G1282+Table13[[#This Row],[Steps]]),
))</f>
        <v>85</v>
      </c>
      <c r="G1283">
        <f>IF(Table13[[#This Row],[New Pos L]]&lt;&gt;0,Table13[[#This Row],[New Pos L]],Table13[[#This Row],[New Pos R]])</f>
        <v>85</v>
      </c>
      <c r="H1283">
        <f>IF(AND(Table13[[#This Row],[Direction]]="L",Table13[[#This Row],[Steps]]&gt;G1282,G1282&lt;&gt;0),1,0)</f>
        <v>0</v>
      </c>
      <c r="I1283">
        <f>IF(AND(Table13[[#This Row],[Direction]]="R",(G1282+Table13[[#This Row],[Steps]])&gt;100),1,0)</f>
        <v>0</v>
      </c>
      <c r="J1283">
        <f>IF(Table13[[#This Row],[POS]]=0,1,0)</f>
        <v>0</v>
      </c>
      <c r="K1283">
        <f>SUM(Table13[[#This Row],[prefix]],Table13[[#This Row],[Past zero L]],Table13[[#This Row],[Past Zero R]],Table13[[#This Row],[Is Zero]])</f>
        <v>0</v>
      </c>
    </row>
    <row r="1284" spans="1:11" ht="16" x14ac:dyDescent="0.2">
      <c r="A1284" s="1" t="s">
        <v>260</v>
      </c>
      <c r="B1284" t="str">
        <f>LEFT(Table13[[#This Row],[Input]],1)</f>
        <v>L</v>
      </c>
      <c r="C1284">
        <f>_xlfn.LET(_xlpm.steps,SUBSTITUTE(Table13[[#This Row],[Input]],Table13[[#This Row],[Direction]],""),VALUE(IF(LEN(_xlpm.steps)&gt;2,RIGHT(_xlpm.steps,2),_xlpm.steps)))</f>
        <v>85</v>
      </c>
      <c r="D1284">
        <f>_xlfn.LET(_xlpm.steps,SUBSTITUTE(Table13[[#This Row],[Input]],Table13[[#This Row],[Direction]],""),VALUE(IF(LEN(_xlpm.steps)&gt;2,LEFT(_xlpm.steps,LEN(_xlpm.steps)-2),0)))</f>
        <v>0</v>
      </c>
      <c r="E1284">
        <f>_xlfn.LET(_xlpm.dir,Table13[[#This Row],[Direction]],
IF(_xlpm.dir="L",
    IF(G1283-Table13[[#This Row],[Steps]]&lt;0,100+(G1283-Table13[[#This Row],[Steps]]),G1283-Table13[[#This Row],[Steps]]),
))</f>
        <v>0</v>
      </c>
      <c r="F1284">
        <f>_xlfn.LET(_xlpm.dir,Table13[[#This Row],[Direction]],
IF(_xlpm.dir="R",
    IF(G1283+Table13[[#This Row],[Steps]]&gt;99,(G1283+Table13[[#This Row],[Steps]])-100,G1283+Table13[[#This Row],[Steps]]),
))</f>
        <v>0</v>
      </c>
      <c r="G1284">
        <f>IF(Table13[[#This Row],[New Pos L]]&lt;&gt;0,Table13[[#This Row],[New Pos L]],Table13[[#This Row],[New Pos R]])</f>
        <v>0</v>
      </c>
      <c r="H1284">
        <f>IF(AND(Table13[[#This Row],[Direction]]="L",Table13[[#This Row],[Steps]]&gt;G1283,G1283&lt;&gt;0),1,0)</f>
        <v>0</v>
      </c>
      <c r="I1284">
        <f>IF(AND(Table13[[#This Row],[Direction]]="R",(G1283+Table13[[#This Row],[Steps]])&gt;100),1,0)</f>
        <v>0</v>
      </c>
      <c r="J1284">
        <f>IF(Table13[[#This Row],[POS]]=0,1,0)</f>
        <v>1</v>
      </c>
      <c r="K1284">
        <f>SUM(Table13[[#This Row],[prefix]],Table13[[#This Row],[Past zero L]],Table13[[#This Row],[Past Zero R]],Table13[[#This Row],[Is Zero]])</f>
        <v>1</v>
      </c>
    </row>
    <row r="1285" spans="1:11" ht="16" x14ac:dyDescent="0.2">
      <c r="A1285" s="1" t="s">
        <v>276</v>
      </c>
      <c r="B1285" t="str">
        <f>LEFT(Table13[[#This Row],[Input]],1)</f>
        <v>L</v>
      </c>
      <c r="C1285">
        <f>_xlfn.LET(_xlpm.steps,SUBSTITUTE(Table13[[#This Row],[Input]],Table13[[#This Row],[Direction]],""),VALUE(IF(LEN(_xlpm.steps)&gt;2,RIGHT(_xlpm.steps,2),_xlpm.steps)))</f>
        <v>60</v>
      </c>
      <c r="D1285">
        <f>_xlfn.LET(_xlpm.steps,SUBSTITUTE(Table13[[#This Row],[Input]],Table13[[#This Row],[Direction]],""),VALUE(IF(LEN(_xlpm.steps)&gt;2,LEFT(_xlpm.steps,LEN(_xlpm.steps)-2),0)))</f>
        <v>0</v>
      </c>
      <c r="E1285">
        <f>_xlfn.LET(_xlpm.dir,Table13[[#This Row],[Direction]],
IF(_xlpm.dir="L",
    IF(G1284-Table13[[#This Row],[Steps]]&lt;0,100+(G1284-Table13[[#This Row],[Steps]]),G1284-Table13[[#This Row],[Steps]]),
))</f>
        <v>40</v>
      </c>
      <c r="F1285">
        <f>_xlfn.LET(_xlpm.dir,Table13[[#This Row],[Direction]],
IF(_xlpm.dir="R",
    IF(G1284+Table13[[#This Row],[Steps]]&gt;99,(G1284+Table13[[#This Row],[Steps]])-100,G1284+Table13[[#This Row],[Steps]]),
))</f>
        <v>0</v>
      </c>
      <c r="G1285">
        <f>IF(Table13[[#This Row],[New Pos L]]&lt;&gt;0,Table13[[#This Row],[New Pos L]],Table13[[#This Row],[New Pos R]])</f>
        <v>40</v>
      </c>
      <c r="H1285">
        <f>IF(AND(Table13[[#This Row],[Direction]]="L",Table13[[#This Row],[Steps]]&gt;G1284,G1284&lt;&gt;0),1,0)</f>
        <v>0</v>
      </c>
      <c r="I1285">
        <f>IF(AND(Table13[[#This Row],[Direction]]="R",(G1284+Table13[[#This Row],[Steps]])&gt;100),1,0)</f>
        <v>0</v>
      </c>
      <c r="J1285">
        <f>IF(Table13[[#This Row],[POS]]=0,1,0)</f>
        <v>0</v>
      </c>
      <c r="K1285">
        <f>SUM(Table13[[#This Row],[prefix]],Table13[[#This Row],[Past zero L]],Table13[[#This Row],[Past Zero R]],Table13[[#This Row],[Is Zero]])</f>
        <v>0</v>
      </c>
    </row>
    <row r="1286" spans="1:11" ht="16" x14ac:dyDescent="0.2">
      <c r="A1286" s="1" t="s">
        <v>75</v>
      </c>
      <c r="B1286" t="str">
        <f>LEFT(Table13[[#This Row],[Input]],1)</f>
        <v>R</v>
      </c>
      <c r="C1286">
        <f>_xlfn.LET(_xlpm.steps,SUBSTITUTE(Table13[[#This Row],[Input]],Table13[[#This Row],[Direction]],""),VALUE(IF(LEN(_xlpm.steps)&gt;2,RIGHT(_xlpm.steps,2),_xlpm.steps)))</f>
        <v>2</v>
      </c>
      <c r="D1286">
        <f>_xlfn.LET(_xlpm.steps,SUBSTITUTE(Table13[[#This Row],[Input]],Table13[[#This Row],[Direction]],""),VALUE(IF(LEN(_xlpm.steps)&gt;2,LEFT(_xlpm.steps,LEN(_xlpm.steps)-2),0)))</f>
        <v>0</v>
      </c>
      <c r="E1286">
        <f>_xlfn.LET(_xlpm.dir,Table13[[#This Row],[Direction]],
IF(_xlpm.dir="L",
    IF(G1285-Table13[[#This Row],[Steps]]&lt;0,100+(G1285-Table13[[#This Row],[Steps]]),G1285-Table13[[#This Row],[Steps]]),
))</f>
        <v>0</v>
      </c>
      <c r="F1286">
        <f>_xlfn.LET(_xlpm.dir,Table13[[#This Row],[Direction]],
IF(_xlpm.dir="R",
    IF(G1285+Table13[[#This Row],[Steps]]&gt;99,(G1285+Table13[[#This Row],[Steps]])-100,G1285+Table13[[#This Row],[Steps]]),
))</f>
        <v>42</v>
      </c>
      <c r="G1286">
        <f>IF(Table13[[#This Row],[New Pos L]]&lt;&gt;0,Table13[[#This Row],[New Pos L]],Table13[[#This Row],[New Pos R]])</f>
        <v>42</v>
      </c>
      <c r="H1286">
        <f>IF(AND(Table13[[#This Row],[Direction]]="L",Table13[[#This Row],[Steps]]&gt;G1285,G1285&lt;&gt;0),1,0)</f>
        <v>0</v>
      </c>
      <c r="I1286">
        <f>IF(AND(Table13[[#This Row],[Direction]]="R",(G1285+Table13[[#This Row],[Steps]])&gt;100),1,0)</f>
        <v>0</v>
      </c>
      <c r="J1286">
        <f>IF(Table13[[#This Row],[POS]]=0,1,0)</f>
        <v>0</v>
      </c>
      <c r="K1286">
        <f>SUM(Table13[[#This Row],[prefix]],Table13[[#This Row],[Past zero L]],Table13[[#This Row],[Past Zero R]],Table13[[#This Row],[Is Zero]])</f>
        <v>0</v>
      </c>
    </row>
    <row r="1287" spans="1:11" ht="16" x14ac:dyDescent="0.2">
      <c r="A1287" s="1" t="s">
        <v>151</v>
      </c>
      <c r="B1287" t="str">
        <f>LEFT(Table13[[#This Row],[Input]],1)</f>
        <v>L</v>
      </c>
      <c r="C1287">
        <f>_xlfn.LET(_xlpm.steps,SUBSTITUTE(Table13[[#This Row],[Input]],Table13[[#This Row],[Direction]],""),VALUE(IF(LEN(_xlpm.steps)&gt;2,RIGHT(_xlpm.steps,2),_xlpm.steps)))</f>
        <v>74</v>
      </c>
      <c r="D1287">
        <f>_xlfn.LET(_xlpm.steps,SUBSTITUTE(Table13[[#This Row],[Input]],Table13[[#This Row],[Direction]],""),VALUE(IF(LEN(_xlpm.steps)&gt;2,LEFT(_xlpm.steps,LEN(_xlpm.steps)-2),0)))</f>
        <v>0</v>
      </c>
      <c r="E1287">
        <f>_xlfn.LET(_xlpm.dir,Table13[[#This Row],[Direction]],
IF(_xlpm.dir="L",
    IF(G1286-Table13[[#This Row],[Steps]]&lt;0,100+(G1286-Table13[[#This Row],[Steps]]),G1286-Table13[[#This Row],[Steps]]),
))</f>
        <v>68</v>
      </c>
      <c r="F1287">
        <f>_xlfn.LET(_xlpm.dir,Table13[[#This Row],[Direction]],
IF(_xlpm.dir="R",
    IF(G1286+Table13[[#This Row],[Steps]]&gt;99,(G1286+Table13[[#This Row],[Steps]])-100,G1286+Table13[[#This Row],[Steps]]),
))</f>
        <v>0</v>
      </c>
      <c r="G1287">
        <f>IF(Table13[[#This Row],[New Pos L]]&lt;&gt;0,Table13[[#This Row],[New Pos L]],Table13[[#This Row],[New Pos R]])</f>
        <v>68</v>
      </c>
      <c r="H1287">
        <f>IF(AND(Table13[[#This Row],[Direction]]="L",Table13[[#This Row],[Steps]]&gt;G1286,G1286&lt;&gt;0),1,0)</f>
        <v>1</v>
      </c>
      <c r="I1287">
        <f>IF(AND(Table13[[#This Row],[Direction]]="R",(G1286+Table13[[#This Row],[Steps]])&gt;100),1,0)</f>
        <v>0</v>
      </c>
      <c r="J1287">
        <f>IF(Table13[[#This Row],[POS]]=0,1,0)</f>
        <v>0</v>
      </c>
      <c r="K1287">
        <f>SUM(Table13[[#This Row],[prefix]],Table13[[#This Row],[Past zero L]],Table13[[#This Row],[Past Zero R]],Table13[[#This Row],[Is Zero]])</f>
        <v>1</v>
      </c>
    </row>
    <row r="1288" spans="1:11" ht="16" x14ac:dyDescent="0.2">
      <c r="A1288" s="1" t="s">
        <v>127</v>
      </c>
      <c r="B1288" t="str">
        <f>LEFT(Table13[[#This Row],[Input]],1)</f>
        <v>L</v>
      </c>
      <c r="C1288">
        <f>_xlfn.LET(_xlpm.steps,SUBSTITUTE(Table13[[#This Row],[Input]],Table13[[#This Row],[Direction]],""),VALUE(IF(LEN(_xlpm.steps)&gt;2,RIGHT(_xlpm.steps,2),_xlpm.steps)))</f>
        <v>62</v>
      </c>
      <c r="D1288">
        <f>_xlfn.LET(_xlpm.steps,SUBSTITUTE(Table13[[#This Row],[Input]],Table13[[#This Row],[Direction]],""),VALUE(IF(LEN(_xlpm.steps)&gt;2,LEFT(_xlpm.steps,LEN(_xlpm.steps)-2),0)))</f>
        <v>0</v>
      </c>
      <c r="E1288">
        <f>_xlfn.LET(_xlpm.dir,Table13[[#This Row],[Direction]],
IF(_xlpm.dir="L",
    IF(G1287-Table13[[#This Row],[Steps]]&lt;0,100+(G1287-Table13[[#This Row],[Steps]]),G1287-Table13[[#This Row],[Steps]]),
))</f>
        <v>6</v>
      </c>
      <c r="F1288">
        <f>_xlfn.LET(_xlpm.dir,Table13[[#This Row],[Direction]],
IF(_xlpm.dir="R",
    IF(G1287+Table13[[#This Row],[Steps]]&gt;99,(G1287+Table13[[#This Row],[Steps]])-100,G1287+Table13[[#This Row],[Steps]]),
))</f>
        <v>0</v>
      </c>
      <c r="G1288">
        <f>IF(Table13[[#This Row],[New Pos L]]&lt;&gt;0,Table13[[#This Row],[New Pos L]],Table13[[#This Row],[New Pos R]])</f>
        <v>6</v>
      </c>
      <c r="H1288">
        <f>IF(AND(Table13[[#This Row],[Direction]]="L",Table13[[#This Row],[Steps]]&gt;G1287,G1287&lt;&gt;0),1,0)</f>
        <v>0</v>
      </c>
      <c r="I1288">
        <f>IF(AND(Table13[[#This Row],[Direction]]="R",(G1287+Table13[[#This Row],[Steps]])&gt;100),1,0)</f>
        <v>0</v>
      </c>
      <c r="J1288">
        <f>IF(Table13[[#This Row],[POS]]=0,1,0)</f>
        <v>0</v>
      </c>
      <c r="K1288">
        <f>SUM(Table13[[#This Row],[prefix]],Table13[[#This Row],[Past zero L]],Table13[[#This Row],[Past Zero R]],Table13[[#This Row],[Is Zero]])</f>
        <v>0</v>
      </c>
    </row>
    <row r="1289" spans="1:11" ht="16" x14ac:dyDescent="0.2">
      <c r="A1289" s="1" t="s">
        <v>79</v>
      </c>
      <c r="B1289" t="str">
        <f>LEFT(Table13[[#This Row],[Input]],1)</f>
        <v>L</v>
      </c>
      <c r="C1289">
        <f>_xlfn.LET(_xlpm.steps,SUBSTITUTE(Table13[[#This Row],[Input]],Table13[[#This Row],[Direction]],""),VALUE(IF(LEN(_xlpm.steps)&gt;2,RIGHT(_xlpm.steps,2),_xlpm.steps)))</f>
        <v>45</v>
      </c>
      <c r="D1289">
        <f>_xlfn.LET(_xlpm.steps,SUBSTITUTE(Table13[[#This Row],[Input]],Table13[[#This Row],[Direction]],""),VALUE(IF(LEN(_xlpm.steps)&gt;2,LEFT(_xlpm.steps,LEN(_xlpm.steps)-2),0)))</f>
        <v>0</v>
      </c>
      <c r="E1289">
        <f>_xlfn.LET(_xlpm.dir,Table13[[#This Row],[Direction]],
IF(_xlpm.dir="L",
    IF(G1288-Table13[[#This Row],[Steps]]&lt;0,100+(G1288-Table13[[#This Row],[Steps]]),G1288-Table13[[#This Row],[Steps]]),
))</f>
        <v>61</v>
      </c>
      <c r="F1289">
        <f>_xlfn.LET(_xlpm.dir,Table13[[#This Row],[Direction]],
IF(_xlpm.dir="R",
    IF(G1288+Table13[[#This Row],[Steps]]&gt;99,(G1288+Table13[[#This Row],[Steps]])-100,G1288+Table13[[#This Row],[Steps]]),
))</f>
        <v>0</v>
      </c>
      <c r="G1289">
        <f>IF(Table13[[#This Row],[New Pos L]]&lt;&gt;0,Table13[[#This Row],[New Pos L]],Table13[[#This Row],[New Pos R]])</f>
        <v>61</v>
      </c>
      <c r="H1289">
        <f>IF(AND(Table13[[#This Row],[Direction]]="L",Table13[[#This Row],[Steps]]&gt;G1288,G1288&lt;&gt;0),1,0)</f>
        <v>1</v>
      </c>
      <c r="I1289">
        <f>IF(AND(Table13[[#This Row],[Direction]]="R",(G1288+Table13[[#This Row],[Steps]])&gt;100),1,0)</f>
        <v>0</v>
      </c>
      <c r="J1289">
        <f>IF(Table13[[#This Row],[POS]]=0,1,0)</f>
        <v>0</v>
      </c>
      <c r="K1289">
        <f>SUM(Table13[[#This Row],[prefix]],Table13[[#This Row],[Past zero L]],Table13[[#This Row],[Past Zero R]],Table13[[#This Row],[Is Zero]])</f>
        <v>1</v>
      </c>
    </row>
    <row r="1290" spans="1:11" ht="16" x14ac:dyDescent="0.2">
      <c r="A1290" s="1" t="s">
        <v>357</v>
      </c>
      <c r="B1290" t="str">
        <f>LEFT(Table13[[#This Row],[Input]],1)</f>
        <v>R</v>
      </c>
      <c r="C1290">
        <f>_xlfn.LET(_xlpm.steps,SUBSTITUTE(Table13[[#This Row],[Input]],Table13[[#This Row],[Direction]],""),VALUE(IF(LEN(_xlpm.steps)&gt;2,RIGHT(_xlpm.steps,2),_xlpm.steps)))</f>
        <v>72</v>
      </c>
      <c r="D1290">
        <f>_xlfn.LET(_xlpm.steps,SUBSTITUTE(Table13[[#This Row],[Input]],Table13[[#This Row],[Direction]],""),VALUE(IF(LEN(_xlpm.steps)&gt;2,LEFT(_xlpm.steps,LEN(_xlpm.steps)-2),0)))</f>
        <v>0</v>
      </c>
      <c r="E1290">
        <f>_xlfn.LET(_xlpm.dir,Table13[[#This Row],[Direction]],
IF(_xlpm.dir="L",
    IF(G1289-Table13[[#This Row],[Steps]]&lt;0,100+(G1289-Table13[[#This Row],[Steps]]),G1289-Table13[[#This Row],[Steps]]),
))</f>
        <v>0</v>
      </c>
      <c r="F1290">
        <f>_xlfn.LET(_xlpm.dir,Table13[[#This Row],[Direction]],
IF(_xlpm.dir="R",
    IF(G1289+Table13[[#This Row],[Steps]]&gt;99,(G1289+Table13[[#This Row],[Steps]])-100,G1289+Table13[[#This Row],[Steps]]),
))</f>
        <v>33</v>
      </c>
      <c r="G1290">
        <f>IF(Table13[[#This Row],[New Pos L]]&lt;&gt;0,Table13[[#This Row],[New Pos L]],Table13[[#This Row],[New Pos R]])</f>
        <v>33</v>
      </c>
      <c r="H1290">
        <f>IF(AND(Table13[[#This Row],[Direction]]="L",Table13[[#This Row],[Steps]]&gt;G1289,G1289&lt;&gt;0),1,0)</f>
        <v>0</v>
      </c>
      <c r="I1290">
        <f>IF(AND(Table13[[#This Row],[Direction]]="R",(G1289+Table13[[#This Row],[Steps]])&gt;100),1,0)</f>
        <v>1</v>
      </c>
      <c r="J1290">
        <f>IF(Table13[[#This Row],[POS]]=0,1,0)</f>
        <v>0</v>
      </c>
      <c r="K1290">
        <f>SUM(Table13[[#This Row],[prefix]],Table13[[#This Row],[Past zero L]],Table13[[#This Row],[Past Zero R]],Table13[[#This Row],[Is Zero]])</f>
        <v>1</v>
      </c>
    </row>
    <row r="1291" spans="1:11" ht="16" x14ac:dyDescent="0.2">
      <c r="A1291" s="1" t="s">
        <v>81</v>
      </c>
      <c r="B1291" t="str">
        <f>LEFT(Table13[[#This Row],[Input]],1)</f>
        <v>R</v>
      </c>
      <c r="C1291">
        <f>_xlfn.LET(_xlpm.steps,SUBSTITUTE(Table13[[#This Row],[Input]],Table13[[#This Row],[Direction]],""),VALUE(IF(LEN(_xlpm.steps)&gt;2,RIGHT(_xlpm.steps,2),_xlpm.steps)))</f>
        <v>17</v>
      </c>
      <c r="D1291">
        <f>_xlfn.LET(_xlpm.steps,SUBSTITUTE(Table13[[#This Row],[Input]],Table13[[#This Row],[Direction]],""),VALUE(IF(LEN(_xlpm.steps)&gt;2,LEFT(_xlpm.steps,LEN(_xlpm.steps)-2),0)))</f>
        <v>0</v>
      </c>
      <c r="E1291">
        <f>_xlfn.LET(_xlpm.dir,Table13[[#This Row],[Direction]],
IF(_xlpm.dir="L",
    IF(G1290-Table13[[#This Row],[Steps]]&lt;0,100+(G1290-Table13[[#This Row],[Steps]]),G1290-Table13[[#This Row],[Steps]]),
))</f>
        <v>0</v>
      </c>
      <c r="F1291">
        <f>_xlfn.LET(_xlpm.dir,Table13[[#This Row],[Direction]],
IF(_xlpm.dir="R",
    IF(G1290+Table13[[#This Row],[Steps]]&gt;99,(G1290+Table13[[#This Row],[Steps]])-100,G1290+Table13[[#This Row],[Steps]]),
))</f>
        <v>50</v>
      </c>
      <c r="G1291">
        <f>IF(Table13[[#This Row],[New Pos L]]&lt;&gt;0,Table13[[#This Row],[New Pos L]],Table13[[#This Row],[New Pos R]])</f>
        <v>50</v>
      </c>
      <c r="H1291">
        <f>IF(AND(Table13[[#This Row],[Direction]]="L",Table13[[#This Row],[Steps]]&gt;G1290,G1290&lt;&gt;0),1,0)</f>
        <v>0</v>
      </c>
      <c r="I1291">
        <f>IF(AND(Table13[[#This Row],[Direction]]="R",(G1290+Table13[[#This Row],[Steps]])&gt;100),1,0)</f>
        <v>0</v>
      </c>
      <c r="J1291">
        <f>IF(Table13[[#This Row],[POS]]=0,1,0)</f>
        <v>0</v>
      </c>
      <c r="K1291">
        <f>SUM(Table13[[#This Row],[prefix]],Table13[[#This Row],[Past zero L]],Table13[[#This Row],[Past Zero R]],Table13[[#This Row],[Is Zero]])</f>
        <v>0</v>
      </c>
    </row>
    <row r="1292" spans="1:11" ht="16" x14ac:dyDescent="0.2">
      <c r="A1292" s="1" t="s">
        <v>53</v>
      </c>
      <c r="B1292" t="str">
        <f>LEFT(Table13[[#This Row],[Input]],1)</f>
        <v>L</v>
      </c>
      <c r="C1292">
        <f>_xlfn.LET(_xlpm.steps,SUBSTITUTE(Table13[[#This Row],[Input]],Table13[[#This Row],[Direction]],""),VALUE(IF(LEN(_xlpm.steps)&gt;2,RIGHT(_xlpm.steps,2),_xlpm.steps)))</f>
        <v>56</v>
      </c>
      <c r="D1292">
        <f>_xlfn.LET(_xlpm.steps,SUBSTITUTE(Table13[[#This Row],[Input]],Table13[[#This Row],[Direction]],""),VALUE(IF(LEN(_xlpm.steps)&gt;2,LEFT(_xlpm.steps,LEN(_xlpm.steps)-2),0)))</f>
        <v>0</v>
      </c>
      <c r="E1292">
        <f>_xlfn.LET(_xlpm.dir,Table13[[#This Row],[Direction]],
IF(_xlpm.dir="L",
    IF(G1291-Table13[[#This Row],[Steps]]&lt;0,100+(G1291-Table13[[#This Row],[Steps]]),G1291-Table13[[#This Row],[Steps]]),
))</f>
        <v>94</v>
      </c>
      <c r="F1292">
        <f>_xlfn.LET(_xlpm.dir,Table13[[#This Row],[Direction]],
IF(_xlpm.dir="R",
    IF(G1291+Table13[[#This Row],[Steps]]&gt;99,(G1291+Table13[[#This Row],[Steps]])-100,G1291+Table13[[#This Row],[Steps]]),
))</f>
        <v>0</v>
      </c>
      <c r="G1292">
        <f>IF(Table13[[#This Row],[New Pos L]]&lt;&gt;0,Table13[[#This Row],[New Pos L]],Table13[[#This Row],[New Pos R]])</f>
        <v>94</v>
      </c>
      <c r="H1292">
        <f>IF(AND(Table13[[#This Row],[Direction]]="L",Table13[[#This Row],[Steps]]&gt;G1291,G1291&lt;&gt;0),1,0)</f>
        <v>1</v>
      </c>
      <c r="I1292">
        <f>IF(AND(Table13[[#This Row],[Direction]]="R",(G1291+Table13[[#This Row],[Steps]])&gt;100),1,0)</f>
        <v>0</v>
      </c>
      <c r="J1292">
        <f>IF(Table13[[#This Row],[POS]]=0,1,0)</f>
        <v>0</v>
      </c>
      <c r="K1292">
        <f>SUM(Table13[[#This Row],[prefix]],Table13[[#This Row],[Past zero L]],Table13[[#This Row],[Past Zero R]],Table13[[#This Row],[Is Zero]])</f>
        <v>1</v>
      </c>
    </row>
    <row r="1293" spans="1:11" ht="16" x14ac:dyDescent="0.2">
      <c r="A1293" s="1" t="s">
        <v>46</v>
      </c>
      <c r="B1293" t="str">
        <f>LEFT(Table13[[#This Row],[Input]],1)</f>
        <v>L</v>
      </c>
      <c r="C1293">
        <f>_xlfn.LET(_xlpm.steps,SUBSTITUTE(Table13[[#This Row],[Input]],Table13[[#This Row],[Direction]],""),VALUE(IF(LEN(_xlpm.steps)&gt;2,RIGHT(_xlpm.steps,2),_xlpm.steps)))</f>
        <v>97</v>
      </c>
      <c r="D1293">
        <f>_xlfn.LET(_xlpm.steps,SUBSTITUTE(Table13[[#This Row],[Input]],Table13[[#This Row],[Direction]],""),VALUE(IF(LEN(_xlpm.steps)&gt;2,LEFT(_xlpm.steps,LEN(_xlpm.steps)-2),0)))</f>
        <v>0</v>
      </c>
      <c r="E1293">
        <f>_xlfn.LET(_xlpm.dir,Table13[[#This Row],[Direction]],
IF(_xlpm.dir="L",
    IF(G1292-Table13[[#This Row],[Steps]]&lt;0,100+(G1292-Table13[[#This Row],[Steps]]),G1292-Table13[[#This Row],[Steps]]),
))</f>
        <v>97</v>
      </c>
      <c r="F1293">
        <f>_xlfn.LET(_xlpm.dir,Table13[[#This Row],[Direction]],
IF(_xlpm.dir="R",
    IF(G1292+Table13[[#This Row],[Steps]]&gt;99,(G1292+Table13[[#This Row],[Steps]])-100,G1292+Table13[[#This Row],[Steps]]),
))</f>
        <v>0</v>
      </c>
      <c r="G1293">
        <f>IF(Table13[[#This Row],[New Pos L]]&lt;&gt;0,Table13[[#This Row],[New Pos L]],Table13[[#This Row],[New Pos R]])</f>
        <v>97</v>
      </c>
      <c r="H1293">
        <f>IF(AND(Table13[[#This Row],[Direction]]="L",Table13[[#This Row],[Steps]]&gt;G1292,G1292&lt;&gt;0),1,0)</f>
        <v>1</v>
      </c>
      <c r="I1293">
        <f>IF(AND(Table13[[#This Row],[Direction]]="R",(G1292+Table13[[#This Row],[Steps]])&gt;100),1,0)</f>
        <v>0</v>
      </c>
      <c r="J1293">
        <f>IF(Table13[[#This Row],[POS]]=0,1,0)</f>
        <v>0</v>
      </c>
      <c r="K1293">
        <f>SUM(Table13[[#This Row],[prefix]],Table13[[#This Row],[Past zero L]],Table13[[#This Row],[Past Zero R]],Table13[[#This Row],[Is Zero]])</f>
        <v>1</v>
      </c>
    </row>
    <row r="1294" spans="1:11" ht="16" x14ac:dyDescent="0.2">
      <c r="A1294" s="1" t="s">
        <v>15</v>
      </c>
      <c r="B1294" t="str">
        <f>LEFT(Table13[[#This Row],[Input]],1)</f>
        <v>R</v>
      </c>
      <c r="C1294">
        <f>_xlfn.LET(_xlpm.steps,SUBSTITUTE(Table13[[#This Row],[Input]],Table13[[#This Row],[Direction]],""),VALUE(IF(LEN(_xlpm.steps)&gt;2,RIGHT(_xlpm.steps,2),_xlpm.steps)))</f>
        <v>36</v>
      </c>
      <c r="D1294">
        <f>_xlfn.LET(_xlpm.steps,SUBSTITUTE(Table13[[#This Row],[Input]],Table13[[#This Row],[Direction]],""),VALUE(IF(LEN(_xlpm.steps)&gt;2,LEFT(_xlpm.steps,LEN(_xlpm.steps)-2),0)))</f>
        <v>0</v>
      </c>
      <c r="E1294">
        <f>_xlfn.LET(_xlpm.dir,Table13[[#This Row],[Direction]],
IF(_xlpm.dir="L",
    IF(G1293-Table13[[#This Row],[Steps]]&lt;0,100+(G1293-Table13[[#This Row],[Steps]]),G1293-Table13[[#This Row],[Steps]]),
))</f>
        <v>0</v>
      </c>
      <c r="F1294">
        <f>_xlfn.LET(_xlpm.dir,Table13[[#This Row],[Direction]],
IF(_xlpm.dir="R",
    IF(G1293+Table13[[#This Row],[Steps]]&gt;99,(G1293+Table13[[#This Row],[Steps]])-100,G1293+Table13[[#This Row],[Steps]]),
))</f>
        <v>33</v>
      </c>
      <c r="G1294">
        <f>IF(Table13[[#This Row],[New Pos L]]&lt;&gt;0,Table13[[#This Row],[New Pos L]],Table13[[#This Row],[New Pos R]])</f>
        <v>33</v>
      </c>
      <c r="H1294">
        <f>IF(AND(Table13[[#This Row],[Direction]]="L",Table13[[#This Row],[Steps]]&gt;G1293,G1293&lt;&gt;0),1,0)</f>
        <v>0</v>
      </c>
      <c r="I1294">
        <f>IF(AND(Table13[[#This Row],[Direction]]="R",(G1293+Table13[[#This Row],[Steps]])&gt;100),1,0)</f>
        <v>1</v>
      </c>
      <c r="J1294">
        <f>IF(Table13[[#This Row],[POS]]=0,1,0)</f>
        <v>0</v>
      </c>
      <c r="K1294">
        <f>SUM(Table13[[#This Row],[prefix]],Table13[[#This Row],[Past zero L]],Table13[[#This Row],[Past Zero R]],Table13[[#This Row],[Is Zero]])</f>
        <v>1</v>
      </c>
    </row>
    <row r="1295" spans="1:11" ht="16" x14ac:dyDescent="0.2">
      <c r="A1295" s="1" t="s">
        <v>379</v>
      </c>
      <c r="B1295" t="str">
        <f>LEFT(Table13[[#This Row],[Input]],1)</f>
        <v>L</v>
      </c>
      <c r="C1295">
        <f>_xlfn.LET(_xlpm.steps,SUBSTITUTE(Table13[[#This Row],[Input]],Table13[[#This Row],[Direction]],""),VALUE(IF(LEN(_xlpm.steps)&gt;2,RIGHT(_xlpm.steps,2),_xlpm.steps)))</f>
        <v>4</v>
      </c>
      <c r="D1295">
        <f>_xlfn.LET(_xlpm.steps,SUBSTITUTE(Table13[[#This Row],[Input]],Table13[[#This Row],[Direction]],""),VALUE(IF(LEN(_xlpm.steps)&gt;2,LEFT(_xlpm.steps,LEN(_xlpm.steps)-2),0)))</f>
        <v>0</v>
      </c>
      <c r="E1295">
        <f>_xlfn.LET(_xlpm.dir,Table13[[#This Row],[Direction]],
IF(_xlpm.dir="L",
    IF(G1294-Table13[[#This Row],[Steps]]&lt;0,100+(G1294-Table13[[#This Row],[Steps]]),G1294-Table13[[#This Row],[Steps]]),
))</f>
        <v>29</v>
      </c>
      <c r="F1295">
        <f>_xlfn.LET(_xlpm.dir,Table13[[#This Row],[Direction]],
IF(_xlpm.dir="R",
    IF(G1294+Table13[[#This Row],[Steps]]&gt;99,(G1294+Table13[[#This Row],[Steps]])-100,G1294+Table13[[#This Row],[Steps]]),
))</f>
        <v>0</v>
      </c>
      <c r="G1295">
        <f>IF(Table13[[#This Row],[New Pos L]]&lt;&gt;0,Table13[[#This Row],[New Pos L]],Table13[[#This Row],[New Pos R]])</f>
        <v>29</v>
      </c>
      <c r="H1295">
        <f>IF(AND(Table13[[#This Row],[Direction]]="L",Table13[[#This Row],[Steps]]&gt;G1294,G1294&lt;&gt;0),1,0)</f>
        <v>0</v>
      </c>
      <c r="I1295">
        <f>IF(AND(Table13[[#This Row],[Direction]]="R",(G1294+Table13[[#This Row],[Steps]])&gt;100),1,0)</f>
        <v>0</v>
      </c>
      <c r="J1295">
        <f>IF(Table13[[#This Row],[POS]]=0,1,0)</f>
        <v>0</v>
      </c>
      <c r="K1295">
        <f>SUM(Table13[[#This Row],[prefix]],Table13[[#This Row],[Past zero L]],Table13[[#This Row],[Past Zero R]],Table13[[#This Row],[Is Zero]])</f>
        <v>0</v>
      </c>
    </row>
    <row r="1296" spans="1:11" ht="16" x14ac:dyDescent="0.2">
      <c r="A1296" s="1" t="s">
        <v>245</v>
      </c>
      <c r="B1296" t="str">
        <f>LEFT(Table13[[#This Row],[Input]],1)</f>
        <v>R</v>
      </c>
      <c r="C1296">
        <f>_xlfn.LET(_xlpm.steps,SUBSTITUTE(Table13[[#This Row],[Input]],Table13[[#This Row],[Direction]],""),VALUE(IF(LEN(_xlpm.steps)&gt;2,RIGHT(_xlpm.steps,2),_xlpm.steps)))</f>
        <v>71</v>
      </c>
      <c r="D1296">
        <f>_xlfn.LET(_xlpm.steps,SUBSTITUTE(Table13[[#This Row],[Input]],Table13[[#This Row],[Direction]],""),VALUE(IF(LEN(_xlpm.steps)&gt;2,LEFT(_xlpm.steps,LEN(_xlpm.steps)-2),0)))</f>
        <v>0</v>
      </c>
      <c r="E1296">
        <f>_xlfn.LET(_xlpm.dir,Table13[[#This Row],[Direction]],
IF(_xlpm.dir="L",
    IF(G1295-Table13[[#This Row],[Steps]]&lt;0,100+(G1295-Table13[[#This Row],[Steps]]),G1295-Table13[[#This Row],[Steps]]),
))</f>
        <v>0</v>
      </c>
      <c r="F1296">
        <f>_xlfn.LET(_xlpm.dir,Table13[[#This Row],[Direction]],
IF(_xlpm.dir="R",
    IF(G1295+Table13[[#This Row],[Steps]]&gt;99,(G1295+Table13[[#This Row],[Steps]])-100,G1295+Table13[[#This Row],[Steps]]),
))</f>
        <v>0</v>
      </c>
      <c r="G1296">
        <f>IF(Table13[[#This Row],[New Pos L]]&lt;&gt;0,Table13[[#This Row],[New Pos L]],Table13[[#This Row],[New Pos R]])</f>
        <v>0</v>
      </c>
      <c r="H1296">
        <f>IF(AND(Table13[[#This Row],[Direction]]="L",Table13[[#This Row],[Steps]]&gt;G1295,G1295&lt;&gt;0),1,0)</f>
        <v>0</v>
      </c>
      <c r="I1296">
        <f>IF(AND(Table13[[#This Row],[Direction]]="R",(G1295+Table13[[#This Row],[Steps]])&gt;100),1,0)</f>
        <v>0</v>
      </c>
      <c r="J1296">
        <f>IF(Table13[[#This Row],[POS]]=0,1,0)</f>
        <v>1</v>
      </c>
      <c r="K1296">
        <f>SUM(Table13[[#This Row],[prefix]],Table13[[#This Row],[Past zero L]],Table13[[#This Row],[Past Zero R]],Table13[[#This Row],[Is Zero]])</f>
        <v>1</v>
      </c>
    </row>
    <row r="1297" spans="1:11" ht="16" x14ac:dyDescent="0.2">
      <c r="A1297" s="1" t="s">
        <v>174</v>
      </c>
      <c r="B1297" t="str">
        <f>LEFT(Table13[[#This Row],[Input]],1)</f>
        <v>L</v>
      </c>
      <c r="C1297">
        <f>_xlfn.LET(_xlpm.steps,SUBSTITUTE(Table13[[#This Row],[Input]],Table13[[#This Row],[Direction]],""),VALUE(IF(LEN(_xlpm.steps)&gt;2,RIGHT(_xlpm.steps,2),_xlpm.steps)))</f>
        <v>92</v>
      </c>
      <c r="D1297">
        <f>_xlfn.LET(_xlpm.steps,SUBSTITUTE(Table13[[#This Row],[Input]],Table13[[#This Row],[Direction]],""),VALUE(IF(LEN(_xlpm.steps)&gt;2,LEFT(_xlpm.steps,LEN(_xlpm.steps)-2),0)))</f>
        <v>0</v>
      </c>
      <c r="E1297">
        <f>_xlfn.LET(_xlpm.dir,Table13[[#This Row],[Direction]],
IF(_xlpm.dir="L",
    IF(G1296-Table13[[#This Row],[Steps]]&lt;0,100+(G1296-Table13[[#This Row],[Steps]]),G1296-Table13[[#This Row],[Steps]]),
))</f>
        <v>8</v>
      </c>
      <c r="F1297">
        <f>_xlfn.LET(_xlpm.dir,Table13[[#This Row],[Direction]],
IF(_xlpm.dir="R",
    IF(G1296+Table13[[#This Row],[Steps]]&gt;99,(G1296+Table13[[#This Row],[Steps]])-100,G1296+Table13[[#This Row],[Steps]]),
))</f>
        <v>0</v>
      </c>
      <c r="G1297">
        <f>IF(Table13[[#This Row],[New Pos L]]&lt;&gt;0,Table13[[#This Row],[New Pos L]],Table13[[#This Row],[New Pos R]])</f>
        <v>8</v>
      </c>
      <c r="H1297">
        <f>IF(AND(Table13[[#This Row],[Direction]]="L",Table13[[#This Row],[Steps]]&gt;G1296,G1296&lt;&gt;0),1,0)</f>
        <v>0</v>
      </c>
      <c r="I1297">
        <f>IF(AND(Table13[[#This Row],[Direction]]="R",(G1296+Table13[[#This Row],[Steps]])&gt;100),1,0)</f>
        <v>0</v>
      </c>
      <c r="J1297">
        <f>IF(Table13[[#This Row],[POS]]=0,1,0)</f>
        <v>0</v>
      </c>
      <c r="K1297">
        <f>SUM(Table13[[#This Row],[prefix]],Table13[[#This Row],[Past zero L]],Table13[[#This Row],[Past Zero R]],Table13[[#This Row],[Is Zero]])</f>
        <v>0</v>
      </c>
    </row>
    <row r="1298" spans="1:11" ht="16" x14ac:dyDescent="0.2">
      <c r="A1298" s="1" t="s">
        <v>108</v>
      </c>
      <c r="B1298" t="str">
        <f>LEFT(Table13[[#This Row],[Input]],1)</f>
        <v>R</v>
      </c>
      <c r="C1298">
        <f>_xlfn.LET(_xlpm.steps,SUBSTITUTE(Table13[[#This Row],[Input]],Table13[[#This Row],[Direction]],""),VALUE(IF(LEN(_xlpm.steps)&gt;2,RIGHT(_xlpm.steps,2),_xlpm.steps)))</f>
        <v>66</v>
      </c>
      <c r="D1298">
        <f>_xlfn.LET(_xlpm.steps,SUBSTITUTE(Table13[[#This Row],[Input]],Table13[[#This Row],[Direction]],""),VALUE(IF(LEN(_xlpm.steps)&gt;2,LEFT(_xlpm.steps,LEN(_xlpm.steps)-2),0)))</f>
        <v>0</v>
      </c>
      <c r="E1298">
        <f>_xlfn.LET(_xlpm.dir,Table13[[#This Row],[Direction]],
IF(_xlpm.dir="L",
    IF(G1297-Table13[[#This Row],[Steps]]&lt;0,100+(G1297-Table13[[#This Row],[Steps]]),G1297-Table13[[#This Row],[Steps]]),
))</f>
        <v>0</v>
      </c>
      <c r="F1298">
        <f>_xlfn.LET(_xlpm.dir,Table13[[#This Row],[Direction]],
IF(_xlpm.dir="R",
    IF(G1297+Table13[[#This Row],[Steps]]&gt;99,(G1297+Table13[[#This Row],[Steps]])-100,G1297+Table13[[#This Row],[Steps]]),
))</f>
        <v>74</v>
      </c>
      <c r="G1298">
        <f>IF(Table13[[#This Row],[New Pos L]]&lt;&gt;0,Table13[[#This Row],[New Pos L]],Table13[[#This Row],[New Pos R]])</f>
        <v>74</v>
      </c>
      <c r="H1298">
        <f>IF(AND(Table13[[#This Row],[Direction]]="L",Table13[[#This Row],[Steps]]&gt;G1297,G1297&lt;&gt;0),1,0)</f>
        <v>0</v>
      </c>
      <c r="I1298">
        <f>IF(AND(Table13[[#This Row],[Direction]]="R",(G1297+Table13[[#This Row],[Steps]])&gt;100),1,0)</f>
        <v>0</v>
      </c>
      <c r="J1298">
        <f>IF(Table13[[#This Row],[POS]]=0,1,0)</f>
        <v>0</v>
      </c>
      <c r="K1298">
        <f>SUM(Table13[[#This Row],[prefix]],Table13[[#This Row],[Past zero L]],Table13[[#This Row],[Past Zero R]],Table13[[#This Row],[Is Zero]])</f>
        <v>0</v>
      </c>
    </row>
    <row r="1299" spans="1:11" ht="16" x14ac:dyDescent="0.2">
      <c r="A1299" s="1" t="s">
        <v>145</v>
      </c>
      <c r="B1299" t="str">
        <f>LEFT(Table13[[#This Row],[Input]],1)</f>
        <v>L</v>
      </c>
      <c r="C1299">
        <f>_xlfn.LET(_xlpm.steps,SUBSTITUTE(Table13[[#This Row],[Input]],Table13[[#This Row],[Direction]],""),VALUE(IF(LEN(_xlpm.steps)&gt;2,RIGHT(_xlpm.steps,2),_xlpm.steps)))</f>
        <v>83</v>
      </c>
      <c r="D1299">
        <f>_xlfn.LET(_xlpm.steps,SUBSTITUTE(Table13[[#This Row],[Input]],Table13[[#This Row],[Direction]],""),VALUE(IF(LEN(_xlpm.steps)&gt;2,LEFT(_xlpm.steps,LEN(_xlpm.steps)-2),0)))</f>
        <v>0</v>
      </c>
      <c r="E1299">
        <f>_xlfn.LET(_xlpm.dir,Table13[[#This Row],[Direction]],
IF(_xlpm.dir="L",
    IF(G1298-Table13[[#This Row],[Steps]]&lt;0,100+(G1298-Table13[[#This Row],[Steps]]),G1298-Table13[[#This Row],[Steps]]),
))</f>
        <v>91</v>
      </c>
      <c r="F1299">
        <f>_xlfn.LET(_xlpm.dir,Table13[[#This Row],[Direction]],
IF(_xlpm.dir="R",
    IF(G1298+Table13[[#This Row],[Steps]]&gt;99,(G1298+Table13[[#This Row],[Steps]])-100,G1298+Table13[[#This Row],[Steps]]),
))</f>
        <v>0</v>
      </c>
      <c r="G1299">
        <f>IF(Table13[[#This Row],[New Pos L]]&lt;&gt;0,Table13[[#This Row],[New Pos L]],Table13[[#This Row],[New Pos R]])</f>
        <v>91</v>
      </c>
      <c r="H1299">
        <f>IF(AND(Table13[[#This Row],[Direction]]="L",Table13[[#This Row],[Steps]]&gt;G1298,G1298&lt;&gt;0),1,0)</f>
        <v>1</v>
      </c>
      <c r="I1299">
        <f>IF(AND(Table13[[#This Row],[Direction]]="R",(G1298+Table13[[#This Row],[Steps]])&gt;100),1,0)</f>
        <v>0</v>
      </c>
      <c r="J1299">
        <f>IF(Table13[[#This Row],[POS]]=0,1,0)</f>
        <v>0</v>
      </c>
      <c r="K1299">
        <f>SUM(Table13[[#This Row],[prefix]],Table13[[#This Row],[Past zero L]],Table13[[#This Row],[Past Zero R]],Table13[[#This Row],[Is Zero]])</f>
        <v>1</v>
      </c>
    </row>
    <row r="1300" spans="1:11" ht="16" x14ac:dyDescent="0.2">
      <c r="A1300" s="1" t="s">
        <v>53</v>
      </c>
      <c r="B1300" t="str">
        <f>LEFT(Table13[[#This Row],[Input]],1)</f>
        <v>L</v>
      </c>
      <c r="C1300">
        <f>_xlfn.LET(_xlpm.steps,SUBSTITUTE(Table13[[#This Row],[Input]],Table13[[#This Row],[Direction]],""),VALUE(IF(LEN(_xlpm.steps)&gt;2,RIGHT(_xlpm.steps,2),_xlpm.steps)))</f>
        <v>56</v>
      </c>
      <c r="D1300">
        <f>_xlfn.LET(_xlpm.steps,SUBSTITUTE(Table13[[#This Row],[Input]],Table13[[#This Row],[Direction]],""),VALUE(IF(LEN(_xlpm.steps)&gt;2,LEFT(_xlpm.steps,LEN(_xlpm.steps)-2),0)))</f>
        <v>0</v>
      </c>
      <c r="E1300">
        <f>_xlfn.LET(_xlpm.dir,Table13[[#This Row],[Direction]],
IF(_xlpm.dir="L",
    IF(G1299-Table13[[#This Row],[Steps]]&lt;0,100+(G1299-Table13[[#This Row],[Steps]]),G1299-Table13[[#This Row],[Steps]]),
))</f>
        <v>35</v>
      </c>
      <c r="F1300">
        <f>_xlfn.LET(_xlpm.dir,Table13[[#This Row],[Direction]],
IF(_xlpm.dir="R",
    IF(G1299+Table13[[#This Row],[Steps]]&gt;99,(G1299+Table13[[#This Row],[Steps]])-100,G1299+Table13[[#This Row],[Steps]]),
))</f>
        <v>0</v>
      </c>
      <c r="G1300">
        <f>IF(Table13[[#This Row],[New Pos L]]&lt;&gt;0,Table13[[#This Row],[New Pos L]],Table13[[#This Row],[New Pos R]])</f>
        <v>35</v>
      </c>
      <c r="H1300">
        <f>IF(AND(Table13[[#This Row],[Direction]]="L",Table13[[#This Row],[Steps]]&gt;G1299,G1299&lt;&gt;0),1,0)</f>
        <v>0</v>
      </c>
      <c r="I1300">
        <f>IF(AND(Table13[[#This Row],[Direction]]="R",(G1299+Table13[[#This Row],[Steps]])&gt;100),1,0)</f>
        <v>0</v>
      </c>
      <c r="J1300">
        <f>IF(Table13[[#This Row],[POS]]=0,1,0)</f>
        <v>0</v>
      </c>
      <c r="K1300">
        <f>SUM(Table13[[#This Row],[prefix]],Table13[[#This Row],[Past zero L]],Table13[[#This Row],[Past Zero R]],Table13[[#This Row],[Is Zero]])</f>
        <v>0</v>
      </c>
    </row>
    <row r="1301" spans="1:11" ht="16" x14ac:dyDescent="0.2">
      <c r="A1301" s="1" t="s">
        <v>406</v>
      </c>
      <c r="B1301" t="str">
        <f>LEFT(Table13[[#This Row],[Input]],1)</f>
        <v>L</v>
      </c>
      <c r="C1301">
        <f>_xlfn.LET(_xlpm.steps,SUBSTITUTE(Table13[[#This Row],[Input]],Table13[[#This Row],[Direction]],""),VALUE(IF(LEN(_xlpm.steps)&gt;2,RIGHT(_xlpm.steps,2),_xlpm.steps)))</f>
        <v>35</v>
      </c>
      <c r="D1301">
        <f>_xlfn.LET(_xlpm.steps,SUBSTITUTE(Table13[[#This Row],[Input]],Table13[[#This Row],[Direction]],""),VALUE(IF(LEN(_xlpm.steps)&gt;2,LEFT(_xlpm.steps,LEN(_xlpm.steps)-2),0)))</f>
        <v>1</v>
      </c>
      <c r="E1301">
        <f>_xlfn.LET(_xlpm.dir,Table13[[#This Row],[Direction]],
IF(_xlpm.dir="L",
    IF(G1300-Table13[[#This Row],[Steps]]&lt;0,100+(G1300-Table13[[#This Row],[Steps]]),G1300-Table13[[#This Row],[Steps]]),
))</f>
        <v>0</v>
      </c>
      <c r="F1301">
        <f>_xlfn.LET(_xlpm.dir,Table13[[#This Row],[Direction]],
IF(_xlpm.dir="R",
    IF(G1300+Table13[[#This Row],[Steps]]&gt;99,(G1300+Table13[[#This Row],[Steps]])-100,G1300+Table13[[#This Row],[Steps]]),
))</f>
        <v>0</v>
      </c>
      <c r="G1301">
        <f>IF(Table13[[#This Row],[New Pos L]]&lt;&gt;0,Table13[[#This Row],[New Pos L]],Table13[[#This Row],[New Pos R]])</f>
        <v>0</v>
      </c>
      <c r="H1301">
        <f>IF(AND(Table13[[#This Row],[Direction]]="L",Table13[[#This Row],[Steps]]&gt;G1300,G1300&lt;&gt;0),1,0)</f>
        <v>0</v>
      </c>
      <c r="I1301">
        <f>IF(AND(Table13[[#This Row],[Direction]]="R",(G1300+Table13[[#This Row],[Steps]])&gt;100),1,0)</f>
        <v>0</v>
      </c>
      <c r="J1301">
        <f>IF(Table13[[#This Row],[POS]]=0,1,0)</f>
        <v>1</v>
      </c>
      <c r="K1301">
        <f>SUM(Table13[[#This Row],[prefix]],Table13[[#This Row],[Past zero L]],Table13[[#This Row],[Past Zero R]],Table13[[#This Row],[Is Zero]])</f>
        <v>2</v>
      </c>
    </row>
    <row r="1302" spans="1:11" ht="16" x14ac:dyDescent="0.2">
      <c r="A1302" s="1" t="s">
        <v>407</v>
      </c>
      <c r="B1302" t="str">
        <f>LEFT(Table13[[#This Row],[Input]],1)</f>
        <v>R</v>
      </c>
      <c r="C1302">
        <f>_xlfn.LET(_xlpm.steps,SUBSTITUTE(Table13[[#This Row],[Input]],Table13[[#This Row],[Direction]],""),VALUE(IF(LEN(_xlpm.steps)&gt;2,RIGHT(_xlpm.steps,2),_xlpm.steps)))</f>
        <v>36</v>
      </c>
      <c r="D1302">
        <f>_xlfn.LET(_xlpm.steps,SUBSTITUTE(Table13[[#This Row],[Input]],Table13[[#This Row],[Direction]],""),VALUE(IF(LEN(_xlpm.steps)&gt;2,LEFT(_xlpm.steps,LEN(_xlpm.steps)-2),0)))</f>
        <v>8</v>
      </c>
      <c r="E1302">
        <f>_xlfn.LET(_xlpm.dir,Table13[[#This Row],[Direction]],
IF(_xlpm.dir="L",
    IF(G1301-Table13[[#This Row],[Steps]]&lt;0,100+(G1301-Table13[[#This Row],[Steps]]),G1301-Table13[[#This Row],[Steps]]),
))</f>
        <v>0</v>
      </c>
      <c r="F1302">
        <f>_xlfn.LET(_xlpm.dir,Table13[[#This Row],[Direction]],
IF(_xlpm.dir="R",
    IF(G1301+Table13[[#This Row],[Steps]]&gt;99,(G1301+Table13[[#This Row],[Steps]])-100,G1301+Table13[[#This Row],[Steps]]),
))</f>
        <v>36</v>
      </c>
      <c r="G1302">
        <f>IF(Table13[[#This Row],[New Pos L]]&lt;&gt;0,Table13[[#This Row],[New Pos L]],Table13[[#This Row],[New Pos R]])</f>
        <v>36</v>
      </c>
      <c r="H1302">
        <f>IF(AND(Table13[[#This Row],[Direction]]="L",Table13[[#This Row],[Steps]]&gt;G1301,G1301&lt;&gt;0),1,0)</f>
        <v>0</v>
      </c>
      <c r="I1302">
        <f>IF(AND(Table13[[#This Row],[Direction]]="R",(G1301+Table13[[#This Row],[Steps]])&gt;100),1,0)</f>
        <v>0</v>
      </c>
      <c r="J1302">
        <f>IF(Table13[[#This Row],[POS]]=0,1,0)</f>
        <v>0</v>
      </c>
      <c r="K1302">
        <f>SUM(Table13[[#This Row],[prefix]],Table13[[#This Row],[Past zero L]],Table13[[#This Row],[Past Zero R]],Table13[[#This Row],[Is Zero]])</f>
        <v>8</v>
      </c>
    </row>
    <row r="1303" spans="1:11" ht="16" x14ac:dyDescent="0.2">
      <c r="A1303" s="1" t="s">
        <v>276</v>
      </c>
      <c r="B1303" t="str">
        <f>LEFT(Table13[[#This Row],[Input]],1)</f>
        <v>L</v>
      </c>
      <c r="C1303">
        <f>_xlfn.LET(_xlpm.steps,SUBSTITUTE(Table13[[#This Row],[Input]],Table13[[#This Row],[Direction]],""),VALUE(IF(LEN(_xlpm.steps)&gt;2,RIGHT(_xlpm.steps,2),_xlpm.steps)))</f>
        <v>60</v>
      </c>
      <c r="D1303">
        <f>_xlfn.LET(_xlpm.steps,SUBSTITUTE(Table13[[#This Row],[Input]],Table13[[#This Row],[Direction]],""),VALUE(IF(LEN(_xlpm.steps)&gt;2,LEFT(_xlpm.steps,LEN(_xlpm.steps)-2),0)))</f>
        <v>0</v>
      </c>
      <c r="E1303">
        <f>_xlfn.LET(_xlpm.dir,Table13[[#This Row],[Direction]],
IF(_xlpm.dir="L",
    IF(G1302-Table13[[#This Row],[Steps]]&lt;0,100+(G1302-Table13[[#This Row],[Steps]]),G1302-Table13[[#This Row],[Steps]]),
))</f>
        <v>76</v>
      </c>
      <c r="F1303">
        <f>_xlfn.LET(_xlpm.dir,Table13[[#This Row],[Direction]],
IF(_xlpm.dir="R",
    IF(G1302+Table13[[#This Row],[Steps]]&gt;99,(G1302+Table13[[#This Row],[Steps]])-100,G1302+Table13[[#This Row],[Steps]]),
))</f>
        <v>0</v>
      </c>
      <c r="G1303">
        <f>IF(Table13[[#This Row],[New Pos L]]&lt;&gt;0,Table13[[#This Row],[New Pos L]],Table13[[#This Row],[New Pos R]])</f>
        <v>76</v>
      </c>
      <c r="H1303">
        <f>IF(AND(Table13[[#This Row],[Direction]]="L",Table13[[#This Row],[Steps]]&gt;G1302,G1302&lt;&gt;0),1,0)</f>
        <v>1</v>
      </c>
      <c r="I1303">
        <f>IF(AND(Table13[[#This Row],[Direction]]="R",(G1302+Table13[[#This Row],[Steps]])&gt;100),1,0)</f>
        <v>0</v>
      </c>
      <c r="J1303">
        <f>IF(Table13[[#This Row],[POS]]=0,1,0)</f>
        <v>0</v>
      </c>
      <c r="K1303">
        <f>SUM(Table13[[#This Row],[prefix]],Table13[[#This Row],[Past zero L]],Table13[[#This Row],[Past Zero R]],Table13[[#This Row],[Is Zero]])</f>
        <v>1</v>
      </c>
    </row>
    <row r="1304" spans="1:11" ht="16" x14ac:dyDescent="0.2">
      <c r="A1304" s="1" t="s">
        <v>57</v>
      </c>
      <c r="B1304" t="str">
        <f>LEFT(Table13[[#This Row],[Input]],1)</f>
        <v>R</v>
      </c>
      <c r="C1304">
        <f>_xlfn.LET(_xlpm.steps,SUBSTITUTE(Table13[[#This Row],[Input]],Table13[[#This Row],[Direction]],""),VALUE(IF(LEN(_xlpm.steps)&gt;2,RIGHT(_xlpm.steps,2),_xlpm.steps)))</f>
        <v>29</v>
      </c>
      <c r="D1304">
        <f>_xlfn.LET(_xlpm.steps,SUBSTITUTE(Table13[[#This Row],[Input]],Table13[[#This Row],[Direction]],""),VALUE(IF(LEN(_xlpm.steps)&gt;2,LEFT(_xlpm.steps,LEN(_xlpm.steps)-2),0)))</f>
        <v>0</v>
      </c>
      <c r="E1304">
        <f>_xlfn.LET(_xlpm.dir,Table13[[#This Row],[Direction]],
IF(_xlpm.dir="L",
    IF(G1303-Table13[[#This Row],[Steps]]&lt;0,100+(G1303-Table13[[#This Row],[Steps]]),G1303-Table13[[#This Row],[Steps]]),
))</f>
        <v>0</v>
      </c>
      <c r="F1304">
        <f>_xlfn.LET(_xlpm.dir,Table13[[#This Row],[Direction]],
IF(_xlpm.dir="R",
    IF(G1303+Table13[[#This Row],[Steps]]&gt;99,(G1303+Table13[[#This Row],[Steps]])-100,G1303+Table13[[#This Row],[Steps]]),
))</f>
        <v>5</v>
      </c>
      <c r="G1304">
        <f>IF(Table13[[#This Row],[New Pos L]]&lt;&gt;0,Table13[[#This Row],[New Pos L]],Table13[[#This Row],[New Pos R]])</f>
        <v>5</v>
      </c>
      <c r="H1304">
        <f>IF(AND(Table13[[#This Row],[Direction]]="L",Table13[[#This Row],[Steps]]&gt;G1303,G1303&lt;&gt;0),1,0)</f>
        <v>0</v>
      </c>
      <c r="I1304">
        <f>IF(AND(Table13[[#This Row],[Direction]]="R",(G1303+Table13[[#This Row],[Steps]])&gt;100),1,0)</f>
        <v>1</v>
      </c>
      <c r="J1304">
        <f>IF(Table13[[#This Row],[POS]]=0,1,0)</f>
        <v>0</v>
      </c>
      <c r="K1304">
        <f>SUM(Table13[[#This Row],[prefix]],Table13[[#This Row],[Past zero L]],Table13[[#This Row],[Past Zero R]],Table13[[#This Row],[Is Zero]])</f>
        <v>1</v>
      </c>
    </row>
    <row r="1305" spans="1:11" ht="16" x14ac:dyDescent="0.2">
      <c r="A1305" s="1" t="s">
        <v>408</v>
      </c>
      <c r="B1305" t="str">
        <f>LEFT(Table13[[#This Row],[Input]],1)</f>
        <v>L</v>
      </c>
      <c r="C1305">
        <f>_xlfn.LET(_xlpm.steps,SUBSTITUTE(Table13[[#This Row],[Input]],Table13[[#This Row],[Direction]],""),VALUE(IF(LEN(_xlpm.steps)&gt;2,RIGHT(_xlpm.steps,2),_xlpm.steps)))</f>
        <v>5</v>
      </c>
      <c r="D1305">
        <f>_xlfn.LET(_xlpm.steps,SUBSTITUTE(Table13[[#This Row],[Input]],Table13[[#This Row],[Direction]],""),VALUE(IF(LEN(_xlpm.steps)&gt;2,LEFT(_xlpm.steps,LEN(_xlpm.steps)-2),0)))</f>
        <v>4</v>
      </c>
      <c r="E1305">
        <f>_xlfn.LET(_xlpm.dir,Table13[[#This Row],[Direction]],
IF(_xlpm.dir="L",
    IF(G1304-Table13[[#This Row],[Steps]]&lt;0,100+(G1304-Table13[[#This Row],[Steps]]),G1304-Table13[[#This Row],[Steps]]),
))</f>
        <v>0</v>
      </c>
      <c r="F1305">
        <f>_xlfn.LET(_xlpm.dir,Table13[[#This Row],[Direction]],
IF(_xlpm.dir="R",
    IF(G1304+Table13[[#This Row],[Steps]]&gt;99,(G1304+Table13[[#This Row],[Steps]])-100,G1304+Table13[[#This Row],[Steps]]),
))</f>
        <v>0</v>
      </c>
      <c r="G1305">
        <f>IF(Table13[[#This Row],[New Pos L]]&lt;&gt;0,Table13[[#This Row],[New Pos L]],Table13[[#This Row],[New Pos R]])</f>
        <v>0</v>
      </c>
      <c r="H1305">
        <f>IF(AND(Table13[[#This Row],[Direction]]="L",Table13[[#This Row],[Steps]]&gt;G1304,G1304&lt;&gt;0),1,0)</f>
        <v>0</v>
      </c>
      <c r="I1305">
        <f>IF(AND(Table13[[#This Row],[Direction]]="R",(G1304+Table13[[#This Row],[Steps]])&gt;100),1,0)</f>
        <v>0</v>
      </c>
      <c r="J1305">
        <f>IF(Table13[[#This Row],[POS]]=0,1,0)</f>
        <v>1</v>
      </c>
      <c r="K1305">
        <f>SUM(Table13[[#This Row],[prefix]],Table13[[#This Row],[Past zero L]],Table13[[#This Row],[Past Zero R]],Table13[[#This Row],[Is Zero]])</f>
        <v>5</v>
      </c>
    </row>
    <row r="1306" spans="1:11" ht="16" x14ac:dyDescent="0.2">
      <c r="A1306" s="1" t="s">
        <v>57</v>
      </c>
      <c r="B1306" t="str">
        <f>LEFT(Table13[[#This Row],[Input]],1)</f>
        <v>R</v>
      </c>
      <c r="C1306">
        <f>_xlfn.LET(_xlpm.steps,SUBSTITUTE(Table13[[#This Row],[Input]],Table13[[#This Row],[Direction]],""),VALUE(IF(LEN(_xlpm.steps)&gt;2,RIGHT(_xlpm.steps,2),_xlpm.steps)))</f>
        <v>29</v>
      </c>
      <c r="D1306">
        <f>_xlfn.LET(_xlpm.steps,SUBSTITUTE(Table13[[#This Row],[Input]],Table13[[#This Row],[Direction]],""),VALUE(IF(LEN(_xlpm.steps)&gt;2,LEFT(_xlpm.steps,LEN(_xlpm.steps)-2),0)))</f>
        <v>0</v>
      </c>
      <c r="E1306">
        <f>_xlfn.LET(_xlpm.dir,Table13[[#This Row],[Direction]],
IF(_xlpm.dir="L",
    IF(G1305-Table13[[#This Row],[Steps]]&lt;0,100+(G1305-Table13[[#This Row],[Steps]]),G1305-Table13[[#This Row],[Steps]]),
))</f>
        <v>0</v>
      </c>
      <c r="F1306">
        <f>_xlfn.LET(_xlpm.dir,Table13[[#This Row],[Direction]],
IF(_xlpm.dir="R",
    IF(G1305+Table13[[#This Row],[Steps]]&gt;99,(G1305+Table13[[#This Row],[Steps]])-100,G1305+Table13[[#This Row],[Steps]]),
))</f>
        <v>29</v>
      </c>
      <c r="G1306">
        <f>IF(Table13[[#This Row],[New Pos L]]&lt;&gt;0,Table13[[#This Row],[New Pos L]],Table13[[#This Row],[New Pos R]])</f>
        <v>29</v>
      </c>
      <c r="H1306">
        <f>IF(AND(Table13[[#This Row],[Direction]]="L",Table13[[#This Row],[Steps]]&gt;G1305,G1305&lt;&gt;0),1,0)</f>
        <v>0</v>
      </c>
      <c r="I1306">
        <f>IF(AND(Table13[[#This Row],[Direction]]="R",(G1305+Table13[[#This Row],[Steps]])&gt;100),1,0)</f>
        <v>0</v>
      </c>
      <c r="J1306">
        <f>IF(Table13[[#This Row],[POS]]=0,1,0)</f>
        <v>0</v>
      </c>
      <c r="K1306">
        <f>SUM(Table13[[#This Row],[prefix]],Table13[[#This Row],[Past zero L]],Table13[[#This Row],[Past Zero R]],Table13[[#This Row],[Is Zero]])</f>
        <v>0</v>
      </c>
    </row>
    <row r="1307" spans="1:11" ht="16" x14ac:dyDescent="0.2">
      <c r="A1307" s="1" t="s">
        <v>114</v>
      </c>
      <c r="B1307" t="str">
        <f>LEFT(Table13[[#This Row],[Input]],1)</f>
        <v>R</v>
      </c>
      <c r="C1307">
        <f>_xlfn.LET(_xlpm.steps,SUBSTITUTE(Table13[[#This Row],[Input]],Table13[[#This Row],[Direction]],""),VALUE(IF(LEN(_xlpm.steps)&gt;2,RIGHT(_xlpm.steps,2),_xlpm.steps)))</f>
        <v>70</v>
      </c>
      <c r="D1307">
        <f>_xlfn.LET(_xlpm.steps,SUBSTITUTE(Table13[[#This Row],[Input]],Table13[[#This Row],[Direction]],""),VALUE(IF(LEN(_xlpm.steps)&gt;2,LEFT(_xlpm.steps,LEN(_xlpm.steps)-2),0)))</f>
        <v>0</v>
      </c>
      <c r="E1307">
        <f>_xlfn.LET(_xlpm.dir,Table13[[#This Row],[Direction]],
IF(_xlpm.dir="L",
    IF(G1306-Table13[[#This Row],[Steps]]&lt;0,100+(G1306-Table13[[#This Row],[Steps]]),G1306-Table13[[#This Row],[Steps]]),
))</f>
        <v>0</v>
      </c>
      <c r="F1307">
        <f>_xlfn.LET(_xlpm.dir,Table13[[#This Row],[Direction]],
IF(_xlpm.dir="R",
    IF(G1306+Table13[[#This Row],[Steps]]&gt;99,(G1306+Table13[[#This Row],[Steps]])-100,G1306+Table13[[#This Row],[Steps]]),
))</f>
        <v>99</v>
      </c>
      <c r="G1307">
        <f>IF(Table13[[#This Row],[New Pos L]]&lt;&gt;0,Table13[[#This Row],[New Pos L]],Table13[[#This Row],[New Pos R]])</f>
        <v>99</v>
      </c>
      <c r="H1307">
        <f>IF(AND(Table13[[#This Row],[Direction]]="L",Table13[[#This Row],[Steps]]&gt;G1306,G1306&lt;&gt;0),1,0)</f>
        <v>0</v>
      </c>
      <c r="I1307">
        <f>IF(AND(Table13[[#This Row],[Direction]]="R",(G1306+Table13[[#This Row],[Steps]])&gt;100),1,0)</f>
        <v>0</v>
      </c>
      <c r="J1307">
        <f>IF(Table13[[#This Row],[POS]]=0,1,0)</f>
        <v>0</v>
      </c>
      <c r="K1307">
        <f>SUM(Table13[[#This Row],[prefix]],Table13[[#This Row],[Past zero L]],Table13[[#This Row],[Past Zero R]],Table13[[#This Row],[Is Zero]])</f>
        <v>0</v>
      </c>
    </row>
    <row r="1308" spans="1:11" ht="16" x14ac:dyDescent="0.2">
      <c r="A1308" s="1" t="s">
        <v>409</v>
      </c>
      <c r="B1308" t="str">
        <f>LEFT(Table13[[#This Row],[Input]],1)</f>
        <v>R</v>
      </c>
      <c r="C1308">
        <f>_xlfn.LET(_xlpm.steps,SUBSTITUTE(Table13[[#This Row],[Input]],Table13[[#This Row],[Direction]],""),VALUE(IF(LEN(_xlpm.steps)&gt;2,RIGHT(_xlpm.steps,2),_xlpm.steps)))</f>
        <v>47</v>
      </c>
      <c r="D1308">
        <f>_xlfn.LET(_xlpm.steps,SUBSTITUTE(Table13[[#This Row],[Input]],Table13[[#This Row],[Direction]],""),VALUE(IF(LEN(_xlpm.steps)&gt;2,LEFT(_xlpm.steps,LEN(_xlpm.steps)-2),0)))</f>
        <v>9</v>
      </c>
      <c r="E1308">
        <f>_xlfn.LET(_xlpm.dir,Table13[[#This Row],[Direction]],
IF(_xlpm.dir="L",
    IF(G1307-Table13[[#This Row],[Steps]]&lt;0,100+(G1307-Table13[[#This Row],[Steps]]),G1307-Table13[[#This Row],[Steps]]),
))</f>
        <v>0</v>
      </c>
      <c r="F1308">
        <f>_xlfn.LET(_xlpm.dir,Table13[[#This Row],[Direction]],
IF(_xlpm.dir="R",
    IF(G1307+Table13[[#This Row],[Steps]]&gt;99,(G1307+Table13[[#This Row],[Steps]])-100,G1307+Table13[[#This Row],[Steps]]),
))</f>
        <v>46</v>
      </c>
      <c r="G1308">
        <f>IF(Table13[[#This Row],[New Pos L]]&lt;&gt;0,Table13[[#This Row],[New Pos L]],Table13[[#This Row],[New Pos R]])</f>
        <v>46</v>
      </c>
      <c r="H1308">
        <f>IF(AND(Table13[[#This Row],[Direction]]="L",Table13[[#This Row],[Steps]]&gt;G1307,G1307&lt;&gt;0),1,0)</f>
        <v>0</v>
      </c>
      <c r="I1308">
        <f>IF(AND(Table13[[#This Row],[Direction]]="R",(G1307+Table13[[#This Row],[Steps]])&gt;100),1,0)</f>
        <v>1</v>
      </c>
      <c r="J1308">
        <f>IF(Table13[[#This Row],[POS]]=0,1,0)</f>
        <v>0</v>
      </c>
      <c r="K1308">
        <f>SUM(Table13[[#This Row],[prefix]],Table13[[#This Row],[Past zero L]],Table13[[#This Row],[Past Zero R]],Table13[[#This Row],[Is Zero]])</f>
        <v>10</v>
      </c>
    </row>
    <row r="1309" spans="1:11" ht="16" x14ac:dyDescent="0.2">
      <c r="A1309" s="1" t="s">
        <v>18</v>
      </c>
      <c r="B1309" t="str">
        <f>LEFT(Table13[[#This Row],[Input]],1)</f>
        <v>L</v>
      </c>
      <c r="C1309">
        <f>_xlfn.LET(_xlpm.steps,SUBSTITUTE(Table13[[#This Row],[Input]],Table13[[#This Row],[Direction]],""),VALUE(IF(LEN(_xlpm.steps)&gt;2,RIGHT(_xlpm.steps,2),_xlpm.steps)))</f>
        <v>46</v>
      </c>
      <c r="D1309">
        <f>_xlfn.LET(_xlpm.steps,SUBSTITUTE(Table13[[#This Row],[Input]],Table13[[#This Row],[Direction]],""),VALUE(IF(LEN(_xlpm.steps)&gt;2,LEFT(_xlpm.steps,LEN(_xlpm.steps)-2),0)))</f>
        <v>0</v>
      </c>
      <c r="E1309">
        <f>_xlfn.LET(_xlpm.dir,Table13[[#This Row],[Direction]],
IF(_xlpm.dir="L",
    IF(G1308-Table13[[#This Row],[Steps]]&lt;0,100+(G1308-Table13[[#This Row],[Steps]]),G1308-Table13[[#This Row],[Steps]]),
))</f>
        <v>0</v>
      </c>
      <c r="F1309">
        <f>_xlfn.LET(_xlpm.dir,Table13[[#This Row],[Direction]],
IF(_xlpm.dir="R",
    IF(G1308+Table13[[#This Row],[Steps]]&gt;99,(G1308+Table13[[#This Row],[Steps]])-100,G1308+Table13[[#This Row],[Steps]]),
))</f>
        <v>0</v>
      </c>
      <c r="G1309">
        <f>IF(Table13[[#This Row],[New Pos L]]&lt;&gt;0,Table13[[#This Row],[New Pos L]],Table13[[#This Row],[New Pos R]])</f>
        <v>0</v>
      </c>
      <c r="H1309">
        <f>IF(AND(Table13[[#This Row],[Direction]]="L",Table13[[#This Row],[Steps]]&gt;G1308,G1308&lt;&gt;0),1,0)</f>
        <v>0</v>
      </c>
      <c r="I1309">
        <f>IF(AND(Table13[[#This Row],[Direction]]="R",(G1308+Table13[[#This Row],[Steps]])&gt;100),1,0)</f>
        <v>0</v>
      </c>
      <c r="J1309">
        <f>IF(Table13[[#This Row],[POS]]=0,1,0)</f>
        <v>1</v>
      </c>
      <c r="K1309">
        <f>SUM(Table13[[#This Row],[prefix]],Table13[[#This Row],[Past zero L]],Table13[[#This Row],[Past Zero R]],Table13[[#This Row],[Is Zero]])</f>
        <v>1</v>
      </c>
    </row>
    <row r="1310" spans="1:11" ht="16" x14ac:dyDescent="0.2">
      <c r="A1310" s="1" t="s">
        <v>410</v>
      </c>
      <c r="B1310" t="str">
        <f>LEFT(Table13[[#This Row],[Input]],1)</f>
        <v>R</v>
      </c>
      <c r="C1310">
        <f>_xlfn.LET(_xlpm.steps,SUBSTITUTE(Table13[[#This Row],[Input]],Table13[[#This Row],[Direction]],""),VALUE(IF(LEN(_xlpm.steps)&gt;2,RIGHT(_xlpm.steps,2),_xlpm.steps)))</f>
        <v>10</v>
      </c>
      <c r="D1310">
        <f>_xlfn.LET(_xlpm.steps,SUBSTITUTE(Table13[[#This Row],[Input]],Table13[[#This Row],[Direction]],""),VALUE(IF(LEN(_xlpm.steps)&gt;2,LEFT(_xlpm.steps,LEN(_xlpm.steps)-2),0)))</f>
        <v>7</v>
      </c>
      <c r="E1310">
        <f>_xlfn.LET(_xlpm.dir,Table13[[#This Row],[Direction]],
IF(_xlpm.dir="L",
    IF(G1309-Table13[[#This Row],[Steps]]&lt;0,100+(G1309-Table13[[#This Row],[Steps]]),G1309-Table13[[#This Row],[Steps]]),
))</f>
        <v>0</v>
      </c>
      <c r="F1310">
        <f>_xlfn.LET(_xlpm.dir,Table13[[#This Row],[Direction]],
IF(_xlpm.dir="R",
    IF(G1309+Table13[[#This Row],[Steps]]&gt;99,(G1309+Table13[[#This Row],[Steps]])-100,G1309+Table13[[#This Row],[Steps]]),
))</f>
        <v>10</v>
      </c>
      <c r="G1310">
        <f>IF(Table13[[#This Row],[New Pos L]]&lt;&gt;0,Table13[[#This Row],[New Pos L]],Table13[[#This Row],[New Pos R]])</f>
        <v>10</v>
      </c>
      <c r="H1310">
        <f>IF(AND(Table13[[#This Row],[Direction]]="L",Table13[[#This Row],[Steps]]&gt;G1309,G1309&lt;&gt;0),1,0)</f>
        <v>0</v>
      </c>
      <c r="I1310">
        <f>IF(AND(Table13[[#This Row],[Direction]]="R",(G1309+Table13[[#This Row],[Steps]])&gt;100),1,0)</f>
        <v>0</v>
      </c>
      <c r="J1310">
        <f>IF(Table13[[#This Row],[POS]]=0,1,0)</f>
        <v>0</v>
      </c>
      <c r="K1310">
        <f>SUM(Table13[[#This Row],[prefix]],Table13[[#This Row],[Past zero L]],Table13[[#This Row],[Past Zero R]],Table13[[#This Row],[Is Zero]])</f>
        <v>7</v>
      </c>
    </row>
    <row r="1311" spans="1:11" ht="16" x14ac:dyDescent="0.2">
      <c r="A1311" s="1" t="s">
        <v>43</v>
      </c>
      <c r="B1311" t="str">
        <f>LEFT(Table13[[#This Row],[Input]],1)</f>
        <v>R</v>
      </c>
      <c r="C1311">
        <f>_xlfn.LET(_xlpm.steps,SUBSTITUTE(Table13[[#This Row],[Input]],Table13[[#This Row],[Direction]],""),VALUE(IF(LEN(_xlpm.steps)&gt;2,RIGHT(_xlpm.steps,2),_xlpm.steps)))</f>
        <v>90</v>
      </c>
      <c r="D1311">
        <f>_xlfn.LET(_xlpm.steps,SUBSTITUTE(Table13[[#This Row],[Input]],Table13[[#This Row],[Direction]],""),VALUE(IF(LEN(_xlpm.steps)&gt;2,LEFT(_xlpm.steps,LEN(_xlpm.steps)-2),0)))</f>
        <v>0</v>
      </c>
      <c r="E1311">
        <f>_xlfn.LET(_xlpm.dir,Table13[[#This Row],[Direction]],
IF(_xlpm.dir="L",
    IF(G1310-Table13[[#This Row],[Steps]]&lt;0,100+(G1310-Table13[[#This Row],[Steps]]),G1310-Table13[[#This Row],[Steps]]),
))</f>
        <v>0</v>
      </c>
      <c r="F1311">
        <f>_xlfn.LET(_xlpm.dir,Table13[[#This Row],[Direction]],
IF(_xlpm.dir="R",
    IF(G1310+Table13[[#This Row],[Steps]]&gt;99,(G1310+Table13[[#This Row],[Steps]])-100,G1310+Table13[[#This Row],[Steps]]),
))</f>
        <v>0</v>
      </c>
      <c r="G1311">
        <f>IF(Table13[[#This Row],[New Pos L]]&lt;&gt;0,Table13[[#This Row],[New Pos L]],Table13[[#This Row],[New Pos R]])</f>
        <v>0</v>
      </c>
      <c r="H1311">
        <f>IF(AND(Table13[[#This Row],[Direction]]="L",Table13[[#This Row],[Steps]]&gt;G1310,G1310&lt;&gt;0),1,0)</f>
        <v>0</v>
      </c>
      <c r="I1311">
        <f>IF(AND(Table13[[#This Row],[Direction]]="R",(G1310+Table13[[#This Row],[Steps]])&gt;100),1,0)</f>
        <v>0</v>
      </c>
      <c r="J1311">
        <f>IF(Table13[[#This Row],[POS]]=0,1,0)</f>
        <v>1</v>
      </c>
      <c r="K1311">
        <f>SUM(Table13[[#This Row],[prefix]],Table13[[#This Row],[Past zero L]],Table13[[#This Row],[Past Zero R]],Table13[[#This Row],[Is Zero]])</f>
        <v>1</v>
      </c>
    </row>
    <row r="1312" spans="1:11" ht="16" x14ac:dyDescent="0.2">
      <c r="A1312" s="1" t="s">
        <v>411</v>
      </c>
      <c r="B1312" t="str">
        <f>LEFT(Table13[[#This Row],[Input]],1)</f>
        <v>R</v>
      </c>
      <c r="C1312">
        <f>_xlfn.LET(_xlpm.steps,SUBSTITUTE(Table13[[#This Row],[Input]],Table13[[#This Row],[Direction]],""),VALUE(IF(LEN(_xlpm.steps)&gt;2,RIGHT(_xlpm.steps,2),_xlpm.steps)))</f>
        <v>39</v>
      </c>
      <c r="D1312">
        <f>_xlfn.LET(_xlpm.steps,SUBSTITUTE(Table13[[#This Row],[Input]],Table13[[#This Row],[Direction]],""),VALUE(IF(LEN(_xlpm.steps)&gt;2,LEFT(_xlpm.steps,LEN(_xlpm.steps)-2),0)))</f>
        <v>3</v>
      </c>
      <c r="E1312">
        <f>_xlfn.LET(_xlpm.dir,Table13[[#This Row],[Direction]],
IF(_xlpm.dir="L",
    IF(G1311-Table13[[#This Row],[Steps]]&lt;0,100+(G1311-Table13[[#This Row],[Steps]]),G1311-Table13[[#This Row],[Steps]]),
))</f>
        <v>0</v>
      </c>
      <c r="F1312">
        <f>_xlfn.LET(_xlpm.dir,Table13[[#This Row],[Direction]],
IF(_xlpm.dir="R",
    IF(G1311+Table13[[#This Row],[Steps]]&gt;99,(G1311+Table13[[#This Row],[Steps]])-100,G1311+Table13[[#This Row],[Steps]]),
))</f>
        <v>39</v>
      </c>
      <c r="G1312">
        <f>IF(Table13[[#This Row],[New Pos L]]&lt;&gt;0,Table13[[#This Row],[New Pos L]],Table13[[#This Row],[New Pos R]])</f>
        <v>39</v>
      </c>
      <c r="H1312">
        <f>IF(AND(Table13[[#This Row],[Direction]]="L",Table13[[#This Row],[Steps]]&gt;G1311,G1311&lt;&gt;0),1,0)</f>
        <v>0</v>
      </c>
      <c r="I1312">
        <f>IF(AND(Table13[[#This Row],[Direction]]="R",(G1311+Table13[[#This Row],[Steps]])&gt;100),1,0)</f>
        <v>0</v>
      </c>
      <c r="J1312">
        <f>IF(Table13[[#This Row],[POS]]=0,1,0)</f>
        <v>0</v>
      </c>
      <c r="K1312">
        <f>SUM(Table13[[#This Row],[prefix]],Table13[[#This Row],[Past zero L]],Table13[[#This Row],[Past Zero R]],Table13[[#This Row],[Is Zero]])</f>
        <v>3</v>
      </c>
    </row>
    <row r="1313" spans="1:11" ht="16" x14ac:dyDescent="0.2">
      <c r="A1313" s="1" t="s">
        <v>206</v>
      </c>
      <c r="B1313" t="str">
        <f>LEFT(Table13[[#This Row],[Input]],1)</f>
        <v>R</v>
      </c>
      <c r="C1313">
        <f>_xlfn.LET(_xlpm.steps,SUBSTITUTE(Table13[[#This Row],[Input]],Table13[[#This Row],[Direction]],""),VALUE(IF(LEN(_xlpm.steps)&gt;2,RIGHT(_xlpm.steps,2),_xlpm.steps)))</f>
        <v>62</v>
      </c>
      <c r="D1313">
        <f>_xlfn.LET(_xlpm.steps,SUBSTITUTE(Table13[[#This Row],[Input]],Table13[[#This Row],[Direction]],""),VALUE(IF(LEN(_xlpm.steps)&gt;2,LEFT(_xlpm.steps,LEN(_xlpm.steps)-2),0)))</f>
        <v>0</v>
      </c>
      <c r="E1313">
        <f>_xlfn.LET(_xlpm.dir,Table13[[#This Row],[Direction]],
IF(_xlpm.dir="L",
    IF(G1312-Table13[[#This Row],[Steps]]&lt;0,100+(G1312-Table13[[#This Row],[Steps]]),G1312-Table13[[#This Row],[Steps]]),
))</f>
        <v>0</v>
      </c>
      <c r="F1313">
        <f>_xlfn.LET(_xlpm.dir,Table13[[#This Row],[Direction]],
IF(_xlpm.dir="R",
    IF(G1312+Table13[[#This Row],[Steps]]&gt;99,(G1312+Table13[[#This Row],[Steps]])-100,G1312+Table13[[#This Row],[Steps]]),
))</f>
        <v>1</v>
      </c>
      <c r="G1313">
        <f>IF(Table13[[#This Row],[New Pos L]]&lt;&gt;0,Table13[[#This Row],[New Pos L]],Table13[[#This Row],[New Pos R]])</f>
        <v>1</v>
      </c>
      <c r="H1313">
        <f>IF(AND(Table13[[#This Row],[Direction]]="L",Table13[[#This Row],[Steps]]&gt;G1312,G1312&lt;&gt;0),1,0)</f>
        <v>0</v>
      </c>
      <c r="I1313">
        <f>IF(AND(Table13[[#This Row],[Direction]]="R",(G1312+Table13[[#This Row],[Steps]])&gt;100),1,0)</f>
        <v>1</v>
      </c>
      <c r="J1313">
        <f>IF(Table13[[#This Row],[POS]]=0,1,0)</f>
        <v>0</v>
      </c>
      <c r="K1313">
        <f>SUM(Table13[[#This Row],[prefix]],Table13[[#This Row],[Past zero L]],Table13[[#This Row],[Past Zero R]],Table13[[#This Row],[Is Zero]])</f>
        <v>1</v>
      </c>
    </row>
    <row r="1314" spans="1:11" ht="16" x14ac:dyDescent="0.2">
      <c r="A1314" s="1" t="s">
        <v>131</v>
      </c>
      <c r="B1314" t="str">
        <f>LEFT(Table13[[#This Row],[Input]],1)</f>
        <v>R</v>
      </c>
      <c r="C1314">
        <f>_xlfn.LET(_xlpm.steps,SUBSTITUTE(Table13[[#This Row],[Input]],Table13[[#This Row],[Direction]],""),VALUE(IF(LEN(_xlpm.steps)&gt;2,RIGHT(_xlpm.steps,2),_xlpm.steps)))</f>
        <v>99</v>
      </c>
      <c r="D1314">
        <f>_xlfn.LET(_xlpm.steps,SUBSTITUTE(Table13[[#This Row],[Input]],Table13[[#This Row],[Direction]],""),VALUE(IF(LEN(_xlpm.steps)&gt;2,LEFT(_xlpm.steps,LEN(_xlpm.steps)-2),0)))</f>
        <v>0</v>
      </c>
      <c r="E1314">
        <f>_xlfn.LET(_xlpm.dir,Table13[[#This Row],[Direction]],
IF(_xlpm.dir="L",
    IF(G1313-Table13[[#This Row],[Steps]]&lt;0,100+(G1313-Table13[[#This Row],[Steps]]),G1313-Table13[[#This Row],[Steps]]),
))</f>
        <v>0</v>
      </c>
      <c r="F1314">
        <f>_xlfn.LET(_xlpm.dir,Table13[[#This Row],[Direction]],
IF(_xlpm.dir="R",
    IF(G1313+Table13[[#This Row],[Steps]]&gt;99,(G1313+Table13[[#This Row],[Steps]])-100,G1313+Table13[[#This Row],[Steps]]),
))</f>
        <v>0</v>
      </c>
      <c r="G1314">
        <f>IF(Table13[[#This Row],[New Pos L]]&lt;&gt;0,Table13[[#This Row],[New Pos L]],Table13[[#This Row],[New Pos R]])</f>
        <v>0</v>
      </c>
      <c r="H1314">
        <f>IF(AND(Table13[[#This Row],[Direction]]="L",Table13[[#This Row],[Steps]]&gt;G1313,G1313&lt;&gt;0),1,0)</f>
        <v>0</v>
      </c>
      <c r="I1314">
        <f>IF(AND(Table13[[#This Row],[Direction]]="R",(G1313+Table13[[#This Row],[Steps]])&gt;100),1,0)</f>
        <v>0</v>
      </c>
      <c r="J1314">
        <f>IF(Table13[[#This Row],[POS]]=0,1,0)</f>
        <v>1</v>
      </c>
      <c r="K1314">
        <f>SUM(Table13[[#This Row],[prefix]],Table13[[#This Row],[Past zero L]],Table13[[#This Row],[Past Zero R]],Table13[[#This Row],[Is Zero]])</f>
        <v>1</v>
      </c>
    </row>
    <row r="1315" spans="1:11" ht="16" x14ac:dyDescent="0.2">
      <c r="A1315" s="1" t="s">
        <v>80</v>
      </c>
      <c r="B1315" t="str">
        <f>LEFT(Table13[[#This Row],[Input]],1)</f>
        <v>L</v>
      </c>
      <c r="C1315">
        <f>_xlfn.LET(_xlpm.steps,SUBSTITUTE(Table13[[#This Row],[Input]],Table13[[#This Row],[Direction]],""),VALUE(IF(LEN(_xlpm.steps)&gt;2,RIGHT(_xlpm.steps,2),_xlpm.steps)))</f>
        <v>48</v>
      </c>
      <c r="D1315">
        <f>_xlfn.LET(_xlpm.steps,SUBSTITUTE(Table13[[#This Row],[Input]],Table13[[#This Row],[Direction]],""),VALUE(IF(LEN(_xlpm.steps)&gt;2,LEFT(_xlpm.steps,LEN(_xlpm.steps)-2),0)))</f>
        <v>0</v>
      </c>
      <c r="E1315">
        <f>_xlfn.LET(_xlpm.dir,Table13[[#This Row],[Direction]],
IF(_xlpm.dir="L",
    IF(G1314-Table13[[#This Row],[Steps]]&lt;0,100+(G1314-Table13[[#This Row],[Steps]]),G1314-Table13[[#This Row],[Steps]]),
))</f>
        <v>52</v>
      </c>
      <c r="F1315">
        <f>_xlfn.LET(_xlpm.dir,Table13[[#This Row],[Direction]],
IF(_xlpm.dir="R",
    IF(G1314+Table13[[#This Row],[Steps]]&gt;99,(G1314+Table13[[#This Row],[Steps]])-100,G1314+Table13[[#This Row],[Steps]]),
))</f>
        <v>0</v>
      </c>
      <c r="G1315">
        <f>IF(Table13[[#This Row],[New Pos L]]&lt;&gt;0,Table13[[#This Row],[New Pos L]],Table13[[#This Row],[New Pos R]])</f>
        <v>52</v>
      </c>
      <c r="H1315">
        <f>IF(AND(Table13[[#This Row],[Direction]]="L",Table13[[#This Row],[Steps]]&gt;G1314,G1314&lt;&gt;0),1,0)</f>
        <v>0</v>
      </c>
      <c r="I1315">
        <f>IF(AND(Table13[[#This Row],[Direction]]="R",(G1314+Table13[[#This Row],[Steps]])&gt;100),1,0)</f>
        <v>0</v>
      </c>
      <c r="J1315">
        <f>IF(Table13[[#This Row],[POS]]=0,1,0)</f>
        <v>0</v>
      </c>
      <c r="K1315">
        <f>SUM(Table13[[#This Row],[prefix]],Table13[[#This Row],[Past zero L]],Table13[[#This Row],[Past Zero R]],Table13[[#This Row],[Is Zero]])</f>
        <v>0</v>
      </c>
    </row>
    <row r="1316" spans="1:11" ht="16" x14ac:dyDescent="0.2">
      <c r="A1316" s="1" t="s">
        <v>8</v>
      </c>
      <c r="B1316" t="str">
        <f>LEFT(Table13[[#This Row],[Input]],1)</f>
        <v>R</v>
      </c>
      <c r="C1316">
        <f>_xlfn.LET(_xlpm.steps,SUBSTITUTE(Table13[[#This Row],[Input]],Table13[[#This Row],[Direction]],""),VALUE(IF(LEN(_xlpm.steps)&gt;2,RIGHT(_xlpm.steps,2),_xlpm.steps)))</f>
        <v>18</v>
      </c>
      <c r="D1316">
        <f>_xlfn.LET(_xlpm.steps,SUBSTITUTE(Table13[[#This Row],[Input]],Table13[[#This Row],[Direction]],""),VALUE(IF(LEN(_xlpm.steps)&gt;2,LEFT(_xlpm.steps,LEN(_xlpm.steps)-2),0)))</f>
        <v>0</v>
      </c>
      <c r="E1316">
        <f>_xlfn.LET(_xlpm.dir,Table13[[#This Row],[Direction]],
IF(_xlpm.dir="L",
    IF(G1315-Table13[[#This Row],[Steps]]&lt;0,100+(G1315-Table13[[#This Row],[Steps]]),G1315-Table13[[#This Row],[Steps]]),
))</f>
        <v>0</v>
      </c>
      <c r="F1316">
        <f>_xlfn.LET(_xlpm.dir,Table13[[#This Row],[Direction]],
IF(_xlpm.dir="R",
    IF(G1315+Table13[[#This Row],[Steps]]&gt;99,(G1315+Table13[[#This Row],[Steps]])-100,G1315+Table13[[#This Row],[Steps]]),
))</f>
        <v>70</v>
      </c>
      <c r="G1316">
        <f>IF(Table13[[#This Row],[New Pos L]]&lt;&gt;0,Table13[[#This Row],[New Pos L]],Table13[[#This Row],[New Pos R]])</f>
        <v>70</v>
      </c>
      <c r="H1316">
        <f>IF(AND(Table13[[#This Row],[Direction]]="L",Table13[[#This Row],[Steps]]&gt;G1315,G1315&lt;&gt;0),1,0)</f>
        <v>0</v>
      </c>
      <c r="I1316">
        <f>IF(AND(Table13[[#This Row],[Direction]]="R",(G1315+Table13[[#This Row],[Steps]])&gt;100),1,0)</f>
        <v>0</v>
      </c>
      <c r="J1316">
        <f>IF(Table13[[#This Row],[POS]]=0,1,0)</f>
        <v>0</v>
      </c>
      <c r="K1316">
        <f>SUM(Table13[[#This Row],[prefix]],Table13[[#This Row],[Past zero L]],Table13[[#This Row],[Past Zero R]],Table13[[#This Row],[Is Zero]])</f>
        <v>0</v>
      </c>
    </row>
    <row r="1317" spans="1:11" ht="16" x14ac:dyDescent="0.2">
      <c r="A1317" s="1" t="s">
        <v>28</v>
      </c>
      <c r="B1317" t="str">
        <f>LEFT(Table13[[#This Row],[Input]],1)</f>
        <v>R</v>
      </c>
      <c r="C1317">
        <f>_xlfn.LET(_xlpm.steps,SUBSTITUTE(Table13[[#This Row],[Input]],Table13[[#This Row],[Direction]],""),VALUE(IF(LEN(_xlpm.steps)&gt;2,RIGHT(_xlpm.steps,2),_xlpm.steps)))</f>
        <v>30</v>
      </c>
      <c r="D1317">
        <f>_xlfn.LET(_xlpm.steps,SUBSTITUTE(Table13[[#This Row],[Input]],Table13[[#This Row],[Direction]],""),VALUE(IF(LEN(_xlpm.steps)&gt;2,LEFT(_xlpm.steps,LEN(_xlpm.steps)-2),0)))</f>
        <v>0</v>
      </c>
      <c r="E1317">
        <f>_xlfn.LET(_xlpm.dir,Table13[[#This Row],[Direction]],
IF(_xlpm.dir="L",
    IF(G1316-Table13[[#This Row],[Steps]]&lt;0,100+(G1316-Table13[[#This Row],[Steps]]),G1316-Table13[[#This Row],[Steps]]),
))</f>
        <v>0</v>
      </c>
      <c r="F1317">
        <f>_xlfn.LET(_xlpm.dir,Table13[[#This Row],[Direction]],
IF(_xlpm.dir="R",
    IF(G1316+Table13[[#This Row],[Steps]]&gt;99,(G1316+Table13[[#This Row],[Steps]])-100,G1316+Table13[[#This Row],[Steps]]),
))</f>
        <v>0</v>
      </c>
      <c r="G1317">
        <f>IF(Table13[[#This Row],[New Pos L]]&lt;&gt;0,Table13[[#This Row],[New Pos L]],Table13[[#This Row],[New Pos R]])</f>
        <v>0</v>
      </c>
      <c r="H1317">
        <f>IF(AND(Table13[[#This Row],[Direction]]="L",Table13[[#This Row],[Steps]]&gt;G1316,G1316&lt;&gt;0),1,0)</f>
        <v>0</v>
      </c>
      <c r="I1317">
        <f>IF(AND(Table13[[#This Row],[Direction]]="R",(G1316+Table13[[#This Row],[Steps]])&gt;100),1,0)</f>
        <v>0</v>
      </c>
      <c r="J1317">
        <f>IF(Table13[[#This Row],[POS]]=0,1,0)</f>
        <v>1</v>
      </c>
      <c r="K1317">
        <f>SUM(Table13[[#This Row],[prefix]],Table13[[#This Row],[Past zero L]],Table13[[#This Row],[Past Zero R]],Table13[[#This Row],[Is Zero]])</f>
        <v>1</v>
      </c>
    </row>
    <row r="1318" spans="1:11" ht="16" x14ac:dyDescent="0.2">
      <c r="A1318" s="1" t="s">
        <v>272</v>
      </c>
      <c r="B1318" t="str">
        <f>LEFT(Table13[[#This Row],[Input]],1)</f>
        <v>R</v>
      </c>
      <c r="C1318">
        <f>_xlfn.LET(_xlpm.steps,SUBSTITUTE(Table13[[#This Row],[Input]],Table13[[#This Row],[Direction]],""),VALUE(IF(LEN(_xlpm.steps)&gt;2,RIGHT(_xlpm.steps,2),_xlpm.steps)))</f>
        <v>56</v>
      </c>
      <c r="D1318">
        <f>_xlfn.LET(_xlpm.steps,SUBSTITUTE(Table13[[#This Row],[Input]],Table13[[#This Row],[Direction]],""),VALUE(IF(LEN(_xlpm.steps)&gt;2,LEFT(_xlpm.steps,LEN(_xlpm.steps)-2),0)))</f>
        <v>0</v>
      </c>
      <c r="E1318">
        <f>_xlfn.LET(_xlpm.dir,Table13[[#This Row],[Direction]],
IF(_xlpm.dir="L",
    IF(G1317-Table13[[#This Row],[Steps]]&lt;0,100+(G1317-Table13[[#This Row],[Steps]]),G1317-Table13[[#This Row],[Steps]]),
))</f>
        <v>0</v>
      </c>
      <c r="F1318">
        <f>_xlfn.LET(_xlpm.dir,Table13[[#This Row],[Direction]],
IF(_xlpm.dir="R",
    IF(G1317+Table13[[#This Row],[Steps]]&gt;99,(G1317+Table13[[#This Row],[Steps]])-100,G1317+Table13[[#This Row],[Steps]]),
))</f>
        <v>56</v>
      </c>
      <c r="G1318">
        <f>IF(Table13[[#This Row],[New Pos L]]&lt;&gt;0,Table13[[#This Row],[New Pos L]],Table13[[#This Row],[New Pos R]])</f>
        <v>56</v>
      </c>
      <c r="H1318">
        <f>IF(AND(Table13[[#This Row],[Direction]]="L",Table13[[#This Row],[Steps]]&gt;G1317,G1317&lt;&gt;0),1,0)</f>
        <v>0</v>
      </c>
      <c r="I1318">
        <f>IF(AND(Table13[[#This Row],[Direction]]="R",(G1317+Table13[[#This Row],[Steps]])&gt;100),1,0)</f>
        <v>0</v>
      </c>
      <c r="J1318">
        <f>IF(Table13[[#This Row],[POS]]=0,1,0)</f>
        <v>0</v>
      </c>
      <c r="K1318">
        <f>SUM(Table13[[#This Row],[prefix]],Table13[[#This Row],[Past zero L]],Table13[[#This Row],[Past Zero R]],Table13[[#This Row],[Is Zero]])</f>
        <v>0</v>
      </c>
    </row>
    <row r="1319" spans="1:11" ht="16" x14ac:dyDescent="0.2">
      <c r="A1319" s="1" t="s">
        <v>10</v>
      </c>
      <c r="B1319" t="str">
        <f>LEFT(Table13[[#This Row],[Input]],1)</f>
        <v>L</v>
      </c>
      <c r="C1319">
        <f>_xlfn.LET(_xlpm.steps,SUBSTITUTE(Table13[[#This Row],[Input]],Table13[[#This Row],[Direction]],""),VALUE(IF(LEN(_xlpm.steps)&gt;2,RIGHT(_xlpm.steps,2),_xlpm.steps)))</f>
        <v>35</v>
      </c>
      <c r="D1319">
        <f>_xlfn.LET(_xlpm.steps,SUBSTITUTE(Table13[[#This Row],[Input]],Table13[[#This Row],[Direction]],""),VALUE(IF(LEN(_xlpm.steps)&gt;2,LEFT(_xlpm.steps,LEN(_xlpm.steps)-2),0)))</f>
        <v>0</v>
      </c>
      <c r="E1319">
        <f>_xlfn.LET(_xlpm.dir,Table13[[#This Row],[Direction]],
IF(_xlpm.dir="L",
    IF(G1318-Table13[[#This Row],[Steps]]&lt;0,100+(G1318-Table13[[#This Row],[Steps]]),G1318-Table13[[#This Row],[Steps]]),
))</f>
        <v>21</v>
      </c>
      <c r="F1319">
        <f>_xlfn.LET(_xlpm.dir,Table13[[#This Row],[Direction]],
IF(_xlpm.dir="R",
    IF(G1318+Table13[[#This Row],[Steps]]&gt;99,(G1318+Table13[[#This Row],[Steps]])-100,G1318+Table13[[#This Row],[Steps]]),
))</f>
        <v>0</v>
      </c>
      <c r="G1319">
        <f>IF(Table13[[#This Row],[New Pos L]]&lt;&gt;0,Table13[[#This Row],[New Pos L]],Table13[[#This Row],[New Pos R]])</f>
        <v>21</v>
      </c>
      <c r="H1319">
        <f>IF(AND(Table13[[#This Row],[Direction]]="L",Table13[[#This Row],[Steps]]&gt;G1318,G1318&lt;&gt;0),1,0)</f>
        <v>0</v>
      </c>
      <c r="I1319">
        <f>IF(AND(Table13[[#This Row],[Direction]]="R",(G1318+Table13[[#This Row],[Steps]])&gt;100),1,0)</f>
        <v>0</v>
      </c>
      <c r="J1319">
        <f>IF(Table13[[#This Row],[POS]]=0,1,0)</f>
        <v>0</v>
      </c>
      <c r="K1319">
        <f>SUM(Table13[[#This Row],[prefix]],Table13[[#This Row],[Past zero L]],Table13[[#This Row],[Past Zero R]],Table13[[#This Row],[Is Zero]])</f>
        <v>0</v>
      </c>
    </row>
    <row r="1320" spans="1:11" ht="16" x14ac:dyDescent="0.2">
      <c r="A1320" s="1" t="s">
        <v>83</v>
      </c>
      <c r="B1320" t="str">
        <f>LEFT(Table13[[#This Row],[Input]],1)</f>
        <v>R</v>
      </c>
      <c r="C1320">
        <f>_xlfn.LET(_xlpm.steps,SUBSTITUTE(Table13[[#This Row],[Input]],Table13[[#This Row],[Direction]],""),VALUE(IF(LEN(_xlpm.steps)&gt;2,RIGHT(_xlpm.steps,2),_xlpm.steps)))</f>
        <v>79</v>
      </c>
      <c r="D1320">
        <f>_xlfn.LET(_xlpm.steps,SUBSTITUTE(Table13[[#This Row],[Input]],Table13[[#This Row],[Direction]],""),VALUE(IF(LEN(_xlpm.steps)&gt;2,LEFT(_xlpm.steps,LEN(_xlpm.steps)-2),0)))</f>
        <v>0</v>
      </c>
      <c r="E1320">
        <f>_xlfn.LET(_xlpm.dir,Table13[[#This Row],[Direction]],
IF(_xlpm.dir="L",
    IF(G1319-Table13[[#This Row],[Steps]]&lt;0,100+(G1319-Table13[[#This Row],[Steps]]),G1319-Table13[[#This Row],[Steps]]),
))</f>
        <v>0</v>
      </c>
      <c r="F1320">
        <f>_xlfn.LET(_xlpm.dir,Table13[[#This Row],[Direction]],
IF(_xlpm.dir="R",
    IF(G1319+Table13[[#This Row],[Steps]]&gt;99,(G1319+Table13[[#This Row],[Steps]])-100,G1319+Table13[[#This Row],[Steps]]),
))</f>
        <v>0</v>
      </c>
      <c r="G1320">
        <f>IF(Table13[[#This Row],[New Pos L]]&lt;&gt;0,Table13[[#This Row],[New Pos L]],Table13[[#This Row],[New Pos R]])</f>
        <v>0</v>
      </c>
      <c r="H1320">
        <f>IF(AND(Table13[[#This Row],[Direction]]="L",Table13[[#This Row],[Steps]]&gt;G1319,G1319&lt;&gt;0),1,0)</f>
        <v>0</v>
      </c>
      <c r="I1320">
        <f>IF(AND(Table13[[#This Row],[Direction]]="R",(G1319+Table13[[#This Row],[Steps]])&gt;100),1,0)</f>
        <v>0</v>
      </c>
      <c r="J1320">
        <f>IF(Table13[[#This Row],[POS]]=0,1,0)</f>
        <v>1</v>
      </c>
      <c r="K1320">
        <f>SUM(Table13[[#This Row],[prefix]],Table13[[#This Row],[Past zero L]],Table13[[#This Row],[Past Zero R]],Table13[[#This Row],[Is Zero]])</f>
        <v>1</v>
      </c>
    </row>
    <row r="1321" spans="1:11" ht="16" x14ac:dyDescent="0.2">
      <c r="A1321" s="1" t="s">
        <v>179</v>
      </c>
      <c r="B1321" t="str">
        <f>LEFT(Table13[[#This Row],[Input]],1)</f>
        <v>L</v>
      </c>
      <c r="C1321">
        <f>_xlfn.LET(_xlpm.steps,SUBSTITUTE(Table13[[#This Row],[Input]],Table13[[#This Row],[Direction]],""),VALUE(IF(LEN(_xlpm.steps)&gt;2,RIGHT(_xlpm.steps,2),_xlpm.steps)))</f>
        <v>54</v>
      </c>
      <c r="D1321">
        <f>_xlfn.LET(_xlpm.steps,SUBSTITUTE(Table13[[#This Row],[Input]],Table13[[#This Row],[Direction]],""),VALUE(IF(LEN(_xlpm.steps)&gt;2,LEFT(_xlpm.steps,LEN(_xlpm.steps)-2),0)))</f>
        <v>0</v>
      </c>
      <c r="E1321">
        <f>_xlfn.LET(_xlpm.dir,Table13[[#This Row],[Direction]],
IF(_xlpm.dir="L",
    IF(G1320-Table13[[#This Row],[Steps]]&lt;0,100+(G1320-Table13[[#This Row],[Steps]]),G1320-Table13[[#This Row],[Steps]]),
))</f>
        <v>46</v>
      </c>
      <c r="F1321">
        <f>_xlfn.LET(_xlpm.dir,Table13[[#This Row],[Direction]],
IF(_xlpm.dir="R",
    IF(G1320+Table13[[#This Row],[Steps]]&gt;99,(G1320+Table13[[#This Row],[Steps]])-100,G1320+Table13[[#This Row],[Steps]]),
))</f>
        <v>0</v>
      </c>
      <c r="G1321">
        <f>IF(Table13[[#This Row],[New Pos L]]&lt;&gt;0,Table13[[#This Row],[New Pos L]],Table13[[#This Row],[New Pos R]])</f>
        <v>46</v>
      </c>
      <c r="H1321">
        <f>IF(AND(Table13[[#This Row],[Direction]]="L",Table13[[#This Row],[Steps]]&gt;G1320,G1320&lt;&gt;0),1,0)</f>
        <v>0</v>
      </c>
      <c r="I1321">
        <f>IF(AND(Table13[[#This Row],[Direction]]="R",(G1320+Table13[[#This Row],[Steps]])&gt;100),1,0)</f>
        <v>0</v>
      </c>
      <c r="J1321">
        <f>IF(Table13[[#This Row],[POS]]=0,1,0)</f>
        <v>0</v>
      </c>
      <c r="K1321">
        <f>SUM(Table13[[#This Row],[prefix]],Table13[[#This Row],[Past zero L]],Table13[[#This Row],[Past Zero R]],Table13[[#This Row],[Is Zero]])</f>
        <v>0</v>
      </c>
    </row>
    <row r="1322" spans="1:11" ht="16" x14ac:dyDescent="0.2">
      <c r="A1322" s="1" t="s">
        <v>216</v>
      </c>
      <c r="B1322" t="str">
        <f>LEFT(Table13[[#This Row],[Input]],1)</f>
        <v>R</v>
      </c>
      <c r="C1322">
        <f>_xlfn.LET(_xlpm.steps,SUBSTITUTE(Table13[[#This Row],[Input]],Table13[[#This Row],[Direction]],""),VALUE(IF(LEN(_xlpm.steps)&gt;2,RIGHT(_xlpm.steps,2),_xlpm.steps)))</f>
        <v>54</v>
      </c>
      <c r="D1322">
        <f>_xlfn.LET(_xlpm.steps,SUBSTITUTE(Table13[[#This Row],[Input]],Table13[[#This Row],[Direction]],""),VALUE(IF(LEN(_xlpm.steps)&gt;2,LEFT(_xlpm.steps,LEN(_xlpm.steps)-2),0)))</f>
        <v>0</v>
      </c>
      <c r="E1322">
        <f>_xlfn.LET(_xlpm.dir,Table13[[#This Row],[Direction]],
IF(_xlpm.dir="L",
    IF(G1321-Table13[[#This Row],[Steps]]&lt;0,100+(G1321-Table13[[#This Row],[Steps]]),G1321-Table13[[#This Row],[Steps]]),
))</f>
        <v>0</v>
      </c>
      <c r="F1322">
        <f>_xlfn.LET(_xlpm.dir,Table13[[#This Row],[Direction]],
IF(_xlpm.dir="R",
    IF(G1321+Table13[[#This Row],[Steps]]&gt;99,(G1321+Table13[[#This Row],[Steps]])-100,G1321+Table13[[#This Row],[Steps]]),
))</f>
        <v>0</v>
      </c>
      <c r="G1322">
        <f>IF(Table13[[#This Row],[New Pos L]]&lt;&gt;0,Table13[[#This Row],[New Pos L]],Table13[[#This Row],[New Pos R]])</f>
        <v>0</v>
      </c>
      <c r="H1322">
        <f>IF(AND(Table13[[#This Row],[Direction]]="L",Table13[[#This Row],[Steps]]&gt;G1321,G1321&lt;&gt;0),1,0)</f>
        <v>0</v>
      </c>
      <c r="I1322">
        <f>IF(AND(Table13[[#This Row],[Direction]]="R",(G1321+Table13[[#This Row],[Steps]])&gt;100),1,0)</f>
        <v>0</v>
      </c>
      <c r="J1322">
        <f>IF(Table13[[#This Row],[POS]]=0,1,0)</f>
        <v>1</v>
      </c>
      <c r="K1322">
        <f>SUM(Table13[[#This Row],[prefix]],Table13[[#This Row],[Past zero L]],Table13[[#This Row],[Past Zero R]],Table13[[#This Row],[Is Zero]])</f>
        <v>1</v>
      </c>
    </row>
    <row r="1323" spans="1:11" ht="16" x14ac:dyDescent="0.2">
      <c r="A1323" s="1" t="s">
        <v>63</v>
      </c>
      <c r="B1323" t="str">
        <f>LEFT(Table13[[#This Row],[Input]],1)</f>
        <v>R</v>
      </c>
      <c r="C1323">
        <f>_xlfn.LET(_xlpm.steps,SUBSTITUTE(Table13[[#This Row],[Input]],Table13[[#This Row],[Direction]],""),VALUE(IF(LEN(_xlpm.steps)&gt;2,RIGHT(_xlpm.steps,2),_xlpm.steps)))</f>
        <v>57</v>
      </c>
      <c r="D1323">
        <f>_xlfn.LET(_xlpm.steps,SUBSTITUTE(Table13[[#This Row],[Input]],Table13[[#This Row],[Direction]],""),VALUE(IF(LEN(_xlpm.steps)&gt;2,LEFT(_xlpm.steps,LEN(_xlpm.steps)-2),0)))</f>
        <v>0</v>
      </c>
      <c r="E1323">
        <f>_xlfn.LET(_xlpm.dir,Table13[[#This Row],[Direction]],
IF(_xlpm.dir="L",
    IF(G1322-Table13[[#This Row],[Steps]]&lt;0,100+(G1322-Table13[[#This Row],[Steps]]),G1322-Table13[[#This Row],[Steps]]),
))</f>
        <v>0</v>
      </c>
      <c r="F1323">
        <f>_xlfn.LET(_xlpm.dir,Table13[[#This Row],[Direction]],
IF(_xlpm.dir="R",
    IF(G1322+Table13[[#This Row],[Steps]]&gt;99,(G1322+Table13[[#This Row],[Steps]])-100,G1322+Table13[[#This Row],[Steps]]),
))</f>
        <v>57</v>
      </c>
      <c r="G1323">
        <f>IF(Table13[[#This Row],[New Pos L]]&lt;&gt;0,Table13[[#This Row],[New Pos L]],Table13[[#This Row],[New Pos R]])</f>
        <v>57</v>
      </c>
      <c r="H1323">
        <f>IF(AND(Table13[[#This Row],[Direction]]="L",Table13[[#This Row],[Steps]]&gt;G1322,G1322&lt;&gt;0),1,0)</f>
        <v>0</v>
      </c>
      <c r="I1323">
        <f>IF(AND(Table13[[#This Row],[Direction]]="R",(G1322+Table13[[#This Row],[Steps]])&gt;100),1,0)</f>
        <v>0</v>
      </c>
      <c r="J1323">
        <f>IF(Table13[[#This Row],[POS]]=0,1,0)</f>
        <v>0</v>
      </c>
      <c r="K1323">
        <f>SUM(Table13[[#This Row],[prefix]],Table13[[#This Row],[Past zero L]],Table13[[#This Row],[Past Zero R]],Table13[[#This Row],[Is Zero]])</f>
        <v>0</v>
      </c>
    </row>
    <row r="1324" spans="1:11" ht="16" x14ac:dyDescent="0.2">
      <c r="A1324" s="1" t="s">
        <v>60</v>
      </c>
      <c r="B1324" t="str">
        <f>LEFT(Table13[[#This Row],[Input]],1)</f>
        <v>R</v>
      </c>
      <c r="C1324">
        <f>_xlfn.LET(_xlpm.steps,SUBSTITUTE(Table13[[#This Row],[Input]],Table13[[#This Row],[Direction]],""),VALUE(IF(LEN(_xlpm.steps)&gt;2,RIGHT(_xlpm.steps,2),_xlpm.steps)))</f>
        <v>86</v>
      </c>
      <c r="D1324">
        <f>_xlfn.LET(_xlpm.steps,SUBSTITUTE(Table13[[#This Row],[Input]],Table13[[#This Row],[Direction]],""),VALUE(IF(LEN(_xlpm.steps)&gt;2,LEFT(_xlpm.steps,LEN(_xlpm.steps)-2),0)))</f>
        <v>0</v>
      </c>
      <c r="E1324">
        <f>_xlfn.LET(_xlpm.dir,Table13[[#This Row],[Direction]],
IF(_xlpm.dir="L",
    IF(G1323-Table13[[#This Row],[Steps]]&lt;0,100+(G1323-Table13[[#This Row],[Steps]]),G1323-Table13[[#This Row],[Steps]]),
))</f>
        <v>0</v>
      </c>
      <c r="F1324">
        <f>_xlfn.LET(_xlpm.dir,Table13[[#This Row],[Direction]],
IF(_xlpm.dir="R",
    IF(G1323+Table13[[#This Row],[Steps]]&gt;99,(G1323+Table13[[#This Row],[Steps]])-100,G1323+Table13[[#This Row],[Steps]]),
))</f>
        <v>43</v>
      </c>
      <c r="G1324">
        <f>IF(Table13[[#This Row],[New Pos L]]&lt;&gt;0,Table13[[#This Row],[New Pos L]],Table13[[#This Row],[New Pos R]])</f>
        <v>43</v>
      </c>
      <c r="H1324">
        <f>IF(AND(Table13[[#This Row],[Direction]]="L",Table13[[#This Row],[Steps]]&gt;G1323,G1323&lt;&gt;0),1,0)</f>
        <v>0</v>
      </c>
      <c r="I1324">
        <f>IF(AND(Table13[[#This Row],[Direction]]="R",(G1323+Table13[[#This Row],[Steps]])&gt;100),1,0)</f>
        <v>1</v>
      </c>
      <c r="J1324">
        <f>IF(Table13[[#This Row],[POS]]=0,1,0)</f>
        <v>0</v>
      </c>
      <c r="K1324">
        <f>SUM(Table13[[#This Row],[prefix]],Table13[[#This Row],[Past zero L]],Table13[[#This Row],[Past Zero R]],Table13[[#This Row],[Is Zero]])</f>
        <v>1</v>
      </c>
    </row>
    <row r="1325" spans="1:11" ht="16" x14ac:dyDescent="0.2">
      <c r="A1325" s="1" t="s">
        <v>412</v>
      </c>
      <c r="B1325" t="str">
        <f>LEFT(Table13[[#This Row],[Input]],1)</f>
        <v>R</v>
      </c>
      <c r="C1325">
        <f>_xlfn.LET(_xlpm.steps,SUBSTITUTE(Table13[[#This Row],[Input]],Table13[[#This Row],[Direction]],""),VALUE(IF(LEN(_xlpm.steps)&gt;2,RIGHT(_xlpm.steps,2),_xlpm.steps)))</f>
        <v>12</v>
      </c>
      <c r="D1325">
        <f>_xlfn.LET(_xlpm.steps,SUBSTITUTE(Table13[[#This Row],[Input]],Table13[[#This Row],[Direction]],""),VALUE(IF(LEN(_xlpm.steps)&gt;2,LEFT(_xlpm.steps,LEN(_xlpm.steps)-2),0)))</f>
        <v>4</v>
      </c>
      <c r="E1325">
        <f>_xlfn.LET(_xlpm.dir,Table13[[#This Row],[Direction]],
IF(_xlpm.dir="L",
    IF(G1324-Table13[[#This Row],[Steps]]&lt;0,100+(G1324-Table13[[#This Row],[Steps]]),G1324-Table13[[#This Row],[Steps]]),
))</f>
        <v>0</v>
      </c>
      <c r="F1325">
        <f>_xlfn.LET(_xlpm.dir,Table13[[#This Row],[Direction]],
IF(_xlpm.dir="R",
    IF(G1324+Table13[[#This Row],[Steps]]&gt;99,(G1324+Table13[[#This Row],[Steps]])-100,G1324+Table13[[#This Row],[Steps]]),
))</f>
        <v>55</v>
      </c>
      <c r="G1325">
        <f>IF(Table13[[#This Row],[New Pos L]]&lt;&gt;0,Table13[[#This Row],[New Pos L]],Table13[[#This Row],[New Pos R]])</f>
        <v>55</v>
      </c>
      <c r="H1325">
        <f>IF(AND(Table13[[#This Row],[Direction]]="L",Table13[[#This Row],[Steps]]&gt;G1324,G1324&lt;&gt;0),1,0)</f>
        <v>0</v>
      </c>
      <c r="I1325">
        <f>IF(AND(Table13[[#This Row],[Direction]]="R",(G1324+Table13[[#This Row],[Steps]])&gt;100),1,0)</f>
        <v>0</v>
      </c>
      <c r="J1325">
        <f>IF(Table13[[#This Row],[POS]]=0,1,0)</f>
        <v>0</v>
      </c>
      <c r="K1325">
        <f>SUM(Table13[[#This Row],[prefix]],Table13[[#This Row],[Past zero L]],Table13[[#This Row],[Past Zero R]],Table13[[#This Row],[Is Zero]])</f>
        <v>4</v>
      </c>
    </row>
    <row r="1326" spans="1:11" ht="16" x14ac:dyDescent="0.2">
      <c r="A1326" s="1" t="s">
        <v>82</v>
      </c>
      <c r="B1326" t="str">
        <f>LEFT(Table13[[#This Row],[Input]],1)</f>
        <v>L</v>
      </c>
      <c r="C1326">
        <f>_xlfn.LET(_xlpm.steps,SUBSTITUTE(Table13[[#This Row],[Input]],Table13[[#This Row],[Direction]],""),VALUE(IF(LEN(_xlpm.steps)&gt;2,RIGHT(_xlpm.steps,2),_xlpm.steps)))</f>
        <v>55</v>
      </c>
      <c r="D1326">
        <f>_xlfn.LET(_xlpm.steps,SUBSTITUTE(Table13[[#This Row],[Input]],Table13[[#This Row],[Direction]],""),VALUE(IF(LEN(_xlpm.steps)&gt;2,LEFT(_xlpm.steps,LEN(_xlpm.steps)-2),0)))</f>
        <v>0</v>
      </c>
      <c r="E1326">
        <f>_xlfn.LET(_xlpm.dir,Table13[[#This Row],[Direction]],
IF(_xlpm.dir="L",
    IF(G1325-Table13[[#This Row],[Steps]]&lt;0,100+(G1325-Table13[[#This Row],[Steps]]),G1325-Table13[[#This Row],[Steps]]),
))</f>
        <v>0</v>
      </c>
      <c r="F1326">
        <f>_xlfn.LET(_xlpm.dir,Table13[[#This Row],[Direction]],
IF(_xlpm.dir="R",
    IF(G1325+Table13[[#This Row],[Steps]]&gt;99,(G1325+Table13[[#This Row],[Steps]])-100,G1325+Table13[[#This Row],[Steps]]),
))</f>
        <v>0</v>
      </c>
      <c r="G1326">
        <f>IF(Table13[[#This Row],[New Pos L]]&lt;&gt;0,Table13[[#This Row],[New Pos L]],Table13[[#This Row],[New Pos R]])</f>
        <v>0</v>
      </c>
      <c r="H1326">
        <f>IF(AND(Table13[[#This Row],[Direction]]="L",Table13[[#This Row],[Steps]]&gt;G1325,G1325&lt;&gt;0),1,0)</f>
        <v>0</v>
      </c>
      <c r="I1326">
        <f>IF(AND(Table13[[#This Row],[Direction]]="R",(G1325+Table13[[#This Row],[Steps]])&gt;100),1,0)</f>
        <v>0</v>
      </c>
      <c r="J1326">
        <f>IF(Table13[[#This Row],[POS]]=0,1,0)</f>
        <v>1</v>
      </c>
      <c r="K1326">
        <f>SUM(Table13[[#This Row],[prefix]],Table13[[#This Row],[Past zero L]],Table13[[#This Row],[Past Zero R]],Table13[[#This Row],[Is Zero]])</f>
        <v>1</v>
      </c>
    </row>
    <row r="1327" spans="1:11" ht="16" x14ac:dyDescent="0.2">
      <c r="A1327" s="1" t="s">
        <v>155</v>
      </c>
      <c r="B1327" t="str">
        <f>LEFT(Table13[[#This Row],[Input]],1)</f>
        <v>L</v>
      </c>
      <c r="C1327">
        <f>_xlfn.LET(_xlpm.steps,SUBSTITUTE(Table13[[#This Row],[Input]],Table13[[#This Row],[Direction]],""),VALUE(IF(LEN(_xlpm.steps)&gt;2,RIGHT(_xlpm.steps,2),_xlpm.steps)))</f>
        <v>18</v>
      </c>
      <c r="D1327">
        <f>_xlfn.LET(_xlpm.steps,SUBSTITUTE(Table13[[#This Row],[Input]],Table13[[#This Row],[Direction]],""),VALUE(IF(LEN(_xlpm.steps)&gt;2,LEFT(_xlpm.steps,LEN(_xlpm.steps)-2),0)))</f>
        <v>0</v>
      </c>
      <c r="E1327">
        <f>_xlfn.LET(_xlpm.dir,Table13[[#This Row],[Direction]],
IF(_xlpm.dir="L",
    IF(G1326-Table13[[#This Row],[Steps]]&lt;0,100+(G1326-Table13[[#This Row],[Steps]]),G1326-Table13[[#This Row],[Steps]]),
))</f>
        <v>82</v>
      </c>
      <c r="F1327">
        <f>_xlfn.LET(_xlpm.dir,Table13[[#This Row],[Direction]],
IF(_xlpm.dir="R",
    IF(G1326+Table13[[#This Row],[Steps]]&gt;99,(G1326+Table13[[#This Row],[Steps]])-100,G1326+Table13[[#This Row],[Steps]]),
))</f>
        <v>0</v>
      </c>
      <c r="G1327">
        <f>IF(Table13[[#This Row],[New Pos L]]&lt;&gt;0,Table13[[#This Row],[New Pos L]],Table13[[#This Row],[New Pos R]])</f>
        <v>82</v>
      </c>
      <c r="H1327">
        <f>IF(AND(Table13[[#This Row],[Direction]]="L",Table13[[#This Row],[Steps]]&gt;G1326,G1326&lt;&gt;0),1,0)</f>
        <v>0</v>
      </c>
      <c r="I1327">
        <f>IF(AND(Table13[[#This Row],[Direction]]="R",(G1326+Table13[[#This Row],[Steps]])&gt;100),1,0)</f>
        <v>0</v>
      </c>
      <c r="J1327">
        <f>IF(Table13[[#This Row],[POS]]=0,1,0)</f>
        <v>0</v>
      </c>
      <c r="K1327">
        <f>SUM(Table13[[#This Row],[prefix]],Table13[[#This Row],[Past zero L]],Table13[[#This Row],[Past Zero R]],Table13[[#This Row],[Is Zero]])</f>
        <v>0</v>
      </c>
    </row>
    <row r="1328" spans="1:11" ht="16" x14ac:dyDescent="0.2">
      <c r="A1328" s="1" t="s">
        <v>309</v>
      </c>
      <c r="B1328" t="str">
        <f>LEFT(Table13[[#This Row],[Input]],1)</f>
        <v>L</v>
      </c>
      <c r="C1328">
        <f>_xlfn.LET(_xlpm.steps,SUBSTITUTE(Table13[[#This Row],[Input]],Table13[[#This Row],[Direction]],""),VALUE(IF(LEN(_xlpm.steps)&gt;2,RIGHT(_xlpm.steps,2),_xlpm.steps)))</f>
        <v>41</v>
      </c>
      <c r="D1328">
        <f>_xlfn.LET(_xlpm.steps,SUBSTITUTE(Table13[[#This Row],[Input]],Table13[[#This Row],[Direction]],""),VALUE(IF(LEN(_xlpm.steps)&gt;2,LEFT(_xlpm.steps,LEN(_xlpm.steps)-2),0)))</f>
        <v>0</v>
      </c>
      <c r="E1328">
        <f>_xlfn.LET(_xlpm.dir,Table13[[#This Row],[Direction]],
IF(_xlpm.dir="L",
    IF(G1327-Table13[[#This Row],[Steps]]&lt;0,100+(G1327-Table13[[#This Row],[Steps]]),G1327-Table13[[#This Row],[Steps]]),
))</f>
        <v>41</v>
      </c>
      <c r="F1328">
        <f>_xlfn.LET(_xlpm.dir,Table13[[#This Row],[Direction]],
IF(_xlpm.dir="R",
    IF(G1327+Table13[[#This Row],[Steps]]&gt;99,(G1327+Table13[[#This Row],[Steps]])-100,G1327+Table13[[#This Row],[Steps]]),
))</f>
        <v>0</v>
      </c>
      <c r="G1328">
        <f>IF(Table13[[#This Row],[New Pos L]]&lt;&gt;0,Table13[[#This Row],[New Pos L]],Table13[[#This Row],[New Pos R]])</f>
        <v>41</v>
      </c>
      <c r="H1328">
        <f>IF(AND(Table13[[#This Row],[Direction]]="L",Table13[[#This Row],[Steps]]&gt;G1327,G1327&lt;&gt;0),1,0)</f>
        <v>0</v>
      </c>
      <c r="I1328">
        <f>IF(AND(Table13[[#This Row],[Direction]]="R",(G1327+Table13[[#This Row],[Steps]])&gt;100),1,0)</f>
        <v>0</v>
      </c>
      <c r="J1328">
        <f>IF(Table13[[#This Row],[POS]]=0,1,0)</f>
        <v>0</v>
      </c>
      <c r="K1328">
        <f>SUM(Table13[[#This Row],[prefix]],Table13[[#This Row],[Past zero L]],Table13[[#This Row],[Past Zero R]],Table13[[#This Row],[Is Zero]])</f>
        <v>0</v>
      </c>
    </row>
    <row r="1329" spans="1:11" ht="16" x14ac:dyDescent="0.2">
      <c r="A1329" s="1" t="s">
        <v>153</v>
      </c>
      <c r="B1329" t="str">
        <f>LEFT(Table13[[#This Row],[Input]],1)</f>
        <v>L</v>
      </c>
      <c r="C1329">
        <f>_xlfn.LET(_xlpm.steps,SUBSTITUTE(Table13[[#This Row],[Input]],Table13[[#This Row],[Direction]],""),VALUE(IF(LEN(_xlpm.steps)&gt;2,RIGHT(_xlpm.steps,2),_xlpm.steps)))</f>
        <v>41</v>
      </c>
      <c r="D1329">
        <f>_xlfn.LET(_xlpm.steps,SUBSTITUTE(Table13[[#This Row],[Input]],Table13[[#This Row],[Direction]],""),VALUE(IF(LEN(_xlpm.steps)&gt;2,LEFT(_xlpm.steps,LEN(_xlpm.steps)-2),0)))</f>
        <v>2</v>
      </c>
      <c r="E1329">
        <f>_xlfn.LET(_xlpm.dir,Table13[[#This Row],[Direction]],
IF(_xlpm.dir="L",
    IF(G1328-Table13[[#This Row],[Steps]]&lt;0,100+(G1328-Table13[[#This Row],[Steps]]),G1328-Table13[[#This Row],[Steps]]),
))</f>
        <v>0</v>
      </c>
      <c r="F1329">
        <f>_xlfn.LET(_xlpm.dir,Table13[[#This Row],[Direction]],
IF(_xlpm.dir="R",
    IF(G1328+Table13[[#This Row],[Steps]]&gt;99,(G1328+Table13[[#This Row],[Steps]])-100,G1328+Table13[[#This Row],[Steps]]),
))</f>
        <v>0</v>
      </c>
      <c r="G1329">
        <f>IF(Table13[[#This Row],[New Pos L]]&lt;&gt;0,Table13[[#This Row],[New Pos L]],Table13[[#This Row],[New Pos R]])</f>
        <v>0</v>
      </c>
      <c r="H1329">
        <f>IF(AND(Table13[[#This Row],[Direction]]="L",Table13[[#This Row],[Steps]]&gt;G1328,G1328&lt;&gt;0),1,0)</f>
        <v>0</v>
      </c>
      <c r="I1329">
        <f>IF(AND(Table13[[#This Row],[Direction]]="R",(G1328+Table13[[#This Row],[Steps]])&gt;100),1,0)</f>
        <v>0</v>
      </c>
      <c r="J1329">
        <f>IF(Table13[[#This Row],[POS]]=0,1,0)</f>
        <v>1</v>
      </c>
      <c r="K1329">
        <f>SUM(Table13[[#This Row],[prefix]],Table13[[#This Row],[Past zero L]],Table13[[#This Row],[Past Zero R]],Table13[[#This Row],[Is Zero]])</f>
        <v>3</v>
      </c>
    </row>
    <row r="1330" spans="1:11" ht="16" x14ac:dyDescent="0.2">
      <c r="A1330" s="1" t="s">
        <v>413</v>
      </c>
      <c r="B1330" t="str">
        <f>LEFT(Table13[[#This Row],[Input]],1)</f>
        <v>L</v>
      </c>
      <c r="C1330">
        <f>_xlfn.LET(_xlpm.steps,SUBSTITUTE(Table13[[#This Row],[Input]],Table13[[#This Row],[Direction]],""),VALUE(IF(LEN(_xlpm.steps)&gt;2,RIGHT(_xlpm.steps,2),_xlpm.steps)))</f>
        <v>15</v>
      </c>
      <c r="D1330">
        <f>_xlfn.LET(_xlpm.steps,SUBSTITUTE(Table13[[#This Row],[Input]],Table13[[#This Row],[Direction]],""),VALUE(IF(LEN(_xlpm.steps)&gt;2,LEFT(_xlpm.steps,LEN(_xlpm.steps)-2),0)))</f>
        <v>2</v>
      </c>
      <c r="E1330">
        <f>_xlfn.LET(_xlpm.dir,Table13[[#This Row],[Direction]],
IF(_xlpm.dir="L",
    IF(G1329-Table13[[#This Row],[Steps]]&lt;0,100+(G1329-Table13[[#This Row],[Steps]]),G1329-Table13[[#This Row],[Steps]]),
))</f>
        <v>85</v>
      </c>
      <c r="F1330">
        <f>_xlfn.LET(_xlpm.dir,Table13[[#This Row],[Direction]],
IF(_xlpm.dir="R",
    IF(G1329+Table13[[#This Row],[Steps]]&gt;99,(G1329+Table13[[#This Row],[Steps]])-100,G1329+Table13[[#This Row],[Steps]]),
))</f>
        <v>0</v>
      </c>
      <c r="G1330">
        <f>IF(Table13[[#This Row],[New Pos L]]&lt;&gt;0,Table13[[#This Row],[New Pos L]],Table13[[#This Row],[New Pos R]])</f>
        <v>85</v>
      </c>
      <c r="H1330">
        <f>IF(AND(Table13[[#This Row],[Direction]]="L",Table13[[#This Row],[Steps]]&gt;G1329,G1329&lt;&gt;0),1,0)</f>
        <v>0</v>
      </c>
      <c r="I1330">
        <f>IF(AND(Table13[[#This Row],[Direction]]="R",(G1329+Table13[[#This Row],[Steps]])&gt;100),1,0)</f>
        <v>0</v>
      </c>
      <c r="J1330">
        <f>IF(Table13[[#This Row],[POS]]=0,1,0)</f>
        <v>0</v>
      </c>
      <c r="K1330">
        <f>SUM(Table13[[#This Row],[prefix]],Table13[[#This Row],[Past zero L]],Table13[[#This Row],[Past Zero R]],Table13[[#This Row],[Is Zero]])</f>
        <v>2</v>
      </c>
    </row>
    <row r="1331" spans="1:11" ht="16" x14ac:dyDescent="0.2">
      <c r="A1331" s="1" t="s">
        <v>414</v>
      </c>
      <c r="B1331" t="str">
        <f>LEFT(Table13[[#This Row],[Input]],1)</f>
        <v>R</v>
      </c>
      <c r="C1331">
        <f>_xlfn.LET(_xlpm.steps,SUBSTITUTE(Table13[[#This Row],[Input]],Table13[[#This Row],[Direction]],""),VALUE(IF(LEN(_xlpm.steps)&gt;2,RIGHT(_xlpm.steps,2),_xlpm.steps)))</f>
        <v>4</v>
      </c>
      <c r="D1331">
        <f>_xlfn.LET(_xlpm.steps,SUBSTITUTE(Table13[[#This Row],[Input]],Table13[[#This Row],[Direction]],""),VALUE(IF(LEN(_xlpm.steps)&gt;2,LEFT(_xlpm.steps,LEN(_xlpm.steps)-2),0)))</f>
        <v>5</v>
      </c>
      <c r="E1331">
        <f>_xlfn.LET(_xlpm.dir,Table13[[#This Row],[Direction]],
IF(_xlpm.dir="L",
    IF(G1330-Table13[[#This Row],[Steps]]&lt;0,100+(G1330-Table13[[#This Row],[Steps]]),G1330-Table13[[#This Row],[Steps]]),
))</f>
        <v>0</v>
      </c>
      <c r="F1331">
        <f>_xlfn.LET(_xlpm.dir,Table13[[#This Row],[Direction]],
IF(_xlpm.dir="R",
    IF(G1330+Table13[[#This Row],[Steps]]&gt;99,(G1330+Table13[[#This Row],[Steps]])-100,G1330+Table13[[#This Row],[Steps]]),
))</f>
        <v>89</v>
      </c>
      <c r="G1331">
        <f>IF(Table13[[#This Row],[New Pos L]]&lt;&gt;0,Table13[[#This Row],[New Pos L]],Table13[[#This Row],[New Pos R]])</f>
        <v>89</v>
      </c>
      <c r="H1331">
        <f>IF(AND(Table13[[#This Row],[Direction]]="L",Table13[[#This Row],[Steps]]&gt;G1330,G1330&lt;&gt;0),1,0)</f>
        <v>0</v>
      </c>
      <c r="I1331">
        <f>IF(AND(Table13[[#This Row],[Direction]]="R",(G1330+Table13[[#This Row],[Steps]])&gt;100),1,0)</f>
        <v>0</v>
      </c>
      <c r="J1331">
        <f>IF(Table13[[#This Row],[POS]]=0,1,0)</f>
        <v>0</v>
      </c>
      <c r="K1331">
        <f>SUM(Table13[[#This Row],[prefix]],Table13[[#This Row],[Past zero L]],Table13[[#This Row],[Past Zero R]],Table13[[#This Row],[Is Zero]])</f>
        <v>5</v>
      </c>
    </row>
    <row r="1332" spans="1:11" ht="16" x14ac:dyDescent="0.2">
      <c r="A1332" s="1" t="s">
        <v>185</v>
      </c>
      <c r="B1332" t="str">
        <f>LEFT(Table13[[#This Row],[Input]],1)</f>
        <v>R</v>
      </c>
      <c r="C1332">
        <f>_xlfn.LET(_xlpm.steps,SUBSTITUTE(Table13[[#This Row],[Input]],Table13[[#This Row],[Direction]],""),VALUE(IF(LEN(_xlpm.steps)&gt;2,RIGHT(_xlpm.steps,2),_xlpm.steps)))</f>
        <v>61</v>
      </c>
      <c r="D1332">
        <f>_xlfn.LET(_xlpm.steps,SUBSTITUTE(Table13[[#This Row],[Input]],Table13[[#This Row],[Direction]],""),VALUE(IF(LEN(_xlpm.steps)&gt;2,LEFT(_xlpm.steps,LEN(_xlpm.steps)-2),0)))</f>
        <v>0</v>
      </c>
      <c r="E1332">
        <f>_xlfn.LET(_xlpm.dir,Table13[[#This Row],[Direction]],
IF(_xlpm.dir="L",
    IF(G1331-Table13[[#This Row],[Steps]]&lt;0,100+(G1331-Table13[[#This Row],[Steps]]),G1331-Table13[[#This Row],[Steps]]),
))</f>
        <v>0</v>
      </c>
      <c r="F1332">
        <f>_xlfn.LET(_xlpm.dir,Table13[[#This Row],[Direction]],
IF(_xlpm.dir="R",
    IF(G1331+Table13[[#This Row],[Steps]]&gt;99,(G1331+Table13[[#This Row],[Steps]])-100,G1331+Table13[[#This Row],[Steps]]),
))</f>
        <v>50</v>
      </c>
      <c r="G1332">
        <f>IF(Table13[[#This Row],[New Pos L]]&lt;&gt;0,Table13[[#This Row],[New Pos L]],Table13[[#This Row],[New Pos R]])</f>
        <v>50</v>
      </c>
      <c r="H1332">
        <f>IF(AND(Table13[[#This Row],[Direction]]="L",Table13[[#This Row],[Steps]]&gt;G1331,G1331&lt;&gt;0),1,0)</f>
        <v>0</v>
      </c>
      <c r="I1332">
        <f>IF(AND(Table13[[#This Row],[Direction]]="R",(G1331+Table13[[#This Row],[Steps]])&gt;100),1,0)</f>
        <v>1</v>
      </c>
      <c r="J1332">
        <f>IF(Table13[[#This Row],[POS]]=0,1,0)</f>
        <v>0</v>
      </c>
      <c r="K1332">
        <f>SUM(Table13[[#This Row],[prefix]],Table13[[#This Row],[Past zero L]],Table13[[#This Row],[Past Zero R]],Table13[[#This Row],[Is Zero]])</f>
        <v>1</v>
      </c>
    </row>
    <row r="1333" spans="1:11" ht="16" x14ac:dyDescent="0.2">
      <c r="A1333" s="1" t="s">
        <v>91</v>
      </c>
      <c r="B1333" t="str">
        <f>LEFT(Table13[[#This Row],[Input]],1)</f>
        <v>L</v>
      </c>
      <c r="C1333">
        <f>_xlfn.LET(_xlpm.steps,SUBSTITUTE(Table13[[#This Row],[Input]],Table13[[#This Row],[Direction]],""),VALUE(IF(LEN(_xlpm.steps)&gt;2,RIGHT(_xlpm.steps,2),_xlpm.steps)))</f>
        <v>22</v>
      </c>
      <c r="D1333">
        <f>_xlfn.LET(_xlpm.steps,SUBSTITUTE(Table13[[#This Row],[Input]],Table13[[#This Row],[Direction]],""),VALUE(IF(LEN(_xlpm.steps)&gt;2,LEFT(_xlpm.steps,LEN(_xlpm.steps)-2),0)))</f>
        <v>0</v>
      </c>
      <c r="E1333">
        <f>_xlfn.LET(_xlpm.dir,Table13[[#This Row],[Direction]],
IF(_xlpm.dir="L",
    IF(G1332-Table13[[#This Row],[Steps]]&lt;0,100+(G1332-Table13[[#This Row],[Steps]]),G1332-Table13[[#This Row],[Steps]]),
))</f>
        <v>28</v>
      </c>
      <c r="F1333">
        <f>_xlfn.LET(_xlpm.dir,Table13[[#This Row],[Direction]],
IF(_xlpm.dir="R",
    IF(G1332+Table13[[#This Row],[Steps]]&gt;99,(G1332+Table13[[#This Row],[Steps]])-100,G1332+Table13[[#This Row],[Steps]]),
))</f>
        <v>0</v>
      </c>
      <c r="G1333">
        <f>IF(Table13[[#This Row],[New Pos L]]&lt;&gt;0,Table13[[#This Row],[New Pos L]],Table13[[#This Row],[New Pos R]])</f>
        <v>28</v>
      </c>
      <c r="H1333">
        <f>IF(AND(Table13[[#This Row],[Direction]]="L",Table13[[#This Row],[Steps]]&gt;G1332,G1332&lt;&gt;0),1,0)</f>
        <v>0</v>
      </c>
      <c r="I1333">
        <f>IF(AND(Table13[[#This Row],[Direction]]="R",(G1332+Table13[[#This Row],[Steps]])&gt;100),1,0)</f>
        <v>0</v>
      </c>
      <c r="J1333">
        <f>IF(Table13[[#This Row],[POS]]=0,1,0)</f>
        <v>0</v>
      </c>
      <c r="K1333">
        <f>SUM(Table13[[#This Row],[prefix]],Table13[[#This Row],[Past zero L]],Table13[[#This Row],[Past Zero R]],Table13[[#This Row],[Is Zero]])</f>
        <v>0</v>
      </c>
    </row>
    <row r="1334" spans="1:11" ht="16" x14ac:dyDescent="0.2">
      <c r="A1334" s="1" t="s">
        <v>357</v>
      </c>
      <c r="B1334" t="str">
        <f>LEFT(Table13[[#This Row],[Input]],1)</f>
        <v>R</v>
      </c>
      <c r="C1334">
        <f>_xlfn.LET(_xlpm.steps,SUBSTITUTE(Table13[[#This Row],[Input]],Table13[[#This Row],[Direction]],""),VALUE(IF(LEN(_xlpm.steps)&gt;2,RIGHT(_xlpm.steps,2),_xlpm.steps)))</f>
        <v>72</v>
      </c>
      <c r="D1334">
        <f>_xlfn.LET(_xlpm.steps,SUBSTITUTE(Table13[[#This Row],[Input]],Table13[[#This Row],[Direction]],""),VALUE(IF(LEN(_xlpm.steps)&gt;2,LEFT(_xlpm.steps,LEN(_xlpm.steps)-2),0)))</f>
        <v>0</v>
      </c>
      <c r="E1334">
        <f>_xlfn.LET(_xlpm.dir,Table13[[#This Row],[Direction]],
IF(_xlpm.dir="L",
    IF(G1333-Table13[[#This Row],[Steps]]&lt;0,100+(G1333-Table13[[#This Row],[Steps]]),G1333-Table13[[#This Row],[Steps]]),
))</f>
        <v>0</v>
      </c>
      <c r="F1334">
        <f>_xlfn.LET(_xlpm.dir,Table13[[#This Row],[Direction]],
IF(_xlpm.dir="R",
    IF(G1333+Table13[[#This Row],[Steps]]&gt;99,(G1333+Table13[[#This Row],[Steps]])-100,G1333+Table13[[#This Row],[Steps]]),
))</f>
        <v>0</v>
      </c>
      <c r="G1334">
        <f>IF(Table13[[#This Row],[New Pos L]]&lt;&gt;0,Table13[[#This Row],[New Pos L]],Table13[[#This Row],[New Pos R]])</f>
        <v>0</v>
      </c>
      <c r="H1334">
        <f>IF(AND(Table13[[#This Row],[Direction]]="L",Table13[[#This Row],[Steps]]&gt;G1333,G1333&lt;&gt;0),1,0)</f>
        <v>0</v>
      </c>
      <c r="I1334">
        <f>IF(AND(Table13[[#This Row],[Direction]]="R",(G1333+Table13[[#This Row],[Steps]])&gt;100),1,0)</f>
        <v>0</v>
      </c>
      <c r="J1334">
        <f>IF(Table13[[#This Row],[POS]]=0,1,0)</f>
        <v>1</v>
      </c>
      <c r="K1334">
        <f>SUM(Table13[[#This Row],[prefix]],Table13[[#This Row],[Past zero L]],Table13[[#This Row],[Past Zero R]],Table13[[#This Row],[Is Zero]])</f>
        <v>1</v>
      </c>
    </row>
    <row r="1335" spans="1:11" ht="16" x14ac:dyDescent="0.2">
      <c r="A1335" s="1" t="s">
        <v>415</v>
      </c>
      <c r="B1335" t="str">
        <f>LEFT(Table13[[#This Row],[Input]],1)</f>
        <v>L</v>
      </c>
      <c r="C1335">
        <f>_xlfn.LET(_xlpm.steps,SUBSTITUTE(Table13[[#This Row],[Input]],Table13[[#This Row],[Direction]],""),VALUE(IF(LEN(_xlpm.steps)&gt;2,RIGHT(_xlpm.steps,2),_xlpm.steps)))</f>
        <v>91</v>
      </c>
      <c r="D1335">
        <f>_xlfn.LET(_xlpm.steps,SUBSTITUTE(Table13[[#This Row],[Input]],Table13[[#This Row],[Direction]],""),VALUE(IF(LEN(_xlpm.steps)&gt;2,LEFT(_xlpm.steps,LEN(_xlpm.steps)-2),0)))</f>
        <v>5</v>
      </c>
      <c r="E1335">
        <f>_xlfn.LET(_xlpm.dir,Table13[[#This Row],[Direction]],
IF(_xlpm.dir="L",
    IF(G1334-Table13[[#This Row],[Steps]]&lt;0,100+(G1334-Table13[[#This Row],[Steps]]),G1334-Table13[[#This Row],[Steps]]),
))</f>
        <v>9</v>
      </c>
      <c r="F1335">
        <f>_xlfn.LET(_xlpm.dir,Table13[[#This Row],[Direction]],
IF(_xlpm.dir="R",
    IF(G1334+Table13[[#This Row],[Steps]]&gt;99,(G1334+Table13[[#This Row],[Steps]])-100,G1334+Table13[[#This Row],[Steps]]),
))</f>
        <v>0</v>
      </c>
      <c r="G1335">
        <f>IF(Table13[[#This Row],[New Pos L]]&lt;&gt;0,Table13[[#This Row],[New Pos L]],Table13[[#This Row],[New Pos R]])</f>
        <v>9</v>
      </c>
      <c r="H1335">
        <f>IF(AND(Table13[[#This Row],[Direction]]="L",Table13[[#This Row],[Steps]]&gt;G1334,G1334&lt;&gt;0),1,0)</f>
        <v>0</v>
      </c>
      <c r="I1335">
        <f>IF(AND(Table13[[#This Row],[Direction]]="R",(G1334+Table13[[#This Row],[Steps]])&gt;100),1,0)</f>
        <v>0</v>
      </c>
      <c r="J1335">
        <f>IF(Table13[[#This Row],[POS]]=0,1,0)</f>
        <v>0</v>
      </c>
      <c r="K1335">
        <f>SUM(Table13[[#This Row],[prefix]],Table13[[#This Row],[Past zero L]],Table13[[#This Row],[Past Zero R]],Table13[[#This Row],[Is Zero]])</f>
        <v>5</v>
      </c>
    </row>
    <row r="1336" spans="1:11" ht="16" x14ac:dyDescent="0.2">
      <c r="A1336" s="1" t="s">
        <v>295</v>
      </c>
      <c r="B1336" t="str">
        <f>LEFT(Table13[[#This Row],[Input]],1)</f>
        <v>L</v>
      </c>
      <c r="C1336">
        <f>_xlfn.LET(_xlpm.steps,SUBSTITUTE(Table13[[#This Row],[Input]],Table13[[#This Row],[Direction]],""),VALUE(IF(LEN(_xlpm.steps)&gt;2,RIGHT(_xlpm.steps,2),_xlpm.steps)))</f>
        <v>88</v>
      </c>
      <c r="D1336">
        <f>_xlfn.LET(_xlpm.steps,SUBSTITUTE(Table13[[#This Row],[Input]],Table13[[#This Row],[Direction]],""),VALUE(IF(LEN(_xlpm.steps)&gt;2,LEFT(_xlpm.steps,LEN(_xlpm.steps)-2),0)))</f>
        <v>0</v>
      </c>
      <c r="E1336">
        <f>_xlfn.LET(_xlpm.dir,Table13[[#This Row],[Direction]],
IF(_xlpm.dir="L",
    IF(G1335-Table13[[#This Row],[Steps]]&lt;0,100+(G1335-Table13[[#This Row],[Steps]]),G1335-Table13[[#This Row],[Steps]]),
))</f>
        <v>21</v>
      </c>
      <c r="F1336">
        <f>_xlfn.LET(_xlpm.dir,Table13[[#This Row],[Direction]],
IF(_xlpm.dir="R",
    IF(G1335+Table13[[#This Row],[Steps]]&gt;99,(G1335+Table13[[#This Row],[Steps]])-100,G1335+Table13[[#This Row],[Steps]]),
))</f>
        <v>0</v>
      </c>
      <c r="G1336">
        <f>IF(Table13[[#This Row],[New Pos L]]&lt;&gt;0,Table13[[#This Row],[New Pos L]],Table13[[#This Row],[New Pos R]])</f>
        <v>21</v>
      </c>
      <c r="H1336">
        <f>IF(AND(Table13[[#This Row],[Direction]]="L",Table13[[#This Row],[Steps]]&gt;G1335,G1335&lt;&gt;0),1,0)</f>
        <v>1</v>
      </c>
      <c r="I1336">
        <f>IF(AND(Table13[[#This Row],[Direction]]="R",(G1335+Table13[[#This Row],[Steps]])&gt;100),1,0)</f>
        <v>0</v>
      </c>
      <c r="J1336">
        <f>IF(Table13[[#This Row],[POS]]=0,1,0)</f>
        <v>0</v>
      </c>
      <c r="K1336">
        <f>SUM(Table13[[#This Row],[prefix]],Table13[[#This Row],[Past zero L]],Table13[[#This Row],[Past Zero R]],Table13[[#This Row],[Is Zero]])</f>
        <v>1</v>
      </c>
    </row>
    <row r="1337" spans="1:11" ht="16" x14ac:dyDescent="0.2">
      <c r="A1337" s="1" t="s">
        <v>404</v>
      </c>
      <c r="B1337" t="str">
        <f>LEFT(Table13[[#This Row],[Input]],1)</f>
        <v>R</v>
      </c>
      <c r="C1337">
        <f>_xlfn.LET(_xlpm.steps,SUBSTITUTE(Table13[[#This Row],[Input]],Table13[[#This Row],[Direction]],""),VALUE(IF(LEN(_xlpm.steps)&gt;2,RIGHT(_xlpm.steps,2),_xlpm.steps)))</f>
        <v>13</v>
      </c>
      <c r="D1337">
        <f>_xlfn.LET(_xlpm.steps,SUBSTITUTE(Table13[[#This Row],[Input]],Table13[[#This Row],[Direction]],""),VALUE(IF(LEN(_xlpm.steps)&gt;2,LEFT(_xlpm.steps,LEN(_xlpm.steps)-2),0)))</f>
        <v>3</v>
      </c>
      <c r="E1337">
        <f>_xlfn.LET(_xlpm.dir,Table13[[#This Row],[Direction]],
IF(_xlpm.dir="L",
    IF(G1336-Table13[[#This Row],[Steps]]&lt;0,100+(G1336-Table13[[#This Row],[Steps]]),G1336-Table13[[#This Row],[Steps]]),
))</f>
        <v>0</v>
      </c>
      <c r="F1337">
        <f>_xlfn.LET(_xlpm.dir,Table13[[#This Row],[Direction]],
IF(_xlpm.dir="R",
    IF(G1336+Table13[[#This Row],[Steps]]&gt;99,(G1336+Table13[[#This Row],[Steps]])-100,G1336+Table13[[#This Row],[Steps]]),
))</f>
        <v>34</v>
      </c>
      <c r="G1337">
        <f>IF(Table13[[#This Row],[New Pos L]]&lt;&gt;0,Table13[[#This Row],[New Pos L]],Table13[[#This Row],[New Pos R]])</f>
        <v>34</v>
      </c>
      <c r="H1337">
        <f>IF(AND(Table13[[#This Row],[Direction]]="L",Table13[[#This Row],[Steps]]&gt;G1336,G1336&lt;&gt;0),1,0)</f>
        <v>0</v>
      </c>
      <c r="I1337">
        <f>IF(AND(Table13[[#This Row],[Direction]]="R",(G1336+Table13[[#This Row],[Steps]])&gt;100),1,0)</f>
        <v>0</v>
      </c>
      <c r="J1337">
        <f>IF(Table13[[#This Row],[POS]]=0,1,0)</f>
        <v>0</v>
      </c>
      <c r="K1337">
        <f>SUM(Table13[[#This Row],[prefix]],Table13[[#This Row],[Past zero L]],Table13[[#This Row],[Past Zero R]],Table13[[#This Row],[Is Zero]])</f>
        <v>3</v>
      </c>
    </row>
    <row r="1338" spans="1:11" ht="16" x14ac:dyDescent="0.2">
      <c r="A1338" s="1" t="s">
        <v>17</v>
      </c>
      <c r="B1338" t="str">
        <f>LEFT(Table13[[#This Row],[Input]],1)</f>
        <v>L</v>
      </c>
      <c r="C1338">
        <f>_xlfn.LET(_xlpm.steps,SUBSTITUTE(Table13[[#This Row],[Input]],Table13[[#This Row],[Direction]],""),VALUE(IF(LEN(_xlpm.steps)&gt;2,RIGHT(_xlpm.steps,2),_xlpm.steps)))</f>
        <v>50</v>
      </c>
      <c r="D1338">
        <f>_xlfn.LET(_xlpm.steps,SUBSTITUTE(Table13[[#This Row],[Input]],Table13[[#This Row],[Direction]],""),VALUE(IF(LEN(_xlpm.steps)&gt;2,LEFT(_xlpm.steps,LEN(_xlpm.steps)-2),0)))</f>
        <v>0</v>
      </c>
      <c r="E1338">
        <f>_xlfn.LET(_xlpm.dir,Table13[[#This Row],[Direction]],
IF(_xlpm.dir="L",
    IF(G1337-Table13[[#This Row],[Steps]]&lt;0,100+(G1337-Table13[[#This Row],[Steps]]),G1337-Table13[[#This Row],[Steps]]),
))</f>
        <v>84</v>
      </c>
      <c r="F1338">
        <f>_xlfn.LET(_xlpm.dir,Table13[[#This Row],[Direction]],
IF(_xlpm.dir="R",
    IF(G1337+Table13[[#This Row],[Steps]]&gt;99,(G1337+Table13[[#This Row],[Steps]])-100,G1337+Table13[[#This Row],[Steps]]),
))</f>
        <v>0</v>
      </c>
      <c r="G1338">
        <f>IF(Table13[[#This Row],[New Pos L]]&lt;&gt;0,Table13[[#This Row],[New Pos L]],Table13[[#This Row],[New Pos R]])</f>
        <v>84</v>
      </c>
      <c r="H1338">
        <f>IF(AND(Table13[[#This Row],[Direction]]="L",Table13[[#This Row],[Steps]]&gt;G1337,G1337&lt;&gt;0),1,0)</f>
        <v>1</v>
      </c>
      <c r="I1338">
        <f>IF(AND(Table13[[#This Row],[Direction]]="R",(G1337+Table13[[#This Row],[Steps]])&gt;100),1,0)</f>
        <v>0</v>
      </c>
      <c r="J1338">
        <f>IF(Table13[[#This Row],[POS]]=0,1,0)</f>
        <v>0</v>
      </c>
      <c r="K1338">
        <f>SUM(Table13[[#This Row],[prefix]],Table13[[#This Row],[Past zero L]],Table13[[#This Row],[Past Zero R]],Table13[[#This Row],[Is Zero]])</f>
        <v>1</v>
      </c>
    </row>
    <row r="1339" spans="1:11" ht="16" x14ac:dyDescent="0.2">
      <c r="A1339" s="1" t="s">
        <v>379</v>
      </c>
      <c r="B1339" t="str">
        <f>LEFT(Table13[[#This Row],[Input]],1)</f>
        <v>L</v>
      </c>
      <c r="C1339">
        <f>_xlfn.LET(_xlpm.steps,SUBSTITUTE(Table13[[#This Row],[Input]],Table13[[#This Row],[Direction]],""),VALUE(IF(LEN(_xlpm.steps)&gt;2,RIGHT(_xlpm.steps,2),_xlpm.steps)))</f>
        <v>4</v>
      </c>
      <c r="D1339">
        <f>_xlfn.LET(_xlpm.steps,SUBSTITUTE(Table13[[#This Row],[Input]],Table13[[#This Row],[Direction]],""),VALUE(IF(LEN(_xlpm.steps)&gt;2,LEFT(_xlpm.steps,LEN(_xlpm.steps)-2),0)))</f>
        <v>0</v>
      </c>
      <c r="E1339">
        <f>_xlfn.LET(_xlpm.dir,Table13[[#This Row],[Direction]],
IF(_xlpm.dir="L",
    IF(G1338-Table13[[#This Row],[Steps]]&lt;0,100+(G1338-Table13[[#This Row],[Steps]]),G1338-Table13[[#This Row],[Steps]]),
))</f>
        <v>80</v>
      </c>
      <c r="F1339">
        <f>_xlfn.LET(_xlpm.dir,Table13[[#This Row],[Direction]],
IF(_xlpm.dir="R",
    IF(G1338+Table13[[#This Row],[Steps]]&gt;99,(G1338+Table13[[#This Row],[Steps]])-100,G1338+Table13[[#This Row],[Steps]]),
))</f>
        <v>0</v>
      </c>
      <c r="G1339">
        <f>IF(Table13[[#This Row],[New Pos L]]&lt;&gt;0,Table13[[#This Row],[New Pos L]],Table13[[#This Row],[New Pos R]])</f>
        <v>80</v>
      </c>
      <c r="H1339">
        <f>IF(AND(Table13[[#This Row],[Direction]]="L",Table13[[#This Row],[Steps]]&gt;G1338,G1338&lt;&gt;0),1,0)</f>
        <v>0</v>
      </c>
      <c r="I1339">
        <f>IF(AND(Table13[[#This Row],[Direction]]="R",(G1338+Table13[[#This Row],[Steps]])&gt;100),1,0)</f>
        <v>0</v>
      </c>
      <c r="J1339">
        <f>IF(Table13[[#This Row],[POS]]=0,1,0)</f>
        <v>0</v>
      </c>
      <c r="K1339">
        <f>SUM(Table13[[#This Row],[prefix]],Table13[[#This Row],[Past zero L]],Table13[[#This Row],[Past Zero R]],Table13[[#This Row],[Is Zero]])</f>
        <v>0</v>
      </c>
    </row>
    <row r="1340" spans="1:11" ht="16" x14ac:dyDescent="0.2">
      <c r="A1340" s="1" t="s">
        <v>68</v>
      </c>
      <c r="B1340" t="str">
        <f>LEFT(Table13[[#This Row],[Input]],1)</f>
        <v>L</v>
      </c>
      <c r="C1340">
        <f>_xlfn.LET(_xlpm.steps,SUBSTITUTE(Table13[[#This Row],[Input]],Table13[[#This Row],[Direction]],""),VALUE(IF(LEN(_xlpm.steps)&gt;2,RIGHT(_xlpm.steps,2),_xlpm.steps)))</f>
        <v>80</v>
      </c>
      <c r="D1340">
        <f>_xlfn.LET(_xlpm.steps,SUBSTITUTE(Table13[[#This Row],[Input]],Table13[[#This Row],[Direction]],""),VALUE(IF(LEN(_xlpm.steps)&gt;2,LEFT(_xlpm.steps,LEN(_xlpm.steps)-2),0)))</f>
        <v>0</v>
      </c>
      <c r="E1340">
        <f>_xlfn.LET(_xlpm.dir,Table13[[#This Row],[Direction]],
IF(_xlpm.dir="L",
    IF(G1339-Table13[[#This Row],[Steps]]&lt;0,100+(G1339-Table13[[#This Row],[Steps]]),G1339-Table13[[#This Row],[Steps]]),
))</f>
        <v>0</v>
      </c>
      <c r="F1340">
        <f>_xlfn.LET(_xlpm.dir,Table13[[#This Row],[Direction]],
IF(_xlpm.dir="R",
    IF(G1339+Table13[[#This Row],[Steps]]&gt;99,(G1339+Table13[[#This Row],[Steps]])-100,G1339+Table13[[#This Row],[Steps]]),
))</f>
        <v>0</v>
      </c>
      <c r="G1340">
        <f>IF(Table13[[#This Row],[New Pos L]]&lt;&gt;0,Table13[[#This Row],[New Pos L]],Table13[[#This Row],[New Pos R]])</f>
        <v>0</v>
      </c>
      <c r="H1340">
        <f>IF(AND(Table13[[#This Row],[Direction]]="L",Table13[[#This Row],[Steps]]&gt;G1339,G1339&lt;&gt;0),1,0)</f>
        <v>0</v>
      </c>
      <c r="I1340">
        <f>IF(AND(Table13[[#This Row],[Direction]]="R",(G1339+Table13[[#This Row],[Steps]])&gt;100),1,0)</f>
        <v>0</v>
      </c>
      <c r="J1340">
        <f>IF(Table13[[#This Row],[POS]]=0,1,0)</f>
        <v>1</v>
      </c>
      <c r="K1340">
        <f>SUM(Table13[[#This Row],[prefix]],Table13[[#This Row],[Past zero L]],Table13[[#This Row],[Past Zero R]],Table13[[#This Row],[Is Zero]])</f>
        <v>1</v>
      </c>
    </row>
    <row r="1341" spans="1:11" ht="16" x14ac:dyDescent="0.2">
      <c r="A1341" s="1" t="s">
        <v>416</v>
      </c>
      <c r="B1341" t="str">
        <f>LEFT(Table13[[#This Row],[Input]],1)</f>
        <v>R</v>
      </c>
      <c r="C1341">
        <f>_xlfn.LET(_xlpm.steps,SUBSTITUTE(Table13[[#This Row],[Input]],Table13[[#This Row],[Direction]],""),VALUE(IF(LEN(_xlpm.steps)&gt;2,RIGHT(_xlpm.steps,2),_xlpm.steps)))</f>
        <v>94</v>
      </c>
      <c r="D1341">
        <f>_xlfn.LET(_xlpm.steps,SUBSTITUTE(Table13[[#This Row],[Input]],Table13[[#This Row],[Direction]],""),VALUE(IF(LEN(_xlpm.steps)&gt;2,LEFT(_xlpm.steps,LEN(_xlpm.steps)-2),0)))</f>
        <v>4</v>
      </c>
      <c r="E1341">
        <f>_xlfn.LET(_xlpm.dir,Table13[[#This Row],[Direction]],
IF(_xlpm.dir="L",
    IF(G1340-Table13[[#This Row],[Steps]]&lt;0,100+(G1340-Table13[[#This Row],[Steps]]),G1340-Table13[[#This Row],[Steps]]),
))</f>
        <v>0</v>
      </c>
      <c r="F1341">
        <f>_xlfn.LET(_xlpm.dir,Table13[[#This Row],[Direction]],
IF(_xlpm.dir="R",
    IF(G1340+Table13[[#This Row],[Steps]]&gt;99,(G1340+Table13[[#This Row],[Steps]])-100,G1340+Table13[[#This Row],[Steps]]),
))</f>
        <v>94</v>
      </c>
      <c r="G1341">
        <f>IF(Table13[[#This Row],[New Pos L]]&lt;&gt;0,Table13[[#This Row],[New Pos L]],Table13[[#This Row],[New Pos R]])</f>
        <v>94</v>
      </c>
      <c r="H1341">
        <f>IF(AND(Table13[[#This Row],[Direction]]="L",Table13[[#This Row],[Steps]]&gt;G1340,G1340&lt;&gt;0),1,0)</f>
        <v>0</v>
      </c>
      <c r="I1341">
        <f>IF(AND(Table13[[#This Row],[Direction]]="R",(G1340+Table13[[#This Row],[Steps]])&gt;100),1,0)</f>
        <v>0</v>
      </c>
      <c r="J1341">
        <f>IF(Table13[[#This Row],[POS]]=0,1,0)</f>
        <v>0</v>
      </c>
      <c r="K1341">
        <f>SUM(Table13[[#This Row],[prefix]],Table13[[#This Row],[Past zero L]],Table13[[#This Row],[Past Zero R]],Table13[[#This Row],[Is Zero]])</f>
        <v>4</v>
      </c>
    </row>
    <row r="1342" spans="1:11" ht="16" x14ac:dyDescent="0.2">
      <c r="A1342" s="1" t="s">
        <v>417</v>
      </c>
      <c r="B1342" t="str">
        <f>LEFT(Table13[[#This Row],[Input]],1)</f>
        <v>R</v>
      </c>
      <c r="C1342">
        <f>_xlfn.LET(_xlpm.steps,SUBSTITUTE(Table13[[#This Row],[Input]],Table13[[#This Row],[Direction]],""),VALUE(IF(LEN(_xlpm.steps)&gt;2,RIGHT(_xlpm.steps,2),_xlpm.steps)))</f>
        <v>5</v>
      </c>
      <c r="D1342">
        <f>_xlfn.LET(_xlpm.steps,SUBSTITUTE(Table13[[#This Row],[Input]],Table13[[#This Row],[Direction]],""),VALUE(IF(LEN(_xlpm.steps)&gt;2,LEFT(_xlpm.steps,LEN(_xlpm.steps)-2),0)))</f>
        <v>1</v>
      </c>
      <c r="E1342">
        <f>_xlfn.LET(_xlpm.dir,Table13[[#This Row],[Direction]],
IF(_xlpm.dir="L",
    IF(G1341-Table13[[#This Row],[Steps]]&lt;0,100+(G1341-Table13[[#This Row],[Steps]]),G1341-Table13[[#This Row],[Steps]]),
))</f>
        <v>0</v>
      </c>
      <c r="F1342">
        <f>_xlfn.LET(_xlpm.dir,Table13[[#This Row],[Direction]],
IF(_xlpm.dir="R",
    IF(G1341+Table13[[#This Row],[Steps]]&gt;99,(G1341+Table13[[#This Row],[Steps]])-100,G1341+Table13[[#This Row],[Steps]]),
))</f>
        <v>99</v>
      </c>
      <c r="G1342">
        <f>IF(Table13[[#This Row],[New Pos L]]&lt;&gt;0,Table13[[#This Row],[New Pos L]],Table13[[#This Row],[New Pos R]])</f>
        <v>99</v>
      </c>
      <c r="H1342">
        <f>IF(AND(Table13[[#This Row],[Direction]]="L",Table13[[#This Row],[Steps]]&gt;G1341,G1341&lt;&gt;0),1,0)</f>
        <v>0</v>
      </c>
      <c r="I1342">
        <f>IF(AND(Table13[[#This Row],[Direction]]="R",(G1341+Table13[[#This Row],[Steps]])&gt;100),1,0)</f>
        <v>0</v>
      </c>
      <c r="J1342">
        <f>IF(Table13[[#This Row],[POS]]=0,1,0)</f>
        <v>0</v>
      </c>
      <c r="K1342">
        <f>SUM(Table13[[#This Row],[prefix]],Table13[[#This Row],[Past zero L]],Table13[[#This Row],[Past Zero R]],Table13[[#This Row],[Is Zero]])</f>
        <v>1</v>
      </c>
    </row>
    <row r="1343" spans="1:11" ht="16" x14ac:dyDescent="0.2">
      <c r="A1343" s="1" t="s">
        <v>418</v>
      </c>
      <c r="B1343" t="str">
        <f>LEFT(Table13[[#This Row],[Input]],1)</f>
        <v>L</v>
      </c>
      <c r="C1343">
        <f>_xlfn.LET(_xlpm.steps,SUBSTITUTE(Table13[[#This Row],[Input]],Table13[[#This Row],[Direction]],""),VALUE(IF(LEN(_xlpm.steps)&gt;2,RIGHT(_xlpm.steps,2),_xlpm.steps)))</f>
        <v>64</v>
      </c>
      <c r="D1343">
        <f>_xlfn.LET(_xlpm.steps,SUBSTITUTE(Table13[[#This Row],[Input]],Table13[[#This Row],[Direction]],""),VALUE(IF(LEN(_xlpm.steps)&gt;2,LEFT(_xlpm.steps,LEN(_xlpm.steps)-2),0)))</f>
        <v>5</v>
      </c>
      <c r="E1343">
        <f>_xlfn.LET(_xlpm.dir,Table13[[#This Row],[Direction]],
IF(_xlpm.dir="L",
    IF(G1342-Table13[[#This Row],[Steps]]&lt;0,100+(G1342-Table13[[#This Row],[Steps]]),G1342-Table13[[#This Row],[Steps]]),
))</f>
        <v>35</v>
      </c>
      <c r="F1343">
        <f>_xlfn.LET(_xlpm.dir,Table13[[#This Row],[Direction]],
IF(_xlpm.dir="R",
    IF(G1342+Table13[[#This Row],[Steps]]&gt;99,(G1342+Table13[[#This Row],[Steps]])-100,G1342+Table13[[#This Row],[Steps]]),
))</f>
        <v>0</v>
      </c>
      <c r="G1343">
        <f>IF(Table13[[#This Row],[New Pos L]]&lt;&gt;0,Table13[[#This Row],[New Pos L]],Table13[[#This Row],[New Pos R]])</f>
        <v>35</v>
      </c>
      <c r="H1343">
        <f>IF(AND(Table13[[#This Row],[Direction]]="L",Table13[[#This Row],[Steps]]&gt;G1342,G1342&lt;&gt;0),1,0)</f>
        <v>0</v>
      </c>
      <c r="I1343">
        <f>IF(AND(Table13[[#This Row],[Direction]]="R",(G1342+Table13[[#This Row],[Steps]])&gt;100),1,0)</f>
        <v>0</v>
      </c>
      <c r="J1343">
        <f>IF(Table13[[#This Row],[POS]]=0,1,0)</f>
        <v>0</v>
      </c>
      <c r="K1343">
        <f>SUM(Table13[[#This Row],[prefix]],Table13[[#This Row],[Past zero L]],Table13[[#This Row],[Past Zero R]],Table13[[#This Row],[Is Zero]])</f>
        <v>5</v>
      </c>
    </row>
    <row r="1344" spans="1:11" ht="16" x14ac:dyDescent="0.2">
      <c r="A1344" s="1" t="s">
        <v>40</v>
      </c>
      <c r="B1344" t="str">
        <f>LEFT(Table13[[#This Row],[Input]],1)</f>
        <v>R</v>
      </c>
      <c r="C1344">
        <f>_xlfn.LET(_xlpm.steps,SUBSTITUTE(Table13[[#This Row],[Input]],Table13[[#This Row],[Direction]],""),VALUE(IF(LEN(_xlpm.steps)&gt;2,RIGHT(_xlpm.steps,2),_xlpm.steps)))</f>
        <v>52</v>
      </c>
      <c r="D1344">
        <f>_xlfn.LET(_xlpm.steps,SUBSTITUTE(Table13[[#This Row],[Input]],Table13[[#This Row],[Direction]],""),VALUE(IF(LEN(_xlpm.steps)&gt;2,LEFT(_xlpm.steps,LEN(_xlpm.steps)-2),0)))</f>
        <v>0</v>
      </c>
      <c r="E1344">
        <f>_xlfn.LET(_xlpm.dir,Table13[[#This Row],[Direction]],
IF(_xlpm.dir="L",
    IF(G1343-Table13[[#This Row],[Steps]]&lt;0,100+(G1343-Table13[[#This Row],[Steps]]),G1343-Table13[[#This Row],[Steps]]),
))</f>
        <v>0</v>
      </c>
      <c r="F1344">
        <f>_xlfn.LET(_xlpm.dir,Table13[[#This Row],[Direction]],
IF(_xlpm.dir="R",
    IF(G1343+Table13[[#This Row],[Steps]]&gt;99,(G1343+Table13[[#This Row],[Steps]])-100,G1343+Table13[[#This Row],[Steps]]),
))</f>
        <v>87</v>
      </c>
      <c r="G1344">
        <f>IF(Table13[[#This Row],[New Pos L]]&lt;&gt;0,Table13[[#This Row],[New Pos L]],Table13[[#This Row],[New Pos R]])</f>
        <v>87</v>
      </c>
      <c r="H1344">
        <f>IF(AND(Table13[[#This Row],[Direction]]="L",Table13[[#This Row],[Steps]]&gt;G1343,G1343&lt;&gt;0),1,0)</f>
        <v>0</v>
      </c>
      <c r="I1344">
        <f>IF(AND(Table13[[#This Row],[Direction]]="R",(G1343+Table13[[#This Row],[Steps]])&gt;100),1,0)</f>
        <v>0</v>
      </c>
      <c r="J1344">
        <f>IF(Table13[[#This Row],[POS]]=0,1,0)</f>
        <v>0</v>
      </c>
      <c r="K1344">
        <f>SUM(Table13[[#This Row],[prefix]],Table13[[#This Row],[Past zero L]],Table13[[#This Row],[Past Zero R]],Table13[[#This Row],[Is Zero]])</f>
        <v>0</v>
      </c>
    </row>
    <row r="1345" spans="1:11" ht="16" x14ac:dyDescent="0.2">
      <c r="A1345" s="1" t="s">
        <v>223</v>
      </c>
      <c r="B1345" t="str">
        <f>LEFT(Table13[[#This Row],[Input]],1)</f>
        <v>L</v>
      </c>
      <c r="C1345">
        <f>_xlfn.LET(_xlpm.steps,SUBSTITUTE(Table13[[#This Row],[Input]],Table13[[#This Row],[Direction]],""),VALUE(IF(LEN(_xlpm.steps)&gt;2,RIGHT(_xlpm.steps,2),_xlpm.steps)))</f>
        <v>87</v>
      </c>
      <c r="D1345">
        <f>_xlfn.LET(_xlpm.steps,SUBSTITUTE(Table13[[#This Row],[Input]],Table13[[#This Row],[Direction]],""),VALUE(IF(LEN(_xlpm.steps)&gt;2,LEFT(_xlpm.steps,LEN(_xlpm.steps)-2),0)))</f>
        <v>0</v>
      </c>
      <c r="E1345">
        <f>_xlfn.LET(_xlpm.dir,Table13[[#This Row],[Direction]],
IF(_xlpm.dir="L",
    IF(G1344-Table13[[#This Row],[Steps]]&lt;0,100+(G1344-Table13[[#This Row],[Steps]]),G1344-Table13[[#This Row],[Steps]]),
))</f>
        <v>0</v>
      </c>
      <c r="F1345">
        <f>_xlfn.LET(_xlpm.dir,Table13[[#This Row],[Direction]],
IF(_xlpm.dir="R",
    IF(G1344+Table13[[#This Row],[Steps]]&gt;99,(G1344+Table13[[#This Row],[Steps]])-100,G1344+Table13[[#This Row],[Steps]]),
))</f>
        <v>0</v>
      </c>
      <c r="G1345">
        <f>IF(Table13[[#This Row],[New Pos L]]&lt;&gt;0,Table13[[#This Row],[New Pos L]],Table13[[#This Row],[New Pos R]])</f>
        <v>0</v>
      </c>
      <c r="H1345">
        <f>IF(AND(Table13[[#This Row],[Direction]]="L",Table13[[#This Row],[Steps]]&gt;G1344,G1344&lt;&gt;0),1,0)</f>
        <v>0</v>
      </c>
      <c r="I1345">
        <f>IF(AND(Table13[[#This Row],[Direction]]="R",(G1344+Table13[[#This Row],[Steps]])&gt;100),1,0)</f>
        <v>0</v>
      </c>
      <c r="J1345">
        <f>IF(Table13[[#This Row],[POS]]=0,1,0)</f>
        <v>1</v>
      </c>
      <c r="K1345">
        <f>SUM(Table13[[#This Row],[prefix]],Table13[[#This Row],[Past zero L]],Table13[[#This Row],[Past Zero R]],Table13[[#This Row],[Is Zero]])</f>
        <v>1</v>
      </c>
    </row>
    <row r="1346" spans="1:11" ht="16" x14ac:dyDescent="0.2">
      <c r="A1346" s="1" t="s">
        <v>37</v>
      </c>
      <c r="B1346" t="str">
        <f>LEFT(Table13[[#This Row],[Input]],1)</f>
        <v>L</v>
      </c>
      <c r="C1346">
        <f>_xlfn.LET(_xlpm.steps,SUBSTITUTE(Table13[[#This Row],[Input]],Table13[[#This Row],[Direction]],""),VALUE(IF(LEN(_xlpm.steps)&gt;2,RIGHT(_xlpm.steps,2),_xlpm.steps)))</f>
        <v>42</v>
      </c>
      <c r="D1346">
        <f>_xlfn.LET(_xlpm.steps,SUBSTITUTE(Table13[[#This Row],[Input]],Table13[[#This Row],[Direction]],""),VALUE(IF(LEN(_xlpm.steps)&gt;2,LEFT(_xlpm.steps,LEN(_xlpm.steps)-2),0)))</f>
        <v>0</v>
      </c>
      <c r="E1346">
        <f>_xlfn.LET(_xlpm.dir,Table13[[#This Row],[Direction]],
IF(_xlpm.dir="L",
    IF(G1345-Table13[[#This Row],[Steps]]&lt;0,100+(G1345-Table13[[#This Row],[Steps]]),G1345-Table13[[#This Row],[Steps]]),
))</f>
        <v>58</v>
      </c>
      <c r="F1346">
        <f>_xlfn.LET(_xlpm.dir,Table13[[#This Row],[Direction]],
IF(_xlpm.dir="R",
    IF(G1345+Table13[[#This Row],[Steps]]&gt;99,(G1345+Table13[[#This Row],[Steps]])-100,G1345+Table13[[#This Row],[Steps]]),
))</f>
        <v>0</v>
      </c>
      <c r="G1346">
        <f>IF(Table13[[#This Row],[New Pos L]]&lt;&gt;0,Table13[[#This Row],[New Pos L]],Table13[[#This Row],[New Pos R]])</f>
        <v>58</v>
      </c>
      <c r="H1346">
        <f>IF(AND(Table13[[#This Row],[Direction]]="L",Table13[[#This Row],[Steps]]&gt;G1345,G1345&lt;&gt;0),1,0)</f>
        <v>0</v>
      </c>
      <c r="I1346">
        <f>IF(AND(Table13[[#This Row],[Direction]]="R",(G1345+Table13[[#This Row],[Steps]])&gt;100),1,0)</f>
        <v>0</v>
      </c>
      <c r="J1346">
        <f>IF(Table13[[#This Row],[POS]]=0,1,0)</f>
        <v>0</v>
      </c>
      <c r="K1346">
        <f>SUM(Table13[[#This Row],[prefix]],Table13[[#This Row],[Past zero L]],Table13[[#This Row],[Past Zero R]],Table13[[#This Row],[Is Zero]])</f>
        <v>0</v>
      </c>
    </row>
    <row r="1347" spans="1:11" ht="16" x14ac:dyDescent="0.2">
      <c r="A1347" s="1" t="s">
        <v>254</v>
      </c>
      <c r="B1347" t="str">
        <f>LEFT(Table13[[#This Row],[Input]],1)</f>
        <v>R</v>
      </c>
      <c r="C1347">
        <f>_xlfn.LET(_xlpm.steps,SUBSTITUTE(Table13[[#This Row],[Input]],Table13[[#This Row],[Direction]],""),VALUE(IF(LEN(_xlpm.steps)&gt;2,RIGHT(_xlpm.steps,2),_xlpm.steps)))</f>
        <v>84</v>
      </c>
      <c r="D1347">
        <f>_xlfn.LET(_xlpm.steps,SUBSTITUTE(Table13[[#This Row],[Input]],Table13[[#This Row],[Direction]],""),VALUE(IF(LEN(_xlpm.steps)&gt;2,LEFT(_xlpm.steps,LEN(_xlpm.steps)-2),0)))</f>
        <v>0</v>
      </c>
      <c r="E1347">
        <f>_xlfn.LET(_xlpm.dir,Table13[[#This Row],[Direction]],
IF(_xlpm.dir="L",
    IF(G1346-Table13[[#This Row],[Steps]]&lt;0,100+(G1346-Table13[[#This Row],[Steps]]),G1346-Table13[[#This Row],[Steps]]),
))</f>
        <v>0</v>
      </c>
      <c r="F1347">
        <f>_xlfn.LET(_xlpm.dir,Table13[[#This Row],[Direction]],
IF(_xlpm.dir="R",
    IF(G1346+Table13[[#This Row],[Steps]]&gt;99,(G1346+Table13[[#This Row],[Steps]])-100,G1346+Table13[[#This Row],[Steps]]),
))</f>
        <v>42</v>
      </c>
      <c r="G1347">
        <f>IF(Table13[[#This Row],[New Pos L]]&lt;&gt;0,Table13[[#This Row],[New Pos L]],Table13[[#This Row],[New Pos R]])</f>
        <v>42</v>
      </c>
      <c r="H1347">
        <f>IF(AND(Table13[[#This Row],[Direction]]="L",Table13[[#This Row],[Steps]]&gt;G1346,G1346&lt;&gt;0),1,0)</f>
        <v>0</v>
      </c>
      <c r="I1347">
        <f>IF(AND(Table13[[#This Row],[Direction]]="R",(G1346+Table13[[#This Row],[Steps]])&gt;100),1,0)</f>
        <v>1</v>
      </c>
      <c r="J1347">
        <f>IF(Table13[[#This Row],[POS]]=0,1,0)</f>
        <v>0</v>
      </c>
      <c r="K1347">
        <f>SUM(Table13[[#This Row],[prefix]],Table13[[#This Row],[Past zero L]],Table13[[#This Row],[Past Zero R]],Table13[[#This Row],[Is Zero]])</f>
        <v>1</v>
      </c>
    </row>
    <row r="1348" spans="1:11" ht="16" x14ac:dyDescent="0.2">
      <c r="A1348" s="1" t="s">
        <v>37</v>
      </c>
      <c r="B1348" t="str">
        <f>LEFT(Table13[[#This Row],[Input]],1)</f>
        <v>L</v>
      </c>
      <c r="C1348">
        <f>_xlfn.LET(_xlpm.steps,SUBSTITUTE(Table13[[#This Row],[Input]],Table13[[#This Row],[Direction]],""),VALUE(IF(LEN(_xlpm.steps)&gt;2,RIGHT(_xlpm.steps,2),_xlpm.steps)))</f>
        <v>42</v>
      </c>
      <c r="D1348">
        <f>_xlfn.LET(_xlpm.steps,SUBSTITUTE(Table13[[#This Row],[Input]],Table13[[#This Row],[Direction]],""),VALUE(IF(LEN(_xlpm.steps)&gt;2,LEFT(_xlpm.steps,LEN(_xlpm.steps)-2),0)))</f>
        <v>0</v>
      </c>
      <c r="E1348">
        <f>_xlfn.LET(_xlpm.dir,Table13[[#This Row],[Direction]],
IF(_xlpm.dir="L",
    IF(G1347-Table13[[#This Row],[Steps]]&lt;0,100+(G1347-Table13[[#This Row],[Steps]]),G1347-Table13[[#This Row],[Steps]]),
))</f>
        <v>0</v>
      </c>
      <c r="F1348">
        <f>_xlfn.LET(_xlpm.dir,Table13[[#This Row],[Direction]],
IF(_xlpm.dir="R",
    IF(G1347+Table13[[#This Row],[Steps]]&gt;99,(G1347+Table13[[#This Row],[Steps]])-100,G1347+Table13[[#This Row],[Steps]]),
))</f>
        <v>0</v>
      </c>
      <c r="G1348">
        <f>IF(Table13[[#This Row],[New Pos L]]&lt;&gt;0,Table13[[#This Row],[New Pos L]],Table13[[#This Row],[New Pos R]])</f>
        <v>0</v>
      </c>
      <c r="H1348">
        <f>IF(AND(Table13[[#This Row],[Direction]]="L",Table13[[#This Row],[Steps]]&gt;G1347,G1347&lt;&gt;0),1,0)</f>
        <v>0</v>
      </c>
      <c r="I1348">
        <f>IF(AND(Table13[[#This Row],[Direction]]="R",(G1347+Table13[[#This Row],[Steps]])&gt;100),1,0)</f>
        <v>0</v>
      </c>
      <c r="J1348">
        <f>IF(Table13[[#This Row],[POS]]=0,1,0)</f>
        <v>1</v>
      </c>
      <c r="K1348">
        <f>SUM(Table13[[#This Row],[prefix]],Table13[[#This Row],[Past zero L]],Table13[[#This Row],[Past Zero R]],Table13[[#This Row],[Is Zero]])</f>
        <v>1</v>
      </c>
    </row>
    <row r="1349" spans="1:11" ht="16" x14ac:dyDescent="0.2">
      <c r="A1349" s="1" t="s">
        <v>123</v>
      </c>
      <c r="B1349" t="str">
        <f>LEFT(Table13[[#This Row],[Input]],1)</f>
        <v>L</v>
      </c>
      <c r="C1349">
        <f>_xlfn.LET(_xlpm.steps,SUBSTITUTE(Table13[[#This Row],[Input]],Table13[[#This Row],[Direction]],""),VALUE(IF(LEN(_xlpm.steps)&gt;2,RIGHT(_xlpm.steps,2),_xlpm.steps)))</f>
        <v>63</v>
      </c>
      <c r="D1349">
        <f>_xlfn.LET(_xlpm.steps,SUBSTITUTE(Table13[[#This Row],[Input]],Table13[[#This Row],[Direction]],""),VALUE(IF(LEN(_xlpm.steps)&gt;2,LEFT(_xlpm.steps,LEN(_xlpm.steps)-2),0)))</f>
        <v>0</v>
      </c>
      <c r="E1349">
        <f>_xlfn.LET(_xlpm.dir,Table13[[#This Row],[Direction]],
IF(_xlpm.dir="L",
    IF(G1348-Table13[[#This Row],[Steps]]&lt;0,100+(G1348-Table13[[#This Row],[Steps]]),G1348-Table13[[#This Row],[Steps]]),
))</f>
        <v>37</v>
      </c>
      <c r="F1349">
        <f>_xlfn.LET(_xlpm.dir,Table13[[#This Row],[Direction]],
IF(_xlpm.dir="R",
    IF(G1348+Table13[[#This Row],[Steps]]&gt;99,(G1348+Table13[[#This Row],[Steps]])-100,G1348+Table13[[#This Row],[Steps]]),
))</f>
        <v>0</v>
      </c>
      <c r="G1349">
        <f>IF(Table13[[#This Row],[New Pos L]]&lt;&gt;0,Table13[[#This Row],[New Pos L]],Table13[[#This Row],[New Pos R]])</f>
        <v>37</v>
      </c>
      <c r="H1349">
        <f>IF(AND(Table13[[#This Row],[Direction]]="L",Table13[[#This Row],[Steps]]&gt;G1348,G1348&lt;&gt;0),1,0)</f>
        <v>0</v>
      </c>
      <c r="I1349">
        <f>IF(AND(Table13[[#This Row],[Direction]]="R",(G1348+Table13[[#This Row],[Steps]])&gt;100),1,0)</f>
        <v>0</v>
      </c>
      <c r="J1349">
        <f>IF(Table13[[#This Row],[POS]]=0,1,0)</f>
        <v>0</v>
      </c>
      <c r="K1349">
        <f>SUM(Table13[[#This Row],[prefix]],Table13[[#This Row],[Past zero L]],Table13[[#This Row],[Past Zero R]],Table13[[#This Row],[Is Zero]])</f>
        <v>0</v>
      </c>
    </row>
    <row r="1350" spans="1:11" ht="16" x14ac:dyDescent="0.2">
      <c r="A1350" s="1" t="s">
        <v>22</v>
      </c>
      <c r="B1350" t="str">
        <f>LEFT(Table13[[#This Row],[Input]],1)</f>
        <v>L</v>
      </c>
      <c r="C1350">
        <f>_xlfn.LET(_xlpm.steps,SUBSTITUTE(Table13[[#This Row],[Input]],Table13[[#This Row],[Direction]],""),VALUE(IF(LEN(_xlpm.steps)&gt;2,RIGHT(_xlpm.steps,2),_xlpm.steps)))</f>
        <v>37</v>
      </c>
      <c r="D1350">
        <f>_xlfn.LET(_xlpm.steps,SUBSTITUTE(Table13[[#This Row],[Input]],Table13[[#This Row],[Direction]],""),VALUE(IF(LEN(_xlpm.steps)&gt;2,LEFT(_xlpm.steps,LEN(_xlpm.steps)-2),0)))</f>
        <v>0</v>
      </c>
      <c r="E1350">
        <f>_xlfn.LET(_xlpm.dir,Table13[[#This Row],[Direction]],
IF(_xlpm.dir="L",
    IF(G1349-Table13[[#This Row],[Steps]]&lt;0,100+(G1349-Table13[[#This Row],[Steps]]),G1349-Table13[[#This Row],[Steps]]),
))</f>
        <v>0</v>
      </c>
      <c r="F1350">
        <f>_xlfn.LET(_xlpm.dir,Table13[[#This Row],[Direction]],
IF(_xlpm.dir="R",
    IF(G1349+Table13[[#This Row],[Steps]]&gt;99,(G1349+Table13[[#This Row],[Steps]])-100,G1349+Table13[[#This Row],[Steps]]),
))</f>
        <v>0</v>
      </c>
      <c r="G1350">
        <f>IF(Table13[[#This Row],[New Pos L]]&lt;&gt;0,Table13[[#This Row],[New Pos L]],Table13[[#This Row],[New Pos R]])</f>
        <v>0</v>
      </c>
      <c r="H1350">
        <f>IF(AND(Table13[[#This Row],[Direction]]="L",Table13[[#This Row],[Steps]]&gt;G1349,G1349&lt;&gt;0),1,0)</f>
        <v>0</v>
      </c>
      <c r="I1350">
        <f>IF(AND(Table13[[#This Row],[Direction]]="R",(G1349+Table13[[#This Row],[Steps]])&gt;100),1,0)</f>
        <v>0</v>
      </c>
      <c r="J1350">
        <f>IF(Table13[[#This Row],[POS]]=0,1,0)</f>
        <v>1</v>
      </c>
      <c r="K1350">
        <f>SUM(Table13[[#This Row],[prefix]],Table13[[#This Row],[Past zero L]],Table13[[#This Row],[Past Zero R]],Table13[[#This Row],[Is Zero]])</f>
        <v>1</v>
      </c>
    </row>
    <row r="1351" spans="1:11" ht="16" x14ac:dyDescent="0.2">
      <c r="A1351" s="1" t="s">
        <v>205</v>
      </c>
      <c r="B1351" t="str">
        <f>LEFT(Table13[[#This Row],[Input]],1)</f>
        <v>R</v>
      </c>
      <c r="C1351">
        <f>_xlfn.LET(_xlpm.steps,SUBSTITUTE(Table13[[#This Row],[Input]],Table13[[#This Row],[Direction]],""),VALUE(IF(LEN(_xlpm.steps)&gt;2,RIGHT(_xlpm.steps,2),_xlpm.steps)))</f>
        <v>83</v>
      </c>
      <c r="D1351">
        <f>_xlfn.LET(_xlpm.steps,SUBSTITUTE(Table13[[#This Row],[Input]],Table13[[#This Row],[Direction]],""),VALUE(IF(LEN(_xlpm.steps)&gt;2,LEFT(_xlpm.steps,LEN(_xlpm.steps)-2),0)))</f>
        <v>0</v>
      </c>
      <c r="E1351">
        <f>_xlfn.LET(_xlpm.dir,Table13[[#This Row],[Direction]],
IF(_xlpm.dir="L",
    IF(G1350-Table13[[#This Row],[Steps]]&lt;0,100+(G1350-Table13[[#This Row],[Steps]]),G1350-Table13[[#This Row],[Steps]]),
))</f>
        <v>0</v>
      </c>
      <c r="F1351">
        <f>_xlfn.LET(_xlpm.dir,Table13[[#This Row],[Direction]],
IF(_xlpm.dir="R",
    IF(G1350+Table13[[#This Row],[Steps]]&gt;99,(G1350+Table13[[#This Row],[Steps]])-100,G1350+Table13[[#This Row],[Steps]]),
))</f>
        <v>83</v>
      </c>
      <c r="G1351">
        <f>IF(Table13[[#This Row],[New Pos L]]&lt;&gt;0,Table13[[#This Row],[New Pos L]],Table13[[#This Row],[New Pos R]])</f>
        <v>83</v>
      </c>
      <c r="H1351">
        <f>IF(AND(Table13[[#This Row],[Direction]]="L",Table13[[#This Row],[Steps]]&gt;G1350,G1350&lt;&gt;0),1,0)</f>
        <v>0</v>
      </c>
      <c r="I1351">
        <f>IF(AND(Table13[[#This Row],[Direction]]="R",(G1350+Table13[[#This Row],[Steps]])&gt;100),1,0)</f>
        <v>0</v>
      </c>
      <c r="J1351">
        <f>IF(Table13[[#This Row],[POS]]=0,1,0)</f>
        <v>0</v>
      </c>
      <c r="K1351">
        <f>SUM(Table13[[#This Row],[prefix]],Table13[[#This Row],[Past zero L]],Table13[[#This Row],[Past Zero R]],Table13[[#This Row],[Is Zero]])</f>
        <v>0</v>
      </c>
    </row>
    <row r="1352" spans="1:11" ht="16" x14ac:dyDescent="0.2">
      <c r="A1352" s="1" t="s">
        <v>81</v>
      </c>
      <c r="B1352" t="str">
        <f>LEFT(Table13[[#This Row],[Input]],1)</f>
        <v>R</v>
      </c>
      <c r="C1352">
        <f>_xlfn.LET(_xlpm.steps,SUBSTITUTE(Table13[[#This Row],[Input]],Table13[[#This Row],[Direction]],""),VALUE(IF(LEN(_xlpm.steps)&gt;2,RIGHT(_xlpm.steps,2),_xlpm.steps)))</f>
        <v>17</v>
      </c>
      <c r="D1352">
        <f>_xlfn.LET(_xlpm.steps,SUBSTITUTE(Table13[[#This Row],[Input]],Table13[[#This Row],[Direction]],""),VALUE(IF(LEN(_xlpm.steps)&gt;2,LEFT(_xlpm.steps,LEN(_xlpm.steps)-2),0)))</f>
        <v>0</v>
      </c>
      <c r="E1352">
        <f>_xlfn.LET(_xlpm.dir,Table13[[#This Row],[Direction]],
IF(_xlpm.dir="L",
    IF(G1351-Table13[[#This Row],[Steps]]&lt;0,100+(G1351-Table13[[#This Row],[Steps]]),G1351-Table13[[#This Row],[Steps]]),
))</f>
        <v>0</v>
      </c>
      <c r="F1352">
        <f>_xlfn.LET(_xlpm.dir,Table13[[#This Row],[Direction]],
IF(_xlpm.dir="R",
    IF(G1351+Table13[[#This Row],[Steps]]&gt;99,(G1351+Table13[[#This Row],[Steps]])-100,G1351+Table13[[#This Row],[Steps]]),
))</f>
        <v>0</v>
      </c>
      <c r="G1352">
        <f>IF(Table13[[#This Row],[New Pos L]]&lt;&gt;0,Table13[[#This Row],[New Pos L]],Table13[[#This Row],[New Pos R]])</f>
        <v>0</v>
      </c>
      <c r="H1352">
        <f>IF(AND(Table13[[#This Row],[Direction]]="L",Table13[[#This Row],[Steps]]&gt;G1351,G1351&lt;&gt;0),1,0)</f>
        <v>0</v>
      </c>
      <c r="I1352">
        <f>IF(AND(Table13[[#This Row],[Direction]]="R",(G1351+Table13[[#This Row],[Steps]])&gt;100),1,0)</f>
        <v>0</v>
      </c>
      <c r="J1352">
        <f>IF(Table13[[#This Row],[POS]]=0,1,0)</f>
        <v>1</v>
      </c>
      <c r="K1352">
        <f>SUM(Table13[[#This Row],[prefix]],Table13[[#This Row],[Past zero L]],Table13[[#This Row],[Past Zero R]],Table13[[#This Row],[Is Zero]])</f>
        <v>1</v>
      </c>
    </row>
    <row r="1353" spans="1:11" ht="16" x14ac:dyDescent="0.2">
      <c r="A1353" s="1" t="s">
        <v>330</v>
      </c>
      <c r="B1353" t="str">
        <f>LEFT(Table13[[#This Row],[Input]],1)</f>
        <v>L</v>
      </c>
      <c r="C1353">
        <f>_xlfn.LET(_xlpm.steps,SUBSTITUTE(Table13[[#This Row],[Input]],Table13[[#This Row],[Direction]],""),VALUE(IF(LEN(_xlpm.steps)&gt;2,RIGHT(_xlpm.steps,2),_xlpm.steps)))</f>
        <v>47</v>
      </c>
      <c r="D1353">
        <f>_xlfn.LET(_xlpm.steps,SUBSTITUTE(Table13[[#This Row],[Input]],Table13[[#This Row],[Direction]],""),VALUE(IF(LEN(_xlpm.steps)&gt;2,LEFT(_xlpm.steps,LEN(_xlpm.steps)-2),0)))</f>
        <v>0</v>
      </c>
      <c r="E1353">
        <f>_xlfn.LET(_xlpm.dir,Table13[[#This Row],[Direction]],
IF(_xlpm.dir="L",
    IF(G1352-Table13[[#This Row],[Steps]]&lt;0,100+(G1352-Table13[[#This Row],[Steps]]),G1352-Table13[[#This Row],[Steps]]),
))</f>
        <v>53</v>
      </c>
      <c r="F1353">
        <f>_xlfn.LET(_xlpm.dir,Table13[[#This Row],[Direction]],
IF(_xlpm.dir="R",
    IF(G1352+Table13[[#This Row],[Steps]]&gt;99,(G1352+Table13[[#This Row],[Steps]])-100,G1352+Table13[[#This Row],[Steps]]),
))</f>
        <v>0</v>
      </c>
      <c r="G1353">
        <f>IF(Table13[[#This Row],[New Pos L]]&lt;&gt;0,Table13[[#This Row],[New Pos L]],Table13[[#This Row],[New Pos R]])</f>
        <v>53</v>
      </c>
      <c r="H1353">
        <f>IF(AND(Table13[[#This Row],[Direction]]="L",Table13[[#This Row],[Steps]]&gt;G1352,G1352&lt;&gt;0),1,0)</f>
        <v>0</v>
      </c>
      <c r="I1353">
        <f>IF(AND(Table13[[#This Row],[Direction]]="R",(G1352+Table13[[#This Row],[Steps]])&gt;100),1,0)</f>
        <v>0</v>
      </c>
      <c r="J1353">
        <f>IF(Table13[[#This Row],[POS]]=0,1,0)</f>
        <v>0</v>
      </c>
      <c r="K1353">
        <f>SUM(Table13[[#This Row],[prefix]],Table13[[#This Row],[Past zero L]],Table13[[#This Row],[Past Zero R]],Table13[[#This Row],[Is Zero]])</f>
        <v>0</v>
      </c>
    </row>
    <row r="1354" spans="1:11" ht="16" x14ac:dyDescent="0.2">
      <c r="A1354" s="1" t="s">
        <v>134</v>
      </c>
      <c r="B1354" t="str">
        <f>LEFT(Table13[[#This Row],[Input]],1)</f>
        <v>L</v>
      </c>
      <c r="C1354">
        <f>_xlfn.LET(_xlpm.steps,SUBSTITUTE(Table13[[#This Row],[Input]],Table13[[#This Row],[Direction]],""),VALUE(IF(LEN(_xlpm.steps)&gt;2,RIGHT(_xlpm.steps,2),_xlpm.steps)))</f>
        <v>95</v>
      </c>
      <c r="D1354">
        <f>_xlfn.LET(_xlpm.steps,SUBSTITUTE(Table13[[#This Row],[Input]],Table13[[#This Row],[Direction]],""),VALUE(IF(LEN(_xlpm.steps)&gt;2,LEFT(_xlpm.steps,LEN(_xlpm.steps)-2),0)))</f>
        <v>0</v>
      </c>
      <c r="E1354">
        <f>_xlfn.LET(_xlpm.dir,Table13[[#This Row],[Direction]],
IF(_xlpm.dir="L",
    IF(G1353-Table13[[#This Row],[Steps]]&lt;0,100+(G1353-Table13[[#This Row],[Steps]]),G1353-Table13[[#This Row],[Steps]]),
))</f>
        <v>58</v>
      </c>
      <c r="F1354">
        <f>_xlfn.LET(_xlpm.dir,Table13[[#This Row],[Direction]],
IF(_xlpm.dir="R",
    IF(G1353+Table13[[#This Row],[Steps]]&gt;99,(G1353+Table13[[#This Row],[Steps]])-100,G1353+Table13[[#This Row],[Steps]]),
))</f>
        <v>0</v>
      </c>
      <c r="G1354">
        <f>IF(Table13[[#This Row],[New Pos L]]&lt;&gt;0,Table13[[#This Row],[New Pos L]],Table13[[#This Row],[New Pos R]])</f>
        <v>58</v>
      </c>
      <c r="H1354">
        <f>IF(AND(Table13[[#This Row],[Direction]]="L",Table13[[#This Row],[Steps]]&gt;G1353,G1353&lt;&gt;0),1,0)</f>
        <v>1</v>
      </c>
      <c r="I1354">
        <f>IF(AND(Table13[[#This Row],[Direction]]="R",(G1353+Table13[[#This Row],[Steps]])&gt;100),1,0)</f>
        <v>0</v>
      </c>
      <c r="J1354">
        <f>IF(Table13[[#This Row],[POS]]=0,1,0)</f>
        <v>0</v>
      </c>
      <c r="K1354">
        <f>SUM(Table13[[#This Row],[prefix]],Table13[[#This Row],[Past zero L]],Table13[[#This Row],[Past Zero R]],Table13[[#This Row],[Is Zero]])</f>
        <v>1</v>
      </c>
    </row>
    <row r="1355" spans="1:11" ht="16" x14ac:dyDescent="0.2">
      <c r="A1355" s="1" t="s">
        <v>419</v>
      </c>
      <c r="B1355" t="str">
        <f>LEFT(Table13[[#This Row],[Input]],1)</f>
        <v>L</v>
      </c>
      <c r="C1355">
        <f>_xlfn.LET(_xlpm.steps,SUBSTITUTE(Table13[[#This Row],[Input]],Table13[[#This Row],[Direction]],""),VALUE(IF(LEN(_xlpm.steps)&gt;2,RIGHT(_xlpm.steps,2),_xlpm.steps)))</f>
        <v>58</v>
      </c>
      <c r="D1355">
        <f>_xlfn.LET(_xlpm.steps,SUBSTITUTE(Table13[[#This Row],[Input]],Table13[[#This Row],[Direction]],""),VALUE(IF(LEN(_xlpm.steps)&gt;2,LEFT(_xlpm.steps,LEN(_xlpm.steps)-2),0)))</f>
        <v>8</v>
      </c>
      <c r="E1355">
        <f>_xlfn.LET(_xlpm.dir,Table13[[#This Row],[Direction]],
IF(_xlpm.dir="L",
    IF(G1354-Table13[[#This Row],[Steps]]&lt;0,100+(G1354-Table13[[#This Row],[Steps]]),G1354-Table13[[#This Row],[Steps]]),
))</f>
        <v>0</v>
      </c>
      <c r="F1355">
        <f>_xlfn.LET(_xlpm.dir,Table13[[#This Row],[Direction]],
IF(_xlpm.dir="R",
    IF(G1354+Table13[[#This Row],[Steps]]&gt;99,(G1354+Table13[[#This Row],[Steps]])-100,G1354+Table13[[#This Row],[Steps]]),
))</f>
        <v>0</v>
      </c>
      <c r="G1355">
        <f>IF(Table13[[#This Row],[New Pos L]]&lt;&gt;0,Table13[[#This Row],[New Pos L]],Table13[[#This Row],[New Pos R]])</f>
        <v>0</v>
      </c>
      <c r="H1355">
        <f>IF(AND(Table13[[#This Row],[Direction]]="L",Table13[[#This Row],[Steps]]&gt;G1354,G1354&lt;&gt;0),1,0)</f>
        <v>0</v>
      </c>
      <c r="I1355">
        <f>IF(AND(Table13[[#This Row],[Direction]]="R",(G1354+Table13[[#This Row],[Steps]])&gt;100),1,0)</f>
        <v>0</v>
      </c>
      <c r="J1355">
        <f>IF(Table13[[#This Row],[POS]]=0,1,0)</f>
        <v>1</v>
      </c>
      <c r="K1355">
        <f>SUM(Table13[[#This Row],[prefix]],Table13[[#This Row],[Past zero L]],Table13[[#This Row],[Past Zero R]],Table13[[#This Row],[Is Zero]])</f>
        <v>9</v>
      </c>
    </row>
    <row r="1356" spans="1:11" ht="16" x14ac:dyDescent="0.2">
      <c r="A1356" s="1" t="s">
        <v>116</v>
      </c>
      <c r="B1356" t="str">
        <f>LEFT(Table13[[#This Row],[Input]],1)</f>
        <v>L</v>
      </c>
      <c r="C1356">
        <f>_xlfn.LET(_xlpm.steps,SUBSTITUTE(Table13[[#This Row],[Input]],Table13[[#This Row],[Direction]],""),VALUE(IF(LEN(_xlpm.steps)&gt;2,RIGHT(_xlpm.steps,2),_xlpm.steps)))</f>
        <v>58</v>
      </c>
      <c r="D1356">
        <f>_xlfn.LET(_xlpm.steps,SUBSTITUTE(Table13[[#This Row],[Input]],Table13[[#This Row],[Direction]],""),VALUE(IF(LEN(_xlpm.steps)&gt;2,LEFT(_xlpm.steps,LEN(_xlpm.steps)-2),0)))</f>
        <v>0</v>
      </c>
      <c r="E1356">
        <f>_xlfn.LET(_xlpm.dir,Table13[[#This Row],[Direction]],
IF(_xlpm.dir="L",
    IF(G1355-Table13[[#This Row],[Steps]]&lt;0,100+(G1355-Table13[[#This Row],[Steps]]),G1355-Table13[[#This Row],[Steps]]),
))</f>
        <v>42</v>
      </c>
      <c r="F1356">
        <f>_xlfn.LET(_xlpm.dir,Table13[[#This Row],[Direction]],
IF(_xlpm.dir="R",
    IF(G1355+Table13[[#This Row],[Steps]]&gt;99,(G1355+Table13[[#This Row],[Steps]])-100,G1355+Table13[[#This Row],[Steps]]),
))</f>
        <v>0</v>
      </c>
      <c r="G1356">
        <f>IF(Table13[[#This Row],[New Pos L]]&lt;&gt;0,Table13[[#This Row],[New Pos L]],Table13[[#This Row],[New Pos R]])</f>
        <v>42</v>
      </c>
      <c r="H1356">
        <f>IF(AND(Table13[[#This Row],[Direction]]="L",Table13[[#This Row],[Steps]]&gt;G1355,G1355&lt;&gt;0),1,0)</f>
        <v>0</v>
      </c>
      <c r="I1356">
        <f>IF(AND(Table13[[#This Row],[Direction]]="R",(G1355+Table13[[#This Row],[Steps]])&gt;100),1,0)</f>
        <v>0</v>
      </c>
      <c r="J1356">
        <f>IF(Table13[[#This Row],[POS]]=0,1,0)</f>
        <v>0</v>
      </c>
      <c r="K1356">
        <f>SUM(Table13[[#This Row],[prefix]],Table13[[#This Row],[Past zero L]],Table13[[#This Row],[Past Zero R]],Table13[[#This Row],[Is Zero]])</f>
        <v>0</v>
      </c>
    </row>
    <row r="1357" spans="1:11" ht="16" x14ac:dyDescent="0.2">
      <c r="A1357" s="1" t="s">
        <v>121</v>
      </c>
      <c r="B1357" t="str">
        <f>LEFT(Table13[[#This Row],[Input]],1)</f>
        <v>L</v>
      </c>
      <c r="C1357">
        <f>_xlfn.LET(_xlpm.steps,SUBSTITUTE(Table13[[#This Row],[Input]],Table13[[#This Row],[Direction]],""),VALUE(IF(LEN(_xlpm.steps)&gt;2,RIGHT(_xlpm.steps,2),_xlpm.steps)))</f>
        <v>69</v>
      </c>
      <c r="D1357">
        <f>_xlfn.LET(_xlpm.steps,SUBSTITUTE(Table13[[#This Row],[Input]],Table13[[#This Row],[Direction]],""),VALUE(IF(LEN(_xlpm.steps)&gt;2,LEFT(_xlpm.steps,LEN(_xlpm.steps)-2),0)))</f>
        <v>0</v>
      </c>
      <c r="E1357">
        <f>_xlfn.LET(_xlpm.dir,Table13[[#This Row],[Direction]],
IF(_xlpm.dir="L",
    IF(G1356-Table13[[#This Row],[Steps]]&lt;0,100+(G1356-Table13[[#This Row],[Steps]]),G1356-Table13[[#This Row],[Steps]]),
))</f>
        <v>73</v>
      </c>
      <c r="F1357">
        <f>_xlfn.LET(_xlpm.dir,Table13[[#This Row],[Direction]],
IF(_xlpm.dir="R",
    IF(G1356+Table13[[#This Row],[Steps]]&gt;99,(G1356+Table13[[#This Row],[Steps]])-100,G1356+Table13[[#This Row],[Steps]]),
))</f>
        <v>0</v>
      </c>
      <c r="G1357">
        <f>IF(Table13[[#This Row],[New Pos L]]&lt;&gt;0,Table13[[#This Row],[New Pos L]],Table13[[#This Row],[New Pos R]])</f>
        <v>73</v>
      </c>
      <c r="H1357">
        <f>IF(AND(Table13[[#This Row],[Direction]]="L",Table13[[#This Row],[Steps]]&gt;G1356,G1356&lt;&gt;0),1,0)</f>
        <v>1</v>
      </c>
      <c r="I1357">
        <f>IF(AND(Table13[[#This Row],[Direction]]="R",(G1356+Table13[[#This Row],[Steps]])&gt;100),1,0)</f>
        <v>0</v>
      </c>
      <c r="J1357">
        <f>IF(Table13[[#This Row],[POS]]=0,1,0)</f>
        <v>0</v>
      </c>
      <c r="K1357">
        <f>SUM(Table13[[#This Row],[prefix]],Table13[[#This Row],[Past zero L]],Table13[[#This Row],[Past Zero R]],Table13[[#This Row],[Is Zero]])</f>
        <v>1</v>
      </c>
    </row>
    <row r="1358" spans="1:11" ht="16" x14ac:dyDescent="0.2">
      <c r="A1358" s="1" t="s">
        <v>217</v>
      </c>
      <c r="B1358" t="str">
        <f>LEFT(Table13[[#This Row],[Input]],1)</f>
        <v>R</v>
      </c>
      <c r="C1358">
        <f>_xlfn.LET(_xlpm.steps,SUBSTITUTE(Table13[[#This Row],[Input]],Table13[[#This Row],[Direction]],""),VALUE(IF(LEN(_xlpm.steps)&gt;2,RIGHT(_xlpm.steps,2),_xlpm.steps)))</f>
        <v>91</v>
      </c>
      <c r="D1358">
        <f>_xlfn.LET(_xlpm.steps,SUBSTITUTE(Table13[[#This Row],[Input]],Table13[[#This Row],[Direction]],""),VALUE(IF(LEN(_xlpm.steps)&gt;2,LEFT(_xlpm.steps,LEN(_xlpm.steps)-2),0)))</f>
        <v>0</v>
      </c>
      <c r="E1358">
        <f>_xlfn.LET(_xlpm.dir,Table13[[#This Row],[Direction]],
IF(_xlpm.dir="L",
    IF(G1357-Table13[[#This Row],[Steps]]&lt;0,100+(G1357-Table13[[#This Row],[Steps]]),G1357-Table13[[#This Row],[Steps]]),
))</f>
        <v>0</v>
      </c>
      <c r="F1358">
        <f>_xlfn.LET(_xlpm.dir,Table13[[#This Row],[Direction]],
IF(_xlpm.dir="R",
    IF(G1357+Table13[[#This Row],[Steps]]&gt;99,(G1357+Table13[[#This Row],[Steps]])-100,G1357+Table13[[#This Row],[Steps]]),
))</f>
        <v>64</v>
      </c>
      <c r="G1358">
        <f>IF(Table13[[#This Row],[New Pos L]]&lt;&gt;0,Table13[[#This Row],[New Pos L]],Table13[[#This Row],[New Pos R]])</f>
        <v>64</v>
      </c>
      <c r="H1358">
        <f>IF(AND(Table13[[#This Row],[Direction]]="L",Table13[[#This Row],[Steps]]&gt;G1357,G1357&lt;&gt;0),1,0)</f>
        <v>0</v>
      </c>
      <c r="I1358">
        <f>IF(AND(Table13[[#This Row],[Direction]]="R",(G1357+Table13[[#This Row],[Steps]])&gt;100),1,0)</f>
        <v>1</v>
      </c>
      <c r="J1358">
        <f>IF(Table13[[#This Row],[POS]]=0,1,0)</f>
        <v>0</v>
      </c>
      <c r="K1358">
        <f>SUM(Table13[[#This Row],[prefix]],Table13[[#This Row],[Past zero L]],Table13[[#This Row],[Past Zero R]],Table13[[#This Row],[Is Zero]])</f>
        <v>1</v>
      </c>
    </row>
    <row r="1359" spans="1:11" ht="16" x14ac:dyDescent="0.2">
      <c r="A1359" s="1" t="s">
        <v>420</v>
      </c>
      <c r="B1359" t="str">
        <f>LEFT(Table13[[#This Row],[Input]],1)</f>
        <v>R</v>
      </c>
      <c r="C1359">
        <f>_xlfn.LET(_xlpm.steps,SUBSTITUTE(Table13[[#This Row],[Input]],Table13[[#This Row],[Direction]],""),VALUE(IF(LEN(_xlpm.steps)&gt;2,RIGHT(_xlpm.steps,2),_xlpm.steps)))</f>
        <v>60</v>
      </c>
      <c r="D1359">
        <f>_xlfn.LET(_xlpm.steps,SUBSTITUTE(Table13[[#This Row],[Input]],Table13[[#This Row],[Direction]],""),VALUE(IF(LEN(_xlpm.steps)&gt;2,LEFT(_xlpm.steps,LEN(_xlpm.steps)-2),0)))</f>
        <v>2</v>
      </c>
      <c r="E1359">
        <f>_xlfn.LET(_xlpm.dir,Table13[[#This Row],[Direction]],
IF(_xlpm.dir="L",
    IF(G1358-Table13[[#This Row],[Steps]]&lt;0,100+(G1358-Table13[[#This Row],[Steps]]),G1358-Table13[[#This Row],[Steps]]),
))</f>
        <v>0</v>
      </c>
      <c r="F1359">
        <f>_xlfn.LET(_xlpm.dir,Table13[[#This Row],[Direction]],
IF(_xlpm.dir="R",
    IF(G1358+Table13[[#This Row],[Steps]]&gt;99,(G1358+Table13[[#This Row],[Steps]])-100,G1358+Table13[[#This Row],[Steps]]),
))</f>
        <v>24</v>
      </c>
      <c r="G1359">
        <f>IF(Table13[[#This Row],[New Pos L]]&lt;&gt;0,Table13[[#This Row],[New Pos L]],Table13[[#This Row],[New Pos R]])</f>
        <v>24</v>
      </c>
      <c r="H1359">
        <f>IF(AND(Table13[[#This Row],[Direction]]="L",Table13[[#This Row],[Steps]]&gt;G1358,G1358&lt;&gt;0),1,0)</f>
        <v>0</v>
      </c>
      <c r="I1359">
        <f>IF(AND(Table13[[#This Row],[Direction]]="R",(G1358+Table13[[#This Row],[Steps]])&gt;100),1,0)</f>
        <v>1</v>
      </c>
      <c r="J1359">
        <f>IF(Table13[[#This Row],[POS]]=0,1,0)</f>
        <v>0</v>
      </c>
      <c r="K1359">
        <f>SUM(Table13[[#This Row],[prefix]],Table13[[#This Row],[Past zero L]],Table13[[#This Row],[Past Zero R]],Table13[[#This Row],[Is Zero]])</f>
        <v>3</v>
      </c>
    </row>
    <row r="1360" spans="1:11" ht="16" x14ac:dyDescent="0.2">
      <c r="A1360" s="1" t="s">
        <v>161</v>
      </c>
      <c r="B1360" t="str">
        <f>LEFT(Table13[[#This Row],[Input]],1)</f>
        <v>R</v>
      </c>
      <c r="C1360">
        <f>_xlfn.LET(_xlpm.steps,SUBSTITUTE(Table13[[#This Row],[Input]],Table13[[#This Row],[Direction]],""),VALUE(IF(LEN(_xlpm.steps)&gt;2,RIGHT(_xlpm.steps,2),_xlpm.steps)))</f>
        <v>76</v>
      </c>
      <c r="D1360">
        <f>_xlfn.LET(_xlpm.steps,SUBSTITUTE(Table13[[#This Row],[Input]],Table13[[#This Row],[Direction]],""),VALUE(IF(LEN(_xlpm.steps)&gt;2,LEFT(_xlpm.steps,LEN(_xlpm.steps)-2),0)))</f>
        <v>0</v>
      </c>
      <c r="E1360">
        <f>_xlfn.LET(_xlpm.dir,Table13[[#This Row],[Direction]],
IF(_xlpm.dir="L",
    IF(G1359-Table13[[#This Row],[Steps]]&lt;0,100+(G1359-Table13[[#This Row],[Steps]]),G1359-Table13[[#This Row],[Steps]]),
))</f>
        <v>0</v>
      </c>
      <c r="F1360">
        <f>_xlfn.LET(_xlpm.dir,Table13[[#This Row],[Direction]],
IF(_xlpm.dir="R",
    IF(G1359+Table13[[#This Row],[Steps]]&gt;99,(G1359+Table13[[#This Row],[Steps]])-100,G1359+Table13[[#This Row],[Steps]]),
))</f>
        <v>0</v>
      </c>
      <c r="G1360">
        <f>IF(Table13[[#This Row],[New Pos L]]&lt;&gt;0,Table13[[#This Row],[New Pos L]],Table13[[#This Row],[New Pos R]])</f>
        <v>0</v>
      </c>
      <c r="H1360">
        <f>IF(AND(Table13[[#This Row],[Direction]]="L",Table13[[#This Row],[Steps]]&gt;G1359,G1359&lt;&gt;0),1,0)</f>
        <v>0</v>
      </c>
      <c r="I1360">
        <f>IF(AND(Table13[[#This Row],[Direction]]="R",(G1359+Table13[[#This Row],[Steps]])&gt;100),1,0)</f>
        <v>0</v>
      </c>
      <c r="J1360">
        <f>IF(Table13[[#This Row],[POS]]=0,1,0)</f>
        <v>1</v>
      </c>
      <c r="K1360">
        <f>SUM(Table13[[#This Row],[prefix]],Table13[[#This Row],[Past zero L]],Table13[[#This Row],[Past Zero R]],Table13[[#This Row],[Is Zero]])</f>
        <v>1</v>
      </c>
    </row>
    <row r="1361" spans="1:11" ht="16" x14ac:dyDescent="0.2">
      <c r="A1361" s="1" t="s">
        <v>179</v>
      </c>
      <c r="B1361" t="str">
        <f>LEFT(Table13[[#This Row],[Input]],1)</f>
        <v>L</v>
      </c>
      <c r="C1361">
        <f>_xlfn.LET(_xlpm.steps,SUBSTITUTE(Table13[[#This Row],[Input]],Table13[[#This Row],[Direction]],""),VALUE(IF(LEN(_xlpm.steps)&gt;2,RIGHT(_xlpm.steps,2),_xlpm.steps)))</f>
        <v>54</v>
      </c>
      <c r="D1361">
        <f>_xlfn.LET(_xlpm.steps,SUBSTITUTE(Table13[[#This Row],[Input]],Table13[[#This Row],[Direction]],""),VALUE(IF(LEN(_xlpm.steps)&gt;2,LEFT(_xlpm.steps,LEN(_xlpm.steps)-2),0)))</f>
        <v>0</v>
      </c>
      <c r="E1361">
        <f>_xlfn.LET(_xlpm.dir,Table13[[#This Row],[Direction]],
IF(_xlpm.dir="L",
    IF(G1360-Table13[[#This Row],[Steps]]&lt;0,100+(G1360-Table13[[#This Row],[Steps]]),G1360-Table13[[#This Row],[Steps]]),
))</f>
        <v>46</v>
      </c>
      <c r="F1361">
        <f>_xlfn.LET(_xlpm.dir,Table13[[#This Row],[Direction]],
IF(_xlpm.dir="R",
    IF(G1360+Table13[[#This Row],[Steps]]&gt;99,(G1360+Table13[[#This Row],[Steps]])-100,G1360+Table13[[#This Row],[Steps]]),
))</f>
        <v>0</v>
      </c>
      <c r="G1361">
        <f>IF(Table13[[#This Row],[New Pos L]]&lt;&gt;0,Table13[[#This Row],[New Pos L]],Table13[[#This Row],[New Pos R]])</f>
        <v>46</v>
      </c>
      <c r="H1361">
        <f>IF(AND(Table13[[#This Row],[Direction]]="L",Table13[[#This Row],[Steps]]&gt;G1360,G1360&lt;&gt;0),1,0)</f>
        <v>0</v>
      </c>
      <c r="I1361">
        <f>IF(AND(Table13[[#This Row],[Direction]]="R",(G1360+Table13[[#This Row],[Steps]])&gt;100),1,0)</f>
        <v>0</v>
      </c>
      <c r="J1361">
        <f>IF(Table13[[#This Row],[POS]]=0,1,0)</f>
        <v>0</v>
      </c>
      <c r="K1361">
        <f>SUM(Table13[[#This Row],[prefix]],Table13[[#This Row],[Past zero L]],Table13[[#This Row],[Past Zero R]],Table13[[#This Row],[Is Zero]])</f>
        <v>0</v>
      </c>
    </row>
    <row r="1362" spans="1:11" ht="16" x14ac:dyDescent="0.2">
      <c r="A1362" s="1" t="s">
        <v>405</v>
      </c>
      <c r="B1362" t="str">
        <f>LEFT(Table13[[#This Row],[Input]],1)</f>
        <v>L</v>
      </c>
      <c r="C1362">
        <f>_xlfn.LET(_xlpm.steps,SUBSTITUTE(Table13[[#This Row],[Input]],Table13[[#This Row],[Direction]],""),VALUE(IF(LEN(_xlpm.steps)&gt;2,RIGHT(_xlpm.steps,2),_xlpm.steps)))</f>
        <v>32</v>
      </c>
      <c r="D1362">
        <f>_xlfn.LET(_xlpm.steps,SUBSTITUTE(Table13[[#This Row],[Input]],Table13[[#This Row],[Direction]],""),VALUE(IF(LEN(_xlpm.steps)&gt;2,LEFT(_xlpm.steps,LEN(_xlpm.steps)-2),0)))</f>
        <v>0</v>
      </c>
      <c r="E1362">
        <f>_xlfn.LET(_xlpm.dir,Table13[[#This Row],[Direction]],
IF(_xlpm.dir="L",
    IF(G1361-Table13[[#This Row],[Steps]]&lt;0,100+(G1361-Table13[[#This Row],[Steps]]),G1361-Table13[[#This Row],[Steps]]),
))</f>
        <v>14</v>
      </c>
      <c r="F1362">
        <f>_xlfn.LET(_xlpm.dir,Table13[[#This Row],[Direction]],
IF(_xlpm.dir="R",
    IF(G1361+Table13[[#This Row],[Steps]]&gt;99,(G1361+Table13[[#This Row],[Steps]])-100,G1361+Table13[[#This Row],[Steps]]),
))</f>
        <v>0</v>
      </c>
      <c r="G1362">
        <f>IF(Table13[[#This Row],[New Pos L]]&lt;&gt;0,Table13[[#This Row],[New Pos L]],Table13[[#This Row],[New Pos R]])</f>
        <v>14</v>
      </c>
      <c r="H1362">
        <f>IF(AND(Table13[[#This Row],[Direction]]="L",Table13[[#This Row],[Steps]]&gt;G1361,G1361&lt;&gt;0),1,0)</f>
        <v>0</v>
      </c>
      <c r="I1362">
        <f>IF(AND(Table13[[#This Row],[Direction]]="R",(G1361+Table13[[#This Row],[Steps]])&gt;100),1,0)</f>
        <v>0</v>
      </c>
      <c r="J1362">
        <f>IF(Table13[[#This Row],[POS]]=0,1,0)</f>
        <v>0</v>
      </c>
      <c r="K1362">
        <f>SUM(Table13[[#This Row],[prefix]],Table13[[#This Row],[Past zero L]],Table13[[#This Row],[Past Zero R]],Table13[[#This Row],[Is Zero]])</f>
        <v>0</v>
      </c>
    </row>
    <row r="1363" spans="1:11" ht="16" x14ac:dyDescent="0.2">
      <c r="A1363" s="1" t="s">
        <v>421</v>
      </c>
      <c r="B1363" t="str">
        <f>LEFT(Table13[[#This Row],[Input]],1)</f>
        <v>L</v>
      </c>
      <c r="C1363">
        <f>_xlfn.LET(_xlpm.steps,SUBSTITUTE(Table13[[#This Row],[Input]],Table13[[#This Row],[Direction]],""),VALUE(IF(LEN(_xlpm.steps)&gt;2,RIGHT(_xlpm.steps,2),_xlpm.steps)))</f>
        <v>1</v>
      </c>
      <c r="D1363">
        <f>_xlfn.LET(_xlpm.steps,SUBSTITUTE(Table13[[#This Row],[Input]],Table13[[#This Row],[Direction]],""),VALUE(IF(LEN(_xlpm.steps)&gt;2,LEFT(_xlpm.steps,LEN(_xlpm.steps)-2),0)))</f>
        <v>7</v>
      </c>
      <c r="E1363">
        <f>_xlfn.LET(_xlpm.dir,Table13[[#This Row],[Direction]],
IF(_xlpm.dir="L",
    IF(G1362-Table13[[#This Row],[Steps]]&lt;0,100+(G1362-Table13[[#This Row],[Steps]]),G1362-Table13[[#This Row],[Steps]]),
))</f>
        <v>13</v>
      </c>
      <c r="F1363">
        <f>_xlfn.LET(_xlpm.dir,Table13[[#This Row],[Direction]],
IF(_xlpm.dir="R",
    IF(G1362+Table13[[#This Row],[Steps]]&gt;99,(G1362+Table13[[#This Row],[Steps]])-100,G1362+Table13[[#This Row],[Steps]]),
))</f>
        <v>0</v>
      </c>
      <c r="G1363">
        <f>IF(Table13[[#This Row],[New Pos L]]&lt;&gt;0,Table13[[#This Row],[New Pos L]],Table13[[#This Row],[New Pos R]])</f>
        <v>13</v>
      </c>
      <c r="H1363">
        <f>IF(AND(Table13[[#This Row],[Direction]]="L",Table13[[#This Row],[Steps]]&gt;G1362,G1362&lt;&gt;0),1,0)</f>
        <v>0</v>
      </c>
      <c r="I1363">
        <f>IF(AND(Table13[[#This Row],[Direction]]="R",(G1362+Table13[[#This Row],[Steps]])&gt;100),1,0)</f>
        <v>0</v>
      </c>
      <c r="J1363">
        <f>IF(Table13[[#This Row],[POS]]=0,1,0)</f>
        <v>0</v>
      </c>
      <c r="K1363">
        <f>SUM(Table13[[#This Row],[prefix]],Table13[[#This Row],[Past zero L]],Table13[[#This Row],[Past Zero R]],Table13[[#This Row],[Is Zero]])</f>
        <v>7</v>
      </c>
    </row>
    <row r="1364" spans="1:11" ht="16" x14ac:dyDescent="0.2">
      <c r="A1364" s="1" t="s">
        <v>31</v>
      </c>
      <c r="B1364" t="str">
        <f>LEFT(Table13[[#This Row],[Input]],1)</f>
        <v>L</v>
      </c>
      <c r="C1364">
        <f>_xlfn.LET(_xlpm.steps,SUBSTITUTE(Table13[[#This Row],[Input]],Table13[[#This Row],[Direction]],""),VALUE(IF(LEN(_xlpm.steps)&gt;2,RIGHT(_xlpm.steps,2),_xlpm.steps)))</f>
        <v>13</v>
      </c>
      <c r="D1364">
        <f>_xlfn.LET(_xlpm.steps,SUBSTITUTE(Table13[[#This Row],[Input]],Table13[[#This Row],[Direction]],""),VALUE(IF(LEN(_xlpm.steps)&gt;2,LEFT(_xlpm.steps,LEN(_xlpm.steps)-2),0)))</f>
        <v>0</v>
      </c>
      <c r="E1364">
        <f>_xlfn.LET(_xlpm.dir,Table13[[#This Row],[Direction]],
IF(_xlpm.dir="L",
    IF(G1363-Table13[[#This Row],[Steps]]&lt;0,100+(G1363-Table13[[#This Row],[Steps]]),G1363-Table13[[#This Row],[Steps]]),
))</f>
        <v>0</v>
      </c>
      <c r="F1364">
        <f>_xlfn.LET(_xlpm.dir,Table13[[#This Row],[Direction]],
IF(_xlpm.dir="R",
    IF(G1363+Table13[[#This Row],[Steps]]&gt;99,(G1363+Table13[[#This Row],[Steps]])-100,G1363+Table13[[#This Row],[Steps]]),
))</f>
        <v>0</v>
      </c>
      <c r="G1364">
        <f>IF(Table13[[#This Row],[New Pos L]]&lt;&gt;0,Table13[[#This Row],[New Pos L]],Table13[[#This Row],[New Pos R]])</f>
        <v>0</v>
      </c>
      <c r="H1364">
        <f>IF(AND(Table13[[#This Row],[Direction]]="L",Table13[[#This Row],[Steps]]&gt;G1363,G1363&lt;&gt;0),1,0)</f>
        <v>0</v>
      </c>
      <c r="I1364">
        <f>IF(AND(Table13[[#This Row],[Direction]]="R",(G1363+Table13[[#This Row],[Steps]])&gt;100),1,0)</f>
        <v>0</v>
      </c>
      <c r="J1364">
        <f>IF(Table13[[#This Row],[POS]]=0,1,0)</f>
        <v>1</v>
      </c>
      <c r="K1364">
        <f>SUM(Table13[[#This Row],[prefix]],Table13[[#This Row],[Past zero L]],Table13[[#This Row],[Past Zero R]],Table13[[#This Row],[Is Zero]])</f>
        <v>1</v>
      </c>
    </row>
    <row r="1365" spans="1:11" ht="16" x14ac:dyDescent="0.2">
      <c r="A1365" s="1" t="s">
        <v>39</v>
      </c>
      <c r="B1365" t="str">
        <f>LEFT(Table13[[#This Row],[Input]],1)</f>
        <v>R</v>
      </c>
      <c r="C1365">
        <f>_xlfn.LET(_xlpm.steps,SUBSTITUTE(Table13[[#This Row],[Input]],Table13[[#This Row],[Direction]],""),VALUE(IF(LEN(_xlpm.steps)&gt;2,RIGHT(_xlpm.steps,2),_xlpm.steps)))</f>
        <v>32</v>
      </c>
      <c r="D1365">
        <f>_xlfn.LET(_xlpm.steps,SUBSTITUTE(Table13[[#This Row],[Input]],Table13[[#This Row],[Direction]],""),VALUE(IF(LEN(_xlpm.steps)&gt;2,LEFT(_xlpm.steps,LEN(_xlpm.steps)-2),0)))</f>
        <v>0</v>
      </c>
      <c r="E1365">
        <f>_xlfn.LET(_xlpm.dir,Table13[[#This Row],[Direction]],
IF(_xlpm.dir="L",
    IF(G1364-Table13[[#This Row],[Steps]]&lt;0,100+(G1364-Table13[[#This Row],[Steps]]),G1364-Table13[[#This Row],[Steps]]),
))</f>
        <v>0</v>
      </c>
      <c r="F1365">
        <f>_xlfn.LET(_xlpm.dir,Table13[[#This Row],[Direction]],
IF(_xlpm.dir="R",
    IF(G1364+Table13[[#This Row],[Steps]]&gt;99,(G1364+Table13[[#This Row],[Steps]])-100,G1364+Table13[[#This Row],[Steps]]),
))</f>
        <v>32</v>
      </c>
      <c r="G1365">
        <f>IF(Table13[[#This Row],[New Pos L]]&lt;&gt;0,Table13[[#This Row],[New Pos L]],Table13[[#This Row],[New Pos R]])</f>
        <v>32</v>
      </c>
      <c r="H1365">
        <f>IF(AND(Table13[[#This Row],[Direction]]="L",Table13[[#This Row],[Steps]]&gt;G1364,G1364&lt;&gt;0),1,0)</f>
        <v>0</v>
      </c>
      <c r="I1365">
        <f>IF(AND(Table13[[#This Row],[Direction]]="R",(G1364+Table13[[#This Row],[Steps]])&gt;100),1,0)</f>
        <v>0</v>
      </c>
      <c r="J1365">
        <f>IF(Table13[[#This Row],[POS]]=0,1,0)</f>
        <v>0</v>
      </c>
      <c r="K1365">
        <f>SUM(Table13[[#This Row],[prefix]],Table13[[#This Row],[Past zero L]],Table13[[#This Row],[Past Zero R]],Table13[[#This Row],[Is Zero]])</f>
        <v>0</v>
      </c>
    </row>
    <row r="1366" spans="1:11" ht="16" x14ac:dyDescent="0.2">
      <c r="A1366" s="1" t="s">
        <v>405</v>
      </c>
      <c r="B1366" t="str">
        <f>LEFT(Table13[[#This Row],[Input]],1)</f>
        <v>L</v>
      </c>
      <c r="C1366">
        <f>_xlfn.LET(_xlpm.steps,SUBSTITUTE(Table13[[#This Row],[Input]],Table13[[#This Row],[Direction]],""),VALUE(IF(LEN(_xlpm.steps)&gt;2,RIGHT(_xlpm.steps,2),_xlpm.steps)))</f>
        <v>32</v>
      </c>
      <c r="D1366">
        <f>_xlfn.LET(_xlpm.steps,SUBSTITUTE(Table13[[#This Row],[Input]],Table13[[#This Row],[Direction]],""),VALUE(IF(LEN(_xlpm.steps)&gt;2,LEFT(_xlpm.steps,LEN(_xlpm.steps)-2),0)))</f>
        <v>0</v>
      </c>
      <c r="E1366">
        <f>_xlfn.LET(_xlpm.dir,Table13[[#This Row],[Direction]],
IF(_xlpm.dir="L",
    IF(G1365-Table13[[#This Row],[Steps]]&lt;0,100+(G1365-Table13[[#This Row],[Steps]]),G1365-Table13[[#This Row],[Steps]]),
))</f>
        <v>0</v>
      </c>
      <c r="F1366">
        <f>_xlfn.LET(_xlpm.dir,Table13[[#This Row],[Direction]],
IF(_xlpm.dir="R",
    IF(G1365+Table13[[#This Row],[Steps]]&gt;99,(G1365+Table13[[#This Row],[Steps]])-100,G1365+Table13[[#This Row],[Steps]]),
))</f>
        <v>0</v>
      </c>
      <c r="G1366">
        <f>IF(Table13[[#This Row],[New Pos L]]&lt;&gt;0,Table13[[#This Row],[New Pos L]],Table13[[#This Row],[New Pos R]])</f>
        <v>0</v>
      </c>
      <c r="H1366">
        <f>IF(AND(Table13[[#This Row],[Direction]]="L",Table13[[#This Row],[Steps]]&gt;G1365,G1365&lt;&gt;0),1,0)</f>
        <v>0</v>
      </c>
      <c r="I1366">
        <f>IF(AND(Table13[[#This Row],[Direction]]="R",(G1365+Table13[[#This Row],[Steps]])&gt;100),1,0)</f>
        <v>0</v>
      </c>
      <c r="J1366">
        <f>IF(Table13[[#This Row],[POS]]=0,1,0)</f>
        <v>1</v>
      </c>
      <c r="K1366">
        <f>SUM(Table13[[#This Row],[prefix]],Table13[[#This Row],[Past zero L]],Table13[[#This Row],[Past Zero R]],Table13[[#This Row],[Is Zero]])</f>
        <v>1</v>
      </c>
    </row>
    <row r="1367" spans="1:11" ht="16" x14ac:dyDescent="0.2">
      <c r="A1367" s="1" t="s">
        <v>422</v>
      </c>
      <c r="B1367" t="str">
        <f>LEFT(Table13[[#This Row],[Input]],1)</f>
        <v>L</v>
      </c>
      <c r="C1367">
        <f>_xlfn.LET(_xlpm.steps,SUBSTITUTE(Table13[[#This Row],[Input]],Table13[[#This Row],[Direction]],""),VALUE(IF(LEN(_xlpm.steps)&gt;2,RIGHT(_xlpm.steps,2),_xlpm.steps)))</f>
        <v>16</v>
      </c>
      <c r="D1367">
        <f>_xlfn.LET(_xlpm.steps,SUBSTITUTE(Table13[[#This Row],[Input]],Table13[[#This Row],[Direction]],""),VALUE(IF(LEN(_xlpm.steps)&gt;2,LEFT(_xlpm.steps,LEN(_xlpm.steps)-2),0)))</f>
        <v>1</v>
      </c>
      <c r="E1367">
        <f>_xlfn.LET(_xlpm.dir,Table13[[#This Row],[Direction]],
IF(_xlpm.dir="L",
    IF(G1366-Table13[[#This Row],[Steps]]&lt;0,100+(G1366-Table13[[#This Row],[Steps]]),G1366-Table13[[#This Row],[Steps]]),
))</f>
        <v>84</v>
      </c>
      <c r="F1367">
        <f>_xlfn.LET(_xlpm.dir,Table13[[#This Row],[Direction]],
IF(_xlpm.dir="R",
    IF(G1366+Table13[[#This Row],[Steps]]&gt;99,(G1366+Table13[[#This Row],[Steps]])-100,G1366+Table13[[#This Row],[Steps]]),
))</f>
        <v>0</v>
      </c>
      <c r="G1367">
        <f>IF(Table13[[#This Row],[New Pos L]]&lt;&gt;0,Table13[[#This Row],[New Pos L]],Table13[[#This Row],[New Pos R]])</f>
        <v>84</v>
      </c>
      <c r="H1367">
        <f>IF(AND(Table13[[#This Row],[Direction]]="L",Table13[[#This Row],[Steps]]&gt;G1366,G1366&lt;&gt;0),1,0)</f>
        <v>0</v>
      </c>
      <c r="I1367">
        <f>IF(AND(Table13[[#This Row],[Direction]]="R",(G1366+Table13[[#This Row],[Steps]])&gt;100),1,0)</f>
        <v>0</v>
      </c>
      <c r="J1367">
        <f>IF(Table13[[#This Row],[POS]]=0,1,0)</f>
        <v>0</v>
      </c>
      <c r="K1367">
        <f>SUM(Table13[[#This Row],[prefix]],Table13[[#This Row],[Past zero L]],Table13[[#This Row],[Past Zero R]],Table13[[#This Row],[Is Zero]])</f>
        <v>1</v>
      </c>
    </row>
    <row r="1368" spans="1:11" ht="16" x14ac:dyDescent="0.2">
      <c r="A1368" s="1" t="s">
        <v>60</v>
      </c>
      <c r="B1368" t="str">
        <f>LEFT(Table13[[#This Row],[Input]],1)</f>
        <v>R</v>
      </c>
      <c r="C1368">
        <f>_xlfn.LET(_xlpm.steps,SUBSTITUTE(Table13[[#This Row],[Input]],Table13[[#This Row],[Direction]],""),VALUE(IF(LEN(_xlpm.steps)&gt;2,RIGHT(_xlpm.steps,2),_xlpm.steps)))</f>
        <v>86</v>
      </c>
      <c r="D1368">
        <f>_xlfn.LET(_xlpm.steps,SUBSTITUTE(Table13[[#This Row],[Input]],Table13[[#This Row],[Direction]],""),VALUE(IF(LEN(_xlpm.steps)&gt;2,LEFT(_xlpm.steps,LEN(_xlpm.steps)-2),0)))</f>
        <v>0</v>
      </c>
      <c r="E1368">
        <f>_xlfn.LET(_xlpm.dir,Table13[[#This Row],[Direction]],
IF(_xlpm.dir="L",
    IF(G1367-Table13[[#This Row],[Steps]]&lt;0,100+(G1367-Table13[[#This Row],[Steps]]),G1367-Table13[[#This Row],[Steps]]),
))</f>
        <v>0</v>
      </c>
      <c r="F1368">
        <f>_xlfn.LET(_xlpm.dir,Table13[[#This Row],[Direction]],
IF(_xlpm.dir="R",
    IF(G1367+Table13[[#This Row],[Steps]]&gt;99,(G1367+Table13[[#This Row],[Steps]])-100,G1367+Table13[[#This Row],[Steps]]),
))</f>
        <v>70</v>
      </c>
      <c r="G1368">
        <f>IF(Table13[[#This Row],[New Pos L]]&lt;&gt;0,Table13[[#This Row],[New Pos L]],Table13[[#This Row],[New Pos R]])</f>
        <v>70</v>
      </c>
      <c r="H1368">
        <f>IF(AND(Table13[[#This Row],[Direction]]="L",Table13[[#This Row],[Steps]]&gt;G1367,G1367&lt;&gt;0),1,0)</f>
        <v>0</v>
      </c>
      <c r="I1368">
        <f>IF(AND(Table13[[#This Row],[Direction]]="R",(G1367+Table13[[#This Row],[Steps]])&gt;100),1,0)</f>
        <v>1</v>
      </c>
      <c r="J1368">
        <f>IF(Table13[[#This Row],[POS]]=0,1,0)</f>
        <v>0</v>
      </c>
      <c r="K1368">
        <f>SUM(Table13[[#This Row],[prefix]],Table13[[#This Row],[Past zero L]],Table13[[#This Row],[Past Zero R]],Table13[[#This Row],[Is Zero]])</f>
        <v>1</v>
      </c>
    </row>
    <row r="1369" spans="1:11" ht="16" x14ac:dyDescent="0.2">
      <c r="A1369" s="1" t="s">
        <v>423</v>
      </c>
      <c r="B1369" t="str">
        <f>LEFT(Table13[[#This Row],[Input]],1)</f>
        <v>R</v>
      </c>
      <c r="C1369">
        <f>_xlfn.LET(_xlpm.steps,SUBSTITUTE(Table13[[#This Row],[Input]],Table13[[#This Row],[Direction]],""),VALUE(IF(LEN(_xlpm.steps)&gt;2,RIGHT(_xlpm.steps,2),_xlpm.steps)))</f>
        <v>69</v>
      </c>
      <c r="D1369">
        <f>_xlfn.LET(_xlpm.steps,SUBSTITUTE(Table13[[#This Row],[Input]],Table13[[#This Row],[Direction]],""),VALUE(IF(LEN(_xlpm.steps)&gt;2,LEFT(_xlpm.steps,LEN(_xlpm.steps)-2),0)))</f>
        <v>4</v>
      </c>
      <c r="E1369">
        <f>_xlfn.LET(_xlpm.dir,Table13[[#This Row],[Direction]],
IF(_xlpm.dir="L",
    IF(G1368-Table13[[#This Row],[Steps]]&lt;0,100+(G1368-Table13[[#This Row],[Steps]]),G1368-Table13[[#This Row],[Steps]]),
))</f>
        <v>0</v>
      </c>
      <c r="F1369">
        <f>_xlfn.LET(_xlpm.dir,Table13[[#This Row],[Direction]],
IF(_xlpm.dir="R",
    IF(G1368+Table13[[#This Row],[Steps]]&gt;99,(G1368+Table13[[#This Row],[Steps]])-100,G1368+Table13[[#This Row],[Steps]]),
))</f>
        <v>39</v>
      </c>
      <c r="G1369">
        <f>IF(Table13[[#This Row],[New Pos L]]&lt;&gt;0,Table13[[#This Row],[New Pos L]],Table13[[#This Row],[New Pos R]])</f>
        <v>39</v>
      </c>
      <c r="H1369">
        <f>IF(AND(Table13[[#This Row],[Direction]]="L",Table13[[#This Row],[Steps]]&gt;G1368,G1368&lt;&gt;0),1,0)</f>
        <v>0</v>
      </c>
      <c r="I1369">
        <f>IF(AND(Table13[[#This Row],[Direction]]="R",(G1368+Table13[[#This Row],[Steps]])&gt;100),1,0)</f>
        <v>1</v>
      </c>
      <c r="J1369">
        <f>IF(Table13[[#This Row],[POS]]=0,1,0)</f>
        <v>0</v>
      </c>
      <c r="K1369">
        <f>SUM(Table13[[#This Row],[prefix]],Table13[[#This Row],[Past zero L]],Table13[[#This Row],[Past Zero R]],Table13[[#This Row],[Is Zero]])</f>
        <v>5</v>
      </c>
    </row>
    <row r="1370" spans="1:11" ht="16" x14ac:dyDescent="0.2">
      <c r="A1370" s="1" t="s">
        <v>185</v>
      </c>
      <c r="B1370" t="str">
        <f>LEFT(Table13[[#This Row],[Input]],1)</f>
        <v>R</v>
      </c>
      <c r="C1370">
        <f>_xlfn.LET(_xlpm.steps,SUBSTITUTE(Table13[[#This Row],[Input]],Table13[[#This Row],[Direction]],""),VALUE(IF(LEN(_xlpm.steps)&gt;2,RIGHT(_xlpm.steps,2),_xlpm.steps)))</f>
        <v>61</v>
      </c>
      <c r="D1370">
        <f>_xlfn.LET(_xlpm.steps,SUBSTITUTE(Table13[[#This Row],[Input]],Table13[[#This Row],[Direction]],""),VALUE(IF(LEN(_xlpm.steps)&gt;2,LEFT(_xlpm.steps,LEN(_xlpm.steps)-2),0)))</f>
        <v>0</v>
      </c>
      <c r="E1370">
        <f>_xlfn.LET(_xlpm.dir,Table13[[#This Row],[Direction]],
IF(_xlpm.dir="L",
    IF(G1369-Table13[[#This Row],[Steps]]&lt;0,100+(G1369-Table13[[#This Row],[Steps]]),G1369-Table13[[#This Row],[Steps]]),
))</f>
        <v>0</v>
      </c>
      <c r="F1370">
        <f>_xlfn.LET(_xlpm.dir,Table13[[#This Row],[Direction]],
IF(_xlpm.dir="R",
    IF(G1369+Table13[[#This Row],[Steps]]&gt;99,(G1369+Table13[[#This Row],[Steps]])-100,G1369+Table13[[#This Row],[Steps]]),
))</f>
        <v>0</v>
      </c>
      <c r="G1370">
        <f>IF(Table13[[#This Row],[New Pos L]]&lt;&gt;0,Table13[[#This Row],[New Pos L]],Table13[[#This Row],[New Pos R]])</f>
        <v>0</v>
      </c>
      <c r="H1370">
        <f>IF(AND(Table13[[#This Row],[Direction]]="L",Table13[[#This Row],[Steps]]&gt;G1369,G1369&lt;&gt;0),1,0)</f>
        <v>0</v>
      </c>
      <c r="I1370">
        <f>IF(AND(Table13[[#This Row],[Direction]]="R",(G1369+Table13[[#This Row],[Steps]])&gt;100),1,0)</f>
        <v>0</v>
      </c>
      <c r="J1370">
        <f>IF(Table13[[#This Row],[POS]]=0,1,0)</f>
        <v>1</v>
      </c>
      <c r="K1370">
        <f>SUM(Table13[[#This Row],[prefix]],Table13[[#This Row],[Past zero L]],Table13[[#This Row],[Past Zero R]],Table13[[#This Row],[Is Zero]])</f>
        <v>1</v>
      </c>
    </row>
    <row r="1371" spans="1:11" ht="16" x14ac:dyDescent="0.2">
      <c r="A1371" s="1" t="s">
        <v>293</v>
      </c>
      <c r="B1371" t="str">
        <f>LEFT(Table13[[#This Row],[Input]],1)</f>
        <v>R</v>
      </c>
      <c r="C1371">
        <f>_xlfn.LET(_xlpm.steps,SUBSTITUTE(Table13[[#This Row],[Input]],Table13[[#This Row],[Direction]],""),VALUE(IF(LEN(_xlpm.steps)&gt;2,RIGHT(_xlpm.steps,2),_xlpm.steps)))</f>
        <v>67</v>
      </c>
      <c r="D1371">
        <f>_xlfn.LET(_xlpm.steps,SUBSTITUTE(Table13[[#This Row],[Input]],Table13[[#This Row],[Direction]],""),VALUE(IF(LEN(_xlpm.steps)&gt;2,LEFT(_xlpm.steps,LEN(_xlpm.steps)-2),0)))</f>
        <v>0</v>
      </c>
      <c r="E1371">
        <f>_xlfn.LET(_xlpm.dir,Table13[[#This Row],[Direction]],
IF(_xlpm.dir="L",
    IF(G1370-Table13[[#This Row],[Steps]]&lt;0,100+(G1370-Table13[[#This Row],[Steps]]),G1370-Table13[[#This Row],[Steps]]),
))</f>
        <v>0</v>
      </c>
      <c r="F1371">
        <f>_xlfn.LET(_xlpm.dir,Table13[[#This Row],[Direction]],
IF(_xlpm.dir="R",
    IF(G1370+Table13[[#This Row],[Steps]]&gt;99,(G1370+Table13[[#This Row],[Steps]])-100,G1370+Table13[[#This Row],[Steps]]),
))</f>
        <v>67</v>
      </c>
      <c r="G1371">
        <f>IF(Table13[[#This Row],[New Pos L]]&lt;&gt;0,Table13[[#This Row],[New Pos L]],Table13[[#This Row],[New Pos R]])</f>
        <v>67</v>
      </c>
      <c r="H1371">
        <f>IF(AND(Table13[[#This Row],[Direction]]="L",Table13[[#This Row],[Steps]]&gt;G1370,G1370&lt;&gt;0),1,0)</f>
        <v>0</v>
      </c>
      <c r="I1371">
        <f>IF(AND(Table13[[#This Row],[Direction]]="R",(G1370+Table13[[#This Row],[Steps]])&gt;100),1,0)</f>
        <v>0</v>
      </c>
      <c r="J1371">
        <f>IF(Table13[[#This Row],[POS]]=0,1,0)</f>
        <v>0</v>
      </c>
      <c r="K1371">
        <f>SUM(Table13[[#This Row],[prefix]],Table13[[#This Row],[Past zero L]],Table13[[#This Row],[Past Zero R]],Table13[[#This Row],[Is Zero]])</f>
        <v>0</v>
      </c>
    </row>
    <row r="1372" spans="1:11" ht="16" x14ac:dyDescent="0.2">
      <c r="A1372" s="1" t="s">
        <v>193</v>
      </c>
      <c r="B1372" t="str">
        <f>LEFT(Table13[[#This Row],[Input]],1)</f>
        <v>L</v>
      </c>
      <c r="C1372">
        <f>_xlfn.LET(_xlpm.steps,SUBSTITUTE(Table13[[#This Row],[Input]],Table13[[#This Row],[Direction]],""),VALUE(IF(LEN(_xlpm.steps)&gt;2,RIGHT(_xlpm.steps,2),_xlpm.steps)))</f>
        <v>12</v>
      </c>
      <c r="D1372">
        <f>_xlfn.LET(_xlpm.steps,SUBSTITUTE(Table13[[#This Row],[Input]],Table13[[#This Row],[Direction]],""),VALUE(IF(LEN(_xlpm.steps)&gt;2,LEFT(_xlpm.steps,LEN(_xlpm.steps)-2),0)))</f>
        <v>0</v>
      </c>
      <c r="E1372">
        <f>_xlfn.LET(_xlpm.dir,Table13[[#This Row],[Direction]],
IF(_xlpm.dir="L",
    IF(G1371-Table13[[#This Row],[Steps]]&lt;0,100+(G1371-Table13[[#This Row],[Steps]]),G1371-Table13[[#This Row],[Steps]]),
))</f>
        <v>55</v>
      </c>
      <c r="F1372">
        <f>_xlfn.LET(_xlpm.dir,Table13[[#This Row],[Direction]],
IF(_xlpm.dir="R",
    IF(G1371+Table13[[#This Row],[Steps]]&gt;99,(G1371+Table13[[#This Row],[Steps]])-100,G1371+Table13[[#This Row],[Steps]]),
))</f>
        <v>0</v>
      </c>
      <c r="G1372">
        <f>IF(Table13[[#This Row],[New Pos L]]&lt;&gt;0,Table13[[#This Row],[New Pos L]],Table13[[#This Row],[New Pos R]])</f>
        <v>55</v>
      </c>
      <c r="H1372">
        <f>IF(AND(Table13[[#This Row],[Direction]]="L",Table13[[#This Row],[Steps]]&gt;G1371,G1371&lt;&gt;0),1,0)</f>
        <v>0</v>
      </c>
      <c r="I1372">
        <f>IF(AND(Table13[[#This Row],[Direction]]="R",(G1371+Table13[[#This Row],[Steps]])&gt;100),1,0)</f>
        <v>0</v>
      </c>
      <c r="J1372">
        <f>IF(Table13[[#This Row],[POS]]=0,1,0)</f>
        <v>0</v>
      </c>
      <c r="K1372">
        <f>SUM(Table13[[#This Row],[prefix]],Table13[[#This Row],[Past zero L]],Table13[[#This Row],[Past Zero R]],Table13[[#This Row],[Is Zero]])</f>
        <v>0</v>
      </c>
    </row>
    <row r="1373" spans="1:11" ht="16" x14ac:dyDescent="0.2">
      <c r="A1373" s="1" t="s">
        <v>12</v>
      </c>
      <c r="B1373" t="str">
        <f>LEFT(Table13[[#This Row],[Input]],1)</f>
        <v>L</v>
      </c>
      <c r="C1373">
        <f>_xlfn.LET(_xlpm.steps,SUBSTITUTE(Table13[[#This Row],[Input]],Table13[[#This Row],[Direction]],""),VALUE(IF(LEN(_xlpm.steps)&gt;2,RIGHT(_xlpm.steps,2),_xlpm.steps)))</f>
        <v>11</v>
      </c>
      <c r="D1373">
        <f>_xlfn.LET(_xlpm.steps,SUBSTITUTE(Table13[[#This Row],[Input]],Table13[[#This Row],[Direction]],""),VALUE(IF(LEN(_xlpm.steps)&gt;2,LEFT(_xlpm.steps,LEN(_xlpm.steps)-2),0)))</f>
        <v>0</v>
      </c>
      <c r="E1373">
        <f>_xlfn.LET(_xlpm.dir,Table13[[#This Row],[Direction]],
IF(_xlpm.dir="L",
    IF(G1372-Table13[[#This Row],[Steps]]&lt;0,100+(G1372-Table13[[#This Row],[Steps]]),G1372-Table13[[#This Row],[Steps]]),
))</f>
        <v>44</v>
      </c>
      <c r="F1373">
        <f>_xlfn.LET(_xlpm.dir,Table13[[#This Row],[Direction]],
IF(_xlpm.dir="R",
    IF(G1372+Table13[[#This Row],[Steps]]&gt;99,(G1372+Table13[[#This Row],[Steps]])-100,G1372+Table13[[#This Row],[Steps]]),
))</f>
        <v>0</v>
      </c>
      <c r="G1373">
        <f>IF(Table13[[#This Row],[New Pos L]]&lt;&gt;0,Table13[[#This Row],[New Pos L]],Table13[[#This Row],[New Pos R]])</f>
        <v>44</v>
      </c>
      <c r="H1373">
        <f>IF(AND(Table13[[#This Row],[Direction]]="L",Table13[[#This Row],[Steps]]&gt;G1372,G1372&lt;&gt;0),1,0)</f>
        <v>0</v>
      </c>
      <c r="I1373">
        <f>IF(AND(Table13[[#This Row],[Direction]]="R",(G1372+Table13[[#This Row],[Steps]])&gt;100),1,0)</f>
        <v>0</v>
      </c>
      <c r="J1373">
        <f>IF(Table13[[#This Row],[POS]]=0,1,0)</f>
        <v>0</v>
      </c>
      <c r="K1373">
        <f>SUM(Table13[[#This Row],[prefix]],Table13[[#This Row],[Past zero L]],Table13[[#This Row],[Past Zero R]],Table13[[#This Row],[Is Zero]])</f>
        <v>0</v>
      </c>
    </row>
    <row r="1374" spans="1:11" ht="16" x14ac:dyDescent="0.2">
      <c r="A1374" s="1" t="s">
        <v>50</v>
      </c>
      <c r="B1374" t="str">
        <f>LEFT(Table13[[#This Row],[Input]],1)</f>
        <v>R</v>
      </c>
      <c r="C1374">
        <f>_xlfn.LET(_xlpm.steps,SUBSTITUTE(Table13[[#This Row],[Input]],Table13[[#This Row],[Direction]],""),VALUE(IF(LEN(_xlpm.steps)&gt;2,RIGHT(_xlpm.steps,2),_xlpm.steps)))</f>
        <v>78</v>
      </c>
      <c r="D1374">
        <f>_xlfn.LET(_xlpm.steps,SUBSTITUTE(Table13[[#This Row],[Input]],Table13[[#This Row],[Direction]],""),VALUE(IF(LEN(_xlpm.steps)&gt;2,LEFT(_xlpm.steps,LEN(_xlpm.steps)-2),0)))</f>
        <v>0</v>
      </c>
      <c r="E1374">
        <f>_xlfn.LET(_xlpm.dir,Table13[[#This Row],[Direction]],
IF(_xlpm.dir="L",
    IF(G1373-Table13[[#This Row],[Steps]]&lt;0,100+(G1373-Table13[[#This Row],[Steps]]),G1373-Table13[[#This Row],[Steps]]),
))</f>
        <v>0</v>
      </c>
      <c r="F1374">
        <f>_xlfn.LET(_xlpm.dir,Table13[[#This Row],[Direction]],
IF(_xlpm.dir="R",
    IF(G1373+Table13[[#This Row],[Steps]]&gt;99,(G1373+Table13[[#This Row],[Steps]])-100,G1373+Table13[[#This Row],[Steps]]),
))</f>
        <v>22</v>
      </c>
      <c r="G1374">
        <f>IF(Table13[[#This Row],[New Pos L]]&lt;&gt;0,Table13[[#This Row],[New Pos L]],Table13[[#This Row],[New Pos R]])</f>
        <v>22</v>
      </c>
      <c r="H1374">
        <f>IF(AND(Table13[[#This Row],[Direction]]="L",Table13[[#This Row],[Steps]]&gt;G1373,G1373&lt;&gt;0),1,0)</f>
        <v>0</v>
      </c>
      <c r="I1374">
        <f>IF(AND(Table13[[#This Row],[Direction]]="R",(G1373+Table13[[#This Row],[Steps]])&gt;100),1,0)</f>
        <v>1</v>
      </c>
      <c r="J1374">
        <f>IF(Table13[[#This Row],[POS]]=0,1,0)</f>
        <v>0</v>
      </c>
      <c r="K1374">
        <f>SUM(Table13[[#This Row],[prefix]],Table13[[#This Row],[Past zero L]],Table13[[#This Row],[Past Zero R]],Table13[[#This Row],[Is Zero]])</f>
        <v>1</v>
      </c>
    </row>
    <row r="1375" spans="1:11" ht="16" x14ac:dyDescent="0.2">
      <c r="A1375" s="1" t="s">
        <v>91</v>
      </c>
      <c r="B1375" t="str">
        <f>LEFT(Table13[[#This Row],[Input]],1)</f>
        <v>L</v>
      </c>
      <c r="C1375">
        <f>_xlfn.LET(_xlpm.steps,SUBSTITUTE(Table13[[#This Row],[Input]],Table13[[#This Row],[Direction]],""),VALUE(IF(LEN(_xlpm.steps)&gt;2,RIGHT(_xlpm.steps,2),_xlpm.steps)))</f>
        <v>22</v>
      </c>
      <c r="D1375">
        <f>_xlfn.LET(_xlpm.steps,SUBSTITUTE(Table13[[#This Row],[Input]],Table13[[#This Row],[Direction]],""),VALUE(IF(LEN(_xlpm.steps)&gt;2,LEFT(_xlpm.steps,LEN(_xlpm.steps)-2),0)))</f>
        <v>0</v>
      </c>
      <c r="E1375">
        <f>_xlfn.LET(_xlpm.dir,Table13[[#This Row],[Direction]],
IF(_xlpm.dir="L",
    IF(G1374-Table13[[#This Row],[Steps]]&lt;0,100+(G1374-Table13[[#This Row],[Steps]]),G1374-Table13[[#This Row],[Steps]]),
))</f>
        <v>0</v>
      </c>
      <c r="F1375">
        <f>_xlfn.LET(_xlpm.dir,Table13[[#This Row],[Direction]],
IF(_xlpm.dir="R",
    IF(G1374+Table13[[#This Row],[Steps]]&gt;99,(G1374+Table13[[#This Row],[Steps]])-100,G1374+Table13[[#This Row],[Steps]]),
))</f>
        <v>0</v>
      </c>
      <c r="G1375">
        <f>IF(Table13[[#This Row],[New Pos L]]&lt;&gt;0,Table13[[#This Row],[New Pos L]],Table13[[#This Row],[New Pos R]])</f>
        <v>0</v>
      </c>
      <c r="H1375">
        <f>IF(AND(Table13[[#This Row],[Direction]]="L",Table13[[#This Row],[Steps]]&gt;G1374,G1374&lt;&gt;0),1,0)</f>
        <v>0</v>
      </c>
      <c r="I1375">
        <f>IF(AND(Table13[[#This Row],[Direction]]="R",(G1374+Table13[[#This Row],[Steps]])&gt;100),1,0)</f>
        <v>0</v>
      </c>
      <c r="J1375">
        <f>IF(Table13[[#This Row],[POS]]=0,1,0)</f>
        <v>1</v>
      </c>
      <c r="K1375">
        <f>SUM(Table13[[#This Row],[prefix]],Table13[[#This Row],[Past zero L]],Table13[[#This Row],[Past Zero R]],Table13[[#This Row],[Is Zero]])</f>
        <v>1</v>
      </c>
    </row>
    <row r="1376" spans="1:11" ht="16" x14ac:dyDescent="0.2">
      <c r="A1376" s="1" t="s">
        <v>83</v>
      </c>
      <c r="B1376" t="str">
        <f>LEFT(Table13[[#This Row],[Input]],1)</f>
        <v>R</v>
      </c>
      <c r="C1376">
        <f>_xlfn.LET(_xlpm.steps,SUBSTITUTE(Table13[[#This Row],[Input]],Table13[[#This Row],[Direction]],""),VALUE(IF(LEN(_xlpm.steps)&gt;2,RIGHT(_xlpm.steps,2),_xlpm.steps)))</f>
        <v>79</v>
      </c>
      <c r="D1376">
        <f>_xlfn.LET(_xlpm.steps,SUBSTITUTE(Table13[[#This Row],[Input]],Table13[[#This Row],[Direction]],""),VALUE(IF(LEN(_xlpm.steps)&gt;2,LEFT(_xlpm.steps,LEN(_xlpm.steps)-2),0)))</f>
        <v>0</v>
      </c>
      <c r="E1376">
        <f>_xlfn.LET(_xlpm.dir,Table13[[#This Row],[Direction]],
IF(_xlpm.dir="L",
    IF(G1375-Table13[[#This Row],[Steps]]&lt;0,100+(G1375-Table13[[#This Row],[Steps]]),G1375-Table13[[#This Row],[Steps]]),
))</f>
        <v>0</v>
      </c>
      <c r="F1376">
        <f>_xlfn.LET(_xlpm.dir,Table13[[#This Row],[Direction]],
IF(_xlpm.dir="R",
    IF(G1375+Table13[[#This Row],[Steps]]&gt;99,(G1375+Table13[[#This Row],[Steps]])-100,G1375+Table13[[#This Row],[Steps]]),
))</f>
        <v>79</v>
      </c>
      <c r="G1376">
        <f>IF(Table13[[#This Row],[New Pos L]]&lt;&gt;0,Table13[[#This Row],[New Pos L]],Table13[[#This Row],[New Pos R]])</f>
        <v>79</v>
      </c>
      <c r="H1376">
        <f>IF(AND(Table13[[#This Row],[Direction]]="L",Table13[[#This Row],[Steps]]&gt;G1375,G1375&lt;&gt;0),1,0)</f>
        <v>0</v>
      </c>
      <c r="I1376">
        <f>IF(AND(Table13[[#This Row],[Direction]]="R",(G1375+Table13[[#This Row],[Steps]])&gt;100),1,0)</f>
        <v>0</v>
      </c>
      <c r="J1376">
        <f>IF(Table13[[#This Row],[POS]]=0,1,0)</f>
        <v>0</v>
      </c>
      <c r="K1376">
        <f>SUM(Table13[[#This Row],[prefix]],Table13[[#This Row],[Past zero L]],Table13[[#This Row],[Past Zero R]],Table13[[#This Row],[Is Zero]])</f>
        <v>0</v>
      </c>
    </row>
    <row r="1377" spans="1:11" ht="16" x14ac:dyDescent="0.2">
      <c r="A1377" s="1" t="s">
        <v>293</v>
      </c>
      <c r="B1377" t="str">
        <f>LEFT(Table13[[#This Row],[Input]],1)</f>
        <v>R</v>
      </c>
      <c r="C1377">
        <f>_xlfn.LET(_xlpm.steps,SUBSTITUTE(Table13[[#This Row],[Input]],Table13[[#This Row],[Direction]],""),VALUE(IF(LEN(_xlpm.steps)&gt;2,RIGHT(_xlpm.steps,2),_xlpm.steps)))</f>
        <v>67</v>
      </c>
      <c r="D1377">
        <f>_xlfn.LET(_xlpm.steps,SUBSTITUTE(Table13[[#This Row],[Input]],Table13[[#This Row],[Direction]],""),VALUE(IF(LEN(_xlpm.steps)&gt;2,LEFT(_xlpm.steps,LEN(_xlpm.steps)-2),0)))</f>
        <v>0</v>
      </c>
      <c r="E1377">
        <f>_xlfn.LET(_xlpm.dir,Table13[[#This Row],[Direction]],
IF(_xlpm.dir="L",
    IF(G1376-Table13[[#This Row],[Steps]]&lt;0,100+(G1376-Table13[[#This Row],[Steps]]),G1376-Table13[[#This Row],[Steps]]),
))</f>
        <v>0</v>
      </c>
      <c r="F1377">
        <f>_xlfn.LET(_xlpm.dir,Table13[[#This Row],[Direction]],
IF(_xlpm.dir="R",
    IF(G1376+Table13[[#This Row],[Steps]]&gt;99,(G1376+Table13[[#This Row],[Steps]])-100,G1376+Table13[[#This Row],[Steps]]),
))</f>
        <v>46</v>
      </c>
      <c r="G1377">
        <f>IF(Table13[[#This Row],[New Pos L]]&lt;&gt;0,Table13[[#This Row],[New Pos L]],Table13[[#This Row],[New Pos R]])</f>
        <v>46</v>
      </c>
      <c r="H1377">
        <f>IF(AND(Table13[[#This Row],[Direction]]="L",Table13[[#This Row],[Steps]]&gt;G1376,G1376&lt;&gt;0),1,0)</f>
        <v>0</v>
      </c>
      <c r="I1377">
        <f>IF(AND(Table13[[#This Row],[Direction]]="R",(G1376+Table13[[#This Row],[Steps]])&gt;100),1,0)</f>
        <v>1</v>
      </c>
      <c r="J1377">
        <f>IF(Table13[[#This Row],[POS]]=0,1,0)</f>
        <v>0</v>
      </c>
      <c r="K1377">
        <f>SUM(Table13[[#This Row],[prefix]],Table13[[#This Row],[Past zero L]],Table13[[#This Row],[Past Zero R]],Table13[[#This Row],[Is Zero]])</f>
        <v>1</v>
      </c>
    </row>
    <row r="1378" spans="1:11" ht="16" x14ac:dyDescent="0.2">
      <c r="A1378" s="1" t="s">
        <v>59</v>
      </c>
      <c r="B1378" t="str">
        <f>LEFT(Table13[[#This Row],[Input]],1)</f>
        <v>L</v>
      </c>
      <c r="C1378">
        <f>_xlfn.LET(_xlpm.steps,SUBSTITUTE(Table13[[#This Row],[Input]],Table13[[#This Row],[Direction]],""),VALUE(IF(LEN(_xlpm.steps)&gt;2,RIGHT(_xlpm.steps,2),_xlpm.steps)))</f>
        <v>6</v>
      </c>
      <c r="D1378">
        <f>_xlfn.LET(_xlpm.steps,SUBSTITUTE(Table13[[#This Row],[Input]],Table13[[#This Row],[Direction]],""),VALUE(IF(LEN(_xlpm.steps)&gt;2,LEFT(_xlpm.steps,LEN(_xlpm.steps)-2),0)))</f>
        <v>0</v>
      </c>
      <c r="E1378">
        <f>_xlfn.LET(_xlpm.dir,Table13[[#This Row],[Direction]],
IF(_xlpm.dir="L",
    IF(G1377-Table13[[#This Row],[Steps]]&lt;0,100+(G1377-Table13[[#This Row],[Steps]]),G1377-Table13[[#This Row],[Steps]]),
))</f>
        <v>40</v>
      </c>
      <c r="F1378">
        <f>_xlfn.LET(_xlpm.dir,Table13[[#This Row],[Direction]],
IF(_xlpm.dir="R",
    IF(G1377+Table13[[#This Row],[Steps]]&gt;99,(G1377+Table13[[#This Row],[Steps]])-100,G1377+Table13[[#This Row],[Steps]]),
))</f>
        <v>0</v>
      </c>
      <c r="G1378">
        <f>IF(Table13[[#This Row],[New Pos L]]&lt;&gt;0,Table13[[#This Row],[New Pos L]],Table13[[#This Row],[New Pos R]])</f>
        <v>40</v>
      </c>
      <c r="H1378">
        <f>IF(AND(Table13[[#This Row],[Direction]]="L",Table13[[#This Row],[Steps]]&gt;G1377,G1377&lt;&gt;0),1,0)</f>
        <v>0</v>
      </c>
      <c r="I1378">
        <f>IF(AND(Table13[[#This Row],[Direction]]="R",(G1377+Table13[[#This Row],[Steps]])&gt;100),1,0)</f>
        <v>0</v>
      </c>
      <c r="J1378">
        <f>IF(Table13[[#This Row],[POS]]=0,1,0)</f>
        <v>0</v>
      </c>
      <c r="K1378">
        <f>SUM(Table13[[#This Row],[prefix]],Table13[[#This Row],[Past zero L]],Table13[[#This Row],[Past Zero R]],Table13[[#This Row],[Is Zero]])</f>
        <v>0</v>
      </c>
    </row>
    <row r="1379" spans="1:11" ht="16" x14ac:dyDescent="0.2">
      <c r="A1379" s="1" t="s">
        <v>241</v>
      </c>
      <c r="B1379" t="str">
        <f>LEFT(Table13[[#This Row],[Input]],1)</f>
        <v>R</v>
      </c>
      <c r="C1379">
        <f>_xlfn.LET(_xlpm.steps,SUBSTITUTE(Table13[[#This Row],[Input]],Table13[[#This Row],[Direction]],""),VALUE(IF(LEN(_xlpm.steps)&gt;2,RIGHT(_xlpm.steps,2),_xlpm.steps)))</f>
        <v>60</v>
      </c>
      <c r="D1379">
        <f>_xlfn.LET(_xlpm.steps,SUBSTITUTE(Table13[[#This Row],[Input]],Table13[[#This Row],[Direction]],""),VALUE(IF(LEN(_xlpm.steps)&gt;2,LEFT(_xlpm.steps,LEN(_xlpm.steps)-2),0)))</f>
        <v>0</v>
      </c>
      <c r="E1379">
        <f>_xlfn.LET(_xlpm.dir,Table13[[#This Row],[Direction]],
IF(_xlpm.dir="L",
    IF(G1378-Table13[[#This Row],[Steps]]&lt;0,100+(G1378-Table13[[#This Row],[Steps]]),G1378-Table13[[#This Row],[Steps]]),
))</f>
        <v>0</v>
      </c>
      <c r="F1379">
        <f>_xlfn.LET(_xlpm.dir,Table13[[#This Row],[Direction]],
IF(_xlpm.dir="R",
    IF(G1378+Table13[[#This Row],[Steps]]&gt;99,(G1378+Table13[[#This Row],[Steps]])-100,G1378+Table13[[#This Row],[Steps]]),
))</f>
        <v>0</v>
      </c>
      <c r="G1379">
        <f>IF(Table13[[#This Row],[New Pos L]]&lt;&gt;0,Table13[[#This Row],[New Pos L]],Table13[[#This Row],[New Pos R]])</f>
        <v>0</v>
      </c>
      <c r="H1379">
        <f>IF(AND(Table13[[#This Row],[Direction]]="L",Table13[[#This Row],[Steps]]&gt;G1378,G1378&lt;&gt;0),1,0)</f>
        <v>0</v>
      </c>
      <c r="I1379">
        <f>IF(AND(Table13[[#This Row],[Direction]]="R",(G1378+Table13[[#This Row],[Steps]])&gt;100),1,0)</f>
        <v>0</v>
      </c>
      <c r="J1379">
        <f>IF(Table13[[#This Row],[POS]]=0,1,0)</f>
        <v>1</v>
      </c>
      <c r="K1379">
        <f>SUM(Table13[[#This Row],[prefix]],Table13[[#This Row],[Past zero L]],Table13[[#This Row],[Past Zero R]],Table13[[#This Row],[Is Zero]])</f>
        <v>1</v>
      </c>
    </row>
    <row r="1380" spans="1:11" ht="16" x14ac:dyDescent="0.2">
      <c r="A1380" s="1" t="s">
        <v>139</v>
      </c>
      <c r="B1380" t="str">
        <f>LEFT(Table13[[#This Row],[Input]],1)</f>
        <v>R</v>
      </c>
      <c r="C1380">
        <f>_xlfn.LET(_xlpm.steps,SUBSTITUTE(Table13[[#This Row],[Input]],Table13[[#This Row],[Direction]],""),VALUE(IF(LEN(_xlpm.steps)&gt;2,RIGHT(_xlpm.steps,2),_xlpm.steps)))</f>
        <v>38</v>
      </c>
      <c r="D1380">
        <f>_xlfn.LET(_xlpm.steps,SUBSTITUTE(Table13[[#This Row],[Input]],Table13[[#This Row],[Direction]],""),VALUE(IF(LEN(_xlpm.steps)&gt;2,LEFT(_xlpm.steps,LEN(_xlpm.steps)-2),0)))</f>
        <v>0</v>
      </c>
      <c r="E1380">
        <f>_xlfn.LET(_xlpm.dir,Table13[[#This Row],[Direction]],
IF(_xlpm.dir="L",
    IF(G1379-Table13[[#This Row],[Steps]]&lt;0,100+(G1379-Table13[[#This Row],[Steps]]),G1379-Table13[[#This Row],[Steps]]),
))</f>
        <v>0</v>
      </c>
      <c r="F1380">
        <f>_xlfn.LET(_xlpm.dir,Table13[[#This Row],[Direction]],
IF(_xlpm.dir="R",
    IF(G1379+Table13[[#This Row],[Steps]]&gt;99,(G1379+Table13[[#This Row],[Steps]])-100,G1379+Table13[[#This Row],[Steps]]),
))</f>
        <v>38</v>
      </c>
      <c r="G1380">
        <f>IF(Table13[[#This Row],[New Pos L]]&lt;&gt;0,Table13[[#This Row],[New Pos L]],Table13[[#This Row],[New Pos R]])</f>
        <v>38</v>
      </c>
      <c r="H1380">
        <f>IF(AND(Table13[[#This Row],[Direction]]="L",Table13[[#This Row],[Steps]]&gt;G1379,G1379&lt;&gt;0),1,0)</f>
        <v>0</v>
      </c>
      <c r="I1380">
        <f>IF(AND(Table13[[#This Row],[Direction]]="R",(G1379+Table13[[#This Row],[Steps]])&gt;100),1,0)</f>
        <v>0</v>
      </c>
      <c r="J1380">
        <f>IF(Table13[[#This Row],[POS]]=0,1,0)</f>
        <v>0</v>
      </c>
      <c r="K1380">
        <f>SUM(Table13[[#This Row],[prefix]],Table13[[#This Row],[Past zero L]],Table13[[#This Row],[Past Zero R]],Table13[[#This Row],[Is Zero]])</f>
        <v>0</v>
      </c>
    </row>
    <row r="1381" spans="1:11" ht="16" x14ac:dyDescent="0.2">
      <c r="A1381" s="1" t="s">
        <v>138</v>
      </c>
      <c r="B1381" t="str">
        <f>LEFT(Table13[[#This Row],[Input]],1)</f>
        <v>L</v>
      </c>
      <c r="C1381">
        <f>_xlfn.LET(_xlpm.steps,SUBSTITUTE(Table13[[#This Row],[Input]],Table13[[#This Row],[Direction]],""),VALUE(IF(LEN(_xlpm.steps)&gt;2,RIGHT(_xlpm.steps,2),_xlpm.steps)))</f>
        <v>94</v>
      </c>
      <c r="D1381">
        <f>_xlfn.LET(_xlpm.steps,SUBSTITUTE(Table13[[#This Row],[Input]],Table13[[#This Row],[Direction]],""),VALUE(IF(LEN(_xlpm.steps)&gt;2,LEFT(_xlpm.steps,LEN(_xlpm.steps)-2),0)))</f>
        <v>0</v>
      </c>
      <c r="E1381">
        <f>_xlfn.LET(_xlpm.dir,Table13[[#This Row],[Direction]],
IF(_xlpm.dir="L",
    IF(G1380-Table13[[#This Row],[Steps]]&lt;0,100+(G1380-Table13[[#This Row],[Steps]]),G1380-Table13[[#This Row],[Steps]]),
))</f>
        <v>44</v>
      </c>
      <c r="F1381">
        <f>_xlfn.LET(_xlpm.dir,Table13[[#This Row],[Direction]],
IF(_xlpm.dir="R",
    IF(G1380+Table13[[#This Row],[Steps]]&gt;99,(G1380+Table13[[#This Row],[Steps]])-100,G1380+Table13[[#This Row],[Steps]]),
))</f>
        <v>0</v>
      </c>
      <c r="G1381">
        <f>IF(Table13[[#This Row],[New Pos L]]&lt;&gt;0,Table13[[#This Row],[New Pos L]],Table13[[#This Row],[New Pos R]])</f>
        <v>44</v>
      </c>
      <c r="H1381">
        <f>IF(AND(Table13[[#This Row],[Direction]]="L",Table13[[#This Row],[Steps]]&gt;G1380,G1380&lt;&gt;0),1,0)</f>
        <v>1</v>
      </c>
      <c r="I1381">
        <f>IF(AND(Table13[[#This Row],[Direction]]="R",(G1380+Table13[[#This Row],[Steps]])&gt;100),1,0)</f>
        <v>0</v>
      </c>
      <c r="J1381">
        <f>IF(Table13[[#This Row],[POS]]=0,1,0)</f>
        <v>0</v>
      </c>
      <c r="K1381">
        <f>SUM(Table13[[#This Row],[prefix]],Table13[[#This Row],[Past zero L]],Table13[[#This Row],[Past Zero R]],Table13[[#This Row],[Is Zero]])</f>
        <v>1</v>
      </c>
    </row>
    <row r="1382" spans="1:11" ht="16" x14ac:dyDescent="0.2">
      <c r="A1382" s="1" t="s">
        <v>424</v>
      </c>
      <c r="B1382" t="str">
        <f>LEFT(Table13[[#This Row],[Input]],1)</f>
        <v>L</v>
      </c>
      <c r="C1382">
        <f>_xlfn.LET(_xlpm.steps,SUBSTITUTE(Table13[[#This Row],[Input]],Table13[[#This Row],[Direction]],""),VALUE(IF(LEN(_xlpm.steps)&gt;2,RIGHT(_xlpm.steps,2),_xlpm.steps)))</f>
        <v>25</v>
      </c>
      <c r="D1382">
        <f>_xlfn.LET(_xlpm.steps,SUBSTITUTE(Table13[[#This Row],[Input]],Table13[[#This Row],[Direction]],""),VALUE(IF(LEN(_xlpm.steps)&gt;2,LEFT(_xlpm.steps,LEN(_xlpm.steps)-2),0)))</f>
        <v>2</v>
      </c>
      <c r="E1382">
        <f>_xlfn.LET(_xlpm.dir,Table13[[#This Row],[Direction]],
IF(_xlpm.dir="L",
    IF(G1381-Table13[[#This Row],[Steps]]&lt;0,100+(G1381-Table13[[#This Row],[Steps]]),G1381-Table13[[#This Row],[Steps]]),
))</f>
        <v>19</v>
      </c>
      <c r="F1382">
        <f>_xlfn.LET(_xlpm.dir,Table13[[#This Row],[Direction]],
IF(_xlpm.dir="R",
    IF(G1381+Table13[[#This Row],[Steps]]&gt;99,(G1381+Table13[[#This Row],[Steps]])-100,G1381+Table13[[#This Row],[Steps]]),
))</f>
        <v>0</v>
      </c>
      <c r="G1382">
        <f>IF(Table13[[#This Row],[New Pos L]]&lt;&gt;0,Table13[[#This Row],[New Pos L]],Table13[[#This Row],[New Pos R]])</f>
        <v>19</v>
      </c>
      <c r="H1382">
        <f>IF(AND(Table13[[#This Row],[Direction]]="L",Table13[[#This Row],[Steps]]&gt;G1381,G1381&lt;&gt;0),1,0)</f>
        <v>0</v>
      </c>
      <c r="I1382">
        <f>IF(AND(Table13[[#This Row],[Direction]]="R",(G1381+Table13[[#This Row],[Steps]])&gt;100),1,0)</f>
        <v>0</v>
      </c>
      <c r="J1382">
        <f>IF(Table13[[#This Row],[POS]]=0,1,0)</f>
        <v>0</v>
      </c>
      <c r="K1382">
        <f>SUM(Table13[[#This Row],[prefix]],Table13[[#This Row],[Past zero L]],Table13[[#This Row],[Past Zero R]],Table13[[#This Row],[Is Zero]])</f>
        <v>2</v>
      </c>
    </row>
    <row r="1383" spans="1:11" ht="16" x14ac:dyDescent="0.2">
      <c r="A1383" s="1" t="s">
        <v>77</v>
      </c>
      <c r="B1383" t="str">
        <f>LEFT(Table13[[#This Row],[Input]],1)</f>
        <v>R</v>
      </c>
      <c r="C1383">
        <f>_xlfn.LET(_xlpm.steps,SUBSTITUTE(Table13[[#This Row],[Input]],Table13[[#This Row],[Direction]],""),VALUE(IF(LEN(_xlpm.steps)&gt;2,RIGHT(_xlpm.steps,2),_xlpm.steps)))</f>
        <v>74</v>
      </c>
      <c r="D1383">
        <f>_xlfn.LET(_xlpm.steps,SUBSTITUTE(Table13[[#This Row],[Input]],Table13[[#This Row],[Direction]],""),VALUE(IF(LEN(_xlpm.steps)&gt;2,LEFT(_xlpm.steps,LEN(_xlpm.steps)-2),0)))</f>
        <v>0</v>
      </c>
      <c r="E1383">
        <f>_xlfn.LET(_xlpm.dir,Table13[[#This Row],[Direction]],
IF(_xlpm.dir="L",
    IF(G1382-Table13[[#This Row],[Steps]]&lt;0,100+(G1382-Table13[[#This Row],[Steps]]),G1382-Table13[[#This Row],[Steps]]),
))</f>
        <v>0</v>
      </c>
      <c r="F1383">
        <f>_xlfn.LET(_xlpm.dir,Table13[[#This Row],[Direction]],
IF(_xlpm.dir="R",
    IF(G1382+Table13[[#This Row],[Steps]]&gt;99,(G1382+Table13[[#This Row],[Steps]])-100,G1382+Table13[[#This Row],[Steps]]),
))</f>
        <v>93</v>
      </c>
      <c r="G1383">
        <f>IF(Table13[[#This Row],[New Pos L]]&lt;&gt;0,Table13[[#This Row],[New Pos L]],Table13[[#This Row],[New Pos R]])</f>
        <v>93</v>
      </c>
      <c r="H1383">
        <f>IF(AND(Table13[[#This Row],[Direction]]="L",Table13[[#This Row],[Steps]]&gt;G1382,G1382&lt;&gt;0),1,0)</f>
        <v>0</v>
      </c>
      <c r="I1383">
        <f>IF(AND(Table13[[#This Row],[Direction]]="R",(G1382+Table13[[#This Row],[Steps]])&gt;100),1,0)</f>
        <v>0</v>
      </c>
      <c r="J1383">
        <f>IF(Table13[[#This Row],[POS]]=0,1,0)</f>
        <v>0</v>
      </c>
      <c r="K1383">
        <f>SUM(Table13[[#This Row],[prefix]],Table13[[#This Row],[Past zero L]],Table13[[#This Row],[Past Zero R]],Table13[[#This Row],[Is Zero]])</f>
        <v>0</v>
      </c>
    </row>
    <row r="1384" spans="1:11" ht="16" x14ac:dyDescent="0.2">
      <c r="A1384" s="1" t="s">
        <v>122</v>
      </c>
      <c r="B1384" t="str">
        <f>LEFT(Table13[[#This Row],[Input]],1)</f>
        <v>R</v>
      </c>
      <c r="C1384">
        <f>_xlfn.LET(_xlpm.steps,SUBSTITUTE(Table13[[#This Row],[Input]],Table13[[#This Row],[Direction]],""),VALUE(IF(LEN(_xlpm.steps)&gt;2,RIGHT(_xlpm.steps,2),_xlpm.steps)))</f>
        <v>75</v>
      </c>
      <c r="D1384">
        <f>_xlfn.LET(_xlpm.steps,SUBSTITUTE(Table13[[#This Row],[Input]],Table13[[#This Row],[Direction]],""),VALUE(IF(LEN(_xlpm.steps)&gt;2,LEFT(_xlpm.steps,LEN(_xlpm.steps)-2),0)))</f>
        <v>0</v>
      </c>
      <c r="E1384">
        <f>_xlfn.LET(_xlpm.dir,Table13[[#This Row],[Direction]],
IF(_xlpm.dir="L",
    IF(G1383-Table13[[#This Row],[Steps]]&lt;0,100+(G1383-Table13[[#This Row],[Steps]]),G1383-Table13[[#This Row],[Steps]]),
))</f>
        <v>0</v>
      </c>
      <c r="F1384">
        <f>_xlfn.LET(_xlpm.dir,Table13[[#This Row],[Direction]],
IF(_xlpm.dir="R",
    IF(G1383+Table13[[#This Row],[Steps]]&gt;99,(G1383+Table13[[#This Row],[Steps]])-100,G1383+Table13[[#This Row],[Steps]]),
))</f>
        <v>68</v>
      </c>
      <c r="G1384">
        <f>IF(Table13[[#This Row],[New Pos L]]&lt;&gt;0,Table13[[#This Row],[New Pos L]],Table13[[#This Row],[New Pos R]])</f>
        <v>68</v>
      </c>
      <c r="H1384">
        <f>IF(AND(Table13[[#This Row],[Direction]]="L",Table13[[#This Row],[Steps]]&gt;G1383,G1383&lt;&gt;0),1,0)</f>
        <v>0</v>
      </c>
      <c r="I1384">
        <f>IF(AND(Table13[[#This Row],[Direction]]="R",(G1383+Table13[[#This Row],[Steps]])&gt;100),1,0)</f>
        <v>1</v>
      </c>
      <c r="J1384">
        <f>IF(Table13[[#This Row],[POS]]=0,1,0)</f>
        <v>0</v>
      </c>
      <c r="K1384">
        <f>SUM(Table13[[#This Row],[prefix]],Table13[[#This Row],[Past zero L]],Table13[[#This Row],[Past Zero R]],Table13[[#This Row],[Is Zero]])</f>
        <v>1</v>
      </c>
    </row>
    <row r="1385" spans="1:11" ht="16" x14ac:dyDescent="0.2">
      <c r="A1385" s="1" t="s">
        <v>68</v>
      </c>
      <c r="B1385" t="str">
        <f>LEFT(Table13[[#This Row],[Input]],1)</f>
        <v>L</v>
      </c>
      <c r="C1385">
        <f>_xlfn.LET(_xlpm.steps,SUBSTITUTE(Table13[[#This Row],[Input]],Table13[[#This Row],[Direction]],""),VALUE(IF(LEN(_xlpm.steps)&gt;2,RIGHT(_xlpm.steps,2),_xlpm.steps)))</f>
        <v>80</v>
      </c>
      <c r="D1385">
        <f>_xlfn.LET(_xlpm.steps,SUBSTITUTE(Table13[[#This Row],[Input]],Table13[[#This Row],[Direction]],""),VALUE(IF(LEN(_xlpm.steps)&gt;2,LEFT(_xlpm.steps,LEN(_xlpm.steps)-2),0)))</f>
        <v>0</v>
      </c>
      <c r="E1385">
        <f>_xlfn.LET(_xlpm.dir,Table13[[#This Row],[Direction]],
IF(_xlpm.dir="L",
    IF(G1384-Table13[[#This Row],[Steps]]&lt;0,100+(G1384-Table13[[#This Row],[Steps]]),G1384-Table13[[#This Row],[Steps]]),
))</f>
        <v>88</v>
      </c>
      <c r="F1385">
        <f>_xlfn.LET(_xlpm.dir,Table13[[#This Row],[Direction]],
IF(_xlpm.dir="R",
    IF(G1384+Table13[[#This Row],[Steps]]&gt;99,(G1384+Table13[[#This Row],[Steps]])-100,G1384+Table13[[#This Row],[Steps]]),
))</f>
        <v>0</v>
      </c>
      <c r="G1385">
        <f>IF(Table13[[#This Row],[New Pos L]]&lt;&gt;0,Table13[[#This Row],[New Pos L]],Table13[[#This Row],[New Pos R]])</f>
        <v>88</v>
      </c>
      <c r="H1385">
        <f>IF(AND(Table13[[#This Row],[Direction]]="L",Table13[[#This Row],[Steps]]&gt;G1384,G1384&lt;&gt;0),1,0)</f>
        <v>1</v>
      </c>
      <c r="I1385">
        <f>IF(AND(Table13[[#This Row],[Direction]]="R",(G1384+Table13[[#This Row],[Steps]])&gt;100),1,0)</f>
        <v>0</v>
      </c>
      <c r="J1385">
        <f>IF(Table13[[#This Row],[POS]]=0,1,0)</f>
        <v>0</v>
      </c>
      <c r="K1385">
        <f>SUM(Table13[[#This Row],[prefix]],Table13[[#This Row],[Past zero L]],Table13[[#This Row],[Past Zero R]],Table13[[#This Row],[Is Zero]])</f>
        <v>1</v>
      </c>
    </row>
    <row r="1386" spans="1:11" ht="16" x14ac:dyDescent="0.2">
      <c r="A1386" s="1" t="s">
        <v>14</v>
      </c>
      <c r="B1386" t="str">
        <f>LEFT(Table13[[#This Row],[Input]],1)</f>
        <v>L</v>
      </c>
      <c r="C1386">
        <f>_xlfn.LET(_xlpm.steps,SUBSTITUTE(Table13[[#This Row],[Input]],Table13[[#This Row],[Direction]],""),VALUE(IF(LEN(_xlpm.steps)&gt;2,RIGHT(_xlpm.steps,2),_xlpm.steps)))</f>
        <v>43</v>
      </c>
      <c r="D1386">
        <f>_xlfn.LET(_xlpm.steps,SUBSTITUTE(Table13[[#This Row],[Input]],Table13[[#This Row],[Direction]],""),VALUE(IF(LEN(_xlpm.steps)&gt;2,LEFT(_xlpm.steps,LEN(_xlpm.steps)-2),0)))</f>
        <v>0</v>
      </c>
      <c r="E1386">
        <f>_xlfn.LET(_xlpm.dir,Table13[[#This Row],[Direction]],
IF(_xlpm.dir="L",
    IF(G1385-Table13[[#This Row],[Steps]]&lt;0,100+(G1385-Table13[[#This Row],[Steps]]),G1385-Table13[[#This Row],[Steps]]),
))</f>
        <v>45</v>
      </c>
      <c r="F1386">
        <f>_xlfn.LET(_xlpm.dir,Table13[[#This Row],[Direction]],
IF(_xlpm.dir="R",
    IF(G1385+Table13[[#This Row],[Steps]]&gt;99,(G1385+Table13[[#This Row],[Steps]])-100,G1385+Table13[[#This Row],[Steps]]),
))</f>
        <v>0</v>
      </c>
      <c r="G1386">
        <f>IF(Table13[[#This Row],[New Pos L]]&lt;&gt;0,Table13[[#This Row],[New Pos L]],Table13[[#This Row],[New Pos R]])</f>
        <v>45</v>
      </c>
      <c r="H1386">
        <f>IF(AND(Table13[[#This Row],[Direction]]="L",Table13[[#This Row],[Steps]]&gt;G1385,G1385&lt;&gt;0),1,0)</f>
        <v>0</v>
      </c>
      <c r="I1386">
        <f>IF(AND(Table13[[#This Row],[Direction]]="R",(G1385+Table13[[#This Row],[Steps]])&gt;100),1,0)</f>
        <v>0</v>
      </c>
      <c r="J1386">
        <f>IF(Table13[[#This Row],[POS]]=0,1,0)</f>
        <v>0</v>
      </c>
      <c r="K1386">
        <f>SUM(Table13[[#This Row],[prefix]],Table13[[#This Row],[Past zero L]],Table13[[#This Row],[Past Zero R]],Table13[[#This Row],[Is Zero]])</f>
        <v>0</v>
      </c>
    </row>
    <row r="1387" spans="1:11" ht="16" x14ac:dyDescent="0.2">
      <c r="A1387" s="1" t="s">
        <v>79</v>
      </c>
      <c r="B1387" t="str">
        <f>LEFT(Table13[[#This Row],[Input]],1)</f>
        <v>L</v>
      </c>
      <c r="C1387">
        <f>_xlfn.LET(_xlpm.steps,SUBSTITUTE(Table13[[#This Row],[Input]],Table13[[#This Row],[Direction]],""),VALUE(IF(LEN(_xlpm.steps)&gt;2,RIGHT(_xlpm.steps,2),_xlpm.steps)))</f>
        <v>45</v>
      </c>
      <c r="D1387">
        <f>_xlfn.LET(_xlpm.steps,SUBSTITUTE(Table13[[#This Row],[Input]],Table13[[#This Row],[Direction]],""),VALUE(IF(LEN(_xlpm.steps)&gt;2,LEFT(_xlpm.steps,LEN(_xlpm.steps)-2),0)))</f>
        <v>0</v>
      </c>
      <c r="E1387">
        <f>_xlfn.LET(_xlpm.dir,Table13[[#This Row],[Direction]],
IF(_xlpm.dir="L",
    IF(G1386-Table13[[#This Row],[Steps]]&lt;0,100+(G1386-Table13[[#This Row],[Steps]]),G1386-Table13[[#This Row],[Steps]]),
))</f>
        <v>0</v>
      </c>
      <c r="F1387">
        <f>_xlfn.LET(_xlpm.dir,Table13[[#This Row],[Direction]],
IF(_xlpm.dir="R",
    IF(G1386+Table13[[#This Row],[Steps]]&gt;99,(G1386+Table13[[#This Row],[Steps]])-100,G1386+Table13[[#This Row],[Steps]]),
))</f>
        <v>0</v>
      </c>
      <c r="G1387">
        <f>IF(Table13[[#This Row],[New Pos L]]&lt;&gt;0,Table13[[#This Row],[New Pos L]],Table13[[#This Row],[New Pos R]])</f>
        <v>0</v>
      </c>
      <c r="H1387">
        <f>IF(AND(Table13[[#This Row],[Direction]]="L",Table13[[#This Row],[Steps]]&gt;G1386,G1386&lt;&gt;0),1,0)</f>
        <v>0</v>
      </c>
      <c r="I1387">
        <f>IF(AND(Table13[[#This Row],[Direction]]="R",(G1386+Table13[[#This Row],[Steps]])&gt;100),1,0)</f>
        <v>0</v>
      </c>
      <c r="J1387">
        <f>IF(Table13[[#This Row],[POS]]=0,1,0)</f>
        <v>1</v>
      </c>
      <c r="K1387">
        <f>SUM(Table13[[#This Row],[prefix]],Table13[[#This Row],[Past zero L]],Table13[[#This Row],[Past Zero R]],Table13[[#This Row],[Is Zero]])</f>
        <v>1</v>
      </c>
    </row>
    <row r="1388" spans="1:11" ht="16" x14ac:dyDescent="0.2">
      <c r="A1388" s="1" t="s">
        <v>6</v>
      </c>
      <c r="B1388" t="str">
        <f>LEFT(Table13[[#This Row],[Input]],1)</f>
        <v>R</v>
      </c>
      <c r="C1388">
        <f>_xlfn.LET(_xlpm.steps,SUBSTITUTE(Table13[[#This Row],[Input]],Table13[[#This Row],[Direction]],""),VALUE(IF(LEN(_xlpm.steps)&gt;2,RIGHT(_xlpm.steps,2),_xlpm.steps)))</f>
        <v>49</v>
      </c>
      <c r="D1388">
        <f>_xlfn.LET(_xlpm.steps,SUBSTITUTE(Table13[[#This Row],[Input]],Table13[[#This Row],[Direction]],""),VALUE(IF(LEN(_xlpm.steps)&gt;2,LEFT(_xlpm.steps,LEN(_xlpm.steps)-2),0)))</f>
        <v>0</v>
      </c>
      <c r="E1388">
        <f>_xlfn.LET(_xlpm.dir,Table13[[#This Row],[Direction]],
IF(_xlpm.dir="L",
    IF(G1387-Table13[[#This Row],[Steps]]&lt;0,100+(G1387-Table13[[#This Row],[Steps]]),G1387-Table13[[#This Row],[Steps]]),
))</f>
        <v>0</v>
      </c>
      <c r="F1388">
        <f>_xlfn.LET(_xlpm.dir,Table13[[#This Row],[Direction]],
IF(_xlpm.dir="R",
    IF(G1387+Table13[[#This Row],[Steps]]&gt;99,(G1387+Table13[[#This Row],[Steps]])-100,G1387+Table13[[#This Row],[Steps]]),
))</f>
        <v>49</v>
      </c>
      <c r="G1388">
        <f>IF(Table13[[#This Row],[New Pos L]]&lt;&gt;0,Table13[[#This Row],[New Pos L]],Table13[[#This Row],[New Pos R]])</f>
        <v>49</v>
      </c>
      <c r="H1388">
        <f>IF(AND(Table13[[#This Row],[Direction]]="L",Table13[[#This Row],[Steps]]&gt;G1387,G1387&lt;&gt;0),1,0)</f>
        <v>0</v>
      </c>
      <c r="I1388">
        <f>IF(AND(Table13[[#This Row],[Direction]]="R",(G1387+Table13[[#This Row],[Steps]])&gt;100),1,0)</f>
        <v>0</v>
      </c>
      <c r="J1388">
        <f>IF(Table13[[#This Row],[POS]]=0,1,0)</f>
        <v>0</v>
      </c>
      <c r="K1388">
        <f>SUM(Table13[[#This Row],[prefix]],Table13[[#This Row],[Past zero L]],Table13[[#This Row],[Past Zero R]],Table13[[#This Row],[Is Zero]])</f>
        <v>0</v>
      </c>
    </row>
    <row r="1389" spans="1:11" ht="16" x14ac:dyDescent="0.2">
      <c r="A1389" s="1" t="s">
        <v>24</v>
      </c>
      <c r="B1389" t="str">
        <f>LEFT(Table13[[#This Row],[Input]],1)</f>
        <v>L</v>
      </c>
      <c r="C1389">
        <f>_xlfn.LET(_xlpm.steps,SUBSTITUTE(Table13[[#This Row],[Input]],Table13[[#This Row],[Direction]],""),VALUE(IF(LEN(_xlpm.steps)&gt;2,RIGHT(_xlpm.steps,2),_xlpm.steps)))</f>
        <v>49</v>
      </c>
      <c r="D1389">
        <f>_xlfn.LET(_xlpm.steps,SUBSTITUTE(Table13[[#This Row],[Input]],Table13[[#This Row],[Direction]],""),VALUE(IF(LEN(_xlpm.steps)&gt;2,LEFT(_xlpm.steps,LEN(_xlpm.steps)-2),0)))</f>
        <v>0</v>
      </c>
      <c r="E1389">
        <f>_xlfn.LET(_xlpm.dir,Table13[[#This Row],[Direction]],
IF(_xlpm.dir="L",
    IF(G1388-Table13[[#This Row],[Steps]]&lt;0,100+(G1388-Table13[[#This Row],[Steps]]),G1388-Table13[[#This Row],[Steps]]),
))</f>
        <v>0</v>
      </c>
      <c r="F1389">
        <f>_xlfn.LET(_xlpm.dir,Table13[[#This Row],[Direction]],
IF(_xlpm.dir="R",
    IF(G1388+Table13[[#This Row],[Steps]]&gt;99,(G1388+Table13[[#This Row],[Steps]])-100,G1388+Table13[[#This Row],[Steps]]),
))</f>
        <v>0</v>
      </c>
      <c r="G1389">
        <f>IF(Table13[[#This Row],[New Pos L]]&lt;&gt;0,Table13[[#This Row],[New Pos L]],Table13[[#This Row],[New Pos R]])</f>
        <v>0</v>
      </c>
      <c r="H1389">
        <f>IF(AND(Table13[[#This Row],[Direction]]="L",Table13[[#This Row],[Steps]]&gt;G1388,G1388&lt;&gt;0),1,0)</f>
        <v>0</v>
      </c>
      <c r="I1389">
        <f>IF(AND(Table13[[#This Row],[Direction]]="R",(G1388+Table13[[#This Row],[Steps]])&gt;100),1,0)</f>
        <v>0</v>
      </c>
      <c r="J1389">
        <f>IF(Table13[[#This Row],[POS]]=0,1,0)</f>
        <v>1</v>
      </c>
      <c r="K1389">
        <f>SUM(Table13[[#This Row],[prefix]],Table13[[#This Row],[Past zero L]],Table13[[#This Row],[Past Zero R]],Table13[[#This Row],[Is Zero]])</f>
        <v>1</v>
      </c>
    </row>
    <row r="1390" spans="1:11" ht="16" x14ac:dyDescent="0.2">
      <c r="A1390" s="1" t="s">
        <v>194</v>
      </c>
      <c r="B1390" t="str">
        <f>LEFT(Table13[[#This Row],[Input]],1)</f>
        <v>R</v>
      </c>
      <c r="C1390">
        <f>_xlfn.LET(_xlpm.steps,SUBSTITUTE(Table13[[#This Row],[Input]],Table13[[#This Row],[Direction]],""),VALUE(IF(LEN(_xlpm.steps)&gt;2,RIGHT(_xlpm.steps,2),_xlpm.steps)))</f>
        <v>51</v>
      </c>
      <c r="D1390">
        <f>_xlfn.LET(_xlpm.steps,SUBSTITUTE(Table13[[#This Row],[Input]],Table13[[#This Row],[Direction]],""),VALUE(IF(LEN(_xlpm.steps)&gt;2,LEFT(_xlpm.steps,LEN(_xlpm.steps)-2),0)))</f>
        <v>0</v>
      </c>
      <c r="E1390">
        <f>_xlfn.LET(_xlpm.dir,Table13[[#This Row],[Direction]],
IF(_xlpm.dir="L",
    IF(G1389-Table13[[#This Row],[Steps]]&lt;0,100+(G1389-Table13[[#This Row],[Steps]]),G1389-Table13[[#This Row],[Steps]]),
))</f>
        <v>0</v>
      </c>
      <c r="F1390">
        <f>_xlfn.LET(_xlpm.dir,Table13[[#This Row],[Direction]],
IF(_xlpm.dir="R",
    IF(G1389+Table13[[#This Row],[Steps]]&gt;99,(G1389+Table13[[#This Row],[Steps]])-100,G1389+Table13[[#This Row],[Steps]]),
))</f>
        <v>51</v>
      </c>
      <c r="G1390">
        <f>IF(Table13[[#This Row],[New Pos L]]&lt;&gt;0,Table13[[#This Row],[New Pos L]],Table13[[#This Row],[New Pos R]])</f>
        <v>51</v>
      </c>
      <c r="H1390">
        <f>IF(AND(Table13[[#This Row],[Direction]]="L",Table13[[#This Row],[Steps]]&gt;G1389,G1389&lt;&gt;0),1,0)</f>
        <v>0</v>
      </c>
      <c r="I1390">
        <f>IF(AND(Table13[[#This Row],[Direction]]="R",(G1389+Table13[[#This Row],[Steps]])&gt;100),1,0)</f>
        <v>0</v>
      </c>
      <c r="J1390">
        <f>IF(Table13[[#This Row],[POS]]=0,1,0)</f>
        <v>0</v>
      </c>
      <c r="K1390">
        <f>SUM(Table13[[#This Row],[prefix]],Table13[[#This Row],[Past zero L]],Table13[[#This Row],[Past Zero R]],Table13[[#This Row],[Is Zero]])</f>
        <v>0</v>
      </c>
    </row>
    <row r="1391" spans="1:11" ht="16" x14ac:dyDescent="0.2">
      <c r="A1391" s="1" t="s">
        <v>174</v>
      </c>
      <c r="B1391" t="str">
        <f>LEFT(Table13[[#This Row],[Input]],1)</f>
        <v>L</v>
      </c>
      <c r="C1391">
        <f>_xlfn.LET(_xlpm.steps,SUBSTITUTE(Table13[[#This Row],[Input]],Table13[[#This Row],[Direction]],""),VALUE(IF(LEN(_xlpm.steps)&gt;2,RIGHT(_xlpm.steps,2),_xlpm.steps)))</f>
        <v>92</v>
      </c>
      <c r="D1391">
        <f>_xlfn.LET(_xlpm.steps,SUBSTITUTE(Table13[[#This Row],[Input]],Table13[[#This Row],[Direction]],""),VALUE(IF(LEN(_xlpm.steps)&gt;2,LEFT(_xlpm.steps,LEN(_xlpm.steps)-2),0)))</f>
        <v>0</v>
      </c>
      <c r="E1391">
        <f>_xlfn.LET(_xlpm.dir,Table13[[#This Row],[Direction]],
IF(_xlpm.dir="L",
    IF(G1390-Table13[[#This Row],[Steps]]&lt;0,100+(G1390-Table13[[#This Row],[Steps]]),G1390-Table13[[#This Row],[Steps]]),
))</f>
        <v>59</v>
      </c>
      <c r="F1391">
        <f>_xlfn.LET(_xlpm.dir,Table13[[#This Row],[Direction]],
IF(_xlpm.dir="R",
    IF(G1390+Table13[[#This Row],[Steps]]&gt;99,(G1390+Table13[[#This Row],[Steps]])-100,G1390+Table13[[#This Row],[Steps]]),
))</f>
        <v>0</v>
      </c>
      <c r="G1391">
        <f>IF(Table13[[#This Row],[New Pos L]]&lt;&gt;0,Table13[[#This Row],[New Pos L]],Table13[[#This Row],[New Pos R]])</f>
        <v>59</v>
      </c>
      <c r="H1391">
        <f>IF(AND(Table13[[#This Row],[Direction]]="L",Table13[[#This Row],[Steps]]&gt;G1390,G1390&lt;&gt;0),1,0)</f>
        <v>1</v>
      </c>
      <c r="I1391">
        <f>IF(AND(Table13[[#This Row],[Direction]]="R",(G1390+Table13[[#This Row],[Steps]])&gt;100),1,0)</f>
        <v>0</v>
      </c>
      <c r="J1391">
        <f>IF(Table13[[#This Row],[POS]]=0,1,0)</f>
        <v>0</v>
      </c>
      <c r="K1391">
        <f>SUM(Table13[[#This Row],[prefix]],Table13[[#This Row],[Past zero L]],Table13[[#This Row],[Past Zero R]],Table13[[#This Row],[Is Zero]])</f>
        <v>1</v>
      </c>
    </row>
    <row r="1392" spans="1:11" ht="16" x14ac:dyDescent="0.2">
      <c r="A1392" s="1" t="s">
        <v>100</v>
      </c>
      <c r="B1392" t="str">
        <f>LEFT(Table13[[#This Row],[Input]],1)</f>
        <v>R</v>
      </c>
      <c r="C1392">
        <f>_xlfn.LET(_xlpm.steps,SUBSTITUTE(Table13[[#This Row],[Input]],Table13[[#This Row],[Direction]],""),VALUE(IF(LEN(_xlpm.steps)&gt;2,RIGHT(_xlpm.steps,2),_xlpm.steps)))</f>
        <v>58</v>
      </c>
      <c r="D1392">
        <f>_xlfn.LET(_xlpm.steps,SUBSTITUTE(Table13[[#This Row],[Input]],Table13[[#This Row],[Direction]],""),VALUE(IF(LEN(_xlpm.steps)&gt;2,LEFT(_xlpm.steps,LEN(_xlpm.steps)-2),0)))</f>
        <v>0</v>
      </c>
      <c r="E1392">
        <f>_xlfn.LET(_xlpm.dir,Table13[[#This Row],[Direction]],
IF(_xlpm.dir="L",
    IF(G1391-Table13[[#This Row],[Steps]]&lt;0,100+(G1391-Table13[[#This Row],[Steps]]),G1391-Table13[[#This Row],[Steps]]),
))</f>
        <v>0</v>
      </c>
      <c r="F1392">
        <f>_xlfn.LET(_xlpm.dir,Table13[[#This Row],[Direction]],
IF(_xlpm.dir="R",
    IF(G1391+Table13[[#This Row],[Steps]]&gt;99,(G1391+Table13[[#This Row],[Steps]])-100,G1391+Table13[[#This Row],[Steps]]),
))</f>
        <v>17</v>
      </c>
      <c r="G1392">
        <f>IF(Table13[[#This Row],[New Pos L]]&lt;&gt;0,Table13[[#This Row],[New Pos L]],Table13[[#This Row],[New Pos R]])</f>
        <v>17</v>
      </c>
      <c r="H1392">
        <f>IF(AND(Table13[[#This Row],[Direction]]="L",Table13[[#This Row],[Steps]]&gt;G1391,G1391&lt;&gt;0),1,0)</f>
        <v>0</v>
      </c>
      <c r="I1392">
        <f>IF(AND(Table13[[#This Row],[Direction]]="R",(G1391+Table13[[#This Row],[Steps]])&gt;100),1,0)</f>
        <v>1</v>
      </c>
      <c r="J1392">
        <f>IF(Table13[[#This Row],[POS]]=0,1,0)</f>
        <v>0</v>
      </c>
      <c r="K1392">
        <f>SUM(Table13[[#This Row],[prefix]],Table13[[#This Row],[Past zero L]],Table13[[#This Row],[Past Zero R]],Table13[[#This Row],[Is Zero]])</f>
        <v>1</v>
      </c>
    </row>
    <row r="1393" spans="1:11" ht="16" x14ac:dyDescent="0.2">
      <c r="A1393" s="1" t="s">
        <v>187</v>
      </c>
      <c r="B1393" t="str">
        <f>LEFT(Table13[[#This Row],[Input]],1)</f>
        <v>R</v>
      </c>
      <c r="C1393">
        <f>_xlfn.LET(_xlpm.steps,SUBSTITUTE(Table13[[#This Row],[Input]],Table13[[#This Row],[Direction]],""),VALUE(IF(LEN(_xlpm.steps)&gt;2,RIGHT(_xlpm.steps,2),_xlpm.steps)))</f>
        <v>20</v>
      </c>
      <c r="D1393">
        <f>_xlfn.LET(_xlpm.steps,SUBSTITUTE(Table13[[#This Row],[Input]],Table13[[#This Row],[Direction]],""),VALUE(IF(LEN(_xlpm.steps)&gt;2,LEFT(_xlpm.steps,LEN(_xlpm.steps)-2),0)))</f>
        <v>0</v>
      </c>
      <c r="E1393">
        <f>_xlfn.LET(_xlpm.dir,Table13[[#This Row],[Direction]],
IF(_xlpm.dir="L",
    IF(G1392-Table13[[#This Row],[Steps]]&lt;0,100+(G1392-Table13[[#This Row],[Steps]]),G1392-Table13[[#This Row],[Steps]]),
))</f>
        <v>0</v>
      </c>
      <c r="F1393">
        <f>_xlfn.LET(_xlpm.dir,Table13[[#This Row],[Direction]],
IF(_xlpm.dir="R",
    IF(G1392+Table13[[#This Row],[Steps]]&gt;99,(G1392+Table13[[#This Row],[Steps]])-100,G1392+Table13[[#This Row],[Steps]]),
))</f>
        <v>37</v>
      </c>
      <c r="G1393">
        <f>IF(Table13[[#This Row],[New Pos L]]&lt;&gt;0,Table13[[#This Row],[New Pos L]],Table13[[#This Row],[New Pos R]])</f>
        <v>37</v>
      </c>
      <c r="H1393">
        <f>IF(AND(Table13[[#This Row],[Direction]]="L",Table13[[#This Row],[Steps]]&gt;G1392,G1392&lt;&gt;0),1,0)</f>
        <v>0</v>
      </c>
      <c r="I1393">
        <f>IF(AND(Table13[[#This Row],[Direction]]="R",(G1392+Table13[[#This Row],[Steps]])&gt;100),1,0)</f>
        <v>0</v>
      </c>
      <c r="J1393">
        <f>IF(Table13[[#This Row],[POS]]=0,1,0)</f>
        <v>0</v>
      </c>
      <c r="K1393">
        <f>SUM(Table13[[#This Row],[prefix]],Table13[[#This Row],[Past zero L]],Table13[[#This Row],[Past Zero R]],Table13[[#This Row],[Is Zero]])</f>
        <v>0</v>
      </c>
    </row>
    <row r="1394" spans="1:11" ht="16" x14ac:dyDescent="0.2">
      <c r="A1394" s="1" t="s">
        <v>106</v>
      </c>
      <c r="B1394" t="str">
        <f>LEFT(Table13[[#This Row],[Input]],1)</f>
        <v>R</v>
      </c>
      <c r="C1394">
        <f>_xlfn.LET(_xlpm.steps,SUBSTITUTE(Table13[[#This Row],[Input]],Table13[[#This Row],[Direction]],""),VALUE(IF(LEN(_xlpm.steps)&gt;2,RIGHT(_xlpm.steps,2),_xlpm.steps)))</f>
        <v>41</v>
      </c>
      <c r="D1394">
        <f>_xlfn.LET(_xlpm.steps,SUBSTITUTE(Table13[[#This Row],[Input]],Table13[[#This Row],[Direction]],""),VALUE(IF(LEN(_xlpm.steps)&gt;2,LEFT(_xlpm.steps,LEN(_xlpm.steps)-2),0)))</f>
        <v>0</v>
      </c>
      <c r="E1394">
        <f>_xlfn.LET(_xlpm.dir,Table13[[#This Row],[Direction]],
IF(_xlpm.dir="L",
    IF(G1393-Table13[[#This Row],[Steps]]&lt;0,100+(G1393-Table13[[#This Row],[Steps]]),G1393-Table13[[#This Row],[Steps]]),
))</f>
        <v>0</v>
      </c>
      <c r="F1394">
        <f>_xlfn.LET(_xlpm.dir,Table13[[#This Row],[Direction]],
IF(_xlpm.dir="R",
    IF(G1393+Table13[[#This Row],[Steps]]&gt;99,(G1393+Table13[[#This Row],[Steps]])-100,G1393+Table13[[#This Row],[Steps]]),
))</f>
        <v>78</v>
      </c>
      <c r="G1394">
        <f>IF(Table13[[#This Row],[New Pos L]]&lt;&gt;0,Table13[[#This Row],[New Pos L]],Table13[[#This Row],[New Pos R]])</f>
        <v>78</v>
      </c>
      <c r="H1394">
        <f>IF(AND(Table13[[#This Row],[Direction]]="L",Table13[[#This Row],[Steps]]&gt;G1393,G1393&lt;&gt;0),1,0)</f>
        <v>0</v>
      </c>
      <c r="I1394">
        <f>IF(AND(Table13[[#This Row],[Direction]]="R",(G1393+Table13[[#This Row],[Steps]])&gt;100),1,0)</f>
        <v>0</v>
      </c>
      <c r="J1394">
        <f>IF(Table13[[#This Row],[POS]]=0,1,0)</f>
        <v>0</v>
      </c>
      <c r="K1394">
        <f>SUM(Table13[[#This Row],[prefix]],Table13[[#This Row],[Past zero L]],Table13[[#This Row],[Past Zero R]],Table13[[#This Row],[Is Zero]])</f>
        <v>0</v>
      </c>
    </row>
    <row r="1395" spans="1:11" ht="16" x14ac:dyDescent="0.2">
      <c r="A1395" s="1" t="s">
        <v>425</v>
      </c>
      <c r="B1395" t="str">
        <f>LEFT(Table13[[#This Row],[Input]],1)</f>
        <v>L</v>
      </c>
      <c r="C1395">
        <f>_xlfn.LET(_xlpm.steps,SUBSTITUTE(Table13[[#This Row],[Input]],Table13[[#This Row],[Direction]],""),VALUE(IF(LEN(_xlpm.steps)&gt;2,RIGHT(_xlpm.steps,2),_xlpm.steps)))</f>
        <v>32</v>
      </c>
      <c r="D1395">
        <f>_xlfn.LET(_xlpm.steps,SUBSTITUTE(Table13[[#This Row],[Input]],Table13[[#This Row],[Direction]],""),VALUE(IF(LEN(_xlpm.steps)&gt;2,LEFT(_xlpm.steps,LEN(_xlpm.steps)-2),0)))</f>
        <v>7</v>
      </c>
      <c r="E1395">
        <f>_xlfn.LET(_xlpm.dir,Table13[[#This Row],[Direction]],
IF(_xlpm.dir="L",
    IF(G1394-Table13[[#This Row],[Steps]]&lt;0,100+(G1394-Table13[[#This Row],[Steps]]),G1394-Table13[[#This Row],[Steps]]),
))</f>
        <v>46</v>
      </c>
      <c r="F1395">
        <f>_xlfn.LET(_xlpm.dir,Table13[[#This Row],[Direction]],
IF(_xlpm.dir="R",
    IF(G1394+Table13[[#This Row],[Steps]]&gt;99,(G1394+Table13[[#This Row],[Steps]])-100,G1394+Table13[[#This Row],[Steps]]),
))</f>
        <v>0</v>
      </c>
      <c r="G1395">
        <f>IF(Table13[[#This Row],[New Pos L]]&lt;&gt;0,Table13[[#This Row],[New Pos L]],Table13[[#This Row],[New Pos R]])</f>
        <v>46</v>
      </c>
      <c r="H1395">
        <f>IF(AND(Table13[[#This Row],[Direction]]="L",Table13[[#This Row],[Steps]]&gt;G1394,G1394&lt;&gt;0),1,0)</f>
        <v>0</v>
      </c>
      <c r="I1395">
        <f>IF(AND(Table13[[#This Row],[Direction]]="R",(G1394+Table13[[#This Row],[Steps]])&gt;100),1,0)</f>
        <v>0</v>
      </c>
      <c r="J1395">
        <f>IF(Table13[[#This Row],[POS]]=0,1,0)</f>
        <v>0</v>
      </c>
      <c r="K1395">
        <f>SUM(Table13[[#This Row],[prefix]],Table13[[#This Row],[Past zero L]],Table13[[#This Row],[Past Zero R]],Table13[[#This Row],[Is Zero]])</f>
        <v>7</v>
      </c>
    </row>
    <row r="1396" spans="1:11" ht="16" x14ac:dyDescent="0.2">
      <c r="A1396" s="1" t="s">
        <v>77</v>
      </c>
      <c r="B1396" t="str">
        <f>LEFT(Table13[[#This Row],[Input]],1)</f>
        <v>R</v>
      </c>
      <c r="C1396">
        <f>_xlfn.LET(_xlpm.steps,SUBSTITUTE(Table13[[#This Row],[Input]],Table13[[#This Row],[Direction]],""),VALUE(IF(LEN(_xlpm.steps)&gt;2,RIGHT(_xlpm.steps,2),_xlpm.steps)))</f>
        <v>74</v>
      </c>
      <c r="D1396">
        <f>_xlfn.LET(_xlpm.steps,SUBSTITUTE(Table13[[#This Row],[Input]],Table13[[#This Row],[Direction]],""),VALUE(IF(LEN(_xlpm.steps)&gt;2,LEFT(_xlpm.steps,LEN(_xlpm.steps)-2),0)))</f>
        <v>0</v>
      </c>
      <c r="E1396">
        <f>_xlfn.LET(_xlpm.dir,Table13[[#This Row],[Direction]],
IF(_xlpm.dir="L",
    IF(G1395-Table13[[#This Row],[Steps]]&lt;0,100+(G1395-Table13[[#This Row],[Steps]]),G1395-Table13[[#This Row],[Steps]]),
))</f>
        <v>0</v>
      </c>
      <c r="F1396">
        <f>_xlfn.LET(_xlpm.dir,Table13[[#This Row],[Direction]],
IF(_xlpm.dir="R",
    IF(G1395+Table13[[#This Row],[Steps]]&gt;99,(G1395+Table13[[#This Row],[Steps]])-100,G1395+Table13[[#This Row],[Steps]]),
))</f>
        <v>20</v>
      </c>
      <c r="G1396">
        <f>IF(Table13[[#This Row],[New Pos L]]&lt;&gt;0,Table13[[#This Row],[New Pos L]],Table13[[#This Row],[New Pos R]])</f>
        <v>20</v>
      </c>
      <c r="H1396">
        <f>IF(AND(Table13[[#This Row],[Direction]]="L",Table13[[#This Row],[Steps]]&gt;G1395,G1395&lt;&gt;0),1,0)</f>
        <v>0</v>
      </c>
      <c r="I1396">
        <f>IF(AND(Table13[[#This Row],[Direction]]="R",(G1395+Table13[[#This Row],[Steps]])&gt;100),1,0)</f>
        <v>1</v>
      </c>
      <c r="J1396">
        <f>IF(Table13[[#This Row],[POS]]=0,1,0)</f>
        <v>0</v>
      </c>
      <c r="K1396">
        <f>SUM(Table13[[#This Row],[prefix]],Table13[[#This Row],[Past zero L]],Table13[[#This Row],[Past Zero R]],Table13[[#This Row],[Is Zero]])</f>
        <v>1</v>
      </c>
    </row>
    <row r="1397" spans="1:11" ht="16" x14ac:dyDescent="0.2">
      <c r="A1397" s="1" t="s">
        <v>25</v>
      </c>
      <c r="B1397" t="str">
        <f>LEFT(Table13[[#This Row],[Input]],1)</f>
        <v>L</v>
      </c>
      <c r="C1397">
        <f>_xlfn.LET(_xlpm.steps,SUBSTITUTE(Table13[[#This Row],[Input]],Table13[[#This Row],[Direction]],""),VALUE(IF(LEN(_xlpm.steps)&gt;2,RIGHT(_xlpm.steps,2),_xlpm.steps)))</f>
        <v>20</v>
      </c>
      <c r="D1397">
        <f>_xlfn.LET(_xlpm.steps,SUBSTITUTE(Table13[[#This Row],[Input]],Table13[[#This Row],[Direction]],""),VALUE(IF(LEN(_xlpm.steps)&gt;2,LEFT(_xlpm.steps,LEN(_xlpm.steps)-2),0)))</f>
        <v>0</v>
      </c>
      <c r="E1397">
        <f>_xlfn.LET(_xlpm.dir,Table13[[#This Row],[Direction]],
IF(_xlpm.dir="L",
    IF(G1396-Table13[[#This Row],[Steps]]&lt;0,100+(G1396-Table13[[#This Row],[Steps]]),G1396-Table13[[#This Row],[Steps]]),
))</f>
        <v>0</v>
      </c>
      <c r="F1397">
        <f>_xlfn.LET(_xlpm.dir,Table13[[#This Row],[Direction]],
IF(_xlpm.dir="R",
    IF(G1396+Table13[[#This Row],[Steps]]&gt;99,(G1396+Table13[[#This Row],[Steps]])-100,G1396+Table13[[#This Row],[Steps]]),
))</f>
        <v>0</v>
      </c>
      <c r="G1397">
        <f>IF(Table13[[#This Row],[New Pos L]]&lt;&gt;0,Table13[[#This Row],[New Pos L]],Table13[[#This Row],[New Pos R]])</f>
        <v>0</v>
      </c>
      <c r="H1397">
        <f>IF(AND(Table13[[#This Row],[Direction]]="L",Table13[[#This Row],[Steps]]&gt;G1396,G1396&lt;&gt;0),1,0)</f>
        <v>0</v>
      </c>
      <c r="I1397">
        <f>IF(AND(Table13[[#This Row],[Direction]]="R",(G1396+Table13[[#This Row],[Steps]])&gt;100),1,0)</f>
        <v>0</v>
      </c>
      <c r="J1397">
        <f>IF(Table13[[#This Row],[POS]]=0,1,0)</f>
        <v>1</v>
      </c>
      <c r="K1397">
        <f>SUM(Table13[[#This Row],[prefix]],Table13[[#This Row],[Past zero L]],Table13[[#This Row],[Past Zero R]],Table13[[#This Row],[Is Zero]])</f>
        <v>1</v>
      </c>
    </row>
    <row r="1398" spans="1:11" ht="16" x14ac:dyDescent="0.2">
      <c r="A1398" s="1" t="s">
        <v>80</v>
      </c>
      <c r="B1398" t="str">
        <f>LEFT(Table13[[#This Row],[Input]],1)</f>
        <v>L</v>
      </c>
      <c r="C1398">
        <f>_xlfn.LET(_xlpm.steps,SUBSTITUTE(Table13[[#This Row],[Input]],Table13[[#This Row],[Direction]],""),VALUE(IF(LEN(_xlpm.steps)&gt;2,RIGHT(_xlpm.steps,2),_xlpm.steps)))</f>
        <v>48</v>
      </c>
      <c r="D1398">
        <f>_xlfn.LET(_xlpm.steps,SUBSTITUTE(Table13[[#This Row],[Input]],Table13[[#This Row],[Direction]],""),VALUE(IF(LEN(_xlpm.steps)&gt;2,LEFT(_xlpm.steps,LEN(_xlpm.steps)-2),0)))</f>
        <v>0</v>
      </c>
      <c r="E1398">
        <f>_xlfn.LET(_xlpm.dir,Table13[[#This Row],[Direction]],
IF(_xlpm.dir="L",
    IF(G1397-Table13[[#This Row],[Steps]]&lt;0,100+(G1397-Table13[[#This Row],[Steps]]),G1397-Table13[[#This Row],[Steps]]),
))</f>
        <v>52</v>
      </c>
      <c r="F1398">
        <f>_xlfn.LET(_xlpm.dir,Table13[[#This Row],[Direction]],
IF(_xlpm.dir="R",
    IF(G1397+Table13[[#This Row],[Steps]]&gt;99,(G1397+Table13[[#This Row],[Steps]])-100,G1397+Table13[[#This Row],[Steps]]),
))</f>
        <v>0</v>
      </c>
      <c r="G1398">
        <f>IF(Table13[[#This Row],[New Pos L]]&lt;&gt;0,Table13[[#This Row],[New Pos L]],Table13[[#This Row],[New Pos R]])</f>
        <v>52</v>
      </c>
      <c r="H1398">
        <f>IF(AND(Table13[[#This Row],[Direction]]="L",Table13[[#This Row],[Steps]]&gt;G1397,G1397&lt;&gt;0),1,0)</f>
        <v>0</v>
      </c>
      <c r="I1398">
        <f>IF(AND(Table13[[#This Row],[Direction]]="R",(G1397+Table13[[#This Row],[Steps]])&gt;100),1,0)</f>
        <v>0</v>
      </c>
      <c r="J1398">
        <f>IF(Table13[[#This Row],[POS]]=0,1,0)</f>
        <v>0</v>
      </c>
      <c r="K1398">
        <f>SUM(Table13[[#This Row],[prefix]],Table13[[#This Row],[Past zero L]],Table13[[#This Row],[Past Zero R]],Table13[[#This Row],[Is Zero]])</f>
        <v>0</v>
      </c>
    </row>
    <row r="1399" spans="1:11" ht="16" x14ac:dyDescent="0.2">
      <c r="A1399" s="1" t="s">
        <v>2</v>
      </c>
      <c r="B1399" t="str">
        <f>LEFT(Table13[[#This Row],[Input]],1)</f>
        <v>L</v>
      </c>
      <c r="C1399">
        <f>_xlfn.LET(_xlpm.steps,SUBSTITUTE(Table13[[#This Row],[Input]],Table13[[#This Row],[Direction]],""),VALUE(IF(LEN(_xlpm.steps)&gt;2,RIGHT(_xlpm.steps,2),_xlpm.steps)))</f>
        <v>38</v>
      </c>
      <c r="D1399">
        <f>_xlfn.LET(_xlpm.steps,SUBSTITUTE(Table13[[#This Row],[Input]],Table13[[#This Row],[Direction]],""),VALUE(IF(LEN(_xlpm.steps)&gt;2,LEFT(_xlpm.steps,LEN(_xlpm.steps)-2),0)))</f>
        <v>0</v>
      </c>
      <c r="E1399">
        <f>_xlfn.LET(_xlpm.dir,Table13[[#This Row],[Direction]],
IF(_xlpm.dir="L",
    IF(G1398-Table13[[#This Row],[Steps]]&lt;0,100+(G1398-Table13[[#This Row],[Steps]]),G1398-Table13[[#This Row],[Steps]]),
))</f>
        <v>14</v>
      </c>
      <c r="F1399">
        <f>_xlfn.LET(_xlpm.dir,Table13[[#This Row],[Direction]],
IF(_xlpm.dir="R",
    IF(G1398+Table13[[#This Row],[Steps]]&gt;99,(G1398+Table13[[#This Row],[Steps]])-100,G1398+Table13[[#This Row],[Steps]]),
))</f>
        <v>0</v>
      </c>
      <c r="G1399">
        <f>IF(Table13[[#This Row],[New Pos L]]&lt;&gt;0,Table13[[#This Row],[New Pos L]],Table13[[#This Row],[New Pos R]])</f>
        <v>14</v>
      </c>
      <c r="H1399">
        <f>IF(AND(Table13[[#This Row],[Direction]]="L",Table13[[#This Row],[Steps]]&gt;G1398,G1398&lt;&gt;0),1,0)</f>
        <v>0</v>
      </c>
      <c r="I1399">
        <f>IF(AND(Table13[[#This Row],[Direction]]="R",(G1398+Table13[[#This Row],[Steps]])&gt;100),1,0)</f>
        <v>0</v>
      </c>
      <c r="J1399">
        <f>IF(Table13[[#This Row],[POS]]=0,1,0)</f>
        <v>0</v>
      </c>
      <c r="K1399">
        <f>SUM(Table13[[#This Row],[prefix]],Table13[[#This Row],[Past zero L]],Table13[[#This Row],[Past Zero R]],Table13[[#This Row],[Is Zero]])</f>
        <v>0</v>
      </c>
    </row>
    <row r="1400" spans="1:11" ht="16" x14ac:dyDescent="0.2">
      <c r="A1400" s="1" t="s">
        <v>27</v>
      </c>
      <c r="B1400" t="str">
        <f>LEFT(Table13[[#This Row],[Input]],1)</f>
        <v>L</v>
      </c>
      <c r="C1400">
        <f>_xlfn.LET(_xlpm.steps,SUBSTITUTE(Table13[[#This Row],[Input]],Table13[[#This Row],[Direction]],""),VALUE(IF(LEN(_xlpm.steps)&gt;2,RIGHT(_xlpm.steps,2),_xlpm.steps)))</f>
        <v>14</v>
      </c>
      <c r="D1400">
        <f>_xlfn.LET(_xlpm.steps,SUBSTITUTE(Table13[[#This Row],[Input]],Table13[[#This Row],[Direction]],""),VALUE(IF(LEN(_xlpm.steps)&gt;2,LEFT(_xlpm.steps,LEN(_xlpm.steps)-2),0)))</f>
        <v>0</v>
      </c>
      <c r="E1400">
        <f>_xlfn.LET(_xlpm.dir,Table13[[#This Row],[Direction]],
IF(_xlpm.dir="L",
    IF(G1399-Table13[[#This Row],[Steps]]&lt;0,100+(G1399-Table13[[#This Row],[Steps]]),G1399-Table13[[#This Row],[Steps]]),
))</f>
        <v>0</v>
      </c>
      <c r="F1400">
        <f>_xlfn.LET(_xlpm.dir,Table13[[#This Row],[Direction]],
IF(_xlpm.dir="R",
    IF(G1399+Table13[[#This Row],[Steps]]&gt;99,(G1399+Table13[[#This Row],[Steps]])-100,G1399+Table13[[#This Row],[Steps]]),
))</f>
        <v>0</v>
      </c>
      <c r="G1400">
        <f>IF(Table13[[#This Row],[New Pos L]]&lt;&gt;0,Table13[[#This Row],[New Pos L]],Table13[[#This Row],[New Pos R]])</f>
        <v>0</v>
      </c>
      <c r="H1400">
        <f>IF(AND(Table13[[#This Row],[Direction]]="L",Table13[[#This Row],[Steps]]&gt;G1399,G1399&lt;&gt;0),1,0)</f>
        <v>0</v>
      </c>
      <c r="I1400">
        <f>IF(AND(Table13[[#This Row],[Direction]]="R",(G1399+Table13[[#This Row],[Steps]])&gt;100),1,0)</f>
        <v>0</v>
      </c>
      <c r="J1400">
        <f>IF(Table13[[#This Row],[POS]]=0,1,0)</f>
        <v>1</v>
      </c>
      <c r="K1400">
        <f>SUM(Table13[[#This Row],[prefix]],Table13[[#This Row],[Past zero L]],Table13[[#This Row],[Past Zero R]],Table13[[#This Row],[Is Zero]])</f>
        <v>1</v>
      </c>
    </row>
    <row r="1401" spans="1:11" ht="16" x14ac:dyDescent="0.2">
      <c r="A1401" s="1" t="s">
        <v>125</v>
      </c>
      <c r="B1401" t="str">
        <f>LEFT(Table13[[#This Row],[Input]],1)</f>
        <v>L</v>
      </c>
      <c r="C1401">
        <f>_xlfn.LET(_xlpm.steps,SUBSTITUTE(Table13[[#This Row],[Input]],Table13[[#This Row],[Direction]],""),VALUE(IF(LEN(_xlpm.steps)&gt;2,RIGHT(_xlpm.steps,2),_xlpm.steps)))</f>
        <v>76</v>
      </c>
      <c r="D1401">
        <f>_xlfn.LET(_xlpm.steps,SUBSTITUTE(Table13[[#This Row],[Input]],Table13[[#This Row],[Direction]],""),VALUE(IF(LEN(_xlpm.steps)&gt;2,LEFT(_xlpm.steps,LEN(_xlpm.steps)-2),0)))</f>
        <v>0</v>
      </c>
      <c r="E1401">
        <f>_xlfn.LET(_xlpm.dir,Table13[[#This Row],[Direction]],
IF(_xlpm.dir="L",
    IF(G1400-Table13[[#This Row],[Steps]]&lt;0,100+(G1400-Table13[[#This Row],[Steps]]),G1400-Table13[[#This Row],[Steps]]),
))</f>
        <v>24</v>
      </c>
      <c r="F1401">
        <f>_xlfn.LET(_xlpm.dir,Table13[[#This Row],[Direction]],
IF(_xlpm.dir="R",
    IF(G1400+Table13[[#This Row],[Steps]]&gt;99,(G1400+Table13[[#This Row],[Steps]])-100,G1400+Table13[[#This Row],[Steps]]),
))</f>
        <v>0</v>
      </c>
      <c r="G1401">
        <f>IF(Table13[[#This Row],[New Pos L]]&lt;&gt;0,Table13[[#This Row],[New Pos L]],Table13[[#This Row],[New Pos R]])</f>
        <v>24</v>
      </c>
      <c r="H1401">
        <f>IF(AND(Table13[[#This Row],[Direction]]="L",Table13[[#This Row],[Steps]]&gt;G1400,G1400&lt;&gt;0),1,0)</f>
        <v>0</v>
      </c>
      <c r="I1401">
        <f>IF(AND(Table13[[#This Row],[Direction]]="R",(G1400+Table13[[#This Row],[Steps]])&gt;100),1,0)</f>
        <v>0</v>
      </c>
      <c r="J1401">
        <f>IF(Table13[[#This Row],[POS]]=0,1,0)</f>
        <v>0</v>
      </c>
      <c r="K1401">
        <f>SUM(Table13[[#This Row],[prefix]],Table13[[#This Row],[Past zero L]],Table13[[#This Row],[Past Zero R]],Table13[[#This Row],[Is Zero]])</f>
        <v>0</v>
      </c>
    </row>
    <row r="1402" spans="1:11" ht="16" x14ac:dyDescent="0.2">
      <c r="A1402" s="1" t="s">
        <v>344</v>
      </c>
      <c r="B1402" t="str">
        <f>LEFT(Table13[[#This Row],[Input]],1)</f>
        <v>R</v>
      </c>
      <c r="C1402">
        <f>_xlfn.LET(_xlpm.steps,SUBSTITUTE(Table13[[#This Row],[Input]],Table13[[#This Row],[Direction]],""),VALUE(IF(LEN(_xlpm.steps)&gt;2,RIGHT(_xlpm.steps,2),_xlpm.steps)))</f>
        <v>9</v>
      </c>
      <c r="D1402">
        <f>_xlfn.LET(_xlpm.steps,SUBSTITUTE(Table13[[#This Row],[Input]],Table13[[#This Row],[Direction]],""),VALUE(IF(LEN(_xlpm.steps)&gt;2,LEFT(_xlpm.steps,LEN(_xlpm.steps)-2),0)))</f>
        <v>0</v>
      </c>
      <c r="E1402">
        <f>_xlfn.LET(_xlpm.dir,Table13[[#This Row],[Direction]],
IF(_xlpm.dir="L",
    IF(G1401-Table13[[#This Row],[Steps]]&lt;0,100+(G1401-Table13[[#This Row],[Steps]]),G1401-Table13[[#This Row],[Steps]]),
))</f>
        <v>0</v>
      </c>
      <c r="F1402">
        <f>_xlfn.LET(_xlpm.dir,Table13[[#This Row],[Direction]],
IF(_xlpm.dir="R",
    IF(G1401+Table13[[#This Row],[Steps]]&gt;99,(G1401+Table13[[#This Row],[Steps]])-100,G1401+Table13[[#This Row],[Steps]]),
))</f>
        <v>33</v>
      </c>
      <c r="G1402">
        <f>IF(Table13[[#This Row],[New Pos L]]&lt;&gt;0,Table13[[#This Row],[New Pos L]],Table13[[#This Row],[New Pos R]])</f>
        <v>33</v>
      </c>
      <c r="H1402">
        <f>IF(AND(Table13[[#This Row],[Direction]]="L",Table13[[#This Row],[Steps]]&gt;G1401,G1401&lt;&gt;0),1,0)</f>
        <v>0</v>
      </c>
      <c r="I1402">
        <f>IF(AND(Table13[[#This Row],[Direction]]="R",(G1401+Table13[[#This Row],[Steps]])&gt;100),1,0)</f>
        <v>0</v>
      </c>
      <c r="J1402">
        <f>IF(Table13[[#This Row],[POS]]=0,1,0)</f>
        <v>0</v>
      </c>
      <c r="K1402">
        <f>SUM(Table13[[#This Row],[prefix]],Table13[[#This Row],[Past zero L]],Table13[[#This Row],[Past Zero R]],Table13[[#This Row],[Is Zero]])</f>
        <v>0</v>
      </c>
    </row>
    <row r="1403" spans="1:11" ht="16" x14ac:dyDescent="0.2">
      <c r="A1403" s="1" t="s">
        <v>332</v>
      </c>
      <c r="B1403" t="str">
        <f>LEFT(Table13[[#This Row],[Input]],1)</f>
        <v>L</v>
      </c>
      <c r="C1403">
        <f>_xlfn.LET(_xlpm.steps,SUBSTITUTE(Table13[[#This Row],[Input]],Table13[[#This Row],[Direction]],""),VALUE(IF(LEN(_xlpm.steps)&gt;2,RIGHT(_xlpm.steps,2),_xlpm.steps)))</f>
        <v>54</v>
      </c>
      <c r="D1403">
        <f>_xlfn.LET(_xlpm.steps,SUBSTITUTE(Table13[[#This Row],[Input]],Table13[[#This Row],[Direction]],""),VALUE(IF(LEN(_xlpm.steps)&gt;2,LEFT(_xlpm.steps,LEN(_xlpm.steps)-2),0)))</f>
        <v>7</v>
      </c>
      <c r="E1403">
        <f>_xlfn.LET(_xlpm.dir,Table13[[#This Row],[Direction]],
IF(_xlpm.dir="L",
    IF(G1402-Table13[[#This Row],[Steps]]&lt;0,100+(G1402-Table13[[#This Row],[Steps]]),G1402-Table13[[#This Row],[Steps]]),
))</f>
        <v>79</v>
      </c>
      <c r="F1403">
        <f>_xlfn.LET(_xlpm.dir,Table13[[#This Row],[Direction]],
IF(_xlpm.dir="R",
    IF(G1402+Table13[[#This Row],[Steps]]&gt;99,(G1402+Table13[[#This Row],[Steps]])-100,G1402+Table13[[#This Row],[Steps]]),
))</f>
        <v>0</v>
      </c>
      <c r="G1403">
        <f>IF(Table13[[#This Row],[New Pos L]]&lt;&gt;0,Table13[[#This Row],[New Pos L]],Table13[[#This Row],[New Pos R]])</f>
        <v>79</v>
      </c>
      <c r="H1403">
        <f>IF(AND(Table13[[#This Row],[Direction]]="L",Table13[[#This Row],[Steps]]&gt;G1402,G1402&lt;&gt;0),1,0)</f>
        <v>1</v>
      </c>
      <c r="I1403">
        <f>IF(AND(Table13[[#This Row],[Direction]]="R",(G1402+Table13[[#This Row],[Steps]])&gt;100),1,0)</f>
        <v>0</v>
      </c>
      <c r="J1403">
        <f>IF(Table13[[#This Row],[POS]]=0,1,0)</f>
        <v>0</v>
      </c>
      <c r="K1403">
        <f>SUM(Table13[[#This Row],[prefix]],Table13[[#This Row],[Past zero L]],Table13[[#This Row],[Past Zero R]],Table13[[#This Row],[Is Zero]])</f>
        <v>8</v>
      </c>
    </row>
    <row r="1404" spans="1:11" ht="16" x14ac:dyDescent="0.2">
      <c r="A1404" s="1" t="s">
        <v>426</v>
      </c>
      <c r="B1404" t="str">
        <f>LEFT(Table13[[#This Row],[Input]],1)</f>
        <v>L</v>
      </c>
      <c r="C1404">
        <f>_xlfn.LET(_xlpm.steps,SUBSTITUTE(Table13[[#This Row],[Input]],Table13[[#This Row],[Direction]],""),VALUE(IF(LEN(_xlpm.steps)&gt;2,RIGHT(_xlpm.steps,2),_xlpm.steps)))</f>
        <v>79</v>
      </c>
      <c r="D1404">
        <f>_xlfn.LET(_xlpm.steps,SUBSTITUTE(Table13[[#This Row],[Input]],Table13[[#This Row],[Direction]],""),VALUE(IF(LEN(_xlpm.steps)&gt;2,LEFT(_xlpm.steps,LEN(_xlpm.steps)-2),0)))</f>
        <v>5</v>
      </c>
      <c r="E1404">
        <f>_xlfn.LET(_xlpm.dir,Table13[[#This Row],[Direction]],
IF(_xlpm.dir="L",
    IF(G1403-Table13[[#This Row],[Steps]]&lt;0,100+(G1403-Table13[[#This Row],[Steps]]),G1403-Table13[[#This Row],[Steps]]),
))</f>
        <v>0</v>
      </c>
      <c r="F1404">
        <f>_xlfn.LET(_xlpm.dir,Table13[[#This Row],[Direction]],
IF(_xlpm.dir="R",
    IF(G1403+Table13[[#This Row],[Steps]]&gt;99,(G1403+Table13[[#This Row],[Steps]])-100,G1403+Table13[[#This Row],[Steps]]),
))</f>
        <v>0</v>
      </c>
      <c r="G1404">
        <f>IF(Table13[[#This Row],[New Pos L]]&lt;&gt;0,Table13[[#This Row],[New Pos L]],Table13[[#This Row],[New Pos R]])</f>
        <v>0</v>
      </c>
      <c r="H1404">
        <f>IF(AND(Table13[[#This Row],[Direction]]="L",Table13[[#This Row],[Steps]]&gt;G1403,G1403&lt;&gt;0),1,0)</f>
        <v>0</v>
      </c>
      <c r="I1404">
        <f>IF(AND(Table13[[#This Row],[Direction]]="R",(G1403+Table13[[#This Row],[Steps]])&gt;100),1,0)</f>
        <v>0</v>
      </c>
      <c r="J1404">
        <f>IF(Table13[[#This Row],[POS]]=0,1,0)</f>
        <v>1</v>
      </c>
      <c r="K1404">
        <f>SUM(Table13[[#This Row],[prefix]],Table13[[#This Row],[Past zero L]],Table13[[#This Row],[Past Zero R]],Table13[[#This Row],[Is Zero]])</f>
        <v>6</v>
      </c>
    </row>
    <row r="1405" spans="1:11" ht="16" x14ac:dyDescent="0.2">
      <c r="A1405" s="1" t="s">
        <v>40</v>
      </c>
      <c r="B1405" t="str">
        <f>LEFT(Table13[[#This Row],[Input]],1)</f>
        <v>R</v>
      </c>
      <c r="C1405">
        <f>_xlfn.LET(_xlpm.steps,SUBSTITUTE(Table13[[#This Row],[Input]],Table13[[#This Row],[Direction]],""),VALUE(IF(LEN(_xlpm.steps)&gt;2,RIGHT(_xlpm.steps,2),_xlpm.steps)))</f>
        <v>52</v>
      </c>
      <c r="D1405">
        <f>_xlfn.LET(_xlpm.steps,SUBSTITUTE(Table13[[#This Row],[Input]],Table13[[#This Row],[Direction]],""),VALUE(IF(LEN(_xlpm.steps)&gt;2,LEFT(_xlpm.steps,LEN(_xlpm.steps)-2),0)))</f>
        <v>0</v>
      </c>
      <c r="E1405">
        <f>_xlfn.LET(_xlpm.dir,Table13[[#This Row],[Direction]],
IF(_xlpm.dir="L",
    IF(G1404-Table13[[#This Row],[Steps]]&lt;0,100+(G1404-Table13[[#This Row],[Steps]]),G1404-Table13[[#This Row],[Steps]]),
))</f>
        <v>0</v>
      </c>
      <c r="F1405">
        <f>_xlfn.LET(_xlpm.dir,Table13[[#This Row],[Direction]],
IF(_xlpm.dir="R",
    IF(G1404+Table13[[#This Row],[Steps]]&gt;99,(G1404+Table13[[#This Row],[Steps]])-100,G1404+Table13[[#This Row],[Steps]]),
))</f>
        <v>52</v>
      </c>
      <c r="G1405">
        <f>IF(Table13[[#This Row],[New Pos L]]&lt;&gt;0,Table13[[#This Row],[New Pos L]],Table13[[#This Row],[New Pos R]])</f>
        <v>52</v>
      </c>
      <c r="H1405">
        <f>IF(AND(Table13[[#This Row],[Direction]]="L",Table13[[#This Row],[Steps]]&gt;G1404,G1404&lt;&gt;0),1,0)</f>
        <v>0</v>
      </c>
      <c r="I1405">
        <f>IF(AND(Table13[[#This Row],[Direction]]="R",(G1404+Table13[[#This Row],[Steps]])&gt;100),1,0)</f>
        <v>0</v>
      </c>
      <c r="J1405">
        <f>IF(Table13[[#This Row],[POS]]=0,1,0)</f>
        <v>0</v>
      </c>
      <c r="K1405">
        <f>SUM(Table13[[#This Row],[prefix]],Table13[[#This Row],[Past zero L]],Table13[[#This Row],[Past Zero R]],Table13[[#This Row],[Is Zero]])</f>
        <v>0</v>
      </c>
    </row>
    <row r="1406" spans="1:11" ht="16" x14ac:dyDescent="0.2">
      <c r="A1406" s="1" t="s">
        <v>165</v>
      </c>
      <c r="B1406" t="str">
        <f>LEFT(Table13[[#This Row],[Input]],1)</f>
        <v>R</v>
      </c>
      <c r="C1406">
        <f>_xlfn.LET(_xlpm.steps,SUBSTITUTE(Table13[[#This Row],[Input]],Table13[[#This Row],[Direction]],""),VALUE(IF(LEN(_xlpm.steps)&gt;2,RIGHT(_xlpm.steps,2),_xlpm.steps)))</f>
        <v>55</v>
      </c>
      <c r="D1406">
        <f>_xlfn.LET(_xlpm.steps,SUBSTITUTE(Table13[[#This Row],[Input]],Table13[[#This Row],[Direction]],""),VALUE(IF(LEN(_xlpm.steps)&gt;2,LEFT(_xlpm.steps,LEN(_xlpm.steps)-2),0)))</f>
        <v>0</v>
      </c>
      <c r="E1406">
        <f>_xlfn.LET(_xlpm.dir,Table13[[#This Row],[Direction]],
IF(_xlpm.dir="L",
    IF(G1405-Table13[[#This Row],[Steps]]&lt;0,100+(G1405-Table13[[#This Row],[Steps]]),G1405-Table13[[#This Row],[Steps]]),
))</f>
        <v>0</v>
      </c>
      <c r="F1406">
        <f>_xlfn.LET(_xlpm.dir,Table13[[#This Row],[Direction]],
IF(_xlpm.dir="R",
    IF(G1405+Table13[[#This Row],[Steps]]&gt;99,(G1405+Table13[[#This Row],[Steps]])-100,G1405+Table13[[#This Row],[Steps]]),
))</f>
        <v>7</v>
      </c>
      <c r="G1406">
        <f>IF(Table13[[#This Row],[New Pos L]]&lt;&gt;0,Table13[[#This Row],[New Pos L]],Table13[[#This Row],[New Pos R]])</f>
        <v>7</v>
      </c>
      <c r="H1406">
        <f>IF(AND(Table13[[#This Row],[Direction]]="L",Table13[[#This Row],[Steps]]&gt;G1405,G1405&lt;&gt;0),1,0)</f>
        <v>0</v>
      </c>
      <c r="I1406">
        <f>IF(AND(Table13[[#This Row],[Direction]]="R",(G1405+Table13[[#This Row],[Steps]])&gt;100),1,0)</f>
        <v>1</v>
      </c>
      <c r="J1406">
        <f>IF(Table13[[#This Row],[POS]]=0,1,0)</f>
        <v>0</v>
      </c>
      <c r="K1406">
        <f>SUM(Table13[[#This Row],[prefix]],Table13[[#This Row],[Past zero L]],Table13[[#This Row],[Past Zero R]],Table13[[#This Row],[Is Zero]])</f>
        <v>1</v>
      </c>
    </row>
    <row r="1407" spans="1:11" ht="16" x14ac:dyDescent="0.2">
      <c r="A1407" s="1" t="s">
        <v>217</v>
      </c>
      <c r="B1407" t="str">
        <f>LEFT(Table13[[#This Row],[Input]],1)</f>
        <v>R</v>
      </c>
      <c r="C1407">
        <f>_xlfn.LET(_xlpm.steps,SUBSTITUTE(Table13[[#This Row],[Input]],Table13[[#This Row],[Direction]],""),VALUE(IF(LEN(_xlpm.steps)&gt;2,RIGHT(_xlpm.steps,2),_xlpm.steps)))</f>
        <v>91</v>
      </c>
      <c r="D1407">
        <f>_xlfn.LET(_xlpm.steps,SUBSTITUTE(Table13[[#This Row],[Input]],Table13[[#This Row],[Direction]],""),VALUE(IF(LEN(_xlpm.steps)&gt;2,LEFT(_xlpm.steps,LEN(_xlpm.steps)-2),0)))</f>
        <v>0</v>
      </c>
      <c r="E1407">
        <f>_xlfn.LET(_xlpm.dir,Table13[[#This Row],[Direction]],
IF(_xlpm.dir="L",
    IF(G1406-Table13[[#This Row],[Steps]]&lt;0,100+(G1406-Table13[[#This Row],[Steps]]),G1406-Table13[[#This Row],[Steps]]),
))</f>
        <v>0</v>
      </c>
      <c r="F1407">
        <f>_xlfn.LET(_xlpm.dir,Table13[[#This Row],[Direction]],
IF(_xlpm.dir="R",
    IF(G1406+Table13[[#This Row],[Steps]]&gt;99,(G1406+Table13[[#This Row],[Steps]])-100,G1406+Table13[[#This Row],[Steps]]),
))</f>
        <v>98</v>
      </c>
      <c r="G1407">
        <f>IF(Table13[[#This Row],[New Pos L]]&lt;&gt;0,Table13[[#This Row],[New Pos L]],Table13[[#This Row],[New Pos R]])</f>
        <v>98</v>
      </c>
      <c r="H1407">
        <f>IF(AND(Table13[[#This Row],[Direction]]="L",Table13[[#This Row],[Steps]]&gt;G1406,G1406&lt;&gt;0),1,0)</f>
        <v>0</v>
      </c>
      <c r="I1407">
        <f>IF(AND(Table13[[#This Row],[Direction]]="R",(G1406+Table13[[#This Row],[Steps]])&gt;100),1,0)</f>
        <v>0</v>
      </c>
      <c r="J1407">
        <f>IF(Table13[[#This Row],[POS]]=0,1,0)</f>
        <v>0</v>
      </c>
      <c r="K1407">
        <f>SUM(Table13[[#This Row],[prefix]],Table13[[#This Row],[Past zero L]],Table13[[#This Row],[Past Zero R]],Table13[[#This Row],[Is Zero]])</f>
        <v>0</v>
      </c>
    </row>
    <row r="1408" spans="1:11" ht="16" x14ac:dyDescent="0.2">
      <c r="A1408" s="1" t="s">
        <v>26</v>
      </c>
      <c r="B1408" t="str">
        <f>LEFT(Table13[[#This Row],[Input]],1)</f>
        <v>R</v>
      </c>
      <c r="C1408">
        <f>_xlfn.LET(_xlpm.steps,SUBSTITUTE(Table13[[#This Row],[Input]],Table13[[#This Row],[Direction]],""),VALUE(IF(LEN(_xlpm.steps)&gt;2,RIGHT(_xlpm.steps,2),_xlpm.steps)))</f>
        <v>6</v>
      </c>
      <c r="D1408">
        <f>_xlfn.LET(_xlpm.steps,SUBSTITUTE(Table13[[#This Row],[Input]],Table13[[#This Row],[Direction]],""),VALUE(IF(LEN(_xlpm.steps)&gt;2,LEFT(_xlpm.steps,LEN(_xlpm.steps)-2),0)))</f>
        <v>0</v>
      </c>
      <c r="E1408">
        <f>_xlfn.LET(_xlpm.dir,Table13[[#This Row],[Direction]],
IF(_xlpm.dir="L",
    IF(G1407-Table13[[#This Row],[Steps]]&lt;0,100+(G1407-Table13[[#This Row],[Steps]]),G1407-Table13[[#This Row],[Steps]]),
))</f>
        <v>0</v>
      </c>
      <c r="F1408">
        <f>_xlfn.LET(_xlpm.dir,Table13[[#This Row],[Direction]],
IF(_xlpm.dir="R",
    IF(G1407+Table13[[#This Row],[Steps]]&gt;99,(G1407+Table13[[#This Row],[Steps]])-100,G1407+Table13[[#This Row],[Steps]]),
))</f>
        <v>4</v>
      </c>
      <c r="G1408">
        <f>IF(Table13[[#This Row],[New Pos L]]&lt;&gt;0,Table13[[#This Row],[New Pos L]],Table13[[#This Row],[New Pos R]])</f>
        <v>4</v>
      </c>
      <c r="H1408">
        <f>IF(AND(Table13[[#This Row],[Direction]]="L",Table13[[#This Row],[Steps]]&gt;G1407,G1407&lt;&gt;0),1,0)</f>
        <v>0</v>
      </c>
      <c r="I1408">
        <f>IF(AND(Table13[[#This Row],[Direction]]="R",(G1407+Table13[[#This Row],[Steps]])&gt;100),1,0)</f>
        <v>1</v>
      </c>
      <c r="J1408">
        <f>IF(Table13[[#This Row],[POS]]=0,1,0)</f>
        <v>0</v>
      </c>
      <c r="K1408">
        <f>SUM(Table13[[#This Row],[prefix]],Table13[[#This Row],[Past zero L]],Table13[[#This Row],[Past Zero R]],Table13[[#This Row],[Is Zero]])</f>
        <v>1</v>
      </c>
    </row>
    <row r="1409" spans="1:11" ht="16" x14ac:dyDescent="0.2">
      <c r="A1409" s="1" t="s">
        <v>80</v>
      </c>
      <c r="B1409" t="str">
        <f>LEFT(Table13[[#This Row],[Input]],1)</f>
        <v>L</v>
      </c>
      <c r="C1409">
        <f>_xlfn.LET(_xlpm.steps,SUBSTITUTE(Table13[[#This Row],[Input]],Table13[[#This Row],[Direction]],""),VALUE(IF(LEN(_xlpm.steps)&gt;2,RIGHT(_xlpm.steps,2),_xlpm.steps)))</f>
        <v>48</v>
      </c>
      <c r="D1409">
        <f>_xlfn.LET(_xlpm.steps,SUBSTITUTE(Table13[[#This Row],[Input]],Table13[[#This Row],[Direction]],""),VALUE(IF(LEN(_xlpm.steps)&gt;2,LEFT(_xlpm.steps,LEN(_xlpm.steps)-2),0)))</f>
        <v>0</v>
      </c>
      <c r="E1409">
        <f>_xlfn.LET(_xlpm.dir,Table13[[#This Row],[Direction]],
IF(_xlpm.dir="L",
    IF(G1408-Table13[[#This Row],[Steps]]&lt;0,100+(G1408-Table13[[#This Row],[Steps]]),G1408-Table13[[#This Row],[Steps]]),
))</f>
        <v>56</v>
      </c>
      <c r="F1409">
        <f>_xlfn.LET(_xlpm.dir,Table13[[#This Row],[Direction]],
IF(_xlpm.dir="R",
    IF(G1408+Table13[[#This Row],[Steps]]&gt;99,(G1408+Table13[[#This Row],[Steps]])-100,G1408+Table13[[#This Row],[Steps]]),
))</f>
        <v>0</v>
      </c>
      <c r="G1409">
        <f>IF(Table13[[#This Row],[New Pos L]]&lt;&gt;0,Table13[[#This Row],[New Pos L]],Table13[[#This Row],[New Pos R]])</f>
        <v>56</v>
      </c>
      <c r="H1409">
        <f>IF(AND(Table13[[#This Row],[Direction]]="L",Table13[[#This Row],[Steps]]&gt;G1408,G1408&lt;&gt;0),1,0)</f>
        <v>1</v>
      </c>
      <c r="I1409">
        <f>IF(AND(Table13[[#This Row],[Direction]]="R",(G1408+Table13[[#This Row],[Steps]])&gt;100),1,0)</f>
        <v>0</v>
      </c>
      <c r="J1409">
        <f>IF(Table13[[#This Row],[POS]]=0,1,0)</f>
        <v>0</v>
      </c>
      <c r="K1409">
        <f>SUM(Table13[[#This Row],[prefix]],Table13[[#This Row],[Past zero L]],Table13[[#This Row],[Past Zero R]],Table13[[#This Row],[Is Zero]])</f>
        <v>1</v>
      </c>
    </row>
    <row r="1410" spans="1:11" ht="16" x14ac:dyDescent="0.2">
      <c r="A1410" s="1" t="s">
        <v>427</v>
      </c>
      <c r="B1410" t="str">
        <f>LEFT(Table13[[#This Row],[Input]],1)</f>
        <v>R</v>
      </c>
      <c r="C1410">
        <f>_xlfn.LET(_xlpm.steps,SUBSTITUTE(Table13[[#This Row],[Input]],Table13[[#This Row],[Direction]],""),VALUE(IF(LEN(_xlpm.steps)&gt;2,RIGHT(_xlpm.steps,2),_xlpm.steps)))</f>
        <v>37</v>
      </c>
      <c r="D1410">
        <f>_xlfn.LET(_xlpm.steps,SUBSTITUTE(Table13[[#This Row],[Input]],Table13[[#This Row],[Direction]],""),VALUE(IF(LEN(_xlpm.steps)&gt;2,LEFT(_xlpm.steps,LEN(_xlpm.steps)-2),0)))</f>
        <v>2</v>
      </c>
      <c r="E1410">
        <f>_xlfn.LET(_xlpm.dir,Table13[[#This Row],[Direction]],
IF(_xlpm.dir="L",
    IF(G1409-Table13[[#This Row],[Steps]]&lt;0,100+(G1409-Table13[[#This Row],[Steps]]),G1409-Table13[[#This Row],[Steps]]),
))</f>
        <v>0</v>
      </c>
      <c r="F1410">
        <f>_xlfn.LET(_xlpm.dir,Table13[[#This Row],[Direction]],
IF(_xlpm.dir="R",
    IF(G1409+Table13[[#This Row],[Steps]]&gt;99,(G1409+Table13[[#This Row],[Steps]])-100,G1409+Table13[[#This Row],[Steps]]),
))</f>
        <v>93</v>
      </c>
      <c r="G1410">
        <f>IF(Table13[[#This Row],[New Pos L]]&lt;&gt;0,Table13[[#This Row],[New Pos L]],Table13[[#This Row],[New Pos R]])</f>
        <v>93</v>
      </c>
      <c r="H1410">
        <f>IF(AND(Table13[[#This Row],[Direction]]="L",Table13[[#This Row],[Steps]]&gt;G1409,G1409&lt;&gt;0),1,0)</f>
        <v>0</v>
      </c>
      <c r="I1410">
        <f>IF(AND(Table13[[#This Row],[Direction]]="R",(G1409+Table13[[#This Row],[Steps]])&gt;100),1,0)</f>
        <v>0</v>
      </c>
      <c r="J1410">
        <f>IF(Table13[[#This Row],[POS]]=0,1,0)</f>
        <v>0</v>
      </c>
      <c r="K1410">
        <f>SUM(Table13[[#This Row],[prefix]],Table13[[#This Row],[Past zero L]],Table13[[#This Row],[Past Zero R]],Table13[[#This Row],[Is Zero]])</f>
        <v>2</v>
      </c>
    </row>
    <row r="1411" spans="1:11" ht="16" x14ac:dyDescent="0.2">
      <c r="A1411" s="1" t="s">
        <v>428</v>
      </c>
      <c r="B1411" t="str">
        <f>LEFT(Table13[[#This Row],[Input]],1)</f>
        <v>L</v>
      </c>
      <c r="C1411">
        <f>_xlfn.LET(_xlpm.steps,SUBSTITUTE(Table13[[#This Row],[Input]],Table13[[#This Row],[Direction]],""),VALUE(IF(LEN(_xlpm.steps)&gt;2,RIGHT(_xlpm.steps,2),_xlpm.steps)))</f>
        <v>93</v>
      </c>
      <c r="D1411">
        <f>_xlfn.LET(_xlpm.steps,SUBSTITUTE(Table13[[#This Row],[Input]],Table13[[#This Row],[Direction]],""),VALUE(IF(LEN(_xlpm.steps)&gt;2,LEFT(_xlpm.steps,LEN(_xlpm.steps)-2),0)))</f>
        <v>1</v>
      </c>
      <c r="E1411">
        <f>_xlfn.LET(_xlpm.dir,Table13[[#This Row],[Direction]],
IF(_xlpm.dir="L",
    IF(G1410-Table13[[#This Row],[Steps]]&lt;0,100+(G1410-Table13[[#This Row],[Steps]]),G1410-Table13[[#This Row],[Steps]]),
))</f>
        <v>0</v>
      </c>
      <c r="F1411">
        <f>_xlfn.LET(_xlpm.dir,Table13[[#This Row],[Direction]],
IF(_xlpm.dir="R",
    IF(G1410+Table13[[#This Row],[Steps]]&gt;99,(G1410+Table13[[#This Row],[Steps]])-100,G1410+Table13[[#This Row],[Steps]]),
))</f>
        <v>0</v>
      </c>
      <c r="G1411">
        <f>IF(Table13[[#This Row],[New Pos L]]&lt;&gt;0,Table13[[#This Row],[New Pos L]],Table13[[#This Row],[New Pos R]])</f>
        <v>0</v>
      </c>
      <c r="H1411">
        <f>IF(AND(Table13[[#This Row],[Direction]]="L",Table13[[#This Row],[Steps]]&gt;G1410,G1410&lt;&gt;0),1,0)</f>
        <v>0</v>
      </c>
      <c r="I1411">
        <f>IF(AND(Table13[[#This Row],[Direction]]="R",(G1410+Table13[[#This Row],[Steps]])&gt;100),1,0)</f>
        <v>0</v>
      </c>
      <c r="J1411">
        <f>IF(Table13[[#This Row],[POS]]=0,1,0)</f>
        <v>1</v>
      </c>
      <c r="K1411">
        <f>SUM(Table13[[#This Row],[prefix]],Table13[[#This Row],[Past zero L]],Table13[[#This Row],[Past Zero R]],Table13[[#This Row],[Is Zero]])</f>
        <v>2</v>
      </c>
    </row>
    <row r="1412" spans="1:11" ht="16" x14ac:dyDescent="0.2">
      <c r="A1412" s="1" t="s">
        <v>167</v>
      </c>
      <c r="B1412" t="str">
        <f>LEFT(Table13[[#This Row],[Input]],1)</f>
        <v>L</v>
      </c>
      <c r="C1412">
        <f>_xlfn.LET(_xlpm.steps,SUBSTITUTE(Table13[[#This Row],[Input]],Table13[[#This Row],[Direction]],""),VALUE(IF(LEN(_xlpm.steps)&gt;2,RIGHT(_xlpm.steps,2),_xlpm.steps)))</f>
        <v>59</v>
      </c>
      <c r="D1412">
        <f>_xlfn.LET(_xlpm.steps,SUBSTITUTE(Table13[[#This Row],[Input]],Table13[[#This Row],[Direction]],""),VALUE(IF(LEN(_xlpm.steps)&gt;2,LEFT(_xlpm.steps,LEN(_xlpm.steps)-2),0)))</f>
        <v>0</v>
      </c>
      <c r="E1412">
        <f>_xlfn.LET(_xlpm.dir,Table13[[#This Row],[Direction]],
IF(_xlpm.dir="L",
    IF(G1411-Table13[[#This Row],[Steps]]&lt;0,100+(G1411-Table13[[#This Row],[Steps]]),G1411-Table13[[#This Row],[Steps]]),
))</f>
        <v>41</v>
      </c>
      <c r="F1412">
        <f>_xlfn.LET(_xlpm.dir,Table13[[#This Row],[Direction]],
IF(_xlpm.dir="R",
    IF(G1411+Table13[[#This Row],[Steps]]&gt;99,(G1411+Table13[[#This Row],[Steps]])-100,G1411+Table13[[#This Row],[Steps]]),
))</f>
        <v>0</v>
      </c>
      <c r="G1412">
        <f>IF(Table13[[#This Row],[New Pos L]]&lt;&gt;0,Table13[[#This Row],[New Pos L]],Table13[[#This Row],[New Pos R]])</f>
        <v>41</v>
      </c>
      <c r="H1412">
        <f>IF(AND(Table13[[#This Row],[Direction]]="L",Table13[[#This Row],[Steps]]&gt;G1411,G1411&lt;&gt;0),1,0)</f>
        <v>0</v>
      </c>
      <c r="I1412">
        <f>IF(AND(Table13[[#This Row],[Direction]]="R",(G1411+Table13[[#This Row],[Steps]])&gt;100),1,0)</f>
        <v>0</v>
      </c>
      <c r="J1412">
        <f>IF(Table13[[#This Row],[POS]]=0,1,0)</f>
        <v>0</v>
      </c>
      <c r="K1412">
        <f>SUM(Table13[[#This Row],[prefix]],Table13[[#This Row],[Past zero L]],Table13[[#This Row],[Past Zero R]],Table13[[#This Row],[Is Zero]])</f>
        <v>0</v>
      </c>
    </row>
    <row r="1413" spans="1:11" ht="16" x14ac:dyDescent="0.2">
      <c r="A1413" s="1" t="s">
        <v>429</v>
      </c>
      <c r="B1413" t="str">
        <f>LEFT(Table13[[#This Row],[Input]],1)</f>
        <v>R</v>
      </c>
      <c r="C1413">
        <f>_xlfn.LET(_xlpm.steps,SUBSTITUTE(Table13[[#This Row],[Input]],Table13[[#This Row],[Direction]],""),VALUE(IF(LEN(_xlpm.steps)&gt;2,RIGHT(_xlpm.steps,2),_xlpm.steps)))</f>
        <v>24</v>
      </c>
      <c r="D1413">
        <f>_xlfn.LET(_xlpm.steps,SUBSTITUTE(Table13[[#This Row],[Input]],Table13[[#This Row],[Direction]],""),VALUE(IF(LEN(_xlpm.steps)&gt;2,LEFT(_xlpm.steps,LEN(_xlpm.steps)-2),0)))</f>
        <v>8</v>
      </c>
      <c r="E1413">
        <f>_xlfn.LET(_xlpm.dir,Table13[[#This Row],[Direction]],
IF(_xlpm.dir="L",
    IF(G1412-Table13[[#This Row],[Steps]]&lt;0,100+(G1412-Table13[[#This Row],[Steps]]),G1412-Table13[[#This Row],[Steps]]),
))</f>
        <v>0</v>
      </c>
      <c r="F1413">
        <f>_xlfn.LET(_xlpm.dir,Table13[[#This Row],[Direction]],
IF(_xlpm.dir="R",
    IF(G1412+Table13[[#This Row],[Steps]]&gt;99,(G1412+Table13[[#This Row],[Steps]])-100,G1412+Table13[[#This Row],[Steps]]),
))</f>
        <v>65</v>
      </c>
      <c r="G1413">
        <f>IF(Table13[[#This Row],[New Pos L]]&lt;&gt;0,Table13[[#This Row],[New Pos L]],Table13[[#This Row],[New Pos R]])</f>
        <v>65</v>
      </c>
      <c r="H1413">
        <f>IF(AND(Table13[[#This Row],[Direction]]="L",Table13[[#This Row],[Steps]]&gt;G1412,G1412&lt;&gt;0),1,0)</f>
        <v>0</v>
      </c>
      <c r="I1413">
        <f>IF(AND(Table13[[#This Row],[Direction]]="R",(G1412+Table13[[#This Row],[Steps]])&gt;100),1,0)</f>
        <v>0</v>
      </c>
      <c r="J1413">
        <f>IF(Table13[[#This Row],[POS]]=0,1,0)</f>
        <v>0</v>
      </c>
      <c r="K1413">
        <f>SUM(Table13[[#This Row],[prefix]],Table13[[#This Row],[Past zero L]],Table13[[#This Row],[Past Zero R]],Table13[[#This Row],[Is Zero]])</f>
        <v>8</v>
      </c>
    </row>
    <row r="1414" spans="1:11" ht="16" x14ac:dyDescent="0.2">
      <c r="A1414" s="1" t="s">
        <v>29</v>
      </c>
      <c r="B1414" t="str">
        <f>LEFT(Table13[[#This Row],[Input]],1)</f>
        <v>L</v>
      </c>
      <c r="C1414">
        <f>_xlfn.LET(_xlpm.steps,SUBSTITUTE(Table13[[#This Row],[Input]],Table13[[#This Row],[Direction]],""),VALUE(IF(LEN(_xlpm.steps)&gt;2,RIGHT(_xlpm.steps,2),_xlpm.steps)))</f>
        <v>33</v>
      </c>
      <c r="D1414">
        <f>_xlfn.LET(_xlpm.steps,SUBSTITUTE(Table13[[#This Row],[Input]],Table13[[#This Row],[Direction]],""),VALUE(IF(LEN(_xlpm.steps)&gt;2,LEFT(_xlpm.steps,LEN(_xlpm.steps)-2),0)))</f>
        <v>0</v>
      </c>
      <c r="E1414">
        <f>_xlfn.LET(_xlpm.dir,Table13[[#This Row],[Direction]],
IF(_xlpm.dir="L",
    IF(G1413-Table13[[#This Row],[Steps]]&lt;0,100+(G1413-Table13[[#This Row],[Steps]]),G1413-Table13[[#This Row],[Steps]]),
))</f>
        <v>32</v>
      </c>
      <c r="F1414">
        <f>_xlfn.LET(_xlpm.dir,Table13[[#This Row],[Direction]],
IF(_xlpm.dir="R",
    IF(G1413+Table13[[#This Row],[Steps]]&gt;99,(G1413+Table13[[#This Row],[Steps]])-100,G1413+Table13[[#This Row],[Steps]]),
))</f>
        <v>0</v>
      </c>
      <c r="G1414">
        <f>IF(Table13[[#This Row],[New Pos L]]&lt;&gt;0,Table13[[#This Row],[New Pos L]],Table13[[#This Row],[New Pos R]])</f>
        <v>32</v>
      </c>
      <c r="H1414">
        <f>IF(AND(Table13[[#This Row],[Direction]]="L",Table13[[#This Row],[Steps]]&gt;G1413,G1413&lt;&gt;0),1,0)</f>
        <v>0</v>
      </c>
      <c r="I1414">
        <f>IF(AND(Table13[[#This Row],[Direction]]="R",(G1413+Table13[[#This Row],[Steps]])&gt;100),1,0)</f>
        <v>0</v>
      </c>
      <c r="J1414">
        <f>IF(Table13[[#This Row],[POS]]=0,1,0)</f>
        <v>0</v>
      </c>
      <c r="K1414">
        <f>SUM(Table13[[#This Row],[prefix]],Table13[[#This Row],[Past zero L]],Table13[[#This Row],[Past Zero R]],Table13[[#This Row],[Is Zero]])</f>
        <v>0</v>
      </c>
    </row>
    <row r="1415" spans="1:11" ht="16" x14ac:dyDescent="0.2">
      <c r="A1415" s="1" t="s">
        <v>23</v>
      </c>
      <c r="B1415" t="str">
        <f>LEFT(Table13[[#This Row],[Input]],1)</f>
        <v>L</v>
      </c>
      <c r="C1415">
        <f>_xlfn.LET(_xlpm.steps,SUBSTITUTE(Table13[[#This Row],[Input]],Table13[[#This Row],[Direction]],""),VALUE(IF(LEN(_xlpm.steps)&gt;2,RIGHT(_xlpm.steps,2),_xlpm.steps)))</f>
        <v>8</v>
      </c>
      <c r="D1415">
        <f>_xlfn.LET(_xlpm.steps,SUBSTITUTE(Table13[[#This Row],[Input]],Table13[[#This Row],[Direction]],""),VALUE(IF(LEN(_xlpm.steps)&gt;2,LEFT(_xlpm.steps,LEN(_xlpm.steps)-2),0)))</f>
        <v>0</v>
      </c>
      <c r="E1415">
        <f>_xlfn.LET(_xlpm.dir,Table13[[#This Row],[Direction]],
IF(_xlpm.dir="L",
    IF(G1414-Table13[[#This Row],[Steps]]&lt;0,100+(G1414-Table13[[#This Row],[Steps]]),G1414-Table13[[#This Row],[Steps]]),
))</f>
        <v>24</v>
      </c>
      <c r="F1415">
        <f>_xlfn.LET(_xlpm.dir,Table13[[#This Row],[Direction]],
IF(_xlpm.dir="R",
    IF(G1414+Table13[[#This Row],[Steps]]&gt;99,(G1414+Table13[[#This Row],[Steps]])-100,G1414+Table13[[#This Row],[Steps]]),
))</f>
        <v>0</v>
      </c>
      <c r="G1415">
        <f>IF(Table13[[#This Row],[New Pos L]]&lt;&gt;0,Table13[[#This Row],[New Pos L]],Table13[[#This Row],[New Pos R]])</f>
        <v>24</v>
      </c>
      <c r="H1415">
        <f>IF(AND(Table13[[#This Row],[Direction]]="L",Table13[[#This Row],[Steps]]&gt;G1414,G1414&lt;&gt;0),1,0)</f>
        <v>0</v>
      </c>
      <c r="I1415">
        <f>IF(AND(Table13[[#This Row],[Direction]]="R",(G1414+Table13[[#This Row],[Steps]])&gt;100),1,0)</f>
        <v>0</v>
      </c>
      <c r="J1415">
        <f>IF(Table13[[#This Row],[POS]]=0,1,0)</f>
        <v>0</v>
      </c>
      <c r="K1415">
        <f>SUM(Table13[[#This Row],[prefix]],Table13[[#This Row],[Past zero L]],Table13[[#This Row],[Past Zero R]],Table13[[#This Row],[Is Zero]])</f>
        <v>0</v>
      </c>
    </row>
    <row r="1416" spans="1:11" ht="16" x14ac:dyDescent="0.2">
      <c r="A1416" s="1" t="s">
        <v>430</v>
      </c>
      <c r="B1416" t="str">
        <f>LEFT(Table13[[#This Row],[Input]],1)</f>
        <v>L</v>
      </c>
      <c r="C1416">
        <f>_xlfn.LET(_xlpm.steps,SUBSTITUTE(Table13[[#This Row],[Input]],Table13[[#This Row],[Direction]],""),VALUE(IF(LEN(_xlpm.steps)&gt;2,RIGHT(_xlpm.steps,2),_xlpm.steps)))</f>
        <v>24</v>
      </c>
      <c r="D1416">
        <f>_xlfn.LET(_xlpm.steps,SUBSTITUTE(Table13[[#This Row],[Input]],Table13[[#This Row],[Direction]],""),VALUE(IF(LEN(_xlpm.steps)&gt;2,LEFT(_xlpm.steps,LEN(_xlpm.steps)-2),0)))</f>
        <v>6</v>
      </c>
      <c r="E1416">
        <f>_xlfn.LET(_xlpm.dir,Table13[[#This Row],[Direction]],
IF(_xlpm.dir="L",
    IF(G1415-Table13[[#This Row],[Steps]]&lt;0,100+(G1415-Table13[[#This Row],[Steps]]),G1415-Table13[[#This Row],[Steps]]),
))</f>
        <v>0</v>
      </c>
      <c r="F1416">
        <f>_xlfn.LET(_xlpm.dir,Table13[[#This Row],[Direction]],
IF(_xlpm.dir="R",
    IF(G1415+Table13[[#This Row],[Steps]]&gt;99,(G1415+Table13[[#This Row],[Steps]])-100,G1415+Table13[[#This Row],[Steps]]),
))</f>
        <v>0</v>
      </c>
      <c r="G1416">
        <f>IF(Table13[[#This Row],[New Pos L]]&lt;&gt;0,Table13[[#This Row],[New Pos L]],Table13[[#This Row],[New Pos R]])</f>
        <v>0</v>
      </c>
      <c r="H1416">
        <f>IF(AND(Table13[[#This Row],[Direction]]="L",Table13[[#This Row],[Steps]]&gt;G1415,G1415&lt;&gt;0),1,0)</f>
        <v>0</v>
      </c>
      <c r="I1416">
        <f>IF(AND(Table13[[#This Row],[Direction]]="R",(G1415+Table13[[#This Row],[Steps]])&gt;100),1,0)</f>
        <v>0</v>
      </c>
      <c r="J1416">
        <f>IF(Table13[[#This Row],[POS]]=0,1,0)</f>
        <v>1</v>
      </c>
      <c r="K1416">
        <f>SUM(Table13[[#This Row],[prefix]],Table13[[#This Row],[Past zero L]],Table13[[#This Row],[Past Zero R]],Table13[[#This Row],[Is Zero]])</f>
        <v>7</v>
      </c>
    </row>
    <row r="1417" spans="1:11" ht="16" x14ac:dyDescent="0.2">
      <c r="A1417" s="1" t="s">
        <v>36</v>
      </c>
      <c r="B1417" t="str">
        <f>LEFT(Table13[[#This Row],[Input]],1)</f>
        <v>R</v>
      </c>
      <c r="C1417">
        <f>_xlfn.LET(_xlpm.steps,SUBSTITUTE(Table13[[#This Row],[Input]],Table13[[#This Row],[Direction]],""),VALUE(IF(LEN(_xlpm.steps)&gt;2,RIGHT(_xlpm.steps,2),_xlpm.steps)))</f>
        <v>50</v>
      </c>
      <c r="D1417">
        <f>_xlfn.LET(_xlpm.steps,SUBSTITUTE(Table13[[#This Row],[Input]],Table13[[#This Row],[Direction]],""),VALUE(IF(LEN(_xlpm.steps)&gt;2,LEFT(_xlpm.steps,LEN(_xlpm.steps)-2),0)))</f>
        <v>0</v>
      </c>
      <c r="E1417">
        <f>_xlfn.LET(_xlpm.dir,Table13[[#This Row],[Direction]],
IF(_xlpm.dir="L",
    IF(G1416-Table13[[#This Row],[Steps]]&lt;0,100+(G1416-Table13[[#This Row],[Steps]]),G1416-Table13[[#This Row],[Steps]]),
))</f>
        <v>0</v>
      </c>
      <c r="F1417">
        <f>_xlfn.LET(_xlpm.dir,Table13[[#This Row],[Direction]],
IF(_xlpm.dir="R",
    IF(G1416+Table13[[#This Row],[Steps]]&gt;99,(G1416+Table13[[#This Row],[Steps]])-100,G1416+Table13[[#This Row],[Steps]]),
))</f>
        <v>50</v>
      </c>
      <c r="G1417">
        <f>IF(Table13[[#This Row],[New Pos L]]&lt;&gt;0,Table13[[#This Row],[New Pos L]],Table13[[#This Row],[New Pos R]])</f>
        <v>50</v>
      </c>
      <c r="H1417">
        <f>IF(AND(Table13[[#This Row],[Direction]]="L",Table13[[#This Row],[Steps]]&gt;G1416,G1416&lt;&gt;0),1,0)</f>
        <v>0</v>
      </c>
      <c r="I1417">
        <f>IF(AND(Table13[[#This Row],[Direction]]="R",(G1416+Table13[[#This Row],[Steps]])&gt;100),1,0)</f>
        <v>0</v>
      </c>
      <c r="J1417">
        <f>IF(Table13[[#This Row],[POS]]=0,1,0)</f>
        <v>0</v>
      </c>
      <c r="K1417">
        <f>SUM(Table13[[#This Row],[prefix]],Table13[[#This Row],[Past zero L]],Table13[[#This Row],[Past Zero R]],Table13[[#This Row],[Is Zero]])</f>
        <v>0</v>
      </c>
    </row>
    <row r="1418" spans="1:11" ht="16" x14ac:dyDescent="0.2">
      <c r="A1418" s="1" t="s">
        <v>35</v>
      </c>
      <c r="B1418" t="str">
        <f>LEFT(Table13[[#This Row],[Input]],1)</f>
        <v>L</v>
      </c>
      <c r="C1418">
        <f>_xlfn.LET(_xlpm.steps,SUBSTITUTE(Table13[[#This Row],[Input]],Table13[[#This Row],[Direction]],""),VALUE(IF(LEN(_xlpm.steps)&gt;2,RIGHT(_xlpm.steps,2),_xlpm.steps)))</f>
        <v>2</v>
      </c>
      <c r="D1418">
        <f>_xlfn.LET(_xlpm.steps,SUBSTITUTE(Table13[[#This Row],[Input]],Table13[[#This Row],[Direction]],""),VALUE(IF(LEN(_xlpm.steps)&gt;2,LEFT(_xlpm.steps,LEN(_xlpm.steps)-2),0)))</f>
        <v>0</v>
      </c>
      <c r="E1418">
        <f>_xlfn.LET(_xlpm.dir,Table13[[#This Row],[Direction]],
IF(_xlpm.dir="L",
    IF(G1417-Table13[[#This Row],[Steps]]&lt;0,100+(G1417-Table13[[#This Row],[Steps]]),G1417-Table13[[#This Row],[Steps]]),
))</f>
        <v>48</v>
      </c>
      <c r="F1418">
        <f>_xlfn.LET(_xlpm.dir,Table13[[#This Row],[Direction]],
IF(_xlpm.dir="R",
    IF(G1417+Table13[[#This Row],[Steps]]&gt;99,(G1417+Table13[[#This Row],[Steps]])-100,G1417+Table13[[#This Row],[Steps]]),
))</f>
        <v>0</v>
      </c>
      <c r="G1418">
        <f>IF(Table13[[#This Row],[New Pos L]]&lt;&gt;0,Table13[[#This Row],[New Pos L]],Table13[[#This Row],[New Pos R]])</f>
        <v>48</v>
      </c>
      <c r="H1418">
        <f>IF(AND(Table13[[#This Row],[Direction]]="L",Table13[[#This Row],[Steps]]&gt;G1417,G1417&lt;&gt;0),1,0)</f>
        <v>0</v>
      </c>
      <c r="I1418">
        <f>IF(AND(Table13[[#This Row],[Direction]]="R",(G1417+Table13[[#This Row],[Steps]])&gt;100),1,0)</f>
        <v>0</v>
      </c>
      <c r="J1418">
        <f>IF(Table13[[#This Row],[POS]]=0,1,0)</f>
        <v>0</v>
      </c>
      <c r="K1418">
        <f>SUM(Table13[[#This Row],[prefix]],Table13[[#This Row],[Past zero L]],Table13[[#This Row],[Past Zero R]],Table13[[#This Row],[Is Zero]])</f>
        <v>0</v>
      </c>
    </row>
    <row r="1419" spans="1:11" ht="16" x14ac:dyDescent="0.2">
      <c r="A1419" s="1" t="s">
        <v>62</v>
      </c>
      <c r="B1419" t="str">
        <f>LEFT(Table13[[#This Row],[Input]],1)</f>
        <v>L</v>
      </c>
      <c r="C1419">
        <f>_xlfn.LET(_xlpm.steps,SUBSTITUTE(Table13[[#This Row],[Input]],Table13[[#This Row],[Direction]],""),VALUE(IF(LEN(_xlpm.steps)&gt;2,RIGHT(_xlpm.steps,2),_xlpm.steps)))</f>
        <v>57</v>
      </c>
      <c r="D1419">
        <f>_xlfn.LET(_xlpm.steps,SUBSTITUTE(Table13[[#This Row],[Input]],Table13[[#This Row],[Direction]],""),VALUE(IF(LEN(_xlpm.steps)&gt;2,LEFT(_xlpm.steps,LEN(_xlpm.steps)-2),0)))</f>
        <v>0</v>
      </c>
      <c r="E1419">
        <f>_xlfn.LET(_xlpm.dir,Table13[[#This Row],[Direction]],
IF(_xlpm.dir="L",
    IF(G1418-Table13[[#This Row],[Steps]]&lt;0,100+(G1418-Table13[[#This Row],[Steps]]),G1418-Table13[[#This Row],[Steps]]),
))</f>
        <v>91</v>
      </c>
      <c r="F1419">
        <f>_xlfn.LET(_xlpm.dir,Table13[[#This Row],[Direction]],
IF(_xlpm.dir="R",
    IF(G1418+Table13[[#This Row],[Steps]]&gt;99,(G1418+Table13[[#This Row],[Steps]])-100,G1418+Table13[[#This Row],[Steps]]),
))</f>
        <v>0</v>
      </c>
      <c r="G1419">
        <f>IF(Table13[[#This Row],[New Pos L]]&lt;&gt;0,Table13[[#This Row],[New Pos L]],Table13[[#This Row],[New Pos R]])</f>
        <v>91</v>
      </c>
      <c r="H1419">
        <f>IF(AND(Table13[[#This Row],[Direction]]="L",Table13[[#This Row],[Steps]]&gt;G1418,G1418&lt;&gt;0),1,0)</f>
        <v>1</v>
      </c>
      <c r="I1419">
        <f>IF(AND(Table13[[#This Row],[Direction]]="R",(G1418+Table13[[#This Row],[Steps]])&gt;100),1,0)</f>
        <v>0</v>
      </c>
      <c r="J1419">
        <f>IF(Table13[[#This Row],[POS]]=0,1,0)</f>
        <v>0</v>
      </c>
      <c r="K1419">
        <f>SUM(Table13[[#This Row],[prefix]],Table13[[#This Row],[Past zero L]],Table13[[#This Row],[Past Zero R]],Table13[[#This Row],[Is Zero]])</f>
        <v>1</v>
      </c>
    </row>
    <row r="1420" spans="1:11" ht="16" x14ac:dyDescent="0.2">
      <c r="A1420" s="1" t="s">
        <v>379</v>
      </c>
      <c r="B1420" t="str">
        <f>LEFT(Table13[[#This Row],[Input]],1)</f>
        <v>L</v>
      </c>
      <c r="C1420">
        <f>_xlfn.LET(_xlpm.steps,SUBSTITUTE(Table13[[#This Row],[Input]],Table13[[#This Row],[Direction]],""),VALUE(IF(LEN(_xlpm.steps)&gt;2,RIGHT(_xlpm.steps,2),_xlpm.steps)))</f>
        <v>4</v>
      </c>
      <c r="D1420">
        <f>_xlfn.LET(_xlpm.steps,SUBSTITUTE(Table13[[#This Row],[Input]],Table13[[#This Row],[Direction]],""),VALUE(IF(LEN(_xlpm.steps)&gt;2,LEFT(_xlpm.steps,LEN(_xlpm.steps)-2),0)))</f>
        <v>0</v>
      </c>
      <c r="E1420">
        <f>_xlfn.LET(_xlpm.dir,Table13[[#This Row],[Direction]],
IF(_xlpm.dir="L",
    IF(G1419-Table13[[#This Row],[Steps]]&lt;0,100+(G1419-Table13[[#This Row],[Steps]]),G1419-Table13[[#This Row],[Steps]]),
))</f>
        <v>87</v>
      </c>
      <c r="F1420">
        <f>_xlfn.LET(_xlpm.dir,Table13[[#This Row],[Direction]],
IF(_xlpm.dir="R",
    IF(G1419+Table13[[#This Row],[Steps]]&gt;99,(G1419+Table13[[#This Row],[Steps]])-100,G1419+Table13[[#This Row],[Steps]]),
))</f>
        <v>0</v>
      </c>
      <c r="G1420">
        <f>IF(Table13[[#This Row],[New Pos L]]&lt;&gt;0,Table13[[#This Row],[New Pos L]],Table13[[#This Row],[New Pos R]])</f>
        <v>87</v>
      </c>
      <c r="H1420">
        <f>IF(AND(Table13[[#This Row],[Direction]]="L",Table13[[#This Row],[Steps]]&gt;G1419,G1419&lt;&gt;0),1,0)</f>
        <v>0</v>
      </c>
      <c r="I1420">
        <f>IF(AND(Table13[[#This Row],[Direction]]="R",(G1419+Table13[[#This Row],[Steps]])&gt;100),1,0)</f>
        <v>0</v>
      </c>
      <c r="J1420">
        <f>IF(Table13[[#This Row],[POS]]=0,1,0)</f>
        <v>0</v>
      </c>
      <c r="K1420">
        <f>SUM(Table13[[#This Row],[prefix]],Table13[[#This Row],[Past zero L]],Table13[[#This Row],[Past Zero R]],Table13[[#This Row],[Is Zero]])</f>
        <v>0</v>
      </c>
    </row>
    <row r="1421" spans="1:11" ht="16" x14ac:dyDescent="0.2">
      <c r="A1421" s="1" t="s">
        <v>188</v>
      </c>
      <c r="B1421" t="str">
        <f>LEFT(Table13[[#This Row],[Input]],1)</f>
        <v>R</v>
      </c>
      <c r="C1421">
        <f>_xlfn.LET(_xlpm.steps,SUBSTITUTE(Table13[[#This Row],[Input]],Table13[[#This Row],[Direction]],""),VALUE(IF(LEN(_xlpm.steps)&gt;2,RIGHT(_xlpm.steps,2),_xlpm.steps)))</f>
        <v>5</v>
      </c>
      <c r="D1421">
        <f>_xlfn.LET(_xlpm.steps,SUBSTITUTE(Table13[[#This Row],[Input]],Table13[[#This Row],[Direction]],""),VALUE(IF(LEN(_xlpm.steps)&gt;2,LEFT(_xlpm.steps,LEN(_xlpm.steps)-2),0)))</f>
        <v>0</v>
      </c>
      <c r="E1421">
        <f>_xlfn.LET(_xlpm.dir,Table13[[#This Row],[Direction]],
IF(_xlpm.dir="L",
    IF(G1420-Table13[[#This Row],[Steps]]&lt;0,100+(G1420-Table13[[#This Row],[Steps]]),G1420-Table13[[#This Row],[Steps]]),
))</f>
        <v>0</v>
      </c>
      <c r="F1421">
        <f>_xlfn.LET(_xlpm.dir,Table13[[#This Row],[Direction]],
IF(_xlpm.dir="R",
    IF(G1420+Table13[[#This Row],[Steps]]&gt;99,(G1420+Table13[[#This Row],[Steps]])-100,G1420+Table13[[#This Row],[Steps]]),
))</f>
        <v>92</v>
      </c>
      <c r="G1421">
        <f>IF(Table13[[#This Row],[New Pos L]]&lt;&gt;0,Table13[[#This Row],[New Pos L]],Table13[[#This Row],[New Pos R]])</f>
        <v>92</v>
      </c>
      <c r="H1421">
        <f>IF(AND(Table13[[#This Row],[Direction]]="L",Table13[[#This Row],[Steps]]&gt;G1420,G1420&lt;&gt;0),1,0)</f>
        <v>0</v>
      </c>
      <c r="I1421">
        <f>IF(AND(Table13[[#This Row],[Direction]]="R",(G1420+Table13[[#This Row],[Steps]])&gt;100),1,0)</f>
        <v>0</v>
      </c>
      <c r="J1421">
        <f>IF(Table13[[#This Row],[POS]]=0,1,0)</f>
        <v>0</v>
      </c>
      <c r="K1421">
        <f>SUM(Table13[[#This Row],[prefix]],Table13[[#This Row],[Past zero L]],Table13[[#This Row],[Past Zero R]],Table13[[#This Row],[Is Zero]])</f>
        <v>0</v>
      </c>
    </row>
    <row r="1422" spans="1:11" ht="16" x14ac:dyDescent="0.2">
      <c r="A1422" s="1" t="s">
        <v>188</v>
      </c>
      <c r="B1422" t="str">
        <f>LEFT(Table13[[#This Row],[Input]],1)</f>
        <v>R</v>
      </c>
      <c r="C1422">
        <f>_xlfn.LET(_xlpm.steps,SUBSTITUTE(Table13[[#This Row],[Input]],Table13[[#This Row],[Direction]],""),VALUE(IF(LEN(_xlpm.steps)&gt;2,RIGHT(_xlpm.steps,2),_xlpm.steps)))</f>
        <v>5</v>
      </c>
      <c r="D1422">
        <f>_xlfn.LET(_xlpm.steps,SUBSTITUTE(Table13[[#This Row],[Input]],Table13[[#This Row],[Direction]],""),VALUE(IF(LEN(_xlpm.steps)&gt;2,LEFT(_xlpm.steps,LEN(_xlpm.steps)-2),0)))</f>
        <v>0</v>
      </c>
      <c r="E1422">
        <f>_xlfn.LET(_xlpm.dir,Table13[[#This Row],[Direction]],
IF(_xlpm.dir="L",
    IF(G1421-Table13[[#This Row],[Steps]]&lt;0,100+(G1421-Table13[[#This Row],[Steps]]),G1421-Table13[[#This Row],[Steps]]),
))</f>
        <v>0</v>
      </c>
      <c r="F1422">
        <f>_xlfn.LET(_xlpm.dir,Table13[[#This Row],[Direction]],
IF(_xlpm.dir="R",
    IF(G1421+Table13[[#This Row],[Steps]]&gt;99,(G1421+Table13[[#This Row],[Steps]])-100,G1421+Table13[[#This Row],[Steps]]),
))</f>
        <v>97</v>
      </c>
      <c r="G1422">
        <f>IF(Table13[[#This Row],[New Pos L]]&lt;&gt;0,Table13[[#This Row],[New Pos L]],Table13[[#This Row],[New Pos R]])</f>
        <v>97</v>
      </c>
      <c r="H1422">
        <f>IF(AND(Table13[[#This Row],[Direction]]="L",Table13[[#This Row],[Steps]]&gt;G1421,G1421&lt;&gt;0),1,0)</f>
        <v>0</v>
      </c>
      <c r="I1422">
        <f>IF(AND(Table13[[#This Row],[Direction]]="R",(G1421+Table13[[#This Row],[Steps]])&gt;100),1,0)</f>
        <v>0</v>
      </c>
      <c r="J1422">
        <f>IF(Table13[[#This Row],[POS]]=0,1,0)</f>
        <v>0</v>
      </c>
      <c r="K1422">
        <f>SUM(Table13[[#This Row],[prefix]],Table13[[#This Row],[Past zero L]],Table13[[#This Row],[Past Zero R]],Table13[[#This Row],[Is Zero]])</f>
        <v>0</v>
      </c>
    </row>
    <row r="1423" spans="1:11" ht="16" x14ac:dyDescent="0.2">
      <c r="A1423" s="1" t="s">
        <v>4</v>
      </c>
      <c r="B1423" t="str">
        <f>LEFT(Table13[[#This Row],[Input]],1)</f>
        <v>R</v>
      </c>
      <c r="C1423">
        <f>_xlfn.LET(_xlpm.steps,SUBSTITUTE(Table13[[#This Row],[Input]],Table13[[#This Row],[Direction]],""),VALUE(IF(LEN(_xlpm.steps)&gt;2,RIGHT(_xlpm.steps,2),_xlpm.steps)))</f>
        <v>3</v>
      </c>
      <c r="D1423">
        <f>_xlfn.LET(_xlpm.steps,SUBSTITUTE(Table13[[#This Row],[Input]],Table13[[#This Row],[Direction]],""),VALUE(IF(LEN(_xlpm.steps)&gt;2,LEFT(_xlpm.steps,LEN(_xlpm.steps)-2),0)))</f>
        <v>0</v>
      </c>
      <c r="E1423">
        <f>_xlfn.LET(_xlpm.dir,Table13[[#This Row],[Direction]],
IF(_xlpm.dir="L",
    IF(G1422-Table13[[#This Row],[Steps]]&lt;0,100+(G1422-Table13[[#This Row],[Steps]]),G1422-Table13[[#This Row],[Steps]]),
))</f>
        <v>0</v>
      </c>
      <c r="F1423">
        <f>_xlfn.LET(_xlpm.dir,Table13[[#This Row],[Direction]],
IF(_xlpm.dir="R",
    IF(G1422+Table13[[#This Row],[Steps]]&gt;99,(G1422+Table13[[#This Row],[Steps]])-100,G1422+Table13[[#This Row],[Steps]]),
))</f>
        <v>0</v>
      </c>
      <c r="G1423">
        <f>IF(Table13[[#This Row],[New Pos L]]&lt;&gt;0,Table13[[#This Row],[New Pos L]],Table13[[#This Row],[New Pos R]])</f>
        <v>0</v>
      </c>
      <c r="H1423">
        <f>IF(AND(Table13[[#This Row],[Direction]]="L",Table13[[#This Row],[Steps]]&gt;G1422,G1422&lt;&gt;0),1,0)</f>
        <v>0</v>
      </c>
      <c r="I1423">
        <f>IF(AND(Table13[[#This Row],[Direction]]="R",(G1422+Table13[[#This Row],[Steps]])&gt;100),1,0)</f>
        <v>0</v>
      </c>
      <c r="J1423">
        <f>IF(Table13[[#This Row],[POS]]=0,1,0)</f>
        <v>1</v>
      </c>
      <c r="K1423">
        <f>SUM(Table13[[#This Row],[prefix]],Table13[[#This Row],[Past zero L]],Table13[[#This Row],[Past Zero R]],Table13[[#This Row],[Is Zero]])</f>
        <v>1</v>
      </c>
    </row>
    <row r="1424" spans="1:11" ht="16" x14ac:dyDescent="0.2">
      <c r="A1424" s="1" t="s">
        <v>91</v>
      </c>
      <c r="B1424" t="str">
        <f>LEFT(Table13[[#This Row],[Input]],1)</f>
        <v>L</v>
      </c>
      <c r="C1424">
        <f>_xlfn.LET(_xlpm.steps,SUBSTITUTE(Table13[[#This Row],[Input]],Table13[[#This Row],[Direction]],""),VALUE(IF(LEN(_xlpm.steps)&gt;2,RIGHT(_xlpm.steps,2),_xlpm.steps)))</f>
        <v>22</v>
      </c>
      <c r="D1424">
        <f>_xlfn.LET(_xlpm.steps,SUBSTITUTE(Table13[[#This Row],[Input]],Table13[[#This Row],[Direction]],""),VALUE(IF(LEN(_xlpm.steps)&gt;2,LEFT(_xlpm.steps,LEN(_xlpm.steps)-2),0)))</f>
        <v>0</v>
      </c>
      <c r="E1424">
        <f>_xlfn.LET(_xlpm.dir,Table13[[#This Row],[Direction]],
IF(_xlpm.dir="L",
    IF(G1423-Table13[[#This Row],[Steps]]&lt;0,100+(G1423-Table13[[#This Row],[Steps]]),G1423-Table13[[#This Row],[Steps]]),
))</f>
        <v>78</v>
      </c>
      <c r="F1424">
        <f>_xlfn.LET(_xlpm.dir,Table13[[#This Row],[Direction]],
IF(_xlpm.dir="R",
    IF(G1423+Table13[[#This Row],[Steps]]&gt;99,(G1423+Table13[[#This Row],[Steps]])-100,G1423+Table13[[#This Row],[Steps]]),
))</f>
        <v>0</v>
      </c>
      <c r="G1424">
        <f>IF(Table13[[#This Row],[New Pos L]]&lt;&gt;0,Table13[[#This Row],[New Pos L]],Table13[[#This Row],[New Pos R]])</f>
        <v>78</v>
      </c>
      <c r="H1424">
        <f>IF(AND(Table13[[#This Row],[Direction]]="L",Table13[[#This Row],[Steps]]&gt;G1423,G1423&lt;&gt;0),1,0)</f>
        <v>0</v>
      </c>
      <c r="I1424">
        <f>IF(AND(Table13[[#This Row],[Direction]]="R",(G1423+Table13[[#This Row],[Steps]])&gt;100),1,0)</f>
        <v>0</v>
      </c>
      <c r="J1424">
        <f>IF(Table13[[#This Row],[POS]]=0,1,0)</f>
        <v>0</v>
      </c>
      <c r="K1424">
        <f>SUM(Table13[[#This Row],[prefix]],Table13[[#This Row],[Past zero L]],Table13[[#This Row],[Past Zero R]],Table13[[#This Row],[Is Zero]])</f>
        <v>0</v>
      </c>
    </row>
    <row r="1425" spans="1:11" ht="16" x14ac:dyDescent="0.2">
      <c r="A1425" s="1" t="s">
        <v>17</v>
      </c>
      <c r="B1425" t="str">
        <f>LEFT(Table13[[#This Row],[Input]],1)</f>
        <v>L</v>
      </c>
      <c r="C1425">
        <f>_xlfn.LET(_xlpm.steps,SUBSTITUTE(Table13[[#This Row],[Input]],Table13[[#This Row],[Direction]],""),VALUE(IF(LEN(_xlpm.steps)&gt;2,RIGHT(_xlpm.steps,2),_xlpm.steps)))</f>
        <v>50</v>
      </c>
      <c r="D1425">
        <f>_xlfn.LET(_xlpm.steps,SUBSTITUTE(Table13[[#This Row],[Input]],Table13[[#This Row],[Direction]],""),VALUE(IF(LEN(_xlpm.steps)&gt;2,LEFT(_xlpm.steps,LEN(_xlpm.steps)-2),0)))</f>
        <v>0</v>
      </c>
      <c r="E1425">
        <f>_xlfn.LET(_xlpm.dir,Table13[[#This Row],[Direction]],
IF(_xlpm.dir="L",
    IF(G1424-Table13[[#This Row],[Steps]]&lt;0,100+(G1424-Table13[[#This Row],[Steps]]),G1424-Table13[[#This Row],[Steps]]),
))</f>
        <v>28</v>
      </c>
      <c r="F1425">
        <f>_xlfn.LET(_xlpm.dir,Table13[[#This Row],[Direction]],
IF(_xlpm.dir="R",
    IF(G1424+Table13[[#This Row],[Steps]]&gt;99,(G1424+Table13[[#This Row],[Steps]])-100,G1424+Table13[[#This Row],[Steps]]),
))</f>
        <v>0</v>
      </c>
      <c r="G1425">
        <f>IF(Table13[[#This Row],[New Pos L]]&lt;&gt;0,Table13[[#This Row],[New Pos L]],Table13[[#This Row],[New Pos R]])</f>
        <v>28</v>
      </c>
      <c r="H1425">
        <f>IF(AND(Table13[[#This Row],[Direction]]="L",Table13[[#This Row],[Steps]]&gt;G1424,G1424&lt;&gt;0),1,0)</f>
        <v>0</v>
      </c>
      <c r="I1425">
        <f>IF(AND(Table13[[#This Row],[Direction]]="R",(G1424+Table13[[#This Row],[Steps]])&gt;100),1,0)</f>
        <v>0</v>
      </c>
      <c r="J1425">
        <f>IF(Table13[[#This Row],[POS]]=0,1,0)</f>
        <v>0</v>
      </c>
      <c r="K1425">
        <f>SUM(Table13[[#This Row],[prefix]],Table13[[#This Row],[Past zero L]],Table13[[#This Row],[Past Zero R]],Table13[[#This Row],[Is Zero]])</f>
        <v>0</v>
      </c>
    </row>
    <row r="1426" spans="1:11" ht="16" x14ac:dyDescent="0.2">
      <c r="A1426" s="1" t="s">
        <v>32</v>
      </c>
      <c r="B1426" t="str">
        <f>LEFT(Table13[[#This Row],[Input]],1)</f>
        <v>L</v>
      </c>
      <c r="C1426">
        <f>_xlfn.LET(_xlpm.steps,SUBSTITUTE(Table13[[#This Row],[Input]],Table13[[#This Row],[Direction]],""),VALUE(IF(LEN(_xlpm.steps)&gt;2,RIGHT(_xlpm.steps,2),_xlpm.steps)))</f>
        <v>28</v>
      </c>
      <c r="D1426">
        <f>_xlfn.LET(_xlpm.steps,SUBSTITUTE(Table13[[#This Row],[Input]],Table13[[#This Row],[Direction]],""),VALUE(IF(LEN(_xlpm.steps)&gt;2,LEFT(_xlpm.steps,LEN(_xlpm.steps)-2),0)))</f>
        <v>0</v>
      </c>
      <c r="E1426">
        <f>_xlfn.LET(_xlpm.dir,Table13[[#This Row],[Direction]],
IF(_xlpm.dir="L",
    IF(G1425-Table13[[#This Row],[Steps]]&lt;0,100+(G1425-Table13[[#This Row],[Steps]]),G1425-Table13[[#This Row],[Steps]]),
))</f>
        <v>0</v>
      </c>
      <c r="F1426">
        <f>_xlfn.LET(_xlpm.dir,Table13[[#This Row],[Direction]],
IF(_xlpm.dir="R",
    IF(G1425+Table13[[#This Row],[Steps]]&gt;99,(G1425+Table13[[#This Row],[Steps]])-100,G1425+Table13[[#This Row],[Steps]]),
))</f>
        <v>0</v>
      </c>
      <c r="G1426">
        <f>IF(Table13[[#This Row],[New Pos L]]&lt;&gt;0,Table13[[#This Row],[New Pos L]],Table13[[#This Row],[New Pos R]])</f>
        <v>0</v>
      </c>
      <c r="H1426">
        <f>IF(AND(Table13[[#This Row],[Direction]]="L",Table13[[#This Row],[Steps]]&gt;G1425,G1425&lt;&gt;0),1,0)</f>
        <v>0</v>
      </c>
      <c r="I1426">
        <f>IF(AND(Table13[[#This Row],[Direction]]="R",(G1425+Table13[[#This Row],[Steps]])&gt;100),1,0)</f>
        <v>0</v>
      </c>
      <c r="J1426">
        <f>IF(Table13[[#This Row],[POS]]=0,1,0)</f>
        <v>1</v>
      </c>
      <c r="K1426">
        <f>SUM(Table13[[#This Row],[prefix]],Table13[[#This Row],[Past zero L]],Table13[[#This Row],[Past Zero R]],Table13[[#This Row],[Is Zero]])</f>
        <v>1</v>
      </c>
    </row>
    <row r="1427" spans="1:11" ht="16" x14ac:dyDescent="0.2">
      <c r="A1427" s="1" t="s">
        <v>3</v>
      </c>
      <c r="B1427" t="str">
        <f>LEFT(Table13[[#This Row],[Input]],1)</f>
        <v>R</v>
      </c>
      <c r="C1427">
        <f>_xlfn.LET(_xlpm.steps,SUBSTITUTE(Table13[[#This Row],[Input]],Table13[[#This Row],[Direction]],""),VALUE(IF(LEN(_xlpm.steps)&gt;2,RIGHT(_xlpm.steps,2),_xlpm.steps)))</f>
        <v>44</v>
      </c>
      <c r="D1427">
        <f>_xlfn.LET(_xlpm.steps,SUBSTITUTE(Table13[[#This Row],[Input]],Table13[[#This Row],[Direction]],""),VALUE(IF(LEN(_xlpm.steps)&gt;2,LEFT(_xlpm.steps,LEN(_xlpm.steps)-2),0)))</f>
        <v>0</v>
      </c>
      <c r="E1427">
        <f>_xlfn.LET(_xlpm.dir,Table13[[#This Row],[Direction]],
IF(_xlpm.dir="L",
    IF(G1426-Table13[[#This Row],[Steps]]&lt;0,100+(G1426-Table13[[#This Row],[Steps]]),G1426-Table13[[#This Row],[Steps]]),
))</f>
        <v>0</v>
      </c>
      <c r="F1427">
        <f>_xlfn.LET(_xlpm.dir,Table13[[#This Row],[Direction]],
IF(_xlpm.dir="R",
    IF(G1426+Table13[[#This Row],[Steps]]&gt;99,(G1426+Table13[[#This Row],[Steps]])-100,G1426+Table13[[#This Row],[Steps]]),
))</f>
        <v>44</v>
      </c>
      <c r="G1427">
        <f>IF(Table13[[#This Row],[New Pos L]]&lt;&gt;0,Table13[[#This Row],[New Pos L]],Table13[[#This Row],[New Pos R]])</f>
        <v>44</v>
      </c>
      <c r="H1427">
        <f>IF(AND(Table13[[#This Row],[Direction]]="L",Table13[[#This Row],[Steps]]&gt;G1426,G1426&lt;&gt;0),1,0)</f>
        <v>0</v>
      </c>
      <c r="I1427">
        <f>IF(AND(Table13[[#This Row],[Direction]]="R",(G1426+Table13[[#This Row],[Steps]])&gt;100),1,0)</f>
        <v>0</v>
      </c>
      <c r="J1427">
        <f>IF(Table13[[#This Row],[POS]]=0,1,0)</f>
        <v>0</v>
      </c>
      <c r="K1427">
        <f>SUM(Table13[[#This Row],[prefix]],Table13[[#This Row],[Past zero L]],Table13[[#This Row],[Past Zero R]],Table13[[#This Row],[Is Zero]])</f>
        <v>0</v>
      </c>
    </row>
    <row r="1428" spans="1:11" ht="16" x14ac:dyDescent="0.2">
      <c r="A1428" s="1" t="s">
        <v>431</v>
      </c>
      <c r="B1428" t="str">
        <f>LEFT(Table13[[#This Row],[Input]],1)</f>
        <v>R</v>
      </c>
      <c r="C1428">
        <f>_xlfn.LET(_xlpm.steps,SUBSTITUTE(Table13[[#This Row],[Input]],Table13[[#This Row],[Direction]],""),VALUE(IF(LEN(_xlpm.steps)&gt;2,RIGHT(_xlpm.steps,2),_xlpm.steps)))</f>
        <v>56</v>
      </c>
      <c r="D1428">
        <f>_xlfn.LET(_xlpm.steps,SUBSTITUTE(Table13[[#This Row],[Input]],Table13[[#This Row],[Direction]],""),VALUE(IF(LEN(_xlpm.steps)&gt;2,LEFT(_xlpm.steps,LEN(_xlpm.steps)-2),0)))</f>
        <v>1</v>
      </c>
      <c r="E1428">
        <f>_xlfn.LET(_xlpm.dir,Table13[[#This Row],[Direction]],
IF(_xlpm.dir="L",
    IF(G1427-Table13[[#This Row],[Steps]]&lt;0,100+(G1427-Table13[[#This Row],[Steps]]),G1427-Table13[[#This Row],[Steps]]),
))</f>
        <v>0</v>
      </c>
      <c r="F1428">
        <f>_xlfn.LET(_xlpm.dir,Table13[[#This Row],[Direction]],
IF(_xlpm.dir="R",
    IF(G1427+Table13[[#This Row],[Steps]]&gt;99,(G1427+Table13[[#This Row],[Steps]])-100,G1427+Table13[[#This Row],[Steps]]),
))</f>
        <v>0</v>
      </c>
      <c r="G1428">
        <f>IF(Table13[[#This Row],[New Pos L]]&lt;&gt;0,Table13[[#This Row],[New Pos L]],Table13[[#This Row],[New Pos R]])</f>
        <v>0</v>
      </c>
      <c r="H1428">
        <f>IF(AND(Table13[[#This Row],[Direction]]="L",Table13[[#This Row],[Steps]]&gt;G1427,G1427&lt;&gt;0),1,0)</f>
        <v>0</v>
      </c>
      <c r="I1428">
        <f>IF(AND(Table13[[#This Row],[Direction]]="R",(G1427+Table13[[#This Row],[Steps]])&gt;100),1,0)</f>
        <v>0</v>
      </c>
      <c r="J1428">
        <f>IF(Table13[[#This Row],[POS]]=0,1,0)</f>
        <v>1</v>
      </c>
      <c r="K1428">
        <f>SUM(Table13[[#This Row],[prefix]],Table13[[#This Row],[Past zero L]],Table13[[#This Row],[Past Zero R]],Table13[[#This Row],[Is Zero]])</f>
        <v>2</v>
      </c>
    </row>
    <row r="1429" spans="1:11" ht="16" x14ac:dyDescent="0.2">
      <c r="A1429" s="1" t="s">
        <v>353</v>
      </c>
      <c r="B1429" t="str">
        <f>LEFT(Table13[[#This Row],[Input]],1)</f>
        <v>R</v>
      </c>
      <c r="C1429">
        <f>_xlfn.LET(_xlpm.steps,SUBSTITUTE(Table13[[#This Row],[Input]],Table13[[#This Row],[Direction]],""),VALUE(IF(LEN(_xlpm.steps)&gt;2,RIGHT(_xlpm.steps,2),_xlpm.steps)))</f>
        <v>7</v>
      </c>
      <c r="D1429">
        <f>_xlfn.LET(_xlpm.steps,SUBSTITUTE(Table13[[#This Row],[Input]],Table13[[#This Row],[Direction]],""),VALUE(IF(LEN(_xlpm.steps)&gt;2,LEFT(_xlpm.steps,LEN(_xlpm.steps)-2),0)))</f>
        <v>0</v>
      </c>
      <c r="E1429">
        <f>_xlfn.LET(_xlpm.dir,Table13[[#This Row],[Direction]],
IF(_xlpm.dir="L",
    IF(G1428-Table13[[#This Row],[Steps]]&lt;0,100+(G1428-Table13[[#This Row],[Steps]]),G1428-Table13[[#This Row],[Steps]]),
))</f>
        <v>0</v>
      </c>
      <c r="F1429">
        <f>_xlfn.LET(_xlpm.dir,Table13[[#This Row],[Direction]],
IF(_xlpm.dir="R",
    IF(G1428+Table13[[#This Row],[Steps]]&gt;99,(G1428+Table13[[#This Row],[Steps]])-100,G1428+Table13[[#This Row],[Steps]]),
))</f>
        <v>7</v>
      </c>
      <c r="G1429">
        <f>IF(Table13[[#This Row],[New Pos L]]&lt;&gt;0,Table13[[#This Row],[New Pos L]],Table13[[#This Row],[New Pos R]])</f>
        <v>7</v>
      </c>
      <c r="H1429">
        <f>IF(AND(Table13[[#This Row],[Direction]]="L",Table13[[#This Row],[Steps]]&gt;G1428,G1428&lt;&gt;0),1,0)</f>
        <v>0</v>
      </c>
      <c r="I1429">
        <f>IF(AND(Table13[[#This Row],[Direction]]="R",(G1428+Table13[[#This Row],[Steps]])&gt;100),1,0)</f>
        <v>0</v>
      </c>
      <c r="J1429">
        <f>IF(Table13[[#This Row],[POS]]=0,1,0)</f>
        <v>0</v>
      </c>
      <c r="K1429">
        <f>SUM(Table13[[#This Row],[prefix]],Table13[[#This Row],[Past zero L]],Table13[[#This Row],[Past Zero R]],Table13[[#This Row],[Is Zero]])</f>
        <v>0</v>
      </c>
    </row>
    <row r="1430" spans="1:11" ht="16" x14ac:dyDescent="0.2">
      <c r="A1430" s="1" t="s">
        <v>128</v>
      </c>
      <c r="B1430" t="str">
        <f>LEFT(Table13[[#This Row],[Input]],1)</f>
        <v>R</v>
      </c>
      <c r="C1430">
        <f>_xlfn.LET(_xlpm.steps,SUBSTITUTE(Table13[[#This Row],[Input]],Table13[[#This Row],[Direction]],""),VALUE(IF(LEN(_xlpm.steps)&gt;2,RIGHT(_xlpm.steps,2),_xlpm.steps)))</f>
        <v>92</v>
      </c>
      <c r="D1430">
        <f>_xlfn.LET(_xlpm.steps,SUBSTITUTE(Table13[[#This Row],[Input]],Table13[[#This Row],[Direction]],""),VALUE(IF(LEN(_xlpm.steps)&gt;2,LEFT(_xlpm.steps,LEN(_xlpm.steps)-2),0)))</f>
        <v>0</v>
      </c>
      <c r="E1430">
        <f>_xlfn.LET(_xlpm.dir,Table13[[#This Row],[Direction]],
IF(_xlpm.dir="L",
    IF(G1429-Table13[[#This Row],[Steps]]&lt;0,100+(G1429-Table13[[#This Row],[Steps]]),G1429-Table13[[#This Row],[Steps]]),
))</f>
        <v>0</v>
      </c>
      <c r="F1430">
        <f>_xlfn.LET(_xlpm.dir,Table13[[#This Row],[Direction]],
IF(_xlpm.dir="R",
    IF(G1429+Table13[[#This Row],[Steps]]&gt;99,(G1429+Table13[[#This Row],[Steps]])-100,G1429+Table13[[#This Row],[Steps]]),
))</f>
        <v>99</v>
      </c>
      <c r="G1430">
        <f>IF(Table13[[#This Row],[New Pos L]]&lt;&gt;0,Table13[[#This Row],[New Pos L]],Table13[[#This Row],[New Pos R]])</f>
        <v>99</v>
      </c>
      <c r="H1430">
        <f>IF(AND(Table13[[#This Row],[Direction]]="L",Table13[[#This Row],[Steps]]&gt;G1429,G1429&lt;&gt;0),1,0)</f>
        <v>0</v>
      </c>
      <c r="I1430">
        <f>IF(AND(Table13[[#This Row],[Direction]]="R",(G1429+Table13[[#This Row],[Steps]])&gt;100),1,0)</f>
        <v>0</v>
      </c>
      <c r="J1430">
        <f>IF(Table13[[#This Row],[POS]]=0,1,0)</f>
        <v>0</v>
      </c>
      <c r="K1430">
        <f>SUM(Table13[[#This Row],[prefix]],Table13[[#This Row],[Past zero L]],Table13[[#This Row],[Past Zero R]],Table13[[#This Row],[Is Zero]])</f>
        <v>0</v>
      </c>
    </row>
    <row r="1431" spans="1:11" ht="16" x14ac:dyDescent="0.2">
      <c r="A1431" s="1" t="s">
        <v>5</v>
      </c>
      <c r="B1431" t="str">
        <f>LEFT(Table13[[#This Row],[Input]],1)</f>
        <v>R</v>
      </c>
      <c r="C1431">
        <f>_xlfn.LET(_xlpm.steps,SUBSTITUTE(Table13[[#This Row],[Input]],Table13[[#This Row],[Direction]],""),VALUE(IF(LEN(_xlpm.steps)&gt;2,RIGHT(_xlpm.steps,2),_xlpm.steps)))</f>
        <v>1</v>
      </c>
      <c r="D1431">
        <f>_xlfn.LET(_xlpm.steps,SUBSTITUTE(Table13[[#This Row],[Input]],Table13[[#This Row],[Direction]],""),VALUE(IF(LEN(_xlpm.steps)&gt;2,LEFT(_xlpm.steps,LEN(_xlpm.steps)-2),0)))</f>
        <v>0</v>
      </c>
      <c r="E1431">
        <f>_xlfn.LET(_xlpm.dir,Table13[[#This Row],[Direction]],
IF(_xlpm.dir="L",
    IF(G1430-Table13[[#This Row],[Steps]]&lt;0,100+(G1430-Table13[[#This Row],[Steps]]),G1430-Table13[[#This Row],[Steps]]),
))</f>
        <v>0</v>
      </c>
      <c r="F1431">
        <f>_xlfn.LET(_xlpm.dir,Table13[[#This Row],[Direction]],
IF(_xlpm.dir="R",
    IF(G1430+Table13[[#This Row],[Steps]]&gt;99,(G1430+Table13[[#This Row],[Steps]])-100,G1430+Table13[[#This Row],[Steps]]),
))</f>
        <v>0</v>
      </c>
      <c r="G1431">
        <f>IF(Table13[[#This Row],[New Pos L]]&lt;&gt;0,Table13[[#This Row],[New Pos L]],Table13[[#This Row],[New Pos R]])</f>
        <v>0</v>
      </c>
      <c r="H1431">
        <f>IF(AND(Table13[[#This Row],[Direction]]="L",Table13[[#This Row],[Steps]]&gt;G1430,G1430&lt;&gt;0),1,0)</f>
        <v>0</v>
      </c>
      <c r="I1431">
        <f>IF(AND(Table13[[#This Row],[Direction]]="R",(G1430+Table13[[#This Row],[Steps]])&gt;100),1,0)</f>
        <v>0</v>
      </c>
      <c r="J1431">
        <f>IF(Table13[[#This Row],[POS]]=0,1,0)</f>
        <v>1</v>
      </c>
      <c r="K1431">
        <f>SUM(Table13[[#This Row],[prefix]],Table13[[#This Row],[Past zero L]],Table13[[#This Row],[Past Zero R]],Table13[[#This Row],[Is Zero]])</f>
        <v>1</v>
      </c>
    </row>
    <row r="1432" spans="1:11" ht="16" x14ac:dyDescent="0.2">
      <c r="A1432" s="1" t="s">
        <v>432</v>
      </c>
      <c r="B1432" t="str">
        <f>LEFT(Table13[[#This Row],[Input]],1)</f>
        <v>R</v>
      </c>
      <c r="C1432">
        <f>_xlfn.LET(_xlpm.steps,SUBSTITUTE(Table13[[#This Row],[Input]],Table13[[#This Row],[Direction]],""),VALUE(IF(LEN(_xlpm.steps)&gt;2,RIGHT(_xlpm.steps,2),_xlpm.steps)))</f>
        <v>2</v>
      </c>
      <c r="D1432">
        <f>_xlfn.LET(_xlpm.steps,SUBSTITUTE(Table13[[#This Row],[Input]],Table13[[#This Row],[Direction]],""),VALUE(IF(LEN(_xlpm.steps)&gt;2,LEFT(_xlpm.steps,LEN(_xlpm.steps)-2),0)))</f>
        <v>7</v>
      </c>
      <c r="E1432">
        <f>_xlfn.LET(_xlpm.dir,Table13[[#This Row],[Direction]],
IF(_xlpm.dir="L",
    IF(G1431-Table13[[#This Row],[Steps]]&lt;0,100+(G1431-Table13[[#This Row],[Steps]]),G1431-Table13[[#This Row],[Steps]]),
))</f>
        <v>0</v>
      </c>
      <c r="F1432">
        <f>_xlfn.LET(_xlpm.dir,Table13[[#This Row],[Direction]],
IF(_xlpm.dir="R",
    IF(G1431+Table13[[#This Row],[Steps]]&gt;99,(G1431+Table13[[#This Row],[Steps]])-100,G1431+Table13[[#This Row],[Steps]]),
))</f>
        <v>2</v>
      </c>
      <c r="G1432">
        <f>IF(Table13[[#This Row],[New Pos L]]&lt;&gt;0,Table13[[#This Row],[New Pos L]],Table13[[#This Row],[New Pos R]])</f>
        <v>2</v>
      </c>
      <c r="H1432">
        <f>IF(AND(Table13[[#This Row],[Direction]]="L",Table13[[#This Row],[Steps]]&gt;G1431,G1431&lt;&gt;0),1,0)</f>
        <v>0</v>
      </c>
      <c r="I1432">
        <f>IF(AND(Table13[[#This Row],[Direction]]="R",(G1431+Table13[[#This Row],[Steps]])&gt;100),1,0)</f>
        <v>0</v>
      </c>
      <c r="J1432">
        <f>IF(Table13[[#This Row],[POS]]=0,1,0)</f>
        <v>0</v>
      </c>
      <c r="K1432">
        <f>SUM(Table13[[#This Row],[prefix]],Table13[[#This Row],[Past zero L]],Table13[[#This Row],[Past Zero R]],Table13[[#This Row],[Is Zero]])</f>
        <v>7</v>
      </c>
    </row>
    <row r="1433" spans="1:11" ht="16" x14ac:dyDescent="0.2">
      <c r="A1433" s="1" t="s">
        <v>137</v>
      </c>
      <c r="B1433" t="str">
        <f>LEFT(Table13[[#This Row],[Input]],1)</f>
        <v>R</v>
      </c>
      <c r="C1433">
        <f>_xlfn.LET(_xlpm.steps,SUBSTITUTE(Table13[[#This Row],[Input]],Table13[[#This Row],[Direction]],""),VALUE(IF(LEN(_xlpm.steps)&gt;2,RIGHT(_xlpm.steps,2),_xlpm.steps)))</f>
        <v>28</v>
      </c>
      <c r="D1433">
        <f>_xlfn.LET(_xlpm.steps,SUBSTITUTE(Table13[[#This Row],[Input]],Table13[[#This Row],[Direction]],""),VALUE(IF(LEN(_xlpm.steps)&gt;2,LEFT(_xlpm.steps,LEN(_xlpm.steps)-2),0)))</f>
        <v>0</v>
      </c>
      <c r="E1433">
        <f>_xlfn.LET(_xlpm.dir,Table13[[#This Row],[Direction]],
IF(_xlpm.dir="L",
    IF(G1432-Table13[[#This Row],[Steps]]&lt;0,100+(G1432-Table13[[#This Row],[Steps]]),G1432-Table13[[#This Row],[Steps]]),
))</f>
        <v>0</v>
      </c>
      <c r="F1433">
        <f>_xlfn.LET(_xlpm.dir,Table13[[#This Row],[Direction]],
IF(_xlpm.dir="R",
    IF(G1432+Table13[[#This Row],[Steps]]&gt;99,(G1432+Table13[[#This Row],[Steps]])-100,G1432+Table13[[#This Row],[Steps]]),
))</f>
        <v>30</v>
      </c>
      <c r="G1433">
        <f>IF(Table13[[#This Row],[New Pos L]]&lt;&gt;0,Table13[[#This Row],[New Pos L]],Table13[[#This Row],[New Pos R]])</f>
        <v>30</v>
      </c>
      <c r="H1433">
        <f>IF(AND(Table13[[#This Row],[Direction]]="L",Table13[[#This Row],[Steps]]&gt;G1432,G1432&lt;&gt;0),1,0)</f>
        <v>0</v>
      </c>
      <c r="I1433">
        <f>IF(AND(Table13[[#This Row],[Direction]]="R",(G1432+Table13[[#This Row],[Steps]])&gt;100),1,0)</f>
        <v>0</v>
      </c>
      <c r="J1433">
        <f>IF(Table13[[#This Row],[POS]]=0,1,0)</f>
        <v>0</v>
      </c>
      <c r="K1433">
        <f>SUM(Table13[[#This Row],[prefix]],Table13[[#This Row],[Past zero L]],Table13[[#This Row],[Past Zero R]],Table13[[#This Row],[Is Zero]])</f>
        <v>0</v>
      </c>
    </row>
    <row r="1434" spans="1:11" ht="16" x14ac:dyDescent="0.2">
      <c r="A1434" s="1" t="s">
        <v>111</v>
      </c>
      <c r="B1434" t="str">
        <f>LEFT(Table13[[#This Row],[Input]],1)</f>
        <v>R</v>
      </c>
      <c r="C1434">
        <f>_xlfn.LET(_xlpm.steps,SUBSTITUTE(Table13[[#This Row],[Input]],Table13[[#This Row],[Direction]],""),VALUE(IF(LEN(_xlpm.steps)&gt;2,RIGHT(_xlpm.steps,2),_xlpm.steps)))</f>
        <v>64</v>
      </c>
      <c r="D1434">
        <f>_xlfn.LET(_xlpm.steps,SUBSTITUTE(Table13[[#This Row],[Input]],Table13[[#This Row],[Direction]],""),VALUE(IF(LEN(_xlpm.steps)&gt;2,LEFT(_xlpm.steps,LEN(_xlpm.steps)-2),0)))</f>
        <v>0</v>
      </c>
      <c r="E1434">
        <f>_xlfn.LET(_xlpm.dir,Table13[[#This Row],[Direction]],
IF(_xlpm.dir="L",
    IF(G1433-Table13[[#This Row],[Steps]]&lt;0,100+(G1433-Table13[[#This Row],[Steps]]),G1433-Table13[[#This Row],[Steps]]),
))</f>
        <v>0</v>
      </c>
      <c r="F1434">
        <f>_xlfn.LET(_xlpm.dir,Table13[[#This Row],[Direction]],
IF(_xlpm.dir="R",
    IF(G1433+Table13[[#This Row],[Steps]]&gt;99,(G1433+Table13[[#This Row],[Steps]])-100,G1433+Table13[[#This Row],[Steps]]),
))</f>
        <v>94</v>
      </c>
      <c r="G1434">
        <f>IF(Table13[[#This Row],[New Pos L]]&lt;&gt;0,Table13[[#This Row],[New Pos L]],Table13[[#This Row],[New Pos R]])</f>
        <v>94</v>
      </c>
      <c r="H1434">
        <f>IF(AND(Table13[[#This Row],[Direction]]="L",Table13[[#This Row],[Steps]]&gt;G1433,G1433&lt;&gt;0),1,0)</f>
        <v>0</v>
      </c>
      <c r="I1434">
        <f>IF(AND(Table13[[#This Row],[Direction]]="R",(G1433+Table13[[#This Row],[Steps]])&gt;100),1,0)</f>
        <v>0</v>
      </c>
      <c r="J1434">
        <f>IF(Table13[[#This Row],[POS]]=0,1,0)</f>
        <v>0</v>
      </c>
      <c r="K1434">
        <f>SUM(Table13[[#This Row],[prefix]],Table13[[#This Row],[Past zero L]],Table13[[#This Row],[Past Zero R]],Table13[[#This Row],[Is Zero]])</f>
        <v>0</v>
      </c>
    </row>
    <row r="1435" spans="1:11" ht="16" x14ac:dyDescent="0.2">
      <c r="A1435" s="1" t="s">
        <v>139</v>
      </c>
      <c r="B1435" t="str">
        <f>LEFT(Table13[[#This Row],[Input]],1)</f>
        <v>R</v>
      </c>
      <c r="C1435">
        <f>_xlfn.LET(_xlpm.steps,SUBSTITUTE(Table13[[#This Row],[Input]],Table13[[#This Row],[Direction]],""),VALUE(IF(LEN(_xlpm.steps)&gt;2,RIGHT(_xlpm.steps,2),_xlpm.steps)))</f>
        <v>38</v>
      </c>
      <c r="D1435">
        <f>_xlfn.LET(_xlpm.steps,SUBSTITUTE(Table13[[#This Row],[Input]],Table13[[#This Row],[Direction]],""),VALUE(IF(LEN(_xlpm.steps)&gt;2,LEFT(_xlpm.steps,LEN(_xlpm.steps)-2),0)))</f>
        <v>0</v>
      </c>
      <c r="E1435">
        <f>_xlfn.LET(_xlpm.dir,Table13[[#This Row],[Direction]],
IF(_xlpm.dir="L",
    IF(G1434-Table13[[#This Row],[Steps]]&lt;0,100+(G1434-Table13[[#This Row],[Steps]]),G1434-Table13[[#This Row],[Steps]]),
))</f>
        <v>0</v>
      </c>
      <c r="F1435">
        <f>_xlfn.LET(_xlpm.dir,Table13[[#This Row],[Direction]],
IF(_xlpm.dir="R",
    IF(G1434+Table13[[#This Row],[Steps]]&gt;99,(G1434+Table13[[#This Row],[Steps]])-100,G1434+Table13[[#This Row],[Steps]]),
))</f>
        <v>32</v>
      </c>
      <c r="G1435">
        <f>IF(Table13[[#This Row],[New Pos L]]&lt;&gt;0,Table13[[#This Row],[New Pos L]],Table13[[#This Row],[New Pos R]])</f>
        <v>32</v>
      </c>
      <c r="H1435">
        <f>IF(AND(Table13[[#This Row],[Direction]]="L",Table13[[#This Row],[Steps]]&gt;G1434,G1434&lt;&gt;0),1,0)</f>
        <v>0</v>
      </c>
      <c r="I1435">
        <f>IF(AND(Table13[[#This Row],[Direction]]="R",(G1434+Table13[[#This Row],[Steps]])&gt;100),1,0)</f>
        <v>1</v>
      </c>
      <c r="J1435">
        <f>IF(Table13[[#This Row],[POS]]=0,1,0)</f>
        <v>0</v>
      </c>
      <c r="K1435">
        <f>SUM(Table13[[#This Row],[prefix]],Table13[[#This Row],[Past zero L]],Table13[[#This Row],[Past Zero R]],Table13[[#This Row],[Is Zero]])</f>
        <v>1</v>
      </c>
    </row>
    <row r="1436" spans="1:11" ht="16" x14ac:dyDescent="0.2">
      <c r="A1436" s="1" t="s">
        <v>157</v>
      </c>
      <c r="B1436" t="str">
        <f>LEFT(Table13[[#This Row],[Input]],1)</f>
        <v>R</v>
      </c>
      <c r="C1436">
        <f>_xlfn.LET(_xlpm.steps,SUBSTITUTE(Table13[[#This Row],[Input]],Table13[[#This Row],[Direction]],""),VALUE(IF(LEN(_xlpm.steps)&gt;2,RIGHT(_xlpm.steps,2),_xlpm.steps)))</f>
        <v>68</v>
      </c>
      <c r="D1436">
        <f>_xlfn.LET(_xlpm.steps,SUBSTITUTE(Table13[[#This Row],[Input]],Table13[[#This Row],[Direction]],""),VALUE(IF(LEN(_xlpm.steps)&gt;2,LEFT(_xlpm.steps,LEN(_xlpm.steps)-2),0)))</f>
        <v>0</v>
      </c>
      <c r="E1436">
        <f>_xlfn.LET(_xlpm.dir,Table13[[#This Row],[Direction]],
IF(_xlpm.dir="L",
    IF(G1435-Table13[[#This Row],[Steps]]&lt;0,100+(G1435-Table13[[#This Row],[Steps]]),G1435-Table13[[#This Row],[Steps]]),
))</f>
        <v>0</v>
      </c>
      <c r="F1436">
        <f>_xlfn.LET(_xlpm.dir,Table13[[#This Row],[Direction]],
IF(_xlpm.dir="R",
    IF(G1435+Table13[[#This Row],[Steps]]&gt;99,(G1435+Table13[[#This Row],[Steps]])-100,G1435+Table13[[#This Row],[Steps]]),
))</f>
        <v>0</v>
      </c>
      <c r="G1436">
        <f>IF(Table13[[#This Row],[New Pos L]]&lt;&gt;0,Table13[[#This Row],[New Pos L]],Table13[[#This Row],[New Pos R]])</f>
        <v>0</v>
      </c>
      <c r="H1436">
        <f>IF(AND(Table13[[#This Row],[Direction]]="L",Table13[[#This Row],[Steps]]&gt;G1435,G1435&lt;&gt;0),1,0)</f>
        <v>0</v>
      </c>
      <c r="I1436">
        <f>IF(AND(Table13[[#This Row],[Direction]]="R",(G1435+Table13[[#This Row],[Steps]])&gt;100),1,0)</f>
        <v>0</v>
      </c>
      <c r="J1436">
        <f>IF(Table13[[#This Row],[POS]]=0,1,0)</f>
        <v>1</v>
      </c>
      <c r="K1436">
        <f>SUM(Table13[[#This Row],[prefix]],Table13[[#This Row],[Past zero L]],Table13[[#This Row],[Past Zero R]],Table13[[#This Row],[Is Zero]])</f>
        <v>1</v>
      </c>
    </row>
    <row r="1437" spans="1:11" ht="16" x14ac:dyDescent="0.2">
      <c r="A1437" s="1" t="s">
        <v>241</v>
      </c>
      <c r="B1437" t="str">
        <f>LEFT(Table13[[#This Row],[Input]],1)</f>
        <v>R</v>
      </c>
      <c r="C1437">
        <f>_xlfn.LET(_xlpm.steps,SUBSTITUTE(Table13[[#This Row],[Input]],Table13[[#This Row],[Direction]],""),VALUE(IF(LEN(_xlpm.steps)&gt;2,RIGHT(_xlpm.steps,2),_xlpm.steps)))</f>
        <v>60</v>
      </c>
      <c r="D1437">
        <f>_xlfn.LET(_xlpm.steps,SUBSTITUTE(Table13[[#This Row],[Input]],Table13[[#This Row],[Direction]],""),VALUE(IF(LEN(_xlpm.steps)&gt;2,LEFT(_xlpm.steps,LEN(_xlpm.steps)-2),0)))</f>
        <v>0</v>
      </c>
      <c r="E1437">
        <f>_xlfn.LET(_xlpm.dir,Table13[[#This Row],[Direction]],
IF(_xlpm.dir="L",
    IF(G1436-Table13[[#This Row],[Steps]]&lt;0,100+(G1436-Table13[[#This Row],[Steps]]),G1436-Table13[[#This Row],[Steps]]),
))</f>
        <v>0</v>
      </c>
      <c r="F1437">
        <f>_xlfn.LET(_xlpm.dir,Table13[[#This Row],[Direction]],
IF(_xlpm.dir="R",
    IF(G1436+Table13[[#This Row],[Steps]]&gt;99,(G1436+Table13[[#This Row],[Steps]])-100,G1436+Table13[[#This Row],[Steps]]),
))</f>
        <v>60</v>
      </c>
      <c r="G1437">
        <f>IF(Table13[[#This Row],[New Pos L]]&lt;&gt;0,Table13[[#This Row],[New Pos L]],Table13[[#This Row],[New Pos R]])</f>
        <v>60</v>
      </c>
      <c r="H1437">
        <f>IF(AND(Table13[[#This Row],[Direction]]="L",Table13[[#This Row],[Steps]]&gt;G1436,G1436&lt;&gt;0),1,0)</f>
        <v>0</v>
      </c>
      <c r="I1437">
        <f>IF(AND(Table13[[#This Row],[Direction]]="R",(G1436+Table13[[#This Row],[Steps]])&gt;100),1,0)</f>
        <v>0</v>
      </c>
      <c r="J1437">
        <f>IF(Table13[[#This Row],[POS]]=0,1,0)</f>
        <v>0</v>
      </c>
      <c r="K1437">
        <f>SUM(Table13[[#This Row],[prefix]],Table13[[#This Row],[Past zero L]],Table13[[#This Row],[Past Zero R]],Table13[[#This Row],[Is Zero]])</f>
        <v>0</v>
      </c>
    </row>
    <row r="1438" spans="1:11" ht="16" x14ac:dyDescent="0.2">
      <c r="A1438" s="1" t="s">
        <v>119</v>
      </c>
      <c r="B1438" t="str">
        <f>LEFT(Table13[[#This Row],[Input]],1)</f>
        <v>L</v>
      </c>
      <c r="C1438">
        <f>_xlfn.LET(_xlpm.steps,SUBSTITUTE(Table13[[#This Row],[Input]],Table13[[#This Row],[Direction]],""),VALUE(IF(LEN(_xlpm.steps)&gt;2,RIGHT(_xlpm.steps,2),_xlpm.steps)))</f>
        <v>77</v>
      </c>
      <c r="D1438">
        <f>_xlfn.LET(_xlpm.steps,SUBSTITUTE(Table13[[#This Row],[Input]],Table13[[#This Row],[Direction]],""),VALUE(IF(LEN(_xlpm.steps)&gt;2,LEFT(_xlpm.steps,LEN(_xlpm.steps)-2),0)))</f>
        <v>0</v>
      </c>
      <c r="E1438">
        <f>_xlfn.LET(_xlpm.dir,Table13[[#This Row],[Direction]],
IF(_xlpm.dir="L",
    IF(G1437-Table13[[#This Row],[Steps]]&lt;0,100+(G1437-Table13[[#This Row],[Steps]]),G1437-Table13[[#This Row],[Steps]]),
))</f>
        <v>83</v>
      </c>
      <c r="F1438">
        <f>_xlfn.LET(_xlpm.dir,Table13[[#This Row],[Direction]],
IF(_xlpm.dir="R",
    IF(G1437+Table13[[#This Row],[Steps]]&gt;99,(G1437+Table13[[#This Row],[Steps]])-100,G1437+Table13[[#This Row],[Steps]]),
))</f>
        <v>0</v>
      </c>
      <c r="G1438">
        <f>IF(Table13[[#This Row],[New Pos L]]&lt;&gt;0,Table13[[#This Row],[New Pos L]],Table13[[#This Row],[New Pos R]])</f>
        <v>83</v>
      </c>
      <c r="H1438">
        <f>IF(AND(Table13[[#This Row],[Direction]]="L",Table13[[#This Row],[Steps]]&gt;G1437,G1437&lt;&gt;0),1,0)</f>
        <v>1</v>
      </c>
      <c r="I1438">
        <f>IF(AND(Table13[[#This Row],[Direction]]="R",(G1437+Table13[[#This Row],[Steps]])&gt;100),1,0)</f>
        <v>0</v>
      </c>
      <c r="J1438">
        <f>IF(Table13[[#This Row],[POS]]=0,1,0)</f>
        <v>0</v>
      </c>
      <c r="K1438">
        <f>SUM(Table13[[#This Row],[prefix]],Table13[[#This Row],[Past zero L]],Table13[[#This Row],[Past Zero R]],Table13[[#This Row],[Is Zero]])</f>
        <v>1</v>
      </c>
    </row>
    <row r="1439" spans="1:11" ht="16" x14ac:dyDescent="0.2">
      <c r="A1439" s="1" t="s">
        <v>187</v>
      </c>
      <c r="B1439" t="str">
        <f>LEFT(Table13[[#This Row],[Input]],1)</f>
        <v>R</v>
      </c>
      <c r="C1439">
        <f>_xlfn.LET(_xlpm.steps,SUBSTITUTE(Table13[[#This Row],[Input]],Table13[[#This Row],[Direction]],""),VALUE(IF(LEN(_xlpm.steps)&gt;2,RIGHT(_xlpm.steps,2),_xlpm.steps)))</f>
        <v>20</v>
      </c>
      <c r="D1439">
        <f>_xlfn.LET(_xlpm.steps,SUBSTITUTE(Table13[[#This Row],[Input]],Table13[[#This Row],[Direction]],""),VALUE(IF(LEN(_xlpm.steps)&gt;2,LEFT(_xlpm.steps,LEN(_xlpm.steps)-2),0)))</f>
        <v>0</v>
      </c>
      <c r="E1439">
        <f>_xlfn.LET(_xlpm.dir,Table13[[#This Row],[Direction]],
IF(_xlpm.dir="L",
    IF(G1438-Table13[[#This Row],[Steps]]&lt;0,100+(G1438-Table13[[#This Row],[Steps]]),G1438-Table13[[#This Row],[Steps]]),
))</f>
        <v>0</v>
      </c>
      <c r="F1439">
        <f>_xlfn.LET(_xlpm.dir,Table13[[#This Row],[Direction]],
IF(_xlpm.dir="R",
    IF(G1438+Table13[[#This Row],[Steps]]&gt;99,(G1438+Table13[[#This Row],[Steps]])-100,G1438+Table13[[#This Row],[Steps]]),
))</f>
        <v>3</v>
      </c>
      <c r="G1439">
        <f>IF(Table13[[#This Row],[New Pos L]]&lt;&gt;0,Table13[[#This Row],[New Pos L]],Table13[[#This Row],[New Pos R]])</f>
        <v>3</v>
      </c>
      <c r="H1439">
        <f>IF(AND(Table13[[#This Row],[Direction]]="L",Table13[[#This Row],[Steps]]&gt;G1438,G1438&lt;&gt;0),1,0)</f>
        <v>0</v>
      </c>
      <c r="I1439">
        <f>IF(AND(Table13[[#This Row],[Direction]]="R",(G1438+Table13[[#This Row],[Steps]])&gt;100),1,0)</f>
        <v>1</v>
      </c>
      <c r="J1439">
        <f>IF(Table13[[#This Row],[POS]]=0,1,0)</f>
        <v>0</v>
      </c>
      <c r="K1439">
        <f>SUM(Table13[[#This Row],[prefix]],Table13[[#This Row],[Past zero L]],Table13[[#This Row],[Past Zero R]],Table13[[#This Row],[Is Zero]])</f>
        <v>1</v>
      </c>
    </row>
    <row r="1440" spans="1:11" ht="16" x14ac:dyDescent="0.2">
      <c r="A1440" s="1" t="s">
        <v>33</v>
      </c>
      <c r="B1440" t="str">
        <f>LEFT(Table13[[#This Row],[Input]],1)</f>
        <v>R</v>
      </c>
      <c r="C1440">
        <f>_xlfn.LET(_xlpm.steps,SUBSTITUTE(Table13[[#This Row],[Input]],Table13[[#This Row],[Direction]],""),VALUE(IF(LEN(_xlpm.steps)&gt;2,RIGHT(_xlpm.steps,2),_xlpm.steps)))</f>
        <v>22</v>
      </c>
      <c r="D1440">
        <f>_xlfn.LET(_xlpm.steps,SUBSTITUTE(Table13[[#This Row],[Input]],Table13[[#This Row],[Direction]],""),VALUE(IF(LEN(_xlpm.steps)&gt;2,LEFT(_xlpm.steps,LEN(_xlpm.steps)-2),0)))</f>
        <v>0</v>
      </c>
      <c r="E1440">
        <f>_xlfn.LET(_xlpm.dir,Table13[[#This Row],[Direction]],
IF(_xlpm.dir="L",
    IF(G1439-Table13[[#This Row],[Steps]]&lt;0,100+(G1439-Table13[[#This Row],[Steps]]),G1439-Table13[[#This Row],[Steps]]),
))</f>
        <v>0</v>
      </c>
      <c r="F1440">
        <f>_xlfn.LET(_xlpm.dir,Table13[[#This Row],[Direction]],
IF(_xlpm.dir="R",
    IF(G1439+Table13[[#This Row],[Steps]]&gt;99,(G1439+Table13[[#This Row],[Steps]])-100,G1439+Table13[[#This Row],[Steps]]),
))</f>
        <v>25</v>
      </c>
      <c r="G1440">
        <f>IF(Table13[[#This Row],[New Pos L]]&lt;&gt;0,Table13[[#This Row],[New Pos L]],Table13[[#This Row],[New Pos R]])</f>
        <v>25</v>
      </c>
      <c r="H1440">
        <f>IF(AND(Table13[[#This Row],[Direction]]="L",Table13[[#This Row],[Steps]]&gt;G1439,G1439&lt;&gt;0),1,0)</f>
        <v>0</v>
      </c>
      <c r="I1440">
        <f>IF(AND(Table13[[#This Row],[Direction]]="R",(G1439+Table13[[#This Row],[Steps]])&gt;100),1,0)</f>
        <v>0</v>
      </c>
      <c r="J1440">
        <f>IF(Table13[[#This Row],[POS]]=0,1,0)</f>
        <v>0</v>
      </c>
      <c r="K1440">
        <f>SUM(Table13[[#This Row],[prefix]],Table13[[#This Row],[Past zero L]],Table13[[#This Row],[Past Zero R]],Table13[[#This Row],[Is Zero]])</f>
        <v>0</v>
      </c>
    </row>
    <row r="1441" spans="1:11" ht="16" x14ac:dyDescent="0.2">
      <c r="A1441" s="1" t="s">
        <v>433</v>
      </c>
      <c r="B1441" t="str">
        <f>LEFT(Table13[[#This Row],[Input]],1)</f>
        <v>L</v>
      </c>
      <c r="C1441">
        <f>_xlfn.LET(_xlpm.steps,SUBSTITUTE(Table13[[#This Row],[Input]],Table13[[#This Row],[Direction]],""),VALUE(IF(LEN(_xlpm.steps)&gt;2,RIGHT(_xlpm.steps,2),_xlpm.steps)))</f>
        <v>80</v>
      </c>
      <c r="D1441">
        <f>_xlfn.LET(_xlpm.steps,SUBSTITUTE(Table13[[#This Row],[Input]],Table13[[#This Row],[Direction]],""),VALUE(IF(LEN(_xlpm.steps)&gt;2,LEFT(_xlpm.steps,LEN(_xlpm.steps)-2),0)))</f>
        <v>1</v>
      </c>
      <c r="E1441">
        <f>_xlfn.LET(_xlpm.dir,Table13[[#This Row],[Direction]],
IF(_xlpm.dir="L",
    IF(G1440-Table13[[#This Row],[Steps]]&lt;0,100+(G1440-Table13[[#This Row],[Steps]]),G1440-Table13[[#This Row],[Steps]]),
))</f>
        <v>45</v>
      </c>
      <c r="F1441">
        <f>_xlfn.LET(_xlpm.dir,Table13[[#This Row],[Direction]],
IF(_xlpm.dir="R",
    IF(G1440+Table13[[#This Row],[Steps]]&gt;99,(G1440+Table13[[#This Row],[Steps]])-100,G1440+Table13[[#This Row],[Steps]]),
))</f>
        <v>0</v>
      </c>
      <c r="G1441">
        <f>IF(Table13[[#This Row],[New Pos L]]&lt;&gt;0,Table13[[#This Row],[New Pos L]],Table13[[#This Row],[New Pos R]])</f>
        <v>45</v>
      </c>
      <c r="H1441">
        <f>IF(AND(Table13[[#This Row],[Direction]]="L",Table13[[#This Row],[Steps]]&gt;G1440,G1440&lt;&gt;0),1,0)</f>
        <v>1</v>
      </c>
      <c r="I1441">
        <f>IF(AND(Table13[[#This Row],[Direction]]="R",(G1440+Table13[[#This Row],[Steps]])&gt;100),1,0)</f>
        <v>0</v>
      </c>
      <c r="J1441">
        <f>IF(Table13[[#This Row],[POS]]=0,1,0)</f>
        <v>0</v>
      </c>
      <c r="K1441">
        <f>SUM(Table13[[#This Row],[prefix]],Table13[[#This Row],[Past zero L]],Table13[[#This Row],[Past Zero R]],Table13[[#This Row],[Is Zero]])</f>
        <v>2</v>
      </c>
    </row>
    <row r="1442" spans="1:11" ht="16" x14ac:dyDescent="0.2">
      <c r="A1442" s="1" t="s">
        <v>434</v>
      </c>
      <c r="B1442" t="str">
        <f>LEFT(Table13[[#This Row],[Input]],1)</f>
        <v>L</v>
      </c>
      <c r="C1442">
        <f>_xlfn.LET(_xlpm.steps,SUBSTITUTE(Table13[[#This Row],[Input]],Table13[[#This Row],[Direction]],""),VALUE(IF(LEN(_xlpm.steps)&gt;2,RIGHT(_xlpm.steps,2),_xlpm.steps)))</f>
        <v>22</v>
      </c>
      <c r="D1442">
        <f>_xlfn.LET(_xlpm.steps,SUBSTITUTE(Table13[[#This Row],[Input]],Table13[[#This Row],[Direction]],""),VALUE(IF(LEN(_xlpm.steps)&gt;2,LEFT(_xlpm.steps,LEN(_xlpm.steps)-2),0)))</f>
        <v>7</v>
      </c>
      <c r="E1442">
        <f>_xlfn.LET(_xlpm.dir,Table13[[#This Row],[Direction]],
IF(_xlpm.dir="L",
    IF(G1441-Table13[[#This Row],[Steps]]&lt;0,100+(G1441-Table13[[#This Row],[Steps]]),G1441-Table13[[#This Row],[Steps]]),
))</f>
        <v>23</v>
      </c>
      <c r="F1442">
        <f>_xlfn.LET(_xlpm.dir,Table13[[#This Row],[Direction]],
IF(_xlpm.dir="R",
    IF(G1441+Table13[[#This Row],[Steps]]&gt;99,(G1441+Table13[[#This Row],[Steps]])-100,G1441+Table13[[#This Row],[Steps]]),
))</f>
        <v>0</v>
      </c>
      <c r="G1442">
        <f>IF(Table13[[#This Row],[New Pos L]]&lt;&gt;0,Table13[[#This Row],[New Pos L]],Table13[[#This Row],[New Pos R]])</f>
        <v>23</v>
      </c>
      <c r="H1442">
        <f>IF(AND(Table13[[#This Row],[Direction]]="L",Table13[[#This Row],[Steps]]&gt;G1441,G1441&lt;&gt;0),1,0)</f>
        <v>0</v>
      </c>
      <c r="I1442">
        <f>IF(AND(Table13[[#This Row],[Direction]]="R",(G1441+Table13[[#This Row],[Steps]])&gt;100),1,0)</f>
        <v>0</v>
      </c>
      <c r="J1442">
        <f>IF(Table13[[#This Row],[POS]]=0,1,0)</f>
        <v>0</v>
      </c>
      <c r="K1442">
        <f>SUM(Table13[[#This Row],[prefix]],Table13[[#This Row],[Past zero L]],Table13[[#This Row],[Past Zero R]],Table13[[#This Row],[Is Zero]])</f>
        <v>7</v>
      </c>
    </row>
    <row r="1443" spans="1:11" ht="16" x14ac:dyDescent="0.2">
      <c r="A1443" s="1" t="s">
        <v>212</v>
      </c>
      <c r="B1443" t="str">
        <f>LEFT(Table13[[#This Row],[Input]],1)</f>
        <v>R</v>
      </c>
      <c r="C1443">
        <f>_xlfn.LET(_xlpm.steps,SUBSTITUTE(Table13[[#This Row],[Input]],Table13[[#This Row],[Direction]],""),VALUE(IF(LEN(_xlpm.steps)&gt;2,RIGHT(_xlpm.steps,2),_xlpm.steps)))</f>
        <v>77</v>
      </c>
      <c r="D1443">
        <f>_xlfn.LET(_xlpm.steps,SUBSTITUTE(Table13[[#This Row],[Input]],Table13[[#This Row],[Direction]],""),VALUE(IF(LEN(_xlpm.steps)&gt;2,LEFT(_xlpm.steps,LEN(_xlpm.steps)-2),0)))</f>
        <v>0</v>
      </c>
      <c r="E1443">
        <f>_xlfn.LET(_xlpm.dir,Table13[[#This Row],[Direction]],
IF(_xlpm.dir="L",
    IF(G1442-Table13[[#This Row],[Steps]]&lt;0,100+(G1442-Table13[[#This Row],[Steps]]),G1442-Table13[[#This Row],[Steps]]),
))</f>
        <v>0</v>
      </c>
      <c r="F1443">
        <f>_xlfn.LET(_xlpm.dir,Table13[[#This Row],[Direction]],
IF(_xlpm.dir="R",
    IF(G1442+Table13[[#This Row],[Steps]]&gt;99,(G1442+Table13[[#This Row],[Steps]])-100,G1442+Table13[[#This Row],[Steps]]),
))</f>
        <v>0</v>
      </c>
      <c r="G1443">
        <f>IF(Table13[[#This Row],[New Pos L]]&lt;&gt;0,Table13[[#This Row],[New Pos L]],Table13[[#This Row],[New Pos R]])</f>
        <v>0</v>
      </c>
      <c r="H1443">
        <f>IF(AND(Table13[[#This Row],[Direction]]="L",Table13[[#This Row],[Steps]]&gt;G1442,G1442&lt;&gt;0),1,0)</f>
        <v>0</v>
      </c>
      <c r="I1443">
        <f>IF(AND(Table13[[#This Row],[Direction]]="R",(G1442+Table13[[#This Row],[Steps]])&gt;100),1,0)</f>
        <v>0</v>
      </c>
      <c r="J1443">
        <f>IF(Table13[[#This Row],[POS]]=0,1,0)</f>
        <v>1</v>
      </c>
      <c r="K1443">
        <f>SUM(Table13[[#This Row],[prefix]],Table13[[#This Row],[Past zero L]],Table13[[#This Row],[Past Zero R]],Table13[[#This Row],[Is Zero]])</f>
        <v>1</v>
      </c>
    </row>
    <row r="1444" spans="1:11" ht="16" x14ac:dyDescent="0.2">
      <c r="A1444" s="1" t="s">
        <v>11</v>
      </c>
      <c r="B1444" t="str">
        <f>LEFT(Table13[[#This Row],[Input]],1)</f>
        <v>L</v>
      </c>
      <c r="C1444">
        <f>_xlfn.LET(_xlpm.steps,SUBSTITUTE(Table13[[#This Row],[Input]],Table13[[#This Row],[Direction]],""),VALUE(IF(LEN(_xlpm.steps)&gt;2,RIGHT(_xlpm.steps,2),_xlpm.steps)))</f>
        <v>34</v>
      </c>
      <c r="D1444">
        <f>_xlfn.LET(_xlpm.steps,SUBSTITUTE(Table13[[#This Row],[Input]],Table13[[#This Row],[Direction]],""),VALUE(IF(LEN(_xlpm.steps)&gt;2,LEFT(_xlpm.steps,LEN(_xlpm.steps)-2),0)))</f>
        <v>0</v>
      </c>
      <c r="E1444">
        <f>_xlfn.LET(_xlpm.dir,Table13[[#This Row],[Direction]],
IF(_xlpm.dir="L",
    IF(G1443-Table13[[#This Row],[Steps]]&lt;0,100+(G1443-Table13[[#This Row],[Steps]]),G1443-Table13[[#This Row],[Steps]]),
))</f>
        <v>66</v>
      </c>
      <c r="F1444">
        <f>_xlfn.LET(_xlpm.dir,Table13[[#This Row],[Direction]],
IF(_xlpm.dir="R",
    IF(G1443+Table13[[#This Row],[Steps]]&gt;99,(G1443+Table13[[#This Row],[Steps]])-100,G1443+Table13[[#This Row],[Steps]]),
))</f>
        <v>0</v>
      </c>
      <c r="G1444">
        <f>IF(Table13[[#This Row],[New Pos L]]&lt;&gt;0,Table13[[#This Row],[New Pos L]],Table13[[#This Row],[New Pos R]])</f>
        <v>66</v>
      </c>
      <c r="H1444">
        <f>IF(AND(Table13[[#This Row],[Direction]]="L",Table13[[#This Row],[Steps]]&gt;G1443,G1443&lt;&gt;0),1,0)</f>
        <v>0</v>
      </c>
      <c r="I1444">
        <f>IF(AND(Table13[[#This Row],[Direction]]="R",(G1443+Table13[[#This Row],[Steps]])&gt;100),1,0)</f>
        <v>0</v>
      </c>
      <c r="J1444">
        <f>IF(Table13[[#This Row],[POS]]=0,1,0)</f>
        <v>0</v>
      </c>
      <c r="K1444">
        <f>SUM(Table13[[#This Row],[prefix]],Table13[[#This Row],[Past zero L]],Table13[[#This Row],[Past Zero R]],Table13[[#This Row],[Is Zero]])</f>
        <v>0</v>
      </c>
    </row>
    <row r="1445" spans="1:11" ht="16" x14ac:dyDescent="0.2">
      <c r="A1445" s="1" t="s">
        <v>435</v>
      </c>
      <c r="B1445" t="str">
        <f>LEFT(Table13[[#This Row],[Input]],1)</f>
        <v>R</v>
      </c>
      <c r="C1445">
        <f>_xlfn.LET(_xlpm.steps,SUBSTITUTE(Table13[[#This Row],[Input]],Table13[[#This Row],[Direction]],""),VALUE(IF(LEN(_xlpm.steps)&gt;2,RIGHT(_xlpm.steps,2),_xlpm.steps)))</f>
        <v>34</v>
      </c>
      <c r="D1445">
        <f>_xlfn.LET(_xlpm.steps,SUBSTITUTE(Table13[[#This Row],[Input]],Table13[[#This Row],[Direction]],""),VALUE(IF(LEN(_xlpm.steps)&gt;2,LEFT(_xlpm.steps,LEN(_xlpm.steps)-2),0)))</f>
        <v>4</v>
      </c>
      <c r="E1445">
        <f>_xlfn.LET(_xlpm.dir,Table13[[#This Row],[Direction]],
IF(_xlpm.dir="L",
    IF(G1444-Table13[[#This Row],[Steps]]&lt;0,100+(G1444-Table13[[#This Row],[Steps]]),G1444-Table13[[#This Row],[Steps]]),
))</f>
        <v>0</v>
      </c>
      <c r="F1445">
        <f>_xlfn.LET(_xlpm.dir,Table13[[#This Row],[Direction]],
IF(_xlpm.dir="R",
    IF(G1444+Table13[[#This Row],[Steps]]&gt;99,(G1444+Table13[[#This Row],[Steps]])-100,G1444+Table13[[#This Row],[Steps]]),
))</f>
        <v>0</v>
      </c>
      <c r="G1445">
        <f>IF(Table13[[#This Row],[New Pos L]]&lt;&gt;0,Table13[[#This Row],[New Pos L]],Table13[[#This Row],[New Pos R]])</f>
        <v>0</v>
      </c>
      <c r="H1445">
        <f>IF(AND(Table13[[#This Row],[Direction]]="L",Table13[[#This Row],[Steps]]&gt;G1444,G1444&lt;&gt;0),1,0)</f>
        <v>0</v>
      </c>
      <c r="I1445">
        <f>IF(AND(Table13[[#This Row],[Direction]]="R",(G1444+Table13[[#This Row],[Steps]])&gt;100),1,0)</f>
        <v>0</v>
      </c>
      <c r="J1445">
        <f>IF(Table13[[#This Row],[POS]]=0,1,0)</f>
        <v>1</v>
      </c>
      <c r="K1445">
        <f>SUM(Table13[[#This Row],[prefix]],Table13[[#This Row],[Past zero L]],Table13[[#This Row],[Past Zero R]],Table13[[#This Row],[Is Zero]])</f>
        <v>5</v>
      </c>
    </row>
    <row r="1446" spans="1:11" ht="16" x14ac:dyDescent="0.2">
      <c r="A1446" s="1" t="s">
        <v>296</v>
      </c>
      <c r="B1446" t="str">
        <f>LEFT(Table13[[#This Row],[Input]],1)</f>
        <v>R</v>
      </c>
      <c r="C1446">
        <f>_xlfn.LET(_xlpm.steps,SUBSTITUTE(Table13[[#This Row],[Input]],Table13[[#This Row],[Direction]],""),VALUE(IF(LEN(_xlpm.steps)&gt;2,RIGHT(_xlpm.steps,2),_xlpm.steps)))</f>
        <v>19</v>
      </c>
      <c r="D1446">
        <f>_xlfn.LET(_xlpm.steps,SUBSTITUTE(Table13[[#This Row],[Input]],Table13[[#This Row],[Direction]],""),VALUE(IF(LEN(_xlpm.steps)&gt;2,LEFT(_xlpm.steps,LEN(_xlpm.steps)-2),0)))</f>
        <v>0</v>
      </c>
      <c r="E1446">
        <f>_xlfn.LET(_xlpm.dir,Table13[[#This Row],[Direction]],
IF(_xlpm.dir="L",
    IF(G1445-Table13[[#This Row],[Steps]]&lt;0,100+(G1445-Table13[[#This Row],[Steps]]),G1445-Table13[[#This Row],[Steps]]),
))</f>
        <v>0</v>
      </c>
      <c r="F1446">
        <f>_xlfn.LET(_xlpm.dir,Table13[[#This Row],[Direction]],
IF(_xlpm.dir="R",
    IF(G1445+Table13[[#This Row],[Steps]]&gt;99,(G1445+Table13[[#This Row],[Steps]])-100,G1445+Table13[[#This Row],[Steps]]),
))</f>
        <v>19</v>
      </c>
      <c r="G1446">
        <f>IF(Table13[[#This Row],[New Pos L]]&lt;&gt;0,Table13[[#This Row],[New Pos L]],Table13[[#This Row],[New Pos R]])</f>
        <v>19</v>
      </c>
      <c r="H1446">
        <f>IF(AND(Table13[[#This Row],[Direction]]="L",Table13[[#This Row],[Steps]]&gt;G1445,G1445&lt;&gt;0),1,0)</f>
        <v>0</v>
      </c>
      <c r="I1446">
        <f>IF(AND(Table13[[#This Row],[Direction]]="R",(G1445+Table13[[#This Row],[Steps]])&gt;100),1,0)</f>
        <v>0</v>
      </c>
      <c r="J1446">
        <f>IF(Table13[[#This Row],[POS]]=0,1,0)</f>
        <v>0</v>
      </c>
      <c r="K1446">
        <f>SUM(Table13[[#This Row],[prefix]],Table13[[#This Row],[Past zero L]],Table13[[#This Row],[Past Zero R]],Table13[[#This Row],[Is Zero]])</f>
        <v>0</v>
      </c>
    </row>
    <row r="1447" spans="1:11" ht="16" x14ac:dyDescent="0.2">
      <c r="A1447" s="1" t="s">
        <v>244</v>
      </c>
      <c r="B1447" t="str">
        <f>LEFT(Table13[[#This Row],[Input]],1)</f>
        <v>L</v>
      </c>
      <c r="C1447">
        <f>_xlfn.LET(_xlpm.steps,SUBSTITUTE(Table13[[#This Row],[Input]],Table13[[#This Row],[Direction]],""),VALUE(IF(LEN(_xlpm.steps)&gt;2,RIGHT(_xlpm.steps,2),_xlpm.steps)))</f>
        <v>98</v>
      </c>
      <c r="D1447">
        <f>_xlfn.LET(_xlpm.steps,SUBSTITUTE(Table13[[#This Row],[Input]],Table13[[#This Row],[Direction]],""),VALUE(IF(LEN(_xlpm.steps)&gt;2,LEFT(_xlpm.steps,LEN(_xlpm.steps)-2),0)))</f>
        <v>0</v>
      </c>
      <c r="E1447">
        <f>_xlfn.LET(_xlpm.dir,Table13[[#This Row],[Direction]],
IF(_xlpm.dir="L",
    IF(G1446-Table13[[#This Row],[Steps]]&lt;0,100+(G1446-Table13[[#This Row],[Steps]]),G1446-Table13[[#This Row],[Steps]]),
))</f>
        <v>21</v>
      </c>
      <c r="F1447">
        <f>_xlfn.LET(_xlpm.dir,Table13[[#This Row],[Direction]],
IF(_xlpm.dir="R",
    IF(G1446+Table13[[#This Row],[Steps]]&gt;99,(G1446+Table13[[#This Row],[Steps]])-100,G1446+Table13[[#This Row],[Steps]]),
))</f>
        <v>0</v>
      </c>
      <c r="G1447">
        <f>IF(Table13[[#This Row],[New Pos L]]&lt;&gt;0,Table13[[#This Row],[New Pos L]],Table13[[#This Row],[New Pos R]])</f>
        <v>21</v>
      </c>
      <c r="H1447">
        <f>IF(AND(Table13[[#This Row],[Direction]]="L",Table13[[#This Row],[Steps]]&gt;G1446,G1446&lt;&gt;0),1,0)</f>
        <v>1</v>
      </c>
      <c r="I1447">
        <f>IF(AND(Table13[[#This Row],[Direction]]="R",(G1446+Table13[[#This Row],[Steps]])&gt;100),1,0)</f>
        <v>0</v>
      </c>
      <c r="J1447">
        <f>IF(Table13[[#This Row],[POS]]=0,1,0)</f>
        <v>0</v>
      </c>
      <c r="K1447">
        <f>SUM(Table13[[#This Row],[prefix]],Table13[[#This Row],[Past zero L]],Table13[[#This Row],[Past Zero R]],Table13[[#This Row],[Is Zero]])</f>
        <v>1</v>
      </c>
    </row>
    <row r="1448" spans="1:11" ht="16" x14ac:dyDescent="0.2">
      <c r="A1448" s="1" t="s">
        <v>436</v>
      </c>
      <c r="B1448" t="str">
        <f>LEFT(Table13[[#This Row],[Input]],1)</f>
        <v>L</v>
      </c>
      <c r="C1448">
        <f>_xlfn.LET(_xlpm.steps,SUBSTITUTE(Table13[[#This Row],[Input]],Table13[[#This Row],[Direction]],""),VALUE(IF(LEN(_xlpm.steps)&gt;2,RIGHT(_xlpm.steps,2),_xlpm.steps)))</f>
        <v>97</v>
      </c>
      <c r="D1448">
        <f>_xlfn.LET(_xlpm.steps,SUBSTITUTE(Table13[[#This Row],[Input]],Table13[[#This Row],[Direction]],""),VALUE(IF(LEN(_xlpm.steps)&gt;2,LEFT(_xlpm.steps,LEN(_xlpm.steps)-2),0)))</f>
        <v>6</v>
      </c>
      <c r="E1448">
        <f>_xlfn.LET(_xlpm.dir,Table13[[#This Row],[Direction]],
IF(_xlpm.dir="L",
    IF(G1447-Table13[[#This Row],[Steps]]&lt;0,100+(G1447-Table13[[#This Row],[Steps]]),G1447-Table13[[#This Row],[Steps]]),
))</f>
        <v>24</v>
      </c>
      <c r="F1448">
        <f>_xlfn.LET(_xlpm.dir,Table13[[#This Row],[Direction]],
IF(_xlpm.dir="R",
    IF(G1447+Table13[[#This Row],[Steps]]&gt;99,(G1447+Table13[[#This Row],[Steps]])-100,G1447+Table13[[#This Row],[Steps]]),
))</f>
        <v>0</v>
      </c>
      <c r="G1448">
        <f>IF(Table13[[#This Row],[New Pos L]]&lt;&gt;0,Table13[[#This Row],[New Pos L]],Table13[[#This Row],[New Pos R]])</f>
        <v>24</v>
      </c>
      <c r="H1448">
        <f>IF(AND(Table13[[#This Row],[Direction]]="L",Table13[[#This Row],[Steps]]&gt;G1447,G1447&lt;&gt;0),1,0)</f>
        <v>1</v>
      </c>
      <c r="I1448">
        <f>IF(AND(Table13[[#This Row],[Direction]]="R",(G1447+Table13[[#This Row],[Steps]])&gt;100),1,0)</f>
        <v>0</v>
      </c>
      <c r="J1448">
        <f>IF(Table13[[#This Row],[POS]]=0,1,0)</f>
        <v>0</v>
      </c>
      <c r="K1448">
        <f>SUM(Table13[[#This Row],[prefix]],Table13[[#This Row],[Past zero L]],Table13[[#This Row],[Past Zero R]],Table13[[#This Row],[Is Zero]])</f>
        <v>7</v>
      </c>
    </row>
    <row r="1449" spans="1:11" ht="16" x14ac:dyDescent="0.2">
      <c r="A1449" s="1" t="s">
        <v>206</v>
      </c>
      <c r="B1449" t="str">
        <f>LEFT(Table13[[#This Row],[Input]],1)</f>
        <v>R</v>
      </c>
      <c r="C1449">
        <f>_xlfn.LET(_xlpm.steps,SUBSTITUTE(Table13[[#This Row],[Input]],Table13[[#This Row],[Direction]],""),VALUE(IF(LEN(_xlpm.steps)&gt;2,RIGHT(_xlpm.steps,2),_xlpm.steps)))</f>
        <v>62</v>
      </c>
      <c r="D1449">
        <f>_xlfn.LET(_xlpm.steps,SUBSTITUTE(Table13[[#This Row],[Input]],Table13[[#This Row],[Direction]],""),VALUE(IF(LEN(_xlpm.steps)&gt;2,LEFT(_xlpm.steps,LEN(_xlpm.steps)-2),0)))</f>
        <v>0</v>
      </c>
      <c r="E1449">
        <f>_xlfn.LET(_xlpm.dir,Table13[[#This Row],[Direction]],
IF(_xlpm.dir="L",
    IF(G1448-Table13[[#This Row],[Steps]]&lt;0,100+(G1448-Table13[[#This Row],[Steps]]),G1448-Table13[[#This Row],[Steps]]),
))</f>
        <v>0</v>
      </c>
      <c r="F1449">
        <f>_xlfn.LET(_xlpm.dir,Table13[[#This Row],[Direction]],
IF(_xlpm.dir="R",
    IF(G1448+Table13[[#This Row],[Steps]]&gt;99,(G1448+Table13[[#This Row],[Steps]])-100,G1448+Table13[[#This Row],[Steps]]),
))</f>
        <v>86</v>
      </c>
      <c r="G1449">
        <f>IF(Table13[[#This Row],[New Pos L]]&lt;&gt;0,Table13[[#This Row],[New Pos L]],Table13[[#This Row],[New Pos R]])</f>
        <v>86</v>
      </c>
      <c r="H1449">
        <f>IF(AND(Table13[[#This Row],[Direction]]="L",Table13[[#This Row],[Steps]]&gt;G1448,G1448&lt;&gt;0),1,0)</f>
        <v>0</v>
      </c>
      <c r="I1449">
        <f>IF(AND(Table13[[#This Row],[Direction]]="R",(G1448+Table13[[#This Row],[Steps]])&gt;100),1,0)</f>
        <v>0</v>
      </c>
      <c r="J1449">
        <f>IF(Table13[[#This Row],[POS]]=0,1,0)</f>
        <v>0</v>
      </c>
      <c r="K1449">
        <f>SUM(Table13[[#This Row],[prefix]],Table13[[#This Row],[Past zero L]],Table13[[#This Row],[Past Zero R]],Table13[[#This Row],[Is Zero]])</f>
        <v>0</v>
      </c>
    </row>
    <row r="1450" spans="1:11" ht="16" x14ac:dyDescent="0.2">
      <c r="A1450" s="1" t="s">
        <v>128</v>
      </c>
      <c r="B1450" t="str">
        <f>LEFT(Table13[[#This Row],[Input]],1)</f>
        <v>R</v>
      </c>
      <c r="C1450">
        <f>_xlfn.LET(_xlpm.steps,SUBSTITUTE(Table13[[#This Row],[Input]],Table13[[#This Row],[Direction]],""),VALUE(IF(LEN(_xlpm.steps)&gt;2,RIGHT(_xlpm.steps,2),_xlpm.steps)))</f>
        <v>92</v>
      </c>
      <c r="D1450">
        <f>_xlfn.LET(_xlpm.steps,SUBSTITUTE(Table13[[#This Row],[Input]],Table13[[#This Row],[Direction]],""),VALUE(IF(LEN(_xlpm.steps)&gt;2,LEFT(_xlpm.steps,LEN(_xlpm.steps)-2),0)))</f>
        <v>0</v>
      </c>
      <c r="E1450">
        <f>_xlfn.LET(_xlpm.dir,Table13[[#This Row],[Direction]],
IF(_xlpm.dir="L",
    IF(G1449-Table13[[#This Row],[Steps]]&lt;0,100+(G1449-Table13[[#This Row],[Steps]]),G1449-Table13[[#This Row],[Steps]]),
))</f>
        <v>0</v>
      </c>
      <c r="F1450">
        <f>_xlfn.LET(_xlpm.dir,Table13[[#This Row],[Direction]],
IF(_xlpm.dir="R",
    IF(G1449+Table13[[#This Row],[Steps]]&gt;99,(G1449+Table13[[#This Row],[Steps]])-100,G1449+Table13[[#This Row],[Steps]]),
))</f>
        <v>78</v>
      </c>
      <c r="G1450">
        <f>IF(Table13[[#This Row],[New Pos L]]&lt;&gt;0,Table13[[#This Row],[New Pos L]],Table13[[#This Row],[New Pos R]])</f>
        <v>78</v>
      </c>
      <c r="H1450">
        <f>IF(AND(Table13[[#This Row],[Direction]]="L",Table13[[#This Row],[Steps]]&gt;G1449,G1449&lt;&gt;0),1,0)</f>
        <v>0</v>
      </c>
      <c r="I1450">
        <f>IF(AND(Table13[[#This Row],[Direction]]="R",(G1449+Table13[[#This Row],[Steps]])&gt;100),1,0)</f>
        <v>1</v>
      </c>
      <c r="J1450">
        <f>IF(Table13[[#This Row],[POS]]=0,1,0)</f>
        <v>0</v>
      </c>
      <c r="K1450">
        <f>SUM(Table13[[#This Row],[prefix]],Table13[[#This Row],[Past zero L]],Table13[[#This Row],[Past Zero R]],Table13[[#This Row],[Is Zero]])</f>
        <v>1</v>
      </c>
    </row>
    <row r="1451" spans="1:11" ht="16" x14ac:dyDescent="0.2">
      <c r="A1451" s="1" t="s">
        <v>252</v>
      </c>
      <c r="B1451" t="str">
        <f>LEFT(Table13[[#This Row],[Input]],1)</f>
        <v>L</v>
      </c>
      <c r="C1451">
        <f>_xlfn.LET(_xlpm.steps,SUBSTITUTE(Table13[[#This Row],[Input]],Table13[[#This Row],[Direction]],""),VALUE(IF(LEN(_xlpm.steps)&gt;2,RIGHT(_xlpm.steps,2),_xlpm.steps)))</f>
        <v>99</v>
      </c>
      <c r="D1451">
        <f>_xlfn.LET(_xlpm.steps,SUBSTITUTE(Table13[[#This Row],[Input]],Table13[[#This Row],[Direction]],""),VALUE(IF(LEN(_xlpm.steps)&gt;2,LEFT(_xlpm.steps,LEN(_xlpm.steps)-2),0)))</f>
        <v>0</v>
      </c>
      <c r="E1451">
        <f>_xlfn.LET(_xlpm.dir,Table13[[#This Row],[Direction]],
IF(_xlpm.dir="L",
    IF(G1450-Table13[[#This Row],[Steps]]&lt;0,100+(G1450-Table13[[#This Row],[Steps]]),G1450-Table13[[#This Row],[Steps]]),
))</f>
        <v>79</v>
      </c>
      <c r="F1451">
        <f>_xlfn.LET(_xlpm.dir,Table13[[#This Row],[Direction]],
IF(_xlpm.dir="R",
    IF(G1450+Table13[[#This Row],[Steps]]&gt;99,(G1450+Table13[[#This Row],[Steps]])-100,G1450+Table13[[#This Row],[Steps]]),
))</f>
        <v>0</v>
      </c>
      <c r="G1451">
        <f>IF(Table13[[#This Row],[New Pos L]]&lt;&gt;0,Table13[[#This Row],[New Pos L]],Table13[[#This Row],[New Pos R]])</f>
        <v>79</v>
      </c>
      <c r="H1451">
        <f>IF(AND(Table13[[#This Row],[Direction]]="L",Table13[[#This Row],[Steps]]&gt;G1450,G1450&lt;&gt;0),1,0)</f>
        <v>1</v>
      </c>
      <c r="I1451">
        <f>IF(AND(Table13[[#This Row],[Direction]]="R",(G1450+Table13[[#This Row],[Steps]])&gt;100),1,0)</f>
        <v>0</v>
      </c>
      <c r="J1451">
        <f>IF(Table13[[#This Row],[POS]]=0,1,0)</f>
        <v>0</v>
      </c>
      <c r="K1451">
        <f>SUM(Table13[[#This Row],[prefix]],Table13[[#This Row],[Past zero L]],Table13[[#This Row],[Past Zero R]],Table13[[#This Row],[Is Zero]])</f>
        <v>1</v>
      </c>
    </row>
    <row r="1452" spans="1:11" ht="16" x14ac:dyDescent="0.2">
      <c r="A1452" s="1" t="s">
        <v>319</v>
      </c>
      <c r="B1452" t="str">
        <f>LEFT(Table13[[#This Row],[Input]],1)</f>
        <v>L</v>
      </c>
      <c r="C1452">
        <f>_xlfn.LET(_xlpm.steps,SUBSTITUTE(Table13[[#This Row],[Input]],Table13[[#This Row],[Direction]],""),VALUE(IF(LEN(_xlpm.steps)&gt;2,RIGHT(_xlpm.steps,2),_xlpm.steps)))</f>
        <v>79</v>
      </c>
      <c r="D1452">
        <f>_xlfn.LET(_xlpm.steps,SUBSTITUTE(Table13[[#This Row],[Input]],Table13[[#This Row],[Direction]],""),VALUE(IF(LEN(_xlpm.steps)&gt;2,LEFT(_xlpm.steps,LEN(_xlpm.steps)-2),0)))</f>
        <v>0</v>
      </c>
      <c r="E1452">
        <f>_xlfn.LET(_xlpm.dir,Table13[[#This Row],[Direction]],
IF(_xlpm.dir="L",
    IF(G1451-Table13[[#This Row],[Steps]]&lt;0,100+(G1451-Table13[[#This Row],[Steps]]),G1451-Table13[[#This Row],[Steps]]),
))</f>
        <v>0</v>
      </c>
      <c r="F1452">
        <f>_xlfn.LET(_xlpm.dir,Table13[[#This Row],[Direction]],
IF(_xlpm.dir="R",
    IF(G1451+Table13[[#This Row],[Steps]]&gt;99,(G1451+Table13[[#This Row],[Steps]])-100,G1451+Table13[[#This Row],[Steps]]),
))</f>
        <v>0</v>
      </c>
      <c r="G1452">
        <f>IF(Table13[[#This Row],[New Pos L]]&lt;&gt;0,Table13[[#This Row],[New Pos L]],Table13[[#This Row],[New Pos R]])</f>
        <v>0</v>
      </c>
      <c r="H1452">
        <f>IF(AND(Table13[[#This Row],[Direction]]="L",Table13[[#This Row],[Steps]]&gt;G1451,G1451&lt;&gt;0),1,0)</f>
        <v>0</v>
      </c>
      <c r="I1452">
        <f>IF(AND(Table13[[#This Row],[Direction]]="R",(G1451+Table13[[#This Row],[Steps]])&gt;100),1,0)</f>
        <v>0</v>
      </c>
      <c r="J1452">
        <f>IF(Table13[[#This Row],[POS]]=0,1,0)</f>
        <v>1</v>
      </c>
      <c r="K1452">
        <f>SUM(Table13[[#This Row],[prefix]],Table13[[#This Row],[Past zero L]],Table13[[#This Row],[Past Zero R]],Table13[[#This Row],[Is Zero]])</f>
        <v>1</v>
      </c>
    </row>
    <row r="1453" spans="1:11" ht="16" x14ac:dyDescent="0.2">
      <c r="A1453" s="1" t="s">
        <v>0</v>
      </c>
      <c r="B1453" t="str">
        <f>LEFT(Table13[[#This Row],[Input]],1)</f>
        <v>L</v>
      </c>
      <c r="C1453">
        <f>_xlfn.LET(_xlpm.steps,SUBSTITUTE(Table13[[#This Row],[Input]],Table13[[#This Row],[Direction]],""),VALUE(IF(LEN(_xlpm.steps)&gt;2,RIGHT(_xlpm.steps,2),_xlpm.steps)))</f>
        <v>44</v>
      </c>
      <c r="D1453">
        <f>_xlfn.LET(_xlpm.steps,SUBSTITUTE(Table13[[#This Row],[Input]],Table13[[#This Row],[Direction]],""),VALUE(IF(LEN(_xlpm.steps)&gt;2,LEFT(_xlpm.steps,LEN(_xlpm.steps)-2),0)))</f>
        <v>0</v>
      </c>
      <c r="E1453">
        <f>_xlfn.LET(_xlpm.dir,Table13[[#This Row],[Direction]],
IF(_xlpm.dir="L",
    IF(G1452-Table13[[#This Row],[Steps]]&lt;0,100+(G1452-Table13[[#This Row],[Steps]]),G1452-Table13[[#This Row],[Steps]]),
))</f>
        <v>56</v>
      </c>
      <c r="F1453">
        <f>_xlfn.LET(_xlpm.dir,Table13[[#This Row],[Direction]],
IF(_xlpm.dir="R",
    IF(G1452+Table13[[#This Row],[Steps]]&gt;99,(G1452+Table13[[#This Row],[Steps]])-100,G1452+Table13[[#This Row],[Steps]]),
))</f>
        <v>0</v>
      </c>
      <c r="G1453">
        <f>IF(Table13[[#This Row],[New Pos L]]&lt;&gt;0,Table13[[#This Row],[New Pos L]],Table13[[#This Row],[New Pos R]])</f>
        <v>56</v>
      </c>
      <c r="H1453">
        <f>IF(AND(Table13[[#This Row],[Direction]]="L",Table13[[#This Row],[Steps]]&gt;G1452,G1452&lt;&gt;0),1,0)</f>
        <v>0</v>
      </c>
      <c r="I1453">
        <f>IF(AND(Table13[[#This Row],[Direction]]="R",(G1452+Table13[[#This Row],[Steps]])&gt;100),1,0)</f>
        <v>0</v>
      </c>
      <c r="J1453">
        <f>IF(Table13[[#This Row],[POS]]=0,1,0)</f>
        <v>0</v>
      </c>
      <c r="K1453">
        <f>SUM(Table13[[#This Row],[prefix]],Table13[[#This Row],[Past zero L]],Table13[[#This Row],[Past Zero R]],Table13[[#This Row],[Is Zero]])</f>
        <v>0</v>
      </c>
    </row>
    <row r="1454" spans="1:11" ht="16" x14ac:dyDescent="0.2">
      <c r="A1454" s="1" t="s">
        <v>437</v>
      </c>
      <c r="B1454" t="str">
        <f>LEFT(Table13[[#This Row],[Input]],1)</f>
        <v>L</v>
      </c>
      <c r="C1454">
        <f>_xlfn.LET(_xlpm.steps,SUBSTITUTE(Table13[[#This Row],[Input]],Table13[[#This Row],[Direction]],""),VALUE(IF(LEN(_xlpm.steps)&gt;2,RIGHT(_xlpm.steps,2),_xlpm.steps)))</f>
        <v>56</v>
      </c>
      <c r="D1454">
        <f>_xlfn.LET(_xlpm.steps,SUBSTITUTE(Table13[[#This Row],[Input]],Table13[[#This Row],[Direction]],""),VALUE(IF(LEN(_xlpm.steps)&gt;2,LEFT(_xlpm.steps,LEN(_xlpm.steps)-2),0)))</f>
        <v>2</v>
      </c>
      <c r="E1454">
        <f>_xlfn.LET(_xlpm.dir,Table13[[#This Row],[Direction]],
IF(_xlpm.dir="L",
    IF(G1453-Table13[[#This Row],[Steps]]&lt;0,100+(G1453-Table13[[#This Row],[Steps]]),G1453-Table13[[#This Row],[Steps]]),
))</f>
        <v>0</v>
      </c>
      <c r="F1454">
        <f>_xlfn.LET(_xlpm.dir,Table13[[#This Row],[Direction]],
IF(_xlpm.dir="R",
    IF(G1453+Table13[[#This Row],[Steps]]&gt;99,(G1453+Table13[[#This Row],[Steps]])-100,G1453+Table13[[#This Row],[Steps]]),
))</f>
        <v>0</v>
      </c>
      <c r="G1454">
        <f>IF(Table13[[#This Row],[New Pos L]]&lt;&gt;0,Table13[[#This Row],[New Pos L]],Table13[[#This Row],[New Pos R]])</f>
        <v>0</v>
      </c>
      <c r="H1454">
        <f>IF(AND(Table13[[#This Row],[Direction]]="L",Table13[[#This Row],[Steps]]&gt;G1453,G1453&lt;&gt;0),1,0)</f>
        <v>0</v>
      </c>
      <c r="I1454">
        <f>IF(AND(Table13[[#This Row],[Direction]]="R",(G1453+Table13[[#This Row],[Steps]])&gt;100),1,0)</f>
        <v>0</v>
      </c>
      <c r="J1454">
        <f>IF(Table13[[#This Row],[POS]]=0,1,0)</f>
        <v>1</v>
      </c>
      <c r="K1454">
        <f>SUM(Table13[[#This Row],[prefix]],Table13[[#This Row],[Past zero L]],Table13[[#This Row],[Past Zero R]],Table13[[#This Row],[Is Zero]])</f>
        <v>3</v>
      </c>
    </row>
    <row r="1455" spans="1:11" ht="16" x14ac:dyDescent="0.2">
      <c r="A1455" s="1" t="s">
        <v>136</v>
      </c>
      <c r="B1455" t="str">
        <f>LEFT(Table13[[#This Row],[Input]],1)</f>
        <v>L</v>
      </c>
      <c r="C1455">
        <f>_xlfn.LET(_xlpm.steps,SUBSTITUTE(Table13[[#This Row],[Input]],Table13[[#This Row],[Direction]],""),VALUE(IF(LEN(_xlpm.steps)&gt;2,RIGHT(_xlpm.steps,2),_xlpm.steps)))</f>
        <v>72</v>
      </c>
      <c r="D1455">
        <f>_xlfn.LET(_xlpm.steps,SUBSTITUTE(Table13[[#This Row],[Input]],Table13[[#This Row],[Direction]],""),VALUE(IF(LEN(_xlpm.steps)&gt;2,LEFT(_xlpm.steps,LEN(_xlpm.steps)-2),0)))</f>
        <v>0</v>
      </c>
      <c r="E1455">
        <f>_xlfn.LET(_xlpm.dir,Table13[[#This Row],[Direction]],
IF(_xlpm.dir="L",
    IF(G1454-Table13[[#This Row],[Steps]]&lt;0,100+(G1454-Table13[[#This Row],[Steps]]),G1454-Table13[[#This Row],[Steps]]),
))</f>
        <v>28</v>
      </c>
      <c r="F1455">
        <f>_xlfn.LET(_xlpm.dir,Table13[[#This Row],[Direction]],
IF(_xlpm.dir="R",
    IF(G1454+Table13[[#This Row],[Steps]]&gt;99,(G1454+Table13[[#This Row],[Steps]])-100,G1454+Table13[[#This Row],[Steps]]),
))</f>
        <v>0</v>
      </c>
      <c r="G1455">
        <f>IF(Table13[[#This Row],[New Pos L]]&lt;&gt;0,Table13[[#This Row],[New Pos L]],Table13[[#This Row],[New Pos R]])</f>
        <v>28</v>
      </c>
      <c r="H1455">
        <f>IF(AND(Table13[[#This Row],[Direction]]="L",Table13[[#This Row],[Steps]]&gt;G1454,G1454&lt;&gt;0),1,0)</f>
        <v>0</v>
      </c>
      <c r="I1455">
        <f>IF(AND(Table13[[#This Row],[Direction]]="R",(G1454+Table13[[#This Row],[Steps]])&gt;100),1,0)</f>
        <v>0</v>
      </c>
      <c r="J1455">
        <f>IF(Table13[[#This Row],[POS]]=0,1,0)</f>
        <v>0</v>
      </c>
      <c r="K1455">
        <f>SUM(Table13[[#This Row],[prefix]],Table13[[#This Row],[Past zero L]],Table13[[#This Row],[Past Zero R]],Table13[[#This Row],[Is Zero]])</f>
        <v>0</v>
      </c>
    </row>
    <row r="1456" spans="1:11" ht="16" x14ac:dyDescent="0.2">
      <c r="A1456" s="1" t="s">
        <v>22</v>
      </c>
      <c r="B1456" t="str">
        <f>LEFT(Table13[[#This Row],[Input]],1)</f>
        <v>L</v>
      </c>
      <c r="C1456">
        <f>_xlfn.LET(_xlpm.steps,SUBSTITUTE(Table13[[#This Row],[Input]],Table13[[#This Row],[Direction]],""),VALUE(IF(LEN(_xlpm.steps)&gt;2,RIGHT(_xlpm.steps,2),_xlpm.steps)))</f>
        <v>37</v>
      </c>
      <c r="D1456">
        <f>_xlfn.LET(_xlpm.steps,SUBSTITUTE(Table13[[#This Row],[Input]],Table13[[#This Row],[Direction]],""),VALUE(IF(LEN(_xlpm.steps)&gt;2,LEFT(_xlpm.steps,LEN(_xlpm.steps)-2),0)))</f>
        <v>0</v>
      </c>
      <c r="E1456">
        <f>_xlfn.LET(_xlpm.dir,Table13[[#This Row],[Direction]],
IF(_xlpm.dir="L",
    IF(G1455-Table13[[#This Row],[Steps]]&lt;0,100+(G1455-Table13[[#This Row],[Steps]]),G1455-Table13[[#This Row],[Steps]]),
))</f>
        <v>91</v>
      </c>
      <c r="F1456">
        <f>_xlfn.LET(_xlpm.dir,Table13[[#This Row],[Direction]],
IF(_xlpm.dir="R",
    IF(G1455+Table13[[#This Row],[Steps]]&gt;99,(G1455+Table13[[#This Row],[Steps]])-100,G1455+Table13[[#This Row],[Steps]]),
))</f>
        <v>0</v>
      </c>
      <c r="G1456">
        <f>IF(Table13[[#This Row],[New Pos L]]&lt;&gt;0,Table13[[#This Row],[New Pos L]],Table13[[#This Row],[New Pos R]])</f>
        <v>91</v>
      </c>
      <c r="H1456">
        <f>IF(AND(Table13[[#This Row],[Direction]]="L",Table13[[#This Row],[Steps]]&gt;G1455,G1455&lt;&gt;0),1,0)</f>
        <v>1</v>
      </c>
      <c r="I1456">
        <f>IF(AND(Table13[[#This Row],[Direction]]="R",(G1455+Table13[[#This Row],[Steps]])&gt;100),1,0)</f>
        <v>0</v>
      </c>
      <c r="J1456">
        <f>IF(Table13[[#This Row],[POS]]=0,1,0)</f>
        <v>0</v>
      </c>
      <c r="K1456">
        <f>SUM(Table13[[#This Row],[prefix]],Table13[[#This Row],[Past zero L]],Table13[[#This Row],[Past Zero R]],Table13[[#This Row],[Is Zero]])</f>
        <v>1</v>
      </c>
    </row>
    <row r="1457" spans="1:11" ht="16" x14ac:dyDescent="0.2">
      <c r="A1457" s="1" t="s">
        <v>81</v>
      </c>
      <c r="B1457" t="str">
        <f>LEFT(Table13[[#This Row],[Input]],1)</f>
        <v>R</v>
      </c>
      <c r="C1457">
        <f>_xlfn.LET(_xlpm.steps,SUBSTITUTE(Table13[[#This Row],[Input]],Table13[[#This Row],[Direction]],""),VALUE(IF(LEN(_xlpm.steps)&gt;2,RIGHT(_xlpm.steps,2),_xlpm.steps)))</f>
        <v>17</v>
      </c>
      <c r="D1457">
        <f>_xlfn.LET(_xlpm.steps,SUBSTITUTE(Table13[[#This Row],[Input]],Table13[[#This Row],[Direction]],""),VALUE(IF(LEN(_xlpm.steps)&gt;2,LEFT(_xlpm.steps,LEN(_xlpm.steps)-2),0)))</f>
        <v>0</v>
      </c>
      <c r="E1457">
        <f>_xlfn.LET(_xlpm.dir,Table13[[#This Row],[Direction]],
IF(_xlpm.dir="L",
    IF(G1456-Table13[[#This Row],[Steps]]&lt;0,100+(G1456-Table13[[#This Row],[Steps]]),G1456-Table13[[#This Row],[Steps]]),
))</f>
        <v>0</v>
      </c>
      <c r="F1457">
        <f>_xlfn.LET(_xlpm.dir,Table13[[#This Row],[Direction]],
IF(_xlpm.dir="R",
    IF(G1456+Table13[[#This Row],[Steps]]&gt;99,(G1456+Table13[[#This Row],[Steps]])-100,G1456+Table13[[#This Row],[Steps]]),
))</f>
        <v>8</v>
      </c>
      <c r="G1457">
        <f>IF(Table13[[#This Row],[New Pos L]]&lt;&gt;0,Table13[[#This Row],[New Pos L]],Table13[[#This Row],[New Pos R]])</f>
        <v>8</v>
      </c>
      <c r="H1457">
        <f>IF(AND(Table13[[#This Row],[Direction]]="L",Table13[[#This Row],[Steps]]&gt;G1456,G1456&lt;&gt;0),1,0)</f>
        <v>0</v>
      </c>
      <c r="I1457">
        <f>IF(AND(Table13[[#This Row],[Direction]]="R",(G1456+Table13[[#This Row],[Steps]])&gt;100),1,0)</f>
        <v>1</v>
      </c>
      <c r="J1457">
        <f>IF(Table13[[#This Row],[POS]]=0,1,0)</f>
        <v>0</v>
      </c>
      <c r="K1457">
        <f>SUM(Table13[[#This Row],[prefix]],Table13[[#This Row],[Past zero L]],Table13[[#This Row],[Past Zero R]],Table13[[#This Row],[Is Zero]])</f>
        <v>1</v>
      </c>
    </row>
    <row r="1458" spans="1:11" ht="16" x14ac:dyDescent="0.2">
      <c r="A1458" s="1" t="s">
        <v>179</v>
      </c>
      <c r="B1458" t="str">
        <f>LEFT(Table13[[#This Row],[Input]],1)</f>
        <v>L</v>
      </c>
      <c r="C1458">
        <f>_xlfn.LET(_xlpm.steps,SUBSTITUTE(Table13[[#This Row],[Input]],Table13[[#This Row],[Direction]],""),VALUE(IF(LEN(_xlpm.steps)&gt;2,RIGHT(_xlpm.steps,2),_xlpm.steps)))</f>
        <v>54</v>
      </c>
      <c r="D1458">
        <f>_xlfn.LET(_xlpm.steps,SUBSTITUTE(Table13[[#This Row],[Input]],Table13[[#This Row],[Direction]],""),VALUE(IF(LEN(_xlpm.steps)&gt;2,LEFT(_xlpm.steps,LEN(_xlpm.steps)-2),0)))</f>
        <v>0</v>
      </c>
      <c r="E1458">
        <f>_xlfn.LET(_xlpm.dir,Table13[[#This Row],[Direction]],
IF(_xlpm.dir="L",
    IF(G1457-Table13[[#This Row],[Steps]]&lt;0,100+(G1457-Table13[[#This Row],[Steps]]),G1457-Table13[[#This Row],[Steps]]),
))</f>
        <v>54</v>
      </c>
      <c r="F1458">
        <f>_xlfn.LET(_xlpm.dir,Table13[[#This Row],[Direction]],
IF(_xlpm.dir="R",
    IF(G1457+Table13[[#This Row],[Steps]]&gt;99,(G1457+Table13[[#This Row],[Steps]])-100,G1457+Table13[[#This Row],[Steps]]),
))</f>
        <v>0</v>
      </c>
      <c r="G1458">
        <f>IF(Table13[[#This Row],[New Pos L]]&lt;&gt;0,Table13[[#This Row],[New Pos L]],Table13[[#This Row],[New Pos R]])</f>
        <v>54</v>
      </c>
      <c r="H1458">
        <f>IF(AND(Table13[[#This Row],[Direction]]="L",Table13[[#This Row],[Steps]]&gt;G1457,G1457&lt;&gt;0),1,0)</f>
        <v>1</v>
      </c>
      <c r="I1458">
        <f>IF(AND(Table13[[#This Row],[Direction]]="R",(G1457+Table13[[#This Row],[Steps]])&gt;100),1,0)</f>
        <v>0</v>
      </c>
      <c r="J1458">
        <f>IF(Table13[[#This Row],[POS]]=0,1,0)</f>
        <v>0</v>
      </c>
      <c r="K1458">
        <f>SUM(Table13[[#This Row],[prefix]],Table13[[#This Row],[Past zero L]],Table13[[#This Row],[Past Zero R]],Table13[[#This Row],[Is Zero]])</f>
        <v>1</v>
      </c>
    </row>
    <row r="1459" spans="1:11" ht="16" x14ac:dyDescent="0.2">
      <c r="A1459" s="1" t="s">
        <v>179</v>
      </c>
      <c r="B1459" t="str">
        <f>LEFT(Table13[[#This Row],[Input]],1)</f>
        <v>L</v>
      </c>
      <c r="C1459">
        <f>_xlfn.LET(_xlpm.steps,SUBSTITUTE(Table13[[#This Row],[Input]],Table13[[#This Row],[Direction]],""),VALUE(IF(LEN(_xlpm.steps)&gt;2,RIGHT(_xlpm.steps,2),_xlpm.steps)))</f>
        <v>54</v>
      </c>
      <c r="D1459">
        <f>_xlfn.LET(_xlpm.steps,SUBSTITUTE(Table13[[#This Row],[Input]],Table13[[#This Row],[Direction]],""),VALUE(IF(LEN(_xlpm.steps)&gt;2,LEFT(_xlpm.steps,LEN(_xlpm.steps)-2),0)))</f>
        <v>0</v>
      </c>
      <c r="E1459">
        <f>_xlfn.LET(_xlpm.dir,Table13[[#This Row],[Direction]],
IF(_xlpm.dir="L",
    IF(G1458-Table13[[#This Row],[Steps]]&lt;0,100+(G1458-Table13[[#This Row],[Steps]]),G1458-Table13[[#This Row],[Steps]]),
))</f>
        <v>0</v>
      </c>
      <c r="F1459">
        <f>_xlfn.LET(_xlpm.dir,Table13[[#This Row],[Direction]],
IF(_xlpm.dir="R",
    IF(G1458+Table13[[#This Row],[Steps]]&gt;99,(G1458+Table13[[#This Row],[Steps]])-100,G1458+Table13[[#This Row],[Steps]]),
))</f>
        <v>0</v>
      </c>
      <c r="G1459">
        <f>IF(Table13[[#This Row],[New Pos L]]&lt;&gt;0,Table13[[#This Row],[New Pos L]],Table13[[#This Row],[New Pos R]])</f>
        <v>0</v>
      </c>
      <c r="H1459">
        <f>IF(AND(Table13[[#This Row],[Direction]]="L",Table13[[#This Row],[Steps]]&gt;G1458,G1458&lt;&gt;0),1,0)</f>
        <v>0</v>
      </c>
      <c r="I1459">
        <f>IF(AND(Table13[[#This Row],[Direction]]="R",(G1458+Table13[[#This Row],[Steps]])&gt;100),1,0)</f>
        <v>0</v>
      </c>
      <c r="J1459">
        <f>IF(Table13[[#This Row],[POS]]=0,1,0)</f>
        <v>1</v>
      </c>
      <c r="K1459">
        <f>SUM(Table13[[#This Row],[prefix]],Table13[[#This Row],[Past zero L]],Table13[[#This Row],[Past Zero R]],Table13[[#This Row],[Is Zero]])</f>
        <v>1</v>
      </c>
    </row>
    <row r="1460" spans="1:11" ht="16" x14ac:dyDescent="0.2">
      <c r="A1460" s="1" t="s">
        <v>37</v>
      </c>
      <c r="B1460" t="str">
        <f>LEFT(Table13[[#This Row],[Input]],1)</f>
        <v>L</v>
      </c>
      <c r="C1460">
        <f>_xlfn.LET(_xlpm.steps,SUBSTITUTE(Table13[[#This Row],[Input]],Table13[[#This Row],[Direction]],""),VALUE(IF(LEN(_xlpm.steps)&gt;2,RIGHT(_xlpm.steps,2),_xlpm.steps)))</f>
        <v>42</v>
      </c>
      <c r="D1460">
        <f>_xlfn.LET(_xlpm.steps,SUBSTITUTE(Table13[[#This Row],[Input]],Table13[[#This Row],[Direction]],""),VALUE(IF(LEN(_xlpm.steps)&gt;2,LEFT(_xlpm.steps,LEN(_xlpm.steps)-2),0)))</f>
        <v>0</v>
      </c>
      <c r="E1460">
        <f>_xlfn.LET(_xlpm.dir,Table13[[#This Row],[Direction]],
IF(_xlpm.dir="L",
    IF(G1459-Table13[[#This Row],[Steps]]&lt;0,100+(G1459-Table13[[#This Row],[Steps]]),G1459-Table13[[#This Row],[Steps]]),
))</f>
        <v>58</v>
      </c>
      <c r="F1460">
        <f>_xlfn.LET(_xlpm.dir,Table13[[#This Row],[Direction]],
IF(_xlpm.dir="R",
    IF(G1459+Table13[[#This Row],[Steps]]&gt;99,(G1459+Table13[[#This Row],[Steps]])-100,G1459+Table13[[#This Row],[Steps]]),
))</f>
        <v>0</v>
      </c>
      <c r="G1460">
        <f>IF(Table13[[#This Row],[New Pos L]]&lt;&gt;0,Table13[[#This Row],[New Pos L]],Table13[[#This Row],[New Pos R]])</f>
        <v>58</v>
      </c>
      <c r="H1460">
        <f>IF(AND(Table13[[#This Row],[Direction]]="L",Table13[[#This Row],[Steps]]&gt;G1459,G1459&lt;&gt;0),1,0)</f>
        <v>0</v>
      </c>
      <c r="I1460">
        <f>IF(AND(Table13[[#This Row],[Direction]]="R",(G1459+Table13[[#This Row],[Steps]])&gt;100),1,0)</f>
        <v>0</v>
      </c>
      <c r="J1460">
        <f>IF(Table13[[#This Row],[POS]]=0,1,0)</f>
        <v>0</v>
      </c>
      <c r="K1460">
        <f>SUM(Table13[[#This Row],[prefix]],Table13[[#This Row],[Past zero L]],Table13[[#This Row],[Past Zero R]],Table13[[#This Row],[Is Zero]])</f>
        <v>0</v>
      </c>
    </row>
    <row r="1461" spans="1:11" ht="16" x14ac:dyDescent="0.2">
      <c r="A1461" s="1" t="s">
        <v>1</v>
      </c>
      <c r="B1461" t="str">
        <f>LEFT(Table13[[#This Row],[Input]],1)</f>
        <v>R</v>
      </c>
      <c r="C1461">
        <f>_xlfn.LET(_xlpm.steps,SUBSTITUTE(Table13[[#This Row],[Input]],Table13[[#This Row],[Direction]],""),VALUE(IF(LEN(_xlpm.steps)&gt;2,RIGHT(_xlpm.steps,2),_xlpm.steps)))</f>
        <v>26</v>
      </c>
      <c r="D1461">
        <f>_xlfn.LET(_xlpm.steps,SUBSTITUTE(Table13[[#This Row],[Input]],Table13[[#This Row],[Direction]],""),VALUE(IF(LEN(_xlpm.steps)&gt;2,LEFT(_xlpm.steps,LEN(_xlpm.steps)-2),0)))</f>
        <v>0</v>
      </c>
      <c r="E1461">
        <f>_xlfn.LET(_xlpm.dir,Table13[[#This Row],[Direction]],
IF(_xlpm.dir="L",
    IF(G1460-Table13[[#This Row],[Steps]]&lt;0,100+(G1460-Table13[[#This Row],[Steps]]),G1460-Table13[[#This Row],[Steps]]),
))</f>
        <v>0</v>
      </c>
      <c r="F1461">
        <f>_xlfn.LET(_xlpm.dir,Table13[[#This Row],[Direction]],
IF(_xlpm.dir="R",
    IF(G1460+Table13[[#This Row],[Steps]]&gt;99,(G1460+Table13[[#This Row],[Steps]])-100,G1460+Table13[[#This Row],[Steps]]),
))</f>
        <v>84</v>
      </c>
      <c r="G1461">
        <f>IF(Table13[[#This Row],[New Pos L]]&lt;&gt;0,Table13[[#This Row],[New Pos L]],Table13[[#This Row],[New Pos R]])</f>
        <v>84</v>
      </c>
      <c r="H1461">
        <f>IF(AND(Table13[[#This Row],[Direction]]="L",Table13[[#This Row],[Steps]]&gt;G1460,G1460&lt;&gt;0),1,0)</f>
        <v>0</v>
      </c>
      <c r="I1461">
        <f>IF(AND(Table13[[#This Row],[Direction]]="R",(G1460+Table13[[#This Row],[Steps]])&gt;100),1,0)</f>
        <v>0</v>
      </c>
      <c r="J1461">
        <f>IF(Table13[[#This Row],[POS]]=0,1,0)</f>
        <v>0</v>
      </c>
      <c r="K1461">
        <f>SUM(Table13[[#This Row],[prefix]],Table13[[#This Row],[Past zero L]],Table13[[#This Row],[Past Zero R]],Table13[[#This Row],[Is Zero]])</f>
        <v>0</v>
      </c>
    </row>
    <row r="1462" spans="1:11" ht="16" x14ac:dyDescent="0.2">
      <c r="A1462" s="1" t="s">
        <v>438</v>
      </c>
      <c r="B1462" t="str">
        <f>LEFT(Table13[[#This Row],[Input]],1)</f>
        <v>R</v>
      </c>
      <c r="C1462">
        <f>_xlfn.LET(_xlpm.steps,SUBSTITUTE(Table13[[#This Row],[Input]],Table13[[#This Row],[Direction]],""),VALUE(IF(LEN(_xlpm.steps)&gt;2,RIGHT(_xlpm.steps,2),_xlpm.steps)))</f>
        <v>9</v>
      </c>
      <c r="D1462">
        <f>_xlfn.LET(_xlpm.steps,SUBSTITUTE(Table13[[#This Row],[Input]],Table13[[#This Row],[Direction]],""),VALUE(IF(LEN(_xlpm.steps)&gt;2,LEFT(_xlpm.steps,LEN(_xlpm.steps)-2),0)))</f>
        <v>4</v>
      </c>
      <c r="E1462">
        <f>_xlfn.LET(_xlpm.dir,Table13[[#This Row],[Direction]],
IF(_xlpm.dir="L",
    IF(G1461-Table13[[#This Row],[Steps]]&lt;0,100+(G1461-Table13[[#This Row],[Steps]]),G1461-Table13[[#This Row],[Steps]]),
))</f>
        <v>0</v>
      </c>
      <c r="F1462">
        <f>_xlfn.LET(_xlpm.dir,Table13[[#This Row],[Direction]],
IF(_xlpm.dir="R",
    IF(G1461+Table13[[#This Row],[Steps]]&gt;99,(G1461+Table13[[#This Row],[Steps]])-100,G1461+Table13[[#This Row],[Steps]]),
))</f>
        <v>93</v>
      </c>
      <c r="G1462">
        <f>IF(Table13[[#This Row],[New Pos L]]&lt;&gt;0,Table13[[#This Row],[New Pos L]],Table13[[#This Row],[New Pos R]])</f>
        <v>93</v>
      </c>
      <c r="H1462">
        <f>IF(AND(Table13[[#This Row],[Direction]]="L",Table13[[#This Row],[Steps]]&gt;G1461,G1461&lt;&gt;0),1,0)</f>
        <v>0</v>
      </c>
      <c r="I1462">
        <f>IF(AND(Table13[[#This Row],[Direction]]="R",(G1461+Table13[[#This Row],[Steps]])&gt;100),1,0)</f>
        <v>0</v>
      </c>
      <c r="J1462">
        <f>IF(Table13[[#This Row],[POS]]=0,1,0)</f>
        <v>0</v>
      </c>
      <c r="K1462">
        <f>SUM(Table13[[#This Row],[prefix]],Table13[[#This Row],[Past zero L]],Table13[[#This Row],[Past Zero R]],Table13[[#This Row],[Is Zero]])</f>
        <v>4</v>
      </c>
    </row>
    <row r="1463" spans="1:11" ht="16" x14ac:dyDescent="0.2">
      <c r="A1463" s="1" t="s">
        <v>19</v>
      </c>
      <c r="B1463" t="str">
        <f>LEFT(Table13[[#This Row],[Input]],1)</f>
        <v>R</v>
      </c>
      <c r="C1463">
        <f>_xlfn.LET(_xlpm.steps,SUBSTITUTE(Table13[[#This Row],[Input]],Table13[[#This Row],[Direction]],""),VALUE(IF(LEN(_xlpm.steps)&gt;2,RIGHT(_xlpm.steps,2),_xlpm.steps)))</f>
        <v>47</v>
      </c>
      <c r="D1463">
        <f>_xlfn.LET(_xlpm.steps,SUBSTITUTE(Table13[[#This Row],[Input]],Table13[[#This Row],[Direction]],""),VALUE(IF(LEN(_xlpm.steps)&gt;2,LEFT(_xlpm.steps,LEN(_xlpm.steps)-2),0)))</f>
        <v>0</v>
      </c>
      <c r="E1463">
        <f>_xlfn.LET(_xlpm.dir,Table13[[#This Row],[Direction]],
IF(_xlpm.dir="L",
    IF(G1462-Table13[[#This Row],[Steps]]&lt;0,100+(G1462-Table13[[#This Row],[Steps]]),G1462-Table13[[#This Row],[Steps]]),
))</f>
        <v>0</v>
      </c>
      <c r="F1463">
        <f>_xlfn.LET(_xlpm.dir,Table13[[#This Row],[Direction]],
IF(_xlpm.dir="R",
    IF(G1462+Table13[[#This Row],[Steps]]&gt;99,(G1462+Table13[[#This Row],[Steps]])-100,G1462+Table13[[#This Row],[Steps]]),
))</f>
        <v>40</v>
      </c>
      <c r="G1463">
        <f>IF(Table13[[#This Row],[New Pos L]]&lt;&gt;0,Table13[[#This Row],[New Pos L]],Table13[[#This Row],[New Pos R]])</f>
        <v>40</v>
      </c>
      <c r="H1463">
        <f>IF(AND(Table13[[#This Row],[Direction]]="L",Table13[[#This Row],[Steps]]&gt;G1462,G1462&lt;&gt;0),1,0)</f>
        <v>0</v>
      </c>
      <c r="I1463">
        <f>IF(AND(Table13[[#This Row],[Direction]]="R",(G1462+Table13[[#This Row],[Steps]])&gt;100),1,0)</f>
        <v>1</v>
      </c>
      <c r="J1463">
        <f>IF(Table13[[#This Row],[POS]]=0,1,0)</f>
        <v>0</v>
      </c>
      <c r="K1463">
        <f>SUM(Table13[[#This Row],[prefix]],Table13[[#This Row],[Past zero L]],Table13[[#This Row],[Past Zero R]],Table13[[#This Row],[Is Zero]])</f>
        <v>1</v>
      </c>
    </row>
    <row r="1464" spans="1:11" ht="16" x14ac:dyDescent="0.2">
      <c r="A1464" s="1" t="s">
        <v>126</v>
      </c>
      <c r="B1464" t="str">
        <f>LEFT(Table13[[#This Row],[Input]],1)</f>
        <v>R</v>
      </c>
      <c r="C1464">
        <f>_xlfn.LET(_xlpm.steps,SUBSTITUTE(Table13[[#This Row],[Input]],Table13[[#This Row],[Direction]],""),VALUE(IF(LEN(_xlpm.steps)&gt;2,RIGHT(_xlpm.steps,2),_xlpm.steps)))</f>
        <v>65</v>
      </c>
      <c r="D1464">
        <f>_xlfn.LET(_xlpm.steps,SUBSTITUTE(Table13[[#This Row],[Input]],Table13[[#This Row],[Direction]],""),VALUE(IF(LEN(_xlpm.steps)&gt;2,LEFT(_xlpm.steps,LEN(_xlpm.steps)-2),0)))</f>
        <v>0</v>
      </c>
      <c r="E1464">
        <f>_xlfn.LET(_xlpm.dir,Table13[[#This Row],[Direction]],
IF(_xlpm.dir="L",
    IF(G1463-Table13[[#This Row],[Steps]]&lt;0,100+(G1463-Table13[[#This Row],[Steps]]),G1463-Table13[[#This Row],[Steps]]),
))</f>
        <v>0</v>
      </c>
      <c r="F1464">
        <f>_xlfn.LET(_xlpm.dir,Table13[[#This Row],[Direction]],
IF(_xlpm.dir="R",
    IF(G1463+Table13[[#This Row],[Steps]]&gt;99,(G1463+Table13[[#This Row],[Steps]])-100,G1463+Table13[[#This Row],[Steps]]),
))</f>
        <v>5</v>
      </c>
      <c r="G1464">
        <f>IF(Table13[[#This Row],[New Pos L]]&lt;&gt;0,Table13[[#This Row],[New Pos L]],Table13[[#This Row],[New Pos R]])</f>
        <v>5</v>
      </c>
      <c r="H1464">
        <f>IF(AND(Table13[[#This Row],[Direction]]="L",Table13[[#This Row],[Steps]]&gt;G1463,G1463&lt;&gt;0),1,0)</f>
        <v>0</v>
      </c>
      <c r="I1464">
        <f>IF(AND(Table13[[#This Row],[Direction]]="R",(G1463+Table13[[#This Row],[Steps]])&gt;100),1,0)</f>
        <v>1</v>
      </c>
      <c r="J1464">
        <f>IF(Table13[[#This Row],[POS]]=0,1,0)</f>
        <v>0</v>
      </c>
      <c r="K1464">
        <f>SUM(Table13[[#This Row],[prefix]],Table13[[#This Row],[Past zero L]],Table13[[#This Row],[Past Zero R]],Table13[[#This Row],[Is Zero]])</f>
        <v>1</v>
      </c>
    </row>
    <row r="1465" spans="1:11" ht="16" x14ac:dyDescent="0.2">
      <c r="A1465" s="1" t="s">
        <v>157</v>
      </c>
      <c r="B1465" t="str">
        <f>LEFT(Table13[[#This Row],[Input]],1)</f>
        <v>R</v>
      </c>
      <c r="C1465">
        <f>_xlfn.LET(_xlpm.steps,SUBSTITUTE(Table13[[#This Row],[Input]],Table13[[#This Row],[Direction]],""),VALUE(IF(LEN(_xlpm.steps)&gt;2,RIGHT(_xlpm.steps,2),_xlpm.steps)))</f>
        <v>68</v>
      </c>
      <c r="D1465">
        <f>_xlfn.LET(_xlpm.steps,SUBSTITUTE(Table13[[#This Row],[Input]],Table13[[#This Row],[Direction]],""),VALUE(IF(LEN(_xlpm.steps)&gt;2,LEFT(_xlpm.steps,LEN(_xlpm.steps)-2),0)))</f>
        <v>0</v>
      </c>
      <c r="E1465">
        <f>_xlfn.LET(_xlpm.dir,Table13[[#This Row],[Direction]],
IF(_xlpm.dir="L",
    IF(G1464-Table13[[#This Row],[Steps]]&lt;0,100+(G1464-Table13[[#This Row],[Steps]]),G1464-Table13[[#This Row],[Steps]]),
))</f>
        <v>0</v>
      </c>
      <c r="F1465">
        <f>_xlfn.LET(_xlpm.dir,Table13[[#This Row],[Direction]],
IF(_xlpm.dir="R",
    IF(G1464+Table13[[#This Row],[Steps]]&gt;99,(G1464+Table13[[#This Row],[Steps]])-100,G1464+Table13[[#This Row],[Steps]]),
))</f>
        <v>73</v>
      </c>
      <c r="G1465">
        <f>IF(Table13[[#This Row],[New Pos L]]&lt;&gt;0,Table13[[#This Row],[New Pos L]],Table13[[#This Row],[New Pos R]])</f>
        <v>73</v>
      </c>
      <c r="H1465">
        <f>IF(AND(Table13[[#This Row],[Direction]]="L",Table13[[#This Row],[Steps]]&gt;G1464,G1464&lt;&gt;0),1,0)</f>
        <v>0</v>
      </c>
      <c r="I1465">
        <f>IF(AND(Table13[[#This Row],[Direction]]="R",(G1464+Table13[[#This Row],[Steps]])&gt;100),1,0)</f>
        <v>0</v>
      </c>
      <c r="J1465">
        <f>IF(Table13[[#This Row],[POS]]=0,1,0)</f>
        <v>0</v>
      </c>
      <c r="K1465">
        <f>SUM(Table13[[#This Row],[prefix]],Table13[[#This Row],[Past zero L]],Table13[[#This Row],[Past Zero R]],Table13[[#This Row],[Is Zero]])</f>
        <v>0</v>
      </c>
    </row>
    <row r="1466" spans="1:11" ht="16" x14ac:dyDescent="0.2">
      <c r="A1466" s="1" t="s">
        <v>439</v>
      </c>
      <c r="B1466" t="str">
        <f>LEFT(Table13[[#This Row],[Input]],1)</f>
        <v>R</v>
      </c>
      <c r="C1466">
        <f>_xlfn.LET(_xlpm.steps,SUBSTITUTE(Table13[[#This Row],[Input]],Table13[[#This Row],[Direction]],""),VALUE(IF(LEN(_xlpm.steps)&gt;2,RIGHT(_xlpm.steps,2),_xlpm.steps)))</f>
        <v>27</v>
      </c>
      <c r="D1466">
        <f>_xlfn.LET(_xlpm.steps,SUBSTITUTE(Table13[[#This Row],[Input]],Table13[[#This Row],[Direction]],""),VALUE(IF(LEN(_xlpm.steps)&gt;2,LEFT(_xlpm.steps,LEN(_xlpm.steps)-2),0)))</f>
        <v>8</v>
      </c>
      <c r="E1466">
        <f>_xlfn.LET(_xlpm.dir,Table13[[#This Row],[Direction]],
IF(_xlpm.dir="L",
    IF(G1465-Table13[[#This Row],[Steps]]&lt;0,100+(G1465-Table13[[#This Row],[Steps]]),G1465-Table13[[#This Row],[Steps]]),
))</f>
        <v>0</v>
      </c>
      <c r="F1466">
        <f>_xlfn.LET(_xlpm.dir,Table13[[#This Row],[Direction]],
IF(_xlpm.dir="R",
    IF(G1465+Table13[[#This Row],[Steps]]&gt;99,(G1465+Table13[[#This Row],[Steps]])-100,G1465+Table13[[#This Row],[Steps]]),
))</f>
        <v>0</v>
      </c>
      <c r="G1466">
        <f>IF(Table13[[#This Row],[New Pos L]]&lt;&gt;0,Table13[[#This Row],[New Pos L]],Table13[[#This Row],[New Pos R]])</f>
        <v>0</v>
      </c>
      <c r="H1466">
        <f>IF(AND(Table13[[#This Row],[Direction]]="L",Table13[[#This Row],[Steps]]&gt;G1465,G1465&lt;&gt;0),1,0)</f>
        <v>0</v>
      </c>
      <c r="I1466">
        <f>IF(AND(Table13[[#This Row],[Direction]]="R",(G1465+Table13[[#This Row],[Steps]])&gt;100),1,0)</f>
        <v>0</v>
      </c>
      <c r="J1466">
        <f>IF(Table13[[#This Row],[POS]]=0,1,0)</f>
        <v>1</v>
      </c>
      <c r="K1466">
        <f>SUM(Table13[[#This Row],[prefix]],Table13[[#This Row],[Past zero L]],Table13[[#This Row],[Past Zero R]],Table13[[#This Row],[Is Zero]])</f>
        <v>9</v>
      </c>
    </row>
    <row r="1467" spans="1:11" ht="16" x14ac:dyDescent="0.2">
      <c r="A1467" s="1" t="s">
        <v>17</v>
      </c>
      <c r="B1467" t="str">
        <f>LEFT(Table13[[#This Row],[Input]],1)</f>
        <v>L</v>
      </c>
      <c r="C1467">
        <f>_xlfn.LET(_xlpm.steps,SUBSTITUTE(Table13[[#This Row],[Input]],Table13[[#This Row],[Direction]],""),VALUE(IF(LEN(_xlpm.steps)&gt;2,RIGHT(_xlpm.steps,2),_xlpm.steps)))</f>
        <v>50</v>
      </c>
      <c r="D1467">
        <f>_xlfn.LET(_xlpm.steps,SUBSTITUTE(Table13[[#This Row],[Input]],Table13[[#This Row],[Direction]],""),VALUE(IF(LEN(_xlpm.steps)&gt;2,LEFT(_xlpm.steps,LEN(_xlpm.steps)-2),0)))</f>
        <v>0</v>
      </c>
      <c r="E1467">
        <f>_xlfn.LET(_xlpm.dir,Table13[[#This Row],[Direction]],
IF(_xlpm.dir="L",
    IF(G1466-Table13[[#This Row],[Steps]]&lt;0,100+(G1466-Table13[[#This Row],[Steps]]),G1466-Table13[[#This Row],[Steps]]),
))</f>
        <v>50</v>
      </c>
      <c r="F1467">
        <f>_xlfn.LET(_xlpm.dir,Table13[[#This Row],[Direction]],
IF(_xlpm.dir="R",
    IF(G1466+Table13[[#This Row],[Steps]]&gt;99,(G1466+Table13[[#This Row],[Steps]])-100,G1466+Table13[[#This Row],[Steps]]),
))</f>
        <v>0</v>
      </c>
      <c r="G1467">
        <f>IF(Table13[[#This Row],[New Pos L]]&lt;&gt;0,Table13[[#This Row],[New Pos L]],Table13[[#This Row],[New Pos R]])</f>
        <v>50</v>
      </c>
      <c r="H1467">
        <f>IF(AND(Table13[[#This Row],[Direction]]="L",Table13[[#This Row],[Steps]]&gt;G1466,G1466&lt;&gt;0),1,0)</f>
        <v>0</v>
      </c>
      <c r="I1467">
        <f>IF(AND(Table13[[#This Row],[Direction]]="R",(G1466+Table13[[#This Row],[Steps]])&gt;100),1,0)</f>
        <v>0</v>
      </c>
      <c r="J1467">
        <f>IF(Table13[[#This Row],[POS]]=0,1,0)</f>
        <v>0</v>
      </c>
      <c r="K1467">
        <f>SUM(Table13[[#This Row],[prefix]],Table13[[#This Row],[Past zero L]],Table13[[#This Row],[Past Zero R]],Table13[[#This Row],[Is Zero]])</f>
        <v>0</v>
      </c>
    </row>
    <row r="1468" spans="1:11" ht="16" x14ac:dyDescent="0.2">
      <c r="A1468" s="1" t="s">
        <v>64</v>
      </c>
      <c r="B1468" t="str">
        <f>LEFT(Table13[[#This Row],[Input]],1)</f>
        <v>R</v>
      </c>
      <c r="C1468">
        <f>_xlfn.LET(_xlpm.steps,SUBSTITUTE(Table13[[#This Row],[Input]],Table13[[#This Row],[Direction]],""),VALUE(IF(LEN(_xlpm.steps)&gt;2,RIGHT(_xlpm.steps,2),_xlpm.steps)))</f>
        <v>10</v>
      </c>
      <c r="D1468">
        <f>_xlfn.LET(_xlpm.steps,SUBSTITUTE(Table13[[#This Row],[Input]],Table13[[#This Row],[Direction]],""),VALUE(IF(LEN(_xlpm.steps)&gt;2,LEFT(_xlpm.steps,LEN(_xlpm.steps)-2),0)))</f>
        <v>0</v>
      </c>
      <c r="E1468">
        <f>_xlfn.LET(_xlpm.dir,Table13[[#This Row],[Direction]],
IF(_xlpm.dir="L",
    IF(G1467-Table13[[#This Row],[Steps]]&lt;0,100+(G1467-Table13[[#This Row],[Steps]]),G1467-Table13[[#This Row],[Steps]]),
))</f>
        <v>0</v>
      </c>
      <c r="F1468">
        <f>_xlfn.LET(_xlpm.dir,Table13[[#This Row],[Direction]],
IF(_xlpm.dir="R",
    IF(G1467+Table13[[#This Row],[Steps]]&gt;99,(G1467+Table13[[#This Row],[Steps]])-100,G1467+Table13[[#This Row],[Steps]]),
))</f>
        <v>60</v>
      </c>
      <c r="G1468">
        <f>IF(Table13[[#This Row],[New Pos L]]&lt;&gt;0,Table13[[#This Row],[New Pos L]],Table13[[#This Row],[New Pos R]])</f>
        <v>60</v>
      </c>
      <c r="H1468">
        <f>IF(AND(Table13[[#This Row],[Direction]]="L",Table13[[#This Row],[Steps]]&gt;G1467,G1467&lt;&gt;0),1,0)</f>
        <v>0</v>
      </c>
      <c r="I1468">
        <f>IF(AND(Table13[[#This Row],[Direction]]="R",(G1467+Table13[[#This Row],[Steps]])&gt;100),1,0)</f>
        <v>0</v>
      </c>
      <c r="J1468">
        <f>IF(Table13[[#This Row],[POS]]=0,1,0)</f>
        <v>0</v>
      </c>
      <c r="K1468">
        <f>SUM(Table13[[#This Row],[prefix]],Table13[[#This Row],[Past zero L]],Table13[[#This Row],[Past Zero R]],Table13[[#This Row],[Is Zero]])</f>
        <v>0</v>
      </c>
    </row>
    <row r="1469" spans="1:11" ht="16" x14ac:dyDescent="0.2">
      <c r="A1469" s="1" t="s">
        <v>12</v>
      </c>
      <c r="B1469" t="str">
        <f>LEFT(Table13[[#This Row],[Input]],1)</f>
        <v>L</v>
      </c>
      <c r="C1469">
        <f>_xlfn.LET(_xlpm.steps,SUBSTITUTE(Table13[[#This Row],[Input]],Table13[[#This Row],[Direction]],""),VALUE(IF(LEN(_xlpm.steps)&gt;2,RIGHT(_xlpm.steps,2),_xlpm.steps)))</f>
        <v>11</v>
      </c>
      <c r="D1469">
        <f>_xlfn.LET(_xlpm.steps,SUBSTITUTE(Table13[[#This Row],[Input]],Table13[[#This Row],[Direction]],""),VALUE(IF(LEN(_xlpm.steps)&gt;2,LEFT(_xlpm.steps,LEN(_xlpm.steps)-2),0)))</f>
        <v>0</v>
      </c>
      <c r="E1469">
        <f>_xlfn.LET(_xlpm.dir,Table13[[#This Row],[Direction]],
IF(_xlpm.dir="L",
    IF(G1468-Table13[[#This Row],[Steps]]&lt;0,100+(G1468-Table13[[#This Row],[Steps]]),G1468-Table13[[#This Row],[Steps]]),
))</f>
        <v>49</v>
      </c>
      <c r="F1469">
        <f>_xlfn.LET(_xlpm.dir,Table13[[#This Row],[Direction]],
IF(_xlpm.dir="R",
    IF(G1468+Table13[[#This Row],[Steps]]&gt;99,(G1468+Table13[[#This Row],[Steps]])-100,G1468+Table13[[#This Row],[Steps]]),
))</f>
        <v>0</v>
      </c>
      <c r="G1469">
        <f>IF(Table13[[#This Row],[New Pos L]]&lt;&gt;0,Table13[[#This Row],[New Pos L]],Table13[[#This Row],[New Pos R]])</f>
        <v>49</v>
      </c>
      <c r="H1469">
        <f>IF(AND(Table13[[#This Row],[Direction]]="L",Table13[[#This Row],[Steps]]&gt;G1468,G1468&lt;&gt;0),1,0)</f>
        <v>0</v>
      </c>
      <c r="I1469">
        <f>IF(AND(Table13[[#This Row],[Direction]]="R",(G1468+Table13[[#This Row],[Steps]])&gt;100),1,0)</f>
        <v>0</v>
      </c>
      <c r="J1469">
        <f>IF(Table13[[#This Row],[POS]]=0,1,0)</f>
        <v>0</v>
      </c>
      <c r="K1469">
        <f>SUM(Table13[[#This Row],[prefix]],Table13[[#This Row],[Past zero L]],Table13[[#This Row],[Past Zero R]],Table13[[#This Row],[Is Zero]])</f>
        <v>0</v>
      </c>
    </row>
    <row r="1470" spans="1:11" ht="16" x14ac:dyDescent="0.2">
      <c r="A1470" s="1" t="s">
        <v>440</v>
      </c>
      <c r="B1470" t="str">
        <f>LEFT(Table13[[#This Row],[Input]],1)</f>
        <v>L</v>
      </c>
      <c r="C1470">
        <f>_xlfn.LET(_xlpm.steps,SUBSTITUTE(Table13[[#This Row],[Input]],Table13[[#This Row],[Direction]],""),VALUE(IF(LEN(_xlpm.steps)&gt;2,RIGHT(_xlpm.steps,2),_xlpm.steps)))</f>
        <v>49</v>
      </c>
      <c r="D1470">
        <f>_xlfn.LET(_xlpm.steps,SUBSTITUTE(Table13[[#This Row],[Input]],Table13[[#This Row],[Direction]],""),VALUE(IF(LEN(_xlpm.steps)&gt;2,LEFT(_xlpm.steps,LEN(_xlpm.steps)-2),0)))</f>
        <v>1</v>
      </c>
      <c r="E1470">
        <f>_xlfn.LET(_xlpm.dir,Table13[[#This Row],[Direction]],
IF(_xlpm.dir="L",
    IF(G1469-Table13[[#This Row],[Steps]]&lt;0,100+(G1469-Table13[[#This Row],[Steps]]),G1469-Table13[[#This Row],[Steps]]),
))</f>
        <v>0</v>
      </c>
      <c r="F1470">
        <f>_xlfn.LET(_xlpm.dir,Table13[[#This Row],[Direction]],
IF(_xlpm.dir="R",
    IF(G1469+Table13[[#This Row],[Steps]]&gt;99,(G1469+Table13[[#This Row],[Steps]])-100,G1469+Table13[[#This Row],[Steps]]),
))</f>
        <v>0</v>
      </c>
      <c r="G1470">
        <f>IF(Table13[[#This Row],[New Pos L]]&lt;&gt;0,Table13[[#This Row],[New Pos L]],Table13[[#This Row],[New Pos R]])</f>
        <v>0</v>
      </c>
      <c r="H1470">
        <f>IF(AND(Table13[[#This Row],[Direction]]="L",Table13[[#This Row],[Steps]]&gt;G1469,G1469&lt;&gt;0),1,0)</f>
        <v>0</v>
      </c>
      <c r="I1470">
        <f>IF(AND(Table13[[#This Row],[Direction]]="R",(G1469+Table13[[#This Row],[Steps]])&gt;100),1,0)</f>
        <v>0</v>
      </c>
      <c r="J1470">
        <f>IF(Table13[[#This Row],[POS]]=0,1,0)</f>
        <v>1</v>
      </c>
      <c r="K1470">
        <f>SUM(Table13[[#This Row],[prefix]],Table13[[#This Row],[Past zero L]],Table13[[#This Row],[Past Zero R]],Table13[[#This Row],[Is Zero]])</f>
        <v>2</v>
      </c>
    </row>
    <row r="1471" spans="1:11" ht="16" x14ac:dyDescent="0.2">
      <c r="A1471" s="1" t="s">
        <v>82</v>
      </c>
      <c r="B1471" t="str">
        <f>LEFT(Table13[[#This Row],[Input]],1)</f>
        <v>L</v>
      </c>
      <c r="C1471">
        <f>_xlfn.LET(_xlpm.steps,SUBSTITUTE(Table13[[#This Row],[Input]],Table13[[#This Row],[Direction]],""),VALUE(IF(LEN(_xlpm.steps)&gt;2,RIGHT(_xlpm.steps,2),_xlpm.steps)))</f>
        <v>55</v>
      </c>
      <c r="D1471">
        <f>_xlfn.LET(_xlpm.steps,SUBSTITUTE(Table13[[#This Row],[Input]],Table13[[#This Row],[Direction]],""),VALUE(IF(LEN(_xlpm.steps)&gt;2,LEFT(_xlpm.steps,LEN(_xlpm.steps)-2),0)))</f>
        <v>0</v>
      </c>
      <c r="E1471">
        <f>_xlfn.LET(_xlpm.dir,Table13[[#This Row],[Direction]],
IF(_xlpm.dir="L",
    IF(G1470-Table13[[#This Row],[Steps]]&lt;0,100+(G1470-Table13[[#This Row],[Steps]]),G1470-Table13[[#This Row],[Steps]]),
))</f>
        <v>45</v>
      </c>
      <c r="F1471">
        <f>_xlfn.LET(_xlpm.dir,Table13[[#This Row],[Direction]],
IF(_xlpm.dir="R",
    IF(G1470+Table13[[#This Row],[Steps]]&gt;99,(G1470+Table13[[#This Row],[Steps]])-100,G1470+Table13[[#This Row],[Steps]]),
))</f>
        <v>0</v>
      </c>
      <c r="G1471">
        <f>IF(Table13[[#This Row],[New Pos L]]&lt;&gt;0,Table13[[#This Row],[New Pos L]],Table13[[#This Row],[New Pos R]])</f>
        <v>45</v>
      </c>
      <c r="H1471">
        <f>IF(AND(Table13[[#This Row],[Direction]]="L",Table13[[#This Row],[Steps]]&gt;G1470,G1470&lt;&gt;0),1,0)</f>
        <v>0</v>
      </c>
      <c r="I1471">
        <f>IF(AND(Table13[[#This Row],[Direction]]="R",(G1470+Table13[[#This Row],[Steps]])&gt;100),1,0)</f>
        <v>0</v>
      </c>
      <c r="J1471">
        <f>IF(Table13[[#This Row],[POS]]=0,1,0)</f>
        <v>0</v>
      </c>
      <c r="K1471">
        <f>SUM(Table13[[#This Row],[prefix]],Table13[[#This Row],[Past zero L]],Table13[[#This Row],[Past Zero R]],Table13[[#This Row],[Is Zero]])</f>
        <v>0</v>
      </c>
    </row>
    <row r="1472" spans="1:11" ht="16" x14ac:dyDescent="0.2">
      <c r="A1472" s="1" t="s">
        <v>89</v>
      </c>
      <c r="B1472" t="str">
        <f>LEFT(Table13[[#This Row],[Input]],1)</f>
        <v>L</v>
      </c>
      <c r="C1472">
        <f>_xlfn.LET(_xlpm.steps,SUBSTITUTE(Table13[[#This Row],[Input]],Table13[[#This Row],[Direction]],""),VALUE(IF(LEN(_xlpm.steps)&gt;2,RIGHT(_xlpm.steps,2),_xlpm.steps)))</f>
        <v>91</v>
      </c>
      <c r="D1472">
        <f>_xlfn.LET(_xlpm.steps,SUBSTITUTE(Table13[[#This Row],[Input]],Table13[[#This Row],[Direction]],""),VALUE(IF(LEN(_xlpm.steps)&gt;2,LEFT(_xlpm.steps,LEN(_xlpm.steps)-2),0)))</f>
        <v>0</v>
      </c>
      <c r="E1472">
        <f>_xlfn.LET(_xlpm.dir,Table13[[#This Row],[Direction]],
IF(_xlpm.dir="L",
    IF(G1471-Table13[[#This Row],[Steps]]&lt;0,100+(G1471-Table13[[#This Row],[Steps]]),G1471-Table13[[#This Row],[Steps]]),
))</f>
        <v>54</v>
      </c>
      <c r="F1472">
        <f>_xlfn.LET(_xlpm.dir,Table13[[#This Row],[Direction]],
IF(_xlpm.dir="R",
    IF(G1471+Table13[[#This Row],[Steps]]&gt;99,(G1471+Table13[[#This Row],[Steps]])-100,G1471+Table13[[#This Row],[Steps]]),
))</f>
        <v>0</v>
      </c>
      <c r="G1472">
        <f>IF(Table13[[#This Row],[New Pos L]]&lt;&gt;0,Table13[[#This Row],[New Pos L]],Table13[[#This Row],[New Pos R]])</f>
        <v>54</v>
      </c>
      <c r="H1472">
        <f>IF(AND(Table13[[#This Row],[Direction]]="L",Table13[[#This Row],[Steps]]&gt;G1471,G1471&lt;&gt;0),1,0)</f>
        <v>1</v>
      </c>
      <c r="I1472">
        <f>IF(AND(Table13[[#This Row],[Direction]]="R",(G1471+Table13[[#This Row],[Steps]])&gt;100),1,0)</f>
        <v>0</v>
      </c>
      <c r="J1472">
        <f>IF(Table13[[#This Row],[POS]]=0,1,0)</f>
        <v>0</v>
      </c>
      <c r="K1472">
        <f>SUM(Table13[[#This Row],[prefix]],Table13[[#This Row],[Past zero L]],Table13[[#This Row],[Past Zero R]],Table13[[#This Row],[Is Zero]])</f>
        <v>1</v>
      </c>
    </row>
    <row r="1473" spans="1:11" ht="16" x14ac:dyDescent="0.2">
      <c r="A1473" s="1" t="s">
        <v>441</v>
      </c>
      <c r="B1473" t="str">
        <f>LEFT(Table13[[#This Row],[Input]],1)</f>
        <v>L</v>
      </c>
      <c r="C1473">
        <f>_xlfn.LET(_xlpm.steps,SUBSTITUTE(Table13[[#This Row],[Input]],Table13[[#This Row],[Direction]],""),VALUE(IF(LEN(_xlpm.steps)&gt;2,RIGHT(_xlpm.steps,2),_xlpm.steps)))</f>
        <v>82</v>
      </c>
      <c r="D1473">
        <f>_xlfn.LET(_xlpm.steps,SUBSTITUTE(Table13[[#This Row],[Input]],Table13[[#This Row],[Direction]],""),VALUE(IF(LEN(_xlpm.steps)&gt;2,LEFT(_xlpm.steps,LEN(_xlpm.steps)-2),0)))</f>
        <v>7</v>
      </c>
      <c r="E1473">
        <f>_xlfn.LET(_xlpm.dir,Table13[[#This Row],[Direction]],
IF(_xlpm.dir="L",
    IF(G1472-Table13[[#This Row],[Steps]]&lt;0,100+(G1472-Table13[[#This Row],[Steps]]),G1472-Table13[[#This Row],[Steps]]),
))</f>
        <v>72</v>
      </c>
      <c r="F1473">
        <f>_xlfn.LET(_xlpm.dir,Table13[[#This Row],[Direction]],
IF(_xlpm.dir="R",
    IF(G1472+Table13[[#This Row],[Steps]]&gt;99,(G1472+Table13[[#This Row],[Steps]])-100,G1472+Table13[[#This Row],[Steps]]),
))</f>
        <v>0</v>
      </c>
      <c r="G1473">
        <f>IF(Table13[[#This Row],[New Pos L]]&lt;&gt;0,Table13[[#This Row],[New Pos L]],Table13[[#This Row],[New Pos R]])</f>
        <v>72</v>
      </c>
      <c r="H1473">
        <f>IF(AND(Table13[[#This Row],[Direction]]="L",Table13[[#This Row],[Steps]]&gt;G1472,G1472&lt;&gt;0),1,0)</f>
        <v>1</v>
      </c>
      <c r="I1473">
        <f>IF(AND(Table13[[#This Row],[Direction]]="R",(G1472+Table13[[#This Row],[Steps]])&gt;100),1,0)</f>
        <v>0</v>
      </c>
      <c r="J1473">
        <f>IF(Table13[[#This Row],[POS]]=0,1,0)</f>
        <v>0</v>
      </c>
      <c r="K1473">
        <f>SUM(Table13[[#This Row],[prefix]],Table13[[#This Row],[Past zero L]],Table13[[#This Row],[Past Zero R]],Table13[[#This Row],[Is Zero]])</f>
        <v>8</v>
      </c>
    </row>
    <row r="1474" spans="1:11" ht="16" x14ac:dyDescent="0.2">
      <c r="A1474" s="1" t="s">
        <v>20</v>
      </c>
      <c r="B1474" t="str">
        <f>LEFT(Table13[[#This Row],[Input]],1)</f>
        <v>R</v>
      </c>
      <c r="C1474">
        <f>_xlfn.LET(_xlpm.steps,SUBSTITUTE(Table13[[#This Row],[Input]],Table13[[#This Row],[Direction]],""),VALUE(IF(LEN(_xlpm.steps)&gt;2,RIGHT(_xlpm.steps,2),_xlpm.steps)))</f>
        <v>46</v>
      </c>
      <c r="D1474">
        <f>_xlfn.LET(_xlpm.steps,SUBSTITUTE(Table13[[#This Row],[Input]],Table13[[#This Row],[Direction]],""),VALUE(IF(LEN(_xlpm.steps)&gt;2,LEFT(_xlpm.steps,LEN(_xlpm.steps)-2),0)))</f>
        <v>0</v>
      </c>
      <c r="E1474">
        <f>_xlfn.LET(_xlpm.dir,Table13[[#This Row],[Direction]],
IF(_xlpm.dir="L",
    IF(G1473-Table13[[#This Row],[Steps]]&lt;0,100+(G1473-Table13[[#This Row],[Steps]]),G1473-Table13[[#This Row],[Steps]]),
))</f>
        <v>0</v>
      </c>
      <c r="F1474">
        <f>_xlfn.LET(_xlpm.dir,Table13[[#This Row],[Direction]],
IF(_xlpm.dir="R",
    IF(G1473+Table13[[#This Row],[Steps]]&gt;99,(G1473+Table13[[#This Row],[Steps]])-100,G1473+Table13[[#This Row],[Steps]]),
))</f>
        <v>18</v>
      </c>
      <c r="G1474">
        <f>IF(Table13[[#This Row],[New Pos L]]&lt;&gt;0,Table13[[#This Row],[New Pos L]],Table13[[#This Row],[New Pos R]])</f>
        <v>18</v>
      </c>
      <c r="H1474">
        <f>IF(AND(Table13[[#This Row],[Direction]]="L",Table13[[#This Row],[Steps]]&gt;G1473,G1473&lt;&gt;0),1,0)</f>
        <v>0</v>
      </c>
      <c r="I1474">
        <f>IF(AND(Table13[[#This Row],[Direction]]="R",(G1473+Table13[[#This Row],[Steps]])&gt;100),1,0)</f>
        <v>1</v>
      </c>
      <c r="J1474">
        <f>IF(Table13[[#This Row],[POS]]=0,1,0)</f>
        <v>0</v>
      </c>
      <c r="K1474">
        <f>SUM(Table13[[#This Row],[prefix]],Table13[[#This Row],[Past zero L]],Table13[[#This Row],[Past Zero R]],Table13[[#This Row],[Is Zero]])</f>
        <v>1</v>
      </c>
    </row>
    <row r="1475" spans="1:11" ht="16" x14ac:dyDescent="0.2">
      <c r="A1475" s="1" t="s">
        <v>234</v>
      </c>
      <c r="B1475" t="str">
        <f>LEFT(Table13[[#This Row],[Input]],1)</f>
        <v>R</v>
      </c>
      <c r="C1475">
        <f>_xlfn.LET(_xlpm.steps,SUBSTITUTE(Table13[[#This Row],[Input]],Table13[[#This Row],[Direction]],""),VALUE(IF(LEN(_xlpm.steps)&gt;2,RIGHT(_xlpm.steps,2),_xlpm.steps)))</f>
        <v>82</v>
      </c>
      <c r="D1475">
        <f>_xlfn.LET(_xlpm.steps,SUBSTITUTE(Table13[[#This Row],[Input]],Table13[[#This Row],[Direction]],""),VALUE(IF(LEN(_xlpm.steps)&gt;2,LEFT(_xlpm.steps,LEN(_xlpm.steps)-2),0)))</f>
        <v>0</v>
      </c>
      <c r="E1475">
        <f>_xlfn.LET(_xlpm.dir,Table13[[#This Row],[Direction]],
IF(_xlpm.dir="L",
    IF(G1474-Table13[[#This Row],[Steps]]&lt;0,100+(G1474-Table13[[#This Row],[Steps]]),G1474-Table13[[#This Row],[Steps]]),
))</f>
        <v>0</v>
      </c>
      <c r="F1475">
        <f>_xlfn.LET(_xlpm.dir,Table13[[#This Row],[Direction]],
IF(_xlpm.dir="R",
    IF(G1474+Table13[[#This Row],[Steps]]&gt;99,(G1474+Table13[[#This Row],[Steps]])-100,G1474+Table13[[#This Row],[Steps]]),
))</f>
        <v>0</v>
      </c>
      <c r="G1475">
        <f>IF(Table13[[#This Row],[New Pos L]]&lt;&gt;0,Table13[[#This Row],[New Pos L]],Table13[[#This Row],[New Pos R]])</f>
        <v>0</v>
      </c>
      <c r="H1475">
        <f>IF(AND(Table13[[#This Row],[Direction]]="L",Table13[[#This Row],[Steps]]&gt;G1474,G1474&lt;&gt;0),1,0)</f>
        <v>0</v>
      </c>
      <c r="I1475">
        <f>IF(AND(Table13[[#This Row],[Direction]]="R",(G1474+Table13[[#This Row],[Steps]])&gt;100),1,0)</f>
        <v>0</v>
      </c>
      <c r="J1475">
        <f>IF(Table13[[#This Row],[POS]]=0,1,0)</f>
        <v>1</v>
      </c>
      <c r="K1475">
        <f>SUM(Table13[[#This Row],[prefix]],Table13[[#This Row],[Past zero L]],Table13[[#This Row],[Past Zero R]],Table13[[#This Row],[Is Zero]])</f>
        <v>1</v>
      </c>
    </row>
    <row r="1476" spans="1:11" ht="16" x14ac:dyDescent="0.2">
      <c r="A1476" s="1" t="s">
        <v>59</v>
      </c>
      <c r="B1476" t="str">
        <f>LEFT(Table13[[#This Row],[Input]],1)</f>
        <v>L</v>
      </c>
      <c r="C1476">
        <f>_xlfn.LET(_xlpm.steps,SUBSTITUTE(Table13[[#This Row],[Input]],Table13[[#This Row],[Direction]],""),VALUE(IF(LEN(_xlpm.steps)&gt;2,RIGHT(_xlpm.steps,2),_xlpm.steps)))</f>
        <v>6</v>
      </c>
      <c r="D1476">
        <f>_xlfn.LET(_xlpm.steps,SUBSTITUTE(Table13[[#This Row],[Input]],Table13[[#This Row],[Direction]],""),VALUE(IF(LEN(_xlpm.steps)&gt;2,LEFT(_xlpm.steps,LEN(_xlpm.steps)-2),0)))</f>
        <v>0</v>
      </c>
      <c r="E1476">
        <f>_xlfn.LET(_xlpm.dir,Table13[[#This Row],[Direction]],
IF(_xlpm.dir="L",
    IF(G1475-Table13[[#This Row],[Steps]]&lt;0,100+(G1475-Table13[[#This Row],[Steps]]),G1475-Table13[[#This Row],[Steps]]),
))</f>
        <v>94</v>
      </c>
      <c r="F1476">
        <f>_xlfn.LET(_xlpm.dir,Table13[[#This Row],[Direction]],
IF(_xlpm.dir="R",
    IF(G1475+Table13[[#This Row],[Steps]]&gt;99,(G1475+Table13[[#This Row],[Steps]])-100,G1475+Table13[[#This Row],[Steps]]),
))</f>
        <v>0</v>
      </c>
      <c r="G1476">
        <f>IF(Table13[[#This Row],[New Pos L]]&lt;&gt;0,Table13[[#This Row],[New Pos L]],Table13[[#This Row],[New Pos R]])</f>
        <v>94</v>
      </c>
      <c r="H1476">
        <f>IF(AND(Table13[[#This Row],[Direction]]="L",Table13[[#This Row],[Steps]]&gt;G1475,G1475&lt;&gt;0),1,0)</f>
        <v>0</v>
      </c>
      <c r="I1476">
        <f>IF(AND(Table13[[#This Row],[Direction]]="R",(G1475+Table13[[#This Row],[Steps]])&gt;100),1,0)</f>
        <v>0</v>
      </c>
      <c r="J1476">
        <f>IF(Table13[[#This Row],[POS]]=0,1,0)</f>
        <v>0</v>
      </c>
      <c r="K1476">
        <f>SUM(Table13[[#This Row],[prefix]],Table13[[#This Row],[Past zero L]],Table13[[#This Row],[Past Zero R]],Table13[[#This Row],[Is Zero]])</f>
        <v>0</v>
      </c>
    </row>
    <row r="1477" spans="1:11" ht="16" x14ac:dyDescent="0.2">
      <c r="A1477" s="1" t="s">
        <v>158</v>
      </c>
      <c r="B1477" t="str">
        <f>LEFT(Table13[[#This Row],[Input]],1)</f>
        <v>L</v>
      </c>
      <c r="C1477">
        <f>_xlfn.LET(_xlpm.steps,SUBSTITUTE(Table13[[#This Row],[Input]],Table13[[#This Row],[Direction]],""),VALUE(IF(LEN(_xlpm.steps)&gt;2,RIGHT(_xlpm.steps,2),_xlpm.steps)))</f>
        <v>24</v>
      </c>
      <c r="D1477">
        <f>_xlfn.LET(_xlpm.steps,SUBSTITUTE(Table13[[#This Row],[Input]],Table13[[#This Row],[Direction]],""),VALUE(IF(LEN(_xlpm.steps)&gt;2,LEFT(_xlpm.steps,LEN(_xlpm.steps)-2),0)))</f>
        <v>0</v>
      </c>
      <c r="E1477">
        <f>_xlfn.LET(_xlpm.dir,Table13[[#This Row],[Direction]],
IF(_xlpm.dir="L",
    IF(G1476-Table13[[#This Row],[Steps]]&lt;0,100+(G1476-Table13[[#This Row],[Steps]]),G1476-Table13[[#This Row],[Steps]]),
))</f>
        <v>70</v>
      </c>
      <c r="F1477">
        <f>_xlfn.LET(_xlpm.dir,Table13[[#This Row],[Direction]],
IF(_xlpm.dir="R",
    IF(G1476+Table13[[#This Row],[Steps]]&gt;99,(G1476+Table13[[#This Row],[Steps]])-100,G1476+Table13[[#This Row],[Steps]]),
))</f>
        <v>0</v>
      </c>
      <c r="G1477">
        <f>IF(Table13[[#This Row],[New Pos L]]&lt;&gt;0,Table13[[#This Row],[New Pos L]],Table13[[#This Row],[New Pos R]])</f>
        <v>70</v>
      </c>
      <c r="H1477">
        <f>IF(AND(Table13[[#This Row],[Direction]]="L",Table13[[#This Row],[Steps]]&gt;G1476,G1476&lt;&gt;0),1,0)</f>
        <v>0</v>
      </c>
      <c r="I1477">
        <f>IF(AND(Table13[[#This Row],[Direction]]="R",(G1476+Table13[[#This Row],[Steps]])&gt;100),1,0)</f>
        <v>0</v>
      </c>
      <c r="J1477">
        <f>IF(Table13[[#This Row],[POS]]=0,1,0)</f>
        <v>0</v>
      </c>
      <c r="K1477">
        <f>SUM(Table13[[#This Row],[prefix]],Table13[[#This Row],[Past zero L]],Table13[[#This Row],[Past Zero R]],Table13[[#This Row],[Is Zero]])</f>
        <v>0</v>
      </c>
    </row>
    <row r="1478" spans="1:11" ht="16" x14ac:dyDescent="0.2">
      <c r="A1478" s="1" t="s">
        <v>241</v>
      </c>
      <c r="B1478" t="str">
        <f>LEFT(Table13[[#This Row],[Input]],1)</f>
        <v>R</v>
      </c>
      <c r="C1478">
        <f>_xlfn.LET(_xlpm.steps,SUBSTITUTE(Table13[[#This Row],[Input]],Table13[[#This Row],[Direction]],""),VALUE(IF(LEN(_xlpm.steps)&gt;2,RIGHT(_xlpm.steps,2),_xlpm.steps)))</f>
        <v>60</v>
      </c>
      <c r="D1478">
        <f>_xlfn.LET(_xlpm.steps,SUBSTITUTE(Table13[[#This Row],[Input]],Table13[[#This Row],[Direction]],""),VALUE(IF(LEN(_xlpm.steps)&gt;2,LEFT(_xlpm.steps,LEN(_xlpm.steps)-2),0)))</f>
        <v>0</v>
      </c>
      <c r="E1478">
        <f>_xlfn.LET(_xlpm.dir,Table13[[#This Row],[Direction]],
IF(_xlpm.dir="L",
    IF(G1477-Table13[[#This Row],[Steps]]&lt;0,100+(G1477-Table13[[#This Row],[Steps]]),G1477-Table13[[#This Row],[Steps]]),
))</f>
        <v>0</v>
      </c>
      <c r="F1478">
        <f>_xlfn.LET(_xlpm.dir,Table13[[#This Row],[Direction]],
IF(_xlpm.dir="R",
    IF(G1477+Table13[[#This Row],[Steps]]&gt;99,(G1477+Table13[[#This Row],[Steps]])-100,G1477+Table13[[#This Row],[Steps]]),
))</f>
        <v>30</v>
      </c>
      <c r="G1478">
        <f>IF(Table13[[#This Row],[New Pos L]]&lt;&gt;0,Table13[[#This Row],[New Pos L]],Table13[[#This Row],[New Pos R]])</f>
        <v>30</v>
      </c>
      <c r="H1478">
        <f>IF(AND(Table13[[#This Row],[Direction]]="L",Table13[[#This Row],[Steps]]&gt;G1477,G1477&lt;&gt;0),1,0)</f>
        <v>0</v>
      </c>
      <c r="I1478">
        <f>IF(AND(Table13[[#This Row],[Direction]]="R",(G1477+Table13[[#This Row],[Steps]])&gt;100),1,0)</f>
        <v>1</v>
      </c>
      <c r="J1478">
        <f>IF(Table13[[#This Row],[POS]]=0,1,0)</f>
        <v>0</v>
      </c>
      <c r="K1478">
        <f>SUM(Table13[[#This Row],[prefix]],Table13[[#This Row],[Past zero L]],Table13[[#This Row],[Past Zero R]],Table13[[#This Row],[Is Zero]])</f>
        <v>1</v>
      </c>
    </row>
    <row r="1479" spans="1:11" ht="16" x14ac:dyDescent="0.2">
      <c r="A1479" s="1" t="s">
        <v>29</v>
      </c>
      <c r="B1479" t="str">
        <f>LEFT(Table13[[#This Row],[Input]],1)</f>
        <v>L</v>
      </c>
      <c r="C1479">
        <f>_xlfn.LET(_xlpm.steps,SUBSTITUTE(Table13[[#This Row],[Input]],Table13[[#This Row],[Direction]],""),VALUE(IF(LEN(_xlpm.steps)&gt;2,RIGHT(_xlpm.steps,2),_xlpm.steps)))</f>
        <v>33</v>
      </c>
      <c r="D1479">
        <f>_xlfn.LET(_xlpm.steps,SUBSTITUTE(Table13[[#This Row],[Input]],Table13[[#This Row],[Direction]],""),VALUE(IF(LEN(_xlpm.steps)&gt;2,LEFT(_xlpm.steps,LEN(_xlpm.steps)-2),0)))</f>
        <v>0</v>
      </c>
      <c r="E1479">
        <f>_xlfn.LET(_xlpm.dir,Table13[[#This Row],[Direction]],
IF(_xlpm.dir="L",
    IF(G1478-Table13[[#This Row],[Steps]]&lt;0,100+(G1478-Table13[[#This Row],[Steps]]),G1478-Table13[[#This Row],[Steps]]),
))</f>
        <v>97</v>
      </c>
      <c r="F1479">
        <f>_xlfn.LET(_xlpm.dir,Table13[[#This Row],[Direction]],
IF(_xlpm.dir="R",
    IF(G1478+Table13[[#This Row],[Steps]]&gt;99,(G1478+Table13[[#This Row],[Steps]])-100,G1478+Table13[[#This Row],[Steps]]),
))</f>
        <v>0</v>
      </c>
      <c r="G1479">
        <f>IF(Table13[[#This Row],[New Pos L]]&lt;&gt;0,Table13[[#This Row],[New Pos L]],Table13[[#This Row],[New Pos R]])</f>
        <v>97</v>
      </c>
      <c r="H1479">
        <f>IF(AND(Table13[[#This Row],[Direction]]="L",Table13[[#This Row],[Steps]]&gt;G1478,G1478&lt;&gt;0),1,0)</f>
        <v>1</v>
      </c>
      <c r="I1479">
        <f>IF(AND(Table13[[#This Row],[Direction]]="R",(G1478+Table13[[#This Row],[Steps]])&gt;100),1,0)</f>
        <v>0</v>
      </c>
      <c r="J1479">
        <f>IF(Table13[[#This Row],[POS]]=0,1,0)</f>
        <v>0</v>
      </c>
      <c r="K1479">
        <f>SUM(Table13[[#This Row],[prefix]],Table13[[#This Row],[Past zero L]],Table13[[#This Row],[Past Zero R]],Table13[[#This Row],[Is Zero]])</f>
        <v>1</v>
      </c>
    </row>
    <row r="1480" spans="1:11" ht="16" x14ac:dyDescent="0.2">
      <c r="A1480" s="1" t="s">
        <v>77</v>
      </c>
      <c r="B1480" t="str">
        <f>LEFT(Table13[[#This Row],[Input]],1)</f>
        <v>R</v>
      </c>
      <c r="C1480">
        <f>_xlfn.LET(_xlpm.steps,SUBSTITUTE(Table13[[#This Row],[Input]],Table13[[#This Row],[Direction]],""),VALUE(IF(LEN(_xlpm.steps)&gt;2,RIGHT(_xlpm.steps,2),_xlpm.steps)))</f>
        <v>74</v>
      </c>
      <c r="D1480">
        <f>_xlfn.LET(_xlpm.steps,SUBSTITUTE(Table13[[#This Row],[Input]],Table13[[#This Row],[Direction]],""),VALUE(IF(LEN(_xlpm.steps)&gt;2,LEFT(_xlpm.steps,LEN(_xlpm.steps)-2),0)))</f>
        <v>0</v>
      </c>
      <c r="E1480">
        <f>_xlfn.LET(_xlpm.dir,Table13[[#This Row],[Direction]],
IF(_xlpm.dir="L",
    IF(G1479-Table13[[#This Row],[Steps]]&lt;0,100+(G1479-Table13[[#This Row],[Steps]]),G1479-Table13[[#This Row],[Steps]]),
))</f>
        <v>0</v>
      </c>
      <c r="F1480">
        <f>_xlfn.LET(_xlpm.dir,Table13[[#This Row],[Direction]],
IF(_xlpm.dir="R",
    IF(G1479+Table13[[#This Row],[Steps]]&gt;99,(G1479+Table13[[#This Row],[Steps]])-100,G1479+Table13[[#This Row],[Steps]]),
))</f>
        <v>71</v>
      </c>
      <c r="G1480">
        <f>IF(Table13[[#This Row],[New Pos L]]&lt;&gt;0,Table13[[#This Row],[New Pos L]],Table13[[#This Row],[New Pos R]])</f>
        <v>71</v>
      </c>
      <c r="H1480">
        <f>IF(AND(Table13[[#This Row],[Direction]]="L",Table13[[#This Row],[Steps]]&gt;G1479,G1479&lt;&gt;0),1,0)</f>
        <v>0</v>
      </c>
      <c r="I1480">
        <f>IF(AND(Table13[[#This Row],[Direction]]="R",(G1479+Table13[[#This Row],[Steps]])&gt;100),1,0)</f>
        <v>1</v>
      </c>
      <c r="J1480">
        <f>IF(Table13[[#This Row],[POS]]=0,1,0)</f>
        <v>0</v>
      </c>
      <c r="K1480">
        <f>SUM(Table13[[#This Row],[prefix]],Table13[[#This Row],[Past zero L]],Table13[[#This Row],[Past Zero R]],Table13[[#This Row],[Is Zero]])</f>
        <v>1</v>
      </c>
    </row>
    <row r="1481" spans="1:11" ht="16" x14ac:dyDescent="0.2">
      <c r="A1481" s="1" t="s">
        <v>442</v>
      </c>
      <c r="B1481" t="str">
        <f>LEFT(Table13[[#This Row],[Input]],1)</f>
        <v>L</v>
      </c>
      <c r="C1481">
        <f>_xlfn.LET(_xlpm.steps,SUBSTITUTE(Table13[[#This Row],[Input]],Table13[[#This Row],[Direction]],""),VALUE(IF(LEN(_xlpm.steps)&gt;2,RIGHT(_xlpm.steps,2),_xlpm.steps)))</f>
        <v>71</v>
      </c>
      <c r="D1481">
        <f>_xlfn.LET(_xlpm.steps,SUBSTITUTE(Table13[[#This Row],[Input]],Table13[[#This Row],[Direction]],""),VALUE(IF(LEN(_xlpm.steps)&gt;2,LEFT(_xlpm.steps,LEN(_xlpm.steps)-2),0)))</f>
        <v>1</v>
      </c>
      <c r="E1481">
        <f>_xlfn.LET(_xlpm.dir,Table13[[#This Row],[Direction]],
IF(_xlpm.dir="L",
    IF(G1480-Table13[[#This Row],[Steps]]&lt;0,100+(G1480-Table13[[#This Row],[Steps]]),G1480-Table13[[#This Row],[Steps]]),
))</f>
        <v>0</v>
      </c>
      <c r="F1481">
        <f>_xlfn.LET(_xlpm.dir,Table13[[#This Row],[Direction]],
IF(_xlpm.dir="R",
    IF(G1480+Table13[[#This Row],[Steps]]&gt;99,(G1480+Table13[[#This Row],[Steps]])-100,G1480+Table13[[#This Row],[Steps]]),
))</f>
        <v>0</v>
      </c>
      <c r="G1481">
        <f>IF(Table13[[#This Row],[New Pos L]]&lt;&gt;0,Table13[[#This Row],[New Pos L]],Table13[[#This Row],[New Pos R]])</f>
        <v>0</v>
      </c>
      <c r="H1481">
        <f>IF(AND(Table13[[#This Row],[Direction]]="L",Table13[[#This Row],[Steps]]&gt;G1480,G1480&lt;&gt;0),1,0)</f>
        <v>0</v>
      </c>
      <c r="I1481">
        <f>IF(AND(Table13[[#This Row],[Direction]]="R",(G1480+Table13[[#This Row],[Steps]])&gt;100),1,0)</f>
        <v>0</v>
      </c>
      <c r="J1481">
        <f>IF(Table13[[#This Row],[POS]]=0,1,0)</f>
        <v>1</v>
      </c>
      <c r="K1481">
        <f>SUM(Table13[[#This Row],[prefix]],Table13[[#This Row],[Past zero L]],Table13[[#This Row],[Past Zero R]],Table13[[#This Row],[Is Zero]])</f>
        <v>2</v>
      </c>
    </row>
    <row r="1482" spans="1:11" ht="16" x14ac:dyDescent="0.2">
      <c r="A1482" s="1" t="s">
        <v>443</v>
      </c>
      <c r="B1482" t="str">
        <f>LEFT(Table13[[#This Row],[Input]],1)</f>
        <v>L</v>
      </c>
      <c r="C1482">
        <f>_xlfn.LET(_xlpm.steps,SUBSTITUTE(Table13[[#This Row],[Input]],Table13[[#This Row],[Direction]],""),VALUE(IF(LEN(_xlpm.steps)&gt;2,RIGHT(_xlpm.steps,2),_xlpm.steps)))</f>
        <v>32</v>
      </c>
      <c r="D1482">
        <f>_xlfn.LET(_xlpm.steps,SUBSTITUTE(Table13[[#This Row],[Input]],Table13[[#This Row],[Direction]],""),VALUE(IF(LEN(_xlpm.steps)&gt;2,LEFT(_xlpm.steps,LEN(_xlpm.steps)-2),0)))</f>
        <v>1</v>
      </c>
      <c r="E1482">
        <f>_xlfn.LET(_xlpm.dir,Table13[[#This Row],[Direction]],
IF(_xlpm.dir="L",
    IF(G1481-Table13[[#This Row],[Steps]]&lt;0,100+(G1481-Table13[[#This Row],[Steps]]),G1481-Table13[[#This Row],[Steps]]),
))</f>
        <v>68</v>
      </c>
      <c r="F1482">
        <f>_xlfn.LET(_xlpm.dir,Table13[[#This Row],[Direction]],
IF(_xlpm.dir="R",
    IF(G1481+Table13[[#This Row],[Steps]]&gt;99,(G1481+Table13[[#This Row],[Steps]])-100,G1481+Table13[[#This Row],[Steps]]),
))</f>
        <v>0</v>
      </c>
      <c r="G1482">
        <f>IF(Table13[[#This Row],[New Pos L]]&lt;&gt;0,Table13[[#This Row],[New Pos L]],Table13[[#This Row],[New Pos R]])</f>
        <v>68</v>
      </c>
      <c r="H1482">
        <f>IF(AND(Table13[[#This Row],[Direction]]="L",Table13[[#This Row],[Steps]]&gt;G1481,G1481&lt;&gt;0),1,0)</f>
        <v>0</v>
      </c>
      <c r="I1482">
        <f>IF(AND(Table13[[#This Row],[Direction]]="R",(G1481+Table13[[#This Row],[Steps]])&gt;100),1,0)</f>
        <v>0</v>
      </c>
      <c r="J1482">
        <f>IF(Table13[[#This Row],[POS]]=0,1,0)</f>
        <v>0</v>
      </c>
      <c r="K1482">
        <f>SUM(Table13[[#This Row],[prefix]],Table13[[#This Row],[Past zero L]],Table13[[#This Row],[Past Zero R]],Table13[[#This Row],[Is Zero]])</f>
        <v>1</v>
      </c>
    </row>
    <row r="1483" spans="1:11" ht="16" x14ac:dyDescent="0.2">
      <c r="A1483" s="1" t="s">
        <v>73</v>
      </c>
      <c r="B1483" t="str">
        <f>LEFT(Table13[[#This Row],[Input]],1)</f>
        <v>R</v>
      </c>
      <c r="C1483">
        <f>_xlfn.LET(_xlpm.steps,SUBSTITUTE(Table13[[#This Row],[Input]],Table13[[#This Row],[Direction]],""),VALUE(IF(LEN(_xlpm.steps)&gt;2,RIGHT(_xlpm.steps,2),_xlpm.steps)))</f>
        <v>21</v>
      </c>
      <c r="D1483">
        <f>_xlfn.LET(_xlpm.steps,SUBSTITUTE(Table13[[#This Row],[Input]],Table13[[#This Row],[Direction]],""),VALUE(IF(LEN(_xlpm.steps)&gt;2,LEFT(_xlpm.steps,LEN(_xlpm.steps)-2),0)))</f>
        <v>0</v>
      </c>
      <c r="E1483">
        <f>_xlfn.LET(_xlpm.dir,Table13[[#This Row],[Direction]],
IF(_xlpm.dir="L",
    IF(G1482-Table13[[#This Row],[Steps]]&lt;0,100+(G1482-Table13[[#This Row],[Steps]]),G1482-Table13[[#This Row],[Steps]]),
))</f>
        <v>0</v>
      </c>
      <c r="F1483">
        <f>_xlfn.LET(_xlpm.dir,Table13[[#This Row],[Direction]],
IF(_xlpm.dir="R",
    IF(G1482+Table13[[#This Row],[Steps]]&gt;99,(G1482+Table13[[#This Row],[Steps]])-100,G1482+Table13[[#This Row],[Steps]]),
))</f>
        <v>89</v>
      </c>
      <c r="G1483">
        <f>IF(Table13[[#This Row],[New Pos L]]&lt;&gt;0,Table13[[#This Row],[New Pos L]],Table13[[#This Row],[New Pos R]])</f>
        <v>89</v>
      </c>
      <c r="H1483">
        <f>IF(AND(Table13[[#This Row],[Direction]]="L",Table13[[#This Row],[Steps]]&gt;G1482,G1482&lt;&gt;0),1,0)</f>
        <v>0</v>
      </c>
      <c r="I1483">
        <f>IF(AND(Table13[[#This Row],[Direction]]="R",(G1482+Table13[[#This Row],[Steps]])&gt;100),1,0)</f>
        <v>0</v>
      </c>
      <c r="J1483">
        <f>IF(Table13[[#This Row],[POS]]=0,1,0)</f>
        <v>0</v>
      </c>
      <c r="K1483">
        <f>SUM(Table13[[#This Row],[prefix]],Table13[[#This Row],[Past zero L]],Table13[[#This Row],[Past Zero R]],Table13[[#This Row],[Is Zero]])</f>
        <v>0</v>
      </c>
    </row>
    <row r="1484" spans="1:11" ht="16" x14ac:dyDescent="0.2">
      <c r="A1484" s="1" t="s">
        <v>40</v>
      </c>
      <c r="B1484" t="str">
        <f>LEFT(Table13[[#This Row],[Input]],1)</f>
        <v>R</v>
      </c>
      <c r="C1484">
        <f>_xlfn.LET(_xlpm.steps,SUBSTITUTE(Table13[[#This Row],[Input]],Table13[[#This Row],[Direction]],""),VALUE(IF(LEN(_xlpm.steps)&gt;2,RIGHT(_xlpm.steps,2),_xlpm.steps)))</f>
        <v>52</v>
      </c>
      <c r="D1484">
        <f>_xlfn.LET(_xlpm.steps,SUBSTITUTE(Table13[[#This Row],[Input]],Table13[[#This Row],[Direction]],""),VALUE(IF(LEN(_xlpm.steps)&gt;2,LEFT(_xlpm.steps,LEN(_xlpm.steps)-2),0)))</f>
        <v>0</v>
      </c>
      <c r="E1484">
        <f>_xlfn.LET(_xlpm.dir,Table13[[#This Row],[Direction]],
IF(_xlpm.dir="L",
    IF(G1483-Table13[[#This Row],[Steps]]&lt;0,100+(G1483-Table13[[#This Row],[Steps]]),G1483-Table13[[#This Row],[Steps]]),
))</f>
        <v>0</v>
      </c>
      <c r="F1484">
        <f>_xlfn.LET(_xlpm.dir,Table13[[#This Row],[Direction]],
IF(_xlpm.dir="R",
    IF(G1483+Table13[[#This Row],[Steps]]&gt;99,(G1483+Table13[[#This Row],[Steps]])-100,G1483+Table13[[#This Row],[Steps]]),
))</f>
        <v>41</v>
      </c>
      <c r="G1484">
        <f>IF(Table13[[#This Row],[New Pos L]]&lt;&gt;0,Table13[[#This Row],[New Pos L]],Table13[[#This Row],[New Pos R]])</f>
        <v>41</v>
      </c>
      <c r="H1484">
        <f>IF(AND(Table13[[#This Row],[Direction]]="L",Table13[[#This Row],[Steps]]&gt;G1483,G1483&lt;&gt;0),1,0)</f>
        <v>0</v>
      </c>
      <c r="I1484">
        <f>IF(AND(Table13[[#This Row],[Direction]]="R",(G1483+Table13[[#This Row],[Steps]])&gt;100),1,0)</f>
        <v>1</v>
      </c>
      <c r="J1484">
        <f>IF(Table13[[#This Row],[POS]]=0,1,0)</f>
        <v>0</v>
      </c>
      <c r="K1484">
        <f>SUM(Table13[[#This Row],[prefix]],Table13[[#This Row],[Past zero L]],Table13[[#This Row],[Past Zero R]],Table13[[#This Row],[Is Zero]])</f>
        <v>1</v>
      </c>
    </row>
    <row r="1485" spans="1:11" ht="16" x14ac:dyDescent="0.2">
      <c r="A1485" s="1" t="s">
        <v>330</v>
      </c>
      <c r="B1485" t="str">
        <f>LEFT(Table13[[#This Row],[Input]],1)</f>
        <v>L</v>
      </c>
      <c r="C1485">
        <f>_xlfn.LET(_xlpm.steps,SUBSTITUTE(Table13[[#This Row],[Input]],Table13[[#This Row],[Direction]],""),VALUE(IF(LEN(_xlpm.steps)&gt;2,RIGHT(_xlpm.steps,2),_xlpm.steps)))</f>
        <v>47</v>
      </c>
      <c r="D1485">
        <f>_xlfn.LET(_xlpm.steps,SUBSTITUTE(Table13[[#This Row],[Input]],Table13[[#This Row],[Direction]],""),VALUE(IF(LEN(_xlpm.steps)&gt;2,LEFT(_xlpm.steps,LEN(_xlpm.steps)-2),0)))</f>
        <v>0</v>
      </c>
      <c r="E1485">
        <f>_xlfn.LET(_xlpm.dir,Table13[[#This Row],[Direction]],
IF(_xlpm.dir="L",
    IF(G1484-Table13[[#This Row],[Steps]]&lt;0,100+(G1484-Table13[[#This Row],[Steps]]),G1484-Table13[[#This Row],[Steps]]),
))</f>
        <v>94</v>
      </c>
      <c r="F1485">
        <f>_xlfn.LET(_xlpm.dir,Table13[[#This Row],[Direction]],
IF(_xlpm.dir="R",
    IF(G1484+Table13[[#This Row],[Steps]]&gt;99,(G1484+Table13[[#This Row],[Steps]])-100,G1484+Table13[[#This Row],[Steps]]),
))</f>
        <v>0</v>
      </c>
      <c r="G1485">
        <f>IF(Table13[[#This Row],[New Pos L]]&lt;&gt;0,Table13[[#This Row],[New Pos L]],Table13[[#This Row],[New Pos R]])</f>
        <v>94</v>
      </c>
      <c r="H1485">
        <f>IF(AND(Table13[[#This Row],[Direction]]="L",Table13[[#This Row],[Steps]]&gt;G1484,G1484&lt;&gt;0),1,0)</f>
        <v>1</v>
      </c>
      <c r="I1485">
        <f>IF(AND(Table13[[#This Row],[Direction]]="R",(G1484+Table13[[#This Row],[Steps]])&gt;100),1,0)</f>
        <v>0</v>
      </c>
      <c r="J1485">
        <f>IF(Table13[[#This Row],[POS]]=0,1,0)</f>
        <v>0</v>
      </c>
      <c r="K1485">
        <f>SUM(Table13[[#This Row],[prefix]],Table13[[#This Row],[Past zero L]],Table13[[#This Row],[Past Zero R]],Table13[[#This Row],[Is Zero]])</f>
        <v>1</v>
      </c>
    </row>
    <row r="1486" spans="1:11" ht="16" x14ac:dyDescent="0.2">
      <c r="A1486" s="1" t="s">
        <v>444</v>
      </c>
      <c r="B1486" t="str">
        <f>LEFT(Table13[[#This Row],[Input]],1)</f>
        <v>L</v>
      </c>
      <c r="C1486">
        <f>_xlfn.LET(_xlpm.steps,SUBSTITUTE(Table13[[#This Row],[Input]],Table13[[#This Row],[Direction]],""),VALUE(IF(LEN(_xlpm.steps)&gt;2,RIGHT(_xlpm.steps,2),_xlpm.steps)))</f>
        <v>94</v>
      </c>
      <c r="D1486">
        <f>_xlfn.LET(_xlpm.steps,SUBSTITUTE(Table13[[#This Row],[Input]],Table13[[#This Row],[Direction]],""),VALUE(IF(LEN(_xlpm.steps)&gt;2,LEFT(_xlpm.steps,LEN(_xlpm.steps)-2),0)))</f>
        <v>1</v>
      </c>
      <c r="E1486">
        <f>_xlfn.LET(_xlpm.dir,Table13[[#This Row],[Direction]],
IF(_xlpm.dir="L",
    IF(G1485-Table13[[#This Row],[Steps]]&lt;0,100+(G1485-Table13[[#This Row],[Steps]]),G1485-Table13[[#This Row],[Steps]]),
))</f>
        <v>0</v>
      </c>
      <c r="F1486">
        <f>_xlfn.LET(_xlpm.dir,Table13[[#This Row],[Direction]],
IF(_xlpm.dir="R",
    IF(G1485+Table13[[#This Row],[Steps]]&gt;99,(G1485+Table13[[#This Row],[Steps]])-100,G1485+Table13[[#This Row],[Steps]]),
))</f>
        <v>0</v>
      </c>
      <c r="G1486">
        <f>IF(Table13[[#This Row],[New Pos L]]&lt;&gt;0,Table13[[#This Row],[New Pos L]],Table13[[#This Row],[New Pos R]])</f>
        <v>0</v>
      </c>
      <c r="H1486">
        <f>IF(AND(Table13[[#This Row],[Direction]]="L",Table13[[#This Row],[Steps]]&gt;G1485,G1485&lt;&gt;0),1,0)</f>
        <v>0</v>
      </c>
      <c r="I1486">
        <f>IF(AND(Table13[[#This Row],[Direction]]="R",(G1485+Table13[[#This Row],[Steps]])&gt;100),1,0)</f>
        <v>0</v>
      </c>
      <c r="J1486">
        <f>IF(Table13[[#This Row],[POS]]=0,1,0)</f>
        <v>1</v>
      </c>
      <c r="K1486">
        <f>SUM(Table13[[#This Row],[prefix]],Table13[[#This Row],[Past zero L]],Table13[[#This Row],[Past Zero R]],Table13[[#This Row],[Is Zero]])</f>
        <v>2</v>
      </c>
    </row>
    <row r="1487" spans="1:11" ht="16" x14ac:dyDescent="0.2">
      <c r="A1487" s="1" t="s">
        <v>69</v>
      </c>
      <c r="B1487" t="str">
        <f>LEFT(Table13[[#This Row],[Input]],1)</f>
        <v>R</v>
      </c>
      <c r="C1487">
        <f>_xlfn.LET(_xlpm.steps,SUBSTITUTE(Table13[[#This Row],[Input]],Table13[[#This Row],[Direction]],""),VALUE(IF(LEN(_xlpm.steps)&gt;2,RIGHT(_xlpm.steps,2),_xlpm.steps)))</f>
        <v>27</v>
      </c>
      <c r="D1487">
        <f>_xlfn.LET(_xlpm.steps,SUBSTITUTE(Table13[[#This Row],[Input]],Table13[[#This Row],[Direction]],""),VALUE(IF(LEN(_xlpm.steps)&gt;2,LEFT(_xlpm.steps,LEN(_xlpm.steps)-2),0)))</f>
        <v>0</v>
      </c>
      <c r="E1487">
        <f>_xlfn.LET(_xlpm.dir,Table13[[#This Row],[Direction]],
IF(_xlpm.dir="L",
    IF(G1486-Table13[[#This Row],[Steps]]&lt;0,100+(G1486-Table13[[#This Row],[Steps]]),G1486-Table13[[#This Row],[Steps]]),
))</f>
        <v>0</v>
      </c>
      <c r="F1487">
        <f>_xlfn.LET(_xlpm.dir,Table13[[#This Row],[Direction]],
IF(_xlpm.dir="R",
    IF(G1486+Table13[[#This Row],[Steps]]&gt;99,(G1486+Table13[[#This Row],[Steps]])-100,G1486+Table13[[#This Row],[Steps]]),
))</f>
        <v>27</v>
      </c>
      <c r="G1487">
        <f>IF(Table13[[#This Row],[New Pos L]]&lt;&gt;0,Table13[[#This Row],[New Pos L]],Table13[[#This Row],[New Pos R]])</f>
        <v>27</v>
      </c>
      <c r="H1487">
        <f>IF(AND(Table13[[#This Row],[Direction]]="L",Table13[[#This Row],[Steps]]&gt;G1486,G1486&lt;&gt;0),1,0)</f>
        <v>0</v>
      </c>
      <c r="I1487">
        <f>IF(AND(Table13[[#This Row],[Direction]]="R",(G1486+Table13[[#This Row],[Steps]])&gt;100),1,0)</f>
        <v>0</v>
      </c>
      <c r="J1487">
        <f>IF(Table13[[#This Row],[POS]]=0,1,0)</f>
        <v>0</v>
      </c>
      <c r="K1487">
        <f>SUM(Table13[[#This Row],[prefix]],Table13[[#This Row],[Past zero L]],Table13[[#This Row],[Past Zero R]],Table13[[#This Row],[Is Zero]])</f>
        <v>0</v>
      </c>
    </row>
    <row r="1488" spans="1:11" ht="16" x14ac:dyDescent="0.2">
      <c r="A1488" s="1" t="s">
        <v>445</v>
      </c>
      <c r="B1488" t="str">
        <f>LEFT(Table13[[#This Row],[Input]],1)</f>
        <v>L</v>
      </c>
      <c r="C1488">
        <f>_xlfn.LET(_xlpm.steps,SUBSTITUTE(Table13[[#This Row],[Input]],Table13[[#This Row],[Direction]],""),VALUE(IF(LEN(_xlpm.steps)&gt;2,RIGHT(_xlpm.steps,2),_xlpm.steps)))</f>
        <v>21</v>
      </c>
      <c r="D1488">
        <f>_xlfn.LET(_xlpm.steps,SUBSTITUTE(Table13[[#This Row],[Input]],Table13[[#This Row],[Direction]],""),VALUE(IF(LEN(_xlpm.steps)&gt;2,LEFT(_xlpm.steps,LEN(_xlpm.steps)-2),0)))</f>
        <v>8</v>
      </c>
      <c r="E1488">
        <f>_xlfn.LET(_xlpm.dir,Table13[[#This Row],[Direction]],
IF(_xlpm.dir="L",
    IF(G1487-Table13[[#This Row],[Steps]]&lt;0,100+(G1487-Table13[[#This Row],[Steps]]),G1487-Table13[[#This Row],[Steps]]),
))</f>
        <v>6</v>
      </c>
      <c r="F1488">
        <f>_xlfn.LET(_xlpm.dir,Table13[[#This Row],[Direction]],
IF(_xlpm.dir="R",
    IF(G1487+Table13[[#This Row],[Steps]]&gt;99,(G1487+Table13[[#This Row],[Steps]])-100,G1487+Table13[[#This Row],[Steps]]),
))</f>
        <v>0</v>
      </c>
      <c r="G1488">
        <f>IF(Table13[[#This Row],[New Pos L]]&lt;&gt;0,Table13[[#This Row],[New Pos L]],Table13[[#This Row],[New Pos R]])</f>
        <v>6</v>
      </c>
      <c r="H1488">
        <f>IF(AND(Table13[[#This Row],[Direction]]="L",Table13[[#This Row],[Steps]]&gt;G1487,G1487&lt;&gt;0),1,0)</f>
        <v>0</v>
      </c>
      <c r="I1488">
        <f>IF(AND(Table13[[#This Row],[Direction]]="R",(G1487+Table13[[#This Row],[Steps]])&gt;100),1,0)</f>
        <v>0</v>
      </c>
      <c r="J1488">
        <f>IF(Table13[[#This Row],[POS]]=0,1,0)</f>
        <v>0</v>
      </c>
      <c r="K1488">
        <f>SUM(Table13[[#This Row],[prefix]],Table13[[#This Row],[Past zero L]],Table13[[#This Row],[Past Zero R]],Table13[[#This Row],[Is Zero]])</f>
        <v>8</v>
      </c>
    </row>
    <row r="1489" spans="1:11" ht="16" x14ac:dyDescent="0.2">
      <c r="A1489" s="1" t="s">
        <v>179</v>
      </c>
      <c r="B1489" t="str">
        <f>LEFT(Table13[[#This Row],[Input]],1)</f>
        <v>L</v>
      </c>
      <c r="C1489">
        <f>_xlfn.LET(_xlpm.steps,SUBSTITUTE(Table13[[#This Row],[Input]],Table13[[#This Row],[Direction]],""),VALUE(IF(LEN(_xlpm.steps)&gt;2,RIGHT(_xlpm.steps,2),_xlpm.steps)))</f>
        <v>54</v>
      </c>
      <c r="D1489">
        <f>_xlfn.LET(_xlpm.steps,SUBSTITUTE(Table13[[#This Row],[Input]],Table13[[#This Row],[Direction]],""),VALUE(IF(LEN(_xlpm.steps)&gt;2,LEFT(_xlpm.steps,LEN(_xlpm.steps)-2),0)))</f>
        <v>0</v>
      </c>
      <c r="E1489">
        <f>_xlfn.LET(_xlpm.dir,Table13[[#This Row],[Direction]],
IF(_xlpm.dir="L",
    IF(G1488-Table13[[#This Row],[Steps]]&lt;0,100+(G1488-Table13[[#This Row],[Steps]]),G1488-Table13[[#This Row],[Steps]]),
))</f>
        <v>52</v>
      </c>
      <c r="F1489">
        <f>_xlfn.LET(_xlpm.dir,Table13[[#This Row],[Direction]],
IF(_xlpm.dir="R",
    IF(G1488+Table13[[#This Row],[Steps]]&gt;99,(G1488+Table13[[#This Row],[Steps]])-100,G1488+Table13[[#This Row],[Steps]]),
))</f>
        <v>0</v>
      </c>
      <c r="G1489">
        <f>IF(Table13[[#This Row],[New Pos L]]&lt;&gt;0,Table13[[#This Row],[New Pos L]],Table13[[#This Row],[New Pos R]])</f>
        <v>52</v>
      </c>
      <c r="H1489">
        <f>IF(AND(Table13[[#This Row],[Direction]]="L",Table13[[#This Row],[Steps]]&gt;G1488,G1488&lt;&gt;0),1,0)</f>
        <v>1</v>
      </c>
      <c r="I1489">
        <f>IF(AND(Table13[[#This Row],[Direction]]="R",(G1488+Table13[[#This Row],[Steps]])&gt;100),1,0)</f>
        <v>0</v>
      </c>
      <c r="J1489">
        <f>IF(Table13[[#This Row],[POS]]=0,1,0)</f>
        <v>0</v>
      </c>
      <c r="K1489">
        <f>SUM(Table13[[#This Row],[prefix]],Table13[[#This Row],[Past zero L]],Table13[[#This Row],[Past Zero R]],Table13[[#This Row],[Is Zero]])</f>
        <v>1</v>
      </c>
    </row>
    <row r="1490" spans="1:11" ht="16" x14ac:dyDescent="0.2">
      <c r="A1490" s="1" t="s">
        <v>67</v>
      </c>
      <c r="B1490" t="str">
        <f>LEFT(Table13[[#This Row],[Input]],1)</f>
        <v>R</v>
      </c>
      <c r="C1490">
        <f>_xlfn.LET(_xlpm.steps,SUBSTITUTE(Table13[[#This Row],[Input]],Table13[[#This Row],[Direction]],""),VALUE(IF(LEN(_xlpm.steps)&gt;2,RIGHT(_xlpm.steps,2),_xlpm.steps)))</f>
        <v>33</v>
      </c>
      <c r="D1490">
        <f>_xlfn.LET(_xlpm.steps,SUBSTITUTE(Table13[[#This Row],[Input]],Table13[[#This Row],[Direction]],""),VALUE(IF(LEN(_xlpm.steps)&gt;2,LEFT(_xlpm.steps,LEN(_xlpm.steps)-2),0)))</f>
        <v>0</v>
      </c>
      <c r="E1490">
        <f>_xlfn.LET(_xlpm.dir,Table13[[#This Row],[Direction]],
IF(_xlpm.dir="L",
    IF(G1489-Table13[[#This Row],[Steps]]&lt;0,100+(G1489-Table13[[#This Row],[Steps]]),G1489-Table13[[#This Row],[Steps]]),
))</f>
        <v>0</v>
      </c>
      <c r="F1490">
        <f>_xlfn.LET(_xlpm.dir,Table13[[#This Row],[Direction]],
IF(_xlpm.dir="R",
    IF(G1489+Table13[[#This Row],[Steps]]&gt;99,(G1489+Table13[[#This Row],[Steps]])-100,G1489+Table13[[#This Row],[Steps]]),
))</f>
        <v>85</v>
      </c>
      <c r="G1490">
        <f>IF(Table13[[#This Row],[New Pos L]]&lt;&gt;0,Table13[[#This Row],[New Pos L]],Table13[[#This Row],[New Pos R]])</f>
        <v>85</v>
      </c>
      <c r="H1490">
        <f>IF(AND(Table13[[#This Row],[Direction]]="L",Table13[[#This Row],[Steps]]&gt;G1489,G1489&lt;&gt;0),1,0)</f>
        <v>0</v>
      </c>
      <c r="I1490">
        <f>IF(AND(Table13[[#This Row],[Direction]]="R",(G1489+Table13[[#This Row],[Steps]])&gt;100),1,0)</f>
        <v>0</v>
      </c>
      <c r="J1490">
        <f>IF(Table13[[#This Row],[POS]]=0,1,0)</f>
        <v>0</v>
      </c>
      <c r="K1490">
        <f>SUM(Table13[[#This Row],[prefix]],Table13[[#This Row],[Past zero L]],Table13[[#This Row],[Past Zero R]],Table13[[#This Row],[Is Zero]])</f>
        <v>0</v>
      </c>
    </row>
    <row r="1491" spans="1:11" ht="16" x14ac:dyDescent="0.2">
      <c r="A1491" s="1" t="s">
        <v>446</v>
      </c>
      <c r="B1491" t="str">
        <f>LEFT(Table13[[#This Row],[Input]],1)</f>
        <v>R</v>
      </c>
      <c r="C1491">
        <f>_xlfn.LET(_xlpm.steps,SUBSTITUTE(Table13[[#This Row],[Input]],Table13[[#This Row],[Direction]],""),VALUE(IF(LEN(_xlpm.steps)&gt;2,RIGHT(_xlpm.steps,2),_xlpm.steps)))</f>
        <v>89</v>
      </c>
      <c r="D1491">
        <f>_xlfn.LET(_xlpm.steps,SUBSTITUTE(Table13[[#This Row],[Input]],Table13[[#This Row],[Direction]],""),VALUE(IF(LEN(_xlpm.steps)&gt;2,LEFT(_xlpm.steps,LEN(_xlpm.steps)-2),0)))</f>
        <v>6</v>
      </c>
      <c r="E1491">
        <f>_xlfn.LET(_xlpm.dir,Table13[[#This Row],[Direction]],
IF(_xlpm.dir="L",
    IF(G1490-Table13[[#This Row],[Steps]]&lt;0,100+(G1490-Table13[[#This Row],[Steps]]),G1490-Table13[[#This Row],[Steps]]),
))</f>
        <v>0</v>
      </c>
      <c r="F1491">
        <f>_xlfn.LET(_xlpm.dir,Table13[[#This Row],[Direction]],
IF(_xlpm.dir="R",
    IF(G1490+Table13[[#This Row],[Steps]]&gt;99,(G1490+Table13[[#This Row],[Steps]])-100,G1490+Table13[[#This Row],[Steps]]),
))</f>
        <v>74</v>
      </c>
      <c r="G1491">
        <f>IF(Table13[[#This Row],[New Pos L]]&lt;&gt;0,Table13[[#This Row],[New Pos L]],Table13[[#This Row],[New Pos R]])</f>
        <v>74</v>
      </c>
      <c r="H1491">
        <f>IF(AND(Table13[[#This Row],[Direction]]="L",Table13[[#This Row],[Steps]]&gt;G1490,G1490&lt;&gt;0),1,0)</f>
        <v>0</v>
      </c>
      <c r="I1491">
        <f>IF(AND(Table13[[#This Row],[Direction]]="R",(G1490+Table13[[#This Row],[Steps]])&gt;100),1,0)</f>
        <v>1</v>
      </c>
      <c r="J1491">
        <f>IF(Table13[[#This Row],[POS]]=0,1,0)</f>
        <v>0</v>
      </c>
      <c r="K1491">
        <f>SUM(Table13[[#This Row],[prefix]],Table13[[#This Row],[Past zero L]],Table13[[#This Row],[Past Zero R]],Table13[[#This Row],[Is Zero]])</f>
        <v>7</v>
      </c>
    </row>
    <row r="1492" spans="1:11" ht="16" x14ac:dyDescent="0.2">
      <c r="A1492" s="1" t="s">
        <v>213</v>
      </c>
      <c r="B1492" t="str">
        <f>LEFT(Table13[[#This Row],[Input]],1)</f>
        <v>R</v>
      </c>
      <c r="C1492">
        <f>_xlfn.LET(_xlpm.steps,SUBSTITUTE(Table13[[#This Row],[Input]],Table13[[#This Row],[Direction]],""),VALUE(IF(LEN(_xlpm.steps)&gt;2,RIGHT(_xlpm.steps,2),_xlpm.steps)))</f>
        <v>87</v>
      </c>
      <c r="D1492">
        <f>_xlfn.LET(_xlpm.steps,SUBSTITUTE(Table13[[#This Row],[Input]],Table13[[#This Row],[Direction]],""),VALUE(IF(LEN(_xlpm.steps)&gt;2,LEFT(_xlpm.steps,LEN(_xlpm.steps)-2),0)))</f>
        <v>0</v>
      </c>
      <c r="E1492">
        <f>_xlfn.LET(_xlpm.dir,Table13[[#This Row],[Direction]],
IF(_xlpm.dir="L",
    IF(G1491-Table13[[#This Row],[Steps]]&lt;0,100+(G1491-Table13[[#This Row],[Steps]]),G1491-Table13[[#This Row],[Steps]]),
))</f>
        <v>0</v>
      </c>
      <c r="F1492">
        <f>_xlfn.LET(_xlpm.dir,Table13[[#This Row],[Direction]],
IF(_xlpm.dir="R",
    IF(G1491+Table13[[#This Row],[Steps]]&gt;99,(G1491+Table13[[#This Row],[Steps]])-100,G1491+Table13[[#This Row],[Steps]]),
))</f>
        <v>61</v>
      </c>
      <c r="G1492">
        <f>IF(Table13[[#This Row],[New Pos L]]&lt;&gt;0,Table13[[#This Row],[New Pos L]],Table13[[#This Row],[New Pos R]])</f>
        <v>61</v>
      </c>
      <c r="H1492">
        <f>IF(AND(Table13[[#This Row],[Direction]]="L",Table13[[#This Row],[Steps]]&gt;G1491,G1491&lt;&gt;0),1,0)</f>
        <v>0</v>
      </c>
      <c r="I1492">
        <f>IF(AND(Table13[[#This Row],[Direction]]="R",(G1491+Table13[[#This Row],[Steps]])&gt;100),1,0)</f>
        <v>1</v>
      </c>
      <c r="J1492">
        <f>IF(Table13[[#This Row],[POS]]=0,1,0)</f>
        <v>0</v>
      </c>
      <c r="K1492">
        <f>SUM(Table13[[#This Row],[prefix]],Table13[[#This Row],[Past zero L]],Table13[[#This Row],[Past Zero R]],Table13[[#This Row],[Is Zero]])</f>
        <v>1</v>
      </c>
    </row>
    <row r="1493" spans="1:11" ht="16" x14ac:dyDescent="0.2">
      <c r="A1493" s="1" t="s">
        <v>256</v>
      </c>
      <c r="B1493" t="str">
        <f>LEFT(Table13[[#This Row],[Input]],1)</f>
        <v>R</v>
      </c>
      <c r="C1493">
        <f>_xlfn.LET(_xlpm.steps,SUBSTITUTE(Table13[[#This Row],[Input]],Table13[[#This Row],[Direction]],""),VALUE(IF(LEN(_xlpm.steps)&gt;2,RIGHT(_xlpm.steps,2),_xlpm.steps)))</f>
        <v>13</v>
      </c>
      <c r="D1493">
        <f>_xlfn.LET(_xlpm.steps,SUBSTITUTE(Table13[[#This Row],[Input]],Table13[[#This Row],[Direction]],""),VALUE(IF(LEN(_xlpm.steps)&gt;2,LEFT(_xlpm.steps,LEN(_xlpm.steps)-2),0)))</f>
        <v>0</v>
      </c>
      <c r="E1493">
        <f>_xlfn.LET(_xlpm.dir,Table13[[#This Row],[Direction]],
IF(_xlpm.dir="L",
    IF(G1492-Table13[[#This Row],[Steps]]&lt;0,100+(G1492-Table13[[#This Row],[Steps]]),G1492-Table13[[#This Row],[Steps]]),
))</f>
        <v>0</v>
      </c>
      <c r="F1493">
        <f>_xlfn.LET(_xlpm.dir,Table13[[#This Row],[Direction]],
IF(_xlpm.dir="R",
    IF(G1492+Table13[[#This Row],[Steps]]&gt;99,(G1492+Table13[[#This Row],[Steps]])-100,G1492+Table13[[#This Row],[Steps]]),
))</f>
        <v>74</v>
      </c>
      <c r="G1493">
        <f>IF(Table13[[#This Row],[New Pos L]]&lt;&gt;0,Table13[[#This Row],[New Pos L]],Table13[[#This Row],[New Pos R]])</f>
        <v>74</v>
      </c>
      <c r="H1493">
        <f>IF(AND(Table13[[#This Row],[Direction]]="L",Table13[[#This Row],[Steps]]&gt;G1492,G1492&lt;&gt;0),1,0)</f>
        <v>0</v>
      </c>
      <c r="I1493">
        <f>IF(AND(Table13[[#This Row],[Direction]]="R",(G1492+Table13[[#This Row],[Steps]])&gt;100),1,0)</f>
        <v>0</v>
      </c>
      <c r="J1493">
        <f>IF(Table13[[#This Row],[POS]]=0,1,0)</f>
        <v>0</v>
      </c>
      <c r="K1493">
        <f>SUM(Table13[[#This Row],[prefix]],Table13[[#This Row],[Past zero L]],Table13[[#This Row],[Past Zero R]],Table13[[#This Row],[Is Zero]])</f>
        <v>0</v>
      </c>
    </row>
    <row r="1494" spans="1:11" ht="16" x14ac:dyDescent="0.2">
      <c r="A1494" s="1" t="s">
        <v>1</v>
      </c>
      <c r="B1494" t="str">
        <f>LEFT(Table13[[#This Row],[Input]],1)</f>
        <v>R</v>
      </c>
      <c r="C1494">
        <f>_xlfn.LET(_xlpm.steps,SUBSTITUTE(Table13[[#This Row],[Input]],Table13[[#This Row],[Direction]],""),VALUE(IF(LEN(_xlpm.steps)&gt;2,RIGHT(_xlpm.steps,2),_xlpm.steps)))</f>
        <v>26</v>
      </c>
      <c r="D1494">
        <f>_xlfn.LET(_xlpm.steps,SUBSTITUTE(Table13[[#This Row],[Input]],Table13[[#This Row],[Direction]],""),VALUE(IF(LEN(_xlpm.steps)&gt;2,LEFT(_xlpm.steps,LEN(_xlpm.steps)-2),0)))</f>
        <v>0</v>
      </c>
      <c r="E1494">
        <f>_xlfn.LET(_xlpm.dir,Table13[[#This Row],[Direction]],
IF(_xlpm.dir="L",
    IF(G1493-Table13[[#This Row],[Steps]]&lt;0,100+(G1493-Table13[[#This Row],[Steps]]),G1493-Table13[[#This Row],[Steps]]),
))</f>
        <v>0</v>
      </c>
      <c r="F1494">
        <f>_xlfn.LET(_xlpm.dir,Table13[[#This Row],[Direction]],
IF(_xlpm.dir="R",
    IF(G1493+Table13[[#This Row],[Steps]]&gt;99,(G1493+Table13[[#This Row],[Steps]])-100,G1493+Table13[[#This Row],[Steps]]),
))</f>
        <v>0</v>
      </c>
      <c r="G1494">
        <f>IF(Table13[[#This Row],[New Pos L]]&lt;&gt;0,Table13[[#This Row],[New Pos L]],Table13[[#This Row],[New Pos R]])</f>
        <v>0</v>
      </c>
      <c r="H1494">
        <f>IF(AND(Table13[[#This Row],[Direction]]="L",Table13[[#This Row],[Steps]]&gt;G1493,G1493&lt;&gt;0),1,0)</f>
        <v>0</v>
      </c>
      <c r="I1494">
        <f>IF(AND(Table13[[#This Row],[Direction]]="R",(G1493+Table13[[#This Row],[Steps]])&gt;100),1,0)</f>
        <v>0</v>
      </c>
      <c r="J1494">
        <f>IF(Table13[[#This Row],[POS]]=0,1,0)</f>
        <v>1</v>
      </c>
      <c r="K1494">
        <f>SUM(Table13[[#This Row],[prefix]],Table13[[#This Row],[Past zero L]],Table13[[#This Row],[Past Zero R]],Table13[[#This Row],[Is Zero]])</f>
        <v>1</v>
      </c>
    </row>
    <row r="1495" spans="1:11" ht="16" x14ac:dyDescent="0.2">
      <c r="A1495" s="1" t="s">
        <v>364</v>
      </c>
      <c r="B1495" t="str">
        <f>LEFT(Table13[[#This Row],[Input]],1)</f>
        <v>L</v>
      </c>
      <c r="C1495">
        <f>_xlfn.LET(_xlpm.steps,SUBSTITUTE(Table13[[#This Row],[Input]],Table13[[#This Row],[Direction]],""),VALUE(IF(LEN(_xlpm.steps)&gt;2,RIGHT(_xlpm.steps,2),_xlpm.steps)))</f>
        <v>70</v>
      </c>
      <c r="D1495">
        <f>_xlfn.LET(_xlpm.steps,SUBSTITUTE(Table13[[#This Row],[Input]],Table13[[#This Row],[Direction]],""),VALUE(IF(LEN(_xlpm.steps)&gt;2,LEFT(_xlpm.steps,LEN(_xlpm.steps)-2),0)))</f>
        <v>0</v>
      </c>
      <c r="E1495">
        <f>_xlfn.LET(_xlpm.dir,Table13[[#This Row],[Direction]],
IF(_xlpm.dir="L",
    IF(G1494-Table13[[#This Row],[Steps]]&lt;0,100+(G1494-Table13[[#This Row],[Steps]]),G1494-Table13[[#This Row],[Steps]]),
))</f>
        <v>30</v>
      </c>
      <c r="F1495">
        <f>_xlfn.LET(_xlpm.dir,Table13[[#This Row],[Direction]],
IF(_xlpm.dir="R",
    IF(G1494+Table13[[#This Row],[Steps]]&gt;99,(G1494+Table13[[#This Row],[Steps]])-100,G1494+Table13[[#This Row],[Steps]]),
))</f>
        <v>0</v>
      </c>
      <c r="G1495">
        <f>IF(Table13[[#This Row],[New Pos L]]&lt;&gt;0,Table13[[#This Row],[New Pos L]],Table13[[#This Row],[New Pos R]])</f>
        <v>30</v>
      </c>
      <c r="H1495">
        <f>IF(AND(Table13[[#This Row],[Direction]]="L",Table13[[#This Row],[Steps]]&gt;G1494,G1494&lt;&gt;0),1,0)</f>
        <v>0</v>
      </c>
      <c r="I1495">
        <f>IF(AND(Table13[[#This Row],[Direction]]="R",(G1494+Table13[[#This Row],[Steps]])&gt;100),1,0)</f>
        <v>0</v>
      </c>
      <c r="J1495">
        <f>IF(Table13[[#This Row],[POS]]=0,1,0)</f>
        <v>0</v>
      </c>
      <c r="K1495">
        <f>SUM(Table13[[#This Row],[prefix]],Table13[[#This Row],[Past zero L]],Table13[[#This Row],[Past Zero R]],Table13[[#This Row],[Is Zero]])</f>
        <v>0</v>
      </c>
    </row>
    <row r="1496" spans="1:11" ht="16" x14ac:dyDescent="0.2">
      <c r="A1496" s="1" t="s">
        <v>56</v>
      </c>
      <c r="B1496" t="str">
        <f>LEFT(Table13[[#This Row],[Input]],1)</f>
        <v>R</v>
      </c>
      <c r="C1496">
        <f>_xlfn.LET(_xlpm.steps,SUBSTITUTE(Table13[[#This Row],[Input]],Table13[[#This Row],[Direction]],""),VALUE(IF(LEN(_xlpm.steps)&gt;2,RIGHT(_xlpm.steps,2),_xlpm.steps)))</f>
        <v>42</v>
      </c>
      <c r="D1496">
        <f>_xlfn.LET(_xlpm.steps,SUBSTITUTE(Table13[[#This Row],[Input]],Table13[[#This Row],[Direction]],""),VALUE(IF(LEN(_xlpm.steps)&gt;2,LEFT(_xlpm.steps,LEN(_xlpm.steps)-2),0)))</f>
        <v>0</v>
      </c>
      <c r="E1496">
        <f>_xlfn.LET(_xlpm.dir,Table13[[#This Row],[Direction]],
IF(_xlpm.dir="L",
    IF(G1495-Table13[[#This Row],[Steps]]&lt;0,100+(G1495-Table13[[#This Row],[Steps]]),G1495-Table13[[#This Row],[Steps]]),
))</f>
        <v>0</v>
      </c>
      <c r="F1496">
        <f>_xlfn.LET(_xlpm.dir,Table13[[#This Row],[Direction]],
IF(_xlpm.dir="R",
    IF(G1495+Table13[[#This Row],[Steps]]&gt;99,(G1495+Table13[[#This Row],[Steps]])-100,G1495+Table13[[#This Row],[Steps]]),
))</f>
        <v>72</v>
      </c>
      <c r="G1496">
        <f>IF(Table13[[#This Row],[New Pos L]]&lt;&gt;0,Table13[[#This Row],[New Pos L]],Table13[[#This Row],[New Pos R]])</f>
        <v>72</v>
      </c>
      <c r="H1496">
        <f>IF(AND(Table13[[#This Row],[Direction]]="L",Table13[[#This Row],[Steps]]&gt;G1495,G1495&lt;&gt;0),1,0)</f>
        <v>0</v>
      </c>
      <c r="I1496">
        <f>IF(AND(Table13[[#This Row],[Direction]]="R",(G1495+Table13[[#This Row],[Steps]])&gt;100),1,0)</f>
        <v>0</v>
      </c>
      <c r="J1496">
        <f>IF(Table13[[#This Row],[POS]]=0,1,0)</f>
        <v>0</v>
      </c>
      <c r="K1496">
        <f>SUM(Table13[[#This Row],[prefix]],Table13[[#This Row],[Past zero L]],Table13[[#This Row],[Past Zero R]],Table13[[#This Row],[Is Zero]])</f>
        <v>0</v>
      </c>
    </row>
    <row r="1497" spans="1:11" ht="16" x14ac:dyDescent="0.2">
      <c r="A1497" s="1" t="s">
        <v>447</v>
      </c>
      <c r="B1497" t="str">
        <f>LEFT(Table13[[#This Row],[Input]],1)</f>
        <v>R</v>
      </c>
      <c r="C1497">
        <f>_xlfn.LET(_xlpm.steps,SUBSTITUTE(Table13[[#This Row],[Input]],Table13[[#This Row],[Direction]],""),VALUE(IF(LEN(_xlpm.steps)&gt;2,RIGHT(_xlpm.steps,2),_xlpm.steps)))</f>
        <v>28</v>
      </c>
      <c r="D1497">
        <f>_xlfn.LET(_xlpm.steps,SUBSTITUTE(Table13[[#This Row],[Input]],Table13[[#This Row],[Direction]],""),VALUE(IF(LEN(_xlpm.steps)&gt;2,LEFT(_xlpm.steps,LEN(_xlpm.steps)-2),0)))</f>
        <v>3</v>
      </c>
      <c r="E1497">
        <f>_xlfn.LET(_xlpm.dir,Table13[[#This Row],[Direction]],
IF(_xlpm.dir="L",
    IF(G1496-Table13[[#This Row],[Steps]]&lt;0,100+(G1496-Table13[[#This Row],[Steps]]),G1496-Table13[[#This Row],[Steps]]),
))</f>
        <v>0</v>
      </c>
      <c r="F1497">
        <f>_xlfn.LET(_xlpm.dir,Table13[[#This Row],[Direction]],
IF(_xlpm.dir="R",
    IF(G1496+Table13[[#This Row],[Steps]]&gt;99,(G1496+Table13[[#This Row],[Steps]])-100,G1496+Table13[[#This Row],[Steps]]),
))</f>
        <v>0</v>
      </c>
      <c r="G1497">
        <f>IF(Table13[[#This Row],[New Pos L]]&lt;&gt;0,Table13[[#This Row],[New Pos L]],Table13[[#This Row],[New Pos R]])</f>
        <v>0</v>
      </c>
      <c r="H1497">
        <f>IF(AND(Table13[[#This Row],[Direction]]="L",Table13[[#This Row],[Steps]]&gt;G1496,G1496&lt;&gt;0),1,0)</f>
        <v>0</v>
      </c>
      <c r="I1497">
        <f>IF(AND(Table13[[#This Row],[Direction]]="R",(G1496+Table13[[#This Row],[Steps]])&gt;100),1,0)</f>
        <v>0</v>
      </c>
      <c r="J1497">
        <f>IF(Table13[[#This Row],[POS]]=0,1,0)</f>
        <v>1</v>
      </c>
      <c r="K1497">
        <f>SUM(Table13[[#This Row],[prefix]],Table13[[#This Row],[Past zero L]],Table13[[#This Row],[Past Zero R]],Table13[[#This Row],[Is Zero]])</f>
        <v>4</v>
      </c>
    </row>
    <row r="1498" spans="1:11" ht="16" x14ac:dyDescent="0.2">
      <c r="A1498" s="1" t="s">
        <v>288</v>
      </c>
      <c r="B1498" t="str">
        <f>LEFT(Table13[[#This Row],[Input]],1)</f>
        <v>R</v>
      </c>
      <c r="C1498">
        <f>_xlfn.LET(_xlpm.steps,SUBSTITUTE(Table13[[#This Row],[Input]],Table13[[#This Row],[Direction]],""),VALUE(IF(LEN(_xlpm.steps)&gt;2,RIGHT(_xlpm.steps,2),_xlpm.steps)))</f>
        <v>25</v>
      </c>
      <c r="D1498">
        <f>_xlfn.LET(_xlpm.steps,SUBSTITUTE(Table13[[#This Row],[Input]],Table13[[#This Row],[Direction]],""),VALUE(IF(LEN(_xlpm.steps)&gt;2,LEFT(_xlpm.steps,LEN(_xlpm.steps)-2),0)))</f>
        <v>0</v>
      </c>
      <c r="E1498">
        <f>_xlfn.LET(_xlpm.dir,Table13[[#This Row],[Direction]],
IF(_xlpm.dir="L",
    IF(G1497-Table13[[#This Row],[Steps]]&lt;0,100+(G1497-Table13[[#This Row],[Steps]]),G1497-Table13[[#This Row],[Steps]]),
))</f>
        <v>0</v>
      </c>
      <c r="F1498">
        <f>_xlfn.LET(_xlpm.dir,Table13[[#This Row],[Direction]],
IF(_xlpm.dir="R",
    IF(G1497+Table13[[#This Row],[Steps]]&gt;99,(G1497+Table13[[#This Row],[Steps]])-100,G1497+Table13[[#This Row],[Steps]]),
))</f>
        <v>25</v>
      </c>
      <c r="G1498">
        <f>IF(Table13[[#This Row],[New Pos L]]&lt;&gt;0,Table13[[#This Row],[New Pos L]],Table13[[#This Row],[New Pos R]])</f>
        <v>25</v>
      </c>
      <c r="H1498">
        <f>IF(AND(Table13[[#This Row],[Direction]]="L",Table13[[#This Row],[Steps]]&gt;G1497,G1497&lt;&gt;0),1,0)</f>
        <v>0</v>
      </c>
      <c r="I1498">
        <f>IF(AND(Table13[[#This Row],[Direction]]="R",(G1497+Table13[[#This Row],[Steps]])&gt;100),1,0)</f>
        <v>0</v>
      </c>
      <c r="J1498">
        <f>IF(Table13[[#This Row],[POS]]=0,1,0)</f>
        <v>0</v>
      </c>
      <c r="K1498">
        <f>SUM(Table13[[#This Row],[prefix]],Table13[[#This Row],[Past zero L]],Table13[[#This Row],[Past Zero R]],Table13[[#This Row],[Is Zero]])</f>
        <v>0</v>
      </c>
    </row>
    <row r="1499" spans="1:11" ht="16" x14ac:dyDescent="0.2">
      <c r="A1499" s="1" t="s">
        <v>51</v>
      </c>
      <c r="B1499" t="str">
        <f>LEFT(Table13[[#This Row],[Input]],1)</f>
        <v>L</v>
      </c>
      <c r="C1499">
        <f>_xlfn.LET(_xlpm.steps,SUBSTITUTE(Table13[[#This Row],[Input]],Table13[[#This Row],[Direction]],""),VALUE(IF(LEN(_xlpm.steps)&gt;2,RIGHT(_xlpm.steps,2),_xlpm.steps)))</f>
        <v>25</v>
      </c>
      <c r="D1499">
        <f>_xlfn.LET(_xlpm.steps,SUBSTITUTE(Table13[[#This Row],[Input]],Table13[[#This Row],[Direction]],""),VALUE(IF(LEN(_xlpm.steps)&gt;2,LEFT(_xlpm.steps,LEN(_xlpm.steps)-2),0)))</f>
        <v>0</v>
      </c>
      <c r="E1499">
        <f>_xlfn.LET(_xlpm.dir,Table13[[#This Row],[Direction]],
IF(_xlpm.dir="L",
    IF(G1498-Table13[[#This Row],[Steps]]&lt;0,100+(G1498-Table13[[#This Row],[Steps]]),G1498-Table13[[#This Row],[Steps]]),
))</f>
        <v>0</v>
      </c>
      <c r="F1499">
        <f>_xlfn.LET(_xlpm.dir,Table13[[#This Row],[Direction]],
IF(_xlpm.dir="R",
    IF(G1498+Table13[[#This Row],[Steps]]&gt;99,(G1498+Table13[[#This Row],[Steps]])-100,G1498+Table13[[#This Row],[Steps]]),
))</f>
        <v>0</v>
      </c>
      <c r="G1499">
        <f>IF(Table13[[#This Row],[New Pos L]]&lt;&gt;0,Table13[[#This Row],[New Pos L]],Table13[[#This Row],[New Pos R]])</f>
        <v>0</v>
      </c>
      <c r="H1499">
        <f>IF(AND(Table13[[#This Row],[Direction]]="L",Table13[[#This Row],[Steps]]&gt;G1498,G1498&lt;&gt;0),1,0)</f>
        <v>0</v>
      </c>
      <c r="I1499">
        <f>IF(AND(Table13[[#This Row],[Direction]]="R",(G1498+Table13[[#This Row],[Steps]])&gt;100),1,0)</f>
        <v>0</v>
      </c>
      <c r="J1499">
        <f>IF(Table13[[#This Row],[POS]]=0,1,0)</f>
        <v>1</v>
      </c>
      <c r="K1499">
        <f>SUM(Table13[[#This Row],[prefix]],Table13[[#This Row],[Past zero L]],Table13[[#This Row],[Past Zero R]],Table13[[#This Row],[Is Zero]])</f>
        <v>1</v>
      </c>
    </row>
    <row r="1500" spans="1:11" ht="16" x14ac:dyDescent="0.2">
      <c r="A1500" s="1" t="s">
        <v>155</v>
      </c>
      <c r="B1500" t="str">
        <f>LEFT(Table13[[#This Row],[Input]],1)</f>
        <v>L</v>
      </c>
      <c r="C1500">
        <f>_xlfn.LET(_xlpm.steps,SUBSTITUTE(Table13[[#This Row],[Input]],Table13[[#This Row],[Direction]],""),VALUE(IF(LEN(_xlpm.steps)&gt;2,RIGHT(_xlpm.steps,2),_xlpm.steps)))</f>
        <v>18</v>
      </c>
      <c r="D1500">
        <f>_xlfn.LET(_xlpm.steps,SUBSTITUTE(Table13[[#This Row],[Input]],Table13[[#This Row],[Direction]],""),VALUE(IF(LEN(_xlpm.steps)&gt;2,LEFT(_xlpm.steps,LEN(_xlpm.steps)-2),0)))</f>
        <v>0</v>
      </c>
      <c r="E1500">
        <f>_xlfn.LET(_xlpm.dir,Table13[[#This Row],[Direction]],
IF(_xlpm.dir="L",
    IF(G1499-Table13[[#This Row],[Steps]]&lt;0,100+(G1499-Table13[[#This Row],[Steps]]),G1499-Table13[[#This Row],[Steps]]),
))</f>
        <v>82</v>
      </c>
      <c r="F1500">
        <f>_xlfn.LET(_xlpm.dir,Table13[[#This Row],[Direction]],
IF(_xlpm.dir="R",
    IF(G1499+Table13[[#This Row],[Steps]]&gt;99,(G1499+Table13[[#This Row],[Steps]])-100,G1499+Table13[[#This Row],[Steps]]),
))</f>
        <v>0</v>
      </c>
      <c r="G1500">
        <f>IF(Table13[[#This Row],[New Pos L]]&lt;&gt;0,Table13[[#This Row],[New Pos L]],Table13[[#This Row],[New Pos R]])</f>
        <v>82</v>
      </c>
      <c r="H1500">
        <f>IF(AND(Table13[[#This Row],[Direction]]="L",Table13[[#This Row],[Steps]]&gt;G1499,G1499&lt;&gt;0),1,0)</f>
        <v>0</v>
      </c>
      <c r="I1500">
        <f>IF(AND(Table13[[#This Row],[Direction]]="R",(G1499+Table13[[#This Row],[Steps]])&gt;100),1,0)</f>
        <v>0</v>
      </c>
      <c r="J1500">
        <f>IF(Table13[[#This Row],[POS]]=0,1,0)</f>
        <v>0</v>
      </c>
      <c r="K1500">
        <f>SUM(Table13[[#This Row],[prefix]],Table13[[#This Row],[Past zero L]],Table13[[#This Row],[Past Zero R]],Table13[[#This Row],[Is Zero]])</f>
        <v>0</v>
      </c>
    </row>
    <row r="1501" spans="1:11" ht="16" x14ac:dyDescent="0.2">
      <c r="A1501" s="1" t="s">
        <v>58</v>
      </c>
      <c r="B1501" t="str">
        <f>LEFT(Table13[[#This Row],[Input]],1)</f>
        <v>L</v>
      </c>
      <c r="C1501">
        <f>_xlfn.LET(_xlpm.steps,SUBSTITUTE(Table13[[#This Row],[Input]],Table13[[#This Row],[Direction]],""),VALUE(IF(LEN(_xlpm.steps)&gt;2,RIGHT(_xlpm.steps,2),_xlpm.steps)))</f>
        <v>30</v>
      </c>
      <c r="D1501">
        <f>_xlfn.LET(_xlpm.steps,SUBSTITUTE(Table13[[#This Row],[Input]],Table13[[#This Row],[Direction]],""),VALUE(IF(LEN(_xlpm.steps)&gt;2,LEFT(_xlpm.steps,LEN(_xlpm.steps)-2),0)))</f>
        <v>0</v>
      </c>
      <c r="E1501">
        <f>_xlfn.LET(_xlpm.dir,Table13[[#This Row],[Direction]],
IF(_xlpm.dir="L",
    IF(G1500-Table13[[#This Row],[Steps]]&lt;0,100+(G1500-Table13[[#This Row],[Steps]]),G1500-Table13[[#This Row],[Steps]]),
))</f>
        <v>52</v>
      </c>
      <c r="F1501">
        <f>_xlfn.LET(_xlpm.dir,Table13[[#This Row],[Direction]],
IF(_xlpm.dir="R",
    IF(G1500+Table13[[#This Row],[Steps]]&gt;99,(G1500+Table13[[#This Row],[Steps]])-100,G1500+Table13[[#This Row],[Steps]]),
))</f>
        <v>0</v>
      </c>
      <c r="G1501">
        <f>IF(Table13[[#This Row],[New Pos L]]&lt;&gt;0,Table13[[#This Row],[New Pos L]],Table13[[#This Row],[New Pos R]])</f>
        <v>52</v>
      </c>
      <c r="H1501">
        <f>IF(AND(Table13[[#This Row],[Direction]]="L",Table13[[#This Row],[Steps]]&gt;G1500,G1500&lt;&gt;0),1,0)</f>
        <v>0</v>
      </c>
      <c r="I1501">
        <f>IF(AND(Table13[[#This Row],[Direction]]="R",(G1500+Table13[[#This Row],[Steps]])&gt;100),1,0)</f>
        <v>0</v>
      </c>
      <c r="J1501">
        <f>IF(Table13[[#This Row],[POS]]=0,1,0)</f>
        <v>0</v>
      </c>
      <c r="K1501">
        <f>SUM(Table13[[#This Row],[prefix]],Table13[[#This Row],[Past zero L]],Table13[[#This Row],[Past Zero R]],Table13[[#This Row],[Is Zero]])</f>
        <v>0</v>
      </c>
    </row>
    <row r="1502" spans="1:11" ht="16" x14ac:dyDescent="0.2">
      <c r="A1502" s="1" t="s">
        <v>45</v>
      </c>
      <c r="B1502" t="str">
        <f>LEFT(Table13[[#This Row],[Input]],1)</f>
        <v>L</v>
      </c>
      <c r="C1502">
        <f>_xlfn.LET(_xlpm.steps,SUBSTITUTE(Table13[[#This Row],[Input]],Table13[[#This Row],[Direction]],""),VALUE(IF(LEN(_xlpm.steps)&gt;2,RIGHT(_xlpm.steps,2),_xlpm.steps)))</f>
        <v>96</v>
      </c>
      <c r="D1502">
        <f>_xlfn.LET(_xlpm.steps,SUBSTITUTE(Table13[[#This Row],[Input]],Table13[[#This Row],[Direction]],""),VALUE(IF(LEN(_xlpm.steps)&gt;2,LEFT(_xlpm.steps,LEN(_xlpm.steps)-2),0)))</f>
        <v>0</v>
      </c>
      <c r="E1502">
        <f>_xlfn.LET(_xlpm.dir,Table13[[#This Row],[Direction]],
IF(_xlpm.dir="L",
    IF(G1501-Table13[[#This Row],[Steps]]&lt;0,100+(G1501-Table13[[#This Row],[Steps]]),G1501-Table13[[#This Row],[Steps]]),
))</f>
        <v>56</v>
      </c>
      <c r="F1502">
        <f>_xlfn.LET(_xlpm.dir,Table13[[#This Row],[Direction]],
IF(_xlpm.dir="R",
    IF(G1501+Table13[[#This Row],[Steps]]&gt;99,(G1501+Table13[[#This Row],[Steps]])-100,G1501+Table13[[#This Row],[Steps]]),
))</f>
        <v>0</v>
      </c>
      <c r="G1502">
        <f>IF(Table13[[#This Row],[New Pos L]]&lt;&gt;0,Table13[[#This Row],[New Pos L]],Table13[[#This Row],[New Pos R]])</f>
        <v>56</v>
      </c>
      <c r="H1502">
        <f>IF(AND(Table13[[#This Row],[Direction]]="L",Table13[[#This Row],[Steps]]&gt;G1501,G1501&lt;&gt;0),1,0)</f>
        <v>1</v>
      </c>
      <c r="I1502">
        <f>IF(AND(Table13[[#This Row],[Direction]]="R",(G1501+Table13[[#This Row],[Steps]])&gt;100),1,0)</f>
        <v>0</v>
      </c>
      <c r="J1502">
        <f>IF(Table13[[#This Row],[POS]]=0,1,0)</f>
        <v>0</v>
      </c>
      <c r="K1502">
        <f>SUM(Table13[[#This Row],[prefix]],Table13[[#This Row],[Past zero L]],Table13[[#This Row],[Past Zero R]],Table13[[#This Row],[Is Zero]])</f>
        <v>1</v>
      </c>
    </row>
    <row r="1503" spans="1:11" ht="16" x14ac:dyDescent="0.2">
      <c r="A1503" s="1" t="s">
        <v>74</v>
      </c>
      <c r="B1503" t="str">
        <f>LEFT(Table13[[#This Row],[Input]],1)</f>
        <v>R</v>
      </c>
      <c r="C1503">
        <f>_xlfn.LET(_xlpm.steps,SUBSTITUTE(Table13[[#This Row],[Input]],Table13[[#This Row],[Direction]],""),VALUE(IF(LEN(_xlpm.steps)&gt;2,RIGHT(_xlpm.steps,2),_xlpm.steps)))</f>
        <v>93</v>
      </c>
      <c r="D1503">
        <f>_xlfn.LET(_xlpm.steps,SUBSTITUTE(Table13[[#This Row],[Input]],Table13[[#This Row],[Direction]],""),VALUE(IF(LEN(_xlpm.steps)&gt;2,LEFT(_xlpm.steps,LEN(_xlpm.steps)-2),0)))</f>
        <v>0</v>
      </c>
      <c r="E1503">
        <f>_xlfn.LET(_xlpm.dir,Table13[[#This Row],[Direction]],
IF(_xlpm.dir="L",
    IF(G1502-Table13[[#This Row],[Steps]]&lt;0,100+(G1502-Table13[[#This Row],[Steps]]),G1502-Table13[[#This Row],[Steps]]),
))</f>
        <v>0</v>
      </c>
      <c r="F1503">
        <f>_xlfn.LET(_xlpm.dir,Table13[[#This Row],[Direction]],
IF(_xlpm.dir="R",
    IF(G1502+Table13[[#This Row],[Steps]]&gt;99,(G1502+Table13[[#This Row],[Steps]])-100,G1502+Table13[[#This Row],[Steps]]),
))</f>
        <v>49</v>
      </c>
      <c r="G1503">
        <f>IF(Table13[[#This Row],[New Pos L]]&lt;&gt;0,Table13[[#This Row],[New Pos L]],Table13[[#This Row],[New Pos R]])</f>
        <v>49</v>
      </c>
      <c r="H1503">
        <f>IF(AND(Table13[[#This Row],[Direction]]="L",Table13[[#This Row],[Steps]]&gt;G1502,G1502&lt;&gt;0),1,0)</f>
        <v>0</v>
      </c>
      <c r="I1503">
        <f>IF(AND(Table13[[#This Row],[Direction]]="R",(G1502+Table13[[#This Row],[Steps]])&gt;100),1,0)</f>
        <v>1</v>
      </c>
      <c r="J1503">
        <f>IF(Table13[[#This Row],[POS]]=0,1,0)</f>
        <v>0</v>
      </c>
      <c r="K1503">
        <f>SUM(Table13[[#This Row],[prefix]],Table13[[#This Row],[Past zero L]],Table13[[#This Row],[Past Zero R]],Table13[[#This Row],[Is Zero]])</f>
        <v>1</v>
      </c>
    </row>
    <row r="1504" spans="1:11" ht="16" x14ac:dyDescent="0.2">
      <c r="A1504" s="1" t="s">
        <v>194</v>
      </c>
      <c r="B1504" t="str">
        <f>LEFT(Table13[[#This Row],[Input]],1)</f>
        <v>R</v>
      </c>
      <c r="C1504">
        <f>_xlfn.LET(_xlpm.steps,SUBSTITUTE(Table13[[#This Row],[Input]],Table13[[#This Row],[Direction]],""),VALUE(IF(LEN(_xlpm.steps)&gt;2,RIGHT(_xlpm.steps,2),_xlpm.steps)))</f>
        <v>51</v>
      </c>
      <c r="D1504">
        <f>_xlfn.LET(_xlpm.steps,SUBSTITUTE(Table13[[#This Row],[Input]],Table13[[#This Row],[Direction]],""),VALUE(IF(LEN(_xlpm.steps)&gt;2,LEFT(_xlpm.steps,LEN(_xlpm.steps)-2),0)))</f>
        <v>0</v>
      </c>
      <c r="E1504">
        <f>_xlfn.LET(_xlpm.dir,Table13[[#This Row],[Direction]],
IF(_xlpm.dir="L",
    IF(G1503-Table13[[#This Row],[Steps]]&lt;0,100+(G1503-Table13[[#This Row],[Steps]]),G1503-Table13[[#This Row],[Steps]]),
))</f>
        <v>0</v>
      </c>
      <c r="F1504">
        <f>_xlfn.LET(_xlpm.dir,Table13[[#This Row],[Direction]],
IF(_xlpm.dir="R",
    IF(G1503+Table13[[#This Row],[Steps]]&gt;99,(G1503+Table13[[#This Row],[Steps]])-100,G1503+Table13[[#This Row],[Steps]]),
))</f>
        <v>0</v>
      </c>
      <c r="G1504">
        <f>IF(Table13[[#This Row],[New Pos L]]&lt;&gt;0,Table13[[#This Row],[New Pos L]],Table13[[#This Row],[New Pos R]])</f>
        <v>0</v>
      </c>
      <c r="H1504">
        <f>IF(AND(Table13[[#This Row],[Direction]]="L",Table13[[#This Row],[Steps]]&gt;G1503,G1503&lt;&gt;0),1,0)</f>
        <v>0</v>
      </c>
      <c r="I1504">
        <f>IF(AND(Table13[[#This Row],[Direction]]="R",(G1503+Table13[[#This Row],[Steps]])&gt;100),1,0)</f>
        <v>0</v>
      </c>
      <c r="J1504">
        <f>IF(Table13[[#This Row],[POS]]=0,1,0)</f>
        <v>1</v>
      </c>
      <c r="K1504">
        <f>SUM(Table13[[#This Row],[prefix]],Table13[[#This Row],[Past zero L]],Table13[[#This Row],[Past Zero R]],Table13[[#This Row],[Is Zero]])</f>
        <v>1</v>
      </c>
    </row>
    <row r="1505" spans="1:11" ht="16" x14ac:dyDescent="0.2">
      <c r="A1505" s="1" t="s">
        <v>57</v>
      </c>
      <c r="B1505" t="str">
        <f>LEFT(Table13[[#This Row],[Input]],1)</f>
        <v>R</v>
      </c>
      <c r="C1505">
        <f>_xlfn.LET(_xlpm.steps,SUBSTITUTE(Table13[[#This Row],[Input]],Table13[[#This Row],[Direction]],""),VALUE(IF(LEN(_xlpm.steps)&gt;2,RIGHT(_xlpm.steps,2),_xlpm.steps)))</f>
        <v>29</v>
      </c>
      <c r="D1505">
        <f>_xlfn.LET(_xlpm.steps,SUBSTITUTE(Table13[[#This Row],[Input]],Table13[[#This Row],[Direction]],""),VALUE(IF(LEN(_xlpm.steps)&gt;2,LEFT(_xlpm.steps,LEN(_xlpm.steps)-2),0)))</f>
        <v>0</v>
      </c>
      <c r="E1505">
        <f>_xlfn.LET(_xlpm.dir,Table13[[#This Row],[Direction]],
IF(_xlpm.dir="L",
    IF(G1504-Table13[[#This Row],[Steps]]&lt;0,100+(G1504-Table13[[#This Row],[Steps]]),G1504-Table13[[#This Row],[Steps]]),
))</f>
        <v>0</v>
      </c>
      <c r="F1505">
        <f>_xlfn.LET(_xlpm.dir,Table13[[#This Row],[Direction]],
IF(_xlpm.dir="R",
    IF(G1504+Table13[[#This Row],[Steps]]&gt;99,(G1504+Table13[[#This Row],[Steps]])-100,G1504+Table13[[#This Row],[Steps]]),
))</f>
        <v>29</v>
      </c>
      <c r="G1505">
        <f>IF(Table13[[#This Row],[New Pos L]]&lt;&gt;0,Table13[[#This Row],[New Pos L]],Table13[[#This Row],[New Pos R]])</f>
        <v>29</v>
      </c>
      <c r="H1505">
        <f>IF(AND(Table13[[#This Row],[Direction]]="L",Table13[[#This Row],[Steps]]&gt;G1504,G1504&lt;&gt;0),1,0)</f>
        <v>0</v>
      </c>
      <c r="I1505">
        <f>IF(AND(Table13[[#This Row],[Direction]]="R",(G1504+Table13[[#This Row],[Steps]])&gt;100),1,0)</f>
        <v>0</v>
      </c>
      <c r="J1505">
        <f>IF(Table13[[#This Row],[POS]]=0,1,0)</f>
        <v>0</v>
      </c>
      <c r="K1505">
        <f>SUM(Table13[[#This Row],[prefix]],Table13[[#This Row],[Past zero L]],Table13[[#This Row],[Past Zero R]],Table13[[#This Row],[Is Zero]])</f>
        <v>0</v>
      </c>
    </row>
    <row r="1506" spans="1:11" ht="16" x14ac:dyDescent="0.2">
      <c r="A1506" s="1" t="s">
        <v>88</v>
      </c>
      <c r="B1506" t="str">
        <f>LEFT(Table13[[#This Row],[Input]],1)</f>
        <v>R</v>
      </c>
      <c r="C1506">
        <f>_xlfn.LET(_xlpm.steps,SUBSTITUTE(Table13[[#This Row],[Input]],Table13[[#This Row],[Direction]],""),VALUE(IF(LEN(_xlpm.steps)&gt;2,RIGHT(_xlpm.steps,2),_xlpm.steps)))</f>
        <v>53</v>
      </c>
      <c r="D1506">
        <f>_xlfn.LET(_xlpm.steps,SUBSTITUTE(Table13[[#This Row],[Input]],Table13[[#This Row],[Direction]],""),VALUE(IF(LEN(_xlpm.steps)&gt;2,LEFT(_xlpm.steps,LEN(_xlpm.steps)-2),0)))</f>
        <v>0</v>
      </c>
      <c r="E1506">
        <f>_xlfn.LET(_xlpm.dir,Table13[[#This Row],[Direction]],
IF(_xlpm.dir="L",
    IF(G1505-Table13[[#This Row],[Steps]]&lt;0,100+(G1505-Table13[[#This Row],[Steps]]),G1505-Table13[[#This Row],[Steps]]),
))</f>
        <v>0</v>
      </c>
      <c r="F1506">
        <f>_xlfn.LET(_xlpm.dir,Table13[[#This Row],[Direction]],
IF(_xlpm.dir="R",
    IF(G1505+Table13[[#This Row],[Steps]]&gt;99,(G1505+Table13[[#This Row],[Steps]])-100,G1505+Table13[[#This Row],[Steps]]),
))</f>
        <v>82</v>
      </c>
      <c r="G1506">
        <f>IF(Table13[[#This Row],[New Pos L]]&lt;&gt;0,Table13[[#This Row],[New Pos L]],Table13[[#This Row],[New Pos R]])</f>
        <v>82</v>
      </c>
      <c r="H1506">
        <f>IF(AND(Table13[[#This Row],[Direction]]="L",Table13[[#This Row],[Steps]]&gt;G1505,G1505&lt;&gt;0),1,0)</f>
        <v>0</v>
      </c>
      <c r="I1506">
        <f>IF(AND(Table13[[#This Row],[Direction]]="R",(G1505+Table13[[#This Row],[Steps]])&gt;100),1,0)</f>
        <v>0</v>
      </c>
      <c r="J1506">
        <f>IF(Table13[[#This Row],[POS]]=0,1,0)</f>
        <v>0</v>
      </c>
      <c r="K1506">
        <f>SUM(Table13[[#This Row],[prefix]],Table13[[#This Row],[Past zero L]],Table13[[#This Row],[Past Zero R]],Table13[[#This Row],[Is Zero]])</f>
        <v>0</v>
      </c>
    </row>
    <row r="1507" spans="1:11" ht="16" x14ac:dyDescent="0.2">
      <c r="A1507" s="1" t="s">
        <v>55</v>
      </c>
      <c r="B1507" t="str">
        <f>LEFT(Table13[[#This Row],[Input]],1)</f>
        <v>L</v>
      </c>
      <c r="C1507">
        <f>_xlfn.LET(_xlpm.steps,SUBSTITUTE(Table13[[#This Row],[Input]],Table13[[#This Row],[Direction]],""),VALUE(IF(LEN(_xlpm.steps)&gt;2,RIGHT(_xlpm.steps,2),_xlpm.steps)))</f>
        <v>82</v>
      </c>
      <c r="D1507">
        <f>_xlfn.LET(_xlpm.steps,SUBSTITUTE(Table13[[#This Row],[Input]],Table13[[#This Row],[Direction]],""),VALUE(IF(LEN(_xlpm.steps)&gt;2,LEFT(_xlpm.steps,LEN(_xlpm.steps)-2),0)))</f>
        <v>0</v>
      </c>
      <c r="E1507">
        <f>_xlfn.LET(_xlpm.dir,Table13[[#This Row],[Direction]],
IF(_xlpm.dir="L",
    IF(G1506-Table13[[#This Row],[Steps]]&lt;0,100+(G1506-Table13[[#This Row],[Steps]]),G1506-Table13[[#This Row],[Steps]]),
))</f>
        <v>0</v>
      </c>
      <c r="F1507">
        <f>_xlfn.LET(_xlpm.dir,Table13[[#This Row],[Direction]],
IF(_xlpm.dir="R",
    IF(G1506+Table13[[#This Row],[Steps]]&gt;99,(G1506+Table13[[#This Row],[Steps]])-100,G1506+Table13[[#This Row],[Steps]]),
))</f>
        <v>0</v>
      </c>
      <c r="G1507">
        <f>IF(Table13[[#This Row],[New Pos L]]&lt;&gt;0,Table13[[#This Row],[New Pos L]],Table13[[#This Row],[New Pos R]])</f>
        <v>0</v>
      </c>
      <c r="H1507">
        <f>IF(AND(Table13[[#This Row],[Direction]]="L",Table13[[#This Row],[Steps]]&gt;G1506,G1506&lt;&gt;0),1,0)</f>
        <v>0</v>
      </c>
      <c r="I1507">
        <f>IF(AND(Table13[[#This Row],[Direction]]="R",(G1506+Table13[[#This Row],[Steps]])&gt;100),1,0)</f>
        <v>0</v>
      </c>
      <c r="J1507">
        <f>IF(Table13[[#This Row],[POS]]=0,1,0)</f>
        <v>1</v>
      </c>
      <c r="K1507">
        <f>SUM(Table13[[#This Row],[prefix]],Table13[[#This Row],[Past zero L]],Table13[[#This Row],[Past Zero R]],Table13[[#This Row],[Is Zero]])</f>
        <v>1</v>
      </c>
    </row>
    <row r="1508" spans="1:11" ht="16" x14ac:dyDescent="0.2">
      <c r="A1508" s="1" t="s">
        <v>187</v>
      </c>
      <c r="B1508" t="str">
        <f>LEFT(Table13[[#This Row],[Input]],1)</f>
        <v>R</v>
      </c>
      <c r="C1508">
        <f>_xlfn.LET(_xlpm.steps,SUBSTITUTE(Table13[[#This Row],[Input]],Table13[[#This Row],[Direction]],""),VALUE(IF(LEN(_xlpm.steps)&gt;2,RIGHT(_xlpm.steps,2),_xlpm.steps)))</f>
        <v>20</v>
      </c>
      <c r="D1508">
        <f>_xlfn.LET(_xlpm.steps,SUBSTITUTE(Table13[[#This Row],[Input]],Table13[[#This Row],[Direction]],""),VALUE(IF(LEN(_xlpm.steps)&gt;2,LEFT(_xlpm.steps,LEN(_xlpm.steps)-2),0)))</f>
        <v>0</v>
      </c>
      <c r="E1508">
        <f>_xlfn.LET(_xlpm.dir,Table13[[#This Row],[Direction]],
IF(_xlpm.dir="L",
    IF(G1507-Table13[[#This Row],[Steps]]&lt;0,100+(G1507-Table13[[#This Row],[Steps]]),G1507-Table13[[#This Row],[Steps]]),
))</f>
        <v>0</v>
      </c>
      <c r="F1508">
        <f>_xlfn.LET(_xlpm.dir,Table13[[#This Row],[Direction]],
IF(_xlpm.dir="R",
    IF(G1507+Table13[[#This Row],[Steps]]&gt;99,(G1507+Table13[[#This Row],[Steps]])-100,G1507+Table13[[#This Row],[Steps]]),
))</f>
        <v>20</v>
      </c>
      <c r="G1508">
        <f>IF(Table13[[#This Row],[New Pos L]]&lt;&gt;0,Table13[[#This Row],[New Pos L]],Table13[[#This Row],[New Pos R]])</f>
        <v>20</v>
      </c>
      <c r="H1508">
        <f>IF(AND(Table13[[#This Row],[Direction]]="L",Table13[[#This Row],[Steps]]&gt;G1507,G1507&lt;&gt;0),1,0)</f>
        <v>0</v>
      </c>
      <c r="I1508">
        <f>IF(AND(Table13[[#This Row],[Direction]]="R",(G1507+Table13[[#This Row],[Steps]])&gt;100),1,0)</f>
        <v>0</v>
      </c>
      <c r="J1508">
        <f>IF(Table13[[#This Row],[POS]]=0,1,0)</f>
        <v>0</v>
      </c>
      <c r="K1508">
        <f>SUM(Table13[[#This Row],[prefix]],Table13[[#This Row],[Past zero L]],Table13[[#This Row],[Past Zero R]],Table13[[#This Row],[Is Zero]])</f>
        <v>0</v>
      </c>
    </row>
    <row r="1509" spans="1:11" ht="16" x14ac:dyDescent="0.2">
      <c r="A1509" s="1" t="s">
        <v>293</v>
      </c>
      <c r="B1509" t="str">
        <f>LEFT(Table13[[#This Row],[Input]],1)</f>
        <v>R</v>
      </c>
      <c r="C1509">
        <f>_xlfn.LET(_xlpm.steps,SUBSTITUTE(Table13[[#This Row],[Input]],Table13[[#This Row],[Direction]],""),VALUE(IF(LEN(_xlpm.steps)&gt;2,RIGHT(_xlpm.steps,2),_xlpm.steps)))</f>
        <v>67</v>
      </c>
      <c r="D1509">
        <f>_xlfn.LET(_xlpm.steps,SUBSTITUTE(Table13[[#This Row],[Input]],Table13[[#This Row],[Direction]],""),VALUE(IF(LEN(_xlpm.steps)&gt;2,LEFT(_xlpm.steps,LEN(_xlpm.steps)-2),0)))</f>
        <v>0</v>
      </c>
      <c r="E1509">
        <f>_xlfn.LET(_xlpm.dir,Table13[[#This Row],[Direction]],
IF(_xlpm.dir="L",
    IF(G1508-Table13[[#This Row],[Steps]]&lt;0,100+(G1508-Table13[[#This Row],[Steps]]),G1508-Table13[[#This Row],[Steps]]),
))</f>
        <v>0</v>
      </c>
      <c r="F1509">
        <f>_xlfn.LET(_xlpm.dir,Table13[[#This Row],[Direction]],
IF(_xlpm.dir="R",
    IF(G1508+Table13[[#This Row],[Steps]]&gt;99,(G1508+Table13[[#This Row],[Steps]])-100,G1508+Table13[[#This Row],[Steps]]),
))</f>
        <v>87</v>
      </c>
      <c r="G1509">
        <f>IF(Table13[[#This Row],[New Pos L]]&lt;&gt;0,Table13[[#This Row],[New Pos L]],Table13[[#This Row],[New Pos R]])</f>
        <v>87</v>
      </c>
      <c r="H1509">
        <f>IF(AND(Table13[[#This Row],[Direction]]="L",Table13[[#This Row],[Steps]]&gt;G1508,G1508&lt;&gt;0),1,0)</f>
        <v>0</v>
      </c>
      <c r="I1509">
        <f>IF(AND(Table13[[#This Row],[Direction]]="R",(G1508+Table13[[#This Row],[Steps]])&gt;100),1,0)</f>
        <v>0</v>
      </c>
      <c r="J1509">
        <f>IF(Table13[[#This Row],[POS]]=0,1,0)</f>
        <v>0</v>
      </c>
      <c r="K1509">
        <f>SUM(Table13[[#This Row],[prefix]],Table13[[#This Row],[Past zero L]],Table13[[#This Row],[Past Zero R]],Table13[[#This Row],[Is Zero]])</f>
        <v>0</v>
      </c>
    </row>
    <row r="1510" spans="1:11" ht="16" x14ac:dyDescent="0.2">
      <c r="A1510" s="1" t="s">
        <v>448</v>
      </c>
      <c r="B1510" t="str">
        <f>LEFT(Table13[[#This Row],[Input]],1)</f>
        <v>L</v>
      </c>
      <c r="C1510">
        <f>_xlfn.LET(_xlpm.steps,SUBSTITUTE(Table13[[#This Row],[Input]],Table13[[#This Row],[Direction]],""),VALUE(IF(LEN(_xlpm.steps)&gt;2,RIGHT(_xlpm.steps,2),_xlpm.steps)))</f>
        <v>87</v>
      </c>
      <c r="D1510">
        <f>_xlfn.LET(_xlpm.steps,SUBSTITUTE(Table13[[#This Row],[Input]],Table13[[#This Row],[Direction]],""),VALUE(IF(LEN(_xlpm.steps)&gt;2,LEFT(_xlpm.steps,LEN(_xlpm.steps)-2),0)))</f>
        <v>9</v>
      </c>
      <c r="E1510">
        <f>_xlfn.LET(_xlpm.dir,Table13[[#This Row],[Direction]],
IF(_xlpm.dir="L",
    IF(G1509-Table13[[#This Row],[Steps]]&lt;0,100+(G1509-Table13[[#This Row],[Steps]]),G1509-Table13[[#This Row],[Steps]]),
))</f>
        <v>0</v>
      </c>
      <c r="F1510">
        <f>_xlfn.LET(_xlpm.dir,Table13[[#This Row],[Direction]],
IF(_xlpm.dir="R",
    IF(G1509+Table13[[#This Row],[Steps]]&gt;99,(G1509+Table13[[#This Row],[Steps]])-100,G1509+Table13[[#This Row],[Steps]]),
))</f>
        <v>0</v>
      </c>
      <c r="G1510">
        <f>IF(Table13[[#This Row],[New Pos L]]&lt;&gt;0,Table13[[#This Row],[New Pos L]],Table13[[#This Row],[New Pos R]])</f>
        <v>0</v>
      </c>
      <c r="H1510">
        <f>IF(AND(Table13[[#This Row],[Direction]]="L",Table13[[#This Row],[Steps]]&gt;G1509,G1509&lt;&gt;0),1,0)</f>
        <v>0</v>
      </c>
      <c r="I1510">
        <f>IF(AND(Table13[[#This Row],[Direction]]="R",(G1509+Table13[[#This Row],[Steps]])&gt;100),1,0)</f>
        <v>0</v>
      </c>
      <c r="J1510">
        <f>IF(Table13[[#This Row],[POS]]=0,1,0)</f>
        <v>1</v>
      </c>
      <c r="K1510">
        <f>SUM(Table13[[#This Row],[prefix]],Table13[[#This Row],[Past zero L]],Table13[[#This Row],[Past Zero R]],Table13[[#This Row],[Is Zero]])</f>
        <v>10</v>
      </c>
    </row>
    <row r="1511" spans="1:11" ht="16" x14ac:dyDescent="0.2">
      <c r="A1511" s="1" t="s">
        <v>47</v>
      </c>
      <c r="B1511" t="str">
        <f>LEFT(Table13[[#This Row],[Input]],1)</f>
        <v>R</v>
      </c>
      <c r="C1511">
        <f>_xlfn.LET(_xlpm.steps,SUBSTITUTE(Table13[[#This Row],[Input]],Table13[[#This Row],[Direction]],""),VALUE(IF(LEN(_xlpm.steps)&gt;2,RIGHT(_xlpm.steps,2),_xlpm.steps)))</f>
        <v>97</v>
      </c>
      <c r="D1511">
        <f>_xlfn.LET(_xlpm.steps,SUBSTITUTE(Table13[[#This Row],[Input]],Table13[[#This Row],[Direction]],""),VALUE(IF(LEN(_xlpm.steps)&gt;2,LEFT(_xlpm.steps,LEN(_xlpm.steps)-2),0)))</f>
        <v>0</v>
      </c>
      <c r="E1511">
        <f>_xlfn.LET(_xlpm.dir,Table13[[#This Row],[Direction]],
IF(_xlpm.dir="L",
    IF(G1510-Table13[[#This Row],[Steps]]&lt;0,100+(G1510-Table13[[#This Row],[Steps]]),G1510-Table13[[#This Row],[Steps]]),
))</f>
        <v>0</v>
      </c>
      <c r="F1511">
        <f>_xlfn.LET(_xlpm.dir,Table13[[#This Row],[Direction]],
IF(_xlpm.dir="R",
    IF(G1510+Table13[[#This Row],[Steps]]&gt;99,(G1510+Table13[[#This Row],[Steps]])-100,G1510+Table13[[#This Row],[Steps]]),
))</f>
        <v>97</v>
      </c>
      <c r="G1511">
        <f>IF(Table13[[#This Row],[New Pos L]]&lt;&gt;0,Table13[[#This Row],[New Pos L]],Table13[[#This Row],[New Pos R]])</f>
        <v>97</v>
      </c>
      <c r="H1511">
        <f>IF(AND(Table13[[#This Row],[Direction]]="L",Table13[[#This Row],[Steps]]&gt;G1510,G1510&lt;&gt;0),1,0)</f>
        <v>0</v>
      </c>
      <c r="I1511">
        <f>IF(AND(Table13[[#This Row],[Direction]]="R",(G1510+Table13[[#This Row],[Steps]])&gt;100),1,0)</f>
        <v>0</v>
      </c>
      <c r="J1511">
        <f>IF(Table13[[#This Row],[POS]]=0,1,0)</f>
        <v>0</v>
      </c>
      <c r="K1511">
        <f>SUM(Table13[[#This Row],[prefix]],Table13[[#This Row],[Past zero L]],Table13[[#This Row],[Past Zero R]],Table13[[#This Row],[Is Zero]])</f>
        <v>0</v>
      </c>
    </row>
    <row r="1512" spans="1:11" ht="16" x14ac:dyDescent="0.2">
      <c r="A1512" s="1" t="s">
        <v>22</v>
      </c>
      <c r="B1512" t="str">
        <f>LEFT(Table13[[#This Row],[Input]],1)</f>
        <v>L</v>
      </c>
      <c r="C1512">
        <f>_xlfn.LET(_xlpm.steps,SUBSTITUTE(Table13[[#This Row],[Input]],Table13[[#This Row],[Direction]],""),VALUE(IF(LEN(_xlpm.steps)&gt;2,RIGHT(_xlpm.steps,2),_xlpm.steps)))</f>
        <v>37</v>
      </c>
      <c r="D1512">
        <f>_xlfn.LET(_xlpm.steps,SUBSTITUTE(Table13[[#This Row],[Input]],Table13[[#This Row],[Direction]],""),VALUE(IF(LEN(_xlpm.steps)&gt;2,LEFT(_xlpm.steps,LEN(_xlpm.steps)-2),0)))</f>
        <v>0</v>
      </c>
      <c r="E1512">
        <f>_xlfn.LET(_xlpm.dir,Table13[[#This Row],[Direction]],
IF(_xlpm.dir="L",
    IF(G1511-Table13[[#This Row],[Steps]]&lt;0,100+(G1511-Table13[[#This Row],[Steps]]),G1511-Table13[[#This Row],[Steps]]),
))</f>
        <v>60</v>
      </c>
      <c r="F1512">
        <f>_xlfn.LET(_xlpm.dir,Table13[[#This Row],[Direction]],
IF(_xlpm.dir="R",
    IF(G1511+Table13[[#This Row],[Steps]]&gt;99,(G1511+Table13[[#This Row],[Steps]])-100,G1511+Table13[[#This Row],[Steps]]),
))</f>
        <v>0</v>
      </c>
      <c r="G1512">
        <f>IF(Table13[[#This Row],[New Pos L]]&lt;&gt;0,Table13[[#This Row],[New Pos L]],Table13[[#This Row],[New Pos R]])</f>
        <v>60</v>
      </c>
      <c r="H1512">
        <f>IF(AND(Table13[[#This Row],[Direction]]="L",Table13[[#This Row],[Steps]]&gt;G1511,G1511&lt;&gt;0),1,0)</f>
        <v>0</v>
      </c>
      <c r="I1512">
        <f>IF(AND(Table13[[#This Row],[Direction]]="R",(G1511+Table13[[#This Row],[Steps]])&gt;100),1,0)</f>
        <v>0</v>
      </c>
      <c r="J1512">
        <f>IF(Table13[[#This Row],[POS]]=0,1,0)</f>
        <v>0</v>
      </c>
      <c r="K1512">
        <f>SUM(Table13[[#This Row],[prefix]],Table13[[#This Row],[Past zero L]],Table13[[#This Row],[Past Zero R]],Table13[[#This Row],[Is Zero]])</f>
        <v>0</v>
      </c>
    </row>
    <row r="1513" spans="1:11" ht="16" x14ac:dyDescent="0.2">
      <c r="A1513" s="1" t="s">
        <v>276</v>
      </c>
      <c r="B1513" t="str">
        <f>LEFT(Table13[[#This Row],[Input]],1)</f>
        <v>L</v>
      </c>
      <c r="C1513">
        <f>_xlfn.LET(_xlpm.steps,SUBSTITUTE(Table13[[#This Row],[Input]],Table13[[#This Row],[Direction]],""),VALUE(IF(LEN(_xlpm.steps)&gt;2,RIGHT(_xlpm.steps,2),_xlpm.steps)))</f>
        <v>60</v>
      </c>
      <c r="D1513">
        <f>_xlfn.LET(_xlpm.steps,SUBSTITUTE(Table13[[#This Row],[Input]],Table13[[#This Row],[Direction]],""),VALUE(IF(LEN(_xlpm.steps)&gt;2,LEFT(_xlpm.steps,LEN(_xlpm.steps)-2),0)))</f>
        <v>0</v>
      </c>
      <c r="E1513">
        <f>_xlfn.LET(_xlpm.dir,Table13[[#This Row],[Direction]],
IF(_xlpm.dir="L",
    IF(G1512-Table13[[#This Row],[Steps]]&lt;0,100+(G1512-Table13[[#This Row],[Steps]]),G1512-Table13[[#This Row],[Steps]]),
))</f>
        <v>0</v>
      </c>
      <c r="F1513">
        <f>_xlfn.LET(_xlpm.dir,Table13[[#This Row],[Direction]],
IF(_xlpm.dir="R",
    IF(G1512+Table13[[#This Row],[Steps]]&gt;99,(G1512+Table13[[#This Row],[Steps]])-100,G1512+Table13[[#This Row],[Steps]]),
))</f>
        <v>0</v>
      </c>
      <c r="G1513">
        <f>IF(Table13[[#This Row],[New Pos L]]&lt;&gt;0,Table13[[#This Row],[New Pos L]],Table13[[#This Row],[New Pos R]])</f>
        <v>0</v>
      </c>
      <c r="H1513">
        <f>IF(AND(Table13[[#This Row],[Direction]]="L",Table13[[#This Row],[Steps]]&gt;G1512,G1512&lt;&gt;0),1,0)</f>
        <v>0</v>
      </c>
      <c r="I1513">
        <f>IF(AND(Table13[[#This Row],[Direction]]="R",(G1512+Table13[[#This Row],[Steps]])&gt;100),1,0)</f>
        <v>0</v>
      </c>
      <c r="J1513">
        <f>IF(Table13[[#This Row],[POS]]=0,1,0)</f>
        <v>1</v>
      </c>
      <c r="K1513">
        <f>SUM(Table13[[#This Row],[prefix]],Table13[[#This Row],[Past zero L]],Table13[[#This Row],[Past Zero R]],Table13[[#This Row],[Is Zero]])</f>
        <v>1</v>
      </c>
    </row>
    <row r="1514" spans="1:11" ht="16" x14ac:dyDescent="0.2">
      <c r="A1514" s="1" t="s">
        <v>120</v>
      </c>
      <c r="B1514" t="str">
        <f>LEFT(Table13[[#This Row],[Input]],1)</f>
        <v>L</v>
      </c>
      <c r="C1514">
        <f>_xlfn.LET(_xlpm.steps,SUBSTITUTE(Table13[[#This Row],[Input]],Table13[[#This Row],[Direction]],""),VALUE(IF(LEN(_xlpm.steps)&gt;2,RIGHT(_xlpm.steps,2),_xlpm.steps)))</f>
        <v>23</v>
      </c>
      <c r="D1514">
        <f>_xlfn.LET(_xlpm.steps,SUBSTITUTE(Table13[[#This Row],[Input]],Table13[[#This Row],[Direction]],""),VALUE(IF(LEN(_xlpm.steps)&gt;2,LEFT(_xlpm.steps,LEN(_xlpm.steps)-2),0)))</f>
        <v>0</v>
      </c>
      <c r="E1514">
        <f>_xlfn.LET(_xlpm.dir,Table13[[#This Row],[Direction]],
IF(_xlpm.dir="L",
    IF(G1513-Table13[[#This Row],[Steps]]&lt;0,100+(G1513-Table13[[#This Row],[Steps]]),G1513-Table13[[#This Row],[Steps]]),
))</f>
        <v>77</v>
      </c>
      <c r="F1514">
        <f>_xlfn.LET(_xlpm.dir,Table13[[#This Row],[Direction]],
IF(_xlpm.dir="R",
    IF(G1513+Table13[[#This Row],[Steps]]&gt;99,(G1513+Table13[[#This Row],[Steps]])-100,G1513+Table13[[#This Row],[Steps]]),
))</f>
        <v>0</v>
      </c>
      <c r="G1514">
        <f>IF(Table13[[#This Row],[New Pos L]]&lt;&gt;0,Table13[[#This Row],[New Pos L]],Table13[[#This Row],[New Pos R]])</f>
        <v>77</v>
      </c>
      <c r="H1514">
        <f>IF(AND(Table13[[#This Row],[Direction]]="L",Table13[[#This Row],[Steps]]&gt;G1513,G1513&lt;&gt;0),1,0)</f>
        <v>0</v>
      </c>
      <c r="I1514">
        <f>IF(AND(Table13[[#This Row],[Direction]]="R",(G1513+Table13[[#This Row],[Steps]])&gt;100),1,0)</f>
        <v>0</v>
      </c>
      <c r="J1514">
        <f>IF(Table13[[#This Row],[POS]]=0,1,0)</f>
        <v>0</v>
      </c>
      <c r="K1514">
        <f>SUM(Table13[[#This Row],[prefix]],Table13[[#This Row],[Past zero L]],Table13[[#This Row],[Past Zero R]],Table13[[#This Row],[Is Zero]])</f>
        <v>0</v>
      </c>
    </row>
    <row r="1515" spans="1:11" ht="16" x14ac:dyDescent="0.2">
      <c r="A1515" s="1" t="s">
        <v>163</v>
      </c>
      <c r="B1515" t="str">
        <f>LEFT(Table13[[#This Row],[Input]],1)</f>
        <v>R</v>
      </c>
      <c r="C1515">
        <f>_xlfn.LET(_xlpm.steps,SUBSTITUTE(Table13[[#This Row],[Input]],Table13[[#This Row],[Direction]],""),VALUE(IF(LEN(_xlpm.steps)&gt;2,RIGHT(_xlpm.steps,2),_xlpm.steps)))</f>
        <v>53</v>
      </c>
      <c r="D1515">
        <f>_xlfn.LET(_xlpm.steps,SUBSTITUTE(Table13[[#This Row],[Input]],Table13[[#This Row],[Direction]],""),VALUE(IF(LEN(_xlpm.steps)&gt;2,LEFT(_xlpm.steps,LEN(_xlpm.steps)-2),0)))</f>
        <v>5</v>
      </c>
      <c r="E1515">
        <f>_xlfn.LET(_xlpm.dir,Table13[[#This Row],[Direction]],
IF(_xlpm.dir="L",
    IF(G1514-Table13[[#This Row],[Steps]]&lt;0,100+(G1514-Table13[[#This Row],[Steps]]),G1514-Table13[[#This Row],[Steps]]),
))</f>
        <v>0</v>
      </c>
      <c r="F1515">
        <f>_xlfn.LET(_xlpm.dir,Table13[[#This Row],[Direction]],
IF(_xlpm.dir="R",
    IF(G1514+Table13[[#This Row],[Steps]]&gt;99,(G1514+Table13[[#This Row],[Steps]])-100,G1514+Table13[[#This Row],[Steps]]),
))</f>
        <v>30</v>
      </c>
      <c r="G1515">
        <f>IF(Table13[[#This Row],[New Pos L]]&lt;&gt;0,Table13[[#This Row],[New Pos L]],Table13[[#This Row],[New Pos R]])</f>
        <v>30</v>
      </c>
      <c r="H1515">
        <f>IF(AND(Table13[[#This Row],[Direction]]="L",Table13[[#This Row],[Steps]]&gt;G1514,G1514&lt;&gt;0),1,0)</f>
        <v>0</v>
      </c>
      <c r="I1515">
        <f>IF(AND(Table13[[#This Row],[Direction]]="R",(G1514+Table13[[#This Row],[Steps]])&gt;100),1,0)</f>
        <v>1</v>
      </c>
      <c r="J1515">
        <f>IF(Table13[[#This Row],[POS]]=0,1,0)</f>
        <v>0</v>
      </c>
      <c r="K1515">
        <f>SUM(Table13[[#This Row],[prefix]],Table13[[#This Row],[Past zero L]],Table13[[#This Row],[Past Zero R]],Table13[[#This Row],[Is Zero]])</f>
        <v>6</v>
      </c>
    </row>
    <row r="1516" spans="1:11" ht="16" x14ac:dyDescent="0.2">
      <c r="A1516" s="1" t="s">
        <v>209</v>
      </c>
      <c r="B1516" t="str">
        <f>LEFT(Table13[[#This Row],[Input]],1)</f>
        <v>L</v>
      </c>
      <c r="C1516">
        <f>_xlfn.LET(_xlpm.steps,SUBSTITUTE(Table13[[#This Row],[Input]],Table13[[#This Row],[Direction]],""),VALUE(IF(LEN(_xlpm.steps)&gt;2,RIGHT(_xlpm.steps,2),_xlpm.steps)))</f>
        <v>86</v>
      </c>
      <c r="D1516">
        <f>_xlfn.LET(_xlpm.steps,SUBSTITUTE(Table13[[#This Row],[Input]],Table13[[#This Row],[Direction]],""),VALUE(IF(LEN(_xlpm.steps)&gt;2,LEFT(_xlpm.steps,LEN(_xlpm.steps)-2),0)))</f>
        <v>0</v>
      </c>
      <c r="E1516">
        <f>_xlfn.LET(_xlpm.dir,Table13[[#This Row],[Direction]],
IF(_xlpm.dir="L",
    IF(G1515-Table13[[#This Row],[Steps]]&lt;0,100+(G1515-Table13[[#This Row],[Steps]]),G1515-Table13[[#This Row],[Steps]]),
))</f>
        <v>44</v>
      </c>
      <c r="F1516">
        <f>_xlfn.LET(_xlpm.dir,Table13[[#This Row],[Direction]],
IF(_xlpm.dir="R",
    IF(G1515+Table13[[#This Row],[Steps]]&gt;99,(G1515+Table13[[#This Row],[Steps]])-100,G1515+Table13[[#This Row],[Steps]]),
))</f>
        <v>0</v>
      </c>
      <c r="G1516">
        <f>IF(Table13[[#This Row],[New Pos L]]&lt;&gt;0,Table13[[#This Row],[New Pos L]],Table13[[#This Row],[New Pos R]])</f>
        <v>44</v>
      </c>
      <c r="H1516">
        <f>IF(AND(Table13[[#This Row],[Direction]]="L",Table13[[#This Row],[Steps]]&gt;G1515,G1515&lt;&gt;0),1,0)</f>
        <v>1</v>
      </c>
      <c r="I1516">
        <f>IF(AND(Table13[[#This Row],[Direction]]="R",(G1515+Table13[[#This Row],[Steps]])&gt;100),1,0)</f>
        <v>0</v>
      </c>
      <c r="J1516">
        <f>IF(Table13[[#This Row],[POS]]=0,1,0)</f>
        <v>0</v>
      </c>
      <c r="K1516">
        <f>SUM(Table13[[#This Row],[prefix]],Table13[[#This Row],[Past zero L]],Table13[[#This Row],[Past Zero R]],Table13[[#This Row],[Is Zero]])</f>
        <v>1</v>
      </c>
    </row>
    <row r="1517" spans="1:11" ht="16" x14ac:dyDescent="0.2">
      <c r="A1517" s="1" t="s">
        <v>449</v>
      </c>
      <c r="B1517" t="str">
        <f>LEFT(Table13[[#This Row],[Input]],1)</f>
        <v>L</v>
      </c>
      <c r="C1517">
        <f>_xlfn.LET(_xlpm.steps,SUBSTITUTE(Table13[[#This Row],[Input]],Table13[[#This Row],[Direction]],""),VALUE(IF(LEN(_xlpm.steps)&gt;2,RIGHT(_xlpm.steps,2),_xlpm.steps)))</f>
        <v>3</v>
      </c>
      <c r="D1517">
        <f>_xlfn.LET(_xlpm.steps,SUBSTITUTE(Table13[[#This Row],[Input]],Table13[[#This Row],[Direction]],""),VALUE(IF(LEN(_xlpm.steps)&gt;2,LEFT(_xlpm.steps,LEN(_xlpm.steps)-2),0)))</f>
        <v>1</v>
      </c>
      <c r="E1517">
        <f>_xlfn.LET(_xlpm.dir,Table13[[#This Row],[Direction]],
IF(_xlpm.dir="L",
    IF(G1516-Table13[[#This Row],[Steps]]&lt;0,100+(G1516-Table13[[#This Row],[Steps]]),G1516-Table13[[#This Row],[Steps]]),
))</f>
        <v>41</v>
      </c>
      <c r="F1517">
        <f>_xlfn.LET(_xlpm.dir,Table13[[#This Row],[Direction]],
IF(_xlpm.dir="R",
    IF(G1516+Table13[[#This Row],[Steps]]&gt;99,(G1516+Table13[[#This Row],[Steps]])-100,G1516+Table13[[#This Row],[Steps]]),
))</f>
        <v>0</v>
      </c>
      <c r="G1517">
        <f>IF(Table13[[#This Row],[New Pos L]]&lt;&gt;0,Table13[[#This Row],[New Pos L]],Table13[[#This Row],[New Pos R]])</f>
        <v>41</v>
      </c>
      <c r="H1517">
        <f>IF(AND(Table13[[#This Row],[Direction]]="L",Table13[[#This Row],[Steps]]&gt;G1516,G1516&lt;&gt;0),1,0)</f>
        <v>0</v>
      </c>
      <c r="I1517">
        <f>IF(AND(Table13[[#This Row],[Direction]]="R",(G1516+Table13[[#This Row],[Steps]])&gt;100),1,0)</f>
        <v>0</v>
      </c>
      <c r="J1517">
        <f>IF(Table13[[#This Row],[POS]]=0,1,0)</f>
        <v>0</v>
      </c>
      <c r="K1517">
        <f>SUM(Table13[[#This Row],[prefix]],Table13[[#This Row],[Past zero L]],Table13[[#This Row],[Past Zero R]],Table13[[#This Row],[Is Zero]])</f>
        <v>1</v>
      </c>
    </row>
    <row r="1518" spans="1:11" ht="16" x14ac:dyDescent="0.2">
      <c r="A1518" s="1" t="s">
        <v>450</v>
      </c>
      <c r="B1518" t="str">
        <f>LEFT(Table13[[#This Row],[Input]],1)</f>
        <v>R</v>
      </c>
      <c r="C1518">
        <f>_xlfn.LET(_xlpm.steps,SUBSTITUTE(Table13[[#This Row],[Input]],Table13[[#This Row],[Direction]],""),VALUE(IF(LEN(_xlpm.steps)&gt;2,RIGHT(_xlpm.steps,2),_xlpm.steps)))</f>
        <v>59</v>
      </c>
      <c r="D1518">
        <f>_xlfn.LET(_xlpm.steps,SUBSTITUTE(Table13[[#This Row],[Input]],Table13[[#This Row],[Direction]],""),VALUE(IF(LEN(_xlpm.steps)&gt;2,LEFT(_xlpm.steps,LEN(_xlpm.steps)-2),0)))</f>
        <v>8</v>
      </c>
      <c r="E1518">
        <f>_xlfn.LET(_xlpm.dir,Table13[[#This Row],[Direction]],
IF(_xlpm.dir="L",
    IF(G1517-Table13[[#This Row],[Steps]]&lt;0,100+(G1517-Table13[[#This Row],[Steps]]),G1517-Table13[[#This Row],[Steps]]),
))</f>
        <v>0</v>
      </c>
      <c r="F1518">
        <f>_xlfn.LET(_xlpm.dir,Table13[[#This Row],[Direction]],
IF(_xlpm.dir="R",
    IF(G1517+Table13[[#This Row],[Steps]]&gt;99,(G1517+Table13[[#This Row],[Steps]])-100,G1517+Table13[[#This Row],[Steps]]),
))</f>
        <v>0</v>
      </c>
      <c r="G1518">
        <f>IF(Table13[[#This Row],[New Pos L]]&lt;&gt;0,Table13[[#This Row],[New Pos L]],Table13[[#This Row],[New Pos R]])</f>
        <v>0</v>
      </c>
      <c r="H1518">
        <f>IF(AND(Table13[[#This Row],[Direction]]="L",Table13[[#This Row],[Steps]]&gt;G1517,G1517&lt;&gt;0),1,0)</f>
        <v>0</v>
      </c>
      <c r="I1518">
        <f>IF(AND(Table13[[#This Row],[Direction]]="R",(G1517+Table13[[#This Row],[Steps]])&gt;100),1,0)</f>
        <v>0</v>
      </c>
      <c r="J1518">
        <f>IF(Table13[[#This Row],[POS]]=0,1,0)</f>
        <v>1</v>
      </c>
      <c r="K1518">
        <f>SUM(Table13[[#This Row],[prefix]],Table13[[#This Row],[Past zero L]],Table13[[#This Row],[Past Zero R]],Table13[[#This Row],[Is Zero]])</f>
        <v>9</v>
      </c>
    </row>
    <row r="1519" spans="1:11" ht="16" x14ac:dyDescent="0.2">
      <c r="A1519" s="1" t="s">
        <v>49</v>
      </c>
      <c r="B1519" t="str">
        <f>LEFT(Table13[[#This Row],[Input]],1)</f>
        <v>L</v>
      </c>
      <c r="C1519">
        <f>_xlfn.LET(_xlpm.steps,SUBSTITUTE(Table13[[#This Row],[Input]],Table13[[#This Row],[Direction]],""),VALUE(IF(LEN(_xlpm.steps)&gt;2,RIGHT(_xlpm.steps,2),_xlpm.steps)))</f>
        <v>93</v>
      </c>
      <c r="D1519">
        <f>_xlfn.LET(_xlpm.steps,SUBSTITUTE(Table13[[#This Row],[Input]],Table13[[#This Row],[Direction]],""),VALUE(IF(LEN(_xlpm.steps)&gt;2,LEFT(_xlpm.steps,LEN(_xlpm.steps)-2),0)))</f>
        <v>0</v>
      </c>
      <c r="E1519">
        <f>_xlfn.LET(_xlpm.dir,Table13[[#This Row],[Direction]],
IF(_xlpm.dir="L",
    IF(G1518-Table13[[#This Row],[Steps]]&lt;0,100+(G1518-Table13[[#This Row],[Steps]]),G1518-Table13[[#This Row],[Steps]]),
))</f>
        <v>7</v>
      </c>
      <c r="F1519">
        <f>_xlfn.LET(_xlpm.dir,Table13[[#This Row],[Direction]],
IF(_xlpm.dir="R",
    IF(G1518+Table13[[#This Row],[Steps]]&gt;99,(G1518+Table13[[#This Row],[Steps]])-100,G1518+Table13[[#This Row],[Steps]]),
))</f>
        <v>0</v>
      </c>
      <c r="G1519">
        <f>IF(Table13[[#This Row],[New Pos L]]&lt;&gt;0,Table13[[#This Row],[New Pos L]],Table13[[#This Row],[New Pos R]])</f>
        <v>7</v>
      </c>
      <c r="H1519">
        <f>IF(AND(Table13[[#This Row],[Direction]]="L",Table13[[#This Row],[Steps]]&gt;G1518,G1518&lt;&gt;0),1,0)</f>
        <v>0</v>
      </c>
      <c r="I1519">
        <f>IF(AND(Table13[[#This Row],[Direction]]="R",(G1518+Table13[[#This Row],[Steps]])&gt;100),1,0)</f>
        <v>0</v>
      </c>
      <c r="J1519">
        <f>IF(Table13[[#This Row],[POS]]=0,1,0)</f>
        <v>0</v>
      </c>
      <c r="K1519">
        <f>SUM(Table13[[#This Row],[prefix]],Table13[[#This Row],[Past zero L]],Table13[[#This Row],[Past Zero R]],Table13[[#This Row],[Is Zero]])</f>
        <v>0</v>
      </c>
    </row>
    <row r="1520" spans="1:11" ht="16" x14ac:dyDescent="0.2">
      <c r="A1520" s="1" t="s">
        <v>74</v>
      </c>
      <c r="B1520" t="str">
        <f>LEFT(Table13[[#This Row],[Input]],1)</f>
        <v>R</v>
      </c>
      <c r="C1520">
        <f>_xlfn.LET(_xlpm.steps,SUBSTITUTE(Table13[[#This Row],[Input]],Table13[[#This Row],[Direction]],""),VALUE(IF(LEN(_xlpm.steps)&gt;2,RIGHT(_xlpm.steps,2),_xlpm.steps)))</f>
        <v>93</v>
      </c>
      <c r="D1520">
        <f>_xlfn.LET(_xlpm.steps,SUBSTITUTE(Table13[[#This Row],[Input]],Table13[[#This Row],[Direction]],""),VALUE(IF(LEN(_xlpm.steps)&gt;2,LEFT(_xlpm.steps,LEN(_xlpm.steps)-2),0)))</f>
        <v>0</v>
      </c>
      <c r="E1520">
        <f>_xlfn.LET(_xlpm.dir,Table13[[#This Row],[Direction]],
IF(_xlpm.dir="L",
    IF(G1519-Table13[[#This Row],[Steps]]&lt;0,100+(G1519-Table13[[#This Row],[Steps]]),G1519-Table13[[#This Row],[Steps]]),
))</f>
        <v>0</v>
      </c>
      <c r="F1520">
        <f>_xlfn.LET(_xlpm.dir,Table13[[#This Row],[Direction]],
IF(_xlpm.dir="R",
    IF(G1519+Table13[[#This Row],[Steps]]&gt;99,(G1519+Table13[[#This Row],[Steps]])-100,G1519+Table13[[#This Row],[Steps]]),
))</f>
        <v>0</v>
      </c>
      <c r="G1520">
        <f>IF(Table13[[#This Row],[New Pos L]]&lt;&gt;0,Table13[[#This Row],[New Pos L]],Table13[[#This Row],[New Pos R]])</f>
        <v>0</v>
      </c>
      <c r="H1520">
        <f>IF(AND(Table13[[#This Row],[Direction]]="L",Table13[[#This Row],[Steps]]&gt;G1519,G1519&lt;&gt;0),1,0)</f>
        <v>0</v>
      </c>
      <c r="I1520">
        <f>IF(AND(Table13[[#This Row],[Direction]]="R",(G1519+Table13[[#This Row],[Steps]])&gt;100),1,0)</f>
        <v>0</v>
      </c>
      <c r="J1520">
        <f>IF(Table13[[#This Row],[POS]]=0,1,0)</f>
        <v>1</v>
      </c>
      <c r="K1520">
        <f>SUM(Table13[[#This Row],[prefix]],Table13[[#This Row],[Past zero L]],Table13[[#This Row],[Past Zero R]],Table13[[#This Row],[Is Zero]])</f>
        <v>1</v>
      </c>
    </row>
    <row r="1521" spans="1:11" ht="16" x14ac:dyDescent="0.2">
      <c r="A1521" s="1" t="s">
        <v>451</v>
      </c>
      <c r="B1521" t="str">
        <f>LEFT(Table13[[#This Row],[Input]],1)</f>
        <v>R</v>
      </c>
      <c r="C1521">
        <f>_xlfn.LET(_xlpm.steps,SUBSTITUTE(Table13[[#This Row],[Input]],Table13[[#This Row],[Direction]],""),VALUE(IF(LEN(_xlpm.steps)&gt;2,RIGHT(_xlpm.steps,2),_xlpm.steps)))</f>
        <v>99</v>
      </c>
      <c r="D1521">
        <f>_xlfn.LET(_xlpm.steps,SUBSTITUTE(Table13[[#This Row],[Input]],Table13[[#This Row],[Direction]],""),VALUE(IF(LEN(_xlpm.steps)&gt;2,LEFT(_xlpm.steps,LEN(_xlpm.steps)-2),0)))</f>
        <v>6</v>
      </c>
      <c r="E1521">
        <f>_xlfn.LET(_xlpm.dir,Table13[[#This Row],[Direction]],
IF(_xlpm.dir="L",
    IF(G1520-Table13[[#This Row],[Steps]]&lt;0,100+(G1520-Table13[[#This Row],[Steps]]),G1520-Table13[[#This Row],[Steps]]),
))</f>
        <v>0</v>
      </c>
      <c r="F1521">
        <f>_xlfn.LET(_xlpm.dir,Table13[[#This Row],[Direction]],
IF(_xlpm.dir="R",
    IF(G1520+Table13[[#This Row],[Steps]]&gt;99,(G1520+Table13[[#This Row],[Steps]])-100,G1520+Table13[[#This Row],[Steps]]),
))</f>
        <v>99</v>
      </c>
      <c r="G1521">
        <f>IF(Table13[[#This Row],[New Pos L]]&lt;&gt;0,Table13[[#This Row],[New Pos L]],Table13[[#This Row],[New Pos R]])</f>
        <v>99</v>
      </c>
      <c r="H1521">
        <f>IF(AND(Table13[[#This Row],[Direction]]="L",Table13[[#This Row],[Steps]]&gt;G1520,G1520&lt;&gt;0),1,0)</f>
        <v>0</v>
      </c>
      <c r="I1521">
        <f>IF(AND(Table13[[#This Row],[Direction]]="R",(G1520+Table13[[#This Row],[Steps]])&gt;100),1,0)</f>
        <v>0</v>
      </c>
      <c r="J1521">
        <f>IF(Table13[[#This Row],[POS]]=0,1,0)</f>
        <v>0</v>
      </c>
      <c r="K1521">
        <f>SUM(Table13[[#This Row],[prefix]],Table13[[#This Row],[Past zero L]],Table13[[#This Row],[Past Zero R]],Table13[[#This Row],[Is Zero]])</f>
        <v>6</v>
      </c>
    </row>
    <row r="1522" spans="1:11" ht="16" x14ac:dyDescent="0.2">
      <c r="A1522" s="1" t="s">
        <v>452</v>
      </c>
      <c r="B1522" t="str">
        <f>LEFT(Table13[[#This Row],[Input]],1)</f>
        <v>L</v>
      </c>
      <c r="C1522">
        <f>_xlfn.LET(_xlpm.steps,SUBSTITUTE(Table13[[#This Row],[Input]],Table13[[#This Row],[Direction]],""),VALUE(IF(LEN(_xlpm.steps)&gt;2,RIGHT(_xlpm.steps,2),_xlpm.steps)))</f>
        <v>99</v>
      </c>
      <c r="D1522">
        <f>_xlfn.LET(_xlpm.steps,SUBSTITUTE(Table13[[#This Row],[Input]],Table13[[#This Row],[Direction]],""),VALUE(IF(LEN(_xlpm.steps)&gt;2,LEFT(_xlpm.steps,LEN(_xlpm.steps)-2),0)))</f>
        <v>4</v>
      </c>
      <c r="E1522">
        <f>_xlfn.LET(_xlpm.dir,Table13[[#This Row],[Direction]],
IF(_xlpm.dir="L",
    IF(G1521-Table13[[#This Row],[Steps]]&lt;0,100+(G1521-Table13[[#This Row],[Steps]]),G1521-Table13[[#This Row],[Steps]]),
))</f>
        <v>0</v>
      </c>
      <c r="F1522">
        <f>_xlfn.LET(_xlpm.dir,Table13[[#This Row],[Direction]],
IF(_xlpm.dir="R",
    IF(G1521+Table13[[#This Row],[Steps]]&gt;99,(G1521+Table13[[#This Row],[Steps]])-100,G1521+Table13[[#This Row],[Steps]]),
))</f>
        <v>0</v>
      </c>
      <c r="G1522">
        <f>IF(Table13[[#This Row],[New Pos L]]&lt;&gt;0,Table13[[#This Row],[New Pos L]],Table13[[#This Row],[New Pos R]])</f>
        <v>0</v>
      </c>
      <c r="H1522">
        <f>IF(AND(Table13[[#This Row],[Direction]]="L",Table13[[#This Row],[Steps]]&gt;G1521,G1521&lt;&gt;0),1,0)</f>
        <v>0</v>
      </c>
      <c r="I1522">
        <f>IF(AND(Table13[[#This Row],[Direction]]="R",(G1521+Table13[[#This Row],[Steps]])&gt;100),1,0)</f>
        <v>0</v>
      </c>
      <c r="J1522">
        <f>IF(Table13[[#This Row],[POS]]=0,1,0)</f>
        <v>1</v>
      </c>
      <c r="K1522">
        <f>SUM(Table13[[#This Row],[prefix]],Table13[[#This Row],[Past zero L]],Table13[[#This Row],[Past Zero R]],Table13[[#This Row],[Is Zero]])</f>
        <v>5</v>
      </c>
    </row>
    <row r="1523" spans="1:11" ht="16" x14ac:dyDescent="0.2">
      <c r="A1523" s="1" t="s">
        <v>256</v>
      </c>
      <c r="B1523" t="str">
        <f>LEFT(Table13[[#This Row],[Input]],1)</f>
        <v>R</v>
      </c>
      <c r="C1523">
        <f>_xlfn.LET(_xlpm.steps,SUBSTITUTE(Table13[[#This Row],[Input]],Table13[[#This Row],[Direction]],""),VALUE(IF(LEN(_xlpm.steps)&gt;2,RIGHT(_xlpm.steps,2),_xlpm.steps)))</f>
        <v>13</v>
      </c>
      <c r="D1523">
        <f>_xlfn.LET(_xlpm.steps,SUBSTITUTE(Table13[[#This Row],[Input]],Table13[[#This Row],[Direction]],""),VALUE(IF(LEN(_xlpm.steps)&gt;2,LEFT(_xlpm.steps,LEN(_xlpm.steps)-2),0)))</f>
        <v>0</v>
      </c>
      <c r="E1523">
        <f>_xlfn.LET(_xlpm.dir,Table13[[#This Row],[Direction]],
IF(_xlpm.dir="L",
    IF(G1522-Table13[[#This Row],[Steps]]&lt;0,100+(G1522-Table13[[#This Row],[Steps]]),G1522-Table13[[#This Row],[Steps]]),
))</f>
        <v>0</v>
      </c>
      <c r="F1523">
        <f>_xlfn.LET(_xlpm.dir,Table13[[#This Row],[Direction]],
IF(_xlpm.dir="R",
    IF(G1522+Table13[[#This Row],[Steps]]&gt;99,(G1522+Table13[[#This Row],[Steps]])-100,G1522+Table13[[#This Row],[Steps]]),
))</f>
        <v>13</v>
      </c>
      <c r="G1523">
        <f>IF(Table13[[#This Row],[New Pos L]]&lt;&gt;0,Table13[[#This Row],[New Pos L]],Table13[[#This Row],[New Pos R]])</f>
        <v>13</v>
      </c>
      <c r="H1523">
        <f>IF(AND(Table13[[#This Row],[Direction]]="L",Table13[[#This Row],[Steps]]&gt;G1522,G1522&lt;&gt;0),1,0)</f>
        <v>0</v>
      </c>
      <c r="I1523">
        <f>IF(AND(Table13[[#This Row],[Direction]]="R",(G1522+Table13[[#This Row],[Steps]])&gt;100),1,0)</f>
        <v>0</v>
      </c>
      <c r="J1523">
        <f>IF(Table13[[#This Row],[POS]]=0,1,0)</f>
        <v>0</v>
      </c>
      <c r="K1523">
        <f>SUM(Table13[[#This Row],[prefix]],Table13[[#This Row],[Past zero L]],Table13[[#This Row],[Past Zero R]],Table13[[#This Row],[Is Zero]])</f>
        <v>0</v>
      </c>
    </row>
    <row r="1524" spans="1:11" ht="16" x14ac:dyDescent="0.2">
      <c r="A1524" s="1" t="s">
        <v>51</v>
      </c>
      <c r="B1524" t="str">
        <f>LEFT(Table13[[#This Row],[Input]],1)</f>
        <v>L</v>
      </c>
      <c r="C1524">
        <f>_xlfn.LET(_xlpm.steps,SUBSTITUTE(Table13[[#This Row],[Input]],Table13[[#This Row],[Direction]],""),VALUE(IF(LEN(_xlpm.steps)&gt;2,RIGHT(_xlpm.steps,2),_xlpm.steps)))</f>
        <v>25</v>
      </c>
      <c r="D1524">
        <f>_xlfn.LET(_xlpm.steps,SUBSTITUTE(Table13[[#This Row],[Input]],Table13[[#This Row],[Direction]],""),VALUE(IF(LEN(_xlpm.steps)&gt;2,LEFT(_xlpm.steps,LEN(_xlpm.steps)-2),0)))</f>
        <v>0</v>
      </c>
      <c r="E1524">
        <f>_xlfn.LET(_xlpm.dir,Table13[[#This Row],[Direction]],
IF(_xlpm.dir="L",
    IF(G1523-Table13[[#This Row],[Steps]]&lt;0,100+(G1523-Table13[[#This Row],[Steps]]),G1523-Table13[[#This Row],[Steps]]),
))</f>
        <v>88</v>
      </c>
      <c r="F1524">
        <f>_xlfn.LET(_xlpm.dir,Table13[[#This Row],[Direction]],
IF(_xlpm.dir="R",
    IF(G1523+Table13[[#This Row],[Steps]]&gt;99,(G1523+Table13[[#This Row],[Steps]])-100,G1523+Table13[[#This Row],[Steps]]),
))</f>
        <v>0</v>
      </c>
      <c r="G1524">
        <f>IF(Table13[[#This Row],[New Pos L]]&lt;&gt;0,Table13[[#This Row],[New Pos L]],Table13[[#This Row],[New Pos R]])</f>
        <v>88</v>
      </c>
      <c r="H1524">
        <f>IF(AND(Table13[[#This Row],[Direction]]="L",Table13[[#This Row],[Steps]]&gt;G1523,G1523&lt;&gt;0),1,0)</f>
        <v>1</v>
      </c>
      <c r="I1524">
        <f>IF(AND(Table13[[#This Row],[Direction]]="R",(G1523+Table13[[#This Row],[Steps]])&gt;100),1,0)</f>
        <v>0</v>
      </c>
      <c r="J1524">
        <f>IF(Table13[[#This Row],[POS]]=0,1,0)</f>
        <v>0</v>
      </c>
      <c r="K1524">
        <f>SUM(Table13[[#This Row],[prefix]],Table13[[#This Row],[Past zero L]],Table13[[#This Row],[Past Zero R]],Table13[[#This Row],[Is Zero]])</f>
        <v>1</v>
      </c>
    </row>
    <row r="1525" spans="1:11" ht="16" x14ac:dyDescent="0.2">
      <c r="A1525" s="1" t="s">
        <v>384</v>
      </c>
      <c r="B1525" t="str">
        <f>LEFT(Table13[[#This Row],[Input]],1)</f>
        <v>L</v>
      </c>
      <c r="C1525">
        <f>_xlfn.LET(_xlpm.steps,SUBSTITUTE(Table13[[#This Row],[Input]],Table13[[#This Row],[Direction]],""),VALUE(IF(LEN(_xlpm.steps)&gt;2,RIGHT(_xlpm.steps,2),_xlpm.steps)))</f>
        <v>88</v>
      </c>
      <c r="D1525">
        <f>_xlfn.LET(_xlpm.steps,SUBSTITUTE(Table13[[#This Row],[Input]],Table13[[#This Row],[Direction]],""),VALUE(IF(LEN(_xlpm.steps)&gt;2,LEFT(_xlpm.steps,LEN(_xlpm.steps)-2),0)))</f>
        <v>6</v>
      </c>
      <c r="E1525">
        <f>_xlfn.LET(_xlpm.dir,Table13[[#This Row],[Direction]],
IF(_xlpm.dir="L",
    IF(G1524-Table13[[#This Row],[Steps]]&lt;0,100+(G1524-Table13[[#This Row],[Steps]]),G1524-Table13[[#This Row],[Steps]]),
))</f>
        <v>0</v>
      </c>
      <c r="F1525">
        <f>_xlfn.LET(_xlpm.dir,Table13[[#This Row],[Direction]],
IF(_xlpm.dir="R",
    IF(G1524+Table13[[#This Row],[Steps]]&gt;99,(G1524+Table13[[#This Row],[Steps]])-100,G1524+Table13[[#This Row],[Steps]]),
))</f>
        <v>0</v>
      </c>
      <c r="G1525">
        <f>IF(Table13[[#This Row],[New Pos L]]&lt;&gt;0,Table13[[#This Row],[New Pos L]],Table13[[#This Row],[New Pos R]])</f>
        <v>0</v>
      </c>
      <c r="H1525">
        <f>IF(AND(Table13[[#This Row],[Direction]]="L",Table13[[#This Row],[Steps]]&gt;G1524,G1524&lt;&gt;0),1,0)</f>
        <v>0</v>
      </c>
      <c r="I1525">
        <f>IF(AND(Table13[[#This Row],[Direction]]="R",(G1524+Table13[[#This Row],[Steps]])&gt;100),1,0)</f>
        <v>0</v>
      </c>
      <c r="J1525">
        <f>IF(Table13[[#This Row],[POS]]=0,1,0)</f>
        <v>1</v>
      </c>
      <c r="K1525">
        <f>SUM(Table13[[#This Row],[prefix]],Table13[[#This Row],[Past zero L]],Table13[[#This Row],[Past Zero R]],Table13[[#This Row],[Is Zero]])</f>
        <v>7</v>
      </c>
    </row>
    <row r="1526" spans="1:11" ht="16" x14ac:dyDescent="0.2">
      <c r="A1526" s="1" t="s">
        <v>453</v>
      </c>
      <c r="B1526" t="str">
        <f>LEFT(Table13[[#This Row],[Input]],1)</f>
        <v>R</v>
      </c>
      <c r="C1526">
        <f>_xlfn.LET(_xlpm.steps,SUBSTITUTE(Table13[[#This Row],[Input]],Table13[[#This Row],[Direction]],""),VALUE(IF(LEN(_xlpm.steps)&gt;2,RIGHT(_xlpm.steps,2),_xlpm.steps)))</f>
        <v>49</v>
      </c>
      <c r="D1526">
        <f>_xlfn.LET(_xlpm.steps,SUBSTITUTE(Table13[[#This Row],[Input]],Table13[[#This Row],[Direction]],""),VALUE(IF(LEN(_xlpm.steps)&gt;2,LEFT(_xlpm.steps,LEN(_xlpm.steps)-2),0)))</f>
        <v>3</v>
      </c>
      <c r="E1526">
        <f>_xlfn.LET(_xlpm.dir,Table13[[#This Row],[Direction]],
IF(_xlpm.dir="L",
    IF(G1525-Table13[[#This Row],[Steps]]&lt;0,100+(G1525-Table13[[#This Row],[Steps]]),G1525-Table13[[#This Row],[Steps]]),
))</f>
        <v>0</v>
      </c>
      <c r="F1526">
        <f>_xlfn.LET(_xlpm.dir,Table13[[#This Row],[Direction]],
IF(_xlpm.dir="R",
    IF(G1525+Table13[[#This Row],[Steps]]&gt;99,(G1525+Table13[[#This Row],[Steps]])-100,G1525+Table13[[#This Row],[Steps]]),
))</f>
        <v>49</v>
      </c>
      <c r="G1526">
        <f>IF(Table13[[#This Row],[New Pos L]]&lt;&gt;0,Table13[[#This Row],[New Pos L]],Table13[[#This Row],[New Pos R]])</f>
        <v>49</v>
      </c>
      <c r="H1526">
        <f>IF(AND(Table13[[#This Row],[Direction]]="L",Table13[[#This Row],[Steps]]&gt;G1525,G1525&lt;&gt;0),1,0)</f>
        <v>0</v>
      </c>
      <c r="I1526">
        <f>IF(AND(Table13[[#This Row],[Direction]]="R",(G1525+Table13[[#This Row],[Steps]])&gt;100),1,0)</f>
        <v>0</v>
      </c>
      <c r="J1526">
        <f>IF(Table13[[#This Row],[POS]]=0,1,0)</f>
        <v>0</v>
      </c>
      <c r="K1526">
        <f>SUM(Table13[[#This Row],[prefix]],Table13[[#This Row],[Past zero L]],Table13[[#This Row],[Past Zero R]],Table13[[#This Row],[Is Zero]])</f>
        <v>3</v>
      </c>
    </row>
    <row r="1527" spans="1:11" ht="16" x14ac:dyDescent="0.2">
      <c r="A1527" s="1" t="s">
        <v>194</v>
      </c>
      <c r="B1527" t="str">
        <f>LEFT(Table13[[#This Row],[Input]],1)</f>
        <v>R</v>
      </c>
      <c r="C1527">
        <f>_xlfn.LET(_xlpm.steps,SUBSTITUTE(Table13[[#This Row],[Input]],Table13[[#This Row],[Direction]],""),VALUE(IF(LEN(_xlpm.steps)&gt;2,RIGHT(_xlpm.steps,2),_xlpm.steps)))</f>
        <v>51</v>
      </c>
      <c r="D1527">
        <f>_xlfn.LET(_xlpm.steps,SUBSTITUTE(Table13[[#This Row],[Input]],Table13[[#This Row],[Direction]],""),VALUE(IF(LEN(_xlpm.steps)&gt;2,LEFT(_xlpm.steps,LEN(_xlpm.steps)-2),0)))</f>
        <v>0</v>
      </c>
      <c r="E1527">
        <f>_xlfn.LET(_xlpm.dir,Table13[[#This Row],[Direction]],
IF(_xlpm.dir="L",
    IF(G1526-Table13[[#This Row],[Steps]]&lt;0,100+(G1526-Table13[[#This Row],[Steps]]),G1526-Table13[[#This Row],[Steps]]),
))</f>
        <v>0</v>
      </c>
      <c r="F1527">
        <f>_xlfn.LET(_xlpm.dir,Table13[[#This Row],[Direction]],
IF(_xlpm.dir="R",
    IF(G1526+Table13[[#This Row],[Steps]]&gt;99,(G1526+Table13[[#This Row],[Steps]])-100,G1526+Table13[[#This Row],[Steps]]),
))</f>
        <v>0</v>
      </c>
      <c r="G1527">
        <f>IF(Table13[[#This Row],[New Pos L]]&lt;&gt;0,Table13[[#This Row],[New Pos L]],Table13[[#This Row],[New Pos R]])</f>
        <v>0</v>
      </c>
      <c r="H1527">
        <f>IF(AND(Table13[[#This Row],[Direction]]="L",Table13[[#This Row],[Steps]]&gt;G1526,G1526&lt;&gt;0),1,0)</f>
        <v>0</v>
      </c>
      <c r="I1527">
        <f>IF(AND(Table13[[#This Row],[Direction]]="R",(G1526+Table13[[#This Row],[Steps]])&gt;100),1,0)</f>
        <v>0</v>
      </c>
      <c r="J1527">
        <f>IF(Table13[[#This Row],[POS]]=0,1,0)</f>
        <v>1</v>
      </c>
      <c r="K1527">
        <f>SUM(Table13[[#This Row],[prefix]],Table13[[#This Row],[Past zero L]],Table13[[#This Row],[Past Zero R]],Table13[[#This Row],[Is Zero]])</f>
        <v>1</v>
      </c>
    </row>
    <row r="1528" spans="1:11" ht="16" x14ac:dyDescent="0.2">
      <c r="A1528" s="1" t="s">
        <v>293</v>
      </c>
      <c r="B1528" t="str">
        <f>LEFT(Table13[[#This Row],[Input]],1)</f>
        <v>R</v>
      </c>
      <c r="C1528">
        <f>_xlfn.LET(_xlpm.steps,SUBSTITUTE(Table13[[#This Row],[Input]],Table13[[#This Row],[Direction]],""),VALUE(IF(LEN(_xlpm.steps)&gt;2,RIGHT(_xlpm.steps,2),_xlpm.steps)))</f>
        <v>67</v>
      </c>
      <c r="D1528">
        <f>_xlfn.LET(_xlpm.steps,SUBSTITUTE(Table13[[#This Row],[Input]],Table13[[#This Row],[Direction]],""),VALUE(IF(LEN(_xlpm.steps)&gt;2,LEFT(_xlpm.steps,LEN(_xlpm.steps)-2),0)))</f>
        <v>0</v>
      </c>
      <c r="E1528">
        <f>_xlfn.LET(_xlpm.dir,Table13[[#This Row],[Direction]],
IF(_xlpm.dir="L",
    IF(G1527-Table13[[#This Row],[Steps]]&lt;0,100+(G1527-Table13[[#This Row],[Steps]]),G1527-Table13[[#This Row],[Steps]]),
))</f>
        <v>0</v>
      </c>
      <c r="F1528">
        <f>_xlfn.LET(_xlpm.dir,Table13[[#This Row],[Direction]],
IF(_xlpm.dir="R",
    IF(G1527+Table13[[#This Row],[Steps]]&gt;99,(G1527+Table13[[#This Row],[Steps]])-100,G1527+Table13[[#This Row],[Steps]]),
))</f>
        <v>67</v>
      </c>
      <c r="G1528">
        <f>IF(Table13[[#This Row],[New Pos L]]&lt;&gt;0,Table13[[#This Row],[New Pos L]],Table13[[#This Row],[New Pos R]])</f>
        <v>67</v>
      </c>
      <c r="H1528">
        <f>IF(AND(Table13[[#This Row],[Direction]]="L",Table13[[#This Row],[Steps]]&gt;G1527,G1527&lt;&gt;0),1,0)</f>
        <v>0</v>
      </c>
      <c r="I1528">
        <f>IF(AND(Table13[[#This Row],[Direction]]="R",(G1527+Table13[[#This Row],[Steps]])&gt;100),1,0)</f>
        <v>0</v>
      </c>
      <c r="J1528">
        <f>IF(Table13[[#This Row],[POS]]=0,1,0)</f>
        <v>0</v>
      </c>
      <c r="K1528">
        <f>SUM(Table13[[#This Row],[prefix]],Table13[[#This Row],[Past zero L]],Table13[[#This Row],[Past Zero R]],Table13[[#This Row],[Is Zero]])</f>
        <v>0</v>
      </c>
    </row>
    <row r="1529" spans="1:11" ht="16" x14ac:dyDescent="0.2">
      <c r="A1529" s="1" t="s">
        <v>296</v>
      </c>
      <c r="B1529" t="str">
        <f>LEFT(Table13[[#This Row],[Input]],1)</f>
        <v>R</v>
      </c>
      <c r="C1529">
        <f>_xlfn.LET(_xlpm.steps,SUBSTITUTE(Table13[[#This Row],[Input]],Table13[[#This Row],[Direction]],""),VALUE(IF(LEN(_xlpm.steps)&gt;2,RIGHT(_xlpm.steps,2),_xlpm.steps)))</f>
        <v>19</v>
      </c>
      <c r="D1529">
        <f>_xlfn.LET(_xlpm.steps,SUBSTITUTE(Table13[[#This Row],[Input]],Table13[[#This Row],[Direction]],""),VALUE(IF(LEN(_xlpm.steps)&gt;2,LEFT(_xlpm.steps,LEN(_xlpm.steps)-2),0)))</f>
        <v>0</v>
      </c>
      <c r="E1529">
        <f>_xlfn.LET(_xlpm.dir,Table13[[#This Row],[Direction]],
IF(_xlpm.dir="L",
    IF(G1528-Table13[[#This Row],[Steps]]&lt;0,100+(G1528-Table13[[#This Row],[Steps]]),G1528-Table13[[#This Row],[Steps]]),
))</f>
        <v>0</v>
      </c>
      <c r="F1529">
        <f>_xlfn.LET(_xlpm.dir,Table13[[#This Row],[Direction]],
IF(_xlpm.dir="R",
    IF(G1528+Table13[[#This Row],[Steps]]&gt;99,(G1528+Table13[[#This Row],[Steps]])-100,G1528+Table13[[#This Row],[Steps]]),
))</f>
        <v>86</v>
      </c>
      <c r="G1529">
        <f>IF(Table13[[#This Row],[New Pos L]]&lt;&gt;0,Table13[[#This Row],[New Pos L]],Table13[[#This Row],[New Pos R]])</f>
        <v>86</v>
      </c>
      <c r="H1529">
        <f>IF(AND(Table13[[#This Row],[Direction]]="L",Table13[[#This Row],[Steps]]&gt;G1528,G1528&lt;&gt;0),1,0)</f>
        <v>0</v>
      </c>
      <c r="I1529">
        <f>IF(AND(Table13[[#This Row],[Direction]]="R",(G1528+Table13[[#This Row],[Steps]])&gt;100),1,0)</f>
        <v>0</v>
      </c>
      <c r="J1529">
        <f>IF(Table13[[#This Row],[POS]]=0,1,0)</f>
        <v>0</v>
      </c>
      <c r="K1529">
        <f>SUM(Table13[[#This Row],[prefix]],Table13[[#This Row],[Past zero L]],Table13[[#This Row],[Past Zero R]],Table13[[#This Row],[Is Zero]])</f>
        <v>0</v>
      </c>
    </row>
    <row r="1530" spans="1:11" ht="16" x14ac:dyDescent="0.2">
      <c r="A1530" s="1" t="s">
        <v>48</v>
      </c>
      <c r="B1530" t="str">
        <f>LEFT(Table13[[#This Row],[Input]],1)</f>
        <v>R</v>
      </c>
      <c r="C1530">
        <f>_xlfn.LET(_xlpm.steps,SUBSTITUTE(Table13[[#This Row],[Input]],Table13[[#This Row],[Direction]],""),VALUE(IF(LEN(_xlpm.steps)&gt;2,RIGHT(_xlpm.steps,2),_xlpm.steps)))</f>
        <v>81</v>
      </c>
      <c r="D1530">
        <f>_xlfn.LET(_xlpm.steps,SUBSTITUTE(Table13[[#This Row],[Input]],Table13[[#This Row],[Direction]],""),VALUE(IF(LEN(_xlpm.steps)&gt;2,LEFT(_xlpm.steps,LEN(_xlpm.steps)-2),0)))</f>
        <v>0</v>
      </c>
      <c r="E1530">
        <f>_xlfn.LET(_xlpm.dir,Table13[[#This Row],[Direction]],
IF(_xlpm.dir="L",
    IF(G1529-Table13[[#This Row],[Steps]]&lt;0,100+(G1529-Table13[[#This Row],[Steps]]),G1529-Table13[[#This Row],[Steps]]),
))</f>
        <v>0</v>
      </c>
      <c r="F1530">
        <f>_xlfn.LET(_xlpm.dir,Table13[[#This Row],[Direction]],
IF(_xlpm.dir="R",
    IF(G1529+Table13[[#This Row],[Steps]]&gt;99,(G1529+Table13[[#This Row],[Steps]])-100,G1529+Table13[[#This Row],[Steps]]),
))</f>
        <v>67</v>
      </c>
      <c r="G1530">
        <f>IF(Table13[[#This Row],[New Pos L]]&lt;&gt;0,Table13[[#This Row],[New Pos L]],Table13[[#This Row],[New Pos R]])</f>
        <v>67</v>
      </c>
      <c r="H1530">
        <f>IF(AND(Table13[[#This Row],[Direction]]="L",Table13[[#This Row],[Steps]]&gt;G1529,G1529&lt;&gt;0),1,0)</f>
        <v>0</v>
      </c>
      <c r="I1530">
        <f>IF(AND(Table13[[#This Row],[Direction]]="R",(G1529+Table13[[#This Row],[Steps]])&gt;100),1,0)</f>
        <v>1</v>
      </c>
      <c r="J1530">
        <f>IF(Table13[[#This Row],[POS]]=0,1,0)</f>
        <v>0</v>
      </c>
      <c r="K1530">
        <f>SUM(Table13[[#This Row],[prefix]],Table13[[#This Row],[Past zero L]],Table13[[#This Row],[Past Zero R]],Table13[[#This Row],[Is Zero]])</f>
        <v>1</v>
      </c>
    </row>
    <row r="1531" spans="1:11" ht="16" x14ac:dyDescent="0.2">
      <c r="A1531" s="1" t="s">
        <v>454</v>
      </c>
      <c r="B1531" t="str">
        <f>LEFT(Table13[[#This Row],[Input]],1)</f>
        <v>L</v>
      </c>
      <c r="C1531">
        <f>_xlfn.LET(_xlpm.steps,SUBSTITUTE(Table13[[#This Row],[Input]],Table13[[#This Row],[Direction]],""),VALUE(IF(LEN(_xlpm.steps)&gt;2,RIGHT(_xlpm.steps,2),_xlpm.steps)))</f>
        <v>82</v>
      </c>
      <c r="D1531">
        <f>_xlfn.LET(_xlpm.steps,SUBSTITUTE(Table13[[#This Row],[Input]],Table13[[#This Row],[Direction]],""),VALUE(IF(LEN(_xlpm.steps)&gt;2,LEFT(_xlpm.steps,LEN(_xlpm.steps)-2),0)))</f>
        <v>5</v>
      </c>
      <c r="E1531">
        <f>_xlfn.LET(_xlpm.dir,Table13[[#This Row],[Direction]],
IF(_xlpm.dir="L",
    IF(G1530-Table13[[#This Row],[Steps]]&lt;0,100+(G1530-Table13[[#This Row],[Steps]]),G1530-Table13[[#This Row],[Steps]]),
))</f>
        <v>85</v>
      </c>
      <c r="F1531">
        <f>_xlfn.LET(_xlpm.dir,Table13[[#This Row],[Direction]],
IF(_xlpm.dir="R",
    IF(G1530+Table13[[#This Row],[Steps]]&gt;99,(G1530+Table13[[#This Row],[Steps]])-100,G1530+Table13[[#This Row],[Steps]]),
))</f>
        <v>0</v>
      </c>
      <c r="G1531">
        <f>IF(Table13[[#This Row],[New Pos L]]&lt;&gt;0,Table13[[#This Row],[New Pos L]],Table13[[#This Row],[New Pos R]])</f>
        <v>85</v>
      </c>
      <c r="H1531">
        <f>IF(AND(Table13[[#This Row],[Direction]]="L",Table13[[#This Row],[Steps]]&gt;G1530,G1530&lt;&gt;0),1,0)</f>
        <v>1</v>
      </c>
      <c r="I1531">
        <f>IF(AND(Table13[[#This Row],[Direction]]="R",(G1530+Table13[[#This Row],[Steps]])&gt;100),1,0)</f>
        <v>0</v>
      </c>
      <c r="J1531">
        <f>IF(Table13[[#This Row],[POS]]=0,1,0)</f>
        <v>0</v>
      </c>
      <c r="K1531">
        <f>SUM(Table13[[#This Row],[prefix]],Table13[[#This Row],[Past zero L]],Table13[[#This Row],[Past Zero R]],Table13[[#This Row],[Is Zero]])</f>
        <v>6</v>
      </c>
    </row>
    <row r="1532" spans="1:11" ht="16" x14ac:dyDescent="0.2">
      <c r="A1532" s="1" t="s">
        <v>164</v>
      </c>
      <c r="B1532" t="str">
        <f>LEFT(Table13[[#This Row],[Input]],1)</f>
        <v>R</v>
      </c>
      <c r="C1532">
        <f>_xlfn.LET(_xlpm.steps,SUBSTITUTE(Table13[[#This Row],[Input]],Table13[[#This Row],[Direction]],""),VALUE(IF(LEN(_xlpm.steps)&gt;2,RIGHT(_xlpm.steps,2),_xlpm.steps)))</f>
        <v>85</v>
      </c>
      <c r="D1532">
        <f>_xlfn.LET(_xlpm.steps,SUBSTITUTE(Table13[[#This Row],[Input]],Table13[[#This Row],[Direction]],""),VALUE(IF(LEN(_xlpm.steps)&gt;2,LEFT(_xlpm.steps,LEN(_xlpm.steps)-2),0)))</f>
        <v>0</v>
      </c>
      <c r="E1532">
        <f>_xlfn.LET(_xlpm.dir,Table13[[#This Row],[Direction]],
IF(_xlpm.dir="L",
    IF(G1531-Table13[[#This Row],[Steps]]&lt;0,100+(G1531-Table13[[#This Row],[Steps]]),G1531-Table13[[#This Row],[Steps]]),
))</f>
        <v>0</v>
      </c>
      <c r="F1532">
        <f>_xlfn.LET(_xlpm.dir,Table13[[#This Row],[Direction]],
IF(_xlpm.dir="R",
    IF(G1531+Table13[[#This Row],[Steps]]&gt;99,(G1531+Table13[[#This Row],[Steps]])-100,G1531+Table13[[#This Row],[Steps]]),
))</f>
        <v>70</v>
      </c>
      <c r="G1532">
        <f>IF(Table13[[#This Row],[New Pos L]]&lt;&gt;0,Table13[[#This Row],[New Pos L]],Table13[[#This Row],[New Pos R]])</f>
        <v>70</v>
      </c>
      <c r="H1532">
        <f>IF(AND(Table13[[#This Row],[Direction]]="L",Table13[[#This Row],[Steps]]&gt;G1531,G1531&lt;&gt;0),1,0)</f>
        <v>0</v>
      </c>
      <c r="I1532">
        <f>IF(AND(Table13[[#This Row],[Direction]]="R",(G1531+Table13[[#This Row],[Steps]])&gt;100),1,0)</f>
        <v>1</v>
      </c>
      <c r="J1532">
        <f>IF(Table13[[#This Row],[POS]]=0,1,0)</f>
        <v>0</v>
      </c>
      <c r="K1532">
        <f>SUM(Table13[[#This Row],[prefix]],Table13[[#This Row],[Past zero L]],Table13[[#This Row],[Past Zero R]],Table13[[#This Row],[Is Zero]])</f>
        <v>1</v>
      </c>
    </row>
    <row r="1533" spans="1:11" ht="16" x14ac:dyDescent="0.2">
      <c r="A1533" s="1" t="s">
        <v>71</v>
      </c>
      <c r="B1533" t="str">
        <f>LEFT(Table13[[#This Row],[Input]],1)</f>
        <v>R</v>
      </c>
      <c r="C1533">
        <f>_xlfn.LET(_xlpm.steps,SUBSTITUTE(Table13[[#This Row],[Input]],Table13[[#This Row],[Direction]],""),VALUE(IF(LEN(_xlpm.steps)&gt;2,RIGHT(_xlpm.steps,2),_xlpm.steps)))</f>
        <v>23</v>
      </c>
      <c r="D1533">
        <f>_xlfn.LET(_xlpm.steps,SUBSTITUTE(Table13[[#This Row],[Input]],Table13[[#This Row],[Direction]],""),VALUE(IF(LEN(_xlpm.steps)&gt;2,LEFT(_xlpm.steps,LEN(_xlpm.steps)-2),0)))</f>
        <v>0</v>
      </c>
      <c r="E1533">
        <f>_xlfn.LET(_xlpm.dir,Table13[[#This Row],[Direction]],
IF(_xlpm.dir="L",
    IF(G1532-Table13[[#This Row],[Steps]]&lt;0,100+(G1532-Table13[[#This Row],[Steps]]),G1532-Table13[[#This Row],[Steps]]),
))</f>
        <v>0</v>
      </c>
      <c r="F1533">
        <f>_xlfn.LET(_xlpm.dir,Table13[[#This Row],[Direction]],
IF(_xlpm.dir="R",
    IF(G1532+Table13[[#This Row],[Steps]]&gt;99,(G1532+Table13[[#This Row],[Steps]])-100,G1532+Table13[[#This Row],[Steps]]),
))</f>
        <v>93</v>
      </c>
      <c r="G1533">
        <f>IF(Table13[[#This Row],[New Pos L]]&lt;&gt;0,Table13[[#This Row],[New Pos L]],Table13[[#This Row],[New Pos R]])</f>
        <v>93</v>
      </c>
      <c r="H1533">
        <f>IF(AND(Table13[[#This Row],[Direction]]="L",Table13[[#This Row],[Steps]]&gt;G1532,G1532&lt;&gt;0),1,0)</f>
        <v>0</v>
      </c>
      <c r="I1533">
        <f>IF(AND(Table13[[#This Row],[Direction]]="R",(G1532+Table13[[#This Row],[Steps]])&gt;100),1,0)</f>
        <v>0</v>
      </c>
      <c r="J1533">
        <f>IF(Table13[[#This Row],[POS]]=0,1,0)</f>
        <v>0</v>
      </c>
      <c r="K1533">
        <f>SUM(Table13[[#This Row],[prefix]],Table13[[#This Row],[Past zero L]],Table13[[#This Row],[Past Zero R]],Table13[[#This Row],[Is Zero]])</f>
        <v>0</v>
      </c>
    </row>
    <row r="1534" spans="1:11" ht="16" x14ac:dyDescent="0.2">
      <c r="A1534" s="1" t="s">
        <v>353</v>
      </c>
      <c r="B1534" t="str">
        <f>LEFT(Table13[[#This Row],[Input]],1)</f>
        <v>R</v>
      </c>
      <c r="C1534">
        <f>_xlfn.LET(_xlpm.steps,SUBSTITUTE(Table13[[#This Row],[Input]],Table13[[#This Row],[Direction]],""),VALUE(IF(LEN(_xlpm.steps)&gt;2,RIGHT(_xlpm.steps,2),_xlpm.steps)))</f>
        <v>7</v>
      </c>
      <c r="D1534">
        <f>_xlfn.LET(_xlpm.steps,SUBSTITUTE(Table13[[#This Row],[Input]],Table13[[#This Row],[Direction]],""),VALUE(IF(LEN(_xlpm.steps)&gt;2,LEFT(_xlpm.steps,LEN(_xlpm.steps)-2),0)))</f>
        <v>0</v>
      </c>
      <c r="E1534">
        <f>_xlfn.LET(_xlpm.dir,Table13[[#This Row],[Direction]],
IF(_xlpm.dir="L",
    IF(G1533-Table13[[#This Row],[Steps]]&lt;0,100+(G1533-Table13[[#This Row],[Steps]]),G1533-Table13[[#This Row],[Steps]]),
))</f>
        <v>0</v>
      </c>
      <c r="F1534">
        <f>_xlfn.LET(_xlpm.dir,Table13[[#This Row],[Direction]],
IF(_xlpm.dir="R",
    IF(G1533+Table13[[#This Row],[Steps]]&gt;99,(G1533+Table13[[#This Row],[Steps]])-100,G1533+Table13[[#This Row],[Steps]]),
))</f>
        <v>0</v>
      </c>
      <c r="G1534">
        <f>IF(Table13[[#This Row],[New Pos L]]&lt;&gt;0,Table13[[#This Row],[New Pos L]],Table13[[#This Row],[New Pos R]])</f>
        <v>0</v>
      </c>
      <c r="H1534">
        <f>IF(AND(Table13[[#This Row],[Direction]]="L",Table13[[#This Row],[Steps]]&gt;G1533,G1533&lt;&gt;0),1,0)</f>
        <v>0</v>
      </c>
      <c r="I1534">
        <f>IF(AND(Table13[[#This Row],[Direction]]="R",(G1533+Table13[[#This Row],[Steps]])&gt;100),1,0)</f>
        <v>0</v>
      </c>
      <c r="J1534">
        <f>IF(Table13[[#This Row],[POS]]=0,1,0)</f>
        <v>1</v>
      </c>
      <c r="K1534">
        <f>SUM(Table13[[#This Row],[prefix]],Table13[[#This Row],[Past zero L]],Table13[[#This Row],[Past Zero R]],Table13[[#This Row],[Is Zero]])</f>
        <v>1</v>
      </c>
    </row>
    <row r="1535" spans="1:11" ht="16" x14ac:dyDescent="0.2">
      <c r="A1535" s="1" t="s">
        <v>179</v>
      </c>
      <c r="B1535" t="str">
        <f>LEFT(Table13[[#This Row],[Input]],1)</f>
        <v>L</v>
      </c>
      <c r="C1535">
        <f>_xlfn.LET(_xlpm.steps,SUBSTITUTE(Table13[[#This Row],[Input]],Table13[[#This Row],[Direction]],""),VALUE(IF(LEN(_xlpm.steps)&gt;2,RIGHT(_xlpm.steps,2),_xlpm.steps)))</f>
        <v>54</v>
      </c>
      <c r="D1535">
        <f>_xlfn.LET(_xlpm.steps,SUBSTITUTE(Table13[[#This Row],[Input]],Table13[[#This Row],[Direction]],""),VALUE(IF(LEN(_xlpm.steps)&gt;2,LEFT(_xlpm.steps,LEN(_xlpm.steps)-2),0)))</f>
        <v>0</v>
      </c>
      <c r="E1535">
        <f>_xlfn.LET(_xlpm.dir,Table13[[#This Row],[Direction]],
IF(_xlpm.dir="L",
    IF(G1534-Table13[[#This Row],[Steps]]&lt;0,100+(G1534-Table13[[#This Row],[Steps]]),G1534-Table13[[#This Row],[Steps]]),
))</f>
        <v>46</v>
      </c>
      <c r="F1535">
        <f>_xlfn.LET(_xlpm.dir,Table13[[#This Row],[Direction]],
IF(_xlpm.dir="R",
    IF(G1534+Table13[[#This Row],[Steps]]&gt;99,(G1534+Table13[[#This Row],[Steps]])-100,G1534+Table13[[#This Row],[Steps]]),
))</f>
        <v>0</v>
      </c>
      <c r="G1535">
        <f>IF(Table13[[#This Row],[New Pos L]]&lt;&gt;0,Table13[[#This Row],[New Pos L]],Table13[[#This Row],[New Pos R]])</f>
        <v>46</v>
      </c>
      <c r="H1535">
        <f>IF(AND(Table13[[#This Row],[Direction]]="L",Table13[[#This Row],[Steps]]&gt;G1534,G1534&lt;&gt;0),1,0)</f>
        <v>0</v>
      </c>
      <c r="I1535">
        <f>IF(AND(Table13[[#This Row],[Direction]]="R",(G1534+Table13[[#This Row],[Steps]])&gt;100),1,0)</f>
        <v>0</v>
      </c>
      <c r="J1535">
        <f>IF(Table13[[#This Row],[POS]]=0,1,0)</f>
        <v>0</v>
      </c>
      <c r="K1535">
        <f>SUM(Table13[[#This Row],[prefix]],Table13[[#This Row],[Past zero L]],Table13[[#This Row],[Past Zero R]],Table13[[#This Row],[Is Zero]])</f>
        <v>0</v>
      </c>
    </row>
    <row r="1536" spans="1:11" ht="16" x14ac:dyDescent="0.2">
      <c r="A1536" s="1" t="s">
        <v>18</v>
      </c>
      <c r="B1536" t="str">
        <f>LEFT(Table13[[#This Row],[Input]],1)</f>
        <v>L</v>
      </c>
      <c r="C1536">
        <f>_xlfn.LET(_xlpm.steps,SUBSTITUTE(Table13[[#This Row],[Input]],Table13[[#This Row],[Direction]],""),VALUE(IF(LEN(_xlpm.steps)&gt;2,RIGHT(_xlpm.steps,2),_xlpm.steps)))</f>
        <v>46</v>
      </c>
      <c r="D1536">
        <f>_xlfn.LET(_xlpm.steps,SUBSTITUTE(Table13[[#This Row],[Input]],Table13[[#This Row],[Direction]],""),VALUE(IF(LEN(_xlpm.steps)&gt;2,LEFT(_xlpm.steps,LEN(_xlpm.steps)-2),0)))</f>
        <v>0</v>
      </c>
      <c r="E1536">
        <f>_xlfn.LET(_xlpm.dir,Table13[[#This Row],[Direction]],
IF(_xlpm.dir="L",
    IF(G1535-Table13[[#This Row],[Steps]]&lt;0,100+(G1535-Table13[[#This Row],[Steps]]),G1535-Table13[[#This Row],[Steps]]),
))</f>
        <v>0</v>
      </c>
      <c r="F1536">
        <f>_xlfn.LET(_xlpm.dir,Table13[[#This Row],[Direction]],
IF(_xlpm.dir="R",
    IF(G1535+Table13[[#This Row],[Steps]]&gt;99,(G1535+Table13[[#This Row],[Steps]])-100,G1535+Table13[[#This Row],[Steps]]),
))</f>
        <v>0</v>
      </c>
      <c r="G1536">
        <f>IF(Table13[[#This Row],[New Pos L]]&lt;&gt;0,Table13[[#This Row],[New Pos L]],Table13[[#This Row],[New Pos R]])</f>
        <v>0</v>
      </c>
      <c r="H1536">
        <f>IF(AND(Table13[[#This Row],[Direction]]="L",Table13[[#This Row],[Steps]]&gt;G1535,G1535&lt;&gt;0),1,0)</f>
        <v>0</v>
      </c>
      <c r="I1536">
        <f>IF(AND(Table13[[#This Row],[Direction]]="R",(G1535+Table13[[#This Row],[Steps]])&gt;100),1,0)</f>
        <v>0</v>
      </c>
      <c r="J1536">
        <f>IF(Table13[[#This Row],[POS]]=0,1,0)</f>
        <v>1</v>
      </c>
      <c r="K1536">
        <f>SUM(Table13[[#This Row],[prefix]],Table13[[#This Row],[Past zero L]],Table13[[#This Row],[Past Zero R]],Table13[[#This Row],[Is Zero]])</f>
        <v>1</v>
      </c>
    </row>
    <row r="1537" spans="1:11" ht="16" x14ac:dyDescent="0.2">
      <c r="A1537" s="1" t="s">
        <v>161</v>
      </c>
      <c r="B1537" t="str">
        <f>LEFT(Table13[[#This Row],[Input]],1)</f>
        <v>R</v>
      </c>
      <c r="C1537">
        <f>_xlfn.LET(_xlpm.steps,SUBSTITUTE(Table13[[#This Row],[Input]],Table13[[#This Row],[Direction]],""),VALUE(IF(LEN(_xlpm.steps)&gt;2,RIGHT(_xlpm.steps,2),_xlpm.steps)))</f>
        <v>76</v>
      </c>
      <c r="D1537">
        <f>_xlfn.LET(_xlpm.steps,SUBSTITUTE(Table13[[#This Row],[Input]],Table13[[#This Row],[Direction]],""),VALUE(IF(LEN(_xlpm.steps)&gt;2,LEFT(_xlpm.steps,LEN(_xlpm.steps)-2),0)))</f>
        <v>0</v>
      </c>
      <c r="E1537">
        <f>_xlfn.LET(_xlpm.dir,Table13[[#This Row],[Direction]],
IF(_xlpm.dir="L",
    IF(G1536-Table13[[#This Row],[Steps]]&lt;0,100+(G1536-Table13[[#This Row],[Steps]]),G1536-Table13[[#This Row],[Steps]]),
))</f>
        <v>0</v>
      </c>
      <c r="F1537">
        <f>_xlfn.LET(_xlpm.dir,Table13[[#This Row],[Direction]],
IF(_xlpm.dir="R",
    IF(G1536+Table13[[#This Row],[Steps]]&gt;99,(G1536+Table13[[#This Row],[Steps]])-100,G1536+Table13[[#This Row],[Steps]]),
))</f>
        <v>76</v>
      </c>
      <c r="G1537">
        <f>IF(Table13[[#This Row],[New Pos L]]&lt;&gt;0,Table13[[#This Row],[New Pos L]],Table13[[#This Row],[New Pos R]])</f>
        <v>76</v>
      </c>
      <c r="H1537">
        <f>IF(AND(Table13[[#This Row],[Direction]]="L",Table13[[#This Row],[Steps]]&gt;G1536,G1536&lt;&gt;0),1,0)</f>
        <v>0</v>
      </c>
      <c r="I1537">
        <f>IF(AND(Table13[[#This Row],[Direction]]="R",(G1536+Table13[[#This Row],[Steps]])&gt;100),1,0)</f>
        <v>0</v>
      </c>
      <c r="J1537">
        <f>IF(Table13[[#This Row],[POS]]=0,1,0)</f>
        <v>0</v>
      </c>
      <c r="K1537">
        <f>SUM(Table13[[#This Row],[prefix]],Table13[[#This Row],[Past zero L]],Table13[[#This Row],[Past Zero R]],Table13[[#This Row],[Is Zero]])</f>
        <v>0</v>
      </c>
    </row>
    <row r="1538" spans="1:11" ht="16" x14ac:dyDescent="0.2">
      <c r="A1538" s="1" t="s">
        <v>105</v>
      </c>
      <c r="B1538" t="str">
        <f>LEFT(Table13[[#This Row],[Input]],1)</f>
        <v>R</v>
      </c>
      <c r="C1538">
        <f>_xlfn.LET(_xlpm.steps,SUBSTITUTE(Table13[[#This Row],[Input]],Table13[[#This Row],[Direction]],""),VALUE(IF(LEN(_xlpm.steps)&gt;2,RIGHT(_xlpm.steps,2),_xlpm.steps)))</f>
        <v>98</v>
      </c>
      <c r="D1538">
        <f>_xlfn.LET(_xlpm.steps,SUBSTITUTE(Table13[[#This Row],[Input]],Table13[[#This Row],[Direction]],""),VALUE(IF(LEN(_xlpm.steps)&gt;2,LEFT(_xlpm.steps,LEN(_xlpm.steps)-2),0)))</f>
        <v>0</v>
      </c>
      <c r="E1538">
        <f>_xlfn.LET(_xlpm.dir,Table13[[#This Row],[Direction]],
IF(_xlpm.dir="L",
    IF(G1537-Table13[[#This Row],[Steps]]&lt;0,100+(G1537-Table13[[#This Row],[Steps]]),G1537-Table13[[#This Row],[Steps]]),
))</f>
        <v>0</v>
      </c>
      <c r="F1538">
        <f>_xlfn.LET(_xlpm.dir,Table13[[#This Row],[Direction]],
IF(_xlpm.dir="R",
    IF(G1537+Table13[[#This Row],[Steps]]&gt;99,(G1537+Table13[[#This Row],[Steps]])-100,G1537+Table13[[#This Row],[Steps]]),
))</f>
        <v>74</v>
      </c>
      <c r="G1538">
        <f>IF(Table13[[#This Row],[New Pos L]]&lt;&gt;0,Table13[[#This Row],[New Pos L]],Table13[[#This Row],[New Pos R]])</f>
        <v>74</v>
      </c>
      <c r="H1538">
        <f>IF(AND(Table13[[#This Row],[Direction]]="L",Table13[[#This Row],[Steps]]&gt;G1537,G1537&lt;&gt;0),1,0)</f>
        <v>0</v>
      </c>
      <c r="I1538">
        <f>IF(AND(Table13[[#This Row],[Direction]]="R",(G1537+Table13[[#This Row],[Steps]])&gt;100),1,0)</f>
        <v>1</v>
      </c>
      <c r="J1538">
        <f>IF(Table13[[#This Row],[POS]]=0,1,0)</f>
        <v>0</v>
      </c>
      <c r="K1538">
        <f>SUM(Table13[[#This Row],[prefix]],Table13[[#This Row],[Past zero L]],Table13[[#This Row],[Past Zero R]],Table13[[#This Row],[Is Zero]])</f>
        <v>1</v>
      </c>
    </row>
    <row r="1539" spans="1:11" ht="16" x14ac:dyDescent="0.2">
      <c r="A1539" s="1" t="s">
        <v>7</v>
      </c>
      <c r="B1539" t="str">
        <f>LEFT(Table13[[#This Row],[Input]],1)</f>
        <v>R</v>
      </c>
      <c r="C1539">
        <f>_xlfn.LET(_xlpm.steps,SUBSTITUTE(Table13[[#This Row],[Input]],Table13[[#This Row],[Direction]],""),VALUE(IF(LEN(_xlpm.steps)&gt;2,RIGHT(_xlpm.steps,2),_xlpm.steps)))</f>
        <v>14</v>
      </c>
      <c r="D1539">
        <f>_xlfn.LET(_xlpm.steps,SUBSTITUTE(Table13[[#This Row],[Input]],Table13[[#This Row],[Direction]],""),VALUE(IF(LEN(_xlpm.steps)&gt;2,LEFT(_xlpm.steps,LEN(_xlpm.steps)-2),0)))</f>
        <v>0</v>
      </c>
      <c r="E1539">
        <f>_xlfn.LET(_xlpm.dir,Table13[[#This Row],[Direction]],
IF(_xlpm.dir="L",
    IF(G1538-Table13[[#This Row],[Steps]]&lt;0,100+(G1538-Table13[[#This Row],[Steps]]),G1538-Table13[[#This Row],[Steps]]),
))</f>
        <v>0</v>
      </c>
      <c r="F1539">
        <f>_xlfn.LET(_xlpm.dir,Table13[[#This Row],[Direction]],
IF(_xlpm.dir="R",
    IF(G1538+Table13[[#This Row],[Steps]]&gt;99,(G1538+Table13[[#This Row],[Steps]])-100,G1538+Table13[[#This Row],[Steps]]),
))</f>
        <v>88</v>
      </c>
      <c r="G1539">
        <f>IF(Table13[[#This Row],[New Pos L]]&lt;&gt;0,Table13[[#This Row],[New Pos L]],Table13[[#This Row],[New Pos R]])</f>
        <v>88</v>
      </c>
      <c r="H1539">
        <f>IF(AND(Table13[[#This Row],[Direction]]="L",Table13[[#This Row],[Steps]]&gt;G1538,G1538&lt;&gt;0),1,0)</f>
        <v>0</v>
      </c>
      <c r="I1539">
        <f>IF(AND(Table13[[#This Row],[Direction]]="R",(G1538+Table13[[#This Row],[Steps]])&gt;100),1,0)</f>
        <v>0</v>
      </c>
      <c r="J1539">
        <f>IF(Table13[[#This Row],[POS]]=0,1,0)</f>
        <v>0</v>
      </c>
      <c r="K1539">
        <f>SUM(Table13[[#This Row],[prefix]],Table13[[#This Row],[Past zero L]],Table13[[#This Row],[Past Zero R]],Table13[[#This Row],[Is Zero]])</f>
        <v>0</v>
      </c>
    </row>
    <row r="1540" spans="1:11" ht="16" x14ac:dyDescent="0.2">
      <c r="A1540" s="1" t="s">
        <v>455</v>
      </c>
      <c r="B1540" t="str">
        <f>LEFT(Table13[[#This Row],[Input]],1)</f>
        <v>L</v>
      </c>
      <c r="C1540">
        <f>_xlfn.LET(_xlpm.steps,SUBSTITUTE(Table13[[#This Row],[Input]],Table13[[#This Row],[Direction]],""),VALUE(IF(LEN(_xlpm.steps)&gt;2,RIGHT(_xlpm.steps,2),_xlpm.steps)))</f>
        <v>26</v>
      </c>
      <c r="D1540">
        <f>_xlfn.LET(_xlpm.steps,SUBSTITUTE(Table13[[#This Row],[Input]],Table13[[#This Row],[Direction]],""),VALUE(IF(LEN(_xlpm.steps)&gt;2,LEFT(_xlpm.steps,LEN(_xlpm.steps)-2),0)))</f>
        <v>2</v>
      </c>
      <c r="E1540">
        <f>_xlfn.LET(_xlpm.dir,Table13[[#This Row],[Direction]],
IF(_xlpm.dir="L",
    IF(G1539-Table13[[#This Row],[Steps]]&lt;0,100+(G1539-Table13[[#This Row],[Steps]]),G1539-Table13[[#This Row],[Steps]]),
))</f>
        <v>62</v>
      </c>
      <c r="F1540">
        <f>_xlfn.LET(_xlpm.dir,Table13[[#This Row],[Direction]],
IF(_xlpm.dir="R",
    IF(G1539+Table13[[#This Row],[Steps]]&gt;99,(G1539+Table13[[#This Row],[Steps]])-100,G1539+Table13[[#This Row],[Steps]]),
))</f>
        <v>0</v>
      </c>
      <c r="G1540">
        <f>IF(Table13[[#This Row],[New Pos L]]&lt;&gt;0,Table13[[#This Row],[New Pos L]],Table13[[#This Row],[New Pos R]])</f>
        <v>62</v>
      </c>
      <c r="H1540">
        <f>IF(AND(Table13[[#This Row],[Direction]]="L",Table13[[#This Row],[Steps]]&gt;G1539,G1539&lt;&gt;0),1,0)</f>
        <v>0</v>
      </c>
      <c r="I1540">
        <f>IF(AND(Table13[[#This Row],[Direction]]="R",(G1539+Table13[[#This Row],[Steps]])&gt;100),1,0)</f>
        <v>0</v>
      </c>
      <c r="J1540">
        <f>IF(Table13[[#This Row],[POS]]=0,1,0)</f>
        <v>0</v>
      </c>
      <c r="K1540">
        <f>SUM(Table13[[#This Row],[prefix]],Table13[[#This Row],[Past zero L]],Table13[[#This Row],[Past Zero R]],Table13[[#This Row],[Is Zero]])</f>
        <v>2</v>
      </c>
    </row>
    <row r="1541" spans="1:11" ht="16" x14ac:dyDescent="0.2">
      <c r="A1541" s="1" t="s">
        <v>76</v>
      </c>
      <c r="B1541" t="str">
        <f>LEFT(Table13[[#This Row],[Input]],1)</f>
        <v>R</v>
      </c>
      <c r="C1541">
        <f>_xlfn.LET(_xlpm.steps,SUBSTITUTE(Table13[[#This Row],[Input]],Table13[[#This Row],[Direction]],""),VALUE(IF(LEN(_xlpm.steps)&gt;2,RIGHT(_xlpm.steps,2),_xlpm.steps)))</f>
        <v>37</v>
      </c>
      <c r="D1541">
        <f>_xlfn.LET(_xlpm.steps,SUBSTITUTE(Table13[[#This Row],[Input]],Table13[[#This Row],[Direction]],""),VALUE(IF(LEN(_xlpm.steps)&gt;2,LEFT(_xlpm.steps,LEN(_xlpm.steps)-2),0)))</f>
        <v>0</v>
      </c>
      <c r="E1541">
        <f>_xlfn.LET(_xlpm.dir,Table13[[#This Row],[Direction]],
IF(_xlpm.dir="L",
    IF(G1540-Table13[[#This Row],[Steps]]&lt;0,100+(G1540-Table13[[#This Row],[Steps]]),G1540-Table13[[#This Row],[Steps]]),
))</f>
        <v>0</v>
      </c>
      <c r="F1541">
        <f>_xlfn.LET(_xlpm.dir,Table13[[#This Row],[Direction]],
IF(_xlpm.dir="R",
    IF(G1540+Table13[[#This Row],[Steps]]&gt;99,(G1540+Table13[[#This Row],[Steps]])-100,G1540+Table13[[#This Row],[Steps]]),
))</f>
        <v>99</v>
      </c>
      <c r="G1541">
        <f>IF(Table13[[#This Row],[New Pos L]]&lt;&gt;0,Table13[[#This Row],[New Pos L]],Table13[[#This Row],[New Pos R]])</f>
        <v>99</v>
      </c>
      <c r="H1541">
        <f>IF(AND(Table13[[#This Row],[Direction]]="L",Table13[[#This Row],[Steps]]&gt;G1540,G1540&lt;&gt;0),1,0)</f>
        <v>0</v>
      </c>
      <c r="I1541">
        <f>IF(AND(Table13[[#This Row],[Direction]]="R",(G1540+Table13[[#This Row],[Steps]])&gt;100),1,0)</f>
        <v>0</v>
      </c>
      <c r="J1541">
        <f>IF(Table13[[#This Row],[POS]]=0,1,0)</f>
        <v>0</v>
      </c>
      <c r="K1541">
        <f>SUM(Table13[[#This Row],[prefix]],Table13[[#This Row],[Past zero L]],Table13[[#This Row],[Past Zero R]],Table13[[#This Row],[Is Zero]])</f>
        <v>0</v>
      </c>
    </row>
    <row r="1542" spans="1:11" ht="16" x14ac:dyDescent="0.2">
      <c r="A1542" s="1" t="s">
        <v>363</v>
      </c>
      <c r="B1542" t="str">
        <f>LEFT(Table13[[#This Row],[Input]],1)</f>
        <v>R</v>
      </c>
      <c r="C1542">
        <f>_xlfn.LET(_xlpm.steps,SUBSTITUTE(Table13[[#This Row],[Input]],Table13[[#This Row],[Direction]],""),VALUE(IF(LEN(_xlpm.steps)&gt;2,RIGHT(_xlpm.steps,2),_xlpm.steps)))</f>
        <v>63</v>
      </c>
      <c r="D1542">
        <f>_xlfn.LET(_xlpm.steps,SUBSTITUTE(Table13[[#This Row],[Input]],Table13[[#This Row],[Direction]],""),VALUE(IF(LEN(_xlpm.steps)&gt;2,LEFT(_xlpm.steps,LEN(_xlpm.steps)-2),0)))</f>
        <v>0</v>
      </c>
      <c r="E1542">
        <f>_xlfn.LET(_xlpm.dir,Table13[[#This Row],[Direction]],
IF(_xlpm.dir="L",
    IF(G1541-Table13[[#This Row],[Steps]]&lt;0,100+(G1541-Table13[[#This Row],[Steps]]),G1541-Table13[[#This Row],[Steps]]),
))</f>
        <v>0</v>
      </c>
      <c r="F1542">
        <f>_xlfn.LET(_xlpm.dir,Table13[[#This Row],[Direction]],
IF(_xlpm.dir="R",
    IF(G1541+Table13[[#This Row],[Steps]]&gt;99,(G1541+Table13[[#This Row],[Steps]])-100,G1541+Table13[[#This Row],[Steps]]),
))</f>
        <v>62</v>
      </c>
      <c r="G1542">
        <f>IF(Table13[[#This Row],[New Pos L]]&lt;&gt;0,Table13[[#This Row],[New Pos L]],Table13[[#This Row],[New Pos R]])</f>
        <v>62</v>
      </c>
      <c r="H1542">
        <f>IF(AND(Table13[[#This Row],[Direction]]="L",Table13[[#This Row],[Steps]]&gt;G1541,G1541&lt;&gt;0),1,0)</f>
        <v>0</v>
      </c>
      <c r="I1542">
        <f>IF(AND(Table13[[#This Row],[Direction]]="R",(G1541+Table13[[#This Row],[Steps]])&gt;100),1,0)</f>
        <v>1</v>
      </c>
      <c r="J1542">
        <f>IF(Table13[[#This Row],[POS]]=0,1,0)</f>
        <v>0</v>
      </c>
      <c r="K1542">
        <f>SUM(Table13[[#This Row],[prefix]],Table13[[#This Row],[Past zero L]],Table13[[#This Row],[Past Zero R]],Table13[[#This Row],[Is Zero]])</f>
        <v>1</v>
      </c>
    </row>
    <row r="1543" spans="1:11" ht="16" x14ac:dyDescent="0.2">
      <c r="A1543" s="1" t="s">
        <v>456</v>
      </c>
      <c r="B1543" t="str">
        <f>LEFT(Table13[[#This Row],[Input]],1)</f>
        <v>L</v>
      </c>
      <c r="C1543">
        <f>_xlfn.LET(_xlpm.steps,SUBSTITUTE(Table13[[#This Row],[Input]],Table13[[#This Row],[Direction]],""),VALUE(IF(LEN(_xlpm.steps)&gt;2,RIGHT(_xlpm.steps,2),_xlpm.steps)))</f>
        <v>62</v>
      </c>
      <c r="D1543">
        <f>_xlfn.LET(_xlpm.steps,SUBSTITUTE(Table13[[#This Row],[Input]],Table13[[#This Row],[Direction]],""),VALUE(IF(LEN(_xlpm.steps)&gt;2,LEFT(_xlpm.steps,LEN(_xlpm.steps)-2),0)))</f>
        <v>6</v>
      </c>
      <c r="E1543">
        <f>_xlfn.LET(_xlpm.dir,Table13[[#This Row],[Direction]],
IF(_xlpm.dir="L",
    IF(G1542-Table13[[#This Row],[Steps]]&lt;0,100+(G1542-Table13[[#This Row],[Steps]]),G1542-Table13[[#This Row],[Steps]]),
))</f>
        <v>0</v>
      </c>
      <c r="F1543">
        <f>_xlfn.LET(_xlpm.dir,Table13[[#This Row],[Direction]],
IF(_xlpm.dir="R",
    IF(G1542+Table13[[#This Row],[Steps]]&gt;99,(G1542+Table13[[#This Row],[Steps]])-100,G1542+Table13[[#This Row],[Steps]]),
))</f>
        <v>0</v>
      </c>
      <c r="G1543">
        <f>IF(Table13[[#This Row],[New Pos L]]&lt;&gt;0,Table13[[#This Row],[New Pos L]],Table13[[#This Row],[New Pos R]])</f>
        <v>0</v>
      </c>
      <c r="H1543">
        <f>IF(AND(Table13[[#This Row],[Direction]]="L",Table13[[#This Row],[Steps]]&gt;G1542,G1542&lt;&gt;0),1,0)</f>
        <v>0</v>
      </c>
      <c r="I1543">
        <f>IF(AND(Table13[[#This Row],[Direction]]="R",(G1542+Table13[[#This Row],[Steps]])&gt;100),1,0)</f>
        <v>0</v>
      </c>
      <c r="J1543">
        <f>IF(Table13[[#This Row],[POS]]=0,1,0)</f>
        <v>1</v>
      </c>
      <c r="K1543">
        <f>SUM(Table13[[#This Row],[prefix]],Table13[[#This Row],[Past zero L]],Table13[[#This Row],[Past Zero R]],Table13[[#This Row],[Is Zero]])</f>
        <v>7</v>
      </c>
    </row>
    <row r="1544" spans="1:11" ht="16" x14ac:dyDescent="0.2">
      <c r="A1544" s="1" t="s">
        <v>457</v>
      </c>
      <c r="B1544" t="str">
        <f>LEFT(Table13[[#This Row],[Input]],1)</f>
        <v>L</v>
      </c>
      <c r="C1544">
        <f>_xlfn.LET(_xlpm.steps,SUBSTITUTE(Table13[[#This Row],[Input]],Table13[[#This Row],[Direction]],""),VALUE(IF(LEN(_xlpm.steps)&gt;2,RIGHT(_xlpm.steps,2),_xlpm.steps)))</f>
        <v>26</v>
      </c>
      <c r="D1544">
        <f>_xlfn.LET(_xlpm.steps,SUBSTITUTE(Table13[[#This Row],[Input]],Table13[[#This Row],[Direction]],""),VALUE(IF(LEN(_xlpm.steps)&gt;2,LEFT(_xlpm.steps,LEN(_xlpm.steps)-2),0)))</f>
        <v>4</v>
      </c>
      <c r="E1544">
        <f>_xlfn.LET(_xlpm.dir,Table13[[#This Row],[Direction]],
IF(_xlpm.dir="L",
    IF(G1543-Table13[[#This Row],[Steps]]&lt;0,100+(G1543-Table13[[#This Row],[Steps]]),G1543-Table13[[#This Row],[Steps]]),
))</f>
        <v>74</v>
      </c>
      <c r="F1544">
        <f>_xlfn.LET(_xlpm.dir,Table13[[#This Row],[Direction]],
IF(_xlpm.dir="R",
    IF(G1543+Table13[[#This Row],[Steps]]&gt;99,(G1543+Table13[[#This Row],[Steps]])-100,G1543+Table13[[#This Row],[Steps]]),
))</f>
        <v>0</v>
      </c>
      <c r="G1544">
        <f>IF(Table13[[#This Row],[New Pos L]]&lt;&gt;0,Table13[[#This Row],[New Pos L]],Table13[[#This Row],[New Pos R]])</f>
        <v>74</v>
      </c>
      <c r="H1544">
        <f>IF(AND(Table13[[#This Row],[Direction]]="L",Table13[[#This Row],[Steps]]&gt;G1543,G1543&lt;&gt;0),1,0)</f>
        <v>0</v>
      </c>
      <c r="I1544">
        <f>IF(AND(Table13[[#This Row],[Direction]]="R",(G1543+Table13[[#This Row],[Steps]])&gt;100),1,0)</f>
        <v>0</v>
      </c>
      <c r="J1544">
        <f>IF(Table13[[#This Row],[POS]]=0,1,0)</f>
        <v>0</v>
      </c>
      <c r="K1544">
        <f>SUM(Table13[[#This Row],[prefix]],Table13[[#This Row],[Past zero L]],Table13[[#This Row],[Past Zero R]],Table13[[#This Row],[Is Zero]])</f>
        <v>4</v>
      </c>
    </row>
    <row r="1545" spans="1:11" ht="16" x14ac:dyDescent="0.2">
      <c r="A1545" s="1" t="s">
        <v>151</v>
      </c>
      <c r="B1545" t="str">
        <f>LEFT(Table13[[#This Row],[Input]],1)</f>
        <v>L</v>
      </c>
      <c r="C1545">
        <f>_xlfn.LET(_xlpm.steps,SUBSTITUTE(Table13[[#This Row],[Input]],Table13[[#This Row],[Direction]],""),VALUE(IF(LEN(_xlpm.steps)&gt;2,RIGHT(_xlpm.steps,2),_xlpm.steps)))</f>
        <v>74</v>
      </c>
      <c r="D1545">
        <f>_xlfn.LET(_xlpm.steps,SUBSTITUTE(Table13[[#This Row],[Input]],Table13[[#This Row],[Direction]],""),VALUE(IF(LEN(_xlpm.steps)&gt;2,LEFT(_xlpm.steps,LEN(_xlpm.steps)-2),0)))</f>
        <v>0</v>
      </c>
      <c r="E1545">
        <f>_xlfn.LET(_xlpm.dir,Table13[[#This Row],[Direction]],
IF(_xlpm.dir="L",
    IF(G1544-Table13[[#This Row],[Steps]]&lt;0,100+(G1544-Table13[[#This Row],[Steps]]),G1544-Table13[[#This Row],[Steps]]),
))</f>
        <v>0</v>
      </c>
      <c r="F1545">
        <f>_xlfn.LET(_xlpm.dir,Table13[[#This Row],[Direction]],
IF(_xlpm.dir="R",
    IF(G1544+Table13[[#This Row],[Steps]]&gt;99,(G1544+Table13[[#This Row],[Steps]])-100,G1544+Table13[[#This Row],[Steps]]),
))</f>
        <v>0</v>
      </c>
      <c r="G1545">
        <f>IF(Table13[[#This Row],[New Pos L]]&lt;&gt;0,Table13[[#This Row],[New Pos L]],Table13[[#This Row],[New Pos R]])</f>
        <v>0</v>
      </c>
      <c r="H1545">
        <f>IF(AND(Table13[[#This Row],[Direction]]="L",Table13[[#This Row],[Steps]]&gt;G1544,G1544&lt;&gt;0),1,0)</f>
        <v>0</v>
      </c>
      <c r="I1545">
        <f>IF(AND(Table13[[#This Row],[Direction]]="R",(G1544+Table13[[#This Row],[Steps]])&gt;100),1,0)</f>
        <v>0</v>
      </c>
      <c r="J1545">
        <f>IF(Table13[[#This Row],[POS]]=0,1,0)</f>
        <v>1</v>
      </c>
      <c r="K1545">
        <f>SUM(Table13[[#This Row],[prefix]],Table13[[#This Row],[Past zero L]],Table13[[#This Row],[Past Zero R]],Table13[[#This Row],[Is Zero]])</f>
        <v>1</v>
      </c>
    </row>
    <row r="1546" spans="1:11" ht="16" x14ac:dyDescent="0.2">
      <c r="A1546" s="1" t="s">
        <v>207</v>
      </c>
      <c r="B1546" t="str">
        <f>LEFT(Table13[[#This Row],[Input]],1)</f>
        <v>L</v>
      </c>
      <c r="C1546">
        <f>_xlfn.LET(_xlpm.steps,SUBSTITUTE(Table13[[#This Row],[Input]],Table13[[#This Row],[Direction]],""),VALUE(IF(LEN(_xlpm.steps)&gt;2,RIGHT(_xlpm.steps,2),_xlpm.steps)))</f>
        <v>89</v>
      </c>
      <c r="D1546">
        <f>_xlfn.LET(_xlpm.steps,SUBSTITUTE(Table13[[#This Row],[Input]],Table13[[#This Row],[Direction]],""),VALUE(IF(LEN(_xlpm.steps)&gt;2,LEFT(_xlpm.steps,LEN(_xlpm.steps)-2),0)))</f>
        <v>0</v>
      </c>
      <c r="E1546">
        <f>_xlfn.LET(_xlpm.dir,Table13[[#This Row],[Direction]],
IF(_xlpm.dir="L",
    IF(G1545-Table13[[#This Row],[Steps]]&lt;0,100+(G1545-Table13[[#This Row],[Steps]]),G1545-Table13[[#This Row],[Steps]]),
))</f>
        <v>11</v>
      </c>
      <c r="F1546">
        <f>_xlfn.LET(_xlpm.dir,Table13[[#This Row],[Direction]],
IF(_xlpm.dir="R",
    IF(G1545+Table13[[#This Row],[Steps]]&gt;99,(G1545+Table13[[#This Row],[Steps]])-100,G1545+Table13[[#This Row],[Steps]]),
))</f>
        <v>0</v>
      </c>
      <c r="G1546">
        <f>IF(Table13[[#This Row],[New Pos L]]&lt;&gt;0,Table13[[#This Row],[New Pos L]],Table13[[#This Row],[New Pos R]])</f>
        <v>11</v>
      </c>
      <c r="H1546">
        <f>IF(AND(Table13[[#This Row],[Direction]]="L",Table13[[#This Row],[Steps]]&gt;G1545,G1545&lt;&gt;0),1,0)</f>
        <v>0</v>
      </c>
      <c r="I1546">
        <f>IF(AND(Table13[[#This Row],[Direction]]="R",(G1545+Table13[[#This Row],[Steps]])&gt;100),1,0)</f>
        <v>0</v>
      </c>
      <c r="J1546">
        <f>IF(Table13[[#This Row],[POS]]=0,1,0)</f>
        <v>0</v>
      </c>
      <c r="K1546">
        <f>SUM(Table13[[#This Row],[prefix]],Table13[[#This Row],[Past zero L]],Table13[[#This Row],[Past Zero R]],Table13[[#This Row],[Is Zero]])</f>
        <v>0</v>
      </c>
    </row>
    <row r="1547" spans="1:11" ht="16" x14ac:dyDescent="0.2">
      <c r="A1547" s="1" t="s">
        <v>12</v>
      </c>
      <c r="B1547" t="str">
        <f>LEFT(Table13[[#This Row],[Input]],1)</f>
        <v>L</v>
      </c>
      <c r="C1547">
        <f>_xlfn.LET(_xlpm.steps,SUBSTITUTE(Table13[[#This Row],[Input]],Table13[[#This Row],[Direction]],""),VALUE(IF(LEN(_xlpm.steps)&gt;2,RIGHT(_xlpm.steps,2),_xlpm.steps)))</f>
        <v>11</v>
      </c>
      <c r="D1547">
        <f>_xlfn.LET(_xlpm.steps,SUBSTITUTE(Table13[[#This Row],[Input]],Table13[[#This Row],[Direction]],""),VALUE(IF(LEN(_xlpm.steps)&gt;2,LEFT(_xlpm.steps,LEN(_xlpm.steps)-2),0)))</f>
        <v>0</v>
      </c>
      <c r="E1547">
        <f>_xlfn.LET(_xlpm.dir,Table13[[#This Row],[Direction]],
IF(_xlpm.dir="L",
    IF(G1546-Table13[[#This Row],[Steps]]&lt;0,100+(G1546-Table13[[#This Row],[Steps]]),G1546-Table13[[#This Row],[Steps]]),
))</f>
        <v>0</v>
      </c>
      <c r="F1547">
        <f>_xlfn.LET(_xlpm.dir,Table13[[#This Row],[Direction]],
IF(_xlpm.dir="R",
    IF(G1546+Table13[[#This Row],[Steps]]&gt;99,(G1546+Table13[[#This Row],[Steps]])-100,G1546+Table13[[#This Row],[Steps]]),
))</f>
        <v>0</v>
      </c>
      <c r="G1547">
        <f>IF(Table13[[#This Row],[New Pos L]]&lt;&gt;0,Table13[[#This Row],[New Pos L]],Table13[[#This Row],[New Pos R]])</f>
        <v>0</v>
      </c>
      <c r="H1547">
        <f>IF(AND(Table13[[#This Row],[Direction]]="L",Table13[[#This Row],[Steps]]&gt;G1546,G1546&lt;&gt;0),1,0)</f>
        <v>0</v>
      </c>
      <c r="I1547">
        <f>IF(AND(Table13[[#This Row],[Direction]]="R",(G1546+Table13[[#This Row],[Steps]])&gt;100),1,0)</f>
        <v>0</v>
      </c>
      <c r="J1547">
        <f>IF(Table13[[#This Row],[POS]]=0,1,0)</f>
        <v>1</v>
      </c>
      <c r="K1547">
        <f>SUM(Table13[[#This Row],[prefix]],Table13[[#This Row],[Past zero L]],Table13[[#This Row],[Past Zero R]],Table13[[#This Row],[Is Zero]])</f>
        <v>1</v>
      </c>
    </row>
    <row r="1548" spans="1:11" ht="16" x14ac:dyDescent="0.2">
      <c r="A1548" s="1" t="s">
        <v>132</v>
      </c>
      <c r="B1548" t="str">
        <f>LEFT(Table13[[#This Row],[Input]],1)</f>
        <v>L</v>
      </c>
      <c r="C1548">
        <f>_xlfn.LET(_xlpm.steps,SUBSTITUTE(Table13[[#This Row],[Input]],Table13[[#This Row],[Direction]],""),VALUE(IF(LEN(_xlpm.steps)&gt;2,RIGHT(_xlpm.steps,2),_xlpm.steps)))</f>
        <v>51</v>
      </c>
      <c r="D1548">
        <f>_xlfn.LET(_xlpm.steps,SUBSTITUTE(Table13[[#This Row],[Input]],Table13[[#This Row],[Direction]],""),VALUE(IF(LEN(_xlpm.steps)&gt;2,LEFT(_xlpm.steps,LEN(_xlpm.steps)-2),0)))</f>
        <v>0</v>
      </c>
      <c r="E1548">
        <f>_xlfn.LET(_xlpm.dir,Table13[[#This Row],[Direction]],
IF(_xlpm.dir="L",
    IF(G1547-Table13[[#This Row],[Steps]]&lt;0,100+(G1547-Table13[[#This Row],[Steps]]),G1547-Table13[[#This Row],[Steps]]),
))</f>
        <v>49</v>
      </c>
      <c r="F1548">
        <f>_xlfn.LET(_xlpm.dir,Table13[[#This Row],[Direction]],
IF(_xlpm.dir="R",
    IF(G1547+Table13[[#This Row],[Steps]]&gt;99,(G1547+Table13[[#This Row],[Steps]])-100,G1547+Table13[[#This Row],[Steps]]),
))</f>
        <v>0</v>
      </c>
      <c r="G1548">
        <f>IF(Table13[[#This Row],[New Pos L]]&lt;&gt;0,Table13[[#This Row],[New Pos L]],Table13[[#This Row],[New Pos R]])</f>
        <v>49</v>
      </c>
      <c r="H1548">
        <f>IF(AND(Table13[[#This Row],[Direction]]="L",Table13[[#This Row],[Steps]]&gt;G1547,G1547&lt;&gt;0),1,0)</f>
        <v>0</v>
      </c>
      <c r="I1548">
        <f>IF(AND(Table13[[#This Row],[Direction]]="R",(G1547+Table13[[#This Row],[Steps]])&gt;100),1,0)</f>
        <v>0</v>
      </c>
      <c r="J1548">
        <f>IF(Table13[[#This Row],[POS]]=0,1,0)</f>
        <v>0</v>
      </c>
      <c r="K1548">
        <f>SUM(Table13[[#This Row],[prefix]],Table13[[#This Row],[Past zero L]],Table13[[#This Row],[Past Zero R]],Table13[[#This Row],[Is Zero]])</f>
        <v>0</v>
      </c>
    </row>
    <row r="1549" spans="1:11" ht="16" x14ac:dyDescent="0.2">
      <c r="A1549" s="1" t="s">
        <v>186</v>
      </c>
      <c r="B1549" t="str">
        <f>LEFT(Table13[[#This Row],[Input]],1)</f>
        <v>L</v>
      </c>
      <c r="C1549">
        <f>_xlfn.LET(_xlpm.steps,SUBSTITUTE(Table13[[#This Row],[Input]],Table13[[#This Row],[Direction]],""),VALUE(IF(LEN(_xlpm.steps)&gt;2,RIGHT(_xlpm.steps,2),_xlpm.steps)))</f>
        <v>84</v>
      </c>
      <c r="D1549">
        <f>_xlfn.LET(_xlpm.steps,SUBSTITUTE(Table13[[#This Row],[Input]],Table13[[#This Row],[Direction]],""),VALUE(IF(LEN(_xlpm.steps)&gt;2,LEFT(_xlpm.steps,LEN(_xlpm.steps)-2),0)))</f>
        <v>0</v>
      </c>
      <c r="E1549">
        <f>_xlfn.LET(_xlpm.dir,Table13[[#This Row],[Direction]],
IF(_xlpm.dir="L",
    IF(G1548-Table13[[#This Row],[Steps]]&lt;0,100+(G1548-Table13[[#This Row],[Steps]]),G1548-Table13[[#This Row],[Steps]]),
))</f>
        <v>65</v>
      </c>
      <c r="F1549">
        <f>_xlfn.LET(_xlpm.dir,Table13[[#This Row],[Direction]],
IF(_xlpm.dir="R",
    IF(G1548+Table13[[#This Row],[Steps]]&gt;99,(G1548+Table13[[#This Row],[Steps]])-100,G1548+Table13[[#This Row],[Steps]]),
))</f>
        <v>0</v>
      </c>
      <c r="G1549">
        <f>IF(Table13[[#This Row],[New Pos L]]&lt;&gt;0,Table13[[#This Row],[New Pos L]],Table13[[#This Row],[New Pos R]])</f>
        <v>65</v>
      </c>
      <c r="H1549">
        <f>IF(AND(Table13[[#This Row],[Direction]]="L",Table13[[#This Row],[Steps]]&gt;G1548,G1548&lt;&gt;0),1,0)</f>
        <v>1</v>
      </c>
      <c r="I1549">
        <f>IF(AND(Table13[[#This Row],[Direction]]="R",(G1548+Table13[[#This Row],[Steps]])&gt;100),1,0)</f>
        <v>0</v>
      </c>
      <c r="J1549">
        <f>IF(Table13[[#This Row],[POS]]=0,1,0)</f>
        <v>0</v>
      </c>
      <c r="K1549">
        <f>SUM(Table13[[#This Row],[prefix]],Table13[[#This Row],[Past zero L]],Table13[[#This Row],[Past Zero R]],Table13[[#This Row],[Is Zero]])</f>
        <v>1</v>
      </c>
    </row>
    <row r="1550" spans="1:11" ht="16" x14ac:dyDescent="0.2">
      <c r="A1550" s="1" t="s">
        <v>252</v>
      </c>
      <c r="B1550" t="str">
        <f>LEFT(Table13[[#This Row],[Input]],1)</f>
        <v>L</v>
      </c>
      <c r="C1550">
        <f>_xlfn.LET(_xlpm.steps,SUBSTITUTE(Table13[[#This Row],[Input]],Table13[[#This Row],[Direction]],""),VALUE(IF(LEN(_xlpm.steps)&gt;2,RIGHT(_xlpm.steps,2),_xlpm.steps)))</f>
        <v>99</v>
      </c>
      <c r="D1550">
        <f>_xlfn.LET(_xlpm.steps,SUBSTITUTE(Table13[[#This Row],[Input]],Table13[[#This Row],[Direction]],""),VALUE(IF(LEN(_xlpm.steps)&gt;2,LEFT(_xlpm.steps,LEN(_xlpm.steps)-2),0)))</f>
        <v>0</v>
      </c>
      <c r="E1550">
        <f>_xlfn.LET(_xlpm.dir,Table13[[#This Row],[Direction]],
IF(_xlpm.dir="L",
    IF(G1549-Table13[[#This Row],[Steps]]&lt;0,100+(G1549-Table13[[#This Row],[Steps]]),G1549-Table13[[#This Row],[Steps]]),
))</f>
        <v>66</v>
      </c>
      <c r="F1550">
        <f>_xlfn.LET(_xlpm.dir,Table13[[#This Row],[Direction]],
IF(_xlpm.dir="R",
    IF(G1549+Table13[[#This Row],[Steps]]&gt;99,(G1549+Table13[[#This Row],[Steps]])-100,G1549+Table13[[#This Row],[Steps]]),
))</f>
        <v>0</v>
      </c>
      <c r="G1550">
        <f>IF(Table13[[#This Row],[New Pos L]]&lt;&gt;0,Table13[[#This Row],[New Pos L]],Table13[[#This Row],[New Pos R]])</f>
        <v>66</v>
      </c>
      <c r="H1550">
        <f>IF(AND(Table13[[#This Row],[Direction]]="L",Table13[[#This Row],[Steps]]&gt;G1549,G1549&lt;&gt;0),1,0)</f>
        <v>1</v>
      </c>
      <c r="I1550">
        <f>IF(AND(Table13[[#This Row],[Direction]]="R",(G1549+Table13[[#This Row],[Steps]])&gt;100),1,0)</f>
        <v>0</v>
      </c>
      <c r="J1550">
        <f>IF(Table13[[#This Row],[POS]]=0,1,0)</f>
        <v>0</v>
      </c>
      <c r="K1550">
        <f>SUM(Table13[[#This Row],[prefix]],Table13[[#This Row],[Past zero L]],Table13[[#This Row],[Past Zero R]],Table13[[#This Row],[Is Zero]])</f>
        <v>1</v>
      </c>
    </row>
    <row r="1551" spans="1:11" ht="16" x14ac:dyDescent="0.2">
      <c r="A1551" s="1" t="s">
        <v>241</v>
      </c>
      <c r="B1551" t="str">
        <f>LEFT(Table13[[#This Row],[Input]],1)</f>
        <v>R</v>
      </c>
      <c r="C1551">
        <f>_xlfn.LET(_xlpm.steps,SUBSTITUTE(Table13[[#This Row],[Input]],Table13[[#This Row],[Direction]],""),VALUE(IF(LEN(_xlpm.steps)&gt;2,RIGHT(_xlpm.steps,2),_xlpm.steps)))</f>
        <v>60</v>
      </c>
      <c r="D1551">
        <f>_xlfn.LET(_xlpm.steps,SUBSTITUTE(Table13[[#This Row],[Input]],Table13[[#This Row],[Direction]],""),VALUE(IF(LEN(_xlpm.steps)&gt;2,LEFT(_xlpm.steps,LEN(_xlpm.steps)-2),0)))</f>
        <v>0</v>
      </c>
      <c r="E1551">
        <f>_xlfn.LET(_xlpm.dir,Table13[[#This Row],[Direction]],
IF(_xlpm.dir="L",
    IF(G1550-Table13[[#This Row],[Steps]]&lt;0,100+(G1550-Table13[[#This Row],[Steps]]),G1550-Table13[[#This Row],[Steps]]),
))</f>
        <v>0</v>
      </c>
      <c r="F1551">
        <f>_xlfn.LET(_xlpm.dir,Table13[[#This Row],[Direction]],
IF(_xlpm.dir="R",
    IF(G1550+Table13[[#This Row],[Steps]]&gt;99,(G1550+Table13[[#This Row],[Steps]])-100,G1550+Table13[[#This Row],[Steps]]),
))</f>
        <v>26</v>
      </c>
      <c r="G1551">
        <f>IF(Table13[[#This Row],[New Pos L]]&lt;&gt;0,Table13[[#This Row],[New Pos L]],Table13[[#This Row],[New Pos R]])</f>
        <v>26</v>
      </c>
      <c r="H1551">
        <f>IF(AND(Table13[[#This Row],[Direction]]="L",Table13[[#This Row],[Steps]]&gt;G1550,G1550&lt;&gt;0),1,0)</f>
        <v>0</v>
      </c>
      <c r="I1551">
        <f>IF(AND(Table13[[#This Row],[Direction]]="R",(G1550+Table13[[#This Row],[Steps]])&gt;100),1,0)</f>
        <v>1</v>
      </c>
      <c r="J1551">
        <f>IF(Table13[[#This Row],[POS]]=0,1,0)</f>
        <v>0</v>
      </c>
      <c r="K1551">
        <f>SUM(Table13[[#This Row],[prefix]],Table13[[#This Row],[Past zero L]],Table13[[#This Row],[Past Zero R]],Table13[[#This Row],[Is Zero]])</f>
        <v>1</v>
      </c>
    </row>
    <row r="1552" spans="1:11" ht="16" x14ac:dyDescent="0.2">
      <c r="A1552" s="1" t="s">
        <v>53</v>
      </c>
      <c r="B1552" t="str">
        <f>LEFT(Table13[[#This Row],[Input]],1)</f>
        <v>L</v>
      </c>
      <c r="C1552">
        <f>_xlfn.LET(_xlpm.steps,SUBSTITUTE(Table13[[#This Row],[Input]],Table13[[#This Row],[Direction]],""),VALUE(IF(LEN(_xlpm.steps)&gt;2,RIGHT(_xlpm.steps,2),_xlpm.steps)))</f>
        <v>56</v>
      </c>
      <c r="D1552">
        <f>_xlfn.LET(_xlpm.steps,SUBSTITUTE(Table13[[#This Row],[Input]],Table13[[#This Row],[Direction]],""),VALUE(IF(LEN(_xlpm.steps)&gt;2,LEFT(_xlpm.steps,LEN(_xlpm.steps)-2),0)))</f>
        <v>0</v>
      </c>
      <c r="E1552">
        <f>_xlfn.LET(_xlpm.dir,Table13[[#This Row],[Direction]],
IF(_xlpm.dir="L",
    IF(G1551-Table13[[#This Row],[Steps]]&lt;0,100+(G1551-Table13[[#This Row],[Steps]]),G1551-Table13[[#This Row],[Steps]]),
))</f>
        <v>70</v>
      </c>
      <c r="F1552">
        <f>_xlfn.LET(_xlpm.dir,Table13[[#This Row],[Direction]],
IF(_xlpm.dir="R",
    IF(G1551+Table13[[#This Row],[Steps]]&gt;99,(G1551+Table13[[#This Row],[Steps]])-100,G1551+Table13[[#This Row],[Steps]]),
))</f>
        <v>0</v>
      </c>
      <c r="G1552">
        <f>IF(Table13[[#This Row],[New Pos L]]&lt;&gt;0,Table13[[#This Row],[New Pos L]],Table13[[#This Row],[New Pos R]])</f>
        <v>70</v>
      </c>
      <c r="H1552">
        <f>IF(AND(Table13[[#This Row],[Direction]]="L",Table13[[#This Row],[Steps]]&gt;G1551,G1551&lt;&gt;0),1,0)</f>
        <v>1</v>
      </c>
      <c r="I1552">
        <f>IF(AND(Table13[[#This Row],[Direction]]="R",(G1551+Table13[[#This Row],[Steps]])&gt;100),1,0)</f>
        <v>0</v>
      </c>
      <c r="J1552">
        <f>IF(Table13[[#This Row],[POS]]=0,1,0)</f>
        <v>0</v>
      </c>
      <c r="K1552">
        <f>SUM(Table13[[#This Row],[prefix]],Table13[[#This Row],[Past zero L]],Table13[[#This Row],[Past Zero R]],Table13[[#This Row],[Is Zero]])</f>
        <v>1</v>
      </c>
    </row>
    <row r="1553" spans="1:11" ht="16" x14ac:dyDescent="0.2">
      <c r="A1553" s="1" t="s">
        <v>458</v>
      </c>
      <c r="B1553" t="str">
        <f>LEFT(Table13[[#This Row],[Input]],1)</f>
        <v>L</v>
      </c>
      <c r="C1553">
        <f>_xlfn.LET(_xlpm.steps,SUBSTITUTE(Table13[[#This Row],[Input]],Table13[[#This Row],[Direction]],""),VALUE(IF(LEN(_xlpm.steps)&gt;2,RIGHT(_xlpm.steps,2),_xlpm.steps)))</f>
        <v>85</v>
      </c>
      <c r="D1553">
        <f>_xlfn.LET(_xlpm.steps,SUBSTITUTE(Table13[[#This Row],[Input]],Table13[[#This Row],[Direction]],""),VALUE(IF(LEN(_xlpm.steps)&gt;2,LEFT(_xlpm.steps,LEN(_xlpm.steps)-2),0)))</f>
        <v>3</v>
      </c>
      <c r="E1553">
        <f>_xlfn.LET(_xlpm.dir,Table13[[#This Row],[Direction]],
IF(_xlpm.dir="L",
    IF(G1552-Table13[[#This Row],[Steps]]&lt;0,100+(G1552-Table13[[#This Row],[Steps]]),G1552-Table13[[#This Row],[Steps]]),
))</f>
        <v>85</v>
      </c>
      <c r="F1553">
        <f>_xlfn.LET(_xlpm.dir,Table13[[#This Row],[Direction]],
IF(_xlpm.dir="R",
    IF(G1552+Table13[[#This Row],[Steps]]&gt;99,(G1552+Table13[[#This Row],[Steps]])-100,G1552+Table13[[#This Row],[Steps]]),
))</f>
        <v>0</v>
      </c>
      <c r="G1553">
        <f>IF(Table13[[#This Row],[New Pos L]]&lt;&gt;0,Table13[[#This Row],[New Pos L]],Table13[[#This Row],[New Pos R]])</f>
        <v>85</v>
      </c>
      <c r="H1553">
        <f>IF(AND(Table13[[#This Row],[Direction]]="L",Table13[[#This Row],[Steps]]&gt;G1552,G1552&lt;&gt;0),1,0)</f>
        <v>1</v>
      </c>
      <c r="I1553">
        <f>IF(AND(Table13[[#This Row],[Direction]]="R",(G1552+Table13[[#This Row],[Steps]])&gt;100),1,0)</f>
        <v>0</v>
      </c>
      <c r="J1553">
        <f>IF(Table13[[#This Row],[POS]]=0,1,0)</f>
        <v>0</v>
      </c>
      <c r="K1553">
        <f>SUM(Table13[[#This Row],[prefix]],Table13[[#This Row],[Past zero L]],Table13[[#This Row],[Past Zero R]],Table13[[#This Row],[Is Zero]])</f>
        <v>4</v>
      </c>
    </row>
    <row r="1554" spans="1:11" ht="16" x14ac:dyDescent="0.2">
      <c r="A1554" s="1" t="s">
        <v>260</v>
      </c>
      <c r="B1554" t="str">
        <f>LEFT(Table13[[#This Row],[Input]],1)</f>
        <v>L</v>
      </c>
      <c r="C1554">
        <f>_xlfn.LET(_xlpm.steps,SUBSTITUTE(Table13[[#This Row],[Input]],Table13[[#This Row],[Direction]],""),VALUE(IF(LEN(_xlpm.steps)&gt;2,RIGHT(_xlpm.steps,2),_xlpm.steps)))</f>
        <v>85</v>
      </c>
      <c r="D1554">
        <f>_xlfn.LET(_xlpm.steps,SUBSTITUTE(Table13[[#This Row],[Input]],Table13[[#This Row],[Direction]],""),VALUE(IF(LEN(_xlpm.steps)&gt;2,LEFT(_xlpm.steps,LEN(_xlpm.steps)-2),0)))</f>
        <v>0</v>
      </c>
      <c r="E1554">
        <f>_xlfn.LET(_xlpm.dir,Table13[[#This Row],[Direction]],
IF(_xlpm.dir="L",
    IF(G1553-Table13[[#This Row],[Steps]]&lt;0,100+(G1553-Table13[[#This Row],[Steps]]),G1553-Table13[[#This Row],[Steps]]),
))</f>
        <v>0</v>
      </c>
      <c r="F1554">
        <f>_xlfn.LET(_xlpm.dir,Table13[[#This Row],[Direction]],
IF(_xlpm.dir="R",
    IF(G1553+Table13[[#This Row],[Steps]]&gt;99,(G1553+Table13[[#This Row],[Steps]])-100,G1553+Table13[[#This Row],[Steps]]),
))</f>
        <v>0</v>
      </c>
      <c r="G1554">
        <f>IF(Table13[[#This Row],[New Pos L]]&lt;&gt;0,Table13[[#This Row],[New Pos L]],Table13[[#This Row],[New Pos R]])</f>
        <v>0</v>
      </c>
      <c r="H1554">
        <f>IF(AND(Table13[[#This Row],[Direction]]="L",Table13[[#This Row],[Steps]]&gt;G1553,G1553&lt;&gt;0),1,0)</f>
        <v>0</v>
      </c>
      <c r="I1554">
        <f>IF(AND(Table13[[#This Row],[Direction]]="R",(G1553+Table13[[#This Row],[Steps]])&gt;100),1,0)</f>
        <v>0</v>
      </c>
      <c r="J1554">
        <f>IF(Table13[[#This Row],[POS]]=0,1,0)</f>
        <v>1</v>
      </c>
      <c r="K1554">
        <f>SUM(Table13[[#This Row],[prefix]],Table13[[#This Row],[Past zero L]],Table13[[#This Row],[Past Zero R]],Table13[[#This Row],[Is Zero]])</f>
        <v>1</v>
      </c>
    </row>
    <row r="1555" spans="1:11" ht="16" x14ac:dyDescent="0.2">
      <c r="A1555" s="1" t="s">
        <v>217</v>
      </c>
      <c r="B1555" t="str">
        <f>LEFT(Table13[[#This Row],[Input]],1)</f>
        <v>R</v>
      </c>
      <c r="C1555">
        <f>_xlfn.LET(_xlpm.steps,SUBSTITUTE(Table13[[#This Row],[Input]],Table13[[#This Row],[Direction]],""),VALUE(IF(LEN(_xlpm.steps)&gt;2,RIGHT(_xlpm.steps,2),_xlpm.steps)))</f>
        <v>91</v>
      </c>
      <c r="D1555">
        <f>_xlfn.LET(_xlpm.steps,SUBSTITUTE(Table13[[#This Row],[Input]],Table13[[#This Row],[Direction]],""),VALUE(IF(LEN(_xlpm.steps)&gt;2,LEFT(_xlpm.steps,LEN(_xlpm.steps)-2),0)))</f>
        <v>0</v>
      </c>
      <c r="E1555">
        <f>_xlfn.LET(_xlpm.dir,Table13[[#This Row],[Direction]],
IF(_xlpm.dir="L",
    IF(G1554-Table13[[#This Row],[Steps]]&lt;0,100+(G1554-Table13[[#This Row],[Steps]]),G1554-Table13[[#This Row],[Steps]]),
))</f>
        <v>0</v>
      </c>
      <c r="F1555">
        <f>_xlfn.LET(_xlpm.dir,Table13[[#This Row],[Direction]],
IF(_xlpm.dir="R",
    IF(G1554+Table13[[#This Row],[Steps]]&gt;99,(G1554+Table13[[#This Row],[Steps]])-100,G1554+Table13[[#This Row],[Steps]]),
))</f>
        <v>91</v>
      </c>
      <c r="G1555">
        <f>IF(Table13[[#This Row],[New Pos L]]&lt;&gt;0,Table13[[#This Row],[New Pos L]],Table13[[#This Row],[New Pos R]])</f>
        <v>91</v>
      </c>
      <c r="H1555">
        <f>IF(AND(Table13[[#This Row],[Direction]]="L",Table13[[#This Row],[Steps]]&gt;G1554,G1554&lt;&gt;0),1,0)</f>
        <v>0</v>
      </c>
      <c r="I1555">
        <f>IF(AND(Table13[[#This Row],[Direction]]="R",(G1554+Table13[[#This Row],[Steps]])&gt;100),1,0)</f>
        <v>0</v>
      </c>
      <c r="J1555">
        <f>IF(Table13[[#This Row],[POS]]=0,1,0)</f>
        <v>0</v>
      </c>
      <c r="K1555">
        <f>SUM(Table13[[#This Row],[prefix]],Table13[[#This Row],[Past zero L]],Table13[[#This Row],[Past Zero R]],Table13[[#This Row],[Is Zero]])</f>
        <v>0</v>
      </c>
    </row>
    <row r="1556" spans="1:11" ht="16" x14ac:dyDescent="0.2">
      <c r="A1556" s="1" t="s">
        <v>36</v>
      </c>
      <c r="B1556" t="str">
        <f>LEFT(Table13[[#This Row],[Input]],1)</f>
        <v>R</v>
      </c>
      <c r="C1556">
        <f>_xlfn.LET(_xlpm.steps,SUBSTITUTE(Table13[[#This Row],[Input]],Table13[[#This Row],[Direction]],""),VALUE(IF(LEN(_xlpm.steps)&gt;2,RIGHT(_xlpm.steps,2),_xlpm.steps)))</f>
        <v>50</v>
      </c>
      <c r="D1556">
        <f>_xlfn.LET(_xlpm.steps,SUBSTITUTE(Table13[[#This Row],[Input]],Table13[[#This Row],[Direction]],""),VALUE(IF(LEN(_xlpm.steps)&gt;2,LEFT(_xlpm.steps,LEN(_xlpm.steps)-2),0)))</f>
        <v>0</v>
      </c>
      <c r="E1556">
        <f>_xlfn.LET(_xlpm.dir,Table13[[#This Row],[Direction]],
IF(_xlpm.dir="L",
    IF(G1555-Table13[[#This Row],[Steps]]&lt;0,100+(G1555-Table13[[#This Row],[Steps]]),G1555-Table13[[#This Row],[Steps]]),
))</f>
        <v>0</v>
      </c>
      <c r="F1556">
        <f>_xlfn.LET(_xlpm.dir,Table13[[#This Row],[Direction]],
IF(_xlpm.dir="R",
    IF(G1555+Table13[[#This Row],[Steps]]&gt;99,(G1555+Table13[[#This Row],[Steps]])-100,G1555+Table13[[#This Row],[Steps]]),
))</f>
        <v>41</v>
      </c>
      <c r="G1556">
        <f>IF(Table13[[#This Row],[New Pos L]]&lt;&gt;0,Table13[[#This Row],[New Pos L]],Table13[[#This Row],[New Pos R]])</f>
        <v>41</v>
      </c>
      <c r="H1556">
        <f>IF(AND(Table13[[#This Row],[Direction]]="L",Table13[[#This Row],[Steps]]&gt;G1555,G1555&lt;&gt;0),1,0)</f>
        <v>0</v>
      </c>
      <c r="I1556">
        <f>IF(AND(Table13[[#This Row],[Direction]]="R",(G1555+Table13[[#This Row],[Steps]])&gt;100),1,0)</f>
        <v>1</v>
      </c>
      <c r="J1556">
        <f>IF(Table13[[#This Row],[POS]]=0,1,0)</f>
        <v>0</v>
      </c>
      <c r="K1556">
        <f>SUM(Table13[[#This Row],[prefix]],Table13[[#This Row],[Past zero L]],Table13[[#This Row],[Past Zero R]],Table13[[#This Row],[Is Zero]])</f>
        <v>1</v>
      </c>
    </row>
    <row r="1557" spans="1:11" ht="16" x14ac:dyDescent="0.2">
      <c r="A1557" s="1" t="s">
        <v>104</v>
      </c>
      <c r="B1557" t="str">
        <f>LEFT(Table13[[#This Row],[Input]],1)</f>
        <v>R</v>
      </c>
      <c r="C1557">
        <f>_xlfn.LET(_xlpm.steps,SUBSTITUTE(Table13[[#This Row],[Input]],Table13[[#This Row],[Direction]],""),VALUE(IF(LEN(_xlpm.steps)&gt;2,RIGHT(_xlpm.steps,2),_xlpm.steps)))</f>
        <v>59</v>
      </c>
      <c r="D1557">
        <f>_xlfn.LET(_xlpm.steps,SUBSTITUTE(Table13[[#This Row],[Input]],Table13[[#This Row],[Direction]],""),VALUE(IF(LEN(_xlpm.steps)&gt;2,LEFT(_xlpm.steps,LEN(_xlpm.steps)-2),0)))</f>
        <v>0</v>
      </c>
      <c r="E1557">
        <f>_xlfn.LET(_xlpm.dir,Table13[[#This Row],[Direction]],
IF(_xlpm.dir="L",
    IF(G1556-Table13[[#This Row],[Steps]]&lt;0,100+(G1556-Table13[[#This Row],[Steps]]),G1556-Table13[[#This Row],[Steps]]),
))</f>
        <v>0</v>
      </c>
      <c r="F1557">
        <f>_xlfn.LET(_xlpm.dir,Table13[[#This Row],[Direction]],
IF(_xlpm.dir="R",
    IF(G1556+Table13[[#This Row],[Steps]]&gt;99,(G1556+Table13[[#This Row],[Steps]])-100,G1556+Table13[[#This Row],[Steps]]),
))</f>
        <v>0</v>
      </c>
      <c r="G1557">
        <f>IF(Table13[[#This Row],[New Pos L]]&lt;&gt;0,Table13[[#This Row],[New Pos L]],Table13[[#This Row],[New Pos R]])</f>
        <v>0</v>
      </c>
      <c r="H1557">
        <f>IF(AND(Table13[[#This Row],[Direction]]="L",Table13[[#This Row],[Steps]]&gt;G1556,G1556&lt;&gt;0),1,0)</f>
        <v>0</v>
      </c>
      <c r="I1557">
        <f>IF(AND(Table13[[#This Row],[Direction]]="R",(G1556+Table13[[#This Row],[Steps]])&gt;100),1,0)</f>
        <v>0</v>
      </c>
      <c r="J1557">
        <f>IF(Table13[[#This Row],[POS]]=0,1,0)</f>
        <v>1</v>
      </c>
      <c r="K1557">
        <f>SUM(Table13[[#This Row],[prefix]],Table13[[#This Row],[Past zero L]],Table13[[#This Row],[Past Zero R]],Table13[[#This Row],[Is Zero]])</f>
        <v>1</v>
      </c>
    </row>
    <row r="1558" spans="1:11" ht="16" x14ac:dyDescent="0.2">
      <c r="A1558" s="1" t="s">
        <v>57</v>
      </c>
      <c r="B1558" t="str">
        <f>LEFT(Table13[[#This Row],[Input]],1)</f>
        <v>R</v>
      </c>
      <c r="C1558">
        <f>_xlfn.LET(_xlpm.steps,SUBSTITUTE(Table13[[#This Row],[Input]],Table13[[#This Row],[Direction]],""),VALUE(IF(LEN(_xlpm.steps)&gt;2,RIGHT(_xlpm.steps,2),_xlpm.steps)))</f>
        <v>29</v>
      </c>
      <c r="D1558">
        <f>_xlfn.LET(_xlpm.steps,SUBSTITUTE(Table13[[#This Row],[Input]],Table13[[#This Row],[Direction]],""),VALUE(IF(LEN(_xlpm.steps)&gt;2,LEFT(_xlpm.steps,LEN(_xlpm.steps)-2),0)))</f>
        <v>0</v>
      </c>
      <c r="E1558">
        <f>_xlfn.LET(_xlpm.dir,Table13[[#This Row],[Direction]],
IF(_xlpm.dir="L",
    IF(G1557-Table13[[#This Row],[Steps]]&lt;0,100+(G1557-Table13[[#This Row],[Steps]]),G1557-Table13[[#This Row],[Steps]]),
))</f>
        <v>0</v>
      </c>
      <c r="F1558">
        <f>_xlfn.LET(_xlpm.dir,Table13[[#This Row],[Direction]],
IF(_xlpm.dir="R",
    IF(G1557+Table13[[#This Row],[Steps]]&gt;99,(G1557+Table13[[#This Row],[Steps]])-100,G1557+Table13[[#This Row],[Steps]]),
))</f>
        <v>29</v>
      </c>
      <c r="G1558">
        <f>IF(Table13[[#This Row],[New Pos L]]&lt;&gt;0,Table13[[#This Row],[New Pos L]],Table13[[#This Row],[New Pos R]])</f>
        <v>29</v>
      </c>
      <c r="H1558">
        <f>IF(AND(Table13[[#This Row],[Direction]]="L",Table13[[#This Row],[Steps]]&gt;G1557,G1557&lt;&gt;0),1,0)</f>
        <v>0</v>
      </c>
      <c r="I1558">
        <f>IF(AND(Table13[[#This Row],[Direction]]="R",(G1557+Table13[[#This Row],[Steps]])&gt;100),1,0)</f>
        <v>0</v>
      </c>
      <c r="J1558">
        <f>IF(Table13[[#This Row],[POS]]=0,1,0)</f>
        <v>0</v>
      </c>
      <c r="K1558">
        <f>SUM(Table13[[#This Row],[prefix]],Table13[[#This Row],[Past zero L]],Table13[[#This Row],[Past Zero R]],Table13[[#This Row],[Is Zero]])</f>
        <v>0</v>
      </c>
    </row>
    <row r="1559" spans="1:11" ht="16" x14ac:dyDescent="0.2">
      <c r="A1559" s="1" t="s">
        <v>459</v>
      </c>
      <c r="B1559" t="str">
        <f>LEFT(Table13[[#This Row],[Input]],1)</f>
        <v>L</v>
      </c>
      <c r="C1559">
        <f>_xlfn.LET(_xlpm.steps,SUBSTITUTE(Table13[[#This Row],[Input]],Table13[[#This Row],[Direction]],""),VALUE(IF(LEN(_xlpm.steps)&gt;2,RIGHT(_xlpm.steps,2),_xlpm.steps)))</f>
        <v>29</v>
      </c>
      <c r="D1559">
        <f>_xlfn.LET(_xlpm.steps,SUBSTITUTE(Table13[[#This Row],[Input]],Table13[[#This Row],[Direction]],""),VALUE(IF(LEN(_xlpm.steps)&gt;2,LEFT(_xlpm.steps,LEN(_xlpm.steps)-2),0)))</f>
        <v>2</v>
      </c>
      <c r="E1559">
        <f>_xlfn.LET(_xlpm.dir,Table13[[#This Row],[Direction]],
IF(_xlpm.dir="L",
    IF(G1558-Table13[[#This Row],[Steps]]&lt;0,100+(G1558-Table13[[#This Row],[Steps]]),G1558-Table13[[#This Row],[Steps]]),
))</f>
        <v>0</v>
      </c>
      <c r="F1559">
        <f>_xlfn.LET(_xlpm.dir,Table13[[#This Row],[Direction]],
IF(_xlpm.dir="R",
    IF(G1558+Table13[[#This Row],[Steps]]&gt;99,(G1558+Table13[[#This Row],[Steps]])-100,G1558+Table13[[#This Row],[Steps]]),
))</f>
        <v>0</v>
      </c>
      <c r="G1559">
        <f>IF(Table13[[#This Row],[New Pos L]]&lt;&gt;0,Table13[[#This Row],[New Pos L]],Table13[[#This Row],[New Pos R]])</f>
        <v>0</v>
      </c>
      <c r="H1559">
        <f>IF(AND(Table13[[#This Row],[Direction]]="L",Table13[[#This Row],[Steps]]&gt;G1558,G1558&lt;&gt;0),1,0)</f>
        <v>0</v>
      </c>
      <c r="I1559">
        <f>IF(AND(Table13[[#This Row],[Direction]]="R",(G1558+Table13[[#This Row],[Steps]])&gt;100),1,0)</f>
        <v>0</v>
      </c>
      <c r="J1559">
        <f>IF(Table13[[#This Row],[POS]]=0,1,0)</f>
        <v>1</v>
      </c>
      <c r="K1559">
        <f>SUM(Table13[[#This Row],[prefix]],Table13[[#This Row],[Past zero L]],Table13[[#This Row],[Past Zero R]],Table13[[#This Row],[Is Zero]])</f>
        <v>3</v>
      </c>
    </row>
    <row r="1560" spans="1:11" ht="16" x14ac:dyDescent="0.2">
      <c r="A1560" s="1" t="s">
        <v>39</v>
      </c>
      <c r="B1560" t="str">
        <f>LEFT(Table13[[#This Row],[Input]],1)</f>
        <v>R</v>
      </c>
      <c r="C1560">
        <f>_xlfn.LET(_xlpm.steps,SUBSTITUTE(Table13[[#This Row],[Input]],Table13[[#This Row],[Direction]],""),VALUE(IF(LEN(_xlpm.steps)&gt;2,RIGHT(_xlpm.steps,2),_xlpm.steps)))</f>
        <v>32</v>
      </c>
      <c r="D1560">
        <f>_xlfn.LET(_xlpm.steps,SUBSTITUTE(Table13[[#This Row],[Input]],Table13[[#This Row],[Direction]],""),VALUE(IF(LEN(_xlpm.steps)&gt;2,LEFT(_xlpm.steps,LEN(_xlpm.steps)-2),0)))</f>
        <v>0</v>
      </c>
      <c r="E1560">
        <f>_xlfn.LET(_xlpm.dir,Table13[[#This Row],[Direction]],
IF(_xlpm.dir="L",
    IF(G1559-Table13[[#This Row],[Steps]]&lt;0,100+(G1559-Table13[[#This Row],[Steps]]),G1559-Table13[[#This Row],[Steps]]),
))</f>
        <v>0</v>
      </c>
      <c r="F1560">
        <f>_xlfn.LET(_xlpm.dir,Table13[[#This Row],[Direction]],
IF(_xlpm.dir="R",
    IF(G1559+Table13[[#This Row],[Steps]]&gt;99,(G1559+Table13[[#This Row],[Steps]])-100,G1559+Table13[[#This Row],[Steps]]),
))</f>
        <v>32</v>
      </c>
      <c r="G1560">
        <f>IF(Table13[[#This Row],[New Pos L]]&lt;&gt;0,Table13[[#This Row],[New Pos L]],Table13[[#This Row],[New Pos R]])</f>
        <v>32</v>
      </c>
      <c r="H1560">
        <f>IF(AND(Table13[[#This Row],[Direction]]="L",Table13[[#This Row],[Steps]]&gt;G1559,G1559&lt;&gt;0),1,0)</f>
        <v>0</v>
      </c>
      <c r="I1560">
        <f>IF(AND(Table13[[#This Row],[Direction]]="R",(G1559+Table13[[#This Row],[Steps]])&gt;100),1,0)</f>
        <v>0</v>
      </c>
      <c r="J1560">
        <f>IF(Table13[[#This Row],[POS]]=0,1,0)</f>
        <v>0</v>
      </c>
      <c r="K1560">
        <f>SUM(Table13[[#This Row],[prefix]],Table13[[#This Row],[Past zero L]],Table13[[#This Row],[Past Zero R]],Table13[[#This Row],[Is Zero]])</f>
        <v>0</v>
      </c>
    </row>
    <row r="1561" spans="1:11" ht="16" x14ac:dyDescent="0.2">
      <c r="A1561" s="1" t="s">
        <v>157</v>
      </c>
      <c r="B1561" t="str">
        <f>LEFT(Table13[[#This Row],[Input]],1)</f>
        <v>R</v>
      </c>
      <c r="C1561">
        <f>_xlfn.LET(_xlpm.steps,SUBSTITUTE(Table13[[#This Row],[Input]],Table13[[#This Row],[Direction]],""),VALUE(IF(LEN(_xlpm.steps)&gt;2,RIGHT(_xlpm.steps,2),_xlpm.steps)))</f>
        <v>68</v>
      </c>
      <c r="D1561">
        <f>_xlfn.LET(_xlpm.steps,SUBSTITUTE(Table13[[#This Row],[Input]],Table13[[#This Row],[Direction]],""),VALUE(IF(LEN(_xlpm.steps)&gt;2,LEFT(_xlpm.steps,LEN(_xlpm.steps)-2),0)))</f>
        <v>0</v>
      </c>
      <c r="E1561">
        <f>_xlfn.LET(_xlpm.dir,Table13[[#This Row],[Direction]],
IF(_xlpm.dir="L",
    IF(G1560-Table13[[#This Row],[Steps]]&lt;0,100+(G1560-Table13[[#This Row],[Steps]]),G1560-Table13[[#This Row],[Steps]]),
))</f>
        <v>0</v>
      </c>
      <c r="F1561">
        <f>_xlfn.LET(_xlpm.dir,Table13[[#This Row],[Direction]],
IF(_xlpm.dir="R",
    IF(G1560+Table13[[#This Row],[Steps]]&gt;99,(G1560+Table13[[#This Row],[Steps]])-100,G1560+Table13[[#This Row],[Steps]]),
))</f>
        <v>0</v>
      </c>
      <c r="G1561">
        <f>IF(Table13[[#This Row],[New Pos L]]&lt;&gt;0,Table13[[#This Row],[New Pos L]],Table13[[#This Row],[New Pos R]])</f>
        <v>0</v>
      </c>
      <c r="H1561">
        <f>IF(AND(Table13[[#This Row],[Direction]]="L",Table13[[#This Row],[Steps]]&gt;G1560,G1560&lt;&gt;0),1,0)</f>
        <v>0</v>
      </c>
      <c r="I1561">
        <f>IF(AND(Table13[[#This Row],[Direction]]="R",(G1560+Table13[[#This Row],[Steps]])&gt;100),1,0)</f>
        <v>0</v>
      </c>
      <c r="J1561">
        <f>IF(Table13[[#This Row],[POS]]=0,1,0)</f>
        <v>1</v>
      </c>
      <c r="K1561">
        <f>SUM(Table13[[#This Row],[prefix]],Table13[[#This Row],[Past zero L]],Table13[[#This Row],[Past Zero R]],Table13[[#This Row],[Is Zero]])</f>
        <v>1</v>
      </c>
    </row>
    <row r="1562" spans="1:11" ht="16" x14ac:dyDescent="0.2">
      <c r="A1562" s="1" t="s">
        <v>255</v>
      </c>
      <c r="B1562" t="str">
        <f>LEFT(Table13[[#This Row],[Input]],1)</f>
        <v>R</v>
      </c>
      <c r="C1562">
        <f>_xlfn.LET(_xlpm.steps,SUBSTITUTE(Table13[[#This Row],[Input]],Table13[[#This Row],[Direction]],""),VALUE(IF(LEN(_xlpm.steps)&gt;2,RIGHT(_xlpm.steps,2),_xlpm.steps)))</f>
        <v>16</v>
      </c>
      <c r="D1562">
        <f>_xlfn.LET(_xlpm.steps,SUBSTITUTE(Table13[[#This Row],[Input]],Table13[[#This Row],[Direction]],""),VALUE(IF(LEN(_xlpm.steps)&gt;2,LEFT(_xlpm.steps,LEN(_xlpm.steps)-2),0)))</f>
        <v>0</v>
      </c>
      <c r="E1562">
        <f>_xlfn.LET(_xlpm.dir,Table13[[#This Row],[Direction]],
IF(_xlpm.dir="L",
    IF(G1561-Table13[[#This Row],[Steps]]&lt;0,100+(G1561-Table13[[#This Row],[Steps]]),G1561-Table13[[#This Row],[Steps]]),
))</f>
        <v>0</v>
      </c>
      <c r="F1562">
        <f>_xlfn.LET(_xlpm.dir,Table13[[#This Row],[Direction]],
IF(_xlpm.dir="R",
    IF(G1561+Table13[[#This Row],[Steps]]&gt;99,(G1561+Table13[[#This Row],[Steps]])-100,G1561+Table13[[#This Row],[Steps]]),
))</f>
        <v>16</v>
      </c>
      <c r="G1562">
        <f>IF(Table13[[#This Row],[New Pos L]]&lt;&gt;0,Table13[[#This Row],[New Pos L]],Table13[[#This Row],[New Pos R]])</f>
        <v>16</v>
      </c>
      <c r="H1562">
        <f>IF(AND(Table13[[#This Row],[Direction]]="L",Table13[[#This Row],[Steps]]&gt;G1561,G1561&lt;&gt;0),1,0)</f>
        <v>0</v>
      </c>
      <c r="I1562">
        <f>IF(AND(Table13[[#This Row],[Direction]]="R",(G1561+Table13[[#This Row],[Steps]])&gt;100),1,0)</f>
        <v>0</v>
      </c>
      <c r="J1562">
        <f>IF(Table13[[#This Row],[POS]]=0,1,0)</f>
        <v>0</v>
      </c>
      <c r="K1562">
        <f>SUM(Table13[[#This Row],[prefix]],Table13[[#This Row],[Past zero L]],Table13[[#This Row],[Past Zero R]],Table13[[#This Row],[Is Zero]])</f>
        <v>0</v>
      </c>
    </row>
    <row r="1563" spans="1:11" ht="16" x14ac:dyDescent="0.2">
      <c r="A1563" s="1" t="s">
        <v>61</v>
      </c>
      <c r="B1563" t="str">
        <f>LEFT(Table13[[#This Row],[Input]],1)</f>
        <v>L</v>
      </c>
      <c r="C1563">
        <f>_xlfn.LET(_xlpm.steps,SUBSTITUTE(Table13[[#This Row],[Input]],Table13[[#This Row],[Direction]],""),VALUE(IF(LEN(_xlpm.steps)&gt;2,RIGHT(_xlpm.steps,2),_xlpm.steps)))</f>
        <v>16</v>
      </c>
      <c r="D1563">
        <f>_xlfn.LET(_xlpm.steps,SUBSTITUTE(Table13[[#This Row],[Input]],Table13[[#This Row],[Direction]],""),VALUE(IF(LEN(_xlpm.steps)&gt;2,LEFT(_xlpm.steps,LEN(_xlpm.steps)-2),0)))</f>
        <v>0</v>
      </c>
      <c r="E1563">
        <f>_xlfn.LET(_xlpm.dir,Table13[[#This Row],[Direction]],
IF(_xlpm.dir="L",
    IF(G1562-Table13[[#This Row],[Steps]]&lt;0,100+(G1562-Table13[[#This Row],[Steps]]),G1562-Table13[[#This Row],[Steps]]),
))</f>
        <v>0</v>
      </c>
      <c r="F1563">
        <f>_xlfn.LET(_xlpm.dir,Table13[[#This Row],[Direction]],
IF(_xlpm.dir="R",
    IF(G1562+Table13[[#This Row],[Steps]]&gt;99,(G1562+Table13[[#This Row],[Steps]])-100,G1562+Table13[[#This Row],[Steps]]),
))</f>
        <v>0</v>
      </c>
      <c r="G1563">
        <f>IF(Table13[[#This Row],[New Pos L]]&lt;&gt;0,Table13[[#This Row],[New Pos L]],Table13[[#This Row],[New Pos R]])</f>
        <v>0</v>
      </c>
      <c r="H1563">
        <f>IF(AND(Table13[[#This Row],[Direction]]="L",Table13[[#This Row],[Steps]]&gt;G1562,G1562&lt;&gt;0),1,0)</f>
        <v>0</v>
      </c>
      <c r="I1563">
        <f>IF(AND(Table13[[#This Row],[Direction]]="R",(G1562+Table13[[#This Row],[Steps]])&gt;100),1,0)</f>
        <v>0</v>
      </c>
      <c r="J1563">
        <f>IF(Table13[[#This Row],[POS]]=0,1,0)</f>
        <v>1</v>
      </c>
      <c r="K1563">
        <f>SUM(Table13[[#This Row],[prefix]],Table13[[#This Row],[Past zero L]],Table13[[#This Row],[Past Zero R]],Table13[[#This Row],[Is Zero]])</f>
        <v>1</v>
      </c>
    </row>
    <row r="1564" spans="1:11" ht="16" x14ac:dyDescent="0.2">
      <c r="A1564" s="1" t="s">
        <v>460</v>
      </c>
      <c r="B1564" t="str">
        <f>LEFT(Table13[[#This Row],[Input]],1)</f>
        <v>R</v>
      </c>
      <c r="C1564">
        <f>_xlfn.LET(_xlpm.steps,SUBSTITUTE(Table13[[#This Row],[Input]],Table13[[#This Row],[Direction]],""),VALUE(IF(LEN(_xlpm.steps)&gt;2,RIGHT(_xlpm.steps,2),_xlpm.steps)))</f>
        <v>72</v>
      </c>
      <c r="D1564">
        <f>_xlfn.LET(_xlpm.steps,SUBSTITUTE(Table13[[#This Row],[Input]],Table13[[#This Row],[Direction]],""),VALUE(IF(LEN(_xlpm.steps)&gt;2,LEFT(_xlpm.steps,LEN(_xlpm.steps)-2),0)))</f>
        <v>9</v>
      </c>
      <c r="E1564">
        <f>_xlfn.LET(_xlpm.dir,Table13[[#This Row],[Direction]],
IF(_xlpm.dir="L",
    IF(G1563-Table13[[#This Row],[Steps]]&lt;0,100+(G1563-Table13[[#This Row],[Steps]]),G1563-Table13[[#This Row],[Steps]]),
))</f>
        <v>0</v>
      </c>
      <c r="F1564">
        <f>_xlfn.LET(_xlpm.dir,Table13[[#This Row],[Direction]],
IF(_xlpm.dir="R",
    IF(G1563+Table13[[#This Row],[Steps]]&gt;99,(G1563+Table13[[#This Row],[Steps]])-100,G1563+Table13[[#This Row],[Steps]]),
))</f>
        <v>72</v>
      </c>
      <c r="G1564">
        <f>IF(Table13[[#This Row],[New Pos L]]&lt;&gt;0,Table13[[#This Row],[New Pos L]],Table13[[#This Row],[New Pos R]])</f>
        <v>72</v>
      </c>
      <c r="H1564">
        <f>IF(AND(Table13[[#This Row],[Direction]]="L",Table13[[#This Row],[Steps]]&gt;G1563,G1563&lt;&gt;0),1,0)</f>
        <v>0</v>
      </c>
      <c r="I1564">
        <f>IF(AND(Table13[[#This Row],[Direction]]="R",(G1563+Table13[[#This Row],[Steps]])&gt;100),1,0)</f>
        <v>0</v>
      </c>
      <c r="J1564">
        <f>IF(Table13[[#This Row],[POS]]=0,1,0)</f>
        <v>0</v>
      </c>
      <c r="K1564">
        <f>SUM(Table13[[#This Row],[prefix]],Table13[[#This Row],[Past zero L]],Table13[[#This Row],[Past Zero R]],Table13[[#This Row],[Is Zero]])</f>
        <v>9</v>
      </c>
    </row>
    <row r="1565" spans="1:11" ht="16" x14ac:dyDescent="0.2">
      <c r="A1565" s="1" t="s">
        <v>136</v>
      </c>
      <c r="B1565" t="str">
        <f>LEFT(Table13[[#This Row],[Input]],1)</f>
        <v>L</v>
      </c>
      <c r="C1565">
        <f>_xlfn.LET(_xlpm.steps,SUBSTITUTE(Table13[[#This Row],[Input]],Table13[[#This Row],[Direction]],""),VALUE(IF(LEN(_xlpm.steps)&gt;2,RIGHT(_xlpm.steps,2),_xlpm.steps)))</f>
        <v>72</v>
      </c>
      <c r="D1565">
        <f>_xlfn.LET(_xlpm.steps,SUBSTITUTE(Table13[[#This Row],[Input]],Table13[[#This Row],[Direction]],""),VALUE(IF(LEN(_xlpm.steps)&gt;2,LEFT(_xlpm.steps,LEN(_xlpm.steps)-2),0)))</f>
        <v>0</v>
      </c>
      <c r="E1565">
        <f>_xlfn.LET(_xlpm.dir,Table13[[#This Row],[Direction]],
IF(_xlpm.dir="L",
    IF(G1564-Table13[[#This Row],[Steps]]&lt;0,100+(G1564-Table13[[#This Row],[Steps]]),G1564-Table13[[#This Row],[Steps]]),
))</f>
        <v>0</v>
      </c>
      <c r="F1565">
        <f>_xlfn.LET(_xlpm.dir,Table13[[#This Row],[Direction]],
IF(_xlpm.dir="R",
    IF(G1564+Table13[[#This Row],[Steps]]&gt;99,(G1564+Table13[[#This Row],[Steps]])-100,G1564+Table13[[#This Row],[Steps]]),
))</f>
        <v>0</v>
      </c>
      <c r="G1565">
        <f>IF(Table13[[#This Row],[New Pos L]]&lt;&gt;0,Table13[[#This Row],[New Pos L]],Table13[[#This Row],[New Pos R]])</f>
        <v>0</v>
      </c>
      <c r="H1565">
        <f>IF(AND(Table13[[#This Row],[Direction]]="L",Table13[[#This Row],[Steps]]&gt;G1564,G1564&lt;&gt;0),1,0)</f>
        <v>0</v>
      </c>
      <c r="I1565">
        <f>IF(AND(Table13[[#This Row],[Direction]]="R",(G1564+Table13[[#This Row],[Steps]])&gt;100),1,0)</f>
        <v>0</v>
      </c>
      <c r="J1565">
        <f>IF(Table13[[#This Row],[POS]]=0,1,0)</f>
        <v>1</v>
      </c>
      <c r="K1565">
        <f>SUM(Table13[[#This Row],[prefix]],Table13[[#This Row],[Past zero L]],Table13[[#This Row],[Past Zero R]],Table13[[#This Row],[Is Zero]])</f>
        <v>1</v>
      </c>
    </row>
    <row r="1566" spans="1:11" ht="16" x14ac:dyDescent="0.2">
      <c r="A1566" s="1" t="s">
        <v>234</v>
      </c>
      <c r="B1566" t="str">
        <f>LEFT(Table13[[#This Row],[Input]],1)</f>
        <v>R</v>
      </c>
      <c r="C1566">
        <f>_xlfn.LET(_xlpm.steps,SUBSTITUTE(Table13[[#This Row],[Input]],Table13[[#This Row],[Direction]],""),VALUE(IF(LEN(_xlpm.steps)&gt;2,RIGHT(_xlpm.steps,2),_xlpm.steps)))</f>
        <v>82</v>
      </c>
      <c r="D1566">
        <f>_xlfn.LET(_xlpm.steps,SUBSTITUTE(Table13[[#This Row],[Input]],Table13[[#This Row],[Direction]],""),VALUE(IF(LEN(_xlpm.steps)&gt;2,LEFT(_xlpm.steps,LEN(_xlpm.steps)-2),0)))</f>
        <v>0</v>
      </c>
      <c r="E1566">
        <f>_xlfn.LET(_xlpm.dir,Table13[[#This Row],[Direction]],
IF(_xlpm.dir="L",
    IF(G1565-Table13[[#This Row],[Steps]]&lt;0,100+(G1565-Table13[[#This Row],[Steps]]),G1565-Table13[[#This Row],[Steps]]),
))</f>
        <v>0</v>
      </c>
      <c r="F1566">
        <f>_xlfn.LET(_xlpm.dir,Table13[[#This Row],[Direction]],
IF(_xlpm.dir="R",
    IF(G1565+Table13[[#This Row],[Steps]]&gt;99,(G1565+Table13[[#This Row],[Steps]])-100,G1565+Table13[[#This Row],[Steps]]),
))</f>
        <v>82</v>
      </c>
      <c r="G1566">
        <f>IF(Table13[[#This Row],[New Pos L]]&lt;&gt;0,Table13[[#This Row],[New Pos L]],Table13[[#This Row],[New Pos R]])</f>
        <v>82</v>
      </c>
      <c r="H1566">
        <f>IF(AND(Table13[[#This Row],[Direction]]="L",Table13[[#This Row],[Steps]]&gt;G1565,G1565&lt;&gt;0),1,0)</f>
        <v>0</v>
      </c>
      <c r="I1566">
        <f>IF(AND(Table13[[#This Row],[Direction]]="R",(G1565+Table13[[#This Row],[Steps]])&gt;100),1,0)</f>
        <v>0</v>
      </c>
      <c r="J1566">
        <f>IF(Table13[[#This Row],[POS]]=0,1,0)</f>
        <v>0</v>
      </c>
      <c r="K1566">
        <f>SUM(Table13[[#This Row],[prefix]],Table13[[#This Row],[Past zero L]],Table13[[#This Row],[Past Zero R]],Table13[[#This Row],[Is Zero]])</f>
        <v>0</v>
      </c>
    </row>
    <row r="1567" spans="1:11" ht="16" x14ac:dyDescent="0.2">
      <c r="A1567" s="1" t="s">
        <v>8</v>
      </c>
      <c r="B1567" t="str">
        <f>LEFT(Table13[[#This Row],[Input]],1)</f>
        <v>R</v>
      </c>
      <c r="C1567">
        <f>_xlfn.LET(_xlpm.steps,SUBSTITUTE(Table13[[#This Row],[Input]],Table13[[#This Row],[Direction]],""),VALUE(IF(LEN(_xlpm.steps)&gt;2,RIGHT(_xlpm.steps,2),_xlpm.steps)))</f>
        <v>18</v>
      </c>
      <c r="D1567">
        <f>_xlfn.LET(_xlpm.steps,SUBSTITUTE(Table13[[#This Row],[Input]],Table13[[#This Row],[Direction]],""),VALUE(IF(LEN(_xlpm.steps)&gt;2,LEFT(_xlpm.steps,LEN(_xlpm.steps)-2),0)))</f>
        <v>0</v>
      </c>
      <c r="E1567">
        <f>_xlfn.LET(_xlpm.dir,Table13[[#This Row],[Direction]],
IF(_xlpm.dir="L",
    IF(G1566-Table13[[#This Row],[Steps]]&lt;0,100+(G1566-Table13[[#This Row],[Steps]]),G1566-Table13[[#This Row],[Steps]]),
))</f>
        <v>0</v>
      </c>
      <c r="F1567">
        <f>_xlfn.LET(_xlpm.dir,Table13[[#This Row],[Direction]],
IF(_xlpm.dir="R",
    IF(G1566+Table13[[#This Row],[Steps]]&gt;99,(G1566+Table13[[#This Row],[Steps]])-100,G1566+Table13[[#This Row],[Steps]]),
))</f>
        <v>0</v>
      </c>
      <c r="G1567">
        <f>IF(Table13[[#This Row],[New Pos L]]&lt;&gt;0,Table13[[#This Row],[New Pos L]],Table13[[#This Row],[New Pos R]])</f>
        <v>0</v>
      </c>
      <c r="H1567">
        <f>IF(AND(Table13[[#This Row],[Direction]]="L",Table13[[#This Row],[Steps]]&gt;G1566,G1566&lt;&gt;0),1,0)</f>
        <v>0</v>
      </c>
      <c r="I1567">
        <f>IF(AND(Table13[[#This Row],[Direction]]="R",(G1566+Table13[[#This Row],[Steps]])&gt;100),1,0)</f>
        <v>0</v>
      </c>
      <c r="J1567">
        <f>IF(Table13[[#This Row],[POS]]=0,1,0)</f>
        <v>1</v>
      </c>
      <c r="K1567">
        <f>SUM(Table13[[#This Row],[prefix]],Table13[[#This Row],[Past zero L]],Table13[[#This Row],[Past Zero R]],Table13[[#This Row],[Is Zero]])</f>
        <v>1</v>
      </c>
    </row>
    <row r="1568" spans="1:11" ht="16" x14ac:dyDescent="0.2">
      <c r="A1568" s="1" t="s">
        <v>193</v>
      </c>
      <c r="B1568" t="str">
        <f>LEFT(Table13[[#This Row],[Input]],1)</f>
        <v>L</v>
      </c>
      <c r="C1568">
        <f>_xlfn.LET(_xlpm.steps,SUBSTITUTE(Table13[[#This Row],[Input]],Table13[[#This Row],[Direction]],""),VALUE(IF(LEN(_xlpm.steps)&gt;2,RIGHT(_xlpm.steps,2),_xlpm.steps)))</f>
        <v>12</v>
      </c>
      <c r="D1568">
        <f>_xlfn.LET(_xlpm.steps,SUBSTITUTE(Table13[[#This Row],[Input]],Table13[[#This Row],[Direction]],""),VALUE(IF(LEN(_xlpm.steps)&gt;2,LEFT(_xlpm.steps,LEN(_xlpm.steps)-2),0)))</f>
        <v>0</v>
      </c>
      <c r="E1568">
        <f>_xlfn.LET(_xlpm.dir,Table13[[#This Row],[Direction]],
IF(_xlpm.dir="L",
    IF(G1567-Table13[[#This Row],[Steps]]&lt;0,100+(G1567-Table13[[#This Row],[Steps]]),G1567-Table13[[#This Row],[Steps]]),
))</f>
        <v>88</v>
      </c>
      <c r="F1568">
        <f>_xlfn.LET(_xlpm.dir,Table13[[#This Row],[Direction]],
IF(_xlpm.dir="R",
    IF(G1567+Table13[[#This Row],[Steps]]&gt;99,(G1567+Table13[[#This Row],[Steps]])-100,G1567+Table13[[#This Row],[Steps]]),
))</f>
        <v>0</v>
      </c>
      <c r="G1568">
        <f>IF(Table13[[#This Row],[New Pos L]]&lt;&gt;0,Table13[[#This Row],[New Pos L]],Table13[[#This Row],[New Pos R]])</f>
        <v>88</v>
      </c>
      <c r="H1568">
        <f>IF(AND(Table13[[#This Row],[Direction]]="L",Table13[[#This Row],[Steps]]&gt;G1567,G1567&lt;&gt;0),1,0)</f>
        <v>0</v>
      </c>
      <c r="I1568">
        <f>IF(AND(Table13[[#This Row],[Direction]]="R",(G1567+Table13[[#This Row],[Steps]])&gt;100),1,0)</f>
        <v>0</v>
      </c>
      <c r="J1568">
        <f>IF(Table13[[#This Row],[POS]]=0,1,0)</f>
        <v>0</v>
      </c>
      <c r="K1568">
        <f>SUM(Table13[[#This Row],[prefix]],Table13[[#This Row],[Past zero L]],Table13[[#This Row],[Past Zero R]],Table13[[#This Row],[Is Zero]])</f>
        <v>0</v>
      </c>
    </row>
    <row r="1569" spans="1:11" ht="16" x14ac:dyDescent="0.2">
      <c r="A1569" s="1" t="s">
        <v>461</v>
      </c>
      <c r="B1569" t="str">
        <f>LEFT(Table13[[#This Row],[Input]],1)</f>
        <v>L</v>
      </c>
      <c r="C1569">
        <f>_xlfn.LET(_xlpm.steps,SUBSTITUTE(Table13[[#This Row],[Input]],Table13[[#This Row],[Direction]],""),VALUE(IF(LEN(_xlpm.steps)&gt;2,RIGHT(_xlpm.steps,2),_xlpm.steps)))</f>
        <v>77</v>
      </c>
      <c r="D1569">
        <f>_xlfn.LET(_xlpm.steps,SUBSTITUTE(Table13[[#This Row],[Input]],Table13[[#This Row],[Direction]],""),VALUE(IF(LEN(_xlpm.steps)&gt;2,LEFT(_xlpm.steps,LEN(_xlpm.steps)-2),0)))</f>
        <v>5</v>
      </c>
      <c r="E1569">
        <f>_xlfn.LET(_xlpm.dir,Table13[[#This Row],[Direction]],
IF(_xlpm.dir="L",
    IF(G1568-Table13[[#This Row],[Steps]]&lt;0,100+(G1568-Table13[[#This Row],[Steps]]),G1568-Table13[[#This Row],[Steps]]),
))</f>
        <v>11</v>
      </c>
      <c r="F1569">
        <f>_xlfn.LET(_xlpm.dir,Table13[[#This Row],[Direction]],
IF(_xlpm.dir="R",
    IF(G1568+Table13[[#This Row],[Steps]]&gt;99,(G1568+Table13[[#This Row],[Steps]])-100,G1568+Table13[[#This Row],[Steps]]),
))</f>
        <v>0</v>
      </c>
      <c r="G1569">
        <f>IF(Table13[[#This Row],[New Pos L]]&lt;&gt;0,Table13[[#This Row],[New Pos L]],Table13[[#This Row],[New Pos R]])</f>
        <v>11</v>
      </c>
      <c r="H1569">
        <f>IF(AND(Table13[[#This Row],[Direction]]="L",Table13[[#This Row],[Steps]]&gt;G1568,G1568&lt;&gt;0),1,0)</f>
        <v>0</v>
      </c>
      <c r="I1569">
        <f>IF(AND(Table13[[#This Row],[Direction]]="R",(G1568+Table13[[#This Row],[Steps]])&gt;100),1,0)</f>
        <v>0</v>
      </c>
      <c r="J1569">
        <f>IF(Table13[[#This Row],[POS]]=0,1,0)</f>
        <v>0</v>
      </c>
      <c r="K1569">
        <f>SUM(Table13[[#This Row],[prefix]],Table13[[#This Row],[Past zero L]],Table13[[#This Row],[Past Zero R]],Table13[[#This Row],[Is Zero]])</f>
        <v>5</v>
      </c>
    </row>
    <row r="1570" spans="1:11" ht="16" x14ac:dyDescent="0.2">
      <c r="A1570" s="1" t="s">
        <v>210</v>
      </c>
      <c r="B1570" t="str">
        <f>LEFT(Table13[[#This Row],[Input]],1)</f>
        <v>R</v>
      </c>
      <c r="C1570">
        <f>_xlfn.LET(_xlpm.steps,SUBSTITUTE(Table13[[#This Row],[Input]],Table13[[#This Row],[Direction]],""),VALUE(IF(LEN(_xlpm.steps)&gt;2,RIGHT(_xlpm.steps,2),_xlpm.steps)))</f>
        <v>89</v>
      </c>
      <c r="D1570">
        <f>_xlfn.LET(_xlpm.steps,SUBSTITUTE(Table13[[#This Row],[Input]],Table13[[#This Row],[Direction]],""),VALUE(IF(LEN(_xlpm.steps)&gt;2,LEFT(_xlpm.steps,LEN(_xlpm.steps)-2),0)))</f>
        <v>0</v>
      </c>
      <c r="E1570">
        <f>_xlfn.LET(_xlpm.dir,Table13[[#This Row],[Direction]],
IF(_xlpm.dir="L",
    IF(G1569-Table13[[#This Row],[Steps]]&lt;0,100+(G1569-Table13[[#This Row],[Steps]]),G1569-Table13[[#This Row],[Steps]]),
))</f>
        <v>0</v>
      </c>
      <c r="F1570">
        <f>_xlfn.LET(_xlpm.dir,Table13[[#This Row],[Direction]],
IF(_xlpm.dir="R",
    IF(G1569+Table13[[#This Row],[Steps]]&gt;99,(G1569+Table13[[#This Row],[Steps]])-100,G1569+Table13[[#This Row],[Steps]]),
))</f>
        <v>0</v>
      </c>
      <c r="G1570">
        <f>IF(Table13[[#This Row],[New Pos L]]&lt;&gt;0,Table13[[#This Row],[New Pos L]],Table13[[#This Row],[New Pos R]])</f>
        <v>0</v>
      </c>
      <c r="H1570">
        <f>IF(AND(Table13[[#This Row],[Direction]]="L",Table13[[#This Row],[Steps]]&gt;G1569,G1569&lt;&gt;0),1,0)</f>
        <v>0</v>
      </c>
      <c r="I1570">
        <f>IF(AND(Table13[[#This Row],[Direction]]="R",(G1569+Table13[[#This Row],[Steps]])&gt;100),1,0)</f>
        <v>0</v>
      </c>
      <c r="J1570">
        <f>IF(Table13[[#This Row],[POS]]=0,1,0)</f>
        <v>1</v>
      </c>
      <c r="K1570">
        <f>SUM(Table13[[#This Row],[prefix]],Table13[[#This Row],[Past zero L]],Table13[[#This Row],[Past Zero R]],Table13[[#This Row],[Is Zero]])</f>
        <v>1</v>
      </c>
    </row>
    <row r="1571" spans="1:11" ht="16" x14ac:dyDescent="0.2">
      <c r="A1571" s="1" t="s">
        <v>15</v>
      </c>
      <c r="B1571" t="str">
        <f>LEFT(Table13[[#This Row],[Input]],1)</f>
        <v>R</v>
      </c>
      <c r="C1571">
        <f>_xlfn.LET(_xlpm.steps,SUBSTITUTE(Table13[[#This Row],[Input]],Table13[[#This Row],[Direction]],""),VALUE(IF(LEN(_xlpm.steps)&gt;2,RIGHT(_xlpm.steps,2),_xlpm.steps)))</f>
        <v>36</v>
      </c>
      <c r="D1571">
        <f>_xlfn.LET(_xlpm.steps,SUBSTITUTE(Table13[[#This Row],[Input]],Table13[[#This Row],[Direction]],""),VALUE(IF(LEN(_xlpm.steps)&gt;2,LEFT(_xlpm.steps,LEN(_xlpm.steps)-2),0)))</f>
        <v>0</v>
      </c>
      <c r="E1571">
        <f>_xlfn.LET(_xlpm.dir,Table13[[#This Row],[Direction]],
IF(_xlpm.dir="L",
    IF(G1570-Table13[[#This Row],[Steps]]&lt;0,100+(G1570-Table13[[#This Row],[Steps]]),G1570-Table13[[#This Row],[Steps]]),
))</f>
        <v>0</v>
      </c>
      <c r="F1571">
        <f>_xlfn.LET(_xlpm.dir,Table13[[#This Row],[Direction]],
IF(_xlpm.dir="R",
    IF(G1570+Table13[[#This Row],[Steps]]&gt;99,(G1570+Table13[[#This Row],[Steps]])-100,G1570+Table13[[#This Row],[Steps]]),
))</f>
        <v>36</v>
      </c>
      <c r="G1571">
        <f>IF(Table13[[#This Row],[New Pos L]]&lt;&gt;0,Table13[[#This Row],[New Pos L]],Table13[[#This Row],[New Pos R]])</f>
        <v>36</v>
      </c>
      <c r="H1571">
        <f>IF(AND(Table13[[#This Row],[Direction]]="L",Table13[[#This Row],[Steps]]&gt;G1570,G1570&lt;&gt;0),1,0)</f>
        <v>0</v>
      </c>
      <c r="I1571">
        <f>IF(AND(Table13[[#This Row],[Direction]]="R",(G1570+Table13[[#This Row],[Steps]])&gt;100),1,0)</f>
        <v>0</v>
      </c>
      <c r="J1571">
        <f>IF(Table13[[#This Row],[POS]]=0,1,0)</f>
        <v>0</v>
      </c>
      <c r="K1571">
        <f>SUM(Table13[[#This Row],[prefix]],Table13[[#This Row],[Past zero L]],Table13[[#This Row],[Past Zero R]],Table13[[#This Row],[Is Zero]])</f>
        <v>0</v>
      </c>
    </row>
    <row r="1572" spans="1:11" ht="16" x14ac:dyDescent="0.2">
      <c r="A1572" s="1" t="s">
        <v>14</v>
      </c>
      <c r="B1572" t="str">
        <f>LEFT(Table13[[#This Row],[Input]],1)</f>
        <v>L</v>
      </c>
      <c r="C1572">
        <f>_xlfn.LET(_xlpm.steps,SUBSTITUTE(Table13[[#This Row],[Input]],Table13[[#This Row],[Direction]],""),VALUE(IF(LEN(_xlpm.steps)&gt;2,RIGHT(_xlpm.steps,2),_xlpm.steps)))</f>
        <v>43</v>
      </c>
      <c r="D1572">
        <f>_xlfn.LET(_xlpm.steps,SUBSTITUTE(Table13[[#This Row],[Input]],Table13[[#This Row],[Direction]],""),VALUE(IF(LEN(_xlpm.steps)&gt;2,LEFT(_xlpm.steps,LEN(_xlpm.steps)-2),0)))</f>
        <v>0</v>
      </c>
      <c r="E1572">
        <f>_xlfn.LET(_xlpm.dir,Table13[[#This Row],[Direction]],
IF(_xlpm.dir="L",
    IF(G1571-Table13[[#This Row],[Steps]]&lt;0,100+(G1571-Table13[[#This Row],[Steps]]),G1571-Table13[[#This Row],[Steps]]),
))</f>
        <v>93</v>
      </c>
      <c r="F1572">
        <f>_xlfn.LET(_xlpm.dir,Table13[[#This Row],[Direction]],
IF(_xlpm.dir="R",
    IF(G1571+Table13[[#This Row],[Steps]]&gt;99,(G1571+Table13[[#This Row],[Steps]])-100,G1571+Table13[[#This Row],[Steps]]),
))</f>
        <v>0</v>
      </c>
      <c r="G1572">
        <f>IF(Table13[[#This Row],[New Pos L]]&lt;&gt;0,Table13[[#This Row],[New Pos L]],Table13[[#This Row],[New Pos R]])</f>
        <v>93</v>
      </c>
      <c r="H1572">
        <f>IF(AND(Table13[[#This Row],[Direction]]="L",Table13[[#This Row],[Steps]]&gt;G1571,G1571&lt;&gt;0),1,0)</f>
        <v>1</v>
      </c>
      <c r="I1572">
        <f>IF(AND(Table13[[#This Row],[Direction]]="R",(G1571+Table13[[#This Row],[Steps]])&gt;100),1,0)</f>
        <v>0</v>
      </c>
      <c r="J1572">
        <f>IF(Table13[[#This Row],[POS]]=0,1,0)</f>
        <v>0</v>
      </c>
      <c r="K1572">
        <f>SUM(Table13[[#This Row],[prefix]],Table13[[#This Row],[Past zero L]],Table13[[#This Row],[Past Zero R]],Table13[[#This Row],[Is Zero]])</f>
        <v>1</v>
      </c>
    </row>
    <row r="1573" spans="1:11" ht="16" x14ac:dyDescent="0.2">
      <c r="A1573" s="1" t="s">
        <v>24</v>
      </c>
      <c r="B1573" t="str">
        <f>LEFT(Table13[[#This Row],[Input]],1)</f>
        <v>L</v>
      </c>
      <c r="C1573">
        <f>_xlfn.LET(_xlpm.steps,SUBSTITUTE(Table13[[#This Row],[Input]],Table13[[#This Row],[Direction]],""),VALUE(IF(LEN(_xlpm.steps)&gt;2,RIGHT(_xlpm.steps,2),_xlpm.steps)))</f>
        <v>49</v>
      </c>
      <c r="D1573">
        <f>_xlfn.LET(_xlpm.steps,SUBSTITUTE(Table13[[#This Row],[Input]],Table13[[#This Row],[Direction]],""),VALUE(IF(LEN(_xlpm.steps)&gt;2,LEFT(_xlpm.steps,LEN(_xlpm.steps)-2),0)))</f>
        <v>0</v>
      </c>
      <c r="E1573">
        <f>_xlfn.LET(_xlpm.dir,Table13[[#This Row],[Direction]],
IF(_xlpm.dir="L",
    IF(G1572-Table13[[#This Row],[Steps]]&lt;0,100+(G1572-Table13[[#This Row],[Steps]]),G1572-Table13[[#This Row],[Steps]]),
))</f>
        <v>44</v>
      </c>
      <c r="F1573">
        <f>_xlfn.LET(_xlpm.dir,Table13[[#This Row],[Direction]],
IF(_xlpm.dir="R",
    IF(G1572+Table13[[#This Row],[Steps]]&gt;99,(G1572+Table13[[#This Row],[Steps]])-100,G1572+Table13[[#This Row],[Steps]]),
))</f>
        <v>0</v>
      </c>
      <c r="G1573">
        <f>IF(Table13[[#This Row],[New Pos L]]&lt;&gt;0,Table13[[#This Row],[New Pos L]],Table13[[#This Row],[New Pos R]])</f>
        <v>44</v>
      </c>
      <c r="H1573">
        <f>IF(AND(Table13[[#This Row],[Direction]]="L",Table13[[#This Row],[Steps]]&gt;G1572,G1572&lt;&gt;0),1,0)</f>
        <v>0</v>
      </c>
      <c r="I1573">
        <f>IF(AND(Table13[[#This Row],[Direction]]="R",(G1572+Table13[[#This Row],[Steps]])&gt;100),1,0)</f>
        <v>0</v>
      </c>
      <c r="J1573">
        <f>IF(Table13[[#This Row],[POS]]=0,1,0)</f>
        <v>0</v>
      </c>
      <c r="K1573">
        <f>SUM(Table13[[#This Row],[prefix]],Table13[[#This Row],[Past zero L]],Table13[[#This Row],[Past Zero R]],Table13[[#This Row],[Is Zero]])</f>
        <v>0</v>
      </c>
    </row>
    <row r="1574" spans="1:11" ht="16" x14ac:dyDescent="0.2">
      <c r="A1574" s="1" t="s">
        <v>201</v>
      </c>
      <c r="B1574" t="str">
        <f>LEFT(Table13[[#This Row],[Input]],1)</f>
        <v>R</v>
      </c>
      <c r="C1574">
        <f>_xlfn.LET(_xlpm.steps,SUBSTITUTE(Table13[[#This Row],[Input]],Table13[[#This Row],[Direction]],""),VALUE(IF(LEN(_xlpm.steps)&gt;2,RIGHT(_xlpm.steps,2),_xlpm.steps)))</f>
        <v>31</v>
      </c>
      <c r="D1574">
        <f>_xlfn.LET(_xlpm.steps,SUBSTITUTE(Table13[[#This Row],[Input]],Table13[[#This Row],[Direction]],""),VALUE(IF(LEN(_xlpm.steps)&gt;2,LEFT(_xlpm.steps,LEN(_xlpm.steps)-2),0)))</f>
        <v>0</v>
      </c>
      <c r="E1574">
        <f>_xlfn.LET(_xlpm.dir,Table13[[#This Row],[Direction]],
IF(_xlpm.dir="L",
    IF(G1573-Table13[[#This Row],[Steps]]&lt;0,100+(G1573-Table13[[#This Row],[Steps]]),G1573-Table13[[#This Row],[Steps]]),
))</f>
        <v>0</v>
      </c>
      <c r="F1574">
        <f>_xlfn.LET(_xlpm.dir,Table13[[#This Row],[Direction]],
IF(_xlpm.dir="R",
    IF(G1573+Table13[[#This Row],[Steps]]&gt;99,(G1573+Table13[[#This Row],[Steps]])-100,G1573+Table13[[#This Row],[Steps]]),
))</f>
        <v>75</v>
      </c>
      <c r="G1574">
        <f>IF(Table13[[#This Row],[New Pos L]]&lt;&gt;0,Table13[[#This Row],[New Pos L]],Table13[[#This Row],[New Pos R]])</f>
        <v>75</v>
      </c>
      <c r="H1574">
        <f>IF(AND(Table13[[#This Row],[Direction]]="L",Table13[[#This Row],[Steps]]&gt;G1573,G1573&lt;&gt;0),1,0)</f>
        <v>0</v>
      </c>
      <c r="I1574">
        <f>IF(AND(Table13[[#This Row],[Direction]]="R",(G1573+Table13[[#This Row],[Steps]])&gt;100),1,0)</f>
        <v>0</v>
      </c>
      <c r="J1574">
        <f>IF(Table13[[#This Row],[POS]]=0,1,0)</f>
        <v>0</v>
      </c>
      <c r="K1574">
        <f>SUM(Table13[[#This Row],[prefix]],Table13[[#This Row],[Past zero L]],Table13[[#This Row],[Past Zero R]],Table13[[#This Row],[Is Zero]])</f>
        <v>0</v>
      </c>
    </row>
    <row r="1575" spans="1:11" ht="16" x14ac:dyDescent="0.2">
      <c r="A1575" s="1" t="s">
        <v>61</v>
      </c>
      <c r="B1575" t="str">
        <f>LEFT(Table13[[#This Row],[Input]],1)</f>
        <v>L</v>
      </c>
      <c r="C1575">
        <f>_xlfn.LET(_xlpm.steps,SUBSTITUTE(Table13[[#This Row],[Input]],Table13[[#This Row],[Direction]],""),VALUE(IF(LEN(_xlpm.steps)&gt;2,RIGHT(_xlpm.steps,2),_xlpm.steps)))</f>
        <v>16</v>
      </c>
      <c r="D1575">
        <f>_xlfn.LET(_xlpm.steps,SUBSTITUTE(Table13[[#This Row],[Input]],Table13[[#This Row],[Direction]],""),VALUE(IF(LEN(_xlpm.steps)&gt;2,LEFT(_xlpm.steps,LEN(_xlpm.steps)-2),0)))</f>
        <v>0</v>
      </c>
      <c r="E1575">
        <f>_xlfn.LET(_xlpm.dir,Table13[[#This Row],[Direction]],
IF(_xlpm.dir="L",
    IF(G1574-Table13[[#This Row],[Steps]]&lt;0,100+(G1574-Table13[[#This Row],[Steps]]),G1574-Table13[[#This Row],[Steps]]),
))</f>
        <v>59</v>
      </c>
      <c r="F1575">
        <f>_xlfn.LET(_xlpm.dir,Table13[[#This Row],[Direction]],
IF(_xlpm.dir="R",
    IF(G1574+Table13[[#This Row],[Steps]]&gt;99,(G1574+Table13[[#This Row],[Steps]])-100,G1574+Table13[[#This Row],[Steps]]),
))</f>
        <v>0</v>
      </c>
      <c r="G1575">
        <f>IF(Table13[[#This Row],[New Pos L]]&lt;&gt;0,Table13[[#This Row],[New Pos L]],Table13[[#This Row],[New Pos R]])</f>
        <v>59</v>
      </c>
      <c r="H1575">
        <f>IF(AND(Table13[[#This Row],[Direction]]="L",Table13[[#This Row],[Steps]]&gt;G1574,G1574&lt;&gt;0),1,0)</f>
        <v>0</v>
      </c>
      <c r="I1575">
        <f>IF(AND(Table13[[#This Row],[Direction]]="R",(G1574+Table13[[#This Row],[Steps]])&gt;100),1,0)</f>
        <v>0</v>
      </c>
      <c r="J1575">
        <f>IF(Table13[[#This Row],[POS]]=0,1,0)</f>
        <v>0</v>
      </c>
      <c r="K1575">
        <f>SUM(Table13[[#This Row],[prefix]],Table13[[#This Row],[Past zero L]],Table13[[#This Row],[Past Zero R]],Table13[[#This Row],[Is Zero]])</f>
        <v>0</v>
      </c>
    </row>
    <row r="1576" spans="1:11" ht="16" x14ac:dyDescent="0.2">
      <c r="A1576" s="1" t="s">
        <v>106</v>
      </c>
      <c r="B1576" t="str">
        <f>LEFT(Table13[[#This Row],[Input]],1)</f>
        <v>R</v>
      </c>
      <c r="C1576">
        <f>_xlfn.LET(_xlpm.steps,SUBSTITUTE(Table13[[#This Row],[Input]],Table13[[#This Row],[Direction]],""),VALUE(IF(LEN(_xlpm.steps)&gt;2,RIGHT(_xlpm.steps,2),_xlpm.steps)))</f>
        <v>41</v>
      </c>
      <c r="D1576">
        <f>_xlfn.LET(_xlpm.steps,SUBSTITUTE(Table13[[#This Row],[Input]],Table13[[#This Row],[Direction]],""),VALUE(IF(LEN(_xlpm.steps)&gt;2,LEFT(_xlpm.steps,LEN(_xlpm.steps)-2),0)))</f>
        <v>0</v>
      </c>
      <c r="E1576">
        <f>_xlfn.LET(_xlpm.dir,Table13[[#This Row],[Direction]],
IF(_xlpm.dir="L",
    IF(G1575-Table13[[#This Row],[Steps]]&lt;0,100+(G1575-Table13[[#This Row],[Steps]]),G1575-Table13[[#This Row],[Steps]]),
))</f>
        <v>0</v>
      </c>
      <c r="F1576">
        <f>_xlfn.LET(_xlpm.dir,Table13[[#This Row],[Direction]],
IF(_xlpm.dir="R",
    IF(G1575+Table13[[#This Row],[Steps]]&gt;99,(G1575+Table13[[#This Row],[Steps]])-100,G1575+Table13[[#This Row],[Steps]]),
))</f>
        <v>0</v>
      </c>
      <c r="G1576">
        <f>IF(Table13[[#This Row],[New Pos L]]&lt;&gt;0,Table13[[#This Row],[New Pos L]],Table13[[#This Row],[New Pos R]])</f>
        <v>0</v>
      </c>
      <c r="H1576">
        <f>IF(AND(Table13[[#This Row],[Direction]]="L",Table13[[#This Row],[Steps]]&gt;G1575,G1575&lt;&gt;0),1,0)</f>
        <v>0</v>
      </c>
      <c r="I1576">
        <f>IF(AND(Table13[[#This Row],[Direction]]="R",(G1575+Table13[[#This Row],[Steps]])&gt;100),1,0)</f>
        <v>0</v>
      </c>
      <c r="J1576">
        <f>IF(Table13[[#This Row],[POS]]=0,1,0)</f>
        <v>1</v>
      </c>
      <c r="K1576">
        <f>SUM(Table13[[#This Row],[prefix]],Table13[[#This Row],[Past zero L]],Table13[[#This Row],[Past Zero R]],Table13[[#This Row],[Is Zero]])</f>
        <v>1</v>
      </c>
    </row>
    <row r="1577" spans="1:11" ht="16" x14ac:dyDescent="0.2">
      <c r="A1577" s="1" t="s">
        <v>462</v>
      </c>
      <c r="B1577" t="str">
        <f>LEFT(Table13[[#This Row],[Input]],1)</f>
        <v>L</v>
      </c>
      <c r="C1577">
        <f>_xlfn.LET(_xlpm.steps,SUBSTITUTE(Table13[[#This Row],[Input]],Table13[[#This Row],[Direction]],""),VALUE(IF(LEN(_xlpm.steps)&gt;2,RIGHT(_xlpm.steps,2),_xlpm.steps)))</f>
        <v>17</v>
      </c>
      <c r="D1577">
        <f>_xlfn.LET(_xlpm.steps,SUBSTITUTE(Table13[[#This Row],[Input]],Table13[[#This Row],[Direction]],""),VALUE(IF(LEN(_xlpm.steps)&gt;2,LEFT(_xlpm.steps,LEN(_xlpm.steps)-2),0)))</f>
        <v>0</v>
      </c>
      <c r="E1577">
        <f>_xlfn.LET(_xlpm.dir,Table13[[#This Row],[Direction]],
IF(_xlpm.dir="L",
    IF(G1576-Table13[[#This Row],[Steps]]&lt;0,100+(G1576-Table13[[#This Row],[Steps]]),G1576-Table13[[#This Row],[Steps]]),
))</f>
        <v>83</v>
      </c>
      <c r="F1577">
        <f>_xlfn.LET(_xlpm.dir,Table13[[#This Row],[Direction]],
IF(_xlpm.dir="R",
    IF(G1576+Table13[[#This Row],[Steps]]&gt;99,(G1576+Table13[[#This Row],[Steps]])-100,G1576+Table13[[#This Row],[Steps]]),
))</f>
        <v>0</v>
      </c>
      <c r="G1577">
        <f>IF(Table13[[#This Row],[New Pos L]]&lt;&gt;0,Table13[[#This Row],[New Pos L]],Table13[[#This Row],[New Pos R]])</f>
        <v>83</v>
      </c>
      <c r="H1577">
        <f>IF(AND(Table13[[#This Row],[Direction]]="L",Table13[[#This Row],[Steps]]&gt;G1576,G1576&lt;&gt;0),1,0)</f>
        <v>0</v>
      </c>
      <c r="I1577">
        <f>IF(AND(Table13[[#This Row],[Direction]]="R",(G1576+Table13[[#This Row],[Steps]])&gt;100),1,0)</f>
        <v>0</v>
      </c>
      <c r="J1577">
        <f>IF(Table13[[#This Row],[POS]]=0,1,0)</f>
        <v>0</v>
      </c>
      <c r="K1577">
        <f>SUM(Table13[[#This Row],[prefix]],Table13[[#This Row],[Past zero L]],Table13[[#This Row],[Past Zero R]],Table13[[#This Row],[Is Zero]])</f>
        <v>0</v>
      </c>
    </row>
    <row r="1578" spans="1:11" ht="16" x14ac:dyDescent="0.2">
      <c r="A1578" s="1" t="s">
        <v>76</v>
      </c>
      <c r="B1578" t="str">
        <f>LEFT(Table13[[#This Row],[Input]],1)</f>
        <v>R</v>
      </c>
      <c r="C1578">
        <f>_xlfn.LET(_xlpm.steps,SUBSTITUTE(Table13[[#This Row],[Input]],Table13[[#This Row],[Direction]],""),VALUE(IF(LEN(_xlpm.steps)&gt;2,RIGHT(_xlpm.steps,2),_xlpm.steps)))</f>
        <v>37</v>
      </c>
      <c r="D1578">
        <f>_xlfn.LET(_xlpm.steps,SUBSTITUTE(Table13[[#This Row],[Input]],Table13[[#This Row],[Direction]],""),VALUE(IF(LEN(_xlpm.steps)&gt;2,LEFT(_xlpm.steps,LEN(_xlpm.steps)-2),0)))</f>
        <v>0</v>
      </c>
      <c r="E1578">
        <f>_xlfn.LET(_xlpm.dir,Table13[[#This Row],[Direction]],
IF(_xlpm.dir="L",
    IF(G1577-Table13[[#This Row],[Steps]]&lt;0,100+(G1577-Table13[[#This Row],[Steps]]),G1577-Table13[[#This Row],[Steps]]),
))</f>
        <v>0</v>
      </c>
      <c r="F1578">
        <f>_xlfn.LET(_xlpm.dir,Table13[[#This Row],[Direction]],
IF(_xlpm.dir="R",
    IF(G1577+Table13[[#This Row],[Steps]]&gt;99,(G1577+Table13[[#This Row],[Steps]])-100,G1577+Table13[[#This Row],[Steps]]),
))</f>
        <v>20</v>
      </c>
      <c r="G1578">
        <f>IF(Table13[[#This Row],[New Pos L]]&lt;&gt;0,Table13[[#This Row],[New Pos L]],Table13[[#This Row],[New Pos R]])</f>
        <v>20</v>
      </c>
      <c r="H1578">
        <f>IF(AND(Table13[[#This Row],[Direction]]="L",Table13[[#This Row],[Steps]]&gt;G1577,G1577&lt;&gt;0),1,0)</f>
        <v>0</v>
      </c>
      <c r="I1578">
        <f>IF(AND(Table13[[#This Row],[Direction]]="R",(G1577+Table13[[#This Row],[Steps]])&gt;100),1,0)</f>
        <v>1</v>
      </c>
      <c r="J1578">
        <f>IF(Table13[[#This Row],[POS]]=0,1,0)</f>
        <v>0</v>
      </c>
      <c r="K1578">
        <f>SUM(Table13[[#This Row],[prefix]],Table13[[#This Row],[Past zero L]],Table13[[#This Row],[Past Zero R]],Table13[[#This Row],[Is Zero]])</f>
        <v>1</v>
      </c>
    </row>
    <row r="1579" spans="1:11" ht="16" x14ac:dyDescent="0.2">
      <c r="A1579" s="1" t="s">
        <v>75</v>
      </c>
      <c r="B1579" t="str">
        <f>LEFT(Table13[[#This Row],[Input]],1)</f>
        <v>R</v>
      </c>
      <c r="C1579">
        <f>_xlfn.LET(_xlpm.steps,SUBSTITUTE(Table13[[#This Row],[Input]],Table13[[#This Row],[Direction]],""),VALUE(IF(LEN(_xlpm.steps)&gt;2,RIGHT(_xlpm.steps,2),_xlpm.steps)))</f>
        <v>2</v>
      </c>
      <c r="D1579">
        <f>_xlfn.LET(_xlpm.steps,SUBSTITUTE(Table13[[#This Row],[Input]],Table13[[#This Row],[Direction]],""),VALUE(IF(LEN(_xlpm.steps)&gt;2,LEFT(_xlpm.steps,LEN(_xlpm.steps)-2),0)))</f>
        <v>0</v>
      </c>
      <c r="E1579">
        <f>_xlfn.LET(_xlpm.dir,Table13[[#This Row],[Direction]],
IF(_xlpm.dir="L",
    IF(G1578-Table13[[#This Row],[Steps]]&lt;0,100+(G1578-Table13[[#This Row],[Steps]]),G1578-Table13[[#This Row],[Steps]]),
))</f>
        <v>0</v>
      </c>
      <c r="F1579">
        <f>_xlfn.LET(_xlpm.dir,Table13[[#This Row],[Direction]],
IF(_xlpm.dir="R",
    IF(G1578+Table13[[#This Row],[Steps]]&gt;99,(G1578+Table13[[#This Row],[Steps]])-100,G1578+Table13[[#This Row],[Steps]]),
))</f>
        <v>22</v>
      </c>
      <c r="G1579">
        <f>IF(Table13[[#This Row],[New Pos L]]&lt;&gt;0,Table13[[#This Row],[New Pos L]],Table13[[#This Row],[New Pos R]])</f>
        <v>22</v>
      </c>
      <c r="H1579">
        <f>IF(AND(Table13[[#This Row],[Direction]]="L",Table13[[#This Row],[Steps]]&gt;G1578,G1578&lt;&gt;0),1,0)</f>
        <v>0</v>
      </c>
      <c r="I1579">
        <f>IF(AND(Table13[[#This Row],[Direction]]="R",(G1578+Table13[[#This Row],[Steps]])&gt;100),1,0)</f>
        <v>0</v>
      </c>
      <c r="J1579">
        <f>IF(Table13[[#This Row],[POS]]=0,1,0)</f>
        <v>0</v>
      </c>
      <c r="K1579">
        <f>SUM(Table13[[#This Row],[prefix]],Table13[[#This Row],[Past zero L]],Table13[[#This Row],[Past Zero R]],Table13[[#This Row],[Is Zero]])</f>
        <v>0</v>
      </c>
    </row>
    <row r="1580" spans="1:11" ht="16" x14ac:dyDescent="0.2">
      <c r="A1580" s="1" t="s">
        <v>126</v>
      </c>
      <c r="B1580" t="str">
        <f>LEFT(Table13[[#This Row],[Input]],1)</f>
        <v>R</v>
      </c>
      <c r="C1580">
        <f>_xlfn.LET(_xlpm.steps,SUBSTITUTE(Table13[[#This Row],[Input]],Table13[[#This Row],[Direction]],""),VALUE(IF(LEN(_xlpm.steps)&gt;2,RIGHT(_xlpm.steps,2),_xlpm.steps)))</f>
        <v>65</v>
      </c>
      <c r="D1580">
        <f>_xlfn.LET(_xlpm.steps,SUBSTITUTE(Table13[[#This Row],[Input]],Table13[[#This Row],[Direction]],""),VALUE(IF(LEN(_xlpm.steps)&gt;2,LEFT(_xlpm.steps,LEN(_xlpm.steps)-2),0)))</f>
        <v>0</v>
      </c>
      <c r="E1580">
        <f>_xlfn.LET(_xlpm.dir,Table13[[#This Row],[Direction]],
IF(_xlpm.dir="L",
    IF(G1579-Table13[[#This Row],[Steps]]&lt;0,100+(G1579-Table13[[#This Row],[Steps]]),G1579-Table13[[#This Row],[Steps]]),
))</f>
        <v>0</v>
      </c>
      <c r="F1580">
        <f>_xlfn.LET(_xlpm.dir,Table13[[#This Row],[Direction]],
IF(_xlpm.dir="R",
    IF(G1579+Table13[[#This Row],[Steps]]&gt;99,(G1579+Table13[[#This Row],[Steps]])-100,G1579+Table13[[#This Row],[Steps]]),
))</f>
        <v>87</v>
      </c>
      <c r="G1580">
        <f>IF(Table13[[#This Row],[New Pos L]]&lt;&gt;0,Table13[[#This Row],[New Pos L]],Table13[[#This Row],[New Pos R]])</f>
        <v>87</v>
      </c>
      <c r="H1580">
        <f>IF(AND(Table13[[#This Row],[Direction]]="L",Table13[[#This Row],[Steps]]&gt;G1579,G1579&lt;&gt;0),1,0)</f>
        <v>0</v>
      </c>
      <c r="I1580">
        <f>IF(AND(Table13[[#This Row],[Direction]]="R",(G1579+Table13[[#This Row],[Steps]])&gt;100),1,0)</f>
        <v>0</v>
      </c>
      <c r="J1580">
        <f>IF(Table13[[#This Row],[POS]]=0,1,0)</f>
        <v>0</v>
      </c>
      <c r="K1580">
        <f>SUM(Table13[[#This Row],[prefix]],Table13[[#This Row],[Past zero L]],Table13[[#This Row],[Past Zero R]],Table13[[#This Row],[Is Zero]])</f>
        <v>0</v>
      </c>
    </row>
    <row r="1581" spans="1:11" ht="16" x14ac:dyDescent="0.2">
      <c r="A1581" s="1" t="s">
        <v>115</v>
      </c>
      <c r="B1581" t="str">
        <f>LEFT(Table13[[#This Row],[Input]],1)</f>
        <v>L</v>
      </c>
      <c r="C1581">
        <f>_xlfn.LET(_xlpm.steps,SUBSTITUTE(Table13[[#This Row],[Input]],Table13[[#This Row],[Direction]],""),VALUE(IF(LEN(_xlpm.steps)&gt;2,RIGHT(_xlpm.steps,2),_xlpm.steps)))</f>
        <v>29</v>
      </c>
      <c r="D1581">
        <f>_xlfn.LET(_xlpm.steps,SUBSTITUTE(Table13[[#This Row],[Input]],Table13[[#This Row],[Direction]],""),VALUE(IF(LEN(_xlpm.steps)&gt;2,LEFT(_xlpm.steps,LEN(_xlpm.steps)-2),0)))</f>
        <v>0</v>
      </c>
      <c r="E1581">
        <f>_xlfn.LET(_xlpm.dir,Table13[[#This Row],[Direction]],
IF(_xlpm.dir="L",
    IF(G1580-Table13[[#This Row],[Steps]]&lt;0,100+(G1580-Table13[[#This Row],[Steps]]),G1580-Table13[[#This Row],[Steps]]),
))</f>
        <v>58</v>
      </c>
      <c r="F1581">
        <f>_xlfn.LET(_xlpm.dir,Table13[[#This Row],[Direction]],
IF(_xlpm.dir="R",
    IF(G1580+Table13[[#This Row],[Steps]]&gt;99,(G1580+Table13[[#This Row],[Steps]])-100,G1580+Table13[[#This Row],[Steps]]),
))</f>
        <v>0</v>
      </c>
      <c r="G1581">
        <f>IF(Table13[[#This Row],[New Pos L]]&lt;&gt;0,Table13[[#This Row],[New Pos L]],Table13[[#This Row],[New Pos R]])</f>
        <v>58</v>
      </c>
      <c r="H1581">
        <f>IF(AND(Table13[[#This Row],[Direction]]="L",Table13[[#This Row],[Steps]]&gt;G1580,G1580&lt;&gt;0),1,0)</f>
        <v>0</v>
      </c>
      <c r="I1581">
        <f>IF(AND(Table13[[#This Row],[Direction]]="R",(G1580+Table13[[#This Row],[Steps]])&gt;100),1,0)</f>
        <v>0</v>
      </c>
      <c r="J1581">
        <f>IF(Table13[[#This Row],[POS]]=0,1,0)</f>
        <v>0</v>
      </c>
      <c r="K1581">
        <f>SUM(Table13[[#This Row],[prefix]],Table13[[#This Row],[Past zero L]],Table13[[#This Row],[Past Zero R]],Table13[[#This Row],[Is Zero]])</f>
        <v>0</v>
      </c>
    </row>
    <row r="1582" spans="1:11" ht="16" x14ac:dyDescent="0.2">
      <c r="A1582" s="1" t="s">
        <v>56</v>
      </c>
      <c r="B1582" t="str">
        <f>LEFT(Table13[[#This Row],[Input]],1)</f>
        <v>R</v>
      </c>
      <c r="C1582">
        <f>_xlfn.LET(_xlpm.steps,SUBSTITUTE(Table13[[#This Row],[Input]],Table13[[#This Row],[Direction]],""),VALUE(IF(LEN(_xlpm.steps)&gt;2,RIGHT(_xlpm.steps,2),_xlpm.steps)))</f>
        <v>42</v>
      </c>
      <c r="D1582">
        <f>_xlfn.LET(_xlpm.steps,SUBSTITUTE(Table13[[#This Row],[Input]],Table13[[#This Row],[Direction]],""),VALUE(IF(LEN(_xlpm.steps)&gt;2,LEFT(_xlpm.steps,LEN(_xlpm.steps)-2),0)))</f>
        <v>0</v>
      </c>
      <c r="E1582">
        <f>_xlfn.LET(_xlpm.dir,Table13[[#This Row],[Direction]],
IF(_xlpm.dir="L",
    IF(G1581-Table13[[#This Row],[Steps]]&lt;0,100+(G1581-Table13[[#This Row],[Steps]]),G1581-Table13[[#This Row],[Steps]]),
))</f>
        <v>0</v>
      </c>
      <c r="F1582">
        <f>_xlfn.LET(_xlpm.dir,Table13[[#This Row],[Direction]],
IF(_xlpm.dir="R",
    IF(G1581+Table13[[#This Row],[Steps]]&gt;99,(G1581+Table13[[#This Row],[Steps]])-100,G1581+Table13[[#This Row],[Steps]]),
))</f>
        <v>0</v>
      </c>
      <c r="G1582">
        <f>IF(Table13[[#This Row],[New Pos L]]&lt;&gt;0,Table13[[#This Row],[New Pos L]],Table13[[#This Row],[New Pos R]])</f>
        <v>0</v>
      </c>
      <c r="H1582">
        <f>IF(AND(Table13[[#This Row],[Direction]]="L",Table13[[#This Row],[Steps]]&gt;G1581,G1581&lt;&gt;0),1,0)</f>
        <v>0</v>
      </c>
      <c r="I1582">
        <f>IF(AND(Table13[[#This Row],[Direction]]="R",(G1581+Table13[[#This Row],[Steps]])&gt;100),1,0)</f>
        <v>0</v>
      </c>
      <c r="J1582">
        <f>IF(Table13[[#This Row],[POS]]=0,1,0)</f>
        <v>1</v>
      </c>
      <c r="K1582">
        <f>SUM(Table13[[#This Row],[prefix]],Table13[[#This Row],[Past zero L]],Table13[[#This Row],[Past Zero R]],Table13[[#This Row],[Is Zero]])</f>
        <v>1</v>
      </c>
    </row>
    <row r="1583" spans="1:11" ht="16" x14ac:dyDescent="0.2">
      <c r="A1583" s="1" t="s">
        <v>45</v>
      </c>
      <c r="B1583" t="str">
        <f>LEFT(Table13[[#This Row],[Input]],1)</f>
        <v>L</v>
      </c>
      <c r="C1583">
        <f>_xlfn.LET(_xlpm.steps,SUBSTITUTE(Table13[[#This Row],[Input]],Table13[[#This Row],[Direction]],""),VALUE(IF(LEN(_xlpm.steps)&gt;2,RIGHT(_xlpm.steps,2),_xlpm.steps)))</f>
        <v>96</v>
      </c>
      <c r="D1583">
        <f>_xlfn.LET(_xlpm.steps,SUBSTITUTE(Table13[[#This Row],[Input]],Table13[[#This Row],[Direction]],""),VALUE(IF(LEN(_xlpm.steps)&gt;2,LEFT(_xlpm.steps,LEN(_xlpm.steps)-2),0)))</f>
        <v>0</v>
      </c>
      <c r="E1583">
        <f>_xlfn.LET(_xlpm.dir,Table13[[#This Row],[Direction]],
IF(_xlpm.dir="L",
    IF(G1582-Table13[[#This Row],[Steps]]&lt;0,100+(G1582-Table13[[#This Row],[Steps]]),G1582-Table13[[#This Row],[Steps]]),
))</f>
        <v>4</v>
      </c>
      <c r="F1583">
        <f>_xlfn.LET(_xlpm.dir,Table13[[#This Row],[Direction]],
IF(_xlpm.dir="R",
    IF(G1582+Table13[[#This Row],[Steps]]&gt;99,(G1582+Table13[[#This Row],[Steps]])-100,G1582+Table13[[#This Row],[Steps]]),
))</f>
        <v>0</v>
      </c>
      <c r="G1583">
        <f>IF(Table13[[#This Row],[New Pos L]]&lt;&gt;0,Table13[[#This Row],[New Pos L]],Table13[[#This Row],[New Pos R]])</f>
        <v>4</v>
      </c>
      <c r="H1583">
        <f>IF(AND(Table13[[#This Row],[Direction]]="L",Table13[[#This Row],[Steps]]&gt;G1582,G1582&lt;&gt;0),1,0)</f>
        <v>0</v>
      </c>
      <c r="I1583">
        <f>IF(AND(Table13[[#This Row],[Direction]]="R",(G1582+Table13[[#This Row],[Steps]])&gt;100),1,0)</f>
        <v>0</v>
      </c>
      <c r="J1583">
        <f>IF(Table13[[#This Row],[POS]]=0,1,0)</f>
        <v>0</v>
      </c>
      <c r="K1583">
        <f>SUM(Table13[[#This Row],[prefix]],Table13[[#This Row],[Past zero L]],Table13[[#This Row],[Past Zero R]],Table13[[#This Row],[Is Zero]])</f>
        <v>0</v>
      </c>
    </row>
    <row r="1584" spans="1:11" ht="16" x14ac:dyDescent="0.2">
      <c r="A1584" s="1" t="s">
        <v>463</v>
      </c>
      <c r="B1584" t="str">
        <f>LEFT(Table13[[#This Row],[Input]],1)</f>
        <v>R</v>
      </c>
      <c r="C1584">
        <f>_xlfn.LET(_xlpm.steps,SUBSTITUTE(Table13[[#This Row],[Input]],Table13[[#This Row],[Direction]],""),VALUE(IF(LEN(_xlpm.steps)&gt;2,RIGHT(_xlpm.steps,2),_xlpm.steps)))</f>
        <v>96</v>
      </c>
      <c r="D1584">
        <f>_xlfn.LET(_xlpm.steps,SUBSTITUTE(Table13[[#This Row],[Input]],Table13[[#This Row],[Direction]],""),VALUE(IF(LEN(_xlpm.steps)&gt;2,LEFT(_xlpm.steps,LEN(_xlpm.steps)-2),0)))</f>
        <v>9</v>
      </c>
      <c r="E1584">
        <f>_xlfn.LET(_xlpm.dir,Table13[[#This Row],[Direction]],
IF(_xlpm.dir="L",
    IF(G1583-Table13[[#This Row],[Steps]]&lt;0,100+(G1583-Table13[[#This Row],[Steps]]),G1583-Table13[[#This Row],[Steps]]),
))</f>
        <v>0</v>
      </c>
      <c r="F1584">
        <f>_xlfn.LET(_xlpm.dir,Table13[[#This Row],[Direction]],
IF(_xlpm.dir="R",
    IF(G1583+Table13[[#This Row],[Steps]]&gt;99,(G1583+Table13[[#This Row],[Steps]])-100,G1583+Table13[[#This Row],[Steps]]),
))</f>
        <v>0</v>
      </c>
      <c r="G1584">
        <f>IF(Table13[[#This Row],[New Pos L]]&lt;&gt;0,Table13[[#This Row],[New Pos L]],Table13[[#This Row],[New Pos R]])</f>
        <v>0</v>
      </c>
      <c r="H1584">
        <f>IF(AND(Table13[[#This Row],[Direction]]="L",Table13[[#This Row],[Steps]]&gt;G1583,G1583&lt;&gt;0),1,0)</f>
        <v>0</v>
      </c>
      <c r="I1584">
        <f>IF(AND(Table13[[#This Row],[Direction]]="R",(G1583+Table13[[#This Row],[Steps]])&gt;100),1,0)</f>
        <v>0</v>
      </c>
      <c r="J1584">
        <f>IF(Table13[[#This Row],[POS]]=0,1,0)</f>
        <v>1</v>
      </c>
      <c r="K1584">
        <f>SUM(Table13[[#This Row],[prefix]],Table13[[#This Row],[Past zero L]],Table13[[#This Row],[Past Zero R]],Table13[[#This Row],[Is Zero]])</f>
        <v>10</v>
      </c>
    </row>
    <row r="1585" spans="1:11" ht="16" x14ac:dyDescent="0.2">
      <c r="A1585" s="1" t="s">
        <v>57</v>
      </c>
      <c r="B1585" t="str">
        <f>LEFT(Table13[[#This Row],[Input]],1)</f>
        <v>R</v>
      </c>
      <c r="C1585">
        <f>_xlfn.LET(_xlpm.steps,SUBSTITUTE(Table13[[#This Row],[Input]],Table13[[#This Row],[Direction]],""),VALUE(IF(LEN(_xlpm.steps)&gt;2,RIGHT(_xlpm.steps,2),_xlpm.steps)))</f>
        <v>29</v>
      </c>
      <c r="D1585">
        <f>_xlfn.LET(_xlpm.steps,SUBSTITUTE(Table13[[#This Row],[Input]],Table13[[#This Row],[Direction]],""),VALUE(IF(LEN(_xlpm.steps)&gt;2,LEFT(_xlpm.steps,LEN(_xlpm.steps)-2),0)))</f>
        <v>0</v>
      </c>
      <c r="E1585">
        <f>_xlfn.LET(_xlpm.dir,Table13[[#This Row],[Direction]],
IF(_xlpm.dir="L",
    IF(G1584-Table13[[#This Row],[Steps]]&lt;0,100+(G1584-Table13[[#This Row],[Steps]]),G1584-Table13[[#This Row],[Steps]]),
))</f>
        <v>0</v>
      </c>
      <c r="F1585">
        <f>_xlfn.LET(_xlpm.dir,Table13[[#This Row],[Direction]],
IF(_xlpm.dir="R",
    IF(G1584+Table13[[#This Row],[Steps]]&gt;99,(G1584+Table13[[#This Row],[Steps]])-100,G1584+Table13[[#This Row],[Steps]]),
))</f>
        <v>29</v>
      </c>
      <c r="G1585">
        <f>IF(Table13[[#This Row],[New Pos L]]&lt;&gt;0,Table13[[#This Row],[New Pos L]],Table13[[#This Row],[New Pos R]])</f>
        <v>29</v>
      </c>
      <c r="H1585">
        <f>IF(AND(Table13[[#This Row],[Direction]]="L",Table13[[#This Row],[Steps]]&gt;G1584,G1584&lt;&gt;0),1,0)</f>
        <v>0</v>
      </c>
      <c r="I1585">
        <f>IF(AND(Table13[[#This Row],[Direction]]="R",(G1584+Table13[[#This Row],[Steps]])&gt;100),1,0)</f>
        <v>0</v>
      </c>
      <c r="J1585">
        <f>IF(Table13[[#This Row],[POS]]=0,1,0)</f>
        <v>0</v>
      </c>
      <c r="K1585">
        <f>SUM(Table13[[#This Row],[prefix]],Table13[[#This Row],[Past zero L]],Table13[[#This Row],[Past Zero R]],Table13[[#This Row],[Is Zero]])</f>
        <v>0</v>
      </c>
    </row>
    <row r="1586" spans="1:11" ht="16" x14ac:dyDescent="0.2">
      <c r="A1586" s="1" t="s">
        <v>52</v>
      </c>
      <c r="B1586" t="str">
        <f>LEFT(Table13[[#This Row],[Input]],1)</f>
        <v>R</v>
      </c>
      <c r="C1586">
        <f>_xlfn.LET(_xlpm.steps,SUBSTITUTE(Table13[[#This Row],[Input]],Table13[[#This Row],[Direction]],""),VALUE(IF(LEN(_xlpm.steps)&gt;2,RIGHT(_xlpm.steps,2),_xlpm.steps)))</f>
        <v>11</v>
      </c>
      <c r="D1586">
        <f>_xlfn.LET(_xlpm.steps,SUBSTITUTE(Table13[[#This Row],[Input]],Table13[[#This Row],[Direction]],""),VALUE(IF(LEN(_xlpm.steps)&gt;2,LEFT(_xlpm.steps,LEN(_xlpm.steps)-2),0)))</f>
        <v>0</v>
      </c>
      <c r="E1586">
        <f>_xlfn.LET(_xlpm.dir,Table13[[#This Row],[Direction]],
IF(_xlpm.dir="L",
    IF(G1585-Table13[[#This Row],[Steps]]&lt;0,100+(G1585-Table13[[#This Row],[Steps]]),G1585-Table13[[#This Row],[Steps]]),
))</f>
        <v>0</v>
      </c>
      <c r="F1586">
        <f>_xlfn.LET(_xlpm.dir,Table13[[#This Row],[Direction]],
IF(_xlpm.dir="R",
    IF(G1585+Table13[[#This Row],[Steps]]&gt;99,(G1585+Table13[[#This Row],[Steps]])-100,G1585+Table13[[#This Row],[Steps]]),
))</f>
        <v>40</v>
      </c>
      <c r="G1586">
        <f>IF(Table13[[#This Row],[New Pos L]]&lt;&gt;0,Table13[[#This Row],[New Pos L]],Table13[[#This Row],[New Pos R]])</f>
        <v>40</v>
      </c>
      <c r="H1586">
        <f>IF(AND(Table13[[#This Row],[Direction]]="L",Table13[[#This Row],[Steps]]&gt;G1585,G1585&lt;&gt;0),1,0)</f>
        <v>0</v>
      </c>
      <c r="I1586">
        <f>IF(AND(Table13[[#This Row],[Direction]]="R",(G1585+Table13[[#This Row],[Steps]])&gt;100),1,0)</f>
        <v>0</v>
      </c>
      <c r="J1586">
        <f>IF(Table13[[#This Row],[POS]]=0,1,0)</f>
        <v>0</v>
      </c>
      <c r="K1586">
        <f>SUM(Table13[[#This Row],[prefix]],Table13[[#This Row],[Past zero L]],Table13[[#This Row],[Past Zero R]],Table13[[#This Row],[Is Zero]])</f>
        <v>0</v>
      </c>
    </row>
    <row r="1587" spans="1:11" ht="16" x14ac:dyDescent="0.2">
      <c r="A1587" s="1" t="s">
        <v>94</v>
      </c>
      <c r="B1587" t="str">
        <f>LEFT(Table13[[#This Row],[Input]],1)</f>
        <v>L</v>
      </c>
      <c r="C1587">
        <f>_xlfn.LET(_xlpm.steps,SUBSTITUTE(Table13[[#This Row],[Input]],Table13[[#This Row],[Direction]],""),VALUE(IF(LEN(_xlpm.steps)&gt;2,RIGHT(_xlpm.steps,2),_xlpm.steps)))</f>
        <v>71</v>
      </c>
      <c r="D1587">
        <f>_xlfn.LET(_xlpm.steps,SUBSTITUTE(Table13[[#This Row],[Input]],Table13[[#This Row],[Direction]],""),VALUE(IF(LEN(_xlpm.steps)&gt;2,LEFT(_xlpm.steps,LEN(_xlpm.steps)-2),0)))</f>
        <v>0</v>
      </c>
      <c r="E1587">
        <f>_xlfn.LET(_xlpm.dir,Table13[[#This Row],[Direction]],
IF(_xlpm.dir="L",
    IF(G1586-Table13[[#This Row],[Steps]]&lt;0,100+(G1586-Table13[[#This Row],[Steps]]),G1586-Table13[[#This Row],[Steps]]),
))</f>
        <v>69</v>
      </c>
      <c r="F1587">
        <f>_xlfn.LET(_xlpm.dir,Table13[[#This Row],[Direction]],
IF(_xlpm.dir="R",
    IF(G1586+Table13[[#This Row],[Steps]]&gt;99,(G1586+Table13[[#This Row],[Steps]])-100,G1586+Table13[[#This Row],[Steps]]),
))</f>
        <v>0</v>
      </c>
      <c r="G1587">
        <f>IF(Table13[[#This Row],[New Pos L]]&lt;&gt;0,Table13[[#This Row],[New Pos L]],Table13[[#This Row],[New Pos R]])</f>
        <v>69</v>
      </c>
      <c r="H1587">
        <f>IF(AND(Table13[[#This Row],[Direction]]="L",Table13[[#This Row],[Steps]]&gt;G1586,G1586&lt;&gt;0),1,0)</f>
        <v>1</v>
      </c>
      <c r="I1587">
        <f>IF(AND(Table13[[#This Row],[Direction]]="R",(G1586+Table13[[#This Row],[Steps]])&gt;100),1,0)</f>
        <v>0</v>
      </c>
      <c r="J1587">
        <f>IF(Table13[[#This Row],[POS]]=0,1,0)</f>
        <v>0</v>
      </c>
      <c r="K1587">
        <f>SUM(Table13[[#This Row],[prefix]],Table13[[#This Row],[Past zero L]],Table13[[#This Row],[Past Zero R]],Table13[[#This Row],[Is Zero]])</f>
        <v>1</v>
      </c>
    </row>
    <row r="1588" spans="1:11" ht="16" x14ac:dyDescent="0.2">
      <c r="A1588" s="1" t="s">
        <v>86</v>
      </c>
      <c r="B1588" t="str">
        <f>LEFT(Table13[[#This Row],[Input]],1)</f>
        <v>R</v>
      </c>
      <c r="C1588">
        <f>_xlfn.LET(_xlpm.steps,SUBSTITUTE(Table13[[#This Row],[Input]],Table13[[#This Row],[Direction]],""),VALUE(IF(LEN(_xlpm.steps)&gt;2,RIGHT(_xlpm.steps,2),_xlpm.steps)))</f>
        <v>60</v>
      </c>
      <c r="D1588">
        <f>_xlfn.LET(_xlpm.steps,SUBSTITUTE(Table13[[#This Row],[Input]],Table13[[#This Row],[Direction]],""),VALUE(IF(LEN(_xlpm.steps)&gt;2,LEFT(_xlpm.steps,LEN(_xlpm.steps)-2),0)))</f>
        <v>7</v>
      </c>
      <c r="E1588">
        <f>_xlfn.LET(_xlpm.dir,Table13[[#This Row],[Direction]],
IF(_xlpm.dir="L",
    IF(G1587-Table13[[#This Row],[Steps]]&lt;0,100+(G1587-Table13[[#This Row],[Steps]]),G1587-Table13[[#This Row],[Steps]]),
))</f>
        <v>0</v>
      </c>
      <c r="F1588">
        <f>_xlfn.LET(_xlpm.dir,Table13[[#This Row],[Direction]],
IF(_xlpm.dir="R",
    IF(G1587+Table13[[#This Row],[Steps]]&gt;99,(G1587+Table13[[#This Row],[Steps]])-100,G1587+Table13[[#This Row],[Steps]]),
))</f>
        <v>29</v>
      </c>
      <c r="G1588">
        <f>IF(Table13[[#This Row],[New Pos L]]&lt;&gt;0,Table13[[#This Row],[New Pos L]],Table13[[#This Row],[New Pos R]])</f>
        <v>29</v>
      </c>
      <c r="H1588">
        <f>IF(AND(Table13[[#This Row],[Direction]]="L",Table13[[#This Row],[Steps]]&gt;G1587,G1587&lt;&gt;0),1,0)</f>
        <v>0</v>
      </c>
      <c r="I1588">
        <f>IF(AND(Table13[[#This Row],[Direction]]="R",(G1587+Table13[[#This Row],[Steps]])&gt;100),1,0)</f>
        <v>1</v>
      </c>
      <c r="J1588">
        <f>IF(Table13[[#This Row],[POS]]=0,1,0)</f>
        <v>0</v>
      </c>
      <c r="K1588">
        <f>SUM(Table13[[#This Row],[prefix]],Table13[[#This Row],[Past zero L]],Table13[[#This Row],[Past Zero R]],Table13[[#This Row],[Is Zero]])</f>
        <v>8</v>
      </c>
    </row>
    <row r="1589" spans="1:11" ht="16" x14ac:dyDescent="0.2">
      <c r="A1589" s="1" t="s">
        <v>464</v>
      </c>
      <c r="B1589" t="str">
        <f>LEFT(Table13[[#This Row],[Input]],1)</f>
        <v>R</v>
      </c>
      <c r="C1589">
        <f>_xlfn.LET(_xlpm.steps,SUBSTITUTE(Table13[[#This Row],[Input]],Table13[[#This Row],[Direction]],""),VALUE(IF(LEN(_xlpm.steps)&gt;2,RIGHT(_xlpm.steps,2),_xlpm.steps)))</f>
        <v>44</v>
      </c>
      <c r="D1589">
        <f>_xlfn.LET(_xlpm.steps,SUBSTITUTE(Table13[[#This Row],[Input]],Table13[[#This Row],[Direction]],""),VALUE(IF(LEN(_xlpm.steps)&gt;2,LEFT(_xlpm.steps,LEN(_xlpm.steps)-2),0)))</f>
        <v>7</v>
      </c>
      <c r="E1589">
        <f>_xlfn.LET(_xlpm.dir,Table13[[#This Row],[Direction]],
IF(_xlpm.dir="L",
    IF(G1588-Table13[[#This Row],[Steps]]&lt;0,100+(G1588-Table13[[#This Row],[Steps]]),G1588-Table13[[#This Row],[Steps]]),
))</f>
        <v>0</v>
      </c>
      <c r="F1589">
        <f>_xlfn.LET(_xlpm.dir,Table13[[#This Row],[Direction]],
IF(_xlpm.dir="R",
    IF(G1588+Table13[[#This Row],[Steps]]&gt;99,(G1588+Table13[[#This Row],[Steps]])-100,G1588+Table13[[#This Row],[Steps]]),
))</f>
        <v>73</v>
      </c>
      <c r="G1589">
        <f>IF(Table13[[#This Row],[New Pos L]]&lt;&gt;0,Table13[[#This Row],[New Pos L]],Table13[[#This Row],[New Pos R]])</f>
        <v>73</v>
      </c>
      <c r="H1589">
        <f>IF(AND(Table13[[#This Row],[Direction]]="L",Table13[[#This Row],[Steps]]&gt;G1588,G1588&lt;&gt;0),1,0)</f>
        <v>0</v>
      </c>
      <c r="I1589">
        <f>IF(AND(Table13[[#This Row],[Direction]]="R",(G1588+Table13[[#This Row],[Steps]])&gt;100),1,0)</f>
        <v>0</v>
      </c>
      <c r="J1589">
        <f>IF(Table13[[#This Row],[POS]]=0,1,0)</f>
        <v>0</v>
      </c>
      <c r="K1589">
        <f>SUM(Table13[[#This Row],[prefix]],Table13[[#This Row],[Past zero L]],Table13[[#This Row],[Past Zero R]],Table13[[#This Row],[Is Zero]])</f>
        <v>7</v>
      </c>
    </row>
    <row r="1590" spans="1:11" ht="16" x14ac:dyDescent="0.2">
      <c r="A1590" s="1" t="s">
        <v>171</v>
      </c>
      <c r="B1590" t="str">
        <f>LEFT(Table13[[#This Row],[Input]],1)</f>
        <v>L</v>
      </c>
      <c r="C1590">
        <f>_xlfn.LET(_xlpm.steps,SUBSTITUTE(Table13[[#This Row],[Input]],Table13[[#This Row],[Direction]],""),VALUE(IF(LEN(_xlpm.steps)&gt;2,RIGHT(_xlpm.steps,2),_xlpm.steps)))</f>
        <v>73</v>
      </c>
      <c r="D1590">
        <f>_xlfn.LET(_xlpm.steps,SUBSTITUTE(Table13[[#This Row],[Input]],Table13[[#This Row],[Direction]],""),VALUE(IF(LEN(_xlpm.steps)&gt;2,LEFT(_xlpm.steps,LEN(_xlpm.steps)-2),0)))</f>
        <v>0</v>
      </c>
      <c r="E1590">
        <f>_xlfn.LET(_xlpm.dir,Table13[[#This Row],[Direction]],
IF(_xlpm.dir="L",
    IF(G1589-Table13[[#This Row],[Steps]]&lt;0,100+(G1589-Table13[[#This Row],[Steps]]),G1589-Table13[[#This Row],[Steps]]),
))</f>
        <v>0</v>
      </c>
      <c r="F1590">
        <f>_xlfn.LET(_xlpm.dir,Table13[[#This Row],[Direction]],
IF(_xlpm.dir="R",
    IF(G1589+Table13[[#This Row],[Steps]]&gt;99,(G1589+Table13[[#This Row],[Steps]])-100,G1589+Table13[[#This Row],[Steps]]),
))</f>
        <v>0</v>
      </c>
      <c r="G1590">
        <f>IF(Table13[[#This Row],[New Pos L]]&lt;&gt;0,Table13[[#This Row],[New Pos L]],Table13[[#This Row],[New Pos R]])</f>
        <v>0</v>
      </c>
      <c r="H1590">
        <f>IF(AND(Table13[[#This Row],[Direction]]="L",Table13[[#This Row],[Steps]]&gt;G1589,G1589&lt;&gt;0),1,0)</f>
        <v>0</v>
      </c>
      <c r="I1590">
        <f>IF(AND(Table13[[#This Row],[Direction]]="R",(G1589+Table13[[#This Row],[Steps]])&gt;100),1,0)</f>
        <v>0</v>
      </c>
      <c r="J1590">
        <f>IF(Table13[[#This Row],[POS]]=0,1,0)</f>
        <v>1</v>
      </c>
      <c r="K1590">
        <f>SUM(Table13[[#This Row],[prefix]],Table13[[#This Row],[Past zero L]],Table13[[#This Row],[Past Zero R]],Table13[[#This Row],[Is Zero]])</f>
        <v>1</v>
      </c>
    </row>
    <row r="1591" spans="1:11" ht="16" x14ac:dyDescent="0.2">
      <c r="A1591" s="1" t="s">
        <v>241</v>
      </c>
      <c r="B1591" t="str">
        <f>LEFT(Table13[[#This Row],[Input]],1)</f>
        <v>R</v>
      </c>
      <c r="C1591">
        <f>_xlfn.LET(_xlpm.steps,SUBSTITUTE(Table13[[#This Row],[Input]],Table13[[#This Row],[Direction]],""),VALUE(IF(LEN(_xlpm.steps)&gt;2,RIGHT(_xlpm.steps,2),_xlpm.steps)))</f>
        <v>60</v>
      </c>
      <c r="D1591">
        <f>_xlfn.LET(_xlpm.steps,SUBSTITUTE(Table13[[#This Row],[Input]],Table13[[#This Row],[Direction]],""),VALUE(IF(LEN(_xlpm.steps)&gt;2,LEFT(_xlpm.steps,LEN(_xlpm.steps)-2),0)))</f>
        <v>0</v>
      </c>
      <c r="E1591">
        <f>_xlfn.LET(_xlpm.dir,Table13[[#This Row],[Direction]],
IF(_xlpm.dir="L",
    IF(G1590-Table13[[#This Row],[Steps]]&lt;0,100+(G1590-Table13[[#This Row],[Steps]]),G1590-Table13[[#This Row],[Steps]]),
))</f>
        <v>0</v>
      </c>
      <c r="F1591">
        <f>_xlfn.LET(_xlpm.dir,Table13[[#This Row],[Direction]],
IF(_xlpm.dir="R",
    IF(G1590+Table13[[#This Row],[Steps]]&gt;99,(G1590+Table13[[#This Row],[Steps]])-100,G1590+Table13[[#This Row],[Steps]]),
))</f>
        <v>60</v>
      </c>
      <c r="G1591">
        <f>IF(Table13[[#This Row],[New Pos L]]&lt;&gt;0,Table13[[#This Row],[New Pos L]],Table13[[#This Row],[New Pos R]])</f>
        <v>60</v>
      </c>
      <c r="H1591">
        <f>IF(AND(Table13[[#This Row],[Direction]]="L",Table13[[#This Row],[Steps]]&gt;G1590,G1590&lt;&gt;0),1,0)</f>
        <v>0</v>
      </c>
      <c r="I1591">
        <f>IF(AND(Table13[[#This Row],[Direction]]="R",(G1590+Table13[[#This Row],[Steps]])&gt;100),1,0)</f>
        <v>0</v>
      </c>
      <c r="J1591">
        <f>IF(Table13[[#This Row],[POS]]=0,1,0)</f>
        <v>0</v>
      </c>
      <c r="K1591">
        <f>SUM(Table13[[#This Row],[prefix]],Table13[[#This Row],[Past zero L]],Table13[[#This Row],[Past Zero R]],Table13[[#This Row],[Is Zero]])</f>
        <v>0</v>
      </c>
    </row>
    <row r="1592" spans="1:11" ht="16" x14ac:dyDescent="0.2">
      <c r="A1592" s="1" t="s">
        <v>336</v>
      </c>
      <c r="B1592" t="str">
        <f>LEFT(Table13[[#This Row],[Input]],1)</f>
        <v>R</v>
      </c>
      <c r="C1592">
        <f>_xlfn.LET(_xlpm.steps,SUBSTITUTE(Table13[[#This Row],[Input]],Table13[[#This Row],[Direction]],""),VALUE(IF(LEN(_xlpm.steps)&gt;2,RIGHT(_xlpm.steps,2),_xlpm.steps)))</f>
        <v>95</v>
      </c>
      <c r="D1592">
        <f>_xlfn.LET(_xlpm.steps,SUBSTITUTE(Table13[[#This Row],[Input]],Table13[[#This Row],[Direction]],""),VALUE(IF(LEN(_xlpm.steps)&gt;2,LEFT(_xlpm.steps,LEN(_xlpm.steps)-2),0)))</f>
        <v>0</v>
      </c>
      <c r="E1592">
        <f>_xlfn.LET(_xlpm.dir,Table13[[#This Row],[Direction]],
IF(_xlpm.dir="L",
    IF(G1591-Table13[[#This Row],[Steps]]&lt;0,100+(G1591-Table13[[#This Row],[Steps]]),G1591-Table13[[#This Row],[Steps]]),
))</f>
        <v>0</v>
      </c>
      <c r="F1592">
        <f>_xlfn.LET(_xlpm.dir,Table13[[#This Row],[Direction]],
IF(_xlpm.dir="R",
    IF(G1591+Table13[[#This Row],[Steps]]&gt;99,(G1591+Table13[[#This Row],[Steps]])-100,G1591+Table13[[#This Row],[Steps]]),
))</f>
        <v>55</v>
      </c>
      <c r="G1592">
        <f>IF(Table13[[#This Row],[New Pos L]]&lt;&gt;0,Table13[[#This Row],[New Pos L]],Table13[[#This Row],[New Pos R]])</f>
        <v>55</v>
      </c>
      <c r="H1592">
        <f>IF(AND(Table13[[#This Row],[Direction]]="L",Table13[[#This Row],[Steps]]&gt;G1591,G1591&lt;&gt;0),1,0)</f>
        <v>0</v>
      </c>
      <c r="I1592">
        <f>IF(AND(Table13[[#This Row],[Direction]]="R",(G1591+Table13[[#This Row],[Steps]])&gt;100),1,0)</f>
        <v>1</v>
      </c>
      <c r="J1592">
        <f>IF(Table13[[#This Row],[POS]]=0,1,0)</f>
        <v>0</v>
      </c>
      <c r="K1592">
        <f>SUM(Table13[[#This Row],[prefix]],Table13[[#This Row],[Past zero L]],Table13[[#This Row],[Past Zero R]],Table13[[#This Row],[Is Zero]])</f>
        <v>1</v>
      </c>
    </row>
    <row r="1593" spans="1:11" ht="16" x14ac:dyDescent="0.2">
      <c r="A1593" s="1" t="s">
        <v>223</v>
      </c>
      <c r="B1593" t="str">
        <f>LEFT(Table13[[#This Row],[Input]],1)</f>
        <v>L</v>
      </c>
      <c r="C1593">
        <f>_xlfn.LET(_xlpm.steps,SUBSTITUTE(Table13[[#This Row],[Input]],Table13[[#This Row],[Direction]],""),VALUE(IF(LEN(_xlpm.steps)&gt;2,RIGHT(_xlpm.steps,2),_xlpm.steps)))</f>
        <v>87</v>
      </c>
      <c r="D1593">
        <f>_xlfn.LET(_xlpm.steps,SUBSTITUTE(Table13[[#This Row],[Input]],Table13[[#This Row],[Direction]],""),VALUE(IF(LEN(_xlpm.steps)&gt;2,LEFT(_xlpm.steps,LEN(_xlpm.steps)-2),0)))</f>
        <v>0</v>
      </c>
      <c r="E1593">
        <f>_xlfn.LET(_xlpm.dir,Table13[[#This Row],[Direction]],
IF(_xlpm.dir="L",
    IF(G1592-Table13[[#This Row],[Steps]]&lt;0,100+(G1592-Table13[[#This Row],[Steps]]),G1592-Table13[[#This Row],[Steps]]),
))</f>
        <v>68</v>
      </c>
      <c r="F1593">
        <f>_xlfn.LET(_xlpm.dir,Table13[[#This Row],[Direction]],
IF(_xlpm.dir="R",
    IF(G1592+Table13[[#This Row],[Steps]]&gt;99,(G1592+Table13[[#This Row],[Steps]])-100,G1592+Table13[[#This Row],[Steps]]),
))</f>
        <v>0</v>
      </c>
      <c r="G1593">
        <f>IF(Table13[[#This Row],[New Pos L]]&lt;&gt;0,Table13[[#This Row],[New Pos L]],Table13[[#This Row],[New Pos R]])</f>
        <v>68</v>
      </c>
      <c r="H1593">
        <f>IF(AND(Table13[[#This Row],[Direction]]="L",Table13[[#This Row],[Steps]]&gt;G1592,G1592&lt;&gt;0),1,0)</f>
        <v>1</v>
      </c>
      <c r="I1593">
        <f>IF(AND(Table13[[#This Row],[Direction]]="R",(G1592+Table13[[#This Row],[Steps]])&gt;100),1,0)</f>
        <v>0</v>
      </c>
      <c r="J1593">
        <f>IF(Table13[[#This Row],[POS]]=0,1,0)</f>
        <v>0</v>
      </c>
      <c r="K1593">
        <f>SUM(Table13[[#This Row],[prefix]],Table13[[#This Row],[Past zero L]],Table13[[#This Row],[Past Zero R]],Table13[[#This Row],[Is Zero]])</f>
        <v>1</v>
      </c>
    </row>
    <row r="1594" spans="1:11" ht="16" x14ac:dyDescent="0.2">
      <c r="A1594" s="1" t="s">
        <v>158</v>
      </c>
      <c r="B1594" t="str">
        <f>LEFT(Table13[[#This Row],[Input]],1)</f>
        <v>L</v>
      </c>
      <c r="C1594">
        <f>_xlfn.LET(_xlpm.steps,SUBSTITUTE(Table13[[#This Row],[Input]],Table13[[#This Row],[Direction]],""),VALUE(IF(LEN(_xlpm.steps)&gt;2,RIGHT(_xlpm.steps,2),_xlpm.steps)))</f>
        <v>24</v>
      </c>
      <c r="D1594">
        <f>_xlfn.LET(_xlpm.steps,SUBSTITUTE(Table13[[#This Row],[Input]],Table13[[#This Row],[Direction]],""),VALUE(IF(LEN(_xlpm.steps)&gt;2,LEFT(_xlpm.steps,LEN(_xlpm.steps)-2),0)))</f>
        <v>0</v>
      </c>
      <c r="E1594">
        <f>_xlfn.LET(_xlpm.dir,Table13[[#This Row],[Direction]],
IF(_xlpm.dir="L",
    IF(G1593-Table13[[#This Row],[Steps]]&lt;0,100+(G1593-Table13[[#This Row],[Steps]]),G1593-Table13[[#This Row],[Steps]]),
))</f>
        <v>44</v>
      </c>
      <c r="F1594">
        <f>_xlfn.LET(_xlpm.dir,Table13[[#This Row],[Direction]],
IF(_xlpm.dir="R",
    IF(G1593+Table13[[#This Row],[Steps]]&gt;99,(G1593+Table13[[#This Row],[Steps]])-100,G1593+Table13[[#This Row],[Steps]]),
))</f>
        <v>0</v>
      </c>
      <c r="G1594">
        <f>IF(Table13[[#This Row],[New Pos L]]&lt;&gt;0,Table13[[#This Row],[New Pos L]],Table13[[#This Row],[New Pos R]])</f>
        <v>44</v>
      </c>
      <c r="H1594">
        <f>IF(AND(Table13[[#This Row],[Direction]]="L",Table13[[#This Row],[Steps]]&gt;G1593,G1593&lt;&gt;0),1,0)</f>
        <v>0</v>
      </c>
      <c r="I1594">
        <f>IF(AND(Table13[[#This Row],[Direction]]="R",(G1593+Table13[[#This Row],[Steps]])&gt;100),1,0)</f>
        <v>0</v>
      </c>
      <c r="J1594">
        <f>IF(Table13[[#This Row],[POS]]=0,1,0)</f>
        <v>0</v>
      </c>
      <c r="K1594">
        <f>SUM(Table13[[#This Row],[prefix]],Table13[[#This Row],[Past zero L]],Table13[[#This Row],[Past Zero R]],Table13[[#This Row],[Is Zero]])</f>
        <v>0</v>
      </c>
    </row>
    <row r="1595" spans="1:11" ht="16" x14ac:dyDescent="0.2">
      <c r="A1595" s="1" t="s">
        <v>272</v>
      </c>
      <c r="B1595" t="str">
        <f>LEFT(Table13[[#This Row],[Input]],1)</f>
        <v>R</v>
      </c>
      <c r="C1595">
        <f>_xlfn.LET(_xlpm.steps,SUBSTITUTE(Table13[[#This Row],[Input]],Table13[[#This Row],[Direction]],""),VALUE(IF(LEN(_xlpm.steps)&gt;2,RIGHT(_xlpm.steps,2),_xlpm.steps)))</f>
        <v>56</v>
      </c>
      <c r="D1595">
        <f>_xlfn.LET(_xlpm.steps,SUBSTITUTE(Table13[[#This Row],[Input]],Table13[[#This Row],[Direction]],""),VALUE(IF(LEN(_xlpm.steps)&gt;2,LEFT(_xlpm.steps,LEN(_xlpm.steps)-2),0)))</f>
        <v>0</v>
      </c>
      <c r="E1595">
        <f>_xlfn.LET(_xlpm.dir,Table13[[#This Row],[Direction]],
IF(_xlpm.dir="L",
    IF(G1594-Table13[[#This Row],[Steps]]&lt;0,100+(G1594-Table13[[#This Row],[Steps]]),G1594-Table13[[#This Row],[Steps]]),
))</f>
        <v>0</v>
      </c>
      <c r="F1595">
        <f>_xlfn.LET(_xlpm.dir,Table13[[#This Row],[Direction]],
IF(_xlpm.dir="R",
    IF(G1594+Table13[[#This Row],[Steps]]&gt;99,(G1594+Table13[[#This Row],[Steps]])-100,G1594+Table13[[#This Row],[Steps]]),
))</f>
        <v>0</v>
      </c>
      <c r="G1595">
        <f>IF(Table13[[#This Row],[New Pos L]]&lt;&gt;0,Table13[[#This Row],[New Pos L]],Table13[[#This Row],[New Pos R]])</f>
        <v>0</v>
      </c>
      <c r="H1595">
        <f>IF(AND(Table13[[#This Row],[Direction]]="L",Table13[[#This Row],[Steps]]&gt;G1594,G1594&lt;&gt;0),1,0)</f>
        <v>0</v>
      </c>
      <c r="I1595">
        <f>IF(AND(Table13[[#This Row],[Direction]]="R",(G1594+Table13[[#This Row],[Steps]])&gt;100),1,0)</f>
        <v>0</v>
      </c>
      <c r="J1595">
        <f>IF(Table13[[#This Row],[POS]]=0,1,0)</f>
        <v>1</v>
      </c>
      <c r="K1595">
        <f>SUM(Table13[[#This Row],[prefix]],Table13[[#This Row],[Past zero L]],Table13[[#This Row],[Past Zero R]],Table13[[#This Row],[Is Zero]])</f>
        <v>1</v>
      </c>
    </row>
    <row r="1596" spans="1:11" ht="16" x14ac:dyDescent="0.2">
      <c r="A1596" s="1" t="s">
        <v>76</v>
      </c>
      <c r="B1596" t="str">
        <f>LEFT(Table13[[#This Row],[Input]],1)</f>
        <v>R</v>
      </c>
      <c r="C1596">
        <f>_xlfn.LET(_xlpm.steps,SUBSTITUTE(Table13[[#This Row],[Input]],Table13[[#This Row],[Direction]],""),VALUE(IF(LEN(_xlpm.steps)&gt;2,RIGHT(_xlpm.steps,2),_xlpm.steps)))</f>
        <v>37</v>
      </c>
      <c r="D1596">
        <f>_xlfn.LET(_xlpm.steps,SUBSTITUTE(Table13[[#This Row],[Input]],Table13[[#This Row],[Direction]],""),VALUE(IF(LEN(_xlpm.steps)&gt;2,LEFT(_xlpm.steps,LEN(_xlpm.steps)-2),0)))</f>
        <v>0</v>
      </c>
      <c r="E1596">
        <f>_xlfn.LET(_xlpm.dir,Table13[[#This Row],[Direction]],
IF(_xlpm.dir="L",
    IF(G1595-Table13[[#This Row],[Steps]]&lt;0,100+(G1595-Table13[[#This Row],[Steps]]),G1595-Table13[[#This Row],[Steps]]),
))</f>
        <v>0</v>
      </c>
      <c r="F1596">
        <f>_xlfn.LET(_xlpm.dir,Table13[[#This Row],[Direction]],
IF(_xlpm.dir="R",
    IF(G1595+Table13[[#This Row],[Steps]]&gt;99,(G1595+Table13[[#This Row],[Steps]])-100,G1595+Table13[[#This Row],[Steps]]),
))</f>
        <v>37</v>
      </c>
      <c r="G1596">
        <f>IF(Table13[[#This Row],[New Pos L]]&lt;&gt;0,Table13[[#This Row],[New Pos L]],Table13[[#This Row],[New Pos R]])</f>
        <v>37</v>
      </c>
      <c r="H1596">
        <f>IF(AND(Table13[[#This Row],[Direction]]="L",Table13[[#This Row],[Steps]]&gt;G1595,G1595&lt;&gt;0),1,0)</f>
        <v>0</v>
      </c>
      <c r="I1596">
        <f>IF(AND(Table13[[#This Row],[Direction]]="R",(G1595+Table13[[#This Row],[Steps]])&gt;100),1,0)</f>
        <v>0</v>
      </c>
      <c r="J1596">
        <f>IF(Table13[[#This Row],[POS]]=0,1,0)</f>
        <v>0</v>
      </c>
      <c r="K1596">
        <f>SUM(Table13[[#This Row],[prefix]],Table13[[#This Row],[Past zero L]],Table13[[#This Row],[Past Zero R]],Table13[[#This Row],[Is Zero]])</f>
        <v>0</v>
      </c>
    </row>
    <row r="1597" spans="1:11" ht="16" x14ac:dyDescent="0.2">
      <c r="A1597" s="1" t="s">
        <v>363</v>
      </c>
      <c r="B1597" t="str">
        <f>LEFT(Table13[[#This Row],[Input]],1)</f>
        <v>R</v>
      </c>
      <c r="C1597">
        <f>_xlfn.LET(_xlpm.steps,SUBSTITUTE(Table13[[#This Row],[Input]],Table13[[#This Row],[Direction]],""),VALUE(IF(LEN(_xlpm.steps)&gt;2,RIGHT(_xlpm.steps,2),_xlpm.steps)))</f>
        <v>63</v>
      </c>
      <c r="D1597">
        <f>_xlfn.LET(_xlpm.steps,SUBSTITUTE(Table13[[#This Row],[Input]],Table13[[#This Row],[Direction]],""),VALUE(IF(LEN(_xlpm.steps)&gt;2,LEFT(_xlpm.steps,LEN(_xlpm.steps)-2),0)))</f>
        <v>0</v>
      </c>
      <c r="E1597">
        <f>_xlfn.LET(_xlpm.dir,Table13[[#This Row],[Direction]],
IF(_xlpm.dir="L",
    IF(G1596-Table13[[#This Row],[Steps]]&lt;0,100+(G1596-Table13[[#This Row],[Steps]]),G1596-Table13[[#This Row],[Steps]]),
))</f>
        <v>0</v>
      </c>
      <c r="F1597">
        <f>_xlfn.LET(_xlpm.dir,Table13[[#This Row],[Direction]],
IF(_xlpm.dir="R",
    IF(G1596+Table13[[#This Row],[Steps]]&gt;99,(G1596+Table13[[#This Row],[Steps]])-100,G1596+Table13[[#This Row],[Steps]]),
))</f>
        <v>0</v>
      </c>
      <c r="G1597">
        <f>IF(Table13[[#This Row],[New Pos L]]&lt;&gt;0,Table13[[#This Row],[New Pos L]],Table13[[#This Row],[New Pos R]])</f>
        <v>0</v>
      </c>
      <c r="H1597">
        <f>IF(AND(Table13[[#This Row],[Direction]]="L",Table13[[#This Row],[Steps]]&gt;G1596,G1596&lt;&gt;0),1,0)</f>
        <v>0</v>
      </c>
      <c r="I1597">
        <f>IF(AND(Table13[[#This Row],[Direction]]="R",(G1596+Table13[[#This Row],[Steps]])&gt;100),1,0)</f>
        <v>0</v>
      </c>
      <c r="J1597">
        <f>IF(Table13[[#This Row],[POS]]=0,1,0)</f>
        <v>1</v>
      </c>
      <c r="K1597">
        <f>SUM(Table13[[#This Row],[prefix]],Table13[[#This Row],[Past zero L]],Table13[[#This Row],[Past Zero R]],Table13[[#This Row],[Is Zero]])</f>
        <v>1</v>
      </c>
    </row>
    <row r="1598" spans="1:11" ht="16" x14ac:dyDescent="0.2">
      <c r="A1598" s="1" t="s">
        <v>465</v>
      </c>
      <c r="B1598" t="str">
        <f>LEFT(Table13[[#This Row],[Input]],1)</f>
        <v>L</v>
      </c>
      <c r="C1598">
        <f>_xlfn.LET(_xlpm.steps,SUBSTITUTE(Table13[[#This Row],[Input]],Table13[[#This Row],[Direction]],""),VALUE(IF(LEN(_xlpm.steps)&gt;2,RIGHT(_xlpm.steps,2),_xlpm.steps)))</f>
        <v>39</v>
      </c>
      <c r="D1598">
        <f>_xlfn.LET(_xlpm.steps,SUBSTITUTE(Table13[[#This Row],[Input]],Table13[[#This Row],[Direction]],""),VALUE(IF(LEN(_xlpm.steps)&gt;2,LEFT(_xlpm.steps,LEN(_xlpm.steps)-2),0)))</f>
        <v>3</v>
      </c>
      <c r="E1598">
        <f>_xlfn.LET(_xlpm.dir,Table13[[#This Row],[Direction]],
IF(_xlpm.dir="L",
    IF(G1597-Table13[[#This Row],[Steps]]&lt;0,100+(G1597-Table13[[#This Row],[Steps]]),G1597-Table13[[#This Row],[Steps]]),
))</f>
        <v>61</v>
      </c>
      <c r="F1598">
        <f>_xlfn.LET(_xlpm.dir,Table13[[#This Row],[Direction]],
IF(_xlpm.dir="R",
    IF(G1597+Table13[[#This Row],[Steps]]&gt;99,(G1597+Table13[[#This Row],[Steps]])-100,G1597+Table13[[#This Row],[Steps]]),
))</f>
        <v>0</v>
      </c>
      <c r="G1598">
        <f>IF(Table13[[#This Row],[New Pos L]]&lt;&gt;0,Table13[[#This Row],[New Pos L]],Table13[[#This Row],[New Pos R]])</f>
        <v>61</v>
      </c>
      <c r="H1598">
        <f>IF(AND(Table13[[#This Row],[Direction]]="L",Table13[[#This Row],[Steps]]&gt;G1597,G1597&lt;&gt;0),1,0)</f>
        <v>0</v>
      </c>
      <c r="I1598">
        <f>IF(AND(Table13[[#This Row],[Direction]]="R",(G1597+Table13[[#This Row],[Steps]])&gt;100),1,0)</f>
        <v>0</v>
      </c>
      <c r="J1598">
        <f>IF(Table13[[#This Row],[POS]]=0,1,0)</f>
        <v>0</v>
      </c>
      <c r="K1598">
        <f>SUM(Table13[[#This Row],[prefix]],Table13[[#This Row],[Past zero L]],Table13[[#This Row],[Past Zero R]],Table13[[#This Row],[Is Zero]])</f>
        <v>3</v>
      </c>
    </row>
    <row r="1599" spans="1:11" ht="16" x14ac:dyDescent="0.2">
      <c r="A1599" s="1" t="s">
        <v>111</v>
      </c>
      <c r="B1599" t="str">
        <f>LEFT(Table13[[#This Row],[Input]],1)</f>
        <v>R</v>
      </c>
      <c r="C1599">
        <f>_xlfn.LET(_xlpm.steps,SUBSTITUTE(Table13[[#This Row],[Input]],Table13[[#This Row],[Direction]],""),VALUE(IF(LEN(_xlpm.steps)&gt;2,RIGHT(_xlpm.steps,2),_xlpm.steps)))</f>
        <v>64</v>
      </c>
      <c r="D1599">
        <f>_xlfn.LET(_xlpm.steps,SUBSTITUTE(Table13[[#This Row],[Input]],Table13[[#This Row],[Direction]],""),VALUE(IF(LEN(_xlpm.steps)&gt;2,LEFT(_xlpm.steps,LEN(_xlpm.steps)-2),0)))</f>
        <v>0</v>
      </c>
      <c r="E1599">
        <f>_xlfn.LET(_xlpm.dir,Table13[[#This Row],[Direction]],
IF(_xlpm.dir="L",
    IF(G1598-Table13[[#This Row],[Steps]]&lt;0,100+(G1598-Table13[[#This Row],[Steps]]),G1598-Table13[[#This Row],[Steps]]),
))</f>
        <v>0</v>
      </c>
      <c r="F1599">
        <f>_xlfn.LET(_xlpm.dir,Table13[[#This Row],[Direction]],
IF(_xlpm.dir="R",
    IF(G1598+Table13[[#This Row],[Steps]]&gt;99,(G1598+Table13[[#This Row],[Steps]])-100,G1598+Table13[[#This Row],[Steps]]),
))</f>
        <v>25</v>
      </c>
      <c r="G1599">
        <f>IF(Table13[[#This Row],[New Pos L]]&lt;&gt;0,Table13[[#This Row],[New Pos L]],Table13[[#This Row],[New Pos R]])</f>
        <v>25</v>
      </c>
      <c r="H1599">
        <f>IF(AND(Table13[[#This Row],[Direction]]="L",Table13[[#This Row],[Steps]]&gt;G1598,G1598&lt;&gt;0),1,0)</f>
        <v>0</v>
      </c>
      <c r="I1599">
        <f>IF(AND(Table13[[#This Row],[Direction]]="R",(G1598+Table13[[#This Row],[Steps]])&gt;100),1,0)</f>
        <v>1</v>
      </c>
      <c r="J1599">
        <f>IF(Table13[[#This Row],[POS]]=0,1,0)</f>
        <v>0</v>
      </c>
      <c r="K1599">
        <f>SUM(Table13[[#This Row],[prefix]],Table13[[#This Row],[Past zero L]],Table13[[#This Row],[Past Zero R]],Table13[[#This Row],[Is Zero]])</f>
        <v>1</v>
      </c>
    </row>
    <row r="1600" spans="1:11" ht="16" x14ac:dyDescent="0.2">
      <c r="A1600" s="1" t="s">
        <v>466</v>
      </c>
      <c r="B1600" t="str">
        <f>LEFT(Table13[[#This Row],[Input]],1)</f>
        <v>L</v>
      </c>
      <c r="C1600">
        <f>_xlfn.LET(_xlpm.steps,SUBSTITUTE(Table13[[#This Row],[Input]],Table13[[#This Row],[Direction]],""),VALUE(IF(LEN(_xlpm.steps)&gt;2,RIGHT(_xlpm.steps,2),_xlpm.steps)))</f>
        <v>72</v>
      </c>
      <c r="D1600">
        <f>_xlfn.LET(_xlpm.steps,SUBSTITUTE(Table13[[#This Row],[Input]],Table13[[#This Row],[Direction]],""),VALUE(IF(LEN(_xlpm.steps)&gt;2,LEFT(_xlpm.steps,LEN(_xlpm.steps)-2),0)))</f>
        <v>9</v>
      </c>
      <c r="E1600">
        <f>_xlfn.LET(_xlpm.dir,Table13[[#This Row],[Direction]],
IF(_xlpm.dir="L",
    IF(G1599-Table13[[#This Row],[Steps]]&lt;0,100+(G1599-Table13[[#This Row],[Steps]]),G1599-Table13[[#This Row],[Steps]]),
))</f>
        <v>53</v>
      </c>
      <c r="F1600">
        <f>_xlfn.LET(_xlpm.dir,Table13[[#This Row],[Direction]],
IF(_xlpm.dir="R",
    IF(G1599+Table13[[#This Row],[Steps]]&gt;99,(G1599+Table13[[#This Row],[Steps]])-100,G1599+Table13[[#This Row],[Steps]]),
))</f>
        <v>0</v>
      </c>
      <c r="G1600">
        <f>IF(Table13[[#This Row],[New Pos L]]&lt;&gt;0,Table13[[#This Row],[New Pos L]],Table13[[#This Row],[New Pos R]])</f>
        <v>53</v>
      </c>
      <c r="H1600">
        <f>IF(AND(Table13[[#This Row],[Direction]]="L",Table13[[#This Row],[Steps]]&gt;G1599,G1599&lt;&gt;0),1,0)</f>
        <v>1</v>
      </c>
      <c r="I1600">
        <f>IF(AND(Table13[[#This Row],[Direction]]="R",(G1599+Table13[[#This Row],[Steps]])&gt;100),1,0)</f>
        <v>0</v>
      </c>
      <c r="J1600">
        <f>IF(Table13[[#This Row],[POS]]=0,1,0)</f>
        <v>0</v>
      </c>
      <c r="K1600">
        <f>SUM(Table13[[#This Row],[prefix]],Table13[[#This Row],[Past zero L]],Table13[[#This Row],[Past Zero R]],Table13[[#This Row],[Is Zero]])</f>
        <v>10</v>
      </c>
    </row>
    <row r="1601" spans="1:11" ht="16" x14ac:dyDescent="0.2">
      <c r="A1601" s="1" t="s">
        <v>467</v>
      </c>
      <c r="B1601" t="str">
        <f>LEFT(Table13[[#This Row],[Input]],1)</f>
        <v>R</v>
      </c>
      <c r="C1601">
        <f>_xlfn.LET(_xlpm.steps,SUBSTITUTE(Table13[[#This Row],[Input]],Table13[[#This Row],[Direction]],""),VALUE(IF(LEN(_xlpm.steps)&gt;2,RIGHT(_xlpm.steps,2),_xlpm.steps)))</f>
        <v>82</v>
      </c>
      <c r="D1601">
        <f>_xlfn.LET(_xlpm.steps,SUBSTITUTE(Table13[[#This Row],[Input]],Table13[[#This Row],[Direction]],""),VALUE(IF(LEN(_xlpm.steps)&gt;2,LEFT(_xlpm.steps,LEN(_xlpm.steps)-2),0)))</f>
        <v>3</v>
      </c>
      <c r="E1601">
        <f>_xlfn.LET(_xlpm.dir,Table13[[#This Row],[Direction]],
IF(_xlpm.dir="L",
    IF(G1600-Table13[[#This Row],[Steps]]&lt;0,100+(G1600-Table13[[#This Row],[Steps]]),G1600-Table13[[#This Row],[Steps]]),
))</f>
        <v>0</v>
      </c>
      <c r="F1601">
        <f>_xlfn.LET(_xlpm.dir,Table13[[#This Row],[Direction]],
IF(_xlpm.dir="R",
    IF(G1600+Table13[[#This Row],[Steps]]&gt;99,(G1600+Table13[[#This Row],[Steps]])-100,G1600+Table13[[#This Row],[Steps]]),
))</f>
        <v>35</v>
      </c>
      <c r="G1601">
        <f>IF(Table13[[#This Row],[New Pos L]]&lt;&gt;0,Table13[[#This Row],[New Pos L]],Table13[[#This Row],[New Pos R]])</f>
        <v>35</v>
      </c>
      <c r="H1601">
        <f>IF(AND(Table13[[#This Row],[Direction]]="L",Table13[[#This Row],[Steps]]&gt;G1600,G1600&lt;&gt;0),1,0)</f>
        <v>0</v>
      </c>
      <c r="I1601">
        <f>IF(AND(Table13[[#This Row],[Direction]]="R",(G1600+Table13[[#This Row],[Steps]])&gt;100),1,0)</f>
        <v>1</v>
      </c>
      <c r="J1601">
        <f>IF(Table13[[#This Row],[POS]]=0,1,0)</f>
        <v>0</v>
      </c>
      <c r="K1601">
        <f>SUM(Table13[[#This Row],[prefix]],Table13[[#This Row],[Past zero L]],Table13[[#This Row],[Past Zero R]],Table13[[#This Row],[Is Zero]])</f>
        <v>4</v>
      </c>
    </row>
    <row r="1602" spans="1:11" ht="16" x14ac:dyDescent="0.2">
      <c r="A1602" s="1" t="s">
        <v>10</v>
      </c>
      <c r="B1602" t="str">
        <f>LEFT(Table13[[#This Row],[Input]],1)</f>
        <v>L</v>
      </c>
      <c r="C1602">
        <f>_xlfn.LET(_xlpm.steps,SUBSTITUTE(Table13[[#This Row],[Input]],Table13[[#This Row],[Direction]],""),VALUE(IF(LEN(_xlpm.steps)&gt;2,RIGHT(_xlpm.steps,2),_xlpm.steps)))</f>
        <v>35</v>
      </c>
      <c r="D1602">
        <f>_xlfn.LET(_xlpm.steps,SUBSTITUTE(Table13[[#This Row],[Input]],Table13[[#This Row],[Direction]],""),VALUE(IF(LEN(_xlpm.steps)&gt;2,LEFT(_xlpm.steps,LEN(_xlpm.steps)-2),0)))</f>
        <v>0</v>
      </c>
      <c r="E1602">
        <f>_xlfn.LET(_xlpm.dir,Table13[[#This Row],[Direction]],
IF(_xlpm.dir="L",
    IF(G1601-Table13[[#This Row],[Steps]]&lt;0,100+(G1601-Table13[[#This Row],[Steps]]),G1601-Table13[[#This Row],[Steps]]),
))</f>
        <v>0</v>
      </c>
      <c r="F1602">
        <f>_xlfn.LET(_xlpm.dir,Table13[[#This Row],[Direction]],
IF(_xlpm.dir="R",
    IF(G1601+Table13[[#This Row],[Steps]]&gt;99,(G1601+Table13[[#This Row],[Steps]])-100,G1601+Table13[[#This Row],[Steps]]),
))</f>
        <v>0</v>
      </c>
      <c r="G1602">
        <f>IF(Table13[[#This Row],[New Pos L]]&lt;&gt;0,Table13[[#This Row],[New Pos L]],Table13[[#This Row],[New Pos R]])</f>
        <v>0</v>
      </c>
      <c r="H1602">
        <f>IF(AND(Table13[[#This Row],[Direction]]="L",Table13[[#This Row],[Steps]]&gt;G1601,G1601&lt;&gt;0),1,0)</f>
        <v>0</v>
      </c>
      <c r="I1602">
        <f>IF(AND(Table13[[#This Row],[Direction]]="R",(G1601+Table13[[#This Row],[Steps]])&gt;100),1,0)</f>
        <v>0</v>
      </c>
      <c r="J1602">
        <f>IF(Table13[[#This Row],[POS]]=0,1,0)</f>
        <v>1</v>
      </c>
      <c r="K1602">
        <f>SUM(Table13[[#This Row],[prefix]],Table13[[#This Row],[Past zero L]],Table13[[#This Row],[Past Zero R]],Table13[[#This Row],[Is Zero]])</f>
        <v>1</v>
      </c>
    </row>
    <row r="1603" spans="1:11" ht="16" x14ac:dyDescent="0.2">
      <c r="A1603" s="1" t="s">
        <v>241</v>
      </c>
      <c r="B1603" t="str">
        <f>LEFT(Table13[[#This Row],[Input]],1)</f>
        <v>R</v>
      </c>
      <c r="C1603">
        <f>_xlfn.LET(_xlpm.steps,SUBSTITUTE(Table13[[#This Row],[Input]],Table13[[#This Row],[Direction]],""),VALUE(IF(LEN(_xlpm.steps)&gt;2,RIGHT(_xlpm.steps,2),_xlpm.steps)))</f>
        <v>60</v>
      </c>
      <c r="D1603">
        <f>_xlfn.LET(_xlpm.steps,SUBSTITUTE(Table13[[#This Row],[Input]],Table13[[#This Row],[Direction]],""),VALUE(IF(LEN(_xlpm.steps)&gt;2,LEFT(_xlpm.steps,LEN(_xlpm.steps)-2),0)))</f>
        <v>0</v>
      </c>
      <c r="E1603">
        <f>_xlfn.LET(_xlpm.dir,Table13[[#This Row],[Direction]],
IF(_xlpm.dir="L",
    IF(G1602-Table13[[#This Row],[Steps]]&lt;0,100+(G1602-Table13[[#This Row],[Steps]]),G1602-Table13[[#This Row],[Steps]]),
))</f>
        <v>0</v>
      </c>
      <c r="F1603">
        <f>_xlfn.LET(_xlpm.dir,Table13[[#This Row],[Direction]],
IF(_xlpm.dir="R",
    IF(G1602+Table13[[#This Row],[Steps]]&gt;99,(G1602+Table13[[#This Row],[Steps]])-100,G1602+Table13[[#This Row],[Steps]]),
))</f>
        <v>60</v>
      </c>
      <c r="G1603">
        <f>IF(Table13[[#This Row],[New Pos L]]&lt;&gt;0,Table13[[#This Row],[New Pos L]],Table13[[#This Row],[New Pos R]])</f>
        <v>60</v>
      </c>
      <c r="H1603">
        <f>IF(AND(Table13[[#This Row],[Direction]]="L",Table13[[#This Row],[Steps]]&gt;G1602,G1602&lt;&gt;0),1,0)</f>
        <v>0</v>
      </c>
      <c r="I1603">
        <f>IF(AND(Table13[[#This Row],[Direction]]="R",(G1602+Table13[[#This Row],[Steps]])&gt;100),1,0)</f>
        <v>0</v>
      </c>
      <c r="J1603">
        <f>IF(Table13[[#This Row],[POS]]=0,1,0)</f>
        <v>0</v>
      </c>
      <c r="K1603">
        <f>SUM(Table13[[#This Row],[prefix]],Table13[[#This Row],[Past zero L]],Table13[[#This Row],[Past Zero R]],Table13[[#This Row],[Is Zero]])</f>
        <v>0</v>
      </c>
    </row>
    <row r="1604" spans="1:11" ht="16" x14ac:dyDescent="0.2">
      <c r="A1604" s="1" t="s">
        <v>468</v>
      </c>
      <c r="B1604" t="str">
        <f>LEFT(Table13[[#This Row],[Input]],1)</f>
        <v>L</v>
      </c>
      <c r="C1604">
        <f>_xlfn.LET(_xlpm.steps,SUBSTITUTE(Table13[[#This Row],[Input]],Table13[[#This Row],[Direction]],""),VALUE(IF(LEN(_xlpm.steps)&gt;2,RIGHT(_xlpm.steps,2),_xlpm.steps)))</f>
        <v>54</v>
      </c>
      <c r="D1604">
        <f>_xlfn.LET(_xlpm.steps,SUBSTITUTE(Table13[[#This Row],[Input]],Table13[[#This Row],[Direction]],""),VALUE(IF(LEN(_xlpm.steps)&gt;2,LEFT(_xlpm.steps,LEN(_xlpm.steps)-2),0)))</f>
        <v>2</v>
      </c>
      <c r="E1604">
        <f>_xlfn.LET(_xlpm.dir,Table13[[#This Row],[Direction]],
IF(_xlpm.dir="L",
    IF(G1603-Table13[[#This Row],[Steps]]&lt;0,100+(G1603-Table13[[#This Row],[Steps]]),G1603-Table13[[#This Row],[Steps]]),
))</f>
        <v>6</v>
      </c>
      <c r="F1604">
        <f>_xlfn.LET(_xlpm.dir,Table13[[#This Row],[Direction]],
IF(_xlpm.dir="R",
    IF(G1603+Table13[[#This Row],[Steps]]&gt;99,(G1603+Table13[[#This Row],[Steps]])-100,G1603+Table13[[#This Row],[Steps]]),
))</f>
        <v>0</v>
      </c>
      <c r="G1604">
        <f>IF(Table13[[#This Row],[New Pos L]]&lt;&gt;0,Table13[[#This Row],[New Pos L]],Table13[[#This Row],[New Pos R]])</f>
        <v>6</v>
      </c>
      <c r="H1604">
        <f>IF(AND(Table13[[#This Row],[Direction]]="L",Table13[[#This Row],[Steps]]&gt;G1603,G1603&lt;&gt;0),1,0)</f>
        <v>0</v>
      </c>
      <c r="I1604">
        <f>IF(AND(Table13[[#This Row],[Direction]]="R",(G1603+Table13[[#This Row],[Steps]])&gt;100),1,0)</f>
        <v>0</v>
      </c>
      <c r="J1604">
        <f>IF(Table13[[#This Row],[POS]]=0,1,0)</f>
        <v>0</v>
      </c>
      <c r="K1604">
        <f>SUM(Table13[[#This Row],[prefix]],Table13[[#This Row],[Past zero L]],Table13[[#This Row],[Past Zero R]],Table13[[#This Row],[Is Zero]])</f>
        <v>2</v>
      </c>
    </row>
    <row r="1605" spans="1:11" ht="16" x14ac:dyDescent="0.2">
      <c r="A1605" s="1" t="s">
        <v>469</v>
      </c>
      <c r="B1605" t="str">
        <f>LEFT(Table13[[#This Row],[Input]],1)</f>
        <v>L</v>
      </c>
      <c r="C1605">
        <f>_xlfn.LET(_xlpm.steps,SUBSTITUTE(Table13[[#This Row],[Input]],Table13[[#This Row],[Direction]],""),VALUE(IF(LEN(_xlpm.steps)&gt;2,RIGHT(_xlpm.steps,2),_xlpm.steps)))</f>
        <v>47</v>
      </c>
      <c r="D1605">
        <f>_xlfn.LET(_xlpm.steps,SUBSTITUTE(Table13[[#This Row],[Input]],Table13[[#This Row],[Direction]],""),VALUE(IF(LEN(_xlpm.steps)&gt;2,LEFT(_xlpm.steps,LEN(_xlpm.steps)-2),0)))</f>
        <v>1</v>
      </c>
      <c r="E1605">
        <f>_xlfn.LET(_xlpm.dir,Table13[[#This Row],[Direction]],
IF(_xlpm.dir="L",
    IF(G1604-Table13[[#This Row],[Steps]]&lt;0,100+(G1604-Table13[[#This Row],[Steps]]),G1604-Table13[[#This Row],[Steps]]),
))</f>
        <v>59</v>
      </c>
      <c r="F1605">
        <f>_xlfn.LET(_xlpm.dir,Table13[[#This Row],[Direction]],
IF(_xlpm.dir="R",
    IF(G1604+Table13[[#This Row],[Steps]]&gt;99,(G1604+Table13[[#This Row],[Steps]])-100,G1604+Table13[[#This Row],[Steps]]),
))</f>
        <v>0</v>
      </c>
      <c r="G1605">
        <f>IF(Table13[[#This Row],[New Pos L]]&lt;&gt;0,Table13[[#This Row],[New Pos L]],Table13[[#This Row],[New Pos R]])</f>
        <v>59</v>
      </c>
      <c r="H1605">
        <f>IF(AND(Table13[[#This Row],[Direction]]="L",Table13[[#This Row],[Steps]]&gt;G1604,G1604&lt;&gt;0),1,0)</f>
        <v>1</v>
      </c>
      <c r="I1605">
        <f>IF(AND(Table13[[#This Row],[Direction]]="R",(G1604+Table13[[#This Row],[Steps]])&gt;100),1,0)</f>
        <v>0</v>
      </c>
      <c r="J1605">
        <f>IF(Table13[[#This Row],[POS]]=0,1,0)</f>
        <v>0</v>
      </c>
      <c r="K1605">
        <f>SUM(Table13[[#This Row],[prefix]],Table13[[#This Row],[Past zero L]],Table13[[#This Row],[Past Zero R]],Table13[[#This Row],[Is Zero]])</f>
        <v>2</v>
      </c>
    </row>
    <row r="1606" spans="1:11" ht="16" x14ac:dyDescent="0.2">
      <c r="A1606" s="1" t="s">
        <v>35</v>
      </c>
      <c r="B1606" t="str">
        <f>LEFT(Table13[[#This Row],[Input]],1)</f>
        <v>L</v>
      </c>
      <c r="C1606">
        <f>_xlfn.LET(_xlpm.steps,SUBSTITUTE(Table13[[#This Row],[Input]],Table13[[#This Row],[Direction]],""),VALUE(IF(LEN(_xlpm.steps)&gt;2,RIGHT(_xlpm.steps,2),_xlpm.steps)))</f>
        <v>2</v>
      </c>
      <c r="D1606">
        <f>_xlfn.LET(_xlpm.steps,SUBSTITUTE(Table13[[#This Row],[Input]],Table13[[#This Row],[Direction]],""),VALUE(IF(LEN(_xlpm.steps)&gt;2,LEFT(_xlpm.steps,LEN(_xlpm.steps)-2),0)))</f>
        <v>0</v>
      </c>
      <c r="E1606">
        <f>_xlfn.LET(_xlpm.dir,Table13[[#This Row],[Direction]],
IF(_xlpm.dir="L",
    IF(G1605-Table13[[#This Row],[Steps]]&lt;0,100+(G1605-Table13[[#This Row],[Steps]]),G1605-Table13[[#This Row],[Steps]]),
))</f>
        <v>57</v>
      </c>
      <c r="F1606">
        <f>_xlfn.LET(_xlpm.dir,Table13[[#This Row],[Direction]],
IF(_xlpm.dir="R",
    IF(G1605+Table13[[#This Row],[Steps]]&gt;99,(G1605+Table13[[#This Row],[Steps]])-100,G1605+Table13[[#This Row],[Steps]]),
))</f>
        <v>0</v>
      </c>
      <c r="G1606">
        <f>IF(Table13[[#This Row],[New Pos L]]&lt;&gt;0,Table13[[#This Row],[New Pos L]],Table13[[#This Row],[New Pos R]])</f>
        <v>57</v>
      </c>
      <c r="H1606">
        <f>IF(AND(Table13[[#This Row],[Direction]]="L",Table13[[#This Row],[Steps]]&gt;G1605,G1605&lt;&gt;0),1,0)</f>
        <v>0</v>
      </c>
      <c r="I1606">
        <f>IF(AND(Table13[[#This Row],[Direction]]="R",(G1605+Table13[[#This Row],[Steps]])&gt;100),1,0)</f>
        <v>0</v>
      </c>
      <c r="J1606">
        <f>IF(Table13[[#This Row],[POS]]=0,1,0)</f>
        <v>0</v>
      </c>
      <c r="K1606">
        <f>SUM(Table13[[#This Row],[prefix]],Table13[[#This Row],[Past zero L]],Table13[[#This Row],[Past Zero R]],Table13[[#This Row],[Is Zero]])</f>
        <v>0</v>
      </c>
    </row>
    <row r="1607" spans="1:11" ht="16" x14ac:dyDescent="0.2">
      <c r="A1607" s="1" t="s">
        <v>254</v>
      </c>
      <c r="B1607" t="str">
        <f>LEFT(Table13[[#This Row],[Input]],1)</f>
        <v>R</v>
      </c>
      <c r="C1607">
        <f>_xlfn.LET(_xlpm.steps,SUBSTITUTE(Table13[[#This Row],[Input]],Table13[[#This Row],[Direction]],""),VALUE(IF(LEN(_xlpm.steps)&gt;2,RIGHT(_xlpm.steps,2),_xlpm.steps)))</f>
        <v>84</v>
      </c>
      <c r="D1607">
        <f>_xlfn.LET(_xlpm.steps,SUBSTITUTE(Table13[[#This Row],[Input]],Table13[[#This Row],[Direction]],""),VALUE(IF(LEN(_xlpm.steps)&gt;2,LEFT(_xlpm.steps,LEN(_xlpm.steps)-2),0)))</f>
        <v>0</v>
      </c>
      <c r="E1607">
        <f>_xlfn.LET(_xlpm.dir,Table13[[#This Row],[Direction]],
IF(_xlpm.dir="L",
    IF(G1606-Table13[[#This Row],[Steps]]&lt;0,100+(G1606-Table13[[#This Row],[Steps]]),G1606-Table13[[#This Row],[Steps]]),
))</f>
        <v>0</v>
      </c>
      <c r="F1607">
        <f>_xlfn.LET(_xlpm.dir,Table13[[#This Row],[Direction]],
IF(_xlpm.dir="R",
    IF(G1606+Table13[[#This Row],[Steps]]&gt;99,(G1606+Table13[[#This Row],[Steps]])-100,G1606+Table13[[#This Row],[Steps]]),
))</f>
        <v>41</v>
      </c>
      <c r="G1607">
        <f>IF(Table13[[#This Row],[New Pos L]]&lt;&gt;0,Table13[[#This Row],[New Pos L]],Table13[[#This Row],[New Pos R]])</f>
        <v>41</v>
      </c>
      <c r="H1607">
        <f>IF(AND(Table13[[#This Row],[Direction]]="L",Table13[[#This Row],[Steps]]&gt;G1606,G1606&lt;&gt;0),1,0)</f>
        <v>0</v>
      </c>
      <c r="I1607">
        <f>IF(AND(Table13[[#This Row],[Direction]]="R",(G1606+Table13[[#This Row],[Steps]])&gt;100),1,0)</f>
        <v>1</v>
      </c>
      <c r="J1607">
        <f>IF(Table13[[#This Row],[POS]]=0,1,0)</f>
        <v>0</v>
      </c>
      <c r="K1607">
        <f>SUM(Table13[[#This Row],[prefix]],Table13[[#This Row],[Past zero L]],Table13[[#This Row],[Past Zero R]],Table13[[#This Row],[Is Zero]])</f>
        <v>1</v>
      </c>
    </row>
    <row r="1608" spans="1:11" ht="16" x14ac:dyDescent="0.2">
      <c r="A1608" s="1" t="s">
        <v>155</v>
      </c>
      <c r="B1608" t="str">
        <f>LEFT(Table13[[#This Row],[Input]],1)</f>
        <v>L</v>
      </c>
      <c r="C1608">
        <f>_xlfn.LET(_xlpm.steps,SUBSTITUTE(Table13[[#This Row],[Input]],Table13[[#This Row],[Direction]],""),VALUE(IF(LEN(_xlpm.steps)&gt;2,RIGHT(_xlpm.steps,2),_xlpm.steps)))</f>
        <v>18</v>
      </c>
      <c r="D1608">
        <f>_xlfn.LET(_xlpm.steps,SUBSTITUTE(Table13[[#This Row],[Input]],Table13[[#This Row],[Direction]],""),VALUE(IF(LEN(_xlpm.steps)&gt;2,LEFT(_xlpm.steps,LEN(_xlpm.steps)-2),0)))</f>
        <v>0</v>
      </c>
      <c r="E1608">
        <f>_xlfn.LET(_xlpm.dir,Table13[[#This Row],[Direction]],
IF(_xlpm.dir="L",
    IF(G1607-Table13[[#This Row],[Steps]]&lt;0,100+(G1607-Table13[[#This Row],[Steps]]),G1607-Table13[[#This Row],[Steps]]),
))</f>
        <v>23</v>
      </c>
      <c r="F1608">
        <f>_xlfn.LET(_xlpm.dir,Table13[[#This Row],[Direction]],
IF(_xlpm.dir="R",
    IF(G1607+Table13[[#This Row],[Steps]]&gt;99,(G1607+Table13[[#This Row],[Steps]])-100,G1607+Table13[[#This Row],[Steps]]),
))</f>
        <v>0</v>
      </c>
      <c r="G1608">
        <f>IF(Table13[[#This Row],[New Pos L]]&lt;&gt;0,Table13[[#This Row],[New Pos L]],Table13[[#This Row],[New Pos R]])</f>
        <v>23</v>
      </c>
      <c r="H1608">
        <f>IF(AND(Table13[[#This Row],[Direction]]="L",Table13[[#This Row],[Steps]]&gt;G1607,G1607&lt;&gt;0),1,0)</f>
        <v>0</v>
      </c>
      <c r="I1608">
        <f>IF(AND(Table13[[#This Row],[Direction]]="R",(G1607+Table13[[#This Row],[Steps]])&gt;100),1,0)</f>
        <v>0</v>
      </c>
      <c r="J1608">
        <f>IF(Table13[[#This Row],[POS]]=0,1,0)</f>
        <v>0</v>
      </c>
      <c r="K1608">
        <f>SUM(Table13[[#This Row],[prefix]],Table13[[#This Row],[Past zero L]],Table13[[#This Row],[Past Zero R]],Table13[[#This Row],[Is Zero]])</f>
        <v>0</v>
      </c>
    </row>
    <row r="1609" spans="1:11" ht="16" x14ac:dyDescent="0.2">
      <c r="A1609" s="1" t="s">
        <v>22</v>
      </c>
      <c r="B1609" t="str">
        <f>LEFT(Table13[[#This Row],[Input]],1)</f>
        <v>L</v>
      </c>
      <c r="C1609">
        <f>_xlfn.LET(_xlpm.steps,SUBSTITUTE(Table13[[#This Row],[Input]],Table13[[#This Row],[Direction]],""),VALUE(IF(LEN(_xlpm.steps)&gt;2,RIGHT(_xlpm.steps,2),_xlpm.steps)))</f>
        <v>37</v>
      </c>
      <c r="D1609">
        <f>_xlfn.LET(_xlpm.steps,SUBSTITUTE(Table13[[#This Row],[Input]],Table13[[#This Row],[Direction]],""),VALUE(IF(LEN(_xlpm.steps)&gt;2,LEFT(_xlpm.steps,LEN(_xlpm.steps)-2),0)))</f>
        <v>0</v>
      </c>
      <c r="E1609">
        <f>_xlfn.LET(_xlpm.dir,Table13[[#This Row],[Direction]],
IF(_xlpm.dir="L",
    IF(G1608-Table13[[#This Row],[Steps]]&lt;0,100+(G1608-Table13[[#This Row],[Steps]]),G1608-Table13[[#This Row],[Steps]]),
))</f>
        <v>86</v>
      </c>
      <c r="F1609">
        <f>_xlfn.LET(_xlpm.dir,Table13[[#This Row],[Direction]],
IF(_xlpm.dir="R",
    IF(G1608+Table13[[#This Row],[Steps]]&gt;99,(G1608+Table13[[#This Row],[Steps]])-100,G1608+Table13[[#This Row],[Steps]]),
))</f>
        <v>0</v>
      </c>
      <c r="G1609">
        <f>IF(Table13[[#This Row],[New Pos L]]&lt;&gt;0,Table13[[#This Row],[New Pos L]],Table13[[#This Row],[New Pos R]])</f>
        <v>86</v>
      </c>
      <c r="H1609">
        <f>IF(AND(Table13[[#This Row],[Direction]]="L",Table13[[#This Row],[Steps]]&gt;G1608,G1608&lt;&gt;0),1,0)</f>
        <v>1</v>
      </c>
      <c r="I1609">
        <f>IF(AND(Table13[[#This Row],[Direction]]="R",(G1608+Table13[[#This Row],[Steps]])&gt;100),1,0)</f>
        <v>0</v>
      </c>
      <c r="J1609">
        <f>IF(Table13[[#This Row],[POS]]=0,1,0)</f>
        <v>0</v>
      </c>
      <c r="K1609">
        <f>SUM(Table13[[#This Row],[prefix]],Table13[[#This Row],[Past zero L]],Table13[[#This Row],[Past Zero R]],Table13[[#This Row],[Is Zero]])</f>
        <v>1</v>
      </c>
    </row>
    <row r="1610" spans="1:11" ht="16" x14ac:dyDescent="0.2">
      <c r="A1610" s="1" t="s">
        <v>67</v>
      </c>
      <c r="B1610" t="str">
        <f>LEFT(Table13[[#This Row],[Input]],1)</f>
        <v>R</v>
      </c>
      <c r="C1610">
        <f>_xlfn.LET(_xlpm.steps,SUBSTITUTE(Table13[[#This Row],[Input]],Table13[[#This Row],[Direction]],""),VALUE(IF(LEN(_xlpm.steps)&gt;2,RIGHT(_xlpm.steps,2),_xlpm.steps)))</f>
        <v>33</v>
      </c>
      <c r="D1610">
        <f>_xlfn.LET(_xlpm.steps,SUBSTITUTE(Table13[[#This Row],[Input]],Table13[[#This Row],[Direction]],""),VALUE(IF(LEN(_xlpm.steps)&gt;2,LEFT(_xlpm.steps,LEN(_xlpm.steps)-2),0)))</f>
        <v>0</v>
      </c>
      <c r="E1610">
        <f>_xlfn.LET(_xlpm.dir,Table13[[#This Row],[Direction]],
IF(_xlpm.dir="L",
    IF(G1609-Table13[[#This Row],[Steps]]&lt;0,100+(G1609-Table13[[#This Row],[Steps]]),G1609-Table13[[#This Row],[Steps]]),
))</f>
        <v>0</v>
      </c>
      <c r="F1610">
        <f>_xlfn.LET(_xlpm.dir,Table13[[#This Row],[Direction]],
IF(_xlpm.dir="R",
    IF(G1609+Table13[[#This Row],[Steps]]&gt;99,(G1609+Table13[[#This Row],[Steps]])-100,G1609+Table13[[#This Row],[Steps]]),
))</f>
        <v>19</v>
      </c>
      <c r="G1610">
        <f>IF(Table13[[#This Row],[New Pos L]]&lt;&gt;0,Table13[[#This Row],[New Pos L]],Table13[[#This Row],[New Pos R]])</f>
        <v>19</v>
      </c>
      <c r="H1610">
        <f>IF(AND(Table13[[#This Row],[Direction]]="L",Table13[[#This Row],[Steps]]&gt;G1609,G1609&lt;&gt;0),1,0)</f>
        <v>0</v>
      </c>
      <c r="I1610">
        <f>IF(AND(Table13[[#This Row],[Direction]]="R",(G1609+Table13[[#This Row],[Steps]])&gt;100),1,0)</f>
        <v>1</v>
      </c>
      <c r="J1610">
        <f>IF(Table13[[#This Row],[POS]]=0,1,0)</f>
        <v>0</v>
      </c>
      <c r="K1610">
        <f>SUM(Table13[[#This Row],[prefix]],Table13[[#This Row],[Past zero L]],Table13[[#This Row],[Past Zero R]],Table13[[#This Row],[Is Zero]])</f>
        <v>1</v>
      </c>
    </row>
    <row r="1611" spans="1:11" ht="16" x14ac:dyDescent="0.2">
      <c r="A1611" s="1" t="s">
        <v>63</v>
      </c>
      <c r="B1611" t="str">
        <f>LEFT(Table13[[#This Row],[Input]],1)</f>
        <v>R</v>
      </c>
      <c r="C1611">
        <f>_xlfn.LET(_xlpm.steps,SUBSTITUTE(Table13[[#This Row],[Input]],Table13[[#This Row],[Direction]],""),VALUE(IF(LEN(_xlpm.steps)&gt;2,RIGHT(_xlpm.steps,2),_xlpm.steps)))</f>
        <v>57</v>
      </c>
      <c r="D1611">
        <f>_xlfn.LET(_xlpm.steps,SUBSTITUTE(Table13[[#This Row],[Input]],Table13[[#This Row],[Direction]],""),VALUE(IF(LEN(_xlpm.steps)&gt;2,LEFT(_xlpm.steps,LEN(_xlpm.steps)-2),0)))</f>
        <v>0</v>
      </c>
      <c r="E1611">
        <f>_xlfn.LET(_xlpm.dir,Table13[[#This Row],[Direction]],
IF(_xlpm.dir="L",
    IF(G1610-Table13[[#This Row],[Steps]]&lt;0,100+(G1610-Table13[[#This Row],[Steps]]),G1610-Table13[[#This Row],[Steps]]),
))</f>
        <v>0</v>
      </c>
      <c r="F1611">
        <f>_xlfn.LET(_xlpm.dir,Table13[[#This Row],[Direction]],
IF(_xlpm.dir="R",
    IF(G1610+Table13[[#This Row],[Steps]]&gt;99,(G1610+Table13[[#This Row],[Steps]])-100,G1610+Table13[[#This Row],[Steps]]),
))</f>
        <v>76</v>
      </c>
      <c r="G1611">
        <f>IF(Table13[[#This Row],[New Pos L]]&lt;&gt;0,Table13[[#This Row],[New Pos L]],Table13[[#This Row],[New Pos R]])</f>
        <v>76</v>
      </c>
      <c r="H1611">
        <f>IF(AND(Table13[[#This Row],[Direction]]="L",Table13[[#This Row],[Steps]]&gt;G1610,G1610&lt;&gt;0),1,0)</f>
        <v>0</v>
      </c>
      <c r="I1611">
        <f>IF(AND(Table13[[#This Row],[Direction]]="R",(G1610+Table13[[#This Row],[Steps]])&gt;100),1,0)</f>
        <v>0</v>
      </c>
      <c r="J1611">
        <f>IF(Table13[[#This Row],[POS]]=0,1,0)</f>
        <v>0</v>
      </c>
      <c r="K1611">
        <f>SUM(Table13[[#This Row],[prefix]],Table13[[#This Row],[Past zero L]],Table13[[#This Row],[Past Zero R]],Table13[[#This Row],[Is Zero]])</f>
        <v>0</v>
      </c>
    </row>
    <row r="1612" spans="1:11" ht="16" x14ac:dyDescent="0.2">
      <c r="A1612" s="1" t="s">
        <v>279</v>
      </c>
      <c r="B1612" t="str">
        <f>LEFT(Table13[[#This Row],[Input]],1)</f>
        <v>R</v>
      </c>
      <c r="C1612">
        <f>_xlfn.LET(_xlpm.steps,SUBSTITUTE(Table13[[#This Row],[Input]],Table13[[#This Row],[Direction]],""),VALUE(IF(LEN(_xlpm.steps)&gt;2,RIGHT(_xlpm.steps,2),_xlpm.steps)))</f>
        <v>34</v>
      </c>
      <c r="D1612">
        <f>_xlfn.LET(_xlpm.steps,SUBSTITUTE(Table13[[#This Row],[Input]],Table13[[#This Row],[Direction]],""),VALUE(IF(LEN(_xlpm.steps)&gt;2,LEFT(_xlpm.steps,LEN(_xlpm.steps)-2),0)))</f>
        <v>0</v>
      </c>
      <c r="E1612">
        <f>_xlfn.LET(_xlpm.dir,Table13[[#This Row],[Direction]],
IF(_xlpm.dir="L",
    IF(G1611-Table13[[#This Row],[Steps]]&lt;0,100+(G1611-Table13[[#This Row],[Steps]]),G1611-Table13[[#This Row],[Steps]]),
))</f>
        <v>0</v>
      </c>
      <c r="F1612">
        <f>_xlfn.LET(_xlpm.dir,Table13[[#This Row],[Direction]],
IF(_xlpm.dir="R",
    IF(G1611+Table13[[#This Row],[Steps]]&gt;99,(G1611+Table13[[#This Row],[Steps]])-100,G1611+Table13[[#This Row],[Steps]]),
))</f>
        <v>10</v>
      </c>
      <c r="G1612">
        <f>IF(Table13[[#This Row],[New Pos L]]&lt;&gt;0,Table13[[#This Row],[New Pos L]],Table13[[#This Row],[New Pos R]])</f>
        <v>10</v>
      </c>
      <c r="H1612">
        <f>IF(AND(Table13[[#This Row],[Direction]]="L",Table13[[#This Row],[Steps]]&gt;G1611,G1611&lt;&gt;0),1,0)</f>
        <v>0</v>
      </c>
      <c r="I1612">
        <f>IF(AND(Table13[[#This Row],[Direction]]="R",(G1611+Table13[[#This Row],[Steps]])&gt;100),1,0)</f>
        <v>1</v>
      </c>
      <c r="J1612">
        <f>IF(Table13[[#This Row],[POS]]=0,1,0)</f>
        <v>0</v>
      </c>
      <c r="K1612">
        <f>SUM(Table13[[#This Row],[prefix]],Table13[[#This Row],[Past zero L]],Table13[[#This Row],[Past Zero R]],Table13[[#This Row],[Is Zero]])</f>
        <v>1</v>
      </c>
    </row>
    <row r="1613" spans="1:11" ht="16" x14ac:dyDescent="0.2">
      <c r="A1613" s="1" t="s">
        <v>470</v>
      </c>
      <c r="B1613" t="str">
        <f>LEFT(Table13[[#This Row],[Input]],1)</f>
        <v>L</v>
      </c>
      <c r="C1613">
        <f>_xlfn.LET(_xlpm.steps,SUBSTITUTE(Table13[[#This Row],[Input]],Table13[[#This Row],[Direction]],""),VALUE(IF(LEN(_xlpm.steps)&gt;2,RIGHT(_xlpm.steps,2),_xlpm.steps)))</f>
        <v>43</v>
      </c>
      <c r="D1613">
        <f>_xlfn.LET(_xlpm.steps,SUBSTITUTE(Table13[[#This Row],[Input]],Table13[[#This Row],[Direction]],""),VALUE(IF(LEN(_xlpm.steps)&gt;2,LEFT(_xlpm.steps,LEN(_xlpm.steps)-2),0)))</f>
        <v>7</v>
      </c>
      <c r="E1613">
        <f>_xlfn.LET(_xlpm.dir,Table13[[#This Row],[Direction]],
IF(_xlpm.dir="L",
    IF(G1612-Table13[[#This Row],[Steps]]&lt;0,100+(G1612-Table13[[#This Row],[Steps]]),G1612-Table13[[#This Row],[Steps]]),
))</f>
        <v>67</v>
      </c>
      <c r="F1613">
        <f>_xlfn.LET(_xlpm.dir,Table13[[#This Row],[Direction]],
IF(_xlpm.dir="R",
    IF(G1612+Table13[[#This Row],[Steps]]&gt;99,(G1612+Table13[[#This Row],[Steps]])-100,G1612+Table13[[#This Row],[Steps]]),
))</f>
        <v>0</v>
      </c>
      <c r="G1613">
        <f>IF(Table13[[#This Row],[New Pos L]]&lt;&gt;0,Table13[[#This Row],[New Pos L]],Table13[[#This Row],[New Pos R]])</f>
        <v>67</v>
      </c>
      <c r="H1613">
        <f>IF(AND(Table13[[#This Row],[Direction]]="L",Table13[[#This Row],[Steps]]&gt;G1612,G1612&lt;&gt;0),1,0)</f>
        <v>1</v>
      </c>
      <c r="I1613">
        <f>IF(AND(Table13[[#This Row],[Direction]]="R",(G1612+Table13[[#This Row],[Steps]])&gt;100),1,0)</f>
        <v>0</v>
      </c>
      <c r="J1613">
        <f>IF(Table13[[#This Row],[POS]]=0,1,0)</f>
        <v>0</v>
      </c>
      <c r="K1613">
        <f>SUM(Table13[[#This Row],[prefix]],Table13[[#This Row],[Past zero L]],Table13[[#This Row],[Past Zero R]],Table13[[#This Row],[Is Zero]])</f>
        <v>8</v>
      </c>
    </row>
    <row r="1614" spans="1:11" ht="16" x14ac:dyDescent="0.2">
      <c r="A1614" s="1" t="s">
        <v>5</v>
      </c>
      <c r="B1614" t="str">
        <f>LEFT(Table13[[#This Row],[Input]],1)</f>
        <v>R</v>
      </c>
      <c r="C1614">
        <f>_xlfn.LET(_xlpm.steps,SUBSTITUTE(Table13[[#This Row],[Input]],Table13[[#This Row],[Direction]],""),VALUE(IF(LEN(_xlpm.steps)&gt;2,RIGHT(_xlpm.steps,2),_xlpm.steps)))</f>
        <v>1</v>
      </c>
      <c r="D1614">
        <f>_xlfn.LET(_xlpm.steps,SUBSTITUTE(Table13[[#This Row],[Input]],Table13[[#This Row],[Direction]],""),VALUE(IF(LEN(_xlpm.steps)&gt;2,LEFT(_xlpm.steps,LEN(_xlpm.steps)-2),0)))</f>
        <v>0</v>
      </c>
      <c r="E1614">
        <f>_xlfn.LET(_xlpm.dir,Table13[[#This Row],[Direction]],
IF(_xlpm.dir="L",
    IF(G1613-Table13[[#This Row],[Steps]]&lt;0,100+(G1613-Table13[[#This Row],[Steps]]),G1613-Table13[[#This Row],[Steps]]),
))</f>
        <v>0</v>
      </c>
      <c r="F1614">
        <f>_xlfn.LET(_xlpm.dir,Table13[[#This Row],[Direction]],
IF(_xlpm.dir="R",
    IF(G1613+Table13[[#This Row],[Steps]]&gt;99,(G1613+Table13[[#This Row],[Steps]])-100,G1613+Table13[[#This Row],[Steps]]),
))</f>
        <v>68</v>
      </c>
      <c r="G1614">
        <f>IF(Table13[[#This Row],[New Pos L]]&lt;&gt;0,Table13[[#This Row],[New Pos L]],Table13[[#This Row],[New Pos R]])</f>
        <v>68</v>
      </c>
      <c r="H1614">
        <f>IF(AND(Table13[[#This Row],[Direction]]="L",Table13[[#This Row],[Steps]]&gt;G1613,G1613&lt;&gt;0),1,0)</f>
        <v>0</v>
      </c>
      <c r="I1614">
        <f>IF(AND(Table13[[#This Row],[Direction]]="R",(G1613+Table13[[#This Row],[Steps]])&gt;100),1,0)</f>
        <v>0</v>
      </c>
      <c r="J1614">
        <f>IF(Table13[[#This Row],[POS]]=0,1,0)</f>
        <v>0</v>
      </c>
      <c r="K1614">
        <f>SUM(Table13[[#This Row],[prefix]],Table13[[#This Row],[Past zero L]],Table13[[#This Row],[Past Zero R]],Table13[[#This Row],[Is Zero]])</f>
        <v>0</v>
      </c>
    </row>
    <row r="1615" spans="1:11" ht="16" x14ac:dyDescent="0.2">
      <c r="A1615" s="1" t="s">
        <v>19</v>
      </c>
      <c r="B1615" t="str">
        <f>LEFT(Table13[[#This Row],[Input]],1)</f>
        <v>R</v>
      </c>
      <c r="C1615">
        <f>_xlfn.LET(_xlpm.steps,SUBSTITUTE(Table13[[#This Row],[Input]],Table13[[#This Row],[Direction]],""),VALUE(IF(LEN(_xlpm.steps)&gt;2,RIGHT(_xlpm.steps,2),_xlpm.steps)))</f>
        <v>47</v>
      </c>
      <c r="D1615">
        <f>_xlfn.LET(_xlpm.steps,SUBSTITUTE(Table13[[#This Row],[Input]],Table13[[#This Row],[Direction]],""),VALUE(IF(LEN(_xlpm.steps)&gt;2,LEFT(_xlpm.steps,LEN(_xlpm.steps)-2),0)))</f>
        <v>0</v>
      </c>
      <c r="E1615">
        <f>_xlfn.LET(_xlpm.dir,Table13[[#This Row],[Direction]],
IF(_xlpm.dir="L",
    IF(G1614-Table13[[#This Row],[Steps]]&lt;0,100+(G1614-Table13[[#This Row],[Steps]]),G1614-Table13[[#This Row],[Steps]]),
))</f>
        <v>0</v>
      </c>
      <c r="F1615">
        <f>_xlfn.LET(_xlpm.dir,Table13[[#This Row],[Direction]],
IF(_xlpm.dir="R",
    IF(G1614+Table13[[#This Row],[Steps]]&gt;99,(G1614+Table13[[#This Row],[Steps]])-100,G1614+Table13[[#This Row],[Steps]]),
))</f>
        <v>15</v>
      </c>
      <c r="G1615">
        <f>IF(Table13[[#This Row],[New Pos L]]&lt;&gt;0,Table13[[#This Row],[New Pos L]],Table13[[#This Row],[New Pos R]])</f>
        <v>15</v>
      </c>
      <c r="H1615">
        <f>IF(AND(Table13[[#This Row],[Direction]]="L",Table13[[#This Row],[Steps]]&gt;G1614,G1614&lt;&gt;0),1,0)</f>
        <v>0</v>
      </c>
      <c r="I1615">
        <f>IF(AND(Table13[[#This Row],[Direction]]="R",(G1614+Table13[[#This Row],[Steps]])&gt;100),1,0)</f>
        <v>1</v>
      </c>
      <c r="J1615">
        <f>IF(Table13[[#This Row],[POS]]=0,1,0)</f>
        <v>0</v>
      </c>
      <c r="K1615">
        <f>SUM(Table13[[#This Row],[prefix]],Table13[[#This Row],[Past zero L]],Table13[[#This Row],[Past Zero R]],Table13[[#This Row],[Is Zero]])</f>
        <v>1</v>
      </c>
    </row>
    <row r="1616" spans="1:11" ht="16" x14ac:dyDescent="0.2">
      <c r="A1616" s="1" t="s">
        <v>164</v>
      </c>
      <c r="B1616" t="str">
        <f>LEFT(Table13[[#This Row],[Input]],1)</f>
        <v>R</v>
      </c>
      <c r="C1616">
        <f>_xlfn.LET(_xlpm.steps,SUBSTITUTE(Table13[[#This Row],[Input]],Table13[[#This Row],[Direction]],""),VALUE(IF(LEN(_xlpm.steps)&gt;2,RIGHT(_xlpm.steps,2),_xlpm.steps)))</f>
        <v>85</v>
      </c>
      <c r="D1616">
        <f>_xlfn.LET(_xlpm.steps,SUBSTITUTE(Table13[[#This Row],[Input]],Table13[[#This Row],[Direction]],""),VALUE(IF(LEN(_xlpm.steps)&gt;2,LEFT(_xlpm.steps,LEN(_xlpm.steps)-2),0)))</f>
        <v>0</v>
      </c>
      <c r="E1616">
        <f>_xlfn.LET(_xlpm.dir,Table13[[#This Row],[Direction]],
IF(_xlpm.dir="L",
    IF(G1615-Table13[[#This Row],[Steps]]&lt;0,100+(G1615-Table13[[#This Row],[Steps]]),G1615-Table13[[#This Row],[Steps]]),
))</f>
        <v>0</v>
      </c>
      <c r="F1616">
        <f>_xlfn.LET(_xlpm.dir,Table13[[#This Row],[Direction]],
IF(_xlpm.dir="R",
    IF(G1615+Table13[[#This Row],[Steps]]&gt;99,(G1615+Table13[[#This Row],[Steps]])-100,G1615+Table13[[#This Row],[Steps]]),
))</f>
        <v>0</v>
      </c>
      <c r="G1616">
        <f>IF(Table13[[#This Row],[New Pos L]]&lt;&gt;0,Table13[[#This Row],[New Pos L]],Table13[[#This Row],[New Pos R]])</f>
        <v>0</v>
      </c>
      <c r="H1616">
        <f>IF(AND(Table13[[#This Row],[Direction]]="L",Table13[[#This Row],[Steps]]&gt;G1615,G1615&lt;&gt;0),1,0)</f>
        <v>0</v>
      </c>
      <c r="I1616">
        <f>IF(AND(Table13[[#This Row],[Direction]]="R",(G1615+Table13[[#This Row],[Steps]])&gt;100),1,0)</f>
        <v>0</v>
      </c>
      <c r="J1616">
        <f>IF(Table13[[#This Row],[POS]]=0,1,0)</f>
        <v>1</v>
      </c>
      <c r="K1616">
        <f>SUM(Table13[[#This Row],[prefix]],Table13[[#This Row],[Past zero L]],Table13[[#This Row],[Past Zero R]],Table13[[#This Row],[Is Zero]])</f>
        <v>1</v>
      </c>
    </row>
    <row r="1617" spans="1:11" ht="16" x14ac:dyDescent="0.2">
      <c r="A1617" s="1" t="s">
        <v>471</v>
      </c>
      <c r="B1617" t="str">
        <f>LEFT(Table13[[#This Row],[Input]],1)</f>
        <v>R</v>
      </c>
      <c r="C1617">
        <f>_xlfn.LET(_xlpm.steps,SUBSTITUTE(Table13[[#This Row],[Input]],Table13[[#This Row],[Direction]],""),VALUE(IF(LEN(_xlpm.steps)&gt;2,RIGHT(_xlpm.steps,2),_xlpm.steps)))</f>
        <v>55</v>
      </c>
      <c r="D1617">
        <f>_xlfn.LET(_xlpm.steps,SUBSTITUTE(Table13[[#This Row],[Input]],Table13[[#This Row],[Direction]],""),VALUE(IF(LEN(_xlpm.steps)&gt;2,LEFT(_xlpm.steps,LEN(_xlpm.steps)-2),0)))</f>
        <v>1</v>
      </c>
      <c r="E1617">
        <f>_xlfn.LET(_xlpm.dir,Table13[[#This Row],[Direction]],
IF(_xlpm.dir="L",
    IF(G1616-Table13[[#This Row],[Steps]]&lt;0,100+(G1616-Table13[[#This Row],[Steps]]),G1616-Table13[[#This Row],[Steps]]),
))</f>
        <v>0</v>
      </c>
      <c r="F1617">
        <f>_xlfn.LET(_xlpm.dir,Table13[[#This Row],[Direction]],
IF(_xlpm.dir="R",
    IF(G1616+Table13[[#This Row],[Steps]]&gt;99,(G1616+Table13[[#This Row],[Steps]])-100,G1616+Table13[[#This Row],[Steps]]),
))</f>
        <v>55</v>
      </c>
      <c r="G1617">
        <f>IF(Table13[[#This Row],[New Pos L]]&lt;&gt;0,Table13[[#This Row],[New Pos L]],Table13[[#This Row],[New Pos R]])</f>
        <v>55</v>
      </c>
      <c r="H1617">
        <f>IF(AND(Table13[[#This Row],[Direction]]="L",Table13[[#This Row],[Steps]]&gt;G1616,G1616&lt;&gt;0),1,0)</f>
        <v>0</v>
      </c>
      <c r="I1617">
        <f>IF(AND(Table13[[#This Row],[Direction]]="R",(G1616+Table13[[#This Row],[Steps]])&gt;100),1,0)</f>
        <v>0</v>
      </c>
      <c r="J1617">
        <f>IF(Table13[[#This Row],[POS]]=0,1,0)</f>
        <v>0</v>
      </c>
      <c r="K1617">
        <f>SUM(Table13[[#This Row],[prefix]],Table13[[#This Row],[Past zero L]],Table13[[#This Row],[Past Zero R]],Table13[[#This Row],[Is Zero]])</f>
        <v>1</v>
      </c>
    </row>
    <row r="1618" spans="1:11" ht="16" x14ac:dyDescent="0.2">
      <c r="A1618" s="1" t="s">
        <v>82</v>
      </c>
      <c r="B1618" t="str">
        <f>LEFT(Table13[[#This Row],[Input]],1)</f>
        <v>L</v>
      </c>
      <c r="C1618">
        <f>_xlfn.LET(_xlpm.steps,SUBSTITUTE(Table13[[#This Row],[Input]],Table13[[#This Row],[Direction]],""),VALUE(IF(LEN(_xlpm.steps)&gt;2,RIGHT(_xlpm.steps,2),_xlpm.steps)))</f>
        <v>55</v>
      </c>
      <c r="D1618">
        <f>_xlfn.LET(_xlpm.steps,SUBSTITUTE(Table13[[#This Row],[Input]],Table13[[#This Row],[Direction]],""),VALUE(IF(LEN(_xlpm.steps)&gt;2,LEFT(_xlpm.steps,LEN(_xlpm.steps)-2),0)))</f>
        <v>0</v>
      </c>
      <c r="E1618">
        <f>_xlfn.LET(_xlpm.dir,Table13[[#This Row],[Direction]],
IF(_xlpm.dir="L",
    IF(G1617-Table13[[#This Row],[Steps]]&lt;0,100+(G1617-Table13[[#This Row],[Steps]]),G1617-Table13[[#This Row],[Steps]]),
))</f>
        <v>0</v>
      </c>
      <c r="F1618">
        <f>_xlfn.LET(_xlpm.dir,Table13[[#This Row],[Direction]],
IF(_xlpm.dir="R",
    IF(G1617+Table13[[#This Row],[Steps]]&gt;99,(G1617+Table13[[#This Row],[Steps]])-100,G1617+Table13[[#This Row],[Steps]]),
))</f>
        <v>0</v>
      </c>
      <c r="G1618">
        <f>IF(Table13[[#This Row],[New Pos L]]&lt;&gt;0,Table13[[#This Row],[New Pos L]],Table13[[#This Row],[New Pos R]])</f>
        <v>0</v>
      </c>
      <c r="H1618">
        <f>IF(AND(Table13[[#This Row],[Direction]]="L",Table13[[#This Row],[Steps]]&gt;G1617,G1617&lt;&gt;0),1,0)</f>
        <v>0</v>
      </c>
      <c r="I1618">
        <f>IF(AND(Table13[[#This Row],[Direction]]="R",(G1617+Table13[[#This Row],[Steps]])&gt;100),1,0)</f>
        <v>0</v>
      </c>
      <c r="J1618">
        <f>IF(Table13[[#This Row],[POS]]=0,1,0)</f>
        <v>1</v>
      </c>
      <c r="K1618">
        <f>SUM(Table13[[#This Row],[prefix]],Table13[[#This Row],[Past zero L]],Table13[[#This Row],[Past Zero R]],Table13[[#This Row],[Is Zero]])</f>
        <v>1</v>
      </c>
    </row>
    <row r="1619" spans="1:11" ht="16" x14ac:dyDescent="0.2">
      <c r="A1619" s="1" t="s">
        <v>67</v>
      </c>
      <c r="B1619" t="str">
        <f>LEFT(Table13[[#This Row],[Input]],1)</f>
        <v>R</v>
      </c>
      <c r="C1619">
        <f>_xlfn.LET(_xlpm.steps,SUBSTITUTE(Table13[[#This Row],[Input]],Table13[[#This Row],[Direction]],""),VALUE(IF(LEN(_xlpm.steps)&gt;2,RIGHT(_xlpm.steps,2),_xlpm.steps)))</f>
        <v>33</v>
      </c>
      <c r="D1619">
        <f>_xlfn.LET(_xlpm.steps,SUBSTITUTE(Table13[[#This Row],[Input]],Table13[[#This Row],[Direction]],""),VALUE(IF(LEN(_xlpm.steps)&gt;2,LEFT(_xlpm.steps,LEN(_xlpm.steps)-2),0)))</f>
        <v>0</v>
      </c>
      <c r="E1619">
        <f>_xlfn.LET(_xlpm.dir,Table13[[#This Row],[Direction]],
IF(_xlpm.dir="L",
    IF(G1618-Table13[[#This Row],[Steps]]&lt;0,100+(G1618-Table13[[#This Row],[Steps]]),G1618-Table13[[#This Row],[Steps]]),
))</f>
        <v>0</v>
      </c>
      <c r="F1619">
        <f>_xlfn.LET(_xlpm.dir,Table13[[#This Row],[Direction]],
IF(_xlpm.dir="R",
    IF(G1618+Table13[[#This Row],[Steps]]&gt;99,(G1618+Table13[[#This Row],[Steps]])-100,G1618+Table13[[#This Row],[Steps]]),
))</f>
        <v>33</v>
      </c>
      <c r="G1619">
        <f>IF(Table13[[#This Row],[New Pos L]]&lt;&gt;0,Table13[[#This Row],[New Pos L]],Table13[[#This Row],[New Pos R]])</f>
        <v>33</v>
      </c>
      <c r="H1619">
        <f>IF(AND(Table13[[#This Row],[Direction]]="L",Table13[[#This Row],[Steps]]&gt;G1618,G1618&lt;&gt;0),1,0)</f>
        <v>0</v>
      </c>
      <c r="I1619">
        <f>IF(AND(Table13[[#This Row],[Direction]]="R",(G1618+Table13[[#This Row],[Steps]])&gt;100),1,0)</f>
        <v>0</v>
      </c>
      <c r="J1619">
        <f>IF(Table13[[#This Row],[POS]]=0,1,0)</f>
        <v>0</v>
      </c>
      <c r="K1619">
        <f>SUM(Table13[[#This Row],[prefix]],Table13[[#This Row],[Past zero L]],Table13[[#This Row],[Past Zero R]],Table13[[#This Row],[Is Zero]])</f>
        <v>0</v>
      </c>
    </row>
    <row r="1620" spans="1:11" ht="16" x14ac:dyDescent="0.2">
      <c r="A1620" s="1" t="s">
        <v>159</v>
      </c>
      <c r="B1620" t="str">
        <f>LEFT(Table13[[#This Row],[Input]],1)</f>
        <v>R</v>
      </c>
      <c r="C1620">
        <f>_xlfn.LET(_xlpm.steps,SUBSTITUTE(Table13[[#This Row],[Input]],Table13[[#This Row],[Direction]],""),VALUE(IF(LEN(_xlpm.steps)&gt;2,RIGHT(_xlpm.steps,2),_xlpm.steps)))</f>
        <v>24</v>
      </c>
      <c r="D1620">
        <f>_xlfn.LET(_xlpm.steps,SUBSTITUTE(Table13[[#This Row],[Input]],Table13[[#This Row],[Direction]],""),VALUE(IF(LEN(_xlpm.steps)&gt;2,LEFT(_xlpm.steps,LEN(_xlpm.steps)-2),0)))</f>
        <v>0</v>
      </c>
      <c r="E1620">
        <f>_xlfn.LET(_xlpm.dir,Table13[[#This Row],[Direction]],
IF(_xlpm.dir="L",
    IF(G1619-Table13[[#This Row],[Steps]]&lt;0,100+(G1619-Table13[[#This Row],[Steps]]),G1619-Table13[[#This Row],[Steps]]),
))</f>
        <v>0</v>
      </c>
      <c r="F1620">
        <f>_xlfn.LET(_xlpm.dir,Table13[[#This Row],[Direction]],
IF(_xlpm.dir="R",
    IF(G1619+Table13[[#This Row],[Steps]]&gt;99,(G1619+Table13[[#This Row],[Steps]])-100,G1619+Table13[[#This Row],[Steps]]),
))</f>
        <v>57</v>
      </c>
      <c r="G1620">
        <f>IF(Table13[[#This Row],[New Pos L]]&lt;&gt;0,Table13[[#This Row],[New Pos L]],Table13[[#This Row],[New Pos R]])</f>
        <v>57</v>
      </c>
      <c r="H1620">
        <f>IF(AND(Table13[[#This Row],[Direction]]="L",Table13[[#This Row],[Steps]]&gt;G1619,G1619&lt;&gt;0),1,0)</f>
        <v>0</v>
      </c>
      <c r="I1620">
        <f>IF(AND(Table13[[#This Row],[Direction]]="R",(G1619+Table13[[#This Row],[Steps]])&gt;100),1,0)</f>
        <v>0</v>
      </c>
      <c r="J1620">
        <f>IF(Table13[[#This Row],[POS]]=0,1,0)</f>
        <v>0</v>
      </c>
      <c r="K1620">
        <f>SUM(Table13[[#This Row],[prefix]],Table13[[#This Row],[Past zero L]],Table13[[#This Row],[Past Zero R]],Table13[[#This Row],[Is Zero]])</f>
        <v>0</v>
      </c>
    </row>
    <row r="1621" spans="1:11" ht="16" x14ac:dyDescent="0.2">
      <c r="A1621" s="1" t="s">
        <v>62</v>
      </c>
      <c r="B1621" t="str">
        <f>LEFT(Table13[[#This Row],[Input]],1)</f>
        <v>L</v>
      </c>
      <c r="C1621">
        <f>_xlfn.LET(_xlpm.steps,SUBSTITUTE(Table13[[#This Row],[Input]],Table13[[#This Row],[Direction]],""),VALUE(IF(LEN(_xlpm.steps)&gt;2,RIGHT(_xlpm.steps,2),_xlpm.steps)))</f>
        <v>57</v>
      </c>
      <c r="D1621">
        <f>_xlfn.LET(_xlpm.steps,SUBSTITUTE(Table13[[#This Row],[Input]],Table13[[#This Row],[Direction]],""),VALUE(IF(LEN(_xlpm.steps)&gt;2,LEFT(_xlpm.steps,LEN(_xlpm.steps)-2),0)))</f>
        <v>0</v>
      </c>
      <c r="E1621">
        <f>_xlfn.LET(_xlpm.dir,Table13[[#This Row],[Direction]],
IF(_xlpm.dir="L",
    IF(G1620-Table13[[#This Row],[Steps]]&lt;0,100+(G1620-Table13[[#This Row],[Steps]]),G1620-Table13[[#This Row],[Steps]]),
))</f>
        <v>0</v>
      </c>
      <c r="F1621">
        <f>_xlfn.LET(_xlpm.dir,Table13[[#This Row],[Direction]],
IF(_xlpm.dir="R",
    IF(G1620+Table13[[#This Row],[Steps]]&gt;99,(G1620+Table13[[#This Row],[Steps]])-100,G1620+Table13[[#This Row],[Steps]]),
))</f>
        <v>0</v>
      </c>
      <c r="G1621">
        <f>IF(Table13[[#This Row],[New Pos L]]&lt;&gt;0,Table13[[#This Row],[New Pos L]],Table13[[#This Row],[New Pos R]])</f>
        <v>0</v>
      </c>
      <c r="H1621">
        <f>IF(AND(Table13[[#This Row],[Direction]]="L",Table13[[#This Row],[Steps]]&gt;G1620,G1620&lt;&gt;0),1,0)</f>
        <v>0</v>
      </c>
      <c r="I1621">
        <f>IF(AND(Table13[[#This Row],[Direction]]="R",(G1620+Table13[[#This Row],[Steps]])&gt;100),1,0)</f>
        <v>0</v>
      </c>
      <c r="J1621">
        <f>IF(Table13[[#This Row],[POS]]=0,1,0)</f>
        <v>1</v>
      </c>
      <c r="K1621">
        <f>SUM(Table13[[#This Row],[prefix]],Table13[[#This Row],[Past zero L]],Table13[[#This Row],[Past Zero R]],Table13[[#This Row],[Is Zero]])</f>
        <v>1</v>
      </c>
    </row>
    <row r="1622" spans="1:11" ht="16" x14ac:dyDescent="0.2">
      <c r="A1622" s="1" t="s">
        <v>73</v>
      </c>
      <c r="B1622" t="str">
        <f>LEFT(Table13[[#This Row],[Input]],1)</f>
        <v>R</v>
      </c>
      <c r="C1622">
        <f>_xlfn.LET(_xlpm.steps,SUBSTITUTE(Table13[[#This Row],[Input]],Table13[[#This Row],[Direction]],""),VALUE(IF(LEN(_xlpm.steps)&gt;2,RIGHT(_xlpm.steps,2),_xlpm.steps)))</f>
        <v>21</v>
      </c>
      <c r="D1622">
        <f>_xlfn.LET(_xlpm.steps,SUBSTITUTE(Table13[[#This Row],[Input]],Table13[[#This Row],[Direction]],""),VALUE(IF(LEN(_xlpm.steps)&gt;2,LEFT(_xlpm.steps,LEN(_xlpm.steps)-2),0)))</f>
        <v>0</v>
      </c>
      <c r="E1622">
        <f>_xlfn.LET(_xlpm.dir,Table13[[#This Row],[Direction]],
IF(_xlpm.dir="L",
    IF(G1621-Table13[[#This Row],[Steps]]&lt;0,100+(G1621-Table13[[#This Row],[Steps]]),G1621-Table13[[#This Row],[Steps]]),
))</f>
        <v>0</v>
      </c>
      <c r="F1622">
        <f>_xlfn.LET(_xlpm.dir,Table13[[#This Row],[Direction]],
IF(_xlpm.dir="R",
    IF(G1621+Table13[[#This Row],[Steps]]&gt;99,(G1621+Table13[[#This Row],[Steps]])-100,G1621+Table13[[#This Row],[Steps]]),
))</f>
        <v>21</v>
      </c>
      <c r="G1622">
        <f>IF(Table13[[#This Row],[New Pos L]]&lt;&gt;0,Table13[[#This Row],[New Pos L]],Table13[[#This Row],[New Pos R]])</f>
        <v>21</v>
      </c>
      <c r="H1622">
        <f>IF(AND(Table13[[#This Row],[Direction]]="L",Table13[[#This Row],[Steps]]&gt;G1621,G1621&lt;&gt;0),1,0)</f>
        <v>0</v>
      </c>
      <c r="I1622">
        <f>IF(AND(Table13[[#This Row],[Direction]]="R",(G1621+Table13[[#This Row],[Steps]])&gt;100),1,0)</f>
        <v>0</v>
      </c>
      <c r="J1622">
        <f>IF(Table13[[#This Row],[POS]]=0,1,0)</f>
        <v>0</v>
      </c>
      <c r="K1622">
        <f>SUM(Table13[[#This Row],[prefix]],Table13[[#This Row],[Past zero L]],Table13[[#This Row],[Past Zero R]],Table13[[#This Row],[Is Zero]])</f>
        <v>0</v>
      </c>
    </row>
    <row r="1623" spans="1:11" ht="16" x14ac:dyDescent="0.2">
      <c r="A1623" s="1" t="s">
        <v>472</v>
      </c>
      <c r="B1623" t="str">
        <f>LEFT(Table13[[#This Row],[Input]],1)</f>
        <v>R</v>
      </c>
      <c r="C1623">
        <f>_xlfn.LET(_xlpm.steps,SUBSTITUTE(Table13[[#This Row],[Input]],Table13[[#This Row],[Direction]],""),VALUE(IF(LEN(_xlpm.steps)&gt;2,RIGHT(_xlpm.steps,2),_xlpm.steps)))</f>
        <v>87</v>
      </c>
      <c r="D1623">
        <f>_xlfn.LET(_xlpm.steps,SUBSTITUTE(Table13[[#This Row],[Input]],Table13[[#This Row],[Direction]],""),VALUE(IF(LEN(_xlpm.steps)&gt;2,LEFT(_xlpm.steps,LEN(_xlpm.steps)-2),0)))</f>
        <v>8</v>
      </c>
      <c r="E1623">
        <f>_xlfn.LET(_xlpm.dir,Table13[[#This Row],[Direction]],
IF(_xlpm.dir="L",
    IF(G1622-Table13[[#This Row],[Steps]]&lt;0,100+(G1622-Table13[[#This Row],[Steps]]),G1622-Table13[[#This Row],[Steps]]),
))</f>
        <v>0</v>
      </c>
      <c r="F1623">
        <f>_xlfn.LET(_xlpm.dir,Table13[[#This Row],[Direction]],
IF(_xlpm.dir="R",
    IF(G1622+Table13[[#This Row],[Steps]]&gt;99,(G1622+Table13[[#This Row],[Steps]])-100,G1622+Table13[[#This Row],[Steps]]),
))</f>
        <v>8</v>
      </c>
      <c r="G1623">
        <f>IF(Table13[[#This Row],[New Pos L]]&lt;&gt;0,Table13[[#This Row],[New Pos L]],Table13[[#This Row],[New Pos R]])</f>
        <v>8</v>
      </c>
      <c r="H1623">
        <f>IF(AND(Table13[[#This Row],[Direction]]="L",Table13[[#This Row],[Steps]]&gt;G1622,G1622&lt;&gt;0),1,0)</f>
        <v>0</v>
      </c>
      <c r="I1623">
        <f>IF(AND(Table13[[#This Row],[Direction]]="R",(G1622+Table13[[#This Row],[Steps]])&gt;100),1,0)</f>
        <v>1</v>
      </c>
      <c r="J1623">
        <f>IF(Table13[[#This Row],[POS]]=0,1,0)</f>
        <v>0</v>
      </c>
      <c r="K1623">
        <f>SUM(Table13[[#This Row],[prefix]],Table13[[#This Row],[Past zero L]],Table13[[#This Row],[Past Zero R]],Table13[[#This Row],[Is Zero]])</f>
        <v>9</v>
      </c>
    </row>
    <row r="1624" spans="1:11" ht="16" x14ac:dyDescent="0.2">
      <c r="A1624" s="1" t="s">
        <v>128</v>
      </c>
      <c r="B1624" t="str">
        <f>LEFT(Table13[[#This Row],[Input]],1)</f>
        <v>R</v>
      </c>
      <c r="C1624">
        <f>_xlfn.LET(_xlpm.steps,SUBSTITUTE(Table13[[#This Row],[Input]],Table13[[#This Row],[Direction]],""),VALUE(IF(LEN(_xlpm.steps)&gt;2,RIGHT(_xlpm.steps,2),_xlpm.steps)))</f>
        <v>92</v>
      </c>
      <c r="D1624">
        <f>_xlfn.LET(_xlpm.steps,SUBSTITUTE(Table13[[#This Row],[Input]],Table13[[#This Row],[Direction]],""),VALUE(IF(LEN(_xlpm.steps)&gt;2,LEFT(_xlpm.steps,LEN(_xlpm.steps)-2),0)))</f>
        <v>0</v>
      </c>
      <c r="E1624">
        <f>_xlfn.LET(_xlpm.dir,Table13[[#This Row],[Direction]],
IF(_xlpm.dir="L",
    IF(G1623-Table13[[#This Row],[Steps]]&lt;0,100+(G1623-Table13[[#This Row],[Steps]]),G1623-Table13[[#This Row],[Steps]]),
))</f>
        <v>0</v>
      </c>
      <c r="F1624">
        <f>_xlfn.LET(_xlpm.dir,Table13[[#This Row],[Direction]],
IF(_xlpm.dir="R",
    IF(G1623+Table13[[#This Row],[Steps]]&gt;99,(G1623+Table13[[#This Row],[Steps]])-100,G1623+Table13[[#This Row],[Steps]]),
))</f>
        <v>0</v>
      </c>
      <c r="G1624">
        <f>IF(Table13[[#This Row],[New Pos L]]&lt;&gt;0,Table13[[#This Row],[New Pos L]],Table13[[#This Row],[New Pos R]])</f>
        <v>0</v>
      </c>
      <c r="H1624">
        <f>IF(AND(Table13[[#This Row],[Direction]]="L",Table13[[#This Row],[Steps]]&gt;G1623,G1623&lt;&gt;0),1,0)</f>
        <v>0</v>
      </c>
      <c r="I1624">
        <f>IF(AND(Table13[[#This Row],[Direction]]="R",(G1623+Table13[[#This Row],[Steps]])&gt;100),1,0)</f>
        <v>0</v>
      </c>
      <c r="J1624">
        <f>IF(Table13[[#This Row],[POS]]=0,1,0)</f>
        <v>1</v>
      </c>
      <c r="K1624">
        <f>SUM(Table13[[#This Row],[prefix]],Table13[[#This Row],[Past zero L]],Table13[[#This Row],[Past Zero R]],Table13[[#This Row],[Is Zero]])</f>
        <v>1</v>
      </c>
    </row>
    <row r="1625" spans="1:11" ht="16" x14ac:dyDescent="0.2">
      <c r="A1625" s="1" t="s">
        <v>473</v>
      </c>
      <c r="B1625" t="str">
        <f>LEFT(Table13[[#This Row],[Input]],1)</f>
        <v>L</v>
      </c>
      <c r="C1625">
        <f>_xlfn.LET(_xlpm.steps,SUBSTITUTE(Table13[[#This Row],[Input]],Table13[[#This Row],[Direction]],""),VALUE(IF(LEN(_xlpm.steps)&gt;2,RIGHT(_xlpm.steps,2),_xlpm.steps)))</f>
        <v>52</v>
      </c>
      <c r="D1625">
        <f>_xlfn.LET(_xlpm.steps,SUBSTITUTE(Table13[[#This Row],[Input]],Table13[[#This Row],[Direction]],""),VALUE(IF(LEN(_xlpm.steps)&gt;2,LEFT(_xlpm.steps,LEN(_xlpm.steps)-2),0)))</f>
        <v>1</v>
      </c>
      <c r="E1625">
        <f>_xlfn.LET(_xlpm.dir,Table13[[#This Row],[Direction]],
IF(_xlpm.dir="L",
    IF(G1624-Table13[[#This Row],[Steps]]&lt;0,100+(G1624-Table13[[#This Row],[Steps]]),G1624-Table13[[#This Row],[Steps]]),
))</f>
        <v>48</v>
      </c>
      <c r="F1625">
        <f>_xlfn.LET(_xlpm.dir,Table13[[#This Row],[Direction]],
IF(_xlpm.dir="R",
    IF(G1624+Table13[[#This Row],[Steps]]&gt;99,(G1624+Table13[[#This Row],[Steps]])-100,G1624+Table13[[#This Row],[Steps]]),
))</f>
        <v>0</v>
      </c>
      <c r="G1625">
        <f>IF(Table13[[#This Row],[New Pos L]]&lt;&gt;0,Table13[[#This Row],[New Pos L]],Table13[[#This Row],[New Pos R]])</f>
        <v>48</v>
      </c>
      <c r="H1625">
        <f>IF(AND(Table13[[#This Row],[Direction]]="L",Table13[[#This Row],[Steps]]&gt;G1624,G1624&lt;&gt;0),1,0)</f>
        <v>0</v>
      </c>
      <c r="I1625">
        <f>IF(AND(Table13[[#This Row],[Direction]]="R",(G1624+Table13[[#This Row],[Steps]])&gt;100),1,0)</f>
        <v>0</v>
      </c>
      <c r="J1625">
        <f>IF(Table13[[#This Row],[POS]]=0,1,0)</f>
        <v>0</v>
      </c>
      <c r="K1625">
        <f>SUM(Table13[[#This Row],[prefix]],Table13[[#This Row],[Past zero L]],Table13[[#This Row],[Past Zero R]],Table13[[#This Row],[Is Zero]])</f>
        <v>1</v>
      </c>
    </row>
    <row r="1626" spans="1:11" ht="16" x14ac:dyDescent="0.2">
      <c r="A1626" s="1" t="s">
        <v>146</v>
      </c>
      <c r="B1626" t="str">
        <f>LEFT(Table13[[#This Row],[Input]],1)</f>
        <v>R</v>
      </c>
      <c r="C1626">
        <f>_xlfn.LET(_xlpm.steps,SUBSTITUTE(Table13[[#This Row],[Input]],Table13[[#This Row],[Direction]],""),VALUE(IF(LEN(_xlpm.steps)&gt;2,RIGHT(_xlpm.steps,2),_xlpm.steps)))</f>
        <v>4</v>
      </c>
      <c r="D1626">
        <f>_xlfn.LET(_xlpm.steps,SUBSTITUTE(Table13[[#This Row],[Input]],Table13[[#This Row],[Direction]],""),VALUE(IF(LEN(_xlpm.steps)&gt;2,LEFT(_xlpm.steps,LEN(_xlpm.steps)-2),0)))</f>
        <v>0</v>
      </c>
      <c r="E1626">
        <f>_xlfn.LET(_xlpm.dir,Table13[[#This Row],[Direction]],
IF(_xlpm.dir="L",
    IF(G1625-Table13[[#This Row],[Steps]]&lt;0,100+(G1625-Table13[[#This Row],[Steps]]),G1625-Table13[[#This Row],[Steps]]),
))</f>
        <v>0</v>
      </c>
      <c r="F1626">
        <f>_xlfn.LET(_xlpm.dir,Table13[[#This Row],[Direction]],
IF(_xlpm.dir="R",
    IF(G1625+Table13[[#This Row],[Steps]]&gt;99,(G1625+Table13[[#This Row],[Steps]])-100,G1625+Table13[[#This Row],[Steps]]),
))</f>
        <v>52</v>
      </c>
      <c r="G1626">
        <f>IF(Table13[[#This Row],[New Pos L]]&lt;&gt;0,Table13[[#This Row],[New Pos L]],Table13[[#This Row],[New Pos R]])</f>
        <v>52</v>
      </c>
      <c r="H1626">
        <f>IF(AND(Table13[[#This Row],[Direction]]="L",Table13[[#This Row],[Steps]]&gt;G1625,G1625&lt;&gt;0),1,0)</f>
        <v>0</v>
      </c>
      <c r="I1626">
        <f>IF(AND(Table13[[#This Row],[Direction]]="R",(G1625+Table13[[#This Row],[Steps]])&gt;100),1,0)</f>
        <v>0</v>
      </c>
      <c r="J1626">
        <f>IF(Table13[[#This Row],[POS]]=0,1,0)</f>
        <v>0</v>
      </c>
      <c r="K1626">
        <f>SUM(Table13[[#This Row],[prefix]],Table13[[#This Row],[Past zero L]],Table13[[#This Row],[Past Zero R]],Table13[[#This Row],[Is Zero]])</f>
        <v>0</v>
      </c>
    </row>
    <row r="1627" spans="1:11" ht="16" x14ac:dyDescent="0.2">
      <c r="A1627" s="1" t="s">
        <v>474</v>
      </c>
      <c r="B1627" t="str">
        <f>LEFT(Table13[[#This Row],[Input]],1)</f>
        <v>R</v>
      </c>
      <c r="C1627">
        <f>_xlfn.LET(_xlpm.steps,SUBSTITUTE(Table13[[#This Row],[Input]],Table13[[#This Row],[Direction]],""),VALUE(IF(LEN(_xlpm.steps)&gt;2,RIGHT(_xlpm.steps,2),_xlpm.steps)))</f>
        <v>48</v>
      </c>
      <c r="D1627">
        <f>_xlfn.LET(_xlpm.steps,SUBSTITUTE(Table13[[#This Row],[Input]],Table13[[#This Row],[Direction]],""),VALUE(IF(LEN(_xlpm.steps)&gt;2,LEFT(_xlpm.steps,LEN(_xlpm.steps)-2),0)))</f>
        <v>9</v>
      </c>
      <c r="E1627">
        <f>_xlfn.LET(_xlpm.dir,Table13[[#This Row],[Direction]],
IF(_xlpm.dir="L",
    IF(G1626-Table13[[#This Row],[Steps]]&lt;0,100+(G1626-Table13[[#This Row],[Steps]]),G1626-Table13[[#This Row],[Steps]]),
))</f>
        <v>0</v>
      </c>
      <c r="F1627">
        <f>_xlfn.LET(_xlpm.dir,Table13[[#This Row],[Direction]],
IF(_xlpm.dir="R",
    IF(G1626+Table13[[#This Row],[Steps]]&gt;99,(G1626+Table13[[#This Row],[Steps]])-100,G1626+Table13[[#This Row],[Steps]]),
))</f>
        <v>0</v>
      </c>
      <c r="G1627">
        <f>IF(Table13[[#This Row],[New Pos L]]&lt;&gt;0,Table13[[#This Row],[New Pos L]],Table13[[#This Row],[New Pos R]])</f>
        <v>0</v>
      </c>
      <c r="H1627">
        <f>IF(AND(Table13[[#This Row],[Direction]]="L",Table13[[#This Row],[Steps]]&gt;G1626,G1626&lt;&gt;0),1,0)</f>
        <v>0</v>
      </c>
      <c r="I1627">
        <f>IF(AND(Table13[[#This Row],[Direction]]="R",(G1626+Table13[[#This Row],[Steps]])&gt;100),1,0)</f>
        <v>0</v>
      </c>
      <c r="J1627">
        <f>IF(Table13[[#This Row],[POS]]=0,1,0)</f>
        <v>1</v>
      </c>
      <c r="K1627">
        <f>SUM(Table13[[#This Row],[prefix]],Table13[[#This Row],[Past zero L]],Table13[[#This Row],[Past Zero R]],Table13[[#This Row],[Is Zero]])</f>
        <v>10</v>
      </c>
    </row>
    <row r="1628" spans="1:11" ht="16" x14ac:dyDescent="0.2">
      <c r="A1628" s="1" t="s">
        <v>123</v>
      </c>
      <c r="B1628" t="str">
        <f>LEFT(Table13[[#This Row],[Input]],1)</f>
        <v>L</v>
      </c>
      <c r="C1628">
        <f>_xlfn.LET(_xlpm.steps,SUBSTITUTE(Table13[[#This Row],[Input]],Table13[[#This Row],[Direction]],""),VALUE(IF(LEN(_xlpm.steps)&gt;2,RIGHT(_xlpm.steps,2),_xlpm.steps)))</f>
        <v>63</v>
      </c>
      <c r="D1628">
        <f>_xlfn.LET(_xlpm.steps,SUBSTITUTE(Table13[[#This Row],[Input]],Table13[[#This Row],[Direction]],""),VALUE(IF(LEN(_xlpm.steps)&gt;2,LEFT(_xlpm.steps,LEN(_xlpm.steps)-2),0)))</f>
        <v>0</v>
      </c>
      <c r="E1628">
        <f>_xlfn.LET(_xlpm.dir,Table13[[#This Row],[Direction]],
IF(_xlpm.dir="L",
    IF(G1627-Table13[[#This Row],[Steps]]&lt;0,100+(G1627-Table13[[#This Row],[Steps]]),G1627-Table13[[#This Row],[Steps]]),
))</f>
        <v>37</v>
      </c>
      <c r="F1628">
        <f>_xlfn.LET(_xlpm.dir,Table13[[#This Row],[Direction]],
IF(_xlpm.dir="R",
    IF(G1627+Table13[[#This Row],[Steps]]&gt;99,(G1627+Table13[[#This Row],[Steps]])-100,G1627+Table13[[#This Row],[Steps]]),
))</f>
        <v>0</v>
      </c>
      <c r="G1628">
        <f>IF(Table13[[#This Row],[New Pos L]]&lt;&gt;0,Table13[[#This Row],[New Pos L]],Table13[[#This Row],[New Pos R]])</f>
        <v>37</v>
      </c>
      <c r="H1628">
        <f>IF(AND(Table13[[#This Row],[Direction]]="L",Table13[[#This Row],[Steps]]&gt;G1627,G1627&lt;&gt;0),1,0)</f>
        <v>0</v>
      </c>
      <c r="I1628">
        <f>IF(AND(Table13[[#This Row],[Direction]]="R",(G1627+Table13[[#This Row],[Steps]])&gt;100),1,0)</f>
        <v>0</v>
      </c>
      <c r="J1628">
        <f>IF(Table13[[#This Row],[POS]]=0,1,0)</f>
        <v>0</v>
      </c>
      <c r="K1628">
        <f>SUM(Table13[[#This Row],[prefix]],Table13[[#This Row],[Past zero L]],Table13[[#This Row],[Past Zero R]],Table13[[#This Row],[Is Zero]])</f>
        <v>0</v>
      </c>
    </row>
    <row r="1629" spans="1:11" ht="16" x14ac:dyDescent="0.2">
      <c r="A1629" s="1" t="s">
        <v>272</v>
      </c>
      <c r="B1629" t="str">
        <f>LEFT(Table13[[#This Row],[Input]],1)</f>
        <v>R</v>
      </c>
      <c r="C1629">
        <f>_xlfn.LET(_xlpm.steps,SUBSTITUTE(Table13[[#This Row],[Input]],Table13[[#This Row],[Direction]],""),VALUE(IF(LEN(_xlpm.steps)&gt;2,RIGHT(_xlpm.steps,2),_xlpm.steps)))</f>
        <v>56</v>
      </c>
      <c r="D1629">
        <f>_xlfn.LET(_xlpm.steps,SUBSTITUTE(Table13[[#This Row],[Input]],Table13[[#This Row],[Direction]],""),VALUE(IF(LEN(_xlpm.steps)&gt;2,LEFT(_xlpm.steps,LEN(_xlpm.steps)-2),0)))</f>
        <v>0</v>
      </c>
      <c r="E1629">
        <f>_xlfn.LET(_xlpm.dir,Table13[[#This Row],[Direction]],
IF(_xlpm.dir="L",
    IF(G1628-Table13[[#This Row],[Steps]]&lt;0,100+(G1628-Table13[[#This Row],[Steps]]),G1628-Table13[[#This Row],[Steps]]),
))</f>
        <v>0</v>
      </c>
      <c r="F1629">
        <f>_xlfn.LET(_xlpm.dir,Table13[[#This Row],[Direction]],
IF(_xlpm.dir="R",
    IF(G1628+Table13[[#This Row],[Steps]]&gt;99,(G1628+Table13[[#This Row],[Steps]])-100,G1628+Table13[[#This Row],[Steps]]),
))</f>
        <v>93</v>
      </c>
      <c r="G1629">
        <f>IF(Table13[[#This Row],[New Pos L]]&lt;&gt;0,Table13[[#This Row],[New Pos L]],Table13[[#This Row],[New Pos R]])</f>
        <v>93</v>
      </c>
      <c r="H1629">
        <f>IF(AND(Table13[[#This Row],[Direction]]="L",Table13[[#This Row],[Steps]]&gt;G1628,G1628&lt;&gt;0),1,0)</f>
        <v>0</v>
      </c>
      <c r="I1629">
        <f>IF(AND(Table13[[#This Row],[Direction]]="R",(G1628+Table13[[#This Row],[Steps]])&gt;100),1,0)</f>
        <v>0</v>
      </c>
      <c r="J1629">
        <f>IF(Table13[[#This Row],[POS]]=0,1,0)</f>
        <v>0</v>
      </c>
      <c r="K1629">
        <f>SUM(Table13[[#This Row],[prefix]],Table13[[#This Row],[Past zero L]],Table13[[#This Row],[Past Zero R]],Table13[[#This Row],[Is Zero]])</f>
        <v>0</v>
      </c>
    </row>
    <row r="1630" spans="1:11" ht="16" x14ac:dyDescent="0.2">
      <c r="A1630" s="1" t="s">
        <v>71</v>
      </c>
      <c r="B1630" t="str">
        <f>LEFT(Table13[[#This Row],[Input]],1)</f>
        <v>R</v>
      </c>
      <c r="C1630">
        <f>_xlfn.LET(_xlpm.steps,SUBSTITUTE(Table13[[#This Row],[Input]],Table13[[#This Row],[Direction]],""),VALUE(IF(LEN(_xlpm.steps)&gt;2,RIGHT(_xlpm.steps,2),_xlpm.steps)))</f>
        <v>23</v>
      </c>
      <c r="D1630">
        <f>_xlfn.LET(_xlpm.steps,SUBSTITUTE(Table13[[#This Row],[Input]],Table13[[#This Row],[Direction]],""),VALUE(IF(LEN(_xlpm.steps)&gt;2,LEFT(_xlpm.steps,LEN(_xlpm.steps)-2),0)))</f>
        <v>0</v>
      </c>
      <c r="E1630">
        <f>_xlfn.LET(_xlpm.dir,Table13[[#This Row],[Direction]],
IF(_xlpm.dir="L",
    IF(G1629-Table13[[#This Row],[Steps]]&lt;0,100+(G1629-Table13[[#This Row],[Steps]]),G1629-Table13[[#This Row],[Steps]]),
))</f>
        <v>0</v>
      </c>
      <c r="F1630">
        <f>_xlfn.LET(_xlpm.dir,Table13[[#This Row],[Direction]],
IF(_xlpm.dir="R",
    IF(G1629+Table13[[#This Row],[Steps]]&gt;99,(G1629+Table13[[#This Row],[Steps]])-100,G1629+Table13[[#This Row],[Steps]]),
))</f>
        <v>16</v>
      </c>
      <c r="G1630">
        <f>IF(Table13[[#This Row],[New Pos L]]&lt;&gt;0,Table13[[#This Row],[New Pos L]],Table13[[#This Row],[New Pos R]])</f>
        <v>16</v>
      </c>
      <c r="H1630">
        <f>IF(AND(Table13[[#This Row],[Direction]]="L",Table13[[#This Row],[Steps]]&gt;G1629,G1629&lt;&gt;0),1,0)</f>
        <v>0</v>
      </c>
      <c r="I1630">
        <f>IF(AND(Table13[[#This Row],[Direction]]="R",(G1629+Table13[[#This Row],[Steps]])&gt;100),1,0)</f>
        <v>1</v>
      </c>
      <c r="J1630">
        <f>IF(Table13[[#This Row],[POS]]=0,1,0)</f>
        <v>0</v>
      </c>
      <c r="K1630">
        <f>SUM(Table13[[#This Row],[prefix]],Table13[[#This Row],[Past zero L]],Table13[[#This Row],[Past Zero R]],Table13[[#This Row],[Is Zero]])</f>
        <v>1</v>
      </c>
    </row>
    <row r="1631" spans="1:11" ht="16" x14ac:dyDescent="0.2">
      <c r="A1631" s="1" t="s">
        <v>11</v>
      </c>
      <c r="B1631" t="str">
        <f>LEFT(Table13[[#This Row],[Input]],1)</f>
        <v>L</v>
      </c>
      <c r="C1631">
        <f>_xlfn.LET(_xlpm.steps,SUBSTITUTE(Table13[[#This Row],[Input]],Table13[[#This Row],[Direction]],""),VALUE(IF(LEN(_xlpm.steps)&gt;2,RIGHT(_xlpm.steps,2),_xlpm.steps)))</f>
        <v>34</v>
      </c>
      <c r="D1631">
        <f>_xlfn.LET(_xlpm.steps,SUBSTITUTE(Table13[[#This Row],[Input]],Table13[[#This Row],[Direction]],""),VALUE(IF(LEN(_xlpm.steps)&gt;2,LEFT(_xlpm.steps,LEN(_xlpm.steps)-2),0)))</f>
        <v>0</v>
      </c>
      <c r="E1631">
        <f>_xlfn.LET(_xlpm.dir,Table13[[#This Row],[Direction]],
IF(_xlpm.dir="L",
    IF(G1630-Table13[[#This Row],[Steps]]&lt;0,100+(G1630-Table13[[#This Row],[Steps]]),G1630-Table13[[#This Row],[Steps]]),
))</f>
        <v>82</v>
      </c>
      <c r="F1631">
        <f>_xlfn.LET(_xlpm.dir,Table13[[#This Row],[Direction]],
IF(_xlpm.dir="R",
    IF(G1630+Table13[[#This Row],[Steps]]&gt;99,(G1630+Table13[[#This Row],[Steps]])-100,G1630+Table13[[#This Row],[Steps]]),
))</f>
        <v>0</v>
      </c>
      <c r="G1631">
        <f>IF(Table13[[#This Row],[New Pos L]]&lt;&gt;0,Table13[[#This Row],[New Pos L]],Table13[[#This Row],[New Pos R]])</f>
        <v>82</v>
      </c>
      <c r="H1631">
        <f>IF(AND(Table13[[#This Row],[Direction]]="L",Table13[[#This Row],[Steps]]&gt;G1630,G1630&lt;&gt;0),1,0)</f>
        <v>1</v>
      </c>
      <c r="I1631">
        <f>IF(AND(Table13[[#This Row],[Direction]]="R",(G1630+Table13[[#This Row],[Steps]])&gt;100),1,0)</f>
        <v>0</v>
      </c>
      <c r="J1631">
        <f>IF(Table13[[#This Row],[POS]]=0,1,0)</f>
        <v>0</v>
      </c>
      <c r="K1631">
        <f>SUM(Table13[[#This Row],[prefix]],Table13[[#This Row],[Past zero L]],Table13[[#This Row],[Past Zero R]],Table13[[#This Row],[Is Zero]])</f>
        <v>1</v>
      </c>
    </row>
    <row r="1632" spans="1:11" ht="16" x14ac:dyDescent="0.2">
      <c r="A1632" s="1" t="s">
        <v>49</v>
      </c>
      <c r="B1632" t="str">
        <f>LEFT(Table13[[#This Row],[Input]],1)</f>
        <v>L</v>
      </c>
      <c r="C1632">
        <f>_xlfn.LET(_xlpm.steps,SUBSTITUTE(Table13[[#This Row],[Input]],Table13[[#This Row],[Direction]],""),VALUE(IF(LEN(_xlpm.steps)&gt;2,RIGHT(_xlpm.steps,2),_xlpm.steps)))</f>
        <v>93</v>
      </c>
      <c r="D1632">
        <f>_xlfn.LET(_xlpm.steps,SUBSTITUTE(Table13[[#This Row],[Input]],Table13[[#This Row],[Direction]],""),VALUE(IF(LEN(_xlpm.steps)&gt;2,LEFT(_xlpm.steps,LEN(_xlpm.steps)-2),0)))</f>
        <v>0</v>
      </c>
      <c r="E1632">
        <f>_xlfn.LET(_xlpm.dir,Table13[[#This Row],[Direction]],
IF(_xlpm.dir="L",
    IF(G1631-Table13[[#This Row],[Steps]]&lt;0,100+(G1631-Table13[[#This Row],[Steps]]),G1631-Table13[[#This Row],[Steps]]),
))</f>
        <v>89</v>
      </c>
      <c r="F1632">
        <f>_xlfn.LET(_xlpm.dir,Table13[[#This Row],[Direction]],
IF(_xlpm.dir="R",
    IF(G1631+Table13[[#This Row],[Steps]]&gt;99,(G1631+Table13[[#This Row],[Steps]])-100,G1631+Table13[[#This Row],[Steps]]),
))</f>
        <v>0</v>
      </c>
      <c r="G1632">
        <f>IF(Table13[[#This Row],[New Pos L]]&lt;&gt;0,Table13[[#This Row],[New Pos L]],Table13[[#This Row],[New Pos R]])</f>
        <v>89</v>
      </c>
      <c r="H1632">
        <f>IF(AND(Table13[[#This Row],[Direction]]="L",Table13[[#This Row],[Steps]]&gt;G1631,G1631&lt;&gt;0),1,0)</f>
        <v>1</v>
      </c>
      <c r="I1632">
        <f>IF(AND(Table13[[#This Row],[Direction]]="R",(G1631+Table13[[#This Row],[Steps]])&gt;100),1,0)</f>
        <v>0</v>
      </c>
      <c r="J1632">
        <f>IF(Table13[[#This Row],[POS]]=0,1,0)</f>
        <v>0</v>
      </c>
      <c r="K1632">
        <f>SUM(Table13[[#This Row],[prefix]],Table13[[#This Row],[Past zero L]],Table13[[#This Row],[Past Zero R]],Table13[[#This Row],[Is Zero]])</f>
        <v>1</v>
      </c>
    </row>
    <row r="1633" spans="1:11" ht="16" x14ac:dyDescent="0.2">
      <c r="A1633" s="1" t="s">
        <v>52</v>
      </c>
      <c r="B1633" t="str">
        <f>LEFT(Table13[[#This Row],[Input]],1)</f>
        <v>R</v>
      </c>
      <c r="C1633">
        <f>_xlfn.LET(_xlpm.steps,SUBSTITUTE(Table13[[#This Row],[Input]],Table13[[#This Row],[Direction]],""),VALUE(IF(LEN(_xlpm.steps)&gt;2,RIGHT(_xlpm.steps,2),_xlpm.steps)))</f>
        <v>11</v>
      </c>
      <c r="D1633">
        <f>_xlfn.LET(_xlpm.steps,SUBSTITUTE(Table13[[#This Row],[Input]],Table13[[#This Row],[Direction]],""),VALUE(IF(LEN(_xlpm.steps)&gt;2,LEFT(_xlpm.steps,LEN(_xlpm.steps)-2),0)))</f>
        <v>0</v>
      </c>
      <c r="E1633">
        <f>_xlfn.LET(_xlpm.dir,Table13[[#This Row],[Direction]],
IF(_xlpm.dir="L",
    IF(G1632-Table13[[#This Row],[Steps]]&lt;0,100+(G1632-Table13[[#This Row],[Steps]]),G1632-Table13[[#This Row],[Steps]]),
))</f>
        <v>0</v>
      </c>
      <c r="F1633">
        <f>_xlfn.LET(_xlpm.dir,Table13[[#This Row],[Direction]],
IF(_xlpm.dir="R",
    IF(G1632+Table13[[#This Row],[Steps]]&gt;99,(G1632+Table13[[#This Row],[Steps]])-100,G1632+Table13[[#This Row],[Steps]]),
))</f>
        <v>0</v>
      </c>
      <c r="G1633">
        <f>IF(Table13[[#This Row],[New Pos L]]&lt;&gt;0,Table13[[#This Row],[New Pos L]],Table13[[#This Row],[New Pos R]])</f>
        <v>0</v>
      </c>
      <c r="H1633">
        <f>IF(AND(Table13[[#This Row],[Direction]]="L",Table13[[#This Row],[Steps]]&gt;G1632,G1632&lt;&gt;0),1,0)</f>
        <v>0</v>
      </c>
      <c r="I1633">
        <f>IF(AND(Table13[[#This Row],[Direction]]="R",(G1632+Table13[[#This Row],[Steps]])&gt;100),1,0)</f>
        <v>0</v>
      </c>
      <c r="J1633">
        <f>IF(Table13[[#This Row],[POS]]=0,1,0)</f>
        <v>1</v>
      </c>
      <c r="K1633">
        <f>SUM(Table13[[#This Row],[prefix]],Table13[[#This Row],[Past zero L]],Table13[[#This Row],[Past Zero R]],Table13[[#This Row],[Is Zero]])</f>
        <v>1</v>
      </c>
    </row>
    <row r="1634" spans="1:11" ht="16" x14ac:dyDescent="0.2">
      <c r="A1634" s="1" t="s">
        <v>26</v>
      </c>
      <c r="B1634" t="str">
        <f>LEFT(Table13[[#This Row],[Input]],1)</f>
        <v>R</v>
      </c>
      <c r="C1634">
        <f>_xlfn.LET(_xlpm.steps,SUBSTITUTE(Table13[[#This Row],[Input]],Table13[[#This Row],[Direction]],""),VALUE(IF(LEN(_xlpm.steps)&gt;2,RIGHT(_xlpm.steps,2),_xlpm.steps)))</f>
        <v>6</v>
      </c>
      <c r="D1634">
        <f>_xlfn.LET(_xlpm.steps,SUBSTITUTE(Table13[[#This Row],[Input]],Table13[[#This Row],[Direction]],""),VALUE(IF(LEN(_xlpm.steps)&gt;2,LEFT(_xlpm.steps,LEN(_xlpm.steps)-2),0)))</f>
        <v>0</v>
      </c>
      <c r="E1634">
        <f>_xlfn.LET(_xlpm.dir,Table13[[#This Row],[Direction]],
IF(_xlpm.dir="L",
    IF(G1633-Table13[[#This Row],[Steps]]&lt;0,100+(G1633-Table13[[#This Row],[Steps]]),G1633-Table13[[#This Row],[Steps]]),
))</f>
        <v>0</v>
      </c>
      <c r="F1634">
        <f>_xlfn.LET(_xlpm.dir,Table13[[#This Row],[Direction]],
IF(_xlpm.dir="R",
    IF(G1633+Table13[[#This Row],[Steps]]&gt;99,(G1633+Table13[[#This Row],[Steps]])-100,G1633+Table13[[#This Row],[Steps]]),
))</f>
        <v>6</v>
      </c>
      <c r="G1634">
        <f>IF(Table13[[#This Row],[New Pos L]]&lt;&gt;0,Table13[[#This Row],[New Pos L]],Table13[[#This Row],[New Pos R]])</f>
        <v>6</v>
      </c>
      <c r="H1634">
        <f>IF(AND(Table13[[#This Row],[Direction]]="L",Table13[[#This Row],[Steps]]&gt;G1633,G1633&lt;&gt;0),1,0)</f>
        <v>0</v>
      </c>
      <c r="I1634">
        <f>IF(AND(Table13[[#This Row],[Direction]]="R",(G1633+Table13[[#This Row],[Steps]])&gt;100),1,0)</f>
        <v>0</v>
      </c>
      <c r="J1634">
        <f>IF(Table13[[#This Row],[POS]]=0,1,0)</f>
        <v>0</v>
      </c>
      <c r="K1634">
        <f>SUM(Table13[[#This Row],[prefix]],Table13[[#This Row],[Past zero L]],Table13[[#This Row],[Past Zero R]],Table13[[#This Row],[Is Zero]])</f>
        <v>0</v>
      </c>
    </row>
    <row r="1635" spans="1:11" ht="16" x14ac:dyDescent="0.2">
      <c r="A1635" s="1" t="s">
        <v>296</v>
      </c>
      <c r="B1635" t="str">
        <f>LEFT(Table13[[#This Row],[Input]],1)</f>
        <v>R</v>
      </c>
      <c r="C1635">
        <f>_xlfn.LET(_xlpm.steps,SUBSTITUTE(Table13[[#This Row],[Input]],Table13[[#This Row],[Direction]],""),VALUE(IF(LEN(_xlpm.steps)&gt;2,RIGHT(_xlpm.steps,2),_xlpm.steps)))</f>
        <v>19</v>
      </c>
      <c r="D1635">
        <f>_xlfn.LET(_xlpm.steps,SUBSTITUTE(Table13[[#This Row],[Input]],Table13[[#This Row],[Direction]],""),VALUE(IF(LEN(_xlpm.steps)&gt;2,LEFT(_xlpm.steps,LEN(_xlpm.steps)-2),0)))</f>
        <v>0</v>
      </c>
      <c r="E1635">
        <f>_xlfn.LET(_xlpm.dir,Table13[[#This Row],[Direction]],
IF(_xlpm.dir="L",
    IF(G1634-Table13[[#This Row],[Steps]]&lt;0,100+(G1634-Table13[[#This Row],[Steps]]),G1634-Table13[[#This Row],[Steps]]),
))</f>
        <v>0</v>
      </c>
      <c r="F1635">
        <f>_xlfn.LET(_xlpm.dir,Table13[[#This Row],[Direction]],
IF(_xlpm.dir="R",
    IF(G1634+Table13[[#This Row],[Steps]]&gt;99,(G1634+Table13[[#This Row],[Steps]])-100,G1634+Table13[[#This Row],[Steps]]),
))</f>
        <v>25</v>
      </c>
      <c r="G1635">
        <f>IF(Table13[[#This Row],[New Pos L]]&lt;&gt;0,Table13[[#This Row],[New Pos L]],Table13[[#This Row],[New Pos R]])</f>
        <v>25</v>
      </c>
      <c r="H1635">
        <f>IF(AND(Table13[[#This Row],[Direction]]="L",Table13[[#This Row],[Steps]]&gt;G1634,G1634&lt;&gt;0),1,0)</f>
        <v>0</v>
      </c>
      <c r="I1635">
        <f>IF(AND(Table13[[#This Row],[Direction]]="R",(G1634+Table13[[#This Row],[Steps]])&gt;100),1,0)</f>
        <v>0</v>
      </c>
      <c r="J1635">
        <f>IF(Table13[[#This Row],[POS]]=0,1,0)</f>
        <v>0</v>
      </c>
      <c r="K1635">
        <f>SUM(Table13[[#This Row],[prefix]],Table13[[#This Row],[Past zero L]],Table13[[#This Row],[Past Zero R]],Table13[[#This Row],[Is Zero]])</f>
        <v>0</v>
      </c>
    </row>
    <row r="1636" spans="1:11" ht="16" x14ac:dyDescent="0.2">
      <c r="A1636" s="1" t="s">
        <v>244</v>
      </c>
      <c r="B1636" t="str">
        <f>LEFT(Table13[[#This Row],[Input]],1)</f>
        <v>L</v>
      </c>
      <c r="C1636">
        <f>_xlfn.LET(_xlpm.steps,SUBSTITUTE(Table13[[#This Row],[Input]],Table13[[#This Row],[Direction]],""),VALUE(IF(LEN(_xlpm.steps)&gt;2,RIGHT(_xlpm.steps,2),_xlpm.steps)))</f>
        <v>98</v>
      </c>
      <c r="D1636">
        <f>_xlfn.LET(_xlpm.steps,SUBSTITUTE(Table13[[#This Row],[Input]],Table13[[#This Row],[Direction]],""),VALUE(IF(LEN(_xlpm.steps)&gt;2,LEFT(_xlpm.steps,LEN(_xlpm.steps)-2),0)))</f>
        <v>0</v>
      </c>
      <c r="E1636">
        <f>_xlfn.LET(_xlpm.dir,Table13[[#This Row],[Direction]],
IF(_xlpm.dir="L",
    IF(G1635-Table13[[#This Row],[Steps]]&lt;0,100+(G1635-Table13[[#This Row],[Steps]]),G1635-Table13[[#This Row],[Steps]]),
))</f>
        <v>27</v>
      </c>
      <c r="F1636">
        <f>_xlfn.LET(_xlpm.dir,Table13[[#This Row],[Direction]],
IF(_xlpm.dir="R",
    IF(G1635+Table13[[#This Row],[Steps]]&gt;99,(G1635+Table13[[#This Row],[Steps]])-100,G1635+Table13[[#This Row],[Steps]]),
))</f>
        <v>0</v>
      </c>
      <c r="G1636">
        <f>IF(Table13[[#This Row],[New Pos L]]&lt;&gt;0,Table13[[#This Row],[New Pos L]],Table13[[#This Row],[New Pos R]])</f>
        <v>27</v>
      </c>
      <c r="H1636">
        <f>IF(AND(Table13[[#This Row],[Direction]]="L",Table13[[#This Row],[Steps]]&gt;G1635,G1635&lt;&gt;0),1,0)</f>
        <v>1</v>
      </c>
      <c r="I1636">
        <f>IF(AND(Table13[[#This Row],[Direction]]="R",(G1635+Table13[[#This Row],[Steps]])&gt;100),1,0)</f>
        <v>0</v>
      </c>
      <c r="J1636">
        <f>IF(Table13[[#This Row],[POS]]=0,1,0)</f>
        <v>0</v>
      </c>
      <c r="K1636">
        <f>SUM(Table13[[#This Row],[prefix]],Table13[[#This Row],[Past zero L]],Table13[[#This Row],[Past Zero R]],Table13[[#This Row],[Is Zero]])</f>
        <v>1</v>
      </c>
    </row>
    <row r="1637" spans="1:11" ht="16" x14ac:dyDescent="0.2">
      <c r="A1637" s="1" t="s">
        <v>475</v>
      </c>
      <c r="B1637" t="str">
        <f>LEFT(Table13[[#This Row],[Input]],1)</f>
        <v>L</v>
      </c>
      <c r="C1637">
        <f>_xlfn.LET(_xlpm.steps,SUBSTITUTE(Table13[[#This Row],[Input]],Table13[[#This Row],[Direction]],""),VALUE(IF(LEN(_xlpm.steps)&gt;2,RIGHT(_xlpm.steps,2),_xlpm.steps)))</f>
        <v>67</v>
      </c>
      <c r="D1637">
        <f>_xlfn.LET(_xlpm.steps,SUBSTITUTE(Table13[[#This Row],[Input]],Table13[[#This Row],[Direction]],""),VALUE(IF(LEN(_xlpm.steps)&gt;2,LEFT(_xlpm.steps,LEN(_xlpm.steps)-2),0)))</f>
        <v>6</v>
      </c>
      <c r="E1637">
        <f>_xlfn.LET(_xlpm.dir,Table13[[#This Row],[Direction]],
IF(_xlpm.dir="L",
    IF(G1636-Table13[[#This Row],[Steps]]&lt;0,100+(G1636-Table13[[#This Row],[Steps]]),G1636-Table13[[#This Row],[Steps]]),
))</f>
        <v>60</v>
      </c>
      <c r="F1637">
        <f>_xlfn.LET(_xlpm.dir,Table13[[#This Row],[Direction]],
IF(_xlpm.dir="R",
    IF(G1636+Table13[[#This Row],[Steps]]&gt;99,(G1636+Table13[[#This Row],[Steps]])-100,G1636+Table13[[#This Row],[Steps]]),
))</f>
        <v>0</v>
      </c>
      <c r="G1637">
        <f>IF(Table13[[#This Row],[New Pos L]]&lt;&gt;0,Table13[[#This Row],[New Pos L]],Table13[[#This Row],[New Pos R]])</f>
        <v>60</v>
      </c>
      <c r="H1637">
        <f>IF(AND(Table13[[#This Row],[Direction]]="L",Table13[[#This Row],[Steps]]&gt;G1636,G1636&lt;&gt;0),1,0)</f>
        <v>1</v>
      </c>
      <c r="I1637">
        <f>IF(AND(Table13[[#This Row],[Direction]]="R",(G1636+Table13[[#This Row],[Steps]])&gt;100),1,0)</f>
        <v>0</v>
      </c>
      <c r="J1637">
        <f>IF(Table13[[#This Row],[POS]]=0,1,0)</f>
        <v>0</v>
      </c>
      <c r="K1637">
        <f>SUM(Table13[[#This Row],[prefix]],Table13[[#This Row],[Past zero L]],Table13[[#This Row],[Past Zero R]],Table13[[#This Row],[Is Zero]])</f>
        <v>7</v>
      </c>
    </row>
    <row r="1638" spans="1:11" ht="16" x14ac:dyDescent="0.2">
      <c r="A1638" s="1" t="s">
        <v>276</v>
      </c>
      <c r="B1638" t="str">
        <f>LEFT(Table13[[#This Row],[Input]],1)</f>
        <v>L</v>
      </c>
      <c r="C1638">
        <f>_xlfn.LET(_xlpm.steps,SUBSTITUTE(Table13[[#This Row],[Input]],Table13[[#This Row],[Direction]],""),VALUE(IF(LEN(_xlpm.steps)&gt;2,RIGHT(_xlpm.steps,2),_xlpm.steps)))</f>
        <v>60</v>
      </c>
      <c r="D1638">
        <f>_xlfn.LET(_xlpm.steps,SUBSTITUTE(Table13[[#This Row],[Input]],Table13[[#This Row],[Direction]],""),VALUE(IF(LEN(_xlpm.steps)&gt;2,LEFT(_xlpm.steps,LEN(_xlpm.steps)-2),0)))</f>
        <v>0</v>
      </c>
      <c r="E1638">
        <f>_xlfn.LET(_xlpm.dir,Table13[[#This Row],[Direction]],
IF(_xlpm.dir="L",
    IF(G1637-Table13[[#This Row],[Steps]]&lt;0,100+(G1637-Table13[[#This Row],[Steps]]),G1637-Table13[[#This Row],[Steps]]),
))</f>
        <v>0</v>
      </c>
      <c r="F1638">
        <f>_xlfn.LET(_xlpm.dir,Table13[[#This Row],[Direction]],
IF(_xlpm.dir="R",
    IF(G1637+Table13[[#This Row],[Steps]]&gt;99,(G1637+Table13[[#This Row],[Steps]])-100,G1637+Table13[[#This Row],[Steps]]),
))</f>
        <v>0</v>
      </c>
      <c r="G1638">
        <f>IF(Table13[[#This Row],[New Pos L]]&lt;&gt;0,Table13[[#This Row],[New Pos L]],Table13[[#This Row],[New Pos R]])</f>
        <v>0</v>
      </c>
      <c r="H1638">
        <f>IF(AND(Table13[[#This Row],[Direction]]="L",Table13[[#This Row],[Steps]]&gt;G1637,G1637&lt;&gt;0),1,0)</f>
        <v>0</v>
      </c>
      <c r="I1638">
        <f>IF(AND(Table13[[#This Row],[Direction]]="R",(G1637+Table13[[#This Row],[Steps]])&gt;100),1,0)</f>
        <v>0</v>
      </c>
      <c r="J1638">
        <f>IF(Table13[[#This Row],[POS]]=0,1,0)</f>
        <v>1</v>
      </c>
      <c r="K1638">
        <f>SUM(Table13[[#This Row],[prefix]],Table13[[#This Row],[Past zero L]],Table13[[#This Row],[Past Zero R]],Table13[[#This Row],[Is Zero]])</f>
        <v>1</v>
      </c>
    </row>
    <row r="1639" spans="1:11" ht="16" x14ac:dyDescent="0.2">
      <c r="A1639" s="1" t="s">
        <v>217</v>
      </c>
      <c r="B1639" t="str">
        <f>LEFT(Table13[[#This Row],[Input]],1)</f>
        <v>R</v>
      </c>
      <c r="C1639">
        <f>_xlfn.LET(_xlpm.steps,SUBSTITUTE(Table13[[#This Row],[Input]],Table13[[#This Row],[Direction]],""),VALUE(IF(LEN(_xlpm.steps)&gt;2,RIGHT(_xlpm.steps,2),_xlpm.steps)))</f>
        <v>91</v>
      </c>
      <c r="D1639">
        <f>_xlfn.LET(_xlpm.steps,SUBSTITUTE(Table13[[#This Row],[Input]],Table13[[#This Row],[Direction]],""),VALUE(IF(LEN(_xlpm.steps)&gt;2,LEFT(_xlpm.steps,LEN(_xlpm.steps)-2),0)))</f>
        <v>0</v>
      </c>
      <c r="E1639">
        <f>_xlfn.LET(_xlpm.dir,Table13[[#This Row],[Direction]],
IF(_xlpm.dir="L",
    IF(G1638-Table13[[#This Row],[Steps]]&lt;0,100+(G1638-Table13[[#This Row],[Steps]]),G1638-Table13[[#This Row],[Steps]]),
))</f>
        <v>0</v>
      </c>
      <c r="F1639">
        <f>_xlfn.LET(_xlpm.dir,Table13[[#This Row],[Direction]],
IF(_xlpm.dir="R",
    IF(G1638+Table13[[#This Row],[Steps]]&gt;99,(G1638+Table13[[#This Row],[Steps]])-100,G1638+Table13[[#This Row],[Steps]]),
))</f>
        <v>91</v>
      </c>
      <c r="G1639">
        <f>IF(Table13[[#This Row],[New Pos L]]&lt;&gt;0,Table13[[#This Row],[New Pos L]],Table13[[#This Row],[New Pos R]])</f>
        <v>91</v>
      </c>
      <c r="H1639">
        <f>IF(AND(Table13[[#This Row],[Direction]]="L",Table13[[#This Row],[Steps]]&gt;G1638,G1638&lt;&gt;0),1,0)</f>
        <v>0</v>
      </c>
      <c r="I1639">
        <f>IF(AND(Table13[[#This Row],[Direction]]="R",(G1638+Table13[[#This Row],[Steps]])&gt;100),1,0)</f>
        <v>0</v>
      </c>
      <c r="J1639">
        <f>IF(Table13[[#This Row],[POS]]=0,1,0)</f>
        <v>0</v>
      </c>
      <c r="K1639">
        <f>SUM(Table13[[#This Row],[prefix]],Table13[[#This Row],[Past zero L]],Table13[[#This Row],[Past Zero R]],Table13[[#This Row],[Is Zero]])</f>
        <v>0</v>
      </c>
    </row>
    <row r="1640" spans="1:11" ht="16" x14ac:dyDescent="0.2">
      <c r="A1640" s="1" t="s">
        <v>63</v>
      </c>
      <c r="B1640" t="str">
        <f>LEFT(Table13[[#This Row],[Input]],1)</f>
        <v>R</v>
      </c>
      <c r="C1640">
        <f>_xlfn.LET(_xlpm.steps,SUBSTITUTE(Table13[[#This Row],[Input]],Table13[[#This Row],[Direction]],""),VALUE(IF(LEN(_xlpm.steps)&gt;2,RIGHT(_xlpm.steps,2),_xlpm.steps)))</f>
        <v>57</v>
      </c>
      <c r="D1640">
        <f>_xlfn.LET(_xlpm.steps,SUBSTITUTE(Table13[[#This Row],[Input]],Table13[[#This Row],[Direction]],""),VALUE(IF(LEN(_xlpm.steps)&gt;2,LEFT(_xlpm.steps,LEN(_xlpm.steps)-2),0)))</f>
        <v>0</v>
      </c>
      <c r="E1640">
        <f>_xlfn.LET(_xlpm.dir,Table13[[#This Row],[Direction]],
IF(_xlpm.dir="L",
    IF(G1639-Table13[[#This Row],[Steps]]&lt;0,100+(G1639-Table13[[#This Row],[Steps]]),G1639-Table13[[#This Row],[Steps]]),
))</f>
        <v>0</v>
      </c>
      <c r="F1640">
        <f>_xlfn.LET(_xlpm.dir,Table13[[#This Row],[Direction]],
IF(_xlpm.dir="R",
    IF(G1639+Table13[[#This Row],[Steps]]&gt;99,(G1639+Table13[[#This Row],[Steps]])-100,G1639+Table13[[#This Row],[Steps]]),
))</f>
        <v>48</v>
      </c>
      <c r="G1640">
        <f>IF(Table13[[#This Row],[New Pos L]]&lt;&gt;0,Table13[[#This Row],[New Pos L]],Table13[[#This Row],[New Pos R]])</f>
        <v>48</v>
      </c>
      <c r="H1640">
        <f>IF(AND(Table13[[#This Row],[Direction]]="L",Table13[[#This Row],[Steps]]&gt;G1639,G1639&lt;&gt;0),1,0)</f>
        <v>0</v>
      </c>
      <c r="I1640">
        <f>IF(AND(Table13[[#This Row],[Direction]]="R",(G1639+Table13[[#This Row],[Steps]])&gt;100),1,0)</f>
        <v>1</v>
      </c>
      <c r="J1640">
        <f>IF(Table13[[#This Row],[POS]]=0,1,0)</f>
        <v>0</v>
      </c>
      <c r="K1640">
        <f>SUM(Table13[[#This Row],[prefix]],Table13[[#This Row],[Past zero L]],Table13[[#This Row],[Past Zero R]],Table13[[#This Row],[Is Zero]])</f>
        <v>1</v>
      </c>
    </row>
    <row r="1641" spans="1:11" ht="16" x14ac:dyDescent="0.2">
      <c r="A1641" s="1" t="s">
        <v>80</v>
      </c>
      <c r="B1641" t="str">
        <f>LEFT(Table13[[#This Row],[Input]],1)</f>
        <v>L</v>
      </c>
      <c r="C1641">
        <f>_xlfn.LET(_xlpm.steps,SUBSTITUTE(Table13[[#This Row],[Input]],Table13[[#This Row],[Direction]],""),VALUE(IF(LEN(_xlpm.steps)&gt;2,RIGHT(_xlpm.steps,2),_xlpm.steps)))</f>
        <v>48</v>
      </c>
      <c r="D1641">
        <f>_xlfn.LET(_xlpm.steps,SUBSTITUTE(Table13[[#This Row],[Input]],Table13[[#This Row],[Direction]],""),VALUE(IF(LEN(_xlpm.steps)&gt;2,LEFT(_xlpm.steps,LEN(_xlpm.steps)-2),0)))</f>
        <v>0</v>
      </c>
      <c r="E1641">
        <f>_xlfn.LET(_xlpm.dir,Table13[[#This Row],[Direction]],
IF(_xlpm.dir="L",
    IF(G1640-Table13[[#This Row],[Steps]]&lt;0,100+(G1640-Table13[[#This Row],[Steps]]),G1640-Table13[[#This Row],[Steps]]),
))</f>
        <v>0</v>
      </c>
      <c r="F1641">
        <f>_xlfn.LET(_xlpm.dir,Table13[[#This Row],[Direction]],
IF(_xlpm.dir="R",
    IF(G1640+Table13[[#This Row],[Steps]]&gt;99,(G1640+Table13[[#This Row],[Steps]])-100,G1640+Table13[[#This Row],[Steps]]),
))</f>
        <v>0</v>
      </c>
      <c r="G1641">
        <f>IF(Table13[[#This Row],[New Pos L]]&lt;&gt;0,Table13[[#This Row],[New Pos L]],Table13[[#This Row],[New Pos R]])</f>
        <v>0</v>
      </c>
      <c r="H1641">
        <f>IF(AND(Table13[[#This Row],[Direction]]="L",Table13[[#This Row],[Steps]]&gt;G1640,G1640&lt;&gt;0),1,0)</f>
        <v>0</v>
      </c>
      <c r="I1641">
        <f>IF(AND(Table13[[#This Row],[Direction]]="R",(G1640+Table13[[#This Row],[Steps]])&gt;100),1,0)</f>
        <v>0</v>
      </c>
      <c r="J1641">
        <f>IF(Table13[[#This Row],[POS]]=0,1,0)</f>
        <v>1</v>
      </c>
      <c r="K1641">
        <f>SUM(Table13[[#This Row],[prefix]],Table13[[#This Row],[Past zero L]],Table13[[#This Row],[Past Zero R]],Table13[[#This Row],[Is Zero]])</f>
        <v>1</v>
      </c>
    </row>
    <row r="1642" spans="1:11" ht="16" x14ac:dyDescent="0.2">
      <c r="A1642" s="1" t="s">
        <v>476</v>
      </c>
      <c r="B1642" t="str">
        <f>LEFT(Table13[[#This Row],[Input]],1)</f>
        <v>L</v>
      </c>
      <c r="C1642">
        <f>_xlfn.LET(_xlpm.steps,SUBSTITUTE(Table13[[#This Row],[Input]],Table13[[#This Row],[Direction]],""),VALUE(IF(LEN(_xlpm.steps)&gt;2,RIGHT(_xlpm.steps,2),_xlpm.steps)))</f>
        <v>54</v>
      </c>
      <c r="D1642">
        <f>_xlfn.LET(_xlpm.steps,SUBSTITUTE(Table13[[#This Row],[Input]],Table13[[#This Row],[Direction]],""),VALUE(IF(LEN(_xlpm.steps)&gt;2,LEFT(_xlpm.steps,LEN(_xlpm.steps)-2),0)))</f>
        <v>5</v>
      </c>
      <c r="E1642">
        <f>_xlfn.LET(_xlpm.dir,Table13[[#This Row],[Direction]],
IF(_xlpm.dir="L",
    IF(G1641-Table13[[#This Row],[Steps]]&lt;0,100+(G1641-Table13[[#This Row],[Steps]]),G1641-Table13[[#This Row],[Steps]]),
))</f>
        <v>46</v>
      </c>
      <c r="F1642">
        <f>_xlfn.LET(_xlpm.dir,Table13[[#This Row],[Direction]],
IF(_xlpm.dir="R",
    IF(G1641+Table13[[#This Row],[Steps]]&gt;99,(G1641+Table13[[#This Row],[Steps]])-100,G1641+Table13[[#This Row],[Steps]]),
))</f>
        <v>0</v>
      </c>
      <c r="G1642">
        <f>IF(Table13[[#This Row],[New Pos L]]&lt;&gt;0,Table13[[#This Row],[New Pos L]],Table13[[#This Row],[New Pos R]])</f>
        <v>46</v>
      </c>
      <c r="H1642">
        <f>IF(AND(Table13[[#This Row],[Direction]]="L",Table13[[#This Row],[Steps]]&gt;G1641,G1641&lt;&gt;0),1,0)</f>
        <v>0</v>
      </c>
      <c r="I1642">
        <f>IF(AND(Table13[[#This Row],[Direction]]="R",(G1641+Table13[[#This Row],[Steps]])&gt;100),1,0)</f>
        <v>0</v>
      </c>
      <c r="J1642">
        <f>IF(Table13[[#This Row],[POS]]=0,1,0)</f>
        <v>0</v>
      </c>
      <c r="K1642">
        <f>SUM(Table13[[#This Row],[prefix]],Table13[[#This Row],[Past zero L]],Table13[[#This Row],[Past Zero R]],Table13[[#This Row],[Is Zero]])</f>
        <v>5</v>
      </c>
    </row>
    <row r="1643" spans="1:11" ht="16" x14ac:dyDescent="0.2">
      <c r="A1643" s="1" t="s">
        <v>58</v>
      </c>
      <c r="B1643" t="str">
        <f>LEFT(Table13[[#This Row],[Input]],1)</f>
        <v>L</v>
      </c>
      <c r="C1643">
        <f>_xlfn.LET(_xlpm.steps,SUBSTITUTE(Table13[[#This Row],[Input]],Table13[[#This Row],[Direction]],""),VALUE(IF(LEN(_xlpm.steps)&gt;2,RIGHT(_xlpm.steps,2),_xlpm.steps)))</f>
        <v>30</v>
      </c>
      <c r="D1643">
        <f>_xlfn.LET(_xlpm.steps,SUBSTITUTE(Table13[[#This Row],[Input]],Table13[[#This Row],[Direction]],""),VALUE(IF(LEN(_xlpm.steps)&gt;2,LEFT(_xlpm.steps,LEN(_xlpm.steps)-2),0)))</f>
        <v>0</v>
      </c>
      <c r="E1643">
        <f>_xlfn.LET(_xlpm.dir,Table13[[#This Row],[Direction]],
IF(_xlpm.dir="L",
    IF(G1642-Table13[[#This Row],[Steps]]&lt;0,100+(G1642-Table13[[#This Row],[Steps]]),G1642-Table13[[#This Row],[Steps]]),
))</f>
        <v>16</v>
      </c>
      <c r="F1643">
        <f>_xlfn.LET(_xlpm.dir,Table13[[#This Row],[Direction]],
IF(_xlpm.dir="R",
    IF(G1642+Table13[[#This Row],[Steps]]&gt;99,(G1642+Table13[[#This Row],[Steps]])-100,G1642+Table13[[#This Row],[Steps]]),
))</f>
        <v>0</v>
      </c>
      <c r="G1643">
        <f>IF(Table13[[#This Row],[New Pos L]]&lt;&gt;0,Table13[[#This Row],[New Pos L]],Table13[[#This Row],[New Pos R]])</f>
        <v>16</v>
      </c>
      <c r="H1643">
        <f>IF(AND(Table13[[#This Row],[Direction]]="L",Table13[[#This Row],[Steps]]&gt;G1642,G1642&lt;&gt;0),1,0)</f>
        <v>0</v>
      </c>
      <c r="I1643">
        <f>IF(AND(Table13[[#This Row],[Direction]]="R",(G1642+Table13[[#This Row],[Steps]])&gt;100),1,0)</f>
        <v>0</v>
      </c>
      <c r="J1643">
        <f>IF(Table13[[#This Row],[POS]]=0,1,0)</f>
        <v>0</v>
      </c>
      <c r="K1643">
        <f>SUM(Table13[[#This Row],[prefix]],Table13[[#This Row],[Past zero L]],Table13[[#This Row],[Past Zero R]],Table13[[#This Row],[Is Zero]])</f>
        <v>0</v>
      </c>
    </row>
    <row r="1644" spans="1:11" ht="16" x14ac:dyDescent="0.2">
      <c r="A1644" s="1" t="s">
        <v>35</v>
      </c>
      <c r="B1644" t="str">
        <f>LEFT(Table13[[#This Row],[Input]],1)</f>
        <v>L</v>
      </c>
      <c r="C1644">
        <f>_xlfn.LET(_xlpm.steps,SUBSTITUTE(Table13[[#This Row],[Input]],Table13[[#This Row],[Direction]],""),VALUE(IF(LEN(_xlpm.steps)&gt;2,RIGHT(_xlpm.steps,2),_xlpm.steps)))</f>
        <v>2</v>
      </c>
      <c r="D1644">
        <f>_xlfn.LET(_xlpm.steps,SUBSTITUTE(Table13[[#This Row],[Input]],Table13[[#This Row],[Direction]],""),VALUE(IF(LEN(_xlpm.steps)&gt;2,LEFT(_xlpm.steps,LEN(_xlpm.steps)-2),0)))</f>
        <v>0</v>
      </c>
      <c r="E1644">
        <f>_xlfn.LET(_xlpm.dir,Table13[[#This Row],[Direction]],
IF(_xlpm.dir="L",
    IF(G1643-Table13[[#This Row],[Steps]]&lt;0,100+(G1643-Table13[[#This Row],[Steps]]),G1643-Table13[[#This Row],[Steps]]),
))</f>
        <v>14</v>
      </c>
      <c r="F1644">
        <f>_xlfn.LET(_xlpm.dir,Table13[[#This Row],[Direction]],
IF(_xlpm.dir="R",
    IF(G1643+Table13[[#This Row],[Steps]]&gt;99,(G1643+Table13[[#This Row],[Steps]])-100,G1643+Table13[[#This Row],[Steps]]),
))</f>
        <v>0</v>
      </c>
      <c r="G1644">
        <f>IF(Table13[[#This Row],[New Pos L]]&lt;&gt;0,Table13[[#This Row],[New Pos L]],Table13[[#This Row],[New Pos R]])</f>
        <v>14</v>
      </c>
      <c r="H1644">
        <f>IF(AND(Table13[[#This Row],[Direction]]="L",Table13[[#This Row],[Steps]]&gt;G1643,G1643&lt;&gt;0),1,0)</f>
        <v>0</v>
      </c>
      <c r="I1644">
        <f>IF(AND(Table13[[#This Row],[Direction]]="R",(G1643+Table13[[#This Row],[Steps]])&gt;100),1,0)</f>
        <v>0</v>
      </c>
      <c r="J1644">
        <f>IF(Table13[[#This Row],[POS]]=0,1,0)</f>
        <v>0</v>
      </c>
      <c r="K1644">
        <f>SUM(Table13[[#This Row],[prefix]],Table13[[#This Row],[Past zero L]],Table13[[#This Row],[Past Zero R]],Table13[[#This Row],[Is Zero]])</f>
        <v>0</v>
      </c>
    </row>
    <row r="1645" spans="1:11" ht="16" x14ac:dyDescent="0.2">
      <c r="A1645" s="1" t="s">
        <v>477</v>
      </c>
      <c r="B1645" t="str">
        <f>LEFT(Table13[[#This Row],[Input]],1)</f>
        <v>L</v>
      </c>
      <c r="C1645">
        <f>_xlfn.LET(_xlpm.steps,SUBSTITUTE(Table13[[#This Row],[Input]],Table13[[#This Row],[Direction]],""),VALUE(IF(LEN(_xlpm.steps)&gt;2,RIGHT(_xlpm.steps,2),_xlpm.steps)))</f>
        <v>71</v>
      </c>
      <c r="D1645">
        <f>_xlfn.LET(_xlpm.steps,SUBSTITUTE(Table13[[#This Row],[Input]],Table13[[#This Row],[Direction]],""),VALUE(IF(LEN(_xlpm.steps)&gt;2,LEFT(_xlpm.steps,LEN(_xlpm.steps)-2),0)))</f>
        <v>9</v>
      </c>
      <c r="E1645">
        <f>_xlfn.LET(_xlpm.dir,Table13[[#This Row],[Direction]],
IF(_xlpm.dir="L",
    IF(G1644-Table13[[#This Row],[Steps]]&lt;0,100+(G1644-Table13[[#This Row],[Steps]]),G1644-Table13[[#This Row],[Steps]]),
))</f>
        <v>43</v>
      </c>
      <c r="F1645">
        <f>_xlfn.LET(_xlpm.dir,Table13[[#This Row],[Direction]],
IF(_xlpm.dir="R",
    IF(G1644+Table13[[#This Row],[Steps]]&gt;99,(G1644+Table13[[#This Row],[Steps]])-100,G1644+Table13[[#This Row],[Steps]]),
))</f>
        <v>0</v>
      </c>
      <c r="G1645">
        <f>IF(Table13[[#This Row],[New Pos L]]&lt;&gt;0,Table13[[#This Row],[New Pos L]],Table13[[#This Row],[New Pos R]])</f>
        <v>43</v>
      </c>
      <c r="H1645">
        <f>IF(AND(Table13[[#This Row],[Direction]]="L",Table13[[#This Row],[Steps]]&gt;G1644,G1644&lt;&gt;0),1,0)</f>
        <v>1</v>
      </c>
      <c r="I1645">
        <f>IF(AND(Table13[[#This Row],[Direction]]="R",(G1644+Table13[[#This Row],[Steps]])&gt;100),1,0)</f>
        <v>0</v>
      </c>
      <c r="J1645">
        <f>IF(Table13[[#This Row],[POS]]=0,1,0)</f>
        <v>0</v>
      </c>
      <c r="K1645">
        <f>SUM(Table13[[#This Row],[prefix]],Table13[[#This Row],[Past zero L]],Table13[[#This Row],[Past Zero R]],Table13[[#This Row],[Is Zero]])</f>
        <v>10</v>
      </c>
    </row>
    <row r="1646" spans="1:11" ht="16" x14ac:dyDescent="0.2">
      <c r="A1646" s="1" t="s">
        <v>185</v>
      </c>
      <c r="B1646" t="str">
        <f>LEFT(Table13[[#This Row],[Input]],1)</f>
        <v>R</v>
      </c>
      <c r="C1646">
        <f>_xlfn.LET(_xlpm.steps,SUBSTITUTE(Table13[[#This Row],[Input]],Table13[[#This Row],[Direction]],""),VALUE(IF(LEN(_xlpm.steps)&gt;2,RIGHT(_xlpm.steps,2),_xlpm.steps)))</f>
        <v>61</v>
      </c>
      <c r="D1646">
        <f>_xlfn.LET(_xlpm.steps,SUBSTITUTE(Table13[[#This Row],[Input]],Table13[[#This Row],[Direction]],""),VALUE(IF(LEN(_xlpm.steps)&gt;2,LEFT(_xlpm.steps,LEN(_xlpm.steps)-2),0)))</f>
        <v>0</v>
      </c>
      <c r="E1646">
        <f>_xlfn.LET(_xlpm.dir,Table13[[#This Row],[Direction]],
IF(_xlpm.dir="L",
    IF(G1645-Table13[[#This Row],[Steps]]&lt;0,100+(G1645-Table13[[#This Row],[Steps]]),G1645-Table13[[#This Row],[Steps]]),
))</f>
        <v>0</v>
      </c>
      <c r="F1646">
        <f>_xlfn.LET(_xlpm.dir,Table13[[#This Row],[Direction]],
IF(_xlpm.dir="R",
    IF(G1645+Table13[[#This Row],[Steps]]&gt;99,(G1645+Table13[[#This Row],[Steps]])-100,G1645+Table13[[#This Row],[Steps]]),
))</f>
        <v>4</v>
      </c>
      <c r="G1646">
        <f>IF(Table13[[#This Row],[New Pos L]]&lt;&gt;0,Table13[[#This Row],[New Pos L]],Table13[[#This Row],[New Pos R]])</f>
        <v>4</v>
      </c>
      <c r="H1646">
        <f>IF(AND(Table13[[#This Row],[Direction]]="L",Table13[[#This Row],[Steps]]&gt;G1645,G1645&lt;&gt;0),1,0)</f>
        <v>0</v>
      </c>
      <c r="I1646">
        <f>IF(AND(Table13[[#This Row],[Direction]]="R",(G1645+Table13[[#This Row],[Steps]])&gt;100),1,0)</f>
        <v>1</v>
      </c>
      <c r="J1646">
        <f>IF(Table13[[#This Row],[POS]]=0,1,0)</f>
        <v>0</v>
      </c>
      <c r="K1646">
        <f>SUM(Table13[[#This Row],[prefix]],Table13[[#This Row],[Past zero L]],Table13[[#This Row],[Past Zero R]],Table13[[#This Row],[Is Zero]])</f>
        <v>1</v>
      </c>
    </row>
    <row r="1647" spans="1:11" ht="16" x14ac:dyDescent="0.2">
      <c r="A1647" s="1" t="s">
        <v>478</v>
      </c>
      <c r="B1647" t="str">
        <f>LEFT(Table13[[#This Row],[Input]],1)</f>
        <v>R</v>
      </c>
      <c r="C1647">
        <f>_xlfn.LET(_xlpm.steps,SUBSTITUTE(Table13[[#This Row],[Input]],Table13[[#This Row],[Direction]],""),VALUE(IF(LEN(_xlpm.steps)&gt;2,RIGHT(_xlpm.steps,2),_xlpm.steps)))</f>
        <v>80</v>
      </c>
      <c r="D1647">
        <f>_xlfn.LET(_xlpm.steps,SUBSTITUTE(Table13[[#This Row],[Input]],Table13[[#This Row],[Direction]],""),VALUE(IF(LEN(_xlpm.steps)&gt;2,LEFT(_xlpm.steps,LEN(_xlpm.steps)-2),0)))</f>
        <v>7</v>
      </c>
      <c r="E1647">
        <f>_xlfn.LET(_xlpm.dir,Table13[[#This Row],[Direction]],
IF(_xlpm.dir="L",
    IF(G1646-Table13[[#This Row],[Steps]]&lt;0,100+(G1646-Table13[[#This Row],[Steps]]),G1646-Table13[[#This Row],[Steps]]),
))</f>
        <v>0</v>
      </c>
      <c r="F1647">
        <f>_xlfn.LET(_xlpm.dir,Table13[[#This Row],[Direction]],
IF(_xlpm.dir="R",
    IF(G1646+Table13[[#This Row],[Steps]]&gt;99,(G1646+Table13[[#This Row],[Steps]])-100,G1646+Table13[[#This Row],[Steps]]),
))</f>
        <v>84</v>
      </c>
      <c r="G1647">
        <f>IF(Table13[[#This Row],[New Pos L]]&lt;&gt;0,Table13[[#This Row],[New Pos L]],Table13[[#This Row],[New Pos R]])</f>
        <v>84</v>
      </c>
      <c r="H1647">
        <f>IF(AND(Table13[[#This Row],[Direction]]="L",Table13[[#This Row],[Steps]]&gt;G1646,G1646&lt;&gt;0),1,0)</f>
        <v>0</v>
      </c>
      <c r="I1647">
        <f>IF(AND(Table13[[#This Row],[Direction]]="R",(G1646+Table13[[#This Row],[Steps]])&gt;100),1,0)</f>
        <v>0</v>
      </c>
      <c r="J1647">
        <f>IF(Table13[[#This Row],[POS]]=0,1,0)</f>
        <v>0</v>
      </c>
      <c r="K1647">
        <f>SUM(Table13[[#This Row],[prefix]],Table13[[#This Row],[Past zero L]],Table13[[#This Row],[Past Zero R]],Table13[[#This Row],[Is Zero]])</f>
        <v>7</v>
      </c>
    </row>
    <row r="1648" spans="1:11" ht="16" x14ac:dyDescent="0.2">
      <c r="A1648" s="1" t="s">
        <v>264</v>
      </c>
      <c r="B1648" t="str">
        <f>LEFT(Table13[[#This Row],[Input]],1)</f>
        <v>L</v>
      </c>
      <c r="C1648">
        <f>_xlfn.LET(_xlpm.steps,SUBSTITUTE(Table13[[#This Row],[Input]],Table13[[#This Row],[Direction]],""),VALUE(IF(LEN(_xlpm.steps)&gt;2,RIGHT(_xlpm.steps,2),_xlpm.steps)))</f>
        <v>21</v>
      </c>
      <c r="D1648">
        <f>_xlfn.LET(_xlpm.steps,SUBSTITUTE(Table13[[#This Row],[Input]],Table13[[#This Row],[Direction]],""),VALUE(IF(LEN(_xlpm.steps)&gt;2,LEFT(_xlpm.steps,LEN(_xlpm.steps)-2),0)))</f>
        <v>0</v>
      </c>
      <c r="E1648">
        <f>_xlfn.LET(_xlpm.dir,Table13[[#This Row],[Direction]],
IF(_xlpm.dir="L",
    IF(G1647-Table13[[#This Row],[Steps]]&lt;0,100+(G1647-Table13[[#This Row],[Steps]]),G1647-Table13[[#This Row],[Steps]]),
))</f>
        <v>63</v>
      </c>
      <c r="F1648">
        <f>_xlfn.LET(_xlpm.dir,Table13[[#This Row],[Direction]],
IF(_xlpm.dir="R",
    IF(G1647+Table13[[#This Row],[Steps]]&gt;99,(G1647+Table13[[#This Row],[Steps]])-100,G1647+Table13[[#This Row],[Steps]]),
))</f>
        <v>0</v>
      </c>
      <c r="G1648">
        <f>IF(Table13[[#This Row],[New Pos L]]&lt;&gt;0,Table13[[#This Row],[New Pos L]],Table13[[#This Row],[New Pos R]])</f>
        <v>63</v>
      </c>
      <c r="H1648">
        <f>IF(AND(Table13[[#This Row],[Direction]]="L",Table13[[#This Row],[Steps]]&gt;G1647,G1647&lt;&gt;0),1,0)</f>
        <v>0</v>
      </c>
      <c r="I1648">
        <f>IF(AND(Table13[[#This Row],[Direction]]="R",(G1647+Table13[[#This Row],[Steps]])&gt;100),1,0)</f>
        <v>0</v>
      </c>
      <c r="J1648">
        <f>IF(Table13[[#This Row],[POS]]=0,1,0)</f>
        <v>0</v>
      </c>
      <c r="K1648">
        <f>SUM(Table13[[#This Row],[prefix]],Table13[[#This Row],[Past zero L]],Table13[[#This Row],[Past Zero R]],Table13[[#This Row],[Is Zero]])</f>
        <v>0</v>
      </c>
    </row>
    <row r="1649" spans="1:11" ht="16" x14ac:dyDescent="0.2">
      <c r="A1649" s="1" t="s">
        <v>123</v>
      </c>
      <c r="B1649" t="str">
        <f>LEFT(Table13[[#This Row],[Input]],1)</f>
        <v>L</v>
      </c>
      <c r="C1649">
        <f>_xlfn.LET(_xlpm.steps,SUBSTITUTE(Table13[[#This Row],[Input]],Table13[[#This Row],[Direction]],""),VALUE(IF(LEN(_xlpm.steps)&gt;2,RIGHT(_xlpm.steps,2),_xlpm.steps)))</f>
        <v>63</v>
      </c>
      <c r="D1649">
        <f>_xlfn.LET(_xlpm.steps,SUBSTITUTE(Table13[[#This Row],[Input]],Table13[[#This Row],[Direction]],""),VALUE(IF(LEN(_xlpm.steps)&gt;2,LEFT(_xlpm.steps,LEN(_xlpm.steps)-2),0)))</f>
        <v>0</v>
      </c>
      <c r="E1649">
        <f>_xlfn.LET(_xlpm.dir,Table13[[#This Row],[Direction]],
IF(_xlpm.dir="L",
    IF(G1648-Table13[[#This Row],[Steps]]&lt;0,100+(G1648-Table13[[#This Row],[Steps]]),G1648-Table13[[#This Row],[Steps]]),
))</f>
        <v>0</v>
      </c>
      <c r="F1649">
        <f>_xlfn.LET(_xlpm.dir,Table13[[#This Row],[Direction]],
IF(_xlpm.dir="R",
    IF(G1648+Table13[[#This Row],[Steps]]&gt;99,(G1648+Table13[[#This Row],[Steps]])-100,G1648+Table13[[#This Row],[Steps]]),
))</f>
        <v>0</v>
      </c>
      <c r="G1649">
        <f>IF(Table13[[#This Row],[New Pos L]]&lt;&gt;0,Table13[[#This Row],[New Pos L]],Table13[[#This Row],[New Pos R]])</f>
        <v>0</v>
      </c>
      <c r="H1649">
        <f>IF(AND(Table13[[#This Row],[Direction]]="L",Table13[[#This Row],[Steps]]&gt;G1648,G1648&lt;&gt;0),1,0)</f>
        <v>0</v>
      </c>
      <c r="I1649">
        <f>IF(AND(Table13[[#This Row],[Direction]]="R",(G1648+Table13[[#This Row],[Steps]])&gt;100),1,0)</f>
        <v>0</v>
      </c>
      <c r="J1649">
        <f>IF(Table13[[#This Row],[POS]]=0,1,0)</f>
        <v>1</v>
      </c>
      <c r="K1649">
        <f>SUM(Table13[[#This Row],[prefix]],Table13[[#This Row],[Past zero L]],Table13[[#This Row],[Past Zero R]],Table13[[#This Row],[Is Zero]])</f>
        <v>1</v>
      </c>
    </row>
    <row r="1650" spans="1:11" ht="16" x14ac:dyDescent="0.2">
      <c r="A1650" s="1" t="s">
        <v>110</v>
      </c>
      <c r="B1650" t="str">
        <f>LEFT(Table13[[#This Row],[Input]],1)</f>
        <v>L</v>
      </c>
      <c r="C1650">
        <f>_xlfn.LET(_xlpm.steps,SUBSTITUTE(Table13[[#This Row],[Input]],Table13[[#This Row],[Direction]],""),VALUE(IF(LEN(_xlpm.steps)&gt;2,RIGHT(_xlpm.steps,2),_xlpm.steps)))</f>
        <v>81</v>
      </c>
      <c r="D1650">
        <f>_xlfn.LET(_xlpm.steps,SUBSTITUTE(Table13[[#This Row],[Input]],Table13[[#This Row],[Direction]],""),VALUE(IF(LEN(_xlpm.steps)&gt;2,LEFT(_xlpm.steps,LEN(_xlpm.steps)-2),0)))</f>
        <v>0</v>
      </c>
      <c r="E1650">
        <f>_xlfn.LET(_xlpm.dir,Table13[[#This Row],[Direction]],
IF(_xlpm.dir="L",
    IF(G1649-Table13[[#This Row],[Steps]]&lt;0,100+(G1649-Table13[[#This Row],[Steps]]),G1649-Table13[[#This Row],[Steps]]),
))</f>
        <v>19</v>
      </c>
      <c r="F1650">
        <f>_xlfn.LET(_xlpm.dir,Table13[[#This Row],[Direction]],
IF(_xlpm.dir="R",
    IF(G1649+Table13[[#This Row],[Steps]]&gt;99,(G1649+Table13[[#This Row],[Steps]])-100,G1649+Table13[[#This Row],[Steps]]),
))</f>
        <v>0</v>
      </c>
      <c r="G1650">
        <f>IF(Table13[[#This Row],[New Pos L]]&lt;&gt;0,Table13[[#This Row],[New Pos L]],Table13[[#This Row],[New Pos R]])</f>
        <v>19</v>
      </c>
      <c r="H1650">
        <f>IF(AND(Table13[[#This Row],[Direction]]="L",Table13[[#This Row],[Steps]]&gt;G1649,G1649&lt;&gt;0),1,0)</f>
        <v>0</v>
      </c>
      <c r="I1650">
        <f>IF(AND(Table13[[#This Row],[Direction]]="R",(G1649+Table13[[#This Row],[Steps]])&gt;100),1,0)</f>
        <v>0</v>
      </c>
      <c r="J1650">
        <f>IF(Table13[[#This Row],[POS]]=0,1,0)</f>
        <v>0</v>
      </c>
      <c r="K1650">
        <f>SUM(Table13[[#This Row],[prefix]],Table13[[#This Row],[Past zero L]],Table13[[#This Row],[Past Zero R]],Table13[[#This Row],[Is Zero]])</f>
        <v>0</v>
      </c>
    </row>
    <row r="1651" spans="1:11" ht="16" x14ac:dyDescent="0.2">
      <c r="A1651" s="1" t="s">
        <v>479</v>
      </c>
      <c r="B1651" t="str">
        <f>LEFT(Table13[[#This Row],[Input]],1)</f>
        <v>L</v>
      </c>
      <c r="C1651">
        <f>_xlfn.LET(_xlpm.steps,SUBSTITUTE(Table13[[#This Row],[Input]],Table13[[#This Row],[Direction]],""),VALUE(IF(LEN(_xlpm.steps)&gt;2,RIGHT(_xlpm.steps,2),_xlpm.steps)))</f>
        <v>95</v>
      </c>
      <c r="D1651">
        <f>_xlfn.LET(_xlpm.steps,SUBSTITUTE(Table13[[#This Row],[Input]],Table13[[#This Row],[Direction]],""),VALUE(IF(LEN(_xlpm.steps)&gt;2,LEFT(_xlpm.steps,LEN(_xlpm.steps)-2),0)))</f>
        <v>3</v>
      </c>
      <c r="E1651">
        <f>_xlfn.LET(_xlpm.dir,Table13[[#This Row],[Direction]],
IF(_xlpm.dir="L",
    IF(G1650-Table13[[#This Row],[Steps]]&lt;0,100+(G1650-Table13[[#This Row],[Steps]]),G1650-Table13[[#This Row],[Steps]]),
))</f>
        <v>24</v>
      </c>
      <c r="F1651">
        <f>_xlfn.LET(_xlpm.dir,Table13[[#This Row],[Direction]],
IF(_xlpm.dir="R",
    IF(G1650+Table13[[#This Row],[Steps]]&gt;99,(G1650+Table13[[#This Row],[Steps]])-100,G1650+Table13[[#This Row],[Steps]]),
))</f>
        <v>0</v>
      </c>
      <c r="G1651">
        <f>IF(Table13[[#This Row],[New Pos L]]&lt;&gt;0,Table13[[#This Row],[New Pos L]],Table13[[#This Row],[New Pos R]])</f>
        <v>24</v>
      </c>
      <c r="H1651">
        <f>IF(AND(Table13[[#This Row],[Direction]]="L",Table13[[#This Row],[Steps]]&gt;G1650,G1650&lt;&gt;0),1,0)</f>
        <v>1</v>
      </c>
      <c r="I1651">
        <f>IF(AND(Table13[[#This Row],[Direction]]="R",(G1650+Table13[[#This Row],[Steps]])&gt;100),1,0)</f>
        <v>0</v>
      </c>
      <c r="J1651">
        <f>IF(Table13[[#This Row],[POS]]=0,1,0)</f>
        <v>0</v>
      </c>
      <c r="K1651">
        <f>SUM(Table13[[#This Row],[prefix]],Table13[[#This Row],[Past zero L]],Table13[[#This Row],[Past Zero R]],Table13[[#This Row],[Is Zero]])</f>
        <v>4</v>
      </c>
    </row>
    <row r="1652" spans="1:11" ht="16" x14ac:dyDescent="0.2">
      <c r="A1652" s="1" t="s">
        <v>59</v>
      </c>
      <c r="B1652" t="str">
        <f>LEFT(Table13[[#This Row],[Input]],1)</f>
        <v>L</v>
      </c>
      <c r="C1652">
        <f>_xlfn.LET(_xlpm.steps,SUBSTITUTE(Table13[[#This Row],[Input]],Table13[[#This Row],[Direction]],""),VALUE(IF(LEN(_xlpm.steps)&gt;2,RIGHT(_xlpm.steps,2),_xlpm.steps)))</f>
        <v>6</v>
      </c>
      <c r="D1652">
        <f>_xlfn.LET(_xlpm.steps,SUBSTITUTE(Table13[[#This Row],[Input]],Table13[[#This Row],[Direction]],""),VALUE(IF(LEN(_xlpm.steps)&gt;2,LEFT(_xlpm.steps,LEN(_xlpm.steps)-2),0)))</f>
        <v>0</v>
      </c>
      <c r="E1652">
        <f>_xlfn.LET(_xlpm.dir,Table13[[#This Row],[Direction]],
IF(_xlpm.dir="L",
    IF(G1651-Table13[[#This Row],[Steps]]&lt;0,100+(G1651-Table13[[#This Row],[Steps]]),G1651-Table13[[#This Row],[Steps]]),
))</f>
        <v>18</v>
      </c>
      <c r="F1652">
        <f>_xlfn.LET(_xlpm.dir,Table13[[#This Row],[Direction]],
IF(_xlpm.dir="R",
    IF(G1651+Table13[[#This Row],[Steps]]&gt;99,(G1651+Table13[[#This Row],[Steps]])-100,G1651+Table13[[#This Row],[Steps]]),
))</f>
        <v>0</v>
      </c>
      <c r="G1652">
        <f>IF(Table13[[#This Row],[New Pos L]]&lt;&gt;0,Table13[[#This Row],[New Pos L]],Table13[[#This Row],[New Pos R]])</f>
        <v>18</v>
      </c>
      <c r="H1652">
        <f>IF(AND(Table13[[#This Row],[Direction]]="L",Table13[[#This Row],[Steps]]&gt;G1651,G1651&lt;&gt;0),1,0)</f>
        <v>0</v>
      </c>
      <c r="I1652">
        <f>IF(AND(Table13[[#This Row],[Direction]]="R",(G1651+Table13[[#This Row],[Steps]])&gt;100),1,0)</f>
        <v>0</v>
      </c>
      <c r="J1652">
        <f>IF(Table13[[#This Row],[POS]]=0,1,0)</f>
        <v>0</v>
      </c>
      <c r="K1652">
        <f>SUM(Table13[[#This Row],[prefix]],Table13[[#This Row],[Past zero L]],Table13[[#This Row],[Past Zero R]],Table13[[#This Row],[Is Zero]])</f>
        <v>0</v>
      </c>
    </row>
    <row r="1653" spans="1:11" ht="16" x14ac:dyDescent="0.2">
      <c r="A1653" s="1" t="s">
        <v>80</v>
      </c>
      <c r="B1653" t="str">
        <f>LEFT(Table13[[#This Row],[Input]],1)</f>
        <v>L</v>
      </c>
      <c r="C1653">
        <f>_xlfn.LET(_xlpm.steps,SUBSTITUTE(Table13[[#This Row],[Input]],Table13[[#This Row],[Direction]],""),VALUE(IF(LEN(_xlpm.steps)&gt;2,RIGHT(_xlpm.steps,2),_xlpm.steps)))</f>
        <v>48</v>
      </c>
      <c r="D1653">
        <f>_xlfn.LET(_xlpm.steps,SUBSTITUTE(Table13[[#This Row],[Input]],Table13[[#This Row],[Direction]],""),VALUE(IF(LEN(_xlpm.steps)&gt;2,LEFT(_xlpm.steps,LEN(_xlpm.steps)-2),0)))</f>
        <v>0</v>
      </c>
      <c r="E1653">
        <f>_xlfn.LET(_xlpm.dir,Table13[[#This Row],[Direction]],
IF(_xlpm.dir="L",
    IF(G1652-Table13[[#This Row],[Steps]]&lt;0,100+(G1652-Table13[[#This Row],[Steps]]),G1652-Table13[[#This Row],[Steps]]),
))</f>
        <v>70</v>
      </c>
      <c r="F1653">
        <f>_xlfn.LET(_xlpm.dir,Table13[[#This Row],[Direction]],
IF(_xlpm.dir="R",
    IF(G1652+Table13[[#This Row],[Steps]]&gt;99,(G1652+Table13[[#This Row],[Steps]])-100,G1652+Table13[[#This Row],[Steps]]),
))</f>
        <v>0</v>
      </c>
      <c r="G1653">
        <f>IF(Table13[[#This Row],[New Pos L]]&lt;&gt;0,Table13[[#This Row],[New Pos L]],Table13[[#This Row],[New Pos R]])</f>
        <v>70</v>
      </c>
      <c r="H1653">
        <f>IF(AND(Table13[[#This Row],[Direction]]="L",Table13[[#This Row],[Steps]]&gt;G1652,G1652&lt;&gt;0),1,0)</f>
        <v>1</v>
      </c>
      <c r="I1653">
        <f>IF(AND(Table13[[#This Row],[Direction]]="R",(G1652+Table13[[#This Row],[Steps]])&gt;100),1,0)</f>
        <v>0</v>
      </c>
      <c r="J1653">
        <f>IF(Table13[[#This Row],[POS]]=0,1,0)</f>
        <v>0</v>
      </c>
      <c r="K1653">
        <f>SUM(Table13[[#This Row],[prefix]],Table13[[#This Row],[Past zero L]],Table13[[#This Row],[Past Zero R]],Table13[[#This Row],[Is Zero]])</f>
        <v>1</v>
      </c>
    </row>
    <row r="1654" spans="1:11" ht="16" x14ac:dyDescent="0.2">
      <c r="A1654" s="1" t="s">
        <v>7</v>
      </c>
      <c r="B1654" t="str">
        <f>LEFT(Table13[[#This Row],[Input]],1)</f>
        <v>R</v>
      </c>
      <c r="C1654">
        <f>_xlfn.LET(_xlpm.steps,SUBSTITUTE(Table13[[#This Row],[Input]],Table13[[#This Row],[Direction]],""),VALUE(IF(LEN(_xlpm.steps)&gt;2,RIGHT(_xlpm.steps,2),_xlpm.steps)))</f>
        <v>14</v>
      </c>
      <c r="D1654">
        <f>_xlfn.LET(_xlpm.steps,SUBSTITUTE(Table13[[#This Row],[Input]],Table13[[#This Row],[Direction]],""),VALUE(IF(LEN(_xlpm.steps)&gt;2,LEFT(_xlpm.steps,LEN(_xlpm.steps)-2),0)))</f>
        <v>0</v>
      </c>
      <c r="E1654">
        <f>_xlfn.LET(_xlpm.dir,Table13[[#This Row],[Direction]],
IF(_xlpm.dir="L",
    IF(G1653-Table13[[#This Row],[Steps]]&lt;0,100+(G1653-Table13[[#This Row],[Steps]]),G1653-Table13[[#This Row],[Steps]]),
))</f>
        <v>0</v>
      </c>
      <c r="F1654">
        <f>_xlfn.LET(_xlpm.dir,Table13[[#This Row],[Direction]],
IF(_xlpm.dir="R",
    IF(G1653+Table13[[#This Row],[Steps]]&gt;99,(G1653+Table13[[#This Row],[Steps]])-100,G1653+Table13[[#This Row],[Steps]]),
))</f>
        <v>84</v>
      </c>
      <c r="G1654">
        <f>IF(Table13[[#This Row],[New Pos L]]&lt;&gt;0,Table13[[#This Row],[New Pos L]],Table13[[#This Row],[New Pos R]])</f>
        <v>84</v>
      </c>
      <c r="H1654">
        <f>IF(AND(Table13[[#This Row],[Direction]]="L",Table13[[#This Row],[Steps]]&gt;G1653,G1653&lt;&gt;0),1,0)</f>
        <v>0</v>
      </c>
      <c r="I1654">
        <f>IF(AND(Table13[[#This Row],[Direction]]="R",(G1653+Table13[[#This Row],[Steps]])&gt;100),1,0)</f>
        <v>0</v>
      </c>
      <c r="J1654">
        <f>IF(Table13[[#This Row],[POS]]=0,1,0)</f>
        <v>0</v>
      </c>
      <c r="K1654">
        <f>SUM(Table13[[#This Row],[prefix]],Table13[[#This Row],[Past zero L]],Table13[[#This Row],[Past Zero R]],Table13[[#This Row],[Is Zero]])</f>
        <v>0</v>
      </c>
    </row>
    <row r="1655" spans="1:11" ht="16" x14ac:dyDescent="0.2">
      <c r="A1655" s="1" t="s">
        <v>46</v>
      </c>
      <c r="B1655" t="str">
        <f>LEFT(Table13[[#This Row],[Input]],1)</f>
        <v>L</v>
      </c>
      <c r="C1655">
        <f>_xlfn.LET(_xlpm.steps,SUBSTITUTE(Table13[[#This Row],[Input]],Table13[[#This Row],[Direction]],""),VALUE(IF(LEN(_xlpm.steps)&gt;2,RIGHT(_xlpm.steps,2),_xlpm.steps)))</f>
        <v>97</v>
      </c>
      <c r="D1655">
        <f>_xlfn.LET(_xlpm.steps,SUBSTITUTE(Table13[[#This Row],[Input]],Table13[[#This Row],[Direction]],""),VALUE(IF(LEN(_xlpm.steps)&gt;2,LEFT(_xlpm.steps,LEN(_xlpm.steps)-2),0)))</f>
        <v>0</v>
      </c>
      <c r="E1655">
        <f>_xlfn.LET(_xlpm.dir,Table13[[#This Row],[Direction]],
IF(_xlpm.dir="L",
    IF(G1654-Table13[[#This Row],[Steps]]&lt;0,100+(G1654-Table13[[#This Row],[Steps]]),G1654-Table13[[#This Row],[Steps]]),
))</f>
        <v>87</v>
      </c>
      <c r="F1655">
        <f>_xlfn.LET(_xlpm.dir,Table13[[#This Row],[Direction]],
IF(_xlpm.dir="R",
    IF(G1654+Table13[[#This Row],[Steps]]&gt;99,(G1654+Table13[[#This Row],[Steps]])-100,G1654+Table13[[#This Row],[Steps]]),
))</f>
        <v>0</v>
      </c>
      <c r="G1655">
        <f>IF(Table13[[#This Row],[New Pos L]]&lt;&gt;0,Table13[[#This Row],[New Pos L]],Table13[[#This Row],[New Pos R]])</f>
        <v>87</v>
      </c>
      <c r="H1655">
        <f>IF(AND(Table13[[#This Row],[Direction]]="L",Table13[[#This Row],[Steps]]&gt;G1654,G1654&lt;&gt;0),1,0)</f>
        <v>1</v>
      </c>
      <c r="I1655">
        <f>IF(AND(Table13[[#This Row],[Direction]]="R",(G1654+Table13[[#This Row],[Steps]])&gt;100),1,0)</f>
        <v>0</v>
      </c>
      <c r="J1655">
        <f>IF(Table13[[#This Row],[POS]]=0,1,0)</f>
        <v>0</v>
      </c>
      <c r="K1655">
        <f>SUM(Table13[[#This Row],[prefix]],Table13[[#This Row],[Past zero L]],Table13[[#This Row],[Past Zero R]],Table13[[#This Row],[Is Zero]])</f>
        <v>1</v>
      </c>
    </row>
    <row r="1656" spans="1:11" ht="16" x14ac:dyDescent="0.2">
      <c r="A1656" s="1" t="s">
        <v>187</v>
      </c>
      <c r="B1656" t="str">
        <f>LEFT(Table13[[#This Row],[Input]],1)</f>
        <v>R</v>
      </c>
      <c r="C1656">
        <f>_xlfn.LET(_xlpm.steps,SUBSTITUTE(Table13[[#This Row],[Input]],Table13[[#This Row],[Direction]],""),VALUE(IF(LEN(_xlpm.steps)&gt;2,RIGHT(_xlpm.steps,2),_xlpm.steps)))</f>
        <v>20</v>
      </c>
      <c r="D1656">
        <f>_xlfn.LET(_xlpm.steps,SUBSTITUTE(Table13[[#This Row],[Input]],Table13[[#This Row],[Direction]],""),VALUE(IF(LEN(_xlpm.steps)&gt;2,LEFT(_xlpm.steps,LEN(_xlpm.steps)-2),0)))</f>
        <v>0</v>
      </c>
      <c r="E1656">
        <f>_xlfn.LET(_xlpm.dir,Table13[[#This Row],[Direction]],
IF(_xlpm.dir="L",
    IF(G1655-Table13[[#This Row],[Steps]]&lt;0,100+(G1655-Table13[[#This Row],[Steps]]),G1655-Table13[[#This Row],[Steps]]),
))</f>
        <v>0</v>
      </c>
      <c r="F1656">
        <f>_xlfn.LET(_xlpm.dir,Table13[[#This Row],[Direction]],
IF(_xlpm.dir="R",
    IF(G1655+Table13[[#This Row],[Steps]]&gt;99,(G1655+Table13[[#This Row],[Steps]])-100,G1655+Table13[[#This Row],[Steps]]),
))</f>
        <v>7</v>
      </c>
      <c r="G1656">
        <f>IF(Table13[[#This Row],[New Pos L]]&lt;&gt;0,Table13[[#This Row],[New Pos L]],Table13[[#This Row],[New Pos R]])</f>
        <v>7</v>
      </c>
      <c r="H1656">
        <f>IF(AND(Table13[[#This Row],[Direction]]="L",Table13[[#This Row],[Steps]]&gt;G1655,G1655&lt;&gt;0),1,0)</f>
        <v>0</v>
      </c>
      <c r="I1656">
        <f>IF(AND(Table13[[#This Row],[Direction]]="R",(G1655+Table13[[#This Row],[Steps]])&gt;100),1,0)</f>
        <v>1</v>
      </c>
      <c r="J1656">
        <f>IF(Table13[[#This Row],[POS]]=0,1,0)</f>
        <v>0</v>
      </c>
      <c r="K1656">
        <f>SUM(Table13[[#This Row],[prefix]],Table13[[#This Row],[Past zero L]],Table13[[#This Row],[Past Zero R]],Table13[[#This Row],[Is Zero]])</f>
        <v>1</v>
      </c>
    </row>
    <row r="1657" spans="1:11" ht="16" x14ac:dyDescent="0.2">
      <c r="A1657" s="1" t="s">
        <v>74</v>
      </c>
      <c r="B1657" t="str">
        <f>LEFT(Table13[[#This Row],[Input]],1)</f>
        <v>R</v>
      </c>
      <c r="C1657">
        <f>_xlfn.LET(_xlpm.steps,SUBSTITUTE(Table13[[#This Row],[Input]],Table13[[#This Row],[Direction]],""),VALUE(IF(LEN(_xlpm.steps)&gt;2,RIGHT(_xlpm.steps,2),_xlpm.steps)))</f>
        <v>93</v>
      </c>
      <c r="D1657">
        <f>_xlfn.LET(_xlpm.steps,SUBSTITUTE(Table13[[#This Row],[Input]],Table13[[#This Row],[Direction]],""),VALUE(IF(LEN(_xlpm.steps)&gt;2,LEFT(_xlpm.steps,LEN(_xlpm.steps)-2),0)))</f>
        <v>0</v>
      </c>
      <c r="E1657">
        <f>_xlfn.LET(_xlpm.dir,Table13[[#This Row],[Direction]],
IF(_xlpm.dir="L",
    IF(G1656-Table13[[#This Row],[Steps]]&lt;0,100+(G1656-Table13[[#This Row],[Steps]]),G1656-Table13[[#This Row],[Steps]]),
))</f>
        <v>0</v>
      </c>
      <c r="F1657">
        <f>_xlfn.LET(_xlpm.dir,Table13[[#This Row],[Direction]],
IF(_xlpm.dir="R",
    IF(G1656+Table13[[#This Row],[Steps]]&gt;99,(G1656+Table13[[#This Row],[Steps]])-100,G1656+Table13[[#This Row],[Steps]]),
))</f>
        <v>0</v>
      </c>
      <c r="G1657">
        <f>IF(Table13[[#This Row],[New Pos L]]&lt;&gt;0,Table13[[#This Row],[New Pos L]],Table13[[#This Row],[New Pos R]])</f>
        <v>0</v>
      </c>
      <c r="H1657">
        <f>IF(AND(Table13[[#This Row],[Direction]]="L",Table13[[#This Row],[Steps]]&gt;G1656,G1656&lt;&gt;0),1,0)</f>
        <v>0</v>
      </c>
      <c r="I1657">
        <f>IF(AND(Table13[[#This Row],[Direction]]="R",(G1656+Table13[[#This Row],[Steps]])&gt;100),1,0)</f>
        <v>0</v>
      </c>
      <c r="J1657">
        <f>IF(Table13[[#This Row],[POS]]=0,1,0)</f>
        <v>1</v>
      </c>
      <c r="K1657">
        <f>SUM(Table13[[#This Row],[prefix]],Table13[[#This Row],[Past zero L]],Table13[[#This Row],[Past Zero R]],Table13[[#This Row],[Is Zero]])</f>
        <v>1</v>
      </c>
    </row>
    <row r="1658" spans="1:11" ht="16" x14ac:dyDescent="0.2">
      <c r="A1658" s="1" t="s">
        <v>165</v>
      </c>
      <c r="B1658" t="str">
        <f>LEFT(Table13[[#This Row],[Input]],1)</f>
        <v>R</v>
      </c>
      <c r="C1658">
        <f>_xlfn.LET(_xlpm.steps,SUBSTITUTE(Table13[[#This Row],[Input]],Table13[[#This Row],[Direction]],""),VALUE(IF(LEN(_xlpm.steps)&gt;2,RIGHT(_xlpm.steps,2),_xlpm.steps)))</f>
        <v>55</v>
      </c>
      <c r="D1658">
        <f>_xlfn.LET(_xlpm.steps,SUBSTITUTE(Table13[[#This Row],[Input]],Table13[[#This Row],[Direction]],""),VALUE(IF(LEN(_xlpm.steps)&gt;2,LEFT(_xlpm.steps,LEN(_xlpm.steps)-2),0)))</f>
        <v>0</v>
      </c>
      <c r="E1658">
        <f>_xlfn.LET(_xlpm.dir,Table13[[#This Row],[Direction]],
IF(_xlpm.dir="L",
    IF(G1657-Table13[[#This Row],[Steps]]&lt;0,100+(G1657-Table13[[#This Row],[Steps]]),G1657-Table13[[#This Row],[Steps]]),
))</f>
        <v>0</v>
      </c>
      <c r="F1658">
        <f>_xlfn.LET(_xlpm.dir,Table13[[#This Row],[Direction]],
IF(_xlpm.dir="R",
    IF(G1657+Table13[[#This Row],[Steps]]&gt;99,(G1657+Table13[[#This Row],[Steps]])-100,G1657+Table13[[#This Row],[Steps]]),
))</f>
        <v>55</v>
      </c>
      <c r="G1658">
        <f>IF(Table13[[#This Row],[New Pos L]]&lt;&gt;0,Table13[[#This Row],[New Pos L]],Table13[[#This Row],[New Pos R]])</f>
        <v>55</v>
      </c>
      <c r="H1658">
        <f>IF(AND(Table13[[#This Row],[Direction]]="L",Table13[[#This Row],[Steps]]&gt;G1657,G1657&lt;&gt;0),1,0)</f>
        <v>0</v>
      </c>
      <c r="I1658">
        <f>IF(AND(Table13[[#This Row],[Direction]]="R",(G1657+Table13[[#This Row],[Steps]])&gt;100),1,0)</f>
        <v>0</v>
      </c>
      <c r="J1658">
        <f>IF(Table13[[#This Row],[POS]]=0,1,0)</f>
        <v>0</v>
      </c>
      <c r="K1658">
        <f>SUM(Table13[[#This Row],[prefix]],Table13[[#This Row],[Past zero L]],Table13[[#This Row],[Past Zero R]],Table13[[#This Row],[Is Zero]])</f>
        <v>0</v>
      </c>
    </row>
    <row r="1659" spans="1:11" ht="16" x14ac:dyDescent="0.2">
      <c r="A1659" s="1" t="s">
        <v>480</v>
      </c>
      <c r="B1659" t="str">
        <f>LEFT(Table13[[#This Row],[Input]],1)</f>
        <v>R</v>
      </c>
      <c r="C1659">
        <f>_xlfn.LET(_xlpm.steps,SUBSTITUTE(Table13[[#This Row],[Input]],Table13[[#This Row],[Direction]],""),VALUE(IF(LEN(_xlpm.steps)&gt;2,RIGHT(_xlpm.steps,2),_xlpm.steps)))</f>
        <v>30</v>
      </c>
      <c r="D1659">
        <f>_xlfn.LET(_xlpm.steps,SUBSTITUTE(Table13[[#This Row],[Input]],Table13[[#This Row],[Direction]],""),VALUE(IF(LEN(_xlpm.steps)&gt;2,LEFT(_xlpm.steps,LEN(_xlpm.steps)-2),0)))</f>
        <v>6</v>
      </c>
      <c r="E1659">
        <f>_xlfn.LET(_xlpm.dir,Table13[[#This Row],[Direction]],
IF(_xlpm.dir="L",
    IF(G1658-Table13[[#This Row],[Steps]]&lt;0,100+(G1658-Table13[[#This Row],[Steps]]),G1658-Table13[[#This Row],[Steps]]),
))</f>
        <v>0</v>
      </c>
      <c r="F1659">
        <f>_xlfn.LET(_xlpm.dir,Table13[[#This Row],[Direction]],
IF(_xlpm.dir="R",
    IF(G1658+Table13[[#This Row],[Steps]]&gt;99,(G1658+Table13[[#This Row],[Steps]])-100,G1658+Table13[[#This Row],[Steps]]),
))</f>
        <v>85</v>
      </c>
      <c r="G1659">
        <f>IF(Table13[[#This Row],[New Pos L]]&lt;&gt;0,Table13[[#This Row],[New Pos L]],Table13[[#This Row],[New Pos R]])</f>
        <v>85</v>
      </c>
      <c r="H1659">
        <f>IF(AND(Table13[[#This Row],[Direction]]="L",Table13[[#This Row],[Steps]]&gt;G1658,G1658&lt;&gt;0),1,0)</f>
        <v>0</v>
      </c>
      <c r="I1659">
        <f>IF(AND(Table13[[#This Row],[Direction]]="R",(G1658+Table13[[#This Row],[Steps]])&gt;100),1,0)</f>
        <v>0</v>
      </c>
      <c r="J1659">
        <f>IF(Table13[[#This Row],[POS]]=0,1,0)</f>
        <v>0</v>
      </c>
      <c r="K1659">
        <f>SUM(Table13[[#This Row],[prefix]],Table13[[#This Row],[Past zero L]],Table13[[#This Row],[Past Zero R]],Table13[[#This Row],[Is Zero]])</f>
        <v>6</v>
      </c>
    </row>
    <row r="1660" spans="1:11" ht="16" x14ac:dyDescent="0.2">
      <c r="A1660" s="1" t="s">
        <v>364</v>
      </c>
      <c r="B1660" t="str">
        <f>LEFT(Table13[[#This Row],[Input]],1)</f>
        <v>L</v>
      </c>
      <c r="C1660">
        <f>_xlfn.LET(_xlpm.steps,SUBSTITUTE(Table13[[#This Row],[Input]],Table13[[#This Row],[Direction]],""),VALUE(IF(LEN(_xlpm.steps)&gt;2,RIGHT(_xlpm.steps,2),_xlpm.steps)))</f>
        <v>70</v>
      </c>
      <c r="D1660">
        <f>_xlfn.LET(_xlpm.steps,SUBSTITUTE(Table13[[#This Row],[Input]],Table13[[#This Row],[Direction]],""),VALUE(IF(LEN(_xlpm.steps)&gt;2,LEFT(_xlpm.steps,LEN(_xlpm.steps)-2),0)))</f>
        <v>0</v>
      </c>
      <c r="E1660">
        <f>_xlfn.LET(_xlpm.dir,Table13[[#This Row],[Direction]],
IF(_xlpm.dir="L",
    IF(G1659-Table13[[#This Row],[Steps]]&lt;0,100+(G1659-Table13[[#This Row],[Steps]]),G1659-Table13[[#This Row],[Steps]]),
))</f>
        <v>15</v>
      </c>
      <c r="F1660">
        <f>_xlfn.LET(_xlpm.dir,Table13[[#This Row],[Direction]],
IF(_xlpm.dir="R",
    IF(G1659+Table13[[#This Row],[Steps]]&gt;99,(G1659+Table13[[#This Row],[Steps]])-100,G1659+Table13[[#This Row],[Steps]]),
))</f>
        <v>0</v>
      </c>
      <c r="G1660">
        <f>IF(Table13[[#This Row],[New Pos L]]&lt;&gt;0,Table13[[#This Row],[New Pos L]],Table13[[#This Row],[New Pos R]])</f>
        <v>15</v>
      </c>
      <c r="H1660">
        <f>IF(AND(Table13[[#This Row],[Direction]]="L",Table13[[#This Row],[Steps]]&gt;G1659,G1659&lt;&gt;0),1,0)</f>
        <v>0</v>
      </c>
      <c r="I1660">
        <f>IF(AND(Table13[[#This Row],[Direction]]="R",(G1659+Table13[[#This Row],[Steps]])&gt;100),1,0)</f>
        <v>0</v>
      </c>
      <c r="J1660">
        <f>IF(Table13[[#This Row],[POS]]=0,1,0)</f>
        <v>0</v>
      </c>
      <c r="K1660">
        <f>SUM(Table13[[#This Row],[prefix]],Table13[[#This Row],[Past zero L]],Table13[[#This Row],[Past Zero R]],Table13[[#This Row],[Is Zero]])</f>
        <v>0</v>
      </c>
    </row>
    <row r="1661" spans="1:11" ht="16" x14ac:dyDescent="0.2">
      <c r="A1661" s="1" t="s">
        <v>353</v>
      </c>
      <c r="B1661" t="str">
        <f>LEFT(Table13[[#This Row],[Input]],1)</f>
        <v>R</v>
      </c>
      <c r="C1661">
        <f>_xlfn.LET(_xlpm.steps,SUBSTITUTE(Table13[[#This Row],[Input]],Table13[[#This Row],[Direction]],""),VALUE(IF(LEN(_xlpm.steps)&gt;2,RIGHT(_xlpm.steps,2),_xlpm.steps)))</f>
        <v>7</v>
      </c>
      <c r="D1661">
        <f>_xlfn.LET(_xlpm.steps,SUBSTITUTE(Table13[[#This Row],[Input]],Table13[[#This Row],[Direction]],""),VALUE(IF(LEN(_xlpm.steps)&gt;2,LEFT(_xlpm.steps,LEN(_xlpm.steps)-2),0)))</f>
        <v>0</v>
      </c>
      <c r="E1661">
        <f>_xlfn.LET(_xlpm.dir,Table13[[#This Row],[Direction]],
IF(_xlpm.dir="L",
    IF(G1660-Table13[[#This Row],[Steps]]&lt;0,100+(G1660-Table13[[#This Row],[Steps]]),G1660-Table13[[#This Row],[Steps]]),
))</f>
        <v>0</v>
      </c>
      <c r="F1661">
        <f>_xlfn.LET(_xlpm.dir,Table13[[#This Row],[Direction]],
IF(_xlpm.dir="R",
    IF(G1660+Table13[[#This Row],[Steps]]&gt;99,(G1660+Table13[[#This Row],[Steps]])-100,G1660+Table13[[#This Row],[Steps]]),
))</f>
        <v>22</v>
      </c>
      <c r="G1661">
        <f>IF(Table13[[#This Row],[New Pos L]]&lt;&gt;0,Table13[[#This Row],[New Pos L]],Table13[[#This Row],[New Pos R]])</f>
        <v>22</v>
      </c>
      <c r="H1661">
        <f>IF(AND(Table13[[#This Row],[Direction]]="L",Table13[[#This Row],[Steps]]&gt;G1660,G1660&lt;&gt;0),1,0)</f>
        <v>0</v>
      </c>
      <c r="I1661">
        <f>IF(AND(Table13[[#This Row],[Direction]]="R",(G1660+Table13[[#This Row],[Steps]])&gt;100),1,0)</f>
        <v>0</v>
      </c>
      <c r="J1661">
        <f>IF(Table13[[#This Row],[POS]]=0,1,0)</f>
        <v>0</v>
      </c>
      <c r="K1661">
        <f>SUM(Table13[[#This Row],[prefix]],Table13[[#This Row],[Past zero L]],Table13[[#This Row],[Past Zero R]],Table13[[#This Row],[Is Zero]])</f>
        <v>0</v>
      </c>
    </row>
    <row r="1662" spans="1:11" ht="16" x14ac:dyDescent="0.2">
      <c r="A1662" s="1" t="s">
        <v>91</v>
      </c>
      <c r="B1662" t="str">
        <f>LEFT(Table13[[#This Row],[Input]],1)</f>
        <v>L</v>
      </c>
      <c r="C1662">
        <f>_xlfn.LET(_xlpm.steps,SUBSTITUTE(Table13[[#This Row],[Input]],Table13[[#This Row],[Direction]],""),VALUE(IF(LEN(_xlpm.steps)&gt;2,RIGHT(_xlpm.steps,2),_xlpm.steps)))</f>
        <v>22</v>
      </c>
      <c r="D1662">
        <f>_xlfn.LET(_xlpm.steps,SUBSTITUTE(Table13[[#This Row],[Input]],Table13[[#This Row],[Direction]],""),VALUE(IF(LEN(_xlpm.steps)&gt;2,LEFT(_xlpm.steps,LEN(_xlpm.steps)-2),0)))</f>
        <v>0</v>
      </c>
      <c r="E1662">
        <f>_xlfn.LET(_xlpm.dir,Table13[[#This Row],[Direction]],
IF(_xlpm.dir="L",
    IF(G1661-Table13[[#This Row],[Steps]]&lt;0,100+(G1661-Table13[[#This Row],[Steps]]),G1661-Table13[[#This Row],[Steps]]),
))</f>
        <v>0</v>
      </c>
      <c r="F1662">
        <f>_xlfn.LET(_xlpm.dir,Table13[[#This Row],[Direction]],
IF(_xlpm.dir="R",
    IF(G1661+Table13[[#This Row],[Steps]]&gt;99,(G1661+Table13[[#This Row],[Steps]])-100,G1661+Table13[[#This Row],[Steps]]),
))</f>
        <v>0</v>
      </c>
      <c r="G1662">
        <f>IF(Table13[[#This Row],[New Pos L]]&lt;&gt;0,Table13[[#This Row],[New Pos L]],Table13[[#This Row],[New Pos R]])</f>
        <v>0</v>
      </c>
      <c r="H1662">
        <f>IF(AND(Table13[[#This Row],[Direction]]="L",Table13[[#This Row],[Steps]]&gt;G1661,G1661&lt;&gt;0),1,0)</f>
        <v>0</v>
      </c>
      <c r="I1662">
        <f>IF(AND(Table13[[#This Row],[Direction]]="R",(G1661+Table13[[#This Row],[Steps]])&gt;100),1,0)</f>
        <v>0</v>
      </c>
      <c r="J1662">
        <f>IF(Table13[[#This Row],[POS]]=0,1,0)</f>
        <v>1</v>
      </c>
      <c r="K1662">
        <f>SUM(Table13[[#This Row],[prefix]],Table13[[#This Row],[Past zero L]],Table13[[#This Row],[Past Zero R]],Table13[[#This Row],[Is Zero]])</f>
        <v>1</v>
      </c>
    </row>
    <row r="1663" spans="1:11" ht="16" x14ac:dyDescent="0.2">
      <c r="A1663" s="1" t="s">
        <v>126</v>
      </c>
      <c r="B1663" t="str">
        <f>LEFT(Table13[[#This Row],[Input]],1)</f>
        <v>R</v>
      </c>
      <c r="C1663">
        <f>_xlfn.LET(_xlpm.steps,SUBSTITUTE(Table13[[#This Row],[Input]],Table13[[#This Row],[Direction]],""),VALUE(IF(LEN(_xlpm.steps)&gt;2,RIGHT(_xlpm.steps,2),_xlpm.steps)))</f>
        <v>65</v>
      </c>
      <c r="D1663">
        <f>_xlfn.LET(_xlpm.steps,SUBSTITUTE(Table13[[#This Row],[Input]],Table13[[#This Row],[Direction]],""),VALUE(IF(LEN(_xlpm.steps)&gt;2,LEFT(_xlpm.steps,LEN(_xlpm.steps)-2),0)))</f>
        <v>0</v>
      </c>
      <c r="E1663">
        <f>_xlfn.LET(_xlpm.dir,Table13[[#This Row],[Direction]],
IF(_xlpm.dir="L",
    IF(G1662-Table13[[#This Row],[Steps]]&lt;0,100+(G1662-Table13[[#This Row],[Steps]]),G1662-Table13[[#This Row],[Steps]]),
))</f>
        <v>0</v>
      </c>
      <c r="F1663">
        <f>_xlfn.LET(_xlpm.dir,Table13[[#This Row],[Direction]],
IF(_xlpm.dir="R",
    IF(G1662+Table13[[#This Row],[Steps]]&gt;99,(G1662+Table13[[#This Row],[Steps]])-100,G1662+Table13[[#This Row],[Steps]]),
))</f>
        <v>65</v>
      </c>
      <c r="G1663">
        <f>IF(Table13[[#This Row],[New Pos L]]&lt;&gt;0,Table13[[#This Row],[New Pos L]],Table13[[#This Row],[New Pos R]])</f>
        <v>65</v>
      </c>
      <c r="H1663">
        <f>IF(AND(Table13[[#This Row],[Direction]]="L",Table13[[#This Row],[Steps]]&gt;G1662,G1662&lt;&gt;0),1,0)</f>
        <v>0</v>
      </c>
      <c r="I1663">
        <f>IF(AND(Table13[[#This Row],[Direction]]="R",(G1662+Table13[[#This Row],[Steps]])&gt;100),1,0)</f>
        <v>0</v>
      </c>
      <c r="J1663">
        <f>IF(Table13[[#This Row],[POS]]=0,1,0)</f>
        <v>0</v>
      </c>
      <c r="K1663">
        <f>SUM(Table13[[#This Row],[prefix]],Table13[[#This Row],[Past zero L]],Table13[[#This Row],[Past Zero R]],Table13[[#This Row],[Is Zero]])</f>
        <v>0</v>
      </c>
    </row>
    <row r="1664" spans="1:11" ht="16" x14ac:dyDescent="0.2">
      <c r="A1664" s="1" t="s">
        <v>481</v>
      </c>
      <c r="B1664" t="str">
        <f>LEFT(Table13[[#This Row],[Input]],1)</f>
        <v>R</v>
      </c>
      <c r="C1664">
        <f>_xlfn.LET(_xlpm.steps,SUBSTITUTE(Table13[[#This Row],[Input]],Table13[[#This Row],[Direction]],""),VALUE(IF(LEN(_xlpm.steps)&gt;2,RIGHT(_xlpm.steps,2),_xlpm.steps)))</f>
        <v>58</v>
      </c>
      <c r="D1664">
        <f>_xlfn.LET(_xlpm.steps,SUBSTITUTE(Table13[[#This Row],[Input]],Table13[[#This Row],[Direction]],""),VALUE(IF(LEN(_xlpm.steps)&gt;2,LEFT(_xlpm.steps,LEN(_xlpm.steps)-2),0)))</f>
        <v>2</v>
      </c>
      <c r="E1664">
        <f>_xlfn.LET(_xlpm.dir,Table13[[#This Row],[Direction]],
IF(_xlpm.dir="L",
    IF(G1663-Table13[[#This Row],[Steps]]&lt;0,100+(G1663-Table13[[#This Row],[Steps]]),G1663-Table13[[#This Row],[Steps]]),
))</f>
        <v>0</v>
      </c>
      <c r="F1664">
        <f>_xlfn.LET(_xlpm.dir,Table13[[#This Row],[Direction]],
IF(_xlpm.dir="R",
    IF(G1663+Table13[[#This Row],[Steps]]&gt;99,(G1663+Table13[[#This Row],[Steps]])-100,G1663+Table13[[#This Row],[Steps]]),
))</f>
        <v>23</v>
      </c>
      <c r="G1664">
        <f>IF(Table13[[#This Row],[New Pos L]]&lt;&gt;0,Table13[[#This Row],[New Pos L]],Table13[[#This Row],[New Pos R]])</f>
        <v>23</v>
      </c>
      <c r="H1664">
        <f>IF(AND(Table13[[#This Row],[Direction]]="L",Table13[[#This Row],[Steps]]&gt;G1663,G1663&lt;&gt;0),1,0)</f>
        <v>0</v>
      </c>
      <c r="I1664">
        <f>IF(AND(Table13[[#This Row],[Direction]]="R",(G1663+Table13[[#This Row],[Steps]])&gt;100),1,0)</f>
        <v>1</v>
      </c>
      <c r="J1664">
        <f>IF(Table13[[#This Row],[POS]]=0,1,0)</f>
        <v>0</v>
      </c>
      <c r="K1664">
        <f>SUM(Table13[[#This Row],[prefix]],Table13[[#This Row],[Past zero L]],Table13[[#This Row],[Past Zero R]],Table13[[#This Row],[Is Zero]])</f>
        <v>3</v>
      </c>
    </row>
    <row r="1665" spans="1:11" ht="16" x14ac:dyDescent="0.2">
      <c r="A1665" s="1" t="s">
        <v>482</v>
      </c>
      <c r="B1665" t="str">
        <f>LEFT(Table13[[#This Row],[Input]],1)</f>
        <v>L</v>
      </c>
      <c r="C1665">
        <f>_xlfn.LET(_xlpm.steps,SUBSTITUTE(Table13[[#This Row],[Input]],Table13[[#This Row],[Direction]],""),VALUE(IF(LEN(_xlpm.steps)&gt;2,RIGHT(_xlpm.steps,2),_xlpm.steps)))</f>
        <v>86</v>
      </c>
      <c r="D1665">
        <f>_xlfn.LET(_xlpm.steps,SUBSTITUTE(Table13[[#This Row],[Input]],Table13[[#This Row],[Direction]],""),VALUE(IF(LEN(_xlpm.steps)&gt;2,LEFT(_xlpm.steps,LEN(_xlpm.steps)-2),0)))</f>
        <v>9</v>
      </c>
      <c r="E1665">
        <f>_xlfn.LET(_xlpm.dir,Table13[[#This Row],[Direction]],
IF(_xlpm.dir="L",
    IF(G1664-Table13[[#This Row],[Steps]]&lt;0,100+(G1664-Table13[[#This Row],[Steps]]),G1664-Table13[[#This Row],[Steps]]),
))</f>
        <v>37</v>
      </c>
      <c r="F1665">
        <f>_xlfn.LET(_xlpm.dir,Table13[[#This Row],[Direction]],
IF(_xlpm.dir="R",
    IF(G1664+Table13[[#This Row],[Steps]]&gt;99,(G1664+Table13[[#This Row],[Steps]])-100,G1664+Table13[[#This Row],[Steps]]),
))</f>
        <v>0</v>
      </c>
      <c r="G1665">
        <f>IF(Table13[[#This Row],[New Pos L]]&lt;&gt;0,Table13[[#This Row],[New Pos L]],Table13[[#This Row],[New Pos R]])</f>
        <v>37</v>
      </c>
      <c r="H1665">
        <f>IF(AND(Table13[[#This Row],[Direction]]="L",Table13[[#This Row],[Steps]]&gt;G1664,G1664&lt;&gt;0),1,0)</f>
        <v>1</v>
      </c>
      <c r="I1665">
        <f>IF(AND(Table13[[#This Row],[Direction]]="R",(G1664+Table13[[#This Row],[Steps]])&gt;100),1,0)</f>
        <v>0</v>
      </c>
      <c r="J1665">
        <f>IF(Table13[[#This Row],[POS]]=0,1,0)</f>
        <v>0</v>
      </c>
      <c r="K1665">
        <f>SUM(Table13[[#This Row],[prefix]],Table13[[#This Row],[Past zero L]],Table13[[#This Row],[Past Zero R]],Table13[[#This Row],[Is Zero]])</f>
        <v>10</v>
      </c>
    </row>
    <row r="1666" spans="1:11" ht="16" x14ac:dyDescent="0.2">
      <c r="A1666" s="1" t="s">
        <v>59</v>
      </c>
      <c r="B1666" t="str">
        <f>LEFT(Table13[[#This Row],[Input]],1)</f>
        <v>L</v>
      </c>
      <c r="C1666">
        <f>_xlfn.LET(_xlpm.steps,SUBSTITUTE(Table13[[#This Row],[Input]],Table13[[#This Row],[Direction]],""),VALUE(IF(LEN(_xlpm.steps)&gt;2,RIGHT(_xlpm.steps,2),_xlpm.steps)))</f>
        <v>6</v>
      </c>
      <c r="D1666">
        <f>_xlfn.LET(_xlpm.steps,SUBSTITUTE(Table13[[#This Row],[Input]],Table13[[#This Row],[Direction]],""),VALUE(IF(LEN(_xlpm.steps)&gt;2,LEFT(_xlpm.steps,LEN(_xlpm.steps)-2),0)))</f>
        <v>0</v>
      </c>
      <c r="E1666">
        <f>_xlfn.LET(_xlpm.dir,Table13[[#This Row],[Direction]],
IF(_xlpm.dir="L",
    IF(G1665-Table13[[#This Row],[Steps]]&lt;0,100+(G1665-Table13[[#This Row],[Steps]]),G1665-Table13[[#This Row],[Steps]]),
))</f>
        <v>31</v>
      </c>
      <c r="F1666">
        <f>_xlfn.LET(_xlpm.dir,Table13[[#This Row],[Direction]],
IF(_xlpm.dir="R",
    IF(G1665+Table13[[#This Row],[Steps]]&gt;99,(G1665+Table13[[#This Row],[Steps]])-100,G1665+Table13[[#This Row],[Steps]]),
))</f>
        <v>0</v>
      </c>
      <c r="G1666">
        <f>IF(Table13[[#This Row],[New Pos L]]&lt;&gt;0,Table13[[#This Row],[New Pos L]],Table13[[#This Row],[New Pos R]])</f>
        <v>31</v>
      </c>
      <c r="H1666">
        <f>IF(AND(Table13[[#This Row],[Direction]]="L",Table13[[#This Row],[Steps]]&gt;G1665,G1665&lt;&gt;0),1,0)</f>
        <v>0</v>
      </c>
      <c r="I1666">
        <f>IF(AND(Table13[[#This Row],[Direction]]="R",(G1665+Table13[[#This Row],[Steps]])&gt;100),1,0)</f>
        <v>0</v>
      </c>
      <c r="J1666">
        <f>IF(Table13[[#This Row],[POS]]=0,1,0)</f>
        <v>0</v>
      </c>
      <c r="K1666">
        <f>SUM(Table13[[#This Row],[prefix]],Table13[[#This Row],[Past zero L]],Table13[[#This Row],[Past Zero R]],Table13[[#This Row],[Is Zero]])</f>
        <v>0</v>
      </c>
    </row>
    <row r="1667" spans="1:11" ht="16" x14ac:dyDescent="0.2">
      <c r="A1667" s="1" t="s">
        <v>390</v>
      </c>
      <c r="B1667" t="str">
        <f>LEFT(Table13[[#This Row],[Input]],1)</f>
        <v>L</v>
      </c>
      <c r="C1667">
        <f>_xlfn.LET(_xlpm.steps,SUBSTITUTE(Table13[[#This Row],[Input]],Table13[[#This Row],[Direction]],""),VALUE(IF(LEN(_xlpm.steps)&gt;2,RIGHT(_xlpm.steps,2),_xlpm.steps)))</f>
        <v>52</v>
      </c>
      <c r="D1667">
        <f>_xlfn.LET(_xlpm.steps,SUBSTITUTE(Table13[[#This Row],[Input]],Table13[[#This Row],[Direction]],""),VALUE(IF(LEN(_xlpm.steps)&gt;2,LEFT(_xlpm.steps,LEN(_xlpm.steps)-2),0)))</f>
        <v>4</v>
      </c>
      <c r="E1667">
        <f>_xlfn.LET(_xlpm.dir,Table13[[#This Row],[Direction]],
IF(_xlpm.dir="L",
    IF(G1666-Table13[[#This Row],[Steps]]&lt;0,100+(G1666-Table13[[#This Row],[Steps]]),G1666-Table13[[#This Row],[Steps]]),
))</f>
        <v>79</v>
      </c>
      <c r="F1667">
        <f>_xlfn.LET(_xlpm.dir,Table13[[#This Row],[Direction]],
IF(_xlpm.dir="R",
    IF(G1666+Table13[[#This Row],[Steps]]&gt;99,(G1666+Table13[[#This Row],[Steps]])-100,G1666+Table13[[#This Row],[Steps]]),
))</f>
        <v>0</v>
      </c>
      <c r="G1667">
        <f>IF(Table13[[#This Row],[New Pos L]]&lt;&gt;0,Table13[[#This Row],[New Pos L]],Table13[[#This Row],[New Pos R]])</f>
        <v>79</v>
      </c>
      <c r="H1667">
        <f>IF(AND(Table13[[#This Row],[Direction]]="L",Table13[[#This Row],[Steps]]&gt;G1666,G1666&lt;&gt;0),1,0)</f>
        <v>1</v>
      </c>
      <c r="I1667">
        <f>IF(AND(Table13[[#This Row],[Direction]]="R",(G1666+Table13[[#This Row],[Steps]])&gt;100),1,0)</f>
        <v>0</v>
      </c>
      <c r="J1667">
        <f>IF(Table13[[#This Row],[POS]]=0,1,0)</f>
        <v>0</v>
      </c>
      <c r="K1667">
        <f>SUM(Table13[[#This Row],[prefix]],Table13[[#This Row],[Past zero L]],Table13[[#This Row],[Past Zero R]],Table13[[#This Row],[Is Zero]])</f>
        <v>5</v>
      </c>
    </row>
    <row r="1668" spans="1:11" ht="16" x14ac:dyDescent="0.2">
      <c r="A1668" s="1" t="s">
        <v>319</v>
      </c>
      <c r="B1668" t="str">
        <f>LEFT(Table13[[#This Row],[Input]],1)</f>
        <v>L</v>
      </c>
      <c r="C1668">
        <f>_xlfn.LET(_xlpm.steps,SUBSTITUTE(Table13[[#This Row],[Input]],Table13[[#This Row],[Direction]],""),VALUE(IF(LEN(_xlpm.steps)&gt;2,RIGHT(_xlpm.steps,2),_xlpm.steps)))</f>
        <v>79</v>
      </c>
      <c r="D1668">
        <f>_xlfn.LET(_xlpm.steps,SUBSTITUTE(Table13[[#This Row],[Input]],Table13[[#This Row],[Direction]],""),VALUE(IF(LEN(_xlpm.steps)&gt;2,LEFT(_xlpm.steps,LEN(_xlpm.steps)-2),0)))</f>
        <v>0</v>
      </c>
      <c r="E1668">
        <f>_xlfn.LET(_xlpm.dir,Table13[[#This Row],[Direction]],
IF(_xlpm.dir="L",
    IF(G1667-Table13[[#This Row],[Steps]]&lt;0,100+(G1667-Table13[[#This Row],[Steps]]),G1667-Table13[[#This Row],[Steps]]),
))</f>
        <v>0</v>
      </c>
      <c r="F1668">
        <f>_xlfn.LET(_xlpm.dir,Table13[[#This Row],[Direction]],
IF(_xlpm.dir="R",
    IF(G1667+Table13[[#This Row],[Steps]]&gt;99,(G1667+Table13[[#This Row],[Steps]])-100,G1667+Table13[[#This Row],[Steps]]),
))</f>
        <v>0</v>
      </c>
      <c r="G1668">
        <f>IF(Table13[[#This Row],[New Pos L]]&lt;&gt;0,Table13[[#This Row],[New Pos L]],Table13[[#This Row],[New Pos R]])</f>
        <v>0</v>
      </c>
      <c r="H1668">
        <f>IF(AND(Table13[[#This Row],[Direction]]="L",Table13[[#This Row],[Steps]]&gt;G1667,G1667&lt;&gt;0),1,0)</f>
        <v>0</v>
      </c>
      <c r="I1668">
        <f>IF(AND(Table13[[#This Row],[Direction]]="R",(G1667+Table13[[#This Row],[Steps]])&gt;100),1,0)</f>
        <v>0</v>
      </c>
      <c r="J1668">
        <f>IF(Table13[[#This Row],[POS]]=0,1,0)</f>
        <v>1</v>
      </c>
      <c r="K1668">
        <f>SUM(Table13[[#This Row],[prefix]],Table13[[#This Row],[Past zero L]],Table13[[#This Row],[Past Zero R]],Table13[[#This Row],[Is Zero]])</f>
        <v>1</v>
      </c>
    </row>
    <row r="1669" spans="1:11" ht="16" x14ac:dyDescent="0.2">
      <c r="A1669" s="1" t="s">
        <v>174</v>
      </c>
      <c r="B1669" t="str">
        <f>LEFT(Table13[[#This Row],[Input]],1)</f>
        <v>L</v>
      </c>
      <c r="C1669">
        <f>_xlfn.LET(_xlpm.steps,SUBSTITUTE(Table13[[#This Row],[Input]],Table13[[#This Row],[Direction]],""),VALUE(IF(LEN(_xlpm.steps)&gt;2,RIGHT(_xlpm.steps,2),_xlpm.steps)))</f>
        <v>92</v>
      </c>
      <c r="D1669">
        <f>_xlfn.LET(_xlpm.steps,SUBSTITUTE(Table13[[#This Row],[Input]],Table13[[#This Row],[Direction]],""),VALUE(IF(LEN(_xlpm.steps)&gt;2,LEFT(_xlpm.steps,LEN(_xlpm.steps)-2),0)))</f>
        <v>0</v>
      </c>
      <c r="E1669">
        <f>_xlfn.LET(_xlpm.dir,Table13[[#This Row],[Direction]],
IF(_xlpm.dir="L",
    IF(G1668-Table13[[#This Row],[Steps]]&lt;0,100+(G1668-Table13[[#This Row],[Steps]]),G1668-Table13[[#This Row],[Steps]]),
))</f>
        <v>8</v>
      </c>
      <c r="F1669">
        <f>_xlfn.LET(_xlpm.dir,Table13[[#This Row],[Direction]],
IF(_xlpm.dir="R",
    IF(G1668+Table13[[#This Row],[Steps]]&gt;99,(G1668+Table13[[#This Row],[Steps]])-100,G1668+Table13[[#This Row],[Steps]]),
))</f>
        <v>0</v>
      </c>
      <c r="G1669">
        <f>IF(Table13[[#This Row],[New Pos L]]&lt;&gt;0,Table13[[#This Row],[New Pos L]],Table13[[#This Row],[New Pos R]])</f>
        <v>8</v>
      </c>
      <c r="H1669">
        <f>IF(AND(Table13[[#This Row],[Direction]]="L",Table13[[#This Row],[Steps]]&gt;G1668,G1668&lt;&gt;0),1,0)</f>
        <v>0</v>
      </c>
      <c r="I1669">
        <f>IF(AND(Table13[[#This Row],[Direction]]="R",(G1668+Table13[[#This Row],[Steps]])&gt;100),1,0)</f>
        <v>0</v>
      </c>
      <c r="J1669">
        <f>IF(Table13[[#This Row],[POS]]=0,1,0)</f>
        <v>0</v>
      </c>
      <c r="K1669">
        <f>SUM(Table13[[#This Row],[prefix]],Table13[[#This Row],[Past zero L]],Table13[[#This Row],[Past Zero R]],Table13[[#This Row],[Is Zero]])</f>
        <v>0</v>
      </c>
    </row>
    <row r="1670" spans="1:11" ht="16" x14ac:dyDescent="0.2">
      <c r="A1670" s="1" t="s">
        <v>0</v>
      </c>
      <c r="B1670" t="str">
        <f>LEFT(Table13[[#This Row],[Input]],1)</f>
        <v>L</v>
      </c>
      <c r="C1670">
        <f>_xlfn.LET(_xlpm.steps,SUBSTITUTE(Table13[[#This Row],[Input]],Table13[[#This Row],[Direction]],""),VALUE(IF(LEN(_xlpm.steps)&gt;2,RIGHT(_xlpm.steps,2),_xlpm.steps)))</f>
        <v>44</v>
      </c>
      <c r="D1670">
        <f>_xlfn.LET(_xlpm.steps,SUBSTITUTE(Table13[[#This Row],[Input]],Table13[[#This Row],[Direction]],""),VALUE(IF(LEN(_xlpm.steps)&gt;2,LEFT(_xlpm.steps,LEN(_xlpm.steps)-2),0)))</f>
        <v>0</v>
      </c>
      <c r="E1670">
        <f>_xlfn.LET(_xlpm.dir,Table13[[#This Row],[Direction]],
IF(_xlpm.dir="L",
    IF(G1669-Table13[[#This Row],[Steps]]&lt;0,100+(G1669-Table13[[#This Row],[Steps]]),G1669-Table13[[#This Row],[Steps]]),
))</f>
        <v>64</v>
      </c>
      <c r="F1670">
        <f>_xlfn.LET(_xlpm.dir,Table13[[#This Row],[Direction]],
IF(_xlpm.dir="R",
    IF(G1669+Table13[[#This Row],[Steps]]&gt;99,(G1669+Table13[[#This Row],[Steps]])-100,G1669+Table13[[#This Row],[Steps]]),
))</f>
        <v>0</v>
      </c>
      <c r="G1670">
        <f>IF(Table13[[#This Row],[New Pos L]]&lt;&gt;0,Table13[[#This Row],[New Pos L]],Table13[[#This Row],[New Pos R]])</f>
        <v>64</v>
      </c>
      <c r="H1670">
        <f>IF(AND(Table13[[#This Row],[Direction]]="L",Table13[[#This Row],[Steps]]&gt;G1669,G1669&lt;&gt;0),1,0)</f>
        <v>1</v>
      </c>
      <c r="I1670">
        <f>IF(AND(Table13[[#This Row],[Direction]]="R",(G1669+Table13[[#This Row],[Steps]])&gt;100),1,0)</f>
        <v>0</v>
      </c>
      <c r="J1670">
        <f>IF(Table13[[#This Row],[POS]]=0,1,0)</f>
        <v>0</v>
      </c>
      <c r="K1670">
        <f>SUM(Table13[[#This Row],[prefix]],Table13[[#This Row],[Past zero L]],Table13[[#This Row],[Past Zero R]],Table13[[#This Row],[Is Zero]])</f>
        <v>1</v>
      </c>
    </row>
    <row r="1671" spans="1:11" ht="16" x14ac:dyDescent="0.2">
      <c r="A1671" s="1" t="s">
        <v>219</v>
      </c>
      <c r="B1671" t="str">
        <f>LEFT(Table13[[#This Row],[Input]],1)</f>
        <v>L</v>
      </c>
      <c r="C1671">
        <f>_xlfn.LET(_xlpm.steps,SUBSTITUTE(Table13[[#This Row],[Input]],Table13[[#This Row],[Direction]],""),VALUE(IF(LEN(_xlpm.steps)&gt;2,RIGHT(_xlpm.steps,2),_xlpm.steps)))</f>
        <v>64</v>
      </c>
      <c r="D1671">
        <f>_xlfn.LET(_xlpm.steps,SUBSTITUTE(Table13[[#This Row],[Input]],Table13[[#This Row],[Direction]],""),VALUE(IF(LEN(_xlpm.steps)&gt;2,LEFT(_xlpm.steps,LEN(_xlpm.steps)-2),0)))</f>
        <v>0</v>
      </c>
      <c r="E1671">
        <f>_xlfn.LET(_xlpm.dir,Table13[[#This Row],[Direction]],
IF(_xlpm.dir="L",
    IF(G1670-Table13[[#This Row],[Steps]]&lt;0,100+(G1670-Table13[[#This Row],[Steps]]),G1670-Table13[[#This Row],[Steps]]),
))</f>
        <v>0</v>
      </c>
      <c r="F1671">
        <f>_xlfn.LET(_xlpm.dir,Table13[[#This Row],[Direction]],
IF(_xlpm.dir="R",
    IF(G1670+Table13[[#This Row],[Steps]]&gt;99,(G1670+Table13[[#This Row],[Steps]])-100,G1670+Table13[[#This Row],[Steps]]),
))</f>
        <v>0</v>
      </c>
      <c r="G1671">
        <f>IF(Table13[[#This Row],[New Pos L]]&lt;&gt;0,Table13[[#This Row],[New Pos L]],Table13[[#This Row],[New Pos R]])</f>
        <v>0</v>
      </c>
      <c r="H1671">
        <f>IF(AND(Table13[[#This Row],[Direction]]="L",Table13[[#This Row],[Steps]]&gt;G1670,G1670&lt;&gt;0),1,0)</f>
        <v>0</v>
      </c>
      <c r="I1671">
        <f>IF(AND(Table13[[#This Row],[Direction]]="R",(G1670+Table13[[#This Row],[Steps]])&gt;100),1,0)</f>
        <v>0</v>
      </c>
      <c r="J1671">
        <f>IF(Table13[[#This Row],[POS]]=0,1,0)</f>
        <v>1</v>
      </c>
      <c r="K1671">
        <f>SUM(Table13[[#This Row],[prefix]],Table13[[#This Row],[Past zero L]],Table13[[#This Row],[Past Zero R]],Table13[[#This Row],[Is Zero]])</f>
        <v>1</v>
      </c>
    </row>
    <row r="1672" spans="1:11" ht="16" x14ac:dyDescent="0.2">
      <c r="A1672" s="1" t="s">
        <v>218</v>
      </c>
      <c r="B1672" t="str">
        <f>LEFT(Table13[[#This Row],[Input]],1)</f>
        <v>R</v>
      </c>
      <c r="C1672">
        <f>_xlfn.LET(_xlpm.steps,SUBSTITUTE(Table13[[#This Row],[Input]],Table13[[#This Row],[Direction]],""),VALUE(IF(LEN(_xlpm.steps)&gt;2,RIGHT(_xlpm.steps,2),_xlpm.steps)))</f>
        <v>35</v>
      </c>
      <c r="D1672">
        <f>_xlfn.LET(_xlpm.steps,SUBSTITUTE(Table13[[#This Row],[Input]],Table13[[#This Row],[Direction]],""),VALUE(IF(LEN(_xlpm.steps)&gt;2,LEFT(_xlpm.steps,LEN(_xlpm.steps)-2),0)))</f>
        <v>0</v>
      </c>
      <c r="E1672">
        <f>_xlfn.LET(_xlpm.dir,Table13[[#This Row],[Direction]],
IF(_xlpm.dir="L",
    IF(G1671-Table13[[#This Row],[Steps]]&lt;0,100+(G1671-Table13[[#This Row],[Steps]]),G1671-Table13[[#This Row],[Steps]]),
))</f>
        <v>0</v>
      </c>
      <c r="F1672">
        <f>_xlfn.LET(_xlpm.dir,Table13[[#This Row],[Direction]],
IF(_xlpm.dir="R",
    IF(G1671+Table13[[#This Row],[Steps]]&gt;99,(G1671+Table13[[#This Row],[Steps]])-100,G1671+Table13[[#This Row],[Steps]]),
))</f>
        <v>35</v>
      </c>
      <c r="G1672">
        <f>IF(Table13[[#This Row],[New Pos L]]&lt;&gt;0,Table13[[#This Row],[New Pos L]],Table13[[#This Row],[New Pos R]])</f>
        <v>35</v>
      </c>
      <c r="H1672">
        <f>IF(AND(Table13[[#This Row],[Direction]]="L",Table13[[#This Row],[Steps]]&gt;G1671,G1671&lt;&gt;0),1,0)</f>
        <v>0</v>
      </c>
      <c r="I1672">
        <f>IF(AND(Table13[[#This Row],[Direction]]="R",(G1671+Table13[[#This Row],[Steps]])&gt;100),1,0)</f>
        <v>0</v>
      </c>
      <c r="J1672">
        <f>IF(Table13[[#This Row],[POS]]=0,1,0)</f>
        <v>0</v>
      </c>
      <c r="K1672">
        <f>SUM(Table13[[#This Row],[prefix]],Table13[[#This Row],[Past zero L]],Table13[[#This Row],[Past Zero R]],Table13[[#This Row],[Is Zero]])</f>
        <v>0</v>
      </c>
    </row>
    <row r="1673" spans="1:11" ht="16" x14ac:dyDescent="0.2">
      <c r="A1673" s="1" t="s">
        <v>52</v>
      </c>
      <c r="B1673" t="str">
        <f>LEFT(Table13[[#This Row],[Input]],1)</f>
        <v>R</v>
      </c>
      <c r="C1673">
        <f>_xlfn.LET(_xlpm.steps,SUBSTITUTE(Table13[[#This Row],[Input]],Table13[[#This Row],[Direction]],""),VALUE(IF(LEN(_xlpm.steps)&gt;2,RIGHT(_xlpm.steps,2),_xlpm.steps)))</f>
        <v>11</v>
      </c>
      <c r="D1673">
        <f>_xlfn.LET(_xlpm.steps,SUBSTITUTE(Table13[[#This Row],[Input]],Table13[[#This Row],[Direction]],""),VALUE(IF(LEN(_xlpm.steps)&gt;2,LEFT(_xlpm.steps,LEN(_xlpm.steps)-2),0)))</f>
        <v>0</v>
      </c>
      <c r="E1673">
        <f>_xlfn.LET(_xlpm.dir,Table13[[#This Row],[Direction]],
IF(_xlpm.dir="L",
    IF(G1672-Table13[[#This Row],[Steps]]&lt;0,100+(G1672-Table13[[#This Row],[Steps]]),G1672-Table13[[#This Row],[Steps]]),
))</f>
        <v>0</v>
      </c>
      <c r="F1673">
        <f>_xlfn.LET(_xlpm.dir,Table13[[#This Row],[Direction]],
IF(_xlpm.dir="R",
    IF(G1672+Table13[[#This Row],[Steps]]&gt;99,(G1672+Table13[[#This Row],[Steps]])-100,G1672+Table13[[#This Row],[Steps]]),
))</f>
        <v>46</v>
      </c>
      <c r="G1673">
        <f>IF(Table13[[#This Row],[New Pos L]]&lt;&gt;0,Table13[[#This Row],[New Pos L]],Table13[[#This Row],[New Pos R]])</f>
        <v>46</v>
      </c>
      <c r="H1673">
        <f>IF(AND(Table13[[#This Row],[Direction]]="L",Table13[[#This Row],[Steps]]&gt;G1672,G1672&lt;&gt;0),1,0)</f>
        <v>0</v>
      </c>
      <c r="I1673">
        <f>IF(AND(Table13[[#This Row],[Direction]]="R",(G1672+Table13[[#This Row],[Steps]])&gt;100),1,0)</f>
        <v>0</v>
      </c>
      <c r="J1673">
        <f>IF(Table13[[#This Row],[POS]]=0,1,0)</f>
        <v>0</v>
      </c>
      <c r="K1673">
        <f>SUM(Table13[[#This Row],[prefix]],Table13[[#This Row],[Past zero L]],Table13[[#This Row],[Past Zero R]],Table13[[#This Row],[Is Zero]])</f>
        <v>0</v>
      </c>
    </row>
    <row r="1674" spans="1:11" ht="16" x14ac:dyDescent="0.2">
      <c r="A1674" s="1" t="s">
        <v>1</v>
      </c>
      <c r="B1674" t="str">
        <f>LEFT(Table13[[#This Row],[Input]],1)</f>
        <v>R</v>
      </c>
      <c r="C1674">
        <f>_xlfn.LET(_xlpm.steps,SUBSTITUTE(Table13[[#This Row],[Input]],Table13[[#This Row],[Direction]],""),VALUE(IF(LEN(_xlpm.steps)&gt;2,RIGHT(_xlpm.steps,2),_xlpm.steps)))</f>
        <v>26</v>
      </c>
      <c r="D1674">
        <f>_xlfn.LET(_xlpm.steps,SUBSTITUTE(Table13[[#This Row],[Input]],Table13[[#This Row],[Direction]],""),VALUE(IF(LEN(_xlpm.steps)&gt;2,LEFT(_xlpm.steps,LEN(_xlpm.steps)-2),0)))</f>
        <v>0</v>
      </c>
      <c r="E1674">
        <f>_xlfn.LET(_xlpm.dir,Table13[[#This Row],[Direction]],
IF(_xlpm.dir="L",
    IF(G1673-Table13[[#This Row],[Steps]]&lt;0,100+(G1673-Table13[[#This Row],[Steps]]),G1673-Table13[[#This Row],[Steps]]),
))</f>
        <v>0</v>
      </c>
      <c r="F1674">
        <f>_xlfn.LET(_xlpm.dir,Table13[[#This Row],[Direction]],
IF(_xlpm.dir="R",
    IF(G1673+Table13[[#This Row],[Steps]]&gt;99,(G1673+Table13[[#This Row],[Steps]])-100,G1673+Table13[[#This Row],[Steps]]),
))</f>
        <v>72</v>
      </c>
      <c r="G1674">
        <f>IF(Table13[[#This Row],[New Pos L]]&lt;&gt;0,Table13[[#This Row],[New Pos L]],Table13[[#This Row],[New Pos R]])</f>
        <v>72</v>
      </c>
      <c r="H1674">
        <f>IF(AND(Table13[[#This Row],[Direction]]="L",Table13[[#This Row],[Steps]]&gt;G1673,G1673&lt;&gt;0),1,0)</f>
        <v>0</v>
      </c>
      <c r="I1674">
        <f>IF(AND(Table13[[#This Row],[Direction]]="R",(G1673+Table13[[#This Row],[Steps]])&gt;100),1,0)</f>
        <v>0</v>
      </c>
      <c r="J1674">
        <f>IF(Table13[[#This Row],[POS]]=0,1,0)</f>
        <v>0</v>
      </c>
      <c r="K1674">
        <f>SUM(Table13[[#This Row],[prefix]],Table13[[#This Row],[Past zero L]],Table13[[#This Row],[Past Zero R]],Table13[[#This Row],[Is Zero]])</f>
        <v>0</v>
      </c>
    </row>
    <row r="1675" spans="1:11" ht="16" x14ac:dyDescent="0.2">
      <c r="A1675" s="1" t="s">
        <v>25</v>
      </c>
      <c r="B1675" t="str">
        <f>LEFT(Table13[[#This Row],[Input]],1)</f>
        <v>L</v>
      </c>
      <c r="C1675">
        <f>_xlfn.LET(_xlpm.steps,SUBSTITUTE(Table13[[#This Row],[Input]],Table13[[#This Row],[Direction]],""),VALUE(IF(LEN(_xlpm.steps)&gt;2,RIGHT(_xlpm.steps,2),_xlpm.steps)))</f>
        <v>20</v>
      </c>
      <c r="D1675">
        <f>_xlfn.LET(_xlpm.steps,SUBSTITUTE(Table13[[#This Row],[Input]],Table13[[#This Row],[Direction]],""),VALUE(IF(LEN(_xlpm.steps)&gt;2,LEFT(_xlpm.steps,LEN(_xlpm.steps)-2),0)))</f>
        <v>0</v>
      </c>
      <c r="E1675">
        <f>_xlfn.LET(_xlpm.dir,Table13[[#This Row],[Direction]],
IF(_xlpm.dir="L",
    IF(G1674-Table13[[#This Row],[Steps]]&lt;0,100+(G1674-Table13[[#This Row],[Steps]]),G1674-Table13[[#This Row],[Steps]]),
))</f>
        <v>52</v>
      </c>
      <c r="F1675">
        <f>_xlfn.LET(_xlpm.dir,Table13[[#This Row],[Direction]],
IF(_xlpm.dir="R",
    IF(G1674+Table13[[#This Row],[Steps]]&gt;99,(G1674+Table13[[#This Row],[Steps]])-100,G1674+Table13[[#This Row],[Steps]]),
))</f>
        <v>0</v>
      </c>
      <c r="G1675">
        <f>IF(Table13[[#This Row],[New Pos L]]&lt;&gt;0,Table13[[#This Row],[New Pos L]],Table13[[#This Row],[New Pos R]])</f>
        <v>52</v>
      </c>
      <c r="H1675">
        <f>IF(AND(Table13[[#This Row],[Direction]]="L",Table13[[#This Row],[Steps]]&gt;G1674,G1674&lt;&gt;0),1,0)</f>
        <v>0</v>
      </c>
      <c r="I1675">
        <f>IF(AND(Table13[[#This Row],[Direction]]="R",(G1674+Table13[[#This Row],[Steps]])&gt;100),1,0)</f>
        <v>0</v>
      </c>
      <c r="J1675">
        <f>IF(Table13[[#This Row],[POS]]=0,1,0)</f>
        <v>0</v>
      </c>
      <c r="K1675">
        <f>SUM(Table13[[#This Row],[prefix]],Table13[[#This Row],[Past zero L]],Table13[[#This Row],[Past Zero R]],Table13[[#This Row],[Is Zero]])</f>
        <v>0</v>
      </c>
    </row>
    <row r="1676" spans="1:11" ht="16" x14ac:dyDescent="0.2">
      <c r="A1676" s="1" t="s">
        <v>272</v>
      </c>
      <c r="B1676" t="str">
        <f>LEFT(Table13[[#This Row],[Input]],1)</f>
        <v>R</v>
      </c>
      <c r="C1676">
        <f>_xlfn.LET(_xlpm.steps,SUBSTITUTE(Table13[[#This Row],[Input]],Table13[[#This Row],[Direction]],""),VALUE(IF(LEN(_xlpm.steps)&gt;2,RIGHT(_xlpm.steps,2),_xlpm.steps)))</f>
        <v>56</v>
      </c>
      <c r="D1676">
        <f>_xlfn.LET(_xlpm.steps,SUBSTITUTE(Table13[[#This Row],[Input]],Table13[[#This Row],[Direction]],""),VALUE(IF(LEN(_xlpm.steps)&gt;2,LEFT(_xlpm.steps,LEN(_xlpm.steps)-2),0)))</f>
        <v>0</v>
      </c>
      <c r="E1676">
        <f>_xlfn.LET(_xlpm.dir,Table13[[#This Row],[Direction]],
IF(_xlpm.dir="L",
    IF(G1675-Table13[[#This Row],[Steps]]&lt;0,100+(G1675-Table13[[#This Row],[Steps]]),G1675-Table13[[#This Row],[Steps]]),
))</f>
        <v>0</v>
      </c>
      <c r="F1676">
        <f>_xlfn.LET(_xlpm.dir,Table13[[#This Row],[Direction]],
IF(_xlpm.dir="R",
    IF(G1675+Table13[[#This Row],[Steps]]&gt;99,(G1675+Table13[[#This Row],[Steps]])-100,G1675+Table13[[#This Row],[Steps]]),
))</f>
        <v>8</v>
      </c>
      <c r="G1676">
        <f>IF(Table13[[#This Row],[New Pos L]]&lt;&gt;0,Table13[[#This Row],[New Pos L]],Table13[[#This Row],[New Pos R]])</f>
        <v>8</v>
      </c>
      <c r="H1676">
        <f>IF(AND(Table13[[#This Row],[Direction]]="L",Table13[[#This Row],[Steps]]&gt;G1675,G1675&lt;&gt;0),1,0)</f>
        <v>0</v>
      </c>
      <c r="I1676">
        <f>IF(AND(Table13[[#This Row],[Direction]]="R",(G1675+Table13[[#This Row],[Steps]])&gt;100),1,0)</f>
        <v>1</v>
      </c>
      <c r="J1676">
        <f>IF(Table13[[#This Row],[POS]]=0,1,0)</f>
        <v>0</v>
      </c>
      <c r="K1676">
        <f>SUM(Table13[[#This Row],[prefix]],Table13[[#This Row],[Past zero L]],Table13[[#This Row],[Past Zero R]],Table13[[#This Row],[Is Zero]])</f>
        <v>1</v>
      </c>
    </row>
    <row r="1677" spans="1:11" ht="16" x14ac:dyDescent="0.2">
      <c r="A1677" s="1" t="s">
        <v>350</v>
      </c>
      <c r="B1677" t="str">
        <f>LEFT(Table13[[#This Row],[Input]],1)</f>
        <v>R</v>
      </c>
      <c r="C1677">
        <f>_xlfn.LET(_xlpm.steps,SUBSTITUTE(Table13[[#This Row],[Input]],Table13[[#This Row],[Direction]],""),VALUE(IF(LEN(_xlpm.steps)&gt;2,RIGHT(_xlpm.steps,2),_xlpm.steps)))</f>
        <v>92</v>
      </c>
      <c r="D1677">
        <f>_xlfn.LET(_xlpm.steps,SUBSTITUTE(Table13[[#This Row],[Input]],Table13[[#This Row],[Direction]],""),VALUE(IF(LEN(_xlpm.steps)&gt;2,LEFT(_xlpm.steps,LEN(_xlpm.steps)-2),0)))</f>
        <v>2</v>
      </c>
      <c r="E1677">
        <f>_xlfn.LET(_xlpm.dir,Table13[[#This Row],[Direction]],
IF(_xlpm.dir="L",
    IF(G1676-Table13[[#This Row],[Steps]]&lt;0,100+(G1676-Table13[[#This Row],[Steps]]),G1676-Table13[[#This Row],[Steps]]),
))</f>
        <v>0</v>
      </c>
      <c r="F1677">
        <f>_xlfn.LET(_xlpm.dir,Table13[[#This Row],[Direction]],
IF(_xlpm.dir="R",
    IF(G1676+Table13[[#This Row],[Steps]]&gt;99,(G1676+Table13[[#This Row],[Steps]])-100,G1676+Table13[[#This Row],[Steps]]),
))</f>
        <v>0</v>
      </c>
      <c r="G1677">
        <f>IF(Table13[[#This Row],[New Pos L]]&lt;&gt;0,Table13[[#This Row],[New Pos L]],Table13[[#This Row],[New Pos R]])</f>
        <v>0</v>
      </c>
      <c r="H1677">
        <f>IF(AND(Table13[[#This Row],[Direction]]="L",Table13[[#This Row],[Steps]]&gt;G1676,G1676&lt;&gt;0),1,0)</f>
        <v>0</v>
      </c>
      <c r="I1677">
        <f>IF(AND(Table13[[#This Row],[Direction]]="R",(G1676+Table13[[#This Row],[Steps]])&gt;100),1,0)</f>
        <v>0</v>
      </c>
      <c r="J1677">
        <f>IF(Table13[[#This Row],[POS]]=0,1,0)</f>
        <v>1</v>
      </c>
      <c r="K1677">
        <f>SUM(Table13[[#This Row],[prefix]],Table13[[#This Row],[Past zero L]],Table13[[#This Row],[Past Zero R]],Table13[[#This Row],[Is Zero]])</f>
        <v>3</v>
      </c>
    </row>
    <row r="1678" spans="1:11" ht="16" x14ac:dyDescent="0.2">
      <c r="A1678" s="1" t="s">
        <v>16</v>
      </c>
      <c r="B1678" t="str">
        <f>LEFT(Table13[[#This Row],[Input]],1)</f>
        <v>L</v>
      </c>
      <c r="C1678">
        <f>_xlfn.LET(_xlpm.steps,SUBSTITUTE(Table13[[#This Row],[Input]],Table13[[#This Row],[Direction]],""),VALUE(IF(LEN(_xlpm.steps)&gt;2,RIGHT(_xlpm.steps,2),_xlpm.steps)))</f>
        <v>10</v>
      </c>
      <c r="D1678">
        <f>_xlfn.LET(_xlpm.steps,SUBSTITUTE(Table13[[#This Row],[Input]],Table13[[#This Row],[Direction]],""),VALUE(IF(LEN(_xlpm.steps)&gt;2,LEFT(_xlpm.steps,LEN(_xlpm.steps)-2),0)))</f>
        <v>0</v>
      </c>
      <c r="E1678">
        <f>_xlfn.LET(_xlpm.dir,Table13[[#This Row],[Direction]],
IF(_xlpm.dir="L",
    IF(G1677-Table13[[#This Row],[Steps]]&lt;0,100+(G1677-Table13[[#This Row],[Steps]]),G1677-Table13[[#This Row],[Steps]]),
))</f>
        <v>90</v>
      </c>
      <c r="F1678">
        <f>_xlfn.LET(_xlpm.dir,Table13[[#This Row],[Direction]],
IF(_xlpm.dir="R",
    IF(G1677+Table13[[#This Row],[Steps]]&gt;99,(G1677+Table13[[#This Row],[Steps]])-100,G1677+Table13[[#This Row],[Steps]]),
))</f>
        <v>0</v>
      </c>
      <c r="G1678">
        <f>IF(Table13[[#This Row],[New Pos L]]&lt;&gt;0,Table13[[#This Row],[New Pos L]],Table13[[#This Row],[New Pos R]])</f>
        <v>90</v>
      </c>
      <c r="H1678">
        <f>IF(AND(Table13[[#This Row],[Direction]]="L",Table13[[#This Row],[Steps]]&gt;G1677,G1677&lt;&gt;0),1,0)</f>
        <v>0</v>
      </c>
      <c r="I1678">
        <f>IF(AND(Table13[[#This Row],[Direction]]="R",(G1677+Table13[[#This Row],[Steps]])&gt;100),1,0)</f>
        <v>0</v>
      </c>
      <c r="J1678">
        <f>IF(Table13[[#This Row],[POS]]=0,1,0)</f>
        <v>0</v>
      </c>
      <c r="K1678">
        <f>SUM(Table13[[#This Row],[prefix]],Table13[[#This Row],[Past zero L]],Table13[[#This Row],[Past Zero R]],Table13[[#This Row],[Is Zero]])</f>
        <v>0</v>
      </c>
    </row>
    <row r="1679" spans="1:11" ht="16" x14ac:dyDescent="0.2">
      <c r="A1679" s="1" t="s">
        <v>139</v>
      </c>
      <c r="B1679" t="str">
        <f>LEFT(Table13[[#This Row],[Input]],1)</f>
        <v>R</v>
      </c>
      <c r="C1679">
        <f>_xlfn.LET(_xlpm.steps,SUBSTITUTE(Table13[[#This Row],[Input]],Table13[[#This Row],[Direction]],""),VALUE(IF(LEN(_xlpm.steps)&gt;2,RIGHT(_xlpm.steps,2),_xlpm.steps)))</f>
        <v>38</v>
      </c>
      <c r="D1679">
        <f>_xlfn.LET(_xlpm.steps,SUBSTITUTE(Table13[[#This Row],[Input]],Table13[[#This Row],[Direction]],""),VALUE(IF(LEN(_xlpm.steps)&gt;2,LEFT(_xlpm.steps,LEN(_xlpm.steps)-2),0)))</f>
        <v>0</v>
      </c>
      <c r="E1679">
        <f>_xlfn.LET(_xlpm.dir,Table13[[#This Row],[Direction]],
IF(_xlpm.dir="L",
    IF(G1678-Table13[[#This Row],[Steps]]&lt;0,100+(G1678-Table13[[#This Row],[Steps]]),G1678-Table13[[#This Row],[Steps]]),
))</f>
        <v>0</v>
      </c>
      <c r="F1679">
        <f>_xlfn.LET(_xlpm.dir,Table13[[#This Row],[Direction]],
IF(_xlpm.dir="R",
    IF(G1678+Table13[[#This Row],[Steps]]&gt;99,(G1678+Table13[[#This Row],[Steps]])-100,G1678+Table13[[#This Row],[Steps]]),
))</f>
        <v>28</v>
      </c>
      <c r="G1679">
        <f>IF(Table13[[#This Row],[New Pos L]]&lt;&gt;0,Table13[[#This Row],[New Pos L]],Table13[[#This Row],[New Pos R]])</f>
        <v>28</v>
      </c>
      <c r="H1679">
        <f>IF(AND(Table13[[#This Row],[Direction]]="L",Table13[[#This Row],[Steps]]&gt;G1678,G1678&lt;&gt;0),1,0)</f>
        <v>0</v>
      </c>
      <c r="I1679">
        <f>IF(AND(Table13[[#This Row],[Direction]]="R",(G1678+Table13[[#This Row],[Steps]])&gt;100),1,0)</f>
        <v>1</v>
      </c>
      <c r="J1679">
        <f>IF(Table13[[#This Row],[POS]]=0,1,0)</f>
        <v>0</v>
      </c>
      <c r="K1679">
        <f>SUM(Table13[[#This Row],[prefix]],Table13[[#This Row],[Past zero L]],Table13[[#This Row],[Past Zero R]],Table13[[#This Row],[Is Zero]])</f>
        <v>1</v>
      </c>
    </row>
    <row r="1680" spans="1:11" ht="16" x14ac:dyDescent="0.2">
      <c r="A1680" s="1" t="s">
        <v>66</v>
      </c>
      <c r="B1680" t="str">
        <f>LEFT(Table13[[#This Row],[Input]],1)</f>
        <v>R</v>
      </c>
      <c r="C1680">
        <f>_xlfn.LET(_xlpm.steps,SUBSTITUTE(Table13[[#This Row],[Input]],Table13[[#This Row],[Direction]],""),VALUE(IF(LEN(_xlpm.steps)&gt;2,RIGHT(_xlpm.steps,2),_xlpm.steps)))</f>
        <v>45</v>
      </c>
      <c r="D1680">
        <f>_xlfn.LET(_xlpm.steps,SUBSTITUTE(Table13[[#This Row],[Input]],Table13[[#This Row],[Direction]],""),VALUE(IF(LEN(_xlpm.steps)&gt;2,LEFT(_xlpm.steps,LEN(_xlpm.steps)-2),0)))</f>
        <v>0</v>
      </c>
      <c r="E1680">
        <f>_xlfn.LET(_xlpm.dir,Table13[[#This Row],[Direction]],
IF(_xlpm.dir="L",
    IF(G1679-Table13[[#This Row],[Steps]]&lt;0,100+(G1679-Table13[[#This Row],[Steps]]),G1679-Table13[[#This Row],[Steps]]),
))</f>
        <v>0</v>
      </c>
      <c r="F1680">
        <f>_xlfn.LET(_xlpm.dir,Table13[[#This Row],[Direction]],
IF(_xlpm.dir="R",
    IF(G1679+Table13[[#This Row],[Steps]]&gt;99,(G1679+Table13[[#This Row],[Steps]])-100,G1679+Table13[[#This Row],[Steps]]),
))</f>
        <v>73</v>
      </c>
      <c r="G1680">
        <f>IF(Table13[[#This Row],[New Pos L]]&lt;&gt;0,Table13[[#This Row],[New Pos L]],Table13[[#This Row],[New Pos R]])</f>
        <v>73</v>
      </c>
      <c r="H1680">
        <f>IF(AND(Table13[[#This Row],[Direction]]="L",Table13[[#This Row],[Steps]]&gt;G1679,G1679&lt;&gt;0),1,0)</f>
        <v>0</v>
      </c>
      <c r="I1680">
        <f>IF(AND(Table13[[#This Row],[Direction]]="R",(G1679+Table13[[#This Row],[Steps]])&gt;100),1,0)</f>
        <v>0</v>
      </c>
      <c r="J1680">
        <f>IF(Table13[[#This Row],[POS]]=0,1,0)</f>
        <v>0</v>
      </c>
      <c r="K1680">
        <f>SUM(Table13[[#This Row],[prefix]],Table13[[#This Row],[Past zero L]],Table13[[#This Row],[Past Zero R]],Table13[[#This Row],[Is Zero]])</f>
        <v>0</v>
      </c>
    </row>
    <row r="1681" spans="1:11" ht="16" x14ac:dyDescent="0.2">
      <c r="A1681" s="1" t="s">
        <v>69</v>
      </c>
      <c r="B1681" t="str">
        <f>LEFT(Table13[[#This Row],[Input]],1)</f>
        <v>R</v>
      </c>
      <c r="C1681">
        <f>_xlfn.LET(_xlpm.steps,SUBSTITUTE(Table13[[#This Row],[Input]],Table13[[#This Row],[Direction]],""),VALUE(IF(LEN(_xlpm.steps)&gt;2,RIGHT(_xlpm.steps,2),_xlpm.steps)))</f>
        <v>27</v>
      </c>
      <c r="D1681">
        <f>_xlfn.LET(_xlpm.steps,SUBSTITUTE(Table13[[#This Row],[Input]],Table13[[#This Row],[Direction]],""),VALUE(IF(LEN(_xlpm.steps)&gt;2,LEFT(_xlpm.steps,LEN(_xlpm.steps)-2),0)))</f>
        <v>0</v>
      </c>
      <c r="E1681">
        <f>_xlfn.LET(_xlpm.dir,Table13[[#This Row],[Direction]],
IF(_xlpm.dir="L",
    IF(G1680-Table13[[#This Row],[Steps]]&lt;0,100+(G1680-Table13[[#This Row],[Steps]]),G1680-Table13[[#This Row],[Steps]]),
))</f>
        <v>0</v>
      </c>
      <c r="F1681">
        <f>_xlfn.LET(_xlpm.dir,Table13[[#This Row],[Direction]],
IF(_xlpm.dir="R",
    IF(G1680+Table13[[#This Row],[Steps]]&gt;99,(G1680+Table13[[#This Row],[Steps]])-100,G1680+Table13[[#This Row],[Steps]]),
))</f>
        <v>0</v>
      </c>
      <c r="G1681">
        <f>IF(Table13[[#This Row],[New Pos L]]&lt;&gt;0,Table13[[#This Row],[New Pos L]],Table13[[#This Row],[New Pos R]])</f>
        <v>0</v>
      </c>
      <c r="H1681">
        <f>IF(AND(Table13[[#This Row],[Direction]]="L",Table13[[#This Row],[Steps]]&gt;G1680,G1680&lt;&gt;0),1,0)</f>
        <v>0</v>
      </c>
      <c r="I1681">
        <f>IF(AND(Table13[[#This Row],[Direction]]="R",(G1680+Table13[[#This Row],[Steps]])&gt;100),1,0)</f>
        <v>0</v>
      </c>
      <c r="J1681">
        <f>IF(Table13[[#This Row],[POS]]=0,1,0)</f>
        <v>1</v>
      </c>
      <c r="K1681">
        <f>SUM(Table13[[#This Row],[prefix]],Table13[[#This Row],[Past zero L]],Table13[[#This Row],[Past Zero R]],Table13[[#This Row],[Is Zero]])</f>
        <v>1</v>
      </c>
    </row>
    <row r="1682" spans="1:11" ht="16" x14ac:dyDescent="0.2">
      <c r="A1682" s="1" t="s">
        <v>201</v>
      </c>
      <c r="B1682" t="str">
        <f>LEFT(Table13[[#This Row],[Input]],1)</f>
        <v>R</v>
      </c>
      <c r="C1682">
        <f>_xlfn.LET(_xlpm.steps,SUBSTITUTE(Table13[[#This Row],[Input]],Table13[[#This Row],[Direction]],""),VALUE(IF(LEN(_xlpm.steps)&gt;2,RIGHT(_xlpm.steps,2),_xlpm.steps)))</f>
        <v>31</v>
      </c>
      <c r="D1682">
        <f>_xlfn.LET(_xlpm.steps,SUBSTITUTE(Table13[[#This Row],[Input]],Table13[[#This Row],[Direction]],""),VALUE(IF(LEN(_xlpm.steps)&gt;2,LEFT(_xlpm.steps,LEN(_xlpm.steps)-2),0)))</f>
        <v>0</v>
      </c>
      <c r="E1682">
        <f>_xlfn.LET(_xlpm.dir,Table13[[#This Row],[Direction]],
IF(_xlpm.dir="L",
    IF(G1681-Table13[[#This Row],[Steps]]&lt;0,100+(G1681-Table13[[#This Row],[Steps]]),G1681-Table13[[#This Row],[Steps]]),
))</f>
        <v>0</v>
      </c>
      <c r="F1682">
        <f>_xlfn.LET(_xlpm.dir,Table13[[#This Row],[Direction]],
IF(_xlpm.dir="R",
    IF(G1681+Table13[[#This Row],[Steps]]&gt;99,(G1681+Table13[[#This Row],[Steps]])-100,G1681+Table13[[#This Row],[Steps]]),
))</f>
        <v>31</v>
      </c>
      <c r="G1682">
        <f>IF(Table13[[#This Row],[New Pos L]]&lt;&gt;0,Table13[[#This Row],[New Pos L]],Table13[[#This Row],[New Pos R]])</f>
        <v>31</v>
      </c>
      <c r="H1682">
        <f>IF(AND(Table13[[#This Row],[Direction]]="L",Table13[[#This Row],[Steps]]&gt;G1681,G1681&lt;&gt;0),1,0)</f>
        <v>0</v>
      </c>
      <c r="I1682">
        <f>IF(AND(Table13[[#This Row],[Direction]]="R",(G1681+Table13[[#This Row],[Steps]])&gt;100),1,0)</f>
        <v>0</v>
      </c>
      <c r="J1682">
        <f>IF(Table13[[#This Row],[POS]]=0,1,0)</f>
        <v>0</v>
      </c>
      <c r="K1682">
        <f>SUM(Table13[[#This Row],[prefix]],Table13[[#This Row],[Past zero L]],Table13[[#This Row],[Past Zero R]],Table13[[#This Row],[Is Zero]])</f>
        <v>0</v>
      </c>
    </row>
    <row r="1683" spans="1:11" ht="16" x14ac:dyDescent="0.2">
      <c r="A1683" s="1" t="s">
        <v>36</v>
      </c>
      <c r="B1683" t="str">
        <f>LEFT(Table13[[#This Row],[Input]],1)</f>
        <v>R</v>
      </c>
      <c r="C1683">
        <f>_xlfn.LET(_xlpm.steps,SUBSTITUTE(Table13[[#This Row],[Input]],Table13[[#This Row],[Direction]],""),VALUE(IF(LEN(_xlpm.steps)&gt;2,RIGHT(_xlpm.steps,2),_xlpm.steps)))</f>
        <v>50</v>
      </c>
      <c r="D1683">
        <f>_xlfn.LET(_xlpm.steps,SUBSTITUTE(Table13[[#This Row],[Input]],Table13[[#This Row],[Direction]],""),VALUE(IF(LEN(_xlpm.steps)&gt;2,LEFT(_xlpm.steps,LEN(_xlpm.steps)-2),0)))</f>
        <v>0</v>
      </c>
      <c r="E1683">
        <f>_xlfn.LET(_xlpm.dir,Table13[[#This Row],[Direction]],
IF(_xlpm.dir="L",
    IF(G1682-Table13[[#This Row],[Steps]]&lt;0,100+(G1682-Table13[[#This Row],[Steps]]),G1682-Table13[[#This Row],[Steps]]),
))</f>
        <v>0</v>
      </c>
      <c r="F1683">
        <f>_xlfn.LET(_xlpm.dir,Table13[[#This Row],[Direction]],
IF(_xlpm.dir="R",
    IF(G1682+Table13[[#This Row],[Steps]]&gt;99,(G1682+Table13[[#This Row],[Steps]])-100,G1682+Table13[[#This Row],[Steps]]),
))</f>
        <v>81</v>
      </c>
      <c r="G1683">
        <f>IF(Table13[[#This Row],[New Pos L]]&lt;&gt;0,Table13[[#This Row],[New Pos L]],Table13[[#This Row],[New Pos R]])</f>
        <v>81</v>
      </c>
      <c r="H1683">
        <f>IF(AND(Table13[[#This Row],[Direction]]="L",Table13[[#This Row],[Steps]]&gt;G1682,G1682&lt;&gt;0),1,0)</f>
        <v>0</v>
      </c>
      <c r="I1683">
        <f>IF(AND(Table13[[#This Row],[Direction]]="R",(G1682+Table13[[#This Row],[Steps]])&gt;100),1,0)</f>
        <v>0</v>
      </c>
      <c r="J1683">
        <f>IF(Table13[[#This Row],[POS]]=0,1,0)</f>
        <v>0</v>
      </c>
      <c r="K1683">
        <f>SUM(Table13[[#This Row],[prefix]],Table13[[#This Row],[Past zero L]],Table13[[#This Row],[Past Zero R]],Table13[[#This Row],[Is Zero]])</f>
        <v>0</v>
      </c>
    </row>
    <row r="1684" spans="1:11" ht="16" x14ac:dyDescent="0.2">
      <c r="A1684" s="1" t="s">
        <v>356</v>
      </c>
      <c r="B1684" t="str">
        <f>LEFT(Table13[[#This Row],[Input]],1)</f>
        <v>L</v>
      </c>
      <c r="C1684">
        <f>_xlfn.LET(_xlpm.steps,SUBSTITUTE(Table13[[#This Row],[Input]],Table13[[#This Row],[Direction]],""),VALUE(IF(LEN(_xlpm.steps)&gt;2,RIGHT(_xlpm.steps,2),_xlpm.steps)))</f>
        <v>51</v>
      </c>
      <c r="D1684">
        <f>_xlfn.LET(_xlpm.steps,SUBSTITUTE(Table13[[#This Row],[Input]],Table13[[#This Row],[Direction]],""),VALUE(IF(LEN(_xlpm.steps)&gt;2,LEFT(_xlpm.steps,LEN(_xlpm.steps)-2),0)))</f>
        <v>3</v>
      </c>
      <c r="E1684">
        <f>_xlfn.LET(_xlpm.dir,Table13[[#This Row],[Direction]],
IF(_xlpm.dir="L",
    IF(G1683-Table13[[#This Row],[Steps]]&lt;0,100+(G1683-Table13[[#This Row],[Steps]]),G1683-Table13[[#This Row],[Steps]]),
))</f>
        <v>30</v>
      </c>
      <c r="F1684">
        <f>_xlfn.LET(_xlpm.dir,Table13[[#This Row],[Direction]],
IF(_xlpm.dir="R",
    IF(G1683+Table13[[#This Row],[Steps]]&gt;99,(G1683+Table13[[#This Row],[Steps]])-100,G1683+Table13[[#This Row],[Steps]]),
))</f>
        <v>0</v>
      </c>
      <c r="G1684">
        <f>IF(Table13[[#This Row],[New Pos L]]&lt;&gt;0,Table13[[#This Row],[New Pos L]],Table13[[#This Row],[New Pos R]])</f>
        <v>30</v>
      </c>
      <c r="H1684">
        <f>IF(AND(Table13[[#This Row],[Direction]]="L",Table13[[#This Row],[Steps]]&gt;G1683,G1683&lt;&gt;0),1,0)</f>
        <v>0</v>
      </c>
      <c r="I1684">
        <f>IF(AND(Table13[[#This Row],[Direction]]="R",(G1683+Table13[[#This Row],[Steps]])&gt;100),1,0)</f>
        <v>0</v>
      </c>
      <c r="J1684">
        <f>IF(Table13[[#This Row],[POS]]=0,1,0)</f>
        <v>0</v>
      </c>
      <c r="K1684">
        <f>SUM(Table13[[#This Row],[prefix]],Table13[[#This Row],[Past zero L]],Table13[[#This Row],[Past Zero R]],Table13[[#This Row],[Is Zero]])</f>
        <v>3</v>
      </c>
    </row>
    <row r="1685" spans="1:11" ht="16" x14ac:dyDescent="0.2">
      <c r="A1685" s="1" t="s">
        <v>66</v>
      </c>
      <c r="B1685" t="str">
        <f>LEFT(Table13[[#This Row],[Input]],1)</f>
        <v>R</v>
      </c>
      <c r="C1685">
        <f>_xlfn.LET(_xlpm.steps,SUBSTITUTE(Table13[[#This Row],[Input]],Table13[[#This Row],[Direction]],""),VALUE(IF(LEN(_xlpm.steps)&gt;2,RIGHT(_xlpm.steps,2),_xlpm.steps)))</f>
        <v>45</v>
      </c>
      <c r="D1685">
        <f>_xlfn.LET(_xlpm.steps,SUBSTITUTE(Table13[[#This Row],[Input]],Table13[[#This Row],[Direction]],""),VALUE(IF(LEN(_xlpm.steps)&gt;2,LEFT(_xlpm.steps,LEN(_xlpm.steps)-2),0)))</f>
        <v>0</v>
      </c>
      <c r="E1685">
        <f>_xlfn.LET(_xlpm.dir,Table13[[#This Row],[Direction]],
IF(_xlpm.dir="L",
    IF(G1684-Table13[[#This Row],[Steps]]&lt;0,100+(G1684-Table13[[#This Row],[Steps]]),G1684-Table13[[#This Row],[Steps]]),
))</f>
        <v>0</v>
      </c>
      <c r="F1685">
        <f>_xlfn.LET(_xlpm.dir,Table13[[#This Row],[Direction]],
IF(_xlpm.dir="R",
    IF(G1684+Table13[[#This Row],[Steps]]&gt;99,(G1684+Table13[[#This Row],[Steps]])-100,G1684+Table13[[#This Row],[Steps]]),
))</f>
        <v>75</v>
      </c>
      <c r="G1685">
        <f>IF(Table13[[#This Row],[New Pos L]]&lt;&gt;0,Table13[[#This Row],[New Pos L]],Table13[[#This Row],[New Pos R]])</f>
        <v>75</v>
      </c>
      <c r="H1685">
        <f>IF(AND(Table13[[#This Row],[Direction]]="L",Table13[[#This Row],[Steps]]&gt;G1684,G1684&lt;&gt;0),1,0)</f>
        <v>0</v>
      </c>
      <c r="I1685">
        <f>IF(AND(Table13[[#This Row],[Direction]]="R",(G1684+Table13[[#This Row],[Steps]])&gt;100),1,0)</f>
        <v>0</v>
      </c>
      <c r="J1685">
        <f>IF(Table13[[#This Row],[POS]]=0,1,0)</f>
        <v>0</v>
      </c>
      <c r="K1685">
        <f>SUM(Table13[[#This Row],[prefix]],Table13[[#This Row],[Past zero L]],Table13[[#This Row],[Past Zero R]],Table13[[#This Row],[Is Zero]])</f>
        <v>0</v>
      </c>
    </row>
    <row r="1686" spans="1:11" ht="16" x14ac:dyDescent="0.2">
      <c r="A1686" s="1" t="s">
        <v>54</v>
      </c>
      <c r="B1686" t="str">
        <f>LEFT(Table13[[#This Row],[Input]],1)</f>
        <v>L</v>
      </c>
      <c r="C1686">
        <f>_xlfn.LET(_xlpm.steps,SUBSTITUTE(Table13[[#This Row],[Input]],Table13[[#This Row],[Direction]],""),VALUE(IF(LEN(_xlpm.steps)&gt;2,RIGHT(_xlpm.steps,2),_xlpm.steps)))</f>
        <v>75</v>
      </c>
      <c r="D1686">
        <f>_xlfn.LET(_xlpm.steps,SUBSTITUTE(Table13[[#This Row],[Input]],Table13[[#This Row],[Direction]],""),VALUE(IF(LEN(_xlpm.steps)&gt;2,LEFT(_xlpm.steps,LEN(_xlpm.steps)-2),0)))</f>
        <v>0</v>
      </c>
      <c r="E1686">
        <f>_xlfn.LET(_xlpm.dir,Table13[[#This Row],[Direction]],
IF(_xlpm.dir="L",
    IF(G1685-Table13[[#This Row],[Steps]]&lt;0,100+(G1685-Table13[[#This Row],[Steps]]),G1685-Table13[[#This Row],[Steps]]),
))</f>
        <v>0</v>
      </c>
      <c r="F1686">
        <f>_xlfn.LET(_xlpm.dir,Table13[[#This Row],[Direction]],
IF(_xlpm.dir="R",
    IF(G1685+Table13[[#This Row],[Steps]]&gt;99,(G1685+Table13[[#This Row],[Steps]])-100,G1685+Table13[[#This Row],[Steps]]),
))</f>
        <v>0</v>
      </c>
      <c r="G1686">
        <f>IF(Table13[[#This Row],[New Pos L]]&lt;&gt;0,Table13[[#This Row],[New Pos L]],Table13[[#This Row],[New Pos R]])</f>
        <v>0</v>
      </c>
      <c r="H1686">
        <f>IF(AND(Table13[[#This Row],[Direction]]="L",Table13[[#This Row],[Steps]]&gt;G1685,G1685&lt;&gt;0),1,0)</f>
        <v>0</v>
      </c>
      <c r="I1686">
        <f>IF(AND(Table13[[#This Row],[Direction]]="R",(G1685+Table13[[#This Row],[Steps]])&gt;100),1,0)</f>
        <v>0</v>
      </c>
      <c r="J1686">
        <f>IF(Table13[[#This Row],[POS]]=0,1,0)</f>
        <v>1</v>
      </c>
      <c r="K1686">
        <f>SUM(Table13[[#This Row],[prefix]],Table13[[#This Row],[Past zero L]],Table13[[#This Row],[Past Zero R]],Table13[[#This Row],[Is Zero]])</f>
        <v>1</v>
      </c>
    </row>
    <row r="1687" spans="1:11" ht="16" x14ac:dyDescent="0.2">
      <c r="A1687" s="1" t="s">
        <v>120</v>
      </c>
      <c r="B1687" t="str">
        <f>LEFT(Table13[[#This Row],[Input]],1)</f>
        <v>L</v>
      </c>
      <c r="C1687">
        <f>_xlfn.LET(_xlpm.steps,SUBSTITUTE(Table13[[#This Row],[Input]],Table13[[#This Row],[Direction]],""),VALUE(IF(LEN(_xlpm.steps)&gt;2,RIGHT(_xlpm.steps,2),_xlpm.steps)))</f>
        <v>23</v>
      </c>
      <c r="D1687">
        <f>_xlfn.LET(_xlpm.steps,SUBSTITUTE(Table13[[#This Row],[Input]],Table13[[#This Row],[Direction]],""),VALUE(IF(LEN(_xlpm.steps)&gt;2,LEFT(_xlpm.steps,LEN(_xlpm.steps)-2),0)))</f>
        <v>0</v>
      </c>
      <c r="E1687">
        <f>_xlfn.LET(_xlpm.dir,Table13[[#This Row],[Direction]],
IF(_xlpm.dir="L",
    IF(G1686-Table13[[#This Row],[Steps]]&lt;0,100+(G1686-Table13[[#This Row],[Steps]]),G1686-Table13[[#This Row],[Steps]]),
))</f>
        <v>77</v>
      </c>
      <c r="F1687">
        <f>_xlfn.LET(_xlpm.dir,Table13[[#This Row],[Direction]],
IF(_xlpm.dir="R",
    IF(G1686+Table13[[#This Row],[Steps]]&gt;99,(G1686+Table13[[#This Row],[Steps]])-100,G1686+Table13[[#This Row],[Steps]]),
))</f>
        <v>0</v>
      </c>
      <c r="G1687">
        <f>IF(Table13[[#This Row],[New Pos L]]&lt;&gt;0,Table13[[#This Row],[New Pos L]],Table13[[#This Row],[New Pos R]])</f>
        <v>77</v>
      </c>
      <c r="H1687">
        <f>IF(AND(Table13[[#This Row],[Direction]]="L",Table13[[#This Row],[Steps]]&gt;G1686,G1686&lt;&gt;0),1,0)</f>
        <v>0</v>
      </c>
      <c r="I1687">
        <f>IF(AND(Table13[[#This Row],[Direction]]="R",(G1686+Table13[[#This Row],[Steps]])&gt;100),1,0)</f>
        <v>0</v>
      </c>
      <c r="J1687">
        <f>IF(Table13[[#This Row],[POS]]=0,1,0)</f>
        <v>0</v>
      </c>
      <c r="K1687">
        <f>SUM(Table13[[#This Row],[prefix]],Table13[[#This Row],[Past zero L]],Table13[[#This Row],[Past Zero R]],Table13[[#This Row],[Is Zero]])</f>
        <v>0</v>
      </c>
    </row>
    <row r="1688" spans="1:11" ht="16" x14ac:dyDescent="0.2">
      <c r="A1688" s="1" t="s">
        <v>119</v>
      </c>
      <c r="B1688" t="str">
        <f>LEFT(Table13[[#This Row],[Input]],1)</f>
        <v>L</v>
      </c>
      <c r="C1688">
        <f>_xlfn.LET(_xlpm.steps,SUBSTITUTE(Table13[[#This Row],[Input]],Table13[[#This Row],[Direction]],""),VALUE(IF(LEN(_xlpm.steps)&gt;2,RIGHT(_xlpm.steps,2),_xlpm.steps)))</f>
        <v>77</v>
      </c>
      <c r="D1688">
        <f>_xlfn.LET(_xlpm.steps,SUBSTITUTE(Table13[[#This Row],[Input]],Table13[[#This Row],[Direction]],""),VALUE(IF(LEN(_xlpm.steps)&gt;2,LEFT(_xlpm.steps,LEN(_xlpm.steps)-2),0)))</f>
        <v>0</v>
      </c>
      <c r="E1688">
        <f>_xlfn.LET(_xlpm.dir,Table13[[#This Row],[Direction]],
IF(_xlpm.dir="L",
    IF(G1687-Table13[[#This Row],[Steps]]&lt;0,100+(G1687-Table13[[#This Row],[Steps]]),G1687-Table13[[#This Row],[Steps]]),
))</f>
        <v>0</v>
      </c>
      <c r="F1688">
        <f>_xlfn.LET(_xlpm.dir,Table13[[#This Row],[Direction]],
IF(_xlpm.dir="R",
    IF(G1687+Table13[[#This Row],[Steps]]&gt;99,(G1687+Table13[[#This Row],[Steps]])-100,G1687+Table13[[#This Row],[Steps]]),
))</f>
        <v>0</v>
      </c>
      <c r="G1688">
        <f>IF(Table13[[#This Row],[New Pos L]]&lt;&gt;0,Table13[[#This Row],[New Pos L]],Table13[[#This Row],[New Pos R]])</f>
        <v>0</v>
      </c>
      <c r="H1688">
        <f>IF(AND(Table13[[#This Row],[Direction]]="L",Table13[[#This Row],[Steps]]&gt;G1687,G1687&lt;&gt;0),1,0)</f>
        <v>0</v>
      </c>
      <c r="I1688">
        <f>IF(AND(Table13[[#This Row],[Direction]]="R",(G1687+Table13[[#This Row],[Steps]])&gt;100),1,0)</f>
        <v>0</v>
      </c>
      <c r="J1688">
        <f>IF(Table13[[#This Row],[POS]]=0,1,0)</f>
        <v>1</v>
      </c>
      <c r="K1688">
        <f>SUM(Table13[[#This Row],[prefix]],Table13[[#This Row],[Past zero L]],Table13[[#This Row],[Past Zero R]],Table13[[#This Row],[Is Zero]])</f>
        <v>1</v>
      </c>
    </row>
    <row r="1689" spans="1:11" ht="16" x14ac:dyDescent="0.2">
      <c r="A1689" s="1" t="s">
        <v>483</v>
      </c>
      <c r="B1689" t="str">
        <f>LEFT(Table13[[#This Row],[Input]],1)</f>
        <v>R</v>
      </c>
      <c r="C1689">
        <f>_xlfn.LET(_xlpm.steps,SUBSTITUTE(Table13[[#This Row],[Input]],Table13[[#This Row],[Direction]],""),VALUE(IF(LEN(_xlpm.steps)&gt;2,RIGHT(_xlpm.steps,2),_xlpm.steps)))</f>
        <v>14</v>
      </c>
      <c r="D1689">
        <f>_xlfn.LET(_xlpm.steps,SUBSTITUTE(Table13[[#This Row],[Input]],Table13[[#This Row],[Direction]],""),VALUE(IF(LEN(_xlpm.steps)&gt;2,LEFT(_xlpm.steps,LEN(_xlpm.steps)-2),0)))</f>
        <v>5</v>
      </c>
      <c r="E1689">
        <f>_xlfn.LET(_xlpm.dir,Table13[[#This Row],[Direction]],
IF(_xlpm.dir="L",
    IF(G1688-Table13[[#This Row],[Steps]]&lt;0,100+(G1688-Table13[[#This Row],[Steps]]),G1688-Table13[[#This Row],[Steps]]),
))</f>
        <v>0</v>
      </c>
      <c r="F1689">
        <f>_xlfn.LET(_xlpm.dir,Table13[[#This Row],[Direction]],
IF(_xlpm.dir="R",
    IF(G1688+Table13[[#This Row],[Steps]]&gt;99,(G1688+Table13[[#This Row],[Steps]])-100,G1688+Table13[[#This Row],[Steps]]),
))</f>
        <v>14</v>
      </c>
      <c r="G1689">
        <f>IF(Table13[[#This Row],[New Pos L]]&lt;&gt;0,Table13[[#This Row],[New Pos L]],Table13[[#This Row],[New Pos R]])</f>
        <v>14</v>
      </c>
      <c r="H1689">
        <f>IF(AND(Table13[[#This Row],[Direction]]="L",Table13[[#This Row],[Steps]]&gt;G1688,G1688&lt;&gt;0),1,0)</f>
        <v>0</v>
      </c>
      <c r="I1689">
        <f>IF(AND(Table13[[#This Row],[Direction]]="R",(G1688+Table13[[#This Row],[Steps]])&gt;100),1,0)</f>
        <v>0</v>
      </c>
      <c r="J1689">
        <f>IF(Table13[[#This Row],[POS]]=0,1,0)</f>
        <v>0</v>
      </c>
      <c r="K1689">
        <f>SUM(Table13[[#This Row],[prefix]],Table13[[#This Row],[Past zero L]],Table13[[#This Row],[Past Zero R]],Table13[[#This Row],[Is Zero]])</f>
        <v>5</v>
      </c>
    </row>
    <row r="1690" spans="1:11" ht="16" x14ac:dyDescent="0.2">
      <c r="A1690" s="1" t="s">
        <v>60</v>
      </c>
      <c r="B1690" t="str">
        <f>LEFT(Table13[[#This Row],[Input]],1)</f>
        <v>R</v>
      </c>
      <c r="C1690">
        <f>_xlfn.LET(_xlpm.steps,SUBSTITUTE(Table13[[#This Row],[Input]],Table13[[#This Row],[Direction]],""),VALUE(IF(LEN(_xlpm.steps)&gt;2,RIGHT(_xlpm.steps,2),_xlpm.steps)))</f>
        <v>86</v>
      </c>
      <c r="D1690">
        <f>_xlfn.LET(_xlpm.steps,SUBSTITUTE(Table13[[#This Row],[Input]],Table13[[#This Row],[Direction]],""),VALUE(IF(LEN(_xlpm.steps)&gt;2,LEFT(_xlpm.steps,LEN(_xlpm.steps)-2),0)))</f>
        <v>0</v>
      </c>
      <c r="E1690">
        <f>_xlfn.LET(_xlpm.dir,Table13[[#This Row],[Direction]],
IF(_xlpm.dir="L",
    IF(G1689-Table13[[#This Row],[Steps]]&lt;0,100+(G1689-Table13[[#This Row],[Steps]]),G1689-Table13[[#This Row],[Steps]]),
))</f>
        <v>0</v>
      </c>
      <c r="F1690">
        <f>_xlfn.LET(_xlpm.dir,Table13[[#This Row],[Direction]],
IF(_xlpm.dir="R",
    IF(G1689+Table13[[#This Row],[Steps]]&gt;99,(G1689+Table13[[#This Row],[Steps]])-100,G1689+Table13[[#This Row],[Steps]]),
))</f>
        <v>0</v>
      </c>
      <c r="G1690">
        <f>IF(Table13[[#This Row],[New Pos L]]&lt;&gt;0,Table13[[#This Row],[New Pos L]],Table13[[#This Row],[New Pos R]])</f>
        <v>0</v>
      </c>
      <c r="H1690">
        <f>IF(AND(Table13[[#This Row],[Direction]]="L",Table13[[#This Row],[Steps]]&gt;G1689,G1689&lt;&gt;0),1,0)</f>
        <v>0</v>
      </c>
      <c r="I1690">
        <f>IF(AND(Table13[[#This Row],[Direction]]="R",(G1689+Table13[[#This Row],[Steps]])&gt;100),1,0)</f>
        <v>0</v>
      </c>
      <c r="J1690">
        <f>IF(Table13[[#This Row],[POS]]=0,1,0)</f>
        <v>1</v>
      </c>
      <c r="K1690">
        <f>SUM(Table13[[#This Row],[prefix]],Table13[[#This Row],[Past zero L]],Table13[[#This Row],[Past Zero R]],Table13[[#This Row],[Is Zero]])</f>
        <v>1</v>
      </c>
    </row>
    <row r="1691" spans="1:11" ht="16" x14ac:dyDescent="0.2">
      <c r="A1691" s="1" t="s">
        <v>33</v>
      </c>
      <c r="B1691" t="str">
        <f>LEFT(Table13[[#This Row],[Input]],1)</f>
        <v>R</v>
      </c>
      <c r="C1691">
        <f>_xlfn.LET(_xlpm.steps,SUBSTITUTE(Table13[[#This Row],[Input]],Table13[[#This Row],[Direction]],""),VALUE(IF(LEN(_xlpm.steps)&gt;2,RIGHT(_xlpm.steps,2),_xlpm.steps)))</f>
        <v>22</v>
      </c>
      <c r="D1691">
        <f>_xlfn.LET(_xlpm.steps,SUBSTITUTE(Table13[[#This Row],[Input]],Table13[[#This Row],[Direction]],""),VALUE(IF(LEN(_xlpm.steps)&gt;2,LEFT(_xlpm.steps,LEN(_xlpm.steps)-2),0)))</f>
        <v>0</v>
      </c>
      <c r="E1691">
        <f>_xlfn.LET(_xlpm.dir,Table13[[#This Row],[Direction]],
IF(_xlpm.dir="L",
    IF(G1690-Table13[[#This Row],[Steps]]&lt;0,100+(G1690-Table13[[#This Row],[Steps]]),G1690-Table13[[#This Row],[Steps]]),
))</f>
        <v>0</v>
      </c>
      <c r="F1691">
        <f>_xlfn.LET(_xlpm.dir,Table13[[#This Row],[Direction]],
IF(_xlpm.dir="R",
    IF(G1690+Table13[[#This Row],[Steps]]&gt;99,(G1690+Table13[[#This Row],[Steps]])-100,G1690+Table13[[#This Row],[Steps]]),
))</f>
        <v>22</v>
      </c>
      <c r="G1691">
        <f>IF(Table13[[#This Row],[New Pos L]]&lt;&gt;0,Table13[[#This Row],[New Pos L]],Table13[[#This Row],[New Pos R]])</f>
        <v>22</v>
      </c>
      <c r="H1691">
        <f>IF(AND(Table13[[#This Row],[Direction]]="L",Table13[[#This Row],[Steps]]&gt;G1690,G1690&lt;&gt;0),1,0)</f>
        <v>0</v>
      </c>
      <c r="I1691">
        <f>IF(AND(Table13[[#This Row],[Direction]]="R",(G1690+Table13[[#This Row],[Steps]])&gt;100),1,0)</f>
        <v>0</v>
      </c>
      <c r="J1691">
        <f>IF(Table13[[#This Row],[POS]]=0,1,0)</f>
        <v>0</v>
      </c>
      <c r="K1691">
        <f>SUM(Table13[[#This Row],[prefix]],Table13[[#This Row],[Past zero L]],Table13[[#This Row],[Past Zero R]],Table13[[#This Row],[Is Zero]])</f>
        <v>0</v>
      </c>
    </row>
    <row r="1692" spans="1:11" ht="16" x14ac:dyDescent="0.2">
      <c r="A1692" s="1" t="s">
        <v>50</v>
      </c>
      <c r="B1692" t="str">
        <f>LEFT(Table13[[#This Row],[Input]],1)</f>
        <v>R</v>
      </c>
      <c r="C1692">
        <f>_xlfn.LET(_xlpm.steps,SUBSTITUTE(Table13[[#This Row],[Input]],Table13[[#This Row],[Direction]],""),VALUE(IF(LEN(_xlpm.steps)&gt;2,RIGHT(_xlpm.steps,2),_xlpm.steps)))</f>
        <v>78</v>
      </c>
      <c r="D1692">
        <f>_xlfn.LET(_xlpm.steps,SUBSTITUTE(Table13[[#This Row],[Input]],Table13[[#This Row],[Direction]],""),VALUE(IF(LEN(_xlpm.steps)&gt;2,LEFT(_xlpm.steps,LEN(_xlpm.steps)-2),0)))</f>
        <v>0</v>
      </c>
      <c r="E1692">
        <f>_xlfn.LET(_xlpm.dir,Table13[[#This Row],[Direction]],
IF(_xlpm.dir="L",
    IF(G1691-Table13[[#This Row],[Steps]]&lt;0,100+(G1691-Table13[[#This Row],[Steps]]),G1691-Table13[[#This Row],[Steps]]),
))</f>
        <v>0</v>
      </c>
      <c r="F1692">
        <f>_xlfn.LET(_xlpm.dir,Table13[[#This Row],[Direction]],
IF(_xlpm.dir="R",
    IF(G1691+Table13[[#This Row],[Steps]]&gt;99,(G1691+Table13[[#This Row],[Steps]])-100,G1691+Table13[[#This Row],[Steps]]),
))</f>
        <v>0</v>
      </c>
      <c r="G1692">
        <f>IF(Table13[[#This Row],[New Pos L]]&lt;&gt;0,Table13[[#This Row],[New Pos L]],Table13[[#This Row],[New Pos R]])</f>
        <v>0</v>
      </c>
      <c r="H1692">
        <f>IF(AND(Table13[[#This Row],[Direction]]="L",Table13[[#This Row],[Steps]]&gt;G1691,G1691&lt;&gt;0),1,0)</f>
        <v>0</v>
      </c>
      <c r="I1692">
        <f>IF(AND(Table13[[#This Row],[Direction]]="R",(G1691+Table13[[#This Row],[Steps]])&gt;100),1,0)</f>
        <v>0</v>
      </c>
      <c r="J1692">
        <f>IF(Table13[[#This Row],[POS]]=0,1,0)</f>
        <v>1</v>
      </c>
      <c r="K1692">
        <f>SUM(Table13[[#This Row],[prefix]],Table13[[#This Row],[Past zero L]],Table13[[#This Row],[Past Zero R]],Table13[[#This Row],[Is Zero]])</f>
        <v>1</v>
      </c>
    </row>
    <row r="1693" spans="1:11" ht="16" x14ac:dyDescent="0.2">
      <c r="A1693" s="1" t="s">
        <v>94</v>
      </c>
      <c r="B1693" t="str">
        <f>LEFT(Table13[[#This Row],[Input]],1)</f>
        <v>L</v>
      </c>
      <c r="C1693">
        <f>_xlfn.LET(_xlpm.steps,SUBSTITUTE(Table13[[#This Row],[Input]],Table13[[#This Row],[Direction]],""),VALUE(IF(LEN(_xlpm.steps)&gt;2,RIGHT(_xlpm.steps,2),_xlpm.steps)))</f>
        <v>71</v>
      </c>
      <c r="D1693">
        <f>_xlfn.LET(_xlpm.steps,SUBSTITUTE(Table13[[#This Row],[Input]],Table13[[#This Row],[Direction]],""),VALUE(IF(LEN(_xlpm.steps)&gt;2,LEFT(_xlpm.steps,LEN(_xlpm.steps)-2),0)))</f>
        <v>0</v>
      </c>
      <c r="E1693">
        <f>_xlfn.LET(_xlpm.dir,Table13[[#This Row],[Direction]],
IF(_xlpm.dir="L",
    IF(G1692-Table13[[#This Row],[Steps]]&lt;0,100+(G1692-Table13[[#This Row],[Steps]]),G1692-Table13[[#This Row],[Steps]]),
))</f>
        <v>29</v>
      </c>
      <c r="F1693">
        <f>_xlfn.LET(_xlpm.dir,Table13[[#This Row],[Direction]],
IF(_xlpm.dir="R",
    IF(G1692+Table13[[#This Row],[Steps]]&gt;99,(G1692+Table13[[#This Row],[Steps]])-100,G1692+Table13[[#This Row],[Steps]]),
))</f>
        <v>0</v>
      </c>
      <c r="G1693">
        <f>IF(Table13[[#This Row],[New Pos L]]&lt;&gt;0,Table13[[#This Row],[New Pos L]],Table13[[#This Row],[New Pos R]])</f>
        <v>29</v>
      </c>
      <c r="H1693">
        <f>IF(AND(Table13[[#This Row],[Direction]]="L",Table13[[#This Row],[Steps]]&gt;G1692,G1692&lt;&gt;0),1,0)</f>
        <v>0</v>
      </c>
      <c r="I1693">
        <f>IF(AND(Table13[[#This Row],[Direction]]="R",(G1692+Table13[[#This Row],[Steps]])&gt;100),1,0)</f>
        <v>0</v>
      </c>
      <c r="J1693">
        <f>IF(Table13[[#This Row],[POS]]=0,1,0)</f>
        <v>0</v>
      </c>
      <c r="K1693">
        <f>SUM(Table13[[#This Row],[prefix]],Table13[[#This Row],[Past zero L]],Table13[[#This Row],[Past Zero R]],Table13[[#This Row],[Is Zero]])</f>
        <v>0</v>
      </c>
    </row>
    <row r="1694" spans="1:11" ht="16" x14ac:dyDescent="0.2">
      <c r="A1694" s="1" t="s">
        <v>484</v>
      </c>
      <c r="B1694" t="str">
        <f>LEFT(Table13[[#This Row],[Input]],1)</f>
        <v>L</v>
      </c>
      <c r="C1694">
        <f>_xlfn.LET(_xlpm.steps,SUBSTITUTE(Table13[[#This Row],[Input]],Table13[[#This Row],[Direction]],""),VALUE(IF(LEN(_xlpm.steps)&gt;2,RIGHT(_xlpm.steps,2),_xlpm.steps)))</f>
        <v>25</v>
      </c>
      <c r="D1694">
        <f>_xlfn.LET(_xlpm.steps,SUBSTITUTE(Table13[[#This Row],[Input]],Table13[[#This Row],[Direction]],""),VALUE(IF(LEN(_xlpm.steps)&gt;2,LEFT(_xlpm.steps,LEN(_xlpm.steps)-2),0)))</f>
        <v>3</v>
      </c>
      <c r="E1694">
        <f>_xlfn.LET(_xlpm.dir,Table13[[#This Row],[Direction]],
IF(_xlpm.dir="L",
    IF(G1693-Table13[[#This Row],[Steps]]&lt;0,100+(G1693-Table13[[#This Row],[Steps]]),G1693-Table13[[#This Row],[Steps]]),
))</f>
        <v>4</v>
      </c>
      <c r="F1694">
        <f>_xlfn.LET(_xlpm.dir,Table13[[#This Row],[Direction]],
IF(_xlpm.dir="R",
    IF(G1693+Table13[[#This Row],[Steps]]&gt;99,(G1693+Table13[[#This Row],[Steps]])-100,G1693+Table13[[#This Row],[Steps]]),
))</f>
        <v>0</v>
      </c>
      <c r="G1694">
        <f>IF(Table13[[#This Row],[New Pos L]]&lt;&gt;0,Table13[[#This Row],[New Pos L]],Table13[[#This Row],[New Pos R]])</f>
        <v>4</v>
      </c>
      <c r="H1694">
        <f>IF(AND(Table13[[#This Row],[Direction]]="L",Table13[[#This Row],[Steps]]&gt;G1693,G1693&lt;&gt;0),1,0)</f>
        <v>0</v>
      </c>
      <c r="I1694">
        <f>IF(AND(Table13[[#This Row],[Direction]]="R",(G1693+Table13[[#This Row],[Steps]])&gt;100),1,0)</f>
        <v>0</v>
      </c>
      <c r="J1694">
        <f>IF(Table13[[#This Row],[POS]]=0,1,0)</f>
        <v>0</v>
      </c>
      <c r="K1694">
        <f>SUM(Table13[[#This Row],[prefix]],Table13[[#This Row],[Past zero L]],Table13[[#This Row],[Past Zero R]],Table13[[#This Row],[Is Zero]])</f>
        <v>3</v>
      </c>
    </row>
    <row r="1695" spans="1:11" ht="16" x14ac:dyDescent="0.2">
      <c r="A1695" s="1" t="s">
        <v>485</v>
      </c>
      <c r="B1695" t="str">
        <f>LEFT(Table13[[#This Row],[Input]],1)</f>
        <v>L</v>
      </c>
      <c r="C1695">
        <f>_xlfn.LET(_xlpm.steps,SUBSTITUTE(Table13[[#This Row],[Input]],Table13[[#This Row],[Direction]],""),VALUE(IF(LEN(_xlpm.steps)&gt;2,RIGHT(_xlpm.steps,2),_xlpm.steps)))</f>
        <v>4</v>
      </c>
      <c r="D1695">
        <f>_xlfn.LET(_xlpm.steps,SUBSTITUTE(Table13[[#This Row],[Input]],Table13[[#This Row],[Direction]],""),VALUE(IF(LEN(_xlpm.steps)&gt;2,LEFT(_xlpm.steps,LEN(_xlpm.steps)-2),0)))</f>
        <v>9</v>
      </c>
      <c r="E1695">
        <f>_xlfn.LET(_xlpm.dir,Table13[[#This Row],[Direction]],
IF(_xlpm.dir="L",
    IF(G1694-Table13[[#This Row],[Steps]]&lt;0,100+(G1694-Table13[[#This Row],[Steps]]),G1694-Table13[[#This Row],[Steps]]),
))</f>
        <v>0</v>
      </c>
      <c r="F1695">
        <f>_xlfn.LET(_xlpm.dir,Table13[[#This Row],[Direction]],
IF(_xlpm.dir="R",
    IF(G1694+Table13[[#This Row],[Steps]]&gt;99,(G1694+Table13[[#This Row],[Steps]])-100,G1694+Table13[[#This Row],[Steps]]),
))</f>
        <v>0</v>
      </c>
      <c r="G1695">
        <f>IF(Table13[[#This Row],[New Pos L]]&lt;&gt;0,Table13[[#This Row],[New Pos L]],Table13[[#This Row],[New Pos R]])</f>
        <v>0</v>
      </c>
      <c r="H1695">
        <f>IF(AND(Table13[[#This Row],[Direction]]="L",Table13[[#This Row],[Steps]]&gt;G1694,G1694&lt;&gt;0),1,0)</f>
        <v>0</v>
      </c>
      <c r="I1695">
        <f>IF(AND(Table13[[#This Row],[Direction]]="R",(G1694+Table13[[#This Row],[Steps]])&gt;100),1,0)</f>
        <v>0</v>
      </c>
      <c r="J1695">
        <f>IF(Table13[[#This Row],[POS]]=0,1,0)</f>
        <v>1</v>
      </c>
      <c r="K1695">
        <f>SUM(Table13[[#This Row],[prefix]],Table13[[#This Row],[Past zero L]],Table13[[#This Row],[Past Zero R]],Table13[[#This Row],[Is Zero]])</f>
        <v>10</v>
      </c>
    </row>
    <row r="1696" spans="1:11" ht="16" x14ac:dyDescent="0.2">
      <c r="A1696" s="1" t="s">
        <v>486</v>
      </c>
      <c r="B1696" t="str">
        <f>LEFT(Table13[[#This Row],[Input]],1)</f>
        <v>L</v>
      </c>
      <c r="C1696">
        <f>_xlfn.LET(_xlpm.steps,SUBSTITUTE(Table13[[#This Row],[Input]],Table13[[#This Row],[Direction]],""),VALUE(IF(LEN(_xlpm.steps)&gt;2,RIGHT(_xlpm.steps,2),_xlpm.steps)))</f>
        <v>55</v>
      </c>
      <c r="D1696">
        <f>_xlfn.LET(_xlpm.steps,SUBSTITUTE(Table13[[#This Row],[Input]],Table13[[#This Row],[Direction]],""),VALUE(IF(LEN(_xlpm.steps)&gt;2,LEFT(_xlpm.steps,LEN(_xlpm.steps)-2),0)))</f>
        <v>5</v>
      </c>
      <c r="E1696">
        <f>_xlfn.LET(_xlpm.dir,Table13[[#This Row],[Direction]],
IF(_xlpm.dir="L",
    IF(G1695-Table13[[#This Row],[Steps]]&lt;0,100+(G1695-Table13[[#This Row],[Steps]]),G1695-Table13[[#This Row],[Steps]]),
))</f>
        <v>45</v>
      </c>
      <c r="F1696">
        <f>_xlfn.LET(_xlpm.dir,Table13[[#This Row],[Direction]],
IF(_xlpm.dir="R",
    IF(G1695+Table13[[#This Row],[Steps]]&gt;99,(G1695+Table13[[#This Row],[Steps]])-100,G1695+Table13[[#This Row],[Steps]]),
))</f>
        <v>0</v>
      </c>
      <c r="G1696">
        <f>IF(Table13[[#This Row],[New Pos L]]&lt;&gt;0,Table13[[#This Row],[New Pos L]],Table13[[#This Row],[New Pos R]])</f>
        <v>45</v>
      </c>
      <c r="H1696">
        <f>IF(AND(Table13[[#This Row],[Direction]]="L",Table13[[#This Row],[Steps]]&gt;G1695,G1695&lt;&gt;0),1,0)</f>
        <v>0</v>
      </c>
      <c r="I1696">
        <f>IF(AND(Table13[[#This Row],[Direction]]="R",(G1695+Table13[[#This Row],[Steps]])&gt;100),1,0)</f>
        <v>0</v>
      </c>
      <c r="J1696">
        <f>IF(Table13[[#This Row],[POS]]=0,1,0)</f>
        <v>0</v>
      </c>
      <c r="K1696">
        <f>SUM(Table13[[#This Row],[prefix]],Table13[[#This Row],[Past zero L]],Table13[[#This Row],[Past Zero R]],Table13[[#This Row],[Is Zero]])</f>
        <v>5</v>
      </c>
    </row>
    <row r="1697" spans="1:11" ht="16" x14ac:dyDescent="0.2">
      <c r="A1697" s="1" t="s">
        <v>79</v>
      </c>
      <c r="B1697" t="str">
        <f>LEFT(Table13[[#This Row],[Input]],1)</f>
        <v>L</v>
      </c>
      <c r="C1697">
        <f>_xlfn.LET(_xlpm.steps,SUBSTITUTE(Table13[[#This Row],[Input]],Table13[[#This Row],[Direction]],""),VALUE(IF(LEN(_xlpm.steps)&gt;2,RIGHT(_xlpm.steps,2),_xlpm.steps)))</f>
        <v>45</v>
      </c>
      <c r="D1697">
        <f>_xlfn.LET(_xlpm.steps,SUBSTITUTE(Table13[[#This Row],[Input]],Table13[[#This Row],[Direction]],""),VALUE(IF(LEN(_xlpm.steps)&gt;2,LEFT(_xlpm.steps,LEN(_xlpm.steps)-2),0)))</f>
        <v>0</v>
      </c>
      <c r="E1697">
        <f>_xlfn.LET(_xlpm.dir,Table13[[#This Row],[Direction]],
IF(_xlpm.dir="L",
    IF(G1696-Table13[[#This Row],[Steps]]&lt;0,100+(G1696-Table13[[#This Row],[Steps]]),G1696-Table13[[#This Row],[Steps]]),
))</f>
        <v>0</v>
      </c>
      <c r="F1697">
        <f>_xlfn.LET(_xlpm.dir,Table13[[#This Row],[Direction]],
IF(_xlpm.dir="R",
    IF(G1696+Table13[[#This Row],[Steps]]&gt;99,(G1696+Table13[[#This Row],[Steps]])-100,G1696+Table13[[#This Row],[Steps]]),
))</f>
        <v>0</v>
      </c>
      <c r="G1697">
        <f>IF(Table13[[#This Row],[New Pos L]]&lt;&gt;0,Table13[[#This Row],[New Pos L]],Table13[[#This Row],[New Pos R]])</f>
        <v>0</v>
      </c>
      <c r="H1697">
        <f>IF(AND(Table13[[#This Row],[Direction]]="L",Table13[[#This Row],[Steps]]&gt;G1696,G1696&lt;&gt;0),1,0)</f>
        <v>0</v>
      </c>
      <c r="I1697">
        <f>IF(AND(Table13[[#This Row],[Direction]]="R",(G1696+Table13[[#This Row],[Steps]])&gt;100),1,0)</f>
        <v>0</v>
      </c>
      <c r="J1697">
        <f>IF(Table13[[#This Row],[POS]]=0,1,0)</f>
        <v>1</v>
      </c>
      <c r="K1697">
        <f>SUM(Table13[[#This Row],[prefix]],Table13[[#This Row],[Past zero L]],Table13[[#This Row],[Past Zero R]],Table13[[#This Row],[Is Zero]])</f>
        <v>1</v>
      </c>
    </row>
    <row r="1698" spans="1:11" ht="16" x14ac:dyDescent="0.2">
      <c r="A1698" s="1" t="s">
        <v>134</v>
      </c>
      <c r="B1698" t="str">
        <f>LEFT(Table13[[#This Row],[Input]],1)</f>
        <v>L</v>
      </c>
      <c r="C1698">
        <f>_xlfn.LET(_xlpm.steps,SUBSTITUTE(Table13[[#This Row],[Input]],Table13[[#This Row],[Direction]],""),VALUE(IF(LEN(_xlpm.steps)&gt;2,RIGHT(_xlpm.steps,2),_xlpm.steps)))</f>
        <v>95</v>
      </c>
      <c r="D1698">
        <f>_xlfn.LET(_xlpm.steps,SUBSTITUTE(Table13[[#This Row],[Input]],Table13[[#This Row],[Direction]],""),VALUE(IF(LEN(_xlpm.steps)&gt;2,LEFT(_xlpm.steps,LEN(_xlpm.steps)-2),0)))</f>
        <v>0</v>
      </c>
      <c r="E1698">
        <f>_xlfn.LET(_xlpm.dir,Table13[[#This Row],[Direction]],
IF(_xlpm.dir="L",
    IF(G1697-Table13[[#This Row],[Steps]]&lt;0,100+(G1697-Table13[[#This Row],[Steps]]),G1697-Table13[[#This Row],[Steps]]),
))</f>
        <v>5</v>
      </c>
      <c r="F1698">
        <f>_xlfn.LET(_xlpm.dir,Table13[[#This Row],[Direction]],
IF(_xlpm.dir="R",
    IF(G1697+Table13[[#This Row],[Steps]]&gt;99,(G1697+Table13[[#This Row],[Steps]])-100,G1697+Table13[[#This Row],[Steps]]),
))</f>
        <v>0</v>
      </c>
      <c r="G1698">
        <f>IF(Table13[[#This Row],[New Pos L]]&lt;&gt;0,Table13[[#This Row],[New Pos L]],Table13[[#This Row],[New Pos R]])</f>
        <v>5</v>
      </c>
      <c r="H1698">
        <f>IF(AND(Table13[[#This Row],[Direction]]="L",Table13[[#This Row],[Steps]]&gt;G1697,G1697&lt;&gt;0),1,0)</f>
        <v>0</v>
      </c>
      <c r="I1698">
        <f>IF(AND(Table13[[#This Row],[Direction]]="R",(G1697+Table13[[#This Row],[Steps]])&gt;100),1,0)</f>
        <v>0</v>
      </c>
      <c r="J1698">
        <f>IF(Table13[[#This Row],[POS]]=0,1,0)</f>
        <v>0</v>
      </c>
      <c r="K1698">
        <f>SUM(Table13[[#This Row],[prefix]],Table13[[#This Row],[Past zero L]],Table13[[#This Row],[Past Zero R]],Table13[[#This Row],[Is Zero]])</f>
        <v>0</v>
      </c>
    </row>
    <row r="1699" spans="1:11" ht="16" x14ac:dyDescent="0.2">
      <c r="A1699" s="1" t="s">
        <v>241</v>
      </c>
      <c r="B1699" t="str">
        <f>LEFT(Table13[[#This Row],[Input]],1)</f>
        <v>R</v>
      </c>
      <c r="C1699">
        <f>_xlfn.LET(_xlpm.steps,SUBSTITUTE(Table13[[#This Row],[Input]],Table13[[#This Row],[Direction]],""),VALUE(IF(LEN(_xlpm.steps)&gt;2,RIGHT(_xlpm.steps,2),_xlpm.steps)))</f>
        <v>60</v>
      </c>
      <c r="D1699">
        <f>_xlfn.LET(_xlpm.steps,SUBSTITUTE(Table13[[#This Row],[Input]],Table13[[#This Row],[Direction]],""),VALUE(IF(LEN(_xlpm.steps)&gt;2,LEFT(_xlpm.steps,LEN(_xlpm.steps)-2),0)))</f>
        <v>0</v>
      </c>
      <c r="E1699">
        <f>_xlfn.LET(_xlpm.dir,Table13[[#This Row],[Direction]],
IF(_xlpm.dir="L",
    IF(G1698-Table13[[#This Row],[Steps]]&lt;0,100+(G1698-Table13[[#This Row],[Steps]]),G1698-Table13[[#This Row],[Steps]]),
))</f>
        <v>0</v>
      </c>
      <c r="F1699">
        <f>_xlfn.LET(_xlpm.dir,Table13[[#This Row],[Direction]],
IF(_xlpm.dir="R",
    IF(G1698+Table13[[#This Row],[Steps]]&gt;99,(G1698+Table13[[#This Row],[Steps]])-100,G1698+Table13[[#This Row],[Steps]]),
))</f>
        <v>65</v>
      </c>
      <c r="G1699">
        <f>IF(Table13[[#This Row],[New Pos L]]&lt;&gt;0,Table13[[#This Row],[New Pos L]],Table13[[#This Row],[New Pos R]])</f>
        <v>65</v>
      </c>
      <c r="H1699">
        <f>IF(AND(Table13[[#This Row],[Direction]]="L",Table13[[#This Row],[Steps]]&gt;G1698,G1698&lt;&gt;0),1,0)</f>
        <v>0</v>
      </c>
      <c r="I1699">
        <f>IF(AND(Table13[[#This Row],[Direction]]="R",(G1698+Table13[[#This Row],[Steps]])&gt;100),1,0)</f>
        <v>0</v>
      </c>
      <c r="J1699">
        <f>IF(Table13[[#This Row],[POS]]=0,1,0)</f>
        <v>0</v>
      </c>
      <c r="K1699">
        <f>SUM(Table13[[#This Row],[prefix]],Table13[[#This Row],[Past zero L]],Table13[[#This Row],[Past Zero R]],Table13[[#This Row],[Is Zero]])</f>
        <v>0</v>
      </c>
    </row>
    <row r="1700" spans="1:11" ht="16" x14ac:dyDescent="0.2">
      <c r="A1700" s="1" t="s">
        <v>252</v>
      </c>
      <c r="B1700" t="str">
        <f>LEFT(Table13[[#This Row],[Input]],1)</f>
        <v>L</v>
      </c>
      <c r="C1700">
        <f>_xlfn.LET(_xlpm.steps,SUBSTITUTE(Table13[[#This Row],[Input]],Table13[[#This Row],[Direction]],""),VALUE(IF(LEN(_xlpm.steps)&gt;2,RIGHT(_xlpm.steps,2),_xlpm.steps)))</f>
        <v>99</v>
      </c>
      <c r="D1700">
        <f>_xlfn.LET(_xlpm.steps,SUBSTITUTE(Table13[[#This Row],[Input]],Table13[[#This Row],[Direction]],""),VALUE(IF(LEN(_xlpm.steps)&gt;2,LEFT(_xlpm.steps,LEN(_xlpm.steps)-2),0)))</f>
        <v>0</v>
      </c>
      <c r="E1700">
        <f>_xlfn.LET(_xlpm.dir,Table13[[#This Row],[Direction]],
IF(_xlpm.dir="L",
    IF(G1699-Table13[[#This Row],[Steps]]&lt;0,100+(G1699-Table13[[#This Row],[Steps]]),G1699-Table13[[#This Row],[Steps]]),
))</f>
        <v>66</v>
      </c>
      <c r="F1700">
        <f>_xlfn.LET(_xlpm.dir,Table13[[#This Row],[Direction]],
IF(_xlpm.dir="R",
    IF(G1699+Table13[[#This Row],[Steps]]&gt;99,(G1699+Table13[[#This Row],[Steps]])-100,G1699+Table13[[#This Row],[Steps]]),
))</f>
        <v>0</v>
      </c>
      <c r="G1700">
        <f>IF(Table13[[#This Row],[New Pos L]]&lt;&gt;0,Table13[[#This Row],[New Pos L]],Table13[[#This Row],[New Pos R]])</f>
        <v>66</v>
      </c>
      <c r="H1700">
        <f>IF(AND(Table13[[#This Row],[Direction]]="L",Table13[[#This Row],[Steps]]&gt;G1699,G1699&lt;&gt;0),1,0)</f>
        <v>1</v>
      </c>
      <c r="I1700">
        <f>IF(AND(Table13[[#This Row],[Direction]]="R",(G1699+Table13[[#This Row],[Steps]])&gt;100),1,0)</f>
        <v>0</v>
      </c>
      <c r="J1700">
        <f>IF(Table13[[#This Row],[POS]]=0,1,0)</f>
        <v>0</v>
      </c>
      <c r="K1700">
        <f>SUM(Table13[[#This Row],[prefix]],Table13[[#This Row],[Past zero L]],Table13[[#This Row],[Past Zero R]],Table13[[#This Row],[Is Zero]])</f>
        <v>1</v>
      </c>
    </row>
    <row r="1701" spans="1:11" ht="16" x14ac:dyDescent="0.2">
      <c r="A1701" s="1" t="s">
        <v>75</v>
      </c>
      <c r="B1701" t="str">
        <f>LEFT(Table13[[#This Row],[Input]],1)</f>
        <v>R</v>
      </c>
      <c r="C1701">
        <f>_xlfn.LET(_xlpm.steps,SUBSTITUTE(Table13[[#This Row],[Input]],Table13[[#This Row],[Direction]],""),VALUE(IF(LEN(_xlpm.steps)&gt;2,RIGHT(_xlpm.steps,2),_xlpm.steps)))</f>
        <v>2</v>
      </c>
      <c r="D1701">
        <f>_xlfn.LET(_xlpm.steps,SUBSTITUTE(Table13[[#This Row],[Input]],Table13[[#This Row],[Direction]],""),VALUE(IF(LEN(_xlpm.steps)&gt;2,LEFT(_xlpm.steps,LEN(_xlpm.steps)-2),0)))</f>
        <v>0</v>
      </c>
      <c r="E1701">
        <f>_xlfn.LET(_xlpm.dir,Table13[[#This Row],[Direction]],
IF(_xlpm.dir="L",
    IF(G1700-Table13[[#This Row],[Steps]]&lt;0,100+(G1700-Table13[[#This Row],[Steps]]),G1700-Table13[[#This Row],[Steps]]),
))</f>
        <v>0</v>
      </c>
      <c r="F1701">
        <f>_xlfn.LET(_xlpm.dir,Table13[[#This Row],[Direction]],
IF(_xlpm.dir="R",
    IF(G1700+Table13[[#This Row],[Steps]]&gt;99,(G1700+Table13[[#This Row],[Steps]])-100,G1700+Table13[[#This Row],[Steps]]),
))</f>
        <v>68</v>
      </c>
      <c r="G1701">
        <f>IF(Table13[[#This Row],[New Pos L]]&lt;&gt;0,Table13[[#This Row],[New Pos L]],Table13[[#This Row],[New Pos R]])</f>
        <v>68</v>
      </c>
      <c r="H1701">
        <f>IF(AND(Table13[[#This Row],[Direction]]="L",Table13[[#This Row],[Steps]]&gt;G1700,G1700&lt;&gt;0),1,0)</f>
        <v>0</v>
      </c>
      <c r="I1701">
        <f>IF(AND(Table13[[#This Row],[Direction]]="R",(G1700+Table13[[#This Row],[Steps]])&gt;100),1,0)</f>
        <v>0</v>
      </c>
      <c r="J1701">
        <f>IF(Table13[[#This Row],[POS]]=0,1,0)</f>
        <v>0</v>
      </c>
      <c r="K1701">
        <f>SUM(Table13[[#This Row],[prefix]],Table13[[#This Row],[Past zero L]],Table13[[#This Row],[Past Zero R]],Table13[[#This Row],[Is Zero]])</f>
        <v>0</v>
      </c>
    </row>
    <row r="1702" spans="1:11" ht="16" x14ac:dyDescent="0.2">
      <c r="A1702" s="1" t="s">
        <v>39</v>
      </c>
      <c r="B1702" t="str">
        <f>LEFT(Table13[[#This Row],[Input]],1)</f>
        <v>R</v>
      </c>
      <c r="C1702">
        <f>_xlfn.LET(_xlpm.steps,SUBSTITUTE(Table13[[#This Row],[Input]],Table13[[#This Row],[Direction]],""),VALUE(IF(LEN(_xlpm.steps)&gt;2,RIGHT(_xlpm.steps,2),_xlpm.steps)))</f>
        <v>32</v>
      </c>
      <c r="D1702">
        <f>_xlfn.LET(_xlpm.steps,SUBSTITUTE(Table13[[#This Row],[Input]],Table13[[#This Row],[Direction]],""),VALUE(IF(LEN(_xlpm.steps)&gt;2,LEFT(_xlpm.steps,LEN(_xlpm.steps)-2),0)))</f>
        <v>0</v>
      </c>
      <c r="E1702">
        <f>_xlfn.LET(_xlpm.dir,Table13[[#This Row],[Direction]],
IF(_xlpm.dir="L",
    IF(G1701-Table13[[#This Row],[Steps]]&lt;0,100+(G1701-Table13[[#This Row],[Steps]]),G1701-Table13[[#This Row],[Steps]]),
))</f>
        <v>0</v>
      </c>
      <c r="F1702">
        <f>_xlfn.LET(_xlpm.dir,Table13[[#This Row],[Direction]],
IF(_xlpm.dir="R",
    IF(G1701+Table13[[#This Row],[Steps]]&gt;99,(G1701+Table13[[#This Row],[Steps]])-100,G1701+Table13[[#This Row],[Steps]]),
))</f>
        <v>0</v>
      </c>
      <c r="G1702">
        <f>IF(Table13[[#This Row],[New Pos L]]&lt;&gt;0,Table13[[#This Row],[New Pos L]],Table13[[#This Row],[New Pos R]])</f>
        <v>0</v>
      </c>
      <c r="H1702">
        <f>IF(AND(Table13[[#This Row],[Direction]]="L",Table13[[#This Row],[Steps]]&gt;G1701,G1701&lt;&gt;0),1,0)</f>
        <v>0</v>
      </c>
      <c r="I1702">
        <f>IF(AND(Table13[[#This Row],[Direction]]="R",(G1701+Table13[[#This Row],[Steps]])&gt;100),1,0)</f>
        <v>0</v>
      </c>
      <c r="J1702">
        <f>IF(Table13[[#This Row],[POS]]=0,1,0)</f>
        <v>1</v>
      </c>
      <c r="K1702">
        <f>SUM(Table13[[#This Row],[prefix]],Table13[[#This Row],[Past zero L]],Table13[[#This Row],[Past Zero R]],Table13[[#This Row],[Is Zero]])</f>
        <v>1</v>
      </c>
    </row>
    <row r="1703" spans="1:11" ht="16" x14ac:dyDescent="0.2">
      <c r="A1703" s="1" t="s">
        <v>6</v>
      </c>
      <c r="B1703" t="str">
        <f>LEFT(Table13[[#This Row],[Input]],1)</f>
        <v>R</v>
      </c>
      <c r="C1703">
        <f>_xlfn.LET(_xlpm.steps,SUBSTITUTE(Table13[[#This Row],[Input]],Table13[[#This Row],[Direction]],""),VALUE(IF(LEN(_xlpm.steps)&gt;2,RIGHT(_xlpm.steps,2),_xlpm.steps)))</f>
        <v>49</v>
      </c>
      <c r="D1703">
        <f>_xlfn.LET(_xlpm.steps,SUBSTITUTE(Table13[[#This Row],[Input]],Table13[[#This Row],[Direction]],""),VALUE(IF(LEN(_xlpm.steps)&gt;2,LEFT(_xlpm.steps,LEN(_xlpm.steps)-2),0)))</f>
        <v>0</v>
      </c>
      <c r="E1703">
        <f>_xlfn.LET(_xlpm.dir,Table13[[#This Row],[Direction]],
IF(_xlpm.dir="L",
    IF(G1702-Table13[[#This Row],[Steps]]&lt;0,100+(G1702-Table13[[#This Row],[Steps]]),G1702-Table13[[#This Row],[Steps]]),
))</f>
        <v>0</v>
      </c>
      <c r="F1703">
        <f>_xlfn.LET(_xlpm.dir,Table13[[#This Row],[Direction]],
IF(_xlpm.dir="R",
    IF(G1702+Table13[[#This Row],[Steps]]&gt;99,(G1702+Table13[[#This Row],[Steps]])-100,G1702+Table13[[#This Row],[Steps]]),
))</f>
        <v>49</v>
      </c>
      <c r="G1703">
        <f>IF(Table13[[#This Row],[New Pos L]]&lt;&gt;0,Table13[[#This Row],[New Pos L]],Table13[[#This Row],[New Pos R]])</f>
        <v>49</v>
      </c>
      <c r="H1703">
        <f>IF(AND(Table13[[#This Row],[Direction]]="L",Table13[[#This Row],[Steps]]&gt;G1702,G1702&lt;&gt;0),1,0)</f>
        <v>0</v>
      </c>
      <c r="I1703">
        <f>IF(AND(Table13[[#This Row],[Direction]]="R",(G1702+Table13[[#This Row],[Steps]])&gt;100),1,0)</f>
        <v>0</v>
      </c>
      <c r="J1703">
        <f>IF(Table13[[#This Row],[POS]]=0,1,0)</f>
        <v>0</v>
      </c>
      <c r="K1703">
        <f>SUM(Table13[[#This Row],[prefix]],Table13[[#This Row],[Past zero L]],Table13[[#This Row],[Past Zero R]],Table13[[#This Row],[Is Zero]])</f>
        <v>0</v>
      </c>
    </row>
    <row r="1704" spans="1:11" ht="16" x14ac:dyDescent="0.2">
      <c r="A1704" s="1" t="s">
        <v>24</v>
      </c>
      <c r="B1704" t="str">
        <f>LEFT(Table13[[#This Row],[Input]],1)</f>
        <v>L</v>
      </c>
      <c r="C1704">
        <f>_xlfn.LET(_xlpm.steps,SUBSTITUTE(Table13[[#This Row],[Input]],Table13[[#This Row],[Direction]],""),VALUE(IF(LEN(_xlpm.steps)&gt;2,RIGHT(_xlpm.steps,2),_xlpm.steps)))</f>
        <v>49</v>
      </c>
      <c r="D1704">
        <f>_xlfn.LET(_xlpm.steps,SUBSTITUTE(Table13[[#This Row],[Input]],Table13[[#This Row],[Direction]],""),VALUE(IF(LEN(_xlpm.steps)&gt;2,LEFT(_xlpm.steps,LEN(_xlpm.steps)-2),0)))</f>
        <v>0</v>
      </c>
      <c r="E1704">
        <f>_xlfn.LET(_xlpm.dir,Table13[[#This Row],[Direction]],
IF(_xlpm.dir="L",
    IF(G1703-Table13[[#This Row],[Steps]]&lt;0,100+(G1703-Table13[[#This Row],[Steps]]),G1703-Table13[[#This Row],[Steps]]),
))</f>
        <v>0</v>
      </c>
      <c r="F1704">
        <f>_xlfn.LET(_xlpm.dir,Table13[[#This Row],[Direction]],
IF(_xlpm.dir="R",
    IF(G1703+Table13[[#This Row],[Steps]]&gt;99,(G1703+Table13[[#This Row],[Steps]])-100,G1703+Table13[[#This Row],[Steps]]),
))</f>
        <v>0</v>
      </c>
      <c r="G1704">
        <f>IF(Table13[[#This Row],[New Pos L]]&lt;&gt;0,Table13[[#This Row],[New Pos L]],Table13[[#This Row],[New Pos R]])</f>
        <v>0</v>
      </c>
      <c r="H1704">
        <f>IF(AND(Table13[[#This Row],[Direction]]="L",Table13[[#This Row],[Steps]]&gt;G1703,G1703&lt;&gt;0),1,0)</f>
        <v>0</v>
      </c>
      <c r="I1704">
        <f>IF(AND(Table13[[#This Row],[Direction]]="R",(G1703+Table13[[#This Row],[Steps]])&gt;100),1,0)</f>
        <v>0</v>
      </c>
      <c r="J1704">
        <f>IF(Table13[[#This Row],[POS]]=0,1,0)</f>
        <v>1</v>
      </c>
      <c r="K1704">
        <f>SUM(Table13[[#This Row],[prefix]],Table13[[#This Row],[Past zero L]],Table13[[#This Row],[Past Zero R]],Table13[[#This Row],[Is Zero]])</f>
        <v>1</v>
      </c>
    </row>
    <row r="1705" spans="1:11" ht="16" x14ac:dyDescent="0.2">
      <c r="A1705" s="1" t="s">
        <v>127</v>
      </c>
      <c r="B1705" t="str">
        <f>LEFT(Table13[[#This Row],[Input]],1)</f>
        <v>L</v>
      </c>
      <c r="C1705">
        <f>_xlfn.LET(_xlpm.steps,SUBSTITUTE(Table13[[#This Row],[Input]],Table13[[#This Row],[Direction]],""),VALUE(IF(LEN(_xlpm.steps)&gt;2,RIGHT(_xlpm.steps,2),_xlpm.steps)))</f>
        <v>62</v>
      </c>
      <c r="D1705">
        <f>_xlfn.LET(_xlpm.steps,SUBSTITUTE(Table13[[#This Row],[Input]],Table13[[#This Row],[Direction]],""),VALUE(IF(LEN(_xlpm.steps)&gt;2,LEFT(_xlpm.steps,LEN(_xlpm.steps)-2),0)))</f>
        <v>0</v>
      </c>
      <c r="E1705">
        <f>_xlfn.LET(_xlpm.dir,Table13[[#This Row],[Direction]],
IF(_xlpm.dir="L",
    IF(G1704-Table13[[#This Row],[Steps]]&lt;0,100+(G1704-Table13[[#This Row],[Steps]]),G1704-Table13[[#This Row],[Steps]]),
))</f>
        <v>38</v>
      </c>
      <c r="F1705">
        <f>_xlfn.LET(_xlpm.dir,Table13[[#This Row],[Direction]],
IF(_xlpm.dir="R",
    IF(G1704+Table13[[#This Row],[Steps]]&gt;99,(G1704+Table13[[#This Row],[Steps]])-100,G1704+Table13[[#This Row],[Steps]]),
))</f>
        <v>0</v>
      </c>
      <c r="G1705">
        <f>IF(Table13[[#This Row],[New Pos L]]&lt;&gt;0,Table13[[#This Row],[New Pos L]],Table13[[#This Row],[New Pos R]])</f>
        <v>38</v>
      </c>
      <c r="H1705">
        <f>IF(AND(Table13[[#This Row],[Direction]]="L",Table13[[#This Row],[Steps]]&gt;G1704,G1704&lt;&gt;0),1,0)</f>
        <v>0</v>
      </c>
      <c r="I1705">
        <f>IF(AND(Table13[[#This Row],[Direction]]="R",(G1704+Table13[[#This Row],[Steps]])&gt;100),1,0)</f>
        <v>0</v>
      </c>
      <c r="J1705">
        <f>IF(Table13[[#This Row],[POS]]=0,1,0)</f>
        <v>0</v>
      </c>
      <c r="K1705">
        <f>SUM(Table13[[#This Row],[prefix]],Table13[[#This Row],[Past zero L]],Table13[[#This Row],[Past Zero R]],Table13[[#This Row],[Is Zero]])</f>
        <v>0</v>
      </c>
    </row>
    <row r="1706" spans="1:11" ht="16" x14ac:dyDescent="0.2">
      <c r="A1706" s="1" t="s">
        <v>64</v>
      </c>
      <c r="B1706" t="str">
        <f>LEFT(Table13[[#This Row],[Input]],1)</f>
        <v>R</v>
      </c>
      <c r="C1706">
        <f>_xlfn.LET(_xlpm.steps,SUBSTITUTE(Table13[[#This Row],[Input]],Table13[[#This Row],[Direction]],""),VALUE(IF(LEN(_xlpm.steps)&gt;2,RIGHT(_xlpm.steps,2),_xlpm.steps)))</f>
        <v>10</v>
      </c>
      <c r="D1706">
        <f>_xlfn.LET(_xlpm.steps,SUBSTITUTE(Table13[[#This Row],[Input]],Table13[[#This Row],[Direction]],""),VALUE(IF(LEN(_xlpm.steps)&gt;2,LEFT(_xlpm.steps,LEN(_xlpm.steps)-2),0)))</f>
        <v>0</v>
      </c>
      <c r="E1706">
        <f>_xlfn.LET(_xlpm.dir,Table13[[#This Row],[Direction]],
IF(_xlpm.dir="L",
    IF(G1705-Table13[[#This Row],[Steps]]&lt;0,100+(G1705-Table13[[#This Row],[Steps]]),G1705-Table13[[#This Row],[Steps]]),
))</f>
        <v>0</v>
      </c>
      <c r="F1706">
        <f>_xlfn.LET(_xlpm.dir,Table13[[#This Row],[Direction]],
IF(_xlpm.dir="R",
    IF(G1705+Table13[[#This Row],[Steps]]&gt;99,(G1705+Table13[[#This Row],[Steps]])-100,G1705+Table13[[#This Row],[Steps]]),
))</f>
        <v>48</v>
      </c>
      <c r="G1706">
        <f>IF(Table13[[#This Row],[New Pos L]]&lt;&gt;0,Table13[[#This Row],[New Pos L]],Table13[[#This Row],[New Pos R]])</f>
        <v>48</v>
      </c>
      <c r="H1706">
        <f>IF(AND(Table13[[#This Row],[Direction]]="L",Table13[[#This Row],[Steps]]&gt;G1705,G1705&lt;&gt;0),1,0)</f>
        <v>0</v>
      </c>
      <c r="I1706">
        <f>IF(AND(Table13[[#This Row],[Direction]]="R",(G1705+Table13[[#This Row],[Steps]])&gt;100),1,0)</f>
        <v>0</v>
      </c>
      <c r="J1706">
        <f>IF(Table13[[#This Row],[POS]]=0,1,0)</f>
        <v>0</v>
      </c>
      <c r="K1706">
        <f>SUM(Table13[[#This Row],[prefix]],Table13[[#This Row],[Past zero L]],Table13[[#This Row],[Past Zero R]],Table13[[#This Row],[Is Zero]])</f>
        <v>0</v>
      </c>
    </row>
    <row r="1707" spans="1:11" ht="16" x14ac:dyDescent="0.2">
      <c r="A1707" s="1" t="s">
        <v>42</v>
      </c>
      <c r="B1707" t="str">
        <f>LEFT(Table13[[#This Row],[Input]],1)</f>
        <v>L</v>
      </c>
      <c r="C1707">
        <f>_xlfn.LET(_xlpm.steps,SUBSTITUTE(Table13[[#This Row],[Input]],Table13[[#This Row],[Direction]],""),VALUE(IF(LEN(_xlpm.steps)&gt;2,RIGHT(_xlpm.steps,2),_xlpm.steps)))</f>
        <v>27</v>
      </c>
      <c r="D1707">
        <f>_xlfn.LET(_xlpm.steps,SUBSTITUTE(Table13[[#This Row],[Input]],Table13[[#This Row],[Direction]],""),VALUE(IF(LEN(_xlpm.steps)&gt;2,LEFT(_xlpm.steps,LEN(_xlpm.steps)-2),0)))</f>
        <v>0</v>
      </c>
      <c r="E1707">
        <f>_xlfn.LET(_xlpm.dir,Table13[[#This Row],[Direction]],
IF(_xlpm.dir="L",
    IF(G1706-Table13[[#This Row],[Steps]]&lt;0,100+(G1706-Table13[[#This Row],[Steps]]),G1706-Table13[[#This Row],[Steps]]),
))</f>
        <v>21</v>
      </c>
      <c r="F1707">
        <f>_xlfn.LET(_xlpm.dir,Table13[[#This Row],[Direction]],
IF(_xlpm.dir="R",
    IF(G1706+Table13[[#This Row],[Steps]]&gt;99,(G1706+Table13[[#This Row],[Steps]])-100,G1706+Table13[[#This Row],[Steps]]),
))</f>
        <v>0</v>
      </c>
      <c r="G1707">
        <f>IF(Table13[[#This Row],[New Pos L]]&lt;&gt;0,Table13[[#This Row],[New Pos L]],Table13[[#This Row],[New Pos R]])</f>
        <v>21</v>
      </c>
      <c r="H1707">
        <f>IF(AND(Table13[[#This Row],[Direction]]="L",Table13[[#This Row],[Steps]]&gt;G1706,G1706&lt;&gt;0),1,0)</f>
        <v>0</v>
      </c>
      <c r="I1707">
        <f>IF(AND(Table13[[#This Row],[Direction]]="R",(G1706+Table13[[#This Row],[Steps]])&gt;100),1,0)</f>
        <v>0</v>
      </c>
      <c r="J1707">
        <f>IF(Table13[[#This Row],[POS]]=0,1,0)</f>
        <v>0</v>
      </c>
      <c r="K1707">
        <f>SUM(Table13[[#This Row],[prefix]],Table13[[#This Row],[Past zero L]],Table13[[#This Row],[Past Zero R]],Table13[[#This Row],[Is Zero]])</f>
        <v>0</v>
      </c>
    </row>
    <row r="1708" spans="1:11" ht="16" x14ac:dyDescent="0.2">
      <c r="A1708" s="1" t="s">
        <v>385</v>
      </c>
      <c r="B1708" t="str">
        <f>LEFT(Table13[[#This Row],[Input]],1)</f>
        <v>R</v>
      </c>
      <c r="C1708">
        <f>_xlfn.LET(_xlpm.steps,SUBSTITUTE(Table13[[#This Row],[Input]],Table13[[#This Row],[Direction]],""),VALUE(IF(LEN(_xlpm.steps)&gt;2,RIGHT(_xlpm.steps,2),_xlpm.steps)))</f>
        <v>93</v>
      </c>
      <c r="D1708">
        <f>_xlfn.LET(_xlpm.steps,SUBSTITUTE(Table13[[#This Row],[Input]],Table13[[#This Row],[Direction]],""),VALUE(IF(LEN(_xlpm.steps)&gt;2,LEFT(_xlpm.steps,LEN(_xlpm.steps)-2),0)))</f>
        <v>5</v>
      </c>
      <c r="E1708">
        <f>_xlfn.LET(_xlpm.dir,Table13[[#This Row],[Direction]],
IF(_xlpm.dir="L",
    IF(G1707-Table13[[#This Row],[Steps]]&lt;0,100+(G1707-Table13[[#This Row],[Steps]]),G1707-Table13[[#This Row],[Steps]]),
))</f>
        <v>0</v>
      </c>
      <c r="F1708">
        <f>_xlfn.LET(_xlpm.dir,Table13[[#This Row],[Direction]],
IF(_xlpm.dir="R",
    IF(G1707+Table13[[#This Row],[Steps]]&gt;99,(G1707+Table13[[#This Row],[Steps]])-100,G1707+Table13[[#This Row],[Steps]]),
))</f>
        <v>14</v>
      </c>
      <c r="G1708">
        <f>IF(Table13[[#This Row],[New Pos L]]&lt;&gt;0,Table13[[#This Row],[New Pos L]],Table13[[#This Row],[New Pos R]])</f>
        <v>14</v>
      </c>
      <c r="H1708">
        <f>IF(AND(Table13[[#This Row],[Direction]]="L",Table13[[#This Row],[Steps]]&gt;G1707,G1707&lt;&gt;0),1,0)</f>
        <v>0</v>
      </c>
      <c r="I1708">
        <f>IF(AND(Table13[[#This Row],[Direction]]="R",(G1707+Table13[[#This Row],[Steps]])&gt;100),1,0)</f>
        <v>1</v>
      </c>
      <c r="J1708">
        <f>IF(Table13[[#This Row],[POS]]=0,1,0)</f>
        <v>0</v>
      </c>
      <c r="K1708">
        <f>SUM(Table13[[#This Row],[prefix]],Table13[[#This Row],[Past zero L]],Table13[[#This Row],[Past Zero R]],Table13[[#This Row],[Is Zero]])</f>
        <v>6</v>
      </c>
    </row>
    <row r="1709" spans="1:11" ht="16" x14ac:dyDescent="0.2">
      <c r="A1709" s="1" t="s">
        <v>122</v>
      </c>
      <c r="B1709" t="str">
        <f>LEFT(Table13[[#This Row],[Input]],1)</f>
        <v>R</v>
      </c>
      <c r="C1709">
        <f>_xlfn.LET(_xlpm.steps,SUBSTITUTE(Table13[[#This Row],[Input]],Table13[[#This Row],[Direction]],""),VALUE(IF(LEN(_xlpm.steps)&gt;2,RIGHT(_xlpm.steps,2),_xlpm.steps)))</f>
        <v>75</v>
      </c>
      <c r="D1709">
        <f>_xlfn.LET(_xlpm.steps,SUBSTITUTE(Table13[[#This Row],[Input]],Table13[[#This Row],[Direction]],""),VALUE(IF(LEN(_xlpm.steps)&gt;2,LEFT(_xlpm.steps,LEN(_xlpm.steps)-2),0)))</f>
        <v>0</v>
      </c>
      <c r="E1709">
        <f>_xlfn.LET(_xlpm.dir,Table13[[#This Row],[Direction]],
IF(_xlpm.dir="L",
    IF(G1708-Table13[[#This Row],[Steps]]&lt;0,100+(G1708-Table13[[#This Row],[Steps]]),G1708-Table13[[#This Row],[Steps]]),
))</f>
        <v>0</v>
      </c>
      <c r="F1709">
        <f>_xlfn.LET(_xlpm.dir,Table13[[#This Row],[Direction]],
IF(_xlpm.dir="R",
    IF(G1708+Table13[[#This Row],[Steps]]&gt;99,(G1708+Table13[[#This Row],[Steps]])-100,G1708+Table13[[#This Row],[Steps]]),
))</f>
        <v>89</v>
      </c>
      <c r="G1709">
        <f>IF(Table13[[#This Row],[New Pos L]]&lt;&gt;0,Table13[[#This Row],[New Pos L]],Table13[[#This Row],[New Pos R]])</f>
        <v>89</v>
      </c>
      <c r="H1709">
        <f>IF(AND(Table13[[#This Row],[Direction]]="L",Table13[[#This Row],[Steps]]&gt;G1708,G1708&lt;&gt;0),1,0)</f>
        <v>0</v>
      </c>
      <c r="I1709">
        <f>IF(AND(Table13[[#This Row],[Direction]]="R",(G1708+Table13[[#This Row],[Steps]])&gt;100),1,0)</f>
        <v>0</v>
      </c>
      <c r="J1709">
        <f>IF(Table13[[#This Row],[POS]]=0,1,0)</f>
        <v>0</v>
      </c>
      <c r="K1709">
        <f>SUM(Table13[[#This Row],[prefix]],Table13[[#This Row],[Past zero L]],Table13[[#This Row],[Past Zero R]],Table13[[#This Row],[Is Zero]])</f>
        <v>0</v>
      </c>
    </row>
    <row r="1710" spans="1:11" ht="16" x14ac:dyDescent="0.2">
      <c r="A1710" s="1" t="s">
        <v>68</v>
      </c>
      <c r="B1710" t="str">
        <f>LEFT(Table13[[#This Row],[Input]],1)</f>
        <v>L</v>
      </c>
      <c r="C1710">
        <f>_xlfn.LET(_xlpm.steps,SUBSTITUTE(Table13[[#This Row],[Input]],Table13[[#This Row],[Direction]],""),VALUE(IF(LEN(_xlpm.steps)&gt;2,RIGHT(_xlpm.steps,2),_xlpm.steps)))</f>
        <v>80</v>
      </c>
      <c r="D1710">
        <f>_xlfn.LET(_xlpm.steps,SUBSTITUTE(Table13[[#This Row],[Input]],Table13[[#This Row],[Direction]],""),VALUE(IF(LEN(_xlpm.steps)&gt;2,LEFT(_xlpm.steps,LEN(_xlpm.steps)-2),0)))</f>
        <v>0</v>
      </c>
      <c r="E1710">
        <f>_xlfn.LET(_xlpm.dir,Table13[[#This Row],[Direction]],
IF(_xlpm.dir="L",
    IF(G1709-Table13[[#This Row],[Steps]]&lt;0,100+(G1709-Table13[[#This Row],[Steps]]),G1709-Table13[[#This Row],[Steps]]),
))</f>
        <v>9</v>
      </c>
      <c r="F1710">
        <f>_xlfn.LET(_xlpm.dir,Table13[[#This Row],[Direction]],
IF(_xlpm.dir="R",
    IF(G1709+Table13[[#This Row],[Steps]]&gt;99,(G1709+Table13[[#This Row],[Steps]])-100,G1709+Table13[[#This Row],[Steps]]),
))</f>
        <v>0</v>
      </c>
      <c r="G1710">
        <f>IF(Table13[[#This Row],[New Pos L]]&lt;&gt;0,Table13[[#This Row],[New Pos L]],Table13[[#This Row],[New Pos R]])</f>
        <v>9</v>
      </c>
      <c r="H1710">
        <f>IF(AND(Table13[[#This Row],[Direction]]="L",Table13[[#This Row],[Steps]]&gt;G1709,G1709&lt;&gt;0),1,0)</f>
        <v>0</v>
      </c>
      <c r="I1710">
        <f>IF(AND(Table13[[#This Row],[Direction]]="R",(G1709+Table13[[#This Row],[Steps]])&gt;100),1,0)</f>
        <v>0</v>
      </c>
      <c r="J1710">
        <f>IF(Table13[[#This Row],[POS]]=0,1,0)</f>
        <v>0</v>
      </c>
      <c r="K1710">
        <f>SUM(Table13[[#This Row],[prefix]],Table13[[#This Row],[Past zero L]],Table13[[#This Row],[Past Zero R]],Table13[[#This Row],[Is Zero]])</f>
        <v>0</v>
      </c>
    </row>
    <row r="1711" spans="1:11" ht="16" x14ac:dyDescent="0.2">
      <c r="A1711" s="1" t="s">
        <v>9</v>
      </c>
      <c r="B1711" t="str">
        <f>LEFT(Table13[[#This Row],[Input]],1)</f>
        <v>L</v>
      </c>
      <c r="C1711">
        <f>_xlfn.LET(_xlpm.steps,SUBSTITUTE(Table13[[#This Row],[Input]],Table13[[#This Row],[Direction]],""),VALUE(IF(LEN(_xlpm.steps)&gt;2,RIGHT(_xlpm.steps,2),_xlpm.steps)))</f>
        <v>9</v>
      </c>
      <c r="D1711">
        <f>_xlfn.LET(_xlpm.steps,SUBSTITUTE(Table13[[#This Row],[Input]],Table13[[#This Row],[Direction]],""),VALUE(IF(LEN(_xlpm.steps)&gt;2,LEFT(_xlpm.steps,LEN(_xlpm.steps)-2),0)))</f>
        <v>0</v>
      </c>
      <c r="E1711">
        <f>_xlfn.LET(_xlpm.dir,Table13[[#This Row],[Direction]],
IF(_xlpm.dir="L",
    IF(G1710-Table13[[#This Row],[Steps]]&lt;0,100+(G1710-Table13[[#This Row],[Steps]]),G1710-Table13[[#This Row],[Steps]]),
))</f>
        <v>0</v>
      </c>
      <c r="F1711">
        <f>_xlfn.LET(_xlpm.dir,Table13[[#This Row],[Direction]],
IF(_xlpm.dir="R",
    IF(G1710+Table13[[#This Row],[Steps]]&gt;99,(G1710+Table13[[#This Row],[Steps]])-100,G1710+Table13[[#This Row],[Steps]]),
))</f>
        <v>0</v>
      </c>
      <c r="G1711">
        <f>IF(Table13[[#This Row],[New Pos L]]&lt;&gt;0,Table13[[#This Row],[New Pos L]],Table13[[#This Row],[New Pos R]])</f>
        <v>0</v>
      </c>
      <c r="H1711">
        <f>IF(AND(Table13[[#This Row],[Direction]]="L",Table13[[#This Row],[Steps]]&gt;G1710,G1710&lt;&gt;0),1,0)</f>
        <v>0</v>
      </c>
      <c r="I1711">
        <f>IF(AND(Table13[[#This Row],[Direction]]="R",(G1710+Table13[[#This Row],[Steps]])&gt;100),1,0)</f>
        <v>0</v>
      </c>
      <c r="J1711">
        <f>IF(Table13[[#This Row],[POS]]=0,1,0)</f>
        <v>1</v>
      </c>
      <c r="K1711">
        <f>SUM(Table13[[#This Row],[prefix]],Table13[[#This Row],[Past zero L]],Table13[[#This Row],[Past Zero R]],Table13[[#This Row],[Is Zero]])</f>
        <v>1</v>
      </c>
    </row>
    <row r="1712" spans="1:11" ht="16" x14ac:dyDescent="0.2">
      <c r="A1712" s="1" t="s">
        <v>141</v>
      </c>
      <c r="B1712" t="str">
        <f>LEFT(Table13[[#This Row],[Input]],1)</f>
        <v>L</v>
      </c>
      <c r="C1712">
        <f>_xlfn.LET(_xlpm.steps,SUBSTITUTE(Table13[[#This Row],[Input]],Table13[[#This Row],[Direction]],""),VALUE(IF(LEN(_xlpm.steps)&gt;2,RIGHT(_xlpm.steps,2),_xlpm.steps)))</f>
        <v>90</v>
      </c>
      <c r="D1712">
        <f>_xlfn.LET(_xlpm.steps,SUBSTITUTE(Table13[[#This Row],[Input]],Table13[[#This Row],[Direction]],""),VALUE(IF(LEN(_xlpm.steps)&gt;2,LEFT(_xlpm.steps,LEN(_xlpm.steps)-2),0)))</f>
        <v>0</v>
      </c>
      <c r="E1712">
        <f>_xlfn.LET(_xlpm.dir,Table13[[#This Row],[Direction]],
IF(_xlpm.dir="L",
    IF(G1711-Table13[[#This Row],[Steps]]&lt;0,100+(G1711-Table13[[#This Row],[Steps]]),G1711-Table13[[#This Row],[Steps]]),
))</f>
        <v>10</v>
      </c>
      <c r="F1712">
        <f>_xlfn.LET(_xlpm.dir,Table13[[#This Row],[Direction]],
IF(_xlpm.dir="R",
    IF(G1711+Table13[[#This Row],[Steps]]&gt;99,(G1711+Table13[[#This Row],[Steps]])-100,G1711+Table13[[#This Row],[Steps]]),
))</f>
        <v>0</v>
      </c>
      <c r="G1712">
        <f>IF(Table13[[#This Row],[New Pos L]]&lt;&gt;0,Table13[[#This Row],[New Pos L]],Table13[[#This Row],[New Pos R]])</f>
        <v>10</v>
      </c>
      <c r="H1712">
        <f>IF(AND(Table13[[#This Row],[Direction]]="L",Table13[[#This Row],[Steps]]&gt;G1711,G1711&lt;&gt;0),1,0)</f>
        <v>0</v>
      </c>
      <c r="I1712">
        <f>IF(AND(Table13[[#This Row],[Direction]]="R",(G1711+Table13[[#This Row],[Steps]])&gt;100),1,0)</f>
        <v>0</v>
      </c>
      <c r="J1712">
        <f>IF(Table13[[#This Row],[POS]]=0,1,0)</f>
        <v>0</v>
      </c>
      <c r="K1712">
        <f>SUM(Table13[[#This Row],[prefix]],Table13[[#This Row],[Past zero L]],Table13[[#This Row],[Past Zero R]],Table13[[#This Row],[Is Zero]])</f>
        <v>0</v>
      </c>
    </row>
    <row r="1713" spans="1:11" ht="16" x14ac:dyDescent="0.2">
      <c r="A1713" s="1" t="s">
        <v>487</v>
      </c>
      <c r="B1713" t="str">
        <f>LEFT(Table13[[#This Row],[Input]],1)</f>
        <v>R</v>
      </c>
      <c r="C1713">
        <f>_xlfn.LET(_xlpm.steps,SUBSTITUTE(Table13[[#This Row],[Input]],Table13[[#This Row],[Direction]],""),VALUE(IF(LEN(_xlpm.steps)&gt;2,RIGHT(_xlpm.steps,2),_xlpm.steps)))</f>
        <v>90</v>
      </c>
      <c r="D1713">
        <f>_xlfn.LET(_xlpm.steps,SUBSTITUTE(Table13[[#This Row],[Input]],Table13[[#This Row],[Direction]],""),VALUE(IF(LEN(_xlpm.steps)&gt;2,LEFT(_xlpm.steps,LEN(_xlpm.steps)-2),0)))</f>
        <v>7</v>
      </c>
      <c r="E1713">
        <f>_xlfn.LET(_xlpm.dir,Table13[[#This Row],[Direction]],
IF(_xlpm.dir="L",
    IF(G1712-Table13[[#This Row],[Steps]]&lt;0,100+(G1712-Table13[[#This Row],[Steps]]),G1712-Table13[[#This Row],[Steps]]),
))</f>
        <v>0</v>
      </c>
      <c r="F1713">
        <f>_xlfn.LET(_xlpm.dir,Table13[[#This Row],[Direction]],
IF(_xlpm.dir="R",
    IF(G1712+Table13[[#This Row],[Steps]]&gt;99,(G1712+Table13[[#This Row],[Steps]])-100,G1712+Table13[[#This Row],[Steps]]),
))</f>
        <v>0</v>
      </c>
      <c r="G1713">
        <f>IF(Table13[[#This Row],[New Pos L]]&lt;&gt;0,Table13[[#This Row],[New Pos L]],Table13[[#This Row],[New Pos R]])</f>
        <v>0</v>
      </c>
      <c r="H1713">
        <f>IF(AND(Table13[[#This Row],[Direction]]="L",Table13[[#This Row],[Steps]]&gt;G1712,G1712&lt;&gt;0),1,0)</f>
        <v>0</v>
      </c>
      <c r="I1713">
        <f>IF(AND(Table13[[#This Row],[Direction]]="R",(G1712+Table13[[#This Row],[Steps]])&gt;100),1,0)</f>
        <v>0</v>
      </c>
      <c r="J1713">
        <f>IF(Table13[[#This Row],[POS]]=0,1,0)</f>
        <v>1</v>
      </c>
      <c r="K1713">
        <f>SUM(Table13[[#This Row],[prefix]],Table13[[#This Row],[Past zero L]],Table13[[#This Row],[Past Zero R]],Table13[[#This Row],[Is Zero]])</f>
        <v>8</v>
      </c>
    </row>
    <row r="1714" spans="1:11" ht="16" x14ac:dyDescent="0.2">
      <c r="A1714" s="1" t="s">
        <v>69</v>
      </c>
      <c r="B1714" t="str">
        <f>LEFT(Table13[[#This Row],[Input]],1)</f>
        <v>R</v>
      </c>
      <c r="C1714">
        <f>_xlfn.LET(_xlpm.steps,SUBSTITUTE(Table13[[#This Row],[Input]],Table13[[#This Row],[Direction]],""),VALUE(IF(LEN(_xlpm.steps)&gt;2,RIGHT(_xlpm.steps,2),_xlpm.steps)))</f>
        <v>27</v>
      </c>
      <c r="D1714">
        <f>_xlfn.LET(_xlpm.steps,SUBSTITUTE(Table13[[#This Row],[Input]],Table13[[#This Row],[Direction]],""),VALUE(IF(LEN(_xlpm.steps)&gt;2,LEFT(_xlpm.steps,LEN(_xlpm.steps)-2),0)))</f>
        <v>0</v>
      </c>
      <c r="E1714">
        <f>_xlfn.LET(_xlpm.dir,Table13[[#This Row],[Direction]],
IF(_xlpm.dir="L",
    IF(G1713-Table13[[#This Row],[Steps]]&lt;0,100+(G1713-Table13[[#This Row],[Steps]]),G1713-Table13[[#This Row],[Steps]]),
))</f>
        <v>0</v>
      </c>
      <c r="F1714">
        <f>_xlfn.LET(_xlpm.dir,Table13[[#This Row],[Direction]],
IF(_xlpm.dir="R",
    IF(G1713+Table13[[#This Row],[Steps]]&gt;99,(G1713+Table13[[#This Row],[Steps]])-100,G1713+Table13[[#This Row],[Steps]]),
))</f>
        <v>27</v>
      </c>
      <c r="G1714">
        <f>IF(Table13[[#This Row],[New Pos L]]&lt;&gt;0,Table13[[#This Row],[New Pos L]],Table13[[#This Row],[New Pos R]])</f>
        <v>27</v>
      </c>
      <c r="H1714">
        <f>IF(AND(Table13[[#This Row],[Direction]]="L",Table13[[#This Row],[Steps]]&gt;G1713,G1713&lt;&gt;0),1,0)</f>
        <v>0</v>
      </c>
      <c r="I1714">
        <f>IF(AND(Table13[[#This Row],[Direction]]="R",(G1713+Table13[[#This Row],[Steps]])&gt;100),1,0)</f>
        <v>0</v>
      </c>
      <c r="J1714">
        <f>IF(Table13[[#This Row],[POS]]=0,1,0)</f>
        <v>0</v>
      </c>
      <c r="K1714">
        <f>SUM(Table13[[#This Row],[prefix]],Table13[[#This Row],[Past zero L]],Table13[[#This Row],[Past Zero R]],Table13[[#This Row],[Is Zero]])</f>
        <v>0</v>
      </c>
    </row>
    <row r="1715" spans="1:11" ht="16" x14ac:dyDescent="0.2">
      <c r="A1715" s="1" t="s">
        <v>186</v>
      </c>
      <c r="B1715" t="str">
        <f>LEFT(Table13[[#This Row],[Input]],1)</f>
        <v>L</v>
      </c>
      <c r="C1715">
        <f>_xlfn.LET(_xlpm.steps,SUBSTITUTE(Table13[[#This Row],[Input]],Table13[[#This Row],[Direction]],""),VALUE(IF(LEN(_xlpm.steps)&gt;2,RIGHT(_xlpm.steps,2),_xlpm.steps)))</f>
        <v>84</v>
      </c>
      <c r="D1715">
        <f>_xlfn.LET(_xlpm.steps,SUBSTITUTE(Table13[[#This Row],[Input]],Table13[[#This Row],[Direction]],""),VALUE(IF(LEN(_xlpm.steps)&gt;2,LEFT(_xlpm.steps,LEN(_xlpm.steps)-2),0)))</f>
        <v>0</v>
      </c>
      <c r="E1715">
        <f>_xlfn.LET(_xlpm.dir,Table13[[#This Row],[Direction]],
IF(_xlpm.dir="L",
    IF(G1714-Table13[[#This Row],[Steps]]&lt;0,100+(G1714-Table13[[#This Row],[Steps]]),G1714-Table13[[#This Row],[Steps]]),
))</f>
        <v>43</v>
      </c>
      <c r="F1715">
        <f>_xlfn.LET(_xlpm.dir,Table13[[#This Row],[Direction]],
IF(_xlpm.dir="R",
    IF(G1714+Table13[[#This Row],[Steps]]&gt;99,(G1714+Table13[[#This Row],[Steps]])-100,G1714+Table13[[#This Row],[Steps]]),
))</f>
        <v>0</v>
      </c>
      <c r="G1715">
        <f>IF(Table13[[#This Row],[New Pos L]]&lt;&gt;0,Table13[[#This Row],[New Pos L]],Table13[[#This Row],[New Pos R]])</f>
        <v>43</v>
      </c>
      <c r="H1715">
        <f>IF(AND(Table13[[#This Row],[Direction]]="L",Table13[[#This Row],[Steps]]&gt;G1714,G1714&lt;&gt;0),1,0)</f>
        <v>1</v>
      </c>
      <c r="I1715">
        <f>IF(AND(Table13[[#This Row],[Direction]]="R",(G1714+Table13[[#This Row],[Steps]])&gt;100),1,0)</f>
        <v>0</v>
      </c>
      <c r="J1715">
        <f>IF(Table13[[#This Row],[POS]]=0,1,0)</f>
        <v>0</v>
      </c>
      <c r="K1715">
        <f>SUM(Table13[[#This Row],[prefix]],Table13[[#This Row],[Past zero L]],Table13[[#This Row],[Past Zero R]],Table13[[#This Row],[Is Zero]])</f>
        <v>1</v>
      </c>
    </row>
    <row r="1716" spans="1:11" ht="16" x14ac:dyDescent="0.2">
      <c r="A1716" s="1" t="s">
        <v>205</v>
      </c>
      <c r="B1716" t="str">
        <f>LEFT(Table13[[#This Row],[Input]],1)</f>
        <v>R</v>
      </c>
      <c r="C1716">
        <f>_xlfn.LET(_xlpm.steps,SUBSTITUTE(Table13[[#This Row],[Input]],Table13[[#This Row],[Direction]],""),VALUE(IF(LEN(_xlpm.steps)&gt;2,RIGHT(_xlpm.steps,2),_xlpm.steps)))</f>
        <v>83</v>
      </c>
      <c r="D1716">
        <f>_xlfn.LET(_xlpm.steps,SUBSTITUTE(Table13[[#This Row],[Input]],Table13[[#This Row],[Direction]],""),VALUE(IF(LEN(_xlpm.steps)&gt;2,LEFT(_xlpm.steps,LEN(_xlpm.steps)-2),0)))</f>
        <v>0</v>
      </c>
      <c r="E1716">
        <f>_xlfn.LET(_xlpm.dir,Table13[[#This Row],[Direction]],
IF(_xlpm.dir="L",
    IF(G1715-Table13[[#This Row],[Steps]]&lt;0,100+(G1715-Table13[[#This Row],[Steps]]),G1715-Table13[[#This Row],[Steps]]),
))</f>
        <v>0</v>
      </c>
      <c r="F1716">
        <f>_xlfn.LET(_xlpm.dir,Table13[[#This Row],[Direction]],
IF(_xlpm.dir="R",
    IF(G1715+Table13[[#This Row],[Steps]]&gt;99,(G1715+Table13[[#This Row],[Steps]])-100,G1715+Table13[[#This Row],[Steps]]),
))</f>
        <v>26</v>
      </c>
      <c r="G1716">
        <f>IF(Table13[[#This Row],[New Pos L]]&lt;&gt;0,Table13[[#This Row],[New Pos L]],Table13[[#This Row],[New Pos R]])</f>
        <v>26</v>
      </c>
      <c r="H1716">
        <f>IF(AND(Table13[[#This Row],[Direction]]="L",Table13[[#This Row],[Steps]]&gt;G1715,G1715&lt;&gt;0),1,0)</f>
        <v>0</v>
      </c>
      <c r="I1716">
        <f>IF(AND(Table13[[#This Row],[Direction]]="R",(G1715+Table13[[#This Row],[Steps]])&gt;100),1,0)</f>
        <v>1</v>
      </c>
      <c r="J1716">
        <f>IF(Table13[[#This Row],[POS]]=0,1,0)</f>
        <v>0</v>
      </c>
      <c r="K1716">
        <f>SUM(Table13[[#This Row],[prefix]],Table13[[#This Row],[Past zero L]],Table13[[#This Row],[Past Zero R]],Table13[[#This Row],[Is Zero]])</f>
        <v>1</v>
      </c>
    </row>
    <row r="1717" spans="1:11" ht="16" x14ac:dyDescent="0.2">
      <c r="A1717" s="1" t="s">
        <v>488</v>
      </c>
      <c r="B1717" t="str">
        <f>LEFT(Table13[[#This Row],[Input]],1)</f>
        <v>R</v>
      </c>
      <c r="C1717">
        <f>_xlfn.LET(_xlpm.steps,SUBSTITUTE(Table13[[#This Row],[Input]],Table13[[#This Row],[Direction]],""),VALUE(IF(LEN(_xlpm.steps)&gt;2,RIGHT(_xlpm.steps,2),_xlpm.steps)))</f>
        <v>59</v>
      </c>
      <c r="D1717">
        <f>_xlfn.LET(_xlpm.steps,SUBSTITUTE(Table13[[#This Row],[Input]],Table13[[#This Row],[Direction]],""),VALUE(IF(LEN(_xlpm.steps)&gt;2,LEFT(_xlpm.steps,LEN(_xlpm.steps)-2),0)))</f>
        <v>4</v>
      </c>
      <c r="E1717">
        <f>_xlfn.LET(_xlpm.dir,Table13[[#This Row],[Direction]],
IF(_xlpm.dir="L",
    IF(G1716-Table13[[#This Row],[Steps]]&lt;0,100+(G1716-Table13[[#This Row],[Steps]]),G1716-Table13[[#This Row],[Steps]]),
))</f>
        <v>0</v>
      </c>
      <c r="F1717">
        <f>_xlfn.LET(_xlpm.dir,Table13[[#This Row],[Direction]],
IF(_xlpm.dir="R",
    IF(G1716+Table13[[#This Row],[Steps]]&gt;99,(G1716+Table13[[#This Row],[Steps]])-100,G1716+Table13[[#This Row],[Steps]]),
))</f>
        <v>85</v>
      </c>
      <c r="G1717">
        <f>IF(Table13[[#This Row],[New Pos L]]&lt;&gt;0,Table13[[#This Row],[New Pos L]],Table13[[#This Row],[New Pos R]])</f>
        <v>85</v>
      </c>
      <c r="H1717">
        <f>IF(AND(Table13[[#This Row],[Direction]]="L",Table13[[#This Row],[Steps]]&gt;G1716,G1716&lt;&gt;0),1,0)</f>
        <v>0</v>
      </c>
      <c r="I1717">
        <f>IF(AND(Table13[[#This Row],[Direction]]="R",(G1716+Table13[[#This Row],[Steps]])&gt;100),1,0)</f>
        <v>0</v>
      </c>
      <c r="J1717">
        <f>IF(Table13[[#This Row],[POS]]=0,1,0)</f>
        <v>0</v>
      </c>
      <c r="K1717">
        <f>SUM(Table13[[#This Row],[prefix]],Table13[[#This Row],[Past zero L]],Table13[[#This Row],[Past Zero R]],Table13[[#This Row],[Is Zero]])</f>
        <v>4</v>
      </c>
    </row>
    <row r="1718" spans="1:11" ht="16" x14ac:dyDescent="0.2">
      <c r="A1718" s="1" t="s">
        <v>205</v>
      </c>
      <c r="B1718" t="str">
        <f>LEFT(Table13[[#This Row],[Input]],1)</f>
        <v>R</v>
      </c>
      <c r="C1718">
        <f>_xlfn.LET(_xlpm.steps,SUBSTITUTE(Table13[[#This Row],[Input]],Table13[[#This Row],[Direction]],""),VALUE(IF(LEN(_xlpm.steps)&gt;2,RIGHT(_xlpm.steps,2),_xlpm.steps)))</f>
        <v>83</v>
      </c>
      <c r="D1718">
        <f>_xlfn.LET(_xlpm.steps,SUBSTITUTE(Table13[[#This Row],[Input]],Table13[[#This Row],[Direction]],""),VALUE(IF(LEN(_xlpm.steps)&gt;2,LEFT(_xlpm.steps,LEN(_xlpm.steps)-2),0)))</f>
        <v>0</v>
      </c>
      <c r="E1718">
        <f>_xlfn.LET(_xlpm.dir,Table13[[#This Row],[Direction]],
IF(_xlpm.dir="L",
    IF(G1717-Table13[[#This Row],[Steps]]&lt;0,100+(G1717-Table13[[#This Row],[Steps]]),G1717-Table13[[#This Row],[Steps]]),
))</f>
        <v>0</v>
      </c>
      <c r="F1718">
        <f>_xlfn.LET(_xlpm.dir,Table13[[#This Row],[Direction]],
IF(_xlpm.dir="R",
    IF(G1717+Table13[[#This Row],[Steps]]&gt;99,(G1717+Table13[[#This Row],[Steps]])-100,G1717+Table13[[#This Row],[Steps]]),
))</f>
        <v>68</v>
      </c>
      <c r="G1718">
        <f>IF(Table13[[#This Row],[New Pos L]]&lt;&gt;0,Table13[[#This Row],[New Pos L]],Table13[[#This Row],[New Pos R]])</f>
        <v>68</v>
      </c>
      <c r="H1718">
        <f>IF(AND(Table13[[#This Row],[Direction]]="L",Table13[[#This Row],[Steps]]&gt;G1717,G1717&lt;&gt;0),1,0)</f>
        <v>0</v>
      </c>
      <c r="I1718">
        <f>IF(AND(Table13[[#This Row],[Direction]]="R",(G1717+Table13[[#This Row],[Steps]])&gt;100),1,0)</f>
        <v>1</v>
      </c>
      <c r="J1718">
        <f>IF(Table13[[#This Row],[POS]]=0,1,0)</f>
        <v>0</v>
      </c>
      <c r="K1718">
        <f>SUM(Table13[[#This Row],[prefix]],Table13[[#This Row],[Past zero L]],Table13[[#This Row],[Past Zero R]],Table13[[#This Row],[Is Zero]])</f>
        <v>1</v>
      </c>
    </row>
    <row r="1719" spans="1:11" ht="16" x14ac:dyDescent="0.2">
      <c r="A1719" s="1" t="s">
        <v>320</v>
      </c>
      <c r="B1719" t="str">
        <f>LEFT(Table13[[#This Row],[Input]],1)</f>
        <v>L</v>
      </c>
      <c r="C1719">
        <f>_xlfn.LET(_xlpm.steps,SUBSTITUTE(Table13[[#This Row],[Input]],Table13[[#This Row],[Direction]],""),VALUE(IF(LEN(_xlpm.steps)&gt;2,RIGHT(_xlpm.steps,2),_xlpm.steps)))</f>
        <v>69</v>
      </c>
      <c r="D1719">
        <f>_xlfn.LET(_xlpm.steps,SUBSTITUTE(Table13[[#This Row],[Input]],Table13[[#This Row],[Direction]],""),VALUE(IF(LEN(_xlpm.steps)&gt;2,LEFT(_xlpm.steps,LEN(_xlpm.steps)-2),0)))</f>
        <v>1</v>
      </c>
      <c r="E1719">
        <f>_xlfn.LET(_xlpm.dir,Table13[[#This Row],[Direction]],
IF(_xlpm.dir="L",
    IF(G1718-Table13[[#This Row],[Steps]]&lt;0,100+(G1718-Table13[[#This Row],[Steps]]),G1718-Table13[[#This Row],[Steps]]),
))</f>
        <v>99</v>
      </c>
      <c r="F1719">
        <f>_xlfn.LET(_xlpm.dir,Table13[[#This Row],[Direction]],
IF(_xlpm.dir="R",
    IF(G1718+Table13[[#This Row],[Steps]]&gt;99,(G1718+Table13[[#This Row],[Steps]])-100,G1718+Table13[[#This Row],[Steps]]),
))</f>
        <v>0</v>
      </c>
      <c r="G1719">
        <f>IF(Table13[[#This Row],[New Pos L]]&lt;&gt;0,Table13[[#This Row],[New Pos L]],Table13[[#This Row],[New Pos R]])</f>
        <v>99</v>
      </c>
      <c r="H1719">
        <f>IF(AND(Table13[[#This Row],[Direction]]="L",Table13[[#This Row],[Steps]]&gt;G1718,G1718&lt;&gt;0),1,0)</f>
        <v>1</v>
      </c>
      <c r="I1719">
        <f>IF(AND(Table13[[#This Row],[Direction]]="R",(G1718+Table13[[#This Row],[Steps]])&gt;100),1,0)</f>
        <v>0</v>
      </c>
      <c r="J1719">
        <f>IF(Table13[[#This Row],[POS]]=0,1,0)</f>
        <v>0</v>
      </c>
      <c r="K1719">
        <f>SUM(Table13[[#This Row],[prefix]],Table13[[#This Row],[Past zero L]],Table13[[#This Row],[Past Zero R]],Table13[[#This Row],[Is Zero]])</f>
        <v>2</v>
      </c>
    </row>
    <row r="1720" spans="1:11" ht="16" x14ac:dyDescent="0.2">
      <c r="A1720" s="1" t="s">
        <v>106</v>
      </c>
      <c r="B1720" t="str">
        <f>LEFT(Table13[[#This Row],[Input]],1)</f>
        <v>R</v>
      </c>
      <c r="C1720">
        <f>_xlfn.LET(_xlpm.steps,SUBSTITUTE(Table13[[#This Row],[Input]],Table13[[#This Row],[Direction]],""),VALUE(IF(LEN(_xlpm.steps)&gt;2,RIGHT(_xlpm.steps,2),_xlpm.steps)))</f>
        <v>41</v>
      </c>
      <c r="D1720">
        <f>_xlfn.LET(_xlpm.steps,SUBSTITUTE(Table13[[#This Row],[Input]],Table13[[#This Row],[Direction]],""),VALUE(IF(LEN(_xlpm.steps)&gt;2,LEFT(_xlpm.steps,LEN(_xlpm.steps)-2),0)))</f>
        <v>0</v>
      </c>
      <c r="E1720">
        <f>_xlfn.LET(_xlpm.dir,Table13[[#This Row],[Direction]],
IF(_xlpm.dir="L",
    IF(G1719-Table13[[#This Row],[Steps]]&lt;0,100+(G1719-Table13[[#This Row],[Steps]]),G1719-Table13[[#This Row],[Steps]]),
))</f>
        <v>0</v>
      </c>
      <c r="F1720">
        <f>_xlfn.LET(_xlpm.dir,Table13[[#This Row],[Direction]],
IF(_xlpm.dir="R",
    IF(G1719+Table13[[#This Row],[Steps]]&gt;99,(G1719+Table13[[#This Row],[Steps]])-100,G1719+Table13[[#This Row],[Steps]]),
))</f>
        <v>40</v>
      </c>
      <c r="G1720">
        <f>IF(Table13[[#This Row],[New Pos L]]&lt;&gt;0,Table13[[#This Row],[New Pos L]],Table13[[#This Row],[New Pos R]])</f>
        <v>40</v>
      </c>
      <c r="H1720">
        <f>IF(AND(Table13[[#This Row],[Direction]]="L",Table13[[#This Row],[Steps]]&gt;G1719,G1719&lt;&gt;0),1,0)</f>
        <v>0</v>
      </c>
      <c r="I1720">
        <f>IF(AND(Table13[[#This Row],[Direction]]="R",(G1719+Table13[[#This Row],[Steps]])&gt;100),1,0)</f>
        <v>1</v>
      </c>
      <c r="J1720">
        <f>IF(Table13[[#This Row],[POS]]=0,1,0)</f>
        <v>0</v>
      </c>
      <c r="K1720">
        <f>SUM(Table13[[#This Row],[prefix]],Table13[[#This Row],[Past zero L]],Table13[[#This Row],[Past Zero R]],Table13[[#This Row],[Is Zero]])</f>
        <v>1</v>
      </c>
    </row>
    <row r="1721" spans="1:11" ht="16" x14ac:dyDescent="0.2">
      <c r="A1721" s="1" t="s">
        <v>39</v>
      </c>
      <c r="B1721" t="str">
        <f>LEFT(Table13[[#This Row],[Input]],1)</f>
        <v>R</v>
      </c>
      <c r="C1721">
        <f>_xlfn.LET(_xlpm.steps,SUBSTITUTE(Table13[[#This Row],[Input]],Table13[[#This Row],[Direction]],""),VALUE(IF(LEN(_xlpm.steps)&gt;2,RIGHT(_xlpm.steps,2),_xlpm.steps)))</f>
        <v>32</v>
      </c>
      <c r="D1721">
        <f>_xlfn.LET(_xlpm.steps,SUBSTITUTE(Table13[[#This Row],[Input]],Table13[[#This Row],[Direction]],""),VALUE(IF(LEN(_xlpm.steps)&gt;2,LEFT(_xlpm.steps,LEN(_xlpm.steps)-2),0)))</f>
        <v>0</v>
      </c>
      <c r="E1721">
        <f>_xlfn.LET(_xlpm.dir,Table13[[#This Row],[Direction]],
IF(_xlpm.dir="L",
    IF(G1720-Table13[[#This Row],[Steps]]&lt;0,100+(G1720-Table13[[#This Row],[Steps]]),G1720-Table13[[#This Row],[Steps]]),
))</f>
        <v>0</v>
      </c>
      <c r="F1721">
        <f>_xlfn.LET(_xlpm.dir,Table13[[#This Row],[Direction]],
IF(_xlpm.dir="R",
    IF(G1720+Table13[[#This Row],[Steps]]&gt;99,(G1720+Table13[[#This Row],[Steps]])-100,G1720+Table13[[#This Row],[Steps]]),
))</f>
        <v>72</v>
      </c>
      <c r="G1721">
        <f>IF(Table13[[#This Row],[New Pos L]]&lt;&gt;0,Table13[[#This Row],[New Pos L]],Table13[[#This Row],[New Pos R]])</f>
        <v>72</v>
      </c>
      <c r="H1721">
        <f>IF(AND(Table13[[#This Row],[Direction]]="L",Table13[[#This Row],[Steps]]&gt;G1720,G1720&lt;&gt;0),1,0)</f>
        <v>0</v>
      </c>
      <c r="I1721">
        <f>IF(AND(Table13[[#This Row],[Direction]]="R",(G1720+Table13[[#This Row],[Steps]])&gt;100),1,0)</f>
        <v>0</v>
      </c>
      <c r="J1721">
        <f>IF(Table13[[#This Row],[POS]]=0,1,0)</f>
        <v>0</v>
      </c>
      <c r="K1721">
        <f>SUM(Table13[[#This Row],[prefix]],Table13[[#This Row],[Past zero L]],Table13[[#This Row],[Past Zero R]],Table13[[#This Row],[Is Zero]])</f>
        <v>0</v>
      </c>
    </row>
    <row r="1722" spans="1:11" ht="16" x14ac:dyDescent="0.2">
      <c r="A1722" s="1" t="s">
        <v>79</v>
      </c>
      <c r="B1722" t="str">
        <f>LEFT(Table13[[#This Row],[Input]],1)</f>
        <v>L</v>
      </c>
      <c r="C1722">
        <f>_xlfn.LET(_xlpm.steps,SUBSTITUTE(Table13[[#This Row],[Input]],Table13[[#This Row],[Direction]],""),VALUE(IF(LEN(_xlpm.steps)&gt;2,RIGHT(_xlpm.steps,2),_xlpm.steps)))</f>
        <v>45</v>
      </c>
      <c r="D1722">
        <f>_xlfn.LET(_xlpm.steps,SUBSTITUTE(Table13[[#This Row],[Input]],Table13[[#This Row],[Direction]],""),VALUE(IF(LEN(_xlpm.steps)&gt;2,LEFT(_xlpm.steps,LEN(_xlpm.steps)-2),0)))</f>
        <v>0</v>
      </c>
      <c r="E1722">
        <f>_xlfn.LET(_xlpm.dir,Table13[[#This Row],[Direction]],
IF(_xlpm.dir="L",
    IF(G1721-Table13[[#This Row],[Steps]]&lt;0,100+(G1721-Table13[[#This Row],[Steps]]),G1721-Table13[[#This Row],[Steps]]),
))</f>
        <v>27</v>
      </c>
      <c r="F1722">
        <f>_xlfn.LET(_xlpm.dir,Table13[[#This Row],[Direction]],
IF(_xlpm.dir="R",
    IF(G1721+Table13[[#This Row],[Steps]]&gt;99,(G1721+Table13[[#This Row],[Steps]])-100,G1721+Table13[[#This Row],[Steps]]),
))</f>
        <v>0</v>
      </c>
      <c r="G1722">
        <f>IF(Table13[[#This Row],[New Pos L]]&lt;&gt;0,Table13[[#This Row],[New Pos L]],Table13[[#This Row],[New Pos R]])</f>
        <v>27</v>
      </c>
      <c r="H1722">
        <f>IF(AND(Table13[[#This Row],[Direction]]="L",Table13[[#This Row],[Steps]]&gt;G1721,G1721&lt;&gt;0),1,0)</f>
        <v>0</v>
      </c>
      <c r="I1722">
        <f>IF(AND(Table13[[#This Row],[Direction]]="R",(G1721+Table13[[#This Row],[Steps]])&gt;100),1,0)</f>
        <v>0</v>
      </c>
      <c r="J1722">
        <f>IF(Table13[[#This Row],[POS]]=0,1,0)</f>
        <v>0</v>
      </c>
      <c r="K1722">
        <f>SUM(Table13[[#This Row],[prefix]],Table13[[#This Row],[Past zero L]],Table13[[#This Row],[Past Zero R]],Table13[[#This Row],[Is Zero]])</f>
        <v>0</v>
      </c>
    </row>
    <row r="1723" spans="1:11" ht="16" x14ac:dyDescent="0.2">
      <c r="A1723" s="1" t="s">
        <v>234</v>
      </c>
      <c r="B1723" t="str">
        <f>LEFT(Table13[[#This Row],[Input]],1)</f>
        <v>R</v>
      </c>
      <c r="C1723">
        <f>_xlfn.LET(_xlpm.steps,SUBSTITUTE(Table13[[#This Row],[Input]],Table13[[#This Row],[Direction]],""),VALUE(IF(LEN(_xlpm.steps)&gt;2,RIGHT(_xlpm.steps,2),_xlpm.steps)))</f>
        <v>82</v>
      </c>
      <c r="D1723">
        <f>_xlfn.LET(_xlpm.steps,SUBSTITUTE(Table13[[#This Row],[Input]],Table13[[#This Row],[Direction]],""),VALUE(IF(LEN(_xlpm.steps)&gt;2,LEFT(_xlpm.steps,LEN(_xlpm.steps)-2),0)))</f>
        <v>0</v>
      </c>
      <c r="E1723">
        <f>_xlfn.LET(_xlpm.dir,Table13[[#This Row],[Direction]],
IF(_xlpm.dir="L",
    IF(G1722-Table13[[#This Row],[Steps]]&lt;0,100+(G1722-Table13[[#This Row],[Steps]]),G1722-Table13[[#This Row],[Steps]]),
))</f>
        <v>0</v>
      </c>
      <c r="F1723">
        <f>_xlfn.LET(_xlpm.dir,Table13[[#This Row],[Direction]],
IF(_xlpm.dir="R",
    IF(G1722+Table13[[#This Row],[Steps]]&gt;99,(G1722+Table13[[#This Row],[Steps]])-100,G1722+Table13[[#This Row],[Steps]]),
))</f>
        <v>9</v>
      </c>
      <c r="G1723">
        <f>IF(Table13[[#This Row],[New Pos L]]&lt;&gt;0,Table13[[#This Row],[New Pos L]],Table13[[#This Row],[New Pos R]])</f>
        <v>9</v>
      </c>
      <c r="H1723">
        <f>IF(AND(Table13[[#This Row],[Direction]]="L",Table13[[#This Row],[Steps]]&gt;G1722,G1722&lt;&gt;0),1,0)</f>
        <v>0</v>
      </c>
      <c r="I1723">
        <f>IF(AND(Table13[[#This Row],[Direction]]="R",(G1722+Table13[[#This Row],[Steps]])&gt;100),1,0)</f>
        <v>1</v>
      </c>
      <c r="J1723">
        <f>IF(Table13[[#This Row],[POS]]=0,1,0)</f>
        <v>0</v>
      </c>
      <c r="K1723">
        <f>SUM(Table13[[#This Row],[prefix]],Table13[[#This Row],[Past zero L]],Table13[[#This Row],[Past Zero R]],Table13[[#This Row],[Is Zero]])</f>
        <v>1</v>
      </c>
    </row>
    <row r="1724" spans="1:11" ht="16" x14ac:dyDescent="0.2">
      <c r="A1724" s="1" t="s">
        <v>489</v>
      </c>
      <c r="B1724" t="str">
        <f>LEFT(Table13[[#This Row],[Input]],1)</f>
        <v>L</v>
      </c>
      <c r="C1724">
        <f>_xlfn.LET(_xlpm.steps,SUBSTITUTE(Table13[[#This Row],[Input]],Table13[[#This Row],[Direction]],""),VALUE(IF(LEN(_xlpm.steps)&gt;2,RIGHT(_xlpm.steps,2),_xlpm.steps)))</f>
        <v>58</v>
      </c>
      <c r="D1724">
        <f>_xlfn.LET(_xlpm.steps,SUBSTITUTE(Table13[[#This Row],[Input]],Table13[[#This Row],[Direction]],""),VALUE(IF(LEN(_xlpm.steps)&gt;2,LEFT(_xlpm.steps,LEN(_xlpm.steps)-2),0)))</f>
        <v>2</v>
      </c>
      <c r="E1724">
        <f>_xlfn.LET(_xlpm.dir,Table13[[#This Row],[Direction]],
IF(_xlpm.dir="L",
    IF(G1723-Table13[[#This Row],[Steps]]&lt;0,100+(G1723-Table13[[#This Row],[Steps]]),G1723-Table13[[#This Row],[Steps]]),
))</f>
        <v>51</v>
      </c>
      <c r="F1724">
        <f>_xlfn.LET(_xlpm.dir,Table13[[#This Row],[Direction]],
IF(_xlpm.dir="R",
    IF(G1723+Table13[[#This Row],[Steps]]&gt;99,(G1723+Table13[[#This Row],[Steps]])-100,G1723+Table13[[#This Row],[Steps]]),
))</f>
        <v>0</v>
      </c>
      <c r="G1724">
        <f>IF(Table13[[#This Row],[New Pos L]]&lt;&gt;0,Table13[[#This Row],[New Pos L]],Table13[[#This Row],[New Pos R]])</f>
        <v>51</v>
      </c>
      <c r="H1724">
        <f>IF(AND(Table13[[#This Row],[Direction]]="L",Table13[[#This Row],[Steps]]&gt;G1723,G1723&lt;&gt;0),1,0)</f>
        <v>1</v>
      </c>
      <c r="I1724">
        <f>IF(AND(Table13[[#This Row],[Direction]]="R",(G1723+Table13[[#This Row],[Steps]])&gt;100),1,0)</f>
        <v>0</v>
      </c>
      <c r="J1724">
        <f>IF(Table13[[#This Row],[POS]]=0,1,0)</f>
        <v>0</v>
      </c>
      <c r="K1724">
        <f>SUM(Table13[[#This Row],[prefix]],Table13[[#This Row],[Past zero L]],Table13[[#This Row],[Past Zero R]],Table13[[#This Row],[Is Zero]])</f>
        <v>3</v>
      </c>
    </row>
    <row r="1725" spans="1:11" ht="16" x14ac:dyDescent="0.2">
      <c r="A1725" s="1" t="s">
        <v>490</v>
      </c>
      <c r="B1725" t="str">
        <f>LEFT(Table13[[#This Row],[Input]],1)</f>
        <v>R</v>
      </c>
      <c r="C1725">
        <f>_xlfn.LET(_xlpm.steps,SUBSTITUTE(Table13[[#This Row],[Input]],Table13[[#This Row],[Direction]],""),VALUE(IF(LEN(_xlpm.steps)&gt;2,RIGHT(_xlpm.steps,2),_xlpm.steps)))</f>
        <v>49</v>
      </c>
      <c r="D1725">
        <f>_xlfn.LET(_xlpm.steps,SUBSTITUTE(Table13[[#This Row],[Input]],Table13[[#This Row],[Direction]],""),VALUE(IF(LEN(_xlpm.steps)&gt;2,LEFT(_xlpm.steps,LEN(_xlpm.steps)-2),0)))</f>
        <v>7</v>
      </c>
      <c r="E1725">
        <f>_xlfn.LET(_xlpm.dir,Table13[[#This Row],[Direction]],
IF(_xlpm.dir="L",
    IF(G1724-Table13[[#This Row],[Steps]]&lt;0,100+(G1724-Table13[[#This Row],[Steps]]),G1724-Table13[[#This Row],[Steps]]),
))</f>
        <v>0</v>
      </c>
      <c r="F1725">
        <f>_xlfn.LET(_xlpm.dir,Table13[[#This Row],[Direction]],
IF(_xlpm.dir="R",
    IF(G1724+Table13[[#This Row],[Steps]]&gt;99,(G1724+Table13[[#This Row],[Steps]])-100,G1724+Table13[[#This Row],[Steps]]),
))</f>
        <v>0</v>
      </c>
      <c r="G1725">
        <f>IF(Table13[[#This Row],[New Pos L]]&lt;&gt;0,Table13[[#This Row],[New Pos L]],Table13[[#This Row],[New Pos R]])</f>
        <v>0</v>
      </c>
      <c r="H1725">
        <f>IF(AND(Table13[[#This Row],[Direction]]="L",Table13[[#This Row],[Steps]]&gt;G1724,G1724&lt;&gt;0),1,0)</f>
        <v>0</v>
      </c>
      <c r="I1725">
        <f>IF(AND(Table13[[#This Row],[Direction]]="R",(G1724+Table13[[#This Row],[Steps]])&gt;100),1,0)</f>
        <v>0</v>
      </c>
      <c r="J1725">
        <f>IF(Table13[[#This Row],[POS]]=0,1,0)</f>
        <v>1</v>
      </c>
      <c r="K1725">
        <f>SUM(Table13[[#This Row],[prefix]],Table13[[#This Row],[Past zero L]],Table13[[#This Row],[Past Zero R]],Table13[[#This Row],[Is Zero]])</f>
        <v>8</v>
      </c>
    </row>
    <row r="1726" spans="1:11" ht="16" x14ac:dyDescent="0.2">
      <c r="A1726" s="1" t="s">
        <v>41</v>
      </c>
      <c r="B1726" t="str">
        <f>LEFT(Table13[[#This Row],[Input]],1)</f>
        <v>L</v>
      </c>
      <c r="C1726">
        <f>_xlfn.LET(_xlpm.steps,SUBSTITUTE(Table13[[#This Row],[Input]],Table13[[#This Row],[Direction]],""),VALUE(IF(LEN(_xlpm.steps)&gt;2,RIGHT(_xlpm.steps,2),_xlpm.steps)))</f>
        <v>7</v>
      </c>
      <c r="D1726">
        <f>_xlfn.LET(_xlpm.steps,SUBSTITUTE(Table13[[#This Row],[Input]],Table13[[#This Row],[Direction]],""),VALUE(IF(LEN(_xlpm.steps)&gt;2,LEFT(_xlpm.steps,LEN(_xlpm.steps)-2),0)))</f>
        <v>0</v>
      </c>
      <c r="E1726">
        <f>_xlfn.LET(_xlpm.dir,Table13[[#This Row],[Direction]],
IF(_xlpm.dir="L",
    IF(G1725-Table13[[#This Row],[Steps]]&lt;0,100+(G1725-Table13[[#This Row],[Steps]]),G1725-Table13[[#This Row],[Steps]]),
))</f>
        <v>93</v>
      </c>
      <c r="F1726">
        <f>_xlfn.LET(_xlpm.dir,Table13[[#This Row],[Direction]],
IF(_xlpm.dir="R",
    IF(G1725+Table13[[#This Row],[Steps]]&gt;99,(G1725+Table13[[#This Row],[Steps]])-100,G1725+Table13[[#This Row],[Steps]]),
))</f>
        <v>0</v>
      </c>
      <c r="G1726">
        <f>IF(Table13[[#This Row],[New Pos L]]&lt;&gt;0,Table13[[#This Row],[New Pos L]],Table13[[#This Row],[New Pos R]])</f>
        <v>93</v>
      </c>
      <c r="H1726">
        <f>IF(AND(Table13[[#This Row],[Direction]]="L",Table13[[#This Row],[Steps]]&gt;G1725,G1725&lt;&gt;0),1,0)</f>
        <v>0</v>
      </c>
      <c r="I1726">
        <f>IF(AND(Table13[[#This Row],[Direction]]="R",(G1725+Table13[[#This Row],[Steps]])&gt;100),1,0)</f>
        <v>0</v>
      </c>
      <c r="J1726">
        <f>IF(Table13[[#This Row],[POS]]=0,1,0)</f>
        <v>0</v>
      </c>
      <c r="K1726">
        <f>SUM(Table13[[#This Row],[prefix]],Table13[[#This Row],[Past zero L]],Table13[[#This Row],[Past Zero R]],Table13[[#This Row],[Is Zero]])</f>
        <v>0</v>
      </c>
    </row>
    <row r="1727" spans="1:11" ht="16" x14ac:dyDescent="0.2">
      <c r="A1727" s="1" t="s">
        <v>278</v>
      </c>
      <c r="B1727" t="str">
        <f>LEFT(Table13[[#This Row],[Input]],1)</f>
        <v>L</v>
      </c>
      <c r="C1727">
        <f>_xlfn.LET(_xlpm.steps,SUBSTITUTE(Table13[[#This Row],[Input]],Table13[[#This Row],[Direction]],""),VALUE(IF(LEN(_xlpm.steps)&gt;2,RIGHT(_xlpm.steps,2),_xlpm.steps)))</f>
        <v>40</v>
      </c>
      <c r="D1727">
        <f>_xlfn.LET(_xlpm.steps,SUBSTITUTE(Table13[[#This Row],[Input]],Table13[[#This Row],[Direction]],""),VALUE(IF(LEN(_xlpm.steps)&gt;2,LEFT(_xlpm.steps,LEN(_xlpm.steps)-2),0)))</f>
        <v>0</v>
      </c>
      <c r="E1727">
        <f>_xlfn.LET(_xlpm.dir,Table13[[#This Row],[Direction]],
IF(_xlpm.dir="L",
    IF(G1726-Table13[[#This Row],[Steps]]&lt;0,100+(G1726-Table13[[#This Row],[Steps]]),G1726-Table13[[#This Row],[Steps]]),
))</f>
        <v>53</v>
      </c>
      <c r="F1727">
        <f>_xlfn.LET(_xlpm.dir,Table13[[#This Row],[Direction]],
IF(_xlpm.dir="R",
    IF(G1726+Table13[[#This Row],[Steps]]&gt;99,(G1726+Table13[[#This Row],[Steps]])-100,G1726+Table13[[#This Row],[Steps]]),
))</f>
        <v>0</v>
      </c>
      <c r="G1727">
        <f>IF(Table13[[#This Row],[New Pos L]]&lt;&gt;0,Table13[[#This Row],[New Pos L]],Table13[[#This Row],[New Pos R]])</f>
        <v>53</v>
      </c>
      <c r="H1727">
        <f>IF(AND(Table13[[#This Row],[Direction]]="L",Table13[[#This Row],[Steps]]&gt;G1726,G1726&lt;&gt;0),1,0)</f>
        <v>0</v>
      </c>
      <c r="I1727">
        <f>IF(AND(Table13[[#This Row],[Direction]]="R",(G1726+Table13[[#This Row],[Steps]])&gt;100),1,0)</f>
        <v>0</v>
      </c>
      <c r="J1727">
        <f>IF(Table13[[#This Row],[POS]]=0,1,0)</f>
        <v>0</v>
      </c>
      <c r="K1727">
        <f>SUM(Table13[[#This Row],[prefix]],Table13[[#This Row],[Past zero L]],Table13[[#This Row],[Past Zero R]],Table13[[#This Row],[Is Zero]])</f>
        <v>0</v>
      </c>
    </row>
    <row r="1728" spans="1:11" ht="16" x14ac:dyDescent="0.2">
      <c r="A1728" s="1" t="s">
        <v>491</v>
      </c>
      <c r="B1728" t="str">
        <f>LEFT(Table13[[#This Row],[Input]],1)</f>
        <v>L</v>
      </c>
      <c r="C1728">
        <f>_xlfn.LET(_xlpm.steps,SUBSTITUTE(Table13[[#This Row],[Input]],Table13[[#This Row],[Direction]],""),VALUE(IF(LEN(_xlpm.steps)&gt;2,RIGHT(_xlpm.steps,2),_xlpm.steps)))</f>
        <v>63</v>
      </c>
      <c r="D1728">
        <f>_xlfn.LET(_xlpm.steps,SUBSTITUTE(Table13[[#This Row],[Input]],Table13[[#This Row],[Direction]],""),VALUE(IF(LEN(_xlpm.steps)&gt;2,LEFT(_xlpm.steps,LEN(_xlpm.steps)-2),0)))</f>
        <v>4</v>
      </c>
      <c r="E1728">
        <f>_xlfn.LET(_xlpm.dir,Table13[[#This Row],[Direction]],
IF(_xlpm.dir="L",
    IF(G1727-Table13[[#This Row],[Steps]]&lt;0,100+(G1727-Table13[[#This Row],[Steps]]),G1727-Table13[[#This Row],[Steps]]),
))</f>
        <v>90</v>
      </c>
      <c r="F1728">
        <f>_xlfn.LET(_xlpm.dir,Table13[[#This Row],[Direction]],
IF(_xlpm.dir="R",
    IF(G1727+Table13[[#This Row],[Steps]]&gt;99,(G1727+Table13[[#This Row],[Steps]])-100,G1727+Table13[[#This Row],[Steps]]),
))</f>
        <v>0</v>
      </c>
      <c r="G1728">
        <f>IF(Table13[[#This Row],[New Pos L]]&lt;&gt;0,Table13[[#This Row],[New Pos L]],Table13[[#This Row],[New Pos R]])</f>
        <v>90</v>
      </c>
      <c r="H1728">
        <f>IF(AND(Table13[[#This Row],[Direction]]="L",Table13[[#This Row],[Steps]]&gt;G1727,G1727&lt;&gt;0),1,0)</f>
        <v>1</v>
      </c>
      <c r="I1728">
        <f>IF(AND(Table13[[#This Row],[Direction]]="R",(G1727+Table13[[#This Row],[Steps]])&gt;100),1,0)</f>
        <v>0</v>
      </c>
      <c r="J1728">
        <f>IF(Table13[[#This Row],[POS]]=0,1,0)</f>
        <v>0</v>
      </c>
      <c r="K1728">
        <f>SUM(Table13[[#This Row],[prefix]],Table13[[#This Row],[Past zero L]],Table13[[#This Row],[Past Zero R]],Table13[[#This Row],[Is Zero]])</f>
        <v>5</v>
      </c>
    </row>
    <row r="1729" spans="1:11" ht="16" x14ac:dyDescent="0.2">
      <c r="A1729" s="1" t="s">
        <v>492</v>
      </c>
      <c r="B1729" t="str">
        <f>LEFT(Table13[[#This Row],[Input]],1)</f>
        <v>L</v>
      </c>
      <c r="C1729">
        <f>_xlfn.LET(_xlpm.steps,SUBSTITUTE(Table13[[#This Row],[Input]],Table13[[#This Row],[Direction]],""),VALUE(IF(LEN(_xlpm.steps)&gt;2,RIGHT(_xlpm.steps,2),_xlpm.steps)))</f>
        <v>90</v>
      </c>
      <c r="D1729">
        <f>_xlfn.LET(_xlpm.steps,SUBSTITUTE(Table13[[#This Row],[Input]],Table13[[#This Row],[Direction]],""),VALUE(IF(LEN(_xlpm.steps)&gt;2,LEFT(_xlpm.steps,LEN(_xlpm.steps)-2),0)))</f>
        <v>9</v>
      </c>
      <c r="E1729">
        <f>_xlfn.LET(_xlpm.dir,Table13[[#This Row],[Direction]],
IF(_xlpm.dir="L",
    IF(G1728-Table13[[#This Row],[Steps]]&lt;0,100+(G1728-Table13[[#This Row],[Steps]]),G1728-Table13[[#This Row],[Steps]]),
))</f>
        <v>0</v>
      </c>
      <c r="F1729">
        <f>_xlfn.LET(_xlpm.dir,Table13[[#This Row],[Direction]],
IF(_xlpm.dir="R",
    IF(G1728+Table13[[#This Row],[Steps]]&gt;99,(G1728+Table13[[#This Row],[Steps]])-100,G1728+Table13[[#This Row],[Steps]]),
))</f>
        <v>0</v>
      </c>
      <c r="G1729">
        <f>IF(Table13[[#This Row],[New Pos L]]&lt;&gt;0,Table13[[#This Row],[New Pos L]],Table13[[#This Row],[New Pos R]])</f>
        <v>0</v>
      </c>
      <c r="H1729">
        <f>IF(AND(Table13[[#This Row],[Direction]]="L",Table13[[#This Row],[Steps]]&gt;G1728,G1728&lt;&gt;0),1,0)</f>
        <v>0</v>
      </c>
      <c r="I1729">
        <f>IF(AND(Table13[[#This Row],[Direction]]="R",(G1728+Table13[[#This Row],[Steps]])&gt;100),1,0)</f>
        <v>0</v>
      </c>
      <c r="J1729">
        <f>IF(Table13[[#This Row],[POS]]=0,1,0)</f>
        <v>1</v>
      </c>
      <c r="K1729">
        <f>SUM(Table13[[#This Row],[prefix]],Table13[[#This Row],[Past zero L]],Table13[[#This Row],[Past Zero R]],Table13[[#This Row],[Is Zero]])</f>
        <v>10</v>
      </c>
    </row>
    <row r="1730" spans="1:11" ht="16" x14ac:dyDescent="0.2">
      <c r="A1730" s="1" t="s">
        <v>41</v>
      </c>
      <c r="B1730" t="str">
        <f>LEFT(Table13[[#This Row],[Input]],1)</f>
        <v>L</v>
      </c>
      <c r="C1730">
        <f>_xlfn.LET(_xlpm.steps,SUBSTITUTE(Table13[[#This Row],[Input]],Table13[[#This Row],[Direction]],""),VALUE(IF(LEN(_xlpm.steps)&gt;2,RIGHT(_xlpm.steps,2),_xlpm.steps)))</f>
        <v>7</v>
      </c>
      <c r="D1730">
        <f>_xlfn.LET(_xlpm.steps,SUBSTITUTE(Table13[[#This Row],[Input]],Table13[[#This Row],[Direction]],""),VALUE(IF(LEN(_xlpm.steps)&gt;2,LEFT(_xlpm.steps,LEN(_xlpm.steps)-2),0)))</f>
        <v>0</v>
      </c>
      <c r="E1730">
        <f>_xlfn.LET(_xlpm.dir,Table13[[#This Row],[Direction]],
IF(_xlpm.dir="L",
    IF(G1729-Table13[[#This Row],[Steps]]&lt;0,100+(G1729-Table13[[#This Row],[Steps]]),G1729-Table13[[#This Row],[Steps]]),
))</f>
        <v>93</v>
      </c>
      <c r="F1730">
        <f>_xlfn.LET(_xlpm.dir,Table13[[#This Row],[Direction]],
IF(_xlpm.dir="R",
    IF(G1729+Table13[[#This Row],[Steps]]&gt;99,(G1729+Table13[[#This Row],[Steps]])-100,G1729+Table13[[#This Row],[Steps]]),
))</f>
        <v>0</v>
      </c>
      <c r="G1730">
        <f>IF(Table13[[#This Row],[New Pos L]]&lt;&gt;0,Table13[[#This Row],[New Pos L]],Table13[[#This Row],[New Pos R]])</f>
        <v>93</v>
      </c>
      <c r="H1730">
        <f>IF(AND(Table13[[#This Row],[Direction]]="L",Table13[[#This Row],[Steps]]&gt;G1729,G1729&lt;&gt;0),1,0)</f>
        <v>0</v>
      </c>
      <c r="I1730">
        <f>IF(AND(Table13[[#This Row],[Direction]]="R",(G1729+Table13[[#This Row],[Steps]])&gt;100),1,0)</f>
        <v>0</v>
      </c>
      <c r="J1730">
        <f>IF(Table13[[#This Row],[POS]]=0,1,0)</f>
        <v>0</v>
      </c>
      <c r="K1730">
        <f>SUM(Table13[[#This Row],[prefix]],Table13[[#This Row],[Past zero L]],Table13[[#This Row],[Past Zero R]],Table13[[#This Row],[Is Zero]])</f>
        <v>0</v>
      </c>
    </row>
    <row r="1731" spans="1:11" ht="16" x14ac:dyDescent="0.2">
      <c r="A1731" s="1" t="s">
        <v>493</v>
      </c>
      <c r="B1731" t="str">
        <f>LEFT(Table13[[#This Row],[Input]],1)</f>
        <v>L</v>
      </c>
      <c r="C1731">
        <f>_xlfn.LET(_xlpm.steps,SUBSTITUTE(Table13[[#This Row],[Input]],Table13[[#This Row],[Direction]],""),VALUE(IF(LEN(_xlpm.steps)&gt;2,RIGHT(_xlpm.steps,2),_xlpm.steps)))</f>
        <v>66</v>
      </c>
      <c r="D1731">
        <f>_xlfn.LET(_xlpm.steps,SUBSTITUTE(Table13[[#This Row],[Input]],Table13[[#This Row],[Direction]],""),VALUE(IF(LEN(_xlpm.steps)&gt;2,LEFT(_xlpm.steps,LEN(_xlpm.steps)-2),0)))</f>
        <v>1</v>
      </c>
      <c r="E1731">
        <f>_xlfn.LET(_xlpm.dir,Table13[[#This Row],[Direction]],
IF(_xlpm.dir="L",
    IF(G1730-Table13[[#This Row],[Steps]]&lt;0,100+(G1730-Table13[[#This Row],[Steps]]),G1730-Table13[[#This Row],[Steps]]),
))</f>
        <v>27</v>
      </c>
      <c r="F1731">
        <f>_xlfn.LET(_xlpm.dir,Table13[[#This Row],[Direction]],
IF(_xlpm.dir="R",
    IF(G1730+Table13[[#This Row],[Steps]]&gt;99,(G1730+Table13[[#This Row],[Steps]])-100,G1730+Table13[[#This Row],[Steps]]),
))</f>
        <v>0</v>
      </c>
      <c r="G1731">
        <f>IF(Table13[[#This Row],[New Pos L]]&lt;&gt;0,Table13[[#This Row],[New Pos L]],Table13[[#This Row],[New Pos R]])</f>
        <v>27</v>
      </c>
      <c r="H1731">
        <f>IF(AND(Table13[[#This Row],[Direction]]="L",Table13[[#This Row],[Steps]]&gt;G1730,G1730&lt;&gt;0),1,0)</f>
        <v>0</v>
      </c>
      <c r="I1731">
        <f>IF(AND(Table13[[#This Row],[Direction]]="R",(G1730+Table13[[#This Row],[Steps]])&gt;100),1,0)</f>
        <v>0</v>
      </c>
      <c r="J1731">
        <f>IF(Table13[[#This Row],[POS]]=0,1,0)</f>
        <v>0</v>
      </c>
      <c r="K1731">
        <f>SUM(Table13[[#This Row],[prefix]],Table13[[#This Row],[Past zero L]],Table13[[#This Row],[Past Zero R]],Table13[[#This Row],[Is Zero]])</f>
        <v>1</v>
      </c>
    </row>
    <row r="1732" spans="1:11" ht="16" x14ac:dyDescent="0.2">
      <c r="A1732" s="1" t="s">
        <v>136</v>
      </c>
      <c r="B1732" t="str">
        <f>LEFT(Table13[[#This Row],[Input]],1)</f>
        <v>L</v>
      </c>
      <c r="C1732">
        <f>_xlfn.LET(_xlpm.steps,SUBSTITUTE(Table13[[#This Row],[Input]],Table13[[#This Row],[Direction]],""),VALUE(IF(LEN(_xlpm.steps)&gt;2,RIGHT(_xlpm.steps,2),_xlpm.steps)))</f>
        <v>72</v>
      </c>
      <c r="D1732">
        <f>_xlfn.LET(_xlpm.steps,SUBSTITUTE(Table13[[#This Row],[Input]],Table13[[#This Row],[Direction]],""),VALUE(IF(LEN(_xlpm.steps)&gt;2,LEFT(_xlpm.steps,LEN(_xlpm.steps)-2),0)))</f>
        <v>0</v>
      </c>
      <c r="E1732">
        <f>_xlfn.LET(_xlpm.dir,Table13[[#This Row],[Direction]],
IF(_xlpm.dir="L",
    IF(G1731-Table13[[#This Row],[Steps]]&lt;0,100+(G1731-Table13[[#This Row],[Steps]]),G1731-Table13[[#This Row],[Steps]]),
))</f>
        <v>55</v>
      </c>
      <c r="F1732">
        <f>_xlfn.LET(_xlpm.dir,Table13[[#This Row],[Direction]],
IF(_xlpm.dir="R",
    IF(G1731+Table13[[#This Row],[Steps]]&gt;99,(G1731+Table13[[#This Row],[Steps]])-100,G1731+Table13[[#This Row],[Steps]]),
))</f>
        <v>0</v>
      </c>
      <c r="G1732">
        <f>IF(Table13[[#This Row],[New Pos L]]&lt;&gt;0,Table13[[#This Row],[New Pos L]],Table13[[#This Row],[New Pos R]])</f>
        <v>55</v>
      </c>
      <c r="H1732">
        <f>IF(AND(Table13[[#This Row],[Direction]]="L",Table13[[#This Row],[Steps]]&gt;G1731,G1731&lt;&gt;0),1,0)</f>
        <v>1</v>
      </c>
      <c r="I1732">
        <f>IF(AND(Table13[[#This Row],[Direction]]="R",(G1731+Table13[[#This Row],[Steps]])&gt;100),1,0)</f>
        <v>0</v>
      </c>
      <c r="J1732">
        <f>IF(Table13[[#This Row],[POS]]=0,1,0)</f>
        <v>0</v>
      </c>
      <c r="K1732">
        <f>SUM(Table13[[#This Row],[prefix]],Table13[[#This Row],[Past zero L]],Table13[[#This Row],[Past Zero R]],Table13[[#This Row],[Is Zero]])</f>
        <v>1</v>
      </c>
    </row>
    <row r="1733" spans="1:11" ht="16" x14ac:dyDescent="0.2">
      <c r="A1733" s="1" t="s">
        <v>66</v>
      </c>
      <c r="B1733" t="str">
        <f>LEFT(Table13[[#This Row],[Input]],1)</f>
        <v>R</v>
      </c>
      <c r="C1733">
        <f>_xlfn.LET(_xlpm.steps,SUBSTITUTE(Table13[[#This Row],[Input]],Table13[[#This Row],[Direction]],""),VALUE(IF(LEN(_xlpm.steps)&gt;2,RIGHT(_xlpm.steps,2),_xlpm.steps)))</f>
        <v>45</v>
      </c>
      <c r="D1733">
        <f>_xlfn.LET(_xlpm.steps,SUBSTITUTE(Table13[[#This Row],[Input]],Table13[[#This Row],[Direction]],""),VALUE(IF(LEN(_xlpm.steps)&gt;2,LEFT(_xlpm.steps,LEN(_xlpm.steps)-2),0)))</f>
        <v>0</v>
      </c>
      <c r="E1733">
        <f>_xlfn.LET(_xlpm.dir,Table13[[#This Row],[Direction]],
IF(_xlpm.dir="L",
    IF(G1732-Table13[[#This Row],[Steps]]&lt;0,100+(G1732-Table13[[#This Row],[Steps]]),G1732-Table13[[#This Row],[Steps]]),
))</f>
        <v>0</v>
      </c>
      <c r="F1733">
        <f>_xlfn.LET(_xlpm.dir,Table13[[#This Row],[Direction]],
IF(_xlpm.dir="R",
    IF(G1732+Table13[[#This Row],[Steps]]&gt;99,(G1732+Table13[[#This Row],[Steps]])-100,G1732+Table13[[#This Row],[Steps]]),
))</f>
        <v>0</v>
      </c>
      <c r="G1733">
        <f>IF(Table13[[#This Row],[New Pos L]]&lt;&gt;0,Table13[[#This Row],[New Pos L]],Table13[[#This Row],[New Pos R]])</f>
        <v>0</v>
      </c>
      <c r="H1733">
        <f>IF(AND(Table13[[#This Row],[Direction]]="L",Table13[[#This Row],[Steps]]&gt;G1732,G1732&lt;&gt;0),1,0)</f>
        <v>0</v>
      </c>
      <c r="I1733">
        <f>IF(AND(Table13[[#This Row],[Direction]]="R",(G1732+Table13[[#This Row],[Steps]])&gt;100),1,0)</f>
        <v>0</v>
      </c>
      <c r="J1733">
        <f>IF(Table13[[#This Row],[POS]]=0,1,0)</f>
        <v>1</v>
      </c>
      <c r="K1733">
        <f>SUM(Table13[[#This Row],[prefix]],Table13[[#This Row],[Past zero L]],Table13[[#This Row],[Past Zero R]],Table13[[#This Row],[Is Zero]])</f>
        <v>1</v>
      </c>
    </row>
    <row r="1734" spans="1:11" ht="16" x14ac:dyDescent="0.2">
      <c r="A1734" s="1" t="s">
        <v>71</v>
      </c>
      <c r="B1734" t="str">
        <f>LEFT(Table13[[#This Row],[Input]],1)</f>
        <v>R</v>
      </c>
      <c r="C1734">
        <f>_xlfn.LET(_xlpm.steps,SUBSTITUTE(Table13[[#This Row],[Input]],Table13[[#This Row],[Direction]],""),VALUE(IF(LEN(_xlpm.steps)&gt;2,RIGHT(_xlpm.steps,2),_xlpm.steps)))</f>
        <v>23</v>
      </c>
      <c r="D1734">
        <f>_xlfn.LET(_xlpm.steps,SUBSTITUTE(Table13[[#This Row],[Input]],Table13[[#This Row],[Direction]],""),VALUE(IF(LEN(_xlpm.steps)&gt;2,LEFT(_xlpm.steps,LEN(_xlpm.steps)-2),0)))</f>
        <v>0</v>
      </c>
      <c r="E1734">
        <f>_xlfn.LET(_xlpm.dir,Table13[[#This Row],[Direction]],
IF(_xlpm.dir="L",
    IF(G1733-Table13[[#This Row],[Steps]]&lt;0,100+(G1733-Table13[[#This Row],[Steps]]),G1733-Table13[[#This Row],[Steps]]),
))</f>
        <v>0</v>
      </c>
      <c r="F1734">
        <f>_xlfn.LET(_xlpm.dir,Table13[[#This Row],[Direction]],
IF(_xlpm.dir="R",
    IF(G1733+Table13[[#This Row],[Steps]]&gt;99,(G1733+Table13[[#This Row],[Steps]])-100,G1733+Table13[[#This Row],[Steps]]),
))</f>
        <v>23</v>
      </c>
      <c r="G1734">
        <f>IF(Table13[[#This Row],[New Pos L]]&lt;&gt;0,Table13[[#This Row],[New Pos L]],Table13[[#This Row],[New Pos R]])</f>
        <v>23</v>
      </c>
      <c r="H1734">
        <f>IF(AND(Table13[[#This Row],[Direction]]="L",Table13[[#This Row],[Steps]]&gt;G1733,G1733&lt;&gt;0),1,0)</f>
        <v>0</v>
      </c>
      <c r="I1734">
        <f>IF(AND(Table13[[#This Row],[Direction]]="R",(G1733+Table13[[#This Row],[Steps]])&gt;100),1,0)</f>
        <v>0</v>
      </c>
      <c r="J1734">
        <f>IF(Table13[[#This Row],[POS]]=0,1,0)</f>
        <v>0</v>
      </c>
      <c r="K1734">
        <f>SUM(Table13[[#This Row],[prefix]],Table13[[#This Row],[Past zero L]],Table13[[#This Row],[Past Zero R]],Table13[[#This Row],[Is Zero]])</f>
        <v>0</v>
      </c>
    </row>
    <row r="1735" spans="1:11" ht="16" x14ac:dyDescent="0.2">
      <c r="A1735" s="1" t="s">
        <v>120</v>
      </c>
      <c r="B1735" t="str">
        <f>LEFT(Table13[[#This Row],[Input]],1)</f>
        <v>L</v>
      </c>
      <c r="C1735">
        <f>_xlfn.LET(_xlpm.steps,SUBSTITUTE(Table13[[#This Row],[Input]],Table13[[#This Row],[Direction]],""),VALUE(IF(LEN(_xlpm.steps)&gt;2,RIGHT(_xlpm.steps,2),_xlpm.steps)))</f>
        <v>23</v>
      </c>
      <c r="D1735">
        <f>_xlfn.LET(_xlpm.steps,SUBSTITUTE(Table13[[#This Row],[Input]],Table13[[#This Row],[Direction]],""),VALUE(IF(LEN(_xlpm.steps)&gt;2,LEFT(_xlpm.steps,LEN(_xlpm.steps)-2),0)))</f>
        <v>0</v>
      </c>
      <c r="E1735">
        <f>_xlfn.LET(_xlpm.dir,Table13[[#This Row],[Direction]],
IF(_xlpm.dir="L",
    IF(G1734-Table13[[#This Row],[Steps]]&lt;0,100+(G1734-Table13[[#This Row],[Steps]]),G1734-Table13[[#This Row],[Steps]]),
))</f>
        <v>0</v>
      </c>
      <c r="F1735">
        <f>_xlfn.LET(_xlpm.dir,Table13[[#This Row],[Direction]],
IF(_xlpm.dir="R",
    IF(G1734+Table13[[#This Row],[Steps]]&gt;99,(G1734+Table13[[#This Row],[Steps]])-100,G1734+Table13[[#This Row],[Steps]]),
))</f>
        <v>0</v>
      </c>
      <c r="G1735">
        <f>IF(Table13[[#This Row],[New Pos L]]&lt;&gt;0,Table13[[#This Row],[New Pos L]],Table13[[#This Row],[New Pos R]])</f>
        <v>0</v>
      </c>
      <c r="H1735">
        <f>IF(AND(Table13[[#This Row],[Direction]]="L",Table13[[#This Row],[Steps]]&gt;G1734,G1734&lt;&gt;0),1,0)</f>
        <v>0</v>
      </c>
      <c r="I1735">
        <f>IF(AND(Table13[[#This Row],[Direction]]="R",(G1734+Table13[[#This Row],[Steps]])&gt;100),1,0)</f>
        <v>0</v>
      </c>
      <c r="J1735">
        <f>IF(Table13[[#This Row],[POS]]=0,1,0)</f>
        <v>1</v>
      </c>
      <c r="K1735">
        <f>SUM(Table13[[#This Row],[prefix]],Table13[[#This Row],[Past zero L]],Table13[[#This Row],[Past Zero R]],Table13[[#This Row],[Is Zero]])</f>
        <v>1</v>
      </c>
    </row>
    <row r="1736" spans="1:11" ht="16" x14ac:dyDescent="0.2">
      <c r="A1736" s="1" t="s">
        <v>164</v>
      </c>
      <c r="B1736" t="str">
        <f>LEFT(Table13[[#This Row],[Input]],1)</f>
        <v>R</v>
      </c>
      <c r="C1736">
        <f>_xlfn.LET(_xlpm.steps,SUBSTITUTE(Table13[[#This Row],[Input]],Table13[[#This Row],[Direction]],""),VALUE(IF(LEN(_xlpm.steps)&gt;2,RIGHT(_xlpm.steps,2),_xlpm.steps)))</f>
        <v>85</v>
      </c>
      <c r="D1736">
        <f>_xlfn.LET(_xlpm.steps,SUBSTITUTE(Table13[[#This Row],[Input]],Table13[[#This Row],[Direction]],""),VALUE(IF(LEN(_xlpm.steps)&gt;2,LEFT(_xlpm.steps,LEN(_xlpm.steps)-2),0)))</f>
        <v>0</v>
      </c>
      <c r="E1736">
        <f>_xlfn.LET(_xlpm.dir,Table13[[#This Row],[Direction]],
IF(_xlpm.dir="L",
    IF(G1735-Table13[[#This Row],[Steps]]&lt;0,100+(G1735-Table13[[#This Row],[Steps]]),G1735-Table13[[#This Row],[Steps]]),
))</f>
        <v>0</v>
      </c>
      <c r="F1736">
        <f>_xlfn.LET(_xlpm.dir,Table13[[#This Row],[Direction]],
IF(_xlpm.dir="R",
    IF(G1735+Table13[[#This Row],[Steps]]&gt;99,(G1735+Table13[[#This Row],[Steps]])-100,G1735+Table13[[#This Row],[Steps]]),
))</f>
        <v>85</v>
      </c>
      <c r="G1736">
        <f>IF(Table13[[#This Row],[New Pos L]]&lt;&gt;0,Table13[[#This Row],[New Pos L]],Table13[[#This Row],[New Pos R]])</f>
        <v>85</v>
      </c>
      <c r="H1736">
        <f>IF(AND(Table13[[#This Row],[Direction]]="L",Table13[[#This Row],[Steps]]&gt;G1735,G1735&lt;&gt;0),1,0)</f>
        <v>0</v>
      </c>
      <c r="I1736">
        <f>IF(AND(Table13[[#This Row],[Direction]]="R",(G1735+Table13[[#This Row],[Steps]])&gt;100),1,0)</f>
        <v>0</v>
      </c>
      <c r="J1736">
        <f>IF(Table13[[#This Row],[POS]]=0,1,0)</f>
        <v>0</v>
      </c>
      <c r="K1736">
        <f>SUM(Table13[[#This Row],[prefix]],Table13[[#This Row],[Past zero L]],Table13[[#This Row],[Past Zero R]],Table13[[#This Row],[Is Zero]])</f>
        <v>0</v>
      </c>
    </row>
    <row r="1737" spans="1:11" ht="16" x14ac:dyDescent="0.2">
      <c r="A1737" s="1" t="s">
        <v>494</v>
      </c>
      <c r="B1737" t="str">
        <f>LEFT(Table13[[#This Row],[Input]],1)</f>
        <v>R</v>
      </c>
      <c r="C1737">
        <f>_xlfn.LET(_xlpm.steps,SUBSTITUTE(Table13[[#This Row],[Input]],Table13[[#This Row],[Direction]],""),VALUE(IF(LEN(_xlpm.steps)&gt;2,RIGHT(_xlpm.steps,2),_xlpm.steps)))</f>
        <v>15</v>
      </c>
      <c r="D1737">
        <f>_xlfn.LET(_xlpm.steps,SUBSTITUTE(Table13[[#This Row],[Input]],Table13[[#This Row],[Direction]],""),VALUE(IF(LEN(_xlpm.steps)&gt;2,LEFT(_xlpm.steps,LEN(_xlpm.steps)-2),0)))</f>
        <v>4</v>
      </c>
      <c r="E1737">
        <f>_xlfn.LET(_xlpm.dir,Table13[[#This Row],[Direction]],
IF(_xlpm.dir="L",
    IF(G1736-Table13[[#This Row],[Steps]]&lt;0,100+(G1736-Table13[[#This Row],[Steps]]),G1736-Table13[[#This Row],[Steps]]),
))</f>
        <v>0</v>
      </c>
      <c r="F1737">
        <f>_xlfn.LET(_xlpm.dir,Table13[[#This Row],[Direction]],
IF(_xlpm.dir="R",
    IF(G1736+Table13[[#This Row],[Steps]]&gt;99,(G1736+Table13[[#This Row],[Steps]])-100,G1736+Table13[[#This Row],[Steps]]),
))</f>
        <v>0</v>
      </c>
      <c r="G1737">
        <f>IF(Table13[[#This Row],[New Pos L]]&lt;&gt;0,Table13[[#This Row],[New Pos L]],Table13[[#This Row],[New Pos R]])</f>
        <v>0</v>
      </c>
      <c r="H1737">
        <f>IF(AND(Table13[[#This Row],[Direction]]="L",Table13[[#This Row],[Steps]]&gt;G1736,G1736&lt;&gt;0),1,0)</f>
        <v>0</v>
      </c>
      <c r="I1737">
        <f>IF(AND(Table13[[#This Row],[Direction]]="R",(G1736+Table13[[#This Row],[Steps]])&gt;100),1,0)</f>
        <v>0</v>
      </c>
      <c r="J1737">
        <f>IF(Table13[[#This Row],[POS]]=0,1,0)</f>
        <v>1</v>
      </c>
      <c r="K1737">
        <f>SUM(Table13[[#This Row],[prefix]],Table13[[#This Row],[Past zero L]],Table13[[#This Row],[Past Zero R]],Table13[[#This Row],[Is Zero]])</f>
        <v>5</v>
      </c>
    </row>
    <row r="1738" spans="1:11" ht="16" x14ac:dyDescent="0.2">
      <c r="A1738" s="1" t="s">
        <v>151</v>
      </c>
      <c r="B1738" t="str">
        <f>LEFT(Table13[[#This Row],[Input]],1)</f>
        <v>L</v>
      </c>
      <c r="C1738">
        <f>_xlfn.LET(_xlpm.steps,SUBSTITUTE(Table13[[#This Row],[Input]],Table13[[#This Row],[Direction]],""),VALUE(IF(LEN(_xlpm.steps)&gt;2,RIGHT(_xlpm.steps,2),_xlpm.steps)))</f>
        <v>74</v>
      </c>
      <c r="D1738">
        <f>_xlfn.LET(_xlpm.steps,SUBSTITUTE(Table13[[#This Row],[Input]],Table13[[#This Row],[Direction]],""),VALUE(IF(LEN(_xlpm.steps)&gt;2,LEFT(_xlpm.steps,LEN(_xlpm.steps)-2),0)))</f>
        <v>0</v>
      </c>
      <c r="E1738">
        <f>_xlfn.LET(_xlpm.dir,Table13[[#This Row],[Direction]],
IF(_xlpm.dir="L",
    IF(G1737-Table13[[#This Row],[Steps]]&lt;0,100+(G1737-Table13[[#This Row],[Steps]]),G1737-Table13[[#This Row],[Steps]]),
))</f>
        <v>26</v>
      </c>
      <c r="F1738">
        <f>_xlfn.LET(_xlpm.dir,Table13[[#This Row],[Direction]],
IF(_xlpm.dir="R",
    IF(G1737+Table13[[#This Row],[Steps]]&gt;99,(G1737+Table13[[#This Row],[Steps]])-100,G1737+Table13[[#This Row],[Steps]]),
))</f>
        <v>0</v>
      </c>
      <c r="G1738">
        <f>IF(Table13[[#This Row],[New Pos L]]&lt;&gt;0,Table13[[#This Row],[New Pos L]],Table13[[#This Row],[New Pos R]])</f>
        <v>26</v>
      </c>
      <c r="H1738">
        <f>IF(AND(Table13[[#This Row],[Direction]]="L",Table13[[#This Row],[Steps]]&gt;G1737,G1737&lt;&gt;0),1,0)</f>
        <v>0</v>
      </c>
      <c r="I1738">
        <f>IF(AND(Table13[[#This Row],[Direction]]="R",(G1737+Table13[[#This Row],[Steps]])&gt;100),1,0)</f>
        <v>0</v>
      </c>
      <c r="J1738">
        <f>IF(Table13[[#This Row],[POS]]=0,1,0)</f>
        <v>0</v>
      </c>
      <c r="K1738">
        <f>SUM(Table13[[#This Row],[prefix]],Table13[[#This Row],[Past zero L]],Table13[[#This Row],[Past Zero R]],Table13[[#This Row],[Is Zero]])</f>
        <v>0</v>
      </c>
    </row>
    <row r="1739" spans="1:11" ht="16" x14ac:dyDescent="0.2">
      <c r="A1739" s="1" t="s">
        <v>304</v>
      </c>
      <c r="B1739" t="str">
        <f>LEFT(Table13[[#This Row],[Input]],1)</f>
        <v>L</v>
      </c>
      <c r="C1739">
        <f>_xlfn.LET(_xlpm.steps,SUBSTITUTE(Table13[[#This Row],[Input]],Table13[[#This Row],[Direction]],""),VALUE(IF(LEN(_xlpm.steps)&gt;2,RIGHT(_xlpm.steps,2),_xlpm.steps)))</f>
        <v>26</v>
      </c>
      <c r="D1739">
        <f>_xlfn.LET(_xlpm.steps,SUBSTITUTE(Table13[[#This Row],[Input]],Table13[[#This Row],[Direction]],""),VALUE(IF(LEN(_xlpm.steps)&gt;2,LEFT(_xlpm.steps,LEN(_xlpm.steps)-2),0)))</f>
        <v>0</v>
      </c>
      <c r="E1739">
        <f>_xlfn.LET(_xlpm.dir,Table13[[#This Row],[Direction]],
IF(_xlpm.dir="L",
    IF(G1738-Table13[[#This Row],[Steps]]&lt;0,100+(G1738-Table13[[#This Row],[Steps]]),G1738-Table13[[#This Row],[Steps]]),
))</f>
        <v>0</v>
      </c>
      <c r="F1739">
        <f>_xlfn.LET(_xlpm.dir,Table13[[#This Row],[Direction]],
IF(_xlpm.dir="R",
    IF(G1738+Table13[[#This Row],[Steps]]&gt;99,(G1738+Table13[[#This Row],[Steps]])-100,G1738+Table13[[#This Row],[Steps]]),
))</f>
        <v>0</v>
      </c>
      <c r="G1739">
        <f>IF(Table13[[#This Row],[New Pos L]]&lt;&gt;0,Table13[[#This Row],[New Pos L]],Table13[[#This Row],[New Pos R]])</f>
        <v>0</v>
      </c>
      <c r="H1739">
        <f>IF(AND(Table13[[#This Row],[Direction]]="L",Table13[[#This Row],[Steps]]&gt;G1738,G1738&lt;&gt;0),1,0)</f>
        <v>0</v>
      </c>
      <c r="I1739">
        <f>IF(AND(Table13[[#This Row],[Direction]]="R",(G1738+Table13[[#This Row],[Steps]])&gt;100),1,0)</f>
        <v>0</v>
      </c>
      <c r="J1739">
        <f>IF(Table13[[#This Row],[POS]]=0,1,0)</f>
        <v>1</v>
      </c>
      <c r="K1739">
        <f>SUM(Table13[[#This Row],[prefix]],Table13[[#This Row],[Past zero L]],Table13[[#This Row],[Past Zero R]],Table13[[#This Row],[Is Zero]])</f>
        <v>1</v>
      </c>
    </row>
    <row r="1740" spans="1:11" ht="16" x14ac:dyDescent="0.2">
      <c r="A1740" s="1" t="s">
        <v>79</v>
      </c>
      <c r="B1740" t="str">
        <f>LEFT(Table13[[#This Row],[Input]],1)</f>
        <v>L</v>
      </c>
      <c r="C1740">
        <f>_xlfn.LET(_xlpm.steps,SUBSTITUTE(Table13[[#This Row],[Input]],Table13[[#This Row],[Direction]],""),VALUE(IF(LEN(_xlpm.steps)&gt;2,RIGHT(_xlpm.steps,2),_xlpm.steps)))</f>
        <v>45</v>
      </c>
      <c r="D1740">
        <f>_xlfn.LET(_xlpm.steps,SUBSTITUTE(Table13[[#This Row],[Input]],Table13[[#This Row],[Direction]],""),VALUE(IF(LEN(_xlpm.steps)&gt;2,LEFT(_xlpm.steps,LEN(_xlpm.steps)-2),0)))</f>
        <v>0</v>
      </c>
      <c r="E1740">
        <f>_xlfn.LET(_xlpm.dir,Table13[[#This Row],[Direction]],
IF(_xlpm.dir="L",
    IF(G1739-Table13[[#This Row],[Steps]]&lt;0,100+(G1739-Table13[[#This Row],[Steps]]),G1739-Table13[[#This Row],[Steps]]),
))</f>
        <v>55</v>
      </c>
      <c r="F1740">
        <f>_xlfn.LET(_xlpm.dir,Table13[[#This Row],[Direction]],
IF(_xlpm.dir="R",
    IF(G1739+Table13[[#This Row],[Steps]]&gt;99,(G1739+Table13[[#This Row],[Steps]])-100,G1739+Table13[[#This Row],[Steps]]),
))</f>
        <v>0</v>
      </c>
      <c r="G1740">
        <f>IF(Table13[[#This Row],[New Pos L]]&lt;&gt;0,Table13[[#This Row],[New Pos L]],Table13[[#This Row],[New Pos R]])</f>
        <v>55</v>
      </c>
      <c r="H1740">
        <f>IF(AND(Table13[[#This Row],[Direction]]="L",Table13[[#This Row],[Steps]]&gt;G1739,G1739&lt;&gt;0),1,0)</f>
        <v>0</v>
      </c>
      <c r="I1740">
        <f>IF(AND(Table13[[#This Row],[Direction]]="R",(G1739+Table13[[#This Row],[Steps]])&gt;100),1,0)</f>
        <v>0</v>
      </c>
      <c r="J1740">
        <f>IF(Table13[[#This Row],[POS]]=0,1,0)</f>
        <v>0</v>
      </c>
      <c r="K1740">
        <f>SUM(Table13[[#This Row],[prefix]],Table13[[#This Row],[Past zero L]],Table13[[#This Row],[Past Zero R]],Table13[[#This Row],[Is Zero]])</f>
        <v>0</v>
      </c>
    </row>
    <row r="1741" spans="1:11" ht="16" x14ac:dyDescent="0.2">
      <c r="A1741" s="1" t="s">
        <v>104</v>
      </c>
      <c r="B1741" t="str">
        <f>LEFT(Table13[[#This Row],[Input]],1)</f>
        <v>R</v>
      </c>
      <c r="C1741">
        <f>_xlfn.LET(_xlpm.steps,SUBSTITUTE(Table13[[#This Row],[Input]],Table13[[#This Row],[Direction]],""),VALUE(IF(LEN(_xlpm.steps)&gt;2,RIGHT(_xlpm.steps,2),_xlpm.steps)))</f>
        <v>59</v>
      </c>
      <c r="D1741">
        <f>_xlfn.LET(_xlpm.steps,SUBSTITUTE(Table13[[#This Row],[Input]],Table13[[#This Row],[Direction]],""),VALUE(IF(LEN(_xlpm.steps)&gt;2,LEFT(_xlpm.steps,LEN(_xlpm.steps)-2),0)))</f>
        <v>0</v>
      </c>
      <c r="E1741">
        <f>_xlfn.LET(_xlpm.dir,Table13[[#This Row],[Direction]],
IF(_xlpm.dir="L",
    IF(G1740-Table13[[#This Row],[Steps]]&lt;0,100+(G1740-Table13[[#This Row],[Steps]]),G1740-Table13[[#This Row],[Steps]]),
))</f>
        <v>0</v>
      </c>
      <c r="F1741">
        <f>_xlfn.LET(_xlpm.dir,Table13[[#This Row],[Direction]],
IF(_xlpm.dir="R",
    IF(G1740+Table13[[#This Row],[Steps]]&gt;99,(G1740+Table13[[#This Row],[Steps]])-100,G1740+Table13[[#This Row],[Steps]]),
))</f>
        <v>14</v>
      </c>
      <c r="G1741">
        <f>IF(Table13[[#This Row],[New Pos L]]&lt;&gt;0,Table13[[#This Row],[New Pos L]],Table13[[#This Row],[New Pos R]])</f>
        <v>14</v>
      </c>
      <c r="H1741">
        <f>IF(AND(Table13[[#This Row],[Direction]]="L",Table13[[#This Row],[Steps]]&gt;G1740,G1740&lt;&gt;0),1,0)</f>
        <v>0</v>
      </c>
      <c r="I1741">
        <f>IF(AND(Table13[[#This Row],[Direction]]="R",(G1740+Table13[[#This Row],[Steps]])&gt;100),1,0)</f>
        <v>1</v>
      </c>
      <c r="J1741">
        <f>IF(Table13[[#This Row],[POS]]=0,1,0)</f>
        <v>0</v>
      </c>
      <c r="K1741">
        <f>SUM(Table13[[#This Row],[prefix]],Table13[[#This Row],[Past zero L]],Table13[[#This Row],[Past Zero R]],Table13[[#This Row],[Is Zero]])</f>
        <v>1</v>
      </c>
    </row>
    <row r="1742" spans="1:11" ht="16" x14ac:dyDescent="0.2">
      <c r="A1742" s="1" t="s">
        <v>495</v>
      </c>
      <c r="B1742" t="str">
        <f>LEFT(Table13[[#This Row],[Input]],1)</f>
        <v>L</v>
      </c>
      <c r="C1742">
        <f>_xlfn.LET(_xlpm.steps,SUBSTITUTE(Table13[[#This Row],[Input]],Table13[[#This Row],[Direction]],""),VALUE(IF(LEN(_xlpm.steps)&gt;2,RIGHT(_xlpm.steps,2),_xlpm.steps)))</f>
        <v>23</v>
      </c>
      <c r="D1742">
        <f>_xlfn.LET(_xlpm.steps,SUBSTITUTE(Table13[[#This Row],[Input]],Table13[[#This Row],[Direction]],""),VALUE(IF(LEN(_xlpm.steps)&gt;2,LEFT(_xlpm.steps,LEN(_xlpm.steps)-2),0)))</f>
        <v>3</v>
      </c>
      <c r="E1742">
        <f>_xlfn.LET(_xlpm.dir,Table13[[#This Row],[Direction]],
IF(_xlpm.dir="L",
    IF(G1741-Table13[[#This Row],[Steps]]&lt;0,100+(G1741-Table13[[#This Row],[Steps]]),G1741-Table13[[#This Row],[Steps]]),
))</f>
        <v>91</v>
      </c>
      <c r="F1742">
        <f>_xlfn.LET(_xlpm.dir,Table13[[#This Row],[Direction]],
IF(_xlpm.dir="R",
    IF(G1741+Table13[[#This Row],[Steps]]&gt;99,(G1741+Table13[[#This Row],[Steps]])-100,G1741+Table13[[#This Row],[Steps]]),
))</f>
        <v>0</v>
      </c>
      <c r="G1742">
        <f>IF(Table13[[#This Row],[New Pos L]]&lt;&gt;0,Table13[[#This Row],[New Pos L]],Table13[[#This Row],[New Pos R]])</f>
        <v>91</v>
      </c>
      <c r="H1742">
        <f>IF(AND(Table13[[#This Row],[Direction]]="L",Table13[[#This Row],[Steps]]&gt;G1741,G1741&lt;&gt;0),1,0)</f>
        <v>1</v>
      </c>
      <c r="I1742">
        <f>IF(AND(Table13[[#This Row],[Direction]]="R",(G1741+Table13[[#This Row],[Steps]])&gt;100),1,0)</f>
        <v>0</v>
      </c>
      <c r="J1742">
        <f>IF(Table13[[#This Row],[POS]]=0,1,0)</f>
        <v>0</v>
      </c>
      <c r="K1742">
        <f>SUM(Table13[[#This Row],[prefix]],Table13[[#This Row],[Past zero L]],Table13[[#This Row],[Past Zero R]],Table13[[#This Row],[Is Zero]])</f>
        <v>4</v>
      </c>
    </row>
    <row r="1743" spans="1:11" ht="16" x14ac:dyDescent="0.2">
      <c r="A1743" s="1" t="s">
        <v>244</v>
      </c>
      <c r="B1743" t="str">
        <f>LEFT(Table13[[#This Row],[Input]],1)</f>
        <v>L</v>
      </c>
      <c r="C1743">
        <f>_xlfn.LET(_xlpm.steps,SUBSTITUTE(Table13[[#This Row],[Input]],Table13[[#This Row],[Direction]],""),VALUE(IF(LEN(_xlpm.steps)&gt;2,RIGHT(_xlpm.steps,2),_xlpm.steps)))</f>
        <v>98</v>
      </c>
      <c r="D1743">
        <f>_xlfn.LET(_xlpm.steps,SUBSTITUTE(Table13[[#This Row],[Input]],Table13[[#This Row],[Direction]],""),VALUE(IF(LEN(_xlpm.steps)&gt;2,LEFT(_xlpm.steps,LEN(_xlpm.steps)-2),0)))</f>
        <v>0</v>
      </c>
      <c r="E1743">
        <f>_xlfn.LET(_xlpm.dir,Table13[[#This Row],[Direction]],
IF(_xlpm.dir="L",
    IF(G1742-Table13[[#This Row],[Steps]]&lt;0,100+(G1742-Table13[[#This Row],[Steps]]),G1742-Table13[[#This Row],[Steps]]),
))</f>
        <v>93</v>
      </c>
      <c r="F1743">
        <f>_xlfn.LET(_xlpm.dir,Table13[[#This Row],[Direction]],
IF(_xlpm.dir="R",
    IF(G1742+Table13[[#This Row],[Steps]]&gt;99,(G1742+Table13[[#This Row],[Steps]])-100,G1742+Table13[[#This Row],[Steps]]),
))</f>
        <v>0</v>
      </c>
      <c r="G1743">
        <f>IF(Table13[[#This Row],[New Pos L]]&lt;&gt;0,Table13[[#This Row],[New Pos L]],Table13[[#This Row],[New Pos R]])</f>
        <v>93</v>
      </c>
      <c r="H1743">
        <f>IF(AND(Table13[[#This Row],[Direction]]="L",Table13[[#This Row],[Steps]]&gt;G1742,G1742&lt;&gt;0),1,0)</f>
        <v>1</v>
      </c>
      <c r="I1743">
        <f>IF(AND(Table13[[#This Row],[Direction]]="R",(G1742+Table13[[#This Row],[Steps]])&gt;100),1,0)</f>
        <v>0</v>
      </c>
      <c r="J1743">
        <f>IF(Table13[[#This Row],[POS]]=0,1,0)</f>
        <v>0</v>
      </c>
      <c r="K1743">
        <f>SUM(Table13[[#This Row],[prefix]],Table13[[#This Row],[Past zero L]],Table13[[#This Row],[Past Zero R]],Table13[[#This Row],[Is Zero]])</f>
        <v>1</v>
      </c>
    </row>
    <row r="1744" spans="1:11" ht="16" x14ac:dyDescent="0.2">
      <c r="A1744" s="1" t="s">
        <v>49</v>
      </c>
      <c r="B1744" t="str">
        <f>LEFT(Table13[[#This Row],[Input]],1)</f>
        <v>L</v>
      </c>
      <c r="C1744">
        <f>_xlfn.LET(_xlpm.steps,SUBSTITUTE(Table13[[#This Row],[Input]],Table13[[#This Row],[Direction]],""),VALUE(IF(LEN(_xlpm.steps)&gt;2,RIGHT(_xlpm.steps,2),_xlpm.steps)))</f>
        <v>93</v>
      </c>
      <c r="D1744">
        <f>_xlfn.LET(_xlpm.steps,SUBSTITUTE(Table13[[#This Row],[Input]],Table13[[#This Row],[Direction]],""),VALUE(IF(LEN(_xlpm.steps)&gt;2,LEFT(_xlpm.steps,LEN(_xlpm.steps)-2),0)))</f>
        <v>0</v>
      </c>
      <c r="E1744">
        <f>_xlfn.LET(_xlpm.dir,Table13[[#This Row],[Direction]],
IF(_xlpm.dir="L",
    IF(G1743-Table13[[#This Row],[Steps]]&lt;0,100+(G1743-Table13[[#This Row],[Steps]]),G1743-Table13[[#This Row],[Steps]]),
))</f>
        <v>0</v>
      </c>
      <c r="F1744">
        <f>_xlfn.LET(_xlpm.dir,Table13[[#This Row],[Direction]],
IF(_xlpm.dir="R",
    IF(G1743+Table13[[#This Row],[Steps]]&gt;99,(G1743+Table13[[#This Row],[Steps]])-100,G1743+Table13[[#This Row],[Steps]]),
))</f>
        <v>0</v>
      </c>
      <c r="G1744">
        <f>IF(Table13[[#This Row],[New Pos L]]&lt;&gt;0,Table13[[#This Row],[New Pos L]],Table13[[#This Row],[New Pos R]])</f>
        <v>0</v>
      </c>
      <c r="H1744">
        <f>IF(AND(Table13[[#This Row],[Direction]]="L",Table13[[#This Row],[Steps]]&gt;G1743,G1743&lt;&gt;0),1,0)</f>
        <v>0</v>
      </c>
      <c r="I1744">
        <f>IF(AND(Table13[[#This Row],[Direction]]="R",(G1743+Table13[[#This Row],[Steps]])&gt;100),1,0)</f>
        <v>0</v>
      </c>
      <c r="J1744">
        <f>IF(Table13[[#This Row],[POS]]=0,1,0)</f>
        <v>1</v>
      </c>
      <c r="K1744">
        <f>SUM(Table13[[#This Row],[prefix]],Table13[[#This Row],[Past zero L]],Table13[[#This Row],[Past Zero R]],Table13[[#This Row],[Is Zero]])</f>
        <v>1</v>
      </c>
    </row>
    <row r="1745" spans="1:11" ht="16" x14ac:dyDescent="0.2">
      <c r="A1745" s="1" t="s">
        <v>496</v>
      </c>
      <c r="B1745" t="str">
        <f>LEFT(Table13[[#This Row],[Input]],1)</f>
        <v>R</v>
      </c>
      <c r="C1745">
        <f>_xlfn.LET(_xlpm.steps,SUBSTITUTE(Table13[[#This Row],[Input]],Table13[[#This Row],[Direction]],""),VALUE(IF(LEN(_xlpm.steps)&gt;2,RIGHT(_xlpm.steps,2),_xlpm.steps)))</f>
        <v>44</v>
      </c>
      <c r="D1745">
        <f>_xlfn.LET(_xlpm.steps,SUBSTITUTE(Table13[[#This Row],[Input]],Table13[[#This Row],[Direction]],""),VALUE(IF(LEN(_xlpm.steps)&gt;2,LEFT(_xlpm.steps,LEN(_xlpm.steps)-2),0)))</f>
        <v>9</v>
      </c>
      <c r="E1745">
        <f>_xlfn.LET(_xlpm.dir,Table13[[#This Row],[Direction]],
IF(_xlpm.dir="L",
    IF(G1744-Table13[[#This Row],[Steps]]&lt;0,100+(G1744-Table13[[#This Row],[Steps]]),G1744-Table13[[#This Row],[Steps]]),
))</f>
        <v>0</v>
      </c>
      <c r="F1745">
        <f>_xlfn.LET(_xlpm.dir,Table13[[#This Row],[Direction]],
IF(_xlpm.dir="R",
    IF(G1744+Table13[[#This Row],[Steps]]&gt;99,(G1744+Table13[[#This Row],[Steps]])-100,G1744+Table13[[#This Row],[Steps]]),
))</f>
        <v>44</v>
      </c>
      <c r="G1745">
        <f>IF(Table13[[#This Row],[New Pos L]]&lt;&gt;0,Table13[[#This Row],[New Pos L]],Table13[[#This Row],[New Pos R]])</f>
        <v>44</v>
      </c>
      <c r="H1745">
        <f>IF(AND(Table13[[#This Row],[Direction]]="L",Table13[[#This Row],[Steps]]&gt;G1744,G1744&lt;&gt;0),1,0)</f>
        <v>0</v>
      </c>
      <c r="I1745">
        <f>IF(AND(Table13[[#This Row],[Direction]]="R",(G1744+Table13[[#This Row],[Steps]])&gt;100),1,0)</f>
        <v>0</v>
      </c>
      <c r="J1745">
        <f>IF(Table13[[#This Row],[POS]]=0,1,0)</f>
        <v>0</v>
      </c>
      <c r="K1745">
        <f>SUM(Table13[[#This Row],[prefix]],Table13[[#This Row],[Past zero L]],Table13[[#This Row],[Past Zero R]],Table13[[#This Row],[Is Zero]])</f>
        <v>9</v>
      </c>
    </row>
    <row r="1746" spans="1:11" ht="16" x14ac:dyDescent="0.2">
      <c r="A1746" s="1" t="s">
        <v>12</v>
      </c>
      <c r="B1746" t="str">
        <f>LEFT(Table13[[#This Row],[Input]],1)</f>
        <v>L</v>
      </c>
      <c r="C1746">
        <f>_xlfn.LET(_xlpm.steps,SUBSTITUTE(Table13[[#This Row],[Input]],Table13[[#This Row],[Direction]],""),VALUE(IF(LEN(_xlpm.steps)&gt;2,RIGHT(_xlpm.steps,2),_xlpm.steps)))</f>
        <v>11</v>
      </c>
      <c r="D1746">
        <f>_xlfn.LET(_xlpm.steps,SUBSTITUTE(Table13[[#This Row],[Input]],Table13[[#This Row],[Direction]],""),VALUE(IF(LEN(_xlpm.steps)&gt;2,LEFT(_xlpm.steps,LEN(_xlpm.steps)-2),0)))</f>
        <v>0</v>
      </c>
      <c r="E1746">
        <f>_xlfn.LET(_xlpm.dir,Table13[[#This Row],[Direction]],
IF(_xlpm.dir="L",
    IF(G1745-Table13[[#This Row],[Steps]]&lt;0,100+(G1745-Table13[[#This Row],[Steps]]),G1745-Table13[[#This Row],[Steps]]),
))</f>
        <v>33</v>
      </c>
      <c r="F1746">
        <f>_xlfn.LET(_xlpm.dir,Table13[[#This Row],[Direction]],
IF(_xlpm.dir="R",
    IF(G1745+Table13[[#This Row],[Steps]]&gt;99,(G1745+Table13[[#This Row],[Steps]])-100,G1745+Table13[[#This Row],[Steps]]),
))</f>
        <v>0</v>
      </c>
      <c r="G1746">
        <f>IF(Table13[[#This Row],[New Pos L]]&lt;&gt;0,Table13[[#This Row],[New Pos L]],Table13[[#This Row],[New Pos R]])</f>
        <v>33</v>
      </c>
      <c r="H1746">
        <f>IF(AND(Table13[[#This Row],[Direction]]="L",Table13[[#This Row],[Steps]]&gt;G1745,G1745&lt;&gt;0),1,0)</f>
        <v>0</v>
      </c>
      <c r="I1746">
        <f>IF(AND(Table13[[#This Row],[Direction]]="R",(G1745+Table13[[#This Row],[Steps]])&gt;100),1,0)</f>
        <v>0</v>
      </c>
      <c r="J1746">
        <f>IF(Table13[[#This Row],[POS]]=0,1,0)</f>
        <v>0</v>
      </c>
      <c r="K1746">
        <f>SUM(Table13[[#This Row],[prefix]],Table13[[#This Row],[Past zero L]],Table13[[#This Row],[Past Zero R]],Table13[[#This Row],[Is Zero]])</f>
        <v>0</v>
      </c>
    </row>
    <row r="1747" spans="1:11" ht="16" x14ac:dyDescent="0.2">
      <c r="A1747" s="1" t="s">
        <v>119</v>
      </c>
      <c r="B1747" t="str">
        <f>LEFT(Table13[[#This Row],[Input]],1)</f>
        <v>L</v>
      </c>
      <c r="C1747">
        <f>_xlfn.LET(_xlpm.steps,SUBSTITUTE(Table13[[#This Row],[Input]],Table13[[#This Row],[Direction]],""),VALUE(IF(LEN(_xlpm.steps)&gt;2,RIGHT(_xlpm.steps,2),_xlpm.steps)))</f>
        <v>77</v>
      </c>
      <c r="D1747">
        <f>_xlfn.LET(_xlpm.steps,SUBSTITUTE(Table13[[#This Row],[Input]],Table13[[#This Row],[Direction]],""),VALUE(IF(LEN(_xlpm.steps)&gt;2,LEFT(_xlpm.steps,LEN(_xlpm.steps)-2),0)))</f>
        <v>0</v>
      </c>
      <c r="E1747">
        <f>_xlfn.LET(_xlpm.dir,Table13[[#This Row],[Direction]],
IF(_xlpm.dir="L",
    IF(G1746-Table13[[#This Row],[Steps]]&lt;0,100+(G1746-Table13[[#This Row],[Steps]]),G1746-Table13[[#This Row],[Steps]]),
))</f>
        <v>56</v>
      </c>
      <c r="F1747">
        <f>_xlfn.LET(_xlpm.dir,Table13[[#This Row],[Direction]],
IF(_xlpm.dir="R",
    IF(G1746+Table13[[#This Row],[Steps]]&gt;99,(G1746+Table13[[#This Row],[Steps]])-100,G1746+Table13[[#This Row],[Steps]]),
))</f>
        <v>0</v>
      </c>
      <c r="G1747">
        <f>IF(Table13[[#This Row],[New Pos L]]&lt;&gt;0,Table13[[#This Row],[New Pos L]],Table13[[#This Row],[New Pos R]])</f>
        <v>56</v>
      </c>
      <c r="H1747">
        <f>IF(AND(Table13[[#This Row],[Direction]]="L",Table13[[#This Row],[Steps]]&gt;G1746,G1746&lt;&gt;0),1,0)</f>
        <v>1</v>
      </c>
      <c r="I1747">
        <f>IF(AND(Table13[[#This Row],[Direction]]="R",(G1746+Table13[[#This Row],[Steps]])&gt;100),1,0)</f>
        <v>0</v>
      </c>
      <c r="J1747">
        <f>IF(Table13[[#This Row],[POS]]=0,1,0)</f>
        <v>0</v>
      </c>
      <c r="K1747">
        <f>SUM(Table13[[#This Row],[prefix]],Table13[[#This Row],[Past zero L]],Table13[[#This Row],[Past Zero R]],Table13[[#This Row],[Is Zero]])</f>
        <v>1</v>
      </c>
    </row>
    <row r="1748" spans="1:11" ht="16" x14ac:dyDescent="0.2">
      <c r="A1748" s="1" t="s">
        <v>9</v>
      </c>
      <c r="B1748" t="str">
        <f>LEFT(Table13[[#This Row],[Input]],1)</f>
        <v>L</v>
      </c>
      <c r="C1748">
        <f>_xlfn.LET(_xlpm.steps,SUBSTITUTE(Table13[[#This Row],[Input]],Table13[[#This Row],[Direction]],""),VALUE(IF(LEN(_xlpm.steps)&gt;2,RIGHT(_xlpm.steps,2),_xlpm.steps)))</f>
        <v>9</v>
      </c>
      <c r="D1748">
        <f>_xlfn.LET(_xlpm.steps,SUBSTITUTE(Table13[[#This Row],[Input]],Table13[[#This Row],[Direction]],""),VALUE(IF(LEN(_xlpm.steps)&gt;2,LEFT(_xlpm.steps,LEN(_xlpm.steps)-2),0)))</f>
        <v>0</v>
      </c>
      <c r="E1748">
        <f>_xlfn.LET(_xlpm.dir,Table13[[#This Row],[Direction]],
IF(_xlpm.dir="L",
    IF(G1747-Table13[[#This Row],[Steps]]&lt;0,100+(G1747-Table13[[#This Row],[Steps]]),G1747-Table13[[#This Row],[Steps]]),
))</f>
        <v>47</v>
      </c>
      <c r="F1748">
        <f>_xlfn.LET(_xlpm.dir,Table13[[#This Row],[Direction]],
IF(_xlpm.dir="R",
    IF(G1747+Table13[[#This Row],[Steps]]&gt;99,(G1747+Table13[[#This Row],[Steps]])-100,G1747+Table13[[#This Row],[Steps]]),
))</f>
        <v>0</v>
      </c>
      <c r="G1748">
        <f>IF(Table13[[#This Row],[New Pos L]]&lt;&gt;0,Table13[[#This Row],[New Pos L]],Table13[[#This Row],[New Pos R]])</f>
        <v>47</v>
      </c>
      <c r="H1748">
        <f>IF(AND(Table13[[#This Row],[Direction]]="L",Table13[[#This Row],[Steps]]&gt;G1747,G1747&lt;&gt;0),1,0)</f>
        <v>0</v>
      </c>
      <c r="I1748">
        <f>IF(AND(Table13[[#This Row],[Direction]]="R",(G1747+Table13[[#This Row],[Steps]])&gt;100),1,0)</f>
        <v>0</v>
      </c>
      <c r="J1748">
        <f>IF(Table13[[#This Row],[POS]]=0,1,0)</f>
        <v>0</v>
      </c>
      <c r="K1748">
        <f>SUM(Table13[[#This Row],[prefix]],Table13[[#This Row],[Past zero L]],Table13[[#This Row],[Past Zero R]],Table13[[#This Row],[Is Zero]])</f>
        <v>0</v>
      </c>
    </row>
    <row r="1749" spans="1:11" ht="16" x14ac:dyDescent="0.2">
      <c r="A1749" s="1" t="s">
        <v>88</v>
      </c>
      <c r="B1749" t="str">
        <f>LEFT(Table13[[#This Row],[Input]],1)</f>
        <v>R</v>
      </c>
      <c r="C1749">
        <f>_xlfn.LET(_xlpm.steps,SUBSTITUTE(Table13[[#This Row],[Input]],Table13[[#This Row],[Direction]],""),VALUE(IF(LEN(_xlpm.steps)&gt;2,RIGHT(_xlpm.steps,2),_xlpm.steps)))</f>
        <v>53</v>
      </c>
      <c r="D1749">
        <f>_xlfn.LET(_xlpm.steps,SUBSTITUTE(Table13[[#This Row],[Input]],Table13[[#This Row],[Direction]],""),VALUE(IF(LEN(_xlpm.steps)&gt;2,LEFT(_xlpm.steps,LEN(_xlpm.steps)-2),0)))</f>
        <v>0</v>
      </c>
      <c r="E1749">
        <f>_xlfn.LET(_xlpm.dir,Table13[[#This Row],[Direction]],
IF(_xlpm.dir="L",
    IF(G1748-Table13[[#This Row],[Steps]]&lt;0,100+(G1748-Table13[[#This Row],[Steps]]),G1748-Table13[[#This Row],[Steps]]),
))</f>
        <v>0</v>
      </c>
      <c r="F1749">
        <f>_xlfn.LET(_xlpm.dir,Table13[[#This Row],[Direction]],
IF(_xlpm.dir="R",
    IF(G1748+Table13[[#This Row],[Steps]]&gt;99,(G1748+Table13[[#This Row],[Steps]])-100,G1748+Table13[[#This Row],[Steps]]),
))</f>
        <v>0</v>
      </c>
      <c r="G1749">
        <f>IF(Table13[[#This Row],[New Pos L]]&lt;&gt;0,Table13[[#This Row],[New Pos L]],Table13[[#This Row],[New Pos R]])</f>
        <v>0</v>
      </c>
      <c r="H1749">
        <f>IF(AND(Table13[[#This Row],[Direction]]="L",Table13[[#This Row],[Steps]]&gt;G1748,G1748&lt;&gt;0),1,0)</f>
        <v>0</v>
      </c>
      <c r="I1749">
        <f>IF(AND(Table13[[#This Row],[Direction]]="R",(G1748+Table13[[#This Row],[Steps]])&gt;100),1,0)</f>
        <v>0</v>
      </c>
      <c r="J1749">
        <f>IF(Table13[[#This Row],[POS]]=0,1,0)</f>
        <v>1</v>
      </c>
      <c r="K1749">
        <f>SUM(Table13[[#This Row],[prefix]],Table13[[#This Row],[Past zero L]],Table13[[#This Row],[Past Zero R]],Table13[[#This Row],[Is Zero]])</f>
        <v>1</v>
      </c>
    </row>
    <row r="1750" spans="1:11" ht="16" x14ac:dyDescent="0.2">
      <c r="A1750" s="1" t="s">
        <v>137</v>
      </c>
      <c r="B1750" t="str">
        <f>LEFT(Table13[[#This Row],[Input]],1)</f>
        <v>R</v>
      </c>
      <c r="C1750">
        <f>_xlfn.LET(_xlpm.steps,SUBSTITUTE(Table13[[#This Row],[Input]],Table13[[#This Row],[Direction]],""),VALUE(IF(LEN(_xlpm.steps)&gt;2,RIGHT(_xlpm.steps,2),_xlpm.steps)))</f>
        <v>28</v>
      </c>
      <c r="D1750">
        <f>_xlfn.LET(_xlpm.steps,SUBSTITUTE(Table13[[#This Row],[Input]],Table13[[#This Row],[Direction]],""),VALUE(IF(LEN(_xlpm.steps)&gt;2,LEFT(_xlpm.steps,LEN(_xlpm.steps)-2),0)))</f>
        <v>0</v>
      </c>
      <c r="E1750">
        <f>_xlfn.LET(_xlpm.dir,Table13[[#This Row],[Direction]],
IF(_xlpm.dir="L",
    IF(G1749-Table13[[#This Row],[Steps]]&lt;0,100+(G1749-Table13[[#This Row],[Steps]]),G1749-Table13[[#This Row],[Steps]]),
))</f>
        <v>0</v>
      </c>
      <c r="F1750">
        <f>_xlfn.LET(_xlpm.dir,Table13[[#This Row],[Direction]],
IF(_xlpm.dir="R",
    IF(G1749+Table13[[#This Row],[Steps]]&gt;99,(G1749+Table13[[#This Row],[Steps]])-100,G1749+Table13[[#This Row],[Steps]]),
))</f>
        <v>28</v>
      </c>
      <c r="G1750">
        <f>IF(Table13[[#This Row],[New Pos L]]&lt;&gt;0,Table13[[#This Row],[New Pos L]],Table13[[#This Row],[New Pos R]])</f>
        <v>28</v>
      </c>
      <c r="H1750">
        <f>IF(AND(Table13[[#This Row],[Direction]]="L",Table13[[#This Row],[Steps]]&gt;G1749,G1749&lt;&gt;0),1,0)</f>
        <v>0</v>
      </c>
      <c r="I1750">
        <f>IF(AND(Table13[[#This Row],[Direction]]="R",(G1749+Table13[[#This Row],[Steps]])&gt;100),1,0)</f>
        <v>0</v>
      </c>
      <c r="J1750">
        <f>IF(Table13[[#This Row],[POS]]=0,1,0)</f>
        <v>0</v>
      </c>
      <c r="K1750">
        <f>SUM(Table13[[#This Row],[prefix]],Table13[[#This Row],[Past zero L]],Table13[[#This Row],[Past Zero R]],Table13[[#This Row],[Is Zero]])</f>
        <v>0</v>
      </c>
    </row>
    <row r="1751" spans="1:11" ht="16" x14ac:dyDescent="0.2">
      <c r="A1751" s="1" t="s">
        <v>106</v>
      </c>
      <c r="B1751" t="str">
        <f>LEFT(Table13[[#This Row],[Input]],1)</f>
        <v>R</v>
      </c>
      <c r="C1751">
        <f>_xlfn.LET(_xlpm.steps,SUBSTITUTE(Table13[[#This Row],[Input]],Table13[[#This Row],[Direction]],""),VALUE(IF(LEN(_xlpm.steps)&gt;2,RIGHT(_xlpm.steps,2),_xlpm.steps)))</f>
        <v>41</v>
      </c>
      <c r="D1751">
        <f>_xlfn.LET(_xlpm.steps,SUBSTITUTE(Table13[[#This Row],[Input]],Table13[[#This Row],[Direction]],""),VALUE(IF(LEN(_xlpm.steps)&gt;2,LEFT(_xlpm.steps,LEN(_xlpm.steps)-2),0)))</f>
        <v>0</v>
      </c>
      <c r="E1751">
        <f>_xlfn.LET(_xlpm.dir,Table13[[#This Row],[Direction]],
IF(_xlpm.dir="L",
    IF(G1750-Table13[[#This Row],[Steps]]&lt;0,100+(G1750-Table13[[#This Row],[Steps]]),G1750-Table13[[#This Row],[Steps]]),
))</f>
        <v>0</v>
      </c>
      <c r="F1751">
        <f>_xlfn.LET(_xlpm.dir,Table13[[#This Row],[Direction]],
IF(_xlpm.dir="R",
    IF(G1750+Table13[[#This Row],[Steps]]&gt;99,(G1750+Table13[[#This Row],[Steps]])-100,G1750+Table13[[#This Row],[Steps]]),
))</f>
        <v>69</v>
      </c>
      <c r="G1751">
        <f>IF(Table13[[#This Row],[New Pos L]]&lt;&gt;0,Table13[[#This Row],[New Pos L]],Table13[[#This Row],[New Pos R]])</f>
        <v>69</v>
      </c>
      <c r="H1751">
        <f>IF(AND(Table13[[#This Row],[Direction]]="L",Table13[[#This Row],[Steps]]&gt;G1750,G1750&lt;&gt;0),1,0)</f>
        <v>0</v>
      </c>
      <c r="I1751">
        <f>IF(AND(Table13[[#This Row],[Direction]]="R",(G1750+Table13[[#This Row],[Steps]])&gt;100),1,0)</f>
        <v>0</v>
      </c>
      <c r="J1751">
        <f>IF(Table13[[#This Row],[POS]]=0,1,0)</f>
        <v>0</v>
      </c>
      <c r="K1751">
        <f>SUM(Table13[[#This Row],[prefix]],Table13[[#This Row],[Past zero L]],Table13[[#This Row],[Past Zero R]],Table13[[#This Row],[Is Zero]])</f>
        <v>0</v>
      </c>
    </row>
    <row r="1752" spans="1:11" ht="16" x14ac:dyDescent="0.2">
      <c r="A1752" s="1" t="s">
        <v>127</v>
      </c>
      <c r="B1752" t="str">
        <f>LEFT(Table13[[#This Row],[Input]],1)</f>
        <v>L</v>
      </c>
      <c r="C1752">
        <f>_xlfn.LET(_xlpm.steps,SUBSTITUTE(Table13[[#This Row],[Input]],Table13[[#This Row],[Direction]],""),VALUE(IF(LEN(_xlpm.steps)&gt;2,RIGHT(_xlpm.steps,2),_xlpm.steps)))</f>
        <v>62</v>
      </c>
      <c r="D1752">
        <f>_xlfn.LET(_xlpm.steps,SUBSTITUTE(Table13[[#This Row],[Input]],Table13[[#This Row],[Direction]],""),VALUE(IF(LEN(_xlpm.steps)&gt;2,LEFT(_xlpm.steps,LEN(_xlpm.steps)-2),0)))</f>
        <v>0</v>
      </c>
      <c r="E1752">
        <f>_xlfn.LET(_xlpm.dir,Table13[[#This Row],[Direction]],
IF(_xlpm.dir="L",
    IF(G1751-Table13[[#This Row],[Steps]]&lt;0,100+(G1751-Table13[[#This Row],[Steps]]),G1751-Table13[[#This Row],[Steps]]),
))</f>
        <v>7</v>
      </c>
      <c r="F1752">
        <f>_xlfn.LET(_xlpm.dir,Table13[[#This Row],[Direction]],
IF(_xlpm.dir="R",
    IF(G1751+Table13[[#This Row],[Steps]]&gt;99,(G1751+Table13[[#This Row],[Steps]])-100,G1751+Table13[[#This Row],[Steps]]),
))</f>
        <v>0</v>
      </c>
      <c r="G1752">
        <f>IF(Table13[[#This Row],[New Pos L]]&lt;&gt;0,Table13[[#This Row],[New Pos L]],Table13[[#This Row],[New Pos R]])</f>
        <v>7</v>
      </c>
      <c r="H1752">
        <f>IF(AND(Table13[[#This Row],[Direction]]="L",Table13[[#This Row],[Steps]]&gt;G1751,G1751&lt;&gt;0),1,0)</f>
        <v>0</v>
      </c>
      <c r="I1752">
        <f>IF(AND(Table13[[#This Row],[Direction]]="R",(G1751+Table13[[#This Row],[Steps]])&gt;100),1,0)</f>
        <v>0</v>
      </c>
      <c r="J1752">
        <f>IF(Table13[[#This Row],[POS]]=0,1,0)</f>
        <v>0</v>
      </c>
      <c r="K1752">
        <f>SUM(Table13[[#This Row],[prefix]],Table13[[#This Row],[Past zero L]],Table13[[#This Row],[Past Zero R]],Table13[[#This Row],[Is Zero]])</f>
        <v>0</v>
      </c>
    </row>
    <row r="1753" spans="1:11" ht="16" x14ac:dyDescent="0.2">
      <c r="A1753" s="1" t="s">
        <v>47</v>
      </c>
      <c r="B1753" t="str">
        <f>LEFT(Table13[[#This Row],[Input]],1)</f>
        <v>R</v>
      </c>
      <c r="C1753">
        <f>_xlfn.LET(_xlpm.steps,SUBSTITUTE(Table13[[#This Row],[Input]],Table13[[#This Row],[Direction]],""),VALUE(IF(LEN(_xlpm.steps)&gt;2,RIGHT(_xlpm.steps,2),_xlpm.steps)))</f>
        <v>97</v>
      </c>
      <c r="D1753">
        <f>_xlfn.LET(_xlpm.steps,SUBSTITUTE(Table13[[#This Row],[Input]],Table13[[#This Row],[Direction]],""),VALUE(IF(LEN(_xlpm.steps)&gt;2,LEFT(_xlpm.steps,LEN(_xlpm.steps)-2),0)))</f>
        <v>0</v>
      </c>
      <c r="E1753">
        <f>_xlfn.LET(_xlpm.dir,Table13[[#This Row],[Direction]],
IF(_xlpm.dir="L",
    IF(G1752-Table13[[#This Row],[Steps]]&lt;0,100+(G1752-Table13[[#This Row],[Steps]]),G1752-Table13[[#This Row],[Steps]]),
))</f>
        <v>0</v>
      </c>
      <c r="F1753">
        <f>_xlfn.LET(_xlpm.dir,Table13[[#This Row],[Direction]],
IF(_xlpm.dir="R",
    IF(G1752+Table13[[#This Row],[Steps]]&gt;99,(G1752+Table13[[#This Row],[Steps]])-100,G1752+Table13[[#This Row],[Steps]]),
))</f>
        <v>4</v>
      </c>
      <c r="G1753">
        <f>IF(Table13[[#This Row],[New Pos L]]&lt;&gt;0,Table13[[#This Row],[New Pos L]],Table13[[#This Row],[New Pos R]])</f>
        <v>4</v>
      </c>
      <c r="H1753">
        <f>IF(AND(Table13[[#This Row],[Direction]]="L",Table13[[#This Row],[Steps]]&gt;G1752,G1752&lt;&gt;0),1,0)</f>
        <v>0</v>
      </c>
      <c r="I1753">
        <f>IF(AND(Table13[[#This Row],[Direction]]="R",(G1752+Table13[[#This Row],[Steps]])&gt;100),1,0)</f>
        <v>1</v>
      </c>
      <c r="J1753">
        <f>IF(Table13[[#This Row],[POS]]=0,1,0)</f>
        <v>0</v>
      </c>
      <c r="K1753">
        <f>SUM(Table13[[#This Row],[prefix]],Table13[[#This Row],[Past zero L]],Table13[[#This Row],[Past Zero R]],Table13[[#This Row],[Is Zero]])</f>
        <v>1</v>
      </c>
    </row>
    <row r="1754" spans="1:11" ht="16" x14ac:dyDescent="0.2">
      <c r="A1754" s="1" t="s">
        <v>165</v>
      </c>
      <c r="B1754" t="str">
        <f>LEFT(Table13[[#This Row],[Input]],1)</f>
        <v>R</v>
      </c>
      <c r="C1754">
        <f>_xlfn.LET(_xlpm.steps,SUBSTITUTE(Table13[[#This Row],[Input]],Table13[[#This Row],[Direction]],""),VALUE(IF(LEN(_xlpm.steps)&gt;2,RIGHT(_xlpm.steps,2),_xlpm.steps)))</f>
        <v>55</v>
      </c>
      <c r="D1754">
        <f>_xlfn.LET(_xlpm.steps,SUBSTITUTE(Table13[[#This Row],[Input]],Table13[[#This Row],[Direction]],""),VALUE(IF(LEN(_xlpm.steps)&gt;2,LEFT(_xlpm.steps,LEN(_xlpm.steps)-2),0)))</f>
        <v>0</v>
      </c>
      <c r="E1754">
        <f>_xlfn.LET(_xlpm.dir,Table13[[#This Row],[Direction]],
IF(_xlpm.dir="L",
    IF(G1753-Table13[[#This Row],[Steps]]&lt;0,100+(G1753-Table13[[#This Row],[Steps]]),G1753-Table13[[#This Row],[Steps]]),
))</f>
        <v>0</v>
      </c>
      <c r="F1754">
        <f>_xlfn.LET(_xlpm.dir,Table13[[#This Row],[Direction]],
IF(_xlpm.dir="R",
    IF(G1753+Table13[[#This Row],[Steps]]&gt;99,(G1753+Table13[[#This Row],[Steps]])-100,G1753+Table13[[#This Row],[Steps]]),
))</f>
        <v>59</v>
      </c>
      <c r="G1754">
        <f>IF(Table13[[#This Row],[New Pos L]]&lt;&gt;0,Table13[[#This Row],[New Pos L]],Table13[[#This Row],[New Pos R]])</f>
        <v>59</v>
      </c>
      <c r="H1754">
        <f>IF(AND(Table13[[#This Row],[Direction]]="L",Table13[[#This Row],[Steps]]&gt;G1753,G1753&lt;&gt;0),1,0)</f>
        <v>0</v>
      </c>
      <c r="I1754">
        <f>IF(AND(Table13[[#This Row],[Direction]]="R",(G1753+Table13[[#This Row],[Steps]])&gt;100),1,0)</f>
        <v>0</v>
      </c>
      <c r="J1754">
        <f>IF(Table13[[#This Row],[POS]]=0,1,0)</f>
        <v>0</v>
      </c>
      <c r="K1754">
        <f>SUM(Table13[[#This Row],[prefix]],Table13[[#This Row],[Past zero L]],Table13[[#This Row],[Past Zero R]],Table13[[#This Row],[Is Zero]])</f>
        <v>0</v>
      </c>
    </row>
    <row r="1755" spans="1:11" ht="16" x14ac:dyDescent="0.2">
      <c r="A1755" s="1" t="s">
        <v>192</v>
      </c>
      <c r="B1755" t="str">
        <f>LEFT(Table13[[#This Row],[Input]],1)</f>
        <v>L</v>
      </c>
      <c r="C1755">
        <f>_xlfn.LET(_xlpm.steps,SUBSTITUTE(Table13[[#This Row],[Input]],Table13[[#This Row],[Direction]],""),VALUE(IF(LEN(_xlpm.steps)&gt;2,RIGHT(_xlpm.steps,2),_xlpm.steps)))</f>
        <v>52</v>
      </c>
      <c r="D1755">
        <f>_xlfn.LET(_xlpm.steps,SUBSTITUTE(Table13[[#This Row],[Input]],Table13[[#This Row],[Direction]],""),VALUE(IF(LEN(_xlpm.steps)&gt;2,LEFT(_xlpm.steps,LEN(_xlpm.steps)-2),0)))</f>
        <v>0</v>
      </c>
      <c r="E1755">
        <f>_xlfn.LET(_xlpm.dir,Table13[[#This Row],[Direction]],
IF(_xlpm.dir="L",
    IF(G1754-Table13[[#This Row],[Steps]]&lt;0,100+(G1754-Table13[[#This Row],[Steps]]),G1754-Table13[[#This Row],[Steps]]),
))</f>
        <v>7</v>
      </c>
      <c r="F1755">
        <f>_xlfn.LET(_xlpm.dir,Table13[[#This Row],[Direction]],
IF(_xlpm.dir="R",
    IF(G1754+Table13[[#This Row],[Steps]]&gt;99,(G1754+Table13[[#This Row],[Steps]])-100,G1754+Table13[[#This Row],[Steps]]),
))</f>
        <v>0</v>
      </c>
      <c r="G1755">
        <f>IF(Table13[[#This Row],[New Pos L]]&lt;&gt;0,Table13[[#This Row],[New Pos L]],Table13[[#This Row],[New Pos R]])</f>
        <v>7</v>
      </c>
      <c r="H1755">
        <f>IF(AND(Table13[[#This Row],[Direction]]="L",Table13[[#This Row],[Steps]]&gt;G1754,G1754&lt;&gt;0),1,0)</f>
        <v>0</v>
      </c>
      <c r="I1755">
        <f>IF(AND(Table13[[#This Row],[Direction]]="R",(G1754+Table13[[#This Row],[Steps]])&gt;100),1,0)</f>
        <v>0</v>
      </c>
      <c r="J1755">
        <f>IF(Table13[[#This Row],[POS]]=0,1,0)</f>
        <v>0</v>
      </c>
      <c r="K1755">
        <f>SUM(Table13[[#This Row],[prefix]],Table13[[#This Row],[Past zero L]],Table13[[#This Row],[Past Zero R]],Table13[[#This Row],[Is Zero]])</f>
        <v>0</v>
      </c>
    </row>
    <row r="1756" spans="1:11" ht="16" x14ac:dyDescent="0.2">
      <c r="A1756" s="1" t="s">
        <v>497</v>
      </c>
      <c r="B1756" t="str">
        <f>LEFT(Table13[[#This Row],[Input]],1)</f>
        <v>R</v>
      </c>
      <c r="C1756">
        <f>_xlfn.LET(_xlpm.steps,SUBSTITUTE(Table13[[#This Row],[Input]],Table13[[#This Row],[Direction]],""),VALUE(IF(LEN(_xlpm.steps)&gt;2,RIGHT(_xlpm.steps,2),_xlpm.steps)))</f>
        <v>92</v>
      </c>
      <c r="D1756">
        <f>_xlfn.LET(_xlpm.steps,SUBSTITUTE(Table13[[#This Row],[Input]],Table13[[#This Row],[Direction]],""),VALUE(IF(LEN(_xlpm.steps)&gt;2,LEFT(_xlpm.steps,LEN(_xlpm.steps)-2),0)))</f>
        <v>9</v>
      </c>
      <c r="E1756">
        <f>_xlfn.LET(_xlpm.dir,Table13[[#This Row],[Direction]],
IF(_xlpm.dir="L",
    IF(G1755-Table13[[#This Row],[Steps]]&lt;0,100+(G1755-Table13[[#This Row],[Steps]]),G1755-Table13[[#This Row],[Steps]]),
))</f>
        <v>0</v>
      </c>
      <c r="F1756">
        <f>_xlfn.LET(_xlpm.dir,Table13[[#This Row],[Direction]],
IF(_xlpm.dir="R",
    IF(G1755+Table13[[#This Row],[Steps]]&gt;99,(G1755+Table13[[#This Row],[Steps]])-100,G1755+Table13[[#This Row],[Steps]]),
))</f>
        <v>99</v>
      </c>
      <c r="G1756">
        <f>IF(Table13[[#This Row],[New Pos L]]&lt;&gt;0,Table13[[#This Row],[New Pos L]],Table13[[#This Row],[New Pos R]])</f>
        <v>99</v>
      </c>
      <c r="H1756">
        <f>IF(AND(Table13[[#This Row],[Direction]]="L",Table13[[#This Row],[Steps]]&gt;G1755,G1755&lt;&gt;0),1,0)</f>
        <v>0</v>
      </c>
      <c r="I1756">
        <f>IF(AND(Table13[[#This Row],[Direction]]="R",(G1755+Table13[[#This Row],[Steps]])&gt;100),1,0)</f>
        <v>0</v>
      </c>
      <c r="J1756">
        <f>IF(Table13[[#This Row],[POS]]=0,1,0)</f>
        <v>0</v>
      </c>
      <c r="K1756">
        <f>SUM(Table13[[#This Row],[prefix]],Table13[[#This Row],[Past zero L]],Table13[[#This Row],[Past Zero R]],Table13[[#This Row],[Is Zero]])</f>
        <v>9</v>
      </c>
    </row>
    <row r="1757" spans="1:11" ht="16" x14ac:dyDescent="0.2">
      <c r="A1757" s="1" t="s">
        <v>252</v>
      </c>
      <c r="B1757" t="str">
        <f>LEFT(Table13[[#This Row],[Input]],1)</f>
        <v>L</v>
      </c>
      <c r="C1757">
        <f>_xlfn.LET(_xlpm.steps,SUBSTITUTE(Table13[[#This Row],[Input]],Table13[[#This Row],[Direction]],""),VALUE(IF(LEN(_xlpm.steps)&gt;2,RIGHT(_xlpm.steps,2),_xlpm.steps)))</f>
        <v>99</v>
      </c>
      <c r="D1757">
        <f>_xlfn.LET(_xlpm.steps,SUBSTITUTE(Table13[[#This Row],[Input]],Table13[[#This Row],[Direction]],""),VALUE(IF(LEN(_xlpm.steps)&gt;2,LEFT(_xlpm.steps,LEN(_xlpm.steps)-2),0)))</f>
        <v>0</v>
      </c>
      <c r="E1757">
        <f>_xlfn.LET(_xlpm.dir,Table13[[#This Row],[Direction]],
IF(_xlpm.dir="L",
    IF(G1756-Table13[[#This Row],[Steps]]&lt;0,100+(G1756-Table13[[#This Row],[Steps]]),G1756-Table13[[#This Row],[Steps]]),
))</f>
        <v>0</v>
      </c>
      <c r="F1757">
        <f>_xlfn.LET(_xlpm.dir,Table13[[#This Row],[Direction]],
IF(_xlpm.dir="R",
    IF(G1756+Table13[[#This Row],[Steps]]&gt;99,(G1756+Table13[[#This Row],[Steps]])-100,G1756+Table13[[#This Row],[Steps]]),
))</f>
        <v>0</v>
      </c>
      <c r="G1757">
        <f>IF(Table13[[#This Row],[New Pos L]]&lt;&gt;0,Table13[[#This Row],[New Pos L]],Table13[[#This Row],[New Pos R]])</f>
        <v>0</v>
      </c>
      <c r="H1757">
        <f>IF(AND(Table13[[#This Row],[Direction]]="L",Table13[[#This Row],[Steps]]&gt;G1756,G1756&lt;&gt;0),1,0)</f>
        <v>0</v>
      </c>
      <c r="I1757">
        <f>IF(AND(Table13[[#This Row],[Direction]]="R",(G1756+Table13[[#This Row],[Steps]])&gt;100),1,0)</f>
        <v>0</v>
      </c>
      <c r="J1757">
        <f>IF(Table13[[#This Row],[POS]]=0,1,0)</f>
        <v>1</v>
      </c>
      <c r="K1757">
        <f>SUM(Table13[[#This Row],[prefix]],Table13[[#This Row],[Past zero L]],Table13[[#This Row],[Past Zero R]],Table13[[#This Row],[Is Zero]])</f>
        <v>1</v>
      </c>
    </row>
    <row r="1758" spans="1:11" ht="16" x14ac:dyDescent="0.2">
      <c r="A1758" s="1" t="s">
        <v>498</v>
      </c>
      <c r="B1758" t="str">
        <f>LEFT(Table13[[#This Row],[Input]],1)</f>
        <v>L</v>
      </c>
      <c r="C1758">
        <f>_xlfn.LET(_xlpm.steps,SUBSTITUTE(Table13[[#This Row],[Input]],Table13[[#This Row],[Direction]],""),VALUE(IF(LEN(_xlpm.steps)&gt;2,RIGHT(_xlpm.steps,2),_xlpm.steps)))</f>
        <v>51</v>
      </c>
      <c r="D1758">
        <f>_xlfn.LET(_xlpm.steps,SUBSTITUTE(Table13[[#This Row],[Input]],Table13[[#This Row],[Direction]],""),VALUE(IF(LEN(_xlpm.steps)&gt;2,LEFT(_xlpm.steps,LEN(_xlpm.steps)-2),0)))</f>
        <v>8</v>
      </c>
      <c r="E1758">
        <f>_xlfn.LET(_xlpm.dir,Table13[[#This Row],[Direction]],
IF(_xlpm.dir="L",
    IF(G1757-Table13[[#This Row],[Steps]]&lt;0,100+(G1757-Table13[[#This Row],[Steps]]),G1757-Table13[[#This Row],[Steps]]),
))</f>
        <v>49</v>
      </c>
      <c r="F1758">
        <f>_xlfn.LET(_xlpm.dir,Table13[[#This Row],[Direction]],
IF(_xlpm.dir="R",
    IF(G1757+Table13[[#This Row],[Steps]]&gt;99,(G1757+Table13[[#This Row],[Steps]])-100,G1757+Table13[[#This Row],[Steps]]),
))</f>
        <v>0</v>
      </c>
      <c r="G1758">
        <f>IF(Table13[[#This Row],[New Pos L]]&lt;&gt;0,Table13[[#This Row],[New Pos L]],Table13[[#This Row],[New Pos R]])</f>
        <v>49</v>
      </c>
      <c r="H1758">
        <f>IF(AND(Table13[[#This Row],[Direction]]="L",Table13[[#This Row],[Steps]]&gt;G1757,G1757&lt;&gt;0),1,0)</f>
        <v>0</v>
      </c>
      <c r="I1758">
        <f>IF(AND(Table13[[#This Row],[Direction]]="R",(G1757+Table13[[#This Row],[Steps]])&gt;100),1,0)</f>
        <v>0</v>
      </c>
      <c r="J1758">
        <f>IF(Table13[[#This Row],[POS]]=0,1,0)</f>
        <v>0</v>
      </c>
      <c r="K1758">
        <f>SUM(Table13[[#This Row],[prefix]],Table13[[#This Row],[Past zero L]],Table13[[#This Row],[Past Zero R]],Table13[[#This Row],[Is Zero]])</f>
        <v>8</v>
      </c>
    </row>
    <row r="1759" spans="1:11" ht="16" x14ac:dyDescent="0.2">
      <c r="A1759" s="1" t="s">
        <v>194</v>
      </c>
      <c r="B1759" t="str">
        <f>LEFT(Table13[[#This Row],[Input]],1)</f>
        <v>R</v>
      </c>
      <c r="C1759">
        <f>_xlfn.LET(_xlpm.steps,SUBSTITUTE(Table13[[#This Row],[Input]],Table13[[#This Row],[Direction]],""),VALUE(IF(LEN(_xlpm.steps)&gt;2,RIGHT(_xlpm.steps,2),_xlpm.steps)))</f>
        <v>51</v>
      </c>
      <c r="D1759">
        <f>_xlfn.LET(_xlpm.steps,SUBSTITUTE(Table13[[#This Row],[Input]],Table13[[#This Row],[Direction]],""),VALUE(IF(LEN(_xlpm.steps)&gt;2,LEFT(_xlpm.steps,LEN(_xlpm.steps)-2),0)))</f>
        <v>0</v>
      </c>
      <c r="E1759">
        <f>_xlfn.LET(_xlpm.dir,Table13[[#This Row],[Direction]],
IF(_xlpm.dir="L",
    IF(G1758-Table13[[#This Row],[Steps]]&lt;0,100+(G1758-Table13[[#This Row],[Steps]]),G1758-Table13[[#This Row],[Steps]]),
))</f>
        <v>0</v>
      </c>
      <c r="F1759">
        <f>_xlfn.LET(_xlpm.dir,Table13[[#This Row],[Direction]],
IF(_xlpm.dir="R",
    IF(G1758+Table13[[#This Row],[Steps]]&gt;99,(G1758+Table13[[#This Row],[Steps]])-100,G1758+Table13[[#This Row],[Steps]]),
))</f>
        <v>0</v>
      </c>
      <c r="G1759">
        <f>IF(Table13[[#This Row],[New Pos L]]&lt;&gt;0,Table13[[#This Row],[New Pos L]],Table13[[#This Row],[New Pos R]])</f>
        <v>0</v>
      </c>
      <c r="H1759">
        <f>IF(AND(Table13[[#This Row],[Direction]]="L",Table13[[#This Row],[Steps]]&gt;G1758,G1758&lt;&gt;0),1,0)</f>
        <v>0</v>
      </c>
      <c r="I1759">
        <f>IF(AND(Table13[[#This Row],[Direction]]="R",(G1758+Table13[[#This Row],[Steps]])&gt;100),1,0)</f>
        <v>0</v>
      </c>
      <c r="J1759">
        <f>IF(Table13[[#This Row],[POS]]=0,1,0)</f>
        <v>1</v>
      </c>
      <c r="K1759">
        <f>SUM(Table13[[#This Row],[prefix]],Table13[[#This Row],[Past zero L]],Table13[[#This Row],[Past Zero R]],Table13[[#This Row],[Is Zero]])</f>
        <v>1</v>
      </c>
    </row>
    <row r="1760" spans="1:11" ht="16" x14ac:dyDescent="0.2">
      <c r="A1760" s="1" t="s">
        <v>257</v>
      </c>
      <c r="B1760" t="str">
        <f>LEFT(Table13[[#This Row],[Input]],1)</f>
        <v>R</v>
      </c>
      <c r="C1760">
        <f>_xlfn.LET(_xlpm.steps,SUBSTITUTE(Table13[[#This Row],[Input]],Table13[[#This Row],[Direction]],""),VALUE(IF(LEN(_xlpm.steps)&gt;2,RIGHT(_xlpm.steps,2),_xlpm.steps)))</f>
        <v>27</v>
      </c>
      <c r="D1760">
        <f>_xlfn.LET(_xlpm.steps,SUBSTITUTE(Table13[[#This Row],[Input]],Table13[[#This Row],[Direction]],""),VALUE(IF(LEN(_xlpm.steps)&gt;2,LEFT(_xlpm.steps,LEN(_xlpm.steps)-2),0)))</f>
        <v>5</v>
      </c>
      <c r="E1760">
        <f>_xlfn.LET(_xlpm.dir,Table13[[#This Row],[Direction]],
IF(_xlpm.dir="L",
    IF(G1759-Table13[[#This Row],[Steps]]&lt;0,100+(G1759-Table13[[#This Row],[Steps]]),G1759-Table13[[#This Row],[Steps]]),
))</f>
        <v>0</v>
      </c>
      <c r="F1760">
        <f>_xlfn.LET(_xlpm.dir,Table13[[#This Row],[Direction]],
IF(_xlpm.dir="R",
    IF(G1759+Table13[[#This Row],[Steps]]&gt;99,(G1759+Table13[[#This Row],[Steps]])-100,G1759+Table13[[#This Row],[Steps]]),
))</f>
        <v>27</v>
      </c>
      <c r="G1760">
        <f>IF(Table13[[#This Row],[New Pos L]]&lt;&gt;0,Table13[[#This Row],[New Pos L]],Table13[[#This Row],[New Pos R]])</f>
        <v>27</v>
      </c>
      <c r="H1760">
        <f>IF(AND(Table13[[#This Row],[Direction]]="L",Table13[[#This Row],[Steps]]&gt;G1759,G1759&lt;&gt;0),1,0)</f>
        <v>0</v>
      </c>
      <c r="I1760">
        <f>IF(AND(Table13[[#This Row],[Direction]]="R",(G1759+Table13[[#This Row],[Steps]])&gt;100),1,0)</f>
        <v>0</v>
      </c>
      <c r="J1760">
        <f>IF(Table13[[#This Row],[POS]]=0,1,0)</f>
        <v>0</v>
      </c>
      <c r="K1760">
        <f>SUM(Table13[[#This Row],[prefix]],Table13[[#This Row],[Past zero L]],Table13[[#This Row],[Past Zero R]],Table13[[#This Row],[Is Zero]])</f>
        <v>5</v>
      </c>
    </row>
    <row r="1761" spans="1:11" ht="16" x14ac:dyDescent="0.2">
      <c r="A1761" s="1" t="s">
        <v>47</v>
      </c>
      <c r="B1761" t="str">
        <f>LEFT(Table13[[#This Row],[Input]],1)</f>
        <v>R</v>
      </c>
      <c r="C1761">
        <f>_xlfn.LET(_xlpm.steps,SUBSTITUTE(Table13[[#This Row],[Input]],Table13[[#This Row],[Direction]],""),VALUE(IF(LEN(_xlpm.steps)&gt;2,RIGHT(_xlpm.steps,2),_xlpm.steps)))</f>
        <v>97</v>
      </c>
      <c r="D1761">
        <f>_xlfn.LET(_xlpm.steps,SUBSTITUTE(Table13[[#This Row],[Input]],Table13[[#This Row],[Direction]],""),VALUE(IF(LEN(_xlpm.steps)&gt;2,LEFT(_xlpm.steps,LEN(_xlpm.steps)-2),0)))</f>
        <v>0</v>
      </c>
      <c r="E1761">
        <f>_xlfn.LET(_xlpm.dir,Table13[[#This Row],[Direction]],
IF(_xlpm.dir="L",
    IF(G1760-Table13[[#This Row],[Steps]]&lt;0,100+(G1760-Table13[[#This Row],[Steps]]),G1760-Table13[[#This Row],[Steps]]),
))</f>
        <v>0</v>
      </c>
      <c r="F1761">
        <f>_xlfn.LET(_xlpm.dir,Table13[[#This Row],[Direction]],
IF(_xlpm.dir="R",
    IF(G1760+Table13[[#This Row],[Steps]]&gt;99,(G1760+Table13[[#This Row],[Steps]])-100,G1760+Table13[[#This Row],[Steps]]),
))</f>
        <v>24</v>
      </c>
      <c r="G1761">
        <f>IF(Table13[[#This Row],[New Pos L]]&lt;&gt;0,Table13[[#This Row],[New Pos L]],Table13[[#This Row],[New Pos R]])</f>
        <v>24</v>
      </c>
      <c r="H1761">
        <f>IF(AND(Table13[[#This Row],[Direction]]="L",Table13[[#This Row],[Steps]]&gt;G1760,G1760&lt;&gt;0),1,0)</f>
        <v>0</v>
      </c>
      <c r="I1761">
        <f>IF(AND(Table13[[#This Row],[Direction]]="R",(G1760+Table13[[#This Row],[Steps]])&gt;100),1,0)</f>
        <v>1</v>
      </c>
      <c r="J1761">
        <f>IF(Table13[[#This Row],[POS]]=0,1,0)</f>
        <v>0</v>
      </c>
      <c r="K1761">
        <f>SUM(Table13[[#This Row],[prefix]],Table13[[#This Row],[Past zero L]],Table13[[#This Row],[Past Zero R]],Table13[[#This Row],[Is Zero]])</f>
        <v>1</v>
      </c>
    </row>
    <row r="1762" spans="1:11" ht="16" x14ac:dyDescent="0.2">
      <c r="A1762" s="1" t="s">
        <v>158</v>
      </c>
      <c r="B1762" t="str">
        <f>LEFT(Table13[[#This Row],[Input]],1)</f>
        <v>L</v>
      </c>
      <c r="C1762">
        <f>_xlfn.LET(_xlpm.steps,SUBSTITUTE(Table13[[#This Row],[Input]],Table13[[#This Row],[Direction]],""),VALUE(IF(LEN(_xlpm.steps)&gt;2,RIGHT(_xlpm.steps,2),_xlpm.steps)))</f>
        <v>24</v>
      </c>
      <c r="D1762">
        <f>_xlfn.LET(_xlpm.steps,SUBSTITUTE(Table13[[#This Row],[Input]],Table13[[#This Row],[Direction]],""),VALUE(IF(LEN(_xlpm.steps)&gt;2,LEFT(_xlpm.steps,LEN(_xlpm.steps)-2),0)))</f>
        <v>0</v>
      </c>
      <c r="E1762">
        <f>_xlfn.LET(_xlpm.dir,Table13[[#This Row],[Direction]],
IF(_xlpm.dir="L",
    IF(G1761-Table13[[#This Row],[Steps]]&lt;0,100+(G1761-Table13[[#This Row],[Steps]]),G1761-Table13[[#This Row],[Steps]]),
))</f>
        <v>0</v>
      </c>
      <c r="F1762">
        <f>_xlfn.LET(_xlpm.dir,Table13[[#This Row],[Direction]],
IF(_xlpm.dir="R",
    IF(G1761+Table13[[#This Row],[Steps]]&gt;99,(G1761+Table13[[#This Row],[Steps]])-100,G1761+Table13[[#This Row],[Steps]]),
))</f>
        <v>0</v>
      </c>
      <c r="G1762">
        <f>IF(Table13[[#This Row],[New Pos L]]&lt;&gt;0,Table13[[#This Row],[New Pos L]],Table13[[#This Row],[New Pos R]])</f>
        <v>0</v>
      </c>
      <c r="H1762">
        <f>IF(AND(Table13[[#This Row],[Direction]]="L",Table13[[#This Row],[Steps]]&gt;G1761,G1761&lt;&gt;0),1,0)</f>
        <v>0</v>
      </c>
      <c r="I1762">
        <f>IF(AND(Table13[[#This Row],[Direction]]="R",(G1761+Table13[[#This Row],[Steps]])&gt;100),1,0)</f>
        <v>0</v>
      </c>
      <c r="J1762">
        <f>IF(Table13[[#This Row],[POS]]=0,1,0)</f>
        <v>1</v>
      </c>
      <c r="K1762">
        <f>SUM(Table13[[#This Row],[prefix]],Table13[[#This Row],[Past zero L]],Table13[[#This Row],[Past Zero R]],Table13[[#This Row],[Is Zero]])</f>
        <v>1</v>
      </c>
    </row>
    <row r="1763" spans="1:11" ht="16" x14ac:dyDescent="0.2">
      <c r="A1763" s="1" t="s">
        <v>499</v>
      </c>
      <c r="B1763" t="str">
        <f>LEFT(Table13[[#This Row],[Input]],1)</f>
        <v>L</v>
      </c>
      <c r="C1763">
        <f>_xlfn.LET(_xlpm.steps,SUBSTITUTE(Table13[[#This Row],[Input]],Table13[[#This Row],[Direction]],""),VALUE(IF(LEN(_xlpm.steps)&gt;2,RIGHT(_xlpm.steps,2),_xlpm.steps)))</f>
        <v>34</v>
      </c>
      <c r="D1763">
        <f>_xlfn.LET(_xlpm.steps,SUBSTITUTE(Table13[[#This Row],[Input]],Table13[[#This Row],[Direction]],""),VALUE(IF(LEN(_xlpm.steps)&gt;2,LEFT(_xlpm.steps,LEN(_xlpm.steps)-2),0)))</f>
        <v>7</v>
      </c>
      <c r="E1763">
        <f>_xlfn.LET(_xlpm.dir,Table13[[#This Row],[Direction]],
IF(_xlpm.dir="L",
    IF(G1762-Table13[[#This Row],[Steps]]&lt;0,100+(G1762-Table13[[#This Row],[Steps]]),G1762-Table13[[#This Row],[Steps]]),
))</f>
        <v>66</v>
      </c>
      <c r="F1763">
        <f>_xlfn.LET(_xlpm.dir,Table13[[#This Row],[Direction]],
IF(_xlpm.dir="R",
    IF(G1762+Table13[[#This Row],[Steps]]&gt;99,(G1762+Table13[[#This Row],[Steps]])-100,G1762+Table13[[#This Row],[Steps]]),
))</f>
        <v>0</v>
      </c>
      <c r="G1763">
        <f>IF(Table13[[#This Row],[New Pos L]]&lt;&gt;0,Table13[[#This Row],[New Pos L]],Table13[[#This Row],[New Pos R]])</f>
        <v>66</v>
      </c>
      <c r="H1763">
        <f>IF(AND(Table13[[#This Row],[Direction]]="L",Table13[[#This Row],[Steps]]&gt;G1762,G1762&lt;&gt;0),1,0)</f>
        <v>0</v>
      </c>
      <c r="I1763">
        <f>IF(AND(Table13[[#This Row],[Direction]]="R",(G1762+Table13[[#This Row],[Steps]])&gt;100),1,0)</f>
        <v>0</v>
      </c>
      <c r="J1763">
        <f>IF(Table13[[#This Row],[POS]]=0,1,0)</f>
        <v>0</v>
      </c>
      <c r="K1763">
        <f>SUM(Table13[[#This Row],[prefix]],Table13[[#This Row],[Past zero L]],Table13[[#This Row],[Past Zero R]],Table13[[#This Row],[Is Zero]])</f>
        <v>7</v>
      </c>
    </row>
    <row r="1764" spans="1:11" ht="16" x14ac:dyDescent="0.2">
      <c r="A1764" s="1" t="s">
        <v>245</v>
      </c>
      <c r="B1764" t="str">
        <f>LEFT(Table13[[#This Row],[Input]],1)</f>
        <v>R</v>
      </c>
      <c r="C1764">
        <f>_xlfn.LET(_xlpm.steps,SUBSTITUTE(Table13[[#This Row],[Input]],Table13[[#This Row],[Direction]],""),VALUE(IF(LEN(_xlpm.steps)&gt;2,RIGHT(_xlpm.steps,2),_xlpm.steps)))</f>
        <v>71</v>
      </c>
      <c r="D1764">
        <f>_xlfn.LET(_xlpm.steps,SUBSTITUTE(Table13[[#This Row],[Input]],Table13[[#This Row],[Direction]],""),VALUE(IF(LEN(_xlpm.steps)&gt;2,LEFT(_xlpm.steps,LEN(_xlpm.steps)-2),0)))</f>
        <v>0</v>
      </c>
      <c r="E1764">
        <f>_xlfn.LET(_xlpm.dir,Table13[[#This Row],[Direction]],
IF(_xlpm.dir="L",
    IF(G1763-Table13[[#This Row],[Steps]]&lt;0,100+(G1763-Table13[[#This Row],[Steps]]),G1763-Table13[[#This Row],[Steps]]),
))</f>
        <v>0</v>
      </c>
      <c r="F1764">
        <f>_xlfn.LET(_xlpm.dir,Table13[[#This Row],[Direction]],
IF(_xlpm.dir="R",
    IF(G1763+Table13[[#This Row],[Steps]]&gt;99,(G1763+Table13[[#This Row],[Steps]])-100,G1763+Table13[[#This Row],[Steps]]),
))</f>
        <v>37</v>
      </c>
      <c r="G1764">
        <f>IF(Table13[[#This Row],[New Pos L]]&lt;&gt;0,Table13[[#This Row],[New Pos L]],Table13[[#This Row],[New Pos R]])</f>
        <v>37</v>
      </c>
      <c r="H1764">
        <f>IF(AND(Table13[[#This Row],[Direction]]="L",Table13[[#This Row],[Steps]]&gt;G1763,G1763&lt;&gt;0),1,0)</f>
        <v>0</v>
      </c>
      <c r="I1764">
        <f>IF(AND(Table13[[#This Row],[Direction]]="R",(G1763+Table13[[#This Row],[Steps]])&gt;100),1,0)</f>
        <v>1</v>
      </c>
      <c r="J1764">
        <f>IF(Table13[[#This Row],[POS]]=0,1,0)</f>
        <v>0</v>
      </c>
      <c r="K1764">
        <f>SUM(Table13[[#This Row],[prefix]],Table13[[#This Row],[Past zero L]],Table13[[#This Row],[Past Zero R]],Table13[[#This Row],[Is Zero]])</f>
        <v>1</v>
      </c>
    </row>
    <row r="1765" spans="1:11" ht="16" x14ac:dyDescent="0.2">
      <c r="A1765" s="1" t="s">
        <v>500</v>
      </c>
      <c r="B1765" t="str">
        <f>LEFT(Table13[[#This Row],[Input]],1)</f>
        <v>L</v>
      </c>
      <c r="C1765">
        <f>_xlfn.LET(_xlpm.steps,SUBSTITUTE(Table13[[#This Row],[Input]],Table13[[#This Row],[Direction]],""),VALUE(IF(LEN(_xlpm.steps)&gt;2,RIGHT(_xlpm.steps,2),_xlpm.steps)))</f>
        <v>18</v>
      </c>
      <c r="D1765">
        <f>_xlfn.LET(_xlpm.steps,SUBSTITUTE(Table13[[#This Row],[Input]],Table13[[#This Row],[Direction]],""),VALUE(IF(LEN(_xlpm.steps)&gt;2,LEFT(_xlpm.steps,LEN(_xlpm.steps)-2),0)))</f>
        <v>5</v>
      </c>
      <c r="E1765">
        <f>_xlfn.LET(_xlpm.dir,Table13[[#This Row],[Direction]],
IF(_xlpm.dir="L",
    IF(G1764-Table13[[#This Row],[Steps]]&lt;0,100+(G1764-Table13[[#This Row],[Steps]]),G1764-Table13[[#This Row],[Steps]]),
))</f>
        <v>19</v>
      </c>
      <c r="F1765">
        <f>_xlfn.LET(_xlpm.dir,Table13[[#This Row],[Direction]],
IF(_xlpm.dir="R",
    IF(G1764+Table13[[#This Row],[Steps]]&gt;99,(G1764+Table13[[#This Row],[Steps]])-100,G1764+Table13[[#This Row],[Steps]]),
))</f>
        <v>0</v>
      </c>
      <c r="G1765">
        <f>IF(Table13[[#This Row],[New Pos L]]&lt;&gt;0,Table13[[#This Row],[New Pos L]],Table13[[#This Row],[New Pos R]])</f>
        <v>19</v>
      </c>
      <c r="H1765">
        <f>IF(AND(Table13[[#This Row],[Direction]]="L",Table13[[#This Row],[Steps]]&gt;G1764,G1764&lt;&gt;0),1,0)</f>
        <v>0</v>
      </c>
      <c r="I1765">
        <f>IF(AND(Table13[[#This Row],[Direction]]="R",(G1764+Table13[[#This Row],[Steps]])&gt;100),1,0)</f>
        <v>0</v>
      </c>
      <c r="J1765">
        <f>IF(Table13[[#This Row],[POS]]=0,1,0)</f>
        <v>0</v>
      </c>
      <c r="K1765">
        <f>SUM(Table13[[#This Row],[prefix]],Table13[[#This Row],[Past zero L]],Table13[[#This Row],[Past Zero R]],Table13[[#This Row],[Is Zero]])</f>
        <v>5</v>
      </c>
    </row>
    <row r="1766" spans="1:11" ht="16" x14ac:dyDescent="0.2">
      <c r="A1766" s="1" t="s">
        <v>501</v>
      </c>
      <c r="B1766" t="str">
        <f>LEFT(Table13[[#This Row],[Input]],1)</f>
        <v>R</v>
      </c>
      <c r="C1766">
        <f>_xlfn.LET(_xlpm.steps,SUBSTITUTE(Table13[[#This Row],[Input]],Table13[[#This Row],[Direction]],""),VALUE(IF(LEN(_xlpm.steps)&gt;2,RIGHT(_xlpm.steps,2),_xlpm.steps)))</f>
        <v>81</v>
      </c>
      <c r="D1766">
        <f>_xlfn.LET(_xlpm.steps,SUBSTITUTE(Table13[[#This Row],[Input]],Table13[[#This Row],[Direction]],""),VALUE(IF(LEN(_xlpm.steps)&gt;2,LEFT(_xlpm.steps,LEN(_xlpm.steps)-2),0)))</f>
        <v>2</v>
      </c>
      <c r="E1766">
        <f>_xlfn.LET(_xlpm.dir,Table13[[#This Row],[Direction]],
IF(_xlpm.dir="L",
    IF(G1765-Table13[[#This Row],[Steps]]&lt;0,100+(G1765-Table13[[#This Row],[Steps]]),G1765-Table13[[#This Row],[Steps]]),
))</f>
        <v>0</v>
      </c>
      <c r="F1766">
        <f>_xlfn.LET(_xlpm.dir,Table13[[#This Row],[Direction]],
IF(_xlpm.dir="R",
    IF(G1765+Table13[[#This Row],[Steps]]&gt;99,(G1765+Table13[[#This Row],[Steps]])-100,G1765+Table13[[#This Row],[Steps]]),
))</f>
        <v>0</v>
      </c>
      <c r="G1766">
        <f>IF(Table13[[#This Row],[New Pos L]]&lt;&gt;0,Table13[[#This Row],[New Pos L]],Table13[[#This Row],[New Pos R]])</f>
        <v>0</v>
      </c>
      <c r="H1766">
        <f>IF(AND(Table13[[#This Row],[Direction]]="L",Table13[[#This Row],[Steps]]&gt;G1765,G1765&lt;&gt;0),1,0)</f>
        <v>0</v>
      </c>
      <c r="I1766">
        <f>IF(AND(Table13[[#This Row],[Direction]]="R",(G1765+Table13[[#This Row],[Steps]])&gt;100),1,0)</f>
        <v>0</v>
      </c>
      <c r="J1766">
        <f>IF(Table13[[#This Row],[POS]]=0,1,0)</f>
        <v>1</v>
      </c>
      <c r="K1766">
        <f>SUM(Table13[[#This Row],[prefix]],Table13[[#This Row],[Past zero L]],Table13[[#This Row],[Past Zero R]],Table13[[#This Row],[Is Zero]])</f>
        <v>3</v>
      </c>
    </row>
    <row r="1767" spans="1:11" ht="16" x14ac:dyDescent="0.2">
      <c r="A1767" s="1" t="s">
        <v>379</v>
      </c>
      <c r="B1767" t="str">
        <f>LEFT(Table13[[#This Row],[Input]],1)</f>
        <v>L</v>
      </c>
      <c r="C1767">
        <f>_xlfn.LET(_xlpm.steps,SUBSTITUTE(Table13[[#This Row],[Input]],Table13[[#This Row],[Direction]],""),VALUE(IF(LEN(_xlpm.steps)&gt;2,RIGHT(_xlpm.steps,2),_xlpm.steps)))</f>
        <v>4</v>
      </c>
      <c r="D1767">
        <f>_xlfn.LET(_xlpm.steps,SUBSTITUTE(Table13[[#This Row],[Input]],Table13[[#This Row],[Direction]],""),VALUE(IF(LEN(_xlpm.steps)&gt;2,LEFT(_xlpm.steps,LEN(_xlpm.steps)-2),0)))</f>
        <v>0</v>
      </c>
      <c r="E1767">
        <f>_xlfn.LET(_xlpm.dir,Table13[[#This Row],[Direction]],
IF(_xlpm.dir="L",
    IF(G1766-Table13[[#This Row],[Steps]]&lt;0,100+(G1766-Table13[[#This Row],[Steps]]),G1766-Table13[[#This Row],[Steps]]),
))</f>
        <v>96</v>
      </c>
      <c r="F1767">
        <f>_xlfn.LET(_xlpm.dir,Table13[[#This Row],[Direction]],
IF(_xlpm.dir="R",
    IF(G1766+Table13[[#This Row],[Steps]]&gt;99,(G1766+Table13[[#This Row],[Steps]])-100,G1766+Table13[[#This Row],[Steps]]),
))</f>
        <v>0</v>
      </c>
      <c r="G1767">
        <f>IF(Table13[[#This Row],[New Pos L]]&lt;&gt;0,Table13[[#This Row],[New Pos L]],Table13[[#This Row],[New Pos R]])</f>
        <v>96</v>
      </c>
      <c r="H1767">
        <f>IF(AND(Table13[[#This Row],[Direction]]="L",Table13[[#This Row],[Steps]]&gt;G1766,G1766&lt;&gt;0),1,0)</f>
        <v>0</v>
      </c>
      <c r="I1767">
        <f>IF(AND(Table13[[#This Row],[Direction]]="R",(G1766+Table13[[#This Row],[Steps]])&gt;100),1,0)</f>
        <v>0</v>
      </c>
      <c r="J1767">
        <f>IF(Table13[[#This Row],[POS]]=0,1,0)</f>
        <v>0</v>
      </c>
      <c r="K1767">
        <f>SUM(Table13[[#This Row],[prefix]],Table13[[#This Row],[Past zero L]],Table13[[#This Row],[Past Zero R]],Table13[[#This Row],[Is Zero]])</f>
        <v>0</v>
      </c>
    </row>
    <row r="1768" spans="1:11" ht="16" x14ac:dyDescent="0.2">
      <c r="A1768" s="1" t="s">
        <v>69</v>
      </c>
      <c r="B1768" t="str">
        <f>LEFT(Table13[[#This Row],[Input]],1)</f>
        <v>R</v>
      </c>
      <c r="C1768">
        <f>_xlfn.LET(_xlpm.steps,SUBSTITUTE(Table13[[#This Row],[Input]],Table13[[#This Row],[Direction]],""),VALUE(IF(LEN(_xlpm.steps)&gt;2,RIGHT(_xlpm.steps,2),_xlpm.steps)))</f>
        <v>27</v>
      </c>
      <c r="D1768">
        <f>_xlfn.LET(_xlpm.steps,SUBSTITUTE(Table13[[#This Row],[Input]],Table13[[#This Row],[Direction]],""),VALUE(IF(LEN(_xlpm.steps)&gt;2,LEFT(_xlpm.steps,LEN(_xlpm.steps)-2),0)))</f>
        <v>0</v>
      </c>
      <c r="E1768">
        <f>_xlfn.LET(_xlpm.dir,Table13[[#This Row],[Direction]],
IF(_xlpm.dir="L",
    IF(G1767-Table13[[#This Row],[Steps]]&lt;0,100+(G1767-Table13[[#This Row],[Steps]]),G1767-Table13[[#This Row],[Steps]]),
))</f>
        <v>0</v>
      </c>
      <c r="F1768">
        <f>_xlfn.LET(_xlpm.dir,Table13[[#This Row],[Direction]],
IF(_xlpm.dir="R",
    IF(G1767+Table13[[#This Row],[Steps]]&gt;99,(G1767+Table13[[#This Row],[Steps]])-100,G1767+Table13[[#This Row],[Steps]]),
))</f>
        <v>23</v>
      </c>
      <c r="G1768">
        <f>IF(Table13[[#This Row],[New Pos L]]&lt;&gt;0,Table13[[#This Row],[New Pos L]],Table13[[#This Row],[New Pos R]])</f>
        <v>23</v>
      </c>
      <c r="H1768">
        <f>IF(AND(Table13[[#This Row],[Direction]]="L",Table13[[#This Row],[Steps]]&gt;G1767,G1767&lt;&gt;0),1,0)</f>
        <v>0</v>
      </c>
      <c r="I1768">
        <f>IF(AND(Table13[[#This Row],[Direction]]="R",(G1767+Table13[[#This Row],[Steps]])&gt;100),1,0)</f>
        <v>1</v>
      </c>
      <c r="J1768">
        <f>IF(Table13[[#This Row],[POS]]=0,1,0)</f>
        <v>0</v>
      </c>
      <c r="K1768">
        <f>SUM(Table13[[#This Row],[prefix]],Table13[[#This Row],[Past zero L]],Table13[[#This Row],[Past Zero R]],Table13[[#This Row],[Is Zero]])</f>
        <v>1</v>
      </c>
    </row>
    <row r="1769" spans="1:11" ht="16" x14ac:dyDescent="0.2">
      <c r="A1769" s="1" t="s">
        <v>133</v>
      </c>
      <c r="B1769" t="str">
        <f>LEFT(Table13[[#This Row],[Input]],1)</f>
        <v>R</v>
      </c>
      <c r="C1769">
        <f>_xlfn.LET(_xlpm.steps,SUBSTITUTE(Table13[[#This Row],[Input]],Table13[[#This Row],[Direction]],""),VALUE(IF(LEN(_xlpm.steps)&gt;2,RIGHT(_xlpm.steps,2),_xlpm.steps)))</f>
        <v>77</v>
      </c>
      <c r="D1769">
        <f>_xlfn.LET(_xlpm.steps,SUBSTITUTE(Table13[[#This Row],[Input]],Table13[[#This Row],[Direction]],""),VALUE(IF(LEN(_xlpm.steps)&gt;2,LEFT(_xlpm.steps,LEN(_xlpm.steps)-2),0)))</f>
        <v>6</v>
      </c>
      <c r="E1769">
        <f>_xlfn.LET(_xlpm.dir,Table13[[#This Row],[Direction]],
IF(_xlpm.dir="L",
    IF(G1768-Table13[[#This Row],[Steps]]&lt;0,100+(G1768-Table13[[#This Row],[Steps]]),G1768-Table13[[#This Row],[Steps]]),
))</f>
        <v>0</v>
      </c>
      <c r="F1769">
        <f>_xlfn.LET(_xlpm.dir,Table13[[#This Row],[Direction]],
IF(_xlpm.dir="R",
    IF(G1768+Table13[[#This Row],[Steps]]&gt;99,(G1768+Table13[[#This Row],[Steps]])-100,G1768+Table13[[#This Row],[Steps]]),
))</f>
        <v>0</v>
      </c>
      <c r="G1769">
        <f>IF(Table13[[#This Row],[New Pos L]]&lt;&gt;0,Table13[[#This Row],[New Pos L]],Table13[[#This Row],[New Pos R]])</f>
        <v>0</v>
      </c>
      <c r="H1769">
        <f>IF(AND(Table13[[#This Row],[Direction]]="L",Table13[[#This Row],[Steps]]&gt;G1768,G1768&lt;&gt;0),1,0)</f>
        <v>0</v>
      </c>
      <c r="I1769">
        <f>IF(AND(Table13[[#This Row],[Direction]]="R",(G1768+Table13[[#This Row],[Steps]])&gt;100),1,0)</f>
        <v>0</v>
      </c>
      <c r="J1769">
        <f>IF(Table13[[#This Row],[POS]]=0,1,0)</f>
        <v>1</v>
      </c>
      <c r="K1769">
        <f>SUM(Table13[[#This Row],[prefix]],Table13[[#This Row],[Past zero L]],Table13[[#This Row],[Past Zero R]],Table13[[#This Row],[Is Zero]])</f>
        <v>7</v>
      </c>
    </row>
    <row r="1770" spans="1:11" ht="16" x14ac:dyDescent="0.2">
      <c r="A1770" s="1" t="s">
        <v>95</v>
      </c>
      <c r="B1770" t="str">
        <f>LEFT(Table13[[#This Row],[Input]],1)</f>
        <v>L</v>
      </c>
      <c r="C1770">
        <f>_xlfn.LET(_xlpm.steps,SUBSTITUTE(Table13[[#This Row],[Input]],Table13[[#This Row],[Direction]],""),VALUE(IF(LEN(_xlpm.steps)&gt;2,RIGHT(_xlpm.steps,2),_xlpm.steps)))</f>
        <v>78</v>
      </c>
      <c r="D1770">
        <f>_xlfn.LET(_xlpm.steps,SUBSTITUTE(Table13[[#This Row],[Input]],Table13[[#This Row],[Direction]],""),VALUE(IF(LEN(_xlpm.steps)&gt;2,LEFT(_xlpm.steps,LEN(_xlpm.steps)-2),0)))</f>
        <v>0</v>
      </c>
      <c r="E1770">
        <f>_xlfn.LET(_xlpm.dir,Table13[[#This Row],[Direction]],
IF(_xlpm.dir="L",
    IF(G1769-Table13[[#This Row],[Steps]]&lt;0,100+(G1769-Table13[[#This Row],[Steps]]),G1769-Table13[[#This Row],[Steps]]),
))</f>
        <v>22</v>
      </c>
      <c r="F1770">
        <f>_xlfn.LET(_xlpm.dir,Table13[[#This Row],[Direction]],
IF(_xlpm.dir="R",
    IF(G1769+Table13[[#This Row],[Steps]]&gt;99,(G1769+Table13[[#This Row],[Steps]])-100,G1769+Table13[[#This Row],[Steps]]),
))</f>
        <v>0</v>
      </c>
      <c r="G1770">
        <f>IF(Table13[[#This Row],[New Pos L]]&lt;&gt;0,Table13[[#This Row],[New Pos L]],Table13[[#This Row],[New Pos R]])</f>
        <v>22</v>
      </c>
      <c r="H1770">
        <f>IF(AND(Table13[[#This Row],[Direction]]="L",Table13[[#This Row],[Steps]]&gt;G1769,G1769&lt;&gt;0),1,0)</f>
        <v>0</v>
      </c>
      <c r="I1770">
        <f>IF(AND(Table13[[#This Row],[Direction]]="R",(G1769+Table13[[#This Row],[Steps]])&gt;100),1,0)</f>
        <v>0</v>
      </c>
      <c r="J1770">
        <f>IF(Table13[[#This Row],[POS]]=0,1,0)</f>
        <v>0</v>
      </c>
      <c r="K1770">
        <f>SUM(Table13[[#This Row],[prefix]],Table13[[#This Row],[Past zero L]],Table13[[#This Row],[Past Zero R]],Table13[[#This Row],[Is Zero]])</f>
        <v>0</v>
      </c>
    </row>
    <row r="1771" spans="1:11" ht="16" x14ac:dyDescent="0.2">
      <c r="A1771" s="1" t="s">
        <v>405</v>
      </c>
      <c r="B1771" t="str">
        <f>LEFT(Table13[[#This Row],[Input]],1)</f>
        <v>L</v>
      </c>
      <c r="C1771">
        <f>_xlfn.LET(_xlpm.steps,SUBSTITUTE(Table13[[#This Row],[Input]],Table13[[#This Row],[Direction]],""),VALUE(IF(LEN(_xlpm.steps)&gt;2,RIGHT(_xlpm.steps,2),_xlpm.steps)))</f>
        <v>32</v>
      </c>
      <c r="D1771">
        <f>_xlfn.LET(_xlpm.steps,SUBSTITUTE(Table13[[#This Row],[Input]],Table13[[#This Row],[Direction]],""),VALUE(IF(LEN(_xlpm.steps)&gt;2,LEFT(_xlpm.steps,LEN(_xlpm.steps)-2),0)))</f>
        <v>0</v>
      </c>
      <c r="E1771">
        <f>_xlfn.LET(_xlpm.dir,Table13[[#This Row],[Direction]],
IF(_xlpm.dir="L",
    IF(G1770-Table13[[#This Row],[Steps]]&lt;0,100+(G1770-Table13[[#This Row],[Steps]]),G1770-Table13[[#This Row],[Steps]]),
))</f>
        <v>90</v>
      </c>
      <c r="F1771">
        <f>_xlfn.LET(_xlpm.dir,Table13[[#This Row],[Direction]],
IF(_xlpm.dir="R",
    IF(G1770+Table13[[#This Row],[Steps]]&gt;99,(G1770+Table13[[#This Row],[Steps]])-100,G1770+Table13[[#This Row],[Steps]]),
))</f>
        <v>0</v>
      </c>
      <c r="G1771">
        <f>IF(Table13[[#This Row],[New Pos L]]&lt;&gt;0,Table13[[#This Row],[New Pos L]],Table13[[#This Row],[New Pos R]])</f>
        <v>90</v>
      </c>
      <c r="H1771">
        <f>IF(AND(Table13[[#This Row],[Direction]]="L",Table13[[#This Row],[Steps]]&gt;G1770,G1770&lt;&gt;0),1,0)</f>
        <v>1</v>
      </c>
      <c r="I1771">
        <f>IF(AND(Table13[[#This Row],[Direction]]="R",(G1770+Table13[[#This Row],[Steps]])&gt;100),1,0)</f>
        <v>0</v>
      </c>
      <c r="J1771">
        <f>IF(Table13[[#This Row],[POS]]=0,1,0)</f>
        <v>0</v>
      </c>
      <c r="K1771">
        <f>SUM(Table13[[#This Row],[prefix]],Table13[[#This Row],[Past zero L]],Table13[[#This Row],[Past Zero R]],Table13[[#This Row],[Is Zero]])</f>
        <v>1</v>
      </c>
    </row>
    <row r="1772" spans="1:11" ht="16" x14ac:dyDescent="0.2">
      <c r="A1772" s="1" t="s">
        <v>54</v>
      </c>
      <c r="B1772" t="str">
        <f>LEFT(Table13[[#This Row],[Input]],1)</f>
        <v>L</v>
      </c>
      <c r="C1772">
        <f>_xlfn.LET(_xlpm.steps,SUBSTITUTE(Table13[[#This Row],[Input]],Table13[[#This Row],[Direction]],""),VALUE(IF(LEN(_xlpm.steps)&gt;2,RIGHT(_xlpm.steps,2),_xlpm.steps)))</f>
        <v>75</v>
      </c>
      <c r="D1772">
        <f>_xlfn.LET(_xlpm.steps,SUBSTITUTE(Table13[[#This Row],[Input]],Table13[[#This Row],[Direction]],""),VALUE(IF(LEN(_xlpm.steps)&gt;2,LEFT(_xlpm.steps,LEN(_xlpm.steps)-2),0)))</f>
        <v>0</v>
      </c>
      <c r="E1772">
        <f>_xlfn.LET(_xlpm.dir,Table13[[#This Row],[Direction]],
IF(_xlpm.dir="L",
    IF(G1771-Table13[[#This Row],[Steps]]&lt;0,100+(G1771-Table13[[#This Row],[Steps]]),G1771-Table13[[#This Row],[Steps]]),
))</f>
        <v>15</v>
      </c>
      <c r="F1772">
        <f>_xlfn.LET(_xlpm.dir,Table13[[#This Row],[Direction]],
IF(_xlpm.dir="R",
    IF(G1771+Table13[[#This Row],[Steps]]&gt;99,(G1771+Table13[[#This Row],[Steps]])-100,G1771+Table13[[#This Row],[Steps]]),
))</f>
        <v>0</v>
      </c>
      <c r="G1772">
        <f>IF(Table13[[#This Row],[New Pos L]]&lt;&gt;0,Table13[[#This Row],[New Pos L]],Table13[[#This Row],[New Pos R]])</f>
        <v>15</v>
      </c>
      <c r="H1772">
        <f>IF(AND(Table13[[#This Row],[Direction]]="L",Table13[[#This Row],[Steps]]&gt;G1771,G1771&lt;&gt;0),1,0)</f>
        <v>0</v>
      </c>
      <c r="I1772">
        <f>IF(AND(Table13[[#This Row],[Direction]]="R",(G1771+Table13[[#This Row],[Steps]])&gt;100),1,0)</f>
        <v>0</v>
      </c>
      <c r="J1772">
        <f>IF(Table13[[#This Row],[POS]]=0,1,0)</f>
        <v>0</v>
      </c>
      <c r="K1772">
        <f>SUM(Table13[[#This Row],[prefix]],Table13[[#This Row],[Past zero L]],Table13[[#This Row],[Past Zero R]],Table13[[#This Row],[Is Zero]])</f>
        <v>0</v>
      </c>
    </row>
    <row r="1773" spans="1:11" ht="16" x14ac:dyDescent="0.2">
      <c r="A1773" s="1" t="s">
        <v>502</v>
      </c>
      <c r="B1773" t="str">
        <f>LEFT(Table13[[#This Row],[Input]],1)</f>
        <v>L</v>
      </c>
      <c r="C1773">
        <f>_xlfn.LET(_xlpm.steps,SUBSTITUTE(Table13[[#This Row],[Input]],Table13[[#This Row],[Direction]],""),VALUE(IF(LEN(_xlpm.steps)&gt;2,RIGHT(_xlpm.steps,2),_xlpm.steps)))</f>
        <v>80</v>
      </c>
      <c r="D1773">
        <f>_xlfn.LET(_xlpm.steps,SUBSTITUTE(Table13[[#This Row],[Input]],Table13[[#This Row],[Direction]],""),VALUE(IF(LEN(_xlpm.steps)&gt;2,LEFT(_xlpm.steps,LEN(_xlpm.steps)-2),0)))</f>
        <v>5</v>
      </c>
      <c r="E1773">
        <f>_xlfn.LET(_xlpm.dir,Table13[[#This Row],[Direction]],
IF(_xlpm.dir="L",
    IF(G1772-Table13[[#This Row],[Steps]]&lt;0,100+(G1772-Table13[[#This Row],[Steps]]),G1772-Table13[[#This Row],[Steps]]),
))</f>
        <v>35</v>
      </c>
      <c r="F1773">
        <f>_xlfn.LET(_xlpm.dir,Table13[[#This Row],[Direction]],
IF(_xlpm.dir="R",
    IF(G1772+Table13[[#This Row],[Steps]]&gt;99,(G1772+Table13[[#This Row],[Steps]])-100,G1772+Table13[[#This Row],[Steps]]),
))</f>
        <v>0</v>
      </c>
      <c r="G1773">
        <f>IF(Table13[[#This Row],[New Pos L]]&lt;&gt;0,Table13[[#This Row],[New Pos L]],Table13[[#This Row],[New Pos R]])</f>
        <v>35</v>
      </c>
      <c r="H1773">
        <f>IF(AND(Table13[[#This Row],[Direction]]="L",Table13[[#This Row],[Steps]]&gt;G1772,G1772&lt;&gt;0),1,0)</f>
        <v>1</v>
      </c>
      <c r="I1773">
        <f>IF(AND(Table13[[#This Row],[Direction]]="R",(G1772+Table13[[#This Row],[Steps]])&gt;100),1,0)</f>
        <v>0</v>
      </c>
      <c r="J1773">
        <f>IF(Table13[[#This Row],[POS]]=0,1,0)</f>
        <v>0</v>
      </c>
      <c r="K1773">
        <f>SUM(Table13[[#This Row],[prefix]],Table13[[#This Row],[Past zero L]],Table13[[#This Row],[Past Zero R]],Table13[[#This Row],[Is Zero]])</f>
        <v>6</v>
      </c>
    </row>
    <row r="1774" spans="1:11" ht="16" x14ac:dyDescent="0.2">
      <c r="A1774" s="1" t="s">
        <v>60</v>
      </c>
      <c r="B1774" t="str">
        <f>LEFT(Table13[[#This Row],[Input]],1)</f>
        <v>R</v>
      </c>
      <c r="C1774">
        <f>_xlfn.LET(_xlpm.steps,SUBSTITUTE(Table13[[#This Row],[Input]],Table13[[#This Row],[Direction]],""),VALUE(IF(LEN(_xlpm.steps)&gt;2,RIGHT(_xlpm.steps,2),_xlpm.steps)))</f>
        <v>86</v>
      </c>
      <c r="D1774">
        <f>_xlfn.LET(_xlpm.steps,SUBSTITUTE(Table13[[#This Row],[Input]],Table13[[#This Row],[Direction]],""),VALUE(IF(LEN(_xlpm.steps)&gt;2,LEFT(_xlpm.steps,LEN(_xlpm.steps)-2),0)))</f>
        <v>0</v>
      </c>
      <c r="E1774">
        <f>_xlfn.LET(_xlpm.dir,Table13[[#This Row],[Direction]],
IF(_xlpm.dir="L",
    IF(G1773-Table13[[#This Row],[Steps]]&lt;0,100+(G1773-Table13[[#This Row],[Steps]]),G1773-Table13[[#This Row],[Steps]]),
))</f>
        <v>0</v>
      </c>
      <c r="F1774">
        <f>_xlfn.LET(_xlpm.dir,Table13[[#This Row],[Direction]],
IF(_xlpm.dir="R",
    IF(G1773+Table13[[#This Row],[Steps]]&gt;99,(G1773+Table13[[#This Row],[Steps]])-100,G1773+Table13[[#This Row],[Steps]]),
))</f>
        <v>21</v>
      </c>
      <c r="G1774">
        <f>IF(Table13[[#This Row],[New Pos L]]&lt;&gt;0,Table13[[#This Row],[New Pos L]],Table13[[#This Row],[New Pos R]])</f>
        <v>21</v>
      </c>
      <c r="H1774">
        <f>IF(AND(Table13[[#This Row],[Direction]]="L",Table13[[#This Row],[Steps]]&gt;G1773,G1773&lt;&gt;0),1,0)</f>
        <v>0</v>
      </c>
      <c r="I1774">
        <f>IF(AND(Table13[[#This Row],[Direction]]="R",(G1773+Table13[[#This Row],[Steps]])&gt;100),1,0)</f>
        <v>1</v>
      </c>
      <c r="J1774">
        <f>IF(Table13[[#This Row],[POS]]=0,1,0)</f>
        <v>0</v>
      </c>
      <c r="K1774">
        <f>SUM(Table13[[#This Row],[prefix]],Table13[[#This Row],[Past zero L]],Table13[[#This Row],[Past Zero R]],Table13[[#This Row],[Is Zero]])</f>
        <v>1</v>
      </c>
    </row>
    <row r="1775" spans="1:11" ht="16" x14ac:dyDescent="0.2">
      <c r="A1775" s="1" t="s">
        <v>503</v>
      </c>
      <c r="B1775" t="str">
        <f>LEFT(Table13[[#This Row],[Input]],1)</f>
        <v>R</v>
      </c>
      <c r="C1775">
        <f>_xlfn.LET(_xlpm.steps,SUBSTITUTE(Table13[[#This Row],[Input]],Table13[[#This Row],[Direction]],""),VALUE(IF(LEN(_xlpm.steps)&gt;2,RIGHT(_xlpm.steps,2),_xlpm.steps)))</f>
        <v>79</v>
      </c>
      <c r="D1775">
        <f>_xlfn.LET(_xlpm.steps,SUBSTITUTE(Table13[[#This Row],[Input]],Table13[[#This Row],[Direction]],""),VALUE(IF(LEN(_xlpm.steps)&gt;2,LEFT(_xlpm.steps,LEN(_xlpm.steps)-2),0)))</f>
        <v>1</v>
      </c>
      <c r="E1775">
        <f>_xlfn.LET(_xlpm.dir,Table13[[#This Row],[Direction]],
IF(_xlpm.dir="L",
    IF(G1774-Table13[[#This Row],[Steps]]&lt;0,100+(G1774-Table13[[#This Row],[Steps]]),G1774-Table13[[#This Row],[Steps]]),
))</f>
        <v>0</v>
      </c>
      <c r="F1775">
        <f>_xlfn.LET(_xlpm.dir,Table13[[#This Row],[Direction]],
IF(_xlpm.dir="R",
    IF(G1774+Table13[[#This Row],[Steps]]&gt;99,(G1774+Table13[[#This Row],[Steps]])-100,G1774+Table13[[#This Row],[Steps]]),
))</f>
        <v>0</v>
      </c>
      <c r="G1775">
        <f>IF(Table13[[#This Row],[New Pos L]]&lt;&gt;0,Table13[[#This Row],[New Pos L]],Table13[[#This Row],[New Pos R]])</f>
        <v>0</v>
      </c>
      <c r="H1775">
        <f>IF(AND(Table13[[#This Row],[Direction]]="L",Table13[[#This Row],[Steps]]&gt;G1774,G1774&lt;&gt;0),1,0)</f>
        <v>0</v>
      </c>
      <c r="I1775">
        <f>IF(AND(Table13[[#This Row],[Direction]]="R",(G1774+Table13[[#This Row],[Steps]])&gt;100),1,0)</f>
        <v>0</v>
      </c>
      <c r="J1775">
        <f>IF(Table13[[#This Row],[POS]]=0,1,0)</f>
        <v>1</v>
      </c>
      <c r="K1775">
        <f>SUM(Table13[[#This Row],[prefix]],Table13[[#This Row],[Past zero L]],Table13[[#This Row],[Past Zero R]],Table13[[#This Row],[Is Zero]])</f>
        <v>2</v>
      </c>
    </row>
    <row r="1776" spans="1:11" ht="16" x14ac:dyDescent="0.2">
      <c r="A1776" s="1" t="s">
        <v>59</v>
      </c>
      <c r="B1776" t="str">
        <f>LEFT(Table13[[#This Row],[Input]],1)</f>
        <v>L</v>
      </c>
      <c r="C1776">
        <f>_xlfn.LET(_xlpm.steps,SUBSTITUTE(Table13[[#This Row],[Input]],Table13[[#This Row],[Direction]],""),VALUE(IF(LEN(_xlpm.steps)&gt;2,RIGHT(_xlpm.steps,2),_xlpm.steps)))</f>
        <v>6</v>
      </c>
      <c r="D1776">
        <f>_xlfn.LET(_xlpm.steps,SUBSTITUTE(Table13[[#This Row],[Input]],Table13[[#This Row],[Direction]],""),VALUE(IF(LEN(_xlpm.steps)&gt;2,LEFT(_xlpm.steps,LEN(_xlpm.steps)-2),0)))</f>
        <v>0</v>
      </c>
      <c r="E1776">
        <f>_xlfn.LET(_xlpm.dir,Table13[[#This Row],[Direction]],
IF(_xlpm.dir="L",
    IF(G1775-Table13[[#This Row],[Steps]]&lt;0,100+(G1775-Table13[[#This Row],[Steps]]),G1775-Table13[[#This Row],[Steps]]),
))</f>
        <v>94</v>
      </c>
      <c r="F1776">
        <f>_xlfn.LET(_xlpm.dir,Table13[[#This Row],[Direction]],
IF(_xlpm.dir="R",
    IF(G1775+Table13[[#This Row],[Steps]]&gt;99,(G1775+Table13[[#This Row],[Steps]])-100,G1775+Table13[[#This Row],[Steps]]),
))</f>
        <v>0</v>
      </c>
      <c r="G1776">
        <f>IF(Table13[[#This Row],[New Pos L]]&lt;&gt;0,Table13[[#This Row],[New Pos L]],Table13[[#This Row],[New Pos R]])</f>
        <v>94</v>
      </c>
      <c r="H1776">
        <f>IF(AND(Table13[[#This Row],[Direction]]="L",Table13[[#This Row],[Steps]]&gt;G1775,G1775&lt;&gt;0),1,0)</f>
        <v>0</v>
      </c>
      <c r="I1776">
        <f>IF(AND(Table13[[#This Row],[Direction]]="R",(G1775+Table13[[#This Row],[Steps]])&gt;100),1,0)</f>
        <v>0</v>
      </c>
      <c r="J1776">
        <f>IF(Table13[[#This Row],[POS]]=0,1,0)</f>
        <v>0</v>
      </c>
      <c r="K1776">
        <f>SUM(Table13[[#This Row],[prefix]],Table13[[#This Row],[Past zero L]],Table13[[#This Row],[Past Zero R]],Table13[[#This Row],[Is Zero]])</f>
        <v>0</v>
      </c>
    </row>
    <row r="1777" spans="1:11" ht="16" x14ac:dyDescent="0.2">
      <c r="A1777" s="1" t="s">
        <v>60</v>
      </c>
      <c r="B1777" t="str">
        <f>LEFT(Table13[[#This Row],[Input]],1)</f>
        <v>R</v>
      </c>
      <c r="C1777">
        <f>_xlfn.LET(_xlpm.steps,SUBSTITUTE(Table13[[#This Row],[Input]],Table13[[#This Row],[Direction]],""),VALUE(IF(LEN(_xlpm.steps)&gt;2,RIGHT(_xlpm.steps,2),_xlpm.steps)))</f>
        <v>86</v>
      </c>
      <c r="D1777">
        <f>_xlfn.LET(_xlpm.steps,SUBSTITUTE(Table13[[#This Row],[Input]],Table13[[#This Row],[Direction]],""),VALUE(IF(LEN(_xlpm.steps)&gt;2,LEFT(_xlpm.steps,LEN(_xlpm.steps)-2),0)))</f>
        <v>0</v>
      </c>
      <c r="E1777">
        <f>_xlfn.LET(_xlpm.dir,Table13[[#This Row],[Direction]],
IF(_xlpm.dir="L",
    IF(G1776-Table13[[#This Row],[Steps]]&lt;0,100+(G1776-Table13[[#This Row],[Steps]]),G1776-Table13[[#This Row],[Steps]]),
))</f>
        <v>0</v>
      </c>
      <c r="F1777">
        <f>_xlfn.LET(_xlpm.dir,Table13[[#This Row],[Direction]],
IF(_xlpm.dir="R",
    IF(G1776+Table13[[#This Row],[Steps]]&gt;99,(G1776+Table13[[#This Row],[Steps]])-100,G1776+Table13[[#This Row],[Steps]]),
))</f>
        <v>80</v>
      </c>
      <c r="G1777">
        <f>IF(Table13[[#This Row],[New Pos L]]&lt;&gt;0,Table13[[#This Row],[New Pos L]],Table13[[#This Row],[New Pos R]])</f>
        <v>80</v>
      </c>
      <c r="H1777">
        <f>IF(AND(Table13[[#This Row],[Direction]]="L",Table13[[#This Row],[Steps]]&gt;G1776,G1776&lt;&gt;0),1,0)</f>
        <v>0</v>
      </c>
      <c r="I1777">
        <f>IF(AND(Table13[[#This Row],[Direction]]="R",(G1776+Table13[[#This Row],[Steps]])&gt;100),1,0)</f>
        <v>1</v>
      </c>
      <c r="J1777">
        <f>IF(Table13[[#This Row],[POS]]=0,1,0)</f>
        <v>0</v>
      </c>
      <c r="K1777">
        <f>SUM(Table13[[#This Row],[prefix]],Table13[[#This Row],[Past zero L]],Table13[[#This Row],[Past Zero R]],Table13[[#This Row],[Is Zero]])</f>
        <v>1</v>
      </c>
    </row>
    <row r="1778" spans="1:11" ht="16" x14ac:dyDescent="0.2">
      <c r="A1778" s="1" t="s">
        <v>187</v>
      </c>
      <c r="B1778" t="str">
        <f>LEFT(Table13[[#This Row],[Input]],1)</f>
        <v>R</v>
      </c>
      <c r="C1778">
        <f>_xlfn.LET(_xlpm.steps,SUBSTITUTE(Table13[[#This Row],[Input]],Table13[[#This Row],[Direction]],""),VALUE(IF(LEN(_xlpm.steps)&gt;2,RIGHT(_xlpm.steps,2),_xlpm.steps)))</f>
        <v>20</v>
      </c>
      <c r="D1778">
        <f>_xlfn.LET(_xlpm.steps,SUBSTITUTE(Table13[[#This Row],[Input]],Table13[[#This Row],[Direction]],""),VALUE(IF(LEN(_xlpm.steps)&gt;2,LEFT(_xlpm.steps,LEN(_xlpm.steps)-2),0)))</f>
        <v>0</v>
      </c>
      <c r="E1778">
        <f>_xlfn.LET(_xlpm.dir,Table13[[#This Row],[Direction]],
IF(_xlpm.dir="L",
    IF(G1777-Table13[[#This Row],[Steps]]&lt;0,100+(G1777-Table13[[#This Row],[Steps]]),G1777-Table13[[#This Row],[Steps]]),
))</f>
        <v>0</v>
      </c>
      <c r="F1778">
        <f>_xlfn.LET(_xlpm.dir,Table13[[#This Row],[Direction]],
IF(_xlpm.dir="R",
    IF(G1777+Table13[[#This Row],[Steps]]&gt;99,(G1777+Table13[[#This Row],[Steps]])-100,G1777+Table13[[#This Row],[Steps]]),
))</f>
        <v>0</v>
      </c>
      <c r="G1778">
        <f>IF(Table13[[#This Row],[New Pos L]]&lt;&gt;0,Table13[[#This Row],[New Pos L]],Table13[[#This Row],[New Pos R]])</f>
        <v>0</v>
      </c>
      <c r="H1778">
        <f>IF(AND(Table13[[#This Row],[Direction]]="L",Table13[[#This Row],[Steps]]&gt;G1777,G1777&lt;&gt;0),1,0)</f>
        <v>0</v>
      </c>
      <c r="I1778">
        <f>IF(AND(Table13[[#This Row],[Direction]]="R",(G1777+Table13[[#This Row],[Steps]])&gt;100),1,0)</f>
        <v>0</v>
      </c>
      <c r="J1778">
        <f>IF(Table13[[#This Row],[POS]]=0,1,0)</f>
        <v>1</v>
      </c>
      <c r="K1778">
        <f>SUM(Table13[[#This Row],[prefix]],Table13[[#This Row],[Past zero L]],Table13[[#This Row],[Past Zero R]],Table13[[#This Row],[Is Zero]])</f>
        <v>1</v>
      </c>
    </row>
    <row r="1779" spans="1:11" ht="16" x14ac:dyDescent="0.2">
      <c r="A1779" s="1" t="s">
        <v>504</v>
      </c>
      <c r="B1779" t="str">
        <f>LEFT(Table13[[#This Row],[Input]],1)</f>
        <v>R</v>
      </c>
      <c r="C1779">
        <f>_xlfn.LET(_xlpm.steps,SUBSTITUTE(Table13[[#This Row],[Input]],Table13[[#This Row],[Direction]],""),VALUE(IF(LEN(_xlpm.steps)&gt;2,RIGHT(_xlpm.steps,2),_xlpm.steps)))</f>
        <v>94</v>
      </c>
      <c r="D1779">
        <f>_xlfn.LET(_xlpm.steps,SUBSTITUTE(Table13[[#This Row],[Input]],Table13[[#This Row],[Direction]],""),VALUE(IF(LEN(_xlpm.steps)&gt;2,LEFT(_xlpm.steps,LEN(_xlpm.steps)-2),0)))</f>
        <v>9</v>
      </c>
      <c r="E1779">
        <f>_xlfn.LET(_xlpm.dir,Table13[[#This Row],[Direction]],
IF(_xlpm.dir="L",
    IF(G1778-Table13[[#This Row],[Steps]]&lt;0,100+(G1778-Table13[[#This Row],[Steps]]),G1778-Table13[[#This Row],[Steps]]),
))</f>
        <v>0</v>
      </c>
      <c r="F1779">
        <f>_xlfn.LET(_xlpm.dir,Table13[[#This Row],[Direction]],
IF(_xlpm.dir="R",
    IF(G1778+Table13[[#This Row],[Steps]]&gt;99,(G1778+Table13[[#This Row],[Steps]])-100,G1778+Table13[[#This Row],[Steps]]),
))</f>
        <v>94</v>
      </c>
      <c r="G1779">
        <f>IF(Table13[[#This Row],[New Pos L]]&lt;&gt;0,Table13[[#This Row],[New Pos L]],Table13[[#This Row],[New Pos R]])</f>
        <v>94</v>
      </c>
      <c r="H1779">
        <f>IF(AND(Table13[[#This Row],[Direction]]="L",Table13[[#This Row],[Steps]]&gt;G1778,G1778&lt;&gt;0),1,0)</f>
        <v>0</v>
      </c>
      <c r="I1779">
        <f>IF(AND(Table13[[#This Row],[Direction]]="R",(G1778+Table13[[#This Row],[Steps]])&gt;100),1,0)</f>
        <v>0</v>
      </c>
      <c r="J1779">
        <f>IF(Table13[[#This Row],[POS]]=0,1,0)</f>
        <v>0</v>
      </c>
      <c r="K1779">
        <f>SUM(Table13[[#This Row],[prefix]],Table13[[#This Row],[Past zero L]],Table13[[#This Row],[Past Zero R]],Table13[[#This Row],[Is Zero]])</f>
        <v>9</v>
      </c>
    </row>
    <row r="1780" spans="1:11" ht="16" x14ac:dyDescent="0.2">
      <c r="A1780" s="1" t="s">
        <v>209</v>
      </c>
      <c r="B1780" t="str">
        <f>LEFT(Table13[[#This Row],[Input]],1)</f>
        <v>L</v>
      </c>
      <c r="C1780">
        <f>_xlfn.LET(_xlpm.steps,SUBSTITUTE(Table13[[#This Row],[Input]],Table13[[#This Row],[Direction]],""),VALUE(IF(LEN(_xlpm.steps)&gt;2,RIGHT(_xlpm.steps,2),_xlpm.steps)))</f>
        <v>86</v>
      </c>
      <c r="D1780">
        <f>_xlfn.LET(_xlpm.steps,SUBSTITUTE(Table13[[#This Row],[Input]],Table13[[#This Row],[Direction]],""),VALUE(IF(LEN(_xlpm.steps)&gt;2,LEFT(_xlpm.steps,LEN(_xlpm.steps)-2),0)))</f>
        <v>0</v>
      </c>
      <c r="E1780">
        <f>_xlfn.LET(_xlpm.dir,Table13[[#This Row],[Direction]],
IF(_xlpm.dir="L",
    IF(G1779-Table13[[#This Row],[Steps]]&lt;0,100+(G1779-Table13[[#This Row],[Steps]]),G1779-Table13[[#This Row],[Steps]]),
))</f>
        <v>8</v>
      </c>
      <c r="F1780">
        <f>_xlfn.LET(_xlpm.dir,Table13[[#This Row],[Direction]],
IF(_xlpm.dir="R",
    IF(G1779+Table13[[#This Row],[Steps]]&gt;99,(G1779+Table13[[#This Row],[Steps]])-100,G1779+Table13[[#This Row],[Steps]]),
))</f>
        <v>0</v>
      </c>
      <c r="G1780">
        <f>IF(Table13[[#This Row],[New Pos L]]&lt;&gt;0,Table13[[#This Row],[New Pos L]],Table13[[#This Row],[New Pos R]])</f>
        <v>8</v>
      </c>
      <c r="H1780">
        <f>IF(AND(Table13[[#This Row],[Direction]]="L",Table13[[#This Row],[Steps]]&gt;G1779,G1779&lt;&gt;0),1,0)</f>
        <v>0</v>
      </c>
      <c r="I1780">
        <f>IF(AND(Table13[[#This Row],[Direction]]="R",(G1779+Table13[[#This Row],[Steps]])&gt;100),1,0)</f>
        <v>0</v>
      </c>
      <c r="J1780">
        <f>IF(Table13[[#This Row],[POS]]=0,1,0)</f>
        <v>0</v>
      </c>
      <c r="K1780">
        <f>SUM(Table13[[#This Row],[prefix]],Table13[[#This Row],[Past zero L]],Table13[[#This Row],[Past Zero R]],Table13[[#This Row],[Is Zero]])</f>
        <v>0</v>
      </c>
    </row>
    <row r="1781" spans="1:11" ht="16" x14ac:dyDescent="0.2">
      <c r="A1781" s="1" t="s">
        <v>364</v>
      </c>
      <c r="B1781" t="str">
        <f>LEFT(Table13[[#This Row],[Input]],1)</f>
        <v>L</v>
      </c>
      <c r="C1781">
        <f>_xlfn.LET(_xlpm.steps,SUBSTITUTE(Table13[[#This Row],[Input]],Table13[[#This Row],[Direction]],""),VALUE(IF(LEN(_xlpm.steps)&gt;2,RIGHT(_xlpm.steps,2),_xlpm.steps)))</f>
        <v>70</v>
      </c>
      <c r="D1781">
        <f>_xlfn.LET(_xlpm.steps,SUBSTITUTE(Table13[[#This Row],[Input]],Table13[[#This Row],[Direction]],""),VALUE(IF(LEN(_xlpm.steps)&gt;2,LEFT(_xlpm.steps,LEN(_xlpm.steps)-2),0)))</f>
        <v>0</v>
      </c>
      <c r="E1781">
        <f>_xlfn.LET(_xlpm.dir,Table13[[#This Row],[Direction]],
IF(_xlpm.dir="L",
    IF(G1780-Table13[[#This Row],[Steps]]&lt;0,100+(G1780-Table13[[#This Row],[Steps]]),G1780-Table13[[#This Row],[Steps]]),
))</f>
        <v>38</v>
      </c>
      <c r="F1781">
        <f>_xlfn.LET(_xlpm.dir,Table13[[#This Row],[Direction]],
IF(_xlpm.dir="R",
    IF(G1780+Table13[[#This Row],[Steps]]&gt;99,(G1780+Table13[[#This Row],[Steps]])-100,G1780+Table13[[#This Row],[Steps]]),
))</f>
        <v>0</v>
      </c>
      <c r="G1781">
        <f>IF(Table13[[#This Row],[New Pos L]]&lt;&gt;0,Table13[[#This Row],[New Pos L]],Table13[[#This Row],[New Pos R]])</f>
        <v>38</v>
      </c>
      <c r="H1781">
        <f>IF(AND(Table13[[#This Row],[Direction]]="L",Table13[[#This Row],[Steps]]&gt;G1780,G1780&lt;&gt;0),1,0)</f>
        <v>1</v>
      </c>
      <c r="I1781">
        <f>IF(AND(Table13[[#This Row],[Direction]]="R",(G1780+Table13[[#This Row],[Steps]])&gt;100),1,0)</f>
        <v>0</v>
      </c>
      <c r="J1781">
        <f>IF(Table13[[#This Row],[POS]]=0,1,0)</f>
        <v>0</v>
      </c>
      <c r="K1781">
        <f>SUM(Table13[[#This Row],[prefix]],Table13[[#This Row],[Past zero L]],Table13[[#This Row],[Past Zero R]],Table13[[#This Row],[Is Zero]])</f>
        <v>1</v>
      </c>
    </row>
    <row r="1782" spans="1:11" ht="16" x14ac:dyDescent="0.2">
      <c r="A1782" s="1" t="s">
        <v>234</v>
      </c>
      <c r="B1782" t="str">
        <f>LEFT(Table13[[#This Row],[Input]],1)</f>
        <v>R</v>
      </c>
      <c r="C1782">
        <f>_xlfn.LET(_xlpm.steps,SUBSTITUTE(Table13[[#This Row],[Input]],Table13[[#This Row],[Direction]],""),VALUE(IF(LEN(_xlpm.steps)&gt;2,RIGHT(_xlpm.steps,2),_xlpm.steps)))</f>
        <v>82</v>
      </c>
      <c r="D1782">
        <f>_xlfn.LET(_xlpm.steps,SUBSTITUTE(Table13[[#This Row],[Input]],Table13[[#This Row],[Direction]],""),VALUE(IF(LEN(_xlpm.steps)&gt;2,LEFT(_xlpm.steps,LEN(_xlpm.steps)-2),0)))</f>
        <v>0</v>
      </c>
      <c r="E1782">
        <f>_xlfn.LET(_xlpm.dir,Table13[[#This Row],[Direction]],
IF(_xlpm.dir="L",
    IF(G1781-Table13[[#This Row],[Steps]]&lt;0,100+(G1781-Table13[[#This Row],[Steps]]),G1781-Table13[[#This Row],[Steps]]),
))</f>
        <v>0</v>
      </c>
      <c r="F1782">
        <f>_xlfn.LET(_xlpm.dir,Table13[[#This Row],[Direction]],
IF(_xlpm.dir="R",
    IF(G1781+Table13[[#This Row],[Steps]]&gt;99,(G1781+Table13[[#This Row],[Steps]])-100,G1781+Table13[[#This Row],[Steps]]),
))</f>
        <v>20</v>
      </c>
      <c r="G1782">
        <f>IF(Table13[[#This Row],[New Pos L]]&lt;&gt;0,Table13[[#This Row],[New Pos L]],Table13[[#This Row],[New Pos R]])</f>
        <v>20</v>
      </c>
      <c r="H1782">
        <f>IF(AND(Table13[[#This Row],[Direction]]="L",Table13[[#This Row],[Steps]]&gt;G1781,G1781&lt;&gt;0),1,0)</f>
        <v>0</v>
      </c>
      <c r="I1782">
        <f>IF(AND(Table13[[#This Row],[Direction]]="R",(G1781+Table13[[#This Row],[Steps]])&gt;100),1,0)</f>
        <v>1</v>
      </c>
      <c r="J1782">
        <f>IF(Table13[[#This Row],[POS]]=0,1,0)</f>
        <v>0</v>
      </c>
      <c r="K1782">
        <f>SUM(Table13[[#This Row],[prefix]],Table13[[#This Row],[Past zero L]],Table13[[#This Row],[Past Zero R]],Table13[[#This Row],[Is Zero]])</f>
        <v>1</v>
      </c>
    </row>
    <row r="1783" spans="1:11" ht="16" x14ac:dyDescent="0.2">
      <c r="A1783" s="1" t="s">
        <v>148</v>
      </c>
      <c r="B1783" t="str">
        <f>LEFT(Table13[[#This Row],[Input]],1)</f>
        <v>R</v>
      </c>
      <c r="C1783">
        <f>_xlfn.LET(_xlpm.steps,SUBSTITUTE(Table13[[#This Row],[Input]],Table13[[#This Row],[Direction]],""),VALUE(IF(LEN(_xlpm.steps)&gt;2,RIGHT(_xlpm.steps,2),_xlpm.steps)))</f>
        <v>80</v>
      </c>
      <c r="D1783">
        <f>_xlfn.LET(_xlpm.steps,SUBSTITUTE(Table13[[#This Row],[Input]],Table13[[#This Row],[Direction]],""),VALUE(IF(LEN(_xlpm.steps)&gt;2,LEFT(_xlpm.steps,LEN(_xlpm.steps)-2),0)))</f>
        <v>0</v>
      </c>
      <c r="E1783">
        <f>_xlfn.LET(_xlpm.dir,Table13[[#This Row],[Direction]],
IF(_xlpm.dir="L",
    IF(G1782-Table13[[#This Row],[Steps]]&lt;0,100+(G1782-Table13[[#This Row],[Steps]]),G1782-Table13[[#This Row],[Steps]]),
))</f>
        <v>0</v>
      </c>
      <c r="F1783">
        <f>_xlfn.LET(_xlpm.dir,Table13[[#This Row],[Direction]],
IF(_xlpm.dir="R",
    IF(G1782+Table13[[#This Row],[Steps]]&gt;99,(G1782+Table13[[#This Row],[Steps]])-100,G1782+Table13[[#This Row],[Steps]]),
))</f>
        <v>0</v>
      </c>
      <c r="G1783">
        <f>IF(Table13[[#This Row],[New Pos L]]&lt;&gt;0,Table13[[#This Row],[New Pos L]],Table13[[#This Row],[New Pos R]])</f>
        <v>0</v>
      </c>
      <c r="H1783">
        <f>IF(AND(Table13[[#This Row],[Direction]]="L",Table13[[#This Row],[Steps]]&gt;G1782,G1782&lt;&gt;0),1,0)</f>
        <v>0</v>
      </c>
      <c r="I1783">
        <f>IF(AND(Table13[[#This Row],[Direction]]="R",(G1782+Table13[[#This Row],[Steps]])&gt;100),1,0)</f>
        <v>0</v>
      </c>
      <c r="J1783">
        <f>IF(Table13[[#This Row],[POS]]=0,1,0)</f>
        <v>1</v>
      </c>
      <c r="K1783">
        <f>SUM(Table13[[#This Row],[prefix]],Table13[[#This Row],[Past zero L]],Table13[[#This Row],[Past Zero R]],Table13[[#This Row],[Is Zero]])</f>
        <v>1</v>
      </c>
    </row>
    <row r="1784" spans="1:11" ht="16" x14ac:dyDescent="0.2">
      <c r="A1784" s="1" t="s">
        <v>9</v>
      </c>
      <c r="B1784" t="str">
        <f>LEFT(Table13[[#This Row],[Input]],1)</f>
        <v>L</v>
      </c>
      <c r="C1784">
        <f>_xlfn.LET(_xlpm.steps,SUBSTITUTE(Table13[[#This Row],[Input]],Table13[[#This Row],[Direction]],""),VALUE(IF(LEN(_xlpm.steps)&gt;2,RIGHT(_xlpm.steps,2),_xlpm.steps)))</f>
        <v>9</v>
      </c>
      <c r="D1784">
        <f>_xlfn.LET(_xlpm.steps,SUBSTITUTE(Table13[[#This Row],[Input]],Table13[[#This Row],[Direction]],""),VALUE(IF(LEN(_xlpm.steps)&gt;2,LEFT(_xlpm.steps,LEN(_xlpm.steps)-2),0)))</f>
        <v>0</v>
      </c>
      <c r="E1784">
        <f>_xlfn.LET(_xlpm.dir,Table13[[#This Row],[Direction]],
IF(_xlpm.dir="L",
    IF(G1783-Table13[[#This Row],[Steps]]&lt;0,100+(G1783-Table13[[#This Row],[Steps]]),G1783-Table13[[#This Row],[Steps]]),
))</f>
        <v>91</v>
      </c>
      <c r="F1784">
        <f>_xlfn.LET(_xlpm.dir,Table13[[#This Row],[Direction]],
IF(_xlpm.dir="R",
    IF(G1783+Table13[[#This Row],[Steps]]&gt;99,(G1783+Table13[[#This Row],[Steps]])-100,G1783+Table13[[#This Row],[Steps]]),
))</f>
        <v>0</v>
      </c>
      <c r="G1784">
        <f>IF(Table13[[#This Row],[New Pos L]]&lt;&gt;0,Table13[[#This Row],[New Pos L]],Table13[[#This Row],[New Pos R]])</f>
        <v>91</v>
      </c>
      <c r="H1784">
        <f>IF(AND(Table13[[#This Row],[Direction]]="L",Table13[[#This Row],[Steps]]&gt;G1783,G1783&lt;&gt;0),1,0)</f>
        <v>0</v>
      </c>
      <c r="I1784">
        <f>IF(AND(Table13[[#This Row],[Direction]]="R",(G1783+Table13[[#This Row],[Steps]])&gt;100),1,0)</f>
        <v>0</v>
      </c>
      <c r="J1784">
        <f>IF(Table13[[#This Row],[POS]]=0,1,0)</f>
        <v>0</v>
      </c>
      <c r="K1784">
        <f>SUM(Table13[[#This Row],[prefix]],Table13[[#This Row],[Past zero L]],Table13[[#This Row],[Past Zero R]],Table13[[#This Row],[Is Zero]])</f>
        <v>0</v>
      </c>
    </row>
    <row r="1785" spans="1:11" ht="16" x14ac:dyDescent="0.2">
      <c r="A1785" s="1" t="s">
        <v>505</v>
      </c>
      <c r="B1785" t="str">
        <f>LEFT(Table13[[#This Row],[Input]],1)</f>
        <v>L</v>
      </c>
      <c r="C1785">
        <f>_xlfn.LET(_xlpm.steps,SUBSTITUTE(Table13[[#This Row],[Input]],Table13[[#This Row],[Direction]],""),VALUE(IF(LEN(_xlpm.steps)&gt;2,RIGHT(_xlpm.steps,2),_xlpm.steps)))</f>
        <v>91</v>
      </c>
      <c r="D1785">
        <f>_xlfn.LET(_xlpm.steps,SUBSTITUTE(Table13[[#This Row],[Input]],Table13[[#This Row],[Direction]],""),VALUE(IF(LEN(_xlpm.steps)&gt;2,LEFT(_xlpm.steps,LEN(_xlpm.steps)-2),0)))</f>
        <v>9</v>
      </c>
      <c r="E1785">
        <f>_xlfn.LET(_xlpm.dir,Table13[[#This Row],[Direction]],
IF(_xlpm.dir="L",
    IF(G1784-Table13[[#This Row],[Steps]]&lt;0,100+(G1784-Table13[[#This Row],[Steps]]),G1784-Table13[[#This Row],[Steps]]),
))</f>
        <v>0</v>
      </c>
      <c r="F1785">
        <f>_xlfn.LET(_xlpm.dir,Table13[[#This Row],[Direction]],
IF(_xlpm.dir="R",
    IF(G1784+Table13[[#This Row],[Steps]]&gt;99,(G1784+Table13[[#This Row],[Steps]])-100,G1784+Table13[[#This Row],[Steps]]),
))</f>
        <v>0</v>
      </c>
      <c r="G1785">
        <f>IF(Table13[[#This Row],[New Pos L]]&lt;&gt;0,Table13[[#This Row],[New Pos L]],Table13[[#This Row],[New Pos R]])</f>
        <v>0</v>
      </c>
      <c r="H1785">
        <f>IF(AND(Table13[[#This Row],[Direction]]="L",Table13[[#This Row],[Steps]]&gt;G1784,G1784&lt;&gt;0),1,0)</f>
        <v>0</v>
      </c>
      <c r="I1785">
        <f>IF(AND(Table13[[#This Row],[Direction]]="R",(G1784+Table13[[#This Row],[Steps]])&gt;100),1,0)</f>
        <v>0</v>
      </c>
      <c r="J1785">
        <f>IF(Table13[[#This Row],[POS]]=0,1,0)</f>
        <v>1</v>
      </c>
      <c r="K1785">
        <f>SUM(Table13[[#This Row],[prefix]],Table13[[#This Row],[Past zero L]],Table13[[#This Row],[Past Zero R]],Table13[[#This Row],[Is Zero]])</f>
        <v>10</v>
      </c>
    </row>
    <row r="1786" spans="1:11" ht="16" x14ac:dyDescent="0.2">
      <c r="A1786" s="1" t="s">
        <v>60</v>
      </c>
      <c r="B1786" t="str">
        <f>LEFT(Table13[[#This Row],[Input]],1)</f>
        <v>R</v>
      </c>
      <c r="C1786">
        <f>_xlfn.LET(_xlpm.steps,SUBSTITUTE(Table13[[#This Row],[Input]],Table13[[#This Row],[Direction]],""),VALUE(IF(LEN(_xlpm.steps)&gt;2,RIGHT(_xlpm.steps,2),_xlpm.steps)))</f>
        <v>86</v>
      </c>
      <c r="D1786">
        <f>_xlfn.LET(_xlpm.steps,SUBSTITUTE(Table13[[#This Row],[Input]],Table13[[#This Row],[Direction]],""),VALUE(IF(LEN(_xlpm.steps)&gt;2,LEFT(_xlpm.steps,LEN(_xlpm.steps)-2),0)))</f>
        <v>0</v>
      </c>
      <c r="E1786">
        <f>_xlfn.LET(_xlpm.dir,Table13[[#This Row],[Direction]],
IF(_xlpm.dir="L",
    IF(G1785-Table13[[#This Row],[Steps]]&lt;0,100+(G1785-Table13[[#This Row],[Steps]]),G1785-Table13[[#This Row],[Steps]]),
))</f>
        <v>0</v>
      </c>
      <c r="F1786">
        <f>_xlfn.LET(_xlpm.dir,Table13[[#This Row],[Direction]],
IF(_xlpm.dir="R",
    IF(G1785+Table13[[#This Row],[Steps]]&gt;99,(G1785+Table13[[#This Row],[Steps]])-100,G1785+Table13[[#This Row],[Steps]]),
))</f>
        <v>86</v>
      </c>
      <c r="G1786">
        <f>IF(Table13[[#This Row],[New Pos L]]&lt;&gt;0,Table13[[#This Row],[New Pos L]],Table13[[#This Row],[New Pos R]])</f>
        <v>86</v>
      </c>
      <c r="H1786">
        <f>IF(AND(Table13[[#This Row],[Direction]]="L",Table13[[#This Row],[Steps]]&gt;G1785,G1785&lt;&gt;0),1,0)</f>
        <v>0</v>
      </c>
      <c r="I1786">
        <f>IF(AND(Table13[[#This Row],[Direction]]="R",(G1785+Table13[[#This Row],[Steps]])&gt;100),1,0)</f>
        <v>0</v>
      </c>
      <c r="J1786">
        <f>IF(Table13[[#This Row],[POS]]=0,1,0)</f>
        <v>0</v>
      </c>
      <c r="K1786">
        <f>SUM(Table13[[#This Row],[prefix]],Table13[[#This Row],[Past zero L]],Table13[[#This Row],[Past Zero R]],Table13[[#This Row],[Is Zero]])</f>
        <v>0</v>
      </c>
    </row>
    <row r="1787" spans="1:11" ht="16" x14ac:dyDescent="0.2">
      <c r="A1787" s="1" t="s">
        <v>136</v>
      </c>
      <c r="B1787" t="str">
        <f>LEFT(Table13[[#This Row],[Input]],1)</f>
        <v>L</v>
      </c>
      <c r="C1787">
        <f>_xlfn.LET(_xlpm.steps,SUBSTITUTE(Table13[[#This Row],[Input]],Table13[[#This Row],[Direction]],""),VALUE(IF(LEN(_xlpm.steps)&gt;2,RIGHT(_xlpm.steps,2),_xlpm.steps)))</f>
        <v>72</v>
      </c>
      <c r="D1787">
        <f>_xlfn.LET(_xlpm.steps,SUBSTITUTE(Table13[[#This Row],[Input]],Table13[[#This Row],[Direction]],""),VALUE(IF(LEN(_xlpm.steps)&gt;2,LEFT(_xlpm.steps,LEN(_xlpm.steps)-2),0)))</f>
        <v>0</v>
      </c>
      <c r="E1787">
        <f>_xlfn.LET(_xlpm.dir,Table13[[#This Row],[Direction]],
IF(_xlpm.dir="L",
    IF(G1786-Table13[[#This Row],[Steps]]&lt;0,100+(G1786-Table13[[#This Row],[Steps]]),G1786-Table13[[#This Row],[Steps]]),
))</f>
        <v>14</v>
      </c>
      <c r="F1787">
        <f>_xlfn.LET(_xlpm.dir,Table13[[#This Row],[Direction]],
IF(_xlpm.dir="R",
    IF(G1786+Table13[[#This Row],[Steps]]&gt;99,(G1786+Table13[[#This Row],[Steps]])-100,G1786+Table13[[#This Row],[Steps]]),
))</f>
        <v>0</v>
      </c>
      <c r="G1787">
        <f>IF(Table13[[#This Row],[New Pos L]]&lt;&gt;0,Table13[[#This Row],[New Pos L]],Table13[[#This Row],[New Pos R]])</f>
        <v>14</v>
      </c>
      <c r="H1787">
        <f>IF(AND(Table13[[#This Row],[Direction]]="L",Table13[[#This Row],[Steps]]&gt;G1786,G1786&lt;&gt;0),1,0)</f>
        <v>0</v>
      </c>
      <c r="I1787">
        <f>IF(AND(Table13[[#This Row],[Direction]]="R",(G1786+Table13[[#This Row],[Steps]])&gt;100),1,0)</f>
        <v>0</v>
      </c>
      <c r="J1787">
        <f>IF(Table13[[#This Row],[POS]]=0,1,0)</f>
        <v>0</v>
      </c>
      <c r="K1787">
        <f>SUM(Table13[[#This Row],[prefix]],Table13[[#This Row],[Past zero L]],Table13[[#This Row],[Past Zero R]],Table13[[#This Row],[Is Zero]])</f>
        <v>0</v>
      </c>
    </row>
    <row r="1788" spans="1:11" ht="16" x14ac:dyDescent="0.2">
      <c r="A1788" s="1" t="s">
        <v>506</v>
      </c>
      <c r="B1788" t="str">
        <f>LEFT(Table13[[#This Row],[Input]],1)</f>
        <v>L</v>
      </c>
      <c r="C1788">
        <f>_xlfn.LET(_xlpm.steps,SUBSTITUTE(Table13[[#This Row],[Input]],Table13[[#This Row],[Direction]],""),VALUE(IF(LEN(_xlpm.steps)&gt;2,RIGHT(_xlpm.steps,2),_xlpm.steps)))</f>
        <v>14</v>
      </c>
      <c r="D1788">
        <f>_xlfn.LET(_xlpm.steps,SUBSTITUTE(Table13[[#This Row],[Input]],Table13[[#This Row],[Direction]],""),VALUE(IF(LEN(_xlpm.steps)&gt;2,LEFT(_xlpm.steps,LEN(_xlpm.steps)-2),0)))</f>
        <v>8</v>
      </c>
      <c r="E1788">
        <f>_xlfn.LET(_xlpm.dir,Table13[[#This Row],[Direction]],
IF(_xlpm.dir="L",
    IF(G1787-Table13[[#This Row],[Steps]]&lt;0,100+(G1787-Table13[[#This Row],[Steps]]),G1787-Table13[[#This Row],[Steps]]),
))</f>
        <v>0</v>
      </c>
      <c r="F1788">
        <f>_xlfn.LET(_xlpm.dir,Table13[[#This Row],[Direction]],
IF(_xlpm.dir="R",
    IF(G1787+Table13[[#This Row],[Steps]]&gt;99,(G1787+Table13[[#This Row],[Steps]])-100,G1787+Table13[[#This Row],[Steps]]),
))</f>
        <v>0</v>
      </c>
      <c r="G1788">
        <f>IF(Table13[[#This Row],[New Pos L]]&lt;&gt;0,Table13[[#This Row],[New Pos L]],Table13[[#This Row],[New Pos R]])</f>
        <v>0</v>
      </c>
      <c r="H1788">
        <f>IF(AND(Table13[[#This Row],[Direction]]="L",Table13[[#This Row],[Steps]]&gt;G1787,G1787&lt;&gt;0),1,0)</f>
        <v>0</v>
      </c>
      <c r="I1788">
        <f>IF(AND(Table13[[#This Row],[Direction]]="R",(G1787+Table13[[#This Row],[Steps]])&gt;100),1,0)</f>
        <v>0</v>
      </c>
      <c r="J1788">
        <f>IF(Table13[[#This Row],[POS]]=0,1,0)</f>
        <v>1</v>
      </c>
      <c r="K1788">
        <f>SUM(Table13[[#This Row],[prefix]],Table13[[#This Row],[Past zero L]],Table13[[#This Row],[Past Zero R]],Table13[[#This Row],[Is Zero]])</f>
        <v>9</v>
      </c>
    </row>
    <row r="1789" spans="1:11" ht="16" x14ac:dyDescent="0.2">
      <c r="A1789" s="1" t="s">
        <v>158</v>
      </c>
      <c r="B1789" t="str">
        <f>LEFT(Table13[[#This Row],[Input]],1)</f>
        <v>L</v>
      </c>
      <c r="C1789">
        <f>_xlfn.LET(_xlpm.steps,SUBSTITUTE(Table13[[#This Row],[Input]],Table13[[#This Row],[Direction]],""),VALUE(IF(LEN(_xlpm.steps)&gt;2,RIGHT(_xlpm.steps,2),_xlpm.steps)))</f>
        <v>24</v>
      </c>
      <c r="D1789">
        <f>_xlfn.LET(_xlpm.steps,SUBSTITUTE(Table13[[#This Row],[Input]],Table13[[#This Row],[Direction]],""),VALUE(IF(LEN(_xlpm.steps)&gt;2,LEFT(_xlpm.steps,LEN(_xlpm.steps)-2),0)))</f>
        <v>0</v>
      </c>
      <c r="E1789">
        <f>_xlfn.LET(_xlpm.dir,Table13[[#This Row],[Direction]],
IF(_xlpm.dir="L",
    IF(G1788-Table13[[#This Row],[Steps]]&lt;0,100+(G1788-Table13[[#This Row],[Steps]]),G1788-Table13[[#This Row],[Steps]]),
))</f>
        <v>76</v>
      </c>
      <c r="F1789">
        <f>_xlfn.LET(_xlpm.dir,Table13[[#This Row],[Direction]],
IF(_xlpm.dir="R",
    IF(G1788+Table13[[#This Row],[Steps]]&gt;99,(G1788+Table13[[#This Row],[Steps]])-100,G1788+Table13[[#This Row],[Steps]]),
))</f>
        <v>0</v>
      </c>
      <c r="G1789">
        <f>IF(Table13[[#This Row],[New Pos L]]&lt;&gt;0,Table13[[#This Row],[New Pos L]],Table13[[#This Row],[New Pos R]])</f>
        <v>76</v>
      </c>
      <c r="H1789">
        <f>IF(AND(Table13[[#This Row],[Direction]]="L",Table13[[#This Row],[Steps]]&gt;G1788,G1788&lt;&gt;0),1,0)</f>
        <v>0</v>
      </c>
      <c r="I1789">
        <f>IF(AND(Table13[[#This Row],[Direction]]="R",(G1788+Table13[[#This Row],[Steps]])&gt;100),1,0)</f>
        <v>0</v>
      </c>
      <c r="J1789">
        <f>IF(Table13[[#This Row],[POS]]=0,1,0)</f>
        <v>0</v>
      </c>
      <c r="K1789">
        <f>SUM(Table13[[#This Row],[prefix]],Table13[[#This Row],[Past zero L]],Table13[[#This Row],[Past Zero R]],Table13[[#This Row],[Is Zero]])</f>
        <v>0</v>
      </c>
    </row>
    <row r="1790" spans="1:11" ht="16" x14ac:dyDescent="0.2">
      <c r="A1790" s="1" t="s">
        <v>172</v>
      </c>
      <c r="B1790" t="str">
        <f>LEFT(Table13[[#This Row],[Input]],1)</f>
        <v>L</v>
      </c>
      <c r="C1790">
        <f>_xlfn.LET(_xlpm.steps,SUBSTITUTE(Table13[[#This Row],[Input]],Table13[[#This Row],[Direction]],""),VALUE(IF(LEN(_xlpm.steps)&gt;2,RIGHT(_xlpm.steps,2),_xlpm.steps)))</f>
        <v>66</v>
      </c>
      <c r="D1790">
        <f>_xlfn.LET(_xlpm.steps,SUBSTITUTE(Table13[[#This Row],[Input]],Table13[[#This Row],[Direction]],""),VALUE(IF(LEN(_xlpm.steps)&gt;2,LEFT(_xlpm.steps,LEN(_xlpm.steps)-2),0)))</f>
        <v>0</v>
      </c>
      <c r="E1790">
        <f>_xlfn.LET(_xlpm.dir,Table13[[#This Row],[Direction]],
IF(_xlpm.dir="L",
    IF(G1789-Table13[[#This Row],[Steps]]&lt;0,100+(G1789-Table13[[#This Row],[Steps]]),G1789-Table13[[#This Row],[Steps]]),
))</f>
        <v>10</v>
      </c>
      <c r="F1790">
        <f>_xlfn.LET(_xlpm.dir,Table13[[#This Row],[Direction]],
IF(_xlpm.dir="R",
    IF(G1789+Table13[[#This Row],[Steps]]&gt;99,(G1789+Table13[[#This Row],[Steps]])-100,G1789+Table13[[#This Row],[Steps]]),
))</f>
        <v>0</v>
      </c>
      <c r="G1790">
        <f>IF(Table13[[#This Row],[New Pos L]]&lt;&gt;0,Table13[[#This Row],[New Pos L]],Table13[[#This Row],[New Pos R]])</f>
        <v>10</v>
      </c>
      <c r="H1790">
        <f>IF(AND(Table13[[#This Row],[Direction]]="L",Table13[[#This Row],[Steps]]&gt;G1789,G1789&lt;&gt;0),1,0)</f>
        <v>0</v>
      </c>
      <c r="I1790">
        <f>IF(AND(Table13[[#This Row],[Direction]]="R",(G1789+Table13[[#This Row],[Steps]])&gt;100),1,0)</f>
        <v>0</v>
      </c>
      <c r="J1790">
        <f>IF(Table13[[#This Row],[POS]]=0,1,0)</f>
        <v>0</v>
      </c>
      <c r="K1790">
        <f>SUM(Table13[[#This Row],[prefix]],Table13[[#This Row],[Past zero L]],Table13[[#This Row],[Past Zero R]],Table13[[#This Row],[Is Zero]])</f>
        <v>0</v>
      </c>
    </row>
    <row r="1791" spans="1:11" ht="16" x14ac:dyDescent="0.2">
      <c r="A1791" s="1" t="s">
        <v>309</v>
      </c>
      <c r="B1791" t="str">
        <f>LEFT(Table13[[#This Row],[Input]],1)</f>
        <v>L</v>
      </c>
      <c r="C1791">
        <f>_xlfn.LET(_xlpm.steps,SUBSTITUTE(Table13[[#This Row],[Input]],Table13[[#This Row],[Direction]],""),VALUE(IF(LEN(_xlpm.steps)&gt;2,RIGHT(_xlpm.steps,2),_xlpm.steps)))</f>
        <v>41</v>
      </c>
      <c r="D1791">
        <f>_xlfn.LET(_xlpm.steps,SUBSTITUTE(Table13[[#This Row],[Input]],Table13[[#This Row],[Direction]],""),VALUE(IF(LEN(_xlpm.steps)&gt;2,LEFT(_xlpm.steps,LEN(_xlpm.steps)-2),0)))</f>
        <v>0</v>
      </c>
      <c r="E1791">
        <f>_xlfn.LET(_xlpm.dir,Table13[[#This Row],[Direction]],
IF(_xlpm.dir="L",
    IF(G1790-Table13[[#This Row],[Steps]]&lt;0,100+(G1790-Table13[[#This Row],[Steps]]),G1790-Table13[[#This Row],[Steps]]),
))</f>
        <v>69</v>
      </c>
      <c r="F1791">
        <f>_xlfn.LET(_xlpm.dir,Table13[[#This Row],[Direction]],
IF(_xlpm.dir="R",
    IF(G1790+Table13[[#This Row],[Steps]]&gt;99,(G1790+Table13[[#This Row],[Steps]])-100,G1790+Table13[[#This Row],[Steps]]),
))</f>
        <v>0</v>
      </c>
      <c r="G1791">
        <f>IF(Table13[[#This Row],[New Pos L]]&lt;&gt;0,Table13[[#This Row],[New Pos L]],Table13[[#This Row],[New Pos R]])</f>
        <v>69</v>
      </c>
      <c r="H1791">
        <f>IF(AND(Table13[[#This Row],[Direction]]="L",Table13[[#This Row],[Steps]]&gt;G1790,G1790&lt;&gt;0),1,0)</f>
        <v>1</v>
      </c>
      <c r="I1791">
        <f>IF(AND(Table13[[#This Row],[Direction]]="R",(G1790+Table13[[#This Row],[Steps]])&gt;100),1,0)</f>
        <v>0</v>
      </c>
      <c r="J1791">
        <f>IF(Table13[[#This Row],[POS]]=0,1,0)</f>
        <v>0</v>
      </c>
      <c r="K1791">
        <f>SUM(Table13[[#This Row],[prefix]],Table13[[#This Row],[Past zero L]],Table13[[#This Row],[Past Zero R]],Table13[[#This Row],[Is Zero]])</f>
        <v>1</v>
      </c>
    </row>
    <row r="1792" spans="1:11" ht="16" x14ac:dyDescent="0.2">
      <c r="A1792" s="1" t="s">
        <v>121</v>
      </c>
      <c r="B1792" t="str">
        <f>LEFT(Table13[[#This Row],[Input]],1)</f>
        <v>L</v>
      </c>
      <c r="C1792">
        <f>_xlfn.LET(_xlpm.steps,SUBSTITUTE(Table13[[#This Row],[Input]],Table13[[#This Row],[Direction]],""),VALUE(IF(LEN(_xlpm.steps)&gt;2,RIGHT(_xlpm.steps,2),_xlpm.steps)))</f>
        <v>69</v>
      </c>
      <c r="D1792">
        <f>_xlfn.LET(_xlpm.steps,SUBSTITUTE(Table13[[#This Row],[Input]],Table13[[#This Row],[Direction]],""),VALUE(IF(LEN(_xlpm.steps)&gt;2,LEFT(_xlpm.steps,LEN(_xlpm.steps)-2),0)))</f>
        <v>0</v>
      </c>
      <c r="E1792">
        <f>_xlfn.LET(_xlpm.dir,Table13[[#This Row],[Direction]],
IF(_xlpm.dir="L",
    IF(G1791-Table13[[#This Row],[Steps]]&lt;0,100+(G1791-Table13[[#This Row],[Steps]]),G1791-Table13[[#This Row],[Steps]]),
))</f>
        <v>0</v>
      </c>
      <c r="F1792">
        <f>_xlfn.LET(_xlpm.dir,Table13[[#This Row],[Direction]],
IF(_xlpm.dir="R",
    IF(G1791+Table13[[#This Row],[Steps]]&gt;99,(G1791+Table13[[#This Row],[Steps]])-100,G1791+Table13[[#This Row],[Steps]]),
))</f>
        <v>0</v>
      </c>
      <c r="G1792">
        <f>IF(Table13[[#This Row],[New Pos L]]&lt;&gt;0,Table13[[#This Row],[New Pos L]],Table13[[#This Row],[New Pos R]])</f>
        <v>0</v>
      </c>
      <c r="H1792">
        <f>IF(AND(Table13[[#This Row],[Direction]]="L",Table13[[#This Row],[Steps]]&gt;G1791,G1791&lt;&gt;0),1,0)</f>
        <v>0</v>
      </c>
      <c r="I1792">
        <f>IF(AND(Table13[[#This Row],[Direction]]="R",(G1791+Table13[[#This Row],[Steps]])&gt;100),1,0)</f>
        <v>0</v>
      </c>
      <c r="J1792">
        <f>IF(Table13[[#This Row],[POS]]=0,1,0)</f>
        <v>1</v>
      </c>
      <c r="K1792">
        <f>SUM(Table13[[#This Row],[prefix]],Table13[[#This Row],[Past zero L]],Table13[[#This Row],[Past Zero R]],Table13[[#This Row],[Is Zero]])</f>
        <v>1</v>
      </c>
    </row>
    <row r="1793" spans="1:11" ht="16" x14ac:dyDescent="0.2">
      <c r="A1793" s="1" t="s">
        <v>507</v>
      </c>
      <c r="B1793" t="str">
        <f>LEFT(Table13[[#This Row],[Input]],1)</f>
        <v>L</v>
      </c>
      <c r="C1793">
        <f>_xlfn.LET(_xlpm.steps,SUBSTITUTE(Table13[[#This Row],[Input]],Table13[[#This Row],[Direction]],""),VALUE(IF(LEN(_xlpm.steps)&gt;2,RIGHT(_xlpm.steps,2),_xlpm.steps)))</f>
        <v>97</v>
      </c>
      <c r="D1793">
        <f>_xlfn.LET(_xlpm.steps,SUBSTITUTE(Table13[[#This Row],[Input]],Table13[[#This Row],[Direction]],""),VALUE(IF(LEN(_xlpm.steps)&gt;2,LEFT(_xlpm.steps,LEN(_xlpm.steps)-2),0)))</f>
        <v>8</v>
      </c>
      <c r="E1793">
        <f>_xlfn.LET(_xlpm.dir,Table13[[#This Row],[Direction]],
IF(_xlpm.dir="L",
    IF(G1792-Table13[[#This Row],[Steps]]&lt;0,100+(G1792-Table13[[#This Row],[Steps]]),G1792-Table13[[#This Row],[Steps]]),
))</f>
        <v>3</v>
      </c>
      <c r="F1793">
        <f>_xlfn.LET(_xlpm.dir,Table13[[#This Row],[Direction]],
IF(_xlpm.dir="R",
    IF(G1792+Table13[[#This Row],[Steps]]&gt;99,(G1792+Table13[[#This Row],[Steps]])-100,G1792+Table13[[#This Row],[Steps]]),
))</f>
        <v>0</v>
      </c>
      <c r="G1793">
        <f>IF(Table13[[#This Row],[New Pos L]]&lt;&gt;0,Table13[[#This Row],[New Pos L]],Table13[[#This Row],[New Pos R]])</f>
        <v>3</v>
      </c>
      <c r="H1793">
        <f>IF(AND(Table13[[#This Row],[Direction]]="L",Table13[[#This Row],[Steps]]&gt;G1792,G1792&lt;&gt;0),1,0)</f>
        <v>0</v>
      </c>
      <c r="I1793">
        <f>IF(AND(Table13[[#This Row],[Direction]]="R",(G1792+Table13[[#This Row],[Steps]])&gt;100),1,0)</f>
        <v>0</v>
      </c>
      <c r="J1793">
        <f>IF(Table13[[#This Row],[POS]]=0,1,0)</f>
        <v>0</v>
      </c>
      <c r="K1793">
        <f>SUM(Table13[[#This Row],[prefix]],Table13[[#This Row],[Past zero L]],Table13[[#This Row],[Past Zero R]],Table13[[#This Row],[Is Zero]])</f>
        <v>8</v>
      </c>
    </row>
    <row r="1794" spans="1:11" ht="16" x14ac:dyDescent="0.2">
      <c r="A1794" s="1" t="s">
        <v>508</v>
      </c>
      <c r="B1794" t="str">
        <f>LEFT(Table13[[#This Row],[Input]],1)</f>
        <v>R</v>
      </c>
      <c r="C1794">
        <f>_xlfn.LET(_xlpm.steps,SUBSTITUTE(Table13[[#This Row],[Input]],Table13[[#This Row],[Direction]],""),VALUE(IF(LEN(_xlpm.steps)&gt;2,RIGHT(_xlpm.steps,2),_xlpm.steps)))</f>
        <v>59</v>
      </c>
      <c r="D1794">
        <f>_xlfn.LET(_xlpm.steps,SUBSTITUTE(Table13[[#This Row],[Input]],Table13[[#This Row],[Direction]],""),VALUE(IF(LEN(_xlpm.steps)&gt;2,LEFT(_xlpm.steps,LEN(_xlpm.steps)-2),0)))</f>
        <v>2</v>
      </c>
      <c r="E1794">
        <f>_xlfn.LET(_xlpm.dir,Table13[[#This Row],[Direction]],
IF(_xlpm.dir="L",
    IF(G1793-Table13[[#This Row],[Steps]]&lt;0,100+(G1793-Table13[[#This Row],[Steps]]),G1793-Table13[[#This Row],[Steps]]),
))</f>
        <v>0</v>
      </c>
      <c r="F1794">
        <f>_xlfn.LET(_xlpm.dir,Table13[[#This Row],[Direction]],
IF(_xlpm.dir="R",
    IF(G1793+Table13[[#This Row],[Steps]]&gt;99,(G1793+Table13[[#This Row],[Steps]])-100,G1793+Table13[[#This Row],[Steps]]),
))</f>
        <v>62</v>
      </c>
      <c r="G1794">
        <f>IF(Table13[[#This Row],[New Pos L]]&lt;&gt;0,Table13[[#This Row],[New Pos L]],Table13[[#This Row],[New Pos R]])</f>
        <v>62</v>
      </c>
      <c r="H1794">
        <f>IF(AND(Table13[[#This Row],[Direction]]="L",Table13[[#This Row],[Steps]]&gt;G1793,G1793&lt;&gt;0),1,0)</f>
        <v>0</v>
      </c>
      <c r="I1794">
        <f>IF(AND(Table13[[#This Row],[Direction]]="R",(G1793+Table13[[#This Row],[Steps]])&gt;100),1,0)</f>
        <v>0</v>
      </c>
      <c r="J1794">
        <f>IF(Table13[[#This Row],[POS]]=0,1,0)</f>
        <v>0</v>
      </c>
      <c r="K1794">
        <f>SUM(Table13[[#This Row],[prefix]],Table13[[#This Row],[Past zero L]],Table13[[#This Row],[Past Zero R]],Table13[[#This Row],[Is Zero]])</f>
        <v>2</v>
      </c>
    </row>
    <row r="1795" spans="1:11" ht="16" x14ac:dyDescent="0.2">
      <c r="A1795" s="1" t="s">
        <v>129</v>
      </c>
      <c r="B1795" t="str">
        <f>LEFT(Table13[[#This Row],[Input]],1)</f>
        <v>R</v>
      </c>
      <c r="C1795">
        <f>_xlfn.LET(_xlpm.steps,SUBSTITUTE(Table13[[#This Row],[Input]],Table13[[#This Row],[Direction]],""),VALUE(IF(LEN(_xlpm.steps)&gt;2,RIGHT(_xlpm.steps,2),_xlpm.steps)))</f>
        <v>8</v>
      </c>
      <c r="D1795">
        <f>_xlfn.LET(_xlpm.steps,SUBSTITUTE(Table13[[#This Row],[Input]],Table13[[#This Row],[Direction]],""),VALUE(IF(LEN(_xlpm.steps)&gt;2,LEFT(_xlpm.steps,LEN(_xlpm.steps)-2),0)))</f>
        <v>0</v>
      </c>
      <c r="E1795">
        <f>_xlfn.LET(_xlpm.dir,Table13[[#This Row],[Direction]],
IF(_xlpm.dir="L",
    IF(G1794-Table13[[#This Row],[Steps]]&lt;0,100+(G1794-Table13[[#This Row],[Steps]]),G1794-Table13[[#This Row],[Steps]]),
))</f>
        <v>0</v>
      </c>
      <c r="F1795">
        <f>_xlfn.LET(_xlpm.dir,Table13[[#This Row],[Direction]],
IF(_xlpm.dir="R",
    IF(G1794+Table13[[#This Row],[Steps]]&gt;99,(G1794+Table13[[#This Row],[Steps]])-100,G1794+Table13[[#This Row],[Steps]]),
))</f>
        <v>70</v>
      </c>
      <c r="G1795">
        <f>IF(Table13[[#This Row],[New Pos L]]&lt;&gt;0,Table13[[#This Row],[New Pos L]],Table13[[#This Row],[New Pos R]])</f>
        <v>70</v>
      </c>
      <c r="H1795">
        <f>IF(AND(Table13[[#This Row],[Direction]]="L",Table13[[#This Row],[Steps]]&gt;G1794,G1794&lt;&gt;0),1,0)</f>
        <v>0</v>
      </c>
      <c r="I1795">
        <f>IF(AND(Table13[[#This Row],[Direction]]="R",(G1794+Table13[[#This Row],[Steps]])&gt;100),1,0)</f>
        <v>0</v>
      </c>
      <c r="J1795">
        <f>IF(Table13[[#This Row],[POS]]=0,1,0)</f>
        <v>0</v>
      </c>
      <c r="K1795">
        <f>SUM(Table13[[#This Row],[prefix]],Table13[[#This Row],[Past zero L]],Table13[[#This Row],[Past Zero R]],Table13[[#This Row],[Is Zero]])</f>
        <v>0</v>
      </c>
    </row>
    <row r="1796" spans="1:11" ht="16" x14ac:dyDescent="0.2">
      <c r="A1796" s="1" t="s">
        <v>364</v>
      </c>
      <c r="B1796" t="str">
        <f>LEFT(Table13[[#This Row],[Input]],1)</f>
        <v>L</v>
      </c>
      <c r="C1796">
        <f>_xlfn.LET(_xlpm.steps,SUBSTITUTE(Table13[[#This Row],[Input]],Table13[[#This Row],[Direction]],""),VALUE(IF(LEN(_xlpm.steps)&gt;2,RIGHT(_xlpm.steps,2),_xlpm.steps)))</f>
        <v>70</v>
      </c>
      <c r="D1796">
        <f>_xlfn.LET(_xlpm.steps,SUBSTITUTE(Table13[[#This Row],[Input]],Table13[[#This Row],[Direction]],""),VALUE(IF(LEN(_xlpm.steps)&gt;2,LEFT(_xlpm.steps,LEN(_xlpm.steps)-2),0)))</f>
        <v>0</v>
      </c>
      <c r="E1796">
        <f>_xlfn.LET(_xlpm.dir,Table13[[#This Row],[Direction]],
IF(_xlpm.dir="L",
    IF(G1795-Table13[[#This Row],[Steps]]&lt;0,100+(G1795-Table13[[#This Row],[Steps]]),G1795-Table13[[#This Row],[Steps]]),
))</f>
        <v>0</v>
      </c>
      <c r="F1796">
        <f>_xlfn.LET(_xlpm.dir,Table13[[#This Row],[Direction]],
IF(_xlpm.dir="R",
    IF(G1795+Table13[[#This Row],[Steps]]&gt;99,(G1795+Table13[[#This Row],[Steps]])-100,G1795+Table13[[#This Row],[Steps]]),
))</f>
        <v>0</v>
      </c>
      <c r="G1796">
        <f>IF(Table13[[#This Row],[New Pos L]]&lt;&gt;0,Table13[[#This Row],[New Pos L]],Table13[[#This Row],[New Pos R]])</f>
        <v>0</v>
      </c>
      <c r="H1796">
        <f>IF(AND(Table13[[#This Row],[Direction]]="L",Table13[[#This Row],[Steps]]&gt;G1795,G1795&lt;&gt;0),1,0)</f>
        <v>0</v>
      </c>
      <c r="I1796">
        <f>IF(AND(Table13[[#This Row],[Direction]]="R",(G1795+Table13[[#This Row],[Steps]])&gt;100),1,0)</f>
        <v>0</v>
      </c>
      <c r="J1796">
        <f>IF(Table13[[#This Row],[POS]]=0,1,0)</f>
        <v>1</v>
      </c>
      <c r="K1796">
        <f>SUM(Table13[[#This Row],[prefix]],Table13[[#This Row],[Past zero L]],Table13[[#This Row],[Past Zero R]],Table13[[#This Row],[Is Zero]])</f>
        <v>1</v>
      </c>
    </row>
    <row r="1797" spans="1:11" ht="16" x14ac:dyDescent="0.2">
      <c r="A1797" s="1" t="s">
        <v>44</v>
      </c>
      <c r="B1797" t="str">
        <f>LEFT(Table13[[#This Row],[Input]],1)</f>
        <v>R</v>
      </c>
      <c r="C1797">
        <f>_xlfn.LET(_xlpm.steps,SUBSTITUTE(Table13[[#This Row],[Input]],Table13[[#This Row],[Direction]],""),VALUE(IF(LEN(_xlpm.steps)&gt;2,RIGHT(_xlpm.steps,2),_xlpm.steps)))</f>
        <v>96</v>
      </c>
      <c r="D1797">
        <f>_xlfn.LET(_xlpm.steps,SUBSTITUTE(Table13[[#This Row],[Input]],Table13[[#This Row],[Direction]],""),VALUE(IF(LEN(_xlpm.steps)&gt;2,LEFT(_xlpm.steps,LEN(_xlpm.steps)-2),0)))</f>
        <v>0</v>
      </c>
      <c r="E1797">
        <f>_xlfn.LET(_xlpm.dir,Table13[[#This Row],[Direction]],
IF(_xlpm.dir="L",
    IF(G1796-Table13[[#This Row],[Steps]]&lt;0,100+(G1796-Table13[[#This Row],[Steps]]),G1796-Table13[[#This Row],[Steps]]),
))</f>
        <v>0</v>
      </c>
      <c r="F1797">
        <f>_xlfn.LET(_xlpm.dir,Table13[[#This Row],[Direction]],
IF(_xlpm.dir="R",
    IF(G1796+Table13[[#This Row],[Steps]]&gt;99,(G1796+Table13[[#This Row],[Steps]])-100,G1796+Table13[[#This Row],[Steps]]),
))</f>
        <v>96</v>
      </c>
      <c r="G1797">
        <f>IF(Table13[[#This Row],[New Pos L]]&lt;&gt;0,Table13[[#This Row],[New Pos L]],Table13[[#This Row],[New Pos R]])</f>
        <v>96</v>
      </c>
      <c r="H1797">
        <f>IF(AND(Table13[[#This Row],[Direction]]="L",Table13[[#This Row],[Steps]]&gt;G1796,G1796&lt;&gt;0),1,0)</f>
        <v>0</v>
      </c>
      <c r="I1797">
        <f>IF(AND(Table13[[#This Row],[Direction]]="R",(G1796+Table13[[#This Row],[Steps]])&gt;100),1,0)</f>
        <v>0</v>
      </c>
      <c r="J1797">
        <f>IF(Table13[[#This Row],[POS]]=0,1,0)</f>
        <v>0</v>
      </c>
      <c r="K1797">
        <f>SUM(Table13[[#This Row],[prefix]],Table13[[#This Row],[Past zero L]],Table13[[#This Row],[Past Zero R]],Table13[[#This Row],[Is Zero]])</f>
        <v>0</v>
      </c>
    </row>
    <row r="1798" spans="1:11" ht="16" x14ac:dyDescent="0.2">
      <c r="A1798" s="1" t="s">
        <v>157</v>
      </c>
      <c r="B1798" t="str">
        <f>LEFT(Table13[[#This Row],[Input]],1)</f>
        <v>R</v>
      </c>
      <c r="C1798">
        <f>_xlfn.LET(_xlpm.steps,SUBSTITUTE(Table13[[#This Row],[Input]],Table13[[#This Row],[Direction]],""),VALUE(IF(LEN(_xlpm.steps)&gt;2,RIGHT(_xlpm.steps,2),_xlpm.steps)))</f>
        <v>68</v>
      </c>
      <c r="D1798">
        <f>_xlfn.LET(_xlpm.steps,SUBSTITUTE(Table13[[#This Row],[Input]],Table13[[#This Row],[Direction]],""),VALUE(IF(LEN(_xlpm.steps)&gt;2,LEFT(_xlpm.steps,LEN(_xlpm.steps)-2),0)))</f>
        <v>0</v>
      </c>
      <c r="E1798">
        <f>_xlfn.LET(_xlpm.dir,Table13[[#This Row],[Direction]],
IF(_xlpm.dir="L",
    IF(G1797-Table13[[#This Row],[Steps]]&lt;0,100+(G1797-Table13[[#This Row],[Steps]]),G1797-Table13[[#This Row],[Steps]]),
))</f>
        <v>0</v>
      </c>
      <c r="F1798">
        <f>_xlfn.LET(_xlpm.dir,Table13[[#This Row],[Direction]],
IF(_xlpm.dir="R",
    IF(G1797+Table13[[#This Row],[Steps]]&gt;99,(G1797+Table13[[#This Row],[Steps]])-100,G1797+Table13[[#This Row],[Steps]]),
))</f>
        <v>64</v>
      </c>
      <c r="G1798">
        <f>IF(Table13[[#This Row],[New Pos L]]&lt;&gt;0,Table13[[#This Row],[New Pos L]],Table13[[#This Row],[New Pos R]])</f>
        <v>64</v>
      </c>
      <c r="H1798">
        <f>IF(AND(Table13[[#This Row],[Direction]]="L",Table13[[#This Row],[Steps]]&gt;G1797,G1797&lt;&gt;0),1,0)</f>
        <v>0</v>
      </c>
      <c r="I1798">
        <f>IF(AND(Table13[[#This Row],[Direction]]="R",(G1797+Table13[[#This Row],[Steps]])&gt;100),1,0)</f>
        <v>1</v>
      </c>
      <c r="J1798">
        <f>IF(Table13[[#This Row],[POS]]=0,1,0)</f>
        <v>0</v>
      </c>
      <c r="K1798">
        <f>SUM(Table13[[#This Row],[prefix]],Table13[[#This Row],[Past zero L]],Table13[[#This Row],[Past Zero R]],Table13[[#This Row],[Is Zero]])</f>
        <v>1</v>
      </c>
    </row>
    <row r="1799" spans="1:11" ht="16" x14ac:dyDescent="0.2">
      <c r="A1799" s="1" t="s">
        <v>155</v>
      </c>
      <c r="B1799" t="str">
        <f>LEFT(Table13[[#This Row],[Input]],1)</f>
        <v>L</v>
      </c>
      <c r="C1799">
        <f>_xlfn.LET(_xlpm.steps,SUBSTITUTE(Table13[[#This Row],[Input]],Table13[[#This Row],[Direction]],""),VALUE(IF(LEN(_xlpm.steps)&gt;2,RIGHT(_xlpm.steps,2),_xlpm.steps)))</f>
        <v>18</v>
      </c>
      <c r="D1799">
        <f>_xlfn.LET(_xlpm.steps,SUBSTITUTE(Table13[[#This Row],[Input]],Table13[[#This Row],[Direction]],""),VALUE(IF(LEN(_xlpm.steps)&gt;2,LEFT(_xlpm.steps,LEN(_xlpm.steps)-2),0)))</f>
        <v>0</v>
      </c>
      <c r="E1799">
        <f>_xlfn.LET(_xlpm.dir,Table13[[#This Row],[Direction]],
IF(_xlpm.dir="L",
    IF(G1798-Table13[[#This Row],[Steps]]&lt;0,100+(G1798-Table13[[#This Row],[Steps]]),G1798-Table13[[#This Row],[Steps]]),
))</f>
        <v>46</v>
      </c>
      <c r="F1799">
        <f>_xlfn.LET(_xlpm.dir,Table13[[#This Row],[Direction]],
IF(_xlpm.dir="R",
    IF(G1798+Table13[[#This Row],[Steps]]&gt;99,(G1798+Table13[[#This Row],[Steps]])-100,G1798+Table13[[#This Row],[Steps]]),
))</f>
        <v>0</v>
      </c>
      <c r="G1799">
        <f>IF(Table13[[#This Row],[New Pos L]]&lt;&gt;0,Table13[[#This Row],[New Pos L]],Table13[[#This Row],[New Pos R]])</f>
        <v>46</v>
      </c>
      <c r="H1799">
        <f>IF(AND(Table13[[#This Row],[Direction]]="L",Table13[[#This Row],[Steps]]&gt;G1798,G1798&lt;&gt;0),1,0)</f>
        <v>0</v>
      </c>
      <c r="I1799">
        <f>IF(AND(Table13[[#This Row],[Direction]]="R",(G1798+Table13[[#This Row],[Steps]])&gt;100),1,0)</f>
        <v>0</v>
      </c>
      <c r="J1799">
        <f>IF(Table13[[#This Row],[POS]]=0,1,0)</f>
        <v>0</v>
      </c>
      <c r="K1799">
        <f>SUM(Table13[[#This Row],[prefix]],Table13[[#This Row],[Past zero L]],Table13[[#This Row],[Past Zero R]],Table13[[#This Row],[Is Zero]])</f>
        <v>0</v>
      </c>
    </row>
    <row r="1800" spans="1:11" ht="16" x14ac:dyDescent="0.2">
      <c r="A1800" s="1" t="s">
        <v>27</v>
      </c>
      <c r="B1800" t="str">
        <f>LEFT(Table13[[#This Row],[Input]],1)</f>
        <v>L</v>
      </c>
      <c r="C1800">
        <f>_xlfn.LET(_xlpm.steps,SUBSTITUTE(Table13[[#This Row],[Input]],Table13[[#This Row],[Direction]],""),VALUE(IF(LEN(_xlpm.steps)&gt;2,RIGHT(_xlpm.steps,2),_xlpm.steps)))</f>
        <v>14</v>
      </c>
      <c r="D1800">
        <f>_xlfn.LET(_xlpm.steps,SUBSTITUTE(Table13[[#This Row],[Input]],Table13[[#This Row],[Direction]],""),VALUE(IF(LEN(_xlpm.steps)&gt;2,LEFT(_xlpm.steps,LEN(_xlpm.steps)-2),0)))</f>
        <v>0</v>
      </c>
      <c r="E1800">
        <f>_xlfn.LET(_xlpm.dir,Table13[[#This Row],[Direction]],
IF(_xlpm.dir="L",
    IF(G1799-Table13[[#This Row],[Steps]]&lt;0,100+(G1799-Table13[[#This Row],[Steps]]),G1799-Table13[[#This Row],[Steps]]),
))</f>
        <v>32</v>
      </c>
      <c r="F1800">
        <f>_xlfn.LET(_xlpm.dir,Table13[[#This Row],[Direction]],
IF(_xlpm.dir="R",
    IF(G1799+Table13[[#This Row],[Steps]]&gt;99,(G1799+Table13[[#This Row],[Steps]])-100,G1799+Table13[[#This Row],[Steps]]),
))</f>
        <v>0</v>
      </c>
      <c r="G1800">
        <f>IF(Table13[[#This Row],[New Pos L]]&lt;&gt;0,Table13[[#This Row],[New Pos L]],Table13[[#This Row],[New Pos R]])</f>
        <v>32</v>
      </c>
      <c r="H1800">
        <f>IF(AND(Table13[[#This Row],[Direction]]="L",Table13[[#This Row],[Steps]]&gt;G1799,G1799&lt;&gt;0),1,0)</f>
        <v>0</v>
      </c>
      <c r="I1800">
        <f>IF(AND(Table13[[#This Row],[Direction]]="R",(G1799+Table13[[#This Row],[Steps]])&gt;100),1,0)</f>
        <v>0</v>
      </c>
      <c r="J1800">
        <f>IF(Table13[[#This Row],[POS]]=0,1,0)</f>
        <v>0</v>
      </c>
      <c r="K1800">
        <f>SUM(Table13[[#This Row],[prefix]],Table13[[#This Row],[Past zero L]],Table13[[#This Row],[Past Zero R]],Table13[[#This Row],[Is Zero]])</f>
        <v>0</v>
      </c>
    </row>
    <row r="1801" spans="1:11" ht="16" x14ac:dyDescent="0.2">
      <c r="A1801" s="1" t="s">
        <v>509</v>
      </c>
      <c r="B1801" t="str">
        <f>LEFT(Table13[[#This Row],[Input]],1)</f>
        <v>L</v>
      </c>
      <c r="C1801">
        <f>_xlfn.LET(_xlpm.steps,SUBSTITUTE(Table13[[#This Row],[Input]],Table13[[#This Row],[Direction]],""),VALUE(IF(LEN(_xlpm.steps)&gt;2,RIGHT(_xlpm.steps,2),_xlpm.steps)))</f>
        <v>32</v>
      </c>
      <c r="D1801">
        <f>_xlfn.LET(_xlpm.steps,SUBSTITUTE(Table13[[#This Row],[Input]],Table13[[#This Row],[Direction]],""),VALUE(IF(LEN(_xlpm.steps)&gt;2,LEFT(_xlpm.steps,LEN(_xlpm.steps)-2),0)))</f>
        <v>8</v>
      </c>
      <c r="E1801">
        <f>_xlfn.LET(_xlpm.dir,Table13[[#This Row],[Direction]],
IF(_xlpm.dir="L",
    IF(G1800-Table13[[#This Row],[Steps]]&lt;0,100+(G1800-Table13[[#This Row],[Steps]]),G1800-Table13[[#This Row],[Steps]]),
))</f>
        <v>0</v>
      </c>
      <c r="F1801">
        <f>_xlfn.LET(_xlpm.dir,Table13[[#This Row],[Direction]],
IF(_xlpm.dir="R",
    IF(G1800+Table13[[#This Row],[Steps]]&gt;99,(G1800+Table13[[#This Row],[Steps]])-100,G1800+Table13[[#This Row],[Steps]]),
))</f>
        <v>0</v>
      </c>
      <c r="G1801">
        <f>IF(Table13[[#This Row],[New Pos L]]&lt;&gt;0,Table13[[#This Row],[New Pos L]],Table13[[#This Row],[New Pos R]])</f>
        <v>0</v>
      </c>
      <c r="H1801">
        <f>IF(AND(Table13[[#This Row],[Direction]]="L",Table13[[#This Row],[Steps]]&gt;G1800,G1800&lt;&gt;0),1,0)</f>
        <v>0</v>
      </c>
      <c r="I1801">
        <f>IF(AND(Table13[[#This Row],[Direction]]="R",(G1800+Table13[[#This Row],[Steps]])&gt;100),1,0)</f>
        <v>0</v>
      </c>
      <c r="J1801">
        <f>IF(Table13[[#This Row],[POS]]=0,1,0)</f>
        <v>1</v>
      </c>
      <c r="K1801">
        <f>SUM(Table13[[#This Row],[prefix]],Table13[[#This Row],[Past zero L]],Table13[[#This Row],[Past Zero R]],Table13[[#This Row],[Is Zero]])</f>
        <v>9</v>
      </c>
    </row>
    <row r="1802" spans="1:11" ht="16" x14ac:dyDescent="0.2">
      <c r="A1802" s="1" t="s">
        <v>362</v>
      </c>
      <c r="B1802" t="str">
        <f>LEFT(Table13[[#This Row],[Input]],1)</f>
        <v>L</v>
      </c>
      <c r="C1802">
        <f>_xlfn.LET(_xlpm.steps,SUBSTITUTE(Table13[[#This Row],[Input]],Table13[[#This Row],[Direction]],""),VALUE(IF(LEN(_xlpm.steps)&gt;2,RIGHT(_xlpm.steps,2),_xlpm.steps)))</f>
        <v>15</v>
      </c>
      <c r="D1802">
        <f>_xlfn.LET(_xlpm.steps,SUBSTITUTE(Table13[[#This Row],[Input]],Table13[[#This Row],[Direction]],""),VALUE(IF(LEN(_xlpm.steps)&gt;2,LEFT(_xlpm.steps,LEN(_xlpm.steps)-2),0)))</f>
        <v>3</v>
      </c>
      <c r="E1802">
        <f>_xlfn.LET(_xlpm.dir,Table13[[#This Row],[Direction]],
IF(_xlpm.dir="L",
    IF(G1801-Table13[[#This Row],[Steps]]&lt;0,100+(G1801-Table13[[#This Row],[Steps]]),G1801-Table13[[#This Row],[Steps]]),
))</f>
        <v>85</v>
      </c>
      <c r="F1802">
        <f>_xlfn.LET(_xlpm.dir,Table13[[#This Row],[Direction]],
IF(_xlpm.dir="R",
    IF(G1801+Table13[[#This Row],[Steps]]&gt;99,(G1801+Table13[[#This Row],[Steps]])-100,G1801+Table13[[#This Row],[Steps]]),
))</f>
        <v>0</v>
      </c>
      <c r="G1802">
        <f>IF(Table13[[#This Row],[New Pos L]]&lt;&gt;0,Table13[[#This Row],[New Pos L]],Table13[[#This Row],[New Pos R]])</f>
        <v>85</v>
      </c>
      <c r="H1802">
        <f>IF(AND(Table13[[#This Row],[Direction]]="L",Table13[[#This Row],[Steps]]&gt;G1801,G1801&lt;&gt;0),1,0)</f>
        <v>0</v>
      </c>
      <c r="I1802">
        <f>IF(AND(Table13[[#This Row],[Direction]]="R",(G1801+Table13[[#This Row],[Steps]])&gt;100),1,0)</f>
        <v>0</v>
      </c>
      <c r="J1802">
        <f>IF(Table13[[#This Row],[POS]]=0,1,0)</f>
        <v>0</v>
      </c>
      <c r="K1802">
        <f>SUM(Table13[[#This Row],[prefix]],Table13[[#This Row],[Past zero L]],Table13[[#This Row],[Past Zero R]],Table13[[#This Row],[Is Zero]])</f>
        <v>3</v>
      </c>
    </row>
    <row r="1803" spans="1:11" ht="16" x14ac:dyDescent="0.2">
      <c r="A1803" s="1" t="s">
        <v>260</v>
      </c>
      <c r="B1803" t="str">
        <f>LEFT(Table13[[#This Row],[Input]],1)</f>
        <v>L</v>
      </c>
      <c r="C1803">
        <f>_xlfn.LET(_xlpm.steps,SUBSTITUTE(Table13[[#This Row],[Input]],Table13[[#This Row],[Direction]],""),VALUE(IF(LEN(_xlpm.steps)&gt;2,RIGHT(_xlpm.steps,2),_xlpm.steps)))</f>
        <v>85</v>
      </c>
      <c r="D1803">
        <f>_xlfn.LET(_xlpm.steps,SUBSTITUTE(Table13[[#This Row],[Input]],Table13[[#This Row],[Direction]],""),VALUE(IF(LEN(_xlpm.steps)&gt;2,LEFT(_xlpm.steps,LEN(_xlpm.steps)-2),0)))</f>
        <v>0</v>
      </c>
      <c r="E1803">
        <f>_xlfn.LET(_xlpm.dir,Table13[[#This Row],[Direction]],
IF(_xlpm.dir="L",
    IF(G1802-Table13[[#This Row],[Steps]]&lt;0,100+(G1802-Table13[[#This Row],[Steps]]),G1802-Table13[[#This Row],[Steps]]),
))</f>
        <v>0</v>
      </c>
      <c r="F1803">
        <f>_xlfn.LET(_xlpm.dir,Table13[[#This Row],[Direction]],
IF(_xlpm.dir="R",
    IF(G1802+Table13[[#This Row],[Steps]]&gt;99,(G1802+Table13[[#This Row],[Steps]])-100,G1802+Table13[[#This Row],[Steps]]),
))</f>
        <v>0</v>
      </c>
      <c r="G1803">
        <f>IF(Table13[[#This Row],[New Pos L]]&lt;&gt;0,Table13[[#This Row],[New Pos L]],Table13[[#This Row],[New Pos R]])</f>
        <v>0</v>
      </c>
      <c r="H1803">
        <f>IF(AND(Table13[[#This Row],[Direction]]="L",Table13[[#This Row],[Steps]]&gt;G1802,G1802&lt;&gt;0),1,0)</f>
        <v>0</v>
      </c>
      <c r="I1803">
        <f>IF(AND(Table13[[#This Row],[Direction]]="R",(G1802+Table13[[#This Row],[Steps]])&gt;100),1,0)</f>
        <v>0</v>
      </c>
      <c r="J1803">
        <f>IF(Table13[[#This Row],[POS]]=0,1,0)</f>
        <v>1</v>
      </c>
      <c r="K1803">
        <f>SUM(Table13[[#This Row],[prefix]],Table13[[#This Row],[Past zero L]],Table13[[#This Row],[Past Zero R]],Table13[[#This Row],[Is Zero]])</f>
        <v>1</v>
      </c>
    </row>
    <row r="1804" spans="1:11" ht="16" x14ac:dyDescent="0.2">
      <c r="A1804" s="1" t="s">
        <v>272</v>
      </c>
      <c r="B1804" t="str">
        <f>LEFT(Table13[[#This Row],[Input]],1)</f>
        <v>R</v>
      </c>
      <c r="C1804">
        <f>_xlfn.LET(_xlpm.steps,SUBSTITUTE(Table13[[#This Row],[Input]],Table13[[#This Row],[Direction]],""),VALUE(IF(LEN(_xlpm.steps)&gt;2,RIGHT(_xlpm.steps,2),_xlpm.steps)))</f>
        <v>56</v>
      </c>
      <c r="D1804">
        <f>_xlfn.LET(_xlpm.steps,SUBSTITUTE(Table13[[#This Row],[Input]],Table13[[#This Row],[Direction]],""),VALUE(IF(LEN(_xlpm.steps)&gt;2,LEFT(_xlpm.steps,LEN(_xlpm.steps)-2),0)))</f>
        <v>0</v>
      </c>
      <c r="E1804">
        <f>_xlfn.LET(_xlpm.dir,Table13[[#This Row],[Direction]],
IF(_xlpm.dir="L",
    IF(G1803-Table13[[#This Row],[Steps]]&lt;0,100+(G1803-Table13[[#This Row],[Steps]]),G1803-Table13[[#This Row],[Steps]]),
))</f>
        <v>0</v>
      </c>
      <c r="F1804">
        <f>_xlfn.LET(_xlpm.dir,Table13[[#This Row],[Direction]],
IF(_xlpm.dir="R",
    IF(G1803+Table13[[#This Row],[Steps]]&gt;99,(G1803+Table13[[#This Row],[Steps]])-100,G1803+Table13[[#This Row],[Steps]]),
))</f>
        <v>56</v>
      </c>
      <c r="G1804">
        <f>IF(Table13[[#This Row],[New Pos L]]&lt;&gt;0,Table13[[#This Row],[New Pos L]],Table13[[#This Row],[New Pos R]])</f>
        <v>56</v>
      </c>
      <c r="H1804">
        <f>IF(AND(Table13[[#This Row],[Direction]]="L",Table13[[#This Row],[Steps]]&gt;G1803,G1803&lt;&gt;0),1,0)</f>
        <v>0</v>
      </c>
      <c r="I1804">
        <f>IF(AND(Table13[[#This Row],[Direction]]="R",(G1803+Table13[[#This Row],[Steps]])&gt;100),1,0)</f>
        <v>0</v>
      </c>
      <c r="J1804">
        <f>IF(Table13[[#This Row],[POS]]=0,1,0)</f>
        <v>0</v>
      </c>
      <c r="K1804">
        <f>SUM(Table13[[#This Row],[prefix]],Table13[[#This Row],[Past zero L]],Table13[[#This Row],[Past Zero R]],Table13[[#This Row],[Is Zero]])</f>
        <v>0</v>
      </c>
    </row>
    <row r="1805" spans="1:11" ht="16" x14ac:dyDescent="0.2">
      <c r="A1805" s="1" t="s">
        <v>53</v>
      </c>
      <c r="B1805" t="str">
        <f>LEFT(Table13[[#This Row],[Input]],1)</f>
        <v>L</v>
      </c>
      <c r="C1805">
        <f>_xlfn.LET(_xlpm.steps,SUBSTITUTE(Table13[[#This Row],[Input]],Table13[[#This Row],[Direction]],""),VALUE(IF(LEN(_xlpm.steps)&gt;2,RIGHT(_xlpm.steps,2),_xlpm.steps)))</f>
        <v>56</v>
      </c>
      <c r="D1805">
        <f>_xlfn.LET(_xlpm.steps,SUBSTITUTE(Table13[[#This Row],[Input]],Table13[[#This Row],[Direction]],""),VALUE(IF(LEN(_xlpm.steps)&gt;2,LEFT(_xlpm.steps,LEN(_xlpm.steps)-2),0)))</f>
        <v>0</v>
      </c>
      <c r="E1805">
        <f>_xlfn.LET(_xlpm.dir,Table13[[#This Row],[Direction]],
IF(_xlpm.dir="L",
    IF(G1804-Table13[[#This Row],[Steps]]&lt;0,100+(G1804-Table13[[#This Row],[Steps]]),G1804-Table13[[#This Row],[Steps]]),
))</f>
        <v>0</v>
      </c>
      <c r="F1805">
        <f>_xlfn.LET(_xlpm.dir,Table13[[#This Row],[Direction]],
IF(_xlpm.dir="R",
    IF(G1804+Table13[[#This Row],[Steps]]&gt;99,(G1804+Table13[[#This Row],[Steps]])-100,G1804+Table13[[#This Row],[Steps]]),
))</f>
        <v>0</v>
      </c>
      <c r="G1805">
        <f>IF(Table13[[#This Row],[New Pos L]]&lt;&gt;0,Table13[[#This Row],[New Pos L]],Table13[[#This Row],[New Pos R]])</f>
        <v>0</v>
      </c>
      <c r="H1805">
        <f>IF(AND(Table13[[#This Row],[Direction]]="L",Table13[[#This Row],[Steps]]&gt;G1804,G1804&lt;&gt;0),1,0)</f>
        <v>0</v>
      </c>
      <c r="I1805">
        <f>IF(AND(Table13[[#This Row],[Direction]]="R",(G1804+Table13[[#This Row],[Steps]])&gt;100),1,0)</f>
        <v>0</v>
      </c>
      <c r="J1805">
        <f>IF(Table13[[#This Row],[POS]]=0,1,0)</f>
        <v>1</v>
      </c>
      <c r="K1805">
        <f>SUM(Table13[[#This Row],[prefix]],Table13[[#This Row],[Past zero L]],Table13[[#This Row],[Past Zero R]],Table13[[#This Row],[Is Zero]])</f>
        <v>1</v>
      </c>
    </row>
    <row r="1806" spans="1:11" ht="16" x14ac:dyDescent="0.2">
      <c r="A1806" s="1" t="s">
        <v>191</v>
      </c>
      <c r="B1806" t="str">
        <f>LEFT(Table13[[#This Row],[Input]],1)</f>
        <v>L</v>
      </c>
      <c r="C1806">
        <f>_xlfn.LET(_xlpm.steps,SUBSTITUTE(Table13[[#This Row],[Input]],Table13[[#This Row],[Direction]],""),VALUE(IF(LEN(_xlpm.steps)&gt;2,RIGHT(_xlpm.steps,2),_xlpm.steps)))</f>
        <v>5</v>
      </c>
      <c r="D1806">
        <f>_xlfn.LET(_xlpm.steps,SUBSTITUTE(Table13[[#This Row],[Input]],Table13[[#This Row],[Direction]],""),VALUE(IF(LEN(_xlpm.steps)&gt;2,LEFT(_xlpm.steps,LEN(_xlpm.steps)-2),0)))</f>
        <v>0</v>
      </c>
      <c r="E1806">
        <f>_xlfn.LET(_xlpm.dir,Table13[[#This Row],[Direction]],
IF(_xlpm.dir="L",
    IF(G1805-Table13[[#This Row],[Steps]]&lt;0,100+(G1805-Table13[[#This Row],[Steps]]),G1805-Table13[[#This Row],[Steps]]),
))</f>
        <v>95</v>
      </c>
      <c r="F1806">
        <f>_xlfn.LET(_xlpm.dir,Table13[[#This Row],[Direction]],
IF(_xlpm.dir="R",
    IF(G1805+Table13[[#This Row],[Steps]]&gt;99,(G1805+Table13[[#This Row],[Steps]])-100,G1805+Table13[[#This Row],[Steps]]),
))</f>
        <v>0</v>
      </c>
      <c r="G1806">
        <f>IF(Table13[[#This Row],[New Pos L]]&lt;&gt;0,Table13[[#This Row],[New Pos L]],Table13[[#This Row],[New Pos R]])</f>
        <v>95</v>
      </c>
      <c r="H1806">
        <f>IF(AND(Table13[[#This Row],[Direction]]="L",Table13[[#This Row],[Steps]]&gt;G1805,G1805&lt;&gt;0),1,0)</f>
        <v>0</v>
      </c>
      <c r="I1806">
        <f>IF(AND(Table13[[#This Row],[Direction]]="R",(G1805+Table13[[#This Row],[Steps]])&gt;100),1,0)</f>
        <v>0</v>
      </c>
      <c r="J1806">
        <f>IF(Table13[[#This Row],[POS]]=0,1,0)</f>
        <v>0</v>
      </c>
      <c r="K1806">
        <f>SUM(Table13[[#This Row],[prefix]],Table13[[#This Row],[Past zero L]],Table13[[#This Row],[Past Zero R]],Table13[[#This Row],[Is Zero]])</f>
        <v>0</v>
      </c>
    </row>
    <row r="1807" spans="1:11" ht="16" x14ac:dyDescent="0.2">
      <c r="A1807" s="1" t="s">
        <v>41</v>
      </c>
      <c r="B1807" t="str">
        <f>LEFT(Table13[[#This Row],[Input]],1)</f>
        <v>L</v>
      </c>
      <c r="C1807">
        <f>_xlfn.LET(_xlpm.steps,SUBSTITUTE(Table13[[#This Row],[Input]],Table13[[#This Row],[Direction]],""),VALUE(IF(LEN(_xlpm.steps)&gt;2,RIGHT(_xlpm.steps,2),_xlpm.steps)))</f>
        <v>7</v>
      </c>
      <c r="D1807">
        <f>_xlfn.LET(_xlpm.steps,SUBSTITUTE(Table13[[#This Row],[Input]],Table13[[#This Row],[Direction]],""),VALUE(IF(LEN(_xlpm.steps)&gt;2,LEFT(_xlpm.steps,LEN(_xlpm.steps)-2),0)))</f>
        <v>0</v>
      </c>
      <c r="E1807">
        <f>_xlfn.LET(_xlpm.dir,Table13[[#This Row],[Direction]],
IF(_xlpm.dir="L",
    IF(G1806-Table13[[#This Row],[Steps]]&lt;0,100+(G1806-Table13[[#This Row],[Steps]]),G1806-Table13[[#This Row],[Steps]]),
))</f>
        <v>88</v>
      </c>
      <c r="F1807">
        <f>_xlfn.LET(_xlpm.dir,Table13[[#This Row],[Direction]],
IF(_xlpm.dir="R",
    IF(G1806+Table13[[#This Row],[Steps]]&gt;99,(G1806+Table13[[#This Row],[Steps]])-100,G1806+Table13[[#This Row],[Steps]]),
))</f>
        <v>0</v>
      </c>
      <c r="G1807">
        <f>IF(Table13[[#This Row],[New Pos L]]&lt;&gt;0,Table13[[#This Row],[New Pos L]],Table13[[#This Row],[New Pos R]])</f>
        <v>88</v>
      </c>
      <c r="H1807">
        <f>IF(AND(Table13[[#This Row],[Direction]]="L",Table13[[#This Row],[Steps]]&gt;G1806,G1806&lt;&gt;0),1,0)</f>
        <v>0</v>
      </c>
      <c r="I1807">
        <f>IF(AND(Table13[[#This Row],[Direction]]="R",(G1806+Table13[[#This Row],[Steps]])&gt;100),1,0)</f>
        <v>0</v>
      </c>
      <c r="J1807">
        <f>IF(Table13[[#This Row],[POS]]=0,1,0)</f>
        <v>0</v>
      </c>
      <c r="K1807">
        <f>SUM(Table13[[#This Row],[prefix]],Table13[[#This Row],[Past zero L]],Table13[[#This Row],[Past Zero R]],Table13[[#This Row],[Is Zero]])</f>
        <v>0</v>
      </c>
    </row>
    <row r="1808" spans="1:11" ht="16" x14ac:dyDescent="0.2">
      <c r="A1808" s="1" t="s">
        <v>172</v>
      </c>
      <c r="B1808" t="str">
        <f>LEFT(Table13[[#This Row],[Input]],1)</f>
        <v>L</v>
      </c>
      <c r="C1808">
        <f>_xlfn.LET(_xlpm.steps,SUBSTITUTE(Table13[[#This Row],[Input]],Table13[[#This Row],[Direction]],""),VALUE(IF(LEN(_xlpm.steps)&gt;2,RIGHT(_xlpm.steps,2),_xlpm.steps)))</f>
        <v>66</v>
      </c>
      <c r="D1808">
        <f>_xlfn.LET(_xlpm.steps,SUBSTITUTE(Table13[[#This Row],[Input]],Table13[[#This Row],[Direction]],""),VALUE(IF(LEN(_xlpm.steps)&gt;2,LEFT(_xlpm.steps,LEN(_xlpm.steps)-2),0)))</f>
        <v>0</v>
      </c>
      <c r="E1808">
        <f>_xlfn.LET(_xlpm.dir,Table13[[#This Row],[Direction]],
IF(_xlpm.dir="L",
    IF(G1807-Table13[[#This Row],[Steps]]&lt;0,100+(G1807-Table13[[#This Row],[Steps]]),G1807-Table13[[#This Row],[Steps]]),
))</f>
        <v>22</v>
      </c>
      <c r="F1808">
        <f>_xlfn.LET(_xlpm.dir,Table13[[#This Row],[Direction]],
IF(_xlpm.dir="R",
    IF(G1807+Table13[[#This Row],[Steps]]&gt;99,(G1807+Table13[[#This Row],[Steps]])-100,G1807+Table13[[#This Row],[Steps]]),
))</f>
        <v>0</v>
      </c>
      <c r="G1808">
        <f>IF(Table13[[#This Row],[New Pos L]]&lt;&gt;0,Table13[[#This Row],[New Pos L]],Table13[[#This Row],[New Pos R]])</f>
        <v>22</v>
      </c>
      <c r="H1808">
        <f>IF(AND(Table13[[#This Row],[Direction]]="L",Table13[[#This Row],[Steps]]&gt;G1807,G1807&lt;&gt;0),1,0)</f>
        <v>0</v>
      </c>
      <c r="I1808">
        <f>IF(AND(Table13[[#This Row],[Direction]]="R",(G1807+Table13[[#This Row],[Steps]])&gt;100),1,0)</f>
        <v>0</v>
      </c>
      <c r="J1808">
        <f>IF(Table13[[#This Row],[POS]]=0,1,0)</f>
        <v>0</v>
      </c>
      <c r="K1808">
        <f>SUM(Table13[[#This Row],[prefix]],Table13[[#This Row],[Past zero L]],Table13[[#This Row],[Past Zero R]],Table13[[#This Row],[Is Zero]])</f>
        <v>0</v>
      </c>
    </row>
    <row r="1809" spans="1:11" ht="16" x14ac:dyDescent="0.2">
      <c r="A1809" s="1" t="s">
        <v>0</v>
      </c>
      <c r="B1809" t="str">
        <f>LEFT(Table13[[#This Row],[Input]],1)</f>
        <v>L</v>
      </c>
      <c r="C1809">
        <f>_xlfn.LET(_xlpm.steps,SUBSTITUTE(Table13[[#This Row],[Input]],Table13[[#This Row],[Direction]],""),VALUE(IF(LEN(_xlpm.steps)&gt;2,RIGHT(_xlpm.steps,2),_xlpm.steps)))</f>
        <v>44</v>
      </c>
      <c r="D1809">
        <f>_xlfn.LET(_xlpm.steps,SUBSTITUTE(Table13[[#This Row],[Input]],Table13[[#This Row],[Direction]],""),VALUE(IF(LEN(_xlpm.steps)&gt;2,LEFT(_xlpm.steps,LEN(_xlpm.steps)-2),0)))</f>
        <v>0</v>
      </c>
      <c r="E1809">
        <f>_xlfn.LET(_xlpm.dir,Table13[[#This Row],[Direction]],
IF(_xlpm.dir="L",
    IF(G1808-Table13[[#This Row],[Steps]]&lt;0,100+(G1808-Table13[[#This Row],[Steps]]),G1808-Table13[[#This Row],[Steps]]),
))</f>
        <v>78</v>
      </c>
      <c r="F1809">
        <f>_xlfn.LET(_xlpm.dir,Table13[[#This Row],[Direction]],
IF(_xlpm.dir="R",
    IF(G1808+Table13[[#This Row],[Steps]]&gt;99,(G1808+Table13[[#This Row],[Steps]])-100,G1808+Table13[[#This Row],[Steps]]),
))</f>
        <v>0</v>
      </c>
      <c r="G1809">
        <f>IF(Table13[[#This Row],[New Pos L]]&lt;&gt;0,Table13[[#This Row],[New Pos L]],Table13[[#This Row],[New Pos R]])</f>
        <v>78</v>
      </c>
      <c r="H1809">
        <f>IF(AND(Table13[[#This Row],[Direction]]="L",Table13[[#This Row],[Steps]]&gt;G1808,G1808&lt;&gt;0),1,0)</f>
        <v>1</v>
      </c>
      <c r="I1809">
        <f>IF(AND(Table13[[#This Row],[Direction]]="R",(G1808+Table13[[#This Row],[Steps]])&gt;100),1,0)</f>
        <v>0</v>
      </c>
      <c r="J1809">
        <f>IF(Table13[[#This Row],[POS]]=0,1,0)</f>
        <v>0</v>
      </c>
      <c r="K1809">
        <f>SUM(Table13[[#This Row],[prefix]],Table13[[#This Row],[Past zero L]],Table13[[#This Row],[Past Zero R]],Table13[[#This Row],[Is Zero]])</f>
        <v>1</v>
      </c>
    </row>
    <row r="1810" spans="1:11" ht="16" x14ac:dyDescent="0.2">
      <c r="A1810" s="1" t="s">
        <v>293</v>
      </c>
      <c r="B1810" t="str">
        <f>LEFT(Table13[[#This Row],[Input]],1)</f>
        <v>R</v>
      </c>
      <c r="C1810">
        <f>_xlfn.LET(_xlpm.steps,SUBSTITUTE(Table13[[#This Row],[Input]],Table13[[#This Row],[Direction]],""),VALUE(IF(LEN(_xlpm.steps)&gt;2,RIGHT(_xlpm.steps,2),_xlpm.steps)))</f>
        <v>67</v>
      </c>
      <c r="D1810">
        <f>_xlfn.LET(_xlpm.steps,SUBSTITUTE(Table13[[#This Row],[Input]],Table13[[#This Row],[Direction]],""),VALUE(IF(LEN(_xlpm.steps)&gt;2,LEFT(_xlpm.steps,LEN(_xlpm.steps)-2),0)))</f>
        <v>0</v>
      </c>
      <c r="E1810">
        <f>_xlfn.LET(_xlpm.dir,Table13[[#This Row],[Direction]],
IF(_xlpm.dir="L",
    IF(G1809-Table13[[#This Row],[Steps]]&lt;0,100+(G1809-Table13[[#This Row],[Steps]]),G1809-Table13[[#This Row],[Steps]]),
))</f>
        <v>0</v>
      </c>
      <c r="F1810">
        <f>_xlfn.LET(_xlpm.dir,Table13[[#This Row],[Direction]],
IF(_xlpm.dir="R",
    IF(G1809+Table13[[#This Row],[Steps]]&gt;99,(G1809+Table13[[#This Row],[Steps]])-100,G1809+Table13[[#This Row],[Steps]]),
))</f>
        <v>45</v>
      </c>
      <c r="G1810">
        <f>IF(Table13[[#This Row],[New Pos L]]&lt;&gt;0,Table13[[#This Row],[New Pos L]],Table13[[#This Row],[New Pos R]])</f>
        <v>45</v>
      </c>
      <c r="H1810">
        <f>IF(AND(Table13[[#This Row],[Direction]]="L",Table13[[#This Row],[Steps]]&gt;G1809,G1809&lt;&gt;0),1,0)</f>
        <v>0</v>
      </c>
      <c r="I1810">
        <f>IF(AND(Table13[[#This Row],[Direction]]="R",(G1809+Table13[[#This Row],[Steps]])&gt;100),1,0)</f>
        <v>1</v>
      </c>
      <c r="J1810">
        <f>IF(Table13[[#This Row],[POS]]=0,1,0)</f>
        <v>0</v>
      </c>
      <c r="K1810">
        <f>SUM(Table13[[#This Row],[prefix]],Table13[[#This Row],[Past zero L]],Table13[[#This Row],[Past Zero R]],Table13[[#This Row],[Is Zero]])</f>
        <v>1</v>
      </c>
    </row>
    <row r="1811" spans="1:11" ht="16" x14ac:dyDescent="0.2">
      <c r="A1811" s="1" t="s">
        <v>105</v>
      </c>
      <c r="B1811" t="str">
        <f>LEFT(Table13[[#This Row],[Input]],1)</f>
        <v>R</v>
      </c>
      <c r="C1811">
        <f>_xlfn.LET(_xlpm.steps,SUBSTITUTE(Table13[[#This Row],[Input]],Table13[[#This Row],[Direction]],""),VALUE(IF(LEN(_xlpm.steps)&gt;2,RIGHT(_xlpm.steps,2),_xlpm.steps)))</f>
        <v>98</v>
      </c>
      <c r="D1811">
        <f>_xlfn.LET(_xlpm.steps,SUBSTITUTE(Table13[[#This Row],[Input]],Table13[[#This Row],[Direction]],""),VALUE(IF(LEN(_xlpm.steps)&gt;2,LEFT(_xlpm.steps,LEN(_xlpm.steps)-2),0)))</f>
        <v>0</v>
      </c>
      <c r="E1811">
        <f>_xlfn.LET(_xlpm.dir,Table13[[#This Row],[Direction]],
IF(_xlpm.dir="L",
    IF(G1810-Table13[[#This Row],[Steps]]&lt;0,100+(G1810-Table13[[#This Row],[Steps]]),G1810-Table13[[#This Row],[Steps]]),
))</f>
        <v>0</v>
      </c>
      <c r="F1811">
        <f>_xlfn.LET(_xlpm.dir,Table13[[#This Row],[Direction]],
IF(_xlpm.dir="R",
    IF(G1810+Table13[[#This Row],[Steps]]&gt;99,(G1810+Table13[[#This Row],[Steps]])-100,G1810+Table13[[#This Row],[Steps]]),
))</f>
        <v>43</v>
      </c>
      <c r="G1811">
        <f>IF(Table13[[#This Row],[New Pos L]]&lt;&gt;0,Table13[[#This Row],[New Pos L]],Table13[[#This Row],[New Pos R]])</f>
        <v>43</v>
      </c>
      <c r="H1811">
        <f>IF(AND(Table13[[#This Row],[Direction]]="L",Table13[[#This Row],[Steps]]&gt;G1810,G1810&lt;&gt;0),1,0)</f>
        <v>0</v>
      </c>
      <c r="I1811">
        <f>IF(AND(Table13[[#This Row],[Direction]]="R",(G1810+Table13[[#This Row],[Steps]])&gt;100),1,0)</f>
        <v>1</v>
      </c>
      <c r="J1811">
        <f>IF(Table13[[#This Row],[POS]]=0,1,0)</f>
        <v>0</v>
      </c>
      <c r="K1811">
        <f>SUM(Table13[[#This Row],[prefix]],Table13[[#This Row],[Past zero L]],Table13[[#This Row],[Past Zero R]],Table13[[#This Row],[Is Zero]])</f>
        <v>1</v>
      </c>
    </row>
    <row r="1812" spans="1:11" ht="16" x14ac:dyDescent="0.2">
      <c r="A1812" s="1" t="s">
        <v>63</v>
      </c>
      <c r="B1812" t="str">
        <f>LEFT(Table13[[#This Row],[Input]],1)</f>
        <v>R</v>
      </c>
      <c r="C1812">
        <f>_xlfn.LET(_xlpm.steps,SUBSTITUTE(Table13[[#This Row],[Input]],Table13[[#This Row],[Direction]],""),VALUE(IF(LEN(_xlpm.steps)&gt;2,RIGHT(_xlpm.steps,2),_xlpm.steps)))</f>
        <v>57</v>
      </c>
      <c r="D1812">
        <f>_xlfn.LET(_xlpm.steps,SUBSTITUTE(Table13[[#This Row],[Input]],Table13[[#This Row],[Direction]],""),VALUE(IF(LEN(_xlpm.steps)&gt;2,LEFT(_xlpm.steps,LEN(_xlpm.steps)-2),0)))</f>
        <v>0</v>
      </c>
      <c r="E1812">
        <f>_xlfn.LET(_xlpm.dir,Table13[[#This Row],[Direction]],
IF(_xlpm.dir="L",
    IF(G1811-Table13[[#This Row],[Steps]]&lt;0,100+(G1811-Table13[[#This Row],[Steps]]),G1811-Table13[[#This Row],[Steps]]),
))</f>
        <v>0</v>
      </c>
      <c r="F1812">
        <f>_xlfn.LET(_xlpm.dir,Table13[[#This Row],[Direction]],
IF(_xlpm.dir="R",
    IF(G1811+Table13[[#This Row],[Steps]]&gt;99,(G1811+Table13[[#This Row],[Steps]])-100,G1811+Table13[[#This Row],[Steps]]),
))</f>
        <v>0</v>
      </c>
      <c r="G1812">
        <f>IF(Table13[[#This Row],[New Pos L]]&lt;&gt;0,Table13[[#This Row],[New Pos L]],Table13[[#This Row],[New Pos R]])</f>
        <v>0</v>
      </c>
      <c r="H1812">
        <f>IF(AND(Table13[[#This Row],[Direction]]="L",Table13[[#This Row],[Steps]]&gt;G1811,G1811&lt;&gt;0),1,0)</f>
        <v>0</v>
      </c>
      <c r="I1812">
        <f>IF(AND(Table13[[#This Row],[Direction]]="R",(G1811+Table13[[#This Row],[Steps]])&gt;100),1,0)</f>
        <v>0</v>
      </c>
      <c r="J1812">
        <f>IF(Table13[[#This Row],[POS]]=0,1,0)</f>
        <v>1</v>
      </c>
      <c r="K1812">
        <f>SUM(Table13[[#This Row],[prefix]],Table13[[#This Row],[Past zero L]],Table13[[#This Row],[Past Zero R]],Table13[[#This Row],[Is Zero]])</f>
        <v>1</v>
      </c>
    </row>
    <row r="1813" spans="1:11" ht="16" x14ac:dyDescent="0.2">
      <c r="A1813" s="1" t="s">
        <v>64</v>
      </c>
      <c r="B1813" t="str">
        <f>LEFT(Table13[[#This Row],[Input]],1)</f>
        <v>R</v>
      </c>
      <c r="C1813">
        <f>_xlfn.LET(_xlpm.steps,SUBSTITUTE(Table13[[#This Row],[Input]],Table13[[#This Row],[Direction]],""),VALUE(IF(LEN(_xlpm.steps)&gt;2,RIGHT(_xlpm.steps,2),_xlpm.steps)))</f>
        <v>10</v>
      </c>
      <c r="D1813">
        <f>_xlfn.LET(_xlpm.steps,SUBSTITUTE(Table13[[#This Row],[Input]],Table13[[#This Row],[Direction]],""),VALUE(IF(LEN(_xlpm.steps)&gt;2,LEFT(_xlpm.steps,LEN(_xlpm.steps)-2),0)))</f>
        <v>0</v>
      </c>
      <c r="E1813">
        <f>_xlfn.LET(_xlpm.dir,Table13[[#This Row],[Direction]],
IF(_xlpm.dir="L",
    IF(G1812-Table13[[#This Row],[Steps]]&lt;0,100+(G1812-Table13[[#This Row],[Steps]]),G1812-Table13[[#This Row],[Steps]]),
))</f>
        <v>0</v>
      </c>
      <c r="F1813">
        <f>_xlfn.LET(_xlpm.dir,Table13[[#This Row],[Direction]],
IF(_xlpm.dir="R",
    IF(G1812+Table13[[#This Row],[Steps]]&gt;99,(G1812+Table13[[#This Row],[Steps]])-100,G1812+Table13[[#This Row],[Steps]]),
))</f>
        <v>10</v>
      </c>
      <c r="G1813">
        <f>IF(Table13[[#This Row],[New Pos L]]&lt;&gt;0,Table13[[#This Row],[New Pos L]],Table13[[#This Row],[New Pos R]])</f>
        <v>10</v>
      </c>
      <c r="H1813">
        <f>IF(AND(Table13[[#This Row],[Direction]]="L",Table13[[#This Row],[Steps]]&gt;G1812,G1812&lt;&gt;0),1,0)</f>
        <v>0</v>
      </c>
      <c r="I1813">
        <f>IF(AND(Table13[[#This Row],[Direction]]="R",(G1812+Table13[[#This Row],[Steps]])&gt;100),1,0)</f>
        <v>0</v>
      </c>
      <c r="J1813">
        <f>IF(Table13[[#This Row],[POS]]=0,1,0)</f>
        <v>0</v>
      </c>
      <c r="K1813">
        <f>SUM(Table13[[#This Row],[prefix]],Table13[[#This Row],[Past zero L]],Table13[[#This Row],[Past Zero R]],Table13[[#This Row],[Is Zero]])</f>
        <v>0</v>
      </c>
    </row>
    <row r="1814" spans="1:11" ht="16" x14ac:dyDescent="0.2">
      <c r="A1814" s="1" t="s">
        <v>510</v>
      </c>
      <c r="B1814" t="str">
        <f>LEFT(Table13[[#This Row],[Input]],1)</f>
        <v>R</v>
      </c>
      <c r="C1814">
        <f>_xlfn.LET(_xlpm.steps,SUBSTITUTE(Table13[[#This Row],[Input]],Table13[[#This Row],[Direction]],""),VALUE(IF(LEN(_xlpm.steps)&gt;2,RIGHT(_xlpm.steps,2),_xlpm.steps)))</f>
        <v>90</v>
      </c>
      <c r="D1814">
        <f>_xlfn.LET(_xlpm.steps,SUBSTITUTE(Table13[[#This Row],[Input]],Table13[[#This Row],[Direction]],""),VALUE(IF(LEN(_xlpm.steps)&gt;2,LEFT(_xlpm.steps,LEN(_xlpm.steps)-2),0)))</f>
        <v>4</v>
      </c>
      <c r="E1814">
        <f>_xlfn.LET(_xlpm.dir,Table13[[#This Row],[Direction]],
IF(_xlpm.dir="L",
    IF(G1813-Table13[[#This Row],[Steps]]&lt;0,100+(G1813-Table13[[#This Row],[Steps]]),G1813-Table13[[#This Row],[Steps]]),
))</f>
        <v>0</v>
      </c>
      <c r="F1814">
        <f>_xlfn.LET(_xlpm.dir,Table13[[#This Row],[Direction]],
IF(_xlpm.dir="R",
    IF(G1813+Table13[[#This Row],[Steps]]&gt;99,(G1813+Table13[[#This Row],[Steps]])-100,G1813+Table13[[#This Row],[Steps]]),
))</f>
        <v>0</v>
      </c>
      <c r="G1814">
        <f>IF(Table13[[#This Row],[New Pos L]]&lt;&gt;0,Table13[[#This Row],[New Pos L]],Table13[[#This Row],[New Pos R]])</f>
        <v>0</v>
      </c>
      <c r="H1814">
        <f>IF(AND(Table13[[#This Row],[Direction]]="L",Table13[[#This Row],[Steps]]&gt;G1813,G1813&lt;&gt;0),1,0)</f>
        <v>0</v>
      </c>
      <c r="I1814">
        <f>IF(AND(Table13[[#This Row],[Direction]]="R",(G1813+Table13[[#This Row],[Steps]])&gt;100),1,0)</f>
        <v>0</v>
      </c>
      <c r="J1814">
        <f>IF(Table13[[#This Row],[POS]]=0,1,0)</f>
        <v>1</v>
      </c>
      <c r="K1814">
        <f>SUM(Table13[[#This Row],[prefix]],Table13[[#This Row],[Past zero L]],Table13[[#This Row],[Past Zero R]],Table13[[#This Row],[Is Zero]])</f>
        <v>5</v>
      </c>
    </row>
    <row r="1815" spans="1:11" ht="16" x14ac:dyDescent="0.2">
      <c r="A1815" s="1" t="s">
        <v>110</v>
      </c>
      <c r="B1815" t="str">
        <f>LEFT(Table13[[#This Row],[Input]],1)</f>
        <v>L</v>
      </c>
      <c r="C1815">
        <f>_xlfn.LET(_xlpm.steps,SUBSTITUTE(Table13[[#This Row],[Input]],Table13[[#This Row],[Direction]],""),VALUE(IF(LEN(_xlpm.steps)&gt;2,RIGHT(_xlpm.steps,2),_xlpm.steps)))</f>
        <v>81</v>
      </c>
      <c r="D1815">
        <f>_xlfn.LET(_xlpm.steps,SUBSTITUTE(Table13[[#This Row],[Input]],Table13[[#This Row],[Direction]],""),VALUE(IF(LEN(_xlpm.steps)&gt;2,LEFT(_xlpm.steps,LEN(_xlpm.steps)-2),0)))</f>
        <v>0</v>
      </c>
      <c r="E1815">
        <f>_xlfn.LET(_xlpm.dir,Table13[[#This Row],[Direction]],
IF(_xlpm.dir="L",
    IF(G1814-Table13[[#This Row],[Steps]]&lt;0,100+(G1814-Table13[[#This Row],[Steps]]),G1814-Table13[[#This Row],[Steps]]),
))</f>
        <v>19</v>
      </c>
      <c r="F1815">
        <f>_xlfn.LET(_xlpm.dir,Table13[[#This Row],[Direction]],
IF(_xlpm.dir="R",
    IF(G1814+Table13[[#This Row],[Steps]]&gt;99,(G1814+Table13[[#This Row],[Steps]])-100,G1814+Table13[[#This Row],[Steps]]),
))</f>
        <v>0</v>
      </c>
      <c r="G1815">
        <f>IF(Table13[[#This Row],[New Pos L]]&lt;&gt;0,Table13[[#This Row],[New Pos L]],Table13[[#This Row],[New Pos R]])</f>
        <v>19</v>
      </c>
      <c r="H1815">
        <f>IF(AND(Table13[[#This Row],[Direction]]="L",Table13[[#This Row],[Steps]]&gt;G1814,G1814&lt;&gt;0),1,0)</f>
        <v>0</v>
      </c>
      <c r="I1815">
        <f>IF(AND(Table13[[#This Row],[Direction]]="R",(G1814+Table13[[#This Row],[Steps]])&gt;100),1,0)</f>
        <v>0</v>
      </c>
      <c r="J1815">
        <f>IF(Table13[[#This Row],[POS]]=0,1,0)</f>
        <v>0</v>
      </c>
      <c r="K1815">
        <f>SUM(Table13[[#This Row],[prefix]],Table13[[#This Row],[Past zero L]],Table13[[#This Row],[Past Zero R]],Table13[[#This Row],[Is Zero]])</f>
        <v>0</v>
      </c>
    </row>
    <row r="1816" spans="1:11" ht="16" x14ac:dyDescent="0.2">
      <c r="A1816" s="1" t="s">
        <v>207</v>
      </c>
      <c r="B1816" t="str">
        <f>LEFT(Table13[[#This Row],[Input]],1)</f>
        <v>L</v>
      </c>
      <c r="C1816">
        <f>_xlfn.LET(_xlpm.steps,SUBSTITUTE(Table13[[#This Row],[Input]],Table13[[#This Row],[Direction]],""),VALUE(IF(LEN(_xlpm.steps)&gt;2,RIGHT(_xlpm.steps,2),_xlpm.steps)))</f>
        <v>89</v>
      </c>
      <c r="D1816">
        <f>_xlfn.LET(_xlpm.steps,SUBSTITUTE(Table13[[#This Row],[Input]],Table13[[#This Row],[Direction]],""),VALUE(IF(LEN(_xlpm.steps)&gt;2,LEFT(_xlpm.steps,LEN(_xlpm.steps)-2),0)))</f>
        <v>0</v>
      </c>
      <c r="E1816">
        <f>_xlfn.LET(_xlpm.dir,Table13[[#This Row],[Direction]],
IF(_xlpm.dir="L",
    IF(G1815-Table13[[#This Row],[Steps]]&lt;0,100+(G1815-Table13[[#This Row],[Steps]]),G1815-Table13[[#This Row],[Steps]]),
))</f>
        <v>30</v>
      </c>
      <c r="F1816">
        <f>_xlfn.LET(_xlpm.dir,Table13[[#This Row],[Direction]],
IF(_xlpm.dir="R",
    IF(G1815+Table13[[#This Row],[Steps]]&gt;99,(G1815+Table13[[#This Row],[Steps]])-100,G1815+Table13[[#This Row],[Steps]]),
))</f>
        <v>0</v>
      </c>
      <c r="G1816">
        <f>IF(Table13[[#This Row],[New Pos L]]&lt;&gt;0,Table13[[#This Row],[New Pos L]],Table13[[#This Row],[New Pos R]])</f>
        <v>30</v>
      </c>
      <c r="H1816">
        <f>IF(AND(Table13[[#This Row],[Direction]]="L",Table13[[#This Row],[Steps]]&gt;G1815,G1815&lt;&gt;0),1,0)</f>
        <v>1</v>
      </c>
      <c r="I1816">
        <f>IF(AND(Table13[[#This Row],[Direction]]="R",(G1815+Table13[[#This Row],[Steps]])&gt;100),1,0)</f>
        <v>0</v>
      </c>
      <c r="J1816">
        <f>IF(Table13[[#This Row],[POS]]=0,1,0)</f>
        <v>0</v>
      </c>
      <c r="K1816">
        <f>SUM(Table13[[#This Row],[prefix]],Table13[[#This Row],[Past zero L]],Table13[[#This Row],[Past Zero R]],Table13[[#This Row],[Is Zero]])</f>
        <v>1</v>
      </c>
    </row>
    <row r="1817" spans="1:11" ht="16" x14ac:dyDescent="0.2">
      <c r="A1817" s="1" t="s">
        <v>115</v>
      </c>
      <c r="B1817" t="str">
        <f>LEFT(Table13[[#This Row],[Input]],1)</f>
        <v>L</v>
      </c>
      <c r="C1817">
        <f>_xlfn.LET(_xlpm.steps,SUBSTITUTE(Table13[[#This Row],[Input]],Table13[[#This Row],[Direction]],""),VALUE(IF(LEN(_xlpm.steps)&gt;2,RIGHT(_xlpm.steps,2),_xlpm.steps)))</f>
        <v>29</v>
      </c>
      <c r="D1817">
        <f>_xlfn.LET(_xlpm.steps,SUBSTITUTE(Table13[[#This Row],[Input]],Table13[[#This Row],[Direction]],""),VALUE(IF(LEN(_xlpm.steps)&gt;2,LEFT(_xlpm.steps,LEN(_xlpm.steps)-2),0)))</f>
        <v>0</v>
      </c>
      <c r="E1817">
        <f>_xlfn.LET(_xlpm.dir,Table13[[#This Row],[Direction]],
IF(_xlpm.dir="L",
    IF(G1816-Table13[[#This Row],[Steps]]&lt;0,100+(G1816-Table13[[#This Row],[Steps]]),G1816-Table13[[#This Row],[Steps]]),
))</f>
        <v>1</v>
      </c>
      <c r="F1817">
        <f>_xlfn.LET(_xlpm.dir,Table13[[#This Row],[Direction]],
IF(_xlpm.dir="R",
    IF(G1816+Table13[[#This Row],[Steps]]&gt;99,(G1816+Table13[[#This Row],[Steps]])-100,G1816+Table13[[#This Row],[Steps]]),
))</f>
        <v>0</v>
      </c>
      <c r="G1817">
        <f>IF(Table13[[#This Row],[New Pos L]]&lt;&gt;0,Table13[[#This Row],[New Pos L]],Table13[[#This Row],[New Pos R]])</f>
        <v>1</v>
      </c>
      <c r="H1817">
        <f>IF(AND(Table13[[#This Row],[Direction]]="L",Table13[[#This Row],[Steps]]&gt;G1816,G1816&lt;&gt;0),1,0)</f>
        <v>0</v>
      </c>
      <c r="I1817">
        <f>IF(AND(Table13[[#This Row],[Direction]]="R",(G1816+Table13[[#This Row],[Steps]])&gt;100),1,0)</f>
        <v>0</v>
      </c>
      <c r="J1817">
        <f>IF(Table13[[#This Row],[POS]]=0,1,0)</f>
        <v>0</v>
      </c>
      <c r="K1817">
        <f>SUM(Table13[[#This Row],[prefix]],Table13[[#This Row],[Past zero L]],Table13[[#This Row],[Past Zero R]],Table13[[#This Row],[Is Zero]])</f>
        <v>0</v>
      </c>
    </row>
    <row r="1818" spans="1:11" ht="16" x14ac:dyDescent="0.2">
      <c r="A1818" s="1" t="s">
        <v>131</v>
      </c>
      <c r="B1818" t="str">
        <f>LEFT(Table13[[#This Row],[Input]],1)</f>
        <v>R</v>
      </c>
      <c r="C1818">
        <f>_xlfn.LET(_xlpm.steps,SUBSTITUTE(Table13[[#This Row],[Input]],Table13[[#This Row],[Direction]],""),VALUE(IF(LEN(_xlpm.steps)&gt;2,RIGHT(_xlpm.steps,2),_xlpm.steps)))</f>
        <v>99</v>
      </c>
      <c r="D1818">
        <f>_xlfn.LET(_xlpm.steps,SUBSTITUTE(Table13[[#This Row],[Input]],Table13[[#This Row],[Direction]],""),VALUE(IF(LEN(_xlpm.steps)&gt;2,LEFT(_xlpm.steps,LEN(_xlpm.steps)-2),0)))</f>
        <v>0</v>
      </c>
      <c r="E1818">
        <f>_xlfn.LET(_xlpm.dir,Table13[[#This Row],[Direction]],
IF(_xlpm.dir="L",
    IF(G1817-Table13[[#This Row],[Steps]]&lt;0,100+(G1817-Table13[[#This Row],[Steps]]),G1817-Table13[[#This Row],[Steps]]),
))</f>
        <v>0</v>
      </c>
      <c r="F1818">
        <f>_xlfn.LET(_xlpm.dir,Table13[[#This Row],[Direction]],
IF(_xlpm.dir="R",
    IF(G1817+Table13[[#This Row],[Steps]]&gt;99,(G1817+Table13[[#This Row],[Steps]])-100,G1817+Table13[[#This Row],[Steps]]),
))</f>
        <v>0</v>
      </c>
      <c r="G1818">
        <f>IF(Table13[[#This Row],[New Pos L]]&lt;&gt;0,Table13[[#This Row],[New Pos L]],Table13[[#This Row],[New Pos R]])</f>
        <v>0</v>
      </c>
      <c r="H1818">
        <f>IF(AND(Table13[[#This Row],[Direction]]="L",Table13[[#This Row],[Steps]]&gt;G1817,G1817&lt;&gt;0),1,0)</f>
        <v>0</v>
      </c>
      <c r="I1818">
        <f>IF(AND(Table13[[#This Row],[Direction]]="R",(G1817+Table13[[#This Row],[Steps]])&gt;100),1,0)</f>
        <v>0</v>
      </c>
      <c r="J1818">
        <f>IF(Table13[[#This Row],[POS]]=0,1,0)</f>
        <v>1</v>
      </c>
      <c r="K1818">
        <f>SUM(Table13[[#This Row],[prefix]],Table13[[#This Row],[Past zero L]],Table13[[#This Row],[Past Zero R]],Table13[[#This Row],[Is Zero]])</f>
        <v>1</v>
      </c>
    </row>
    <row r="1819" spans="1:11" ht="16" x14ac:dyDescent="0.2">
      <c r="A1819" s="1" t="s">
        <v>186</v>
      </c>
      <c r="B1819" t="str">
        <f>LEFT(Table13[[#This Row],[Input]],1)</f>
        <v>L</v>
      </c>
      <c r="C1819">
        <f>_xlfn.LET(_xlpm.steps,SUBSTITUTE(Table13[[#This Row],[Input]],Table13[[#This Row],[Direction]],""),VALUE(IF(LEN(_xlpm.steps)&gt;2,RIGHT(_xlpm.steps,2),_xlpm.steps)))</f>
        <v>84</v>
      </c>
      <c r="D1819">
        <f>_xlfn.LET(_xlpm.steps,SUBSTITUTE(Table13[[#This Row],[Input]],Table13[[#This Row],[Direction]],""),VALUE(IF(LEN(_xlpm.steps)&gt;2,LEFT(_xlpm.steps,LEN(_xlpm.steps)-2),0)))</f>
        <v>0</v>
      </c>
      <c r="E1819">
        <f>_xlfn.LET(_xlpm.dir,Table13[[#This Row],[Direction]],
IF(_xlpm.dir="L",
    IF(G1818-Table13[[#This Row],[Steps]]&lt;0,100+(G1818-Table13[[#This Row],[Steps]]),G1818-Table13[[#This Row],[Steps]]),
))</f>
        <v>16</v>
      </c>
      <c r="F1819">
        <f>_xlfn.LET(_xlpm.dir,Table13[[#This Row],[Direction]],
IF(_xlpm.dir="R",
    IF(G1818+Table13[[#This Row],[Steps]]&gt;99,(G1818+Table13[[#This Row],[Steps]])-100,G1818+Table13[[#This Row],[Steps]]),
))</f>
        <v>0</v>
      </c>
      <c r="G1819">
        <f>IF(Table13[[#This Row],[New Pos L]]&lt;&gt;0,Table13[[#This Row],[New Pos L]],Table13[[#This Row],[New Pos R]])</f>
        <v>16</v>
      </c>
      <c r="H1819">
        <f>IF(AND(Table13[[#This Row],[Direction]]="L",Table13[[#This Row],[Steps]]&gt;G1818,G1818&lt;&gt;0),1,0)</f>
        <v>0</v>
      </c>
      <c r="I1819">
        <f>IF(AND(Table13[[#This Row],[Direction]]="R",(G1818+Table13[[#This Row],[Steps]])&gt;100),1,0)</f>
        <v>0</v>
      </c>
      <c r="J1819">
        <f>IF(Table13[[#This Row],[POS]]=0,1,0)</f>
        <v>0</v>
      </c>
      <c r="K1819">
        <f>SUM(Table13[[#This Row],[prefix]],Table13[[#This Row],[Past zero L]],Table13[[#This Row],[Past Zero R]],Table13[[#This Row],[Is Zero]])</f>
        <v>0</v>
      </c>
    </row>
    <row r="1820" spans="1:11" ht="16" x14ac:dyDescent="0.2">
      <c r="A1820" s="1" t="s">
        <v>121</v>
      </c>
      <c r="B1820" t="str">
        <f>LEFT(Table13[[#This Row],[Input]],1)</f>
        <v>L</v>
      </c>
      <c r="C1820">
        <f>_xlfn.LET(_xlpm.steps,SUBSTITUTE(Table13[[#This Row],[Input]],Table13[[#This Row],[Direction]],""),VALUE(IF(LEN(_xlpm.steps)&gt;2,RIGHT(_xlpm.steps,2),_xlpm.steps)))</f>
        <v>69</v>
      </c>
      <c r="D1820">
        <f>_xlfn.LET(_xlpm.steps,SUBSTITUTE(Table13[[#This Row],[Input]],Table13[[#This Row],[Direction]],""),VALUE(IF(LEN(_xlpm.steps)&gt;2,LEFT(_xlpm.steps,LEN(_xlpm.steps)-2),0)))</f>
        <v>0</v>
      </c>
      <c r="E1820">
        <f>_xlfn.LET(_xlpm.dir,Table13[[#This Row],[Direction]],
IF(_xlpm.dir="L",
    IF(G1819-Table13[[#This Row],[Steps]]&lt;0,100+(G1819-Table13[[#This Row],[Steps]]),G1819-Table13[[#This Row],[Steps]]),
))</f>
        <v>47</v>
      </c>
      <c r="F1820">
        <f>_xlfn.LET(_xlpm.dir,Table13[[#This Row],[Direction]],
IF(_xlpm.dir="R",
    IF(G1819+Table13[[#This Row],[Steps]]&gt;99,(G1819+Table13[[#This Row],[Steps]])-100,G1819+Table13[[#This Row],[Steps]]),
))</f>
        <v>0</v>
      </c>
      <c r="G1820">
        <f>IF(Table13[[#This Row],[New Pos L]]&lt;&gt;0,Table13[[#This Row],[New Pos L]],Table13[[#This Row],[New Pos R]])</f>
        <v>47</v>
      </c>
      <c r="H1820">
        <f>IF(AND(Table13[[#This Row],[Direction]]="L",Table13[[#This Row],[Steps]]&gt;G1819,G1819&lt;&gt;0),1,0)</f>
        <v>1</v>
      </c>
      <c r="I1820">
        <f>IF(AND(Table13[[#This Row],[Direction]]="R",(G1819+Table13[[#This Row],[Steps]])&gt;100),1,0)</f>
        <v>0</v>
      </c>
      <c r="J1820">
        <f>IF(Table13[[#This Row],[POS]]=0,1,0)</f>
        <v>0</v>
      </c>
      <c r="K1820">
        <f>SUM(Table13[[#This Row],[prefix]],Table13[[#This Row],[Past zero L]],Table13[[#This Row],[Past Zero R]],Table13[[#This Row],[Is Zero]])</f>
        <v>1</v>
      </c>
    </row>
    <row r="1821" spans="1:11" ht="16" x14ac:dyDescent="0.2">
      <c r="A1821" s="1" t="s">
        <v>511</v>
      </c>
      <c r="B1821" t="str">
        <f>LEFT(Table13[[#This Row],[Input]],1)</f>
        <v>L</v>
      </c>
      <c r="C1821">
        <f>_xlfn.LET(_xlpm.steps,SUBSTITUTE(Table13[[#This Row],[Input]],Table13[[#This Row],[Direction]],""),VALUE(IF(LEN(_xlpm.steps)&gt;2,RIGHT(_xlpm.steps,2),_xlpm.steps)))</f>
        <v>47</v>
      </c>
      <c r="D1821">
        <f>_xlfn.LET(_xlpm.steps,SUBSTITUTE(Table13[[#This Row],[Input]],Table13[[#This Row],[Direction]],""),VALUE(IF(LEN(_xlpm.steps)&gt;2,LEFT(_xlpm.steps,LEN(_xlpm.steps)-2),0)))</f>
        <v>9</v>
      </c>
      <c r="E1821">
        <f>_xlfn.LET(_xlpm.dir,Table13[[#This Row],[Direction]],
IF(_xlpm.dir="L",
    IF(G1820-Table13[[#This Row],[Steps]]&lt;0,100+(G1820-Table13[[#This Row],[Steps]]),G1820-Table13[[#This Row],[Steps]]),
))</f>
        <v>0</v>
      </c>
      <c r="F1821">
        <f>_xlfn.LET(_xlpm.dir,Table13[[#This Row],[Direction]],
IF(_xlpm.dir="R",
    IF(G1820+Table13[[#This Row],[Steps]]&gt;99,(G1820+Table13[[#This Row],[Steps]])-100,G1820+Table13[[#This Row],[Steps]]),
))</f>
        <v>0</v>
      </c>
      <c r="G1821">
        <f>IF(Table13[[#This Row],[New Pos L]]&lt;&gt;0,Table13[[#This Row],[New Pos L]],Table13[[#This Row],[New Pos R]])</f>
        <v>0</v>
      </c>
      <c r="H1821">
        <f>IF(AND(Table13[[#This Row],[Direction]]="L",Table13[[#This Row],[Steps]]&gt;G1820,G1820&lt;&gt;0),1,0)</f>
        <v>0</v>
      </c>
      <c r="I1821">
        <f>IF(AND(Table13[[#This Row],[Direction]]="R",(G1820+Table13[[#This Row],[Steps]])&gt;100),1,0)</f>
        <v>0</v>
      </c>
      <c r="J1821">
        <f>IF(Table13[[#This Row],[POS]]=0,1,0)</f>
        <v>1</v>
      </c>
      <c r="K1821">
        <f>SUM(Table13[[#This Row],[prefix]],Table13[[#This Row],[Past zero L]],Table13[[#This Row],[Past Zero R]],Table13[[#This Row],[Is Zero]])</f>
        <v>10</v>
      </c>
    </row>
    <row r="1822" spans="1:11" ht="16" x14ac:dyDescent="0.2">
      <c r="A1822" s="1" t="s">
        <v>131</v>
      </c>
      <c r="B1822" t="str">
        <f>LEFT(Table13[[#This Row],[Input]],1)</f>
        <v>R</v>
      </c>
      <c r="C1822">
        <f>_xlfn.LET(_xlpm.steps,SUBSTITUTE(Table13[[#This Row],[Input]],Table13[[#This Row],[Direction]],""),VALUE(IF(LEN(_xlpm.steps)&gt;2,RIGHT(_xlpm.steps,2),_xlpm.steps)))</f>
        <v>99</v>
      </c>
      <c r="D1822">
        <f>_xlfn.LET(_xlpm.steps,SUBSTITUTE(Table13[[#This Row],[Input]],Table13[[#This Row],[Direction]],""),VALUE(IF(LEN(_xlpm.steps)&gt;2,LEFT(_xlpm.steps,LEN(_xlpm.steps)-2),0)))</f>
        <v>0</v>
      </c>
      <c r="E1822">
        <f>_xlfn.LET(_xlpm.dir,Table13[[#This Row],[Direction]],
IF(_xlpm.dir="L",
    IF(G1821-Table13[[#This Row],[Steps]]&lt;0,100+(G1821-Table13[[#This Row],[Steps]]),G1821-Table13[[#This Row],[Steps]]),
))</f>
        <v>0</v>
      </c>
      <c r="F1822">
        <f>_xlfn.LET(_xlpm.dir,Table13[[#This Row],[Direction]],
IF(_xlpm.dir="R",
    IF(G1821+Table13[[#This Row],[Steps]]&gt;99,(G1821+Table13[[#This Row],[Steps]])-100,G1821+Table13[[#This Row],[Steps]]),
))</f>
        <v>99</v>
      </c>
      <c r="G1822">
        <f>IF(Table13[[#This Row],[New Pos L]]&lt;&gt;0,Table13[[#This Row],[New Pos L]],Table13[[#This Row],[New Pos R]])</f>
        <v>99</v>
      </c>
      <c r="H1822">
        <f>IF(AND(Table13[[#This Row],[Direction]]="L",Table13[[#This Row],[Steps]]&gt;G1821,G1821&lt;&gt;0),1,0)</f>
        <v>0</v>
      </c>
      <c r="I1822">
        <f>IF(AND(Table13[[#This Row],[Direction]]="R",(G1821+Table13[[#This Row],[Steps]])&gt;100),1,0)</f>
        <v>0</v>
      </c>
      <c r="J1822">
        <f>IF(Table13[[#This Row],[POS]]=0,1,0)</f>
        <v>0</v>
      </c>
      <c r="K1822">
        <f>SUM(Table13[[#This Row],[prefix]],Table13[[#This Row],[Past zero L]],Table13[[#This Row],[Past Zero R]],Table13[[#This Row],[Is Zero]])</f>
        <v>0</v>
      </c>
    </row>
    <row r="1823" spans="1:11" ht="16" x14ac:dyDescent="0.2">
      <c r="A1823" s="1" t="s">
        <v>38</v>
      </c>
      <c r="B1823" t="str">
        <f>LEFT(Table13[[#This Row],[Input]],1)</f>
        <v>R</v>
      </c>
      <c r="C1823">
        <f>_xlfn.LET(_xlpm.steps,SUBSTITUTE(Table13[[#This Row],[Input]],Table13[[#This Row],[Direction]],""),VALUE(IF(LEN(_xlpm.steps)&gt;2,RIGHT(_xlpm.steps,2),_xlpm.steps)))</f>
        <v>15</v>
      </c>
      <c r="D1823">
        <f>_xlfn.LET(_xlpm.steps,SUBSTITUTE(Table13[[#This Row],[Input]],Table13[[#This Row],[Direction]],""),VALUE(IF(LEN(_xlpm.steps)&gt;2,LEFT(_xlpm.steps,LEN(_xlpm.steps)-2),0)))</f>
        <v>0</v>
      </c>
      <c r="E1823">
        <f>_xlfn.LET(_xlpm.dir,Table13[[#This Row],[Direction]],
IF(_xlpm.dir="L",
    IF(G1822-Table13[[#This Row],[Steps]]&lt;0,100+(G1822-Table13[[#This Row],[Steps]]),G1822-Table13[[#This Row],[Steps]]),
))</f>
        <v>0</v>
      </c>
      <c r="F1823">
        <f>_xlfn.LET(_xlpm.dir,Table13[[#This Row],[Direction]],
IF(_xlpm.dir="R",
    IF(G1822+Table13[[#This Row],[Steps]]&gt;99,(G1822+Table13[[#This Row],[Steps]])-100,G1822+Table13[[#This Row],[Steps]]),
))</f>
        <v>14</v>
      </c>
      <c r="G1823">
        <f>IF(Table13[[#This Row],[New Pos L]]&lt;&gt;0,Table13[[#This Row],[New Pos L]],Table13[[#This Row],[New Pos R]])</f>
        <v>14</v>
      </c>
      <c r="H1823">
        <f>IF(AND(Table13[[#This Row],[Direction]]="L",Table13[[#This Row],[Steps]]&gt;G1822,G1822&lt;&gt;0),1,0)</f>
        <v>0</v>
      </c>
      <c r="I1823">
        <f>IF(AND(Table13[[#This Row],[Direction]]="R",(G1822+Table13[[#This Row],[Steps]])&gt;100),1,0)</f>
        <v>1</v>
      </c>
      <c r="J1823">
        <f>IF(Table13[[#This Row],[POS]]=0,1,0)</f>
        <v>0</v>
      </c>
      <c r="K1823">
        <f>SUM(Table13[[#This Row],[prefix]],Table13[[#This Row],[Past zero L]],Table13[[#This Row],[Past Zero R]],Table13[[#This Row],[Is Zero]])</f>
        <v>1</v>
      </c>
    </row>
    <row r="1824" spans="1:11" ht="16" x14ac:dyDescent="0.2">
      <c r="A1824" s="1" t="s">
        <v>309</v>
      </c>
      <c r="B1824" t="str">
        <f>LEFT(Table13[[#This Row],[Input]],1)</f>
        <v>L</v>
      </c>
      <c r="C1824">
        <f>_xlfn.LET(_xlpm.steps,SUBSTITUTE(Table13[[#This Row],[Input]],Table13[[#This Row],[Direction]],""),VALUE(IF(LEN(_xlpm.steps)&gt;2,RIGHT(_xlpm.steps,2),_xlpm.steps)))</f>
        <v>41</v>
      </c>
      <c r="D1824">
        <f>_xlfn.LET(_xlpm.steps,SUBSTITUTE(Table13[[#This Row],[Input]],Table13[[#This Row],[Direction]],""),VALUE(IF(LEN(_xlpm.steps)&gt;2,LEFT(_xlpm.steps,LEN(_xlpm.steps)-2),0)))</f>
        <v>0</v>
      </c>
      <c r="E1824">
        <f>_xlfn.LET(_xlpm.dir,Table13[[#This Row],[Direction]],
IF(_xlpm.dir="L",
    IF(G1823-Table13[[#This Row],[Steps]]&lt;0,100+(G1823-Table13[[#This Row],[Steps]]),G1823-Table13[[#This Row],[Steps]]),
))</f>
        <v>73</v>
      </c>
      <c r="F1824">
        <f>_xlfn.LET(_xlpm.dir,Table13[[#This Row],[Direction]],
IF(_xlpm.dir="R",
    IF(G1823+Table13[[#This Row],[Steps]]&gt;99,(G1823+Table13[[#This Row],[Steps]])-100,G1823+Table13[[#This Row],[Steps]]),
))</f>
        <v>0</v>
      </c>
      <c r="G1824">
        <f>IF(Table13[[#This Row],[New Pos L]]&lt;&gt;0,Table13[[#This Row],[New Pos L]],Table13[[#This Row],[New Pos R]])</f>
        <v>73</v>
      </c>
      <c r="H1824">
        <f>IF(AND(Table13[[#This Row],[Direction]]="L",Table13[[#This Row],[Steps]]&gt;G1823,G1823&lt;&gt;0),1,0)</f>
        <v>1</v>
      </c>
      <c r="I1824">
        <f>IF(AND(Table13[[#This Row],[Direction]]="R",(G1823+Table13[[#This Row],[Steps]])&gt;100),1,0)</f>
        <v>0</v>
      </c>
      <c r="J1824">
        <f>IF(Table13[[#This Row],[POS]]=0,1,0)</f>
        <v>0</v>
      </c>
      <c r="K1824">
        <f>SUM(Table13[[#This Row],[prefix]],Table13[[#This Row],[Past zero L]],Table13[[#This Row],[Past Zero R]],Table13[[#This Row],[Is Zero]])</f>
        <v>1</v>
      </c>
    </row>
    <row r="1825" spans="1:11" ht="16" x14ac:dyDescent="0.2">
      <c r="A1825" s="1" t="s">
        <v>95</v>
      </c>
      <c r="B1825" t="str">
        <f>LEFT(Table13[[#This Row],[Input]],1)</f>
        <v>L</v>
      </c>
      <c r="C1825">
        <f>_xlfn.LET(_xlpm.steps,SUBSTITUTE(Table13[[#This Row],[Input]],Table13[[#This Row],[Direction]],""),VALUE(IF(LEN(_xlpm.steps)&gt;2,RIGHT(_xlpm.steps,2),_xlpm.steps)))</f>
        <v>78</v>
      </c>
      <c r="D1825">
        <f>_xlfn.LET(_xlpm.steps,SUBSTITUTE(Table13[[#This Row],[Input]],Table13[[#This Row],[Direction]],""),VALUE(IF(LEN(_xlpm.steps)&gt;2,LEFT(_xlpm.steps,LEN(_xlpm.steps)-2),0)))</f>
        <v>0</v>
      </c>
      <c r="E1825">
        <f>_xlfn.LET(_xlpm.dir,Table13[[#This Row],[Direction]],
IF(_xlpm.dir="L",
    IF(G1824-Table13[[#This Row],[Steps]]&lt;0,100+(G1824-Table13[[#This Row],[Steps]]),G1824-Table13[[#This Row],[Steps]]),
))</f>
        <v>95</v>
      </c>
      <c r="F1825">
        <f>_xlfn.LET(_xlpm.dir,Table13[[#This Row],[Direction]],
IF(_xlpm.dir="R",
    IF(G1824+Table13[[#This Row],[Steps]]&gt;99,(G1824+Table13[[#This Row],[Steps]])-100,G1824+Table13[[#This Row],[Steps]]),
))</f>
        <v>0</v>
      </c>
      <c r="G1825">
        <f>IF(Table13[[#This Row],[New Pos L]]&lt;&gt;0,Table13[[#This Row],[New Pos L]],Table13[[#This Row],[New Pos R]])</f>
        <v>95</v>
      </c>
      <c r="H1825">
        <f>IF(AND(Table13[[#This Row],[Direction]]="L",Table13[[#This Row],[Steps]]&gt;G1824,G1824&lt;&gt;0),1,0)</f>
        <v>1</v>
      </c>
      <c r="I1825">
        <f>IF(AND(Table13[[#This Row],[Direction]]="R",(G1824+Table13[[#This Row],[Steps]])&gt;100),1,0)</f>
        <v>0</v>
      </c>
      <c r="J1825">
        <f>IF(Table13[[#This Row],[POS]]=0,1,0)</f>
        <v>0</v>
      </c>
      <c r="K1825">
        <f>SUM(Table13[[#This Row],[prefix]],Table13[[#This Row],[Past zero L]],Table13[[#This Row],[Past Zero R]],Table13[[#This Row],[Is Zero]])</f>
        <v>1</v>
      </c>
    </row>
    <row r="1826" spans="1:11" ht="16" x14ac:dyDescent="0.2">
      <c r="A1826" s="1" t="s">
        <v>100</v>
      </c>
      <c r="B1826" t="str">
        <f>LEFT(Table13[[#This Row],[Input]],1)</f>
        <v>R</v>
      </c>
      <c r="C1826">
        <f>_xlfn.LET(_xlpm.steps,SUBSTITUTE(Table13[[#This Row],[Input]],Table13[[#This Row],[Direction]],""),VALUE(IF(LEN(_xlpm.steps)&gt;2,RIGHT(_xlpm.steps,2),_xlpm.steps)))</f>
        <v>58</v>
      </c>
      <c r="D1826">
        <f>_xlfn.LET(_xlpm.steps,SUBSTITUTE(Table13[[#This Row],[Input]],Table13[[#This Row],[Direction]],""),VALUE(IF(LEN(_xlpm.steps)&gt;2,LEFT(_xlpm.steps,LEN(_xlpm.steps)-2),0)))</f>
        <v>0</v>
      </c>
      <c r="E1826">
        <f>_xlfn.LET(_xlpm.dir,Table13[[#This Row],[Direction]],
IF(_xlpm.dir="L",
    IF(G1825-Table13[[#This Row],[Steps]]&lt;0,100+(G1825-Table13[[#This Row],[Steps]]),G1825-Table13[[#This Row],[Steps]]),
))</f>
        <v>0</v>
      </c>
      <c r="F1826">
        <f>_xlfn.LET(_xlpm.dir,Table13[[#This Row],[Direction]],
IF(_xlpm.dir="R",
    IF(G1825+Table13[[#This Row],[Steps]]&gt;99,(G1825+Table13[[#This Row],[Steps]])-100,G1825+Table13[[#This Row],[Steps]]),
))</f>
        <v>53</v>
      </c>
      <c r="G1826">
        <f>IF(Table13[[#This Row],[New Pos L]]&lt;&gt;0,Table13[[#This Row],[New Pos L]],Table13[[#This Row],[New Pos R]])</f>
        <v>53</v>
      </c>
      <c r="H1826">
        <f>IF(AND(Table13[[#This Row],[Direction]]="L",Table13[[#This Row],[Steps]]&gt;G1825,G1825&lt;&gt;0),1,0)</f>
        <v>0</v>
      </c>
      <c r="I1826">
        <f>IF(AND(Table13[[#This Row],[Direction]]="R",(G1825+Table13[[#This Row],[Steps]])&gt;100),1,0)</f>
        <v>1</v>
      </c>
      <c r="J1826">
        <f>IF(Table13[[#This Row],[POS]]=0,1,0)</f>
        <v>0</v>
      </c>
      <c r="K1826">
        <f>SUM(Table13[[#This Row],[prefix]],Table13[[#This Row],[Past zero L]],Table13[[#This Row],[Past Zero R]],Table13[[#This Row],[Is Zero]])</f>
        <v>1</v>
      </c>
    </row>
    <row r="1827" spans="1:11" ht="16" x14ac:dyDescent="0.2">
      <c r="A1827" s="1" t="s">
        <v>65</v>
      </c>
      <c r="B1827" t="str">
        <f>LEFT(Table13[[#This Row],[Input]],1)</f>
        <v>L</v>
      </c>
      <c r="C1827">
        <f>_xlfn.LET(_xlpm.steps,SUBSTITUTE(Table13[[#This Row],[Input]],Table13[[#This Row],[Direction]],""),VALUE(IF(LEN(_xlpm.steps)&gt;2,RIGHT(_xlpm.steps,2),_xlpm.steps)))</f>
        <v>19</v>
      </c>
      <c r="D1827">
        <f>_xlfn.LET(_xlpm.steps,SUBSTITUTE(Table13[[#This Row],[Input]],Table13[[#This Row],[Direction]],""),VALUE(IF(LEN(_xlpm.steps)&gt;2,LEFT(_xlpm.steps,LEN(_xlpm.steps)-2),0)))</f>
        <v>0</v>
      </c>
      <c r="E1827">
        <f>_xlfn.LET(_xlpm.dir,Table13[[#This Row],[Direction]],
IF(_xlpm.dir="L",
    IF(G1826-Table13[[#This Row],[Steps]]&lt;0,100+(G1826-Table13[[#This Row],[Steps]]),G1826-Table13[[#This Row],[Steps]]),
))</f>
        <v>34</v>
      </c>
      <c r="F1827">
        <f>_xlfn.LET(_xlpm.dir,Table13[[#This Row],[Direction]],
IF(_xlpm.dir="R",
    IF(G1826+Table13[[#This Row],[Steps]]&gt;99,(G1826+Table13[[#This Row],[Steps]])-100,G1826+Table13[[#This Row],[Steps]]),
))</f>
        <v>0</v>
      </c>
      <c r="G1827">
        <f>IF(Table13[[#This Row],[New Pos L]]&lt;&gt;0,Table13[[#This Row],[New Pos L]],Table13[[#This Row],[New Pos R]])</f>
        <v>34</v>
      </c>
      <c r="H1827">
        <f>IF(AND(Table13[[#This Row],[Direction]]="L",Table13[[#This Row],[Steps]]&gt;G1826,G1826&lt;&gt;0),1,0)</f>
        <v>0</v>
      </c>
      <c r="I1827">
        <f>IF(AND(Table13[[#This Row],[Direction]]="R",(G1826+Table13[[#This Row],[Steps]])&gt;100),1,0)</f>
        <v>0</v>
      </c>
      <c r="J1827">
        <f>IF(Table13[[#This Row],[POS]]=0,1,0)</f>
        <v>0</v>
      </c>
      <c r="K1827">
        <f>SUM(Table13[[#This Row],[prefix]],Table13[[#This Row],[Past zero L]],Table13[[#This Row],[Past Zero R]],Table13[[#This Row],[Is Zero]])</f>
        <v>0</v>
      </c>
    </row>
    <row r="1828" spans="1:11" ht="16" x14ac:dyDescent="0.2">
      <c r="A1828" s="1" t="s">
        <v>63</v>
      </c>
      <c r="B1828" t="str">
        <f>LEFT(Table13[[#This Row],[Input]],1)</f>
        <v>R</v>
      </c>
      <c r="C1828">
        <f>_xlfn.LET(_xlpm.steps,SUBSTITUTE(Table13[[#This Row],[Input]],Table13[[#This Row],[Direction]],""),VALUE(IF(LEN(_xlpm.steps)&gt;2,RIGHT(_xlpm.steps,2),_xlpm.steps)))</f>
        <v>57</v>
      </c>
      <c r="D1828">
        <f>_xlfn.LET(_xlpm.steps,SUBSTITUTE(Table13[[#This Row],[Input]],Table13[[#This Row],[Direction]],""),VALUE(IF(LEN(_xlpm.steps)&gt;2,LEFT(_xlpm.steps,LEN(_xlpm.steps)-2),0)))</f>
        <v>0</v>
      </c>
      <c r="E1828">
        <f>_xlfn.LET(_xlpm.dir,Table13[[#This Row],[Direction]],
IF(_xlpm.dir="L",
    IF(G1827-Table13[[#This Row],[Steps]]&lt;0,100+(G1827-Table13[[#This Row],[Steps]]),G1827-Table13[[#This Row],[Steps]]),
))</f>
        <v>0</v>
      </c>
      <c r="F1828">
        <f>_xlfn.LET(_xlpm.dir,Table13[[#This Row],[Direction]],
IF(_xlpm.dir="R",
    IF(G1827+Table13[[#This Row],[Steps]]&gt;99,(G1827+Table13[[#This Row],[Steps]])-100,G1827+Table13[[#This Row],[Steps]]),
))</f>
        <v>91</v>
      </c>
      <c r="G1828">
        <f>IF(Table13[[#This Row],[New Pos L]]&lt;&gt;0,Table13[[#This Row],[New Pos L]],Table13[[#This Row],[New Pos R]])</f>
        <v>91</v>
      </c>
      <c r="H1828">
        <f>IF(AND(Table13[[#This Row],[Direction]]="L",Table13[[#This Row],[Steps]]&gt;G1827,G1827&lt;&gt;0),1,0)</f>
        <v>0</v>
      </c>
      <c r="I1828">
        <f>IF(AND(Table13[[#This Row],[Direction]]="R",(G1827+Table13[[#This Row],[Steps]])&gt;100),1,0)</f>
        <v>0</v>
      </c>
      <c r="J1828">
        <f>IF(Table13[[#This Row],[POS]]=0,1,0)</f>
        <v>0</v>
      </c>
      <c r="K1828">
        <f>SUM(Table13[[#This Row],[prefix]],Table13[[#This Row],[Past zero L]],Table13[[#This Row],[Past Zero R]],Table13[[#This Row],[Is Zero]])</f>
        <v>0</v>
      </c>
    </row>
    <row r="1829" spans="1:11" ht="16" x14ac:dyDescent="0.2">
      <c r="A1829" s="1" t="s">
        <v>512</v>
      </c>
      <c r="B1829" t="str">
        <f>LEFT(Table13[[#This Row],[Input]],1)</f>
        <v>L</v>
      </c>
      <c r="C1829">
        <f>_xlfn.LET(_xlpm.steps,SUBSTITUTE(Table13[[#This Row],[Input]],Table13[[#This Row],[Direction]],""),VALUE(IF(LEN(_xlpm.steps)&gt;2,RIGHT(_xlpm.steps,2),_xlpm.steps)))</f>
        <v>36</v>
      </c>
      <c r="D1829">
        <f>_xlfn.LET(_xlpm.steps,SUBSTITUTE(Table13[[#This Row],[Input]],Table13[[#This Row],[Direction]],""),VALUE(IF(LEN(_xlpm.steps)&gt;2,LEFT(_xlpm.steps,LEN(_xlpm.steps)-2),0)))</f>
        <v>7</v>
      </c>
      <c r="E1829">
        <f>_xlfn.LET(_xlpm.dir,Table13[[#This Row],[Direction]],
IF(_xlpm.dir="L",
    IF(G1828-Table13[[#This Row],[Steps]]&lt;0,100+(G1828-Table13[[#This Row],[Steps]]),G1828-Table13[[#This Row],[Steps]]),
))</f>
        <v>55</v>
      </c>
      <c r="F1829">
        <f>_xlfn.LET(_xlpm.dir,Table13[[#This Row],[Direction]],
IF(_xlpm.dir="R",
    IF(G1828+Table13[[#This Row],[Steps]]&gt;99,(G1828+Table13[[#This Row],[Steps]])-100,G1828+Table13[[#This Row],[Steps]]),
))</f>
        <v>0</v>
      </c>
      <c r="G1829">
        <f>IF(Table13[[#This Row],[New Pos L]]&lt;&gt;0,Table13[[#This Row],[New Pos L]],Table13[[#This Row],[New Pos R]])</f>
        <v>55</v>
      </c>
      <c r="H1829">
        <f>IF(AND(Table13[[#This Row],[Direction]]="L",Table13[[#This Row],[Steps]]&gt;G1828,G1828&lt;&gt;0),1,0)</f>
        <v>0</v>
      </c>
      <c r="I1829">
        <f>IF(AND(Table13[[#This Row],[Direction]]="R",(G1828+Table13[[#This Row],[Steps]])&gt;100),1,0)</f>
        <v>0</v>
      </c>
      <c r="J1829">
        <f>IF(Table13[[#This Row],[POS]]=0,1,0)</f>
        <v>0</v>
      </c>
      <c r="K1829">
        <f>SUM(Table13[[#This Row],[prefix]],Table13[[#This Row],[Past zero L]],Table13[[#This Row],[Past Zero R]],Table13[[#This Row],[Is Zero]])</f>
        <v>7</v>
      </c>
    </row>
    <row r="1830" spans="1:11" ht="16" x14ac:dyDescent="0.2">
      <c r="A1830" s="1" t="s">
        <v>91</v>
      </c>
      <c r="B1830" t="str">
        <f>LEFT(Table13[[#This Row],[Input]],1)</f>
        <v>L</v>
      </c>
      <c r="C1830">
        <f>_xlfn.LET(_xlpm.steps,SUBSTITUTE(Table13[[#This Row],[Input]],Table13[[#This Row],[Direction]],""),VALUE(IF(LEN(_xlpm.steps)&gt;2,RIGHT(_xlpm.steps,2),_xlpm.steps)))</f>
        <v>22</v>
      </c>
      <c r="D1830">
        <f>_xlfn.LET(_xlpm.steps,SUBSTITUTE(Table13[[#This Row],[Input]],Table13[[#This Row],[Direction]],""),VALUE(IF(LEN(_xlpm.steps)&gt;2,LEFT(_xlpm.steps,LEN(_xlpm.steps)-2),0)))</f>
        <v>0</v>
      </c>
      <c r="E1830">
        <f>_xlfn.LET(_xlpm.dir,Table13[[#This Row],[Direction]],
IF(_xlpm.dir="L",
    IF(G1829-Table13[[#This Row],[Steps]]&lt;0,100+(G1829-Table13[[#This Row],[Steps]]),G1829-Table13[[#This Row],[Steps]]),
))</f>
        <v>33</v>
      </c>
      <c r="F1830">
        <f>_xlfn.LET(_xlpm.dir,Table13[[#This Row],[Direction]],
IF(_xlpm.dir="R",
    IF(G1829+Table13[[#This Row],[Steps]]&gt;99,(G1829+Table13[[#This Row],[Steps]])-100,G1829+Table13[[#This Row],[Steps]]),
))</f>
        <v>0</v>
      </c>
      <c r="G1830">
        <f>IF(Table13[[#This Row],[New Pos L]]&lt;&gt;0,Table13[[#This Row],[New Pos L]],Table13[[#This Row],[New Pos R]])</f>
        <v>33</v>
      </c>
      <c r="H1830">
        <f>IF(AND(Table13[[#This Row],[Direction]]="L",Table13[[#This Row],[Steps]]&gt;G1829,G1829&lt;&gt;0),1,0)</f>
        <v>0</v>
      </c>
      <c r="I1830">
        <f>IF(AND(Table13[[#This Row],[Direction]]="R",(G1829+Table13[[#This Row],[Steps]])&gt;100),1,0)</f>
        <v>0</v>
      </c>
      <c r="J1830">
        <f>IF(Table13[[#This Row],[POS]]=0,1,0)</f>
        <v>0</v>
      </c>
      <c r="K1830">
        <f>SUM(Table13[[#This Row],[prefix]],Table13[[#This Row],[Past zero L]],Table13[[#This Row],[Past Zero R]],Table13[[#This Row],[Is Zero]])</f>
        <v>0</v>
      </c>
    </row>
    <row r="1831" spans="1:11" ht="16" x14ac:dyDescent="0.2">
      <c r="A1831" s="1" t="s">
        <v>44</v>
      </c>
      <c r="B1831" t="str">
        <f>LEFT(Table13[[#This Row],[Input]],1)</f>
        <v>R</v>
      </c>
      <c r="C1831">
        <f>_xlfn.LET(_xlpm.steps,SUBSTITUTE(Table13[[#This Row],[Input]],Table13[[#This Row],[Direction]],""),VALUE(IF(LEN(_xlpm.steps)&gt;2,RIGHT(_xlpm.steps,2),_xlpm.steps)))</f>
        <v>96</v>
      </c>
      <c r="D1831">
        <f>_xlfn.LET(_xlpm.steps,SUBSTITUTE(Table13[[#This Row],[Input]],Table13[[#This Row],[Direction]],""),VALUE(IF(LEN(_xlpm.steps)&gt;2,LEFT(_xlpm.steps,LEN(_xlpm.steps)-2),0)))</f>
        <v>0</v>
      </c>
      <c r="E1831">
        <f>_xlfn.LET(_xlpm.dir,Table13[[#This Row],[Direction]],
IF(_xlpm.dir="L",
    IF(G1830-Table13[[#This Row],[Steps]]&lt;0,100+(G1830-Table13[[#This Row],[Steps]]),G1830-Table13[[#This Row],[Steps]]),
))</f>
        <v>0</v>
      </c>
      <c r="F1831">
        <f>_xlfn.LET(_xlpm.dir,Table13[[#This Row],[Direction]],
IF(_xlpm.dir="R",
    IF(G1830+Table13[[#This Row],[Steps]]&gt;99,(G1830+Table13[[#This Row],[Steps]])-100,G1830+Table13[[#This Row],[Steps]]),
))</f>
        <v>29</v>
      </c>
      <c r="G1831">
        <f>IF(Table13[[#This Row],[New Pos L]]&lt;&gt;0,Table13[[#This Row],[New Pos L]],Table13[[#This Row],[New Pos R]])</f>
        <v>29</v>
      </c>
      <c r="H1831">
        <f>IF(AND(Table13[[#This Row],[Direction]]="L",Table13[[#This Row],[Steps]]&gt;G1830,G1830&lt;&gt;0),1,0)</f>
        <v>0</v>
      </c>
      <c r="I1831">
        <f>IF(AND(Table13[[#This Row],[Direction]]="R",(G1830+Table13[[#This Row],[Steps]])&gt;100),1,0)</f>
        <v>1</v>
      </c>
      <c r="J1831">
        <f>IF(Table13[[#This Row],[POS]]=0,1,0)</f>
        <v>0</v>
      </c>
      <c r="K1831">
        <f>SUM(Table13[[#This Row],[prefix]],Table13[[#This Row],[Past zero L]],Table13[[#This Row],[Past Zero R]],Table13[[#This Row],[Is Zero]])</f>
        <v>1</v>
      </c>
    </row>
    <row r="1832" spans="1:11" ht="16" x14ac:dyDescent="0.2">
      <c r="A1832" s="1" t="s">
        <v>245</v>
      </c>
      <c r="B1832" t="str">
        <f>LEFT(Table13[[#This Row],[Input]],1)</f>
        <v>R</v>
      </c>
      <c r="C1832">
        <f>_xlfn.LET(_xlpm.steps,SUBSTITUTE(Table13[[#This Row],[Input]],Table13[[#This Row],[Direction]],""),VALUE(IF(LEN(_xlpm.steps)&gt;2,RIGHT(_xlpm.steps,2),_xlpm.steps)))</f>
        <v>71</v>
      </c>
      <c r="D1832">
        <f>_xlfn.LET(_xlpm.steps,SUBSTITUTE(Table13[[#This Row],[Input]],Table13[[#This Row],[Direction]],""),VALUE(IF(LEN(_xlpm.steps)&gt;2,LEFT(_xlpm.steps,LEN(_xlpm.steps)-2),0)))</f>
        <v>0</v>
      </c>
      <c r="E1832">
        <f>_xlfn.LET(_xlpm.dir,Table13[[#This Row],[Direction]],
IF(_xlpm.dir="L",
    IF(G1831-Table13[[#This Row],[Steps]]&lt;0,100+(G1831-Table13[[#This Row],[Steps]]),G1831-Table13[[#This Row],[Steps]]),
))</f>
        <v>0</v>
      </c>
      <c r="F1832">
        <f>_xlfn.LET(_xlpm.dir,Table13[[#This Row],[Direction]],
IF(_xlpm.dir="R",
    IF(G1831+Table13[[#This Row],[Steps]]&gt;99,(G1831+Table13[[#This Row],[Steps]])-100,G1831+Table13[[#This Row],[Steps]]),
))</f>
        <v>0</v>
      </c>
      <c r="G1832">
        <f>IF(Table13[[#This Row],[New Pos L]]&lt;&gt;0,Table13[[#This Row],[New Pos L]],Table13[[#This Row],[New Pos R]])</f>
        <v>0</v>
      </c>
      <c r="H1832">
        <f>IF(AND(Table13[[#This Row],[Direction]]="L",Table13[[#This Row],[Steps]]&gt;G1831,G1831&lt;&gt;0),1,0)</f>
        <v>0</v>
      </c>
      <c r="I1832">
        <f>IF(AND(Table13[[#This Row],[Direction]]="R",(G1831+Table13[[#This Row],[Steps]])&gt;100),1,0)</f>
        <v>0</v>
      </c>
      <c r="J1832">
        <f>IF(Table13[[#This Row],[POS]]=0,1,0)</f>
        <v>1</v>
      </c>
      <c r="K1832">
        <f>SUM(Table13[[#This Row],[prefix]],Table13[[#This Row],[Past zero L]],Table13[[#This Row],[Past Zero R]],Table13[[#This Row],[Is Zero]])</f>
        <v>1</v>
      </c>
    </row>
    <row r="1833" spans="1:11" ht="16" x14ac:dyDescent="0.2">
      <c r="A1833" s="1" t="s">
        <v>167</v>
      </c>
      <c r="B1833" t="str">
        <f>LEFT(Table13[[#This Row],[Input]],1)</f>
        <v>L</v>
      </c>
      <c r="C1833">
        <f>_xlfn.LET(_xlpm.steps,SUBSTITUTE(Table13[[#This Row],[Input]],Table13[[#This Row],[Direction]],""),VALUE(IF(LEN(_xlpm.steps)&gt;2,RIGHT(_xlpm.steps,2),_xlpm.steps)))</f>
        <v>59</v>
      </c>
      <c r="D1833">
        <f>_xlfn.LET(_xlpm.steps,SUBSTITUTE(Table13[[#This Row],[Input]],Table13[[#This Row],[Direction]],""),VALUE(IF(LEN(_xlpm.steps)&gt;2,LEFT(_xlpm.steps,LEN(_xlpm.steps)-2),0)))</f>
        <v>0</v>
      </c>
      <c r="E1833">
        <f>_xlfn.LET(_xlpm.dir,Table13[[#This Row],[Direction]],
IF(_xlpm.dir="L",
    IF(G1832-Table13[[#This Row],[Steps]]&lt;0,100+(G1832-Table13[[#This Row],[Steps]]),G1832-Table13[[#This Row],[Steps]]),
))</f>
        <v>41</v>
      </c>
      <c r="F1833">
        <f>_xlfn.LET(_xlpm.dir,Table13[[#This Row],[Direction]],
IF(_xlpm.dir="R",
    IF(G1832+Table13[[#This Row],[Steps]]&gt;99,(G1832+Table13[[#This Row],[Steps]])-100,G1832+Table13[[#This Row],[Steps]]),
))</f>
        <v>0</v>
      </c>
      <c r="G1833">
        <f>IF(Table13[[#This Row],[New Pos L]]&lt;&gt;0,Table13[[#This Row],[New Pos L]],Table13[[#This Row],[New Pos R]])</f>
        <v>41</v>
      </c>
      <c r="H1833">
        <f>IF(AND(Table13[[#This Row],[Direction]]="L",Table13[[#This Row],[Steps]]&gt;G1832,G1832&lt;&gt;0),1,0)</f>
        <v>0</v>
      </c>
      <c r="I1833">
        <f>IF(AND(Table13[[#This Row],[Direction]]="R",(G1832+Table13[[#This Row],[Steps]])&gt;100),1,0)</f>
        <v>0</v>
      </c>
      <c r="J1833">
        <f>IF(Table13[[#This Row],[POS]]=0,1,0)</f>
        <v>0</v>
      </c>
      <c r="K1833">
        <f>SUM(Table13[[#This Row],[prefix]],Table13[[#This Row],[Past zero L]],Table13[[#This Row],[Past Zero R]],Table13[[#This Row],[Is Zero]])</f>
        <v>0</v>
      </c>
    </row>
    <row r="1834" spans="1:11" ht="16" x14ac:dyDescent="0.2">
      <c r="A1834" s="1" t="s">
        <v>213</v>
      </c>
      <c r="B1834" t="str">
        <f>LEFT(Table13[[#This Row],[Input]],1)</f>
        <v>R</v>
      </c>
      <c r="C1834">
        <f>_xlfn.LET(_xlpm.steps,SUBSTITUTE(Table13[[#This Row],[Input]],Table13[[#This Row],[Direction]],""),VALUE(IF(LEN(_xlpm.steps)&gt;2,RIGHT(_xlpm.steps,2),_xlpm.steps)))</f>
        <v>87</v>
      </c>
      <c r="D1834">
        <f>_xlfn.LET(_xlpm.steps,SUBSTITUTE(Table13[[#This Row],[Input]],Table13[[#This Row],[Direction]],""),VALUE(IF(LEN(_xlpm.steps)&gt;2,LEFT(_xlpm.steps,LEN(_xlpm.steps)-2),0)))</f>
        <v>0</v>
      </c>
      <c r="E1834">
        <f>_xlfn.LET(_xlpm.dir,Table13[[#This Row],[Direction]],
IF(_xlpm.dir="L",
    IF(G1833-Table13[[#This Row],[Steps]]&lt;0,100+(G1833-Table13[[#This Row],[Steps]]),G1833-Table13[[#This Row],[Steps]]),
))</f>
        <v>0</v>
      </c>
      <c r="F1834">
        <f>_xlfn.LET(_xlpm.dir,Table13[[#This Row],[Direction]],
IF(_xlpm.dir="R",
    IF(G1833+Table13[[#This Row],[Steps]]&gt;99,(G1833+Table13[[#This Row],[Steps]])-100,G1833+Table13[[#This Row],[Steps]]),
))</f>
        <v>28</v>
      </c>
      <c r="G1834">
        <f>IF(Table13[[#This Row],[New Pos L]]&lt;&gt;0,Table13[[#This Row],[New Pos L]],Table13[[#This Row],[New Pos R]])</f>
        <v>28</v>
      </c>
      <c r="H1834">
        <f>IF(AND(Table13[[#This Row],[Direction]]="L",Table13[[#This Row],[Steps]]&gt;G1833,G1833&lt;&gt;0),1,0)</f>
        <v>0</v>
      </c>
      <c r="I1834">
        <f>IF(AND(Table13[[#This Row],[Direction]]="R",(G1833+Table13[[#This Row],[Steps]])&gt;100),1,0)</f>
        <v>1</v>
      </c>
      <c r="J1834">
        <f>IF(Table13[[#This Row],[POS]]=0,1,0)</f>
        <v>0</v>
      </c>
      <c r="K1834">
        <f>SUM(Table13[[#This Row],[prefix]],Table13[[#This Row],[Past zero L]],Table13[[#This Row],[Past Zero R]],Table13[[#This Row],[Is Zero]])</f>
        <v>1</v>
      </c>
    </row>
    <row r="1835" spans="1:11" ht="16" x14ac:dyDescent="0.2">
      <c r="A1835" s="1" t="s">
        <v>102</v>
      </c>
      <c r="B1835" t="str">
        <f>LEFT(Table13[[#This Row],[Input]],1)</f>
        <v>R</v>
      </c>
      <c r="C1835">
        <f>_xlfn.LET(_xlpm.steps,SUBSTITUTE(Table13[[#This Row],[Input]],Table13[[#This Row],[Direction]],""),VALUE(IF(LEN(_xlpm.steps)&gt;2,RIGHT(_xlpm.steps,2),_xlpm.steps)))</f>
        <v>39</v>
      </c>
      <c r="D1835">
        <f>_xlfn.LET(_xlpm.steps,SUBSTITUTE(Table13[[#This Row],[Input]],Table13[[#This Row],[Direction]],""),VALUE(IF(LEN(_xlpm.steps)&gt;2,LEFT(_xlpm.steps,LEN(_xlpm.steps)-2),0)))</f>
        <v>0</v>
      </c>
      <c r="E1835">
        <f>_xlfn.LET(_xlpm.dir,Table13[[#This Row],[Direction]],
IF(_xlpm.dir="L",
    IF(G1834-Table13[[#This Row],[Steps]]&lt;0,100+(G1834-Table13[[#This Row],[Steps]]),G1834-Table13[[#This Row],[Steps]]),
))</f>
        <v>0</v>
      </c>
      <c r="F1835">
        <f>_xlfn.LET(_xlpm.dir,Table13[[#This Row],[Direction]],
IF(_xlpm.dir="R",
    IF(G1834+Table13[[#This Row],[Steps]]&gt;99,(G1834+Table13[[#This Row],[Steps]])-100,G1834+Table13[[#This Row],[Steps]]),
))</f>
        <v>67</v>
      </c>
      <c r="G1835">
        <f>IF(Table13[[#This Row],[New Pos L]]&lt;&gt;0,Table13[[#This Row],[New Pos L]],Table13[[#This Row],[New Pos R]])</f>
        <v>67</v>
      </c>
      <c r="H1835">
        <f>IF(AND(Table13[[#This Row],[Direction]]="L",Table13[[#This Row],[Steps]]&gt;G1834,G1834&lt;&gt;0),1,0)</f>
        <v>0</v>
      </c>
      <c r="I1835">
        <f>IF(AND(Table13[[#This Row],[Direction]]="R",(G1834+Table13[[#This Row],[Steps]])&gt;100),1,0)</f>
        <v>0</v>
      </c>
      <c r="J1835">
        <f>IF(Table13[[#This Row],[POS]]=0,1,0)</f>
        <v>0</v>
      </c>
      <c r="K1835">
        <f>SUM(Table13[[#This Row],[prefix]],Table13[[#This Row],[Past zero L]],Table13[[#This Row],[Past Zero R]],Table13[[#This Row],[Is Zero]])</f>
        <v>0</v>
      </c>
    </row>
    <row r="1836" spans="1:11" ht="16" x14ac:dyDescent="0.2">
      <c r="A1836" s="1" t="s">
        <v>513</v>
      </c>
      <c r="B1836" t="str">
        <f>LEFT(Table13[[#This Row],[Input]],1)</f>
        <v>R</v>
      </c>
      <c r="C1836">
        <f>_xlfn.LET(_xlpm.steps,SUBSTITUTE(Table13[[#This Row],[Input]],Table13[[#This Row],[Direction]],""),VALUE(IF(LEN(_xlpm.steps)&gt;2,RIGHT(_xlpm.steps,2),_xlpm.steps)))</f>
        <v>55</v>
      </c>
      <c r="D1836">
        <f>_xlfn.LET(_xlpm.steps,SUBSTITUTE(Table13[[#This Row],[Input]],Table13[[#This Row],[Direction]],""),VALUE(IF(LEN(_xlpm.steps)&gt;2,LEFT(_xlpm.steps,LEN(_xlpm.steps)-2),0)))</f>
        <v>6</v>
      </c>
      <c r="E1836">
        <f>_xlfn.LET(_xlpm.dir,Table13[[#This Row],[Direction]],
IF(_xlpm.dir="L",
    IF(G1835-Table13[[#This Row],[Steps]]&lt;0,100+(G1835-Table13[[#This Row],[Steps]]),G1835-Table13[[#This Row],[Steps]]),
))</f>
        <v>0</v>
      </c>
      <c r="F1836">
        <f>_xlfn.LET(_xlpm.dir,Table13[[#This Row],[Direction]],
IF(_xlpm.dir="R",
    IF(G1835+Table13[[#This Row],[Steps]]&gt;99,(G1835+Table13[[#This Row],[Steps]])-100,G1835+Table13[[#This Row],[Steps]]),
))</f>
        <v>22</v>
      </c>
      <c r="G1836">
        <f>IF(Table13[[#This Row],[New Pos L]]&lt;&gt;0,Table13[[#This Row],[New Pos L]],Table13[[#This Row],[New Pos R]])</f>
        <v>22</v>
      </c>
      <c r="H1836">
        <f>IF(AND(Table13[[#This Row],[Direction]]="L",Table13[[#This Row],[Steps]]&gt;G1835,G1835&lt;&gt;0),1,0)</f>
        <v>0</v>
      </c>
      <c r="I1836">
        <f>IF(AND(Table13[[#This Row],[Direction]]="R",(G1835+Table13[[#This Row],[Steps]])&gt;100),1,0)</f>
        <v>1</v>
      </c>
      <c r="J1836">
        <f>IF(Table13[[#This Row],[POS]]=0,1,0)</f>
        <v>0</v>
      </c>
      <c r="K1836">
        <f>SUM(Table13[[#This Row],[prefix]],Table13[[#This Row],[Past zero L]],Table13[[#This Row],[Past Zero R]],Table13[[#This Row],[Is Zero]])</f>
        <v>7</v>
      </c>
    </row>
    <row r="1837" spans="1:11" ht="16" x14ac:dyDescent="0.2">
      <c r="A1837" s="1" t="s">
        <v>254</v>
      </c>
      <c r="B1837" t="str">
        <f>LEFT(Table13[[#This Row],[Input]],1)</f>
        <v>R</v>
      </c>
      <c r="C1837">
        <f>_xlfn.LET(_xlpm.steps,SUBSTITUTE(Table13[[#This Row],[Input]],Table13[[#This Row],[Direction]],""),VALUE(IF(LEN(_xlpm.steps)&gt;2,RIGHT(_xlpm.steps,2),_xlpm.steps)))</f>
        <v>84</v>
      </c>
      <c r="D1837">
        <f>_xlfn.LET(_xlpm.steps,SUBSTITUTE(Table13[[#This Row],[Input]],Table13[[#This Row],[Direction]],""),VALUE(IF(LEN(_xlpm.steps)&gt;2,LEFT(_xlpm.steps,LEN(_xlpm.steps)-2),0)))</f>
        <v>0</v>
      </c>
      <c r="E1837">
        <f>_xlfn.LET(_xlpm.dir,Table13[[#This Row],[Direction]],
IF(_xlpm.dir="L",
    IF(G1836-Table13[[#This Row],[Steps]]&lt;0,100+(G1836-Table13[[#This Row],[Steps]]),G1836-Table13[[#This Row],[Steps]]),
))</f>
        <v>0</v>
      </c>
      <c r="F1837">
        <f>_xlfn.LET(_xlpm.dir,Table13[[#This Row],[Direction]],
IF(_xlpm.dir="R",
    IF(G1836+Table13[[#This Row],[Steps]]&gt;99,(G1836+Table13[[#This Row],[Steps]])-100,G1836+Table13[[#This Row],[Steps]]),
))</f>
        <v>6</v>
      </c>
      <c r="G1837">
        <f>IF(Table13[[#This Row],[New Pos L]]&lt;&gt;0,Table13[[#This Row],[New Pos L]],Table13[[#This Row],[New Pos R]])</f>
        <v>6</v>
      </c>
      <c r="H1837">
        <f>IF(AND(Table13[[#This Row],[Direction]]="L",Table13[[#This Row],[Steps]]&gt;G1836,G1836&lt;&gt;0),1,0)</f>
        <v>0</v>
      </c>
      <c r="I1837">
        <f>IF(AND(Table13[[#This Row],[Direction]]="R",(G1836+Table13[[#This Row],[Steps]])&gt;100),1,0)</f>
        <v>1</v>
      </c>
      <c r="J1837">
        <f>IF(Table13[[#This Row],[POS]]=0,1,0)</f>
        <v>0</v>
      </c>
      <c r="K1837">
        <f>SUM(Table13[[#This Row],[prefix]],Table13[[#This Row],[Past zero L]],Table13[[#This Row],[Past Zero R]],Table13[[#This Row],[Is Zero]])</f>
        <v>1</v>
      </c>
    </row>
    <row r="1838" spans="1:11" ht="16" x14ac:dyDescent="0.2">
      <c r="A1838" s="1" t="s">
        <v>46</v>
      </c>
      <c r="B1838" t="str">
        <f>LEFT(Table13[[#This Row],[Input]],1)</f>
        <v>L</v>
      </c>
      <c r="C1838">
        <f>_xlfn.LET(_xlpm.steps,SUBSTITUTE(Table13[[#This Row],[Input]],Table13[[#This Row],[Direction]],""),VALUE(IF(LEN(_xlpm.steps)&gt;2,RIGHT(_xlpm.steps,2),_xlpm.steps)))</f>
        <v>97</v>
      </c>
      <c r="D1838">
        <f>_xlfn.LET(_xlpm.steps,SUBSTITUTE(Table13[[#This Row],[Input]],Table13[[#This Row],[Direction]],""),VALUE(IF(LEN(_xlpm.steps)&gt;2,LEFT(_xlpm.steps,LEN(_xlpm.steps)-2),0)))</f>
        <v>0</v>
      </c>
      <c r="E1838">
        <f>_xlfn.LET(_xlpm.dir,Table13[[#This Row],[Direction]],
IF(_xlpm.dir="L",
    IF(G1837-Table13[[#This Row],[Steps]]&lt;0,100+(G1837-Table13[[#This Row],[Steps]]),G1837-Table13[[#This Row],[Steps]]),
))</f>
        <v>9</v>
      </c>
      <c r="F1838">
        <f>_xlfn.LET(_xlpm.dir,Table13[[#This Row],[Direction]],
IF(_xlpm.dir="R",
    IF(G1837+Table13[[#This Row],[Steps]]&gt;99,(G1837+Table13[[#This Row],[Steps]])-100,G1837+Table13[[#This Row],[Steps]]),
))</f>
        <v>0</v>
      </c>
      <c r="G1838">
        <f>IF(Table13[[#This Row],[New Pos L]]&lt;&gt;0,Table13[[#This Row],[New Pos L]],Table13[[#This Row],[New Pos R]])</f>
        <v>9</v>
      </c>
      <c r="H1838">
        <f>IF(AND(Table13[[#This Row],[Direction]]="L",Table13[[#This Row],[Steps]]&gt;G1837,G1837&lt;&gt;0),1,0)</f>
        <v>1</v>
      </c>
      <c r="I1838">
        <f>IF(AND(Table13[[#This Row],[Direction]]="R",(G1837+Table13[[#This Row],[Steps]])&gt;100),1,0)</f>
        <v>0</v>
      </c>
      <c r="J1838">
        <f>IF(Table13[[#This Row],[POS]]=0,1,0)</f>
        <v>0</v>
      </c>
      <c r="K1838">
        <f>SUM(Table13[[#This Row],[prefix]],Table13[[#This Row],[Past zero L]],Table13[[#This Row],[Past Zero R]],Table13[[#This Row],[Is Zero]])</f>
        <v>1</v>
      </c>
    </row>
    <row r="1839" spans="1:11" ht="16" x14ac:dyDescent="0.2">
      <c r="A1839" s="1" t="s">
        <v>195</v>
      </c>
      <c r="B1839" t="str">
        <f>LEFT(Table13[[#This Row],[Input]],1)</f>
        <v>R</v>
      </c>
      <c r="C1839">
        <f>_xlfn.LET(_xlpm.steps,SUBSTITUTE(Table13[[#This Row],[Input]],Table13[[#This Row],[Direction]],""),VALUE(IF(LEN(_xlpm.steps)&gt;2,RIGHT(_xlpm.steps,2),_xlpm.steps)))</f>
        <v>40</v>
      </c>
      <c r="D1839">
        <f>_xlfn.LET(_xlpm.steps,SUBSTITUTE(Table13[[#This Row],[Input]],Table13[[#This Row],[Direction]],""),VALUE(IF(LEN(_xlpm.steps)&gt;2,LEFT(_xlpm.steps,LEN(_xlpm.steps)-2),0)))</f>
        <v>0</v>
      </c>
      <c r="E1839">
        <f>_xlfn.LET(_xlpm.dir,Table13[[#This Row],[Direction]],
IF(_xlpm.dir="L",
    IF(G1838-Table13[[#This Row],[Steps]]&lt;0,100+(G1838-Table13[[#This Row],[Steps]]),G1838-Table13[[#This Row],[Steps]]),
))</f>
        <v>0</v>
      </c>
      <c r="F1839">
        <f>_xlfn.LET(_xlpm.dir,Table13[[#This Row],[Direction]],
IF(_xlpm.dir="R",
    IF(G1838+Table13[[#This Row],[Steps]]&gt;99,(G1838+Table13[[#This Row],[Steps]])-100,G1838+Table13[[#This Row],[Steps]]),
))</f>
        <v>49</v>
      </c>
      <c r="G1839">
        <f>IF(Table13[[#This Row],[New Pos L]]&lt;&gt;0,Table13[[#This Row],[New Pos L]],Table13[[#This Row],[New Pos R]])</f>
        <v>49</v>
      </c>
      <c r="H1839">
        <f>IF(AND(Table13[[#This Row],[Direction]]="L",Table13[[#This Row],[Steps]]&gt;G1838,G1838&lt;&gt;0),1,0)</f>
        <v>0</v>
      </c>
      <c r="I1839">
        <f>IF(AND(Table13[[#This Row],[Direction]]="R",(G1838+Table13[[#This Row],[Steps]])&gt;100),1,0)</f>
        <v>0</v>
      </c>
      <c r="J1839">
        <f>IF(Table13[[#This Row],[POS]]=0,1,0)</f>
        <v>0</v>
      </c>
      <c r="K1839">
        <f>SUM(Table13[[#This Row],[prefix]],Table13[[#This Row],[Past zero L]],Table13[[#This Row],[Past Zero R]],Table13[[#This Row],[Is Zero]])</f>
        <v>0</v>
      </c>
    </row>
    <row r="1840" spans="1:11" ht="16" x14ac:dyDescent="0.2">
      <c r="A1840" s="1" t="s">
        <v>514</v>
      </c>
      <c r="B1840" t="str">
        <f>LEFT(Table13[[#This Row],[Input]],1)</f>
        <v>R</v>
      </c>
      <c r="C1840">
        <f>_xlfn.LET(_xlpm.steps,SUBSTITUTE(Table13[[#This Row],[Input]],Table13[[#This Row],[Direction]],""),VALUE(IF(LEN(_xlpm.steps)&gt;2,RIGHT(_xlpm.steps,2),_xlpm.steps)))</f>
        <v>38</v>
      </c>
      <c r="D1840">
        <f>_xlfn.LET(_xlpm.steps,SUBSTITUTE(Table13[[#This Row],[Input]],Table13[[#This Row],[Direction]],""),VALUE(IF(LEN(_xlpm.steps)&gt;2,LEFT(_xlpm.steps,LEN(_xlpm.steps)-2),0)))</f>
        <v>9</v>
      </c>
      <c r="E1840">
        <f>_xlfn.LET(_xlpm.dir,Table13[[#This Row],[Direction]],
IF(_xlpm.dir="L",
    IF(G1839-Table13[[#This Row],[Steps]]&lt;0,100+(G1839-Table13[[#This Row],[Steps]]),G1839-Table13[[#This Row],[Steps]]),
))</f>
        <v>0</v>
      </c>
      <c r="F1840">
        <f>_xlfn.LET(_xlpm.dir,Table13[[#This Row],[Direction]],
IF(_xlpm.dir="R",
    IF(G1839+Table13[[#This Row],[Steps]]&gt;99,(G1839+Table13[[#This Row],[Steps]])-100,G1839+Table13[[#This Row],[Steps]]),
))</f>
        <v>87</v>
      </c>
      <c r="G1840">
        <f>IF(Table13[[#This Row],[New Pos L]]&lt;&gt;0,Table13[[#This Row],[New Pos L]],Table13[[#This Row],[New Pos R]])</f>
        <v>87</v>
      </c>
      <c r="H1840">
        <f>IF(AND(Table13[[#This Row],[Direction]]="L",Table13[[#This Row],[Steps]]&gt;G1839,G1839&lt;&gt;0),1,0)</f>
        <v>0</v>
      </c>
      <c r="I1840">
        <f>IF(AND(Table13[[#This Row],[Direction]]="R",(G1839+Table13[[#This Row],[Steps]])&gt;100),1,0)</f>
        <v>0</v>
      </c>
      <c r="J1840">
        <f>IF(Table13[[#This Row],[POS]]=0,1,0)</f>
        <v>0</v>
      </c>
      <c r="K1840">
        <f>SUM(Table13[[#This Row],[prefix]],Table13[[#This Row],[Past zero L]],Table13[[#This Row],[Past Zero R]],Table13[[#This Row],[Is Zero]])</f>
        <v>9</v>
      </c>
    </row>
    <row r="1841" spans="1:11" ht="16" x14ac:dyDescent="0.2">
      <c r="A1841" s="1" t="s">
        <v>191</v>
      </c>
      <c r="B1841" t="str">
        <f>LEFT(Table13[[#This Row],[Input]],1)</f>
        <v>L</v>
      </c>
      <c r="C1841">
        <f>_xlfn.LET(_xlpm.steps,SUBSTITUTE(Table13[[#This Row],[Input]],Table13[[#This Row],[Direction]],""),VALUE(IF(LEN(_xlpm.steps)&gt;2,RIGHT(_xlpm.steps,2),_xlpm.steps)))</f>
        <v>5</v>
      </c>
      <c r="D1841">
        <f>_xlfn.LET(_xlpm.steps,SUBSTITUTE(Table13[[#This Row],[Input]],Table13[[#This Row],[Direction]],""),VALUE(IF(LEN(_xlpm.steps)&gt;2,LEFT(_xlpm.steps,LEN(_xlpm.steps)-2),0)))</f>
        <v>0</v>
      </c>
      <c r="E1841">
        <f>_xlfn.LET(_xlpm.dir,Table13[[#This Row],[Direction]],
IF(_xlpm.dir="L",
    IF(G1840-Table13[[#This Row],[Steps]]&lt;0,100+(G1840-Table13[[#This Row],[Steps]]),G1840-Table13[[#This Row],[Steps]]),
))</f>
        <v>82</v>
      </c>
      <c r="F1841">
        <f>_xlfn.LET(_xlpm.dir,Table13[[#This Row],[Direction]],
IF(_xlpm.dir="R",
    IF(G1840+Table13[[#This Row],[Steps]]&gt;99,(G1840+Table13[[#This Row],[Steps]])-100,G1840+Table13[[#This Row],[Steps]]),
))</f>
        <v>0</v>
      </c>
      <c r="G1841">
        <f>IF(Table13[[#This Row],[New Pos L]]&lt;&gt;0,Table13[[#This Row],[New Pos L]],Table13[[#This Row],[New Pos R]])</f>
        <v>82</v>
      </c>
      <c r="H1841">
        <f>IF(AND(Table13[[#This Row],[Direction]]="L",Table13[[#This Row],[Steps]]&gt;G1840,G1840&lt;&gt;0),1,0)</f>
        <v>0</v>
      </c>
      <c r="I1841">
        <f>IF(AND(Table13[[#This Row],[Direction]]="R",(G1840+Table13[[#This Row],[Steps]])&gt;100),1,0)</f>
        <v>0</v>
      </c>
      <c r="J1841">
        <f>IF(Table13[[#This Row],[POS]]=0,1,0)</f>
        <v>0</v>
      </c>
      <c r="K1841">
        <f>SUM(Table13[[#This Row],[prefix]],Table13[[#This Row],[Past zero L]],Table13[[#This Row],[Past Zero R]],Table13[[#This Row],[Is Zero]])</f>
        <v>0</v>
      </c>
    </row>
    <row r="1842" spans="1:11" ht="16" x14ac:dyDescent="0.2">
      <c r="A1842" s="1" t="s">
        <v>16</v>
      </c>
      <c r="B1842" t="str">
        <f>LEFT(Table13[[#This Row],[Input]],1)</f>
        <v>L</v>
      </c>
      <c r="C1842">
        <f>_xlfn.LET(_xlpm.steps,SUBSTITUTE(Table13[[#This Row],[Input]],Table13[[#This Row],[Direction]],""),VALUE(IF(LEN(_xlpm.steps)&gt;2,RIGHT(_xlpm.steps,2),_xlpm.steps)))</f>
        <v>10</v>
      </c>
      <c r="D1842">
        <f>_xlfn.LET(_xlpm.steps,SUBSTITUTE(Table13[[#This Row],[Input]],Table13[[#This Row],[Direction]],""),VALUE(IF(LEN(_xlpm.steps)&gt;2,LEFT(_xlpm.steps,LEN(_xlpm.steps)-2),0)))</f>
        <v>0</v>
      </c>
      <c r="E1842">
        <f>_xlfn.LET(_xlpm.dir,Table13[[#This Row],[Direction]],
IF(_xlpm.dir="L",
    IF(G1841-Table13[[#This Row],[Steps]]&lt;0,100+(G1841-Table13[[#This Row],[Steps]]),G1841-Table13[[#This Row],[Steps]]),
))</f>
        <v>72</v>
      </c>
      <c r="F1842">
        <f>_xlfn.LET(_xlpm.dir,Table13[[#This Row],[Direction]],
IF(_xlpm.dir="R",
    IF(G1841+Table13[[#This Row],[Steps]]&gt;99,(G1841+Table13[[#This Row],[Steps]])-100,G1841+Table13[[#This Row],[Steps]]),
))</f>
        <v>0</v>
      </c>
      <c r="G1842">
        <f>IF(Table13[[#This Row],[New Pos L]]&lt;&gt;0,Table13[[#This Row],[New Pos L]],Table13[[#This Row],[New Pos R]])</f>
        <v>72</v>
      </c>
      <c r="H1842">
        <f>IF(AND(Table13[[#This Row],[Direction]]="L",Table13[[#This Row],[Steps]]&gt;G1841,G1841&lt;&gt;0),1,0)</f>
        <v>0</v>
      </c>
      <c r="I1842">
        <f>IF(AND(Table13[[#This Row],[Direction]]="R",(G1841+Table13[[#This Row],[Steps]])&gt;100),1,0)</f>
        <v>0</v>
      </c>
      <c r="J1842">
        <f>IF(Table13[[#This Row],[POS]]=0,1,0)</f>
        <v>0</v>
      </c>
      <c r="K1842">
        <f>SUM(Table13[[#This Row],[prefix]],Table13[[#This Row],[Past zero L]],Table13[[#This Row],[Past Zero R]],Table13[[#This Row],[Is Zero]])</f>
        <v>0</v>
      </c>
    </row>
    <row r="1843" spans="1:11" ht="16" x14ac:dyDescent="0.2">
      <c r="A1843" s="1" t="s">
        <v>272</v>
      </c>
      <c r="B1843" t="str">
        <f>LEFT(Table13[[#This Row],[Input]],1)</f>
        <v>R</v>
      </c>
      <c r="C1843">
        <f>_xlfn.LET(_xlpm.steps,SUBSTITUTE(Table13[[#This Row],[Input]],Table13[[#This Row],[Direction]],""),VALUE(IF(LEN(_xlpm.steps)&gt;2,RIGHT(_xlpm.steps,2),_xlpm.steps)))</f>
        <v>56</v>
      </c>
      <c r="D1843">
        <f>_xlfn.LET(_xlpm.steps,SUBSTITUTE(Table13[[#This Row],[Input]],Table13[[#This Row],[Direction]],""),VALUE(IF(LEN(_xlpm.steps)&gt;2,LEFT(_xlpm.steps,LEN(_xlpm.steps)-2),0)))</f>
        <v>0</v>
      </c>
      <c r="E1843">
        <f>_xlfn.LET(_xlpm.dir,Table13[[#This Row],[Direction]],
IF(_xlpm.dir="L",
    IF(G1842-Table13[[#This Row],[Steps]]&lt;0,100+(G1842-Table13[[#This Row],[Steps]]),G1842-Table13[[#This Row],[Steps]]),
))</f>
        <v>0</v>
      </c>
      <c r="F1843">
        <f>_xlfn.LET(_xlpm.dir,Table13[[#This Row],[Direction]],
IF(_xlpm.dir="R",
    IF(G1842+Table13[[#This Row],[Steps]]&gt;99,(G1842+Table13[[#This Row],[Steps]])-100,G1842+Table13[[#This Row],[Steps]]),
))</f>
        <v>28</v>
      </c>
      <c r="G1843">
        <f>IF(Table13[[#This Row],[New Pos L]]&lt;&gt;0,Table13[[#This Row],[New Pos L]],Table13[[#This Row],[New Pos R]])</f>
        <v>28</v>
      </c>
      <c r="H1843">
        <f>IF(AND(Table13[[#This Row],[Direction]]="L",Table13[[#This Row],[Steps]]&gt;G1842,G1842&lt;&gt;0),1,0)</f>
        <v>0</v>
      </c>
      <c r="I1843">
        <f>IF(AND(Table13[[#This Row],[Direction]]="R",(G1842+Table13[[#This Row],[Steps]])&gt;100),1,0)</f>
        <v>1</v>
      </c>
      <c r="J1843">
        <f>IF(Table13[[#This Row],[POS]]=0,1,0)</f>
        <v>0</v>
      </c>
      <c r="K1843">
        <f>SUM(Table13[[#This Row],[prefix]],Table13[[#This Row],[Past zero L]],Table13[[#This Row],[Past Zero R]],Table13[[#This Row],[Is Zero]])</f>
        <v>1</v>
      </c>
    </row>
    <row r="1844" spans="1:11" ht="16" x14ac:dyDescent="0.2">
      <c r="A1844" s="1" t="s">
        <v>159</v>
      </c>
      <c r="B1844" t="str">
        <f>LEFT(Table13[[#This Row],[Input]],1)</f>
        <v>R</v>
      </c>
      <c r="C1844">
        <f>_xlfn.LET(_xlpm.steps,SUBSTITUTE(Table13[[#This Row],[Input]],Table13[[#This Row],[Direction]],""),VALUE(IF(LEN(_xlpm.steps)&gt;2,RIGHT(_xlpm.steps,2),_xlpm.steps)))</f>
        <v>24</v>
      </c>
      <c r="D1844">
        <f>_xlfn.LET(_xlpm.steps,SUBSTITUTE(Table13[[#This Row],[Input]],Table13[[#This Row],[Direction]],""),VALUE(IF(LEN(_xlpm.steps)&gt;2,LEFT(_xlpm.steps,LEN(_xlpm.steps)-2),0)))</f>
        <v>0</v>
      </c>
      <c r="E1844">
        <f>_xlfn.LET(_xlpm.dir,Table13[[#This Row],[Direction]],
IF(_xlpm.dir="L",
    IF(G1843-Table13[[#This Row],[Steps]]&lt;0,100+(G1843-Table13[[#This Row],[Steps]]),G1843-Table13[[#This Row],[Steps]]),
))</f>
        <v>0</v>
      </c>
      <c r="F1844">
        <f>_xlfn.LET(_xlpm.dir,Table13[[#This Row],[Direction]],
IF(_xlpm.dir="R",
    IF(G1843+Table13[[#This Row],[Steps]]&gt;99,(G1843+Table13[[#This Row],[Steps]])-100,G1843+Table13[[#This Row],[Steps]]),
))</f>
        <v>52</v>
      </c>
      <c r="G1844">
        <f>IF(Table13[[#This Row],[New Pos L]]&lt;&gt;0,Table13[[#This Row],[New Pos L]],Table13[[#This Row],[New Pos R]])</f>
        <v>52</v>
      </c>
      <c r="H1844">
        <f>IF(AND(Table13[[#This Row],[Direction]]="L",Table13[[#This Row],[Steps]]&gt;G1843,G1843&lt;&gt;0),1,0)</f>
        <v>0</v>
      </c>
      <c r="I1844">
        <f>IF(AND(Table13[[#This Row],[Direction]]="R",(G1843+Table13[[#This Row],[Steps]])&gt;100),1,0)</f>
        <v>0</v>
      </c>
      <c r="J1844">
        <f>IF(Table13[[#This Row],[POS]]=0,1,0)</f>
        <v>0</v>
      </c>
      <c r="K1844">
        <f>SUM(Table13[[#This Row],[prefix]],Table13[[#This Row],[Past zero L]],Table13[[#This Row],[Past Zero R]],Table13[[#This Row],[Is Zero]])</f>
        <v>0</v>
      </c>
    </row>
    <row r="1845" spans="1:11" ht="16" x14ac:dyDescent="0.2">
      <c r="A1845" s="1" t="s">
        <v>515</v>
      </c>
      <c r="B1845" t="str">
        <f>LEFT(Table13[[#This Row],[Input]],1)</f>
        <v>L</v>
      </c>
      <c r="C1845">
        <f>_xlfn.LET(_xlpm.steps,SUBSTITUTE(Table13[[#This Row],[Input]],Table13[[#This Row],[Direction]],""),VALUE(IF(LEN(_xlpm.steps)&gt;2,RIGHT(_xlpm.steps,2),_xlpm.steps)))</f>
        <v>52</v>
      </c>
      <c r="D1845">
        <f>_xlfn.LET(_xlpm.steps,SUBSTITUTE(Table13[[#This Row],[Input]],Table13[[#This Row],[Direction]],""),VALUE(IF(LEN(_xlpm.steps)&gt;2,LEFT(_xlpm.steps,LEN(_xlpm.steps)-2),0)))</f>
        <v>9</v>
      </c>
      <c r="E1845">
        <f>_xlfn.LET(_xlpm.dir,Table13[[#This Row],[Direction]],
IF(_xlpm.dir="L",
    IF(G1844-Table13[[#This Row],[Steps]]&lt;0,100+(G1844-Table13[[#This Row],[Steps]]),G1844-Table13[[#This Row],[Steps]]),
))</f>
        <v>0</v>
      </c>
      <c r="F1845">
        <f>_xlfn.LET(_xlpm.dir,Table13[[#This Row],[Direction]],
IF(_xlpm.dir="R",
    IF(G1844+Table13[[#This Row],[Steps]]&gt;99,(G1844+Table13[[#This Row],[Steps]])-100,G1844+Table13[[#This Row],[Steps]]),
))</f>
        <v>0</v>
      </c>
      <c r="G1845">
        <f>IF(Table13[[#This Row],[New Pos L]]&lt;&gt;0,Table13[[#This Row],[New Pos L]],Table13[[#This Row],[New Pos R]])</f>
        <v>0</v>
      </c>
      <c r="H1845">
        <f>IF(AND(Table13[[#This Row],[Direction]]="L",Table13[[#This Row],[Steps]]&gt;G1844,G1844&lt;&gt;0),1,0)</f>
        <v>0</v>
      </c>
      <c r="I1845">
        <f>IF(AND(Table13[[#This Row],[Direction]]="R",(G1844+Table13[[#This Row],[Steps]])&gt;100),1,0)</f>
        <v>0</v>
      </c>
      <c r="J1845">
        <f>IF(Table13[[#This Row],[POS]]=0,1,0)</f>
        <v>1</v>
      </c>
      <c r="K1845">
        <f>SUM(Table13[[#This Row],[prefix]],Table13[[#This Row],[Past zero L]],Table13[[#This Row],[Past Zero R]],Table13[[#This Row],[Is Zero]])</f>
        <v>10</v>
      </c>
    </row>
    <row r="1846" spans="1:11" ht="16" x14ac:dyDescent="0.2">
      <c r="A1846" s="1" t="s">
        <v>25</v>
      </c>
      <c r="B1846" t="str">
        <f>LEFT(Table13[[#This Row],[Input]],1)</f>
        <v>L</v>
      </c>
      <c r="C1846">
        <f>_xlfn.LET(_xlpm.steps,SUBSTITUTE(Table13[[#This Row],[Input]],Table13[[#This Row],[Direction]],""),VALUE(IF(LEN(_xlpm.steps)&gt;2,RIGHT(_xlpm.steps,2),_xlpm.steps)))</f>
        <v>20</v>
      </c>
      <c r="D1846">
        <f>_xlfn.LET(_xlpm.steps,SUBSTITUTE(Table13[[#This Row],[Input]],Table13[[#This Row],[Direction]],""),VALUE(IF(LEN(_xlpm.steps)&gt;2,LEFT(_xlpm.steps,LEN(_xlpm.steps)-2),0)))</f>
        <v>0</v>
      </c>
      <c r="E1846">
        <f>_xlfn.LET(_xlpm.dir,Table13[[#This Row],[Direction]],
IF(_xlpm.dir="L",
    IF(G1845-Table13[[#This Row],[Steps]]&lt;0,100+(G1845-Table13[[#This Row],[Steps]]),G1845-Table13[[#This Row],[Steps]]),
))</f>
        <v>80</v>
      </c>
      <c r="F1846">
        <f>_xlfn.LET(_xlpm.dir,Table13[[#This Row],[Direction]],
IF(_xlpm.dir="R",
    IF(G1845+Table13[[#This Row],[Steps]]&gt;99,(G1845+Table13[[#This Row],[Steps]])-100,G1845+Table13[[#This Row],[Steps]]),
))</f>
        <v>0</v>
      </c>
      <c r="G1846">
        <f>IF(Table13[[#This Row],[New Pos L]]&lt;&gt;0,Table13[[#This Row],[New Pos L]],Table13[[#This Row],[New Pos R]])</f>
        <v>80</v>
      </c>
      <c r="H1846">
        <f>IF(AND(Table13[[#This Row],[Direction]]="L",Table13[[#This Row],[Steps]]&gt;G1845,G1845&lt;&gt;0),1,0)</f>
        <v>0</v>
      </c>
      <c r="I1846">
        <f>IF(AND(Table13[[#This Row],[Direction]]="R",(G1845+Table13[[#This Row],[Steps]])&gt;100),1,0)</f>
        <v>0</v>
      </c>
      <c r="J1846">
        <f>IF(Table13[[#This Row],[POS]]=0,1,0)</f>
        <v>0</v>
      </c>
      <c r="K1846">
        <f>SUM(Table13[[#This Row],[prefix]],Table13[[#This Row],[Past zero L]],Table13[[#This Row],[Past Zero R]],Table13[[#This Row],[Is Zero]])</f>
        <v>0</v>
      </c>
    </row>
    <row r="1847" spans="1:11" ht="16" x14ac:dyDescent="0.2">
      <c r="A1847" s="1" t="s">
        <v>516</v>
      </c>
      <c r="B1847" t="str">
        <f>LEFT(Table13[[#This Row],[Input]],1)</f>
        <v>L</v>
      </c>
      <c r="C1847">
        <f>_xlfn.LET(_xlpm.steps,SUBSTITUTE(Table13[[#This Row],[Input]],Table13[[#This Row],[Direction]],""),VALUE(IF(LEN(_xlpm.steps)&gt;2,RIGHT(_xlpm.steps,2),_xlpm.steps)))</f>
        <v>56</v>
      </c>
      <c r="D1847">
        <f>_xlfn.LET(_xlpm.steps,SUBSTITUTE(Table13[[#This Row],[Input]],Table13[[#This Row],[Direction]],""),VALUE(IF(LEN(_xlpm.steps)&gt;2,LEFT(_xlpm.steps,LEN(_xlpm.steps)-2),0)))</f>
        <v>9</v>
      </c>
      <c r="E1847">
        <f>_xlfn.LET(_xlpm.dir,Table13[[#This Row],[Direction]],
IF(_xlpm.dir="L",
    IF(G1846-Table13[[#This Row],[Steps]]&lt;0,100+(G1846-Table13[[#This Row],[Steps]]),G1846-Table13[[#This Row],[Steps]]),
))</f>
        <v>24</v>
      </c>
      <c r="F1847">
        <f>_xlfn.LET(_xlpm.dir,Table13[[#This Row],[Direction]],
IF(_xlpm.dir="R",
    IF(G1846+Table13[[#This Row],[Steps]]&gt;99,(G1846+Table13[[#This Row],[Steps]])-100,G1846+Table13[[#This Row],[Steps]]),
))</f>
        <v>0</v>
      </c>
      <c r="G1847">
        <f>IF(Table13[[#This Row],[New Pos L]]&lt;&gt;0,Table13[[#This Row],[New Pos L]],Table13[[#This Row],[New Pos R]])</f>
        <v>24</v>
      </c>
      <c r="H1847">
        <f>IF(AND(Table13[[#This Row],[Direction]]="L",Table13[[#This Row],[Steps]]&gt;G1846,G1846&lt;&gt;0),1,0)</f>
        <v>0</v>
      </c>
      <c r="I1847">
        <f>IF(AND(Table13[[#This Row],[Direction]]="R",(G1846+Table13[[#This Row],[Steps]])&gt;100),1,0)</f>
        <v>0</v>
      </c>
      <c r="J1847">
        <f>IF(Table13[[#This Row],[POS]]=0,1,0)</f>
        <v>0</v>
      </c>
      <c r="K1847">
        <f>SUM(Table13[[#This Row],[prefix]],Table13[[#This Row],[Past zero L]],Table13[[#This Row],[Past Zero R]],Table13[[#This Row],[Is Zero]])</f>
        <v>9</v>
      </c>
    </row>
    <row r="1848" spans="1:11" ht="16" x14ac:dyDescent="0.2">
      <c r="A1848" s="1" t="s">
        <v>119</v>
      </c>
      <c r="B1848" t="str">
        <f>LEFT(Table13[[#This Row],[Input]],1)</f>
        <v>L</v>
      </c>
      <c r="C1848">
        <f>_xlfn.LET(_xlpm.steps,SUBSTITUTE(Table13[[#This Row],[Input]],Table13[[#This Row],[Direction]],""),VALUE(IF(LEN(_xlpm.steps)&gt;2,RIGHT(_xlpm.steps,2),_xlpm.steps)))</f>
        <v>77</v>
      </c>
      <c r="D1848">
        <f>_xlfn.LET(_xlpm.steps,SUBSTITUTE(Table13[[#This Row],[Input]],Table13[[#This Row],[Direction]],""),VALUE(IF(LEN(_xlpm.steps)&gt;2,LEFT(_xlpm.steps,LEN(_xlpm.steps)-2),0)))</f>
        <v>0</v>
      </c>
      <c r="E1848">
        <f>_xlfn.LET(_xlpm.dir,Table13[[#This Row],[Direction]],
IF(_xlpm.dir="L",
    IF(G1847-Table13[[#This Row],[Steps]]&lt;0,100+(G1847-Table13[[#This Row],[Steps]]),G1847-Table13[[#This Row],[Steps]]),
))</f>
        <v>47</v>
      </c>
      <c r="F1848">
        <f>_xlfn.LET(_xlpm.dir,Table13[[#This Row],[Direction]],
IF(_xlpm.dir="R",
    IF(G1847+Table13[[#This Row],[Steps]]&gt;99,(G1847+Table13[[#This Row],[Steps]])-100,G1847+Table13[[#This Row],[Steps]]),
))</f>
        <v>0</v>
      </c>
      <c r="G1848">
        <f>IF(Table13[[#This Row],[New Pos L]]&lt;&gt;0,Table13[[#This Row],[New Pos L]],Table13[[#This Row],[New Pos R]])</f>
        <v>47</v>
      </c>
      <c r="H1848">
        <f>IF(AND(Table13[[#This Row],[Direction]]="L",Table13[[#This Row],[Steps]]&gt;G1847,G1847&lt;&gt;0),1,0)</f>
        <v>1</v>
      </c>
      <c r="I1848">
        <f>IF(AND(Table13[[#This Row],[Direction]]="R",(G1847+Table13[[#This Row],[Steps]])&gt;100),1,0)</f>
        <v>0</v>
      </c>
      <c r="J1848">
        <f>IF(Table13[[#This Row],[POS]]=0,1,0)</f>
        <v>0</v>
      </c>
      <c r="K1848">
        <f>SUM(Table13[[#This Row],[prefix]],Table13[[#This Row],[Past zero L]],Table13[[#This Row],[Past Zero R]],Table13[[#This Row],[Is Zero]])</f>
        <v>1</v>
      </c>
    </row>
    <row r="1849" spans="1:11" ht="16" x14ac:dyDescent="0.2">
      <c r="A1849" s="1" t="s">
        <v>330</v>
      </c>
      <c r="B1849" t="str">
        <f>LEFT(Table13[[#This Row],[Input]],1)</f>
        <v>L</v>
      </c>
      <c r="C1849">
        <f>_xlfn.LET(_xlpm.steps,SUBSTITUTE(Table13[[#This Row],[Input]],Table13[[#This Row],[Direction]],""),VALUE(IF(LEN(_xlpm.steps)&gt;2,RIGHT(_xlpm.steps,2),_xlpm.steps)))</f>
        <v>47</v>
      </c>
      <c r="D1849">
        <f>_xlfn.LET(_xlpm.steps,SUBSTITUTE(Table13[[#This Row],[Input]],Table13[[#This Row],[Direction]],""),VALUE(IF(LEN(_xlpm.steps)&gt;2,LEFT(_xlpm.steps,LEN(_xlpm.steps)-2),0)))</f>
        <v>0</v>
      </c>
      <c r="E1849">
        <f>_xlfn.LET(_xlpm.dir,Table13[[#This Row],[Direction]],
IF(_xlpm.dir="L",
    IF(G1848-Table13[[#This Row],[Steps]]&lt;0,100+(G1848-Table13[[#This Row],[Steps]]),G1848-Table13[[#This Row],[Steps]]),
))</f>
        <v>0</v>
      </c>
      <c r="F1849">
        <f>_xlfn.LET(_xlpm.dir,Table13[[#This Row],[Direction]],
IF(_xlpm.dir="R",
    IF(G1848+Table13[[#This Row],[Steps]]&gt;99,(G1848+Table13[[#This Row],[Steps]])-100,G1848+Table13[[#This Row],[Steps]]),
))</f>
        <v>0</v>
      </c>
      <c r="G1849">
        <f>IF(Table13[[#This Row],[New Pos L]]&lt;&gt;0,Table13[[#This Row],[New Pos L]],Table13[[#This Row],[New Pos R]])</f>
        <v>0</v>
      </c>
      <c r="H1849">
        <f>IF(AND(Table13[[#This Row],[Direction]]="L",Table13[[#This Row],[Steps]]&gt;G1848,G1848&lt;&gt;0),1,0)</f>
        <v>0</v>
      </c>
      <c r="I1849">
        <f>IF(AND(Table13[[#This Row],[Direction]]="R",(G1848+Table13[[#This Row],[Steps]])&gt;100),1,0)</f>
        <v>0</v>
      </c>
      <c r="J1849">
        <f>IF(Table13[[#This Row],[POS]]=0,1,0)</f>
        <v>1</v>
      </c>
      <c r="K1849">
        <f>SUM(Table13[[#This Row],[prefix]],Table13[[#This Row],[Past zero L]],Table13[[#This Row],[Past Zero R]],Table13[[#This Row],[Is Zero]])</f>
        <v>1</v>
      </c>
    </row>
    <row r="1850" spans="1:11" ht="16" x14ac:dyDescent="0.2">
      <c r="A1850" s="1" t="s">
        <v>70</v>
      </c>
      <c r="B1850" t="str">
        <f>LEFT(Table13[[#This Row],[Input]],1)</f>
        <v>R</v>
      </c>
      <c r="C1850">
        <f>_xlfn.LET(_xlpm.steps,SUBSTITUTE(Table13[[#This Row],[Input]],Table13[[#This Row],[Direction]],""),VALUE(IF(LEN(_xlpm.steps)&gt;2,RIGHT(_xlpm.steps,2),_xlpm.steps)))</f>
        <v>73</v>
      </c>
      <c r="D1850">
        <f>_xlfn.LET(_xlpm.steps,SUBSTITUTE(Table13[[#This Row],[Input]],Table13[[#This Row],[Direction]],""),VALUE(IF(LEN(_xlpm.steps)&gt;2,LEFT(_xlpm.steps,LEN(_xlpm.steps)-2),0)))</f>
        <v>0</v>
      </c>
      <c r="E1850">
        <f>_xlfn.LET(_xlpm.dir,Table13[[#This Row],[Direction]],
IF(_xlpm.dir="L",
    IF(G1849-Table13[[#This Row],[Steps]]&lt;0,100+(G1849-Table13[[#This Row],[Steps]]),G1849-Table13[[#This Row],[Steps]]),
))</f>
        <v>0</v>
      </c>
      <c r="F1850">
        <f>_xlfn.LET(_xlpm.dir,Table13[[#This Row],[Direction]],
IF(_xlpm.dir="R",
    IF(G1849+Table13[[#This Row],[Steps]]&gt;99,(G1849+Table13[[#This Row],[Steps]])-100,G1849+Table13[[#This Row],[Steps]]),
))</f>
        <v>73</v>
      </c>
      <c r="G1850">
        <f>IF(Table13[[#This Row],[New Pos L]]&lt;&gt;0,Table13[[#This Row],[New Pos L]],Table13[[#This Row],[New Pos R]])</f>
        <v>73</v>
      </c>
      <c r="H1850">
        <f>IF(AND(Table13[[#This Row],[Direction]]="L",Table13[[#This Row],[Steps]]&gt;G1849,G1849&lt;&gt;0),1,0)</f>
        <v>0</v>
      </c>
      <c r="I1850">
        <f>IF(AND(Table13[[#This Row],[Direction]]="R",(G1849+Table13[[#This Row],[Steps]])&gt;100),1,0)</f>
        <v>0</v>
      </c>
      <c r="J1850">
        <f>IF(Table13[[#This Row],[POS]]=0,1,0)</f>
        <v>0</v>
      </c>
      <c r="K1850">
        <f>SUM(Table13[[#This Row],[prefix]],Table13[[#This Row],[Past zero L]],Table13[[#This Row],[Past Zero R]],Table13[[#This Row],[Is Zero]])</f>
        <v>0</v>
      </c>
    </row>
    <row r="1851" spans="1:11" ht="16" x14ac:dyDescent="0.2">
      <c r="A1851" s="1" t="s">
        <v>69</v>
      </c>
      <c r="B1851" t="str">
        <f>LEFT(Table13[[#This Row],[Input]],1)</f>
        <v>R</v>
      </c>
      <c r="C1851">
        <f>_xlfn.LET(_xlpm.steps,SUBSTITUTE(Table13[[#This Row],[Input]],Table13[[#This Row],[Direction]],""),VALUE(IF(LEN(_xlpm.steps)&gt;2,RIGHT(_xlpm.steps,2),_xlpm.steps)))</f>
        <v>27</v>
      </c>
      <c r="D1851">
        <f>_xlfn.LET(_xlpm.steps,SUBSTITUTE(Table13[[#This Row],[Input]],Table13[[#This Row],[Direction]],""),VALUE(IF(LEN(_xlpm.steps)&gt;2,LEFT(_xlpm.steps,LEN(_xlpm.steps)-2),0)))</f>
        <v>0</v>
      </c>
      <c r="E1851">
        <f>_xlfn.LET(_xlpm.dir,Table13[[#This Row],[Direction]],
IF(_xlpm.dir="L",
    IF(G1850-Table13[[#This Row],[Steps]]&lt;0,100+(G1850-Table13[[#This Row],[Steps]]),G1850-Table13[[#This Row],[Steps]]),
))</f>
        <v>0</v>
      </c>
      <c r="F1851">
        <f>_xlfn.LET(_xlpm.dir,Table13[[#This Row],[Direction]],
IF(_xlpm.dir="R",
    IF(G1850+Table13[[#This Row],[Steps]]&gt;99,(G1850+Table13[[#This Row],[Steps]])-100,G1850+Table13[[#This Row],[Steps]]),
))</f>
        <v>0</v>
      </c>
      <c r="G1851">
        <f>IF(Table13[[#This Row],[New Pos L]]&lt;&gt;0,Table13[[#This Row],[New Pos L]],Table13[[#This Row],[New Pos R]])</f>
        <v>0</v>
      </c>
      <c r="H1851">
        <f>IF(AND(Table13[[#This Row],[Direction]]="L",Table13[[#This Row],[Steps]]&gt;G1850,G1850&lt;&gt;0),1,0)</f>
        <v>0</v>
      </c>
      <c r="I1851">
        <f>IF(AND(Table13[[#This Row],[Direction]]="R",(G1850+Table13[[#This Row],[Steps]])&gt;100),1,0)</f>
        <v>0</v>
      </c>
      <c r="J1851">
        <f>IF(Table13[[#This Row],[POS]]=0,1,0)</f>
        <v>1</v>
      </c>
      <c r="K1851">
        <f>SUM(Table13[[#This Row],[prefix]],Table13[[#This Row],[Past zero L]],Table13[[#This Row],[Past Zero R]],Table13[[#This Row],[Is Zero]])</f>
        <v>1</v>
      </c>
    </row>
    <row r="1852" spans="1:11" ht="16" x14ac:dyDescent="0.2">
      <c r="A1852" s="1" t="s">
        <v>9</v>
      </c>
      <c r="B1852" t="str">
        <f>LEFT(Table13[[#This Row],[Input]],1)</f>
        <v>L</v>
      </c>
      <c r="C1852">
        <f>_xlfn.LET(_xlpm.steps,SUBSTITUTE(Table13[[#This Row],[Input]],Table13[[#This Row],[Direction]],""),VALUE(IF(LEN(_xlpm.steps)&gt;2,RIGHT(_xlpm.steps,2),_xlpm.steps)))</f>
        <v>9</v>
      </c>
      <c r="D1852">
        <f>_xlfn.LET(_xlpm.steps,SUBSTITUTE(Table13[[#This Row],[Input]],Table13[[#This Row],[Direction]],""),VALUE(IF(LEN(_xlpm.steps)&gt;2,LEFT(_xlpm.steps,LEN(_xlpm.steps)-2),0)))</f>
        <v>0</v>
      </c>
      <c r="E1852">
        <f>_xlfn.LET(_xlpm.dir,Table13[[#This Row],[Direction]],
IF(_xlpm.dir="L",
    IF(G1851-Table13[[#This Row],[Steps]]&lt;0,100+(G1851-Table13[[#This Row],[Steps]]),G1851-Table13[[#This Row],[Steps]]),
))</f>
        <v>91</v>
      </c>
      <c r="F1852">
        <f>_xlfn.LET(_xlpm.dir,Table13[[#This Row],[Direction]],
IF(_xlpm.dir="R",
    IF(G1851+Table13[[#This Row],[Steps]]&gt;99,(G1851+Table13[[#This Row],[Steps]])-100,G1851+Table13[[#This Row],[Steps]]),
))</f>
        <v>0</v>
      </c>
      <c r="G1852">
        <f>IF(Table13[[#This Row],[New Pos L]]&lt;&gt;0,Table13[[#This Row],[New Pos L]],Table13[[#This Row],[New Pos R]])</f>
        <v>91</v>
      </c>
      <c r="H1852">
        <f>IF(AND(Table13[[#This Row],[Direction]]="L",Table13[[#This Row],[Steps]]&gt;G1851,G1851&lt;&gt;0),1,0)</f>
        <v>0</v>
      </c>
      <c r="I1852">
        <f>IF(AND(Table13[[#This Row],[Direction]]="R",(G1851+Table13[[#This Row],[Steps]])&gt;100),1,0)</f>
        <v>0</v>
      </c>
      <c r="J1852">
        <f>IF(Table13[[#This Row],[POS]]=0,1,0)</f>
        <v>0</v>
      </c>
      <c r="K1852">
        <f>SUM(Table13[[#This Row],[prefix]],Table13[[#This Row],[Past zero L]],Table13[[#This Row],[Past Zero R]],Table13[[#This Row],[Is Zero]])</f>
        <v>0</v>
      </c>
    </row>
    <row r="1853" spans="1:11" ht="16" x14ac:dyDescent="0.2">
      <c r="A1853" s="1" t="s">
        <v>517</v>
      </c>
      <c r="B1853" t="str">
        <f>LEFT(Table13[[#This Row],[Input]],1)</f>
        <v>R</v>
      </c>
      <c r="C1853">
        <f>_xlfn.LET(_xlpm.steps,SUBSTITUTE(Table13[[#This Row],[Input]],Table13[[#This Row],[Direction]],""),VALUE(IF(LEN(_xlpm.steps)&gt;2,RIGHT(_xlpm.steps,2),_xlpm.steps)))</f>
        <v>9</v>
      </c>
      <c r="D1853">
        <f>_xlfn.LET(_xlpm.steps,SUBSTITUTE(Table13[[#This Row],[Input]],Table13[[#This Row],[Direction]],""),VALUE(IF(LEN(_xlpm.steps)&gt;2,LEFT(_xlpm.steps,LEN(_xlpm.steps)-2),0)))</f>
        <v>3</v>
      </c>
      <c r="E1853">
        <f>_xlfn.LET(_xlpm.dir,Table13[[#This Row],[Direction]],
IF(_xlpm.dir="L",
    IF(G1852-Table13[[#This Row],[Steps]]&lt;0,100+(G1852-Table13[[#This Row],[Steps]]),G1852-Table13[[#This Row],[Steps]]),
))</f>
        <v>0</v>
      </c>
      <c r="F1853">
        <f>_xlfn.LET(_xlpm.dir,Table13[[#This Row],[Direction]],
IF(_xlpm.dir="R",
    IF(G1852+Table13[[#This Row],[Steps]]&gt;99,(G1852+Table13[[#This Row],[Steps]])-100,G1852+Table13[[#This Row],[Steps]]),
))</f>
        <v>0</v>
      </c>
      <c r="G1853">
        <f>IF(Table13[[#This Row],[New Pos L]]&lt;&gt;0,Table13[[#This Row],[New Pos L]],Table13[[#This Row],[New Pos R]])</f>
        <v>0</v>
      </c>
      <c r="H1853">
        <f>IF(AND(Table13[[#This Row],[Direction]]="L",Table13[[#This Row],[Steps]]&gt;G1852,G1852&lt;&gt;0),1,0)</f>
        <v>0</v>
      </c>
      <c r="I1853">
        <f>IF(AND(Table13[[#This Row],[Direction]]="R",(G1852+Table13[[#This Row],[Steps]])&gt;100),1,0)</f>
        <v>0</v>
      </c>
      <c r="J1853">
        <f>IF(Table13[[#This Row],[POS]]=0,1,0)</f>
        <v>1</v>
      </c>
      <c r="K1853">
        <f>SUM(Table13[[#This Row],[prefix]],Table13[[#This Row],[Past zero L]],Table13[[#This Row],[Past Zero R]],Table13[[#This Row],[Is Zero]])</f>
        <v>4</v>
      </c>
    </row>
    <row r="1854" spans="1:11" ht="16" x14ac:dyDescent="0.2">
      <c r="A1854" s="1" t="s">
        <v>74</v>
      </c>
      <c r="B1854" t="str">
        <f>LEFT(Table13[[#This Row],[Input]],1)</f>
        <v>R</v>
      </c>
      <c r="C1854">
        <f>_xlfn.LET(_xlpm.steps,SUBSTITUTE(Table13[[#This Row],[Input]],Table13[[#This Row],[Direction]],""),VALUE(IF(LEN(_xlpm.steps)&gt;2,RIGHT(_xlpm.steps,2),_xlpm.steps)))</f>
        <v>93</v>
      </c>
      <c r="D1854">
        <f>_xlfn.LET(_xlpm.steps,SUBSTITUTE(Table13[[#This Row],[Input]],Table13[[#This Row],[Direction]],""),VALUE(IF(LEN(_xlpm.steps)&gt;2,LEFT(_xlpm.steps,LEN(_xlpm.steps)-2),0)))</f>
        <v>0</v>
      </c>
      <c r="E1854">
        <f>_xlfn.LET(_xlpm.dir,Table13[[#This Row],[Direction]],
IF(_xlpm.dir="L",
    IF(G1853-Table13[[#This Row],[Steps]]&lt;0,100+(G1853-Table13[[#This Row],[Steps]]),G1853-Table13[[#This Row],[Steps]]),
))</f>
        <v>0</v>
      </c>
      <c r="F1854">
        <f>_xlfn.LET(_xlpm.dir,Table13[[#This Row],[Direction]],
IF(_xlpm.dir="R",
    IF(G1853+Table13[[#This Row],[Steps]]&gt;99,(G1853+Table13[[#This Row],[Steps]])-100,G1853+Table13[[#This Row],[Steps]]),
))</f>
        <v>93</v>
      </c>
      <c r="G1854">
        <f>IF(Table13[[#This Row],[New Pos L]]&lt;&gt;0,Table13[[#This Row],[New Pos L]],Table13[[#This Row],[New Pos R]])</f>
        <v>93</v>
      </c>
      <c r="H1854">
        <f>IF(AND(Table13[[#This Row],[Direction]]="L",Table13[[#This Row],[Steps]]&gt;G1853,G1853&lt;&gt;0),1,0)</f>
        <v>0</v>
      </c>
      <c r="I1854">
        <f>IF(AND(Table13[[#This Row],[Direction]]="R",(G1853+Table13[[#This Row],[Steps]])&gt;100),1,0)</f>
        <v>0</v>
      </c>
      <c r="J1854">
        <f>IF(Table13[[#This Row],[POS]]=0,1,0)</f>
        <v>0</v>
      </c>
      <c r="K1854">
        <f>SUM(Table13[[#This Row],[prefix]],Table13[[#This Row],[Past zero L]],Table13[[#This Row],[Past Zero R]],Table13[[#This Row],[Is Zero]])</f>
        <v>0</v>
      </c>
    </row>
    <row r="1855" spans="1:11" ht="16" x14ac:dyDescent="0.2">
      <c r="A1855" s="1" t="s">
        <v>17</v>
      </c>
      <c r="B1855" t="str">
        <f>LEFT(Table13[[#This Row],[Input]],1)</f>
        <v>L</v>
      </c>
      <c r="C1855">
        <f>_xlfn.LET(_xlpm.steps,SUBSTITUTE(Table13[[#This Row],[Input]],Table13[[#This Row],[Direction]],""),VALUE(IF(LEN(_xlpm.steps)&gt;2,RIGHT(_xlpm.steps,2),_xlpm.steps)))</f>
        <v>50</v>
      </c>
      <c r="D1855">
        <f>_xlfn.LET(_xlpm.steps,SUBSTITUTE(Table13[[#This Row],[Input]],Table13[[#This Row],[Direction]],""),VALUE(IF(LEN(_xlpm.steps)&gt;2,LEFT(_xlpm.steps,LEN(_xlpm.steps)-2),0)))</f>
        <v>0</v>
      </c>
      <c r="E1855">
        <f>_xlfn.LET(_xlpm.dir,Table13[[#This Row],[Direction]],
IF(_xlpm.dir="L",
    IF(G1854-Table13[[#This Row],[Steps]]&lt;0,100+(G1854-Table13[[#This Row],[Steps]]),G1854-Table13[[#This Row],[Steps]]),
))</f>
        <v>43</v>
      </c>
      <c r="F1855">
        <f>_xlfn.LET(_xlpm.dir,Table13[[#This Row],[Direction]],
IF(_xlpm.dir="R",
    IF(G1854+Table13[[#This Row],[Steps]]&gt;99,(G1854+Table13[[#This Row],[Steps]])-100,G1854+Table13[[#This Row],[Steps]]),
))</f>
        <v>0</v>
      </c>
      <c r="G1855">
        <f>IF(Table13[[#This Row],[New Pos L]]&lt;&gt;0,Table13[[#This Row],[New Pos L]],Table13[[#This Row],[New Pos R]])</f>
        <v>43</v>
      </c>
      <c r="H1855">
        <f>IF(AND(Table13[[#This Row],[Direction]]="L",Table13[[#This Row],[Steps]]&gt;G1854,G1854&lt;&gt;0),1,0)</f>
        <v>0</v>
      </c>
      <c r="I1855">
        <f>IF(AND(Table13[[#This Row],[Direction]]="R",(G1854+Table13[[#This Row],[Steps]])&gt;100),1,0)</f>
        <v>0</v>
      </c>
      <c r="J1855">
        <f>IF(Table13[[#This Row],[POS]]=0,1,0)</f>
        <v>0</v>
      </c>
      <c r="K1855">
        <f>SUM(Table13[[#This Row],[prefix]],Table13[[#This Row],[Past zero L]],Table13[[#This Row],[Past Zero R]],Table13[[#This Row],[Is Zero]])</f>
        <v>0</v>
      </c>
    </row>
    <row r="1856" spans="1:11" ht="16" x14ac:dyDescent="0.2">
      <c r="A1856" s="1" t="s">
        <v>68</v>
      </c>
      <c r="B1856" t="str">
        <f>LEFT(Table13[[#This Row],[Input]],1)</f>
        <v>L</v>
      </c>
      <c r="C1856">
        <f>_xlfn.LET(_xlpm.steps,SUBSTITUTE(Table13[[#This Row],[Input]],Table13[[#This Row],[Direction]],""),VALUE(IF(LEN(_xlpm.steps)&gt;2,RIGHT(_xlpm.steps,2),_xlpm.steps)))</f>
        <v>80</v>
      </c>
      <c r="D1856">
        <f>_xlfn.LET(_xlpm.steps,SUBSTITUTE(Table13[[#This Row],[Input]],Table13[[#This Row],[Direction]],""),VALUE(IF(LEN(_xlpm.steps)&gt;2,LEFT(_xlpm.steps,LEN(_xlpm.steps)-2),0)))</f>
        <v>0</v>
      </c>
      <c r="E1856">
        <f>_xlfn.LET(_xlpm.dir,Table13[[#This Row],[Direction]],
IF(_xlpm.dir="L",
    IF(G1855-Table13[[#This Row],[Steps]]&lt;0,100+(G1855-Table13[[#This Row],[Steps]]),G1855-Table13[[#This Row],[Steps]]),
))</f>
        <v>63</v>
      </c>
      <c r="F1856">
        <f>_xlfn.LET(_xlpm.dir,Table13[[#This Row],[Direction]],
IF(_xlpm.dir="R",
    IF(G1855+Table13[[#This Row],[Steps]]&gt;99,(G1855+Table13[[#This Row],[Steps]])-100,G1855+Table13[[#This Row],[Steps]]),
))</f>
        <v>0</v>
      </c>
      <c r="G1856">
        <f>IF(Table13[[#This Row],[New Pos L]]&lt;&gt;0,Table13[[#This Row],[New Pos L]],Table13[[#This Row],[New Pos R]])</f>
        <v>63</v>
      </c>
      <c r="H1856">
        <f>IF(AND(Table13[[#This Row],[Direction]]="L",Table13[[#This Row],[Steps]]&gt;G1855,G1855&lt;&gt;0),1,0)</f>
        <v>1</v>
      </c>
      <c r="I1856">
        <f>IF(AND(Table13[[#This Row],[Direction]]="R",(G1855+Table13[[#This Row],[Steps]])&gt;100),1,0)</f>
        <v>0</v>
      </c>
      <c r="J1856">
        <f>IF(Table13[[#This Row],[POS]]=0,1,0)</f>
        <v>0</v>
      </c>
      <c r="K1856">
        <f>SUM(Table13[[#This Row],[prefix]],Table13[[#This Row],[Past zero L]],Table13[[#This Row],[Past Zero R]],Table13[[#This Row],[Is Zero]])</f>
        <v>1</v>
      </c>
    </row>
    <row r="1857" spans="1:11" ht="16" x14ac:dyDescent="0.2">
      <c r="A1857" s="1" t="s">
        <v>39</v>
      </c>
      <c r="B1857" t="str">
        <f>LEFT(Table13[[#This Row],[Input]],1)</f>
        <v>R</v>
      </c>
      <c r="C1857">
        <f>_xlfn.LET(_xlpm.steps,SUBSTITUTE(Table13[[#This Row],[Input]],Table13[[#This Row],[Direction]],""),VALUE(IF(LEN(_xlpm.steps)&gt;2,RIGHT(_xlpm.steps,2),_xlpm.steps)))</f>
        <v>32</v>
      </c>
      <c r="D1857">
        <f>_xlfn.LET(_xlpm.steps,SUBSTITUTE(Table13[[#This Row],[Input]],Table13[[#This Row],[Direction]],""),VALUE(IF(LEN(_xlpm.steps)&gt;2,LEFT(_xlpm.steps,LEN(_xlpm.steps)-2),0)))</f>
        <v>0</v>
      </c>
      <c r="E1857">
        <f>_xlfn.LET(_xlpm.dir,Table13[[#This Row],[Direction]],
IF(_xlpm.dir="L",
    IF(G1856-Table13[[#This Row],[Steps]]&lt;0,100+(G1856-Table13[[#This Row],[Steps]]),G1856-Table13[[#This Row],[Steps]]),
))</f>
        <v>0</v>
      </c>
      <c r="F1857">
        <f>_xlfn.LET(_xlpm.dir,Table13[[#This Row],[Direction]],
IF(_xlpm.dir="R",
    IF(G1856+Table13[[#This Row],[Steps]]&gt;99,(G1856+Table13[[#This Row],[Steps]])-100,G1856+Table13[[#This Row],[Steps]]),
))</f>
        <v>95</v>
      </c>
      <c r="G1857">
        <f>IF(Table13[[#This Row],[New Pos L]]&lt;&gt;0,Table13[[#This Row],[New Pos L]],Table13[[#This Row],[New Pos R]])</f>
        <v>95</v>
      </c>
      <c r="H1857">
        <f>IF(AND(Table13[[#This Row],[Direction]]="L",Table13[[#This Row],[Steps]]&gt;G1856,G1856&lt;&gt;0),1,0)</f>
        <v>0</v>
      </c>
      <c r="I1857">
        <f>IF(AND(Table13[[#This Row],[Direction]]="R",(G1856+Table13[[#This Row],[Steps]])&gt;100),1,0)</f>
        <v>0</v>
      </c>
      <c r="J1857">
        <f>IF(Table13[[#This Row],[POS]]=0,1,0)</f>
        <v>0</v>
      </c>
      <c r="K1857">
        <f>SUM(Table13[[#This Row],[prefix]],Table13[[#This Row],[Past zero L]],Table13[[#This Row],[Past Zero R]],Table13[[#This Row],[Is Zero]])</f>
        <v>0</v>
      </c>
    </row>
    <row r="1858" spans="1:11" ht="16" x14ac:dyDescent="0.2">
      <c r="A1858" s="1" t="s">
        <v>4</v>
      </c>
      <c r="B1858" t="str">
        <f>LEFT(Table13[[#This Row],[Input]],1)</f>
        <v>R</v>
      </c>
      <c r="C1858">
        <f>_xlfn.LET(_xlpm.steps,SUBSTITUTE(Table13[[#This Row],[Input]],Table13[[#This Row],[Direction]],""),VALUE(IF(LEN(_xlpm.steps)&gt;2,RIGHT(_xlpm.steps,2),_xlpm.steps)))</f>
        <v>3</v>
      </c>
      <c r="D1858">
        <f>_xlfn.LET(_xlpm.steps,SUBSTITUTE(Table13[[#This Row],[Input]],Table13[[#This Row],[Direction]],""),VALUE(IF(LEN(_xlpm.steps)&gt;2,LEFT(_xlpm.steps,LEN(_xlpm.steps)-2),0)))</f>
        <v>0</v>
      </c>
      <c r="E1858">
        <f>_xlfn.LET(_xlpm.dir,Table13[[#This Row],[Direction]],
IF(_xlpm.dir="L",
    IF(G1857-Table13[[#This Row],[Steps]]&lt;0,100+(G1857-Table13[[#This Row],[Steps]]),G1857-Table13[[#This Row],[Steps]]),
))</f>
        <v>0</v>
      </c>
      <c r="F1858">
        <f>_xlfn.LET(_xlpm.dir,Table13[[#This Row],[Direction]],
IF(_xlpm.dir="R",
    IF(G1857+Table13[[#This Row],[Steps]]&gt;99,(G1857+Table13[[#This Row],[Steps]])-100,G1857+Table13[[#This Row],[Steps]]),
))</f>
        <v>98</v>
      </c>
      <c r="G1858">
        <f>IF(Table13[[#This Row],[New Pos L]]&lt;&gt;0,Table13[[#This Row],[New Pos L]],Table13[[#This Row],[New Pos R]])</f>
        <v>98</v>
      </c>
      <c r="H1858">
        <f>IF(AND(Table13[[#This Row],[Direction]]="L",Table13[[#This Row],[Steps]]&gt;G1857,G1857&lt;&gt;0),1,0)</f>
        <v>0</v>
      </c>
      <c r="I1858">
        <f>IF(AND(Table13[[#This Row],[Direction]]="R",(G1857+Table13[[#This Row],[Steps]])&gt;100),1,0)</f>
        <v>0</v>
      </c>
      <c r="J1858">
        <f>IF(Table13[[#This Row],[POS]]=0,1,0)</f>
        <v>0</v>
      </c>
      <c r="K1858">
        <f>SUM(Table13[[#This Row],[prefix]],Table13[[#This Row],[Past zero L]],Table13[[#This Row],[Past Zero R]],Table13[[#This Row],[Is Zero]])</f>
        <v>0</v>
      </c>
    </row>
    <row r="1859" spans="1:11" ht="16" x14ac:dyDescent="0.2">
      <c r="A1859" s="1" t="s">
        <v>518</v>
      </c>
      <c r="B1859" t="str">
        <f>LEFT(Table13[[#This Row],[Input]],1)</f>
        <v>R</v>
      </c>
      <c r="C1859">
        <f>_xlfn.LET(_xlpm.steps,SUBSTITUTE(Table13[[#This Row],[Input]],Table13[[#This Row],[Direction]],""),VALUE(IF(LEN(_xlpm.steps)&gt;2,RIGHT(_xlpm.steps,2),_xlpm.steps)))</f>
        <v>54</v>
      </c>
      <c r="D1859">
        <f>_xlfn.LET(_xlpm.steps,SUBSTITUTE(Table13[[#This Row],[Input]],Table13[[#This Row],[Direction]],""),VALUE(IF(LEN(_xlpm.steps)&gt;2,LEFT(_xlpm.steps,LEN(_xlpm.steps)-2),0)))</f>
        <v>7</v>
      </c>
      <c r="E1859">
        <f>_xlfn.LET(_xlpm.dir,Table13[[#This Row],[Direction]],
IF(_xlpm.dir="L",
    IF(G1858-Table13[[#This Row],[Steps]]&lt;0,100+(G1858-Table13[[#This Row],[Steps]]),G1858-Table13[[#This Row],[Steps]]),
))</f>
        <v>0</v>
      </c>
      <c r="F1859">
        <f>_xlfn.LET(_xlpm.dir,Table13[[#This Row],[Direction]],
IF(_xlpm.dir="R",
    IF(G1858+Table13[[#This Row],[Steps]]&gt;99,(G1858+Table13[[#This Row],[Steps]])-100,G1858+Table13[[#This Row],[Steps]]),
))</f>
        <v>52</v>
      </c>
      <c r="G1859">
        <f>IF(Table13[[#This Row],[New Pos L]]&lt;&gt;0,Table13[[#This Row],[New Pos L]],Table13[[#This Row],[New Pos R]])</f>
        <v>52</v>
      </c>
      <c r="H1859">
        <f>IF(AND(Table13[[#This Row],[Direction]]="L",Table13[[#This Row],[Steps]]&gt;G1858,G1858&lt;&gt;0),1,0)</f>
        <v>0</v>
      </c>
      <c r="I1859">
        <f>IF(AND(Table13[[#This Row],[Direction]]="R",(G1858+Table13[[#This Row],[Steps]])&gt;100),1,0)</f>
        <v>1</v>
      </c>
      <c r="J1859">
        <f>IF(Table13[[#This Row],[POS]]=0,1,0)</f>
        <v>0</v>
      </c>
      <c r="K1859">
        <f>SUM(Table13[[#This Row],[prefix]],Table13[[#This Row],[Past zero L]],Table13[[#This Row],[Past Zero R]],Table13[[#This Row],[Is Zero]])</f>
        <v>8</v>
      </c>
    </row>
    <row r="1860" spans="1:11" ht="16" x14ac:dyDescent="0.2">
      <c r="A1860" s="1" t="s">
        <v>88</v>
      </c>
      <c r="B1860" t="str">
        <f>LEFT(Table13[[#This Row],[Input]],1)</f>
        <v>R</v>
      </c>
      <c r="C1860">
        <f>_xlfn.LET(_xlpm.steps,SUBSTITUTE(Table13[[#This Row],[Input]],Table13[[#This Row],[Direction]],""),VALUE(IF(LEN(_xlpm.steps)&gt;2,RIGHT(_xlpm.steps,2),_xlpm.steps)))</f>
        <v>53</v>
      </c>
      <c r="D1860">
        <f>_xlfn.LET(_xlpm.steps,SUBSTITUTE(Table13[[#This Row],[Input]],Table13[[#This Row],[Direction]],""),VALUE(IF(LEN(_xlpm.steps)&gt;2,LEFT(_xlpm.steps,LEN(_xlpm.steps)-2),0)))</f>
        <v>0</v>
      </c>
      <c r="E1860">
        <f>_xlfn.LET(_xlpm.dir,Table13[[#This Row],[Direction]],
IF(_xlpm.dir="L",
    IF(G1859-Table13[[#This Row],[Steps]]&lt;0,100+(G1859-Table13[[#This Row],[Steps]]),G1859-Table13[[#This Row],[Steps]]),
))</f>
        <v>0</v>
      </c>
      <c r="F1860">
        <f>_xlfn.LET(_xlpm.dir,Table13[[#This Row],[Direction]],
IF(_xlpm.dir="R",
    IF(G1859+Table13[[#This Row],[Steps]]&gt;99,(G1859+Table13[[#This Row],[Steps]])-100,G1859+Table13[[#This Row],[Steps]]),
))</f>
        <v>5</v>
      </c>
      <c r="G1860">
        <f>IF(Table13[[#This Row],[New Pos L]]&lt;&gt;0,Table13[[#This Row],[New Pos L]],Table13[[#This Row],[New Pos R]])</f>
        <v>5</v>
      </c>
      <c r="H1860">
        <f>IF(AND(Table13[[#This Row],[Direction]]="L",Table13[[#This Row],[Steps]]&gt;G1859,G1859&lt;&gt;0),1,0)</f>
        <v>0</v>
      </c>
      <c r="I1860">
        <f>IF(AND(Table13[[#This Row],[Direction]]="R",(G1859+Table13[[#This Row],[Steps]])&gt;100),1,0)</f>
        <v>1</v>
      </c>
      <c r="J1860">
        <f>IF(Table13[[#This Row],[POS]]=0,1,0)</f>
        <v>0</v>
      </c>
      <c r="K1860">
        <f>SUM(Table13[[#This Row],[prefix]],Table13[[#This Row],[Past zero L]],Table13[[#This Row],[Past Zero R]],Table13[[#This Row],[Is Zero]])</f>
        <v>1</v>
      </c>
    </row>
    <row r="1861" spans="1:11" ht="16" x14ac:dyDescent="0.2">
      <c r="A1861" s="1" t="s">
        <v>336</v>
      </c>
      <c r="B1861" t="str">
        <f>LEFT(Table13[[#This Row],[Input]],1)</f>
        <v>R</v>
      </c>
      <c r="C1861">
        <f>_xlfn.LET(_xlpm.steps,SUBSTITUTE(Table13[[#This Row],[Input]],Table13[[#This Row],[Direction]],""),VALUE(IF(LEN(_xlpm.steps)&gt;2,RIGHT(_xlpm.steps,2),_xlpm.steps)))</f>
        <v>95</v>
      </c>
      <c r="D1861">
        <f>_xlfn.LET(_xlpm.steps,SUBSTITUTE(Table13[[#This Row],[Input]],Table13[[#This Row],[Direction]],""),VALUE(IF(LEN(_xlpm.steps)&gt;2,LEFT(_xlpm.steps,LEN(_xlpm.steps)-2),0)))</f>
        <v>0</v>
      </c>
      <c r="E1861">
        <f>_xlfn.LET(_xlpm.dir,Table13[[#This Row],[Direction]],
IF(_xlpm.dir="L",
    IF(G1860-Table13[[#This Row],[Steps]]&lt;0,100+(G1860-Table13[[#This Row],[Steps]]),G1860-Table13[[#This Row],[Steps]]),
))</f>
        <v>0</v>
      </c>
      <c r="F1861">
        <f>_xlfn.LET(_xlpm.dir,Table13[[#This Row],[Direction]],
IF(_xlpm.dir="R",
    IF(G1860+Table13[[#This Row],[Steps]]&gt;99,(G1860+Table13[[#This Row],[Steps]])-100,G1860+Table13[[#This Row],[Steps]]),
))</f>
        <v>0</v>
      </c>
      <c r="G1861">
        <f>IF(Table13[[#This Row],[New Pos L]]&lt;&gt;0,Table13[[#This Row],[New Pos L]],Table13[[#This Row],[New Pos R]])</f>
        <v>0</v>
      </c>
      <c r="H1861">
        <f>IF(AND(Table13[[#This Row],[Direction]]="L",Table13[[#This Row],[Steps]]&gt;G1860,G1860&lt;&gt;0),1,0)</f>
        <v>0</v>
      </c>
      <c r="I1861">
        <f>IF(AND(Table13[[#This Row],[Direction]]="R",(G1860+Table13[[#This Row],[Steps]])&gt;100),1,0)</f>
        <v>0</v>
      </c>
      <c r="J1861">
        <f>IF(Table13[[#This Row],[POS]]=0,1,0)</f>
        <v>1</v>
      </c>
      <c r="K1861">
        <f>SUM(Table13[[#This Row],[prefix]],Table13[[#This Row],[Past zero L]],Table13[[#This Row],[Past Zero R]],Table13[[#This Row],[Is Zero]])</f>
        <v>1</v>
      </c>
    </row>
    <row r="1862" spans="1:11" ht="16" x14ac:dyDescent="0.2">
      <c r="A1862" s="1" t="s">
        <v>40</v>
      </c>
      <c r="B1862" t="str">
        <f>LEFT(Table13[[#This Row],[Input]],1)</f>
        <v>R</v>
      </c>
      <c r="C1862">
        <f>_xlfn.LET(_xlpm.steps,SUBSTITUTE(Table13[[#This Row],[Input]],Table13[[#This Row],[Direction]],""),VALUE(IF(LEN(_xlpm.steps)&gt;2,RIGHT(_xlpm.steps,2),_xlpm.steps)))</f>
        <v>52</v>
      </c>
      <c r="D1862">
        <f>_xlfn.LET(_xlpm.steps,SUBSTITUTE(Table13[[#This Row],[Input]],Table13[[#This Row],[Direction]],""),VALUE(IF(LEN(_xlpm.steps)&gt;2,LEFT(_xlpm.steps,LEN(_xlpm.steps)-2),0)))</f>
        <v>0</v>
      </c>
      <c r="E1862">
        <f>_xlfn.LET(_xlpm.dir,Table13[[#This Row],[Direction]],
IF(_xlpm.dir="L",
    IF(G1861-Table13[[#This Row],[Steps]]&lt;0,100+(G1861-Table13[[#This Row],[Steps]]),G1861-Table13[[#This Row],[Steps]]),
))</f>
        <v>0</v>
      </c>
      <c r="F1862">
        <f>_xlfn.LET(_xlpm.dir,Table13[[#This Row],[Direction]],
IF(_xlpm.dir="R",
    IF(G1861+Table13[[#This Row],[Steps]]&gt;99,(G1861+Table13[[#This Row],[Steps]])-100,G1861+Table13[[#This Row],[Steps]]),
))</f>
        <v>52</v>
      </c>
      <c r="G1862">
        <f>IF(Table13[[#This Row],[New Pos L]]&lt;&gt;0,Table13[[#This Row],[New Pos L]],Table13[[#This Row],[New Pos R]])</f>
        <v>52</v>
      </c>
      <c r="H1862">
        <f>IF(AND(Table13[[#This Row],[Direction]]="L",Table13[[#This Row],[Steps]]&gt;G1861,G1861&lt;&gt;0),1,0)</f>
        <v>0</v>
      </c>
      <c r="I1862">
        <f>IF(AND(Table13[[#This Row],[Direction]]="R",(G1861+Table13[[#This Row],[Steps]])&gt;100),1,0)</f>
        <v>0</v>
      </c>
      <c r="J1862">
        <f>IF(Table13[[#This Row],[POS]]=0,1,0)</f>
        <v>0</v>
      </c>
      <c r="K1862">
        <f>SUM(Table13[[#This Row],[prefix]],Table13[[#This Row],[Past zero L]],Table13[[#This Row],[Past Zero R]],Table13[[#This Row],[Is Zero]])</f>
        <v>0</v>
      </c>
    </row>
    <row r="1863" spans="1:11" ht="16" x14ac:dyDescent="0.2">
      <c r="A1863" s="1" t="s">
        <v>30</v>
      </c>
      <c r="B1863" t="str">
        <f>LEFT(Table13[[#This Row],[Input]],1)</f>
        <v>R</v>
      </c>
      <c r="C1863">
        <f>_xlfn.LET(_xlpm.steps,SUBSTITUTE(Table13[[#This Row],[Input]],Table13[[#This Row],[Direction]],""),VALUE(IF(LEN(_xlpm.steps)&gt;2,RIGHT(_xlpm.steps,2),_xlpm.steps)))</f>
        <v>48</v>
      </c>
      <c r="D1863">
        <f>_xlfn.LET(_xlpm.steps,SUBSTITUTE(Table13[[#This Row],[Input]],Table13[[#This Row],[Direction]],""),VALUE(IF(LEN(_xlpm.steps)&gt;2,LEFT(_xlpm.steps,LEN(_xlpm.steps)-2),0)))</f>
        <v>0</v>
      </c>
      <c r="E1863">
        <f>_xlfn.LET(_xlpm.dir,Table13[[#This Row],[Direction]],
IF(_xlpm.dir="L",
    IF(G1862-Table13[[#This Row],[Steps]]&lt;0,100+(G1862-Table13[[#This Row],[Steps]]),G1862-Table13[[#This Row],[Steps]]),
))</f>
        <v>0</v>
      </c>
      <c r="F1863">
        <f>_xlfn.LET(_xlpm.dir,Table13[[#This Row],[Direction]],
IF(_xlpm.dir="R",
    IF(G1862+Table13[[#This Row],[Steps]]&gt;99,(G1862+Table13[[#This Row],[Steps]])-100,G1862+Table13[[#This Row],[Steps]]),
))</f>
        <v>0</v>
      </c>
      <c r="G1863">
        <f>IF(Table13[[#This Row],[New Pos L]]&lt;&gt;0,Table13[[#This Row],[New Pos L]],Table13[[#This Row],[New Pos R]])</f>
        <v>0</v>
      </c>
      <c r="H1863">
        <f>IF(AND(Table13[[#This Row],[Direction]]="L",Table13[[#This Row],[Steps]]&gt;G1862,G1862&lt;&gt;0),1,0)</f>
        <v>0</v>
      </c>
      <c r="I1863">
        <f>IF(AND(Table13[[#This Row],[Direction]]="R",(G1862+Table13[[#This Row],[Steps]])&gt;100),1,0)</f>
        <v>0</v>
      </c>
      <c r="J1863">
        <f>IF(Table13[[#This Row],[POS]]=0,1,0)</f>
        <v>1</v>
      </c>
      <c r="K1863">
        <f>SUM(Table13[[#This Row],[prefix]],Table13[[#This Row],[Past zero L]],Table13[[#This Row],[Past Zero R]],Table13[[#This Row],[Is Zero]])</f>
        <v>1</v>
      </c>
    </row>
    <row r="1864" spans="1:11" ht="16" x14ac:dyDescent="0.2">
      <c r="A1864" s="1" t="s">
        <v>2</v>
      </c>
      <c r="B1864" t="str">
        <f>LEFT(Table13[[#This Row],[Input]],1)</f>
        <v>L</v>
      </c>
      <c r="C1864">
        <f>_xlfn.LET(_xlpm.steps,SUBSTITUTE(Table13[[#This Row],[Input]],Table13[[#This Row],[Direction]],""),VALUE(IF(LEN(_xlpm.steps)&gt;2,RIGHT(_xlpm.steps,2),_xlpm.steps)))</f>
        <v>38</v>
      </c>
      <c r="D1864">
        <f>_xlfn.LET(_xlpm.steps,SUBSTITUTE(Table13[[#This Row],[Input]],Table13[[#This Row],[Direction]],""),VALUE(IF(LEN(_xlpm.steps)&gt;2,LEFT(_xlpm.steps,LEN(_xlpm.steps)-2),0)))</f>
        <v>0</v>
      </c>
      <c r="E1864">
        <f>_xlfn.LET(_xlpm.dir,Table13[[#This Row],[Direction]],
IF(_xlpm.dir="L",
    IF(G1863-Table13[[#This Row],[Steps]]&lt;0,100+(G1863-Table13[[#This Row],[Steps]]),G1863-Table13[[#This Row],[Steps]]),
))</f>
        <v>62</v>
      </c>
      <c r="F1864">
        <f>_xlfn.LET(_xlpm.dir,Table13[[#This Row],[Direction]],
IF(_xlpm.dir="R",
    IF(G1863+Table13[[#This Row],[Steps]]&gt;99,(G1863+Table13[[#This Row],[Steps]])-100,G1863+Table13[[#This Row],[Steps]]),
))</f>
        <v>0</v>
      </c>
      <c r="G1864">
        <f>IF(Table13[[#This Row],[New Pos L]]&lt;&gt;0,Table13[[#This Row],[New Pos L]],Table13[[#This Row],[New Pos R]])</f>
        <v>62</v>
      </c>
      <c r="H1864">
        <f>IF(AND(Table13[[#This Row],[Direction]]="L",Table13[[#This Row],[Steps]]&gt;G1863,G1863&lt;&gt;0),1,0)</f>
        <v>0</v>
      </c>
      <c r="I1864">
        <f>IF(AND(Table13[[#This Row],[Direction]]="R",(G1863+Table13[[#This Row],[Steps]])&gt;100),1,0)</f>
        <v>0</v>
      </c>
      <c r="J1864">
        <f>IF(Table13[[#This Row],[POS]]=0,1,0)</f>
        <v>0</v>
      </c>
      <c r="K1864">
        <f>SUM(Table13[[#This Row],[prefix]],Table13[[#This Row],[Past zero L]],Table13[[#This Row],[Past Zero R]],Table13[[#This Row],[Is Zero]])</f>
        <v>0</v>
      </c>
    </row>
    <row r="1865" spans="1:11" ht="16" x14ac:dyDescent="0.2">
      <c r="A1865" s="1" t="s">
        <v>519</v>
      </c>
      <c r="B1865" t="str">
        <f>LEFT(Table13[[#This Row],[Input]],1)</f>
        <v>R</v>
      </c>
      <c r="C1865">
        <f>_xlfn.LET(_xlpm.steps,SUBSTITUTE(Table13[[#This Row],[Input]],Table13[[#This Row],[Direction]],""),VALUE(IF(LEN(_xlpm.steps)&gt;2,RIGHT(_xlpm.steps,2),_xlpm.steps)))</f>
        <v>84</v>
      </c>
      <c r="D1865">
        <f>_xlfn.LET(_xlpm.steps,SUBSTITUTE(Table13[[#This Row],[Input]],Table13[[#This Row],[Direction]],""),VALUE(IF(LEN(_xlpm.steps)&gt;2,LEFT(_xlpm.steps,LEN(_xlpm.steps)-2),0)))</f>
        <v>2</v>
      </c>
      <c r="E1865">
        <f>_xlfn.LET(_xlpm.dir,Table13[[#This Row],[Direction]],
IF(_xlpm.dir="L",
    IF(G1864-Table13[[#This Row],[Steps]]&lt;0,100+(G1864-Table13[[#This Row],[Steps]]),G1864-Table13[[#This Row],[Steps]]),
))</f>
        <v>0</v>
      </c>
      <c r="F1865">
        <f>_xlfn.LET(_xlpm.dir,Table13[[#This Row],[Direction]],
IF(_xlpm.dir="R",
    IF(G1864+Table13[[#This Row],[Steps]]&gt;99,(G1864+Table13[[#This Row],[Steps]])-100,G1864+Table13[[#This Row],[Steps]]),
))</f>
        <v>46</v>
      </c>
      <c r="G1865">
        <f>IF(Table13[[#This Row],[New Pos L]]&lt;&gt;0,Table13[[#This Row],[New Pos L]],Table13[[#This Row],[New Pos R]])</f>
        <v>46</v>
      </c>
      <c r="H1865">
        <f>IF(AND(Table13[[#This Row],[Direction]]="L",Table13[[#This Row],[Steps]]&gt;G1864,G1864&lt;&gt;0),1,0)</f>
        <v>0</v>
      </c>
      <c r="I1865">
        <f>IF(AND(Table13[[#This Row],[Direction]]="R",(G1864+Table13[[#This Row],[Steps]])&gt;100),1,0)</f>
        <v>1</v>
      </c>
      <c r="J1865">
        <f>IF(Table13[[#This Row],[POS]]=0,1,0)</f>
        <v>0</v>
      </c>
      <c r="K1865">
        <f>SUM(Table13[[#This Row],[prefix]],Table13[[#This Row],[Past zero L]],Table13[[#This Row],[Past Zero R]],Table13[[#This Row],[Is Zero]])</f>
        <v>3</v>
      </c>
    </row>
    <row r="1866" spans="1:11" ht="16" x14ac:dyDescent="0.2">
      <c r="A1866" s="1" t="s">
        <v>520</v>
      </c>
      <c r="B1866" t="str">
        <f>LEFT(Table13[[#This Row],[Input]],1)</f>
        <v>R</v>
      </c>
      <c r="C1866">
        <f>_xlfn.LET(_xlpm.steps,SUBSTITUTE(Table13[[#This Row],[Input]],Table13[[#This Row],[Direction]],""),VALUE(IF(LEN(_xlpm.steps)&gt;2,RIGHT(_xlpm.steps,2),_xlpm.steps)))</f>
        <v>88</v>
      </c>
      <c r="D1866">
        <f>_xlfn.LET(_xlpm.steps,SUBSTITUTE(Table13[[#This Row],[Input]],Table13[[#This Row],[Direction]],""),VALUE(IF(LEN(_xlpm.steps)&gt;2,LEFT(_xlpm.steps,LEN(_xlpm.steps)-2),0)))</f>
        <v>6</v>
      </c>
      <c r="E1866">
        <f>_xlfn.LET(_xlpm.dir,Table13[[#This Row],[Direction]],
IF(_xlpm.dir="L",
    IF(G1865-Table13[[#This Row],[Steps]]&lt;0,100+(G1865-Table13[[#This Row],[Steps]]),G1865-Table13[[#This Row],[Steps]]),
))</f>
        <v>0</v>
      </c>
      <c r="F1866">
        <f>_xlfn.LET(_xlpm.dir,Table13[[#This Row],[Direction]],
IF(_xlpm.dir="R",
    IF(G1865+Table13[[#This Row],[Steps]]&gt;99,(G1865+Table13[[#This Row],[Steps]])-100,G1865+Table13[[#This Row],[Steps]]),
))</f>
        <v>34</v>
      </c>
      <c r="G1866">
        <f>IF(Table13[[#This Row],[New Pos L]]&lt;&gt;0,Table13[[#This Row],[New Pos L]],Table13[[#This Row],[New Pos R]])</f>
        <v>34</v>
      </c>
      <c r="H1866">
        <f>IF(AND(Table13[[#This Row],[Direction]]="L",Table13[[#This Row],[Steps]]&gt;G1865,G1865&lt;&gt;0),1,0)</f>
        <v>0</v>
      </c>
      <c r="I1866">
        <f>IF(AND(Table13[[#This Row],[Direction]]="R",(G1865+Table13[[#This Row],[Steps]])&gt;100),1,0)</f>
        <v>1</v>
      </c>
      <c r="J1866">
        <f>IF(Table13[[#This Row],[POS]]=0,1,0)</f>
        <v>0</v>
      </c>
      <c r="K1866">
        <f>SUM(Table13[[#This Row],[prefix]],Table13[[#This Row],[Past zero L]],Table13[[#This Row],[Past Zero R]],Table13[[#This Row],[Is Zero]])</f>
        <v>7</v>
      </c>
    </row>
    <row r="1867" spans="1:11" ht="16" x14ac:dyDescent="0.2">
      <c r="A1867" s="1" t="s">
        <v>344</v>
      </c>
      <c r="B1867" t="str">
        <f>LEFT(Table13[[#This Row],[Input]],1)</f>
        <v>R</v>
      </c>
      <c r="C1867">
        <f>_xlfn.LET(_xlpm.steps,SUBSTITUTE(Table13[[#This Row],[Input]],Table13[[#This Row],[Direction]],""),VALUE(IF(LEN(_xlpm.steps)&gt;2,RIGHT(_xlpm.steps,2),_xlpm.steps)))</f>
        <v>9</v>
      </c>
      <c r="D1867">
        <f>_xlfn.LET(_xlpm.steps,SUBSTITUTE(Table13[[#This Row],[Input]],Table13[[#This Row],[Direction]],""),VALUE(IF(LEN(_xlpm.steps)&gt;2,LEFT(_xlpm.steps,LEN(_xlpm.steps)-2),0)))</f>
        <v>0</v>
      </c>
      <c r="E1867">
        <f>_xlfn.LET(_xlpm.dir,Table13[[#This Row],[Direction]],
IF(_xlpm.dir="L",
    IF(G1866-Table13[[#This Row],[Steps]]&lt;0,100+(G1866-Table13[[#This Row],[Steps]]),G1866-Table13[[#This Row],[Steps]]),
))</f>
        <v>0</v>
      </c>
      <c r="F1867">
        <f>_xlfn.LET(_xlpm.dir,Table13[[#This Row],[Direction]],
IF(_xlpm.dir="R",
    IF(G1866+Table13[[#This Row],[Steps]]&gt;99,(G1866+Table13[[#This Row],[Steps]])-100,G1866+Table13[[#This Row],[Steps]]),
))</f>
        <v>43</v>
      </c>
      <c r="G1867">
        <f>IF(Table13[[#This Row],[New Pos L]]&lt;&gt;0,Table13[[#This Row],[New Pos L]],Table13[[#This Row],[New Pos R]])</f>
        <v>43</v>
      </c>
      <c r="H1867">
        <f>IF(AND(Table13[[#This Row],[Direction]]="L",Table13[[#This Row],[Steps]]&gt;G1866,G1866&lt;&gt;0),1,0)</f>
        <v>0</v>
      </c>
      <c r="I1867">
        <f>IF(AND(Table13[[#This Row],[Direction]]="R",(G1866+Table13[[#This Row],[Steps]])&gt;100),1,0)</f>
        <v>0</v>
      </c>
      <c r="J1867">
        <f>IF(Table13[[#This Row],[POS]]=0,1,0)</f>
        <v>0</v>
      </c>
      <c r="K1867">
        <f>SUM(Table13[[#This Row],[prefix]],Table13[[#This Row],[Past zero L]],Table13[[#This Row],[Past Zero R]],Table13[[#This Row],[Is Zero]])</f>
        <v>0</v>
      </c>
    </row>
    <row r="1868" spans="1:11" ht="16" x14ac:dyDescent="0.2">
      <c r="A1868" s="1" t="s">
        <v>48</v>
      </c>
      <c r="B1868" t="str">
        <f>LEFT(Table13[[#This Row],[Input]],1)</f>
        <v>R</v>
      </c>
      <c r="C1868">
        <f>_xlfn.LET(_xlpm.steps,SUBSTITUTE(Table13[[#This Row],[Input]],Table13[[#This Row],[Direction]],""),VALUE(IF(LEN(_xlpm.steps)&gt;2,RIGHT(_xlpm.steps,2),_xlpm.steps)))</f>
        <v>81</v>
      </c>
      <c r="D1868">
        <f>_xlfn.LET(_xlpm.steps,SUBSTITUTE(Table13[[#This Row],[Input]],Table13[[#This Row],[Direction]],""),VALUE(IF(LEN(_xlpm.steps)&gt;2,LEFT(_xlpm.steps,LEN(_xlpm.steps)-2),0)))</f>
        <v>0</v>
      </c>
      <c r="E1868">
        <f>_xlfn.LET(_xlpm.dir,Table13[[#This Row],[Direction]],
IF(_xlpm.dir="L",
    IF(G1867-Table13[[#This Row],[Steps]]&lt;0,100+(G1867-Table13[[#This Row],[Steps]]),G1867-Table13[[#This Row],[Steps]]),
))</f>
        <v>0</v>
      </c>
      <c r="F1868">
        <f>_xlfn.LET(_xlpm.dir,Table13[[#This Row],[Direction]],
IF(_xlpm.dir="R",
    IF(G1867+Table13[[#This Row],[Steps]]&gt;99,(G1867+Table13[[#This Row],[Steps]])-100,G1867+Table13[[#This Row],[Steps]]),
))</f>
        <v>24</v>
      </c>
      <c r="G1868">
        <f>IF(Table13[[#This Row],[New Pos L]]&lt;&gt;0,Table13[[#This Row],[New Pos L]],Table13[[#This Row],[New Pos R]])</f>
        <v>24</v>
      </c>
      <c r="H1868">
        <f>IF(AND(Table13[[#This Row],[Direction]]="L",Table13[[#This Row],[Steps]]&gt;G1867,G1867&lt;&gt;0),1,0)</f>
        <v>0</v>
      </c>
      <c r="I1868">
        <f>IF(AND(Table13[[#This Row],[Direction]]="R",(G1867+Table13[[#This Row],[Steps]])&gt;100),1,0)</f>
        <v>1</v>
      </c>
      <c r="J1868">
        <f>IF(Table13[[#This Row],[POS]]=0,1,0)</f>
        <v>0</v>
      </c>
      <c r="K1868">
        <f>SUM(Table13[[#This Row],[prefix]],Table13[[#This Row],[Past zero L]],Table13[[#This Row],[Past Zero R]],Table13[[#This Row],[Is Zero]])</f>
        <v>1</v>
      </c>
    </row>
    <row r="1869" spans="1:11" ht="16" x14ac:dyDescent="0.2">
      <c r="A1869" s="1" t="s">
        <v>74</v>
      </c>
      <c r="B1869" t="str">
        <f>LEFT(Table13[[#This Row],[Input]],1)</f>
        <v>R</v>
      </c>
      <c r="C1869">
        <f>_xlfn.LET(_xlpm.steps,SUBSTITUTE(Table13[[#This Row],[Input]],Table13[[#This Row],[Direction]],""),VALUE(IF(LEN(_xlpm.steps)&gt;2,RIGHT(_xlpm.steps,2),_xlpm.steps)))</f>
        <v>93</v>
      </c>
      <c r="D1869">
        <f>_xlfn.LET(_xlpm.steps,SUBSTITUTE(Table13[[#This Row],[Input]],Table13[[#This Row],[Direction]],""),VALUE(IF(LEN(_xlpm.steps)&gt;2,LEFT(_xlpm.steps,LEN(_xlpm.steps)-2),0)))</f>
        <v>0</v>
      </c>
      <c r="E1869">
        <f>_xlfn.LET(_xlpm.dir,Table13[[#This Row],[Direction]],
IF(_xlpm.dir="L",
    IF(G1868-Table13[[#This Row],[Steps]]&lt;0,100+(G1868-Table13[[#This Row],[Steps]]),G1868-Table13[[#This Row],[Steps]]),
))</f>
        <v>0</v>
      </c>
      <c r="F1869">
        <f>_xlfn.LET(_xlpm.dir,Table13[[#This Row],[Direction]],
IF(_xlpm.dir="R",
    IF(G1868+Table13[[#This Row],[Steps]]&gt;99,(G1868+Table13[[#This Row],[Steps]])-100,G1868+Table13[[#This Row],[Steps]]),
))</f>
        <v>17</v>
      </c>
      <c r="G1869">
        <f>IF(Table13[[#This Row],[New Pos L]]&lt;&gt;0,Table13[[#This Row],[New Pos L]],Table13[[#This Row],[New Pos R]])</f>
        <v>17</v>
      </c>
      <c r="H1869">
        <f>IF(AND(Table13[[#This Row],[Direction]]="L",Table13[[#This Row],[Steps]]&gt;G1868,G1868&lt;&gt;0),1,0)</f>
        <v>0</v>
      </c>
      <c r="I1869">
        <f>IF(AND(Table13[[#This Row],[Direction]]="R",(G1868+Table13[[#This Row],[Steps]])&gt;100),1,0)</f>
        <v>1</v>
      </c>
      <c r="J1869">
        <f>IF(Table13[[#This Row],[POS]]=0,1,0)</f>
        <v>0</v>
      </c>
      <c r="K1869">
        <f>SUM(Table13[[#This Row],[prefix]],Table13[[#This Row],[Past zero L]],Table13[[#This Row],[Past Zero R]],Table13[[#This Row],[Is Zero]])</f>
        <v>1</v>
      </c>
    </row>
    <row r="1870" spans="1:11" ht="16" x14ac:dyDescent="0.2">
      <c r="A1870" s="1" t="s">
        <v>462</v>
      </c>
      <c r="B1870" t="str">
        <f>LEFT(Table13[[#This Row],[Input]],1)</f>
        <v>L</v>
      </c>
      <c r="C1870">
        <f>_xlfn.LET(_xlpm.steps,SUBSTITUTE(Table13[[#This Row],[Input]],Table13[[#This Row],[Direction]],""),VALUE(IF(LEN(_xlpm.steps)&gt;2,RIGHT(_xlpm.steps,2),_xlpm.steps)))</f>
        <v>17</v>
      </c>
      <c r="D1870">
        <f>_xlfn.LET(_xlpm.steps,SUBSTITUTE(Table13[[#This Row],[Input]],Table13[[#This Row],[Direction]],""),VALUE(IF(LEN(_xlpm.steps)&gt;2,LEFT(_xlpm.steps,LEN(_xlpm.steps)-2),0)))</f>
        <v>0</v>
      </c>
      <c r="E1870">
        <f>_xlfn.LET(_xlpm.dir,Table13[[#This Row],[Direction]],
IF(_xlpm.dir="L",
    IF(G1869-Table13[[#This Row],[Steps]]&lt;0,100+(G1869-Table13[[#This Row],[Steps]]),G1869-Table13[[#This Row],[Steps]]),
))</f>
        <v>0</v>
      </c>
      <c r="F1870">
        <f>_xlfn.LET(_xlpm.dir,Table13[[#This Row],[Direction]],
IF(_xlpm.dir="R",
    IF(G1869+Table13[[#This Row],[Steps]]&gt;99,(G1869+Table13[[#This Row],[Steps]])-100,G1869+Table13[[#This Row],[Steps]]),
))</f>
        <v>0</v>
      </c>
      <c r="G1870">
        <f>IF(Table13[[#This Row],[New Pos L]]&lt;&gt;0,Table13[[#This Row],[New Pos L]],Table13[[#This Row],[New Pos R]])</f>
        <v>0</v>
      </c>
      <c r="H1870">
        <f>IF(AND(Table13[[#This Row],[Direction]]="L",Table13[[#This Row],[Steps]]&gt;G1869,G1869&lt;&gt;0),1,0)</f>
        <v>0</v>
      </c>
      <c r="I1870">
        <f>IF(AND(Table13[[#This Row],[Direction]]="R",(G1869+Table13[[#This Row],[Steps]])&gt;100),1,0)</f>
        <v>0</v>
      </c>
      <c r="J1870">
        <f>IF(Table13[[#This Row],[POS]]=0,1,0)</f>
        <v>1</v>
      </c>
      <c r="K1870">
        <f>SUM(Table13[[#This Row],[prefix]],Table13[[#This Row],[Past zero L]],Table13[[#This Row],[Past Zero R]],Table13[[#This Row],[Is Zero]])</f>
        <v>1</v>
      </c>
    </row>
    <row r="1871" spans="1:11" ht="16" x14ac:dyDescent="0.2">
      <c r="A1871" s="1" t="s">
        <v>521</v>
      </c>
      <c r="B1871" t="str">
        <f>LEFT(Table13[[#This Row],[Input]],1)</f>
        <v>L</v>
      </c>
      <c r="C1871">
        <f>_xlfn.LET(_xlpm.steps,SUBSTITUTE(Table13[[#This Row],[Input]],Table13[[#This Row],[Direction]],""),VALUE(IF(LEN(_xlpm.steps)&gt;2,RIGHT(_xlpm.steps,2),_xlpm.steps)))</f>
        <v>87</v>
      </c>
      <c r="D1871">
        <f>_xlfn.LET(_xlpm.steps,SUBSTITUTE(Table13[[#This Row],[Input]],Table13[[#This Row],[Direction]],""),VALUE(IF(LEN(_xlpm.steps)&gt;2,LEFT(_xlpm.steps,LEN(_xlpm.steps)-2),0)))</f>
        <v>3</v>
      </c>
      <c r="E1871">
        <f>_xlfn.LET(_xlpm.dir,Table13[[#This Row],[Direction]],
IF(_xlpm.dir="L",
    IF(G1870-Table13[[#This Row],[Steps]]&lt;0,100+(G1870-Table13[[#This Row],[Steps]]),G1870-Table13[[#This Row],[Steps]]),
))</f>
        <v>13</v>
      </c>
      <c r="F1871">
        <f>_xlfn.LET(_xlpm.dir,Table13[[#This Row],[Direction]],
IF(_xlpm.dir="R",
    IF(G1870+Table13[[#This Row],[Steps]]&gt;99,(G1870+Table13[[#This Row],[Steps]])-100,G1870+Table13[[#This Row],[Steps]]),
))</f>
        <v>0</v>
      </c>
      <c r="G1871">
        <f>IF(Table13[[#This Row],[New Pos L]]&lt;&gt;0,Table13[[#This Row],[New Pos L]],Table13[[#This Row],[New Pos R]])</f>
        <v>13</v>
      </c>
      <c r="H1871">
        <f>IF(AND(Table13[[#This Row],[Direction]]="L",Table13[[#This Row],[Steps]]&gt;G1870,G1870&lt;&gt;0),1,0)</f>
        <v>0</v>
      </c>
      <c r="I1871">
        <f>IF(AND(Table13[[#This Row],[Direction]]="R",(G1870+Table13[[#This Row],[Steps]])&gt;100),1,0)</f>
        <v>0</v>
      </c>
      <c r="J1871">
        <f>IF(Table13[[#This Row],[POS]]=0,1,0)</f>
        <v>0</v>
      </c>
      <c r="K1871">
        <f>SUM(Table13[[#This Row],[prefix]],Table13[[#This Row],[Past zero L]],Table13[[#This Row],[Past Zero R]],Table13[[#This Row],[Is Zero]])</f>
        <v>3</v>
      </c>
    </row>
    <row r="1872" spans="1:11" ht="16" x14ac:dyDescent="0.2">
      <c r="A1872" s="1" t="s">
        <v>522</v>
      </c>
      <c r="B1872" t="str">
        <f>LEFT(Table13[[#This Row],[Input]],1)</f>
        <v>L</v>
      </c>
      <c r="C1872">
        <f>_xlfn.LET(_xlpm.steps,SUBSTITUTE(Table13[[#This Row],[Input]],Table13[[#This Row],[Direction]],""),VALUE(IF(LEN(_xlpm.steps)&gt;2,RIGHT(_xlpm.steps,2),_xlpm.steps)))</f>
        <v>13</v>
      </c>
      <c r="D1872">
        <f>_xlfn.LET(_xlpm.steps,SUBSTITUTE(Table13[[#This Row],[Input]],Table13[[#This Row],[Direction]],""),VALUE(IF(LEN(_xlpm.steps)&gt;2,LEFT(_xlpm.steps,LEN(_xlpm.steps)-2),0)))</f>
        <v>7</v>
      </c>
      <c r="E1872">
        <f>_xlfn.LET(_xlpm.dir,Table13[[#This Row],[Direction]],
IF(_xlpm.dir="L",
    IF(G1871-Table13[[#This Row],[Steps]]&lt;0,100+(G1871-Table13[[#This Row],[Steps]]),G1871-Table13[[#This Row],[Steps]]),
))</f>
        <v>0</v>
      </c>
      <c r="F1872">
        <f>_xlfn.LET(_xlpm.dir,Table13[[#This Row],[Direction]],
IF(_xlpm.dir="R",
    IF(G1871+Table13[[#This Row],[Steps]]&gt;99,(G1871+Table13[[#This Row],[Steps]])-100,G1871+Table13[[#This Row],[Steps]]),
))</f>
        <v>0</v>
      </c>
      <c r="G1872">
        <f>IF(Table13[[#This Row],[New Pos L]]&lt;&gt;0,Table13[[#This Row],[New Pos L]],Table13[[#This Row],[New Pos R]])</f>
        <v>0</v>
      </c>
      <c r="H1872">
        <f>IF(AND(Table13[[#This Row],[Direction]]="L",Table13[[#This Row],[Steps]]&gt;G1871,G1871&lt;&gt;0),1,0)</f>
        <v>0</v>
      </c>
      <c r="I1872">
        <f>IF(AND(Table13[[#This Row],[Direction]]="R",(G1871+Table13[[#This Row],[Steps]])&gt;100),1,0)</f>
        <v>0</v>
      </c>
      <c r="J1872">
        <f>IF(Table13[[#This Row],[POS]]=0,1,0)</f>
        <v>1</v>
      </c>
      <c r="K1872">
        <f>SUM(Table13[[#This Row],[prefix]],Table13[[#This Row],[Past zero L]],Table13[[#This Row],[Past Zero R]],Table13[[#This Row],[Is Zero]])</f>
        <v>8</v>
      </c>
    </row>
    <row r="1873" spans="1:11" ht="16" x14ac:dyDescent="0.2">
      <c r="A1873" s="1" t="s">
        <v>175</v>
      </c>
      <c r="B1873" t="str">
        <f>LEFT(Table13[[#This Row],[Input]],1)</f>
        <v>L</v>
      </c>
      <c r="C1873">
        <f>_xlfn.LET(_xlpm.steps,SUBSTITUTE(Table13[[#This Row],[Input]],Table13[[#This Row],[Direction]],""),VALUE(IF(LEN(_xlpm.steps)&gt;2,RIGHT(_xlpm.steps,2),_xlpm.steps)))</f>
        <v>1</v>
      </c>
      <c r="D1873">
        <f>_xlfn.LET(_xlpm.steps,SUBSTITUTE(Table13[[#This Row],[Input]],Table13[[#This Row],[Direction]],""),VALUE(IF(LEN(_xlpm.steps)&gt;2,LEFT(_xlpm.steps,LEN(_xlpm.steps)-2),0)))</f>
        <v>0</v>
      </c>
      <c r="E1873">
        <f>_xlfn.LET(_xlpm.dir,Table13[[#This Row],[Direction]],
IF(_xlpm.dir="L",
    IF(G1872-Table13[[#This Row],[Steps]]&lt;0,100+(G1872-Table13[[#This Row],[Steps]]),G1872-Table13[[#This Row],[Steps]]),
))</f>
        <v>99</v>
      </c>
      <c r="F1873">
        <f>_xlfn.LET(_xlpm.dir,Table13[[#This Row],[Direction]],
IF(_xlpm.dir="R",
    IF(G1872+Table13[[#This Row],[Steps]]&gt;99,(G1872+Table13[[#This Row],[Steps]])-100,G1872+Table13[[#This Row],[Steps]]),
))</f>
        <v>0</v>
      </c>
      <c r="G1873">
        <f>IF(Table13[[#This Row],[New Pos L]]&lt;&gt;0,Table13[[#This Row],[New Pos L]],Table13[[#This Row],[New Pos R]])</f>
        <v>99</v>
      </c>
      <c r="H1873">
        <f>IF(AND(Table13[[#This Row],[Direction]]="L",Table13[[#This Row],[Steps]]&gt;G1872,G1872&lt;&gt;0),1,0)</f>
        <v>0</v>
      </c>
      <c r="I1873">
        <f>IF(AND(Table13[[#This Row],[Direction]]="R",(G1872+Table13[[#This Row],[Steps]])&gt;100),1,0)</f>
        <v>0</v>
      </c>
      <c r="J1873">
        <f>IF(Table13[[#This Row],[POS]]=0,1,0)</f>
        <v>0</v>
      </c>
      <c r="K1873">
        <f>SUM(Table13[[#This Row],[prefix]],Table13[[#This Row],[Past zero L]],Table13[[#This Row],[Past Zero R]],Table13[[#This Row],[Is Zero]])</f>
        <v>0</v>
      </c>
    </row>
    <row r="1874" spans="1:11" ht="16" x14ac:dyDescent="0.2">
      <c r="A1874" s="1" t="s">
        <v>252</v>
      </c>
      <c r="B1874" t="str">
        <f>LEFT(Table13[[#This Row],[Input]],1)</f>
        <v>L</v>
      </c>
      <c r="C1874">
        <f>_xlfn.LET(_xlpm.steps,SUBSTITUTE(Table13[[#This Row],[Input]],Table13[[#This Row],[Direction]],""),VALUE(IF(LEN(_xlpm.steps)&gt;2,RIGHT(_xlpm.steps,2),_xlpm.steps)))</f>
        <v>99</v>
      </c>
      <c r="D1874">
        <f>_xlfn.LET(_xlpm.steps,SUBSTITUTE(Table13[[#This Row],[Input]],Table13[[#This Row],[Direction]],""),VALUE(IF(LEN(_xlpm.steps)&gt;2,LEFT(_xlpm.steps,LEN(_xlpm.steps)-2),0)))</f>
        <v>0</v>
      </c>
      <c r="E1874">
        <f>_xlfn.LET(_xlpm.dir,Table13[[#This Row],[Direction]],
IF(_xlpm.dir="L",
    IF(G1873-Table13[[#This Row],[Steps]]&lt;0,100+(G1873-Table13[[#This Row],[Steps]]),G1873-Table13[[#This Row],[Steps]]),
))</f>
        <v>0</v>
      </c>
      <c r="F1874">
        <f>_xlfn.LET(_xlpm.dir,Table13[[#This Row],[Direction]],
IF(_xlpm.dir="R",
    IF(G1873+Table13[[#This Row],[Steps]]&gt;99,(G1873+Table13[[#This Row],[Steps]])-100,G1873+Table13[[#This Row],[Steps]]),
))</f>
        <v>0</v>
      </c>
      <c r="G1874">
        <f>IF(Table13[[#This Row],[New Pos L]]&lt;&gt;0,Table13[[#This Row],[New Pos L]],Table13[[#This Row],[New Pos R]])</f>
        <v>0</v>
      </c>
      <c r="H1874">
        <f>IF(AND(Table13[[#This Row],[Direction]]="L",Table13[[#This Row],[Steps]]&gt;G1873,G1873&lt;&gt;0),1,0)</f>
        <v>0</v>
      </c>
      <c r="I1874">
        <f>IF(AND(Table13[[#This Row],[Direction]]="R",(G1873+Table13[[#This Row],[Steps]])&gt;100),1,0)</f>
        <v>0</v>
      </c>
      <c r="J1874">
        <f>IF(Table13[[#This Row],[POS]]=0,1,0)</f>
        <v>1</v>
      </c>
      <c r="K1874">
        <f>SUM(Table13[[#This Row],[prefix]],Table13[[#This Row],[Past zero L]],Table13[[#This Row],[Past Zero R]],Table13[[#This Row],[Is Zero]])</f>
        <v>1</v>
      </c>
    </row>
    <row r="1875" spans="1:11" ht="16" x14ac:dyDescent="0.2">
      <c r="A1875" s="1" t="s">
        <v>10</v>
      </c>
      <c r="B1875" t="str">
        <f>LEFT(Table13[[#This Row],[Input]],1)</f>
        <v>L</v>
      </c>
      <c r="C1875">
        <f>_xlfn.LET(_xlpm.steps,SUBSTITUTE(Table13[[#This Row],[Input]],Table13[[#This Row],[Direction]],""),VALUE(IF(LEN(_xlpm.steps)&gt;2,RIGHT(_xlpm.steps,2),_xlpm.steps)))</f>
        <v>35</v>
      </c>
      <c r="D1875">
        <f>_xlfn.LET(_xlpm.steps,SUBSTITUTE(Table13[[#This Row],[Input]],Table13[[#This Row],[Direction]],""),VALUE(IF(LEN(_xlpm.steps)&gt;2,LEFT(_xlpm.steps,LEN(_xlpm.steps)-2),0)))</f>
        <v>0</v>
      </c>
      <c r="E1875">
        <f>_xlfn.LET(_xlpm.dir,Table13[[#This Row],[Direction]],
IF(_xlpm.dir="L",
    IF(G1874-Table13[[#This Row],[Steps]]&lt;0,100+(G1874-Table13[[#This Row],[Steps]]),G1874-Table13[[#This Row],[Steps]]),
))</f>
        <v>65</v>
      </c>
      <c r="F1875">
        <f>_xlfn.LET(_xlpm.dir,Table13[[#This Row],[Direction]],
IF(_xlpm.dir="R",
    IF(G1874+Table13[[#This Row],[Steps]]&gt;99,(G1874+Table13[[#This Row],[Steps]])-100,G1874+Table13[[#This Row],[Steps]]),
))</f>
        <v>0</v>
      </c>
      <c r="G1875">
        <f>IF(Table13[[#This Row],[New Pos L]]&lt;&gt;0,Table13[[#This Row],[New Pos L]],Table13[[#This Row],[New Pos R]])</f>
        <v>65</v>
      </c>
      <c r="H1875">
        <f>IF(AND(Table13[[#This Row],[Direction]]="L",Table13[[#This Row],[Steps]]&gt;G1874,G1874&lt;&gt;0),1,0)</f>
        <v>0</v>
      </c>
      <c r="I1875">
        <f>IF(AND(Table13[[#This Row],[Direction]]="R",(G1874+Table13[[#This Row],[Steps]])&gt;100),1,0)</f>
        <v>0</v>
      </c>
      <c r="J1875">
        <f>IF(Table13[[#This Row],[POS]]=0,1,0)</f>
        <v>0</v>
      </c>
      <c r="K1875">
        <f>SUM(Table13[[#This Row],[prefix]],Table13[[#This Row],[Past zero L]],Table13[[#This Row],[Past Zero R]],Table13[[#This Row],[Is Zero]])</f>
        <v>0</v>
      </c>
    </row>
    <row r="1876" spans="1:11" ht="16" x14ac:dyDescent="0.2">
      <c r="A1876" s="1" t="s">
        <v>218</v>
      </c>
      <c r="B1876" t="str">
        <f>LEFT(Table13[[#This Row],[Input]],1)</f>
        <v>R</v>
      </c>
      <c r="C1876">
        <f>_xlfn.LET(_xlpm.steps,SUBSTITUTE(Table13[[#This Row],[Input]],Table13[[#This Row],[Direction]],""),VALUE(IF(LEN(_xlpm.steps)&gt;2,RIGHT(_xlpm.steps,2),_xlpm.steps)))</f>
        <v>35</v>
      </c>
      <c r="D1876">
        <f>_xlfn.LET(_xlpm.steps,SUBSTITUTE(Table13[[#This Row],[Input]],Table13[[#This Row],[Direction]],""),VALUE(IF(LEN(_xlpm.steps)&gt;2,LEFT(_xlpm.steps,LEN(_xlpm.steps)-2),0)))</f>
        <v>0</v>
      </c>
      <c r="E1876">
        <f>_xlfn.LET(_xlpm.dir,Table13[[#This Row],[Direction]],
IF(_xlpm.dir="L",
    IF(G1875-Table13[[#This Row],[Steps]]&lt;0,100+(G1875-Table13[[#This Row],[Steps]]),G1875-Table13[[#This Row],[Steps]]),
))</f>
        <v>0</v>
      </c>
      <c r="F1876">
        <f>_xlfn.LET(_xlpm.dir,Table13[[#This Row],[Direction]],
IF(_xlpm.dir="R",
    IF(G1875+Table13[[#This Row],[Steps]]&gt;99,(G1875+Table13[[#This Row],[Steps]])-100,G1875+Table13[[#This Row],[Steps]]),
))</f>
        <v>0</v>
      </c>
      <c r="G1876">
        <f>IF(Table13[[#This Row],[New Pos L]]&lt;&gt;0,Table13[[#This Row],[New Pos L]],Table13[[#This Row],[New Pos R]])</f>
        <v>0</v>
      </c>
      <c r="H1876">
        <f>IF(AND(Table13[[#This Row],[Direction]]="L",Table13[[#This Row],[Steps]]&gt;G1875,G1875&lt;&gt;0),1,0)</f>
        <v>0</v>
      </c>
      <c r="I1876">
        <f>IF(AND(Table13[[#This Row],[Direction]]="R",(G1875+Table13[[#This Row],[Steps]])&gt;100),1,0)</f>
        <v>0</v>
      </c>
      <c r="J1876">
        <f>IF(Table13[[#This Row],[POS]]=0,1,0)</f>
        <v>1</v>
      </c>
      <c r="K1876">
        <f>SUM(Table13[[#This Row],[prefix]],Table13[[#This Row],[Past zero L]],Table13[[#This Row],[Past Zero R]],Table13[[#This Row],[Is Zero]])</f>
        <v>1</v>
      </c>
    </row>
    <row r="1877" spans="1:11" ht="16" x14ac:dyDescent="0.2">
      <c r="A1877" s="1" t="s">
        <v>523</v>
      </c>
      <c r="B1877" t="str">
        <f>LEFT(Table13[[#This Row],[Input]],1)</f>
        <v>R</v>
      </c>
      <c r="C1877">
        <f>_xlfn.LET(_xlpm.steps,SUBSTITUTE(Table13[[#This Row],[Input]],Table13[[#This Row],[Direction]],""),VALUE(IF(LEN(_xlpm.steps)&gt;2,RIGHT(_xlpm.steps,2),_xlpm.steps)))</f>
        <v>46</v>
      </c>
      <c r="D1877">
        <f>_xlfn.LET(_xlpm.steps,SUBSTITUTE(Table13[[#This Row],[Input]],Table13[[#This Row],[Direction]],""),VALUE(IF(LEN(_xlpm.steps)&gt;2,LEFT(_xlpm.steps,LEN(_xlpm.steps)-2),0)))</f>
        <v>1</v>
      </c>
      <c r="E1877">
        <f>_xlfn.LET(_xlpm.dir,Table13[[#This Row],[Direction]],
IF(_xlpm.dir="L",
    IF(G1876-Table13[[#This Row],[Steps]]&lt;0,100+(G1876-Table13[[#This Row],[Steps]]),G1876-Table13[[#This Row],[Steps]]),
))</f>
        <v>0</v>
      </c>
      <c r="F1877">
        <f>_xlfn.LET(_xlpm.dir,Table13[[#This Row],[Direction]],
IF(_xlpm.dir="R",
    IF(G1876+Table13[[#This Row],[Steps]]&gt;99,(G1876+Table13[[#This Row],[Steps]])-100,G1876+Table13[[#This Row],[Steps]]),
))</f>
        <v>46</v>
      </c>
      <c r="G1877">
        <f>IF(Table13[[#This Row],[New Pos L]]&lt;&gt;0,Table13[[#This Row],[New Pos L]],Table13[[#This Row],[New Pos R]])</f>
        <v>46</v>
      </c>
      <c r="H1877">
        <f>IF(AND(Table13[[#This Row],[Direction]]="L",Table13[[#This Row],[Steps]]&gt;G1876,G1876&lt;&gt;0),1,0)</f>
        <v>0</v>
      </c>
      <c r="I1877">
        <f>IF(AND(Table13[[#This Row],[Direction]]="R",(G1876+Table13[[#This Row],[Steps]])&gt;100),1,0)</f>
        <v>0</v>
      </c>
      <c r="J1877">
        <f>IF(Table13[[#This Row],[POS]]=0,1,0)</f>
        <v>0</v>
      </c>
      <c r="K1877">
        <f>SUM(Table13[[#This Row],[prefix]],Table13[[#This Row],[Past zero L]],Table13[[#This Row],[Past Zero R]],Table13[[#This Row],[Is Zero]])</f>
        <v>1</v>
      </c>
    </row>
    <row r="1878" spans="1:11" ht="16" x14ac:dyDescent="0.2">
      <c r="A1878" s="1" t="s">
        <v>524</v>
      </c>
      <c r="B1878" t="str">
        <f>LEFT(Table13[[#This Row],[Input]],1)</f>
        <v>R</v>
      </c>
      <c r="C1878">
        <f>_xlfn.LET(_xlpm.steps,SUBSTITUTE(Table13[[#This Row],[Input]],Table13[[#This Row],[Direction]],""),VALUE(IF(LEN(_xlpm.steps)&gt;2,RIGHT(_xlpm.steps,2),_xlpm.steps)))</f>
        <v>58</v>
      </c>
      <c r="D1878">
        <f>_xlfn.LET(_xlpm.steps,SUBSTITUTE(Table13[[#This Row],[Input]],Table13[[#This Row],[Direction]],""),VALUE(IF(LEN(_xlpm.steps)&gt;2,LEFT(_xlpm.steps,LEN(_xlpm.steps)-2),0)))</f>
        <v>9</v>
      </c>
      <c r="E1878">
        <f>_xlfn.LET(_xlpm.dir,Table13[[#This Row],[Direction]],
IF(_xlpm.dir="L",
    IF(G1877-Table13[[#This Row],[Steps]]&lt;0,100+(G1877-Table13[[#This Row],[Steps]]),G1877-Table13[[#This Row],[Steps]]),
))</f>
        <v>0</v>
      </c>
      <c r="F1878">
        <f>_xlfn.LET(_xlpm.dir,Table13[[#This Row],[Direction]],
IF(_xlpm.dir="R",
    IF(G1877+Table13[[#This Row],[Steps]]&gt;99,(G1877+Table13[[#This Row],[Steps]])-100,G1877+Table13[[#This Row],[Steps]]),
))</f>
        <v>4</v>
      </c>
      <c r="G1878">
        <f>IF(Table13[[#This Row],[New Pos L]]&lt;&gt;0,Table13[[#This Row],[New Pos L]],Table13[[#This Row],[New Pos R]])</f>
        <v>4</v>
      </c>
      <c r="H1878">
        <f>IF(AND(Table13[[#This Row],[Direction]]="L",Table13[[#This Row],[Steps]]&gt;G1877,G1877&lt;&gt;0),1,0)</f>
        <v>0</v>
      </c>
      <c r="I1878">
        <f>IF(AND(Table13[[#This Row],[Direction]]="R",(G1877+Table13[[#This Row],[Steps]])&gt;100),1,0)</f>
        <v>1</v>
      </c>
      <c r="J1878">
        <f>IF(Table13[[#This Row],[POS]]=0,1,0)</f>
        <v>0</v>
      </c>
      <c r="K1878">
        <f>SUM(Table13[[#This Row],[prefix]],Table13[[#This Row],[Past zero L]],Table13[[#This Row],[Past Zero R]],Table13[[#This Row],[Is Zero]])</f>
        <v>10</v>
      </c>
    </row>
    <row r="1879" spans="1:11" ht="16" x14ac:dyDescent="0.2">
      <c r="A1879" s="1" t="s">
        <v>44</v>
      </c>
      <c r="B1879" t="str">
        <f>LEFT(Table13[[#This Row],[Input]],1)</f>
        <v>R</v>
      </c>
      <c r="C1879">
        <f>_xlfn.LET(_xlpm.steps,SUBSTITUTE(Table13[[#This Row],[Input]],Table13[[#This Row],[Direction]],""),VALUE(IF(LEN(_xlpm.steps)&gt;2,RIGHT(_xlpm.steps,2),_xlpm.steps)))</f>
        <v>96</v>
      </c>
      <c r="D1879">
        <f>_xlfn.LET(_xlpm.steps,SUBSTITUTE(Table13[[#This Row],[Input]],Table13[[#This Row],[Direction]],""),VALUE(IF(LEN(_xlpm.steps)&gt;2,LEFT(_xlpm.steps,LEN(_xlpm.steps)-2),0)))</f>
        <v>0</v>
      </c>
      <c r="E1879">
        <f>_xlfn.LET(_xlpm.dir,Table13[[#This Row],[Direction]],
IF(_xlpm.dir="L",
    IF(G1878-Table13[[#This Row],[Steps]]&lt;0,100+(G1878-Table13[[#This Row],[Steps]]),G1878-Table13[[#This Row],[Steps]]),
))</f>
        <v>0</v>
      </c>
      <c r="F1879">
        <f>_xlfn.LET(_xlpm.dir,Table13[[#This Row],[Direction]],
IF(_xlpm.dir="R",
    IF(G1878+Table13[[#This Row],[Steps]]&gt;99,(G1878+Table13[[#This Row],[Steps]])-100,G1878+Table13[[#This Row],[Steps]]),
))</f>
        <v>0</v>
      </c>
      <c r="G1879">
        <f>IF(Table13[[#This Row],[New Pos L]]&lt;&gt;0,Table13[[#This Row],[New Pos L]],Table13[[#This Row],[New Pos R]])</f>
        <v>0</v>
      </c>
      <c r="H1879">
        <f>IF(AND(Table13[[#This Row],[Direction]]="L",Table13[[#This Row],[Steps]]&gt;G1878,G1878&lt;&gt;0),1,0)</f>
        <v>0</v>
      </c>
      <c r="I1879">
        <f>IF(AND(Table13[[#This Row],[Direction]]="R",(G1878+Table13[[#This Row],[Steps]])&gt;100),1,0)</f>
        <v>0</v>
      </c>
      <c r="J1879">
        <f>IF(Table13[[#This Row],[POS]]=0,1,0)</f>
        <v>1</v>
      </c>
      <c r="K1879">
        <f>SUM(Table13[[#This Row],[prefix]],Table13[[#This Row],[Past zero L]],Table13[[#This Row],[Past Zero R]],Table13[[#This Row],[Is Zero]])</f>
        <v>1</v>
      </c>
    </row>
    <row r="1880" spans="1:11" ht="16" x14ac:dyDescent="0.2">
      <c r="A1880" s="1" t="s">
        <v>41</v>
      </c>
      <c r="B1880" t="str">
        <f>LEFT(Table13[[#This Row],[Input]],1)</f>
        <v>L</v>
      </c>
      <c r="C1880">
        <f>_xlfn.LET(_xlpm.steps,SUBSTITUTE(Table13[[#This Row],[Input]],Table13[[#This Row],[Direction]],""),VALUE(IF(LEN(_xlpm.steps)&gt;2,RIGHT(_xlpm.steps,2),_xlpm.steps)))</f>
        <v>7</v>
      </c>
      <c r="D1880">
        <f>_xlfn.LET(_xlpm.steps,SUBSTITUTE(Table13[[#This Row],[Input]],Table13[[#This Row],[Direction]],""),VALUE(IF(LEN(_xlpm.steps)&gt;2,LEFT(_xlpm.steps,LEN(_xlpm.steps)-2),0)))</f>
        <v>0</v>
      </c>
      <c r="E1880">
        <f>_xlfn.LET(_xlpm.dir,Table13[[#This Row],[Direction]],
IF(_xlpm.dir="L",
    IF(G1879-Table13[[#This Row],[Steps]]&lt;0,100+(G1879-Table13[[#This Row],[Steps]]),G1879-Table13[[#This Row],[Steps]]),
))</f>
        <v>93</v>
      </c>
      <c r="F1880">
        <f>_xlfn.LET(_xlpm.dir,Table13[[#This Row],[Direction]],
IF(_xlpm.dir="R",
    IF(G1879+Table13[[#This Row],[Steps]]&gt;99,(G1879+Table13[[#This Row],[Steps]])-100,G1879+Table13[[#This Row],[Steps]]),
))</f>
        <v>0</v>
      </c>
      <c r="G1880">
        <f>IF(Table13[[#This Row],[New Pos L]]&lt;&gt;0,Table13[[#This Row],[New Pos L]],Table13[[#This Row],[New Pos R]])</f>
        <v>93</v>
      </c>
      <c r="H1880">
        <f>IF(AND(Table13[[#This Row],[Direction]]="L",Table13[[#This Row],[Steps]]&gt;G1879,G1879&lt;&gt;0),1,0)</f>
        <v>0</v>
      </c>
      <c r="I1880">
        <f>IF(AND(Table13[[#This Row],[Direction]]="R",(G1879+Table13[[#This Row],[Steps]])&gt;100),1,0)</f>
        <v>0</v>
      </c>
      <c r="J1880">
        <f>IF(Table13[[#This Row],[POS]]=0,1,0)</f>
        <v>0</v>
      </c>
      <c r="K1880">
        <f>SUM(Table13[[#This Row],[prefix]],Table13[[#This Row],[Past zero L]],Table13[[#This Row],[Past Zero R]],Table13[[#This Row],[Is Zero]])</f>
        <v>0</v>
      </c>
    </row>
    <row r="1881" spans="1:11" ht="16" x14ac:dyDescent="0.2">
      <c r="A1881" s="1" t="s">
        <v>116</v>
      </c>
      <c r="B1881" t="str">
        <f>LEFT(Table13[[#This Row],[Input]],1)</f>
        <v>L</v>
      </c>
      <c r="C1881">
        <f>_xlfn.LET(_xlpm.steps,SUBSTITUTE(Table13[[#This Row],[Input]],Table13[[#This Row],[Direction]],""),VALUE(IF(LEN(_xlpm.steps)&gt;2,RIGHT(_xlpm.steps,2),_xlpm.steps)))</f>
        <v>58</v>
      </c>
      <c r="D1881">
        <f>_xlfn.LET(_xlpm.steps,SUBSTITUTE(Table13[[#This Row],[Input]],Table13[[#This Row],[Direction]],""),VALUE(IF(LEN(_xlpm.steps)&gt;2,LEFT(_xlpm.steps,LEN(_xlpm.steps)-2),0)))</f>
        <v>0</v>
      </c>
      <c r="E1881">
        <f>_xlfn.LET(_xlpm.dir,Table13[[#This Row],[Direction]],
IF(_xlpm.dir="L",
    IF(G1880-Table13[[#This Row],[Steps]]&lt;0,100+(G1880-Table13[[#This Row],[Steps]]),G1880-Table13[[#This Row],[Steps]]),
))</f>
        <v>35</v>
      </c>
      <c r="F1881">
        <f>_xlfn.LET(_xlpm.dir,Table13[[#This Row],[Direction]],
IF(_xlpm.dir="R",
    IF(G1880+Table13[[#This Row],[Steps]]&gt;99,(G1880+Table13[[#This Row],[Steps]])-100,G1880+Table13[[#This Row],[Steps]]),
))</f>
        <v>0</v>
      </c>
      <c r="G1881">
        <f>IF(Table13[[#This Row],[New Pos L]]&lt;&gt;0,Table13[[#This Row],[New Pos L]],Table13[[#This Row],[New Pos R]])</f>
        <v>35</v>
      </c>
      <c r="H1881">
        <f>IF(AND(Table13[[#This Row],[Direction]]="L",Table13[[#This Row],[Steps]]&gt;G1880,G1880&lt;&gt;0),1,0)</f>
        <v>0</v>
      </c>
      <c r="I1881">
        <f>IF(AND(Table13[[#This Row],[Direction]]="R",(G1880+Table13[[#This Row],[Steps]])&gt;100),1,0)</f>
        <v>0</v>
      </c>
      <c r="J1881">
        <f>IF(Table13[[#This Row],[POS]]=0,1,0)</f>
        <v>0</v>
      </c>
      <c r="K1881">
        <f>SUM(Table13[[#This Row],[prefix]],Table13[[#This Row],[Past zero L]],Table13[[#This Row],[Past Zero R]],Table13[[#This Row],[Is Zero]])</f>
        <v>0</v>
      </c>
    </row>
    <row r="1882" spans="1:11" ht="16" x14ac:dyDescent="0.2">
      <c r="A1882" s="1" t="s">
        <v>126</v>
      </c>
      <c r="B1882" t="str">
        <f>LEFT(Table13[[#This Row],[Input]],1)</f>
        <v>R</v>
      </c>
      <c r="C1882">
        <f>_xlfn.LET(_xlpm.steps,SUBSTITUTE(Table13[[#This Row],[Input]],Table13[[#This Row],[Direction]],""),VALUE(IF(LEN(_xlpm.steps)&gt;2,RIGHT(_xlpm.steps,2),_xlpm.steps)))</f>
        <v>65</v>
      </c>
      <c r="D1882">
        <f>_xlfn.LET(_xlpm.steps,SUBSTITUTE(Table13[[#This Row],[Input]],Table13[[#This Row],[Direction]],""),VALUE(IF(LEN(_xlpm.steps)&gt;2,LEFT(_xlpm.steps,LEN(_xlpm.steps)-2),0)))</f>
        <v>0</v>
      </c>
      <c r="E1882">
        <f>_xlfn.LET(_xlpm.dir,Table13[[#This Row],[Direction]],
IF(_xlpm.dir="L",
    IF(G1881-Table13[[#This Row],[Steps]]&lt;0,100+(G1881-Table13[[#This Row],[Steps]]),G1881-Table13[[#This Row],[Steps]]),
))</f>
        <v>0</v>
      </c>
      <c r="F1882">
        <f>_xlfn.LET(_xlpm.dir,Table13[[#This Row],[Direction]],
IF(_xlpm.dir="R",
    IF(G1881+Table13[[#This Row],[Steps]]&gt;99,(G1881+Table13[[#This Row],[Steps]])-100,G1881+Table13[[#This Row],[Steps]]),
))</f>
        <v>0</v>
      </c>
      <c r="G1882">
        <f>IF(Table13[[#This Row],[New Pos L]]&lt;&gt;0,Table13[[#This Row],[New Pos L]],Table13[[#This Row],[New Pos R]])</f>
        <v>0</v>
      </c>
      <c r="H1882">
        <f>IF(AND(Table13[[#This Row],[Direction]]="L",Table13[[#This Row],[Steps]]&gt;G1881,G1881&lt;&gt;0),1,0)</f>
        <v>0</v>
      </c>
      <c r="I1882">
        <f>IF(AND(Table13[[#This Row],[Direction]]="R",(G1881+Table13[[#This Row],[Steps]])&gt;100),1,0)</f>
        <v>0</v>
      </c>
      <c r="J1882">
        <f>IF(Table13[[#This Row],[POS]]=0,1,0)</f>
        <v>1</v>
      </c>
      <c r="K1882">
        <f>SUM(Table13[[#This Row],[prefix]],Table13[[#This Row],[Past zero L]],Table13[[#This Row],[Past Zero R]],Table13[[#This Row],[Is Zero]])</f>
        <v>1</v>
      </c>
    </row>
    <row r="1883" spans="1:11" ht="16" x14ac:dyDescent="0.2">
      <c r="A1883" s="1" t="s">
        <v>193</v>
      </c>
      <c r="B1883" t="str">
        <f>LEFT(Table13[[#This Row],[Input]],1)</f>
        <v>L</v>
      </c>
      <c r="C1883">
        <f>_xlfn.LET(_xlpm.steps,SUBSTITUTE(Table13[[#This Row],[Input]],Table13[[#This Row],[Direction]],""),VALUE(IF(LEN(_xlpm.steps)&gt;2,RIGHT(_xlpm.steps,2),_xlpm.steps)))</f>
        <v>12</v>
      </c>
      <c r="D1883">
        <f>_xlfn.LET(_xlpm.steps,SUBSTITUTE(Table13[[#This Row],[Input]],Table13[[#This Row],[Direction]],""),VALUE(IF(LEN(_xlpm.steps)&gt;2,LEFT(_xlpm.steps,LEN(_xlpm.steps)-2),0)))</f>
        <v>0</v>
      </c>
      <c r="E1883">
        <f>_xlfn.LET(_xlpm.dir,Table13[[#This Row],[Direction]],
IF(_xlpm.dir="L",
    IF(G1882-Table13[[#This Row],[Steps]]&lt;0,100+(G1882-Table13[[#This Row],[Steps]]),G1882-Table13[[#This Row],[Steps]]),
))</f>
        <v>88</v>
      </c>
      <c r="F1883">
        <f>_xlfn.LET(_xlpm.dir,Table13[[#This Row],[Direction]],
IF(_xlpm.dir="R",
    IF(G1882+Table13[[#This Row],[Steps]]&gt;99,(G1882+Table13[[#This Row],[Steps]])-100,G1882+Table13[[#This Row],[Steps]]),
))</f>
        <v>0</v>
      </c>
      <c r="G1883">
        <f>IF(Table13[[#This Row],[New Pos L]]&lt;&gt;0,Table13[[#This Row],[New Pos L]],Table13[[#This Row],[New Pos R]])</f>
        <v>88</v>
      </c>
      <c r="H1883">
        <f>IF(AND(Table13[[#This Row],[Direction]]="L",Table13[[#This Row],[Steps]]&gt;G1882,G1882&lt;&gt;0),1,0)</f>
        <v>0</v>
      </c>
      <c r="I1883">
        <f>IF(AND(Table13[[#This Row],[Direction]]="R",(G1882+Table13[[#This Row],[Steps]])&gt;100),1,0)</f>
        <v>0</v>
      </c>
      <c r="J1883">
        <f>IF(Table13[[#This Row],[POS]]=0,1,0)</f>
        <v>0</v>
      </c>
      <c r="K1883">
        <f>SUM(Table13[[#This Row],[prefix]],Table13[[#This Row],[Past zero L]],Table13[[#This Row],[Past Zero R]],Table13[[#This Row],[Is Zero]])</f>
        <v>0</v>
      </c>
    </row>
    <row r="1884" spans="1:11" ht="16" x14ac:dyDescent="0.2">
      <c r="A1884" s="1" t="s">
        <v>525</v>
      </c>
      <c r="B1884" t="str">
        <f>LEFT(Table13[[#This Row],[Input]],1)</f>
        <v>R</v>
      </c>
      <c r="C1884">
        <f>_xlfn.LET(_xlpm.steps,SUBSTITUTE(Table13[[#This Row],[Input]],Table13[[#This Row],[Direction]],""),VALUE(IF(LEN(_xlpm.steps)&gt;2,RIGHT(_xlpm.steps,2),_xlpm.steps)))</f>
        <v>26</v>
      </c>
      <c r="D1884">
        <f>_xlfn.LET(_xlpm.steps,SUBSTITUTE(Table13[[#This Row],[Input]],Table13[[#This Row],[Direction]],""),VALUE(IF(LEN(_xlpm.steps)&gt;2,LEFT(_xlpm.steps,LEN(_xlpm.steps)-2),0)))</f>
        <v>8</v>
      </c>
      <c r="E1884">
        <f>_xlfn.LET(_xlpm.dir,Table13[[#This Row],[Direction]],
IF(_xlpm.dir="L",
    IF(G1883-Table13[[#This Row],[Steps]]&lt;0,100+(G1883-Table13[[#This Row],[Steps]]),G1883-Table13[[#This Row],[Steps]]),
))</f>
        <v>0</v>
      </c>
      <c r="F1884">
        <f>_xlfn.LET(_xlpm.dir,Table13[[#This Row],[Direction]],
IF(_xlpm.dir="R",
    IF(G1883+Table13[[#This Row],[Steps]]&gt;99,(G1883+Table13[[#This Row],[Steps]])-100,G1883+Table13[[#This Row],[Steps]]),
))</f>
        <v>14</v>
      </c>
      <c r="G1884">
        <f>IF(Table13[[#This Row],[New Pos L]]&lt;&gt;0,Table13[[#This Row],[New Pos L]],Table13[[#This Row],[New Pos R]])</f>
        <v>14</v>
      </c>
      <c r="H1884">
        <f>IF(AND(Table13[[#This Row],[Direction]]="L",Table13[[#This Row],[Steps]]&gt;G1883,G1883&lt;&gt;0),1,0)</f>
        <v>0</v>
      </c>
      <c r="I1884">
        <f>IF(AND(Table13[[#This Row],[Direction]]="R",(G1883+Table13[[#This Row],[Steps]])&gt;100),1,0)</f>
        <v>1</v>
      </c>
      <c r="J1884">
        <f>IF(Table13[[#This Row],[POS]]=0,1,0)</f>
        <v>0</v>
      </c>
      <c r="K1884">
        <f>SUM(Table13[[#This Row],[prefix]],Table13[[#This Row],[Past zero L]],Table13[[#This Row],[Past Zero R]],Table13[[#This Row],[Is Zero]])</f>
        <v>9</v>
      </c>
    </row>
    <row r="1885" spans="1:11" ht="16" x14ac:dyDescent="0.2">
      <c r="A1885" s="1" t="s">
        <v>27</v>
      </c>
      <c r="B1885" t="str">
        <f>LEFT(Table13[[#This Row],[Input]],1)</f>
        <v>L</v>
      </c>
      <c r="C1885">
        <f>_xlfn.LET(_xlpm.steps,SUBSTITUTE(Table13[[#This Row],[Input]],Table13[[#This Row],[Direction]],""),VALUE(IF(LEN(_xlpm.steps)&gt;2,RIGHT(_xlpm.steps,2),_xlpm.steps)))</f>
        <v>14</v>
      </c>
      <c r="D1885">
        <f>_xlfn.LET(_xlpm.steps,SUBSTITUTE(Table13[[#This Row],[Input]],Table13[[#This Row],[Direction]],""),VALUE(IF(LEN(_xlpm.steps)&gt;2,LEFT(_xlpm.steps,LEN(_xlpm.steps)-2),0)))</f>
        <v>0</v>
      </c>
      <c r="E1885">
        <f>_xlfn.LET(_xlpm.dir,Table13[[#This Row],[Direction]],
IF(_xlpm.dir="L",
    IF(G1884-Table13[[#This Row],[Steps]]&lt;0,100+(G1884-Table13[[#This Row],[Steps]]),G1884-Table13[[#This Row],[Steps]]),
))</f>
        <v>0</v>
      </c>
      <c r="F1885">
        <f>_xlfn.LET(_xlpm.dir,Table13[[#This Row],[Direction]],
IF(_xlpm.dir="R",
    IF(G1884+Table13[[#This Row],[Steps]]&gt;99,(G1884+Table13[[#This Row],[Steps]])-100,G1884+Table13[[#This Row],[Steps]]),
))</f>
        <v>0</v>
      </c>
      <c r="G1885">
        <f>IF(Table13[[#This Row],[New Pos L]]&lt;&gt;0,Table13[[#This Row],[New Pos L]],Table13[[#This Row],[New Pos R]])</f>
        <v>0</v>
      </c>
      <c r="H1885">
        <f>IF(AND(Table13[[#This Row],[Direction]]="L",Table13[[#This Row],[Steps]]&gt;G1884,G1884&lt;&gt;0),1,0)</f>
        <v>0</v>
      </c>
      <c r="I1885">
        <f>IF(AND(Table13[[#This Row],[Direction]]="R",(G1884+Table13[[#This Row],[Steps]])&gt;100),1,0)</f>
        <v>0</v>
      </c>
      <c r="J1885">
        <f>IF(Table13[[#This Row],[POS]]=0,1,0)</f>
        <v>1</v>
      </c>
      <c r="K1885">
        <f>SUM(Table13[[#This Row],[prefix]],Table13[[#This Row],[Past zero L]],Table13[[#This Row],[Past Zero R]],Table13[[#This Row],[Is Zero]])</f>
        <v>1</v>
      </c>
    </row>
    <row r="1886" spans="1:11" ht="16" x14ac:dyDescent="0.2">
      <c r="A1886" s="1" t="s">
        <v>34</v>
      </c>
      <c r="B1886" t="str">
        <f>LEFT(Table13[[#This Row],[Input]],1)</f>
        <v>L</v>
      </c>
      <c r="C1886">
        <f>_xlfn.LET(_xlpm.steps,SUBSTITUTE(Table13[[#This Row],[Input]],Table13[[#This Row],[Direction]],""),VALUE(IF(LEN(_xlpm.steps)&gt;2,RIGHT(_xlpm.steps,2),_xlpm.steps)))</f>
        <v>15</v>
      </c>
      <c r="D1886">
        <f>_xlfn.LET(_xlpm.steps,SUBSTITUTE(Table13[[#This Row],[Input]],Table13[[#This Row],[Direction]],""),VALUE(IF(LEN(_xlpm.steps)&gt;2,LEFT(_xlpm.steps,LEN(_xlpm.steps)-2),0)))</f>
        <v>0</v>
      </c>
      <c r="E1886">
        <f>_xlfn.LET(_xlpm.dir,Table13[[#This Row],[Direction]],
IF(_xlpm.dir="L",
    IF(G1885-Table13[[#This Row],[Steps]]&lt;0,100+(G1885-Table13[[#This Row],[Steps]]),G1885-Table13[[#This Row],[Steps]]),
))</f>
        <v>85</v>
      </c>
      <c r="F1886">
        <f>_xlfn.LET(_xlpm.dir,Table13[[#This Row],[Direction]],
IF(_xlpm.dir="R",
    IF(G1885+Table13[[#This Row],[Steps]]&gt;99,(G1885+Table13[[#This Row],[Steps]])-100,G1885+Table13[[#This Row],[Steps]]),
))</f>
        <v>0</v>
      </c>
      <c r="G1886">
        <f>IF(Table13[[#This Row],[New Pos L]]&lt;&gt;0,Table13[[#This Row],[New Pos L]],Table13[[#This Row],[New Pos R]])</f>
        <v>85</v>
      </c>
      <c r="H1886">
        <f>IF(AND(Table13[[#This Row],[Direction]]="L",Table13[[#This Row],[Steps]]&gt;G1885,G1885&lt;&gt;0),1,0)</f>
        <v>0</v>
      </c>
      <c r="I1886">
        <f>IF(AND(Table13[[#This Row],[Direction]]="R",(G1885+Table13[[#This Row],[Steps]])&gt;100),1,0)</f>
        <v>0</v>
      </c>
      <c r="J1886">
        <f>IF(Table13[[#This Row],[POS]]=0,1,0)</f>
        <v>0</v>
      </c>
      <c r="K1886">
        <f>SUM(Table13[[#This Row],[prefix]],Table13[[#This Row],[Past zero L]],Table13[[#This Row],[Past Zero R]],Table13[[#This Row],[Is Zero]])</f>
        <v>0</v>
      </c>
    </row>
    <row r="1887" spans="1:11" ht="16" x14ac:dyDescent="0.2">
      <c r="A1887" s="1" t="s">
        <v>88</v>
      </c>
      <c r="B1887" t="str">
        <f>LEFT(Table13[[#This Row],[Input]],1)</f>
        <v>R</v>
      </c>
      <c r="C1887">
        <f>_xlfn.LET(_xlpm.steps,SUBSTITUTE(Table13[[#This Row],[Input]],Table13[[#This Row],[Direction]],""),VALUE(IF(LEN(_xlpm.steps)&gt;2,RIGHT(_xlpm.steps,2),_xlpm.steps)))</f>
        <v>53</v>
      </c>
      <c r="D1887">
        <f>_xlfn.LET(_xlpm.steps,SUBSTITUTE(Table13[[#This Row],[Input]],Table13[[#This Row],[Direction]],""),VALUE(IF(LEN(_xlpm.steps)&gt;2,LEFT(_xlpm.steps,LEN(_xlpm.steps)-2),0)))</f>
        <v>0</v>
      </c>
      <c r="E1887">
        <f>_xlfn.LET(_xlpm.dir,Table13[[#This Row],[Direction]],
IF(_xlpm.dir="L",
    IF(G1886-Table13[[#This Row],[Steps]]&lt;0,100+(G1886-Table13[[#This Row],[Steps]]),G1886-Table13[[#This Row],[Steps]]),
))</f>
        <v>0</v>
      </c>
      <c r="F1887">
        <f>_xlfn.LET(_xlpm.dir,Table13[[#This Row],[Direction]],
IF(_xlpm.dir="R",
    IF(G1886+Table13[[#This Row],[Steps]]&gt;99,(G1886+Table13[[#This Row],[Steps]])-100,G1886+Table13[[#This Row],[Steps]]),
))</f>
        <v>38</v>
      </c>
      <c r="G1887">
        <f>IF(Table13[[#This Row],[New Pos L]]&lt;&gt;0,Table13[[#This Row],[New Pos L]],Table13[[#This Row],[New Pos R]])</f>
        <v>38</v>
      </c>
      <c r="H1887">
        <f>IF(AND(Table13[[#This Row],[Direction]]="L",Table13[[#This Row],[Steps]]&gt;G1886,G1886&lt;&gt;0),1,0)</f>
        <v>0</v>
      </c>
      <c r="I1887">
        <f>IF(AND(Table13[[#This Row],[Direction]]="R",(G1886+Table13[[#This Row],[Steps]])&gt;100),1,0)</f>
        <v>1</v>
      </c>
      <c r="J1887">
        <f>IF(Table13[[#This Row],[POS]]=0,1,0)</f>
        <v>0</v>
      </c>
      <c r="K1887">
        <f>SUM(Table13[[#This Row],[prefix]],Table13[[#This Row],[Past zero L]],Table13[[#This Row],[Past Zero R]],Table13[[#This Row],[Is Zero]])</f>
        <v>1</v>
      </c>
    </row>
    <row r="1888" spans="1:11" ht="16" x14ac:dyDescent="0.2">
      <c r="A1888" s="1" t="s">
        <v>38</v>
      </c>
      <c r="B1888" t="str">
        <f>LEFT(Table13[[#This Row],[Input]],1)</f>
        <v>R</v>
      </c>
      <c r="C1888">
        <f>_xlfn.LET(_xlpm.steps,SUBSTITUTE(Table13[[#This Row],[Input]],Table13[[#This Row],[Direction]],""),VALUE(IF(LEN(_xlpm.steps)&gt;2,RIGHT(_xlpm.steps,2),_xlpm.steps)))</f>
        <v>15</v>
      </c>
      <c r="D1888">
        <f>_xlfn.LET(_xlpm.steps,SUBSTITUTE(Table13[[#This Row],[Input]],Table13[[#This Row],[Direction]],""),VALUE(IF(LEN(_xlpm.steps)&gt;2,LEFT(_xlpm.steps,LEN(_xlpm.steps)-2),0)))</f>
        <v>0</v>
      </c>
      <c r="E1888">
        <f>_xlfn.LET(_xlpm.dir,Table13[[#This Row],[Direction]],
IF(_xlpm.dir="L",
    IF(G1887-Table13[[#This Row],[Steps]]&lt;0,100+(G1887-Table13[[#This Row],[Steps]]),G1887-Table13[[#This Row],[Steps]]),
))</f>
        <v>0</v>
      </c>
      <c r="F1888">
        <f>_xlfn.LET(_xlpm.dir,Table13[[#This Row],[Direction]],
IF(_xlpm.dir="R",
    IF(G1887+Table13[[#This Row],[Steps]]&gt;99,(G1887+Table13[[#This Row],[Steps]])-100,G1887+Table13[[#This Row],[Steps]]),
))</f>
        <v>53</v>
      </c>
      <c r="G1888">
        <f>IF(Table13[[#This Row],[New Pos L]]&lt;&gt;0,Table13[[#This Row],[New Pos L]],Table13[[#This Row],[New Pos R]])</f>
        <v>53</v>
      </c>
      <c r="H1888">
        <f>IF(AND(Table13[[#This Row],[Direction]]="L",Table13[[#This Row],[Steps]]&gt;G1887,G1887&lt;&gt;0),1,0)</f>
        <v>0</v>
      </c>
      <c r="I1888">
        <f>IF(AND(Table13[[#This Row],[Direction]]="R",(G1887+Table13[[#This Row],[Steps]])&gt;100),1,0)</f>
        <v>0</v>
      </c>
      <c r="J1888">
        <f>IF(Table13[[#This Row],[POS]]=0,1,0)</f>
        <v>0</v>
      </c>
      <c r="K1888">
        <f>SUM(Table13[[#This Row],[prefix]],Table13[[#This Row],[Past zero L]],Table13[[#This Row],[Past Zero R]],Table13[[#This Row],[Is Zero]])</f>
        <v>0</v>
      </c>
    </row>
    <row r="1889" spans="1:11" ht="16" x14ac:dyDescent="0.2">
      <c r="A1889" s="1" t="s">
        <v>526</v>
      </c>
      <c r="B1889" t="str">
        <f>LEFT(Table13[[#This Row],[Input]],1)</f>
        <v>L</v>
      </c>
      <c r="C1889">
        <f>_xlfn.LET(_xlpm.steps,SUBSTITUTE(Table13[[#This Row],[Input]],Table13[[#This Row],[Direction]],""),VALUE(IF(LEN(_xlpm.steps)&gt;2,RIGHT(_xlpm.steps,2),_xlpm.steps)))</f>
        <v>65</v>
      </c>
      <c r="D1889">
        <f>_xlfn.LET(_xlpm.steps,SUBSTITUTE(Table13[[#This Row],[Input]],Table13[[#This Row],[Direction]],""),VALUE(IF(LEN(_xlpm.steps)&gt;2,LEFT(_xlpm.steps,LEN(_xlpm.steps)-2),0)))</f>
        <v>2</v>
      </c>
      <c r="E1889">
        <f>_xlfn.LET(_xlpm.dir,Table13[[#This Row],[Direction]],
IF(_xlpm.dir="L",
    IF(G1888-Table13[[#This Row],[Steps]]&lt;0,100+(G1888-Table13[[#This Row],[Steps]]),G1888-Table13[[#This Row],[Steps]]),
))</f>
        <v>88</v>
      </c>
      <c r="F1889">
        <f>_xlfn.LET(_xlpm.dir,Table13[[#This Row],[Direction]],
IF(_xlpm.dir="R",
    IF(G1888+Table13[[#This Row],[Steps]]&gt;99,(G1888+Table13[[#This Row],[Steps]])-100,G1888+Table13[[#This Row],[Steps]]),
))</f>
        <v>0</v>
      </c>
      <c r="G1889">
        <f>IF(Table13[[#This Row],[New Pos L]]&lt;&gt;0,Table13[[#This Row],[New Pos L]],Table13[[#This Row],[New Pos R]])</f>
        <v>88</v>
      </c>
      <c r="H1889">
        <f>IF(AND(Table13[[#This Row],[Direction]]="L",Table13[[#This Row],[Steps]]&gt;G1888,G1888&lt;&gt;0),1,0)</f>
        <v>1</v>
      </c>
      <c r="I1889">
        <f>IF(AND(Table13[[#This Row],[Direction]]="R",(G1888+Table13[[#This Row],[Steps]])&gt;100),1,0)</f>
        <v>0</v>
      </c>
      <c r="J1889">
        <f>IF(Table13[[#This Row],[POS]]=0,1,0)</f>
        <v>0</v>
      </c>
      <c r="K1889">
        <f>SUM(Table13[[#This Row],[prefix]],Table13[[#This Row],[Past zero L]],Table13[[#This Row],[Past Zero R]],Table13[[#This Row],[Is Zero]])</f>
        <v>3</v>
      </c>
    </row>
    <row r="1890" spans="1:11" ht="16" x14ac:dyDescent="0.2">
      <c r="A1890" s="1" t="s">
        <v>245</v>
      </c>
      <c r="B1890" t="str">
        <f>LEFT(Table13[[#This Row],[Input]],1)</f>
        <v>R</v>
      </c>
      <c r="C1890">
        <f>_xlfn.LET(_xlpm.steps,SUBSTITUTE(Table13[[#This Row],[Input]],Table13[[#This Row],[Direction]],""),VALUE(IF(LEN(_xlpm.steps)&gt;2,RIGHT(_xlpm.steps,2),_xlpm.steps)))</f>
        <v>71</v>
      </c>
      <c r="D1890">
        <f>_xlfn.LET(_xlpm.steps,SUBSTITUTE(Table13[[#This Row],[Input]],Table13[[#This Row],[Direction]],""),VALUE(IF(LEN(_xlpm.steps)&gt;2,LEFT(_xlpm.steps,LEN(_xlpm.steps)-2),0)))</f>
        <v>0</v>
      </c>
      <c r="E1890">
        <f>_xlfn.LET(_xlpm.dir,Table13[[#This Row],[Direction]],
IF(_xlpm.dir="L",
    IF(G1889-Table13[[#This Row],[Steps]]&lt;0,100+(G1889-Table13[[#This Row],[Steps]]),G1889-Table13[[#This Row],[Steps]]),
))</f>
        <v>0</v>
      </c>
      <c r="F1890">
        <f>_xlfn.LET(_xlpm.dir,Table13[[#This Row],[Direction]],
IF(_xlpm.dir="R",
    IF(G1889+Table13[[#This Row],[Steps]]&gt;99,(G1889+Table13[[#This Row],[Steps]])-100,G1889+Table13[[#This Row],[Steps]]),
))</f>
        <v>59</v>
      </c>
      <c r="G1890">
        <f>IF(Table13[[#This Row],[New Pos L]]&lt;&gt;0,Table13[[#This Row],[New Pos L]],Table13[[#This Row],[New Pos R]])</f>
        <v>59</v>
      </c>
      <c r="H1890">
        <f>IF(AND(Table13[[#This Row],[Direction]]="L",Table13[[#This Row],[Steps]]&gt;G1889,G1889&lt;&gt;0),1,0)</f>
        <v>0</v>
      </c>
      <c r="I1890">
        <f>IF(AND(Table13[[#This Row],[Direction]]="R",(G1889+Table13[[#This Row],[Steps]])&gt;100),1,0)</f>
        <v>1</v>
      </c>
      <c r="J1890">
        <f>IF(Table13[[#This Row],[POS]]=0,1,0)</f>
        <v>0</v>
      </c>
      <c r="K1890">
        <f>SUM(Table13[[#This Row],[prefix]],Table13[[#This Row],[Past zero L]],Table13[[#This Row],[Past Zero R]],Table13[[#This Row],[Is Zero]])</f>
        <v>1</v>
      </c>
    </row>
    <row r="1891" spans="1:11" ht="16" x14ac:dyDescent="0.2">
      <c r="A1891" s="1" t="s">
        <v>106</v>
      </c>
      <c r="B1891" t="str">
        <f>LEFT(Table13[[#This Row],[Input]],1)</f>
        <v>R</v>
      </c>
      <c r="C1891">
        <f>_xlfn.LET(_xlpm.steps,SUBSTITUTE(Table13[[#This Row],[Input]],Table13[[#This Row],[Direction]],""),VALUE(IF(LEN(_xlpm.steps)&gt;2,RIGHT(_xlpm.steps,2),_xlpm.steps)))</f>
        <v>41</v>
      </c>
      <c r="D1891">
        <f>_xlfn.LET(_xlpm.steps,SUBSTITUTE(Table13[[#This Row],[Input]],Table13[[#This Row],[Direction]],""),VALUE(IF(LEN(_xlpm.steps)&gt;2,LEFT(_xlpm.steps,LEN(_xlpm.steps)-2),0)))</f>
        <v>0</v>
      </c>
      <c r="E1891">
        <f>_xlfn.LET(_xlpm.dir,Table13[[#This Row],[Direction]],
IF(_xlpm.dir="L",
    IF(G1890-Table13[[#This Row],[Steps]]&lt;0,100+(G1890-Table13[[#This Row],[Steps]]),G1890-Table13[[#This Row],[Steps]]),
))</f>
        <v>0</v>
      </c>
      <c r="F1891">
        <f>_xlfn.LET(_xlpm.dir,Table13[[#This Row],[Direction]],
IF(_xlpm.dir="R",
    IF(G1890+Table13[[#This Row],[Steps]]&gt;99,(G1890+Table13[[#This Row],[Steps]])-100,G1890+Table13[[#This Row],[Steps]]),
))</f>
        <v>0</v>
      </c>
      <c r="G1891">
        <f>IF(Table13[[#This Row],[New Pos L]]&lt;&gt;0,Table13[[#This Row],[New Pos L]],Table13[[#This Row],[New Pos R]])</f>
        <v>0</v>
      </c>
      <c r="H1891">
        <f>IF(AND(Table13[[#This Row],[Direction]]="L",Table13[[#This Row],[Steps]]&gt;G1890,G1890&lt;&gt;0),1,0)</f>
        <v>0</v>
      </c>
      <c r="I1891">
        <f>IF(AND(Table13[[#This Row],[Direction]]="R",(G1890+Table13[[#This Row],[Steps]])&gt;100),1,0)</f>
        <v>0</v>
      </c>
      <c r="J1891">
        <f>IF(Table13[[#This Row],[POS]]=0,1,0)</f>
        <v>1</v>
      </c>
      <c r="K1891">
        <f>SUM(Table13[[#This Row],[prefix]],Table13[[#This Row],[Past zero L]],Table13[[#This Row],[Past Zero R]],Table13[[#This Row],[Is Zero]])</f>
        <v>1</v>
      </c>
    </row>
    <row r="1892" spans="1:11" ht="16" x14ac:dyDescent="0.2">
      <c r="A1892" s="1" t="s">
        <v>114</v>
      </c>
      <c r="B1892" t="str">
        <f>LEFT(Table13[[#This Row],[Input]],1)</f>
        <v>R</v>
      </c>
      <c r="C1892">
        <f>_xlfn.LET(_xlpm.steps,SUBSTITUTE(Table13[[#This Row],[Input]],Table13[[#This Row],[Direction]],""),VALUE(IF(LEN(_xlpm.steps)&gt;2,RIGHT(_xlpm.steps,2),_xlpm.steps)))</f>
        <v>70</v>
      </c>
      <c r="D1892">
        <f>_xlfn.LET(_xlpm.steps,SUBSTITUTE(Table13[[#This Row],[Input]],Table13[[#This Row],[Direction]],""),VALUE(IF(LEN(_xlpm.steps)&gt;2,LEFT(_xlpm.steps,LEN(_xlpm.steps)-2),0)))</f>
        <v>0</v>
      </c>
      <c r="E1892">
        <f>_xlfn.LET(_xlpm.dir,Table13[[#This Row],[Direction]],
IF(_xlpm.dir="L",
    IF(G1891-Table13[[#This Row],[Steps]]&lt;0,100+(G1891-Table13[[#This Row],[Steps]]),G1891-Table13[[#This Row],[Steps]]),
))</f>
        <v>0</v>
      </c>
      <c r="F1892">
        <f>_xlfn.LET(_xlpm.dir,Table13[[#This Row],[Direction]],
IF(_xlpm.dir="R",
    IF(G1891+Table13[[#This Row],[Steps]]&gt;99,(G1891+Table13[[#This Row],[Steps]])-100,G1891+Table13[[#This Row],[Steps]]),
))</f>
        <v>70</v>
      </c>
      <c r="G1892">
        <f>IF(Table13[[#This Row],[New Pos L]]&lt;&gt;0,Table13[[#This Row],[New Pos L]],Table13[[#This Row],[New Pos R]])</f>
        <v>70</v>
      </c>
      <c r="H1892">
        <f>IF(AND(Table13[[#This Row],[Direction]]="L",Table13[[#This Row],[Steps]]&gt;G1891,G1891&lt;&gt;0),1,0)</f>
        <v>0</v>
      </c>
      <c r="I1892">
        <f>IF(AND(Table13[[#This Row],[Direction]]="R",(G1891+Table13[[#This Row],[Steps]])&gt;100),1,0)</f>
        <v>0</v>
      </c>
      <c r="J1892">
        <f>IF(Table13[[#This Row],[POS]]=0,1,0)</f>
        <v>0</v>
      </c>
      <c r="K1892">
        <f>SUM(Table13[[#This Row],[prefix]],Table13[[#This Row],[Past zero L]],Table13[[#This Row],[Past Zero R]],Table13[[#This Row],[Is Zero]])</f>
        <v>0</v>
      </c>
    </row>
    <row r="1893" spans="1:11" ht="16" x14ac:dyDescent="0.2">
      <c r="A1893" s="1" t="s">
        <v>303</v>
      </c>
      <c r="B1893" t="str">
        <f>LEFT(Table13[[#This Row],[Input]],1)</f>
        <v>R</v>
      </c>
      <c r="C1893">
        <f>_xlfn.LET(_xlpm.steps,SUBSTITUTE(Table13[[#This Row],[Input]],Table13[[#This Row],[Direction]],""),VALUE(IF(LEN(_xlpm.steps)&gt;2,RIGHT(_xlpm.steps,2),_xlpm.steps)))</f>
        <v>30</v>
      </c>
      <c r="D1893">
        <f>_xlfn.LET(_xlpm.steps,SUBSTITUTE(Table13[[#This Row],[Input]],Table13[[#This Row],[Direction]],""),VALUE(IF(LEN(_xlpm.steps)&gt;2,LEFT(_xlpm.steps,LEN(_xlpm.steps)-2),0)))</f>
        <v>9</v>
      </c>
      <c r="E1893">
        <f>_xlfn.LET(_xlpm.dir,Table13[[#This Row],[Direction]],
IF(_xlpm.dir="L",
    IF(G1892-Table13[[#This Row],[Steps]]&lt;0,100+(G1892-Table13[[#This Row],[Steps]]),G1892-Table13[[#This Row],[Steps]]),
))</f>
        <v>0</v>
      </c>
      <c r="F1893">
        <f>_xlfn.LET(_xlpm.dir,Table13[[#This Row],[Direction]],
IF(_xlpm.dir="R",
    IF(G1892+Table13[[#This Row],[Steps]]&gt;99,(G1892+Table13[[#This Row],[Steps]])-100,G1892+Table13[[#This Row],[Steps]]),
))</f>
        <v>0</v>
      </c>
      <c r="G1893">
        <f>IF(Table13[[#This Row],[New Pos L]]&lt;&gt;0,Table13[[#This Row],[New Pos L]],Table13[[#This Row],[New Pos R]])</f>
        <v>0</v>
      </c>
      <c r="H1893">
        <f>IF(AND(Table13[[#This Row],[Direction]]="L",Table13[[#This Row],[Steps]]&gt;G1892,G1892&lt;&gt;0),1,0)</f>
        <v>0</v>
      </c>
      <c r="I1893">
        <f>IF(AND(Table13[[#This Row],[Direction]]="R",(G1892+Table13[[#This Row],[Steps]])&gt;100),1,0)</f>
        <v>0</v>
      </c>
      <c r="J1893">
        <f>IF(Table13[[#This Row],[POS]]=0,1,0)</f>
        <v>1</v>
      </c>
      <c r="K1893">
        <f>SUM(Table13[[#This Row],[prefix]],Table13[[#This Row],[Past zero L]],Table13[[#This Row],[Past Zero R]],Table13[[#This Row],[Is Zero]])</f>
        <v>10</v>
      </c>
    </row>
    <row r="1894" spans="1:11" ht="16" x14ac:dyDescent="0.2">
      <c r="A1894" s="1" t="s">
        <v>26</v>
      </c>
      <c r="B1894" t="str">
        <f>LEFT(Table13[[#This Row],[Input]],1)</f>
        <v>R</v>
      </c>
      <c r="C1894">
        <f>_xlfn.LET(_xlpm.steps,SUBSTITUTE(Table13[[#This Row],[Input]],Table13[[#This Row],[Direction]],""),VALUE(IF(LEN(_xlpm.steps)&gt;2,RIGHT(_xlpm.steps,2),_xlpm.steps)))</f>
        <v>6</v>
      </c>
      <c r="D1894">
        <f>_xlfn.LET(_xlpm.steps,SUBSTITUTE(Table13[[#This Row],[Input]],Table13[[#This Row],[Direction]],""),VALUE(IF(LEN(_xlpm.steps)&gt;2,LEFT(_xlpm.steps,LEN(_xlpm.steps)-2),0)))</f>
        <v>0</v>
      </c>
      <c r="E1894">
        <f>_xlfn.LET(_xlpm.dir,Table13[[#This Row],[Direction]],
IF(_xlpm.dir="L",
    IF(G1893-Table13[[#This Row],[Steps]]&lt;0,100+(G1893-Table13[[#This Row],[Steps]]),G1893-Table13[[#This Row],[Steps]]),
))</f>
        <v>0</v>
      </c>
      <c r="F1894">
        <f>_xlfn.LET(_xlpm.dir,Table13[[#This Row],[Direction]],
IF(_xlpm.dir="R",
    IF(G1893+Table13[[#This Row],[Steps]]&gt;99,(G1893+Table13[[#This Row],[Steps]])-100,G1893+Table13[[#This Row],[Steps]]),
))</f>
        <v>6</v>
      </c>
      <c r="G1894">
        <f>IF(Table13[[#This Row],[New Pos L]]&lt;&gt;0,Table13[[#This Row],[New Pos L]],Table13[[#This Row],[New Pos R]])</f>
        <v>6</v>
      </c>
      <c r="H1894">
        <f>IF(AND(Table13[[#This Row],[Direction]]="L",Table13[[#This Row],[Steps]]&gt;G1893,G1893&lt;&gt;0),1,0)</f>
        <v>0</v>
      </c>
      <c r="I1894">
        <f>IF(AND(Table13[[#This Row],[Direction]]="R",(G1893+Table13[[#This Row],[Steps]])&gt;100),1,0)</f>
        <v>0</v>
      </c>
      <c r="J1894">
        <f>IF(Table13[[#This Row],[POS]]=0,1,0)</f>
        <v>0</v>
      </c>
      <c r="K1894">
        <f>SUM(Table13[[#This Row],[prefix]],Table13[[#This Row],[Past zero L]],Table13[[#This Row],[Past Zero R]],Table13[[#This Row],[Is Zero]])</f>
        <v>0</v>
      </c>
    </row>
    <row r="1895" spans="1:11" ht="16" x14ac:dyDescent="0.2">
      <c r="A1895" s="1" t="s">
        <v>253</v>
      </c>
      <c r="B1895" t="str">
        <f>LEFT(Table13[[#This Row],[Input]],1)</f>
        <v>R</v>
      </c>
      <c r="C1895">
        <f>_xlfn.LET(_xlpm.steps,SUBSTITUTE(Table13[[#This Row],[Input]],Table13[[#This Row],[Direction]],""),VALUE(IF(LEN(_xlpm.steps)&gt;2,RIGHT(_xlpm.steps,2),_xlpm.steps)))</f>
        <v>94</v>
      </c>
      <c r="D1895">
        <f>_xlfn.LET(_xlpm.steps,SUBSTITUTE(Table13[[#This Row],[Input]],Table13[[#This Row],[Direction]],""),VALUE(IF(LEN(_xlpm.steps)&gt;2,LEFT(_xlpm.steps,LEN(_xlpm.steps)-2),0)))</f>
        <v>0</v>
      </c>
      <c r="E1895">
        <f>_xlfn.LET(_xlpm.dir,Table13[[#This Row],[Direction]],
IF(_xlpm.dir="L",
    IF(G1894-Table13[[#This Row],[Steps]]&lt;0,100+(G1894-Table13[[#This Row],[Steps]]),G1894-Table13[[#This Row],[Steps]]),
))</f>
        <v>0</v>
      </c>
      <c r="F1895">
        <f>_xlfn.LET(_xlpm.dir,Table13[[#This Row],[Direction]],
IF(_xlpm.dir="R",
    IF(G1894+Table13[[#This Row],[Steps]]&gt;99,(G1894+Table13[[#This Row],[Steps]])-100,G1894+Table13[[#This Row],[Steps]]),
))</f>
        <v>0</v>
      </c>
      <c r="G1895">
        <f>IF(Table13[[#This Row],[New Pos L]]&lt;&gt;0,Table13[[#This Row],[New Pos L]],Table13[[#This Row],[New Pos R]])</f>
        <v>0</v>
      </c>
      <c r="H1895">
        <f>IF(AND(Table13[[#This Row],[Direction]]="L",Table13[[#This Row],[Steps]]&gt;G1894,G1894&lt;&gt;0),1,0)</f>
        <v>0</v>
      </c>
      <c r="I1895">
        <f>IF(AND(Table13[[#This Row],[Direction]]="R",(G1894+Table13[[#This Row],[Steps]])&gt;100),1,0)</f>
        <v>0</v>
      </c>
      <c r="J1895">
        <f>IF(Table13[[#This Row],[POS]]=0,1,0)</f>
        <v>1</v>
      </c>
      <c r="K1895">
        <f>SUM(Table13[[#This Row],[prefix]],Table13[[#This Row],[Past zero L]],Table13[[#This Row],[Past Zero R]],Table13[[#This Row],[Is Zero]])</f>
        <v>1</v>
      </c>
    </row>
    <row r="1896" spans="1:11" ht="16" x14ac:dyDescent="0.2">
      <c r="A1896" s="1" t="s">
        <v>244</v>
      </c>
      <c r="B1896" t="str">
        <f>LEFT(Table13[[#This Row],[Input]],1)</f>
        <v>L</v>
      </c>
      <c r="C1896">
        <f>_xlfn.LET(_xlpm.steps,SUBSTITUTE(Table13[[#This Row],[Input]],Table13[[#This Row],[Direction]],""),VALUE(IF(LEN(_xlpm.steps)&gt;2,RIGHT(_xlpm.steps,2),_xlpm.steps)))</f>
        <v>98</v>
      </c>
      <c r="D1896">
        <f>_xlfn.LET(_xlpm.steps,SUBSTITUTE(Table13[[#This Row],[Input]],Table13[[#This Row],[Direction]],""),VALUE(IF(LEN(_xlpm.steps)&gt;2,LEFT(_xlpm.steps,LEN(_xlpm.steps)-2),0)))</f>
        <v>0</v>
      </c>
      <c r="E1896">
        <f>_xlfn.LET(_xlpm.dir,Table13[[#This Row],[Direction]],
IF(_xlpm.dir="L",
    IF(G1895-Table13[[#This Row],[Steps]]&lt;0,100+(G1895-Table13[[#This Row],[Steps]]),G1895-Table13[[#This Row],[Steps]]),
))</f>
        <v>2</v>
      </c>
      <c r="F1896">
        <f>_xlfn.LET(_xlpm.dir,Table13[[#This Row],[Direction]],
IF(_xlpm.dir="R",
    IF(G1895+Table13[[#This Row],[Steps]]&gt;99,(G1895+Table13[[#This Row],[Steps]])-100,G1895+Table13[[#This Row],[Steps]]),
))</f>
        <v>0</v>
      </c>
      <c r="G1896">
        <f>IF(Table13[[#This Row],[New Pos L]]&lt;&gt;0,Table13[[#This Row],[New Pos L]],Table13[[#This Row],[New Pos R]])</f>
        <v>2</v>
      </c>
      <c r="H1896">
        <f>IF(AND(Table13[[#This Row],[Direction]]="L",Table13[[#This Row],[Steps]]&gt;G1895,G1895&lt;&gt;0),1,0)</f>
        <v>0</v>
      </c>
      <c r="I1896">
        <f>IF(AND(Table13[[#This Row],[Direction]]="R",(G1895+Table13[[#This Row],[Steps]])&gt;100),1,0)</f>
        <v>0</v>
      </c>
      <c r="J1896">
        <f>IF(Table13[[#This Row],[POS]]=0,1,0)</f>
        <v>0</v>
      </c>
      <c r="K1896">
        <f>SUM(Table13[[#This Row],[prefix]],Table13[[#This Row],[Past zero L]],Table13[[#This Row],[Past Zero R]],Table13[[#This Row],[Is Zero]])</f>
        <v>0</v>
      </c>
    </row>
    <row r="1897" spans="1:11" ht="16" x14ac:dyDescent="0.2">
      <c r="A1897" s="1" t="s">
        <v>307</v>
      </c>
      <c r="B1897" t="str">
        <f>LEFT(Table13[[#This Row],[Input]],1)</f>
        <v>R</v>
      </c>
      <c r="C1897">
        <f>_xlfn.LET(_xlpm.steps,SUBSTITUTE(Table13[[#This Row],[Input]],Table13[[#This Row],[Direction]],""),VALUE(IF(LEN(_xlpm.steps)&gt;2,RIGHT(_xlpm.steps,2),_xlpm.steps)))</f>
        <v>94</v>
      </c>
      <c r="D1897">
        <f>_xlfn.LET(_xlpm.steps,SUBSTITUTE(Table13[[#This Row],[Input]],Table13[[#This Row],[Direction]],""),VALUE(IF(LEN(_xlpm.steps)&gt;2,LEFT(_xlpm.steps,LEN(_xlpm.steps)-2),0)))</f>
        <v>6</v>
      </c>
      <c r="E1897">
        <f>_xlfn.LET(_xlpm.dir,Table13[[#This Row],[Direction]],
IF(_xlpm.dir="L",
    IF(G1896-Table13[[#This Row],[Steps]]&lt;0,100+(G1896-Table13[[#This Row],[Steps]]),G1896-Table13[[#This Row],[Steps]]),
))</f>
        <v>0</v>
      </c>
      <c r="F1897">
        <f>_xlfn.LET(_xlpm.dir,Table13[[#This Row],[Direction]],
IF(_xlpm.dir="R",
    IF(G1896+Table13[[#This Row],[Steps]]&gt;99,(G1896+Table13[[#This Row],[Steps]])-100,G1896+Table13[[#This Row],[Steps]]),
))</f>
        <v>96</v>
      </c>
      <c r="G1897">
        <f>IF(Table13[[#This Row],[New Pos L]]&lt;&gt;0,Table13[[#This Row],[New Pos L]],Table13[[#This Row],[New Pos R]])</f>
        <v>96</v>
      </c>
      <c r="H1897">
        <f>IF(AND(Table13[[#This Row],[Direction]]="L",Table13[[#This Row],[Steps]]&gt;G1896,G1896&lt;&gt;0),1,0)</f>
        <v>0</v>
      </c>
      <c r="I1897">
        <f>IF(AND(Table13[[#This Row],[Direction]]="R",(G1896+Table13[[#This Row],[Steps]])&gt;100),1,0)</f>
        <v>0</v>
      </c>
      <c r="J1897">
        <f>IF(Table13[[#This Row],[POS]]=0,1,0)</f>
        <v>0</v>
      </c>
      <c r="K1897">
        <f>SUM(Table13[[#This Row],[prefix]],Table13[[#This Row],[Past zero L]],Table13[[#This Row],[Past Zero R]],Table13[[#This Row],[Is Zero]])</f>
        <v>6</v>
      </c>
    </row>
    <row r="1898" spans="1:11" ht="16" x14ac:dyDescent="0.2">
      <c r="A1898" s="1" t="s">
        <v>45</v>
      </c>
      <c r="B1898" t="str">
        <f>LEFT(Table13[[#This Row],[Input]],1)</f>
        <v>L</v>
      </c>
      <c r="C1898">
        <f>_xlfn.LET(_xlpm.steps,SUBSTITUTE(Table13[[#This Row],[Input]],Table13[[#This Row],[Direction]],""),VALUE(IF(LEN(_xlpm.steps)&gt;2,RIGHT(_xlpm.steps,2),_xlpm.steps)))</f>
        <v>96</v>
      </c>
      <c r="D1898">
        <f>_xlfn.LET(_xlpm.steps,SUBSTITUTE(Table13[[#This Row],[Input]],Table13[[#This Row],[Direction]],""),VALUE(IF(LEN(_xlpm.steps)&gt;2,LEFT(_xlpm.steps,LEN(_xlpm.steps)-2),0)))</f>
        <v>0</v>
      </c>
      <c r="E1898">
        <f>_xlfn.LET(_xlpm.dir,Table13[[#This Row],[Direction]],
IF(_xlpm.dir="L",
    IF(G1897-Table13[[#This Row],[Steps]]&lt;0,100+(G1897-Table13[[#This Row],[Steps]]),G1897-Table13[[#This Row],[Steps]]),
))</f>
        <v>0</v>
      </c>
      <c r="F1898">
        <f>_xlfn.LET(_xlpm.dir,Table13[[#This Row],[Direction]],
IF(_xlpm.dir="R",
    IF(G1897+Table13[[#This Row],[Steps]]&gt;99,(G1897+Table13[[#This Row],[Steps]])-100,G1897+Table13[[#This Row],[Steps]]),
))</f>
        <v>0</v>
      </c>
      <c r="G1898">
        <f>IF(Table13[[#This Row],[New Pos L]]&lt;&gt;0,Table13[[#This Row],[New Pos L]],Table13[[#This Row],[New Pos R]])</f>
        <v>0</v>
      </c>
      <c r="H1898">
        <f>IF(AND(Table13[[#This Row],[Direction]]="L",Table13[[#This Row],[Steps]]&gt;G1897,G1897&lt;&gt;0),1,0)</f>
        <v>0</v>
      </c>
      <c r="I1898">
        <f>IF(AND(Table13[[#This Row],[Direction]]="R",(G1897+Table13[[#This Row],[Steps]])&gt;100),1,0)</f>
        <v>0</v>
      </c>
      <c r="J1898">
        <f>IF(Table13[[#This Row],[POS]]=0,1,0)</f>
        <v>1</v>
      </c>
      <c r="K1898">
        <f>SUM(Table13[[#This Row],[prefix]],Table13[[#This Row],[Past zero L]],Table13[[#This Row],[Past Zero R]],Table13[[#This Row],[Is Zero]])</f>
        <v>1</v>
      </c>
    </row>
    <row r="1899" spans="1:11" ht="16" x14ac:dyDescent="0.2">
      <c r="A1899" s="1" t="s">
        <v>9</v>
      </c>
      <c r="B1899" t="str">
        <f>LEFT(Table13[[#This Row],[Input]],1)</f>
        <v>L</v>
      </c>
      <c r="C1899">
        <f>_xlfn.LET(_xlpm.steps,SUBSTITUTE(Table13[[#This Row],[Input]],Table13[[#This Row],[Direction]],""),VALUE(IF(LEN(_xlpm.steps)&gt;2,RIGHT(_xlpm.steps,2),_xlpm.steps)))</f>
        <v>9</v>
      </c>
      <c r="D1899">
        <f>_xlfn.LET(_xlpm.steps,SUBSTITUTE(Table13[[#This Row],[Input]],Table13[[#This Row],[Direction]],""),VALUE(IF(LEN(_xlpm.steps)&gt;2,LEFT(_xlpm.steps,LEN(_xlpm.steps)-2),0)))</f>
        <v>0</v>
      </c>
      <c r="E1899">
        <f>_xlfn.LET(_xlpm.dir,Table13[[#This Row],[Direction]],
IF(_xlpm.dir="L",
    IF(G1898-Table13[[#This Row],[Steps]]&lt;0,100+(G1898-Table13[[#This Row],[Steps]]),G1898-Table13[[#This Row],[Steps]]),
))</f>
        <v>91</v>
      </c>
      <c r="F1899">
        <f>_xlfn.LET(_xlpm.dir,Table13[[#This Row],[Direction]],
IF(_xlpm.dir="R",
    IF(G1898+Table13[[#This Row],[Steps]]&gt;99,(G1898+Table13[[#This Row],[Steps]])-100,G1898+Table13[[#This Row],[Steps]]),
))</f>
        <v>0</v>
      </c>
      <c r="G1899">
        <f>IF(Table13[[#This Row],[New Pos L]]&lt;&gt;0,Table13[[#This Row],[New Pos L]],Table13[[#This Row],[New Pos R]])</f>
        <v>91</v>
      </c>
      <c r="H1899">
        <f>IF(AND(Table13[[#This Row],[Direction]]="L",Table13[[#This Row],[Steps]]&gt;G1898,G1898&lt;&gt;0),1,0)</f>
        <v>0</v>
      </c>
      <c r="I1899">
        <f>IF(AND(Table13[[#This Row],[Direction]]="R",(G1898+Table13[[#This Row],[Steps]])&gt;100),1,0)</f>
        <v>0</v>
      </c>
      <c r="J1899">
        <f>IF(Table13[[#This Row],[POS]]=0,1,0)</f>
        <v>0</v>
      </c>
      <c r="K1899">
        <f>SUM(Table13[[#This Row],[prefix]],Table13[[#This Row],[Past zero L]],Table13[[#This Row],[Past Zero R]],Table13[[#This Row],[Is Zero]])</f>
        <v>0</v>
      </c>
    </row>
    <row r="1900" spans="1:11" ht="16" x14ac:dyDescent="0.2">
      <c r="A1900" s="1" t="s">
        <v>505</v>
      </c>
      <c r="B1900" t="str">
        <f>LEFT(Table13[[#This Row],[Input]],1)</f>
        <v>L</v>
      </c>
      <c r="C1900">
        <f>_xlfn.LET(_xlpm.steps,SUBSTITUTE(Table13[[#This Row],[Input]],Table13[[#This Row],[Direction]],""),VALUE(IF(LEN(_xlpm.steps)&gt;2,RIGHT(_xlpm.steps,2),_xlpm.steps)))</f>
        <v>91</v>
      </c>
      <c r="D1900">
        <f>_xlfn.LET(_xlpm.steps,SUBSTITUTE(Table13[[#This Row],[Input]],Table13[[#This Row],[Direction]],""),VALUE(IF(LEN(_xlpm.steps)&gt;2,LEFT(_xlpm.steps,LEN(_xlpm.steps)-2),0)))</f>
        <v>9</v>
      </c>
      <c r="E1900">
        <f>_xlfn.LET(_xlpm.dir,Table13[[#This Row],[Direction]],
IF(_xlpm.dir="L",
    IF(G1899-Table13[[#This Row],[Steps]]&lt;0,100+(G1899-Table13[[#This Row],[Steps]]),G1899-Table13[[#This Row],[Steps]]),
))</f>
        <v>0</v>
      </c>
      <c r="F1900">
        <f>_xlfn.LET(_xlpm.dir,Table13[[#This Row],[Direction]],
IF(_xlpm.dir="R",
    IF(G1899+Table13[[#This Row],[Steps]]&gt;99,(G1899+Table13[[#This Row],[Steps]])-100,G1899+Table13[[#This Row],[Steps]]),
))</f>
        <v>0</v>
      </c>
      <c r="G1900">
        <f>IF(Table13[[#This Row],[New Pos L]]&lt;&gt;0,Table13[[#This Row],[New Pos L]],Table13[[#This Row],[New Pos R]])</f>
        <v>0</v>
      </c>
      <c r="H1900">
        <f>IF(AND(Table13[[#This Row],[Direction]]="L",Table13[[#This Row],[Steps]]&gt;G1899,G1899&lt;&gt;0),1,0)</f>
        <v>0</v>
      </c>
      <c r="I1900">
        <f>IF(AND(Table13[[#This Row],[Direction]]="R",(G1899+Table13[[#This Row],[Steps]])&gt;100),1,0)</f>
        <v>0</v>
      </c>
      <c r="J1900">
        <f>IF(Table13[[#This Row],[POS]]=0,1,0)</f>
        <v>1</v>
      </c>
      <c r="K1900">
        <f>SUM(Table13[[#This Row],[prefix]],Table13[[#This Row],[Past zero L]],Table13[[#This Row],[Past Zero R]],Table13[[#This Row],[Is Zero]])</f>
        <v>10</v>
      </c>
    </row>
    <row r="1901" spans="1:11" ht="16" x14ac:dyDescent="0.2">
      <c r="A1901" s="1" t="s">
        <v>11</v>
      </c>
      <c r="B1901" t="str">
        <f>LEFT(Table13[[#This Row],[Input]],1)</f>
        <v>L</v>
      </c>
      <c r="C1901">
        <f>_xlfn.LET(_xlpm.steps,SUBSTITUTE(Table13[[#This Row],[Input]],Table13[[#This Row],[Direction]],""),VALUE(IF(LEN(_xlpm.steps)&gt;2,RIGHT(_xlpm.steps,2),_xlpm.steps)))</f>
        <v>34</v>
      </c>
      <c r="D1901">
        <f>_xlfn.LET(_xlpm.steps,SUBSTITUTE(Table13[[#This Row],[Input]],Table13[[#This Row],[Direction]],""),VALUE(IF(LEN(_xlpm.steps)&gt;2,LEFT(_xlpm.steps,LEN(_xlpm.steps)-2),0)))</f>
        <v>0</v>
      </c>
      <c r="E1901">
        <f>_xlfn.LET(_xlpm.dir,Table13[[#This Row],[Direction]],
IF(_xlpm.dir="L",
    IF(G1900-Table13[[#This Row],[Steps]]&lt;0,100+(G1900-Table13[[#This Row],[Steps]]),G1900-Table13[[#This Row],[Steps]]),
))</f>
        <v>66</v>
      </c>
      <c r="F1901">
        <f>_xlfn.LET(_xlpm.dir,Table13[[#This Row],[Direction]],
IF(_xlpm.dir="R",
    IF(G1900+Table13[[#This Row],[Steps]]&gt;99,(G1900+Table13[[#This Row],[Steps]])-100,G1900+Table13[[#This Row],[Steps]]),
))</f>
        <v>0</v>
      </c>
      <c r="G1901">
        <f>IF(Table13[[#This Row],[New Pos L]]&lt;&gt;0,Table13[[#This Row],[New Pos L]],Table13[[#This Row],[New Pos R]])</f>
        <v>66</v>
      </c>
      <c r="H1901">
        <f>IF(AND(Table13[[#This Row],[Direction]]="L",Table13[[#This Row],[Steps]]&gt;G1900,G1900&lt;&gt;0),1,0)</f>
        <v>0</v>
      </c>
      <c r="I1901">
        <f>IF(AND(Table13[[#This Row],[Direction]]="R",(G1900+Table13[[#This Row],[Steps]])&gt;100),1,0)</f>
        <v>0</v>
      </c>
      <c r="J1901">
        <f>IF(Table13[[#This Row],[POS]]=0,1,0)</f>
        <v>0</v>
      </c>
      <c r="K1901">
        <f>SUM(Table13[[#This Row],[prefix]],Table13[[#This Row],[Past zero L]],Table13[[#This Row],[Past Zero R]],Table13[[#This Row],[Is Zero]])</f>
        <v>0</v>
      </c>
    </row>
    <row r="1902" spans="1:11" ht="16" x14ac:dyDescent="0.2">
      <c r="A1902" s="1" t="s">
        <v>172</v>
      </c>
      <c r="B1902" t="str">
        <f>LEFT(Table13[[#This Row],[Input]],1)</f>
        <v>L</v>
      </c>
      <c r="C1902">
        <f>_xlfn.LET(_xlpm.steps,SUBSTITUTE(Table13[[#This Row],[Input]],Table13[[#This Row],[Direction]],""),VALUE(IF(LEN(_xlpm.steps)&gt;2,RIGHT(_xlpm.steps,2),_xlpm.steps)))</f>
        <v>66</v>
      </c>
      <c r="D1902">
        <f>_xlfn.LET(_xlpm.steps,SUBSTITUTE(Table13[[#This Row],[Input]],Table13[[#This Row],[Direction]],""),VALUE(IF(LEN(_xlpm.steps)&gt;2,LEFT(_xlpm.steps,LEN(_xlpm.steps)-2),0)))</f>
        <v>0</v>
      </c>
      <c r="E1902">
        <f>_xlfn.LET(_xlpm.dir,Table13[[#This Row],[Direction]],
IF(_xlpm.dir="L",
    IF(G1901-Table13[[#This Row],[Steps]]&lt;0,100+(G1901-Table13[[#This Row],[Steps]]),G1901-Table13[[#This Row],[Steps]]),
))</f>
        <v>0</v>
      </c>
      <c r="F1902">
        <f>_xlfn.LET(_xlpm.dir,Table13[[#This Row],[Direction]],
IF(_xlpm.dir="R",
    IF(G1901+Table13[[#This Row],[Steps]]&gt;99,(G1901+Table13[[#This Row],[Steps]])-100,G1901+Table13[[#This Row],[Steps]]),
))</f>
        <v>0</v>
      </c>
      <c r="G1902">
        <f>IF(Table13[[#This Row],[New Pos L]]&lt;&gt;0,Table13[[#This Row],[New Pos L]],Table13[[#This Row],[New Pos R]])</f>
        <v>0</v>
      </c>
      <c r="H1902">
        <f>IF(AND(Table13[[#This Row],[Direction]]="L",Table13[[#This Row],[Steps]]&gt;G1901,G1901&lt;&gt;0),1,0)</f>
        <v>0</v>
      </c>
      <c r="I1902">
        <f>IF(AND(Table13[[#This Row],[Direction]]="R",(G1901+Table13[[#This Row],[Steps]])&gt;100),1,0)</f>
        <v>0</v>
      </c>
      <c r="J1902">
        <f>IF(Table13[[#This Row],[POS]]=0,1,0)</f>
        <v>1</v>
      </c>
      <c r="K1902">
        <f>SUM(Table13[[#This Row],[prefix]],Table13[[#This Row],[Past zero L]],Table13[[#This Row],[Past Zero R]],Table13[[#This Row],[Is Zero]])</f>
        <v>1</v>
      </c>
    </row>
    <row r="1903" spans="1:11" ht="16" x14ac:dyDescent="0.2">
      <c r="A1903" s="1" t="s">
        <v>115</v>
      </c>
      <c r="B1903" t="str">
        <f>LEFT(Table13[[#This Row],[Input]],1)</f>
        <v>L</v>
      </c>
      <c r="C1903">
        <f>_xlfn.LET(_xlpm.steps,SUBSTITUTE(Table13[[#This Row],[Input]],Table13[[#This Row],[Direction]],""),VALUE(IF(LEN(_xlpm.steps)&gt;2,RIGHT(_xlpm.steps,2),_xlpm.steps)))</f>
        <v>29</v>
      </c>
      <c r="D1903">
        <f>_xlfn.LET(_xlpm.steps,SUBSTITUTE(Table13[[#This Row],[Input]],Table13[[#This Row],[Direction]],""),VALUE(IF(LEN(_xlpm.steps)&gt;2,LEFT(_xlpm.steps,LEN(_xlpm.steps)-2),0)))</f>
        <v>0</v>
      </c>
      <c r="E1903">
        <f>_xlfn.LET(_xlpm.dir,Table13[[#This Row],[Direction]],
IF(_xlpm.dir="L",
    IF(G1902-Table13[[#This Row],[Steps]]&lt;0,100+(G1902-Table13[[#This Row],[Steps]]),G1902-Table13[[#This Row],[Steps]]),
))</f>
        <v>71</v>
      </c>
      <c r="F1903">
        <f>_xlfn.LET(_xlpm.dir,Table13[[#This Row],[Direction]],
IF(_xlpm.dir="R",
    IF(G1902+Table13[[#This Row],[Steps]]&gt;99,(G1902+Table13[[#This Row],[Steps]])-100,G1902+Table13[[#This Row],[Steps]]),
))</f>
        <v>0</v>
      </c>
      <c r="G1903">
        <f>IF(Table13[[#This Row],[New Pos L]]&lt;&gt;0,Table13[[#This Row],[New Pos L]],Table13[[#This Row],[New Pos R]])</f>
        <v>71</v>
      </c>
      <c r="H1903">
        <f>IF(AND(Table13[[#This Row],[Direction]]="L",Table13[[#This Row],[Steps]]&gt;G1902,G1902&lt;&gt;0),1,0)</f>
        <v>0</v>
      </c>
      <c r="I1903">
        <f>IF(AND(Table13[[#This Row],[Direction]]="R",(G1902+Table13[[#This Row],[Steps]])&gt;100),1,0)</f>
        <v>0</v>
      </c>
      <c r="J1903">
        <f>IF(Table13[[#This Row],[POS]]=0,1,0)</f>
        <v>0</v>
      </c>
      <c r="K1903">
        <f>SUM(Table13[[#This Row],[prefix]],Table13[[#This Row],[Past zero L]],Table13[[#This Row],[Past Zero R]],Table13[[#This Row],[Is Zero]])</f>
        <v>0</v>
      </c>
    </row>
    <row r="1904" spans="1:11" ht="16" x14ac:dyDescent="0.2">
      <c r="A1904" s="1" t="s">
        <v>88</v>
      </c>
      <c r="B1904" t="str">
        <f>LEFT(Table13[[#This Row],[Input]],1)</f>
        <v>R</v>
      </c>
      <c r="C1904">
        <f>_xlfn.LET(_xlpm.steps,SUBSTITUTE(Table13[[#This Row],[Input]],Table13[[#This Row],[Direction]],""),VALUE(IF(LEN(_xlpm.steps)&gt;2,RIGHT(_xlpm.steps,2),_xlpm.steps)))</f>
        <v>53</v>
      </c>
      <c r="D1904">
        <f>_xlfn.LET(_xlpm.steps,SUBSTITUTE(Table13[[#This Row],[Input]],Table13[[#This Row],[Direction]],""),VALUE(IF(LEN(_xlpm.steps)&gt;2,LEFT(_xlpm.steps,LEN(_xlpm.steps)-2),0)))</f>
        <v>0</v>
      </c>
      <c r="E1904">
        <f>_xlfn.LET(_xlpm.dir,Table13[[#This Row],[Direction]],
IF(_xlpm.dir="L",
    IF(G1903-Table13[[#This Row],[Steps]]&lt;0,100+(G1903-Table13[[#This Row],[Steps]]),G1903-Table13[[#This Row],[Steps]]),
))</f>
        <v>0</v>
      </c>
      <c r="F1904">
        <f>_xlfn.LET(_xlpm.dir,Table13[[#This Row],[Direction]],
IF(_xlpm.dir="R",
    IF(G1903+Table13[[#This Row],[Steps]]&gt;99,(G1903+Table13[[#This Row],[Steps]])-100,G1903+Table13[[#This Row],[Steps]]),
))</f>
        <v>24</v>
      </c>
      <c r="G1904">
        <f>IF(Table13[[#This Row],[New Pos L]]&lt;&gt;0,Table13[[#This Row],[New Pos L]],Table13[[#This Row],[New Pos R]])</f>
        <v>24</v>
      </c>
      <c r="H1904">
        <f>IF(AND(Table13[[#This Row],[Direction]]="L",Table13[[#This Row],[Steps]]&gt;G1903,G1903&lt;&gt;0),1,0)</f>
        <v>0</v>
      </c>
      <c r="I1904">
        <f>IF(AND(Table13[[#This Row],[Direction]]="R",(G1903+Table13[[#This Row],[Steps]])&gt;100),1,0)</f>
        <v>1</v>
      </c>
      <c r="J1904">
        <f>IF(Table13[[#This Row],[POS]]=0,1,0)</f>
        <v>0</v>
      </c>
      <c r="K1904">
        <f>SUM(Table13[[#This Row],[prefix]],Table13[[#This Row],[Past zero L]],Table13[[#This Row],[Past Zero R]],Table13[[#This Row],[Is Zero]])</f>
        <v>1</v>
      </c>
    </row>
    <row r="1905" spans="1:11" ht="16" x14ac:dyDescent="0.2">
      <c r="A1905" s="1" t="s">
        <v>161</v>
      </c>
      <c r="B1905" t="str">
        <f>LEFT(Table13[[#This Row],[Input]],1)</f>
        <v>R</v>
      </c>
      <c r="C1905">
        <f>_xlfn.LET(_xlpm.steps,SUBSTITUTE(Table13[[#This Row],[Input]],Table13[[#This Row],[Direction]],""),VALUE(IF(LEN(_xlpm.steps)&gt;2,RIGHT(_xlpm.steps,2),_xlpm.steps)))</f>
        <v>76</v>
      </c>
      <c r="D1905">
        <f>_xlfn.LET(_xlpm.steps,SUBSTITUTE(Table13[[#This Row],[Input]],Table13[[#This Row],[Direction]],""),VALUE(IF(LEN(_xlpm.steps)&gt;2,LEFT(_xlpm.steps,LEN(_xlpm.steps)-2),0)))</f>
        <v>0</v>
      </c>
      <c r="E1905">
        <f>_xlfn.LET(_xlpm.dir,Table13[[#This Row],[Direction]],
IF(_xlpm.dir="L",
    IF(G1904-Table13[[#This Row],[Steps]]&lt;0,100+(G1904-Table13[[#This Row],[Steps]]),G1904-Table13[[#This Row],[Steps]]),
))</f>
        <v>0</v>
      </c>
      <c r="F1905">
        <f>_xlfn.LET(_xlpm.dir,Table13[[#This Row],[Direction]],
IF(_xlpm.dir="R",
    IF(G1904+Table13[[#This Row],[Steps]]&gt;99,(G1904+Table13[[#This Row],[Steps]])-100,G1904+Table13[[#This Row],[Steps]]),
))</f>
        <v>0</v>
      </c>
      <c r="G1905">
        <f>IF(Table13[[#This Row],[New Pos L]]&lt;&gt;0,Table13[[#This Row],[New Pos L]],Table13[[#This Row],[New Pos R]])</f>
        <v>0</v>
      </c>
      <c r="H1905">
        <f>IF(AND(Table13[[#This Row],[Direction]]="L",Table13[[#This Row],[Steps]]&gt;G1904,G1904&lt;&gt;0),1,0)</f>
        <v>0</v>
      </c>
      <c r="I1905">
        <f>IF(AND(Table13[[#This Row],[Direction]]="R",(G1904+Table13[[#This Row],[Steps]])&gt;100),1,0)</f>
        <v>0</v>
      </c>
      <c r="J1905">
        <f>IF(Table13[[#This Row],[POS]]=0,1,0)</f>
        <v>1</v>
      </c>
      <c r="K1905">
        <f>SUM(Table13[[#This Row],[prefix]],Table13[[#This Row],[Past zero L]],Table13[[#This Row],[Past Zero R]],Table13[[#This Row],[Is Zero]])</f>
        <v>1</v>
      </c>
    </row>
    <row r="1906" spans="1:11" ht="16" x14ac:dyDescent="0.2">
      <c r="A1906" s="1" t="s">
        <v>185</v>
      </c>
      <c r="B1906" t="str">
        <f>LEFT(Table13[[#This Row],[Input]],1)</f>
        <v>R</v>
      </c>
      <c r="C1906">
        <f>_xlfn.LET(_xlpm.steps,SUBSTITUTE(Table13[[#This Row],[Input]],Table13[[#This Row],[Direction]],""),VALUE(IF(LEN(_xlpm.steps)&gt;2,RIGHT(_xlpm.steps,2),_xlpm.steps)))</f>
        <v>61</v>
      </c>
      <c r="D1906">
        <f>_xlfn.LET(_xlpm.steps,SUBSTITUTE(Table13[[#This Row],[Input]],Table13[[#This Row],[Direction]],""),VALUE(IF(LEN(_xlpm.steps)&gt;2,LEFT(_xlpm.steps,LEN(_xlpm.steps)-2),0)))</f>
        <v>0</v>
      </c>
      <c r="E1906">
        <f>_xlfn.LET(_xlpm.dir,Table13[[#This Row],[Direction]],
IF(_xlpm.dir="L",
    IF(G1905-Table13[[#This Row],[Steps]]&lt;0,100+(G1905-Table13[[#This Row],[Steps]]),G1905-Table13[[#This Row],[Steps]]),
))</f>
        <v>0</v>
      </c>
      <c r="F1906">
        <f>_xlfn.LET(_xlpm.dir,Table13[[#This Row],[Direction]],
IF(_xlpm.dir="R",
    IF(G1905+Table13[[#This Row],[Steps]]&gt;99,(G1905+Table13[[#This Row],[Steps]])-100,G1905+Table13[[#This Row],[Steps]]),
))</f>
        <v>61</v>
      </c>
      <c r="G1906">
        <f>IF(Table13[[#This Row],[New Pos L]]&lt;&gt;0,Table13[[#This Row],[New Pos L]],Table13[[#This Row],[New Pos R]])</f>
        <v>61</v>
      </c>
      <c r="H1906">
        <f>IF(AND(Table13[[#This Row],[Direction]]="L",Table13[[#This Row],[Steps]]&gt;G1905,G1905&lt;&gt;0),1,0)</f>
        <v>0</v>
      </c>
      <c r="I1906">
        <f>IF(AND(Table13[[#This Row],[Direction]]="R",(G1905+Table13[[#This Row],[Steps]])&gt;100),1,0)</f>
        <v>0</v>
      </c>
      <c r="J1906">
        <f>IF(Table13[[#This Row],[POS]]=0,1,0)</f>
        <v>0</v>
      </c>
      <c r="K1906">
        <f>SUM(Table13[[#This Row],[prefix]],Table13[[#This Row],[Past zero L]],Table13[[#This Row],[Past Zero R]],Table13[[#This Row],[Is Zero]])</f>
        <v>0</v>
      </c>
    </row>
    <row r="1907" spans="1:11" ht="16" x14ac:dyDescent="0.2">
      <c r="A1907" s="1" t="s">
        <v>102</v>
      </c>
      <c r="B1907" t="str">
        <f>LEFT(Table13[[#This Row],[Input]],1)</f>
        <v>R</v>
      </c>
      <c r="C1907">
        <f>_xlfn.LET(_xlpm.steps,SUBSTITUTE(Table13[[#This Row],[Input]],Table13[[#This Row],[Direction]],""),VALUE(IF(LEN(_xlpm.steps)&gt;2,RIGHT(_xlpm.steps,2),_xlpm.steps)))</f>
        <v>39</v>
      </c>
      <c r="D1907">
        <f>_xlfn.LET(_xlpm.steps,SUBSTITUTE(Table13[[#This Row],[Input]],Table13[[#This Row],[Direction]],""),VALUE(IF(LEN(_xlpm.steps)&gt;2,LEFT(_xlpm.steps,LEN(_xlpm.steps)-2),0)))</f>
        <v>0</v>
      </c>
      <c r="E1907">
        <f>_xlfn.LET(_xlpm.dir,Table13[[#This Row],[Direction]],
IF(_xlpm.dir="L",
    IF(G1906-Table13[[#This Row],[Steps]]&lt;0,100+(G1906-Table13[[#This Row],[Steps]]),G1906-Table13[[#This Row],[Steps]]),
))</f>
        <v>0</v>
      </c>
      <c r="F1907">
        <f>_xlfn.LET(_xlpm.dir,Table13[[#This Row],[Direction]],
IF(_xlpm.dir="R",
    IF(G1906+Table13[[#This Row],[Steps]]&gt;99,(G1906+Table13[[#This Row],[Steps]])-100,G1906+Table13[[#This Row],[Steps]]),
))</f>
        <v>0</v>
      </c>
      <c r="G1907">
        <f>IF(Table13[[#This Row],[New Pos L]]&lt;&gt;0,Table13[[#This Row],[New Pos L]],Table13[[#This Row],[New Pos R]])</f>
        <v>0</v>
      </c>
      <c r="H1907">
        <f>IF(AND(Table13[[#This Row],[Direction]]="L",Table13[[#This Row],[Steps]]&gt;G1906,G1906&lt;&gt;0),1,0)</f>
        <v>0</v>
      </c>
      <c r="I1907">
        <f>IF(AND(Table13[[#This Row],[Direction]]="R",(G1906+Table13[[#This Row],[Steps]])&gt;100),1,0)</f>
        <v>0</v>
      </c>
      <c r="J1907">
        <f>IF(Table13[[#This Row],[POS]]=0,1,0)</f>
        <v>1</v>
      </c>
      <c r="K1907">
        <f>SUM(Table13[[#This Row],[prefix]],Table13[[#This Row],[Past zero L]],Table13[[#This Row],[Past Zero R]],Table13[[#This Row],[Is Zero]])</f>
        <v>1</v>
      </c>
    </row>
    <row r="1908" spans="1:11" ht="16" x14ac:dyDescent="0.2">
      <c r="A1908" s="1" t="s">
        <v>357</v>
      </c>
      <c r="B1908" t="str">
        <f>LEFT(Table13[[#This Row],[Input]],1)</f>
        <v>R</v>
      </c>
      <c r="C1908">
        <f>_xlfn.LET(_xlpm.steps,SUBSTITUTE(Table13[[#This Row],[Input]],Table13[[#This Row],[Direction]],""),VALUE(IF(LEN(_xlpm.steps)&gt;2,RIGHT(_xlpm.steps,2),_xlpm.steps)))</f>
        <v>72</v>
      </c>
      <c r="D1908">
        <f>_xlfn.LET(_xlpm.steps,SUBSTITUTE(Table13[[#This Row],[Input]],Table13[[#This Row],[Direction]],""),VALUE(IF(LEN(_xlpm.steps)&gt;2,LEFT(_xlpm.steps,LEN(_xlpm.steps)-2),0)))</f>
        <v>0</v>
      </c>
      <c r="E1908">
        <f>_xlfn.LET(_xlpm.dir,Table13[[#This Row],[Direction]],
IF(_xlpm.dir="L",
    IF(G1907-Table13[[#This Row],[Steps]]&lt;0,100+(G1907-Table13[[#This Row],[Steps]]),G1907-Table13[[#This Row],[Steps]]),
))</f>
        <v>0</v>
      </c>
      <c r="F1908">
        <f>_xlfn.LET(_xlpm.dir,Table13[[#This Row],[Direction]],
IF(_xlpm.dir="R",
    IF(G1907+Table13[[#This Row],[Steps]]&gt;99,(G1907+Table13[[#This Row],[Steps]])-100,G1907+Table13[[#This Row],[Steps]]),
))</f>
        <v>72</v>
      </c>
      <c r="G1908">
        <f>IF(Table13[[#This Row],[New Pos L]]&lt;&gt;0,Table13[[#This Row],[New Pos L]],Table13[[#This Row],[New Pos R]])</f>
        <v>72</v>
      </c>
      <c r="H1908">
        <f>IF(AND(Table13[[#This Row],[Direction]]="L",Table13[[#This Row],[Steps]]&gt;G1907,G1907&lt;&gt;0),1,0)</f>
        <v>0</v>
      </c>
      <c r="I1908">
        <f>IF(AND(Table13[[#This Row],[Direction]]="R",(G1907+Table13[[#This Row],[Steps]])&gt;100),1,0)</f>
        <v>0</v>
      </c>
      <c r="J1908">
        <f>IF(Table13[[#This Row],[POS]]=0,1,0)</f>
        <v>0</v>
      </c>
      <c r="K1908">
        <f>SUM(Table13[[#This Row],[prefix]],Table13[[#This Row],[Past zero L]],Table13[[#This Row],[Past Zero R]],Table13[[#This Row],[Is Zero]])</f>
        <v>0</v>
      </c>
    </row>
    <row r="1909" spans="1:11" ht="16" x14ac:dyDescent="0.2">
      <c r="A1909" s="1" t="s">
        <v>527</v>
      </c>
      <c r="B1909" t="str">
        <f>LEFT(Table13[[#This Row],[Input]],1)</f>
        <v>L</v>
      </c>
      <c r="C1909">
        <f>_xlfn.LET(_xlpm.steps,SUBSTITUTE(Table13[[#This Row],[Input]],Table13[[#This Row],[Direction]],""),VALUE(IF(LEN(_xlpm.steps)&gt;2,RIGHT(_xlpm.steps,2),_xlpm.steps)))</f>
        <v>43</v>
      </c>
      <c r="D1909">
        <f>_xlfn.LET(_xlpm.steps,SUBSTITUTE(Table13[[#This Row],[Input]],Table13[[#This Row],[Direction]],""),VALUE(IF(LEN(_xlpm.steps)&gt;2,LEFT(_xlpm.steps,LEN(_xlpm.steps)-2),0)))</f>
        <v>3</v>
      </c>
      <c r="E1909">
        <f>_xlfn.LET(_xlpm.dir,Table13[[#This Row],[Direction]],
IF(_xlpm.dir="L",
    IF(G1908-Table13[[#This Row],[Steps]]&lt;0,100+(G1908-Table13[[#This Row],[Steps]]),G1908-Table13[[#This Row],[Steps]]),
))</f>
        <v>29</v>
      </c>
      <c r="F1909">
        <f>_xlfn.LET(_xlpm.dir,Table13[[#This Row],[Direction]],
IF(_xlpm.dir="R",
    IF(G1908+Table13[[#This Row],[Steps]]&gt;99,(G1908+Table13[[#This Row],[Steps]])-100,G1908+Table13[[#This Row],[Steps]]),
))</f>
        <v>0</v>
      </c>
      <c r="G1909">
        <f>IF(Table13[[#This Row],[New Pos L]]&lt;&gt;0,Table13[[#This Row],[New Pos L]],Table13[[#This Row],[New Pos R]])</f>
        <v>29</v>
      </c>
      <c r="H1909">
        <f>IF(AND(Table13[[#This Row],[Direction]]="L",Table13[[#This Row],[Steps]]&gt;G1908,G1908&lt;&gt;0),1,0)</f>
        <v>0</v>
      </c>
      <c r="I1909">
        <f>IF(AND(Table13[[#This Row],[Direction]]="R",(G1908+Table13[[#This Row],[Steps]])&gt;100),1,0)</f>
        <v>0</v>
      </c>
      <c r="J1909">
        <f>IF(Table13[[#This Row],[POS]]=0,1,0)</f>
        <v>0</v>
      </c>
      <c r="K1909">
        <f>SUM(Table13[[#This Row],[prefix]],Table13[[#This Row],[Past zero L]],Table13[[#This Row],[Past Zero R]],Table13[[#This Row],[Is Zero]])</f>
        <v>3</v>
      </c>
    </row>
    <row r="1910" spans="1:11" ht="16" x14ac:dyDescent="0.2">
      <c r="A1910" s="1" t="s">
        <v>528</v>
      </c>
      <c r="B1910" t="str">
        <f>LEFT(Table13[[#This Row],[Input]],1)</f>
        <v>L</v>
      </c>
      <c r="C1910">
        <f>_xlfn.LET(_xlpm.steps,SUBSTITUTE(Table13[[#This Row],[Input]],Table13[[#This Row],[Direction]],""),VALUE(IF(LEN(_xlpm.steps)&gt;2,RIGHT(_xlpm.steps,2),_xlpm.steps)))</f>
        <v>29</v>
      </c>
      <c r="D1910">
        <f>_xlfn.LET(_xlpm.steps,SUBSTITUTE(Table13[[#This Row],[Input]],Table13[[#This Row],[Direction]],""),VALUE(IF(LEN(_xlpm.steps)&gt;2,LEFT(_xlpm.steps,LEN(_xlpm.steps)-2),0)))</f>
        <v>7</v>
      </c>
      <c r="E1910">
        <f>_xlfn.LET(_xlpm.dir,Table13[[#This Row],[Direction]],
IF(_xlpm.dir="L",
    IF(G1909-Table13[[#This Row],[Steps]]&lt;0,100+(G1909-Table13[[#This Row],[Steps]]),G1909-Table13[[#This Row],[Steps]]),
))</f>
        <v>0</v>
      </c>
      <c r="F1910">
        <f>_xlfn.LET(_xlpm.dir,Table13[[#This Row],[Direction]],
IF(_xlpm.dir="R",
    IF(G1909+Table13[[#This Row],[Steps]]&gt;99,(G1909+Table13[[#This Row],[Steps]])-100,G1909+Table13[[#This Row],[Steps]]),
))</f>
        <v>0</v>
      </c>
      <c r="G1910">
        <f>IF(Table13[[#This Row],[New Pos L]]&lt;&gt;0,Table13[[#This Row],[New Pos L]],Table13[[#This Row],[New Pos R]])</f>
        <v>0</v>
      </c>
      <c r="H1910">
        <f>IF(AND(Table13[[#This Row],[Direction]]="L",Table13[[#This Row],[Steps]]&gt;G1909,G1909&lt;&gt;0),1,0)</f>
        <v>0</v>
      </c>
      <c r="I1910">
        <f>IF(AND(Table13[[#This Row],[Direction]]="R",(G1909+Table13[[#This Row],[Steps]])&gt;100),1,0)</f>
        <v>0</v>
      </c>
      <c r="J1910">
        <f>IF(Table13[[#This Row],[POS]]=0,1,0)</f>
        <v>1</v>
      </c>
      <c r="K1910">
        <f>SUM(Table13[[#This Row],[prefix]],Table13[[#This Row],[Past zero L]],Table13[[#This Row],[Past Zero R]],Table13[[#This Row],[Is Zero]])</f>
        <v>8</v>
      </c>
    </row>
    <row r="1911" spans="1:11" ht="16" x14ac:dyDescent="0.2">
      <c r="A1911" s="1" t="s">
        <v>89</v>
      </c>
      <c r="B1911" t="str">
        <f>LEFT(Table13[[#This Row],[Input]],1)</f>
        <v>L</v>
      </c>
      <c r="C1911">
        <f>_xlfn.LET(_xlpm.steps,SUBSTITUTE(Table13[[#This Row],[Input]],Table13[[#This Row],[Direction]],""),VALUE(IF(LEN(_xlpm.steps)&gt;2,RIGHT(_xlpm.steps,2),_xlpm.steps)))</f>
        <v>91</v>
      </c>
      <c r="D1911">
        <f>_xlfn.LET(_xlpm.steps,SUBSTITUTE(Table13[[#This Row],[Input]],Table13[[#This Row],[Direction]],""),VALUE(IF(LEN(_xlpm.steps)&gt;2,LEFT(_xlpm.steps,LEN(_xlpm.steps)-2),0)))</f>
        <v>0</v>
      </c>
      <c r="E1911">
        <f>_xlfn.LET(_xlpm.dir,Table13[[#This Row],[Direction]],
IF(_xlpm.dir="L",
    IF(G1910-Table13[[#This Row],[Steps]]&lt;0,100+(G1910-Table13[[#This Row],[Steps]]),G1910-Table13[[#This Row],[Steps]]),
))</f>
        <v>9</v>
      </c>
      <c r="F1911">
        <f>_xlfn.LET(_xlpm.dir,Table13[[#This Row],[Direction]],
IF(_xlpm.dir="R",
    IF(G1910+Table13[[#This Row],[Steps]]&gt;99,(G1910+Table13[[#This Row],[Steps]])-100,G1910+Table13[[#This Row],[Steps]]),
))</f>
        <v>0</v>
      </c>
      <c r="G1911">
        <f>IF(Table13[[#This Row],[New Pos L]]&lt;&gt;0,Table13[[#This Row],[New Pos L]],Table13[[#This Row],[New Pos R]])</f>
        <v>9</v>
      </c>
      <c r="H1911">
        <f>IF(AND(Table13[[#This Row],[Direction]]="L",Table13[[#This Row],[Steps]]&gt;G1910,G1910&lt;&gt;0),1,0)</f>
        <v>0</v>
      </c>
      <c r="I1911">
        <f>IF(AND(Table13[[#This Row],[Direction]]="R",(G1910+Table13[[#This Row],[Steps]])&gt;100),1,0)</f>
        <v>0</v>
      </c>
      <c r="J1911">
        <f>IF(Table13[[#This Row],[POS]]=0,1,0)</f>
        <v>0</v>
      </c>
      <c r="K1911">
        <f>SUM(Table13[[#This Row],[prefix]],Table13[[#This Row],[Past zero L]],Table13[[#This Row],[Past Zero R]],Table13[[#This Row],[Is Zero]])</f>
        <v>0</v>
      </c>
    </row>
    <row r="1912" spans="1:11" ht="16" x14ac:dyDescent="0.2">
      <c r="A1912" s="1" t="s">
        <v>529</v>
      </c>
      <c r="B1912" t="str">
        <f>LEFT(Table13[[#This Row],[Input]],1)</f>
        <v>L</v>
      </c>
      <c r="C1912">
        <f>_xlfn.LET(_xlpm.steps,SUBSTITUTE(Table13[[#This Row],[Input]],Table13[[#This Row],[Direction]],""),VALUE(IF(LEN(_xlpm.steps)&gt;2,RIGHT(_xlpm.steps,2),_xlpm.steps)))</f>
        <v>67</v>
      </c>
      <c r="D1912">
        <f>_xlfn.LET(_xlpm.steps,SUBSTITUTE(Table13[[#This Row],[Input]],Table13[[#This Row],[Direction]],""),VALUE(IF(LEN(_xlpm.steps)&gt;2,LEFT(_xlpm.steps,LEN(_xlpm.steps)-2),0)))</f>
        <v>7</v>
      </c>
      <c r="E1912">
        <f>_xlfn.LET(_xlpm.dir,Table13[[#This Row],[Direction]],
IF(_xlpm.dir="L",
    IF(G1911-Table13[[#This Row],[Steps]]&lt;0,100+(G1911-Table13[[#This Row],[Steps]]),G1911-Table13[[#This Row],[Steps]]),
))</f>
        <v>42</v>
      </c>
      <c r="F1912">
        <f>_xlfn.LET(_xlpm.dir,Table13[[#This Row],[Direction]],
IF(_xlpm.dir="R",
    IF(G1911+Table13[[#This Row],[Steps]]&gt;99,(G1911+Table13[[#This Row],[Steps]])-100,G1911+Table13[[#This Row],[Steps]]),
))</f>
        <v>0</v>
      </c>
      <c r="G1912">
        <f>IF(Table13[[#This Row],[New Pos L]]&lt;&gt;0,Table13[[#This Row],[New Pos L]],Table13[[#This Row],[New Pos R]])</f>
        <v>42</v>
      </c>
      <c r="H1912">
        <f>IF(AND(Table13[[#This Row],[Direction]]="L",Table13[[#This Row],[Steps]]&gt;G1911,G1911&lt;&gt;0),1,0)</f>
        <v>1</v>
      </c>
      <c r="I1912">
        <f>IF(AND(Table13[[#This Row],[Direction]]="R",(G1911+Table13[[#This Row],[Steps]])&gt;100),1,0)</f>
        <v>0</v>
      </c>
      <c r="J1912">
        <f>IF(Table13[[#This Row],[POS]]=0,1,0)</f>
        <v>0</v>
      </c>
      <c r="K1912">
        <f>SUM(Table13[[#This Row],[prefix]],Table13[[#This Row],[Past zero L]],Table13[[#This Row],[Past Zero R]],Table13[[#This Row],[Is Zero]])</f>
        <v>8</v>
      </c>
    </row>
    <row r="1913" spans="1:11" ht="16" x14ac:dyDescent="0.2">
      <c r="A1913" s="1" t="s">
        <v>16</v>
      </c>
      <c r="B1913" t="str">
        <f>LEFT(Table13[[#This Row],[Input]],1)</f>
        <v>L</v>
      </c>
      <c r="C1913">
        <f>_xlfn.LET(_xlpm.steps,SUBSTITUTE(Table13[[#This Row],[Input]],Table13[[#This Row],[Direction]],""),VALUE(IF(LEN(_xlpm.steps)&gt;2,RIGHT(_xlpm.steps,2),_xlpm.steps)))</f>
        <v>10</v>
      </c>
      <c r="D1913">
        <f>_xlfn.LET(_xlpm.steps,SUBSTITUTE(Table13[[#This Row],[Input]],Table13[[#This Row],[Direction]],""),VALUE(IF(LEN(_xlpm.steps)&gt;2,LEFT(_xlpm.steps,LEN(_xlpm.steps)-2),0)))</f>
        <v>0</v>
      </c>
      <c r="E1913">
        <f>_xlfn.LET(_xlpm.dir,Table13[[#This Row],[Direction]],
IF(_xlpm.dir="L",
    IF(G1912-Table13[[#This Row],[Steps]]&lt;0,100+(G1912-Table13[[#This Row],[Steps]]),G1912-Table13[[#This Row],[Steps]]),
))</f>
        <v>32</v>
      </c>
      <c r="F1913">
        <f>_xlfn.LET(_xlpm.dir,Table13[[#This Row],[Direction]],
IF(_xlpm.dir="R",
    IF(G1912+Table13[[#This Row],[Steps]]&gt;99,(G1912+Table13[[#This Row],[Steps]])-100,G1912+Table13[[#This Row],[Steps]]),
))</f>
        <v>0</v>
      </c>
      <c r="G1913">
        <f>IF(Table13[[#This Row],[New Pos L]]&lt;&gt;0,Table13[[#This Row],[New Pos L]],Table13[[#This Row],[New Pos R]])</f>
        <v>32</v>
      </c>
      <c r="H1913">
        <f>IF(AND(Table13[[#This Row],[Direction]]="L",Table13[[#This Row],[Steps]]&gt;G1912,G1912&lt;&gt;0),1,0)</f>
        <v>0</v>
      </c>
      <c r="I1913">
        <f>IF(AND(Table13[[#This Row],[Direction]]="R",(G1912+Table13[[#This Row],[Steps]])&gt;100),1,0)</f>
        <v>0</v>
      </c>
      <c r="J1913">
        <f>IF(Table13[[#This Row],[POS]]=0,1,0)</f>
        <v>0</v>
      </c>
      <c r="K1913">
        <f>SUM(Table13[[#This Row],[prefix]],Table13[[#This Row],[Past zero L]],Table13[[#This Row],[Past Zero R]],Table13[[#This Row],[Is Zero]])</f>
        <v>0</v>
      </c>
    </row>
    <row r="1914" spans="1:11" ht="16" x14ac:dyDescent="0.2">
      <c r="A1914" s="1" t="s">
        <v>20</v>
      </c>
      <c r="B1914" t="str">
        <f>LEFT(Table13[[#This Row],[Input]],1)</f>
        <v>R</v>
      </c>
      <c r="C1914">
        <f>_xlfn.LET(_xlpm.steps,SUBSTITUTE(Table13[[#This Row],[Input]],Table13[[#This Row],[Direction]],""),VALUE(IF(LEN(_xlpm.steps)&gt;2,RIGHT(_xlpm.steps,2),_xlpm.steps)))</f>
        <v>46</v>
      </c>
      <c r="D1914">
        <f>_xlfn.LET(_xlpm.steps,SUBSTITUTE(Table13[[#This Row],[Input]],Table13[[#This Row],[Direction]],""),VALUE(IF(LEN(_xlpm.steps)&gt;2,LEFT(_xlpm.steps,LEN(_xlpm.steps)-2),0)))</f>
        <v>0</v>
      </c>
      <c r="E1914">
        <f>_xlfn.LET(_xlpm.dir,Table13[[#This Row],[Direction]],
IF(_xlpm.dir="L",
    IF(G1913-Table13[[#This Row],[Steps]]&lt;0,100+(G1913-Table13[[#This Row],[Steps]]),G1913-Table13[[#This Row],[Steps]]),
))</f>
        <v>0</v>
      </c>
      <c r="F1914">
        <f>_xlfn.LET(_xlpm.dir,Table13[[#This Row],[Direction]],
IF(_xlpm.dir="R",
    IF(G1913+Table13[[#This Row],[Steps]]&gt;99,(G1913+Table13[[#This Row],[Steps]])-100,G1913+Table13[[#This Row],[Steps]]),
))</f>
        <v>78</v>
      </c>
      <c r="G1914">
        <f>IF(Table13[[#This Row],[New Pos L]]&lt;&gt;0,Table13[[#This Row],[New Pos L]],Table13[[#This Row],[New Pos R]])</f>
        <v>78</v>
      </c>
      <c r="H1914">
        <f>IF(AND(Table13[[#This Row],[Direction]]="L",Table13[[#This Row],[Steps]]&gt;G1913,G1913&lt;&gt;0),1,0)</f>
        <v>0</v>
      </c>
      <c r="I1914">
        <f>IF(AND(Table13[[#This Row],[Direction]]="R",(G1913+Table13[[#This Row],[Steps]])&gt;100),1,0)</f>
        <v>0</v>
      </c>
      <c r="J1914">
        <f>IF(Table13[[#This Row],[POS]]=0,1,0)</f>
        <v>0</v>
      </c>
      <c r="K1914">
        <f>SUM(Table13[[#This Row],[prefix]],Table13[[#This Row],[Past zero L]],Table13[[#This Row],[Past Zero R]],Table13[[#This Row],[Is Zero]])</f>
        <v>0</v>
      </c>
    </row>
    <row r="1915" spans="1:11" ht="16" x14ac:dyDescent="0.2">
      <c r="A1915" s="1" t="s">
        <v>95</v>
      </c>
      <c r="B1915" t="str">
        <f>LEFT(Table13[[#This Row],[Input]],1)</f>
        <v>L</v>
      </c>
      <c r="C1915">
        <f>_xlfn.LET(_xlpm.steps,SUBSTITUTE(Table13[[#This Row],[Input]],Table13[[#This Row],[Direction]],""),VALUE(IF(LEN(_xlpm.steps)&gt;2,RIGHT(_xlpm.steps,2),_xlpm.steps)))</f>
        <v>78</v>
      </c>
      <c r="D1915">
        <f>_xlfn.LET(_xlpm.steps,SUBSTITUTE(Table13[[#This Row],[Input]],Table13[[#This Row],[Direction]],""),VALUE(IF(LEN(_xlpm.steps)&gt;2,LEFT(_xlpm.steps,LEN(_xlpm.steps)-2),0)))</f>
        <v>0</v>
      </c>
      <c r="E1915">
        <f>_xlfn.LET(_xlpm.dir,Table13[[#This Row],[Direction]],
IF(_xlpm.dir="L",
    IF(G1914-Table13[[#This Row],[Steps]]&lt;0,100+(G1914-Table13[[#This Row],[Steps]]),G1914-Table13[[#This Row],[Steps]]),
))</f>
        <v>0</v>
      </c>
      <c r="F1915">
        <f>_xlfn.LET(_xlpm.dir,Table13[[#This Row],[Direction]],
IF(_xlpm.dir="R",
    IF(G1914+Table13[[#This Row],[Steps]]&gt;99,(G1914+Table13[[#This Row],[Steps]])-100,G1914+Table13[[#This Row],[Steps]]),
))</f>
        <v>0</v>
      </c>
      <c r="G1915">
        <f>IF(Table13[[#This Row],[New Pos L]]&lt;&gt;0,Table13[[#This Row],[New Pos L]],Table13[[#This Row],[New Pos R]])</f>
        <v>0</v>
      </c>
      <c r="H1915">
        <f>IF(AND(Table13[[#This Row],[Direction]]="L",Table13[[#This Row],[Steps]]&gt;G1914,G1914&lt;&gt;0),1,0)</f>
        <v>0</v>
      </c>
      <c r="I1915">
        <f>IF(AND(Table13[[#This Row],[Direction]]="R",(G1914+Table13[[#This Row],[Steps]])&gt;100),1,0)</f>
        <v>0</v>
      </c>
      <c r="J1915">
        <f>IF(Table13[[#This Row],[POS]]=0,1,0)</f>
        <v>1</v>
      </c>
      <c r="K1915">
        <f>SUM(Table13[[#This Row],[prefix]],Table13[[#This Row],[Past zero L]],Table13[[#This Row],[Past Zero R]],Table13[[#This Row],[Is Zero]])</f>
        <v>1</v>
      </c>
    </row>
    <row r="1916" spans="1:11" ht="16" x14ac:dyDescent="0.2">
      <c r="A1916" s="1" t="s">
        <v>344</v>
      </c>
      <c r="B1916" t="str">
        <f>LEFT(Table13[[#This Row],[Input]],1)</f>
        <v>R</v>
      </c>
      <c r="C1916">
        <f>_xlfn.LET(_xlpm.steps,SUBSTITUTE(Table13[[#This Row],[Input]],Table13[[#This Row],[Direction]],""),VALUE(IF(LEN(_xlpm.steps)&gt;2,RIGHT(_xlpm.steps,2),_xlpm.steps)))</f>
        <v>9</v>
      </c>
      <c r="D1916">
        <f>_xlfn.LET(_xlpm.steps,SUBSTITUTE(Table13[[#This Row],[Input]],Table13[[#This Row],[Direction]],""),VALUE(IF(LEN(_xlpm.steps)&gt;2,LEFT(_xlpm.steps,LEN(_xlpm.steps)-2),0)))</f>
        <v>0</v>
      </c>
      <c r="E1916">
        <f>_xlfn.LET(_xlpm.dir,Table13[[#This Row],[Direction]],
IF(_xlpm.dir="L",
    IF(G1915-Table13[[#This Row],[Steps]]&lt;0,100+(G1915-Table13[[#This Row],[Steps]]),G1915-Table13[[#This Row],[Steps]]),
))</f>
        <v>0</v>
      </c>
      <c r="F1916">
        <f>_xlfn.LET(_xlpm.dir,Table13[[#This Row],[Direction]],
IF(_xlpm.dir="R",
    IF(G1915+Table13[[#This Row],[Steps]]&gt;99,(G1915+Table13[[#This Row],[Steps]])-100,G1915+Table13[[#This Row],[Steps]]),
))</f>
        <v>9</v>
      </c>
      <c r="G1916">
        <f>IF(Table13[[#This Row],[New Pos L]]&lt;&gt;0,Table13[[#This Row],[New Pos L]],Table13[[#This Row],[New Pos R]])</f>
        <v>9</v>
      </c>
      <c r="H1916">
        <f>IF(AND(Table13[[#This Row],[Direction]]="L",Table13[[#This Row],[Steps]]&gt;G1915,G1915&lt;&gt;0),1,0)</f>
        <v>0</v>
      </c>
      <c r="I1916">
        <f>IF(AND(Table13[[#This Row],[Direction]]="R",(G1915+Table13[[#This Row],[Steps]])&gt;100),1,0)</f>
        <v>0</v>
      </c>
      <c r="J1916">
        <f>IF(Table13[[#This Row],[POS]]=0,1,0)</f>
        <v>0</v>
      </c>
      <c r="K1916">
        <f>SUM(Table13[[#This Row],[prefix]],Table13[[#This Row],[Past zero L]],Table13[[#This Row],[Past Zero R]],Table13[[#This Row],[Is Zero]])</f>
        <v>0</v>
      </c>
    </row>
    <row r="1917" spans="1:11" ht="16" x14ac:dyDescent="0.2">
      <c r="A1917" s="1" t="s">
        <v>217</v>
      </c>
      <c r="B1917" t="str">
        <f>LEFT(Table13[[#This Row],[Input]],1)</f>
        <v>R</v>
      </c>
      <c r="C1917">
        <f>_xlfn.LET(_xlpm.steps,SUBSTITUTE(Table13[[#This Row],[Input]],Table13[[#This Row],[Direction]],""),VALUE(IF(LEN(_xlpm.steps)&gt;2,RIGHT(_xlpm.steps,2),_xlpm.steps)))</f>
        <v>91</v>
      </c>
      <c r="D1917">
        <f>_xlfn.LET(_xlpm.steps,SUBSTITUTE(Table13[[#This Row],[Input]],Table13[[#This Row],[Direction]],""),VALUE(IF(LEN(_xlpm.steps)&gt;2,LEFT(_xlpm.steps,LEN(_xlpm.steps)-2),0)))</f>
        <v>0</v>
      </c>
      <c r="E1917">
        <f>_xlfn.LET(_xlpm.dir,Table13[[#This Row],[Direction]],
IF(_xlpm.dir="L",
    IF(G1916-Table13[[#This Row],[Steps]]&lt;0,100+(G1916-Table13[[#This Row],[Steps]]),G1916-Table13[[#This Row],[Steps]]),
))</f>
        <v>0</v>
      </c>
      <c r="F1917">
        <f>_xlfn.LET(_xlpm.dir,Table13[[#This Row],[Direction]],
IF(_xlpm.dir="R",
    IF(G1916+Table13[[#This Row],[Steps]]&gt;99,(G1916+Table13[[#This Row],[Steps]])-100,G1916+Table13[[#This Row],[Steps]]),
))</f>
        <v>0</v>
      </c>
      <c r="G1917">
        <f>IF(Table13[[#This Row],[New Pos L]]&lt;&gt;0,Table13[[#This Row],[New Pos L]],Table13[[#This Row],[New Pos R]])</f>
        <v>0</v>
      </c>
      <c r="H1917">
        <f>IF(AND(Table13[[#This Row],[Direction]]="L",Table13[[#This Row],[Steps]]&gt;G1916,G1916&lt;&gt;0),1,0)</f>
        <v>0</v>
      </c>
      <c r="I1917">
        <f>IF(AND(Table13[[#This Row],[Direction]]="R",(G1916+Table13[[#This Row],[Steps]])&gt;100),1,0)</f>
        <v>0</v>
      </c>
      <c r="J1917">
        <f>IF(Table13[[#This Row],[POS]]=0,1,0)</f>
        <v>1</v>
      </c>
      <c r="K1917">
        <f>SUM(Table13[[#This Row],[prefix]],Table13[[#This Row],[Past zero L]],Table13[[#This Row],[Past Zero R]],Table13[[#This Row],[Is Zero]])</f>
        <v>1</v>
      </c>
    </row>
    <row r="1918" spans="1:11" ht="16" x14ac:dyDescent="0.2">
      <c r="A1918" s="1" t="s">
        <v>89</v>
      </c>
      <c r="B1918" t="str">
        <f>LEFT(Table13[[#This Row],[Input]],1)</f>
        <v>L</v>
      </c>
      <c r="C1918">
        <f>_xlfn.LET(_xlpm.steps,SUBSTITUTE(Table13[[#This Row],[Input]],Table13[[#This Row],[Direction]],""),VALUE(IF(LEN(_xlpm.steps)&gt;2,RIGHT(_xlpm.steps,2),_xlpm.steps)))</f>
        <v>91</v>
      </c>
      <c r="D1918">
        <f>_xlfn.LET(_xlpm.steps,SUBSTITUTE(Table13[[#This Row],[Input]],Table13[[#This Row],[Direction]],""),VALUE(IF(LEN(_xlpm.steps)&gt;2,LEFT(_xlpm.steps,LEN(_xlpm.steps)-2),0)))</f>
        <v>0</v>
      </c>
      <c r="E1918">
        <f>_xlfn.LET(_xlpm.dir,Table13[[#This Row],[Direction]],
IF(_xlpm.dir="L",
    IF(G1917-Table13[[#This Row],[Steps]]&lt;0,100+(G1917-Table13[[#This Row],[Steps]]),G1917-Table13[[#This Row],[Steps]]),
))</f>
        <v>9</v>
      </c>
      <c r="F1918">
        <f>_xlfn.LET(_xlpm.dir,Table13[[#This Row],[Direction]],
IF(_xlpm.dir="R",
    IF(G1917+Table13[[#This Row],[Steps]]&gt;99,(G1917+Table13[[#This Row],[Steps]])-100,G1917+Table13[[#This Row],[Steps]]),
))</f>
        <v>0</v>
      </c>
      <c r="G1918">
        <f>IF(Table13[[#This Row],[New Pos L]]&lt;&gt;0,Table13[[#This Row],[New Pos L]],Table13[[#This Row],[New Pos R]])</f>
        <v>9</v>
      </c>
      <c r="H1918">
        <f>IF(AND(Table13[[#This Row],[Direction]]="L",Table13[[#This Row],[Steps]]&gt;G1917,G1917&lt;&gt;0),1,0)</f>
        <v>0</v>
      </c>
      <c r="I1918">
        <f>IF(AND(Table13[[#This Row],[Direction]]="R",(G1917+Table13[[#This Row],[Steps]])&gt;100),1,0)</f>
        <v>0</v>
      </c>
      <c r="J1918">
        <f>IF(Table13[[#This Row],[POS]]=0,1,0)</f>
        <v>0</v>
      </c>
      <c r="K1918">
        <f>SUM(Table13[[#This Row],[prefix]],Table13[[#This Row],[Past zero L]],Table13[[#This Row],[Past Zero R]],Table13[[#This Row],[Is Zero]])</f>
        <v>0</v>
      </c>
    </row>
    <row r="1919" spans="1:11" ht="16" x14ac:dyDescent="0.2">
      <c r="A1919" s="1" t="s">
        <v>223</v>
      </c>
      <c r="B1919" t="str">
        <f>LEFT(Table13[[#This Row],[Input]],1)</f>
        <v>L</v>
      </c>
      <c r="C1919">
        <f>_xlfn.LET(_xlpm.steps,SUBSTITUTE(Table13[[#This Row],[Input]],Table13[[#This Row],[Direction]],""),VALUE(IF(LEN(_xlpm.steps)&gt;2,RIGHT(_xlpm.steps,2),_xlpm.steps)))</f>
        <v>87</v>
      </c>
      <c r="D1919">
        <f>_xlfn.LET(_xlpm.steps,SUBSTITUTE(Table13[[#This Row],[Input]],Table13[[#This Row],[Direction]],""),VALUE(IF(LEN(_xlpm.steps)&gt;2,LEFT(_xlpm.steps,LEN(_xlpm.steps)-2),0)))</f>
        <v>0</v>
      </c>
      <c r="E1919">
        <f>_xlfn.LET(_xlpm.dir,Table13[[#This Row],[Direction]],
IF(_xlpm.dir="L",
    IF(G1918-Table13[[#This Row],[Steps]]&lt;0,100+(G1918-Table13[[#This Row],[Steps]]),G1918-Table13[[#This Row],[Steps]]),
))</f>
        <v>22</v>
      </c>
      <c r="F1919">
        <f>_xlfn.LET(_xlpm.dir,Table13[[#This Row],[Direction]],
IF(_xlpm.dir="R",
    IF(G1918+Table13[[#This Row],[Steps]]&gt;99,(G1918+Table13[[#This Row],[Steps]])-100,G1918+Table13[[#This Row],[Steps]]),
))</f>
        <v>0</v>
      </c>
      <c r="G1919">
        <f>IF(Table13[[#This Row],[New Pos L]]&lt;&gt;0,Table13[[#This Row],[New Pos L]],Table13[[#This Row],[New Pos R]])</f>
        <v>22</v>
      </c>
      <c r="H1919">
        <f>IF(AND(Table13[[#This Row],[Direction]]="L",Table13[[#This Row],[Steps]]&gt;G1918,G1918&lt;&gt;0),1,0)</f>
        <v>1</v>
      </c>
      <c r="I1919">
        <f>IF(AND(Table13[[#This Row],[Direction]]="R",(G1918+Table13[[#This Row],[Steps]])&gt;100),1,0)</f>
        <v>0</v>
      </c>
      <c r="J1919">
        <f>IF(Table13[[#This Row],[POS]]=0,1,0)</f>
        <v>0</v>
      </c>
      <c r="K1919">
        <f>SUM(Table13[[#This Row],[prefix]],Table13[[#This Row],[Past zero L]],Table13[[#This Row],[Past Zero R]],Table13[[#This Row],[Is Zero]])</f>
        <v>1</v>
      </c>
    </row>
    <row r="1920" spans="1:11" ht="16" x14ac:dyDescent="0.2">
      <c r="A1920" s="1" t="s">
        <v>530</v>
      </c>
      <c r="B1920" t="str">
        <f>LEFT(Table13[[#This Row],[Input]],1)</f>
        <v>L</v>
      </c>
      <c r="C1920">
        <f>_xlfn.LET(_xlpm.steps,SUBSTITUTE(Table13[[#This Row],[Input]],Table13[[#This Row],[Direction]],""),VALUE(IF(LEN(_xlpm.steps)&gt;2,RIGHT(_xlpm.steps,2),_xlpm.steps)))</f>
        <v>22</v>
      </c>
      <c r="D1920">
        <f>_xlfn.LET(_xlpm.steps,SUBSTITUTE(Table13[[#This Row],[Input]],Table13[[#This Row],[Direction]],""),VALUE(IF(LEN(_xlpm.steps)&gt;2,LEFT(_xlpm.steps,LEN(_xlpm.steps)-2),0)))</f>
        <v>6</v>
      </c>
      <c r="E1920">
        <f>_xlfn.LET(_xlpm.dir,Table13[[#This Row],[Direction]],
IF(_xlpm.dir="L",
    IF(G1919-Table13[[#This Row],[Steps]]&lt;0,100+(G1919-Table13[[#This Row],[Steps]]),G1919-Table13[[#This Row],[Steps]]),
))</f>
        <v>0</v>
      </c>
      <c r="F1920">
        <f>_xlfn.LET(_xlpm.dir,Table13[[#This Row],[Direction]],
IF(_xlpm.dir="R",
    IF(G1919+Table13[[#This Row],[Steps]]&gt;99,(G1919+Table13[[#This Row],[Steps]])-100,G1919+Table13[[#This Row],[Steps]]),
))</f>
        <v>0</v>
      </c>
      <c r="G1920">
        <f>IF(Table13[[#This Row],[New Pos L]]&lt;&gt;0,Table13[[#This Row],[New Pos L]],Table13[[#This Row],[New Pos R]])</f>
        <v>0</v>
      </c>
      <c r="H1920">
        <f>IF(AND(Table13[[#This Row],[Direction]]="L",Table13[[#This Row],[Steps]]&gt;G1919,G1919&lt;&gt;0),1,0)</f>
        <v>0</v>
      </c>
      <c r="I1920">
        <f>IF(AND(Table13[[#This Row],[Direction]]="R",(G1919+Table13[[#This Row],[Steps]])&gt;100),1,0)</f>
        <v>0</v>
      </c>
      <c r="J1920">
        <f>IF(Table13[[#This Row],[POS]]=0,1,0)</f>
        <v>1</v>
      </c>
      <c r="K1920">
        <f>SUM(Table13[[#This Row],[prefix]],Table13[[#This Row],[Past zero L]],Table13[[#This Row],[Past Zero R]],Table13[[#This Row],[Is Zero]])</f>
        <v>7</v>
      </c>
    </row>
    <row r="1921" spans="1:11" ht="16" x14ac:dyDescent="0.2">
      <c r="A1921" s="1" t="s">
        <v>19</v>
      </c>
      <c r="B1921" t="str">
        <f>LEFT(Table13[[#This Row],[Input]],1)</f>
        <v>R</v>
      </c>
      <c r="C1921">
        <f>_xlfn.LET(_xlpm.steps,SUBSTITUTE(Table13[[#This Row],[Input]],Table13[[#This Row],[Direction]],""),VALUE(IF(LEN(_xlpm.steps)&gt;2,RIGHT(_xlpm.steps,2),_xlpm.steps)))</f>
        <v>47</v>
      </c>
      <c r="D1921">
        <f>_xlfn.LET(_xlpm.steps,SUBSTITUTE(Table13[[#This Row],[Input]],Table13[[#This Row],[Direction]],""),VALUE(IF(LEN(_xlpm.steps)&gt;2,LEFT(_xlpm.steps,LEN(_xlpm.steps)-2),0)))</f>
        <v>0</v>
      </c>
      <c r="E1921">
        <f>_xlfn.LET(_xlpm.dir,Table13[[#This Row],[Direction]],
IF(_xlpm.dir="L",
    IF(G1920-Table13[[#This Row],[Steps]]&lt;0,100+(G1920-Table13[[#This Row],[Steps]]),G1920-Table13[[#This Row],[Steps]]),
))</f>
        <v>0</v>
      </c>
      <c r="F1921">
        <f>_xlfn.LET(_xlpm.dir,Table13[[#This Row],[Direction]],
IF(_xlpm.dir="R",
    IF(G1920+Table13[[#This Row],[Steps]]&gt;99,(G1920+Table13[[#This Row],[Steps]])-100,G1920+Table13[[#This Row],[Steps]]),
))</f>
        <v>47</v>
      </c>
      <c r="G1921">
        <f>IF(Table13[[#This Row],[New Pos L]]&lt;&gt;0,Table13[[#This Row],[New Pos L]],Table13[[#This Row],[New Pos R]])</f>
        <v>47</v>
      </c>
      <c r="H1921">
        <f>IF(AND(Table13[[#This Row],[Direction]]="L",Table13[[#This Row],[Steps]]&gt;G1920,G1920&lt;&gt;0),1,0)</f>
        <v>0</v>
      </c>
      <c r="I1921">
        <f>IF(AND(Table13[[#This Row],[Direction]]="R",(G1920+Table13[[#This Row],[Steps]])&gt;100),1,0)</f>
        <v>0</v>
      </c>
      <c r="J1921">
        <f>IF(Table13[[#This Row],[POS]]=0,1,0)</f>
        <v>0</v>
      </c>
      <c r="K1921">
        <f>SUM(Table13[[#This Row],[prefix]],Table13[[#This Row],[Past zero L]],Table13[[#This Row],[Past Zero R]],Table13[[#This Row],[Is Zero]])</f>
        <v>0</v>
      </c>
    </row>
    <row r="1922" spans="1:11" ht="16" x14ac:dyDescent="0.2">
      <c r="A1922" s="1" t="s">
        <v>330</v>
      </c>
      <c r="B1922" t="str">
        <f>LEFT(Table13[[#This Row],[Input]],1)</f>
        <v>L</v>
      </c>
      <c r="C1922">
        <f>_xlfn.LET(_xlpm.steps,SUBSTITUTE(Table13[[#This Row],[Input]],Table13[[#This Row],[Direction]],""),VALUE(IF(LEN(_xlpm.steps)&gt;2,RIGHT(_xlpm.steps,2),_xlpm.steps)))</f>
        <v>47</v>
      </c>
      <c r="D1922">
        <f>_xlfn.LET(_xlpm.steps,SUBSTITUTE(Table13[[#This Row],[Input]],Table13[[#This Row],[Direction]],""),VALUE(IF(LEN(_xlpm.steps)&gt;2,LEFT(_xlpm.steps,LEN(_xlpm.steps)-2),0)))</f>
        <v>0</v>
      </c>
      <c r="E1922">
        <f>_xlfn.LET(_xlpm.dir,Table13[[#This Row],[Direction]],
IF(_xlpm.dir="L",
    IF(G1921-Table13[[#This Row],[Steps]]&lt;0,100+(G1921-Table13[[#This Row],[Steps]]),G1921-Table13[[#This Row],[Steps]]),
))</f>
        <v>0</v>
      </c>
      <c r="F1922">
        <f>_xlfn.LET(_xlpm.dir,Table13[[#This Row],[Direction]],
IF(_xlpm.dir="R",
    IF(G1921+Table13[[#This Row],[Steps]]&gt;99,(G1921+Table13[[#This Row],[Steps]])-100,G1921+Table13[[#This Row],[Steps]]),
))</f>
        <v>0</v>
      </c>
      <c r="G1922">
        <f>IF(Table13[[#This Row],[New Pos L]]&lt;&gt;0,Table13[[#This Row],[New Pos L]],Table13[[#This Row],[New Pos R]])</f>
        <v>0</v>
      </c>
      <c r="H1922">
        <f>IF(AND(Table13[[#This Row],[Direction]]="L",Table13[[#This Row],[Steps]]&gt;G1921,G1921&lt;&gt;0),1,0)</f>
        <v>0</v>
      </c>
      <c r="I1922">
        <f>IF(AND(Table13[[#This Row],[Direction]]="R",(G1921+Table13[[#This Row],[Steps]])&gt;100),1,0)</f>
        <v>0</v>
      </c>
      <c r="J1922">
        <f>IF(Table13[[#This Row],[POS]]=0,1,0)</f>
        <v>1</v>
      </c>
      <c r="K1922">
        <f>SUM(Table13[[#This Row],[prefix]],Table13[[#This Row],[Past zero L]],Table13[[#This Row],[Past Zero R]],Table13[[#This Row],[Is Zero]])</f>
        <v>1</v>
      </c>
    </row>
    <row r="1923" spans="1:11" ht="16" x14ac:dyDescent="0.2">
      <c r="A1923" s="1" t="s">
        <v>525</v>
      </c>
      <c r="B1923" t="str">
        <f>LEFT(Table13[[#This Row],[Input]],1)</f>
        <v>R</v>
      </c>
      <c r="C1923">
        <f>_xlfn.LET(_xlpm.steps,SUBSTITUTE(Table13[[#This Row],[Input]],Table13[[#This Row],[Direction]],""),VALUE(IF(LEN(_xlpm.steps)&gt;2,RIGHT(_xlpm.steps,2),_xlpm.steps)))</f>
        <v>26</v>
      </c>
      <c r="D1923">
        <f>_xlfn.LET(_xlpm.steps,SUBSTITUTE(Table13[[#This Row],[Input]],Table13[[#This Row],[Direction]],""),VALUE(IF(LEN(_xlpm.steps)&gt;2,LEFT(_xlpm.steps,LEN(_xlpm.steps)-2),0)))</f>
        <v>8</v>
      </c>
      <c r="E1923">
        <f>_xlfn.LET(_xlpm.dir,Table13[[#This Row],[Direction]],
IF(_xlpm.dir="L",
    IF(G1922-Table13[[#This Row],[Steps]]&lt;0,100+(G1922-Table13[[#This Row],[Steps]]),G1922-Table13[[#This Row],[Steps]]),
))</f>
        <v>0</v>
      </c>
      <c r="F1923">
        <f>_xlfn.LET(_xlpm.dir,Table13[[#This Row],[Direction]],
IF(_xlpm.dir="R",
    IF(G1922+Table13[[#This Row],[Steps]]&gt;99,(G1922+Table13[[#This Row],[Steps]])-100,G1922+Table13[[#This Row],[Steps]]),
))</f>
        <v>26</v>
      </c>
      <c r="G1923">
        <f>IF(Table13[[#This Row],[New Pos L]]&lt;&gt;0,Table13[[#This Row],[New Pos L]],Table13[[#This Row],[New Pos R]])</f>
        <v>26</v>
      </c>
      <c r="H1923">
        <f>IF(AND(Table13[[#This Row],[Direction]]="L",Table13[[#This Row],[Steps]]&gt;G1922,G1922&lt;&gt;0),1,0)</f>
        <v>0</v>
      </c>
      <c r="I1923">
        <f>IF(AND(Table13[[#This Row],[Direction]]="R",(G1922+Table13[[#This Row],[Steps]])&gt;100),1,0)</f>
        <v>0</v>
      </c>
      <c r="J1923">
        <f>IF(Table13[[#This Row],[POS]]=0,1,0)</f>
        <v>0</v>
      </c>
      <c r="K1923">
        <f>SUM(Table13[[#This Row],[prefix]],Table13[[#This Row],[Past zero L]],Table13[[#This Row],[Past Zero R]],Table13[[#This Row],[Is Zero]])</f>
        <v>8</v>
      </c>
    </row>
    <row r="1924" spans="1:11" ht="16" x14ac:dyDescent="0.2">
      <c r="A1924" s="1" t="s">
        <v>45</v>
      </c>
      <c r="B1924" t="str">
        <f>LEFT(Table13[[#This Row],[Input]],1)</f>
        <v>L</v>
      </c>
      <c r="C1924">
        <f>_xlfn.LET(_xlpm.steps,SUBSTITUTE(Table13[[#This Row],[Input]],Table13[[#This Row],[Direction]],""),VALUE(IF(LEN(_xlpm.steps)&gt;2,RIGHT(_xlpm.steps,2),_xlpm.steps)))</f>
        <v>96</v>
      </c>
      <c r="D1924">
        <f>_xlfn.LET(_xlpm.steps,SUBSTITUTE(Table13[[#This Row],[Input]],Table13[[#This Row],[Direction]],""),VALUE(IF(LEN(_xlpm.steps)&gt;2,LEFT(_xlpm.steps,LEN(_xlpm.steps)-2),0)))</f>
        <v>0</v>
      </c>
      <c r="E1924">
        <f>_xlfn.LET(_xlpm.dir,Table13[[#This Row],[Direction]],
IF(_xlpm.dir="L",
    IF(G1923-Table13[[#This Row],[Steps]]&lt;0,100+(G1923-Table13[[#This Row],[Steps]]),G1923-Table13[[#This Row],[Steps]]),
))</f>
        <v>30</v>
      </c>
      <c r="F1924">
        <f>_xlfn.LET(_xlpm.dir,Table13[[#This Row],[Direction]],
IF(_xlpm.dir="R",
    IF(G1923+Table13[[#This Row],[Steps]]&gt;99,(G1923+Table13[[#This Row],[Steps]])-100,G1923+Table13[[#This Row],[Steps]]),
))</f>
        <v>0</v>
      </c>
      <c r="G1924">
        <f>IF(Table13[[#This Row],[New Pos L]]&lt;&gt;0,Table13[[#This Row],[New Pos L]],Table13[[#This Row],[New Pos R]])</f>
        <v>30</v>
      </c>
      <c r="H1924">
        <f>IF(AND(Table13[[#This Row],[Direction]]="L",Table13[[#This Row],[Steps]]&gt;G1923,G1923&lt;&gt;0),1,0)</f>
        <v>1</v>
      </c>
      <c r="I1924">
        <f>IF(AND(Table13[[#This Row],[Direction]]="R",(G1923+Table13[[#This Row],[Steps]])&gt;100),1,0)</f>
        <v>0</v>
      </c>
      <c r="J1924">
        <f>IF(Table13[[#This Row],[POS]]=0,1,0)</f>
        <v>0</v>
      </c>
      <c r="K1924">
        <f>SUM(Table13[[#This Row],[prefix]],Table13[[#This Row],[Past zero L]],Table13[[#This Row],[Past Zero R]],Table13[[#This Row],[Is Zero]])</f>
        <v>1</v>
      </c>
    </row>
    <row r="1925" spans="1:11" ht="16" x14ac:dyDescent="0.2">
      <c r="A1925" s="1" t="s">
        <v>357</v>
      </c>
      <c r="B1925" t="str">
        <f>LEFT(Table13[[#This Row],[Input]],1)</f>
        <v>R</v>
      </c>
      <c r="C1925">
        <f>_xlfn.LET(_xlpm.steps,SUBSTITUTE(Table13[[#This Row],[Input]],Table13[[#This Row],[Direction]],""),VALUE(IF(LEN(_xlpm.steps)&gt;2,RIGHT(_xlpm.steps,2),_xlpm.steps)))</f>
        <v>72</v>
      </c>
      <c r="D1925">
        <f>_xlfn.LET(_xlpm.steps,SUBSTITUTE(Table13[[#This Row],[Input]],Table13[[#This Row],[Direction]],""),VALUE(IF(LEN(_xlpm.steps)&gt;2,LEFT(_xlpm.steps,LEN(_xlpm.steps)-2),0)))</f>
        <v>0</v>
      </c>
      <c r="E1925">
        <f>_xlfn.LET(_xlpm.dir,Table13[[#This Row],[Direction]],
IF(_xlpm.dir="L",
    IF(G1924-Table13[[#This Row],[Steps]]&lt;0,100+(G1924-Table13[[#This Row],[Steps]]),G1924-Table13[[#This Row],[Steps]]),
))</f>
        <v>0</v>
      </c>
      <c r="F1925">
        <f>_xlfn.LET(_xlpm.dir,Table13[[#This Row],[Direction]],
IF(_xlpm.dir="R",
    IF(G1924+Table13[[#This Row],[Steps]]&gt;99,(G1924+Table13[[#This Row],[Steps]])-100,G1924+Table13[[#This Row],[Steps]]),
))</f>
        <v>2</v>
      </c>
      <c r="G1925">
        <f>IF(Table13[[#This Row],[New Pos L]]&lt;&gt;0,Table13[[#This Row],[New Pos L]],Table13[[#This Row],[New Pos R]])</f>
        <v>2</v>
      </c>
      <c r="H1925">
        <f>IF(AND(Table13[[#This Row],[Direction]]="L",Table13[[#This Row],[Steps]]&gt;G1924,G1924&lt;&gt;0),1,0)</f>
        <v>0</v>
      </c>
      <c r="I1925">
        <f>IF(AND(Table13[[#This Row],[Direction]]="R",(G1924+Table13[[#This Row],[Steps]])&gt;100),1,0)</f>
        <v>1</v>
      </c>
      <c r="J1925">
        <f>IF(Table13[[#This Row],[POS]]=0,1,0)</f>
        <v>0</v>
      </c>
      <c r="K1925">
        <f>SUM(Table13[[#This Row],[prefix]],Table13[[#This Row],[Past zero L]],Table13[[#This Row],[Past Zero R]],Table13[[#This Row],[Is Zero]])</f>
        <v>1</v>
      </c>
    </row>
    <row r="1926" spans="1:11" ht="16" x14ac:dyDescent="0.2">
      <c r="A1926" s="1" t="s">
        <v>278</v>
      </c>
      <c r="B1926" t="str">
        <f>LEFT(Table13[[#This Row],[Input]],1)</f>
        <v>L</v>
      </c>
      <c r="C1926">
        <f>_xlfn.LET(_xlpm.steps,SUBSTITUTE(Table13[[#This Row],[Input]],Table13[[#This Row],[Direction]],""),VALUE(IF(LEN(_xlpm.steps)&gt;2,RIGHT(_xlpm.steps,2),_xlpm.steps)))</f>
        <v>40</v>
      </c>
      <c r="D1926">
        <f>_xlfn.LET(_xlpm.steps,SUBSTITUTE(Table13[[#This Row],[Input]],Table13[[#This Row],[Direction]],""),VALUE(IF(LEN(_xlpm.steps)&gt;2,LEFT(_xlpm.steps,LEN(_xlpm.steps)-2),0)))</f>
        <v>0</v>
      </c>
      <c r="E1926">
        <f>_xlfn.LET(_xlpm.dir,Table13[[#This Row],[Direction]],
IF(_xlpm.dir="L",
    IF(G1925-Table13[[#This Row],[Steps]]&lt;0,100+(G1925-Table13[[#This Row],[Steps]]),G1925-Table13[[#This Row],[Steps]]),
))</f>
        <v>62</v>
      </c>
      <c r="F1926">
        <f>_xlfn.LET(_xlpm.dir,Table13[[#This Row],[Direction]],
IF(_xlpm.dir="R",
    IF(G1925+Table13[[#This Row],[Steps]]&gt;99,(G1925+Table13[[#This Row],[Steps]])-100,G1925+Table13[[#This Row],[Steps]]),
))</f>
        <v>0</v>
      </c>
      <c r="G1926">
        <f>IF(Table13[[#This Row],[New Pos L]]&lt;&gt;0,Table13[[#This Row],[New Pos L]],Table13[[#This Row],[New Pos R]])</f>
        <v>62</v>
      </c>
      <c r="H1926">
        <f>IF(AND(Table13[[#This Row],[Direction]]="L",Table13[[#This Row],[Steps]]&gt;G1925,G1925&lt;&gt;0),1,0)</f>
        <v>1</v>
      </c>
      <c r="I1926">
        <f>IF(AND(Table13[[#This Row],[Direction]]="R",(G1925+Table13[[#This Row],[Steps]])&gt;100),1,0)</f>
        <v>0</v>
      </c>
      <c r="J1926">
        <f>IF(Table13[[#This Row],[POS]]=0,1,0)</f>
        <v>0</v>
      </c>
      <c r="K1926">
        <f>SUM(Table13[[#This Row],[prefix]],Table13[[#This Row],[Past zero L]],Table13[[#This Row],[Past Zero R]],Table13[[#This Row],[Is Zero]])</f>
        <v>1</v>
      </c>
    </row>
    <row r="1927" spans="1:11" ht="16" x14ac:dyDescent="0.2">
      <c r="A1927" s="1" t="s">
        <v>21</v>
      </c>
      <c r="B1927" t="str">
        <f>LEFT(Table13[[#This Row],[Input]],1)</f>
        <v>L</v>
      </c>
      <c r="C1927">
        <f>_xlfn.LET(_xlpm.steps,SUBSTITUTE(Table13[[#This Row],[Input]],Table13[[#This Row],[Direction]],""),VALUE(IF(LEN(_xlpm.steps)&gt;2,RIGHT(_xlpm.steps,2),_xlpm.steps)))</f>
        <v>36</v>
      </c>
      <c r="D1927">
        <f>_xlfn.LET(_xlpm.steps,SUBSTITUTE(Table13[[#This Row],[Input]],Table13[[#This Row],[Direction]],""),VALUE(IF(LEN(_xlpm.steps)&gt;2,LEFT(_xlpm.steps,LEN(_xlpm.steps)-2),0)))</f>
        <v>0</v>
      </c>
      <c r="E1927">
        <f>_xlfn.LET(_xlpm.dir,Table13[[#This Row],[Direction]],
IF(_xlpm.dir="L",
    IF(G1926-Table13[[#This Row],[Steps]]&lt;0,100+(G1926-Table13[[#This Row],[Steps]]),G1926-Table13[[#This Row],[Steps]]),
))</f>
        <v>26</v>
      </c>
      <c r="F1927">
        <f>_xlfn.LET(_xlpm.dir,Table13[[#This Row],[Direction]],
IF(_xlpm.dir="R",
    IF(G1926+Table13[[#This Row],[Steps]]&gt;99,(G1926+Table13[[#This Row],[Steps]])-100,G1926+Table13[[#This Row],[Steps]]),
))</f>
        <v>0</v>
      </c>
      <c r="G1927">
        <f>IF(Table13[[#This Row],[New Pos L]]&lt;&gt;0,Table13[[#This Row],[New Pos L]],Table13[[#This Row],[New Pos R]])</f>
        <v>26</v>
      </c>
      <c r="H1927">
        <f>IF(AND(Table13[[#This Row],[Direction]]="L",Table13[[#This Row],[Steps]]&gt;G1926,G1926&lt;&gt;0),1,0)</f>
        <v>0</v>
      </c>
      <c r="I1927">
        <f>IF(AND(Table13[[#This Row],[Direction]]="R",(G1926+Table13[[#This Row],[Steps]])&gt;100),1,0)</f>
        <v>0</v>
      </c>
      <c r="J1927">
        <f>IF(Table13[[#This Row],[POS]]=0,1,0)</f>
        <v>0</v>
      </c>
      <c r="K1927">
        <f>SUM(Table13[[#This Row],[prefix]],Table13[[#This Row],[Past zero L]],Table13[[#This Row],[Past Zero R]],Table13[[#This Row],[Is Zero]])</f>
        <v>0</v>
      </c>
    </row>
    <row r="1928" spans="1:11" ht="16" x14ac:dyDescent="0.2">
      <c r="A1928" s="1" t="s">
        <v>77</v>
      </c>
      <c r="B1928" t="str">
        <f>LEFT(Table13[[#This Row],[Input]],1)</f>
        <v>R</v>
      </c>
      <c r="C1928">
        <f>_xlfn.LET(_xlpm.steps,SUBSTITUTE(Table13[[#This Row],[Input]],Table13[[#This Row],[Direction]],""),VALUE(IF(LEN(_xlpm.steps)&gt;2,RIGHT(_xlpm.steps,2),_xlpm.steps)))</f>
        <v>74</v>
      </c>
      <c r="D1928">
        <f>_xlfn.LET(_xlpm.steps,SUBSTITUTE(Table13[[#This Row],[Input]],Table13[[#This Row],[Direction]],""),VALUE(IF(LEN(_xlpm.steps)&gt;2,LEFT(_xlpm.steps,LEN(_xlpm.steps)-2),0)))</f>
        <v>0</v>
      </c>
      <c r="E1928">
        <f>_xlfn.LET(_xlpm.dir,Table13[[#This Row],[Direction]],
IF(_xlpm.dir="L",
    IF(G1927-Table13[[#This Row],[Steps]]&lt;0,100+(G1927-Table13[[#This Row],[Steps]]),G1927-Table13[[#This Row],[Steps]]),
))</f>
        <v>0</v>
      </c>
      <c r="F1928">
        <f>_xlfn.LET(_xlpm.dir,Table13[[#This Row],[Direction]],
IF(_xlpm.dir="R",
    IF(G1927+Table13[[#This Row],[Steps]]&gt;99,(G1927+Table13[[#This Row],[Steps]])-100,G1927+Table13[[#This Row],[Steps]]),
))</f>
        <v>0</v>
      </c>
      <c r="G1928">
        <f>IF(Table13[[#This Row],[New Pos L]]&lt;&gt;0,Table13[[#This Row],[New Pos L]],Table13[[#This Row],[New Pos R]])</f>
        <v>0</v>
      </c>
      <c r="H1928">
        <f>IF(AND(Table13[[#This Row],[Direction]]="L",Table13[[#This Row],[Steps]]&gt;G1927,G1927&lt;&gt;0),1,0)</f>
        <v>0</v>
      </c>
      <c r="I1928">
        <f>IF(AND(Table13[[#This Row],[Direction]]="R",(G1927+Table13[[#This Row],[Steps]])&gt;100),1,0)</f>
        <v>0</v>
      </c>
      <c r="J1928">
        <f>IF(Table13[[#This Row],[POS]]=0,1,0)</f>
        <v>1</v>
      </c>
      <c r="K1928">
        <f>SUM(Table13[[#This Row],[prefix]],Table13[[#This Row],[Past zero L]],Table13[[#This Row],[Past Zero R]],Table13[[#This Row],[Is Zero]])</f>
        <v>1</v>
      </c>
    </row>
    <row r="1929" spans="1:11" ht="16" x14ac:dyDescent="0.2">
      <c r="A1929" s="1" t="s">
        <v>13</v>
      </c>
      <c r="B1929" t="str">
        <f>LEFT(Table13[[#This Row],[Input]],1)</f>
        <v>R</v>
      </c>
      <c r="C1929">
        <f>_xlfn.LET(_xlpm.steps,SUBSTITUTE(Table13[[#This Row],[Input]],Table13[[#This Row],[Direction]],""),VALUE(IF(LEN(_xlpm.steps)&gt;2,RIGHT(_xlpm.steps,2),_xlpm.steps)))</f>
        <v>12</v>
      </c>
      <c r="D1929">
        <f>_xlfn.LET(_xlpm.steps,SUBSTITUTE(Table13[[#This Row],[Input]],Table13[[#This Row],[Direction]],""),VALUE(IF(LEN(_xlpm.steps)&gt;2,LEFT(_xlpm.steps,LEN(_xlpm.steps)-2),0)))</f>
        <v>0</v>
      </c>
      <c r="E1929">
        <f>_xlfn.LET(_xlpm.dir,Table13[[#This Row],[Direction]],
IF(_xlpm.dir="L",
    IF(G1928-Table13[[#This Row],[Steps]]&lt;0,100+(G1928-Table13[[#This Row],[Steps]]),G1928-Table13[[#This Row],[Steps]]),
))</f>
        <v>0</v>
      </c>
      <c r="F1929">
        <f>_xlfn.LET(_xlpm.dir,Table13[[#This Row],[Direction]],
IF(_xlpm.dir="R",
    IF(G1928+Table13[[#This Row],[Steps]]&gt;99,(G1928+Table13[[#This Row],[Steps]])-100,G1928+Table13[[#This Row],[Steps]]),
))</f>
        <v>12</v>
      </c>
      <c r="G1929">
        <f>IF(Table13[[#This Row],[New Pos L]]&lt;&gt;0,Table13[[#This Row],[New Pos L]],Table13[[#This Row],[New Pos R]])</f>
        <v>12</v>
      </c>
      <c r="H1929">
        <f>IF(AND(Table13[[#This Row],[Direction]]="L",Table13[[#This Row],[Steps]]&gt;G1928,G1928&lt;&gt;0),1,0)</f>
        <v>0</v>
      </c>
      <c r="I1929">
        <f>IF(AND(Table13[[#This Row],[Direction]]="R",(G1928+Table13[[#This Row],[Steps]])&gt;100),1,0)</f>
        <v>0</v>
      </c>
      <c r="J1929">
        <f>IF(Table13[[#This Row],[POS]]=0,1,0)</f>
        <v>0</v>
      </c>
      <c r="K1929">
        <f>SUM(Table13[[#This Row],[prefix]],Table13[[#This Row],[Past zero L]],Table13[[#This Row],[Past Zero R]],Table13[[#This Row],[Is Zero]])</f>
        <v>0</v>
      </c>
    </row>
    <row r="1930" spans="1:11" ht="16" x14ac:dyDescent="0.2">
      <c r="A1930" s="1" t="s">
        <v>357</v>
      </c>
      <c r="B1930" t="str">
        <f>LEFT(Table13[[#This Row],[Input]],1)</f>
        <v>R</v>
      </c>
      <c r="C1930">
        <f>_xlfn.LET(_xlpm.steps,SUBSTITUTE(Table13[[#This Row],[Input]],Table13[[#This Row],[Direction]],""),VALUE(IF(LEN(_xlpm.steps)&gt;2,RIGHT(_xlpm.steps,2),_xlpm.steps)))</f>
        <v>72</v>
      </c>
      <c r="D1930">
        <f>_xlfn.LET(_xlpm.steps,SUBSTITUTE(Table13[[#This Row],[Input]],Table13[[#This Row],[Direction]],""),VALUE(IF(LEN(_xlpm.steps)&gt;2,LEFT(_xlpm.steps,LEN(_xlpm.steps)-2),0)))</f>
        <v>0</v>
      </c>
      <c r="E1930">
        <f>_xlfn.LET(_xlpm.dir,Table13[[#This Row],[Direction]],
IF(_xlpm.dir="L",
    IF(G1929-Table13[[#This Row],[Steps]]&lt;0,100+(G1929-Table13[[#This Row],[Steps]]),G1929-Table13[[#This Row],[Steps]]),
))</f>
        <v>0</v>
      </c>
      <c r="F1930">
        <f>_xlfn.LET(_xlpm.dir,Table13[[#This Row],[Direction]],
IF(_xlpm.dir="R",
    IF(G1929+Table13[[#This Row],[Steps]]&gt;99,(G1929+Table13[[#This Row],[Steps]])-100,G1929+Table13[[#This Row],[Steps]]),
))</f>
        <v>84</v>
      </c>
      <c r="G1930">
        <f>IF(Table13[[#This Row],[New Pos L]]&lt;&gt;0,Table13[[#This Row],[New Pos L]],Table13[[#This Row],[New Pos R]])</f>
        <v>84</v>
      </c>
      <c r="H1930">
        <f>IF(AND(Table13[[#This Row],[Direction]]="L",Table13[[#This Row],[Steps]]&gt;G1929,G1929&lt;&gt;0),1,0)</f>
        <v>0</v>
      </c>
      <c r="I1930">
        <f>IF(AND(Table13[[#This Row],[Direction]]="R",(G1929+Table13[[#This Row],[Steps]])&gt;100),1,0)</f>
        <v>0</v>
      </c>
      <c r="J1930">
        <f>IF(Table13[[#This Row],[POS]]=0,1,0)</f>
        <v>0</v>
      </c>
      <c r="K1930">
        <f>SUM(Table13[[#This Row],[prefix]],Table13[[#This Row],[Past zero L]],Table13[[#This Row],[Past Zero R]],Table13[[#This Row],[Is Zero]])</f>
        <v>0</v>
      </c>
    </row>
    <row r="1931" spans="1:11" ht="16" x14ac:dyDescent="0.2">
      <c r="A1931" s="1" t="s">
        <v>336</v>
      </c>
      <c r="B1931" t="str">
        <f>LEFT(Table13[[#This Row],[Input]],1)</f>
        <v>R</v>
      </c>
      <c r="C1931">
        <f>_xlfn.LET(_xlpm.steps,SUBSTITUTE(Table13[[#This Row],[Input]],Table13[[#This Row],[Direction]],""),VALUE(IF(LEN(_xlpm.steps)&gt;2,RIGHT(_xlpm.steps,2),_xlpm.steps)))</f>
        <v>95</v>
      </c>
      <c r="D1931">
        <f>_xlfn.LET(_xlpm.steps,SUBSTITUTE(Table13[[#This Row],[Input]],Table13[[#This Row],[Direction]],""),VALUE(IF(LEN(_xlpm.steps)&gt;2,LEFT(_xlpm.steps,LEN(_xlpm.steps)-2),0)))</f>
        <v>0</v>
      </c>
      <c r="E1931">
        <f>_xlfn.LET(_xlpm.dir,Table13[[#This Row],[Direction]],
IF(_xlpm.dir="L",
    IF(G1930-Table13[[#This Row],[Steps]]&lt;0,100+(G1930-Table13[[#This Row],[Steps]]),G1930-Table13[[#This Row],[Steps]]),
))</f>
        <v>0</v>
      </c>
      <c r="F1931">
        <f>_xlfn.LET(_xlpm.dir,Table13[[#This Row],[Direction]],
IF(_xlpm.dir="R",
    IF(G1930+Table13[[#This Row],[Steps]]&gt;99,(G1930+Table13[[#This Row],[Steps]])-100,G1930+Table13[[#This Row],[Steps]]),
))</f>
        <v>79</v>
      </c>
      <c r="G1931">
        <f>IF(Table13[[#This Row],[New Pos L]]&lt;&gt;0,Table13[[#This Row],[New Pos L]],Table13[[#This Row],[New Pos R]])</f>
        <v>79</v>
      </c>
      <c r="H1931">
        <f>IF(AND(Table13[[#This Row],[Direction]]="L",Table13[[#This Row],[Steps]]&gt;G1930,G1930&lt;&gt;0),1,0)</f>
        <v>0</v>
      </c>
      <c r="I1931">
        <f>IF(AND(Table13[[#This Row],[Direction]]="R",(G1930+Table13[[#This Row],[Steps]])&gt;100),1,0)</f>
        <v>1</v>
      </c>
      <c r="J1931">
        <f>IF(Table13[[#This Row],[POS]]=0,1,0)</f>
        <v>0</v>
      </c>
      <c r="K1931">
        <f>SUM(Table13[[#This Row],[prefix]],Table13[[#This Row],[Past zero L]],Table13[[#This Row],[Past Zero R]],Table13[[#This Row],[Is Zero]])</f>
        <v>1</v>
      </c>
    </row>
    <row r="1932" spans="1:11" ht="16" x14ac:dyDescent="0.2">
      <c r="A1932" s="1" t="s">
        <v>531</v>
      </c>
      <c r="B1932" t="str">
        <f>LEFT(Table13[[#This Row],[Input]],1)</f>
        <v>L</v>
      </c>
      <c r="C1932">
        <f>_xlfn.LET(_xlpm.steps,SUBSTITUTE(Table13[[#This Row],[Input]],Table13[[#This Row],[Direction]],""),VALUE(IF(LEN(_xlpm.steps)&gt;2,RIGHT(_xlpm.steps,2),_xlpm.steps)))</f>
        <v>15</v>
      </c>
      <c r="D1932">
        <f>_xlfn.LET(_xlpm.steps,SUBSTITUTE(Table13[[#This Row],[Input]],Table13[[#This Row],[Direction]],""),VALUE(IF(LEN(_xlpm.steps)&gt;2,LEFT(_xlpm.steps,LEN(_xlpm.steps)-2),0)))</f>
        <v>1</v>
      </c>
      <c r="E1932">
        <f>_xlfn.LET(_xlpm.dir,Table13[[#This Row],[Direction]],
IF(_xlpm.dir="L",
    IF(G1931-Table13[[#This Row],[Steps]]&lt;0,100+(G1931-Table13[[#This Row],[Steps]]),G1931-Table13[[#This Row],[Steps]]),
))</f>
        <v>64</v>
      </c>
      <c r="F1932">
        <f>_xlfn.LET(_xlpm.dir,Table13[[#This Row],[Direction]],
IF(_xlpm.dir="R",
    IF(G1931+Table13[[#This Row],[Steps]]&gt;99,(G1931+Table13[[#This Row],[Steps]])-100,G1931+Table13[[#This Row],[Steps]]),
))</f>
        <v>0</v>
      </c>
      <c r="G1932">
        <f>IF(Table13[[#This Row],[New Pos L]]&lt;&gt;0,Table13[[#This Row],[New Pos L]],Table13[[#This Row],[New Pos R]])</f>
        <v>64</v>
      </c>
      <c r="H1932">
        <f>IF(AND(Table13[[#This Row],[Direction]]="L",Table13[[#This Row],[Steps]]&gt;G1931,G1931&lt;&gt;0),1,0)</f>
        <v>0</v>
      </c>
      <c r="I1932">
        <f>IF(AND(Table13[[#This Row],[Direction]]="R",(G1931+Table13[[#This Row],[Steps]])&gt;100),1,0)</f>
        <v>0</v>
      </c>
      <c r="J1932">
        <f>IF(Table13[[#This Row],[POS]]=0,1,0)</f>
        <v>0</v>
      </c>
      <c r="K1932">
        <f>SUM(Table13[[#This Row],[prefix]],Table13[[#This Row],[Past zero L]],Table13[[#This Row],[Past Zero R]],Table13[[#This Row],[Is Zero]])</f>
        <v>1</v>
      </c>
    </row>
    <row r="1933" spans="1:11" ht="16" x14ac:dyDescent="0.2">
      <c r="A1933" s="1" t="s">
        <v>39</v>
      </c>
      <c r="B1933" t="str">
        <f>LEFT(Table13[[#This Row],[Input]],1)</f>
        <v>R</v>
      </c>
      <c r="C1933">
        <f>_xlfn.LET(_xlpm.steps,SUBSTITUTE(Table13[[#This Row],[Input]],Table13[[#This Row],[Direction]],""),VALUE(IF(LEN(_xlpm.steps)&gt;2,RIGHT(_xlpm.steps,2),_xlpm.steps)))</f>
        <v>32</v>
      </c>
      <c r="D1933">
        <f>_xlfn.LET(_xlpm.steps,SUBSTITUTE(Table13[[#This Row],[Input]],Table13[[#This Row],[Direction]],""),VALUE(IF(LEN(_xlpm.steps)&gt;2,LEFT(_xlpm.steps,LEN(_xlpm.steps)-2),0)))</f>
        <v>0</v>
      </c>
      <c r="E1933">
        <f>_xlfn.LET(_xlpm.dir,Table13[[#This Row],[Direction]],
IF(_xlpm.dir="L",
    IF(G1932-Table13[[#This Row],[Steps]]&lt;0,100+(G1932-Table13[[#This Row],[Steps]]),G1932-Table13[[#This Row],[Steps]]),
))</f>
        <v>0</v>
      </c>
      <c r="F1933">
        <f>_xlfn.LET(_xlpm.dir,Table13[[#This Row],[Direction]],
IF(_xlpm.dir="R",
    IF(G1932+Table13[[#This Row],[Steps]]&gt;99,(G1932+Table13[[#This Row],[Steps]])-100,G1932+Table13[[#This Row],[Steps]]),
))</f>
        <v>96</v>
      </c>
      <c r="G1933">
        <f>IF(Table13[[#This Row],[New Pos L]]&lt;&gt;0,Table13[[#This Row],[New Pos L]],Table13[[#This Row],[New Pos R]])</f>
        <v>96</v>
      </c>
      <c r="H1933">
        <f>IF(AND(Table13[[#This Row],[Direction]]="L",Table13[[#This Row],[Steps]]&gt;G1932,G1932&lt;&gt;0),1,0)</f>
        <v>0</v>
      </c>
      <c r="I1933">
        <f>IF(AND(Table13[[#This Row],[Direction]]="R",(G1932+Table13[[#This Row],[Steps]])&gt;100),1,0)</f>
        <v>0</v>
      </c>
      <c r="J1933">
        <f>IF(Table13[[#This Row],[POS]]=0,1,0)</f>
        <v>0</v>
      </c>
      <c r="K1933">
        <f>SUM(Table13[[#This Row],[prefix]],Table13[[#This Row],[Past zero L]],Table13[[#This Row],[Past Zero R]],Table13[[#This Row],[Is Zero]])</f>
        <v>0</v>
      </c>
    </row>
    <row r="1934" spans="1:11" ht="16" x14ac:dyDescent="0.2">
      <c r="A1934" s="1" t="s">
        <v>532</v>
      </c>
      <c r="B1934" t="str">
        <f>LEFT(Table13[[#This Row],[Input]],1)</f>
        <v>R</v>
      </c>
      <c r="C1934">
        <f>_xlfn.LET(_xlpm.steps,SUBSTITUTE(Table13[[#This Row],[Input]],Table13[[#This Row],[Direction]],""),VALUE(IF(LEN(_xlpm.steps)&gt;2,RIGHT(_xlpm.steps,2),_xlpm.steps)))</f>
        <v>4</v>
      </c>
      <c r="D1934">
        <f>_xlfn.LET(_xlpm.steps,SUBSTITUTE(Table13[[#This Row],[Input]],Table13[[#This Row],[Direction]],""),VALUE(IF(LEN(_xlpm.steps)&gt;2,LEFT(_xlpm.steps,LEN(_xlpm.steps)-2),0)))</f>
        <v>8</v>
      </c>
      <c r="E1934">
        <f>_xlfn.LET(_xlpm.dir,Table13[[#This Row],[Direction]],
IF(_xlpm.dir="L",
    IF(G1933-Table13[[#This Row],[Steps]]&lt;0,100+(G1933-Table13[[#This Row],[Steps]]),G1933-Table13[[#This Row],[Steps]]),
))</f>
        <v>0</v>
      </c>
      <c r="F1934">
        <f>_xlfn.LET(_xlpm.dir,Table13[[#This Row],[Direction]],
IF(_xlpm.dir="R",
    IF(G1933+Table13[[#This Row],[Steps]]&gt;99,(G1933+Table13[[#This Row],[Steps]])-100,G1933+Table13[[#This Row],[Steps]]),
))</f>
        <v>0</v>
      </c>
      <c r="G1934">
        <f>IF(Table13[[#This Row],[New Pos L]]&lt;&gt;0,Table13[[#This Row],[New Pos L]],Table13[[#This Row],[New Pos R]])</f>
        <v>0</v>
      </c>
      <c r="H1934">
        <f>IF(AND(Table13[[#This Row],[Direction]]="L",Table13[[#This Row],[Steps]]&gt;G1933,G1933&lt;&gt;0),1,0)</f>
        <v>0</v>
      </c>
      <c r="I1934">
        <f>IF(AND(Table13[[#This Row],[Direction]]="R",(G1933+Table13[[#This Row],[Steps]])&gt;100),1,0)</f>
        <v>0</v>
      </c>
      <c r="J1934">
        <f>IF(Table13[[#This Row],[POS]]=0,1,0)</f>
        <v>1</v>
      </c>
      <c r="K1934">
        <f>SUM(Table13[[#This Row],[prefix]],Table13[[#This Row],[Past zero L]],Table13[[#This Row],[Past Zero R]],Table13[[#This Row],[Is Zero]])</f>
        <v>9</v>
      </c>
    </row>
    <row r="1935" spans="1:11" ht="16" x14ac:dyDescent="0.2">
      <c r="A1935" s="1" t="s">
        <v>533</v>
      </c>
      <c r="B1935" t="str">
        <f>LEFT(Table13[[#This Row],[Input]],1)</f>
        <v>L</v>
      </c>
      <c r="C1935">
        <f>_xlfn.LET(_xlpm.steps,SUBSTITUTE(Table13[[#This Row],[Input]],Table13[[#This Row],[Direction]],""),VALUE(IF(LEN(_xlpm.steps)&gt;2,RIGHT(_xlpm.steps,2),_xlpm.steps)))</f>
        <v>27</v>
      </c>
      <c r="D1935">
        <f>_xlfn.LET(_xlpm.steps,SUBSTITUTE(Table13[[#This Row],[Input]],Table13[[#This Row],[Direction]],""),VALUE(IF(LEN(_xlpm.steps)&gt;2,LEFT(_xlpm.steps,LEN(_xlpm.steps)-2),0)))</f>
        <v>9</v>
      </c>
      <c r="E1935">
        <f>_xlfn.LET(_xlpm.dir,Table13[[#This Row],[Direction]],
IF(_xlpm.dir="L",
    IF(G1934-Table13[[#This Row],[Steps]]&lt;0,100+(G1934-Table13[[#This Row],[Steps]]),G1934-Table13[[#This Row],[Steps]]),
))</f>
        <v>73</v>
      </c>
      <c r="F1935">
        <f>_xlfn.LET(_xlpm.dir,Table13[[#This Row],[Direction]],
IF(_xlpm.dir="R",
    IF(G1934+Table13[[#This Row],[Steps]]&gt;99,(G1934+Table13[[#This Row],[Steps]])-100,G1934+Table13[[#This Row],[Steps]]),
))</f>
        <v>0</v>
      </c>
      <c r="G1935">
        <f>IF(Table13[[#This Row],[New Pos L]]&lt;&gt;0,Table13[[#This Row],[New Pos L]],Table13[[#This Row],[New Pos R]])</f>
        <v>73</v>
      </c>
      <c r="H1935">
        <f>IF(AND(Table13[[#This Row],[Direction]]="L",Table13[[#This Row],[Steps]]&gt;G1934,G1934&lt;&gt;0),1,0)</f>
        <v>0</v>
      </c>
      <c r="I1935">
        <f>IF(AND(Table13[[#This Row],[Direction]]="R",(G1934+Table13[[#This Row],[Steps]])&gt;100),1,0)</f>
        <v>0</v>
      </c>
      <c r="J1935">
        <f>IF(Table13[[#This Row],[POS]]=0,1,0)</f>
        <v>0</v>
      </c>
      <c r="K1935">
        <f>SUM(Table13[[#This Row],[prefix]],Table13[[#This Row],[Past zero L]],Table13[[#This Row],[Past Zero R]],Table13[[#This Row],[Is Zero]])</f>
        <v>9</v>
      </c>
    </row>
    <row r="1936" spans="1:11" ht="16" x14ac:dyDescent="0.2">
      <c r="A1936" s="1" t="s">
        <v>171</v>
      </c>
      <c r="B1936" t="str">
        <f>LEFT(Table13[[#This Row],[Input]],1)</f>
        <v>L</v>
      </c>
      <c r="C1936">
        <f>_xlfn.LET(_xlpm.steps,SUBSTITUTE(Table13[[#This Row],[Input]],Table13[[#This Row],[Direction]],""),VALUE(IF(LEN(_xlpm.steps)&gt;2,RIGHT(_xlpm.steps,2),_xlpm.steps)))</f>
        <v>73</v>
      </c>
      <c r="D1936">
        <f>_xlfn.LET(_xlpm.steps,SUBSTITUTE(Table13[[#This Row],[Input]],Table13[[#This Row],[Direction]],""),VALUE(IF(LEN(_xlpm.steps)&gt;2,LEFT(_xlpm.steps,LEN(_xlpm.steps)-2),0)))</f>
        <v>0</v>
      </c>
      <c r="E1936">
        <f>_xlfn.LET(_xlpm.dir,Table13[[#This Row],[Direction]],
IF(_xlpm.dir="L",
    IF(G1935-Table13[[#This Row],[Steps]]&lt;0,100+(G1935-Table13[[#This Row],[Steps]]),G1935-Table13[[#This Row],[Steps]]),
))</f>
        <v>0</v>
      </c>
      <c r="F1936">
        <f>_xlfn.LET(_xlpm.dir,Table13[[#This Row],[Direction]],
IF(_xlpm.dir="R",
    IF(G1935+Table13[[#This Row],[Steps]]&gt;99,(G1935+Table13[[#This Row],[Steps]])-100,G1935+Table13[[#This Row],[Steps]]),
))</f>
        <v>0</v>
      </c>
      <c r="G1936">
        <f>IF(Table13[[#This Row],[New Pos L]]&lt;&gt;0,Table13[[#This Row],[New Pos L]],Table13[[#This Row],[New Pos R]])</f>
        <v>0</v>
      </c>
      <c r="H1936">
        <f>IF(AND(Table13[[#This Row],[Direction]]="L",Table13[[#This Row],[Steps]]&gt;G1935,G1935&lt;&gt;0),1,0)</f>
        <v>0</v>
      </c>
      <c r="I1936">
        <f>IF(AND(Table13[[#This Row],[Direction]]="R",(G1935+Table13[[#This Row],[Steps]])&gt;100),1,0)</f>
        <v>0</v>
      </c>
      <c r="J1936">
        <f>IF(Table13[[#This Row],[POS]]=0,1,0)</f>
        <v>1</v>
      </c>
      <c r="K1936">
        <f>SUM(Table13[[#This Row],[prefix]],Table13[[#This Row],[Past zero L]],Table13[[#This Row],[Past Zero R]],Table13[[#This Row],[Is Zero]])</f>
        <v>1</v>
      </c>
    </row>
    <row r="1937" spans="1:11" ht="16" x14ac:dyDescent="0.2">
      <c r="A1937" s="1" t="s">
        <v>174</v>
      </c>
      <c r="B1937" t="str">
        <f>LEFT(Table13[[#This Row],[Input]],1)</f>
        <v>L</v>
      </c>
      <c r="C1937">
        <f>_xlfn.LET(_xlpm.steps,SUBSTITUTE(Table13[[#This Row],[Input]],Table13[[#This Row],[Direction]],""),VALUE(IF(LEN(_xlpm.steps)&gt;2,RIGHT(_xlpm.steps,2),_xlpm.steps)))</f>
        <v>92</v>
      </c>
      <c r="D1937">
        <f>_xlfn.LET(_xlpm.steps,SUBSTITUTE(Table13[[#This Row],[Input]],Table13[[#This Row],[Direction]],""),VALUE(IF(LEN(_xlpm.steps)&gt;2,LEFT(_xlpm.steps,LEN(_xlpm.steps)-2),0)))</f>
        <v>0</v>
      </c>
      <c r="E1937">
        <f>_xlfn.LET(_xlpm.dir,Table13[[#This Row],[Direction]],
IF(_xlpm.dir="L",
    IF(G1936-Table13[[#This Row],[Steps]]&lt;0,100+(G1936-Table13[[#This Row],[Steps]]),G1936-Table13[[#This Row],[Steps]]),
))</f>
        <v>8</v>
      </c>
      <c r="F1937">
        <f>_xlfn.LET(_xlpm.dir,Table13[[#This Row],[Direction]],
IF(_xlpm.dir="R",
    IF(G1936+Table13[[#This Row],[Steps]]&gt;99,(G1936+Table13[[#This Row],[Steps]])-100,G1936+Table13[[#This Row],[Steps]]),
))</f>
        <v>0</v>
      </c>
      <c r="G1937">
        <f>IF(Table13[[#This Row],[New Pos L]]&lt;&gt;0,Table13[[#This Row],[New Pos L]],Table13[[#This Row],[New Pos R]])</f>
        <v>8</v>
      </c>
      <c r="H1937">
        <f>IF(AND(Table13[[#This Row],[Direction]]="L",Table13[[#This Row],[Steps]]&gt;G1936,G1936&lt;&gt;0),1,0)</f>
        <v>0</v>
      </c>
      <c r="I1937">
        <f>IF(AND(Table13[[#This Row],[Direction]]="R",(G1936+Table13[[#This Row],[Steps]])&gt;100),1,0)</f>
        <v>0</v>
      </c>
      <c r="J1937">
        <f>IF(Table13[[#This Row],[POS]]=0,1,0)</f>
        <v>0</v>
      </c>
      <c r="K1937">
        <f>SUM(Table13[[#This Row],[prefix]],Table13[[#This Row],[Past zero L]],Table13[[#This Row],[Past Zero R]],Table13[[#This Row],[Is Zero]])</f>
        <v>0</v>
      </c>
    </row>
    <row r="1938" spans="1:11" ht="16" x14ac:dyDescent="0.2">
      <c r="A1938" s="1" t="s">
        <v>275</v>
      </c>
      <c r="B1938" t="str">
        <f>LEFT(Table13[[#This Row],[Input]],1)</f>
        <v>R</v>
      </c>
      <c r="C1938">
        <f>_xlfn.LET(_xlpm.steps,SUBSTITUTE(Table13[[#This Row],[Input]],Table13[[#This Row],[Direction]],""),VALUE(IF(LEN(_xlpm.steps)&gt;2,RIGHT(_xlpm.steps,2),_xlpm.steps)))</f>
        <v>97</v>
      </c>
      <c r="D1938">
        <f>_xlfn.LET(_xlpm.steps,SUBSTITUTE(Table13[[#This Row],[Input]],Table13[[#This Row],[Direction]],""),VALUE(IF(LEN(_xlpm.steps)&gt;2,LEFT(_xlpm.steps,LEN(_xlpm.steps)-2),0)))</f>
        <v>3</v>
      </c>
      <c r="E1938">
        <f>_xlfn.LET(_xlpm.dir,Table13[[#This Row],[Direction]],
IF(_xlpm.dir="L",
    IF(G1937-Table13[[#This Row],[Steps]]&lt;0,100+(G1937-Table13[[#This Row],[Steps]]),G1937-Table13[[#This Row],[Steps]]),
))</f>
        <v>0</v>
      </c>
      <c r="F1938">
        <f>_xlfn.LET(_xlpm.dir,Table13[[#This Row],[Direction]],
IF(_xlpm.dir="R",
    IF(G1937+Table13[[#This Row],[Steps]]&gt;99,(G1937+Table13[[#This Row],[Steps]])-100,G1937+Table13[[#This Row],[Steps]]),
))</f>
        <v>5</v>
      </c>
      <c r="G1938">
        <f>IF(Table13[[#This Row],[New Pos L]]&lt;&gt;0,Table13[[#This Row],[New Pos L]],Table13[[#This Row],[New Pos R]])</f>
        <v>5</v>
      </c>
      <c r="H1938">
        <f>IF(AND(Table13[[#This Row],[Direction]]="L",Table13[[#This Row],[Steps]]&gt;G1937,G1937&lt;&gt;0),1,0)</f>
        <v>0</v>
      </c>
      <c r="I1938">
        <f>IF(AND(Table13[[#This Row],[Direction]]="R",(G1937+Table13[[#This Row],[Steps]])&gt;100),1,0)</f>
        <v>1</v>
      </c>
      <c r="J1938">
        <f>IF(Table13[[#This Row],[POS]]=0,1,0)</f>
        <v>0</v>
      </c>
      <c r="K1938">
        <f>SUM(Table13[[#This Row],[prefix]],Table13[[#This Row],[Past zero L]],Table13[[#This Row],[Past Zero R]],Table13[[#This Row],[Is Zero]])</f>
        <v>4</v>
      </c>
    </row>
    <row r="1939" spans="1:11" ht="16" x14ac:dyDescent="0.2">
      <c r="A1939" s="1" t="s">
        <v>336</v>
      </c>
      <c r="B1939" t="str">
        <f>LEFT(Table13[[#This Row],[Input]],1)</f>
        <v>R</v>
      </c>
      <c r="C1939">
        <f>_xlfn.LET(_xlpm.steps,SUBSTITUTE(Table13[[#This Row],[Input]],Table13[[#This Row],[Direction]],""),VALUE(IF(LEN(_xlpm.steps)&gt;2,RIGHT(_xlpm.steps,2),_xlpm.steps)))</f>
        <v>95</v>
      </c>
      <c r="D1939">
        <f>_xlfn.LET(_xlpm.steps,SUBSTITUTE(Table13[[#This Row],[Input]],Table13[[#This Row],[Direction]],""),VALUE(IF(LEN(_xlpm.steps)&gt;2,LEFT(_xlpm.steps,LEN(_xlpm.steps)-2),0)))</f>
        <v>0</v>
      </c>
      <c r="E1939">
        <f>_xlfn.LET(_xlpm.dir,Table13[[#This Row],[Direction]],
IF(_xlpm.dir="L",
    IF(G1938-Table13[[#This Row],[Steps]]&lt;0,100+(G1938-Table13[[#This Row],[Steps]]),G1938-Table13[[#This Row],[Steps]]),
))</f>
        <v>0</v>
      </c>
      <c r="F1939">
        <f>_xlfn.LET(_xlpm.dir,Table13[[#This Row],[Direction]],
IF(_xlpm.dir="R",
    IF(G1938+Table13[[#This Row],[Steps]]&gt;99,(G1938+Table13[[#This Row],[Steps]])-100,G1938+Table13[[#This Row],[Steps]]),
))</f>
        <v>0</v>
      </c>
      <c r="G1939">
        <f>IF(Table13[[#This Row],[New Pos L]]&lt;&gt;0,Table13[[#This Row],[New Pos L]],Table13[[#This Row],[New Pos R]])</f>
        <v>0</v>
      </c>
      <c r="H1939">
        <f>IF(AND(Table13[[#This Row],[Direction]]="L",Table13[[#This Row],[Steps]]&gt;G1938,G1938&lt;&gt;0),1,0)</f>
        <v>0</v>
      </c>
      <c r="I1939">
        <f>IF(AND(Table13[[#This Row],[Direction]]="R",(G1938+Table13[[#This Row],[Steps]])&gt;100),1,0)</f>
        <v>0</v>
      </c>
      <c r="J1939">
        <f>IF(Table13[[#This Row],[POS]]=0,1,0)</f>
        <v>1</v>
      </c>
      <c r="K1939">
        <f>SUM(Table13[[#This Row],[prefix]],Table13[[#This Row],[Past zero L]],Table13[[#This Row],[Past Zero R]],Table13[[#This Row],[Is Zero]])</f>
        <v>1</v>
      </c>
    </row>
    <row r="1940" spans="1:11" ht="16" x14ac:dyDescent="0.2">
      <c r="A1940" s="1" t="s">
        <v>98</v>
      </c>
      <c r="B1940" t="str">
        <f>LEFT(Table13[[#This Row],[Input]],1)</f>
        <v>L</v>
      </c>
      <c r="C1940">
        <f>_xlfn.LET(_xlpm.steps,SUBSTITUTE(Table13[[#This Row],[Input]],Table13[[#This Row],[Direction]],""),VALUE(IF(LEN(_xlpm.steps)&gt;2,RIGHT(_xlpm.steps,2),_xlpm.steps)))</f>
        <v>65</v>
      </c>
      <c r="D1940">
        <f>_xlfn.LET(_xlpm.steps,SUBSTITUTE(Table13[[#This Row],[Input]],Table13[[#This Row],[Direction]],""),VALUE(IF(LEN(_xlpm.steps)&gt;2,LEFT(_xlpm.steps,LEN(_xlpm.steps)-2),0)))</f>
        <v>0</v>
      </c>
      <c r="E1940">
        <f>_xlfn.LET(_xlpm.dir,Table13[[#This Row],[Direction]],
IF(_xlpm.dir="L",
    IF(G1939-Table13[[#This Row],[Steps]]&lt;0,100+(G1939-Table13[[#This Row],[Steps]]),G1939-Table13[[#This Row],[Steps]]),
))</f>
        <v>35</v>
      </c>
      <c r="F1940">
        <f>_xlfn.LET(_xlpm.dir,Table13[[#This Row],[Direction]],
IF(_xlpm.dir="R",
    IF(G1939+Table13[[#This Row],[Steps]]&gt;99,(G1939+Table13[[#This Row],[Steps]])-100,G1939+Table13[[#This Row],[Steps]]),
))</f>
        <v>0</v>
      </c>
      <c r="G1940">
        <f>IF(Table13[[#This Row],[New Pos L]]&lt;&gt;0,Table13[[#This Row],[New Pos L]],Table13[[#This Row],[New Pos R]])</f>
        <v>35</v>
      </c>
      <c r="H1940">
        <f>IF(AND(Table13[[#This Row],[Direction]]="L",Table13[[#This Row],[Steps]]&gt;G1939,G1939&lt;&gt;0),1,0)</f>
        <v>0</v>
      </c>
      <c r="I1940">
        <f>IF(AND(Table13[[#This Row],[Direction]]="R",(G1939+Table13[[#This Row],[Steps]])&gt;100),1,0)</f>
        <v>0</v>
      </c>
      <c r="J1940">
        <f>IF(Table13[[#This Row],[POS]]=0,1,0)</f>
        <v>0</v>
      </c>
      <c r="K1940">
        <f>SUM(Table13[[#This Row],[prefix]],Table13[[#This Row],[Past zero L]],Table13[[#This Row],[Past Zero R]],Table13[[#This Row],[Is Zero]])</f>
        <v>0</v>
      </c>
    </row>
    <row r="1941" spans="1:11" ht="16" x14ac:dyDescent="0.2">
      <c r="A1941" s="1" t="s">
        <v>108</v>
      </c>
      <c r="B1941" t="str">
        <f>LEFT(Table13[[#This Row],[Input]],1)</f>
        <v>R</v>
      </c>
      <c r="C1941">
        <f>_xlfn.LET(_xlpm.steps,SUBSTITUTE(Table13[[#This Row],[Input]],Table13[[#This Row],[Direction]],""),VALUE(IF(LEN(_xlpm.steps)&gt;2,RIGHT(_xlpm.steps,2),_xlpm.steps)))</f>
        <v>66</v>
      </c>
      <c r="D1941">
        <f>_xlfn.LET(_xlpm.steps,SUBSTITUTE(Table13[[#This Row],[Input]],Table13[[#This Row],[Direction]],""),VALUE(IF(LEN(_xlpm.steps)&gt;2,LEFT(_xlpm.steps,LEN(_xlpm.steps)-2),0)))</f>
        <v>0</v>
      </c>
      <c r="E1941">
        <f>_xlfn.LET(_xlpm.dir,Table13[[#This Row],[Direction]],
IF(_xlpm.dir="L",
    IF(G1940-Table13[[#This Row],[Steps]]&lt;0,100+(G1940-Table13[[#This Row],[Steps]]),G1940-Table13[[#This Row],[Steps]]),
))</f>
        <v>0</v>
      </c>
      <c r="F1941">
        <f>_xlfn.LET(_xlpm.dir,Table13[[#This Row],[Direction]],
IF(_xlpm.dir="R",
    IF(G1940+Table13[[#This Row],[Steps]]&gt;99,(G1940+Table13[[#This Row],[Steps]])-100,G1940+Table13[[#This Row],[Steps]]),
))</f>
        <v>1</v>
      </c>
      <c r="G1941">
        <f>IF(Table13[[#This Row],[New Pos L]]&lt;&gt;0,Table13[[#This Row],[New Pos L]],Table13[[#This Row],[New Pos R]])</f>
        <v>1</v>
      </c>
      <c r="H1941">
        <f>IF(AND(Table13[[#This Row],[Direction]]="L",Table13[[#This Row],[Steps]]&gt;G1940,G1940&lt;&gt;0),1,0)</f>
        <v>0</v>
      </c>
      <c r="I1941">
        <f>IF(AND(Table13[[#This Row],[Direction]]="R",(G1940+Table13[[#This Row],[Steps]])&gt;100),1,0)</f>
        <v>1</v>
      </c>
      <c r="J1941">
        <f>IF(Table13[[#This Row],[POS]]=0,1,0)</f>
        <v>0</v>
      </c>
      <c r="K1941">
        <f>SUM(Table13[[#This Row],[prefix]],Table13[[#This Row],[Past zero L]],Table13[[#This Row],[Past Zero R]],Table13[[#This Row],[Is Zero]])</f>
        <v>1</v>
      </c>
    </row>
    <row r="1942" spans="1:11" ht="16" x14ac:dyDescent="0.2">
      <c r="A1942" s="1" t="s">
        <v>357</v>
      </c>
      <c r="B1942" t="str">
        <f>LEFT(Table13[[#This Row],[Input]],1)</f>
        <v>R</v>
      </c>
      <c r="C1942">
        <f>_xlfn.LET(_xlpm.steps,SUBSTITUTE(Table13[[#This Row],[Input]],Table13[[#This Row],[Direction]],""),VALUE(IF(LEN(_xlpm.steps)&gt;2,RIGHT(_xlpm.steps,2),_xlpm.steps)))</f>
        <v>72</v>
      </c>
      <c r="D1942">
        <f>_xlfn.LET(_xlpm.steps,SUBSTITUTE(Table13[[#This Row],[Input]],Table13[[#This Row],[Direction]],""),VALUE(IF(LEN(_xlpm.steps)&gt;2,LEFT(_xlpm.steps,LEN(_xlpm.steps)-2),0)))</f>
        <v>0</v>
      </c>
      <c r="E1942">
        <f>_xlfn.LET(_xlpm.dir,Table13[[#This Row],[Direction]],
IF(_xlpm.dir="L",
    IF(G1941-Table13[[#This Row],[Steps]]&lt;0,100+(G1941-Table13[[#This Row],[Steps]]),G1941-Table13[[#This Row],[Steps]]),
))</f>
        <v>0</v>
      </c>
      <c r="F1942">
        <f>_xlfn.LET(_xlpm.dir,Table13[[#This Row],[Direction]],
IF(_xlpm.dir="R",
    IF(G1941+Table13[[#This Row],[Steps]]&gt;99,(G1941+Table13[[#This Row],[Steps]])-100,G1941+Table13[[#This Row],[Steps]]),
))</f>
        <v>73</v>
      </c>
      <c r="G1942">
        <f>IF(Table13[[#This Row],[New Pos L]]&lt;&gt;0,Table13[[#This Row],[New Pos L]],Table13[[#This Row],[New Pos R]])</f>
        <v>73</v>
      </c>
      <c r="H1942">
        <f>IF(AND(Table13[[#This Row],[Direction]]="L",Table13[[#This Row],[Steps]]&gt;G1941,G1941&lt;&gt;0),1,0)</f>
        <v>0</v>
      </c>
      <c r="I1942">
        <f>IF(AND(Table13[[#This Row],[Direction]]="R",(G1941+Table13[[#This Row],[Steps]])&gt;100),1,0)</f>
        <v>0</v>
      </c>
      <c r="J1942">
        <f>IF(Table13[[#This Row],[POS]]=0,1,0)</f>
        <v>0</v>
      </c>
      <c r="K1942">
        <f>SUM(Table13[[#This Row],[prefix]],Table13[[#This Row],[Past zero L]],Table13[[#This Row],[Past Zero R]],Table13[[#This Row],[Is Zero]])</f>
        <v>0</v>
      </c>
    </row>
    <row r="1943" spans="1:11" ht="16" x14ac:dyDescent="0.2">
      <c r="A1943" s="1" t="s">
        <v>534</v>
      </c>
      <c r="B1943" t="str">
        <f>LEFT(Table13[[#This Row],[Input]],1)</f>
        <v>R</v>
      </c>
      <c r="C1943">
        <f>_xlfn.LET(_xlpm.steps,SUBSTITUTE(Table13[[#This Row],[Input]],Table13[[#This Row],[Direction]],""),VALUE(IF(LEN(_xlpm.steps)&gt;2,RIGHT(_xlpm.steps,2),_xlpm.steps)))</f>
        <v>23</v>
      </c>
      <c r="D1943">
        <f>_xlfn.LET(_xlpm.steps,SUBSTITUTE(Table13[[#This Row],[Input]],Table13[[#This Row],[Direction]],""),VALUE(IF(LEN(_xlpm.steps)&gt;2,LEFT(_xlpm.steps,LEN(_xlpm.steps)-2),0)))</f>
        <v>3</v>
      </c>
      <c r="E1943">
        <f>_xlfn.LET(_xlpm.dir,Table13[[#This Row],[Direction]],
IF(_xlpm.dir="L",
    IF(G1942-Table13[[#This Row],[Steps]]&lt;0,100+(G1942-Table13[[#This Row],[Steps]]),G1942-Table13[[#This Row],[Steps]]),
))</f>
        <v>0</v>
      </c>
      <c r="F1943">
        <f>_xlfn.LET(_xlpm.dir,Table13[[#This Row],[Direction]],
IF(_xlpm.dir="R",
    IF(G1942+Table13[[#This Row],[Steps]]&gt;99,(G1942+Table13[[#This Row],[Steps]])-100,G1942+Table13[[#This Row],[Steps]]),
))</f>
        <v>96</v>
      </c>
      <c r="G1943">
        <f>IF(Table13[[#This Row],[New Pos L]]&lt;&gt;0,Table13[[#This Row],[New Pos L]],Table13[[#This Row],[New Pos R]])</f>
        <v>96</v>
      </c>
      <c r="H1943">
        <f>IF(AND(Table13[[#This Row],[Direction]]="L",Table13[[#This Row],[Steps]]&gt;G1942,G1942&lt;&gt;0),1,0)</f>
        <v>0</v>
      </c>
      <c r="I1943">
        <f>IF(AND(Table13[[#This Row],[Direction]]="R",(G1942+Table13[[#This Row],[Steps]])&gt;100),1,0)</f>
        <v>0</v>
      </c>
      <c r="J1943">
        <f>IF(Table13[[#This Row],[POS]]=0,1,0)</f>
        <v>0</v>
      </c>
      <c r="K1943">
        <f>SUM(Table13[[#This Row],[prefix]],Table13[[#This Row],[Past zero L]],Table13[[#This Row],[Past Zero R]],Table13[[#This Row],[Is Zero]])</f>
        <v>3</v>
      </c>
    </row>
    <row r="1944" spans="1:11" ht="16" x14ac:dyDescent="0.2">
      <c r="A1944" s="1" t="s">
        <v>95</v>
      </c>
      <c r="B1944" t="str">
        <f>LEFT(Table13[[#This Row],[Input]],1)</f>
        <v>L</v>
      </c>
      <c r="C1944">
        <f>_xlfn.LET(_xlpm.steps,SUBSTITUTE(Table13[[#This Row],[Input]],Table13[[#This Row],[Direction]],""),VALUE(IF(LEN(_xlpm.steps)&gt;2,RIGHT(_xlpm.steps,2),_xlpm.steps)))</f>
        <v>78</v>
      </c>
      <c r="D1944">
        <f>_xlfn.LET(_xlpm.steps,SUBSTITUTE(Table13[[#This Row],[Input]],Table13[[#This Row],[Direction]],""),VALUE(IF(LEN(_xlpm.steps)&gt;2,LEFT(_xlpm.steps,LEN(_xlpm.steps)-2),0)))</f>
        <v>0</v>
      </c>
      <c r="E1944">
        <f>_xlfn.LET(_xlpm.dir,Table13[[#This Row],[Direction]],
IF(_xlpm.dir="L",
    IF(G1943-Table13[[#This Row],[Steps]]&lt;0,100+(G1943-Table13[[#This Row],[Steps]]),G1943-Table13[[#This Row],[Steps]]),
))</f>
        <v>18</v>
      </c>
      <c r="F1944">
        <f>_xlfn.LET(_xlpm.dir,Table13[[#This Row],[Direction]],
IF(_xlpm.dir="R",
    IF(G1943+Table13[[#This Row],[Steps]]&gt;99,(G1943+Table13[[#This Row],[Steps]])-100,G1943+Table13[[#This Row],[Steps]]),
))</f>
        <v>0</v>
      </c>
      <c r="G1944">
        <f>IF(Table13[[#This Row],[New Pos L]]&lt;&gt;0,Table13[[#This Row],[New Pos L]],Table13[[#This Row],[New Pos R]])</f>
        <v>18</v>
      </c>
      <c r="H1944">
        <f>IF(AND(Table13[[#This Row],[Direction]]="L",Table13[[#This Row],[Steps]]&gt;G1943,G1943&lt;&gt;0),1,0)</f>
        <v>0</v>
      </c>
      <c r="I1944">
        <f>IF(AND(Table13[[#This Row],[Direction]]="R",(G1943+Table13[[#This Row],[Steps]])&gt;100),1,0)</f>
        <v>0</v>
      </c>
      <c r="J1944">
        <f>IF(Table13[[#This Row],[POS]]=0,1,0)</f>
        <v>0</v>
      </c>
      <c r="K1944">
        <f>SUM(Table13[[#This Row],[prefix]],Table13[[#This Row],[Past zero L]],Table13[[#This Row],[Past Zero R]],Table13[[#This Row],[Is Zero]])</f>
        <v>0</v>
      </c>
    </row>
    <row r="1945" spans="1:11" ht="16" x14ac:dyDescent="0.2">
      <c r="A1945" s="1" t="s">
        <v>18</v>
      </c>
      <c r="B1945" t="str">
        <f>LEFT(Table13[[#This Row],[Input]],1)</f>
        <v>L</v>
      </c>
      <c r="C1945">
        <f>_xlfn.LET(_xlpm.steps,SUBSTITUTE(Table13[[#This Row],[Input]],Table13[[#This Row],[Direction]],""),VALUE(IF(LEN(_xlpm.steps)&gt;2,RIGHT(_xlpm.steps,2),_xlpm.steps)))</f>
        <v>46</v>
      </c>
      <c r="D1945">
        <f>_xlfn.LET(_xlpm.steps,SUBSTITUTE(Table13[[#This Row],[Input]],Table13[[#This Row],[Direction]],""),VALUE(IF(LEN(_xlpm.steps)&gt;2,LEFT(_xlpm.steps,LEN(_xlpm.steps)-2),0)))</f>
        <v>0</v>
      </c>
      <c r="E1945">
        <f>_xlfn.LET(_xlpm.dir,Table13[[#This Row],[Direction]],
IF(_xlpm.dir="L",
    IF(G1944-Table13[[#This Row],[Steps]]&lt;0,100+(G1944-Table13[[#This Row],[Steps]]),G1944-Table13[[#This Row],[Steps]]),
))</f>
        <v>72</v>
      </c>
      <c r="F1945">
        <f>_xlfn.LET(_xlpm.dir,Table13[[#This Row],[Direction]],
IF(_xlpm.dir="R",
    IF(G1944+Table13[[#This Row],[Steps]]&gt;99,(G1944+Table13[[#This Row],[Steps]])-100,G1944+Table13[[#This Row],[Steps]]),
))</f>
        <v>0</v>
      </c>
      <c r="G1945">
        <f>IF(Table13[[#This Row],[New Pos L]]&lt;&gt;0,Table13[[#This Row],[New Pos L]],Table13[[#This Row],[New Pos R]])</f>
        <v>72</v>
      </c>
      <c r="H1945">
        <f>IF(AND(Table13[[#This Row],[Direction]]="L",Table13[[#This Row],[Steps]]&gt;G1944,G1944&lt;&gt;0),1,0)</f>
        <v>1</v>
      </c>
      <c r="I1945">
        <f>IF(AND(Table13[[#This Row],[Direction]]="R",(G1944+Table13[[#This Row],[Steps]])&gt;100),1,0)</f>
        <v>0</v>
      </c>
      <c r="J1945">
        <f>IF(Table13[[#This Row],[POS]]=0,1,0)</f>
        <v>0</v>
      </c>
      <c r="K1945">
        <f>SUM(Table13[[#This Row],[prefix]],Table13[[#This Row],[Past zero L]],Table13[[#This Row],[Past Zero R]],Table13[[#This Row],[Is Zero]])</f>
        <v>1</v>
      </c>
    </row>
    <row r="1946" spans="1:11" ht="16" x14ac:dyDescent="0.2">
      <c r="A1946" s="1" t="s">
        <v>26</v>
      </c>
      <c r="B1946" t="str">
        <f>LEFT(Table13[[#This Row],[Input]],1)</f>
        <v>R</v>
      </c>
      <c r="C1946">
        <f>_xlfn.LET(_xlpm.steps,SUBSTITUTE(Table13[[#This Row],[Input]],Table13[[#This Row],[Direction]],""),VALUE(IF(LEN(_xlpm.steps)&gt;2,RIGHT(_xlpm.steps,2),_xlpm.steps)))</f>
        <v>6</v>
      </c>
      <c r="D1946">
        <f>_xlfn.LET(_xlpm.steps,SUBSTITUTE(Table13[[#This Row],[Input]],Table13[[#This Row],[Direction]],""),VALUE(IF(LEN(_xlpm.steps)&gt;2,LEFT(_xlpm.steps,LEN(_xlpm.steps)-2),0)))</f>
        <v>0</v>
      </c>
      <c r="E1946">
        <f>_xlfn.LET(_xlpm.dir,Table13[[#This Row],[Direction]],
IF(_xlpm.dir="L",
    IF(G1945-Table13[[#This Row],[Steps]]&lt;0,100+(G1945-Table13[[#This Row],[Steps]]),G1945-Table13[[#This Row],[Steps]]),
))</f>
        <v>0</v>
      </c>
      <c r="F1946">
        <f>_xlfn.LET(_xlpm.dir,Table13[[#This Row],[Direction]],
IF(_xlpm.dir="R",
    IF(G1945+Table13[[#This Row],[Steps]]&gt;99,(G1945+Table13[[#This Row],[Steps]])-100,G1945+Table13[[#This Row],[Steps]]),
))</f>
        <v>78</v>
      </c>
      <c r="G1946">
        <f>IF(Table13[[#This Row],[New Pos L]]&lt;&gt;0,Table13[[#This Row],[New Pos L]],Table13[[#This Row],[New Pos R]])</f>
        <v>78</v>
      </c>
      <c r="H1946">
        <f>IF(AND(Table13[[#This Row],[Direction]]="L",Table13[[#This Row],[Steps]]&gt;G1945,G1945&lt;&gt;0),1,0)</f>
        <v>0</v>
      </c>
      <c r="I1946">
        <f>IF(AND(Table13[[#This Row],[Direction]]="R",(G1945+Table13[[#This Row],[Steps]])&gt;100),1,0)</f>
        <v>0</v>
      </c>
      <c r="J1946">
        <f>IF(Table13[[#This Row],[POS]]=0,1,0)</f>
        <v>0</v>
      </c>
      <c r="K1946">
        <f>SUM(Table13[[#This Row],[prefix]],Table13[[#This Row],[Past zero L]],Table13[[#This Row],[Past Zero R]],Table13[[#This Row],[Is Zero]])</f>
        <v>0</v>
      </c>
    </row>
    <row r="1947" spans="1:11" ht="16" x14ac:dyDescent="0.2">
      <c r="A1947" s="1" t="s">
        <v>182</v>
      </c>
      <c r="B1947" t="str">
        <f>LEFT(Table13[[#This Row],[Input]],1)</f>
        <v>L</v>
      </c>
      <c r="C1947">
        <f>_xlfn.LET(_xlpm.steps,SUBSTITUTE(Table13[[#This Row],[Input]],Table13[[#This Row],[Direction]],""),VALUE(IF(LEN(_xlpm.steps)&gt;2,RIGHT(_xlpm.steps,2),_xlpm.steps)))</f>
        <v>3</v>
      </c>
      <c r="D1947">
        <f>_xlfn.LET(_xlpm.steps,SUBSTITUTE(Table13[[#This Row],[Input]],Table13[[#This Row],[Direction]],""),VALUE(IF(LEN(_xlpm.steps)&gt;2,LEFT(_xlpm.steps,LEN(_xlpm.steps)-2),0)))</f>
        <v>0</v>
      </c>
      <c r="E1947">
        <f>_xlfn.LET(_xlpm.dir,Table13[[#This Row],[Direction]],
IF(_xlpm.dir="L",
    IF(G1946-Table13[[#This Row],[Steps]]&lt;0,100+(G1946-Table13[[#This Row],[Steps]]),G1946-Table13[[#This Row],[Steps]]),
))</f>
        <v>75</v>
      </c>
      <c r="F1947">
        <f>_xlfn.LET(_xlpm.dir,Table13[[#This Row],[Direction]],
IF(_xlpm.dir="R",
    IF(G1946+Table13[[#This Row],[Steps]]&gt;99,(G1946+Table13[[#This Row],[Steps]])-100,G1946+Table13[[#This Row],[Steps]]),
))</f>
        <v>0</v>
      </c>
      <c r="G1947">
        <f>IF(Table13[[#This Row],[New Pos L]]&lt;&gt;0,Table13[[#This Row],[New Pos L]],Table13[[#This Row],[New Pos R]])</f>
        <v>75</v>
      </c>
      <c r="H1947">
        <f>IF(AND(Table13[[#This Row],[Direction]]="L",Table13[[#This Row],[Steps]]&gt;G1946,G1946&lt;&gt;0),1,0)</f>
        <v>0</v>
      </c>
      <c r="I1947">
        <f>IF(AND(Table13[[#This Row],[Direction]]="R",(G1946+Table13[[#This Row],[Steps]])&gt;100),1,0)</f>
        <v>0</v>
      </c>
      <c r="J1947">
        <f>IF(Table13[[#This Row],[POS]]=0,1,0)</f>
        <v>0</v>
      </c>
      <c r="K1947">
        <f>SUM(Table13[[#This Row],[prefix]],Table13[[#This Row],[Past zero L]],Table13[[#This Row],[Past Zero R]],Table13[[#This Row],[Is Zero]])</f>
        <v>0</v>
      </c>
    </row>
    <row r="1948" spans="1:11" ht="16" x14ac:dyDescent="0.2">
      <c r="A1948" s="1" t="s">
        <v>50</v>
      </c>
      <c r="B1948" t="str">
        <f>LEFT(Table13[[#This Row],[Input]],1)</f>
        <v>R</v>
      </c>
      <c r="C1948">
        <f>_xlfn.LET(_xlpm.steps,SUBSTITUTE(Table13[[#This Row],[Input]],Table13[[#This Row],[Direction]],""),VALUE(IF(LEN(_xlpm.steps)&gt;2,RIGHT(_xlpm.steps,2),_xlpm.steps)))</f>
        <v>78</v>
      </c>
      <c r="D1948">
        <f>_xlfn.LET(_xlpm.steps,SUBSTITUTE(Table13[[#This Row],[Input]],Table13[[#This Row],[Direction]],""),VALUE(IF(LEN(_xlpm.steps)&gt;2,LEFT(_xlpm.steps,LEN(_xlpm.steps)-2),0)))</f>
        <v>0</v>
      </c>
      <c r="E1948">
        <f>_xlfn.LET(_xlpm.dir,Table13[[#This Row],[Direction]],
IF(_xlpm.dir="L",
    IF(G1947-Table13[[#This Row],[Steps]]&lt;0,100+(G1947-Table13[[#This Row],[Steps]]),G1947-Table13[[#This Row],[Steps]]),
))</f>
        <v>0</v>
      </c>
      <c r="F1948">
        <f>_xlfn.LET(_xlpm.dir,Table13[[#This Row],[Direction]],
IF(_xlpm.dir="R",
    IF(G1947+Table13[[#This Row],[Steps]]&gt;99,(G1947+Table13[[#This Row],[Steps]])-100,G1947+Table13[[#This Row],[Steps]]),
))</f>
        <v>53</v>
      </c>
      <c r="G1948">
        <f>IF(Table13[[#This Row],[New Pos L]]&lt;&gt;0,Table13[[#This Row],[New Pos L]],Table13[[#This Row],[New Pos R]])</f>
        <v>53</v>
      </c>
      <c r="H1948">
        <f>IF(AND(Table13[[#This Row],[Direction]]="L",Table13[[#This Row],[Steps]]&gt;G1947,G1947&lt;&gt;0),1,0)</f>
        <v>0</v>
      </c>
      <c r="I1948">
        <f>IF(AND(Table13[[#This Row],[Direction]]="R",(G1947+Table13[[#This Row],[Steps]])&gt;100),1,0)</f>
        <v>1</v>
      </c>
      <c r="J1948">
        <f>IF(Table13[[#This Row],[POS]]=0,1,0)</f>
        <v>0</v>
      </c>
      <c r="K1948">
        <f>SUM(Table13[[#This Row],[prefix]],Table13[[#This Row],[Past zero L]],Table13[[#This Row],[Past Zero R]],Table13[[#This Row],[Is Zero]])</f>
        <v>1</v>
      </c>
    </row>
    <row r="1949" spans="1:11" ht="16" x14ac:dyDescent="0.2">
      <c r="A1949" s="1" t="s">
        <v>51</v>
      </c>
      <c r="B1949" t="str">
        <f>LEFT(Table13[[#This Row],[Input]],1)</f>
        <v>L</v>
      </c>
      <c r="C1949">
        <f>_xlfn.LET(_xlpm.steps,SUBSTITUTE(Table13[[#This Row],[Input]],Table13[[#This Row],[Direction]],""),VALUE(IF(LEN(_xlpm.steps)&gt;2,RIGHT(_xlpm.steps,2),_xlpm.steps)))</f>
        <v>25</v>
      </c>
      <c r="D1949">
        <f>_xlfn.LET(_xlpm.steps,SUBSTITUTE(Table13[[#This Row],[Input]],Table13[[#This Row],[Direction]],""),VALUE(IF(LEN(_xlpm.steps)&gt;2,LEFT(_xlpm.steps,LEN(_xlpm.steps)-2),0)))</f>
        <v>0</v>
      </c>
      <c r="E1949">
        <f>_xlfn.LET(_xlpm.dir,Table13[[#This Row],[Direction]],
IF(_xlpm.dir="L",
    IF(G1948-Table13[[#This Row],[Steps]]&lt;0,100+(G1948-Table13[[#This Row],[Steps]]),G1948-Table13[[#This Row],[Steps]]),
))</f>
        <v>28</v>
      </c>
      <c r="F1949">
        <f>_xlfn.LET(_xlpm.dir,Table13[[#This Row],[Direction]],
IF(_xlpm.dir="R",
    IF(G1948+Table13[[#This Row],[Steps]]&gt;99,(G1948+Table13[[#This Row],[Steps]])-100,G1948+Table13[[#This Row],[Steps]]),
))</f>
        <v>0</v>
      </c>
      <c r="G1949">
        <f>IF(Table13[[#This Row],[New Pos L]]&lt;&gt;0,Table13[[#This Row],[New Pos L]],Table13[[#This Row],[New Pos R]])</f>
        <v>28</v>
      </c>
      <c r="H1949">
        <f>IF(AND(Table13[[#This Row],[Direction]]="L",Table13[[#This Row],[Steps]]&gt;G1948,G1948&lt;&gt;0),1,0)</f>
        <v>0</v>
      </c>
      <c r="I1949">
        <f>IF(AND(Table13[[#This Row],[Direction]]="R",(G1948+Table13[[#This Row],[Steps]])&gt;100),1,0)</f>
        <v>0</v>
      </c>
      <c r="J1949">
        <f>IF(Table13[[#This Row],[POS]]=0,1,0)</f>
        <v>0</v>
      </c>
      <c r="K1949">
        <f>SUM(Table13[[#This Row],[prefix]],Table13[[#This Row],[Past zero L]],Table13[[#This Row],[Past Zero R]],Table13[[#This Row],[Is Zero]])</f>
        <v>0</v>
      </c>
    </row>
    <row r="1950" spans="1:11" ht="16" x14ac:dyDescent="0.2">
      <c r="A1950" s="1" t="s">
        <v>119</v>
      </c>
      <c r="B1950" t="str">
        <f>LEFT(Table13[[#This Row],[Input]],1)</f>
        <v>L</v>
      </c>
      <c r="C1950">
        <f>_xlfn.LET(_xlpm.steps,SUBSTITUTE(Table13[[#This Row],[Input]],Table13[[#This Row],[Direction]],""),VALUE(IF(LEN(_xlpm.steps)&gt;2,RIGHT(_xlpm.steps,2),_xlpm.steps)))</f>
        <v>77</v>
      </c>
      <c r="D1950">
        <f>_xlfn.LET(_xlpm.steps,SUBSTITUTE(Table13[[#This Row],[Input]],Table13[[#This Row],[Direction]],""),VALUE(IF(LEN(_xlpm.steps)&gt;2,LEFT(_xlpm.steps,LEN(_xlpm.steps)-2),0)))</f>
        <v>0</v>
      </c>
      <c r="E1950">
        <f>_xlfn.LET(_xlpm.dir,Table13[[#This Row],[Direction]],
IF(_xlpm.dir="L",
    IF(G1949-Table13[[#This Row],[Steps]]&lt;0,100+(G1949-Table13[[#This Row],[Steps]]),G1949-Table13[[#This Row],[Steps]]),
))</f>
        <v>51</v>
      </c>
      <c r="F1950">
        <f>_xlfn.LET(_xlpm.dir,Table13[[#This Row],[Direction]],
IF(_xlpm.dir="R",
    IF(G1949+Table13[[#This Row],[Steps]]&gt;99,(G1949+Table13[[#This Row],[Steps]])-100,G1949+Table13[[#This Row],[Steps]]),
))</f>
        <v>0</v>
      </c>
      <c r="G1950">
        <f>IF(Table13[[#This Row],[New Pos L]]&lt;&gt;0,Table13[[#This Row],[New Pos L]],Table13[[#This Row],[New Pos R]])</f>
        <v>51</v>
      </c>
      <c r="H1950">
        <f>IF(AND(Table13[[#This Row],[Direction]]="L",Table13[[#This Row],[Steps]]&gt;G1949,G1949&lt;&gt;0),1,0)</f>
        <v>1</v>
      </c>
      <c r="I1950">
        <f>IF(AND(Table13[[#This Row],[Direction]]="R",(G1949+Table13[[#This Row],[Steps]])&gt;100),1,0)</f>
        <v>0</v>
      </c>
      <c r="J1950">
        <f>IF(Table13[[#This Row],[POS]]=0,1,0)</f>
        <v>0</v>
      </c>
      <c r="K1950">
        <f>SUM(Table13[[#This Row],[prefix]],Table13[[#This Row],[Past zero L]],Table13[[#This Row],[Past Zero R]],Table13[[#This Row],[Is Zero]])</f>
        <v>1</v>
      </c>
    </row>
    <row r="1951" spans="1:11" ht="16" x14ac:dyDescent="0.2">
      <c r="A1951" s="1" t="s">
        <v>126</v>
      </c>
      <c r="B1951" t="str">
        <f>LEFT(Table13[[#This Row],[Input]],1)</f>
        <v>R</v>
      </c>
      <c r="C1951">
        <f>_xlfn.LET(_xlpm.steps,SUBSTITUTE(Table13[[#This Row],[Input]],Table13[[#This Row],[Direction]],""),VALUE(IF(LEN(_xlpm.steps)&gt;2,RIGHT(_xlpm.steps,2),_xlpm.steps)))</f>
        <v>65</v>
      </c>
      <c r="D1951">
        <f>_xlfn.LET(_xlpm.steps,SUBSTITUTE(Table13[[#This Row],[Input]],Table13[[#This Row],[Direction]],""),VALUE(IF(LEN(_xlpm.steps)&gt;2,LEFT(_xlpm.steps,LEN(_xlpm.steps)-2),0)))</f>
        <v>0</v>
      </c>
      <c r="E1951">
        <f>_xlfn.LET(_xlpm.dir,Table13[[#This Row],[Direction]],
IF(_xlpm.dir="L",
    IF(G1950-Table13[[#This Row],[Steps]]&lt;0,100+(G1950-Table13[[#This Row],[Steps]]),G1950-Table13[[#This Row],[Steps]]),
))</f>
        <v>0</v>
      </c>
      <c r="F1951">
        <f>_xlfn.LET(_xlpm.dir,Table13[[#This Row],[Direction]],
IF(_xlpm.dir="R",
    IF(G1950+Table13[[#This Row],[Steps]]&gt;99,(G1950+Table13[[#This Row],[Steps]])-100,G1950+Table13[[#This Row],[Steps]]),
))</f>
        <v>16</v>
      </c>
      <c r="G1951">
        <f>IF(Table13[[#This Row],[New Pos L]]&lt;&gt;0,Table13[[#This Row],[New Pos L]],Table13[[#This Row],[New Pos R]])</f>
        <v>16</v>
      </c>
      <c r="H1951">
        <f>IF(AND(Table13[[#This Row],[Direction]]="L",Table13[[#This Row],[Steps]]&gt;G1950,G1950&lt;&gt;0),1,0)</f>
        <v>0</v>
      </c>
      <c r="I1951">
        <f>IF(AND(Table13[[#This Row],[Direction]]="R",(G1950+Table13[[#This Row],[Steps]])&gt;100),1,0)</f>
        <v>1</v>
      </c>
      <c r="J1951">
        <f>IF(Table13[[#This Row],[POS]]=0,1,0)</f>
        <v>0</v>
      </c>
      <c r="K1951">
        <f>SUM(Table13[[#This Row],[prefix]],Table13[[#This Row],[Past zero L]],Table13[[#This Row],[Past Zero R]],Table13[[#This Row],[Is Zero]])</f>
        <v>1</v>
      </c>
    </row>
    <row r="1952" spans="1:11" ht="16" x14ac:dyDescent="0.2">
      <c r="A1952" s="1" t="s">
        <v>61</v>
      </c>
      <c r="B1952" t="str">
        <f>LEFT(Table13[[#This Row],[Input]],1)</f>
        <v>L</v>
      </c>
      <c r="C1952">
        <f>_xlfn.LET(_xlpm.steps,SUBSTITUTE(Table13[[#This Row],[Input]],Table13[[#This Row],[Direction]],""),VALUE(IF(LEN(_xlpm.steps)&gt;2,RIGHT(_xlpm.steps,2),_xlpm.steps)))</f>
        <v>16</v>
      </c>
      <c r="D1952">
        <f>_xlfn.LET(_xlpm.steps,SUBSTITUTE(Table13[[#This Row],[Input]],Table13[[#This Row],[Direction]],""),VALUE(IF(LEN(_xlpm.steps)&gt;2,LEFT(_xlpm.steps,LEN(_xlpm.steps)-2),0)))</f>
        <v>0</v>
      </c>
      <c r="E1952">
        <f>_xlfn.LET(_xlpm.dir,Table13[[#This Row],[Direction]],
IF(_xlpm.dir="L",
    IF(G1951-Table13[[#This Row],[Steps]]&lt;0,100+(G1951-Table13[[#This Row],[Steps]]),G1951-Table13[[#This Row],[Steps]]),
))</f>
        <v>0</v>
      </c>
      <c r="F1952">
        <f>_xlfn.LET(_xlpm.dir,Table13[[#This Row],[Direction]],
IF(_xlpm.dir="R",
    IF(G1951+Table13[[#This Row],[Steps]]&gt;99,(G1951+Table13[[#This Row],[Steps]])-100,G1951+Table13[[#This Row],[Steps]]),
))</f>
        <v>0</v>
      </c>
      <c r="G1952">
        <f>IF(Table13[[#This Row],[New Pos L]]&lt;&gt;0,Table13[[#This Row],[New Pos L]],Table13[[#This Row],[New Pos R]])</f>
        <v>0</v>
      </c>
      <c r="H1952">
        <f>IF(AND(Table13[[#This Row],[Direction]]="L",Table13[[#This Row],[Steps]]&gt;G1951,G1951&lt;&gt;0),1,0)</f>
        <v>0</v>
      </c>
      <c r="I1952">
        <f>IF(AND(Table13[[#This Row],[Direction]]="R",(G1951+Table13[[#This Row],[Steps]])&gt;100),1,0)</f>
        <v>0</v>
      </c>
      <c r="J1952">
        <f>IF(Table13[[#This Row],[POS]]=0,1,0)</f>
        <v>1</v>
      </c>
      <c r="K1952">
        <f>SUM(Table13[[#This Row],[prefix]],Table13[[#This Row],[Past zero L]],Table13[[#This Row],[Past Zero R]],Table13[[#This Row],[Is Zero]])</f>
        <v>1</v>
      </c>
    </row>
    <row r="1953" spans="1:11" ht="16" x14ac:dyDescent="0.2">
      <c r="A1953" s="1" t="s">
        <v>36</v>
      </c>
      <c r="B1953" t="str">
        <f>LEFT(Table13[[#This Row],[Input]],1)</f>
        <v>R</v>
      </c>
      <c r="C1953">
        <f>_xlfn.LET(_xlpm.steps,SUBSTITUTE(Table13[[#This Row],[Input]],Table13[[#This Row],[Direction]],""),VALUE(IF(LEN(_xlpm.steps)&gt;2,RIGHT(_xlpm.steps,2),_xlpm.steps)))</f>
        <v>50</v>
      </c>
      <c r="D1953">
        <f>_xlfn.LET(_xlpm.steps,SUBSTITUTE(Table13[[#This Row],[Input]],Table13[[#This Row],[Direction]],""),VALUE(IF(LEN(_xlpm.steps)&gt;2,LEFT(_xlpm.steps,LEN(_xlpm.steps)-2),0)))</f>
        <v>0</v>
      </c>
      <c r="E1953">
        <f>_xlfn.LET(_xlpm.dir,Table13[[#This Row],[Direction]],
IF(_xlpm.dir="L",
    IF(G1952-Table13[[#This Row],[Steps]]&lt;0,100+(G1952-Table13[[#This Row],[Steps]]),G1952-Table13[[#This Row],[Steps]]),
))</f>
        <v>0</v>
      </c>
      <c r="F1953">
        <f>_xlfn.LET(_xlpm.dir,Table13[[#This Row],[Direction]],
IF(_xlpm.dir="R",
    IF(G1952+Table13[[#This Row],[Steps]]&gt;99,(G1952+Table13[[#This Row],[Steps]])-100,G1952+Table13[[#This Row],[Steps]]),
))</f>
        <v>50</v>
      </c>
      <c r="G1953">
        <f>IF(Table13[[#This Row],[New Pos L]]&lt;&gt;0,Table13[[#This Row],[New Pos L]],Table13[[#This Row],[New Pos R]])</f>
        <v>50</v>
      </c>
      <c r="H1953">
        <f>IF(AND(Table13[[#This Row],[Direction]]="L",Table13[[#This Row],[Steps]]&gt;G1952,G1952&lt;&gt;0),1,0)</f>
        <v>0</v>
      </c>
      <c r="I1953">
        <f>IF(AND(Table13[[#This Row],[Direction]]="R",(G1952+Table13[[#This Row],[Steps]])&gt;100),1,0)</f>
        <v>0</v>
      </c>
      <c r="J1953">
        <f>IF(Table13[[#This Row],[POS]]=0,1,0)</f>
        <v>0</v>
      </c>
      <c r="K1953">
        <f>SUM(Table13[[#This Row],[prefix]],Table13[[#This Row],[Past zero L]],Table13[[#This Row],[Past Zero R]],Table13[[#This Row],[Is Zero]])</f>
        <v>0</v>
      </c>
    </row>
    <row r="1954" spans="1:11" ht="16" x14ac:dyDescent="0.2">
      <c r="A1954" s="1" t="s">
        <v>535</v>
      </c>
      <c r="B1954" t="str">
        <f>LEFT(Table13[[#This Row],[Input]],1)</f>
        <v>L</v>
      </c>
      <c r="C1954">
        <f>_xlfn.LET(_xlpm.steps,SUBSTITUTE(Table13[[#This Row],[Input]],Table13[[#This Row],[Direction]],""),VALUE(IF(LEN(_xlpm.steps)&gt;2,RIGHT(_xlpm.steps,2),_xlpm.steps)))</f>
        <v>50</v>
      </c>
      <c r="D1954">
        <f>_xlfn.LET(_xlpm.steps,SUBSTITUTE(Table13[[#This Row],[Input]],Table13[[#This Row],[Direction]],""),VALUE(IF(LEN(_xlpm.steps)&gt;2,LEFT(_xlpm.steps,LEN(_xlpm.steps)-2),0)))</f>
        <v>1</v>
      </c>
      <c r="E1954">
        <f>_xlfn.LET(_xlpm.dir,Table13[[#This Row],[Direction]],
IF(_xlpm.dir="L",
    IF(G1953-Table13[[#This Row],[Steps]]&lt;0,100+(G1953-Table13[[#This Row],[Steps]]),G1953-Table13[[#This Row],[Steps]]),
))</f>
        <v>0</v>
      </c>
      <c r="F1954">
        <f>_xlfn.LET(_xlpm.dir,Table13[[#This Row],[Direction]],
IF(_xlpm.dir="R",
    IF(G1953+Table13[[#This Row],[Steps]]&gt;99,(G1953+Table13[[#This Row],[Steps]])-100,G1953+Table13[[#This Row],[Steps]]),
))</f>
        <v>0</v>
      </c>
      <c r="G1954">
        <f>IF(Table13[[#This Row],[New Pos L]]&lt;&gt;0,Table13[[#This Row],[New Pos L]],Table13[[#This Row],[New Pos R]])</f>
        <v>0</v>
      </c>
      <c r="H1954">
        <f>IF(AND(Table13[[#This Row],[Direction]]="L",Table13[[#This Row],[Steps]]&gt;G1953,G1953&lt;&gt;0),1,0)</f>
        <v>0</v>
      </c>
      <c r="I1954">
        <f>IF(AND(Table13[[#This Row],[Direction]]="R",(G1953+Table13[[#This Row],[Steps]])&gt;100),1,0)</f>
        <v>0</v>
      </c>
      <c r="J1954">
        <f>IF(Table13[[#This Row],[POS]]=0,1,0)</f>
        <v>1</v>
      </c>
      <c r="K1954">
        <f>SUM(Table13[[#This Row],[prefix]],Table13[[#This Row],[Past zero L]],Table13[[#This Row],[Past Zero R]],Table13[[#This Row],[Is Zero]])</f>
        <v>2</v>
      </c>
    </row>
    <row r="1955" spans="1:11" ht="16" x14ac:dyDescent="0.2">
      <c r="A1955" s="1" t="s">
        <v>382</v>
      </c>
      <c r="B1955" t="str">
        <f>LEFT(Table13[[#This Row],[Input]],1)</f>
        <v>L</v>
      </c>
      <c r="C1955">
        <f>_xlfn.LET(_xlpm.steps,SUBSTITUTE(Table13[[#This Row],[Input]],Table13[[#This Row],[Direction]],""),VALUE(IF(LEN(_xlpm.steps)&gt;2,RIGHT(_xlpm.steps,2),_xlpm.steps)))</f>
        <v>76</v>
      </c>
      <c r="D1955">
        <f>_xlfn.LET(_xlpm.steps,SUBSTITUTE(Table13[[#This Row],[Input]],Table13[[#This Row],[Direction]],""),VALUE(IF(LEN(_xlpm.steps)&gt;2,LEFT(_xlpm.steps,LEN(_xlpm.steps)-2),0)))</f>
        <v>8</v>
      </c>
      <c r="E1955">
        <f>_xlfn.LET(_xlpm.dir,Table13[[#This Row],[Direction]],
IF(_xlpm.dir="L",
    IF(G1954-Table13[[#This Row],[Steps]]&lt;0,100+(G1954-Table13[[#This Row],[Steps]]),G1954-Table13[[#This Row],[Steps]]),
))</f>
        <v>24</v>
      </c>
      <c r="F1955">
        <f>_xlfn.LET(_xlpm.dir,Table13[[#This Row],[Direction]],
IF(_xlpm.dir="R",
    IF(G1954+Table13[[#This Row],[Steps]]&gt;99,(G1954+Table13[[#This Row],[Steps]])-100,G1954+Table13[[#This Row],[Steps]]),
))</f>
        <v>0</v>
      </c>
      <c r="G1955">
        <f>IF(Table13[[#This Row],[New Pos L]]&lt;&gt;0,Table13[[#This Row],[New Pos L]],Table13[[#This Row],[New Pos R]])</f>
        <v>24</v>
      </c>
      <c r="H1955">
        <f>IF(AND(Table13[[#This Row],[Direction]]="L",Table13[[#This Row],[Steps]]&gt;G1954,G1954&lt;&gt;0),1,0)</f>
        <v>0</v>
      </c>
      <c r="I1955">
        <f>IF(AND(Table13[[#This Row],[Direction]]="R",(G1954+Table13[[#This Row],[Steps]])&gt;100),1,0)</f>
        <v>0</v>
      </c>
      <c r="J1955">
        <f>IF(Table13[[#This Row],[POS]]=0,1,0)</f>
        <v>0</v>
      </c>
      <c r="K1955">
        <f>SUM(Table13[[#This Row],[prefix]],Table13[[#This Row],[Past zero L]],Table13[[#This Row],[Past Zero R]],Table13[[#This Row],[Is Zero]])</f>
        <v>8</v>
      </c>
    </row>
    <row r="1956" spans="1:11" ht="16" x14ac:dyDescent="0.2">
      <c r="A1956" s="1" t="s">
        <v>134</v>
      </c>
      <c r="B1956" t="str">
        <f>LEFT(Table13[[#This Row],[Input]],1)</f>
        <v>L</v>
      </c>
      <c r="C1956">
        <f>_xlfn.LET(_xlpm.steps,SUBSTITUTE(Table13[[#This Row],[Input]],Table13[[#This Row],[Direction]],""),VALUE(IF(LEN(_xlpm.steps)&gt;2,RIGHT(_xlpm.steps,2),_xlpm.steps)))</f>
        <v>95</v>
      </c>
      <c r="D1956">
        <f>_xlfn.LET(_xlpm.steps,SUBSTITUTE(Table13[[#This Row],[Input]],Table13[[#This Row],[Direction]],""),VALUE(IF(LEN(_xlpm.steps)&gt;2,LEFT(_xlpm.steps,LEN(_xlpm.steps)-2),0)))</f>
        <v>0</v>
      </c>
      <c r="E1956">
        <f>_xlfn.LET(_xlpm.dir,Table13[[#This Row],[Direction]],
IF(_xlpm.dir="L",
    IF(G1955-Table13[[#This Row],[Steps]]&lt;0,100+(G1955-Table13[[#This Row],[Steps]]),G1955-Table13[[#This Row],[Steps]]),
))</f>
        <v>29</v>
      </c>
      <c r="F1956">
        <f>_xlfn.LET(_xlpm.dir,Table13[[#This Row],[Direction]],
IF(_xlpm.dir="R",
    IF(G1955+Table13[[#This Row],[Steps]]&gt;99,(G1955+Table13[[#This Row],[Steps]])-100,G1955+Table13[[#This Row],[Steps]]),
))</f>
        <v>0</v>
      </c>
      <c r="G1956">
        <f>IF(Table13[[#This Row],[New Pos L]]&lt;&gt;0,Table13[[#This Row],[New Pos L]],Table13[[#This Row],[New Pos R]])</f>
        <v>29</v>
      </c>
      <c r="H1956">
        <f>IF(AND(Table13[[#This Row],[Direction]]="L",Table13[[#This Row],[Steps]]&gt;G1955,G1955&lt;&gt;0),1,0)</f>
        <v>1</v>
      </c>
      <c r="I1956">
        <f>IF(AND(Table13[[#This Row],[Direction]]="R",(G1955+Table13[[#This Row],[Steps]])&gt;100),1,0)</f>
        <v>0</v>
      </c>
      <c r="J1956">
        <f>IF(Table13[[#This Row],[POS]]=0,1,0)</f>
        <v>0</v>
      </c>
      <c r="K1956">
        <f>SUM(Table13[[#This Row],[prefix]],Table13[[#This Row],[Past zero L]],Table13[[#This Row],[Past Zero R]],Table13[[#This Row],[Is Zero]])</f>
        <v>1</v>
      </c>
    </row>
    <row r="1957" spans="1:11" ht="16" x14ac:dyDescent="0.2">
      <c r="A1957" s="1" t="s">
        <v>83</v>
      </c>
      <c r="B1957" t="str">
        <f>LEFT(Table13[[#This Row],[Input]],1)</f>
        <v>R</v>
      </c>
      <c r="C1957">
        <f>_xlfn.LET(_xlpm.steps,SUBSTITUTE(Table13[[#This Row],[Input]],Table13[[#This Row],[Direction]],""),VALUE(IF(LEN(_xlpm.steps)&gt;2,RIGHT(_xlpm.steps,2),_xlpm.steps)))</f>
        <v>79</v>
      </c>
      <c r="D1957">
        <f>_xlfn.LET(_xlpm.steps,SUBSTITUTE(Table13[[#This Row],[Input]],Table13[[#This Row],[Direction]],""),VALUE(IF(LEN(_xlpm.steps)&gt;2,LEFT(_xlpm.steps,LEN(_xlpm.steps)-2),0)))</f>
        <v>0</v>
      </c>
      <c r="E1957">
        <f>_xlfn.LET(_xlpm.dir,Table13[[#This Row],[Direction]],
IF(_xlpm.dir="L",
    IF(G1956-Table13[[#This Row],[Steps]]&lt;0,100+(G1956-Table13[[#This Row],[Steps]]),G1956-Table13[[#This Row],[Steps]]),
))</f>
        <v>0</v>
      </c>
      <c r="F1957">
        <f>_xlfn.LET(_xlpm.dir,Table13[[#This Row],[Direction]],
IF(_xlpm.dir="R",
    IF(G1956+Table13[[#This Row],[Steps]]&gt;99,(G1956+Table13[[#This Row],[Steps]])-100,G1956+Table13[[#This Row],[Steps]]),
))</f>
        <v>8</v>
      </c>
      <c r="G1957">
        <f>IF(Table13[[#This Row],[New Pos L]]&lt;&gt;0,Table13[[#This Row],[New Pos L]],Table13[[#This Row],[New Pos R]])</f>
        <v>8</v>
      </c>
      <c r="H1957">
        <f>IF(AND(Table13[[#This Row],[Direction]]="L",Table13[[#This Row],[Steps]]&gt;G1956,G1956&lt;&gt;0),1,0)</f>
        <v>0</v>
      </c>
      <c r="I1957">
        <f>IF(AND(Table13[[#This Row],[Direction]]="R",(G1956+Table13[[#This Row],[Steps]])&gt;100),1,0)</f>
        <v>1</v>
      </c>
      <c r="J1957">
        <f>IF(Table13[[#This Row],[POS]]=0,1,0)</f>
        <v>0</v>
      </c>
      <c r="K1957">
        <f>SUM(Table13[[#This Row],[prefix]],Table13[[#This Row],[Past zero L]],Table13[[#This Row],[Past Zero R]],Table13[[#This Row],[Is Zero]])</f>
        <v>1</v>
      </c>
    </row>
    <row r="1958" spans="1:11" ht="16" x14ac:dyDescent="0.2">
      <c r="A1958" s="1" t="s">
        <v>15</v>
      </c>
      <c r="B1958" t="str">
        <f>LEFT(Table13[[#This Row],[Input]],1)</f>
        <v>R</v>
      </c>
      <c r="C1958">
        <f>_xlfn.LET(_xlpm.steps,SUBSTITUTE(Table13[[#This Row],[Input]],Table13[[#This Row],[Direction]],""),VALUE(IF(LEN(_xlpm.steps)&gt;2,RIGHT(_xlpm.steps,2),_xlpm.steps)))</f>
        <v>36</v>
      </c>
      <c r="D1958">
        <f>_xlfn.LET(_xlpm.steps,SUBSTITUTE(Table13[[#This Row],[Input]],Table13[[#This Row],[Direction]],""),VALUE(IF(LEN(_xlpm.steps)&gt;2,LEFT(_xlpm.steps,LEN(_xlpm.steps)-2),0)))</f>
        <v>0</v>
      </c>
      <c r="E1958">
        <f>_xlfn.LET(_xlpm.dir,Table13[[#This Row],[Direction]],
IF(_xlpm.dir="L",
    IF(G1957-Table13[[#This Row],[Steps]]&lt;0,100+(G1957-Table13[[#This Row],[Steps]]),G1957-Table13[[#This Row],[Steps]]),
))</f>
        <v>0</v>
      </c>
      <c r="F1958">
        <f>_xlfn.LET(_xlpm.dir,Table13[[#This Row],[Direction]],
IF(_xlpm.dir="R",
    IF(G1957+Table13[[#This Row],[Steps]]&gt;99,(G1957+Table13[[#This Row],[Steps]])-100,G1957+Table13[[#This Row],[Steps]]),
))</f>
        <v>44</v>
      </c>
      <c r="G1958">
        <f>IF(Table13[[#This Row],[New Pos L]]&lt;&gt;0,Table13[[#This Row],[New Pos L]],Table13[[#This Row],[New Pos R]])</f>
        <v>44</v>
      </c>
      <c r="H1958">
        <f>IF(AND(Table13[[#This Row],[Direction]]="L",Table13[[#This Row],[Steps]]&gt;G1957,G1957&lt;&gt;0),1,0)</f>
        <v>0</v>
      </c>
      <c r="I1958">
        <f>IF(AND(Table13[[#This Row],[Direction]]="R",(G1957+Table13[[#This Row],[Steps]])&gt;100),1,0)</f>
        <v>0</v>
      </c>
      <c r="J1958">
        <f>IF(Table13[[#This Row],[POS]]=0,1,0)</f>
        <v>0</v>
      </c>
      <c r="K1958">
        <f>SUM(Table13[[#This Row],[prefix]],Table13[[#This Row],[Past zero L]],Table13[[#This Row],[Past Zero R]],Table13[[#This Row],[Is Zero]])</f>
        <v>0</v>
      </c>
    </row>
    <row r="1959" spans="1:11" ht="16" x14ac:dyDescent="0.2">
      <c r="A1959" s="1" t="s">
        <v>0</v>
      </c>
      <c r="B1959" t="str">
        <f>LEFT(Table13[[#This Row],[Input]],1)</f>
        <v>L</v>
      </c>
      <c r="C1959">
        <f>_xlfn.LET(_xlpm.steps,SUBSTITUTE(Table13[[#This Row],[Input]],Table13[[#This Row],[Direction]],""),VALUE(IF(LEN(_xlpm.steps)&gt;2,RIGHT(_xlpm.steps,2),_xlpm.steps)))</f>
        <v>44</v>
      </c>
      <c r="D1959">
        <f>_xlfn.LET(_xlpm.steps,SUBSTITUTE(Table13[[#This Row],[Input]],Table13[[#This Row],[Direction]],""),VALUE(IF(LEN(_xlpm.steps)&gt;2,LEFT(_xlpm.steps,LEN(_xlpm.steps)-2),0)))</f>
        <v>0</v>
      </c>
      <c r="E1959">
        <f>_xlfn.LET(_xlpm.dir,Table13[[#This Row],[Direction]],
IF(_xlpm.dir="L",
    IF(G1958-Table13[[#This Row],[Steps]]&lt;0,100+(G1958-Table13[[#This Row],[Steps]]),G1958-Table13[[#This Row],[Steps]]),
))</f>
        <v>0</v>
      </c>
      <c r="F1959">
        <f>_xlfn.LET(_xlpm.dir,Table13[[#This Row],[Direction]],
IF(_xlpm.dir="R",
    IF(G1958+Table13[[#This Row],[Steps]]&gt;99,(G1958+Table13[[#This Row],[Steps]])-100,G1958+Table13[[#This Row],[Steps]]),
))</f>
        <v>0</v>
      </c>
      <c r="G1959">
        <f>IF(Table13[[#This Row],[New Pos L]]&lt;&gt;0,Table13[[#This Row],[New Pos L]],Table13[[#This Row],[New Pos R]])</f>
        <v>0</v>
      </c>
      <c r="H1959">
        <f>IF(AND(Table13[[#This Row],[Direction]]="L",Table13[[#This Row],[Steps]]&gt;G1958,G1958&lt;&gt;0),1,0)</f>
        <v>0</v>
      </c>
      <c r="I1959">
        <f>IF(AND(Table13[[#This Row],[Direction]]="R",(G1958+Table13[[#This Row],[Steps]])&gt;100),1,0)</f>
        <v>0</v>
      </c>
      <c r="J1959">
        <f>IF(Table13[[#This Row],[POS]]=0,1,0)</f>
        <v>1</v>
      </c>
      <c r="K1959">
        <f>SUM(Table13[[#This Row],[prefix]],Table13[[#This Row],[Past zero L]],Table13[[#This Row],[Past Zero R]],Table13[[#This Row],[Is Zero]])</f>
        <v>1</v>
      </c>
    </row>
    <row r="1960" spans="1:11" ht="16" x14ac:dyDescent="0.2">
      <c r="A1960" s="1" t="s">
        <v>59</v>
      </c>
      <c r="B1960" t="str">
        <f>LEFT(Table13[[#This Row],[Input]],1)</f>
        <v>L</v>
      </c>
      <c r="C1960">
        <f>_xlfn.LET(_xlpm.steps,SUBSTITUTE(Table13[[#This Row],[Input]],Table13[[#This Row],[Direction]],""),VALUE(IF(LEN(_xlpm.steps)&gt;2,RIGHT(_xlpm.steps,2),_xlpm.steps)))</f>
        <v>6</v>
      </c>
      <c r="D1960">
        <f>_xlfn.LET(_xlpm.steps,SUBSTITUTE(Table13[[#This Row],[Input]],Table13[[#This Row],[Direction]],""),VALUE(IF(LEN(_xlpm.steps)&gt;2,LEFT(_xlpm.steps,LEN(_xlpm.steps)-2),0)))</f>
        <v>0</v>
      </c>
      <c r="E1960">
        <f>_xlfn.LET(_xlpm.dir,Table13[[#This Row],[Direction]],
IF(_xlpm.dir="L",
    IF(G1959-Table13[[#This Row],[Steps]]&lt;0,100+(G1959-Table13[[#This Row],[Steps]]),G1959-Table13[[#This Row],[Steps]]),
))</f>
        <v>94</v>
      </c>
      <c r="F1960">
        <f>_xlfn.LET(_xlpm.dir,Table13[[#This Row],[Direction]],
IF(_xlpm.dir="R",
    IF(G1959+Table13[[#This Row],[Steps]]&gt;99,(G1959+Table13[[#This Row],[Steps]])-100,G1959+Table13[[#This Row],[Steps]]),
))</f>
        <v>0</v>
      </c>
      <c r="G1960">
        <f>IF(Table13[[#This Row],[New Pos L]]&lt;&gt;0,Table13[[#This Row],[New Pos L]],Table13[[#This Row],[New Pos R]])</f>
        <v>94</v>
      </c>
      <c r="H1960">
        <f>IF(AND(Table13[[#This Row],[Direction]]="L",Table13[[#This Row],[Steps]]&gt;G1959,G1959&lt;&gt;0),1,0)</f>
        <v>0</v>
      </c>
      <c r="I1960">
        <f>IF(AND(Table13[[#This Row],[Direction]]="R",(G1959+Table13[[#This Row],[Steps]])&gt;100),1,0)</f>
        <v>0</v>
      </c>
      <c r="J1960">
        <f>IF(Table13[[#This Row],[POS]]=0,1,0)</f>
        <v>0</v>
      </c>
      <c r="K1960">
        <f>SUM(Table13[[#This Row],[prefix]],Table13[[#This Row],[Past zero L]],Table13[[#This Row],[Past Zero R]],Table13[[#This Row],[Is Zero]])</f>
        <v>0</v>
      </c>
    </row>
    <row r="1961" spans="1:11" ht="16" x14ac:dyDescent="0.2">
      <c r="A1961" s="1" t="s">
        <v>255</v>
      </c>
      <c r="B1961" t="str">
        <f>LEFT(Table13[[#This Row],[Input]],1)</f>
        <v>R</v>
      </c>
      <c r="C1961">
        <f>_xlfn.LET(_xlpm.steps,SUBSTITUTE(Table13[[#This Row],[Input]],Table13[[#This Row],[Direction]],""),VALUE(IF(LEN(_xlpm.steps)&gt;2,RIGHT(_xlpm.steps,2),_xlpm.steps)))</f>
        <v>16</v>
      </c>
      <c r="D1961">
        <f>_xlfn.LET(_xlpm.steps,SUBSTITUTE(Table13[[#This Row],[Input]],Table13[[#This Row],[Direction]],""),VALUE(IF(LEN(_xlpm.steps)&gt;2,LEFT(_xlpm.steps,LEN(_xlpm.steps)-2),0)))</f>
        <v>0</v>
      </c>
      <c r="E1961">
        <f>_xlfn.LET(_xlpm.dir,Table13[[#This Row],[Direction]],
IF(_xlpm.dir="L",
    IF(G1960-Table13[[#This Row],[Steps]]&lt;0,100+(G1960-Table13[[#This Row],[Steps]]),G1960-Table13[[#This Row],[Steps]]),
))</f>
        <v>0</v>
      </c>
      <c r="F1961">
        <f>_xlfn.LET(_xlpm.dir,Table13[[#This Row],[Direction]],
IF(_xlpm.dir="R",
    IF(G1960+Table13[[#This Row],[Steps]]&gt;99,(G1960+Table13[[#This Row],[Steps]])-100,G1960+Table13[[#This Row],[Steps]]),
))</f>
        <v>10</v>
      </c>
      <c r="G1961">
        <f>IF(Table13[[#This Row],[New Pos L]]&lt;&gt;0,Table13[[#This Row],[New Pos L]],Table13[[#This Row],[New Pos R]])</f>
        <v>10</v>
      </c>
      <c r="H1961">
        <f>IF(AND(Table13[[#This Row],[Direction]]="L",Table13[[#This Row],[Steps]]&gt;G1960,G1960&lt;&gt;0),1,0)</f>
        <v>0</v>
      </c>
      <c r="I1961">
        <f>IF(AND(Table13[[#This Row],[Direction]]="R",(G1960+Table13[[#This Row],[Steps]])&gt;100),1,0)</f>
        <v>1</v>
      </c>
      <c r="J1961">
        <f>IF(Table13[[#This Row],[POS]]=0,1,0)</f>
        <v>0</v>
      </c>
      <c r="K1961">
        <f>SUM(Table13[[#This Row],[prefix]],Table13[[#This Row],[Past zero L]],Table13[[#This Row],[Past Zero R]],Table13[[#This Row],[Is Zero]])</f>
        <v>1</v>
      </c>
    </row>
    <row r="1962" spans="1:11" ht="16" x14ac:dyDescent="0.2">
      <c r="A1962" s="1" t="s">
        <v>43</v>
      </c>
      <c r="B1962" t="str">
        <f>LEFT(Table13[[#This Row],[Input]],1)</f>
        <v>R</v>
      </c>
      <c r="C1962">
        <f>_xlfn.LET(_xlpm.steps,SUBSTITUTE(Table13[[#This Row],[Input]],Table13[[#This Row],[Direction]],""),VALUE(IF(LEN(_xlpm.steps)&gt;2,RIGHT(_xlpm.steps,2),_xlpm.steps)))</f>
        <v>90</v>
      </c>
      <c r="D1962">
        <f>_xlfn.LET(_xlpm.steps,SUBSTITUTE(Table13[[#This Row],[Input]],Table13[[#This Row],[Direction]],""),VALUE(IF(LEN(_xlpm.steps)&gt;2,LEFT(_xlpm.steps,LEN(_xlpm.steps)-2),0)))</f>
        <v>0</v>
      </c>
      <c r="E1962">
        <f>_xlfn.LET(_xlpm.dir,Table13[[#This Row],[Direction]],
IF(_xlpm.dir="L",
    IF(G1961-Table13[[#This Row],[Steps]]&lt;0,100+(G1961-Table13[[#This Row],[Steps]]),G1961-Table13[[#This Row],[Steps]]),
))</f>
        <v>0</v>
      </c>
      <c r="F1962">
        <f>_xlfn.LET(_xlpm.dir,Table13[[#This Row],[Direction]],
IF(_xlpm.dir="R",
    IF(G1961+Table13[[#This Row],[Steps]]&gt;99,(G1961+Table13[[#This Row],[Steps]])-100,G1961+Table13[[#This Row],[Steps]]),
))</f>
        <v>0</v>
      </c>
      <c r="G1962">
        <f>IF(Table13[[#This Row],[New Pos L]]&lt;&gt;0,Table13[[#This Row],[New Pos L]],Table13[[#This Row],[New Pos R]])</f>
        <v>0</v>
      </c>
      <c r="H1962">
        <f>IF(AND(Table13[[#This Row],[Direction]]="L",Table13[[#This Row],[Steps]]&gt;G1961,G1961&lt;&gt;0),1,0)</f>
        <v>0</v>
      </c>
      <c r="I1962">
        <f>IF(AND(Table13[[#This Row],[Direction]]="R",(G1961+Table13[[#This Row],[Steps]])&gt;100),1,0)</f>
        <v>0</v>
      </c>
      <c r="J1962">
        <f>IF(Table13[[#This Row],[POS]]=0,1,0)</f>
        <v>1</v>
      </c>
      <c r="K1962">
        <f>SUM(Table13[[#This Row],[prefix]],Table13[[#This Row],[Past zero L]],Table13[[#This Row],[Past Zero R]],Table13[[#This Row],[Is Zero]])</f>
        <v>1</v>
      </c>
    </row>
    <row r="1963" spans="1:11" ht="16" x14ac:dyDescent="0.2">
      <c r="A1963" s="1" t="s">
        <v>138</v>
      </c>
      <c r="B1963" t="str">
        <f>LEFT(Table13[[#This Row],[Input]],1)</f>
        <v>L</v>
      </c>
      <c r="C1963">
        <f>_xlfn.LET(_xlpm.steps,SUBSTITUTE(Table13[[#This Row],[Input]],Table13[[#This Row],[Direction]],""),VALUE(IF(LEN(_xlpm.steps)&gt;2,RIGHT(_xlpm.steps,2),_xlpm.steps)))</f>
        <v>94</v>
      </c>
      <c r="D1963">
        <f>_xlfn.LET(_xlpm.steps,SUBSTITUTE(Table13[[#This Row],[Input]],Table13[[#This Row],[Direction]],""),VALUE(IF(LEN(_xlpm.steps)&gt;2,LEFT(_xlpm.steps,LEN(_xlpm.steps)-2),0)))</f>
        <v>0</v>
      </c>
      <c r="E1963">
        <f>_xlfn.LET(_xlpm.dir,Table13[[#This Row],[Direction]],
IF(_xlpm.dir="L",
    IF(G1962-Table13[[#This Row],[Steps]]&lt;0,100+(G1962-Table13[[#This Row],[Steps]]),G1962-Table13[[#This Row],[Steps]]),
))</f>
        <v>6</v>
      </c>
      <c r="F1963">
        <f>_xlfn.LET(_xlpm.dir,Table13[[#This Row],[Direction]],
IF(_xlpm.dir="R",
    IF(G1962+Table13[[#This Row],[Steps]]&gt;99,(G1962+Table13[[#This Row],[Steps]])-100,G1962+Table13[[#This Row],[Steps]]),
))</f>
        <v>0</v>
      </c>
      <c r="G1963">
        <f>IF(Table13[[#This Row],[New Pos L]]&lt;&gt;0,Table13[[#This Row],[New Pos L]],Table13[[#This Row],[New Pos R]])</f>
        <v>6</v>
      </c>
      <c r="H1963">
        <f>IF(AND(Table13[[#This Row],[Direction]]="L",Table13[[#This Row],[Steps]]&gt;G1962,G1962&lt;&gt;0),1,0)</f>
        <v>0</v>
      </c>
      <c r="I1963">
        <f>IF(AND(Table13[[#This Row],[Direction]]="R",(G1962+Table13[[#This Row],[Steps]])&gt;100),1,0)</f>
        <v>0</v>
      </c>
      <c r="J1963">
        <f>IF(Table13[[#This Row],[POS]]=0,1,0)</f>
        <v>0</v>
      </c>
      <c r="K1963">
        <f>SUM(Table13[[#This Row],[prefix]],Table13[[#This Row],[Past zero L]],Table13[[#This Row],[Past Zero R]],Table13[[#This Row],[Is Zero]])</f>
        <v>0</v>
      </c>
    </row>
    <row r="1964" spans="1:11" ht="16" x14ac:dyDescent="0.2">
      <c r="A1964" s="1" t="s">
        <v>16</v>
      </c>
      <c r="B1964" t="str">
        <f>LEFT(Table13[[#This Row],[Input]],1)</f>
        <v>L</v>
      </c>
      <c r="C1964">
        <f>_xlfn.LET(_xlpm.steps,SUBSTITUTE(Table13[[#This Row],[Input]],Table13[[#This Row],[Direction]],""),VALUE(IF(LEN(_xlpm.steps)&gt;2,RIGHT(_xlpm.steps,2),_xlpm.steps)))</f>
        <v>10</v>
      </c>
      <c r="D1964">
        <f>_xlfn.LET(_xlpm.steps,SUBSTITUTE(Table13[[#This Row],[Input]],Table13[[#This Row],[Direction]],""),VALUE(IF(LEN(_xlpm.steps)&gt;2,LEFT(_xlpm.steps,LEN(_xlpm.steps)-2),0)))</f>
        <v>0</v>
      </c>
      <c r="E1964">
        <f>_xlfn.LET(_xlpm.dir,Table13[[#This Row],[Direction]],
IF(_xlpm.dir="L",
    IF(G1963-Table13[[#This Row],[Steps]]&lt;0,100+(G1963-Table13[[#This Row],[Steps]]),G1963-Table13[[#This Row],[Steps]]),
))</f>
        <v>96</v>
      </c>
      <c r="F1964">
        <f>_xlfn.LET(_xlpm.dir,Table13[[#This Row],[Direction]],
IF(_xlpm.dir="R",
    IF(G1963+Table13[[#This Row],[Steps]]&gt;99,(G1963+Table13[[#This Row],[Steps]])-100,G1963+Table13[[#This Row],[Steps]]),
))</f>
        <v>0</v>
      </c>
      <c r="G1964">
        <f>IF(Table13[[#This Row],[New Pos L]]&lt;&gt;0,Table13[[#This Row],[New Pos L]],Table13[[#This Row],[New Pos R]])</f>
        <v>96</v>
      </c>
      <c r="H1964">
        <f>IF(AND(Table13[[#This Row],[Direction]]="L",Table13[[#This Row],[Steps]]&gt;G1963,G1963&lt;&gt;0),1,0)</f>
        <v>1</v>
      </c>
      <c r="I1964">
        <f>IF(AND(Table13[[#This Row],[Direction]]="R",(G1963+Table13[[#This Row],[Steps]])&gt;100),1,0)</f>
        <v>0</v>
      </c>
      <c r="J1964">
        <f>IF(Table13[[#This Row],[POS]]=0,1,0)</f>
        <v>0</v>
      </c>
      <c r="K1964">
        <f>SUM(Table13[[#This Row],[prefix]],Table13[[#This Row],[Past zero L]],Table13[[#This Row],[Past Zero R]],Table13[[#This Row],[Is Zero]])</f>
        <v>1</v>
      </c>
    </row>
    <row r="1965" spans="1:11" ht="16" x14ac:dyDescent="0.2">
      <c r="A1965" s="1" t="s">
        <v>72</v>
      </c>
      <c r="B1965" t="str">
        <f>LEFT(Table13[[#This Row],[Input]],1)</f>
        <v>R</v>
      </c>
      <c r="C1965">
        <f>_xlfn.LET(_xlpm.steps,SUBSTITUTE(Table13[[#This Row],[Input]],Table13[[#This Row],[Direction]],""),VALUE(IF(LEN(_xlpm.steps)&gt;2,RIGHT(_xlpm.steps,2),_xlpm.steps)))</f>
        <v>43</v>
      </c>
      <c r="D1965">
        <f>_xlfn.LET(_xlpm.steps,SUBSTITUTE(Table13[[#This Row],[Input]],Table13[[#This Row],[Direction]],""),VALUE(IF(LEN(_xlpm.steps)&gt;2,LEFT(_xlpm.steps,LEN(_xlpm.steps)-2),0)))</f>
        <v>0</v>
      </c>
      <c r="E1965">
        <f>_xlfn.LET(_xlpm.dir,Table13[[#This Row],[Direction]],
IF(_xlpm.dir="L",
    IF(G1964-Table13[[#This Row],[Steps]]&lt;0,100+(G1964-Table13[[#This Row],[Steps]]),G1964-Table13[[#This Row],[Steps]]),
))</f>
        <v>0</v>
      </c>
      <c r="F1965">
        <f>_xlfn.LET(_xlpm.dir,Table13[[#This Row],[Direction]],
IF(_xlpm.dir="R",
    IF(G1964+Table13[[#This Row],[Steps]]&gt;99,(G1964+Table13[[#This Row],[Steps]])-100,G1964+Table13[[#This Row],[Steps]]),
))</f>
        <v>39</v>
      </c>
      <c r="G1965">
        <f>IF(Table13[[#This Row],[New Pos L]]&lt;&gt;0,Table13[[#This Row],[New Pos L]],Table13[[#This Row],[New Pos R]])</f>
        <v>39</v>
      </c>
      <c r="H1965">
        <f>IF(AND(Table13[[#This Row],[Direction]]="L",Table13[[#This Row],[Steps]]&gt;G1964,G1964&lt;&gt;0),1,0)</f>
        <v>0</v>
      </c>
      <c r="I1965">
        <f>IF(AND(Table13[[#This Row],[Direction]]="R",(G1964+Table13[[#This Row],[Steps]])&gt;100),1,0)</f>
        <v>1</v>
      </c>
      <c r="J1965">
        <f>IF(Table13[[#This Row],[POS]]=0,1,0)</f>
        <v>0</v>
      </c>
      <c r="K1965">
        <f>SUM(Table13[[#This Row],[prefix]],Table13[[#This Row],[Past zero L]],Table13[[#This Row],[Past Zero R]],Table13[[#This Row],[Is Zero]])</f>
        <v>1</v>
      </c>
    </row>
    <row r="1966" spans="1:11" ht="16" x14ac:dyDescent="0.2">
      <c r="A1966" s="1" t="s">
        <v>185</v>
      </c>
      <c r="B1966" t="str">
        <f>LEFT(Table13[[#This Row],[Input]],1)</f>
        <v>R</v>
      </c>
      <c r="C1966">
        <f>_xlfn.LET(_xlpm.steps,SUBSTITUTE(Table13[[#This Row],[Input]],Table13[[#This Row],[Direction]],""),VALUE(IF(LEN(_xlpm.steps)&gt;2,RIGHT(_xlpm.steps,2),_xlpm.steps)))</f>
        <v>61</v>
      </c>
      <c r="D1966">
        <f>_xlfn.LET(_xlpm.steps,SUBSTITUTE(Table13[[#This Row],[Input]],Table13[[#This Row],[Direction]],""),VALUE(IF(LEN(_xlpm.steps)&gt;2,LEFT(_xlpm.steps,LEN(_xlpm.steps)-2),0)))</f>
        <v>0</v>
      </c>
      <c r="E1966">
        <f>_xlfn.LET(_xlpm.dir,Table13[[#This Row],[Direction]],
IF(_xlpm.dir="L",
    IF(G1965-Table13[[#This Row],[Steps]]&lt;0,100+(G1965-Table13[[#This Row],[Steps]]),G1965-Table13[[#This Row],[Steps]]),
))</f>
        <v>0</v>
      </c>
      <c r="F1966">
        <f>_xlfn.LET(_xlpm.dir,Table13[[#This Row],[Direction]],
IF(_xlpm.dir="R",
    IF(G1965+Table13[[#This Row],[Steps]]&gt;99,(G1965+Table13[[#This Row],[Steps]])-100,G1965+Table13[[#This Row],[Steps]]),
))</f>
        <v>0</v>
      </c>
      <c r="G1966">
        <f>IF(Table13[[#This Row],[New Pos L]]&lt;&gt;0,Table13[[#This Row],[New Pos L]],Table13[[#This Row],[New Pos R]])</f>
        <v>0</v>
      </c>
      <c r="H1966">
        <f>IF(AND(Table13[[#This Row],[Direction]]="L",Table13[[#This Row],[Steps]]&gt;G1965,G1965&lt;&gt;0),1,0)</f>
        <v>0</v>
      </c>
      <c r="I1966">
        <f>IF(AND(Table13[[#This Row],[Direction]]="R",(G1965+Table13[[#This Row],[Steps]])&gt;100),1,0)</f>
        <v>0</v>
      </c>
      <c r="J1966">
        <f>IF(Table13[[#This Row],[POS]]=0,1,0)</f>
        <v>1</v>
      </c>
      <c r="K1966">
        <f>SUM(Table13[[#This Row],[prefix]],Table13[[#This Row],[Past zero L]],Table13[[#This Row],[Past Zero R]],Table13[[#This Row],[Is Zero]])</f>
        <v>1</v>
      </c>
    </row>
    <row r="1967" spans="1:11" ht="16" x14ac:dyDescent="0.2">
      <c r="A1967" s="1" t="s">
        <v>3</v>
      </c>
      <c r="B1967" t="str">
        <f>LEFT(Table13[[#This Row],[Input]],1)</f>
        <v>R</v>
      </c>
      <c r="C1967">
        <f>_xlfn.LET(_xlpm.steps,SUBSTITUTE(Table13[[#This Row],[Input]],Table13[[#This Row],[Direction]],""),VALUE(IF(LEN(_xlpm.steps)&gt;2,RIGHT(_xlpm.steps,2),_xlpm.steps)))</f>
        <v>44</v>
      </c>
      <c r="D1967">
        <f>_xlfn.LET(_xlpm.steps,SUBSTITUTE(Table13[[#This Row],[Input]],Table13[[#This Row],[Direction]],""),VALUE(IF(LEN(_xlpm.steps)&gt;2,LEFT(_xlpm.steps,LEN(_xlpm.steps)-2),0)))</f>
        <v>0</v>
      </c>
      <c r="E1967">
        <f>_xlfn.LET(_xlpm.dir,Table13[[#This Row],[Direction]],
IF(_xlpm.dir="L",
    IF(G1966-Table13[[#This Row],[Steps]]&lt;0,100+(G1966-Table13[[#This Row],[Steps]]),G1966-Table13[[#This Row],[Steps]]),
))</f>
        <v>0</v>
      </c>
      <c r="F1967">
        <f>_xlfn.LET(_xlpm.dir,Table13[[#This Row],[Direction]],
IF(_xlpm.dir="R",
    IF(G1966+Table13[[#This Row],[Steps]]&gt;99,(G1966+Table13[[#This Row],[Steps]])-100,G1966+Table13[[#This Row],[Steps]]),
))</f>
        <v>44</v>
      </c>
      <c r="G1967">
        <f>IF(Table13[[#This Row],[New Pos L]]&lt;&gt;0,Table13[[#This Row],[New Pos L]],Table13[[#This Row],[New Pos R]])</f>
        <v>44</v>
      </c>
      <c r="H1967">
        <f>IF(AND(Table13[[#This Row],[Direction]]="L",Table13[[#This Row],[Steps]]&gt;G1966,G1966&lt;&gt;0),1,0)</f>
        <v>0</v>
      </c>
      <c r="I1967">
        <f>IF(AND(Table13[[#This Row],[Direction]]="R",(G1966+Table13[[#This Row],[Steps]])&gt;100),1,0)</f>
        <v>0</v>
      </c>
      <c r="J1967">
        <f>IF(Table13[[#This Row],[POS]]=0,1,0)</f>
        <v>0</v>
      </c>
      <c r="K1967">
        <f>SUM(Table13[[#This Row],[prefix]],Table13[[#This Row],[Past zero L]],Table13[[#This Row],[Past Zero R]],Table13[[#This Row],[Is Zero]])</f>
        <v>0</v>
      </c>
    </row>
    <row r="1968" spans="1:11" ht="16" x14ac:dyDescent="0.2">
      <c r="A1968" s="1" t="s">
        <v>33</v>
      </c>
      <c r="B1968" t="str">
        <f>LEFT(Table13[[#This Row],[Input]],1)</f>
        <v>R</v>
      </c>
      <c r="C1968">
        <f>_xlfn.LET(_xlpm.steps,SUBSTITUTE(Table13[[#This Row],[Input]],Table13[[#This Row],[Direction]],""),VALUE(IF(LEN(_xlpm.steps)&gt;2,RIGHT(_xlpm.steps,2),_xlpm.steps)))</f>
        <v>22</v>
      </c>
      <c r="D1968">
        <f>_xlfn.LET(_xlpm.steps,SUBSTITUTE(Table13[[#This Row],[Input]],Table13[[#This Row],[Direction]],""),VALUE(IF(LEN(_xlpm.steps)&gt;2,LEFT(_xlpm.steps,LEN(_xlpm.steps)-2),0)))</f>
        <v>0</v>
      </c>
      <c r="E1968">
        <f>_xlfn.LET(_xlpm.dir,Table13[[#This Row],[Direction]],
IF(_xlpm.dir="L",
    IF(G1967-Table13[[#This Row],[Steps]]&lt;0,100+(G1967-Table13[[#This Row],[Steps]]),G1967-Table13[[#This Row],[Steps]]),
))</f>
        <v>0</v>
      </c>
      <c r="F1968">
        <f>_xlfn.LET(_xlpm.dir,Table13[[#This Row],[Direction]],
IF(_xlpm.dir="R",
    IF(G1967+Table13[[#This Row],[Steps]]&gt;99,(G1967+Table13[[#This Row],[Steps]])-100,G1967+Table13[[#This Row],[Steps]]),
))</f>
        <v>66</v>
      </c>
      <c r="G1968">
        <f>IF(Table13[[#This Row],[New Pos L]]&lt;&gt;0,Table13[[#This Row],[New Pos L]],Table13[[#This Row],[New Pos R]])</f>
        <v>66</v>
      </c>
      <c r="H1968">
        <f>IF(AND(Table13[[#This Row],[Direction]]="L",Table13[[#This Row],[Steps]]&gt;G1967,G1967&lt;&gt;0),1,0)</f>
        <v>0</v>
      </c>
      <c r="I1968">
        <f>IF(AND(Table13[[#This Row],[Direction]]="R",(G1967+Table13[[#This Row],[Steps]])&gt;100),1,0)</f>
        <v>0</v>
      </c>
      <c r="J1968">
        <f>IF(Table13[[#This Row],[POS]]=0,1,0)</f>
        <v>0</v>
      </c>
      <c r="K1968">
        <f>SUM(Table13[[#This Row],[prefix]],Table13[[#This Row],[Past zero L]],Table13[[#This Row],[Past Zero R]],Table13[[#This Row],[Is Zero]])</f>
        <v>0</v>
      </c>
    </row>
    <row r="1969" spans="1:11" ht="16" x14ac:dyDescent="0.2">
      <c r="A1969" s="1" t="s">
        <v>536</v>
      </c>
      <c r="B1969" t="str">
        <f>LEFT(Table13[[#This Row],[Input]],1)</f>
        <v>L</v>
      </c>
      <c r="C1969">
        <f>_xlfn.LET(_xlpm.steps,SUBSTITUTE(Table13[[#This Row],[Input]],Table13[[#This Row],[Direction]],""),VALUE(IF(LEN(_xlpm.steps)&gt;2,RIGHT(_xlpm.steps,2),_xlpm.steps)))</f>
        <v>22</v>
      </c>
      <c r="D1969">
        <f>_xlfn.LET(_xlpm.steps,SUBSTITUTE(Table13[[#This Row],[Input]],Table13[[#This Row],[Direction]],""),VALUE(IF(LEN(_xlpm.steps)&gt;2,LEFT(_xlpm.steps,LEN(_xlpm.steps)-2),0)))</f>
        <v>8</v>
      </c>
      <c r="E1969">
        <f>_xlfn.LET(_xlpm.dir,Table13[[#This Row],[Direction]],
IF(_xlpm.dir="L",
    IF(G1968-Table13[[#This Row],[Steps]]&lt;0,100+(G1968-Table13[[#This Row],[Steps]]),G1968-Table13[[#This Row],[Steps]]),
))</f>
        <v>44</v>
      </c>
      <c r="F1969">
        <f>_xlfn.LET(_xlpm.dir,Table13[[#This Row],[Direction]],
IF(_xlpm.dir="R",
    IF(G1968+Table13[[#This Row],[Steps]]&gt;99,(G1968+Table13[[#This Row],[Steps]])-100,G1968+Table13[[#This Row],[Steps]]),
))</f>
        <v>0</v>
      </c>
      <c r="G1969">
        <f>IF(Table13[[#This Row],[New Pos L]]&lt;&gt;0,Table13[[#This Row],[New Pos L]],Table13[[#This Row],[New Pos R]])</f>
        <v>44</v>
      </c>
      <c r="H1969">
        <f>IF(AND(Table13[[#This Row],[Direction]]="L",Table13[[#This Row],[Steps]]&gt;G1968,G1968&lt;&gt;0),1,0)</f>
        <v>0</v>
      </c>
      <c r="I1969">
        <f>IF(AND(Table13[[#This Row],[Direction]]="R",(G1968+Table13[[#This Row],[Steps]])&gt;100),1,0)</f>
        <v>0</v>
      </c>
      <c r="J1969">
        <f>IF(Table13[[#This Row],[POS]]=0,1,0)</f>
        <v>0</v>
      </c>
      <c r="K1969">
        <f>SUM(Table13[[#This Row],[prefix]],Table13[[#This Row],[Past zero L]],Table13[[#This Row],[Past Zero R]],Table13[[#This Row],[Is Zero]])</f>
        <v>8</v>
      </c>
    </row>
    <row r="1970" spans="1:11" ht="16" x14ac:dyDescent="0.2">
      <c r="A1970" s="1" t="s">
        <v>27</v>
      </c>
      <c r="B1970" t="str">
        <f>LEFT(Table13[[#This Row],[Input]],1)</f>
        <v>L</v>
      </c>
      <c r="C1970">
        <f>_xlfn.LET(_xlpm.steps,SUBSTITUTE(Table13[[#This Row],[Input]],Table13[[#This Row],[Direction]],""),VALUE(IF(LEN(_xlpm.steps)&gt;2,RIGHT(_xlpm.steps,2),_xlpm.steps)))</f>
        <v>14</v>
      </c>
      <c r="D1970">
        <f>_xlfn.LET(_xlpm.steps,SUBSTITUTE(Table13[[#This Row],[Input]],Table13[[#This Row],[Direction]],""),VALUE(IF(LEN(_xlpm.steps)&gt;2,LEFT(_xlpm.steps,LEN(_xlpm.steps)-2),0)))</f>
        <v>0</v>
      </c>
      <c r="E1970">
        <f>_xlfn.LET(_xlpm.dir,Table13[[#This Row],[Direction]],
IF(_xlpm.dir="L",
    IF(G1969-Table13[[#This Row],[Steps]]&lt;0,100+(G1969-Table13[[#This Row],[Steps]]),G1969-Table13[[#This Row],[Steps]]),
))</f>
        <v>30</v>
      </c>
      <c r="F1970">
        <f>_xlfn.LET(_xlpm.dir,Table13[[#This Row],[Direction]],
IF(_xlpm.dir="R",
    IF(G1969+Table13[[#This Row],[Steps]]&gt;99,(G1969+Table13[[#This Row],[Steps]])-100,G1969+Table13[[#This Row],[Steps]]),
))</f>
        <v>0</v>
      </c>
      <c r="G1970">
        <f>IF(Table13[[#This Row],[New Pos L]]&lt;&gt;0,Table13[[#This Row],[New Pos L]],Table13[[#This Row],[New Pos R]])</f>
        <v>30</v>
      </c>
      <c r="H1970">
        <f>IF(AND(Table13[[#This Row],[Direction]]="L",Table13[[#This Row],[Steps]]&gt;G1969,G1969&lt;&gt;0),1,0)</f>
        <v>0</v>
      </c>
      <c r="I1970">
        <f>IF(AND(Table13[[#This Row],[Direction]]="R",(G1969+Table13[[#This Row],[Steps]])&gt;100),1,0)</f>
        <v>0</v>
      </c>
      <c r="J1970">
        <f>IF(Table13[[#This Row],[POS]]=0,1,0)</f>
        <v>0</v>
      </c>
      <c r="K1970">
        <f>SUM(Table13[[#This Row],[prefix]],Table13[[#This Row],[Past zero L]],Table13[[#This Row],[Past Zero R]],Table13[[#This Row],[Is Zero]])</f>
        <v>0</v>
      </c>
    </row>
    <row r="1971" spans="1:11" ht="16" x14ac:dyDescent="0.2">
      <c r="A1971" s="1" t="s">
        <v>234</v>
      </c>
      <c r="B1971" t="str">
        <f>LEFT(Table13[[#This Row],[Input]],1)</f>
        <v>R</v>
      </c>
      <c r="C1971">
        <f>_xlfn.LET(_xlpm.steps,SUBSTITUTE(Table13[[#This Row],[Input]],Table13[[#This Row],[Direction]],""),VALUE(IF(LEN(_xlpm.steps)&gt;2,RIGHT(_xlpm.steps,2),_xlpm.steps)))</f>
        <v>82</v>
      </c>
      <c r="D1971">
        <f>_xlfn.LET(_xlpm.steps,SUBSTITUTE(Table13[[#This Row],[Input]],Table13[[#This Row],[Direction]],""),VALUE(IF(LEN(_xlpm.steps)&gt;2,LEFT(_xlpm.steps,LEN(_xlpm.steps)-2),0)))</f>
        <v>0</v>
      </c>
      <c r="E1971">
        <f>_xlfn.LET(_xlpm.dir,Table13[[#This Row],[Direction]],
IF(_xlpm.dir="L",
    IF(G1970-Table13[[#This Row],[Steps]]&lt;0,100+(G1970-Table13[[#This Row],[Steps]]),G1970-Table13[[#This Row],[Steps]]),
))</f>
        <v>0</v>
      </c>
      <c r="F1971">
        <f>_xlfn.LET(_xlpm.dir,Table13[[#This Row],[Direction]],
IF(_xlpm.dir="R",
    IF(G1970+Table13[[#This Row],[Steps]]&gt;99,(G1970+Table13[[#This Row],[Steps]])-100,G1970+Table13[[#This Row],[Steps]]),
))</f>
        <v>12</v>
      </c>
      <c r="G1971">
        <f>IF(Table13[[#This Row],[New Pos L]]&lt;&gt;0,Table13[[#This Row],[New Pos L]],Table13[[#This Row],[New Pos R]])</f>
        <v>12</v>
      </c>
      <c r="H1971">
        <f>IF(AND(Table13[[#This Row],[Direction]]="L",Table13[[#This Row],[Steps]]&gt;G1970,G1970&lt;&gt;0),1,0)</f>
        <v>0</v>
      </c>
      <c r="I1971">
        <f>IF(AND(Table13[[#This Row],[Direction]]="R",(G1970+Table13[[#This Row],[Steps]])&gt;100),1,0)</f>
        <v>1</v>
      </c>
      <c r="J1971">
        <f>IF(Table13[[#This Row],[POS]]=0,1,0)</f>
        <v>0</v>
      </c>
      <c r="K1971">
        <f>SUM(Table13[[#This Row],[prefix]],Table13[[#This Row],[Past zero L]],Table13[[#This Row],[Past Zero R]],Table13[[#This Row],[Is Zero]])</f>
        <v>1</v>
      </c>
    </row>
    <row r="1972" spans="1:11" ht="16" x14ac:dyDescent="0.2">
      <c r="A1972" s="1" t="s">
        <v>47</v>
      </c>
      <c r="B1972" t="str">
        <f>LEFT(Table13[[#This Row],[Input]],1)</f>
        <v>R</v>
      </c>
      <c r="C1972">
        <f>_xlfn.LET(_xlpm.steps,SUBSTITUTE(Table13[[#This Row],[Input]],Table13[[#This Row],[Direction]],""),VALUE(IF(LEN(_xlpm.steps)&gt;2,RIGHT(_xlpm.steps,2),_xlpm.steps)))</f>
        <v>97</v>
      </c>
      <c r="D1972">
        <f>_xlfn.LET(_xlpm.steps,SUBSTITUTE(Table13[[#This Row],[Input]],Table13[[#This Row],[Direction]],""),VALUE(IF(LEN(_xlpm.steps)&gt;2,LEFT(_xlpm.steps,LEN(_xlpm.steps)-2),0)))</f>
        <v>0</v>
      </c>
      <c r="E1972">
        <f>_xlfn.LET(_xlpm.dir,Table13[[#This Row],[Direction]],
IF(_xlpm.dir="L",
    IF(G1971-Table13[[#This Row],[Steps]]&lt;0,100+(G1971-Table13[[#This Row],[Steps]]),G1971-Table13[[#This Row],[Steps]]),
))</f>
        <v>0</v>
      </c>
      <c r="F1972">
        <f>_xlfn.LET(_xlpm.dir,Table13[[#This Row],[Direction]],
IF(_xlpm.dir="R",
    IF(G1971+Table13[[#This Row],[Steps]]&gt;99,(G1971+Table13[[#This Row],[Steps]])-100,G1971+Table13[[#This Row],[Steps]]),
))</f>
        <v>9</v>
      </c>
      <c r="G1972">
        <f>IF(Table13[[#This Row],[New Pos L]]&lt;&gt;0,Table13[[#This Row],[New Pos L]],Table13[[#This Row],[New Pos R]])</f>
        <v>9</v>
      </c>
      <c r="H1972">
        <f>IF(AND(Table13[[#This Row],[Direction]]="L",Table13[[#This Row],[Steps]]&gt;G1971,G1971&lt;&gt;0),1,0)</f>
        <v>0</v>
      </c>
      <c r="I1972">
        <f>IF(AND(Table13[[#This Row],[Direction]]="R",(G1971+Table13[[#This Row],[Steps]])&gt;100),1,0)</f>
        <v>1</v>
      </c>
      <c r="J1972">
        <f>IF(Table13[[#This Row],[POS]]=0,1,0)</f>
        <v>0</v>
      </c>
      <c r="K1972">
        <f>SUM(Table13[[#This Row],[prefix]],Table13[[#This Row],[Past zero L]],Table13[[#This Row],[Past Zero R]],Table13[[#This Row],[Is Zero]])</f>
        <v>1</v>
      </c>
    </row>
    <row r="1973" spans="1:11" ht="16" x14ac:dyDescent="0.2">
      <c r="A1973" s="1" t="s">
        <v>217</v>
      </c>
      <c r="B1973" t="str">
        <f>LEFT(Table13[[#This Row],[Input]],1)</f>
        <v>R</v>
      </c>
      <c r="C1973">
        <f>_xlfn.LET(_xlpm.steps,SUBSTITUTE(Table13[[#This Row],[Input]],Table13[[#This Row],[Direction]],""),VALUE(IF(LEN(_xlpm.steps)&gt;2,RIGHT(_xlpm.steps,2),_xlpm.steps)))</f>
        <v>91</v>
      </c>
      <c r="D1973">
        <f>_xlfn.LET(_xlpm.steps,SUBSTITUTE(Table13[[#This Row],[Input]],Table13[[#This Row],[Direction]],""),VALUE(IF(LEN(_xlpm.steps)&gt;2,LEFT(_xlpm.steps,LEN(_xlpm.steps)-2),0)))</f>
        <v>0</v>
      </c>
      <c r="E1973">
        <f>_xlfn.LET(_xlpm.dir,Table13[[#This Row],[Direction]],
IF(_xlpm.dir="L",
    IF(G1972-Table13[[#This Row],[Steps]]&lt;0,100+(G1972-Table13[[#This Row],[Steps]]),G1972-Table13[[#This Row],[Steps]]),
))</f>
        <v>0</v>
      </c>
      <c r="F1973">
        <f>_xlfn.LET(_xlpm.dir,Table13[[#This Row],[Direction]],
IF(_xlpm.dir="R",
    IF(G1972+Table13[[#This Row],[Steps]]&gt;99,(G1972+Table13[[#This Row],[Steps]])-100,G1972+Table13[[#This Row],[Steps]]),
))</f>
        <v>0</v>
      </c>
      <c r="G1973">
        <f>IF(Table13[[#This Row],[New Pos L]]&lt;&gt;0,Table13[[#This Row],[New Pos L]],Table13[[#This Row],[New Pos R]])</f>
        <v>0</v>
      </c>
      <c r="H1973">
        <f>IF(AND(Table13[[#This Row],[Direction]]="L",Table13[[#This Row],[Steps]]&gt;G1972,G1972&lt;&gt;0),1,0)</f>
        <v>0</v>
      </c>
      <c r="I1973">
        <f>IF(AND(Table13[[#This Row],[Direction]]="R",(G1972+Table13[[#This Row],[Steps]])&gt;100),1,0)</f>
        <v>0</v>
      </c>
      <c r="J1973">
        <f>IF(Table13[[#This Row],[POS]]=0,1,0)</f>
        <v>1</v>
      </c>
      <c r="K1973">
        <f>SUM(Table13[[#This Row],[prefix]],Table13[[#This Row],[Past zero L]],Table13[[#This Row],[Past Zero R]],Table13[[#This Row],[Is Zero]])</f>
        <v>1</v>
      </c>
    </row>
    <row r="1974" spans="1:11" ht="16" x14ac:dyDescent="0.2">
      <c r="A1974" s="1" t="s">
        <v>537</v>
      </c>
      <c r="B1974" t="str">
        <f>LEFT(Table13[[#This Row],[Input]],1)</f>
        <v>R</v>
      </c>
      <c r="C1974">
        <f>_xlfn.LET(_xlpm.steps,SUBSTITUTE(Table13[[#This Row],[Input]],Table13[[#This Row],[Direction]],""),VALUE(IF(LEN(_xlpm.steps)&gt;2,RIGHT(_xlpm.steps,2),_xlpm.steps)))</f>
        <v>16</v>
      </c>
      <c r="D1974">
        <f>_xlfn.LET(_xlpm.steps,SUBSTITUTE(Table13[[#This Row],[Input]],Table13[[#This Row],[Direction]],""),VALUE(IF(LEN(_xlpm.steps)&gt;2,LEFT(_xlpm.steps,LEN(_xlpm.steps)-2),0)))</f>
        <v>8</v>
      </c>
      <c r="E1974">
        <f>_xlfn.LET(_xlpm.dir,Table13[[#This Row],[Direction]],
IF(_xlpm.dir="L",
    IF(G1973-Table13[[#This Row],[Steps]]&lt;0,100+(G1973-Table13[[#This Row],[Steps]]),G1973-Table13[[#This Row],[Steps]]),
))</f>
        <v>0</v>
      </c>
      <c r="F1974">
        <f>_xlfn.LET(_xlpm.dir,Table13[[#This Row],[Direction]],
IF(_xlpm.dir="R",
    IF(G1973+Table13[[#This Row],[Steps]]&gt;99,(G1973+Table13[[#This Row],[Steps]])-100,G1973+Table13[[#This Row],[Steps]]),
))</f>
        <v>16</v>
      </c>
      <c r="G1974">
        <f>IF(Table13[[#This Row],[New Pos L]]&lt;&gt;0,Table13[[#This Row],[New Pos L]],Table13[[#This Row],[New Pos R]])</f>
        <v>16</v>
      </c>
      <c r="H1974">
        <f>IF(AND(Table13[[#This Row],[Direction]]="L",Table13[[#This Row],[Steps]]&gt;G1973,G1973&lt;&gt;0),1,0)</f>
        <v>0</v>
      </c>
      <c r="I1974">
        <f>IF(AND(Table13[[#This Row],[Direction]]="R",(G1973+Table13[[#This Row],[Steps]])&gt;100),1,0)</f>
        <v>0</v>
      </c>
      <c r="J1974">
        <f>IF(Table13[[#This Row],[POS]]=0,1,0)</f>
        <v>0</v>
      </c>
      <c r="K1974">
        <f>SUM(Table13[[#This Row],[prefix]],Table13[[#This Row],[Past zero L]],Table13[[#This Row],[Past Zero R]],Table13[[#This Row],[Is Zero]])</f>
        <v>8</v>
      </c>
    </row>
    <row r="1975" spans="1:11" ht="16" x14ac:dyDescent="0.2">
      <c r="A1975" s="1" t="s">
        <v>538</v>
      </c>
      <c r="B1975" t="str">
        <f>LEFT(Table13[[#This Row],[Input]],1)</f>
        <v>L</v>
      </c>
      <c r="C1975">
        <f>_xlfn.LET(_xlpm.steps,SUBSTITUTE(Table13[[#This Row],[Input]],Table13[[#This Row],[Direction]],""),VALUE(IF(LEN(_xlpm.steps)&gt;2,RIGHT(_xlpm.steps,2),_xlpm.steps)))</f>
        <v>46</v>
      </c>
      <c r="D1975">
        <f>_xlfn.LET(_xlpm.steps,SUBSTITUTE(Table13[[#This Row],[Input]],Table13[[#This Row],[Direction]],""),VALUE(IF(LEN(_xlpm.steps)&gt;2,LEFT(_xlpm.steps,LEN(_xlpm.steps)-2),0)))</f>
        <v>4</v>
      </c>
      <c r="E1975">
        <f>_xlfn.LET(_xlpm.dir,Table13[[#This Row],[Direction]],
IF(_xlpm.dir="L",
    IF(G1974-Table13[[#This Row],[Steps]]&lt;0,100+(G1974-Table13[[#This Row],[Steps]]),G1974-Table13[[#This Row],[Steps]]),
))</f>
        <v>70</v>
      </c>
      <c r="F1975">
        <f>_xlfn.LET(_xlpm.dir,Table13[[#This Row],[Direction]],
IF(_xlpm.dir="R",
    IF(G1974+Table13[[#This Row],[Steps]]&gt;99,(G1974+Table13[[#This Row],[Steps]])-100,G1974+Table13[[#This Row],[Steps]]),
))</f>
        <v>0</v>
      </c>
      <c r="G1975">
        <f>IF(Table13[[#This Row],[New Pos L]]&lt;&gt;0,Table13[[#This Row],[New Pos L]],Table13[[#This Row],[New Pos R]])</f>
        <v>70</v>
      </c>
      <c r="H1975">
        <f>IF(AND(Table13[[#This Row],[Direction]]="L",Table13[[#This Row],[Steps]]&gt;G1974,G1974&lt;&gt;0),1,0)</f>
        <v>1</v>
      </c>
      <c r="I1975">
        <f>IF(AND(Table13[[#This Row],[Direction]]="R",(G1974+Table13[[#This Row],[Steps]])&gt;100),1,0)</f>
        <v>0</v>
      </c>
      <c r="J1975">
        <f>IF(Table13[[#This Row],[POS]]=0,1,0)</f>
        <v>0</v>
      </c>
      <c r="K1975">
        <f>SUM(Table13[[#This Row],[prefix]],Table13[[#This Row],[Past zero L]],Table13[[#This Row],[Past Zero R]],Table13[[#This Row],[Is Zero]])</f>
        <v>5</v>
      </c>
    </row>
    <row r="1976" spans="1:11" ht="16" x14ac:dyDescent="0.2">
      <c r="A1976" s="1" t="s">
        <v>416</v>
      </c>
      <c r="B1976" t="str">
        <f>LEFT(Table13[[#This Row],[Input]],1)</f>
        <v>R</v>
      </c>
      <c r="C1976">
        <f>_xlfn.LET(_xlpm.steps,SUBSTITUTE(Table13[[#This Row],[Input]],Table13[[#This Row],[Direction]],""),VALUE(IF(LEN(_xlpm.steps)&gt;2,RIGHT(_xlpm.steps,2),_xlpm.steps)))</f>
        <v>94</v>
      </c>
      <c r="D1976">
        <f>_xlfn.LET(_xlpm.steps,SUBSTITUTE(Table13[[#This Row],[Input]],Table13[[#This Row],[Direction]],""),VALUE(IF(LEN(_xlpm.steps)&gt;2,LEFT(_xlpm.steps,LEN(_xlpm.steps)-2),0)))</f>
        <v>4</v>
      </c>
      <c r="E1976">
        <f>_xlfn.LET(_xlpm.dir,Table13[[#This Row],[Direction]],
IF(_xlpm.dir="L",
    IF(G1975-Table13[[#This Row],[Steps]]&lt;0,100+(G1975-Table13[[#This Row],[Steps]]),G1975-Table13[[#This Row],[Steps]]),
))</f>
        <v>0</v>
      </c>
      <c r="F1976">
        <f>_xlfn.LET(_xlpm.dir,Table13[[#This Row],[Direction]],
IF(_xlpm.dir="R",
    IF(G1975+Table13[[#This Row],[Steps]]&gt;99,(G1975+Table13[[#This Row],[Steps]])-100,G1975+Table13[[#This Row],[Steps]]),
))</f>
        <v>64</v>
      </c>
      <c r="G1976">
        <f>IF(Table13[[#This Row],[New Pos L]]&lt;&gt;0,Table13[[#This Row],[New Pos L]],Table13[[#This Row],[New Pos R]])</f>
        <v>64</v>
      </c>
      <c r="H1976">
        <f>IF(AND(Table13[[#This Row],[Direction]]="L",Table13[[#This Row],[Steps]]&gt;G1975,G1975&lt;&gt;0),1,0)</f>
        <v>0</v>
      </c>
      <c r="I1976">
        <f>IF(AND(Table13[[#This Row],[Direction]]="R",(G1975+Table13[[#This Row],[Steps]])&gt;100),1,0)</f>
        <v>1</v>
      </c>
      <c r="J1976">
        <f>IF(Table13[[#This Row],[POS]]=0,1,0)</f>
        <v>0</v>
      </c>
      <c r="K1976">
        <f>SUM(Table13[[#This Row],[prefix]],Table13[[#This Row],[Past zero L]],Table13[[#This Row],[Past Zero R]],Table13[[#This Row],[Is Zero]])</f>
        <v>5</v>
      </c>
    </row>
    <row r="1977" spans="1:11" ht="16" x14ac:dyDescent="0.2">
      <c r="A1977" s="1" t="s">
        <v>15</v>
      </c>
      <c r="B1977" t="str">
        <f>LEFT(Table13[[#This Row],[Input]],1)</f>
        <v>R</v>
      </c>
      <c r="C1977">
        <f>_xlfn.LET(_xlpm.steps,SUBSTITUTE(Table13[[#This Row],[Input]],Table13[[#This Row],[Direction]],""),VALUE(IF(LEN(_xlpm.steps)&gt;2,RIGHT(_xlpm.steps,2),_xlpm.steps)))</f>
        <v>36</v>
      </c>
      <c r="D1977">
        <f>_xlfn.LET(_xlpm.steps,SUBSTITUTE(Table13[[#This Row],[Input]],Table13[[#This Row],[Direction]],""),VALUE(IF(LEN(_xlpm.steps)&gt;2,LEFT(_xlpm.steps,LEN(_xlpm.steps)-2),0)))</f>
        <v>0</v>
      </c>
      <c r="E1977">
        <f>_xlfn.LET(_xlpm.dir,Table13[[#This Row],[Direction]],
IF(_xlpm.dir="L",
    IF(G1976-Table13[[#This Row],[Steps]]&lt;0,100+(G1976-Table13[[#This Row],[Steps]]),G1976-Table13[[#This Row],[Steps]]),
))</f>
        <v>0</v>
      </c>
      <c r="F1977">
        <f>_xlfn.LET(_xlpm.dir,Table13[[#This Row],[Direction]],
IF(_xlpm.dir="R",
    IF(G1976+Table13[[#This Row],[Steps]]&gt;99,(G1976+Table13[[#This Row],[Steps]])-100,G1976+Table13[[#This Row],[Steps]]),
))</f>
        <v>0</v>
      </c>
      <c r="G1977">
        <f>IF(Table13[[#This Row],[New Pos L]]&lt;&gt;0,Table13[[#This Row],[New Pos L]],Table13[[#This Row],[New Pos R]])</f>
        <v>0</v>
      </c>
      <c r="H1977">
        <f>IF(AND(Table13[[#This Row],[Direction]]="L",Table13[[#This Row],[Steps]]&gt;G1976,G1976&lt;&gt;0),1,0)</f>
        <v>0</v>
      </c>
      <c r="I1977">
        <f>IF(AND(Table13[[#This Row],[Direction]]="R",(G1976+Table13[[#This Row],[Steps]])&gt;100),1,0)</f>
        <v>0</v>
      </c>
      <c r="J1977">
        <f>IF(Table13[[#This Row],[POS]]=0,1,0)</f>
        <v>1</v>
      </c>
      <c r="K1977">
        <f>SUM(Table13[[#This Row],[prefix]],Table13[[#This Row],[Past zero L]],Table13[[#This Row],[Past Zero R]],Table13[[#This Row],[Is Zero]])</f>
        <v>1</v>
      </c>
    </row>
    <row r="1978" spans="1:11" ht="16" x14ac:dyDescent="0.2">
      <c r="A1978" s="1" t="s">
        <v>33</v>
      </c>
      <c r="B1978" t="str">
        <f>LEFT(Table13[[#This Row],[Input]],1)</f>
        <v>R</v>
      </c>
      <c r="C1978">
        <f>_xlfn.LET(_xlpm.steps,SUBSTITUTE(Table13[[#This Row],[Input]],Table13[[#This Row],[Direction]],""),VALUE(IF(LEN(_xlpm.steps)&gt;2,RIGHT(_xlpm.steps,2),_xlpm.steps)))</f>
        <v>22</v>
      </c>
      <c r="D1978">
        <f>_xlfn.LET(_xlpm.steps,SUBSTITUTE(Table13[[#This Row],[Input]],Table13[[#This Row],[Direction]],""),VALUE(IF(LEN(_xlpm.steps)&gt;2,LEFT(_xlpm.steps,LEN(_xlpm.steps)-2),0)))</f>
        <v>0</v>
      </c>
      <c r="E1978">
        <f>_xlfn.LET(_xlpm.dir,Table13[[#This Row],[Direction]],
IF(_xlpm.dir="L",
    IF(G1977-Table13[[#This Row],[Steps]]&lt;0,100+(G1977-Table13[[#This Row],[Steps]]),G1977-Table13[[#This Row],[Steps]]),
))</f>
        <v>0</v>
      </c>
      <c r="F1978">
        <f>_xlfn.LET(_xlpm.dir,Table13[[#This Row],[Direction]],
IF(_xlpm.dir="R",
    IF(G1977+Table13[[#This Row],[Steps]]&gt;99,(G1977+Table13[[#This Row],[Steps]])-100,G1977+Table13[[#This Row],[Steps]]),
))</f>
        <v>22</v>
      </c>
      <c r="G1978">
        <f>IF(Table13[[#This Row],[New Pos L]]&lt;&gt;0,Table13[[#This Row],[New Pos L]],Table13[[#This Row],[New Pos R]])</f>
        <v>22</v>
      </c>
      <c r="H1978">
        <f>IF(AND(Table13[[#This Row],[Direction]]="L",Table13[[#This Row],[Steps]]&gt;G1977,G1977&lt;&gt;0),1,0)</f>
        <v>0</v>
      </c>
      <c r="I1978">
        <f>IF(AND(Table13[[#This Row],[Direction]]="R",(G1977+Table13[[#This Row],[Steps]])&gt;100),1,0)</f>
        <v>0</v>
      </c>
      <c r="J1978">
        <f>IF(Table13[[#This Row],[POS]]=0,1,0)</f>
        <v>0</v>
      </c>
      <c r="K1978">
        <f>SUM(Table13[[#This Row],[prefix]],Table13[[#This Row],[Past zero L]],Table13[[#This Row],[Past Zero R]],Table13[[#This Row],[Is Zero]])</f>
        <v>0</v>
      </c>
    </row>
    <row r="1979" spans="1:11" ht="16" x14ac:dyDescent="0.2">
      <c r="A1979" s="1" t="s">
        <v>539</v>
      </c>
      <c r="B1979" t="str">
        <f>LEFT(Table13[[#This Row],[Input]],1)</f>
        <v>R</v>
      </c>
      <c r="C1979">
        <f>_xlfn.LET(_xlpm.steps,SUBSTITUTE(Table13[[#This Row],[Input]],Table13[[#This Row],[Direction]],""),VALUE(IF(LEN(_xlpm.steps)&gt;2,RIGHT(_xlpm.steps,2),_xlpm.steps)))</f>
        <v>78</v>
      </c>
      <c r="D1979">
        <f>_xlfn.LET(_xlpm.steps,SUBSTITUTE(Table13[[#This Row],[Input]],Table13[[#This Row],[Direction]],""),VALUE(IF(LEN(_xlpm.steps)&gt;2,LEFT(_xlpm.steps,LEN(_xlpm.steps)-2),0)))</f>
        <v>5</v>
      </c>
      <c r="E1979">
        <f>_xlfn.LET(_xlpm.dir,Table13[[#This Row],[Direction]],
IF(_xlpm.dir="L",
    IF(G1978-Table13[[#This Row],[Steps]]&lt;0,100+(G1978-Table13[[#This Row],[Steps]]),G1978-Table13[[#This Row],[Steps]]),
))</f>
        <v>0</v>
      </c>
      <c r="F1979">
        <f>_xlfn.LET(_xlpm.dir,Table13[[#This Row],[Direction]],
IF(_xlpm.dir="R",
    IF(G1978+Table13[[#This Row],[Steps]]&gt;99,(G1978+Table13[[#This Row],[Steps]])-100,G1978+Table13[[#This Row],[Steps]]),
))</f>
        <v>0</v>
      </c>
      <c r="G1979">
        <f>IF(Table13[[#This Row],[New Pos L]]&lt;&gt;0,Table13[[#This Row],[New Pos L]],Table13[[#This Row],[New Pos R]])</f>
        <v>0</v>
      </c>
      <c r="H1979">
        <f>IF(AND(Table13[[#This Row],[Direction]]="L",Table13[[#This Row],[Steps]]&gt;G1978,G1978&lt;&gt;0),1,0)</f>
        <v>0</v>
      </c>
      <c r="I1979">
        <f>IF(AND(Table13[[#This Row],[Direction]]="R",(G1978+Table13[[#This Row],[Steps]])&gt;100),1,0)</f>
        <v>0</v>
      </c>
      <c r="J1979">
        <f>IF(Table13[[#This Row],[POS]]=0,1,0)</f>
        <v>1</v>
      </c>
      <c r="K1979">
        <f>SUM(Table13[[#This Row],[prefix]],Table13[[#This Row],[Past zero L]],Table13[[#This Row],[Past Zero R]],Table13[[#This Row],[Is Zero]])</f>
        <v>6</v>
      </c>
    </row>
    <row r="1980" spans="1:11" ht="16" x14ac:dyDescent="0.2">
      <c r="A1980" s="1" t="s">
        <v>540</v>
      </c>
      <c r="B1980" t="str">
        <f>LEFT(Table13[[#This Row],[Input]],1)</f>
        <v>L</v>
      </c>
      <c r="C1980">
        <f>_xlfn.LET(_xlpm.steps,SUBSTITUTE(Table13[[#This Row],[Input]],Table13[[#This Row],[Direction]],""),VALUE(IF(LEN(_xlpm.steps)&gt;2,RIGHT(_xlpm.steps,2),_xlpm.steps)))</f>
        <v>19</v>
      </c>
      <c r="D1980">
        <f>_xlfn.LET(_xlpm.steps,SUBSTITUTE(Table13[[#This Row],[Input]],Table13[[#This Row],[Direction]],""),VALUE(IF(LEN(_xlpm.steps)&gt;2,LEFT(_xlpm.steps,LEN(_xlpm.steps)-2),0)))</f>
        <v>6</v>
      </c>
      <c r="E1980">
        <f>_xlfn.LET(_xlpm.dir,Table13[[#This Row],[Direction]],
IF(_xlpm.dir="L",
    IF(G1979-Table13[[#This Row],[Steps]]&lt;0,100+(G1979-Table13[[#This Row],[Steps]]),G1979-Table13[[#This Row],[Steps]]),
))</f>
        <v>81</v>
      </c>
      <c r="F1980">
        <f>_xlfn.LET(_xlpm.dir,Table13[[#This Row],[Direction]],
IF(_xlpm.dir="R",
    IF(G1979+Table13[[#This Row],[Steps]]&gt;99,(G1979+Table13[[#This Row],[Steps]])-100,G1979+Table13[[#This Row],[Steps]]),
))</f>
        <v>0</v>
      </c>
      <c r="G1980">
        <f>IF(Table13[[#This Row],[New Pos L]]&lt;&gt;0,Table13[[#This Row],[New Pos L]],Table13[[#This Row],[New Pos R]])</f>
        <v>81</v>
      </c>
      <c r="H1980">
        <f>IF(AND(Table13[[#This Row],[Direction]]="L",Table13[[#This Row],[Steps]]&gt;G1979,G1979&lt;&gt;0),1,0)</f>
        <v>0</v>
      </c>
      <c r="I1980">
        <f>IF(AND(Table13[[#This Row],[Direction]]="R",(G1979+Table13[[#This Row],[Steps]])&gt;100),1,0)</f>
        <v>0</v>
      </c>
      <c r="J1980">
        <f>IF(Table13[[#This Row],[POS]]=0,1,0)</f>
        <v>0</v>
      </c>
      <c r="K1980">
        <f>SUM(Table13[[#This Row],[prefix]],Table13[[#This Row],[Past zero L]],Table13[[#This Row],[Past Zero R]],Table13[[#This Row],[Is Zero]])</f>
        <v>6</v>
      </c>
    </row>
    <row r="1981" spans="1:11" ht="16" x14ac:dyDescent="0.2">
      <c r="A1981" s="1" t="s">
        <v>48</v>
      </c>
      <c r="B1981" t="str">
        <f>LEFT(Table13[[#This Row],[Input]],1)</f>
        <v>R</v>
      </c>
      <c r="C1981">
        <f>_xlfn.LET(_xlpm.steps,SUBSTITUTE(Table13[[#This Row],[Input]],Table13[[#This Row],[Direction]],""),VALUE(IF(LEN(_xlpm.steps)&gt;2,RIGHT(_xlpm.steps,2),_xlpm.steps)))</f>
        <v>81</v>
      </c>
      <c r="D1981">
        <f>_xlfn.LET(_xlpm.steps,SUBSTITUTE(Table13[[#This Row],[Input]],Table13[[#This Row],[Direction]],""),VALUE(IF(LEN(_xlpm.steps)&gt;2,LEFT(_xlpm.steps,LEN(_xlpm.steps)-2),0)))</f>
        <v>0</v>
      </c>
      <c r="E1981">
        <f>_xlfn.LET(_xlpm.dir,Table13[[#This Row],[Direction]],
IF(_xlpm.dir="L",
    IF(G1980-Table13[[#This Row],[Steps]]&lt;0,100+(G1980-Table13[[#This Row],[Steps]]),G1980-Table13[[#This Row],[Steps]]),
))</f>
        <v>0</v>
      </c>
      <c r="F1981">
        <f>_xlfn.LET(_xlpm.dir,Table13[[#This Row],[Direction]],
IF(_xlpm.dir="R",
    IF(G1980+Table13[[#This Row],[Steps]]&gt;99,(G1980+Table13[[#This Row],[Steps]])-100,G1980+Table13[[#This Row],[Steps]]),
))</f>
        <v>62</v>
      </c>
      <c r="G1981">
        <f>IF(Table13[[#This Row],[New Pos L]]&lt;&gt;0,Table13[[#This Row],[New Pos L]],Table13[[#This Row],[New Pos R]])</f>
        <v>62</v>
      </c>
      <c r="H1981">
        <f>IF(AND(Table13[[#This Row],[Direction]]="L",Table13[[#This Row],[Steps]]&gt;G1980,G1980&lt;&gt;0),1,0)</f>
        <v>0</v>
      </c>
      <c r="I1981">
        <f>IF(AND(Table13[[#This Row],[Direction]]="R",(G1980+Table13[[#This Row],[Steps]])&gt;100),1,0)</f>
        <v>1</v>
      </c>
      <c r="J1981">
        <f>IF(Table13[[#This Row],[POS]]=0,1,0)</f>
        <v>0</v>
      </c>
      <c r="K1981">
        <f>SUM(Table13[[#This Row],[prefix]],Table13[[#This Row],[Past zero L]],Table13[[#This Row],[Past Zero R]],Table13[[#This Row],[Is Zero]])</f>
        <v>1</v>
      </c>
    </row>
    <row r="1982" spans="1:11" ht="16" x14ac:dyDescent="0.2">
      <c r="A1982" s="1" t="s">
        <v>139</v>
      </c>
      <c r="B1982" t="str">
        <f>LEFT(Table13[[#This Row],[Input]],1)</f>
        <v>R</v>
      </c>
      <c r="C1982">
        <f>_xlfn.LET(_xlpm.steps,SUBSTITUTE(Table13[[#This Row],[Input]],Table13[[#This Row],[Direction]],""),VALUE(IF(LEN(_xlpm.steps)&gt;2,RIGHT(_xlpm.steps,2),_xlpm.steps)))</f>
        <v>38</v>
      </c>
      <c r="D1982">
        <f>_xlfn.LET(_xlpm.steps,SUBSTITUTE(Table13[[#This Row],[Input]],Table13[[#This Row],[Direction]],""),VALUE(IF(LEN(_xlpm.steps)&gt;2,LEFT(_xlpm.steps,LEN(_xlpm.steps)-2),0)))</f>
        <v>0</v>
      </c>
      <c r="E1982">
        <f>_xlfn.LET(_xlpm.dir,Table13[[#This Row],[Direction]],
IF(_xlpm.dir="L",
    IF(G1981-Table13[[#This Row],[Steps]]&lt;0,100+(G1981-Table13[[#This Row],[Steps]]),G1981-Table13[[#This Row],[Steps]]),
))</f>
        <v>0</v>
      </c>
      <c r="F1982">
        <f>_xlfn.LET(_xlpm.dir,Table13[[#This Row],[Direction]],
IF(_xlpm.dir="R",
    IF(G1981+Table13[[#This Row],[Steps]]&gt;99,(G1981+Table13[[#This Row],[Steps]])-100,G1981+Table13[[#This Row],[Steps]]),
))</f>
        <v>0</v>
      </c>
      <c r="G1982">
        <f>IF(Table13[[#This Row],[New Pos L]]&lt;&gt;0,Table13[[#This Row],[New Pos L]],Table13[[#This Row],[New Pos R]])</f>
        <v>0</v>
      </c>
      <c r="H1982">
        <f>IF(AND(Table13[[#This Row],[Direction]]="L",Table13[[#This Row],[Steps]]&gt;G1981,G1981&lt;&gt;0),1,0)</f>
        <v>0</v>
      </c>
      <c r="I1982">
        <f>IF(AND(Table13[[#This Row],[Direction]]="R",(G1981+Table13[[#This Row],[Steps]])&gt;100),1,0)</f>
        <v>0</v>
      </c>
      <c r="J1982">
        <f>IF(Table13[[#This Row],[POS]]=0,1,0)</f>
        <v>1</v>
      </c>
      <c r="K1982">
        <f>SUM(Table13[[#This Row],[prefix]],Table13[[#This Row],[Past zero L]],Table13[[#This Row],[Past Zero R]],Table13[[#This Row],[Is Zero]])</f>
        <v>1</v>
      </c>
    </row>
    <row r="1983" spans="1:11" ht="16" x14ac:dyDescent="0.2">
      <c r="A1983" s="1" t="s">
        <v>541</v>
      </c>
      <c r="B1983" t="str">
        <f>LEFT(Table13[[#This Row],[Input]],1)</f>
        <v>R</v>
      </c>
      <c r="C1983">
        <f>_xlfn.LET(_xlpm.steps,SUBSTITUTE(Table13[[#This Row],[Input]],Table13[[#This Row],[Direction]],""),VALUE(IF(LEN(_xlpm.steps)&gt;2,RIGHT(_xlpm.steps,2),_xlpm.steps)))</f>
        <v>23</v>
      </c>
      <c r="D1983">
        <f>_xlfn.LET(_xlpm.steps,SUBSTITUTE(Table13[[#This Row],[Input]],Table13[[#This Row],[Direction]],""),VALUE(IF(LEN(_xlpm.steps)&gt;2,LEFT(_xlpm.steps,LEN(_xlpm.steps)-2),0)))</f>
        <v>1</v>
      </c>
      <c r="E1983">
        <f>_xlfn.LET(_xlpm.dir,Table13[[#This Row],[Direction]],
IF(_xlpm.dir="L",
    IF(G1982-Table13[[#This Row],[Steps]]&lt;0,100+(G1982-Table13[[#This Row],[Steps]]),G1982-Table13[[#This Row],[Steps]]),
))</f>
        <v>0</v>
      </c>
      <c r="F1983">
        <f>_xlfn.LET(_xlpm.dir,Table13[[#This Row],[Direction]],
IF(_xlpm.dir="R",
    IF(G1982+Table13[[#This Row],[Steps]]&gt;99,(G1982+Table13[[#This Row],[Steps]])-100,G1982+Table13[[#This Row],[Steps]]),
))</f>
        <v>23</v>
      </c>
      <c r="G1983">
        <f>IF(Table13[[#This Row],[New Pos L]]&lt;&gt;0,Table13[[#This Row],[New Pos L]],Table13[[#This Row],[New Pos R]])</f>
        <v>23</v>
      </c>
      <c r="H1983">
        <f>IF(AND(Table13[[#This Row],[Direction]]="L",Table13[[#This Row],[Steps]]&gt;G1982,G1982&lt;&gt;0),1,0)</f>
        <v>0</v>
      </c>
      <c r="I1983">
        <f>IF(AND(Table13[[#This Row],[Direction]]="R",(G1982+Table13[[#This Row],[Steps]])&gt;100),1,0)</f>
        <v>0</v>
      </c>
      <c r="J1983">
        <f>IF(Table13[[#This Row],[POS]]=0,1,0)</f>
        <v>0</v>
      </c>
      <c r="K1983">
        <f>SUM(Table13[[#This Row],[prefix]],Table13[[#This Row],[Past zero L]],Table13[[#This Row],[Past Zero R]],Table13[[#This Row],[Is Zero]])</f>
        <v>1</v>
      </c>
    </row>
    <row r="1984" spans="1:11" ht="16" x14ac:dyDescent="0.2">
      <c r="A1984" s="1" t="s">
        <v>181</v>
      </c>
      <c r="B1984" t="str">
        <f>LEFT(Table13[[#This Row],[Input]],1)</f>
        <v>L</v>
      </c>
      <c r="C1984">
        <f>_xlfn.LET(_xlpm.steps,SUBSTITUTE(Table13[[#This Row],[Input]],Table13[[#This Row],[Direction]],""),VALUE(IF(LEN(_xlpm.steps)&gt;2,RIGHT(_xlpm.steps,2),_xlpm.steps)))</f>
        <v>53</v>
      </c>
      <c r="D1984">
        <f>_xlfn.LET(_xlpm.steps,SUBSTITUTE(Table13[[#This Row],[Input]],Table13[[#This Row],[Direction]],""),VALUE(IF(LEN(_xlpm.steps)&gt;2,LEFT(_xlpm.steps,LEN(_xlpm.steps)-2),0)))</f>
        <v>0</v>
      </c>
      <c r="E1984">
        <f>_xlfn.LET(_xlpm.dir,Table13[[#This Row],[Direction]],
IF(_xlpm.dir="L",
    IF(G1983-Table13[[#This Row],[Steps]]&lt;0,100+(G1983-Table13[[#This Row],[Steps]]),G1983-Table13[[#This Row],[Steps]]),
))</f>
        <v>70</v>
      </c>
      <c r="F1984">
        <f>_xlfn.LET(_xlpm.dir,Table13[[#This Row],[Direction]],
IF(_xlpm.dir="R",
    IF(G1983+Table13[[#This Row],[Steps]]&gt;99,(G1983+Table13[[#This Row],[Steps]])-100,G1983+Table13[[#This Row],[Steps]]),
))</f>
        <v>0</v>
      </c>
      <c r="G1984">
        <f>IF(Table13[[#This Row],[New Pos L]]&lt;&gt;0,Table13[[#This Row],[New Pos L]],Table13[[#This Row],[New Pos R]])</f>
        <v>70</v>
      </c>
      <c r="H1984">
        <f>IF(AND(Table13[[#This Row],[Direction]]="L",Table13[[#This Row],[Steps]]&gt;G1983,G1983&lt;&gt;0),1,0)</f>
        <v>1</v>
      </c>
      <c r="I1984">
        <f>IF(AND(Table13[[#This Row],[Direction]]="R",(G1983+Table13[[#This Row],[Steps]])&gt;100),1,0)</f>
        <v>0</v>
      </c>
      <c r="J1984">
        <f>IF(Table13[[#This Row],[POS]]=0,1,0)</f>
        <v>0</v>
      </c>
      <c r="K1984">
        <f>SUM(Table13[[#This Row],[prefix]],Table13[[#This Row],[Past zero L]],Table13[[#This Row],[Past Zero R]],Table13[[#This Row],[Is Zero]])</f>
        <v>1</v>
      </c>
    </row>
    <row r="1985" spans="1:11" ht="16" x14ac:dyDescent="0.2">
      <c r="A1985" s="1" t="s">
        <v>26</v>
      </c>
      <c r="B1985" t="str">
        <f>LEFT(Table13[[#This Row],[Input]],1)</f>
        <v>R</v>
      </c>
      <c r="C1985">
        <f>_xlfn.LET(_xlpm.steps,SUBSTITUTE(Table13[[#This Row],[Input]],Table13[[#This Row],[Direction]],""),VALUE(IF(LEN(_xlpm.steps)&gt;2,RIGHT(_xlpm.steps,2),_xlpm.steps)))</f>
        <v>6</v>
      </c>
      <c r="D1985">
        <f>_xlfn.LET(_xlpm.steps,SUBSTITUTE(Table13[[#This Row],[Input]],Table13[[#This Row],[Direction]],""),VALUE(IF(LEN(_xlpm.steps)&gt;2,LEFT(_xlpm.steps,LEN(_xlpm.steps)-2),0)))</f>
        <v>0</v>
      </c>
      <c r="E1985">
        <f>_xlfn.LET(_xlpm.dir,Table13[[#This Row],[Direction]],
IF(_xlpm.dir="L",
    IF(G1984-Table13[[#This Row],[Steps]]&lt;0,100+(G1984-Table13[[#This Row],[Steps]]),G1984-Table13[[#This Row],[Steps]]),
))</f>
        <v>0</v>
      </c>
      <c r="F1985">
        <f>_xlfn.LET(_xlpm.dir,Table13[[#This Row],[Direction]],
IF(_xlpm.dir="R",
    IF(G1984+Table13[[#This Row],[Steps]]&gt;99,(G1984+Table13[[#This Row],[Steps]])-100,G1984+Table13[[#This Row],[Steps]]),
))</f>
        <v>76</v>
      </c>
      <c r="G1985">
        <f>IF(Table13[[#This Row],[New Pos L]]&lt;&gt;0,Table13[[#This Row],[New Pos L]],Table13[[#This Row],[New Pos R]])</f>
        <v>76</v>
      </c>
      <c r="H1985">
        <f>IF(AND(Table13[[#This Row],[Direction]]="L",Table13[[#This Row],[Steps]]&gt;G1984,G1984&lt;&gt;0),1,0)</f>
        <v>0</v>
      </c>
      <c r="I1985">
        <f>IF(AND(Table13[[#This Row],[Direction]]="R",(G1984+Table13[[#This Row],[Steps]])&gt;100),1,0)</f>
        <v>0</v>
      </c>
      <c r="J1985">
        <f>IF(Table13[[#This Row],[POS]]=0,1,0)</f>
        <v>0</v>
      </c>
      <c r="K1985">
        <f>SUM(Table13[[#This Row],[prefix]],Table13[[#This Row],[Past zero L]],Table13[[#This Row],[Past Zero R]],Table13[[#This Row],[Is Zero]])</f>
        <v>0</v>
      </c>
    </row>
    <row r="1986" spans="1:11" ht="16" x14ac:dyDescent="0.2">
      <c r="A1986" s="1" t="s">
        <v>40</v>
      </c>
      <c r="B1986" t="str">
        <f>LEFT(Table13[[#This Row],[Input]],1)</f>
        <v>R</v>
      </c>
      <c r="C1986">
        <f>_xlfn.LET(_xlpm.steps,SUBSTITUTE(Table13[[#This Row],[Input]],Table13[[#This Row],[Direction]],""),VALUE(IF(LEN(_xlpm.steps)&gt;2,RIGHT(_xlpm.steps,2),_xlpm.steps)))</f>
        <v>52</v>
      </c>
      <c r="D1986">
        <f>_xlfn.LET(_xlpm.steps,SUBSTITUTE(Table13[[#This Row],[Input]],Table13[[#This Row],[Direction]],""),VALUE(IF(LEN(_xlpm.steps)&gt;2,LEFT(_xlpm.steps,LEN(_xlpm.steps)-2),0)))</f>
        <v>0</v>
      </c>
      <c r="E1986">
        <f>_xlfn.LET(_xlpm.dir,Table13[[#This Row],[Direction]],
IF(_xlpm.dir="L",
    IF(G1985-Table13[[#This Row],[Steps]]&lt;0,100+(G1985-Table13[[#This Row],[Steps]]),G1985-Table13[[#This Row],[Steps]]),
))</f>
        <v>0</v>
      </c>
      <c r="F1986">
        <f>_xlfn.LET(_xlpm.dir,Table13[[#This Row],[Direction]],
IF(_xlpm.dir="R",
    IF(G1985+Table13[[#This Row],[Steps]]&gt;99,(G1985+Table13[[#This Row],[Steps]])-100,G1985+Table13[[#This Row],[Steps]]),
))</f>
        <v>28</v>
      </c>
      <c r="G1986">
        <f>IF(Table13[[#This Row],[New Pos L]]&lt;&gt;0,Table13[[#This Row],[New Pos L]],Table13[[#This Row],[New Pos R]])</f>
        <v>28</v>
      </c>
      <c r="H1986">
        <f>IF(AND(Table13[[#This Row],[Direction]]="L",Table13[[#This Row],[Steps]]&gt;G1985,G1985&lt;&gt;0),1,0)</f>
        <v>0</v>
      </c>
      <c r="I1986">
        <f>IF(AND(Table13[[#This Row],[Direction]]="R",(G1985+Table13[[#This Row],[Steps]])&gt;100),1,0)</f>
        <v>1</v>
      </c>
      <c r="J1986">
        <f>IF(Table13[[#This Row],[POS]]=0,1,0)</f>
        <v>0</v>
      </c>
      <c r="K1986">
        <f>SUM(Table13[[#This Row],[prefix]],Table13[[#This Row],[Past zero L]],Table13[[#This Row],[Past Zero R]],Table13[[#This Row],[Is Zero]])</f>
        <v>1</v>
      </c>
    </row>
    <row r="1987" spans="1:11" ht="16" x14ac:dyDescent="0.2">
      <c r="A1987" s="1" t="s">
        <v>267</v>
      </c>
      <c r="B1987" t="str">
        <f>LEFT(Table13[[#This Row],[Input]],1)</f>
        <v>L</v>
      </c>
      <c r="C1987">
        <f>_xlfn.LET(_xlpm.steps,SUBSTITUTE(Table13[[#This Row],[Input]],Table13[[#This Row],[Direction]],""),VALUE(IF(LEN(_xlpm.steps)&gt;2,RIGHT(_xlpm.steps,2),_xlpm.steps)))</f>
        <v>39</v>
      </c>
      <c r="D1987">
        <f>_xlfn.LET(_xlpm.steps,SUBSTITUTE(Table13[[#This Row],[Input]],Table13[[#This Row],[Direction]],""),VALUE(IF(LEN(_xlpm.steps)&gt;2,LEFT(_xlpm.steps,LEN(_xlpm.steps)-2),0)))</f>
        <v>0</v>
      </c>
      <c r="E1987">
        <f>_xlfn.LET(_xlpm.dir,Table13[[#This Row],[Direction]],
IF(_xlpm.dir="L",
    IF(G1986-Table13[[#This Row],[Steps]]&lt;0,100+(G1986-Table13[[#This Row],[Steps]]),G1986-Table13[[#This Row],[Steps]]),
))</f>
        <v>89</v>
      </c>
      <c r="F1987">
        <f>_xlfn.LET(_xlpm.dir,Table13[[#This Row],[Direction]],
IF(_xlpm.dir="R",
    IF(G1986+Table13[[#This Row],[Steps]]&gt;99,(G1986+Table13[[#This Row],[Steps]])-100,G1986+Table13[[#This Row],[Steps]]),
))</f>
        <v>0</v>
      </c>
      <c r="G1987">
        <f>IF(Table13[[#This Row],[New Pos L]]&lt;&gt;0,Table13[[#This Row],[New Pos L]],Table13[[#This Row],[New Pos R]])</f>
        <v>89</v>
      </c>
      <c r="H1987">
        <f>IF(AND(Table13[[#This Row],[Direction]]="L",Table13[[#This Row],[Steps]]&gt;G1986,G1986&lt;&gt;0),1,0)</f>
        <v>1</v>
      </c>
      <c r="I1987">
        <f>IF(AND(Table13[[#This Row],[Direction]]="R",(G1986+Table13[[#This Row],[Steps]])&gt;100),1,0)</f>
        <v>0</v>
      </c>
      <c r="J1987">
        <f>IF(Table13[[#This Row],[POS]]=0,1,0)</f>
        <v>0</v>
      </c>
      <c r="K1987">
        <f>SUM(Table13[[#This Row],[prefix]],Table13[[#This Row],[Past zero L]],Table13[[#This Row],[Past Zero R]],Table13[[#This Row],[Is Zero]])</f>
        <v>1</v>
      </c>
    </row>
    <row r="1988" spans="1:11" ht="16" x14ac:dyDescent="0.2">
      <c r="A1988" s="1" t="s">
        <v>542</v>
      </c>
      <c r="B1988" t="str">
        <f>LEFT(Table13[[#This Row],[Input]],1)</f>
        <v>L</v>
      </c>
      <c r="C1988">
        <f>_xlfn.LET(_xlpm.steps,SUBSTITUTE(Table13[[#This Row],[Input]],Table13[[#This Row],[Direction]],""),VALUE(IF(LEN(_xlpm.steps)&gt;2,RIGHT(_xlpm.steps,2),_xlpm.steps)))</f>
        <v>4</v>
      </c>
      <c r="D1988">
        <f>_xlfn.LET(_xlpm.steps,SUBSTITUTE(Table13[[#This Row],[Input]],Table13[[#This Row],[Direction]],""),VALUE(IF(LEN(_xlpm.steps)&gt;2,LEFT(_xlpm.steps,LEN(_xlpm.steps)-2),0)))</f>
        <v>3</v>
      </c>
      <c r="E1988">
        <f>_xlfn.LET(_xlpm.dir,Table13[[#This Row],[Direction]],
IF(_xlpm.dir="L",
    IF(G1987-Table13[[#This Row],[Steps]]&lt;0,100+(G1987-Table13[[#This Row],[Steps]]),G1987-Table13[[#This Row],[Steps]]),
))</f>
        <v>85</v>
      </c>
      <c r="F1988">
        <f>_xlfn.LET(_xlpm.dir,Table13[[#This Row],[Direction]],
IF(_xlpm.dir="R",
    IF(G1987+Table13[[#This Row],[Steps]]&gt;99,(G1987+Table13[[#This Row],[Steps]])-100,G1987+Table13[[#This Row],[Steps]]),
))</f>
        <v>0</v>
      </c>
      <c r="G1988">
        <f>IF(Table13[[#This Row],[New Pos L]]&lt;&gt;0,Table13[[#This Row],[New Pos L]],Table13[[#This Row],[New Pos R]])</f>
        <v>85</v>
      </c>
      <c r="H1988">
        <f>IF(AND(Table13[[#This Row],[Direction]]="L",Table13[[#This Row],[Steps]]&gt;G1987,G1987&lt;&gt;0),1,0)</f>
        <v>0</v>
      </c>
      <c r="I1988">
        <f>IF(AND(Table13[[#This Row],[Direction]]="R",(G1987+Table13[[#This Row],[Steps]])&gt;100),1,0)</f>
        <v>0</v>
      </c>
      <c r="J1988">
        <f>IF(Table13[[#This Row],[POS]]=0,1,0)</f>
        <v>0</v>
      </c>
      <c r="K1988">
        <f>SUM(Table13[[#This Row],[prefix]],Table13[[#This Row],[Past zero L]],Table13[[#This Row],[Past Zero R]],Table13[[#This Row],[Is Zero]])</f>
        <v>3</v>
      </c>
    </row>
    <row r="1989" spans="1:11" ht="16" x14ac:dyDescent="0.2">
      <c r="A1989" s="1" t="s">
        <v>121</v>
      </c>
      <c r="B1989" t="str">
        <f>LEFT(Table13[[#This Row],[Input]],1)</f>
        <v>L</v>
      </c>
      <c r="C1989">
        <f>_xlfn.LET(_xlpm.steps,SUBSTITUTE(Table13[[#This Row],[Input]],Table13[[#This Row],[Direction]],""),VALUE(IF(LEN(_xlpm.steps)&gt;2,RIGHT(_xlpm.steps,2),_xlpm.steps)))</f>
        <v>69</v>
      </c>
      <c r="D1989">
        <f>_xlfn.LET(_xlpm.steps,SUBSTITUTE(Table13[[#This Row],[Input]],Table13[[#This Row],[Direction]],""),VALUE(IF(LEN(_xlpm.steps)&gt;2,LEFT(_xlpm.steps,LEN(_xlpm.steps)-2),0)))</f>
        <v>0</v>
      </c>
      <c r="E1989">
        <f>_xlfn.LET(_xlpm.dir,Table13[[#This Row],[Direction]],
IF(_xlpm.dir="L",
    IF(G1988-Table13[[#This Row],[Steps]]&lt;0,100+(G1988-Table13[[#This Row],[Steps]]),G1988-Table13[[#This Row],[Steps]]),
))</f>
        <v>16</v>
      </c>
      <c r="F1989">
        <f>_xlfn.LET(_xlpm.dir,Table13[[#This Row],[Direction]],
IF(_xlpm.dir="R",
    IF(G1988+Table13[[#This Row],[Steps]]&gt;99,(G1988+Table13[[#This Row],[Steps]])-100,G1988+Table13[[#This Row],[Steps]]),
))</f>
        <v>0</v>
      </c>
      <c r="G1989">
        <f>IF(Table13[[#This Row],[New Pos L]]&lt;&gt;0,Table13[[#This Row],[New Pos L]],Table13[[#This Row],[New Pos R]])</f>
        <v>16</v>
      </c>
      <c r="H1989">
        <f>IF(AND(Table13[[#This Row],[Direction]]="L",Table13[[#This Row],[Steps]]&gt;G1988,G1988&lt;&gt;0),1,0)</f>
        <v>0</v>
      </c>
      <c r="I1989">
        <f>IF(AND(Table13[[#This Row],[Direction]]="R",(G1988+Table13[[#This Row],[Steps]])&gt;100),1,0)</f>
        <v>0</v>
      </c>
      <c r="J1989">
        <f>IF(Table13[[#This Row],[POS]]=0,1,0)</f>
        <v>0</v>
      </c>
      <c r="K1989">
        <f>SUM(Table13[[#This Row],[prefix]],Table13[[#This Row],[Past zero L]],Table13[[#This Row],[Past Zero R]],Table13[[#This Row],[Is Zero]])</f>
        <v>0</v>
      </c>
    </row>
    <row r="1990" spans="1:11" ht="16" x14ac:dyDescent="0.2">
      <c r="A1990" s="1" t="s">
        <v>336</v>
      </c>
      <c r="B1990" t="str">
        <f>LEFT(Table13[[#This Row],[Input]],1)</f>
        <v>R</v>
      </c>
      <c r="C1990">
        <f>_xlfn.LET(_xlpm.steps,SUBSTITUTE(Table13[[#This Row],[Input]],Table13[[#This Row],[Direction]],""),VALUE(IF(LEN(_xlpm.steps)&gt;2,RIGHT(_xlpm.steps,2),_xlpm.steps)))</f>
        <v>95</v>
      </c>
      <c r="D1990">
        <f>_xlfn.LET(_xlpm.steps,SUBSTITUTE(Table13[[#This Row],[Input]],Table13[[#This Row],[Direction]],""),VALUE(IF(LEN(_xlpm.steps)&gt;2,LEFT(_xlpm.steps,LEN(_xlpm.steps)-2),0)))</f>
        <v>0</v>
      </c>
      <c r="E1990">
        <f>_xlfn.LET(_xlpm.dir,Table13[[#This Row],[Direction]],
IF(_xlpm.dir="L",
    IF(G1989-Table13[[#This Row],[Steps]]&lt;0,100+(G1989-Table13[[#This Row],[Steps]]),G1989-Table13[[#This Row],[Steps]]),
))</f>
        <v>0</v>
      </c>
      <c r="F1990">
        <f>_xlfn.LET(_xlpm.dir,Table13[[#This Row],[Direction]],
IF(_xlpm.dir="R",
    IF(G1989+Table13[[#This Row],[Steps]]&gt;99,(G1989+Table13[[#This Row],[Steps]])-100,G1989+Table13[[#This Row],[Steps]]),
))</f>
        <v>11</v>
      </c>
      <c r="G1990">
        <f>IF(Table13[[#This Row],[New Pos L]]&lt;&gt;0,Table13[[#This Row],[New Pos L]],Table13[[#This Row],[New Pos R]])</f>
        <v>11</v>
      </c>
      <c r="H1990">
        <f>IF(AND(Table13[[#This Row],[Direction]]="L",Table13[[#This Row],[Steps]]&gt;G1989,G1989&lt;&gt;0),1,0)</f>
        <v>0</v>
      </c>
      <c r="I1990">
        <f>IF(AND(Table13[[#This Row],[Direction]]="R",(G1989+Table13[[#This Row],[Steps]])&gt;100),1,0)</f>
        <v>1</v>
      </c>
      <c r="J1990">
        <f>IF(Table13[[#This Row],[POS]]=0,1,0)</f>
        <v>0</v>
      </c>
      <c r="K1990">
        <f>SUM(Table13[[#This Row],[prefix]],Table13[[#This Row],[Past zero L]],Table13[[#This Row],[Past Zero R]],Table13[[#This Row],[Is Zero]])</f>
        <v>1</v>
      </c>
    </row>
    <row r="1991" spans="1:11" ht="16" x14ac:dyDescent="0.2">
      <c r="A1991" s="1" t="s">
        <v>108</v>
      </c>
      <c r="B1991" t="str">
        <f>LEFT(Table13[[#This Row],[Input]],1)</f>
        <v>R</v>
      </c>
      <c r="C1991">
        <f>_xlfn.LET(_xlpm.steps,SUBSTITUTE(Table13[[#This Row],[Input]],Table13[[#This Row],[Direction]],""),VALUE(IF(LEN(_xlpm.steps)&gt;2,RIGHT(_xlpm.steps,2),_xlpm.steps)))</f>
        <v>66</v>
      </c>
      <c r="D1991">
        <f>_xlfn.LET(_xlpm.steps,SUBSTITUTE(Table13[[#This Row],[Input]],Table13[[#This Row],[Direction]],""),VALUE(IF(LEN(_xlpm.steps)&gt;2,LEFT(_xlpm.steps,LEN(_xlpm.steps)-2),0)))</f>
        <v>0</v>
      </c>
      <c r="E1991">
        <f>_xlfn.LET(_xlpm.dir,Table13[[#This Row],[Direction]],
IF(_xlpm.dir="L",
    IF(G1990-Table13[[#This Row],[Steps]]&lt;0,100+(G1990-Table13[[#This Row],[Steps]]),G1990-Table13[[#This Row],[Steps]]),
))</f>
        <v>0</v>
      </c>
      <c r="F1991">
        <f>_xlfn.LET(_xlpm.dir,Table13[[#This Row],[Direction]],
IF(_xlpm.dir="R",
    IF(G1990+Table13[[#This Row],[Steps]]&gt;99,(G1990+Table13[[#This Row],[Steps]])-100,G1990+Table13[[#This Row],[Steps]]),
))</f>
        <v>77</v>
      </c>
      <c r="G1991">
        <f>IF(Table13[[#This Row],[New Pos L]]&lt;&gt;0,Table13[[#This Row],[New Pos L]],Table13[[#This Row],[New Pos R]])</f>
        <v>77</v>
      </c>
      <c r="H1991">
        <f>IF(AND(Table13[[#This Row],[Direction]]="L",Table13[[#This Row],[Steps]]&gt;G1990,G1990&lt;&gt;0),1,0)</f>
        <v>0</v>
      </c>
      <c r="I1991">
        <f>IF(AND(Table13[[#This Row],[Direction]]="R",(G1990+Table13[[#This Row],[Steps]])&gt;100),1,0)</f>
        <v>0</v>
      </c>
      <c r="J1991">
        <f>IF(Table13[[#This Row],[POS]]=0,1,0)</f>
        <v>0</v>
      </c>
      <c r="K1991">
        <f>SUM(Table13[[#This Row],[prefix]],Table13[[#This Row],[Past zero L]],Table13[[#This Row],[Past Zero R]],Table13[[#This Row],[Is Zero]])</f>
        <v>0</v>
      </c>
    </row>
    <row r="1992" spans="1:11" ht="16" x14ac:dyDescent="0.2">
      <c r="A1992" s="1" t="s">
        <v>71</v>
      </c>
      <c r="B1992" t="str">
        <f>LEFT(Table13[[#This Row],[Input]],1)</f>
        <v>R</v>
      </c>
      <c r="C1992">
        <f>_xlfn.LET(_xlpm.steps,SUBSTITUTE(Table13[[#This Row],[Input]],Table13[[#This Row],[Direction]],""),VALUE(IF(LEN(_xlpm.steps)&gt;2,RIGHT(_xlpm.steps,2),_xlpm.steps)))</f>
        <v>23</v>
      </c>
      <c r="D1992">
        <f>_xlfn.LET(_xlpm.steps,SUBSTITUTE(Table13[[#This Row],[Input]],Table13[[#This Row],[Direction]],""),VALUE(IF(LEN(_xlpm.steps)&gt;2,LEFT(_xlpm.steps,LEN(_xlpm.steps)-2),0)))</f>
        <v>0</v>
      </c>
      <c r="E1992">
        <f>_xlfn.LET(_xlpm.dir,Table13[[#This Row],[Direction]],
IF(_xlpm.dir="L",
    IF(G1991-Table13[[#This Row],[Steps]]&lt;0,100+(G1991-Table13[[#This Row],[Steps]]),G1991-Table13[[#This Row],[Steps]]),
))</f>
        <v>0</v>
      </c>
      <c r="F1992">
        <f>_xlfn.LET(_xlpm.dir,Table13[[#This Row],[Direction]],
IF(_xlpm.dir="R",
    IF(G1991+Table13[[#This Row],[Steps]]&gt;99,(G1991+Table13[[#This Row],[Steps]])-100,G1991+Table13[[#This Row],[Steps]]),
))</f>
        <v>0</v>
      </c>
      <c r="G1992">
        <f>IF(Table13[[#This Row],[New Pos L]]&lt;&gt;0,Table13[[#This Row],[New Pos L]],Table13[[#This Row],[New Pos R]])</f>
        <v>0</v>
      </c>
      <c r="H1992">
        <f>IF(AND(Table13[[#This Row],[Direction]]="L",Table13[[#This Row],[Steps]]&gt;G1991,G1991&lt;&gt;0),1,0)</f>
        <v>0</v>
      </c>
      <c r="I1992">
        <f>IF(AND(Table13[[#This Row],[Direction]]="R",(G1991+Table13[[#This Row],[Steps]])&gt;100),1,0)</f>
        <v>0</v>
      </c>
      <c r="J1992">
        <f>IF(Table13[[#This Row],[POS]]=0,1,0)</f>
        <v>1</v>
      </c>
      <c r="K1992">
        <f>SUM(Table13[[#This Row],[prefix]],Table13[[#This Row],[Past zero L]],Table13[[#This Row],[Past Zero R]],Table13[[#This Row],[Is Zero]])</f>
        <v>1</v>
      </c>
    </row>
    <row r="1993" spans="1:11" ht="16" x14ac:dyDescent="0.2">
      <c r="A1993" s="1" t="s">
        <v>72</v>
      </c>
      <c r="B1993" t="str">
        <f>LEFT(Table13[[#This Row],[Input]],1)</f>
        <v>R</v>
      </c>
      <c r="C1993">
        <f>_xlfn.LET(_xlpm.steps,SUBSTITUTE(Table13[[#This Row],[Input]],Table13[[#This Row],[Direction]],""),VALUE(IF(LEN(_xlpm.steps)&gt;2,RIGHT(_xlpm.steps,2),_xlpm.steps)))</f>
        <v>43</v>
      </c>
      <c r="D1993">
        <f>_xlfn.LET(_xlpm.steps,SUBSTITUTE(Table13[[#This Row],[Input]],Table13[[#This Row],[Direction]],""),VALUE(IF(LEN(_xlpm.steps)&gt;2,LEFT(_xlpm.steps,LEN(_xlpm.steps)-2),0)))</f>
        <v>0</v>
      </c>
      <c r="E1993">
        <f>_xlfn.LET(_xlpm.dir,Table13[[#This Row],[Direction]],
IF(_xlpm.dir="L",
    IF(G1992-Table13[[#This Row],[Steps]]&lt;0,100+(G1992-Table13[[#This Row],[Steps]]),G1992-Table13[[#This Row],[Steps]]),
))</f>
        <v>0</v>
      </c>
      <c r="F1993">
        <f>_xlfn.LET(_xlpm.dir,Table13[[#This Row],[Direction]],
IF(_xlpm.dir="R",
    IF(G1992+Table13[[#This Row],[Steps]]&gt;99,(G1992+Table13[[#This Row],[Steps]])-100,G1992+Table13[[#This Row],[Steps]]),
))</f>
        <v>43</v>
      </c>
      <c r="G1993">
        <f>IF(Table13[[#This Row],[New Pos L]]&lt;&gt;0,Table13[[#This Row],[New Pos L]],Table13[[#This Row],[New Pos R]])</f>
        <v>43</v>
      </c>
      <c r="H1993">
        <f>IF(AND(Table13[[#This Row],[Direction]]="L",Table13[[#This Row],[Steps]]&gt;G1992,G1992&lt;&gt;0),1,0)</f>
        <v>0</v>
      </c>
      <c r="I1993">
        <f>IF(AND(Table13[[#This Row],[Direction]]="R",(G1992+Table13[[#This Row],[Steps]])&gt;100),1,0)</f>
        <v>0</v>
      </c>
      <c r="J1993">
        <f>IF(Table13[[#This Row],[POS]]=0,1,0)</f>
        <v>0</v>
      </c>
      <c r="K1993">
        <f>SUM(Table13[[#This Row],[prefix]],Table13[[#This Row],[Past zero L]],Table13[[#This Row],[Past Zero R]],Table13[[#This Row],[Is Zero]])</f>
        <v>0</v>
      </c>
    </row>
    <row r="1994" spans="1:11" ht="16" x14ac:dyDescent="0.2">
      <c r="A1994" s="1" t="s">
        <v>543</v>
      </c>
      <c r="B1994" t="str">
        <f>LEFT(Table13[[#This Row],[Input]],1)</f>
        <v>R</v>
      </c>
      <c r="C1994">
        <f>_xlfn.LET(_xlpm.steps,SUBSTITUTE(Table13[[#This Row],[Input]],Table13[[#This Row],[Direction]],""),VALUE(IF(LEN(_xlpm.steps)&gt;2,RIGHT(_xlpm.steps,2),_xlpm.steps)))</f>
        <v>50</v>
      </c>
      <c r="D1994">
        <f>_xlfn.LET(_xlpm.steps,SUBSTITUTE(Table13[[#This Row],[Input]],Table13[[#This Row],[Direction]],""),VALUE(IF(LEN(_xlpm.steps)&gt;2,LEFT(_xlpm.steps,LEN(_xlpm.steps)-2),0)))</f>
        <v>6</v>
      </c>
      <c r="E1994">
        <f>_xlfn.LET(_xlpm.dir,Table13[[#This Row],[Direction]],
IF(_xlpm.dir="L",
    IF(G1993-Table13[[#This Row],[Steps]]&lt;0,100+(G1993-Table13[[#This Row],[Steps]]),G1993-Table13[[#This Row],[Steps]]),
))</f>
        <v>0</v>
      </c>
      <c r="F1994">
        <f>_xlfn.LET(_xlpm.dir,Table13[[#This Row],[Direction]],
IF(_xlpm.dir="R",
    IF(G1993+Table13[[#This Row],[Steps]]&gt;99,(G1993+Table13[[#This Row],[Steps]])-100,G1993+Table13[[#This Row],[Steps]]),
))</f>
        <v>93</v>
      </c>
      <c r="G1994">
        <f>IF(Table13[[#This Row],[New Pos L]]&lt;&gt;0,Table13[[#This Row],[New Pos L]],Table13[[#This Row],[New Pos R]])</f>
        <v>93</v>
      </c>
      <c r="H1994">
        <f>IF(AND(Table13[[#This Row],[Direction]]="L",Table13[[#This Row],[Steps]]&gt;G1993,G1993&lt;&gt;0),1,0)</f>
        <v>0</v>
      </c>
      <c r="I1994">
        <f>IF(AND(Table13[[#This Row],[Direction]]="R",(G1993+Table13[[#This Row],[Steps]])&gt;100),1,0)</f>
        <v>0</v>
      </c>
      <c r="J1994">
        <f>IF(Table13[[#This Row],[POS]]=0,1,0)</f>
        <v>0</v>
      </c>
      <c r="K1994">
        <f>SUM(Table13[[#This Row],[prefix]],Table13[[#This Row],[Past zero L]],Table13[[#This Row],[Past Zero R]],Table13[[#This Row],[Is Zero]])</f>
        <v>6</v>
      </c>
    </row>
    <row r="1995" spans="1:11" ht="16" x14ac:dyDescent="0.2">
      <c r="A1995" s="1" t="s">
        <v>330</v>
      </c>
      <c r="B1995" t="str">
        <f>LEFT(Table13[[#This Row],[Input]],1)</f>
        <v>L</v>
      </c>
      <c r="C1995">
        <f>_xlfn.LET(_xlpm.steps,SUBSTITUTE(Table13[[#This Row],[Input]],Table13[[#This Row],[Direction]],""),VALUE(IF(LEN(_xlpm.steps)&gt;2,RIGHT(_xlpm.steps,2),_xlpm.steps)))</f>
        <v>47</v>
      </c>
      <c r="D1995">
        <f>_xlfn.LET(_xlpm.steps,SUBSTITUTE(Table13[[#This Row],[Input]],Table13[[#This Row],[Direction]],""),VALUE(IF(LEN(_xlpm.steps)&gt;2,LEFT(_xlpm.steps,LEN(_xlpm.steps)-2),0)))</f>
        <v>0</v>
      </c>
      <c r="E1995">
        <f>_xlfn.LET(_xlpm.dir,Table13[[#This Row],[Direction]],
IF(_xlpm.dir="L",
    IF(G1994-Table13[[#This Row],[Steps]]&lt;0,100+(G1994-Table13[[#This Row],[Steps]]),G1994-Table13[[#This Row],[Steps]]),
))</f>
        <v>46</v>
      </c>
      <c r="F1995">
        <f>_xlfn.LET(_xlpm.dir,Table13[[#This Row],[Direction]],
IF(_xlpm.dir="R",
    IF(G1994+Table13[[#This Row],[Steps]]&gt;99,(G1994+Table13[[#This Row],[Steps]])-100,G1994+Table13[[#This Row],[Steps]]),
))</f>
        <v>0</v>
      </c>
      <c r="G1995">
        <f>IF(Table13[[#This Row],[New Pos L]]&lt;&gt;0,Table13[[#This Row],[New Pos L]],Table13[[#This Row],[New Pos R]])</f>
        <v>46</v>
      </c>
      <c r="H1995">
        <f>IF(AND(Table13[[#This Row],[Direction]]="L",Table13[[#This Row],[Steps]]&gt;G1994,G1994&lt;&gt;0),1,0)</f>
        <v>0</v>
      </c>
      <c r="I1995">
        <f>IF(AND(Table13[[#This Row],[Direction]]="R",(G1994+Table13[[#This Row],[Steps]])&gt;100),1,0)</f>
        <v>0</v>
      </c>
      <c r="J1995">
        <f>IF(Table13[[#This Row],[POS]]=0,1,0)</f>
        <v>0</v>
      </c>
      <c r="K1995">
        <f>SUM(Table13[[#This Row],[prefix]],Table13[[#This Row],[Past zero L]],Table13[[#This Row],[Past Zero R]],Table13[[#This Row],[Is Zero]])</f>
        <v>0</v>
      </c>
    </row>
    <row r="1996" spans="1:11" ht="16" x14ac:dyDescent="0.2">
      <c r="A1996" s="1" t="s">
        <v>18</v>
      </c>
      <c r="B1996" t="str">
        <f>LEFT(Table13[[#This Row],[Input]],1)</f>
        <v>L</v>
      </c>
      <c r="C1996">
        <f>_xlfn.LET(_xlpm.steps,SUBSTITUTE(Table13[[#This Row],[Input]],Table13[[#This Row],[Direction]],""),VALUE(IF(LEN(_xlpm.steps)&gt;2,RIGHT(_xlpm.steps,2),_xlpm.steps)))</f>
        <v>46</v>
      </c>
      <c r="D1996">
        <f>_xlfn.LET(_xlpm.steps,SUBSTITUTE(Table13[[#This Row],[Input]],Table13[[#This Row],[Direction]],""),VALUE(IF(LEN(_xlpm.steps)&gt;2,LEFT(_xlpm.steps,LEN(_xlpm.steps)-2),0)))</f>
        <v>0</v>
      </c>
      <c r="E1996">
        <f>_xlfn.LET(_xlpm.dir,Table13[[#This Row],[Direction]],
IF(_xlpm.dir="L",
    IF(G1995-Table13[[#This Row],[Steps]]&lt;0,100+(G1995-Table13[[#This Row],[Steps]]),G1995-Table13[[#This Row],[Steps]]),
))</f>
        <v>0</v>
      </c>
      <c r="F1996">
        <f>_xlfn.LET(_xlpm.dir,Table13[[#This Row],[Direction]],
IF(_xlpm.dir="R",
    IF(G1995+Table13[[#This Row],[Steps]]&gt;99,(G1995+Table13[[#This Row],[Steps]])-100,G1995+Table13[[#This Row],[Steps]]),
))</f>
        <v>0</v>
      </c>
      <c r="G1996">
        <f>IF(Table13[[#This Row],[New Pos L]]&lt;&gt;0,Table13[[#This Row],[New Pos L]],Table13[[#This Row],[New Pos R]])</f>
        <v>0</v>
      </c>
      <c r="H1996">
        <f>IF(AND(Table13[[#This Row],[Direction]]="L",Table13[[#This Row],[Steps]]&gt;G1995,G1995&lt;&gt;0),1,0)</f>
        <v>0</v>
      </c>
      <c r="I1996">
        <f>IF(AND(Table13[[#This Row],[Direction]]="R",(G1995+Table13[[#This Row],[Steps]])&gt;100),1,0)</f>
        <v>0</v>
      </c>
      <c r="J1996">
        <f>IF(Table13[[#This Row],[POS]]=0,1,0)</f>
        <v>1</v>
      </c>
      <c r="K1996">
        <f>SUM(Table13[[#This Row],[prefix]],Table13[[#This Row],[Past zero L]],Table13[[#This Row],[Past Zero R]],Table13[[#This Row],[Is Zero]])</f>
        <v>1</v>
      </c>
    </row>
    <row r="1997" spans="1:11" ht="16" x14ac:dyDescent="0.2">
      <c r="A1997" s="1" t="s">
        <v>39</v>
      </c>
      <c r="B1997" t="str">
        <f>LEFT(Table13[[#This Row],[Input]],1)</f>
        <v>R</v>
      </c>
      <c r="C1997">
        <f>_xlfn.LET(_xlpm.steps,SUBSTITUTE(Table13[[#This Row],[Input]],Table13[[#This Row],[Direction]],""),VALUE(IF(LEN(_xlpm.steps)&gt;2,RIGHT(_xlpm.steps,2),_xlpm.steps)))</f>
        <v>32</v>
      </c>
      <c r="D1997">
        <f>_xlfn.LET(_xlpm.steps,SUBSTITUTE(Table13[[#This Row],[Input]],Table13[[#This Row],[Direction]],""),VALUE(IF(LEN(_xlpm.steps)&gt;2,LEFT(_xlpm.steps,LEN(_xlpm.steps)-2),0)))</f>
        <v>0</v>
      </c>
      <c r="E1997">
        <f>_xlfn.LET(_xlpm.dir,Table13[[#This Row],[Direction]],
IF(_xlpm.dir="L",
    IF(G1996-Table13[[#This Row],[Steps]]&lt;0,100+(G1996-Table13[[#This Row],[Steps]]),G1996-Table13[[#This Row],[Steps]]),
))</f>
        <v>0</v>
      </c>
      <c r="F1997">
        <f>_xlfn.LET(_xlpm.dir,Table13[[#This Row],[Direction]],
IF(_xlpm.dir="R",
    IF(G1996+Table13[[#This Row],[Steps]]&gt;99,(G1996+Table13[[#This Row],[Steps]])-100,G1996+Table13[[#This Row],[Steps]]),
))</f>
        <v>32</v>
      </c>
      <c r="G1997">
        <f>IF(Table13[[#This Row],[New Pos L]]&lt;&gt;0,Table13[[#This Row],[New Pos L]],Table13[[#This Row],[New Pos R]])</f>
        <v>32</v>
      </c>
      <c r="H1997">
        <f>IF(AND(Table13[[#This Row],[Direction]]="L",Table13[[#This Row],[Steps]]&gt;G1996,G1996&lt;&gt;0),1,0)</f>
        <v>0</v>
      </c>
      <c r="I1997">
        <f>IF(AND(Table13[[#This Row],[Direction]]="R",(G1996+Table13[[#This Row],[Steps]])&gt;100),1,0)</f>
        <v>0</v>
      </c>
      <c r="J1997">
        <f>IF(Table13[[#This Row],[POS]]=0,1,0)</f>
        <v>0</v>
      </c>
      <c r="K1997">
        <f>SUM(Table13[[#This Row],[prefix]],Table13[[#This Row],[Past zero L]],Table13[[#This Row],[Past Zero R]],Table13[[#This Row],[Is Zero]])</f>
        <v>0</v>
      </c>
    </row>
    <row r="1998" spans="1:11" ht="16" x14ac:dyDescent="0.2">
      <c r="A1998" s="1" t="s">
        <v>405</v>
      </c>
      <c r="B1998" t="str">
        <f>LEFT(Table13[[#This Row],[Input]],1)</f>
        <v>L</v>
      </c>
      <c r="C1998">
        <f>_xlfn.LET(_xlpm.steps,SUBSTITUTE(Table13[[#This Row],[Input]],Table13[[#This Row],[Direction]],""),VALUE(IF(LEN(_xlpm.steps)&gt;2,RIGHT(_xlpm.steps,2),_xlpm.steps)))</f>
        <v>32</v>
      </c>
      <c r="D1998">
        <f>_xlfn.LET(_xlpm.steps,SUBSTITUTE(Table13[[#This Row],[Input]],Table13[[#This Row],[Direction]],""),VALUE(IF(LEN(_xlpm.steps)&gt;2,LEFT(_xlpm.steps,LEN(_xlpm.steps)-2),0)))</f>
        <v>0</v>
      </c>
      <c r="E1998">
        <f>_xlfn.LET(_xlpm.dir,Table13[[#This Row],[Direction]],
IF(_xlpm.dir="L",
    IF(G1997-Table13[[#This Row],[Steps]]&lt;0,100+(G1997-Table13[[#This Row],[Steps]]),G1997-Table13[[#This Row],[Steps]]),
))</f>
        <v>0</v>
      </c>
      <c r="F1998">
        <f>_xlfn.LET(_xlpm.dir,Table13[[#This Row],[Direction]],
IF(_xlpm.dir="R",
    IF(G1997+Table13[[#This Row],[Steps]]&gt;99,(G1997+Table13[[#This Row],[Steps]])-100,G1997+Table13[[#This Row],[Steps]]),
))</f>
        <v>0</v>
      </c>
      <c r="G1998">
        <f>IF(Table13[[#This Row],[New Pos L]]&lt;&gt;0,Table13[[#This Row],[New Pos L]],Table13[[#This Row],[New Pos R]])</f>
        <v>0</v>
      </c>
      <c r="H1998">
        <f>IF(AND(Table13[[#This Row],[Direction]]="L",Table13[[#This Row],[Steps]]&gt;G1997,G1997&lt;&gt;0),1,0)</f>
        <v>0</v>
      </c>
      <c r="I1998">
        <f>IF(AND(Table13[[#This Row],[Direction]]="R",(G1997+Table13[[#This Row],[Steps]])&gt;100),1,0)</f>
        <v>0</v>
      </c>
      <c r="J1998">
        <f>IF(Table13[[#This Row],[POS]]=0,1,0)</f>
        <v>1</v>
      </c>
      <c r="K1998">
        <f>SUM(Table13[[#This Row],[prefix]],Table13[[#This Row],[Past zero L]],Table13[[#This Row],[Past Zero R]],Table13[[#This Row],[Is Zero]])</f>
        <v>1</v>
      </c>
    </row>
    <row r="1999" spans="1:11" ht="16" x14ac:dyDescent="0.2">
      <c r="A1999" s="1" t="s">
        <v>58</v>
      </c>
      <c r="B1999" t="str">
        <f>LEFT(Table13[[#This Row],[Input]],1)</f>
        <v>L</v>
      </c>
      <c r="C1999">
        <f>_xlfn.LET(_xlpm.steps,SUBSTITUTE(Table13[[#This Row],[Input]],Table13[[#This Row],[Direction]],""),VALUE(IF(LEN(_xlpm.steps)&gt;2,RIGHT(_xlpm.steps,2),_xlpm.steps)))</f>
        <v>30</v>
      </c>
      <c r="D1999">
        <f>_xlfn.LET(_xlpm.steps,SUBSTITUTE(Table13[[#This Row],[Input]],Table13[[#This Row],[Direction]],""),VALUE(IF(LEN(_xlpm.steps)&gt;2,LEFT(_xlpm.steps,LEN(_xlpm.steps)-2),0)))</f>
        <v>0</v>
      </c>
      <c r="E1999">
        <f>_xlfn.LET(_xlpm.dir,Table13[[#This Row],[Direction]],
IF(_xlpm.dir="L",
    IF(G1998-Table13[[#This Row],[Steps]]&lt;0,100+(G1998-Table13[[#This Row],[Steps]]),G1998-Table13[[#This Row],[Steps]]),
))</f>
        <v>70</v>
      </c>
      <c r="F1999">
        <f>_xlfn.LET(_xlpm.dir,Table13[[#This Row],[Direction]],
IF(_xlpm.dir="R",
    IF(G1998+Table13[[#This Row],[Steps]]&gt;99,(G1998+Table13[[#This Row],[Steps]])-100,G1998+Table13[[#This Row],[Steps]]),
))</f>
        <v>0</v>
      </c>
      <c r="G1999">
        <f>IF(Table13[[#This Row],[New Pos L]]&lt;&gt;0,Table13[[#This Row],[New Pos L]],Table13[[#This Row],[New Pos R]])</f>
        <v>70</v>
      </c>
      <c r="H1999">
        <f>IF(AND(Table13[[#This Row],[Direction]]="L",Table13[[#This Row],[Steps]]&gt;G1998,G1998&lt;&gt;0),1,0)</f>
        <v>0</v>
      </c>
      <c r="I1999">
        <f>IF(AND(Table13[[#This Row],[Direction]]="R",(G1998+Table13[[#This Row],[Steps]])&gt;100),1,0)</f>
        <v>0</v>
      </c>
      <c r="J1999">
        <f>IF(Table13[[#This Row],[POS]]=0,1,0)</f>
        <v>0</v>
      </c>
      <c r="K1999">
        <f>SUM(Table13[[#This Row],[prefix]],Table13[[#This Row],[Past zero L]],Table13[[#This Row],[Past Zero R]],Table13[[#This Row],[Is Zero]])</f>
        <v>0</v>
      </c>
    </row>
    <row r="2000" spans="1:11" ht="16" x14ac:dyDescent="0.2">
      <c r="A2000" s="1" t="s">
        <v>108</v>
      </c>
      <c r="B2000" t="str">
        <f>LEFT(Table13[[#This Row],[Input]],1)</f>
        <v>R</v>
      </c>
      <c r="C2000">
        <f>_xlfn.LET(_xlpm.steps,SUBSTITUTE(Table13[[#This Row],[Input]],Table13[[#This Row],[Direction]],""),VALUE(IF(LEN(_xlpm.steps)&gt;2,RIGHT(_xlpm.steps,2),_xlpm.steps)))</f>
        <v>66</v>
      </c>
      <c r="D2000">
        <f>_xlfn.LET(_xlpm.steps,SUBSTITUTE(Table13[[#This Row],[Input]],Table13[[#This Row],[Direction]],""),VALUE(IF(LEN(_xlpm.steps)&gt;2,LEFT(_xlpm.steps,LEN(_xlpm.steps)-2),0)))</f>
        <v>0</v>
      </c>
      <c r="E2000">
        <f>_xlfn.LET(_xlpm.dir,Table13[[#This Row],[Direction]],
IF(_xlpm.dir="L",
    IF(G1999-Table13[[#This Row],[Steps]]&lt;0,100+(G1999-Table13[[#This Row],[Steps]]),G1999-Table13[[#This Row],[Steps]]),
))</f>
        <v>0</v>
      </c>
      <c r="F2000">
        <f>_xlfn.LET(_xlpm.dir,Table13[[#This Row],[Direction]],
IF(_xlpm.dir="R",
    IF(G1999+Table13[[#This Row],[Steps]]&gt;99,(G1999+Table13[[#This Row],[Steps]])-100,G1999+Table13[[#This Row],[Steps]]),
))</f>
        <v>36</v>
      </c>
      <c r="G2000">
        <f>IF(Table13[[#This Row],[New Pos L]]&lt;&gt;0,Table13[[#This Row],[New Pos L]],Table13[[#This Row],[New Pos R]])</f>
        <v>36</v>
      </c>
      <c r="H2000">
        <f>IF(AND(Table13[[#This Row],[Direction]]="L",Table13[[#This Row],[Steps]]&gt;G1999,G1999&lt;&gt;0),1,0)</f>
        <v>0</v>
      </c>
      <c r="I2000">
        <f>IF(AND(Table13[[#This Row],[Direction]]="R",(G1999+Table13[[#This Row],[Steps]])&gt;100),1,0)</f>
        <v>1</v>
      </c>
      <c r="J2000">
        <f>IF(Table13[[#This Row],[POS]]=0,1,0)</f>
        <v>0</v>
      </c>
      <c r="K2000">
        <f>SUM(Table13[[#This Row],[prefix]],Table13[[#This Row],[Past zero L]],Table13[[#This Row],[Past Zero R]],Table13[[#This Row],[Is Zero]])</f>
        <v>1</v>
      </c>
    </row>
    <row r="2001" spans="1:11" ht="16" x14ac:dyDescent="0.2">
      <c r="A2001" s="1" t="s">
        <v>21</v>
      </c>
      <c r="B2001" t="str">
        <f>LEFT(Table13[[#This Row],[Input]],1)</f>
        <v>L</v>
      </c>
      <c r="C2001">
        <f>_xlfn.LET(_xlpm.steps,SUBSTITUTE(Table13[[#This Row],[Input]],Table13[[#This Row],[Direction]],""),VALUE(IF(LEN(_xlpm.steps)&gt;2,RIGHT(_xlpm.steps,2),_xlpm.steps)))</f>
        <v>36</v>
      </c>
      <c r="D2001">
        <f>_xlfn.LET(_xlpm.steps,SUBSTITUTE(Table13[[#This Row],[Input]],Table13[[#This Row],[Direction]],""),VALUE(IF(LEN(_xlpm.steps)&gt;2,LEFT(_xlpm.steps,LEN(_xlpm.steps)-2),0)))</f>
        <v>0</v>
      </c>
      <c r="E2001">
        <f>_xlfn.LET(_xlpm.dir,Table13[[#This Row],[Direction]],
IF(_xlpm.dir="L",
    IF(G2000-Table13[[#This Row],[Steps]]&lt;0,100+(G2000-Table13[[#This Row],[Steps]]),G2000-Table13[[#This Row],[Steps]]),
))</f>
        <v>0</v>
      </c>
      <c r="F2001">
        <f>_xlfn.LET(_xlpm.dir,Table13[[#This Row],[Direction]],
IF(_xlpm.dir="R",
    IF(G2000+Table13[[#This Row],[Steps]]&gt;99,(G2000+Table13[[#This Row],[Steps]])-100,G2000+Table13[[#This Row],[Steps]]),
))</f>
        <v>0</v>
      </c>
      <c r="G2001">
        <f>IF(Table13[[#This Row],[New Pos L]]&lt;&gt;0,Table13[[#This Row],[New Pos L]],Table13[[#This Row],[New Pos R]])</f>
        <v>0</v>
      </c>
      <c r="H2001">
        <f>IF(AND(Table13[[#This Row],[Direction]]="L",Table13[[#This Row],[Steps]]&gt;G2000,G2000&lt;&gt;0),1,0)</f>
        <v>0</v>
      </c>
      <c r="I2001">
        <f>IF(AND(Table13[[#This Row],[Direction]]="R",(G2000+Table13[[#This Row],[Steps]])&gt;100),1,0)</f>
        <v>0</v>
      </c>
      <c r="J2001">
        <f>IF(Table13[[#This Row],[POS]]=0,1,0)</f>
        <v>1</v>
      </c>
      <c r="K2001">
        <f>SUM(Table13[[#This Row],[prefix]],Table13[[#This Row],[Past zero L]],Table13[[#This Row],[Past Zero R]],Table13[[#This Row],[Is Zero]])</f>
        <v>1</v>
      </c>
    </row>
    <row r="2002" spans="1:11" ht="16" x14ac:dyDescent="0.2">
      <c r="A2002" s="1" t="s">
        <v>73</v>
      </c>
      <c r="B2002" t="str">
        <f>LEFT(Table13[[#This Row],[Input]],1)</f>
        <v>R</v>
      </c>
      <c r="C2002">
        <f>_xlfn.LET(_xlpm.steps,SUBSTITUTE(Table13[[#This Row],[Input]],Table13[[#This Row],[Direction]],""),VALUE(IF(LEN(_xlpm.steps)&gt;2,RIGHT(_xlpm.steps,2),_xlpm.steps)))</f>
        <v>21</v>
      </c>
      <c r="D2002">
        <f>_xlfn.LET(_xlpm.steps,SUBSTITUTE(Table13[[#This Row],[Input]],Table13[[#This Row],[Direction]],""),VALUE(IF(LEN(_xlpm.steps)&gt;2,LEFT(_xlpm.steps,LEN(_xlpm.steps)-2),0)))</f>
        <v>0</v>
      </c>
      <c r="E2002">
        <f>_xlfn.LET(_xlpm.dir,Table13[[#This Row],[Direction]],
IF(_xlpm.dir="L",
    IF(G2001-Table13[[#This Row],[Steps]]&lt;0,100+(G2001-Table13[[#This Row],[Steps]]),G2001-Table13[[#This Row],[Steps]]),
))</f>
        <v>0</v>
      </c>
      <c r="F2002">
        <f>_xlfn.LET(_xlpm.dir,Table13[[#This Row],[Direction]],
IF(_xlpm.dir="R",
    IF(G2001+Table13[[#This Row],[Steps]]&gt;99,(G2001+Table13[[#This Row],[Steps]])-100,G2001+Table13[[#This Row],[Steps]]),
))</f>
        <v>21</v>
      </c>
      <c r="G2002">
        <f>IF(Table13[[#This Row],[New Pos L]]&lt;&gt;0,Table13[[#This Row],[New Pos L]],Table13[[#This Row],[New Pos R]])</f>
        <v>21</v>
      </c>
      <c r="H2002">
        <f>IF(AND(Table13[[#This Row],[Direction]]="L",Table13[[#This Row],[Steps]]&gt;G2001,G2001&lt;&gt;0),1,0)</f>
        <v>0</v>
      </c>
      <c r="I2002">
        <f>IF(AND(Table13[[#This Row],[Direction]]="R",(G2001+Table13[[#This Row],[Steps]])&gt;100),1,0)</f>
        <v>0</v>
      </c>
      <c r="J2002">
        <f>IF(Table13[[#This Row],[POS]]=0,1,0)</f>
        <v>0</v>
      </c>
      <c r="K2002">
        <f>SUM(Table13[[#This Row],[prefix]],Table13[[#This Row],[Past zero L]],Table13[[#This Row],[Past Zero R]],Table13[[#This Row],[Is Zero]])</f>
        <v>0</v>
      </c>
    </row>
    <row r="2003" spans="1:11" ht="16" x14ac:dyDescent="0.2">
      <c r="A2003" s="1" t="s">
        <v>264</v>
      </c>
      <c r="B2003" t="str">
        <f>LEFT(Table13[[#This Row],[Input]],1)</f>
        <v>L</v>
      </c>
      <c r="C2003">
        <f>_xlfn.LET(_xlpm.steps,SUBSTITUTE(Table13[[#This Row],[Input]],Table13[[#This Row],[Direction]],""),VALUE(IF(LEN(_xlpm.steps)&gt;2,RIGHT(_xlpm.steps,2),_xlpm.steps)))</f>
        <v>21</v>
      </c>
      <c r="D2003">
        <f>_xlfn.LET(_xlpm.steps,SUBSTITUTE(Table13[[#This Row],[Input]],Table13[[#This Row],[Direction]],""),VALUE(IF(LEN(_xlpm.steps)&gt;2,LEFT(_xlpm.steps,LEN(_xlpm.steps)-2),0)))</f>
        <v>0</v>
      </c>
      <c r="E2003">
        <f>_xlfn.LET(_xlpm.dir,Table13[[#This Row],[Direction]],
IF(_xlpm.dir="L",
    IF(G2002-Table13[[#This Row],[Steps]]&lt;0,100+(G2002-Table13[[#This Row],[Steps]]),G2002-Table13[[#This Row],[Steps]]),
))</f>
        <v>0</v>
      </c>
      <c r="F2003">
        <f>_xlfn.LET(_xlpm.dir,Table13[[#This Row],[Direction]],
IF(_xlpm.dir="R",
    IF(G2002+Table13[[#This Row],[Steps]]&gt;99,(G2002+Table13[[#This Row],[Steps]])-100,G2002+Table13[[#This Row],[Steps]]),
))</f>
        <v>0</v>
      </c>
      <c r="G2003">
        <f>IF(Table13[[#This Row],[New Pos L]]&lt;&gt;0,Table13[[#This Row],[New Pos L]],Table13[[#This Row],[New Pos R]])</f>
        <v>0</v>
      </c>
      <c r="H2003">
        <f>IF(AND(Table13[[#This Row],[Direction]]="L",Table13[[#This Row],[Steps]]&gt;G2002,G2002&lt;&gt;0),1,0)</f>
        <v>0</v>
      </c>
      <c r="I2003">
        <f>IF(AND(Table13[[#This Row],[Direction]]="R",(G2002+Table13[[#This Row],[Steps]])&gt;100),1,0)</f>
        <v>0</v>
      </c>
      <c r="J2003">
        <f>IF(Table13[[#This Row],[POS]]=0,1,0)</f>
        <v>1</v>
      </c>
      <c r="K2003">
        <f>SUM(Table13[[#This Row],[prefix]],Table13[[#This Row],[Past zero L]],Table13[[#This Row],[Past Zero R]],Table13[[#This Row],[Is Zero]])</f>
        <v>1</v>
      </c>
    </row>
    <row r="2004" spans="1:11" ht="16" x14ac:dyDescent="0.2">
      <c r="A2004" s="1" t="s">
        <v>57</v>
      </c>
      <c r="B2004" t="str">
        <f>LEFT(Table13[[#This Row],[Input]],1)</f>
        <v>R</v>
      </c>
      <c r="C2004">
        <f>_xlfn.LET(_xlpm.steps,SUBSTITUTE(Table13[[#This Row],[Input]],Table13[[#This Row],[Direction]],""),VALUE(IF(LEN(_xlpm.steps)&gt;2,RIGHT(_xlpm.steps,2),_xlpm.steps)))</f>
        <v>29</v>
      </c>
      <c r="D2004">
        <f>_xlfn.LET(_xlpm.steps,SUBSTITUTE(Table13[[#This Row],[Input]],Table13[[#This Row],[Direction]],""),VALUE(IF(LEN(_xlpm.steps)&gt;2,LEFT(_xlpm.steps,LEN(_xlpm.steps)-2),0)))</f>
        <v>0</v>
      </c>
      <c r="E2004">
        <f>_xlfn.LET(_xlpm.dir,Table13[[#This Row],[Direction]],
IF(_xlpm.dir="L",
    IF(G2003-Table13[[#This Row],[Steps]]&lt;0,100+(G2003-Table13[[#This Row],[Steps]]),G2003-Table13[[#This Row],[Steps]]),
))</f>
        <v>0</v>
      </c>
      <c r="F2004">
        <f>_xlfn.LET(_xlpm.dir,Table13[[#This Row],[Direction]],
IF(_xlpm.dir="R",
    IF(G2003+Table13[[#This Row],[Steps]]&gt;99,(G2003+Table13[[#This Row],[Steps]])-100,G2003+Table13[[#This Row],[Steps]]),
))</f>
        <v>29</v>
      </c>
      <c r="G2004">
        <f>IF(Table13[[#This Row],[New Pos L]]&lt;&gt;0,Table13[[#This Row],[New Pos L]],Table13[[#This Row],[New Pos R]])</f>
        <v>29</v>
      </c>
      <c r="H2004">
        <f>IF(AND(Table13[[#This Row],[Direction]]="L",Table13[[#This Row],[Steps]]&gt;G2003,G2003&lt;&gt;0),1,0)</f>
        <v>0</v>
      </c>
      <c r="I2004">
        <f>IF(AND(Table13[[#This Row],[Direction]]="R",(G2003+Table13[[#This Row],[Steps]])&gt;100),1,0)</f>
        <v>0</v>
      </c>
      <c r="J2004">
        <f>IF(Table13[[#This Row],[POS]]=0,1,0)</f>
        <v>0</v>
      </c>
      <c r="K2004">
        <f>SUM(Table13[[#This Row],[prefix]],Table13[[#This Row],[Past zero L]],Table13[[#This Row],[Past Zero R]],Table13[[#This Row],[Is Zero]])</f>
        <v>0</v>
      </c>
    </row>
    <row r="2005" spans="1:11" ht="16" x14ac:dyDescent="0.2">
      <c r="A2005" s="1" t="s">
        <v>544</v>
      </c>
      <c r="B2005" t="str">
        <f>LEFT(Table13[[#This Row],[Input]],1)</f>
        <v>R</v>
      </c>
      <c r="C2005">
        <f>_xlfn.LET(_xlpm.steps,SUBSTITUTE(Table13[[#This Row],[Input]],Table13[[#This Row],[Direction]],""),VALUE(IF(LEN(_xlpm.steps)&gt;2,RIGHT(_xlpm.steps,2),_xlpm.steps)))</f>
        <v>66</v>
      </c>
      <c r="D2005">
        <f>_xlfn.LET(_xlpm.steps,SUBSTITUTE(Table13[[#This Row],[Input]],Table13[[#This Row],[Direction]],""),VALUE(IF(LEN(_xlpm.steps)&gt;2,LEFT(_xlpm.steps,LEN(_xlpm.steps)-2),0)))</f>
        <v>7</v>
      </c>
      <c r="E2005">
        <f>_xlfn.LET(_xlpm.dir,Table13[[#This Row],[Direction]],
IF(_xlpm.dir="L",
    IF(G2004-Table13[[#This Row],[Steps]]&lt;0,100+(G2004-Table13[[#This Row],[Steps]]),G2004-Table13[[#This Row],[Steps]]),
))</f>
        <v>0</v>
      </c>
      <c r="F2005">
        <f>_xlfn.LET(_xlpm.dir,Table13[[#This Row],[Direction]],
IF(_xlpm.dir="R",
    IF(G2004+Table13[[#This Row],[Steps]]&gt;99,(G2004+Table13[[#This Row],[Steps]])-100,G2004+Table13[[#This Row],[Steps]]),
))</f>
        <v>95</v>
      </c>
      <c r="G2005">
        <f>IF(Table13[[#This Row],[New Pos L]]&lt;&gt;0,Table13[[#This Row],[New Pos L]],Table13[[#This Row],[New Pos R]])</f>
        <v>95</v>
      </c>
      <c r="H2005">
        <f>IF(AND(Table13[[#This Row],[Direction]]="L",Table13[[#This Row],[Steps]]&gt;G2004,G2004&lt;&gt;0),1,0)</f>
        <v>0</v>
      </c>
      <c r="I2005">
        <f>IF(AND(Table13[[#This Row],[Direction]]="R",(G2004+Table13[[#This Row],[Steps]])&gt;100),1,0)</f>
        <v>0</v>
      </c>
      <c r="J2005">
        <f>IF(Table13[[#This Row],[POS]]=0,1,0)</f>
        <v>0</v>
      </c>
      <c r="K2005">
        <f>SUM(Table13[[#This Row],[prefix]],Table13[[#This Row],[Past zero L]],Table13[[#This Row],[Past Zero R]],Table13[[#This Row],[Is Zero]])</f>
        <v>7</v>
      </c>
    </row>
    <row r="2006" spans="1:11" ht="16" x14ac:dyDescent="0.2">
      <c r="A2006" s="1" t="s">
        <v>34</v>
      </c>
      <c r="B2006" t="str">
        <f>LEFT(Table13[[#This Row],[Input]],1)</f>
        <v>L</v>
      </c>
      <c r="C2006">
        <f>_xlfn.LET(_xlpm.steps,SUBSTITUTE(Table13[[#This Row],[Input]],Table13[[#This Row],[Direction]],""),VALUE(IF(LEN(_xlpm.steps)&gt;2,RIGHT(_xlpm.steps,2),_xlpm.steps)))</f>
        <v>15</v>
      </c>
      <c r="D2006">
        <f>_xlfn.LET(_xlpm.steps,SUBSTITUTE(Table13[[#This Row],[Input]],Table13[[#This Row],[Direction]],""),VALUE(IF(LEN(_xlpm.steps)&gt;2,LEFT(_xlpm.steps,LEN(_xlpm.steps)-2),0)))</f>
        <v>0</v>
      </c>
      <c r="E2006">
        <f>_xlfn.LET(_xlpm.dir,Table13[[#This Row],[Direction]],
IF(_xlpm.dir="L",
    IF(G2005-Table13[[#This Row],[Steps]]&lt;0,100+(G2005-Table13[[#This Row],[Steps]]),G2005-Table13[[#This Row],[Steps]]),
))</f>
        <v>80</v>
      </c>
      <c r="F2006">
        <f>_xlfn.LET(_xlpm.dir,Table13[[#This Row],[Direction]],
IF(_xlpm.dir="R",
    IF(G2005+Table13[[#This Row],[Steps]]&gt;99,(G2005+Table13[[#This Row],[Steps]])-100,G2005+Table13[[#This Row],[Steps]]),
))</f>
        <v>0</v>
      </c>
      <c r="G2006">
        <f>IF(Table13[[#This Row],[New Pos L]]&lt;&gt;0,Table13[[#This Row],[New Pos L]],Table13[[#This Row],[New Pos R]])</f>
        <v>80</v>
      </c>
      <c r="H2006">
        <f>IF(AND(Table13[[#This Row],[Direction]]="L",Table13[[#This Row],[Steps]]&gt;G2005,G2005&lt;&gt;0),1,0)</f>
        <v>0</v>
      </c>
      <c r="I2006">
        <f>IF(AND(Table13[[#This Row],[Direction]]="R",(G2005+Table13[[#This Row],[Steps]])&gt;100),1,0)</f>
        <v>0</v>
      </c>
      <c r="J2006">
        <f>IF(Table13[[#This Row],[POS]]=0,1,0)</f>
        <v>0</v>
      </c>
      <c r="K2006">
        <f>SUM(Table13[[#This Row],[prefix]],Table13[[#This Row],[Past zero L]],Table13[[#This Row],[Past Zero R]],Table13[[#This Row],[Is Zero]])</f>
        <v>0</v>
      </c>
    </row>
    <row r="2007" spans="1:11" ht="16" x14ac:dyDescent="0.2">
      <c r="A2007" s="1" t="s">
        <v>185</v>
      </c>
      <c r="B2007" t="str">
        <f>LEFT(Table13[[#This Row],[Input]],1)</f>
        <v>R</v>
      </c>
      <c r="C2007">
        <f>_xlfn.LET(_xlpm.steps,SUBSTITUTE(Table13[[#This Row],[Input]],Table13[[#This Row],[Direction]],""),VALUE(IF(LEN(_xlpm.steps)&gt;2,RIGHT(_xlpm.steps,2),_xlpm.steps)))</f>
        <v>61</v>
      </c>
      <c r="D2007">
        <f>_xlfn.LET(_xlpm.steps,SUBSTITUTE(Table13[[#This Row],[Input]],Table13[[#This Row],[Direction]],""),VALUE(IF(LEN(_xlpm.steps)&gt;2,LEFT(_xlpm.steps,LEN(_xlpm.steps)-2),0)))</f>
        <v>0</v>
      </c>
      <c r="E2007">
        <f>_xlfn.LET(_xlpm.dir,Table13[[#This Row],[Direction]],
IF(_xlpm.dir="L",
    IF(G2006-Table13[[#This Row],[Steps]]&lt;0,100+(G2006-Table13[[#This Row],[Steps]]),G2006-Table13[[#This Row],[Steps]]),
))</f>
        <v>0</v>
      </c>
      <c r="F2007">
        <f>_xlfn.LET(_xlpm.dir,Table13[[#This Row],[Direction]],
IF(_xlpm.dir="R",
    IF(G2006+Table13[[#This Row],[Steps]]&gt;99,(G2006+Table13[[#This Row],[Steps]])-100,G2006+Table13[[#This Row],[Steps]]),
))</f>
        <v>41</v>
      </c>
      <c r="G2007">
        <f>IF(Table13[[#This Row],[New Pos L]]&lt;&gt;0,Table13[[#This Row],[New Pos L]],Table13[[#This Row],[New Pos R]])</f>
        <v>41</v>
      </c>
      <c r="H2007">
        <f>IF(AND(Table13[[#This Row],[Direction]]="L",Table13[[#This Row],[Steps]]&gt;G2006,G2006&lt;&gt;0),1,0)</f>
        <v>0</v>
      </c>
      <c r="I2007">
        <f>IF(AND(Table13[[#This Row],[Direction]]="R",(G2006+Table13[[#This Row],[Steps]])&gt;100),1,0)</f>
        <v>1</v>
      </c>
      <c r="J2007">
        <f>IF(Table13[[#This Row],[POS]]=0,1,0)</f>
        <v>0</v>
      </c>
      <c r="K2007">
        <f>SUM(Table13[[#This Row],[prefix]],Table13[[#This Row],[Past zero L]],Table13[[#This Row],[Past Zero R]],Table13[[#This Row],[Is Zero]])</f>
        <v>1</v>
      </c>
    </row>
    <row r="2008" spans="1:11" ht="16" x14ac:dyDescent="0.2">
      <c r="A2008" s="1" t="s">
        <v>309</v>
      </c>
      <c r="B2008" t="str">
        <f>LEFT(Table13[[#This Row],[Input]],1)</f>
        <v>L</v>
      </c>
      <c r="C2008">
        <f>_xlfn.LET(_xlpm.steps,SUBSTITUTE(Table13[[#This Row],[Input]],Table13[[#This Row],[Direction]],""),VALUE(IF(LEN(_xlpm.steps)&gt;2,RIGHT(_xlpm.steps,2),_xlpm.steps)))</f>
        <v>41</v>
      </c>
      <c r="D2008">
        <f>_xlfn.LET(_xlpm.steps,SUBSTITUTE(Table13[[#This Row],[Input]],Table13[[#This Row],[Direction]],""),VALUE(IF(LEN(_xlpm.steps)&gt;2,LEFT(_xlpm.steps,LEN(_xlpm.steps)-2),0)))</f>
        <v>0</v>
      </c>
      <c r="E2008">
        <f>_xlfn.LET(_xlpm.dir,Table13[[#This Row],[Direction]],
IF(_xlpm.dir="L",
    IF(G2007-Table13[[#This Row],[Steps]]&lt;0,100+(G2007-Table13[[#This Row],[Steps]]),G2007-Table13[[#This Row],[Steps]]),
))</f>
        <v>0</v>
      </c>
      <c r="F2008">
        <f>_xlfn.LET(_xlpm.dir,Table13[[#This Row],[Direction]],
IF(_xlpm.dir="R",
    IF(G2007+Table13[[#This Row],[Steps]]&gt;99,(G2007+Table13[[#This Row],[Steps]])-100,G2007+Table13[[#This Row],[Steps]]),
))</f>
        <v>0</v>
      </c>
      <c r="G2008">
        <f>IF(Table13[[#This Row],[New Pos L]]&lt;&gt;0,Table13[[#This Row],[New Pos L]],Table13[[#This Row],[New Pos R]])</f>
        <v>0</v>
      </c>
      <c r="H2008">
        <f>IF(AND(Table13[[#This Row],[Direction]]="L",Table13[[#This Row],[Steps]]&gt;G2007,G2007&lt;&gt;0),1,0)</f>
        <v>0</v>
      </c>
      <c r="I2008">
        <f>IF(AND(Table13[[#This Row],[Direction]]="R",(G2007+Table13[[#This Row],[Steps]])&gt;100),1,0)</f>
        <v>0</v>
      </c>
      <c r="J2008">
        <f>IF(Table13[[#This Row],[POS]]=0,1,0)</f>
        <v>1</v>
      </c>
      <c r="K2008">
        <f>SUM(Table13[[#This Row],[prefix]],Table13[[#This Row],[Past zero L]],Table13[[#This Row],[Past Zero R]],Table13[[#This Row],[Is Zero]])</f>
        <v>1</v>
      </c>
    </row>
    <row r="2009" spans="1:11" ht="16" x14ac:dyDescent="0.2">
      <c r="A2009" s="1" t="s">
        <v>264</v>
      </c>
      <c r="B2009" t="str">
        <f>LEFT(Table13[[#This Row],[Input]],1)</f>
        <v>L</v>
      </c>
      <c r="C2009">
        <f>_xlfn.LET(_xlpm.steps,SUBSTITUTE(Table13[[#This Row],[Input]],Table13[[#This Row],[Direction]],""),VALUE(IF(LEN(_xlpm.steps)&gt;2,RIGHT(_xlpm.steps,2),_xlpm.steps)))</f>
        <v>21</v>
      </c>
      <c r="D2009">
        <f>_xlfn.LET(_xlpm.steps,SUBSTITUTE(Table13[[#This Row],[Input]],Table13[[#This Row],[Direction]],""),VALUE(IF(LEN(_xlpm.steps)&gt;2,LEFT(_xlpm.steps,LEN(_xlpm.steps)-2),0)))</f>
        <v>0</v>
      </c>
      <c r="E2009">
        <f>_xlfn.LET(_xlpm.dir,Table13[[#This Row],[Direction]],
IF(_xlpm.dir="L",
    IF(G2008-Table13[[#This Row],[Steps]]&lt;0,100+(G2008-Table13[[#This Row],[Steps]]),G2008-Table13[[#This Row],[Steps]]),
))</f>
        <v>79</v>
      </c>
      <c r="F2009">
        <f>_xlfn.LET(_xlpm.dir,Table13[[#This Row],[Direction]],
IF(_xlpm.dir="R",
    IF(G2008+Table13[[#This Row],[Steps]]&gt;99,(G2008+Table13[[#This Row],[Steps]])-100,G2008+Table13[[#This Row],[Steps]]),
))</f>
        <v>0</v>
      </c>
      <c r="G2009">
        <f>IF(Table13[[#This Row],[New Pos L]]&lt;&gt;0,Table13[[#This Row],[New Pos L]],Table13[[#This Row],[New Pos R]])</f>
        <v>79</v>
      </c>
      <c r="H2009">
        <f>IF(AND(Table13[[#This Row],[Direction]]="L",Table13[[#This Row],[Steps]]&gt;G2008,G2008&lt;&gt;0),1,0)</f>
        <v>0</v>
      </c>
      <c r="I2009">
        <f>IF(AND(Table13[[#This Row],[Direction]]="R",(G2008+Table13[[#This Row],[Steps]])&gt;100),1,0)</f>
        <v>0</v>
      </c>
      <c r="J2009">
        <f>IF(Table13[[#This Row],[POS]]=0,1,0)</f>
        <v>0</v>
      </c>
      <c r="K2009">
        <f>SUM(Table13[[#This Row],[prefix]],Table13[[#This Row],[Past zero L]],Table13[[#This Row],[Past Zero R]],Table13[[#This Row],[Is Zero]])</f>
        <v>0</v>
      </c>
    </row>
    <row r="2010" spans="1:11" ht="16" x14ac:dyDescent="0.2">
      <c r="A2010" s="1" t="s">
        <v>6</v>
      </c>
      <c r="B2010" t="str">
        <f>LEFT(Table13[[#This Row],[Input]],1)</f>
        <v>R</v>
      </c>
      <c r="C2010">
        <f>_xlfn.LET(_xlpm.steps,SUBSTITUTE(Table13[[#This Row],[Input]],Table13[[#This Row],[Direction]],""),VALUE(IF(LEN(_xlpm.steps)&gt;2,RIGHT(_xlpm.steps,2),_xlpm.steps)))</f>
        <v>49</v>
      </c>
      <c r="D2010">
        <f>_xlfn.LET(_xlpm.steps,SUBSTITUTE(Table13[[#This Row],[Input]],Table13[[#This Row],[Direction]],""),VALUE(IF(LEN(_xlpm.steps)&gt;2,LEFT(_xlpm.steps,LEN(_xlpm.steps)-2),0)))</f>
        <v>0</v>
      </c>
      <c r="E2010">
        <f>_xlfn.LET(_xlpm.dir,Table13[[#This Row],[Direction]],
IF(_xlpm.dir="L",
    IF(G2009-Table13[[#This Row],[Steps]]&lt;0,100+(G2009-Table13[[#This Row],[Steps]]),G2009-Table13[[#This Row],[Steps]]),
))</f>
        <v>0</v>
      </c>
      <c r="F2010">
        <f>_xlfn.LET(_xlpm.dir,Table13[[#This Row],[Direction]],
IF(_xlpm.dir="R",
    IF(G2009+Table13[[#This Row],[Steps]]&gt;99,(G2009+Table13[[#This Row],[Steps]])-100,G2009+Table13[[#This Row],[Steps]]),
))</f>
        <v>28</v>
      </c>
      <c r="G2010">
        <f>IF(Table13[[#This Row],[New Pos L]]&lt;&gt;0,Table13[[#This Row],[New Pos L]],Table13[[#This Row],[New Pos R]])</f>
        <v>28</v>
      </c>
      <c r="H2010">
        <f>IF(AND(Table13[[#This Row],[Direction]]="L",Table13[[#This Row],[Steps]]&gt;G2009,G2009&lt;&gt;0),1,0)</f>
        <v>0</v>
      </c>
      <c r="I2010">
        <f>IF(AND(Table13[[#This Row],[Direction]]="R",(G2009+Table13[[#This Row],[Steps]])&gt;100),1,0)</f>
        <v>1</v>
      </c>
      <c r="J2010">
        <f>IF(Table13[[#This Row],[POS]]=0,1,0)</f>
        <v>0</v>
      </c>
      <c r="K2010">
        <f>SUM(Table13[[#This Row],[prefix]],Table13[[#This Row],[Past zero L]],Table13[[#This Row],[Past Zero R]],Table13[[#This Row],[Is Zero]])</f>
        <v>1</v>
      </c>
    </row>
    <row r="2011" spans="1:11" ht="16" x14ac:dyDescent="0.2">
      <c r="A2011" s="1" t="s">
        <v>32</v>
      </c>
      <c r="B2011" t="str">
        <f>LEFT(Table13[[#This Row],[Input]],1)</f>
        <v>L</v>
      </c>
      <c r="C2011">
        <f>_xlfn.LET(_xlpm.steps,SUBSTITUTE(Table13[[#This Row],[Input]],Table13[[#This Row],[Direction]],""),VALUE(IF(LEN(_xlpm.steps)&gt;2,RIGHT(_xlpm.steps,2),_xlpm.steps)))</f>
        <v>28</v>
      </c>
      <c r="D2011">
        <f>_xlfn.LET(_xlpm.steps,SUBSTITUTE(Table13[[#This Row],[Input]],Table13[[#This Row],[Direction]],""),VALUE(IF(LEN(_xlpm.steps)&gt;2,LEFT(_xlpm.steps,LEN(_xlpm.steps)-2),0)))</f>
        <v>0</v>
      </c>
      <c r="E2011">
        <f>_xlfn.LET(_xlpm.dir,Table13[[#This Row],[Direction]],
IF(_xlpm.dir="L",
    IF(G2010-Table13[[#This Row],[Steps]]&lt;0,100+(G2010-Table13[[#This Row],[Steps]]),G2010-Table13[[#This Row],[Steps]]),
))</f>
        <v>0</v>
      </c>
      <c r="F2011">
        <f>_xlfn.LET(_xlpm.dir,Table13[[#This Row],[Direction]],
IF(_xlpm.dir="R",
    IF(G2010+Table13[[#This Row],[Steps]]&gt;99,(G2010+Table13[[#This Row],[Steps]])-100,G2010+Table13[[#This Row],[Steps]]),
))</f>
        <v>0</v>
      </c>
      <c r="G2011">
        <f>IF(Table13[[#This Row],[New Pos L]]&lt;&gt;0,Table13[[#This Row],[New Pos L]],Table13[[#This Row],[New Pos R]])</f>
        <v>0</v>
      </c>
      <c r="H2011">
        <f>IF(AND(Table13[[#This Row],[Direction]]="L",Table13[[#This Row],[Steps]]&gt;G2010,G2010&lt;&gt;0),1,0)</f>
        <v>0</v>
      </c>
      <c r="I2011">
        <f>IF(AND(Table13[[#This Row],[Direction]]="R",(G2010+Table13[[#This Row],[Steps]])&gt;100),1,0)</f>
        <v>0</v>
      </c>
      <c r="J2011">
        <f>IF(Table13[[#This Row],[POS]]=0,1,0)</f>
        <v>1</v>
      </c>
      <c r="K2011">
        <f>SUM(Table13[[#This Row],[prefix]],Table13[[#This Row],[Past zero L]],Table13[[#This Row],[Past Zero R]],Table13[[#This Row],[Is Zero]])</f>
        <v>1</v>
      </c>
    </row>
    <row r="2012" spans="1:11" ht="16" x14ac:dyDescent="0.2">
      <c r="A2012" s="1" t="s">
        <v>179</v>
      </c>
      <c r="B2012" t="str">
        <f>LEFT(Table13[[#This Row],[Input]],1)</f>
        <v>L</v>
      </c>
      <c r="C2012">
        <f>_xlfn.LET(_xlpm.steps,SUBSTITUTE(Table13[[#This Row],[Input]],Table13[[#This Row],[Direction]],""),VALUE(IF(LEN(_xlpm.steps)&gt;2,RIGHT(_xlpm.steps,2),_xlpm.steps)))</f>
        <v>54</v>
      </c>
      <c r="D2012">
        <f>_xlfn.LET(_xlpm.steps,SUBSTITUTE(Table13[[#This Row],[Input]],Table13[[#This Row],[Direction]],""),VALUE(IF(LEN(_xlpm.steps)&gt;2,LEFT(_xlpm.steps,LEN(_xlpm.steps)-2),0)))</f>
        <v>0</v>
      </c>
      <c r="E2012">
        <f>_xlfn.LET(_xlpm.dir,Table13[[#This Row],[Direction]],
IF(_xlpm.dir="L",
    IF(G2011-Table13[[#This Row],[Steps]]&lt;0,100+(G2011-Table13[[#This Row],[Steps]]),G2011-Table13[[#This Row],[Steps]]),
))</f>
        <v>46</v>
      </c>
      <c r="F2012">
        <f>_xlfn.LET(_xlpm.dir,Table13[[#This Row],[Direction]],
IF(_xlpm.dir="R",
    IF(G2011+Table13[[#This Row],[Steps]]&gt;99,(G2011+Table13[[#This Row],[Steps]])-100,G2011+Table13[[#This Row],[Steps]]),
))</f>
        <v>0</v>
      </c>
      <c r="G2012">
        <f>IF(Table13[[#This Row],[New Pos L]]&lt;&gt;0,Table13[[#This Row],[New Pos L]],Table13[[#This Row],[New Pos R]])</f>
        <v>46</v>
      </c>
      <c r="H2012">
        <f>IF(AND(Table13[[#This Row],[Direction]]="L",Table13[[#This Row],[Steps]]&gt;G2011,G2011&lt;&gt;0),1,0)</f>
        <v>0</v>
      </c>
      <c r="I2012">
        <f>IF(AND(Table13[[#This Row],[Direction]]="R",(G2011+Table13[[#This Row],[Steps]])&gt;100),1,0)</f>
        <v>0</v>
      </c>
      <c r="J2012">
        <f>IF(Table13[[#This Row],[POS]]=0,1,0)</f>
        <v>0</v>
      </c>
      <c r="K2012">
        <f>SUM(Table13[[#This Row],[prefix]],Table13[[#This Row],[Past zero L]],Table13[[#This Row],[Past Zero R]],Table13[[#This Row],[Is Zero]])</f>
        <v>0</v>
      </c>
    </row>
    <row r="2013" spans="1:11" ht="16" x14ac:dyDescent="0.2">
      <c r="A2013" s="1" t="s">
        <v>216</v>
      </c>
      <c r="B2013" t="str">
        <f>LEFT(Table13[[#This Row],[Input]],1)</f>
        <v>R</v>
      </c>
      <c r="C2013">
        <f>_xlfn.LET(_xlpm.steps,SUBSTITUTE(Table13[[#This Row],[Input]],Table13[[#This Row],[Direction]],""),VALUE(IF(LEN(_xlpm.steps)&gt;2,RIGHT(_xlpm.steps,2),_xlpm.steps)))</f>
        <v>54</v>
      </c>
      <c r="D2013">
        <f>_xlfn.LET(_xlpm.steps,SUBSTITUTE(Table13[[#This Row],[Input]],Table13[[#This Row],[Direction]],""),VALUE(IF(LEN(_xlpm.steps)&gt;2,LEFT(_xlpm.steps,LEN(_xlpm.steps)-2),0)))</f>
        <v>0</v>
      </c>
      <c r="E2013">
        <f>_xlfn.LET(_xlpm.dir,Table13[[#This Row],[Direction]],
IF(_xlpm.dir="L",
    IF(G2012-Table13[[#This Row],[Steps]]&lt;0,100+(G2012-Table13[[#This Row],[Steps]]),G2012-Table13[[#This Row],[Steps]]),
))</f>
        <v>0</v>
      </c>
      <c r="F2013">
        <f>_xlfn.LET(_xlpm.dir,Table13[[#This Row],[Direction]],
IF(_xlpm.dir="R",
    IF(G2012+Table13[[#This Row],[Steps]]&gt;99,(G2012+Table13[[#This Row],[Steps]])-100,G2012+Table13[[#This Row],[Steps]]),
))</f>
        <v>0</v>
      </c>
      <c r="G2013">
        <f>IF(Table13[[#This Row],[New Pos L]]&lt;&gt;0,Table13[[#This Row],[New Pos L]],Table13[[#This Row],[New Pos R]])</f>
        <v>0</v>
      </c>
      <c r="H2013">
        <f>IF(AND(Table13[[#This Row],[Direction]]="L",Table13[[#This Row],[Steps]]&gt;G2012,G2012&lt;&gt;0),1,0)</f>
        <v>0</v>
      </c>
      <c r="I2013">
        <f>IF(AND(Table13[[#This Row],[Direction]]="R",(G2012+Table13[[#This Row],[Steps]])&gt;100),1,0)</f>
        <v>0</v>
      </c>
      <c r="J2013">
        <f>IF(Table13[[#This Row],[POS]]=0,1,0)</f>
        <v>1</v>
      </c>
      <c r="K2013">
        <f>SUM(Table13[[#This Row],[prefix]],Table13[[#This Row],[Past zero L]],Table13[[#This Row],[Past Zero R]],Table13[[#This Row],[Is Zero]])</f>
        <v>1</v>
      </c>
    </row>
    <row r="2014" spans="1:11" ht="16" x14ac:dyDescent="0.2">
      <c r="A2014" s="1" t="s">
        <v>390</v>
      </c>
      <c r="B2014" t="str">
        <f>LEFT(Table13[[#This Row],[Input]],1)</f>
        <v>L</v>
      </c>
      <c r="C2014">
        <f>_xlfn.LET(_xlpm.steps,SUBSTITUTE(Table13[[#This Row],[Input]],Table13[[#This Row],[Direction]],""),VALUE(IF(LEN(_xlpm.steps)&gt;2,RIGHT(_xlpm.steps,2),_xlpm.steps)))</f>
        <v>52</v>
      </c>
      <c r="D2014">
        <f>_xlfn.LET(_xlpm.steps,SUBSTITUTE(Table13[[#This Row],[Input]],Table13[[#This Row],[Direction]],""),VALUE(IF(LEN(_xlpm.steps)&gt;2,LEFT(_xlpm.steps,LEN(_xlpm.steps)-2),0)))</f>
        <v>4</v>
      </c>
      <c r="E2014">
        <f>_xlfn.LET(_xlpm.dir,Table13[[#This Row],[Direction]],
IF(_xlpm.dir="L",
    IF(G2013-Table13[[#This Row],[Steps]]&lt;0,100+(G2013-Table13[[#This Row],[Steps]]),G2013-Table13[[#This Row],[Steps]]),
))</f>
        <v>48</v>
      </c>
      <c r="F2014">
        <f>_xlfn.LET(_xlpm.dir,Table13[[#This Row],[Direction]],
IF(_xlpm.dir="R",
    IF(G2013+Table13[[#This Row],[Steps]]&gt;99,(G2013+Table13[[#This Row],[Steps]])-100,G2013+Table13[[#This Row],[Steps]]),
))</f>
        <v>0</v>
      </c>
      <c r="G2014">
        <f>IF(Table13[[#This Row],[New Pos L]]&lt;&gt;0,Table13[[#This Row],[New Pos L]],Table13[[#This Row],[New Pos R]])</f>
        <v>48</v>
      </c>
      <c r="H2014">
        <f>IF(AND(Table13[[#This Row],[Direction]]="L",Table13[[#This Row],[Steps]]&gt;G2013,G2013&lt;&gt;0),1,0)</f>
        <v>0</v>
      </c>
      <c r="I2014">
        <f>IF(AND(Table13[[#This Row],[Direction]]="R",(G2013+Table13[[#This Row],[Steps]])&gt;100),1,0)</f>
        <v>0</v>
      </c>
      <c r="J2014">
        <f>IF(Table13[[#This Row],[POS]]=0,1,0)</f>
        <v>0</v>
      </c>
      <c r="K2014">
        <f>SUM(Table13[[#This Row],[prefix]],Table13[[#This Row],[Past zero L]],Table13[[#This Row],[Past Zero R]],Table13[[#This Row],[Is Zero]])</f>
        <v>4</v>
      </c>
    </row>
    <row r="2015" spans="1:11" ht="16" x14ac:dyDescent="0.2">
      <c r="A2015" s="1" t="s">
        <v>70</v>
      </c>
      <c r="B2015" t="str">
        <f>LEFT(Table13[[#This Row],[Input]],1)</f>
        <v>R</v>
      </c>
      <c r="C2015">
        <f>_xlfn.LET(_xlpm.steps,SUBSTITUTE(Table13[[#This Row],[Input]],Table13[[#This Row],[Direction]],""),VALUE(IF(LEN(_xlpm.steps)&gt;2,RIGHT(_xlpm.steps,2),_xlpm.steps)))</f>
        <v>73</v>
      </c>
      <c r="D2015">
        <f>_xlfn.LET(_xlpm.steps,SUBSTITUTE(Table13[[#This Row],[Input]],Table13[[#This Row],[Direction]],""),VALUE(IF(LEN(_xlpm.steps)&gt;2,LEFT(_xlpm.steps,LEN(_xlpm.steps)-2),0)))</f>
        <v>0</v>
      </c>
      <c r="E2015">
        <f>_xlfn.LET(_xlpm.dir,Table13[[#This Row],[Direction]],
IF(_xlpm.dir="L",
    IF(G2014-Table13[[#This Row],[Steps]]&lt;0,100+(G2014-Table13[[#This Row],[Steps]]),G2014-Table13[[#This Row],[Steps]]),
))</f>
        <v>0</v>
      </c>
      <c r="F2015">
        <f>_xlfn.LET(_xlpm.dir,Table13[[#This Row],[Direction]],
IF(_xlpm.dir="R",
    IF(G2014+Table13[[#This Row],[Steps]]&gt;99,(G2014+Table13[[#This Row],[Steps]])-100,G2014+Table13[[#This Row],[Steps]]),
))</f>
        <v>21</v>
      </c>
      <c r="G2015">
        <f>IF(Table13[[#This Row],[New Pos L]]&lt;&gt;0,Table13[[#This Row],[New Pos L]],Table13[[#This Row],[New Pos R]])</f>
        <v>21</v>
      </c>
      <c r="H2015">
        <f>IF(AND(Table13[[#This Row],[Direction]]="L",Table13[[#This Row],[Steps]]&gt;G2014,G2014&lt;&gt;0),1,0)</f>
        <v>0</v>
      </c>
      <c r="I2015">
        <f>IF(AND(Table13[[#This Row],[Direction]]="R",(G2014+Table13[[#This Row],[Steps]])&gt;100),1,0)</f>
        <v>1</v>
      </c>
      <c r="J2015">
        <f>IF(Table13[[#This Row],[POS]]=0,1,0)</f>
        <v>0</v>
      </c>
      <c r="K2015">
        <f>SUM(Table13[[#This Row],[prefix]],Table13[[#This Row],[Past zero L]],Table13[[#This Row],[Past Zero R]],Table13[[#This Row],[Is Zero]])</f>
        <v>1</v>
      </c>
    </row>
    <row r="2016" spans="1:11" ht="16" x14ac:dyDescent="0.2">
      <c r="A2016" s="1" t="s">
        <v>11</v>
      </c>
      <c r="B2016" t="str">
        <f>LEFT(Table13[[#This Row],[Input]],1)</f>
        <v>L</v>
      </c>
      <c r="C2016">
        <f>_xlfn.LET(_xlpm.steps,SUBSTITUTE(Table13[[#This Row],[Input]],Table13[[#This Row],[Direction]],""),VALUE(IF(LEN(_xlpm.steps)&gt;2,RIGHT(_xlpm.steps,2),_xlpm.steps)))</f>
        <v>34</v>
      </c>
      <c r="D2016">
        <f>_xlfn.LET(_xlpm.steps,SUBSTITUTE(Table13[[#This Row],[Input]],Table13[[#This Row],[Direction]],""),VALUE(IF(LEN(_xlpm.steps)&gt;2,LEFT(_xlpm.steps,LEN(_xlpm.steps)-2),0)))</f>
        <v>0</v>
      </c>
      <c r="E2016">
        <f>_xlfn.LET(_xlpm.dir,Table13[[#This Row],[Direction]],
IF(_xlpm.dir="L",
    IF(G2015-Table13[[#This Row],[Steps]]&lt;0,100+(G2015-Table13[[#This Row],[Steps]]),G2015-Table13[[#This Row],[Steps]]),
))</f>
        <v>87</v>
      </c>
      <c r="F2016">
        <f>_xlfn.LET(_xlpm.dir,Table13[[#This Row],[Direction]],
IF(_xlpm.dir="R",
    IF(G2015+Table13[[#This Row],[Steps]]&gt;99,(G2015+Table13[[#This Row],[Steps]])-100,G2015+Table13[[#This Row],[Steps]]),
))</f>
        <v>0</v>
      </c>
      <c r="G2016">
        <f>IF(Table13[[#This Row],[New Pos L]]&lt;&gt;0,Table13[[#This Row],[New Pos L]],Table13[[#This Row],[New Pos R]])</f>
        <v>87</v>
      </c>
      <c r="H2016">
        <f>IF(AND(Table13[[#This Row],[Direction]]="L",Table13[[#This Row],[Steps]]&gt;G2015,G2015&lt;&gt;0),1,0)</f>
        <v>1</v>
      </c>
      <c r="I2016">
        <f>IF(AND(Table13[[#This Row],[Direction]]="R",(G2015+Table13[[#This Row],[Steps]])&gt;100),1,0)</f>
        <v>0</v>
      </c>
      <c r="J2016">
        <f>IF(Table13[[#This Row],[POS]]=0,1,0)</f>
        <v>0</v>
      </c>
      <c r="K2016">
        <f>SUM(Table13[[#This Row],[prefix]],Table13[[#This Row],[Past zero L]],Table13[[#This Row],[Past Zero R]],Table13[[#This Row],[Is Zero]])</f>
        <v>1</v>
      </c>
    </row>
    <row r="2017" spans="1:11" ht="16" x14ac:dyDescent="0.2">
      <c r="A2017" s="1" t="s">
        <v>545</v>
      </c>
      <c r="B2017" t="str">
        <f>LEFT(Table13[[#This Row],[Input]],1)</f>
        <v>L</v>
      </c>
      <c r="C2017">
        <f>_xlfn.LET(_xlpm.steps,SUBSTITUTE(Table13[[#This Row],[Input]],Table13[[#This Row],[Direction]],""),VALUE(IF(LEN(_xlpm.steps)&gt;2,RIGHT(_xlpm.steps,2),_xlpm.steps)))</f>
        <v>39</v>
      </c>
      <c r="D2017">
        <f>_xlfn.LET(_xlpm.steps,SUBSTITUTE(Table13[[#This Row],[Input]],Table13[[#This Row],[Direction]],""),VALUE(IF(LEN(_xlpm.steps)&gt;2,LEFT(_xlpm.steps,LEN(_xlpm.steps)-2),0)))</f>
        <v>6</v>
      </c>
      <c r="E2017">
        <f>_xlfn.LET(_xlpm.dir,Table13[[#This Row],[Direction]],
IF(_xlpm.dir="L",
    IF(G2016-Table13[[#This Row],[Steps]]&lt;0,100+(G2016-Table13[[#This Row],[Steps]]),G2016-Table13[[#This Row],[Steps]]),
))</f>
        <v>48</v>
      </c>
      <c r="F2017">
        <f>_xlfn.LET(_xlpm.dir,Table13[[#This Row],[Direction]],
IF(_xlpm.dir="R",
    IF(G2016+Table13[[#This Row],[Steps]]&gt;99,(G2016+Table13[[#This Row],[Steps]])-100,G2016+Table13[[#This Row],[Steps]]),
))</f>
        <v>0</v>
      </c>
      <c r="G2017">
        <f>IF(Table13[[#This Row],[New Pos L]]&lt;&gt;0,Table13[[#This Row],[New Pos L]],Table13[[#This Row],[New Pos R]])</f>
        <v>48</v>
      </c>
      <c r="H2017">
        <f>IF(AND(Table13[[#This Row],[Direction]]="L",Table13[[#This Row],[Steps]]&gt;G2016,G2016&lt;&gt;0),1,0)</f>
        <v>0</v>
      </c>
      <c r="I2017">
        <f>IF(AND(Table13[[#This Row],[Direction]]="R",(G2016+Table13[[#This Row],[Steps]])&gt;100),1,0)</f>
        <v>0</v>
      </c>
      <c r="J2017">
        <f>IF(Table13[[#This Row],[POS]]=0,1,0)</f>
        <v>0</v>
      </c>
      <c r="K2017">
        <f>SUM(Table13[[#This Row],[prefix]],Table13[[#This Row],[Past zero L]],Table13[[#This Row],[Past Zero R]],Table13[[#This Row],[Is Zero]])</f>
        <v>6</v>
      </c>
    </row>
    <row r="2018" spans="1:11" ht="16" x14ac:dyDescent="0.2">
      <c r="A2018" s="1" t="s">
        <v>157</v>
      </c>
      <c r="B2018" t="str">
        <f>LEFT(Table13[[#This Row],[Input]],1)</f>
        <v>R</v>
      </c>
      <c r="C2018">
        <f>_xlfn.LET(_xlpm.steps,SUBSTITUTE(Table13[[#This Row],[Input]],Table13[[#This Row],[Direction]],""),VALUE(IF(LEN(_xlpm.steps)&gt;2,RIGHT(_xlpm.steps,2),_xlpm.steps)))</f>
        <v>68</v>
      </c>
      <c r="D2018">
        <f>_xlfn.LET(_xlpm.steps,SUBSTITUTE(Table13[[#This Row],[Input]],Table13[[#This Row],[Direction]],""),VALUE(IF(LEN(_xlpm.steps)&gt;2,LEFT(_xlpm.steps,LEN(_xlpm.steps)-2),0)))</f>
        <v>0</v>
      </c>
      <c r="E2018">
        <f>_xlfn.LET(_xlpm.dir,Table13[[#This Row],[Direction]],
IF(_xlpm.dir="L",
    IF(G2017-Table13[[#This Row],[Steps]]&lt;0,100+(G2017-Table13[[#This Row],[Steps]]),G2017-Table13[[#This Row],[Steps]]),
))</f>
        <v>0</v>
      </c>
      <c r="F2018">
        <f>_xlfn.LET(_xlpm.dir,Table13[[#This Row],[Direction]],
IF(_xlpm.dir="R",
    IF(G2017+Table13[[#This Row],[Steps]]&gt;99,(G2017+Table13[[#This Row],[Steps]])-100,G2017+Table13[[#This Row],[Steps]]),
))</f>
        <v>16</v>
      </c>
      <c r="G2018">
        <f>IF(Table13[[#This Row],[New Pos L]]&lt;&gt;0,Table13[[#This Row],[New Pos L]],Table13[[#This Row],[New Pos R]])</f>
        <v>16</v>
      </c>
      <c r="H2018">
        <f>IF(AND(Table13[[#This Row],[Direction]]="L",Table13[[#This Row],[Steps]]&gt;G2017,G2017&lt;&gt;0),1,0)</f>
        <v>0</v>
      </c>
      <c r="I2018">
        <f>IF(AND(Table13[[#This Row],[Direction]]="R",(G2017+Table13[[#This Row],[Steps]])&gt;100),1,0)</f>
        <v>1</v>
      </c>
      <c r="J2018">
        <f>IF(Table13[[#This Row],[POS]]=0,1,0)</f>
        <v>0</v>
      </c>
      <c r="K2018">
        <f>SUM(Table13[[#This Row],[prefix]],Table13[[#This Row],[Past zero L]],Table13[[#This Row],[Past Zero R]],Table13[[#This Row],[Is Zero]])</f>
        <v>1</v>
      </c>
    </row>
    <row r="2019" spans="1:11" ht="16" x14ac:dyDescent="0.2">
      <c r="A2019" s="1" t="s">
        <v>61</v>
      </c>
      <c r="B2019" t="str">
        <f>LEFT(Table13[[#This Row],[Input]],1)</f>
        <v>L</v>
      </c>
      <c r="C2019">
        <f>_xlfn.LET(_xlpm.steps,SUBSTITUTE(Table13[[#This Row],[Input]],Table13[[#This Row],[Direction]],""),VALUE(IF(LEN(_xlpm.steps)&gt;2,RIGHT(_xlpm.steps,2),_xlpm.steps)))</f>
        <v>16</v>
      </c>
      <c r="D2019">
        <f>_xlfn.LET(_xlpm.steps,SUBSTITUTE(Table13[[#This Row],[Input]],Table13[[#This Row],[Direction]],""),VALUE(IF(LEN(_xlpm.steps)&gt;2,LEFT(_xlpm.steps,LEN(_xlpm.steps)-2),0)))</f>
        <v>0</v>
      </c>
      <c r="E2019">
        <f>_xlfn.LET(_xlpm.dir,Table13[[#This Row],[Direction]],
IF(_xlpm.dir="L",
    IF(G2018-Table13[[#This Row],[Steps]]&lt;0,100+(G2018-Table13[[#This Row],[Steps]]),G2018-Table13[[#This Row],[Steps]]),
))</f>
        <v>0</v>
      </c>
      <c r="F2019">
        <f>_xlfn.LET(_xlpm.dir,Table13[[#This Row],[Direction]],
IF(_xlpm.dir="R",
    IF(G2018+Table13[[#This Row],[Steps]]&gt;99,(G2018+Table13[[#This Row],[Steps]])-100,G2018+Table13[[#This Row],[Steps]]),
))</f>
        <v>0</v>
      </c>
      <c r="G2019">
        <f>IF(Table13[[#This Row],[New Pos L]]&lt;&gt;0,Table13[[#This Row],[New Pos L]],Table13[[#This Row],[New Pos R]])</f>
        <v>0</v>
      </c>
      <c r="H2019">
        <f>IF(AND(Table13[[#This Row],[Direction]]="L",Table13[[#This Row],[Steps]]&gt;G2018,G2018&lt;&gt;0),1,0)</f>
        <v>0</v>
      </c>
      <c r="I2019">
        <f>IF(AND(Table13[[#This Row],[Direction]]="R",(G2018+Table13[[#This Row],[Steps]])&gt;100),1,0)</f>
        <v>0</v>
      </c>
      <c r="J2019">
        <f>IF(Table13[[#This Row],[POS]]=0,1,0)</f>
        <v>1</v>
      </c>
      <c r="K2019">
        <f>SUM(Table13[[#This Row],[prefix]],Table13[[#This Row],[Past zero L]],Table13[[#This Row],[Past Zero R]],Table13[[#This Row],[Is Zero]])</f>
        <v>1</v>
      </c>
    </row>
    <row r="2020" spans="1:11" ht="16" x14ac:dyDescent="0.2">
      <c r="A2020" s="1" t="s">
        <v>129</v>
      </c>
      <c r="B2020" t="str">
        <f>LEFT(Table13[[#This Row],[Input]],1)</f>
        <v>R</v>
      </c>
      <c r="C2020">
        <f>_xlfn.LET(_xlpm.steps,SUBSTITUTE(Table13[[#This Row],[Input]],Table13[[#This Row],[Direction]],""),VALUE(IF(LEN(_xlpm.steps)&gt;2,RIGHT(_xlpm.steps,2),_xlpm.steps)))</f>
        <v>8</v>
      </c>
      <c r="D2020">
        <f>_xlfn.LET(_xlpm.steps,SUBSTITUTE(Table13[[#This Row],[Input]],Table13[[#This Row],[Direction]],""),VALUE(IF(LEN(_xlpm.steps)&gt;2,LEFT(_xlpm.steps,LEN(_xlpm.steps)-2),0)))</f>
        <v>0</v>
      </c>
      <c r="E2020">
        <f>_xlfn.LET(_xlpm.dir,Table13[[#This Row],[Direction]],
IF(_xlpm.dir="L",
    IF(G2019-Table13[[#This Row],[Steps]]&lt;0,100+(G2019-Table13[[#This Row],[Steps]]),G2019-Table13[[#This Row],[Steps]]),
))</f>
        <v>0</v>
      </c>
      <c r="F2020">
        <f>_xlfn.LET(_xlpm.dir,Table13[[#This Row],[Direction]],
IF(_xlpm.dir="R",
    IF(G2019+Table13[[#This Row],[Steps]]&gt;99,(G2019+Table13[[#This Row],[Steps]])-100,G2019+Table13[[#This Row],[Steps]]),
))</f>
        <v>8</v>
      </c>
      <c r="G2020">
        <f>IF(Table13[[#This Row],[New Pos L]]&lt;&gt;0,Table13[[#This Row],[New Pos L]],Table13[[#This Row],[New Pos R]])</f>
        <v>8</v>
      </c>
      <c r="H2020">
        <f>IF(AND(Table13[[#This Row],[Direction]]="L",Table13[[#This Row],[Steps]]&gt;G2019,G2019&lt;&gt;0),1,0)</f>
        <v>0</v>
      </c>
      <c r="I2020">
        <f>IF(AND(Table13[[#This Row],[Direction]]="R",(G2019+Table13[[#This Row],[Steps]])&gt;100),1,0)</f>
        <v>0</v>
      </c>
      <c r="J2020">
        <f>IF(Table13[[#This Row],[POS]]=0,1,0)</f>
        <v>0</v>
      </c>
      <c r="K2020">
        <f>SUM(Table13[[#This Row],[prefix]],Table13[[#This Row],[Past zero L]],Table13[[#This Row],[Past Zero R]],Table13[[#This Row],[Is Zero]])</f>
        <v>0</v>
      </c>
    </row>
    <row r="2021" spans="1:11" ht="16" x14ac:dyDescent="0.2">
      <c r="A2021" s="1" t="s">
        <v>23</v>
      </c>
      <c r="B2021" t="str">
        <f>LEFT(Table13[[#This Row],[Input]],1)</f>
        <v>L</v>
      </c>
      <c r="C2021">
        <f>_xlfn.LET(_xlpm.steps,SUBSTITUTE(Table13[[#This Row],[Input]],Table13[[#This Row],[Direction]],""),VALUE(IF(LEN(_xlpm.steps)&gt;2,RIGHT(_xlpm.steps,2),_xlpm.steps)))</f>
        <v>8</v>
      </c>
      <c r="D2021">
        <f>_xlfn.LET(_xlpm.steps,SUBSTITUTE(Table13[[#This Row],[Input]],Table13[[#This Row],[Direction]],""),VALUE(IF(LEN(_xlpm.steps)&gt;2,LEFT(_xlpm.steps,LEN(_xlpm.steps)-2),0)))</f>
        <v>0</v>
      </c>
      <c r="E2021">
        <f>_xlfn.LET(_xlpm.dir,Table13[[#This Row],[Direction]],
IF(_xlpm.dir="L",
    IF(G2020-Table13[[#This Row],[Steps]]&lt;0,100+(G2020-Table13[[#This Row],[Steps]]),G2020-Table13[[#This Row],[Steps]]),
))</f>
        <v>0</v>
      </c>
      <c r="F2021">
        <f>_xlfn.LET(_xlpm.dir,Table13[[#This Row],[Direction]],
IF(_xlpm.dir="R",
    IF(G2020+Table13[[#This Row],[Steps]]&gt;99,(G2020+Table13[[#This Row],[Steps]])-100,G2020+Table13[[#This Row],[Steps]]),
))</f>
        <v>0</v>
      </c>
      <c r="G2021">
        <f>IF(Table13[[#This Row],[New Pos L]]&lt;&gt;0,Table13[[#This Row],[New Pos L]],Table13[[#This Row],[New Pos R]])</f>
        <v>0</v>
      </c>
      <c r="H2021">
        <f>IF(AND(Table13[[#This Row],[Direction]]="L",Table13[[#This Row],[Steps]]&gt;G2020,G2020&lt;&gt;0),1,0)</f>
        <v>0</v>
      </c>
      <c r="I2021">
        <f>IF(AND(Table13[[#This Row],[Direction]]="R",(G2020+Table13[[#This Row],[Steps]])&gt;100),1,0)</f>
        <v>0</v>
      </c>
      <c r="J2021">
        <f>IF(Table13[[#This Row],[POS]]=0,1,0)</f>
        <v>1</v>
      </c>
      <c r="K2021">
        <f>SUM(Table13[[#This Row],[prefix]],Table13[[#This Row],[Past zero L]],Table13[[#This Row],[Past Zero R]],Table13[[#This Row],[Is Zero]])</f>
        <v>1</v>
      </c>
    </row>
    <row r="2022" spans="1:11" ht="16" x14ac:dyDescent="0.2">
      <c r="A2022" s="1" t="s">
        <v>2</v>
      </c>
      <c r="B2022" t="str">
        <f>LEFT(Table13[[#This Row],[Input]],1)</f>
        <v>L</v>
      </c>
      <c r="C2022">
        <f>_xlfn.LET(_xlpm.steps,SUBSTITUTE(Table13[[#This Row],[Input]],Table13[[#This Row],[Direction]],""),VALUE(IF(LEN(_xlpm.steps)&gt;2,RIGHT(_xlpm.steps,2),_xlpm.steps)))</f>
        <v>38</v>
      </c>
      <c r="D2022">
        <f>_xlfn.LET(_xlpm.steps,SUBSTITUTE(Table13[[#This Row],[Input]],Table13[[#This Row],[Direction]],""),VALUE(IF(LEN(_xlpm.steps)&gt;2,LEFT(_xlpm.steps,LEN(_xlpm.steps)-2),0)))</f>
        <v>0</v>
      </c>
      <c r="E2022">
        <f>_xlfn.LET(_xlpm.dir,Table13[[#This Row],[Direction]],
IF(_xlpm.dir="L",
    IF(G2021-Table13[[#This Row],[Steps]]&lt;0,100+(G2021-Table13[[#This Row],[Steps]]),G2021-Table13[[#This Row],[Steps]]),
))</f>
        <v>62</v>
      </c>
      <c r="F2022">
        <f>_xlfn.LET(_xlpm.dir,Table13[[#This Row],[Direction]],
IF(_xlpm.dir="R",
    IF(G2021+Table13[[#This Row],[Steps]]&gt;99,(G2021+Table13[[#This Row],[Steps]])-100,G2021+Table13[[#This Row],[Steps]]),
))</f>
        <v>0</v>
      </c>
      <c r="G2022">
        <f>IF(Table13[[#This Row],[New Pos L]]&lt;&gt;0,Table13[[#This Row],[New Pos L]],Table13[[#This Row],[New Pos R]])</f>
        <v>62</v>
      </c>
      <c r="H2022">
        <f>IF(AND(Table13[[#This Row],[Direction]]="L",Table13[[#This Row],[Steps]]&gt;G2021,G2021&lt;&gt;0),1,0)</f>
        <v>0</v>
      </c>
      <c r="I2022">
        <f>IF(AND(Table13[[#This Row],[Direction]]="R",(G2021+Table13[[#This Row],[Steps]])&gt;100),1,0)</f>
        <v>0</v>
      </c>
      <c r="J2022">
        <f>IF(Table13[[#This Row],[POS]]=0,1,0)</f>
        <v>0</v>
      </c>
      <c r="K2022">
        <f>SUM(Table13[[#This Row],[prefix]],Table13[[#This Row],[Past zero L]],Table13[[#This Row],[Past Zero R]],Table13[[#This Row],[Is Zero]])</f>
        <v>0</v>
      </c>
    </row>
    <row r="2023" spans="1:11" ht="16" x14ac:dyDescent="0.2">
      <c r="A2023" s="1" t="s">
        <v>546</v>
      </c>
      <c r="B2023" t="str">
        <f>LEFT(Table13[[#This Row],[Input]],1)</f>
        <v>R</v>
      </c>
      <c r="C2023">
        <f>_xlfn.LET(_xlpm.steps,SUBSTITUTE(Table13[[#This Row],[Input]],Table13[[#This Row],[Direction]],""),VALUE(IF(LEN(_xlpm.steps)&gt;2,RIGHT(_xlpm.steps,2),_xlpm.steps)))</f>
        <v>76</v>
      </c>
      <c r="D2023">
        <f>_xlfn.LET(_xlpm.steps,SUBSTITUTE(Table13[[#This Row],[Input]],Table13[[#This Row],[Direction]],""),VALUE(IF(LEN(_xlpm.steps)&gt;2,LEFT(_xlpm.steps,LEN(_xlpm.steps)-2),0)))</f>
        <v>5</v>
      </c>
      <c r="E2023">
        <f>_xlfn.LET(_xlpm.dir,Table13[[#This Row],[Direction]],
IF(_xlpm.dir="L",
    IF(G2022-Table13[[#This Row],[Steps]]&lt;0,100+(G2022-Table13[[#This Row],[Steps]]),G2022-Table13[[#This Row],[Steps]]),
))</f>
        <v>0</v>
      </c>
      <c r="F2023">
        <f>_xlfn.LET(_xlpm.dir,Table13[[#This Row],[Direction]],
IF(_xlpm.dir="R",
    IF(G2022+Table13[[#This Row],[Steps]]&gt;99,(G2022+Table13[[#This Row],[Steps]])-100,G2022+Table13[[#This Row],[Steps]]),
))</f>
        <v>38</v>
      </c>
      <c r="G2023">
        <f>IF(Table13[[#This Row],[New Pos L]]&lt;&gt;0,Table13[[#This Row],[New Pos L]],Table13[[#This Row],[New Pos R]])</f>
        <v>38</v>
      </c>
      <c r="H2023">
        <f>IF(AND(Table13[[#This Row],[Direction]]="L",Table13[[#This Row],[Steps]]&gt;G2022,G2022&lt;&gt;0),1,0)</f>
        <v>0</v>
      </c>
      <c r="I2023">
        <f>IF(AND(Table13[[#This Row],[Direction]]="R",(G2022+Table13[[#This Row],[Steps]])&gt;100),1,0)</f>
        <v>1</v>
      </c>
      <c r="J2023">
        <f>IF(Table13[[#This Row],[POS]]=0,1,0)</f>
        <v>0</v>
      </c>
      <c r="K2023">
        <f>SUM(Table13[[#This Row],[prefix]],Table13[[#This Row],[Past zero L]],Table13[[#This Row],[Past Zero R]],Table13[[#This Row],[Is Zero]])</f>
        <v>6</v>
      </c>
    </row>
    <row r="2024" spans="1:11" ht="16" x14ac:dyDescent="0.2">
      <c r="A2024" s="1" t="s">
        <v>60</v>
      </c>
      <c r="B2024" t="str">
        <f>LEFT(Table13[[#This Row],[Input]],1)</f>
        <v>R</v>
      </c>
      <c r="C2024">
        <f>_xlfn.LET(_xlpm.steps,SUBSTITUTE(Table13[[#This Row],[Input]],Table13[[#This Row],[Direction]],""),VALUE(IF(LEN(_xlpm.steps)&gt;2,RIGHT(_xlpm.steps,2),_xlpm.steps)))</f>
        <v>86</v>
      </c>
      <c r="D2024">
        <f>_xlfn.LET(_xlpm.steps,SUBSTITUTE(Table13[[#This Row],[Input]],Table13[[#This Row],[Direction]],""),VALUE(IF(LEN(_xlpm.steps)&gt;2,LEFT(_xlpm.steps,LEN(_xlpm.steps)-2),0)))</f>
        <v>0</v>
      </c>
      <c r="E2024">
        <f>_xlfn.LET(_xlpm.dir,Table13[[#This Row],[Direction]],
IF(_xlpm.dir="L",
    IF(G2023-Table13[[#This Row],[Steps]]&lt;0,100+(G2023-Table13[[#This Row],[Steps]]),G2023-Table13[[#This Row],[Steps]]),
))</f>
        <v>0</v>
      </c>
      <c r="F2024">
        <f>_xlfn.LET(_xlpm.dir,Table13[[#This Row],[Direction]],
IF(_xlpm.dir="R",
    IF(G2023+Table13[[#This Row],[Steps]]&gt;99,(G2023+Table13[[#This Row],[Steps]])-100,G2023+Table13[[#This Row],[Steps]]),
))</f>
        <v>24</v>
      </c>
      <c r="G2024">
        <f>IF(Table13[[#This Row],[New Pos L]]&lt;&gt;0,Table13[[#This Row],[New Pos L]],Table13[[#This Row],[New Pos R]])</f>
        <v>24</v>
      </c>
      <c r="H2024">
        <f>IF(AND(Table13[[#This Row],[Direction]]="L",Table13[[#This Row],[Steps]]&gt;G2023,G2023&lt;&gt;0),1,0)</f>
        <v>0</v>
      </c>
      <c r="I2024">
        <f>IF(AND(Table13[[#This Row],[Direction]]="R",(G2023+Table13[[#This Row],[Steps]])&gt;100),1,0)</f>
        <v>1</v>
      </c>
      <c r="J2024">
        <f>IF(Table13[[#This Row],[POS]]=0,1,0)</f>
        <v>0</v>
      </c>
      <c r="K2024">
        <f>SUM(Table13[[#This Row],[prefix]],Table13[[#This Row],[Past zero L]],Table13[[#This Row],[Past Zero R]],Table13[[#This Row],[Is Zero]])</f>
        <v>1</v>
      </c>
    </row>
    <row r="2025" spans="1:11" ht="16" x14ac:dyDescent="0.2">
      <c r="A2025" s="1" t="s">
        <v>161</v>
      </c>
      <c r="B2025" t="str">
        <f>LEFT(Table13[[#This Row],[Input]],1)</f>
        <v>R</v>
      </c>
      <c r="C2025">
        <f>_xlfn.LET(_xlpm.steps,SUBSTITUTE(Table13[[#This Row],[Input]],Table13[[#This Row],[Direction]],""),VALUE(IF(LEN(_xlpm.steps)&gt;2,RIGHT(_xlpm.steps,2),_xlpm.steps)))</f>
        <v>76</v>
      </c>
      <c r="D2025">
        <f>_xlfn.LET(_xlpm.steps,SUBSTITUTE(Table13[[#This Row],[Input]],Table13[[#This Row],[Direction]],""),VALUE(IF(LEN(_xlpm.steps)&gt;2,LEFT(_xlpm.steps,LEN(_xlpm.steps)-2),0)))</f>
        <v>0</v>
      </c>
      <c r="E2025">
        <f>_xlfn.LET(_xlpm.dir,Table13[[#This Row],[Direction]],
IF(_xlpm.dir="L",
    IF(G2024-Table13[[#This Row],[Steps]]&lt;0,100+(G2024-Table13[[#This Row],[Steps]]),G2024-Table13[[#This Row],[Steps]]),
))</f>
        <v>0</v>
      </c>
      <c r="F2025">
        <f>_xlfn.LET(_xlpm.dir,Table13[[#This Row],[Direction]],
IF(_xlpm.dir="R",
    IF(G2024+Table13[[#This Row],[Steps]]&gt;99,(G2024+Table13[[#This Row],[Steps]])-100,G2024+Table13[[#This Row],[Steps]]),
))</f>
        <v>0</v>
      </c>
      <c r="G2025">
        <f>IF(Table13[[#This Row],[New Pos L]]&lt;&gt;0,Table13[[#This Row],[New Pos L]],Table13[[#This Row],[New Pos R]])</f>
        <v>0</v>
      </c>
      <c r="H2025">
        <f>IF(AND(Table13[[#This Row],[Direction]]="L",Table13[[#This Row],[Steps]]&gt;G2024,G2024&lt;&gt;0),1,0)</f>
        <v>0</v>
      </c>
      <c r="I2025">
        <f>IF(AND(Table13[[#This Row],[Direction]]="R",(G2024+Table13[[#This Row],[Steps]])&gt;100),1,0)</f>
        <v>0</v>
      </c>
      <c r="J2025">
        <f>IF(Table13[[#This Row],[POS]]=0,1,0)</f>
        <v>1</v>
      </c>
      <c r="K2025">
        <f>SUM(Table13[[#This Row],[prefix]],Table13[[#This Row],[Past zero L]],Table13[[#This Row],[Past Zero R]],Table13[[#This Row],[Is Zero]])</f>
        <v>1</v>
      </c>
    </row>
    <row r="2026" spans="1:11" ht="16" x14ac:dyDescent="0.2">
      <c r="A2026" s="1" t="s">
        <v>192</v>
      </c>
      <c r="B2026" t="str">
        <f>LEFT(Table13[[#This Row],[Input]],1)</f>
        <v>L</v>
      </c>
      <c r="C2026">
        <f>_xlfn.LET(_xlpm.steps,SUBSTITUTE(Table13[[#This Row],[Input]],Table13[[#This Row],[Direction]],""),VALUE(IF(LEN(_xlpm.steps)&gt;2,RIGHT(_xlpm.steps,2),_xlpm.steps)))</f>
        <v>52</v>
      </c>
      <c r="D2026">
        <f>_xlfn.LET(_xlpm.steps,SUBSTITUTE(Table13[[#This Row],[Input]],Table13[[#This Row],[Direction]],""),VALUE(IF(LEN(_xlpm.steps)&gt;2,LEFT(_xlpm.steps,LEN(_xlpm.steps)-2),0)))</f>
        <v>0</v>
      </c>
      <c r="E2026">
        <f>_xlfn.LET(_xlpm.dir,Table13[[#This Row],[Direction]],
IF(_xlpm.dir="L",
    IF(G2025-Table13[[#This Row],[Steps]]&lt;0,100+(G2025-Table13[[#This Row],[Steps]]),G2025-Table13[[#This Row],[Steps]]),
))</f>
        <v>48</v>
      </c>
      <c r="F2026">
        <f>_xlfn.LET(_xlpm.dir,Table13[[#This Row],[Direction]],
IF(_xlpm.dir="R",
    IF(G2025+Table13[[#This Row],[Steps]]&gt;99,(G2025+Table13[[#This Row],[Steps]])-100,G2025+Table13[[#This Row],[Steps]]),
))</f>
        <v>0</v>
      </c>
      <c r="G2026">
        <f>IF(Table13[[#This Row],[New Pos L]]&lt;&gt;0,Table13[[#This Row],[New Pos L]],Table13[[#This Row],[New Pos R]])</f>
        <v>48</v>
      </c>
      <c r="H2026">
        <f>IF(AND(Table13[[#This Row],[Direction]]="L",Table13[[#This Row],[Steps]]&gt;G2025,G2025&lt;&gt;0),1,0)</f>
        <v>0</v>
      </c>
      <c r="I2026">
        <f>IF(AND(Table13[[#This Row],[Direction]]="R",(G2025+Table13[[#This Row],[Steps]])&gt;100),1,0)</f>
        <v>0</v>
      </c>
      <c r="J2026">
        <f>IF(Table13[[#This Row],[POS]]=0,1,0)</f>
        <v>0</v>
      </c>
      <c r="K2026">
        <f>SUM(Table13[[#This Row],[prefix]],Table13[[#This Row],[Past zero L]],Table13[[#This Row],[Past Zero R]],Table13[[#This Row],[Is Zero]])</f>
        <v>0</v>
      </c>
    </row>
    <row r="2027" spans="1:11" ht="16" x14ac:dyDescent="0.2">
      <c r="A2027" s="1" t="s">
        <v>547</v>
      </c>
      <c r="B2027" t="str">
        <f>LEFT(Table13[[#This Row],[Input]],1)</f>
        <v>L</v>
      </c>
      <c r="C2027">
        <f>_xlfn.LET(_xlpm.steps,SUBSTITUTE(Table13[[#This Row],[Input]],Table13[[#This Row],[Direction]],""),VALUE(IF(LEN(_xlpm.steps)&gt;2,RIGHT(_xlpm.steps,2),_xlpm.steps)))</f>
        <v>48</v>
      </c>
      <c r="D2027">
        <f>_xlfn.LET(_xlpm.steps,SUBSTITUTE(Table13[[#This Row],[Input]],Table13[[#This Row],[Direction]],""),VALUE(IF(LEN(_xlpm.steps)&gt;2,LEFT(_xlpm.steps,LEN(_xlpm.steps)-2),0)))</f>
        <v>8</v>
      </c>
      <c r="E2027">
        <f>_xlfn.LET(_xlpm.dir,Table13[[#This Row],[Direction]],
IF(_xlpm.dir="L",
    IF(G2026-Table13[[#This Row],[Steps]]&lt;0,100+(G2026-Table13[[#This Row],[Steps]]),G2026-Table13[[#This Row],[Steps]]),
))</f>
        <v>0</v>
      </c>
      <c r="F2027">
        <f>_xlfn.LET(_xlpm.dir,Table13[[#This Row],[Direction]],
IF(_xlpm.dir="R",
    IF(G2026+Table13[[#This Row],[Steps]]&gt;99,(G2026+Table13[[#This Row],[Steps]])-100,G2026+Table13[[#This Row],[Steps]]),
))</f>
        <v>0</v>
      </c>
      <c r="G2027">
        <f>IF(Table13[[#This Row],[New Pos L]]&lt;&gt;0,Table13[[#This Row],[New Pos L]],Table13[[#This Row],[New Pos R]])</f>
        <v>0</v>
      </c>
      <c r="H2027">
        <f>IF(AND(Table13[[#This Row],[Direction]]="L",Table13[[#This Row],[Steps]]&gt;G2026,G2026&lt;&gt;0),1,0)</f>
        <v>0</v>
      </c>
      <c r="I2027">
        <f>IF(AND(Table13[[#This Row],[Direction]]="R",(G2026+Table13[[#This Row],[Steps]])&gt;100),1,0)</f>
        <v>0</v>
      </c>
      <c r="J2027">
        <f>IF(Table13[[#This Row],[POS]]=0,1,0)</f>
        <v>1</v>
      </c>
      <c r="K2027">
        <f>SUM(Table13[[#This Row],[prefix]],Table13[[#This Row],[Past zero L]],Table13[[#This Row],[Past Zero R]],Table13[[#This Row],[Is Zero]])</f>
        <v>9</v>
      </c>
    </row>
    <row r="2028" spans="1:11" ht="16" x14ac:dyDescent="0.2">
      <c r="A2028" s="1" t="s">
        <v>330</v>
      </c>
      <c r="B2028" t="str">
        <f>LEFT(Table13[[#This Row],[Input]],1)</f>
        <v>L</v>
      </c>
      <c r="C2028">
        <f>_xlfn.LET(_xlpm.steps,SUBSTITUTE(Table13[[#This Row],[Input]],Table13[[#This Row],[Direction]],""),VALUE(IF(LEN(_xlpm.steps)&gt;2,RIGHT(_xlpm.steps,2),_xlpm.steps)))</f>
        <v>47</v>
      </c>
      <c r="D2028">
        <f>_xlfn.LET(_xlpm.steps,SUBSTITUTE(Table13[[#This Row],[Input]],Table13[[#This Row],[Direction]],""),VALUE(IF(LEN(_xlpm.steps)&gt;2,LEFT(_xlpm.steps,LEN(_xlpm.steps)-2),0)))</f>
        <v>0</v>
      </c>
      <c r="E2028">
        <f>_xlfn.LET(_xlpm.dir,Table13[[#This Row],[Direction]],
IF(_xlpm.dir="L",
    IF(G2027-Table13[[#This Row],[Steps]]&lt;0,100+(G2027-Table13[[#This Row],[Steps]]),G2027-Table13[[#This Row],[Steps]]),
))</f>
        <v>53</v>
      </c>
      <c r="F2028">
        <f>_xlfn.LET(_xlpm.dir,Table13[[#This Row],[Direction]],
IF(_xlpm.dir="R",
    IF(G2027+Table13[[#This Row],[Steps]]&gt;99,(G2027+Table13[[#This Row],[Steps]])-100,G2027+Table13[[#This Row],[Steps]]),
))</f>
        <v>0</v>
      </c>
      <c r="G2028">
        <f>IF(Table13[[#This Row],[New Pos L]]&lt;&gt;0,Table13[[#This Row],[New Pos L]],Table13[[#This Row],[New Pos R]])</f>
        <v>53</v>
      </c>
      <c r="H2028">
        <f>IF(AND(Table13[[#This Row],[Direction]]="L",Table13[[#This Row],[Steps]]&gt;G2027,G2027&lt;&gt;0),1,0)</f>
        <v>0</v>
      </c>
      <c r="I2028">
        <f>IF(AND(Table13[[#This Row],[Direction]]="R",(G2027+Table13[[#This Row],[Steps]])&gt;100),1,0)</f>
        <v>0</v>
      </c>
      <c r="J2028">
        <f>IF(Table13[[#This Row],[POS]]=0,1,0)</f>
        <v>0</v>
      </c>
      <c r="K2028">
        <f>SUM(Table13[[#This Row],[prefix]],Table13[[#This Row],[Past zero L]],Table13[[#This Row],[Past Zero R]],Table13[[#This Row],[Is Zero]])</f>
        <v>0</v>
      </c>
    </row>
    <row r="2029" spans="1:11" ht="16" x14ac:dyDescent="0.2">
      <c r="A2029" s="1" t="s">
        <v>548</v>
      </c>
      <c r="B2029" t="str">
        <f>LEFT(Table13[[#This Row],[Input]],1)</f>
        <v>L</v>
      </c>
      <c r="C2029">
        <f>_xlfn.LET(_xlpm.steps,SUBSTITUTE(Table13[[#This Row],[Input]],Table13[[#This Row],[Direction]],""),VALUE(IF(LEN(_xlpm.steps)&gt;2,RIGHT(_xlpm.steps,2),_xlpm.steps)))</f>
        <v>64</v>
      </c>
      <c r="D2029">
        <f>_xlfn.LET(_xlpm.steps,SUBSTITUTE(Table13[[#This Row],[Input]],Table13[[#This Row],[Direction]],""),VALUE(IF(LEN(_xlpm.steps)&gt;2,LEFT(_xlpm.steps,LEN(_xlpm.steps)-2),0)))</f>
        <v>8</v>
      </c>
      <c r="E2029">
        <f>_xlfn.LET(_xlpm.dir,Table13[[#This Row],[Direction]],
IF(_xlpm.dir="L",
    IF(G2028-Table13[[#This Row],[Steps]]&lt;0,100+(G2028-Table13[[#This Row],[Steps]]),G2028-Table13[[#This Row],[Steps]]),
))</f>
        <v>89</v>
      </c>
      <c r="F2029">
        <f>_xlfn.LET(_xlpm.dir,Table13[[#This Row],[Direction]],
IF(_xlpm.dir="R",
    IF(G2028+Table13[[#This Row],[Steps]]&gt;99,(G2028+Table13[[#This Row],[Steps]])-100,G2028+Table13[[#This Row],[Steps]]),
))</f>
        <v>0</v>
      </c>
      <c r="G2029">
        <f>IF(Table13[[#This Row],[New Pos L]]&lt;&gt;0,Table13[[#This Row],[New Pos L]],Table13[[#This Row],[New Pos R]])</f>
        <v>89</v>
      </c>
      <c r="H2029">
        <f>IF(AND(Table13[[#This Row],[Direction]]="L",Table13[[#This Row],[Steps]]&gt;G2028,G2028&lt;&gt;0),1,0)</f>
        <v>1</v>
      </c>
      <c r="I2029">
        <f>IF(AND(Table13[[#This Row],[Direction]]="R",(G2028+Table13[[#This Row],[Steps]])&gt;100),1,0)</f>
        <v>0</v>
      </c>
      <c r="J2029">
        <f>IF(Table13[[#This Row],[POS]]=0,1,0)</f>
        <v>0</v>
      </c>
      <c r="K2029">
        <f>SUM(Table13[[#This Row],[prefix]],Table13[[#This Row],[Past zero L]],Table13[[#This Row],[Past Zero R]],Table13[[#This Row],[Is Zero]])</f>
        <v>9</v>
      </c>
    </row>
    <row r="2030" spans="1:11" ht="16" x14ac:dyDescent="0.2">
      <c r="A2030" s="1" t="s">
        <v>549</v>
      </c>
      <c r="B2030" t="str">
        <f>LEFT(Table13[[#This Row],[Input]],1)</f>
        <v>L</v>
      </c>
      <c r="C2030">
        <f>_xlfn.LET(_xlpm.steps,SUBSTITUTE(Table13[[#This Row],[Input]],Table13[[#This Row],[Direction]],""),VALUE(IF(LEN(_xlpm.steps)&gt;2,RIGHT(_xlpm.steps,2),_xlpm.steps)))</f>
        <v>12</v>
      </c>
      <c r="D2030">
        <f>_xlfn.LET(_xlpm.steps,SUBSTITUTE(Table13[[#This Row],[Input]],Table13[[#This Row],[Direction]],""),VALUE(IF(LEN(_xlpm.steps)&gt;2,LEFT(_xlpm.steps,LEN(_xlpm.steps)-2),0)))</f>
        <v>2</v>
      </c>
      <c r="E2030">
        <f>_xlfn.LET(_xlpm.dir,Table13[[#This Row],[Direction]],
IF(_xlpm.dir="L",
    IF(G2029-Table13[[#This Row],[Steps]]&lt;0,100+(G2029-Table13[[#This Row],[Steps]]),G2029-Table13[[#This Row],[Steps]]),
))</f>
        <v>77</v>
      </c>
      <c r="F2030">
        <f>_xlfn.LET(_xlpm.dir,Table13[[#This Row],[Direction]],
IF(_xlpm.dir="R",
    IF(G2029+Table13[[#This Row],[Steps]]&gt;99,(G2029+Table13[[#This Row],[Steps]])-100,G2029+Table13[[#This Row],[Steps]]),
))</f>
        <v>0</v>
      </c>
      <c r="G2030">
        <f>IF(Table13[[#This Row],[New Pos L]]&lt;&gt;0,Table13[[#This Row],[New Pos L]],Table13[[#This Row],[New Pos R]])</f>
        <v>77</v>
      </c>
      <c r="H2030">
        <f>IF(AND(Table13[[#This Row],[Direction]]="L",Table13[[#This Row],[Steps]]&gt;G2029,G2029&lt;&gt;0),1,0)</f>
        <v>0</v>
      </c>
      <c r="I2030">
        <f>IF(AND(Table13[[#This Row],[Direction]]="R",(G2029+Table13[[#This Row],[Steps]])&gt;100),1,0)</f>
        <v>0</v>
      </c>
      <c r="J2030">
        <f>IF(Table13[[#This Row],[POS]]=0,1,0)</f>
        <v>0</v>
      </c>
      <c r="K2030">
        <f>SUM(Table13[[#This Row],[prefix]],Table13[[#This Row],[Past zero L]],Table13[[#This Row],[Past Zero R]],Table13[[#This Row],[Is Zero]])</f>
        <v>2</v>
      </c>
    </row>
    <row r="2031" spans="1:11" ht="16" x14ac:dyDescent="0.2">
      <c r="A2031" s="1" t="s">
        <v>71</v>
      </c>
      <c r="B2031" t="str">
        <f>LEFT(Table13[[#This Row],[Input]],1)</f>
        <v>R</v>
      </c>
      <c r="C2031">
        <f>_xlfn.LET(_xlpm.steps,SUBSTITUTE(Table13[[#This Row],[Input]],Table13[[#This Row],[Direction]],""),VALUE(IF(LEN(_xlpm.steps)&gt;2,RIGHT(_xlpm.steps,2),_xlpm.steps)))</f>
        <v>23</v>
      </c>
      <c r="D2031">
        <f>_xlfn.LET(_xlpm.steps,SUBSTITUTE(Table13[[#This Row],[Input]],Table13[[#This Row],[Direction]],""),VALUE(IF(LEN(_xlpm.steps)&gt;2,LEFT(_xlpm.steps,LEN(_xlpm.steps)-2),0)))</f>
        <v>0</v>
      </c>
      <c r="E2031">
        <f>_xlfn.LET(_xlpm.dir,Table13[[#This Row],[Direction]],
IF(_xlpm.dir="L",
    IF(G2030-Table13[[#This Row],[Steps]]&lt;0,100+(G2030-Table13[[#This Row],[Steps]]),G2030-Table13[[#This Row],[Steps]]),
))</f>
        <v>0</v>
      </c>
      <c r="F2031">
        <f>_xlfn.LET(_xlpm.dir,Table13[[#This Row],[Direction]],
IF(_xlpm.dir="R",
    IF(G2030+Table13[[#This Row],[Steps]]&gt;99,(G2030+Table13[[#This Row],[Steps]])-100,G2030+Table13[[#This Row],[Steps]]),
))</f>
        <v>0</v>
      </c>
      <c r="G2031">
        <f>IF(Table13[[#This Row],[New Pos L]]&lt;&gt;0,Table13[[#This Row],[New Pos L]],Table13[[#This Row],[New Pos R]])</f>
        <v>0</v>
      </c>
      <c r="H2031">
        <f>IF(AND(Table13[[#This Row],[Direction]]="L",Table13[[#This Row],[Steps]]&gt;G2030,G2030&lt;&gt;0),1,0)</f>
        <v>0</v>
      </c>
      <c r="I2031">
        <f>IF(AND(Table13[[#This Row],[Direction]]="R",(G2030+Table13[[#This Row],[Steps]])&gt;100),1,0)</f>
        <v>0</v>
      </c>
      <c r="J2031">
        <f>IF(Table13[[#This Row],[POS]]=0,1,0)</f>
        <v>1</v>
      </c>
      <c r="K2031">
        <f>SUM(Table13[[#This Row],[prefix]],Table13[[#This Row],[Past zero L]],Table13[[#This Row],[Past Zero R]],Table13[[#This Row],[Is Zero]])</f>
        <v>1</v>
      </c>
    </row>
    <row r="2032" spans="1:11" ht="16" x14ac:dyDescent="0.2">
      <c r="A2032" s="1" t="s">
        <v>63</v>
      </c>
      <c r="B2032" t="str">
        <f>LEFT(Table13[[#This Row],[Input]],1)</f>
        <v>R</v>
      </c>
      <c r="C2032">
        <f>_xlfn.LET(_xlpm.steps,SUBSTITUTE(Table13[[#This Row],[Input]],Table13[[#This Row],[Direction]],""),VALUE(IF(LEN(_xlpm.steps)&gt;2,RIGHT(_xlpm.steps,2),_xlpm.steps)))</f>
        <v>57</v>
      </c>
      <c r="D2032">
        <f>_xlfn.LET(_xlpm.steps,SUBSTITUTE(Table13[[#This Row],[Input]],Table13[[#This Row],[Direction]],""),VALUE(IF(LEN(_xlpm.steps)&gt;2,LEFT(_xlpm.steps,LEN(_xlpm.steps)-2),0)))</f>
        <v>0</v>
      </c>
      <c r="E2032">
        <f>_xlfn.LET(_xlpm.dir,Table13[[#This Row],[Direction]],
IF(_xlpm.dir="L",
    IF(G2031-Table13[[#This Row],[Steps]]&lt;0,100+(G2031-Table13[[#This Row],[Steps]]),G2031-Table13[[#This Row],[Steps]]),
))</f>
        <v>0</v>
      </c>
      <c r="F2032">
        <f>_xlfn.LET(_xlpm.dir,Table13[[#This Row],[Direction]],
IF(_xlpm.dir="R",
    IF(G2031+Table13[[#This Row],[Steps]]&gt;99,(G2031+Table13[[#This Row],[Steps]])-100,G2031+Table13[[#This Row],[Steps]]),
))</f>
        <v>57</v>
      </c>
      <c r="G2032">
        <f>IF(Table13[[#This Row],[New Pos L]]&lt;&gt;0,Table13[[#This Row],[New Pos L]],Table13[[#This Row],[New Pos R]])</f>
        <v>57</v>
      </c>
      <c r="H2032">
        <f>IF(AND(Table13[[#This Row],[Direction]]="L",Table13[[#This Row],[Steps]]&gt;G2031,G2031&lt;&gt;0),1,0)</f>
        <v>0</v>
      </c>
      <c r="I2032">
        <f>IF(AND(Table13[[#This Row],[Direction]]="R",(G2031+Table13[[#This Row],[Steps]])&gt;100),1,0)</f>
        <v>0</v>
      </c>
      <c r="J2032">
        <f>IF(Table13[[#This Row],[POS]]=0,1,0)</f>
        <v>0</v>
      </c>
      <c r="K2032">
        <f>SUM(Table13[[#This Row],[prefix]],Table13[[#This Row],[Past zero L]],Table13[[#This Row],[Past Zero R]],Table13[[#This Row],[Is Zero]])</f>
        <v>0</v>
      </c>
    </row>
    <row r="2033" spans="1:11" ht="16" x14ac:dyDescent="0.2">
      <c r="A2033" s="1" t="s">
        <v>28</v>
      </c>
      <c r="B2033" t="str">
        <f>LEFT(Table13[[#This Row],[Input]],1)</f>
        <v>R</v>
      </c>
      <c r="C2033">
        <f>_xlfn.LET(_xlpm.steps,SUBSTITUTE(Table13[[#This Row],[Input]],Table13[[#This Row],[Direction]],""),VALUE(IF(LEN(_xlpm.steps)&gt;2,RIGHT(_xlpm.steps,2),_xlpm.steps)))</f>
        <v>30</v>
      </c>
      <c r="D2033">
        <f>_xlfn.LET(_xlpm.steps,SUBSTITUTE(Table13[[#This Row],[Input]],Table13[[#This Row],[Direction]],""),VALUE(IF(LEN(_xlpm.steps)&gt;2,LEFT(_xlpm.steps,LEN(_xlpm.steps)-2),0)))</f>
        <v>0</v>
      </c>
      <c r="E2033">
        <f>_xlfn.LET(_xlpm.dir,Table13[[#This Row],[Direction]],
IF(_xlpm.dir="L",
    IF(G2032-Table13[[#This Row],[Steps]]&lt;0,100+(G2032-Table13[[#This Row],[Steps]]),G2032-Table13[[#This Row],[Steps]]),
))</f>
        <v>0</v>
      </c>
      <c r="F2033">
        <f>_xlfn.LET(_xlpm.dir,Table13[[#This Row],[Direction]],
IF(_xlpm.dir="R",
    IF(G2032+Table13[[#This Row],[Steps]]&gt;99,(G2032+Table13[[#This Row],[Steps]])-100,G2032+Table13[[#This Row],[Steps]]),
))</f>
        <v>87</v>
      </c>
      <c r="G2033">
        <f>IF(Table13[[#This Row],[New Pos L]]&lt;&gt;0,Table13[[#This Row],[New Pos L]],Table13[[#This Row],[New Pos R]])</f>
        <v>87</v>
      </c>
      <c r="H2033">
        <f>IF(AND(Table13[[#This Row],[Direction]]="L",Table13[[#This Row],[Steps]]&gt;G2032,G2032&lt;&gt;0),1,0)</f>
        <v>0</v>
      </c>
      <c r="I2033">
        <f>IF(AND(Table13[[#This Row],[Direction]]="R",(G2032+Table13[[#This Row],[Steps]])&gt;100),1,0)</f>
        <v>0</v>
      </c>
      <c r="J2033">
        <f>IF(Table13[[#This Row],[POS]]=0,1,0)</f>
        <v>0</v>
      </c>
      <c r="K2033">
        <f>SUM(Table13[[#This Row],[prefix]],Table13[[#This Row],[Past zero L]],Table13[[#This Row],[Past Zero R]],Table13[[#This Row],[Is Zero]])</f>
        <v>0</v>
      </c>
    </row>
    <row r="2034" spans="1:11" ht="16" x14ac:dyDescent="0.2">
      <c r="A2034" s="1" t="s">
        <v>18</v>
      </c>
      <c r="B2034" t="str">
        <f>LEFT(Table13[[#This Row],[Input]],1)</f>
        <v>L</v>
      </c>
      <c r="C2034">
        <f>_xlfn.LET(_xlpm.steps,SUBSTITUTE(Table13[[#This Row],[Input]],Table13[[#This Row],[Direction]],""),VALUE(IF(LEN(_xlpm.steps)&gt;2,RIGHT(_xlpm.steps,2),_xlpm.steps)))</f>
        <v>46</v>
      </c>
      <c r="D2034">
        <f>_xlfn.LET(_xlpm.steps,SUBSTITUTE(Table13[[#This Row],[Input]],Table13[[#This Row],[Direction]],""),VALUE(IF(LEN(_xlpm.steps)&gt;2,LEFT(_xlpm.steps,LEN(_xlpm.steps)-2),0)))</f>
        <v>0</v>
      </c>
      <c r="E2034">
        <f>_xlfn.LET(_xlpm.dir,Table13[[#This Row],[Direction]],
IF(_xlpm.dir="L",
    IF(G2033-Table13[[#This Row],[Steps]]&lt;0,100+(G2033-Table13[[#This Row],[Steps]]),G2033-Table13[[#This Row],[Steps]]),
))</f>
        <v>41</v>
      </c>
      <c r="F2034">
        <f>_xlfn.LET(_xlpm.dir,Table13[[#This Row],[Direction]],
IF(_xlpm.dir="R",
    IF(G2033+Table13[[#This Row],[Steps]]&gt;99,(G2033+Table13[[#This Row],[Steps]])-100,G2033+Table13[[#This Row],[Steps]]),
))</f>
        <v>0</v>
      </c>
      <c r="G2034">
        <f>IF(Table13[[#This Row],[New Pos L]]&lt;&gt;0,Table13[[#This Row],[New Pos L]],Table13[[#This Row],[New Pos R]])</f>
        <v>41</v>
      </c>
      <c r="H2034">
        <f>IF(AND(Table13[[#This Row],[Direction]]="L",Table13[[#This Row],[Steps]]&gt;G2033,G2033&lt;&gt;0),1,0)</f>
        <v>0</v>
      </c>
      <c r="I2034">
        <f>IF(AND(Table13[[#This Row],[Direction]]="R",(G2033+Table13[[#This Row],[Steps]])&gt;100),1,0)</f>
        <v>0</v>
      </c>
      <c r="J2034">
        <f>IF(Table13[[#This Row],[POS]]=0,1,0)</f>
        <v>0</v>
      </c>
      <c r="K2034">
        <f>SUM(Table13[[#This Row],[prefix]],Table13[[#This Row],[Past zero L]],Table13[[#This Row],[Past Zero R]],Table13[[#This Row],[Is Zero]])</f>
        <v>0</v>
      </c>
    </row>
    <row r="2035" spans="1:11" ht="16" x14ac:dyDescent="0.2">
      <c r="A2035" s="1" t="s">
        <v>104</v>
      </c>
      <c r="B2035" t="str">
        <f>LEFT(Table13[[#This Row],[Input]],1)</f>
        <v>R</v>
      </c>
      <c r="C2035">
        <f>_xlfn.LET(_xlpm.steps,SUBSTITUTE(Table13[[#This Row],[Input]],Table13[[#This Row],[Direction]],""),VALUE(IF(LEN(_xlpm.steps)&gt;2,RIGHT(_xlpm.steps,2),_xlpm.steps)))</f>
        <v>59</v>
      </c>
      <c r="D2035">
        <f>_xlfn.LET(_xlpm.steps,SUBSTITUTE(Table13[[#This Row],[Input]],Table13[[#This Row],[Direction]],""),VALUE(IF(LEN(_xlpm.steps)&gt;2,LEFT(_xlpm.steps,LEN(_xlpm.steps)-2),0)))</f>
        <v>0</v>
      </c>
      <c r="E2035">
        <f>_xlfn.LET(_xlpm.dir,Table13[[#This Row],[Direction]],
IF(_xlpm.dir="L",
    IF(G2034-Table13[[#This Row],[Steps]]&lt;0,100+(G2034-Table13[[#This Row],[Steps]]),G2034-Table13[[#This Row],[Steps]]),
))</f>
        <v>0</v>
      </c>
      <c r="F2035">
        <f>_xlfn.LET(_xlpm.dir,Table13[[#This Row],[Direction]],
IF(_xlpm.dir="R",
    IF(G2034+Table13[[#This Row],[Steps]]&gt;99,(G2034+Table13[[#This Row],[Steps]])-100,G2034+Table13[[#This Row],[Steps]]),
))</f>
        <v>0</v>
      </c>
      <c r="G2035">
        <f>IF(Table13[[#This Row],[New Pos L]]&lt;&gt;0,Table13[[#This Row],[New Pos L]],Table13[[#This Row],[New Pos R]])</f>
        <v>0</v>
      </c>
      <c r="H2035">
        <f>IF(AND(Table13[[#This Row],[Direction]]="L",Table13[[#This Row],[Steps]]&gt;G2034,G2034&lt;&gt;0),1,0)</f>
        <v>0</v>
      </c>
      <c r="I2035">
        <f>IF(AND(Table13[[#This Row],[Direction]]="R",(G2034+Table13[[#This Row],[Steps]])&gt;100),1,0)</f>
        <v>0</v>
      </c>
      <c r="J2035">
        <f>IF(Table13[[#This Row],[POS]]=0,1,0)</f>
        <v>1</v>
      </c>
      <c r="K2035">
        <f>SUM(Table13[[#This Row],[prefix]],Table13[[#This Row],[Past zero L]],Table13[[#This Row],[Past Zero R]],Table13[[#This Row],[Is Zero]])</f>
        <v>1</v>
      </c>
    </row>
    <row r="2036" spans="1:11" ht="16" x14ac:dyDescent="0.2">
      <c r="A2036" s="1" t="s">
        <v>175</v>
      </c>
      <c r="B2036" t="str">
        <f>LEFT(Table13[[#This Row],[Input]],1)</f>
        <v>L</v>
      </c>
      <c r="C2036">
        <f>_xlfn.LET(_xlpm.steps,SUBSTITUTE(Table13[[#This Row],[Input]],Table13[[#This Row],[Direction]],""),VALUE(IF(LEN(_xlpm.steps)&gt;2,RIGHT(_xlpm.steps,2),_xlpm.steps)))</f>
        <v>1</v>
      </c>
      <c r="D2036">
        <f>_xlfn.LET(_xlpm.steps,SUBSTITUTE(Table13[[#This Row],[Input]],Table13[[#This Row],[Direction]],""),VALUE(IF(LEN(_xlpm.steps)&gt;2,LEFT(_xlpm.steps,LEN(_xlpm.steps)-2),0)))</f>
        <v>0</v>
      </c>
      <c r="E2036">
        <f>_xlfn.LET(_xlpm.dir,Table13[[#This Row],[Direction]],
IF(_xlpm.dir="L",
    IF(G2035-Table13[[#This Row],[Steps]]&lt;0,100+(G2035-Table13[[#This Row],[Steps]]),G2035-Table13[[#This Row],[Steps]]),
))</f>
        <v>99</v>
      </c>
      <c r="F2036">
        <f>_xlfn.LET(_xlpm.dir,Table13[[#This Row],[Direction]],
IF(_xlpm.dir="R",
    IF(G2035+Table13[[#This Row],[Steps]]&gt;99,(G2035+Table13[[#This Row],[Steps]])-100,G2035+Table13[[#This Row],[Steps]]),
))</f>
        <v>0</v>
      </c>
      <c r="G2036">
        <f>IF(Table13[[#This Row],[New Pos L]]&lt;&gt;0,Table13[[#This Row],[New Pos L]],Table13[[#This Row],[New Pos R]])</f>
        <v>99</v>
      </c>
      <c r="H2036">
        <f>IF(AND(Table13[[#This Row],[Direction]]="L",Table13[[#This Row],[Steps]]&gt;G2035,G2035&lt;&gt;0),1,0)</f>
        <v>0</v>
      </c>
      <c r="I2036">
        <f>IF(AND(Table13[[#This Row],[Direction]]="R",(G2035+Table13[[#This Row],[Steps]])&gt;100),1,0)</f>
        <v>0</v>
      </c>
      <c r="J2036">
        <f>IF(Table13[[#This Row],[POS]]=0,1,0)</f>
        <v>0</v>
      </c>
      <c r="K2036">
        <f>SUM(Table13[[#This Row],[prefix]],Table13[[#This Row],[Past zero L]],Table13[[#This Row],[Past Zero R]],Table13[[#This Row],[Is Zero]])</f>
        <v>0</v>
      </c>
    </row>
    <row r="2037" spans="1:11" ht="16" x14ac:dyDescent="0.2">
      <c r="A2037" s="1" t="s">
        <v>252</v>
      </c>
      <c r="B2037" t="str">
        <f>LEFT(Table13[[#This Row],[Input]],1)</f>
        <v>L</v>
      </c>
      <c r="C2037">
        <f>_xlfn.LET(_xlpm.steps,SUBSTITUTE(Table13[[#This Row],[Input]],Table13[[#This Row],[Direction]],""),VALUE(IF(LEN(_xlpm.steps)&gt;2,RIGHT(_xlpm.steps,2),_xlpm.steps)))</f>
        <v>99</v>
      </c>
      <c r="D2037">
        <f>_xlfn.LET(_xlpm.steps,SUBSTITUTE(Table13[[#This Row],[Input]],Table13[[#This Row],[Direction]],""),VALUE(IF(LEN(_xlpm.steps)&gt;2,LEFT(_xlpm.steps,LEN(_xlpm.steps)-2),0)))</f>
        <v>0</v>
      </c>
      <c r="E2037">
        <f>_xlfn.LET(_xlpm.dir,Table13[[#This Row],[Direction]],
IF(_xlpm.dir="L",
    IF(G2036-Table13[[#This Row],[Steps]]&lt;0,100+(G2036-Table13[[#This Row],[Steps]]),G2036-Table13[[#This Row],[Steps]]),
))</f>
        <v>0</v>
      </c>
      <c r="F2037">
        <f>_xlfn.LET(_xlpm.dir,Table13[[#This Row],[Direction]],
IF(_xlpm.dir="R",
    IF(G2036+Table13[[#This Row],[Steps]]&gt;99,(G2036+Table13[[#This Row],[Steps]])-100,G2036+Table13[[#This Row],[Steps]]),
))</f>
        <v>0</v>
      </c>
      <c r="G2037">
        <f>IF(Table13[[#This Row],[New Pos L]]&lt;&gt;0,Table13[[#This Row],[New Pos L]],Table13[[#This Row],[New Pos R]])</f>
        <v>0</v>
      </c>
      <c r="H2037">
        <f>IF(AND(Table13[[#This Row],[Direction]]="L",Table13[[#This Row],[Steps]]&gt;G2036,G2036&lt;&gt;0),1,0)</f>
        <v>0</v>
      </c>
      <c r="I2037">
        <f>IF(AND(Table13[[#This Row],[Direction]]="R",(G2036+Table13[[#This Row],[Steps]])&gt;100),1,0)</f>
        <v>0</v>
      </c>
      <c r="J2037">
        <f>IF(Table13[[#This Row],[POS]]=0,1,0)</f>
        <v>1</v>
      </c>
      <c r="K2037">
        <f>SUM(Table13[[#This Row],[prefix]],Table13[[#This Row],[Past zero L]],Table13[[#This Row],[Past Zero R]],Table13[[#This Row],[Is Zero]])</f>
        <v>1</v>
      </c>
    </row>
    <row r="2038" spans="1:11" ht="16" x14ac:dyDescent="0.2">
      <c r="A2038" s="1" t="s">
        <v>550</v>
      </c>
      <c r="B2038" t="str">
        <f>LEFT(Table13[[#This Row],[Input]],1)</f>
        <v>R</v>
      </c>
      <c r="C2038">
        <f>_xlfn.LET(_xlpm.steps,SUBSTITUTE(Table13[[#This Row],[Input]],Table13[[#This Row],[Direction]],""),VALUE(IF(LEN(_xlpm.steps)&gt;2,RIGHT(_xlpm.steps,2),_xlpm.steps)))</f>
        <v>20</v>
      </c>
      <c r="D2038">
        <f>_xlfn.LET(_xlpm.steps,SUBSTITUTE(Table13[[#This Row],[Input]],Table13[[#This Row],[Direction]],""),VALUE(IF(LEN(_xlpm.steps)&gt;2,LEFT(_xlpm.steps,LEN(_xlpm.steps)-2),0)))</f>
        <v>7</v>
      </c>
      <c r="E2038">
        <f>_xlfn.LET(_xlpm.dir,Table13[[#This Row],[Direction]],
IF(_xlpm.dir="L",
    IF(G2037-Table13[[#This Row],[Steps]]&lt;0,100+(G2037-Table13[[#This Row],[Steps]]),G2037-Table13[[#This Row],[Steps]]),
))</f>
        <v>0</v>
      </c>
      <c r="F2038">
        <f>_xlfn.LET(_xlpm.dir,Table13[[#This Row],[Direction]],
IF(_xlpm.dir="R",
    IF(G2037+Table13[[#This Row],[Steps]]&gt;99,(G2037+Table13[[#This Row],[Steps]])-100,G2037+Table13[[#This Row],[Steps]]),
))</f>
        <v>20</v>
      </c>
      <c r="G2038">
        <f>IF(Table13[[#This Row],[New Pos L]]&lt;&gt;0,Table13[[#This Row],[New Pos L]],Table13[[#This Row],[New Pos R]])</f>
        <v>20</v>
      </c>
      <c r="H2038">
        <f>IF(AND(Table13[[#This Row],[Direction]]="L",Table13[[#This Row],[Steps]]&gt;G2037,G2037&lt;&gt;0),1,0)</f>
        <v>0</v>
      </c>
      <c r="I2038">
        <f>IF(AND(Table13[[#This Row],[Direction]]="R",(G2037+Table13[[#This Row],[Steps]])&gt;100),1,0)</f>
        <v>0</v>
      </c>
      <c r="J2038">
        <f>IF(Table13[[#This Row],[POS]]=0,1,0)</f>
        <v>0</v>
      </c>
      <c r="K2038">
        <f>SUM(Table13[[#This Row],[prefix]],Table13[[#This Row],[Past zero L]],Table13[[#This Row],[Past Zero R]],Table13[[#This Row],[Is Zero]])</f>
        <v>7</v>
      </c>
    </row>
    <row r="2039" spans="1:11" ht="16" x14ac:dyDescent="0.2">
      <c r="A2039" s="1" t="s">
        <v>94</v>
      </c>
      <c r="B2039" t="str">
        <f>LEFT(Table13[[#This Row],[Input]],1)</f>
        <v>L</v>
      </c>
      <c r="C2039">
        <f>_xlfn.LET(_xlpm.steps,SUBSTITUTE(Table13[[#This Row],[Input]],Table13[[#This Row],[Direction]],""),VALUE(IF(LEN(_xlpm.steps)&gt;2,RIGHT(_xlpm.steps,2),_xlpm.steps)))</f>
        <v>71</v>
      </c>
      <c r="D2039">
        <f>_xlfn.LET(_xlpm.steps,SUBSTITUTE(Table13[[#This Row],[Input]],Table13[[#This Row],[Direction]],""),VALUE(IF(LEN(_xlpm.steps)&gt;2,LEFT(_xlpm.steps,LEN(_xlpm.steps)-2),0)))</f>
        <v>0</v>
      </c>
      <c r="E2039">
        <f>_xlfn.LET(_xlpm.dir,Table13[[#This Row],[Direction]],
IF(_xlpm.dir="L",
    IF(G2038-Table13[[#This Row],[Steps]]&lt;0,100+(G2038-Table13[[#This Row],[Steps]]),G2038-Table13[[#This Row],[Steps]]),
))</f>
        <v>49</v>
      </c>
      <c r="F2039">
        <f>_xlfn.LET(_xlpm.dir,Table13[[#This Row],[Direction]],
IF(_xlpm.dir="R",
    IF(G2038+Table13[[#This Row],[Steps]]&gt;99,(G2038+Table13[[#This Row],[Steps]])-100,G2038+Table13[[#This Row],[Steps]]),
))</f>
        <v>0</v>
      </c>
      <c r="G2039">
        <f>IF(Table13[[#This Row],[New Pos L]]&lt;&gt;0,Table13[[#This Row],[New Pos L]],Table13[[#This Row],[New Pos R]])</f>
        <v>49</v>
      </c>
      <c r="H2039">
        <f>IF(AND(Table13[[#This Row],[Direction]]="L",Table13[[#This Row],[Steps]]&gt;G2038,G2038&lt;&gt;0),1,0)</f>
        <v>1</v>
      </c>
      <c r="I2039">
        <f>IF(AND(Table13[[#This Row],[Direction]]="R",(G2038+Table13[[#This Row],[Steps]])&gt;100),1,0)</f>
        <v>0</v>
      </c>
      <c r="J2039">
        <f>IF(Table13[[#This Row],[POS]]=0,1,0)</f>
        <v>0</v>
      </c>
      <c r="K2039">
        <f>SUM(Table13[[#This Row],[prefix]],Table13[[#This Row],[Past zero L]],Table13[[#This Row],[Past Zero R]],Table13[[#This Row],[Is Zero]])</f>
        <v>1</v>
      </c>
    </row>
    <row r="2040" spans="1:11" ht="16" x14ac:dyDescent="0.2">
      <c r="A2040" s="1" t="s">
        <v>551</v>
      </c>
      <c r="B2040" t="str">
        <f>LEFT(Table13[[#This Row],[Input]],1)</f>
        <v>L</v>
      </c>
      <c r="C2040">
        <f>_xlfn.LET(_xlpm.steps,SUBSTITUTE(Table13[[#This Row],[Input]],Table13[[#This Row],[Direction]],""),VALUE(IF(LEN(_xlpm.steps)&gt;2,RIGHT(_xlpm.steps,2),_xlpm.steps)))</f>
        <v>21</v>
      </c>
      <c r="D2040">
        <f>_xlfn.LET(_xlpm.steps,SUBSTITUTE(Table13[[#This Row],[Input]],Table13[[#This Row],[Direction]],""),VALUE(IF(LEN(_xlpm.steps)&gt;2,LEFT(_xlpm.steps,LEN(_xlpm.steps)-2),0)))</f>
        <v>5</v>
      </c>
      <c r="E2040">
        <f>_xlfn.LET(_xlpm.dir,Table13[[#This Row],[Direction]],
IF(_xlpm.dir="L",
    IF(G2039-Table13[[#This Row],[Steps]]&lt;0,100+(G2039-Table13[[#This Row],[Steps]]),G2039-Table13[[#This Row],[Steps]]),
))</f>
        <v>28</v>
      </c>
      <c r="F2040">
        <f>_xlfn.LET(_xlpm.dir,Table13[[#This Row],[Direction]],
IF(_xlpm.dir="R",
    IF(G2039+Table13[[#This Row],[Steps]]&gt;99,(G2039+Table13[[#This Row],[Steps]])-100,G2039+Table13[[#This Row],[Steps]]),
))</f>
        <v>0</v>
      </c>
      <c r="G2040">
        <f>IF(Table13[[#This Row],[New Pos L]]&lt;&gt;0,Table13[[#This Row],[New Pos L]],Table13[[#This Row],[New Pos R]])</f>
        <v>28</v>
      </c>
      <c r="H2040">
        <f>IF(AND(Table13[[#This Row],[Direction]]="L",Table13[[#This Row],[Steps]]&gt;G2039,G2039&lt;&gt;0),1,0)</f>
        <v>0</v>
      </c>
      <c r="I2040">
        <f>IF(AND(Table13[[#This Row],[Direction]]="R",(G2039+Table13[[#This Row],[Steps]])&gt;100),1,0)</f>
        <v>0</v>
      </c>
      <c r="J2040">
        <f>IF(Table13[[#This Row],[POS]]=0,1,0)</f>
        <v>0</v>
      </c>
      <c r="K2040">
        <f>SUM(Table13[[#This Row],[prefix]],Table13[[#This Row],[Past zero L]],Table13[[#This Row],[Past Zero R]],Table13[[#This Row],[Is Zero]])</f>
        <v>5</v>
      </c>
    </row>
    <row r="2041" spans="1:11" ht="16" x14ac:dyDescent="0.2">
      <c r="A2041" s="1" t="s">
        <v>552</v>
      </c>
      <c r="B2041" t="str">
        <f>LEFT(Table13[[#This Row],[Input]],1)</f>
        <v>R</v>
      </c>
      <c r="C2041">
        <f>_xlfn.LET(_xlpm.steps,SUBSTITUTE(Table13[[#This Row],[Input]],Table13[[#This Row],[Direction]],""),VALUE(IF(LEN(_xlpm.steps)&gt;2,RIGHT(_xlpm.steps,2),_xlpm.steps)))</f>
        <v>72</v>
      </c>
      <c r="D2041">
        <f>_xlfn.LET(_xlpm.steps,SUBSTITUTE(Table13[[#This Row],[Input]],Table13[[#This Row],[Direction]],""),VALUE(IF(LEN(_xlpm.steps)&gt;2,LEFT(_xlpm.steps,LEN(_xlpm.steps)-2),0)))</f>
        <v>5</v>
      </c>
      <c r="E2041">
        <f>_xlfn.LET(_xlpm.dir,Table13[[#This Row],[Direction]],
IF(_xlpm.dir="L",
    IF(G2040-Table13[[#This Row],[Steps]]&lt;0,100+(G2040-Table13[[#This Row],[Steps]]),G2040-Table13[[#This Row],[Steps]]),
))</f>
        <v>0</v>
      </c>
      <c r="F2041">
        <f>_xlfn.LET(_xlpm.dir,Table13[[#This Row],[Direction]],
IF(_xlpm.dir="R",
    IF(G2040+Table13[[#This Row],[Steps]]&gt;99,(G2040+Table13[[#This Row],[Steps]])-100,G2040+Table13[[#This Row],[Steps]]),
))</f>
        <v>0</v>
      </c>
      <c r="G2041">
        <f>IF(Table13[[#This Row],[New Pos L]]&lt;&gt;0,Table13[[#This Row],[New Pos L]],Table13[[#This Row],[New Pos R]])</f>
        <v>0</v>
      </c>
      <c r="H2041">
        <f>IF(AND(Table13[[#This Row],[Direction]]="L",Table13[[#This Row],[Steps]]&gt;G2040,G2040&lt;&gt;0),1,0)</f>
        <v>0</v>
      </c>
      <c r="I2041">
        <f>IF(AND(Table13[[#This Row],[Direction]]="R",(G2040+Table13[[#This Row],[Steps]])&gt;100),1,0)</f>
        <v>0</v>
      </c>
      <c r="J2041">
        <f>IF(Table13[[#This Row],[POS]]=0,1,0)</f>
        <v>1</v>
      </c>
      <c r="K2041">
        <f>SUM(Table13[[#This Row],[prefix]],Table13[[#This Row],[Past zero L]],Table13[[#This Row],[Past Zero R]],Table13[[#This Row],[Is Zero]])</f>
        <v>6</v>
      </c>
    </row>
    <row r="2042" spans="1:11" ht="16" x14ac:dyDescent="0.2">
      <c r="A2042" s="1" t="s">
        <v>553</v>
      </c>
      <c r="B2042" t="str">
        <f>LEFT(Table13[[#This Row],[Input]],1)</f>
        <v>R</v>
      </c>
      <c r="C2042">
        <f>_xlfn.LET(_xlpm.steps,SUBSTITUTE(Table13[[#This Row],[Input]],Table13[[#This Row],[Direction]],""),VALUE(IF(LEN(_xlpm.steps)&gt;2,RIGHT(_xlpm.steps,2),_xlpm.steps)))</f>
        <v>30</v>
      </c>
      <c r="D2042">
        <f>_xlfn.LET(_xlpm.steps,SUBSTITUTE(Table13[[#This Row],[Input]],Table13[[#This Row],[Direction]],""),VALUE(IF(LEN(_xlpm.steps)&gt;2,LEFT(_xlpm.steps,LEN(_xlpm.steps)-2),0)))</f>
        <v>8</v>
      </c>
      <c r="E2042">
        <f>_xlfn.LET(_xlpm.dir,Table13[[#This Row],[Direction]],
IF(_xlpm.dir="L",
    IF(G2041-Table13[[#This Row],[Steps]]&lt;0,100+(G2041-Table13[[#This Row],[Steps]]),G2041-Table13[[#This Row],[Steps]]),
))</f>
        <v>0</v>
      </c>
      <c r="F2042">
        <f>_xlfn.LET(_xlpm.dir,Table13[[#This Row],[Direction]],
IF(_xlpm.dir="R",
    IF(G2041+Table13[[#This Row],[Steps]]&gt;99,(G2041+Table13[[#This Row],[Steps]])-100,G2041+Table13[[#This Row],[Steps]]),
))</f>
        <v>30</v>
      </c>
      <c r="G2042">
        <f>IF(Table13[[#This Row],[New Pos L]]&lt;&gt;0,Table13[[#This Row],[New Pos L]],Table13[[#This Row],[New Pos R]])</f>
        <v>30</v>
      </c>
      <c r="H2042">
        <f>IF(AND(Table13[[#This Row],[Direction]]="L",Table13[[#This Row],[Steps]]&gt;G2041,G2041&lt;&gt;0),1,0)</f>
        <v>0</v>
      </c>
      <c r="I2042">
        <f>IF(AND(Table13[[#This Row],[Direction]]="R",(G2041+Table13[[#This Row],[Steps]])&gt;100),1,0)</f>
        <v>0</v>
      </c>
      <c r="J2042">
        <f>IF(Table13[[#This Row],[POS]]=0,1,0)</f>
        <v>0</v>
      </c>
      <c r="K2042">
        <f>SUM(Table13[[#This Row],[prefix]],Table13[[#This Row],[Past zero L]],Table13[[#This Row],[Past Zero R]],Table13[[#This Row],[Is Zero]])</f>
        <v>8</v>
      </c>
    </row>
    <row r="2043" spans="1:11" ht="16" x14ac:dyDescent="0.2">
      <c r="A2043" s="1" t="s">
        <v>279</v>
      </c>
      <c r="B2043" t="str">
        <f>LEFT(Table13[[#This Row],[Input]],1)</f>
        <v>R</v>
      </c>
      <c r="C2043">
        <f>_xlfn.LET(_xlpm.steps,SUBSTITUTE(Table13[[#This Row],[Input]],Table13[[#This Row],[Direction]],""),VALUE(IF(LEN(_xlpm.steps)&gt;2,RIGHT(_xlpm.steps,2),_xlpm.steps)))</f>
        <v>34</v>
      </c>
      <c r="D2043">
        <f>_xlfn.LET(_xlpm.steps,SUBSTITUTE(Table13[[#This Row],[Input]],Table13[[#This Row],[Direction]],""),VALUE(IF(LEN(_xlpm.steps)&gt;2,LEFT(_xlpm.steps,LEN(_xlpm.steps)-2),0)))</f>
        <v>0</v>
      </c>
      <c r="E2043">
        <f>_xlfn.LET(_xlpm.dir,Table13[[#This Row],[Direction]],
IF(_xlpm.dir="L",
    IF(G2042-Table13[[#This Row],[Steps]]&lt;0,100+(G2042-Table13[[#This Row],[Steps]]),G2042-Table13[[#This Row],[Steps]]),
))</f>
        <v>0</v>
      </c>
      <c r="F2043">
        <f>_xlfn.LET(_xlpm.dir,Table13[[#This Row],[Direction]],
IF(_xlpm.dir="R",
    IF(G2042+Table13[[#This Row],[Steps]]&gt;99,(G2042+Table13[[#This Row],[Steps]])-100,G2042+Table13[[#This Row],[Steps]]),
))</f>
        <v>64</v>
      </c>
      <c r="G2043">
        <f>IF(Table13[[#This Row],[New Pos L]]&lt;&gt;0,Table13[[#This Row],[New Pos L]],Table13[[#This Row],[New Pos R]])</f>
        <v>64</v>
      </c>
      <c r="H2043">
        <f>IF(AND(Table13[[#This Row],[Direction]]="L",Table13[[#This Row],[Steps]]&gt;G2042,G2042&lt;&gt;0),1,0)</f>
        <v>0</v>
      </c>
      <c r="I2043">
        <f>IF(AND(Table13[[#This Row],[Direction]]="R",(G2042+Table13[[#This Row],[Steps]])&gt;100),1,0)</f>
        <v>0</v>
      </c>
      <c r="J2043">
        <f>IF(Table13[[#This Row],[POS]]=0,1,0)</f>
        <v>0</v>
      </c>
      <c r="K2043">
        <f>SUM(Table13[[#This Row],[prefix]],Table13[[#This Row],[Past zero L]],Table13[[#This Row],[Past Zero R]],Table13[[#This Row],[Is Zero]])</f>
        <v>0</v>
      </c>
    </row>
    <row r="2044" spans="1:11" ht="16" x14ac:dyDescent="0.2">
      <c r="A2044" s="1" t="s">
        <v>15</v>
      </c>
      <c r="B2044" t="str">
        <f>LEFT(Table13[[#This Row],[Input]],1)</f>
        <v>R</v>
      </c>
      <c r="C2044">
        <f>_xlfn.LET(_xlpm.steps,SUBSTITUTE(Table13[[#This Row],[Input]],Table13[[#This Row],[Direction]],""),VALUE(IF(LEN(_xlpm.steps)&gt;2,RIGHT(_xlpm.steps,2),_xlpm.steps)))</f>
        <v>36</v>
      </c>
      <c r="D2044">
        <f>_xlfn.LET(_xlpm.steps,SUBSTITUTE(Table13[[#This Row],[Input]],Table13[[#This Row],[Direction]],""),VALUE(IF(LEN(_xlpm.steps)&gt;2,LEFT(_xlpm.steps,LEN(_xlpm.steps)-2),0)))</f>
        <v>0</v>
      </c>
      <c r="E2044">
        <f>_xlfn.LET(_xlpm.dir,Table13[[#This Row],[Direction]],
IF(_xlpm.dir="L",
    IF(G2043-Table13[[#This Row],[Steps]]&lt;0,100+(G2043-Table13[[#This Row],[Steps]]),G2043-Table13[[#This Row],[Steps]]),
))</f>
        <v>0</v>
      </c>
      <c r="F2044">
        <f>_xlfn.LET(_xlpm.dir,Table13[[#This Row],[Direction]],
IF(_xlpm.dir="R",
    IF(G2043+Table13[[#This Row],[Steps]]&gt;99,(G2043+Table13[[#This Row],[Steps]])-100,G2043+Table13[[#This Row],[Steps]]),
))</f>
        <v>0</v>
      </c>
      <c r="G2044">
        <f>IF(Table13[[#This Row],[New Pos L]]&lt;&gt;0,Table13[[#This Row],[New Pos L]],Table13[[#This Row],[New Pos R]])</f>
        <v>0</v>
      </c>
      <c r="H2044">
        <f>IF(AND(Table13[[#This Row],[Direction]]="L",Table13[[#This Row],[Steps]]&gt;G2043,G2043&lt;&gt;0),1,0)</f>
        <v>0</v>
      </c>
      <c r="I2044">
        <f>IF(AND(Table13[[#This Row],[Direction]]="R",(G2043+Table13[[#This Row],[Steps]])&gt;100),1,0)</f>
        <v>0</v>
      </c>
      <c r="J2044">
        <f>IF(Table13[[#This Row],[POS]]=0,1,0)</f>
        <v>1</v>
      </c>
      <c r="K2044">
        <f>SUM(Table13[[#This Row],[prefix]],Table13[[#This Row],[Past zero L]],Table13[[#This Row],[Past Zero R]],Table13[[#This Row],[Is Zero]])</f>
        <v>1</v>
      </c>
    </row>
    <row r="2045" spans="1:11" ht="16" x14ac:dyDescent="0.2">
      <c r="A2045" s="1" t="s">
        <v>40</v>
      </c>
      <c r="B2045" t="str">
        <f>LEFT(Table13[[#This Row],[Input]],1)</f>
        <v>R</v>
      </c>
      <c r="C2045">
        <f>_xlfn.LET(_xlpm.steps,SUBSTITUTE(Table13[[#This Row],[Input]],Table13[[#This Row],[Direction]],""),VALUE(IF(LEN(_xlpm.steps)&gt;2,RIGHT(_xlpm.steps,2),_xlpm.steps)))</f>
        <v>52</v>
      </c>
      <c r="D2045">
        <f>_xlfn.LET(_xlpm.steps,SUBSTITUTE(Table13[[#This Row],[Input]],Table13[[#This Row],[Direction]],""),VALUE(IF(LEN(_xlpm.steps)&gt;2,LEFT(_xlpm.steps,LEN(_xlpm.steps)-2),0)))</f>
        <v>0</v>
      </c>
      <c r="E2045">
        <f>_xlfn.LET(_xlpm.dir,Table13[[#This Row],[Direction]],
IF(_xlpm.dir="L",
    IF(G2044-Table13[[#This Row],[Steps]]&lt;0,100+(G2044-Table13[[#This Row],[Steps]]),G2044-Table13[[#This Row],[Steps]]),
))</f>
        <v>0</v>
      </c>
      <c r="F2045">
        <f>_xlfn.LET(_xlpm.dir,Table13[[#This Row],[Direction]],
IF(_xlpm.dir="R",
    IF(G2044+Table13[[#This Row],[Steps]]&gt;99,(G2044+Table13[[#This Row],[Steps]])-100,G2044+Table13[[#This Row],[Steps]]),
))</f>
        <v>52</v>
      </c>
      <c r="G2045">
        <f>IF(Table13[[#This Row],[New Pos L]]&lt;&gt;0,Table13[[#This Row],[New Pos L]],Table13[[#This Row],[New Pos R]])</f>
        <v>52</v>
      </c>
      <c r="H2045">
        <f>IF(AND(Table13[[#This Row],[Direction]]="L",Table13[[#This Row],[Steps]]&gt;G2044,G2044&lt;&gt;0),1,0)</f>
        <v>0</v>
      </c>
      <c r="I2045">
        <f>IF(AND(Table13[[#This Row],[Direction]]="R",(G2044+Table13[[#This Row],[Steps]])&gt;100),1,0)</f>
        <v>0</v>
      </c>
      <c r="J2045">
        <f>IF(Table13[[#This Row],[POS]]=0,1,0)</f>
        <v>0</v>
      </c>
      <c r="K2045">
        <f>SUM(Table13[[#This Row],[prefix]],Table13[[#This Row],[Past zero L]],Table13[[#This Row],[Past Zero R]],Table13[[#This Row],[Is Zero]])</f>
        <v>0</v>
      </c>
    </row>
    <row r="2046" spans="1:11" ht="16" x14ac:dyDescent="0.2">
      <c r="A2046" s="1" t="s">
        <v>151</v>
      </c>
      <c r="B2046" t="str">
        <f>LEFT(Table13[[#This Row],[Input]],1)</f>
        <v>L</v>
      </c>
      <c r="C2046">
        <f>_xlfn.LET(_xlpm.steps,SUBSTITUTE(Table13[[#This Row],[Input]],Table13[[#This Row],[Direction]],""),VALUE(IF(LEN(_xlpm.steps)&gt;2,RIGHT(_xlpm.steps,2),_xlpm.steps)))</f>
        <v>74</v>
      </c>
      <c r="D2046">
        <f>_xlfn.LET(_xlpm.steps,SUBSTITUTE(Table13[[#This Row],[Input]],Table13[[#This Row],[Direction]],""),VALUE(IF(LEN(_xlpm.steps)&gt;2,LEFT(_xlpm.steps,LEN(_xlpm.steps)-2),0)))</f>
        <v>0</v>
      </c>
      <c r="E2046">
        <f>_xlfn.LET(_xlpm.dir,Table13[[#This Row],[Direction]],
IF(_xlpm.dir="L",
    IF(G2045-Table13[[#This Row],[Steps]]&lt;0,100+(G2045-Table13[[#This Row],[Steps]]),G2045-Table13[[#This Row],[Steps]]),
))</f>
        <v>78</v>
      </c>
      <c r="F2046">
        <f>_xlfn.LET(_xlpm.dir,Table13[[#This Row],[Direction]],
IF(_xlpm.dir="R",
    IF(G2045+Table13[[#This Row],[Steps]]&gt;99,(G2045+Table13[[#This Row],[Steps]])-100,G2045+Table13[[#This Row],[Steps]]),
))</f>
        <v>0</v>
      </c>
      <c r="G2046">
        <f>IF(Table13[[#This Row],[New Pos L]]&lt;&gt;0,Table13[[#This Row],[New Pos L]],Table13[[#This Row],[New Pos R]])</f>
        <v>78</v>
      </c>
      <c r="H2046">
        <f>IF(AND(Table13[[#This Row],[Direction]]="L",Table13[[#This Row],[Steps]]&gt;G2045,G2045&lt;&gt;0),1,0)</f>
        <v>1</v>
      </c>
      <c r="I2046">
        <f>IF(AND(Table13[[#This Row],[Direction]]="R",(G2045+Table13[[#This Row],[Steps]])&gt;100),1,0)</f>
        <v>0</v>
      </c>
      <c r="J2046">
        <f>IF(Table13[[#This Row],[POS]]=0,1,0)</f>
        <v>0</v>
      </c>
      <c r="K2046">
        <f>SUM(Table13[[#This Row],[prefix]],Table13[[#This Row],[Past zero L]],Table13[[#This Row],[Past Zero R]],Table13[[#This Row],[Is Zero]])</f>
        <v>1</v>
      </c>
    </row>
    <row r="2047" spans="1:11" ht="16" x14ac:dyDescent="0.2">
      <c r="A2047" s="1" t="s">
        <v>187</v>
      </c>
      <c r="B2047" t="str">
        <f>LEFT(Table13[[#This Row],[Input]],1)</f>
        <v>R</v>
      </c>
      <c r="C2047">
        <f>_xlfn.LET(_xlpm.steps,SUBSTITUTE(Table13[[#This Row],[Input]],Table13[[#This Row],[Direction]],""),VALUE(IF(LEN(_xlpm.steps)&gt;2,RIGHT(_xlpm.steps,2),_xlpm.steps)))</f>
        <v>20</v>
      </c>
      <c r="D2047">
        <f>_xlfn.LET(_xlpm.steps,SUBSTITUTE(Table13[[#This Row],[Input]],Table13[[#This Row],[Direction]],""),VALUE(IF(LEN(_xlpm.steps)&gt;2,LEFT(_xlpm.steps,LEN(_xlpm.steps)-2),0)))</f>
        <v>0</v>
      </c>
      <c r="E2047">
        <f>_xlfn.LET(_xlpm.dir,Table13[[#This Row],[Direction]],
IF(_xlpm.dir="L",
    IF(G2046-Table13[[#This Row],[Steps]]&lt;0,100+(G2046-Table13[[#This Row],[Steps]]),G2046-Table13[[#This Row],[Steps]]),
))</f>
        <v>0</v>
      </c>
      <c r="F2047">
        <f>_xlfn.LET(_xlpm.dir,Table13[[#This Row],[Direction]],
IF(_xlpm.dir="R",
    IF(G2046+Table13[[#This Row],[Steps]]&gt;99,(G2046+Table13[[#This Row],[Steps]])-100,G2046+Table13[[#This Row],[Steps]]),
))</f>
        <v>98</v>
      </c>
      <c r="G2047">
        <f>IF(Table13[[#This Row],[New Pos L]]&lt;&gt;0,Table13[[#This Row],[New Pos L]],Table13[[#This Row],[New Pos R]])</f>
        <v>98</v>
      </c>
      <c r="H2047">
        <f>IF(AND(Table13[[#This Row],[Direction]]="L",Table13[[#This Row],[Steps]]&gt;G2046,G2046&lt;&gt;0),1,0)</f>
        <v>0</v>
      </c>
      <c r="I2047">
        <f>IF(AND(Table13[[#This Row],[Direction]]="R",(G2046+Table13[[#This Row],[Steps]])&gt;100),1,0)</f>
        <v>0</v>
      </c>
      <c r="J2047">
        <f>IF(Table13[[#This Row],[POS]]=0,1,0)</f>
        <v>0</v>
      </c>
      <c r="K2047">
        <f>SUM(Table13[[#This Row],[prefix]],Table13[[#This Row],[Past zero L]],Table13[[#This Row],[Past Zero R]],Table13[[#This Row],[Is Zero]])</f>
        <v>0</v>
      </c>
    </row>
    <row r="2048" spans="1:11" ht="16" x14ac:dyDescent="0.2">
      <c r="A2048" s="1" t="s">
        <v>278</v>
      </c>
      <c r="B2048" t="str">
        <f>LEFT(Table13[[#This Row],[Input]],1)</f>
        <v>L</v>
      </c>
      <c r="C2048">
        <f>_xlfn.LET(_xlpm.steps,SUBSTITUTE(Table13[[#This Row],[Input]],Table13[[#This Row],[Direction]],""),VALUE(IF(LEN(_xlpm.steps)&gt;2,RIGHT(_xlpm.steps,2),_xlpm.steps)))</f>
        <v>40</v>
      </c>
      <c r="D2048">
        <f>_xlfn.LET(_xlpm.steps,SUBSTITUTE(Table13[[#This Row],[Input]],Table13[[#This Row],[Direction]],""),VALUE(IF(LEN(_xlpm.steps)&gt;2,LEFT(_xlpm.steps,LEN(_xlpm.steps)-2),0)))</f>
        <v>0</v>
      </c>
      <c r="E2048">
        <f>_xlfn.LET(_xlpm.dir,Table13[[#This Row],[Direction]],
IF(_xlpm.dir="L",
    IF(G2047-Table13[[#This Row],[Steps]]&lt;0,100+(G2047-Table13[[#This Row],[Steps]]),G2047-Table13[[#This Row],[Steps]]),
))</f>
        <v>58</v>
      </c>
      <c r="F2048">
        <f>_xlfn.LET(_xlpm.dir,Table13[[#This Row],[Direction]],
IF(_xlpm.dir="R",
    IF(G2047+Table13[[#This Row],[Steps]]&gt;99,(G2047+Table13[[#This Row],[Steps]])-100,G2047+Table13[[#This Row],[Steps]]),
))</f>
        <v>0</v>
      </c>
      <c r="G2048">
        <f>IF(Table13[[#This Row],[New Pos L]]&lt;&gt;0,Table13[[#This Row],[New Pos L]],Table13[[#This Row],[New Pos R]])</f>
        <v>58</v>
      </c>
      <c r="H2048">
        <f>IF(AND(Table13[[#This Row],[Direction]]="L",Table13[[#This Row],[Steps]]&gt;G2047,G2047&lt;&gt;0),1,0)</f>
        <v>0</v>
      </c>
      <c r="I2048">
        <f>IF(AND(Table13[[#This Row],[Direction]]="R",(G2047+Table13[[#This Row],[Steps]])&gt;100),1,0)</f>
        <v>0</v>
      </c>
      <c r="J2048">
        <f>IF(Table13[[#This Row],[POS]]=0,1,0)</f>
        <v>0</v>
      </c>
      <c r="K2048">
        <f>SUM(Table13[[#This Row],[prefix]],Table13[[#This Row],[Past zero L]],Table13[[#This Row],[Past Zero R]],Table13[[#This Row],[Is Zero]])</f>
        <v>0</v>
      </c>
    </row>
    <row r="2049" spans="1:11" ht="16" x14ac:dyDescent="0.2">
      <c r="A2049" s="1" t="s">
        <v>116</v>
      </c>
      <c r="B2049" t="str">
        <f>LEFT(Table13[[#This Row],[Input]],1)</f>
        <v>L</v>
      </c>
      <c r="C2049">
        <f>_xlfn.LET(_xlpm.steps,SUBSTITUTE(Table13[[#This Row],[Input]],Table13[[#This Row],[Direction]],""),VALUE(IF(LEN(_xlpm.steps)&gt;2,RIGHT(_xlpm.steps,2),_xlpm.steps)))</f>
        <v>58</v>
      </c>
      <c r="D2049">
        <f>_xlfn.LET(_xlpm.steps,SUBSTITUTE(Table13[[#This Row],[Input]],Table13[[#This Row],[Direction]],""),VALUE(IF(LEN(_xlpm.steps)&gt;2,LEFT(_xlpm.steps,LEN(_xlpm.steps)-2),0)))</f>
        <v>0</v>
      </c>
      <c r="E2049">
        <f>_xlfn.LET(_xlpm.dir,Table13[[#This Row],[Direction]],
IF(_xlpm.dir="L",
    IF(G2048-Table13[[#This Row],[Steps]]&lt;0,100+(G2048-Table13[[#This Row],[Steps]]),G2048-Table13[[#This Row],[Steps]]),
))</f>
        <v>0</v>
      </c>
      <c r="F2049">
        <f>_xlfn.LET(_xlpm.dir,Table13[[#This Row],[Direction]],
IF(_xlpm.dir="R",
    IF(G2048+Table13[[#This Row],[Steps]]&gt;99,(G2048+Table13[[#This Row],[Steps]])-100,G2048+Table13[[#This Row],[Steps]]),
))</f>
        <v>0</v>
      </c>
      <c r="G2049">
        <f>IF(Table13[[#This Row],[New Pos L]]&lt;&gt;0,Table13[[#This Row],[New Pos L]],Table13[[#This Row],[New Pos R]])</f>
        <v>0</v>
      </c>
      <c r="H2049">
        <f>IF(AND(Table13[[#This Row],[Direction]]="L",Table13[[#This Row],[Steps]]&gt;G2048,G2048&lt;&gt;0),1,0)</f>
        <v>0</v>
      </c>
      <c r="I2049">
        <f>IF(AND(Table13[[#This Row],[Direction]]="R",(G2048+Table13[[#This Row],[Steps]])&gt;100),1,0)</f>
        <v>0</v>
      </c>
      <c r="J2049">
        <f>IF(Table13[[#This Row],[POS]]=0,1,0)</f>
        <v>1</v>
      </c>
      <c r="K2049">
        <f>SUM(Table13[[#This Row],[prefix]],Table13[[#This Row],[Past zero L]],Table13[[#This Row],[Past Zero R]],Table13[[#This Row],[Is Zero]])</f>
        <v>1</v>
      </c>
    </row>
    <row r="2050" spans="1:11" ht="16" x14ac:dyDescent="0.2">
      <c r="A2050" s="1" t="s">
        <v>71</v>
      </c>
      <c r="B2050" t="str">
        <f>LEFT(Table13[[#This Row],[Input]],1)</f>
        <v>R</v>
      </c>
      <c r="C2050">
        <f>_xlfn.LET(_xlpm.steps,SUBSTITUTE(Table13[[#This Row],[Input]],Table13[[#This Row],[Direction]],""),VALUE(IF(LEN(_xlpm.steps)&gt;2,RIGHT(_xlpm.steps,2),_xlpm.steps)))</f>
        <v>23</v>
      </c>
      <c r="D2050">
        <f>_xlfn.LET(_xlpm.steps,SUBSTITUTE(Table13[[#This Row],[Input]],Table13[[#This Row],[Direction]],""),VALUE(IF(LEN(_xlpm.steps)&gt;2,LEFT(_xlpm.steps,LEN(_xlpm.steps)-2),0)))</f>
        <v>0</v>
      </c>
      <c r="E2050">
        <f>_xlfn.LET(_xlpm.dir,Table13[[#This Row],[Direction]],
IF(_xlpm.dir="L",
    IF(G2049-Table13[[#This Row],[Steps]]&lt;0,100+(G2049-Table13[[#This Row],[Steps]]),G2049-Table13[[#This Row],[Steps]]),
))</f>
        <v>0</v>
      </c>
      <c r="F2050">
        <f>_xlfn.LET(_xlpm.dir,Table13[[#This Row],[Direction]],
IF(_xlpm.dir="R",
    IF(G2049+Table13[[#This Row],[Steps]]&gt;99,(G2049+Table13[[#This Row],[Steps]])-100,G2049+Table13[[#This Row],[Steps]]),
))</f>
        <v>23</v>
      </c>
      <c r="G2050">
        <f>IF(Table13[[#This Row],[New Pos L]]&lt;&gt;0,Table13[[#This Row],[New Pos L]],Table13[[#This Row],[New Pos R]])</f>
        <v>23</v>
      </c>
      <c r="H2050">
        <f>IF(AND(Table13[[#This Row],[Direction]]="L",Table13[[#This Row],[Steps]]&gt;G2049,G2049&lt;&gt;0),1,0)</f>
        <v>0</v>
      </c>
      <c r="I2050">
        <f>IF(AND(Table13[[#This Row],[Direction]]="R",(G2049+Table13[[#This Row],[Steps]])&gt;100),1,0)</f>
        <v>0</v>
      </c>
      <c r="J2050">
        <f>IF(Table13[[#This Row],[POS]]=0,1,0)</f>
        <v>0</v>
      </c>
      <c r="K2050">
        <f>SUM(Table13[[#This Row],[prefix]],Table13[[#This Row],[Past zero L]],Table13[[#This Row],[Past Zero R]],Table13[[#This Row],[Is Zero]])</f>
        <v>0</v>
      </c>
    </row>
    <row r="2051" spans="1:11" ht="16" x14ac:dyDescent="0.2">
      <c r="A2051" s="1" t="s">
        <v>120</v>
      </c>
      <c r="B2051" t="str">
        <f>LEFT(Table13[[#This Row],[Input]],1)</f>
        <v>L</v>
      </c>
      <c r="C2051">
        <f>_xlfn.LET(_xlpm.steps,SUBSTITUTE(Table13[[#This Row],[Input]],Table13[[#This Row],[Direction]],""),VALUE(IF(LEN(_xlpm.steps)&gt;2,RIGHT(_xlpm.steps,2),_xlpm.steps)))</f>
        <v>23</v>
      </c>
      <c r="D2051">
        <f>_xlfn.LET(_xlpm.steps,SUBSTITUTE(Table13[[#This Row],[Input]],Table13[[#This Row],[Direction]],""),VALUE(IF(LEN(_xlpm.steps)&gt;2,LEFT(_xlpm.steps,LEN(_xlpm.steps)-2),0)))</f>
        <v>0</v>
      </c>
      <c r="E2051">
        <f>_xlfn.LET(_xlpm.dir,Table13[[#This Row],[Direction]],
IF(_xlpm.dir="L",
    IF(G2050-Table13[[#This Row],[Steps]]&lt;0,100+(G2050-Table13[[#This Row],[Steps]]),G2050-Table13[[#This Row],[Steps]]),
))</f>
        <v>0</v>
      </c>
      <c r="F2051">
        <f>_xlfn.LET(_xlpm.dir,Table13[[#This Row],[Direction]],
IF(_xlpm.dir="R",
    IF(G2050+Table13[[#This Row],[Steps]]&gt;99,(G2050+Table13[[#This Row],[Steps]])-100,G2050+Table13[[#This Row],[Steps]]),
))</f>
        <v>0</v>
      </c>
      <c r="G2051">
        <f>IF(Table13[[#This Row],[New Pos L]]&lt;&gt;0,Table13[[#This Row],[New Pos L]],Table13[[#This Row],[New Pos R]])</f>
        <v>0</v>
      </c>
      <c r="H2051">
        <f>IF(AND(Table13[[#This Row],[Direction]]="L",Table13[[#This Row],[Steps]]&gt;G2050,G2050&lt;&gt;0),1,0)</f>
        <v>0</v>
      </c>
      <c r="I2051">
        <f>IF(AND(Table13[[#This Row],[Direction]]="R",(G2050+Table13[[#This Row],[Steps]])&gt;100),1,0)</f>
        <v>0</v>
      </c>
      <c r="J2051">
        <f>IF(Table13[[#This Row],[POS]]=0,1,0)</f>
        <v>1</v>
      </c>
      <c r="K2051">
        <f>SUM(Table13[[#This Row],[prefix]],Table13[[#This Row],[Past zero L]],Table13[[#This Row],[Past Zero R]],Table13[[#This Row],[Is Zero]])</f>
        <v>1</v>
      </c>
    </row>
    <row r="2052" spans="1:11" ht="16" x14ac:dyDescent="0.2">
      <c r="A2052" s="1" t="s">
        <v>110</v>
      </c>
      <c r="B2052" t="str">
        <f>LEFT(Table13[[#This Row],[Input]],1)</f>
        <v>L</v>
      </c>
      <c r="C2052">
        <f>_xlfn.LET(_xlpm.steps,SUBSTITUTE(Table13[[#This Row],[Input]],Table13[[#This Row],[Direction]],""),VALUE(IF(LEN(_xlpm.steps)&gt;2,RIGHT(_xlpm.steps,2),_xlpm.steps)))</f>
        <v>81</v>
      </c>
      <c r="D2052">
        <f>_xlfn.LET(_xlpm.steps,SUBSTITUTE(Table13[[#This Row],[Input]],Table13[[#This Row],[Direction]],""),VALUE(IF(LEN(_xlpm.steps)&gt;2,LEFT(_xlpm.steps,LEN(_xlpm.steps)-2),0)))</f>
        <v>0</v>
      </c>
      <c r="E2052">
        <f>_xlfn.LET(_xlpm.dir,Table13[[#This Row],[Direction]],
IF(_xlpm.dir="L",
    IF(G2051-Table13[[#This Row],[Steps]]&lt;0,100+(G2051-Table13[[#This Row],[Steps]]),G2051-Table13[[#This Row],[Steps]]),
))</f>
        <v>19</v>
      </c>
      <c r="F2052">
        <f>_xlfn.LET(_xlpm.dir,Table13[[#This Row],[Direction]],
IF(_xlpm.dir="R",
    IF(G2051+Table13[[#This Row],[Steps]]&gt;99,(G2051+Table13[[#This Row],[Steps]])-100,G2051+Table13[[#This Row],[Steps]]),
))</f>
        <v>0</v>
      </c>
      <c r="G2052">
        <f>IF(Table13[[#This Row],[New Pos L]]&lt;&gt;0,Table13[[#This Row],[New Pos L]],Table13[[#This Row],[New Pos R]])</f>
        <v>19</v>
      </c>
      <c r="H2052">
        <f>IF(AND(Table13[[#This Row],[Direction]]="L",Table13[[#This Row],[Steps]]&gt;G2051,G2051&lt;&gt;0),1,0)</f>
        <v>0</v>
      </c>
      <c r="I2052">
        <f>IF(AND(Table13[[#This Row],[Direction]]="R",(G2051+Table13[[#This Row],[Steps]])&gt;100),1,0)</f>
        <v>0</v>
      </c>
      <c r="J2052">
        <f>IF(Table13[[#This Row],[POS]]=0,1,0)</f>
        <v>0</v>
      </c>
      <c r="K2052">
        <f>SUM(Table13[[#This Row],[prefix]],Table13[[#This Row],[Past zero L]],Table13[[#This Row],[Past Zero R]],Table13[[#This Row],[Is Zero]])</f>
        <v>0</v>
      </c>
    </row>
    <row r="2053" spans="1:11" ht="16" x14ac:dyDescent="0.2">
      <c r="A2053" s="1" t="s">
        <v>187</v>
      </c>
      <c r="B2053" t="str">
        <f>LEFT(Table13[[#This Row],[Input]],1)</f>
        <v>R</v>
      </c>
      <c r="C2053">
        <f>_xlfn.LET(_xlpm.steps,SUBSTITUTE(Table13[[#This Row],[Input]],Table13[[#This Row],[Direction]],""),VALUE(IF(LEN(_xlpm.steps)&gt;2,RIGHT(_xlpm.steps,2),_xlpm.steps)))</f>
        <v>20</v>
      </c>
      <c r="D2053">
        <f>_xlfn.LET(_xlpm.steps,SUBSTITUTE(Table13[[#This Row],[Input]],Table13[[#This Row],[Direction]],""),VALUE(IF(LEN(_xlpm.steps)&gt;2,LEFT(_xlpm.steps,LEN(_xlpm.steps)-2),0)))</f>
        <v>0</v>
      </c>
      <c r="E2053">
        <f>_xlfn.LET(_xlpm.dir,Table13[[#This Row],[Direction]],
IF(_xlpm.dir="L",
    IF(G2052-Table13[[#This Row],[Steps]]&lt;0,100+(G2052-Table13[[#This Row],[Steps]]),G2052-Table13[[#This Row],[Steps]]),
))</f>
        <v>0</v>
      </c>
      <c r="F2053">
        <f>_xlfn.LET(_xlpm.dir,Table13[[#This Row],[Direction]],
IF(_xlpm.dir="R",
    IF(G2052+Table13[[#This Row],[Steps]]&gt;99,(G2052+Table13[[#This Row],[Steps]])-100,G2052+Table13[[#This Row],[Steps]]),
))</f>
        <v>39</v>
      </c>
      <c r="G2053">
        <f>IF(Table13[[#This Row],[New Pos L]]&lt;&gt;0,Table13[[#This Row],[New Pos L]],Table13[[#This Row],[New Pos R]])</f>
        <v>39</v>
      </c>
      <c r="H2053">
        <f>IF(AND(Table13[[#This Row],[Direction]]="L",Table13[[#This Row],[Steps]]&gt;G2052,G2052&lt;&gt;0),1,0)</f>
        <v>0</v>
      </c>
      <c r="I2053">
        <f>IF(AND(Table13[[#This Row],[Direction]]="R",(G2052+Table13[[#This Row],[Steps]])&gt;100),1,0)</f>
        <v>0</v>
      </c>
      <c r="J2053">
        <f>IF(Table13[[#This Row],[POS]]=0,1,0)</f>
        <v>0</v>
      </c>
      <c r="K2053">
        <f>SUM(Table13[[#This Row],[prefix]],Table13[[#This Row],[Past zero L]],Table13[[#This Row],[Past Zero R]],Table13[[#This Row],[Is Zero]])</f>
        <v>0</v>
      </c>
    </row>
    <row r="2054" spans="1:11" ht="16" x14ac:dyDescent="0.2">
      <c r="A2054" s="1" t="s">
        <v>73</v>
      </c>
      <c r="B2054" t="str">
        <f>LEFT(Table13[[#This Row],[Input]],1)</f>
        <v>R</v>
      </c>
      <c r="C2054">
        <f>_xlfn.LET(_xlpm.steps,SUBSTITUTE(Table13[[#This Row],[Input]],Table13[[#This Row],[Direction]],""),VALUE(IF(LEN(_xlpm.steps)&gt;2,RIGHT(_xlpm.steps,2),_xlpm.steps)))</f>
        <v>21</v>
      </c>
      <c r="D2054">
        <f>_xlfn.LET(_xlpm.steps,SUBSTITUTE(Table13[[#This Row],[Input]],Table13[[#This Row],[Direction]],""),VALUE(IF(LEN(_xlpm.steps)&gt;2,LEFT(_xlpm.steps,LEN(_xlpm.steps)-2),0)))</f>
        <v>0</v>
      </c>
      <c r="E2054">
        <f>_xlfn.LET(_xlpm.dir,Table13[[#This Row],[Direction]],
IF(_xlpm.dir="L",
    IF(G2053-Table13[[#This Row],[Steps]]&lt;0,100+(G2053-Table13[[#This Row],[Steps]]),G2053-Table13[[#This Row],[Steps]]),
))</f>
        <v>0</v>
      </c>
      <c r="F2054">
        <f>_xlfn.LET(_xlpm.dir,Table13[[#This Row],[Direction]],
IF(_xlpm.dir="R",
    IF(G2053+Table13[[#This Row],[Steps]]&gt;99,(G2053+Table13[[#This Row],[Steps]])-100,G2053+Table13[[#This Row],[Steps]]),
))</f>
        <v>60</v>
      </c>
      <c r="G2054">
        <f>IF(Table13[[#This Row],[New Pos L]]&lt;&gt;0,Table13[[#This Row],[New Pos L]],Table13[[#This Row],[New Pos R]])</f>
        <v>60</v>
      </c>
      <c r="H2054">
        <f>IF(AND(Table13[[#This Row],[Direction]]="L",Table13[[#This Row],[Steps]]&gt;G2053,G2053&lt;&gt;0),1,0)</f>
        <v>0</v>
      </c>
      <c r="I2054">
        <f>IF(AND(Table13[[#This Row],[Direction]]="R",(G2053+Table13[[#This Row],[Steps]])&gt;100),1,0)</f>
        <v>0</v>
      </c>
      <c r="J2054">
        <f>IF(Table13[[#This Row],[POS]]=0,1,0)</f>
        <v>0</v>
      </c>
      <c r="K2054">
        <f>SUM(Table13[[#This Row],[prefix]],Table13[[#This Row],[Past zero L]],Table13[[#This Row],[Past Zero R]],Table13[[#This Row],[Is Zero]])</f>
        <v>0</v>
      </c>
    </row>
    <row r="2055" spans="1:11" ht="16" x14ac:dyDescent="0.2">
      <c r="A2055" s="1" t="s">
        <v>195</v>
      </c>
      <c r="B2055" t="str">
        <f>LEFT(Table13[[#This Row],[Input]],1)</f>
        <v>R</v>
      </c>
      <c r="C2055">
        <f>_xlfn.LET(_xlpm.steps,SUBSTITUTE(Table13[[#This Row],[Input]],Table13[[#This Row],[Direction]],""),VALUE(IF(LEN(_xlpm.steps)&gt;2,RIGHT(_xlpm.steps,2),_xlpm.steps)))</f>
        <v>40</v>
      </c>
      <c r="D2055">
        <f>_xlfn.LET(_xlpm.steps,SUBSTITUTE(Table13[[#This Row],[Input]],Table13[[#This Row],[Direction]],""),VALUE(IF(LEN(_xlpm.steps)&gt;2,LEFT(_xlpm.steps,LEN(_xlpm.steps)-2),0)))</f>
        <v>0</v>
      </c>
      <c r="E2055">
        <f>_xlfn.LET(_xlpm.dir,Table13[[#This Row],[Direction]],
IF(_xlpm.dir="L",
    IF(G2054-Table13[[#This Row],[Steps]]&lt;0,100+(G2054-Table13[[#This Row],[Steps]]),G2054-Table13[[#This Row],[Steps]]),
))</f>
        <v>0</v>
      </c>
      <c r="F2055">
        <f>_xlfn.LET(_xlpm.dir,Table13[[#This Row],[Direction]],
IF(_xlpm.dir="R",
    IF(G2054+Table13[[#This Row],[Steps]]&gt;99,(G2054+Table13[[#This Row],[Steps]])-100,G2054+Table13[[#This Row],[Steps]]),
))</f>
        <v>0</v>
      </c>
      <c r="G2055">
        <f>IF(Table13[[#This Row],[New Pos L]]&lt;&gt;0,Table13[[#This Row],[New Pos L]],Table13[[#This Row],[New Pos R]])</f>
        <v>0</v>
      </c>
      <c r="H2055">
        <f>IF(AND(Table13[[#This Row],[Direction]]="L",Table13[[#This Row],[Steps]]&gt;G2054,G2054&lt;&gt;0),1,0)</f>
        <v>0</v>
      </c>
      <c r="I2055">
        <f>IF(AND(Table13[[#This Row],[Direction]]="R",(G2054+Table13[[#This Row],[Steps]])&gt;100),1,0)</f>
        <v>0</v>
      </c>
      <c r="J2055">
        <f>IF(Table13[[#This Row],[POS]]=0,1,0)</f>
        <v>1</v>
      </c>
      <c r="K2055">
        <f>SUM(Table13[[#This Row],[prefix]],Table13[[#This Row],[Past zero L]],Table13[[#This Row],[Past Zero R]],Table13[[#This Row],[Is Zero]])</f>
        <v>1</v>
      </c>
    </row>
    <row r="2056" spans="1:11" ht="16" x14ac:dyDescent="0.2">
      <c r="A2056" s="1" t="s">
        <v>554</v>
      </c>
      <c r="B2056" t="str">
        <f>LEFT(Table13[[#This Row],[Input]],1)</f>
        <v>L</v>
      </c>
      <c r="C2056">
        <f>_xlfn.LET(_xlpm.steps,SUBSTITUTE(Table13[[#This Row],[Input]],Table13[[#This Row],[Direction]],""),VALUE(IF(LEN(_xlpm.steps)&gt;2,RIGHT(_xlpm.steps,2),_xlpm.steps)))</f>
        <v>24</v>
      </c>
      <c r="D2056">
        <f>_xlfn.LET(_xlpm.steps,SUBSTITUTE(Table13[[#This Row],[Input]],Table13[[#This Row],[Direction]],""),VALUE(IF(LEN(_xlpm.steps)&gt;2,LEFT(_xlpm.steps,LEN(_xlpm.steps)-2),0)))</f>
        <v>8</v>
      </c>
      <c r="E2056">
        <f>_xlfn.LET(_xlpm.dir,Table13[[#This Row],[Direction]],
IF(_xlpm.dir="L",
    IF(G2055-Table13[[#This Row],[Steps]]&lt;0,100+(G2055-Table13[[#This Row],[Steps]]),G2055-Table13[[#This Row],[Steps]]),
))</f>
        <v>76</v>
      </c>
      <c r="F2056">
        <f>_xlfn.LET(_xlpm.dir,Table13[[#This Row],[Direction]],
IF(_xlpm.dir="R",
    IF(G2055+Table13[[#This Row],[Steps]]&gt;99,(G2055+Table13[[#This Row],[Steps]])-100,G2055+Table13[[#This Row],[Steps]]),
))</f>
        <v>0</v>
      </c>
      <c r="G2056">
        <f>IF(Table13[[#This Row],[New Pos L]]&lt;&gt;0,Table13[[#This Row],[New Pos L]],Table13[[#This Row],[New Pos R]])</f>
        <v>76</v>
      </c>
      <c r="H2056">
        <f>IF(AND(Table13[[#This Row],[Direction]]="L",Table13[[#This Row],[Steps]]&gt;G2055,G2055&lt;&gt;0),1,0)</f>
        <v>0</v>
      </c>
      <c r="I2056">
        <f>IF(AND(Table13[[#This Row],[Direction]]="R",(G2055+Table13[[#This Row],[Steps]])&gt;100),1,0)</f>
        <v>0</v>
      </c>
      <c r="J2056">
        <f>IF(Table13[[#This Row],[POS]]=0,1,0)</f>
        <v>0</v>
      </c>
      <c r="K2056">
        <f>SUM(Table13[[#This Row],[prefix]],Table13[[#This Row],[Past zero L]],Table13[[#This Row],[Past Zero R]],Table13[[#This Row],[Is Zero]])</f>
        <v>8</v>
      </c>
    </row>
    <row r="2057" spans="1:11" ht="16" x14ac:dyDescent="0.2">
      <c r="A2057" s="1" t="s">
        <v>555</v>
      </c>
      <c r="B2057" t="str">
        <f>LEFT(Table13[[#This Row],[Input]],1)</f>
        <v>L</v>
      </c>
      <c r="C2057">
        <f>_xlfn.LET(_xlpm.steps,SUBSTITUTE(Table13[[#This Row],[Input]],Table13[[#This Row],[Direction]],""),VALUE(IF(LEN(_xlpm.steps)&gt;2,RIGHT(_xlpm.steps,2),_xlpm.steps)))</f>
        <v>76</v>
      </c>
      <c r="D2057">
        <f>_xlfn.LET(_xlpm.steps,SUBSTITUTE(Table13[[#This Row],[Input]],Table13[[#This Row],[Direction]],""),VALUE(IF(LEN(_xlpm.steps)&gt;2,LEFT(_xlpm.steps,LEN(_xlpm.steps)-2),0)))</f>
        <v>7</v>
      </c>
      <c r="E2057">
        <f>_xlfn.LET(_xlpm.dir,Table13[[#This Row],[Direction]],
IF(_xlpm.dir="L",
    IF(G2056-Table13[[#This Row],[Steps]]&lt;0,100+(G2056-Table13[[#This Row],[Steps]]),G2056-Table13[[#This Row],[Steps]]),
))</f>
        <v>0</v>
      </c>
      <c r="F2057">
        <f>_xlfn.LET(_xlpm.dir,Table13[[#This Row],[Direction]],
IF(_xlpm.dir="R",
    IF(G2056+Table13[[#This Row],[Steps]]&gt;99,(G2056+Table13[[#This Row],[Steps]])-100,G2056+Table13[[#This Row],[Steps]]),
))</f>
        <v>0</v>
      </c>
      <c r="G2057">
        <f>IF(Table13[[#This Row],[New Pos L]]&lt;&gt;0,Table13[[#This Row],[New Pos L]],Table13[[#This Row],[New Pos R]])</f>
        <v>0</v>
      </c>
      <c r="H2057">
        <f>IF(AND(Table13[[#This Row],[Direction]]="L",Table13[[#This Row],[Steps]]&gt;G2056,G2056&lt;&gt;0),1,0)</f>
        <v>0</v>
      </c>
      <c r="I2057">
        <f>IF(AND(Table13[[#This Row],[Direction]]="R",(G2056+Table13[[#This Row],[Steps]])&gt;100),1,0)</f>
        <v>0</v>
      </c>
      <c r="J2057">
        <f>IF(Table13[[#This Row],[POS]]=0,1,0)</f>
        <v>1</v>
      </c>
      <c r="K2057">
        <f>SUM(Table13[[#This Row],[prefix]],Table13[[#This Row],[Past zero L]],Table13[[#This Row],[Past Zero R]],Table13[[#This Row],[Is Zero]])</f>
        <v>8</v>
      </c>
    </row>
    <row r="2058" spans="1:11" ht="16" x14ac:dyDescent="0.2">
      <c r="A2058" s="1" t="s">
        <v>254</v>
      </c>
      <c r="B2058" t="str">
        <f>LEFT(Table13[[#This Row],[Input]],1)</f>
        <v>R</v>
      </c>
      <c r="C2058">
        <f>_xlfn.LET(_xlpm.steps,SUBSTITUTE(Table13[[#This Row],[Input]],Table13[[#This Row],[Direction]],""),VALUE(IF(LEN(_xlpm.steps)&gt;2,RIGHT(_xlpm.steps,2),_xlpm.steps)))</f>
        <v>84</v>
      </c>
      <c r="D2058">
        <f>_xlfn.LET(_xlpm.steps,SUBSTITUTE(Table13[[#This Row],[Input]],Table13[[#This Row],[Direction]],""),VALUE(IF(LEN(_xlpm.steps)&gt;2,LEFT(_xlpm.steps,LEN(_xlpm.steps)-2),0)))</f>
        <v>0</v>
      </c>
      <c r="E2058">
        <f>_xlfn.LET(_xlpm.dir,Table13[[#This Row],[Direction]],
IF(_xlpm.dir="L",
    IF(G2057-Table13[[#This Row],[Steps]]&lt;0,100+(G2057-Table13[[#This Row],[Steps]]),G2057-Table13[[#This Row],[Steps]]),
))</f>
        <v>0</v>
      </c>
      <c r="F2058">
        <f>_xlfn.LET(_xlpm.dir,Table13[[#This Row],[Direction]],
IF(_xlpm.dir="R",
    IF(G2057+Table13[[#This Row],[Steps]]&gt;99,(G2057+Table13[[#This Row],[Steps]])-100,G2057+Table13[[#This Row],[Steps]]),
))</f>
        <v>84</v>
      </c>
      <c r="G2058">
        <f>IF(Table13[[#This Row],[New Pos L]]&lt;&gt;0,Table13[[#This Row],[New Pos L]],Table13[[#This Row],[New Pos R]])</f>
        <v>84</v>
      </c>
      <c r="H2058">
        <f>IF(AND(Table13[[#This Row],[Direction]]="L",Table13[[#This Row],[Steps]]&gt;G2057,G2057&lt;&gt;0),1,0)</f>
        <v>0</v>
      </c>
      <c r="I2058">
        <f>IF(AND(Table13[[#This Row],[Direction]]="R",(G2057+Table13[[#This Row],[Steps]])&gt;100),1,0)</f>
        <v>0</v>
      </c>
      <c r="J2058">
        <f>IF(Table13[[#This Row],[POS]]=0,1,0)</f>
        <v>0</v>
      </c>
      <c r="K2058">
        <f>SUM(Table13[[#This Row],[prefix]],Table13[[#This Row],[Past zero L]],Table13[[#This Row],[Past Zero R]],Table13[[#This Row],[Is Zero]])</f>
        <v>0</v>
      </c>
    </row>
    <row r="2059" spans="1:11" ht="16" x14ac:dyDescent="0.2">
      <c r="A2059" s="1" t="s">
        <v>129</v>
      </c>
      <c r="B2059" t="str">
        <f>LEFT(Table13[[#This Row],[Input]],1)</f>
        <v>R</v>
      </c>
      <c r="C2059">
        <f>_xlfn.LET(_xlpm.steps,SUBSTITUTE(Table13[[#This Row],[Input]],Table13[[#This Row],[Direction]],""),VALUE(IF(LEN(_xlpm.steps)&gt;2,RIGHT(_xlpm.steps,2),_xlpm.steps)))</f>
        <v>8</v>
      </c>
      <c r="D2059">
        <f>_xlfn.LET(_xlpm.steps,SUBSTITUTE(Table13[[#This Row],[Input]],Table13[[#This Row],[Direction]],""),VALUE(IF(LEN(_xlpm.steps)&gt;2,LEFT(_xlpm.steps,LEN(_xlpm.steps)-2),0)))</f>
        <v>0</v>
      </c>
      <c r="E2059">
        <f>_xlfn.LET(_xlpm.dir,Table13[[#This Row],[Direction]],
IF(_xlpm.dir="L",
    IF(G2058-Table13[[#This Row],[Steps]]&lt;0,100+(G2058-Table13[[#This Row],[Steps]]),G2058-Table13[[#This Row],[Steps]]),
))</f>
        <v>0</v>
      </c>
      <c r="F2059">
        <f>_xlfn.LET(_xlpm.dir,Table13[[#This Row],[Direction]],
IF(_xlpm.dir="R",
    IF(G2058+Table13[[#This Row],[Steps]]&gt;99,(G2058+Table13[[#This Row],[Steps]])-100,G2058+Table13[[#This Row],[Steps]]),
))</f>
        <v>92</v>
      </c>
      <c r="G2059">
        <f>IF(Table13[[#This Row],[New Pos L]]&lt;&gt;0,Table13[[#This Row],[New Pos L]],Table13[[#This Row],[New Pos R]])</f>
        <v>92</v>
      </c>
      <c r="H2059">
        <f>IF(AND(Table13[[#This Row],[Direction]]="L",Table13[[#This Row],[Steps]]&gt;G2058,G2058&lt;&gt;0),1,0)</f>
        <v>0</v>
      </c>
      <c r="I2059">
        <f>IF(AND(Table13[[#This Row],[Direction]]="R",(G2058+Table13[[#This Row],[Steps]])&gt;100),1,0)</f>
        <v>0</v>
      </c>
      <c r="J2059">
        <f>IF(Table13[[#This Row],[POS]]=0,1,0)</f>
        <v>0</v>
      </c>
      <c r="K2059">
        <f>SUM(Table13[[#This Row],[prefix]],Table13[[#This Row],[Past zero L]],Table13[[#This Row],[Past Zero R]],Table13[[#This Row],[Is Zero]])</f>
        <v>0</v>
      </c>
    </row>
    <row r="2060" spans="1:11" ht="16" x14ac:dyDescent="0.2">
      <c r="A2060" s="1" t="s">
        <v>88</v>
      </c>
      <c r="B2060" t="str">
        <f>LEFT(Table13[[#This Row],[Input]],1)</f>
        <v>R</v>
      </c>
      <c r="C2060">
        <f>_xlfn.LET(_xlpm.steps,SUBSTITUTE(Table13[[#This Row],[Input]],Table13[[#This Row],[Direction]],""),VALUE(IF(LEN(_xlpm.steps)&gt;2,RIGHT(_xlpm.steps,2),_xlpm.steps)))</f>
        <v>53</v>
      </c>
      <c r="D2060">
        <f>_xlfn.LET(_xlpm.steps,SUBSTITUTE(Table13[[#This Row],[Input]],Table13[[#This Row],[Direction]],""),VALUE(IF(LEN(_xlpm.steps)&gt;2,LEFT(_xlpm.steps,LEN(_xlpm.steps)-2),0)))</f>
        <v>0</v>
      </c>
      <c r="E2060">
        <f>_xlfn.LET(_xlpm.dir,Table13[[#This Row],[Direction]],
IF(_xlpm.dir="L",
    IF(G2059-Table13[[#This Row],[Steps]]&lt;0,100+(G2059-Table13[[#This Row],[Steps]]),G2059-Table13[[#This Row],[Steps]]),
))</f>
        <v>0</v>
      </c>
      <c r="F2060">
        <f>_xlfn.LET(_xlpm.dir,Table13[[#This Row],[Direction]],
IF(_xlpm.dir="R",
    IF(G2059+Table13[[#This Row],[Steps]]&gt;99,(G2059+Table13[[#This Row],[Steps]])-100,G2059+Table13[[#This Row],[Steps]]),
))</f>
        <v>45</v>
      </c>
      <c r="G2060">
        <f>IF(Table13[[#This Row],[New Pos L]]&lt;&gt;0,Table13[[#This Row],[New Pos L]],Table13[[#This Row],[New Pos R]])</f>
        <v>45</v>
      </c>
      <c r="H2060">
        <f>IF(AND(Table13[[#This Row],[Direction]]="L",Table13[[#This Row],[Steps]]&gt;G2059,G2059&lt;&gt;0),1,0)</f>
        <v>0</v>
      </c>
      <c r="I2060">
        <f>IF(AND(Table13[[#This Row],[Direction]]="R",(G2059+Table13[[#This Row],[Steps]])&gt;100),1,0)</f>
        <v>1</v>
      </c>
      <c r="J2060">
        <f>IF(Table13[[#This Row],[POS]]=0,1,0)</f>
        <v>0</v>
      </c>
      <c r="K2060">
        <f>SUM(Table13[[#This Row],[prefix]],Table13[[#This Row],[Past zero L]],Table13[[#This Row],[Past Zero R]],Table13[[#This Row],[Is Zero]])</f>
        <v>1</v>
      </c>
    </row>
    <row r="2061" spans="1:11" ht="16" x14ac:dyDescent="0.2">
      <c r="A2061" s="1" t="s">
        <v>556</v>
      </c>
      <c r="B2061" t="str">
        <f>LEFT(Table13[[#This Row],[Input]],1)</f>
        <v>L</v>
      </c>
      <c r="C2061">
        <f>_xlfn.LET(_xlpm.steps,SUBSTITUTE(Table13[[#This Row],[Input]],Table13[[#This Row],[Direction]],""),VALUE(IF(LEN(_xlpm.steps)&gt;2,RIGHT(_xlpm.steps,2),_xlpm.steps)))</f>
        <v>37</v>
      </c>
      <c r="D2061">
        <f>_xlfn.LET(_xlpm.steps,SUBSTITUTE(Table13[[#This Row],[Input]],Table13[[#This Row],[Direction]],""),VALUE(IF(LEN(_xlpm.steps)&gt;2,LEFT(_xlpm.steps,LEN(_xlpm.steps)-2),0)))</f>
        <v>5</v>
      </c>
      <c r="E2061">
        <f>_xlfn.LET(_xlpm.dir,Table13[[#This Row],[Direction]],
IF(_xlpm.dir="L",
    IF(G2060-Table13[[#This Row],[Steps]]&lt;0,100+(G2060-Table13[[#This Row],[Steps]]),G2060-Table13[[#This Row],[Steps]]),
))</f>
        <v>8</v>
      </c>
      <c r="F2061">
        <f>_xlfn.LET(_xlpm.dir,Table13[[#This Row],[Direction]],
IF(_xlpm.dir="R",
    IF(G2060+Table13[[#This Row],[Steps]]&gt;99,(G2060+Table13[[#This Row],[Steps]])-100,G2060+Table13[[#This Row],[Steps]]),
))</f>
        <v>0</v>
      </c>
      <c r="G2061">
        <f>IF(Table13[[#This Row],[New Pos L]]&lt;&gt;0,Table13[[#This Row],[New Pos L]],Table13[[#This Row],[New Pos R]])</f>
        <v>8</v>
      </c>
      <c r="H2061">
        <f>IF(AND(Table13[[#This Row],[Direction]]="L",Table13[[#This Row],[Steps]]&gt;G2060,G2060&lt;&gt;0),1,0)</f>
        <v>0</v>
      </c>
      <c r="I2061">
        <f>IF(AND(Table13[[#This Row],[Direction]]="R",(G2060+Table13[[#This Row],[Steps]])&gt;100),1,0)</f>
        <v>0</v>
      </c>
      <c r="J2061">
        <f>IF(Table13[[#This Row],[POS]]=0,1,0)</f>
        <v>0</v>
      </c>
      <c r="K2061">
        <f>SUM(Table13[[#This Row],[prefix]],Table13[[#This Row],[Past zero L]],Table13[[#This Row],[Past Zero R]],Table13[[#This Row],[Is Zero]])</f>
        <v>5</v>
      </c>
    </row>
    <row r="2062" spans="1:11" ht="16" x14ac:dyDescent="0.2">
      <c r="A2062" s="1" t="s">
        <v>68</v>
      </c>
      <c r="B2062" t="str">
        <f>LEFT(Table13[[#This Row],[Input]],1)</f>
        <v>L</v>
      </c>
      <c r="C2062">
        <f>_xlfn.LET(_xlpm.steps,SUBSTITUTE(Table13[[#This Row],[Input]],Table13[[#This Row],[Direction]],""),VALUE(IF(LEN(_xlpm.steps)&gt;2,RIGHT(_xlpm.steps,2),_xlpm.steps)))</f>
        <v>80</v>
      </c>
      <c r="D2062">
        <f>_xlfn.LET(_xlpm.steps,SUBSTITUTE(Table13[[#This Row],[Input]],Table13[[#This Row],[Direction]],""),VALUE(IF(LEN(_xlpm.steps)&gt;2,LEFT(_xlpm.steps,LEN(_xlpm.steps)-2),0)))</f>
        <v>0</v>
      </c>
      <c r="E2062">
        <f>_xlfn.LET(_xlpm.dir,Table13[[#This Row],[Direction]],
IF(_xlpm.dir="L",
    IF(G2061-Table13[[#This Row],[Steps]]&lt;0,100+(G2061-Table13[[#This Row],[Steps]]),G2061-Table13[[#This Row],[Steps]]),
))</f>
        <v>28</v>
      </c>
      <c r="F2062">
        <f>_xlfn.LET(_xlpm.dir,Table13[[#This Row],[Direction]],
IF(_xlpm.dir="R",
    IF(G2061+Table13[[#This Row],[Steps]]&gt;99,(G2061+Table13[[#This Row],[Steps]])-100,G2061+Table13[[#This Row],[Steps]]),
))</f>
        <v>0</v>
      </c>
      <c r="G2062">
        <f>IF(Table13[[#This Row],[New Pos L]]&lt;&gt;0,Table13[[#This Row],[New Pos L]],Table13[[#This Row],[New Pos R]])</f>
        <v>28</v>
      </c>
      <c r="H2062">
        <f>IF(AND(Table13[[#This Row],[Direction]]="L",Table13[[#This Row],[Steps]]&gt;G2061,G2061&lt;&gt;0),1,0)</f>
        <v>1</v>
      </c>
      <c r="I2062">
        <f>IF(AND(Table13[[#This Row],[Direction]]="R",(G2061+Table13[[#This Row],[Steps]])&gt;100),1,0)</f>
        <v>0</v>
      </c>
      <c r="J2062">
        <f>IF(Table13[[#This Row],[POS]]=0,1,0)</f>
        <v>0</v>
      </c>
      <c r="K2062">
        <f>SUM(Table13[[#This Row],[prefix]],Table13[[#This Row],[Past zero L]],Table13[[#This Row],[Past Zero R]],Table13[[#This Row],[Is Zero]])</f>
        <v>1</v>
      </c>
    </row>
    <row r="2063" spans="1:11" ht="16" x14ac:dyDescent="0.2">
      <c r="A2063" s="1" t="s">
        <v>32</v>
      </c>
      <c r="B2063" t="str">
        <f>LEFT(Table13[[#This Row],[Input]],1)</f>
        <v>L</v>
      </c>
      <c r="C2063">
        <f>_xlfn.LET(_xlpm.steps,SUBSTITUTE(Table13[[#This Row],[Input]],Table13[[#This Row],[Direction]],""),VALUE(IF(LEN(_xlpm.steps)&gt;2,RIGHT(_xlpm.steps,2),_xlpm.steps)))</f>
        <v>28</v>
      </c>
      <c r="D2063">
        <f>_xlfn.LET(_xlpm.steps,SUBSTITUTE(Table13[[#This Row],[Input]],Table13[[#This Row],[Direction]],""),VALUE(IF(LEN(_xlpm.steps)&gt;2,LEFT(_xlpm.steps,LEN(_xlpm.steps)-2),0)))</f>
        <v>0</v>
      </c>
      <c r="E2063">
        <f>_xlfn.LET(_xlpm.dir,Table13[[#This Row],[Direction]],
IF(_xlpm.dir="L",
    IF(G2062-Table13[[#This Row],[Steps]]&lt;0,100+(G2062-Table13[[#This Row],[Steps]]),G2062-Table13[[#This Row],[Steps]]),
))</f>
        <v>0</v>
      </c>
      <c r="F2063">
        <f>_xlfn.LET(_xlpm.dir,Table13[[#This Row],[Direction]],
IF(_xlpm.dir="R",
    IF(G2062+Table13[[#This Row],[Steps]]&gt;99,(G2062+Table13[[#This Row],[Steps]])-100,G2062+Table13[[#This Row],[Steps]]),
))</f>
        <v>0</v>
      </c>
      <c r="G2063">
        <f>IF(Table13[[#This Row],[New Pos L]]&lt;&gt;0,Table13[[#This Row],[New Pos L]],Table13[[#This Row],[New Pos R]])</f>
        <v>0</v>
      </c>
      <c r="H2063">
        <f>IF(AND(Table13[[#This Row],[Direction]]="L",Table13[[#This Row],[Steps]]&gt;G2062,G2062&lt;&gt;0),1,0)</f>
        <v>0</v>
      </c>
      <c r="I2063">
        <f>IF(AND(Table13[[#This Row],[Direction]]="R",(G2062+Table13[[#This Row],[Steps]])&gt;100),1,0)</f>
        <v>0</v>
      </c>
      <c r="J2063">
        <f>IF(Table13[[#This Row],[POS]]=0,1,0)</f>
        <v>1</v>
      </c>
      <c r="K2063">
        <f>SUM(Table13[[#This Row],[prefix]],Table13[[#This Row],[Past zero L]],Table13[[#This Row],[Past Zero R]],Table13[[#This Row],[Is Zero]])</f>
        <v>1</v>
      </c>
    </row>
    <row r="2064" spans="1:11" ht="16" x14ac:dyDescent="0.2">
      <c r="A2064" s="1" t="s">
        <v>336</v>
      </c>
      <c r="B2064" t="str">
        <f>LEFT(Table13[[#This Row],[Input]],1)</f>
        <v>R</v>
      </c>
      <c r="C2064">
        <f>_xlfn.LET(_xlpm.steps,SUBSTITUTE(Table13[[#This Row],[Input]],Table13[[#This Row],[Direction]],""),VALUE(IF(LEN(_xlpm.steps)&gt;2,RIGHT(_xlpm.steps,2),_xlpm.steps)))</f>
        <v>95</v>
      </c>
      <c r="D2064">
        <f>_xlfn.LET(_xlpm.steps,SUBSTITUTE(Table13[[#This Row],[Input]],Table13[[#This Row],[Direction]],""),VALUE(IF(LEN(_xlpm.steps)&gt;2,LEFT(_xlpm.steps,LEN(_xlpm.steps)-2),0)))</f>
        <v>0</v>
      </c>
      <c r="E2064">
        <f>_xlfn.LET(_xlpm.dir,Table13[[#This Row],[Direction]],
IF(_xlpm.dir="L",
    IF(G2063-Table13[[#This Row],[Steps]]&lt;0,100+(G2063-Table13[[#This Row],[Steps]]),G2063-Table13[[#This Row],[Steps]]),
))</f>
        <v>0</v>
      </c>
      <c r="F2064">
        <f>_xlfn.LET(_xlpm.dir,Table13[[#This Row],[Direction]],
IF(_xlpm.dir="R",
    IF(G2063+Table13[[#This Row],[Steps]]&gt;99,(G2063+Table13[[#This Row],[Steps]])-100,G2063+Table13[[#This Row],[Steps]]),
))</f>
        <v>95</v>
      </c>
      <c r="G2064">
        <f>IF(Table13[[#This Row],[New Pos L]]&lt;&gt;0,Table13[[#This Row],[New Pos L]],Table13[[#This Row],[New Pos R]])</f>
        <v>95</v>
      </c>
      <c r="H2064">
        <f>IF(AND(Table13[[#This Row],[Direction]]="L",Table13[[#This Row],[Steps]]&gt;G2063,G2063&lt;&gt;0),1,0)</f>
        <v>0</v>
      </c>
      <c r="I2064">
        <f>IF(AND(Table13[[#This Row],[Direction]]="R",(G2063+Table13[[#This Row],[Steps]])&gt;100),1,0)</f>
        <v>0</v>
      </c>
      <c r="J2064">
        <f>IF(Table13[[#This Row],[POS]]=0,1,0)</f>
        <v>0</v>
      </c>
      <c r="K2064">
        <f>SUM(Table13[[#This Row],[prefix]],Table13[[#This Row],[Past zero L]],Table13[[#This Row],[Past Zero R]],Table13[[#This Row],[Is Zero]])</f>
        <v>0</v>
      </c>
    </row>
    <row r="2065" spans="1:11" ht="16" x14ac:dyDescent="0.2">
      <c r="A2065" s="1" t="s">
        <v>81</v>
      </c>
      <c r="B2065" t="str">
        <f>LEFT(Table13[[#This Row],[Input]],1)</f>
        <v>R</v>
      </c>
      <c r="C2065">
        <f>_xlfn.LET(_xlpm.steps,SUBSTITUTE(Table13[[#This Row],[Input]],Table13[[#This Row],[Direction]],""),VALUE(IF(LEN(_xlpm.steps)&gt;2,RIGHT(_xlpm.steps,2),_xlpm.steps)))</f>
        <v>17</v>
      </c>
      <c r="D2065">
        <f>_xlfn.LET(_xlpm.steps,SUBSTITUTE(Table13[[#This Row],[Input]],Table13[[#This Row],[Direction]],""),VALUE(IF(LEN(_xlpm.steps)&gt;2,LEFT(_xlpm.steps,LEN(_xlpm.steps)-2),0)))</f>
        <v>0</v>
      </c>
      <c r="E2065">
        <f>_xlfn.LET(_xlpm.dir,Table13[[#This Row],[Direction]],
IF(_xlpm.dir="L",
    IF(G2064-Table13[[#This Row],[Steps]]&lt;0,100+(G2064-Table13[[#This Row],[Steps]]),G2064-Table13[[#This Row],[Steps]]),
))</f>
        <v>0</v>
      </c>
      <c r="F2065">
        <f>_xlfn.LET(_xlpm.dir,Table13[[#This Row],[Direction]],
IF(_xlpm.dir="R",
    IF(G2064+Table13[[#This Row],[Steps]]&gt;99,(G2064+Table13[[#This Row],[Steps]])-100,G2064+Table13[[#This Row],[Steps]]),
))</f>
        <v>12</v>
      </c>
      <c r="G2065">
        <f>IF(Table13[[#This Row],[New Pos L]]&lt;&gt;0,Table13[[#This Row],[New Pos L]],Table13[[#This Row],[New Pos R]])</f>
        <v>12</v>
      </c>
      <c r="H2065">
        <f>IF(AND(Table13[[#This Row],[Direction]]="L",Table13[[#This Row],[Steps]]&gt;G2064,G2064&lt;&gt;0),1,0)</f>
        <v>0</v>
      </c>
      <c r="I2065">
        <f>IF(AND(Table13[[#This Row],[Direction]]="R",(G2064+Table13[[#This Row],[Steps]])&gt;100),1,0)</f>
        <v>1</v>
      </c>
      <c r="J2065">
        <f>IF(Table13[[#This Row],[POS]]=0,1,0)</f>
        <v>0</v>
      </c>
      <c r="K2065">
        <f>SUM(Table13[[#This Row],[prefix]],Table13[[#This Row],[Past zero L]],Table13[[#This Row],[Past Zero R]],Table13[[#This Row],[Is Zero]])</f>
        <v>1</v>
      </c>
    </row>
    <row r="2066" spans="1:11" ht="16" x14ac:dyDescent="0.2">
      <c r="A2066" s="1" t="s">
        <v>102</v>
      </c>
      <c r="B2066" t="str">
        <f>LEFT(Table13[[#This Row],[Input]],1)</f>
        <v>R</v>
      </c>
      <c r="C2066">
        <f>_xlfn.LET(_xlpm.steps,SUBSTITUTE(Table13[[#This Row],[Input]],Table13[[#This Row],[Direction]],""),VALUE(IF(LEN(_xlpm.steps)&gt;2,RIGHT(_xlpm.steps,2),_xlpm.steps)))</f>
        <v>39</v>
      </c>
      <c r="D2066">
        <f>_xlfn.LET(_xlpm.steps,SUBSTITUTE(Table13[[#This Row],[Input]],Table13[[#This Row],[Direction]],""),VALUE(IF(LEN(_xlpm.steps)&gt;2,LEFT(_xlpm.steps,LEN(_xlpm.steps)-2),0)))</f>
        <v>0</v>
      </c>
      <c r="E2066">
        <f>_xlfn.LET(_xlpm.dir,Table13[[#This Row],[Direction]],
IF(_xlpm.dir="L",
    IF(G2065-Table13[[#This Row],[Steps]]&lt;0,100+(G2065-Table13[[#This Row],[Steps]]),G2065-Table13[[#This Row],[Steps]]),
))</f>
        <v>0</v>
      </c>
      <c r="F2066">
        <f>_xlfn.LET(_xlpm.dir,Table13[[#This Row],[Direction]],
IF(_xlpm.dir="R",
    IF(G2065+Table13[[#This Row],[Steps]]&gt;99,(G2065+Table13[[#This Row],[Steps]])-100,G2065+Table13[[#This Row],[Steps]]),
))</f>
        <v>51</v>
      </c>
      <c r="G2066">
        <f>IF(Table13[[#This Row],[New Pos L]]&lt;&gt;0,Table13[[#This Row],[New Pos L]],Table13[[#This Row],[New Pos R]])</f>
        <v>51</v>
      </c>
      <c r="H2066">
        <f>IF(AND(Table13[[#This Row],[Direction]]="L",Table13[[#This Row],[Steps]]&gt;G2065,G2065&lt;&gt;0),1,0)</f>
        <v>0</v>
      </c>
      <c r="I2066">
        <f>IF(AND(Table13[[#This Row],[Direction]]="R",(G2065+Table13[[#This Row],[Steps]])&gt;100),1,0)</f>
        <v>0</v>
      </c>
      <c r="J2066">
        <f>IF(Table13[[#This Row],[POS]]=0,1,0)</f>
        <v>0</v>
      </c>
      <c r="K2066">
        <f>SUM(Table13[[#This Row],[prefix]],Table13[[#This Row],[Past zero L]],Table13[[#This Row],[Past Zero R]],Table13[[#This Row],[Is Zero]])</f>
        <v>0</v>
      </c>
    </row>
    <row r="2067" spans="1:11" ht="16" x14ac:dyDescent="0.2">
      <c r="A2067" s="1" t="s">
        <v>111</v>
      </c>
      <c r="B2067" t="str">
        <f>LEFT(Table13[[#This Row],[Input]],1)</f>
        <v>R</v>
      </c>
      <c r="C2067">
        <f>_xlfn.LET(_xlpm.steps,SUBSTITUTE(Table13[[#This Row],[Input]],Table13[[#This Row],[Direction]],""),VALUE(IF(LEN(_xlpm.steps)&gt;2,RIGHT(_xlpm.steps,2),_xlpm.steps)))</f>
        <v>64</v>
      </c>
      <c r="D2067">
        <f>_xlfn.LET(_xlpm.steps,SUBSTITUTE(Table13[[#This Row],[Input]],Table13[[#This Row],[Direction]],""),VALUE(IF(LEN(_xlpm.steps)&gt;2,LEFT(_xlpm.steps,LEN(_xlpm.steps)-2),0)))</f>
        <v>0</v>
      </c>
      <c r="E2067">
        <f>_xlfn.LET(_xlpm.dir,Table13[[#This Row],[Direction]],
IF(_xlpm.dir="L",
    IF(G2066-Table13[[#This Row],[Steps]]&lt;0,100+(G2066-Table13[[#This Row],[Steps]]),G2066-Table13[[#This Row],[Steps]]),
))</f>
        <v>0</v>
      </c>
      <c r="F2067">
        <f>_xlfn.LET(_xlpm.dir,Table13[[#This Row],[Direction]],
IF(_xlpm.dir="R",
    IF(G2066+Table13[[#This Row],[Steps]]&gt;99,(G2066+Table13[[#This Row],[Steps]])-100,G2066+Table13[[#This Row],[Steps]]),
))</f>
        <v>15</v>
      </c>
      <c r="G2067">
        <f>IF(Table13[[#This Row],[New Pos L]]&lt;&gt;0,Table13[[#This Row],[New Pos L]],Table13[[#This Row],[New Pos R]])</f>
        <v>15</v>
      </c>
      <c r="H2067">
        <f>IF(AND(Table13[[#This Row],[Direction]]="L",Table13[[#This Row],[Steps]]&gt;G2066,G2066&lt;&gt;0),1,0)</f>
        <v>0</v>
      </c>
      <c r="I2067">
        <f>IF(AND(Table13[[#This Row],[Direction]]="R",(G2066+Table13[[#This Row],[Steps]])&gt;100),1,0)</f>
        <v>1</v>
      </c>
      <c r="J2067">
        <f>IF(Table13[[#This Row],[POS]]=0,1,0)</f>
        <v>0</v>
      </c>
      <c r="K2067">
        <f>SUM(Table13[[#This Row],[prefix]],Table13[[#This Row],[Past zero L]],Table13[[#This Row],[Past Zero R]],Table13[[#This Row],[Is Zero]])</f>
        <v>1</v>
      </c>
    </row>
    <row r="2068" spans="1:11" ht="16" x14ac:dyDescent="0.2">
      <c r="A2068" s="1" t="s">
        <v>36</v>
      </c>
      <c r="B2068" t="str">
        <f>LEFT(Table13[[#This Row],[Input]],1)</f>
        <v>R</v>
      </c>
      <c r="C2068">
        <f>_xlfn.LET(_xlpm.steps,SUBSTITUTE(Table13[[#This Row],[Input]],Table13[[#This Row],[Direction]],""),VALUE(IF(LEN(_xlpm.steps)&gt;2,RIGHT(_xlpm.steps,2),_xlpm.steps)))</f>
        <v>50</v>
      </c>
      <c r="D2068">
        <f>_xlfn.LET(_xlpm.steps,SUBSTITUTE(Table13[[#This Row],[Input]],Table13[[#This Row],[Direction]],""),VALUE(IF(LEN(_xlpm.steps)&gt;2,LEFT(_xlpm.steps,LEN(_xlpm.steps)-2),0)))</f>
        <v>0</v>
      </c>
      <c r="E2068">
        <f>_xlfn.LET(_xlpm.dir,Table13[[#This Row],[Direction]],
IF(_xlpm.dir="L",
    IF(G2067-Table13[[#This Row],[Steps]]&lt;0,100+(G2067-Table13[[#This Row],[Steps]]),G2067-Table13[[#This Row],[Steps]]),
))</f>
        <v>0</v>
      </c>
      <c r="F2068">
        <f>_xlfn.LET(_xlpm.dir,Table13[[#This Row],[Direction]],
IF(_xlpm.dir="R",
    IF(G2067+Table13[[#This Row],[Steps]]&gt;99,(G2067+Table13[[#This Row],[Steps]])-100,G2067+Table13[[#This Row],[Steps]]),
))</f>
        <v>65</v>
      </c>
      <c r="G2068">
        <f>IF(Table13[[#This Row],[New Pos L]]&lt;&gt;0,Table13[[#This Row],[New Pos L]],Table13[[#This Row],[New Pos R]])</f>
        <v>65</v>
      </c>
      <c r="H2068">
        <f>IF(AND(Table13[[#This Row],[Direction]]="L",Table13[[#This Row],[Steps]]&gt;G2067,G2067&lt;&gt;0),1,0)</f>
        <v>0</v>
      </c>
      <c r="I2068">
        <f>IF(AND(Table13[[#This Row],[Direction]]="R",(G2067+Table13[[#This Row],[Steps]])&gt;100),1,0)</f>
        <v>0</v>
      </c>
      <c r="J2068">
        <f>IF(Table13[[#This Row],[POS]]=0,1,0)</f>
        <v>0</v>
      </c>
      <c r="K2068">
        <f>SUM(Table13[[#This Row],[prefix]],Table13[[#This Row],[Past zero L]],Table13[[#This Row],[Past Zero R]],Table13[[#This Row],[Is Zero]])</f>
        <v>0</v>
      </c>
    </row>
    <row r="2069" spans="1:11" ht="16" x14ac:dyDescent="0.2">
      <c r="A2069" s="1" t="s">
        <v>218</v>
      </c>
      <c r="B2069" t="str">
        <f>LEFT(Table13[[#This Row],[Input]],1)</f>
        <v>R</v>
      </c>
      <c r="C2069">
        <f>_xlfn.LET(_xlpm.steps,SUBSTITUTE(Table13[[#This Row],[Input]],Table13[[#This Row],[Direction]],""),VALUE(IF(LEN(_xlpm.steps)&gt;2,RIGHT(_xlpm.steps,2),_xlpm.steps)))</f>
        <v>35</v>
      </c>
      <c r="D2069">
        <f>_xlfn.LET(_xlpm.steps,SUBSTITUTE(Table13[[#This Row],[Input]],Table13[[#This Row],[Direction]],""),VALUE(IF(LEN(_xlpm.steps)&gt;2,LEFT(_xlpm.steps,LEN(_xlpm.steps)-2),0)))</f>
        <v>0</v>
      </c>
      <c r="E2069">
        <f>_xlfn.LET(_xlpm.dir,Table13[[#This Row],[Direction]],
IF(_xlpm.dir="L",
    IF(G2068-Table13[[#This Row],[Steps]]&lt;0,100+(G2068-Table13[[#This Row],[Steps]]),G2068-Table13[[#This Row],[Steps]]),
))</f>
        <v>0</v>
      </c>
      <c r="F2069">
        <f>_xlfn.LET(_xlpm.dir,Table13[[#This Row],[Direction]],
IF(_xlpm.dir="R",
    IF(G2068+Table13[[#This Row],[Steps]]&gt;99,(G2068+Table13[[#This Row],[Steps]])-100,G2068+Table13[[#This Row],[Steps]]),
))</f>
        <v>0</v>
      </c>
      <c r="G2069">
        <f>IF(Table13[[#This Row],[New Pos L]]&lt;&gt;0,Table13[[#This Row],[New Pos L]],Table13[[#This Row],[New Pos R]])</f>
        <v>0</v>
      </c>
      <c r="H2069">
        <f>IF(AND(Table13[[#This Row],[Direction]]="L",Table13[[#This Row],[Steps]]&gt;G2068,G2068&lt;&gt;0),1,0)</f>
        <v>0</v>
      </c>
      <c r="I2069">
        <f>IF(AND(Table13[[#This Row],[Direction]]="R",(G2068+Table13[[#This Row],[Steps]])&gt;100),1,0)</f>
        <v>0</v>
      </c>
      <c r="J2069">
        <f>IF(Table13[[#This Row],[POS]]=0,1,0)</f>
        <v>1</v>
      </c>
      <c r="K2069">
        <f>SUM(Table13[[#This Row],[prefix]],Table13[[#This Row],[Past zero L]],Table13[[#This Row],[Past Zero R]],Table13[[#This Row],[Is Zero]])</f>
        <v>1</v>
      </c>
    </row>
    <row r="2070" spans="1:11" ht="16" x14ac:dyDescent="0.2">
      <c r="A2070" s="1" t="s">
        <v>186</v>
      </c>
      <c r="B2070" t="str">
        <f>LEFT(Table13[[#This Row],[Input]],1)</f>
        <v>L</v>
      </c>
      <c r="C2070">
        <f>_xlfn.LET(_xlpm.steps,SUBSTITUTE(Table13[[#This Row],[Input]],Table13[[#This Row],[Direction]],""),VALUE(IF(LEN(_xlpm.steps)&gt;2,RIGHT(_xlpm.steps,2),_xlpm.steps)))</f>
        <v>84</v>
      </c>
      <c r="D2070">
        <f>_xlfn.LET(_xlpm.steps,SUBSTITUTE(Table13[[#This Row],[Input]],Table13[[#This Row],[Direction]],""),VALUE(IF(LEN(_xlpm.steps)&gt;2,LEFT(_xlpm.steps,LEN(_xlpm.steps)-2),0)))</f>
        <v>0</v>
      </c>
      <c r="E2070">
        <f>_xlfn.LET(_xlpm.dir,Table13[[#This Row],[Direction]],
IF(_xlpm.dir="L",
    IF(G2069-Table13[[#This Row],[Steps]]&lt;0,100+(G2069-Table13[[#This Row],[Steps]]),G2069-Table13[[#This Row],[Steps]]),
))</f>
        <v>16</v>
      </c>
      <c r="F2070">
        <f>_xlfn.LET(_xlpm.dir,Table13[[#This Row],[Direction]],
IF(_xlpm.dir="R",
    IF(G2069+Table13[[#This Row],[Steps]]&gt;99,(G2069+Table13[[#This Row],[Steps]])-100,G2069+Table13[[#This Row],[Steps]]),
))</f>
        <v>0</v>
      </c>
      <c r="G2070">
        <f>IF(Table13[[#This Row],[New Pos L]]&lt;&gt;0,Table13[[#This Row],[New Pos L]],Table13[[#This Row],[New Pos R]])</f>
        <v>16</v>
      </c>
      <c r="H2070">
        <f>IF(AND(Table13[[#This Row],[Direction]]="L",Table13[[#This Row],[Steps]]&gt;G2069,G2069&lt;&gt;0),1,0)</f>
        <v>0</v>
      </c>
      <c r="I2070">
        <f>IF(AND(Table13[[#This Row],[Direction]]="R",(G2069+Table13[[#This Row],[Steps]])&gt;100),1,0)</f>
        <v>0</v>
      </c>
      <c r="J2070">
        <f>IF(Table13[[#This Row],[POS]]=0,1,0)</f>
        <v>0</v>
      </c>
      <c r="K2070">
        <f>SUM(Table13[[#This Row],[prefix]],Table13[[#This Row],[Past zero L]],Table13[[#This Row],[Past Zero R]],Table13[[#This Row],[Is Zero]])</f>
        <v>0</v>
      </c>
    </row>
    <row r="2071" spans="1:11" ht="16" x14ac:dyDescent="0.2">
      <c r="A2071" s="1" t="s">
        <v>3</v>
      </c>
      <c r="B2071" t="str">
        <f>LEFT(Table13[[#This Row],[Input]],1)</f>
        <v>R</v>
      </c>
      <c r="C2071">
        <f>_xlfn.LET(_xlpm.steps,SUBSTITUTE(Table13[[#This Row],[Input]],Table13[[#This Row],[Direction]],""),VALUE(IF(LEN(_xlpm.steps)&gt;2,RIGHT(_xlpm.steps,2),_xlpm.steps)))</f>
        <v>44</v>
      </c>
      <c r="D2071">
        <f>_xlfn.LET(_xlpm.steps,SUBSTITUTE(Table13[[#This Row],[Input]],Table13[[#This Row],[Direction]],""),VALUE(IF(LEN(_xlpm.steps)&gt;2,LEFT(_xlpm.steps,LEN(_xlpm.steps)-2),0)))</f>
        <v>0</v>
      </c>
      <c r="E2071">
        <f>_xlfn.LET(_xlpm.dir,Table13[[#This Row],[Direction]],
IF(_xlpm.dir="L",
    IF(G2070-Table13[[#This Row],[Steps]]&lt;0,100+(G2070-Table13[[#This Row],[Steps]]),G2070-Table13[[#This Row],[Steps]]),
))</f>
        <v>0</v>
      </c>
      <c r="F2071">
        <f>_xlfn.LET(_xlpm.dir,Table13[[#This Row],[Direction]],
IF(_xlpm.dir="R",
    IF(G2070+Table13[[#This Row],[Steps]]&gt;99,(G2070+Table13[[#This Row],[Steps]])-100,G2070+Table13[[#This Row],[Steps]]),
))</f>
        <v>60</v>
      </c>
      <c r="G2071">
        <f>IF(Table13[[#This Row],[New Pos L]]&lt;&gt;0,Table13[[#This Row],[New Pos L]],Table13[[#This Row],[New Pos R]])</f>
        <v>60</v>
      </c>
      <c r="H2071">
        <f>IF(AND(Table13[[#This Row],[Direction]]="L",Table13[[#This Row],[Steps]]&gt;G2070,G2070&lt;&gt;0),1,0)</f>
        <v>0</v>
      </c>
      <c r="I2071">
        <f>IF(AND(Table13[[#This Row],[Direction]]="R",(G2070+Table13[[#This Row],[Steps]])&gt;100),1,0)</f>
        <v>0</v>
      </c>
      <c r="J2071">
        <f>IF(Table13[[#This Row],[POS]]=0,1,0)</f>
        <v>0</v>
      </c>
      <c r="K2071">
        <f>SUM(Table13[[#This Row],[prefix]],Table13[[#This Row],[Past zero L]],Table13[[#This Row],[Past Zero R]],Table13[[#This Row],[Is Zero]])</f>
        <v>0</v>
      </c>
    </row>
    <row r="2072" spans="1:11" ht="16" x14ac:dyDescent="0.2">
      <c r="A2072" s="1" t="s">
        <v>129</v>
      </c>
      <c r="B2072" t="str">
        <f>LEFT(Table13[[#This Row],[Input]],1)</f>
        <v>R</v>
      </c>
      <c r="C2072">
        <f>_xlfn.LET(_xlpm.steps,SUBSTITUTE(Table13[[#This Row],[Input]],Table13[[#This Row],[Direction]],""),VALUE(IF(LEN(_xlpm.steps)&gt;2,RIGHT(_xlpm.steps,2),_xlpm.steps)))</f>
        <v>8</v>
      </c>
      <c r="D2072">
        <f>_xlfn.LET(_xlpm.steps,SUBSTITUTE(Table13[[#This Row],[Input]],Table13[[#This Row],[Direction]],""),VALUE(IF(LEN(_xlpm.steps)&gt;2,LEFT(_xlpm.steps,LEN(_xlpm.steps)-2),0)))</f>
        <v>0</v>
      </c>
      <c r="E2072">
        <f>_xlfn.LET(_xlpm.dir,Table13[[#This Row],[Direction]],
IF(_xlpm.dir="L",
    IF(G2071-Table13[[#This Row],[Steps]]&lt;0,100+(G2071-Table13[[#This Row],[Steps]]),G2071-Table13[[#This Row],[Steps]]),
))</f>
        <v>0</v>
      </c>
      <c r="F2072">
        <f>_xlfn.LET(_xlpm.dir,Table13[[#This Row],[Direction]],
IF(_xlpm.dir="R",
    IF(G2071+Table13[[#This Row],[Steps]]&gt;99,(G2071+Table13[[#This Row],[Steps]])-100,G2071+Table13[[#This Row],[Steps]]),
))</f>
        <v>68</v>
      </c>
      <c r="G2072">
        <f>IF(Table13[[#This Row],[New Pos L]]&lt;&gt;0,Table13[[#This Row],[New Pos L]],Table13[[#This Row],[New Pos R]])</f>
        <v>68</v>
      </c>
      <c r="H2072">
        <f>IF(AND(Table13[[#This Row],[Direction]]="L",Table13[[#This Row],[Steps]]&gt;G2071,G2071&lt;&gt;0),1,0)</f>
        <v>0</v>
      </c>
      <c r="I2072">
        <f>IF(AND(Table13[[#This Row],[Direction]]="R",(G2071+Table13[[#This Row],[Steps]])&gt;100),1,0)</f>
        <v>0</v>
      </c>
      <c r="J2072">
        <f>IF(Table13[[#This Row],[POS]]=0,1,0)</f>
        <v>0</v>
      </c>
      <c r="K2072">
        <f>SUM(Table13[[#This Row],[prefix]],Table13[[#This Row],[Past zero L]],Table13[[#This Row],[Past Zero R]],Table13[[#This Row],[Is Zero]])</f>
        <v>0</v>
      </c>
    </row>
    <row r="2073" spans="1:11" ht="16" x14ac:dyDescent="0.2">
      <c r="A2073" s="1" t="s">
        <v>39</v>
      </c>
      <c r="B2073" t="str">
        <f>LEFT(Table13[[#This Row],[Input]],1)</f>
        <v>R</v>
      </c>
      <c r="C2073">
        <f>_xlfn.LET(_xlpm.steps,SUBSTITUTE(Table13[[#This Row],[Input]],Table13[[#This Row],[Direction]],""),VALUE(IF(LEN(_xlpm.steps)&gt;2,RIGHT(_xlpm.steps,2),_xlpm.steps)))</f>
        <v>32</v>
      </c>
      <c r="D2073">
        <f>_xlfn.LET(_xlpm.steps,SUBSTITUTE(Table13[[#This Row],[Input]],Table13[[#This Row],[Direction]],""),VALUE(IF(LEN(_xlpm.steps)&gt;2,LEFT(_xlpm.steps,LEN(_xlpm.steps)-2),0)))</f>
        <v>0</v>
      </c>
      <c r="E2073">
        <f>_xlfn.LET(_xlpm.dir,Table13[[#This Row],[Direction]],
IF(_xlpm.dir="L",
    IF(G2072-Table13[[#This Row],[Steps]]&lt;0,100+(G2072-Table13[[#This Row],[Steps]]),G2072-Table13[[#This Row],[Steps]]),
))</f>
        <v>0</v>
      </c>
      <c r="F2073">
        <f>_xlfn.LET(_xlpm.dir,Table13[[#This Row],[Direction]],
IF(_xlpm.dir="R",
    IF(G2072+Table13[[#This Row],[Steps]]&gt;99,(G2072+Table13[[#This Row],[Steps]])-100,G2072+Table13[[#This Row],[Steps]]),
))</f>
        <v>0</v>
      </c>
      <c r="G2073">
        <f>IF(Table13[[#This Row],[New Pos L]]&lt;&gt;0,Table13[[#This Row],[New Pos L]],Table13[[#This Row],[New Pos R]])</f>
        <v>0</v>
      </c>
      <c r="H2073">
        <f>IF(AND(Table13[[#This Row],[Direction]]="L",Table13[[#This Row],[Steps]]&gt;G2072,G2072&lt;&gt;0),1,0)</f>
        <v>0</v>
      </c>
      <c r="I2073">
        <f>IF(AND(Table13[[#This Row],[Direction]]="R",(G2072+Table13[[#This Row],[Steps]])&gt;100),1,0)</f>
        <v>0</v>
      </c>
      <c r="J2073">
        <f>IF(Table13[[#This Row],[POS]]=0,1,0)</f>
        <v>1</v>
      </c>
      <c r="K2073">
        <f>SUM(Table13[[#This Row],[prefix]],Table13[[#This Row],[Past zero L]],Table13[[#This Row],[Past Zero R]],Table13[[#This Row],[Is Zero]])</f>
        <v>1</v>
      </c>
    </row>
    <row r="2074" spans="1:11" ht="16" x14ac:dyDescent="0.2">
      <c r="A2074" s="1" t="s">
        <v>379</v>
      </c>
      <c r="B2074" t="str">
        <f>LEFT(Table13[[#This Row],[Input]],1)</f>
        <v>L</v>
      </c>
      <c r="C2074">
        <f>_xlfn.LET(_xlpm.steps,SUBSTITUTE(Table13[[#This Row],[Input]],Table13[[#This Row],[Direction]],""),VALUE(IF(LEN(_xlpm.steps)&gt;2,RIGHT(_xlpm.steps,2),_xlpm.steps)))</f>
        <v>4</v>
      </c>
      <c r="D2074">
        <f>_xlfn.LET(_xlpm.steps,SUBSTITUTE(Table13[[#This Row],[Input]],Table13[[#This Row],[Direction]],""),VALUE(IF(LEN(_xlpm.steps)&gt;2,LEFT(_xlpm.steps,LEN(_xlpm.steps)-2),0)))</f>
        <v>0</v>
      </c>
      <c r="E2074">
        <f>_xlfn.LET(_xlpm.dir,Table13[[#This Row],[Direction]],
IF(_xlpm.dir="L",
    IF(G2073-Table13[[#This Row],[Steps]]&lt;0,100+(G2073-Table13[[#This Row],[Steps]]),G2073-Table13[[#This Row],[Steps]]),
))</f>
        <v>96</v>
      </c>
      <c r="F2074">
        <f>_xlfn.LET(_xlpm.dir,Table13[[#This Row],[Direction]],
IF(_xlpm.dir="R",
    IF(G2073+Table13[[#This Row],[Steps]]&gt;99,(G2073+Table13[[#This Row],[Steps]])-100,G2073+Table13[[#This Row],[Steps]]),
))</f>
        <v>0</v>
      </c>
      <c r="G2074">
        <f>IF(Table13[[#This Row],[New Pos L]]&lt;&gt;0,Table13[[#This Row],[New Pos L]],Table13[[#This Row],[New Pos R]])</f>
        <v>96</v>
      </c>
      <c r="H2074">
        <f>IF(AND(Table13[[#This Row],[Direction]]="L",Table13[[#This Row],[Steps]]&gt;G2073,G2073&lt;&gt;0),1,0)</f>
        <v>0</v>
      </c>
      <c r="I2074">
        <f>IF(AND(Table13[[#This Row],[Direction]]="R",(G2073+Table13[[#This Row],[Steps]])&gt;100),1,0)</f>
        <v>0</v>
      </c>
      <c r="J2074">
        <f>IF(Table13[[#This Row],[POS]]=0,1,0)</f>
        <v>0</v>
      </c>
      <c r="K2074">
        <f>SUM(Table13[[#This Row],[prefix]],Table13[[#This Row],[Past zero L]],Table13[[#This Row],[Past Zero R]],Table13[[#This Row],[Is Zero]])</f>
        <v>0</v>
      </c>
    </row>
    <row r="2075" spans="1:11" ht="16" x14ac:dyDescent="0.2">
      <c r="A2075" s="1" t="s">
        <v>364</v>
      </c>
      <c r="B2075" t="str">
        <f>LEFT(Table13[[#This Row],[Input]],1)</f>
        <v>L</v>
      </c>
      <c r="C2075">
        <f>_xlfn.LET(_xlpm.steps,SUBSTITUTE(Table13[[#This Row],[Input]],Table13[[#This Row],[Direction]],""),VALUE(IF(LEN(_xlpm.steps)&gt;2,RIGHT(_xlpm.steps,2),_xlpm.steps)))</f>
        <v>70</v>
      </c>
      <c r="D2075">
        <f>_xlfn.LET(_xlpm.steps,SUBSTITUTE(Table13[[#This Row],[Input]],Table13[[#This Row],[Direction]],""),VALUE(IF(LEN(_xlpm.steps)&gt;2,LEFT(_xlpm.steps,LEN(_xlpm.steps)-2),0)))</f>
        <v>0</v>
      </c>
      <c r="E2075">
        <f>_xlfn.LET(_xlpm.dir,Table13[[#This Row],[Direction]],
IF(_xlpm.dir="L",
    IF(G2074-Table13[[#This Row],[Steps]]&lt;0,100+(G2074-Table13[[#This Row],[Steps]]),G2074-Table13[[#This Row],[Steps]]),
))</f>
        <v>26</v>
      </c>
      <c r="F2075">
        <f>_xlfn.LET(_xlpm.dir,Table13[[#This Row],[Direction]],
IF(_xlpm.dir="R",
    IF(G2074+Table13[[#This Row],[Steps]]&gt;99,(G2074+Table13[[#This Row],[Steps]])-100,G2074+Table13[[#This Row],[Steps]]),
))</f>
        <v>0</v>
      </c>
      <c r="G2075">
        <f>IF(Table13[[#This Row],[New Pos L]]&lt;&gt;0,Table13[[#This Row],[New Pos L]],Table13[[#This Row],[New Pos R]])</f>
        <v>26</v>
      </c>
      <c r="H2075">
        <f>IF(AND(Table13[[#This Row],[Direction]]="L",Table13[[#This Row],[Steps]]&gt;G2074,G2074&lt;&gt;0),1,0)</f>
        <v>0</v>
      </c>
      <c r="I2075">
        <f>IF(AND(Table13[[#This Row],[Direction]]="R",(G2074+Table13[[#This Row],[Steps]])&gt;100),1,0)</f>
        <v>0</v>
      </c>
      <c r="J2075">
        <f>IF(Table13[[#This Row],[POS]]=0,1,0)</f>
        <v>0</v>
      </c>
      <c r="K2075">
        <f>SUM(Table13[[#This Row],[prefix]],Table13[[#This Row],[Past zero L]],Table13[[#This Row],[Past Zero R]],Table13[[#This Row],[Is Zero]])</f>
        <v>0</v>
      </c>
    </row>
    <row r="2076" spans="1:11" ht="16" x14ac:dyDescent="0.2">
      <c r="A2076" s="1" t="s">
        <v>334</v>
      </c>
      <c r="B2076" t="str">
        <f>LEFT(Table13[[#This Row],[Input]],1)</f>
        <v>L</v>
      </c>
      <c r="C2076">
        <f>_xlfn.LET(_xlpm.steps,SUBSTITUTE(Table13[[#This Row],[Input]],Table13[[#This Row],[Direction]],""),VALUE(IF(LEN(_xlpm.steps)&gt;2,RIGHT(_xlpm.steps,2),_xlpm.steps)))</f>
        <v>26</v>
      </c>
      <c r="D2076">
        <f>_xlfn.LET(_xlpm.steps,SUBSTITUTE(Table13[[#This Row],[Input]],Table13[[#This Row],[Direction]],""),VALUE(IF(LEN(_xlpm.steps)&gt;2,LEFT(_xlpm.steps,LEN(_xlpm.steps)-2),0)))</f>
        <v>3</v>
      </c>
      <c r="E2076">
        <f>_xlfn.LET(_xlpm.dir,Table13[[#This Row],[Direction]],
IF(_xlpm.dir="L",
    IF(G2075-Table13[[#This Row],[Steps]]&lt;0,100+(G2075-Table13[[#This Row],[Steps]]),G2075-Table13[[#This Row],[Steps]]),
))</f>
        <v>0</v>
      </c>
      <c r="F2076">
        <f>_xlfn.LET(_xlpm.dir,Table13[[#This Row],[Direction]],
IF(_xlpm.dir="R",
    IF(G2075+Table13[[#This Row],[Steps]]&gt;99,(G2075+Table13[[#This Row],[Steps]])-100,G2075+Table13[[#This Row],[Steps]]),
))</f>
        <v>0</v>
      </c>
      <c r="G2076">
        <f>IF(Table13[[#This Row],[New Pos L]]&lt;&gt;0,Table13[[#This Row],[New Pos L]],Table13[[#This Row],[New Pos R]])</f>
        <v>0</v>
      </c>
      <c r="H2076">
        <f>IF(AND(Table13[[#This Row],[Direction]]="L",Table13[[#This Row],[Steps]]&gt;G2075,G2075&lt;&gt;0),1,0)</f>
        <v>0</v>
      </c>
      <c r="I2076">
        <f>IF(AND(Table13[[#This Row],[Direction]]="R",(G2075+Table13[[#This Row],[Steps]])&gt;100),1,0)</f>
        <v>0</v>
      </c>
      <c r="J2076">
        <f>IF(Table13[[#This Row],[POS]]=0,1,0)</f>
        <v>1</v>
      </c>
      <c r="K2076">
        <f>SUM(Table13[[#This Row],[prefix]],Table13[[#This Row],[Past zero L]],Table13[[#This Row],[Past Zero R]],Table13[[#This Row],[Is Zero]])</f>
        <v>4</v>
      </c>
    </row>
    <row r="2077" spans="1:11" ht="16" x14ac:dyDescent="0.2">
      <c r="A2077" s="1" t="s">
        <v>295</v>
      </c>
      <c r="B2077" t="str">
        <f>LEFT(Table13[[#This Row],[Input]],1)</f>
        <v>L</v>
      </c>
      <c r="C2077">
        <f>_xlfn.LET(_xlpm.steps,SUBSTITUTE(Table13[[#This Row],[Input]],Table13[[#This Row],[Direction]],""),VALUE(IF(LEN(_xlpm.steps)&gt;2,RIGHT(_xlpm.steps,2),_xlpm.steps)))</f>
        <v>88</v>
      </c>
      <c r="D2077">
        <f>_xlfn.LET(_xlpm.steps,SUBSTITUTE(Table13[[#This Row],[Input]],Table13[[#This Row],[Direction]],""),VALUE(IF(LEN(_xlpm.steps)&gt;2,LEFT(_xlpm.steps,LEN(_xlpm.steps)-2),0)))</f>
        <v>0</v>
      </c>
      <c r="E2077">
        <f>_xlfn.LET(_xlpm.dir,Table13[[#This Row],[Direction]],
IF(_xlpm.dir="L",
    IF(G2076-Table13[[#This Row],[Steps]]&lt;0,100+(G2076-Table13[[#This Row],[Steps]]),G2076-Table13[[#This Row],[Steps]]),
))</f>
        <v>12</v>
      </c>
      <c r="F2077">
        <f>_xlfn.LET(_xlpm.dir,Table13[[#This Row],[Direction]],
IF(_xlpm.dir="R",
    IF(G2076+Table13[[#This Row],[Steps]]&gt;99,(G2076+Table13[[#This Row],[Steps]])-100,G2076+Table13[[#This Row],[Steps]]),
))</f>
        <v>0</v>
      </c>
      <c r="G2077">
        <f>IF(Table13[[#This Row],[New Pos L]]&lt;&gt;0,Table13[[#This Row],[New Pos L]],Table13[[#This Row],[New Pos R]])</f>
        <v>12</v>
      </c>
      <c r="H2077">
        <f>IF(AND(Table13[[#This Row],[Direction]]="L",Table13[[#This Row],[Steps]]&gt;G2076,G2076&lt;&gt;0),1,0)</f>
        <v>0</v>
      </c>
      <c r="I2077">
        <f>IF(AND(Table13[[#This Row],[Direction]]="R",(G2076+Table13[[#This Row],[Steps]])&gt;100),1,0)</f>
        <v>0</v>
      </c>
      <c r="J2077">
        <f>IF(Table13[[#This Row],[POS]]=0,1,0)</f>
        <v>0</v>
      </c>
      <c r="K2077">
        <f>SUM(Table13[[#This Row],[prefix]],Table13[[#This Row],[Past zero L]],Table13[[#This Row],[Past Zero R]],Table13[[#This Row],[Is Zero]])</f>
        <v>0</v>
      </c>
    </row>
    <row r="2078" spans="1:11" ht="16" x14ac:dyDescent="0.2">
      <c r="A2078" s="1" t="s">
        <v>116</v>
      </c>
      <c r="B2078" t="str">
        <f>LEFT(Table13[[#This Row],[Input]],1)</f>
        <v>L</v>
      </c>
      <c r="C2078">
        <f>_xlfn.LET(_xlpm.steps,SUBSTITUTE(Table13[[#This Row],[Input]],Table13[[#This Row],[Direction]],""),VALUE(IF(LEN(_xlpm.steps)&gt;2,RIGHT(_xlpm.steps,2),_xlpm.steps)))</f>
        <v>58</v>
      </c>
      <c r="D2078">
        <f>_xlfn.LET(_xlpm.steps,SUBSTITUTE(Table13[[#This Row],[Input]],Table13[[#This Row],[Direction]],""),VALUE(IF(LEN(_xlpm.steps)&gt;2,LEFT(_xlpm.steps,LEN(_xlpm.steps)-2),0)))</f>
        <v>0</v>
      </c>
      <c r="E2078">
        <f>_xlfn.LET(_xlpm.dir,Table13[[#This Row],[Direction]],
IF(_xlpm.dir="L",
    IF(G2077-Table13[[#This Row],[Steps]]&lt;0,100+(G2077-Table13[[#This Row],[Steps]]),G2077-Table13[[#This Row],[Steps]]),
))</f>
        <v>54</v>
      </c>
      <c r="F2078">
        <f>_xlfn.LET(_xlpm.dir,Table13[[#This Row],[Direction]],
IF(_xlpm.dir="R",
    IF(G2077+Table13[[#This Row],[Steps]]&gt;99,(G2077+Table13[[#This Row],[Steps]])-100,G2077+Table13[[#This Row],[Steps]]),
))</f>
        <v>0</v>
      </c>
      <c r="G2078">
        <f>IF(Table13[[#This Row],[New Pos L]]&lt;&gt;0,Table13[[#This Row],[New Pos L]],Table13[[#This Row],[New Pos R]])</f>
        <v>54</v>
      </c>
      <c r="H2078">
        <f>IF(AND(Table13[[#This Row],[Direction]]="L",Table13[[#This Row],[Steps]]&gt;G2077,G2077&lt;&gt;0),1,0)</f>
        <v>1</v>
      </c>
      <c r="I2078">
        <f>IF(AND(Table13[[#This Row],[Direction]]="R",(G2077+Table13[[#This Row],[Steps]])&gt;100),1,0)</f>
        <v>0</v>
      </c>
      <c r="J2078">
        <f>IF(Table13[[#This Row],[POS]]=0,1,0)</f>
        <v>0</v>
      </c>
      <c r="K2078">
        <f>SUM(Table13[[#This Row],[prefix]],Table13[[#This Row],[Past zero L]],Table13[[#This Row],[Past Zero R]],Table13[[#This Row],[Is Zero]])</f>
        <v>1</v>
      </c>
    </row>
    <row r="2079" spans="1:11" ht="16" x14ac:dyDescent="0.2">
      <c r="A2079" s="1" t="s">
        <v>557</v>
      </c>
      <c r="B2079" t="str">
        <f>LEFT(Table13[[#This Row],[Input]],1)</f>
        <v>L</v>
      </c>
      <c r="C2079">
        <f>_xlfn.LET(_xlpm.steps,SUBSTITUTE(Table13[[#This Row],[Input]],Table13[[#This Row],[Direction]],""),VALUE(IF(LEN(_xlpm.steps)&gt;2,RIGHT(_xlpm.steps,2),_xlpm.steps)))</f>
        <v>71</v>
      </c>
      <c r="D2079">
        <f>_xlfn.LET(_xlpm.steps,SUBSTITUTE(Table13[[#This Row],[Input]],Table13[[#This Row],[Direction]],""),VALUE(IF(LEN(_xlpm.steps)&gt;2,LEFT(_xlpm.steps,LEN(_xlpm.steps)-2),0)))</f>
        <v>7</v>
      </c>
      <c r="E2079">
        <f>_xlfn.LET(_xlpm.dir,Table13[[#This Row],[Direction]],
IF(_xlpm.dir="L",
    IF(G2078-Table13[[#This Row],[Steps]]&lt;0,100+(G2078-Table13[[#This Row],[Steps]]),G2078-Table13[[#This Row],[Steps]]),
))</f>
        <v>83</v>
      </c>
      <c r="F2079">
        <f>_xlfn.LET(_xlpm.dir,Table13[[#This Row],[Direction]],
IF(_xlpm.dir="R",
    IF(G2078+Table13[[#This Row],[Steps]]&gt;99,(G2078+Table13[[#This Row],[Steps]])-100,G2078+Table13[[#This Row],[Steps]]),
))</f>
        <v>0</v>
      </c>
      <c r="G2079">
        <f>IF(Table13[[#This Row],[New Pos L]]&lt;&gt;0,Table13[[#This Row],[New Pos L]],Table13[[#This Row],[New Pos R]])</f>
        <v>83</v>
      </c>
      <c r="H2079">
        <f>IF(AND(Table13[[#This Row],[Direction]]="L",Table13[[#This Row],[Steps]]&gt;G2078,G2078&lt;&gt;0),1,0)</f>
        <v>1</v>
      </c>
      <c r="I2079">
        <f>IF(AND(Table13[[#This Row],[Direction]]="R",(G2078+Table13[[#This Row],[Steps]])&gt;100),1,0)</f>
        <v>0</v>
      </c>
      <c r="J2079">
        <f>IF(Table13[[#This Row],[POS]]=0,1,0)</f>
        <v>0</v>
      </c>
      <c r="K2079">
        <f>SUM(Table13[[#This Row],[prefix]],Table13[[#This Row],[Past zero L]],Table13[[#This Row],[Past Zero R]],Table13[[#This Row],[Is Zero]])</f>
        <v>8</v>
      </c>
    </row>
    <row r="2080" spans="1:11" ht="16" x14ac:dyDescent="0.2">
      <c r="A2080" s="1" t="s">
        <v>63</v>
      </c>
      <c r="B2080" t="str">
        <f>LEFT(Table13[[#This Row],[Input]],1)</f>
        <v>R</v>
      </c>
      <c r="C2080">
        <f>_xlfn.LET(_xlpm.steps,SUBSTITUTE(Table13[[#This Row],[Input]],Table13[[#This Row],[Direction]],""),VALUE(IF(LEN(_xlpm.steps)&gt;2,RIGHT(_xlpm.steps,2),_xlpm.steps)))</f>
        <v>57</v>
      </c>
      <c r="D2080">
        <f>_xlfn.LET(_xlpm.steps,SUBSTITUTE(Table13[[#This Row],[Input]],Table13[[#This Row],[Direction]],""),VALUE(IF(LEN(_xlpm.steps)&gt;2,LEFT(_xlpm.steps,LEN(_xlpm.steps)-2),0)))</f>
        <v>0</v>
      </c>
      <c r="E2080">
        <f>_xlfn.LET(_xlpm.dir,Table13[[#This Row],[Direction]],
IF(_xlpm.dir="L",
    IF(G2079-Table13[[#This Row],[Steps]]&lt;0,100+(G2079-Table13[[#This Row],[Steps]]),G2079-Table13[[#This Row],[Steps]]),
))</f>
        <v>0</v>
      </c>
      <c r="F2080">
        <f>_xlfn.LET(_xlpm.dir,Table13[[#This Row],[Direction]],
IF(_xlpm.dir="R",
    IF(G2079+Table13[[#This Row],[Steps]]&gt;99,(G2079+Table13[[#This Row],[Steps]])-100,G2079+Table13[[#This Row],[Steps]]),
))</f>
        <v>40</v>
      </c>
      <c r="G2080">
        <f>IF(Table13[[#This Row],[New Pos L]]&lt;&gt;0,Table13[[#This Row],[New Pos L]],Table13[[#This Row],[New Pos R]])</f>
        <v>40</v>
      </c>
      <c r="H2080">
        <f>IF(AND(Table13[[#This Row],[Direction]]="L",Table13[[#This Row],[Steps]]&gt;G2079,G2079&lt;&gt;0),1,0)</f>
        <v>0</v>
      </c>
      <c r="I2080">
        <f>IF(AND(Table13[[#This Row],[Direction]]="R",(G2079+Table13[[#This Row],[Steps]])&gt;100),1,0)</f>
        <v>1</v>
      </c>
      <c r="J2080">
        <f>IF(Table13[[#This Row],[POS]]=0,1,0)</f>
        <v>0</v>
      </c>
      <c r="K2080">
        <f>SUM(Table13[[#This Row],[prefix]],Table13[[#This Row],[Past zero L]],Table13[[#This Row],[Past Zero R]],Table13[[#This Row],[Is Zero]])</f>
        <v>1</v>
      </c>
    </row>
    <row r="2081" spans="1:11" ht="16" x14ac:dyDescent="0.2">
      <c r="A2081" s="1" t="s">
        <v>241</v>
      </c>
      <c r="B2081" t="str">
        <f>LEFT(Table13[[#This Row],[Input]],1)</f>
        <v>R</v>
      </c>
      <c r="C2081">
        <f>_xlfn.LET(_xlpm.steps,SUBSTITUTE(Table13[[#This Row],[Input]],Table13[[#This Row],[Direction]],""),VALUE(IF(LEN(_xlpm.steps)&gt;2,RIGHT(_xlpm.steps,2),_xlpm.steps)))</f>
        <v>60</v>
      </c>
      <c r="D2081">
        <f>_xlfn.LET(_xlpm.steps,SUBSTITUTE(Table13[[#This Row],[Input]],Table13[[#This Row],[Direction]],""),VALUE(IF(LEN(_xlpm.steps)&gt;2,LEFT(_xlpm.steps,LEN(_xlpm.steps)-2),0)))</f>
        <v>0</v>
      </c>
      <c r="E2081">
        <f>_xlfn.LET(_xlpm.dir,Table13[[#This Row],[Direction]],
IF(_xlpm.dir="L",
    IF(G2080-Table13[[#This Row],[Steps]]&lt;0,100+(G2080-Table13[[#This Row],[Steps]]),G2080-Table13[[#This Row],[Steps]]),
))</f>
        <v>0</v>
      </c>
      <c r="F2081">
        <f>_xlfn.LET(_xlpm.dir,Table13[[#This Row],[Direction]],
IF(_xlpm.dir="R",
    IF(G2080+Table13[[#This Row],[Steps]]&gt;99,(G2080+Table13[[#This Row],[Steps]])-100,G2080+Table13[[#This Row],[Steps]]),
))</f>
        <v>0</v>
      </c>
      <c r="G2081">
        <f>IF(Table13[[#This Row],[New Pos L]]&lt;&gt;0,Table13[[#This Row],[New Pos L]],Table13[[#This Row],[New Pos R]])</f>
        <v>0</v>
      </c>
      <c r="H2081">
        <f>IF(AND(Table13[[#This Row],[Direction]]="L",Table13[[#This Row],[Steps]]&gt;G2080,G2080&lt;&gt;0),1,0)</f>
        <v>0</v>
      </c>
      <c r="I2081">
        <f>IF(AND(Table13[[#This Row],[Direction]]="R",(G2080+Table13[[#This Row],[Steps]])&gt;100),1,0)</f>
        <v>0</v>
      </c>
      <c r="J2081">
        <f>IF(Table13[[#This Row],[POS]]=0,1,0)</f>
        <v>1</v>
      </c>
      <c r="K2081">
        <f>SUM(Table13[[#This Row],[prefix]],Table13[[#This Row],[Past zero L]],Table13[[#This Row],[Past Zero R]],Table13[[#This Row],[Is Zero]])</f>
        <v>1</v>
      </c>
    </row>
    <row r="2082" spans="1:11" ht="16" x14ac:dyDescent="0.2">
      <c r="A2082" s="1" t="s">
        <v>141</v>
      </c>
      <c r="B2082" t="str">
        <f>LEFT(Table13[[#This Row],[Input]],1)</f>
        <v>L</v>
      </c>
      <c r="C2082">
        <f>_xlfn.LET(_xlpm.steps,SUBSTITUTE(Table13[[#This Row],[Input]],Table13[[#This Row],[Direction]],""),VALUE(IF(LEN(_xlpm.steps)&gt;2,RIGHT(_xlpm.steps,2),_xlpm.steps)))</f>
        <v>90</v>
      </c>
      <c r="D2082">
        <f>_xlfn.LET(_xlpm.steps,SUBSTITUTE(Table13[[#This Row],[Input]],Table13[[#This Row],[Direction]],""),VALUE(IF(LEN(_xlpm.steps)&gt;2,LEFT(_xlpm.steps,LEN(_xlpm.steps)-2),0)))</f>
        <v>0</v>
      </c>
      <c r="E2082">
        <f>_xlfn.LET(_xlpm.dir,Table13[[#This Row],[Direction]],
IF(_xlpm.dir="L",
    IF(G2081-Table13[[#This Row],[Steps]]&lt;0,100+(G2081-Table13[[#This Row],[Steps]]),G2081-Table13[[#This Row],[Steps]]),
))</f>
        <v>10</v>
      </c>
      <c r="F2082">
        <f>_xlfn.LET(_xlpm.dir,Table13[[#This Row],[Direction]],
IF(_xlpm.dir="R",
    IF(G2081+Table13[[#This Row],[Steps]]&gt;99,(G2081+Table13[[#This Row],[Steps]])-100,G2081+Table13[[#This Row],[Steps]]),
))</f>
        <v>0</v>
      </c>
      <c r="G2082">
        <f>IF(Table13[[#This Row],[New Pos L]]&lt;&gt;0,Table13[[#This Row],[New Pos L]],Table13[[#This Row],[New Pos R]])</f>
        <v>10</v>
      </c>
      <c r="H2082">
        <f>IF(AND(Table13[[#This Row],[Direction]]="L",Table13[[#This Row],[Steps]]&gt;G2081,G2081&lt;&gt;0),1,0)</f>
        <v>0</v>
      </c>
      <c r="I2082">
        <f>IF(AND(Table13[[#This Row],[Direction]]="R",(G2081+Table13[[#This Row],[Steps]])&gt;100),1,0)</f>
        <v>0</v>
      </c>
      <c r="J2082">
        <f>IF(Table13[[#This Row],[POS]]=0,1,0)</f>
        <v>0</v>
      </c>
      <c r="K2082">
        <f>SUM(Table13[[#This Row],[prefix]],Table13[[#This Row],[Past zero L]],Table13[[#This Row],[Past Zero R]],Table13[[#This Row],[Is Zero]])</f>
        <v>0</v>
      </c>
    </row>
    <row r="2083" spans="1:11" ht="16" x14ac:dyDescent="0.2">
      <c r="A2083" s="1" t="s">
        <v>558</v>
      </c>
      <c r="B2083" t="str">
        <f>LEFT(Table13[[#This Row],[Input]],1)</f>
        <v>L</v>
      </c>
      <c r="C2083">
        <f>_xlfn.LET(_xlpm.steps,SUBSTITUTE(Table13[[#This Row],[Input]],Table13[[#This Row],[Direction]],""),VALUE(IF(LEN(_xlpm.steps)&gt;2,RIGHT(_xlpm.steps,2),_xlpm.steps)))</f>
        <v>10</v>
      </c>
      <c r="D2083">
        <f>_xlfn.LET(_xlpm.steps,SUBSTITUTE(Table13[[#This Row],[Input]],Table13[[#This Row],[Direction]],""),VALUE(IF(LEN(_xlpm.steps)&gt;2,LEFT(_xlpm.steps,LEN(_xlpm.steps)-2),0)))</f>
        <v>7</v>
      </c>
      <c r="E2083">
        <f>_xlfn.LET(_xlpm.dir,Table13[[#This Row],[Direction]],
IF(_xlpm.dir="L",
    IF(G2082-Table13[[#This Row],[Steps]]&lt;0,100+(G2082-Table13[[#This Row],[Steps]]),G2082-Table13[[#This Row],[Steps]]),
))</f>
        <v>0</v>
      </c>
      <c r="F2083">
        <f>_xlfn.LET(_xlpm.dir,Table13[[#This Row],[Direction]],
IF(_xlpm.dir="R",
    IF(G2082+Table13[[#This Row],[Steps]]&gt;99,(G2082+Table13[[#This Row],[Steps]])-100,G2082+Table13[[#This Row],[Steps]]),
))</f>
        <v>0</v>
      </c>
      <c r="G2083">
        <f>IF(Table13[[#This Row],[New Pos L]]&lt;&gt;0,Table13[[#This Row],[New Pos L]],Table13[[#This Row],[New Pos R]])</f>
        <v>0</v>
      </c>
      <c r="H2083">
        <f>IF(AND(Table13[[#This Row],[Direction]]="L",Table13[[#This Row],[Steps]]&gt;G2082,G2082&lt;&gt;0),1,0)</f>
        <v>0</v>
      </c>
      <c r="I2083">
        <f>IF(AND(Table13[[#This Row],[Direction]]="R",(G2082+Table13[[#This Row],[Steps]])&gt;100),1,0)</f>
        <v>0</v>
      </c>
      <c r="J2083">
        <f>IF(Table13[[#This Row],[POS]]=0,1,0)</f>
        <v>1</v>
      </c>
      <c r="K2083">
        <f>SUM(Table13[[#This Row],[prefix]],Table13[[#This Row],[Past zero L]],Table13[[#This Row],[Past Zero R]],Table13[[#This Row],[Is Zero]])</f>
        <v>8</v>
      </c>
    </row>
    <row r="2084" spans="1:11" ht="16" x14ac:dyDescent="0.2">
      <c r="A2084" s="1" t="s">
        <v>559</v>
      </c>
      <c r="B2084" t="str">
        <f>LEFT(Table13[[#This Row],[Input]],1)</f>
        <v>R</v>
      </c>
      <c r="C2084">
        <f>_xlfn.LET(_xlpm.steps,SUBSTITUTE(Table13[[#This Row],[Input]],Table13[[#This Row],[Direction]],""),VALUE(IF(LEN(_xlpm.steps)&gt;2,RIGHT(_xlpm.steps,2),_xlpm.steps)))</f>
        <v>32</v>
      </c>
      <c r="D2084">
        <f>_xlfn.LET(_xlpm.steps,SUBSTITUTE(Table13[[#This Row],[Input]],Table13[[#This Row],[Direction]],""),VALUE(IF(LEN(_xlpm.steps)&gt;2,LEFT(_xlpm.steps,LEN(_xlpm.steps)-2),0)))</f>
        <v>6</v>
      </c>
      <c r="E2084">
        <f>_xlfn.LET(_xlpm.dir,Table13[[#This Row],[Direction]],
IF(_xlpm.dir="L",
    IF(G2083-Table13[[#This Row],[Steps]]&lt;0,100+(G2083-Table13[[#This Row],[Steps]]),G2083-Table13[[#This Row],[Steps]]),
))</f>
        <v>0</v>
      </c>
      <c r="F2084">
        <f>_xlfn.LET(_xlpm.dir,Table13[[#This Row],[Direction]],
IF(_xlpm.dir="R",
    IF(G2083+Table13[[#This Row],[Steps]]&gt;99,(G2083+Table13[[#This Row],[Steps]])-100,G2083+Table13[[#This Row],[Steps]]),
))</f>
        <v>32</v>
      </c>
      <c r="G2084">
        <f>IF(Table13[[#This Row],[New Pos L]]&lt;&gt;0,Table13[[#This Row],[New Pos L]],Table13[[#This Row],[New Pos R]])</f>
        <v>32</v>
      </c>
      <c r="H2084">
        <f>IF(AND(Table13[[#This Row],[Direction]]="L",Table13[[#This Row],[Steps]]&gt;G2083,G2083&lt;&gt;0),1,0)</f>
        <v>0</v>
      </c>
      <c r="I2084">
        <f>IF(AND(Table13[[#This Row],[Direction]]="R",(G2083+Table13[[#This Row],[Steps]])&gt;100),1,0)</f>
        <v>0</v>
      </c>
      <c r="J2084">
        <f>IF(Table13[[#This Row],[POS]]=0,1,0)</f>
        <v>0</v>
      </c>
      <c r="K2084">
        <f>SUM(Table13[[#This Row],[prefix]],Table13[[#This Row],[Past zero L]],Table13[[#This Row],[Past Zero R]],Table13[[#This Row],[Is Zero]])</f>
        <v>6</v>
      </c>
    </row>
    <row r="2085" spans="1:11" ht="16" x14ac:dyDescent="0.2">
      <c r="A2085" s="1" t="s">
        <v>560</v>
      </c>
      <c r="B2085" t="str">
        <f>LEFT(Table13[[#This Row],[Input]],1)</f>
        <v>L</v>
      </c>
      <c r="C2085">
        <f>_xlfn.LET(_xlpm.steps,SUBSTITUTE(Table13[[#This Row],[Input]],Table13[[#This Row],[Direction]],""),VALUE(IF(LEN(_xlpm.steps)&gt;2,RIGHT(_xlpm.steps,2),_xlpm.steps)))</f>
        <v>32</v>
      </c>
      <c r="D2085">
        <f>_xlfn.LET(_xlpm.steps,SUBSTITUTE(Table13[[#This Row],[Input]],Table13[[#This Row],[Direction]],""),VALUE(IF(LEN(_xlpm.steps)&gt;2,LEFT(_xlpm.steps,LEN(_xlpm.steps)-2),0)))</f>
        <v>2</v>
      </c>
      <c r="E2085">
        <f>_xlfn.LET(_xlpm.dir,Table13[[#This Row],[Direction]],
IF(_xlpm.dir="L",
    IF(G2084-Table13[[#This Row],[Steps]]&lt;0,100+(G2084-Table13[[#This Row],[Steps]]),G2084-Table13[[#This Row],[Steps]]),
))</f>
        <v>0</v>
      </c>
      <c r="F2085">
        <f>_xlfn.LET(_xlpm.dir,Table13[[#This Row],[Direction]],
IF(_xlpm.dir="R",
    IF(G2084+Table13[[#This Row],[Steps]]&gt;99,(G2084+Table13[[#This Row],[Steps]])-100,G2084+Table13[[#This Row],[Steps]]),
))</f>
        <v>0</v>
      </c>
      <c r="G2085">
        <f>IF(Table13[[#This Row],[New Pos L]]&lt;&gt;0,Table13[[#This Row],[New Pos L]],Table13[[#This Row],[New Pos R]])</f>
        <v>0</v>
      </c>
      <c r="H2085">
        <f>IF(AND(Table13[[#This Row],[Direction]]="L",Table13[[#This Row],[Steps]]&gt;G2084,G2084&lt;&gt;0),1,0)</f>
        <v>0</v>
      </c>
      <c r="I2085">
        <f>IF(AND(Table13[[#This Row],[Direction]]="R",(G2084+Table13[[#This Row],[Steps]])&gt;100),1,0)</f>
        <v>0</v>
      </c>
      <c r="J2085">
        <f>IF(Table13[[#This Row],[POS]]=0,1,0)</f>
        <v>1</v>
      </c>
      <c r="K2085">
        <f>SUM(Table13[[#This Row],[prefix]],Table13[[#This Row],[Past zero L]],Table13[[#This Row],[Past Zero R]],Table13[[#This Row],[Is Zero]])</f>
        <v>3</v>
      </c>
    </row>
    <row r="2086" spans="1:11" ht="16" x14ac:dyDescent="0.2">
      <c r="A2086" s="1" t="s">
        <v>139</v>
      </c>
      <c r="B2086" t="str">
        <f>LEFT(Table13[[#This Row],[Input]],1)</f>
        <v>R</v>
      </c>
      <c r="C2086">
        <f>_xlfn.LET(_xlpm.steps,SUBSTITUTE(Table13[[#This Row],[Input]],Table13[[#This Row],[Direction]],""),VALUE(IF(LEN(_xlpm.steps)&gt;2,RIGHT(_xlpm.steps,2),_xlpm.steps)))</f>
        <v>38</v>
      </c>
      <c r="D2086">
        <f>_xlfn.LET(_xlpm.steps,SUBSTITUTE(Table13[[#This Row],[Input]],Table13[[#This Row],[Direction]],""),VALUE(IF(LEN(_xlpm.steps)&gt;2,LEFT(_xlpm.steps,LEN(_xlpm.steps)-2),0)))</f>
        <v>0</v>
      </c>
      <c r="E2086">
        <f>_xlfn.LET(_xlpm.dir,Table13[[#This Row],[Direction]],
IF(_xlpm.dir="L",
    IF(G2085-Table13[[#This Row],[Steps]]&lt;0,100+(G2085-Table13[[#This Row],[Steps]]),G2085-Table13[[#This Row],[Steps]]),
))</f>
        <v>0</v>
      </c>
      <c r="F2086">
        <f>_xlfn.LET(_xlpm.dir,Table13[[#This Row],[Direction]],
IF(_xlpm.dir="R",
    IF(G2085+Table13[[#This Row],[Steps]]&gt;99,(G2085+Table13[[#This Row],[Steps]])-100,G2085+Table13[[#This Row],[Steps]]),
))</f>
        <v>38</v>
      </c>
      <c r="G2086">
        <f>IF(Table13[[#This Row],[New Pos L]]&lt;&gt;0,Table13[[#This Row],[New Pos L]],Table13[[#This Row],[New Pos R]])</f>
        <v>38</v>
      </c>
      <c r="H2086">
        <f>IF(AND(Table13[[#This Row],[Direction]]="L",Table13[[#This Row],[Steps]]&gt;G2085,G2085&lt;&gt;0),1,0)</f>
        <v>0</v>
      </c>
      <c r="I2086">
        <f>IF(AND(Table13[[#This Row],[Direction]]="R",(G2085+Table13[[#This Row],[Steps]])&gt;100),1,0)</f>
        <v>0</v>
      </c>
      <c r="J2086">
        <f>IF(Table13[[#This Row],[POS]]=0,1,0)</f>
        <v>0</v>
      </c>
      <c r="K2086">
        <f>SUM(Table13[[#This Row],[prefix]],Table13[[#This Row],[Past zero L]],Table13[[#This Row],[Past Zero R]],Table13[[#This Row],[Is Zero]])</f>
        <v>0</v>
      </c>
    </row>
    <row r="2087" spans="1:11" ht="16" x14ac:dyDescent="0.2">
      <c r="A2087" s="1" t="s">
        <v>561</v>
      </c>
      <c r="B2087" t="str">
        <f>LEFT(Table13[[#This Row],[Input]],1)</f>
        <v>R</v>
      </c>
      <c r="C2087">
        <f>_xlfn.LET(_xlpm.steps,SUBSTITUTE(Table13[[#This Row],[Input]],Table13[[#This Row],[Direction]],""),VALUE(IF(LEN(_xlpm.steps)&gt;2,RIGHT(_xlpm.steps,2),_xlpm.steps)))</f>
        <v>62</v>
      </c>
      <c r="D2087">
        <f>_xlfn.LET(_xlpm.steps,SUBSTITUTE(Table13[[#This Row],[Input]],Table13[[#This Row],[Direction]],""),VALUE(IF(LEN(_xlpm.steps)&gt;2,LEFT(_xlpm.steps,LEN(_xlpm.steps)-2),0)))</f>
        <v>1</v>
      </c>
      <c r="E2087">
        <f>_xlfn.LET(_xlpm.dir,Table13[[#This Row],[Direction]],
IF(_xlpm.dir="L",
    IF(G2086-Table13[[#This Row],[Steps]]&lt;0,100+(G2086-Table13[[#This Row],[Steps]]),G2086-Table13[[#This Row],[Steps]]),
))</f>
        <v>0</v>
      </c>
      <c r="F2087">
        <f>_xlfn.LET(_xlpm.dir,Table13[[#This Row],[Direction]],
IF(_xlpm.dir="R",
    IF(G2086+Table13[[#This Row],[Steps]]&gt;99,(G2086+Table13[[#This Row],[Steps]])-100,G2086+Table13[[#This Row],[Steps]]),
))</f>
        <v>0</v>
      </c>
      <c r="G2087">
        <f>IF(Table13[[#This Row],[New Pos L]]&lt;&gt;0,Table13[[#This Row],[New Pos L]],Table13[[#This Row],[New Pos R]])</f>
        <v>0</v>
      </c>
      <c r="H2087">
        <f>IF(AND(Table13[[#This Row],[Direction]]="L",Table13[[#This Row],[Steps]]&gt;G2086,G2086&lt;&gt;0),1,0)</f>
        <v>0</v>
      </c>
      <c r="I2087">
        <f>IF(AND(Table13[[#This Row],[Direction]]="R",(G2086+Table13[[#This Row],[Steps]])&gt;100),1,0)</f>
        <v>0</v>
      </c>
      <c r="J2087">
        <f>IF(Table13[[#This Row],[POS]]=0,1,0)</f>
        <v>1</v>
      </c>
      <c r="K2087">
        <f>SUM(Table13[[#This Row],[prefix]],Table13[[#This Row],[Past zero L]],Table13[[#This Row],[Past Zero R]],Table13[[#This Row],[Is Zero]])</f>
        <v>2</v>
      </c>
    </row>
    <row r="2088" spans="1:11" ht="16" x14ac:dyDescent="0.2">
      <c r="A2088" s="1" t="s">
        <v>16</v>
      </c>
      <c r="B2088" t="str">
        <f>LEFT(Table13[[#This Row],[Input]],1)</f>
        <v>L</v>
      </c>
      <c r="C2088">
        <f>_xlfn.LET(_xlpm.steps,SUBSTITUTE(Table13[[#This Row],[Input]],Table13[[#This Row],[Direction]],""),VALUE(IF(LEN(_xlpm.steps)&gt;2,RIGHT(_xlpm.steps,2),_xlpm.steps)))</f>
        <v>10</v>
      </c>
      <c r="D2088">
        <f>_xlfn.LET(_xlpm.steps,SUBSTITUTE(Table13[[#This Row],[Input]],Table13[[#This Row],[Direction]],""),VALUE(IF(LEN(_xlpm.steps)&gt;2,LEFT(_xlpm.steps,LEN(_xlpm.steps)-2),0)))</f>
        <v>0</v>
      </c>
      <c r="E2088">
        <f>_xlfn.LET(_xlpm.dir,Table13[[#This Row],[Direction]],
IF(_xlpm.dir="L",
    IF(G2087-Table13[[#This Row],[Steps]]&lt;0,100+(G2087-Table13[[#This Row],[Steps]]),G2087-Table13[[#This Row],[Steps]]),
))</f>
        <v>90</v>
      </c>
      <c r="F2088">
        <f>_xlfn.LET(_xlpm.dir,Table13[[#This Row],[Direction]],
IF(_xlpm.dir="R",
    IF(G2087+Table13[[#This Row],[Steps]]&gt;99,(G2087+Table13[[#This Row],[Steps]])-100,G2087+Table13[[#This Row],[Steps]]),
))</f>
        <v>0</v>
      </c>
      <c r="G2088">
        <f>IF(Table13[[#This Row],[New Pos L]]&lt;&gt;0,Table13[[#This Row],[New Pos L]],Table13[[#This Row],[New Pos R]])</f>
        <v>90</v>
      </c>
      <c r="H2088">
        <f>IF(AND(Table13[[#This Row],[Direction]]="L",Table13[[#This Row],[Steps]]&gt;G2087,G2087&lt;&gt;0),1,0)</f>
        <v>0</v>
      </c>
      <c r="I2088">
        <f>IF(AND(Table13[[#This Row],[Direction]]="R",(G2087+Table13[[#This Row],[Steps]])&gt;100),1,0)</f>
        <v>0</v>
      </c>
      <c r="J2088">
        <f>IF(Table13[[#This Row],[POS]]=0,1,0)</f>
        <v>0</v>
      </c>
      <c r="K2088">
        <f>SUM(Table13[[#This Row],[prefix]],Table13[[#This Row],[Past zero L]],Table13[[#This Row],[Past Zero R]],Table13[[#This Row],[Is Zero]])</f>
        <v>0</v>
      </c>
    </row>
    <row r="2089" spans="1:11" ht="16" x14ac:dyDescent="0.2">
      <c r="A2089" s="1" t="s">
        <v>187</v>
      </c>
      <c r="B2089" t="str">
        <f>LEFT(Table13[[#This Row],[Input]],1)</f>
        <v>R</v>
      </c>
      <c r="C2089">
        <f>_xlfn.LET(_xlpm.steps,SUBSTITUTE(Table13[[#This Row],[Input]],Table13[[#This Row],[Direction]],""),VALUE(IF(LEN(_xlpm.steps)&gt;2,RIGHT(_xlpm.steps,2),_xlpm.steps)))</f>
        <v>20</v>
      </c>
      <c r="D2089">
        <f>_xlfn.LET(_xlpm.steps,SUBSTITUTE(Table13[[#This Row],[Input]],Table13[[#This Row],[Direction]],""),VALUE(IF(LEN(_xlpm.steps)&gt;2,LEFT(_xlpm.steps,LEN(_xlpm.steps)-2),0)))</f>
        <v>0</v>
      </c>
      <c r="E2089">
        <f>_xlfn.LET(_xlpm.dir,Table13[[#This Row],[Direction]],
IF(_xlpm.dir="L",
    IF(G2088-Table13[[#This Row],[Steps]]&lt;0,100+(G2088-Table13[[#This Row],[Steps]]),G2088-Table13[[#This Row],[Steps]]),
))</f>
        <v>0</v>
      </c>
      <c r="F2089">
        <f>_xlfn.LET(_xlpm.dir,Table13[[#This Row],[Direction]],
IF(_xlpm.dir="R",
    IF(G2088+Table13[[#This Row],[Steps]]&gt;99,(G2088+Table13[[#This Row],[Steps]])-100,G2088+Table13[[#This Row],[Steps]]),
))</f>
        <v>10</v>
      </c>
      <c r="G2089">
        <f>IF(Table13[[#This Row],[New Pos L]]&lt;&gt;0,Table13[[#This Row],[New Pos L]],Table13[[#This Row],[New Pos R]])</f>
        <v>10</v>
      </c>
      <c r="H2089">
        <f>IF(AND(Table13[[#This Row],[Direction]]="L",Table13[[#This Row],[Steps]]&gt;G2088,G2088&lt;&gt;0),1,0)</f>
        <v>0</v>
      </c>
      <c r="I2089">
        <f>IF(AND(Table13[[#This Row],[Direction]]="R",(G2088+Table13[[#This Row],[Steps]])&gt;100),1,0)</f>
        <v>1</v>
      </c>
      <c r="J2089">
        <f>IF(Table13[[#This Row],[POS]]=0,1,0)</f>
        <v>0</v>
      </c>
      <c r="K2089">
        <f>SUM(Table13[[#This Row],[prefix]],Table13[[#This Row],[Past zero L]],Table13[[#This Row],[Past Zero R]],Table13[[#This Row],[Is Zero]])</f>
        <v>1</v>
      </c>
    </row>
    <row r="2090" spans="1:11" ht="16" x14ac:dyDescent="0.2">
      <c r="A2090" s="1" t="s">
        <v>16</v>
      </c>
      <c r="B2090" t="str">
        <f>LEFT(Table13[[#This Row],[Input]],1)</f>
        <v>L</v>
      </c>
      <c r="C2090">
        <f>_xlfn.LET(_xlpm.steps,SUBSTITUTE(Table13[[#This Row],[Input]],Table13[[#This Row],[Direction]],""),VALUE(IF(LEN(_xlpm.steps)&gt;2,RIGHT(_xlpm.steps,2),_xlpm.steps)))</f>
        <v>10</v>
      </c>
      <c r="D2090">
        <f>_xlfn.LET(_xlpm.steps,SUBSTITUTE(Table13[[#This Row],[Input]],Table13[[#This Row],[Direction]],""),VALUE(IF(LEN(_xlpm.steps)&gt;2,LEFT(_xlpm.steps,LEN(_xlpm.steps)-2),0)))</f>
        <v>0</v>
      </c>
      <c r="E2090">
        <f>_xlfn.LET(_xlpm.dir,Table13[[#This Row],[Direction]],
IF(_xlpm.dir="L",
    IF(G2089-Table13[[#This Row],[Steps]]&lt;0,100+(G2089-Table13[[#This Row],[Steps]]),G2089-Table13[[#This Row],[Steps]]),
))</f>
        <v>0</v>
      </c>
      <c r="F2090">
        <f>_xlfn.LET(_xlpm.dir,Table13[[#This Row],[Direction]],
IF(_xlpm.dir="R",
    IF(G2089+Table13[[#This Row],[Steps]]&gt;99,(G2089+Table13[[#This Row],[Steps]])-100,G2089+Table13[[#This Row],[Steps]]),
))</f>
        <v>0</v>
      </c>
      <c r="G2090">
        <f>IF(Table13[[#This Row],[New Pos L]]&lt;&gt;0,Table13[[#This Row],[New Pos L]],Table13[[#This Row],[New Pos R]])</f>
        <v>0</v>
      </c>
      <c r="H2090">
        <f>IF(AND(Table13[[#This Row],[Direction]]="L",Table13[[#This Row],[Steps]]&gt;G2089,G2089&lt;&gt;0),1,0)</f>
        <v>0</v>
      </c>
      <c r="I2090">
        <f>IF(AND(Table13[[#This Row],[Direction]]="R",(G2089+Table13[[#This Row],[Steps]])&gt;100),1,0)</f>
        <v>0</v>
      </c>
      <c r="J2090">
        <f>IF(Table13[[#This Row],[POS]]=0,1,0)</f>
        <v>1</v>
      </c>
      <c r="K2090">
        <f>SUM(Table13[[#This Row],[prefix]],Table13[[#This Row],[Past zero L]],Table13[[#This Row],[Past Zero R]],Table13[[#This Row],[Is Zero]])</f>
        <v>1</v>
      </c>
    </row>
    <row r="2091" spans="1:11" ht="16" x14ac:dyDescent="0.2">
      <c r="A2091" s="1" t="s">
        <v>52</v>
      </c>
      <c r="B2091" t="str">
        <f>LEFT(Table13[[#This Row],[Input]],1)</f>
        <v>R</v>
      </c>
      <c r="C2091">
        <f>_xlfn.LET(_xlpm.steps,SUBSTITUTE(Table13[[#This Row],[Input]],Table13[[#This Row],[Direction]],""),VALUE(IF(LEN(_xlpm.steps)&gt;2,RIGHT(_xlpm.steps,2),_xlpm.steps)))</f>
        <v>11</v>
      </c>
      <c r="D2091">
        <f>_xlfn.LET(_xlpm.steps,SUBSTITUTE(Table13[[#This Row],[Input]],Table13[[#This Row],[Direction]],""),VALUE(IF(LEN(_xlpm.steps)&gt;2,LEFT(_xlpm.steps,LEN(_xlpm.steps)-2),0)))</f>
        <v>0</v>
      </c>
      <c r="E2091">
        <f>_xlfn.LET(_xlpm.dir,Table13[[#This Row],[Direction]],
IF(_xlpm.dir="L",
    IF(G2090-Table13[[#This Row],[Steps]]&lt;0,100+(G2090-Table13[[#This Row],[Steps]]),G2090-Table13[[#This Row],[Steps]]),
))</f>
        <v>0</v>
      </c>
      <c r="F2091">
        <f>_xlfn.LET(_xlpm.dir,Table13[[#This Row],[Direction]],
IF(_xlpm.dir="R",
    IF(G2090+Table13[[#This Row],[Steps]]&gt;99,(G2090+Table13[[#This Row],[Steps]])-100,G2090+Table13[[#This Row],[Steps]]),
))</f>
        <v>11</v>
      </c>
      <c r="G2091">
        <f>IF(Table13[[#This Row],[New Pos L]]&lt;&gt;0,Table13[[#This Row],[New Pos L]],Table13[[#This Row],[New Pos R]])</f>
        <v>11</v>
      </c>
      <c r="H2091">
        <f>IF(AND(Table13[[#This Row],[Direction]]="L",Table13[[#This Row],[Steps]]&gt;G2090,G2090&lt;&gt;0),1,0)</f>
        <v>0</v>
      </c>
      <c r="I2091">
        <f>IF(AND(Table13[[#This Row],[Direction]]="R",(G2090+Table13[[#This Row],[Steps]])&gt;100),1,0)</f>
        <v>0</v>
      </c>
      <c r="J2091">
        <f>IF(Table13[[#This Row],[POS]]=0,1,0)</f>
        <v>0</v>
      </c>
      <c r="K2091">
        <f>SUM(Table13[[#This Row],[prefix]],Table13[[#This Row],[Past zero L]],Table13[[#This Row],[Past Zero R]],Table13[[#This Row],[Is Zero]])</f>
        <v>0</v>
      </c>
    </row>
    <row r="2092" spans="1:11" ht="16" x14ac:dyDescent="0.2">
      <c r="A2092" s="1" t="s">
        <v>49</v>
      </c>
      <c r="B2092" t="str">
        <f>LEFT(Table13[[#This Row],[Input]],1)</f>
        <v>L</v>
      </c>
      <c r="C2092">
        <f>_xlfn.LET(_xlpm.steps,SUBSTITUTE(Table13[[#This Row],[Input]],Table13[[#This Row],[Direction]],""),VALUE(IF(LEN(_xlpm.steps)&gt;2,RIGHT(_xlpm.steps,2),_xlpm.steps)))</f>
        <v>93</v>
      </c>
      <c r="D2092">
        <f>_xlfn.LET(_xlpm.steps,SUBSTITUTE(Table13[[#This Row],[Input]],Table13[[#This Row],[Direction]],""),VALUE(IF(LEN(_xlpm.steps)&gt;2,LEFT(_xlpm.steps,LEN(_xlpm.steps)-2),0)))</f>
        <v>0</v>
      </c>
      <c r="E2092">
        <f>_xlfn.LET(_xlpm.dir,Table13[[#This Row],[Direction]],
IF(_xlpm.dir="L",
    IF(G2091-Table13[[#This Row],[Steps]]&lt;0,100+(G2091-Table13[[#This Row],[Steps]]),G2091-Table13[[#This Row],[Steps]]),
))</f>
        <v>18</v>
      </c>
      <c r="F2092">
        <f>_xlfn.LET(_xlpm.dir,Table13[[#This Row],[Direction]],
IF(_xlpm.dir="R",
    IF(G2091+Table13[[#This Row],[Steps]]&gt;99,(G2091+Table13[[#This Row],[Steps]])-100,G2091+Table13[[#This Row],[Steps]]),
))</f>
        <v>0</v>
      </c>
      <c r="G2092">
        <f>IF(Table13[[#This Row],[New Pos L]]&lt;&gt;0,Table13[[#This Row],[New Pos L]],Table13[[#This Row],[New Pos R]])</f>
        <v>18</v>
      </c>
      <c r="H2092">
        <f>IF(AND(Table13[[#This Row],[Direction]]="L",Table13[[#This Row],[Steps]]&gt;G2091,G2091&lt;&gt;0),1,0)</f>
        <v>1</v>
      </c>
      <c r="I2092">
        <f>IF(AND(Table13[[#This Row],[Direction]]="R",(G2091+Table13[[#This Row],[Steps]])&gt;100),1,0)</f>
        <v>0</v>
      </c>
      <c r="J2092">
        <f>IF(Table13[[#This Row],[POS]]=0,1,0)</f>
        <v>0</v>
      </c>
      <c r="K2092">
        <f>SUM(Table13[[#This Row],[prefix]],Table13[[#This Row],[Past zero L]],Table13[[#This Row],[Past Zero R]],Table13[[#This Row],[Is Zero]])</f>
        <v>1</v>
      </c>
    </row>
    <row r="2093" spans="1:11" ht="16" x14ac:dyDescent="0.2">
      <c r="A2093" s="1" t="s">
        <v>562</v>
      </c>
      <c r="B2093" t="str">
        <f>LEFT(Table13[[#This Row],[Input]],1)</f>
        <v>L</v>
      </c>
      <c r="C2093">
        <f>_xlfn.LET(_xlpm.steps,SUBSTITUTE(Table13[[#This Row],[Input]],Table13[[#This Row],[Direction]],""),VALUE(IF(LEN(_xlpm.steps)&gt;2,RIGHT(_xlpm.steps,2),_xlpm.steps)))</f>
        <v>16</v>
      </c>
      <c r="D2093">
        <f>_xlfn.LET(_xlpm.steps,SUBSTITUTE(Table13[[#This Row],[Input]],Table13[[#This Row],[Direction]],""),VALUE(IF(LEN(_xlpm.steps)&gt;2,LEFT(_xlpm.steps,LEN(_xlpm.steps)-2),0)))</f>
        <v>8</v>
      </c>
      <c r="E2093">
        <f>_xlfn.LET(_xlpm.dir,Table13[[#This Row],[Direction]],
IF(_xlpm.dir="L",
    IF(G2092-Table13[[#This Row],[Steps]]&lt;0,100+(G2092-Table13[[#This Row],[Steps]]),G2092-Table13[[#This Row],[Steps]]),
))</f>
        <v>2</v>
      </c>
      <c r="F2093">
        <f>_xlfn.LET(_xlpm.dir,Table13[[#This Row],[Direction]],
IF(_xlpm.dir="R",
    IF(G2092+Table13[[#This Row],[Steps]]&gt;99,(G2092+Table13[[#This Row],[Steps]])-100,G2092+Table13[[#This Row],[Steps]]),
))</f>
        <v>0</v>
      </c>
      <c r="G2093">
        <f>IF(Table13[[#This Row],[New Pos L]]&lt;&gt;0,Table13[[#This Row],[New Pos L]],Table13[[#This Row],[New Pos R]])</f>
        <v>2</v>
      </c>
      <c r="H2093">
        <f>IF(AND(Table13[[#This Row],[Direction]]="L",Table13[[#This Row],[Steps]]&gt;G2092,G2092&lt;&gt;0),1,0)</f>
        <v>0</v>
      </c>
      <c r="I2093">
        <f>IF(AND(Table13[[#This Row],[Direction]]="R",(G2092+Table13[[#This Row],[Steps]])&gt;100),1,0)</f>
        <v>0</v>
      </c>
      <c r="J2093">
        <f>IF(Table13[[#This Row],[POS]]=0,1,0)</f>
        <v>0</v>
      </c>
      <c r="K2093">
        <f>SUM(Table13[[#This Row],[prefix]],Table13[[#This Row],[Past zero L]],Table13[[#This Row],[Past Zero R]],Table13[[#This Row],[Is Zero]])</f>
        <v>8</v>
      </c>
    </row>
    <row r="2094" spans="1:11" ht="16" x14ac:dyDescent="0.2">
      <c r="A2094" s="1" t="s">
        <v>30</v>
      </c>
      <c r="B2094" t="str">
        <f>LEFT(Table13[[#This Row],[Input]],1)</f>
        <v>R</v>
      </c>
      <c r="C2094">
        <f>_xlfn.LET(_xlpm.steps,SUBSTITUTE(Table13[[#This Row],[Input]],Table13[[#This Row],[Direction]],""),VALUE(IF(LEN(_xlpm.steps)&gt;2,RIGHT(_xlpm.steps,2),_xlpm.steps)))</f>
        <v>48</v>
      </c>
      <c r="D2094">
        <f>_xlfn.LET(_xlpm.steps,SUBSTITUTE(Table13[[#This Row],[Input]],Table13[[#This Row],[Direction]],""),VALUE(IF(LEN(_xlpm.steps)&gt;2,LEFT(_xlpm.steps,LEN(_xlpm.steps)-2),0)))</f>
        <v>0</v>
      </c>
      <c r="E2094">
        <f>_xlfn.LET(_xlpm.dir,Table13[[#This Row],[Direction]],
IF(_xlpm.dir="L",
    IF(G2093-Table13[[#This Row],[Steps]]&lt;0,100+(G2093-Table13[[#This Row],[Steps]]),G2093-Table13[[#This Row],[Steps]]),
))</f>
        <v>0</v>
      </c>
      <c r="F2094">
        <f>_xlfn.LET(_xlpm.dir,Table13[[#This Row],[Direction]],
IF(_xlpm.dir="R",
    IF(G2093+Table13[[#This Row],[Steps]]&gt;99,(G2093+Table13[[#This Row],[Steps]])-100,G2093+Table13[[#This Row],[Steps]]),
))</f>
        <v>50</v>
      </c>
      <c r="G2094">
        <f>IF(Table13[[#This Row],[New Pos L]]&lt;&gt;0,Table13[[#This Row],[New Pos L]],Table13[[#This Row],[New Pos R]])</f>
        <v>50</v>
      </c>
      <c r="H2094">
        <f>IF(AND(Table13[[#This Row],[Direction]]="L",Table13[[#This Row],[Steps]]&gt;G2093,G2093&lt;&gt;0),1,0)</f>
        <v>0</v>
      </c>
      <c r="I2094">
        <f>IF(AND(Table13[[#This Row],[Direction]]="R",(G2093+Table13[[#This Row],[Steps]])&gt;100),1,0)</f>
        <v>0</v>
      </c>
      <c r="J2094">
        <f>IF(Table13[[#This Row],[POS]]=0,1,0)</f>
        <v>0</v>
      </c>
      <c r="K2094">
        <f>SUM(Table13[[#This Row],[prefix]],Table13[[#This Row],[Past zero L]],Table13[[#This Row],[Past Zero R]],Table13[[#This Row],[Is Zero]])</f>
        <v>0</v>
      </c>
    </row>
    <row r="2095" spans="1:11" ht="16" x14ac:dyDescent="0.2">
      <c r="A2095" s="1" t="s">
        <v>58</v>
      </c>
      <c r="B2095" t="str">
        <f>LEFT(Table13[[#This Row],[Input]],1)</f>
        <v>L</v>
      </c>
      <c r="C2095">
        <f>_xlfn.LET(_xlpm.steps,SUBSTITUTE(Table13[[#This Row],[Input]],Table13[[#This Row],[Direction]],""),VALUE(IF(LEN(_xlpm.steps)&gt;2,RIGHT(_xlpm.steps,2),_xlpm.steps)))</f>
        <v>30</v>
      </c>
      <c r="D2095">
        <f>_xlfn.LET(_xlpm.steps,SUBSTITUTE(Table13[[#This Row],[Input]],Table13[[#This Row],[Direction]],""),VALUE(IF(LEN(_xlpm.steps)&gt;2,LEFT(_xlpm.steps,LEN(_xlpm.steps)-2),0)))</f>
        <v>0</v>
      </c>
      <c r="E2095">
        <f>_xlfn.LET(_xlpm.dir,Table13[[#This Row],[Direction]],
IF(_xlpm.dir="L",
    IF(G2094-Table13[[#This Row],[Steps]]&lt;0,100+(G2094-Table13[[#This Row],[Steps]]),G2094-Table13[[#This Row],[Steps]]),
))</f>
        <v>20</v>
      </c>
      <c r="F2095">
        <f>_xlfn.LET(_xlpm.dir,Table13[[#This Row],[Direction]],
IF(_xlpm.dir="R",
    IF(G2094+Table13[[#This Row],[Steps]]&gt;99,(G2094+Table13[[#This Row],[Steps]])-100,G2094+Table13[[#This Row],[Steps]]),
))</f>
        <v>0</v>
      </c>
      <c r="G2095">
        <f>IF(Table13[[#This Row],[New Pos L]]&lt;&gt;0,Table13[[#This Row],[New Pos L]],Table13[[#This Row],[New Pos R]])</f>
        <v>20</v>
      </c>
      <c r="H2095">
        <f>IF(AND(Table13[[#This Row],[Direction]]="L",Table13[[#This Row],[Steps]]&gt;G2094,G2094&lt;&gt;0),1,0)</f>
        <v>0</v>
      </c>
      <c r="I2095">
        <f>IF(AND(Table13[[#This Row],[Direction]]="R",(G2094+Table13[[#This Row],[Steps]])&gt;100),1,0)</f>
        <v>0</v>
      </c>
      <c r="J2095">
        <f>IF(Table13[[#This Row],[POS]]=0,1,0)</f>
        <v>0</v>
      </c>
      <c r="K2095">
        <f>SUM(Table13[[#This Row],[prefix]],Table13[[#This Row],[Past zero L]],Table13[[#This Row],[Past Zero R]],Table13[[#This Row],[Is Zero]])</f>
        <v>0</v>
      </c>
    </row>
    <row r="2096" spans="1:11" ht="16" x14ac:dyDescent="0.2">
      <c r="A2096" s="1" t="s">
        <v>57</v>
      </c>
      <c r="B2096" t="str">
        <f>LEFT(Table13[[#This Row],[Input]],1)</f>
        <v>R</v>
      </c>
      <c r="C2096">
        <f>_xlfn.LET(_xlpm.steps,SUBSTITUTE(Table13[[#This Row],[Input]],Table13[[#This Row],[Direction]],""),VALUE(IF(LEN(_xlpm.steps)&gt;2,RIGHT(_xlpm.steps,2),_xlpm.steps)))</f>
        <v>29</v>
      </c>
      <c r="D2096">
        <f>_xlfn.LET(_xlpm.steps,SUBSTITUTE(Table13[[#This Row],[Input]],Table13[[#This Row],[Direction]],""),VALUE(IF(LEN(_xlpm.steps)&gt;2,LEFT(_xlpm.steps,LEN(_xlpm.steps)-2),0)))</f>
        <v>0</v>
      </c>
      <c r="E2096">
        <f>_xlfn.LET(_xlpm.dir,Table13[[#This Row],[Direction]],
IF(_xlpm.dir="L",
    IF(G2095-Table13[[#This Row],[Steps]]&lt;0,100+(G2095-Table13[[#This Row],[Steps]]),G2095-Table13[[#This Row],[Steps]]),
))</f>
        <v>0</v>
      </c>
      <c r="F2096">
        <f>_xlfn.LET(_xlpm.dir,Table13[[#This Row],[Direction]],
IF(_xlpm.dir="R",
    IF(G2095+Table13[[#This Row],[Steps]]&gt;99,(G2095+Table13[[#This Row],[Steps]])-100,G2095+Table13[[#This Row],[Steps]]),
))</f>
        <v>49</v>
      </c>
      <c r="G2096">
        <f>IF(Table13[[#This Row],[New Pos L]]&lt;&gt;0,Table13[[#This Row],[New Pos L]],Table13[[#This Row],[New Pos R]])</f>
        <v>49</v>
      </c>
      <c r="H2096">
        <f>IF(AND(Table13[[#This Row],[Direction]]="L",Table13[[#This Row],[Steps]]&gt;G2095,G2095&lt;&gt;0),1,0)</f>
        <v>0</v>
      </c>
      <c r="I2096">
        <f>IF(AND(Table13[[#This Row],[Direction]]="R",(G2095+Table13[[#This Row],[Steps]])&gt;100),1,0)</f>
        <v>0</v>
      </c>
      <c r="J2096">
        <f>IF(Table13[[#This Row],[POS]]=0,1,0)</f>
        <v>0</v>
      </c>
      <c r="K2096">
        <f>SUM(Table13[[#This Row],[prefix]],Table13[[#This Row],[Past zero L]],Table13[[#This Row],[Past Zero R]],Table13[[#This Row],[Is Zero]])</f>
        <v>0</v>
      </c>
    </row>
    <row r="2097" spans="1:11" ht="16" x14ac:dyDescent="0.2">
      <c r="A2097" s="1" t="s">
        <v>24</v>
      </c>
      <c r="B2097" t="str">
        <f>LEFT(Table13[[#This Row],[Input]],1)</f>
        <v>L</v>
      </c>
      <c r="C2097">
        <f>_xlfn.LET(_xlpm.steps,SUBSTITUTE(Table13[[#This Row],[Input]],Table13[[#This Row],[Direction]],""),VALUE(IF(LEN(_xlpm.steps)&gt;2,RIGHT(_xlpm.steps,2),_xlpm.steps)))</f>
        <v>49</v>
      </c>
      <c r="D2097">
        <f>_xlfn.LET(_xlpm.steps,SUBSTITUTE(Table13[[#This Row],[Input]],Table13[[#This Row],[Direction]],""),VALUE(IF(LEN(_xlpm.steps)&gt;2,LEFT(_xlpm.steps,LEN(_xlpm.steps)-2),0)))</f>
        <v>0</v>
      </c>
      <c r="E2097">
        <f>_xlfn.LET(_xlpm.dir,Table13[[#This Row],[Direction]],
IF(_xlpm.dir="L",
    IF(G2096-Table13[[#This Row],[Steps]]&lt;0,100+(G2096-Table13[[#This Row],[Steps]]),G2096-Table13[[#This Row],[Steps]]),
))</f>
        <v>0</v>
      </c>
      <c r="F2097">
        <f>_xlfn.LET(_xlpm.dir,Table13[[#This Row],[Direction]],
IF(_xlpm.dir="R",
    IF(G2096+Table13[[#This Row],[Steps]]&gt;99,(G2096+Table13[[#This Row],[Steps]])-100,G2096+Table13[[#This Row],[Steps]]),
))</f>
        <v>0</v>
      </c>
      <c r="G2097">
        <f>IF(Table13[[#This Row],[New Pos L]]&lt;&gt;0,Table13[[#This Row],[New Pos L]],Table13[[#This Row],[New Pos R]])</f>
        <v>0</v>
      </c>
      <c r="H2097">
        <f>IF(AND(Table13[[#This Row],[Direction]]="L",Table13[[#This Row],[Steps]]&gt;G2096,G2096&lt;&gt;0),1,0)</f>
        <v>0</v>
      </c>
      <c r="I2097">
        <f>IF(AND(Table13[[#This Row],[Direction]]="R",(G2096+Table13[[#This Row],[Steps]])&gt;100),1,0)</f>
        <v>0</v>
      </c>
      <c r="J2097">
        <f>IF(Table13[[#This Row],[POS]]=0,1,0)</f>
        <v>1</v>
      </c>
      <c r="K2097">
        <f>SUM(Table13[[#This Row],[prefix]],Table13[[#This Row],[Past zero L]],Table13[[#This Row],[Past Zero R]],Table13[[#This Row],[Is Zero]])</f>
        <v>1</v>
      </c>
    </row>
    <row r="2098" spans="1:11" ht="16" x14ac:dyDescent="0.2">
      <c r="A2098" s="1" t="s">
        <v>57</v>
      </c>
      <c r="B2098" t="str">
        <f>LEFT(Table13[[#This Row],[Input]],1)</f>
        <v>R</v>
      </c>
      <c r="C2098">
        <f>_xlfn.LET(_xlpm.steps,SUBSTITUTE(Table13[[#This Row],[Input]],Table13[[#This Row],[Direction]],""),VALUE(IF(LEN(_xlpm.steps)&gt;2,RIGHT(_xlpm.steps,2),_xlpm.steps)))</f>
        <v>29</v>
      </c>
      <c r="D2098">
        <f>_xlfn.LET(_xlpm.steps,SUBSTITUTE(Table13[[#This Row],[Input]],Table13[[#This Row],[Direction]],""),VALUE(IF(LEN(_xlpm.steps)&gt;2,LEFT(_xlpm.steps,LEN(_xlpm.steps)-2),0)))</f>
        <v>0</v>
      </c>
      <c r="E2098">
        <f>_xlfn.LET(_xlpm.dir,Table13[[#This Row],[Direction]],
IF(_xlpm.dir="L",
    IF(G2097-Table13[[#This Row],[Steps]]&lt;0,100+(G2097-Table13[[#This Row],[Steps]]),G2097-Table13[[#This Row],[Steps]]),
))</f>
        <v>0</v>
      </c>
      <c r="F2098">
        <f>_xlfn.LET(_xlpm.dir,Table13[[#This Row],[Direction]],
IF(_xlpm.dir="R",
    IF(G2097+Table13[[#This Row],[Steps]]&gt;99,(G2097+Table13[[#This Row],[Steps]])-100,G2097+Table13[[#This Row],[Steps]]),
))</f>
        <v>29</v>
      </c>
      <c r="G2098">
        <f>IF(Table13[[#This Row],[New Pos L]]&lt;&gt;0,Table13[[#This Row],[New Pos L]],Table13[[#This Row],[New Pos R]])</f>
        <v>29</v>
      </c>
      <c r="H2098">
        <f>IF(AND(Table13[[#This Row],[Direction]]="L",Table13[[#This Row],[Steps]]&gt;G2097,G2097&lt;&gt;0),1,0)</f>
        <v>0</v>
      </c>
      <c r="I2098">
        <f>IF(AND(Table13[[#This Row],[Direction]]="R",(G2097+Table13[[#This Row],[Steps]])&gt;100),1,0)</f>
        <v>0</v>
      </c>
      <c r="J2098">
        <f>IF(Table13[[#This Row],[POS]]=0,1,0)</f>
        <v>0</v>
      </c>
      <c r="K2098">
        <f>SUM(Table13[[#This Row],[prefix]],Table13[[#This Row],[Past zero L]],Table13[[#This Row],[Past Zero R]],Table13[[#This Row],[Is Zero]])</f>
        <v>0</v>
      </c>
    </row>
    <row r="2099" spans="1:11" ht="16" x14ac:dyDescent="0.2">
      <c r="A2099" s="1" t="s">
        <v>45</v>
      </c>
      <c r="B2099" t="str">
        <f>LEFT(Table13[[#This Row],[Input]],1)</f>
        <v>L</v>
      </c>
      <c r="C2099">
        <f>_xlfn.LET(_xlpm.steps,SUBSTITUTE(Table13[[#This Row],[Input]],Table13[[#This Row],[Direction]],""),VALUE(IF(LEN(_xlpm.steps)&gt;2,RIGHT(_xlpm.steps,2),_xlpm.steps)))</f>
        <v>96</v>
      </c>
      <c r="D2099">
        <f>_xlfn.LET(_xlpm.steps,SUBSTITUTE(Table13[[#This Row],[Input]],Table13[[#This Row],[Direction]],""),VALUE(IF(LEN(_xlpm.steps)&gt;2,LEFT(_xlpm.steps,LEN(_xlpm.steps)-2),0)))</f>
        <v>0</v>
      </c>
      <c r="E2099">
        <f>_xlfn.LET(_xlpm.dir,Table13[[#This Row],[Direction]],
IF(_xlpm.dir="L",
    IF(G2098-Table13[[#This Row],[Steps]]&lt;0,100+(G2098-Table13[[#This Row],[Steps]]),G2098-Table13[[#This Row],[Steps]]),
))</f>
        <v>33</v>
      </c>
      <c r="F2099">
        <f>_xlfn.LET(_xlpm.dir,Table13[[#This Row],[Direction]],
IF(_xlpm.dir="R",
    IF(G2098+Table13[[#This Row],[Steps]]&gt;99,(G2098+Table13[[#This Row],[Steps]])-100,G2098+Table13[[#This Row],[Steps]]),
))</f>
        <v>0</v>
      </c>
      <c r="G2099">
        <f>IF(Table13[[#This Row],[New Pos L]]&lt;&gt;0,Table13[[#This Row],[New Pos L]],Table13[[#This Row],[New Pos R]])</f>
        <v>33</v>
      </c>
      <c r="H2099">
        <f>IF(AND(Table13[[#This Row],[Direction]]="L",Table13[[#This Row],[Steps]]&gt;G2098,G2098&lt;&gt;0),1,0)</f>
        <v>1</v>
      </c>
      <c r="I2099">
        <f>IF(AND(Table13[[#This Row],[Direction]]="R",(G2098+Table13[[#This Row],[Steps]])&gt;100),1,0)</f>
        <v>0</v>
      </c>
      <c r="J2099">
        <f>IF(Table13[[#This Row],[POS]]=0,1,0)</f>
        <v>0</v>
      </c>
      <c r="K2099">
        <f>SUM(Table13[[#This Row],[prefix]],Table13[[#This Row],[Past zero L]],Table13[[#This Row],[Past Zero R]],Table13[[#This Row],[Is Zero]])</f>
        <v>1</v>
      </c>
    </row>
    <row r="2100" spans="1:11" ht="16" x14ac:dyDescent="0.2">
      <c r="A2100" s="1" t="s">
        <v>293</v>
      </c>
      <c r="B2100" t="str">
        <f>LEFT(Table13[[#This Row],[Input]],1)</f>
        <v>R</v>
      </c>
      <c r="C2100">
        <f>_xlfn.LET(_xlpm.steps,SUBSTITUTE(Table13[[#This Row],[Input]],Table13[[#This Row],[Direction]],""),VALUE(IF(LEN(_xlpm.steps)&gt;2,RIGHT(_xlpm.steps,2),_xlpm.steps)))</f>
        <v>67</v>
      </c>
      <c r="D2100">
        <f>_xlfn.LET(_xlpm.steps,SUBSTITUTE(Table13[[#This Row],[Input]],Table13[[#This Row],[Direction]],""),VALUE(IF(LEN(_xlpm.steps)&gt;2,LEFT(_xlpm.steps,LEN(_xlpm.steps)-2),0)))</f>
        <v>0</v>
      </c>
      <c r="E2100">
        <f>_xlfn.LET(_xlpm.dir,Table13[[#This Row],[Direction]],
IF(_xlpm.dir="L",
    IF(G2099-Table13[[#This Row],[Steps]]&lt;0,100+(G2099-Table13[[#This Row],[Steps]]),G2099-Table13[[#This Row],[Steps]]),
))</f>
        <v>0</v>
      </c>
      <c r="F2100">
        <f>_xlfn.LET(_xlpm.dir,Table13[[#This Row],[Direction]],
IF(_xlpm.dir="R",
    IF(G2099+Table13[[#This Row],[Steps]]&gt;99,(G2099+Table13[[#This Row],[Steps]])-100,G2099+Table13[[#This Row],[Steps]]),
))</f>
        <v>0</v>
      </c>
      <c r="G2100">
        <f>IF(Table13[[#This Row],[New Pos L]]&lt;&gt;0,Table13[[#This Row],[New Pos L]],Table13[[#This Row],[New Pos R]])</f>
        <v>0</v>
      </c>
      <c r="H2100">
        <f>IF(AND(Table13[[#This Row],[Direction]]="L",Table13[[#This Row],[Steps]]&gt;G2099,G2099&lt;&gt;0),1,0)</f>
        <v>0</v>
      </c>
      <c r="I2100">
        <f>IF(AND(Table13[[#This Row],[Direction]]="R",(G2099+Table13[[#This Row],[Steps]])&gt;100),1,0)</f>
        <v>0</v>
      </c>
      <c r="J2100">
        <f>IF(Table13[[#This Row],[POS]]=0,1,0)</f>
        <v>1</v>
      </c>
      <c r="K2100">
        <f>SUM(Table13[[#This Row],[prefix]],Table13[[#This Row],[Past zero L]],Table13[[#This Row],[Past Zero R]],Table13[[#This Row],[Is Zero]])</f>
        <v>1</v>
      </c>
    </row>
    <row r="2101" spans="1:11" ht="16" x14ac:dyDescent="0.2">
      <c r="A2101" s="1" t="s">
        <v>563</v>
      </c>
      <c r="B2101" t="str">
        <f>LEFT(Table13[[#This Row],[Input]],1)</f>
        <v>R</v>
      </c>
      <c r="C2101">
        <f>_xlfn.LET(_xlpm.steps,SUBSTITUTE(Table13[[#This Row],[Input]],Table13[[#This Row],[Direction]],""),VALUE(IF(LEN(_xlpm.steps)&gt;2,RIGHT(_xlpm.steps,2),_xlpm.steps)))</f>
        <v>60</v>
      </c>
      <c r="D2101">
        <f>_xlfn.LET(_xlpm.steps,SUBSTITUTE(Table13[[#This Row],[Input]],Table13[[#This Row],[Direction]],""),VALUE(IF(LEN(_xlpm.steps)&gt;2,LEFT(_xlpm.steps,LEN(_xlpm.steps)-2),0)))</f>
        <v>9</v>
      </c>
      <c r="E2101">
        <f>_xlfn.LET(_xlpm.dir,Table13[[#This Row],[Direction]],
IF(_xlpm.dir="L",
    IF(G2100-Table13[[#This Row],[Steps]]&lt;0,100+(G2100-Table13[[#This Row],[Steps]]),G2100-Table13[[#This Row],[Steps]]),
))</f>
        <v>0</v>
      </c>
      <c r="F2101">
        <f>_xlfn.LET(_xlpm.dir,Table13[[#This Row],[Direction]],
IF(_xlpm.dir="R",
    IF(G2100+Table13[[#This Row],[Steps]]&gt;99,(G2100+Table13[[#This Row],[Steps]])-100,G2100+Table13[[#This Row],[Steps]]),
))</f>
        <v>60</v>
      </c>
      <c r="G2101">
        <f>IF(Table13[[#This Row],[New Pos L]]&lt;&gt;0,Table13[[#This Row],[New Pos L]],Table13[[#This Row],[New Pos R]])</f>
        <v>60</v>
      </c>
      <c r="H2101">
        <f>IF(AND(Table13[[#This Row],[Direction]]="L",Table13[[#This Row],[Steps]]&gt;G2100,G2100&lt;&gt;0),1,0)</f>
        <v>0</v>
      </c>
      <c r="I2101">
        <f>IF(AND(Table13[[#This Row],[Direction]]="R",(G2100+Table13[[#This Row],[Steps]])&gt;100),1,0)</f>
        <v>0</v>
      </c>
      <c r="J2101">
        <f>IF(Table13[[#This Row],[POS]]=0,1,0)</f>
        <v>0</v>
      </c>
      <c r="K2101">
        <f>SUM(Table13[[#This Row],[prefix]],Table13[[#This Row],[Past zero L]],Table13[[#This Row],[Past Zero R]],Table13[[#This Row],[Is Zero]])</f>
        <v>9</v>
      </c>
    </row>
    <row r="2102" spans="1:11" ht="16" x14ac:dyDescent="0.2">
      <c r="A2102" s="1" t="s">
        <v>121</v>
      </c>
      <c r="B2102" t="str">
        <f>LEFT(Table13[[#This Row],[Input]],1)</f>
        <v>L</v>
      </c>
      <c r="C2102">
        <f>_xlfn.LET(_xlpm.steps,SUBSTITUTE(Table13[[#This Row],[Input]],Table13[[#This Row],[Direction]],""),VALUE(IF(LEN(_xlpm.steps)&gt;2,RIGHT(_xlpm.steps,2),_xlpm.steps)))</f>
        <v>69</v>
      </c>
      <c r="D2102">
        <f>_xlfn.LET(_xlpm.steps,SUBSTITUTE(Table13[[#This Row],[Input]],Table13[[#This Row],[Direction]],""),VALUE(IF(LEN(_xlpm.steps)&gt;2,LEFT(_xlpm.steps,LEN(_xlpm.steps)-2),0)))</f>
        <v>0</v>
      </c>
      <c r="E2102">
        <f>_xlfn.LET(_xlpm.dir,Table13[[#This Row],[Direction]],
IF(_xlpm.dir="L",
    IF(G2101-Table13[[#This Row],[Steps]]&lt;0,100+(G2101-Table13[[#This Row],[Steps]]),G2101-Table13[[#This Row],[Steps]]),
))</f>
        <v>91</v>
      </c>
      <c r="F2102">
        <f>_xlfn.LET(_xlpm.dir,Table13[[#This Row],[Direction]],
IF(_xlpm.dir="R",
    IF(G2101+Table13[[#This Row],[Steps]]&gt;99,(G2101+Table13[[#This Row],[Steps]])-100,G2101+Table13[[#This Row],[Steps]]),
))</f>
        <v>0</v>
      </c>
      <c r="G2102">
        <f>IF(Table13[[#This Row],[New Pos L]]&lt;&gt;0,Table13[[#This Row],[New Pos L]],Table13[[#This Row],[New Pos R]])</f>
        <v>91</v>
      </c>
      <c r="H2102">
        <f>IF(AND(Table13[[#This Row],[Direction]]="L",Table13[[#This Row],[Steps]]&gt;G2101,G2101&lt;&gt;0),1,0)</f>
        <v>1</v>
      </c>
      <c r="I2102">
        <f>IF(AND(Table13[[#This Row],[Direction]]="R",(G2101+Table13[[#This Row],[Steps]])&gt;100),1,0)</f>
        <v>0</v>
      </c>
      <c r="J2102">
        <f>IF(Table13[[#This Row],[POS]]=0,1,0)</f>
        <v>0</v>
      </c>
      <c r="K2102">
        <f>SUM(Table13[[#This Row],[prefix]],Table13[[#This Row],[Past zero L]],Table13[[#This Row],[Past Zero R]],Table13[[#This Row],[Is Zero]])</f>
        <v>1</v>
      </c>
    </row>
    <row r="2103" spans="1:11" ht="16" x14ac:dyDescent="0.2">
      <c r="A2103" s="1" t="s">
        <v>89</v>
      </c>
      <c r="B2103" t="str">
        <f>LEFT(Table13[[#This Row],[Input]],1)</f>
        <v>L</v>
      </c>
      <c r="C2103">
        <f>_xlfn.LET(_xlpm.steps,SUBSTITUTE(Table13[[#This Row],[Input]],Table13[[#This Row],[Direction]],""),VALUE(IF(LEN(_xlpm.steps)&gt;2,RIGHT(_xlpm.steps,2),_xlpm.steps)))</f>
        <v>91</v>
      </c>
      <c r="D2103">
        <f>_xlfn.LET(_xlpm.steps,SUBSTITUTE(Table13[[#This Row],[Input]],Table13[[#This Row],[Direction]],""),VALUE(IF(LEN(_xlpm.steps)&gt;2,LEFT(_xlpm.steps,LEN(_xlpm.steps)-2),0)))</f>
        <v>0</v>
      </c>
      <c r="E2103">
        <f>_xlfn.LET(_xlpm.dir,Table13[[#This Row],[Direction]],
IF(_xlpm.dir="L",
    IF(G2102-Table13[[#This Row],[Steps]]&lt;0,100+(G2102-Table13[[#This Row],[Steps]]),G2102-Table13[[#This Row],[Steps]]),
))</f>
        <v>0</v>
      </c>
      <c r="F2103">
        <f>_xlfn.LET(_xlpm.dir,Table13[[#This Row],[Direction]],
IF(_xlpm.dir="R",
    IF(G2102+Table13[[#This Row],[Steps]]&gt;99,(G2102+Table13[[#This Row],[Steps]])-100,G2102+Table13[[#This Row],[Steps]]),
))</f>
        <v>0</v>
      </c>
      <c r="G2103">
        <f>IF(Table13[[#This Row],[New Pos L]]&lt;&gt;0,Table13[[#This Row],[New Pos L]],Table13[[#This Row],[New Pos R]])</f>
        <v>0</v>
      </c>
      <c r="H2103">
        <f>IF(AND(Table13[[#This Row],[Direction]]="L",Table13[[#This Row],[Steps]]&gt;G2102,G2102&lt;&gt;0),1,0)</f>
        <v>0</v>
      </c>
      <c r="I2103">
        <f>IF(AND(Table13[[#This Row],[Direction]]="R",(G2102+Table13[[#This Row],[Steps]])&gt;100),1,0)</f>
        <v>0</v>
      </c>
      <c r="J2103">
        <f>IF(Table13[[#This Row],[POS]]=0,1,0)</f>
        <v>1</v>
      </c>
      <c r="K2103">
        <f>SUM(Table13[[#This Row],[prefix]],Table13[[#This Row],[Past zero L]],Table13[[#This Row],[Past Zero R]],Table13[[#This Row],[Is Zero]])</f>
        <v>1</v>
      </c>
    </row>
    <row r="2104" spans="1:11" ht="16" x14ac:dyDescent="0.2">
      <c r="A2104" s="1" t="s">
        <v>17</v>
      </c>
      <c r="B2104" t="str">
        <f>LEFT(Table13[[#This Row],[Input]],1)</f>
        <v>L</v>
      </c>
      <c r="C2104">
        <f>_xlfn.LET(_xlpm.steps,SUBSTITUTE(Table13[[#This Row],[Input]],Table13[[#This Row],[Direction]],""),VALUE(IF(LEN(_xlpm.steps)&gt;2,RIGHT(_xlpm.steps,2),_xlpm.steps)))</f>
        <v>50</v>
      </c>
      <c r="D2104">
        <f>_xlfn.LET(_xlpm.steps,SUBSTITUTE(Table13[[#This Row],[Input]],Table13[[#This Row],[Direction]],""),VALUE(IF(LEN(_xlpm.steps)&gt;2,LEFT(_xlpm.steps,LEN(_xlpm.steps)-2),0)))</f>
        <v>0</v>
      </c>
      <c r="E2104">
        <f>_xlfn.LET(_xlpm.dir,Table13[[#This Row],[Direction]],
IF(_xlpm.dir="L",
    IF(G2103-Table13[[#This Row],[Steps]]&lt;0,100+(G2103-Table13[[#This Row],[Steps]]),G2103-Table13[[#This Row],[Steps]]),
))</f>
        <v>50</v>
      </c>
      <c r="F2104">
        <f>_xlfn.LET(_xlpm.dir,Table13[[#This Row],[Direction]],
IF(_xlpm.dir="R",
    IF(G2103+Table13[[#This Row],[Steps]]&gt;99,(G2103+Table13[[#This Row],[Steps]])-100,G2103+Table13[[#This Row],[Steps]]),
))</f>
        <v>0</v>
      </c>
      <c r="G2104">
        <f>IF(Table13[[#This Row],[New Pos L]]&lt;&gt;0,Table13[[#This Row],[New Pos L]],Table13[[#This Row],[New Pos R]])</f>
        <v>50</v>
      </c>
      <c r="H2104">
        <f>IF(AND(Table13[[#This Row],[Direction]]="L",Table13[[#This Row],[Steps]]&gt;G2103,G2103&lt;&gt;0),1,0)</f>
        <v>0</v>
      </c>
      <c r="I2104">
        <f>IF(AND(Table13[[#This Row],[Direction]]="R",(G2103+Table13[[#This Row],[Steps]])&gt;100),1,0)</f>
        <v>0</v>
      </c>
      <c r="J2104">
        <f>IF(Table13[[#This Row],[POS]]=0,1,0)</f>
        <v>0</v>
      </c>
      <c r="K2104">
        <f>SUM(Table13[[#This Row],[prefix]],Table13[[#This Row],[Past zero L]],Table13[[#This Row],[Past Zero R]],Table13[[#This Row],[Is Zero]])</f>
        <v>0</v>
      </c>
    </row>
    <row r="2105" spans="1:11" ht="16" x14ac:dyDescent="0.2">
      <c r="A2105" s="1" t="s">
        <v>36</v>
      </c>
      <c r="B2105" t="str">
        <f>LEFT(Table13[[#This Row],[Input]],1)</f>
        <v>R</v>
      </c>
      <c r="C2105">
        <f>_xlfn.LET(_xlpm.steps,SUBSTITUTE(Table13[[#This Row],[Input]],Table13[[#This Row],[Direction]],""),VALUE(IF(LEN(_xlpm.steps)&gt;2,RIGHT(_xlpm.steps,2),_xlpm.steps)))</f>
        <v>50</v>
      </c>
      <c r="D2105">
        <f>_xlfn.LET(_xlpm.steps,SUBSTITUTE(Table13[[#This Row],[Input]],Table13[[#This Row],[Direction]],""),VALUE(IF(LEN(_xlpm.steps)&gt;2,LEFT(_xlpm.steps,LEN(_xlpm.steps)-2),0)))</f>
        <v>0</v>
      </c>
      <c r="E2105">
        <f>_xlfn.LET(_xlpm.dir,Table13[[#This Row],[Direction]],
IF(_xlpm.dir="L",
    IF(G2104-Table13[[#This Row],[Steps]]&lt;0,100+(G2104-Table13[[#This Row],[Steps]]),G2104-Table13[[#This Row],[Steps]]),
))</f>
        <v>0</v>
      </c>
      <c r="F2105">
        <f>_xlfn.LET(_xlpm.dir,Table13[[#This Row],[Direction]],
IF(_xlpm.dir="R",
    IF(G2104+Table13[[#This Row],[Steps]]&gt;99,(G2104+Table13[[#This Row],[Steps]])-100,G2104+Table13[[#This Row],[Steps]]),
))</f>
        <v>0</v>
      </c>
      <c r="G2105">
        <f>IF(Table13[[#This Row],[New Pos L]]&lt;&gt;0,Table13[[#This Row],[New Pos L]],Table13[[#This Row],[New Pos R]])</f>
        <v>0</v>
      </c>
      <c r="H2105">
        <f>IF(AND(Table13[[#This Row],[Direction]]="L",Table13[[#This Row],[Steps]]&gt;G2104,G2104&lt;&gt;0),1,0)</f>
        <v>0</v>
      </c>
      <c r="I2105">
        <f>IF(AND(Table13[[#This Row],[Direction]]="R",(G2104+Table13[[#This Row],[Steps]])&gt;100),1,0)</f>
        <v>0</v>
      </c>
      <c r="J2105">
        <f>IF(Table13[[#This Row],[POS]]=0,1,0)</f>
        <v>1</v>
      </c>
      <c r="K2105">
        <f>SUM(Table13[[#This Row],[prefix]],Table13[[#This Row],[Past zero L]],Table13[[#This Row],[Past Zero R]],Table13[[#This Row],[Is Zero]])</f>
        <v>1</v>
      </c>
    </row>
    <row r="2106" spans="1:11" ht="16" x14ac:dyDescent="0.2">
      <c r="A2106" s="1" t="s">
        <v>9</v>
      </c>
      <c r="B2106" t="str">
        <f>LEFT(Table13[[#This Row],[Input]],1)</f>
        <v>L</v>
      </c>
      <c r="C2106">
        <f>_xlfn.LET(_xlpm.steps,SUBSTITUTE(Table13[[#This Row],[Input]],Table13[[#This Row],[Direction]],""),VALUE(IF(LEN(_xlpm.steps)&gt;2,RIGHT(_xlpm.steps,2),_xlpm.steps)))</f>
        <v>9</v>
      </c>
      <c r="D2106">
        <f>_xlfn.LET(_xlpm.steps,SUBSTITUTE(Table13[[#This Row],[Input]],Table13[[#This Row],[Direction]],""),VALUE(IF(LEN(_xlpm.steps)&gt;2,LEFT(_xlpm.steps,LEN(_xlpm.steps)-2),0)))</f>
        <v>0</v>
      </c>
      <c r="E2106">
        <f>_xlfn.LET(_xlpm.dir,Table13[[#This Row],[Direction]],
IF(_xlpm.dir="L",
    IF(G2105-Table13[[#This Row],[Steps]]&lt;0,100+(G2105-Table13[[#This Row],[Steps]]),G2105-Table13[[#This Row],[Steps]]),
))</f>
        <v>91</v>
      </c>
      <c r="F2106">
        <f>_xlfn.LET(_xlpm.dir,Table13[[#This Row],[Direction]],
IF(_xlpm.dir="R",
    IF(G2105+Table13[[#This Row],[Steps]]&gt;99,(G2105+Table13[[#This Row],[Steps]])-100,G2105+Table13[[#This Row],[Steps]]),
))</f>
        <v>0</v>
      </c>
      <c r="G2106">
        <f>IF(Table13[[#This Row],[New Pos L]]&lt;&gt;0,Table13[[#This Row],[New Pos L]],Table13[[#This Row],[New Pos R]])</f>
        <v>91</v>
      </c>
      <c r="H2106">
        <f>IF(AND(Table13[[#This Row],[Direction]]="L",Table13[[#This Row],[Steps]]&gt;G2105,G2105&lt;&gt;0),1,0)</f>
        <v>0</v>
      </c>
      <c r="I2106">
        <f>IF(AND(Table13[[#This Row],[Direction]]="R",(G2105+Table13[[#This Row],[Steps]])&gt;100),1,0)</f>
        <v>0</v>
      </c>
      <c r="J2106">
        <f>IF(Table13[[#This Row],[POS]]=0,1,0)</f>
        <v>0</v>
      </c>
      <c r="K2106">
        <f>SUM(Table13[[#This Row],[prefix]],Table13[[#This Row],[Past zero L]],Table13[[#This Row],[Past Zero R]],Table13[[#This Row],[Is Zero]])</f>
        <v>0</v>
      </c>
    </row>
    <row r="2107" spans="1:11" ht="16" x14ac:dyDescent="0.2">
      <c r="A2107" s="1" t="s">
        <v>260</v>
      </c>
      <c r="B2107" t="str">
        <f>LEFT(Table13[[#This Row],[Input]],1)</f>
        <v>L</v>
      </c>
      <c r="C2107">
        <f>_xlfn.LET(_xlpm.steps,SUBSTITUTE(Table13[[#This Row],[Input]],Table13[[#This Row],[Direction]],""),VALUE(IF(LEN(_xlpm.steps)&gt;2,RIGHT(_xlpm.steps,2),_xlpm.steps)))</f>
        <v>85</v>
      </c>
      <c r="D2107">
        <f>_xlfn.LET(_xlpm.steps,SUBSTITUTE(Table13[[#This Row],[Input]],Table13[[#This Row],[Direction]],""),VALUE(IF(LEN(_xlpm.steps)&gt;2,LEFT(_xlpm.steps,LEN(_xlpm.steps)-2),0)))</f>
        <v>0</v>
      </c>
      <c r="E2107">
        <f>_xlfn.LET(_xlpm.dir,Table13[[#This Row],[Direction]],
IF(_xlpm.dir="L",
    IF(G2106-Table13[[#This Row],[Steps]]&lt;0,100+(G2106-Table13[[#This Row],[Steps]]),G2106-Table13[[#This Row],[Steps]]),
))</f>
        <v>6</v>
      </c>
      <c r="F2107">
        <f>_xlfn.LET(_xlpm.dir,Table13[[#This Row],[Direction]],
IF(_xlpm.dir="R",
    IF(G2106+Table13[[#This Row],[Steps]]&gt;99,(G2106+Table13[[#This Row],[Steps]])-100,G2106+Table13[[#This Row],[Steps]]),
))</f>
        <v>0</v>
      </c>
      <c r="G2107">
        <f>IF(Table13[[#This Row],[New Pos L]]&lt;&gt;0,Table13[[#This Row],[New Pos L]],Table13[[#This Row],[New Pos R]])</f>
        <v>6</v>
      </c>
      <c r="H2107">
        <f>IF(AND(Table13[[#This Row],[Direction]]="L",Table13[[#This Row],[Steps]]&gt;G2106,G2106&lt;&gt;0),1,0)</f>
        <v>0</v>
      </c>
      <c r="I2107">
        <f>IF(AND(Table13[[#This Row],[Direction]]="R",(G2106+Table13[[#This Row],[Steps]])&gt;100),1,0)</f>
        <v>0</v>
      </c>
      <c r="J2107">
        <f>IF(Table13[[#This Row],[POS]]=0,1,0)</f>
        <v>0</v>
      </c>
      <c r="K2107">
        <f>SUM(Table13[[#This Row],[prefix]],Table13[[#This Row],[Past zero L]],Table13[[#This Row],[Past Zero R]],Table13[[#This Row],[Is Zero]])</f>
        <v>0</v>
      </c>
    </row>
    <row r="2108" spans="1:11" ht="16" x14ac:dyDescent="0.2">
      <c r="A2108" s="1" t="s">
        <v>6</v>
      </c>
      <c r="B2108" t="str">
        <f>LEFT(Table13[[#This Row],[Input]],1)</f>
        <v>R</v>
      </c>
      <c r="C2108">
        <f>_xlfn.LET(_xlpm.steps,SUBSTITUTE(Table13[[#This Row],[Input]],Table13[[#This Row],[Direction]],""),VALUE(IF(LEN(_xlpm.steps)&gt;2,RIGHT(_xlpm.steps,2),_xlpm.steps)))</f>
        <v>49</v>
      </c>
      <c r="D2108">
        <f>_xlfn.LET(_xlpm.steps,SUBSTITUTE(Table13[[#This Row],[Input]],Table13[[#This Row],[Direction]],""),VALUE(IF(LEN(_xlpm.steps)&gt;2,LEFT(_xlpm.steps,LEN(_xlpm.steps)-2),0)))</f>
        <v>0</v>
      </c>
      <c r="E2108">
        <f>_xlfn.LET(_xlpm.dir,Table13[[#This Row],[Direction]],
IF(_xlpm.dir="L",
    IF(G2107-Table13[[#This Row],[Steps]]&lt;0,100+(G2107-Table13[[#This Row],[Steps]]),G2107-Table13[[#This Row],[Steps]]),
))</f>
        <v>0</v>
      </c>
      <c r="F2108">
        <f>_xlfn.LET(_xlpm.dir,Table13[[#This Row],[Direction]],
IF(_xlpm.dir="R",
    IF(G2107+Table13[[#This Row],[Steps]]&gt;99,(G2107+Table13[[#This Row],[Steps]])-100,G2107+Table13[[#This Row],[Steps]]),
))</f>
        <v>55</v>
      </c>
      <c r="G2108">
        <f>IF(Table13[[#This Row],[New Pos L]]&lt;&gt;0,Table13[[#This Row],[New Pos L]],Table13[[#This Row],[New Pos R]])</f>
        <v>55</v>
      </c>
      <c r="H2108">
        <f>IF(AND(Table13[[#This Row],[Direction]]="L",Table13[[#This Row],[Steps]]&gt;G2107,G2107&lt;&gt;0),1,0)</f>
        <v>0</v>
      </c>
      <c r="I2108">
        <f>IF(AND(Table13[[#This Row],[Direction]]="R",(G2107+Table13[[#This Row],[Steps]])&gt;100),1,0)</f>
        <v>0</v>
      </c>
      <c r="J2108">
        <f>IF(Table13[[#This Row],[POS]]=0,1,0)</f>
        <v>0</v>
      </c>
      <c r="K2108">
        <f>SUM(Table13[[#This Row],[prefix]],Table13[[#This Row],[Past zero L]],Table13[[#This Row],[Past Zero R]],Table13[[#This Row],[Is Zero]])</f>
        <v>0</v>
      </c>
    </row>
    <row r="2109" spans="1:11" ht="16" x14ac:dyDescent="0.2">
      <c r="A2109" s="1" t="s">
        <v>82</v>
      </c>
      <c r="B2109" t="str">
        <f>LEFT(Table13[[#This Row],[Input]],1)</f>
        <v>L</v>
      </c>
      <c r="C2109">
        <f>_xlfn.LET(_xlpm.steps,SUBSTITUTE(Table13[[#This Row],[Input]],Table13[[#This Row],[Direction]],""),VALUE(IF(LEN(_xlpm.steps)&gt;2,RIGHT(_xlpm.steps,2),_xlpm.steps)))</f>
        <v>55</v>
      </c>
      <c r="D2109">
        <f>_xlfn.LET(_xlpm.steps,SUBSTITUTE(Table13[[#This Row],[Input]],Table13[[#This Row],[Direction]],""),VALUE(IF(LEN(_xlpm.steps)&gt;2,LEFT(_xlpm.steps,LEN(_xlpm.steps)-2),0)))</f>
        <v>0</v>
      </c>
      <c r="E2109">
        <f>_xlfn.LET(_xlpm.dir,Table13[[#This Row],[Direction]],
IF(_xlpm.dir="L",
    IF(G2108-Table13[[#This Row],[Steps]]&lt;0,100+(G2108-Table13[[#This Row],[Steps]]),G2108-Table13[[#This Row],[Steps]]),
))</f>
        <v>0</v>
      </c>
      <c r="F2109">
        <f>_xlfn.LET(_xlpm.dir,Table13[[#This Row],[Direction]],
IF(_xlpm.dir="R",
    IF(G2108+Table13[[#This Row],[Steps]]&gt;99,(G2108+Table13[[#This Row],[Steps]])-100,G2108+Table13[[#This Row],[Steps]]),
))</f>
        <v>0</v>
      </c>
      <c r="G2109">
        <f>IF(Table13[[#This Row],[New Pos L]]&lt;&gt;0,Table13[[#This Row],[New Pos L]],Table13[[#This Row],[New Pos R]])</f>
        <v>0</v>
      </c>
      <c r="H2109">
        <f>IF(AND(Table13[[#This Row],[Direction]]="L",Table13[[#This Row],[Steps]]&gt;G2108,G2108&lt;&gt;0),1,0)</f>
        <v>0</v>
      </c>
      <c r="I2109">
        <f>IF(AND(Table13[[#This Row],[Direction]]="R",(G2108+Table13[[#This Row],[Steps]])&gt;100),1,0)</f>
        <v>0</v>
      </c>
      <c r="J2109">
        <f>IF(Table13[[#This Row],[POS]]=0,1,0)</f>
        <v>1</v>
      </c>
      <c r="K2109">
        <f>SUM(Table13[[#This Row],[prefix]],Table13[[#This Row],[Past zero L]],Table13[[#This Row],[Past Zero R]],Table13[[#This Row],[Is Zero]])</f>
        <v>1</v>
      </c>
    </row>
    <row r="2110" spans="1:11" ht="16" x14ac:dyDescent="0.2">
      <c r="A2110" s="1" t="s">
        <v>288</v>
      </c>
      <c r="B2110" t="str">
        <f>LEFT(Table13[[#This Row],[Input]],1)</f>
        <v>R</v>
      </c>
      <c r="C2110">
        <f>_xlfn.LET(_xlpm.steps,SUBSTITUTE(Table13[[#This Row],[Input]],Table13[[#This Row],[Direction]],""),VALUE(IF(LEN(_xlpm.steps)&gt;2,RIGHT(_xlpm.steps,2),_xlpm.steps)))</f>
        <v>25</v>
      </c>
      <c r="D2110">
        <f>_xlfn.LET(_xlpm.steps,SUBSTITUTE(Table13[[#This Row],[Input]],Table13[[#This Row],[Direction]],""),VALUE(IF(LEN(_xlpm.steps)&gt;2,LEFT(_xlpm.steps,LEN(_xlpm.steps)-2),0)))</f>
        <v>0</v>
      </c>
      <c r="E2110">
        <f>_xlfn.LET(_xlpm.dir,Table13[[#This Row],[Direction]],
IF(_xlpm.dir="L",
    IF(G2109-Table13[[#This Row],[Steps]]&lt;0,100+(G2109-Table13[[#This Row],[Steps]]),G2109-Table13[[#This Row],[Steps]]),
))</f>
        <v>0</v>
      </c>
      <c r="F2110">
        <f>_xlfn.LET(_xlpm.dir,Table13[[#This Row],[Direction]],
IF(_xlpm.dir="R",
    IF(G2109+Table13[[#This Row],[Steps]]&gt;99,(G2109+Table13[[#This Row],[Steps]])-100,G2109+Table13[[#This Row],[Steps]]),
))</f>
        <v>25</v>
      </c>
      <c r="G2110">
        <f>IF(Table13[[#This Row],[New Pos L]]&lt;&gt;0,Table13[[#This Row],[New Pos L]],Table13[[#This Row],[New Pos R]])</f>
        <v>25</v>
      </c>
      <c r="H2110">
        <f>IF(AND(Table13[[#This Row],[Direction]]="L",Table13[[#This Row],[Steps]]&gt;G2109,G2109&lt;&gt;0),1,0)</f>
        <v>0</v>
      </c>
      <c r="I2110">
        <f>IF(AND(Table13[[#This Row],[Direction]]="R",(G2109+Table13[[#This Row],[Steps]])&gt;100),1,0)</f>
        <v>0</v>
      </c>
      <c r="J2110">
        <f>IF(Table13[[#This Row],[POS]]=0,1,0)</f>
        <v>0</v>
      </c>
      <c r="K2110">
        <f>SUM(Table13[[#This Row],[prefix]],Table13[[#This Row],[Past zero L]],Table13[[#This Row],[Past Zero R]],Table13[[#This Row],[Is Zero]])</f>
        <v>0</v>
      </c>
    </row>
    <row r="2111" spans="1:11" ht="16" x14ac:dyDescent="0.2">
      <c r="A2111" s="1" t="s">
        <v>424</v>
      </c>
      <c r="B2111" t="str">
        <f>LEFT(Table13[[#This Row],[Input]],1)</f>
        <v>L</v>
      </c>
      <c r="C2111">
        <f>_xlfn.LET(_xlpm.steps,SUBSTITUTE(Table13[[#This Row],[Input]],Table13[[#This Row],[Direction]],""),VALUE(IF(LEN(_xlpm.steps)&gt;2,RIGHT(_xlpm.steps,2),_xlpm.steps)))</f>
        <v>25</v>
      </c>
      <c r="D2111">
        <f>_xlfn.LET(_xlpm.steps,SUBSTITUTE(Table13[[#This Row],[Input]],Table13[[#This Row],[Direction]],""),VALUE(IF(LEN(_xlpm.steps)&gt;2,LEFT(_xlpm.steps,LEN(_xlpm.steps)-2),0)))</f>
        <v>2</v>
      </c>
      <c r="E2111">
        <f>_xlfn.LET(_xlpm.dir,Table13[[#This Row],[Direction]],
IF(_xlpm.dir="L",
    IF(G2110-Table13[[#This Row],[Steps]]&lt;0,100+(G2110-Table13[[#This Row],[Steps]]),G2110-Table13[[#This Row],[Steps]]),
))</f>
        <v>0</v>
      </c>
      <c r="F2111">
        <f>_xlfn.LET(_xlpm.dir,Table13[[#This Row],[Direction]],
IF(_xlpm.dir="R",
    IF(G2110+Table13[[#This Row],[Steps]]&gt;99,(G2110+Table13[[#This Row],[Steps]])-100,G2110+Table13[[#This Row],[Steps]]),
))</f>
        <v>0</v>
      </c>
      <c r="G2111">
        <f>IF(Table13[[#This Row],[New Pos L]]&lt;&gt;0,Table13[[#This Row],[New Pos L]],Table13[[#This Row],[New Pos R]])</f>
        <v>0</v>
      </c>
      <c r="H2111">
        <f>IF(AND(Table13[[#This Row],[Direction]]="L",Table13[[#This Row],[Steps]]&gt;G2110,G2110&lt;&gt;0),1,0)</f>
        <v>0</v>
      </c>
      <c r="I2111">
        <f>IF(AND(Table13[[#This Row],[Direction]]="R",(G2110+Table13[[#This Row],[Steps]])&gt;100),1,0)</f>
        <v>0</v>
      </c>
      <c r="J2111">
        <f>IF(Table13[[#This Row],[POS]]=0,1,0)</f>
        <v>1</v>
      </c>
      <c r="K2111">
        <f>SUM(Table13[[#This Row],[prefix]],Table13[[#This Row],[Past zero L]],Table13[[#This Row],[Past Zero R]],Table13[[#This Row],[Is Zero]])</f>
        <v>3</v>
      </c>
    </row>
    <row r="2112" spans="1:11" ht="16" x14ac:dyDescent="0.2">
      <c r="A2112" s="1" t="s">
        <v>41</v>
      </c>
      <c r="B2112" t="str">
        <f>LEFT(Table13[[#This Row],[Input]],1)</f>
        <v>L</v>
      </c>
      <c r="C2112">
        <f>_xlfn.LET(_xlpm.steps,SUBSTITUTE(Table13[[#This Row],[Input]],Table13[[#This Row],[Direction]],""),VALUE(IF(LEN(_xlpm.steps)&gt;2,RIGHT(_xlpm.steps,2),_xlpm.steps)))</f>
        <v>7</v>
      </c>
      <c r="D2112">
        <f>_xlfn.LET(_xlpm.steps,SUBSTITUTE(Table13[[#This Row],[Input]],Table13[[#This Row],[Direction]],""),VALUE(IF(LEN(_xlpm.steps)&gt;2,LEFT(_xlpm.steps,LEN(_xlpm.steps)-2),0)))</f>
        <v>0</v>
      </c>
      <c r="E2112">
        <f>_xlfn.LET(_xlpm.dir,Table13[[#This Row],[Direction]],
IF(_xlpm.dir="L",
    IF(G2111-Table13[[#This Row],[Steps]]&lt;0,100+(G2111-Table13[[#This Row],[Steps]]),G2111-Table13[[#This Row],[Steps]]),
))</f>
        <v>93</v>
      </c>
      <c r="F2112">
        <f>_xlfn.LET(_xlpm.dir,Table13[[#This Row],[Direction]],
IF(_xlpm.dir="R",
    IF(G2111+Table13[[#This Row],[Steps]]&gt;99,(G2111+Table13[[#This Row],[Steps]])-100,G2111+Table13[[#This Row],[Steps]]),
))</f>
        <v>0</v>
      </c>
      <c r="G2112">
        <f>IF(Table13[[#This Row],[New Pos L]]&lt;&gt;0,Table13[[#This Row],[New Pos L]],Table13[[#This Row],[New Pos R]])</f>
        <v>93</v>
      </c>
      <c r="H2112">
        <f>IF(AND(Table13[[#This Row],[Direction]]="L",Table13[[#This Row],[Steps]]&gt;G2111,G2111&lt;&gt;0),1,0)</f>
        <v>0</v>
      </c>
      <c r="I2112">
        <f>IF(AND(Table13[[#This Row],[Direction]]="R",(G2111+Table13[[#This Row],[Steps]])&gt;100),1,0)</f>
        <v>0</v>
      </c>
      <c r="J2112">
        <f>IF(Table13[[#This Row],[POS]]=0,1,0)</f>
        <v>0</v>
      </c>
      <c r="K2112">
        <f>SUM(Table13[[#This Row],[prefix]],Table13[[#This Row],[Past zero L]],Table13[[#This Row],[Past Zero R]],Table13[[#This Row],[Is Zero]])</f>
        <v>0</v>
      </c>
    </row>
    <row r="2113" spans="1:11" ht="16" x14ac:dyDescent="0.2">
      <c r="A2113" s="1" t="s">
        <v>181</v>
      </c>
      <c r="B2113" t="str">
        <f>LEFT(Table13[[#This Row],[Input]],1)</f>
        <v>L</v>
      </c>
      <c r="C2113">
        <f>_xlfn.LET(_xlpm.steps,SUBSTITUTE(Table13[[#This Row],[Input]],Table13[[#This Row],[Direction]],""),VALUE(IF(LEN(_xlpm.steps)&gt;2,RIGHT(_xlpm.steps,2),_xlpm.steps)))</f>
        <v>53</v>
      </c>
      <c r="D2113">
        <f>_xlfn.LET(_xlpm.steps,SUBSTITUTE(Table13[[#This Row],[Input]],Table13[[#This Row],[Direction]],""),VALUE(IF(LEN(_xlpm.steps)&gt;2,LEFT(_xlpm.steps,LEN(_xlpm.steps)-2),0)))</f>
        <v>0</v>
      </c>
      <c r="E2113">
        <f>_xlfn.LET(_xlpm.dir,Table13[[#This Row],[Direction]],
IF(_xlpm.dir="L",
    IF(G2112-Table13[[#This Row],[Steps]]&lt;0,100+(G2112-Table13[[#This Row],[Steps]]),G2112-Table13[[#This Row],[Steps]]),
))</f>
        <v>40</v>
      </c>
      <c r="F2113">
        <f>_xlfn.LET(_xlpm.dir,Table13[[#This Row],[Direction]],
IF(_xlpm.dir="R",
    IF(G2112+Table13[[#This Row],[Steps]]&gt;99,(G2112+Table13[[#This Row],[Steps]])-100,G2112+Table13[[#This Row],[Steps]]),
))</f>
        <v>0</v>
      </c>
      <c r="G2113">
        <f>IF(Table13[[#This Row],[New Pos L]]&lt;&gt;0,Table13[[#This Row],[New Pos L]],Table13[[#This Row],[New Pos R]])</f>
        <v>40</v>
      </c>
      <c r="H2113">
        <f>IF(AND(Table13[[#This Row],[Direction]]="L",Table13[[#This Row],[Steps]]&gt;G2112,G2112&lt;&gt;0),1,0)</f>
        <v>0</v>
      </c>
      <c r="I2113">
        <f>IF(AND(Table13[[#This Row],[Direction]]="R",(G2112+Table13[[#This Row],[Steps]])&gt;100),1,0)</f>
        <v>0</v>
      </c>
      <c r="J2113">
        <f>IF(Table13[[#This Row],[POS]]=0,1,0)</f>
        <v>0</v>
      </c>
      <c r="K2113">
        <f>SUM(Table13[[#This Row],[prefix]],Table13[[#This Row],[Past zero L]],Table13[[#This Row],[Past Zero R]],Table13[[#This Row],[Is Zero]])</f>
        <v>0</v>
      </c>
    </row>
    <row r="2114" spans="1:11" ht="16" x14ac:dyDescent="0.2">
      <c r="A2114" s="1" t="s">
        <v>193</v>
      </c>
      <c r="B2114" t="str">
        <f>LEFT(Table13[[#This Row],[Input]],1)</f>
        <v>L</v>
      </c>
      <c r="C2114">
        <f>_xlfn.LET(_xlpm.steps,SUBSTITUTE(Table13[[#This Row],[Input]],Table13[[#This Row],[Direction]],""),VALUE(IF(LEN(_xlpm.steps)&gt;2,RIGHT(_xlpm.steps,2),_xlpm.steps)))</f>
        <v>12</v>
      </c>
      <c r="D2114">
        <f>_xlfn.LET(_xlpm.steps,SUBSTITUTE(Table13[[#This Row],[Input]],Table13[[#This Row],[Direction]],""),VALUE(IF(LEN(_xlpm.steps)&gt;2,LEFT(_xlpm.steps,LEN(_xlpm.steps)-2),0)))</f>
        <v>0</v>
      </c>
      <c r="E2114">
        <f>_xlfn.LET(_xlpm.dir,Table13[[#This Row],[Direction]],
IF(_xlpm.dir="L",
    IF(G2113-Table13[[#This Row],[Steps]]&lt;0,100+(G2113-Table13[[#This Row],[Steps]]),G2113-Table13[[#This Row],[Steps]]),
))</f>
        <v>28</v>
      </c>
      <c r="F2114">
        <f>_xlfn.LET(_xlpm.dir,Table13[[#This Row],[Direction]],
IF(_xlpm.dir="R",
    IF(G2113+Table13[[#This Row],[Steps]]&gt;99,(G2113+Table13[[#This Row],[Steps]])-100,G2113+Table13[[#This Row],[Steps]]),
))</f>
        <v>0</v>
      </c>
      <c r="G2114">
        <f>IF(Table13[[#This Row],[New Pos L]]&lt;&gt;0,Table13[[#This Row],[New Pos L]],Table13[[#This Row],[New Pos R]])</f>
        <v>28</v>
      </c>
      <c r="H2114">
        <f>IF(AND(Table13[[#This Row],[Direction]]="L",Table13[[#This Row],[Steps]]&gt;G2113,G2113&lt;&gt;0),1,0)</f>
        <v>0</v>
      </c>
      <c r="I2114">
        <f>IF(AND(Table13[[#This Row],[Direction]]="R",(G2113+Table13[[#This Row],[Steps]])&gt;100),1,0)</f>
        <v>0</v>
      </c>
      <c r="J2114">
        <f>IF(Table13[[#This Row],[POS]]=0,1,0)</f>
        <v>0</v>
      </c>
      <c r="K2114">
        <f>SUM(Table13[[#This Row],[prefix]],Table13[[#This Row],[Past zero L]],Table13[[#This Row],[Past Zero R]],Table13[[#This Row],[Is Zero]])</f>
        <v>0</v>
      </c>
    </row>
    <row r="2115" spans="1:11" ht="16" x14ac:dyDescent="0.2">
      <c r="A2115" s="1" t="s">
        <v>136</v>
      </c>
      <c r="B2115" t="str">
        <f>LEFT(Table13[[#This Row],[Input]],1)</f>
        <v>L</v>
      </c>
      <c r="C2115">
        <f>_xlfn.LET(_xlpm.steps,SUBSTITUTE(Table13[[#This Row],[Input]],Table13[[#This Row],[Direction]],""),VALUE(IF(LEN(_xlpm.steps)&gt;2,RIGHT(_xlpm.steps,2),_xlpm.steps)))</f>
        <v>72</v>
      </c>
      <c r="D2115">
        <f>_xlfn.LET(_xlpm.steps,SUBSTITUTE(Table13[[#This Row],[Input]],Table13[[#This Row],[Direction]],""),VALUE(IF(LEN(_xlpm.steps)&gt;2,LEFT(_xlpm.steps,LEN(_xlpm.steps)-2),0)))</f>
        <v>0</v>
      </c>
      <c r="E2115">
        <f>_xlfn.LET(_xlpm.dir,Table13[[#This Row],[Direction]],
IF(_xlpm.dir="L",
    IF(G2114-Table13[[#This Row],[Steps]]&lt;0,100+(G2114-Table13[[#This Row],[Steps]]),G2114-Table13[[#This Row],[Steps]]),
))</f>
        <v>56</v>
      </c>
      <c r="F2115">
        <f>_xlfn.LET(_xlpm.dir,Table13[[#This Row],[Direction]],
IF(_xlpm.dir="R",
    IF(G2114+Table13[[#This Row],[Steps]]&gt;99,(G2114+Table13[[#This Row],[Steps]])-100,G2114+Table13[[#This Row],[Steps]]),
))</f>
        <v>0</v>
      </c>
      <c r="G2115">
        <f>IF(Table13[[#This Row],[New Pos L]]&lt;&gt;0,Table13[[#This Row],[New Pos L]],Table13[[#This Row],[New Pos R]])</f>
        <v>56</v>
      </c>
      <c r="H2115">
        <f>IF(AND(Table13[[#This Row],[Direction]]="L",Table13[[#This Row],[Steps]]&gt;G2114,G2114&lt;&gt;0),1,0)</f>
        <v>1</v>
      </c>
      <c r="I2115">
        <f>IF(AND(Table13[[#This Row],[Direction]]="R",(G2114+Table13[[#This Row],[Steps]])&gt;100),1,0)</f>
        <v>0</v>
      </c>
      <c r="J2115">
        <f>IF(Table13[[#This Row],[POS]]=0,1,0)</f>
        <v>0</v>
      </c>
      <c r="K2115">
        <f>SUM(Table13[[#This Row],[prefix]],Table13[[#This Row],[Past zero L]],Table13[[#This Row],[Past Zero R]],Table13[[#This Row],[Is Zero]])</f>
        <v>1</v>
      </c>
    </row>
    <row r="2116" spans="1:11" ht="16" x14ac:dyDescent="0.2">
      <c r="A2116" s="1" t="s">
        <v>122</v>
      </c>
      <c r="B2116" t="str">
        <f>LEFT(Table13[[#This Row],[Input]],1)</f>
        <v>R</v>
      </c>
      <c r="C2116">
        <f>_xlfn.LET(_xlpm.steps,SUBSTITUTE(Table13[[#This Row],[Input]],Table13[[#This Row],[Direction]],""),VALUE(IF(LEN(_xlpm.steps)&gt;2,RIGHT(_xlpm.steps,2),_xlpm.steps)))</f>
        <v>75</v>
      </c>
      <c r="D2116">
        <f>_xlfn.LET(_xlpm.steps,SUBSTITUTE(Table13[[#This Row],[Input]],Table13[[#This Row],[Direction]],""),VALUE(IF(LEN(_xlpm.steps)&gt;2,LEFT(_xlpm.steps,LEN(_xlpm.steps)-2),0)))</f>
        <v>0</v>
      </c>
      <c r="E2116">
        <f>_xlfn.LET(_xlpm.dir,Table13[[#This Row],[Direction]],
IF(_xlpm.dir="L",
    IF(G2115-Table13[[#This Row],[Steps]]&lt;0,100+(G2115-Table13[[#This Row],[Steps]]),G2115-Table13[[#This Row],[Steps]]),
))</f>
        <v>0</v>
      </c>
      <c r="F2116">
        <f>_xlfn.LET(_xlpm.dir,Table13[[#This Row],[Direction]],
IF(_xlpm.dir="R",
    IF(G2115+Table13[[#This Row],[Steps]]&gt;99,(G2115+Table13[[#This Row],[Steps]])-100,G2115+Table13[[#This Row],[Steps]]),
))</f>
        <v>31</v>
      </c>
      <c r="G2116">
        <f>IF(Table13[[#This Row],[New Pos L]]&lt;&gt;0,Table13[[#This Row],[New Pos L]],Table13[[#This Row],[New Pos R]])</f>
        <v>31</v>
      </c>
      <c r="H2116">
        <f>IF(AND(Table13[[#This Row],[Direction]]="L",Table13[[#This Row],[Steps]]&gt;G2115,G2115&lt;&gt;0),1,0)</f>
        <v>0</v>
      </c>
      <c r="I2116">
        <f>IF(AND(Table13[[#This Row],[Direction]]="R",(G2115+Table13[[#This Row],[Steps]])&gt;100),1,0)</f>
        <v>1</v>
      </c>
      <c r="J2116">
        <f>IF(Table13[[#This Row],[POS]]=0,1,0)</f>
        <v>0</v>
      </c>
      <c r="K2116">
        <f>SUM(Table13[[#This Row],[prefix]],Table13[[#This Row],[Past zero L]],Table13[[#This Row],[Past Zero R]],Table13[[#This Row],[Is Zero]])</f>
        <v>1</v>
      </c>
    </row>
    <row r="2117" spans="1:11" ht="16" x14ac:dyDescent="0.2">
      <c r="A2117" s="1" t="s">
        <v>226</v>
      </c>
      <c r="B2117" t="str">
        <f>LEFT(Table13[[#This Row],[Input]],1)</f>
        <v>L</v>
      </c>
      <c r="C2117">
        <f>_xlfn.LET(_xlpm.steps,SUBSTITUTE(Table13[[#This Row],[Input]],Table13[[#This Row],[Direction]],""),VALUE(IF(LEN(_xlpm.steps)&gt;2,RIGHT(_xlpm.steps,2),_xlpm.steps)))</f>
        <v>31</v>
      </c>
      <c r="D2117">
        <f>_xlfn.LET(_xlpm.steps,SUBSTITUTE(Table13[[#This Row],[Input]],Table13[[#This Row],[Direction]],""),VALUE(IF(LEN(_xlpm.steps)&gt;2,LEFT(_xlpm.steps,LEN(_xlpm.steps)-2),0)))</f>
        <v>0</v>
      </c>
      <c r="E2117">
        <f>_xlfn.LET(_xlpm.dir,Table13[[#This Row],[Direction]],
IF(_xlpm.dir="L",
    IF(G2116-Table13[[#This Row],[Steps]]&lt;0,100+(G2116-Table13[[#This Row],[Steps]]),G2116-Table13[[#This Row],[Steps]]),
))</f>
        <v>0</v>
      </c>
      <c r="F2117">
        <f>_xlfn.LET(_xlpm.dir,Table13[[#This Row],[Direction]],
IF(_xlpm.dir="R",
    IF(G2116+Table13[[#This Row],[Steps]]&gt;99,(G2116+Table13[[#This Row],[Steps]])-100,G2116+Table13[[#This Row],[Steps]]),
))</f>
        <v>0</v>
      </c>
      <c r="G2117">
        <f>IF(Table13[[#This Row],[New Pos L]]&lt;&gt;0,Table13[[#This Row],[New Pos L]],Table13[[#This Row],[New Pos R]])</f>
        <v>0</v>
      </c>
      <c r="H2117">
        <f>IF(AND(Table13[[#This Row],[Direction]]="L",Table13[[#This Row],[Steps]]&gt;G2116,G2116&lt;&gt;0),1,0)</f>
        <v>0</v>
      </c>
      <c r="I2117">
        <f>IF(AND(Table13[[#This Row],[Direction]]="R",(G2116+Table13[[#This Row],[Steps]])&gt;100),1,0)</f>
        <v>0</v>
      </c>
      <c r="J2117">
        <f>IF(Table13[[#This Row],[POS]]=0,1,0)</f>
        <v>1</v>
      </c>
      <c r="K2117">
        <f>SUM(Table13[[#This Row],[prefix]],Table13[[#This Row],[Past zero L]],Table13[[#This Row],[Past Zero R]],Table13[[#This Row],[Is Zero]])</f>
        <v>1</v>
      </c>
    </row>
    <row r="2118" spans="1:11" ht="16" x14ac:dyDescent="0.2">
      <c r="A2118" s="1" t="s">
        <v>36</v>
      </c>
      <c r="B2118" t="str">
        <f>LEFT(Table13[[#This Row],[Input]],1)</f>
        <v>R</v>
      </c>
      <c r="C2118">
        <f>_xlfn.LET(_xlpm.steps,SUBSTITUTE(Table13[[#This Row],[Input]],Table13[[#This Row],[Direction]],""),VALUE(IF(LEN(_xlpm.steps)&gt;2,RIGHT(_xlpm.steps,2),_xlpm.steps)))</f>
        <v>50</v>
      </c>
      <c r="D2118">
        <f>_xlfn.LET(_xlpm.steps,SUBSTITUTE(Table13[[#This Row],[Input]],Table13[[#This Row],[Direction]],""),VALUE(IF(LEN(_xlpm.steps)&gt;2,LEFT(_xlpm.steps,LEN(_xlpm.steps)-2),0)))</f>
        <v>0</v>
      </c>
      <c r="E2118">
        <f>_xlfn.LET(_xlpm.dir,Table13[[#This Row],[Direction]],
IF(_xlpm.dir="L",
    IF(G2117-Table13[[#This Row],[Steps]]&lt;0,100+(G2117-Table13[[#This Row],[Steps]]),G2117-Table13[[#This Row],[Steps]]),
))</f>
        <v>0</v>
      </c>
      <c r="F2118">
        <f>_xlfn.LET(_xlpm.dir,Table13[[#This Row],[Direction]],
IF(_xlpm.dir="R",
    IF(G2117+Table13[[#This Row],[Steps]]&gt;99,(G2117+Table13[[#This Row],[Steps]])-100,G2117+Table13[[#This Row],[Steps]]),
))</f>
        <v>50</v>
      </c>
      <c r="G2118">
        <f>IF(Table13[[#This Row],[New Pos L]]&lt;&gt;0,Table13[[#This Row],[New Pos L]],Table13[[#This Row],[New Pos R]])</f>
        <v>50</v>
      </c>
      <c r="H2118">
        <f>IF(AND(Table13[[#This Row],[Direction]]="L",Table13[[#This Row],[Steps]]&gt;G2117,G2117&lt;&gt;0),1,0)</f>
        <v>0</v>
      </c>
      <c r="I2118">
        <f>IF(AND(Table13[[#This Row],[Direction]]="R",(G2117+Table13[[#This Row],[Steps]])&gt;100),1,0)</f>
        <v>0</v>
      </c>
      <c r="J2118">
        <f>IF(Table13[[#This Row],[POS]]=0,1,0)</f>
        <v>0</v>
      </c>
      <c r="K2118">
        <f>SUM(Table13[[#This Row],[prefix]],Table13[[#This Row],[Past zero L]],Table13[[#This Row],[Past Zero R]],Table13[[#This Row],[Is Zero]])</f>
        <v>0</v>
      </c>
    </row>
    <row r="2119" spans="1:11" ht="16" x14ac:dyDescent="0.2">
      <c r="A2119" s="1" t="s">
        <v>493</v>
      </c>
      <c r="B2119" t="str">
        <f>LEFT(Table13[[#This Row],[Input]],1)</f>
        <v>L</v>
      </c>
      <c r="C2119">
        <f>_xlfn.LET(_xlpm.steps,SUBSTITUTE(Table13[[#This Row],[Input]],Table13[[#This Row],[Direction]],""),VALUE(IF(LEN(_xlpm.steps)&gt;2,RIGHT(_xlpm.steps,2),_xlpm.steps)))</f>
        <v>66</v>
      </c>
      <c r="D2119">
        <f>_xlfn.LET(_xlpm.steps,SUBSTITUTE(Table13[[#This Row],[Input]],Table13[[#This Row],[Direction]],""),VALUE(IF(LEN(_xlpm.steps)&gt;2,LEFT(_xlpm.steps,LEN(_xlpm.steps)-2),0)))</f>
        <v>1</v>
      </c>
      <c r="E2119">
        <f>_xlfn.LET(_xlpm.dir,Table13[[#This Row],[Direction]],
IF(_xlpm.dir="L",
    IF(G2118-Table13[[#This Row],[Steps]]&lt;0,100+(G2118-Table13[[#This Row],[Steps]]),G2118-Table13[[#This Row],[Steps]]),
))</f>
        <v>84</v>
      </c>
      <c r="F2119">
        <f>_xlfn.LET(_xlpm.dir,Table13[[#This Row],[Direction]],
IF(_xlpm.dir="R",
    IF(G2118+Table13[[#This Row],[Steps]]&gt;99,(G2118+Table13[[#This Row],[Steps]])-100,G2118+Table13[[#This Row],[Steps]]),
))</f>
        <v>0</v>
      </c>
      <c r="G2119">
        <f>IF(Table13[[#This Row],[New Pos L]]&lt;&gt;0,Table13[[#This Row],[New Pos L]],Table13[[#This Row],[New Pos R]])</f>
        <v>84</v>
      </c>
      <c r="H2119">
        <f>IF(AND(Table13[[#This Row],[Direction]]="L",Table13[[#This Row],[Steps]]&gt;G2118,G2118&lt;&gt;0),1,0)</f>
        <v>1</v>
      </c>
      <c r="I2119">
        <f>IF(AND(Table13[[#This Row],[Direction]]="R",(G2118+Table13[[#This Row],[Steps]])&gt;100),1,0)</f>
        <v>0</v>
      </c>
      <c r="J2119">
        <f>IF(Table13[[#This Row],[POS]]=0,1,0)</f>
        <v>0</v>
      </c>
      <c r="K2119">
        <f>SUM(Table13[[#This Row],[prefix]],Table13[[#This Row],[Past zero L]],Table13[[#This Row],[Past Zero R]],Table13[[#This Row],[Is Zero]])</f>
        <v>2</v>
      </c>
    </row>
    <row r="2120" spans="1:11" ht="16" x14ac:dyDescent="0.2">
      <c r="A2120" s="1" t="s">
        <v>564</v>
      </c>
      <c r="B2120" t="str">
        <f>LEFT(Table13[[#This Row],[Input]],1)</f>
        <v>L</v>
      </c>
      <c r="C2120">
        <f>_xlfn.LET(_xlpm.steps,SUBSTITUTE(Table13[[#This Row],[Input]],Table13[[#This Row],[Direction]],""),VALUE(IF(LEN(_xlpm.steps)&gt;2,RIGHT(_xlpm.steps,2),_xlpm.steps)))</f>
        <v>84</v>
      </c>
      <c r="D2120">
        <f>_xlfn.LET(_xlpm.steps,SUBSTITUTE(Table13[[#This Row],[Input]],Table13[[#This Row],[Direction]],""),VALUE(IF(LEN(_xlpm.steps)&gt;2,LEFT(_xlpm.steps,LEN(_xlpm.steps)-2),0)))</f>
        <v>8</v>
      </c>
      <c r="E2120">
        <f>_xlfn.LET(_xlpm.dir,Table13[[#This Row],[Direction]],
IF(_xlpm.dir="L",
    IF(G2119-Table13[[#This Row],[Steps]]&lt;0,100+(G2119-Table13[[#This Row],[Steps]]),G2119-Table13[[#This Row],[Steps]]),
))</f>
        <v>0</v>
      </c>
      <c r="F2120">
        <f>_xlfn.LET(_xlpm.dir,Table13[[#This Row],[Direction]],
IF(_xlpm.dir="R",
    IF(G2119+Table13[[#This Row],[Steps]]&gt;99,(G2119+Table13[[#This Row],[Steps]])-100,G2119+Table13[[#This Row],[Steps]]),
))</f>
        <v>0</v>
      </c>
      <c r="G2120">
        <f>IF(Table13[[#This Row],[New Pos L]]&lt;&gt;0,Table13[[#This Row],[New Pos L]],Table13[[#This Row],[New Pos R]])</f>
        <v>0</v>
      </c>
      <c r="H2120">
        <f>IF(AND(Table13[[#This Row],[Direction]]="L",Table13[[#This Row],[Steps]]&gt;G2119,G2119&lt;&gt;0),1,0)</f>
        <v>0</v>
      </c>
      <c r="I2120">
        <f>IF(AND(Table13[[#This Row],[Direction]]="R",(G2119+Table13[[#This Row],[Steps]])&gt;100),1,0)</f>
        <v>0</v>
      </c>
      <c r="J2120">
        <f>IF(Table13[[#This Row],[POS]]=0,1,0)</f>
        <v>1</v>
      </c>
      <c r="K2120">
        <f>SUM(Table13[[#This Row],[prefix]],Table13[[#This Row],[Past zero L]],Table13[[#This Row],[Past Zero R]],Table13[[#This Row],[Is Zero]])</f>
        <v>9</v>
      </c>
    </row>
    <row r="2121" spans="1:11" ht="16" x14ac:dyDescent="0.2">
      <c r="A2121" s="1" t="s">
        <v>565</v>
      </c>
      <c r="B2121" t="str">
        <f>LEFT(Table13[[#This Row],[Input]],1)</f>
        <v>L</v>
      </c>
      <c r="C2121">
        <f>_xlfn.LET(_xlpm.steps,SUBSTITUTE(Table13[[#This Row],[Input]],Table13[[#This Row],[Direction]],""),VALUE(IF(LEN(_xlpm.steps)&gt;2,RIGHT(_xlpm.steps,2),_xlpm.steps)))</f>
        <v>49</v>
      </c>
      <c r="D2121">
        <f>_xlfn.LET(_xlpm.steps,SUBSTITUTE(Table13[[#This Row],[Input]],Table13[[#This Row],[Direction]],""),VALUE(IF(LEN(_xlpm.steps)&gt;2,LEFT(_xlpm.steps,LEN(_xlpm.steps)-2),0)))</f>
        <v>2</v>
      </c>
      <c r="E2121">
        <f>_xlfn.LET(_xlpm.dir,Table13[[#This Row],[Direction]],
IF(_xlpm.dir="L",
    IF(G2120-Table13[[#This Row],[Steps]]&lt;0,100+(G2120-Table13[[#This Row],[Steps]]),G2120-Table13[[#This Row],[Steps]]),
))</f>
        <v>51</v>
      </c>
      <c r="F2121">
        <f>_xlfn.LET(_xlpm.dir,Table13[[#This Row],[Direction]],
IF(_xlpm.dir="R",
    IF(G2120+Table13[[#This Row],[Steps]]&gt;99,(G2120+Table13[[#This Row],[Steps]])-100,G2120+Table13[[#This Row],[Steps]]),
))</f>
        <v>0</v>
      </c>
      <c r="G2121">
        <f>IF(Table13[[#This Row],[New Pos L]]&lt;&gt;0,Table13[[#This Row],[New Pos L]],Table13[[#This Row],[New Pos R]])</f>
        <v>51</v>
      </c>
      <c r="H2121">
        <f>IF(AND(Table13[[#This Row],[Direction]]="L",Table13[[#This Row],[Steps]]&gt;G2120,G2120&lt;&gt;0),1,0)</f>
        <v>0</v>
      </c>
      <c r="I2121">
        <f>IF(AND(Table13[[#This Row],[Direction]]="R",(G2120+Table13[[#This Row],[Steps]])&gt;100),1,0)</f>
        <v>0</v>
      </c>
      <c r="J2121">
        <f>IF(Table13[[#This Row],[POS]]=0,1,0)</f>
        <v>0</v>
      </c>
      <c r="K2121">
        <f>SUM(Table13[[#This Row],[prefix]],Table13[[#This Row],[Past zero L]],Table13[[#This Row],[Past Zero R]],Table13[[#This Row],[Is Zero]])</f>
        <v>2</v>
      </c>
    </row>
    <row r="2122" spans="1:11" ht="16" x14ac:dyDescent="0.2">
      <c r="A2122" s="1" t="s">
        <v>98</v>
      </c>
      <c r="B2122" t="str">
        <f>LEFT(Table13[[#This Row],[Input]],1)</f>
        <v>L</v>
      </c>
      <c r="C2122">
        <f>_xlfn.LET(_xlpm.steps,SUBSTITUTE(Table13[[#This Row],[Input]],Table13[[#This Row],[Direction]],""),VALUE(IF(LEN(_xlpm.steps)&gt;2,RIGHT(_xlpm.steps,2),_xlpm.steps)))</f>
        <v>65</v>
      </c>
      <c r="D2122">
        <f>_xlfn.LET(_xlpm.steps,SUBSTITUTE(Table13[[#This Row],[Input]],Table13[[#This Row],[Direction]],""),VALUE(IF(LEN(_xlpm.steps)&gt;2,LEFT(_xlpm.steps,LEN(_xlpm.steps)-2),0)))</f>
        <v>0</v>
      </c>
      <c r="E2122">
        <f>_xlfn.LET(_xlpm.dir,Table13[[#This Row],[Direction]],
IF(_xlpm.dir="L",
    IF(G2121-Table13[[#This Row],[Steps]]&lt;0,100+(G2121-Table13[[#This Row],[Steps]]),G2121-Table13[[#This Row],[Steps]]),
))</f>
        <v>86</v>
      </c>
      <c r="F2122">
        <f>_xlfn.LET(_xlpm.dir,Table13[[#This Row],[Direction]],
IF(_xlpm.dir="R",
    IF(G2121+Table13[[#This Row],[Steps]]&gt;99,(G2121+Table13[[#This Row],[Steps]])-100,G2121+Table13[[#This Row],[Steps]]),
))</f>
        <v>0</v>
      </c>
      <c r="G2122">
        <f>IF(Table13[[#This Row],[New Pos L]]&lt;&gt;0,Table13[[#This Row],[New Pos L]],Table13[[#This Row],[New Pos R]])</f>
        <v>86</v>
      </c>
      <c r="H2122">
        <f>IF(AND(Table13[[#This Row],[Direction]]="L",Table13[[#This Row],[Steps]]&gt;G2121,G2121&lt;&gt;0),1,0)</f>
        <v>1</v>
      </c>
      <c r="I2122">
        <f>IF(AND(Table13[[#This Row],[Direction]]="R",(G2121+Table13[[#This Row],[Steps]])&gt;100),1,0)</f>
        <v>0</v>
      </c>
      <c r="J2122">
        <f>IF(Table13[[#This Row],[POS]]=0,1,0)</f>
        <v>0</v>
      </c>
      <c r="K2122">
        <f>SUM(Table13[[#This Row],[prefix]],Table13[[#This Row],[Past zero L]],Table13[[#This Row],[Past Zero R]],Table13[[#This Row],[Is Zero]])</f>
        <v>1</v>
      </c>
    </row>
    <row r="2123" spans="1:11" ht="16" x14ac:dyDescent="0.2">
      <c r="A2123" s="1" t="s">
        <v>566</v>
      </c>
      <c r="B2123" t="str">
        <f>LEFT(Table13[[#This Row],[Input]],1)</f>
        <v>L</v>
      </c>
      <c r="C2123">
        <f>_xlfn.LET(_xlpm.steps,SUBSTITUTE(Table13[[#This Row],[Input]],Table13[[#This Row],[Direction]],""),VALUE(IF(LEN(_xlpm.steps)&gt;2,RIGHT(_xlpm.steps,2),_xlpm.steps)))</f>
        <v>34</v>
      </c>
      <c r="D2123">
        <f>_xlfn.LET(_xlpm.steps,SUBSTITUTE(Table13[[#This Row],[Input]],Table13[[#This Row],[Direction]],""),VALUE(IF(LEN(_xlpm.steps)&gt;2,LEFT(_xlpm.steps,LEN(_xlpm.steps)-2),0)))</f>
        <v>9</v>
      </c>
      <c r="E2123">
        <f>_xlfn.LET(_xlpm.dir,Table13[[#This Row],[Direction]],
IF(_xlpm.dir="L",
    IF(G2122-Table13[[#This Row],[Steps]]&lt;0,100+(G2122-Table13[[#This Row],[Steps]]),G2122-Table13[[#This Row],[Steps]]),
))</f>
        <v>52</v>
      </c>
      <c r="F2123">
        <f>_xlfn.LET(_xlpm.dir,Table13[[#This Row],[Direction]],
IF(_xlpm.dir="R",
    IF(G2122+Table13[[#This Row],[Steps]]&gt;99,(G2122+Table13[[#This Row],[Steps]])-100,G2122+Table13[[#This Row],[Steps]]),
))</f>
        <v>0</v>
      </c>
      <c r="G2123">
        <f>IF(Table13[[#This Row],[New Pos L]]&lt;&gt;0,Table13[[#This Row],[New Pos L]],Table13[[#This Row],[New Pos R]])</f>
        <v>52</v>
      </c>
      <c r="H2123">
        <f>IF(AND(Table13[[#This Row],[Direction]]="L",Table13[[#This Row],[Steps]]&gt;G2122,G2122&lt;&gt;0),1,0)</f>
        <v>0</v>
      </c>
      <c r="I2123">
        <f>IF(AND(Table13[[#This Row],[Direction]]="R",(G2122+Table13[[#This Row],[Steps]])&gt;100),1,0)</f>
        <v>0</v>
      </c>
      <c r="J2123">
        <f>IF(Table13[[#This Row],[POS]]=0,1,0)</f>
        <v>0</v>
      </c>
      <c r="K2123">
        <f>SUM(Table13[[#This Row],[prefix]],Table13[[#This Row],[Past zero L]],Table13[[#This Row],[Past Zero R]],Table13[[#This Row],[Is Zero]])</f>
        <v>9</v>
      </c>
    </row>
    <row r="2124" spans="1:11" ht="16" x14ac:dyDescent="0.2">
      <c r="A2124" s="1" t="s">
        <v>567</v>
      </c>
      <c r="B2124" t="str">
        <f>LEFT(Table13[[#This Row],[Input]],1)</f>
        <v>L</v>
      </c>
      <c r="C2124">
        <f>_xlfn.LET(_xlpm.steps,SUBSTITUTE(Table13[[#This Row],[Input]],Table13[[#This Row],[Direction]],""),VALUE(IF(LEN(_xlpm.steps)&gt;2,RIGHT(_xlpm.steps,2),_xlpm.steps)))</f>
        <v>93</v>
      </c>
      <c r="D2124">
        <f>_xlfn.LET(_xlpm.steps,SUBSTITUTE(Table13[[#This Row],[Input]],Table13[[#This Row],[Direction]],""),VALUE(IF(LEN(_xlpm.steps)&gt;2,LEFT(_xlpm.steps,LEN(_xlpm.steps)-2),0)))</f>
        <v>4</v>
      </c>
      <c r="E2124">
        <f>_xlfn.LET(_xlpm.dir,Table13[[#This Row],[Direction]],
IF(_xlpm.dir="L",
    IF(G2123-Table13[[#This Row],[Steps]]&lt;0,100+(G2123-Table13[[#This Row],[Steps]]),G2123-Table13[[#This Row],[Steps]]),
))</f>
        <v>59</v>
      </c>
      <c r="F2124">
        <f>_xlfn.LET(_xlpm.dir,Table13[[#This Row],[Direction]],
IF(_xlpm.dir="R",
    IF(G2123+Table13[[#This Row],[Steps]]&gt;99,(G2123+Table13[[#This Row],[Steps]])-100,G2123+Table13[[#This Row],[Steps]]),
))</f>
        <v>0</v>
      </c>
      <c r="G2124">
        <f>IF(Table13[[#This Row],[New Pos L]]&lt;&gt;0,Table13[[#This Row],[New Pos L]],Table13[[#This Row],[New Pos R]])</f>
        <v>59</v>
      </c>
      <c r="H2124">
        <f>IF(AND(Table13[[#This Row],[Direction]]="L",Table13[[#This Row],[Steps]]&gt;G2123,G2123&lt;&gt;0),1,0)</f>
        <v>1</v>
      </c>
      <c r="I2124">
        <f>IF(AND(Table13[[#This Row],[Direction]]="R",(G2123+Table13[[#This Row],[Steps]])&gt;100),1,0)</f>
        <v>0</v>
      </c>
      <c r="J2124">
        <f>IF(Table13[[#This Row],[POS]]=0,1,0)</f>
        <v>0</v>
      </c>
      <c r="K2124">
        <f>SUM(Table13[[#This Row],[prefix]],Table13[[#This Row],[Past zero L]],Table13[[#This Row],[Past Zero R]],Table13[[#This Row],[Is Zero]])</f>
        <v>5</v>
      </c>
    </row>
    <row r="2125" spans="1:11" ht="16" x14ac:dyDescent="0.2">
      <c r="A2125" s="1" t="s">
        <v>568</v>
      </c>
      <c r="B2125" t="str">
        <f>LEFT(Table13[[#This Row],[Input]],1)</f>
        <v>L</v>
      </c>
      <c r="C2125">
        <f>_xlfn.LET(_xlpm.steps,SUBSTITUTE(Table13[[#This Row],[Input]],Table13[[#This Row],[Direction]],""),VALUE(IF(LEN(_xlpm.steps)&gt;2,RIGHT(_xlpm.steps,2),_xlpm.steps)))</f>
        <v>59</v>
      </c>
      <c r="D2125">
        <f>_xlfn.LET(_xlpm.steps,SUBSTITUTE(Table13[[#This Row],[Input]],Table13[[#This Row],[Direction]],""),VALUE(IF(LEN(_xlpm.steps)&gt;2,LEFT(_xlpm.steps,LEN(_xlpm.steps)-2),0)))</f>
        <v>8</v>
      </c>
      <c r="E2125">
        <f>_xlfn.LET(_xlpm.dir,Table13[[#This Row],[Direction]],
IF(_xlpm.dir="L",
    IF(G2124-Table13[[#This Row],[Steps]]&lt;0,100+(G2124-Table13[[#This Row],[Steps]]),G2124-Table13[[#This Row],[Steps]]),
))</f>
        <v>0</v>
      </c>
      <c r="F2125">
        <f>_xlfn.LET(_xlpm.dir,Table13[[#This Row],[Direction]],
IF(_xlpm.dir="R",
    IF(G2124+Table13[[#This Row],[Steps]]&gt;99,(G2124+Table13[[#This Row],[Steps]])-100,G2124+Table13[[#This Row],[Steps]]),
))</f>
        <v>0</v>
      </c>
      <c r="G2125">
        <f>IF(Table13[[#This Row],[New Pos L]]&lt;&gt;0,Table13[[#This Row],[New Pos L]],Table13[[#This Row],[New Pos R]])</f>
        <v>0</v>
      </c>
      <c r="H2125">
        <f>IF(AND(Table13[[#This Row],[Direction]]="L",Table13[[#This Row],[Steps]]&gt;G2124,G2124&lt;&gt;0),1,0)</f>
        <v>0</v>
      </c>
      <c r="I2125">
        <f>IF(AND(Table13[[#This Row],[Direction]]="R",(G2124+Table13[[#This Row],[Steps]])&gt;100),1,0)</f>
        <v>0</v>
      </c>
      <c r="J2125">
        <f>IF(Table13[[#This Row],[POS]]=0,1,0)</f>
        <v>1</v>
      </c>
      <c r="K2125">
        <f>SUM(Table13[[#This Row],[prefix]],Table13[[#This Row],[Past zero L]],Table13[[#This Row],[Past Zero R]],Table13[[#This Row],[Is Zero]])</f>
        <v>9</v>
      </c>
    </row>
    <row r="2126" spans="1:11" ht="16" x14ac:dyDescent="0.2">
      <c r="A2126" s="1" t="s">
        <v>569</v>
      </c>
      <c r="B2126" t="str">
        <f>LEFT(Table13[[#This Row],[Input]],1)</f>
        <v>R</v>
      </c>
      <c r="C2126">
        <f>_xlfn.LET(_xlpm.steps,SUBSTITUTE(Table13[[#This Row],[Input]],Table13[[#This Row],[Direction]],""),VALUE(IF(LEN(_xlpm.steps)&gt;2,RIGHT(_xlpm.steps,2),_xlpm.steps)))</f>
        <v>87</v>
      </c>
      <c r="D2126">
        <f>_xlfn.LET(_xlpm.steps,SUBSTITUTE(Table13[[#This Row],[Input]],Table13[[#This Row],[Direction]],""),VALUE(IF(LEN(_xlpm.steps)&gt;2,LEFT(_xlpm.steps,LEN(_xlpm.steps)-2),0)))</f>
        <v>5</v>
      </c>
      <c r="E2126">
        <f>_xlfn.LET(_xlpm.dir,Table13[[#This Row],[Direction]],
IF(_xlpm.dir="L",
    IF(G2125-Table13[[#This Row],[Steps]]&lt;0,100+(G2125-Table13[[#This Row],[Steps]]),G2125-Table13[[#This Row],[Steps]]),
))</f>
        <v>0</v>
      </c>
      <c r="F2126">
        <f>_xlfn.LET(_xlpm.dir,Table13[[#This Row],[Direction]],
IF(_xlpm.dir="R",
    IF(G2125+Table13[[#This Row],[Steps]]&gt;99,(G2125+Table13[[#This Row],[Steps]])-100,G2125+Table13[[#This Row],[Steps]]),
))</f>
        <v>87</v>
      </c>
      <c r="G2126">
        <f>IF(Table13[[#This Row],[New Pos L]]&lt;&gt;0,Table13[[#This Row],[New Pos L]],Table13[[#This Row],[New Pos R]])</f>
        <v>87</v>
      </c>
      <c r="H2126">
        <f>IF(AND(Table13[[#This Row],[Direction]]="L",Table13[[#This Row],[Steps]]&gt;G2125,G2125&lt;&gt;0),1,0)</f>
        <v>0</v>
      </c>
      <c r="I2126">
        <f>IF(AND(Table13[[#This Row],[Direction]]="R",(G2125+Table13[[#This Row],[Steps]])&gt;100),1,0)</f>
        <v>0</v>
      </c>
      <c r="J2126">
        <f>IF(Table13[[#This Row],[POS]]=0,1,0)</f>
        <v>0</v>
      </c>
      <c r="K2126">
        <f>SUM(Table13[[#This Row],[prefix]],Table13[[#This Row],[Past zero L]],Table13[[#This Row],[Past Zero R]],Table13[[#This Row],[Is Zero]])</f>
        <v>5</v>
      </c>
    </row>
    <row r="2127" spans="1:11" ht="16" x14ac:dyDescent="0.2">
      <c r="A2127" s="1" t="s">
        <v>364</v>
      </c>
      <c r="B2127" t="str">
        <f>LEFT(Table13[[#This Row],[Input]],1)</f>
        <v>L</v>
      </c>
      <c r="C2127">
        <f>_xlfn.LET(_xlpm.steps,SUBSTITUTE(Table13[[#This Row],[Input]],Table13[[#This Row],[Direction]],""),VALUE(IF(LEN(_xlpm.steps)&gt;2,RIGHT(_xlpm.steps,2),_xlpm.steps)))</f>
        <v>70</v>
      </c>
      <c r="D2127">
        <f>_xlfn.LET(_xlpm.steps,SUBSTITUTE(Table13[[#This Row],[Input]],Table13[[#This Row],[Direction]],""),VALUE(IF(LEN(_xlpm.steps)&gt;2,LEFT(_xlpm.steps,LEN(_xlpm.steps)-2),0)))</f>
        <v>0</v>
      </c>
      <c r="E2127">
        <f>_xlfn.LET(_xlpm.dir,Table13[[#This Row],[Direction]],
IF(_xlpm.dir="L",
    IF(G2126-Table13[[#This Row],[Steps]]&lt;0,100+(G2126-Table13[[#This Row],[Steps]]),G2126-Table13[[#This Row],[Steps]]),
))</f>
        <v>17</v>
      </c>
      <c r="F2127">
        <f>_xlfn.LET(_xlpm.dir,Table13[[#This Row],[Direction]],
IF(_xlpm.dir="R",
    IF(G2126+Table13[[#This Row],[Steps]]&gt;99,(G2126+Table13[[#This Row],[Steps]])-100,G2126+Table13[[#This Row],[Steps]]),
))</f>
        <v>0</v>
      </c>
      <c r="G2127">
        <f>IF(Table13[[#This Row],[New Pos L]]&lt;&gt;0,Table13[[#This Row],[New Pos L]],Table13[[#This Row],[New Pos R]])</f>
        <v>17</v>
      </c>
      <c r="H2127">
        <f>IF(AND(Table13[[#This Row],[Direction]]="L",Table13[[#This Row],[Steps]]&gt;G2126,G2126&lt;&gt;0),1,0)</f>
        <v>0</v>
      </c>
      <c r="I2127">
        <f>IF(AND(Table13[[#This Row],[Direction]]="R",(G2126+Table13[[#This Row],[Steps]])&gt;100),1,0)</f>
        <v>0</v>
      </c>
      <c r="J2127">
        <f>IF(Table13[[#This Row],[POS]]=0,1,0)</f>
        <v>0</v>
      </c>
      <c r="K2127">
        <f>SUM(Table13[[#This Row],[prefix]],Table13[[#This Row],[Past zero L]],Table13[[#This Row],[Past Zero R]],Table13[[#This Row],[Is Zero]])</f>
        <v>0</v>
      </c>
    </row>
    <row r="2128" spans="1:11" ht="16" x14ac:dyDescent="0.2">
      <c r="A2128" s="1" t="s">
        <v>14</v>
      </c>
      <c r="B2128" t="str">
        <f>LEFT(Table13[[#This Row],[Input]],1)</f>
        <v>L</v>
      </c>
      <c r="C2128">
        <f>_xlfn.LET(_xlpm.steps,SUBSTITUTE(Table13[[#This Row],[Input]],Table13[[#This Row],[Direction]],""),VALUE(IF(LEN(_xlpm.steps)&gt;2,RIGHT(_xlpm.steps,2),_xlpm.steps)))</f>
        <v>43</v>
      </c>
      <c r="D2128">
        <f>_xlfn.LET(_xlpm.steps,SUBSTITUTE(Table13[[#This Row],[Input]],Table13[[#This Row],[Direction]],""),VALUE(IF(LEN(_xlpm.steps)&gt;2,LEFT(_xlpm.steps,LEN(_xlpm.steps)-2),0)))</f>
        <v>0</v>
      </c>
      <c r="E2128">
        <f>_xlfn.LET(_xlpm.dir,Table13[[#This Row],[Direction]],
IF(_xlpm.dir="L",
    IF(G2127-Table13[[#This Row],[Steps]]&lt;0,100+(G2127-Table13[[#This Row],[Steps]]),G2127-Table13[[#This Row],[Steps]]),
))</f>
        <v>74</v>
      </c>
      <c r="F2128">
        <f>_xlfn.LET(_xlpm.dir,Table13[[#This Row],[Direction]],
IF(_xlpm.dir="R",
    IF(G2127+Table13[[#This Row],[Steps]]&gt;99,(G2127+Table13[[#This Row],[Steps]])-100,G2127+Table13[[#This Row],[Steps]]),
))</f>
        <v>0</v>
      </c>
      <c r="G2128">
        <f>IF(Table13[[#This Row],[New Pos L]]&lt;&gt;0,Table13[[#This Row],[New Pos L]],Table13[[#This Row],[New Pos R]])</f>
        <v>74</v>
      </c>
      <c r="H2128">
        <f>IF(AND(Table13[[#This Row],[Direction]]="L",Table13[[#This Row],[Steps]]&gt;G2127,G2127&lt;&gt;0),1,0)</f>
        <v>1</v>
      </c>
      <c r="I2128">
        <f>IF(AND(Table13[[#This Row],[Direction]]="R",(G2127+Table13[[#This Row],[Steps]])&gt;100),1,0)</f>
        <v>0</v>
      </c>
      <c r="J2128">
        <f>IF(Table13[[#This Row],[POS]]=0,1,0)</f>
        <v>0</v>
      </c>
      <c r="K2128">
        <f>SUM(Table13[[#This Row],[prefix]],Table13[[#This Row],[Past zero L]],Table13[[#This Row],[Past Zero R]],Table13[[#This Row],[Is Zero]])</f>
        <v>1</v>
      </c>
    </row>
    <row r="2129" spans="1:11" ht="16" x14ac:dyDescent="0.2">
      <c r="A2129" s="1" t="s">
        <v>65</v>
      </c>
      <c r="B2129" t="str">
        <f>LEFT(Table13[[#This Row],[Input]],1)</f>
        <v>L</v>
      </c>
      <c r="C2129">
        <f>_xlfn.LET(_xlpm.steps,SUBSTITUTE(Table13[[#This Row],[Input]],Table13[[#This Row],[Direction]],""),VALUE(IF(LEN(_xlpm.steps)&gt;2,RIGHT(_xlpm.steps,2),_xlpm.steps)))</f>
        <v>19</v>
      </c>
      <c r="D2129">
        <f>_xlfn.LET(_xlpm.steps,SUBSTITUTE(Table13[[#This Row],[Input]],Table13[[#This Row],[Direction]],""),VALUE(IF(LEN(_xlpm.steps)&gt;2,LEFT(_xlpm.steps,LEN(_xlpm.steps)-2),0)))</f>
        <v>0</v>
      </c>
      <c r="E2129">
        <f>_xlfn.LET(_xlpm.dir,Table13[[#This Row],[Direction]],
IF(_xlpm.dir="L",
    IF(G2128-Table13[[#This Row],[Steps]]&lt;0,100+(G2128-Table13[[#This Row],[Steps]]),G2128-Table13[[#This Row],[Steps]]),
))</f>
        <v>55</v>
      </c>
      <c r="F2129">
        <f>_xlfn.LET(_xlpm.dir,Table13[[#This Row],[Direction]],
IF(_xlpm.dir="R",
    IF(G2128+Table13[[#This Row],[Steps]]&gt;99,(G2128+Table13[[#This Row],[Steps]])-100,G2128+Table13[[#This Row],[Steps]]),
))</f>
        <v>0</v>
      </c>
      <c r="G2129">
        <f>IF(Table13[[#This Row],[New Pos L]]&lt;&gt;0,Table13[[#This Row],[New Pos L]],Table13[[#This Row],[New Pos R]])</f>
        <v>55</v>
      </c>
      <c r="H2129">
        <f>IF(AND(Table13[[#This Row],[Direction]]="L",Table13[[#This Row],[Steps]]&gt;G2128,G2128&lt;&gt;0),1,0)</f>
        <v>0</v>
      </c>
      <c r="I2129">
        <f>IF(AND(Table13[[#This Row],[Direction]]="R",(G2128+Table13[[#This Row],[Steps]])&gt;100),1,0)</f>
        <v>0</v>
      </c>
      <c r="J2129">
        <f>IF(Table13[[#This Row],[POS]]=0,1,0)</f>
        <v>0</v>
      </c>
      <c r="K2129">
        <f>SUM(Table13[[#This Row],[prefix]],Table13[[#This Row],[Past zero L]],Table13[[#This Row],[Past Zero R]],Table13[[#This Row],[Is Zero]])</f>
        <v>0</v>
      </c>
    </row>
    <row r="2130" spans="1:11" ht="16" x14ac:dyDescent="0.2">
      <c r="A2130" s="1" t="s">
        <v>66</v>
      </c>
      <c r="B2130" t="str">
        <f>LEFT(Table13[[#This Row],[Input]],1)</f>
        <v>R</v>
      </c>
      <c r="C2130">
        <f>_xlfn.LET(_xlpm.steps,SUBSTITUTE(Table13[[#This Row],[Input]],Table13[[#This Row],[Direction]],""),VALUE(IF(LEN(_xlpm.steps)&gt;2,RIGHT(_xlpm.steps,2),_xlpm.steps)))</f>
        <v>45</v>
      </c>
      <c r="D2130">
        <f>_xlfn.LET(_xlpm.steps,SUBSTITUTE(Table13[[#This Row],[Input]],Table13[[#This Row],[Direction]],""),VALUE(IF(LEN(_xlpm.steps)&gt;2,LEFT(_xlpm.steps,LEN(_xlpm.steps)-2),0)))</f>
        <v>0</v>
      </c>
      <c r="E2130">
        <f>_xlfn.LET(_xlpm.dir,Table13[[#This Row],[Direction]],
IF(_xlpm.dir="L",
    IF(G2129-Table13[[#This Row],[Steps]]&lt;0,100+(G2129-Table13[[#This Row],[Steps]]),G2129-Table13[[#This Row],[Steps]]),
))</f>
        <v>0</v>
      </c>
      <c r="F2130">
        <f>_xlfn.LET(_xlpm.dir,Table13[[#This Row],[Direction]],
IF(_xlpm.dir="R",
    IF(G2129+Table13[[#This Row],[Steps]]&gt;99,(G2129+Table13[[#This Row],[Steps]])-100,G2129+Table13[[#This Row],[Steps]]),
))</f>
        <v>0</v>
      </c>
      <c r="G2130">
        <f>IF(Table13[[#This Row],[New Pos L]]&lt;&gt;0,Table13[[#This Row],[New Pos L]],Table13[[#This Row],[New Pos R]])</f>
        <v>0</v>
      </c>
      <c r="H2130">
        <f>IF(AND(Table13[[#This Row],[Direction]]="L",Table13[[#This Row],[Steps]]&gt;G2129,G2129&lt;&gt;0),1,0)</f>
        <v>0</v>
      </c>
      <c r="I2130">
        <f>IF(AND(Table13[[#This Row],[Direction]]="R",(G2129+Table13[[#This Row],[Steps]])&gt;100),1,0)</f>
        <v>0</v>
      </c>
      <c r="J2130">
        <f>IF(Table13[[#This Row],[POS]]=0,1,0)</f>
        <v>1</v>
      </c>
      <c r="K2130">
        <f>SUM(Table13[[#This Row],[prefix]],Table13[[#This Row],[Past zero L]],Table13[[#This Row],[Past Zero R]],Table13[[#This Row],[Is Zero]])</f>
        <v>1</v>
      </c>
    </row>
    <row r="2131" spans="1:11" ht="16" x14ac:dyDescent="0.2">
      <c r="A2131" s="1" t="s">
        <v>570</v>
      </c>
      <c r="B2131" t="str">
        <f>LEFT(Table13[[#This Row],[Input]],1)</f>
        <v>L</v>
      </c>
      <c r="C2131">
        <f>_xlfn.LET(_xlpm.steps,SUBSTITUTE(Table13[[#This Row],[Input]],Table13[[#This Row],[Direction]],""),VALUE(IF(LEN(_xlpm.steps)&gt;2,RIGHT(_xlpm.steps,2),_xlpm.steps)))</f>
        <v>74</v>
      </c>
      <c r="D2131">
        <f>_xlfn.LET(_xlpm.steps,SUBSTITUTE(Table13[[#This Row],[Input]],Table13[[#This Row],[Direction]],""),VALUE(IF(LEN(_xlpm.steps)&gt;2,LEFT(_xlpm.steps,LEN(_xlpm.steps)-2),0)))</f>
        <v>5</v>
      </c>
      <c r="E2131">
        <f>_xlfn.LET(_xlpm.dir,Table13[[#This Row],[Direction]],
IF(_xlpm.dir="L",
    IF(G2130-Table13[[#This Row],[Steps]]&lt;0,100+(G2130-Table13[[#This Row],[Steps]]),G2130-Table13[[#This Row],[Steps]]),
))</f>
        <v>26</v>
      </c>
      <c r="F2131">
        <f>_xlfn.LET(_xlpm.dir,Table13[[#This Row],[Direction]],
IF(_xlpm.dir="R",
    IF(G2130+Table13[[#This Row],[Steps]]&gt;99,(G2130+Table13[[#This Row],[Steps]])-100,G2130+Table13[[#This Row],[Steps]]),
))</f>
        <v>0</v>
      </c>
      <c r="G2131">
        <f>IF(Table13[[#This Row],[New Pos L]]&lt;&gt;0,Table13[[#This Row],[New Pos L]],Table13[[#This Row],[New Pos R]])</f>
        <v>26</v>
      </c>
      <c r="H2131">
        <f>IF(AND(Table13[[#This Row],[Direction]]="L",Table13[[#This Row],[Steps]]&gt;G2130,G2130&lt;&gt;0),1,0)</f>
        <v>0</v>
      </c>
      <c r="I2131">
        <f>IF(AND(Table13[[#This Row],[Direction]]="R",(G2130+Table13[[#This Row],[Steps]])&gt;100),1,0)</f>
        <v>0</v>
      </c>
      <c r="J2131">
        <f>IF(Table13[[#This Row],[POS]]=0,1,0)</f>
        <v>0</v>
      </c>
      <c r="K2131">
        <f>SUM(Table13[[#This Row],[prefix]],Table13[[#This Row],[Past zero L]],Table13[[#This Row],[Past Zero R]],Table13[[#This Row],[Is Zero]])</f>
        <v>5</v>
      </c>
    </row>
    <row r="2132" spans="1:11" ht="16" x14ac:dyDescent="0.2">
      <c r="A2132" s="1" t="s">
        <v>571</v>
      </c>
      <c r="B2132" t="str">
        <f>LEFT(Table13[[#This Row],[Input]],1)</f>
        <v>L</v>
      </c>
      <c r="C2132">
        <f>_xlfn.LET(_xlpm.steps,SUBSTITUTE(Table13[[#This Row],[Input]],Table13[[#This Row],[Direction]],""),VALUE(IF(LEN(_xlpm.steps)&gt;2,RIGHT(_xlpm.steps,2),_xlpm.steps)))</f>
        <v>85</v>
      </c>
      <c r="D2132">
        <f>_xlfn.LET(_xlpm.steps,SUBSTITUTE(Table13[[#This Row],[Input]],Table13[[#This Row],[Direction]],""),VALUE(IF(LEN(_xlpm.steps)&gt;2,LEFT(_xlpm.steps,LEN(_xlpm.steps)-2),0)))</f>
        <v>7</v>
      </c>
      <c r="E2132">
        <f>_xlfn.LET(_xlpm.dir,Table13[[#This Row],[Direction]],
IF(_xlpm.dir="L",
    IF(G2131-Table13[[#This Row],[Steps]]&lt;0,100+(G2131-Table13[[#This Row],[Steps]]),G2131-Table13[[#This Row],[Steps]]),
))</f>
        <v>41</v>
      </c>
      <c r="F2132">
        <f>_xlfn.LET(_xlpm.dir,Table13[[#This Row],[Direction]],
IF(_xlpm.dir="R",
    IF(G2131+Table13[[#This Row],[Steps]]&gt;99,(G2131+Table13[[#This Row],[Steps]])-100,G2131+Table13[[#This Row],[Steps]]),
))</f>
        <v>0</v>
      </c>
      <c r="G2132">
        <f>IF(Table13[[#This Row],[New Pos L]]&lt;&gt;0,Table13[[#This Row],[New Pos L]],Table13[[#This Row],[New Pos R]])</f>
        <v>41</v>
      </c>
      <c r="H2132">
        <f>IF(AND(Table13[[#This Row],[Direction]]="L",Table13[[#This Row],[Steps]]&gt;G2131,G2131&lt;&gt;0),1,0)</f>
        <v>1</v>
      </c>
      <c r="I2132">
        <f>IF(AND(Table13[[#This Row],[Direction]]="R",(G2131+Table13[[#This Row],[Steps]])&gt;100),1,0)</f>
        <v>0</v>
      </c>
      <c r="J2132">
        <f>IF(Table13[[#This Row],[POS]]=0,1,0)</f>
        <v>0</v>
      </c>
      <c r="K2132">
        <f>SUM(Table13[[#This Row],[prefix]],Table13[[#This Row],[Past zero L]],Table13[[#This Row],[Past Zero R]],Table13[[#This Row],[Is Zero]])</f>
        <v>8</v>
      </c>
    </row>
    <row r="2133" spans="1:11" ht="16" x14ac:dyDescent="0.2">
      <c r="A2133" s="1" t="s">
        <v>104</v>
      </c>
      <c r="B2133" t="str">
        <f>LEFT(Table13[[#This Row],[Input]],1)</f>
        <v>R</v>
      </c>
      <c r="C2133">
        <f>_xlfn.LET(_xlpm.steps,SUBSTITUTE(Table13[[#This Row],[Input]],Table13[[#This Row],[Direction]],""),VALUE(IF(LEN(_xlpm.steps)&gt;2,RIGHT(_xlpm.steps,2),_xlpm.steps)))</f>
        <v>59</v>
      </c>
      <c r="D2133">
        <f>_xlfn.LET(_xlpm.steps,SUBSTITUTE(Table13[[#This Row],[Input]],Table13[[#This Row],[Direction]],""),VALUE(IF(LEN(_xlpm.steps)&gt;2,LEFT(_xlpm.steps,LEN(_xlpm.steps)-2),0)))</f>
        <v>0</v>
      </c>
      <c r="E2133">
        <f>_xlfn.LET(_xlpm.dir,Table13[[#This Row],[Direction]],
IF(_xlpm.dir="L",
    IF(G2132-Table13[[#This Row],[Steps]]&lt;0,100+(G2132-Table13[[#This Row],[Steps]]),G2132-Table13[[#This Row],[Steps]]),
))</f>
        <v>0</v>
      </c>
      <c r="F2133">
        <f>_xlfn.LET(_xlpm.dir,Table13[[#This Row],[Direction]],
IF(_xlpm.dir="R",
    IF(G2132+Table13[[#This Row],[Steps]]&gt;99,(G2132+Table13[[#This Row],[Steps]])-100,G2132+Table13[[#This Row],[Steps]]),
))</f>
        <v>0</v>
      </c>
      <c r="G2133">
        <f>IF(Table13[[#This Row],[New Pos L]]&lt;&gt;0,Table13[[#This Row],[New Pos L]],Table13[[#This Row],[New Pos R]])</f>
        <v>0</v>
      </c>
      <c r="H2133">
        <f>IF(AND(Table13[[#This Row],[Direction]]="L",Table13[[#This Row],[Steps]]&gt;G2132,G2132&lt;&gt;0),1,0)</f>
        <v>0</v>
      </c>
      <c r="I2133">
        <f>IF(AND(Table13[[#This Row],[Direction]]="R",(G2132+Table13[[#This Row],[Steps]])&gt;100),1,0)</f>
        <v>0</v>
      </c>
      <c r="J2133">
        <f>IF(Table13[[#This Row],[POS]]=0,1,0)</f>
        <v>1</v>
      </c>
      <c r="K2133">
        <f>SUM(Table13[[#This Row],[prefix]],Table13[[#This Row],[Past zero L]],Table13[[#This Row],[Past Zero R]],Table13[[#This Row],[Is Zero]])</f>
        <v>1</v>
      </c>
    </row>
    <row r="2134" spans="1:11" ht="16" x14ac:dyDescent="0.2">
      <c r="A2134" s="1" t="s">
        <v>135</v>
      </c>
      <c r="B2134" t="str">
        <f>LEFT(Table13[[#This Row],[Input]],1)</f>
        <v>R</v>
      </c>
      <c r="C2134">
        <f>_xlfn.LET(_xlpm.steps,SUBSTITUTE(Table13[[#This Row],[Input]],Table13[[#This Row],[Direction]],""),VALUE(IF(LEN(_xlpm.steps)&gt;2,RIGHT(_xlpm.steps,2),_xlpm.steps)))</f>
        <v>69</v>
      </c>
      <c r="D2134">
        <f>_xlfn.LET(_xlpm.steps,SUBSTITUTE(Table13[[#This Row],[Input]],Table13[[#This Row],[Direction]],""),VALUE(IF(LEN(_xlpm.steps)&gt;2,LEFT(_xlpm.steps,LEN(_xlpm.steps)-2),0)))</f>
        <v>0</v>
      </c>
      <c r="E2134">
        <f>_xlfn.LET(_xlpm.dir,Table13[[#This Row],[Direction]],
IF(_xlpm.dir="L",
    IF(G2133-Table13[[#This Row],[Steps]]&lt;0,100+(G2133-Table13[[#This Row],[Steps]]),G2133-Table13[[#This Row],[Steps]]),
))</f>
        <v>0</v>
      </c>
      <c r="F2134">
        <f>_xlfn.LET(_xlpm.dir,Table13[[#This Row],[Direction]],
IF(_xlpm.dir="R",
    IF(G2133+Table13[[#This Row],[Steps]]&gt;99,(G2133+Table13[[#This Row],[Steps]])-100,G2133+Table13[[#This Row],[Steps]]),
))</f>
        <v>69</v>
      </c>
      <c r="G2134">
        <f>IF(Table13[[#This Row],[New Pos L]]&lt;&gt;0,Table13[[#This Row],[New Pos L]],Table13[[#This Row],[New Pos R]])</f>
        <v>69</v>
      </c>
      <c r="H2134">
        <f>IF(AND(Table13[[#This Row],[Direction]]="L",Table13[[#This Row],[Steps]]&gt;G2133,G2133&lt;&gt;0),1,0)</f>
        <v>0</v>
      </c>
      <c r="I2134">
        <f>IF(AND(Table13[[#This Row],[Direction]]="R",(G2133+Table13[[#This Row],[Steps]])&gt;100),1,0)</f>
        <v>0</v>
      </c>
      <c r="J2134">
        <f>IF(Table13[[#This Row],[POS]]=0,1,0)</f>
        <v>0</v>
      </c>
      <c r="K2134">
        <f>SUM(Table13[[#This Row],[prefix]],Table13[[#This Row],[Past zero L]],Table13[[#This Row],[Past Zero R]],Table13[[#This Row],[Is Zero]])</f>
        <v>0</v>
      </c>
    </row>
    <row r="2135" spans="1:11" ht="16" x14ac:dyDescent="0.2">
      <c r="A2135" s="1" t="s">
        <v>121</v>
      </c>
      <c r="B2135" t="str">
        <f>LEFT(Table13[[#This Row],[Input]],1)</f>
        <v>L</v>
      </c>
      <c r="C2135">
        <f>_xlfn.LET(_xlpm.steps,SUBSTITUTE(Table13[[#This Row],[Input]],Table13[[#This Row],[Direction]],""),VALUE(IF(LEN(_xlpm.steps)&gt;2,RIGHT(_xlpm.steps,2),_xlpm.steps)))</f>
        <v>69</v>
      </c>
      <c r="D2135">
        <f>_xlfn.LET(_xlpm.steps,SUBSTITUTE(Table13[[#This Row],[Input]],Table13[[#This Row],[Direction]],""),VALUE(IF(LEN(_xlpm.steps)&gt;2,LEFT(_xlpm.steps,LEN(_xlpm.steps)-2),0)))</f>
        <v>0</v>
      </c>
      <c r="E2135">
        <f>_xlfn.LET(_xlpm.dir,Table13[[#This Row],[Direction]],
IF(_xlpm.dir="L",
    IF(G2134-Table13[[#This Row],[Steps]]&lt;0,100+(G2134-Table13[[#This Row],[Steps]]),G2134-Table13[[#This Row],[Steps]]),
))</f>
        <v>0</v>
      </c>
      <c r="F2135">
        <f>_xlfn.LET(_xlpm.dir,Table13[[#This Row],[Direction]],
IF(_xlpm.dir="R",
    IF(G2134+Table13[[#This Row],[Steps]]&gt;99,(G2134+Table13[[#This Row],[Steps]])-100,G2134+Table13[[#This Row],[Steps]]),
))</f>
        <v>0</v>
      </c>
      <c r="G2135">
        <f>IF(Table13[[#This Row],[New Pos L]]&lt;&gt;0,Table13[[#This Row],[New Pos L]],Table13[[#This Row],[New Pos R]])</f>
        <v>0</v>
      </c>
      <c r="H2135">
        <f>IF(AND(Table13[[#This Row],[Direction]]="L",Table13[[#This Row],[Steps]]&gt;G2134,G2134&lt;&gt;0),1,0)</f>
        <v>0</v>
      </c>
      <c r="I2135">
        <f>IF(AND(Table13[[#This Row],[Direction]]="R",(G2134+Table13[[#This Row],[Steps]])&gt;100),1,0)</f>
        <v>0</v>
      </c>
      <c r="J2135">
        <f>IF(Table13[[#This Row],[POS]]=0,1,0)</f>
        <v>1</v>
      </c>
      <c r="K2135">
        <f>SUM(Table13[[#This Row],[prefix]],Table13[[#This Row],[Past zero L]],Table13[[#This Row],[Past Zero R]],Table13[[#This Row],[Is Zero]])</f>
        <v>1</v>
      </c>
    </row>
    <row r="2136" spans="1:11" ht="16" x14ac:dyDescent="0.2">
      <c r="A2136" s="1" t="s">
        <v>10</v>
      </c>
      <c r="B2136" t="str">
        <f>LEFT(Table13[[#This Row],[Input]],1)</f>
        <v>L</v>
      </c>
      <c r="C2136">
        <f>_xlfn.LET(_xlpm.steps,SUBSTITUTE(Table13[[#This Row],[Input]],Table13[[#This Row],[Direction]],""),VALUE(IF(LEN(_xlpm.steps)&gt;2,RIGHT(_xlpm.steps,2),_xlpm.steps)))</f>
        <v>35</v>
      </c>
      <c r="D2136">
        <f>_xlfn.LET(_xlpm.steps,SUBSTITUTE(Table13[[#This Row],[Input]],Table13[[#This Row],[Direction]],""),VALUE(IF(LEN(_xlpm.steps)&gt;2,LEFT(_xlpm.steps,LEN(_xlpm.steps)-2),0)))</f>
        <v>0</v>
      </c>
      <c r="E2136">
        <f>_xlfn.LET(_xlpm.dir,Table13[[#This Row],[Direction]],
IF(_xlpm.dir="L",
    IF(G2135-Table13[[#This Row],[Steps]]&lt;0,100+(G2135-Table13[[#This Row],[Steps]]),G2135-Table13[[#This Row],[Steps]]),
))</f>
        <v>65</v>
      </c>
      <c r="F2136">
        <f>_xlfn.LET(_xlpm.dir,Table13[[#This Row],[Direction]],
IF(_xlpm.dir="R",
    IF(G2135+Table13[[#This Row],[Steps]]&gt;99,(G2135+Table13[[#This Row],[Steps]])-100,G2135+Table13[[#This Row],[Steps]]),
))</f>
        <v>0</v>
      </c>
      <c r="G2136">
        <f>IF(Table13[[#This Row],[New Pos L]]&lt;&gt;0,Table13[[#This Row],[New Pos L]],Table13[[#This Row],[New Pos R]])</f>
        <v>65</v>
      </c>
      <c r="H2136">
        <f>IF(AND(Table13[[#This Row],[Direction]]="L",Table13[[#This Row],[Steps]]&gt;G2135,G2135&lt;&gt;0),1,0)</f>
        <v>0</v>
      </c>
      <c r="I2136">
        <f>IF(AND(Table13[[#This Row],[Direction]]="R",(G2135+Table13[[#This Row],[Steps]])&gt;100),1,0)</f>
        <v>0</v>
      </c>
      <c r="J2136">
        <f>IF(Table13[[#This Row],[POS]]=0,1,0)</f>
        <v>0</v>
      </c>
      <c r="K2136">
        <f>SUM(Table13[[#This Row],[prefix]],Table13[[#This Row],[Past zero L]],Table13[[#This Row],[Past Zero R]],Table13[[#This Row],[Is Zero]])</f>
        <v>0</v>
      </c>
    </row>
    <row r="2137" spans="1:11" ht="16" x14ac:dyDescent="0.2">
      <c r="A2137" s="1" t="s">
        <v>63</v>
      </c>
      <c r="B2137" t="str">
        <f>LEFT(Table13[[#This Row],[Input]],1)</f>
        <v>R</v>
      </c>
      <c r="C2137">
        <f>_xlfn.LET(_xlpm.steps,SUBSTITUTE(Table13[[#This Row],[Input]],Table13[[#This Row],[Direction]],""),VALUE(IF(LEN(_xlpm.steps)&gt;2,RIGHT(_xlpm.steps,2),_xlpm.steps)))</f>
        <v>57</v>
      </c>
      <c r="D2137">
        <f>_xlfn.LET(_xlpm.steps,SUBSTITUTE(Table13[[#This Row],[Input]],Table13[[#This Row],[Direction]],""),VALUE(IF(LEN(_xlpm.steps)&gt;2,LEFT(_xlpm.steps,LEN(_xlpm.steps)-2),0)))</f>
        <v>0</v>
      </c>
      <c r="E2137">
        <f>_xlfn.LET(_xlpm.dir,Table13[[#This Row],[Direction]],
IF(_xlpm.dir="L",
    IF(G2136-Table13[[#This Row],[Steps]]&lt;0,100+(G2136-Table13[[#This Row],[Steps]]),G2136-Table13[[#This Row],[Steps]]),
))</f>
        <v>0</v>
      </c>
      <c r="F2137">
        <f>_xlfn.LET(_xlpm.dir,Table13[[#This Row],[Direction]],
IF(_xlpm.dir="R",
    IF(G2136+Table13[[#This Row],[Steps]]&gt;99,(G2136+Table13[[#This Row],[Steps]])-100,G2136+Table13[[#This Row],[Steps]]),
))</f>
        <v>22</v>
      </c>
      <c r="G2137">
        <f>IF(Table13[[#This Row],[New Pos L]]&lt;&gt;0,Table13[[#This Row],[New Pos L]],Table13[[#This Row],[New Pos R]])</f>
        <v>22</v>
      </c>
      <c r="H2137">
        <f>IF(AND(Table13[[#This Row],[Direction]]="L",Table13[[#This Row],[Steps]]&gt;G2136,G2136&lt;&gt;0),1,0)</f>
        <v>0</v>
      </c>
      <c r="I2137">
        <f>IF(AND(Table13[[#This Row],[Direction]]="R",(G2136+Table13[[#This Row],[Steps]])&gt;100),1,0)</f>
        <v>1</v>
      </c>
      <c r="J2137">
        <f>IF(Table13[[#This Row],[POS]]=0,1,0)</f>
        <v>0</v>
      </c>
      <c r="K2137">
        <f>SUM(Table13[[#This Row],[prefix]],Table13[[#This Row],[Past zero L]],Table13[[#This Row],[Past Zero R]],Table13[[#This Row],[Is Zero]])</f>
        <v>1</v>
      </c>
    </row>
    <row r="2138" spans="1:11" ht="16" x14ac:dyDescent="0.2">
      <c r="A2138" s="1" t="s">
        <v>434</v>
      </c>
      <c r="B2138" t="str">
        <f>LEFT(Table13[[#This Row],[Input]],1)</f>
        <v>L</v>
      </c>
      <c r="C2138">
        <f>_xlfn.LET(_xlpm.steps,SUBSTITUTE(Table13[[#This Row],[Input]],Table13[[#This Row],[Direction]],""),VALUE(IF(LEN(_xlpm.steps)&gt;2,RIGHT(_xlpm.steps,2),_xlpm.steps)))</f>
        <v>22</v>
      </c>
      <c r="D2138">
        <f>_xlfn.LET(_xlpm.steps,SUBSTITUTE(Table13[[#This Row],[Input]],Table13[[#This Row],[Direction]],""),VALUE(IF(LEN(_xlpm.steps)&gt;2,LEFT(_xlpm.steps,LEN(_xlpm.steps)-2),0)))</f>
        <v>7</v>
      </c>
      <c r="E2138">
        <f>_xlfn.LET(_xlpm.dir,Table13[[#This Row],[Direction]],
IF(_xlpm.dir="L",
    IF(G2137-Table13[[#This Row],[Steps]]&lt;0,100+(G2137-Table13[[#This Row],[Steps]]),G2137-Table13[[#This Row],[Steps]]),
))</f>
        <v>0</v>
      </c>
      <c r="F2138">
        <f>_xlfn.LET(_xlpm.dir,Table13[[#This Row],[Direction]],
IF(_xlpm.dir="R",
    IF(G2137+Table13[[#This Row],[Steps]]&gt;99,(G2137+Table13[[#This Row],[Steps]])-100,G2137+Table13[[#This Row],[Steps]]),
))</f>
        <v>0</v>
      </c>
      <c r="G2138">
        <f>IF(Table13[[#This Row],[New Pos L]]&lt;&gt;0,Table13[[#This Row],[New Pos L]],Table13[[#This Row],[New Pos R]])</f>
        <v>0</v>
      </c>
      <c r="H2138">
        <f>IF(AND(Table13[[#This Row],[Direction]]="L",Table13[[#This Row],[Steps]]&gt;G2137,G2137&lt;&gt;0),1,0)</f>
        <v>0</v>
      </c>
      <c r="I2138">
        <f>IF(AND(Table13[[#This Row],[Direction]]="R",(G2137+Table13[[#This Row],[Steps]])&gt;100),1,0)</f>
        <v>0</v>
      </c>
      <c r="J2138">
        <f>IF(Table13[[#This Row],[POS]]=0,1,0)</f>
        <v>1</v>
      </c>
      <c r="K2138">
        <f>SUM(Table13[[#This Row],[prefix]],Table13[[#This Row],[Past zero L]],Table13[[#This Row],[Past Zero R]],Table13[[#This Row],[Is Zero]])</f>
        <v>8</v>
      </c>
    </row>
    <row r="2139" spans="1:11" ht="16" x14ac:dyDescent="0.2">
      <c r="A2139" s="1" t="s">
        <v>145</v>
      </c>
      <c r="B2139" t="str">
        <f>LEFT(Table13[[#This Row],[Input]],1)</f>
        <v>L</v>
      </c>
      <c r="C2139">
        <f>_xlfn.LET(_xlpm.steps,SUBSTITUTE(Table13[[#This Row],[Input]],Table13[[#This Row],[Direction]],""),VALUE(IF(LEN(_xlpm.steps)&gt;2,RIGHT(_xlpm.steps,2),_xlpm.steps)))</f>
        <v>83</v>
      </c>
      <c r="D2139">
        <f>_xlfn.LET(_xlpm.steps,SUBSTITUTE(Table13[[#This Row],[Input]],Table13[[#This Row],[Direction]],""),VALUE(IF(LEN(_xlpm.steps)&gt;2,LEFT(_xlpm.steps,LEN(_xlpm.steps)-2),0)))</f>
        <v>0</v>
      </c>
      <c r="E2139">
        <f>_xlfn.LET(_xlpm.dir,Table13[[#This Row],[Direction]],
IF(_xlpm.dir="L",
    IF(G2138-Table13[[#This Row],[Steps]]&lt;0,100+(G2138-Table13[[#This Row],[Steps]]),G2138-Table13[[#This Row],[Steps]]),
))</f>
        <v>17</v>
      </c>
      <c r="F2139">
        <f>_xlfn.LET(_xlpm.dir,Table13[[#This Row],[Direction]],
IF(_xlpm.dir="R",
    IF(G2138+Table13[[#This Row],[Steps]]&gt;99,(G2138+Table13[[#This Row],[Steps]])-100,G2138+Table13[[#This Row],[Steps]]),
))</f>
        <v>0</v>
      </c>
      <c r="G2139">
        <f>IF(Table13[[#This Row],[New Pos L]]&lt;&gt;0,Table13[[#This Row],[New Pos L]],Table13[[#This Row],[New Pos R]])</f>
        <v>17</v>
      </c>
      <c r="H2139">
        <f>IF(AND(Table13[[#This Row],[Direction]]="L",Table13[[#This Row],[Steps]]&gt;G2138,G2138&lt;&gt;0),1,0)</f>
        <v>0</v>
      </c>
      <c r="I2139">
        <f>IF(AND(Table13[[#This Row],[Direction]]="R",(G2138+Table13[[#This Row],[Steps]])&gt;100),1,0)</f>
        <v>0</v>
      </c>
      <c r="J2139">
        <f>IF(Table13[[#This Row],[POS]]=0,1,0)</f>
        <v>0</v>
      </c>
      <c r="K2139">
        <f>SUM(Table13[[#This Row],[prefix]],Table13[[#This Row],[Past zero L]],Table13[[#This Row],[Past Zero R]],Table13[[#This Row],[Is Zero]])</f>
        <v>0</v>
      </c>
    </row>
    <row r="2140" spans="1:11" ht="16" x14ac:dyDescent="0.2">
      <c r="A2140" s="1" t="s">
        <v>572</v>
      </c>
      <c r="B2140" t="str">
        <f>LEFT(Table13[[#This Row],[Input]],1)</f>
        <v>R</v>
      </c>
      <c r="C2140">
        <f>_xlfn.LET(_xlpm.steps,SUBSTITUTE(Table13[[#This Row],[Input]],Table13[[#This Row],[Direction]],""),VALUE(IF(LEN(_xlpm.steps)&gt;2,RIGHT(_xlpm.steps,2),_xlpm.steps)))</f>
        <v>83</v>
      </c>
      <c r="D2140">
        <f>_xlfn.LET(_xlpm.steps,SUBSTITUTE(Table13[[#This Row],[Input]],Table13[[#This Row],[Direction]],""),VALUE(IF(LEN(_xlpm.steps)&gt;2,LEFT(_xlpm.steps,LEN(_xlpm.steps)-2),0)))</f>
        <v>4</v>
      </c>
      <c r="E2140">
        <f>_xlfn.LET(_xlpm.dir,Table13[[#This Row],[Direction]],
IF(_xlpm.dir="L",
    IF(G2139-Table13[[#This Row],[Steps]]&lt;0,100+(G2139-Table13[[#This Row],[Steps]]),G2139-Table13[[#This Row],[Steps]]),
))</f>
        <v>0</v>
      </c>
      <c r="F2140">
        <f>_xlfn.LET(_xlpm.dir,Table13[[#This Row],[Direction]],
IF(_xlpm.dir="R",
    IF(G2139+Table13[[#This Row],[Steps]]&gt;99,(G2139+Table13[[#This Row],[Steps]])-100,G2139+Table13[[#This Row],[Steps]]),
))</f>
        <v>0</v>
      </c>
      <c r="G2140">
        <f>IF(Table13[[#This Row],[New Pos L]]&lt;&gt;0,Table13[[#This Row],[New Pos L]],Table13[[#This Row],[New Pos R]])</f>
        <v>0</v>
      </c>
      <c r="H2140">
        <f>IF(AND(Table13[[#This Row],[Direction]]="L",Table13[[#This Row],[Steps]]&gt;G2139,G2139&lt;&gt;0),1,0)</f>
        <v>0</v>
      </c>
      <c r="I2140">
        <f>IF(AND(Table13[[#This Row],[Direction]]="R",(G2139+Table13[[#This Row],[Steps]])&gt;100),1,0)</f>
        <v>0</v>
      </c>
      <c r="J2140">
        <f>IF(Table13[[#This Row],[POS]]=0,1,0)</f>
        <v>1</v>
      </c>
      <c r="K2140">
        <f>SUM(Table13[[#This Row],[prefix]],Table13[[#This Row],[Past zero L]],Table13[[#This Row],[Past Zero R]],Table13[[#This Row],[Is Zero]])</f>
        <v>5</v>
      </c>
    </row>
    <row r="2141" spans="1:11" ht="16" x14ac:dyDescent="0.2">
      <c r="A2141" s="1" t="s">
        <v>46</v>
      </c>
      <c r="B2141" t="str">
        <f>LEFT(Table13[[#This Row],[Input]],1)</f>
        <v>L</v>
      </c>
      <c r="C2141">
        <f>_xlfn.LET(_xlpm.steps,SUBSTITUTE(Table13[[#This Row],[Input]],Table13[[#This Row],[Direction]],""),VALUE(IF(LEN(_xlpm.steps)&gt;2,RIGHT(_xlpm.steps,2),_xlpm.steps)))</f>
        <v>97</v>
      </c>
      <c r="D2141">
        <f>_xlfn.LET(_xlpm.steps,SUBSTITUTE(Table13[[#This Row],[Input]],Table13[[#This Row],[Direction]],""),VALUE(IF(LEN(_xlpm.steps)&gt;2,LEFT(_xlpm.steps,LEN(_xlpm.steps)-2),0)))</f>
        <v>0</v>
      </c>
      <c r="E2141">
        <f>_xlfn.LET(_xlpm.dir,Table13[[#This Row],[Direction]],
IF(_xlpm.dir="L",
    IF(G2140-Table13[[#This Row],[Steps]]&lt;0,100+(G2140-Table13[[#This Row],[Steps]]),G2140-Table13[[#This Row],[Steps]]),
))</f>
        <v>3</v>
      </c>
      <c r="F2141">
        <f>_xlfn.LET(_xlpm.dir,Table13[[#This Row],[Direction]],
IF(_xlpm.dir="R",
    IF(G2140+Table13[[#This Row],[Steps]]&gt;99,(G2140+Table13[[#This Row],[Steps]])-100,G2140+Table13[[#This Row],[Steps]]),
))</f>
        <v>0</v>
      </c>
      <c r="G2141">
        <f>IF(Table13[[#This Row],[New Pos L]]&lt;&gt;0,Table13[[#This Row],[New Pos L]],Table13[[#This Row],[New Pos R]])</f>
        <v>3</v>
      </c>
      <c r="H2141">
        <f>IF(AND(Table13[[#This Row],[Direction]]="L",Table13[[#This Row],[Steps]]&gt;G2140,G2140&lt;&gt;0),1,0)</f>
        <v>0</v>
      </c>
      <c r="I2141">
        <f>IF(AND(Table13[[#This Row],[Direction]]="R",(G2140+Table13[[#This Row],[Steps]])&gt;100),1,0)</f>
        <v>0</v>
      </c>
      <c r="J2141">
        <f>IF(Table13[[#This Row],[POS]]=0,1,0)</f>
        <v>0</v>
      </c>
      <c r="K2141">
        <f>SUM(Table13[[#This Row],[prefix]],Table13[[#This Row],[Past zero L]],Table13[[#This Row],[Past Zero R]],Table13[[#This Row],[Is Zero]])</f>
        <v>0</v>
      </c>
    </row>
    <row r="2142" spans="1:11" ht="16" x14ac:dyDescent="0.2">
      <c r="A2142" s="1" t="s">
        <v>44</v>
      </c>
      <c r="B2142" t="str">
        <f>LEFT(Table13[[#This Row],[Input]],1)</f>
        <v>R</v>
      </c>
      <c r="C2142">
        <f>_xlfn.LET(_xlpm.steps,SUBSTITUTE(Table13[[#This Row],[Input]],Table13[[#This Row],[Direction]],""),VALUE(IF(LEN(_xlpm.steps)&gt;2,RIGHT(_xlpm.steps,2),_xlpm.steps)))</f>
        <v>96</v>
      </c>
      <c r="D2142">
        <f>_xlfn.LET(_xlpm.steps,SUBSTITUTE(Table13[[#This Row],[Input]],Table13[[#This Row],[Direction]],""),VALUE(IF(LEN(_xlpm.steps)&gt;2,LEFT(_xlpm.steps,LEN(_xlpm.steps)-2),0)))</f>
        <v>0</v>
      </c>
      <c r="E2142">
        <f>_xlfn.LET(_xlpm.dir,Table13[[#This Row],[Direction]],
IF(_xlpm.dir="L",
    IF(G2141-Table13[[#This Row],[Steps]]&lt;0,100+(G2141-Table13[[#This Row],[Steps]]),G2141-Table13[[#This Row],[Steps]]),
))</f>
        <v>0</v>
      </c>
      <c r="F2142">
        <f>_xlfn.LET(_xlpm.dir,Table13[[#This Row],[Direction]],
IF(_xlpm.dir="R",
    IF(G2141+Table13[[#This Row],[Steps]]&gt;99,(G2141+Table13[[#This Row],[Steps]])-100,G2141+Table13[[#This Row],[Steps]]),
))</f>
        <v>99</v>
      </c>
      <c r="G2142">
        <f>IF(Table13[[#This Row],[New Pos L]]&lt;&gt;0,Table13[[#This Row],[New Pos L]],Table13[[#This Row],[New Pos R]])</f>
        <v>99</v>
      </c>
      <c r="H2142">
        <f>IF(AND(Table13[[#This Row],[Direction]]="L",Table13[[#This Row],[Steps]]&gt;G2141,G2141&lt;&gt;0),1,0)</f>
        <v>0</v>
      </c>
      <c r="I2142">
        <f>IF(AND(Table13[[#This Row],[Direction]]="R",(G2141+Table13[[#This Row],[Steps]])&gt;100),1,0)</f>
        <v>0</v>
      </c>
      <c r="J2142">
        <f>IF(Table13[[#This Row],[POS]]=0,1,0)</f>
        <v>0</v>
      </c>
      <c r="K2142">
        <f>SUM(Table13[[#This Row],[prefix]],Table13[[#This Row],[Past zero L]],Table13[[#This Row],[Past Zero R]],Table13[[#This Row],[Is Zero]])</f>
        <v>0</v>
      </c>
    </row>
    <row r="2143" spans="1:11" ht="16" x14ac:dyDescent="0.2">
      <c r="A2143" s="1" t="s">
        <v>52</v>
      </c>
      <c r="B2143" t="str">
        <f>LEFT(Table13[[#This Row],[Input]],1)</f>
        <v>R</v>
      </c>
      <c r="C2143">
        <f>_xlfn.LET(_xlpm.steps,SUBSTITUTE(Table13[[#This Row],[Input]],Table13[[#This Row],[Direction]],""),VALUE(IF(LEN(_xlpm.steps)&gt;2,RIGHT(_xlpm.steps,2),_xlpm.steps)))</f>
        <v>11</v>
      </c>
      <c r="D2143">
        <f>_xlfn.LET(_xlpm.steps,SUBSTITUTE(Table13[[#This Row],[Input]],Table13[[#This Row],[Direction]],""),VALUE(IF(LEN(_xlpm.steps)&gt;2,LEFT(_xlpm.steps,LEN(_xlpm.steps)-2),0)))</f>
        <v>0</v>
      </c>
      <c r="E2143">
        <f>_xlfn.LET(_xlpm.dir,Table13[[#This Row],[Direction]],
IF(_xlpm.dir="L",
    IF(G2142-Table13[[#This Row],[Steps]]&lt;0,100+(G2142-Table13[[#This Row],[Steps]]),G2142-Table13[[#This Row],[Steps]]),
))</f>
        <v>0</v>
      </c>
      <c r="F2143">
        <f>_xlfn.LET(_xlpm.dir,Table13[[#This Row],[Direction]],
IF(_xlpm.dir="R",
    IF(G2142+Table13[[#This Row],[Steps]]&gt;99,(G2142+Table13[[#This Row],[Steps]])-100,G2142+Table13[[#This Row],[Steps]]),
))</f>
        <v>10</v>
      </c>
      <c r="G2143">
        <f>IF(Table13[[#This Row],[New Pos L]]&lt;&gt;0,Table13[[#This Row],[New Pos L]],Table13[[#This Row],[New Pos R]])</f>
        <v>10</v>
      </c>
      <c r="H2143">
        <f>IF(AND(Table13[[#This Row],[Direction]]="L",Table13[[#This Row],[Steps]]&gt;G2142,G2142&lt;&gt;0),1,0)</f>
        <v>0</v>
      </c>
      <c r="I2143">
        <f>IF(AND(Table13[[#This Row],[Direction]]="R",(G2142+Table13[[#This Row],[Steps]])&gt;100),1,0)</f>
        <v>1</v>
      </c>
      <c r="J2143">
        <f>IF(Table13[[#This Row],[POS]]=0,1,0)</f>
        <v>0</v>
      </c>
      <c r="K2143">
        <f>SUM(Table13[[#This Row],[prefix]],Table13[[#This Row],[Past zero L]],Table13[[#This Row],[Past Zero R]],Table13[[#This Row],[Is Zero]])</f>
        <v>1</v>
      </c>
    </row>
    <row r="2144" spans="1:11" ht="16" x14ac:dyDescent="0.2">
      <c r="A2144" s="1" t="s">
        <v>217</v>
      </c>
      <c r="B2144" t="str">
        <f>LEFT(Table13[[#This Row],[Input]],1)</f>
        <v>R</v>
      </c>
      <c r="C2144">
        <f>_xlfn.LET(_xlpm.steps,SUBSTITUTE(Table13[[#This Row],[Input]],Table13[[#This Row],[Direction]],""),VALUE(IF(LEN(_xlpm.steps)&gt;2,RIGHT(_xlpm.steps,2),_xlpm.steps)))</f>
        <v>91</v>
      </c>
      <c r="D2144">
        <f>_xlfn.LET(_xlpm.steps,SUBSTITUTE(Table13[[#This Row],[Input]],Table13[[#This Row],[Direction]],""),VALUE(IF(LEN(_xlpm.steps)&gt;2,LEFT(_xlpm.steps,LEN(_xlpm.steps)-2),0)))</f>
        <v>0</v>
      </c>
      <c r="E2144">
        <f>_xlfn.LET(_xlpm.dir,Table13[[#This Row],[Direction]],
IF(_xlpm.dir="L",
    IF(G2143-Table13[[#This Row],[Steps]]&lt;0,100+(G2143-Table13[[#This Row],[Steps]]),G2143-Table13[[#This Row],[Steps]]),
))</f>
        <v>0</v>
      </c>
      <c r="F2144">
        <f>_xlfn.LET(_xlpm.dir,Table13[[#This Row],[Direction]],
IF(_xlpm.dir="R",
    IF(G2143+Table13[[#This Row],[Steps]]&gt;99,(G2143+Table13[[#This Row],[Steps]])-100,G2143+Table13[[#This Row],[Steps]]),
))</f>
        <v>1</v>
      </c>
      <c r="G2144">
        <f>IF(Table13[[#This Row],[New Pos L]]&lt;&gt;0,Table13[[#This Row],[New Pos L]],Table13[[#This Row],[New Pos R]])</f>
        <v>1</v>
      </c>
      <c r="H2144">
        <f>IF(AND(Table13[[#This Row],[Direction]]="L",Table13[[#This Row],[Steps]]&gt;G2143,G2143&lt;&gt;0),1,0)</f>
        <v>0</v>
      </c>
      <c r="I2144">
        <f>IF(AND(Table13[[#This Row],[Direction]]="R",(G2143+Table13[[#This Row],[Steps]])&gt;100),1,0)</f>
        <v>1</v>
      </c>
      <c r="J2144">
        <f>IF(Table13[[#This Row],[POS]]=0,1,0)</f>
        <v>0</v>
      </c>
      <c r="K2144">
        <f>SUM(Table13[[#This Row],[prefix]],Table13[[#This Row],[Past zero L]],Table13[[#This Row],[Past Zero R]],Table13[[#This Row],[Is Zero]])</f>
        <v>1</v>
      </c>
    </row>
    <row r="2145" spans="1:11" ht="16" x14ac:dyDescent="0.2">
      <c r="A2145" s="1" t="s">
        <v>131</v>
      </c>
      <c r="B2145" t="str">
        <f>LEFT(Table13[[#This Row],[Input]],1)</f>
        <v>R</v>
      </c>
      <c r="C2145">
        <f>_xlfn.LET(_xlpm.steps,SUBSTITUTE(Table13[[#This Row],[Input]],Table13[[#This Row],[Direction]],""),VALUE(IF(LEN(_xlpm.steps)&gt;2,RIGHT(_xlpm.steps,2),_xlpm.steps)))</f>
        <v>99</v>
      </c>
      <c r="D2145">
        <f>_xlfn.LET(_xlpm.steps,SUBSTITUTE(Table13[[#This Row],[Input]],Table13[[#This Row],[Direction]],""),VALUE(IF(LEN(_xlpm.steps)&gt;2,LEFT(_xlpm.steps,LEN(_xlpm.steps)-2),0)))</f>
        <v>0</v>
      </c>
      <c r="E2145">
        <f>_xlfn.LET(_xlpm.dir,Table13[[#This Row],[Direction]],
IF(_xlpm.dir="L",
    IF(G2144-Table13[[#This Row],[Steps]]&lt;0,100+(G2144-Table13[[#This Row],[Steps]]),G2144-Table13[[#This Row],[Steps]]),
))</f>
        <v>0</v>
      </c>
      <c r="F2145">
        <f>_xlfn.LET(_xlpm.dir,Table13[[#This Row],[Direction]],
IF(_xlpm.dir="R",
    IF(G2144+Table13[[#This Row],[Steps]]&gt;99,(G2144+Table13[[#This Row],[Steps]])-100,G2144+Table13[[#This Row],[Steps]]),
))</f>
        <v>0</v>
      </c>
      <c r="G2145">
        <f>IF(Table13[[#This Row],[New Pos L]]&lt;&gt;0,Table13[[#This Row],[New Pos L]],Table13[[#This Row],[New Pos R]])</f>
        <v>0</v>
      </c>
      <c r="H2145">
        <f>IF(AND(Table13[[#This Row],[Direction]]="L",Table13[[#This Row],[Steps]]&gt;G2144,G2144&lt;&gt;0),1,0)</f>
        <v>0</v>
      </c>
      <c r="I2145">
        <f>IF(AND(Table13[[#This Row],[Direction]]="R",(G2144+Table13[[#This Row],[Steps]])&gt;100),1,0)</f>
        <v>0</v>
      </c>
      <c r="J2145">
        <f>IF(Table13[[#This Row],[POS]]=0,1,0)</f>
        <v>1</v>
      </c>
      <c r="K2145">
        <f>SUM(Table13[[#This Row],[prefix]],Table13[[#This Row],[Past zero L]],Table13[[#This Row],[Past Zero R]],Table13[[#This Row],[Is Zero]])</f>
        <v>1</v>
      </c>
    </row>
    <row r="2146" spans="1:11" ht="16" x14ac:dyDescent="0.2">
      <c r="A2146" s="1" t="s">
        <v>573</v>
      </c>
      <c r="B2146" t="str">
        <f>LEFT(Table13[[#This Row],[Input]],1)</f>
        <v>L</v>
      </c>
      <c r="C2146">
        <f>_xlfn.LET(_xlpm.steps,SUBSTITUTE(Table13[[#This Row],[Input]],Table13[[#This Row],[Direction]],""),VALUE(IF(LEN(_xlpm.steps)&gt;2,RIGHT(_xlpm.steps,2),_xlpm.steps)))</f>
        <v>71</v>
      </c>
      <c r="D2146">
        <f>_xlfn.LET(_xlpm.steps,SUBSTITUTE(Table13[[#This Row],[Input]],Table13[[#This Row],[Direction]],""),VALUE(IF(LEN(_xlpm.steps)&gt;2,LEFT(_xlpm.steps,LEN(_xlpm.steps)-2),0)))</f>
        <v>2</v>
      </c>
      <c r="E2146">
        <f>_xlfn.LET(_xlpm.dir,Table13[[#This Row],[Direction]],
IF(_xlpm.dir="L",
    IF(G2145-Table13[[#This Row],[Steps]]&lt;0,100+(G2145-Table13[[#This Row],[Steps]]),G2145-Table13[[#This Row],[Steps]]),
))</f>
        <v>29</v>
      </c>
      <c r="F2146">
        <f>_xlfn.LET(_xlpm.dir,Table13[[#This Row],[Direction]],
IF(_xlpm.dir="R",
    IF(G2145+Table13[[#This Row],[Steps]]&gt;99,(G2145+Table13[[#This Row],[Steps]])-100,G2145+Table13[[#This Row],[Steps]]),
))</f>
        <v>0</v>
      </c>
      <c r="G2146">
        <f>IF(Table13[[#This Row],[New Pos L]]&lt;&gt;0,Table13[[#This Row],[New Pos L]],Table13[[#This Row],[New Pos R]])</f>
        <v>29</v>
      </c>
      <c r="H2146">
        <f>IF(AND(Table13[[#This Row],[Direction]]="L",Table13[[#This Row],[Steps]]&gt;G2145,G2145&lt;&gt;0),1,0)</f>
        <v>0</v>
      </c>
      <c r="I2146">
        <f>IF(AND(Table13[[#This Row],[Direction]]="R",(G2145+Table13[[#This Row],[Steps]])&gt;100),1,0)</f>
        <v>0</v>
      </c>
      <c r="J2146">
        <f>IF(Table13[[#This Row],[POS]]=0,1,0)</f>
        <v>0</v>
      </c>
      <c r="K2146">
        <f>SUM(Table13[[#This Row],[prefix]],Table13[[#This Row],[Past zero L]],Table13[[#This Row],[Past Zero R]],Table13[[#This Row],[Is Zero]])</f>
        <v>2</v>
      </c>
    </row>
    <row r="2147" spans="1:11" ht="16" x14ac:dyDescent="0.2">
      <c r="A2147" s="1" t="s">
        <v>63</v>
      </c>
      <c r="B2147" t="str">
        <f>LEFT(Table13[[#This Row],[Input]],1)</f>
        <v>R</v>
      </c>
      <c r="C2147">
        <f>_xlfn.LET(_xlpm.steps,SUBSTITUTE(Table13[[#This Row],[Input]],Table13[[#This Row],[Direction]],""),VALUE(IF(LEN(_xlpm.steps)&gt;2,RIGHT(_xlpm.steps,2),_xlpm.steps)))</f>
        <v>57</v>
      </c>
      <c r="D2147">
        <f>_xlfn.LET(_xlpm.steps,SUBSTITUTE(Table13[[#This Row],[Input]],Table13[[#This Row],[Direction]],""),VALUE(IF(LEN(_xlpm.steps)&gt;2,LEFT(_xlpm.steps,LEN(_xlpm.steps)-2),0)))</f>
        <v>0</v>
      </c>
      <c r="E2147">
        <f>_xlfn.LET(_xlpm.dir,Table13[[#This Row],[Direction]],
IF(_xlpm.dir="L",
    IF(G2146-Table13[[#This Row],[Steps]]&lt;0,100+(G2146-Table13[[#This Row],[Steps]]),G2146-Table13[[#This Row],[Steps]]),
))</f>
        <v>0</v>
      </c>
      <c r="F2147">
        <f>_xlfn.LET(_xlpm.dir,Table13[[#This Row],[Direction]],
IF(_xlpm.dir="R",
    IF(G2146+Table13[[#This Row],[Steps]]&gt;99,(G2146+Table13[[#This Row],[Steps]])-100,G2146+Table13[[#This Row],[Steps]]),
))</f>
        <v>86</v>
      </c>
      <c r="G2147">
        <f>IF(Table13[[#This Row],[New Pos L]]&lt;&gt;0,Table13[[#This Row],[New Pos L]],Table13[[#This Row],[New Pos R]])</f>
        <v>86</v>
      </c>
      <c r="H2147">
        <f>IF(AND(Table13[[#This Row],[Direction]]="L",Table13[[#This Row],[Steps]]&gt;G2146,G2146&lt;&gt;0),1,0)</f>
        <v>0</v>
      </c>
      <c r="I2147">
        <f>IF(AND(Table13[[#This Row],[Direction]]="R",(G2146+Table13[[#This Row],[Steps]])&gt;100),1,0)</f>
        <v>0</v>
      </c>
      <c r="J2147">
        <f>IF(Table13[[#This Row],[POS]]=0,1,0)</f>
        <v>0</v>
      </c>
      <c r="K2147">
        <f>SUM(Table13[[#This Row],[prefix]],Table13[[#This Row],[Past zero L]],Table13[[#This Row],[Past Zero R]],Table13[[#This Row],[Is Zero]])</f>
        <v>0</v>
      </c>
    </row>
    <row r="2148" spans="1:11" ht="16" x14ac:dyDescent="0.2">
      <c r="A2148" s="1" t="s">
        <v>122</v>
      </c>
      <c r="B2148" t="str">
        <f>LEFT(Table13[[#This Row],[Input]],1)</f>
        <v>R</v>
      </c>
      <c r="C2148">
        <f>_xlfn.LET(_xlpm.steps,SUBSTITUTE(Table13[[#This Row],[Input]],Table13[[#This Row],[Direction]],""),VALUE(IF(LEN(_xlpm.steps)&gt;2,RIGHT(_xlpm.steps,2),_xlpm.steps)))</f>
        <v>75</v>
      </c>
      <c r="D2148">
        <f>_xlfn.LET(_xlpm.steps,SUBSTITUTE(Table13[[#This Row],[Input]],Table13[[#This Row],[Direction]],""),VALUE(IF(LEN(_xlpm.steps)&gt;2,LEFT(_xlpm.steps,LEN(_xlpm.steps)-2),0)))</f>
        <v>0</v>
      </c>
      <c r="E2148">
        <f>_xlfn.LET(_xlpm.dir,Table13[[#This Row],[Direction]],
IF(_xlpm.dir="L",
    IF(G2147-Table13[[#This Row],[Steps]]&lt;0,100+(G2147-Table13[[#This Row],[Steps]]),G2147-Table13[[#This Row],[Steps]]),
))</f>
        <v>0</v>
      </c>
      <c r="F2148">
        <f>_xlfn.LET(_xlpm.dir,Table13[[#This Row],[Direction]],
IF(_xlpm.dir="R",
    IF(G2147+Table13[[#This Row],[Steps]]&gt;99,(G2147+Table13[[#This Row],[Steps]])-100,G2147+Table13[[#This Row],[Steps]]),
))</f>
        <v>61</v>
      </c>
      <c r="G2148">
        <f>IF(Table13[[#This Row],[New Pos L]]&lt;&gt;0,Table13[[#This Row],[New Pos L]],Table13[[#This Row],[New Pos R]])</f>
        <v>61</v>
      </c>
      <c r="H2148">
        <f>IF(AND(Table13[[#This Row],[Direction]]="L",Table13[[#This Row],[Steps]]&gt;G2147,G2147&lt;&gt;0),1,0)</f>
        <v>0</v>
      </c>
      <c r="I2148">
        <f>IF(AND(Table13[[#This Row],[Direction]]="R",(G2147+Table13[[#This Row],[Steps]])&gt;100),1,0)</f>
        <v>1</v>
      </c>
      <c r="J2148">
        <f>IF(Table13[[#This Row],[POS]]=0,1,0)</f>
        <v>0</v>
      </c>
      <c r="K2148">
        <f>SUM(Table13[[#This Row],[prefix]],Table13[[#This Row],[Past zero L]],Table13[[#This Row],[Past Zero R]],Table13[[#This Row],[Is Zero]])</f>
        <v>1</v>
      </c>
    </row>
    <row r="2149" spans="1:11" ht="16" x14ac:dyDescent="0.2">
      <c r="A2149" s="1" t="s">
        <v>69</v>
      </c>
      <c r="B2149" t="str">
        <f>LEFT(Table13[[#This Row],[Input]],1)</f>
        <v>R</v>
      </c>
      <c r="C2149">
        <f>_xlfn.LET(_xlpm.steps,SUBSTITUTE(Table13[[#This Row],[Input]],Table13[[#This Row],[Direction]],""),VALUE(IF(LEN(_xlpm.steps)&gt;2,RIGHT(_xlpm.steps,2),_xlpm.steps)))</f>
        <v>27</v>
      </c>
      <c r="D2149">
        <f>_xlfn.LET(_xlpm.steps,SUBSTITUTE(Table13[[#This Row],[Input]],Table13[[#This Row],[Direction]],""),VALUE(IF(LEN(_xlpm.steps)&gt;2,LEFT(_xlpm.steps,LEN(_xlpm.steps)-2),0)))</f>
        <v>0</v>
      </c>
      <c r="E2149">
        <f>_xlfn.LET(_xlpm.dir,Table13[[#This Row],[Direction]],
IF(_xlpm.dir="L",
    IF(G2148-Table13[[#This Row],[Steps]]&lt;0,100+(G2148-Table13[[#This Row],[Steps]]),G2148-Table13[[#This Row],[Steps]]),
))</f>
        <v>0</v>
      </c>
      <c r="F2149">
        <f>_xlfn.LET(_xlpm.dir,Table13[[#This Row],[Direction]],
IF(_xlpm.dir="R",
    IF(G2148+Table13[[#This Row],[Steps]]&gt;99,(G2148+Table13[[#This Row],[Steps]])-100,G2148+Table13[[#This Row],[Steps]]),
))</f>
        <v>88</v>
      </c>
      <c r="G2149">
        <f>IF(Table13[[#This Row],[New Pos L]]&lt;&gt;0,Table13[[#This Row],[New Pos L]],Table13[[#This Row],[New Pos R]])</f>
        <v>88</v>
      </c>
      <c r="H2149">
        <f>IF(AND(Table13[[#This Row],[Direction]]="L",Table13[[#This Row],[Steps]]&gt;G2148,G2148&lt;&gt;0),1,0)</f>
        <v>0</v>
      </c>
      <c r="I2149">
        <f>IF(AND(Table13[[#This Row],[Direction]]="R",(G2148+Table13[[#This Row],[Steps]])&gt;100),1,0)</f>
        <v>0</v>
      </c>
      <c r="J2149">
        <f>IF(Table13[[#This Row],[POS]]=0,1,0)</f>
        <v>0</v>
      </c>
      <c r="K2149">
        <f>SUM(Table13[[#This Row],[prefix]],Table13[[#This Row],[Past zero L]],Table13[[#This Row],[Past Zero R]],Table13[[#This Row],[Is Zero]])</f>
        <v>0</v>
      </c>
    </row>
    <row r="2150" spans="1:11" ht="16" x14ac:dyDescent="0.2">
      <c r="A2150" s="1" t="s">
        <v>13</v>
      </c>
      <c r="B2150" t="str">
        <f>LEFT(Table13[[#This Row],[Input]],1)</f>
        <v>R</v>
      </c>
      <c r="C2150">
        <f>_xlfn.LET(_xlpm.steps,SUBSTITUTE(Table13[[#This Row],[Input]],Table13[[#This Row],[Direction]],""),VALUE(IF(LEN(_xlpm.steps)&gt;2,RIGHT(_xlpm.steps,2),_xlpm.steps)))</f>
        <v>12</v>
      </c>
      <c r="D2150">
        <f>_xlfn.LET(_xlpm.steps,SUBSTITUTE(Table13[[#This Row],[Input]],Table13[[#This Row],[Direction]],""),VALUE(IF(LEN(_xlpm.steps)&gt;2,LEFT(_xlpm.steps,LEN(_xlpm.steps)-2),0)))</f>
        <v>0</v>
      </c>
      <c r="E2150">
        <f>_xlfn.LET(_xlpm.dir,Table13[[#This Row],[Direction]],
IF(_xlpm.dir="L",
    IF(G2149-Table13[[#This Row],[Steps]]&lt;0,100+(G2149-Table13[[#This Row],[Steps]]),G2149-Table13[[#This Row],[Steps]]),
))</f>
        <v>0</v>
      </c>
      <c r="F2150">
        <f>_xlfn.LET(_xlpm.dir,Table13[[#This Row],[Direction]],
IF(_xlpm.dir="R",
    IF(G2149+Table13[[#This Row],[Steps]]&gt;99,(G2149+Table13[[#This Row],[Steps]])-100,G2149+Table13[[#This Row],[Steps]]),
))</f>
        <v>0</v>
      </c>
      <c r="G2150">
        <f>IF(Table13[[#This Row],[New Pos L]]&lt;&gt;0,Table13[[#This Row],[New Pos L]],Table13[[#This Row],[New Pos R]])</f>
        <v>0</v>
      </c>
      <c r="H2150">
        <f>IF(AND(Table13[[#This Row],[Direction]]="L",Table13[[#This Row],[Steps]]&gt;G2149,G2149&lt;&gt;0),1,0)</f>
        <v>0</v>
      </c>
      <c r="I2150">
        <f>IF(AND(Table13[[#This Row],[Direction]]="R",(G2149+Table13[[#This Row],[Steps]])&gt;100),1,0)</f>
        <v>0</v>
      </c>
      <c r="J2150">
        <f>IF(Table13[[#This Row],[POS]]=0,1,0)</f>
        <v>1</v>
      </c>
      <c r="K2150">
        <f>SUM(Table13[[#This Row],[prefix]],Table13[[#This Row],[Past zero L]],Table13[[#This Row],[Past Zero R]],Table13[[#This Row],[Is Zero]])</f>
        <v>1</v>
      </c>
    </row>
    <row r="2151" spans="1:11" ht="16" x14ac:dyDescent="0.2">
      <c r="A2151" s="1" t="s">
        <v>25</v>
      </c>
      <c r="B2151" t="str">
        <f>LEFT(Table13[[#This Row],[Input]],1)</f>
        <v>L</v>
      </c>
      <c r="C2151">
        <f>_xlfn.LET(_xlpm.steps,SUBSTITUTE(Table13[[#This Row],[Input]],Table13[[#This Row],[Direction]],""),VALUE(IF(LEN(_xlpm.steps)&gt;2,RIGHT(_xlpm.steps,2),_xlpm.steps)))</f>
        <v>20</v>
      </c>
      <c r="D2151">
        <f>_xlfn.LET(_xlpm.steps,SUBSTITUTE(Table13[[#This Row],[Input]],Table13[[#This Row],[Direction]],""),VALUE(IF(LEN(_xlpm.steps)&gt;2,LEFT(_xlpm.steps,LEN(_xlpm.steps)-2),0)))</f>
        <v>0</v>
      </c>
      <c r="E2151">
        <f>_xlfn.LET(_xlpm.dir,Table13[[#This Row],[Direction]],
IF(_xlpm.dir="L",
    IF(G2150-Table13[[#This Row],[Steps]]&lt;0,100+(G2150-Table13[[#This Row],[Steps]]),G2150-Table13[[#This Row],[Steps]]),
))</f>
        <v>80</v>
      </c>
      <c r="F2151">
        <f>_xlfn.LET(_xlpm.dir,Table13[[#This Row],[Direction]],
IF(_xlpm.dir="R",
    IF(G2150+Table13[[#This Row],[Steps]]&gt;99,(G2150+Table13[[#This Row],[Steps]])-100,G2150+Table13[[#This Row],[Steps]]),
))</f>
        <v>0</v>
      </c>
      <c r="G2151">
        <f>IF(Table13[[#This Row],[New Pos L]]&lt;&gt;0,Table13[[#This Row],[New Pos L]],Table13[[#This Row],[New Pos R]])</f>
        <v>80</v>
      </c>
      <c r="H2151">
        <f>IF(AND(Table13[[#This Row],[Direction]]="L",Table13[[#This Row],[Steps]]&gt;G2150,G2150&lt;&gt;0),1,0)</f>
        <v>0</v>
      </c>
      <c r="I2151">
        <f>IF(AND(Table13[[#This Row],[Direction]]="R",(G2150+Table13[[#This Row],[Steps]])&gt;100),1,0)</f>
        <v>0</v>
      </c>
      <c r="J2151">
        <f>IF(Table13[[#This Row],[POS]]=0,1,0)</f>
        <v>0</v>
      </c>
      <c r="K2151">
        <f>SUM(Table13[[#This Row],[prefix]],Table13[[#This Row],[Past zero L]],Table13[[#This Row],[Past Zero R]],Table13[[#This Row],[Is Zero]])</f>
        <v>0</v>
      </c>
    </row>
    <row r="2152" spans="1:11" ht="16" x14ac:dyDescent="0.2">
      <c r="A2152" s="1" t="s">
        <v>272</v>
      </c>
      <c r="B2152" t="str">
        <f>LEFT(Table13[[#This Row],[Input]],1)</f>
        <v>R</v>
      </c>
      <c r="C2152">
        <f>_xlfn.LET(_xlpm.steps,SUBSTITUTE(Table13[[#This Row],[Input]],Table13[[#This Row],[Direction]],""),VALUE(IF(LEN(_xlpm.steps)&gt;2,RIGHT(_xlpm.steps,2),_xlpm.steps)))</f>
        <v>56</v>
      </c>
      <c r="D2152">
        <f>_xlfn.LET(_xlpm.steps,SUBSTITUTE(Table13[[#This Row],[Input]],Table13[[#This Row],[Direction]],""),VALUE(IF(LEN(_xlpm.steps)&gt;2,LEFT(_xlpm.steps,LEN(_xlpm.steps)-2),0)))</f>
        <v>0</v>
      </c>
      <c r="E2152">
        <f>_xlfn.LET(_xlpm.dir,Table13[[#This Row],[Direction]],
IF(_xlpm.dir="L",
    IF(G2151-Table13[[#This Row],[Steps]]&lt;0,100+(G2151-Table13[[#This Row],[Steps]]),G2151-Table13[[#This Row],[Steps]]),
))</f>
        <v>0</v>
      </c>
      <c r="F2152">
        <f>_xlfn.LET(_xlpm.dir,Table13[[#This Row],[Direction]],
IF(_xlpm.dir="R",
    IF(G2151+Table13[[#This Row],[Steps]]&gt;99,(G2151+Table13[[#This Row],[Steps]])-100,G2151+Table13[[#This Row],[Steps]]),
))</f>
        <v>36</v>
      </c>
      <c r="G2152">
        <f>IF(Table13[[#This Row],[New Pos L]]&lt;&gt;0,Table13[[#This Row],[New Pos L]],Table13[[#This Row],[New Pos R]])</f>
        <v>36</v>
      </c>
      <c r="H2152">
        <f>IF(AND(Table13[[#This Row],[Direction]]="L",Table13[[#This Row],[Steps]]&gt;G2151,G2151&lt;&gt;0),1,0)</f>
        <v>0</v>
      </c>
      <c r="I2152">
        <f>IF(AND(Table13[[#This Row],[Direction]]="R",(G2151+Table13[[#This Row],[Steps]])&gt;100),1,0)</f>
        <v>1</v>
      </c>
      <c r="J2152">
        <f>IF(Table13[[#This Row],[POS]]=0,1,0)</f>
        <v>0</v>
      </c>
      <c r="K2152">
        <f>SUM(Table13[[#This Row],[prefix]],Table13[[#This Row],[Past zero L]],Table13[[#This Row],[Past Zero R]],Table13[[#This Row],[Is Zero]])</f>
        <v>1</v>
      </c>
    </row>
    <row r="2153" spans="1:11" ht="16" x14ac:dyDescent="0.2">
      <c r="A2153" s="1" t="s">
        <v>119</v>
      </c>
      <c r="B2153" t="str">
        <f>LEFT(Table13[[#This Row],[Input]],1)</f>
        <v>L</v>
      </c>
      <c r="C2153">
        <f>_xlfn.LET(_xlpm.steps,SUBSTITUTE(Table13[[#This Row],[Input]],Table13[[#This Row],[Direction]],""),VALUE(IF(LEN(_xlpm.steps)&gt;2,RIGHT(_xlpm.steps,2),_xlpm.steps)))</f>
        <v>77</v>
      </c>
      <c r="D2153">
        <f>_xlfn.LET(_xlpm.steps,SUBSTITUTE(Table13[[#This Row],[Input]],Table13[[#This Row],[Direction]],""),VALUE(IF(LEN(_xlpm.steps)&gt;2,LEFT(_xlpm.steps,LEN(_xlpm.steps)-2),0)))</f>
        <v>0</v>
      </c>
      <c r="E2153">
        <f>_xlfn.LET(_xlpm.dir,Table13[[#This Row],[Direction]],
IF(_xlpm.dir="L",
    IF(G2152-Table13[[#This Row],[Steps]]&lt;0,100+(G2152-Table13[[#This Row],[Steps]]),G2152-Table13[[#This Row],[Steps]]),
))</f>
        <v>59</v>
      </c>
      <c r="F2153">
        <f>_xlfn.LET(_xlpm.dir,Table13[[#This Row],[Direction]],
IF(_xlpm.dir="R",
    IF(G2152+Table13[[#This Row],[Steps]]&gt;99,(G2152+Table13[[#This Row],[Steps]])-100,G2152+Table13[[#This Row],[Steps]]),
))</f>
        <v>0</v>
      </c>
      <c r="G2153">
        <f>IF(Table13[[#This Row],[New Pos L]]&lt;&gt;0,Table13[[#This Row],[New Pos L]],Table13[[#This Row],[New Pos R]])</f>
        <v>59</v>
      </c>
      <c r="H2153">
        <f>IF(AND(Table13[[#This Row],[Direction]]="L",Table13[[#This Row],[Steps]]&gt;G2152,G2152&lt;&gt;0),1,0)</f>
        <v>1</v>
      </c>
      <c r="I2153">
        <f>IF(AND(Table13[[#This Row],[Direction]]="R",(G2152+Table13[[#This Row],[Steps]])&gt;100),1,0)</f>
        <v>0</v>
      </c>
      <c r="J2153">
        <f>IF(Table13[[#This Row],[POS]]=0,1,0)</f>
        <v>0</v>
      </c>
      <c r="K2153">
        <f>SUM(Table13[[#This Row],[prefix]],Table13[[#This Row],[Past zero L]],Table13[[#This Row],[Past Zero R]],Table13[[#This Row],[Is Zero]])</f>
        <v>1</v>
      </c>
    </row>
    <row r="2154" spans="1:11" ht="16" x14ac:dyDescent="0.2">
      <c r="A2154" s="1" t="s">
        <v>106</v>
      </c>
      <c r="B2154" t="str">
        <f>LEFT(Table13[[#This Row],[Input]],1)</f>
        <v>R</v>
      </c>
      <c r="C2154">
        <f>_xlfn.LET(_xlpm.steps,SUBSTITUTE(Table13[[#This Row],[Input]],Table13[[#This Row],[Direction]],""),VALUE(IF(LEN(_xlpm.steps)&gt;2,RIGHT(_xlpm.steps,2),_xlpm.steps)))</f>
        <v>41</v>
      </c>
      <c r="D2154">
        <f>_xlfn.LET(_xlpm.steps,SUBSTITUTE(Table13[[#This Row],[Input]],Table13[[#This Row],[Direction]],""),VALUE(IF(LEN(_xlpm.steps)&gt;2,LEFT(_xlpm.steps,LEN(_xlpm.steps)-2),0)))</f>
        <v>0</v>
      </c>
      <c r="E2154">
        <f>_xlfn.LET(_xlpm.dir,Table13[[#This Row],[Direction]],
IF(_xlpm.dir="L",
    IF(G2153-Table13[[#This Row],[Steps]]&lt;0,100+(G2153-Table13[[#This Row],[Steps]]),G2153-Table13[[#This Row],[Steps]]),
))</f>
        <v>0</v>
      </c>
      <c r="F2154">
        <f>_xlfn.LET(_xlpm.dir,Table13[[#This Row],[Direction]],
IF(_xlpm.dir="R",
    IF(G2153+Table13[[#This Row],[Steps]]&gt;99,(G2153+Table13[[#This Row],[Steps]])-100,G2153+Table13[[#This Row],[Steps]]),
))</f>
        <v>0</v>
      </c>
      <c r="G2154">
        <f>IF(Table13[[#This Row],[New Pos L]]&lt;&gt;0,Table13[[#This Row],[New Pos L]],Table13[[#This Row],[New Pos R]])</f>
        <v>0</v>
      </c>
      <c r="H2154">
        <f>IF(AND(Table13[[#This Row],[Direction]]="L",Table13[[#This Row],[Steps]]&gt;G2153,G2153&lt;&gt;0),1,0)</f>
        <v>0</v>
      </c>
      <c r="I2154">
        <f>IF(AND(Table13[[#This Row],[Direction]]="R",(G2153+Table13[[#This Row],[Steps]])&gt;100),1,0)</f>
        <v>0</v>
      </c>
      <c r="J2154">
        <f>IF(Table13[[#This Row],[POS]]=0,1,0)</f>
        <v>1</v>
      </c>
      <c r="K2154">
        <f>SUM(Table13[[#This Row],[prefix]],Table13[[#This Row],[Past zero L]],Table13[[#This Row],[Past Zero R]],Table13[[#This Row],[Is Zero]])</f>
        <v>1</v>
      </c>
    </row>
    <row r="2155" spans="1:11" ht="16" x14ac:dyDescent="0.2">
      <c r="A2155" s="1" t="s">
        <v>264</v>
      </c>
      <c r="B2155" t="str">
        <f>LEFT(Table13[[#This Row],[Input]],1)</f>
        <v>L</v>
      </c>
      <c r="C2155">
        <f>_xlfn.LET(_xlpm.steps,SUBSTITUTE(Table13[[#This Row],[Input]],Table13[[#This Row],[Direction]],""),VALUE(IF(LEN(_xlpm.steps)&gt;2,RIGHT(_xlpm.steps,2),_xlpm.steps)))</f>
        <v>21</v>
      </c>
      <c r="D2155">
        <f>_xlfn.LET(_xlpm.steps,SUBSTITUTE(Table13[[#This Row],[Input]],Table13[[#This Row],[Direction]],""),VALUE(IF(LEN(_xlpm.steps)&gt;2,LEFT(_xlpm.steps,LEN(_xlpm.steps)-2),0)))</f>
        <v>0</v>
      </c>
      <c r="E2155">
        <f>_xlfn.LET(_xlpm.dir,Table13[[#This Row],[Direction]],
IF(_xlpm.dir="L",
    IF(G2154-Table13[[#This Row],[Steps]]&lt;0,100+(G2154-Table13[[#This Row],[Steps]]),G2154-Table13[[#This Row],[Steps]]),
))</f>
        <v>79</v>
      </c>
      <c r="F2155">
        <f>_xlfn.LET(_xlpm.dir,Table13[[#This Row],[Direction]],
IF(_xlpm.dir="R",
    IF(G2154+Table13[[#This Row],[Steps]]&gt;99,(G2154+Table13[[#This Row],[Steps]])-100,G2154+Table13[[#This Row],[Steps]]),
))</f>
        <v>0</v>
      </c>
      <c r="G2155">
        <f>IF(Table13[[#This Row],[New Pos L]]&lt;&gt;0,Table13[[#This Row],[New Pos L]],Table13[[#This Row],[New Pos R]])</f>
        <v>79</v>
      </c>
      <c r="H2155">
        <f>IF(AND(Table13[[#This Row],[Direction]]="L",Table13[[#This Row],[Steps]]&gt;G2154,G2154&lt;&gt;0),1,0)</f>
        <v>0</v>
      </c>
      <c r="I2155">
        <f>IF(AND(Table13[[#This Row],[Direction]]="R",(G2154+Table13[[#This Row],[Steps]])&gt;100),1,0)</f>
        <v>0</v>
      </c>
      <c r="J2155">
        <f>IF(Table13[[#This Row],[POS]]=0,1,0)</f>
        <v>0</v>
      </c>
      <c r="K2155">
        <f>SUM(Table13[[#This Row],[prefix]],Table13[[#This Row],[Past zero L]],Table13[[#This Row],[Past Zero R]],Table13[[#This Row],[Is Zero]])</f>
        <v>0</v>
      </c>
    </row>
    <row r="2156" spans="1:11" ht="16" x14ac:dyDescent="0.2">
      <c r="A2156" s="1" t="s">
        <v>319</v>
      </c>
      <c r="B2156" t="str">
        <f>LEFT(Table13[[#This Row],[Input]],1)</f>
        <v>L</v>
      </c>
      <c r="C2156">
        <f>_xlfn.LET(_xlpm.steps,SUBSTITUTE(Table13[[#This Row],[Input]],Table13[[#This Row],[Direction]],""),VALUE(IF(LEN(_xlpm.steps)&gt;2,RIGHT(_xlpm.steps,2),_xlpm.steps)))</f>
        <v>79</v>
      </c>
      <c r="D2156">
        <f>_xlfn.LET(_xlpm.steps,SUBSTITUTE(Table13[[#This Row],[Input]],Table13[[#This Row],[Direction]],""),VALUE(IF(LEN(_xlpm.steps)&gt;2,LEFT(_xlpm.steps,LEN(_xlpm.steps)-2),0)))</f>
        <v>0</v>
      </c>
      <c r="E2156">
        <f>_xlfn.LET(_xlpm.dir,Table13[[#This Row],[Direction]],
IF(_xlpm.dir="L",
    IF(G2155-Table13[[#This Row],[Steps]]&lt;0,100+(G2155-Table13[[#This Row],[Steps]]),G2155-Table13[[#This Row],[Steps]]),
))</f>
        <v>0</v>
      </c>
      <c r="F2156">
        <f>_xlfn.LET(_xlpm.dir,Table13[[#This Row],[Direction]],
IF(_xlpm.dir="R",
    IF(G2155+Table13[[#This Row],[Steps]]&gt;99,(G2155+Table13[[#This Row],[Steps]])-100,G2155+Table13[[#This Row],[Steps]]),
))</f>
        <v>0</v>
      </c>
      <c r="G2156">
        <f>IF(Table13[[#This Row],[New Pos L]]&lt;&gt;0,Table13[[#This Row],[New Pos L]],Table13[[#This Row],[New Pos R]])</f>
        <v>0</v>
      </c>
      <c r="H2156">
        <f>IF(AND(Table13[[#This Row],[Direction]]="L",Table13[[#This Row],[Steps]]&gt;G2155,G2155&lt;&gt;0),1,0)</f>
        <v>0</v>
      </c>
      <c r="I2156">
        <f>IF(AND(Table13[[#This Row],[Direction]]="R",(G2155+Table13[[#This Row],[Steps]])&gt;100),1,0)</f>
        <v>0</v>
      </c>
      <c r="J2156">
        <f>IF(Table13[[#This Row],[POS]]=0,1,0)</f>
        <v>1</v>
      </c>
      <c r="K2156">
        <f>SUM(Table13[[#This Row],[prefix]],Table13[[#This Row],[Past zero L]],Table13[[#This Row],[Past Zero R]],Table13[[#This Row],[Is Zero]])</f>
        <v>1</v>
      </c>
    </row>
    <row r="2157" spans="1:11" ht="16" x14ac:dyDescent="0.2">
      <c r="A2157" s="1" t="s">
        <v>89</v>
      </c>
      <c r="B2157" t="str">
        <f>LEFT(Table13[[#This Row],[Input]],1)</f>
        <v>L</v>
      </c>
      <c r="C2157">
        <f>_xlfn.LET(_xlpm.steps,SUBSTITUTE(Table13[[#This Row],[Input]],Table13[[#This Row],[Direction]],""),VALUE(IF(LEN(_xlpm.steps)&gt;2,RIGHT(_xlpm.steps,2),_xlpm.steps)))</f>
        <v>91</v>
      </c>
      <c r="D2157">
        <f>_xlfn.LET(_xlpm.steps,SUBSTITUTE(Table13[[#This Row],[Input]],Table13[[#This Row],[Direction]],""),VALUE(IF(LEN(_xlpm.steps)&gt;2,LEFT(_xlpm.steps,LEN(_xlpm.steps)-2),0)))</f>
        <v>0</v>
      </c>
      <c r="E2157">
        <f>_xlfn.LET(_xlpm.dir,Table13[[#This Row],[Direction]],
IF(_xlpm.dir="L",
    IF(G2156-Table13[[#This Row],[Steps]]&lt;0,100+(G2156-Table13[[#This Row],[Steps]]),G2156-Table13[[#This Row],[Steps]]),
))</f>
        <v>9</v>
      </c>
      <c r="F2157">
        <f>_xlfn.LET(_xlpm.dir,Table13[[#This Row],[Direction]],
IF(_xlpm.dir="R",
    IF(G2156+Table13[[#This Row],[Steps]]&gt;99,(G2156+Table13[[#This Row],[Steps]])-100,G2156+Table13[[#This Row],[Steps]]),
))</f>
        <v>0</v>
      </c>
      <c r="G2157">
        <f>IF(Table13[[#This Row],[New Pos L]]&lt;&gt;0,Table13[[#This Row],[New Pos L]],Table13[[#This Row],[New Pos R]])</f>
        <v>9</v>
      </c>
      <c r="H2157">
        <f>IF(AND(Table13[[#This Row],[Direction]]="L",Table13[[#This Row],[Steps]]&gt;G2156,G2156&lt;&gt;0),1,0)</f>
        <v>0</v>
      </c>
      <c r="I2157">
        <f>IF(AND(Table13[[#This Row],[Direction]]="R",(G2156+Table13[[#This Row],[Steps]])&gt;100),1,0)</f>
        <v>0</v>
      </c>
      <c r="J2157">
        <f>IF(Table13[[#This Row],[POS]]=0,1,0)</f>
        <v>0</v>
      </c>
      <c r="K2157">
        <f>SUM(Table13[[#This Row],[prefix]],Table13[[#This Row],[Past zero L]],Table13[[#This Row],[Past Zero R]],Table13[[#This Row],[Is Zero]])</f>
        <v>0</v>
      </c>
    </row>
    <row r="2158" spans="1:11" ht="16" x14ac:dyDescent="0.2">
      <c r="A2158" s="1" t="s">
        <v>574</v>
      </c>
      <c r="B2158" t="str">
        <f>LEFT(Table13[[#This Row],[Input]],1)</f>
        <v>R</v>
      </c>
      <c r="C2158">
        <f>_xlfn.LET(_xlpm.steps,SUBSTITUTE(Table13[[#This Row],[Input]],Table13[[#This Row],[Direction]],""),VALUE(IF(LEN(_xlpm.steps)&gt;2,RIGHT(_xlpm.steps,2),_xlpm.steps)))</f>
        <v>91</v>
      </c>
      <c r="D2158">
        <f>_xlfn.LET(_xlpm.steps,SUBSTITUTE(Table13[[#This Row],[Input]],Table13[[#This Row],[Direction]],""),VALUE(IF(LEN(_xlpm.steps)&gt;2,LEFT(_xlpm.steps,LEN(_xlpm.steps)-2),0)))</f>
        <v>8</v>
      </c>
      <c r="E2158">
        <f>_xlfn.LET(_xlpm.dir,Table13[[#This Row],[Direction]],
IF(_xlpm.dir="L",
    IF(G2157-Table13[[#This Row],[Steps]]&lt;0,100+(G2157-Table13[[#This Row],[Steps]]),G2157-Table13[[#This Row],[Steps]]),
))</f>
        <v>0</v>
      </c>
      <c r="F2158">
        <f>_xlfn.LET(_xlpm.dir,Table13[[#This Row],[Direction]],
IF(_xlpm.dir="R",
    IF(G2157+Table13[[#This Row],[Steps]]&gt;99,(G2157+Table13[[#This Row],[Steps]])-100,G2157+Table13[[#This Row],[Steps]]),
))</f>
        <v>0</v>
      </c>
      <c r="G2158">
        <f>IF(Table13[[#This Row],[New Pos L]]&lt;&gt;0,Table13[[#This Row],[New Pos L]],Table13[[#This Row],[New Pos R]])</f>
        <v>0</v>
      </c>
      <c r="H2158">
        <f>IF(AND(Table13[[#This Row],[Direction]]="L",Table13[[#This Row],[Steps]]&gt;G2157,G2157&lt;&gt;0),1,0)</f>
        <v>0</v>
      </c>
      <c r="I2158">
        <f>IF(AND(Table13[[#This Row],[Direction]]="R",(G2157+Table13[[#This Row],[Steps]])&gt;100),1,0)</f>
        <v>0</v>
      </c>
      <c r="J2158">
        <f>IF(Table13[[#This Row],[POS]]=0,1,0)</f>
        <v>1</v>
      </c>
      <c r="K2158">
        <f>SUM(Table13[[#This Row],[prefix]],Table13[[#This Row],[Past zero L]],Table13[[#This Row],[Past Zero R]],Table13[[#This Row],[Is Zero]])</f>
        <v>9</v>
      </c>
    </row>
    <row r="2159" spans="1:11" ht="16" x14ac:dyDescent="0.2">
      <c r="A2159" s="1" t="s">
        <v>27</v>
      </c>
      <c r="B2159" t="str">
        <f>LEFT(Table13[[#This Row],[Input]],1)</f>
        <v>L</v>
      </c>
      <c r="C2159">
        <f>_xlfn.LET(_xlpm.steps,SUBSTITUTE(Table13[[#This Row],[Input]],Table13[[#This Row],[Direction]],""),VALUE(IF(LEN(_xlpm.steps)&gt;2,RIGHT(_xlpm.steps,2),_xlpm.steps)))</f>
        <v>14</v>
      </c>
      <c r="D2159">
        <f>_xlfn.LET(_xlpm.steps,SUBSTITUTE(Table13[[#This Row],[Input]],Table13[[#This Row],[Direction]],""),VALUE(IF(LEN(_xlpm.steps)&gt;2,LEFT(_xlpm.steps,LEN(_xlpm.steps)-2),0)))</f>
        <v>0</v>
      </c>
      <c r="E2159">
        <f>_xlfn.LET(_xlpm.dir,Table13[[#This Row],[Direction]],
IF(_xlpm.dir="L",
    IF(G2158-Table13[[#This Row],[Steps]]&lt;0,100+(G2158-Table13[[#This Row],[Steps]]),G2158-Table13[[#This Row],[Steps]]),
))</f>
        <v>86</v>
      </c>
      <c r="F2159">
        <f>_xlfn.LET(_xlpm.dir,Table13[[#This Row],[Direction]],
IF(_xlpm.dir="R",
    IF(G2158+Table13[[#This Row],[Steps]]&gt;99,(G2158+Table13[[#This Row],[Steps]])-100,G2158+Table13[[#This Row],[Steps]]),
))</f>
        <v>0</v>
      </c>
      <c r="G2159">
        <f>IF(Table13[[#This Row],[New Pos L]]&lt;&gt;0,Table13[[#This Row],[New Pos L]],Table13[[#This Row],[New Pos R]])</f>
        <v>86</v>
      </c>
      <c r="H2159">
        <f>IF(AND(Table13[[#This Row],[Direction]]="L",Table13[[#This Row],[Steps]]&gt;G2158,G2158&lt;&gt;0),1,0)</f>
        <v>0</v>
      </c>
      <c r="I2159">
        <f>IF(AND(Table13[[#This Row],[Direction]]="R",(G2158+Table13[[#This Row],[Steps]])&gt;100),1,0)</f>
        <v>0</v>
      </c>
      <c r="J2159">
        <f>IF(Table13[[#This Row],[POS]]=0,1,0)</f>
        <v>0</v>
      </c>
      <c r="K2159">
        <f>SUM(Table13[[#This Row],[prefix]],Table13[[#This Row],[Past zero L]],Table13[[#This Row],[Past Zero R]],Table13[[#This Row],[Is Zero]])</f>
        <v>0</v>
      </c>
    </row>
    <row r="2160" spans="1:11" ht="16" x14ac:dyDescent="0.2">
      <c r="A2160" s="1" t="s">
        <v>137</v>
      </c>
      <c r="B2160" t="str">
        <f>LEFT(Table13[[#This Row],[Input]],1)</f>
        <v>R</v>
      </c>
      <c r="C2160">
        <f>_xlfn.LET(_xlpm.steps,SUBSTITUTE(Table13[[#This Row],[Input]],Table13[[#This Row],[Direction]],""),VALUE(IF(LEN(_xlpm.steps)&gt;2,RIGHT(_xlpm.steps,2),_xlpm.steps)))</f>
        <v>28</v>
      </c>
      <c r="D2160">
        <f>_xlfn.LET(_xlpm.steps,SUBSTITUTE(Table13[[#This Row],[Input]],Table13[[#This Row],[Direction]],""),VALUE(IF(LEN(_xlpm.steps)&gt;2,LEFT(_xlpm.steps,LEN(_xlpm.steps)-2),0)))</f>
        <v>0</v>
      </c>
      <c r="E2160">
        <f>_xlfn.LET(_xlpm.dir,Table13[[#This Row],[Direction]],
IF(_xlpm.dir="L",
    IF(G2159-Table13[[#This Row],[Steps]]&lt;0,100+(G2159-Table13[[#This Row],[Steps]]),G2159-Table13[[#This Row],[Steps]]),
))</f>
        <v>0</v>
      </c>
      <c r="F2160">
        <f>_xlfn.LET(_xlpm.dir,Table13[[#This Row],[Direction]],
IF(_xlpm.dir="R",
    IF(G2159+Table13[[#This Row],[Steps]]&gt;99,(G2159+Table13[[#This Row],[Steps]])-100,G2159+Table13[[#This Row],[Steps]]),
))</f>
        <v>14</v>
      </c>
      <c r="G2160">
        <f>IF(Table13[[#This Row],[New Pos L]]&lt;&gt;0,Table13[[#This Row],[New Pos L]],Table13[[#This Row],[New Pos R]])</f>
        <v>14</v>
      </c>
      <c r="H2160">
        <f>IF(AND(Table13[[#This Row],[Direction]]="L",Table13[[#This Row],[Steps]]&gt;G2159,G2159&lt;&gt;0),1,0)</f>
        <v>0</v>
      </c>
      <c r="I2160">
        <f>IF(AND(Table13[[#This Row],[Direction]]="R",(G2159+Table13[[#This Row],[Steps]])&gt;100),1,0)</f>
        <v>1</v>
      </c>
      <c r="J2160">
        <f>IF(Table13[[#This Row],[POS]]=0,1,0)</f>
        <v>0</v>
      </c>
      <c r="K2160">
        <f>SUM(Table13[[#This Row],[prefix]],Table13[[#This Row],[Past zero L]],Table13[[#This Row],[Past Zero R]],Table13[[#This Row],[Is Zero]])</f>
        <v>1</v>
      </c>
    </row>
    <row r="2161" spans="1:11" ht="16" x14ac:dyDescent="0.2">
      <c r="A2161" s="1" t="s">
        <v>165</v>
      </c>
      <c r="B2161" t="str">
        <f>LEFT(Table13[[#This Row],[Input]],1)</f>
        <v>R</v>
      </c>
      <c r="C2161">
        <f>_xlfn.LET(_xlpm.steps,SUBSTITUTE(Table13[[#This Row],[Input]],Table13[[#This Row],[Direction]],""),VALUE(IF(LEN(_xlpm.steps)&gt;2,RIGHT(_xlpm.steps,2),_xlpm.steps)))</f>
        <v>55</v>
      </c>
      <c r="D2161">
        <f>_xlfn.LET(_xlpm.steps,SUBSTITUTE(Table13[[#This Row],[Input]],Table13[[#This Row],[Direction]],""),VALUE(IF(LEN(_xlpm.steps)&gt;2,LEFT(_xlpm.steps,LEN(_xlpm.steps)-2),0)))</f>
        <v>0</v>
      </c>
      <c r="E2161">
        <f>_xlfn.LET(_xlpm.dir,Table13[[#This Row],[Direction]],
IF(_xlpm.dir="L",
    IF(G2160-Table13[[#This Row],[Steps]]&lt;0,100+(G2160-Table13[[#This Row],[Steps]]),G2160-Table13[[#This Row],[Steps]]),
))</f>
        <v>0</v>
      </c>
      <c r="F2161">
        <f>_xlfn.LET(_xlpm.dir,Table13[[#This Row],[Direction]],
IF(_xlpm.dir="R",
    IF(G2160+Table13[[#This Row],[Steps]]&gt;99,(G2160+Table13[[#This Row],[Steps]])-100,G2160+Table13[[#This Row],[Steps]]),
))</f>
        <v>69</v>
      </c>
      <c r="G2161">
        <f>IF(Table13[[#This Row],[New Pos L]]&lt;&gt;0,Table13[[#This Row],[New Pos L]],Table13[[#This Row],[New Pos R]])</f>
        <v>69</v>
      </c>
      <c r="H2161">
        <f>IF(AND(Table13[[#This Row],[Direction]]="L",Table13[[#This Row],[Steps]]&gt;G2160,G2160&lt;&gt;0),1,0)</f>
        <v>0</v>
      </c>
      <c r="I2161">
        <f>IF(AND(Table13[[#This Row],[Direction]]="R",(G2160+Table13[[#This Row],[Steps]])&gt;100),1,0)</f>
        <v>0</v>
      </c>
      <c r="J2161">
        <f>IF(Table13[[#This Row],[POS]]=0,1,0)</f>
        <v>0</v>
      </c>
      <c r="K2161">
        <f>SUM(Table13[[#This Row],[prefix]],Table13[[#This Row],[Past zero L]],Table13[[#This Row],[Past Zero R]],Table13[[#This Row],[Is Zero]])</f>
        <v>0</v>
      </c>
    </row>
    <row r="2162" spans="1:11" ht="16" x14ac:dyDescent="0.2">
      <c r="A2162" s="1" t="s">
        <v>71</v>
      </c>
      <c r="B2162" t="str">
        <f>LEFT(Table13[[#This Row],[Input]],1)</f>
        <v>R</v>
      </c>
      <c r="C2162">
        <f>_xlfn.LET(_xlpm.steps,SUBSTITUTE(Table13[[#This Row],[Input]],Table13[[#This Row],[Direction]],""),VALUE(IF(LEN(_xlpm.steps)&gt;2,RIGHT(_xlpm.steps,2),_xlpm.steps)))</f>
        <v>23</v>
      </c>
      <c r="D2162">
        <f>_xlfn.LET(_xlpm.steps,SUBSTITUTE(Table13[[#This Row],[Input]],Table13[[#This Row],[Direction]],""),VALUE(IF(LEN(_xlpm.steps)&gt;2,LEFT(_xlpm.steps,LEN(_xlpm.steps)-2),0)))</f>
        <v>0</v>
      </c>
      <c r="E2162">
        <f>_xlfn.LET(_xlpm.dir,Table13[[#This Row],[Direction]],
IF(_xlpm.dir="L",
    IF(G2161-Table13[[#This Row],[Steps]]&lt;0,100+(G2161-Table13[[#This Row],[Steps]]),G2161-Table13[[#This Row],[Steps]]),
))</f>
        <v>0</v>
      </c>
      <c r="F2162">
        <f>_xlfn.LET(_xlpm.dir,Table13[[#This Row],[Direction]],
IF(_xlpm.dir="R",
    IF(G2161+Table13[[#This Row],[Steps]]&gt;99,(G2161+Table13[[#This Row],[Steps]])-100,G2161+Table13[[#This Row],[Steps]]),
))</f>
        <v>92</v>
      </c>
      <c r="G2162">
        <f>IF(Table13[[#This Row],[New Pos L]]&lt;&gt;0,Table13[[#This Row],[New Pos L]],Table13[[#This Row],[New Pos R]])</f>
        <v>92</v>
      </c>
      <c r="H2162">
        <f>IF(AND(Table13[[#This Row],[Direction]]="L",Table13[[#This Row],[Steps]]&gt;G2161,G2161&lt;&gt;0),1,0)</f>
        <v>0</v>
      </c>
      <c r="I2162">
        <f>IF(AND(Table13[[#This Row],[Direction]]="R",(G2161+Table13[[#This Row],[Steps]])&gt;100),1,0)</f>
        <v>0</v>
      </c>
      <c r="J2162">
        <f>IF(Table13[[#This Row],[POS]]=0,1,0)</f>
        <v>0</v>
      </c>
      <c r="K2162">
        <f>SUM(Table13[[#This Row],[prefix]],Table13[[#This Row],[Past zero L]],Table13[[#This Row],[Past Zero R]],Table13[[#This Row],[Is Zero]])</f>
        <v>0</v>
      </c>
    </row>
    <row r="2163" spans="1:11" ht="16" x14ac:dyDescent="0.2">
      <c r="A2163" s="1" t="s">
        <v>14</v>
      </c>
      <c r="B2163" t="str">
        <f>LEFT(Table13[[#This Row],[Input]],1)</f>
        <v>L</v>
      </c>
      <c r="C2163">
        <f>_xlfn.LET(_xlpm.steps,SUBSTITUTE(Table13[[#This Row],[Input]],Table13[[#This Row],[Direction]],""),VALUE(IF(LEN(_xlpm.steps)&gt;2,RIGHT(_xlpm.steps,2),_xlpm.steps)))</f>
        <v>43</v>
      </c>
      <c r="D2163">
        <f>_xlfn.LET(_xlpm.steps,SUBSTITUTE(Table13[[#This Row],[Input]],Table13[[#This Row],[Direction]],""),VALUE(IF(LEN(_xlpm.steps)&gt;2,LEFT(_xlpm.steps,LEN(_xlpm.steps)-2),0)))</f>
        <v>0</v>
      </c>
      <c r="E2163">
        <f>_xlfn.LET(_xlpm.dir,Table13[[#This Row],[Direction]],
IF(_xlpm.dir="L",
    IF(G2162-Table13[[#This Row],[Steps]]&lt;0,100+(G2162-Table13[[#This Row],[Steps]]),G2162-Table13[[#This Row],[Steps]]),
))</f>
        <v>49</v>
      </c>
      <c r="F2163">
        <f>_xlfn.LET(_xlpm.dir,Table13[[#This Row],[Direction]],
IF(_xlpm.dir="R",
    IF(G2162+Table13[[#This Row],[Steps]]&gt;99,(G2162+Table13[[#This Row],[Steps]])-100,G2162+Table13[[#This Row],[Steps]]),
))</f>
        <v>0</v>
      </c>
      <c r="G2163">
        <f>IF(Table13[[#This Row],[New Pos L]]&lt;&gt;0,Table13[[#This Row],[New Pos L]],Table13[[#This Row],[New Pos R]])</f>
        <v>49</v>
      </c>
      <c r="H2163">
        <f>IF(AND(Table13[[#This Row],[Direction]]="L",Table13[[#This Row],[Steps]]&gt;G2162,G2162&lt;&gt;0),1,0)</f>
        <v>0</v>
      </c>
      <c r="I2163">
        <f>IF(AND(Table13[[#This Row],[Direction]]="R",(G2162+Table13[[#This Row],[Steps]])&gt;100),1,0)</f>
        <v>0</v>
      </c>
      <c r="J2163">
        <f>IF(Table13[[#This Row],[POS]]=0,1,0)</f>
        <v>0</v>
      </c>
      <c r="K2163">
        <f>SUM(Table13[[#This Row],[prefix]],Table13[[#This Row],[Past zero L]],Table13[[#This Row],[Past Zero R]],Table13[[#This Row],[Is Zero]])</f>
        <v>0</v>
      </c>
    </row>
    <row r="2164" spans="1:11" ht="16" x14ac:dyDescent="0.2">
      <c r="A2164" s="1" t="s">
        <v>405</v>
      </c>
      <c r="B2164" t="str">
        <f>LEFT(Table13[[#This Row],[Input]],1)</f>
        <v>L</v>
      </c>
      <c r="C2164">
        <f>_xlfn.LET(_xlpm.steps,SUBSTITUTE(Table13[[#This Row],[Input]],Table13[[#This Row],[Direction]],""),VALUE(IF(LEN(_xlpm.steps)&gt;2,RIGHT(_xlpm.steps,2),_xlpm.steps)))</f>
        <v>32</v>
      </c>
      <c r="D2164">
        <f>_xlfn.LET(_xlpm.steps,SUBSTITUTE(Table13[[#This Row],[Input]],Table13[[#This Row],[Direction]],""),VALUE(IF(LEN(_xlpm.steps)&gt;2,LEFT(_xlpm.steps,LEN(_xlpm.steps)-2),0)))</f>
        <v>0</v>
      </c>
      <c r="E2164">
        <f>_xlfn.LET(_xlpm.dir,Table13[[#This Row],[Direction]],
IF(_xlpm.dir="L",
    IF(G2163-Table13[[#This Row],[Steps]]&lt;0,100+(G2163-Table13[[#This Row],[Steps]]),G2163-Table13[[#This Row],[Steps]]),
))</f>
        <v>17</v>
      </c>
      <c r="F2164">
        <f>_xlfn.LET(_xlpm.dir,Table13[[#This Row],[Direction]],
IF(_xlpm.dir="R",
    IF(G2163+Table13[[#This Row],[Steps]]&gt;99,(G2163+Table13[[#This Row],[Steps]])-100,G2163+Table13[[#This Row],[Steps]]),
))</f>
        <v>0</v>
      </c>
      <c r="G2164">
        <f>IF(Table13[[#This Row],[New Pos L]]&lt;&gt;0,Table13[[#This Row],[New Pos L]],Table13[[#This Row],[New Pos R]])</f>
        <v>17</v>
      </c>
      <c r="H2164">
        <f>IF(AND(Table13[[#This Row],[Direction]]="L",Table13[[#This Row],[Steps]]&gt;G2163,G2163&lt;&gt;0),1,0)</f>
        <v>0</v>
      </c>
      <c r="I2164">
        <f>IF(AND(Table13[[#This Row],[Direction]]="R",(G2163+Table13[[#This Row],[Steps]])&gt;100),1,0)</f>
        <v>0</v>
      </c>
      <c r="J2164">
        <f>IF(Table13[[#This Row],[POS]]=0,1,0)</f>
        <v>0</v>
      </c>
      <c r="K2164">
        <f>SUM(Table13[[#This Row],[prefix]],Table13[[#This Row],[Past zero L]],Table13[[#This Row],[Past Zero R]],Table13[[#This Row],[Is Zero]])</f>
        <v>0</v>
      </c>
    </row>
    <row r="2165" spans="1:11" ht="16" x14ac:dyDescent="0.2">
      <c r="A2165" s="1" t="s">
        <v>435</v>
      </c>
      <c r="B2165" t="str">
        <f>LEFT(Table13[[#This Row],[Input]],1)</f>
        <v>R</v>
      </c>
      <c r="C2165">
        <f>_xlfn.LET(_xlpm.steps,SUBSTITUTE(Table13[[#This Row],[Input]],Table13[[#This Row],[Direction]],""),VALUE(IF(LEN(_xlpm.steps)&gt;2,RIGHT(_xlpm.steps,2),_xlpm.steps)))</f>
        <v>34</v>
      </c>
      <c r="D2165">
        <f>_xlfn.LET(_xlpm.steps,SUBSTITUTE(Table13[[#This Row],[Input]],Table13[[#This Row],[Direction]],""),VALUE(IF(LEN(_xlpm.steps)&gt;2,LEFT(_xlpm.steps,LEN(_xlpm.steps)-2),0)))</f>
        <v>4</v>
      </c>
      <c r="E2165">
        <f>_xlfn.LET(_xlpm.dir,Table13[[#This Row],[Direction]],
IF(_xlpm.dir="L",
    IF(G2164-Table13[[#This Row],[Steps]]&lt;0,100+(G2164-Table13[[#This Row],[Steps]]),G2164-Table13[[#This Row],[Steps]]),
))</f>
        <v>0</v>
      </c>
      <c r="F2165">
        <f>_xlfn.LET(_xlpm.dir,Table13[[#This Row],[Direction]],
IF(_xlpm.dir="R",
    IF(G2164+Table13[[#This Row],[Steps]]&gt;99,(G2164+Table13[[#This Row],[Steps]])-100,G2164+Table13[[#This Row],[Steps]]),
))</f>
        <v>51</v>
      </c>
      <c r="G2165">
        <f>IF(Table13[[#This Row],[New Pos L]]&lt;&gt;0,Table13[[#This Row],[New Pos L]],Table13[[#This Row],[New Pos R]])</f>
        <v>51</v>
      </c>
      <c r="H2165">
        <f>IF(AND(Table13[[#This Row],[Direction]]="L",Table13[[#This Row],[Steps]]&gt;G2164,G2164&lt;&gt;0),1,0)</f>
        <v>0</v>
      </c>
      <c r="I2165">
        <f>IF(AND(Table13[[#This Row],[Direction]]="R",(G2164+Table13[[#This Row],[Steps]])&gt;100),1,0)</f>
        <v>0</v>
      </c>
      <c r="J2165">
        <f>IF(Table13[[#This Row],[POS]]=0,1,0)</f>
        <v>0</v>
      </c>
      <c r="K2165">
        <f>SUM(Table13[[#This Row],[prefix]],Table13[[#This Row],[Past zero L]],Table13[[#This Row],[Past Zero R]],Table13[[#This Row],[Is Zero]])</f>
        <v>4</v>
      </c>
    </row>
    <row r="2166" spans="1:11" ht="16" x14ac:dyDescent="0.2">
      <c r="A2166" s="1" t="s">
        <v>449</v>
      </c>
      <c r="B2166" t="str">
        <f>LEFT(Table13[[#This Row],[Input]],1)</f>
        <v>L</v>
      </c>
      <c r="C2166">
        <f>_xlfn.LET(_xlpm.steps,SUBSTITUTE(Table13[[#This Row],[Input]],Table13[[#This Row],[Direction]],""),VALUE(IF(LEN(_xlpm.steps)&gt;2,RIGHT(_xlpm.steps,2),_xlpm.steps)))</f>
        <v>3</v>
      </c>
      <c r="D2166">
        <f>_xlfn.LET(_xlpm.steps,SUBSTITUTE(Table13[[#This Row],[Input]],Table13[[#This Row],[Direction]],""),VALUE(IF(LEN(_xlpm.steps)&gt;2,LEFT(_xlpm.steps,LEN(_xlpm.steps)-2),0)))</f>
        <v>1</v>
      </c>
      <c r="E2166">
        <f>_xlfn.LET(_xlpm.dir,Table13[[#This Row],[Direction]],
IF(_xlpm.dir="L",
    IF(G2165-Table13[[#This Row],[Steps]]&lt;0,100+(G2165-Table13[[#This Row],[Steps]]),G2165-Table13[[#This Row],[Steps]]),
))</f>
        <v>48</v>
      </c>
      <c r="F2166">
        <f>_xlfn.LET(_xlpm.dir,Table13[[#This Row],[Direction]],
IF(_xlpm.dir="R",
    IF(G2165+Table13[[#This Row],[Steps]]&gt;99,(G2165+Table13[[#This Row],[Steps]])-100,G2165+Table13[[#This Row],[Steps]]),
))</f>
        <v>0</v>
      </c>
      <c r="G2166">
        <f>IF(Table13[[#This Row],[New Pos L]]&lt;&gt;0,Table13[[#This Row],[New Pos L]],Table13[[#This Row],[New Pos R]])</f>
        <v>48</v>
      </c>
      <c r="H2166">
        <f>IF(AND(Table13[[#This Row],[Direction]]="L",Table13[[#This Row],[Steps]]&gt;G2165,G2165&lt;&gt;0),1,0)</f>
        <v>0</v>
      </c>
      <c r="I2166">
        <f>IF(AND(Table13[[#This Row],[Direction]]="R",(G2165+Table13[[#This Row],[Steps]])&gt;100),1,0)</f>
        <v>0</v>
      </c>
      <c r="J2166">
        <f>IF(Table13[[#This Row],[POS]]=0,1,0)</f>
        <v>0</v>
      </c>
      <c r="K2166">
        <f>SUM(Table13[[#This Row],[prefix]],Table13[[#This Row],[Past zero L]],Table13[[#This Row],[Past Zero R]],Table13[[#This Row],[Is Zero]])</f>
        <v>1</v>
      </c>
    </row>
    <row r="2167" spans="1:11" ht="16" x14ac:dyDescent="0.2">
      <c r="A2167" s="1" t="s">
        <v>191</v>
      </c>
      <c r="B2167" t="str">
        <f>LEFT(Table13[[#This Row],[Input]],1)</f>
        <v>L</v>
      </c>
      <c r="C2167">
        <f>_xlfn.LET(_xlpm.steps,SUBSTITUTE(Table13[[#This Row],[Input]],Table13[[#This Row],[Direction]],""),VALUE(IF(LEN(_xlpm.steps)&gt;2,RIGHT(_xlpm.steps,2),_xlpm.steps)))</f>
        <v>5</v>
      </c>
      <c r="D2167">
        <f>_xlfn.LET(_xlpm.steps,SUBSTITUTE(Table13[[#This Row],[Input]],Table13[[#This Row],[Direction]],""),VALUE(IF(LEN(_xlpm.steps)&gt;2,LEFT(_xlpm.steps,LEN(_xlpm.steps)-2),0)))</f>
        <v>0</v>
      </c>
      <c r="E2167">
        <f>_xlfn.LET(_xlpm.dir,Table13[[#This Row],[Direction]],
IF(_xlpm.dir="L",
    IF(G2166-Table13[[#This Row],[Steps]]&lt;0,100+(G2166-Table13[[#This Row],[Steps]]),G2166-Table13[[#This Row],[Steps]]),
))</f>
        <v>43</v>
      </c>
      <c r="F2167">
        <f>_xlfn.LET(_xlpm.dir,Table13[[#This Row],[Direction]],
IF(_xlpm.dir="R",
    IF(G2166+Table13[[#This Row],[Steps]]&gt;99,(G2166+Table13[[#This Row],[Steps]])-100,G2166+Table13[[#This Row],[Steps]]),
))</f>
        <v>0</v>
      </c>
      <c r="G2167">
        <f>IF(Table13[[#This Row],[New Pos L]]&lt;&gt;0,Table13[[#This Row],[New Pos L]],Table13[[#This Row],[New Pos R]])</f>
        <v>43</v>
      </c>
      <c r="H2167">
        <f>IF(AND(Table13[[#This Row],[Direction]]="L",Table13[[#This Row],[Steps]]&gt;G2166,G2166&lt;&gt;0),1,0)</f>
        <v>0</v>
      </c>
      <c r="I2167">
        <f>IF(AND(Table13[[#This Row],[Direction]]="R",(G2166+Table13[[#This Row],[Steps]])&gt;100),1,0)</f>
        <v>0</v>
      </c>
      <c r="J2167">
        <f>IF(Table13[[#This Row],[POS]]=0,1,0)</f>
        <v>0</v>
      </c>
      <c r="K2167">
        <f>SUM(Table13[[#This Row],[prefix]],Table13[[#This Row],[Past zero L]],Table13[[#This Row],[Past Zero R]],Table13[[#This Row],[Is Zero]])</f>
        <v>0</v>
      </c>
    </row>
    <row r="2168" spans="1:11" ht="16" x14ac:dyDescent="0.2">
      <c r="A2168" s="1" t="s">
        <v>218</v>
      </c>
      <c r="B2168" t="str">
        <f>LEFT(Table13[[#This Row],[Input]],1)</f>
        <v>R</v>
      </c>
      <c r="C2168">
        <f>_xlfn.LET(_xlpm.steps,SUBSTITUTE(Table13[[#This Row],[Input]],Table13[[#This Row],[Direction]],""),VALUE(IF(LEN(_xlpm.steps)&gt;2,RIGHT(_xlpm.steps,2),_xlpm.steps)))</f>
        <v>35</v>
      </c>
      <c r="D2168">
        <f>_xlfn.LET(_xlpm.steps,SUBSTITUTE(Table13[[#This Row],[Input]],Table13[[#This Row],[Direction]],""),VALUE(IF(LEN(_xlpm.steps)&gt;2,LEFT(_xlpm.steps,LEN(_xlpm.steps)-2),0)))</f>
        <v>0</v>
      </c>
      <c r="E2168">
        <f>_xlfn.LET(_xlpm.dir,Table13[[#This Row],[Direction]],
IF(_xlpm.dir="L",
    IF(G2167-Table13[[#This Row],[Steps]]&lt;0,100+(G2167-Table13[[#This Row],[Steps]]),G2167-Table13[[#This Row],[Steps]]),
))</f>
        <v>0</v>
      </c>
      <c r="F2168">
        <f>_xlfn.LET(_xlpm.dir,Table13[[#This Row],[Direction]],
IF(_xlpm.dir="R",
    IF(G2167+Table13[[#This Row],[Steps]]&gt;99,(G2167+Table13[[#This Row],[Steps]])-100,G2167+Table13[[#This Row],[Steps]]),
))</f>
        <v>78</v>
      </c>
      <c r="G2168">
        <f>IF(Table13[[#This Row],[New Pos L]]&lt;&gt;0,Table13[[#This Row],[New Pos L]],Table13[[#This Row],[New Pos R]])</f>
        <v>78</v>
      </c>
      <c r="H2168">
        <f>IF(AND(Table13[[#This Row],[Direction]]="L",Table13[[#This Row],[Steps]]&gt;G2167,G2167&lt;&gt;0),1,0)</f>
        <v>0</v>
      </c>
      <c r="I2168">
        <f>IF(AND(Table13[[#This Row],[Direction]]="R",(G2167+Table13[[#This Row],[Steps]])&gt;100),1,0)</f>
        <v>0</v>
      </c>
      <c r="J2168">
        <f>IF(Table13[[#This Row],[POS]]=0,1,0)</f>
        <v>0</v>
      </c>
      <c r="K2168">
        <f>SUM(Table13[[#This Row],[prefix]],Table13[[#This Row],[Past zero L]],Table13[[#This Row],[Past Zero R]],Table13[[#This Row],[Is Zero]])</f>
        <v>0</v>
      </c>
    </row>
    <row r="2169" spans="1:11" ht="16" x14ac:dyDescent="0.2">
      <c r="A2169" s="1" t="s">
        <v>288</v>
      </c>
      <c r="B2169" t="str">
        <f>LEFT(Table13[[#This Row],[Input]],1)</f>
        <v>R</v>
      </c>
      <c r="C2169">
        <f>_xlfn.LET(_xlpm.steps,SUBSTITUTE(Table13[[#This Row],[Input]],Table13[[#This Row],[Direction]],""),VALUE(IF(LEN(_xlpm.steps)&gt;2,RIGHT(_xlpm.steps,2),_xlpm.steps)))</f>
        <v>25</v>
      </c>
      <c r="D2169">
        <f>_xlfn.LET(_xlpm.steps,SUBSTITUTE(Table13[[#This Row],[Input]],Table13[[#This Row],[Direction]],""),VALUE(IF(LEN(_xlpm.steps)&gt;2,LEFT(_xlpm.steps,LEN(_xlpm.steps)-2),0)))</f>
        <v>0</v>
      </c>
      <c r="E2169">
        <f>_xlfn.LET(_xlpm.dir,Table13[[#This Row],[Direction]],
IF(_xlpm.dir="L",
    IF(G2168-Table13[[#This Row],[Steps]]&lt;0,100+(G2168-Table13[[#This Row],[Steps]]),G2168-Table13[[#This Row],[Steps]]),
))</f>
        <v>0</v>
      </c>
      <c r="F2169">
        <f>_xlfn.LET(_xlpm.dir,Table13[[#This Row],[Direction]],
IF(_xlpm.dir="R",
    IF(G2168+Table13[[#This Row],[Steps]]&gt;99,(G2168+Table13[[#This Row],[Steps]])-100,G2168+Table13[[#This Row],[Steps]]),
))</f>
        <v>3</v>
      </c>
      <c r="G2169">
        <f>IF(Table13[[#This Row],[New Pos L]]&lt;&gt;0,Table13[[#This Row],[New Pos L]],Table13[[#This Row],[New Pos R]])</f>
        <v>3</v>
      </c>
      <c r="H2169">
        <f>IF(AND(Table13[[#This Row],[Direction]]="L",Table13[[#This Row],[Steps]]&gt;G2168,G2168&lt;&gt;0),1,0)</f>
        <v>0</v>
      </c>
      <c r="I2169">
        <f>IF(AND(Table13[[#This Row],[Direction]]="R",(G2168+Table13[[#This Row],[Steps]])&gt;100),1,0)</f>
        <v>1</v>
      </c>
      <c r="J2169">
        <f>IF(Table13[[#This Row],[POS]]=0,1,0)</f>
        <v>0</v>
      </c>
      <c r="K2169">
        <f>SUM(Table13[[#This Row],[prefix]],Table13[[#This Row],[Past zero L]],Table13[[#This Row],[Past Zero R]],Table13[[#This Row],[Is Zero]])</f>
        <v>1</v>
      </c>
    </row>
    <row r="2170" spans="1:11" ht="16" x14ac:dyDescent="0.2">
      <c r="A2170" s="1" t="s">
        <v>575</v>
      </c>
      <c r="B2170" t="str">
        <f>LEFT(Table13[[#This Row],[Input]],1)</f>
        <v>R</v>
      </c>
      <c r="C2170">
        <f>_xlfn.LET(_xlpm.steps,SUBSTITUTE(Table13[[#This Row],[Input]],Table13[[#This Row],[Direction]],""),VALUE(IF(LEN(_xlpm.steps)&gt;2,RIGHT(_xlpm.steps,2),_xlpm.steps)))</f>
        <v>40</v>
      </c>
      <c r="D2170">
        <f>_xlfn.LET(_xlpm.steps,SUBSTITUTE(Table13[[#This Row],[Input]],Table13[[#This Row],[Direction]],""),VALUE(IF(LEN(_xlpm.steps)&gt;2,LEFT(_xlpm.steps,LEN(_xlpm.steps)-2),0)))</f>
        <v>2</v>
      </c>
      <c r="E2170">
        <f>_xlfn.LET(_xlpm.dir,Table13[[#This Row],[Direction]],
IF(_xlpm.dir="L",
    IF(G2169-Table13[[#This Row],[Steps]]&lt;0,100+(G2169-Table13[[#This Row],[Steps]]),G2169-Table13[[#This Row],[Steps]]),
))</f>
        <v>0</v>
      </c>
      <c r="F2170">
        <f>_xlfn.LET(_xlpm.dir,Table13[[#This Row],[Direction]],
IF(_xlpm.dir="R",
    IF(G2169+Table13[[#This Row],[Steps]]&gt;99,(G2169+Table13[[#This Row],[Steps]])-100,G2169+Table13[[#This Row],[Steps]]),
))</f>
        <v>43</v>
      </c>
      <c r="G2170">
        <f>IF(Table13[[#This Row],[New Pos L]]&lt;&gt;0,Table13[[#This Row],[New Pos L]],Table13[[#This Row],[New Pos R]])</f>
        <v>43</v>
      </c>
      <c r="H2170">
        <f>IF(AND(Table13[[#This Row],[Direction]]="L",Table13[[#This Row],[Steps]]&gt;G2169,G2169&lt;&gt;0),1,0)</f>
        <v>0</v>
      </c>
      <c r="I2170">
        <f>IF(AND(Table13[[#This Row],[Direction]]="R",(G2169+Table13[[#This Row],[Steps]])&gt;100),1,0)</f>
        <v>0</v>
      </c>
      <c r="J2170">
        <f>IF(Table13[[#This Row],[POS]]=0,1,0)</f>
        <v>0</v>
      </c>
      <c r="K2170">
        <f>SUM(Table13[[#This Row],[prefix]],Table13[[#This Row],[Past zero L]],Table13[[#This Row],[Past Zero R]],Table13[[#This Row],[Is Zero]])</f>
        <v>2</v>
      </c>
    </row>
    <row r="2171" spans="1:11" ht="16" x14ac:dyDescent="0.2">
      <c r="A2171" s="1" t="s">
        <v>63</v>
      </c>
      <c r="B2171" t="str">
        <f>LEFT(Table13[[#This Row],[Input]],1)</f>
        <v>R</v>
      </c>
      <c r="C2171">
        <f>_xlfn.LET(_xlpm.steps,SUBSTITUTE(Table13[[#This Row],[Input]],Table13[[#This Row],[Direction]],""),VALUE(IF(LEN(_xlpm.steps)&gt;2,RIGHT(_xlpm.steps,2),_xlpm.steps)))</f>
        <v>57</v>
      </c>
      <c r="D2171">
        <f>_xlfn.LET(_xlpm.steps,SUBSTITUTE(Table13[[#This Row],[Input]],Table13[[#This Row],[Direction]],""),VALUE(IF(LEN(_xlpm.steps)&gt;2,LEFT(_xlpm.steps,LEN(_xlpm.steps)-2),0)))</f>
        <v>0</v>
      </c>
      <c r="E2171">
        <f>_xlfn.LET(_xlpm.dir,Table13[[#This Row],[Direction]],
IF(_xlpm.dir="L",
    IF(G2170-Table13[[#This Row],[Steps]]&lt;0,100+(G2170-Table13[[#This Row],[Steps]]),G2170-Table13[[#This Row],[Steps]]),
))</f>
        <v>0</v>
      </c>
      <c r="F2171">
        <f>_xlfn.LET(_xlpm.dir,Table13[[#This Row],[Direction]],
IF(_xlpm.dir="R",
    IF(G2170+Table13[[#This Row],[Steps]]&gt;99,(G2170+Table13[[#This Row],[Steps]])-100,G2170+Table13[[#This Row],[Steps]]),
))</f>
        <v>0</v>
      </c>
      <c r="G2171">
        <f>IF(Table13[[#This Row],[New Pos L]]&lt;&gt;0,Table13[[#This Row],[New Pos L]],Table13[[#This Row],[New Pos R]])</f>
        <v>0</v>
      </c>
      <c r="H2171">
        <f>IF(AND(Table13[[#This Row],[Direction]]="L",Table13[[#This Row],[Steps]]&gt;G2170,G2170&lt;&gt;0),1,0)</f>
        <v>0</v>
      </c>
      <c r="I2171">
        <f>IF(AND(Table13[[#This Row],[Direction]]="R",(G2170+Table13[[#This Row],[Steps]])&gt;100),1,0)</f>
        <v>0</v>
      </c>
      <c r="J2171">
        <f>IF(Table13[[#This Row],[POS]]=0,1,0)</f>
        <v>1</v>
      </c>
      <c r="K2171">
        <f>SUM(Table13[[#This Row],[prefix]],Table13[[#This Row],[Past zero L]],Table13[[#This Row],[Past Zero R]],Table13[[#This Row],[Is Zero]])</f>
        <v>1</v>
      </c>
    </row>
    <row r="2172" spans="1:11" ht="16" x14ac:dyDescent="0.2">
      <c r="A2172" s="1" t="s">
        <v>191</v>
      </c>
      <c r="B2172" t="str">
        <f>LEFT(Table13[[#This Row],[Input]],1)</f>
        <v>L</v>
      </c>
      <c r="C2172">
        <f>_xlfn.LET(_xlpm.steps,SUBSTITUTE(Table13[[#This Row],[Input]],Table13[[#This Row],[Direction]],""),VALUE(IF(LEN(_xlpm.steps)&gt;2,RIGHT(_xlpm.steps,2),_xlpm.steps)))</f>
        <v>5</v>
      </c>
      <c r="D2172">
        <f>_xlfn.LET(_xlpm.steps,SUBSTITUTE(Table13[[#This Row],[Input]],Table13[[#This Row],[Direction]],""),VALUE(IF(LEN(_xlpm.steps)&gt;2,LEFT(_xlpm.steps,LEN(_xlpm.steps)-2),0)))</f>
        <v>0</v>
      </c>
      <c r="E2172">
        <f>_xlfn.LET(_xlpm.dir,Table13[[#This Row],[Direction]],
IF(_xlpm.dir="L",
    IF(G2171-Table13[[#This Row],[Steps]]&lt;0,100+(G2171-Table13[[#This Row],[Steps]]),G2171-Table13[[#This Row],[Steps]]),
))</f>
        <v>95</v>
      </c>
      <c r="F2172">
        <f>_xlfn.LET(_xlpm.dir,Table13[[#This Row],[Direction]],
IF(_xlpm.dir="R",
    IF(G2171+Table13[[#This Row],[Steps]]&gt;99,(G2171+Table13[[#This Row],[Steps]])-100,G2171+Table13[[#This Row],[Steps]]),
))</f>
        <v>0</v>
      </c>
      <c r="G2172">
        <f>IF(Table13[[#This Row],[New Pos L]]&lt;&gt;0,Table13[[#This Row],[New Pos L]],Table13[[#This Row],[New Pos R]])</f>
        <v>95</v>
      </c>
      <c r="H2172">
        <f>IF(AND(Table13[[#This Row],[Direction]]="L",Table13[[#This Row],[Steps]]&gt;G2171,G2171&lt;&gt;0),1,0)</f>
        <v>0</v>
      </c>
      <c r="I2172">
        <f>IF(AND(Table13[[#This Row],[Direction]]="R",(G2171+Table13[[#This Row],[Steps]])&gt;100),1,0)</f>
        <v>0</v>
      </c>
      <c r="J2172">
        <f>IF(Table13[[#This Row],[POS]]=0,1,0)</f>
        <v>0</v>
      </c>
      <c r="K2172">
        <f>SUM(Table13[[#This Row],[prefix]],Table13[[#This Row],[Past zero L]],Table13[[#This Row],[Past Zero R]],Table13[[#This Row],[Is Zero]])</f>
        <v>0</v>
      </c>
    </row>
    <row r="2173" spans="1:11" ht="16" x14ac:dyDescent="0.2">
      <c r="A2173" s="1" t="s">
        <v>576</v>
      </c>
      <c r="B2173" t="str">
        <f>LEFT(Table13[[#This Row],[Input]],1)</f>
        <v>R</v>
      </c>
      <c r="C2173">
        <f>_xlfn.LET(_xlpm.steps,SUBSTITUTE(Table13[[#This Row],[Input]],Table13[[#This Row],[Direction]],""),VALUE(IF(LEN(_xlpm.steps)&gt;2,RIGHT(_xlpm.steps,2),_xlpm.steps)))</f>
        <v>67</v>
      </c>
      <c r="D2173">
        <f>_xlfn.LET(_xlpm.steps,SUBSTITUTE(Table13[[#This Row],[Input]],Table13[[#This Row],[Direction]],""),VALUE(IF(LEN(_xlpm.steps)&gt;2,LEFT(_xlpm.steps,LEN(_xlpm.steps)-2),0)))</f>
        <v>8</v>
      </c>
      <c r="E2173">
        <f>_xlfn.LET(_xlpm.dir,Table13[[#This Row],[Direction]],
IF(_xlpm.dir="L",
    IF(G2172-Table13[[#This Row],[Steps]]&lt;0,100+(G2172-Table13[[#This Row],[Steps]]),G2172-Table13[[#This Row],[Steps]]),
))</f>
        <v>0</v>
      </c>
      <c r="F2173">
        <f>_xlfn.LET(_xlpm.dir,Table13[[#This Row],[Direction]],
IF(_xlpm.dir="R",
    IF(G2172+Table13[[#This Row],[Steps]]&gt;99,(G2172+Table13[[#This Row],[Steps]])-100,G2172+Table13[[#This Row],[Steps]]),
))</f>
        <v>62</v>
      </c>
      <c r="G2173">
        <f>IF(Table13[[#This Row],[New Pos L]]&lt;&gt;0,Table13[[#This Row],[New Pos L]],Table13[[#This Row],[New Pos R]])</f>
        <v>62</v>
      </c>
      <c r="H2173">
        <f>IF(AND(Table13[[#This Row],[Direction]]="L",Table13[[#This Row],[Steps]]&gt;G2172,G2172&lt;&gt;0),1,0)</f>
        <v>0</v>
      </c>
      <c r="I2173">
        <f>IF(AND(Table13[[#This Row],[Direction]]="R",(G2172+Table13[[#This Row],[Steps]])&gt;100),1,0)</f>
        <v>1</v>
      </c>
      <c r="J2173">
        <f>IF(Table13[[#This Row],[POS]]=0,1,0)</f>
        <v>0</v>
      </c>
      <c r="K2173">
        <f>SUM(Table13[[#This Row],[prefix]],Table13[[#This Row],[Past zero L]],Table13[[#This Row],[Past Zero R]],Table13[[#This Row],[Is Zero]])</f>
        <v>9</v>
      </c>
    </row>
    <row r="2174" spans="1:11" ht="16" x14ac:dyDescent="0.2">
      <c r="A2174" s="1" t="s">
        <v>212</v>
      </c>
      <c r="B2174" t="str">
        <f>LEFT(Table13[[#This Row],[Input]],1)</f>
        <v>R</v>
      </c>
      <c r="C2174">
        <f>_xlfn.LET(_xlpm.steps,SUBSTITUTE(Table13[[#This Row],[Input]],Table13[[#This Row],[Direction]],""),VALUE(IF(LEN(_xlpm.steps)&gt;2,RIGHT(_xlpm.steps,2),_xlpm.steps)))</f>
        <v>77</v>
      </c>
      <c r="D2174">
        <f>_xlfn.LET(_xlpm.steps,SUBSTITUTE(Table13[[#This Row],[Input]],Table13[[#This Row],[Direction]],""),VALUE(IF(LEN(_xlpm.steps)&gt;2,LEFT(_xlpm.steps,LEN(_xlpm.steps)-2),0)))</f>
        <v>0</v>
      </c>
      <c r="E2174">
        <f>_xlfn.LET(_xlpm.dir,Table13[[#This Row],[Direction]],
IF(_xlpm.dir="L",
    IF(G2173-Table13[[#This Row],[Steps]]&lt;0,100+(G2173-Table13[[#This Row],[Steps]]),G2173-Table13[[#This Row],[Steps]]),
))</f>
        <v>0</v>
      </c>
      <c r="F2174">
        <f>_xlfn.LET(_xlpm.dir,Table13[[#This Row],[Direction]],
IF(_xlpm.dir="R",
    IF(G2173+Table13[[#This Row],[Steps]]&gt;99,(G2173+Table13[[#This Row],[Steps]])-100,G2173+Table13[[#This Row],[Steps]]),
))</f>
        <v>39</v>
      </c>
      <c r="G2174">
        <f>IF(Table13[[#This Row],[New Pos L]]&lt;&gt;0,Table13[[#This Row],[New Pos L]],Table13[[#This Row],[New Pos R]])</f>
        <v>39</v>
      </c>
      <c r="H2174">
        <f>IF(AND(Table13[[#This Row],[Direction]]="L",Table13[[#This Row],[Steps]]&gt;G2173,G2173&lt;&gt;0),1,0)</f>
        <v>0</v>
      </c>
      <c r="I2174">
        <f>IF(AND(Table13[[#This Row],[Direction]]="R",(G2173+Table13[[#This Row],[Steps]])&gt;100),1,0)</f>
        <v>1</v>
      </c>
      <c r="J2174">
        <f>IF(Table13[[#This Row],[POS]]=0,1,0)</f>
        <v>0</v>
      </c>
      <c r="K2174">
        <f>SUM(Table13[[#This Row],[prefix]],Table13[[#This Row],[Past zero L]],Table13[[#This Row],[Past Zero R]],Table13[[#This Row],[Is Zero]])</f>
        <v>1</v>
      </c>
    </row>
    <row r="2175" spans="1:11" ht="16" x14ac:dyDescent="0.2">
      <c r="A2175" s="1" t="s">
        <v>145</v>
      </c>
      <c r="B2175" t="str">
        <f>LEFT(Table13[[#This Row],[Input]],1)</f>
        <v>L</v>
      </c>
      <c r="C2175">
        <f>_xlfn.LET(_xlpm.steps,SUBSTITUTE(Table13[[#This Row],[Input]],Table13[[#This Row],[Direction]],""),VALUE(IF(LEN(_xlpm.steps)&gt;2,RIGHT(_xlpm.steps,2),_xlpm.steps)))</f>
        <v>83</v>
      </c>
      <c r="D2175">
        <f>_xlfn.LET(_xlpm.steps,SUBSTITUTE(Table13[[#This Row],[Input]],Table13[[#This Row],[Direction]],""),VALUE(IF(LEN(_xlpm.steps)&gt;2,LEFT(_xlpm.steps,LEN(_xlpm.steps)-2),0)))</f>
        <v>0</v>
      </c>
      <c r="E2175">
        <f>_xlfn.LET(_xlpm.dir,Table13[[#This Row],[Direction]],
IF(_xlpm.dir="L",
    IF(G2174-Table13[[#This Row],[Steps]]&lt;0,100+(G2174-Table13[[#This Row],[Steps]]),G2174-Table13[[#This Row],[Steps]]),
))</f>
        <v>56</v>
      </c>
      <c r="F2175">
        <f>_xlfn.LET(_xlpm.dir,Table13[[#This Row],[Direction]],
IF(_xlpm.dir="R",
    IF(G2174+Table13[[#This Row],[Steps]]&gt;99,(G2174+Table13[[#This Row],[Steps]])-100,G2174+Table13[[#This Row],[Steps]]),
))</f>
        <v>0</v>
      </c>
      <c r="G2175">
        <f>IF(Table13[[#This Row],[New Pos L]]&lt;&gt;0,Table13[[#This Row],[New Pos L]],Table13[[#This Row],[New Pos R]])</f>
        <v>56</v>
      </c>
      <c r="H2175">
        <f>IF(AND(Table13[[#This Row],[Direction]]="L",Table13[[#This Row],[Steps]]&gt;G2174,G2174&lt;&gt;0),1,0)</f>
        <v>1</v>
      </c>
      <c r="I2175">
        <f>IF(AND(Table13[[#This Row],[Direction]]="R",(G2174+Table13[[#This Row],[Steps]])&gt;100),1,0)</f>
        <v>0</v>
      </c>
      <c r="J2175">
        <f>IF(Table13[[#This Row],[POS]]=0,1,0)</f>
        <v>0</v>
      </c>
      <c r="K2175">
        <f>SUM(Table13[[#This Row],[prefix]],Table13[[#This Row],[Past zero L]],Table13[[#This Row],[Past Zero R]],Table13[[#This Row],[Is Zero]])</f>
        <v>1</v>
      </c>
    </row>
    <row r="2176" spans="1:11" ht="16" x14ac:dyDescent="0.2">
      <c r="A2176" s="1" t="s">
        <v>437</v>
      </c>
      <c r="B2176" t="str">
        <f>LEFT(Table13[[#This Row],[Input]],1)</f>
        <v>L</v>
      </c>
      <c r="C2176">
        <f>_xlfn.LET(_xlpm.steps,SUBSTITUTE(Table13[[#This Row],[Input]],Table13[[#This Row],[Direction]],""),VALUE(IF(LEN(_xlpm.steps)&gt;2,RIGHT(_xlpm.steps,2),_xlpm.steps)))</f>
        <v>56</v>
      </c>
      <c r="D2176">
        <f>_xlfn.LET(_xlpm.steps,SUBSTITUTE(Table13[[#This Row],[Input]],Table13[[#This Row],[Direction]],""),VALUE(IF(LEN(_xlpm.steps)&gt;2,LEFT(_xlpm.steps,LEN(_xlpm.steps)-2),0)))</f>
        <v>2</v>
      </c>
      <c r="E2176">
        <f>_xlfn.LET(_xlpm.dir,Table13[[#This Row],[Direction]],
IF(_xlpm.dir="L",
    IF(G2175-Table13[[#This Row],[Steps]]&lt;0,100+(G2175-Table13[[#This Row],[Steps]]),G2175-Table13[[#This Row],[Steps]]),
))</f>
        <v>0</v>
      </c>
      <c r="F2176">
        <f>_xlfn.LET(_xlpm.dir,Table13[[#This Row],[Direction]],
IF(_xlpm.dir="R",
    IF(G2175+Table13[[#This Row],[Steps]]&gt;99,(G2175+Table13[[#This Row],[Steps]])-100,G2175+Table13[[#This Row],[Steps]]),
))</f>
        <v>0</v>
      </c>
      <c r="G2176">
        <f>IF(Table13[[#This Row],[New Pos L]]&lt;&gt;0,Table13[[#This Row],[New Pos L]],Table13[[#This Row],[New Pos R]])</f>
        <v>0</v>
      </c>
      <c r="H2176">
        <f>IF(AND(Table13[[#This Row],[Direction]]="L",Table13[[#This Row],[Steps]]&gt;G2175,G2175&lt;&gt;0),1,0)</f>
        <v>0</v>
      </c>
      <c r="I2176">
        <f>IF(AND(Table13[[#This Row],[Direction]]="R",(G2175+Table13[[#This Row],[Steps]])&gt;100),1,0)</f>
        <v>0</v>
      </c>
      <c r="J2176">
        <f>IF(Table13[[#This Row],[POS]]=0,1,0)</f>
        <v>1</v>
      </c>
      <c r="K2176">
        <f>SUM(Table13[[#This Row],[prefix]],Table13[[#This Row],[Past zero L]],Table13[[#This Row],[Past Zero R]],Table13[[#This Row],[Is Zero]])</f>
        <v>3</v>
      </c>
    </row>
    <row r="2177" spans="1:11" ht="16" x14ac:dyDescent="0.2">
      <c r="A2177" s="1" t="s">
        <v>577</v>
      </c>
      <c r="B2177" t="str">
        <f>LEFT(Table13[[#This Row],[Input]],1)</f>
        <v>L</v>
      </c>
      <c r="C2177">
        <f>_xlfn.LET(_xlpm.steps,SUBSTITUTE(Table13[[#This Row],[Input]],Table13[[#This Row],[Direction]],""),VALUE(IF(LEN(_xlpm.steps)&gt;2,RIGHT(_xlpm.steps,2),_xlpm.steps)))</f>
        <v>88</v>
      </c>
      <c r="D2177">
        <f>_xlfn.LET(_xlpm.steps,SUBSTITUTE(Table13[[#This Row],[Input]],Table13[[#This Row],[Direction]],""),VALUE(IF(LEN(_xlpm.steps)&gt;2,LEFT(_xlpm.steps,LEN(_xlpm.steps)-2),0)))</f>
        <v>4</v>
      </c>
      <c r="E2177">
        <f>_xlfn.LET(_xlpm.dir,Table13[[#This Row],[Direction]],
IF(_xlpm.dir="L",
    IF(G2176-Table13[[#This Row],[Steps]]&lt;0,100+(G2176-Table13[[#This Row],[Steps]]),G2176-Table13[[#This Row],[Steps]]),
))</f>
        <v>12</v>
      </c>
      <c r="F2177">
        <f>_xlfn.LET(_xlpm.dir,Table13[[#This Row],[Direction]],
IF(_xlpm.dir="R",
    IF(G2176+Table13[[#This Row],[Steps]]&gt;99,(G2176+Table13[[#This Row],[Steps]])-100,G2176+Table13[[#This Row],[Steps]]),
))</f>
        <v>0</v>
      </c>
      <c r="G2177">
        <f>IF(Table13[[#This Row],[New Pos L]]&lt;&gt;0,Table13[[#This Row],[New Pos L]],Table13[[#This Row],[New Pos R]])</f>
        <v>12</v>
      </c>
      <c r="H2177">
        <f>IF(AND(Table13[[#This Row],[Direction]]="L",Table13[[#This Row],[Steps]]&gt;G2176,G2176&lt;&gt;0),1,0)</f>
        <v>0</v>
      </c>
      <c r="I2177">
        <f>IF(AND(Table13[[#This Row],[Direction]]="R",(G2176+Table13[[#This Row],[Steps]])&gt;100),1,0)</f>
        <v>0</v>
      </c>
      <c r="J2177">
        <f>IF(Table13[[#This Row],[POS]]=0,1,0)</f>
        <v>0</v>
      </c>
      <c r="K2177">
        <f>SUM(Table13[[#This Row],[prefix]],Table13[[#This Row],[Past zero L]],Table13[[#This Row],[Past Zero R]],Table13[[#This Row],[Is Zero]])</f>
        <v>4</v>
      </c>
    </row>
    <row r="2178" spans="1:11" ht="16" x14ac:dyDescent="0.2">
      <c r="A2178" s="1" t="s">
        <v>88</v>
      </c>
      <c r="B2178" t="str">
        <f>LEFT(Table13[[#This Row],[Input]],1)</f>
        <v>R</v>
      </c>
      <c r="C2178">
        <f>_xlfn.LET(_xlpm.steps,SUBSTITUTE(Table13[[#This Row],[Input]],Table13[[#This Row],[Direction]],""),VALUE(IF(LEN(_xlpm.steps)&gt;2,RIGHT(_xlpm.steps,2),_xlpm.steps)))</f>
        <v>53</v>
      </c>
      <c r="D2178">
        <f>_xlfn.LET(_xlpm.steps,SUBSTITUTE(Table13[[#This Row],[Input]],Table13[[#This Row],[Direction]],""),VALUE(IF(LEN(_xlpm.steps)&gt;2,LEFT(_xlpm.steps,LEN(_xlpm.steps)-2),0)))</f>
        <v>0</v>
      </c>
      <c r="E2178">
        <f>_xlfn.LET(_xlpm.dir,Table13[[#This Row],[Direction]],
IF(_xlpm.dir="L",
    IF(G2177-Table13[[#This Row],[Steps]]&lt;0,100+(G2177-Table13[[#This Row],[Steps]]),G2177-Table13[[#This Row],[Steps]]),
))</f>
        <v>0</v>
      </c>
      <c r="F2178">
        <f>_xlfn.LET(_xlpm.dir,Table13[[#This Row],[Direction]],
IF(_xlpm.dir="R",
    IF(G2177+Table13[[#This Row],[Steps]]&gt;99,(G2177+Table13[[#This Row],[Steps]])-100,G2177+Table13[[#This Row],[Steps]]),
))</f>
        <v>65</v>
      </c>
      <c r="G2178">
        <f>IF(Table13[[#This Row],[New Pos L]]&lt;&gt;0,Table13[[#This Row],[New Pos L]],Table13[[#This Row],[New Pos R]])</f>
        <v>65</v>
      </c>
      <c r="H2178">
        <f>IF(AND(Table13[[#This Row],[Direction]]="L",Table13[[#This Row],[Steps]]&gt;G2177,G2177&lt;&gt;0),1,0)</f>
        <v>0</v>
      </c>
      <c r="I2178">
        <f>IF(AND(Table13[[#This Row],[Direction]]="R",(G2177+Table13[[#This Row],[Steps]])&gt;100),1,0)</f>
        <v>0</v>
      </c>
      <c r="J2178">
        <f>IF(Table13[[#This Row],[POS]]=0,1,0)</f>
        <v>0</v>
      </c>
      <c r="K2178">
        <f>SUM(Table13[[#This Row],[prefix]],Table13[[#This Row],[Past zero L]],Table13[[#This Row],[Past Zero R]],Table13[[#This Row],[Is Zero]])</f>
        <v>0</v>
      </c>
    </row>
    <row r="2179" spans="1:11" ht="16" x14ac:dyDescent="0.2">
      <c r="A2179" s="1" t="s">
        <v>578</v>
      </c>
      <c r="B2179" t="str">
        <f>LEFT(Table13[[#This Row],[Input]],1)</f>
        <v>L</v>
      </c>
      <c r="C2179">
        <f>_xlfn.LET(_xlpm.steps,SUBSTITUTE(Table13[[#This Row],[Input]],Table13[[#This Row],[Direction]],""),VALUE(IF(LEN(_xlpm.steps)&gt;2,RIGHT(_xlpm.steps,2),_xlpm.steps)))</f>
        <v>45</v>
      </c>
      <c r="D2179">
        <f>_xlfn.LET(_xlpm.steps,SUBSTITUTE(Table13[[#This Row],[Input]],Table13[[#This Row],[Direction]],""),VALUE(IF(LEN(_xlpm.steps)&gt;2,LEFT(_xlpm.steps,LEN(_xlpm.steps)-2),0)))</f>
        <v>3</v>
      </c>
      <c r="E2179">
        <f>_xlfn.LET(_xlpm.dir,Table13[[#This Row],[Direction]],
IF(_xlpm.dir="L",
    IF(G2178-Table13[[#This Row],[Steps]]&lt;0,100+(G2178-Table13[[#This Row],[Steps]]),G2178-Table13[[#This Row],[Steps]]),
))</f>
        <v>20</v>
      </c>
      <c r="F2179">
        <f>_xlfn.LET(_xlpm.dir,Table13[[#This Row],[Direction]],
IF(_xlpm.dir="R",
    IF(G2178+Table13[[#This Row],[Steps]]&gt;99,(G2178+Table13[[#This Row],[Steps]])-100,G2178+Table13[[#This Row],[Steps]]),
))</f>
        <v>0</v>
      </c>
      <c r="G2179">
        <f>IF(Table13[[#This Row],[New Pos L]]&lt;&gt;0,Table13[[#This Row],[New Pos L]],Table13[[#This Row],[New Pos R]])</f>
        <v>20</v>
      </c>
      <c r="H2179">
        <f>IF(AND(Table13[[#This Row],[Direction]]="L",Table13[[#This Row],[Steps]]&gt;G2178,G2178&lt;&gt;0),1,0)</f>
        <v>0</v>
      </c>
      <c r="I2179">
        <f>IF(AND(Table13[[#This Row],[Direction]]="R",(G2178+Table13[[#This Row],[Steps]])&gt;100),1,0)</f>
        <v>0</v>
      </c>
      <c r="J2179">
        <f>IF(Table13[[#This Row],[POS]]=0,1,0)</f>
        <v>0</v>
      </c>
      <c r="K2179">
        <f>SUM(Table13[[#This Row],[prefix]],Table13[[#This Row],[Past zero L]],Table13[[#This Row],[Past Zero R]],Table13[[#This Row],[Is Zero]])</f>
        <v>3</v>
      </c>
    </row>
    <row r="2180" spans="1:11" ht="16" x14ac:dyDescent="0.2">
      <c r="A2180" s="1" t="s">
        <v>325</v>
      </c>
      <c r="B2180" t="str">
        <f>LEFT(Table13[[#This Row],[Input]],1)</f>
        <v>L</v>
      </c>
      <c r="C2180">
        <f>_xlfn.LET(_xlpm.steps,SUBSTITUTE(Table13[[#This Row],[Input]],Table13[[#This Row],[Direction]],""),VALUE(IF(LEN(_xlpm.steps)&gt;2,RIGHT(_xlpm.steps,2),_xlpm.steps)))</f>
        <v>68</v>
      </c>
      <c r="D2180">
        <f>_xlfn.LET(_xlpm.steps,SUBSTITUTE(Table13[[#This Row],[Input]],Table13[[#This Row],[Direction]],""),VALUE(IF(LEN(_xlpm.steps)&gt;2,LEFT(_xlpm.steps,LEN(_xlpm.steps)-2),0)))</f>
        <v>0</v>
      </c>
      <c r="E2180">
        <f>_xlfn.LET(_xlpm.dir,Table13[[#This Row],[Direction]],
IF(_xlpm.dir="L",
    IF(G2179-Table13[[#This Row],[Steps]]&lt;0,100+(G2179-Table13[[#This Row],[Steps]]),G2179-Table13[[#This Row],[Steps]]),
))</f>
        <v>52</v>
      </c>
      <c r="F2180">
        <f>_xlfn.LET(_xlpm.dir,Table13[[#This Row],[Direction]],
IF(_xlpm.dir="R",
    IF(G2179+Table13[[#This Row],[Steps]]&gt;99,(G2179+Table13[[#This Row],[Steps]])-100,G2179+Table13[[#This Row],[Steps]]),
))</f>
        <v>0</v>
      </c>
      <c r="G2180">
        <f>IF(Table13[[#This Row],[New Pos L]]&lt;&gt;0,Table13[[#This Row],[New Pos L]],Table13[[#This Row],[New Pos R]])</f>
        <v>52</v>
      </c>
      <c r="H2180">
        <f>IF(AND(Table13[[#This Row],[Direction]]="L",Table13[[#This Row],[Steps]]&gt;G2179,G2179&lt;&gt;0),1,0)</f>
        <v>1</v>
      </c>
      <c r="I2180">
        <f>IF(AND(Table13[[#This Row],[Direction]]="R",(G2179+Table13[[#This Row],[Steps]])&gt;100),1,0)</f>
        <v>0</v>
      </c>
      <c r="J2180">
        <f>IF(Table13[[#This Row],[POS]]=0,1,0)</f>
        <v>0</v>
      </c>
      <c r="K2180">
        <f>SUM(Table13[[#This Row],[prefix]],Table13[[#This Row],[Past zero L]],Table13[[#This Row],[Past Zero R]],Table13[[#This Row],[Is Zero]])</f>
        <v>1</v>
      </c>
    </row>
    <row r="2181" spans="1:11" ht="16" x14ac:dyDescent="0.2">
      <c r="A2181" s="1" t="s">
        <v>119</v>
      </c>
      <c r="B2181" t="str">
        <f>LEFT(Table13[[#This Row],[Input]],1)</f>
        <v>L</v>
      </c>
      <c r="C2181">
        <f>_xlfn.LET(_xlpm.steps,SUBSTITUTE(Table13[[#This Row],[Input]],Table13[[#This Row],[Direction]],""),VALUE(IF(LEN(_xlpm.steps)&gt;2,RIGHT(_xlpm.steps,2),_xlpm.steps)))</f>
        <v>77</v>
      </c>
      <c r="D2181">
        <f>_xlfn.LET(_xlpm.steps,SUBSTITUTE(Table13[[#This Row],[Input]],Table13[[#This Row],[Direction]],""),VALUE(IF(LEN(_xlpm.steps)&gt;2,LEFT(_xlpm.steps,LEN(_xlpm.steps)-2),0)))</f>
        <v>0</v>
      </c>
      <c r="E2181">
        <f>_xlfn.LET(_xlpm.dir,Table13[[#This Row],[Direction]],
IF(_xlpm.dir="L",
    IF(G2180-Table13[[#This Row],[Steps]]&lt;0,100+(G2180-Table13[[#This Row],[Steps]]),G2180-Table13[[#This Row],[Steps]]),
))</f>
        <v>75</v>
      </c>
      <c r="F2181">
        <f>_xlfn.LET(_xlpm.dir,Table13[[#This Row],[Direction]],
IF(_xlpm.dir="R",
    IF(G2180+Table13[[#This Row],[Steps]]&gt;99,(G2180+Table13[[#This Row],[Steps]])-100,G2180+Table13[[#This Row],[Steps]]),
))</f>
        <v>0</v>
      </c>
      <c r="G2181">
        <f>IF(Table13[[#This Row],[New Pos L]]&lt;&gt;0,Table13[[#This Row],[New Pos L]],Table13[[#This Row],[New Pos R]])</f>
        <v>75</v>
      </c>
      <c r="H2181">
        <f>IF(AND(Table13[[#This Row],[Direction]]="L",Table13[[#This Row],[Steps]]&gt;G2180,G2180&lt;&gt;0),1,0)</f>
        <v>1</v>
      </c>
      <c r="I2181">
        <f>IF(AND(Table13[[#This Row],[Direction]]="R",(G2180+Table13[[#This Row],[Steps]])&gt;100),1,0)</f>
        <v>0</v>
      </c>
      <c r="J2181">
        <f>IF(Table13[[#This Row],[POS]]=0,1,0)</f>
        <v>0</v>
      </c>
      <c r="K2181">
        <f>SUM(Table13[[#This Row],[prefix]],Table13[[#This Row],[Past zero L]],Table13[[#This Row],[Past Zero R]],Table13[[#This Row],[Is Zero]])</f>
        <v>1</v>
      </c>
    </row>
    <row r="2182" spans="1:11" ht="16" x14ac:dyDescent="0.2">
      <c r="A2182" s="1" t="s">
        <v>188</v>
      </c>
      <c r="B2182" t="str">
        <f>LEFT(Table13[[#This Row],[Input]],1)</f>
        <v>R</v>
      </c>
      <c r="C2182">
        <f>_xlfn.LET(_xlpm.steps,SUBSTITUTE(Table13[[#This Row],[Input]],Table13[[#This Row],[Direction]],""),VALUE(IF(LEN(_xlpm.steps)&gt;2,RIGHT(_xlpm.steps,2),_xlpm.steps)))</f>
        <v>5</v>
      </c>
      <c r="D2182">
        <f>_xlfn.LET(_xlpm.steps,SUBSTITUTE(Table13[[#This Row],[Input]],Table13[[#This Row],[Direction]],""),VALUE(IF(LEN(_xlpm.steps)&gt;2,LEFT(_xlpm.steps,LEN(_xlpm.steps)-2),0)))</f>
        <v>0</v>
      </c>
      <c r="E2182">
        <f>_xlfn.LET(_xlpm.dir,Table13[[#This Row],[Direction]],
IF(_xlpm.dir="L",
    IF(G2181-Table13[[#This Row],[Steps]]&lt;0,100+(G2181-Table13[[#This Row],[Steps]]),G2181-Table13[[#This Row],[Steps]]),
))</f>
        <v>0</v>
      </c>
      <c r="F2182">
        <f>_xlfn.LET(_xlpm.dir,Table13[[#This Row],[Direction]],
IF(_xlpm.dir="R",
    IF(G2181+Table13[[#This Row],[Steps]]&gt;99,(G2181+Table13[[#This Row],[Steps]])-100,G2181+Table13[[#This Row],[Steps]]),
))</f>
        <v>80</v>
      </c>
      <c r="G2182">
        <f>IF(Table13[[#This Row],[New Pos L]]&lt;&gt;0,Table13[[#This Row],[New Pos L]],Table13[[#This Row],[New Pos R]])</f>
        <v>80</v>
      </c>
      <c r="H2182">
        <f>IF(AND(Table13[[#This Row],[Direction]]="L",Table13[[#This Row],[Steps]]&gt;G2181,G2181&lt;&gt;0),1,0)</f>
        <v>0</v>
      </c>
      <c r="I2182">
        <f>IF(AND(Table13[[#This Row],[Direction]]="R",(G2181+Table13[[#This Row],[Steps]])&gt;100),1,0)</f>
        <v>0</v>
      </c>
      <c r="J2182">
        <f>IF(Table13[[#This Row],[POS]]=0,1,0)</f>
        <v>0</v>
      </c>
      <c r="K2182">
        <f>SUM(Table13[[#This Row],[prefix]],Table13[[#This Row],[Past zero L]],Table13[[#This Row],[Past Zero R]],Table13[[#This Row],[Is Zero]])</f>
        <v>0</v>
      </c>
    </row>
    <row r="2183" spans="1:11" ht="16" x14ac:dyDescent="0.2">
      <c r="A2183" s="1" t="s">
        <v>68</v>
      </c>
      <c r="B2183" t="str">
        <f>LEFT(Table13[[#This Row],[Input]],1)</f>
        <v>L</v>
      </c>
      <c r="C2183">
        <f>_xlfn.LET(_xlpm.steps,SUBSTITUTE(Table13[[#This Row],[Input]],Table13[[#This Row],[Direction]],""),VALUE(IF(LEN(_xlpm.steps)&gt;2,RIGHT(_xlpm.steps,2),_xlpm.steps)))</f>
        <v>80</v>
      </c>
      <c r="D2183">
        <f>_xlfn.LET(_xlpm.steps,SUBSTITUTE(Table13[[#This Row],[Input]],Table13[[#This Row],[Direction]],""),VALUE(IF(LEN(_xlpm.steps)&gt;2,LEFT(_xlpm.steps,LEN(_xlpm.steps)-2),0)))</f>
        <v>0</v>
      </c>
      <c r="E2183">
        <f>_xlfn.LET(_xlpm.dir,Table13[[#This Row],[Direction]],
IF(_xlpm.dir="L",
    IF(G2182-Table13[[#This Row],[Steps]]&lt;0,100+(G2182-Table13[[#This Row],[Steps]]),G2182-Table13[[#This Row],[Steps]]),
))</f>
        <v>0</v>
      </c>
      <c r="F2183">
        <f>_xlfn.LET(_xlpm.dir,Table13[[#This Row],[Direction]],
IF(_xlpm.dir="R",
    IF(G2182+Table13[[#This Row],[Steps]]&gt;99,(G2182+Table13[[#This Row],[Steps]])-100,G2182+Table13[[#This Row],[Steps]]),
))</f>
        <v>0</v>
      </c>
      <c r="G2183">
        <f>IF(Table13[[#This Row],[New Pos L]]&lt;&gt;0,Table13[[#This Row],[New Pos L]],Table13[[#This Row],[New Pos R]])</f>
        <v>0</v>
      </c>
      <c r="H2183">
        <f>IF(AND(Table13[[#This Row],[Direction]]="L",Table13[[#This Row],[Steps]]&gt;G2182,G2182&lt;&gt;0),1,0)</f>
        <v>0</v>
      </c>
      <c r="I2183">
        <f>IF(AND(Table13[[#This Row],[Direction]]="R",(G2182+Table13[[#This Row],[Steps]])&gt;100),1,0)</f>
        <v>0</v>
      </c>
      <c r="J2183">
        <f>IF(Table13[[#This Row],[POS]]=0,1,0)</f>
        <v>1</v>
      </c>
      <c r="K2183">
        <f>SUM(Table13[[#This Row],[prefix]],Table13[[#This Row],[Past zero L]],Table13[[#This Row],[Past Zero R]],Table13[[#This Row],[Is Zero]])</f>
        <v>1</v>
      </c>
    </row>
    <row r="2184" spans="1:11" ht="16" x14ac:dyDescent="0.2">
      <c r="A2184" s="1" t="s">
        <v>579</v>
      </c>
      <c r="B2184" t="str">
        <f>LEFT(Table13[[#This Row],[Input]],1)</f>
        <v>L</v>
      </c>
      <c r="C2184">
        <f>_xlfn.LET(_xlpm.steps,SUBSTITUTE(Table13[[#This Row],[Input]],Table13[[#This Row],[Direction]],""),VALUE(IF(LEN(_xlpm.steps)&gt;2,RIGHT(_xlpm.steps,2),_xlpm.steps)))</f>
        <v>6</v>
      </c>
      <c r="D2184">
        <f>_xlfn.LET(_xlpm.steps,SUBSTITUTE(Table13[[#This Row],[Input]],Table13[[#This Row],[Direction]],""),VALUE(IF(LEN(_xlpm.steps)&gt;2,LEFT(_xlpm.steps,LEN(_xlpm.steps)-2),0)))</f>
        <v>6</v>
      </c>
      <c r="E2184">
        <f>_xlfn.LET(_xlpm.dir,Table13[[#This Row],[Direction]],
IF(_xlpm.dir="L",
    IF(G2183-Table13[[#This Row],[Steps]]&lt;0,100+(G2183-Table13[[#This Row],[Steps]]),G2183-Table13[[#This Row],[Steps]]),
))</f>
        <v>94</v>
      </c>
      <c r="F2184">
        <f>_xlfn.LET(_xlpm.dir,Table13[[#This Row],[Direction]],
IF(_xlpm.dir="R",
    IF(G2183+Table13[[#This Row],[Steps]]&gt;99,(G2183+Table13[[#This Row],[Steps]])-100,G2183+Table13[[#This Row],[Steps]]),
))</f>
        <v>0</v>
      </c>
      <c r="G2184">
        <f>IF(Table13[[#This Row],[New Pos L]]&lt;&gt;0,Table13[[#This Row],[New Pos L]],Table13[[#This Row],[New Pos R]])</f>
        <v>94</v>
      </c>
      <c r="H2184">
        <f>IF(AND(Table13[[#This Row],[Direction]]="L",Table13[[#This Row],[Steps]]&gt;G2183,G2183&lt;&gt;0),1,0)</f>
        <v>0</v>
      </c>
      <c r="I2184">
        <f>IF(AND(Table13[[#This Row],[Direction]]="R",(G2183+Table13[[#This Row],[Steps]])&gt;100),1,0)</f>
        <v>0</v>
      </c>
      <c r="J2184">
        <f>IF(Table13[[#This Row],[POS]]=0,1,0)</f>
        <v>0</v>
      </c>
      <c r="K2184">
        <f>SUM(Table13[[#This Row],[prefix]],Table13[[#This Row],[Past zero L]],Table13[[#This Row],[Past Zero R]],Table13[[#This Row],[Is Zero]])</f>
        <v>6</v>
      </c>
    </row>
    <row r="2185" spans="1:11" ht="16" x14ac:dyDescent="0.2">
      <c r="A2185" s="1" t="s">
        <v>23</v>
      </c>
      <c r="B2185" t="str">
        <f>LEFT(Table13[[#This Row],[Input]],1)</f>
        <v>L</v>
      </c>
      <c r="C2185">
        <f>_xlfn.LET(_xlpm.steps,SUBSTITUTE(Table13[[#This Row],[Input]],Table13[[#This Row],[Direction]],""),VALUE(IF(LEN(_xlpm.steps)&gt;2,RIGHT(_xlpm.steps,2),_xlpm.steps)))</f>
        <v>8</v>
      </c>
      <c r="D2185">
        <f>_xlfn.LET(_xlpm.steps,SUBSTITUTE(Table13[[#This Row],[Input]],Table13[[#This Row],[Direction]],""),VALUE(IF(LEN(_xlpm.steps)&gt;2,LEFT(_xlpm.steps,LEN(_xlpm.steps)-2),0)))</f>
        <v>0</v>
      </c>
      <c r="E2185">
        <f>_xlfn.LET(_xlpm.dir,Table13[[#This Row],[Direction]],
IF(_xlpm.dir="L",
    IF(G2184-Table13[[#This Row],[Steps]]&lt;0,100+(G2184-Table13[[#This Row],[Steps]]),G2184-Table13[[#This Row],[Steps]]),
))</f>
        <v>86</v>
      </c>
      <c r="F2185">
        <f>_xlfn.LET(_xlpm.dir,Table13[[#This Row],[Direction]],
IF(_xlpm.dir="R",
    IF(G2184+Table13[[#This Row],[Steps]]&gt;99,(G2184+Table13[[#This Row],[Steps]])-100,G2184+Table13[[#This Row],[Steps]]),
))</f>
        <v>0</v>
      </c>
      <c r="G2185">
        <f>IF(Table13[[#This Row],[New Pos L]]&lt;&gt;0,Table13[[#This Row],[New Pos L]],Table13[[#This Row],[New Pos R]])</f>
        <v>86</v>
      </c>
      <c r="H2185">
        <f>IF(AND(Table13[[#This Row],[Direction]]="L",Table13[[#This Row],[Steps]]&gt;G2184,G2184&lt;&gt;0),1,0)</f>
        <v>0</v>
      </c>
      <c r="I2185">
        <f>IF(AND(Table13[[#This Row],[Direction]]="R",(G2184+Table13[[#This Row],[Steps]])&gt;100),1,0)</f>
        <v>0</v>
      </c>
      <c r="J2185">
        <f>IF(Table13[[#This Row],[POS]]=0,1,0)</f>
        <v>0</v>
      </c>
      <c r="K2185">
        <f>SUM(Table13[[#This Row],[prefix]],Table13[[#This Row],[Past zero L]],Table13[[#This Row],[Past Zero R]],Table13[[#This Row],[Is Zero]])</f>
        <v>0</v>
      </c>
    </row>
    <row r="2186" spans="1:11" ht="16" x14ac:dyDescent="0.2">
      <c r="A2186" s="1" t="s">
        <v>7</v>
      </c>
      <c r="B2186" t="str">
        <f>LEFT(Table13[[#This Row],[Input]],1)</f>
        <v>R</v>
      </c>
      <c r="C2186">
        <f>_xlfn.LET(_xlpm.steps,SUBSTITUTE(Table13[[#This Row],[Input]],Table13[[#This Row],[Direction]],""),VALUE(IF(LEN(_xlpm.steps)&gt;2,RIGHT(_xlpm.steps,2),_xlpm.steps)))</f>
        <v>14</v>
      </c>
      <c r="D2186">
        <f>_xlfn.LET(_xlpm.steps,SUBSTITUTE(Table13[[#This Row],[Input]],Table13[[#This Row],[Direction]],""),VALUE(IF(LEN(_xlpm.steps)&gt;2,LEFT(_xlpm.steps,LEN(_xlpm.steps)-2),0)))</f>
        <v>0</v>
      </c>
      <c r="E2186">
        <f>_xlfn.LET(_xlpm.dir,Table13[[#This Row],[Direction]],
IF(_xlpm.dir="L",
    IF(G2185-Table13[[#This Row],[Steps]]&lt;0,100+(G2185-Table13[[#This Row],[Steps]]),G2185-Table13[[#This Row],[Steps]]),
))</f>
        <v>0</v>
      </c>
      <c r="F2186">
        <f>_xlfn.LET(_xlpm.dir,Table13[[#This Row],[Direction]],
IF(_xlpm.dir="R",
    IF(G2185+Table13[[#This Row],[Steps]]&gt;99,(G2185+Table13[[#This Row],[Steps]])-100,G2185+Table13[[#This Row],[Steps]]),
))</f>
        <v>0</v>
      </c>
      <c r="G2186">
        <f>IF(Table13[[#This Row],[New Pos L]]&lt;&gt;0,Table13[[#This Row],[New Pos L]],Table13[[#This Row],[New Pos R]])</f>
        <v>0</v>
      </c>
      <c r="H2186">
        <f>IF(AND(Table13[[#This Row],[Direction]]="L",Table13[[#This Row],[Steps]]&gt;G2185,G2185&lt;&gt;0),1,0)</f>
        <v>0</v>
      </c>
      <c r="I2186">
        <f>IF(AND(Table13[[#This Row],[Direction]]="R",(G2185+Table13[[#This Row],[Steps]])&gt;100),1,0)</f>
        <v>0</v>
      </c>
      <c r="J2186">
        <f>IF(Table13[[#This Row],[POS]]=0,1,0)</f>
        <v>1</v>
      </c>
      <c r="K2186">
        <f>SUM(Table13[[#This Row],[prefix]],Table13[[#This Row],[Past zero L]],Table13[[#This Row],[Past Zero R]],Table13[[#This Row],[Is Zero]])</f>
        <v>1</v>
      </c>
    </row>
    <row r="2187" spans="1:11" ht="16" x14ac:dyDescent="0.2">
      <c r="A2187" s="1" t="s">
        <v>127</v>
      </c>
      <c r="B2187" t="str">
        <f>LEFT(Table13[[#This Row],[Input]],1)</f>
        <v>L</v>
      </c>
      <c r="C2187">
        <f>_xlfn.LET(_xlpm.steps,SUBSTITUTE(Table13[[#This Row],[Input]],Table13[[#This Row],[Direction]],""),VALUE(IF(LEN(_xlpm.steps)&gt;2,RIGHT(_xlpm.steps,2),_xlpm.steps)))</f>
        <v>62</v>
      </c>
      <c r="D2187">
        <f>_xlfn.LET(_xlpm.steps,SUBSTITUTE(Table13[[#This Row],[Input]],Table13[[#This Row],[Direction]],""),VALUE(IF(LEN(_xlpm.steps)&gt;2,LEFT(_xlpm.steps,LEN(_xlpm.steps)-2),0)))</f>
        <v>0</v>
      </c>
      <c r="E2187">
        <f>_xlfn.LET(_xlpm.dir,Table13[[#This Row],[Direction]],
IF(_xlpm.dir="L",
    IF(G2186-Table13[[#This Row],[Steps]]&lt;0,100+(G2186-Table13[[#This Row],[Steps]]),G2186-Table13[[#This Row],[Steps]]),
))</f>
        <v>38</v>
      </c>
      <c r="F2187">
        <f>_xlfn.LET(_xlpm.dir,Table13[[#This Row],[Direction]],
IF(_xlpm.dir="R",
    IF(G2186+Table13[[#This Row],[Steps]]&gt;99,(G2186+Table13[[#This Row],[Steps]])-100,G2186+Table13[[#This Row],[Steps]]),
))</f>
        <v>0</v>
      </c>
      <c r="G2187">
        <f>IF(Table13[[#This Row],[New Pos L]]&lt;&gt;0,Table13[[#This Row],[New Pos L]],Table13[[#This Row],[New Pos R]])</f>
        <v>38</v>
      </c>
      <c r="H2187">
        <f>IF(AND(Table13[[#This Row],[Direction]]="L",Table13[[#This Row],[Steps]]&gt;G2186,G2186&lt;&gt;0),1,0)</f>
        <v>0</v>
      </c>
      <c r="I2187">
        <f>IF(AND(Table13[[#This Row],[Direction]]="R",(G2186+Table13[[#This Row],[Steps]])&gt;100),1,0)</f>
        <v>0</v>
      </c>
      <c r="J2187">
        <f>IF(Table13[[#This Row],[POS]]=0,1,0)</f>
        <v>0</v>
      </c>
      <c r="K2187">
        <f>SUM(Table13[[#This Row],[prefix]],Table13[[#This Row],[Past zero L]],Table13[[#This Row],[Past Zero R]],Table13[[#This Row],[Is Zero]])</f>
        <v>0</v>
      </c>
    </row>
    <row r="2188" spans="1:11" ht="16" x14ac:dyDescent="0.2">
      <c r="A2188" s="1" t="s">
        <v>110</v>
      </c>
      <c r="B2188" t="str">
        <f>LEFT(Table13[[#This Row],[Input]],1)</f>
        <v>L</v>
      </c>
      <c r="C2188">
        <f>_xlfn.LET(_xlpm.steps,SUBSTITUTE(Table13[[#This Row],[Input]],Table13[[#This Row],[Direction]],""),VALUE(IF(LEN(_xlpm.steps)&gt;2,RIGHT(_xlpm.steps,2),_xlpm.steps)))</f>
        <v>81</v>
      </c>
      <c r="D2188">
        <f>_xlfn.LET(_xlpm.steps,SUBSTITUTE(Table13[[#This Row],[Input]],Table13[[#This Row],[Direction]],""),VALUE(IF(LEN(_xlpm.steps)&gt;2,LEFT(_xlpm.steps,LEN(_xlpm.steps)-2),0)))</f>
        <v>0</v>
      </c>
      <c r="E2188">
        <f>_xlfn.LET(_xlpm.dir,Table13[[#This Row],[Direction]],
IF(_xlpm.dir="L",
    IF(G2187-Table13[[#This Row],[Steps]]&lt;0,100+(G2187-Table13[[#This Row],[Steps]]),G2187-Table13[[#This Row],[Steps]]),
))</f>
        <v>57</v>
      </c>
      <c r="F2188">
        <f>_xlfn.LET(_xlpm.dir,Table13[[#This Row],[Direction]],
IF(_xlpm.dir="R",
    IF(G2187+Table13[[#This Row],[Steps]]&gt;99,(G2187+Table13[[#This Row],[Steps]])-100,G2187+Table13[[#This Row],[Steps]]),
))</f>
        <v>0</v>
      </c>
      <c r="G2188">
        <f>IF(Table13[[#This Row],[New Pos L]]&lt;&gt;0,Table13[[#This Row],[New Pos L]],Table13[[#This Row],[New Pos R]])</f>
        <v>57</v>
      </c>
      <c r="H2188">
        <f>IF(AND(Table13[[#This Row],[Direction]]="L",Table13[[#This Row],[Steps]]&gt;G2187,G2187&lt;&gt;0),1,0)</f>
        <v>1</v>
      </c>
      <c r="I2188">
        <f>IF(AND(Table13[[#This Row],[Direction]]="R",(G2187+Table13[[#This Row],[Steps]])&gt;100),1,0)</f>
        <v>0</v>
      </c>
      <c r="J2188">
        <f>IF(Table13[[#This Row],[POS]]=0,1,0)</f>
        <v>0</v>
      </c>
      <c r="K2188">
        <f>SUM(Table13[[#This Row],[prefix]],Table13[[#This Row],[Past zero L]],Table13[[#This Row],[Past Zero R]],Table13[[#This Row],[Is Zero]])</f>
        <v>1</v>
      </c>
    </row>
    <row r="2189" spans="1:11" ht="16" x14ac:dyDescent="0.2">
      <c r="A2189" s="1" t="s">
        <v>72</v>
      </c>
      <c r="B2189" t="str">
        <f>LEFT(Table13[[#This Row],[Input]],1)</f>
        <v>R</v>
      </c>
      <c r="C2189">
        <f>_xlfn.LET(_xlpm.steps,SUBSTITUTE(Table13[[#This Row],[Input]],Table13[[#This Row],[Direction]],""),VALUE(IF(LEN(_xlpm.steps)&gt;2,RIGHT(_xlpm.steps,2),_xlpm.steps)))</f>
        <v>43</v>
      </c>
      <c r="D2189">
        <f>_xlfn.LET(_xlpm.steps,SUBSTITUTE(Table13[[#This Row],[Input]],Table13[[#This Row],[Direction]],""),VALUE(IF(LEN(_xlpm.steps)&gt;2,LEFT(_xlpm.steps,LEN(_xlpm.steps)-2),0)))</f>
        <v>0</v>
      </c>
      <c r="E2189">
        <f>_xlfn.LET(_xlpm.dir,Table13[[#This Row],[Direction]],
IF(_xlpm.dir="L",
    IF(G2188-Table13[[#This Row],[Steps]]&lt;0,100+(G2188-Table13[[#This Row],[Steps]]),G2188-Table13[[#This Row],[Steps]]),
))</f>
        <v>0</v>
      </c>
      <c r="F2189">
        <f>_xlfn.LET(_xlpm.dir,Table13[[#This Row],[Direction]],
IF(_xlpm.dir="R",
    IF(G2188+Table13[[#This Row],[Steps]]&gt;99,(G2188+Table13[[#This Row],[Steps]])-100,G2188+Table13[[#This Row],[Steps]]),
))</f>
        <v>0</v>
      </c>
      <c r="G2189">
        <f>IF(Table13[[#This Row],[New Pos L]]&lt;&gt;0,Table13[[#This Row],[New Pos L]],Table13[[#This Row],[New Pos R]])</f>
        <v>0</v>
      </c>
      <c r="H2189">
        <f>IF(AND(Table13[[#This Row],[Direction]]="L",Table13[[#This Row],[Steps]]&gt;G2188,G2188&lt;&gt;0),1,0)</f>
        <v>0</v>
      </c>
      <c r="I2189">
        <f>IF(AND(Table13[[#This Row],[Direction]]="R",(G2188+Table13[[#This Row],[Steps]])&gt;100),1,0)</f>
        <v>0</v>
      </c>
      <c r="J2189">
        <f>IF(Table13[[#This Row],[POS]]=0,1,0)</f>
        <v>1</v>
      </c>
      <c r="K2189">
        <f>SUM(Table13[[#This Row],[prefix]],Table13[[#This Row],[Past zero L]],Table13[[#This Row],[Past Zero R]],Table13[[#This Row],[Is Zero]])</f>
        <v>1</v>
      </c>
    </row>
    <row r="2190" spans="1:11" ht="16" x14ac:dyDescent="0.2">
      <c r="A2190" s="1" t="s">
        <v>134</v>
      </c>
      <c r="B2190" t="str">
        <f>LEFT(Table13[[#This Row],[Input]],1)</f>
        <v>L</v>
      </c>
      <c r="C2190">
        <f>_xlfn.LET(_xlpm.steps,SUBSTITUTE(Table13[[#This Row],[Input]],Table13[[#This Row],[Direction]],""),VALUE(IF(LEN(_xlpm.steps)&gt;2,RIGHT(_xlpm.steps,2),_xlpm.steps)))</f>
        <v>95</v>
      </c>
      <c r="D2190">
        <f>_xlfn.LET(_xlpm.steps,SUBSTITUTE(Table13[[#This Row],[Input]],Table13[[#This Row],[Direction]],""),VALUE(IF(LEN(_xlpm.steps)&gt;2,LEFT(_xlpm.steps,LEN(_xlpm.steps)-2),0)))</f>
        <v>0</v>
      </c>
      <c r="E2190">
        <f>_xlfn.LET(_xlpm.dir,Table13[[#This Row],[Direction]],
IF(_xlpm.dir="L",
    IF(G2189-Table13[[#This Row],[Steps]]&lt;0,100+(G2189-Table13[[#This Row],[Steps]]),G2189-Table13[[#This Row],[Steps]]),
))</f>
        <v>5</v>
      </c>
      <c r="F2190">
        <f>_xlfn.LET(_xlpm.dir,Table13[[#This Row],[Direction]],
IF(_xlpm.dir="R",
    IF(G2189+Table13[[#This Row],[Steps]]&gt;99,(G2189+Table13[[#This Row],[Steps]])-100,G2189+Table13[[#This Row],[Steps]]),
))</f>
        <v>0</v>
      </c>
      <c r="G2190">
        <f>IF(Table13[[#This Row],[New Pos L]]&lt;&gt;0,Table13[[#This Row],[New Pos L]],Table13[[#This Row],[New Pos R]])</f>
        <v>5</v>
      </c>
      <c r="H2190">
        <f>IF(AND(Table13[[#This Row],[Direction]]="L",Table13[[#This Row],[Steps]]&gt;G2189,G2189&lt;&gt;0),1,0)</f>
        <v>0</v>
      </c>
      <c r="I2190">
        <f>IF(AND(Table13[[#This Row],[Direction]]="R",(G2189+Table13[[#This Row],[Steps]])&gt;100),1,0)</f>
        <v>0</v>
      </c>
      <c r="J2190">
        <f>IF(Table13[[#This Row],[POS]]=0,1,0)</f>
        <v>0</v>
      </c>
      <c r="K2190">
        <f>SUM(Table13[[#This Row],[prefix]],Table13[[#This Row],[Past zero L]],Table13[[#This Row],[Past Zero R]],Table13[[#This Row],[Is Zero]])</f>
        <v>0</v>
      </c>
    </row>
    <row r="2191" spans="1:11" ht="16" x14ac:dyDescent="0.2">
      <c r="A2191" s="1" t="s">
        <v>47</v>
      </c>
      <c r="B2191" t="str">
        <f>LEFT(Table13[[#This Row],[Input]],1)</f>
        <v>R</v>
      </c>
      <c r="C2191">
        <f>_xlfn.LET(_xlpm.steps,SUBSTITUTE(Table13[[#This Row],[Input]],Table13[[#This Row],[Direction]],""),VALUE(IF(LEN(_xlpm.steps)&gt;2,RIGHT(_xlpm.steps,2),_xlpm.steps)))</f>
        <v>97</v>
      </c>
      <c r="D2191">
        <f>_xlfn.LET(_xlpm.steps,SUBSTITUTE(Table13[[#This Row],[Input]],Table13[[#This Row],[Direction]],""),VALUE(IF(LEN(_xlpm.steps)&gt;2,LEFT(_xlpm.steps,LEN(_xlpm.steps)-2),0)))</f>
        <v>0</v>
      </c>
      <c r="E2191">
        <f>_xlfn.LET(_xlpm.dir,Table13[[#This Row],[Direction]],
IF(_xlpm.dir="L",
    IF(G2190-Table13[[#This Row],[Steps]]&lt;0,100+(G2190-Table13[[#This Row],[Steps]]),G2190-Table13[[#This Row],[Steps]]),
))</f>
        <v>0</v>
      </c>
      <c r="F2191">
        <f>_xlfn.LET(_xlpm.dir,Table13[[#This Row],[Direction]],
IF(_xlpm.dir="R",
    IF(G2190+Table13[[#This Row],[Steps]]&gt;99,(G2190+Table13[[#This Row],[Steps]])-100,G2190+Table13[[#This Row],[Steps]]),
))</f>
        <v>2</v>
      </c>
      <c r="G2191">
        <f>IF(Table13[[#This Row],[New Pos L]]&lt;&gt;0,Table13[[#This Row],[New Pos L]],Table13[[#This Row],[New Pos R]])</f>
        <v>2</v>
      </c>
      <c r="H2191">
        <f>IF(AND(Table13[[#This Row],[Direction]]="L",Table13[[#This Row],[Steps]]&gt;G2190,G2190&lt;&gt;0),1,0)</f>
        <v>0</v>
      </c>
      <c r="I2191">
        <f>IF(AND(Table13[[#This Row],[Direction]]="R",(G2190+Table13[[#This Row],[Steps]])&gt;100),1,0)</f>
        <v>1</v>
      </c>
      <c r="J2191">
        <f>IF(Table13[[#This Row],[POS]]=0,1,0)</f>
        <v>0</v>
      </c>
      <c r="K2191">
        <f>SUM(Table13[[#This Row],[prefix]],Table13[[#This Row],[Past zero L]],Table13[[#This Row],[Past Zero R]],Table13[[#This Row],[Is Zero]])</f>
        <v>1</v>
      </c>
    </row>
    <row r="2192" spans="1:11" ht="16" x14ac:dyDescent="0.2">
      <c r="A2192" s="1" t="s">
        <v>257</v>
      </c>
      <c r="B2192" t="str">
        <f>LEFT(Table13[[#This Row],[Input]],1)</f>
        <v>R</v>
      </c>
      <c r="C2192">
        <f>_xlfn.LET(_xlpm.steps,SUBSTITUTE(Table13[[#This Row],[Input]],Table13[[#This Row],[Direction]],""),VALUE(IF(LEN(_xlpm.steps)&gt;2,RIGHT(_xlpm.steps,2),_xlpm.steps)))</f>
        <v>27</v>
      </c>
      <c r="D2192">
        <f>_xlfn.LET(_xlpm.steps,SUBSTITUTE(Table13[[#This Row],[Input]],Table13[[#This Row],[Direction]],""),VALUE(IF(LEN(_xlpm.steps)&gt;2,LEFT(_xlpm.steps,LEN(_xlpm.steps)-2),0)))</f>
        <v>5</v>
      </c>
      <c r="E2192">
        <f>_xlfn.LET(_xlpm.dir,Table13[[#This Row],[Direction]],
IF(_xlpm.dir="L",
    IF(G2191-Table13[[#This Row],[Steps]]&lt;0,100+(G2191-Table13[[#This Row],[Steps]]),G2191-Table13[[#This Row],[Steps]]),
))</f>
        <v>0</v>
      </c>
      <c r="F2192">
        <f>_xlfn.LET(_xlpm.dir,Table13[[#This Row],[Direction]],
IF(_xlpm.dir="R",
    IF(G2191+Table13[[#This Row],[Steps]]&gt;99,(G2191+Table13[[#This Row],[Steps]])-100,G2191+Table13[[#This Row],[Steps]]),
))</f>
        <v>29</v>
      </c>
      <c r="G2192">
        <f>IF(Table13[[#This Row],[New Pos L]]&lt;&gt;0,Table13[[#This Row],[New Pos L]],Table13[[#This Row],[New Pos R]])</f>
        <v>29</v>
      </c>
      <c r="H2192">
        <f>IF(AND(Table13[[#This Row],[Direction]]="L",Table13[[#This Row],[Steps]]&gt;G2191,G2191&lt;&gt;0),1,0)</f>
        <v>0</v>
      </c>
      <c r="I2192">
        <f>IF(AND(Table13[[#This Row],[Direction]]="R",(G2191+Table13[[#This Row],[Steps]])&gt;100),1,0)</f>
        <v>0</v>
      </c>
      <c r="J2192">
        <f>IF(Table13[[#This Row],[POS]]=0,1,0)</f>
        <v>0</v>
      </c>
      <c r="K2192">
        <f>SUM(Table13[[#This Row],[prefix]],Table13[[#This Row],[Past zero L]],Table13[[#This Row],[Past Zero R]],Table13[[#This Row],[Is Zero]])</f>
        <v>5</v>
      </c>
    </row>
    <row r="2193" spans="1:11" ht="16" x14ac:dyDescent="0.2">
      <c r="A2193" s="1" t="s">
        <v>296</v>
      </c>
      <c r="B2193" t="str">
        <f>LEFT(Table13[[#This Row],[Input]],1)</f>
        <v>R</v>
      </c>
      <c r="C2193">
        <f>_xlfn.LET(_xlpm.steps,SUBSTITUTE(Table13[[#This Row],[Input]],Table13[[#This Row],[Direction]],""),VALUE(IF(LEN(_xlpm.steps)&gt;2,RIGHT(_xlpm.steps,2),_xlpm.steps)))</f>
        <v>19</v>
      </c>
      <c r="D2193">
        <f>_xlfn.LET(_xlpm.steps,SUBSTITUTE(Table13[[#This Row],[Input]],Table13[[#This Row],[Direction]],""),VALUE(IF(LEN(_xlpm.steps)&gt;2,LEFT(_xlpm.steps,LEN(_xlpm.steps)-2),0)))</f>
        <v>0</v>
      </c>
      <c r="E2193">
        <f>_xlfn.LET(_xlpm.dir,Table13[[#This Row],[Direction]],
IF(_xlpm.dir="L",
    IF(G2192-Table13[[#This Row],[Steps]]&lt;0,100+(G2192-Table13[[#This Row],[Steps]]),G2192-Table13[[#This Row],[Steps]]),
))</f>
        <v>0</v>
      </c>
      <c r="F2193">
        <f>_xlfn.LET(_xlpm.dir,Table13[[#This Row],[Direction]],
IF(_xlpm.dir="R",
    IF(G2192+Table13[[#This Row],[Steps]]&gt;99,(G2192+Table13[[#This Row],[Steps]])-100,G2192+Table13[[#This Row],[Steps]]),
))</f>
        <v>48</v>
      </c>
      <c r="G2193">
        <f>IF(Table13[[#This Row],[New Pos L]]&lt;&gt;0,Table13[[#This Row],[New Pos L]],Table13[[#This Row],[New Pos R]])</f>
        <v>48</v>
      </c>
      <c r="H2193">
        <f>IF(AND(Table13[[#This Row],[Direction]]="L",Table13[[#This Row],[Steps]]&gt;G2192,G2192&lt;&gt;0),1,0)</f>
        <v>0</v>
      </c>
      <c r="I2193">
        <f>IF(AND(Table13[[#This Row],[Direction]]="R",(G2192+Table13[[#This Row],[Steps]])&gt;100),1,0)</f>
        <v>0</v>
      </c>
      <c r="J2193">
        <f>IF(Table13[[#This Row],[POS]]=0,1,0)</f>
        <v>0</v>
      </c>
      <c r="K2193">
        <f>SUM(Table13[[#This Row],[prefix]],Table13[[#This Row],[Past zero L]],Table13[[#This Row],[Past Zero R]],Table13[[#This Row],[Is Zero]])</f>
        <v>0</v>
      </c>
    </row>
    <row r="2194" spans="1:11" ht="16" x14ac:dyDescent="0.2">
      <c r="A2194" s="1" t="s">
        <v>580</v>
      </c>
      <c r="B2194" t="str">
        <f>LEFT(Table13[[#This Row],[Input]],1)</f>
        <v>L</v>
      </c>
      <c r="C2194">
        <f>_xlfn.LET(_xlpm.steps,SUBSTITUTE(Table13[[#This Row],[Input]],Table13[[#This Row],[Direction]],""),VALUE(IF(LEN(_xlpm.steps)&gt;2,RIGHT(_xlpm.steps,2),_xlpm.steps)))</f>
        <v>51</v>
      </c>
      <c r="D2194">
        <f>_xlfn.LET(_xlpm.steps,SUBSTITUTE(Table13[[#This Row],[Input]],Table13[[#This Row],[Direction]],""),VALUE(IF(LEN(_xlpm.steps)&gt;2,LEFT(_xlpm.steps,LEN(_xlpm.steps)-2),0)))</f>
        <v>6</v>
      </c>
      <c r="E2194">
        <f>_xlfn.LET(_xlpm.dir,Table13[[#This Row],[Direction]],
IF(_xlpm.dir="L",
    IF(G2193-Table13[[#This Row],[Steps]]&lt;0,100+(G2193-Table13[[#This Row],[Steps]]),G2193-Table13[[#This Row],[Steps]]),
))</f>
        <v>97</v>
      </c>
      <c r="F2194">
        <f>_xlfn.LET(_xlpm.dir,Table13[[#This Row],[Direction]],
IF(_xlpm.dir="R",
    IF(G2193+Table13[[#This Row],[Steps]]&gt;99,(G2193+Table13[[#This Row],[Steps]])-100,G2193+Table13[[#This Row],[Steps]]),
))</f>
        <v>0</v>
      </c>
      <c r="G2194">
        <f>IF(Table13[[#This Row],[New Pos L]]&lt;&gt;0,Table13[[#This Row],[New Pos L]],Table13[[#This Row],[New Pos R]])</f>
        <v>97</v>
      </c>
      <c r="H2194">
        <f>IF(AND(Table13[[#This Row],[Direction]]="L",Table13[[#This Row],[Steps]]&gt;G2193,G2193&lt;&gt;0),1,0)</f>
        <v>1</v>
      </c>
      <c r="I2194">
        <f>IF(AND(Table13[[#This Row],[Direction]]="R",(G2193+Table13[[#This Row],[Steps]])&gt;100),1,0)</f>
        <v>0</v>
      </c>
      <c r="J2194">
        <f>IF(Table13[[#This Row],[POS]]=0,1,0)</f>
        <v>0</v>
      </c>
      <c r="K2194">
        <f>SUM(Table13[[#This Row],[prefix]],Table13[[#This Row],[Past zero L]],Table13[[#This Row],[Past Zero R]],Table13[[#This Row],[Is Zero]])</f>
        <v>7</v>
      </c>
    </row>
    <row r="2195" spans="1:11" ht="16" x14ac:dyDescent="0.2">
      <c r="A2195" s="1" t="s">
        <v>4</v>
      </c>
      <c r="B2195" t="str">
        <f>LEFT(Table13[[#This Row],[Input]],1)</f>
        <v>R</v>
      </c>
      <c r="C2195">
        <f>_xlfn.LET(_xlpm.steps,SUBSTITUTE(Table13[[#This Row],[Input]],Table13[[#This Row],[Direction]],""),VALUE(IF(LEN(_xlpm.steps)&gt;2,RIGHT(_xlpm.steps,2),_xlpm.steps)))</f>
        <v>3</v>
      </c>
      <c r="D2195">
        <f>_xlfn.LET(_xlpm.steps,SUBSTITUTE(Table13[[#This Row],[Input]],Table13[[#This Row],[Direction]],""),VALUE(IF(LEN(_xlpm.steps)&gt;2,LEFT(_xlpm.steps,LEN(_xlpm.steps)-2),0)))</f>
        <v>0</v>
      </c>
      <c r="E2195">
        <f>_xlfn.LET(_xlpm.dir,Table13[[#This Row],[Direction]],
IF(_xlpm.dir="L",
    IF(G2194-Table13[[#This Row],[Steps]]&lt;0,100+(G2194-Table13[[#This Row],[Steps]]),G2194-Table13[[#This Row],[Steps]]),
))</f>
        <v>0</v>
      </c>
      <c r="F2195">
        <f>_xlfn.LET(_xlpm.dir,Table13[[#This Row],[Direction]],
IF(_xlpm.dir="R",
    IF(G2194+Table13[[#This Row],[Steps]]&gt;99,(G2194+Table13[[#This Row],[Steps]])-100,G2194+Table13[[#This Row],[Steps]]),
))</f>
        <v>0</v>
      </c>
      <c r="G2195">
        <f>IF(Table13[[#This Row],[New Pos L]]&lt;&gt;0,Table13[[#This Row],[New Pos L]],Table13[[#This Row],[New Pos R]])</f>
        <v>0</v>
      </c>
      <c r="H2195">
        <f>IF(AND(Table13[[#This Row],[Direction]]="L",Table13[[#This Row],[Steps]]&gt;G2194,G2194&lt;&gt;0),1,0)</f>
        <v>0</v>
      </c>
      <c r="I2195">
        <f>IF(AND(Table13[[#This Row],[Direction]]="R",(G2194+Table13[[#This Row],[Steps]])&gt;100),1,0)</f>
        <v>0</v>
      </c>
      <c r="J2195">
        <f>IF(Table13[[#This Row],[POS]]=0,1,0)</f>
        <v>1</v>
      </c>
      <c r="K2195">
        <f>SUM(Table13[[#This Row],[prefix]],Table13[[#This Row],[Past zero L]],Table13[[#This Row],[Past Zero R]],Table13[[#This Row],[Is Zero]])</f>
        <v>1</v>
      </c>
    </row>
    <row r="2196" spans="1:11" ht="16" x14ac:dyDescent="0.2">
      <c r="A2196" s="1" t="s">
        <v>581</v>
      </c>
      <c r="B2196" t="str">
        <f>LEFT(Table13[[#This Row],[Input]],1)</f>
        <v>L</v>
      </c>
      <c r="C2196">
        <f>_xlfn.LET(_xlpm.steps,SUBSTITUTE(Table13[[#This Row],[Input]],Table13[[#This Row],[Direction]],""),VALUE(IF(LEN(_xlpm.steps)&gt;2,RIGHT(_xlpm.steps,2),_xlpm.steps)))</f>
        <v>86</v>
      </c>
      <c r="D2196">
        <f>_xlfn.LET(_xlpm.steps,SUBSTITUTE(Table13[[#This Row],[Input]],Table13[[#This Row],[Direction]],""),VALUE(IF(LEN(_xlpm.steps)&gt;2,LEFT(_xlpm.steps,LEN(_xlpm.steps)-2),0)))</f>
        <v>3</v>
      </c>
      <c r="E2196">
        <f>_xlfn.LET(_xlpm.dir,Table13[[#This Row],[Direction]],
IF(_xlpm.dir="L",
    IF(G2195-Table13[[#This Row],[Steps]]&lt;0,100+(G2195-Table13[[#This Row],[Steps]]),G2195-Table13[[#This Row],[Steps]]),
))</f>
        <v>14</v>
      </c>
      <c r="F2196">
        <f>_xlfn.LET(_xlpm.dir,Table13[[#This Row],[Direction]],
IF(_xlpm.dir="R",
    IF(G2195+Table13[[#This Row],[Steps]]&gt;99,(G2195+Table13[[#This Row],[Steps]])-100,G2195+Table13[[#This Row],[Steps]]),
))</f>
        <v>0</v>
      </c>
      <c r="G2196">
        <f>IF(Table13[[#This Row],[New Pos L]]&lt;&gt;0,Table13[[#This Row],[New Pos L]],Table13[[#This Row],[New Pos R]])</f>
        <v>14</v>
      </c>
      <c r="H2196">
        <f>IF(AND(Table13[[#This Row],[Direction]]="L",Table13[[#This Row],[Steps]]&gt;G2195,G2195&lt;&gt;0),1,0)</f>
        <v>0</v>
      </c>
      <c r="I2196">
        <f>IF(AND(Table13[[#This Row],[Direction]]="R",(G2195+Table13[[#This Row],[Steps]])&gt;100),1,0)</f>
        <v>0</v>
      </c>
      <c r="J2196">
        <f>IF(Table13[[#This Row],[POS]]=0,1,0)</f>
        <v>0</v>
      </c>
      <c r="K2196">
        <f>SUM(Table13[[#This Row],[prefix]],Table13[[#This Row],[Past zero L]],Table13[[#This Row],[Past Zero R]],Table13[[#This Row],[Is Zero]])</f>
        <v>3</v>
      </c>
    </row>
    <row r="2197" spans="1:11" ht="16" x14ac:dyDescent="0.2">
      <c r="A2197" s="1" t="s">
        <v>27</v>
      </c>
      <c r="B2197" t="str">
        <f>LEFT(Table13[[#This Row],[Input]],1)</f>
        <v>L</v>
      </c>
      <c r="C2197">
        <f>_xlfn.LET(_xlpm.steps,SUBSTITUTE(Table13[[#This Row],[Input]],Table13[[#This Row],[Direction]],""),VALUE(IF(LEN(_xlpm.steps)&gt;2,RIGHT(_xlpm.steps,2),_xlpm.steps)))</f>
        <v>14</v>
      </c>
      <c r="D2197">
        <f>_xlfn.LET(_xlpm.steps,SUBSTITUTE(Table13[[#This Row],[Input]],Table13[[#This Row],[Direction]],""),VALUE(IF(LEN(_xlpm.steps)&gt;2,LEFT(_xlpm.steps,LEN(_xlpm.steps)-2),0)))</f>
        <v>0</v>
      </c>
      <c r="E2197">
        <f>_xlfn.LET(_xlpm.dir,Table13[[#This Row],[Direction]],
IF(_xlpm.dir="L",
    IF(G2196-Table13[[#This Row],[Steps]]&lt;0,100+(G2196-Table13[[#This Row],[Steps]]),G2196-Table13[[#This Row],[Steps]]),
))</f>
        <v>0</v>
      </c>
      <c r="F2197">
        <f>_xlfn.LET(_xlpm.dir,Table13[[#This Row],[Direction]],
IF(_xlpm.dir="R",
    IF(G2196+Table13[[#This Row],[Steps]]&gt;99,(G2196+Table13[[#This Row],[Steps]])-100,G2196+Table13[[#This Row],[Steps]]),
))</f>
        <v>0</v>
      </c>
      <c r="G2197">
        <f>IF(Table13[[#This Row],[New Pos L]]&lt;&gt;0,Table13[[#This Row],[New Pos L]],Table13[[#This Row],[New Pos R]])</f>
        <v>0</v>
      </c>
      <c r="H2197">
        <f>IF(AND(Table13[[#This Row],[Direction]]="L",Table13[[#This Row],[Steps]]&gt;G2196,G2196&lt;&gt;0),1,0)</f>
        <v>0</v>
      </c>
      <c r="I2197">
        <f>IF(AND(Table13[[#This Row],[Direction]]="R",(G2196+Table13[[#This Row],[Steps]])&gt;100),1,0)</f>
        <v>0</v>
      </c>
      <c r="J2197">
        <f>IF(Table13[[#This Row],[POS]]=0,1,0)</f>
        <v>1</v>
      </c>
      <c r="K2197">
        <f>SUM(Table13[[#This Row],[prefix]],Table13[[#This Row],[Past zero L]],Table13[[#This Row],[Past Zero R]],Table13[[#This Row],[Is Zero]])</f>
        <v>1</v>
      </c>
    </row>
    <row r="2198" spans="1:11" ht="16" x14ac:dyDescent="0.2">
      <c r="A2198" s="1" t="s">
        <v>152</v>
      </c>
      <c r="B2198" t="str">
        <f>LEFT(Table13[[#This Row],[Input]],1)</f>
        <v>L</v>
      </c>
      <c r="C2198">
        <f>_xlfn.LET(_xlpm.steps,SUBSTITUTE(Table13[[#This Row],[Input]],Table13[[#This Row],[Direction]],""),VALUE(IF(LEN(_xlpm.steps)&gt;2,RIGHT(_xlpm.steps,2),_xlpm.steps)))</f>
        <v>92</v>
      </c>
      <c r="D2198">
        <f>_xlfn.LET(_xlpm.steps,SUBSTITUTE(Table13[[#This Row],[Input]],Table13[[#This Row],[Direction]],""),VALUE(IF(LEN(_xlpm.steps)&gt;2,LEFT(_xlpm.steps,LEN(_xlpm.steps)-2),0)))</f>
        <v>9</v>
      </c>
      <c r="E2198">
        <f>_xlfn.LET(_xlpm.dir,Table13[[#This Row],[Direction]],
IF(_xlpm.dir="L",
    IF(G2197-Table13[[#This Row],[Steps]]&lt;0,100+(G2197-Table13[[#This Row],[Steps]]),G2197-Table13[[#This Row],[Steps]]),
))</f>
        <v>8</v>
      </c>
      <c r="F2198">
        <f>_xlfn.LET(_xlpm.dir,Table13[[#This Row],[Direction]],
IF(_xlpm.dir="R",
    IF(G2197+Table13[[#This Row],[Steps]]&gt;99,(G2197+Table13[[#This Row],[Steps]])-100,G2197+Table13[[#This Row],[Steps]]),
))</f>
        <v>0</v>
      </c>
      <c r="G2198">
        <f>IF(Table13[[#This Row],[New Pos L]]&lt;&gt;0,Table13[[#This Row],[New Pos L]],Table13[[#This Row],[New Pos R]])</f>
        <v>8</v>
      </c>
      <c r="H2198">
        <f>IF(AND(Table13[[#This Row],[Direction]]="L",Table13[[#This Row],[Steps]]&gt;G2197,G2197&lt;&gt;0),1,0)</f>
        <v>0</v>
      </c>
      <c r="I2198">
        <f>IF(AND(Table13[[#This Row],[Direction]]="R",(G2197+Table13[[#This Row],[Steps]])&gt;100),1,0)</f>
        <v>0</v>
      </c>
      <c r="J2198">
        <f>IF(Table13[[#This Row],[POS]]=0,1,0)</f>
        <v>0</v>
      </c>
      <c r="K2198">
        <f>SUM(Table13[[#This Row],[prefix]],Table13[[#This Row],[Past zero L]],Table13[[#This Row],[Past Zero R]],Table13[[#This Row],[Is Zero]])</f>
        <v>9</v>
      </c>
    </row>
    <row r="2199" spans="1:11" ht="16" x14ac:dyDescent="0.2">
      <c r="A2199" s="1" t="s">
        <v>350</v>
      </c>
      <c r="B2199" t="str">
        <f>LEFT(Table13[[#This Row],[Input]],1)</f>
        <v>R</v>
      </c>
      <c r="C2199">
        <f>_xlfn.LET(_xlpm.steps,SUBSTITUTE(Table13[[#This Row],[Input]],Table13[[#This Row],[Direction]],""),VALUE(IF(LEN(_xlpm.steps)&gt;2,RIGHT(_xlpm.steps,2),_xlpm.steps)))</f>
        <v>92</v>
      </c>
      <c r="D2199">
        <f>_xlfn.LET(_xlpm.steps,SUBSTITUTE(Table13[[#This Row],[Input]],Table13[[#This Row],[Direction]],""),VALUE(IF(LEN(_xlpm.steps)&gt;2,LEFT(_xlpm.steps,LEN(_xlpm.steps)-2),0)))</f>
        <v>2</v>
      </c>
      <c r="E2199">
        <f>_xlfn.LET(_xlpm.dir,Table13[[#This Row],[Direction]],
IF(_xlpm.dir="L",
    IF(G2198-Table13[[#This Row],[Steps]]&lt;0,100+(G2198-Table13[[#This Row],[Steps]]),G2198-Table13[[#This Row],[Steps]]),
))</f>
        <v>0</v>
      </c>
      <c r="F2199">
        <f>_xlfn.LET(_xlpm.dir,Table13[[#This Row],[Direction]],
IF(_xlpm.dir="R",
    IF(G2198+Table13[[#This Row],[Steps]]&gt;99,(G2198+Table13[[#This Row],[Steps]])-100,G2198+Table13[[#This Row],[Steps]]),
))</f>
        <v>0</v>
      </c>
      <c r="G2199">
        <f>IF(Table13[[#This Row],[New Pos L]]&lt;&gt;0,Table13[[#This Row],[New Pos L]],Table13[[#This Row],[New Pos R]])</f>
        <v>0</v>
      </c>
      <c r="H2199">
        <f>IF(AND(Table13[[#This Row],[Direction]]="L",Table13[[#This Row],[Steps]]&gt;G2198,G2198&lt;&gt;0),1,0)</f>
        <v>0</v>
      </c>
      <c r="I2199">
        <f>IF(AND(Table13[[#This Row],[Direction]]="R",(G2198+Table13[[#This Row],[Steps]])&gt;100),1,0)</f>
        <v>0</v>
      </c>
      <c r="J2199">
        <f>IF(Table13[[#This Row],[POS]]=0,1,0)</f>
        <v>1</v>
      </c>
      <c r="K2199">
        <f>SUM(Table13[[#This Row],[prefix]],Table13[[#This Row],[Past zero L]],Table13[[#This Row],[Past Zero R]],Table13[[#This Row],[Is Zero]])</f>
        <v>3</v>
      </c>
    </row>
    <row r="2200" spans="1:11" ht="16" x14ac:dyDescent="0.2">
      <c r="A2200" s="1" t="s">
        <v>21</v>
      </c>
      <c r="B2200" t="str">
        <f>LEFT(Table13[[#This Row],[Input]],1)</f>
        <v>L</v>
      </c>
      <c r="C2200">
        <f>_xlfn.LET(_xlpm.steps,SUBSTITUTE(Table13[[#This Row],[Input]],Table13[[#This Row],[Direction]],""),VALUE(IF(LEN(_xlpm.steps)&gt;2,RIGHT(_xlpm.steps,2),_xlpm.steps)))</f>
        <v>36</v>
      </c>
      <c r="D2200">
        <f>_xlfn.LET(_xlpm.steps,SUBSTITUTE(Table13[[#This Row],[Input]],Table13[[#This Row],[Direction]],""),VALUE(IF(LEN(_xlpm.steps)&gt;2,LEFT(_xlpm.steps,LEN(_xlpm.steps)-2),0)))</f>
        <v>0</v>
      </c>
      <c r="E2200">
        <f>_xlfn.LET(_xlpm.dir,Table13[[#This Row],[Direction]],
IF(_xlpm.dir="L",
    IF(G2199-Table13[[#This Row],[Steps]]&lt;0,100+(G2199-Table13[[#This Row],[Steps]]),G2199-Table13[[#This Row],[Steps]]),
))</f>
        <v>64</v>
      </c>
      <c r="F2200">
        <f>_xlfn.LET(_xlpm.dir,Table13[[#This Row],[Direction]],
IF(_xlpm.dir="R",
    IF(G2199+Table13[[#This Row],[Steps]]&gt;99,(G2199+Table13[[#This Row],[Steps]])-100,G2199+Table13[[#This Row],[Steps]]),
))</f>
        <v>0</v>
      </c>
      <c r="G2200">
        <f>IF(Table13[[#This Row],[New Pos L]]&lt;&gt;0,Table13[[#This Row],[New Pos L]],Table13[[#This Row],[New Pos R]])</f>
        <v>64</v>
      </c>
      <c r="H2200">
        <f>IF(AND(Table13[[#This Row],[Direction]]="L",Table13[[#This Row],[Steps]]&gt;G2199,G2199&lt;&gt;0),1,0)</f>
        <v>0</v>
      </c>
      <c r="I2200">
        <f>IF(AND(Table13[[#This Row],[Direction]]="R",(G2199+Table13[[#This Row],[Steps]])&gt;100),1,0)</f>
        <v>0</v>
      </c>
      <c r="J2200">
        <f>IF(Table13[[#This Row],[POS]]=0,1,0)</f>
        <v>0</v>
      </c>
      <c r="K2200">
        <f>SUM(Table13[[#This Row],[prefix]],Table13[[#This Row],[Past zero L]],Table13[[#This Row],[Past Zero R]],Table13[[#This Row],[Is Zero]])</f>
        <v>0</v>
      </c>
    </row>
    <row r="2201" spans="1:11" ht="16" x14ac:dyDescent="0.2">
      <c r="A2201" s="1" t="s">
        <v>138</v>
      </c>
      <c r="B2201" t="str">
        <f>LEFT(Table13[[#This Row],[Input]],1)</f>
        <v>L</v>
      </c>
      <c r="C2201">
        <f>_xlfn.LET(_xlpm.steps,SUBSTITUTE(Table13[[#This Row],[Input]],Table13[[#This Row],[Direction]],""),VALUE(IF(LEN(_xlpm.steps)&gt;2,RIGHT(_xlpm.steps,2),_xlpm.steps)))</f>
        <v>94</v>
      </c>
      <c r="D2201">
        <f>_xlfn.LET(_xlpm.steps,SUBSTITUTE(Table13[[#This Row],[Input]],Table13[[#This Row],[Direction]],""),VALUE(IF(LEN(_xlpm.steps)&gt;2,LEFT(_xlpm.steps,LEN(_xlpm.steps)-2),0)))</f>
        <v>0</v>
      </c>
      <c r="E2201">
        <f>_xlfn.LET(_xlpm.dir,Table13[[#This Row],[Direction]],
IF(_xlpm.dir="L",
    IF(G2200-Table13[[#This Row],[Steps]]&lt;0,100+(G2200-Table13[[#This Row],[Steps]]),G2200-Table13[[#This Row],[Steps]]),
))</f>
        <v>70</v>
      </c>
      <c r="F2201">
        <f>_xlfn.LET(_xlpm.dir,Table13[[#This Row],[Direction]],
IF(_xlpm.dir="R",
    IF(G2200+Table13[[#This Row],[Steps]]&gt;99,(G2200+Table13[[#This Row],[Steps]])-100,G2200+Table13[[#This Row],[Steps]]),
))</f>
        <v>0</v>
      </c>
      <c r="G2201">
        <f>IF(Table13[[#This Row],[New Pos L]]&lt;&gt;0,Table13[[#This Row],[New Pos L]],Table13[[#This Row],[New Pos R]])</f>
        <v>70</v>
      </c>
      <c r="H2201">
        <f>IF(AND(Table13[[#This Row],[Direction]]="L",Table13[[#This Row],[Steps]]&gt;G2200,G2200&lt;&gt;0),1,0)</f>
        <v>1</v>
      </c>
      <c r="I2201">
        <f>IF(AND(Table13[[#This Row],[Direction]]="R",(G2200+Table13[[#This Row],[Steps]])&gt;100),1,0)</f>
        <v>0</v>
      </c>
      <c r="J2201">
        <f>IF(Table13[[#This Row],[POS]]=0,1,0)</f>
        <v>0</v>
      </c>
      <c r="K2201">
        <f>SUM(Table13[[#This Row],[prefix]],Table13[[#This Row],[Past zero L]],Table13[[#This Row],[Past Zero R]],Table13[[#This Row],[Is Zero]])</f>
        <v>1</v>
      </c>
    </row>
    <row r="2202" spans="1:11" ht="16" x14ac:dyDescent="0.2">
      <c r="A2202" s="1" t="s">
        <v>148</v>
      </c>
      <c r="B2202" t="str">
        <f>LEFT(Table13[[#This Row],[Input]],1)</f>
        <v>R</v>
      </c>
      <c r="C2202">
        <f>_xlfn.LET(_xlpm.steps,SUBSTITUTE(Table13[[#This Row],[Input]],Table13[[#This Row],[Direction]],""),VALUE(IF(LEN(_xlpm.steps)&gt;2,RIGHT(_xlpm.steps,2),_xlpm.steps)))</f>
        <v>80</v>
      </c>
      <c r="D2202">
        <f>_xlfn.LET(_xlpm.steps,SUBSTITUTE(Table13[[#This Row],[Input]],Table13[[#This Row],[Direction]],""),VALUE(IF(LEN(_xlpm.steps)&gt;2,LEFT(_xlpm.steps,LEN(_xlpm.steps)-2),0)))</f>
        <v>0</v>
      </c>
      <c r="E2202">
        <f>_xlfn.LET(_xlpm.dir,Table13[[#This Row],[Direction]],
IF(_xlpm.dir="L",
    IF(G2201-Table13[[#This Row],[Steps]]&lt;0,100+(G2201-Table13[[#This Row],[Steps]]),G2201-Table13[[#This Row],[Steps]]),
))</f>
        <v>0</v>
      </c>
      <c r="F2202">
        <f>_xlfn.LET(_xlpm.dir,Table13[[#This Row],[Direction]],
IF(_xlpm.dir="R",
    IF(G2201+Table13[[#This Row],[Steps]]&gt;99,(G2201+Table13[[#This Row],[Steps]])-100,G2201+Table13[[#This Row],[Steps]]),
))</f>
        <v>50</v>
      </c>
      <c r="G2202">
        <f>IF(Table13[[#This Row],[New Pos L]]&lt;&gt;0,Table13[[#This Row],[New Pos L]],Table13[[#This Row],[New Pos R]])</f>
        <v>50</v>
      </c>
      <c r="H2202">
        <f>IF(AND(Table13[[#This Row],[Direction]]="L",Table13[[#This Row],[Steps]]&gt;G2201,G2201&lt;&gt;0),1,0)</f>
        <v>0</v>
      </c>
      <c r="I2202">
        <f>IF(AND(Table13[[#This Row],[Direction]]="R",(G2201+Table13[[#This Row],[Steps]])&gt;100),1,0)</f>
        <v>1</v>
      </c>
      <c r="J2202">
        <f>IF(Table13[[#This Row],[POS]]=0,1,0)</f>
        <v>0</v>
      </c>
      <c r="K2202">
        <f>SUM(Table13[[#This Row],[prefix]],Table13[[#This Row],[Past zero L]],Table13[[#This Row],[Past Zero R]],Table13[[#This Row],[Is Zero]])</f>
        <v>1</v>
      </c>
    </row>
    <row r="2203" spans="1:11" ht="16" x14ac:dyDescent="0.2">
      <c r="A2203" s="1" t="s">
        <v>74</v>
      </c>
      <c r="B2203" t="str">
        <f>LEFT(Table13[[#This Row],[Input]],1)</f>
        <v>R</v>
      </c>
      <c r="C2203">
        <f>_xlfn.LET(_xlpm.steps,SUBSTITUTE(Table13[[#This Row],[Input]],Table13[[#This Row],[Direction]],""),VALUE(IF(LEN(_xlpm.steps)&gt;2,RIGHT(_xlpm.steps,2),_xlpm.steps)))</f>
        <v>93</v>
      </c>
      <c r="D2203">
        <f>_xlfn.LET(_xlpm.steps,SUBSTITUTE(Table13[[#This Row],[Input]],Table13[[#This Row],[Direction]],""),VALUE(IF(LEN(_xlpm.steps)&gt;2,LEFT(_xlpm.steps,LEN(_xlpm.steps)-2),0)))</f>
        <v>0</v>
      </c>
      <c r="E2203">
        <f>_xlfn.LET(_xlpm.dir,Table13[[#This Row],[Direction]],
IF(_xlpm.dir="L",
    IF(G2202-Table13[[#This Row],[Steps]]&lt;0,100+(G2202-Table13[[#This Row],[Steps]]),G2202-Table13[[#This Row],[Steps]]),
))</f>
        <v>0</v>
      </c>
      <c r="F2203">
        <f>_xlfn.LET(_xlpm.dir,Table13[[#This Row],[Direction]],
IF(_xlpm.dir="R",
    IF(G2202+Table13[[#This Row],[Steps]]&gt;99,(G2202+Table13[[#This Row],[Steps]])-100,G2202+Table13[[#This Row],[Steps]]),
))</f>
        <v>43</v>
      </c>
      <c r="G2203">
        <f>IF(Table13[[#This Row],[New Pos L]]&lt;&gt;0,Table13[[#This Row],[New Pos L]],Table13[[#This Row],[New Pos R]])</f>
        <v>43</v>
      </c>
      <c r="H2203">
        <f>IF(AND(Table13[[#This Row],[Direction]]="L",Table13[[#This Row],[Steps]]&gt;G2202,G2202&lt;&gt;0),1,0)</f>
        <v>0</v>
      </c>
      <c r="I2203">
        <f>IF(AND(Table13[[#This Row],[Direction]]="R",(G2202+Table13[[#This Row],[Steps]])&gt;100),1,0)</f>
        <v>1</v>
      </c>
      <c r="J2203">
        <f>IF(Table13[[#This Row],[POS]]=0,1,0)</f>
        <v>0</v>
      </c>
      <c r="K2203">
        <f>SUM(Table13[[#This Row],[prefix]],Table13[[#This Row],[Past zero L]],Table13[[#This Row],[Past Zero R]],Table13[[#This Row],[Is Zero]])</f>
        <v>1</v>
      </c>
    </row>
    <row r="2204" spans="1:11" ht="16" x14ac:dyDescent="0.2">
      <c r="A2204" s="1" t="s">
        <v>16</v>
      </c>
      <c r="B2204" t="str">
        <f>LEFT(Table13[[#This Row],[Input]],1)</f>
        <v>L</v>
      </c>
      <c r="C2204">
        <f>_xlfn.LET(_xlpm.steps,SUBSTITUTE(Table13[[#This Row],[Input]],Table13[[#This Row],[Direction]],""),VALUE(IF(LEN(_xlpm.steps)&gt;2,RIGHT(_xlpm.steps,2),_xlpm.steps)))</f>
        <v>10</v>
      </c>
      <c r="D2204">
        <f>_xlfn.LET(_xlpm.steps,SUBSTITUTE(Table13[[#This Row],[Input]],Table13[[#This Row],[Direction]],""),VALUE(IF(LEN(_xlpm.steps)&gt;2,LEFT(_xlpm.steps,LEN(_xlpm.steps)-2),0)))</f>
        <v>0</v>
      </c>
      <c r="E2204">
        <f>_xlfn.LET(_xlpm.dir,Table13[[#This Row],[Direction]],
IF(_xlpm.dir="L",
    IF(G2203-Table13[[#This Row],[Steps]]&lt;0,100+(G2203-Table13[[#This Row],[Steps]]),G2203-Table13[[#This Row],[Steps]]),
))</f>
        <v>33</v>
      </c>
      <c r="F2204">
        <f>_xlfn.LET(_xlpm.dir,Table13[[#This Row],[Direction]],
IF(_xlpm.dir="R",
    IF(G2203+Table13[[#This Row],[Steps]]&gt;99,(G2203+Table13[[#This Row],[Steps]])-100,G2203+Table13[[#This Row],[Steps]]),
))</f>
        <v>0</v>
      </c>
      <c r="G2204">
        <f>IF(Table13[[#This Row],[New Pos L]]&lt;&gt;0,Table13[[#This Row],[New Pos L]],Table13[[#This Row],[New Pos R]])</f>
        <v>33</v>
      </c>
      <c r="H2204">
        <f>IF(AND(Table13[[#This Row],[Direction]]="L",Table13[[#This Row],[Steps]]&gt;G2203,G2203&lt;&gt;0),1,0)</f>
        <v>0</v>
      </c>
      <c r="I2204">
        <f>IF(AND(Table13[[#This Row],[Direction]]="R",(G2203+Table13[[#This Row],[Steps]])&gt;100),1,0)</f>
        <v>0</v>
      </c>
      <c r="J2204">
        <f>IF(Table13[[#This Row],[POS]]=0,1,0)</f>
        <v>0</v>
      </c>
      <c r="K2204">
        <f>SUM(Table13[[#This Row],[prefix]],Table13[[#This Row],[Past zero L]],Table13[[#This Row],[Past Zero R]],Table13[[#This Row],[Is Zero]])</f>
        <v>0</v>
      </c>
    </row>
    <row r="2205" spans="1:11" ht="16" x14ac:dyDescent="0.2">
      <c r="A2205" s="1" t="s">
        <v>126</v>
      </c>
      <c r="B2205" t="str">
        <f>LEFT(Table13[[#This Row],[Input]],1)</f>
        <v>R</v>
      </c>
      <c r="C2205">
        <f>_xlfn.LET(_xlpm.steps,SUBSTITUTE(Table13[[#This Row],[Input]],Table13[[#This Row],[Direction]],""),VALUE(IF(LEN(_xlpm.steps)&gt;2,RIGHT(_xlpm.steps,2),_xlpm.steps)))</f>
        <v>65</v>
      </c>
      <c r="D2205">
        <f>_xlfn.LET(_xlpm.steps,SUBSTITUTE(Table13[[#This Row],[Input]],Table13[[#This Row],[Direction]],""),VALUE(IF(LEN(_xlpm.steps)&gt;2,LEFT(_xlpm.steps,LEN(_xlpm.steps)-2),0)))</f>
        <v>0</v>
      </c>
      <c r="E2205">
        <f>_xlfn.LET(_xlpm.dir,Table13[[#This Row],[Direction]],
IF(_xlpm.dir="L",
    IF(G2204-Table13[[#This Row],[Steps]]&lt;0,100+(G2204-Table13[[#This Row],[Steps]]),G2204-Table13[[#This Row],[Steps]]),
))</f>
        <v>0</v>
      </c>
      <c r="F2205">
        <f>_xlfn.LET(_xlpm.dir,Table13[[#This Row],[Direction]],
IF(_xlpm.dir="R",
    IF(G2204+Table13[[#This Row],[Steps]]&gt;99,(G2204+Table13[[#This Row],[Steps]])-100,G2204+Table13[[#This Row],[Steps]]),
))</f>
        <v>98</v>
      </c>
      <c r="G2205">
        <f>IF(Table13[[#This Row],[New Pos L]]&lt;&gt;0,Table13[[#This Row],[New Pos L]],Table13[[#This Row],[New Pos R]])</f>
        <v>98</v>
      </c>
      <c r="H2205">
        <f>IF(AND(Table13[[#This Row],[Direction]]="L",Table13[[#This Row],[Steps]]&gt;G2204,G2204&lt;&gt;0),1,0)</f>
        <v>0</v>
      </c>
      <c r="I2205">
        <f>IF(AND(Table13[[#This Row],[Direction]]="R",(G2204+Table13[[#This Row],[Steps]])&gt;100),1,0)</f>
        <v>0</v>
      </c>
      <c r="J2205">
        <f>IF(Table13[[#This Row],[POS]]=0,1,0)</f>
        <v>0</v>
      </c>
      <c r="K2205">
        <f>SUM(Table13[[#This Row],[prefix]],Table13[[#This Row],[Past zero L]],Table13[[#This Row],[Past Zero R]],Table13[[#This Row],[Is Zero]])</f>
        <v>0</v>
      </c>
    </row>
    <row r="2206" spans="1:11" ht="16" x14ac:dyDescent="0.2">
      <c r="A2206" s="1" t="s">
        <v>114</v>
      </c>
      <c r="B2206" t="str">
        <f>LEFT(Table13[[#This Row],[Input]],1)</f>
        <v>R</v>
      </c>
      <c r="C2206">
        <f>_xlfn.LET(_xlpm.steps,SUBSTITUTE(Table13[[#This Row],[Input]],Table13[[#This Row],[Direction]],""),VALUE(IF(LEN(_xlpm.steps)&gt;2,RIGHT(_xlpm.steps,2),_xlpm.steps)))</f>
        <v>70</v>
      </c>
      <c r="D2206">
        <f>_xlfn.LET(_xlpm.steps,SUBSTITUTE(Table13[[#This Row],[Input]],Table13[[#This Row],[Direction]],""),VALUE(IF(LEN(_xlpm.steps)&gt;2,LEFT(_xlpm.steps,LEN(_xlpm.steps)-2),0)))</f>
        <v>0</v>
      </c>
      <c r="E2206">
        <f>_xlfn.LET(_xlpm.dir,Table13[[#This Row],[Direction]],
IF(_xlpm.dir="L",
    IF(G2205-Table13[[#This Row],[Steps]]&lt;0,100+(G2205-Table13[[#This Row],[Steps]]),G2205-Table13[[#This Row],[Steps]]),
))</f>
        <v>0</v>
      </c>
      <c r="F2206">
        <f>_xlfn.LET(_xlpm.dir,Table13[[#This Row],[Direction]],
IF(_xlpm.dir="R",
    IF(G2205+Table13[[#This Row],[Steps]]&gt;99,(G2205+Table13[[#This Row],[Steps]])-100,G2205+Table13[[#This Row],[Steps]]),
))</f>
        <v>68</v>
      </c>
      <c r="G2206">
        <f>IF(Table13[[#This Row],[New Pos L]]&lt;&gt;0,Table13[[#This Row],[New Pos L]],Table13[[#This Row],[New Pos R]])</f>
        <v>68</v>
      </c>
      <c r="H2206">
        <f>IF(AND(Table13[[#This Row],[Direction]]="L",Table13[[#This Row],[Steps]]&gt;G2205,G2205&lt;&gt;0),1,0)</f>
        <v>0</v>
      </c>
      <c r="I2206">
        <f>IF(AND(Table13[[#This Row],[Direction]]="R",(G2205+Table13[[#This Row],[Steps]])&gt;100),1,0)</f>
        <v>1</v>
      </c>
      <c r="J2206">
        <f>IF(Table13[[#This Row],[POS]]=0,1,0)</f>
        <v>0</v>
      </c>
      <c r="K2206">
        <f>SUM(Table13[[#This Row],[prefix]],Table13[[#This Row],[Past zero L]],Table13[[#This Row],[Past Zero R]],Table13[[#This Row],[Is Zero]])</f>
        <v>1</v>
      </c>
    </row>
    <row r="2207" spans="1:11" ht="16" x14ac:dyDescent="0.2">
      <c r="A2207" s="1" t="s">
        <v>325</v>
      </c>
      <c r="B2207" t="str">
        <f>LEFT(Table13[[#This Row],[Input]],1)</f>
        <v>L</v>
      </c>
      <c r="C2207">
        <f>_xlfn.LET(_xlpm.steps,SUBSTITUTE(Table13[[#This Row],[Input]],Table13[[#This Row],[Direction]],""),VALUE(IF(LEN(_xlpm.steps)&gt;2,RIGHT(_xlpm.steps,2),_xlpm.steps)))</f>
        <v>68</v>
      </c>
      <c r="D2207">
        <f>_xlfn.LET(_xlpm.steps,SUBSTITUTE(Table13[[#This Row],[Input]],Table13[[#This Row],[Direction]],""),VALUE(IF(LEN(_xlpm.steps)&gt;2,LEFT(_xlpm.steps,LEN(_xlpm.steps)-2),0)))</f>
        <v>0</v>
      </c>
      <c r="E2207">
        <f>_xlfn.LET(_xlpm.dir,Table13[[#This Row],[Direction]],
IF(_xlpm.dir="L",
    IF(G2206-Table13[[#This Row],[Steps]]&lt;0,100+(G2206-Table13[[#This Row],[Steps]]),G2206-Table13[[#This Row],[Steps]]),
))</f>
        <v>0</v>
      </c>
      <c r="F2207">
        <f>_xlfn.LET(_xlpm.dir,Table13[[#This Row],[Direction]],
IF(_xlpm.dir="R",
    IF(G2206+Table13[[#This Row],[Steps]]&gt;99,(G2206+Table13[[#This Row],[Steps]])-100,G2206+Table13[[#This Row],[Steps]]),
))</f>
        <v>0</v>
      </c>
      <c r="G2207">
        <f>IF(Table13[[#This Row],[New Pos L]]&lt;&gt;0,Table13[[#This Row],[New Pos L]],Table13[[#This Row],[New Pos R]])</f>
        <v>0</v>
      </c>
      <c r="H2207">
        <f>IF(AND(Table13[[#This Row],[Direction]]="L",Table13[[#This Row],[Steps]]&gt;G2206,G2206&lt;&gt;0),1,0)</f>
        <v>0</v>
      </c>
      <c r="I2207">
        <f>IF(AND(Table13[[#This Row],[Direction]]="R",(G2206+Table13[[#This Row],[Steps]])&gt;100),1,0)</f>
        <v>0</v>
      </c>
      <c r="J2207">
        <f>IF(Table13[[#This Row],[POS]]=0,1,0)</f>
        <v>1</v>
      </c>
      <c r="K2207">
        <f>SUM(Table13[[#This Row],[prefix]],Table13[[#This Row],[Past zero L]],Table13[[#This Row],[Past Zero R]],Table13[[#This Row],[Is Zero]])</f>
        <v>1</v>
      </c>
    </row>
    <row r="2208" spans="1:11" ht="16" x14ac:dyDescent="0.2">
      <c r="A2208" s="1" t="s">
        <v>185</v>
      </c>
      <c r="B2208" t="str">
        <f>LEFT(Table13[[#This Row],[Input]],1)</f>
        <v>R</v>
      </c>
      <c r="C2208">
        <f>_xlfn.LET(_xlpm.steps,SUBSTITUTE(Table13[[#This Row],[Input]],Table13[[#This Row],[Direction]],""),VALUE(IF(LEN(_xlpm.steps)&gt;2,RIGHT(_xlpm.steps,2),_xlpm.steps)))</f>
        <v>61</v>
      </c>
      <c r="D2208">
        <f>_xlfn.LET(_xlpm.steps,SUBSTITUTE(Table13[[#This Row],[Input]],Table13[[#This Row],[Direction]],""),VALUE(IF(LEN(_xlpm.steps)&gt;2,LEFT(_xlpm.steps,LEN(_xlpm.steps)-2),0)))</f>
        <v>0</v>
      </c>
      <c r="E2208">
        <f>_xlfn.LET(_xlpm.dir,Table13[[#This Row],[Direction]],
IF(_xlpm.dir="L",
    IF(G2207-Table13[[#This Row],[Steps]]&lt;0,100+(G2207-Table13[[#This Row],[Steps]]),G2207-Table13[[#This Row],[Steps]]),
))</f>
        <v>0</v>
      </c>
      <c r="F2208">
        <f>_xlfn.LET(_xlpm.dir,Table13[[#This Row],[Direction]],
IF(_xlpm.dir="R",
    IF(G2207+Table13[[#This Row],[Steps]]&gt;99,(G2207+Table13[[#This Row],[Steps]])-100,G2207+Table13[[#This Row],[Steps]]),
))</f>
        <v>61</v>
      </c>
      <c r="G2208">
        <f>IF(Table13[[#This Row],[New Pos L]]&lt;&gt;0,Table13[[#This Row],[New Pos L]],Table13[[#This Row],[New Pos R]])</f>
        <v>61</v>
      </c>
      <c r="H2208">
        <f>IF(AND(Table13[[#This Row],[Direction]]="L",Table13[[#This Row],[Steps]]&gt;G2207,G2207&lt;&gt;0),1,0)</f>
        <v>0</v>
      </c>
      <c r="I2208">
        <f>IF(AND(Table13[[#This Row],[Direction]]="R",(G2207+Table13[[#This Row],[Steps]])&gt;100),1,0)</f>
        <v>0</v>
      </c>
      <c r="J2208">
        <f>IF(Table13[[#This Row],[POS]]=0,1,0)</f>
        <v>0</v>
      </c>
      <c r="K2208">
        <f>SUM(Table13[[#This Row],[prefix]],Table13[[#This Row],[Past zero L]],Table13[[#This Row],[Past Zero R]],Table13[[#This Row],[Is Zero]])</f>
        <v>0</v>
      </c>
    </row>
    <row r="2209" spans="1:11" ht="16" x14ac:dyDescent="0.2">
      <c r="A2209" s="1" t="s">
        <v>140</v>
      </c>
      <c r="B2209" t="str">
        <f>LEFT(Table13[[#This Row],[Input]],1)</f>
        <v>L</v>
      </c>
      <c r="C2209">
        <f>_xlfn.LET(_xlpm.steps,SUBSTITUTE(Table13[[#This Row],[Input]],Table13[[#This Row],[Direction]],""),VALUE(IF(LEN(_xlpm.steps)&gt;2,RIGHT(_xlpm.steps,2),_xlpm.steps)))</f>
        <v>61</v>
      </c>
      <c r="D2209">
        <f>_xlfn.LET(_xlpm.steps,SUBSTITUTE(Table13[[#This Row],[Input]],Table13[[#This Row],[Direction]],""),VALUE(IF(LEN(_xlpm.steps)&gt;2,LEFT(_xlpm.steps,LEN(_xlpm.steps)-2),0)))</f>
        <v>0</v>
      </c>
      <c r="E2209">
        <f>_xlfn.LET(_xlpm.dir,Table13[[#This Row],[Direction]],
IF(_xlpm.dir="L",
    IF(G2208-Table13[[#This Row],[Steps]]&lt;0,100+(G2208-Table13[[#This Row],[Steps]]),G2208-Table13[[#This Row],[Steps]]),
))</f>
        <v>0</v>
      </c>
      <c r="F2209">
        <f>_xlfn.LET(_xlpm.dir,Table13[[#This Row],[Direction]],
IF(_xlpm.dir="R",
    IF(G2208+Table13[[#This Row],[Steps]]&gt;99,(G2208+Table13[[#This Row],[Steps]])-100,G2208+Table13[[#This Row],[Steps]]),
))</f>
        <v>0</v>
      </c>
      <c r="G2209">
        <f>IF(Table13[[#This Row],[New Pos L]]&lt;&gt;0,Table13[[#This Row],[New Pos L]],Table13[[#This Row],[New Pos R]])</f>
        <v>0</v>
      </c>
      <c r="H2209">
        <f>IF(AND(Table13[[#This Row],[Direction]]="L",Table13[[#This Row],[Steps]]&gt;G2208,G2208&lt;&gt;0),1,0)</f>
        <v>0</v>
      </c>
      <c r="I2209">
        <f>IF(AND(Table13[[#This Row],[Direction]]="R",(G2208+Table13[[#This Row],[Steps]])&gt;100),1,0)</f>
        <v>0</v>
      </c>
      <c r="J2209">
        <f>IF(Table13[[#This Row],[POS]]=0,1,0)</f>
        <v>1</v>
      </c>
      <c r="K2209">
        <f>SUM(Table13[[#This Row],[prefix]],Table13[[#This Row],[Past zero L]],Table13[[#This Row],[Past Zero R]],Table13[[#This Row],[Is Zero]])</f>
        <v>1</v>
      </c>
    </row>
    <row r="2210" spans="1:11" ht="16" x14ac:dyDescent="0.2">
      <c r="A2210" s="1" t="s">
        <v>13</v>
      </c>
      <c r="B2210" t="str">
        <f>LEFT(Table13[[#This Row],[Input]],1)</f>
        <v>R</v>
      </c>
      <c r="C2210">
        <f>_xlfn.LET(_xlpm.steps,SUBSTITUTE(Table13[[#This Row],[Input]],Table13[[#This Row],[Direction]],""),VALUE(IF(LEN(_xlpm.steps)&gt;2,RIGHT(_xlpm.steps,2),_xlpm.steps)))</f>
        <v>12</v>
      </c>
      <c r="D2210">
        <f>_xlfn.LET(_xlpm.steps,SUBSTITUTE(Table13[[#This Row],[Input]],Table13[[#This Row],[Direction]],""),VALUE(IF(LEN(_xlpm.steps)&gt;2,LEFT(_xlpm.steps,LEN(_xlpm.steps)-2),0)))</f>
        <v>0</v>
      </c>
      <c r="E2210">
        <f>_xlfn.LET(_xlpm.dir,Table13[[#This Row],[Direction]],
IF(_xlpm.dir="L",
    IF(G2209-Table13[[#This Row],[Steps]]&lt;0,100+(G2209-Table13[[#This Row],[Steps]]),G2209-Table13[[#This Row],[Steps]]),
))</f>
        <v>0</v>
      </c>
      <c r="F2210">
        <f>_xlfn.LET(_xlpm.dir,Table13[[#This Row],[Direction]],
IF(_xlpm.dir="R",
    IF(G2209+Table13[[#This Row],[Steps]]&gt;99,(G2209+Table13[[#This Row],[Steps]])-100,G2209+Table13[[#This Row],[Steps]]),
))</f>
        <v>12</v>
      </c>
      <c r="G2210">
        <f>IF(Table13[[#This Row],[New Pos L]]&lt;&gt;0,Table13[[#This Row],[New Pos L]],Table13[[#This Row],[New Pos R]])</f>
        <v>12</v>
      </c>
      <c r="H2210">
        <f>IF(AND(Table13[[#This Row],[Direction]]="L",Table13[[#This Row],[Steps]]&gt;G2209,G2209&lt;&gt;0),1,0)</f>
        <v>0</v>
      </c>
      <c r="I2210">
        <f>IF(AND(Table13[[#This Row],[Direction]]="R",(G2209+Table13[[#This Row],[Steps]])&gt;100),1,0)</f>
        <v>0</v>
      </c>
      <c r="J2210">
        <f>IF(Table13[[#This Row],[POS]]=0,1,0)</f>
        <v>0</v>
      </c>
      <c r="K2210">
        <f>SUM(Table13[[#This Row],[prefix]],Table13[[#This Row],[Past zero L]],Table13[[#This Row],[Past Zero R]],Table13[[#This Row],[Is Zero]])</f>
        <v>0</v>
      </c>
    </row>
    <row r="2211" spans="1:11" ht="16" x14ac:dyDescent="0.2">
      <c r="A2211" s="1" t="s">
        <v>244</v>
      </c>
      <c r="B2211" t="str">
        <f>LEFT(Table13[[#This Row],[Input]],1)</f>
        <v>L</v>
      </c>
      <c r="C2211">
        <f>_xlfn.LET(_xlpm.steps,SUBSTITUTE(Table13[[#This Row],[Input]],Table13[[#This Row],[Direction]],""),VALUE(IF(LEN(_xlpm.steps)&gt;2,RIGHT(_xlpm.steps,2),_xlpm.steps)))</f>
        <v>98</v>
      </c>
      <c r="D2211">
        <f>_xlfn.LET(_xlpm.steps,SUBSTITUTE(Table13[[#This Row],[Input]],Table13[[#This Row],[Direction]],""),VALUE(IF(LEN(_xlpm.steps)&gt;2,LEFT(_xlpm.steps,LEN(_xlpm.steps)-2),0)))</f>
        <v>0</v>
      </c>
      <c r="E2211">
        <f>_xlfn.LET(_xlpm.dir,Table13[[#This Row],[Direction]],
IF(_xlpm.dir="L",
    IF(G2210-Table13[[#This Row],[Steps]]&lt;0,100+(G2210-Table13[[#This Row],[Steps]]),G2210-Table13[[#This Row],[Steps]]),
))</f>
        <v>14</v>
      </c>
      <c r="F2211">
        <f>_xlfn.LET(_xlpm.dir,Table13[[#This Row],[Direction]],
IF(_xlpm.dir="R",
    IF(G2210+Table13[[#This Row],[Steps]]&gt;99,(G2210+Table13[[#This Row],[Steps]])-100,G2210+Table13[[#This Row],[Steps]]),
))</f>
        <v>0</v>
      </c>
      <c r="G2211">
        <f>IF(Table13[[#This Row],[New Pos L]]&lt;&gt;0,Table13[[#This Row],[New Pos L]],Table13[[#This Row],[New Pos R]])</f>
        <v>14</v>
      </c>
      <c r="H2211">
        <f>IF(AND(Table13[[#This Row],[Direction]]="L",Table13[[#This Row],[Steps]]&gt;G2210,G2210&lt;&gt;0),1,0)</f>
        <v>1</v>
      </c>
      <c r="I2211">
        <f>IF(AND(Table13[[#This Row],[Direction]]="R",(G2210+Table13[[#This Row],[Steps]])&gt;100),1,0)</f>
        <v>0</v>
      </c>
      <c r="J2211">
        <f>IF(Table13[[#This Row],[POS]]=0,1,0)</f>
        <v>0</v>
      </c>
      <c r="K2211">
        <f>SUM(Table13[[#This Row],[prefix]],Table13[[#This Row],[Past zero L]],Table13[[#This Row],[Past Zero R]],Table13[[#This Row],[Is Zero]])</f>
        <v>1</v>
      </c>
    </row>
    <row r="2212" spans="1:11" ht="16" x14ac:dyDescent="0.2">
      <c r="A2212" s="1" t="s">
        <v>138</v>
      </c>
      <c r="B2212" t="str">
        <f>LEFT(Table13[[#This Row],[Input]],1)</f>
        <v>L</v>
      </c>
      <c r="C2212">
        <f>_xlfn.LET(_xlpm.steps,SUBSTITUTE(Table13[[#This Row],[Input]],Table13[[#This Row],[Direction]],""),VALUE(IF(LEN(_xlpm.steps)&gt;2,RIGHT(_xlpm.steps,2),_xlpm.steps)))</f>
        <v>94</v>
      </c>
      <c r="D2212">
        <f>_xlfn.LET(_xlpm.steps,SUBSTITUTE(Table13[[#This Row],[Input]],Table13[[#This Row],[Direction]],""),VALUE(IF(LEN(_xlpm.steps)&gt;2,LEFT(_xlpm.steps,LEN(_xlpm.steps)-2),0)))</f>
        <v>0</v>
      </c>
      <c r="E2212">
        <f>_xlfn.LET(_xlpm.dir,Table13[[#This Row],[Direction]],
IF(_xlpm.dir="L",
    IF(G2211-Table13[[#This Row],[Steps]]&lt;0,100+(G2211-Table13[[#This Row],[Steps]]),G2211-Table13[[#This Row],[Steps]]),
))</f>
        <v>20</v>
      </c>
      <c r="F2212">
        <f>_xlfn.LET(_xlpm.dir,Table13[[#This Row],[Direction]],
IF(_xlpm.dir="R",
    IF(G2211+Table13[[#This Row],[Steps]]&gt;99,(G2211+Table13[[#This Row],[Steps]])-100,G2211+Table13[[#This Row],[Steps]]),
))</f>
        <v>0</v>
      </c>
      <c r="G2212">
        <f>IF(Table13[[#This Row],[New Pos L]]&lt;&gt;0,Table13[[#This Row],[New Pos L]],Table13[[#This Row],[New Pos R]])</f>
        <v>20</v>
      </c>
      <c r="H2212">
        <f>IF(AND(Table13[[#This Row],[Direction]]="L",Table13[[#This Row],[Steps]]&gt;G2211,G2211&lt;&gt;0),1,0)</f>
        <v>1</v>
      </c>
      <c r="I2212">
        <f>IF(AND(Table13[[#This Row],[Direction]]="R",(G2211+Table13[[#This Row],[Steps]])&gt;100),1,0)</f>
        <v>0</v>
      </c>
      <c r="J2212">
        <f>IF(Table13[[#This Row],[POS]]=0,1,0)</f>
        <v>0</v>
      </c>
      <c r="K2212">
        <f>SUM(Table13[[#This Row],[prefix]],Table13[[#This Row],[Past zero L]],Table13[[#This Row],[Past Zero R]],Table13[[#This Row],[Is Zero]])</f>
        <v>1</v>
      </c>
    </row>
    <row r="2213" spans="1:11" ht="16" x14ac:dyDescent="0.2">
      <c r="A2213" s="1" t="s">
        <v>5</v>
      </c>
      <c r="B2213" t="str">
        <f>LEFT(Table13[[#This Row],[Input]],1)</f>
        <v>R</v>
      </c>
      <c r="C2213">
        <f>_xlfn.LET(_xlpm.steps,SUBSTITUTE(Table13[[#This Row],[Input]],Table13[[#This Row],[Direction]],""),VALUE(IF(LEN(_xlpm.steps)&gt;2,RIGHT(_xlpm.steps,2),_xlpm.steps)))</f>
        <v>1</v>
      </c>
      <c r="D2213">
        <f>_xlfn.LET(_xlpm.steps,SUBSTITUTE(Table13[[#This Row],[Input]],Table13[[#This Row],[Direction]],""),VALUE(IF(LEN(_xlpm.steps)&gt;2,LEFT(_xlpm.steps,LEN(_xlpm.steps)-2),0)))</f>
        <v>0</v>
      </c>
      <c r="E2213">
        <f>_xlfn.LET(_xlpm.dir,Table13[[#This Row],[Direction]],
IF(_xlpm.dir="L",
    IF(G2212-Table13[[#This Row],[Steps]]&lt;0,100+(G2212-Table13[[#This Row],[Steps]]),G2212-Table13[[#This Row],[Steps]]),
))</f>
        <v>0</v>
      </c>
      <c r="F2213">
        <f>_xlfn.LET(_xlpm.dir,Table13[[#This Row],[Direction]],
IF(_xlpm.dir="R",
    IF(G2212+Table13[[#This Row],[Steps]]&gt;99,(G2212+Table13[[#This Row],[Steps]])-100,G2212+Table13[[#This Row],[Steps]]),
))</f>
        <v>21</v>
      </c>
      <c r="G2213">
        <f>IF(Table13[[#This Row],[New Pos L]]&lt;&gt;0,Table13[[#This Row],[New Pos L]],Table13[[#This Row],[New Pos R]])</f>
        <v>21</v>
      </c>
      <c r="H2213">
        <f>IF(AND(Table13[[#This Row],[Direction]]="L",Table13[[#This Row],[Steps]]&gt;G2212,G2212&lt;&gt;0),1,0)</f>
        <v>0</v>
      </c>
      <c r="I2213">
        <f>IF(AND(Table13[[#This Row],[Direction]]="R",(G2212+Table13[[#This Row],[Steps]])&gt;100),1,0)</f>
        <v>0</v>
      </c>
      <c r="J2213">
        <f>IF(Table13[[#This Row],[POS]]=0,1,0)</f>
        <v>0</v>
      </c>
      <c r="K2213">
        <f>SUM(Table13[[#This Row],[prefix]],Table13[[#This Row],[Past zero L]],Table13[[#This Row],[Past Zero R]],Table13[[#This Row],[Is Zero]])</f>
        <v>0</v>
      </c>
    </row>
    <row r="2214" spans="1:11" ht="16" x14ac:dyDescent="0.2">
      <c r="A2214" s="1" t="s">
        <v>582</v>
      </c>
      <c r="B2214" t="str">
        <f>LEFT(Table13[[#This Row],[Input]],1)</f>
        <v>L</v>
      </c>
      <c r="C2214">
        <f>_xlfn.LET(_xlpm.steps,SUBSTITUTE(Table13[[#This Row],[Input]],Table13[[#This Row],[Direction]],""),VALUE(IF(LEN(_xlpm.steps)&gt;2,RIGHT(_xlpm.steps,2),_xlpm.steps)))</f>
        <v>22</v>
      </c>
      <c r="D2214">
        <f>_xlfn.LET(_xlpm.steps,SUBSTITUTE(Table13[[#This Row],[Input]],Table13[[#This Row],[Direction]],""),VALUE(IF(LEN(_xlpm.steps)&gt;2,LEFT(_xlpm.steps,LEN(_xlpm.steps)-2),0)))</f>
        <v>4</v>
      </c>
      <c r="E2214">
        <f>_xlfn.LET(_xlpm.dir,Table13[[#This Row],[Direction]],
IF(_xlpm.dir="L",
    IF(G2213-Table13[[#This Row],[Steps]]&lt;0,100+(G2213-Table13[[#This Row],[Steps]]),G2213-Table13[[#This Row],[Steps]]),
))</f>
        <v>99</v>
      </c>
      <c r="F2214">
        <f>_xlfn.LET(_xlpm.dir,Table13[[#This Row],[Direction]],
IF(_xlpm.dir="R",
    IF(G2213+Table13[[#This Row],[Steps]]&gt;99,(G2213+Table13[[#This Row],[Steps]])-100,G2213+Table13[[#This Row],[Steps]]),
))</f>
        <v>0</v>
      </c>
      <c r="G2214">
        <f>IF(Table13[[#This Row],[New Pos L]]&lt;&gt;0,Table13[[#This Row],[New Pos L]],Table13[[#This Row],[New Pos R]])</f>
        <v>99</v>
      </c>
      <c r="H2214">
        <f>IF(AND(Table13[[#This Row],[Direction]]="L",Table13[[#This Row],[Steps]]&gt;G2213,G2213&lt;&gt;0),1,0)</f>
        <v>1</v>
      </c>
      <c r="I2214">
        <f>IF(AND(Table13[[#This Row],[Direction]]="R",(G2213+Table13[[#This Row],[Steps]])&gt;100),1,0)</f>
        <v>0</v>
      </c>
      <c r="J2214">
        <f>IF(Table13[[#This Row],[POS]]=0,1,0)</f>
        <v>0</v>
      </c>
      <c r="K2214">
        <f>SUM(Table13[[#This Row],[prefix]],Table13[[#This Row],[Past zero L]],Table13[[#This Row],[Past Zero R]],Table13[[#This Row],[Is Zero]])</f>
        <v>5</v>
      </c>
    </row>
    <row r="2215" spans="1:11" ht="16" x14ac:dyDescent="0.2">
      <c r="A2215" s="1" t="s">
        <v>188</v>
      </c>
      <c r="B2215" t="str">
        <f>LEFT(Table13[[#This Row],[Input]],1)</f>
        <v>R</v>
      </c>
      <c r="C2215">
        <f>_xlfn.LET(_xlpm.steps,SUBSTITUTE(Table13[[#This Row],[Input]],Table13[[#This Row],[Direction]],""),VALUE(IF(LEN(_xlpm.steps)&gt;2,RIGHT(_xlpm.steps,2),_xlpm.steps)))</f>
        <v>5</v>
      </c>
      <c r="D2215">
        <f>_xlfn.LET(_xlpm.steps,SUBSTITUTE(Table13[[#This Row],[Input]],Table13[[#This Row],[Direction]],""),VALUE(IF(LEN(_xlpm.steps)&gt;2,LEFT(_xlpm.steps,LEN(_xlpm.steps)-2),0)))</f>
        <v>0</v>
      </c>
      <c r="E2215">
        <f>_xlfn.LET(_xlpm.dir,Table13[[#This Row],[Direction]],
IF(_xlpm.dir="L",
    IF(G2214-Table13[[#This Row],[Steps]]&lt;0,100+(G2214-Table13[[#This Row],[Steps]]),G2214-Table13[[#This Row],[Steps]]),
))</f>
        <v>0</v>
      </c>
      <c r="F2215">
        <f>_xlfn.LET(_xlpm.dir,Table13[[#This Row],[Direction]],
IF(_xlpm.dir="R",
    IF(G2214+Table13[[#This Row],[Steps]]&gt;99,(G2214+Table13[[#This Row],[Steps]])-100,G2214+Table13[[#This Row],[Steps]]),
))</f>
        <v>4</v>
      </c>
      <c r="G2215">
        <f>IF(Table13[[#This Row],[New Pos L]]&lt;&gt;0,Table13[[#This Row],[New Pos L]],Table13[[#This Row],[New Pos R]])</f>
        <v>4</v>
      </c>
      <c r="H2215">
        <f>IF(AND(Table13[[#This Row],[Direction]]="L",Table13[[#This Row],[Steps]]&gt;G2214,G2214&lt;&gt;0),1,0)</f>
        <v>0</v>
      </c>
      <c r="I2215">
        <f>IF(AND(Table13[[#This Row],[Direction]]="R",(G2214+Table13[[#This Row],[Steps]])&gt;100),1,0)</f>
        <v>1</v>
      </c>
      <c r="J2215">
        <f>IF(Table13[[#This Row],[POS]]=0,1,0)</f>
        <v>0</v>
      </c>
      <c r="K2215">
        <f>SUM(Table13[[#This Row],[prefix]],Table13[[#This Row],[Past zero L]],Table13[[#This Row],[Past Zero R]],Table13[[#This Row],[Is Zero]])</f>
        <v>1</v>
      </c>
    </row>
    <row r="2216" spans="1:11" ht="16" x14ac:dyDescent="0.2">
      <c r="A2216" s="1" t="s">
        <v>128</v>
      </c>
      <c r="B2216" t="str">
        <f>LEFT(Table13[[#This Row],[Input]],1)</f>
        <v>R</v>
      </c>
      <c r="C2216">
        <f>_xlfn.LET(_xlpm.steps,SUBSTITUTE(Table13[[#This Row],[Input]],Table13[[#This Row],[Direction]],""),VALUE(IF(LEN(_xlpm.steps)&gt;2,RIGHT(_xlpm.steps,2),_xlpm.steps)))</f>
        <v>92</v>
      </c>
      <c r="D2216">
        <f>_xlfn.LET(_xlpm.steps,SUBSTITUTE(Table13[[#This Row],[Input]],Table13[[#This Row],[Direction]],""),VALUE(IF(LEN(_xlpm.steps)&gt;2,LEFT(_xlpm.steps,LEN(_xlpm.steps)-2),0)))</f>
        <v>0</v>
      </c>
      <c r="E2216">
        <f>_xlfn.LET(_xlpm.dir,Table13[[#This Row],[Direction]],
IF(_xlpm.dir="L",
    IF(G2215-Table13[[#This Row],[Steps]]&lt;0,100+(G2215-Table13[[#This Row],[Steps]]),G2215-Table13[[#This Row],[Steps]]),
))</f>
        <v>0</v>
      </c>
      <c r="F2216">
        <f>_xlfn.LET(_xlpm.dir,Table13[[#This Row],[Direction]],
IF(_xlpm.dir="R",
    IF(G2215+Table13[[#This Row],[Steps]]&gt;99,(G2215+Table13[[#This Row],[Steps]])-100,G2215+Table13[[#This Row],[Steps]]),
))</f>
        <v>96</v>
      </c>
      <c r="G2216">
        <f>IF(Table13[[#This Row],[New Pos L]]&lt;&gt;0,Table13[[#This Row],[New Pos L]],Table13[[#This Row],[New Pos R]])</f>
        <v>96</v>
      </c>
      <c r="H2216">
        <f>IF(AND(Table13[[#This Row],[Direction]]="L",Table13[[#This Row],[Steps]]&gt;G2215,G2215&lt;&gt;0),1,0)</f>
        <v>0</v>
      </c>
      <c r="I2216">
        <f>IF(AND(Table13[[#This Row],[Direction]]="R",(G2215+Table13[[#This Row],[Steps]])&gt;100),1,0)</f>
        <v>0</v>
      </c>
      <c r="J2216">
        <f>IF(Table13[[#This Row],[POS]]=0,1,0)</f>
        <v>0</v>
      </c>
      <c r="K2216">
        <f>SUM(Table13[[#This Row],[prefix]],Table13[[#This Row],[Past zero L]],Table13[[#This Row],[Past Zero R]],Table13[[#This Row],[Is Zero]])</f>
        <v>0</v>
      </c>
    </row>
    <row r="2217" spans="1:11" ht="16" x14ac:dyDescent="0.2">
      <c r="A2217" s="1" t="s">
        <v>182</v>
      </c>
      <c r="B2217" t="str">
        <f>LEFT(Table13[[#This Row],[Input]],1)</f>
        <v>L</v>
      </c>
      <c r="C2217">
        <f>_xlfn.LET(_xlpm.steps,SUBSTITUTE(Table13[[#This Row],[Input]],Table13[[#This Row],[Direction]],""),VALUE(IF(LEN(_xlpm.steps)&gt;2,RIGHT(_xlpm.steps,2),_xlpm.steps)))</f>
        <v>3</v>
      </c>
      <c r="D2217">
        <f>_xlfn.LET(_xlpm.steps,SUBSTITUTE(Table13[[#This Row],[Input]],Table13[[#This Row],[Direction]],""),VALUE(IF(LEN(_xlpm.steps)&gt;2,LEFT(_xlpm.steps,LEN(_xlpm.steps)-2),0)))</f>
        <v>0</v>
      </c>
      <c r="E2217">
        <f>_xlfn.LET(_xlpm.dir,Table13[[#This Row],[Direction]],
IF(_xlpm.dir="L",
    IF(G2216-Table13[[#This Row],[Steps]]&lt;0,100+(G2216-Table13[[#This Row],[Steps]]),G2216-Table13[[#This Row],[Steps]]),
))</f>
        <v>93</v>
      </c>
      <c r="F2217">
        <f>_xlfn.LET(_xlpm.dir,Table13[[#This Row],[Direction]],
IF(_xlpm.dir="R",
    IF(G2216+Table13[[#This Row],[Steps]]&gt;99,(G2216+Table13[[#This Row],[Steps]])-100,G2216+Table13[[#This Row],[Steps]]),
))</f>
        <v>0</v>
      </c>
      <c r="G2217">
        <f>IF(Table13[[#This Row],[New Pos L]]&lt;&gt;0,Table13[[#This Row],[New Pos L]],Table13[[#This Row],[New Pos R]])</f>
        <v>93</v>
      </c>
      <c r="H2217">
        <f>IF(AND(Table13[[#This Row],[Direction]]="L",Table13[[#This Row],[Steps]]&gt;G2216,G2216&lt;&gt;0),1,0)</f>
        <v>0</v>
      </c>
      <c r="I2217">
        <f>IF(AND(Table13[[#This Row],[Direction]]="R",(G2216+Table13[[#This Row],[Steps]])&gt;100),1,0)</f>
        <v>0</v>
      </c>
      <c r="J2217">
        <f>IF(Table13[[#This Row],[POS]]=0,1,0)</f>
        <v>0</v>
      </c>
      <c r="K2217">
        <f>SUM(Table13[[#This Row],[prefix]],Table13[[#This Row],[Past zero L]],Table13[[#This Row],[Past Zero R]],Table13[[#This Row],[Is Zero]])</f>
        <v>0</v>
      </c>
    </row>
    <row r="2218" spans="1:11" ht="16" x14ac:dyDescent="0.2">
      <c r="A2218" s="1" t="s">
        <v>39</v>
      </c>
      <c r="B2218" t="str">
        <f>LEFT(Table13[[#This Row],[Input]],1)</f>
        <v>R</v>
      </c>
      <c r="C2218">
        <f>_xlfn.LET(_xlpm.steps,SUBSTITUTE(Table13[[#This Row],[Input]],Table13[[#This Row],[Direction]],""),VALUE(IF(LEN(_xlpm.steps)&gt;2,RIGHT(_xlpm.steps,2),_xlpm.steps)))</f>
        <v>32</v>
      </c>
      <c r="D2218">
        <f>_xlfn.LET(_xlpm.steps,SUBSTITUTE(Table13[[#This Row],[Input]],Table13[[#This Row],[Direction]],""),VALUE(IF(LEN(_xlpm.steps)&gt;2,LEFT(_xlpm.steps,LEN(_xlpm.steps)-2),0)))</f>
        <v>0</v>
      </c>
      <c r="E2218">
        <f>_xlfn.LET(_xlpm.dir,Table13[[#This Row],[Direction]],
IF(_xlpm.dir="L",
    IF(G2217-Table13[[#This Row],[Steps]]&lt;0,100+(G2217-Table13[[#This Row],[Steps]]),G2217-Table13[[#This Row],[Steps]]),
))</f>
        <v>0</v>
      </c>
      <c r="F2218">
        <f>_xlfn.LET(_xlpm.dir,Table13[[#This Row],[Direction]],
IF(_xlpm.dir="R",
    IF(G2217+Table13[[#This Row],[Steps]]&gt;99,(G2217+Table13[[#This Row],[Steps]])-100,G2217+Table13[[#This Row],[Steps]]),
))</f>
        <v>25</v>
      </c>
      <c r="G2218">
        <f>IF(Table13[[#This Row],[New Pos L]]&lt;&gt;0,Table13[[#This Row],[New Pos L]],Table13[[#This Row],[New Pos R]])</f>
        <v>25</v>
      </c>
      <c r="H2218">
        <f>IF(AND(Table13[[#This Row],[Direction]]="L",Table13[[#This Row],[Steps]]&gt;G2217,G2217&lt;&gt;0),1,0)</f>
        <v>0</v>
      </c>
      <c r="I2218">
        <f>IF(AND(Table13[[#This Row],[Direction]]="R",(G2217+Table13[[#This Row],[Steps]])&gt;100),1,0)</f>
        <v>1</v>
      </c>
      <c r="J2218">
        <f>IF(Table13[[#This Row],[POS]]=0,1,0)</f>
        <v>0</v>
      </c>
      <c r="K2218">
        <f>SUM(Table13[[#This Row],[prefix]],Table13[[#This Row],[Past zero L]],Table13[[#This Row],[Past Zero R]],Table13[[#This Row],[Is Zero]])</f>
        <v>1</v>
      </c>
    </row>
    <row r="2219" spans="1:11" ht="16" x14ac:dyDescent="0.2">
      <c r="A2219" s="1" t="s">
        <v>122</v>
      </c>
      <c r="B2219" t="str">
        <f>LEFT(Table13[[#This Row],[Input]],1)</f>
        <v>R</v>
      </c>
      <c r="C2219">
        <f>_xlfn.LET(_xlpm.steps,SUBSTITUTE(Table13[[#This Row],[Input]],Table13[[#This Row],[Direction]],""),VALUE(IF(LEN(_xlpm.steps)&gt;2,RIGHT(_xlpm.steps,2),_xlpm.steps)))</f>
        <v>75</v>
      </c>
      <c r="D2219">
        <f>_xlfn.LET(_xlpm.steps,SUBSTITUTE(Table13[[#This Row],[Input]],Table13[[#This Row],[Direction]],""),VALUE(IF(LEN(_xlpm.steps)&gt;2,LEFT(_xlpm.steps,LEN(_xlpm.steps)-2),0)))</f>
        <v>0</v>
      </c>
      <c r="E2219">
        <f>_xlfn.LET(_xlpm.dir,Table13[[#This Row],[Direction]],
IF(_xlpm.dir="L",
    IF(G2218-Table13[[#This Row],[Steps]]&lt;0,100+(G2218-Table13[[#This Row],[Steps]]),G2218-Table13[[#This Row],[Steps]]),
))</f>
        <v>0</v>
      </c>
      <c r="F2219">
        <f>_xlfn.LET(_xlpm.dir,Table13[[#This Row],[Direction]],
IF(_xlpm.dir="R",
    IF(G2218+Table13[[#This Row],[Steps]]&gt;99,(G2218+Table13[[#This Row],[Steps]])-100,G2218+Table13[[#This Row],[Steps]]),
))</f>
        <v>0</v>
      </c>
      <c r="G2219">
        <f>IF(Table13[[#This Row],[New Pos L]]&lt;&gt;0,Table13[[#This Row],[New Pos L]],Table13[[#This Row],[New Pos R]])</f>
        <v>0</v>
      </c>
      <c r="H2219">
        <f>IF(AND(Table13[[#This Row],[Direction]]="L",Table13[[#This Row],[Steps]]&gt;G2218,G2218&lt;&gt;0),1,0)</f>
        <v>0</v>
      </c>
      <c r="I2219">
        <f>IF(AND(Table13[[#This Row],[Direction]]="R",(G2218+Table13[[#This Row],[Steps]])&gt;100),1,0)</f>
        <v>0</v>
      </c>
      <c r="J2219">
        <f>IF(Table13[[#This Row],[POS]]=0,1,0)</f>
        <v>1</v>
      </c>
      <c r="K2219">
        <f>SUM(Table13[[#This Row],[prefix]],Table13[[#This Row],[Past zero L]],Table13[[#This Row],[Past Zero R]],Table13[[#This Row],[Is Zero]])</f>
        <v>1</v>
      </c>
    </row>
    <row r="2220" spans="1:11" ht="16" x14ac:dyDescent="0.2">
      <c r="A2220" s="1" t="s">
        <v>583</v>
      </c>
      <c r="B2220" t="str">
        <f>LEFT(Table13[[#This Row],[Input]],1)</f>
        <v>R</v>
      </c>
      <c r="C2220">
        <f>_xlfn.LET(_xlpm.steps,SUBSTITUTE(Table13[[#This Row],[Input]],Table13[[#This Row],[Direction]],""),VALUE(IF(LEN(_xlpm.steps)&gt;2,RIGHT(_xlpm.steps,2),_xlpm.steps)))</f>
        <v>2</v>
      </c>
      <c r="D2220">
        <f>_xlfn.LET(_xlpm.steps,SUBSTITUTE(Table13[[#This Row],[Input]],Table13[[#This Row],[Direction]],""),VALUE(IF(LEN(_xlpm.steps)&gt;2,LEFT(_xlpm.steps,LEN(_xlpm.steps)-2),0)))</f>
        <v>3</v>
      </c>
      <c r="E2220">
        <f>_xlfn.LET(_xlpm.dir,Table13[[#This Row],[Direction]],
IF(_xlpm.dir="L",
    IF(G2219-Table13[[#This Row],[Steps]]&lt;0,100+(G2219-Table13[[#This Row],[Steps]]),G2219-Table13[[#This Row],[Steps]]),
))</f>
        <v>0</v>
      </c>
      <c r="F2220">
        <f>_xlfn.LET(_xlpm.dir,Table13[[#This Row],[Direction]],
IF(_xlpm.dir="R",
    IF(G2219+Table13[[#This Row],[Steps]]&gt;99,(G2219+Table13[[#This Row],[Steps]])-100,G2219+Table13[[#This Row],[Steps]]),
))</f>
        <v>2</v>
      </c>
      <c r="G2220">
        <f>IF(Table13[[#This Row],[New Pos L]]&lt;&gt;0,Table13[[#This Row],[New Pos L]],Table13[[#This Row],[New Pos R]])</f>
        <v>2</v>
      </c>
      <c r="H2220">
        <f>IF(AND(Table13[[#This Row],[Direction]]="L",Table13[[#This Row],[Steps]]&gt;G2219,G2219&lt;&gt;0),1,0)</f>
        <v>0</v>
      </c>
      <c r="I2220">
        <f>IF(AND(Table13[[#This Row],[Direction]]="R",(G2219+Table13[[#This Row],[Steps]])&gt;100),1,0)</f>
        <v>0</v>
      </c>
      <c r="J2220">
        <f>IF(Table13[[#This Row],[POS]]=0,1,0)</f>
        <v>0</v>
      </c>
      <c r="K2220">
        <f>SUM(Table13[[#This Row],[prefix]],Table13[[#This Row],[Past zero L]],Table13[[#This Row],[Past Zero R]],Table13[[#This Row],[Is Zero]])</f>
        <v>3</v>
      </c>
    </row>
    <row r="2221" spans="1:11" ht="16" x14ac:dyDescent="0.2">
      <c r="A2221" s="1" t="s">
        <v>584</v>
      </c>
      <c r="B2221" t="str">
        <f>LEFT(Table13[[#This Row],[Input]],1)</f>
        <v>R</v>
      </c>
      <c r="C2221">
        <f>_xlfn.LET(_xlpm.steps,SUBSTITUTE(Table13[[#This Row],[Input]],Table13[[#This Row],[Direction]],""),VALUE(IF(LEN(_xlpm.steps)&gt;2,RIGHT(_xlpm.steps,2),_xlpm.steps)))</f>
        <v>96</v>
      </c>
      <c r="D2221">
        <f>_xlfn.LET(_xlpm.steps,SUBSTITUTE(Table13[[#This Row],[Input]],Table13[[#This Row],[Direction]],""),VALUE(IF(LEN(_xlpm.steps)&gt;2,LEFT(_xlpm.steps,LEN(_xlpm.steps)-2),0)))</f>
        <v>7</v>
      </c>
      <c r="E2221">
        <f>_xlfn.LET(_xlpm.dir,Table13[[#This Row],[Direction]],
IF(_xlpm.dir="L",
    IF(G2220-Table13[[#This Row],[Steps]]&lt;0,100+(G2220-Table13[[#This Row],[Steps]]),G2220-Table13[[#This Row],[Steps]]),
))</f>
        <v>0</v>
      </c>
      <c r="F2221">
        <f>_xlfn.LET(_xlpm.dir,Table13[[#This Row],[Direction]],
IF(_xlpm.dir="R",
    IF(G2220+Table13[[#This Row],[Steps]]&gt;99,(G2220+Table13[[#This Row],[Steps]])-100,G2220+Table13[[#This Row],[Steps]]),
))</f>
        <v>98</v>
      </c>
      <c r="G2221">
        <f>IF(Table13[[#This Row],[New Pos L]]&lt;&gt;0,Table13[[#This Row],[New Pos L]],Table13[[#This Row],[New Pos R]])</f>
        <v>98</v>
      </c>
      <c r="H2221">
        <f>IF(AND(Table13[[#This Row],[Direction]]="L",Table13[[#This Row],[Steps]]&gt;G2220,G2220&lt;&gt;0),1,0)</f>
        <v>0</v>
      </c>
      <c r="I2221">
        <f>IF(AND(Table13[[#This Row],[Direction]]="R",(G2220+Table13[[#This Row],[Steps]])&gt;100),1,0)</f>
        <v>0</v>
      </c>
      <c r="J2221">
        <f>IF(Table13[[#This Row],[POS]]=0,1,0)</f>
        <v>0</v>
      </c>
      <c r="K2221">
        <f>SUM(Table13[[#This Row],[prefix]],Table13[[#This Row],[Past zero L]],Table13[[#This Row],[Past Zero R]],Table13[[#This Row],[Is Zero]])</f>
        <v>7</v>
      </c>
    </row>
    <row r="2222" spans="1:11" ht="16" x14ac:dyDescent="0.2">
      <c r="A2222" s="1" t="s">
        <v>244</v>
      </c>
      <c r="B2222" t="str">
        <f>LEFT(Table13[[#This Row],[Input]],1)</f>
        <v>L</v>
      </c>
      <c r="C2222">
        <f>_xlfn.LET(_xlpm.steps,SUBSTITUTE(Table13[[#This Row],[Input]],Table13[[#This Row],[Direction]],""),VALUE(IF(LEN(_xlpm.steps)&gt;2,RIGHT(_xlpm.steps,2),_xlpm.steps)))</f>
        <v>98</v>
      </c>
      <c r="D2222">
        <f>_xlfn.LET(_xlpm.steps,SUBSTITUTE(Table13[[#This Row],[Input]],Table13[[#This Row],[Direction]],""),VALUE(IF(LEN(_xlpm.steps)&gt;2,LEFT(_xlpm.steps,LEN(_xlpm.steps)-2),0)))</f>
        <v>0</v>
      </c>
      <c r="E2222">
        <f>_xlfn.LET(_xlpm.dir,Table13[[#This Row],[Direction]],
IF(_xlpm.dir="L",
    IF(G2221-Table13[[#This Row],[Steps]]&lt;0,100+(G2221-Table13[[#This Row],[Steps]]),G2221-Table13[[#This Row],[Steps]]),
))</f>
        <v>0</v>
      </c>
      <c r="F2222">
        <f>_xlfn.LET(_xlpm.dir,Table13[[#This Row],[Direction]],
IF(_xlpm.dir="R",
    IF(G2221+Table13[[#This Row],[Steps]]&gt;99,(G2221+Table13[[#This Row],[Steps]])-100,G2221+Table13[[#This Row],[Steps]]),
))</f>
        <v>0</v>
      </c>
      <c r="G2222">
        <f>IF(Table13[[#This Row],[New Pos L]]&lt;&gt;0,Table13[[#This Row],[New Pos L]],Table13[[#This Row],[New Pos R]])</f>
        <v>0</v>
      </c>
      <c r="H2222">
        <f>IF(AND(Table13[[#This Row],[Direction]]="L",Table13[[#This Row],[Steps]]&gt;G2221,G2221&lt;&gt;0),1,0)</f>
        <v>0</v>
      </c>
      <c r="I2222">
        <f>IF(AND(Table13[[#This Row],[Direction]]="R",(G2221+Table13[[#This Row],[Steps]])&gt;100),1,0)</f>
        <v>0</v>
      </c>
      <c r="J2222">
        <f>IF(Table13[[#This Row],[POS]]=0,1,0)</f>
        <v>1</v>
      </c>
      <c r="K2222">
        <f>SUM(Table13[[#This Row],[prefix]],Table13[[#This Row],[Past zero L]],Table13[[#This Row],[Past Zero R]],Table13[[#This Row],[Is Zero]])</f>
        <v>1</v>
      </c>
    </row>
    <row r="2223" spans="1:11" ht="16" x14ac:dyDescent="0.2">
      <c r="A2223" s="1" t="s">
        <v>5</v>
      </c>
      <c r="B2223" t="str">
        <f>LEFT(Table13[[#This Row],[Input]],1)</f>
        <v>R</v>
      </c>
      <c r="C2223">
        <f>_xlfn.LET(_xlpm.steps,SUBSTITUTE(Table13[[#This Row],[Input]],Table13[[#This Row],[Direction]],""),VALUE(IF(LEN(_xlpm.steps)&gt;2,RIGHT(_xlpm.steps,2),_xlpm.steps)))</f>
        <v>1</v>
      </c>
      <c r="D2223">
        <f>_xlfn.LET(_xlpm.steps,SUBSTITUTE(Table13[[#This Row],[Input]],Table13[[#This Row],[Direction]],""),VALUE(IF(LEN(_xlpm.steps)&gt;2,LEFT(_xlpm.steps,LEN(_xlpm.steps)-2),0)))</f>
        <v>0</v>
      </c>
      <c r="E2223">
        <f>_xlfn.LET(_xlpm.dir,Table13[[#This Row],[Direction]],
IF(_xlpm.dir="L",
    IF(G2222-Table13[[#This Row],[Steps]]&lt;0,100+(G2222-Table13[[#This Row],[Steps]]),G2222-Table13[[#This Row],[Steps]]),
))</f>
        <v>0</v>
      </c>
      <c r="F2223">
        <f>_xlfn.LET(_xlpm.dir,Table13[[#This Row],[Direction]],
IF(_xlpm.dir="R",
    IF(G2222+Table13[[#This Row],[Steps]]&gt;99,(G2222+Table13[[#This Row],[Steps]])-100,G2222+Table13[[#This Row],[Steps]]),
))</f>
        <v>1</v>
      </c>
      <c r="G2223">
        <f>IF(Table13[[#This Row],[New Pos L]]&lt;&gt;0,Table13[[#This Row],[New Pos L]],Table13[[#This Row],[New Pos R]])</f>
        <v>1</v>
      </c>
      <c r="H2223">
        <f>IF(AND(Table13[[#This Row],[Direction]]="L",Table13[[#This Row],[Steps]]&gt;G2222,G2222&lt;&gt;0),1,0)</f>
        <v>0</v>
      </c>
      <c r="I2223">
        <f>IF(AND(Table13[[#This Row],[Direction]]="R",(G2222+Table13[[#This Row],[Steps]])&gt;100),1,0)</f>
        <v>0</v>
      </c>
      <c r="J2223">
        <f>IF(Table13[[#This Row],[POS]]=0,1,0)</f>
        <v>0</v>
      </c>
      <c r="K2223">
        <f>SUM(Table13[[#This Row],[prefix]],Table13[[#This Row],[Past zero L]],Table13[[#This Row],[Past Zero R]],Table13[[#This Row],[Is Zero]])</f>
        <v>0</v>
      </c>
    </row>
    <row r="2224" spans="1:11" ht="16" x14ac:dyDescent="0.2">
      <c r="A2224" s="1" t="s">
        <v>131</v>
      </c>
      <c r="B2224" t="str">
        <f>LEFT(Table13[[#This Row],[Input]],1)</f>
        <v>R</v>
      </c>
      <c r="C2224">
        <f>_xlfn.LET(_xlpm.steps,SUBSTITUTE(Table13[[#This Row],[Input]],Table13[[#This Row],[Direction]],""),VALUE(IF(LEN(_xlpm.steps)&gt;2,RIGHT(_xlpm.steps,2),_xlpm.steps)))</f>
        <v>99</v>
      </c>
      <c r="D2224">
        <f>_xlfn.LET(_xlpm.steps,SUBSTITUTE(Table13[[#This Row],[Input]],Table13[[#This Row],[Direction]],""),VALUE(IF(LEN(_xlpm.steps)&gt;2,LEFT(_xlpm.steps,LEN(_xlpm.steps)-2),0)))</f>
        <v>0</v>
      </c>
      <c r="E2224">
        <f>_xlfn.LET(_xlpm.dir,Table13[[#This Row],[Direction]],
IF(_xlpm.dir="L",
    IF(G2223-Table13[[#This Row],[Steps]]&lt;0,100+(G2223-Table13[[#This Row],[Steps]]),G2223-Table13[[#This Row],[Steps]]),
))</f>
        <v>0</v>
      </c>
      <c r="F2224">
        <f>_xlfn.LET(_xlpm.dir,Table13[[#This Row],[Direction]],
IF(_xlpm.dir="R",
    IF(G2223+Table13[[#This Row],[Steps]]&gt;99,(G2223+Table13[[#This Row],[Steps]])-100,G2223+Table13[[#This Row],[Steps]]),
))</f>
        <v>0</v>
      </c>
      <c r="G2224">
        <f>IF(Table13[[#This Row],[New Pos L]]&lt;&gt;0,Table13[[#This Row],[New Pos L]],Table13[[#This Row],[New Pos R]])</f>
        <v>0</v>
      </c>
      <c r="H2224">
        <f>IF(AND(Table13[[#This Row],[Direction]]="L",Table13[[#This Row],[Steps]]&gt;G2223,G2223&lt;&gt;0),1,0)</f>
        <v>0</v>
      </c>
      <c r="I2224">
        <f>IF(AND(Table13[[#This Row],[Direction]]="R",(G2223+Table13[[#This Row],[Steps]])&gt;100),1,0)</f>
        <v>0</v>
      </c>
      <c r="J2224">
        <f>IF(Table13[[#This Row],[POS]]=0,1,0)</f>
        <v>1</v>
      </c>
      <c r="K2224">
        <f>SUM(Table13[[#This Row],[prefix]],Table13[[#This Row],[Past zero L]],Table13[[#This Row],[Past Zero R]],Table13[[#This Row],[Is Zero]])</f>
        <v>1</v>
      </c>
    </row>
    <row r="2225" spans="1:11" ht="16" x14ac:dyDescent="0.2">
      <c r="A2225" s="1" t="s">
        <v>37</v>
      </c>
      <c r="B2225" t="str">
        <f>LEFT(Table13[[#This Row],[Input]],1)</f>
        <v>L</v>
      </c>
      <c r="C2225">
        <f>_xlfn.LET(_xlpm.steps,SUBSTITUTE(Table13[[#This Row],[Input]],Table13[[#This Row],[Direction]],""),VALUE(IF(LEN(_xlpm.steps)&gt;2,RIGHT(_xlpm.steps,2),_xlpm.steps)))</f>
        <v>42</v>
      </c>
      <c r="D2225">
        <f>_xlfn.LET(_xlpm.steps,SUBSTITUTE(Table13[[#This Row],[Input]],Table13[[#This Row],[Direction]],""),VALUE(IF(LEN(_xlpm.steps)&gt;2,LEFT(_xlpm.steps,LEN(_xlpm.steps)-2),0)))</f>
        <v>0</v>
      </c>
      <c r="E2225">
        <f>_xlfn.LET(_xlpm.dir,Table13[[#This Row],[Direction]],
IF(_xlpm.dir="L",
    IF(G2224-Table13[[#This Row],[Steps]]&lt;0,100+(G2224-Table13[[#This Row],[Steps]]),G2224-Table13[[#This Row],[Steps]]),
))</f>
        <v>58</v>
      </c>
      <c r="F2225">
        <f>_xlfn.LET(_xlpm.dir,Table13[[#This Row],[Direction]],
IF(_xlpm.dir="R",
    IF(G2224+Table13[[#This Row],[Steps]]&gt;99,(G2224+Table13[[#This Row],[Steps]])-100,G2224+Table13[[#This Row],[Steps]]),
))</f>
        <v>0</v>
      </c>
      <c r="G2225">
        <f>IF(Table13[[#This Row],[New Pos L]]&lt;&gt;0,Table13[[#This Row],[New Pos L]],Table13[[#This Row],[New Pos R]])</f>
        <v>58</v>
      </c>
      <c r="H2225">
        <f>IF(AND(Table13[[#This Row],[Direction]]="L",Table13[[#This Row],[Steps]]&gt;G2224,G2224&lt;&gt;0),1,0)</f>
        <v>0</v>
      </c>
      <c r="I2225">
        <f>IF(AND(Table13[[#This Row],[Direction]]="R",(G2224+Table13[[#This Row],[Steps]])&gt;100),1,0)</f>
        <v>0</v>
      </c>
      <c r="J2225">
        <f>IF(Table13[[#This Row],[POS]]=0,1,0)</f>
        <v>0</v>
      </c>
      <c r="K2225">
        <f>SUM(Table13[[#This Row],[prefix]],Table13[[#This Row],[Past zero L]],Table13[[#This Row],[Past Zero R]],Table13[[#This Row],[Is Zero]])</f>
        <v>0</v>
      </c>
    </row>
    <row r="2226" spans="1:11" ht="16" x14ac:dyDescent="0.2">
      <c r="A2226" s="1" t="s">
        <v>276</v>
      </c>
      <c r="B2226" t="str">
        <f>LEFT(Table13[[#This Row],[Input]],1)</f>
        <v>L</v>
      </c>
      <c r="C2226">
        <f>_xlfn.LET(_xlpm.steps,SUBSTITUTE(Table13[[#This Row],[Input]],Table13[[#This Row],[Direction]],""),VALUE(IF(LEN(_xlpm.steps)&gt;2,RIGHT(_xlpm.steps,2),_xlpm.steps)))</f>
        <v>60</v>
      </c>
      <c r="D2226">
        <f>_xlfn.LET(_xlpm.steps,SUBSTITUTE(Table13[[#This Row],[Input]],Table13[[#This Row],[Direction]],""),VALUE(IF(LEN(_xlpm.steps)&gt;2,LEFT(_xlpm.steps,LEN(_xlpm.steps)-2),0)))</f>
        <v>0</v>
      </c>
      <c r="E2226">
        <f>_xlfn.LET(_xlpm.dir,Table13[[#This Row],[Direction]],
IF(_xlpm.dir="L",
    IF(G2225-Table13[[#This Row],[Steps]]&lt;0,100+(G2225-Table13[[#This Row],[Steps]]),G2225-Table13[[#This Row],[Steps]]),
))</f>
        <v>98</v>
      </c>
      <c r="F2226">
        <f>_xlfn.LET(_xlpm.dir,Table13[[#This Row],[Direction]],
IF(_xlpm.dir="R",
    IF(G2225+Table13[[#This Row],[Steps]]&gt;99,(G2225+Table13[[#This Row],[Steps]])-100,G2225+Table13[[#This Row],[Steps]]),
))</f>
        <v>0</v>
      </c>
      <c r="G2226">
        <f>IF(Table13[[#This Row],[New Pos L]]&lt;&gt;0,Table13[[#This Row],[New Pos L]],Table13[[#This Row],[New Pos R]])</f>
        <v>98</v>
      </c>
      <c r="H2226">
        <f>IF(AND(Table13[[#This Row],[Direction]]="L",Table13[[#This Row],[Steps]]&gt;G2225,G2225&lt;&gt;0),1,0)</f>
        <v>1</v>
      </c>
      <c r="I2226">
        <f>IF(AND(Table13[[#This Row],[Direction]]="R",(G2225+Table13[[#This Row],[Steps]])&gt;100),1,0)</f>
        <v>0</v>
      </c>
      <c r="J2226">
        <f>IF(Table13[[#This Row],[POS]]=0,1,0)</f>
        <v>0</v>
      </c>
      <c r="K2226">
        <f>SUM(Table13[[#This Row],[prefix]],Table13[[#This Row],[Past zero L]],Table13[[#This Row],[Past Zero R]],Table13[[#This Row],[Is Zero]])</f>
        <v>1</v>
      </c>
    </row>
    <row r="2227" spans="1:11" ht="16" x14ac:dyDescent="0.2">
      <c r="A2227" s="1" t="s">
        <v>75</v>
      </c>
      <c r="B2227" t="str">
        <f>LEFT(Table13[[#This Row],[Input]],1)</f>
        <v>R</v>
      </c>
      <c r="C2227">
        <f>_xlfn.LET(_xlpm.steps,SUBSTITUTE(Table13[[#This Row],[Input]],Table13[[#This Row],[Direction]],""),VALUE(IF(LEN(_xlpm.steps)&gt;2,RIGHT(_xlpm.steps,2),_xlpm.steps)))</f>
        <v>2</v>
      </c>
      <c r="D2227">
        <f>_xlfn.LET(_xlpm.steps,SUBSTITUTE(Table13[[#This Row],[Input]],Table13[[#This Row],[Direction]],""),VALUE(IF(LEN(_xlpm.steps)&gt;2,LEFT(_xlpm.steps,LEN(_xlpm.steps)-2),0)))</f>
        <v>0</v>
      </c>
      <c r="E2227">
        <f>_xlfn.LET(_xlpm.dir,Table13[[#This Row],[Direction]],
IF(_xlpm.dir="L",
    IF(G2226-Table13[[#This Row],[Steps]]&lt;0,100+(G2226-Table13[[#This Row],[Steps]]),G2226-Table13[[#This Row],[Steps]]),
))</f>
        <v>0</v>
      </c>
      <c r="F2227">
        <f>_xlfn.LET(_xlpm.dir,Table13[[#This Row],[Direction]],
IF(_xlpm.dir="R",
    IF(G2226+Table13[[#This Row],[Steps]]&gt;99,(G2226+Table13[[#This Row],[Steps]])-100,G2226+Table13[[#This Row],[Steps]]),
))</f>
        <v>0</v>
      </c>
      <c r="G2227">
        <f>IF(Table13[[#This Row],[New Pos L]]&lt;&gt;0,Table13[[#This Row],[New Pos L]],Table13[[#This Row],[New Pos R]])</f>
        <v>0</v>
      </c>
      <c r="H2227">
        <f>IF(AND(Table13[[#This Row],[Direction]]="L",Table13[[#This Row],[Steps]]&gt;G2226,G2226&lt;&gt;0),1,0)</f>
        <v>0</v>
      </c>
      <c r="I2227">
        <f>IF(AND(Table13[[#This Row],[Direction]]="R",(G2226+Table13[[#This Row],[Steps]])&gt;100),1,0)</f>
        <v>0</v>
      </c>
      <c r="J2227">
        <f>IF(Table13[[#This Row],[POS]]=0,1,0)</f>
        <v>1</v>
      </c>
      <c r="K2227">
        <f>SUM(Table13[[#This Row],[prefix]],Table13[[#This Row],[Past zero L]],Table13[[#This Row],[Past Zero R]],Table13[[#This Row],[Is Zero]])</f>
        <v>1</v>
      </c>
    </row>
    <row r="2228" spans="1:11" ht="16" x14ac:dyDescent="0.2">
      <c r="A2228" s="1" t="s">
        <v>1</v>
      </c>
      <c r="B2228" t="str">
        <f>LEFT(Table13[[#This Row],[Input]],1)</f>
        <v>R</v>
      </c>
      <c r="C2228">
        <f>_xlfn.LET(_xlpm.steps,SUBSTITUTE(Table13[[#This Row],[Input]],Table13[[#This Row],[Direction]],""),VALUE(IF(LEN(_xlpm.steps)&gt;2,RIGHT(_xlpm.steps,2),_xlpm.steps)))</f>
        <v>26</v>
      </c>
      <c r="D2228">
        <f>_xlfn.LET(_xlpm.steps,SUBSTITUTE(Table13[[#This Row],[Input]],Table13[[#This Row],[Direction]],""),VALUE(IF(LEN(_xlpm.steps)&gt;2,LEFT(_xlpm.steps,LEN(_xlpm.steps)-2),0)))</f>
        <v>0</v>
      </c>
      <c r="E2228">
        <f>_xlfn.LET(_xlpm.dir,Table13[[#This Row],[Direction]],
IF(_xlpm.dir="L",
    IF(G2227-Table13[[#This Row],[Steps]]&lt;0,100+(G2227-Table13[[#This Row],[Steps]]),G2227-Table13[[#This Row],[Steps]]),
))</f>
        <v>0</v>
      </c>
      <c r="F2228">
        <f>_xlfn.LET(_xlpm.dir,Table13[[#This Row],[Direction]],
IF(_xlpm.dir="R",
    IF(G2227+Table13[[#This Row],[Steps]]&gt;99,(G2227+Table13[[#This Row],[Steps]])-100,G2227+Table13[[#This Row],[Steps]]),
))</f>
        <v>26</v>
      </c>
      <c r="G2228">
        <f>IF(Table13[[#This Row],[New Pos L]]&lt;&gt;0,Table13[[#This Row],[New Pos L]],Table13[[#This Row],[New Pos R]])</f>
        <v>26</v>
      </c>
      <c r="H2228">
        <f>IF(AND(Table13[[#This Row],[Direction]]="L",Table13[[#This Row],[Steps]]&gt;G2227,G2227&lt;&gt;0),1,0)</f>
        <v>0</v>
      </c>
      <c r="I2228">
        <f>IF(AND(Table13[[#This Row],[Direction]]="R",(G2227+Table13[[#This Row],[Steps]])&gt;100),1,0)</f>
        <v>0</v>
      </c>
      <c r="J2228">
        <f>IF(Table13[[#This Row],[POS]]=0,1,0)</f>
        <v>0</v>
      </c>
      <c r="K2228">
        <f>SUM(Table13[[#This Row],[prefix]],Table13[[#This Row],[Past zero L]],Table13[[#This Row],[Past Zero R]],Table13[[#This Row],[Is Zero]])</f>
        <v>0</v>
      </c>
    </row>
    <row r="2229" spans="1:11" ht="16" x14ac:dyDescent="0.2">
      <c r="A2229" s="1" t="s">
        <v>288</v>
      </c>
      <c r="B2229" t="str">
        <f>LEFT(Table13[[#This Row],[Input]],1)</f>
        <v>R</v>
      </c>
      <c r="C2229">
        <f>_xlfn.LET(_xlpm.steps,SUBSTITUTE(Table13[[#This Row],[Input]],Table13[[#This Row],[Direction]],""),VALUE(IF(LEN(_xlpm.steps)&gt;2,RIGHT(_xlpm.steps,2),_xlpm.steps)))</f>
        <v>25</v>
      </c>
      <c r="D2229">
        <f>_xlfn.LET(_xlpm.steps,SUBSTITUTE(Table13[[#This Row],[Input]],Table13[[#This Row],[Direction]],""),VALUE(IF(LEN(_xlpm.steps)&gt;2,LEFT(_xlpm.steps,LEN(_xlpm.steps)-2),0)))</f>
        <v>0</v>
      </c>
      <c r="E2229">
        <f>_xlfn.LET(_xlpm.dir,Table13[[#This Row],[Direction]],
IF(_xlpm.dir="L",
    IF(G2228-Table13[[#This Row],[Steps]]&lt;0,100+(G2228-Table13[[#This Row],[Steps]]),G2228-Table13[[#This Row],[Steps]]),
))</f>
        <v>0</v>
      </c>
      <c r="F2229">
        <f>_xlfn.LET(_xlpm.dir,Table13[[#This Row],[Direction]],
IF(_xlpm.dir="R",
    IF(G2228+Table13[[#This Row],[Steps]]&gt;99,(G2228+Table13[[#This Row],[Steps]])-100,G2228+Table13[[#This Row],[Steps]]),
))</f>
        <v>51</v>
      </c>
      <c r="G2229">
        <f>IF(Table13[[#This Row],[New Pos L]]&lt;&gt;0,Table13[[#This Row],[New Pos L]],Table13[[#This Row],[New Pos R]])</f>
        <v>51</v>
      </c>
      <c r="H2229">
        <f>IF(AND(Table13[[#This Row],[Direction]]="L",Table13[[#This Row],[Steps]]&gt;G2228,G2228&lt;&gt;0),1,0)</f>
        <v>0</v>
      </c>
      <c r="I2229">
        <f>IF(AND(Table13[[#This Row],[Direction]]="R",(G2228+Table13[[#This Row],[Steps]])&gt;100),1,0)</f>
        <v>0</v>
      </c>
      <c r="J2229">
        <f>IF(Table13[[#This Row],[POS]]=0,1,0)</f>
        <v>0</v>
      </c>
      <c r="K2229">
        <f>SUM(Table13[[#This Row],[prefix]],Table13[[#This Row],[Past zero L]],Table13[[#This Row],[Past Zero R]],Table13[[#This Row],[Is Zero]])</f>
        <v>0</v>
      </c>
    </row>
    <row r="2230" spans="1:11" ht="16" x14ac:dyDescent="0.2">
      <c r="A2230" s="1" t="s">
        <v>6</v>
      </c>
      <c r="B2230" t="str">
        <f>LEFT(Table13[[#This Row],[Input]],1)</f>
        <v>R</v>
      </c>
      <c r="C2230">
        <f>_xlfn.LET(_xlpm.steps,SUBSTITUTE(Table13[[#This Row],[Input]],Table13[[#This Row],[Direction]],""),VALUE(IF(LEN(_xlpm.steps)&gt;2,RIGHT(_xlpm.steps,2),_xlpm.steps)))</f>
        <v>49</v>
      </c>
      <c r="D2230">
        <f>_xlfn.LET(_xlpm.steps,SUBSTITUTE(Table13[[#This Row],[Input]],Table13[[#This Row],[Direction]],""),VALUE(IF(LEN(_xlpm.steps)&gt;2,LEFT(_xlpm.steps,LEN(_xlpm.steps)-2),0)))</f>
        <v>0</v>
      </c>
      <c r="E2230">
        <f>_xlfn.LET(_xlpm.dir,Table13[[#This Row],[Direction]],
IF(_xlpm.dir="L",
    IF(G2229-Table13[[#This Row],[Steps]]&lt;0,100+(G2229-Table13[[#This Row],[Steps]]),G2229-Table13[[#This Row],[Steps]]),
))</f>
        <v>0</v>
      </c>
      <c r="F2230">
        <f>_xlfn.LET(_xlpm.dir,Table13[[#This Row],[Direction]],
IF(_xlpm.dir="R",
    IF(G2229+Table13[[#This Row],[Steps]]&gt;99,(G2229+Table13[[#This Row],[Steps]])-100,G2229+Table13[[#This Row],[Steps]]),
))</f>
        <v>0</v>
      </c>
      <c r="G2230">
        <f>IF(Table13[[#This Row],[New Pos L]]&lt;&gt;0,Table13[[#This Row],[New Pos L]],Table13[[#This Row],[New Pos R]])</f>
        <v>0</v>
      </c>
      <c r="H2230">
        <f>IF(AND(Table13[[#This Row],[Direction]]="L",Table13[[#This Row],[Steps]]&gt;G2229,G2229&lt;&gt;0),1,0)</f>
        <v>0</v>
      </c>
      <c r="I2230">
        <f>IF(AND(Table13[[#This Row],[Direction]]="R",(G2229+Table13[[#This Row],[Steps]])&gt;100),1,0)</f>
        <v>0</v>
      </c>
      <c r="J2230">
        <f>IF(Table13[[#This Row],[POS]]=0,1,0)</f>
        <v>1</v>
      </c>
      <c r="K2230">
        <f>SUM(Table13[[#This Row],[prefix]],Table13[[#This Row],[Past zero L]],Table13[[#This Row],[Past Zero R]],Table13[[#This Row],[Is Zero]])</f>
        <v>1</v>
      </c>
    </row>
    <row r="2231" spans="1:11" ht="16" x14ac:dyDescent="0.2">
      <c r="A2231" s="1" t="s">
        <v>105</v>
      </c>
      <c r="B2231" t="str">
        <f>LEFT(Table13[[#This Row],[Input]],1)</f>
        <v>R</v>
      </c>
      <c r="C2231">
        <f>_xlfn.LET(_xlpm.steps,SUBSTITUTE(Table13[[#This Row],[Input]],Table13[[#This Row],[Direction]],""),VALUE(IF(LEN(_xlpm.steps)&gt;2,RIGHT(_xlpm.steps,2),_xlpm.steps)))</f>
        <v>98</v>
      </c>
      <c r="D2231">
        <f>_xlfn.LET(_xlpm.steps,SUBSTITUTE(Table13[[#This Row],[Input]],Table13[[#This Row],[Direction]],""),VALUE(IF(LEN(_xlpm.steps)&gt;2,LEFT(_xlpm.steps,LEN(_xlpm.steps)-2),0)))</f>
        <v>0</v>
      </c>
      <c r="E2231">
        <f>_xlfn.LET(_xlpm.dir,Table13[[#This Row],[Direction]],
IF(_xlpm.dir="L",
    IF(G2230-Table13[[#This Row],[Steps]]&lt;0,100+(G2230-Table13[[#This Row],[Steps]]),G2230-Table13[[#This Row],[Steps]]),
))</f>
        <v>0</v>
      </c>
      <c r="F2231">
        <f>_xlfn.LET(_xlpm.dir,Table13[[#This Row],[Direction]],
IF(_xlpm.dir="R",
    IF(G2230+Table13[[#This Row],[Steps]]&gt;99,(G2230+Table13[[#This Row],[Steps]])-100,G2230+Table13[[#This Row],[Steps]]),
))</f>
        <v>98</v>
      </c>
      <c r="G2231">
        <f>IF(Table13[[#This Row],[New Pos L]]&lt;&gt;0,Table13[[#This Row],[New Pos L]],Table13[[#This Row],[New Pos R]])</f>
        <v>98</v>
      </c>
      <c r="H2231">
        <f>IF(AND(Table13[[#This Row],[Direction]]="L",Table13[[#This Row],[Steps]]&gt;G2230,G2230&lt;&gt;0),1,0)</f>
        <v>0</v>
      </c>
      <c r="I2231">
        <f>IF(AND(Table13[[#This Row],[Direction]]="R",(G2230+Table13[[#This Row],[Steps]])&gt;100),1,0)</f>
        <v>0</v>
      </c>
      <c r="J2231">
        <f>IF(Table13[[#This Row],[POS]]=0,1,0)</f>
        <v>0</v>
      </c>
      <c r="K2231">
        <f>SUM(Table13[[#This Row],[prefix]],Table13[[#This Row],[Past zero L]],Table13[[#This Row],[Past Zero R]],Table13[[#This Row],[Is Zero]])</f>
        <v>0</v>
      </c>
    </row>
    <row r="2232" spans="1:11" ht="16" x14ac:dyDescent="0.2">
      <c r="A2232" s="1" t="s">
        <v>21</v>
      </c>
      <c r="B2232" t="str">
        <f>LEFT(Table13[[#This Row],[Input]],1)</f>
        <v>L</v>
      </c>
      <c r="C2232">
        <f>_xlfn.LET(_xlpm.steps,SUBSTITUTE(Table13[[#This Row],[Input]],Table13[[#This Row],[Direction]],""),VALUE(IF(LEN(_xlpm.steps)&gt;2,RIGHT(_xlpm.steps,2),_xlpm.steps)))</f>
        <v>36</v>
      </c>
      <c r="D2232">
        <f>_xlfn.LET(_xlpm.steps,SUBSTITUTE(Table13[[#This Row],[Input]],Table13[[#This Row],[Direction]],""),VALUE(IF(LEN(_xlpm.steps)&gt;2,LEFT(_xlpm.steps,LEN(_xlpm.steps)-2),0)))</f>
        <v>0</v>
      </c>
      <c r="E2232">
        <f>_xlfn.LET(_xlpm.dir,Table13[[#This Row],[Direction]],
IF(_xlpm.dir="L",
    IF(G2231-Table13[[#This Row],[Steps]]&lt;0,100+(G2231-Table13[[#This Row],[Steps]]),G2231-Table13[[#This Row],[Steps]]),
))</f>
        <v>62</v>
      </c>
      <c r="F2232">
        <f>_xlfn.LET(_xlpm.dir,Table13[[#This Row],[Direction]],
IF(_xlpm.dir="R",
    IF(G2231+Table13[[#This Row],[Steps]]&gt;99,(G2231+Table13[[#This Row],[Steps]])-100,G2231+Table13[[#This Row],[Steps]]),
))</f>
        <v>0</v>
      </c>
      <c r="G2232">
        <f>IF(Table13[[#This Row],[New Pos L]]&lt;&gt;0,Table13[[#This Row],[New Pos L]],Table13[[#This Row],[New Pos R]])</f>
        <v>62</v>
      </c>
      <c r="H2232">
        <f>IF(AND(Table13[[#This Row],[Direction]]="L",Table13[[#This Row],[Steps]]&gt;G2231,G2231&lt;&gt;0),1,0)</f>
        <v>0</v>
      </c>
      <c r="I2232">
        <f>IF(AND(Table13[[#This Row],[Direction]]="R",(G2231+Table13[[#This Row],[Steps]])&gt;100),1,0)</f>
        <v>0</v>
      </c>
      <c r="J2232">
        <f>IF(Table13[[#This Row],[POS]]=0,1,0)</f>
        <v>0</v>
      </c>
      <c r="K2232">
        <f>SUM(Table13[[#This Row],[prefix]],Table13[[#This Row],[Past zero L]],Table13[[#This Row],[Past Zero R]],Table13[[#This Row],[Is Zero]])</f>
        <v>0</v>
      </c>
    </row>
    <row r="2233" spans="1:11" ht="16" x14ac:dyDescent="0.2">
      <c r="A2233" s="1" t="s">
        <v>192</v>
      </c>
      <c r="B2233" t="str">
        <f>LEFT(Table13[[#This Row],[Input]],1)</f>
        <v>L</v>
      </c>
      <c r="C2233">
        <f>_xlfn.LET(_xlpm.steps,SUBSTITUTE(Table13[[#This Row],[Input]],Table13[[#This Row],[Direction]],""),VALUE(IF(LEN(_xlpm.steps)&gt;2,RIGHT(_xlpm.steps,2),_xlpm.steps)))</f>
        <v>52</v>
      </c>
      <c r="D2233">
        <f>_xlfn.LET(_xlpm.steps,SUBSTITUTE(Table13[[#This Row],[Input]],Table13[[#This Row],[Direction]],""),VALUE(IF(LEN(_xlpm.steps)&gt;2,LEFT(_xlpm.steps,LEN(_xlpm.steps)-2),0)))</f>
        <v>0</v>
      </c>
      <c r="E2233">
        <f>_xlfn.LET(_xlpm.dir,Table13[[#This Row],[Direction]],
IF(_xlpm.dir="L",
    IF(G2232-Table13[[#This Row],[Steps]]&lt;0,100+(G2232-Table13[[#This Row],[Steps]]),G2232-Table13[[#This Row],[Steps]]),
))</f>
        <v>10</v>
      </c>
      <c r="F2233">
        <f>_xlfn.LET(_xlpm.dir,Table13[[#This Row],[Direction]],
IF(_xlpm.dir="R",
    IF(G2232+Table13[[#This Row],[Steps]]&gt;99,(G2232+Table13[[#This Row],[Steps]])-100,G2232+Table13[[#This Row],[Steps]]),
))</f>
        <v>0</v>
      </c>
      <c r="G2233">
        <f>IF(Table13[[#This Row],[New Pos L]]&lt;&gt;0,Table13[[#This Row],[New Pos L]],Table13[[#This Row],[New Pos R]])</f>
        <v>10</v>
      </c>
      <c r="H2233">
        <f>IF(AND(Table13[[#This Row],[Direction]]="L",Table13[[#This Row],[Steps]]&gt;G2232,G2232&lt;&gt;0),1,0)</f>
        <v>0</v>
      </c>
      <c r="I2233">
        <f>IF(AND(Table13[[#This Row],[Direction]]="R",(G2232+Table13[[#This Row],[Steps]])&gt;100),1,0)</f>
        <v>0</v>
      </c>
      <c r="J2233">
        <f>IF(Table13[[#This Row],[POS]]=0,1,0)</f>
        <v>0</v>
      </c>
      <c r="K2233">
        <f>SUM(Table13[[#This Row],[prefix]],Table13[[#This Row],[Past zero L]],Table13[[#This Row],[Past Zero R]],Table13[[#This Row],[Is Zero]])</f>
        <v>0</v>
      </c>
    </row>
    <row r="2234" spans="1:11" ht="16" x14ac:dyDescent="0.2">
      <c r="A2234" s="1" t="s">
        <v>585</v>
      </c>
      <c r="B2234" t="str">
        <f>LEFT(Table13[[#This Row],[Input]],1)</f>
        <v>R</v>
      </c>
      <c r="C2234">
        <f>_xlfn.LET(_xlpm.steps,SUBSTITUTE(Table13[[#This Row],[Input]],Table13[[#This Row],[Direction]],""),VALUE(IF(LEN(_xlpm.steps)&gt;2,RIGHT(_xlpm.steps,2),_xlpm.steps)))</f>
        <v>90</v>
      </c>
      <c r="D2234">
        <f>_xlfn.LET(_xlpm.steps,SUBSTITUTE(Table13[[#This Row],[Input]],Table13[[#This Row],[Direction]],""),VALUE(IF(LEN(_xlpm.steps)&gt;2,LEFT(_xlpm.steps,LEN(_xlpm.steps)-2),0)))</f>
        <v>2</v>
      </c>
      <c r="E2234">
        <f>_xlfn.LET(_xlpm.dir,Table13[[#This Row],[Direction]],
IF(_xlpm.dir="L",
    IF(G2233-Table13[[#This Row],[Steps]]&lt;0,100+(G2233-Table13[[#This Row],[Steps]]),G2233-Table13[[#This Row],[Steps]]),
))</f>
        <v>0</v>
      </c>
      <c r="F2234">
        <f>_xlfn.LET(_xlpm.dir,Table13[[#This Row],[Direction]],
IF(_xlpm.dir="R",
    IF(G2233+Table13[[#This Row],[Steps]]&gt;99,(G2233+Table13[[#This Row],[Steps]])-100,G2233+Table13[[#This Row],[Steps]]),
))</f>
        <v>0</v>
      </c>
      <c r="G2234">
        <f>IF(Table13[[#This Row],[New Pos L]]&lt;&gt;0,Table13[[#This Row],[New Pos L]],Table13[[#This Row],[New Pos R]])</f>
        <v>0</v>
      </c>
      <c r="H2234">
        <f>IF(AND(Table13[[#This Row],[Direction]]="L",Table13[[#This Row],[Steps]]&gt;G2233,G2233&lt;&gt;0),1,0)</f>
        <v>0</v>
      </c>
      <c r="I2234">
        <f>IF(AND(Table13[[#This Row],[Direction]]="R",(G2233+Table13[[#This Row],[Steps]])&gt;100),1,0)</f>
        <v>0</v>
      </c>
      <c r="J2234">
        <f>IF(Table13[[#This Row],[POS]]=0,1,0)</f>
        <v>1</v>
      </c>
      <c r="K2234">
        <f>SUM(Table13[[#This Row],[prefix]],Table13[[#This Row],[Past zero L]],Table13[[#This Row],[Past Zero R]],Table13[[#This Row],[Is Zero]])</f>
        <v>3</v>
      </c>
    </row>
    <row r="2235" spans="1:11" ht="16" x14ac:dyDescent="0.2">
      <c r="A2235" s="1" t="s">
        <v>83</v>
      </c>
      <c r="B2235" t="str">
        <f>LEFT(Table13[[#This Row],[Input]],1)</f>
        <v>R</v>
      </c>
      <c r="C2235">
        <f>_xlfn.LET(_xlpm.steps,SUBSTITUTE(Table13[[#This Row],[Input]],Table13[[#This Row],[Direction]],""),VALUE(IF(LEN(_xlpm.steps)&gt;2,RIGHT(_xlpm.steps,2),_xlpm.steps)))</f>
        <v>79</v>
      </c>
      <c r="D2235">
        <f>_xlfn.LET(_xlpm.steps,SUBSTITUTE(Table13[[#This Row],[Input]],Table13[[#This Row],[Direction]],""),VALUE(IF(LEN(_xlpm.steps)&gt;2,LEFT(_xlpm.steps,LEN(_xlpm.steps)-2),0)))</f>
        <v>0</v>
      </c>
      <c r="E2235">
        <f>_xlfn.LET(_xlpm.dir,Table13[[#This Row],[Direction]],
IF(_xlpm.dir="L",
    IF(G2234-Table13[[#This Row],[Steps]]&lt;0,100+(G2234-Table13[[#This Row],[Steps]]),G2234-Table13[[#This Row],[Steps]]),
))</f>
        <v>0</v>
      </c>
      <c r="F2235">
        <f>_xlfn.LET(_xlpm.dir,Table13[[#This Row],[Direction]],
IF(_xlpm.dir="R",
    IF(G2234+Table13[[#This Row],[Steps]]&gt;99,(G2234+Table13[[#This Row],[Steps]])-100,G2234+Table13[[#This Row],[Steps]]),
))</f>
        <v>79</v>
      </c>
      <c r="G2235">
        <f>IF(Table13[[#This Row],[New Pos L]]&lt;&gt;0,Table13[[#This Row],[New Pos L]],Table13[[#This Row],[New Pos R]])</f>
        <v>79</v>
      </c>
      <c r="H2235">
        <f>IF(AND(Table13[[#This Row],[Direction]]="L",Table13[[#This Row],[Steps]]&gt;G2234,G2234&lt;&gt;0),1,0)</f>
        <v>0</v>
      </c>
      <c r="I2235">
        <f>IF(AND(Table13[[#This Row],[Direction]]="R",(G2234+Table13[[#This Row],[Steps]])&gt;100),1,0)</f>
        <v>0</v>
      </c>
      <c r="J2235">
        <f>IF(Table13[[#This Row],[POS]]=0,1,0)</f>
        <v>0</v>
      </c>
      <c r="K2235">
        <f>SUM(Table13[[#This Row],[prefix]],Table13[[#This Row],[Past zero L]],Table13[[#This Row],[Past Zero R]],Table13[[#This Row],[Is Zero]])</f>
        <v>0</v>
      </c>
    </row>
    <row r="2236" spans="1:11" ht="16" x14ac:dyDescent="0.2">
      <c r="A2236" s="1" t="s">
        <v>181</v>
      </c>
      <c r="B2236" t="str">
        <f>LEFT(Table13[[#This Row],[Input]],1)</f>
        <v>L</v>
      </c>
      <c r="C2236">
        <f>_xlfn.LET(_xlpm.steps,SUBSTITUTE(Table13[[#This Row],[Input]],Table13[[#This Row],[Direction]],""),VALUE(IF(LEN(_xlpm.steps)&gt;2,RIGHT(_xlpm.steps,2),_xlpm.steps)))</f>
        <v>53</v>
      </c>
      <c r="D2236">
        <f>_xlfn.LET(_xlpm.steps,SUBSTITUTE(Table13[[#This Row],[Input]],Table13[[#This Row],[Direction]],""),VALUE(IF(LEN(_xlpm.steps)&gt;2,LEFT(_xlpm.steps,LEN(_xlpm.steps)-2),0)))</f>
        <v>0</v>
      </c>
      <c r="E2236">
        <f>_xlfn.LET(_xlpm.dir,Table13[[#This Row],[Direction]],
IF(_xlpm.dir="L",
    IF(G2235-Table13[[#This Row],[Steps]]&lt;0,100+(G2235-Table13[[#This Row],[Steps]]),G2235-Table13[[#This Row],[Steps]]),
))</f>
        <v>26</v>
      </c>
      <c r="F2236">
        <f>_xlfn.LET(_xlpm.dir,Table13[[#This Row],[Direction]],
IF(_xlpm.dir="R",
    IF(G2235+Table13[[#This Row],[Steps]]&gt;99,(G2235+Table13[[#This Row],[Steps]])-100,G2235+Table13[[#This Row],[Steps]]),
))</f>
        <v>0</v>
      </c>
      <c r="G2236">
        <f>IF(Table13[[#This Row],[New Pos L]]&lt;&gt;0,Table13[[#This Row],[New Pos L]],Table13[[#This Row],[New Pos R]])</f>
        <v>26</v>
      </c>
      <c r="H2236">
        <f>IF(AND(Table13[[#This Row],[Direction]]="L",Table13[[#This Row],[Steps]]&gt;G2235,G2235&lt;&gt;0),1,0)</f>
        <v>0</v>
      </c>
      <c r="I2236">
        <f>IF(AND(Table13[[#This Row],[Direction]]="R",(G2235+Table13[[#This Row],[Steps]])&gt;100),1,0)</f>
        <v>0</v>
      </c>
      <c r="J2236">
        <f>IF(Table13[[#This Row],[POS]]=0,1,0)</f>
        <v>0</v>
      </c>
      <c r="K2236">
        <f>SUM(Table13[[#This Row],[prefix]],Table13[[#This Row],[Past zero L]],Table13[[#This Row],[Past Zero R]],Table13[[#This Row],[Is Zero]])</f>
        <v>0</v>
      </c>
    </row>
    <row r="2237" spans="1:11" ht="16" x14ac:dyDescent="0.2">
      <c r="A2237" s="1" t="s">
        <v>304</v>
      </c>
      <c r="B2237" t="str">
        <f>LEFT(Table13[[#This Row],[Input]],1)</f>
        <v>L</v>
      </c>
      <c r="C2237">
        <f>_xlfn.LET(_xlpm.steps,SUBSTITUTE(Table13[[#This Row],[Input]],Table13[[#This Row],[Direction]],""),VALUE(IF(LEN(_xlpm.steps)&gt;2,RIGHT(_xlpm.steps,2),_xlpm.steps)))</f>
        <v>26</v>
      </c>
      <c r="D2237">
        <f>_xlfn.LET(_xlpm.steps,SUBSTITUTE(Table13[[#This Row],[Input]],Table13[[#This Row],[Direction]],""),VALUE(IF(LEN(_xlpm.steps)&gt;2,LEFT(_xlpm.steps,LEN(_xlpm.steps)-2),0)))</f>
        <v>0</v>
      </c>
      <c r="E2237">
        <f>_xlfn.LET(_xlpm.dir,Table13[[#This Row],[Direction]],
IF(_xlpm.dir="L",
    IF(G2236-Table13[[#This Row],[Steps]]&lt;0,100+(G2236-Table13[[#This Row],[Steps]]),G2236-Table13[[#This Row],[Steps]]),
))</f>
        <v>0</v>
      </c>
      <c r="F2237">
        <f>_xlfn.LET(_xlpm.dir,Table13[[#This Row],[Direction]],
IF(_xlpm.dir="R",
    IF(G2236+Table13[[#This Row],[Steps]]&gt;99,(G2236+Table13[[#This Row],[Steps]])-100,G2236+Table13[[#This Row],[Steps]]),
))</f>
        <v>0</v>
      </c>
      <c r="G2237">
        <f>IF(Table13[[#This Row],[New Pos L]]&lt;&gt;0,Table13[[#This Row],[New Pos L]],Table13[[#This Row],[New Pos R]])</f>
        <v>0</v>
      </c>
      <c r="H2237">
        <f>IF(AND(Table13[[#This Row],[Direction]]="L",Table13[[#This Row],[Steps]]&gt;G2236,G2236&lt;&gt;0),1,0)</f>
        <v>0</v>
      </c>
      <c r="I2237">
        <f>IF(AND(Table13[[#This Row],[Direction]]="R",(G2236+Table13[[#This Row],[Steps]])&gt;100),1,0)</f>
        <v>0</v>
      </c>
      <c r="J2237">
        <f>IF(Table13[[#This Row],[POS]]=0,1,0)</f>
        <v>1</v>
      </c>
      <c r="K2237">
        <f>SUM(Table13[[#This Row],[prefix]],Table13[[#This Row],[Past zero L]],Table13[[#This Row],[Past Zero R]],Table13[[#This Row],[Is Zero]])</f>
        <v>1</v>
      </c>
    </row>
    <row r="2238" spans="1:11" ht="16" x14ac:dyDescent="0.2">
      <c r="A2238" s="1" t="s">
        <v>167</v>
      </c>
      <c r="B2238" t="str">
        <f>LEFT(Table13[[#This Row],[Input]],1)</f>
        <v>L</v>
      </c>
      <c r="C2238">
        <f>_xlfn.LET(_xlpm.steps,SUBSTITUTE(Table13[[#This Row],[Input]],Table13[[#This Row],[Direction]],""),VALUE(IF(LEN(_xlpm.steps)&gt;2,RIGHT(_xlpm.steps,2),_xlpm.steps)))</f>
        <v>59</v>
      </c>
      <c r="D2238">
        <f>_xlfn.LET(_xlpm.steps,SUBSTITUTE(Table13[[#This Row],[Input]],Table13[[#This Row],[Direction]],""),VALUE(IF(LEN(_xlpm.steps)&gt;2,LEFT(_xlpm.steps,LEN(_xlpm.steps)-2),0)))</f>
        <v>0</v>
      </c>
      <c r="E2238">
        <f>_xlfn.LET(_xlpm.dir,Table13[[#This Row],[Direction]],
IF(_xlpm.dir="L",
    IF(G2237-Table13[[#This Row],[Steps]]&lt;0,100+(G2237-Table13[[#This Row],[Steps]]),G2237-Table13[[#This Row],[Steps]]),
))</f>
        <v>41</v>
      </c>
      <c r="F2238">
        <f>_xlfn.LET(_xlpm.dir,Table13[[#This Row],[Direction]],
IF(_xlpm.dir="R",
    IF(G2237+Table13[[#This Row],[Steps]]&gt;99,(G2237+Table13[[#This Row],[Steps]])-100,G2237+Table13[[#This Row],[Steps]]),
))</f>
        <v>0</v>
      </c>
      <c r="G2238">
        <f>IF(Table13[[#This Row],[New Pos L]]&lt;&gt;0,Table13[[#This Row],[New Pos L]],Table13[[#This Row],[New Pos R]])</f>
        <v>41</v>
      </c>
      <c r="H2238">
        <f>IF(AND(Table13[[#This Row],[Direction]]="L",Table13[[#This Row],[Steps]]&gt;G2237,G2237&lt;&gt;0),1,0)</f>
        <v>0</v>
      </c>
      <c r="I2238">
        <f>IF(AND(Table13[[#This Row],[Direction]]="R",(G2237+Table13[[#This Row],[Steps]])&gt;100),1,0)</f>
        <v>0</v>
      </c>
      <c r="J2238">
        <f>IF(Table13[[#This Row],[POS]]=0,1,0)</f>
        <v>0</v>
      </c>
      <c r="K2238">
        <f>SUM(Table13[[#This Row],[prefix]],Table13[[#This Row],[Past zero L]],Table13[[#This Row],[Past Zero R]],Table13[[#This Row],[Is Zero]])</f>
        <v>0</v>
      </c>
    </row>
    <row r="2239" spans="1:11" ht="16" x14ac:dyDescent="0.2">
      <c r="A2239" s="1" t="s">
        <v>195</v>
      </c>
      <c r="B2239" t="str">
        <f>LEFT(Table13[[#This Row],[Input]],1)</f>
        <v>R</v>
      </c>
      <c r="C2239">
        <f>_xlfn.LET(_xlpm.steps,SUBSTITUTE(Table13[[#This Row],[Input]],Table13[[#This Row],[Direction]],""),VALUE(IF(LEN(_xlpm.steps)&gt;2,RIGHT(_xlpm.steps,2),_xlpm.steps)))</f>
        <v>40</v>
      </c>
      <c r="D2239">
        <f>_xlfn.LET(_xlpm.steps,SUBSTITUTE(Table13[[#This Row],[Input]],Table13[[#This Row],[Direction]],""),VALUE(IF(LEN(_xlpm.steps)&gt;2,LEFT(_xlpm.steps,LEN(_xlpm.steps)-2),0)))</f>
        <v>0</v>
      </c>
      <c r="E2239">
        <f>_xlfn.LET(_xlpm.dir,Table13[[#This Row],[Direction]],
IF(_xlpm.dir="L",
    IF(G2238-Table13[[#This Row],[Steps]]&lt;0,100+(G2238-Table13[[#This Row],[Steps]]),G2238-Table13[[#This Row],[Steps]]),
))</f>
        <v>0</v>
      </c>
      <c r="F2239">
        <f>_xlfn.LET(_xlpm.dir,Table13[[#This Row],[Direction]],
IF(_xlpm.dir="R",
    IF(G2238+Table13[[#This Row],[Steps]]&gt;99,(G2238+Table13[[#This Row],[Steps]])-100,G2238+Table13[[#This Row],[Steps]]),
))</f>
        <v>81</v>
      </c>
      <c r="G2239">
        <f>IF(Table13[[#This Row],[New Pos L]]&lt;&gt;0,Table13[[#This Row],[New Pos L]],Table13[[#This Row],[New Pos R]])</f>
        <v>81</v>
      </c>
      <c r="H2239">
        <f>IF(AND(Table13[[#This Row],[Direction]]="L",Table13[[#This Row],[Steps]]&gt;G2238,G2238&lt;&gt;0),1,0)</f>
        <v>0</v>
      </c>
      <c r="I2239">
        <f>IF(AND(Table13[[#This Row],[Direction]]="R",(G2238+Table13[[#This Row],[Steps]])&gt;100),1,0)</f>
        <v>0</v>
      </c>
      <c r="J2239">
        <f>IF(Table13[[#This Row],[POS]]=0,1,0)</f>
        <v>0</v>
      </c>
      <c r="K2239">
        <f>SUM(Table13[[#This Row],[prefix]],Table13[[#This Row],[Past zero L]],Table13[[#This Row],[Past Zero R]],Table13[[#This Row],[Is Zero]])</f>
        <v>0</v>
      </c>
    </row>
    <row r="2240" spans="1:11" ht="16" x14ac:dyDescent="0.2">
      <c r="A2240" s="1" t="s">
        <v>260</v>
      </c>
      <c r="B2240" t="str">
        <f>LEFT(Table13[[#This Row],[Input]],1)</f>
        <v>L</v>
      </c>
      <c r="C2240">
        <f>_xlfn.LET(_xlpm.steps,SUBSTITUTE(Table13[[#This Row],[Input]],Table13[[#This Row],[Direction]],""),VALUE(IF(LEN(_xlpm.steps)&gt;2,RIGHT(_xlpm.steps,2),_xlpm.steps)))</f>
        <v>85</v>
      </c>
      <c r="D2240">
        <f>_xlfn.LET(_xlpm.steps,SUBSTITUTE(Table13[[#This Row],[Input]],Table13[[#This Row],[Direction]],""),VALUE(IF(LEN(_xlpm.steps)&gt;2,LEFT(_xlpm.steps,LEN(_xlpm.steps)-2),0)))</f>
        <v>0</v>
      </c>
      <c r="E2240">
        <f>_xlfn.LET(_xlpm.dir,Table13[[#This Row],[Direction]],
IF(_xlpm.dir="L",
    IF(G2239-Table13[[#This Row],[Steps]]&lt;0,100+(G2239-Table13[[#This Row],[Steps]]),G2239-Table13[[#This Row],[Steps]]),
))</f>
        <v>96</v>
      </c>
      <c r="F2240">
        <f>_xlfn.LET(_xlpm.dir,Table13[[#This Row],[Direction]],
IF(_xlpm.dir="R",
    IF(G2239+Table13[[#This Row],[Steps]]&gt;99,(G2239+Table13[[#This Row],[Steps]])-100,G2239+Table13[[#This Row],[Steps]]),
))</f>
        <v>0</v>
      </c>
      <c r="G2240">
        <f>IF(Table13[[#This Row],[New Pos L]]&lt;&gt;0,Table13[[#This Row],[New Pos L]],Table13[[#This Row],[New Pos R]])</f>
        <v>96</v>
      </c>
      <c r="H2240">
        <f>IF(AND(Table13[[#This Row],[Direction]]="L",Table13[[#This Row],[Steps]]&gt;G2239,G2239&lt;&gt;0),1,0)</f>
        <v>1</v>
      </c>
      <c r="I2240">
        <f>IF(AND(Table13[[#This Row],[Direction]]="R",(G2239+Table13[[#This Row],[Steps]])&gt;100),1,0)</f>
        <v>0</v>
      </c>
      <c r="J2240">
        <f>IF(Table13[[#This Row],[POS]]=0,1,0)</f>
        <v>0</v>
      </c>
      <c r="K2240">
        <f>SUM(Table13[[#This Row],[prefix]],Table13[[#This Row],[Past zero L]],Table13[[#This Row],[Past Zero R]],Table13[[#This Row],[Is Zero]])</f>
        <v>1</v>
      </c>
    </row>
    <row r="2241" spans="1:11" ht="16" x14ac:dyDescent="0.2">
      <c r="A2241" s="1" t="s">
        <v>20</v>
      </c>
      <c r="B2241" t="str">
        <f>LEFT(Table13[[#This Row],[Input]],1)</f>
        <v>R</v>
      </c>
      <c r="C2241">
        <f>_xlfn.LET(_xlpm.steps,SUBSTITUTE(Table13[[#This Row],[Input]],Table13[[#This Row],[Direction]],""),VALUE(IF(LEN(_xlpm.steps)&gt;2,RIGHT(_xlpm.steps,2),_xlpm.steps)))</f>
        <v>46</v>
      </c>
      <c r="D2241">
        <f>_xlfn.LET(_xlpm.steps,SUBSTITUTE(Table13[[#This Row],[Input]],Table13[[#This Row],[Direction]],""),VALUE(IF(LEN(_xlpm.steps)&gt;2,LEFT(_xlpm.steps,LEN(_xlpm.steps)-2),0)))</f>
        <v>0</v>
      </c>
      <c r="E2241">
        <f>_xlfn.LET(_xlpm.dir,Table13[[#This Row],[Direction]],
IF(_xlpm.dir="L",
    IF(G2240-Table13[[#This Row],[Steps]]&lt;0,100+(G2240-Table13[[#This Row],[Steps]]),G2240-Table13[[#This Row],[Steps]]),
))</f>
        <v>0</v>
      </c>
      <c r="F2241">
        <f>_xlfn.LET(_xlpm.dir,Table13[[#This Row],[Direction]],
IF(_xlpm.dir="R",
    IF(G2240+Table13[[#This Row],[Steps]]&gt;99,(G2240+Table13[[#This Row],[Steps]])-100,G2240+Table13[[#This Row],[Steps]]),
))</f>
        <v>42</v>
      </c>
      <c r="G2241">
        <f>IF(Table13[[#This Row],[New Pos L]]&lt;&gt;0,Table13[[#This Row],[New Pos L]],Table13[[#This Row],[New Pos R]])</f>
        <v>42</v>
      </c>
      <c r="H2241">
        <f>IF(AND(Table13[[#This Row],[Direction]]="L",Table13[[#This Row],[Steps]]&gt;G2240,G2240&lt;&gt;0),1,0)</f>
        <v>0</v>
      </c>
      <c r="I2241">
        <f>IF(AND(Table13[[#This Row],[Direction]]="R",(G2240+Table13[[#This Row],[Steps]])&gt;100),1,0)</f>
        <v>1</v>
      </c>
      <c r="J2241">
        <f>IF(Table13[[#This Row],[POS]]=0,1,0)</f>
        <v>0</v>
      </c>
      <c r="K2241">
        <f>SUM(Table13[[#This Row],[prefix]],Table13[[#This Row],[Past zero L]],Table13[[#This Row],[Past Zero R]],Table13[[#This Row],[Is Zero]])</f>
        <v>1</v>
      </c>
    </row>
    <row r="2242" spans="1:11" ht="16" x14ac:dyDescent="0.2">
      <c r="A2242" s="1" t="s">
        <v>100</v>
      </c>
      <c r="B2242" t="str">
        <f>LEFT(Table13[[#This Row],[Input]],1)</f>
        <v>R</v>
      </c>
      <c r="C2242">
        <f>_xlfn.LET(_xlpm.steps,SUBSTITUTE(Table13[[#This Row],[Input]],Table13[[#This Row],[Direction]],""),VALUE(IF(LEN(_xlpm.steps)&gt;2,RIGHT(_xlpm.steps,2),_xlpm.steps)))</f>
        <v>58</v>
      </c>
      <c r="D2242">
        <f>_xlfn.LET(_xlpm.steps,SUBSTITUTE(Table13[[#This Row],[Input]],Table13[[#This Row],[Direction]],""),VALUE(IF(LEN(_xlpm.steps)&gt;2,LEFT(_xlpm.steps,LEN(_xlpm.steps)-2),0)))</f>
        <v>0</v>
      </c>
      <c r="E2242">
        <f>_xlfn.LET(_xlpm.dir,Table13[[#This Row],[Direction]],
IF(_xlpm.dir="L",
    IF(G2241-Table13[[#This Row],[Steps]]&lt;0,100+(G2241-Table13[[#This Row],[Steps]]),G2241-Table13[[#This Row],[Steps]]),
))</f>
        <v>0</v>
      </c>
      <c r="F2242">
        <f>_xlfn.LET(_xlpm.dir,Table13[[#This Row],[Direction]],
IF(_xlpm.dir="R",
    IF(G2241+Table13[[#This Row],[Steps]]&gt;99,(G2241+Table13[[#This Row],[Steps]])-100,G2241+Table13[[#This Row],[Steps]]),
))</f>
        <v>0</v>
      </c>
      <c r="G2242">
        <f>IF(Table13[[#This Row],[New Pos L]]&lt;&gt;0,Table13[[#This Row],[New Pos L]],Table13[[#This Row],[New Pos R]])</f>
        <v>0</v>
      </c>
      <c r="H2242">
        <f>IF(AND(Table13[[#This Row],[Direction]]="L",Table13[[#This Row],[Steps]]&gt;G2241,G2241&lt;&gt;0),1,0)</f>
        <v>0</v>
      </c>
      <c r="I2242">
        <f>IF(AND(Table13[[#This Row],[Direction]]="R",(G2241+Table13[[#This Row],[Steps]])&gt;100),1,0)</f>
        <v>0</v>
      </c>
      <c r="J2242">
        <f>IF(Table13[[#This Row],[POS]]=0,1,0)</f>
        <v>1</v>
      </c>
      <c r="K2242">
        <f>SUM(Table13[[#This Row],[prefix]],Table13[[#This Row],[Past zero L]],Table13[[#This Row],[Past Zero R]],Table13[[#This Row],[Is Zero]])</f>
        <v>1</v>
      </c>
    </row>
    <row r="2243" spans="1:11" ht="16" x14ac:dyDescent="0.2">
      <c r="A2243" s="1" t="s">
        <v>69</v>
      </c>
      <c r="B2243" t="str">
        <f>LEFT(Table13[[#This Row],[Input]],1)</f>
        <v>R</v>
      </c>
      <c r="C2243">
        <f>_xlfn.LET(_xlpm.steps,SUBSTITUTE(Table13[[#This Row],[Input]],Table13[[#This Row],[Direction]],""),VALUE(IF(LEN(_xlpm.steps)&gt;2,RIGHT(_xlpm.steps,2),_xlpm.steps)))</f>
        <v>27</v>
      </c>
      <c r="D2243">
        <f>_xlfn.LET(_xlpm.steps,SUBSTITUTE(Table13[[#This Row],[Input]],Table13[[#This Row],[Direction]],""),VALUE(IF(LEN(_xlpm.steps)&gt;2,LEFT(_xlpm.steps,LEN(_xlpm.steps)-2),0)))</f>
        <v>0</v>
      </c>
      <c r="E2243">
        <f>_xlfn.LET(_xlpm.dir,Table13[[#This Row],[Direction]],
IF(_xlpm.dir="L",
    IF(G2242-Table13[[#This Row],[Steps]]&lt;0,100+(G2242-Table13[[#This Row],[Steps]]),G2242-Table13[[#This Row],[Steps]]),
))</f>
        <v>0</v>
      </c>
      <c r="F2243">
        <f>_xlfn.LET(_xlpm.dir,Table13[[#This Row],[Direction]],
IF(_xlpm.dir="R",
    IF(G2242+Table13[[#This Row],[Steps]]&gt;99,(G2242+Table13[[#This Row],[Steps]])-100,G2242+Table13[[#This Row],[Steps]]),
))</f>
        <v>27</v>
      </c>
      <c r="G2243">
        <f>IF(Table13[[#This Row],[New Pos L]]&lt;&gt;0,Table13[[#This Row],[New Pos L]],Table13[[#This Row],[New Pos R]])</f>
        <v>27</v>
      </c>
      <c r="H2243">
        <f>IF(AND(Table13[[#This Row],[Direction]]="L",Table13[[#This Row],[Steps]]&gt;G2242,G2242&lt;&gt;0),1,0)</f>
        <v>0</v>
      </c>
      <c r="I2243">
        <f>IF(AND(Table13[[#This Row],[Direction]]="R",(G2242+Table13[[#This Row],[Steps]])&gt;100),1,0)</f>
        <v>0</v>
      </c>
      <c r="J2243">
        <f>IF(Table13[[#This Row],[POS]]=0,1,0)</f>
        <v>0</v>
      </c>
      <c r="K2243">
        <f>SUM(Table13[[#This Row],[prefix]],Table13[[#This Row],[Past zero L]],Table13[[#This Row],[Past Zero R]],Table13[[#This Row],[Is Zero]])</f>
        <v>0</v>
      </c>
    </row>
    <row r="2244" spans="1:11" ht="16" x14ac:dyDescent="0.2">
      <c r="A2244" s="1" t="s">
        <v>213</v>
      </c>
      <c r="B2244" t="str">
        <f>LEFT(Table13[[#This Row],[Input]],1)</f>
        <v>R</v>
      </c>
      <c r="C2244">
        <f>_xlfn.LET(_xlpm.steps,SUBSTITUTE(Table13[[#This Row],[Input]],Table13[[#This Row],[Direction]],""),VALUE(IF(LEN(_xlpm.steps)&gt;2,RIGHT(_xlpm.steps,2),_xlpm.steps)))</f>
        <v>87</v>
      </c>
      <c r="D2244">
        <f>_xlfn.LET(_xlpm.steps,SUBSTITUTE(Table13[[#This Row],[Input]],Table13[[#This Row],[Direction]],""),VALUE(IF(LEN(_xlpm.steps)&gt;2,LEFT(_xlpm.steps,LEN(_xlpm.steps)-2),0)))</f>
        <v>0</v>
      </c>
      <c r="E2244">
        <f>_xlfn.LET(_xlpm.dir,Table13[[#This Row],[Direction]],
IF(_xlpm.dir="L",
    IF(G2243-Table13[[#This Row],[Steps]]&lt;0,100+(G2243-Table13[[#This Row],[Steps]]),G2243-Table13[[#This Row],[Steps]]),
))</f>
        <v>0</v>
      </c>
      <c r="F2244">
        <f>_xlfn.LET(_xlpm.dir,Table13[[#This Row],[Direction]],
IF(_xlpm.dir="R",
    IF(G2243+Table13[[#This Row],[Steps]]&gt;99,(G2243+Table13[[#This Row],[Steps]])-100,G2243+Table13[[#This Row],[Steps]]),
))</f>
        <v>14</v>
      </c>
      <c r="G2244">
        <f>IF(Table13[[#This Row],[New Pos L]]&lt;&gt;0,Table13[[#This Row],[New Pos L]],Table13[[#This Row],[New Pos R]])</f>
        <v>14</v>
      </c>
      <c r="H2244">
        <f>IF(AND(Table13[[#This Row],[Direction]]="L",Table13[[#This Row],[Steps]]&gt;G2243,G2243&lt;&gt;0),1,0)</f>
        <v>0</v>
      </c>
      <c r="I2244">
        <f>IF(AND(Table13[[#This Row],[Direction]]="R",(G2243+Table13[[#This Row],[Steps]])&gt;100),1,0)</f>
        <v>1</v>
      </c>
      <c r="J2244">
        <f>IF(Table13[[#This Row],[POS]]=0,1,0)</f>
        <v>0</v>
      </c>
      <c r="K2244">
        <f>SUM(Table13[[#This Row],[prefix]],Table13[[#This Row],[Past zero L]],Table13[[#This Row],[Past Zero R]],Table13[[#This Row],[Is Zero]])</f>
        <v>1</v>
      </c>
    </row>
    <row r="2245" spans="1:11" ht="16" x14ac:dyDescent="0.2">
      <c r="A2245" s="1" t="s">
        <v>139</v>
      </c>
      <c r="B2245" t="str">
        <f>LEFT(Table13[[#This Row],[Input]],1)</f>
        <v>R</v>
      </c>
      <c r="C2245">
        <f>_xlfn.LET(_xlpm.steps,SUBSTITUTE(Table13[[#This Row],[Input]],Table13[[#This Row],[Direction]],""),VALUE(IF(LEN(_xlpm.steps)&gt;2,RIGHT(_xlpm.steps,2),_xlpm.steps)))</f>
        <v>38</v>
      </c>
      <c r="D2245">
        <f>_xlfn.LET(_xlpm.steps,SUBSTITUTE(Table13[[#This Row],[Input]],Table13[[#This Row],[Direction]],""),VALUE(IF(LEN(_xlpm.steps)&gt;2,LEFT(_xlpm.steps,LEN(_xlpm.steps)-2),0)))</f>
        <v>0</v>
      </c>
      <c r="E2245">
        <f>_xlfn.LET(_xlpm.dir,Table13[[#This Row],[Direction]],
IF(_xlpm.dir="L",
    IF(G2244-Table13[[#This Row],[Steps]]&lt;0,100+(G2244-Table13[[#This Row],[Steps]]),G2244-Table13[[#This Row],[Steps]]),
))</f>
        <v>0</v>
      </c>
      <c r="F2245">
        <f>_xlfn.LET(_xlpm.dir,Table13[[#This Row],[Direction]],
IF(_xlpm.dir="R",
    IF(G2244+Table13[[#This Row],[Steps]]&gt;99,(G2244+Table13[[#This Row],[Steps]])-100,G2244+Table13[[#This Row],[Steps]]),
))</f>
        <v>52</v>
      </c>
      <c r="G2245">
        <f>IF(Table13[[#This Row],[New Pos L]]&lt;&gt;0,Table13[[#This Row],[New Pos L]],Table13[[#This Row],[New Pos R]])</f>
        <v>52</v>
      </c>
      <c r="H2245">
        <f>IF(AND(Table13[[#This Row],[Direction]]="L",Table13[[#This Row],[Steps]]&gt;G2244,G2244&lt;&gt;0),1,0)</f>
        <v>0</v>
      </c>
      <c r="I2245">
        <f>IF(AND(Table13[[#This Row],[Direction]]="R",(G2244+Table13[[#This Row],[Steps]])&gt;100),1,0)</f>
        <v>0</v>
      </c>
      <c r="J2245">
        <f>IF(Table13[[#This Row],[POS]]=0,1,0)</f>
        <v>0</v>
      </c>
      <c r="K2245">
        <f>SUM(Table13[[#This Row],[prefix]],Table13[[#This Row],[Past zero L]],Table13[[#This Row],[Past Zero R]],Table13[[#This Row],[Is Zero]])</f>
        <v>0</v>
      </c>
    </row>
    <row r="2246" spans="1:11" ht="16" x14ac:dyDescent="0.2">
      <c r="A2246" s="1" t="s">
        <v>427</v>
      </c>
      <c r="B2246" t="str">
        <f>LEFT(Table13[[#This Row],[Input]],1)</f>
        <v>R</v>
      </c>
      <c r="C2246">
        <f>_xlfn.LET(_xlpm.steps,SUBSTITUTE(Table13[[#This Row],[Input]],Table13[[#This Row],[Direction]],""),VALUE(IF(LEN(_xlpm.steps)&gt;2,RIGHT(_xlpm.steps,2),_xlpm.steps)))</f>
        <v>37</v>
      </c>
      <c r="D2246">
        <f>_xlfn.LET(_xlpm.steps,SUBSTITUTE(Table13[[#This Row],[Input]],Table13[[#This Row],[Direction]],""),VALUE(IF(LEN(_xlpm.steps)&gt;2,LEFT(_xlpm.steps,LEN(_xlpm.steps)-2),0)))</f>
        <v>2</v>
      </c>
      <c r="E2246">
        <f>_xlfn.LET(_xlpm.dir,Table13[[#This Row],[Direction]],
IF(_xlpm.dir="L",
    IF(G2245-Table13[[#This Row],[Steps]]&lt;0,100+(G2245-Table13[[#This Row],[Steps]]),G2245-Table13[[#This Row],[Steps]]),
))</f>
        <v>0</v>
      </c>
      <c r="F2246">
        <f>_xlfn.LET(_xlpm.dir,Table13[[#This Row],[Direction]],
IF(_xlpm.dir="R",
    IF(G2245+Table13[[#This Row],[Steps]]&gt;99,(G2245+Table13[[#This Row],[Steps]])-100,G2245+Table13[[#This Row],[Steps]]),
))</f>
        <v>89</v>
      </c>
      <c r="G2246">
        <f>IF(Table13[[#This Row],[New Pos L]]&lt;&gt;0,Table13[[#This Row],[New Pos L]],Table13[[#This Row],[New Pos R]])</f>
        <v>89</v>
      </c>
      <c r="H2246">
        <f>IF(AND(Table13[[#This Row],[Direction]]="L",Table13[[#This Row],[Steps]]&gt;G2245,G2245&lt;&gt;0),1,0)</f>
        <v>0</v>
      </c>
      <c r="I2246">
        <f>IF(AND(Table13[[#This Row],[Direction]]="R",(G2245+Table13[[#This Row],[Steps]])&gt;100),1,0)</f>
        <v>0</v>
      </c>
      <c r="J2246">
        <f>IF(Table13[[#This Row],[POS]]=0,1,0)</f>
        <v>0</v>
      </c>
      <c r="K2246">
        <f>SUM(Table13[[#This Row],[prefix]],Table13[[#This Row],[Past zero L]],Table13[[#This Row],[Past Zero R]],Table13[[#This Row],[Is Zero]])</f>
        <v>2</v>
      </c>
    </row>
    <row r="2247" spans="1:11" ht="16" x14ac:dyDescent="0.2">
      <c r="A2247" s="1" t="s">
        <v>52</v>
      </c>
      <c r="B2247" t="str">
        <f>LEFT(Table13[[#This Row],[Input]],1)</f>
        <v>R</v>
      </c>
      <c r="C2247">
        <f>_xlfn.LET(_xlpm.steps,SUBSTITUTE(Table13[[#This Row],[Input]],Table13[[#This Row],[Direction]],""),VALUE(IF(LEN(_xlpm.steps)&gt;2,RIGHT(_xlpm.steps,2),_xlpm.steps)))</f>
        <v>11</v>
      </c>
      <c r="D2247">
        <f>_xlfn.LET(_xlpm.steps,SUBSTITUTE(Table13[[#This Row],[Input]],Table13[[#This Row],[Direction]],""),VALUE(IF(LEN(_xlpm.steps)&gt;2,LEFT(_xlpm.steps,LEN(_xlpm.steps)-2),0)))</f>
        <v>0</v>
      </c>
      <c r="E2247">
        <f>_xlfn.LET(_xlpm.dir,Table13[[#This Row],[Direction]],
IF(_xlpm.dir="L",
    IF(G2246-Table13[[#This Row],[Steps]]&lt;0,100+(G2246-Table13[[#This Row],[Steps]]),G2246-Table13[[#This Row],[Steps]]),
))</f>
        <v>0</v>
      </c>
      <c r="F2247">
        <f>_xlfn.LET(_xlpm.dir,Table13[[#This Row],[Direction]],
IF(_xlpm.dir="R",
    IF(G2246+Table13[[#This Row],[Steps]]&gt;99,(G2246+Table13[[#This Row],[Steps]])-100,G2246+Table13[[#This Row],[Steps]]),
))</f>
        <v>0</v>
      </c>
      <c r="G2247">
        <f>IF(Table13[[#This Row],[New Pos L]]&lt;&gt;0,Table13[[#This Row],[New Pos L]],Table13[[#This Row],[New Pos R]])</f>
        <v>0</v>
      </c>
      <c r="H2247">
        <f>IF(AND(Table13[[#This Row],[Direction]]="L",Table13[[#This Row],[Steps]]&gt;G2246,G2246&lt;&gt;0),1,0)</f>
        <v>0</v>
      </c>
      <c r="I2247">
        <f>IF(AND(Table13[[#This Row],[Direction]]="R",(G2246+Table13[[#This Row],[Steps]])&gt;100),1,0)</f>
        <v>0</v>
      </c>
      <c r="J2247">
        <f>IF(Table13[[#This Row],[POS]]=0,1,0)</f>
        <v>1</v>
      </c>
      <c r="K2247">
        <f>SUM(Table13[[#This Row],[prefix]],Table13[[#This Row],[Past zero L]],Table13[[#This Row],[Past Zero R]],Table13[[#This Row],[Is Zero]])</f>
        <v>1</v>
      </c>
    </row>
    <row r="2248" spans="1:11" ht="16" x14ac:dyDescent="0.2">
      <c r="A2248" s="1" t="s">
        <v>151</v>
      </c>
      <c r="B2248" t="str">
        <f>LEFT(Table13[[#This Row],[Input]],1)</f>
        <v>L</v>
      </c>
      <c r="C2248">
        <f>_xlfn.LET(_xlpm.steps,SUBSTITUTE(Table13[[#This Row],[Input]],Table13[[#This Row],[Direction]],""),VALUE(IF(LEN(_xlpm.steps)&gt;2,RIGHT(_xlpm.steps,2),_xlpm.steps)))</f>
        <v>74</v>
      </c>
      <c r="D2248">
        <f>_xlfn.LET(_xlpm.steps,SUBSTITUTE(Table13[[#This Row],[Input]],Table13[[#This Row],[Direction]],""),VALUE(IF(LEN(_xlpm.steps)&gt;2,LEFT(_xlpm.steps,LEN(_xlpm.steps)-2),0)))</f>
        <v>0</v>
      </c>
      <c r="E2248">
        <f>_xlfn.LET(_xlpm.dir,Table13[[#This Row],[Direction]],
IF(_xlpm.dir="L",
    IF(G2247-Table13[[#This Row],[Steps]]&lt;0,100+(G2247-Table13[[#This Row],[Steps]]),G2247-Table13[[#This Row],[Steps]]),
))</f>
        <v>26</v>
      </c>
      <c r="F2248">
        <f>_xlfn.LET(_xlpm.dir,Table13[[#This Row],[Direction]],
IF(_xlpm.dir="R",
    IF(G2247+Table13[[#This Row],[Steps]]&gt;99,(G2247+Table13[[#This Row],[Steps]])-100,G2247+Table13[[#This Row],[Steps]]),
))</f>
        <v>0</v>
      </c>
      <c r="G2248">
        <f>IF(Table13[[#This Row],[New Pos L]]&lt;&gt;0,Table13[[#This Row],[New Pos L]],Table13[[#This Row],[New Pos R]])</f>
        <v>26</v>
      </c>
      <c r="H2248">
        <f>IF(AND(Table13[[#This Row],[Direction]]="L",Table13[[#This Row],[Steps]]&gt;G2247,G2247&lt;&gt;0),1,0)</f>
        <v>0</v>
      </c>
      <c r="I2248">
        <f>IF(AND(Table13[[#This Row],[Direction]]="R",(G2247+Table13[[#This Row],[Steps]])&gt;100),1,0)</f>
        <v>0</v>
      </c>
      <c r="J2248">
        <f>IF(Table13[[#This Row],[POS]]=0,1,0)</f>
        <v>0</v>
      </c>
      <c r="K2248">
        <f>SUM(Table13[[#This Row],[prefix]],Table13[[#This Row],[Past zero L]],Table13[[#This Row],[Past Zero R]],Table13[[#This Row],[Is Zero]])</f>
        <v>0</v>
      </c>
    </row>
    <row r="2249" spans="1:11" ht="16" x14ac:dyDescent="0.2">
      <c r="A2249" s="1" t="s">
        <v>111</v>
      </c>
      <c r="B2249" t="str">
        <f>LEFT(Table13[[#This Row],[Input]],1)</f>
        <v>R</v>
      </c>
      <c r="C2249">
        <f>_xlfn.LET(_xlpm.steps,SUBSTITUTE(Table13[[#This Row],[Input]],Table13[[#This Row],[Direction]],""),VALUE(IF(LEN(_xlpm.steps)&gt;2,RIGHT(_xlpm.steps,2),_xlpm.steps)))</f>
        <v>64</v>
      </c>
      <c r="D2249">
        <f>_xlfn.LET(_xlpm.steps,SUBSTITUTE(Table13[[#This Row],[Input]],Table13[[#This Row],[Direction]],""),VALUE(IF(LEN(_xlpm.steps)&gt;2,LEFT(_xlpm.steps,LEN(_xlpm.steps)-2),0)))</f>
        <v>0</v>
      </c>
      <c r="E2249">
        <f>_xlfn.LET(_xlpm.dir,Table13[[#This Row],[Direction]],
IF(_xlpm.dir="L",
    IF(G2248-Table13[[#This Row],[Steps]]&lt;0,100+(G2248-Table13[[#This Row],[Steps]]),G2248-Table13[[#This Row],[Steps]]),
))</f>
        <v>0</v>
      </c>
      <c r="F2249">
        <f>_xlfn.LET(_xlpm.dir,Table13[[#This Row],[Direction]],
IF(_xlpm.dir="R",
    IF(G2248+Table13[[#This Row],[Steps]]&gt;99,(G2248+Table13[[#This Row],[Steps]])-100,G2248+Table13[[#This Row],[Steps]]),
))</f>
        <v>90</v>
      </c>
      <c r="G2249">
        <f>IF(Table13[[#This Row],[New Pos L]]&lt;&gt;0,Table13[[#This Row],[New Pos L]],Table13[[#This Row],[New Pos R]])</f>
        <v>90</v>
      </c>
      <c r="H2249">
        <f>IF(AND(Table13[[#This Row],[Direction]]="L",Table13[[#This Row],[Steps]]&gt;G2248,G2248&lt;&gt;0),1,0)</f>
        <v>0</v>
      </c>
      <c r="I2249">
        <f>IF(AND(Table13[[#This Row],[Direction]]="R",(G2248+Table13[[#This Row],[Steps]])&gt;100),1,0)</f>
        <v>0</v>
      </c>
      <c r="J2249">
        <f>IF(Table13[[#This Row],[POS]]=0,1,0)</f>
        <v>0</v>
      </c>
      <c r="K2249">
        <f>SUM(Table13[[#This Row],[prefix]],Table13[[#This Row],[Past zero L]],Table13[[#This Row],[Past Zero R]],Table13[[#This Row],[Is Zero]])</f>
        <v>0</v>
      </c>
    </row>
    <row r="2250" spans="1:11" ht="16" x14ac:dyDescent="0.2">
      <c r="A2250" s="1" t="s">
        <v>586</v>
      </c>
      <c r="B2250" t="str">
        <f>LEFT(Table13[[#This Row],[Input]],1)</f>
        <v>R</v>
      </c>
      <c r="C2250">
        <f>_xlfn.LET(_xlpm.steps,SUBSTITUTE(Table13[[#This Row],[Input]],Table13[[#This Row],[Direction]],""),VALUE(IF(LEN(_xlpm.steps)&gt;2,RIGHT(_xlpm.steps,2),_xlpm.steps)))</f>
        <v>85</v>
      </c>
      <c r="D2250">
        <f>_xlfn.LET(_xlpm.steps,SUBSTITUTE(Table13[[#This Row],[Input]],Table13[[#This Row],[Direction]],""),VALUE(IF(LEN(_xlpm.steps)&gt;2,LEFT(_xlpm.steps,LEN(_xlpm.steps)-2),0)))</f>
        <v>8</v>
      </c>
      <c r="E2250">
        <f>_xlfn.LET(_xlpm.dir,Table13[[#This Row],[Direction]],
IF(_xlpm.dir="L",
    IF(G2249-Table13[[#This Row],[Steps]]&lt;0,100+(G2249-Table13[[#This Row],[Steps]]),G2249-Table13[[#This Row],[Steps]]),
))</f>
        <v>0</v>
      </c>
      <c r="F2250">
        <f>_xlfn.LET(_xlpm.dir,Table13[[#This Row],[Direction]],
IF(_xlpm.dir="R",
    IF(G2249+Table13[[#This Row],[Steps]]&gt;99,(G2249+Table13[[#This Row],[Steps]])-100,G2249+Table13[[#This Row],[Steps]]),
))</f>
        <v>75</v>
      </c>
      <c r="G2250">
        <f>IF(Table13[[#This Row],[New Pos L]]&lt;&gt;0,Table13[[#This Row],[New Pos L]],Table13[[#This Row],[New Pos R]])</f>
        <v>75</v>
      </c>
      <c r="H2250">
        <f>IF(AND(Table13[[#This Row],[Direction]]="L",Table13[[#This Row],[Steps]]&gt;G2249,G2249&lt;&gt;0),1,0)</f>
        <v>0</v>
      </c>
      <c r="I2250">
        <f>IF(AND(Table13[[#This Row],[Direction]]="R",(G2249+Table13[[#This Row],[Steps]])&gt;100),1,0)</f>
        <v>1</v>
      </c>
      <c r="J2250">
        <f>IF(Table13[[#This Row],[POS]]=0,1,0)</f>
        <v>0</v>
      </c>
      <c r="K2250">
        <f>SUM(Table13[[#This Row],[prefix]],Table13[[#This Row],[Past zero L]],Table13[[#This Row],[Past Zero R]],Table13[[#This Row],[Is Zero]])</f>
        <v>9</v>
      </c>
    </row>
    <row r="2251" spans="1:11" ht="16" x14ac:dyDescent="0.2">
      <c r="A2251" s="1" t="s">
        <v>272</v>
      </c>
      <c r="B2251" t="str">
        <f>LEFT(Table13[[#This Row],[Input]],1)</f>
        <v>R</v>
      </c>
      <c r="C2251">
        <f>_xlfn.LET(_xlpm.steps,SUBSTITUTE(Table13[[#This Row],[Input]],Table13[[#This Row],[Direction]],""),VALUE(IF(LEN(_xlpm.steps)&gt;2,RIGHT(_xlpm.steps,2),_xlpm.steps)))</f>
        <v>56</v>
      </c>
      <c r="D2251">
        <f>_xlfn.LET(_xlpm.steps,SUBSTITUTE(Table13[[#This Row],[Input]],Table13[[#This Row],[Direction]],""),VALUE(IF(LEN(_xlpm.steps)&gt;2,LEFT(_xlpm.steps,LEN(_xlpm.steps)-2),0)))</f>
        <v>0</v>
      </c>
      <c r="E2251">
        <f>_xlfn.LET(_xlpm.dir,Table13[[#This Row],[Direction]],
IF(_xlpm.dir="L",
    IF(G2250-Table13[[#This Row],[Steps]]&lt;0,100+(G2250-Table13[[#This Row],[Steps]]),G2250-Table13[[#This Row],[Steps]]),
))</f>
        <v>0</v>
      </c>
      <c r="F2251">
        <f>_xlfn.LET(_xlpm.dir,Table13[[#This Row],[Direction]],
IF(_xlpm.dir="R",
    IF(G2250+Table13[[#This Row],[Steps]]&gt;99,(G2250+Table13[[#This Row],[Steps]])-100,G2250+Table13[[#This Row],[Steps]]),
))</f>
        <v>31</v>
      </c>
      <c r="G2251">
        <f>IF(Table13[[#This Row],[New Pos L]]&lt;&gt;0,Table13[[#This Row],[New Pos L]],Table13[[#This Row],[New Pos R]])</f>
        <v>31</v>
      </c>
      <c r="H2251">
        <f>IF(AND(Table13[[#This Row],[Direction]]="L",Table13[[#This Row],[Steps]]&gt;G2250,G2250&lt;&gt;0),1,0)</f>
        <v>0</v>
      </c>
      <c r="I2251">
        <f>IF(AND(Table13[[#This Row],[Direction]]="R",(G2250+Table13[[#This Row],[Steps]])&gt;100),1,0)</f>
        <v>1</v>
      </c>
      <c r="J2251">
        <f>IF(Table13[[#This Row],[POS]]=0,1,0)</f>
        <v>0</v>
      </c>
      <c r="K2251">
        <f>SUM(Table13[[#This Row],[prefix]],Table13[[#This Row],[Past zero L]],Table13[[#This Row],[Past Zero R]],Table13[[#This Row],[Is Zero]])</f>
        <v>1</v>
      </c>
    </row>
    <row r="2252" spans="1:11" ht="16" x14ac:dyDescent="0.2">
      <c r="A2252" s="1" t="s">
        <v>127</v>
      </c>
      <c r="B2252" t="str">
        <f>LEFT(Table13[[#This Row],[Input]],1)</f>
        <v>L</v>
      </c>
      <c r="C2252">
        <f>_xlfn.LET(_xlpm.steps,SUBSTITUTE(Table13[[#This Row],[Input]],Table13[[#This Row],[Direction]],""),VALUE(IF(LEN(_xlpm.steps)&gt;2,RIGHT(_xlpm.steps,2),_xlpm.steps)))</f>
        <v>62</v>
      </c>
      <c r="D2252">
        <f>_xlfn.LET(_xlpm.steps,SUBSTITUTE(Table13[[#This Row],[Input]],Table13[[#This Row],[Direction]],""),VALUE(IF(LEN(_xlpm.steps)&gt;2,LEFT(_xlpm.steps,LEN(_xlpm.steps)-2),0)))</f>
        <v>0</v>
      </c>
      <c r="E2252">
        <f>_xlfn.LET(_xlpm.dir,Table13[[#This Row],[Direction]],
IF(_xlpm.dir="L",
    IF(G2251-Table13[[#This Row],[Steps]]&lt;0,100+(G2251-Table13[[#This Row],[Steps]]),G2251-Table13[[#This Row],[Steps]]),
))</f>
        <v>69</v>
      </c>
      <c r="F2252">
        <f>_xlfn.LET(_xlpm.dir,Table13[[#This Row],[Direction]],
IF(_xlpm.dir="R",
    IF(G2251+Table13[[#This Row],[Steps]]&gt;99,(G2251+Table13[[#This Row],[Steps]])-100,G2251+Table13[[#This Row],[Steps]]),
))</f>
        <v>0</v>
      </c>
      <c r="G2252">
        <f>IF(Table13[[#This Row],[New Pos L]]&lt;&gt;0,Table13[[#This Row],[New Pos L]],Table13[[#This Row],[New Pos R]])</f>
        <v>69</v>
      </c>
      <c r="H2252">
        <f>IF(AND(Table13[[#This Row],[Direction]]="L",Table13[[#This Row],[Steps]]&gt;G2251,G2251&lt;&gt;0),1,0)</f>
        <v>1</v>
      </c>
      <c r="I2252">
        <f>IF(AND(Table13[[#This Row],[Direction]]="R",(G2251+Table13[[#This Row],[Steps]])&gt;100),1,0)</f>
        <v>0</v>
      </c>
      <c r="J2252">
        <f>IF(Table13[[#This Row],[POS]]=0,1,0)</f>
        <v>0</v>
      </c>
      <c r="K2252">
        <f>SUM(Table13[[#This Row],[prefix]],Table13[[#This Row],[Past zero L]],Table13[[#This Row],[Past Zero R]],Table13[[#This Row],[Is Zero]])</f>
        <v>1</v>
      </c>
    </row>
    <row r="2253" spans="1:11" ht="16" x14ac:dyDescent="0.2">
      <c r="A2253" s="1" t="s">
        <v>5</v>
      </c>
      <c r="B2253" t="str">
        <f>LEFT(Table13[[#This Row],[Input]],1)</f>
        <v>R</v>
      </c>
      <c r="C2253">
        <f>_xlfn.LET(_xlpm.steps,SUBSTITUTE(Table13[[#This Row],[Input]],Table13[[#This Row],[Direction]],""),VALUE(IF(LEN(_xlpm.steps)&gt;2,RIGHT(_xlpm.steps,2),_xlpm.steps)))</f>
        <v>1</v>
      </c>
      <c r="D2253">
        <f>_xlfn.LET(_xlpm.steps,SUBSTITUTE(Table13[[#This Row],[Input]],Table13[[#This Row],[Direction]],""),VALUE(IF(LEN(_xlpm.steps)&gt;2,LEFT(_xlpm.steps,LEN(_xlpm.steps)-2),0)))</f>
        <v>0</v>
      </c>
      <c r="E2253">
        <f>_xlfn.LET(_xlpm.dir,Table13[[#This Row],[Direction]],
IF(_xlpm.dir="L",
    IF(G2252-Table13[[#This Row],[Steps]]&lt;0,100+(G2252-Table13[[#This Row],[Steps]]),G2252-Table13[[#This Row],[Steps]]),
))</f>
        <v>0</v>
      </c>
      <c r="F2253">
        <f>_xlfn.LET(_xlpm.dir,Table13[[#This Row],[Direction]],
IF(_xlpm.dir="R",
    IF(G2252+Table13[[#This Row],[Steps]]&gt;99,(G2252+Table13[[#This Row],[Steps]])-100,G2252+Table13[[#This Row],[Steps]]),
))</f>
        <v>70</v>
      </c>
      <c r="G2253">
        <f>IF(Table13[[#This Row],[New Pos L]]&lt;&gt;0,Table13[[#This Row],[New Pos L]],Table13[[#This Row],[New Pos R]])</f>
        <v>70</v>
      </c>
      <c r="H2253">
        <f>IF(AND(Table13[[#This Row],[Direction]]="L",Table13[[#This Row],[Steps]]&gt;G2252,G2252&lt;&gt;0),1,0)</f>
        <v>0</v>
      </c>
      <c r="I2253">
        <f>IF(AND(Table13[[#This Row],[Direction]]="R",(G2252+Table13[[#This Row],[Steps]])&gt;100),1,0)</f>
        <v>0</v>
      </c>
      <c r="J2253">
        <f>IF(Table13[[#This Row],[POS]]=0,1,0)</f>
        <v>0</v>
      </c>
      <c r="K2253">
        <f>SUM(Table13[[#This Row],[prefix]],Table13[[#This Row],[Past zero L]],Table13[[#This Row],[Past Zero R]],Table13[[#This Row],[Is Zero]])</f>
        <v>0</v>
      </c>
    </row>
    <row r="2254" spans="1:11" ht="16" x14ac:dyDescent="0.2">
      <c r="A2254" s="1" t="s">
        <v>587</v>
      </c>
      <c r="B2254" t="str">
        <f>LEFT(Table13[[#This Row],[Input]],1)</f>
        <v>R</v>
      </c>
      <c r="C2254">
        <f>_xlfn.LET(_xlpm.steps,SUBSTITUTE(Table13[[#This Row],[Input]],Table13[[#This Row],[Direction]],""),VALUE(IF(LEN(_xlpm.steps)&gt;2,RIGHT(_xlpm.steps,2),_xlpm.steps)))</f>
        <v>32</v>
      </c>
      <c r="D2254">
        <f>_xlfn.LET(_xlpm.steps,SUBSTITUTE(Table13[[#This Row],[Input]],Table13[[#This Row],[Direction]],""),VALUE(IF(LEN(_xlpm.steps)&gt;2,LEFT(_xlpm.steps,LEN(_xlpm.steps)-2),0)))</f>
        <v>4</v>
      </c>
      <c r="E2254">
        <f>_xlfn.LET(_xlpm.dir,Table13[[#This Row],[Direction]],
IF(_xlpm.dir="L",
    IF(G2253-Table13[[#This Row],[Steps]]&lt;0,100+(G2253-Table13[[#This Row],[Steps]]),G2253-Table13[[#This Row],[Steps]]),
))</f>
        <v>0</v>
      </c>
      <c r="F2254">
        <f>_xlfn.LET(_xlpm.dir,Table13[[#This Row],[Direction]],
IF(_xlpm.dir="R",
    IF(G2253+Table13[[#This Row],[Steps]]&gt;99,(G2253+Table13[[#This Row],[Steps]])-100,G2253+Table13[[#This Row],[Steps]]),
))</f>
        <v>2</v>
      </c>
      <c r="G2254">
        <f>IF(Table13[[#This Row],[New Pos L]]&lt;&gt;0,Table13[[#This Row],[New Pos L]],Table13[[#This Row],[New Pos R]])</f>
        <v>2</v>
      </c>
      <c r="H2254">
        <f>IF(AND(Table13[[#This Row],[Direction]]="L",Table13[[#This Row],[Steps]]&gt;G2253,G2253&lt;&gt;0),1,0)</f>
        <v>0</v>
      </c>
      <c r="I2254">
        <f>IF(AND(Table13[[#This Row],[Direction]]="R",(G2253+Table13[[#This Row],[Steps]])&gt;100),1,0)</f>
        <v>1</v>
      </c>
      <c r="J2254">
        <f>IF(Table13[[#This Row],[POS]]=0,1,0)</f>
        <v>0</v>
      </c>
      <c r="K2254">
        <f>SUM(Table13[[#This Row],[prefix]],Table13[[#This Row],[Past zero L]],Table13[[#This Row],[Past Zero R]],Table13[[#This Row],[Is Zero]])</f>
        <v>5</v>
      </c>
    </row>
    <row r="2255" spans="1:11" ht="16" x14ac:dyDescent="0.2">
      <c r="A2255" s="1" t="s">
        <v>82</v>
      </c>
      <c r="B2255" t="str">
        <f>LEFT(Table13[[#This Row],[Input]],1)</f>
        <v>L</v>
      </c>
      <c r="C2255">
        <f>_xlfn.LET(_xlpm.steps,SUBSTITUTE(Table13[[#This Row],[Input]],Table13[[#This Row],[Direction]],""),VALUE(IF(LEN(_xlpm.steps)&gt;2,RIGHT(_xlpm.steps,2),_xlpm.steps)))</f>
        <v>55</v>
      </c>
      <c r="D2255">
        <f>_xlfn.LET(_xlpm.steps,SUBSTITUTE(Table13[[#This Row],[Input]],Table13[[#This Row],[Direction]],""),VALUE(IF(LEN(_xlpm.steps)&gt;2,LEFT(_xlpm.steps,LEN(_xlpm.steps)-2),0)))</f>
        <v>0</v>
      </c>
      <c r="E2255">
        <f>_xlfn.LET(_xlpm.dir,Table13[[#This Row],[Direction]],
IF(_xlpm.dir="L",
    IF(G2254-Table13[[#This Row],[Steps]]&lt;0,100+(G2254-Table13[[#This Row],[Steps]]),G2254-Table13[[#This Row],[Steps]]),
))</f>
        <v>47</v>
      </c>
      <c r="F2255">
        <f>_xlfn.LET(_xlpm.dir,Table13[[#This Row],[Direction]],
IF(_xlpm.dir="R",
    IF(G2254+Table13[[#This Row],[Steps]]&gt;99,(G2254+Table13[[#This Row],[Steps]])-100,G2254+Table13[[#This Row],[Steps]]),
))</f>
        <v>0</v>
      </c>
      <c r="G2255">
        <f>IF(Table13[[#This Row],[New Pos L]]&lt;&gt;0,Table13[[#This Row],[New Pos L]],Table13[[#This Row],[New Pos R]])</f>
        <v>47</v>
      </c>
      <c r="H2255">
        <f>IF(AND(Table13[[#This Row],[Direction]]="L",Table13[[#This Row],[Steps]]&gt;G2254,G2254&lt;&gt;0),1,0)</f>
        <v>1</v>
      </c>
      <c r="I2255">
        <f>IF(AND(Table13[[#This Row],[Direction]]="R",(G2254+Table13[[#This Row],[Steps]])&gt;100),1,0)</f>
        <v>0</v>
      </c>
      <c r="J2255">
        <f>IF(Table13[[#This Row],[POS]]=0,1,0)</f>
        <v>0</v>
      </c>
      <c r="K2255">
        <f>SUM(Table13[[#This Row],[prefix]],Table13[[#This Row],[Past zero L]],Table13[[#This Row],[Past Zero R]],Table13[[#This Row],[Is Zero]])</f>
        <v>1</v>
      </c>
    </row>
    <row r="2256" spans="1:11" ht="16" x14ac:dyDescent="0.2">
      <c r="A2256" s="1" t="s">
        <v>588</v>
      </c>
      <c r="B2256" t="str">
        <f>LEFT(Table13[[#This Row],[Input]],1)</f>
        <v>L</v>
      </c>
      <c r="C2256">
        <f>_xlfn.LET(_xlpm.steps,SUBSTITUTE(Table13[[#This Row],[Input]],Table13[[#This Row],[Direction]],""),VALUE(IF(LEN(_xlpm.steps)&gt;2,RIGHT(_xlpm.steps,2),_xlpm.steps)))</f>
        <v>47</v>
      </c>
      <c r="D2256">
        <f>_xlfn.LET(_xlpm.steps,SUBSTITUTE(Table13[[#This Row],[Input]],Table13[[#This Row],[Direction]],""),VALUE(IF(LEN(_xlpm.steps)&gt;2,LEFT(_xlpm.steps,LEN(_xlpm.steps)-2),0)))</f>
        <v>6</v>
      </c>
      <c r="E2256">
        <f>_xlfn.LET(_xlpm.dir,Table13[[#This Row],[Direction]],
IF(_xlpm.dir="L",
    IF(G2255-Table13[[#This Row],[Steps]]&lt;0,100+(G2255-Table13[[#This Row],[Steps]]),G2255-Table13[[#This Row],[Steps]]),
))</f>
        <v>0</v>
      </c>
      <c r="F2256">
        <f>_xlfn.LET(_xlpm.dir,Table13[[#This Row],[Direction]],
IF(_xlpm.dir="R",
    IF(G2255+Table13[[#This Row],[Steps]]&gt;99,(G2255+Table13[[#This Row],[Steps]])-100,G2255+Table13[[#This Row],[Steps]]),
))</f>
        <v>0</v>
      </c>
      <c r="G2256">
        <f>IF(Table13[[#This Row],[New Pos L]]&lt;&gt;0,Table13[[#This Row],[New Pos L]],Table13[[#This Row],[New Pos R]])</f>
        <v>0</v>
      </c>
      <c r="H2256">
        <f>IF(AND(Table13[[#This Row],[Direction]]="L",Table13[[#This Row],[Steps]]&gt;G2255,G2255&lt;&gt;0),1,0)</f>
        <v>0</v>
      </c>
      <c r="I2256">
        <f>IF(AND(Table13[[#This Row],[Direction]]="R",(G2255+Table13[[#This Row],[Steps]])&gt;100),1,0)</f>
        <v>0</v>
      </c>
      <c r="J2256">
        <f>IF(Table13[[#This Row],[POS]]=0,1,0)</f>
        <v>1</v>
      </c>
      <c r="K2256">
        <f>SUM(Table13[[#This Row],[prefix]],Table13[[#This Row],[Past zero L]],Table13[[#This Row],[Past Zero R]],Table13[[#This Row],[Is Zero]])</f>
        <v>7</v>
      </c>
    </row>
    <row r="2257" spans="1:11" ht="16" x14ac:dyDescent="0.2">
      <c r="A2257" s="1" t="s">
        <v>74</v>
      </c>
      <c r="B2257" t="str">
        <f>LEFT(Table13[[#This Row],[Input]],1)</f>
        <v>R</v>
      </c>
      <c r="C2257">
        <f>_xlfn.LET(_xlpm.steps,SUBSTITUTE(Table13[[#This Row],[Input]],Table13[[#This Row],[Direction]],""),VALUE(IF(LEN(_xlpm.steps)&gt;2,RIGHT(_xlpm.steps,2),_xlpm.steps)))</f>
        <v>93</v>
      </c>
      <c r="D2257">
        <f>_xlfn.LET(_xlpm.steps,SUBSTITUTE(Table13[[#This Row],[Input]],Table13[[#This Row],[Direction]],""),VALUE(IF(LEN(_xlpm.steps)&gt;2,LEFT(_xlpm.steps,LEN(_xlpm.steps)-2),0)))</f>
        <v>0</v>
      </c>
      <c r="E2257">
        <f>_xlfn.LET(_xlpm.dir,Table13[[#This Row],[Direction]],
IF(_xlpm.dir="L",
    IF(G2256-Table13[[#This Row],[Steps]]&lt;0,100+(G2256-Table13[[#This Row],[Steps]]),G2256-Table13[[#This Row],[Steps]]),
))</f>
        <v>0</v>
      </c>
      <c r="F2257">
        <f>_xlfn.LET(_xlpm.dir,Table13[[#This Row],[Direction]],
IF(_xlpm.dir="R",
    IF(G2256+Table13[[#This Row],[Steps]]&gt;99,(G2256+Table13[[#This Row],[Steps]])-100,G2256+Table13[[#This Row],[Steps]]),
))</f>
        <v>93</v>
      </c>
      <c r="G2257">
        <f>IF(Table13[[#This Row],[New Pos L]]&lt;&gt;0,Table13[[#This Row],[New Pos L]],Table13[[#This Row],[New Pos R]])</f>
        <v>93</v>
      </c>
      <c r="H2257">
        <f>IF(AND(Table13[[#This Row],[Direction]]="L",Table13[[#This Row],[Steps]]&gt;G2256,G2256&lt;&gt;0),1,0)</f>
        <v>0</v>
      </c>
      <c r="I2257">
        <f>IF(AND(Table13[[#This Row],[Direction]]="R",(G2256+Table13[[#This Row],[Steps]])&gt;100),1,0)</f>
        <v>0</v>
      </c>
      <c r="J2257">
        <f>IF(Table13[[#This Row],[POS]]=0,1,0)</f>
        <v>0</v>
      </c>
      <c r="K2257">
        <f>SUM(Table13[[#This Row],[prefix]],Table13[[#This Row],[Past zero L]],Table13[[#This Row],[Past Zero R]],Table13[[#This Row],[Is Zero]])</f>
        <v>0</v>
      </c>
    </row>
    <row r="2258" spans="1:11" ht="16" x14ac:dyDescent="0.2">
      <c r="A2258" s="1" t="s">
        <v>191</v>
      </c>
      <c r="B2258" t="str">
        <f>LEFT(Table13[[#This Row],[Input]],1)</f>
        <v>L</v>
      </c>
      <c r="C2258">
        <f>_xlfn.LET(_xlpm.steps,SUBSTITUTE(Table13[[#This Row],[Input]],Table13[[#This Row],[Direction]],""),VALUE(IF(LEN(_xlpm.steps)&gt;2,RIGHT(_xlpm.steps,2),_xlpm.steps)))</f>
        <v>5</v>
      </c>
      <c r="D2258">
        <f>_xlfn.LET(_xlpm.steps,SUBSTITUTE(Table13[[#This Row],[Input]],Table13[[#This Row],[Direction]],""),VALUE(IF(LEN(_xlpm.steps)&gt;2,LEFT(_xlpm.steps,LEN(_xlpm.steps)-2),0)))</f>
        <v>0</v>
      </c>
      <c r="E2258">
        <f>_xlfn.LET(_xlpm.dir,Table13[[#This Row],[Direction]],
IF(_xlpm.dir="L",
    IF(G2257-Table13[[#This Row],[Steps]]&lt;0,100+(G2257-Table13[[#This Row],[Steps]]),G2257-Table13[[#This Row],[Steps]]),
))</f>
        <v>88</v>
      </c>
      <c r="F2258">
        <f>_xlfn.LET(_xlpm.dir,Table13[[#This Row],[Direction]],
IF(_xlpm.dir="R",
    IF(G2257+Table13[[#This Row],[Steps]]&gt;99,(G2257+Table13[[#This Row],[Steps]])-100,G2257+Table13[[#This Row],[Steps]]),
))</f>
        <v>0</v>
      </c>
      <c r="G2258">
        <f>IF(Table13[[#This Row],[New Pos L]]&lt;&gt;0,Table13[[#This Row],[New Pos L]],Table13[[#This Row],[New Pos R]])</f>
        <v>88</v>
      </c>
      <c r="H2258">
        <f>IF(AND(Table13[[#This Row],[Direction]]="L",Table13[[#This Row],[Steps]]&gt;G2257,G2257&lt;&gt;0),1,0)</f>
        <v>0</v>
      </c>
      <c r="I2258">
        <f>IF(AND(Table13[[#This Row],[Direction]]="R",(G2257+Table13[[#This Row],[Steps]])&gt;100),1,0)</f>
        <v>0</v>
      </c>
      <c r="J2258">
        <f>IF(Table13[[#This Row],[POS]]=0,1,0)</f>
        <v>0</v>
      </c>
      <c r="K2258">
        <f>SUM(Table13[[#This Row],[prefix]],Table13[[#This Row],[Past zero L]],Table13[[#This Row],[Past Zero R]],Table13[[#This Row],[Is Zero]])</f>
        <v>0</v>
      </c>
    </row>
    <row r="2259" spans="1:11" ht="16" x14ac:dyDescent="0.2">
      <c r="A2259" s="1" t="s">
        <v>161</v>
      </c>
      <c r="B2259" t="str">
        <f>LEFT(Table13[[#This Row],[Input]],1)</f>
        <v>R</v>
      </c>
      <c r="C2259">
        <f>_xlfn.LET(_xlpm.steps,SUBSTITUTE(Table13[[#This Row],[Input]],Table13[[#This Row],[Direction]],""),VALUE(IF(LEN(_xlpm.steps)&gt;2,RIGHT(_xlpm.steps,2),_xlpm.steps)))</f>
        <v>76</v>
      </c>
      <c r="D2259">
        <f>_xlfn.LET(_xlpm.steps,SUBSTITUTE(Table13[[#This Row],[Input]],Table13[[#This Row],[Direction]],""),VALUE(IF(LEN(_xlpm.steps)&gt;2,LEFT(_xlpm.steps,LEN(_xlpm.steps)-2),0)))</f>
        <v>0</v>
      </c>
      <c r="E2259">
        <f>_xlfn.LET(_xlpm.dir,Table13[[#This Row],[Direction]],
IF(_xlpm.dir="L",
    IF(G2258-Table13[[#This Row],[Steps]]&lt;0,100+(G2258-Table13[[#This Row],[Steps]]),G2258-Table13[[#This Row],[Steps]]),
))</f>
        <v>0</v>
      </c>
      <c r="F2259">
        <f>_xlfn.LET(_xlpm.dir,Table13[[#This Row],[Direction]],
IF(_xlpm.dir="R",
    IF(G2258+Table13[[#This Row],[Steps]]&gt;99,(G2258+Table13[[#This Row],[Steps]])-100,G2258+Table13[[#This Row],[Steps]]),
))</f>
        <v>64</v>
      </c>
      <c r="G2259">
        <f>IF(Table13[[#This Row],[New Pos L]]&lt;&gt;0,Table13[[#This Row],[New Pos L]],Table13[[#This Row],[New Pos R]])</f>
        <v>64</v>
      </c>
      <c r="H2259">
        <f>IF(AND(Table13[[#This Row],[Direction]]="L",Table13[[#This Row],[Steps]]&gt;G2258,G2258&lt;&gt;0),1,0)</f>
        <v>0</v>
      </c>
      <c r="I2259">
        <f>IF(AND(Table13[[#This Row],[Direction]]="R",(G2258+Table13[[#This Row],[Steps]])&gt;100),1,0)</f>
        <v>1</v>
      </c>
      <c r="J2259">
        <f>IF(Table13[[#This Row],[POS]]=0,1,0)</f>
        <v>0</v>
      </c>
      <c r="K2259">
        <f>SUM(Table13[[#This Row],[prefix]],Table13[[#This Row],[Past zero L]],Table13[[#This Row],[Past Zero R]],Table13[[#This Row],[Is Zero]])</f>
        <v>1</v>
      </c>
    </row>
    <row r="2260" spans="1:11" ht="16" x14ac:dyDescent="0.2">
      <c r="A2260" s="1" t="s">
        <v>52</v>
      </c>
      <c r="B2260" t="str">
        <f>LEFT(Table13[[#This Row],[Input]],1)</f>
        <v>R</v>
      </c>
      <c r="C2260">
        <f>_xlfn.LET(_xlpm.steps,SUBSTITUTE(Table13[[#This Row],[Input]],Table13[[#This Row],[Direction]],""),VALUE(IF(LEN(_xlpm.steps)&gt;2,RIGHT(_xlpm.steps,2),_xlpm.steps)))</f>
        <v>11</v>
      </c>
      <c r="D2260">
        <f>_xlfn.LET(_xlpm.steps,SUBSTITUTE(Table13[[#This Row],[Input]],Table13[[#This Row],[Direction]],""),VALUE(IF(LEN(_xlpm.steps)&gt;2,LEFT(_xlpm.steps,LEN(_xlpm.steps)-2),0)))</f>
        <v>0</v>
      </c>
      <c r="E2260">
        <f>_xlfn.LET(_xlpm.dir,Table13[[#This Row],[Direction]],
IF(_xlpm.dir="L",
    IF(G2259-Table13[[#This Row],[Steps]]&lt;0,100+(G2259-Table13[[#This Row],[Steps]]),G2259-Table13[[#This Row],[Steps]]),
))</f>
        <v>0</v>
      </c>
      <c r="F2260">
        <f>_xlfn.LET(_xlpm.dir,Table13[[#This Row],[Direction]],
IF(_xlpm.dir="R",
    IF(G2259+Table13[[#This Row],[Steps]]&gt;99,(G2259+Table13[[#This Row],[Steps]])-100,G2259+Table13[[#This Row],[Steps]]),
))</f>
        <v>75</v>
      </c>
      <c r="G2260">
        <f>IF(Table13[[#This Row],[New Pos L]]&lt;&gt;0,Table13[[#This Row],[New Pos L]],Table13[[#This Row],[New Pos R]])</f>
        <v>75</v>
      </c>
      <c r="H2260">
        <f>IF(AND(Table13[[#This Row],[Direction]]="L",Table13[[#This Row],[Steps]]&gt;G2259,G2259&lt;&gt;0),1,0)</f>
        <v>0</v>
      </c>
      <c r="I2260">
        <f>IF(AND(Table13[[#This Row],[Direction]]="R",(G2259+Table13[[#This Row],[Steps]])&gt;100),1,0)</f>
        <v>0</v>
      </c>
      <c r="J2260">
        <f>IF(Table13[[#This Row],[POS]]=0,1,0)</f>
        <v>0</v>
      </c>
      <c r="K2260">
        <f>SUM(Table13[[#This Row],[prefix]],Table13[[#This Row],[Past zero L]],Table13[[#This Row],[Past Zero R]],Table13[[#This Row],[Is Zero]])</f>
        <v>0</v>
      </c>
    </row>
    <row r="2261" spans="1:11" ht="16" x14ac:dyDescent="0.2">
      <c r="A2261" s="1" t="s">
        <v>586</v>
      </c>
      <c r="B2261" t="str">
        <f>LEFT(Table13[[#This Row],[Input]],1)</f>
        <v>R</v>
      </c>
      <c r="C2261">
        <f>_xlfn.LET(_xlpm.steps,SUBSTITUTE(Table13[[#This Row],[Input]],Table13[[#This Row],[Direction]],""),VALUE(IF(LEN(_xlpm.steps)&gt;2,RIGHT(_xlpm.steps,2),_xlpm.steps)))</f>
        <v>85</v>
      </c>
      <c r="D2261">
        <f>_xlfn.LET(_xlpm.steps,SUBSTITUTE(Table13[[#This Row],[Input]],Table13[[#This Row],[Direction]],""),VALUE(IF(LEN(_xlpm.steps)&gt;2,LEFT(_xlpm.steps,LEN(_xlpm.steps)-2),0)))</f>
        <v>8</v>
      </c>
      <c r="E2261">
        <f>_xlfn.LET(_xlpm.dir,Table13[[#This Row],[Direction]],
IF(_xlpm.dir="L",
    IF(G2260-Table13[[#This Row],[Steps]]&lt;0,100+(G2260-Table13[[#This Row],[Steps]]),G2260-Table13[[#This Row],[Steps]]),
))</f>
        <v>0</v>
      </c>
      <c r="F2261">
        <f>_xlfn.LET(_xlpm.dir,Table13[[#This Row],[Direction]],
IF(_xlpm.dir="R",
    IF(G2260+Table13[[#This Row],[Steps]]&gt;99,(G2260+Table13[[#This Row],[Steps]])-100,G2260+Table13[[#This Row],[Steps]]),
))</f>
        <v>60</v>
      </c>
      <c r="G2261">
        <f>IF(Table13[[#This Row],[New Pos L]]&lt;&gt;0,Table13[[#This Row],[New Pos L]],Table13[[#This Row],[New Pos R]])</f>
        <v>60</v>
      </c>
      <c r="H2261">
        <f>IF(AND(Table13[[#This Row],[Direction]]="L",Table13[[#This Row],[Steps]]&gt;G2260,G2260&lt;&gt;0),1,0)</f>
        <v>0</v>
      </c>
      <c r="I2261">
        <f>IF(AND(Table13[[#This Row],[Direction]]="R",(G2260+Table13[[#This Row],[Steps]])&gt;100),1,0)</f>
        <v>1</v>
      </c>
      <c r="J2261">
        <f>IF(Table13[[#This Row],[POS]]=0,1,0)</f>
        <v>0</v>
      </c>
      <c r="K2261">
        <f>SUM(Table13[[#This Row],[prefix]],Table13[[#This Row],[Past zero L]],Table13[[#This Row],[Past Zero R]],Table13[[#This Row],[Is Zero]])</f>
        <v>9</v>
      </c>
    </row>
    <row r="2262" spans="1:11" ht="16" x14ac:dyDescent="0.2">
      <c r="A2262" s="1" t="s">
        <v>589</v>
      </c>
      <c r="B2262" t="str">
        <f>LEFT(Table13[[#This Row],[Input]],1)</f>
        <v>R</v>
      </c>
      <c r="C2262">
        <f>_xlfn.LET(_xlpm.steps,SUBSTITUTE(Table13[[#This Row],[Input]],Table13[[#This Row],[Direction]],""),VALUE(IF(LEN(_xlpm.steps)&gt;2,RIGHT(_xlpm.steps,2),_xlpm.steps)))</f>
        <v>49</v>
      </c>
      <c r="D2262">
        <f>_xlfn.LET(_xlpm.steps,SUBSTITUTE(Table13[[#This Row],[Input]],Table13[[#This Row],[Direction]],""),VALUE(IF(LEN(_xlpm.steps)&gt;2,LEFT(_xlpm.steps,LEN(_xlpm.steps)-2),0)))</f>
        <v>1</v>
      </c>
      <c r="E2262">
        <f>_xlfn.LET(_xlpm.dir,Table13[[#This Row],[Direction]],
IF(_xlpm.dir="L",
    IF(G2261-Table13[[#This Row],[Steps]]&lt;0,100+(G2261-Table13[[#This Row],[Steps]]),G2261-Table13[[#This Row],[Steps]]),
))</f>
        <v>0</v>
      </c>
      <c r="F2262">
        <f>_xlfn.LET(_xlpm.dir,Table13[[#This Row],[Direction]],
IF(_xlpm.dir="R",
    IF(G2261+Table13[[#This Row],[Steps]]&gt;99,(G2261+Table13[[#This Row],[Steps]])-100,G2261+Table13[[#This Row],[Steps]]),
))</f>
        <v>9</v>
      </c>
      <c r="G2262">
        <f>IF(Table13[[#This Row],[New Pos L]]&lt;&gt;0,Table13[[#This Row],[New Pos L]],Table13[[#This Row],[New Pos R]])</f>
        <v>9</v>
      </c>
      <c r="H2262">
        <f>IF(AND(Table13[[#This Row],[Direction]]="L",Table13[[#This Row],[Steps]]&gt;G2261,G2261&lt;&gt;0),1,0)</f>
        <v>0</v>
      </c>
      <c r="I2262">
        <f>IF(AND(Table13[[#This Row],[Direction]]="R",(G2261+Table13[[#This Row],[Steps]])&gt;100),1,0)</f>
        <v>1</v>
      </c>
      <c r="J2262">
        <f>IF(Table13[[#This Row],[POS]]=0,1,0)</f>
        <v>0</v>
      </c>
      <c r="K2262">
        <f>SUM(Table13[[#This Row],[prefix]],Table13[[#This Row],[Past zero L]],Table13[[#This Row],[Past Zero R]],Table13[[#This Row],[Is Zero]])</f>
        <v>2</v>
      </c>
    </row>
    <row r="2263" spans="1:11" ht="16" x14ac:dyDescent="0.2">
      <c r="A2263" s="1" t="s">
        <v>272</v>
      </c>
      <c r="B2263" t="str">
        <f>LEFT(Table13[[#This Row],[Input]],1)</f>
        <v>R</v>
      </c>
      <c r="C2263">
        <f>_xlfn.LET(_xlpm.steps,SUBSTITUTE(Table13[[#This Row],[Input]],Table13[[#This Row],[Direction]],""),VALUE(IF(LEN(_xlpm.steps)&gt;2,RIGHT(_xlpm.steps,2),_xlpm.steps)))</f>
        <v>56</v>
      </c>
      <c r="D2263">
        <f>_xlfn.LET(_xlpm.steps,SUBSTITUTE(Table13[[#This Row],[Input]],Table13[[#This Row],[Direction]],""),VALUE(IF(LEN(_xlpm.steps)&gt;2,LEFT(_xlpm.steps,LEN(_xlpm.steps)-2),0)))</f>
        <v>0</v>
      </c>
      <c r="E2263">
        <f>_xlfn.LET(_xlpm.dir,Table13[[#This Row],[Direction]],
IF(_xlpm.dir="L",
    IF(G2262-Table13[[#This Row],[Steps]]&lt;0,100+(G2262-Table13[[#This Row],[Steps]]),G2262-Table13[[#This Row],[Steps]]),
))</f>
        <v>0</v>
      </c>
      <c r="F2263">
        <f>_xlfn.LET(_xlpm.dir,Table13[[#This Row],[Direction]],
IF(_xlpm.dir="R",
    IF(G2262+Table13[[#This Row],[Steps]]&gt;99,(G2262+Table13[[#This Row],[Steps]])-100,G2262+Table13[[#This Row],[Steps]]),
))</f>
        <v>65</v>
      </c>
      <c r="G2263">
        <f>IF(Table13[[#This Row],[New Pos L]]&lt;&gt;0,Table13[[#This Row],[New Pos L]],Table13[[#This Row],[New Pos R]])</f>
        <v>65</v>
      </c>
      <c r="H2263">
        <f>IF(AND(Table13[[#This Row],[Direction]]="L",Table13[[#This Row],[Steps]]&gt;G2262,G2262&lt;&gt;0),1,0)</f>
        <v>0</v>
      </c>
      <c r="I2263">
        <f>IF(AND(Table13[[#This Row],[Direction]]="R",(G2262+Table13[[#This Row],[Steps]])&gt;100),1,0)</f>
        <v>0</v>
      </c>
      <c r="J2263">
        <f>IF(Table13[[#This Row],[POS]]=0,1,0)</f>
        <v>0</v>
      </c>
      <c r="K2263">
        <f>SUM(Table13[[#This Row],[prefix]],Table13[[#This Row],[Past zero L]],Table13[[#This Row],[Past Zero R]],Table13[[#This Row],[Is Zero]])</f>
        <v>0</v>
      </c>
    </row>
    <row r="2264" spans="1:11" ht="16" x14ac:dyDescent="0.2">
      <c r="A2264" s="1" t="s">
        <v>252</v>
      </c>
      <c r="B2264" t="str">
        <f>LEFT(Table13[[#This Row],[Input]],1)</f>
        <v>L</v>
      </c>
      <c r="C2264">
        <f>_xlfn.LET(_xlpm.steps,SUBSTITUTE(Table13[[#This Row],[Input]],Table13[[#This Row],[Direction]],""),VALUE(IF(LEN(_xlpm.steps)&gt;2,RIGHT(_xlpm.steps,2),_xlpm.steps)))</f>
        <v>99</v>
      </c>
      <c r="D2264">
        <f>_xlfn.LET(_xlpm.steps,SUBSTITUTE(Table13[[#This Row],[Input]],Table13[[#This Row],[Direction]],""),VALUE(IF(LEN(_xlpm.steps)&gt;2,LEFT(_xlpm.steps,LEN(_xlpm.steps)-2),0)))</f>
        <v>0</v>
      </c>
      <c r="E2264">
        <f>_xlfn.LET(_xlpm.dir,Table13[[#This Row],[Direction]],
IF(_xlpm.dir="L",
    IF(G2263-Table13[[#This Row],[Steps]]&lt;0,100+(G2263-Table13[[#This Row],[Steps]]),G2263-Table13[[#This Row],[Steps]]),
))</f>
        <v>66</v>
      </c>
      <c r="F2264">
        <f>_xlfn.LET(_xlpm.dir,Table13[[#This Row],[Direction]],
IF(_xlpm.dir="R",
    IF(G2263+Table13[[#This Row],[Steps]]&gt;99,(G2263+Table13[[#This Row],[Steps]])-100,G2263+Table13[[#This Row],[Steps]]),
))</f>
        <v>0</v>
      </c>
      <c r="G2264">
        <f>IF(Table13[[#This Row],[New Pos L]]&lt;&gt;0,Table13[[#This Row],[New Pos L]],Table13[[#This Row],[New Pos R]])</f>
        <v>66</v>
      </c>
      <c r="H2264">
        <f>IF(AND(Table13[[#This Row],[Direction]]="L",Table13[[#This Row],[Steps]]&gt;G2263,G2263&lt;&gt;0),1,0)</f>
        <v>1</v>
      </c>
      <c r="I2264">
        <f>IF(AND(Table13[[#This Row],[Direction]]="R",(G2263+Table13[[#This Row],[Steps]])&gt;100),1,0)</f>
        <v>0</v>
      </c>
      <c r="J2264">
        <f>IF(Table13[[#This Row],[POS]]=0,1,0)</f>
        <v>0</v>
      </c>
      <c r="K2264">
        <f>SUM(Table13[[#This Row],[prefix]],Table13[[#This Row],[Past zero L]],Table13[[#This Row],[Past Zero R]],Table13[[#This Row],[Is Zero]])</f>
        <v>1</v>
      </c>
    </row>
    <row r="2265" spans="1:11" ht="16" x14ac:dyDescent="0.2">
      <c r="A2265" s="1" t="s">
        <v>9</v>
      </c>
      <c r="B2265" t="str">
        <f>LEFT(Table13[[#This Row],[Input]],1)</f>
        <v>L</v>
      </c>
      <c r="C2265">
        <f>_xlfn.LET(_xlpm.steps,SUBSTITUTE(Table13[[#This Row],[Input]],Table13[[#This Row],[Direction]],""),VALUE(IF(LEN(_xlpm.steps)&gt;2,RIGHT(_xlpm.steps,2),_xlpm.steps)))</f>
        <v>9</v>
      </c>
      <c r="D2265">
        <f>_xlfn.LET(_xlpm.steps,SUBSTITUTE(Table13[[#This Row],[Input]],Table13[[#This Row],[Direction]],""),VALUE(IF(LEN(_xlpm.steps)&gt;2,LEFT(_xlpm.steps,LEN(_xlpm.steps)-2),0)))</f>
        <v>0</v>
      </c>
      <c r="E2265">
        <f>_xlfn.LET(_xlpm.dir,Table13[[#This Row],[Direction]],
IF(_xlpm.dir="L",
    IF(G2264-Table13[[#This Row],[Steps]]&lt;0,100+(G2264-Table13[[#This Row],[Steps]]),G2264-Table13[[#This Row],[Steps]]),
))</f>
        <v>57</v>
      </c>
      <c r="F2265">
        <f>_xlfn.LET(_xlpm.dir,Table13[[#This Row],[Direction]],
IF(_xlpm.dir="R",
    IF(G2264+Table13[[#This Row],[Steps]]&gt;99,(G2264+Table13[[#This Row],[Steps]])-100,G2264+Table13[[#This Row],[Steps]]),
))</f>
        <v>0</v>
      </c>
      <c r="G2265">
        <f>IF(Table13[[#This Row],[New Pos L]]&lt;&gt;0,Table13[[#This Row],[New Pos L]],Table13[[#This Row],[New Pos R]])</f>
        <v>57</v>
      </c>
      <c r="H2265">
        <f>IF(AND(Table13[[#This Row],[Direction]]="L",Table13[[#This Row],[Steps]]&gt;G2264,G2264&lt;&gt;0),1,0)</f>
        <v>0</v>
      </c>
      <c r="I2265">
        <f>IF(AND(Table13[[#This Row],[Direction]]="R",(G2264+Table13[[#This Row],[Steps]])&gt;100),1,0)</f>
        <v>0</v>
      </c>
      <c r="J2265">
        <f>IF(Table13[[#This Row],[POS]]=0,1,0)</f>
        <v>0</v>
      </c>
      <c r="K2265">
        <f>SUM(Table13[[#This Row],[prefix]],Table13[[#This Row],[Past zero L]],Table13[[#This Row],[Past Zero R]],Table13[[#This Row],[Is Zero]])</f>
        <v>0</v>
      </c>
    </row>
    <row r="2266" spans="1:11" ht="16" x14ac:dyDescent="0.2">
      <c r="A2266" s="1" t="s">
        <v>47</v>
      </c>
      <c r="B2266" t="str">
        <f>LEFT(Table13[[#This Row],[Input]],1)</f>
        <v>R</v>
      </c>
      <c r="C2266">
        <f>_xlfn.LET(_xlpm.steps,SUBSTITUTE(Table13[[#This Row],[Input]],Table13[[#This Row],[Direction]],""),VALUE(IF(LEN(_xlpm.steps)&gt;2,RIGHT(_xlpm.steps,2),_xlpm.steps)))</f>
        <v>97</v>
      </c>
      <c r="D2266">
        <f>_xlfn.LET(_xlpm.steps,SUBSTITUTE(Table13[[#This Row],[Input]],Table13[[#This Row],[Direction]],""),VALUE(IF(LEN(_xlpm.steps)&gt;2,LEFT(_xlpm.steps,LEN(_xlpm.steps)-2),0)))</f>
        <v>0</v>
      </c>
      <c r="E2266">
        <f>_xlfn.LET(_xlpm.dir,Table13[[#This Row],[Direction]],
IF(_xlpm.dir="L",
    IF(G2265-Table13[[#This Row],[Steps]]&lt;0,100+(G2265-Table13[[#This Row],[Steps]]),G2265-Table13[[#This Row],[Steps]]),
))</f>
        <v>0</v>
      </c>
      <c r="F2266">
        <f>_xlfn.LET(_xlpm.dir,Table13[[#This Row],[Direction]],
IF(_xlpm.dir="R",
    IF(G2265+Table13[[#This Row],[Steps]]&gt;99,(G2265+Table13[[#This Row],[Steps]])-100,G2265+Table13[[#This Row],[Steps]]),
))</f>
        <v>54</v>
      </c>
      <c r="G2266">
        <f>IF(Table13[[#This Row],[New Pos L]]&lt;&gt;0,Table13[[#This Row],[New Pos L]],Table13[[#This Row],[New Pos R]])</f>
        <v>54</v>
      </c>
      <c r="H2266">
        <f>IF(AND(Table13[[#This Row],[Direction]]="L",Table13[[#This Row],[Steps]]&gt;G2265,G2265&lt;&gt;0),1,0)</f>
        <v>0</v>
      </c>
      <c r="I2266">
        <f>IF(AND(Table13[[#This Row],[Direction]]="R",(G2265+Table13[[#This Row],[Steps]])&gt;100),1,0)</f>
        <v>1</v>
      </c>
      <c r="J2266">
        <f>IF(Table13[[#This Row],[POS]]=0,1,0)</f>
        <v>0</v>
      </c>
      <c r="K2266">
        <f>SUM(Table13[[#This Row],[prefix]],Table13[[#This Row],[Past zero L]],Table13[[#This Row],[Past Zero R]],Table13[[#This Row],[Is Zero]])</f>
        <v>1</v>
      </c>
    </row>
    <row r="2267" spans="1:11" ht="16" x14ac:dyDescent="0.2">
      <c r="A2267" s="1" t="s">
        <v>179</v>
      </c>
      <c r="B2267" t="str">
        <f>LEFT(Table13[[#This Row],[Input]],1)</f>
        <v>L</v>
      </c>
      <c r="C2267">
        <f>_xlfn.LET(_xlpm.steps,SUBSTITUTE(Table13[[#This Row],[Input]],Table13[[#This Row],[Direction]],""),VALUE(IF(LEN(_xlpm.steps)&gt;2,RIGHT(_xlpm.steps,2),_xlpm.steps)))</f>
        <v>54</v>
      </c>
      <c r="D2267">
        <f>_xlfn.LET(_xlpm.steps,SUBSTITUTE(Table13[[#This Row],[Input]],Table13[[#This Row],[Direction]],""),VALUE(IF(LEN(_xlpm.steps)&gt;2,LEFT(_xlpm.steps,LEN(_xlpm.steps)-2),0)))</f>
        <v>0</v>
      </c>
      <c r="E2267">
        <f>_xlfn.LET(_xlpm.dir,Table13[[#This Row],[Direction]],
IF(_xlpm.dir="L",
    IF(G2266-Table13[[#This Row],[Steps]]&lt;0,100+(G2266-Table13[[#This Row],[Steps]]),G2266-Table13[[#This Row],[Steps]]),
))</f>
        <v>0</v>
      </c>
      <c r="F2267">
        <f>_xlfn.LET(_xlpm.dir,Table13[[#This Row],[Direction]],
IF(_xlpm.dir="R",
    IF(G2266+Table13[[#This Row],[Steps]]&gt;99,(G2266+Table13[[#This Row],[Steps]])-100,G2266+Table13[[#This Row],[Steps]]),
))</f>
        <v>0</v>
      </c>
      <c r="G2267">
        <f>IF(Table13[[#This Row],[New Pos L]]&lt;&gt;0,Table13[[#This Row],[New Pos L]],Table13[[#This Row],[New Pos R]])</f>
        <v>0</v>
      </c>
      <c r="H2267">
        <f>IF(AND(Table13[[#This Row],[Direction]]="L",Table13[[#This Row],[Steps]]&gt;G2266,G2266&lt;&gt;0),1,0)</f>
        <v>0</v>
      </c>
      <c r="I2267">
        <f>IF(AND(Table13[[#This Row],[Direction]]="R",(G2266+Table13[[#This Row],[Steps]])&gt;100),1,0)</f>
        <v>0</v>
      </c>
      <c r="J2267">
        <f>IF(Table13[[#This Row],[POS]]=0,1,0)</f>
        <v>1</v>
      </c>
      <c r="K2267">
        <f>SUM(Table13[[#This Row],[prefix]],Table13[[#This Row],[Past zero L]],Table13[[#This Row],[Past Zero R]],Table13[[#This Row],[Is Zero]])</f>
        <v>1</v>
      </c>
    </row>
    <row r="2268" spans="1:11" ht="16" x14ac:dyDescent="0.2">
      <c r="A2268" s="1" t="s">
        <v>2</v>
      </c>
      <c r="B2268" t="str">
        <f>LEFT(Table13[[#This Row],[Input]],1)</f>
        <v>L</v>
      </c>
      <c r="C2268">
        <f>_xlfn.LET(_xlpm.steps,SUBSTITUTE(Table13[[#This Row],[Input]],Table13[[#This Row],[Direction]],""),VALUE(IF(LEN(_xlpm.steps)&gt;2,RIGHT(_xlpm.steps,2),_xlpm.steps)))</f>
        <v>38</v>
      </c>
      <c r="D2268">
        <f>_xlfn.LET(_xlpm.steps,SUBSTITUTE(Table13[[#This Row],[Input]],Table13[[#This Row],[Direction]],""),VALUE(IF(LEN(_xlpm.steps)&gt;2,LEFT(_xlpm.steps,LEN(_xlpm.steps)-2),0)))</f>
        <v>0</v>
      </c>
      <c r="E2268">
        <f>_xlfn.LET(_xlpm.dir,Table13[[#This Row],[Direction]],
IF(_xlpm.dir="L",
    IF(G2267-Table13[[#This Row],[Steps]]&lt;0,100+(G2267-Table13[[#This Row],[Steps]]),G2267-Table13[[#This Row],[Steps]]),
))</f>
        <v>62</v>
      </c>
      <c r="F2268">
        <f>_xlfn.LET(_xlpm.dir,Table13[[#This Row],[Direction]],
IF(_xlpm.dir="R",
    IF(G2267+Table13[[#This Row],[Steps]]&gt;99,(G2267+Table13[[#This Row],[Steps]])-100,G2267+Table13[[#This Row],[Steps]]),
))</f>
        <v>0</v>
      </c>
      <c r="G2268">
        <f>IF(Table13[[#This Row],[New Pos L]]&lt;&gt;0,Table13[[#This Row],[New Pos L]],Table13[[#This Row],[New Pos R]])</f>
        <v>62</v>
      </c>
      <c r="H2268">
        <f>IF(AND(Table13[[#This Row],[Direction]]="L",Table13[[#This Row],[Steps]]&gt;G2267,G2267&lt;&gt;0),1,0)</f>
        <v>0</v>
      </c>
      <c r="I2268">
        <f>IF(AND(Table13[[#This Row],[Direction]]="R",(G2267+Table13[[#This Row],[Steps]])&gt;100),1,0)</f>
        <v>0</v>
      </c>
      <c r="J2268">
        <f>IF(Table13[[#This Row],[POS]]=0,1,0)</f>
        <v>0</v>
      </c>
      <c r="K2268">
        <f>SUM(Table13[[#This Row],[prefix]],Table13[[#This Row],[Past zero L]],Table13[[#This Row],[Past Zero R]],Table13[[#This Row],[Is Zero]])</f>
        <v>0</v>
      </c>
    </row>
    <row r="2269" spans="1:11" ht="16" x14ac:dyDescent="0.2">
      <c r="A2269" s="1" t="s">
        <v>139</v>
      </c>
      <c r="B2269" t="str">
        <f>LEFT(Table13[[#This Row],[Input]],1)</f>
        <v>R</v>
      </c>
      <c r="C2269">
        <f>_xlfn.LET(_xlpm.steps,SUBSTITUTE(Table13[[#This Row],[Input]],Table13[[#This Row],[Direction]],""),VALUE(IF(LEN(_xlpm.steps)&gt;2,RIGHT(_xlpm.steps,2),_xlpm.steps)))</f>
        <v>38</v>
      </c>
      <c r="D2269">
        <f>_xlfn.LET(_xlpm.steps,SUBSTITUTE(Table13[[#This Row],[Input]],Table13[[#This Row],[Direction]],""),VALUE(IF(LEN(_xlpm.steps)&gt;2,LEFT(_xlpm.steps,LEN(_xlpm.steps)-2),0)))</f>
        <v>0</v>
      </c>
      <c r="E2269">
        <f>_xlfn.LET(_xlpm.dir,Table13[[#This Row],[Direction]],
IF(_xlpm.dir="L",
    IF(G2268-Table13[[#This Row],[Steps]]&lt;0,100+(G2268-Table13[[#This Row],[Steps]]),G2268-Table13[[#This Row],[Steps]]),
))</f>
        <v>0</v>
      </c>
      <c r="F2269">
        <f>_xlfn.LET(_xlpm.dir,Table13[[#This Row],[Direction]],
IF(_xlpm.dir="R",
    IF(G2268+Table13[[#This Row],[Steps]]&gt;99,(G2268+Table13[[#This Row],[Steps]])-100,G2268+Table13[[#This Row],[Steps]]),
))</f>
        <v>0</v>
      </c>
      <c r="G2269">
        <f>IF(Table13[[#This Row],[New Pos L]]&lt;&gt;0,Table13[[#This Row],[New Pos L]],Table13[[#This Row],[New Pos R]])</f>
        <v>0</v>
      </c>
      <c r="H2269">
        <f>IF(AND(Table13[[#This Row],[Direction]]="L",Table13[[#This Row],[Steps]]&gt;G2268,G2268&lt;&gt;0),1,0)</f>
        <v>0</v>
      </c>
      <c r="I2269">
        <f>IF(AND(Table13[[#This Row],[Direction]]="R",(G2268+Table13[[#This Row],[Steps]])&gt;100),1,0)</f>
        <v>0</v>
      </c>
      <c r="J2269">
        <f>IF(Table13[[#This Row],[POS]]=0,1,0)</f>
        <v>1</v>
      </c>
      <c r="K2269">
        <f>SUM(Table13[[#This Row],[prefix]],Table13[[#This Row],[Past zero L]],Table13[[#This Row],[Past Zero R]],Table13[[#This Row],[Is Zero]])</f>
        <v>1</v>
      </c>
    </row>
    <row r="2270" spans="1:11" ht="16" x14ac:dyDescent="0.2">
      <c r="A2270" s="1" t="s">
        <v>13</v>
      </c>
      <c r="B2270" t="str">
        <f>LEFT(Table13[[#This Row],[Input]],1)</f>
        <v>R</v>
      </c>
      <c r="C2270">
        <f>_xlfn.LET(_xlpm.steps,SUBSTITUTE(Table13[[#This Row],[Input]],Table13[[#This Row],[Direction]],""),VALUE(IF(LEN(_xlpm.steps)&gt;2,RIGHT(_xlpm.steps,2),_xlpm.steps)))</f>
        <v>12</v>
      </c>
      <c r="D2270">
        <f>_xlfn.LET(_xlpm.steps,SUBSTITUTE(Table13[[#This Row],[Input]],Table13[[#This Row],[Direction]],""),VALUE(IF(LEN(_xlpm.steps)&gt;2,LEFT(_xlpm.steps,LEN(_xlpm.steps)-2),0)))</f>
        <v>0</v>
      </c>
      <c r="E2270">
        <f>_xlfn.LET(_xlpm.dir,Table13[[#This Row],[Direction]],
IF(_xlpm.dir="L",
    IF(G2269-Table13[[#This Row],[Steps]]&lt;0,100+(G2269-Table13[[#This Row],[Steps]]),G2269-Table13[[#This Row],[Steps]]),
))</f>
        <v>0</v>
      </c>
      <c r="F2270">
        <f>_xlfn.LET(_xlpm.dir,Table13[[#This Row],[Direction]],
IF(_xlpm.dir="R",
    IF(G2269+Table13[[#This Row],[Steps]]&gt;99,(G2269+Table13[[#This Row],[Steps]])-100,G2269+Table13[[#This Row],[Steps]]),
))</f>
        <v>12</v>
      </c>
      <c r="G2270">
        <f>IF(Table13[[#This Row],[New Pos L]]&lt;&gt;0,Table13[[#This Row],[New Pos L]],Table13[[#This Row],[New Pos R]])</f>
        <v>12</v>
      </c>
      <c r="H2270">
        <f>IF(AND(Table13[[#This Row],[Direction]]="L",Table13[[#This Row],[Steps]]&gt;G2269,G2269&lt;&gt;0),1,0)</f>
        <v>0</v>
      </c>
      <c r="I2270">
        <f>IF(AND(Table13[[#This Row],[Direction]]="R",(G2269+Table13[[#This Row],[Steps]])&gt;100),1,0)</f>
        <v>0</v>
      </c>
      <c r="J2270">
        <f>IF(Table13[[#This Row],[POS]]=0,1,0)</f>
        <v>0</v>
      </c>
      <c r="K2270">
        <f>SUM(Table13[[#This Row],[prefix]],Table13[[#This Row],[Past zero L]],Table13[[#This Row],[Past Zero R]],Table13[[#This Row],[Is Zero]])</f>
        <v>0</v>
      </c>
    </row>
    <row r="2271" spans="1:11" ht="16" x14ac:dyDescent="0.2">
      <c r="A2271" s="1" t="s">
        <v>146</v>
      </c>
      <c r="B2271" t="str">
        <f>LEFT(Table13[[#This Row],[Input]],1)</f>
        <v>R</v>
      </c>
      <c r="C2271">
        <f>_xlfn.LET(_xlpm.steps,SUBSTITUTE(Table13[[#This Row],[Input]],Table13[[#This Row],[Direction]],""),VALUE(IF(LEN(_xlpm.steps)&gt;2,RIGHT(_xlpm.steps,2),_xlpm.steps)))</f>
        <v>4</v>
      </c>
      <c r="D2271">
        <f>_xlfn.LET(_xlpm.steps,SUBSTITUTE(Table13[[#This Row],[Input]],Table13[[#This Row],[Direction]],""),VALUE(IF(LEN(_xlpm.steps)&gt;2,LEFT(_xlpm.steps,LEN(_xlpm.steps)-2),0)))</f>
        <v>0</v>
      </c>
      <c r="E2271">
        <f>_xlfn.LET(_xlpm.dir,Table13[[#This Row],[Direction]],
IF(_xlpm.dir="L",
    IF(G2270-Table13[[#This Row],[Steps]]&lt;0,100+(G2270-Table13[[#This Row],[Steps]]),G2270-Table13[[#This Row],[Steps]]),
))</f>
        <v>0</v>
      </c>
      <c r="F2271">
        <f>_xlfn.LET(_xlpm.dir,Table13[[#This Row],[Direction]],
IF(_xlpm.dir="R",
    IF(G2270+Table13[[#This Row],[Steps]]&gt;99,(G2270+Table13[[#This Row],[Steps]])-100,G2270+Table13[[#This Row],[Steps]]),
))</f>
        <v>16</v>
      </c>
      <c r="G2271">
        <f>IF(Table13[[#This Row],[New Pos L]]&lt;&gt;0,Table13[[#This Row],[New Pos L]],Table13[[#This Row],[New Pos R]])</f>
        <v>16</v>
      </c>
      <c r="H2271">
        <f>IF(AND(Table13[[#This Row],[Direction]]="L",Table13[[#This Row],[Steps]]&gt;G2270,G2270&lt;&gt;0),1,0)</f>
        <v>0</v>
      </c>
      <c r="I2271">
        <f>IF(AND(Table13[[#This Row],[Direction]]="R",(G2270+Table13[[#This Row],[Steps]])&gt;100),1,0)</f>
        <v>0</v>
      </c>
      <c r="J2271">
        <f>IF(Table13[[#This Row],[POS]]=0,1,0)</f>
        <v>0</v>
      </c>
      <c r="K2271">
        <f>SUM(Table13[[#This Row],[prefix]],Table13[[#This Row],[Past zero L]],Table13[[#This Row],[Past Zero R]],Table13[[#This Row],[Is Zero]])</f>
        <v>0</v>
      </c>
    </row>
    <row r="2272" spans="1:11" ht="16" x14ac:dyDescent="0.2">
      <c r="A2272" s="1" t="s">
        <v>61</v>
      </c>
      <c r="B2272" t="str">
        <f>LEFT(Table13[[#This Row],[Input]],1)</f>
        <v>L</v>
      </c>
      <c r="C2272">
        <f>_xlfn.LET(_xlpm.steps,SUBSTITUTE(Table13[[#This Row],[Input]],Table13[[#This Row],[Direction]],""),VALUE(IF(LEN(_xlpm.steps)&gt;2,RIGHT(_xlpm.steps,2),_xlpm.steps)))</f>
        <v>16</v>
      </c>
      <c r="D2272">
        <f>_xlfn.LET(_xlpm.steps,SUBSTITUTE(Table13[[#This Row],[Input]],Table13[[#This Row],[Direction]],""),VALUE(IF(LEN(_xlpm.steps)&gt;2,LEFT(_xlpm.steps,LEN(_xlpm.steps)-2),0)))</f>
        <v>0</v>
      </c>
      <c r="E2272">
        <f>_xlfn.LET(_xlpm.dir,Table13[[#This Row],[Direction]],
IF(_xlpm.dir="L",
    IF(G2271-Table13[[#This Row],[Steps]]&lt;0,100+(G2271-Table13[[#This Row],[Steps]]),G2271-Table13[[#This Row],[Steps]]),
))</f>
        <v>0</v>
      </c>
      <c r="F2272">
        <f>_xlfn.LET(_xlpm.dir,Table13[[#This Row],[Direction]],
IF(_xlpm.dir="R",
    IF(G2271+Table13[[#This Row],[Steps]]&gt;99,(G2271+Table13[[#This Row],[Steps]])-100,G2271+Table13[[#This Row],[Steps]]),
))</f>
        <v>0</v>
      </c>
      <c r="G2272">
        <f>IF(Table13[[#This Row],[New Pos L]]&lt;&gt;0,Table13[[#This Row],[New Pos L]],Table13[[#This Row],[New Pos R]])</f>
        <v>0</v>
      </c>
      <c r="H2272">
        <f>IF(AND(Table13[[#This Row],[Direction]]="L",Table13[[#This Row],[Steps]]&gt;G2271,G2271&lt;&gt;0),1,0)</f>
        <v>0</v>
      </c>
      <c r="I2272">
        <f>IF(AND(Table13[[#This Row],[Direction]]="R",(G2271+Table13[[#This Row],[Steps]])&gt;100),1,0)</f>
        <v>0</v>
      </c>
      <c r="J2272">
        <f>IF(Table13[[#This Row],[POS]]=0,1,0)</f>
        <v>1</v>
      </c>
      <c r="K2272">
        <f>SUM(Table13[[#This Row],[prefix]],Table13[[#This Row],[Past zero L]],Table13[[#This Row],[Past Zero R]],Table13[[#This Row],[Is Zero]])</f>
        <v>1</v>
      </c>
    </row>
    <row r="2273" spans="1:11" ht="16" x14ac:dyDescent="0.2">
      <c r="A2273" s="1" t="s">
        <v>110</v>
      </c>
      <c r="B2273" t="str">
        <f>LEFT(Table13[[#This Row],[Input]],1)</f>
        <v>L</v>
      </c>
      <c r="C2273">
        <f>_xlfn.LET(_xlpm.steps,SUBSTITUTE(Table13[[#This Row],[Input]],Table13[[#This Row],[Direction]],""),VALUE(IF(LEN(_xlpm.steps)&gt;2,RIGHT(_xlpm.steps,2),_xlpm.steps)))</f>
        <v>81</v>
      </c>
      <c r="D2273">
        <f>_xlfn.LET(_xlpm.steps,SUBSTITUTE(Table13[[#This Row],[Input]],Table13[[#This Row],[Direction]],""),VALUE(IF(LEN(_xlpm.steps)&gt;2,LEFT(_xlpm.steps,LEN(_xlpm.steps)-2),0)))</f>
        <v>0</v>
      </c>
      <c r="E2273">
        <f>_xlfn.LET(_xlpm.dir,Table13[[#This Row],[Direction]],
IF(_xlpm.dir="L",
    IF(G2272-Table13[[#This Row],[Steps]]&lt;0,100+(G2272-Table13[[#This Row],[Steps]]),G2272-Table13[[#This Row],[Steps]]),
))</f>
        <v>19</v>
      </c>
      <c r="F2273">
        <f>_xlfn.LET(_xlpm.dir,Table13[[#This Row],[Direction]],
IF(_xlpm.dir="R",
    IF(G2272+Table13[[#This Row],[Steps]]&gt;99,(G2272+Table13[[#This Row],[Steps]])-100,G2272+Table13[[#This Row],[Steps]]),
))</f>
        <v>0</v>
      </c>
      <c r="G2273">
        <f>IF(Table13[[#This Row],[New Pos L]]&lt;&gt;0,Table13[[#This Row],[New Pos L]],Table13[[#This Row],[New Pos R]])</f>
        <v>19</v>
      </c>
      <c r="H2273">
        <f>IF(AND(Table13[[#This Row],[Direction]]="L",Table13[[#This Row],[Steps]]&gt;G2272,G2272&lt;&gt;0),1,0)</f>
        <v>0</v>
      </c>
      <c r="I2273">
        <f>IF(AND(Table13[[#This Row],[Direction]]="R",(G2272+Table13[[#This Row],[Steps]])&gt;100),1,0)</f>
        <v>0</v>
      </c>
      <c r="J2273">
        <f>IF(Table13[[#This Row],[POS]]=0,1,0)</f>
        <v>0</v>
      </c>
      <c r="K2273">
        <f>SUM(Table13[[#This Row],[prefix]],Table13[[#This Row],[Past zero L]],Table13[[#This Row],[Past Zero R]],Table13[[#This Row],[Is Zero]])</f>
        <v>0</v>
      </c>
    </row>
    <row r="2274" spans="1:11" ht="16" x14ac:dyDescent="0.2">
      <c r="A2274" s="1" t="s">
        <v>48</v>
      </c>
      <c r="B2274" t="str">
        <f>LEFT(Table13[[#This Row],[Input]],1)</f>
        <v>R</v>
      </c>
      <c r="C2274">
        <f>_xlfn.LET(_xlpm.steps,SUBSTITUTE(Table13[[#This Row],[Input]],Table13[[#This Row],[Direction]],""),VALUE(IF(LEN(_xlpm.steps)&gt;2,RIGHT(_xlpm.steps,2),_xlpm.steps)))</f>
        <v>81</v>
      </c>
      <c r="D2274">
        <f>_xlfn.LET(_xlpm.steps,SUBSTITUTE(Table13[[#This Row],[Input]],Table13[[#This Row],[Direction]],""),VALUE(IF(LEN(_xlpm.steps)&gt;2,LEFT(_xlpm.steps,LEN(_xlpm.steps)-2),0)))</f>
        <v>0</v>
      </c>
      <c r="E2274">
        <f>_xlfn.LET(_xlpm.dir,Table13[[#This Row],[Direction]],
IF(_xlpm.dir="L",
    IF(G2273-Table13[[#This Row],[Steps]]&lt;0,100+(G2273-Table13[[#This Row],[Steps]]),G2273-Table13[[#This Row],[Steps]]),
))</f>
        <v>0</v>
      </c>
      <c r="F2274">
        <f>_xlfn.LET(_xlpm.dir,Table13[[#This Row],[Direction]],
IF(_xlpm.dir="R",
    IF(G2273+Table13[[#This Row],[Steps]]&gt;99,(G2273+Table13[[#This Row],[Steps]])-100,G2273+Table13[[#This Row],[Steps]]),
))</f>
        <v>0</v>
      </c>
      <c r="G2274">
        <f>IF(Table13[[#This Row],[New Pos L]]&lt;&gt;0,Table13[[#This Row],[New Pos L]],Table13[[#This Row],[New Pos R]])</f>
        <v>0</v>
      </c>
      <c r="H2274">
        <f>IF(AND(Table13[[#This Row],[Direction]]="L",Table13[[#This Row],[Steps]]&gt;G2273,G2273&lt;&gt;0),1,0)</f>
        <v>0</v>
      </c>
      <c r="I2274">
        <f>IF(AND(Table13[[#This Row],[Direction]]="R",(G2273+Table13[[#This Row],[Steps]])&gt;100),1,0)</f>
        <v>0</v>
      </c>
      <c r="J2274">
        <f>IF(Table13[[#This Row],[POS]]=0,1,0)</f>
        <v>1</v>
      </c>
      <c r="K2274">
        <f>SUM(Table13[[#This Row],[prefix]],Table13[[#This Row],[Past zero L]],Table13[[#This Row],[Past Zero R]],Table13[[#This Row],[Is Zero]])</f>
        <v>1</v>
      </c>
    </row>
    <row r="2275" spans="1:11" ht="16" x14ac:dyDescent="0.2">
      <c r="A2275" s="1" t="s">
        <v>168</v>
      </c>
      <c r="B2275" t="str">
        <f>LEFT(Table13[[#This Row],[Input]],1)</f>
        <v>R</v>
      </c>
      <c r="C2275">
        <f>_xlfn.LET(_xlpm.steps,SUBSTITUTE(Table13[[#This Row],[Input]],Table13[[#This Row],[Direction]],""),VALUE(IF(LEN(_xlpm.steps)&gt;2,RIGHT(_xlpm.steps,2),_xlpm.steps)))</f>
        <v>54</v>
      </c>
      <c r="D2275">
        <f>_xlfn.LET(_xlpm.steps,SUBSTITUTE(Table13[[#This Row],[Input]],Table13[[#This Row],[Direction]],""),VALUE(IF(LEN(_xlpm.steps)&gt;2,LEFT(_xlpm.steps,LEN(_xlpm.steps)-2),0)))</f>
        <v>2</v>
      </c>
      <c r="E2275">
        <f>_xlfn.LET(_xlpm.dir,Table13[[#This Row],[Direction]],
IF(_xlpm.dir="L",
    IF(G2274-Table13[[#This Row],[Steps]]&lt;0,100+(G2274-Table13[[#This Row],[Steps]]),G2274-Table13[[#This Row],[Steps]]),
))</f>
        <v>0</v>
      </c>
      <c r="F2275">
        <f>_xlfn.LET(_xlpm.dir,Table13[[#This Row],[Direction]],
IF(_xlpm.dir="R",
    IF(G2274+Table13[[#This Row],[Steps]]&gt;99,(G2274+Table13[[#This Row],[Steps]])-100,G2274+Table13[[#This Row],[Steps]]),
))</f>
        <v>54</v>
      </c>
      <c r="G2275">
        <f>IF(Table13[[#This Row],[New Pos L]]&lt;&gt;0,Table13[[#This Row],[New Pos L]],Table13[[#This Row],[New Pos R]])</f>
        <v>54</v>
      </c>
      <c r="H2275">
        <f>IF(AND(Table13[[#This Row],[Direction]]="L",Table13[[#This Row],[Steps]]&gt;G2274,G2274&lt;&gt;0),1,0)</f>
        <v>0</v>
      </c>
      <c r="I2275">
        <f>IF(AND(Table13[[#This Row],[Direction]]="R",(G2274+Table13[[#This Row],[Steps]])&gt;100),1,0)</f>
        <v>0</v>
      </c>
      <c r="J2275">
        <f>IF(Table13[[#This Row],[POS]]=0,1,0)</f>
        <v>0</v>
      </c>
      <c r="K2275">
        <f>SUM(Table13[[#This Row],[prefix]],Table13[[#This Row],[Past zero L]],Table13[[#This Row],[Past Zero R]],Table13[[#This Row],[Is Zero]])</f>
        <v>2</v>
      </c>
    </row>
    <row r="2276" spans="1:11" ht="16" x14ac:dyDescent="0.2">
      <c r="A2276" s="1" t="s">
        <v>179</v>
      </c>
      <c r="B2276" t="str">
        <f>LEFT(Table13[[#This Row],[Input]],1)</f>
        <v>L</v>
      </c>
      <c r="C2276">
        <f>_xlfn.LET(_xlpm.steps,SUBSTITUTE(Table13[[#This Row],[Input]],Table13[[#This Row],[Direction]],""),VALUE(IF(LEN(_xlpm.steps)&gt;2,RIGHT(_xlpm.steps,2),_xlpm.steps)))</f>
        <v>54</v>
      </c>
      <c r="D2276">
        <f>_xlfn.LET(_xlpm.steps,SUBSTITUTE(Table13[[#This Row],[Input]],Table13[[#This Row],[Direction]],""),VALUE(IF(LEN(_xlpm.steps)&gt;2,LEFT(_xlpm.steps,LEN(_xlpm.steps)-2),0)))</f>
        <v>0</v>
      </c>
      <c r="E2276">
        <f>_xlfn.LET(_xlpm.dir,Table13[[#This Row],[Direction]],
IF(_xlpm.dir="L",
    IF(G2275-Table13[[#This Row],[Steps]]&lt;0,100+(G2275-Table13[[#This Row],[Steps]]),G2275-Table13[[#This Row],[Steps]]),
))</f>
        <v>0</v>
      </c>
      <c r="F2276">
        <f>_xlfn.LET(_xlpm.dir,Table13[[#This Row],[Direction]],
IF(_xlpm.dir="R",
    IF(G2275+Table13[[#This Row],[Steps]]&gt;99,(G2275+Table13[[#This Row],[Steps]])-100,G2275+Table13[[#This Row],[Steps]]),
))</f>
        <v>0</v>
      </c>
      <c r="G2276">
        <f>IF(Table13[[#This Row],[New Pos L]]&lt;&gt;0,Table13[[#This Row],[New Pos L]],Table13[[#This Row],[New Pos R]])</f>
        <v>0</v>
      </c>
      <c r="H2276">
        <f>IF(AND(Table13[[#This Row],[Direction]]="L",Table13[[#This Row],[Steps]]&gt;G2275,G2275&lt;&gt;0),1,0)</f>
        <v>0</v>
      </c>
      <c r="I2276">
        <f>IF(AND(Table13[[#This Row],[Direction]]="R",(G2275+Table13[[#This Row],[Steps]])&gt;100),1,0)</f>
        <v>0</v>
      </c>
      <c r="J2276">
        <f>IF(Table13[[#This Row],[POS]]=0,1,0)</f>
        <v>1</v>
      </c>
      <c r="K2276">
        <f>SUM(Table13[[#This Row],[prefix]],Table13[[#This Row],[Past zero L]],Table13[[#This Row],[Past Zero R]],Table13[[#This Row],[Is Zero]])</f>
        <v>1</v>
      </c>
    </row>
    <row r="2277" spans="1:11" ht="16" x14ac:dyDescent="0.2">
      <c r="A2277" s="1" t="s">
        <v>462</v>
      </c>
      <c r="B2277" t="str">
        <f>LEFT(Table13[[#This Row],[Input]],1)</f>
        <v>L</v>
      </c>
      <c r="C2277">
        <f>_xlfn.LET(_xlpm.steps,SUBSTITUTE(Table13[[#This Row],[Input]],Table13[[#This Row],[Direction]],""),VALUE(IF(LEN(_xlpm.steps)&gt;2,RIGHT(_xlpm.steps,2),_xlpm.steps)))</f>
        <v>17</v>
      </c>
      <c r="D2277">
        <f>_xlfn.LET(_xlpm.steps,SUBSTITUTE(Table13[[#This Row],[Input]],Table13[[#This Row],[Direction]],""),VALUE(IF(LEN(_xlpm.steps)&gt;2,LEFT(_xlpm.steps,LEN(_xlpm.steps)-2),0)))</f>
        <v>0</v>
      </c>
      <c r="E2277">
        <f>_xlfn.LET(_xlpm.dir,Table13[[#This Row],[Direction]],
IF(_xlpm.dir="L",
    IF(G2276-Table13[[#This Row],[Steps]]&lt;0,100+(G2276-Table13[[#This Row],[Steps]]),G2276-Table13[[#This Row],[Steps]]),
))</f>
        <v>83</v>
      </c>
      <c r="F2277">
        <f>_xlfn.LET(_xlpm.dir,Table13[[#This Row],[Direction]],
IF(_xlpm.dir="R",
    IF(G2276+Table13[[#This Row],[Steps]]&gt;99,(G2276+Table13[[#This Row],[Steps]])-100,G2276+Table13[[#This Row],[Steps]]),
))</f>
        <v>0</v>
      </c>
      <c r="G2277">
        <f>IF(Table13[[#This Row],[New Pos L]]&lt;&gt;0,Table13[[#This Row],[New Pos L]],Table13[[#This Row],[New Pos R]])</f>
        <v>83</v>
      </c>
      <c r="H2277">
        <f>IF(AND(Table13[[#This Row],[Direction]]="L",Table13[[#This Row],[Steps]]&gt;G2276,G2276&lt;&gt;0),1,0)</f>
        <v>0</v>
      </c>
      <c r="I2277">
        <f>IF(AND(Table13[[#This Row],[Direction]]="R",(G2276+Table13[[#This Row],[Steps]])&gt;100),1,0)</f>
        <v>0</v>
      </c>
      <c r="J2277">
        <f>IF(Table13[[#This Row],[POS]]=0,1,0)</f>
        <v>0</v>
      </c>
      <c r="K2277">
        <f>SUM(Table13[[#This Row],[prefix]],Table13[[#This Row],[Past zero L]],Table13[[#This Row],[Past Zero R]],Table13[[#This Row],[Is Zero]])</f>
        <v>0</v>
      </c>
    </row>
    <row r="2278" spans="1:11" ht="16" x14ac:dyDescent="0.2">
      <c r="A2278" s="1" t="s">
        <v>217</v>
      </c>
      <c r="B2278" t="str">
        <f>LEFT(Table13[[#This Row],[Input]],1)</f>
        <v>R</v>
      </c>
      <c r="C2278">
        <f>_xlfn.LET(_xlpm.steps,SUBSTITUTE(Table13[[#This Row],[Input]],Table13[[#This Row],[Direction]],""),VALUE(IF(LEN(_xlpm.steps)&gt;2,RIGHT(_xlpm.steps,2),_xlpm.steps)))</f>
        <v>91</v>
      </c>
      <c r="D2278">
        <f>_xlfn.LET(_xlpm.steps,SUBSTITUTE(Table13[[#This Row],[Input]],Table13[[#This Row],[Direction]],""),VALUE(IF(LEN(_xlpm.steps)&gt;2,LEFT(_xlpm.steps,LEN(_xlpm.steps)-2),0)))</f>
        <v>0</v>
      </c>
      <c r="E2278">
        <f>_xlfn.LET(_xlpm.dir,Table13[[#This Row],[Direction]],
IF(_xlpm.dir="L",
    IF(G2277-Table13[[#This Row],[Steps]]&lt;0,100+(G2277-Table13[[#This Row],[Steps]]),G2277-Table13[[#This Row],[Steps]]),
))</f>
        <v>0</v>
      </c>
      <c r="F2278">
        <f>_xlfn.LET(_xlpm.dir,Table13[[#This Row],[Direction]],
IF(_xlpm.dir="R",
    IF(G2277+Table13[[#This Row],[Steps]]&gt;99,(G2277+Table13[[#This Row],[Steps]])-100,G2277+Table13[[#This Row],[Steps]]),
))</f>
        <v>74</v>
      </c>
      <c r="G2278">
        <f>IF(Table13[[#This Row],[New Pos L]]&lt;&gt;0,Table13[[#This Row],[New Pos L]],Table13[[#This Row],[New Pos R]])</f>
        <v>74</v>
      </c>
      <c r="H2278">
        <f>IF(AND(Table13[[#This Row],[Direction]]="L",Table13[[#This Row],[Steps]]&gt;G2277,G2277&lt;&gt;0),1,0)</f>
        <v>0</v>
      </c>
      <c r="I2278">
        <f>IF(AND(Table13[[#This Row],[Direction]]="R",(G2277+Table13[[#This Row],[Steps]])&gt;100),1,0)</f>
        <v>1</v>
      </c>
      <c r="J2278">
        <f>IF(Table13[[#This Row],[POS]]=0,1,0)</f>
        <v>0</v>
      </c>
      <c r="K2278">
        <f>SUM(Table13[[#This Row],[prefix]],Table13[[#This Row],[Past zero L]],Table13[[#This Row],[Past Zero R]],Table13[[#This Row],[Is Zero]])</f>
        <v>1</v>
      </c>
    </row>
    <row r="2279" spans="1:11" ht="16" x14ac:dyDescent="0.2">
      <c r="A2279" s="1" t="s">
        <v>175</v>
      </c>
      <c r="B2279" t="str">
        <f>LEFT(Table13[[#This Row],[Input]],1)</f>
        <v>L</v>
      </c>
      <c r="C2279">
        <f>_xlfn.LET(_xlpm.steps,SUBSTITUTE(Table13[[#This Row],[Input]],Table13[[#This Row],[Direction]],""),VALUE(IF(LEN(_xlpm.steps)&gt;2,RIGHT(_xlpm.steps,2),_xlpm.steps)))</f>
        <v>1</v>
      </c>
      <c r="D2279">
        <f>_xlfn.LET(_xlpm.steps,SUBSTITUTE(Table13[[#This Row],[Input]],Table13[[#This Row],[Direction]],""),VALUE(IF(LEN(_xlpm.steps)&gt;2,LEFT(_xlpm.steps,LEN(_xlpm.steps)-2),0)))</f>
        <v>0</v>
      </c>
      <c r="E2279">
        <f>_xlfn.LET(_xlpm.dir,Table13[[#This Row],[Direction]],
IF(_xlpm.dir="L",
    IF(G2278-Table13[[#This Row],[Steps]]&lt;0,100+(G2278-Table13[[#This Row],[Steps]]),G2278-Table13[[#This Row],[Steps]]),
))</f>
        <v>73</v>
      </c>
      <c r="F2279">
        <f>_xlfn.LET(_xlpm.dir,Table13[[#This Row],[Direction]],
IF(_xlpm.dir="R",
    IF(G2278+Table13[[#This Row],[Steps]]&gt;99,(G2278+Table13[[#This Row],[Steps]])-100,G2278+Table13[[#This Row],[Steps]]),
))</f>
        <v>0</v>
      </c>
      <c r="G2279">
        <f>IF(Table13[[#This Row],[New Pos L]]&lt;&gt;0,Table13[[#This Row],[New Pos L]],Table13[[#This Row],[New Pos R]])</f>
        <v>73</v>
      </c>
      <c r="H2279">
        <f>IF(AND(Table13[[#This Row],[Direction]]="L",Table13[[#This Row],[Steps]]&gt;G2278,G2278&lt;&gt;0),1,0)</f>
        <v>0</v>
      </c>
      <c r="I2279">
        <f>IF(AND(Table13[[#This Row],[Direction]]="R",(G2278+Table13[[#This Row],[Steps]])&gt;100),1,0)</f>
        <v>0</v>
      </c>
      <c r="J2279">
        <f>IF(Table13[[#This Row],[POS]]=0,1,0)</f>
        <v>0</v>
      </c>
      <c r="K2279">
        <f>SUM(Table13[[#This Row],[prefix]],Table13[[#This Row],[Past zero L]],Table13[[#This Row],[Past Zero R]],Table13[[#This Row],[Is Zero]])</f>
        <v>0</v>
      </c>
    </row>
    <row r="2280" spans="1:11" ht="16" x14ac:dyDescent="0.2">
      <c r="A2280" s="1" t="s">
        <v>590</v>
      </c>
      <c r="B2280" t="str">
        <f>LEFT(Table13[[#This Row],[Input]],1)</f>
        <v>L</v>
      </c>
      <c r="C2280">
        <f>_xlfn.LET(_xlpm.steps,SUBSTITUTE(Table13[[#This Row],[Input]],Table13[[#This Row],[Direction]],""),VALUE(IF(LEN(_xlpm.steps)&gt;2,RIGHT(_xlpm.steps,2),_xlpm.steps)))</f>
        <v>10</v>
      </c>
      <c r="D2280">
        <f>_xlfn.LET(_xlpm.steps,SUBSTITUTE(Table13[[#This Row],[Input]],Table13[[#This Row],[Direction]],""),VALUE(IF(LEN(_xlpm.steps)&gt;2,LEFT(_xlpm.steps,LEN(_xlpm.steps)-2),0)))</f>
        <v>5</v>
      </c>
      <c r="E2280">
        <f>_xlfn.LET(_xlpm.dir,Table13[[#This Row],[Direction]],
IF(_xlpm.dir="L",
    IF(G2279-Table13[[#This Row],[Steps]]&lt;0,100+(G2279-Table13[[#This Row],[Steps]]),G2279-Table13[[#This Row],[Steps]]),
))</f>
        <v>63</v>
      </c>
      <c r="F2280">
        <f>_xlfn.LET(_xlpm.dir,Table13[[#This Row],[Direction]],
IF(_xlpm.dir="R",
    IF(G2279+Table13[[#This Row],[Steps]]&gt;99,(G2279+Table13[[#This Row],[Steps]])-100,G2279+Table13[[#This Row],[Steps]]),
))</f>
        <v>0</v>
      </c>
      <c r="G2280">
        <f>IF(Table13[[#This Row],[New Pos L]]&lt;&gt;0,Table13[[#This Row],[New Pos L]],Table13[[#This Row],[New Pos R]])</f>
        <v>63</v>
      </c>
      <c r="H2280">
        <f>IF(AND(Table13[[#This Row],[Direction]]="L",Table13[[#This Row],[Steps]]&gt;G2279,G2279&lt;&gt;0),1,0)</f>
        <v>0</v>
      </c>
      <c r="I2280">
        <f>IF(AND(Table13[[#This Row],[Direction]]="R",(G2279+Table13[[#This Row],[Steps]])&gt;100),1,0)</f>
        <v>0</v>
      </c>
      <c r="J2280">
        <f>IF(Table13[[#This Row],[POS]]=0,1,0)</f>
        <v>0</v>
      </c>
      <c r="K2280">
        <f>SUM(Table13[[#This Row],[prefix]],Table13[[#This Row],[Past zero L]],Table13[[#This Row],[Past Zero R]],Table13[[#This Row],[Is Zero]])</f>
        <v>5</v>
      </c>
    </row>
    <row r="2281" spans="1:11" ht="16" x14ac:dyDescent="0.2">
      <c r="A2281" s="1" t="s">
        <v>234</v>
      </c>
      <c r="B2281" t="str">
        <f>LEFT(Table13[[#This Row],[Input]],1)</f>
        <v>R</v>
      </c>
      <c r="C2281">
        <f>_xlfn.LET(_xlpm.steps,SUBSTITUTE(Table13[[#This Row],[Input]],Table13[[#This Row],[Direction]],""),VALUE(IF(LEN(_xlpm.steps)&gt;2,RIGHT(_xlpm.steps,2),_xlpm.steps)))</f>
        <v>82</v>
      </c>
      <c r="D2281">
        <f>_xlfn.LET(_xlpm.steps,SUBSTITUTE(Table13[[#This Row],[Input]],Table13[[#This Row],[Direction]],""),VALUE(IF(LEN(_xlpm.steps)&gt;2,LEFT(_xlpm.steps,LEN(_xlpm.steps)-2),0)))</f>
        <v>0</v>
      </c>
      <c r="E2281">
        <f>_xlfn.LET(_xlpm.dir,Table13[[#This Row],[Direction]],
IF(_xlpm.dir="L",
    IF(G2280-Table13[[#This Row],[Steps]]&lt;0,100+(G2280-Table13[[#This Row],[Steps]]),G2280-Table13[[#This Row],[Steps]]),
))</f>
        <v>0</v>
      </c>
      <c r="F2281">
        <f>_xlfn.LET(_xlpm.dir,Table13[[#This Row],[Direction]],
IF(_xlpm.dir="R",
    IF(G2280+Table13[[#This Row],[Steps]]&gt;99,(G2280+Table13[[#This Row],[Steps]])-100,G2280+Table13[[#This Row],[Steps]]),
))</f>
        <v>45</v>
      </c>
      <c r="G2281">
        <f>IF(Table13[[#This Row],[New Pos L]]&lt;&gt;0,Table13[[#This Row],[New Pos L]],Table13[[#This Row],[New Pos R]])</f>
        <v>45</v>
      </c>
      <c r="H2281">
        <f>IF(AND(Table13[[#This Row],[Direction]]="L",Table13[[#This Row],[Steps]]&gt;G2280,G2280&lt;&gt;0),1,0)</f>
        <v>0</v>
      </c>
      <c r="I2281">
        <f>IF(AND(Table13[[#This Row],[Direction]]="R",(G2280+Table13[[#This Row],[Steps]])&gt;100),1,0)</f>
        <v>1</v>
      </c>
      <c r="J2281">
        <f>IF(Table13[[#This Row],[POS]]=0,1,0)</f>
        <v>0</v>
      </c>
      <c r="K2281">
        <f>SUM(Table13[[#This Row],[prefix]],Table13[[#This Row],[Past zero L]],Table13[[#This Row],[Past Zero R]],Table13[[#This Row],[Is Zero]])</f>
        <v>1</v>
      </c>
    </row>
    <row r="2282" spans="1:11" ht="16" x14ac:dyDescent="0.2">
      <c r="A2282" s="1" t="s">
        <v>79</v>
      </c>
      <c r="B2282" t="str">
        <f>LEFT(Table13[[#This Row],[Input]],1)</f>
        <v>L</v>
      </c>
      <c r="C2282">
        <f>_xlfn.LET(_xlpm.steps,SUBSTITUTE(Table13[[#This Row],[Input]],Table13[[#This Row],[Direction]],""),VALUE(IF(LEN(_xlpm.steps)&gt;2,RIGHT(_xlpm.steps,2),_xlpm.steps)))</f>
        <v>45</v>
      </c>
      <c r="D2282">
        <f>_xlfn.LET(_xlpm.steps,SUBSTITUTE(Table13[[#This Row],[Input]],Table13[[#This Row],[Direction]],""),VALUE(IF(LEN(_xlpm.steps)&gt;2,LEFT(_xlpm.steps,LEN(_xlpm.steps)-2),0)))</f>
        <v>0</v>
      </c>
      <c r="E2282">
        <f>_xlfn.LET(_xlpm.dir,Table13[[#This Row],[Direction]],
IF(_xlpm.dir="L",
    IF(G2281-Table13[[#This Row],[Steps]]&lt;0,100+(G2281-Table13[[#This Row],[Steps]]),G2281-Table13[[#This Row],[Steps]]),
))</f>
        <v>0</v>
      </c>
      <c r="F2282">
        <f>_xlfn.LET(_xlpm.dir,Table13[[#This Row],[Direction]],
IF(_xlpm.dir="R",
    IF(G2281+Table13[[#This Row],[Steps]]&gt;99,(G2281+Table13[[#This Row],[Steps]])-100,G2281+Table13[[#This Row],[Steps]]),
))</f>
        <v>0</v>
      </c>
      <c r="G2282">
        <f>IF(Table13[[#This Row],[New Pos L]]&lt;&gt;0,Table13[[#This Row],[New Pos L]],Table13[[#This Row],[New Pos R]])</f>
        <v>0</v>
      </c>
      <c r="H2282">
        <f>IF(AND(Table13[[#This Row],[Direction]]="L",Table13[[#This Row],[Steps]]&gt;G2281,G2281&lt;&gt;0),1,0)</f>
        <v>0</v>
      </c>
      <c r="I2282">
        <f>IF(AND(Table13[[#This Row],[Direction]]="R",(G2281+Table13[[#This Row],[Steps]])&gt;100),1,0)</f>
        <v>0</v>
      </c>
      <c r="J2282">
        <f>IF(Table13[[#This Row],[POS]]=0,1,0)</f>
        <v>1</v>
      </c>
      <c r="K2282">
        <f>SUM(Table13[[#This Row],[prefix]],Table13[[#This Row],[Past zero L]],Table13[[#This Row],[Past Zero R]],Table13[[#This Row],[Is Zero]])</f>
        <v>1</v>
      </c>
    </row>
    <row r="2283" spans="1:11" ht="16" x14ac:dyDescent="0.2">
      <c r="A2283" s="1" t="s">
        <v>591</v>
      </c>
      <c r="B2283" t="str">
        <f>LEFT(Table13[[#This Row],[Input]],1)</f>
        <v>R</v>
      </c>
      <c r="C2283">
        <f>_xlfn.LET(_xlpm.steps,SUBSTITUTE(Table13[[#This Row],[Input]],Table13[[#This Row],[Direction]],""),VALUE(IF(LEN(_xlpm.steps)&gt;2,RIGHT(_xlpm.steps,2),_xlpm.steps)))</f>
        <v>93</v>
      </c>
      <c r="D2283">
        <f>_xlfn.LET(_xlpm.steps,SUBSTITUTE(Table13[[#This Row],[Input]],Table13[[#This Row],[Direction]],""),VALUE(IF(LEN(_xlpm.steps)&gt;2,LEFT(_xlpm.steps,LEN(_xlpm.steps)-2),0)))</f>
        <v>3</v>
      </c>
      <c r="E2283">
        <f>_xlfn.LET(_xlpm.dir,Table13[[#This Row],[Direction]],
IF(_xlpm.dir="L",
    IF(G2282-Table13[[#This Row],[Steps]]&lt;0,100+(G2282-Table13[[#This Row],[Steps]]),G2282-Table13[[#This Row],[Steps]]),
))</f>
        <v>0</v>
      </c>
      <c r="F2283">
        <f>_xlfn.LET(_xlpm.dir,Table13[[#This Row],[Direction]],
IF(_xlpm.dir="R",
    IF(G2282+Table13[[#This Row],[Steps]]&gt;99,(G2282+Table13[[#This Row],[Steps]])-100,G2282+Table13[[#This Row],[Steps]]),
))</f>
        <v>93</v>
      </c>
      <c r="G2283">
        <f>IF(Table13[[#This Row],[New Pos L]]&lt;&gt;0,Table13[[#This Row],[New Pos L]],Table13[[#This Row],[New Pos R]])</f>
        <v>93</v>
      </c>
      <c r="H2283">
        <f>IF(AND(Table13[[#This Row],[Direction]]="L",Table13[[#This Row],[Steps]]&gt;G2282,G2282&lt;&gt;0),1,0)</f>
        <v>0</v>
      </c>
      <c r="I2283">
        <f>IF(AND(Table13[[#This Row],[Direction]]="R",(G2282+Table13[[#This Row],[Steps]])&gt;100),1,0)</f>
        <v>0</v>
      </c>
      <c r="J2283">
        <f>IF(Table13[[#This Row],[POS]]=0,1,0)</f>
        <v>0</v>
      </c>
      <c r="K2283">
        <f>SUM(Table13[[#This Row],[prefix]],Table13[[#This Row],[Past zero L]],Table13[[#This Row],[Past Zero R]],Table13[[#This Row],[Is Zero]])</f>
        <v>3</v>
      </c>
    </row>
    <row r="2284" spans="1:11" ht="16" x14ac:dyDescent="0.2">
      <c r="A2284" s="1" t="s">
        <v>49</v>
      </c>
      <c r="B2284" t="str">
        <f>LEFT(Table13[[#This Row],[Input]],1)</f>
        <v>L</v>
      </c>
      <c r="C2284">
        <f>_xlfn.LET(_xlpm.steps,SUBSTITUTE(Table13[[#This Row],[Input]],Table13[[#This Row],[Direction]],""),VALUE(IF(LEN(_xlpm.steps)&gt;2,RIGHT(_xlpm.steps,2),_xlpm.steps)))</f>
        <v>93</v>
      </c>
      <c r="D2284">
        <f>_xlfn.LET(_xlpm.steps,SUBSTITUTE(Table13[[#This Row],[Input]],Table13[[#This Row],[Direction]],""),VALUE(IF(LEN(_xlpm.steps)&gt;2,LEFT(_xlpm.steps,LEN(_xlpm.steps)-2),0)))</f>
        <v>0</v>
      </c>
      <c r="E2284">
        <f>_xlfn.LET(_xlpm.dir,Table13[[#This Row],[Direction]],
IF(_xlpm.dir="L",
    IF(G2283-Table13[[#This Row],[Steps]]&lt;0,100+(G2283-Table13[[#This Row],[Steps]]),G2283-Table13[[#This Row],[Steps]]),
))</f>
        <v>0</v>
      </c>
      <c r="F2284">
        <f>_xlfn.LET(_xlpm.dir,Table13[[#This Row],[Direction]],
IF(_xlpm.dir="R",
    IF(G2283+Table13[[#This Row],[Steps]]&gt;99,(G2283+Table13[[#This Row],[Steps]])-100,G2283+Table13[[#This Row],[Steps]]),
))</f>
        <v>0</v>
      </c>
      <c r="G2284">
        <f>IF(Table13[[#This Row],[New Pos L]]&lt;&gt;0,Table13[[#This Row],[New Pos L]],Table13[[#This Row],[New Pos R]])</f>
        <v>0</v>
      </c>
      <c r="H2284">
        <f>IF(AND(Table13[[#This Row],[Direction]]="L",Table13[[#This Row],[Steps]]&gt;G2283,G2283&lt;&gt;0),1,0)</f>
        <v>0</v>
      </c>
      <c r="I2284">
        <f>IF(AND(Table13[[#This Row],[Direction]]="R",(G2283+Table13[[#This Row],[Steps]])&gt;100),1,0)</f>
        <v>0</v>
      </c>
      <c r="J2284">
        <f>IF(Table13[[#This Row],[POS]]=0,1,0)</f>
        <v>1</v>
      </c>
      <c r="K2284">
        <f>SUM(Table13[[#This Row],[prefix]],Table13[[#This Row],[Past zero L]],Table13[[#This Row],[Past Zero R]],Table13[[#This Row],[Is Zero]])</f>
        <v>1</v>
      </c>
    </row>
    <row r="2285" spans="1:11" ht="16" x14ac:dyDescent="0.2">
      <c r="A2285" s="1" t="s">
        <v>69</v>
      </c>
      <c r="B2285" t="str">
        <f>LEFT(Table13[[#This Row],[Input]],1)</f>
        <v>R</v>
      </c>
      <c r="C2285">
        <f>_xlfn.LET(_xlpm.steps,SUBSTITUTE(Table13[[#This Row],[Input]],Table13[[#This Row],[Direction]],""),VALUE(IF(LEN(_xlpm.steps)&gt;2,RIGHT(_xlpm.steps,2),_xlpm.steps)))</f>
        <v>27</v>
      </c>
      <c r="D2285">
        <f>_xlfn.LET(_xlpm.steps,SUBSTITUTE(Table13[[#This Row],[Input]],Table13[[#This Row],[Direction]],""),VALUE(IF(LEN(_xlpm.steps)&gt;2,LEFT(_xlpm.steps,LEN(_xlpm.steps)-2),0)))</f>
        <v>0</v>
      </c>
      <c r="E2285">
        <f>_xlfn.LET(_xlpm.dir,Table13[[#This Row],[Direction]],
IF(_xlpm.dir="L",
    IF(G2284-Table13[[#This Row],[Steps]]&lt;0,100+(G2284-Table13[[#This Row],[Steps]]),G2284-Table13[[#This Row],[Steps]]),
))</f>
        <v>0</v>
      </c>
      <c r="F2285">
        <f>_xlfn.LET(_xlpm.dir,Table13[[#This Row],[Direction]],
IF(_xlpm.dir="R",
    IF(G2284+Table13[[#This Row],[Steps]]&gt;99,(G2284+Table13[[#This Row],[Steps]])-100,G2284+Table13[[#This Row],[Steps]]),
))</f>
        <v>27</v>
      </c>
      <c r="G2285">
        <f>IF(Table13[[#This Row],[New Pos L]]&lt;&gt;0,Table13[[#This Row],[New Pos L]],Table13[[#This Row],[New Pos R]])</f>
        <v>27</v>
      </c>
      <c r="H2285">
        <f>IF(AND(Table13[[#This Row],[Direction]]="L",Table13[[#This Row],[Steps]]&gt;G2284,G2284&lt;&gt;0),1,0)</f>
        <v>0</v>
      </c>
      <c r="I2285">
        <f>IF(AND(Table13[[#This Row],[Direction]]="R",(G2284+Table13[[#This Row],[Steps]])&gt;100),1,0)</f>
        <v>0</v>
      </c>
      <c r="J2285">
        <f>IF(Table13[[#This Row],[POS]]=0,1,0)</f>
        <v>0</v>
      </c>
      <c r="K2285">
        <f>SUM(Table13[[#This Row],[prefix]],Table13[[#This Row],[Past zero L]],Table13[[#This Row],[Past Zero R]],Table13[[#This Row],[Is Zero]])</f>
        <v>0</v>
      </c>
    </row>
    <row r="2286" spans="1:11" ht="16" x14ac:dyDescent="0.2">
      <c r="A2286" s="1" t="s">
        <v>174</v>
      </c>
      <c r="B2286" t="str">
        <f>LEFT(Table13[[#This Row],[Input]],1)</f>
        <v>L</v>
      </c>
      <c r="C2286">
        <f>_xlfn.LET(_xlpm.steps,SUBSTITUTE(Table13[[#This Row],[Input]],Table13[[#This Row],[Direction]],""),VALUE(IF(LEN(_xlpm.steps)&gt;2,RIGHT(_xlpm.steps,2),_xlpm.steps)))</f>
        <v>92</v>
      </c>
      <c r="D2286">
        <f>_xlfn.LET(_xlpm.steps,SUBSTITUTE(Table13[[#This Row],[Input]],Table13[[#This Row],[Direction]],""),VALUE(IF(LEN(_xlpm.steps)&gt;2,LEFT(_xlpm.steps,LEN(_xlpm.steps)-2),0)))</f>
        <v>0</v>
      </c>
      <c r="E2286">
        <f>_xlfn.LET(_xlpm.dir,Table13[[#This Row],[Direction]],
IF(_xlpm.dir="L",
    IF(G2285-Table13[[#This Row],[Steps]]&lt;0,100+(G2285-Table13[[#This Row],[Steps]]),G2285-Table13[[#This Row],[Steps]]),
))</f>
        <v>35</v>
      </c>
      <c r="F2286">
        <f>_xlfn.LET(_xlpm.dir,Table13[[#This Row],[Direction]],
IF(_xlpm.dir="R",
    IF(G2285+Table13[[#This Row],[Steps]]&gt;99,(G2285+Table13[[#This Row],[Steps]])-100,G2285+Table13[[#This Row],[Steps]]),
))</f>
        <v>0</v>
      </c>
      <c r="G2286">
        <f>IF(Table13[[#This Row],[New Pos L]]&lt;&gt;0,Table13[[#This Row],[New Pos L]],Table13[[#This Row],[New Pos R]])</f>
        <v>35</v>
      </c>
      <c r="H2286">
        <f>IF(AND(Table13[[#This Row],[Direction]]="L",Table13[[#This Row],[Steps]]&gt;G2285,G2285&lt;&gt;0),1,0)</f>
        <v>1</v>
      </c>
      <c r="I2286">
        <f>IF(AND(Table13[[#This Row],[Direction]]="R",(G2285+Table13[[#This Row],[Steps]])&gt;100),1,0)</f>
        <v>0</v>
      </c>
      <c r="J2286">
        <f>IF(Table13[[#This Row],[POS]]=0,1,0)</f>
        <v>0</v>
      </c>
      <c r="K2286">
        <f>SUM(Table13[[#This Row],[prefix]],Table13[[#This Row],[Past zero L]],Table13[[#This Row],[Past Zero R]],Table13[[#This Row],[Is Zero]])</f>
        <v>1</v>
      </c>
    </row>
    <row r="2287" spans="1:11" ht="16" x14ac:dyDescent="0.2">
      <c r="A2287" s="1" t="s">
        <v>55</v>
      </c>
      <c r="B2287" t="str">
        <f>LEFT(Table13[[#This Row],[Input]],1)</f>
        <v>L</v>
      </c>
      <c r="C2287">
        <f>_xlfn.LET(_xlpm.steps,SUBSTITUTE(Table13[[#This Row],[Input]],Table13[[#This Row],[Direction]],""),VALUE(IF(LEN(_xlpm.steps)&gt;2,RIGHT(_xlpm.steps,2),_xlpm.steps)))</f>
        <v>82</v>
      </c>
      <c r="D2287">
        <f>_xlfn.LET(_xlpm.steps,SUBSTITUTE(Table13[[#This Row],[Input]],Table13[[#This Row],[Direction]],""),VALUE(IF(LEN(_xlpm.steps)&gt;2,LEFT(_xlpm.steps,LEN(_xlpm.steps)-2),0)))</f>
        <v>0</v>
      </c>
      <c r="E2287">
        <f>_xlfn.LET(_xlpm.dir,Table13[[#This Row],[Direction]],
IF(_xlpm.dir="L",
    IF(G2286-Table13[[#This Row],[Steps]]&lt;0,100+(G2286-Table13[[#This Row],[Steps]]),G2286-Table13[[#This Row],[Steps]]),
))</f>
        <v>53</v>
      </c>
      <c r="F2287">
        <f>_xlfn.LET(_xlpm.dir,Table13[[#This Row],[Direction]],
IF(_xlpm.dir="R",
    IF(G2286+Table13[[#This Row],[Steps]]&gt;99,(G2286+Table13[[#This Row],[Steps]])-100,G2286+Table13[[#This Row],[Steps]]),
))</f>
        <v>0</v>
      </c>
      <c r="G2287">
        <f>IF(Table13[[#This Row],[New Pos L]]&lt;&gt;0,Table13[[#This Row],[New Pos L]],Table13[[#This Row],[New Pos R]])</f>
        <v>53</v>
      </c>
      <c r="H2287">
        <f>IF(AND(Table13[[#This Row],[Direction]]="L",Table13[[#This Row],[Steps]]&gt;G2286,G2286&lt;&gt;0),1,0)</f>
        <v>1</v>
      </c>
      <c r="I2287">
        <f>IF(AND(Table13[[#This Row],[Direction]]="R",(G2286+Table13[[#This Row],[Steps]])&gt;100),1,0)</f>
        <v>0</v>
      </c>
      <c r="J2287">
        <f>IF(Table13[[#This Row],[POS]]=0,1,0)</f>
        <v>0</v>
      </c>
      <c r="K2287">
        <f>SUM(Table13[[#This Row],[prefix]],Table13[[#This Row],[Past zero L]],Table13[[#This Row],[Past Zero R]],Table13[[#This Row],[Is Zero]])</f>
        <v>1</v>
      </c>
    </row>
    <row r="2288" spans="1:11" ht="16" x14ac:dyDescent="0.2">
      <c r="A2288" s="1" t="s">
        <v>181</v>
      </c>
      <c r="B2288" t="str">
        <f>LEFT(Table13[[#This Row],[Input]],1)</f>
        <v>L</v>
      </c>
      <c r="C2288">
        <f>_xlfn.LET(_xlpm.steps,SUBSTITUTE(Table13[[#This Row],[Input]],Table13[[#This Row],[Direction]],""),VALUE(IF(LEN(_xlpm.steps)&gt;2,RIGHT(_xlpm.steps,2),_xlpm.steps)))</f>
        <v>53</v>
      </c>
      <c r="D2288">
        <f>_xlfn.LET(_xlpm.steps,SUBSTITUTE(Table13[[#This Row],[Input]],Table13[[#This Row],[Direction]],""),VALUE(IF(LEN(_xlpm.steps)&gt;2,LEFT(_xlpm.steps,LEN(_xlpm.steps)-2),0)))</f>
        <v>0</v>
      </c>
      <c r="E2288">
        <f>_xlfn.LET(_xlpm.dir,Table13[[#This Row],[Direction]],
IF(_xlpm.dir="L",
    IF(G2287-Table13[[#This Row],[Steps]]&lt;0,100+(G2287-Table13[[#This Row],[Steps]]),G2287-Table13[[#This Row],[Steps]]),
))</f>
        <v>0</v>
      </c>
      <c r="F2288">
        <f>_xlfn.LET(_xlpm.dir,Table13[[#This Row],[Direction]],
IF(_xlpm.dir="R",
    IF(G2287+Table13[[#This Row],[Steps]]&gt;99,(G2287+Table13[[#This Row],[Steps]])-100,G2287+Table13[[#This Row],[Steps]]),
))</f>
        <v>0</v>
      </c>
      <c r="G2288">
        <f>IF(Table13[[#This Row],[New Pos L]]&lt;&gt;0,Table13[[#This Row],[New Pos L]],Table13[[#This Row],[New Pos R]])</f>
        <v>0</v>
      </c>
      <c r="H2288">
        <f>IF(AND(Table13[[#This Row],[Direction]]="L",Table13[[#This Row],[Steps]]&gt;G2287,G2287&lt;&gt;0),1,0)</f>
        <v>0</v>
      </c>
      <c r="I2288">
        <f>IF(AND(Table13[[#This Row],[Direction]]="R",(G2287+Table13[[#This Row],[Steps]])&gt;100),1,0)</f>
        <v>0</v>
      </c>
      <c r="J2288">
        <f>IF(Table13[[#This Row],[POS]]=0,1,0)</f>
        <v>1</v>
      </c>
      <c r="K2288">
        <f>SUM(Table13[[#This Row],[prefix]],Table13[[#This Row],[Past zero L]],Table13[[#This Row],[Past Zero R]],Table13[[#This Row],[Is Zero]])</f>
        <v>1</v>
      </c>
    </row>
    <row r="2289" spans="1:11" ht="16" x14ac:dyDescent="0.2">
      <c r="A2289" s="1" t="s">
        <v>73</v>
      </c>
      <c r="B2289" t="str">
        <f>LEFT(Table13[[#This Row],[Input]],1)</f>
        <v>R</v>
      </c>
      <c r="C2289">
        <f>_xlfn.LET(_xlpm.steps,SUBSTITUTE(Table13[[#This Row],[Input]],Table13[[#This Row],[Direction]],""),VALUE(IF(LEN(_xlpm.steps)&gt;2,RIGHT(_xlpm.steps,2),_xlpm.steps)))</f>
        <v>21</v>
      </c>
      <c r="D2289">
        <f>_xlfn.LET(_xlpm.steps,SUBSTITUTE(Table13[[#This Row],[Input]],Table13[[#This Row],[Direction]],""),VALUE(IF(LEN(_xlpm.steps)&gt;2,LEFT(_xlpm.steps,LEN(_xlpm.steps)-2),0)))</f>
        <v>0</v>
      </c>
      <c r="E2289">
        <f>_xlfn.LET(_xlpm.dir,Table13[[#This Row],[Direction]],
IF(_xlpm.dir="L",
    IF(G2288-Table13[[#This Row],[Steps]]&lt;0,100+(G2288-Table13[[#This Row],[Steps]]),G2288-Table13[[#This Row],[Steps]]),
))</f>
        <v>0</v>
      </c>
      <c r="F2289">
        <f>_xlfn.LET(_xlpm.dir,Table13[[#This Row],[Direction]],
IF(_xlpm.dir="R",
    IF(G2288+Table13[[#This Row],[Steps]]&gt;99,(G2288+Table13[[#This Row],[Steps]])-100,G2288+Table13[[#This Row],[Steps]]),
))</f>
        <v>21</v>
      </c>
      <c r="G2289">
        <f>IF(Table13[[#This Row],[New Pos L]]&lt;&gt;0,Table13[[#This Row],[New Pos L]],Table13[[#This Row],[New Pos R]])</f>
        <v>21</v>
      </c>
      <c r="H2289">
        <f>IF(AND(Table13[[#This Row],[Direction]]="L",Table13[[#This Row],[Steps]]&gt;G2288,G2288&lt;&gt;0),1,0)</f>
        <v>0</v>
      </c>
      <c r="I2289">
        <f>IF(AND(Table13[[#This Row],[Direction]]="R",(G2288+Table13[[#This Row],[Steps]])&gt;100),1,0)</f>
        <v>0</v>
      </c>
      <c r="J2289">
        <f>IF(Table13[[#This Row],[POS]]=0,1,0)</f>
        <v>0</v>
      </c>
      <c r="K2289">
        <f>SUM(Table13[[#This Row],[prefix]],Table13[[#This Row],[Past zero L]],Table13[[#This Row],[Past Zero R]],Table13[[#This Row],[Is Zero]])</f>
        <v>0</v>
      </c>
    </row>
    <row r="2290" spans="1:11" ht="16" x14ac:dyDescent="0.2">
      <c r="A2290" s="1" t="s">
        <v>34</v>
      </c>
      <c r="B2290" t="str">
        <f>LEFT(Table13[[#This Row],[Input]],1)</f>
        <v>L</v>
      </c>
      <c r="C2290">
        <f>_xlfn.LET(_xlpm.steps,SUBSTITUTE(Table13[[#This Row],[Input]],Table13[[#This Row],[Direction]],""),VALUE(IF(LEN(_xlpm.steps)&gt;2,RIGHT(_xlpm.steps,2),_xlpm.steps)))</f>
        <v>15</v>
      </c>
      <c r="D2290">
        <f>_xlfn.LET(_xlpm.steps,SUBSTITUTE(Table13[[#This Row],[Input]],Table13[[#This Row],[Direction]],""),VALUE(IF(LEN(_xlpm.steps)&gt;2,LEFT(_xlpm.steps,LEN(_xlpm.steps)-2),0)))</f>
        <v>0</v>
      </c>
      <c r="E2290">
        <f>_xlfn.LET(_xlpm.dir,Table13[[#This Row],[Direction]],
IF(_xlpm.dir="L",
    IF(G2289-Table13[[#This Row],[Steps]]&lt;0,100+(G2289-Table13[[#This Row],[Steps]]),G2289-Table13[[#This Row],[Steps]]),
))</f>
        <v>6</v>
      </c>
      <c r="F2290">
        <f>_xlfn.LET(_xlpm.dir,Table13[[#This Row],[Direction]],
IF(_xlpm.dir="R",
    IF(G2289+Table13[[#This Row],[Steps]]&gt;99,(G2289+Table13[[#This Row],[Steps]])-100,G2289+Table13[[#This Row],[Steps]]),
))</f>
        <v>0</v>
      </c>
      <c r="G2290">
        <f>IF(Table13[[#This Row],[New Pos L]]&lt;&gt;0,Table13[[#This Row],[New Pos L]],Table13[[#This Row],[New Pos R]])</f>
        <v>6</v>
      </c>
      <c r="H2290">
        <f>IF(AND(Table13[[#This Row],[Direction]]="L",Table13[[#This Row],[Steps]]&gt;G2289,G2289&lt;&gt;0),1,0)</f>
        <v>0</v>
      </c>
      <c r="I2290">
        <f>IF(AND(Table13[[#This Row],[Direction]]="R",(G2289+Table13[[#This Row],[Steps]])&gt;100),1,0)</f>
        <v>0</v>
      </c>
      <c r="J2290">
        <f>IF(Table13[[#This Row],[POS]]=0,1,0)</f>
        <v>0</v>
      </c>
      <c r="K2290">
        <f>SUM(Table13[[#This Row],[prefix]],Table13[[#This Row],[Past zero L]],Table13[[#This Row],[Past Zero R]],Table13[[#This Row],[Is Zero]])</f>
        <v>0</v>
      </c>
    </row>
    <row r="2291" spans="1:11" ht="16" x14ac:dyDescent="0.2">
      <c r="A2291" s="1" t="s">
        <v>181</v>
      </c>
      <c r="B2291" t="str">
        <f>LEFT(Table13[[#This Row],[Input]],1)</f>
        <v>L</v>
      </c>
      <c r="C2291">
        <f>_xlfn.LET(_xlpm.steps,SUBSTITUTE(Table13[[#This Row],[Input]],Table13[[#This Row],[Direction]],""),VALUE(IF(LEN(_xlpm.steps)&gt;2,RIGHT(_xlpm.steps,2),_xlpm.steps)))</f>
        <v>53</v>
      </c>
      <c r="D2291">
        <f>_xlfn.LET(_xlpm.steps,SUBSTITUTE(Table13[[#This Row],[Input]],Table13[[#This Row],[Direction]],""),VALUE(IF(LEN(_xlpm.steps)&gt;2,LEFT(_xlpm.steps,LEN(_xlpm.steps)-2),0)))</f>
        <v>0</v>
      </c>
      <c r="E2291">
        <f>_xlfn.LET(_xlpm.dir,Table13[[#This Row],[Direction]],
IF(_xlpm.dir="L",
    IF(G2290-Table13[[#This Row],[Steps]]&lt;0,100+(G2290-Table13[[#This Row],[Steps]]),G2290-Table13[[#This Row],[Steps]]),
))</f>
        <v>53</v>
      </c>
      <c r="F2291">
        <f>_xlfn.LET(_xlpm.dir,Table13[[#This Row],[Direction]],
IF(_xlpm.dir="R",
    IF(G2290+Table13[[#This Row],[Steps]]&gt;99,(G2290+Table13[[#This Row],[Steps]])-100,G2290+Table13[[#This Row],[Steps]]),
))</f>
        <v>0</v>
      </c>
      <c r="G2291">
        <f>IF(Table13[[#This Row],[New Pos L]]&lt;&gt;0,Table13[[#This Row],[New Pos L]],Table13[[#This Row],[New Pos R]])</f>
        <v>53</v>
      </c>
      <c r="H2291">
        <f>IF(AND(Table13[[#This Row],[Direction]]="L",Table13[[#This Row],[Steps]]&gt;G2290,G2290&lt;&gt;0),1,0)</f>
        <v>1</v>
      </c>
      <c r="I2291">
        <f>IF(AND(Table13[[#This Row],[Direction]]="R",(G2290+Table13[[#This Row],[Steps]])&gt;100),1,0)</f>
        <v>0</v>
      </c>
      <c r="J2291">
        <f>IF(Table13[[#This Row],[POS]]=0,1,0)</f>
        <v>0</v>
      </c>
      <c r="K2291">
        <f>SUM(Table13[[#This Row],[prefix]],Table13[[#This Row],[Past zero L]],Table13[[#This Row],[Past Zero R]],Table13[[#This Row],[Is Zero]])</f>
        <v>1</v>
      </c>
    </row>
    <row r="2292" spans="1:11" ht="16" x14ac:dyDescent="0.2">
      <c r="A2292" s="1" t="s">
        <v>592</v>
      </c>
      <c r="B2292" t="str">
        <f>LEFT(Table13[[#This Row],[Input]],1)</f>
        <v>L</v>
      </c>
      <c r="C2292">
        <f>_xlfn.LET(_xlpm.steps,SUBSTITUTE(Table13[[#This Row],[Input]],Table13[[#This Row],[Direction]],""),VALUE(IF(LEN(_xlpm.steps)&gt;2,RIGHT(_xlpm.steps,2),_xlpm.steps)))</f>
        <v>53</v>
      </c>
      <c r="D2292">
        <f>_xlfn.LET(_xlpm.steps,SUBSTITUTE(Table13[[#This Row],[Input]],Table13[[#This Row],[Direction]],""),VALUE(IF(LEN(_xlpm.steps)&gt;2,LEFT(_xlpm.steps,LEN(_xlpm.steps)-2),0)))</f>
        <v>2</v>
      </c>
      <c r="E2292">
        <f>_xlfn.LET(_xlpm.dir,Table13[[#This Row],[Direction]],
IF(_xlpm.dir="L",
    IF(G2291-Table13[[#This Row],[Steps]]&lt;0,100+(G2291-Table13[[#This Row],[Steps]]),G2291-Table13[[#This Row],[Steps]]),
))</f>
        <v>0</v>
      </c>
      <c r="F2292">
        <f>_xlfn.LET(_xlpm.dir,Table13[[#This Row],[Direction]],
IF(_xlpm.dir="R",
    IF(G2291+Table13[[#This Row],[Steps]]&gt;99,(G2291+Table13[[#This Row],[Steps]])-100,G2291+Table13[[#This Row],[Steps]]),
))</f>
        <v>0</v>
      </c>
      <c r="G2292">
        <f>IF(Table13[[#This Row],[New Pos L]]&lt;&gt;0,Table13[[#This Row],[New Pos L]],Table13[[#This Row],[New Pos R]])</f>
        <v>0</v>
      </c>
      <c r="H2292">
        <f>IF(AND(Table13[[#This Row],[Direction]]="L",Table13[[#This Row],[Steps]]&gt;G2291,G2291&lt;&gt;0),1,0)</f>
        <v>0</v>
      </c>
      <c r="I2292">
        <f>IF(AND(Table13[[#This Row],[Direction]]="R",(G2291+Table13[[#This Row],[Steps]])&gt;100),1,0)</f>
        <v>0</v>
      </c>
      <c r="J2292">
        <f>IF(Table13[[#This Row],[POS]]=0,1,0)</f>
        <v>1</v>
      </c>
      <c r="K2292">
        <f>SUM(Table13[[#This Row],[prefix]],Table13[[#This Row],[Past zero L]],Table13[[#This Row],[Past Zero R]],Table13[[#This Row],[Is Zero]])</f>
        <v>3</v>
      </c>
    </row>
    <row r="2293" spans="1:11" ht="16" x14ac:dyDescent="0.2">
      <c r="A2293" s="1" t="s">
        <v>134</v>
      </c>
      <c r="B2293" t="str">
        <f>LEFT(Table13[[#This Row],[Input]],1)</f>
        <v>L</v>
      </c>
      <c r="C2293">
        <f>_xlfn.LET(_xlpm.steps,SUBSTITUTE(Table13[[#This Row],[Input]],Table13[[#This Row],[Direction]],""),VALUE(IF(LEN(_xlpm.steps)&gt;2,RIGHT(_xlpm.steps,2),_xlpm.steps)))</f>
        <v>95</v>
      </c>
      <c r="D2293">
        <f>_xlfn.LET(_xlpm.steps,SUBSTITUTE(Table13[[#This Row],[Input]],Table13[[#This Row],[Direction]],""),VALUE(IF(LEN(_xlpm.steps)&gt;2,LEFT(_xlpm.steps,LEN(_xlpm.steps)-2),0)))</f>
        <v>0</v>
      </c>
      <c r="E2293">
        <f>_xlfn.LET(_xlpm.dir,Table13[[#This Row],[Direction]],
IF(_xlpm.dir="L",
    IF(G2292-Table13[[#This Row],[Steps]]&lt;0,100+(G2292-Table13[[#This Row],[Steps]]),G2292-Table13[[#This Row],[Steps]]),
))</f>
        <v>5</v>
      </c>
      <c r="F2293">
        <f>_xlfn.LET(_xlpm.dir,Table13[[#This Row],[Direction]],
IF(_xlpm.dir="R",
    IF(G2292+Table13[[#This Row],[Steps]]&gt;99,(G2292+Table13[[#This Row],[Steps]])-100,G2292+Table13[[#This Row],[Steps]]),
))</f>
        <v>0</v>
      </c>
      <c r="G2293">
        <f>IF(Table13[[#This Row],[New Pos L]]&lt;&gt;0,Table13[[#This Row],[New Pos L]],Table13[[#This Row],[New Pos R]])</f>
        <v>5</v>
      </c>
      <c r="H2293">
        <f>IF(AND(Table13[[#This Row],[Direction]]="L",Table13[[#This Row],[Steps]]&gt;G2292,G2292&lt;&gt;0),1,0)</f>
        <v>0</v>
      </c>
      <c r="I2293">
        <f>IF(AND(Table13[[#This Row],[Direction]]="R",(G2292+Table13[[#This Row],[Steps]])&gt;100),1,0)</f>
        <v>0</v>
      </c>
      <c r="J2293">
        <f>IF(Table13[[#This Row],[POS]]=0,1,0)</f>
        <v>0</v>
      </c>
      <c r="K2293">
        <f>SUM(Table13[[#This Row],[prefix]],Table13[[#This Row],[Past zero L]],Table13[[#This Row],[Past Zero R]],Table13[[#This Row],[Is Zero]])</f>
        <v>0</v>
      </c>
    </row>
    <row r="2294" spans="1:11" ht="16" x14ac:dyDescent="0.2">
      <c r="A2294" s="1" t="s">
        <v>16</v>
      </c>
      <c r="B2294" t="str">
        <f>LEFT(Table13[[#This Row],[Input]],1)</f>
        <v>L</v>
      </c>
      <c r="C2294">
        <f>_xlfn.LET(_xlpm.steps,SUBSTITUTE(Table13[[#This Row],[Input]],Table13[[#This Row],[Direction]],""),VALUE(IF(LEN(_xlpm.steps)&gt;2,RIGHT(_xlpm.steps,2),_xlpm.steps)))</f>
        <v>10</v>
      </c>
      <c r="D2294">
        <f>_xlfn.LET(_xlpm.steps,SUBSTITUTE(Table13[[#This Row],[Input]],Table13[[#This Row],[Direction]],""),VALUE(IF(LEN(_xlpm.steps)&gt;2,LEFT(_xlpm.steps,LEN(_xlpm.steps)-2),0)))</f>
        <v>0</v>
      </c>
      <c r="E2294">
        <f>_xlfn.LET(_xlpm.dir,Table13[[#This Row],[Direction]],
IF(_xlpm.dir="L",
    IF(G2293-Table13[[#This Row],[Steps]]&lt;0,100+(G2293-Table13[[#This Row],[Steps]]),G2293-Table13[[#This Row],[Steps]]),
))</f>
        <v>95</v>
      </c>
      <c r="F2294">
        <f>_xlfn.LET(_xlpm.dir,Table13[[#This Row],[Direction]],
IF(_xlpm.dir="R",
    IF(G2293+Table13[[#This Row],[Steps]]&gt;99,(G2293+Table13[[#This Row],[Steps]])-100,G2293+Table13[[#This Row],[Steps]]),
))</f>
        <v>0</v>
      </c>
      <c r="G2294">
        <f>IF(Table13[[#This Row],[New Pos L]]&lt;&gt;0,Table13[[#This Row],[New Pos L]],Table13[[#This Row],[New Pos R]])</f>
        <v>95</v>
      </c>
      <c r="H2294">
        <f>IF(AND(Table13[[#This Row],[Direction]]="L",Table13[[#This Row],[Steps]]&gt;G2293,G2293&lt;&gt;0),1,0)</f>
        <v>1</v>
      </c>
      <c r="I2294">
        <f>IF(AND(Table13[[#This Row],[Direction]]="R",(G2293+Table13[[#This Row],[Steps]])&gt;100),1,0)</f>
        <v>0</v>
      </c>
      <c r="J2294">
        <f>IF(Table13[[#This Row],[POS]]=0,1,0)</f>
        <v>0</v>
      </c>
      <c r="K2294">
        <f>SUM(Table13[[#This Row],[prefix]],Table13[[#This Row],[Past zero L]],Table13[[#This Row],[Past Zero R]],Table13[[#This Row],[Is Zero]])</f>
        <v>1</v>
      </c>
    </row>
    <row r="2295" spans="1:11" ht="16" x14ac:dyDescent="0.2">
      <c r="A2295" s="1" t="s">
        <v>330</v>
      </c>
      <c r="B2295" t="str">
        <f>LEFT(Table13[[#This Row],[Input]],1)</f>
        <v>L</v>
      </c>
      <c r="C2295">
        <f>_xlfn.LET(_xlpm.steps,SUBSTITUTE(Table13[[#This Row],[Input]],Table13[[#This Row],[Direction]],""),VALUE(IF(LEN(_xlpm.steps)&gt;2,RIGHT(_xlpm.steps,2),_xlpm.steps)))</f>
        <v>47</v>
      </c>
      <c r="D2295">
        <f>_xlfn.LET(_xlpm.steps,SUBSTITUTE(Table13[[#This Row],[Input]],Table13[[#This Row],[Direction]],""),VALUE(IF(LEN(_xlpm.steps)&gt;2,LEFT(_xlpm.steps,LEN(_xlpm.steps)-2),0)))</f>
        <v>0</v>
      </c>
      <c r="E2295">
        <f>_xlfn.LET(_xlpm.dir,Table13[[#This Row],[Direction]],
IF(_xlpm.dir="L",
    IF(G2294-Table13[[#This Row],[Steps]]&lt;0,100+(G2294-Table13[[#This Row],[Steps]]),G2294-Table13[[#This Row],[Steps]]),
))</f>
        <v>48</v>
      </c>
      <c r="F2295">
        <f>_xlfn.LET(_xlpm.dir,Table13[[#This Row],[Direction]],
IF(_xlpm.dir="R",
    IF(G2294+Table13[[#This Row],[Steps]]&gt;99,(G2294+Table13[[#This Row],[Steps]])-100,G2294+Table13[[#This Row],[Steps]]),
))</f>
        <v>0</v>
      </c>
      <c r="G2295">
        <f>IF(Table13[[#This Row],[New Pos L]]&lt;&gt;0,Table13[[#This Row],[New Pos L]],Table13[[#This Row],[New Pos R]])</f>
        <v>48</v>
      </c>
      <c r="H2295">
        <f>IF(AND(Table13[[#This Row],[Direction]]="L",Table13[[#This Row],[Steps]]&gt;G2294,G2294&lt;&gt;0),1,0)</f>
        <v>0</v>
      </c>
      <c r="I2295">
        <f>IF(AND(Table13[[#This Row],[Direction]]="R",(G2294+Table13[[#This Row],[Steps]])&gt;100),1,0)</f>
        <v>0</v>
      </c>
      <c r="J2295">
        <f>IF(Table13[[#This Row],[POS]]=0,1,0)</f>
        <v>0</v>
      </c>
      <c r="K2295">
        <f>SUM(Table13[[#This Row],[prefix]],Table13[[#This Row],[Past zero L]],Table13[[#This Row],[Past Zero R]],Table13[[#This Row],[Is Zero]])</f>
        <v>0</v>
      </c>
    </row>
    <row r="2296" spans="1:11" ht="16" x14ac:dyDescent="0.2">
      <c r="A2296" s="1" t="s">
        <v>57</v>
      </c>
      <c r="B2296" t="str">
        <f>LEFT(Table13[[#This Row],[Input]],1)</f>
        <v>R</v>
      </c>
      <c r="C2296">
        <f>_xlfn.LET(_xlpm.steps,SUBSTITUTE(Table13[[#This Row],[Input]],Table13[[#This Row],[Direction]],""),VALUE(IF(LEN(_xlpm.steps)&gt;2,RIGHT(_xlpm.steps,2),_xlpm.steps)))</f>
        <v>29</v>
      </c>
      <c r="D2296">
        <f>_xlfn.LET(_xlpm.steps,SUBSTITUTE(Table13[[#This Row],[Input]],Table13[[#This Row],[Direction]],""),VALUE(IF(LEN(_xlpm.steps)&gt;2,LEFT(_xlpm.steps,LEN(_xlpm.steps)-2),0)))</f>
        <v>0</v>
      </c>
      <c r="E2296">
        <f>_xlfn.LET(_xlpm.dir,Table13[[#This Row],[Direction]],
IF(_xlpm.dir="L",
    IF(G2295-Table13[[#This Row],[Steps]]&lt;0,100+(G2295-Table13[[#This Row],[Steps]]),G2295-Table13[[#This Row],[Steps]]),
))</f>
        <v>0</v>
      </c>
      <c r="F2296">
        <f>_xlfn.LET(_xlpm.dir,Table13[[#This Row],[Direction]],
IF(_xlpm.dir="R",
    IF(G2295+Table13[[#This Row],[Steps]]&gt;99,(G2295+Table13[[#This Row],[Steps]])-100,G2295+Table13[[#This Row],[Steps]]),
))</f>
        <v>77</v>
      </c>
      <c r="G2296">
        <f>IF(Table13[[#This Row],[New Pos L]]&lt;&gt;0,Table13[[#This Row],[New Pos L]],Table13[[#This Row],[New Pos R]])</f>
        <v>77</v>
      </c>
      <c r="H2296">
        <f>IF(AND(Table13[[#This Row],[Direction]]="L",Table13[[#This Row],[Steps]]&gt;G2295,G2295&lt;&gt;0),1,0)</f>
        <v>0</v>
      </c>
      <c r="I2296">
        <f>IF(AND(Table13[[#This Row],[Direction]]="R",(G2295+Table13[[#This Row],[Steps]])&gt;100),1,0)</f>
        <v>0</v>
      </c>
      <c r="J2296">
        <f>IF(Table13[[#This Row],[POS]]=0,1,0)</f>
        <v>0</v>
      </c>
      <c r="K2296">
        <f>SUM(Table13[[#This Row],[prefix]],Table13[[#This Row],[Past zero L]],Table13[[#This Row],[Past Zero R]],Table13[[#This Row],[Is Zero]])</f>
        <v>0</v>
      </c>
    </row>
    <row r="2297" spans="1:11" ht="16" x14ac:dyDescent="0.2">
      <c r="A2297" s="1" t="s">
        <v>293</v>
      </c>
      <c r="B2297" t="str">
        <f>LEFT(Table13[[#This Row],[Input]],1)</f>
        <v>R</v>
      </c>
      <c r="C2297">
        <f>_xlfn.LET(_xlpm.steps,SUBSTITUTE(Table13[[#This Row],[Input]],Table13[[#This Row],[Direction]],""),VALUE(IF(LEN(_xlpm.steps)&gt;2,RIGHT(_xlpm.steps,2),_xlpm.steps)))</f>
        <v>67</v>
      </c>
      <c r="D2297">
        <f>_xlfn.LET(_xlpm.steps,SUBSTITUTE(Table13[[#This Row],[Input]],Table13[[#This Row],[Direction]],""),VALUE(IF(LEN(_xlpm.steps)&gt;2,LEFT(_xlpm.steps,LEN(_xlpm.steps)-2),0)))</f>
        <v>0</v>
      </c>
      <c r="E2297">
        <f>_xlfn.LET(_xlpm.dir,Table13[[#This Row],[Direction]],
IF(_xlpm.dir="L",
    IF(G2296-Table13[[#This Row],[Steps]]&lt;0,100+(G2296-Table13[[#This Row],[Steps]]),G2296-Table13[[#This Row],[Steps]]),
))</f>
        <v>0</v>
      </c>
      <c r="F2297">
        <f>_xlfn.LET(_xlpm.dir,Table13[[#This Row],[Direction]],
IF(_xlpm.dir="R",
    IF(G2296+Table13[[#This Row],[Steps]]&gt;99,(G2296+Table13[[#This Row],[Steps]])-100,G2296+Table13[[#This Row],[Steps]]),
))</f>
        <v>44</v>
      </c>
      <c r="G2297">
        <f>IF(Table13[[#This Row],[New Pos L]]&lt;&gt;0,Table13[[#This Row],[New Pos L]],Table13[[#This Row],[New Pos R]])</f>
        <v>44</v>
      </c>
      <c r="H2297">
        <f>IF(AND(Table13[[#This Row],[Direction]]="L",Table13[[#This Row],[Steps]]&gt;G2296,G2296&lt;&gt;0),1,0)</f>
        <v>0</v>
      </c>
      <c r="I2297">
        <f>IF(AND(Table13[[#This Row],[Direction]]="R",(G2296+Table13[[#This Row],[Steps]])&gt;100),1,0)</f>
        <v>1</v>
      </c>
      <c r="J2297">
        <f>IF(Table13[[#This Row],[POS]]=0,1,0)</f>
        <v>0</v>
      </c>
      <c r="K2297">
        <f>SUM(Table13[[#This Row],[prefix]],Table13[[#This Row],[Past zero L]],Table13[[#This Row],[Past Zero R]],Table13[[#This Row],[Is Zero]])</f>
        <v>1</v>
      </c>
    </row>
    <row r="2298" spans="1:11" ht="16" x14ac:dyDescent="0.2">
      <c r="A2298" s="1" t="s">
        <v>205</v>
      </c>
      <c r="B2298" t="str">
        <f>LEFT(Table13[[#This Row],[Input]],1)</f>
        <v>R</v>
      </c>
      <c r="C2298">
        <f>_xlfn.LET(_xlpm.steps,SUBSTITUTE(Table13[[#This Row],[Input]],Table13[[#This Row],[Direction]],""),VALUE(IF(LEN(_xlpm.steps)&gt;2,RIGHT(_xlpm.steps,2),_xlpm.steps)))</f>
        <v>83</v>
      </c>
      <c r="D2298">
        <f>_xlfn.LET(_xlpm.steps,SUBSTITUTE(Table13[[#This Row],[Input]],Table13[[#This Row],[Direction]],""),VALUE(IF(LEN(_xlpm.steps)&gt;2,LEFT(_xlpm.steps,LEN(_xlpm.steps)-2),0)))</f>
        <v>0</v>
      </c>
      <c r="E2298">
        <f>_xlfn.LET(_xlpm.dir,Table13[[#This Row],[Direction]],
IF(_xlpm.dir="L",
    IF(G2297-Table13[[#This Row],[Steps]]&lt;0,100+(G2297-Table13[[#This Row],[Steps]]),G2297-Table13[[#This Row],[Steps]]),
))</f>
        <v>0</v>
      </c>
      <c r="F2298">
        <f>_xlfn.LET(_xlpm.dir,Table13[[#This Row],[Direction]],
IF(_xlpm.dir="R",
    IF(G2297+Table13[[#This Row],[Steps]]&gt;99,(G2297+Table13[[#This Row],[Steps]])-100,G2297+Table13[[#This Row],[Steps]]),
))</f>
        <v>27</v>
      </c>
      <c r="G2298">
        <f>IF(Table13[[#This Row],[New Pos L]]&lt;&gt;0,Table13[[#This Row],[New Pos L]],Table13[[#This Row],[New Pos R]])</f>
        <v>27</v>
      </c>
      <c r="H2298">
        <f>IF(AND(Table13[[#This Row],[Direction]]="L",Table13[[#This Row],[Steps]]&gt;G2297,G2297&lt;&gt;0),1,0)</f>
        <v>0</v>
      </c>
      <c r="I2298">
        <f>IF(AND(Table13[[#This Row],[Direction]]="R",(G2297+Table13[[#This Row],[Steps]])&gt;100),1,0)</f>
        <v>1</v>
      </c>
      <c r="J2298">
        <f>IF(Table13[[#This Row],[POS]]=0,1,0)</f>
        <v>0</v>
      </c>
      <c r="K2298">
        <f>SUM(Table13[[#This Row],[prefix]],Table13[[#This Row],[Past zero L]],Table13[[#This Row],[Past Zero R]],Table13[[#This Row],[Is Zero]])</f>
        <v>1</v>
      </c>
    </row>
    <row r="2299" spans="1:11" ht="16" x14ac:dyDescent="0.2">
      <c r="A2299" s="1" t="s">
        <v>195</v>
      </c>
      <c r="B2299" t="str">
        <f>LEFT(Table13[[#This Row],[Input]],1)</f>
        <v>R</v>
      </c>
      <c r="C2299">
        <f>_xlfn.LET(_xlpm.steps,SUBSTITUTE(Table13[[#This Row],[Input]],Table13[[#This Row],[Direction]],""),VALUE(IF(LEN(_xlpm.steps)&gt;2,RIGHT(_xlpm.steps,2),_xlpm.steps)))</f>
        <v>40</v>
      </c>
      <c r="D2299">
        <f>_xlfn.LET(_xlpm.steps,SUBSTITUTE(Table13[[#This Row],[Input]],Table13[[#This Row],[Direction]],""),VALUE(IF(LEN(_xlpm.steps)&gt;2,LEFT(_xlpm.steps,LEN(_xlpm.steps)-2),0)))</f>
        <v>0</v>
      </c>
      <c r="E2299">
        <f>_xlfn.LET(_xlpm.dir,Table13[[#This Row],[Direction]],
IF(_xlpm.dir="L",
    IF(G2298-Table13[[#This Row],[Steps]]&lt;0,100+(G2298-Table13[[#This Row],[Steps]]),G2298-Table13[[#This Row],[Steps]]),
))</f>
        <v>0</v>
      </c>
      <c r="F2299">
        <f>_xlfn.LET(_xlpm.dir,Table13[[#This Row],[Direction]],
IF(_xlpm.dir="R",
    IF(G2298+Table13[[#This Row],[Steps]]&gt;99,(G2298+Table13[[#This Row],[Steps]])-100,G2298+Table13[[#This Row],[Steps]]),
))</f>
        <v>67</v>
      </c>
      <c r="G2299">
        <f>IF(Table13[[#This Row],[New Pos L]]&lt;&gt;0,Table13[[#This Row],[New Pos L]],Table13[[#This Row],[New Pos R]])</f>
        <v>67</v>
      </c>
      <c r="H2299">
        <f>IF(AND(Table13[[#This Row],[Direction]]="L",Table13[[#This Row],[Steps]]&gt;G2298,G2298&lt;&gt;0),1,0)</f>
        <v>0</v>
      </c>
      <c r="I2299">
        <f>IF(AND(Table13[[#This Row],[Direction]]="R",(G2298+Table13[[#This Row],[Steps]])&gt;100),1,0)</f>
        <v>0</v>
      </c>
      <c r="J2299">
        <f>IF(Table13[[#This Row],[POS]]=0,1,0)</f>
        <v>0</v>
      </c>
      <c r="K2299">
        <f>SUM(Table13[[#This Row],[prefix]],Table13[[#This Row],[Past zero L]],Table13[[#This Row],[Past Zero R]],Table13[[#This Row],[Is Zero]])</f>
        <v>0</v>
      </c>
    </row>
    <row r="2300" spans="1:11" ht="16" x14ac:dyDescent="0.2">
      <c r="A2300" s="1" t="s">
        <v>35</v>
      </c>
      <c r="B2300" t="str">
        <f>LEFT(Table13[[#This Row],[Input]],1)</f>
        <v>L</v>
      </c>
      <c r="C2300">
        <f>_xlfn.LET(_xlpm.steps,SUBSTITUTE(Table13[[#This Row],[Input]],Table13[[#This Row],[Direction]],""),VALUE(IF(LEN(_xlpm.steps)&gt;2,RIGHT(_xlpm.steps,2),_xlpm.steps)))</f>
        <v>2</v>
      </c>
      <c r="D2300">
        <f>_xlfn.LET(_xlpm.steps,SUBSTITUTE(Table13[[#This Row],[Input]],Table13[[#This Row],[Direction]],""),VALUE(IF(LEN(_xlpm.steps)&gt;2,LEFT(_xlpm.steps,LEN(_xlpm.steps)-2),0)))</f>
        <v>0</v>
      </c>
      <c r="E2300">
        <f>_xlfn.LET(_xlpm.dir,Table13[[#This Row],[Direction]],
IF(_xlpm.dir="L",
    IF(G2299-Table13[[#This Row],[Steps]]&lt;0,100+(G2299-Table13[[#This Row],[Steps]]),G2299-Table13[[#This Row],[Steps]]),
))</f>
        <v>65</v>
      </c>
      <c r="F2300">
        <f>_xlfn.LET(_xlpm.dir,Table13[[#This Row],[Direction]],
IF(_xlpm.dir="R",
    IF(G2299+Table13[[#This Row],[Steps]]&gt;99,(G2299+Table13[[#This Row],[Steps]])-100,G2299+Table13[[#This Row],[Steps]]),
))</f>
        <v>0</v>
      </c>
      <c r="G2300">
        <f>IF(Table13[[#This Row],[New Pos L]]&lt;&gt;0,Table13[[#This Row],[New Pos L]],Table13[[#This Row],[New Pos R]])</f>
        <v>65</v>
      </c>
      <c r="H2300">
        <f>IF(AND(Table13[[#This Row],[Direction]]="L",Table13[[#This Row],[Steps]]&gt;G2299,G2299&lt;&gt;0),1,0)</f>
        <v>0</v>
      </c>
      <c r="I2300">
        <f>IF(AND(Table13[[#This Row],[Direction]]="R",(G2299+Table13[[#This Row],[Steps]])&gt;100),1,0)</f>
        <v>0</v>
      </c>
      <c r="J2300">
        <f>IF(Table13[[#This Row],[POS]]=0,1,0)</f>
        <v>0</v>
      </c>
      <c r="K2300">
        <f>SUM(Table13[[#This Row],[prefix]],Table13[[#This Row],[Past zero L]],Table13[[#This Row],[Past Zero R]],Table13[[#This Row],[Is Zero]])</f>
        <v>0</v>
      </c>
    </row>
    <row r="2301" spans="1:11" ht="16" x14ac:dyDescent="0.2">
      <c r="A2301" s="1" t="s">
        <v>344</v>
      </c>
      <c r="B2301" t="str">
        <f>LEFT(Table13[[#This Row],[Input]],1)</f>
        <v>R</v>
      </c>
      <c r="C2301">
        <f>_xlfn.LET(_xlpm.steps,SUBSTITUTE(Table13[[#This Row],[Input]],Table13[[#This Row],[Direction]],""),VALUE(IF(LEN(_xlpm.steps)&gt;2,RIGHT(_xlpm.steps,2),_xlpm.steps)))</f>
        <v>9</v>
      </c>
      <c r="D2301">
        <f>_xlfn.LET(_xlpm.steps,SUBSTITUTE(Table13[[#This Row],[Input]],Table13[[#This Row],[Direction]],""),VALUE(IF(LEN(_xlpm.steps)&gt;2,LEFT(_xlpm.steps,LEN(_xlpm.steps)-2),0)))</f>
        <v>0</v>
      </c>
      <c r="E2301">
        <f>_xlfn.LET(_xlpm.dir,Table13[[#This Row],[Direction]],
IF(_xlpm.dir="L",
    IF(G2300-Table13[[#This Row],[Steps]]&lt;0,100+(G2300-Table13[[#This Row],[Steps]]),G2300-Table13[[#This Row],[Steps]]),
))</f>
        <v>0</v>
      </c>
      <c r="F2301">
        <f>_xlfn.LET(_xlpm.dir,Table13[[#This Row],[Direction]],
IF(_xlpm.dir="R",
    IF(G2300+Table13[[#This Row],[Steps]]&gt;99,(G2300+Table13[[#This Row],[Steps]])-100,G2300+Table13[[#This Row],[Steps]]),
))</f>
        <v>74</v>
      </c>
      <c r="G2301">
        <f>IF(Table13[[#This Row],[New Pos L]]&lt;&gt;0,Table13[[#This Row],[New Pos L]],Table13[[#This Row],[New Pos R]])</f>
        <v>74</v>
      </c>
      <c r="H2301">
        <f>IF(AND(Table13[[#This Row],[Direction]]="L",Table13[[#This Row],[Steps]]&gt;G2300,G2300&lt;&gt;0),1,0)</f>
        <v>0</v>
      </c>
      <c r="I2301">
        <f>IF(AND(Table13[[#This Row],[Direction]]="R",(G2300+Table13[[#This Row],[Steps]])&gt;100),1,0)</f>
        <v>0</v>
      </c>
      <c r="J2301">
        <f>IF(Table13[[#This Row],[POS]]=0,1,0)</f>
        <v>0</v>
      </c>
      <c r="K2301">
        <f>SUM(Table13[[#This Row],[prefix]],Table13[[#This Row],[Past zero L]],Table13[[#This Row],[Past Zero R]],Table13[[#This Row],[Is Zero]])</f>
        <v>0</v>
      </c>
    </row>
    <row r="2302" spans="1:11" ht="16" x14ac:dyDescent="0.2">
      <c r="A2302" s="1" t="s">
        <v>13</v>
      </c>
      <c r="B2302" t="str">
        <f>LEFT(Table13[[#This Row],[Input]],1)</f>
        <v>R</v>
      </c>
      <c r="C2302">
        <f>_xlfn.LET(_xlpm.steps,SUBSTITUTE(Table13[[#This Row],[Input]],Table13[[#This Row],[Direction]],""),VALUE(IF(LEN(_xlpm.steps)&gt;2,RIGHT(_xlpm.steps,2),_xlpm.steps)))</f>
        <v>12</v>
      </c>
      <c r="D2302">
        <f>_xlfn.LET(_xlpm.steps,SUBSTITUTE(Table13[[#This Row],[Input]],Table13[[#This Row],[Direction]],""),VALUE(IF(LEN(_xlpm.steps)&gt;2,LEFT(_xlpm.steps,LEN(_xlpm.steps)-2),0)))</f>
        <v>0</v>
      </c>
      <c r="E2302">
        <f>_xlfn.LET(_xlpm.dir,Table13[[#This Row],[Direction]],
IF(_xlpm.dir="L",
    IF(G2301-Table13[[#This Row],[Steps]]&lt;0,100+(G2301-Table13[[#This Row],[Steps]]),G2301-Table13[[#This Row],[Steps]]),
))</f>
        <v>0</v>
      </c>
      <c r="F2302">
        <f>_xlfn.LET(_xlpm.dir,Table13[[#This Row],[Direction]],
IF(_xlpm.dir="R",
    IF(G2301+Table13[[#This Row],[Steps]]&gt;99,(G2301+Table13[[#This Row],[Steps]])-100,G2301+Table13[[#This Row],[Steps]]),
))</f>
        <v>86</v>
      </c>
      <c r="G2302">
        <f>IF(Table13[[#This Row],[New Pos L]]&lt;&gt;0,Table13[[#This Row],[New Pos L]],Table13[[#This Row],[New Pos R]])</f>
        <v>86</v>
      </c>
      <c r="H2302">
        <f>IF(AND(Table13[[#This Row],[Direction]]="L",Table13[[#This Row],[Steps]]&gt;G2301,G2301&lt;&gt;0),1,0)</f>
        <v>0</v>
      </c>
      <c r="I2302">
        <f>IF(AND(Table13[[#This Row],[Direction]]="R",(G2301+Table13[[#This Row],[Steps]])&gt;100),1,0)</f>
        <v>0</v>
      </c>
      <c r="J2302">
        <f>IF(Table13[[#This Row],[POS]]=0,1,0)</f>
        <v>0</v>
      </c>
      <c r="K2302">
        <f>SUM(Table13[[#This Row],[prefix]],Table13[[#This Row],[Past zero L]],Table13[[#This Row],[Past Zero R]],Table13[[#This Row],[Is Zero]])</f>
        <v>0</v>
      </c>
    </row>
    <row r="2303" spans="1:11" ht="16" x14ac:dyDescent="0.2">
      <c r="A2303" s="1" t="s">
        <v>264</v>
      </c>
      <c r="B2303" t="str">
        <f>LEFT(Table13[[#This Row],[Input]],1)</f>
        <v>L</v>
      </c>
      <c r="C2303">
        <f>_xlfn.LET(_xlpm.steps,SUBSTITUTE(Table13[[#This Row],[Input]],Table13[[#This Row],[Direction]],""),VALUE(IF(LEN(_xlpm.steps)&gt;2,RIGHT(_xlpm.steps,2),_xlpm.steps)))</f>
        <v>21</v>
      </c>
      <c r="D2303">
        <f>_xlfn.LET(_xlpm.steps,SUBSTITUTE(Table13[[#This Row],[Input]],Table13[[#This Row],[Direction]],""),VALUE(IF(LEN(_xlpm.steps)&gt;2,LEFT(_xlpm.steps,LEN(_xlpm.steps)-2),0)))</f>
        <v>0</v>
      </c>
      <c r="E2303">
        <f>_xlfn.LET(_xlpm.dir,Table13[[#This Row],[Direction]],
IF(_xlpm.dir="L",
    IF(G2302-Table13[[#This Row],[Steps]]&lt;0,100+(G2302-Table13[[#This Row],[Steps]]),G2302-Table13[[#This Row],[Steps]]),
))</f>
        <v>65</v>
      </c>
      <c r="F2303">
        <f>_xlfn.LET(_xlpm.dir,Table13[[#This Row],[Direction]],
IF(_xlpm.dir="R",
    IF(G2302+Table13[[#This Row],[Steps]]&gt;99,(G2302+Table13[[#This Row],[Steps]])-100,G2302+Table13[[#This Row],[Steps]]),
))</f>
        <v>0</v>
      </c>
      <c r="G2303">
        <f>IF(Table13[[#This Row],[New Pos L]]&lt;&gt;0,Table13[[#This Row],[New Pos L]],Table13[[#This Row],[New Pos R]])</f>
        <v>65</v>
      </c>
      <c r="H2303">
        <f>IF(AND(Table13[[#This Row],[Direction]]="L",Table13[[#This Row],[Steps]]&gt;G2302,G2302&lt;&gt;0),1,0)</f>
        <v>0</v>
      </c>
      <c r="I2303">
        <f>IF(AND(Table13[[#This Row],[Direction]]="R",(G2302+Table13[[#This Row],[Steps]])&gt;100),1,0)</f>
        <v>0</v>
      </c>
      <c r="J2303">
        <f>IF(Table13[[#This Row],[POS]]=0,1,0)</f>
        <v>0</v>
      </c>
      <c r="K2303">
        <f>SUM(Table13[[#This Row],[prefix]],Table13[[#This Row],[Past zero L]],Table13[[#This Row],[Past Zero R]],Table13[[#This Row],[Is Zero]])</f>
        <v>0</v>
      </c>
    </row>
    <row r="2304" spans="1:11" ht="16" x14ac:dyDescent="0.2">
      <c r="A2304" s="1" t="s">
        <v>20</v>
      </c>
      <c r="B2304" t="str">
        <f>LEFT(Table13[[#This Row],[Input]],1)</f>
        <v>R</v>
      </c>
      <c r="C2304">
        <f>_xlfn.LET(_xlpm.steps,SUBSTITUTE(Table13[[#This Row],[Input]],Table13[[#This Row],[Direction]],""),VALUE(IF(LEN(_xlpm.steps)&gt;2,RIGHT(_xlpm.steps,2),_xlpm.steps)))</f>
        <v>46</v>
      </c>
      <c r="D2304">
        <f>_xlfn.LET(_xlpm.steps,SUBSTITUTE(Table13[[#This Row],[Input]],Table13[[#This Row],[Direction]],""),VALUE(IF(LEN(_xlpm.steps)&gt;2,LEFT(_xlpm.steps,LEN(_xlpm.steps)-2),0)))</f>
        <v>0</v>
      </c>
      <c r="E2304">
        <f>_xlfn.LET(_xlpm.dir,Table13[[#This Row],[Direction]],
IF(_xlpm.dir="L",
    IF(G2303-Table13[[#This Row],[Steps]]&lt;0,100+(G2303-Table13[[#This Row],[Steps]]),G2303-Table13[[#This Row],[Steps]]),
))</f>
        <v>0</v>
      </c>
      <c r="F2304">
        <f>_xlfn.LET(_xlpm.dir,Table13[[#This Row],[Direction]],
IF(_xlpm.dir="R",
    IF(G2303+Table13[[#This Row],[Steps]]&gt;99,(G2303+Table13[[#This Row],[Steps]])-100,G2303+Table13[[#This Row],[Steps]]),
))</f>
        <v>11</v>
      </c>
      <c r="G2304">
        <f>IF(Table13[[#This Row],[New Pos L]]&lt;&gt;0,Table13[[#This Row],[New Pos L]],Table13[[#This Row],[New Pos R]])</f>
        <v>11</v>
      </c>
      <c r="H2304">
        <f>IF(AND(Table13[[#This Row],[Direction]]="L",Table13[[#This Row],[Steps]]&gt;G2303,G2303&lt;&gt;0),1,0)</f>
        <v>0</v>
      </c>
      <c r="I2304">
        <f>IF(AND(Table13[[#This Row],[Direction]]="R",(G2303+Table13[[#This Row],[Steps]])&gt;100),1,0)</f>
        <v>1</v>
      </c>
      <c r="J2304">
        <f>IF(Table13[[#This Row],[POS]]=0,1,0)</f>
        <v>0</v>
      </c>
      <c r="K2304">
        <f>SUM(Table13[[#This Row],[prefix]],Table13[[#This Row],[Past zero L]],Table13[[#This Row],[Past Zero R]],Table13[[#This Row],[Is Zero]])</f>
        <v>1</v>
      </c>
    </row>
    <row r="2305" spans="1:11" ht="16" x14ac:dyDescent="0.2">
      <c r="A2305" s="1" t="s">
        <v>12</v>
      </c>
      <c r="B2305" t="str">
        <f>LEFT(Table13[[#This Row],[Input]],1)</f>
        <v>L</v>
      </c>
      <c r="C2305">
        <f>_xlfn.LET(_xlpm.steps,SUBSTITUTE(Table13[[#This Row],[Input]],Table13[[#This Row],[Direction]],""),VALUE(IF(LEN(_xlpm.steps)&gt;2,RIGHT(_xlpm.steps,2),_xlpm.steps)))</f>
        <v>11</v>
      </c>
      <c r="D2305">
        <f>_xlfn.LET(_xlpm.steps,SUBSTITUTE(Table13[[#This Row],[Input]],Table13[[#This Row],[Direction]],""),VALUE(IF(LEN(_xlpm.steps)&gt;2,LEFT(_xlpm.steps,LEN(_xlpm.steps)-2),0)))</f>
        <v>0</v>
      </c>
      <c r="E2305">
        <f>_xlfn.LET(_xlpm.dir,Table13[[#This Row],[Direction]],
IF(_xlpm.dir="L",
    IF(G2304-Table13[[#This Row],[Steps]]&lt;0,100+(G2304-Table13[[#This Row],[Steps]]),G2304-Table13[[#This Row],[Steps]]),
))</f>
        <v>0</v>
      </c>
      <c r="F2305">
        <f>_xlfn.LET(_xlpm.dir,Table13[[#This Row],[Direction]],
IF(_xlpm.dir="R",
    IF(G2304+Table13[[#This Row],[Steps]]&gt;99,(G2304+Table13[[#This Row],[Steps]])-100,G2304+Table13[[#This Row],[Steps]]),
))</f>
        <v>0</v>
      </c>
      <c r="G2305">
        <f>IF(Table13[[#This Row],[New Pos L]]&lt;&gt;0,Table13[[#This Row],[New Pos L]],Table13[[#This Row],[New Pos R]])</f>
        <v>0</v>
      </c>
      <c r="H2305">
        <f>IF(AND(Table13[[#This Row],[Direction]]="L",Table13[[#This Row],[Steps]]&gt;G2304,G2304&lt;&gt;0),1,0)</f>
        <v>0</v>
      </c>
      <c r="I2305">
        <f>IF(AND(Table13[[#This Row],[Direction]]="R",(G2304+Table13[[#This Row],[Steps]])&gt;100),1,0)</f>
        <v>0</v>
      </c>
      <c r="J2305">
        <f>IF(Table13[[#This Row],[POS]]=0,1,0)</f>
        <v>1</v>
      </c>
      <c r="K2305">
        <f>SUM(Table13[[#This Row],[prefix]],Table13[[#This Row],[Past zero L]],Table13[[#This Row],[Past Zero R]],Table13[[#This Row],[Is Zero]])</f>
        <v>1</v>
      </c>
    </row>
    <row r="2306" spans="1:11" ht="16" x14ac:dyDescent="0.2">
      <c r="A2306" s="1" t="s">
        <v>319</v>
      </c>
      <c r="B2306" t="str">
        <f>LEFT(Table13[[#This Row],[Input]],1)</f>
        <v>L</v>
      </c>
      <c r="C2306">
        <f>_xlfn.LET(_xlpm.steps,SUBSTITUTE(Table13[[#This Row],[Input]],Table13[[#This Row],[Direction]],""),VALUE(IF(LEN(_xlpm.steps)&gt;2,RIGHT(_xlpm.steps,2),_xlpm.steps)))</f>
        <v>79</v>
      </c>
      <c r="D2306">
        <f>_xlfn.LET(_xlpm.steps,SUBSTITUTE(Table13[[#This Row],[Input]],Table13[[#This Row],[Direction]],""),VALUE(IF(LEN(_xlpm.steps)&gt;2,LEFT(_xlpm.steps,LEN(_xlpm.steps)-2),0)))</f>
        <v>0</v>
      </c>
      <c r="E2306">
        <f>_xlfn.LET(_xlpm.dir,Table13[[#This Row],[Direction]],
IF(_xlpm.dir="L",
    IF(G2305-Table13[[#This Row],[Steps]]&lt;0,100+(G2305-Table13[[#This Row],[Steps]]),G2305-Table13[[#This Row],[Steps]]),
))</f>
        <v>21</v>
      </c>
      <c r="F2306">
        <f>_xlfn.LET(_xlpm.dir,Table13[[#This Row],[Direction]],
IF(_xlpm.dir="R",
    IF(G2305+Table13[[#This Row],[Steps]]&gt;99,(G2305+Table13[[#This Row],[Steps]])-100,G2305+Table13[[#This Row],[Steps]]),
))</f>
        <v>0</v>
      </c>
      <c r="G2306">
        <f>IF(Table13[[#This Row],[New Pos L]]&lt;&gt;0,Table13[[#This Row],[New Pos L]],Table13[[#This Row],[New Pos R]])</f>
        <v>21</v>
      </c>
      <c r="H2306">
        <f>IF(AND(Table13[[#This Row],[Direction]]="L",Table13[[#This Row],[Steps]]&gt;G2305,G2305&lt;&gt;0),1,0)</f>
        <v>0</v>
      </c>
      <c r="I2306">
        <f>IF(AND(Table13[[#This Row],[Direction]]="R",(G2305+Table13[[#This Row],[Steps]])&gt;100),1,0)</f>
        <v>0</v>
      </c>
      <c r="J2306">
        <f>IF(Table13[[#This Row],[POS]]=0,1,0)</f>
        <v>0</v>
      </c>
      <c r="K2306">
        <f>SUM(Table13[[#This Row],[prefix]],Table13[[#This Row],[Past zero L]],Table13[[#This Row],[Past Zero R]],Table13[[#This Row],[Is Zero]])</f>
        <v>0</v>
      </c>
    </row>
    <row r="2307" spans="1:11" ht="16" x14ac:dyDescent="0.2">
      <c r="A2307" s="1" t="s">
        <v>1</v>
      </c>
      <c r="B2307" t="str">
        <f>LEFT(Table13[[#This Row],[Input]],1)</f>
        <v>R</v>
      </c>
      <c r="C2307">
        <f>_xlfn.LET(_xlpm.steps,SUBSTITUTE(Table13[[#This Row],[Input]],Table13[[#This Row],[Direction]],""),VALUE(IF(LEN(_xlpm.steps)&gt;2,RIGHT(_xlpm.steps,2),_xlpm.steps)))</f>
        <v>26</v>
      </c>
      <c r="D2307">
        <f>_xlfn.LET(_xlpm.steps,SUBSTITUTE(Table13[[#This Row],[Input]],Table13[[#This Row],[Direction]],""),VALUE(IF(LEN(_xlpm.steps)&gt;2,LEFT(_xlpm.steps,LEN(_xlpm.steps)-2),0)))</f>
        <v>0</v>
      </c>
      <c r="E2307">
        <f>_xlfn.LET(_xlpm.dir,Table13[[#This Row],[Direction]],
IF(_xlpm.dir="L",
    IF(G2306-Table13[[#This Row],[Steps]]&lt;0,100+(G2306-Table13[[#This Row],[Steps]]),G2306-Table13[[#This Row],[Steps]]),
))</f>
        <v>0</v>
      </c>
      <c r="F2307">
        <f>_xlfn.LET(_xlpm.dir,Table13[[#This Row],[Direction]],
IF(_xlpm.dir="R",
    IF(G2306+Table13[[#This Row],[Steps]]&gt;99,(G2306+Table13[[#This Row],[Steps]])-100,G2306+Table13[[#This Row],[Steps]]),
))</f>
        <v>47</v>
      </c>
      <c r="G2307">
        <f>IF(Table13[[#This Row],[New Pos L]]&lt;&gt;0,Table13[[#This Row],[New Pos L]],Table13[[#This Row],[New Pos R]])</f>
        <v>47</v>
      </c>
      <c r="H2307">
        <f>IF(AND(Table13[[#This Row],[Direction]]="L",Table13[[#This Row],[Steps]]&gt;G2306,G2306&lt;&gt;0),1,0)</f>
        <v>0</v>
      </c>
      <c r="I2307">
        <f>IF(AND(Table13[[#This Row],[Direction]]="R",(G2306+Table13[[#This Row],[Steps]])&gt;100),1,0)</f>
        <v>0</v>
      </c>
      <c r="J2307">
        <f>IF(Table13[[#This Row],[POS]]=0,1,0)</f>
        <v>0</v>
      </c>
      <c r="K2307">
        <f>SUM(Table13[[#This Row],[prefix]],Table13[[#This Row],[Past zero L]],Table13[[#This Row],[Past Zero R]],Table13[[#This Row],[Is Zero]])</f>
        <v>0</v>
      </c>
    </row>
    <row r="2308" spans="1:11" ht="16" x14ac:dyDescent="0.2">
      <c r="A2308" s="1" t="s">
        <v>58</v>
      </c>
      <c r="B2308" t="str">
        <f>LEFT(Table13[[#This Row],[Input]],1)</f>
        <v>L</v>
      </c>
      <c r="C2308">
        <f>_xlfn.LET(_xlpm.steps,SUBSTITUTE(Table13[[#This Row],[Input]],Table13[[#This Row],[Direction]],""),VALUE(IF(LEN(_xlpm.steps)&gt;2,RIGHT(_xlpm.steps,2),_xlpm.steps)))</f>
        <v>30</v>
      </c>
      <c r="D2308">
        <f>_xlfn.LET(_xlpm.steps,SUBSTITUTE(Table13[[#This Row],[Input]],Table13[[#This Row],[Direction]],""),VALUE(IF(LEN(_xlpm.steps)&gt;2,LEFT(_xlpm.steps,LEN(_xlpm.steps)-2),0)))</f>
        <v>0</v>
      </c>
      <c r="E2308">
        <f>_xlfn.LET(_xlpm.dir,Table13[[#This Row],[Direction]],
IF(_xlpm.dir="L",
    IF(G2307-Table13[[#This Row],[Steps]]&lt;0,100+(G2307-Table13[[#This Row],[Steps]]),G2307-Table13[[#This Row],[Steps]]),
))</f>
        <v>17</v>
      </c>
      <c r="F2308">
        <f>_xlfn.LET(_xlpm.dir,Table13[[#This Row],[Direction]],
IF(_xlpm.dir="R",
    IF(G2307+Table13[[#This Row],[Steps]]&gt;99,(G2307+Table13[[#This Row],[Steps]])-100,G2307+Table13[[#This Row],[Steps]]),
))</f>
        <v>0</v>
      </c>
      <c r="G2308">
        <f>IF(Table13[[#This Row],[New Pos L]]&lt;&gt;0,Table13[[#This Row],[New Pos L]],Table13[[#This Row],[New Pos R]])</f>
        <v>17</v>
      </c>
      <c r="H2308">
        <f>IF(AND(Table13[[#This Row],[Direction]]="L",Table13[[#This Row],[Steps]]&gt;G2307,G2307&lt;&gt;0),1,0)</f>
        <v>0</v>
      </c>
      <c r="I2308">
        <f>IF(AND(Table13[[#This Row],[Direction]]="R",(G2307+Table13[[#This Row],[Steps]])&gt;100),1,0)</f>
        <v>0</v>
      </c>
      <c r="J2308">
        <f>IF(Table13[[#This Row],[POS]]=0,1,0)</f>
        <v>0</v>
      </c>
      <c r="K2308">
        <f>SUM(Table13[[#This Row],[prefix]],Table13[[#This Row],[Past zero L]],Table13[[#This Row],[Past Zero R]],Table13[[#This Row],[Is Zero]])</f>
        <v>0</v>
      </c>
    </row>
    <row r="2309" spans="1:11" ht="16" x14ac:dyDescent="0.2">
      <c r="A2309" s="1" t="s">
        <v>217</v>
      </c>
      <c r="B2309" t="str">
        <f>LEFT(Table13[[#This Row],[Input]],1)</f>
        <v>R</v>
      </c>
      <c r="C2309">
        <f>_xlfn.LET(_xlpm.steps,SUBSTITUTE(Table13[[#This Row],[Input]],Table13[[#This Row],[Direction]],""),VALUE(IF(LEN(_xlpm.steps)&gt;2,RIGHT(_xlpm.steps,2),_xlpm.steps)))</f>
        <v>91</v>
      </c>
      <c r="D2309">
        <f>_xlfn.LET(_xlpm.steps,SUBSTITUTE(Table13[[#This Row],[Input]],Table13[[#This Row],[Direction]],""),VALUE(IF(LEN(_xlpm.steps)&gt;2,LEFT(_xlpm.steps,LEN(_xlpm.steps)-2),0)))</f>
        <v>0</v>
      </c>
      <c r="E2309">
        <f>_xlfn.LET(_xlpm.dir,Table13[[#This Row],[Direction]],
IF(_xlpm.dir="L",
    IF(G2308-Table13[[#This Row],[Steps]]&lt;0,100+(G2308-Table13[[#This Row],[Steps]]),G2308-Table13[[#This Row],[Steps]]),
))</f>
        <v>0</v>
      </c>
      <c r="F2309">
        <f>_xlfn.LET(_xlpm.dir,Table13[[#This Row],[Direction]],
IF(_xlpm.dir="R",
    IF(G2308+Table13[[#This Row],[Steps]]&gt;99,(G2308+Table13[[#This Row],[Steps]])-100,G2308+Table13[[#This Row],[Steps]]),
))</f>
        <v>8</v>
      </c>
      <c r="G2309">
        <f>IF(Table13[[#This Row],[New Pos L]]&lt;&gt;0,Table13[[#This Row],[New Pos L]],Table13[[#This Row],[New Pos R]])</f>
        <v>8</v>
      </c>
      <c r="H2309">
        <f>IF(AND(Table13[[#This Row],[Direction]]="L",Table13[[#This Row],[Steps]]&gt;G2308,G2308&lt;&gt;0),1,0)</f>
        <v>0</v>
      </c>
      <c r="I2309">
        <f>IF(AND(Table13[[#This Row],[Direction]]="R",(G2308+Table13[[#This Row],[Steps]])&gt;100),1,0)</f>
        <v>1</v>
      </c>
      <c r="J2309">
        <f>IF(Table13[[#This Row],[POS]]=0,1,0)</f>
        <v>0</v>
      </c>
      <c r="K2309">
        <f>SUM(Table13[[#This Row],[prefix]],Table13[[#This Row],[Past zero L]],Table13[[#This Row],[Past Zero R]],Table13[[#This Row],[Is Zero]])</f>
        <v>1</v>
      </c>
    </row>
    <row r="2310" spans="1:11" ht="16" x14ac:dyDescent="0.2">
      <c r="A2310" s="1" t="s">
        <v>113</v>
      </c>
      <c r="B2310" t="str">
        <f>LEFT(Table13[[#This Row],[Input]],1)</f>
        <v>L</v>
      </c>
      <c r="C2310">
        <f>_xlfn.LET(_xlpm.steps,SUBSTITUTE(Table13[[#This Row],[Input]],Table13[[#This Row],[Direction]],""),VALUE(IF(LEN(_xlpm.steps)&gt;2,RIGHT(_xlpm.steps,2),_xlpm.steps)))</f>
        <v>30</v>
      </c>
      <c r="D2310">
        <f>_xlfn.LET(_xlpm.steps,SUBSTITUTE(Table13[[#This Row],[Input]],Table13[[#This Row],[Direction]],""),VALUE(IF(LEN(_xlpm.steps)&gt;2,LEFT(_xlpm.steps,LEN(_xlpm.steps)-2),0)))</f>
        <v>3</v>
      </c>
      <c r="E2310">
        <f>_xlfn.LET(_xlpm.dir,Table13[[#This Row],[Direction]],
IF(_xlpm.dir="L",
    IF(G2309-Table13[[#This Row],[Steps]]&lt;0,100+(G2309-Table13[[#This Row],[Steps]]),G2309-Table13[[#This Row],[Steps]]),
))</f>
        <v>78</v>
      </c>
      <c r="F2310">
        <f>_xlfn.LET(_xlpm.dir,Table13[[#This Row],[Direction]],
IF(_xlpm.dir="R",
    IF(G2309+Table13[[#This Row],[Steps]]&gt;99,(G2309+Table13[[#This Row],[Steps]])-100,G2309+Table13[[#This Row],[Steps]]),
))</f>
        <v>0</v>
      </c>
      <c r="G2310">
        <f>IF(Table13[[#This Row],[New Pos L]]&lt;&gt;0,Table13[[#This Row],[New Pos L]],Table13[[#This Row],[New Pos R]])</f>
        <v>78</v>
      </c>
      <c r="H2310">
        <f>IF(AND(Table13[[#This Row],[Direction]]="L",Table13[[#This Row],[Steps]]&gt;G2309,G2309&lt;&gt;0),1,0)</f>
        <v>1</v>
      </c>
      <c r="I2310">
        <f>IF(AND(Table13[[#This Row],[Direction]]="R",(G2309+Table13[[#This Row],[Steps]])&gt;100),1,0)</f>
        <v>0</v>
      </c>
      <c r="J2310">
        <f>IF(Table13[[#This Row],[POS]]=0,1,0)</f>
        <v>0</v>
      </c>
      <c r="K2310">
        <f>SUM(Table13[[#This Row],[prefix]],Table13[[#This Row],[Past zero L]],Table13[[#This Row],[Past Zero R]],Table13[[#This Row],[Is Zero]])</f>
        <v>4</v>
      </c>
    </row>
    <row r="2311" spans="1:11" ht="16" x14ac:dyDescent="0.2">
      <c r="A2311" s="1" t="s">
        <v>593</v>
      </c>
      <c r="B2311" t="str">
        <f>LEFT(Table13[[#This Row],[Input]],1)</f>
        <v>R</v>
      </c>
      <c r="C2311">
        <f>_xlfn.LET(_xlpm.steps,SUBSTITUTE(Table13[[#This Row],[Input]],Table13[[#This Row],[Direction]],""),VALUE(IF(LEN(_xlpm.steps)&gt;2,RIGHT(_xlpm.steps,2),_xlpm.steps)))</f>
        <v>22</v>
      </c>
      <c r="D2311">
        <f>_xlfn.LET(_xlpm.steps,SUBSTITUTE(Table13[[#This Row],[Input]],Table13[[#This Row],[Direction]],""),VALUE(IF(LEN(_xlpm.steps)&gt;2,LEFT(_xlpm.steps,LEN(_xlpm.steps)-2),0)))</f>
        <v>1</v>
      </c>
      <c r="E2311">
        <f>_xlfn.LET(_xlpm.dir,Table13[[#This Row],[Direction]],
IF(_xlpm.dir="L",
    IF(G2310-Table13[[#This Row],[Steps]]&lt;0,100+(G2310-Table13[[#This Row],[Steps]]),G2310-Table13[[#This Row],[Steps]]),
))</f>
        <v>0</v>
      </c>
      <c r="F2311">
        <f>_xlfn.LET(_xlpm.dir,Table13[[#This Row],[Direction]],
IF(_xlpm.dir="R",
    IF(G2310+Table13[[#This Row],[Steps]]&gt;99,(G2310+Table13[[#This Row],[Steps]])-100,G2310+Table13[[#This Row],[Steps]]),
))</f>
        <v>0</v>
      </c>
      <c r="G2311">
        <f>IF(Table13[[#This Row],[New Pos L]]&lt;&gt;0,Table13[[#This Row],[New Pos L]],Table13[[#This Row],[New Pos R]])</f>
        <v>0</v>
      </c>
      <c r="H2311">
        <f>IF(AND(Table13[[#This Row],[Direction]]="L",Table13[[#This Row],[Steps]]&gt;G2310,G2310&lt;&gt;0),1,0)</f>
        <v>0</v>
      </c>
      <c r="I2311">
        <f>IF(AND(Table13[[#This Row],[Direction]]="R",(G2310+Table13[[#This Row],[Steps]])&gt;100),1,0)</f>
        <v>0</v>
      </c>
      <c r="J2311">
        <f>IF(Table13[[#This Row],[POS]]=0,1,0)</f>
        <v>1</v>
      </c>
      <c r="K2311">
        <f>SUM(Table13[[#This Row],[prefix]],Table13[[#This Row],[Past zero L]],Table13[[#This Row],[Past Zero R]],Table13[[#This Row],[Is Zero]])</f>
        <v>2</v>
      </c>
    </row>
    <row r="2312" spans="1:11" ht="16" x14ac:dyDescent="0.2">
      <c r="A2312" s="1" t="s">
        <v>114</v>
      </c>
      <c r="B2312" t="str">
        <f>LEFT(Table13[[#This Row],[Input]],1)</f>
        <v>R</v>
      </c>
      <c r="C2312">
        <f>_xlfn.LET(_xlpm.steps,SUBSTITUTE(Table13[[#This Row],[Input]],Table13[[#This Row],[Direction]],""),VALUE(IF(LEN(_xlpm.steps)&gt;2,RIGHT(_xlpm.steps,2),_xlpm.steps)))</f>
        <v>70</v>
      </c>
      <c r="D2312">
        <f>_xlfn.LET(_xlpm.steps,SUBSTITUTE(Table13[[#This Row],[Input]],Table13[[#This Row],[Direction]],""),VALUE(IF(LEN(_xlpm.steps)&gt;2,LEFT(_xlpm.steps,LEN(_xlpm.steps)-2),0)))</f>
        <v>0</v>
      </c>
      <c r="E2312">
        <f>_xlfn.LET(_xlpm.dir,Table13[[#This Row],[Direction]],
IF(_xlpm.dir="L",
    IF(G2311-Table13[[#This Row],[Steps]]&lt;0,100+(G2311-Table13[[#This Row],[Steps]]),G2311-Table13[[#This Row],[Steps]]),
))</f>
        <v>0</v>
      </c>
      <c r="F2312">
        <f>_xlfn.LET(_xlpm.dir,Table13[[#This Row],[Direction]],
IF(_xlpm.dir="R",
    IF(G2311+Table13[[#This Row],[Steps]]&gt;99,(G2311+Table13[[#This Row],[Steps]])-100,G2311+Table13[[#This Row],[Steps]]),
))</f>
        <v>70</v>
      </c>
      <c r="G2312">
        <f>IF(Table13[[#This Row],[New Pos L]]&lt;&gt;0,Table13[[#This Row],[New Pos L]],Table13[[#This Row],[New Pos R]])</f>
        <v>70</v>
      </c>
      <c r="H2312">
        <f>IF(AND(Table13[[#This Row],[Direction]]="L",Table13[[#This Row],[Steps]]&gt;G2311,G2311&lt;&gt;0),1,0)</f>
        <v>0</v>
      </c>
      <c r="I2312">
        <f>IF(AND(Table13[[#This Row],[Direction]]="R",(G2311+Table13[[#This Row],[Steps]])&gt;100),1,0)</f>
        <v>0</v>
      </c>
      <c r="J2312">
        <f>IF(Table13[[#This Row],[POS]]=0,1,0)</f>
        <v>0</v>
      </c>
      <c r="K2312">
        <f>SUM(Table13[[#This Row],[prefix]],Table13[[#This Row],[Past zero L]],Table13[[#This Row],[Past Zero R]],Table13[[#This Row],[Is Zero]])</f>
        <v>0</v>
      </c>
    </row>
    <row r="2313" spans="1:11" ht="16" x14ac:dyDescent="0.2">
      <c r="A2313" s="1" t="s">
        <v>309</v>
      </c>
      <c r="B2313" t="str">
        <f>LEFT(Table13[[#This Row],[Input]],1)</f>
        <v>L</v>
      </c>
      <c r="C2313">
        <f>_xlfn.LET(_xlpm.steps,SUBSTITUTE(Table13[[#This Row],[Input]],Table13[[#This Row],[Direction]],""),VALUE(IF(LEN(_xlpm.steps)&gt;2,RIGHT(_xlpm.steps,2),_xlpm.steps)))</f>
        <v>41</v>
      </c>
      <c r="D2313">
        <f>_xlfn.LET(_xlpm.steps,SUBSTITUTE(Table13[[#This Row],[Input]],Table13[[#This Row],[Direction]],""),VALUE(IF(LEN(_xlpm.steps)&gt;2,LEFT(_xlpm.steps,LEN(_xlpm.steps)-2),0)))</f>
        <v>0</v>
      </c>
      <c r="E2313">
        <f>_xlfn.LET(_xlpm.dir,Table13[[#This Row],[Direction]],
IF(_xlpm.dir="L",
    IF(G2312-Table13[[#This Row],[Steps]]&lt;0,100+(G2312-Table13[[#This Row],[Steps]]),G2312-Table13[[#This Row],[Steps]]),
))</f>
        <v>29</v>
      </c>
      <c r="F2313">
        <f>_xlfn.LET(_xlpm.dir,Table13[[#This Row],[Direction]],
IF(_xlpm.dir="R",
    IF(G2312+Table13[[#This Row],[Steps]]&gt;99,(G2312+Table13[[#This Row],[Steps]])-100,G2312+Table13[[#This Row],[Steps]]),
))</f>
        <v>0</v>
      </c>
      <c r="G2313">
        <f>IF(Table13[[#This Row],[New Pos L]]&lt;&gt;0,Table13[[#This Row],[New Pos L]],Table13[[#This Row],[New Pos R]])</f>
        <v>29</v>
      </c>
      <c r="H2313">
        <f>IF(AND(Table13[[#This Row],[Direction]]="L",Table13[[#This Row],[Steps]]&gt;G2312,G2312&lt;&gt;0),1,0)</f>
        <v>0</v>
      </c>
      <c r="I2313">
        <f>IF(AND(Table13[[#This Row],[Direction]]="R",(G2312+Table13[[#This Row],[Steps]])&gt;100),1,0)</f>
        <v>0</v>
      </c>
      <c r="J2313">
        <f>IF(Table13[[#This Row],[POS]]=0,1,0)</f>
        <v>0</v>
      </c>
      <c r="K2313">
        <f>SUM(Table13[[#This Row],[prefix]],Table13[[#This Row],[Past zero L]],Table13[[#This Row],[Past Zero R]],Table13[[#This Row],[Is Zero]])</f>
        <v>0</v>
      </c>
    </row>
    <row r="2314" spans="1:11" ht="16" x14ac:dyDescent="0.2">
      <c r="A2314" s="1" t="s">
        <v>98</v>
      </c>
      <c r="B2314" t="str">
        <f>LEFT(Table13[[#This Row],[Input]],1)</f>
        <v>L</v>
      </c>
      <c r="C2314">
        <f>_xlfn.LET(_xlpm.steps,SUBSTITUTE(Table13[[#This Row],[Input]],Table13[[#This Row],[Direction]],""),VALUE(IF(LEN(_xlpm.steps)&gt;2,RIGHT(_xlpm.steps,2),_xlpm.steps)))</f>
        <v>65</v>
      </c>
      <c r="D2314">
        <f>_xlfn.LET(_xlpm.steps,SUBSTITUTE(Table13[[#This Row],[Input]],Table13[[#This Row],[Direction]],""),VALUE(IF(LEN(_xlpm.steps)&gt;2,LEFT(_xlpm.steps,LEN(_xlpm.steps)-2),0)))</f>
        <v>0</v>
      </c>
      <c r="E2314">
        <f>_xlfn.LET(_xlpm.dir,Table13[[#This Row],[Direction]],
IF(_xlpm.dir="L",
    IF(G2313-Table13[[#This Row],[Steps]]&lt;0,100+(G2313-Table13[[#This Row],[Steps]]),G2313-Table13[[#This Row],[Steps]]),
))</f>
        <v>64</v>
      </c>
      <c r="F2314">
        <f>_xlfn.LET(_xlpm.dir,Table13[[#This Row],[Direction]],
IF(_xlpm.dir="R",
    IF(G2313+Table13[[#This Row],[Steps]]&gt;99,(G2313+Table13[[#This Row],[Steps]])-100,G2313+Table13[[#This Row],[Steps]]),
))</f>
        <v>0</v>
      </c>
      <c r="G2314">
        <f>IF(Table13[[#This Row],[New Pos L]]&lt;&gt;0,Table13[[#This Row],[New Pos L]],Table13[[#This Row],[New Pos R]])</f>
        <v>64</v>
      </c>
      <c r="H2314">
        <f>IF(AND(Table13[[#This Row],[Direction]]="L",Table13[[#This Row],[Steps]]&gt;G2313,G2313&lt;&gt;0),1,0)</f>
        <v>1</v>
      </c>
      <c r="I2314">
        <f>IF(AND(Table13[[#This Row],[Direction]]="R",(G2313+Table13[[#This Row],[Steps]])&gt;100),1,0)</f>
        <v>0</v>
      </c>
      <c r="J2314">
        <f>IF(Table13[[#This Row],[POS]]=0,1,0)</f>
        <v>0</v>
      </c>
      <c r="K2314">
        <f>SUM(Table13[[#This Row],[prefix]],Table13[[#This Row],[Past zero L]],Table13[[#This Row],[Past Zero R]],Table13[[#This Row],[Is Zero]])</f>
        <v>1</v>
      </c>
    </row>
    <row r="2315" spans="1:11" ht="16" x14ac:dyDescent="0.2">
      <c r="A2315" s="1" t="s">
        <v>594</v>
      </c>
      <c r="B2315" t="str">
        <f>LEFT(Table13[[#This Row],[Input]],1)</f>
        <v>L</v>
      </c>
      <c r="C2315">
        <f>_xlfn.LET(_xlpm.steps,SUBSTITUTE(Table13[[#This Row],[Input]],Table13[[#This Row],[Direction]],""),VALUE(IF(LEN(_xlpm.steps)&gt;2,RIGHT(_xlpm.steps,2),_xlpm.steps)))</f>
        <v>7</v>
      </c>
      <c r="D2315">
        <f>_xlfn.LET(_xlpm.steps,SUBSTITUTE(Table13[[#This Row],[Input]],Table13[[#This Row],[Direction]],""),VALUE(IF(LEN(_xlpm.steps)&gt;2,LEFT(_xlpm.steps,LEN(_xlpm.steps)-2),0)))</f>
        <v>6</v>
      </c>
      <c r="E2315">
        <f>_xlfn.LET(_xlpm.dir,Table13[[#This Row],[Direction]],
IF(_xlpm.dir="L",
    IF(G2314-Table13[[#This Row],[Steps]]&lt;0,100+(G2314-Table13[[#This Row],[Steps]]),G2314-Table13[[#This Row],[Steps]]),
))</f>
        <v>57</v>
      </c>
      <c r="F2315">
        <f>_xlfn.LET(_xlpm.dir,Table13[[#This Row],[Direction]],
IF(_xlpm.dir="R",
    IF(G2314+Table13[[#This Row],[Steps]]&gt;99,(G2314+Table13[[#This Row],[Steps]])-100,G2314+Table13[[#This Row],[Steps]]),
))</f>
        <v>0</v>
      </c>
      <c r="G2315">
        <f>IF(Table13[[#This Row],[New Pos L]]&lt;&gt;0,Table13[[#This Row],[New Pos L]],Table13[[#This Row],[New Pos R]])</f>
        <v>57</v>
      </c>
      <c r="H2315">
        <f>IF(AND(Table13[[#This Row],[Direction]]="L",Table13[[#This Row],[Steps]]&gt;G2314,G2314&lt;&gt;0),1,0)</f>
        <v>0</v>
      </c>
      <c r="I2315">
        <f>IF(AND(Table13[[#This Row],[Direction]]="R",(G2314+Table13[[#This Row],[Steps]])&gt;100),1,0)</f>
        <v>0</v>
      </c>
      <c r="J2315">
        <f>IF(Table13[[#This Row],[POS]]=0,1,0)</f>
        <v>0</v>
      </c>
      <c r="K2315">
        <f>SUM(Table13[[#This Row],[prefix]],Table13[[#This Row],[Past zero L]],Table13[[#This Row],[Past Zero R]],Table13[[#This Row],[Is Zero]])</f>
        <v>6</v>
      </c>
    </row>
    <row r="2316" spans="1:11" ht="16" x14ac:dyDescent="0.2">
      <c r="A2316" s="1" t="s">
        <v>344</v>
      </c>
      <c r="B2316" t="str">
        <f>LEFT(Table13[[#This Row],[Input]],1)</f>
        <v>R</v>
      </c>
      <c r="C2316">
        <f>_xlfn.LET(_xlpm.steps,SUBSTITUTE(Table13[[#This Row],[Input]],Table13[[#This Row],[Direction]],""),VALUE(IF(LEN(_xlpm.steps)&gt;2,RIGHT(_xlpm.steps,2),_xlpm.steps)))</f>
        <v>9</v>
      </c>
      <c r="D2316">
        <f>_xlfn.LET(_xlpm.steps,SUBSTITUTE(Table13[[#This Row],[Input]],Table13[[#This Row],[Direction]],""),VALUE(IF(LEN(_xlpm.steps)&gt;2,LEFT(_xlpm.steps,LEN(_xlpm.steps)-2),0)))</f>
        <v>0</v>
      </c>
      <c r="E2316">
        <f>_xlfn.LET(_xlpm.dir,Table13[[#This Row],[Direction]],
IF(_xlpm.dir="L",
    IF(G2315-Table13[[#This Row],[Steps]]&lt;0,100+(G2315-Table13[[#This Row],[Steps]]),G2315-Table13[[#This Row],[Steps]]),
))</f>
        <v>0</v>
      </c>
      <c r="F2316">
        <f>_xlfn.LET(_xlpm.dir,Table13[[#This Row],[Direction]],
IF(_xlpm.dir="R",
    IF(G2315+Table13[[#This Row],[Steps]]&gt;99,(G2315+Table13[[#This Row],[Steps]])-100,G2315+Table13[[#This Row],[Steps]]),
))</f>
        <v>66</v>
      </c>
      <c r="G2316">
        <f>IF(Table13[[#This Row],[New Pos L]]&lt;&gt;0,Table13[[#This Row],[New Pos L]],Table13[[#This Row],[New Pos R]])</f>
        <v>66</v>
      </c>
      <c r="H2316">
        <f>IF(AND(Table13[[#This Row],[Direction]]="L",Table13[[#This Row],[Steps]]&gt;G2315,G2315&lt;&gt;0),1,0)</f>
        <v>0</v>
      </c>
      <c r="I2316">
        <f>IF(AND(Table13[[#This Row],[Direction]]="R",(G2315+Table13[[#This Row],[Steps]])&gt;100),1,0)</f>
        <v>0</v>
      </c>
      <c r="J2316">
        <f>IF(Table13[[#This Row],[POS]]=0,1,0)</f>
        <v>0</v>
      </c>
      <c r="K2316">
        <f>SUM(Table13[[#This Row],[prefix]],Table13[[#This Row],[Past zero L]],Table13[[#This Row],[Past Zero R]],Table13[[#This Row],[Is Zero]])</f>
        <v>0</v>
      </c>
    </row>
    <row r="2317" spans="1:11" ht="16" x14ac:dyDescent="0.2">
      <c r="A2317" s="1" t="s">
        <v>172</v>
      </c>
      <c r="B2317" t="str">
        <f>LEFT(Table13[[#This Row],[Input]],1)</f>
        <v>L</v>
      </c>
      <c r="C2317">
        <f>_xlfn.LET(_xlpm.steps,SUBSTITUTE(Table13[[#This Row],[Input]],Table13[[#This Row],[Direction]],""),VALUE(IF(LEN(_xlpm.steps)&gt;2,RIGHT(_xlpm.steps,2),_xlpm.steps)))</f>
        <v>66</v>
      </c>
      <c r="D2317">
        <f>_xlfn.LET(_xlpm.steps,SUBSTITUTE(Table13[[#This Row],[Input]],Table13[[#This Row],[Direction]],""),VALUE(IF(LEN(_xlpm.steps)&gt;2,LEFT(_xlpm.steps,LEN(_xlpm.steps)-2),0)))</f>
        <v>0</v>
      </c>
      <c r="E2317">
        <f>_xlfn.LET(_xlpm.dir,Table13[[#This Row],[Direction]],
IF(_xlpm.dir="L",
    IF(G2316-Table13[[#This Row],[Steps]]&lt;0,100+(G2316-Table13[[#This Row],[Steps]]),G2316-Table13[[#This Row],[Steps]]),
))</f>
        <v>0</v>
      </c>
      <c r="F2317">
        <f>_xlfn.LET(_xlpm.dir,Table13[[#This Row],[Direction]],
IF(_xlpm.dir="R",
    IF(G2316+Table13[[#This Row],[Steps]]&gt;99,(G2316+Table13[[#This Row],[Steps]])-100,G2316+Table13[[#This Row],[Steps]]),
))</f>
        <v>0</v>
      </c>
      <c r="G2317">
        <f>IF(Table13[[#This Row],[New Pos L]]&lt;&gt;0,Table13[[#This Row],[New Pos L]],Table13[[#This Row],[New Pos R]])</f>
        <v>0</v>
      </c>
      <c r="H2317">
        <f>IF(AND(Table13[[#This Row],[Direction]]="L",Table13[[#This Row],[Steps]]&gt;G2316,G2316&lt;&gt;0),1,0)</f>
        <v>0</v>
      </c>
      <c r="I2317">
        <f>IF(AND(Table13[[#This Row],[Direction]]="R",(G2316+Table13[[#This Row],[Steps]])&gt;100),1,0)</f>
        <v>0</v>
      </c>
      <c r="J2317">
        <f>IF(Table13[[#This Row],[POS]]=0,1,0)</f>
        <v>1</v>
      </c>
      <c r="K2317">
        <f>SUM(Table13[[#This Row],[prefix]],Table13[[#This Row],[Past zero L]],Table13[[#This Row],[Past Zero R]],Table13[[#This Row],[Is Zero]])</f>
        <v>1</v>
      </c>
    </row>
    <row r="2318" spans="1:11" ht="16" x14ac:dyDescent="0.2">
      <c r="A2318" s="1" t="s">
        <v>72</v>
      </c>
      <c r="B2318" t="str">
        <f>LEFT(Table13[[#This Row],[Input]],1)</f>
        <v>R</v>
      </c>
      <c r="C2318">
        <f>_xlfn.LET(_xlpm.steps,SUBSTITUTE(Table13[[#This Row],[Input]],Table13[[#This Row],[Direction]],""),VALUE(IF(LEN(_xlpm.steps)&gt;2,RIGHT(_xlpm.steps,2),_xlpm.steps)))</f>
        <v>43</v>
      </c>
      <c r="D2318">
        <f>_xlfn.LET(_xlpm.steps,SUBSTITUTE(Table13[[#This Row],[Input]],Table13[[#This Row],[Direction]],""),VALUE(IF(LEN(_xlpm.steps)&gt;2,LEFT(_xlpm.steps,LEN(_xlpm.steps)-2),0)))</f>
        <v>0</v>
      </c>
      <c r="E2318">
        <f>_xlfn.LET(_xlpm.dir,Table13[[#This Row],[Direction]],
IF(_xlpm.dir="L",
    IF(G2317-Table13[[#This Row],[Steps]]&lt;0,100+(G2317-Table13[[#This Row],[Steps]]),G2317-Table13[[#This Row],[Steps]]),
))</f>
        <v>0</v>
      </c>
      <c r="F2318">
        <f>_xlfn.LET(_xlpm.dir,Table13[[#This Row],[Direction]],
IF(_xlpm.dir="R",
    IF(G2317+Table13[[#This Row],[Steps]]&gt;99,(G2317+Table13[[#This Row],[Steps]])-100,G2317+Table13[[#This Row],[Steps]]),
))</f>
        <v>43</v>
      </c>
      <c r="G2318">
        <f>IF(Table13[[#This Row],[New Pos L]]&lt;&gt;0,Table13[[#This Row],[New Pos L]],Table13[[#This Row],[New Pos R]])</f>
        <v>43</v>
      </c>
      <c r="H2318">
        <f>IF(AND(Table13[[#This Row],[Direction]]="L",Table13[[#This Row],[Steps]]&gt;G2317,G2317&lt;&gt;0),1,0)</f>
        <v>0</v>
      </c>
      <c r="I2318">
        <f>IF(AND(Table13[[#This Row],[Direction]]="R",(G2317+Table13[[#This Row],[Steps]])&gt;100),1,0)</f>
        <v>0</v>
      </c>
      <c r="J2318">
        <f>IF(Table13[[#This Row],[POS]]=0,1,0)</f>
        <v>0</v>
      </c>
      <c r="K2318">
        <f>SUM(Table13[[#This Row],[prefix]],Table13[[#This Row],[Past zero L]],Table13[[#This Row],[Past Zero R]],Table13[[#This Row],[Is Zero]])</f>
        <v>0</v>
      </c>
    </row>
    <row r="2319" spans="1:11" ht="16" x14ac:dyDescent="0.2">
      <c r="A2319" s="1" t="s">
        <v>104</v>
      </c>
      <c r="B2319" t="str">
        <f>LEFT(Table13[[#This Row],[Input]],1)</f>
        <v>R</v>
      </c>
      <c r="C2319">
        <f>_xlfn.LET(_xlpm.steps,SUBSTITUTE(Table13[[#This Row],[Input]],Table13[[#This Row],[Direction]],""),VALUE(IF(LEN(_xlpm.steps)&gt;2,RIGHT(_xlpm.steps,2),_xlpm.steps)))</f>
        <v>59</v>
      </c>
      <c r="D2319">
        <f>_xlfn.LET(_xlpm.steps,SUBSTITUTE(Table13[[#This Row],[Input]],Table13[[#This Row],[Direction]],""),VALUE(IF(LEN(_xlpm.steps)&gt;2,LEFT(_xlpm.steps,LEN(_xlpm.steps)-2),0)))</f>
        <v>0</v>
      </c>
      <c r="E2319">
        <f>_xlfn.LET(_xlpm.dir,Table13[[#This Row],[Direction]],
IF(_xlpm.dir="L",
    IF(G2318-Table13[[#This Row],[Steps]]&lt;0,100+(G2318-Table13[[#This Row],[Steps]]),G2318-Table13[[#This Row],[Steps]]),
))</f>
        <v>0</v>
      </c>
      <c r="F2319">
        <f>_xlfn.LET(_xlpm.dir,Table13[[#This Row],[Direction]],
IF(_xlpm.dir="R",
    IF(G2318+Table13[[#This Row],[Steps]]&gt;99,(G2318+Table13[[#This Row],[Steps]])-100,G2318+Table13[[#This Row],[Steps]]),
))</f>
        <v>2</v>
      </c>
      <c r="G2319">
        <f>IF(Table13[[#This Row],[New Pos L]]&lt;&gt;0,Table13[[#This Row],[New Pos L]],Table13[[#This Row],[New Pos R]])</f>
        <v>2</v>
      </c>
      <c r="H2319">
        <f>IF(AND(Table13[[#This Row],[Direction]]="L",Table13[[#This Row],[Steps]]&gt;G2318,G2318&lt;&gt;0),1,0)</f>
        <v>0</v>
      </c>
      <c r="I2319">
        <f>IF(AND(Table13[[#This Row],[Direction]]="R",(G2318+Table13[[#This Row],[Steps]])&gt;100),1,0)</f>
        <v>1</v>
      </c>
      <c r="J2319">
        <f>IF(Table13[[#This Row],[POS]]=0,1,0)</f>
        <v>0</v>
      </c>
      <c r="K2319">
        <f>SUM(Table13[[#This Row],[prefix]],Table13[[#This Row],[Past zero L]],Table13[[#This Row],[Past Zero R]],Table13[[#This Row],[Is Zero]])</f>
        <v>1</v>
      </c>
    </row>
    <row r="2320" spans="1:11" ht="16" x14ac:dyDescent="0.2">
      <c r="A2320" s="1" t="s">
        <v>105</v>
      </c>
      <c r="B2320" t="str">
        <f>LEFT(Table13[[#This Row],[Input]],1)</f>
        <v>R</v>
      </c>
      <c r="C2320">
        <f>_xlfn.LET(_xlpm.steps,SUBSTITUTE(Table13[[#This Row],[Input]],Table13[[#This Row],[Direction]],""),VALUE(IF(LEN(_xlpm.steps)&gt;2,RIGHT(_xlpm.steps,2),_xlpm.steps)))</f>
        <v>98</v>
      </c>
      <c r="D2320">
        <f>_xlfn.LET(_xlpm.steps,SUBSTITUTE(Table13[[#This Row],[Input]],Table13[[#This Row],[Direction]],""),VALUE(IF(LEN(_xlpm.steps)&gt;2,LEFT(_xlpm.steps,LEN(_xlpm.steps)-2),0)))</f>
        <v>0</v>
      </c>
      <c r="E2320">
        <f>_xlfn.LET(_xlpm.dir,Table13[[#This Row],[Direction]],
IF(_xlpm.dir="L",
    IF(G2319-Table13[[#This Row],[Steps]]&lt;0,100+(G2319-Table13[[#This Row],[Steps]]),G2319-Table13[[#This Row],[Steps]]),
))</f>
        <v>0</v>
      </c>
      <c r="F2320">
        <f>_xlfn.LET(_xlpm.dir,Table13[[#This Row],[Direction]],
IF(_xlpm.dir="R",
    IF(G2319+Table13[[#This Row],[Steps]]&gt;99,(G2319+Table13[[#This Row],[Steps]])-100,G2319+Table13[[#This Row],[Steps]]),
))</f>
        <v>0</v>
      </c>
      <c r="G2320">
        <f>IF(Table13[[#This Row],[New Pos L]]&lt;&gt;0,Table13[[#This Row],[New Pos L]],Table13[[#This Row],[New Pos R]])</f>
        <v>0</v>
      </c>
      <c r="H2320">
        <f>IF(AND(Table13[[#This Row],[Direction]]="L",Table13[[#This Row],[Steps]]&gt;G2319,G2319&lt;&gt;0),1,0)</f>
        <v>0</v>
      </c>
      <c r="I2320">
        <f>IF(AND(Table13[[#This Row],[Direction]]="R",(G2319+Table13[[#This Row],[Steps]])&gt;100),1,0)</f>
        <v>0</v>
      </c>
      <c r="J2320">
        <f>IF(Table13[[#This Row],[POS]]=0,1,0)</f>
        <v>1</v>
      </c>
      <c r="K2320">
        <f>SUM(Table13[[#This Row],[prefix]],Table13[[#This Row],[Past zero L]],Table13[[#This Row],[Past Zero R]],Table13[[#This Row],[Is Zero]])</f>
        <v>1</v>
      </c>
    </row>
    <row r="2321" spans="1:11" ht="16" x14ac:dyDescent="0.2">
      <c r="A2321" s="1" t="s">
        <v>119</v>
      </c>
      <c r="B2321" t="str">
        <f>LEFT(Table13[[#This Row],[Input]],1)</f>
        <v>L</v>
      </c>
      <c r="C2321">
        <f>_xlfn.LET(_xlpm.steps,SUBSTITUTE(Table13[[#This Row],[Input]],Table13[[#This Row],[Direction]],""),VALUE(IF(LEN(_xlpm.steps)&gt;2,RIGHT(_xlpm.steps,2),_xlpm.steps)))</f>
        <v>77</v>
      </c>
      <c r="D2321">
        <f>_xlfn.LET(_xlpm.steps,SUBSTITUTE(Table13[[#This Row],[Input]],Table13[[#This Row],[Direction]],""),VALUE(IF(LEN(_xlpm.steps)&gt;2,LEFT(_xlpm.steps,LEN(_xlpm.steps)-2),0)))</f>
        <v>0</v>
      </c>
      <c r="E2321">
        <f>_xlfn.LET(_xlpm.dir,Table13[[#This Row],[Direction]],
IF(_xlpm.dir="L",
    IF(G2320-Table13[[#This Row],[Steps]]&lt;0,100+(G2320-Table13[[#This Row],[Steps]]),G2320-Table13[[#This Row],[Steps]]),
))</f>
        <v>23</v>
      </c>
      <c r="F2321">
        <f>_xlfn.LET(_xlpm.dir,Table13[[#This Row],[Direction]],
IF(_xlpm.dir="R",
    IF(G2320+Table13[[#This Row],[Steps]]&gt;99,(G2320+Table13[[#This Row],[Steps]])-100,G2320+Table13[[#This Row],[Steps]]),
))</f>
        <v>0</v>
      </c>
      <c r="G2321">
        <f>IF(Table13[[#This Row],[New Pos L]]&lt;&gt;0,Table13[[#This Row],[New Pos L]],Table13[[#This Row],[New Pos R]])</f>
        <v>23</v>
      </c>
      <c r="H2321">
        <f>IF(AND(Table13[[#This Row],[Direction]]="L",Table13[[#This Row],[Steps]]&gt;G2320,G2320&lt;&gt;0),1,0)</f>
        <v>0</v>
      </c>
      <c r="I2321">
        <f>IF(AND(Table13[[#This Row],[Direction]]="R",(G2320+Table13[[#This Row],[Steps]])&gt;100),1,0)</f>
        <v>0</v>
      </c>
      <c r="J2321">
        <f>IF(Table13[[#This Row],[POS]]=0,1,0)</f>
        <v>0</v>
      </c>
      <c r="K2321">
        <f>SUM(Table13[[#This Row],[prefix]],Table13[[#This Row],[Past zero L]],Table13[[#This Row],[Past Zero R]],Table13[[#This Row],[Is Zero]])</f>
        <v>0</v>
      </c>
    </row>
    <row r="2322" spans="1:11" ht="16" x14ac:dyDescent="0.2">
      <c r="A2322" s="1" t="s">
        <v>79</v>
      </c>
      <c r="B2322" t="str">
        <f>LEFT(Table13[[#This Row],[Input]],1)</f>
        <v>L</v>
      </c>
      <c r="C2322">
        <f>_xlfn.LET(_xlpm.steps,SUBSTITUTE(Table13[[#This Row],[Input]],Table13[[#This Row],[Direction]],""),VALUE(IF(LEN(_xlpm.steps)&gt;2,RIGHT(_xlpm.steps,2),_xlpm.steps)))</f>
        <v>45</v>
      </c>
      <c r="D2322">
        <f>_xlfn.LET(_xlpm.steps,SUBSTITUTE(Table13[[#This Row],[Input]],Table13[[#This Row],[Direction]],""),VALUE(IF(LEN(_xlpm.steps)&gt;2,LEFT(_xlpm.steps,LEN(_xlpm.steps)-2),0)))</f>
        <v>0</v>
      </c>
      <c r="E2322">
        <f>_xlfn.LET(_xlpm.dir,Table13[[#This Row],[Direction]],
IF(_xlpm.dir="L",
    IF(G2321-Table13[[#This Row],[Steps]]&lt;0,100+(G2321-Table13[[#This Row],[Steps]]),G2321-Table13[[#This Row],[Steps]]),
))</f>
        <v>78</v>
      </c>
      <c r="F2322">
        <f>_xlfn.LET(_xlpm.dir,Table13[[#This Row],[Direction]],
IF(_xlpm.dir="R",
    IF(G2321+Table13[[#This Row],[Steps]]&gt;99,(G2321+Table13[[#This Row],[Steps]])-100,G2321+Table13[[#This Row],[Steps]]),
))</f>
        <v>0</v>
      </c>
      <c r="G2322">
        <f>IF(Table13[[#This Row],[New Pos L]]&lt;&gt;0,Table13[[#This Row],[New Pos L]],Table13[[#This Row],[New Pos R]])</f>
        <v>78</v>
      </c>
      <c r="H2322">
        <f>IF(AND(Table13[[#This Row],[Direction]]="L",Table13[[#This Row],[Steps]]&gt;G2321,G2321&lt;&gt;0),1,0)</f>
        <v>1</v>
      </c>
      <c r="I2322">
        <f>IF(AND(Table13[[#This Row],[Direction]]="R",(G2321+Table13[[#This Row],[Steps]])&gt;100),1,0)</f>
        <v>0</v>
      </c>
      <c r="J2322">
        <f>IF(Table13[[#This Row],[POS]]=0,1,0)</f>
        <v>0</v>
      </c>
      <c r="K2322">
        <f>SUM(Table13[[#This Row],[prefix]],Table13[[#This Row],[Past zero L]],Table13[[#This Row],[Past Zero R]],Table13[[#This Row],[Is Zero]])</f>
        <v>1</v>
      </c>
    </row>
    <row r="2323" spans="1:11" ht="16" x14ac:dyDescent="0.2">
      <c r="A2323" s="1" t="s">
        <v>245</v>
      </c>
      <c r="B2323" t="str">
        <f>LEFT(Table13[[#This Row],[Input]],1)</f>
        <v>R</v>
      </c>
      <c r="C2323">
        <f>_xlfn.LET(_xlpm.steps,SUBSTITUTE(Table13[[#This Row],[Input]],Table13[[#This Row],[Direction]],""),VALUE(IF(LEN(_xlpm.steps)&gt;2,RIGHT(_xlpm.steps,2),_xlpm.steps)))</f>
        <v>71</v>
      </c>
      <c r="D2323">
        <f>_xlfn.LET(_xlpm.steps,SUBSTITUTE(Table13[[#This Row],[Input]],Table13[[#This Row],[Direction]],""),VALUE(IF(LEN(_xlpm.steps)&gt;2,LEFT(_xlpm.steps,LEN(_xlpm.steps)-2),0)))</f>
        <v>0</v>
      </c>
      <c r="E2323">
        <f>_xlfn.LET(_xlpm.dir,Table13[[#This Row],[Direction]],
IF(_xlpm.dir="L",
    IF(G2322-Table13[[#This Row],[Steps]]&lt;0,100+(G2322-Table13[[#This Row],[Steps]]),G2322-Table13[[#This Row],[Steps]]),
))</f>
        <v>0</v>
      </c>
      <c r="F2323">
        <f>_xlfn.LET(_xlpm.dir,Table13[[#This Row],[Direction]],
IF(_xlpm.dir="R",
    IF(G2322+Table13[[#This Row],[Steps]]&gt;99,(G2322+Table13[[#This Row],[Steps]])-100,G2322+Table13[[#This Row],[Steps]]),
))</f>
        <v>49</v>
      </c>
      <c r="G2323">
        <f>IF(Table13[[#This Row],[New Pos L]]&lt;&gt;0,Table13[[#This Row],[New Pos L]],Table13[[#This Row],[New Pos R]])</f>
        <v>49</v>
      </c>
      <c r="H2323">
        <f>IF(AND(Table13[[#This Row],[Direction]]="L",Table13[[#This Row],[Steps]]&gt;G2322,G2322&lt;&gt;0),1,0)</f>
        <v>0</v>
      </c>
      <c r="I2323">
        <f>IF(AND(Table13[[#This Row],[Direction]]="R",(G2322+Table13[[#This Row],[Steps]])&gt;100),1,0)</f>
        <v>1</v>
      </c>
      <c r="J2323">
        <f>IF(Table13[[#This Row],[POS]]=0,1,0)</f>
        <v>0</v>
      </c>
      <c r="K2323">
        <f>SUM(Table13[[#This Row],[prefix]],Table13[[#This Row],[Past zero L]],Table13[[#This Row],[Past Zero R]],Table13[[#This Row],[Is Zero]])</f>
        <v>1</v>
      </c>
    </row>
    <row r="2324" spans="1:11" ht="16" x14ac:dyDescent="0.2">
      <c r="A2324" s="1" t="s">
        <v>173</v>
      </c>
      <c r="B2324" t="str">
        <f>LEFT(Table13[[#This Row],[Input]],1)</f>
        <v>L</v>
      </c>
      <c r="C2324">
        <f>_xlfn.LET(_xlpm.steps,SUBSTITUTE(Table13[[#This Row],[Input]],Table13[[#This Row],[Direction]],""),VALUE(IF(LEN(_xlpm.steps)&gt;2,RIGHT(_xlpm.steps,2),_xlpm.steps)))</f>
        <v>49</v>
      </c>
      <c r="D2324">
        <f>_xlfn.LET(_xlpm.steps,SUBSTITUTE(Table13[[#This Row],[Input]],Table13[[#This Row],[Direction]],""),VALUE(IF(LEN(_xlpm.steps)&gt;2,LEFT(_xlpm.steps,LEN(_xlpm.steps)-2),0)))</f>
        <v>5</v>
      </c>
      <c r="E2324">
        <f>_xlfn.LET(_xlpm.dir,Table13[[#This Row],[Direction]],
IF(_xlpm.dir="L",
    IF(G2323-Table13[[#This Row],[Steps]]&lt;0,100+(G2323-Table13[[#This Row],[Steps]]),G2323-Table13[[#This Row],[Steps]]),
))</f>
        <v>0</v>
      </c>
      <c r="F2324">
        <f>_xlfn.LET(_xlpm.dir,Table13[[#This Row],[Direction]],
IF(_xlpm.dir="R",
    IF(G2323+Table13[[#This Row],[Steps]]&gt;99,(G2323+Table13[[#This Row],[Steps]])-100,G2323+Table13[[#This Row],[Steps]]),
))</f>
        <v>0</v>
      </c>
      <c r="G2324">
        <f>IF(Table13[[#This Row],[New Pos L]]&lt;&gt;0,Table13[[#This Row],[New Pos L]],Table13[[#This Row],[New Pos R]])</f>
        <v>0</v>
      </c>
      <c r="H2324">
        <f>IF(AND(Table13[[#This Row],[Direction]]="L",Table13[[#This Row],[Steps]]&gt;G2323,G2323&lt;&gt;0),1,0)</f>
        <v>0</v>
      </c>
      <c r="I2324">
        <f>IF(AND(Table13[[#This Row],[Direction]]="R",(G2323+Table13[[#This Row],[Steps]])&gt;100),1,0)</f>
        <v>0</v>
      </c>
      <c r="J2324">
        <f>IF(Table13[[#This Row],[POS]]=0,1,0)</f>
        <v>1</v>
      </c>
      <c r="K2324">
        <f>SUM(Table13[[#This Row],[prefix]],Table13[[#This Row],[Past zero L]],Table13[[#This Row],[Past Zero R]],Table13[[#This Row],[Is Zero]])</f>
        <v>6</v>
      </c>
    </row>
    <row r="2325" spans="1:11" ht="16" x14ac:dyDescent="0.2">
      <c r="A2325" s="1" t="s">
        <v>57</v>
      </c>
      <c r="B2325" t="str">
        <f>LEFT(Table13[[#This Row],[Input]],1)</f>
        <v>R</v>
      </c>
      <c r="C2325">
        <f>_xlfn.LET(_xlpm.steps,SUBSTITUTE(Table13[[#This Row],[Input]],Table13[[#This Row],[Direction]],""),VALUE(IF(LEN(_xlpm.steps)&gt;2,RIGHT(_xlpm.steps,2),_xlpm.steps)))</f>
        <v>29</v>
      </c>
      <c r="D2325">
        <f>_xlfn.LET(_xlpm.steps,SUBSTITUTE(Table13[[#This Row],[Input]],Table13[[#This Row],[Direction]],""),VALUE(IF(LEN(_xlpm.steps)&gt;2,LEFT(_xlpm.steps,LEN(_xlpm.steps)-2),0)))</f>
        <v>0</v>
      </c>
      <c r="E2325">
        <f>_xlfn.LET(_xlpm.dir,Table13[[#This Row],[Direction]],
IF(_xlpm.dir="L",
    IF(G2324-Table13[[#This Row],[Steps]]&lt;0,100+(G2324-Table13[[#This Row],[Steps]]),G2324-Table13[[#This Row],[Steps]]),
))</f>
        <v>0</v>
      </c>
      <c r="F2325">
        <f>_xlfn.LET(_xlpm.dir,Table13[[#This Row],[Direction]],
IF(_xlpm.dir="R",
    IF(G2324+Table13[[#This Row],[Steps]]&gt;99,(G2324+Table13[[#This Row],[Steps]])-100,G2324+Table13[[#This Row],[Steps]]),
))</f>
        <v>29</v>
      </c>
      <c r="G2325">
        <f>IF(Table13[[#This Row],[New Pos L]]&lt;&gt;0,Table13[[#This Row],[New Pos L]],Table13[[#This Row],[New Pos R]])</f>
        <v>29</v>
      </c>
      <c r="H2325">
        <f>IF(AND(Table13[[#This Row],[Direction]]="L",Table13[[#This Row],[Steps]]&gt;G2324,G2324&lt;&gt;0),1,0)</f>
        <v>0</v>
      </c>
      <c r="I2325">
        <f>IF(AND(Table13[[#This Row],[Direction]]="R",(G2324+Table13[[#This Row],[Steps]])&gt;100),1,0)</f>
        <v>0</v>
      </c>
      <c r="J2325">
        <f>IF(Table13[[#This Row],[POS]]=0,1,0)</f>
        <v>0</v>
      </c>
      <c r="K2325">
        <f>SUM(Table13[[#This Row],[prefix]],Table13[[#This Row],[Past zero L]],Table13[[#This Row],[Past Zero R]],Table13[[#This Row],[Is Zero]])</f>
        <v>0</v>
      </c>
    </row>
    <row r="2326" spans="1:11" ht="16" x14ac:dyDescent="0.2">
      <c r="A2326" s="1" t="s">
        <v>245</v>
      </c>
      <c r="B2326" t="str">
        <f>LEFT(Table13[[#This Row],[Input]],1)</f>
        <v>R</v>
      </c>
      <c r="C2326">
        <f>_xlfn.LET(_xlpm.steps,SUBSTITUTE(Table13[[#This Row],[Input]],Table13[[#This Row],[Direction]],""),VALUE(IF(LEN(_xlpm.steps)&gt;2,RIGHT(_xlpm.steps,2),_xlpm.steps)))</f>
        <v>71</v>
      </c>
      <c r="D2326">
        <f>_xlfn.LET(_xlpm.steps,SUBSTITUTE(Table13[[#This Row],[Input]],Table13[[#This Row],[Direction]],""),VALUE(IF(LEN(_xlpm.steps)&gt;2,LEFT(_xlpm.steps,LEN(_xlpm.steps)-2),0)))</f>
        <v>0</v>
      </c>
      <c r="E2326">
        <f>_xlfn.LET(_xlpm.dir,Table13[[#This Row],[Direction]],
IF(_xlpm.dir="L",
    IF(G2325-Table13[[#This Row],[Steps]]&lt;0,100+(G2325-Table13[[#This Row],[Steps]]),G2325-Table13[[#This Row],[Steps]]),
))</f>
        <v>0</v>
      </c>
      <c r="F2326">
        <f>_xlfn.LET(_xlpm.dir,Table13[[#This Row],[Direction]],
IF(_xlpm.dir="R",
    IF(G2325+Table13[[#This Row],[Steps]]&gt;99,(G2325+Table13[[#This Row],[Steps]])-100,G2325+Table13[[#This Row],[Steps]]),
))</f>
        <v>0</v>
      </c>
      <c r="G2326">
        <f>IF(Table13[[#This Row],[New Pos L]]&lt;&gt;0,Table13[[#This Row],[New Pos L]],Table13[[#This Row],[New Pos R]])</f>
        <v>0</v>
      </c>
      <c r="H2326">
        <f>IF(AND(Table13[[#This Row],[Direction]]="L",Table13[[#This Row],[Steps]]&gt;G2325,G2325&lt;&gt;0),1,0)</f>
        <v>0</v>
      </c>
      <c r="I2326">
        <f>IF(AND(Table13[[#This Row],[Direction]]="R",(G2325+Table13[[#This Row],[Steps]])&gt;100),1,0)</f>
        <v>0</v>
      </c>
      <c r="J2326">
        <f>IF(Table13[[#This Row],[POS]]=0,1,0)</f>
        <v>1</v>
      </c>
      <c r="K2326">
        <f>SUM(Table13[[#This Row],[prefix]],Table13[[#This Row],[Past zero L]],Table13[[#This Row],[Past Zero R]],Table13[[#This Row],[Is Zero]])</f>
        <v>1</v>
      </c>
    </row>
    <row r="2327" spans="1:11" ht="16" x14ac:dyDescent="0.2">
      <c r="A2327" s="1" t="s">
        <v>42</v>
      </c>
      <c r="B2327" t="str">
        <f>LEFT(Table13[[#This Row],[Input]],1)</f>
        <v>L</v>
      </c>
      <c r="C2327">
        <f>_xlfn.LET(_xlpm.steps,SUBSTITUTE(Table13[[#This Row],[Input]],Table13[[#This Row],[Direction]],""),VALUE(IF(LEN(_xlpm.steps)&gt;2,RIGHT(_xlpm.steps,2),_xlpm.steps)))</f>
        <v>27</v>
      </c>
      <c r="D2327">
        <f>_xlfn.LET(_xlpm.steps,SUBSTITUTE(Table13[[#This Row],[Input]],Table13[[#This Row],[Direction]],""),VALUE(IF(LEN(_xlpm.steps)&gt;2,LEFT(_xlpm.steps,LEN(_xlpm.steps)-2),0)))</f>
        <v>0</v>
      </c>
      <c r="E2327">
        <f>_xlfn.LET(_xlpm.dir,Table13[[#This Row],[Direction]],
IF(_xlpm.dir="L",
    IF(G2326-Table13[[#This Row],[Steps]]&lt;0,100+(G2326-Table13[[#This Row],[Steps]]),G2326-Table13[[#This Row],[Steps]]),
))</f>
        <v>73</v>
      </c>
      <c r="F2327">
        <f>_xlfn.LET(_xlpm.dir,Table13[[#This Row],[Direction]],
IF(_xlpm.dir="R",
    IF(G2326+Table13[[#This Row],[Steps]]&gt;99,(G2326+Table13[[#This Row],[Steps]])-100,G2326+Table13[[#This Row],[Steps]]),
))</f>
        <v>0</v>
      </c>
      <c r="G2327">
        <f>IF(Table13[[#This Row],[New Pos L]]&lt;&gt;0,Table13[[#This Row],[New Pos L]],Table13[[#This Row],[New Pos R]])</f>
        <v>73</v>
      </c>
      <c r="H2327">
        <f>IF(AND(Table13[[#This Row],[Direction]]="L",Table13[[#This Row],[Steps]]&gt;G2326,G2326&lt;&gt;0),1,0)</f>
        <v>0</v>
      </c>
      <c r="I2327">
        <f>IF(AND(Table13[[#This Row],[Direction]]="R",(G2326+Table13[[#This Row],[Steps]])&gt;100),1,0)</f>
        <v>0</v>
      </c>
      <c r="J2327">
        <f>IF(Table13[[#This Row],[POS]]=0,1,0)</f>
        <v>0</v>
      </c>
      <c r="K2327">
        <f>SUM(Table13[[#This Row],[prefix]],Table13[[#This Row],[Past zero L]],Table13[[#This Row],[Past Zero R]],Table13[[#This Row],[Is Zero]])</f>
        <v>0</v>
      </c>
    </row>
    <row r="2328" spans="1:11" ht="16" x14ac:dyDescent="0.2">
      <c r="A2328" s="1" t="s">
        <v>69</v>
      </c>
      <c r="B2328" t="str">
        <f>LEFT(Table13[[#This Row],[Input]],1)</f>
        <v>R</v>
      </c>
      <c r="C2328">
        <f>_xlfn.LET(_xlpm.steps,SUBSTITUTE(Table13[[#This Row],[Input]],Table13[[#This Row],[Direction]],""),VALUE(IF(LEN(_xlpm.steps)&gt;2,RIGHT(_xlpm.steps,2),_xlpm.steps)))</f>
        <v>27</v>
      </c>
      <c r="D2328">
        <f>_xlfn.LET(_xlpm.steps,SUBSTITUTE(Table13[[#This Row],[Input]],Table13[[#This Row],[Direction]],""),VALUE(IF(LEN(_xlpm.steps)&gt;2,LEFT(_xlpm.steps,LEN(_xlpm.steps)-2),0)))</f>
        <v>0</v>
      </c>
      <c r="E2328">
        <f>_xlfn.LET(_xlpm.dir,Table13[[#This Row],[Direction]],
IF(_xlpm.dir="L",
    IF(G2327-Table13[[#This Row],[Steps]]&lt;0,100+(G2327-Table13[[#This Row],[Steps]]),G2327-Table13[[#This Row],[Steps]]),
))</f>
        <v>0</v>
      </c>
      <c r="F2328">
        <f>_xlfn.LET(_xlpm.dir,Table13[[#This Row],[Direction]],
IF(_xlpm.dir="R",
    IF(G2327+Table13[[#This Row],[Steps]]&gt;99,(G2327+Table13[[#This Row],[Steps]])-100,G2327+Table13[[#This Row],[Steps]]),
))</f>
        <v>0</v>
      </c>
      <c r="G2328">
        <f>IF(Table13[[#This Row],[New Pos L]]&lt;&gt;0,Table13[[#This Row],[New Pos L]],Table13[[#This Row],[New Pos R]])</f>
        <v>0</v>
      </c>
      <c r="H2328">
        <f>IF(AND(Table13[[#This Row],[Direction]]="L",Table13[[#This Row],[Steps]]&gt;G2327,G2327&lt;&gt;0),1,0)</f>
        <v>0</v>
      </c>
      <c r="I2328">
        <f>IF(AND(Table13[[#This Row],[Direction]]="R",(G2327+Table13[[#This Row],[Steps]])&gt;100),1,0)</f>
        <v>0</v>
      </c>
      <c r="J2328">
        <f>IF(Table13[[#This Row],[POS]]=0,1,0)</f>
        <v>1</v>
      </c>
      <c r="K2328">
        <f>SUM(Table13[[#This Row],[prefix]],Table13[[#This Row],[Past zero L]],Table13[[#This Row],[Past Zero R]],Table13[[#This Row],[Is Zero]])</f>
        <v>1</v>
      </c>
    </row>
    <row r="2329" spans="1:11" ht="16" x14ac:dyDescent="0.2">
      <c r="A2329" s="1" t="s">
        <v>89</v>
      </c>
      <c r="B2329" t="str">
        <f>LEFT(Table13[[#This Row],[Input]],1)</f>
        <v>L</v>
      </c>
      <c r="C2329">
        <f>_xlfn.LET(_xlpm.steps,SUBSTITUTE(Table13[[#This Row],[Input]],Table13[[#This Row],[Direction]],""),VALUE(IF(LEN(_xlpm.steps)&gt;2,RIGHT(_xlpm.steps,2),_xlpm.steps)))</f>
        <v>91</v>
      </c>
      <c r="D2329">
        <f>_xlfn.LET(_xlpm.steps,SUBSTITUTE(Table13[[#This Row],[Input]],Table13[[#This Row],[Direction]],""),VALUE(IF(LEN(_xlpm.steps)&gt;2,LEFT(_xlpm.steps,LEN(_xlpm.steps)-2),0)))</f>
        <v>0</v>
      </c>
      <c r="E2329">
        <f>_xlfn.LET(_xlpm.dir,Table13[[#This Row],[Direction]],
IF(_xlpm.dir="L",
    IF(G2328-Table13[[#This Row],[Steps]]&lt;0,100+(G2328-Table13[[#This Row],[Steps]]),G2328-Table13[[#This Row],[Steps]]),
))</f>
        <v>9</v>
      </c>
      <c r="F2329">
        <f>_xlfn.LET(_xlpm.dir,Table13[[#This Row],[Direction]],
IF(_xlpm.dir="R",
    IF(G2328+Table13[[#This Row],[Steps]]&gt;99,(G2328+Table13[[#This Row],[Steps]])-100,G2328+Table13[[#This Row],[Steps]]),
))</f>
        <v>0</v>
      </c>
      <c r="G2329">
        <f>IF(Table13[[#This Row],[New Pos L]]&lt;&gt;0,Table13[[#This Row],[New Pos L]],Table13[[#This Row],[New Pos R]])</f>
        <v>9</v>
      </c>
      <c r="H2329">
        <f>IF(AND(Table13[[#This Row],[Direction]]="L",Table13[[#This Row],[Steps]]&gt;G2328,G2328&lt;&gt;0),1,0)</f>
        <v>0</v>
      </c>
      <c r="I2329">
        <f>IF(AND(Table13[[#This Row],[Direction]]="R",(G2328+Table13[[#This Row],[Steps]])&gt;100),1,0)</f>
        <v>0</v>
      </c>
      <c r="J2329">
        <f>IF(Table13[[#This Row],[POS]]=0,1,0)</f>
        <v>0</v>
      </c>
      <c r="K2329">
        <f>SUM(Table13[[#This Row],[prefix]],Table13[[#This Row],[Past zero L]],Table13[[#This Row],[Past Zero R]],Table13[[#This Row],[Is Zero]])</f>
        <v>0</v>
      </c>
    </row>
    <row r="2330" spans="1:11" ht="16" x14ac:dyDescent="0.2">
      <c r="A2330" s="1" t="s">
        <v>595</v>
      </c>
      <c r="B2330" t="str">
        <f>LEFT(Table13[[#This Row],[Input]],1)</f>
        <v>L</v>
      </c>
      <c r="C2330">
        <f>_xlfn.LET(_xlpm.steps,SUBSTITUTE(Table13[[#This Row],[Input]],Table13[[#This Row],[Direction]],""),VALUE(IF(LEN(_xlpm.steps)&gt;2,RIGHT(_xlpm.steps,2),_xlpm.steps)))</f>
        <v>42</v>
      </c>
      <c r="D2330">
        <f>_xlfn.LET(_xlpm.steps,SUBSTITUTE(Table13[[#This Row],[Input]],Table13[[#This Row],[Direction]],""),VALUE(IF(LEN(_xlpm.steps)&gt;2,LEFT(_xlpm.steps,LEN(_xlpm.steps)-2),0)))</f>
        <v>9</v>
      </c>
      <c r="E2330">
        <f>_xlfn.LET(_xlpm.dir,Table13[[#This Row],[Direction]],
IF(_xlpm.dir="L",
    IF(G2329-Table13[[#This Row],[Steps]]&lt;0,100+(G2329-Table13[[#This Row],[Steps]]),G2329-Table13[[#This Row],[Steps]]),
))</f>
        <v>67</v>
      </c>
      <c r="F2330">
        <f>_xlfn.LET(_xlpm.dir,Table13[[#This Row],[Direction]],
IF(_xlpm.dir="R",
    IF(G2329+Table13[[#This Row],[Steps]]&gt;99,(G2329+Table13[[#This Row],[Steps]])-100,G2329+Table13[[#This Row],[Steps]]),
))</f>
        <v>0</v>
      </c>
      <c r="G2330">
        <f>IF(Table13[[#This Row],[New Pos L]]&lt;&gt;0,Table13[[#This Row],[New Pos L]],Table13[[#This Row],[New Pos R]])</f>
        <v>67</v>
      </c>
      <c r="H2330">
        <f>IF(AND(Table13[[#This Row],[Direction]]="L",Table13[[#This Row],[Steps]]&gt;G2329,G2329&lt;&gt;0),1,0)</f>
        <v>1</v>
      </c>
      <c r="I2330">
        <f>IF(AND(Table13[[#This Row],[Direction]]="R",(G2329+Table13[[#This Row],[Steps]])&gt;100),1,0)</f>
        <v>0</v>
      </c>
      <c r="J2330">
        <f>IF(Table13[[#This Row],[POS]]=0,1,0)</f>
        <v>0</v>
      </c>
      <c r="K2330">
        <f>SUM(Table13[[#This Row],[prefix]],Table13[[#This Row],[Past zero L]],Table13[[#This Row],[Past Zero R]],Table13[[#This Row],[Is Zero]])</f>
        <v>10</v>
      </c>
    </row>
    <row r="2331" spans="1:11" ht="16" x14ac:dyDescent="0.2">
      <c r="A2331" s="1" t="s">
        <v>67</v>
      </c>
      <c r="B2331" t="str">
        <f>LEFT(Table13[[#This Row],[Input]],1)</f>
        <v>R</v>
      </c>
      <c r="C2331">
        <f>_xlfn.LET(_xlpm.steps,SUBSTITUTE(Table13[[#This Row],[Input]],Table13[[#This Row],[Direction]],""),VALUE(IF(LEN(_xlpm.steps)&gt;2,RIGHT(_xlpm.steps,2),_xlpm.steps)))</f>
        <v>33</v>
      </c>
      <c r="D2331">
        <f>_xlfn.LET(_xlpm.steps,SUBSTITUTE(Table13[[#This Row],[Input]],Table13[[#This Row],[Direction]],""),VALUE(IF(LEN(_xlpm.steps)&gt;2,LEFT(_xlpm.steps,LEN(_xlpm.steps)-2),0)))</f>
        <v>0</v>
      </c>
      <c r="E2331">
        <f>_xlfn.LET(_xlpm.dir,Table13[[#This Row],[Direction]],
IF(_xlpm.dir="L",
    IF(G2330-Table13[[#This Row],[Steps]]&lt;0,100+(G2330-Table13[[#This Row],[Steps]]),G2330-Table13[[#This Row],[Steps]]),
))</f>
        <v>0</v>
      </c>
      <c r="F2331">
        <f>_xlfn.LET(_xlpm.dir,Table13[[#This Row],[Direction]],
IF(_xlpm.dir="R",
    IF(G2330+Table13[[#This Row],[Steps]]&gt;99,(G2330+Table13[[#This Row],[Steps]])-100,G2330+Table13[[#This Row],[Steps]]),
))</f>
        <v>0</v>
      </c>
      <c r="G2331">
        <f>IF(Table13[[#This Row],[New Pos L]]&lt;&gt;0,Table13[[#This Row],[New Pos L]],Table13[[#This Row],[New Pos R]])</f>
        <v>0</v>
      </c>
      <c r="H2331">
        <f>IF(AND(Table13[[#This Row],[Direction]]="L",Table13[[#This Row],[Steps]]&gt;G2330,G2330&lt;&gt;0),1,0)</f>
        <v>0</v>
      </c>
      <c r="I2331">
        <f>IF(AND(Table13[[#This Row],[Direction]]="R",(G2330+Table13[[#This Row],[Steps]])&gt;100),1,0)</f>
        <v>0</v>
      </c>
      <c r="J2331">
        <f>IF(Table13[[#This Row],[POS]]=0,1,0)</f>
        <v>1</v>
      </c>
      <c r="K2331">
        <f>SUM(Table13[[#This Row],[prefix]],Table13[[#This Row],[Past zero L]],Table13[[#This Row],[Past Zero R]],Table13[[#This Row],[Is Zero]])</f>
        <v>1</v>
      </c>
    </row>
    <row r="2332" spans="1:11" ht="16" x14ac:dyDescent="0.2">
      <c r="A2332" s="1" t="s">
        <v>300</v>
      </c>
      <c r="B2332" t="str">
        <f>LEFT(Table13[[#This Row],[Input]],1)</f>
        <v>R</v>
      </c>
      <c r="C2332">
        <f>_xlfn.LET(_xlpm.steps,SUBSTITUTE(Table13[[#This Row],[Input]],Table13[[#This Row],[Direction]],""),VALUE(IF(LEN(_xlpm.steps)&gt;2,RIGHT(_xlpm.steps,2),_xlpm.steps)))</f>
        <v>43</v>
      </c>
      <c r="D2332">
        <f>_xlfn.LET(_xlpm.steps,SUBSTITUTE(Table13[[#This Row],[Input]],Table13[[#This Row],[Direction]],""),VALUE(IF(LEN(_xlpm.steps)&gt;2,LEFT(_xlpm.steps,LEN(_xlpm.steps)-2),0)))</f>
        <v>8</v>
      </c>
      <c r="E2332">
        <f>_xlfn.LET(_xlpm.dir,Table13[[#This Row],[Direction]],
IF(_xlpm.dir="L",
    IF(G2331-Table13[[#This Row],[Steps]]&lt;0,100+(G2331-Table13[[#This Row],[Steps]]),G2331-Table13[[#This Row],[Steps]]),
))</f>
        <v>0</v>
      </c>
      <c r="F2332">
        <f>_xlfn.LET(_xlpm.dir,Table13[[#This Row],[Direction]],
IF(_xlpm.dir="R",
    IF(G2331+Table13[[#This Row],[Steps]]&gt;99,(G2331+Table13[[#This Row],[Steps]])-100,G2331+Table13[[#This Row],[Steps]]),
))</f>
        <v>43</v>
      </c>
      <c r="G2332">
        <f>IF(Table13[[#This Row],[New Pos L]]&lt;&gt;0,Table13[[#This Row],[New Pos L]],Table13[[#This Row],[New Pos R]])</f>
        <v>43</v>
      </c>
      <c r="H2332">
        <f>IF(AND(Table13[[#This Row],[Direction]]="L",Table13[[#This Row],[Steps]]&gt;G2331,G2331&lt;&gt;0),1,0)</f>
        <v>0</v>
      </c>
      <c r="I2332">
        <f>IF(AND(Table13[[#This Row],[Direction]]="R",(G2331+Table13[[#This Row],[Steps]])&gt;100),1,0)</f>
        <v>0</v>
      </c>
      <c r="J2332">
        <f>IF(Table13[[#This Row],[POS]]=0,1,0)</f>
        <v>0</v>
      </c>
      <c r="K2332">
        <f>SUM(Table13[[#This Row],[prefix]],Table13[[#This Row],[Past zero L]],Table13[[#This Row],[Past Zero R]],Table13[[#This Row],[Is Zero]])</f>
        <v>8</v>
      </c>
    </row>
    <row r="2333" spans="1:11" ht="16" x14ac:dyDescent="0.2">
      <c r="A2333" s="1" t="s">
        <v>63</v>
      </c>
      <c r="B2333" t="str">
        <f>LEFT(Table13[[#This Row],[Input]],1)</f>
        <v>R</v>
      </c>
      <c r="C2333">
        <f>_xlfn.LET(_xlpm.steps,SUBSTITUTE(Table13[[#This Row],[Input]],Table13[[#This Row],[Direction]],""),VALUE(IF(LEN(_xlpm.steps)&gt;2,RIGHT(_xlpm.steps,2),_xlpm.steps)))</f>
        <v>57</v>
      </c>
      <c r="D2333">
        <f>_xlfn.LET(_xlpm.steps,SUBSTITUTE(Table13[[#This Row],[Input]],Table13[[#This Row],[Direction]],""),VALUE(IF(LEN(_xlpm.steps)&gt;2,LEFT(_xlpm.steps,LEN(_xlpm.steps)-2),0)))</f>
        <v>0</v>
      </c>
      <c r="E2333">
        <f>_xlfn.LET(_xlpm.dir,Table13[[#This Row],[Direction]],
IF(_xlpm.dir="L",
    IF(G2332-Table13[[#This Row],[Steps]]&lt;0,100+(G2332-Table13[[#This Row],[Steps]]),G2332-Table13[[#This Row],[Steps]]),
))</f>
        <v>0</v>
      </c>
      <c r="F2333">
        <f>_xlfn.LET(_xlpm.dir,Table13[[#This Row],[Direction]],
IF(_xlpm.dir="R",
    IF(G2332+Table13[[#This Row],[Steps]]&gt;99,(G2332+Table13[[#This Row],[Steps]])-100,G2332+Table13[[#This Row],[Steps]]),
))</f>
        <v>0</v>
      </c>
      <c r="G2333">
        <f>IF(Table13[[#This Row],[New Pos L]]&lt;&gt;0,Table13[[#This Row],[New Pos L]],Table13[[#This Row],[New Pos R]])</f>
        <v>0</v>
      </c>
      <c r="H2333">
        <f>IF(AND(Table13[[#This Row],[Direction]]="L",Table13[[#This Row],[Steps]]&gt;G2332,G2332&lt;&gt;0),1,0)</f>
        <v>0</v>
      </c>
      <c r="I2333">
        <f>IF(AND(Table13[[#This Row],[Direction]]="R",(G2332+Table13[[#This Row],[Steps]])&gt;100),1,0)</f>
        <v>0</v>
      </c>
      <c r="J2333">
        <f>IF(Table13[[#This Row],[POS]]=0,1,0)</f>
        <v>1</v>
      </c>
      <c r="K2333">
        <f>SUM(Table13[[#This Row],[prefix]],Table13[[#This Row],[Past zero L]],Table13[[#This Row],[Past Zero R]],Table13[[#This Row],[Is Zero]])</f>
        <v>1</v>
      </c>
    </row>
    <row r="2334" spans="1:11" ht="16" x14ac:dyDescent="0.2">
      <c r="A2334" s="1" t="s">
        <v>226</v>
      </c>
      <c r="B2334" t="str">
        <f>LEFT(Table13[[#This Row],[Input]],1)</f>
        <v>L</v>
      </c>
      <c r="C2334">
        <f>_xlfn.LET(_xlpm.steps,SUBSTITUTE(Table13[[#This Row],[Input]],Table13[[#This Row],[Direction]],""),VALUE(IF(LEN(_xlpm.steps)&gt;2,RIGHT(_xlpm.steps,2),_xlpm.steps)))</f>
        <v>31</v>
      </c>
      <c r="D2334">
        <f>_xlfn.LET(_xlpm.steps,SUBSTITUTE(Table13[[#This Row],[Input]],Table13[[#This Row],[Direction]],""),VALUE(IF(LEN(_xlpm.steps)&gt;2,LEFT(_xlpm.steps,LEN(_xlpm.steps)-2),0)))</f>
        <v>0</v>
      </c>
      <c r="E2334">
        <f>_xlfn.LET(_xlpm.dir,Table13[[#This Row],[Direction]],
IF(_xlpm.dir="L",
    IF(G2333-Table13[[#This Row],[Steps]]&lt;0,100+(G2333-Table13[[#This Row],[Steps]]),G2333-Table13[[#This Row],[Steps]]),
))</f>
        <v>69</v>
      </c>
      <c r="F2334">
        <f>_xlfn.LET(_xlpm.dir,Table13[[#This Row],[Direction]],
IF(_xlpm.dir="R",
    IF(G2333+Table13[[#This Row],[Steps]]&gt;99,(G2333+Table13[[#This Row],[Steps]])-100,G2333+Table13[[#This Row],[Steps]]),
))</f>
        <v>0</v>
      </c>
      <c r="G2334">
        <f>IF(Table13[[#This Row],[New Pos L]]&lt;&gt;0,Table13[[#This Row],[New Pos L]],Table13[[#This Row],[New Pos R]])</f>
        <v>69</v>
      </c>
      <c r="H2334">
        <f>IF(AND(Table13[[#This Row],[Direction]]="L",Table13[[#This Row],[Steps]]&gt;G2333,G2333&lt;&gt;0),1,0)</f>
        <v>0</v>
      </c>
      <c r="I2334">
        <f>IF(AND(Table13[[#This Row],[Direction]]="R",(G2333+Table13[[#This Row],[Steps]])&gt;100),1,0)</f>
        <v>0</v>
      </c>
      <c r="J2334">
        <f>IF(Table13[[#This Row],[POS]]=0,1,0)</f>
        <v>0</v>
      </c>
      <c r="K2334">
        <f>SUM(Table13[[#This Row],[prefix]],Table13[[#This Row],[Past zero L]],Table13[[#This Row],[Past Zero R]],Table13[[#This Row],[Is Zero]])</f>
        <v>0</v>
      </c>
    </row>
    <row r="2335" spans="1:11" ht="16" x14ac:dyDescent="0.2">
      <c r="A2335" s="1" t="s">
        <v>16</v>
      </c>
      <c r="B2335" t="str">
        <f>LEFT(Table13[[#This Row],[Input]],1)</f>
        <v>L</v>
      </c>
      <c r="C2335">
        <f>_xlfn.LET(_xlpm.steps,SUBSTITUTE(Table13[[#This Row],[Input]],Table13[[#This Row],[Direction]],""),VALUE(IF(LEN(_xlpm.steps)&gt;2,RIGHT(_xlpm.steps,2),_xlpm.steps)))</f>
        <v>10</v>
      </c>
      <c r="D2335">
        <f>_xlfn.LET(_xlpm.steps,SUBSTITUTE(Table13[[#This Row],[Input]],Table13[[#This Row],[Direction]],""),VALUE(IF(LEN(_xlpm.steps)&gt;2,LEFT(_xlpm.steps,LEN(_xlpm.steps)-2),0)))</f>
        <v>0</v>
      </c>
      <c r="E2335">
        <f>_xlfn.LET(_xlpm.dir,Table13[[#This Row],[Direction]],
IF(_xlpm.dir="L",
    IF(G2334-Table13[[#This Row],[Steps]]&lt;0,100+(G2334-Table13[[#This Row],[Steps]]),G2334-Table13[[#This Row],[Steps]]),
))</f>
        <v>59</v>
      </c>
      <c r="F2335">
        <f>_xlfn.LET(_xlpm.dir,Table13[[#This Row],[Direction]],
IF(_xlpm.dir="R",
    IF(G2334+Table13[[#This Row],[Steps]]&gt;99,(G2334+Table13[[#This Row],[Steps]])-100,G2334+Table13[[#This Row],[Steps]]),
))</f>
        <v>0</v>
      </c>
      <c r="G2335">
        <f>IF(Table13[[#This Row],[New Pos L]]&lt;&gt;0,Table13[[#This Row],[New Pos L]],Table13[[#This Row],[New Pos R]])</f>
        <v>59</v>
      </c>
      <c r="H2335">
        <f>IF(AND(Table13[[#This Row],[Direction]]="L",Table13[[#This Row],[Steps]]&gt;G2334,G2334&lt;&gt;0),1,0)</f>
        <v>0</v>
      </c>
      <c r="I2335">
        <f>IF(AND(Table13[[#This Row],[Direction]]="R",(G2334+Table13[[#This Row],[Steps]])&gt;100),1,0)</f>
        <v>0</v>
      </c>
      <c r="J2335">
        <f>IF(Table13[[#This Row],[POS]]=0,1,0)</f>
        <v>0</v>
      </c>
      <c r="K2335">
        <f>SUM(Table13[[#This Row],[prefix]],Table13[[#This Row],[Past zero L]],Table13[[#This Row],[Past Zero R]],Table13[[#This Row],[Is Zero]])</f>
        <v>0</v>
      </c>
    </row>
    <row r="2336" spans="1:11" ht="16" x14ac:dyDescent="0.2">
      <c r="A2336" s="1" t="s">
        <v>106</v>
      </c>
      <c r="B2336" t="str">
        <f>LEFT(Table13[[#This Row],[Input]],1)</f>
        <v>R</v>
      </c>
      <c r="C2336">
        <f>_xlfn.LET(_xlpm.steps,SUBSTITUTE(Table13[[#This Row],[Input]],Table13[[#This Row],[Direction]],""),VALUE(IF(LEN(_xlpm.steps)&gt;2,RIGHT(_xlpm.steps,2),_xlpm.steps)))</f>
        <v>41</v>
      </c>
      <c r="D2336">
        <f>_xlfn.LET(_xlpm.steps,SUBSTITUTE(Table13[[#This Row],[Input]],Table13[[#This Row],[Direction]],""),VALUE(IF(LEN(_xlpm.steps)&gt;2,LEFT(_xlpm.steps,LEN(_xlpm.steps)-2),0)))</f>
        <v>0</v>
      </c>
      <c r="E2336">
        <f>_xlfn.LET(_xlpm.dir,Table13[[#This Row],[Direction]],
IF(_xlpm.dir="L",
    IF(G2335-Table13[[#This Row],[Steps]]&lt;0,100+(G2335-Table13[[#This Row],[Steps]]),G2335-Table13[[#This Row],[Steps]]),
))</f>
        <v>0</v>
      </c>
      <c r="F2336">
        <f>_xlfn.LET(_xlpm.dir,Table13[[#This Row],[Direction]],
IF(_xlpm.dir="R",
    IF(G2335+Table13[[#This Row],[Steps]]&gt;99,(G2335+Table13[[#This Row],[Steps]])-100,G2335+Table13[[#This Row],[Steps]]),
))</f>
        <v>0</v>
      </c>
      <c r="G2336">
        <f>IF(Table13[[#This Row],[New Pos L]]&lt;&gt;0,Table13[[#This Row],[New Pos L]],Table13[[#This Row],[New Pos R]])</f>
        <v>0</v>
      </c>
      <c r="H2336">
        <f>IF(AND(Table13[[#This Row],[Direction]]="L",Table13[[#This Row],[Steps]]&gt;G2335,G2335&lt;&gt;0),1,0)</f>
        <v>0</v>
      </c>
      <c r="I2336">
        <f>IF(AND(Table13[[#This Row],[Direction]]="R",(G2335+Table13[[#This Row],[Steps]])&gt;100),1,0)</f>
        <v>0</v>
      </c>
      <c r="J2336">
        <f>IF(Table13[[#This Row],[POS]]=0,1,0)</f>
        <v>1</v>
      </c>
      <c r="K2336">
        <f>SUM(Table13[[#This Row],[prefix]],Table13[[#This Row],[Past zero L]],Table13[[#This Row],[Past Zero R]],Table13[[#This Row],[Is Zero]])</f>
        <v>1</v>
      </c>
    </row>
    <row r="2337" spans="1:11" ht="16" x14ac:dyDescent="0.2">
      <c r="A2337" s="1" t="s">
        <v>25</v>
      </c>
      <c r="B2337" t="str">
        <f>LEFT(Table13[[#This Row],[Input]],1)</f>
        <v>L</v>
      </c>
      <c r="C2337">
        <f>_xlfn.LET(_xlpm.steps,SUBSTITUTE(Table13[[#This Row],[Input]],Table13[[#This Row],[Direction]],""),VALUE(IF(LEN(_xlpm.steps)&gt;2,RIGHT(_xlpm.steps,2),_xlpm.steps)))</f>
        <v>20</v>
      </c>
      <c r="D2337">
        <f>_xlfn.LET(_xlpm.steps,SUBSTITUTE(Table13[[#This Row],[Input]],Table13[[#This Row],[Direction]],""),VALUE(IF(LEN(_xlpm.steps)&gt;2,LEFT(_xlpm.steps,LEN(_xlpm.steps)-2),0)))</f>
        <v>0</v>
      </c>
      <c r="E2337">
        <f>_xlfn.LET(_xlpm.dir,Table13[[#This Row],[Direction]],
IF(_xlpm.dir="L",
    IF(G2336-Table13[[#This Row],[Steps]]&lt;0,100+(G2336-Table13[[#This Row],[Steps]]),G2336-Table13[[#This Row],[Steps]]),
))</f>
        <v>80</v>
      </c>
      <c r="F2337">
        <f>_xlfn.LET(_xlpm.dir,Table13[[#This Row],[Direction]],
IF(_xlpm.dir="R",
    IF(G2336+Table13[[#This Row],[Steps]]&gt;99,(G2336+Table13[[#This Row],[Steps]])-100,G2336+Table13[[#This Row],[Steps]]),
))</f>
        <v>0</v>
      </c>
      <c r="G2337">
        <f>IF(Table13[[#This Row],[New Pos L]]&lt;&gt;0,Table13[[#This Row],[New Pos L]],Table13[[#This Row],[New Pos R]])</f>
        <v>80</v>
      </c>
      <c r="H2337">
        <f>IF(AND(Table13[[#This Row],[Direction]]="L",Table13[[#This Row],[Steps]]&gt;G2336,G2336&lt;&gt;0),1,0)</f>
        <v>0</v>
      </c>
      <c r="I2337">
        <f>IF(AND(Table13[[#This Row],[Direction]]="R",(G2336+Table13[[#This Row],[Steps]])&gt;100),1,0)</f>
        <v>0</v>
      </c>
      <c r="J2337">
        <f>IF(Table13[[#This Row],[POS]]=0,1,0)</f>
        <v>0</v>
      </c>
      <c r="K2337">
        <f>SUM(Table13[[#This Row],[prefix]],Table13[[#This Row],[Past zero L]],Table13[[#This Row],[Past Zero R]],Table13[[#This Row],[Is Zero]])</f>
        <v>0</v>
      </c>
    </row>
    <row r="2338" spans="1:11" ht="16" x14ac:dyDescent="0.2">
      <c r="A2338" s="1" t="s">
        <v>68</v>
      </c>
      <c r="B2338" t="str">
        <f>LEFT(Table13[[#This Row],[Input]],1)</f>
        <v>L</v>
      </c>
      <c r="C2338">
        <f>_xlfn.LET(_xlpm.steps,SUBSTITUTE(Table13[[#This Row],[Input]],Table13[[#This Row],[Direction]],""),VALUE(IF(LEN(_xlpm.steps)&gt;2,RIGHT(_xlpm.steps,2),_xlpm.steps)))</f>
        <v>80</v>
      </c>
      <c r="D2338">
        <f>_xlfn.LET(_xlpm.steps,SUBSTITUTE(Table13[[#This Row],[Input]],Table13[[#This Row],[Direction]],""),VALUE(IF(LEN(_xlpm.steps)&gt;2,LEFT(_xlpm.steps,LEN(_xlpm.steps)-2),0)))</f>
        <v>0</v>
      </c>
      <c r="E2338">
        <f>_xlfn.LET(_xlpm.dir,Table13[[#This Row],[Direction]],
IF(_xlpm.dir="L",
    IF(G2337-Table13[[#This Row],[Steps]]&lt;0,100+(G2337-Table13[[#This Row],[Steps]]),G2337-Table13[[#This Row],[Steps]]),
))</f>
        <v>0</v>
      </c>
      <c r="F2338">
        <f>_xlfn.LET(_xlpm.dir,Table13[[#This Row],[Direction]],
IF(_xlpm.dir="R",
    IF(G2337+Table13[[#This Row],[Steps]]&gt;99,(G2337+Table13[[#This Row],[Steps]])-100,G2337+Table13[[#This Row],[Steps]]),
))</f>
        <v>0</v>
      </c>
      <c r="G2338">
        <f>IF(Table13[[#This Row],[New Pos L]]&lt;&gt;0,Table13[[#This Row],[New Pos L]],Table13[[#This Row],[New Pos R]])</f>
        <v>0</v>
      </c>
      <c r="H2338">
        <f>IF(AND(Table13[[#This Row],[Direction]]="L",Table13[[#This Row],[Steps]]&gt;G2337,G2337&lt;&gt;0),1,0)</f>
        <v>0</v>
      </c>
      <c r="I2338">
        <f>IF(AND(Table13[[#This Row],[Direction]]="R",(G2337+Table13[[#This Row],[Steps]])&gt;100),1,0)</f>
        <v>0</v>
      </c>
      <c r="J2338">
        <f>IF(Table13[[#This Row],[POS]]=0,1,0)</f>
        <v>1</v>
      </c>
      <c r="K2338">
        <f>SUM(Table13[[#This Row],[prefix]],Table13[[#This Row],[Past zero L]],Table13[[#This Row],[Past Zero R]],Table13[[#This Row],[Is Zero]])</f>
        <v>1</v>
      </c>
    </row>
    <row r="2339" spans="1:11" ht="16" x14ac:dyDescent="0.2">
      <c r="A2339" s="1" t="s">
        <v>462</v>
      </c>
      <c r="B2339" t="str">
        <f>LEFT(Table13[[#This Row],[Input]],1)</f>
        <v>L</v>
      </c>
      <c r="C2339">
        <f>_xlfn.LET(_xlpm.steps,SUBSTITUTE(Table13[[#This Row],[Input]],Table13[[#This Row],[Direction]],""),VALUE(IF(LEN(_xlpm.steps)&gt;2,RIGHT(_xlpm.steps,2),_xlpm.steps)))</f>
        <v>17</v>
      </c>
      <c r="D2339">
        <f>_xlfn.LET(_xlpm.steps,SUBSTITUTE(Table13[[#This Row],[Input]],Table13[[#This Row],[Direction]],""),VALUE(IF(LEN(_xlpm.steps)&gt;2,LEFT(_xlpm.steps,LEN(_xlpm.steps)-2),0)))</f>
        <v>0</v>
      </c>
      <c r="E2339">
        <f>_xlfn.LET(_xlpm.dir,Table13[[#This Row],[Direction]],
IF(_xlpm.dir="L",
    IF(G2338-Table13[[#This Row],[Steps]]&lt;0,100+(G2338-Table13[[#This Row],[Steps]]),G2338-Table13[[#This Row],[Steps]]),
))</f>
        <v>83</v>
      </c>
      <c r="F2339">
        <f>_xlfn.LET(_xlpm.dir,Table13[[#This Row],[Direction]],
IF(_xlpm.dir="R",
    IF(G2338+Table13[[#This Row],[Steps]]&gt;99,(G2338+Table13[[#This Row],[Steps]])-100,G2338+Table13[[#This Row],[Steps]]),
))</f>
        <v>0</v>
      </c>
      <c r="G2339">
        <f>IF(Table13[[#This Row],[New Pos L]]&lt;&gt;0,Table13[[#This Row],[New Pos L]],Table13[[#This Row],[New Pos R]])</f>
        <v>83</v>
      </c>
      <c r="H2339">
        <f>IF(AND(Table13[[#This Row],[Direction]]="L",Table13[[#This Row],[Steps]]&gt;G2338,G2338&lt;&gt;0),1,0)</f>
        <v>0</v>
      </c>
      <c r="I2339">
        <f>IF(AND(Table13[[#This Row],[Direction]]="R",(G2338+Table13[[#This Row],[Steps]])&gt;100),1,0)</f>
        <v>0</v>
      </c>
      <c r="J2339">
        <f>IF(Table13[[#This Row],[POS]]=0,1,0)</f>
        <v>0</v>
      </c>
      <c r="K2339">
        <f>SUM(Table13[[#This Row],[prefix]],Table13[[#This Row],[Past zero L]],Table13[[#This Row],[Past Zero R]],Table13[[#This Row],[Is Zero]])</f>
        <v>0</v>
      </c>
    </row>
    <row r="2340" spans="1:11" ht="16" x14ac:dyDescent="0.2">
      <c r="A2340" s="1" t="s">
        <v>148</v>
      </c>
      <c r="B2340" t="str">
        <f>LEFT(Table13[[#This Row],[Input]],1)</f>
        <v>R</v>
      </c>
      <c r="C2340">
        <f>_xlfn.LET(_xlpm.steps,SUBSTITUTE(Table13[[#This Row],[Input]],Table13[[#This Row],[Direction]],""),VALUE(IF(LEN(_xlpm.steps)&gt;2,RIGHT(_xlpm.steps,2),_xlpm.steps)))</f>
        <v>80</v>
      </c>
      <c r="D2340">
        <f>_xlfn.LET(_xlpm.steps,SUBSTITUTE(Table13[[#This Row],[Input]],Table13[[#This Row],[Direction]],""),VALUE(IF(LEN(_xlpm.steps)&gt;2,LEFT(_xlpm.steps,LEN(_xlpm.steps)-2),0)))</f>
        <v>0</v>
      </c>
      <c r="E2340">
        <f>_xlfn.LET(_xlpm.dir,Table13[[#This Row],[Direction]],
IF(_xlpm.dir="L",
    IF(G2339-Table13[[#This Row],[Steps]]&lt;0,100+(G2339-Table13[[#This Row],[Steps]]),G2339-Table13[[#This Row],[Steps]]),
))</f>
        <v>0</v>
      </c>
      <c r="F2340">
        <f>_xlfn.LET(_xlpm.dir,Table13[[#This Row],[Direction]],
IF(_xlpm.dir="R",
    IF(G2339+Table13[[#This Row],[Steps]]&gt;99,(G2339+Table13[[#This Row],[Steps]])-100,G2339+Table13[[#This Row],[Steps]]),
))</f>
        <v>63</v>
      </c>
      <c r="G2340">
        <f>IF(Table13[[#This Row],[New Pos L]]&lt;&gt;0,Table13[[#This Row],[New Pos L]],Table13[[#This Row],[New Pos R]])</f>
        <v>63</v>
      </c>
      <c r="H2340">
        <f>IF(AND(Table13[[#This Row],[Direction]]="L",Table13[[#This Row],[Steps]]&gt;G2339,G2339&lt;&gt;0),1,0)</f>
        <v>0</v>
      </c>
      <c r="I2340">
        <f>IF(AND(Table13[[#This Row],[Direction]]="R",(G2339+Table13[[#This Row],[Steps]])&gt;100),1,0)</f>
        <v>1</v>
      </c>
      <c r="J2340">
        <f>IF(Table13[[#This Row],[POS]]=0,1,0)</f>
        <v>0</v>
      </c>
      <c r="K2340">
        <f>SUM(Table13[[#This Row],[prefix]],Table13[[#This Row],[Past zero L]],Table13[[#This Row],[Past Zero R]],Table13[[#This Row],[Is Zero]])</f>
        <v>1</v>
      </c>
    </row>
    <row r="2341" spans="1:11" ht="16" x14ac:dyDescent="0.2">
      <c r="A2341" s="1" t="s">
        <v>131</v>
      </c>
      <c r="B2341" t="str">
        <f>LEFT(Table13[[#This Row],[Input]],1)</f>
        <v>R</v>
      </c>
      <c r="C2341">
        <f>_xlfn.LET(_xlpm.steps,SUBSTITUTE(Table13[[#This Row],[Input]],Table13[[#This Row],[Direction]],""),VALUE(IF(LEN(_xlpm.steps)&gt;2,RIGHT(_xlpm.steps,2),_xlpm.steps)))</f>
        <v>99</v>
      </c>
      <c r="D2341">
        <f>_xlfn.LET(_xlpm.steps,SUBSTITUTE(Table13[[#This Row],[Input]],Table13[[#This Row],[Direction]],""),VALUE(IF(LEN(_xlpm.steps)&gt;2,LEFT(_xlpm.steps,LEN(_xlpm.steps)-2),0)))</f>
        <v>0</v>
      </c>
      <c r="E2341">
        <f>_xlfn.LET(_xlpm.dir,Table13[[#This Row],[Direction]],
IF(_xlpm.dir="L",
    IF(G2340-Table13[[#This Row],[Steps]]&lt;0,100+(G2340-Table13[[#This Row],[Steps]]),G2340-Table13[[#This Row],[Steps]]),
))</f>
        <v>0</v>
      </c>
      <c r="F2341">
        <f>_xlfn.LET(_xlpm.dir,Table13[[#This Row],[Direction]],
IF(_xlpm.dir="R",
    IF(G2340+Table13[[#This Row],[Steps]]&gt;99,(G2340+Table13[[#This Row],[Steps]])-100,G2340+Table13[[#This Row],[Steps]]),
))</f>
        <v>62</v>
      </c>
      <c r="G2341">
        <f>IF(Table13[[#This Row],[New Pos L]]&lt;&gt;0,Table13[[#This Row],[New Pos L]],Table13[[#This Row],[New Pos R]])</f>
        <v>62</v>
      </c>
      <c r="H2341">
        <f>IF(AND(Table13[[#This Row],[Direction]]="L",Table13[[#This Row],[Steps]]&gt;G2340,G2340&lt;&gt;0),1,0)</f>
        <v>0</v>
      </c>
      <c r="I2341">
        <f>IF(AND(Table13[[#This Row],[Direction]]="R",(G2340+Table13[[#This Row],[Steps]])&gt;100),1,0)</f>
        <v>1</v>
      </c>
      <c r="J2341">
        <f>IF(Table13[[#This Row],[POS]]=0,1,0)</f>
        <v>0</v>
      </c>
      <c r="K2341">
        <f>SUM(Table13[[#This Row],[prefix]],Table13[[#This Row],[Past zero L]],Table13[[#This Row],[Past Zero R]],Table13[[#This Row],[Is Zero]])</f>
        <v>1</v>
      </c>
    </row>
    <row r="2342" spans="1:11" ht="16" x14ac:dyDescent="0.2">
      <c r="A2342" s="1" t="s">
        <v>66</v>
      </c>
      <c r="B2342" t="str">
        <f>LEFT(Table13[[#This Row],[Input]],1)</f>
        <v>R</v>
      </c>
      <c r="C2342">
        <f>_xlfn.LET(_xlpm.steps,SUBSTITUTE(Table13[[#This Row],[Input]],Table13[[#This Row],[Direction]],""),VALUE(IF(LEN(_xlpm.steps)&gt;2,RIGHT(_xlpm.steps,2),_xlpm.steps)))</f>
        <v>45</v>
      </c>
      <c r="D2342">
        <f>_xlfn.LET(_xlpm.steps,SUBSTITUTE(Table13[[#This Row],[Input]],Table13[[#This Row],[Direction]],""),VALUE(IF(LEN(_xlpm.steps)&gt;2,LEFT(_xlpm.steps,LEN(_xlpm.steps)-2),0)))</f>
        <v>0</v>
      </c>
      <c r="E2342">
        <f>_xlfn.LET(_xlpm.dir,Table13[[#This Row],[Direction]],
IF(_xlpm.dir="L",
    IF(G2341-Table13[[#This Row],[Steps]]&lt;0,100+(G2341-Table13[[#This Row],[Steps]]),G2341-Table13[[#This Row],[Steps]]),
))</f>
        <v>0</v>
      </c>
      <c r="F2342">
        <f>_xlfn.LET(_xlpm.dir,Table13[[#This Row],[Direction]],
IF(_xlpm.dir="R",
    IF(G2341+Table13[[#This Row],[Steps]]&gt;99,(G2341+Table13[[#This Row],[Steps]])-100,G2341+Table13[[#This Row],[Steps]]),
))</f>
        <v>7</v>
      </c>
      <c r="G2342">
        <f>IF(Table13[[#This Row],[New Pos L]]&lt;&gt;0,Table13[[#This Row],[New Pos L]],Table13[[#This Row],[New Pos R]])</f>
        <v>7</v>
      </c>
      <c r="H2342">
        <f>IF(AND(Table13[[#This Row],[Direction]]="L",Table13[[#This Row],[Steps]]&gt;G2341,G2341&lt;&gt;0),1,0)</f>
        <v>0</v>
      </c>
      <c r="I2342">
        <f>IF(AND(Table13[[#This Row],[Direction]]="R",(G2341+Table13[[#This Row],[Steps]])&gt;100),1,0)</f>
        <v>1</v>
      </c>
      <c r="J2342">
        <f>IF(Table13[[#This Row],[POS]]=0,1,0)</f>
        <v>0</v>
      </c>
      <c r="K2342">
        <f>SUM(Table13[[#This Row],[prefix]],Table13[[#This Row],[Past zero L]],Table13[[#This Row],[Past Zero R]],Table13[[#This Row],[Is Zero]])</f>
        <v>1</v>
      </c>
    </row>
    <row r="2343" spans="1:11" ht="16" x14ac:dyDescent="0.2">
      <c r="A2343" s="1" t="s">
        <v>171</v>
      </c>
      <c r="B2343" t="str">
        <f>LEFT(Table13[[#This Row],[Input]],1)</f>
        <v>L</v>
      </c>
      <c r="C2343">
        <f>_xlfn.LET(_xlpm.steps,SUBSTITUTE(Table13[[#This Row],[Input]],Table13[[#This Row],[Direction]],""),VALUE(IF(LEN(_xlpm.steps)&gt;2,RIGHT(_xlpm.steps,2),_xlpm.steps)))</f>
        <v>73</v>
      </c>
      <c r="D2343">
        <f>_xlfn.LET(_xlpm.steps,SUBSTITUTE(Table13[[#This Row],[Input]],Table13[[#This Row],[Direction]],""),VALUE(IF(LEN(_xlpm.steps)&gt;2,LEFT(_xlpm.steps,LEN(_xlpm.steps)-2),0)))</f>
        <v>0</v>
      </c>
      <c r="E2343">
        <f>_xlfn.LET(_xlpm.dir,Table13[[#This Row],[Direction]],
IF(_xlpm.dir="L",
    IF(G2342-Table13[[#This Row],[Steps]]&lt;0,100+(G2342-Table13[[#This Row],[Steps]]),G2342-Table13[[#This Row],[Steps]]),
))</f>
        <v>34</v>
      </c>
      <c r="F2343">
        <f>_xlfn.LET(_xlpm.dir,Table13[[#This Row],[Direction]],
IF(_xlpm.dir="R",
    IF(G2342+Table13[[#This Row],[Steps]]&gt;99,(G2342+Table13[[#This Row],[Steps]])-100,G2342+Table13[[#This Row],[Steps]]),
))</f>
        <v>0</v>
      </c>
      <c r="G2343">
        <f>IF(Table13[[#This Row],[New Pos L]]&lt;&gt;0,Table13[[#This Row],[New Pos L]],Table13[[#This Row],[New Pos R]])</f>
        <v>34</v>
      </c>
      <c r="H2343">
        <f>IF(AND(Table13[[#This Row],[Direction]]="L",Table13[[#This Row],[Steps]]&gt;G2342,G2342&lt;&gt;0),1,0)</f>
        <v>1</v>
      </c>
      <c r="I2343">
        <f>IF(AND(Table13[[#This Row],[Direction]]="R",(G2342+Table13[[#This Row],[Steps]])&gt;100),1,0)</f>
        <v>0</v>
      </c>
      <c r="J2343">
        <f>IF(Table13[[#This Row],[POS]]=0,1,0)</f>
        <v>0</v>
      </c>
      <c r="K2343">
        <f>SUM(Table13[[#This Row],[prefix]],Table13[[#This Row],[Past zero L]],Table13[[#This Row],[Past Zero R]],Table13[[#This Row],[Is Zero]])</f>
        <v>1</v>
      </c>
    </row>
    <row r="2344" spans="1:11" ht="16" x14ac:dyDescent="0.2">
      <c r="A2344" s="1" t="s">
        <v>159</v>
      </c>
      <c r="B2344" t="str">
        <f>LEFT(Table13[[#This Row],[Input]],1)</f>
        <v>R</v>
      </c>
      <c r="C2344">
        <f>_xlfn.LET(_xlpm.steps,SUBSTITUTE(Table13[[#This Row],[Input]],Table13[[#This Row],[Direction]],""),VALUE(IF(LEN(_xlpm.steps)&gt;2,RIGHT(_xlpm.steps,2),_xlpm.steps)))</f>
        <v>24</v>
      </c>
      <c r="D2344">
        <f>_xlfn.LET(_xlpm.steps,SUBSTITUTE(Table13[[#This Row],[Input]],Table13[[#This Row],[Direction]],""),VALUE(IF(LEN(_xlpm.steps)&gt;2,LEFT(_xlpm.steps,LEN(_xlpm.steps)-2),0)))</f>
        <v>0</v>
      </c>
      <c r="E2344">
        <f>_xlfn.LET(_xlpm.dir,Table13[[#This Row],[Direction]],
IF(_xlpm.dir="L",
    IF(G2343-Table13[[#This Row],[Steps]]&lt;0,100+(G2343-Table13[[#This Row],[Steps]]),G2343-Table13[[#This Row],[Steps]]),
))</f>
        <v>0</v>
      </c>
      <c r="F2344">
        <f>_xlfn.LET(_xlpm.dir,Table13[[#This Row],[Direction]],
IF(_xlpm.dir="R",
    IF(G2343+Table13[[#This Row],[Steps]]&gt;99,(G2343+Table13[[#This Row],[Steps]])-100,G2343+Table13[[#This Row],[Steps]]),
))</f>
        <v>58</v>
      </c>
      <c r="G2344">
        <f>IF(Table13[[#This Row],[New Pos L]]&lt;&gt;0,Table13[[#This Row],[New Pos L]],Table13[[#This Row],[New Pos R]])</f>
        <v>58</v>
      </c>
      <c r="H2344">
        <f>IF(AND(Table13[[#This Row],[Direction]]="L",Table13[[#This Row],[Steps]]&gt;G2343,G2343&lt;&gt;0),1,0)</f>
        <v>0</v>
      </c>
      <c r="I2344">
        <f>IF(AND(Table13[[#This Row],[Direction]]="R",(G2343+Table13[[#This Row],[Steps]])&gt;100),1,0)</f>
        <v>0</v>
      </c>
      <c r="J2344">
        <f>IF(Table13[[#This Row],[POS]]=0,1,0)</f>
        <v>0</v>
      </c>
      <c r="K2344">
        <f>SUM(Table13[[#This Row],[prefix]],Table13[[#This Row],[Past zero L]],Table13[[#This Row],[Past Zero R]],Table13[[#This Row],[Is Zero]])</f>
        <v>0</v>
      </c>
    </row>
    <row r="2345" spans="1:11" ht="16" x14ac:dyDescent="0.2">
      <c r="A2345" s="1" t="s">
        <v>6</v>
      </c>
      <c r="B2345" t="str">
        <f>LEFT(Table13[[#This Row],[Input]],1)</f>
        <v>R</v>
      </c>
      <c r="C2345">
        <f>_xlfn.LET(_xlpm.steps,SUBSTITUTE(Table13[[#This Row],[Input]],Table13[[#This Row],[Direction]],""),VALUE(IF(LEN(_xlpm.steps)&gt;2,RIGHT(_xlpm.steps,2),_xlpm.steps)))</f>
        <v>49</v>
      </c>
      <c r="D2345">
        <f>_xlfn.LET(_xlpm.steps,SUBSTITUTE(Table13[[#This Row],[Input]],Table13[[#This Row],[Direction]],""),VALUE(IF(LEN(_xlpm.steps)&gt;2,LEFT(_xlpm.steps,LEN(_xlpm.steps)-2),0)))</f>
        <v>0</v>
      </c>
      <c r="E2345">
        <f>_xlfn.LET(_xlpm.dir,Table13[[#This Row],[Direction]],
IF(_xlpm.dir="L",
    IF(G2344-Table13[[#This Row],[Steps]]&lt;0,100+(G2344-Table13[[#This Row],[Steps]]),G2344-Table13[[#This Row],[Steps]]),
))</f>
        <v>0</v>
      </c>
      <c r="F2345">
        <f>_xlfn.LET(_xlpm.dir,Table13[[#This Row],[Direction]],
IF(_xlpm.dir="R",
    IF(G2344+Table13[[#This Row],[Steps]]&gt;99,(G2344+Table13[[#This Row],[Steps]])-100,G2344+Table13[[#This Row],[Steps]]),
))</f>
        <v>7</v>
      </c>
      <c r="G2345">
        <f>IF(Table13[[#This Row],[New Pos L]]&lt;&gt;0,Table13[[#This Row],[New Pos L]],Table13[[#This Row],[New Pos R]])</f>
        <v>7</v>
      </c>
      <c r="H2345">
        <f>IF(AND(Table13[[#This Row],[Direction]]="L",Table13[[#This Row],[Steps]]&gt;G2344,G2344&lt;&gt;0),1,0)</f>
        <v>0</v>
      </c>
      <c r="I2345">
        <f>IF(AND(Table13[[#This Row],[Direction]]="R",(G2344+Table13[[#This Row],[Steps]])&gt;100),1,0)</f>
        <v>1</v>
      </c>
      <c r="J2345">
        <f>IF(Table13[[#This Row],[POS]]=0,1,0)</f>
        <v>0</v>
      </c>
      <c r="K2345">
        <f>SUM(Table13[[#This Row],[prefix]],Table13[[#This Row],[Past zero L]],Table13[[#This Row],[Past Zero R]],Table13[[#This Row],[Is Zero]])</f>
        <v>1</v>
      </c>
    </row>
    <row r="2346" spans="1:11" ht="16" x14ac:dyDescent="0.2">
      <c r="A2346" s="1" t="s">
        <v>41</v>
      </c>
      <c r="B2346" t="str">
        <f>LEFT(Table13[[#This Row],[Input]],1)</f>
        <v>L</v>
      </c>
      <c r="C2346">
        <f>_xlfn.LET(_xlpm.steps,SUBSTITUTE(Table13[[#This Row],[Input]],Table13[[#This Row],[Direction]],""),VALUE(IF(LEN(_xlpm.steps)&gt;2,RIGHT(_xlpm.steps,2),_xlpm.steps)))</f>
        <v>7</v>
      </c>
      <c r="D2346">
        <f>_xlfn.LET(_xlpm.steps,SUBSTITUTE(Table13[[#This Row],[Input]],Table13[[#This Row],[Direction]],""),VALUE(IF(LEN(_xlpm.steps)&gt;2,LEFT(_xlpm.steps,LEN(_xlpm.steps)-2),0)))</f>
        <v>0</v>
      </c>
      <c r="E2346">
        <f>_xlfn.LET(_xlpm.dir,Table13[[#This Row],[Direction]],
IF(_xlpm.dir="L",
    IF(G2345-Table13[[#This Row],[Steps]]&lt;0,100+(G2345-Table13[[#This Row],[Steps]]),G2345-Table13[[#This Row],[Steps]]),
))</f>
        <v>0</v>
      </c>
      <c r="F2346">
        <f>_xlfn.LET(_xlpm.dir,Table13[[#This Row],[Direction]],
IF(_xlpm.dir="R",
    IF(G2345+Table13[[#This Row],[Steps]]&gt;99,(G2345+Table13[[#This Row],[Steps]])-100,G2345+Table13[[#This Row],[Steps]]),
))</f>
        <v>0</v>
      </c>
      <c r="G2346">
        <f>IF(Table13[[#This Row],[New Pos L]]&lt;&gt;0,Table13[[#This Row],[New Pos L]],Table13[[#This Row],[New Pos R]])</f>
        <v>0</v>
      </c>
      <c r="H2346">
        <f>IF(AND(Table13[[#This Row],[Direction]]="L",Table13[[#This Row],[Steps]]&gt;G2345,G2345&lt;&gt;0),1,0)</f>
        <v>0</v>
      </c>
      <c r="I2346">
        <f>IF(AND(Table13[[#This Row],[Direction]]="R",(G2345+Table13[[#This Row],[Steps]])&gt;100),1,0)</f>
        <v>0</v>
      </c>
      <c r="J2346">
        <f>IF(Table13[[#This Row],[POS]]=0,1,0)</f>
        <v>1</v>
      </c>
      <c r="K2346">
        <f>SUM(Table13[[#This Row],[prefix]],Table13[[#This Row],[Past zero L]],Table13[[#This Row],[Past Zero R]],Table13[[#This Row],[Is Zero]])</f>
        <v>1</v>
      </c>
    </row>
    <row r="2347" spans="1:11" ht="16" x14ac:dyDescent="0.2">
      <c r="A2347" s="1" t="s">
        <v>596</v>
      </c>
      <c r="B2347" t="str">
        <f>LEFT(Table13[[#This Row],[Input]],1)</f>
        <v>R</v>
      </c>
      <c r="C2347">
        <f>_xlfn.LET(_xlpm.steps,SUBSTITUTE(Table13[[#This Row],[Input]],Table13[[#This Row],[Direction]],""),VALUE(IF(LEN(_xlpm.steps)&gt;2,RIGHT(_xlpm.steps,2),_xlpm.steps)))</f>
        <v>12</v>
      </c>
      <c r="D2347">
        <f>_xlfn.LET(_xlpm.steps,SUBSTITUTE(Table13[[#This Row],[Input]],Table13[[#This Row],[Direction]],""),VALUE(IF(LEN(_xlpm.steps)&gt;2,LEFT(_xlpm.steps,LEN(_xlpm.steps)-2),0)))</f>
        <v>9</v>
      </c>
      <c r="E2347">
        <f>_xlfn.LET(_xlpm.dir,Table13[[#This Row],[Direction]],
IF(_xlpm.dir="L",
    IF(G2346-Table13[[#This Row],[Steps]]&lt;0,100+(G2346-Table13[[#This Row],[Steps]]),G2346-Table13[[#This Row],[Steps]]),
))</f>
        <v>0</v>
      </c>
      <c r="F2347">
        <f>_xlfn.LET(_xlpm.dir,Table13[[#This Row],[Direction]],
IF(_xlpm.dir="R",
    IF(G2346+Table13[[#This Row],[Steps]]&gt;99,(G2346+Table13[[#This Row],[Steps]])-100,G2346+Table13[[#This Row],[Steps]]),
))</f>
        <v>12</v>
      </c>
      <c r="G2347">
        <f>IF(Table13[[#This Row],[New Pos L]]&lt;&gt;0,Table13[[#This Row],[New Pos L]],Table13[[#This Row],[New Pos R]])</f>
        <v>12</v>
      </c>
      <c r="H2347">
        <f>IF(AND(Table13[[#This Row],[Direction]]="L",Table13[[#This Row],[Steps]]&gt;G2346,G2346&lt;&gt;0),1,0)</f>
        <v>0</v>
      </c>
      <c r="I2347">
        <f>IF(AND(Table13[[#This Row],[Direction]]="R",(G2346+Table13[[#This Row],[Steps]])&gt;100),1,0)</f>
        <v>0</v>
      </c>
      <c r="J2347">
        <f>IF(Table13[[#This Row],[POS]]=0,1,0)</f>
        <v>0</v>
      </c>
      <c r="K2347">
        <f>SUM(Table13[[#This Row],[prefix]],Table13[[#This Row],[Past zero L]],Table13[[#This Row],[Past Zero R]],Table13[[#This Row],[Is Zero]])</f>
        <v>9</v>
      </c>
    </row>
    <row r="2348" spans="1:11" ht="16" x14ac:dyDescent="0.2">
      <c r="A2348" s="1" t="s">
        <v>66</v>
      </c>
      <c r="B2348" t="str">
        <f>LEFT(Table13[[#This Row],[Input]],1)</f>
        <v>R</v>
      </c>
      <c r="C2348">
        <f>_xlfn.LET(_xlpm.steps,SUBSTITUTE(Table13[[#This Row],[Input]],Table13[[#This Row],[Direction]],""),VALUE(IF(LEN(_xlpm.steps)&gt;2,RIGHT(_xlpm.steps,2),_xlpm.steps)))</f>
        <v>45</v>
      </c>
      <c r="D2348">
        <f>_xlfn.LET(_xlpm.steps,SUBSTITUTE(Table13[[#This Row],[Input]],Table13[[#This Row],[Direction]],""),VALUE(IF(LEN(_xlpm.steps)&gt;2,LEFT(_xlpm.steps,LEN(_xlpm.steps)-2),0)))</f>
        <v>0</v>
      </c>
      <c r="E2348">
        <f>_xlfn.LET(_xlpm.dir,Table13[[#This Row],[Direction]],
IF(_xlpm.dir="L",
    IF(G2347-Table13[[#This Row],[Steps]]&lt;0,100+(G2347-Table13[[#This Row],[Steps]]),G2347-Table13[[#This Row],[Steps]]),
))</f>
        <v>0</v>
      </c>
      <c r="F2348">
        <f>_xlfn.LET(_xlpm.dir,Table13[[#This Row],[Direction]],
IF(_xlpm.dir="R",
    IF(G2347+Table13[[#This Row],[Steps]]&gt;99,(G2347+Table13[[#This Row],[Steps]])-100,G2347+Table13[[#This Row],[Steps]]),
))</f>
        <v>57</v>
      </c>
      <c r="G2348">
        <f>IF(Table13[[#This Row],[New Pos L]]&lt;&gt;0,Table13[[#This Row],[New Pos L]],Table13[[#This Row],[New Pos R]])</f>
        <v>57</v>
      </c>
      <c r="H2348">
        <f>IF(AND(Table13[[#This Row],[Direction]]="L",Table13[[#This Row],[Steps]]&gt;G2347,G2347&lt;&gt;0),1,0)</f>
        <v>0</v>
      </c>
      <c r="I2348">
        <f>IF(AND(Table13[[#This Row],[Direction]]="R",(G2347+Table13[[#This Row],[Steps]])&gt;100),1,0)</f>
        <v>0</v>
      </c>
      <c r="J2348">
        <f>IF(Table13[[#This Row],[POS]]=0,1,0)</f>
        <v>0</v>
      </c>
      <c r="K2348">
        <f>SUM(Table13[[#This Row],[prefix]],Table13[[#This Row],[Past zero L]],Table13[[#This Row],[Past Zero R]],Table13[[#This Row],[Is Zero]])</f>
        <v>0</v>
      </c>
    </row>
    <row r="2349" spans="1:11" ht="16" x14ac:dyDescent="0.2">
      <c r="A2349" s="1" t="s">
        <v>597</v>
      </c>
      <c r="B2349" t="str">
        <f>LEFT(Table13[[#This Row],[Input]],1)</f>
        <v>R</v>
      </c>
      <c r="C2349">
        <f>_xlfn.LET(_xlpm.steps,SUBSTITUTE(Table13[[#This Row],[Input]],Table13[[#This Row],[Direction]],""),VALUE(IF(LEN(_xlpm.steps)&gt;2,RIGHT(_xlpm.steps,2),_xlpm.steps)))</f>
        <v>86</v>
      </c>
      <c r="D2349">
        <f>_xlfn.LET(_xlpm.steps,SUBSTITUTE(Table13[[#This Row],[Input]],Table13[[#This Row],[Direction]],""),VALUE(IF(LEN(_xlpm.steps)&gt;2,LEFT(_xlpm.steps,LEN(_xlpm.steps)-2),0)))</f>
        <v>7</v>
      </c>
      <c r="E2349">
        <f>_xlfn.LET(_xlpm.dir,Table13[[#This Row],[Direction]],
IF(_xlpm.dir="L",
    IF(G2348-Table13[[#This Row],[Steps]]&lt;0,100+(G2348-Table13[[#This Row],[Steps]]),G2348-Table13[[#This Row],[Steps]]),
))</f>
        <v>0</v>
      </c>
      <c r="F2349">
        <f>_xlfn.LET(_xlpm.dir,Table13[[#This Row],[Direction]],
IF(_xlpm.dir="R",
    IF(G2348+Table13[[#This Row],[Steps]]&gt;99,(G2348+Table13[[#This Row],[Steps]])-100,G2348+Table13[[#This Row],[Steps]]),
))</f>
        <v>43</v>
      </c>
      <c r="G2349">
        <f>IF(Table13[[#This Row],[New Pos L]]&lt;&gt;0,Table13[[#This Row],[New Pos L]],Table13[[#This Row],[New Pos R]])</f>
        <v>43</v>
      </c>
      <c r="H2349">
        <f>IF(AND(Table13[[#This Row],[Direction]]="L",Table13[[#This Row],[Steps]]&gt;G2348,G2348&lt;&gt;0),1,0)</f>
        <v>0</v>
      </c>
      <c r="I2349">
        <f>IF(AND(Table13[[#This Row],[Direction]]="R",(G2348+Table13[[#This Row],[Steps]])&gt;100),1,0)</f>
        <v>1</v>
      </c>
      <c r="J2349">
        <f>IF(Table13[[#This Row],[POS]]=0,1,0)</f>
        <v>0</v>
      </c>
      <c r="K2349">
        <f>SUM(Table13[[#This Row],[prefix]],Table13[[#This Row],[Past zero L]],Table13[[#This Row],[Past Zero R]],Table13[[#This Row],[Is Zero]])</f>
        <v>8</v>
      </c>
    </row>
    <row r="2350" spans="1:11" ht="16" x14ac:dyDescent="0.2">
      <c r="A2350" s="1" t="s">
        <v>4</v>
      </c>
      <c r="B2350" t="str">
        <f>LEFT(Table13[[#This Row],[Input]],1)</f>
        <v>R</v>
      </c>
      <c r="C2350">
        <f>_xlfn.LET(_xlpm.steps,SUBSTITUTE(Table13[[#This Row],[Input]],Table13[[#This Row],[Direction]],""),VALUE(IF(LEN(_xlpm.steps)&gt;2,RIGHT(_xlpm.steps,2),_xlpm.steps)))</f>
        <v>3</v>
      </c>
      <c r="D2350">
        <f>_xlfn.LET(_xlpm.steps,SUBSTITUTE(Table13[[#This Row],[Input]],Table13[[#This Row],[Direction]],""),VALUE(IF(LEN(_xlpm.steps)&gt;2,LEFT(_xlpm.steps,LEN(_xlpm.steps)-2),0)))</f>
        <v>0</v>
      </c>
      <c r="E2350">
        <f>_xlfn.LET(_xlpm.dir,Table13[[#This Row],[Direction]],
IF(_xlpm.dir="L",
    IF(G2349-Table13[[#This Row],[Steps]]&lt;0,100+(G2349-Table13[[#This Row],[Steps]]),G2349-Table13[[#This Row],[Steps]]),
))</f>
        <v>0</v>
      </c>
      <c r="F2350">
        <f>_xlfn.LET(_xlpm.dir,Table13[[#This Row],[Direction]],
IF(_xlpm.dir="R",
    IF(G2349+Table13[[#This Row],[Steps]]&gt;99,(G2349+Table13[[#This Row],[Steps]])-100,G2349+Table13[[#This Row],[Steps]]),
))</f>
        <v>46</v>
      </c>
      <c r="G2350">
        <f>IF(Table13[[#This Row],[New Pos L]]&lt;&gt;0,Table13[[#This Row],[New Pos L]],Table13[[#This Row],[New Pos R]])</f>
        <v>46</v>
      </c>
      <c r="H2350">
        <f>IF(AND(Table13[[#This Row],[Direction]]="L",Table13[[#This Row],[Steps]]&gt;G2349,G2349&lt;&gt;0),1,0)</f>
        <v>0</v>
      </c>
      <c r="I2350">
        <f>IF(AND(Table13[[#This Row],[Direction]]="R",(G2349+Table13[[#This Row],[Steps]])&gt;100),1,0)</f>
        <v>0</v>
      </c>
      <c r="J2350">
        <f>IF(Table13[[#This Row],[POS]]=0,1,0)</f>
        <v>0</v>
      </c>
      <c r="K2350">
        <f>SUM(Table13[[#This Row],[prefix]],Table13[[#This Row],[Past zero L]],Table13[[#This Row],[Past Zero R]],Table13[[#This Row],[Is Zero]])</f>
        <v>0</v>
      </c>
    </row>
    <row r="2351" spans="1:11" ht="16" x14ac:dyDescent="0.2">
      <c r="A2351" s="1" t="s">
        <v>186</v>
      </c>
      <c r="B2351" t="str">
        <f>LEFT(Table13[[#This Row],[Input]],1)</f>
        <v>L</v>
      </c>
      <c r="C2351">
        <f>_xlfn.LET(_xlpm.steps,SUBSTITUTE(Table13[[#This Row],[Input]],Table13[[#This Row],[Direction]],""),VALUE(IF(LEN(_xlpm.steps)&gt;2,RIGHT(_xlpm.steps,2),_xlpm.steps)))</f>
        <v>84</v>
      </c>
      <c r="D2351">
        <f>_xlfn.LET(_xlpm.steps,SUBSTITUTE(Table13[[#This Row],[Input]],Table13[[#This Row],[Direction]],""),VALUE(IF(LEN(_xlpm.steps)&gt;2,LEFT(_xlpm.steps,LEN(_xlpm.steps)-2),0)))</f>
        <v>0</v>
      </c>
      <c r="E2351">
        <f>_xlfn.LET(_xlpm.dir,Table13[[#This Row],[Direction]],
IF(_xlpm.dir="L",
    IF(G2350-Table13[[#This Row],[Steps]]&lt;0,100+(G2350-Table13[[#This Row],[Steps]]),G2350-Table13[[#This Row],[Steps]]),
))</f>
        <v>62</v>
      </c>
      <c r="F2351">
        <f>_xlfn.LET(_xlpm.dir,Table13[[#This Row],[Direction]],
IF(_xlpm.dir="R",
    IF(G2350+Table13[[#This Row],[Steps]]&gt;99,(G2350+Table13[[#This Row],[Steps]])-100,G2350+Table13[[#This Row],[Steps]]),
))</f>
        <v>0</v>
      </c>
      <c r="G2351">
        <f>IF(Table13[[#This Row],[New Pos L]]&lt;&gt;0,Table13[[#This Row],[New Pos L]],Table13[[#This Row],[New Pos R]])</f>
        <v>62</v>
      </c>
      <c r="H2351">
        <f>IF(AND(Table13[[#This Row],[Direction]]="L",Table13[[#This Row],[Steps]]&gt;G2350,G2350&lt;&gt;0),1,0)</f>
        <v>1</v>
      </c>
      <c r="I2351">
        <f>IF(AND(Table13[[#This Row],[Direction]]="R",(G2350+Table13[[#This Row],[Steps]])&gt;100),1,0)</f>
        <v>0</v>
      </c>
      <c r="J2351">
        <f>IF(Table13[[#This Row],[POS]]=0,1,0)</f>
        <v>0</v>
      </c>
      <c r="K2351">
        <f>SUM(Table13[[#This Row],[prefix]],Table13[[#This Row],[Past zero L]],Table13[[#This Row],[Past Zero R]],Table13[[#This Row],[Is Zero]])</f>
        <v>1</v>
      </c>
    </row>
    <row r="2352" spans="1:11" ht="16" x14ac:dyDescent="0.2">
      <c r="A2352" s="1" t="s">
        <v>63</v>
      </c>
      <c r="B2352" t="str">
        <f>LEFT(Table13[[#This Row],[Input]],1)</f>
        <v>R</v>
      </c>
      <c r="C2352">
        <f>_xlfn.LET(_xlpm.steps,SUBSTITUTE(Table13[[#This Row],[Input]],Table13[[#This Row],[Direction]],""),VALUE(IF(LEN(_xlpm.steps)&gt;2,RIGHT(_xlpm.steps,2),_xlpm.steps)))</f>
        <v>57</v>
      </c>
      <c r="D2352">
        <f>_xlfn.LET(_xlpm.steps,SUBSTITUTE(Table13[[#This Row],[Input]],Table13[[#This Row],[Direction]],""),VALUE(IF(LEN(_xlpm.steps)&gt;2,LEFT(_xlpm.steps,LEN(_xlpm.steps)-2),0)))</f>
        <v>0</v>
      </c>
      <c r="E2352">
        <f>_xlfn.LET(_xlpm.dir,Table13[[#This Row],[Direction]],
IF(_xlpm.dir="L",
    IF(G2351-Table13[[#This Row],[Steps]]&lt;0,100+(G2351-Table13[[#This Row],[Steps]]),G2351-Table13[[#This Row],[Steps]]),
))</f>
        <v>0</v>
      </c>
      <c r="F2352">
        <f>_xlfn.LET(_xlpm.dir,Table13[[#This Row],[Direction]],
IF(_xlpm.dir="R",
    IF(G2351+Table13[[#This Row],[Steps]]&gt;99,(G2351+Table13[[#This Row],[Steps]])-100,G2351+Table13[[#This Row],[Steps]]),
))</f>
        <v>19</v>
      </c>
      <c r="G2352">
        <f>IF(Table13[[#This Row],[New Pos L]]&lt;&gt;0,Table13[[#This Row],[New Pos L]],Table13[[#This Row],[New Pos R]])</f>
        <v>19</v>
      </c>
      <c r="H2352">
        <f>IF(AND(Table13[[#This Row],[Direction]]="L",Table13[[#This Row],[Steps]]&gt;G2351,G2351&lt;&gt;0),1,0)</f>
        <v>0</v>
      </c>
      <c r="I2352">
        <f>IF(AND(Table13[[#This Row],[Direction]]="R",(G2351+Table13[[#This Row],[Steps]])&gt;100),1,0)</f>
        <v>1</v>
      </c>
      <c r="J2352">
        <f>IF(Table13[[#This Row],[POS]]=0,1,0)</f>
        <v>0</v>
      </c>
      <c r="K2352">
        <f>SUM(Table13[[#This Row],[prefix]],Table13[[#This Row],[Past zero L]],Table13[[#This Row],[Past Zero R]],Table13[[#This Row],[Is Zero]])</f>
        <v>1</v>
      </c>
    </row>
    <row r="2353" spans="1:11" ht="16" x14ac:dyDescent="0.2">
      <c r="A2353" s="1" t="s">
        <v>139</v>
      </c>
      <c r="B2353" t="str">
        <f>LEFT(Table13[[#This Row],[Input]],1)</f>
        <v>R</v>
      </c>
      <c r="C2353">
        <f>_xlfn.LET(_xlpm.steps,SUBSTITUTE(Table13[[#This Row],[Input]],Table13[[#This Row],[Direction]],""),VALUE(IF(LEN(_xlpm.steps)&gt;2,RIGHT(_xlpm.steps,2),_xlpm.steps)))</f>
        <v>38</v>
      </c>
      <c r="D2353">
        <f>_xlfn.LET(_xlpm.steps,SUBSTITUTE(Table13[[#This Row],[Input]],Table13[[#This Row],[Direction]],""),VALUE(IF(LEN(_xlpm.steps)&gt;2,LEFT(_xlpm.steps,LEN(_xlpm.steps)-2),0)))</f>
        <v>0</v>
      </c>
      <c r="E2353">
        <f>_xlfn.LET(_xlpm.dir,Table13[[#This Row],[Direction]],
IF(_xlpm.dir="L",
    IF(G2352-Table13[[#This Row],[Steps]]&lt;0,100+(G2352-Table13[[#This Row],[Steps]]),G2352-Table13[[#This Row],[Steps]]),
))</f>
        <v>0</v>
      </c>
      <c r="F2353">
        <f>_xlfn.LET(_xlpm.dir,Table13[[#This Row],[Direction]],
IF(_xlpm.dir="R",
    IF(G2352+Table13[[#This Row],[Steps]]&gt;99,(G2352+Table13[[#This Row],[Steps]])-100,G2352+Table13[[#This Row],[Steps]]),
))</f>
        <v>57</v>
      </c>
      <c r="G2353">
        <f>IF(Table13[[#This Row],[New Pos L]]&lt;&gt;0,Table13[[#This Row],[New Pos L]],Table13[[#This Row],[New Pos R]])</f>
        <v>57</v>
      </c>
      <c r="H2353">
        <f>IF(AND(Table13[[#This Row],[Direction]]="L",Table13[[#This Row],[Steps]]&gt;G2352,G2352&lt;&gt;0),1,0)</f>
        <v>0</v>
      </c>
      <c r="I2353">
        <f>IF(AND(Table13[[#This Row],[Direction]]="R",(G2352+Table13[[#This Row],[Steps]])&gt;100),1,0)</f>
        <v>0</v>
      </c>
      <c r="J2353">
        <f>IF(Table13[[#This Row],[POS]]=0,1,0)</f>
        <v>0</v>
      </c>
      <c r="K2353">
        <f>SUM(Table13[[#This Row],[prefix]],Table13[[#This Row],[Past zero L]],Table13[[#This Row],[Past Zero R]],Table13[[#This Row],[Is Zero]])</f>
        <v>0</v>
      </c>
    </row>
    <row r="2354" spans="1:11" ht="16" x14ac:dyDescent="0.2">
      <c r="A2354" s="1" t="s">
        <v>49</v>
      </c>
      <c r="B2354" t="str">
        <f>LEFT(Table13[[#This Row],[Input]],1)</f>
        <v>L</v>
      </c>
      <c r="C2354">
        <f>_xlfn.LET(_xlpm.steps,SUBSTITUTE(Table13[[#This Row],[Input]],Table13[[#This Row],[Direction]],""),VALUE(IF(LEN(_xlpm.steps)&gt;2,RIGHT(_xlpm.steps,2),_xlpm.steps)))</f>
        <v>93</v>
      </c>
      <c r="D2354">
        <f>_xlfn.LET(_xlpm.steps,SUBSTITUTE(Table13[[#This Row],[Input]],Table13[[#This Row],[Direction]],""),VALUE(IF(LEN(_xlpm.steps)&gt;2,LEFT(_xlpm.steps,LEN(_xlpm.steps)-2),0)))</f>
        <v>0</v>
      </c>
      <c r="E2354">
        <f>_xlfn.LET(_xlpm.dir,Table13[[#This Row],[Direction]],
IF(_xlpm.dir="L",
    IF(G2353-Table13[[#This Row],[Steps]]&lt;0,100+(G2353-Table13[[#This Row],[Steps]]),G2353-Table13[[#This Row],[Steps]]),
))</f>
        <v>64</v>
      </c>
      <c r="F2354">
        <f>_xlfn.LET(_xlpm.dir,Table13[[#This Row],[Direction]],
IF(_xlpm.dir="R",
    IF(G2353+Table13[[#This Row],[Steps]]&gt;99,(G2353+Table13[[#This Row],[Steps]])-100,G2353+Table13[[#This Row],[Steps]]),
))</f>
        <v>0</v>
      </c>
      <c r="G2354">
        <f>IF(Table13[[#This Row],[New Pos L]]&lt;&gt;0,Table13[[#This Row],[New Pos L]],Table13[[#This Row],[New Pos R]])</f>
        <v>64</v>
      </c>
      <c r="H2354">
        <f>IF(AND(Table13[[#This Row],[Direction]]="L",Table13[[#This Row],[Steps]]&gt;G2353,G2353&lt;&gt;0),1,0)</f>
        <v>1</v>
      </c>
      <c r="I2354">
        <f>IF(AND(Table13[[#This Row],[Direction]]="R",(G2353+Table13[[#This Row],[Steps]])&gt;100),1,0)</f>
        <v>0</v>
      </c>
      <c r="J2354">
        <f>IF(Table13[[#This Row],[POS]]=0,1,0)</f>
        <v>0</v>
      </c>
      <c r="K2354">
        <f>SUM(Table13[[#This Row],[prefix]],Table13[[#This Row],[Past zero L]],Table13[[#This Row],[Past Zero R]],Table13[[#This Row],[Is Zero]])</f>
        <v>1</v>
      </c>
    </row>
    <row r="2355" spans="1:11" ht="16" x14ac:dyDescent="0.2">
      <c r="A2355" s="1" t="s">
        <v>15</v>
      </c>
      <c r="B2355" t="str">
        <f>LEFT(Table13[[#This Row],[Input]],1)</f>
        <v>R</v>
      </c>
      <c r="C2355">
        <f>_xlfn.LET(_xlpm.steps,SUBSTITUTE(Table13[[#This Row],[Input]],Table13[[#This Row],[Direction]],""),VALUE(IF(LEN(_xlpm.steps)&gt;2,RIGHT(_xlpm.steps,2),_xlpm.steps)))</f>
        <v>36</v>
      </c>
      <c r="D2355">
        <f>_xlfn.LET(_xlpm.steps,SUBSTITUTE(Table13[[#This Row],[Input]],Table13[[#This Row],[Direction]],""),VALUE(IF(LEN(_xlpm.steps)&gt;2,LEFT(_xlpm.steps,LEN(_xlpm.steps)-2),0)))</f>
        <v>0</v>
      </c>
      <c r="E2355">
        <f>_xlfn.LET(_xlpm.dir,Table13[[#This Row],[Direction]],
IF(_xlpm.dir="L",
    IF(G2354-Table13[[#This Row],[Steps]]&lt;0,100+(G2354-Table13[[#This Row],[Steps]]),G2354-Table13[[#This Row],[Steps]]),
))</f>
        <v>0</v>
      </c>
      <c r="F2355">
        <f>_xlfn.LET(_xlpm.dir,Table13[[#This Row],[Direction]],
IF(_xlpm.dir="R",
    IF(G2354+Table13[[#This Row],[Steps]]&gt;99,(G2354+Table13[[#This Row],[Steps]])-100,G2354+Table13[[#This Row],[Steps]]),
))</f>
        <v>0</v>
      </c>
      <c r="G2355">
        <f>IF(Table13[[#This Row],[New Pos L]]&lt;&gt;0,Table13[[#This Row],[New Pos L]],Table13[[#This Row],[New Pos R]])</f>
        <v>0</v>
      </c>
      <c r="H2355">
        <f>IF(AND(Table13[[#This Row],[Direction]]="L",Table13[[#This Row],[Steps]]&gt;G2354,G2354&lt;&gt;0),1,0)</f>
        <v>0</v>
      </c>
      <c r="I2355">
        <f>IF(AND(Table13[[#This Row],[Direction]]="R",(G2354+Table13[[#This Row],[Steps]])&gt;100),1,0)</f>
        <v>0</v>
      </c>
      <c r="J2355">
        <f>IF(Table13[[#This Row],[POS]]=0,1,0)</f>
        <v>1</v>
      </c>
      <c r="K2355">
        <f>SUM(Table13[[#This Row],[prefix]],Table13[[#This Row],[Past zero L]],Table13[[#This Row],[Past Zero R]],Table13[[#This Row],[Is Zero]])</f>
        <v>1</v>
      </c>
    </row>
    <row r="2356" spans="1:11" ht="16" x14ac:dyDescent="0.2">
      <c r="A2356" s="1" t="s">
        <v>71</v>
      </c>
      <c r="B2356" t="str">
        <f>LEFT(Table13[[#This Row],[Input]],1)</f>
        <v>R</v>
      </c>
      <c r="C2356">
        <f>_xlfn.LET(_xlpm.steps,SUBSTITUTE(Table13[[#This Row],[Input]],Table13[[#This Row],[Direction]],""),VALUE(IF(LEN(_xlpm.steps)&gt;2,RIGHT(_xlpm.steps,2),_xlpm.steps)))</f>
        <v>23</v>
      </c>
      <c r="D2356">
        <f>_xlfn.LET(_xlpm.steps,SUBSTITUTE(Table13[[#This Row],[Input]],Table13[[#This Row],[Direction]],""),VALUE(IF(LEN(_xlpm.steps)&gt;2,LEFT(_xlpm.steps,LEN(_xlpm.steps)-2),0)))</f>
        <v>0</v>
      </c>
      <c r="E2356">
        <f>_xlfn.LET(_xlpm.dir,Table13[[#This Row],[Direction]],
IF(_xlpm.dir="L",
    IF(G2355-Table13[[#This Row],[Steps]]&lt;0,100+(G2355-Table13[[#This Row],[Steps]]),G2355-Table13[[#This Row],[Steps]]),
))</f>
        <v>0</v>
      </c>
      <c r="F2356">
        <f>_xlfn.LET(_xlpm.dir,Table13[[#This Row],[Direction]],
IF(_xlpm.dir="R",
    IF(G2355+Table13[[#This Row],[Steps]]&gt;99,(G2355+Table13[[#This Row],[Steps]])-100,G2355+Table13[[#This Row],[Steps]]),
))</f>
        <v>23</v>
      </c>
      <c r="G2356">
        <f>IF(Table13[[#This Row],[New Pos L]]&lt;&gt;0,Table13[[#This Row],[New Pos L]],Table13[[#This Row],[New Pos R]])</f>
        <v>23</v>
      </c>
      <c r="H2356">
        <f>IF(AND(Table13[[#This Row],[Direction]]="L",Table13[[#This Row],[Steps]]&gt;G2355,G2355&lt;&gt;0),1,0)</f>
        <v>0</v>
      </c>
      <c r="I2356">
        <f>IF(AND(Table13[[#This Row],[Direction]]="R",(G2355+Table13[[#This Row],[Steps]])&gt;100),1,0)</f>
        <v>0</v>
      </c>
      <c r="J2356">
        <f>IF(Table13[[#This Row],[POS]]=0,1,0)</f>
        <v>0</v>
      </c>
      <c r="K2356">
        <f>SUM(Table13[[#This Row],[prefix]],Table13[[#This Row],[Past zero L]],Table13[[#This Row],[Past Zero R]],Table13[[#This Row],[Is Zero]])</f>
        <v>0</v>
      </c>
    </row>
    <row r="2357" spans="1:11" ht="16" x14ac:dyDescent="0.2">
      <c r="A2357" s="1" t="s">
        <v>100</v>
      </c>
      <c r="B2357" t="str">
        <f>LEFT(Table13[[#This Row],[Input]],1)</f>
        <v>R</v>
      </c>
      <c r="C2357">
        <f>_xlfn.LET(_xlpm.steps,SUBSTITUTE(Table13[[#This Row],[Input]],Table13[[#This Row],[Direction]],""),VALUE(IF(LEN(_xlpm.steps)&gt;2,RIGHT(_xlpm.steps,2),_xlpm.steps)))</f>
        <v>58</v>
      </c>
      <c r="D2357">
        <f>_xlfn.LET(_xlpm.steps,SUBSTITUTE(Table13[[#This Row],[Input]],Table13[[#This Row],[Direction]],""),VALUE(IF(LEN(_xlpm.steps)&gt;2,LEFT(_xlpm.steps,LEN(_xlpm.steps)-2),0)))</f>
        <v>0</v>
      </c>
      <c r="E2357">
        <f>_xlfn.LET(_xlpm.dir,Table13[[#This Row],[Direction]],
IF(_xlpm.dir="L",
    IF(G2356-Table13[[#This Row],[Steps]]&lt;0,100+(G2356-Table13[[#This Row],[Steps]]),G2356-Table13[[#This Row],[Steps]]),
))</f>
        <v>0</v>
      </c>
      <c r="F2357">
        <f>_xlfn.LET(_xlpm.dir,Table13[[#This Row],[Direction]],
IF(_xlpm.dir="R",
    IF(G2356+Table13[[#This Row],[Steps]]&gt;99,(G2356+Table13[[#This Row],[Steps]])-100,G2356+Table13[[#This Row],[Steps]]),
))</f>
        <v>81</v>
      </c>
      <c r="G2357">
        <f>IF(Table13[[#This Row],[New Pos L]]&lt;&gt;0,Table13[[#This Row],[New Pos L]],Table13[[#This Row],[New Pos R]])</f>
        <v>81</v>
      </c>
      <c r="H2357">
        <f>IF(AND(Table13[[#This Row],[Direction]]="L",Table13[[#This Row],[Steps]]&gt;G2356,G2356&lt;&gt;0),1,0)</f>
        <v>0</v>
      </c>
      <c r="I2357">
        <f>IF(AND(Table13[[#This Row],[Direction]]="R",(G2356+Table13[[#This Row],[Steps]])&gt;100),1,0)</f>
        <v>0</v>
      </c>
      <c r="J2357">
        <f>IF(Table13[[#This Row],[POS]]=0,1,0)</f>
        <v>0</v>
      </c>
      <c r="K2357">
        <f>SUM(Table13[[#This Row],[prefix]],Table13[[#This Row],[Past zero L]],Table13[[#This Row],[Past Zero R]],Table13[[#This Row],[Is Zero]])</f>
        <v>0</v>
      </c>
    </row>
    <row r="2358" spans="1:11" ht="16" x14ac:dyDescent="0.2">
      <c r="A2358" s="1" t="s">
        <v>296</v>
      </c>
      <c r="B2358" t="str">
        <f>LEFT(Table13[[#This Row],[Input]],1)</f>
        <v>R</v>
      </c>
      <c r="C2358">
        <f>_xlfn.LET(_xlpm.steps,SUBSTITUTE(Table13[[#This Row],[Input]],Table13[[#This Row],[Direction]],""),VALUE(IF(LEN(_xlpm.steps)&gt;2,RIGHT(_xlpm.steps,2),_xlpm.steps)))</f>
        <v>19</v>
      </c>
      <c r="D2358">
        <f>_xlfn.LET(_xlpm.steps,SUBSTITUTE(Table13[[#This Row],[Input]],Table13[[#This Row],[Direction]],""),VALUE(IF(LEN(_xlpm.steps)&gt;2,LEFT(_xlpm.steps,LEN(_xlpm.steps)-2),0)))</f>
        <v>0</v>
      </c>
      <c r="E2358">
        <f>_xlfn.LET(_xlpm.dir,Table13[[#This Row],[Direction]],
IF(_xlpm.dir="L",
    IF(G2357-Table13[[#This Row],[Steps]]&lt;0,100+(G2357-Table13[[#This Row],[Steps]]),G2357-Table13[[#This Row],[Steps]]),
))</f>
        <v>0</v>
      </c>
      <c r="F2358">
        <f>_xlfn.LET(_xlpm.dir,Table13[[#This Row],[Direction]],
IF(_xlpm.dir="R",
    IF(G2357+Table13[[#This Row],[Steps]]&gt;99,(G2357+Table13[[#This Row],[Steps]])-100,G2357+Table13[[#This Row],[Steps]]),
))</f>
        <v>0</v>
      </c>
      <c r="G2358">
        <f>IF(Table13[[#This Row],[New Pos L]]&lt;&gt;0,Table13[[#This Row],[New Pos L]],Table13[[#This Row],[New Pos R]])</f>
        <v>0</v>
      </c>
      <c r="H2358">
        <f>IF(AND(Table13[[#This Row],[Direction]]="L",Table13[[#This Row],[Steps]]&gt;G2357,G2357&lt;&gt;0),1,0)</f>
        <v>0</v>
      </c>
      <c r="I2358">
        <f>IF(AND(Table13[[#This Row],[Direction]]="R",(G2357+Table13[[#This Row],[Steps]])&gt;100),1,0)</f>
        <v>0</v>
      </c>
      <c r="J2358">
        <f>IF(Table13[[#This Row],[POS]]=0,1,0)</f>
        <v>1</v>
      </c>
      <c r="K2358">
        <f>SUM(Table13[[#This Row],[prefix]],Table13[[#This Row],[Past zero L]],Table13[[#This Row],[Past Zero R]],Table13[[#This Row],[Is Zero]])</f>
        <v>1</v>
      </c>
    </row>
    <row r="2359" spans="1:11" ht="16" x14ac:dyDescent="0.2">
      <c r="A2359" s="1" t="s">
        <v>226</v>
      </c>
      <c r="B2359" t="str">
        <f>LEFT(Table13[[#This Row],[Input]],1)</f>
        <v>L</v>
      </c>
      <c r="C2359">
        <f>_xlfn.LET(_xlpm.steps,SUBSTITUTE(Table13[[#This Row],[Input]],Table13[[#This Row],[Direction]],""),VALUE(IF(LEN(_xlpm.steps)&gt;2,RIGHT(_xlpm.steps,2),_xlpm.steps)))</f>
        <v>31</v>
      </c>
      <c r="D2359">
        <f>_xlfn.LET(_xlpm.steps,SUBSTITUTE(Table13[[#This Row],[Input]],Table13[[#This Row],[Direction]],""),VALUE(IF(LEN(_xlpm.steps)&gt;2,LEFT(_xlpm.steps,LEN(_xlpm.steps)-2),0)))</f>
        <v>0</v>
      </c>
      <c r="E2359">
        <f>_xlfn.LET(_xlpm.dir,Table13[[#This Row],[Direction]],
IF(_xlpm.dir="L",
    IF(G2358-Table13[[#This Row],[Steps]]&lt;0,100+(G2358-Table13[[#This Row],[Steps]]),G2358-Table13[[#This Row],[Steps]]),
))</f>
        <v>69</v>
      </c>
      <c r="F2359">
        <f>_xlfn.LET(_xlpm.dir,Table13[[#This Row],[Direction]],
IF(_xlpm.dir="R",
    IF(G2358+Table13[[#This Row],[Steps]]&gt;99,(G2358+Table13[[#This Row],[Steps]])-100,G2358+Table13[[#This Row],[Steps]]),
))</f>
        <v>0</v>
      </c>
      <c r="G2359">
        <f>IF(Table13[[#This Row],[New Pos L]]&lt;&gt;0,Table13[[#This Row],[New Pos L]],Table13[[#This Row],[New Pos R]])</f>
        <v>69</v>
      </c>
      <c r="H2359">
        <f>IF(AND(Table13[[#This Row],[Direction]]="L",Table13[[#This Row],[Steps]]&gt;G2358,G2358&lt;&gt;0),1,0)</f>
        <v>0</v>
      </c>
      <c r="I2359">
        <f>IF(AND(Table13[[#This Row],[Direction]]="R",(G2358+Table13[[#This Row],[Steps]])&gt;100),1,0)</f>
        <v>0</v>
      </c>
      <c r="J2359">
        <f>IF(Table13[[#This Row],[POS]]=0,1,0)</f>
        <v>0</v>
      </c>
      <c r="K2359">
        <f>SUM(Table13[[#This Row],[prefix]],Table13[[#This Row],[Past zero L]],Table13[[#This Row],[Past Zero R]],Table13[[#This Row],[Is Zero]])</f>
        <v>0</v>
      </c>
    </row>
    <row r="2360" spans="1:11" ht="16" x14ac:dyDescent="0.2">
      <c r="A2360" s="1" t="s">
        <v>123</v>
      </c>
      <c r="B2360" t="str">
        <f>LEFT(Table13[[#This Row],[Input]],1)</f>
        <v>L</v>
      </c>
      <c r="C2360">
        <f>_xlfn.LET(_xlpm.steps,SUBSTITUTE(Table13[[#This Row],[Input]],Table13[[#This Row],[Direction]],""),VALUE(IF(LEN(_xlpm.steps)&gt;2,RIGHT(_xlpm.steps,2),_xlpm.steps)))</f>
        <v>63</v>
      </c>
      <c r="D2360">
        <f>_xlfn.LET(_xlpm.steps,SUBSTITUTE(Table13[[#This Row],[Input]],Table13[[#This Row],[Direction]],""),VALUE(IF(LEN(_xlpm.steps)&gt;2,LEFT(_xlpm.steps,LEN(_xlpm.steps)-2),0)))</f>
        <v>0</v>
      </c>
      <c r="E2360">
        <f>_xlfn.LET(_xlpm.dir,Table13[[#This Row],[Direction]],
IF(_xlpm.dir="L",
    IF(G2359-Table13[[#This Row],[Steps]]&lt;0,100+(G2359-Table13[[#This Row],[Steps]]),G2359-Table13[[#This Row],[Steps]]),
))</f>
        <v>6</v>
      </c>
      <c r="F2360">
        <f>_xlfn.LET(_xlpm.dir,Table13[[#This Row],[Direction]],
IF(_xlpm.dir="R",
    IF(G2359+Table13[[#This Row],[Steps]]&gt;99,(G2359+Table13[[#This Row],[Steps]])-100,G2359+Table13[[#This Row],[Steps]]),
))</f>
        <v>0</v>
      </c>
      <c r="G2360">
        <f>IF(Table13[[#This Row],[New Pos L]]&lt;&gt;0,Table13[[#This Row],[New Pos L]],Table13[[#This Row],[New Pos R]])</f>
        <v>6</v>
      </c>
      <c r="H2360">
        <f>IF(AND(Table13[[#This Row],[Direction]]="L",Table13[[#This Row],[Steps]]&gt;G2359,G2359&lt;&gt;0),1,0)</f>
        <v>0</v>
      </c>
      <c r="I2360">
        <f>IF(AND(Table13[[#This Row],[Direction]]="R",(G2359+Table13[[#This Row],[Steps]])&gt;100),1,0)</f>
        <v>0</v>
      </c>
      <c r="J2360">
        <f>IF(Table13[[#This Row],[POS]]=0,1,0)</f>
        <v>0</v>
      </c>
      <c r="K2360">
        <f>SUM(Table13[[#This Row],[prefix]],Table13[[#This Row],[Past zero L]],Table13[[#This Row],[Past Zero R]],Table13[[#This Row],[Is Zero]])</f>
        <v>0</v>
      </c>
    </row>
    <row r="2361" spans="1:11" ht="16" x14ac:dyDescent="0.2">
      <c r="A2361" s="1" t="s">
        <v>253</v>
      </c>
      <c r="B2361" t="str">
        <f>LEFT(Table13[[#This Row],[Input]],1)</f>
        <v>R</v>
      </c>
      <c r="C2361">
        <f>_xlfn.LET(_xlpm.steps,SUBSTITUTE(Table13[[#This Row],[Input]],Table13[[#This Row],[Direction]],""),VALUE(IF(LEN(_xlpm.steps)&gt;2,RIGHT(_xlpm.steps,2),_xlpm.steps)))</f>
        <v>94</v>
      </c>
      <c r="D2361">
        <f>_xlfn.LET(_xlpm.steps,SUBSTITUTE(Table13[[#This Row],[Input]],Table13[[#This Row],[Direction]],""),VALUE(IF(LEN(_xlpm.steps)&gt;2,LEFT(_xlpm.steps,LEN(_xlpm.steps)-2),0)))</f>
        <v>0</v>
      </c>
      <c r="E2361">
        <f>_xlfn.LET(_xlpm.dir,Table13[[#This Row],[Direction]],
IF(_xlpm.dir="L",
    IF(G2360-Table13[[#This Row],[Steps]]&lt;0,100+(G2360-Table13[[#This Row],[Steps]]),G2360-Table13[[#This Row],[Steps]]),
))</f>
        <v>0</v>
      </c>
      <c r="F2361">
        <f>_xlfn.LET(_xlpm.dir,Table13[[#This Row],[Direction]],
IF(_xlpm.dir="R",
    IF(G2360+Table13[[#This Row],[Steps]]&gt;99,(G2360+Table13[[#This Row],[Steps]])-100,G2360+Table13[[#This Row],[Steps]]),
))</f>
        <v>0</v>
      </c>
      <c r="G2361">
        <f>IF(Table13[[#This Row],[New Pos L]]&lt;&gt;0,Table13[[#This Row],[New Pos L]],Table13[[#This Row],[New Pos R]])</f>
        <v>0</v>
      </c>
      <c r="H2361">
        <f>IF(AND(Table13[[#This Row],[Direction]]="L",Table13[[#This Row],[Steps]]&gt;G2360,G2360&lt;&gt;0),1,0)</f>
        <v>0</v>
      </c>
      <c r="I2361">
        <f>IF(AND(Table13[[#This Row],[Direction]]="R",(G2360+Table13[[#This Row],[Steps]])&gt;100),1,0)</f>
        <v>0</v>
      </c>
      <c r="J2361">
        <f>IF(Table13[[#This Row],[POS]]=0,1,0)</f>
        <v>1</v>
      </c>
      <c r="K2361">
        <f>SUM(Table13[[#This Row],[prefix]],Table13[[#This Row],[Past zero L]],Table13[[#This Row],[Past Zero R]],Table13[[#This Row],[Is Zero]])</f>
        <v>1</v>
      </c>
    </row>
    <row r="2362" spans="1:11" ht="16" x14ac:dyDescent="0.2">
      <c r="A2362" s="1" t="s">
        <v>4</v>
      </c>
      <c r="B2362" t="str">
        <f>LEFT(Table13[[#This Row],[Input]],1)</f>
        <v>R</v>
      </c>
      <c r="C2362">
        <f>_xlfn.LET(_xlpm.steps,SUBSTITUTE(Table13[[#This Row],[Input]],Table13[[#This Row],[Direction]],""),VALUE(IF(LEN(_xlpm.steps)&gt;2,RIGHT(_xlpm.steps,2),_xlpm.steps)))</f>
        <v>3</v>
      </c>
      <c r="D2362">
        <f>_xlfn.LET(_xlpm.steps,SUBSTITUTE(Table13[[#This Row],[Input]],Table13[[#This Row],[Direction]],""),VALUE(IF(LEN(_xlpm.steps)&gt;2,LEFT(_xlpm.steps,LEN(_xlpm.steps)-2),0)))</f>
        <v>0</v>
      </c>
      <c r="E2362">
        <f>_xlfn.LET(_xlpm.dir,Table13[[#This Row],[Direction]],
IF(_xlpm.dir="L",
    IF(G2361-Table13[[#This Row],[Steps]]&lt;0,100+(G2361-Table13[[#This Row],[Steps]]),G2361-Table13[[#This Row],[Steps]]),
))</f>
        <v>0</v>
      </c>
      <c r="F2362">
        <f>_xlfn.LET(_xlpm.dir,Table13[[#This Row],[Direction]],
IF(_xlpm.dir="R",
    IF(G2361+Table13[[#This Row],[Steps]]&gt;99,(G2361+Table13[[#This Row],[Steps]])-100,G2361+Table13[[#This Row],[Steps]]),
))</f>
        <v>3</v>
      </c>
      <c r="G2362">
        <f>IF(Table13[[#This Row],[New Pos L]]&lt;&gt;0,Table13[[#This Row],[New Pos L]],Table13[[#This Row],[New Pos R]])</f>
        <v>3</v>
      </c>
      <c r="H2362">
        <f>IF(AND(Table13[[#This Row],[Direction]]="L",Table13[[#This Row],[Steps]]&gt;G2361,G2361&lt;&gt;0),1,0)</f>
        <v>0</v>
      </c>
      <c r="I2362">
        <f>IF(AND(Table13[[#This Row],[Direction]]="R",(G2361+Table13[[#This Row],[Steps]])&gt;100),1,0)</f>
        <v>0</v>
      </c>
      <c r="J2362">
        <f>IF(Table13[[#This Row],[POS]]=0,1,0)</f>
        <v>0</v>
      </c>
      <c r="K2362">
        <f>SUM(Table13[[#This Row],[prefix]],Table13[[#This Row],[Past zero L]],Table13[[#This Row],[Past Zero R]],Table13[[#This Row],[Is Zero]])</f>
        <v>0</v>
      </c>
    </row>
    <row r="2363" spans="1:11" ht="16" x14ac:dyDescent="0.2">
      <c r="A2363" s="1" t="s">
        <v>47</v>
      </c>
      <c r="B2363" t="str">
        <f>LEFT(Table13[[#This Row],[Input]],1)</f>
        <v>R</v>
      </c>
      <c r="C2363">
        <f>_xlfn.LET(_xlpm.steps,SUBSTITUTE(Table13[[#This Row],[Input]],Table13[[#This Row],[Direction]],""),VALUE(IF(LEN(_xlpm.steps)&gt;2,RIGHT(_xlpm.steps,2),_xlpm.steps)))</f>
        <v>97</v>
      </c>
      <c r="D2363">
        <f>_xlfn.LET(_xlpm.steps,SUBSTITUTE(Table13[[#This Row],[Input]],Table13[[#This Row],[Direction]],""),VALUE(IF(LEN(_xlpm.steps)&gt;2,LEFT(_xlpm.steps,LEN(_xlpm.steps)-2),0)))</f>
        <v>0</v>
      </c>
      <c r="E2363">
        <f>_xlfn.LET(_xlpm.dir,Table13[[#This Row],[Direction]],
IF(_xlpm.dir="L",
    IF(G2362-Table13[[#This Row],[Steps]]&lt;0,100+(G2362-Table13[[#This Row],[Steps]]),G2362-Table13[[#This Row],[Steps]]),
))</f>
        <v>0</v>
      </c>
      <c r="F2363">
        <f>_xlfn.LET(_xlpm.dir,Table13[[#This Row],[Direction]],
IF(_xlpm.dir="R",
    IF(G2362+Table13[[#This Row],[Steps]]&gt;99,(G2362+Table13[[#This Row],[Steps]])-100,G2362+Table13[[#This Row],[Steps]]),
))</f>
        <v>0</v>
      </c>
      <c r="G2363">
        <f>IF(Table13[[#This Row],[New Pos L]]&lt;&gt;0,Table13[[#This Row],[New Pos L]],Table13[[#This Row],[New Pos R]])</f>
        <v>0</v>
      </c>
      <c r="H2363">
        <f>IF(AND(Table13[[#This Row],[Direction]]="L",Table13[[#This Row],[Steps]]&gt;G2362,G2362&lt;&gt;0),1,0)</f>
        <v>0</v>
      </c>
      <c r="I2363">
        <f>IF(AND(Table13[[#This Row],[Direction]]="R",(G2362+Table13[[#This Row],[Steps]])&gt;100),1,0)</f>
        <v>0</v>
      </c>
      <c r="J2363">
        <f>IF(Table13[[#This Row],[POS]]=0,1,0)</f>
        <v>1</v>
      </c>
      <c r="K2363">
        <f>SUM(Table13[[#This Row],[prefix]],Table13[[#This Row],[Past zero L]],Table13[[#This Row],[Past Zero R]],Table13[[#This Row],[Is Zero]])</f>
        <v>1</v>
      </c>
    </row>
    <row r="2364" spans="1:11" ht="16" x14ac:dyDescent="0.2">
      <c r="A2364" s="1" t="s">
        <v>598</v>
      </c>
      <c r="B2364" t="str">
        <f>LEFT(Table13[[#This Row],[Input]],1)</f>
        <v>L</v>
      </c>
      <c r="C2364">
        <f>_xlfn.LET(_xlpm.steps,SUBSTITUTE(Table13[[#This Row],[Input]],Table13[[#This Row],[Direction]],""),VALUE(IF(LEN(_xlpm.steps)&gt;2,RIGHT(_xlpm.steps,2),_xlpm.steps)))</f>
        <v>79</v>
      </c>
      <c r="D2364">
        <f>_xlfn.LET(_xlpm.steps,SUBSTITUTE(Table13[[#This Row],[Input]],Table13[[#This Row],[Direction]],""),VALUE(IF(LEN(_xlpm.steps)&gt;2,LEFT(_xlpm.steps,LEN(_xlpm.steps)-2),0)))</f>
        <v>7</v>
      </c>
      <c r="E2364">
        <f>_xlfn.LET(_xlpm.dir,Table13[[#This Row],[Direction]],
IF(_xlpm.dir="L",
    IF(G2363-Table13[[#This Row],[Steps]]&lt;0,100+(G2363-Table13[[#This Row],[Steps]]),G2363-Table13[[#This Row],[Steps]]),
))</f>
        <v>21</v>
      </c>
      <c r="F2364">
        <f>_xlfn.LET(_xlpm.dir,Table13[[#This Row],[Direction]],
IF(_xlpm.dir="R",
    IF(G2363+Table13[[#This Row],[Steps]]&gt;99,(G2363+Table13[[#This Row],[Steps]])-100,G2363+Table13[[#This Row],[Steps]]),
))</f>
        <v>0</v>
      </c>
      <c r="G2364">
        <f>IF(Table13[[#This Row],[New Pos L]]&lt;&gt;0,Table13[[#This Row],[New Pos L]],Table13[[#This Row],[New Pos R]])</f>
        <v>21</v>
      </c>
      <c r="H2364">
        <f>IF(AND(Table13[[#This Row],[Direction]]="L",Table13[[#This Row],[Steps]]&gt;G2363,G2363&lt;&gt;0),1,0)</f>
        <v>0</v>
      </c>
      <c r="I2364">
        <f>IF(AND(Table13[[#This Row],[Direction]]="R",(G2363+Table13[[#This Row],[Steps]])&gt;100),1,0)</f>
        <v>0</v>
      </c>
      <c r="J2364">
        <f>IF(Table13[[#This Row],[POS]]=0,1,0)</f>
        <v>0</v>
      </c>
      <c r="K2364">
        <f>SUM(Table13[[#This Row],[prefix]],Table13[[#This Row],[Past zero L]],Table13[[#This Row],[Past Zero R]],Table13[[#This Row],[Is Zero]])</f>
        <v>7</v>
      </c>
    </row>
    <row r="2365" spans="1:11" ht="16" x14ac:dyDescent="0.2">
      <c r="A2365" s="1" t="s">
        <v>114</v>
      </c>
      <c r="B2365" t="str">
        <f>LEFT(Table13[[#This Row],[Input]],1)</f>
        <v>R</v>
      </c>
      <c r="C2365">
        <f>_xlfn.LET(_xlpm.steps,SUBSTITUTE(Table13[[#This Row],[Input]],Table13[[#This Row],[Direction]],""),VALUE(IF(LEN(_xlpm.steps)&gt;2,RIGHT(_xlpm.steps,2),_xlpm.steps)))</f>
        <v>70</v>
      </c>
      <c r="D2365">
        <f>_xlfn.LET(_xlpm.steps,SUBSTITUTE(Table13[[#This Row],[Input]],Table13[[#This Row],[Direction]],""),VALUE(IF(LEN(_xlpm.steps)&gt;2,LEFT(_xlpm.steps,LEN(_xlpm.steps)-2),0)))</f>
        <v>0</v>
      </c>
      <c r="E2365">
        <f>_xlfn.LET(_xlpm.dir,Table13[[#This Row],[Direction]],
IF(_xlpm.dir="L",
    IF(G2364-Table13[[#This Row],[Steps]]&lt;0,100+(G2364-Table13[[#This Row],[Steps]]),G2364-Table13[[#This Row],[Steps]]),
))</f>
        <v>0</v>
      </c>
      <c r="F2365">
        <f>_xlfn.LET(_xlpm.dir,Table13[[#This Row],[Direction]],
IF(_xlpm.dir="R",
    IF(G2364+Table13[[#This Row],[Steps]]&gt;99,(G2364+Table13[[#This Row],[Steps]])-100,G2364+Table13[[#This Row],[Steps]]),
))</f>
        <v>91</v>
      </c>
      <c r="G2365">
        <f>IF(Table13[[#This Row],[New Pos L]]&lt;&gt;0,Table13[[#This Row],[New Pos L]],Table13[[#This Row],[New Pos R]])</f>
        <v>91</v>
      </c>
      <c r="H2365">
        <f>IF(AND(Table13[[#This Row],[Direction]]="L",Table13[[#This Row],[Steps]]&gt;G2364,G2364&lt;&gt;0),1,0)</f>
        <v>0</v>
      </c>
      <c r="I2365">
        <f>IF(AND(Table13[[#This Row],[Direction]]="R",(G2364+Table13[[#This Row],[Steps]])&gt;100),1,0)</f>
        <v>0</v>
      </c>
      <c r="J2365">
        <f>IF(Table13[[#This Row],[POS]]=0,1,0)</f>
        <v>0</v>
      </c>
      <c r="K2365">
        <f>SUM(Table13[[#This Row],[prefix]],Table13[[#This Row],[Past zero L]],Table13[[#This Row],[Past Zero R]],Table13[[#This Row],[Is Zero]])</f>
        <v>0</v>
      </c>
    </row>
    <row r="2366" spans="1:11" ht="16" x14ac:dyDescent="0.2">
      <c r="A2366" s="1" t="s">
        <v>276</v>
      </c>
      <c r="B2366" t="str">
        <f>LEFT(Table13[[#This Row],[Input]],1)</f>
        <v>L</v>
      </c>
      <c r="C2366">
        <f>_xlfn.LET(_xlpm.steps,SUBSTITUTE(Table13[[#This Row],[Input]],Table13[[#This Row],[Direction]],""),VALUE(IF(LEN(_xlpm.steps)&gt;2,RIGHT(_xlpm.steps,2),_xlpm.steps)))</f>
        <v>60</v>
      </c>
      <c r="D2366">
        <f>_xlfn.LET(_xlpm.steps,SUBSTITUTE(Table13[[#This Row],[Input]],Table13[[#This Row],[Direction]],""),VALUE(IF(LEN(_xlpm.steps)&gt;2,LEFT(_xlpm.steps,LEN(_xlpm.steps)-2),0)))</f>
        <v>0</v>
      </c>
      <c r="E2366">
        <f>_xlfn.LET(_xlpm.dir,Table13[[#This Row],[Direction]],
IF(_xlpm.dir="L",
    IF(G2365-Table13[[#This Row],[Steps]]&lt;0,100+(G2365-Table13[[#This Row],[Steps]]),G2365-Table13[[#This Row],[Steps]]),
))</f>
        <v>31</v>
      </c>
      <c r="F2366">
        <f>_xlfn.LET(_xlpm.dir,Table13[[#This Row],[Direction]],
IF(_xlpm.dir="R",
    IF(G2365+Table13[[#This Row],[Steps]]&gt;99,(G2365+Table13[[#This Row],[Steps]])-100,G2365+Table13[[#This Row],[Steps]]),
))</f>
        <v>0</v>
      </c>
      <c r="G2366">
        <f>IF(Table13[[#This Row],[New Pos L]]&lt;&gt;0,Table13[[#This Row],[New Pos L]],Table13[[#This Row],[New Pos R]])</f>
        <v>31</v>
      </c>
      <c r="H2366">
        <f>IF(AND(Table13[[#This Row],[Direction]]="L",Table13[[#This Row],[Steps]]&gt;G2365,G2365&lt;&gt;0),1,0)</f>
        <v>0</v>
      </c>
      <c r="I2366">
        <f>IF(AND(Table13[[#This Row],[Direction]]="R",(G2365+Table13[[#This Row],[Steps]])&gt;100),1,0)</f>
        <v>0</v>
      </c>
      <c r="J2366">
        <f>IF(Table13[[#This Row],[POS]]=0,1,0)</f>
        <v>0</v>
      </c>
      <c r="K2366">
        <f>SUM(Table13[[#This Row],[prefix]],Table13[[#This Row],[Past zero L]],Table13[[#This Row],[Past Zero R]],Table13[[#This Row],[Is Zero]])</f>
        <v>0</v>
      </c>
    </row>
    <row r="2367" spans="1:11" ht="16" x14ac:dyDescent="0.2">
      <c r="A2367" s="1" t="s">
        <v>132</v>
      </c>
      <c r="B2367" t="str">
        <f>LEFT(Table13[[#This Row],[Input]],1)</f>
        <v>L</v>
      </c>
      <c r="C2367">
        <f>_xlfn.LET(_xlpm.steps,SUBSTITUTE(Table13[[#This Row],[Input]],Table13[[#This Row],[Direction]],""),VALUE(IF(LEN(_xlpm.steps)&gt;2,RIGHT(_xlpm.steps,2),_xlpm.steps)))</f>
        <v>51</v>
      </c>
      <c r="D2367">
        <f>_xlfn.LET(_xlpm.steps,SUBSTITUTE(Table13[[#This Row],[Input]],Table13[[#This Row],[Direction]],""),VALUE(IF(LEN(_xlpm.steps)&gt;2,LEFT(_xlpm.steps,LEN(_xlpm.steps)-2),0)))</f>
        <v>0</v>
      </c>
      <c r="E2367">
        <f>_xlfn.LET(_xlpm.dir,Table13[[#This Row],[Direction]],
IF(_xlpm.dir="L",
    IF(G2366-Table13[[#This Row],[Steps]]&lt;0,100+(G2366-Table13[[#This Row],[Steps]]),G2366-Table13[[#This Row],[Steps]]),
))</f>
        <v>80</v>
      </c>
      <c r="F2367">
        <f>_xlfn.LET(_xlpm.dir,Table13[[#This Row],[Direction]],
IF(_xlpm.dir="R",
    IF(G2366+Table13[[#This Row],[Steps]]&gt;99,(G2366+Table13[[#This Row],[Steps]])-100,G2366+Table13[[#This Row],[Steps]]),
))</f>
        <v>0</v>
      </c>
      <c r="G2367">
        <f>IF(Table13[[#This Row],[New Pos L]]&lt;&gt;0,Table13[[#This Row],[New Pos L]],Table13[[#This Row],[New Pos R]])</f>
        <v>80</v>
      </c>
      <c r="H2367">
        <f>IF(AND(Table13[[#This Row],[Direction]]="L",Table13[[#This Row],[Steps]]&gt;G2366,G2366&lt;&gt;0),1,0)</f>
        <v>1</v>
      </c>
      <c r="I2367">
        <f>IF(AND(Table13[[#This Row],[Direction]]="R",(G2366+Table13[[#This Row],[Steps]])&gt;100),1,0)</f>
        <v>0</v>
      </c>
      <c r="J2367">
        <f>IF(Table13[[#This Row],[POS]]=0,1,0)</f>
        <v>0</v>
      </c>
      <c r="K2367">
        <f>SUM(Table13[[#This Row],[prefix]],Table13[[#This Row],[Past zero L]],Table13[[#This Row],[Past Zero R]],Table13[[#This Row],[Is Zero]])</f>
        <v>1</v>
      </c>
    </row>
    <row r="2368" spans="1:11" ht="16" x14ac:dyDescent="0.2">
      <c r="A2368" s="1" t="s">
        <v>74</v>
      </c>
      <c r="B2368" t="str">
        <f>LEFT(Table13[[#This Row],[Input]],1)</f>
        <v>R</v>
      </c>
      <c r="C2368">
        <f>_xlfn.LET(_xlpm.steps,SUBSTITUTE(Table13[[#This Row],[Input]],Table13[[#This Row],[Direction]],""),VALUE(IF(LEN(_xlpm.steps)&gt;2,RIGHT(_xlpm.steps,2),_xlpm.steps)))</f>
        <v>93</v>
      </c>
      <c r="D2368">
        <f>_xlfn.LET(_xlpm.steps,SUBSTITUTE(Table13[[#This Row],[Input]],Table13[[#This Row],[Direction]],""),VALUE(IF(LEN(_xlpm.steps)&gt;2,LEFT(_xlpm.steps,LEN(_xlpm.steps)-2),0)))</f>
        <v>0</v>
      </c>
      <c r="E2368">
        <f>_xlfn.LET(_xlpm.dir,Table13[[#This Row],[Direction]],
IF(_xlpm.dir="L",
    IF(G2367-Table13[[#This Row],[Steps]]&lt;0,100+(G2367-Table13[[#This Row],[Steps]]),G2367-Table13[[#This Row],[Steps]]),
))</f>
        <v>0</v>
      </c>
      <c r="F2368">
        <f>_xlfn.LET(_xlpm.dir,Table13[[#This Row],[Direction]],
IF(_xlpm.dir="R",
    IF(G2367+Table13[[#This Row],[Steps]]&gt;99,(G2367+Table13[[#This Row],[Steps]])-100,G2367+Table13[[#This Row],[Steps]]),
))</f>
        <v>73</v>
      </c>
      <c r="G2368">
        <f>IF(Table13[[#This Row],[New Pos L]]&lt;&gt;0,Table13[[#This Row],[New Pos L]],Table13[[#This Row],[New Pos R]])</f>
        <v>73</v>
      </c>
      <c r="H2368">
        <f>IF(AND(Table13[[#This Row],[Direction]]="L",Table13[[#This Row],[Steps]]&gt;G2367,G2367&lt;&gt;0),1,0)</f>
        <v>0</v>
      </c>
      <c r="I2368">
        <f>IF(AND(Table13[[#This Row],[Direction]]="R",(G2367+Table13[[#This Row],[Steps]])&gt;100),1,0)</f>
        <v>1</v>
      </c>
      <c r="J2368">
        <f>IF(Table13[[#This Row],[POS]]=0,1,0)</f>
        <v>0</v>
      </c>
      <c r="K2368">
        <f>SUM(Table13[[#This Row],[prefix]],Table13[[#This Row],[Past zero L]],Table13[[#This Row],[Past Zero R]],Table13[[#This Row],[Is Zero]])</f>
        <v>1</v>
      </c>
    </row>
    <row r="2369" spans="1:11" ht="16" x14ac:dyDescent="0.2">
      <c r="A2369" s="1" t="s">
        <v>213</v>
      </c>
      <c r="B2369" t="str">
        <f>LEFT(Table13[[#This Row],[Input]],1)</f>
        <v>R</v>
      </c>
      <c r="C2369">
        <f>_xlfn.LET(_xlpm.steps,SUBSTITUTE(Table13[[#This Row],[Input]],Table13[[#This Row],[Direction]],""),VALUE(IF(LEN(_xlpm.steps)&gt;2,RIGHT(_xlpm.steps,2),_xlpm.steps)))</f>
        <v>87</v>
      </c>
      <c r="D2369">
        <f>_xlfn.LET(_xlpm.steps,SUBSTITUTE(Table13[[#This Row],[Input]],Table13[[#This Row],[Direction]],""),VALUE(IF(LEN(_xlpm.steps)&gt;2,LEFT(_xlpm.steps,LEN(_xlpm.steps)-2),0)))</f>
        <v>0</v>
      </c>
      <c r="E2369">
        <f>_xlfn.LET(_xlpm.dir,Table13[[#This Row],[Direction]],
IF(_xlpm.dir="L",
    IF(G2368-Table13[[#This Row],[Steps]]&lt;0,100+(G2368-Table13[[#This Row],[Steps]]),G2368-Table13[[#This Row],[Steps]]),
))</f>
        <v>0</v>
      </c>
      <c r="F2369">
        <f>_xlfn.LET(_xlpm.dir,Table13[[#This Row],[Direction]],
IF(_xlpm.dir="R",
    IF(G2368+Table13[[#This Row],[Steps]]&gt;99,(G2368+Table13[[#This Row],[Steps]])-100,G2368+Table13[[#This Row],[Steps]]),
))</f>
        <v>60</v>
      </c>
      <c r="G2369">
        <f>IF(Table13[[#This Row],[New Pos L]]&lt;&gt;0,Table13[[#This Row],[New Pos L]],Table13[[#This Row],[New Pos R]])</f>
        <v>60</v>
      </c>
      <c r="H2369">
        <f>IF(AND(Table13[[#This Row],[Direction]]="L",Table13[[#This Row],[Steps]]&gt;G2368,G2368&lt;&gt;0),1,0)</f>
        <v>0</v>
      </c>
      <c r="I2369">
        <f>IF(AND(Table13[[#This Row],[Direction]]="R",(G2368+Table13[[#This Row],[Steps]])&gt;100),1,0)</f>
        <v>1</v>
      </c>
      <c r="J2369">
        <f>IF(Table13[[#This Row],[POS]]=0,1,0)</f>
        <v>0</v>
      </c>
      <c r="K2369">
        <f>SUM(Table13[[#This Row],[prefix]],Table13[[#This Row],[Past zero L]],Table13[[#This Row],[Past Zero R]],Table13[[#This Row],[Is Zero]])</f>
        <v>1</v>
      </c>
    </row>
    <row r="2370" spans="1:11" ht="16" x14ac:dyDescent="0.2">
      <c r="A2370" s="1" t="s">
        <v>599</v>
      </c>
      <c r="B2370" t="str">
        <f>LEFT(Table13[[#This Row],[Input]],1)</f>
        <v>L</v>
      </c>
      <c r="C2370">
        <f>_xlfn.LET(_xlpm.steps,SUBSTITUTE(Table13[[#This Row],[Input]],Table13[[#This Row],[Direction]],""),VALUE(IF(LEN(_xlpm.steps)&gt;2,RIGHT(_xlpm.steps,2),_xlpm.steps)))</f>
        <v>60</v>
      </c>
      <c r="D2370">
        <f>_xlfn.LET(_xlpm.steps,SUBSTITUTE(Table13[[#This Row],[Input]],Table13[[#This Row],[Direction]],""),VALUE(IF(LEN(_xlpm.steps)&gt;2,LEFT(_xlpm.steps,LEN(_xlpm.steps)-2),0)))</f>
        <v>9</v>
      </c>
      <c r="E2370">
        <f>_xlfn.LET(_xlpm.dir,Table13[[#This Row],[Direction]],
IF(_xlpm.dir="L",
    IF(G2369-Table13[[#This Row],[Steps]]&lt;0,100+(G2369-Table13[[#This Row],[Steps]]),G2369-Table13[[#This Row],[Steps]]),
))</f>
        <v>0</v>
      </c>
      <c r="F2370">
        <f>_xlfn.LET(_xlpm.dir,Table13[[#This Row],[Direction]],
IF(_xlpm.dir="R",
    IF(G2369+Table13[[#This Row],[Steps]]&gt;99,(G2369+Table13[[#This Row],[Steps]])-100,G2369+Table13[[#This Row],[Steps]]),
))</f>
        <v>0</v>
      </c>
      <c r="G2370">
        <f>IF(Table13[[#This Row],[New Pos L]]&lt;&gt;0,Table13[[#This Row],[New Pos L]],Table13[[#This Row],[New Pos R]])</f>
        <v>0</v>
      </c>
      <c r="H2370">
        <f>IF(AND(Table13[[#This Row],[Direction]]="L",Table13[[#This Row],[Steps]]&gt;G2369,G2369&lt;&gt;0),1,0)</f>
        <v>0</v>
      </c>
      <c r="I2370">
        <f>IF(AND(Table13[[#This Row],[Direction]]="R",(G2369+Table13[[#This Row],[Steps]])&gt;100),1,0)</f>
        <v>0</v>
      </c>
      <c r="J2370">
        <f>IF(Table13[[#This Row],[POS]]=0,1,0)</f>
        <v>1</v>
      </c>
      <c r="K2370">
        <f>SUM(Table13[[#This Row],[prefix]],Table13[[#This Row],[Past zero L]],Table13[[#This Row],[Past Zero R]],Table13[[#This Row],[Is Zero]])</f>
        <v>10</v>
      </c>
    </row>
    <row r="2371" spans="1:11" ht="16" x14ac:dyDescent="0.2">
      <c r="A2371" s="1" t="s">
        <v>2</v>
      </c>
      <c r="B2371" t="str">
        <f>LEFT(Table13[[#This Row],[Input]],1)</f>
        <v>L</v>
      </c>
      <c r="C2371">
        <f>_xlfn.LET(_xlpm.steps,SUBSTITUTE(Table13[[#This Row],[Input]],Table13[[#This Row],[Direction]],""),VALUE(IF(LEN(_xlpm.steps)&gt;2,RIGHT(_xlpm.steps,2),_xlpm.steps)))</f>
        <v>38</v>
      </c>
      <c r="D2371">
        <f>_xlfn.LET(_xlpm.steps,SUBSTITUTE(Table13[[#This Row],[Input]],Table13[[#This Row],[Direction]],""),VALUE(IF(LEN(_xlpm.steps)&gt;2,LEFT(_xlpm.steps,LEN(_xlpm.steps)-2),0)))</f>
        <v>0</v>
      </c>
      <c r="E2371">
        <f>_xlfn.LET(_xlpm.dir,Table13[[#This Row],[Direction]],
IF(_xlpm.dir="L",
    IF(G2370-Table13[[#This Row],[Steps]]&lt;0,100+(G2370-Table13[[#This Row],[Steps]]),G2370-Table13[[#This Row],[Steps]]),
))</f>
        <v>62</v>
      </c>
      <c r="F2371">
        <f>_xlfn.LET(_xlpm.dir,Table13[[#This Row],[Direction]],
IF(_xlpm.dir="R",
    IF(G2370+Table13[[#This Row],[Steps]]&gt;99,(G2370+Table13[[#This Row],[Steps]])-100,G2370+Table13[[#This Row],[Steps]]),
))</f>
        <v>0</v>
      </c>
      <c r="G2371">
        <f>IF(Table13[[#This Row],[New Pos L]]&lt;&gt;0,Table13[[#This Row],[New Pos L]],Table13[[#This Row],[New Pos R]])</f>
        <v>62</v>
      </c>
      <c r="H2371">
        <f>IF(AND(Table13[[#This Row],[Direction]]="L",Table13[[#This Row],[Steps]]&gt;G2370,G2370&lt;&gt;0),1,0)</f>
        <v>0</v>
      </c>
      <c r="I2371">
        <f>IF(AND(Table13[[#This Row],[Direction]]="R",(G2370+Table13[[#This Row],[Steps]])&gt;100),1,0)</f>
        <v>0</v>
      </c>
      <c r="J2371">
        <f>IF(Table13[[#This Row],[POS]]=0,1,0)</f>
        <v>0</v>
      </c>
      <c r="K2371">
        <f>SUM(Table13[[#This Row],[prefix]],Table13[[#This Row],[Past zero L]],Table13[[#This Row],[Past Zero R]],Table13[[#This Row],[Is Zero]])</f>
        <v>0</v>
      </c>
    </row>
    <row r="2372" spans="1:11" ht="16" x14ac:dyDescent="0.2">
      <c r="A2372" s="1" t="s">
        <v>139</v>
      </c>
      <c r="B2372" t="str">
        <f>LEFT(Table13[[#This Row],[Input]],1)</f>
        <v>R</v>
      </c>
      <c r="C2372">
        <f>_xlfn.LET(_xlpm.steps,SUBSTITUTE(Table13[[#This Row],[Input]],Table13[[#This Row],[Direction]],""),VALUE(IF(LEN(_xlpm.steps)&gt;2,RIGHT(_xlpm.steps,2),_xlpm.steps)))</f>
        <v>38</v>
      </c>
      <c r="D2372">
        <f>_xlfn.LET(_xlpm.steps,SUBSTITUTE(Table13[[#This Row],[Input]],Table13[[#This Row],[Direction]],""),VALUE(IF(LEN(_xlpm.steps)&gt;2,LEFT(_xlpm.steps,LEN(_xlpm.steps)-2),0)))</f>
        <v>0</v>
      </c>
      <c r="E2372">
        <f>_xlfn.LET(_xlpm.dir,Table13[[#This Row],[Direction]],
IF(_xlpm.dir="L",
    IF(G2371-Table13[[#This Row],[Steps]]&lt;0,100+(G2371-Table13[[#This Row],[Steps]]),G2371-Table13[[#This Row],[Steps]]),
))</f>
        <v>0</v>
      </c>
      <c r="F2372">
        <f>_xlfn.LET(_xlpm.dir,Table13[[#This Row],[Direction]],
IF(_xlpm.dir="R",
    IF(G2371+Table13[[#This Row],[Steps]]&gt;99,(G2371+Table13[[#This Row],[Steps]])-100,G2371+Table13[[#This Row],[Steps]]),
))</f>
        <v>0</v>
      </c>
      <c r="G2372">
        <f>IF(Table13[[#This Row],[New Pos L]]&lt;&gt;0,Table13[[#This Row],[New Pos L]],Table13[[#This Row],[New Pos R]])</f>
        <v>0</v>
      </c>
      <c r="H2372">
        <f>IF(AND(Table13[[#This Row],[Direction]]="L",Table13[[#This Row],[Steps]]&gt;G2371,G2371&lt;&gt;0),1,0)</f>
        <v>0</v>
      </c>
      <c r="I2372">
        <f>IF(AND(Table13[[#This Row],[Direction]]="R",(G2371+Table13[[#This Row],[Steps]])&gt;100),1,0)</f>
        <v>0</v>
      </c>
      <c r="J2372">
        <f>IF(Table13[[#This Row],[POS]]=0,1,0)</f>
        <v>1</v>
      </c>
      <c r="K2372">
        <f>SUM(Table13[[#This Row],[prefix]],Table13[[#This Row],[Past zero L]],Table13[[#This Row],[Past Zero R]],Table13[[#This Row],[Is Zero]])</f>
        <v>1</v>
      </c>
    </row>
    <row r="2373" spans="1:11" ht="16" x14ac:dyDescent="0.2">
      <c r="A2373" s="1" t="s">
        <v>600</v>
      </c>
      <c r="B2373" t="str">
        <f>LEFT(Table13[[#This Row],[Input]],1)</f>
        <v>R</v>
      </c>
      <c r="C2373">
        <f>_xlfn.LET(_xlpm.steps,SUBSTITUTE(Table13[[#This Row],[Input]],Table13[[#This Row],[Direction]],""),VALUE(IF(LEN(_xlpm.steps)&gt;2,RIGHT(_xlpm.steps,2),_xlpm.steps)))</f>
        <v>1</v>
      </c>
      <c r="D2373">
        <f>_xlfn.LET(_xlpm.steps,SUBSTITUTE(Table13[[#This Row],[Input]],Table13[[#This Row],[Direction]],""),VALUE(IF(LEN(_xlpm.steps)&gt;2,LEFT(_xlpm.steps,LEN(_xlpm.steps)-2),0)))</f>
        <v>7</v>
      </c>
      <c r="E2373">
        <f>_xlfn.LET(_xlpm.dir,Table13[[#This Row],[Direction]],
IF(_xlpm.dir="L",
    IF(G2372-Table13[[#This Row],[Steps]]&lt;0,100+(G2372-Table13[[#This Row],[Steps]]),G2372-Table13[[#This Row],[Steps]]),
))</f>
        <v>0</v>
      </c>
      <c r="F2373">
        <f>_xlfn.LET(_xlpm.dir,Table13[[#This Row],[Direction]],
IF(_xlpm.dir="R",
    IF(G2372+Table13[[#This Row],[Steps]]&gt;99,(G2372+Table13[[#This Row],[Steps]])-100,G2372+Table13[[#This Row],[Steps]]),
))</f>
        <v>1</v>
      </c>
      <c r="G2373">
        <f>IF(Table13[[#This Row],[New Pos L]]&lt;&gt;0,Table13[[#This Row],[New Pos L]],Table13[[#This Row],[New Pos R]])</f>
        <v>1</v>
      </c>
      <c r="H2373">
        <f>IF(AND(Table13[[#This Row],[Direction]]="L",Table13[[#This Row],[Steps]]&gt;G2372,G2372&lt;&gt;0),1,0)</f>
        <v>0</v>
      </c>
      <c r="I2373">
        <f>IF(AND(Table13[[#This Row],[Direction]]="R",(G2372+Table13[[#This Row],[Steps]])&gt;100),1,0)</f>
        <v>0</v>
      </c>
      <c r="J2373">
        <f>IF(Table13[[#This Row],[POS]]=0,1,0)</f>
        <v>0</v>
      </c>
      <c r="K2373">
        <f>SUM(Table13[[#This Row],[prefix]],Table13[[#This Row],[Past zero L]],Table13[[#This Row],[Past Zero R]],Table13[[#This Row],[Is Zero]])</f>
        <v>7</v>
      </c>
    </row>
    <row r="2374" spans="1:11" ht="16" x14ac:dyDescent="0.2">
      <c r="A2374" s="1" t="s">
        <v>164</v>
      </c>
      <c r="B2374" t="str">
        <f>LEFT(Table13[[#This Row],[Input]],1)</f>
        <v>R</v>
      </c>
      <c r="C2374">
        <f>_xlfn.LET(_xlpm.steps,SUBSTITUTE(Table13[[#This Row],[Input]],Table13[[#This Row],[Direction]],""),VALUE(IF(LEN(_xlpm.steps)&gt;2,RIGHT(_xlpm.steps,2),_xlpm.steps)))</f>
        <v>85</v>
      </c>
      <c r="D2374">
        <f>_xlfn.LET(_xlpm.steps,SUBSTITUTE(Table13[[#This Row],[Input]],Table13[[#This Row],[Direction]],""),VALUE(IF(LEN(_xlpm.steps)&gt;2,LEFT(_xlpm.steps,LEN(_xlpm.steps)-2),0)))</f>
        <v>0</v>
      </c>
      <c r="E2374">
        <f>_xlfn.LET(_xlpm.dir,Table13[[#This Row],[Direction]],
IF(_xlpm.dir="L",
    IF(G2373-Table13[[#This Row],[Steps]]&lt;0,100+(G2373-Table13[[#This Row],[Steps]]),G2373-Table13[[#This Row],[Steps]]),
))</f>
        <v>0</v>
      </c>
      <c r="F2374">
        <f>_xlfn.LET(_xlpm.dir,Table13[[#This Row],[Direction]],
IF(_xlpm.dir="R",
    IF(G2373+Table13[[#This Row],[Steps]]&gt;99,(G2373+Table13[[#This Row],[Steps]])-100,G2373+Table13[[#This Row],[Steps]]),
))</f>
        <v>86</v>
      </c>
      <c r="G2374">
        <f>IF(Table13[[#This Row],[New Pos L]]&lt;&gt;0,Table13[[#This Row],[New Pos L]],Table13[[#This Row],[New Pos R]])</f>
        <v>86</v>
      </c>
      <c r="H2374">
        <f>IF(AND(Table13[[#This Row],[Direction]]="L",Table13[[#This Row],[Steps]]&gt;G2373,G2373&lt;&gt;0),1,0)</f>
        <v>0</v>
      </c>
      <c r="I2374">
        <f>IF(AND(Table13[[#This Row],[Direction]]="R",(G2373+Table13[[#This Row],[Steps]])&gt;100),1,0)</f>
        <v>0</v>
      </c>
      <c r="J2374">
        <f>IF(Table13[[#This Row],[POS]]=0,1,0)</f>
        <v>0</v>
      </c>
      <c r="K2374">
        <f>SUM(Table13[[#This Row],[prefix]],Table13[[#This Row],[Past zero L]],Table13[[#This Row],[Past Zero R]],Table13[[#This Row],[Is Zero]])</f>
        <v>0</v>
      </c>
    </row>
    <row r="2375" spans="1:11" ht="16" x14ac:dyDescent="0.2">
      <c r="A2375" s="1" t="s">
        <v>57</v>
      </c>
      <c r="B2375" t="str">
        <f>LEFT(Table13[[#This Row],[Input]],1)</f>
        <v>R</v>
      </c>
      <c r="C2375">
        <f>_xlfn.LET(_xlpm.steps,SUBSTITUTE(Table13[[#This Row],[Input]],Table13[[#This Row],[Direction]],""),VALUE(IF(LEN(_xlpm.steps)&gt;2,RIGHT(_xlpm.steps,2),_xlpm.steps)))</f>
        <v>29</v>
      </c>
      <c r="D2375">
        <f>_xlfn.LET(_xlpm.steps,SUBSTITUTE(Table13[[#This Row],[Input]],Table13[[#This Row],[Direction]],""),VALUE(IF(LEN(_xlpm.steps)&gt;2,LEFT(_xlpm.steps,LEN(_xlpm.steps)-2),0)))</f>
        <v>0</v>
      </c>
      <c r="E2375">
        <f>_xlfn.LET(_xlpm.dir,Table13[[#This Row],[Direction]],
IF(_xlpm.dir="L",
    IF(G2374-Table13[[#This Row],[Steps]]&lt;0,100+(G2374-Table13[[#This Row],[Steps]]),G2374-Table13[[#This Row],[Steps]]),
))</f>
        <v>0</v>
      </c>
      <c r="F2375">
        <f>_xlfn.LET(_xlpm.dir,Table13[[#This Row],[Direction]],
IF(_xlpm.dir="R",
    IF(G2374+Table13[[#This Row],[Steps]]&gt;99,(G2374+Table13[[#This Row],[Steps]])-100,G2374+Table13[[#This Row],[Steps]]),
))</f>
        <v>15</v>
      </c>
      <c r="G2375">
        <f>IF(Table13[[#This Row],[New Pos L]]&lt;&gt;0,Table13[[#This Row],[New Pos L]],Table13[[#This Row],[New Pos R]])</f>
        <v>15</v>
      </c>
      <c r="H2375">
        <f>IF(AND(Table13[[#This Row],[Direction]]="L",Table13[[#This Row],[Steps]]&gt;G2374,G2374&lt;&gt;0),1,0)</f>
        <v>0</v>
      </c>
      <c r="I2375">
        <f>IF(AND(Table13[[#This Row],[Direction]]="R",(G2374+Table13[[#This Row],[Steps]])&gt;100),1,0)</f>
        <v>1</v>
      </c>
      <c r="J2375">
        <f>IF(Table13[[#This Row],[POS]]=0,1,0)</f>
        <v>0</v>
      </c>
      <c r="K2375">
        <f>SUM(Table13[[#This Row],[prefix]],Table13[[#This Row],[Past zero L]],Table13[[#This Row],[Past Zero R]],Table13[[#This Row],[Is Zero]])</f>
        <v>1</v>
      </c>
    </row>
    <row r="2376" spans="1:11" ht="16" x14ac:dyDescent="0.2">
      <c r="A2376" s="1" t="s">
        <v>135</v>
      </c>
      <c r="B2376" t="str">
        <f>LEFT(Table13[[#This Row],[Input]],1)</f>
        <v>R</v>
      </c>
      <c r="C2376">
        <f>_xlfn.LET(_xlpm.steps,SUBSTITUTE(Table13[[#This Row],[Input]],Table13[[#This Row],[Direction]],""),VALUE(IF(LEN(_xlpm.steps)&gt;2,RIGHT(_xlpm.steps,2),_xlpm.steps)))</f>
        <v>69</v>
      </c>
      <c r="D2376">
        <f>_xlfn.LET(_xlpm.steps,SUBSTITUTE(Table13[[#This Row],[Input]],Table13[[#This Row],[Direction]],""),VALUE(IF(LEN(_xlpm.steps)&gt;2,LEFT(_xlpm.steps,LEN(_xlpm.steps)-2),0)))</f>
        <v>0</v>
      </c>
      <c r="E2376">
        <f>_xlfn.LET(_xlpm.dir,Table13[[#This Row],[Direction]],
IF(_xlpm.dir="L",
    IF(G2375-Table13[[#This Row],[Steps]]&lt;0,100+(G2375-Table13[[#This Row],[Steps]]),G2375-Table13[[#This Row],[Steps]]),
))</f>
        <v>0</v>
      </c>
      <c r="F2376">
        <f>_xlfn.LET(_xlpm.dir,Table13[[#This Row],[Direction]],
IF(_xlpm.dir="R",
    IF(G2375+Table13[[#This Row],[Steps]]&gt;99,(G2375+Table13[[#This Row],[Steps]])-100,G2375+Table13[[#This Row],[Steps]]),
))</f>
        <v>84</v>
      </c>
      <c r="G2376">
        <f>IF(Table13[[#This Row],[New Pos L]]&lt;&gt;0,Table13[[#This Row],[New Pos L]],Table13[[#This Row],[New Pos R]])</f>
        <v>84</v>
      </c>
      <c r="H2376">
        <f>IF(AND(Table13[[#This Row],[Direction]]="L",Table13[[#This Row],[Steps]]&gt;G2375,G2375&lt;&gt;0),1,0)</f>
        <v>0</v>
      </c>
      <c r="I2376">
        <f>IF(AND(Table13[[#This Row],[Direction]]="R",(G2375+Table13[[#This Row],[Steps]])&gt;100),1,0)</f>
        <v>0</v>
      </c>
      <c r="J2376">
        <f>IF(Table13[[#This Row],[POS]]=0,1,0)</f>
        <v>0</v>
      </c>
      <c r="K2376">
        <f>SUM(Table13[[#This Row],[prefix]],Table13[[#This Row],[Past zero L]],Table13[[#This Row],[Past Zero R]],Table13[[#This Row],[Is Zero]])</f>
        <v>0</v>
      </c>
    </row>
    <row r="2377" spans="1:11" ht="16" x14ac:dyDescent="0.2">
      <c r="A2377" s="1" t="s">
        <v>601</v>
      </c>
      <c r="B2377" t="str">
        <f>LEFT(Table13[[#This Row],[Input]],1)</f>
        <v>R</v>
      </c>
      <c r="C2377">
        <f>_xlfn.LET(_xlpm.steps,SUBSTITUTE(Table13[[#This Row],[Input]],Table13[[#This Row],[Direction]],""),VALUE(IF(LEN(_xlpm.steps)&gt;2,RIGHT(_xlpm.steps,2),_xlpm.steps)))</f>
        <v>9</v>
      </c>
      <c r="D2377">
        <f>_xlfn.LET(_xlpm.steps,SUBSTITUTE(Table13[[#This Row],[Input]],Table13[[#This Row],[Direction]],""),VALUE(IF(LEN(_xlpm.steps)&gt;2,LEFT(_xlpm.steps,LEN(_xlpm.steps)-2),0)))</f>
        <v>2</v>
      </c>
      <c r="E2377">
        <f>_xlfn.LET(_xlpm.dir,Table13[[#This Row],[Direction]],
IF(_xlpm.dir="L",
    IF(G2376-Table13[[#This Row],[Steps]]&lt;0,100+(G2376-Table13[[#This Row],[Steps]]),G2376-Table13[[#This Row],[Steps]]),
))</f>
        <v>0</v>
      </c>
      <c r="F2377">
        <f>_xlfn.LET(_xlpm.dir,Table13[[#This Row],[Direction]],
IF(_xlpm.dir="R",
    IF(G2376+Table13[[#This Row],[Steps]]&gt;99,(G2376+Table13[[#This Row],[Steps]])-100,G2376+Table13[[#This Row],[Steps]]),
))</f>
        <v>93</v>
      </c>
      <c r="G2377">
        <f>IF(Table13[[#This Row],[New Pos L]]&lt;&gt;0,Table13[[#This Row],[New Pos L]],Table13[[#This Row],[New Pos R]])</f>
        <v>93</v>
      </c>
      <c r="H2377">
        <f>IF(AND(Table13[[#This Row],[Direction]]="L",Table13[[#This Row],[Steps]]&gt;G2376,G2376&lt;&gt;0),1,0)</f>
        <v>0</v>
      </c>
      <c r="I2377">
        <f>IF(AND(Table13[[#This Row],[Direction]]="R",(G2376+Table13[[#This Row],[Steps]])&gt;100),1,0)</f>
        <v>0</v>
      </c>
      <c r="J2377">
        <f>IF(Table13[[#This Row],[POS]]=0,1,0)</f>
        <v>0</v>
      </c>
      <c r="K2377">
        <f>SUM(Table13[[#This Row],[prefix]],Table13[[#This Row],[Past zero L]],Table13[[#This Row],[Past Zero R]],Table13[[#This Row],[Is Zero]])</f>
        <v>2</v>
      </c>
    </row>
    <row r="2378" spans="1:11" ht="16" x14ac:dyDescent="0.2">
      <c r="A2378" s="1" t="s">
        <v>353</v>
      </c>
      <c r="B2378" t="str">
        <f>LEFT(Table13[[#This Row],[Input]],1)</f>
        <v>R</v>
      </c>
      <c r="C2378">
        <f>_xlfn.LET(_xlpm.steps,SUBSTITUTE(Table13[[#This Row],[Input]],Table13[[#This Row],[Direction]],""),VALUE(IF(LEN(_xlpm.steps)&gt;2,RIGHT(_xlpm.steps,2),_xlpm.steps)))</f>
        <v>7</v>
      </c>
      <c r="D2378">
        <f>_xlfn.LET(_xlpm.steps,SUBSTITUTE(Table13[[#This Row],[Input]],Table13[[#This Row],[Direction]],""),VALUE(IF(LEN(_xlpm.steps)&gt;2,LEFT(_xlpm.steps,LEN(_xlpm.steps)-2),0)))</f>
        <v>0</v>
      </c>
      <c r="E2378">
        <f>_xlfn.LET(_xlpm.dir,Table13[[#This Row],[Direction]],
IF(_xlpm.dir="L",
    IF(G2377-Table13[[#This Row],[Steps]]&lt;0,100+(G2377-Table13[[#This Row],[Steps]]),G2377-Table13[[#This Row],[Steps]]),
))</f>
        <v>0</v>
      </c>
      <c r="F2378">
        <f>_xlfn.LET(_xlpm.dir,Table13[[#This Row],[Direction]],
IF(_xlpm.dir="R",
    IF(G2377+Table13[[#This Row],[Steps]]&gt;99,(G2377+Table13[[#This Row],[Steps]])-100,G2377+Table13[[#This Row],[Steps]]),
))</f>
        <v>0</v>
      </c>
      <c r="G2378">
        <f>IF(Table13[[#This Row],[New Pos L]]&lt;&gt;0,Table13[[#This Row],[New Pos L]],Table13[[#This Row],[New Pos R]])</f>
        <v>0</v>
      </c>
      <c r="H2378">
        <f>IF(AND(Table13[[#This Row],[Direction]]="L",Table13[[#This Row],[Steps]]&gt;G2377,G2377&lt;&gt;0),1,0)</f>
        <v>0</v>
      </c>
      <c r="I2378">
        <f>IF(AND(Table13[[#This Row],[Direction]]="R",(G2377+Table13[[#This Row],[Steps]])&gt;100),1,0)</f>
        <v>0</v>
      </c>
      <c r="J2378">
        <f>IF(Table13[[#This Row],[POS]]=0,1,0)</f>
        <v>1</v>
      </c>
      <c r="K2378">
        <f>SUM(Table13[[#This Row],[prefix]],Table13[[#This Row],[Past zero L]],Table13[[#This Row],[Past Zero R]],Table13[[#This Row],[Is Zero]])</f>
        <v>1</v>
      </c>
    </row>
    <row r="2379" spans="1:11" ht="16" x14ac:dyDescent="0.2">
      <c r="A2379" s="1" t="s">
        <v>37</v>
      </c>
      <c r="B2379" t="str">
        <f>LEFT(Table13[[#This Row],[Input]],1)</f>
        <v>L</v>
      </c>
      <c r="C2379">
        <f>_xlfn.LET(_xlpm.steps,SUBSTITUTE(Table13[[#This Row],[Input]],Table13[[#This Row],[Direction]],""),VALUE(IF(LEN(_xlpm.steps)&gt;2,RIGHT(_xlpm.steps,2),_xlpm.steps)))</f>
        <v>42</v>
      </c>
      <c r="D2379">
        <f>_xlfn.LET(_xlpm.steps,SUBSTITUTE(Table13[[#This Row],[Input]],Table13[[#This Row],[Direction]],""),VALUE(IF(LEN(_xlpm.steps)&gt;2,LEFT(_xlpm.steps,LEN(_xlpm.steps)-2),0)))</f>
        <v>0</v>
      </c>
      <c r="E2379">
        <f>_xlfn.LET(_xlpm.dir,Table13[[#This Row],[Direction]],
IF(_xlpm.dir="L",
    IF(G2378-Table13[[#This Row],[Steps]]&lt;0,100+(G2378-Table13[[#This Row],[Steps]]),G2378-Table13[[#This Row],[Steps]]),
))</f>
        <v>58</v>
      </c>
      <c r="F2379">
        <f>_xlfn.LET(_xlpm.dir,Table13[[#This Row],[Direction]],
IF(_xlpm.dir="R",
    IF(G2378+Table13[[#This Row],[Steps]]&gt;99,(G2378+Table13[[#This Row],[Steps]])-100,G2378+Table13[[#This Row],[Steps]]),
))</f>
        <v>0</v>
      </c>
      <c r="G2379">
        <f>IF(Table13[[#This Row],[New Pos L]]&lt;&gt;0,Table13[[#This Row],[New Pos L]],Table13[[#This Row],[New Pos R]])</f>
        <v>58</v>
      </c>
      <c r="H2379">
        <f>IF(AND(Table13[[#This Row],[Direction]]="L",Table13[[#This Row],[Steps]]&gt;G2378,G2378&lt;&gt;0),1,0)</f>
        <v>0</v>
      </c>
      <c r="I2379">
        <f>IF(AND(Table13[[#This Row],[Direction]]="R",(G2378+Table13[[#This Row],[Steps]])&gt;100),1,0)</f>
        <v>0</v>
      </c>
      <c r="J2379">
        <f>IF(Table13[[#This Row],[POS]]=0,1,0)</f>
        <v>0</v>
      </c>
      <c r="K2379">
        <f>SUM(Table13[[#This Row],[prefix]],Table13[[#This Row],[Past zero L]],Table13[[#This Row],[Past Zero R]],Table13[[#This Row],[Is Zero]])</f>
        <v>0</v>
      </c>
    </row>
    <row r="2380" spans="1:11" ht="16" x14ac:dyDescent="0.2">
      <c r="A2380" s="1" t="s">
        <v>171</v>
      </c>
      <c r="B2380" t="str">
        <f>LEFT(Table13[[#This Row],[Input]],1)</f>
        <v>L</v>
      </c>
      <c r="C2380">
        <f>_xlfn.LET(_xlpm.steps,SUBSTITUTE(Table13[[#This Row],[Input]],Table13[[#This Row],[Direction]],""),VALUE(IF(LEN(_xlpm.steps)&gt;2,RIGHT(_xlpm.steps,2),_xlpm.steps)))</f>
        <v>73</v>
      </c>
      <c r="D2380">
        <f>_xlfn.LET(_xlpm.steps,SUBSTITUTE(Table13[[#This Row],[Input]],Table13[[#This Row],[Direction]],""),VALUE(IF(LEN(_xlpm.steps)&gt;2,LEFT(_xlpm.steps,LEN(_xlpm.steps)-2),0)))</f>
        <v>0</v>
      </c>
      <c r="E2380">
        <f>_xlfn.LET(_xlpm.dir,Table13[[#This Row],[Direction]],
IF(_xlpm.dir="L",
    IF(G2379-Table13[[#This Row],[Steps]]&lt;0,100+(G2379-Table13[[#This Row],[Steps]]),G2379-Table13[[#This Row],[Steps]]),
))</f>
        <v>85</v>
      </c>
      <c r="F2380">
        <f>_xlfn.LET(_xlpm.dir,Table13[[#This Row],[Direction]],
IF(_xlpm.dir="R",
    IF(G2379+Table13[[#This Row],[Steps]]&gt;99,(G2379+Table13[[#This Row],[Steps]])-100,G2379+Table13[[#This Row],[Steps]]),
))</f>
        <v>0</v>
      </c>
      <c r="G2380">
        <f>IF(Table13[[#This Row],[New Pos L]]&lt;&gt;0,Table13[[#This Row],[New Pos L]],Table13[[#This Row],[New Pos R]])</f>
        <v>85</v>
      </c>
      <c r="H2380">
        <f>IF(AND(Table13[[#This Row],[Direction]]="L",Table13[[#This Row],[Steps]]&gt;G2379,G2379&lt;&gt;0),1,0)</f>
        <v>1</v>
      </c>
      <c r="I2380">
        <f>IF(AND(Table13[[#This Row],[Direction]]="R",(G2379+Table13[[#This Row],[Steps]])&gt;100),1,0)</f>
        <v>0</v>
      </c>
      <c r="J2380">
        <f>IF(Table13[[#This Row],[POS]]=0,1,0)</f>
        <v>0</v>
      </c>
      <c r="K2380">
        <f>SUM(Table13[[#This Row],[prefix]],Table13[[#This Row],[Past zero L]],Table13[[#This Row],[Past Zero R]],Table13[[#This Row],[Is Zero]])</f>
        <v>1</v>
      </c>
    </row>
    <row r="2381" spans="1:11" ht="16" x14ac:dyDescent="0.2">
      <c r="A2381" s="1" t="s">
        <v>201</v>
      </c>
      <c r="B2381" t="str">
        <f>LEFT(Table13[[#This Row],[Input]],1)</f>
        <v>R</v>
      </c>
      <c r="C2381">
        <f>_xlfn.LET(_xlpm.steps,SUBSTITUTE(Table13[[#This Row],[Input]],Table13[[#This Row],[Direction]],""),VALUE(IF(LEN(_xlpm.steps)&gt;2,RIGHT(_xlpm.steps,2),_xlpm.steps)))</f>
        <v>31</v>
      </c>
      <c r="D2381">
        <f>_xlfn.LET(_xlpm.steps,SUBSTITUTE(Table13[[#This Row],[Input]],Table13[[#This Row],[Direction]],""),VALUE(IF(LEN(_xlpm.steps)&gt;2,LEFT(_xlpm.steps,LEN(_xlpm.steps)-2),0)))</f>
        <v>0</v>
      </c>
      <c r="E2381">
        <f>_xlfn.LET(_xlpm.dir,Table13[[#This Row],[Direction]],
IF(_xlpm.dir="L",
    IF(G2380-Table13[[#This Row],[Steps]]&lt;0,100+(G2380-Table13[[#This Row],[Steps]]),G2380-Table13[[#This Row],[Steps]]),
))</f>
        <v>0</v>
      </c>
      <c r="F2381">
        <f>_xlfn.LET(_xlpm.dir,Table13[[#This Row],[Direction]],
IF(_xlpm.dir="R",
    IF(G2380+Table13[[#This Row],[Steps]]&gt;99,(G2380+Table13[[#This Row],[Steps]])-100,G2380+Table13[[#This Row],[Steps]]),
))</f>
        <v>16</v>
      </c>
      <c r="G2381">
        <f>IF(Table13[[#This Row],[New Pos L]]&lt;&gt;0,Table13[[#This Row],[New Pos L]],Table13[[#This Row],[New Pos R]])</f>
        <v>16</v>
      </c>
      <c r="H2381">
        <f>IF(AND(Table13[[#This Row],[Direction]]="L",Table13[[#This Row],[Steps]]&gt;G2380,G2380&lt;&gt;0),1,0)</f>
        <v>0</v>
      </c>
      <c r="I2381">
        <f>IF(AND(Table13[[#This Row],[Direction]]="R",(G2380+Table13[[#This Row],[Steps]])&gt;100),1,0)</f>
        <v>1</v>
      </c>
      <c r="J2381">
        <f>IF(Table13[[#This Row],[POS]]=0,1,0)</f>
        <v>0</v>
      </c>
      <c r="K2381">
        <f>SUM(Table13[[#This Row],[prefix]],Table13[[#This Row],[Past zero L]],Table13[[#This Row],[Past Zero R]],Table13[[#This Row],[Is Zero]])</f>
        <v>1</v>
      </c>
    </row>
    <row r="2382" spans="1:11" ht="16" x14ac:dyDescent="0.2">
      <c r="A2382" s="1" t="s">
        <v>252</v>
      </c>
      <c r="B2382" t="str">
        <f>LEFT(Table13[[#This Row],[Input]],1)</f>
        <v>L</v>
      </c>
      <c r="C2382">
        <f>_xlfn.LET(_xlpm.steps,SUBSTITUTE(Table13[[#This Row],[Input]],Table13[[#This Row],[Direction]],""),VALUE(IF(LEN(_xlpm.steps)&gt;2,RIGHT(_xlpm.steps,2),_xlpm.steps)))</f>
        <v>99</v>
      </c>
      <c r="D2382">
        <f>_xlfn.LET(_xlpm.steps,SUBSTITUTE(Table13[[#This Row],[Input]],Table13[[#This Row],[Direction]],""),VALUE(IF(LEN(_xlpm.steps)&gt;2,LEFT(_xlpm.steps,LEN(_xlpm.steps)-2),0)))</f>
        <v>0</v>
      </c>
      <c r="E2382">
        <f>_xlfn.LET(_xlpm.dir,Table13[[#This Row],[Direction]],
IF(_xlpm.dir="L",
    IF(G2381-Table13[[#This Row],[Steps]]&lt;0,100+(G2381-Table13[[#This Row],[Steps]]),G2381-Table13[[#This Row],[Steps]]),
))</f>
        <v>17</v>
      </c>
      <c r="F2382">
        <f>_xlfn.LET(_xlpm.dir,Table13[[#This Row],[Direction]],
IF(_xlpm.dir="R",
    IF(G2381+Table13[[#This Row],[Steps]]&gt;99,(G2381+Table13[[#This Row],[Steps]])-100,G2381+Table13[[#This Row],[Steps]]),
))</f>
        <v>0</v>
      </c>
      <c r="G2382">
        <f>IF(Table13[[#This Row],[New Pos L]]&lt;&gt;0,Table13[[#This Row],[New Pos L]],Table13[[#This Row],[New Pos R]])</f>
        <v>17</v>
      </c>
      <c r="H2382">
        <f>IF(AND(Table13[[#This Row],[Direction]]="L",Table13[[#This Row],[Steps]]&gt;G2381,G2381&lt;&gt;0),1,0)</f>
        <v>1</v>
      </c>
      <c r="I2382">
        <f>IF(AND(Table13[[#This Row],[Direction]]="R",(G2381+Table13[[#This Row],[Steps]])&gt;100),1,0)</f>
        <v>0</v>
      </c>
      <c r="J2382">
        <f>IF(Table13[[#This Row],[POS]]=0,1,0)</f>
        <v>0</v>
      </c>
      <c r="K2382">
        <f>SUM(Table13[[#This Row],[prefix]],Table13[[#This Row],[Past zero L]],Table13[[#This Row],[Past Zero R]],Table13[[#This Row],[Is Zero]])</f>
        <v>1</v>
      </c>
    </row>
    <row r="2383" spans="1:11" ht="16" x14ac:dyDescent="0.2">
      <c r="A2383" s="1" t="s">
        <v>462</v>
      </c>
      <c r="B2383" t="str">
        <f>LEFT(Table13[[#This Row],[Input]],1)</f>
        <v>L</v>
      </c>
      <c r="C2383">
        <f>_xlfn.LET(_xlpm.steps,SUBSTITUTE(Table13[[#This Row],[Input]],Table13[[#This Row],[Direction]],""),VALUE(IF(LEN(_xlpm.steps)&gt;2,RIGHT(_xlpm.steps,2),_xlpm.steps)))</f>
        <v>17</v>
      </c>
      <c r="D2383">
        <f>_xlfn.LET(_xlpm.steps,SUBSTITUTE(Table13[[#This Row],[Input]],Table13[[#This Row],[Direction]],""),VALUE(IF(LEN(_xlpm.steps)&gt;2,LEFT(_xlpm.steps,LEN(_xlpm.steps)-2),0)))</f>
        <v>0</v>
      </c>
      <c r="E2383">
        <f>_xlfn.LET(_xlpm.dir,Table13[[#This Row],[Direction]],
IF(_xlpm.dir="L",
    IF(G2382-Table13[[#This Row],[Steps]]&lt;0,100+(G2382-Table13[[#This Row],[Steps]]),G2382-Table13[[#This Row],[Steps]]),
))</f>
        <v>0</v>
      </c>
      <c r="F2383">
        <f>_xlfn.LET(_xlpm.dir,Table13[[#This Row],[Direction]],
IF(_xlpm.dir="R",
    IF(G2382+Table13[[#This Row],[Steps]]&gt;99,(G2382+Table13[[#This Row],[Steps]])-100,G2382+Table13[[#This Row],[Steps]]),
))</f>
        <v>0</v>
      </c>
      <c r="G2383">
        <f>IF(Table13[[#This Row],[New Pos L]]&lt;&gt;0,Table13[[#This Row],[New Pos L]],Table13[[#This Row],[New Pos R]])</f>
        <v>0</v>
      </c>
      <c r="H2383">
        <f>IF(AND(Table13[[#This Row],[Direction]]="L",Table13[[#This Row],[Steps]]&gt;G2382,G2382&lt;&gt;0),1,0)</f>
        <v>0</v>
      </c>
      <c r="I2383">
        <f>IF(AND(Table13[[#This Row],[Direction]]="R",(G2382+Table13[[#This Row],[Steps]])&gt;100),1,0)</f>
        <v>0</v>
      </c>
      <c r="J2383">
        <f>IF(Table13[[#This Row],[POS]]=0,1,0)</f>
        <v>1</v>
      </c>
      <c r="K2383">
        <f>SUM(Table13[[#This Row],[prefix]],Table13[[#This Row],[Past zero L]],Table13[[#This Row],[Past Zero R]],Table13[[#This Row],[Is Zero]])</f>
        <v>1</v>
      </c>
    </row>
    <row r="2384" spans="1:11" ht="16" x14ac:dyDescent="0.2">
      <c r="A2384" s="1" t="s">
        <v>602</v>
      </c>
      <c r="B2384" t="str">
        <f>LEFT(Table13[[#This Row],[Input]],1)</f>
        <v>R</v>
      </c>
      <c r="C2384">
        <f>_xlfn.LET(_xlpm.steps,SUBSTITUTE(Table13[[#This Row],[Input]],Table13[[#This Row],[Direction]],""),VALUE(IF(LEN(_xlpm.steps)&gt;2,RIGHT(_xlpm.steps,2),_xlpm.steps)))</f>
        <v>56</v>
      </c>
      <c r="D2384">
        <f>_xlfn.LET(_xlpm.steps,SUBSTITUTE(Table13[[#This Row],[Input]],Table13[[#This Row],[Direction]],""),VALUE(IF(LEN(_xlpm.steps)&gt;2,LEFT(_xlpm.steps,LEN(_xlpm.steps)-2),0)))</f>
        <v>7</v>
      </c>
      <c r="E2384">
        <f>_xlfn.LET(_xlpm.dir,Table13[[#This Row],[Direction]],
IF(_xlpm.dir="L",
    IF(G2383-Table13[[#This Row],[Steps]]&lt;0,100+(G2383-Table13[[#This Row],[Steps]]),G2383-Table13[[#This Row],[Steps]]),
))</f>
        <v>0</v>
      </c>
      <c r="F2384">
        <f>_xlfn.LET(_xlpm.dir,Table13[[#This Row],[Direction]],
IF(_xlpm.dir="R",
    IF(G2383+Table13[[#This Row],[Steps]]&gt;99,(G2383+Table13[[#This Row],[Steps]])-100,G2383+Table13[[#This Row],[Steps]]),
))</f>
        <v>56</v>
      </c>
      <c r="G2384">
        <f>IF(Table13[[#This Row],[New Pos L]]&lt;&gt;0,Table13[[#This Row],[New Pos L]],Table13[[#This Row],[New Pos R]])</f>
        <v>56</v>
      </c>
      <c r="H2384">
        <f>IF(AND(Table13[[#This Row],[Direction]]="L",Table13[[#This Row],[Steps]]&gt;G2383,G2383&lt;&gt;0),1,0)</f>
        <v>0</v>
      </c>
      <c r="I2384">
        <f>IF(AND(Table13[[#This Row],[Direction]]="R",(G2383+Table13[[#This Row],[Steps]])&gt;100),1,0)</f>
        <v>0</v>
      </c>
      <c r="J2384">
        <f>IF(Table13[[#This Row],[POS]]=0,1,0)</f>
        <v>0</v>
      </c>
      <c r="K2384">
        <f>SUM(Table13[[#This Row],[prefix]],Table13[[#This Row],[Past zero L]],Table13[[#This Row],[Past Zero R]],Table13[[#This Row],[Is Zero]])</f>
        <v>7</v>
      </c>
    </row>
    <row r="2385" spans="1:11" ht="16" x14ac:dyDescent="0.2">
      <c r="A2385" s="1" t="s">
        <v>53</v>
      </c>
      <c r="B2385" t="str">
        <f>LEFT(Table13[[#This Row],[Input]],1)</f>
        <v>L</v>
      </c>
      <c r="C2385">
        <f>_xlfn.LET(_xlpm.steps,SUBSTITUTE(Table13[[#This Row],[Input]],Table13[[#This Row],[Direction]],""),VALUE(IF(LEN(_xlpm.steps)&gt;2,RIGHT(_xlpm.steps,2),_xlpm.steps)))</f>
        <v>56</v>
      </c>
      <c r="D2385">
        <f>_xlfn.LET(_xlpm.steps,SUBSTITUTE(Table13[[#This Row],[Input]],Table13[[#This Row],[Direction]],""),VALUE(IF(LEN(_xlpm.steps)&gt;2,LEFT(_xlpm.steps,LEN(_xlpm.steps)-2),0)))</f>
        <v>0</v>
      </c>
      <c r="E2385">
        <f>_xlfn.LET(_xlpm.dir,Table13[[#This Row],[Direction]],
IF(_xlpm.dir="L",
    IF(G2384-Table13[[#This Row],[Steps]]&lt;0,100+(G2384-Table13[[#This Row],[Steps]]),G2384-Table13[[#This Row],[Steps]]),
))</f>
        <v>0</v>
      </c>
      <c r="F2385">
        <f>_xlfn.LET(_xlpm.dir,Table13[[#This Row],[Direction]],
IF(_xlpm.dir="R",
    IF(G2384+Table13[[#This Row],[Steps]]&gt;99,(G2384+Table13[[#This Row],[Steps]])-100,G2384+Table13[[#This Row],[Steps]]),
))</f>
        <v>0</v>
      </c>
      <c r="G2385">
        <f>IF(Table13[[#This Row],[New Pos L]]&lt;&gt;0,Table13[[#This Row],[New Pos L]],Table13[[#This Row],[New Pos R]])</f>
        <v>0</v>
      </c>
      <c r="H2385">
        <f>IF(AND(Table13[[#This Row],[Direction]]="L",Table13[[#This Row],[Steps]]&gt;G2384,G2384&lt;&gt;0),1,0)</f>
        <v>0</v>
      </c>
      <c r="I2385">
        <f>IF(AND(Table13[[#This Row],[Direction]]="R",(G2384+Table13[[#This Row],[Steps]])&gt;100),1,0)</f>
        <v>0</v>
      </c>
      <c r="J2385">
        <f>IF(Table13[[#This Row],[POS]]=0,1,0)</f>
        <v>1</v>
      </c>
      <c r="K2385">
        <f>SUM(Table13[[#This Row],[prefix]],Table13[[#This Row],[Past zero L]],Table13[[#This Row],[Past Zero R]],Table13[[#This Row],[Is Zero]])</f>
        <v>1</v>
      </c>
    </row>
    <row r="2386" spans="1:11" ht="16" x14ac:dyDescent="0.2">
      <c r="A2386" s="1" t="s">
        <v>55</v>
      </c>
      <c r="B2386" t="str">
        <f>LEFT(Table13[[#This Row],[Input]],1)</f>
        <v>L</v>
      </c>
      <c r="C2386">
        <f>_xlfn.LET(_xlpm.steps,SUBSTITUTE(Table13[[#This Row],[Input]],Table13[[#This Row],[Direction]],""),VALUE(IF(LEN(_xlpm.steps)&gt;2,RIGHT(_xlpm.steps,2),_xlpm.steps)))</f>
        <v>82</v>
      </c>
      <c r="D2386">
        <f>_xlfn.LET(_xlpm.steps,SUBSTITUTE(Table13[[#This Row],[Input]],Table13[[#This Row],[Direction]],""),VALUE(IF(LEN(_xlpm.steps)&gt;2,LEFT(_xlpm.steps,LEN(_xlpm.steps)-2),0)))</f>
        <v>0</v>
      </c>
      <c r="E2386">
        <f>_xlfn.LET(_xlpm.dir,Table13[[#This Row],[Direction]],
IF(_xlpm.dir="L",
    IF(G2385-Table13[[#This Row],[Steps]]&lt;0,100+(G2385-Table13[[#This Row],[Steps]]),G2385-Table13[[#This Row],[Steps]]),
))</f>
        <v>18</v>
      </c>
      <c r="F2386">
        <f>_xlfn.LET(_xlpm.dir,Table13[[#This Row],[Direction]],
IF(_xlpm.dir="R",
    IF(G2385+Table13[[#This Row],[Steps]]&gt;99,(G2385+Table13[[#This Row],[Steps]])-100,G2385+Table13[[#This Row],[Steps]]),
))</f>
        <v>0</v>
      </c>
      <c r="G2386">
        <f>IF(Table13[[#This Row],[New Pos L]]&lt;&gt;0,Table13[[#This Row],[New Pos L]],Table13[[#This Row],[New Pos R]])</f>
        <v>18</v>
      </c>
      <c r="H2386">
        <f>IF(AND(Table13[[#This Row],[Direction]]="L",Table13[[#This Row],[Steps]]&gt;G2385,G2385&lt;&gt;0),1,0)</f>
        <v>0</v>
      </c>
      <c r="I2386">
        <f>IF(AND(Table13[[#This Row],[Direction]]="R",(G2385+Table13[[#This Row],[Steps]])&gt;100),1,0)</f>
        <v>0</v>
      </c>
      <c r="J2386">
        <f>IF(Table13[[#This Row],[POS]]=0,1,0)</f>
        <v>0</v>
      </c>
      <c r="K2386">
        <f>SUM(Table13[[#This Row],[prefix]],Table13[[#This Row],[Past zero L]],Table13[[#This Row],[Past Zero R]],Table13[[#This Row],[Is Zero]])</f>
        <v>0</v>
      </c>
    </row>
    <row r="2387" spans="1:11" ht="16" x14ac:dyDescent="0.2">
      <c r="A2387" s="1" t="s">
        <v>364</v>
      </c>
      <c r="B2387" t="str">
        <f>LEFT(Table13[[#This Row],[Input]],1)</f>
        <v>L</v>
      </c>
      <c r="C2387">
        <f>_xlfn.LET(_xlpm.steps,SUBSTITUTE(Table13[[#This Row],[Input]],Table13[[#This Row],[Direction]],""),VALUE(IF(LEN(_xlpm.steps)&gt;2,RIGHT(_xlpm.steps,2),_xlpm.steps)))</f>
        <v>70</v>
      </c>
      <c r="D2387">
        <f>_xlfn.LET(_xlpm.steps,SUBSTITUTE(Table13[[#This Row],[Input]],Table13[[#This Row],[Direction]],""),VALUE(IF(LEN(_xlpm.steps)&gt;2,LEFT(_xlpm.steps,LEN(_xlpm.steps)-2),0)))</f>
        <v>0</v>
      </c>
      <c r="E2387">
        <f>_xlfn.LET(_xlpm.dir,Table13[[#This Row],[Direction]],
IF(_xlpm.dir="L",
    IF(G2386-Table13[[#This Row],[Steps]]&lt;0,100+(G2386-Table13[[#This Row],[Steps]]),G2386-Table13[[#This Row],[Steps]]),
))</f>
        <v>48</v>
      </c>
      <c r="F2387">
        <f>_xlfn.LET(_xlpm.dir,Table13[[#This Row],[Direction]],
IF(_xlpm.dir="R",
    IF(G2386+Table13[[#This Row],[Steps]]&gt;99,(G2386+Table13[[#This Row],[Steps]])-100,G2386+Table13[[#This Row],[Steps]]),
))</f>
        <v>0</v>
      </c>
      <c r="G2387">
        <f>IF(Table13[[#This Row],[New Pos L]]&lt;&gt;0,Table13[[#This Row],[New Pos L]],Table13[[#This Row],[New Pos R]])</f>
        <v>48</v>
      </c>
      <c r="H2387">
        <f>IF(AND(Table13[[#This Row],[Direction]]="L",Table13[[#This Row],[Steps]]&gt;G2386,G2386&lt;&gt;0),1,0)</f>
        <v>1</v>
      </c>
      <c r="I2387">
        <f>IF(AND(Table13[[#This Row],[Direction]]="R",(G2386+Table13[[#This Row],[Steps]])&gt;100),1,0)</f>
        <v>0</v>
      </c>
      <c r="J2387">
        <f>IF(Table13[[#This Row],[POS]]=0,1,0)</f>
        <v>0</v>
      </c>
      <c r="K2387">
        <f>SUM(Table13[[#This Row],[prefix]],Table13[[#This Row],[Past zero L]],Table13[[#This Row],[Past Zero R]],Table13[[#This Row],[Is Zero]])</f>
        <v>1</v>
      </c>
    </row>
    <row r="2388" spans="1:11" ht="16" x14ac:dyDescent="0.2">
      <c r="A2388" s="1" t="s">
        <v>603</v>
      </c>
      <c r="B2388" t="str">
        <f>LEFT(Table13[[#This Row],[Input]],1)</f>
        <v>L</v>
      </c>
      <c r="C2388">
        <f>_xlfn.LET(_xlpm.steps,SUBSTITUTE(Table13[[#This Row],[Input]],Table13[[#This Row],[Direction]],""),VALUE(IF(LEN(_xlpm.steps)&gt;2,RIGHT(_xlpm.steps,2),_xlpm.steps)))</f>
        <v>48</v>
      </c>
      <c r="D2388">
        <f>_xlfn.LET(_xlpm.steps,SUBSTITUTE(Table13[[#This Row],[Input]],Table13[[#This Row],[Direction]],""),VALUE(IF(LEN(_xlpm.steps)&gt;2,LEFT(_xlpm.steps,LEN(_xlpm.steps)-2),0)))</f>
        <v>7</v>
      </c>
      <c r="E2388">
        <f>_xlfn.LET(_xlpm.dir,Table13[[#This Row],[Direction]],
IF(_xlpm.dir="L",
    IF(G2387-Table13[[#This Row],[Steps]]&lt;0,100+(G2387-Table13[[#This Row],[Steps]]),G2387-Table13[[#This Row],[Steps]]),
))</f>
        <v>0</v>
      </c>
      <c r="F2388">
        <f>_xlfn.LET(_xlpm.dir,Table13[[#This Row],[Direction]],
IF(_xlpm.dir="R",
    IF(G2387+Table13[[#This Row],[Steps]]&gt;99,(G2387+Table13[[#This Row],[Steps]])-100,G2387+Table13[[#This Row],[Steps]]),
))</f>
        <v>0</v>
      </c>
      <c r="G2388">
        <f>IF(Table13[[#This Row],[New Pos L]]&lt;&gt;0,Table13[[#This Row],[New Pos L]],Table13[[#This Row],[New Pos R]])</f>
        <v>0</v>
      </c>
      <c r="H2388">
        <f>IF(AND(Table13[[#This Row],[Direction]]="L",Table13[[#This Row],[Steps]]&gt;G2387,G2387&lt;&gt;0),1,0)</f>
        <v>0</v>
      </c>
      <c r="I2388">
        <f>IF(AND(Table13[[#This Row],[Direction]]="R",(G2387+Table13[[#This Row],[Steps]])&gt;100),1,0)</f>
        <v>0</v>
      </c>
      <c r="J2388">
        <f>IF(Table13[[#This Row],[POS]]=0,1,0)</f>
        <v>1</v>
      </c>
      <c r="K2388">
        <f>SUM(Table13[[#This Row],[prefix]],Table13[[#This Row],[Past zero L]],Table13[[#This Row],[Past Zero R]],Table13[[#This Row],[Is Zero]])</f>
        <v>8</v>
      </c>
    </row>
    <row r="2389" spans="1:11" ht="16" x14ac:dyDescent="0.2">
      <c r="A2389" s="1" t="s">
        <v>111</v>
      </c>
      <c r="B2389" t="str">
        <f>LEFT(Table13[[#This Row],[Input]],1)</f>
        <v>R</v>
      </c>
      <c r="C2389">
        <f>_xlfn.LET(_xlpm.steps,SUBSTITUTE(Table13[[#This Row],[Input]],Table13[[#This Row],[Direction]],""),VALUE(IF(LEN(_xlpm.steps)&gt;2,RIGHT(_xlpm.steps,2),_xlpm.steps)))</f>
        <v>64</v>
      </c>
      <c r="D2389">
        <f>_xlfn.LET(_xlpm.steps,SUBSTITUTE(Table13[[#This Row],[Input]],Table13[[#This Row],[Direction]],""),VALUE(IF(LEN(_xlpm.steps)&gt;2,LEFT(_xlpm.steps,LEN(_xlpm.steps)-2),0)))</f>
        <v>0</v>
      </c>
      <c r="E2389">
        <f>_xlfn.LET(_xlpm.dir,Table13[[#This Row],[Direction]],
IF(_xlpm.dir="L",
    IF(G2388-Table13[[#This Row],[Steps]]&lt;0,100+(G2388-Table13[[#This Row],[Steps]]),G2388-Table13[[#This Row],[Steps]]),
))</f>
        <v>0</v>
      </c>
      <c r="F2389">
        <f>_xlfn.LET(_xlpm.dir,Table13[[#This Row],[Direction]],
IF(_xlpm.dir="R",
    IF(G2388+Table13[[#This Row],[Steps]]&gt;99,(G2388+Table13[[#This Row],[Steps]])-100,G2388+Table13[[#This Row],[Steps]]),
))</f>
        <v>64</v>
      </c>
      <c r="G2389">
        <f>IF(Table13[[#This Row],[New Pos L]]&lt;&gt;0,Table13[[#This Row],[New Pos L]],Table13[[#This Row],[New Pos R]])</f>
        <v>64</v>
      </c>
      <c r="H2389">
        <f>IF(AND(Table13[[#This Row],[Direction]]="L",Table13[[#This Row],[Steps]]&gt;G2388,G2388&lt;&gt;0),1,0)</f>
        <v>0</v>
      </c>
      <c r="I2389">
        <f>IF(AND(Table13[[#This Row],[Direction]]="R",(G2388+Table13[[#This Row],[Steps]])&gt;100),1,0)</f>
        <v>0</v>
      </c>
      <c r="J2389">
        <f>IF(Table13[[#This Row],[POS]]=0,1,0)</f>
        <v>0</v>
      </c>
      <c r="K2389">
        <f>SUM(Table13[[#This Row],[prefix]],Table13[[#This Row],[Past zero L]],Table13[[#This Row],[Past Zero R]],Table13[[#This Row],[Is Zero]])</f>
        <v>0</v>
      </c>
    </row>
    <row r="2390" spans="1:11" ht="16" x14ac:dyDescent="0.2">
      <c r="A2390" s="1" t="s">
        <v>407</v>
      </c>
      <c r="B2390" t="str">
        <f>LEFT(Table13[[#This Row],[Input]],1)</f>
        <v>R</v>
      </c>
      <c r="C2390">
        <f>_xlfn.LET(_xlpm.steps,SUBSTITUTE(Table13[[#This Row],[Input]],Table13[[#This Row],[Direction]],""),VALUE(IF(LEN(_xlpm.steps)&gt;2,RIGHT(_xlpm.steps,2),_xlpm.steps)))</f>
        <v>36</v>
      </c>
      <c r="D2390">
        <f>_xlfn.LET(_xlpm.steps,SUBSTITUTE(Table13[[#This Row],[Input]],Table13[[#This Row],[Direction]],""),VALUE(IF(LEN(_xlpm.steps)&gt;2,LEFT(_xlpm.steps,LEN(_xlpm.steps)-2),0)))</f>
        <v>8</v>
      </c>
      <c r="E2390">
        <f>_xlfn.LET(_xlpm.dir,Table13[[#This Row],[Direction]],
IF(_xlpm.dir="L",
    IF(G2389-Table13[[#This Row],[Steps]]&lt;0,100+(G2389-Table13[[#This Row],[Steps]]),G2389-Table13[[#This Row],[Steps]]),
))</f>
        <v>0</v>
      </c>
      <c r="F2390">
        <f>_xlfn.LET(_xlpm.dir,Table13[[#This Row],[Direction]],
IF(_xlpm.dir="R",
    IF(G2389+Table13[[#This Row],[Steps]]&gt;99,(G2389+Table13[[#This Row],[Steps]])-100,G2389+Table13[[#This Row],[Steps]]),
))</f>
        <v>0</v>
      </c>
      <c r="G2390">
        <f>IF(Table13[[#This Row],[New Pos L]]&lt;&gt;0,Table13[[#This Row],[New Pos L]],Table13[[#This Row],[New Pos R]])</f>
        <v>0</v>
      </c>
      <c r="H2390">
        <f>IF(AND(Table13[[#This Row],[Direction]]="L",Table13[[#This Row],[Steps]]&gt;G2389,G2389&lt;&gt;0),1,0)</f>
        <v>0</v>
      </c>
      <c r="I2390">
        <f>IF(AND(Table13[[#This Row],[Direction]]="R",(G2389+Table13[[#This Row],[Steps]])&gt;100),1,0)</f>
        <v>0</v>
      </c>
      <c r="J2390">
        <f>IF(Table13[[#This Row],[POS]]=0,1,0)</f>
        <v>1</v>
      </c>
      <c r="K2390">
        <f>SUM(Table13[[#This Row],[prefix]],Table13[[#This Row],[Past zero L]],Table13[[#This Row],[Past Zero R]],Table13[[#This Row],[Is Zero]])</f>
        <v>9</v>
      </c>
    </row>
    <row r="2391" spans="1:11" ht="16" x14ac:dyDescent="0.2">
      <c r="A2391" s="1" t="s">
        <v>38</v>
      </c>
      <c r="B2391" t="str">
        <f>LEFT(Table13[[#This Row],[Input]],1)</f>
        <v>R</v>
      </c>
      <c r="C2391">
        <f>_xlfn.LET(_xlpm.steps,SUBSTITUTE(Table13[[#This Row],[Input]],Table13[[#This Row],[Direction]],""),VALUE(IF(LEN(_xlpm.steps)&gt;2,RIGHT(_xlpm.steps,2),_xlpm.steps)))</f>
        <v>15</v>
      </c>
      <c r="D2391">
        <f>_xlfn.LET(_xlpm.steps,SUBSTITUTE(Table13[[#This Row],[Input]],Table13[[#This Row],[Direction]],""),VALUE(IF(LEN(_xlpm.steps)&gt;2,LEFT(_xlpm.steps,LEN(_xlpm.steps)-2),0)))</f>
        <v>0</v>
      </c>
      <c r="E2391">
        <f>_xlfn.LET(_xlpm.dir,Table13[[#This Row],[Direction]],
IF(_xlpm.dir="L",
    IF(G2390-Table13[[#This Row],[Steps]]&lt;0,100+(G2390-Table13[[#This Row],[Steps]]),G2390-Table13[[#This Row],[Steps]]),
))</f>
        <v>0</v>
      </c>
      <c r="F2391">
        <f>_xlfn.LET(_xlpm.dir,Table13[[#This Row],[Direction]],
IF(_xlpm.dir="R",
    IF(G2390+Table13[[#This Row],[Steps]]&gt;99,(G2390+Table13[[#This Row],[Steps]])-100,G2390+Table13[[#This Row],[Steps]]),
))</f>
        <v>15</v>
      </c>
      <c r="G2391">
        <f>IF(Table13[[#This Row],[New Pos L]]&lt;&gt;0,Table13[[#This Row],[New Pos L]],Table13[[#This Row],[New Pos R]])</f>
        <v>15</v>
      </c>
      <c r="H2391">
        <f>IF(AND(Table13[[#This Row],[Direction]]="L",Table13[[#This Row],[Steps]]&gt;G2390,G2390&lt;&gt;0),1,0)</f>
        <v>0</v>
      </c>
      <c r="I2391">
        <f>IF(AND(Table13[[#This Row],[Direction]]="R",(G2390+Table13[[#This Row],[Steps]])&gt;100),1,0)</f>
        <v>0</v>
      </c>
      <c r="J2391">
        <f>IF(Table13[[#This Row],[POS]]=0,1,0)</f>
        <v>0</v>
      </c>
      <c r="K2391">
        <f>SUM(Table13[[#This Row],[prefix]],Table13[[#This Row],[Past zero L]],Table13[[#This Row],[Past Zero R]],Table13[[#This Row],[Is Zero]])</f>
        <v>0</v>
      </c>
    </row>
    <row r="2392" spans="1:11" ht="16" x14ac:dyDescent="0.2">
      <c r="A2392" s="1" t="s">
        <v>125</v>
      </c>
      <c r="B2392" t="str">
        <f>LEFT(Table13[[#This Row],[Input]],1)</f>
        <v>L</v>
      </c>
      <c r="C2392">
        <f>_xlfn.LET(_xlpm.steps,SUBSTITUTE(Table13[[#This Row],[Input]],Table13[[#This Row],[Direction]],""),VALUE(IF(LEN(_xlpm.steps)&gt;2,RIGHT(_xlpm.steps,2),_xlpm.steps)))</f>
        <v>76</v>
      </c>
      <c r="D2392">
        <f>_xlfn.LET(_xlpm.steps,SUBSTITUTE(Table13[[#This Row],[Input]],Table13[[#This Row],[Direction]],""),VALUE(IF(LEN(_xlpm.steps)&gt;2,LEFT(_xlpm.steps,LEN(_xlpm.steps)-2),0)))</f>
        <v>0</v>
      </c>
      <c r="E2392">
        <f>_xlfn.LET(_xlpm.dir,Table13[[#This Row],[Direction]],
IF(_xlpm.dir="L",
    IF(G2391-Table13[[#This Row],[Steps]]&lt;0,100+(G2391-Table13[[#This Row],[Steps]]),G2391-Table13[[#This Row],[Steps]]),
))</f>
        <v>39</v>
      </c>
      <c r="F2392">
        <f>_xlfn.LET(_xlpm.dir,Table13[[#This Row],[Direction]],
IF(_xlpm.dir="R",
    IF(G2391+Table13[[#This Row],[Steps]]&gt;99,(G2391+Table13[[#This Row],[Steps]])-100,G2391+Table13[[#This Row],[Steps]]),
))</f>
        <v>0</v>
      </c>
      <c r="G2392">
        <f>IF(Table13[[#This Row],[New Pos L]]&lt;&gt;0,Table13[[#This Row],[New Pos L]],Table13[[#This Row],[New Pos R]])</f>
        <v>39</v>
      </c>
      <c r="H2392">
        <f>IF(AND(Table13[[#This Row],[Direction]]="L",Table13[[#This Row],[Steps]]&gt;G2391,G2391&lt;&gt;0),1,0)</f>
        <v>1</v>
      </c>
      <c r="I2392">
        <f>IF(AND(Table13[[#This Row],[Direction]]="R",(G2391+Table13[[#This Row],[Steps]])&gt;100),1,0)</f>
        <v>0</v>
      </c>
      <c r="J2392">
        <f>IF(Table13[[#This Row],[POS]]=0,1,0)</f>
        <v>0</v>
      </c>
      <c r="K2392">
        <f>SUM(Table13[[#This Row],[prefix]],Table13[[#This Row],[Past zero L]],Table13[[#This Row],[Past Zero R]],Table13[[#This Row],[Is Zero]])</f>
        <v>1</v>
      </c>
    </row>
    <row r="2393" spans="1:11" ht="16" x14ac:dyDescent="0.2">
      <c r="A2393" s="1" t="s">
        <v>210</v>
      </c>
      <c r="B2393" t="str">
        <f>LEFT(Table13[[#This Row],[Input]],1)</f>
        <v>R</v>
      </c>
      <c r="C2393">
        <f>_xlfn.LET(_xlpm.steps,SUBSTITUTE(Table13[[#This Row],[Input]],Table13[[#This Row],[Direction]],""),VALUE(IF(LEN(_xlpm.steps)&gt;2,RIGHT(_xlpm.steps,2),_xlpm.steps)))</f>
        <v>89</v>
      </c>
      <c r="D2393">
        <f>_xlfn.LET(_xlpm.steps,SUBSTITUTE(Table13[[#This Row],[Input]],Table13[[#This Row],[Direction]],""),VALUE(IF(LEN(_xlpm.steps)&gt;2,LEFT(_xlpm.steps,LEN(_xlpm.steps)-2),0)))</f>
        <v>0</v>
      </c>
      <c r="E2393">
        <f>_xlfn.LET(_xlpm.dir,Table13[[#This Row],[Direction]],
IF(_xlpm.dir="L",
    IF(G2392-Table13[[#This Row],[Steps]]&lt;0,100+(G2392-Table13[[#This Row],[Steps]]),G2392-Table13[[#This Row],[Steps]]),
))</f>
        <v>0</v>
      </c>
      <c r="F2393">
        <f>_xlfn.LET(_xlpm.dir,Table13[[#This Row],[Direction]],
IF(_xlpm.dir="R",
    IF(G2392+Table13[[#This Row],[Steps]]&gt;99,(G2392+Table13[[#This Row],[Steps]])-100,G2392+Table13[[#This Row],[Steps]]),
))</f>
        <v>28</v>
      </c>
      <c r="G2393">
        <f>IF(Table13[[#This Row],[New Pos L]]&lt;&gt;0,Table13[[#This Row],[New Pos L]],Table13[[#This Row],[New Pos R]])</f>
        <v>28</v>
      </c>
      <c r="H2393">
        <f>IF(AND(Table13[[#This Row],[Direction]]="L",Table13[[#This Row],[Steps]]&gt;G2392,G2392&lt;&gt;0),1,0)</f>
        <v>0</v>
      </c>
      <c r="I2393">
        <f>IF(AND(Table13[[#This Row],[Direction]]="R",(G2392+Table13[[#This Row],[Steps]])&gt;100),1,0)</f>
        <v>1</v>
      </c>
      <c r="J2393">
        <f>IF(Table13[[#This Row],[POS]]=0,1,0)</f>
        <v>0</v>
      </c>
      <c r="K2393">
        <f>SUM(Table13[[#This Row],[prefix]],Table13[[#This Row],[Past zero L]],Table13[[#This Row],[Past Zero R]],Table13[[#This Row],[Is Zero]])</f>
        <v>1</v>
      </c>
    </row>
    <row r="2394" spans="1:11" ht="16" x14ac:dyDescent="0.2">
      <c r="A2394" s="1" t="s">
        <v>102</v>
      </c>
      <c r="B2394" t="str">
        <f>LEFT(Table13[[#This Row],[Input]],1)</f>
        <v>R</v>
      </c>
      <c r="C2394">
        <f>_xlfn.LET(_xlpm.steps,SUBSTITUTE(Table13[[#This Row],[Input]],Table13[[#This Row],[Direction]],""),VALUE(IF(LEN(_xlpm.steps)&gt;2,RIGHT(_xlpm.steps,2),_xlpm.steps)))</f>
        <v>39</v>
      </c>
      <c r="D2394">
        <f>_xlfn.LET(_xlpm.steps,SUBSTITUTE(Table13[[#This Row],[Input]],Table13[[#This Row],[Direction]],""),VALUE(IF(LEN(_xlpm.steps)&gt;2,LEFT(_xlpm.steps,LEN(_xlpm.steps)-2),0)))</f>
        <v>0</v>
      </c>
      <c r="E2394">
        <f>_xlfn.LET(_xlpm.dir,Table13[[#This Row],[Direction]],
IF(_xlpm.dir="L",
    IF(G2393-Table13[[#This Row],[Steps]]&lt;0,100+(G2393-Table13[[#This Row],[Steps]]),G2393-Table13[[#This Row],[Steps]]),
))</f>
        <v>0</v>
      </c>
      <c r="F2394">
        <f>_xlfn.LET(_xlpm.dir,Table13[[#This Row],[Direction]],
IF(_xlpm.dir="R",
    IF(G2393+Table13[[#This Row],[Steps]]&gt;99,(G2393+Table13[[#This Row],[Steps]])-100,G2393+Table13[[#This Row],[Steps]]),
))</f>
        <v>67</v>
      </c>
      <c r="G2394">
        <f>IF(Table13[[#This Row],[New Pos L]]&lt;&gt;0,Table13[[#This Row],[New Pos L]],Table13[[#This Row],[New Pos R]])</f>
        <v>67</v>
      </c>
      <c r="H2394">
        <f>IF(AND(Table13[[#This Row],[Direction]]="L",Table13[[#This Row],[Steps]]&gt;G2393,G2393&lt;&gt;0),1,0)</f>
        <v>0</v>
      </c>
      <c r="I2394">
        <f>IF(AND(Table13[[#This Row],[Direction]]="R",(G2393+Table13[[#This Row],[Steps]])&gt;100),1,0)</f>
        <v>0</v>
      </c>
      <c r="J2394">
        <f>IF(Table13[[#This Row],[POS]]=0,1,0)</f>
        <v>0</v>
      </c>
      <c r="K2394">
        <f>SUM(Table13[[#This Row],[prefix]],Table13[[#This Row],[Past zero L]],Table13[[#This Row],[Past Zero R]],Table13[[#This Row],[Is Zero]])</f>
        <v>0</v>
      </c>
    </row>
    <row r="2395" spans="1:11" ht="16" x14ac:dyDescent="0.2">
      <c r="A2395" s="1" t="s">
        <v>244</v>
      </c>
      <c r="B2395" t="str">
        <f>LEFT(Table13[[#This Row],[Input]],1)</f>
        <v>L</v>
      </c>
      <c r="C2395">
        <f>_xlfn.LET(_xlpm.steps,SUBSTITUTE(Table13[[#This Row],[Input]],Table13[[#This Row],[Direction]],""),VALUE(IF(LEN(_xlpm.steps)&gt;2,RIGHT(_xlpm.steps,2),_xlpm.steps)))</f>
        <v>98</v>
      </c>
      <c r="D2395">
        <f>_xlfn.LET(_xlpm.steps,SUBSTITUTE(Table13[[#This Row],[Input]],Table13[[#This Row],[Direction]],""),VALUE(IF(LEN(_xlpm.steps)&gt;2,LEFT(_xlpm.steps,LEN(_xlpm.steps)-2),0)))</f>
        <v>0</v>
      </c>
      <c r="E2395">
        <f>_xlfn.LET(_xlpm.dir,Table13[[#This Row],[Direction]],
IF(_xlpm.dir="L",
    IF(G2394-Table13[[#This Row],[Steps]]&lt;0,100+(G2394-Table13[[#This Row],[Steps]]),G2394-Table13[[#This Row],[Steps]]),
))</f>
        <v>69</v>
      </c>
      <c r="F2395">
        <f>_xlfn.LET(_xlpm.dir,Table13[[#This Row],[Direction]],
IF(_xlpm.dir="R",
    IF(G2394+Table13[[#This Row],[Steps]]&gt;99,(G2394+Table13[[#This Row],[Steps]])-100,G2394+Table13[[#This Row],[Steps]]),
))</f>
        <v>0</v>
      </c>
      <c r="G2395">
        <f>IF(Table13[[#This Row],[New Pos L]]&lt;&gt;0,Table13[[#This Row],[New Pos L]],Table13[[#This Row],[New Pos R]])</f>
        <v>69</v>
      </c>
      <c r="H2395">
        <f>IF(AND(Table13[[#This Row],[Direction]]="L",Table13[[#This Row],[Steps]]&gt;G2394,G2394&lt;&gt;0),1,0)</f>
        <v>1</v>
      </c>
      <c r="I2395">
        <f>IF(AND(Table13[[#This Row],[Direction]]="R",(G2394+Table13[[#This Row],[Steps]])&gt;100),1,0)</f>
        <v>0</v>
      </c>
      <c r="J2395">
        <f>IF(Table13[[#This Row],[POS]]=0,1,0)</f>
        <v>0</v>
      </c>
      <c r="K2395">
        <f>SUM(Table13[[#This Row],[prefix]],Table13[[#This Row],[Past zero L]],Table13[[#This Row],[Past Zero R]],Table13[[#This Row],[Is Zero]])</f>
        <v>1</v>
      </c>
    </row>
    <row r="2396" spans="1:11" ht="16" x14ac:dyDescent="0.2">
      <c r="A2396" s="1" t="s">
        <v>119</v>
      </c>
      <c r="B2396" t="str">
        <f>LEFT(Table13[[#This Row],[Input]],1)</f>
        <v>L</v>
      </c>
      <c r="C2396">
        <f>_xlfn.LET(_xlpm.steps,SUBSTITUTE(Table13[[#This Row],[Input]],Table13[[#This Row],[Direction]],""),VALUE(IF(LEN(_xlpm.steps)&gt;2,RIGHT(_xlpm.steps,2),_xlpm.steps)))</f>
        <v>77</v>
      </c>
      <c r="D2396">
        <f>_xlfn.LET(_xlpm.steps,SUBSTITUTE(Table13[[#This Row],[Input]],Table13[[#This Row],[Direction]],""),VALUE(IF(LEN(_xlpm.steps)&gt;2,LEFT(_xlpm.steps,LEN(_xlpm.steps)-2),0)))</f>
        <v>0</v>
      </c>
      <c r="E2396">
        <f>_xlfn.LET(_xlpm.dir,Table13[[#This Row],[Direction]],
IF(_xlpm.dir="L",
    IF(G2395-Table13[[#This Row],[Steps]]&lt;0,100+(G2395-Table13[[#This Row],[Steps]]),G2395-Table13[[#This Row],[Steps]]),
))</f>
        <v>92</v>
      </c>
      <c r="F2396">
        <f>_xlfn.LET(_xlpm.dir,Table13[[#This Row],[Direction]],
IF(_xlpm.dir="R",
    IF(G2395+Table13[[#This Row],[Steps]]&gt;99,(G2395+Table13[[#This Row],[Steps]])-100,G2395+Table13[[#This Row],[Steps]]),
))</f>
        <v>0</v>
      </c>
      <c r="G2396">
        <f>IF(Table13[[#This Row],[New Pos L]]&lt;&gt;0,Table13[[#This Row],[New Pos L]],Table13[[#This Row],[New Pos R]])</f>
        <v>92</v>
      </c>
      <c r="H2396">
        <f>IF(AND(Table13[[#This Row],[Direction]]="L",Table13[[#This Row],[Steps]]&gt;G2395,G2395&lt;&gt;0),1,0)</f>
        <v>1</v>
      </c>
      <c r="I2396">
        <f>IF(AND(Table13[[#This Row],[Direction]]="R",(G2395+Table13[[#This Row],[Steps]])&gt;100),1,0)</f>
        <v>0</v>
      </c>
      <c r="J2396">
        <f>IF(Table13[[#This Row],[POS]]=0,1,0)</f>
        <v>0</v>
      </c>
      <c r="K2396">
        <f>SUM(Table13[[#This Row],[prefix]],Table13[[#This Row],[Past zero L]],Table13[[#This Row],[Past Zero R]],Table13[[#This Row],[Is Zero]])</f>
        <v>1</v>
      </c>
    </row>
    <row r="2397" spans="1:11" ht="16" x14ac:dyDescent="0.2">
      <c r="A2397" s="1" t="s">
        <v>405</v>
      </c>
      <c r="B2397" t="str">
        <f>LEFT(Table13[[#This Row],[Input]],1)</f>
        <v>L</v>
      </c>
      <c r="C2397">
        <f>_xlfn.LET(_xlpm.steps,SUBSTITUTE(Table13[[#This Row],[Input]],Table13[[#This Row],[Direction]],""),VALUE(IF(LEN(_xlpm.steps)&gt;2,RIGHT(_xlpm.steps,2),_xlpm.steps)))</f>
        <v>32</v>
      </c>
      <c r="D2397">
        <f>_xlfn.LET(_xlpm.steps,SUBSTITUTE(Table13[[#This Row],[Input]],Table13[[#This Row],[Direction]],""),VALUE(IF(LEN(_xlpm.steps)&gt;2,LEFT(_xlpm.steps,LEN(_xlpm.steps)-2),0)))</f>
        <v>0</v>
      </c>
      <c r="E2397">
        <f>_xlfn.LET(_xlpm.dir,Table13[[#This Row],[Direction]],
IF(_xlpm.dir="L",
    IF(G2396-Table13[[#This Row],[Steps]]&lt;0,100+(G2396-Table13[[#This Row],[Steps]]),G2396-Table13[[#This Row],[Steps]]),
))</f>
        <v>60</v>
      </c>
      <c r="F2397">
        <f>_xlfn.LET(_xlpm.dir,Table13[[#This Row],[Direction]],
IF(_xlpm.dir="R",
    IF(G2396+Table13[[#This Row],[Steps]]&gt;99,(G2396+Table13[[#This Row],[Steps]])-100,G2396+Table13[[#This Row],[Steps]]),
))</f>
        <v>0</v>
      </c>
      <c r="G2397">
        <f>IF(Table13[[#This Row],[New Pos L]]&lt;&gt;0,Table13[[#This Row],[New Pos L]],Table13[[#This Row],[New Pos R]])</f>
        <v>60</v>
      </c>
      <c r="H2397">
        <f>IF(AND(Table13[[#This Row],[Direction]]="L",Table13[[#This Row],[Steps]]&gt;G2396,G2396&lt;&gt;0),1,0)</f>
        <v>0</v>
      </c>
      <c r="I2397">
        <f>IF(AND(Table13[[#This Row],[Direction]]="R",(G2396+Table13[[#This Row],[Steps]])&gt;100),1,0)</f>
        <v>0</v>
      </c>
      <c r="J2397">
        <f>IF(Table13[[#This Row],[POS]]=0,1,0)</f>
        <v>0</v>
      </c>
      <c r="K2397">
        <f>SUM(Table13[[#This Row],[prefix]],Table13[[#This Row],[Past zero L]],Table13[[#This Row],[Past Zero R]],Table13[[#This Row],[Is Zero]])</f>
        <v>0</v>
      </c>
    </row>
    <row r="2398" spans="1:11" ht="16" x14ac:dyDescent="0.2">
      <c r="A2398" s="1" t="s">
        <v>575</v>
      </c>
      <c r="B2398" t="str">
        <f>LEFT(Table13[[#This Row],[Input]],1)</f>
        <v>R</v>
      </c>
      <c r="C2398">
        <f>_xlfn.LET(_xlpm.steps,SUBSTITUTE(Table13[[#This Row],[Input]],Table13[[#This Row],[Direction]],""),VALUE(IF(LEN(_xlpm.steps)&gt;2,RIGHT(_xlpm.steps,2),_xlpm.steps)))</f>
        <v>40</v>
      </c>
      <c r="D2398">
        <f>_xlfn.LET(_xlpm.steps,SUBSTITUTE(Table13[[#This Row],[Input]],Table13[[#This Row],[Direction]],""),VALUE(IF(LEN(_xlpm.steps)&gt;2,LEFT(_xlpm.steps,LEN(_xlpm.steps)-2),0)))</f>
        <v>2</v>
      </c>
      <c r="E2398">
        <f>_xlfn.LET(_xlpm.dir,Table13[[#This Row],[Direction]],
IF(_xlpm.dir="L",
    IF(G2397-Table13[[#This Row],[Steps]]&lt;0,100+(G2397-Table13[[#This Row],[Steps]]),G2397-Table13[[#This Row],[Steps]]),
))</f>
        <v>0</v>
      </c>
      <c r="F2398">
        <f>_xlfn.LET(_xlpm.dir,Table13[[#This Row],[Direction]],
IF(_xlpm.dir="R",
    IF(G2397+Table13[[#This Row],[Steps]]&gt;99,(G2397+Table13[[#This Row],[Steps]])-100,G2397+Table13[[#This Row],[Steps]]),
))</f>
        <v>0</v>
      </c>
      <c r="G2398">
        <f>IF(Table13[[#This Row],[New Pos L]]&lt;&gt;0,Table13[[#This Row],[New Pos L]],Table13[[#This Row],[New Pos R]])</f>
        <v>0</v>
      </c>
      <c r="H2398">
        <f>IF(AND(Table13[[#This Row],[Direction]]="L",Table13[[#This Row],[Steps]]&gt;G2397,G2397&lt;&gt;0),1,0)</f>
        <v>0</v>
      </c>
      <c r="I2398">
        <f>IF(AND(Table13[[#This Row],[Direction]]="R",(G2397+Table13[[#This Row],[Steps]])&gt;100),1,0)</f>
        <v>0</v>
      </c>
      <c r="J2398">
        <f>IF(Table13[[#This Row],[POS]]=0,1,0)</f>
        <v>1</v>
      </c>
      <c r="K2398">
        <f>SUM(Table13[[#This Row],[prefix]],Table13[[#This Row],[Past zero L]],Table13[[#This Row],[Past Zero R]],Table13[[#This Row],[Is Zero]])</f>
        <v>3</v>
      </c>
    </row>
    <row r="2399" spans="1:11" ht="16" x14ac:dyDescent="0.2">
      <c r="A2399" s="1" t="s">
        <v>241</v>
      </c>
      <c r="B2399" t="str">
        <f>LEFT(Table13[[#This Row],[Input]],1)</f>
        <v>R</v>
      </c>
      <c r="C2399">
        <f>_xlfn.LET(_xlpm.steps,SUBSTITUTE(Table13[[#This Row],[Input]],Table13[[#This Row],[Direction]],""),VALUE(IF(LEN(_xlpm.steps)&gt;2,RIGHT(_xlpm.steps,2),_xlpm.steps)))</f>
        <v>60</v>
      </c>
      <c r="D2399">
        <f>_xlfn.LET(_xlpm.steps,SUBSTITUTE(Table13[[#This Row],[Input]],Table13[[#This Row],[Direction]],""),VALUE(IF(LEN(_xlpm.steps)&gt;2,LEFT(_xlpm.steps,LEN(_xlpm.steps)-2),0)))</f>
        <v>0</v>
      </c>
      <c r="E2399">
        <f>_xlfn.LET(_xlpm.dir,Table13[[#This Row],[Direction]],
IF(_xlpm.dir="L",
    IF(G2398-Table13[[#This Row],[Steps]]&lt;0,100+(G2398-Table13[[#This Row],[Steps]]),G2398-Table13[[#This Row],[Steps]]),
))</f>
        <v>0</v>
      </c>
      <c r="F2399">
        <f>_xlfn.LET(_xlpm.dir,Table13[[#This Row],[Direction]],
IF(_xlpm.dir="R",
    IF(G2398+Table13[[#This Row],[Steps]]&gt;99,(G2398+Table13[[#This Row],[Steps]])-100,G2398+Table13[[#This Row],[Steps]]),
))</f>
        <v>60</v>
      </c>
      <c r="G2399">
        <f>IF(Table13[[#This Row],[New Pos L]]&lt;&gt;0,Table13[[#This Row],[New Pos L]],Table13[[#This Row],[New Pos R]])</f>
        <v>60</v>
      </c>
      <c r="H2399">
        <f>IF(AND(Table13[[#This Row],[Direction]]="L",Table13[[#This Row],[Steps]]&gt;G2398,G2398&lt;&gt;0),1,0)</f>
        <v>0</v>
      </c>
      <c r="I2399">
        <f>IF(AND(Table13[[#This Row],[Direction]]="R",(G2398+Table13[[#This Row],[Steps]])&gt;100),1,0)</f>
        <v>0</v>
      </c>
      <c r="J2399">
        <f>IF(Table13[[#This Row],[POS]]=0,1,0)</f>
        <v>0</v>
      </c>
      <c r="K2399">
        <f>SUM(Table13[[#This Row],[prefix]],Table13[[#This Row],[Past zero L]],Table13[[#This Row],[Past Zero R]],Table13[[#This Row],[Is Zero]])</f>
        <v>0</v>
      </c>
    </row>
    <row r="2400" spans="1:11" ht="16" x14ac:dyDescent="0.2">
      <c r="A2400" s="1" t="s">
        <v>14</v>
      </c>
      <c r="B2400" t="str">
        <f>LEFT(Table13[[#This Row],[Input]],1)</f>
        <v>L</v>
      </c>
      <c r="C2400">
        <f>_xlfn.LET(_xlpm.steps,SUBSTITUTE(Table13[[#This Row],[Input]],Table13[[#This Row],[Direction]],""),VALUE(IF(LEN(_xlpm.steps)&gt;2,RIGHT(_xlpm.steps,2),_xlpm.steps)))</f>
        <v>43</v>
      </c>
      <c r="D2400">
        <f>_xlfn.LET(_xlpm.steps,SUBSTITUTE(Table13[[#This Row],[Input]],Table13[[#This Row],[Direction]],""),VALUE(IF(LEN(_xlpm.steps)&gt;2,LEFT(_xlpm.steps,LEN(_xlpm.steps)-2),0)))</f>
        <v>0</v>
      </c>
      <c r="E2400">
        <f>_xlfn.LET(_xlpm.dir,Table13[[#This Row],[Direction]],
IF(_xlpm.dir="L",
    IF(G2399-Table13[[#This Row],[Steps]]&lt;0,100+(G2399-Table13[[#This Row],[Steps]]),G2399-Table13[[#This Row],[Steps]]),
))</f>
        <v>17</v>
      </c>
      <c r="F2400">
        <f>_xlfn.LET(_xlpm.dir,Table13[[#This Row],[Direction]],
IF(_xlpm.dir="R",
    IF(G2399+Table13[[#This Row],[Steps]]&gt;99,(G2399+Table13[[#This Row],[Steps]])-100,G2399+Table13[[#This Row],[Steps]]),
))</f>
        <v>0</v>
      </c>
      <c r="G2400">
        <f>IF(Table13[[#This Row],[New Pos L]]&lt;&gt;0,Table13[[#This Row],[New Pos L]],Table13[[#This Row],[New Pos R]])</f>
        <v>17</v>
      </c>
      <c r="H2400">
        <f>IF(AND(Table13[[#This Row],[Direction]]="L",Table13[[#This Row],[Steps]]&gt;G2399,G2399&lt;&gt;0),1,0)</f>
        <v>0</v>
      </c>
      <c r="I2400">
        <f>IF(AND(Table13[[#This Row],[Direction]]="R",(G2399+Table13[[#This Row],[Steps]])&gt;100),1,0)</f>
        <v>0</v>
      </c>
      <c r="J2400">
        <f>IF(Table13[[#This Row],[POS]]=0,1,0)</f>
        <v>0</v>
      </c>
      <c r="K2400">
        <f>SUM(Table13[[#This Row],[prefix]],Table13[[#This Row],[Past zero L]],Table13[[#This Row],[Past Zero R]],Table13[[#This Row],[Is Zero]])</f>
        <v>0</v>
      </c>
    </row>
    <row r="2401" spans="1:11" ht="16" x14ac:dyDescent="0.2">
      <c r="A2401" s="1" t="s">
        <v>205</v>
      </c>
      <c r="B2401" t="str">
        <f>LEFT(Table13[[#This Row],[Input]],1)</f>
        <v>R</v>
      </c>
      <c r="C2401">
        <f>_xlfn.LET(_xlpm.steps,SUBSTITUTE(Table13[[#This Row],[Input]],Table13[[#This Row],[Direction]],""),VALUE(IF(LEN(_xlpm.steps)&gt;2,RIGHT(_xlpm.steps,2),_xlpm.steps)))</f>
        <v>83</v>
      </c>
      <c r="D2401">
        <f>_xlfn.LET(_xlpm.steps,SUBSTITUTE(Table13[[#This Row],[Input]],Table13[[#This Row],[Direction]],""),VALUE(IF(LEN(_xlpm.steps)&gt;2,LEFT(_xlpm.steps,LEN(_xlpm.steps)-2),0)))</f>
        <v>0</v>
      </c>
      <c r="E2401">
        <f>_xlfn.LET(_xlpm.dir,Table13[[#This Row],[Direction]],
IF(_xlpm.dir="L",
    IF(G2400-Table13[[#This Row],[Steps]]&lt;0,100+(G2400-Table13[[#This Row],[Steps]]),G2400-Table13[[#This Row],[Steps]]),
))</f>
        <v>0</v>
      </c>
      <c r="F2401">
        <f>_xlfn.LET(_xlpm.dir,Table13[[#This Row],[Direction]],
IF(_xlpm.dir="R",
    IF(G2400+Table13[[#This Row],[Steps]]&gt;99,(G2400+Table13[[#This Row],[Steps]])-100,G2400+Table13[[#This Row],[Steps]]),
))</f>
        <v>0</v>
      </c>
      <c r="G2401">
        <f>IF(Table13[[#This Row],[New Pos L]]&lt;&gt;0,Table13[[#This Row],[New Pos L]],Table13[[#This Row],[New Pos R]])</f>
        <v>0</v>
      </c>
      <c r="H2401">
        <f>IF(AND(Table13[[#This Row],[Direction]]="L",Table13[[#This Row],[Steps]]&gt;G2400,G2400&lt;&gt;0),1,0)</f>
        <v>0</v>
      </c>
      <c r="I2401">
        <f>IF(AND(Table13[[#This Row],[Direction]]="R",(G2400+Table13[[#This Row],[Steps]])&gt;100),1,0)</f>
        <v>0</v>
      </c>
      <c r="J2401">
        <f>IF(Table13[[#This Row],[POS]]=0,1,0)</f>
        <v>1</v>
      </c>
      <c r="K2401">
        <f>SUM(Table13[[#This Row],[prefix]],Table13[[#This Row],[Past zero L]],Table13[[#This Row],[Past Zero R]],Table13[[#This Row],[Is Zero]])</f>
        <v>1</v>
      </c>
    </row>
    <row r="2402" spans="1:11" ht="16" x14ac:dyDescent="0.2">
      <c r="A2402" s="1" t="s">
        <v>29</v>
      </c>
      <c r="B2402" t="str">
        <f>LEFT(Table13[[#This Row],[Input]],1)</f>
        <v>L</v>
      </c>
      <c r="C2402">
        <f>_xlfn.LET(_xlpm.steps,SUBSTITUTE(Table13[[#This Row],[Input]],Table13[[#This Row],[Direction]],""),VALUE(IF(LEN(_xlpm.steps)&gt;2,RIGHT(_xlpm.steps,2),_xlpm.steps)))</f>
        <v>33</v>
      </c>
      <c r="D2402">
        <f>_xlfn.LET(_xlpm.steps,SUBSTITUTE(Table13[[#This Row],[Input]],Table13[[#This Row],[Direction]],""),VALUE(IF(LEN(_xlpm.steps)&gt;2,LEFT(_xlpm.steps,LEN(_xlpm.steps)-2),0)))</f>
        <v>0</v>
      </c>
      <c r="E2402">
        <f>_xlfn.LET(_xlpm.dir,Table13[[#This Row],[Direction]],
IF(_xlpm.dir="L",
    IF(G2401-Table13[[#This Row],[Steps]]&lt;0,100+(G2401-Table13[[#This Row],[Steps]]),G2401-Table13[[#This Row],[Steps]]),
))</f>
        <v>67</v>
      </c>
      <c r="F2402">
        <f>_xlfn.LET(_xlpm.dir,Table13[[#This Row],[Direction]],
IF(_xlpm.dir="R",
    IF(G2401+Table13[[#This Row],[Steps]]&gt;99,(G2401+Table13[[#This Row],[Steps]])-100,G2401+Table13[[#This Row],[Steps]]),
))</f>
        <v>0</v>
      </c>
      <c r="G2402">
        <f>IF(Table13[[#This Row],[New Pos L]]&lt;&gt;0,Table13[[#This Row],[New Pos L]],Table13[[#This Row],[New Pos R]])</f>
        <v>67</v>
      </c>
      <c r="H2402">
        <f>IF(AND(Table13[[#This Row],[Direction]]="L",Table13[[#This Row],[Steps]]&gt;G2401,G2401&lt;&gt;0),1,0)</f>
        <v>0</v>
      </c>
      <c r="I2402">
        <f>IF(AND(Table13[[#This Row],[Direction]]="R",(G2401+Table13[[#This Row],[Steps]])&gt;100),1,0)</f>
        <v>0</v>
      </c>
      <c r="J2402">
        <f>IF(Table13[[#This Row],[POS]]=0,1,0)</f>
        <v>0</v>
      </c>
      <c r="K2402">
        <f>SUM(Table13[[#This Row],[prefix]],Table13[[#This Row],[Past zero L]],Table13[[#This Row],[Past Zero R]],Table13[[#This Row],[Is Zero]])</f>
        <v>0</v>
      </c>
    </row>
    <row r="2403" spans="1:11" ht="16" x14ac:dyDescent="0.2">
      <c r="A2403" s="1" t="s">
        <v>35</v>
      </c>
      <c r="B2403" t="str">
        <f>LEFT(Table13[[#This Row],[Input]],1)</f>
        <v>L</v>
      </c>
      <c r="C2403">
        <f>_xlfn.LET(_xlpm.steps,SUBSTITUTE(Table13[[#This Row],[Input]],Table13[[#This Row],[Direction]],""),VALUE(IF(LEN(_xlpm.steps)&gt;2,RIGHT(_xlpm.steps,2),_xlpm.steps)))</f>
        <v>2</v>
      </c>
      <c r="D2403">
        <f>_xlfn.LET(_xlpm.steps,SUBSTITUTE(Table13[[#This Row],[Input]],Table13[[#This Row],[Direction]],""),VALUE(IF(LEN(_xlpm.steps)&gt;2,LEFT(_xlpm.steps,LEN(_xlpm.steps)-2),0)))</f>
        <v>0</v>
      </c>
      <c r="E2403">
        <f>_xlfn.LET(_xlpm.dir,Table13[[#This Row],[Direction]],
IF(_xlpm.dir="L",
    IF(G2402-Table13[[#This Row],[Steps]]&lt;0,100+(G2402-Table13[[#This Row],[Steps]]),G2402-Table13[[#This Row],[Steps]]),
))</f>
        <v>65</v>
      </c>
      <c r="F2403">
        <f>_xlfn.LET(_xlpm.dir,Table13[[#This Row],[Direction]],
IF(_xlpm.dir="R",
    IF(G2402+Table13[[#This Row],[Steps]]&gt;99,(G2402+Table13[[#This Row],[Steps]])-100,G2402+Table13[[#This Row],[Steps]]),
))</f>
        <v>0</v>
      </c>
      <c r="G2403">
        <f>IF(Table13[[#This Row],[New Pos L]]&lt;&gt;0,Table13[[#This Row],[New Pos L]],Table13[[#This Row],[New Pos R]])</f>
        <v>65</v>
      </c>
      <c r="H2403">
        <f>IF(AND(Table13[[#This Row],[Direction]]="L",Table13[[#This Row],[Steps]]&gt;G2402,G2402&lt;&gt;0),1,0)</f>
        <v>0</v>
      </c>
      <c r="I2403">
        <f>IF(AND(Table13[[#This Row],[Direction]]="R",(G2402+Table13[[#This Row],[Steps]])&gt;100),1,0)</f>
        <v>0</v>
      </c>
      <c r="J2403">
        <f>IF(Table13[[#This Row],[POS]]=0,1,0)</f>
        <v>0</v>
      </c>
      <c r="K2403">
        <f>SUM(Table13[[#This Row],[prefix]],Table13[[#This Row],[Past zero L]],Table13[[#This Row],[Past Zero R]],Table13[[#This Row],[Is Zero]])</f>
        <v>0</v>
      </c>
    </row>
    <row r="2404" spans="1:11" ht="16" x14ac:dyDescent="0.2">
      <c r="A2404" s="1" t="s">
        <v>98</v>
      </c>
      <c r="B2404" t="str">
        <f>LEFT(Table13[[#This Row],[Input]],1)</f>
        <v>L</v>
      </c>
      <c r="C2404">
        <f>_xlfn.LET(_xlpm.steps,SUBSTITUTE(Table13[[#This Row],[Input]],Table13[[#This Row],[Direction]],""),VALUE(IF(LEN(_xlpm.steps)&gt;2,RIGHT(_xlpm.steps,2),_xlpm.steps)))</f>
        <v>65</v>
      </c>
      <c r="D2404">
        <f>_xlfn.LET(_xlpm.steps,SUBSTITUTE(Table13[[#This Row],[Input]],Table13[[#This Row],[Direction]],""),VALUE(IF(LEN(_xlpm.steps)&gt;2,LEFT(_xlpm.steps,LEN(_xlpm.steps)-2),0)))</f>
        <v>0</v>
      </c>
      <c r="E2404">
        <f>_xlfn.LET(_xlpm.dir,Table13[[#This Row],[Direction]],
IF(_xlpm.dir="L",
    IF(G2403-Table13[[#This Row],[Steps]]&lt;0,100+(G2403-Table13[[#This Row],[Steps]]),G2403-Table13[[#This Row],[Steps]]),
))</f>
        <v>0</v>
      </c>
      <c r="F2404">
        <f>_xlfn.LET(_xlpm.dir,Table13[[#This Row],[Direction]],
IF(_xlpm.dir="R",
    IF(G2403+Table13[[#This Row],[Steps]]&gt;99,(G2403+Table13[[#This Row],[Steps]])-100,G2403+Table13[[#This Row],[Steps]]),
))</f>
        <v>0</v>
      </c>
      <c r="G2404">
        <f>IF(Table13[[#This Row],[New Pos L]]&lt;&gt;0,Table13[[#This Row],[New Pos L]],Table13[[#This Row],[New Pos R]])</f>
        <v>0</v>
      </c>
      <c r="H2404">
        <f>IF(AND(Table13[[#This Row],[Direction]]="L",Table13[[#This Row],[Steps]]&gt;G2403,G2403&lt;&gt;0),1,0)</f>
        <v>0</v>
      </c>
      <c r="I2404">
        <f>IF(AND(Table13[[#This Row],[Direction]]="R",(G2403+Table13[[#This Row],[Steps]])&gt;100),1,0)</f>
        <v>0</v>
      </c>
      <c r="J2404">
        <f>IF(Table13[[#This Row],[POS]]=0,1,0)</f>
        <v>1</v>
      </c>
      <c r="K2404">
        <f>SUM(Table13[[#This Row],[prefix]],Table13[[#This Row],[Past zero L]],Table13[[#This Row],[Past Zero R]],Table13[[#This Row],[Is Zero]])</f>
        <v>1</v>
      </c>
    </row>
    <row r="2405" spans="1:11" ht="16" x14ac:dyDescent="0.2">
      <c r="A2405" s="1" t="s">
        <v>253</v>
      </c>
      <c r="B2405" t="str">
        <f>LEFT(Table13[[#This Row],[Input]],1)</f>
        <v>R</v>
      </c>
      <c r="C2405">
        <f>_xlfn.LET(_xlpm.steps,SUBSTITUTE(Table13[[#This Row],[Input]],Table13[[#This Row],[Direction]],""),VALUE(IF(LEN(_xlpm.steps)&gt;2,RIGHT(_xlpm.steps,2),_xlpm.steps)))</f>
        <v>94</v>
      </c>
      <c r="D2405">
        <f>_xlfn.LET(_xlpm.steps,SUBSTITUTE(Table13[[#This Row],[Input]],Table13[[#This Row],[Direction]],""),VALUE(IF(LEN(_xlpm.steps)&gt;2,LEFT(_xlpm.steps,LEN(_xlpm.steps)-2),0)))</f>
        <v>0</v>
      </c>
      <c r="E2405">
        <f>_xlfn.LET(_xlpm.dir,Table13[[#This Row],[Direction]],
IF(_xlpm.dir="L",
    IF(G2404-Table13[[#This Row],[Steps]]&lt;0,100+(G2404-Table13[[#This Row],[Steps]]),G2404-Table13[[#This Row],[Steps]]),
))</f>
        <v>0</v>
      </c>
      <c r="F2405">
        <f>_xlfn.LET(_xlpm.dir,Table13[[#This Row],[Direction]],
IF(_xlpm.dir="R",
    IF(G2404+Table13[[#This Row],[Steps]]&gt;99,(G2404+Table13[[#This Row],[Steps]])-100,G2404+Table13[[#This Row],[Steps]]),
))</f>
        <v>94</v>
      </c>
      <c r="G2405">
        <f>IF(Table13[[#This Row],[New Pos L]]&lt;&gt;0,Table13[[#This Row],[New Pos L]],Table13[[#This Row],[New Pos R]])</f>
        <v>94</v>
      </c>
      <c r="H2405">
        <f>IF(AND(Table13[[#This Row],[Direction]]="L",Table13[[#This Row],[Steps]]&gt;G2404,G2404&lt;&gt;0),1,0)</f>
        <v>0</v>
      </c>
      <c r="I2405">
        <f>IF(AND(Table13[[#This Row],[Direction]]="R",(G2404+Table13[[#This Row],[Steps]])&gt;100),1,0)</f>
        <v>0</v>
      </c>
      <c r="J2405">
        <f>IF(Table13[[#This Row],[POS]]=0,1,0)</f>
        <v>0</v>
      </c>
      <c r="K2405">
        <f>SUM(Table13[[#This Row],[prefix]],Table13[[#This Row],[Past zero L]],Table13[[#This Row],[Past Zero R]],Table13[[#This Row],[Is Zero]])</f>
        <v>0</v>
      </c>
    </row>
    <row r="2406" spans="1:11" ht="16" x14ac:dyDescent="0.2">
      <c r="A2406" s="1" t="s">
        <v>135</v>
      </c>
      <c r="B2406" t="str">
        <f>LEFT(Table13[[#This Row],[Input]],1)</f>
        <v>R</v>
      </c>
      <c r="C2406">
        <f>_xlfn.LET(_xlpm.steps,SUBSTITUTE(Table13[[#This Row],[Input]],Table13[[#This Row],[Direction]],""),VALUE(IF(LEN(_xlpm.steps)&gt;2,RIGHT(_xlpm.steps,2),_xlpm.steps)))</f>
        <v>69</v>
      </c>
      <c r="D2406">
        <f>_xlfn.LET(_xlpm.steps,SUBSTITUTE(Table13[[#This Row],[Input]],Table13[[#This Row],[Direction]],""),VALUE(IF(LEN(_xlpm.steps)&gt;2,LEFT(_xlpm.steps,LEN(_xlpm.steps)-2),0)))</f>
        <v>0</v>
      </c>
      <c r="E2406">
        <f>_xlfn.LET(_xlpm.dir,Table13[[#This Row],[Direction]],
IF(_xlpm.dir="L",
    IF(G2405-Table13[[#This Row],[Steps]]&lt;0,100+(G2405-Table13[[#This Row],[Steps]]),G2405-Table13[[#This Row],[Steps]]),
))</f>
        <v>0</v>
      </c>
      <c r="F2406">
        <f>_xlfn.LET(_xlpm.dir,Table13[[#This Row],[Direction]],
IF(_xlpm.dir="R",
    IF(G2405+Table13[[#This Row],[Steps]]&gt;99,(G2405+Table13[[#This Row],[Steps]])-100,G2405+Table13[[#This Row],[Steps]]),
))</f>
        <v>63</v>
      </c>
      <c r="G2406">
        <f>IF(Table13[[#This Row],[New Pos L]]&lt;&gt;0,Table13[[#This Row],[New Pos L]],Table13[[#This Row],[New Pos R]])</f>
        <v>63</v>
      </c>
      <c r="H2406">
        <f>IF(AND(Table13[[#This Row],[Direction]]="L",Table13[[#This Row],[Steps]]&gt;G2405,G2405&lt;&gt;0),1,0)</f>
        <v>0</v>
      </c>
      <c r="I2406">
        <f>IF(AND(Table13[[#This Row],[Direction]]="R",(G2405+Table13[[#This Row],[Steps]])&gt;100),1,0)</f>
        <v>1</v>
      </c>
      <c r="J2406">
        <f>IF(Table13[[#This Row],[POS]]=0,1,0)</f>
        <v>0</v>
      </c>
      <c r="K2406">
        <f>SUM(Table13[[#This Row],[prefix]],Table13[[#This Row],[Past zero L]],Table13[[#This Row],[Past Zero R]],Table13[[#This Row],[Is Zero]])</f>
        <v>1</v>
      </c>
    </row>
    <row r="2407" spans="1:11" ht="16" x14ac:dyDescent="0.2">
      <c r="A2407" s="1" t="s">
        <v>30</v>
      </c>
      <c r="B2407" t="str">
        <f>LEFT(Table13[[#This Row],[Input]],1)</f>
        <v>R</v>
      </c>
      <c r="C2407">
        <f>_xlfn.LET(_xlpm.steps,SUBSTITUTE(Table13[[#This Row],[Input]],Table13[[#This Row],[Direction]],""),VALUE(IF(LEN(_xlpm.steps)&gt;2,RIGHT(_xlpm.steps,2),_xlpm.steps)))</f>
        <v>48</v>
      </c>
      <c r="D2407">
        <f>_xlfn.LET(_xlpm.steps,SUBSTITUTE(Table13[[#This Row],[Input]],Table13[[#This Row],[Direction]],""),VALUE(IF(LEN(_xlpm.steps)&gt;2,LEFT(_xlpm.steps,LEN(_xlpm.steps)-2),0)))</f>
        <v>0</v>
      </c>
      <c r="E2407">
        <f>_xlfn.LET(_xlpm.dir,Table13[[#This Row],[Direction]],
IF(_xlpm.dir="L",
    IF(G2406-Table13[[#This Row],[Steps]]&lt;0,100+(G2406-Table13[[#This Row],[Steps]]),G2406-Table13[[#This Row],[Steps]]),
))</f>
        <v>0</v>
      </c>
      <c r="F2407">
        <f>_xlfn.LET(_xlpm.dir,Table13[[#This Row],[Direction]],
IF(_xlpm.dir="R",
    IF(G2406+Table13[[#This Row],[Steps]]&gt;99,(G2406+Table13[[#This Row],[Steps]])-100,G2406+Table13[[#This Row],[Steps]]),
))</f>
        <v>11</v>
      </c>
      <c r="G2407">
        <f>IF(Table13[[#This Row],[New Pos L]]&lt;&gt;0,Table13[[#This Row],[New Pos L]],Table13[[#This Row],[New Pos R]])</f>
        <v>11</v>
      </c>
      <c r="H2407">
        <f>IF(AND(Table13[[#This Row],[Direction]]="L",Table13[[#This Row],[Steps]]&gt;G2406,G2406&lt;&gt;0),1,0)</f>
        <v>0</v>
      </c>
      <c r="I2407">
        <f>IF(AND(Table13[[#This Row],[Direction]]="R",(G2406+Table13[[#This Row],[Steps]])&gt;100),1,0)</f>
        <v>1</v>
      </c>
      <c r="J2407">
        <f>IF(Table13[[#This Row],[POS]]=0,1,0)</f>
        <v>0</v>
      </c>
      <c r="K2407">
        <f>SUM(Table13[[#This Row],[prefix]],Table13[[#This Row],[Past zero L]],Table13[[#This Row],[Past Zero R]],Table13[[#This Row],[Is Zero]])</f>
        <v>1</v>
      </c>
    </row>
    <row r="2408" spans="1:11" ht="16" x14ac:dyDescent="0.2">
      <c r="A2408" s="1" t="s">
        <v>272</v>
      </c>
      <c r="B2408" t="str">
        <f>LEFT(Table13[[#This Row],[Input]],1)</f>
        <v>R</v>
      </c>
      <c r="C2408">
        <f>_xlfn.LET(_xlpm.steps,SUBSTITUTE(Table13[[#This Row],[Input]],Table13[[#This Row],[Direction]],""),VALUE(IF(LEN(_xlpm.steps)&gt;2,RIGHT(_xlpm.steps,2),_xlpm.steps)))</f>
        <v>56</v>
      </c>
      <c r="D2408">
        <f>_xlfn.LET(_xlpm.steps,SUBSTITUTE(Table13[[#This Row],[Input]],Table13[[#This Row],[Direction]],""),VALUE(IF(LEN(_xlpm.steps)&gt;2,LEFT(_xlpm.steps,LEN(_xlpm.steps)-2),0)))</f>
        <v>0</v>
      </c>
      <c r="E2408">
        <f>_xlfn.LET(_xlpm.dir,Table13[[#This Row],[Direction]],
IF(_xlpm.dir="L",
    IF(G2407-Table13[[#This Row],[Steps]]&lt;0,100+(G2407-Table13[[#This Row],[Steps]]),G2407-Table13[[#This Row],[Steps]]),
))</f>
        <v>0</v>
      </c>
      <c r="F2408">
        <f>_xlfn.LET(_xlpm.dir,Table13[[#This Row],[Direction]],
IF(_xlpm.dir="R",
    IF(G2407+Table13[[#This Row],[Steps]]&gt;99,(G2407+Table13[[#This Row],[Steps]])-100,G2407+Table13[[#This Row],[Steps]]),
))</f>
        <v>67</v>
      </c>
      <c r="G2408">
        <f>IF(Table13[[#This Row],[New Pos L]]&lt;&gt;0,Table13[[#This Row],[New Pos L]],Table13[[#This Row],[New Pos R]])</f>
        <v>67</v>
      </c>
      <c r="H2408">
        <f>IF(AND(Table13[[#This Row],[Direction]]="L",Table13[[#This Row],[Steps]]&gt;G2407,G2407&lt;&gt;0),1,0)</f>
        <v>0</v>
      </c>
      <c r="I2408">
        <f>IF(AND(Table13[[#This Row],[Direction]]="R",(G2407+Table13[[#This Row],[Steps]])&gt;100),1,0)</f>
        <v>0</v>
      </c>
      <c r="J2408">
        <f>IF(Table13[[#This Row],[POS]]=0,1,0)</f>
        <v>0</v>
      </c>
      <c r="K2408">
        <f>SUM(Table13[[#This Row],[prefix]],Table13[[#This Row],[Past zero L]],Table13[[#This Row],[Past Zero R]],Table13[[#This Row],[Is Zero]])</f>
        <v>0</v>
      </c>
    </row>
    <row r="2409" spans="1:11" ht="16" x14ac:dyDescent="0.2">
      <c r="A2409" s="1" t="s">
        <v>183</v>
      </c>
      <c r="B2409" t="str">
        <f>LEFT(Table13[[#This Row],[Input]],1)</f>
        <v>L</v>
      </c>
      <c r="C2409">
        <f>_xlfn.LET(_xlpm.steps,SUBSTITUTE(Table13[[#This Row],[Input]],Table13[[#This Row],[Direction]],""),VALUE(IF(LEN(_xlpm.steps)&gt;2,RIGHT(_xlpm.steps,2),_xlpm.steps)))</f>
        <v>67</v>
      </c>
      <c r="D2409">
        <f>_xlfn.LET(_xlpm.steps,SUBSTITUTE(Table13[[#This Row],[Input]],Table13[[#This Row],[Direction]],""),VALUE(IF(LEN(_xlpm.steps)&gt;2,LEFT(_xlpm.steps,LEN(_xlpm.steps)-2),0)))</f>
        <v>0</v>
      </c>
      <c r="E2409">
        <f>_xlfn.LET(_xlpm.dir,Table13[[#This Row],[Direction]],
IF(_xlpm.dir="L",
    IF(G2408-Table13[[#This Row],[Steps]]&lt;0,100+(G2408-Table13[[#This Row],[Steps]]),G2408-Table13[[#This Row],[Steps]]),
))</f>
        <v>0</v>
      </c>
      <c r="F2409">
        <f>_xlfn.LET(_xlpm.dir,Table13[[#This Row],[Direction]],
IF(_xlpm.dir="R",
    IF(G2408+Table13[[#This Row],[Steps]]&gt;99,(G2408+Table13[[#This Row],[Steps]])-100,G2408+Table13[[#This Row],[Steps]]),
))</f>
        <v>0</v>
      </c>
      <c r="G2409">
        <f>IF(Table13[[#This Row],[New Pos L]]&lt;&gt;0,Table13[[#This Row],[New Pos L]],Table13[[#This Row],[New Pos R]])</f>
        <v>0</v>
      </c>
      <c r="H2409">
        <f>IF(AND(Table13[[#This Row],[Direction]]="L",Table13[[#This Row],[Steps]]&gt;G2408,G2408&lt;&gt;0),1,0)</f>
        <v>0</v>
      </c>
      <c r="I2409">
        <f>IF(AND(Table13[[#This Row],[Direction]]="R",(G2408+Table13[[#This Row],[Steps]])&gt;100),1,0)</f>
        <v>0</v>
      </c>
      <c r="J2409">
        <f>IF(Table13[[#This Row],[POS]]=0,1,0)</f>
        <v>1</v>
      </c>
      <c r="K2409">
        <f>SUM(Table13[[#This Row],[prefix]],Table13[[#This Row],[Past zero L]],Table13[[#This Row],[Past Zero R]],Table13[[#This Row],[Is Zero]])</f>
        <v>1</v>
      </c>
    </row>
    <row r="2410" spans="1:11" ht="16" x14ac:dyDescent="0.2">
      <c r="A2410" s="1" t="s">
        <v>140</v>
      </c>
      <c r="B2410" t="str">
        <f>LEFT(Table13[[#This Row],[Input]],1)</f>
        <v>L</v>
      </c>
      <c r="C2410">
        <f>_xlfn.LET(_xlpm.steps,SUBSTITUTE(Table13[[#This Row],[Input]],Table13[[#This Row],[Direction]],""),VALUE(IF(LEN(_xlpm.steps)&gt;2,RIGHT(_xlpm.steps,2),_xlpm.steps)))</f>
        <v>61</v>
      </c>
      <c r="D2410">
        <f>_xlfn.LET(_xlpm.steps,SUBSTITUTE(Table13[[#This Row],[Input]],Table13[[#This Row],[Direction]],""),VALUE(IF(LEN(_xlpm.steps)&gt;2,LEFT(_xlpm.steps,LEN(_xlpm.steps)-2),0)))</f>
        <v>0</v>
      </c>
      <c r="E2410">
        <f>_xlfn.LET(_xlpm.dir,Table13[[#This Row],[Direction]],
IF(_xlpm.dir="L",
    IF(G2409-Table13[[#This Row],[Steps]]&lt;0,100+(G2409-Table13[[#This Row],[Steps]]),G2409-Table13[[#This Row],[Steps]]),
))</f>
        <v>39</v>
      </c>
      <c r="F2410">
        <f>_xlfn.LET(_xlpm.dir,Table13[[#This Row],[Direction]],
IF(_xlpm.dir="R",
    IF(G2409+Table13[[#This Row],[Steps]]&gt;99,(G2409+Table13[[#This Row],[Steps]])-100,G2409+Table13[[#This Row],[Steps]]),
))</f>
        <v>0</v>
      </c>
      <c r="G2410">
        <f>IF(Table13[[#This Row],[New Pos L]]&lt;&gt;0,Table13[[#This Row],[New Pos L]],Table13[[#This Row],[New Pos R]])</f>
        <v>39</v>
      </c>
      <c r="H2410">
        <f>IF(AND(Table13[[#This Row],[Direction]]="L",Table13[[#This Row],[Steps]]&gt;G2409,G2409&lt;&gt;0),1,0)</f>
        <v>0</v>
      </c>
      <c r="I2410">
        <f>IF(AND(Table13[[#This Row],[Direction]]="R",(G2409+Table13[[#This Row],[Steps]])&gt;100),1,0)</f>
        <v>0</v>
      </c>
      <c r="J2410">
        <f>IF(Table13[[#This Row],[POS]]=0,1,0)</f>
        <v>0</v>
      </c>
      <c r="K2410">
        <f>SUM(Table13[[#This Row],[prefix]],Table13[[#This Row],[Past zero L]],Table13[[#This Row],[Past Zero R]],Table13[[#This Row],[Is Zero]])</f>
        <v>0</v>
      </c>
    </row>
    <row r="2411" spans="1:11" ht="16" x14ac:dyDescent="0.2">
      <c r="A2411" s="1" t="s">
        <v>267</v>
      </c>
      <c r="B2411" t="str">
        <f>LEFT(Table13[[#This Row],[Input]],1)</f>
        <v>L</v>
      </c>
      <c r="C2411">
        <f>_xlfn.LET(_xlpm.steps,SUBSTITUTE(Table13[[#This Row],[Input]],Table13[[#This Row],[Direction]],""),VALUE(IF(LEN(_xlpm.steps)&gt;2,RIGHT(_xlpm.steps,2),_xlpm.steps)))</f>
        <v>39</v>
      </c>
      <c r="D2411">
        <f>_xlfn.LET(_xlpm.steps,SUBSTITUTE(Table13[[#This Row],[Input]],Table13[[#This Row],[Direction]],""),VALUE(IF(LEN(_xlpm.steps)&gt;2,LEFT(_xlpm.steps,LEN(_xlpm.steps)-2),0)))</f>
        <v>0</v>
      </c>
      <c r="E2411">
        <f>_xlfn.LET(_xlpm.dir,Table13[[#This Row],[Direction]],
IF(_xlpm.dir="L",
    IF(G2410-Table13[[#This Row],[Steps]]&lt;0,100+(G2410-Table13[[#This Row],[Steps]]),G2410-Table13[[#This Row],[Steps]]),
))</f>
        <v>0</v>
      </c>
      <c r="F2411">
        <f>_xlfn.LET(_xlpm.dir,Table13[[#This Row],[Direction]],
IF(_xlpm.dir="R",
    IF(G2410+Table13[[#This Row],[Steps]]&gt;99,(G2410+Table13[[#This Row],[Steps]])-100,G2410+Table13[[#This Row],[Steps]]),
))</f>
        <v>0</v>
      </c>
      <c r="G2411">
        <f>IF(Table13[[#This Row],[New Pos L]]&lt;&gt;0,Table13[[#This Row],[New Pos L]],Table13[[#This Row],[New Pos R]])</f>
        <v>0</v>
      </c>
      <c r="H2411">
        <f>IF(AND(Table13[[#This Row],[Direction]]="L",Table13[[#This Row],[Steps]]&gt;G2410,G2410&lt;&gt;0),1,0)</f>
        <v>0</v>
      </c>
      <c r="I2411">
        <f>IF(AND(Table13[[#This Row],[Direction]]="R",(G2410+Table13[[#This Row],[Steps]])&gt;100),1,0)</f>
        <v>0</v>
      </c>
      <c r="J2411">
        <f>IF(Table13[[#This Row],[POS]]=0,1,0)</f>
        <v>1</v>
      </c>
      <c r="K2411">
        <f>SUM(Table13[[#This Row],[prefix]],Table13[[#This Row],[Past zero L]],Table13[[#This Row],[Past Zero R]],Table13[[#This Row],[Is Zero]])</f>
        <v>1</v>
      </c>
    </row>
    <row r="2412" spans="1:11" ht="16" x14ac:dyDescent="0.2">
      <c r="A2412" s="1" t="s">
        <v>82</v>
      </c>
      <c r="B2412" t="str">
        <f>LEFT(Table13[[#This Row],[Input]],1)</f>
        <v>L</v>
      </c>
      <c r="C2412">
        <f>_xlfn.LET(_xlpm.steps,SUBSTITUTE(Table13[[#This Row],[Input]],Table13[[#This Row],[Direction]],""),VALUE(IF(LEN(_xlpm.steps)&gt;2,RIGHT(_xlpm.steps,2),_xlpm.steps)))</f>
        <v>55</v>
      </c>
      <c r="D2412">
        <f>_xlfn.LET(_xlpm.steps,SUBSTITUTE(Table13[[#This Row],[Input]],Table13[[#This Row],[Direction]],""),VALUE(IF(LEN(_xlpm.steps)&gt;2,LEFT(_xlpm.steps,LEN(_xlpm.steps)-2),0)))</f>
        <v>0</v>
      </c>
      <c r="E2412">
        <f>_xlfn.LET(_xlpm.dir,Table13[[#This Row],[Direction]],
IF(_xlpm.dir="L",
    IF(G2411-Table13[[#This Row],[Steps]]&lt;0,100+(G2411-Table13[[#This Row],[Steps]]),G2411-Table13[[#This Row],[Steps]]),
))</f>
        <v>45</v>
      </c>
      <c r="F2412">
        <f>_xlfn.LET(_xlpm.dir,Table13[[#This Row],[Direction]],
IF(_xlpm.dir="R",
    IF(G2411+Table13[[#This Row],[Steps]]&gt;99,(G2411+Table13[[#This Row],[Steps]])-100,G2411+Table13[[#This Row],[Steps]]),
))</f>
        <v>0</v>
      </c>
      <c r="G2412">
        <f>IF(Table13[[#This Row],[New Pos L]]&lt;&gt;0,Table13[[#This Row],[New Pos L]],Table13[[#This Row],[New Pos R]])</f>
        <v>45</v>
      </c>
      <c r="H2412">
        <f>IF(AND(Table13[[#This Row],[Direction]]="L",Table13[[#This Row],[Steps]]&gt;G2411,G2411&lt;&gt;0),1,0)</f>
        <v>0</v>
      </c>
      <c r="I2412">
        <f>IF(AND(Table13[[#This Row],[Direction]]="R",(G2411+Table13[[#This Row],[Steps]])&gt;100),1,0)</f>
        <v>0</v>
      </c>
      <c r="J2412">
        <f>IF(Table13[[#This Row],[POS]]=0,1,0)</f>
        <v>0</v>
      </c>
      <c r="K2412">
        <f>SUM(Table13[[#This Row],[prefix]],Table13[[#This Row],[Past zero L]],Table13[[#This Row],[Past Zero R]],Table13[[#This Row],[Is Zero]])</f>
        <v>0</v>
      </c>
    </row>
    <row r="2413" spans="1:11" ht="16" x14ac:dyDescent="0.2">
      <c r="A2413" s="1" t="s">
        <v>34</v>
      </c>
      <c r="B2413" t="str">
        <f>LEFT(Table13[[#This Row],[Input]],1)</f>
        <v>L</v>
      </c>
      <c r="C2413">
        <f>_xlfn.LET(_xlpm.steps,SUBSTITUTE(Table13[[#This Row],[Input]],Table13[[#This Row],[Direction]],""),VALUE(IF(LEN(_xlpm.steps)&gt;2,RIGHT(_xlpm.steps,2),_xlpm.steps)))</f>
        <v>15</v>
      </c>
      <c r="D2413">
        <f>_xlfn.LET(_xlpm.steps,SUBSTITUTE(Table13[[#This Row],[Input]],Table13[[#This Row],[Direction]],""),VALUE(IF(LEN(_xlpm.steps)&gt;2,LEFT(_xlpm.steps,LEN(_xlpm.steps)-2),0)))</f>
        <v>0</v>
      </c>
      <c r="E2413">
        <f>_xlfn.LET(_xlpm.dir,Table13[[#This Row],[Direction]],
IF(_xlpm.dir="L",
    IF(G2412-Table13[[#This Row],[Steps]]&lt;0,100+(G2412-Table13[[#This Row],[Steps]]),G2412-Table13[[#This Row],[Steps]]),
))</f>
        <v>30</v>
      </c>
      <c r="F2413">
        <f>_xlfn.LET(_xlpm.dir,Table13[[#This Row],[Direction]],
IF(_xlpm.dir="R",
    IF(G2412+Table13[[#This Row],[Steps]]&gt;99,(G2412+Table13[[#This Row],[Steps]])-100,G2412+Table13[[#This Row],[Steps]]),
))</f>
        <v>0</v>
      </c>
      <c r="G2413">
        <f>IF(Table13[[#This Row],[New Pos L]]&lt;&gt;0,Table13[[#This Row],[New Pos L]],Table13[[#This Row],[New Pos R]])</f>
        <v>30</v>
      </c>
      <c r="H2413">
        <f>IF(AND(Table13[[#This Row],[Direction]]="L",Table13[[#This Row],[Steps]]&gt;G2412,G2412&lt;&gt;0),1,0)</f>
        <v>0</v>
      </c>
      <c r="I2413">
        <f>IF(AND(Table13[[#This Row],[Direction]]="R",(G2412+Table13[[#This Row],[Steps]])&gt;100),1,0)</f>
        <v>0</v>
      </c>
      <c r="J2413">
        <f>IF(Table13[[#This Row],[POS]]=0,1,0)</f>
        <v>0</v>
      </c>
      <c r="K2413">
        <f>SUM(Table13[[#This Row],[prefix]],Table13[[#This Row],[Past zero L]],Table13[[#This Row],[Past Zero R]],Table13[[#This Row],[Is Zero]])</f>
        <v>0</v>
      </c>
    </row>
    <row r="2414" spans="1:11" ht="16" x14ac:dyDescent="0.2">
      <c r="A2414" s="1" t="s">
        <v>245</v>
      </c>
      <c r="B2414" t="str">
        <f>LEFT(Table13[[#This Row],[Input]],1)</f>
        <v>R</v>
      </c>
      <c r="C2414">
        <f>_xlfn.LET(_xlpm.steps,SUBSTITUTE(Table13[[#This Row],[Input]],Table13[[#This Row],[Direction]],""),VALUE(IF(LEN(_xlpm.steps)&gt;2,RIGHT(_xlpm.steps,2),_xlpm.steps)))</f>
        <v>71</v>
      </c>
      <c r="D2414">
        <f>_xlfn.LET(_xlpm.steps,SUBSTITUTE(Table13[[#This Row],[Input]],Table13[[#This Row],[Direction]],""),VALUE(IF(LEN(_xlpm.steps)&gt;2,LEFT(_xlpm.steps,LEN(_xlpm.steps)-2),0)))</f>
        <v>0</v>
      </c>
      <c r="E2414">
        <f>_xlfn.LET(_xlpm.dir,Table13[[#This Row],[Direction]],
IF(_xlpm.dir="L",
    IF(G2413-Table13[[#This Row],[Steps]]&lt;0,100+(G2413-Table13[[#This Row],[Steps]]),G2413-Table13[[#This Row],[Steps]]),
))</f>
        <v>0</v>
      </c>
      <c r="F2414">
        <f>_xlfn.LET(_xlpm.dir,Table13[[#This Row],[Direction]],
IF(_xlpm.dir="R",
    IF(G2413+Table13[[#This Row],[Steps]]&gt;99,(G2413+Table13[[#This Row],[Steps]])-100,G2413+Table13[[#This Row],[Steps]]),
))</f>
        <v>1</v>
      </c>
      <c r="G2414">
        <f>IF(Table13[[#This Row],[New Pos L]]&lt;&gt;0,Table13[[#This Row],[New Pos L]],Table13[[#This Row],[New Pos R]])</f>
        <v>1</v>
      </c>
      <c r="H2414">
        <f>IF(AND(Table13[[#This Row],[Direction]]="L",Table13[[#This Row],[Steps]]&gt;G2413,G2413&lt;&gt;0),1,0)</f>
        <v>0</v>
      </c>
      <c r="I2414">
        <f>IF(AND(Table13[[#This Row],[Direction]]="R",(G2413+Table13[[#This Row],[Steps]])&gt;100),1,0)</f>
        <v>1</v>
      </c>
      <c r="J2414">
        <f>IF(Table13[[#This Row],[POS]]=0,1,0)</f>
        <v>0</v>
      </c>
      <c r="K2414">
        <f>SUM(Table13[[#This Row],[prefix]],Table13[[#This Row],[Past zero L]],Table13[[#This Row],[Past Zero R]],Table13[[#This Row],[Is Zero]])</f>
        <v>1</v>
      </c>
    </row>
    <row r="2415" spans="1:11" ht="16" x14ac:dyDescent="0.2">
      <c r="A2415" s="1" t="s">
        <v>39</v>
      </c>
      <c r="B2415" t="str">
        <f>LEFT(Table13[[#This Row],[Input]],1)</f>
        <v>R</v>
      </c>
      <c r="C2415">
        <f>_xlfn.LET(_xlpm.steps,SUBSTITUTE(Table13[[#This Row],[Input]],Table13[[#This Row],[Direction]],""),VALUE(IF(LEN(_xlpm.steps)&gt;2,RIGHT(_xlpm.steps,2),_xlpm.steps)))</f>
        <v>32</v>
      </c>
      <c r="D2415">
        <f>_xlfn.LET(_xlpm.steps,SUBSTITUTE(Table13[[#This Row],[Input]],Table13[[#This Row],[Direction]],""),VALUE(IF(LEN(_xlpm.steps)&gt;2,LEFT(_xlpm.steps,LEN(_xlpm.steps)-2),0)))</f>
        <v>0</v>
      </c>
      <c r="E2415">
        <f>_xlfn.LET(_xlpm.dir,Table13[[#This Row],[Direction]],
IF(_xlpm.dir="L",
    IF(G2414-Table13[[#This Row],[Steps]]&lt;0,100+(G2414-Table13[[#This Row],[Steps]]),G2414-Table13[[#This Row],[Steps]]),
))</f>
        <v>0</v>
      </c>
      <c r="F2415">
        <f>_xlfn.LET(_xlpm.dir,Table13[[#This Row],[Direction]],
IF(_xlpm.dir="R",
    IF(G2414+Table13[[#This Row],[Steps]]&gt;99,(G2414+Table13[[#This Row],[Steps]])-100,G2414+Table13[[#This Row],[Steps]]),
))</f>
        <v>33</v>
      </c>
      <c r="G2415">
        <f>IF(Table13[[#This Row],[New Pos L]]&lt;&gt;0,Table13[[#This Row],[New Pos L]],Table13[[#This Row],[New Pos R]])</f>
        <v>33</v>
      </c>
      <c r="H2415">
        <f>IF(AND(Table13[[#This Row],[Direction]]="L",Table13[[#This Row],[Steps]]&gt;G2414,G2414&lt;&gt;0),1,0)</f>
        <v>0</v>
      </c>
      <c r="I2415">
        <f>IF(AND(Table13[[#This Row],[Direction]]="R",(G2414+Table13[[#This Row],[Steps]])&gt;100),1,0)</f>
        <v>0</v>
      </c>
      <c r="J2415">
        <f>IF(Table13[[#This Row],[POS]]=0,1,0)</f>
        <v>0</v>
      </c>
      <c r="K2415">
        <f>SUM(Table13[[#This Row],[prefix]],Table13[[#This Row],[Past zero L]],Table13[[#This Row],[Past Zero R]],Table13[[#This Row],[Is Zero]])</f>
        <v>0</v>
      </c>
    </row>
    <row r="2416" spans="1:11" ht="16" x14ac:dyDescent="0.2">
      <c r="A2416" s="1" t="s">
        <v>75</v>
      </c>
      <c r="B2416" t="str">
        <f>LEFT(Table13[[#This Row],[Input]],1)</f>
        <v>R</v>
      </c>
      <c r="C2416">
        <f>_xlfn.LET(_xlpm.steps,SUBSTITUTE(Table13[[#This Row],[Input]],Table13[[#This Row],[Direction]],""),VALUE(IF(LEN(_xlpm.steps)&gt;2,RIGHT(_xlpm.steps,2),_xlpm.steps)))</f>
        <v>2</v>
      </c>
      <c r="D2416">
        <f>_xlfn.LET(_xlpm.steps,SUBSTITUTE(Table13[[#This Row],[Input]],Table13[[#This Row],[Direction]],""),VALUE(IF(LEN(_xlpm.steps)&gt;2,LEFT(_xlpm.steps,LEN(_xlpm.steps)-2),0)))</f>
        <v>0</v>
      </c>
      <c r="E2416">
        <f>_xlfn.LET(_xlpm.dir,Table13[[#This Row],[Direction]],
IF(_xlpm.dir="L",
    IF(G2415-Table13[[#This Row],[Steps]]&lt;0,100+(G2415-Table13[[#This Row],[Steps]]),G2415-Table13[[#This Row],[Steps]]),
))</f>
        <v>0</v>
      </c>
      <c r="F2416">
        <f>_xlfn.LET(_xlpm.dir,Table13[[#This Row],[Direction]],
IF(_xlpm.dir="R",
    IF(G2415+Table13[[#This Row],[Steps]]&gt;99,(G2415+Table13[[#This Row],[Steps]])-100,G2415+Table13[[#This Row],[Steps]]),
))</f>
        <v>35</v>
      </c>
      <c r="G2416">
        <f>IF(Table13[[#This Row],[New Pos L]]&lt;&gt;0,Table13[[#This Row],[New Pos L]],Table13[[#This Row],[New Pos R]])</f>
        <v>35</v>
      </c>
      <c r="H2416">
        <f>IF(AND(Table13[[#This Row],[Direction]]="L",Table13[[#This Row],[Steps]]&gt;G2415,G2415&lt;&gt;0),1,0)</f>
        <v>0</v>
      </c>
      <c r="I2416">
        <f>IF(AND(Table13[[#This Row],[Direction]]="R",(G2415+Table13[[#This Row],[Steps]])&gt;100),1,0)</f>
        <v>0</v>
      </c>
      <c r="J2416">
        <f>IF(Table13[[#This Row],[POS]]=0,1,0)</f>
        <v>0</v>
      </c>
      <c r="K2416">
        <f>SUM(Table13[[#This Row],[prefix]],Table13[[#This Row],[Past zero L]],Table13[[#This Row],[Past Zero R]],Table13[[#This Row],[Is Zero]])</f>
        <v>0</v>
      </c>
    </row>
    <row r="2417" spans="1:11" ht="16" x14ac:dyDescent="0.2">
      <c r="A2417" s="1" t="s">
        <v>161</v>
      </c>
      <c r="B2417" t="str">
        <f>LEFT(Table13[[#This Row],[Input]],1)</f>
        <v>R</v>
      </c>
      <c r="C2417">
        <f>_xlfn.LET(_xlpm.steps,SUBSTITUTE(Table13[[#This Row],[Input]],Table13[[#This Row],[Direction]],""),VALUE(IF(LEN(_xlpm.steps)&gt;2,RIGHT(_xlpm.steps,2),_xlpm.steps)))</f>
        <v>76</v>
      </c>
      <c r="D2417">
        <f>_xlfn.LET(_xlpm.steps,SUBSTITUTE(Table13[[#This Row],[Input]],Table13[[#This Row],[Direction]],""),VALUE(IF(LEN(_xlpm.steps)&gt;2,LEFT(_xlpm.steps,LEN(_xlpm.steps)-2),0)))</f>
        <v>0</v>
      </c>
      <c r="E2417">
        <f>_xlfn.LET(_xlpm.dir,Table13[[#This Row],[Direction]],
IF(_xlpm.dir="L",
    IF(G2416-Table13[[#This Row],[Steps]]&lt;0,100+(G2416-Table13[[#This Row],[Steps]]),G2416-Table13[[#This Row],[Steps]]),
))</f>
        <v>0</v>
      </c>
      <c r="F2417">
        <f>_xlfn.LET(_xlpm.dir,Table13[[#This Row],[Direction]],
IF(_xlpm.dir="R",
    IF(G2416+Table13[[#This Row],[Steps]]&gt;99,(G2416+Table13[[#This Row],[Steps]])-100,G2416+Table13[[#This Row],[Steps]]),
))</f>
        <v>11</v>
      </c>
      <c r="G2417">
        <f>IF(Table13[[#This Row],[New Pos L]]&lt;&gt;0,Table13[[#This Row],[New Pos L]],Table13[[#This Row],[New Pos R]])</f>
        <v>11</v>
      </c>
      <c r="H2417">
        <f>IF(AND(Table13[[#This Row],[Direction]]="L",Table13[[#This Row],[Steps]]&gt;G2416,G2416&lt;&gt;0),1,0)</f>
        <v>0</v>
      </c>
      <c r="I2417">
        <f>IF(AND(Table13[[#This Row],[Direction]]="R",(G2416+Table13[[#This Row],[Steps]])&gt;100),1,0)</f>
        <v>1</v>
      </c>
      <c r="J2417">
        <f>IF(Table13[[#This Row],[POS]]=0,1,0)</f>
        <v>0</v>
      </c>
      <c r="K2417">
        <f>SUM(Table13[[#This Row],[prefix]],Table13[[#This Row],[Past zero L]],Table13[[#This Row],[Past Zero R]],Table13[[#This Row],[Is Zero]])</f>
        <v>1</v>
      </c>
    </row>
    <row r="2418" spans="1:11" ht="16" x14ac:dyDescent="0.2">
      <c r="A2418" s="1" t="s">
        <v>65</v>
      </c>
      <c r="B2418" t="str">
        <f>LEFT(Table13[[#This Row],[Input]],1)</f>
        <v>L</v>
      </c>
      <c r="C2418">
        <f>_xlfn.LET(_xlpm.steps,SUBSTITUTE(Table13[[#This Row],[Input]],Table13[[#This Row],[Direction]],""),VALUE(IF(LEN(_xlpm.steps)&gt;2,RIGHT(_xlpm.steps,2),_xlpm.steps)))</f>
        <v>19</v>
      </c>
      <c r="D2418">
        <f>_xlfn.LET(_xlpm.steps,SUBSTITUTE(Table13[[#This Row],[Input]],Table13[[#This Row],[Direction]],""),VALUE(IF(LEN(_xlpm.steps)&gt;2,LEFT(_xlpm.steps,LEN(_xlpm.steps)-2),0)))</f>
        <v>0</v>
      </c>
      <c r="E2418">
        <f>_xlfn.LET(_xlpm.dir,Table13[[#This Row],[Direction]],
IF(_xlpm.dir="L",
    IF(G2417-Table13[[#This Row],[Steps]]&lt;0,100+(G2417-Table13[[#This Row],[Steps]]),G2417-Table13[[#This Row],[Steps]]),
))</f>
        <v>92</v>
      </c>
      <c r="F2418">
        <f>_xlfn.LET(_xlpm.dir,Table13[[#This Row],[Direction]],
IF(_xlpm.dir="R",
    IF(G2417+Table13[[#This Row],[Steps]]&gt;99,(G2417+Table13[[#This Row],[Steps]])-100,G2417+Table13[[#This Row],[Steps]]),
))</f>
        <v>0</v>
      </c>
      <c r="G2418">
        <f>IF(Table13[[#This Row],[New Pos L]]&lt;&gt;0,Table13[[#This Row],[New Pos L]],Table13[[#This Row],[New Pos R]])</f>
        <v>92</v>
      </c>
      <c r="H2418">
        <f>IF(AND(Table13[[#This Row],[Direction]]="L",Table13[[#This Row],[Steps]]&gt;G2417,G2417&lt;&gt;0),1,0)</f>
        <v>1</v>
      </c>
      <c r="I2418">
        <f>IF(AND(Table13[[#This Row],[Direction]]="R",(G2417+Table13[[#This Row],[Steps]])&gt;100),1,0)</f>
        <v>0</v>
      </c>
      <c r="J2418">
        <f>IF(Table13[[#This Row],[POS]]=0,1,0)</f>
        <v>0</v>
      </c>
      <c r="K2418">
        <f>SUM(Table13[[#This Row],[prefix]],Table13[[#This Row],[Past zero L]],Table13[[#This Row],[Past Zero R]],Table13[[#This Row],[Is Zero]])</f>
        <v>1</v>
      </c>
    </row>
    <row r="2419" spans="1:11" ht="16" x14ac:dyDescent="0.2">
      <c r="A2419" s="1" t="s">
        <v>129</v>
      </c>
      <c r="B2419" t="str">
        <f>LEFT(Table13[[#This Row],[Input]],1)</f>
        <v>R</v>
      </c>
      <c r="C2419">
        <f>_xlfn.LET(_xlpm.steps,SUBSTITUTE(Table13[[#This Row],[Input]],Table13[[#This Row],[Direction]],""),VALUE(IF(LEN(_xlpm.steps)&gt;2,RIGHT(_xlpm.steps,2),_xlpm.steps)))</f>
        <v>8</v>
      </c>
      <c r="D2419">
        <f>_xlfn.LET(_xlpm.steps,SUBSTITUTE(Table13[[#This Row],[Input]],Table13[[#This Row],[Direction]],""),VALUE(IF(LEN(_xlpm.steps)&gt;2,LEFT(_xlpm.steps,LEN(_xlpm.steps)-2),0)))</f>
        <v>0</v>
      </c>
      <c r="E2419">
        <f>_xlfn.LET(_xlpm.dir,Table13[[#This Row],[Direction]],
IF(_xlpm.dir="L",
    IF(G2418-Table13[[#This Row],[Steps]]&lt;0,100+(G2418-Table13[[#This Row],[Steps]]),G2418-Table13[[#This Row],[Steps]]),
))</f>
        <v>0</v>
      </c>
      <c r="F2419">
        <f>_xlfn.LET(_xlpm.dir,Table13[[#This Row],[Direction]],
IF(_xlpm.dir="R",
    IF(G2418+Table13[[#This Row],[Steps]]&gt;99,(G2418+Table13[[#This Row],[Steps]])-100,G2418+Table13[[#This Row],[Steps]]),
))</f>
        <v>0</v>
      </c>
      <c r="G2419">
        <f>IF(Table13[[#This Row],[New Pos L]]&lt;&gt;0,Table13[[#This Row],[New Pos L]],Table13[[#This Row],[New Pos R]])</f>
        <v>0</v>
      </c>
      <c r="H2419">
        <f>IF(AND(Table13[[#This Row],[Direction]]="L",Table13[[#This Row],[Steps]]&gt;G2418,G2418&lt;&gt;0),1,0)</f>
        <v>0</v>
      </c>
      <c r="I2419">
        <f>IF(AND(Table13[[#This Row],[Direction]]="R",(G2418+Table13[[#This Row],[Steps]])&gt;100),1,0)</f>
        <v>0</v>
      </c>
      <c r="J2419">
        <f>IF(Table13[[#This Row],[POS]]=0,1,0)</f>
        <v>1</v>
      </c>
      <c r="K2419">
        <f>SUM(Table13[[#This Row],[prefix]],Table13[[#This Row],[Past zero L]],Table13[[#This Row],[Past Zero R]],Table13[[#This Row],[Is Zero]])</f>
        <v>1</v>
      </c>
    </row>
    <row r="2420" spans="1:11" ht="16" x14ac:dyDescent="0.2">
      <c r="A2420" s="1" t="s">
        <v>46</v>
      </c>
      <c r="B2420" t="str">
        <f>LEFT(Table13[[#This Row],[Input]],1)</f>
        <v>L</v>
      </c>
      <c r="C2420">
        <f>_xlfn.LET(_xlpm.steps,SUBSTITUTE(Table13[[#This Row],[Input]],Table13[[#This Row],[Direction]],""),VALUE(IF(LEN(_xlpm.steps)&gt;2,RIGHT(_xlpm.steps,2),_xlpm.steps)))</f>
        <v>97</v>
      </c>
      <c r="D2420">
        <f>_xlfn.LET(_xlpm.steps,SUBSTITUTE(Table13[[#This Row],[Input]],Table13[[#This Row],[Direction]],""),VALUE(IF(LEN(_xlpm.steps)&gt;2,LEFT(_xlpm.steps,LEN(_xlpm.steps)-2),0)))</f>
        <v>0</v>
      </c>
      <c r="E2420">
        <f>_xlfn.LET(_xlpm.dir,Table13[[#This Row],[Direction]],
IF(_xlpm.dir="L",
    IF(G2419-Table13[[#This Row],[Steps]]&lt;0,100+(G2419-Table13[[#This Row],[Steps]]),G2419-Table13[[#This Row],[Steps]]),
))</f>
        <v>3</v>
      </c>
      <c r="F2420">
        <f>_xlfn.LET(_xlpm.dir,Table13[[#This Row],[Direction]],
IF(_xlpm.dir="R",
    IF(G2419+Table13[[#This Row],[Steps]]&gt;99,(G2419+Table13[[#This Row],[Steps]])-100,G2419+Table13[[#This Row],[Steps]]),
))</f>
        <v>0</v>
      </c>
      <c r="G2420">
        <f>IF(Table13[[#This Row],[New Pos L]]&lt;&gt;0,Table13[[#This Row],[New Pos L]],Table13[[#This Row],[New Pos R]])</f>
        <v>3</v>
      </c>
      <c r="H2420">
        <f>IF(AND(Table13[[#This Row],[Direction]]="L",Table13[[#This Row],[Steps]]&gt;G2419,G2419&lt;&gt;0),1,0)</f>
        <v>0</v>
      </c>
      <c r="I2420">
        <f>IF(AND(Table13[[#This Row],[Direction]]="R",(G2419+Table13[[#This Row],[Steps]])&gt;100),1,0)</f>
        <v>0</v>
      </c>
      <c r="J2420">
        <f>IF(Table13[[#This Row],[POS]]=0,1,0)</f>
        <v>0</v>
      </c>
      <c r="K2420">
        <f>SUM(Table13[[#This Row],[prefix]],Table13[[#This Row],[Past zero L]],Table13[[#This Row],[Past Zero R]],Table13[[#This Row],[Is Zero]])</f>
        <v>0</v>
      </c>
    </row>
    <row r="2421" spans="1:11" ht="16" x14ac:dyDescent="0.2">
      <c r="A2421" s="1" t="s">
        <v>191</v>
      </c>
      <c r="B2421" t="str">
        <f>LEFT(Table13[[#This Row],[Input]],1)</f>
        <v>L</v>
      </c>
      <c r="C2421">
        <f>_xlfn.LET(_xlpm.steps,SUBSTITUTE(Table13[[#This Row],[Input]],Table13[[#This Row],[Direction]],""),VALUE(IF(LEN(_xlpm.steps)&gt;2,RIGHT(_xlpm.steps,2),_xlpm.steps)))</f>
        <v>5</v>
      </c>
      <c r="D2421">
        <f>_xlfn.LET(_xlpm.steps,SUBSTITUTE(Table13[[#This Row],[Input]],Table13[[#This Row],[Direction]],""),VALUE(IF(LEN(_xlpm.steps)&gt;2,LEFT(_xlpm.steps,LEN(_xlpm.steps)-2),0)))</f>
        <v>0</v>
      </c>
      <c r="E2421">
        <f>_xlfn.LET(_xlpm.dir,Table13[[#This Row],[Direction]],
IF(_xlpm.dir="L",
    IF(G2420-Table13[[#This Row],[Steps]]&lt;0,100+(G2420-Table13[[#This Row],[Steps]]),G2420-Table13[[#This Row],[Steps]]),
))</f>
        <v>98</v>
      </c>
      <c r="F2421">
        <f>_xlfn.LET(_xlpm.dir,Table13[[#This Row],[Direction]],
IF(_xlpm.dir="R",
    IF(G2420+Table13[[#This Row],[Steps]]&gt;99,(G2420+Table13[[#This Row],[Steps]])-100,G2420+Table13[[#This Row],[Steps]]),
))</f>
        <v>0</v>
      </c>
      <c r="G2421">
        <f>IF(Table13[[#This Row],[New Pos L]]&lt;&gt;0,Table13[[#This Row],[New Pos L]],Table13[[#This Row],[New Pos R]])</f>
        <v>98</v>
      </c>
      <c r="H2421">
        <f>IF(AND(Table13[[#This Row],[Direction]]="L",Table13[[#This Row],[Steps]]&gt;G2420,G2420&lt;&gt;0),1,0)</f>
        <v>1</v>
      </c>
      <c r="I2421">
        <f>IF(AND(Table13[[#This Row],[Direction]]="R",(G2420+Table13[[#This Row],[Steps]])&gt;100),1,0)</f>
        <v>0</v>
      </c>
      <c r="J2421">
        <f>IF(Table13[[#This Row],[POS]]=0,1,0)</f>
        <v>0</v>
      </c>
      <c r="K2421">
        <f>SUM(Table13[[#This Row],[prefix]],Table13[[#This Row],[Past zero L]],Table13[[#This Row],[Past Zero R]],Table13[[#This Row],[Is Zero]])</f>
        <v>1</v>
      </c>
    </row>
    <row r="2422" spans="1:11" ht="16" x14ac:dyDescent="0.2">
      <c r="A2422" s="1" t="s">
        <v>75</v>
      </c>
      <c r="B2422" t="str">
        <f>LEFT(Table13[[#This Row],[Input]],1)</f>
        <v>R</v>
      </c>
      <c r="C2422">
        <f>_xlfn.LET(_xlpm.steps,SUBSTITUTE(Table13[[#This Row],[Input]],Table13[[#This Row],[Direction]],""),VALUE(IF(LEN(_xlpm.steps)&gt;2,RIGHT(_xlpm.steps,2),_xlpm.steps)))</f>
        <v>2</v>
      </c>
      <c r="D2422">
        <f>_xlfn.LET(_xlpm.steps,SUBSTITUTE(Table13[[#This Row],[Input]],Table13[[#This Row],[Direction]],""),VALUE(IF(LEN(_xlpm.steps)&gt;2,LEFT(_xlpm.steps,LEN(_xlpm.steps)-2),0)))</f>
        <v>0</v>
      </c>
      <c r="E2422">
        <f>_xlfn.LET(_xlpm.dir,Table13[[#This Row],[Direction]],
IF(_xlpm.dir="L",
    IF(G2421-Table13[[#This Row],[Steps]]&lt;0,100+(G2421-Table13[[#This Row],[Steps]]),G2421-Table13[[#This Row],[Steps]]),
))</f>
        <v>0</v>
      </c>
      <c r="F2422">
        <f>_xlfn.LET(_xlpm.dir,Table13[[#This Row],[Direction]],
IF(_xlpm.dir="R",
    IF(G2421+Table13[[#This Row],[Steps]]&gt;99,(G2421+Table13[[#This Row],[Steps]])-100,G2421+Table13[[#This Row],[Steps]]),
))</f>
        <v>0</v>
      </c>
      <c r="G2422">
        <f>IF(Table13[[#This Row],[New Pos L]]&lt;&gt;0,Table13[[#This Row],[New Pos L]],Table13[[#This Row],[New Pos R]])</f>
        <v>0</v>
      </c>
      <c r="H2422">
        <f>IF(AND(Table13[[#This Row],[Direction]]="L",Table13[[#This Row],[Steps]]&gt;G2421,G2421&lt;&gt;0),1,0)</f>
        <v>0</v>
      </c>
      <c r="I2422">
        <f>IF(AND(Table13[[#This Row],[Direction]]="R",(G2421+Table13[[#This Row],[Steps]])&gt;100),1,0)</f>
        <v>0</v>
      </c>
      <c r="J2422">
        <f>IF(Table13[[#This Row],[POS]]=0,1,0)</f>
        <v>1</v>
      </c>
      <c r="K2422">
        <f>SUM(Table13[[#This Row],[prefix]],Table13[[#This Row],[Past zero L]],Table13[[#This Row],[Past Zero R]],Table13[[#This Row],[Is Zero]])</f>
        <v>1</v>
      </c>
    </row>
    <row r="2423" spans="1:11" ht="16" x14ac:dyDescent="0.2">
      <c r="A2423" s="1" t="s">
        <v>0</v>
      </c>
      <c r="B2423" t="str">
        <f>LEFT(Table13[[#This Row],[Input]],1)</f>
        <v>L</v>
      </c>
      <c r="C2423">
        <f>_xlfn.LET(_xlpm.steps,SUBSTITUTE(Table13[[#This Row],[Input]],Table13[[#This Row],[Direction]],""),VALUE(IF(LEN(_xlpm.steps)&gt;2,RIGHT(_xlpm.steps,2),_xlpm.steps)))</f>
        <v>44</v>
      </c>
      <c r="D2423">
        <f>_xlfn.LET(_xlpm.steps,SUBSTITUTE(Table13[[#This Row],[Input]],Table13[[#This Row],[Direction]],""),VALUE(IF(LEN(_xlpm.steps)&gt;2,LEFT(_xlpm.steps,LEN(_xlpm.steps)-2),0)))</f>
        <v>0</v>
      </c>
      <c r="E2423">
        <f>_xlfn.LET(_xlpm.dir,Table13[[#This Row],[Direction]],
IF(_xlpm.dir="L",
    IF(G2422-Table13[[#This Row],[Steps]]&lt;0,100+(G2422-Table13[[#This Row],[Steps]]),G2422-Table13[[#This Row],[Steps]]),
))</f>
        <v>56</v>
      </c>
      <c r="F2423">
        <f>_xlfn.LET(_xlpm.dir,Table13[[#This Row],[Direction]],
IF(_xlpm.dir="R",
    IF(G2422+Table13[[#This Row],[Steps]]&gt;99,(G2422+Table13[[#This Row],[Steps]])-100,G2422+Table13[[#This Row],[Steps]]),
))</f>
        <v>0</v>
      </c>
      <c r="G2423">
        <f>IF(Table13[[#This Row],[New Pos L]]&lt;&gt;0,Table13[[#This Row],[New Pos L]],Table13[[#This Row],[New Pos R]])</f>
        <v>56</v>
      </c>
      <c r="H2423">
        <f>IF(AND(Table13[[#This Row],[Direction]]="L",Table13[[#This Row],[Steps]]&gt;G2422,G2422&lt;&gt;0),1,0)</f>
        <v>0</v>
      </c>
      <c r="I2423">
        <f>IF(AND(Table13[[#This Row],[Direction]]="R",(G2422+Table13[[#This Row],[Steps]])&gt;100),1,0)</f>
        <v>0</v>
      </c>
      <c r="J2423">
        <f>IF(Table13[[#This Row],[POS]]=0,1,0)</f>
        <v>0</v>
      </c>
      <c r="K2423">
        <f>SUM(Table13[[#This Row],[prefix]],Table13[[#This Row],[Past zero L]],Table13[[#This Row],[Past Zero R]],Table13[[#This Row],[Is Zero]])</f>
        <v>0</v>
      </c>
    </row>
    <row r="2424" spans="1:11" ht="16" x14ac:dyDescent="0.2">
      <c r="A2424" s="1" t="s">
        <v>128</v>
      </c>
      <c r="B2424" t="str">
        <f>LEFT(Table13[[#This Row],[Input]],1)</f>
        <v>R</v>
      </c>
      <c r="C2424">
        <f>_xlfn.LET(_xlpm.steps,SUBSTITUTE(Table13[[#This Row],[Input]],Table13[[#This Row],[Direction]],""),VALUE(IF(LEN(_xlpm.steps)&gt;2,RIGHT(_xlpm.steps,2),_xlpm.steps)))</f>
        <v>92</v>
      </c>
      <c r="D2424">
        <f>_xlfn.LET(_xlpm.steps,SUBSTITUTE(Table13[[#This Row],[Input]],Table13[[#This Row],[Direction]],""),VALUE(IF(LEN(_xlpm.steps)&gt;2,LEFT(_xlpm.steps,LEN(_xlpm.steps)-2),0)))</f>
        <v>0</v>
      </c>
      <c r="E2424">
        <f>_xlfn.LET(_xlpm.dir,Table13[[#This Row],[Direction]],
IF(_xlpm.dir="L",
    IF(G2423-Table13[[#This Row],[Steps]]&lt;0,100+(G2423-Table13[[#This Row],[Steps]]),G2423-Table13[[#This Row],[Steps]]),
))</f>
        <v>0</v>
      </c>
      <c r="F2424">
        <f>_xlfn.LET(_xlpm.dir,Table13[[#This Row],[Direction]],
IF(_xlpm.dir="R",
    IF(G2423+Table13[[#This Row],[Steps]]&gt;99,(G2423+Table13[[#This Row],[Steps]])-100,G2423+Table13[[#This Row],[Steps]]),
))</f>
        <v>48</v>
      </c>
      <c r="G2424">
        <f>IF(Table13[[#This Row],[New Pos L]]&lt;&gt;0,Table13[[#This Row],[New Pos L]],Table13[[#This Row],[New Pos R]])</f>
        <v>48</v>
      </c>
      <c r="H2424">
        <f>IF(AND(Table13[[#This Row],[Direction]]="L",Table13[[#This Row],[Steps]]&gt;G2423,G2423&lt;&gt;0),1,0)</f>
        <v>0</v>
      </c>
      <c r="I2424">
        <f>IF(AND(Table13[[#This Row],[Direction]]="R",(G2423+Table13[[#This Row],[Steps]])&gt;100),1,0)</f>
        <v>1</v>
      </c>
      <c r="J2424">
        <f>IF(Table13[[#This Row],[POS]]=0,1,0)</f>
        <v>0</v>
      </c>
      <c r="K2424">
        <f>SUM(Table13[[#This Row],[prefix]],Table13[[#This Row],[Past zero L]],Table13[[#This Row],[Past Zero R]],Table13[[#This Row],[Is Zero]])</f>
        <v>1</v>
      </c>
    </row>
    <row r="2425" spans="1:11" ht="16" x14ac:dyDescent="0.2">
      <c r="A2425" s="1" t="s">
        <v>141</v>
      </c>
      <c r="B2425" t="str">
        <f>LEFT(Table13[[#This Row],[Input]],1)</f>
        <v>L</v>
      </c>
      <c r="C2425">
        <f>_xlfn.LET(_xlpm.steps,SUBSTITUTE(Table13[[#This Row],[Input]],Table13[[#This Row],[Direction]],""),VALUE(IF(LEN(_xlpm.steps)&gt;2,RIGHT(_xlpm.steps,2),_xlpm.steps)))</f>
        <v>90</v>
      </c>
      <c r="D2425">
        <f>_xlfn.LET(_xlpm.steps,SUBSTITUTE(Table13[[#This Row],[Input]],Table13[[#This Row],[Direction]],""),VALUE(IF(LEN(_xlpm.steps)&gt;2,LEFT(_xlpm.steps,LEN(_xlpm.steps)-2),0)))</f>
        <v>0</v>
      </c>
      <c r="E2425">
        <f>_xlfn.LET(_xlpm.dir,Table13[[#This Row],[Direction]],
IF(_xlpm.dir="L",
    IF(G2424-Table13[[#This Row],[Steps]]&lt;0,100+(G2424-Table13[[#This Row],[Steps]]),G2424-Table13[[#This Row],[Steps]]),
))</f>
        <v>58</v>
      </c>
      <c r="F2425">
        <f>_xlfn.LET(_xlpm.dir,Table13[[#This Row],[Direction]],
IF(_xlpm.dir="R",
    IF(G2424+Table13[[#This Row],[Steps]]&gt;99,(G2424+Table13[[#This Row],[Steps]])-100,G2424+Table13[[#This Row],[Steps]]),
))</f>
        <v>0</v>
      </c>
      <c r="G2425">
        <f>IF(Table13[[#This Row],[New Pos L]]&lt;&gt;0,Table13[[#This Row],[New Pos L]],Table13[[#This Row],[New Pos R]])</f>
        <v>58</v>
      </c>
      <c r="H2425">
        <f>IF(AND(Table13[[#This Row],[Direction]]="L",Table13[[#This Row],[Steps]]&gt;G2424,G2424&lt;&gt;0),1,0)</f>
        <v>1</v>
      </c>
      <c r="I2425">
        <f>IF(AND(Table13[[#This Row],[Direction]]="R",(G2424+Table13[[#This Row],[Steps]])&gt;100),1,0)</f>
        <v>0</v>
      </c>
      <c r="J2425">
        <f>IF(Table13[[#This Row],[POS]]=0,1,0)</f>
        <v>0</v>
      </c>
      <c r="K2425">
        <f>SUM(Table13[[#This Row],[prefix]],Table13[[#This Row],[Past zero L]],Table13[[#This Row],[Past Zero R]],Table13[[#This Row],[Is Zero]])</f>
        <v>1</v>
      </c>
    </row>
    <row r="2426" spans="1:11" ht="16" x14ac:dyDescent="0.2">
      <c r="A2426" s="1" t="s">
        <v>111</v>
      </c>
      <c r="B2426" t="str">
        <f>LEFT(Table13[[#This Row],[Input]],1)</f>
        <v>R</v>
      </c>
      <c r="C2426">
        <f>_xlfn.LET(_xlpm.steps,SUBSTITUTE(Table13[[#This Row],[Input]],Table13[[#This Row],[Direction]],""),VALUE(IF(LEN(_xlpm.steps)&gt;2,RIGHT(_xlpm.steps,2),_xlpm.steps)))</f>
        <v>64</v>
      </c>
      <c r="D2426">
        <f>_xlfn.LET(_xlpm.steps,SUBSTITUTE(Table13[[#This Row],[Input]],Table13[[#This Row],[Direction]],""),VALUE(IF(LEN(_xlpm.steps)&gt;2,LEFT(_xlpm.steps,LEN(_xlpm.steps)-2),0)))</f>
        <v>0</v>
      </c>
      <c r="E2426">
        <f>_xlfn.LET(_xlpm.dir,Table13[[#This Row],[Direction]],
IF(_xlpm.dir="L",
    IF(G2425-Table13[[#This Row],[Steps]]&lt;0,100+(G2425-Table13[[#This Row],[Steps]]),G2425-Table13[[#This Row],[Steps]]),
))</f>
        <v>0</v>
      </c>
      <c r="F2426">
        <f>_xlfn.LET(_xlpm.dir,Table13[[#This Row],[Direction]],
IF(_xlpm.dir="R",
    IF(G2425+Table13[[#This Row],[Steps]]&gt;99,(G2425+Table13[[#This Row],[Steps]])-100,G2425+Table13[[#This Row],[Steps]]),
))</f>
        <v>22</v>
      </c>
      <c r="G2426">
        <f>IF(Table13[[#This Row],[New Pos L]]&lt;&gt;0,Table13[[#This Row],[New Pos L]],Table13[[#This Row],[New Pos R]])</f>
        <v>22</v>
      </c>
      <c r="H2426">
        <f>IF(AND(Table13[[#This Row],[Direction]]="L",Table13[[#This Row],[Steps]]&gt;G2425,G2425&lt;&gt;0),1,0)</f>
        <v>0</v>
      </c>
      <c r="I2426">
        <f>IF(AND(Table13[[#This Row],[Direction]]="R",(G2425+Table13[[#This Row],[Steps]])&gt;100),1,0)</f>
        <v>1</v>
      </c>
      <c r="J2426">
        <f>IF(Table13[[#This Row],[POS]]=0,1,0)</f>
        <v>0</v>
      </c>
      <c r="K2426">
        <f>SUM(Table13[[#This Row],[prefix]],Table13[[#This Row],[Past zero L]],Table13[[#This Row],[Past Zero R]],Table13[[#This Row],[Is Zero]])</f>
        <v>1</v>
      </c>
    </row>
    <row r="2427" spans="1:11" ht="16" x14ac:dyDescent="0.2">
      <c r="A2427" s="1" t="s">
        <v>181</v>
      </c>
      <c r="B2427" t="str">
        <f>LEFT(Table13[[#This Row],[Input]],1)</f>
        <v>L</v>
      </c>
      <c r="C2427">
        <f>_xlfn.LET(_xlpm.steps,SUBSTITUTE(Table13[[#This Row],[Input]],Table13[[#This Row],[Direction]],""),VALUE(IF(LEN(_xlpm.steps)&gt;2,RIGHT(_xlpm.steps,2),_xlpm.steps)))</f>
        <v>53</v>
      </c>
      <c r="D2427">
        <f>_xlfn.LET(_xlpm.steps,SUBSTITUTE(Table13[[#This Row],[Input]],Table13[[#This Row],[Direction]],""),VALUE(IF(LEN(_xlpm.steps)&gt;2,LEFT(_xlpm.steps,LEN(_xlpm.steps)-2),0)))</f>
        <v>0</v>
      </c>
      <c r="E2427">
        <f>_xlfn.LET(_xlpm.dir,Table13[[#This Row],[Direction]],
IF(_xlpm.dir="L",
    IF(G2426-Table13[[#This Row],[Steps]]&lt;0,100+(G2426-Table13[[#This Row],[Steps]]),G2426-Table13[[#This Row],[Steps]]),
))</f>
        <v>69</v>
      </c>
      <c r="F2427">
        <f>_xlfn.LET(_xlpm.dir,Table13[[#This Row],[Direction]],
IF(_xlpm.dir="R",
    IF(G2426+Table13[[#This Row],[Steps]]&gt;99,(G2426+Table13[[#This Row],[Steps]])-100,G2426+Table13[[#This Row],[Steps]]),
))</f>
        <v>0</v>
      </c>
      <c r="G2427">
        <f>IF(Table13[[#This Row],[New Pos L]]&lt;&gt;0,Table13[[#This Row],[New Pos L]],Table13[[#This Row],[New Pos R]])</f>
        <v>69</v>
      </c>
      <c r="H2427">
        <f>IF(AND(Table13[[#This Row],[Direction]]="L",Table13[[#This Row],[Steps]]&gt;G2426,G2426&lt;&gt;0),1,0)</f>
        <v>1</v>
      </c>
      <c r="I2427">
        <f>IF(AND(Table13[[#This Row],[Direction]]="R",(G2426+Table13[[#This Row],[Steps]])&gt;100),1,0)</f>
        <v>0</v>
      </c>
      <c r="J2427">
        <f>IF(Table13[[#This Row],[POS]]=0,1,0)</f>
        <v>0</v>
      </c>
      <c r="K2427">
        <f>SUM(Table13[[#This Row],[prefix]],Table13[[#This Row],[Past zero L]],Table13[[#This Row],[Past Zero R]],Table13[[#This Row],[Is Zero]])</f>
        <v>1</v>
      </c>
    </row>
    <row r="2428" spans="1:11" ht="16" x14ac:dyDescent="0.2">
      <c r="A2428" s="1" t="s">
        <v>260</v>
      </c>
      <c r="B2428" t="str">
        <f>LEFT(Table13[[#This Row],[Input]],1)</f>
        <v>L</v>
      </c>
      <c r="C2428">
        <f>_xlfn.LET(_xlpm.steps,SUBSTITUTE(Table13[[#This Row],[Input]],Table13[[#This Row],[Direction]],""),VALUE(IF(LEN(_xlpm.steps)&gt;2,RIGHT(_xlpm.steps,2),_xlpm.steps)))</f>
        <v>85</v>
      </c>
      <c r="D2428">
        <f>_xlfn.LET(_xlpm.steps,SUBSTITUTE(Table13[[#This Row],[Input]],Table13[[#This Row],[Direction]],""),VALUE(IF(LEN(_xlpm.steps)&gt;2,LEFT(_xlpm.steps,LEN(_xlpm.steps)-2),0)))</f>
        <v>0</v>
      </c>
      <c r="E2428">
        <f>_xlfn.LET(_xlpm.dir,Table13[[#This Row],[Direction]],
IF(_xlpm.dir="L",
    IF(G2427-Table13[[#This Row],[Steps]]&lt;0,100+(G2427-Table13[[#This Row],[Steps]]),G2427-Table13[[#This Row],[Steps]]),
))</f>
        <v>84</v>
      </c>
      <c r="F2428">
        <f>_xlfn.LET(_xlpm.dir,Table13[[#This Row],[Direction]],
IF(_xlpm.dir="R",
    IF(G2427+Table13[[#This Row],[Steps]]&gt;99,(G2427+Table13[[#This Row],[Steps]])-100,G2427+Table13[[#This Row],[Steps]]),
))</f>
        <v>0</v>
      </c>
      <c r="G2428">
        <f>IF(Table13[[#This Row],[New Pos L]]&lt;&gt;0,Table13[[#This Row],[New Pos L]],Table13[[#This Row],[New Pos R]])</f>
        <v>84</v>
      </c>
      <c r="H2428">
        <f>IF(AND(Table13[[#This Row],[Direction]]="L",Table13[[#This Row],[Steps]]&gt;G2427,G2427&lt;&gt;0),1,0)</f>
        <v>1</v>
      </c>
      <c r="I2428">
        <f>IF(AND(Table13[[#This Row],[Direction]]="R",(G2427+Table13[[#This Row],[Steps]])&gt;100),1,0)</f>
        <v>0</v>
      </c>
      <c r="J2428">
        <f>IF(Table13[[#This Row],[POS]]=0,1,0)</f>
        <v>0</v>
      </c>
      <c r="K2428">
        <f>SUM(Table13[[#This Row],[prefix]],Table13[[#This Row],[Past zero L]],Table13[[#This Row],[Past Zero R]],Table13[[#This Row],[Is Zero]])</f>
        <v>1</v>
      </c>
    </row>
    <row r="2429" spans="1:11" ht="16" x14ac:dyDescent="0.2">
      <c r="A2429" s="1" t="s">
        <v>186</v>
      </c>
      <c r="B2429" t="str">
        <f>LEFT(Table13[[#This Row],[Input]],1)</f>
        <v>L</v>
      </c>
      <c r="C2429">
        <f>_xlfn.LET(_xlpm.steps,SUBSTITUTE(Table13[[#This Row],[Input]],Table13[[#This Row],[Direction]],""),VALUE(IF(LEN(_xlpm.steps)&gt;2,RIGHT(_xlpm.steps,2),_xlpm.steps)))</f>
        <v>84</v>
      </c>
      <c r="D2429">
        <f>_xlfn.LET(_xlpm.steps,SUBSTITUTE(Table13[[#This Row],[Input]],Table13[[#This Row],[Direction]],""),VALUE(IF(LEN(_xlpm.steps)&gt;2,LEFT(_xlpm.steps,LEN(_xlpm.steps)-2),0)))</f>
        <v>0</v>
      </c>
      <c r="E2429">
        <f>_xlfn.LET(_xlpm.dir,Table13[[#This Row],[Direction]],
IF(_xlpm.dir="L",
    IF(G2428-Table13[[#This Row],[Steps]]&lt;0,100+(G2428-Table13[[#This Row],[Steps]]),G2428-Table13[[#This Row],[Steps]]),
))</f>
        <v>0</v>
      </c>
      <c r="F2429">
        <f>_xlfn.LET(_xlpm.dir,Table13[[#This Row],[Direction]],
IF(_xlpm.dir="R",
    IF(G2428+Table13[[#This Row],[Steps]]&gt;99,(G2428+Table13[[#This Row],[Steps]])-100,G2428+Table13[[#This Row],[Steps]]),
))</f>
        <v>0</v>
      </c>
      <c r="G2429">
        <f>IF(Table13[[#This Row],[New Pos L]]&lt;&gt;0,Table13[[#This Row],[New Pos L]],Table13[[#This Row],[New Pos R]])</f>
        <v>0</v>
      </c>
      <c r="H2429">
        <f>IF(AND(Table13[[#This Row],[Direction]]="L",Table13[[#This Row],[Steps]]&gt;G2428,G2428&lt;&gt;0),1,0)</f>
        <v>0</v>
      </c>
      <c r="I2429">
        <f>IF(AND(Table13[[#This Row],[Direction]]="R",(G2428+Table13[[#This Row],[Steps]])&gt;100),1,0)</f>
        <v>0</v>
      </c>
      <c r="J2429">
        <f>IF(Table13[[#This Row],[POS]]=0,1,0)</f>
        <v>1</v>
      </c>
      <c r="K2429">
        <f>SUM(Table13[[#This Row],[prefix]],Table13[[#This Row],[Past zero L]],Table13[[#This Row],[Past Zero R]],Table13[[#This Row],[Is Zero]])</f>
        <v>1</v>
      </c>
    </row>
    <row r="2430" spans="1:11" ht="16" x14ac:dyDescent="0.2">
      <c r="A2430" s="1" t="s">
        <v>30</v>
      </c>
      <c r="B2430" t="str">
        <f>LEFT(Table13[[#This Row],[Input]],1)</f>
        <v>R</v>
      </c>
      <c r="C2430">
        <f>_xlfn.LET(_xlpm.steps,SUBSTITUTE(Table13[[#This Row],[Input]],Table13[[#This Row],[Direction]],""),VALUE(IF(LEN(_xlpm.steps)&gt;2,RIGHT(_xlpm.steps,2),_xlpm.steps)))</f>
        <v>48</v>
      </c>
      <c r="D2430">
        <f>_xlfn.LET(_xlpm.steps,SUBSTITUTE(Table13[[#This Row],[Input]],Table13[[#This Row],[Direction]],""),VALUE(IF(LEN(_xlpm.steps)&gt;2,LEFT(_xlpm.steps,LEN(_xlpm.steps)-2),0)))</f>
        <v>0</v>
      </c>
      <c r="E2430">
        <f>_xlfn.LET(_xlpm.dir,Table13[[#This Row],[Direction]],
IF(_xlpm.dir="L",
    IF(G2429-Table13[[#This Row],[Steps]]&lt;0,100+(G2429-Table13[[#This Row],[Steps]]),G2429-Table13[[#This Row],[Steps]]),
))</f>
        <v>0</v>
      </c>
      <c r="F2430">
        <f>_xlfn.LET(_xlpm.dir,Table13[[#This Row],[Direction]],
IF(_xlpm.dir="R",
    IF(G2429+Table13[[#This Row],[Steps]]&gt;99,(G2429+Table13[[#This Row],[Steps]])-100,G2429+Table13[[#This Row],[Steps]]),
))</f>
        <v>48</v>
      </c>
      <c r="G2430">
        <f>IF(Table13[[#This Row],[New Pos L]]&lt;&gt;0,Table13[[#This Row],[New Pos L]],Table13[[#This Row],[New Pos R]])</f>
        <v>48</v>
      </c>
      <c r="H2430">
        <f>IF(AND(Table13[[#This Row],[Direction]]="L",Table13[[#This Row],[Steps]]&gt;G2429,G2429&lt;&gt;0),1,0)</f>
        <v>0</v>
      </c>
      <c r="I2430">
        <f>IF(AND(Table13[[#This Row],[Direction]]="R",(G2429+Table13[[#This Row],[Steps]])&gt;100),1,0)</f>
        <v>0</v>
      </c>
      <c r="J2430">
        <f>IF(Table13[[#This Row],[POS]]=0,1,0)</f>
        <v>0</v>
      </c>
      <c r="K2430">
        <f>SUM(Table13[[#This Row],[prefix]],Table13[[#This Row],[Past zero L]],Table13[[#This Row],[Past Zero R]],Table13[[#This Row],[Is Zero]])</f>
        <v>0</v>
      </c>
    </row>
    <row r="2431" spans="1:11" ht="16" x14ac:dyDescent="0.2">
      <c r="A2431" s="1" t="s">
        <v>40</v>
      </c>
      <c r="B2431" t="str">
        <f>LEFT(Table13[[#This Row],[Input]],1)</f>
        <v>R</v>
      </c>
      <c r="C2431">
        <f>_xlfn.LET(_xlpm.steps,SUBSTITUTE(Table13[[#This Row],[Input]],Table13[[#This Row],[Direction]],""),VALUE(IF(LEN(_xlpm.steps)&gt;2,RIGHT(_xlpm.steps,2),_xlpm.steps)))</f>
        <v>52</v>
      </c>
      <c r="D2431">
        <f>_xlfn.LET(_xlpm.steps,SUBSTITUTE(Table13[[#This Row],[Input]],Table13[[#This Row],[Direction]],""),VALUE(IF(LEN(_xlpm.steps)&gt;2,LEFT(_xlpm.steps,LEN(_xlpm.steps)-2),0)))</f>
        <v>0</v>
      </c>
      <c r="E2431">
        <f>_xlfn.LET(_xlpm.dir,Table13[[#This Row],[Direction]],
IF(_xlpm.dir="L",
    IF(G2430-Table13[[#This Row],[Steps]]&lt;0,100+(G2430-Table13[[#This Row],[Steps]]),G2430-Table13[[#This Row],[Steps]]),
))</f>
        <v>0</v>
      </c>
      <c r="F2431">
        <f>_xlfn.LET(_xlpm.dir,Table13[[#This Row],[Direction]],
IF(_xlpm.dir="R",
    IF(G2430+Table13[[#This Row],[Steps]]&gt;99,(G2430+Table13[[#This Row],[Steps]])-100,G2430+Table13[[#This Row],[Steps]]),
))</f>
        <v>0</v>
      </c>
      <c r="G2431">
        <f>IF(Table13[[#This Row],[New Pos L]]&lt;&gt;0,Table13[[#This Row],[New Pos L]],Table13[[#This Row],[New Pos R]])</f>
        <v>0</v>
      </c>
      <c r="H2431">
        <f>IF(AND(Table13[[#This Row],[Direction]]="L",Table13[[#This Row],[Steps]]&gt;G2430,G2430&lt;&gt;0),1,0)</f>
        <v>0</v>
      </c>
      <c r="I2431">
        <f>IF(AND(Table13[[#This Row],[Direction]]="R",(G2430+Table13[[#This Row],[Steps]])&gt;100),1,0)</f>
        <v>0</v>
      </c>
      <c r="J2431">
        <f>IF(Table13[[#This Row],[POS]]=0,1,0)</f>
        <v>1</v>
      </c>
      <c r="K2431">
        <f>SUM(Table13[[#This Row],[prefix]],Table13[[#This Row],[Past zero L]],Table13[[#This Row],[Past Zero R]],Table13[[#This Row],[Is Zero]])</f>
        <v>1</v>
      </c>
    </row>
    <row r="2432" spans="1:11" ht="16" x14ac:dyDescent="0.2">
      <c r="A2432" s="1" t="s">
        <v>64</v>
      </c>
      <c r="B2432" t="str">
        <f>LEFT(Table13[[#This Row],[Input]],1)</f>
        <v>R</v>
      </c>
      <c r="C2432">
        <f>_xlfn.LET(_xlpm.steps,SUBSTITUTE(Table13[[#This Row],[Input]],Table13[[#This Row],[Direction]],""),VALUE(IF(LEN(_xlpm.steps)&gt;2,RIGHT(_xlpm.steps,2),_xlpm.steps)))</f>
        <v>10</v>
      </c>
      <c r="D2432">
        <f>_xlfn.LET(_xlpm.steps,SUBSTITUTE(Table13[[#This Row],[Input]],Table13[[#This Row],[Direction]],""),VALUE(IF(LEN(_xlpm.steps)&gt;2,LEFT(_xlpm.steps,LEN(_xlpm.steps)-2),0)))</f>
        <v>0</v>
      </c>
      <c r="E2432">
        <f>_xlfn.LET(_xlpm.dir,Table13[[#This Row],[Direction]],
IF(_xlpm.dir="L",
    IF(G2431-Table13[[#This Row],[Steps]]&lt;0,100+(G2431-Table13[[#This Row],[Steps]]),G2431-Table13[[#This Row],[Steps]]),
))</f>
        <v>0</v>
      </c>
      <c r="F2432">
        <f>_xlfn.LET(_xlpm.dir,Table13[[#This Row],[Direction]],
IF(_xlpm.dir="R",
    IF(G2431+Table13[[#This Row],[Steps]]&gt;99,(G2431+Table13[[#This Row],[Steps]])-100,G2431+Table13[[#This Row],[Steps]]),
))</f>
        <v>10</v>
      </c>
      <c r="G2432">
        <f>IF(Table13[[#This Row],[New Pos L]]&lt;&gt;0,Table13[[#This Row],[New Pos L]],Table13[[#This Row],[New Pos R]])</f>
        <v>10</v>
      </c>
      <c r="H2432">
        <f>IF(AND(Table13[[#This Row],[Direction]]="L",Table13[[#This Row],[Steps]]&gt;G2431,G2431&lt;&gt;0),1,0)</f>
        <v>0</v>
      </c>
      <c r="I2432">
        <f>IF(AND(Table13[[#This Row],[Direction]]="R",(G2431+Table13[[#This Row],[Steps]])&gt;100),1,0)</f>
        <v>0</v>
      </c>
      <c r="J2432">
        <f>IF(Table13[[#This Row],[POS]]=0,1,0)</f>
        <v>0</v>
      </c>
      <c r="K2432">
        <f>SUM(Table13[[#This Row],[prefix]],Table13[[#This Row],[Past zero L]],Table13[[#This Row],[Past Zero R]],Table13[[#This Row],[Is Zero]])</f>
        <v>0</v>
      </c>
    </row>
    <row r="2433" spans="1:11" ht="16" x14ac:dyDescent="0.2">
      <c r="A2433" s="1" t="s">
        <v>43</v>
      </c>
      <c r="B2433" t="str">
        <f>LEFT(Table13[[#This Row],[Input]],1)</f>
        <v>R</v>
      </c>
      <c r="C2433">
        <f>_xlfn.LET(_xlpm.steps,SUBSTITUTE(Table13[[#This Row],[Input]],Table13[[#This Row],[Direction]],""),VALUE(IF(LEN(_xlpm.steps)&gt;2,RIGHT(_xlpm.steps,2),_xlpm.steps)))</f>
        <v>90</v>
      </c>
      <c r="D2433">
        <f>_xlfn.LET(_xlpm.steps,SUBSTITUTE(Table13[[#This Row],[Input]],Table13[[#This Row],[Direction]],""),VALUE(IF(LEN(_xlpm.steps)&gt;2,LEFT(_xlpm.steps,LEN(_xlpm.steps)-2),0)))</f>
        <v>0</v>
      </c>
      <c r="E2433">
        <f>_xlfn.LET(_xlpm.dir,Table13[[#This Row],[Direction]],
IF(_xlpm.dir="L",
    IF(G2432-Table13[[#This Row],[Steps]]&lt;0,100+(G2432-Table13[[#This Row],[Steps]]),G2432-Table13[[#This Row],[Steps]]),
))</f>
        <v>0</v>
      </c>
      <c r="F2433">
        <f>_xlfn.LET(_xlpm.dir,Table13[[#This Row],[Direction]],
IF(_xlpm.dir="R",
    IF(G2432+Table13[[#This Row],[Steps]]&gt;99,(G2432+Table13[[#This Row],[Steps]])-100,G2432+Table13[[#This Row],[Steps]]),
))</f>
        <v>0</v>
      </c>
      <c r="G2433">
        <f>IF(Table13[[#This Row],[New Pos L]]&lt;&gt;0,Table13[[#This Row],[New Pos L]],Table13[[#This Row],[New Pos R]])</f>
        <v>0</v>
      </c>
      <c r="H2433">
        <f>IF(AND(Table13[[#This Row],[Direction]]="L",Table13[[#This Row],[Steps]]&gt;G2432,G2432&lt;&gt;0),1,0)</f>
        <v>0</v>
      </c>
      <c r="I2433">
        <f>IF(AND(Table13[[#This Row],[Direction]]="R",(G2432+Table13[[#This Row],[Steps]])&gt;100),1,0)</f>
        <v>0</v>
      </c>
      <c r="J2433">
        <f>IF(Table13[[#This Row],[POS]]=0,1,0)</f>
        <v>1</v>
      </c>
      <c r="K2433">
        <f>SUM(Table13[[#This Row],[prefix]],Table13[[#This Row],[Past zero L]],Table13[[#This Row],[Past Zero R]],Table13[[#This Row],[Is Zero]])</f>
        <v>1</v>
      </c>
    </row>
    <row r="2434" spans="1:11" ht="16" x14ac:dyDescent="0.2">
      <c r="A2434" s="1" t="s">
        <v>48</v>
      </c>
      <c r="B2434" t="str">
        <f>LEFT(Table13[[#This Row],[Input]],1)</f>
        <v>R</v>
      </c>
      <c r="C2434">
        <f>_xlfn.LET(_xlpm.steps,SUBSTITUTE(Table13[[#This Row],[Input]],Table13[[#This Row],[Direction]],""),VALUE(IF(LEN(_xlpm.steps)&gt;2,RIGHT(_xlpm.steps,2),_xlpm.steps)))</f>
        <v>81</v>
      </c>
      <c r="D2434">
        <f>_xlfn.LET(_xlpm.steps,SUBSTITUTE(Table13[[#This Row],[Input]],Table13[[#This Row],[Direction]],""),VALUE(IF(LEN(_xlpm.steps)&gt;2,LEFT(_xlpm.steps,LEN(_xlpm.steps)-2),0)))</f>
        <v>0</v>
      </c>
      <c r="E2434">
        <f>_xlfn.LET(_xlpm.dir,Table13[[#This Row],[Direction]],
IF(_xlpm.dir="L",
    IF(G2433-Table13[[#This Row],[Steps]]&lt;0,100+(G2433-Table13[[#This Row],[Steps]]),G2433-Table13[[#This Row],[Steps]]),
))</f>
        <v>0</v>
      </c>
      <c r="F2434">
        <f>_xlfn.LET(_xlpm.dir,Table13[[#This Row],[Direction]],
IF(_xlpm.dir="R",
    IF(G2433+Table13[[#This Row],[Steps]]&gt;99,(G2433+Table13[[#This Row],[Steps]])-100,G2433+Table13[[#This Row],[Steps]]),
))</f>
        <v>81</v>
      </c>
      <c r="G2434">
        <f>IF(Table13[[#This Row],[New Pos L]]&lt;&gt;0,Table13[[#This Row],[New Pos L]],Table13[[#This Row],[New Pos R]])</f>
        <v>81</v>
      </c>
      <c r="H2434">
        <f>IF(AND(Table13[[#This Row],[Direction]]="L",Table13[[#This Row],[Steps]]&gt;G2433,G2433&lt;&gt;0),1,0)</f>
        <v>0</v>
      </c>
      <c r="I2434">
        <f>IF(AND(Table13[[#This Row],[Direction]]="R",(G2433+Table13[[#This Row],[Steps]])&gt;100),1,0)</f>
        <v>0</v>
      </c>
      <c r="J2434">
        <f>IF(Table13[[#This Row],[POS]]=0,1,0)</f>
        <v>0</v>
      </c>
      <c r="K2434">
        <f>SUM(Table13[[#This Row],[prefix]],Table13[[#This Row],[Past zero L]],Table13[[#This Row],[Past Zero R]],Table13[[#This Row],[Is Zero]])</f>
        <v>0</v>
      </c>
    </row>
    <row r="2435" spans="1:11" ht="16" x14ac:dyDescent="0.2">
      <c r="A2435" s="1" t="s">
        <v>102</v>
      </c>
      <c r="B2435" t="str">
        <f>LEFT(Table13[[#This Row],[Input]],1)</f>
        <v>R</v>
      </c>
      <c r="C2435">
        <f>_xlfn.LET(_xlpm.steps,SUBSTITUTE(Table13[[#This Row],[Input]],Table13[[#This Row],[Direction]],""),VALUE(IF(LEN(_xlpm.steps)&gt;2,RIGHT(_xlpm.steps,2),_xlpm.steps)))</f>
        <v>39</v>
      </c>
      <c r="D2435">
        <f>_xlfn.LET(_xlpm.steps,SUBSTITUTE(Table13[[#This Row],[Input]],Table13[[#This Row],[Direction]],""),VALUE(IF(LEN(_xlpm.steps)&gt;2,LEFT(_xlpm.steps,LEN(_xlpm.steps)-2),0)))</f>
        <v>0</v>
      </c>
      <c r="E2435">
        <f>_xlfn.LET(_xlpm.dir,Table13[[#This Row],[Direction]],
IF(_xlpm.dir="L",
    IF(G2434-Table13[[#This Row],[Steps]]&lt;0,100+(G2434-Table13[[#This Row],[Steps]]),G2434-Table13[[#This Row],[Steps]]),
))</f>
        <v>0</v>
      </c>
      <c r="F2435">
        <f>_xlfn.LET(_xlpm.dir,Table13[[#This Row],[Direction]],
IF(_xlpm.dir="R",
    IF(G2434+Table13[[#This Row],[Steps]]&gt;99,(G2434+Table13[[#This Row],[Steps]])-100,G2434+Table13[[#This Row],[Steps]]),
))</f>
        <v>20</v>
      </c>
      <c r="G2435">
        <f>IF(Table13[[#This Row],[New Pos L]]&lt;&gt;0,Table13[[#This Row],[New Pos L]],Table13[[#This Row],[New Pos R]])</f>
        <v>20</v>
      </c>
      <c r="H2435">
        <f>IF(AND(Table13[[#This Row],[Direction]]="L",Table13[[#This Row],[Steps]]&gt;G2434,G2434&lt;&gt;0),1,0)</f>
        <v>0</v>
      </c>
      <c r="I2435">
        <f>IF(AND(Table13[[#This Row],[Direction]]="R",(G2434+Table13[[#This Row],[Steps]])&gt;100),1,0)</f>
        <v>1</v>
      </c>
      <c r="J2435">
        <f>IF(Table13[[#This Row],[POS]]=0,1,0)</f>
        <v>0</v>
      </c>
      <c r="K2435">
        <f>SUM(Table13[[#This Row],[prefix]],Table13[[#This Row],[Past zero L]],Table13[[#This Row],[Past Zero R]],Table13[[#This Row],[Is Zero]])</f>
        <v>1</v>
      </c>
    </row>
    <row r="2436" spans="1:11" ht="16" x14ac:dyDescent="0.2">
      <c r="A2436" s="1" t="s">
        <v>141</v>
      </c>
      <c r="B2436" t="str">
        <f>LEFT(Table13[[#This Row],[Input]],1)</f>
        <v>L</v>
      </c>
      <c r="C2436">
        <f>_xlfn.LET(_xlpm.steps,SUBSTITUTE(Table13[[#This Row],[Input]],Table13[[#This Row],[Direction]],""),VALUE(IF(LEN(_xlpm.steps)&gt;2,RIGHT(_xlpm.steps,2),_xlpm.steps)))</f>
        <v>90</v>
      </c>
      <c r="D2436">
        <f>_xlfn.LET(_xlpm.steps,SUBSTITUTE(Table13[[#This Row],[Input]],Table13[[#This Row],[Direction]],""),VALUE(IF(LEN(_xlpm.steps)&gt;2,LEFT(_xlpm.steps,LEN(_xlpm.steps)-2),0)))</f>
        <v>0</v>
      </c>
      <c r="E2436">
        <f>_xlfn.LET(_xlpm.dir,Table13[[#This Row],[Direction]],
IF(_xlpm.dir="L",
    IF(G2435-Table13[[#This Row],[Steps]]&lt;0,100+(G2435-Table13[[#This Row],[Steps]]),G2435-Table13[[#This Row],[Steps]]),
))</f>
        <v>30</v>
      </c>
      <c r="F2436">
        <f>_xlfn.LET(_xlpm.dir,Table13[[#This Row],[Direction]],
IF(_xlpm.dir="R",
    IF(G2435+Table13[[#This Row],[Steps]]&gt;99,(G2435+Table13[[#This Row],[Steps]])-100,G2435+Table13[[#This Row],[Steps]]),
))</f>
        <v>0</v>
      </c>
      <c r="G2436">
        <f>IF(Table13[[#This Row],[New Pos L]]&lt;&gt;0,Table13[[#This Row],[New Pos L]],Table13[[#This Row],[New Pos R]])</f>
        <v>30</v>
      </c>
      <c r="H2436">
        <f>IF(AND(Table13[[#This Row],[Direction]]="L",Table13[[#This Row],[Steps]]&gt;G2435,G2435&lt;&gt;0),1,0)</f>
        <v>1</v>
      </c>
      <c r="I2436">
        <f>IF(AND(Table13[[#This Row],[Direction]]="R",(G2435+Table13[[#This Row],[Steps]])&gt;100),1,0)</f>
        <v>0</v>
      </c>
      <c r="J2436">
        <f>IF(Table13[[#This Row],[POS]]=0,1,0)</f>
        <v>0</v>
      </c>
      <c r="K2436">
        <f>SUM(Table13[[#This Row],[prefix]],Table13[[#This Row],[Past zero L]],Table13[[#This Row],[Past Zero R]],Table13[[#This Row],[Is Zero]])</f>
        <v>1</v>
      </c>
    </row>
    <row r="2437" spans="1:11" ht="16" x14ac:dyDescent="0.2">
      <c r="A2437" s="1" t="s">
        <v>114</v>
      </c>
      <c r="B2437" t="str">
        <f>LEFT(Table13[[#This Row],[Input]],1)</f>
        <v>R</v>
      </c>
      <c r="C2437">
        <f>_xlfn.LET(_xlpm.steps,SUBSTITUTE(Table13[[#This Row],[Input]],Table13[[#This Row],[Direction]],""),VALUE(IF(LEN(_xlpm.steps)&gt;2,RIGHT(_xlpm.steps,2),_xlpm.steps)))</f>
        <v>70</v>
      </c>
      <c r="D2437">
        <f>_xlfn.LET(_xlpm.steps,SUBSTITUTE(Table13[[#This Row],[Input]],Table13[[#This Row],[Direction]],""),VALUE(IF(LEN(_xlpm.steps)&gt;2,LEFT(_xlpm.steps,LEN(_xlpm.steps)-2),0)))</f>
        <v>0</v>
      </c>
      <c r="E2437">
        <f>_xlfn.LET(_xlpm.dir,Table13[[#This Row],[Direction]],
IF(_xlpm.dir="L",
    IF(G2436-Table13[[#This Row],[Steps]]&lt;0,100+(G2436-Table13[[#This Row],[Steps]]),G2436-Table13[[#This Row],[Steps]]),
))</f>
        <v>0</v>
      </c>
      <c r="F2437">
        <f>_xlfn.LET(_xlpm.dir,Table13[[#This Row],[Direction]],
IF(_xlpm.dir="R",
    IF(G2436+Table13[[#This Row],[Steps]]&gt;99,(G2436+Table13[[#This Row],[Steps]])-100,G2436+Table13[[#This Row],[Steps]]),
))</f>
        <v>0</v>
      </c>
      <c r="G2437">
        <f>IF(Table13[[#This Row],[New Pos L]]&lt;&gt;0,Table13[[#This Row],[New Pos L]],Table13[[#This Row],[New Pos R]])</f>
        <v>0</v>
      </c>
      <c r="H2437">
        <f>IF(AND(Table13[[#This Row],[Direction]]="L",Table13[[#This Row],[Steps]]&gt;G2436,G2436&lt;&gt;0),1,0)</f>
        <v>0</v>
      </c>
      <c r="I2437">
        <f>IF(AND(Table13[[#This Row],[Direction]]="R",(G2436+Table13[[#This Row],[Steps]])&gt;100),1,0)</f>
        <v>0</v>
      </c>
      <c r="J2437">
        <f>IF(Table13[[#This Row],[POS]]=0,1,0)</f>
        <v>1</v>
      </c>
      <c r="K2437">
        <f>SUM(Table13[[#This Row],[prefix]],Table13[[#This Row],[Past zero L]],Table13[[#This Row],[Past Zero R]],Table13[[#This Row],[Is Zero]])</f>
        <v>1</v>
      </c>
    </row>
    <row r="2438" spans="1:11" ht="16" x14ac:dyDescent="0.2">
      <c r="A2438" s="1" t="s">
        <v>260</v>
      </c>
      <c r="B2438" t="str">
        <f>LEFT(Table13[[#This Row],[Input]],1)</f>
        <v>L</v>
      </c>
      <c r="C2438">
        <f>_xlfn.LET(_xlpm.steps,SUBSTITUTE(Table13[[#This Row],[Input]],Table13[[#This Row],[Direction]],""),VALUE(IF(LEN(_xlpm.steps)&gt;2,RIGHT(_xlpm.steps,2),_xlpm.steps)))</f>
        <v>85</v>
      </c>
      <c r="D2438">
        <f>_xlfn.LET(_xlpm.steps,SUBSTITUTE(Table13[[#This Row],[Input]],Table13[[#This Row],[Direction]],""),VALUE(IF(LEN(_xlpm.steps)&gt;2,LEFT(_xlpm.steps,LEN(_xlpm.steps)-2),0)))</f>
        <v>0</v>
      </c>
      <c r="E2438">
        <f>_xlfn.LET(_xlpm.dir,Table13[[#This Row],[Direction]],
IF(_xlpm.dir="L",
    IF(G2437-Table13[[#This Row],[Steps]]&lt;0,100+(G2437-Table13[[#This Row],[Steps]]),G2437-Table13[[#This Row],[Steps]]),
))</f>
        <v>15</v>
      </c>
      <c r="F2438">
        <f>_xlfn.LET(_xlpm.dir,Table13[[#This Row],[Direction]],
IF(_xlpm.dir="R",
    IF(G2437+Table13[[#This Row],[Steps]]&gt;99,(G2437+Table13[[#This Row],[Steps]])-100,G2437+Table13[[#This Row],[Steps]]),
))</f>
        <v>0</v>
      </c>
      <c r="G2438">
        <f>IF(Table13[[#This Row],[New Pos L]]&lt;&gt;0,Table13[[#This Row],[New Pos L]],Table13[[#This Row],[New Pos R]])</f>
        <v>15</v>
      </c>
      <c r="H2438">
        <f>IF(AND(Table13[[#This Row],[Direction]]="L",Table13[[#This Row],[Steps]]&gt;G2437,G2437&lt;&gt;0),1,0)</f>
        <v>0</v>
      </c>
      <c r="I2438">
        <f>IF(AND(Table13[[#This Row],[Direction]]="R",(G2437+Table13[[#This Row],[Steps]])&gt;100),1,0)</f>
        <v>0</v>
      </c>
      <c r="J2438">
        <f>IF(Table13[[#This Row],[POS]]=0,1,0)</f>
        <v>0</v>
      </c>
      <c r="K2438">
        <f>SUM(Table13[[#This Row],[prefix]],Table13[[#This Row],[Past zero L]],Table13[[#This Row],[Past Zero R]],Table13[[#This Row],[Is Zero]])</f>
        <v>0</v>
      </c>
    </row>
    <row r="2439" spans="1:11" ht="16" x14ac:dyDescent="0.2">
      <c r="A2439" s="1" t="s">
        <v>64</v>
      </c>
      <c r="B2439" t="str">
        <f>LEFT(Table13[[#This Row],[Input]],1)</f>
        <v>R</v>
      </c>
      <c r="C2439">
        <f>_xlfn.LET(_xlpm.steps,SUBSTITUTE(Table13[[#This Row],[Input]],Table13[[#This Row],[Direction]],""),VALUE(IF(LEN(_xlpm.steps)&gt;2,RIGHT(_xlpm.steps,2),_xlpm.steps)))</f>
        <v>10</v>
      </c>
      <c r="D2439">
        <f>_xlfn.LET(_xlpm.steps,SUBSTITUTE(Table13[[#This Row],[Input]],Table13[[#This Row],[Direction]],""),VALUE(IF(LEN(_xlpm.steps)&gt;2,LEFT(_xlpm.steps,LEN(_xlpm.steps)-2),0)))</f>
        <v>0</v>
      </c>
      <c r="E2439">
        <f>_xlfn.LET(_xlpm.dir,Table13[[#This Row],[Direction]],
IF(_xlpm.dir="L",
    IF(G2438-Table13[[#This Row],[Steps]]&lt;0,100+(G2438-Table13[[#This Row],[Steps]]),G2438-Table13[[#This Row],[Steps]]),
))</f>
        <v>0</v>
      </c>
      <c r="F2439">
        <f>_xlfn.LET(_xlpm.dir,Table13[[#This Row],[Direction]],
IF(_xlpm.dir="R",
    IF(G2438+Table13[[#This Row],[Steps]]&gt;99,(G2438+Table13[[#This Row],[Steps]])-100,G2438+Table13[[#This Row],[Steps]]),
))</f>
        <v>25</v>
      </c>
      <c r="G2439">
        <f>IF(Table13[[#This Row],[New Pos L]]&lt;&gt;0,Table13[[#This Row],[New Pos L]],Table13[[#This Row],[New Pos R]])</f>
        <v>25</v>
      </c>
      <c r="H2439">
        <f>IF(AND(Table13[[#This Row],[Direction]]="L",Table13[[#This Row],[Steps]]&gt;G2438,G2438&lt;&gt;0),1,0)</f>
        <v>0</v>
      </c>
      <c r="I2439">
        <f>IF(AND(Table13[[#This Row],[Direction]]="R",(G2438+Table13[[#This Row],[Steps]])&gt;100),1,0)</f>
        <v>0</v>
      </c>
      <c r="J2439">
        <f>IF(Table13[[#This Row],[POS]]=0,1,0)</f>
        <v>0</v>
      </c>
      <c r="K2439">
        <f>SUM(Table13[[#This Row],[prefix]],Table13[[#This Row],[Past zero L]],Table13[[#This Row],[Past Zero R]],Table13[[#This Row],[Is Zero]])</f>
        <v>0</v>
      </c>
    </row>
    <row r="2440" spans="1:11" ht="16" x14ac:dyDescent="0.2">
      <c r="A2440" s="1" t="s">
        <v>51</v>
      </c>
      <c r="B2440" t="str">
        <f>LEFT(Table13[[#This Row],[Input]],1)</f>
        <v>L</v>
      </c>
      <c r="C2440">
        <f>_xlfn.LET(_xlpm.steps,SUBSTITUTE(Table13[[#This Row],[Input]],Table13[[#This Row],[Direction]],""),VALUE(IF(LEN(_xlpm.steps)&gt;2,RIGHT(_xlpm.steps,2),_xlpm.steps)))</f>
        <v>25</v>
      </c>
      <c r="D2440">
        <f>_xlfn.LET(_xlpm.steps,SUBSTITUTE(Table13[[#This Row],[Input]],Table13[[#This Row],[Direction]],""),VALUE(IF(LEN(_xlpm.steps)&gt;2,LEFT(_xlpm.steps,LEN(_xlpm.steps)-2),0)))</f>
        <v>0</v>
      </c>
      <c r="E2440">
        <f>_xlfn.LET(_xlpm.dir,Table13[[#This Row],[Direction]],
IF(_xlpm.dir="L",
    IF(G2439-Table13[[#This Row],[Steps]]&lt;0,100+(G2439-Table13[[#This Row],[Steps]]),G2439-Table13[[#This Row],[Steps]]),
))</f>
        <v>0</v>
      </c>
      <c r="F2440">
        <f>_xlfn.LET(_xlpm.dir,Table13[[#This Row],[Direction]],
IF(_xlpm.dir="R",
    IF(G2439+Table13[[#This Row],[Steps]]&gt;99,(G2439+Table13[[#This Row],[Steps]])-100,G2439+Table13[[#This Row],[Steps]]),
))</f>
        <v>0</v>
      </c>
      <c r="G2440">
        <f>IF(Table13[[#This Row],[New Pos L]]&lt;&gt;0,Table13[[#This Row],[New Pos L]],Table13[[#This Row],[New Pos R]])</f>
        <v>0</v>
      </c>
      <c r="H2440">
        <f>IF(AND(Table13[[#This Row],[Direction]]="L",Table13[[#This Row],[Steps]]&gt;G2439,G2439&lt;&gt;0),1,0)</f>
        <v>0</v>
      </c>
      <c r="I2440">
        <f>IF(AND(Table13[[#This Row],[Direction]]="R",(G2439+Table13[[#This Row],[Steps]])&gt;100),1,0)</f>
        <v>0</v>
      </c>
      <c r="J2440">
        <f>IF(Table13[[#This Row],[POS]]=0,1,0)</f>
        <v>1</v>
      </c>
      <c r="K2440">
        <f>SUM(Table13[[#This Row],[prefix]],Table13[[#This Row],[Past zero L]],Table13[[#This Row],[Past Zero R]],Table13[[#This Row],[Is Zero]])</f>
        <v>1</v>
      </c>
    </row>
    <row r="2441" spans="1:11" ht="16" x14ac:dyDescent="0.2">
      <c r="A2441" s="1" t="s">
        <v>9</v>
      </c>
      <c r="B2441" t="str">
        <f>LEFT(Table13[[#This Row],[Input]],1)</f>
        <v>L</v>
      </c>
      <c r="C2441">
        <f>_xlfn.LET(_xlpm.steps,SUBSTITUTE(Table13[[#This Row],[Input]],Table13[[#This Row],[Direction]],""),VALUE(IF(LEN(_xlpm.steps)&gt;2,RIGHT(_xlpm.steps,2),_xlpm.steps)))</f>
        <v>9</v>
      </c>
      <c r="D2441">
        <f>_xlfn.LET(_xlpm.steps,SUBSTITUTE(Table13[[#This Row],[Input]],Table13[[#This Row],[Direction]],""),VALUE(IF(LEN(_xlpm.steps)&gt;2,LEFT(_xlpm.steps,LEN(_xlpm.steps)-2),0)))</f>
        <v>0</v>
      </c>
      <c r="E2441">
        <f>_xlfn.LET(_xlpm.dir,Table13[[#This Row],[Direction]],
IF(_xlpm.dir="L",
    IF(G2440-Table13[[#This Row],[Steps]]&lt;0,100+(G2440-Table13[[#This Row],[Steps]]),G2440-Table13[[#This Row],[Steps]]),
))</f>
        <v>91</v>
      </c>
      <c r="F2441">
        <f>_xlfn.LET(_xlpm.dir,Table13[[#This Row],[Direction]],
IF(_xlpm.dir="R",
    IF(G2440+Table13[[#This Row],[Steps]]&gt;99,(G2440+Table13[[#This Row],[Steps]])-100,G2440+Table13[[#This Row],[Steps]]),
))</f>
        <v>0</v>
      </c>
      <c r="G2441">
        <f>IF(Table13[[#This Row],[New Pos L]]&lt;&gt;0,Table13[[#This Row],[New Pos L]],Table13[[#This Row],[New Pos R]])</f>
        <v>91</v>
      </c>
      <c r="H2441">
        <f>IF(AND(Table13[[#This Row],[Direction]]="L",Table13[[#This Row],[Steps]]&gt;G2440,G2440&lt;&gt;0),1,0)</f>
        <v>0</v>
      </c>
      <c r="I2441">
        <f>IF(AND(Table13[[#This Row],[Direction]]="R",(G2440+Table13[[#This Row],[Steps]])&gt;100),1,0)</f>
        <v>0</v>
      </c>
      <c r="J2441">
        <f>IF(Table13[[#This Row],[POS]]=0,1,0)</f>
        <v>0</v>
      </c>
      <c r="K2441">
        <f>SUM(Table13[[#This Row],[prefix]],Table13[[#This Row],[Past zero L]],Table13[[#This Row],[Past Zero R]],Table13[[#This Row],[Is Zero]])</f>
        <v>0</v>
      </c>
    </row>
    <row r="2442" spans="1:11" ht="16" x14ac:dyDescent="0.2">
      <c r="A2442" s="1" t="s">
        <v>226</v>
      </c>
      <c r="B2442" t="str">
        <f>LEFT(Table13[[#This Row],[Input]],1)</f>
        <v>L</v>
      </c>
      <c r="C2442">
        <f>_xlfn.LET(_xlpm.steps,SUBSTITUTE(Table13[[#This Row],[Input]],Table13[[#This Row],[Direction]],""),VALUE(IF(LEN(_xlpm.steps)&gt;2,RIGHT(_xlpm.steps,2),_xlpm.steps)))</f>
        <v>31</v>
      </c>
      <c r="D2442">
        <f>_xlfn.LET(_xlpm.steps,SUBSTITUTE(Table13[[#This Row],[Input]],Table13[[#This Row],[Direction]],""),VALUE(IF(LEN(_xlpm.steps)&gt;2,LEFT(_xlpm.steps,LEN(_xlpm.steps)-2),0)))</f>
        <v>0</v>
      </c>
      <c r="E2442">
        <f>_xlfn.LET(_xlpm.dir,Table13[[#This Row],[Direction]],
IF(_xlpm.dir="L",
    IF(G2441-Table13[[#This Row],[Steps]]&lt;0,100+(G2441-Table13[[#This Row],[Steps]]),G2441-Table13[[#This Row],[Steps]]),
))</f>
        <v>60</v>
      </c>
      <c r="F2442">
        <f>_xlfn.LET(_xlpm.dir,Table13[[#This Row],[Direction]],
IF(_xlpm.dir="R",
    IF(G2441+Table13[[#This Row],[Steps]]&gt;99,(G2441+Table13[[#This Row],[Steps]])-100,G2441+Table13[[#This Row],[Steps]]),
))</f>
        <v>0</v>
      </c>
      <c r="G2442">
        <f>IF(Table13[[#This Row],[New Pos L]]&lt;&gt;0,Table13[[#This Row],[New Pos L]],Table13[[#This Row],[New Pos R]])</f>
        <v>60</v>
      </c>
      <c r="H2442">
        <f>IF(AND(Table13[[#This Row],[Direction]]="L",Table13[[#This Row],[Steps]]&gt;G2441,G2441&lt;&gt;0),1,0)</f>
        <v>0</v>
      </c>
      <c r="I2442">
        <f>IF(AND(Table13[[#This Row],[Direction]]="R",(G2441+Table13[[#This Row],[Steps]])&gt;100),1,0)</f>
        <v>0</v>
      </c>
      <c r="J2442">
        <f>IF(Table13[[#This Row],[POS]]=0,1,0)</f>
        <v>0</v>
      </c>
      <c r="K2442">
        <f>SUM(Table13[[#This Row],[prefix]],Table13[[#This Row],[Past zero L]],Table13[[#This Row],[Past Zero R]],Table13[[#This Row],[Is Zero]])</f>
        <v>0</v>
      </c>
    </row>
    <row r="2443" spans="1:11" ht="16" x14ac:dyDescent="0.2">
      <c r="A2443" s="1" t="s">
        <v>195</v>
      </c>
      <c r="B2443" t="str">
        <f>LEFT(Table13[[#This Row],[Input]],1)</f>
        <v>R</v>
      </c>
      <c r="C2443">
        <f>_xlfn.LET(_xlpm.steps,SUBSTITUTE(Table13[[#This Row],[Input]],Table13[[#This Row],[Direction]],""),VALUE(IF(LEN(_xlpm.steps)&gt;2,RIGHT(_xlpm.steps,2),_xlpm.steps)))</f>
        <v>40</v>
      </c>
      <c r="D2443">
        <f>_xlfn.LET(_xlpm.steps,SUBSTITUTE(Table13[[#This Row],[Input]],Table13[[#This Row],[Direction]],""),VALUE(IF(LEN(_xlpm.steps)&gt;2,LEFT(_xlpm.steps,LEN(_xlpm.steps)-2),0)))</f>
        <v>0</v>
      </c>
      <c r="E2443">
        <f>_xlfn.LET(_xlpm.dir,Table13[[#This Row],[Direction]],
IF(_xlpm.dir="L",
    IF(G2442-Table13[[#This Row],[Steps]]&lt;0,100+(G2442-Table13[[#This Row],[Steps]]),G2442-Table13[[#This Row],[Steps]]),
))</f>
        <v>0</v>
      </c>
      <c r="F2443">
        <f>_xlfn.LET(_xlpm.dir,Table13[[#This Row],[Direction]],
IF(_xlpm.dir="R",
    IF(G2442+Table13[[#This Row],[Steps]]&gt;99,(G2442+Table13[[#This Row],[Steps]])-100,G2442+Table13[[#This Row],[Steps]]),
))</f>
        <v>0</v>
      </c>
      <c r="G2443">
        <f>IF(Table13[[#This Row],[New Pos L]]&lt;&gt;0,Table13[[#This Row],[New Pos L]],Table13[[#This Row],[New Pos R]])</f>
        <v>0</v>
      </c>
      <c r="H2443">
        <f>IF(AND(Table13[[#This Row],[Direction]]="L",Table13[[#This Row],[Steps]]&gt;G2442,G2442&lt;&gt;0),1,0)</f>
        <v>0</v>
      </c>
      <c r="I2443">
        <f>IF(AND(Table13[[#This Row],[Direction]]="R",(G2442+Table13[[#This Row],[Steps]])&gt;100),1,0)</f>
        <v>0</v>
      </c>
      <c r="J2443">
        <f>IF(Table13[[#This Row],[POS]]=0,1,0)</f>
        <v>1</v>
      </c>
      <c r="K2443">
        <f>SUM(Table13[[#This Row],[prefix]],Table13[[#This Row],[Past zero L]],Table13[[#This Row],[Past Zero R]],Table13[[#This Row],[Is Zero]])</f>
        <v>1</v>
      </c>
    </row>
    <row r="2444" spans="1:11" ht="16" x14ac:dyDescent="0.2">
      <c r="A2444" s="1" t="s">
        <v>51</v>
      </c>
      <c r="B2444" t="str">
        <f>LEFT(Table13[[#This Row],[Input]],1)</f>
        <v>L</v>
      </c>
      <c r="C2444">
        <f>_xlfn.LET(_xlpm.steps,SUBSTITUTE(Table13[[#This Row],[Input]],Table13[[#This Row],[Direction]],""),VALUE(IF(LEN(_xlpm.steps)&gt;2,RIGHT(_xlpm.steps,2),_xlpm.steps)))</f>
        <v>25</v>
      </c>
      <c r="D2444">
        <f>_xlfn.LET(_xlpm.steps,SUBSTITUTE(Table13[[#This Row],[Input]],Table13[[#This Row],[Direction]],""),VALUE(IF(LEN(_xlpm.steps)&gt;2,LEFT(_xlpm.steps,LEN(_xlpm.steps)-2),0)))</f>
        <v>0</v>
      </c>
      <c r="E2444">
        <f>_xlfn.LET(_xlpm.dir,Table13[[#This Row],[Direction]],
IF(_xlpm.dir="L",
    IF(G2443-Table13[[#This Row],[Steps]]&lt;0,100+(G2443-Table13[[#This Row],[Steps]]),G2443-Table13[[#This Row],[Steps]]),
))</f>
        <v>75</v>
      </c>
      <c r="F2444">
        <f>_xlfn.LET(_xlpm.dir,Table13[[#This Row],[Direction]],
IF(_xlpm.dir="R",
    IF(G2443+Table13[[#This Row],[Steps]]&gt;99,(G2443+Table13[[#This Row],[Steps]])-100,G2443+Table13[[#This Row],[Steps]]),
))</f>
        <v>0</v>
      </c>
      <c r="G2444">
        <f>IF(Table13[[#This Row],[New Pos L]]&lt;&gt;0,Table13[[#This Row],[New Pos L]],Table13[[#This Row],[New Pos R]])</f>
        <v>75</v>
      </c>
      <c r="H2444">
        <f>IF(AND(Table13[[#This Row],[Direction]]="L",Table13[[#This Row],[Steps]]&gt;G2443,G2443&lt;&gt;0),1,0)</f>
        <v>0</v>
      </c>
      <c r="I2444">
        <f>IF(AND(Table13[[#This Row],[Direction]]="R",(G2443+Table13[[#This Row],[Steps]])&gt;100),1,0)</f>
        <v>0</v>
      </c>
      <c r="J2444">
        <f>IF(Table13[[#This Row],[POS]]=0,1,0)</f>
        <v>0</v>
      </c>
      <c r="K2444">
        <f>SUM(Table13[[#This Row],[prefix]],Table13[[#This Row],[Past zero L]],Table13[[#This Row],[Past Zero R]],Table13[[#This Row],[Is Zero]])</f>
        <v>0</v>
      </c>
    </row>
    <row r="2445" spans="1:11" ht="16" x14ac:dyDescent="0.2">
      <c r="A2445" s="1" t="s">
        <v>146</v>
      </c>
      <c r="B2445" t="str">
        <f>LEFT(Table13[[#This Row],[Input]],1)</f>
        <v>R</v>
      </c>
      <c r="C2445">
        <f>_xlfn.LET(_xlpm.steps,SUBSTITUTE(Table13[[#This Row],[Input]],Table13[[#This Row],[Direction]],""),VALUE(IF(LEN(_xlpm.steps)&gt;2,RIGHT(_xlpm.steps,2),_xlpm.steps)))</f>
        <v>4</v>
      </c>
      <c r="D2445">
        <f>_xlfn.LET(_xlpm.steps,SUBSTITUTE(Table13[[#This Row],[Input]],Table13[[#This Row],[Direction]],""),VALUE(IF(LEN(_xlpm.steps)&gt;2,LEFT(_xlpm.steps,LEN(_xlpm.steps)-2),0)))</f>
        <v>0</v>
      </c>
      <c r="E2445">
        <f>_xlfn.LET(_xlpm.dir,Table13[[#This Row],[Direction]],
IF(_xlpm.dir="L",
    IF(G2444-Table13[[#This Row],[Steps]]&lt;0,100+(G2444-Table13[[#This Row],[Steps]]),G2444-Table13[[#This Row],[Steps]]),
))</f>
        <v>0</v>
      </c>
      <c r="F2445">
        <f>_xlfn.LET(_xlpm.dir,Table13[[#This Row],[Direction]],
IF(_xlpm.dir="R",
    IF(G2444+Table13[[#This Row],[Steps]]&gt;99,(G2444+Table13[[#This Row],[Steps]])-100,G2444+Table13[[#This Row],[Steps]]),
))</f>
        <v>79</v>
      </c>
      <c r="G2445">
        <f>IF(Table13[[#This Row],[New Pos L]]&lt;&gt;0,Table13[[#This Row],[New Pos L]],Table13[[#This Row],[New Pos R]])</f>
        <v>79</v>
      </c>
      <c r="H2445">
        <f>IF(AND(Table13[[#This Row],[Direction]]="L",Table13[[#This Row],[Steps]]&gt;G2444,G2444&lt;&gt;0),1,0)</f>
        <v>0</v>
      </c>
      <c r="I2445">
        <f>IF(AND(Table13[[#This Row],[Direction]]="R",(G2444+Table13[[#This Row],[Steps]])&gt;100),1,0)</f>
        <v>0</v>
      </c>
      <c r="J2445">
        <f>IF(Table13[[#This Row],[POS]]=0,1,0)</f>
        <v>0</v>
      </c>
      <c r="K2445">
        <f>SUM(Table13[[#This Row],[prefix]],Table13[[#This Row],[Past zero L]],Table13[[#This Row],[Past Zero R]],Table13[[#This Row],[Is Zero]])</f>
        <v>0</v>
      </c>
    </row>
    <row r="2446" spans="1:11" ht="16" x14ac:dyDescent="0.2">
      <c r="A2446" s="1" t="s">
        <v>604</v>
      </c>
      <c r="B2446" t="str">
        <f>LEFT(Table13[[#This Row],[Input]],1)</f>
        <v>L</v>
      </c>
      <c r="C2446">
        <f>_xlfn.LET(_xlpm.steps,SUBSTITUTE(Table13[[#This Row],[Input]],Table13[[#This Row],[Direction]],""),VALUE(IF(LEN(_xlpm.steps)&gt;2,RIGHT(_xlpm.steps,2),_xlpm.steps)))</f>
        <v>35</v>
      </c>
      <c r="D2446">
        <f>_xlfn.LET(_xlpm.steps,SUBSTITUTE(Table13[[#This Row],[Input]],Table13[[#This Row],[Direction]],""),VALUE(IF(LEN(_xlpm.steps)&gt;2,LEFT(_xlpm.steps,LEN(_xlpm.steps)-2),0)))</f>
        <v>4</v>
      </c>
      <c r="E2446">
        <f>_xlfn.LET(_xlpm.dir,Table13[[#This Row],[Direction]],
IF(_xlpm.dir="L",
    IF(G2445-Table13[[#This Row],[Steps]]&lt;0,100+(G2445-Table13[[#This Row],[Steps]]),G2445-Table13[[#This Row],[Steps]]),
))</f>
        <v>44</v>
      </c>
      <c r="F2446">
        <f>_xlfn.LET(_xlpm.dir,Table13[[#This Row],[Direction]],
IF(_xlpm.dir="R",
    IF(G2445+Table13[[#This Row],[Steps]]&gt;99,(G2445+Table13[[#This Row],[Steps]])-100,G2445+Table13[[#This Row],[Steps]]),
))</f>
        <v>0</v>
      </c>
      <c r="G2446">
        <f>IF(Table13[[#This Row],[New Pos L]]&lt;&gt;0,Table13[[#This Row],[New Pos L]],Table13[[#This Row],[New Pos R]])</f>
        <v>44</v>
      </c>
      <c r="H2446">
        <f>IF(AND(Table13[[#This Row],[Direction]]="L",Table13[[#This Row],[Steps]]&gt;G2445,G2445&lt;&gt;0),1,0)</f>
        <v>0</v>
      </c>
      <c r="I2446">
        <f>IF(AND(Table13[[#This Row],[Direction]]="R",(G2445+Table13[[#This Row],[Steps]])&gt;100),1,0)</f>
        <v>0</v>
      </c>
      <c r="J2446">
        <f>IF(Table13[[#This Row],[POS]]=0,1,0)</f>
        <v>0</v>
      </c>
      <c r="K2446">
        <f>SUM(Table13[[#This Row],[prefix]],Table13[[#This Row],[Past zero L]],Table13[[#This Row],[Past Zero R]],Table13[[#This Row],[Is Zero]])</f>
        <v>4</v>
      </c>
    </row>
    <row r="2447" spans="1:11" ht="16" x14ac:dyDescent="0.2">
      <c r="A2447" s="1" t="s">
        <v>26</v>
      </c>
      <c r="B2447" t="str">
        <f>LEFT(Table13[[#This Row],[Input]],1)</f>
        <v>R</v>
      </c>
      <c r="C2447">
        <f>_xlfn.LET(_xlpm.steps,SUBSTITUTE(Table13[[#This Row],[Input]],Table13[[#This Row],[Direction]],""),VALUE(IF(LEN(_xlpm.steps)&gt;2,RIGHT(_xlpm.steps,2),_xlpm.steps)))</f>
        <v>6</v>
      </c>
      <c r="D2447">
        <f>_xlfn.LET(_xlpm.steps,SUBSTITUTE(Table13[[#This Row],[Input]],Table13[[#This Row],[Direction]],""),VALUE(IF(LEN(_xlpm.steps)&gt;2,LEFT(_xlpm.steps,LEN(_xlpm.steps)-2),0)))</f>
        <v>0</v>
      </c>
      <c r="E2447">
        <f>_xlfn.LET(_xlpm.dir,Table13[[#This Row],[Direction]],
IF(_xlpm.dir="L",
    IF(G2446-Table13[[#This Row],[Steps]]&lt;0,100+(G2446-Table13[[#This Row],[Steps]]),G2446-Table13[[#This Row],[Steps]]),
))</f>
        <v>0</v>
      </c>
      <c r="F2447">
        <f>_xlfn.LET(_xlpm.dir,Table13[[#This Row],[Direction]],
IF(_xlpm.dir="R",
    IF(G2446+Table13[[#This Row],[Steps]]&gt;99,(G2446+Table13[[#This Row],[Steps]])-100,G2446+Table13[[#This Row],[Steps]]),
))</f>
        <v>50</v>
      </c>
      <c r="G2447">
        <f>IF(Table13[[#This Row],[New Pos L]]&lt;&gt;0,Table13[[#This Row],[New Pos L]],Table13[[#This Row],[New Pos R]])</f>
        <v>50</v>
      </c>
      <c r="H2447">
        <f>IF(AND(Table13[[#This Row],[Direction]]="L",Table13[[#This Row],[Steps]]&gt;G2446,G2446&lt;&gt;0),1,0)</f>
        <v>0</v>
      </c>
      <c r="I2447">
        <f>IF(AND(Table13[[#This Row],[Direction]]="R",(G2446+Table13[[#This Row],[Steps]])&gt;100),1,0)</f>
        <v>0</v>
      </c>
      <c r="J2447">
        <f>IF(Table13[[#This Row],[POS]]=0,1,0)</f>
        <v>0</v>
      </c>
      <c r="K2447">
        <f>SUM(Table13[[#This Row],[prefix]],Table13[[#This Row],[Past zero L]],Table13[[#This Row],[Past Zero R]],Table13[[#This Row],[Is Zero]])</f>
        <v>0</v>
      </c>
    </row>
    <row r="2448" spans="1:11" ht="16" x14ac:dyDescent="0.2">
      <c r="A2448" s="1" t="s">
        <v>357</v>
      </c>
      <c r="B2448" t="str">
        <f>LEFT(Table13[[#This Row],[Input]],1)</f>
        <v>R</v>
      </c>
      <c r="C2448">
        <f>_xlfn.LET(_xlpm.steps,SUBSTITUTE(Table13[[#This Row],[Input]],Table13[[#This Row],[Direction]],""),VALUE(IF(LEN(_xlpm.steps)&gt;2,RIGHT(_xlpm.steps,2),_xlpm.steps)))</f>
        <v>72</v>
      </c>
      <c r="D2448">
        <f>_xlfn.LET(_xlpm.steps,SUBSTITUTE(Table13[[#This Row],[Input]],Table13[[#This Row],[Direction]],""),VALUE(IF(LEN(_xlpm.steps)&gt;2,LEFT(_xlpm.steps,LEN(_xlpm.steps)-2),0)))</f>
        <v>0</v>
      </c>
      <c r="E2448">
        <f>_xlfn.LET(_xlpm.dir,Table13[[#This Row],[Direction]],
IF(_xlpm.dir="L",
    IF(G2447-Table13[[#This Row],[Steps]]&lt;0,100+(G2447-Table13[[#This Row],[Steps]]),G2447-Table13[[#This Row],[Steps]]),
))</f>
        <v>0</v>
      </c>
      <c r="F2448">
        <f>_xlfn.LET(_xlpm.dir,Table13[[#This Row],[Direction]],
IF(_xlpm.dir="R",
    IF(G2447+Table13[[#This Row],[Steps]]&gt;99,(G2447+Table13[[#This Row],[Steps]])-100,G2447+Table13[[#This Row],[Steps]]),
))</f>
        <v>22</v>
      </c>
      <c r="G2448">
        <f>IF(Table13[[#This Row],[New Pos L]]&lt;&gt;0,Table13[[#This Row],[New Pos L]],Table13[[#This Row],[New Pos R]])</f>
        <v>22</v>
      </c>
      <c r="H2448">
        <f>IF(AND(Table13[[#This Row],[Direction]]="L",Table13[[#This Row],[Steps]]&gt;G2447,G2447&lt;&gt;0),1,0)</f>
        <v>0</v>
      </c>
      <c r="I2448">
        <f>IF(AND(Table13[[#This Row],[Direction]]="R",(G2447+Table13[[#This Row],[Steps]])&gt;100),1,0)</f>
        <v>1</v>
      </c>
      <c r="J2448">
        <f>IF(Table13[[#This Row],[POS]]=0,1,0)</f>
        <v>0</v>
      </c>
      <c r="K2448">
        <f>SUM(Table13[[#This Row],[prefix]],Table13[[#This Row],[Past zero L]],Table13[[#This Row],[Past Zero R]],Table13[[#This Row],[Is Zero]])</f>
        <v>1</v>
      </c>
    </row>
    <row r="2449" spans="1:11" ht="16" x14ac:dyDescent="0.2">
      <c r="A2449" s="1" t="s">
        <v>363</v>
      </c>
      <c r="B2449" t="str">
        <f>LEFT(Table13[[#This Row],[Input]],1)</f>
        <v>R</v>
      </c>
      <c r="C2449">
        <f>_xlfn.LET(_xlpm.steps,SUBSTITUTE(Table13[[#This Row],[Input]],Table13[[#This Row],[Direction]],""),VALUE(IF(LEN(_xlpm.steps)&gt;2,RIGHT(_xlpm.steps,2),_xlpm.steps)))</f>
        <v>63</v>
      </c>
      <c r="D2449">
        <f>_xlfn.LET(_xlpm.steps,SUBSTITUTE(Table13[[#This Row],[Input]],Table13[[#This Row],[Direction]],""),VALUE(IF(LEN(_xlpm.steps)&gt;2,LEFT(_xlpm.steps,LEN(_xlpm.steps)-2),0)))</f>
        <v>0</v>
      </c>
      <c r="E2449">
        <f>_xlfn.LET(_xlpm.dir,Table13[[#This Row],[Direction]],
IF(_xlpm.dir="L",
    IF(G2448-Table13[[#This Row],[Steps]]&lt;0,100+(G2448-Table13[[#This Row],[Steps]]),G2448-Table13[[#This Row],[Steps]]),
))</f>
        <v>0</v>
      </c>
      <c r="F2449">
        <f>_xlfn.LET(_xlpm.dir,Table13[[#This Row],[Direction]],
IF(_xlpm.dir="R",
    IF(G2448+Table13[[#This Row],[Steps]]&gt;99,(G2448+Table13[[#This Row],[Steps]])-100,G2448+Table13[[#This Row],[Steps]]),
))</f>
        <v>85</v>
      </c>
      <c r="G2449">
        <f>IF(Table13[[#This Row],[New Pos L]]&lt;&gt;0,Table13[[#This Row],[New Pos L]],Table13[[#This Row],[New Pos R]])</f>
        <v>85</v>
      </c>
      <c r="H2449">
        <f>IF(AND(Table13[[#This Row],[Direction]]="L",Table13[[#This Row],[Steps]]&gt;G2448,G2448&lt;&gt;0),1,0)</f>
        <v>0</v>
      </c>
      <c r="I2449">
        <f>IF(AND(Table13[[#This Row],[Direction]]="R",(G2448+Table13[[#This Row],[Steps]])&gt;100),1,0)</f>
        <v>0</v>
      </c>
      <c r="J2449">
        <f>IF(Table13[[#This Row],[POS]]=0,1,0)</f>
        <v>0</v>
      </c>
      <c r="K2449">
        <f>SUM(Table13[[#This Row],[prefix]],Table13[[#This Row],[Past zero L]],Table13[[#This Row],[Past Zero R]],Table13[[#This Row],[Is Zero]])</f>
        <v>0</v>
      </c>
    </row>
    <row r="2450" spans="1:11" ht="16" x14ac:dyDescent="0.2">
      <c r="A2450" s="1" t="s">
        <v>52</v>
      </c>
      <c r="B2450" t="str">
        <f>LEFT(Table13[[#This Row],[Input]],1)</f>
        <v>R</v>
      </c>
      <c r="C2450">
        <f>_xlfn.LET(_xlpm.steps,SUBSTITUTE(Table13[[#This Row],[Input]],Table13[[#This Row],[Direction]],""),VALUE(IF(LEN(_xlpm.steps)&gt;2,RIGHT(_xlpm.steps,2),_xlpm.steps)))</f>
        <v>11</v>
      </c>
      <c r="D2450">
        <f>_xlfn.LET(_xlpm.steps,SUBSTITUTE(Table13[[#This Row],[Input]],Table13[[#This Row],[Direction]],""),VALUE(IF(LEN(_xlpm.steps)&gt;2,LEFT(_xlpm.steps,LEN(_xlpm.steps)-2),0)))</f>
        <v>0</v>
      </c>
      <c r="E2450">
        <f>_xlfn.LET(_xlpm.dir,Table13[[#This Row],[Direction]],
IF(_xlpm.dir="L",
    IF(G2449-Table13[[#This Row],[Steps]]&lt;0,100+(G2449-Table13[[#This Row],[Steps]]),G2449-Table13[[#This Row],[Steps]]),
))</f>
        <v>0</v>
      </c>
      <c r="F2450">
        <f>_xlfn.LET(_xlpm.dir,Table13[[#This Row],[Direction]],
IF(_xlpm.dir="R",
    IF(G2449+Table13[[#This Row],[Steps]]&gt;99,(G2449+Table13[[#This Row],[Steps]])-100,G2449+Table13[[#This Row],[Steps]]),
))</f>
        <v>96</v>
      </c>
      <c r="G2450">
        <f>IF(Table13[[#This Row],[New Pos L]]&lt;&gt;0,Table13[[#This Row],[New Pos L]],Table13[[#This Row],[New Pos R]])</f>
        <v>96</v>
      </c>
      <c r="H2450">
        <f>IF(AND(Table13[[#This Row],[Direction]]="L",Table13[[#This Row],[Steps]]&gt;G2449,G2449&lt;&gt;0),1,0)</f>
        <v>0</v>
      </c>
      <c r="I2450">
        <f>IF(AND(Table13[[#This Row],[Direction]]="R",(G2449+Table13[[#This Row],[Steps]])&gt;100),1,0)</f>
        <v>0</v>
      </c>
      <c r="J2450">
        <f>IF(Table13[[#This Row],[POS]]=0,1,0)</f>
        <v>0</v>
      </c>
      <c r="K2450">
        <f>SUM(Table13[[#This Row],[prefix]],Table13[[#This Row],[Past zero L]],Table13[[#This Row],[Past Zero R]],Table13[[#This Row],[Is Zero]])</f>
        <v>0</v>
      </c>
    </row>
    <row r="2451" spans="1:11" ht="16" x14ac:dyDescent="0.2">
      <c r="A2451" s="1" t="s">
        <v>36</v>
      </c>
      <c r="B2451" t="str">
        <f>LEFT(Table13[[#This Row],[Input]],1)</f>
        <v>R</v>
      </c>
      <c r="C2451">
        <f>_xlfn.LET(_xlpm.steps,SUBSTITUTE(Table13[[#This Row],[Input]],Table13[[#This Row],[Direction]],""),VALUE(IF(LEN(_xlpm.steps)&gt;2,RIGHT(_xlpm.steps,2),_xlpm.steps)))</f>
        <v>50</v>
      </c>
      <c r="D2451">
        <f>_xlfn.LET(_xlpm.steps,SUBSTITUTE(Table13[[#This Row],[Input]],Table13[[#This Row],[Direction]],""),VALUE(IF(LEN(_xlpm.steps)&gt;2,LEFT(_xlpm.steps,LEN(_xlpm.steps)-2),0)))</f>
        <v>0</v>
      </c>
      <c r="E2451">
        <f>_xlfn.LET(_xlpm.dir,Table13[[#This Row],[Direction]],
IF(_xlpm.dir="L",
    IF(G2450-Table13[[#This Row],[Steps]]&lt;0,100+(G2450-Table13[[#This Row],[Steps]]),G2450-Table13[[#This Row],[Steps]]),
))</f>
        <v>0</v>
      </c>
      <c r="F2451">
        <f>_xlfn.LET(_xlpm.dir,Table13[[#This Row],[Direction]],
IF(_xlpm.dir="R",
    IF(G2450+Table13[[#This Row],[Steps]]&gt;99,(G2450+Table13[[#This Row],[Steps]])-100,G2450+Table13[[#This Row],[Steps]]),
))</f>
        <v>46</v>
      </c>
      <c r="G2451">
        <f>IF(Table13[[#This Row],[New Pos L]]&lt;&gt;0,Table13[[#This Row],[New Pos L]],Table13[[#This Row],[New Pos R]])</f>
        <v>46</v>
      </c>
      <c r="H2451">
        <f>IF(AND(Table13[[#This Row],[Direction]]="L",Table13[[#This Row],[Steps]]&gt;G2450,G2450&lt;&gt;0),1,0)</f>
        <v>0</v>
      </c>
      <c r="I2451">
        <f>IF(AND(Table13[[#This Row],[Direction]]="R",(G2450+Table13[[#This Row],[Steps]])&gt;100),1,0)</f>
        <v>1</v>
      </c>
      <c r="J2451">
        <f>IF(Table13[[#This Row],[POS]]=0,1,0)</f>
        <v>0</v>
      </c>
      <c r="K2451">
        <f>SUM(Table13[[#This Row],[prefix]],Table13[[#This Row],[Past zero L]],Table13[[#This Row],[Past Zero R]],Table13[[#This Row],[Is Zero]])</f>
        <v>1</v>
      </c>
    </row>
    <row r="2452" spans="1:11" ht="16" x14ac:dyDescent="0.2">
      <c r="A2452" s="1" t="s">
        <v>441</v>
      </c>
      <c r="B2452" t="str">
        <f>LEFT(Table13[[#This Row],[Input]],1)</f>
        <v>L</v>
      </c>
      <c r="C2452">
        <f>_xlfn.LET(_xlpm.steps,SUBSTITUTE(Table13[[#This Row],[Input]],Table13[[#This Row],[Direction]],""),VALUE(IF(LEN(_xlpm.steps)&gt;2,RIGHT(_xlpm.steps,2),_xlpm.steps)))</f>
        <v>82</v>
      </c>
      <c r="D2452">
        <f>_xlfn.LET(_xlpm.steps,SUBSTITUTE(Table13[[#This Row],[Input]],Table13[[#This Row],[Direction]],""),VALUE(IF(LEN(_xlpm.steps)&gt;2,LEFT(_xlpm.steps,LEN(_xlpm.steps)-2),0)))</f>
        <v>7</v>
      </c>
      <c r="E2452">
        <f>_xlfn.LET(_xlpm.dir,Table13[[#This Row],[Direction]],
IF(_xlpm.dir="L",
    IF(G2451-Table13[[#This Row],[Steps]]&lt;0,100+(G2451-Table13[[#This Row],[Steps]]),G2451-Table13[[#This Row],[Steps]]),
))</f>
        <v>64</v>
      </c>
      <c r="F2452">
        <f>_xlfn.LET(_xlpm.dir,Table13[[#This Row],[Direction]],
IF(_xlpm.dir="R",
    IF(G2451+Table13[[#This Row],[Steps]]&gt;99,(G2451+Table13[[#This Row],[Steps]])-100,G2451+Table13[[#This Row],[Steps]]),
))</f>
        <v>0</v>
      </c>
      <c r="G2452">
        <f>IF(Table13[[#This Row],[New Pos L]]&lt;&gt;0,Table13[[#This Row],[New Pos L]],Table13[[#This Row],[New Pos R]])</f>
        <v>64</v>
      </c>
      <c r="H2452">
        <f>IF(AND(Table13[[#This Row],[Direction]]="L",Table13[[#This Row],[Steps]]&gt;G2451,G2451&lt;&gt;0),1,0)</f>
        <v>1</v>
      </c>
      <c r="I2452">
        <f>IF(AND(Table13[[#This Row],[Direction]]="R",(G2451+Table13[[#This Row],[Steps]])&gt;100),1,0)</f>
        <v>0</v>
      </c>
      <c r="J2452">
        <f>IF(Table13[[#This Row],[POS]]=0,1,0)</f>
        <v>0</v>
      </c>
      <c r="K2452">
        <f>SUM(Table13[[#This Row],[prefix]],Table13[[#This Row],[Past zero L]],Table13[[#This Row],[Past Zero R]],Table13[[#This Row],[Is Zero]])</f>
        <v>8</v>
      </c>
    </row>
    <row r="2453" spans="1:11" ht="16" x14ac:dyDescent="0.2">
      <c r="A2453" s="1" t="s">
        <v>272</v>
      </c>
      <c r="B2453" t="str">
        <f>LEFT(Table13[[#This Row],[Input]],1)</f>
        <v>R</v>
      </c>
      <c r="C2453">
        <f>_xlfn.LET(_xlpm.steps,SUBSTITUTE(Table13[[#This Row],[Input]],Table13[[#This Row],[Direction]],""),VALUE(IF(LEN(_xlpm.steps)&gt;2,RIGHT(_xlpm.steps,2),_xlpm.steps)))</f>
        <v>56</v>
      </c>
      <c r="D2453">
        <f>_xlfn.LET(_xlpm.steps,SUBSTITUTE(Table13[[#This Row],[Input]],Table13[[#This Row],[Direction]],""),VALUE(IF(LEN(_xlpm.steps)&gt;2,LEFT(_xlpm.steps,LEN(_xlpm.steps)-2),0)))</f>
        <v>0</v>
      </c>
      <c r="E2453">
        <f>_xlfn.LET(_xlpm.dir,Table13[[#This Row],[Direction]],
IF(_xlpm.dir="L",
    IF(G2452-Table13[[#This Row],[Steps]]&lt;0,100+(G2452-Table13[[#This Row],[Steps]]),G2452-Table13[[#This Row],[Steps]]),
))</f>
        <v>0</v>
      </c>
      <c r="F2453">
        <f>_xlfn.LET(_xlpm.dir,Table13[[#This Row],[Direction]],
IF(_xlpm.dir="R",
    IF(G2452+Table13[[#This Row],[Steps]]&gt;99,(G2452+Table13[[#This Row],[Steps]])-100,G2452+Table13[[#This Row],[Steps]]),
))</f>
        <v>20</v>
      </c>
      <c r="G2453">
        <f>IF(Table13[[#This Row],[New Pos L]]&lt;&gt;0,Table13[[#This Row],[New Pos L]],Table13[[#This Row],[New Pos R]])</f>
        <v>20</v>
      </c>
      <c r="H2453">
        <f>IF(AND(Table13[[#This Row],[Direction]]="L",Table13[[#This Row],[Steps]]&gt;G2452,G2452&lt;&gt;0),1,0)</f>
        <v>0</v>
      </c>
      <c r="I2453">
        <f>IF(AND(Table13[[#This Row],[Direction]]="R",(G2452+Table13[[#This Row],[Steps]])&gt;100),1,0)</f>
        <v>1</v>
      </c>
      <c r="J2453">
        <f>IF(Table13[[#This Row],[POS]]=0,1,0)</f>
        <v>0</v>
      </c>
      <c r="K2453">
        <f>SUM(Table13[[#This Row],[prefix]],Table13[[#This Row],[Past zero L]],Table13[[#This Row],[Past Zero R]],Table13[[#This Row],[Is Zero]])</f>
        <v>1</v>
      </c>
    </row>
    <row r="2454" spans="1:11" ht="16" x14ac:dyDescent="0.2">
      <c r="A2454" s="1" t="s">
        <v>234</v>
      </c>
      <c r="B2454" t="str">
        <f>LEFT(Table13[[#This Row],[Input]],1)</f>
        <v>R</v>
      </c>
      <c r="C2454">
        <f>_xlfn.LET(_xlpm.steps,SUBSTITUTE(Table13[[#This Row],[Input]],Table13[[#This Row],[Direction]],""),VALUE(IF(LEN(_xlpm.steps)&gt;2,RIGHT(_xlpm.steps,2),_xlpm.steps)))</f>
        <v>82</v>
      </c>
      <c r="D2454">
        <f>_xlfn.LET(_xlpm.steps,SUBSTITUTE(Table13[[#This Row],[Input]],Table13[[#This Row],[Direction]],""),VALUE(IF(LEN(_xlpm.steps)&gt;2,LEFT(_xlpm.steps,LEN(_xlpm.steps)-2),0)))</f>
        <v>0</v>
      </c>
      <c r="E2454">
        <f>_xlfn.LET(_xlpm.dir,Table13[[#This Row],[Direction]],
IF(_xlpm.dir="L",
    IF(G2453-Table13[[#This Row],[Steps]]&lt;0,100+(G2453-Table13[[#This Row],[Steps]]),G2453-Table13[[#This Row],[Steps]]),
))</f>
        <v>0</v>
      </c>
      <c r="F2454">
        <f>_xlfn.LET(_xlpm.dir,Table13[[#This Row],[Direction]],
IF(_xlpm.dir="R",
    IF(G2453+Table13[[#This Row],[Steps]]&gt;99,(G2453+Table13[[#This Row],[Steps]])-100,G2453+Table13[[#This Row],[Steps]]),
))</f>
        <v>2</v>
      </c>
      <c r="G2454">
        <f>IF(Table13[[#This Row],[New Pos L]]&lt;&gt;0,Table13[[#This Row],[New Pos L]],Table13[[#This Row],[New Pos R]])</f>
        <v>2</v>
      </c>
      <c r="H2454">
        <f>IF(AND(Table13[[#This Row],[Direction]]="L",Table13[[#This Row],[Steps]]&gt;G2453,G2453&lt;&gt;0),1,0)</f>
        <v>0</v>
      </c>
      <c r="I2454">
        <f>IF(AND(Table13[[#This Row],[Direction]]="R",(G2453+Table13[[#This Row],[Steps]])&gt;100),1,0)</f>
        <v>1</v>
      </c>
      <c r="J2454">
        <f>IF(Table13[[#This Row],[POS]]=0,1,0)</f>
        <v>0</v>
      </c>
      <c r="K2454">
        <f>SUM(Table13[[#This Row],[prefix]],Table13[[#This Row],[Past zero L]],Table13[[#This Row],[Past Zero R]],Table13[[#This Row],[Is Zero]])</f>
        <v>1</v>
      </c>
    </row>
    <row r="2455" spans="1:11" ht="16" x14ac:dyDescent="0.2">
      <c r="A2455" s="1" t="s">
        <v>35</v>
      </c>
      <c r="B2455" t="str">
        <f>LEFT(Table13[[#This Row],[Input]],1)</f>
        <v>L</v>
      </c>
      <c r="C2455">
        <f>_xlfn.LET(_xlpm.steps,SUBSTITUTE(Table13[[#This Row],[Input]],Table13[[#This Row],[Direction]],""),VALUE(IF(LEN(_xlpm.steps)&gt;2,RIGHT(_xlpm.steps,2),_xlpm.steps)))</f>
        <v>2</v>
      </c>
      <c r="D2455">
        <f>_xlfn.LET(_xlpm.steps,SUBSTITUTE(Table13[[#This Row],[Input]],Table13[[#This Row],[Direction]],""),VALUE(IF(LEN(_xlpm.steps)&gt;2,LEFT(_xlpm.steps,LEN(_xlpm.steps)-2),0)))</f>
        <v>0</v>
      </c>
      <c r="E2455">
        <f>_xlfn.LET(_xlpm.dir,Table13[[#This Row],[Direction]],
IF(_xlpm.dir="L",
    IF(G2454-Table13[[#This Row],[Steps]]&lt;0,100+(G2454-Table13[[#This Row],[Steps]]),G2454-Table13[[#This Row],[Steps]]),
))</f>
        <v>0</v>
      </c>
      <c r="F2455">
        <f>_xlfn.LET(_xlpm.dir,Table13[[#This Row],[Direction]],
IF(_xlpm.dir="R",
    IF(G2454+Table13[[#This Row],[Steps]]&gt;99,(G2454+Table13[[#This Row],[Steps]])-100,G2454+Table13[[#This Row],[Steps]]),
))</f>
        <v>0</v>
      </c>
      <c r="G2455">
        <f>IF(Table13[[#This Row],[New Pos L]]&lt;&gt;0,Table13[[#This Row],[New Pos L]],Table13[[#This Row],[New Pos R]])</f>
        <v>0</v>
      </c>
      <c r="H2455">
        <f>IF(AND(Table13[[#This Row],[Direction]]="L",Table13[[#This Row],[Steps]]&gt;G2454,G2454&lt;&gt;0),1,0)</f>
        <v>0</v>
      </c>
      <c r="I2455">
        <f>IF(AND(Table13[[#This Row],[Direction]]="R",(G2454+Table13[[#This Row],[Steps]])&gt;100),1,0)</f>
        <v>0</v>
      </c>
      <c r="J2455">
        <f>IF(Table13[[#This Row],[POS]]=0,1,0)</f>
        <v>1</v>
      </c>
      <c r="K2455">
        <f>SUM(Table13[[#This Row],[prefix]],Table13[[#This Row],[Past zero L]],Table13[[#This Row],[Past Zero R]],Table13[[#This Row],[Is Zero]])</f>
        <v>1</v>
      </c>
    </row>
    <row r="2456" spans="1:11" ht="16" x14ac:dyDescent="0.2">
      <c r="A2456" s="1" t="s">
        <v>129</v>
      </c>
      <c r="B2456" t="str">
        <f>LEFT(Table13[[#This Row],[Input]],1)</f>
        <v>R</v>
      </c>
      <c r="C2456">
        <f>_xlfn.LET(_xlpm.steps,SUBSTITUTE(Table13[[#This Row],[Input]],Table13[[#This Row],[Direction]],""),VALUE(IF(LEN(_xlpm.steps)&gt;2,RIGHT(_xlpm.steps,2),_xlpm.steps)))</f>
        <v>8</v>
      </c>
      <c r="D2456">
        <f>_xlfn.LET(_xlpm.steps,SUBSTITUTE(Table13[[#This Row],[Input]],Table13[[#This Row],[Direction]],""),VALUE(IF(LEN(_xlpm.steps)&gt;2,LEFT(_xlpm.steps,LEN(_xlpm.steps)-2),0)))</f>
        <v>0</v>
      </c>
      <c r="E2456">
        <f>_xlfn.LET(_xlpm.dir,Table13[[#This Row],[Direction]],
IF(_xlpm.dir="L",
    IF(G2455-Table13[[#This Row],[Steps]]&lt;0,100+(G2455-Table13[[#This Row],[Steps]]),G2455-Table13[[#This Row],[Steps]]),
))</f>
        <v>0</v>
      </c>
      <c r="F2456">
        <f>_xlfn.LET(_xlpm.dir,Table13[[#This Row],[Direction]],
IF(_xlpm.dir="R",
    IF(G2455+Table13[[#This Row],[Steps]]&gt;99,(G2455+Table13[[#This Row],[Steps]])-100,G2455+Table13[[#This Row],[Steps]]),
))</f>
        <v>8</v>
      </c>
      <c r="G2456">
        <f>IF(Table13[[#This Row],[New Pos L]]&lt;&gt;0,Table13[[#This Row],[New Pos L]],Table13[[#This Row],[New Pos R]])</f>
        <v>8</v>
      </c>
      <c r="H2456">
        <f>IF(AND(Table13[[#This Row],[Direction]]="L",Table13[[#This Row],[Steps]]&gt;G2455,G2455&lt;&gt;0),1,0)</f>
        <v>0</v>
      </c>
      <c r="I2456">
        <f>IF(AND(Table13[[#This Row],[Direction]]="R",(G2455+Table13[[#This Row],[Steps]])&gt;100),1,0)</f>
        <v>0</v>
      </c>
      <c r="J2456">
        <f>IF(Table13[[#This Row],[POS]]=0,1,0)</f>
        <v>0</v>
      </c>
      <c r="K2456">
        <f>SUM(Table13[[#This Row],[prefix]],Table13[[#This Row],[Past zero L]],Table13[[#This Row],[Past Zero R]],Table13[[#This Row],[Is Zero]])</f>
        <v>0</v>
      </c>
    </row>
    <row r="2457" spans="1:11" ht="16" x14ac:dyDescent="0.2">
      <c r="A2457" s="1" t="s">
        <v>605</v>
      </c>
      <c r="B2457" t="str">
        <f>LEFT(Table13[[#This Row],[Input]],1)</f>
        <v>R</v>
      </c>
      <c r="C2457">
        <f>_xlfn.LET(_xlpm.steps,SUBSTITUTE(Table13[[#This Row],[Input]],Table13[[#This Row],[Direction]],""),VALUE(IF(LEN(_xlpm.steps)&gt;2,RIGHT(_xlpm.steps,2),_xlpm.steps)))</f>
        <v>37</v>
      </c>
      <c r="D2457">
        <f>_xlfn.LET(_xlpm.steps,SUBSTITUTE(Table13[[#This Row],[Input]],Table13[[#This Row],[Direction]],""),VALUE(IF(LEN(_xlpm.steps)&gt;2,LEFT(_xlpm.steps,LEN(_xlpm.steps)-2),0)))</f>
        <v>6</v>
      </c>
      <c r="E2457">
        <f>_xlfn.LET(_xlpm.dir,Table13[[#This Row],[Direction]],
IF(_xlpm.dir="L",
    IF(G2456-Table13[[#This Row],[Steps]]&lt;0,100+(G2456-Table13[[#This Row],[Steps]]),G2456-Table13[[#This Row],[Steps]]),
))</f>
        <v>0</v>
      </c>
      <c r="F2457">
        <f>_xlfn.LET(_xlpm.dir,Table13[[#This Row],[Direction]],
IF(_xlpm.dir="R",
    IF(G2456+Table13[[#This Row],[Steps]]&gt;99,(G2456+Table13[[#This Row],[Steps]])-100,G2456+Table13[[#This Row],[Steps]]),
))</f>
        <v>45</v>
      </c>
      <c r="G2457">
        <f>IF(Table13[[#This Row],[New Pos L]]&lt;&gt;0,Table13[[#This Row],[New Pos L]],Table13[[#This Row],[New Pos R]])</f>
        <v>45</v>
      </c>
      <c r="H2457">
        <f>IF(AND(Table13[[#This Row],[Direction]]="L",Table13[[#This Row],[Steps]]&gt;G2456,G2456&lt;&gt;0),1,0)</f>
        <v>0</v>
      </c>
      <c r="I2457">
        <f>IF(AND(Table13[[#This Row],[Direction]]="R",(G2456+Table13[[#This Row],[Steps]])&gt;100),1,0)</f>
        <v>0</v>
      </c>
      <c r="J2457">
        <f>IF(Table13[[#This Row],[POS]]=0,1,0)</f>
        <v>0</v>
      </c>
      <c r="K2457">
        <f>SUM(Table13[[#This Row],[prefix]],Table13[[#This Row],[Past zero L]],Table13[[#This Row],[Past Zero R]],Table13[[#This Row],[Is Zero]])</f>
        <v>6</v>
      </c>
    </row>
    <row r="2458" spans="1:11" ht="16" x14ac:dyDescent="0.2">
      <c r="A2458" s="1" t="s">
        <v>10</v>
      </c>
      <c r="B2458" t="str">
        <f>LEFT(Table13[[#This Row],[Input]],1)</f>
        <v>L</v>
      </c>
      <c r="C2458">
        <f>_xlfn.LET(_xlpm.steps,SUBSTITUTE(Table13[[#This Row],[Input]],Table13[[#This Row],[Direction]],""),VALUE(IF(LEN(_xlpm.steps)&gt;2,RIGHT(_xlpm.steps,2),_xlpm.steps)))</f>
        <v>35</v>
      </c>
      <c r="D2458">
        <f>_xlfn.LET(_xlpm.steps,SUBSTITUTE(Table13[[#This Row],[Input]],Table13[[#This Row],[Direction]],""),VALUE(IF(LEN(_xlpm.steps)&gt;2,LEFT(_xlpm.steps,LEN(_xlpm.steps)-2),0)))</f>
        <v>0</v>
      </c>
      <c r="E2458">
        <f>_xlfn.LET(_xlpm.dir,Table13[[#This Row],[Direction]],
IF(_xlpm.dir="L",
    IF(G2457-Table13[[#This Row],[Steps]]&lt;0,100+(G2457-Table13[[#This Row],[Steps]]),G2457-Table13[[#This Row],[Steps]]),
))</f>
        <v>10</v>
      </c>
      <c r="F2458">
        <f>_xlfn.LET(_xlpm.dir,Table13[[#This Row],[Direction]],
IF(_xlpm.dir="R",
    IF(G2457+Table13[[#This Row],[Steps]]&gt;99,(G2457+Table13[[#This Row],[Steps]])-100,G2457+Table13[[#This Row],[Steps]]),
))</f>
        <v>0</v>
      </c>
      <c r="G2458">
        <f>IF(Table13[[#This Row],[New Pos L]]&lt;&gt;0,Table13[[#This Row],[New Pos L]],Table13[[#This Row],[New Pos R]])</f>
        <v>10</v>
      </c>
      <c r="H2458">
        <f>IF(AND(Table13[[#This Row],[Direction]]="L",Table13[[#This Row],[Steps]]&gt;G2457,G2457&lt;&gt;0),1,0)</f>
        <v>0</v>
      </c>
      <c r="I2458">
        <f>IF(AND(Table13[[#This Row],[Direction]]="R",(G2457+Table13[[#This Row],[Steps]])&gt;100),1,0)</f>
        <v>0</v>
      </c>
      <c r="J2458">
        <f>IF(Table13[[#This Row],[POS]]=0,1,0)</f>
        <v>0</v>
      </c>
      <c r="K2458">
        <f>SUM(Table13[[#This Row],[prefix]],Table13[[#This Row],[Past zero L]],Table13[[#This Row],[Past Zero R]],Table13[[#This Row],[Is Zero]])</f>
        <v>0</v>
      </c>
    </row>
    <row r="2459" spans="1:11" ht="16" x14ac:dyDescent="0.2">
      <c r="A2459" s="1" t="s">
        <v>213</v>
      </c>
      <c r="B2459" t="str">
        <f>LEFT(Table13[[#This Row],[Input]],1)</f>
        <v>R</v>
      </c>
      <c r="C2459">
        <f>_xlfn.LET(_xlpm.steps,SUBSTITUTE(Table13[[#This Row],[Input]],Table13[[#This Row],[Direction]],""),VALUE(IF(LEN(_xlpm.steps)&gt;2,RIGHT(_xlpm.steps,2),_xlpm.steps)))</f>
        <v>87</v>
      </c>
      <c r="D2459">
        <f>_xlfn.LET(_xlpm.steps,SUBSTITUTE(Table13[[#This Row],[Input]],Table13[[#This Row],[Direction]],""),VALUE(IF(LEN(_xlpm.steps)&gt;2,LEFT(_xlpm.steps,LEN(_xlpm.steps)-2),0)))</f>
        <v>0</v>
      </c>
      <c r="E2459">
        <f>_xlfn.LET(_xlpm.dir,Table13[[#This Row],[Direction]],
IF(_xlpm.dir="L",
    IF(G2458-Table13[[#This Row],[Steps]]&lt;0,100+(G2458-Table13[[#This Row],[Steps]]),G2458-Table13[[#This Row],[Steps]]),
))</f>
        <v>0</v>
      </c>
      <c r="F2459">
        <f>_xlfn.LET(_xlpm.dir,Table13[[#This Row],[Direction]],
IF(_xlpm.dir="R",
    IF(G2458+Table13[[#This Row],[Steps]]&gt;99,(G2458+Table13[[#This Row],[Steps]])-100,G2458+Table13[[#This Row],[Steps]]),
))</f>
        <v>97</v>
      </c>
      <c r="G2459">
        <f>IF(Table13[[#This Row],[New Pos L]]&lt;&gt;0,Table13[[#This Row],[New Pos L]],Table13[[#This Row],[New Pos R]])</f>
        <v>97</v>
      </c>
      <c r="H2459">
        <f>IF(AND(Table13[[#This Row],[Direction]]="L",Table13[[#This Row],[Steps]]&gt;G2458,G2458&lt;&gt;0),1,0)</f>
        <v>0</v>
      </c>
      <c r="I2459">
        <f>IF(AND(Table13[[#This Row],[Direction]]="R",(G2458+Table13[[#This Row],[Steps]])&gt;100),1,0)</f>
        <v>0</v>
      </c>
      <c r="J2459">
        <f>IF(Table13[[#This Row],[POS]]=0,1,0)</f>
        <v>0</v>
      </c>
      <c r="K2459">
        <f>SUM(Table13[[#This Row],[prefix]],Table13[[#This Row],[Past zero L]],Table13[[#This Row],[Past Zero R]],Table13[[#This Row],[Is Zero]])</f>
        <v>0</v>
      </c>
    </row>
    <row r="2460" spans="1:11" ht="16" x14ac:dyDescent="0.2">
      <c r="A2460" s="1" t="s">
        <v>606</v>
      </c>
      <c r="B2460" t="str">
        <f>LEFT(Table13[[#This Row],[Input]],1)</f>
        <v>L</v>
      </c>
      <c r="C2460">
        <f>_xlfn.LET(_xlpm.steps,SUBSTITUTE(Table13[[#This Row],[Input]],Table13[[#This Row],[Direction]],""),VALUE(IF(LEN(_xlpm.steps)&gt;2,RIGHT(_xlpm.steps,2),_xlpm.steps)))</f>
        <v>97</v>
      </c>
      <c r="D2460">
        <f>_xlfn.LET(_xlpm.steps,SUBSTITUTE(Table13[[#This Row],[Input]],Table13[[#This Row],[Direction]],""),VALUE(IF(LEN(_xlpm.steps)&gt;2,LEFT(_xlpm.steps,LEN(_xlpm.steps)-2),0)))</f>
        <v>7</v>
      </c>
      <c r="E2460">
        <f>_xlfn.LET(_xlpm.dir,Table13[[#This Row],[Direction]],
IF(_xlpm.dir="L",
    IF(G2459-Table13[[#This Row],[Steps]]&lt;0,100+(G2459-Table13[[#This Row],[Steps]]),G2459-Table13[[#This Row],[Steps]]),
))</f>
        <v>0</v>
      </c>
      <c r="F2460">
        <f>_xlfn.LET(_xlpm.dir,Table13[[#This Row],[Direction]],
IF(_xlpm.dir="R",
    IF(G2459+Table13[[#This Row],[Steps]]&gt;99,(G2459+Table13[[#This Row],[Steps]])-100,G2459+Table13[[#This Row],[Steps]]),
))</f>
        <v>0</v>
      </c>
      <c r="G2460">
        <f>IF(Table13[[#This Row],[New Pos L]]&lt;&gt;0,Table13[[#This Row],[New Pos L]],Table13[[#This Row],[New Pos R]])</f>
        <v>0</v>
      </c>
      <c r="H2460">
        <f>IF(AND(Table13[[#This Row],[Direction]]="L",Table13[[#This Row],[Steps]]&gt;G2459,G2459&lt;&gt;0),1,0)</f>
        <v>0</v>
      </c>
      <c r="I2460">
        <f>IF(AND(Table13[[#This Row],[Direction]]="R",(G2459+Table13[[#This Row],[Steps]])&gt;100),1,0)</f>
        <v>0</v>
      </c>
      <c r="J2460">
        <f>IF(Table13[[#This Row],[POS]]=0,1,0)</f>
        <v>1</v>
      </c>
      <c r="K2460">
        <f>SUM(Table13[[#This Row],[prefix]],Table13[[#This Row],[Past zero L]],Table13[[#This Row],[Past Zero R]],Table13[[#This Row],[Is Zero]])</f>
        <v>8</v>
      </c>
    </row>
    <row r="2461" spans="1:11" ht="16" x14ac:dyDescent="0.2">
      <c r="A2461" s="1" t="s">
        <v>123</v>
      </c>
      <c r="B2461" t="str">
        <f>LEFT(Table13[[#This Row],[Input]],1)</f>
        <v>L</v>
      </c>
      <c r="C2461">
        <f>_xlfn.LET(_xlpm.steps,SUBSTITUTE(Table13[[#This Row],[Input]],Table13[[#This Row],[Direction]],""),VALUE(IF(LEN(_xlpm.steps)&gt;2,RIGHT(_xlpm.steps,2),_xlpm.steps)))</f>
        <v>63</v>
      </c>
      <c r="D2461">
        <f>_xlfn.LET(_xlpm.steps,SUBSTITUTE(Table13[[#This Row],[Input]],Table13[[#This Row],[Direction]],""),VALUE(IF(LEN(_xlpm.steps)&gt;2,LEFT(_xlpm.steps,LEN(_xlpm.steps)-2),0)))</f>
        <v>0</v>
      </c>
      <c r="E2461">
        <f>_xlfn.LET(_xlpm.dir,Table13[[#This Row],[Direction]],
IF(_xlpm.dir="L",
    IF(G2460-Table13[[#This Row],[Steps]]&lt;0,100+(G2460-Table13[[#This Row],[Steps]]),G2460-Table13[[#This Row],[Steps]]),
))</f>
        <v>37</v>
      </c>
      <c r="F2461">
        <f>_xlfn.LET(_xlpm.dir,Table13[[#This Row],[Direction]],
IF(_xlpm.dir="R",
    IF(G2460+Table13[[#This Row],[Steps]]&gt;99,(G2460+Table13[[#This Row],[Steps]])-100,G2460+Table13[[#This Row],[Steps]]),
))</f>
        <v>0</v>
      </c>
      <c r="G2461">
        <f>IF(Table13[[#This Row],[New Pos L]]&lt;&gt;0,Table13[[#This Row],[New Pos L]],Table13[[#This Row],[New Pos R]])</f>
        <v>37</v>
      </c>
      <c r="H2461">
        <f>IF(AND(Table13[[#This Row],[Direction]]="L",Table13[[#This Row],[Steps]]&gt;G2460,G2460&lt;&gt;0),1,0)</f>
        <v>0</v>
      </c>
      <c r="I2461">
        <f>IF(AND(Table13[[#This Row],[Direction]]="R",(G2460+Table13[[#This Row],[Steps]])&gt;100),1,0)</f>
        <v>0</v>
      </c>
      <c r="J2461">
        <f>IF(Table13[[#This Row],[POS]]=0,1,0)</f>
        <v>0</v>
      </c>
      <c r="K2461">
        <f>SUM(Table13[[#This Row],[prefix]],Table13[[#This Row],[Past zero L]],Table13[[#This Row],[Past Zero R]],Table13[[#This Row],[Is Zero]])</f>
        <v>0</v>
      </c>
    </row>
    <row r="2462" spans="1:11" ht="16" x14ac:dyDescent="0.2">
      <c r="A2462" s="1" t="s">
        <v>125</v>
      </c>
      <c r="B2462" t="str">
        <f>LEFT(Table13[[#This Row],[Input]],1)</f>
        <v>L</v>
      </c>
      <c r="C2462">
        <f>_xlfn.LET(_xlpm.steps,SUBSTITUTE(Table13[[#This Row],[Input]],Table13[[#This Row],[Direction]],""),VALUE(IF(LEN(_xlpm.steps)&gt;2,RIGHT(_xlpm.steps,2),_xlpm.steps)))</f>
        <v>76</v>
      </c>
      <c r="D2462">
        <f>_xlfn.LET(_xlpm.steps,SUBSTITUTE(Table13[[#This Row],[Input]],Table13[[#This Row],[Direction]],""),VALUE(IF(LEN(_xlpm.steps)&gt;2,LEFT(_xlpm.steps,LEN(_xlpm.steps)-2),0)))</f>
        <v>0</v>
      </c>
      <c r="E2462">
        <f>_xlfn.LET(_xlpm.dir,Table13[[#This Row],[Direction]],
IF(_xlpm.dir="L",
    IF(G2461-Table13[[#This Row],[Steps]]&lt;0,100+(G2461-Table13[[#This Row],[Steps]]),G2461-Table13[[#This Row],[Steps]]),
))</f>
        <v>61</v>
      </c>
      <c r="F2462">
        <f>_xlfn.LET(_xlpm.dir,Table13[[#This Row],[Direction]],
IF(_xlpm.dir="R",
    IF(G2461+Table13[[#This Row],[Steps]]&gt;99,(G2461+Table13[[#This Row],[Steps]])-100,G2461+Table13[[#This Row],[Steps]]),
))</f>
        <v>0</v>
      </c>
      <c r="G2462">
        <f>IF(Table13[[#This Row],[New Pos L]]&lt;&gt;0,Table13[[#This Row],[New Pos L]],Table13[[#This Row],[New Pos R]])</f>
        <v>61</v>
      </c>
      <c r="H2462">
        <f>IF(AND(Table13[[#This Row],[Direction]]="L",Table13[[#This Row],[Steps]]&gt;G2461,G2461&lt;&gt;0),1,0)</f>
        <v>1</v>
      </c>
      <c r="I2462">
        <f>IF(AND(Table13[[#This Row],[Direction]]="R",(G2461+Table13[[#This Row],[Steps]])&gt;100),1,0)</f>
        <v>0</v>
      </c>
      <c r="J2462">
        <f>IF(Table13[[#This Row],[POS]]=0,1,0)</f>
        <v>0</v>
      </c>
      <c r="K2462">
        <f>SUM(Table13[[#This Row],[prefix]],Table13[[#This Row],[Past zero L]],Table13[[#This Row],[Past Zero R]],Table13[[#This Row],[Is Zero]])</f>
        <v>1</v>
      </c>
    </row>
    <row r="2463" spans="1:11" ht="16" x14ac:dyDescent="0.2">
      <c r="A2463" s="1" t="s">
        <v>102</v>
      </c>
      <c r="B2463" t="str">
        <f>LEFT(Table13[[#This Row],[Input]],1)</f>
        <v>R</v>
      </c>
      <c r="C2463">
        <f>_xlfn.LET(_xlpm.steps,SUBSTITUTE(Table13[[#This Row],[Input]],Table13[[#This Row],[Direction]],""),VALUE(IF(LEN(_xlpm.steps)&gt;2,RIGHT(_xlpm.steps,2),_xlpm.steps)))</f>
        <v>39</v>
      </c>
      <c r="D2463">
        <f>_xlfn.LET(_xlpm.steps,SUBSTITUTE(Table13[[#This Row],[Input]],Table13[[#This Row],[Direction]],""),VALUE(IF(LEN(_xlpm.steps)&gt;2,LEFT(_xlpm.steps,LEN(_xlpm.steps)-2),0)))</f>
        <v>0</v>
      </c>
      <c r="E2463">
        <f>_xlfn.LET(_xlpm.dir,Table13[[#This Row],[Direction]],
IF(_xlpm.dir="L",
    IF(G2462-Table13[[#This Row],[Steps]]&lt;0,100+(G2462-Table13[[#This Row],[Steps]]),G2462-Table13[[#This Row],[Steps]]),
))</f>
        <v>0</v>
      </c>
      <c r="F2463">
        <f>_xlfn.LET(_xlpm.dir,Table13[[#This Row],[Direction]],
IF(_xlpm.dir="R",
    IF(G2462+Table13[[#This Row],[Steps]]&gt;99,(G2462+Table13[[#This Row],[Steps]])-100,G2462+Table13[[#This Row],[Steps]]),
))</f>
        <v>0</v>
      </c>
      <c r="G2463">
        <f>IF(Table13[[#This Row],[New Pos L]]&lt;&gt;0,Table13[[#This Row],[New Pos L]],Table13[[#This Row],[New Pos R]])</f>
        <v>0</v>
      </c>
      <c r="H2463">
        <f>IF(AND(Table13[[#This Row],[Direction]]="L",Table13[[#This Row],[Steps]]&gt;G2462,G2462&lt;&gt;0),1,0)</f>
        <v>0</v>
      </c>
      <c r="I2463">
        <f>IF(AND(Table13[[#This Row],[Direction]]="R",(G2462+Table13[[#This Row],[Steps]])&gt;100),1,0)</f>
        <v>0</v>
      </c>
      <c r="J2463">
        <f>IF(Table13[[#This Row],[POS]]=0,1,0)</f>
        <v>1</v>
      </c>
      <c r="K2463">
        <f>SUM(Table13[[#This Row],[prefix]],Table13[[#This Row],[Past zero L]],Table13[[#This Row],[Past Zero R]],Table13[[#This Row],[Is Zero]])</f>
        <v>1</v>
      </c>
    </row>
    <row r="2464" spans="1:11" ht="16" x14ac:dyDescent="0.2">
      <c r="A2464" s="1" t="s">
        <v>215</v>
      </c>
      <c r="B2464" t="str">
        <f>LEFT(Table13[[#This Row],[Input]],1)</f>
        <v>L</v>
      </c>
      <c r="C2464">
        <f>_xlfn.LET(_xlpm.steps,SUBSTITUTE(Table13[[#This Row],[Input]],Table13[[#This Row],[Direction]],""),VALUE(IF(LEN(_xlpm.steps)&gt;2,RIGHT(_xlpm.steps,2),_xlpm.steps)))</f>
        <v>14</v>
      </c>
      <c r="D2464">
        <f>_xlfn.LET(_xlpm.steps,SUBSTITUTE(Table13[[#This Row],[Input]],Table13[[#This Row],[Direction]],""),VALUE(IF(LEN(_xlpm.steps)&gt;2,LEFT(_xlpm.steps,LEN(_xlpm.steps)-2),0)))</f>
        <v>3</v>
      </c>
      <c r="E2464">
        <f>_xlfn.LET(_xlpm.dir,Table13[[#This Row],[Direction]],
IF(_xlpm.dir="L",
    IF(G2463-Table13[[#This Row],[Steps]]&lt;0,100+(G2463-Table13[[#This Row],[Steps]]),G2463-Table13[[#This Row],[Steps]]),
))</f>
        <v>86</v>
      </c>
      <c r="F2464">
        <f>_xlfn.LET(_xlpm.dir,Table13[[#This Row],[Direction]],
IF(_xlpm.dir="R",
    IF(G2463+Table13[[#This Row],[Steps]]&gt;99,(G2463+Table13[[#This Row],[Steps]])-100,G2463+Table13[[#This Row],[Steps]]),
))</f>
        <v>0</v>
      </c>
      <c r="G2464">
        <f>IF(Table13[[#This Row],[New Pos L]]&lt;&gt;0,Table13[[#This Row],[New Pos L]],Table13[[#This Row],[New Pos R]])</f>
        <v>86</v>
      </c>
      <c r="H2464">
        <f>IF(AND(Table13[[#This Row],[Direction]]="L",Table13[[#This Row],[Steps]]&gt;G2463,G2463&lt;&gt;0),1,0)</f>
        <v>0</v>
      </c>
      <c r="I2464">
        <f>IF(AND(Table13[[#This Row],[Direction]]="R",(G2463+Table13[[#This Row],[Steps]])&gt;100),1,0)</f>
        <v>0</v>
      </c>
      <c r="J2464">
        <f>IF(Table13[[#This Row],[POS]]=0,1,0)</f>
        <v>0</v>
      </c>
      <c r="K2464">
        <f>SUM(Table13[[#This Row],[prefix]],Table13[[#This Row],[Past zero L]],Table13[[#This Row],[Past Zero R]],Table13[[#This Row],[Is Zero]])</f>
        <v>3</v>
      </c>
    </row>
    <row r="2465" spans="1:11" ht="16" x14ac:dyDescent="0.2">
      <c r="A2465" s="1" t="s">
        <v>3</v>
      </c>
      <c r="B2465" t="str">
        <f>LEFT(Table13[[#This Row],[Input]],1)</f>
        <v>R</v>
      </c>
      <c r="C2465">
        <f>_xlfn.LET(_xlpm.steps,SUBSTITUTE(Table13[[#This Row],[Input]],Table13[[#This Row],[Direction]],""),VALUE(IF(LEN(_xlpm.steps)&gt;2,RIGHT(_xlpm.steps,2),_xlpm.steps)))</f>
        <v>44</v>
      </c>
      <c r="D2465">
        <f>_xlfn.LET(_xlpm.steps,SUBSTITUTE(Table13[[#This Row],[Input]],Table13[[#This Row],[Direction]],""),VALUE(IF(LEN(_xlpm.steps)&gt;2,LEFT(_xlpm.steps,LEN(_xlpm.steps)-2),0)))</f>
        <v>0</v>
      </c>
      <c r="E2465">
        <f>_xlfn.LET(_xlpm.dir,Table13[[#This Row],[Direction]],
IF(_xlpm.dir="L",
    IF(G2464-Table13[[#This Row],[Steps]]&lt;0,100+(G2464-Table13[[#This Row],[Steps]]),G2464-Table13[[#This Row],[Steps]]),
))</f>
        <v>0</v>
      </c>
      <c r="F2465">
        <f>_xlfn.LET(_xlpm.dir,Table13[[#This Row],[Direction]],
IF(_xlpm.dir="R",
    IF(G2464+Table13[[#This Row],[Steps]]&gt;99,(G2464+Table13[[#This Row],[Steps]])-100,G2464+Table13[[#This Row],[Steps]]),
))</f>
        <v>30</v>
      </c>
      <c r="G2465">
        <f>IF(Table13[[#This Row],[New Pos L]]&lt;&gt;0,Table13[[#This Row],[New Pos L]],Table13[[#This Row],[New Pos R]])</f>
        <v>30</v>
      </c>
      <c r="H2465">
        <f>IF(AND(Table13[[#This Row],[Direction]]="L",Table13[[#This Row],[Steps]]&gt;G2464,G2464&lt;&gt;0),1,0)</f>
        <v>0</v>
      </c>
      <c r="I2465">
        <f>IF(AND(Table13[[#This Row],[Direction]]="R",(G2464+Table13[[#This Row],[Steps]])&gt;100),1,0)</f>
        <v>1</v>
      </c>
      <c r="J2465">
        <f>IF(Table13[[#This Row],[POS]]=0,1,0)</f>
        <v>0</v>
      </c>
      <c r="K2465">
        <f>SUM(Table13[[#This Row],[prefix]],Table13[[#This Row],[Past zero L]],Table13[[#This Row],[Past Zero R]],Table13[[#This Row],[Is Zero]])</f>
        <v>1</v>
      </c>
    </row>
    <row r="2466" spans="1:11" ht="16" x14ac:dyDescent="0.2">
      <c r="A2466" s="1" t="s">
        <v>607</v>
      </c>
      <c r="B2466" t="str">
        <f>LEFT(Table13[[#This Row],[Input]],1)</f>
        <v>R</v>
      </c>
      <c r="C2466">
        <f>_xlfn.LET(_xlpm.steps,SUBSTITUTE(Table13[[#This Row],[Input]],Table13[[#This Row],[Direction]],""),VALUE(IF(LEN(_xlpm.steps)&gt;2,RIGHT(_xlpm.steps,2),_xlpm.steps)))</f>
        <v>70</v>
      </c>
      <c r="D2466">
        <f>_xlfn.LET(_xlpm.steps,SUBSTITUTE(Table13[[#This Row],[Input]],Table13[[#This Row],[Direction]],""),VALUE(IF(LEN(_xlpm.steps)&gt;2,LEFT(_xlpm.steps,LEN(_xlpm.steps)-2),0)))</f>
        <v>5</v>
      </c>
      <c r="E2466">
        <f>_xlfn.LET(_xlpm.dir,Table13[[#This Row],[Direction]],
IF(_xlpm.dir="L",
    IF(G2465-Table13[[#This Row],[Steps]]&lt;0,100+(G2465-Table13[[#This Row],[Steps]]),G2465-Table13[[#This Row],[Steps]]),
))</f>
        <v>0</v>
      </c>
      <c r="F2466">
        <f>_xlfn.LET(_xlpm.dir,Table13[[#This Row],[Direction]],
IF(_xlpm.dir="R",
    IF(G2465+Table13[[#This Row],[Steps]]&gt;99,(G2465+Table13[[#This Row],[Steps]])-100,G2465+Table13[[#This Row],[Steps]]),
))</f>
        <v>0</v>
      </c>
      <c r="G2466">
        <f>IF(Table13[[#This Row],[New Pos L]]&lt;&gt;0,Table13[[#This Row],[New Pos L]],Table13[[#This Row],[New Pos R]])</f>
        <v>0</v>
      </c>
      <c r="H2466">
        <f>IF(AND(Table13[[#This Row],[Direction]]="L",Table13[[#This Row],[Steps]]&gt;G2465,G2465&lt;&gt;0),1,0)</f>
        <v>0</v>
      </c>
      <c r="I2466">
        <f>IF(AND(Table13[[#This Row],[Direction]]="R",(G2465+Table13[[#This Row],[Steps]])&gt;100),1,0)</f>
        <v>0</v>
      </c>
      <c r="J2466">
        <f>IF(Table13[[#This Row],[POS]]=0,1,0)</f>
        <v>1</v>
      </c>
      <c r="K2466">
        <f>SUM(Table13[[#This Row],[prefix]],Table13[[#This Row],[Past zero L]],Table13[[#This Row],[Past Zero R]],Table13[[#This Row],[Is Zero]])</f>
        <v>6</v>
      </c>
    </row>
    <row r="2467" spans="1:11" ht="16" x14ac:dyDescent="0.2">
      <c r="A2467" s="1" t="s">
        <v>219</v>
      </c>
      <c r="B2467" t="str">
        <f>LEFT(Table13[[#This Row],[Input]],1)</f>
        <v>L</v>
      </c>
      <c r="C2467">
        <f>_xlfn.LET(_xlpm.steps,SUBSTITUTE(Table13[[#This Row],[Input]],Table13[[#This Row],[Direction]],""),VALUE(IF(LEN(_xlpm.steps)&gt;2,RIGHT(_xlpm.steps,2),_xlpm.steps)))</f>
        <v>64</v>
      </c>
      <c r="D2467">
        <f>_xlfn.LET(_xlpm.steps,SUBSTITUTE(Table13[[#This Row],[Input]],Table13[[#This Row],[Direction]],""),VALUE(IF(LEN(_xlpm.steps)&gt;2,LEFT(_xlpm.steps,LEN(_xlpm.steps)-2),0)))</f>
        <v>0</v>
      </c>
      <c r="E2467">
        <f>_xlfn.LET(_xlpm.dir,Table13[[#This Row],[Direction]],
IF(_xlpm.dir="L",
    IF(G2466-Table13[[#This Row],[Steps]]&lt;0,100+(G2466-Table13[[#This Row],[Steps]]),G2466-Table13[[#This Row],[Steps]]),
))</f>
        <v>36</v>
      </c>
      <c r="F2467">
        <f>_xlfn.LET(_xlpm.dir,Table13[[#This Row],[Direction]],
IF(_xlpm.dir="R",
    IF(G2466+Table13[[#This Row],[Steps]]&gt;99,(G2466+Table13[[#This Row],[Steps]])-100,G2466+Table13[[#This Row],[Steps]]),
))</f>
        <v>0</v>
      </c>
      <c r="G2467">
        <f>IF(Table13[[#This Row],[New Pos L]]&lt;&gt;0,Table13[[#This Row],[New Pos L]],Table13[[#This Row],[New Pos R]])</f>
        <v>36</v>
      </c>
      <c r="H2467">
        <f>IF(AND(Table13[[#This Row],[Direction]]="L",Table13[[#This Row],[Steps]]&gt;G2466,G2466&lt;&gt;0),1,0)</f>
        <v>0</v>
      </c>
      <c r="I2467">
        <f>IF(AND(Table13[[#This Row],[Direction]]="R",(G2466+Table13[[#This Row],[Steps]])&gt;100),1,0)</f>
        <v>0</v>
      </c>
      <c r="J2467">
        <f>IF(Table13[[#This Row],[POS]]=0,1,0)</f>
        <v>0</v>
      </c>
      <c r="K2467">
        <f>SUM(Table13[[#This Row],[prefix]],Table13[[#This Row],[Past zero L]],Table13[[#This Row],[Past Zero R]],Table13[[#This Row],[Is Zero]])</f>
        <v>0</v>
      </c>
    </row>
    <row r="2468" spans="1:11" ht="16" x14ac:dyDescent="0.2">
      <c r="A2468" s="1" t="s">
        <v>608</v>
      </c>
      <c r="B2468" t="str">
        <f>LEFT(Table13[[#This Row],[Input]],1)</f>
        <v>L</v>
      </c>
      <c r="C2468">
        <f>_xlfn.LET(_xlpm.steps,SUBSTITUTE(Table13[[#This Row],[Input]],Table13[[#This Row],[Direction]],""),VALUE(IF(LEN(_xlpm.steps)&gt;2,RIGHT(_xlpm.steps,2),_xlpm.steps)))</f>
        <v>78</v>
      </c>
      <c r="D2468">
        <f>_xlfn.LET(_xlpm.steps,SUBSTITUTE(Table13[[#This Row],[Input]],Table13[[#This Row],[Direction]],""),VALUE(IF(LEN(_xlpm.steps)&gt;2,LEFT(_xlpm.steps,LEN(_xlpm.steps)-2),0)))</f>
        <v>7</v>
      </c>
      <c r="E2468">
        <f>_xlfn.LET(_xlpm.dir,Table13[[#This Row],[Direction]],
IF(_xlpm.dir="L",
    IF(G2467-Table13[[#This Row],[Steps]]&lt;0,100+(G2467-Table13[[#This Row],[Steps]]),G2467-Table13[[#This Row],[Steps]]),
))</f>
        <v>58</v>
      </c>
      <c r="F2468">
        <f>_xlfn.LET(_xlpm.dir,Table13[[#This Row],[Direction]],
IF(_xlpm.dir="R",
    IF(G2467+Table13[[#This Row],[Steps]]&gt;99,(G2467+Table13[[#This Row],[Steps]])-100,G2467+Table13[[#This Row],[Steps]]),
))</f>
        <v>0</v>
      </c>
      <c r="G2468">
        <f>IF(Table13[[#This Row],[New Pos L]]&lt;&gt;0,Table13[[#This Row],[New Pos L]],Table13[[#This Row],[New Pos R]])</f>
        <v>58</v>
      </c>
      <c r="H2468">
        <f>IF(AND(Table13[[#This Row],[Direction]]="L",Table13[[#This Row],[Steps]]&gt;G2467,G2467&lt;&gt;0),1,0)</f>
        <v>1</v>
      </c>
      <c r="I2468">
        <f>IF(AND(Table13[[#This Row],[Direction]]="R",(G2467+Table13[[#This Row],[Steps]])&gt;100),1,0)</f>
        <v>0</v>
      </c>
      <c r="J2468">
        <f>IF(Table13[[#This Row],[POS]]=0,1,0)</f>
        <v>0</v>
      </c>
      <c r="K2468">
        <f>SUM(Table13[[#This Row],[prefix]],Table13[[#This Row],[Past zero L]],Table13[[#This Row],[Past Zero R]],Table13[[#This Row],[Is Zero]])</f>
        <v>8</v>
      </c>
    </row>
    <row r="2469" spans="1:11" ht="16" x14ac:dyDescent="0.2">
      <c r="A2469" s="1" t="s">
        <v>116</v>
      </c>
      <c r="B2469" t="str">
        <f>LEFT(Table13[[#This Row],[Input]],1)</f>
        <v>L</v>
      </c>
      <c r="C2469">
        <f>_xlfn.LET(_xlpm.steps,SUBSTITUTE(Table13[[#This Row],[Input]],Table13[[#This Row],[Direction]],""),VALUE(IF(LEN(_xlpm.steps)&gt;2,RIGHT(_xlpm.steps,2),_xlpm.steps)))</f>
        <v>58</v>
      </c>
      <c r="D2469">
        <f>_xlfn.LET(_xlpm.steps,SUBSTITUTE(Table13[[#This Row],[Input]],Table13[[#This Row],[Direction]],""),VALUE(IF(LEN(_xlpm.steps)&gt;2,LEFT(_xlpm.steps,LEN(_xlpm.steps)-2),0)))</f>
        <v>0</v>
      </c>
      <c r="E2469">
        <f>_xlfn.LET(_xlpm.dir,Table13[[#This Row],[Direction]],
IF(_xlpm.dir="L",
    IF(G2468-Table13[[#This Row],[Steps]]&lt;0,100+(G2468-Table13[[#This Row],[Steps]]),G2468-Table13[[#This Row],[Steps]]),
))</f>
        <v>0</v>
      </c>
      <c r="F2469">
        <f>_xlfn.LET(_xlpm.dir,Table13[[#This Row],[Direction]],
IF(_xlpm.dir="R",
    IF(G2468+Table13[[#This Row],[Steps]]&gt;99,(G2468+Table13[[#This Row],[Steps]])-100,G2468+Table13[[#This Row],[Steps]]),
))</f>
        <v>0</v>
      </c>
      <c r="G2469">
        <f>IF(Table13[[#This Row],[New Pos L]]&lt;&gt;0,Table13[[#This Row],[New Pos L]],Table13[[#This Row],[New Pos R]])</f>
        <v>0</v>
      </c>
      <c r="H2469">
        <f>IF(AND(Table13[[#This Row],[Direction]]="L",Table13[[#This Row],[Steps]]&gt;G2468,G2468&lt;&gt;0),1,0)</f>
        <v>0</v>
      </c>
      <c r="I2469">
        <f>IF(AND(Table13[[#This Row],[Direction]]="R",(G2468+Table13[[#This Row],[Steps]])&gt;100),1,0)</f>
        <v>0</v>
      </c>
      <c r="J2469">
        <f>IF(Table13[[#This Row],[POS]]=0,1,0)</f>
        <v>1</v>
      </c>
      <c r="K2469">
        <f>SUM(Table13[[#This Row],[prefix]],Table13[[#This Row],[Past zero L]],Table13[[#This Row],[Past Zero R]],Table13[[#This Row],[Is Zero]])</f>
        <v>1</v>
      </c>
    </row>
    <row r="2470" spans="1:11" ht="16" x14ac:dyDescent="0.2">
      <c r="A2470" s="1" t="s">
        <v>609</v>
      </c>
      <c r="B2470" t="str">
        <f>LEFT(Table13[[#This Row],[Input]],1)</f>
        <v>L</v>
      </c>
      <c r="C2470">
        <f>_xlfn.LET(_xlpm.steps,SUBSTITUTE(Table13[[#This Row],[Input]],Table13[[#This Row],[Direction]],""),VALUE(IF(LEN(_xlpm.steps)&gt;2,RIGHT(_xlpm.steps,2),_xlpm.steps)))</f>
        <v>6</v>
      </c>
      <c r="D2470">
        <f>_xlfn.LET(_xlpm.steps,SUBSTITUTE(Table13[[#This Row],[Input]],Table13[[#This Row],[Direction]],""),VALUE(IF(LEN(_xlpm.steps)&gt;2,LEFT(_xlpm.steps,LEN(_xlpm.steps)-2),0)))</f>
        <v>1</v>
      </c>
      <c r="E2470">
        <f>_xlfn.LET(_xlpm.dir,Table13[[#This Row],[Direction]],
IF(_xlpm.dir="L",
    IF(G2469-Table13[[#This Row],[Steps]]&lt;0,100+(G2469-Table13[[#This Row],[Steps]]),G2469-Table13[[#This Row],[Steps]]),
))</f>
        <v>94</v>
      </c>
      <c r="F2470">
        <f>_xlfn.LET(_xlpm.dir,Table13[[#This Row],[Direction]],
IF(_xlpm.dir="R",
    IF(G2469+Table13[[#This Row],[Steps]]&gt;99,(G2469+Table13[[#This Row],[Steps]])-100,G2469+Table13[[#This Row],[Steps]]),
))</f>
        <v>0</v>
      </c>
      <c r="G2470">
        <f>IF(Table13[[#This Row],[New Pos L]]&lt;&gt;0,Table13[[#This Row],[New Pos L]],Table13[[#This Row],[New Pos R]])</f>
        <v>94</v>
      </c>
      <c r="H2470">
        <f>IF(AND(Table13[[#This Row],[Direction]]="L",Table13[[#This Row],[Steps]]&gt;G2469,G2469&lt;&gt;0),1,0)</f>
        <v>0</v>
      </c>
      <c r="I2470">
        <f>IF(AND(Table13[[#This Row],[Direction]]="R",(G2469+Table13[[#This Row],[Steps]])&gt;100),1,0)</f>
        <v>0</v>
      </c>
      <c r="J2470">
        <f>IF(Table13[[#This Row],[POS]]=0,1,0)</f>
        <v>0</v>
      </c>
      <c r="K2470">
        <f>SUM(Table13[[#This Row],[prefix]],Table13[[#This Row],[Past zero L]],Table13[[#This Row],[Past Zero R]],Table13[[#This Row],[Is Zero]])</f>
        <v>1</v>
      </c>
    </row>
    <row r="2471" spans="1:11" ht="16" x14ac:dyDescent="0.2">
      <c r="A2471" s="1" t="s">
        <v>138</v>
      </c>
      <c r="B2471" t="str">
        <f>LEFT(Table13[[#This Row],[Input]],1)</f>
        <v>L</v>
      </c>
      <c r="C2471">
        <f>_xlfn.LET(_xlpm.steps,SUBSTITUTE(Table13[[#This Row],[Input]],Table13[[#This Row],[Direction]],""),VALUE(IF(LEN(_xlpm.steps)&gt;2,RIGHT(_xlpm.steps,2),_xlpm.steps)))</f>
        <v>94</v>
      </c>
      <c r="D2471">
        <f>_xlfn.LET(_xlpm.steps,SUBSTITUTE(Table13[[#This Row],[Input]],Table13[[#This Row],[Direction]],""),VALUE(IF(LEN(_xlpm.steps)&gt;2,LEFT(_xlpm.steps,LEN(_xlpm.steps)-2),0)))</f>
        <v>0</v>
      </c>
      <c r="E2471">
        <f>_xlfn.LET(_xlpm.dir,Table13[[#This Row],[Direction]],
IF(_xlpm.dir="L",
    IF(G2470-Table13[[#This Row],[Steps]]&lt;0,100+(G2470-Table13[[#This Row],[Steps]]),G2470-Table13[[#This Row],[Steps]]),
))</f>
        <v>0</v>
      </c>
      <c r="F2471">
        <f>_xlfn.LET(_xlpm.dir,Table13[[#This Row],[Direction]],
IF(_xlpm.dir="R",
    IF(G2470+Table13[[#This Row],[Steps]]&gt;99,(G2470+Table13[[#This Row],[Steps]])-100,G2470+Table13[[#This Row],[Steps]]),
))</f>
        <v>0</v>
      </c>
      <c r="G2471">
        <f>IF(Table13[[#This Row],[New Pos L]]&lt;&gt;0,Table13[[#This Row],[New Pos L]],Table13[[#This Row],[New Pos R]])</f>
        <v>0</v>
      </c>
      <c r="H2471">
        <f>IF(AND(Table13[[#This Row],[Direction]]="L",Table13[[#This Row],[Steps]]&gt;G2470,G2470&lt;&gt;0),1,0)</f>
        <v>0</v>
      </c>
      <c r="I2471">
        <f>IF(AND(Table13[[#This Row],[Direction]]="R",(G2470+Table13[[#This Row],[Steps]])&gt;100),1,0)</f>
        <v>0</v>
      </c>
      <c r="J2471">
        <f>IF(Table13[[#This Row],[POS]]=0,1,0)</f>
        <v>1</v>
      </c>
      <c r="K2471">
        <f>SUM(Table13[[#This Row],[prefix]],Table13[[#This Row],[Past zero L]],Table13[[#This Row],[Past Zero R]],Table13[[#This Row],[Is Zero]])</f>
        <v>1</v>
      </c>
    </row>
    <row r="2472" spans="1:11" ht="16" x14ac:dyDescent="0.2">
      <c r="A2472" s="1" t="s">
        <v>73</v>
      </c>
      <c r="B2472" t="str">
        <f>LEFT(Table13[[#This Row],[Input]],1)</f>
        <v>R</v>
      </c>
      <c r="C2472">
        <f>_xlfn.LET(_xlpm.steps,SUBSTITUTE(Table13[[#This Row],[Input]],Table13[[#This Row],[Direction]],""),VALUE(IF(LEN(_xlpm.steps)&gt;2,RIGHT(_xlpm.steps,2),_xlpm.steps)))</f>
        <v>21</v>
      </c>
      <c r="D2472">
        <f>_xlfn.LET(_xlpm.steps,SUBSTITUTE(Table13[[#This Row],[Input]],Table13[[#This Row],[Direction]],""),VALUE(IF(LEN(_xlpm.steps)&gt;2,LEFT(_xlpm.steps,LEN(_xlpm.steps)-2),0)))</f>
        <v>0</v>
      </c>
      <c r="E2472">
        <f>_xlfn.LET(_xlpm.dir,Table13[[#This Row],[Direction]],
IF(_xlpm.dir="L",
    IF(G2471-Table13[[#This Row],[Steps]]&lt;0,100+(G2471-Table13[[#This Row],[Steps]]),G2471-Table13[[#This Row],[Steps]]),
))</f>
        <v>0</v>
      </c>
      <c r="F2472">
        <f>_xlfn.LET(_xlpm.dir,Table13[[#This Row],[Direction]],
IF(_xlpm.dir="R",
    IF(G2471+Table13[[#This Row],[Steps]]&gt;99,(G2471+Table13[[#This Row],[Steps]])-100,G2471+Table13[[#This Row],[Steps]]),
))</f>
        <v>21</v>
      </c>
      <c r="G2472">
        <f>IF(Table13[[#This Row],[New Pos L]]&lt;&gt;0,Table13[[#This Row],[New Pos L]],Table13[[#This Row],[New Pos R]])</f>
        <v>21</v>
      </c>
      <c r="H2472">
        <f>IF(AND(Table13[[#This Row],[Direction]]="L",Table13[[#This Row],[Steps]]&gt;G2471,G2471&lt;&gt;0),1,0)</f>
        <v>0</v>
      </c>
      <c r="I2472">
        <f>IF(AND(Table13[[#This Row],[Direction]]="R",(G2471+Table13[[#This Row],[Steps]])&gt;100),1,0)</f>
        <v>0</v>
      </c>
      <c r="J2472">
        <f>IF(Table13[[#This Row],[POS]]=0,1,0)</f>
        <v>0</v>
      </c>
      <c r="K2472">
        <f>SUM(Table13[[#This Row],[prefix]],Table13[[#This Row],[Past zero L]],Table13[[#This Row],[Past Zero R]],Table13[[#This Row],[Is Zero]])</f>
        <v>0</v>
      </c>
    </row>
    <row r="2473" spans="1:11" ht="16" x14ac:dyDescent="0.2">
      <c r="A2473" s="1" t="s">
        <v>286</v>
      </c>
      <c r="B2473" t="str">
        <f>LEFT(Table13[[#This Row],[Input]],1)</f>
        <v>L</v>
      </c>
      <c r="C2473">
        <f>_xlfn.LET(_xlpm.steps,SUBSTITUTE(Table13[[#This Row],[Input]],Table13[[#This Row],[Direction]],""),VALUE(IF(LEN(_xlpm.steps)&gt;2,RIGHT(_xlpm.steps,2),_xlpm.steps)))</f>
        <v>53</v>
      </c>
      <c r="D2473">
        <f>_xlfn.LET(_xlpm.steps,SUBSTITUTE(Table13[[#This Row],[Input]],Table13[[#This Row],[Direction]],""),VALUE(IF(LEN(_xlpm.steps)&gt;2,LEFT(_xlpm.steps,LEN(_xlpm.steps)-2),0)))</f>
        <v>5</v>
      </c>
      <c r="E2473">
        <f>_xlfn.LET(_xlpm.dir,Table13[[#This Row],[Direction]],
IF(_xlpm.dir="L",
    IF(G2472-Table13[[#This Row],[Steps]]&lt;0,100+(G2472-Table13[[#This Row],[Steps]]),G2472-Table13[[#This Row],[Steps]]),
))</f>
        <v>68</v>
      </c>
      <c r="F2473">
        <f>_xlfn.LET(_xlpm.dir,Table13[[#This Row],[Direction]],
IF(_xlpm.dir="R",
    IF(G2472+Table13[[#This Row],[Steps]]&gt;99,(G2472+Table13[[#This Row],[Steps]])-100,G2472+Table13[[#This Row],[Steps]]),
))</f>
        <v>0</v>
      </c>
      <c r="G2473">
        <f>IF(Table13[[#This Row],[New Pos L]]&lt;&gt;0,Table13[[#This Row],[New Pos L]],Table13[[#This Row],[New Pos R]])</f>
        <v>68</v>
      </c>
      <c r="H2473">
        <f>IF(AND(Table13[[#This Row],[Direction]]="L",Table13[[#This Row],[Steps]]&gt;G2472,G2472&lt;&gt;0),1,0)</f>
        <v>1</v>
      </c>
      <c r="I2473">
        <f>IF(AND(Table13[[#This Row],[Direction]]="R",(G2472+Table13[[#This Row],[Steps]])&gt;100),1,0)</f>
        <v>0</v>
      </c>
      <c r="J2473">
        <f>IF(Table13[[#This Row],[POS]]=0,1,0)</f>
        <v>0</v>
      </c>
      <c r="K2473">
        <f>SUM(Table13[[#This Row],[prefix]],Table13[[#This Row],[Past zero L]],Table13[[#This Row],[Past Zero R]],Table13[[#This Row],[Is Zero]])</f>
        <v>6</v>
      </c>
    </row>
    <row r="2474" spans="1:11" ht="16" x14ac:dyDescent="0.2">
      <c r="A2474" s="1" t="s">
        <v>6</v>
      </c>
      <c r="B2474" t="str">
        <f>LEFT(Table13[[#This Row],[Input]],1)</f>
        <v>R</v>
      </c>
      <c r="C2474">
        <f>_xlfn.LET(_xlpm.steps,SUBSTITUTE(Table13[[#This Row],[Input]],Table13[[#This Row],[Direction]],""),VALUE(IF(LEN(_xlpm.steps)&gt;2,RIGHT(_xlpm.steps,2),_xlpm.steps)))</f>
        <v>49</v>
      </c>
      <c r="D2474">
        <f>_xlfn.LET(_xlpm.steps,SUBSTITUTE(Table13[[#This Row],[Input]],Table13[[#This Row],[Direction]],""),VALUE(IF(LEN(_xlpm.steps)&gt;2,LEFT(_xlpm.steps,LEN(_xlpm.steps)-2),0)))</f>
        <v>0</v>
      </c>
      <c r="E2474">
        <f>_xlfn.LET(_xlpm.dir,Table13[[#This Row],[Direction]],
IF(_xlpm.dir="L",
    IF(G2473-Table13[[#This Row],[Steps]]&lt;0,100+(G2473-Table13[[#This Row],[Steps]]),G2473-Table13[[#This Row],[Steps]]),
))</f>
        <v>0</v>
      </c>
      <c r="F2474">
        <f>_xlfn.LET(_xlpm.dir,Table13[[#This Row],[Direction]],
IF(_xlpm.dir="R",
    IF(G2473+Table13[[#This Row],[Steps]]&gt;99,(G2473+Table13[[#This Row],[Steps]])-100,G2473+Table13[[#This Row],[Steps]]),
))</f>
        <v>17</v>
      </c>
      <c r="G2474">
        <f>IF(Table13[[#This Row],[New Pos L]]&lt;&gt;0,Table13[[#This Row],[New Pos L]],Table13[[#This Row],[New Pos R]])</f>
        <v>17</v>
      </c>
      <c r="H2474">
        <f>IF(AND(Table13[[#This Row],[Direction]]="L",Table13[[#This Row],[Steps]]&gt;G2473,G2473&lt;&gt;0),1,0)</f>
        <v>0</v>
      </c>
      <c r="I2474">
        <f>IF(AND(Table13[[#This Row],[Direction]]="R",(G2473+Table13[[#This Row],[Steps]])&gt;100),1,0)</f>
        <v>1</v>
      </c>
      <c r="J2474">
        <f>IF(Table13[[#This Row],[POS]]=0,1,0)</f>
        <v>0</v>
      </c>
      <c r="K2474">
        <f>SUM(Table13[[#This Row],[prefix]],Table13[[#This Row],[Past zero L]],Table13[[#This Row],[Past Zero R]],Table13[[#This Row],[Is Zero]])</f>
        <v>1</v>
      </c>
    </row>
    <row r="2475" spans="1:11" ht="16" x14ac:dyDescent="0.2">
      <c r="A2475" s="1" t="s">
        <v>131</v>
      </c>
      <c r="B2475" t="str">
        <f>LEFT(Table13[[#This Row],[Input]],1)</f>
        <v>R</v>
      </c>
      <c r="C2475">
        <f>_xlfn.LET(_xlpm.steps,SUBSTITUTE(Table13[[#This Row],[Input]],Table13[[#This Row],[Direction]],""),VALUE(IF(LEN(_xlpm.steps)&gt;2,RIGHT(_xlpm.steps,2),_xlpm.steps)))</f>
        <v>99</v>
      </c>
      <c r="D2475">
        <f>_xlfn.LET(_xlpm.steps,SUBSTITUTE(Table13[[#This Row],[Input]],Table13[[#This Row],[Direction]],""),VALUE(IF(LEN(_xlpm.steps)&gt;2,LEFT(_xlpm.steps,LEN(_xlpm.steps)-2),0)))</f>
        <v>0</v>
      </c>
      <c r="E2475">
        <f>_xlfn.LET(_xlpm.dir,Table13[[#This Row],[Direction]],
IF(_xlpm.dir="L",
    IF(G2474-Table13[[#This Row],[Steps]]&lt;0,100+(G2474-Table13[[#This Row],[Steps]]),G2474-Table13[[#This Row],[Steps]]),
))</f>
        <v>0</v>
      </c>
      <c r="F2475">
        <f>_xlfn.LET(_xlpm.dir,Table13[[#This Row],[Direction]],
IF(_xlpm.dir="R",
    IF(G2474+Table13[[#This Row],[Steps]]&gt;99,(G2474+Table13[[#This Row],[Steps]])-100,G2474+Table13[[#This Row],[Steps]]),
))</f>
        <v>16</v>
      </c>
      <c r="G2475">
        <f>IF(Table13[[#This Row],[New Pos L]]&lt;&gt;0,Table13[[#This Row],[New Pos L]],Table13[[#This Row],[New Pos R]])</f>
        <v>16</v>
      </c>
      <c r="H2475">
        <f>IF(AND(Table13[[#This Row],[Direction]]="L",Table13[[#This Row],[Steps]]&gt;G2474,G2474&lt;&gt;0),1,0)</f>
        <v>0</v>
      </c>
      <c r="I2475">
        <f>IF(AND(Table13[[#This Row],[Direction]]="R",(G2474+Table13[[#This Row],[Steps]])&gt;100),1,0)</f>
        <v>1</v>
      </c>
      <c r="J2475">
        <f>IF(Table13[[#This Row],[POS]]=0,1,0)</f>
        <v>0</v>
      </c>
      <c r="K2475">
        <f>SUM(Table13[[#This Row],[prefix]],Table13[[#This Row],[Past zero L]],Table13[[#This Row],[Past Zero R]],Table13[[#This Row],[Is Zero]])</f>
        <v>1</v>
      </c>
    </row>
    <row r="2476" spans="1:11" ht="16" x14ac:dyDescent="0.2">
      <c r="A2476" s="1" t="s">
        <v>151</v>
      </c>
      <c r="B2476" t="str">
        <f>LEFT(Table13[[#This Row],[Input]],1)</f>
        <v>L</v>
      </c>
      <c r="C2476">
        <f>_xlfn.LET(_xlpm.steps,SUBSTITUTE(Table13[[#This Row],[Input]],Table13[[#This Row],[Direction]],""),VALUE(IF(LEN(_xlpm.steps)&gt;2,RIGHT(_xlpm.steps,2),_xlpm.steps)))</f>
        <v>74</v>
      </c>
      <c r="D2476">
        <f>_xlfn.LET(_xlpm.steps,SUBSTITUTE(Table13[[#This Row],[Input]],Table13[[#This Row],[Direction]],""),VALUE(IF(LEN(_xlpm.steps)&gt;2,LEFT(_xlpm.steps,LEN(_xlpm.steps)-2),0)))</f>
        <v>0</v>
      </c>
      <c r="E2476">
        <f>_xlfn.LET(_xlpm.dir,Table13[[#This Row],[Direction]],
IF(_xlpm.dir="L",
    IF(G2475-Table13[[#This Row],[Steps]]&lt;0,100+(G2475-Table13[[#This Row],[Steps]]),G2475-Table13[[#This Row],[Steps]]),
))</f>
        <v>42</v>
      </c>
      <c r="F2476">
        <f>_xlfn.LET(_xlpm.dir,Table13[[#This Row],[Direction]],
IF(_xlpm.dir="R",
    IF(G2475+Table13[[#This Row],[Steps]]&gt;99,(G2475+Table13[[#This Row],[Steps]])-100,G2475+Table13[[#This Row],[Steps]]),
))</f>
        <v>0</v>
      </c>
      <c r="G2476">
        <f>IF(Table13[[#This Row],[New Pos L]]&lt;&gt;0,Table13[[#This Row],[New Pos L]],Table13[[#This Row],[New Pos R]])</f>
        <v>42</v>
      </c>
      <c r="H2476">
        <f>IF(AND(Table13[[#This Row],[Direction]]="L",Table13[[#This Row],[Steps]]&gt;G2475,G2475&lt;&gt;0),1,0)</f>
        <v>1</v>
      </c>
      <c r="I2476">
        <f>IF(AND(Table13[[#This Row],[Direction]]="R",(G2475+Table13[[#This Row],[Steps]])&gt;100),1,0)</f>
        <v>0</v>
      </c>
      <c r="J2476">
        <f>IF(Table13[[#This Row],[POS]]=0,1,0)</f>
        <v>0</v>
      </c>
      <c r="K2476">
        <f>SUM(Table13[[#This Row],[prefix]],Table13[[#This Row],[Past zero L]],Table13[[#This Row],[Past Zero R]],Table13[[#This Row],[Is Zero]])</f>
        <v>1</v>
      </c>
    </row>
    <row r="2477" spans="1:11" ht="16" x14ac:dyDescent="0.2">
      <c r="A2477" s="1" t="s">
        <v>363</v>
      </c>
      <c r="B2477" t="str">
        <f>LEFT(Table13[[#This Row],[Input]],1)</f>
        <v>R</v>
      </c>
      <c r="C2477">
        <f>_xlfn.LET(_xlpm.steps,SUBSTITUTE(Table13[[#This Row],[Input]],Table13[[#This Row],[Direction]],""),VALUE(IF(LEN(_xlpm.steps)&gt;2,RIGHT(_xlpm.steps,2),_xlpm.steps)))</f>
        <v>63</v>
      </c>
      <c r="D2477">
        <f>_xlfn.LET(_xlpm.steps,SUBSTITUTE(Table13[[#This Row],[Input]],Table13[[#This Row],[Direction]],""),VALUE(IF(LEN(_xlpm.steps)&gt;2,LEFT(_xlpm.steps,LEN(_xlpm.steps)-2),0)))</f>
        <v>0</v>
      </c>
      <c r="E2477">
        <f>_xlfn.LET(_xlpm.dir,Table13[[#This Row],[Direction]],
IF(_xlpm.dir="L",
    IF(G2476-Table13[[#This Row],[Steps]]&lt;0,100+(G2476-Table13[[#This Row],[Steps]]),G2476-Table13[[#This Row],[Steps]]),
))</f>
        <v>0</v>
      </c>
      <c r="F2477">
        <f>_xlfn.LET(_xlpm.dir,Table13[[#This Row],[Direction]],
IF(_xlpm.dir="R",
    IF(G2476+Table13[[#This Row],[Steps]]&gt;99,(G2476+Table13[[#This Row],[Steps]])-100,G2476+Table13[[#This Row],[Steps]]),
))</f>
        <v>5</v>
      </c>
      <c r="G2477">
        <f>IF(Table13[[#This Row],[New Pos L]]&lt;&gt;0,Table13[[#This Row],[New Pos L]],Table13[[#This Row],[New Pos R]])</f>
        <v>5</v>
      </c>
      <c r="H2477">
        <f>IF(AND(Table13[[#This Row],[Direction]]="L",Table13[[#This Row],[Steps]]&gt;G2476,G2476&lt;&gt;0),1,0)</f>
        <v>0</v>
      </c>
      <c r="I2477">
        <f>IF(AND(Table13[[#This Row],[Direction]]="R",(G2476+Table13[[#This Row],[Steps]])&gt;100),1,0)</f>
        <v>1</v>
      </c>
      <c r="J2477">
        <f>IF(Table13[[#This Row],[POS]]=0,1,0)</f>
        <v>0</v>
      </c>
      <c r="K2477">
        <f>SUM(Table13[[#This Row],[prefix]],Table13[[#This Row],[Past zero L]],Table13[[#This Row],[Past Zero R]],Table13[[#This Row],[Is Zero]])</f>
        <v>1</v>
      </c>
    </row>
    <row r="2478" spans="1:11" ht="16" x14ac:dyDescent="0.2">
      <c r="A2478" s="1" t="s">
        <v>319</v>
      </c>
      <c r="B2478" t="str">
        <f>LEFT(Table13[[#This Row],[Input]],1)</f>
        <v>L</v>
      </c>
      <c r="C2478">
        <f>_xlfn.LET(_xlpm.steps,SUBSTITUTE(Table13[[#This Row],[Input]],Table13[[#This Row],[Direction]],""),VALUE(IF(LEN(_xlpm.steps)&gt;2,RIGHT(_xlpm.steps,2),_xlpm.steps)))</f>
        <v>79</v>
      </c>
      <c r="D2478">
        <f>_xlfn.LET(_xlpm.steps,SUBSTITUTE(Table13[[#This Row],[Input]],Table13[[#This Row],[Direction]],""),VALUE(IF(LEN(_xlpm.steps)&gt;2,LEFT(_xlpm.steps,LEN(_xlpm.steps)-2),0)))</f>
        <v>0</v>
      </c>
      <c r="E2478">
        <f>_xlfn.LET(_xlpm.dir,Table13[[#This Row],[Direction]],
IF(_xlpm.dir="L",
    IF(G2477-Table13[[#This Row],[Steps]]&lt;0,100+(G2477-Table13[[#This Row],[Steps]]),G2477-Table13[[#This Row],[Steps]]),
))</f>
        <v>26</v>
      </c>
      <c r="F2478">
        <f>_xlfn.LET(_xlpm.dir,Table13[[#This Row],[Direction]],
IF(_xlpm.dir="R",
    IF(G2477+Table13[[#This Row],[Steps]]&gt;99,(G2477+Table13[[#This Row],[Steps]])-100,G2477+Table13[[#This Row],[Steps]]),
))</f>
        <v>0</v>
      </c>
      <c r="G2478">
        <f>IF(Table13[[#This Row],[New Pos L]]&lt;&gt;0,Table13[[#This Row],[New Pos L]],Table13[[#This Row],[New Pos R]])</f>
        <v>26</v>
      </c>
      <c r="H2478">
        <f>IF(AND(Table13[[#This Row],[Direction]]="L",Table13[[#This Row],[Steps]]&gt;G2477,G2477&lt;&gt;0),1,0)</f>
        <v>1</v>
      </c>
      <c r="I2478">
        <f>IF(AND(Table13[[#This Row],[Direction]]="R",(G2477+Table13[[#This Row],[Steps]])&gt;100),1,0)</f>
        <v>0</v>
      </c>
      <c r="J2478">
        <f>IF(Table13[[#This Row],[POS]]=0,1,0)</f>
        <v>0</v>
      </c>
      <c r="K2478">
        <f>SUM(Table13[[#This Row],[prefix]],Table13[[#This Row],[Past zero L]],Table13[[#This Row],[Past Zero R]],Table13[[#This Row],[Is Zero]])</f>
        <v>1</v>
      </c>
    </row>
    <row r="2479" spans="1:11" ht="16" x14ac:dyDescent="0.2">
      <c r="A2479" s="1" t="s">
        <v>610</v>
      </c>
      <c r="B2479" t="str">
        <f>LEFT(Table13[[#This Row],[Input]],1)</f>
        <v>L</v>
      </c>
      <c r="C2479">
        <f>_xlfn.LET(_xlpm.steps,SUBSTITUTE(Table13[[#This Row],[Input]],Table13[[#This Row],[Direction]],""),VALUE(IF(LEN(_xlpm.steps)&gt;2,RIGHT(_xlpm.steps,2),_xlpm.steps)))</f>
        <v>14</v>
      </c>
      <c r="D2479">
        <f>_xlfn.LET(_xlpm.steps,SUBSTITUTE(Table13[[#This Row],[Input]],Table13[[#This Row],[Direction]],""),VALUE(IF(LEN(_xlpm.steps)&gt;2,LEFT(_xlpm.steps,LEN(_xlpm.steps)-2),0)))</f>
        <v>7</v>
      </c>
      <c r="E2479">
        <f>_xlfn.LET(_xlpm.dir,Table13[[#This Row],[Direction]],
IF(_xlpm.dir="L",
    IF(G2478-Table13[[#This Row],[Steps]]&lt;0,100+(G2478-Table13[[#This Row],[Steps]]),G2478-Table13[[#This Row],[Steps]]),
))</f>
        <v>12</v>
      </c>
      <c r="F2479">
        <f>_xlfn.LET(_xlpm.dir,Table13[[#This Row],[Direction]],
IF(_xlpm.dir="R",
    IF(G2478+Table13[[#This Row],[Steps]]&gt;99,(G2478+Table13[[#This Row],[Steps]])-100,G2478+Table13[[#This Row],[Steps]]),
))</f>
        <v>0</v>
      </c>
      <c r="G2479">
        <f>IF(Table13[[#This Row],[New Pos L]]&lt;&gt;0,Table13[[#This Row],[New Pos L]],Table13[[#This Row],[New Pos R]])</f>
        <v>12</v>
      </c>
      <c r="H2479">
        <f>IF(AND(Table13[[#This Row],[Direction]]="L",Table13[[#This Row],[Steps]]&gt;G2478,G2478&lt;&gt;0),1,0)</f>
        <v>0</v>
      </c>
      <c r="I2479">
        <f>IF(AND(Table13[[#This Row],[Direction]]="R",(G2478+Table13[[#This Row],[Steps]])&gt;100),1,0)</f>
        <v>0</v>
      </c>
      <c r="J2479">
        <f>IF(Table13[[#This Row],[POS]]=0,1,0)</f>
        <v>0</v>
      </c>
      <c r="K2479">
        <f>SUM(Table13[[#This Row],[prefix]],Table13[[#This Row],[Past zero L]],Table13[[#This Row],[Past Zero R]],Table13[[#This Row],[Is Zero]])</f>
        <v>7</v>
      </c>
    </row>
    <row r="2480" spans="1:11" ht="16" x14ac:dyDescent="0.2">
      <c r="A2480" s="1" t="s">
        <v>73</v>
      </c>
      <c r="B2480" t="str">
        <f>LEFT(Table13[[#This Row],[Input]],1)</f>
        <v>R</v>
      </c>
      <c r="C2480">
        <f>_xlfn.LET(_xlpm.steps,SUBSTITUTE(Table13[[#This Row],[Input]],Table13[[#This Row],[Direction]],""),VALUE(IF(LEN(_xlpm.steps)&gt;2,RIGHT(_xlpm.steps,2),_xlpm.steps)))</f>
        <v>21</v>
      </c>
      <c r="D2480">
        <f>_xlfn.LET(_xlpm.steps,SUBSTITUTE(Table13[[#This Row],[Input]],Table13[[#This Row],[Direction]],""),VALUE(IF(LEN(_xlpm.steps)&gt;2,LEFT(_xlpm.steps,LEN(_xlpm.steps)-2),0)))</f>
        <v>0</v>
      </c>
      <c r="E2480">
        <f>_xlfn.LET(_xlpm.dir,Table13[[#This Row],[Direction]],
IF(_xlpm.dir="L",
    IF(G2479-Table13[[#This Row],[Steps]]&lt;0,100+(G2479-Table13[[#This Row],[Steps]]),G2479-Table13[[#This Row],[Steps]]),
))</f>
        <v>0</v>
      </c>
      <c r="F2480">
        <f>_xlfn.LET(_xlpm.dir,Table13[[#This Row],[Direction]],
IF(_xlpm.dir="R",
    IF(G2479+Table13[[#This Row],[Steps]]&gt;99,(G2479+Table13[[#This Row],[Steps]])-100,G2479+Table13[[#This Row],[Steps]]),
))</f>
        <v>33</v>
      </c>
      <c r="G2480">
        <f>IF(Table13[[#This Row],[New Pos L]]&lt;&gt;0,Table13[[#This Row],[New Pos L]],Table13[[#This Row],[New Pos R]])</f>
        <v>33</v>
      </c>
      <c r="H2480">
        <f>IF(AND(Table13[[#This Row],[Direction]]="L",Table13[[#This Row],[Steps]]&gt;G2479,G2479&lt;&gt;0),1,0)</f>
        <v>0</v>
      </c>
      <c r="I2480">
        <f>IF(AND(Table13[[#This Row],[Direction]]="R",(G2479+Table13[[#This Row],[Steps]])&gt;100),1,0)</f>
        <v>0</v>
      </c>
      <c r="J2480">
        <f>IF(Table13[[#This Row],[POS]]=0,1,0)</f>
        <v>0</v>
      </c>
      <c r="K2480">
        <f>SUM(Table13[[#This Row],[prefix]],Table13[[#This Row],[Past zero L]],Table13[[#This Row],[Past Zero R]],Table13[[#This Row],[Is Zero]])</f>
        <v>0</v>
      </c>
    </row>
    <row r="2481" spans="1:11" ht="16" x14ac:dyDescent="0.2">
      <c r="A2481" s="1" t="s">
        <v>293</v>
      </c>
      <c r="B2481" t="str">
        <f>LEFT(Table13[[#This Row],[Input]],1)</f>
        <v>R</v>
      </c>
      <c r="C2481">
        <f>_xlfn.LET(_xlpm.steps,SUBSTITUTE(Table13[[#This Row],[Input]],Table13[[#This Row],[Direction]],""),VALUE(IF(LEN(_xlpm.steps)&gt;2,RIGHT(_xlpm.steps,2),_xlpm.steps)))</f>
        <v>67</v>
      </c>
      <c r="D2481">
        <f>_xlfn.LET(_xlpm.steps,SUBSTITUTE(Table13[[#This Row],[Input]],Table13[[#This Row],[Direction]],""),VALUE(IF(LEN(_xlpm.steps)&gt;2,LEFT(_xlpm.steps,LEN(_xlpm.steps)-2),0)))</f>
        <v>0</v>
      </c>
      <c r="E2481">
        <f>_xlfn.LET(_xlpm.dir,Table13[[#This Row],[Direction]],
IF(_xlpm.dir="L",
    IF(G2480-Table13[[#This Row],[Steps]]&lt;0,100+(G2480-Table13[[#This Row],[Steps]]),G2480-Table13[[#This Row],[Steps]]),
))</f>
        <v>0</v>
      </c>
      <c r="F2481">
        <f>_xlfn.LET(_xlpm.dir,Table13[[#This Row],[Direction]],
IF(_xlpm.dir="R",
    IF(G2480+Table13[[#This Row],[Steps]]&gt;99,(G2480+Table13[[#This Row],[Steps]])-100,G2480+Table13[[#This Row],[Steps]]),
))</f>
        <v>0</v>
      </c>
      <c r="G2481">
        <f>IF(Table13[[#This Row],[New Pos L]]&lt;&gt;0,Table13[[#This Row],[New Pos L]],Table13[[#This Row],[New Pos R]])</f>
        <v>0</v>
      </c>
      <c r="H2481">
        <f>IF(AND(Table13[[#This Row],[Direction]]="L",Table13[[#This Row],[Steps]]&gt;G2480,G2480&lt;&gt;0),1,0)</f>
        <v>0</v>
      </c>
      <c r="I2481">
        <f>IF(AND(Table13[[#This Row],[Direction]]="R",(G2480+Table13[[#This Row],[Steps]])&gt;100),1,0)</f>
        <v>0</v>
      </c>
      <c r="J2481">
        <f>IF(Table13[[#This Row],[POS]]=0,1,0)</f>
        <v>1</v>
      </c>
      <c r="K2481">
        <f>SUM(Table13[[#This Row],[prefix]],Table13[[#This Row],[Past zero L]],Table13[[#This Row],[Past Zero R]],Table13[[#This Row],[Is Zero]])</f>
        <v>1</v>
      </c>
    </row>
    <row r="2482" spans="1:11" ht="16" x14ac:dyDescent="0.2">
      <c r="A2482" s="1" t="s">
        <v>74</v>
      </c>
      <c r="B2482" t="str">
        <f>LEFT(Table13[[#This Row],[Input]],1)</f>
        <v>R</v>
      </c>
      <c r="C2482">
        <f>_xlfn.LET(_xlpm.steps,SUBSTITUTE(Table13[[#This Row],[Input]],Table13[[#This Row],[Direction]],""),VALUE(IF(LEN(_xlpm.steps)&gt;2,RIGHT(_xlpm.steps,2),_xlpm.steps)))</f>
        <v>93</v>
      </c>
      <c r="D2482">
        <f>_xlfn.LET(_xlpm.steps,SUBSTITUTE(Table13[[#This Row],[Input]],Table13[[#This Row],[Direction]],""),VALUE(IF(LEN(_xlpm.steps)&gt;2,LEFT(_xlpm.steps,LEN(_xlpm.steps)-2),0)))</f>
        <v>0</v>
      </c>
      <c r="E2482">
        <f>_xlfn.LET(_xlpm.dir,Table13[[#This Row],[Direction]],
IF(_xlpm.dir="L",
    IF(G2481-Table13[[#This Row],[Steps]]&lt;0,100+(G2481-Table13[[#This Row],[Steps]]),G2481-Table13[[#This Row],[Steps]]),
))</f>
        <v>0</v>
      </c>
      <c r="F2482">
        <f>_xlfn.LET(_xlpm.dir,Table13[[#This Row],[Direction]],
IF(_xlpm.dir="R",
    IF(G2481+Table13[[#This Row],[Steps]]&gt;99,(G2481+Table13[[#This Row],[Steps]])-100,G2481+Table13[[#This Row],[Steps]]),
))</f>
        <v>93</v>
      </c>
      <c r="G2482">
        <f>IF(Table13[[#This Row],[New Pos L]]&lt;&gt;0,Table13[[#This Row],[New Pos L]],Table13[[#This Row],[New Pos R]])</f>
        <v>93</v>
      </c>
      <c r="H2482">
        <f>IF(AND(Table13[[#This Row],[Direction]]="L",Table13[[#This Row],[Steps]]&gt;G2481,G2481&lt;&gt;0),1,0)</f>
        <v>0</v>
      </c>
      <c r="I2482">
        <f>IF(AND(Table13[[#This Row],[Direction]]="R",(G2481+Table13[[#This Row],[Steps]])&gt;100),1,0)</f>
        <v>0</v>
      </c>
      <c r="J2482">
        <f>IF(Table13[[#This Row],[POS]]=0,1,0)</f>
        <v>0</v>
      </c>
      <c r="K2482">
        <f>SUM(Table13[[#This Row],[prefix]],Table13[[#This Row],[Past zero L]],Table13[[#This Row],[Past Zero R]],Table13[[#This Row],[Is Zero]])</f>
        <v>0</v>
      </c>
    </row>
    <row r="2483" spans="1:11" ht="16" x14ac:dyDescent="0.2">
      <c r="A2483" s="1" t="s">
        <v>226</v>
      </c>
      <c r="B2483" t="str">
        <f>LEFT(Table13[[#This Row],[Input]],1)</f>
        <v>L</v>
      </c>
      <c r="C2483">
        <f>_xlfn.LET(_xlpm.steps,SUBSTITUTE(Table13[[#This Row],[Input]],Table13[[#This Row],[Direction]],""),VALUE(IF(LEN(_xlpm.steps)&gt;2,RIGHT(_xlpm.steps,2),_xlpm.steps)))</f>
        <v>31</v>
      </c>
      <c r="D2483">
        <f>_xlfn.LET(_xlpm.steps,SUBSTITUTE(Table13[[#This Row],[Input]],Table13[[#This Row],[Direction]],""),VALUE(IF(LEN(_xlpm.steps)&gt;2,LEFT(_xlpm.steps,LEN(_xlpm.steps)-2),0)))</f>
        <v>0</v>
      </c>
      <c r="E2483">
        <f>_xlfn.LET(_xlpm.dir,Table13[[#This Row],[Direction]],
IF(_xlpm.dir="L",
    IF(G2482-Table13[[#This Row],[Steps]]&lt;0,100+(G2482-Table13[[#This Row],[Steps]]),G2482-Table13[[#This Row],[Steps]]),
))</f>
        <v>62</v>
      </c>
      <c r="F2483">
        <f>_xlfn.LET(_xlpm.dir,Table13[[#This Row],[Direction]],
IF(_xlpm.dir="R",
    IF(G2482+Table13[[#This Row],[Steps]]&gt;99,(G2482+Table13[[#This Row],[Steps]])-100,G2482+Table13[[#This Row],[Steps]]),
))</f>
        <v>0</v>
      </c>
      <c r="G2483">
        <f>IF(Table13[[#This Row],[New Pos L]]&lt;&gt;0,Table13[[#This Row],[New Pos L]],Table13[[#This Row],[New Pos R]])</f>
        <v>62</v>
      </c>
      <c r="H2483">
        <f>IF(AND(Table13[[#This Row],[Direction]]="L",Table13[[#This Row],[Steps]]&gt;G2482,G2482&lt;&gt;0),1,0)</f>
        <v>0</v>
      </c>
      <c r="I2483">
        <f>IF(AND(Table13[[#This Row],[Direction]]="R",(G2482+Table13[[#This Row],[Steps]])&gt;100),1,0)</f>
        <v>0</v>
      </c>
      <c r="J2483">
        <f>IF(Table13[[#This Row],[POS]]=0,1,0)</f>
        <v>0</v>
      </c>
      <c r="K2483">
        <f>SUM(Table13[[#This Row],[prefix]],Table13[[#This Row],[Past zero L]],Table13[[#This Row],[Past Zero R]],Table13[[#This Row],[Is Zero]])</f>
        <v>0</v>
      </c>
    </row>
    <row r="2484" spans="1:11" ht="16" x14ac:dyDescent="0.2">
      <c r="A2484" s="1" t="s">
        <v>514</v>
      </c>
      <c r="B2484" t="str">
        <f>LEFT(Table13[[#This Row],[Input]],1)</f>
        <v>R</v>
      </c>
      <c r="C2484">
        <f>_xlfn.LET(_xlpm.steps,SUBSTITUTE(Table13[[#This Row],[Input]],Table13[[#This Row],[Direction]],""),VALUE(IF(LEN(_xlpm.steps)&gt;2,RIGHT(_xlpm.steps,2),_xlpm.steps)))</f>
        <v>38</v>
      </c>
      <c r="D2484">
        <f>_xlfn.LET(_xlpm.steps,SUBSTITUTE(Table13[[#This Row],[Input]],Table13[[#This Row],[Direction]],""),VALUE(IF(LEN(_xlpm.steps)&gt;2,LEFT(_xlpm.steps,LEN(_xlpm.steps)-2),0)))</f>
        <v>9</v>
      </c>
      <c r="E2484">
        <f>_xlfn.LET(_xlpm.dir,Table13[[#This Row],[Direction]],
IF(_xlpm.dir="L",
    IF(G2483-Table13[[#This Row],[Steps]]&lt;0,100+(G2483-Table13[[#This Row],[Steps]]),G2483-Table13[[#This Row],[Steps]]),
))</f>
        <v>0</v>
      </c>
      <c r="F2484">
        <f>_xlfn.LET(_xlpm.dir,Table13[[#This Row],[Direction]],
IF(_xlpm.dir="R",
    IF(G2483+Table13[[#This Row],[Steps]]&gt;99,(G2483+Table13[[#This Row],[Steps]])-100,G2483+Table13[[#This Row],[Steps]]),
))</f>
        <v>0</v>
      </c>
      <c r="G2484">
        <f>IF(Table13[[#This Row],[New Pos L]]&lt;&gt;0,Table13[[#This Row],[New Pos L]],Table13[[#This Row],[New Pos R]])</f>
        <v>0</v>
      </c>
      <c r="H2484">
        <f>IF(AND(Table13[[#This Row],[Direction]]="L",Table13[[#This Row],[Steps]]&gt;G2483,G2483&lt;&gt;0),1,0)</f>
        <v>0</v>
      </c>
      <c r="I2484">
        <f>IF(AND(Table13[[#This Row],[Direction]]="R",(G2483+Table13[[#This Row],[Steps]])&gt;100),1,0)</f>
        <v>0</v>
      </c>
      <c r="J2484">
        <f>IF(Table13[[#This Row],[POS]]=0,1,0)</f>
        <v>1</v>
      </c>
      <c r="K2484">
        <f>SUM(Table13[[#This Row],[prefix]],Table13[[#This Row],[Past zero L]],Table13[[#This Row],[Past Zero R]],Table13[[#This Row],[Is Zero]])</f>
        <v>10</v>
      </c>
    </row>
    <row r="2485" spans="1:11" ht="16" x14ac:dyDescent="0.2">
      <c r="A2485" s="1" t="s">
        <v>157</v>
      </c>
      <c r="B2485" t="str">
        <f>LEFT(Table13[[#This Row],[Input]],1)</f>
        <v>R</v>
      </c>
      <c r="C2485">
        <f>_xlfn.LET(_xlpm.steps,SUBSTITUTE(Table13[[#This Row],[Input]],Table13[[#This Row],[Direction]],""),VALUE(IF(LEN(_xlpm.steps)&gt;2,RIGHT(_xlpm.steps,2),_xlpm.steps)))</f>
        <v>68</v>
      </c>
      <c r="D2485">
        <f>_xlfn.LET(_xlpm.steps,SUBSTITUTE(Table13[[#This Row],[Input]],Table13[[#This Row],[Direction]],""),VALUE(IF(LEN(_xlpm.steps)&gt;2,LEFT(_xlpm.steps,LEN(_xlpm.steps)-2),0)))</f>
        <v>0</v>
      </c>
      <c r="E2485">
        <f>_xlfn.LET(_xlpm.dir,Table13[[#This Row],[Direction]],
IF(_xlpm.dir="L",
    IF(G2484-Table13[[#This Row],[Steps]]&lt;0,100+(G2484-Table13[[#This Row],[Steps]]),G2484-Table13[[#This Row],[Steps]]),
))</f>
        <v>0</v>
      </c>
      <c r="F2485">
        <f>_xlfn.LET(_xlpm.dir,Table13[[#This Row],[Direction]],
IF(_xlpm.dir="R",
    IF(G2484+Table13[[#This Row],[Steps]]&gt;99,(G2484+Table13[[#This Row],[Steps]])-100,G2484+Table13[[#This Row],[Steps]]),
))</f>
        <v>68</v>
      </c>
      <c r="G2485">
        <f>IF(Table13[[#This Row],[New Pos L]]&lt;&gt;0,Table13[[#This Row],[New Pos L]],Table13[[#This Row],[New Pos R]])</f>
        <v>68</v>
      </c>
      <c r="H2485">
        <f>IF(AND(Table13[[#This Row],[Direction]]="L",Table13[[#This Row],[Steps]]&gt;G2484,G2484&lt;&gt;0),1,0)</f>
        <v>0</v>
      </c>
      <c r="I2485">
        <f>IF(AND(Table13[[#This Row],[Direction]]="R",(G2484+Table13[[#This Row],[Steps]])&gt;100),1,0)</f>
        <v>0</v>
      </c>
      <c r="J2485">
        <f>IF(Table13[[#This Row],[POS]]=0,1,0)</f>
        <v>0</v>
      </c>
      <c r="K2485">
        <f>SUM(Table13[[#This Row],[prefix]],Table13[[#This Row],[Past zero L]],Table13[[#This Row],[Past Zero R]],Table13[[#This Row],[Is Zero]])</f>
        <v>0</v>
      </c>
    </row>
    <row r="2486" spans="1:11" ht="16" x14ac:dyDescent="0.2">
      <c r="A2486" s="1" t="s">
        <v>39</v>
      </c>
      <c r="B2486" t="str">
        <f>LEFT(Table13[[#This Row],[Input]],1)</f>
        <v>R</v>
      </c>
      <c r="C2486">
        <f>_xlfn.LET(_xlpm.steps,SUBSTITUTE(Table13[[#This Row],[Input]],Table13[[#This Row],[Direction]],""),VALUE(IF(LEN(_xlpm.steps)&gt;2,RIGHT(_xlpm.steps,2),_xlpm.steps)))</f>
        <v>32</v>
      </c>
      <c r="D2486">
        <f>_xlfn.LET(_xlpm.steps,SUBSTITUTE(Table13[[#This Row],[Input]],Table13[[#This Row],[Direction]],""),VALUE(IF(LEN(_xlpm.steps)&gt;2,LEFT(_xlpm.steps,LEN(_xlpm.steps)-2),0)))</f>
        <v>0</v>
      </c>
      <c r="E2486">
        <f>_xlfn.LET(_xlpm.dir,Table13[[#This Row],[Direction]],
IF(_xlpm.dir="L",
    IF(G2485-Table13[[#This Row],[Steps]]&lt;0,100+(G2485-Table13[[#This Row],[Steps]]),G2485-Table13[[#This Row],[Steps]]),
))</f>
        <v>0</v>
      </c>
      <c r="F2486">
        <f>_xlfn.LET(_xlpm.dir,Table13[[#This Row],[Direction]],
IF(_xlpm.dir="R",
    IF(G2485+Table13[[#This Row],[Steps]]&gt;99,(G2485+Table13[[#This Row],[Steps]])-100,G2485+Table13[[#This Row],[Steps]]),
))</f>
        <v>0</v>
      </c>
      <c r="G2486">
        <f>IF(Table13[[#This Row],[New Pos L]]&lt;&gt;0,Table13[[#This Row],[New Pos L]],Table13[[#This Row],[New Pos R]])</f>
        <v>0</v>
      </c>
      <c r="H2486">
        <f>IF(AND(Table13[[#This Row],[Direction]]="L",Table13[[#This Row],[Steps]]&gt;G2485,G2485&lt;&gt;0),1,0)</f>
        <v>0</v>
      </c>
      <c r="I2486">
        <f>IF(AND(Table13[[#This Row],[Direction]]="R",(G2485+Table13[[#This Row],[Steps]])&gt;100),1,0)</f>
        <v>0</v>
      </c>
      <c r="J2486">
        <f>IF(Table13[[#This Row],[POS]]=0,1,0)</f>
        <v>1</v>
      </c>
      <c r="K2486">
        <f>SUM(Table13[[#This Row],[prefix]],Table13[[#This Row],[Past zero L]],Table13[[#This Row],[Past Zero R]],Table13[[#This Row],[Is Zero]])</f>
        <v>1</v>
      </c>
    </row>
    <row r="2487" spans="1:11" ht="16" x14ac:dyDescent="0.2">
      <c r="A2487" s="1" t="s">
        <v>357</v>
      </c>
      <c r="B2487" t="str">
        <f>LEFT(Table13[[#This Row],[Input]],1)</f>
        <v>R</v>
      </c>
      <c r="C2487">
        <f>_xlfn.LET(_xlpm.steps,SUBSTITUTE(Table13[[#This Row],[Input]],Table13[[#This Row],[Direction]],""),VALUE(IF(LEN(_xlpm.steps)&gt;2,RIGHT(_xlpm.steps,2),_xlpm.steps)))</f>
        <v>72</v>
      </c>
      <c r="D2487">
        <f>_xlfn.LET(_xlpm.steps,SUBSTITUTE(Table13[[#This Row],[Input]],Table13[[#This Row],[Direction]],""),VALUE(IF(LEN(_xlpm.steps)&gt;2,LEFT(_xlpm.steps,LEN(_xlpm.steps)-2),0)))</f>
        <v>0</v>
      </c>
      <c r="E2487">
        <f>_xlfn.LET(_xlpm.dir,Table13[[#This Row],[Direction]],
IF(_xlpm.dir="L",
    IF(G2486-Table13[[#This Row],[Steps]]&lt;0,100+(G2486-Table13[[#This Row],[Steps]]),G2486-Table13[[#This Row],[Steps]]),
))</f>
        <v>0</v>
      </c>
      <c r="F2487">
        <f>_xlfn.LET(_xlpm.dir,Table13[[#This Row],[Direction]],
IF(_xlpm.dir="R",
    IF(G2486+Table13[[#This Row],[Steps]]&gt;99,(G2486+Table13[[#This Row],[Steps]])-100,G2486+Table13[[#This Row],[Steps]]),
))</f>
        <v>72</v>
      </c>
      <c r="G2487">
        <f>IF(Table13[[#This Row],[New Pos L]]&lt;&gt;0,Table13[[#This Row],[New Pos L]],Table13[[#This Row],[New Pos R]])</f>
        <v>72</v>
      </c>
      <c r="H2487">
        <f>IF(AND(Table13[[#This Row],[Direction]]="L",Table13[[#This Row],[Steps]]&gt;G2486,G2486&lt;&gt;0),1,0)</f>
        <v>0</v>
      </c>
      <c r="I2487">
        <f>IF(AND(Table13[[#This Row],[Direction]]="R",(G2486+Table13[[#This Row],[Steps]])&gt;100),1,0)</f>
        <v>0</v>
      </c>
      <c r="J2487">
        <f>IF(Table13[[#This Row],[POS]]=0,1,0)</f>
        <v>0</v>
      </c>
      <c r="K2487">
        <f>SUM(Table13[[#This Row],[prefix]],Table13[[#This Row],[Past zero L]],Table13[[#This Row],[Past Zero R]],Table13[[#This Row],[Is Zero]])</f>
        <v>0</v>
      </c>
    </row>
    <row r="2488" spans="1:11" ht="16" x14ac:dyDescent="0.2">
      <c r="A2488" s="1" t="s">
        <v>205</v>
      </c>
      <c r="B2488" t="str">
        <f>LEFT(Table13[[#This Row],[Input]],1)</f>
        <v>R</v>
      </c>
      <c r="C2488">
        <f>_xlfn.LET(_xlpm.steps,SUBSTITUTE(Table13[[#This Row],[Input]],Table13[[#This Row],[Direction]],""),VALUE(IF(LEN(_xlpm.steps)&gt;2,RIGHT(_xlpm.steps,2),_xlpm.steps)))</f>
        <v>83</v>
      </c>
      <c r="D2488">
        <f>_xlfn.LET(_xlpm.steps,SUBSTITUTE(Table13[[#This Row],[Input]],Table13[[#This Row],[Direction]],""),VALUE(IF(LEN(_xlpm.steps)&gt;2,LEFT(_xlpm.steps,LEN(_xlpm.steps)-2),0)))</f>
        <v>0</v>
      </c>
      <c r="E2488">
        <f>_xlfn.LET(_xlpm.dir,Table13[[#This Row],[Direction]],
IF(_xlpm.dir="L",
    IF(G2487-Table13[[#This Row],[Steps]]&lt;0,100+(G2487-Table13[[#This Row],[Steps]]),G2487-Table13[[#This Row],[Steps]]),
))</f>
        <v>0</v>
      </c>
      <c r="F2488">
        <f>_xlfn.LET(_xlpm.dir,Table13[[#This Row],[Direction]],
IF(_xlpm.dir="R",
    IF(G2487+Table13[[#This Row],[Steps]]&gt;99,(G2487+Table13[[#This Row],[Steps]])-100,G2487+Table13[[#This Row],[Steps]]),
))</f>
        <v>55</v>
      </c>
      <c r="G2488">
        <f>IF(Table13[[#This Row],[New Pos L]]&lt;&gt;0,Table13[[#This Row],[New Pos L]],Table13[[#This Row],[New Pos R]])</f>
        <v>55</v>
      </c>
      <c r="H2488">
        <f>IF(AND(Table13[[#This Row],[Direction]]="L",Table13[[#This Row],[Steps]]&gt;G2487,G2487&lt;&gt;0),1,0)</f>
        <v>0</v>
      </c>
      <c r="I2488">
        <f>IF(AND(Table13[[#This Row],[Direction]]="R",(G2487+Table13[[#This Row],[Steps]])&gt;100),1,0)</f>
        <v>1</v>
      </c>
      <c r="J2488">
        <f>IF(Table13[[#This Row],[POS]]=0,1,0)</f>
        <v>0</v>
      </c>
      <c r="K2488">
        <f>SUM(Table13[[#This Row],[prefix]],Table13[[#This Row],[Past zero L]],Table13[[#This Row],[Past Zero R]],Table13[[#This Row],[Is Zero]])</f>
        <v>1</v>
      </c>
    </row>
    <row r="2489" spans="1:11" ht="16" x14ac:dyDescent="0.2">
      <c r="A2489" s="1" t="s">
        <v>122</v>
      </c>
      <c r="B2489" t="str">
        <f>LEFT(Table13[[#This Row],[Input]],1)</f>
        <v>R</v>
      </c>
      <c r="C2489">
        <f>_xlfn.LET(_xlpm.steps,SUBSTITUTE(Table13[[#This Row],[Input]],Table13[[#This Row],[Direction]],""),VALUE(IF(LEN(_xlpm.steps)&gt;2,RIGHT(_xlpm.steps,2),_xlpm.steps)))</f>
        <v>75</v>
      </c>
      <c r="D2489">
        <f>_xlfn.LET(_xlpm.steps,SUBSTITUTE(Table13[[#This Row],[Input]],Table13[[#This Row],[Direction]],""),VALUE(IF(LEN(_xlpm.steps)&gt;2,LEFT(_xlpm.steps,LEN(_xlpm.steps)-2),0)))</f>
        <v>0</v>
      </c>
      <c r="E2489">
        <f>_xlfn.LET(_xlpm.dir,Table13[[#This Row],[Direction]],
IF(_xlpm.dir="L",
    IF(G2488-Table13[[#This Row],[Steps]]&lt;0,100+(G2488-Table13[[#This Row],[Steps]]),G2488-Table13[[#This Row],[Steps]]),
))</f>
        <v>0</v>
      </c>
      <c r="F2489">
        <f>_xlfn.LET(_xlpm.dir,Table13[[#This Row],[Direction]],
IF(_xlpm.dir="R",
    IF(G2488+Table13[[#This Row],[Steps]]&gt;99,(G2488+Table13[[#This Row],[Steps]])-100,G2488+Table13[[#This Row],[Steps]]),
))</f>
        <v>30</v>
      </c>
      <c r="G2489">
        <f>IF(Table13[[#This Row],[New Pos L]]&lt;&gt;0,Table13[[#This Row],[New Pos L]],Table13[[#This Row],[New Pos R]])</f>
        <v>30</v>
      </c>
      <c r="H2489">
        <f>IF(AND(Table13[[#This Row],[Direction]]="L",Table13[[#This Row],[Steps]]&gt;G2488,G2488&lt;&gt;0),1,0)</f>
        <v>0</v>
      </c>
      <c r="I2489">
        <f>IF(AND(Table13[[#This Row],[Direction]]="R",(G2488+Table13[[#This Row],[Steps]])&gt;100),1,0)</f>
        <v>1</v>
      </c>
      <c r="J2489">
        <f>IF(Table13[[#This Row],[POS]]=0,1,0)</f>
        <v>0</v>
      </c>
      <c r="K2489">
        <f>SUM(Table13[[#This Row],[prefix]],Table13[[#This Row],[Past zero L]],Table13[[#This Row],[Past Zero R]],Table13[[#This Row],[Is Zero]])</f>
        <v>1</v>
      </c>
    </row>
    <row r="2490" spans="1:11" ht="16" x14ac:dyDescent="0.2">
      <c r="A2490" s="1" t="s">
        <v>611</v>
      </c>
      <c r="B2490" t="str">
        <f>LEFT(Table13[[#This Row],[Input]],1)</f>
        <v>R</v>
      </c>
      <c r="C2490">
        <f>_xlfn.LET(_xlpm.steps,SUBSTITUTE(Table13[[#This Row],[Input]],Table13[[#This Row],[Direction]],""),VALUE(IF(LEN(_xlpm.steps)&gt;2,RIGHT(_xlpm.steps,2),_xlpm.steps)))</f>
        <v>70</v>
      </c>
      <c r="D2490">
        <f>_xlfn.LET(_xlpm.steps,SUBSTITUTE(Table13[[#This Row],[Input]],Table13[[#This Row],[Direction]],""),VALUE(IF(LEN(_xlpm.steps)&gt;2,LEFT(_xlpm.steps,LEN(_xlpm.steps)-2),0)))</f>
        <v>1</v>
      </c>
      <c r="E2490">
        <f>_xlfn.LET(_xlpm.dir,Table13[[#This Row],[Direction]],
IF(_xlpm.dir="L",
    IF(G2489-Table13[[#This Row],[Steps]]&lt;0,100+(G2489-Table13[[#This Row],[Steps]]),G2489-Table13[[#This Row],[Steps]]),
))</f>
        <v>0</v>
      </c>
      <c r="F2490">
        <f>_xlfn.LET(_xlpm.dir,Table13[[#This Row],[Direction]],
IF(_xlpm.dir="R",
    IF(G2489+Table13[[#This Row],[Steps]]&gt;99,(G2489+Table13[[#This Row],[Steps]])-100,G2489+Table13[[#This Row],[Steps]]),
))</f>
        <v>0</v>
      </c>
      <c r="G2490">
        <f>IF(Table13[[#This Row],[New Pos L]]&lt;&gt;0,Table13[[#This Row],[New Pos L]],Table13[[#This Row],[New Pos R]])</f>
        <v>0</v>
      </c>
      <c r="H2490">
        <f>IF(AND(Table13[[#This Row],[Direction]]="L",Table13[[#This Row],[Steps]]&gt;G2489,G2489&lt;&gt;0),1,0)</f>
        <v>0</v>
      </c>
      <c r="I2490">
        <f>IF(AND(Table13[[#This Row],[Direction]]="R",(G2489+Table13[[#This Row],[Steps]])&gt;100),1,0)</f>
        <v>0</v>
      </c>
      <c r="J2490">
        <f>IF(Table13[[#This Row],[POS]]=0,1,0)</f>
        <v>1</v>
      </c>
      <c r="K2490">
        <f>SUM(Table13[[#This Row],[prefix]],Table13[[#This Row],[Past zero L]],Table13[[#This Row],[Past Zero R]],Table13[[#This Row],[Is Zero]])</f>
        <v>2</v>
      </c>
    </row>
    <row r="2491" spans="1:11" ht="16" x14ac:dyDescent="0.2">
      <c r="A2491" s="1" t="s">
        <v>73</v>
      </c>
      <c r="B2491" t="str">
        <f>LEFT(Table13[[#This Row],[Input]],1)</f>
        <v>R</v>
      </c>
      <c r="C2491">
        <f>_xlfn.LET(_xlpm.steps,SUBSTITUTE(Table13[[#This Row],[Input]],Table13[[#This Row],[Direction]],""),VALUE(IF(LEN(_xlpm.steps)&gt;2,RIGHT(_xlpm.steps,2),_xlpm.steps)))</f>
        <v>21</v>
      </c>
      <c r="D2491">
        <f>_xlfn.LET(_xlpm.steps,SUBSTITUTE(Table13[[#This Row],[Input]],Table13[[#This Row],[Direction]],""),VALUE(IF(LEN(_xlpm.steps)&gt;2,LEFT(_xlpm.steps,LEN(_xlpm.steps)-2),0)))</f>
        <v>0</v>
      </c>
      <c r="E2491">
        <f>_xlfn.LET(_xlpm.dir,Table13[[#This Row],[Direction]],
IF(_xlpm.dir="L",
    IF(G2490-Table13[[#This Row],[Steps]]&lt;0,100+(G2490-Table13[[#This Row],[Steps]]),G2490-Table13[[#This Row],[Steps]]),
))</f>
        <v>0</v>
      </c>
      <c r="F2491">
        <f>_xlfn.LET(_xlpm.dir,Table13[[#This Row],[Direction]],
IF(_xlpm.dir="R",
    IF(G2490+Table13[[#This Row],[Steps]]&gt;99,(G2490+Table13[[#This Row],[Steps]])-100,G2490+Table13[[#This Row],[Steps]]),
))</f>
        <v>21</v>
      </c>
      <c r="G2491">
        <f>IF(Table13[[#This Row],[New Pos L]]&lt;&gt;0,Table13[[#This Row],[New Pos L]],Table13[[#This Row],[New Pos R]])</f>
        <v>21</v>
      </c>
      <c r="H2491">
        <f>IF(AND(Table13[[#This Row],[Direction]]="L",Table13[[#This Row],[Steps]]&gt;G2490,G2490&lt;&gt;0),1,0)</f>
        <v>0</v>
      </c>
      <c r="I2491">
        <f>IF(AND(Table13[[#This Row],[Direction]]="R",(G2490+Table13[[#This Row],[Steps]])&gt;100),1,0)</f>
        <v>0</v>
      </c>
      <c r="J2491">
        <f>IF(Table13[[#This Row],[POS]]=0,1,0)</f>
        <v>0</v>
      </c>
      <c r="K2491">
        <f>SUM(Table13[[#This Row],[prefix]],Table13[[#This Row],[Past zero L]],Table13[[#This Row],[Past Zero R]],Table13[[#This Row],[Is Zero]])</f>
        <v>0</v>
      </c>
    </row>
    <row r="2492" spans="1:11" ht="16" x14ac:dyDescent="0.2">
      <c r="A2492" s="1" t="s">
        <v>1</v>
      </c>
      <c r="B2492" t="str">
        <f>LEFT(Table13[[#This Row],[Input]],1)</f>
        <v>R</v>
      </c>
      <c r="C2492">
        <f>_xlfn.LET(_xlpm.steps,SUBSTITUTE(Table13[[#This Row],[Input]],Table13[[#This Row],[Direction]],""),VALUE(IF(LEN(_xlpm.steps)&gt;2,RIGHT(_xlpm.steps,2),_xlpm.steps)))</f>
        <v>26</v>
      </c>
      <c r="D2492">
        <f>_xlfn.LET(_xlpm.steps,SUBSTITUTE(Table13[[#This Row],[Input]],Table13[[#This Row],[Direction]],""),VALUE(IF(LEN(_xlpm.steps)&gt;2,LEFT(_xlpm.steps,LEN(_xlpm.steps)-2),0)))</f>
        <v>0</v>
      </c>
      <c r="E2492">
        <f>_xlfn.LET(_xlpm.dir,Table13[[#This Row],[Direction]],
IF(_xlpm.dir="L",
    IF(G2491-Table13[[#This Row],[Steps]]&lt;0,100+(G2491-Table13[[#This Row],[Steps]]),G2491-Table13[[#This Row],[Steps]]),
))</f>
        <v>0</v>
      </c>
      <c r="F2492">
        <f>_xlfn.LET(_xlpm.dir,Table13[[#This Row],[Direction]],
IF(_xlpm.dir="R",
    IF(G2491+Table13[[#This Row],[Steps]]&gt;99,(G2491+Table13[[#This Row],[Steps]])-100,G2491+Table13[[#This Row],[Steps]]),
))</f>
        <v>47</v>
      </c>
      <c r="G2492">
        <f>IF(Table13[[#This Row],[New Pos L]]&lt;&gt;0,Table13[[#This Row],[New Pos L]],Table13[[#This Row],[New Pos R]])</f>
        <v>47</v>
      </c>
      <c r="H2492">
        <f>IF(AND(Table13[[#This Row],[Direction]]="L",Table13[[#This Row],[Steps]]&gt;G2491,G2491&lt;&gt;0),1,0)</f>
        <v>0</v>
      </c>
      <c r="I2492">
        <f>IF(AND(Table13[[#This Row],[Direction]]="R",(G2491+Table13[[#This Row],[Steps]])&gt;100),1,0)</f>
        <v>0</v>
      </c>
      <c r="J2492">
        <f>IF(Table13[[#This Row],[POS]]=0,1,0)</f>
        <v>0</v>
      </c>
      <c r="K2492">
        <f>SUM(Table13[[#This Row],[prefix]],Table13[[#This Row],[Past zero L]],Table13[[#This Row],[Past Zero R]],Table13[[#This Row],[Is Zero]])</f>
        <v>0</v>
      </c>
    </row>
    <row r="2493" spans="1:11" ht="16" x14ac:dyDescent="0.2">
      <c r="A2493" s="1" t="s">
        <v>119</v>
      </c>
      <c r="B2493" t="str">
        <f>LEFT(Table13[[#This Row],[Input]],1)</f>
        <v>L</v>
      </c>
      <c r="C2493">
        <f>_xlfn.LET(_xlpm.steps,SUBSTITUTE(Table13[[#This Row],[Input]],Table13[[#This Row],[Direction]],""),VALUE(IF(LEN(_xlpm.steps)&gt;2,RIGHT(_xlpm.steps,2),_xlpm.steps)))</f>
        <v>77</v>
      </c>
      <c r="D2493">
        <f>_xlfn.LET(_xlpm.steps,SUBSTITUTE(Table13[[#This Row],[Input]],Table13[[#This Row],[Direction]],""),VALUE(IF(LEN(_xlpm.steps)&gt;2,LEFT(_xlpm.steps,LEN(_xlpm.steps)-2),0)))</f>
        <v>0</v>
      </c>
      <c r="E2493">
        <f>_xlfn.LET(_xlpm.dir,Table13[[#This Row],[Direction]],
IF(_xlpm.dir="L",
    IF(G2492-Table13[[#This Row],[Steps]]&lt;0,100+(G2492-Table13[[#This Row],[Steps]]),G2492-Table13[[#This Row],[Steps]]),
))</f>
        <v>70</v>
      </c>
      <c r="F2493">
        <f>_xlfn.LET(_xlpm.dir,Table13[[#This Row],[Direction]],
IF(_xlpm.dir="R",
    IF(G2492+Table13[[#This Row],[Steps]]&gt;99,(G2492+Table13[[#This Row],[Steps]])-100,G2492+Table13[[#This Row],[Steps]]),
))</f>
        <v>0</v>
      </c>
      <c r="G2493">
        <f>IF(Table13[[#This Row],[New Pos L]]&lt;&gt;0,Table13[[#This Row],[New Pos L]],Table13[[#This Row],[New Pos R]])</f>
        <v>70</v>
      </c>
      <c r="H2493">
        <f>IF(AND(Table13[[#This Row],[Direction]]="L",Table13[[#This Row],[Steps]]&gt;G2492,G2492&lt;&gt;0),1,0)</f>
        <v>1</v>
      </c>
      <c r="I2493">
        <f>IF(AND(Table13[[#This Row],[Direction]]="R",(G2492+Table13[[#This Row],[Steps]])&gt;100),1,0)</f>
        <v>0</v>
      </c>
      <c r="J2493">
        <f>IF(Table13[[#This Row],[POS]]=0,1,0)</f>
        <v>0</v>
      </c>
      <c r="K2493">
        <f>SUM(Table13[[#This Row],[prefix]],Table13[[#This Row],[Past zero L]],Table13[[#This Row],[Past Zero R]],Table13[[#This Row],[Is Zero]])</f>
        <v>1</v>
      </c>
    </row>
    <row r="2494" spans="1:11" ht="16" x14ac:dyDescent="0.2">
      <c r="A2494" s="1" t="s">
        <v>252</v>
      </c>
      <c r="B2494" t="str">
        <f>LEFT(Table13[[#This Row],[Input]],1)</f>
        <v>L</v>
      </c>
      <c r="C2494">
        <f>_xlfn.LET(_xlpm.steps,SUBSTITUTE(Table13[[#This Row],[Input]],Table13[[#This Row],[Direction]],""),VALUE(IF(LEN(_xlpm.steps)&gt;2,RIGHT(_xlpm.steps,2),_xlpm.steps)))</f>
        <v>99</v>
      </c>
      <c r="D2494">
        <f>_xlfn.LET(_xlpm.steps,SUBSTITUTE(Table13[[#This Row],[Input]],Table13[[#This Row],[Direction]],""),VALUE(IF(LEN(_xlpm.steps)&gt;2,LEFT(_xlpm.steps,LEN(_xlpm.steps)-2),0)))</f>
        <v>0</v>
      </c>
      <c r="E2494">
        <f>_xlfn.LET(_xlpm.dir,Table13[[#This Row],[Direction]],
IF(_xlpm.dir="L",
    IF(G2493-Table13[[#This Row],[Steps]]&lt;0,100+(G2493-Table13[[#This Row],[Steps]]),G2493-Table13[[#This Row],[Steps]]),
))</f>
        <v>71</v>
      </c>
      <c r="F2494">
        <f>_xlfn.LET(_xlpm.dir,Table13[[#This Row],[Direction]],
IF(_xlpm.dir="R",
    IF(G2493+Table13[[#This Row],[Steps]]&gt;99,(G2493+Table13[[#This Row],[Steps]])-100,G2493+Table13[[#This Row],[Steps]]),
))</f>
        <v>0</v>
      </c>
      <c r="G2494">
        <f>IF(Table13[[#This Row],[New Pos L]]&lt;&gt;0,Table13[[#This Row],[New Pos L]],Table13[[#This Row],[New Pos R]])</f>
        <v>71</v>
      </c>
      <c r="H2494">
        <f>IF(AND(Table13[[#This Row],[Direction]]="L",Table13[[#This Row],[Steps]]&gt;G2493,G2493&lt;&gt;0),1,0)</f>
        <v>1</v>
      </c>
      <c r="I2494">
        <f>IF(AND(Table13[[#This Row],[Direction]]="R",(G2493+Table13[[#This Row],[Steps]])&gt;100),1,0)</f>
        <v>0</v>
      </c>
      <c r="J2494">
        <f>IF(Table13[[#This Row],[POS]]=0,1,0)</f>
        <v>0</v>
      </c>
      <c r="K2494">
        <f>SUM(Table13[[#This Row],[prefix]],Table13[[#This Row],[Past zero L]],Table13[[#This Row],[Past Zero R]],Table13[[#This Row],[Is Zero]])</f>
        <v>1</v>
      </c>
    </row>
    <row r="2495" spans="1:11" ht="16" x14ac:dyDescent="0.2">
      <c r="A2495" s="1" t="s">
        <v>57</v>
      </c>
      <c r="B2495" t="str">
        <f>LEFT(Table13[[#This Row],[Input]],1)</f>
        <v>R</v>
      </c>
      <c r="C2495">
        <f>_xlfn.LET(_xlpm.steps,SUBSTITUTE(Table13[[#This Row],[Input]],Table13[[#This Row],[Direction]],""),VALUE(IF(LEN(_xlpm.steps)&gt;2,RIGHT(_xlpm.steps,2),_xlpm.steps)))</f>
        <v>29</v>
      </c>
      <c r="D2495">
        <f>_xlfn.LET(_xlpm.steps,SUBSTITUTE(Table13[[#This Row],[Input]],Table13[[#This Row],[Direction]],""),VALUE(IF(LEN(_xlpm.steps)&gt;2,LEFT(_xlpm.steps,LEN(_xlpm.steps)-2),0)))</f>
        <v>0</v>
      </c>
      <c r="E2495">
        <f>_xlfn.LET(_xlpm.dir,Table13[[#This Row],[Direction]],
IF(_xlpm.dir="L",
    IF(G2494-Table13[[#This Row],[Steps]]&lt;0,100+(G2494-Table13[[#This Row],[Steps]]),G2494-Table13[[#This Row],[Steps]]),
))</f>
        <v>0</v>
      </c>
      <c r="F2495">
        <f>_xlfn.LET(_xlpm.dir,Table13[[#This Row],[Direction]],
IF(_xlpm.dir="R",
    IF(G2494+Table13[[#This Row],[Steps]]&gt;99,(G2494+Table13[[#This Row],[Steps]])-100,G2494+Table13[[#This Row],[Steps]]),
))</f>
        <v>0</v>
      </c>
      <c r="G2495">
        <f>IF(Table13[[#This Row],[New Pos L]]&lt;&gt;0,Table13[[#This Row],[New Pos L]],Table13[[#This Row],[New Pos R]])</f>
        <v>0</v>
      </c>
      <c r="H2495">
        <f>IF(AND(Table13[[#This Row],[Direction]]="L",Table13[[#This Row],[Steps]]&gt;G2494,G2494&lt;&gt;0),1,0)</f>
        <v>0</v>
      </c>
      <c r="I2495">
        <f>IF(AND(Table13[[#This Row],[Direction]]="R",(G2494+Table13[[#This Row],[Steps]])&gt;100),1,0)</f>
        <v>0</v>
      </c>
      <c r="J2495">
        <f>IF(Table13[[#This Row],[POS]]=0,1,0)</f>
        <v>1</v>
      </c>
      <c r="K2495">
        <f>SUM(Table13[[#This Row],[prefix]],Table13[[#This Row],[Past zero L]],Table13[[#This Row],[Past Zero R]],Table13[[#This Row],[Is Zero]])</f>
        <v>1</v>
      </c>
    </row>
    <row r="2496" spans="1:11" ht="16" x14ac:dyDescent="0.2">
      <c r="A2496" s="1" t="s">
        <v>24</v>
      </c>
      <c r="B2496" t="str">
        <f>LEFT(Table13[[#This Row],[Input]],1)</f>
        <v>L</v>
      </c>
      <c r="C2496">
        <f>_xlfn.LET(_xlpm.steps,SUBSTITUTE(Table13[[#This Row],[Input]],Table13[[#This Row],[Direction]],""),VALUE(IF(LEN(_xlpm.steps)&gt;2,RIGHT(_xlpm.steps,2),_xlpm.steps)))</f>
        <v>49</v>
      </c>
      <c r="D2496">
        <f>_xlfn.LET(_xlpm.steps,SUBSTITUTE(Table13[[#This Row],[Input]],Table13[[#This Row],[Direction]],""),VALUE(IF(LEN(_xlpm.steps)&gt;2,LEFT(_xlpm.steps,LEN(_xlpm.steps)-2),0)))</f>
        <v>0</v>
      </c>
      <c r="E2496">
        <f>_xlfn.LET(_xlpm.dir,Table13[[#This Row],[Direction]],
IF(_xlpm.dir="L",
    IF(G2495-Table13[[#This Row],[Steps]]&lt;0,100+(G2495-Table13[[#This Row],[Steps]]),G2495-Table13[[#This Row],[Steps]]),
))</f>
        <v>51</v>
      </c>
      <c r="F2496">
        <f>_xlfn.LET(_xlpm.dir,Table13[[#This Row],[Direction]],
IF(_xlpm.dir="R",
    IF(G2495+Table13[[#This Row],[Steps]]&gt;99,(G2495+Table13[[#This Row],[Steps]])-100,G2495+Table13[[#This Row],[Steps]]),
))</f>
        <v>0</v>
      </c>
      <c r="G2496">
        <f>IF(Table13[[#This Row],[New Pos L]]&lt;&gt;0,Table13[[#This Row],[New Pos L]],Table13[[#This Row],[New Pos R]])</f>
        <v>51</v>
      </c>
      <c r="H2496">
        <f>IF(AND(Table13[[#This Row],[Direction]]="L",Table13[[#This Row],[Steps]]&gt;G2495,G2495&lt;&gt;0),1,0)</f>
        <v>0</v>
      </c>
      <c r="I2496">
        <f>IF(AND(Table13[[#This Row],[Direction]]="R",(G2495+Table13[[#This Row],[Steps]])&gt;100),1,0)</f>
        <v>0</v>
      </c>
      <c r="J2496">
        <f>IF(Table13[[#This Row],[POS]]=0,1,0)</f>
        <v>0</v>
      </c>
      <c r="K2496">
        <f>SUM(Table13[[#This Row],[prefix]],Table13[[#This Row],[Past zero L]],Table13[[#This Row],[Past Zero R]],Table13[[#This Row],[Is Zero]])</f>
        <v>0</v>
      </c>
    </row>
    <row r="2497" spans="1:11" ht="16" x14ac:dyDescent="0.2">
      <c r="A2497" s="1" t="s">
        <v>490</v>
      </c>
      <c r="B2497" t="str">
        <f>LEFT(Table13[[#This Row],[Input]],1)</f>
        <v>R</v>
      </c>
      <c r="C2497">
        <f>_xlfn.LET(_xlpm.steps,SUBSTITUTE(Table13[[#This Row],[Input]],Table13[[#This Row],[Direction]],""),VALUE(IF(LEN(_xlpm.steps)&gt;2,RIGHT(_xlpm.steps,2),_xlpm.steps)))</f>
        <v>49</v>
      </c>
      <c r="D2497">
        <f>_xlfn.LET(_xlpm.steps,SUBSTITUTE(Table13[[#This Row],[Input]],Table13[[#This Row],[Direction]],""),VALUE(IF(LEN(_xlpm.steps)&gt;2,LEFT(_xlpm.steps,LEN(_xlpm.steps)-2),0)))</f>
        <v>7</v>
      </c>
      <c r="E2497">
        <f>_xlfn.LET(_xlpm.dir,Table13[[#This Row],[Direction]],
IF(_xlpm.dir="L",
    IF(G2496-Table13[[#This Row],[Steps]]&lt;0,100+(G2496-Table13[[#This Row],[Steps]]),G2496-Table13[[#This Row],[Steps]]),
))</f>
        <v>0</v>
      </c>
      <c r="F2497">
        <f>_xlfn.LET(_xlpm.dir,Table13[[#This Row],[Direction]],
IF(_xlpm.dir="R",
    IF(G2496+Table13[[#This Row],[Steps]]&gt;99,(G2496+Table13[[#This Row],[Steps]])-100,G2496+Table13[[#This Row],[Steps]]),
))</f>
        <v>0</v>
      </c>
      <c r="G2497">
        <f>IF(Table13[[#This Row],[New Pos L]]&lt;&gt;0,Table13[[#This Row],[New Pos L]],Table13[[#This Row],[New Pos R]])</f>
        <v>0</v>
      </c>
      <c r="H2497">
        <f>IF(AND(Table13[[#This Row],[Direction]]="L",Table13[[#This Row],[Steps]]&gt;G2496,G2496&lt;&gt;0),1,0)</f>
        <v>0</v>
      </c>
      <c r="I2497">
        <f>IF(AND(Table13[[#This Row],[Direction]]="R",(G2496+Table13[[#This Row],[Steps]])&gt;100),1,0)</f>
        <v>0</v>
      </c>
      <c r="J2497">
        <f>IF(Table13[[#This Row],[POS]]=0,1,0)</f>
        <v>1</v>
      </c>
      <c r="K2497">
        <f>SUM(Table13[[#This Row],[prefix]],Table13[[#This Row],[Past zero L]],Table13[[#This Row],[Past Zero R]],Table13[[#This Row],[Is Zero]])</f>
        <v>8</v>
      </c>
    </row>
    <row r="2498" spans="1:11" ht="16" x14ac:dyDescent="0.2">
      <c r="A2498" s="1" t="s">
        <v>209</v>
      </c>
      <c r="B2498" t="str">
        <f>LEFT(Table13[[#This Row],[Input]],1)</f>
        <v>L</v>
      </c>
      <c r="C2498">
        <f>_xlfn.LET(_xlpm.steps,SUBSTITUTE(Table13[[#This Row],[Input]],Table13[[#This Row],[Direction]],""),VALUE(IF(LEN(_xlpm.steps)&gt;2,RIGHT(_xlpm.steps,2),_xlpm.steps)))</f>
        <v>86</v>
      </c>
      <c r="D2498">
        <f>_xlfn.LET(_xlpm.steps,SUBSTITUTE(Table13[[#This Row],[Input]],Table13[[#This Row],[Direction]],""),VALUE(IF(LEN(_xlpm.steps)&gt;2,LEFT(_xlpm.steps,LEN(_xlpm.steps)-2),0)))</f>
        <v>0</v>
      </c>
      <c r="E2498">
        <f>_xlfn.LET(_xlpm.dir,Table13[[#This Row],[Direction]],
IF(_xlpm.dir="L",
    IF(G2497-Table13[[#This Row],[Steps]]&lt;0,100+(G2497-Table13[[#This Row],[Steps]]),G2497-Table13[[#This Row],[Steps]]),
))</f>
        <v>14</v>
      </c>
      <c r="F2498">
        <f>_xlfn.LET(_xlpm.dir,Table13[[#This Row],[Direction]],
IF(_xlpm.dir="R",
    IF(G2497+Table13[[#This Row],[Steps]]&gt;99,(G2497+Table13[[#This Row],[Steps]])-100,G2497+Table13[[#This Row],[Steps]]),
))</f>
        <v>0</v>
      </c>
      <c r="G2498">
        <f>IF(Table13[[#This Row],[New Pos L]]&lt;&gt;0,Table13[[#This Row],[New Pos L]],Table13[[#This Row],[New Pos R]])</f>
        <v>14</v>
      </c>
      <c r="H2498">
        <f>IF(AND(Table13[[#This Row],[Direction]]="L",Table13[[#This Row],[Steps]]&gt;G2497,G2497&lt;&gt;0),1,0)</f>
        <v>0</v>
      </c>
      <c r="I2498">
        <f>IF(AND(Table13[[#This Row],[Direction]]="R",(G2497+Table13[[#This Row],[Steps]])&gt;100),1,0)</f>
        <v>0</v>
      </c>
      <c r="J2498">
        <f>IF(Table13[[#This Row],[POS]]=0,1,0)</f>
        <v>0</v>
      </c>
      <c r="K2498">
        <f>SUM(Table13[[#This Row],[prefix]],Table13[[#This Row],[Past zero L]],Table13[[#This Row],[Past Zero R]],Table13[[#This Row],[Is Zero]])</f>
        <v>0</v>
      </c>
    </row>
    <row r="2499" spans="1:11" ht="16" x14ac:dyDescent="0.2">
      <c r="A2499" s="1" t="s">
        <v>27</v>
      </c>
      <c r="B2499" t="str">
        <f>LEFT(Table13[[#This Row],[Input]],1)</f>
        <v>L</v>
      </c>
      <c r="C2499">
        <f>_xlfn.LET(_xlpm.steps,SUBSTITUTE(Table13[[#This Row],[Input]],Table13[[#This Row],[Direction]],""),VALUE(IF(LEN(_xlpm.steps)&gt;2,RIGHT(_xlpm.steps,2),_xlpm.steps)))</f>
        <v>14</v>
      </c>
      <c r="D2499">
        <f>_xlfn.LET(_xlpm.steps,SUBSTITUTE(Table13[[#This Row],[Input]],Table13[[#This Row],[Direction]],""),VALUE(IF(LEN(_xlpm.steps)&gt;2,LEFT(_xlpm.steps,LEN(_xlpm.steps)-2),0)))</f>
        <v>0</v>
      </c>
      <c r="E2499">
        <f>_xlfn.LET(_xlpm.dir,Table13[[#This Row],[Direction]],
IF(_xlpm.dir="L",
    IF(G2498-Table13[[#This Row],[Steps]]&lt;0,100+(G2498-Table13[[#This Row],[Steps]]),G2498-Table13[[#This Row],[Steps]]),
))</f>
        <v>0</v>
      </c>
      <c r="F2499">
        <f>_xlfn.LET(_xlpm.dir,Table13[[#This Row],[Direction]],
IF(_xlpm.dir="R",
    IF(G2498+Table13[[#This Row],[Steps]]&gt;99,(G2498+Table13[[#This Row],[Steps]])-100,G2498+Table13[[#This Row],[Steps]]),
))</f>
        <v>0</v>
      </c>
      <c r="G2499">
        <f>IF(Table13[[#This Row],[New Pos L]]&lt;&gt;0,Table13[[#This Row],[New Pos L]],Table13[[#This Row],[New Pos R]])</f>
        <v>0</v>
      </c>
      <c r="H2499">
        <f>IF(AND(Table13[[#This Row],[Direction]]="L",Table13[[#This Row],[Steps]]&gt;G2498,G2498&lt;&gt;0),1,0)</f>
        <v>0</v>
      </c>
      <c r="I2499">
        <f>IF(AND(Table13[[#This Row],[Direction]]="R",(G2498+Table13[[#This Row],[Steps]])&gt;100),1,0)</f>
        <v>0</v>
      </c>
      <c r="J2499">
        <f>IF(Table13[[#This Row],[POS]]=0,1,0)</f>
        <v>1</v>
      </c>
      <c r="K2499">
        <f>SUM(Table13[[#This Row],[prefix]],Table13[[#This Row],[Past zero L]],Table13[[#This Row],[Past Zero R]],Table13[[#This Row],[Is Zero]])</f>
        <v>1</v>
      </c>
    </row>
    <row r="2500" spans="1:11" ht="16" x14ac:dyDescent="0.2">
      <c r="A2500" s="1" t="s">
        <v>64</v>
      </c>
      <c r="B2500" t="str">
        <f>LEFT(Table13[[#This Row],[Input]],1)</f>
        <v>R</v>
      </c>
      <c r="C2500">
        <f>_xlfn.LET(_xlpm.steps,SUBSTITUTE(Table13[[#This Row],[Input]],Table13[[#This Row],[Direction]],""),VALUE(IF(LEN(_xlpm.steps)&gt;2,RIGHT(_xlpm.steps,2),_xlpm.steps)))</f>
        <v>10</v>
      </c>
      <c r="D2500">
        <f>_xlfn.LET(_xlpm.steps,SUBSTITUTE(Table13[[#This Row],[Input]],Table13[[#This Row],[Direction]],""),VALUE(IF(LEN(_xlpm.steps)&gt;2,LEFT(_xlpm.steps,LEN(_xlpm.steps)-2),0)))</f>
        <v>0</v>
      </c>
      <c r="E2500">
        <f>_xlfn.LET(_xlpm.dir,Table13[[#This Row],[Direction]],
IF(_xlpm.dir="L",
    IF(G2499-Table13[[#This Row],[Steps]]&lt;0,100+(G2499-Table13[[#This Row],[Steps]]),G2499-Table13[[#This Row],[Steps]]),
))</f>
        <v>0</v>
      </c>
      <c r="F2500">
        <f>_xlfn.LET(_xlpm.dir,Table13[[#This Row],[Direction]],
IF(_xlpm.dir="R",
    IF(G2499+Table13[[#This Row],[Steps]]&gt;99,(G2499+Table13[[#This Row],[Steps]])-100,G2499+Table13[[#This Row],[Steps]]),
))</f>
        <v>10</v>
      </c>
      <c r="G2500">
        <f>IF(Table13[[#This Row],[New Pos L]]&lt;&gt;0,Table13[[#This Row],[New Pos L]],Table13[[#This Row],[New Pos R]])</f>
        <v>10</v>
      </c>
      <c r="H2500">
        <f>IF(AND(Table13[[#This Row],[Direction]]="L",Table13[[#This Row],[Steps]]&gt;G2499,G2499&lt;&gt;0),1,0)</f>
        <v>0</v>
      </c>
      <c r="I2500">
        <f>IF(AND(Table13[[#This Row],[Direction]]="R",(G2499+Table13[[#This Row],[Steps]])&gt;100),1,0)</f>
        <v>0</v>
      </c>
      <c r="J2500">
        <f>IF(Table13[[#This Row],[POS]]=0,1,0)</f>
        <v>0</v>
      </c>
      <c r="K2500">
        <f>SUM(Table13[[#This Row],[prefix]],Table13[[#This Row],[Past zero L]],Table13[[#This Row],[Past Zero R]],Table13[[#This Row],[Is Zero]])</f>
        <v>0</v>
      </c>
    </row>
    <row r="2501" spans="1:11" ht="16" x14ac:dyDescent="0.2">
      <c r="A2501" s="1" t="s">
        <v>40</v>
      </c>
      <c r="B2501" t="str">
        <f>LEFT(Table13[[#This Row],[Input]],1)</f>
        <v>R</v>
      </c>
      <c r="C2501">
        <f>_xlfn.LET(_xlpm.steps,SUBSTITUTE(Table13[[#This Row],[Input]],Table13[[#This Row],[Direction]],""),VALUE(IF(LEN(_xlpm.steps)&gt;2,RIGHT(_xlpm.steps,2),_xlpm.steps)))</f>
        <v>52</v>
      </c>
      <c r="D2501">
        <f>_xlfn.LET(_xlpm.steps,SUBSTITUTE(Table13[[#This Row],[Input]],Table13[[#This Row],[Direction]],""),VALUE(IF(LEN(_xlpm.steps)&gt;2,LEFT(_xlpm.steps,LEN(_xlpm.steps)-2),0)))</f>
        <v>0</v>
      </c>
      <c r="E2501">
        <f>_xlfn.LET(_xlpm.dir,Table13[[#This Row],[Direction]],
IF(_xlpm.dir="L",
    IF(G2500-Table13[[#This Row],[Steps]]&lt;0,100+(G2500-Table13[[#This Row],[Steps]]),G2500-Table13[[#This Row],[Steps]]),
))</f>
        <v>0</v>
      </c>
      <c r="F2501">
        <f>_xlfn.LET(_xlpm.dir,Table13[[#This Row],[Direction]],
IF(_xlpm.dir="R",
    IF(G2500+Table13[[#This Row],[Steps]]&gt;99,(G2500+Table13[[#This Row],[Steps]])-100,G2500+Table13[[#This Row],[Steps]]),
))</f>
        <v>62</v>
      </c>
      <c r="G2501">
        <f>IF(Table13[[#This Row],[New Pos L]]&lt;&gt;0,Table13[[#This Row],[New Pos L]],Table13[[#This Row],[New Pos R]])</f>
        <v>62</v>
      </c>
      <c r="H2501">
        <f>IF(AND(Table13[[#This Row],[Direction]]="L",Table13[[#This Row],[Steps]]&gt;G2500,G2500&lt;&gt;0),1,0)</f>
        <v>0</v>
      </c>
      <c r="I2501">
        <f>IF(AND(Table13[[#This Row],[Direction]]="R",(G2500+Table13[[#This Row],[Steps]])&gt;100),1,0)</f>
        <v>0</v>
      </c>
      <c r="J2501">
        <f>IF(Table13[[#This Row],[POS]]=0,1,0)</f>
        <v>0</v>
      </c>
      <c r="K2501">
        <f>SUM(Table13[[#This Row],[prefix]],Table13[[#This Row],[Past zero L]],Table13[[#This Row],[Past Zero R]],Table13[[#This Row],[Is Zero]])</f>
        <v>0</v>
      </c>
    </row>
    <row r="2502" spans="1:11" ht="16" x14ac:dyDescent="0.2">
      <c r="A2502" s="1" t="s">
        <v>56</v>
      </c>
      <c r="B2502" t="str">
        <f>LEFT(Table13[[#This Row],[Input]],1)</f>
        <v>R</v>
      </c>
      <c r="C2502">
        <f>_xlfn.LET(_xlpm.steps,SUBSTITUTE(Table13[[#This Row],[Input]],Table13[[#This Row],[Direction]],""),VALUE(IF(LEN(_xlpm.steps)&gt;2,RIGHT(_xlpm.steps,2),_xlpm.steps)))</f>
        <v>42</v>
      </c>
      <c r="D2502">
        <f>_xlfn.LET(_xlpm.steps,SUBSTITUTE(Table13[[#This Row],[Input]],Table13[[#This Row],[Direction]],""),VALUE(IF(LEN(_xlpm.steps)&gt;2,LEFT(_xlpm.steps,LEN(_xlpm.steps)-2),0)))</f>
        <v>0</v>
      </c>
      <c r="E2502">
        <f>_xlfn.LET(_xlpm.dir,Table13[[#This Row],[Direction]],
IF(_xlpm.dir="L",
    IF(G2501-Table13[[#This Row],[Steps]]&lt;0,100+(G2501-Table13[[#This Row],[Steps]]),G2501-Table13[[#This Row],[Steps]]),
))</f>
        <v>0</v>
      </c>
      <c r="F2502">
        <f>_xlfn.LET(_xlpm.dir,Table13[[#This Row],[Direction]],
IF(_xlpm.dir="R",
    IF(G2501+Table13[[#This Row],[Steps]]&gt;99,(G2501+Table13[[#This Row],[Steps]])-100,G2501+Table13[[#This Row],[Steps]]),
))</f>
        <v>4</v>
      </c>
      <c r="G2502">
        <f>IF(Table13[[#This Row],[New Pos L]]&lt;&gt;0,Table13[[#This Row],[New Pos L]],Table13[[#This Row],[New Pos R]])</f>
        <v>4</v>
      </c>
      <c r="H2502">
        <f>IF(AND(Table13[[#This Row],[Direction]]="L",Table13[[#This Row],[Steps]]&gt;G2501,G2501&lt;&gt;0),1,0)</f>
        <v>0</v>
      </c>
      <c r="I2502">
        <f>IF(AND(Table13[[#This Row],[Direction]]="R",(G2501+Table13[[#This Row],[Steps]])&gt;100),1,0)</f>
        <v>1</v>
      </c>
      <c r="J2502">
        <f>IF(Table13[[#This Row],[POS]]=0,1,0)</f>
        <v>0</v>
      </c>
      <c r="K2502">
        <f>SUM(Table13[[#This Row],[prefix]],Table13[[#This Row],[Past zero L]],Table13[[#This Row],[Past Zero R]],Table13[[#This Row],[Is Zero]])</f>
        <v>1</v>
      </c>
    </row>
    <row r="2503" spans="1:11" ht="16" x14ac:dyDescent="0.2">
      <c r="A2503" s="1" t="s">
        <v>0</v>
      </c>
      <c r="B2503" t="str">
        <f>LEFT(Table13[[#This Row],[Input]],1)</f>
        <v>L</v>
      </c>
      <c r="C2503">
        <f>_xlfn.LET(_xlpm.steps,SUBSTITUTE(Table13[[#This Row],[Input]],Table13[[#This Row],[Direction]],""),VALUE(IF(LEN(_xlpm.steps)&gt;2,RIGHT(_xlpm.steps,2),_xlpm.steps)))</f>
        <v>44</v>
      </c>
      <c r="D2503">
        <f>_xlfn.LET(_xlpm.steps,SUBSTITUTE(Table13[[#This Row],[Input]],Table13[[#This Row],[Direction]],""),VALUE(IF(LEN(_xlpm.steps)&gt;2,LEFT(_xlpm.steps,LEN(_xlpm.steps)-2),0)))</f>
        <v>0</v>
      </c>
      <c r="E2503">
        <f>_xlfn.LET(_xlpm.dir,Table13[[#This Row],[Direction]],
IF(_xlpm.dir="L",
    IF(G2502-Table13[[#This Row],[Steps]]&lt;0,100+(G2502-Table13[[#This Row],[Steps]]),G2502-Table13[[#This Row],[Steps]]),
))</f>
        <v>60</v>
      </c>
      <c r="F2503">
        <f>_xlfn.LET(_xlpm.dir,Table13[[#This Row],[Direction]],
IF(_xlpm.dir="R",
    IF(G2502+Table13[[#This Row],[Steps]]&gt;99,(G2502+Table13[[#This Row],[Steps]])-100,G2502+Table13[[#This Row],[Steps]]),
))</f>
        <v>0</v>
      </c>
      <c r="G2503">
        <f>IF(Table13[[#This Row],[New Pos L]]&lt;&gt;0,Table13[[#This Row],[New Pos L]],Table13[[#This Row],[New Pos R]])</f>
        <v>60</v>
      </c>
      <c r="H2503">
        <f>IF(AND(Table13[[#This Row],[Direction]]="L",Table13[[#This Row],[Steps]]&gt;G2502,G2502&lt;&gt;0),1,0)</f>
        <v>1</v>
      </c>
      <c r="I2503">
        <f>IF(AND(Table13[[#This Row],[Direction]]="R",(G2502+Table13[[#This Row],[Steps]])&gt;100),1,0)</f>
        <v>0</v>
      </c>
      <c r="J2503">
        <f>IF(Table13[[#This Row],[POS]]=0,1,0)</f>
        <v>0</v>
      </c>
      <c r="K2503">
        <f>SUM(Table13[[#This Row],[prefix]],Table13[[#This Row],[Past zero L]],Table13[[#This Row],[Past Zero R]],Table13[[#This Row],[Is Zero]])</f>
        <v>1</v>
      </c>
    </row>
    <row r="2504" spans="1:11" ht="16" x14ac:dyDescent="0.2">
      <c r="A2504" s="1" t="s">
        <v>612</v>
      </c>
      <c r="B2504" t="str">
        <f>LEFT(Table13[[#This Row],[Input]],1)</f>
        <v>L</v>
      </c>
      <c r="C2504">
        <f>_xlfn.LET(_xlpm.steps,SUBSTITUTE(Table13[[#This Row],[Input]],Table13[[#This Row],[Direction]],""),VALUE(IF(LEN(_xlpm.steps)&gt;2,RIGHT(_xlpm.steps,2),_xlpm.steps)))</f>
        <v>1</v>
      </c>
      <c r="D2504">
        <f>_xlfn.LET(_xlpm.steps,SUBSTITUTE(Table13[[#This Row],[Input]],Table13[[#This Row],[Direction]],""),VALUE(IF(LEN(_xlpm.steps)&gt;2,LEFT(_xlpm.steps,LEN(_xlpm.steps)-2),0)))</f>
        <v>4</v>
      </c>
      <c r="E2504">
        <f>_xlfn.LET(_xlpm.dir,Table13[[#This Row],[Direction]],
IF(_xlpm.dir="L",
    IF(G2503-Table13[[#This Row],[Steps]]&lt;0,100+(G2503-Table13[[#This Row],[Steps]]),G2503-Table13[[#This Row],[Steps]]),
))</f>
        <v>59</v>
      </c>
      <c r="F2504">
        <f>_xlfn.LET(_xlpm.dir,Table13[[#This Row],[Direction]],
IF(_xlpm.dir="R",
    IF(G2503+Table13[[#This Row],[Steps]]&gt;99,(G2503+Table13[[#This Row],[Steps]])-100,G2503+Table13[[#This Row],[Steps]]),
))</f>
        <v>0</v>
      </c>
      <c r="G2504">
        <f>IF(Table13[[#This Row],[New Pos L]]&lt;&gt;0,Table13[[#This Row],[New Pos L]],Table13[[#This Row],[New Pos R]])</f>
        <v>59</v>
      </c>
      <c r="H2504">
        <f>IF(AND(Table13[[#This Row],[Direction]]="L",Table13[[#This Row],[Steps]]&gt;G2503,G2503&lt;&gt;0),1,0)</f>
        <v>0</v>
      </c>
      <c r="I2504">
        <f>IF(AND(Table13[[#This Row],[Direction]]="R",(G2503+Table13[[#This Row],[Steps]])&gt;100),1,0)</f>
        <v>0</v>
      </c>
      <c r="J2504">
        <f>IF(Table13[[#This Row],[POS]]=0,1,0)</f>
        <v>0</v>
      </c>
      <c r="K2504">
        <f>SUM(Table13[[#This Row],[prefix]],Table13[[#This Row],[Past zero L]],Table13[[#This Row],[Past Zero R]],Table13[[#This Row],[Is Zero]])</f>
        <v>4</v>
      </c>
    </row>
    <row r="2505" spans="1:11" ht="16" x14ac:dyDescent="0.2">
      <c r="A2505" s="1" t="s">
        <v>53</v>
      </c>
      <c r="B2505" t="str">
        <f>LEFT(Table13[[#This Row],[Input]],1)</f>
        <v>L</v>
      </c>
      <c r="C2505">
        <f>_xlfn.LET(_xlpm.steps,SUBSTITUTE(Table13[[#This Row],[Input]],Table13[[#This Row],[Direction]],""),VALUE(IF(LEN(_xlpm.steps)&gt;2,RIGHT(_xlpm.steps,2),_xlpm.steps)))</f>
        <v>56</v>
      </c>
      <c r="D2505">
        <f>_xlfn.LET(_xlpm.steps,SUBSTITUTE(Table13[[#This Row],[Input]],Table13[[#This Row],[Direction]],""),VALUE(IF(LEN(_xlpm.steps)&gt;2,LEFT(_xlpm.steps,LEN(_xlpm.steps)-2),0)))</f>
        <v>0</v>
      </c>
      <c r="E2505">
        <f>_xlfn.LET(_xlpm.dir,Table13[[#This Row],[Direction]],
IF(_xlpm.dir="L",
    IF(G2504-Table13[[#This Row],[Steps]]&lt;0,100+(G2504-Table13[[#This Row],[Steps]]),G2504-Table13[[#This Row],[Steps]]),
))</f>
        <v>3</v>
      </c>
      <c r="F2505">
        <f>_xlfn.LET(_xlpm.dir,Table13[[#This Row],[Direction]],
IF(_xlpm.dir="R",
    IF(G2504+Table13[[#This Row],[Steps]]&gt;99,(G2504+Table13[[#This Row],[Steps]])-100,G2504+Table13[[#This Row],[Steps]]),
))</f>
        <v>0</v>
      </c>
      <c r="G2505">
        <f>IF(Table13[[#This Row],[New Pos L]]&lt;&gt;0,Table13[[#This Row],[New Pos L]],Table13[[#This Row],[New Pos R]])</f>
        <v>3</v>
      </c>
      <c r="H2505">
        <f>IF(AND(Table13[[#This Row],[Direction]]="L",Table13[[#This Row],[Steps]]&gt;G2504,G2504&lt;&gt;0),1,0)</f>
        <v>0</v>
      </c>
      <c r="I2505">
        <f>IF(AND(Table13[[#This Row],[Direction]]="R",(G2504+Table13[[#This Row],[Steps]])&gt;100),1,0)</f>
        <v>0</v>
      </c>
      <c r="J2505">
        <f>IF(Table13[[#This Row],[POS]]=0,1,0)</f>
        <v>0</v>
      </c>
      <c r="K2505">
        <f>SUM(Table13[[#This Row],[prefix]],Table13[[#This Row],[Past zero L]],Table13[[#This Row],[Past Zero R]],Table13[[#This Row],[Is Zero]])</f>
        <v>0</v>
      </c>
    </row>
    <row r="2506" spans="1:11" ht="16" x14ac:dyDescent="0.2">
      <c r="A2506" s="1" t="s">
        <v>613</v>
      </c>
      <c r="B2506" t="str">
        <f>LEFT(Table13[[#This Row],[Input]],1)</f>
        <v>R</v>
      </c>
      <c r="C2506">
        <f>_xlfn.LET(_xlpm.steps,SUBSTITUTE(Table13[[#This Row],[Input]],Table13[[#This Row],[Direction]],""),VALUE(IF(LEN(_xlpm.steps)&gt;2,RIGHT(_xlpm.steps,2),_xlpm.steps)))</f>
        <v>20</v>
      </c>
      <c r="D2506">
        <f>_xlfn.LET(_xlpm.steps,SUBSTITUTE(Table13[[#This Row],[Input]],Table13[[#This Row],[Direction]],""),VALUE(IF(LEN(_xlpm.steps)&gt;2,LEFT(_xlpm.steps,LEN(_xlpm.steps)-2),0)))</f>
        <v>4</v>
      </c>
      <c r="E2506">
        <f>_xlfn.LET(_xlpm.dir,Table13[[#This Row],[Direction]],
IF(_xlpm.dir="L",
    IF(G2505-Table13[[#This Row],[Steps]]&lt;0,100+(G2505-Table13[[#This Row],[Steps]]),G2505-Table13[[#This Row],[Steps]]),
))</f>
        <v>0</v>
      </c>
      <c r="F2506">
        <f>_xlfn.LET(_xlpm.dir,Table13[[#This Row],[Direction]],
IF(_xlpm.dir="R",
    IF(G2505+Table13[[#This Row],[Steps]]&gt;99,(G2505+Table13[[#This Row],[Steps]])-100,G2505+Table13[[#This Row],[Steps]]),
))</f>
        <v>23</v>
      </c>
      <c r="G2506">
        <f>IF(Table13[[#This Row],[New Pos L]]&lt;&gt;0,Table13[[#This Row],[New Pos L]],Table13[[#This Row],[New Pos R]])</f>
        <v>23</v>
      </c>
      <c r="H2506">
        <f>IF(AND(Table13[[#This Row],[Direction]]="L",Table13[[#This Row],[Steps]]&gt;G2505,G2505&lt;&gt;0),1,0)</f>
        <v>0</v>
      </c>
      <c r="I2506">
        <f>IF(AND(Table13[[#This Row],[Direction]]="R",(G2505+Table13[[#This Row],[Steps]])&gt;100),1,0)</f>
        <v>0</v>
      </c>
      <c r="J2506">
        <f>IF(Table13[[#This Row],[POS]]=0,1,0)</f>
        <v>0</v>
      </c>
      <c r="K2506">
        <f>SUM(Table13[[#This Row],[prefix]],Table13[[#This Row],[Past zero L]],Table13[[#This Row],[Past Zero R]],Table13[[#This Row],[Is Zero]])</f>
        <v>4</v>
      </c>
    </row>
    <row r="2507" spans="1:11" ht="16" x14ac:dyDescent="0.2">
      <c r="A2507" s="1" t="s">
        <v>206</v>
      </c>
      <c r="B2507" t="str">
        <f>LEFT(Table13[[#This Row],[Input]],1)</f>
        <v>R</v>
      </c>
      <c r="C2507">
        <f>_xlfn.LET(_xlpm.steps,SUBSTITUTE(Table13[[#This Row],[Input]],Table13[[#This Row],[Direction]],""),VALUE(IF(LEN(_xlpm.steps)&gt;2,RIGHT(_xlpm.steps,2),_xlpm.steps)))</f>
        <v>62</v>
      </c>
      <c r="D2507">
        <f>_xlfn.LET(_xlpm.steps,SUBSTITUTE(Table13[[#This Row],[Input]],Table13[[#This Row],[Direction]],""),VALUE(IF(LEN(_xlpm.steps)&gt;2,LEFT(_xlpm.steps,LEN(_xlpm.steps)-2),0)))</f>
        <v>0</v>
      </c>
      <c r="E2507">
        <f>_xlfn.LET(_xlpm.dir,Table13[[#This Row],[Direction]],
IF(_xlpm.dir="L",
    IF(G2506-Table13[[#This Row],[Steps]]&lt;0,100+(G2506-Table13[[#This Row],[Steps]]),G2506-Table13[[#This Row],[Steps]]),
))</f>
        <v>0</v>
      </c>
      <c r="F2507">
        <f>_xlfn.LET(_xlpm.dir,Table13[[#This Row],[Direction]],
IF(_xlpm.dir="R",
    IF(G2506+Table13[[#This Row],[Steps]]&gt;99,(G2506+Table13[[#This Row],[Steps]])-100,G2506+Table13[[#This Row],[Steps]]),
))</f>
        <v>85</v>
      </c>
      <c r="G2507">
        <f>IF(Table13[[#This Row],[New Pos L]]&lt;&gt;0,Table13[[#This Row],[New Pos L]],Table13[[#This Row],[New Pos R]])</f>
        <v>85</v>
      </c>
      <c r="H2507">
        <f>IF(AND(Table13[[#This Row],[Direction]]="L",Table13[[#This Row],[Steps]]&gt;G2506,G2506&lt;&gt;0),1,0)</f>
        <v>0</v>
      </c>
      <c r="I2507">
        <f>IF(AND(Table13[[#This Row],[Direction]]="R",(G2506+Table13[[#This Row],[Steps]])&gt;100),1,0)</f>
        <v>0</v>
      </c>
      <c r="J2507">
        <f>IF(Table13[[#This Row],[POS]]=0,1,0)</f>
        <v>0</v>
      </c>
      <c r="K2507">
        <f>SUM(Table13[[#This Row],[prefix]],Table13[[#This Row],[Past zero L]],Table13[[#This Row],[Past Zero R]],Table13[[#This Row],[Is Zero]])</f>
        <v>0</v>
      </c>
    </row>
    <row r="2508" spans="1:11" ht="16" x14ac:dyDescent="0.2">
      <c r="A2508" s="1" t="s">
        <v>38</v>
      </c>
      <c r="B2508" t="str">
        <f>LEFT(Table13[[#This Row],[Input]],1)</f>
        <v>R</v>
      </c>
      <c r="C2508">
        <f>_xlfn.LET(_xlpm.steps,SUBSTITUTE(Table13[[#This Row],[Input]],Table13[[#This Row],[Direction]],""),VALUE(IF(LEN(_xlpm.steps)&gt;2,RIGHT(_xlpm.steps,2),_xlpm.steps)))</f>
        <v>15</v>
      </c>
      <c r="D2508">
        <f>_xlfn.LET(_xlpm.steps,SUBSTITUTE(Table13[[#This Row],[Input]],Table13[[#This Row],[Direction]],""),VALUE(IF(LEN(_xlpm.steps)&gt;2,LEFT(_xlpm.steps,LEN(_xlpm.steps)-2),0)))</f>
        <v>0</v>
      </c>
      <c r="E2508">
        <f>_xlfn.LET(_xlpm.dir,Table13[[#This Row],[Direction]],
IF(_xlpm.dir="L",
    IF(G2507-Table13[[#This Row],[Steps]]&lt;0,100+(G2507-Table13[[#This Row],[Steps]]),G2507-Table13[[#This Row],[Steps]]),
))</f>
        <v>0</v>
      </c>
      <c r="F2508">
        <f>_xlfn.LET(_xlpm.dir,Table13[[#This Row],[Direction]],
IF(_xlpm.dir="R",
    IF(G2507+Table13[[#This Row],[Steps]]&gt;99,(G2507+Table13[[#This Row],[Steps]])-100,G2507+Table13[[#This Row],[Steps]]),
))</f>
        <v>0</v>
      </c>
      <c r="G2508">
        <f>IF(Table13[[#This Row],[New Pos L]]&lt;&gt;0,Table13[[#This Row],[New Pos L]],Table13[[#This Row],[New Pos R]])</f>
        <v>0</v>
      </c>
      <c r="H2508">
        <f>IF(AND(Table13[[#This Row],[Direction]]="L",Table13[[#This Row],[Steps]]&gt;G2507,G2507&lt;&gt;0),1,0)</f>
        <v>0</v>
      </c>
      <c r="I2508">
        <f>IF(AND(Table13[[#This Row],[Direction]]="R",(G2507+Table13[[#This Row],[Steps]])&gt;100),1,0)</f>
        <v>0</v>
      </c>
      <c r="J2508">
        <f>IF(Table13[[#This Row],[POS]]=0,1,0)</f>
        <v>1</v>
      </c>
      <c r="K2508">
        <f>SUM(Table13[[#This Row],[prefix]],Table13[[#This Row],[Past zero L]],Table13[[#This Row],[Past Zero R]],Table13[[#This Row],[Is Zero]])</f>
        <v>1</v>
      </c>
    </row>
    <row r="2509" spans="1:11" ht="16" x14ac:dyDescent="0.2">
      <c r="A2509" s="1" t="s">
        <v>614</v>
      </c>
      <c r="B2509" t="str">
        <f>LEFT(Table13[[#This Row],[Input]],1)</f>
        <v>R</v>
      </c>
      <c r="C2509">
        <f>_xlfn.LET(_xlpm.steps,SUBSTITUTE(Table13[[#This Row],[Input]],Table13[[#This Row],[Direction]],""),VALUE(IF(LEN(_xlpm.steps)&gt;2,RIGHT(_xlpm.steps,2),_xlpm.steps)))</f>
        <v>80</v>
      </c>
      <c r="D2509">
        <f>_xlfn.LET(_xlpm.steps,SUBSTITUTE(Table13[[#This Row],[Input]],Table13[[#This Row],[Direction]],""),VALUE(IF(LEN(_xlpm.steps)&gt;2,LEFT(_xlpm.steps,LEN(_xlpm.steps)-2),0)))</f>
        <v>4</v>
      </c>
      <c r="E2509">
        <f>_xlfn.LET(_xlpm.dir,Table13[[#This Row],[Direction]],
IF(_xlpm.dir="L",
    IF(G2508-Table13[[#This Row],[Steps]]&lt;0,100+(G2508-Table13[[#This Row],[Steps]]),G2508-Table13[[#This Row],[Steps]]),
))</f>
        <v>0</v>
      </c>
      <c r="F2509">
        <f>_xlfn.LET(_xlpm.dir,Table13[[#This Row],[Direction]],
IF(_xlpm.dir="R",
    IF(G2508+Table13[[#This Row],[Steps]]&gt;99,(G2508+Table13[[#This Row],[Steps]])-100,G2508+Table13[[#This Row],[Steps]]),
))</f>
        <v>80</v>
      </c>
      <c r="G2509">
        <f>IF(Table13[[#This Row],[New Pos L]]&lt;&gt;0,Table13[[#This Row],[New Pos L]],Table13[[#This Row],[New Pos R]])</f>
        <v>80</v>
      </c>
      <c r="H2509">
        <f>IF(AND(Table13[[#This Row],[Direction]]="L",Table13[[#This Row],[Steps]]&gt;G2508,G2508&lt;&gt;0),1,0)</f>
        <v>0</v>
      </c>
      <c r="I2509">
        <f>IF(AND(Table13[[#This Row],[Direction]]="R",(G2508+Table13[[#This Row],[Steps]])&gt;100),1,0)</f>
        <v>0</v>
      </c>
      <c r="J2509">
        <f>IF(Table13[[#This Row],[POS]]=0,1,0)</f>
        <v>0</v>
      </c>
      <c r="K2509">
        <f>SUM(Table13[[#This Row],[prefix]],Table13[[#This Row],[Past zero L]],Table13[[#This Row],[Past Zero R]],Table13[[#This Row],[Is Zero]])</f>
        <v>4</v>
      </c>
    </row>
    <row r="2510" spans="1:11" ht="16" x14ac:dyDescent="0.2">
      <c r="A2510" s="1" t="s">
        <v>145</v>
      </c>
      <c r="B2510" t="str">
        <f>LEFT(Table13[[#This Row],[Input]],1)</f>
        <v>L</v>
      </c>
      <c r="C2510">
        <f>_xlfn.LET(_xlpm.steps,SUBSTITUTE(Table13[[#This Row],[Input]],Table13[[#This Row],[Direction]],""),VALUE(IF(LEN(_xlpm.steps)&gt;2,RIGHT(_xlpm.steps,2),_xlpm.steps)))</f>
        <v>83</v>
      </c>
      <c r="D2510">
        <f>_xlfn.LET(_xlpm.steps,SUBSTITUTE(Table13[[#This Row],[Input]],Table13[[#This Row],[Direction]],""),VALUE(IF(LEN(_xlpm.steps)&gt;2,LEFT(_xlpm.steps,LEN(_xlpm.steps)-2),0)))</f>
        <v>0</v>
      </c>
      <c r="E2510">
        <f>_xlfn.LET(_xlpm.dir,Table13[[#This Row],[Direction]],
IF(_xlpm.dir="L",
    IF(G2509-Table13[[#This Row],[Steps]]&lt;0,100+(G2509-Table13[[#This Row],[Steps]]),G2509-Table13[[#This Row],[Steps]]),
))</f>
        <v>97</v>
      </c>
      <c r="F2510">
        <f>_xlfn.LET(_xlpm.dir,Table13[[#This Row],[Direction]],
IF(_xlpm.dir="R",
    IF(G2509+Table13[[#This Row],[Steps]]&gt;99,(G2509+Table13[[#This Row],[Steps]])-100,G2509+Table13[[#This Row],[Steps]]),
))</f>
        <v>0</v>
      </c>
      <c r="G2510">
        <f>IF(Table13[[#This Row],[New Pos L]]&lt;&gt;0,Table13[[#This Row],[New Pos L]],Table13[[#This Row],[New Pos R]])</f>
        <v>97</v>
      </c>
      <c r="H2510">
        <f>IF(AND(Table13[[#This Row],[Direction]]="L",Table13[[#This Row],[Steps]]&gt;G2509,G2509&lt;&gt;0),1,0)</f>
        <v>1</v>
      </c>
      <c r="I2510">
        <f>IF(AND(Table13[[#This Row],[Direction]]="R",(G2509+Table13[[#This Row],[Steps]])&gt;100),1,0)</f>
        <v>0</v>
      </c>
      <c r="J2510">
        <f>IF(Table13[[#This Row],[POS]]=0,1,0)</f>
        <v>0</v>
      </c>
      <c r="K2510">
        <f>SUM(Table13[[#This Row],[prefix]],Table13[[#This Row],[Past zero L]],Table13[[#This Row],[Past Zero R]],Table13[[#This Row],[Is Zero]])</f>
        <v>1</v>
      </c>
    </row>
    <row r="2511" spans="1:11" ht="16" x14ac:dyDescent="0.2">
      <c r="A2511" s="1" t="s">
        <v>260</v>
      </c>
      <c r="B2511" t="str">
        <f>LEFT(Table13[[#This Row],[Input]],1)</f>
        <v>L</v>
      </c>
      <c r="C2511">
        <f>_xlfn.LET(_xlpm.steps,SUBSTITUTE(Table13[[#This Row],[Input]],Table13[[#This Row],[Direction]],""),VALUE(IF(LEN(_xlpm.steps)&gt;2,RIGHT(_xlpm.steps,2),_xlpm.steps)))</f>
        <v>85</v>
      </c>
      <c r="D2511">
        <f>_xlfn.LET(_xlpm.steps,SUBSTITUTE(Table13[[#This Row],[Input]],Table13[[#This Row],[Direction]],""),VALUE(IF(LEN(_xlpm.steps)&gt;2,LEFT(_xlpm.steps,LEN(_xlpm.steps)-2),0)))</f>
        <v>0</v>
      </c>
      <c r="E2511">
        <f>_xlfn.LET(_xlpm.dir,Table13[[#This Row],[Direction]],
IF(_xlpm.dir="L",
    IF(G2510-Table13[[#This Row],[Steps]]&lt;0,100+(G2510-Table13[[#This Row],[Steps]]),G2510-Table13[[#This Row],[Steps]]),
))</f>
        <v>12</v>
      </c>
      <c r="F2511">
        <f>_xlfn.LET(_xlpm.dir,Table13[[#This Row],[Direction]],
IF(_xlpm.dir="R",
    IF(G2510+Table13[[#This Row],[Steps]]&gt;99,(G2510+Table13[[#This Row],[Steps]])-100,G2510+Table13[[#This Row],[Steps]]),
))</f>
        <v>0</v>
      </c>
      <c r="G2511">
        <f>IF(Table13[[#This Row],[New Pos L]]&lt;&gt;0,Table13[[#This Row],[New Pos L]],Table13[[#This Row],[New Pos R]])</f>
        <v>12</v>
      </c>
      <c r="H2511">
        <f>IF(AND(Table13[[#This Row],[Direction]]="L",Table13[[#This Row],[Steps]]&gt;G2510,G2510&lt;&gt;0),1,0)</f>
        <v>0</v>
      </c>
      <c r="I2511">
        <f>IF(AND(Table13[[#This Row],[Direction]]="R",(G2510+Table13[[#This Row],[Steps]])&gt;100),1,0)</f>
        <v>0</v>
      </c>
      <c r="J2511">
        <f>IF(Table13[[#This Row],[POS]]=0,1,0)</f>
        <v>0</v>
      </c>
      <c r="K2511">
        <f>SUM(Table13[[#This Row],[prefix]],Table13[[#This Row],[Past zero L]],Table13[[#This Row],[Past Zero R]],Table13[[#This Row],[Is Zero]])</f>
        <v>0</v>
      </c>
    </row>
    <row r="2512" spans="1:11" ht="16" x14ac:dyDescent="0.2">
      <c r="A2512" s="1" t="s">
        <v>104</v>
      </c>
      <c r="B2512" t="str">
        <f>LEFT(Table13[[#This Row],[Input]],1)</f>
        <v>R</v>
      </c>
      <c r="C2512">
        <f>_xlfn.LET(_xlpm.steps,SUBSTITUTE(Table13[[#This Row],[Input]],Table13[[#This Row],[Direction]],""),VALUE(IF(LEN(_xlpm.steps)&gt;2,RIGHT(_xlpm.steps,2),_xlpm.steps)))</f>
        <v>59</v>
      </c>
      <c r="D2512">
        <f>_xlfn.LET(_xlpm.steps,SUBSTITUTE(Table13[[#This Row],[Input]],Table13[[#This Row],[Direction]],""),VALUE(IF(LEN(_xlpm.steps)&gt;2,LEFT(_xlpm.steps,LEN(_xlpm.steps)-2),0)))</f>
        <v>0</v>
      </c>
      <c r="E2512">
        <f>_xlfn.LET(_xlpm.dir,Table13[[#This Row],[Direction]],
IF(_xlpm.dir="L",
    IF(G2511-Table13[[#This Row],[Steps]]&lt;0,100+(G2511-Table13[[#This Row],[Steps]]),G2511-Table13[[#This Row],[Steps]]),
))</f>
        <v>0</v>
      </c>
      <c r="F2512">
        <f>_xlfn.LET(_xlpm.dir,Table13[[#This Row],[Direction]],
IF(_xlpm.dir="R",
    IF(G2511+Table13[[#This Row],[Steps]]&gt;99,(G2511+Table13[[#This Row],[Steps]])-100,G2511+Table13[[#This Row],[Steps]]),
))</f>
        <v>71</v>
      </c>
      <c r="G2512">
        <f>IF(Table13[[#This Row],[New Pos L]]&lt;&gt;0,Table13[[#This Row],[New Pos L]],Table13[[#This Row],[New Pos R]])</f>
        <v>71</v>
      </c>
      <c r="H2512">
        <f>IF(AND(Table13[[#This Row],[Direction]]="L",Table13[[#This Row],[Steps]]&gt;G2511,G2511&lt;&gt;0),1,0)</f>
        <v>0</v>
      </c>
      <c r="I2512">
        <f>IF(AND(Table13[[#This Row],[Direction]]="R",(G2511+Table13[[#This Row],[Steps]])&gt;100),1,0)</f>
        <v>0</v>
      </c>
      <c r="J2512">
        <f>IF(Table13[[#This Row],[POS]]=0,1,0)</f>
        <v>0</v>
      </c>
      <c r="K2512">
        <f>SUM(Table13[[#This Row],[prefix]],Table13[[#This Row],[Past zero L]],Table13[[#This Row],[Past Zero R]],Table13[[#This Row],[Is Zero]])</f>
        <v>0</v>
      </c>
    </row>
    <row r="2513" spans="1:11" ht="16" x14ac:dyDescent="0.2">
      <c r="A2513" s="1" t="s">
        <v>477</v>
      </c>
      <c r="B2513" t="str">
        <f>LEFT(Table13[[#This Row],[Input]],1)</f>
        <v>L</v>
      </c>
      <c r="C2513">
        <f>_xlfn.LET(_xlpm.steps,SUBSTITUTE(Table13[[#This Row],[Input]],Table13[[#This Row],[Direction]],""),VALUE(IF(LEN(_xlpm.steps)&gt;2,RIGHT(_xlpm.steps,2),_xlpm.steps)))</f>
        <v>71</v>
      </c>
      <c r="D2513">
        <f>_xlfn.LET(_xlpm.steps,SUBSTITUTE(Table13[[#This Row],[Input]],Table13[[#This Row],[Direction]],""),VALUE(IF(LEN(_xlpm.steps)&gt;2,LEFT(_xlpm.steps,LEN(_xlpm.steps)-2),0)))</f>
        <v>9</v>
      </c>
      <c r="E2513">
        <f>_xlfn.LET(_xlpm.dir,Table13[[#This Row],[Direction]],
IF(_xlpm.dir="L",
    IF(G2512-Table13[[#This Row],[Steps]]&lt;0,100+(G2512-Table13[[#This Row],[Steps]]),G2512-Table13[[#This Row],[Steps]]),
))</f>
        <v>0</v>
      </c>
      <c r="F2513">
        <f>_xlfn.LET(_xlpm.dir,Table13[[#This Row],[Direction]],
IF(_xlpm.dir="R",
    IF(G2512+Table13[[#This Row],[Steps]]&gt;99,(G2512+Table13[[#This Row],[Steps]])-100,G2512+Table13[[#This Row],[Steps]]),
))</f>
        <v>0</v>
      </c>
      <c r="G2513">
        <f>IF(Table13[[#This Row],[New Pos L]]&lt;&gt;0,Table13[[#This Row],[New Pos L]],Table13[[#This Row],[New Pos R]])</f>
        <v>0</v>
      </c>
      <c r="H2513">
        <f>IF(AND(Table13[[#This Row],[Direction]]="L",Table13[[#This Row],[Steps]]&gt;G2512,G2512&lt;&gt;0),1,0)</f>
        <v>0</v>
      </c>
      <c r="I2513">
        <f>IF(AND(Table13[[#This Row],[Direction]]="R",(G2512+Table13[[#This Row],[Steps]])&gt;100),1,0)</f>
        <v>0</v>
      </c>
      <c r="J2513">
        <f>IF(Table13[[#This Row],[POS]]=0,1,0)</f>
        <v>1</v>
      </c>
      <c r="K2513">
        <f>SUM(Table13[[#This Row],[prefix]],Table13[[#This Row],[Past zero L]],Table13[[#This Row],[Past Zero R]],Table13[[#This Row],[Is Zero]])</f>
        <v>10</v>
      </c>
    </row>
    <row r="2514" spans="1:11" ht="16" x14ac:dyDescent="0.2">
      <c r="A2514" s="1" t="s">
        <v>105</v>
      </c>
      <c r="B2514" t="str">
        <f>LEFT(Table13[[#This Row],[Input]],1)</f>
        <v>R</v>
      </c>
      <c r="C2514">
        <f>_xlfn.LET(_xlpm.steps,SUBSTITUTE(Table13[[#This Row],[Input]],Table13[[#This Row],[Direction]],""),VALUE(IF(LEN(_xlpm.steps)&gt;2,RIGHT(_xlpm.steps,2),_xlpm.steps)))</f>
        <v>98</v>
      </c>
      <c r="D2514">
        <f>_xlfn.LET(_xlpm.steps,SUBSTITUTE(Table13[[#This Row],[Input]],Table13[[#This Row],[Direction]],""),VALUE(IF(LEN(_xlpm.steps)&gt;2,LEFT(_xlpm.steps,LEN(_xlpm.steps)-2),0)))</f>
        <v>0</v>
      </c>
      <c r="E2514">
        <f>_xlfn.LET(_xlpm.dir,Table13[[#This Row],[Direction]],
IF(_xlpm.dir="L",
    IF(G2513-Table13[[#This Row],[Steps]]&lt;0,100+(G2513-Table13[[#This Row],[Steps]]),G2513-Table13[[#This Row],[Steps]]),
))</f>
        <v>0</v>
      </c>
      <c r="F2514">
        <f>_xlfn.LET(_xlpm.dir,Table13[[#This Row],[Direction]],
IF(_xlpm.dir="R",
    IF(G2513+Table13[[#This Row],[Steps]]&gt;99,(G2513+Table13[[#This Row],[Steps]])-100,G2513+Table13[[#This Row],[Steps]]),
))</f>
        <v>98</v>
      </c>
      <c r="G2514">
        <f>IF(Table13[[#This Row],[New Pos L]]&lt;&gt;0,Table13[[#This Row],[New Pos L]],Table13[[#This Row],[New Pos R]])</f>
        <v>98</v>
      </c>
      <c r="H2514">
        <f>IF(AND(Table13[[#This Row],[Direction]]="L",Table13[[#This Row],[Steps]]&gt;G2513,G2513&lt;&gt;0),1,0)</f>
        <v>0</v>
      </c>
      <c r="I2514">
        <f>IF(AND(Table13[[#This Row],[Direction]]="R",(G2513+Table13[[#This Row],[Steps]])&gt;100),1,0)</f>
        <v>0</v>
      </c>
      <c r="J2514">
        <f>IF(Table13[[#This Row],[POS]]=0,1,0)</f>
        <v>0</v>
      </c>
      <c r="K2514">
        <f>SUM(Table13[[#This Row],[prefix]],Table13[[#This Row],[Past zero L]],Table13[[#This Row],[Past Zero R]],Table13[[#This Row],[Is Zero]])</f>
        <v>0</v>
      </c>
    </row>
    <row r="2515" spans="1:11" ht="16" x14ac:dyDescent="0.2">
      <c r="A2515" s="1" t="s">
        <v>615</v>
      </c>
      <c r="B2515" t="str">
        <f>LEFT(Table13[[#This Row],[Input]],1)</f>
        <v>L</v>
      </c>
      <c r="C2515">
        <f>_xlfn.LET(_xlpm.steps,SUBSTITUTE(Table13[[#This Row],[Input]],Table13[[#This Row],[Direction]],""),VALUE(IF(LEN(_xlpm.steps)&gt;2,RIGHT(_xlpm.steps,2),_xlpm.steps)))</f>
        <v>26</v>
      </c>
      <c r="D2515">
        <f>_xlfn.LET(_xlpm.steps,SUBSTITUTE(Table13[[#This Row],[Input]],Table13[[#This Row],[Direction]],""),VALUE(IF(LEN(_xlpm.steps)&gt;2,LEFT(_xlpm.steps,LEN(_xlpm.steps)-2),0)))</f>
        <v>1</v>
      </c>
      <c r="E2515">
        <f>_xlfn.LET(_xlpm.dir,Table13[[#This Row],[Direction]],
IF(_xlpm.dir="L",
    IF(G2514-Table13[[#This Row],[Steps]]&lt;0,100+(G2514-Table13[[#This Row],[Steps]]),G2514-Table13[[#This Row],[Steps]]),
))</f>
        <v>72</v>
      </c>
      <c r="F2515">
        <f>_xlfn.LET(_xlpm.dir,Table13[[#This Row],[Direction]],
IF(_xlpm.dir="R",
    IF(G2514+Table13[[#This Row],[Steps]]&gt;99,(G2514+Table13[[#This Row],[Steps]])-100,G2514+Table13[[#This Row],[Steps]]),
))</f>
        <v>0</v>
      </c>
      <c r="G2515">
        <f>IF(Table13[[#This Row],[New Pos L]]&lt;&gt;0,Table13[[#This Row],[New Pos L]],Table13[[#This Row],[New Pos R]])</f>
        <v>72</v>
      </c>
      <c r="H2515">
        <f>IF(AND(Table13[[#This Row],[Direction]]="L",Table13[[#This Row],[Steps]]&gt;G2514,G2514&lt;&gt;0),1,0)</f>
        <v>0</v>
      </c>
      <c r="I2515">
        <f>IF(AND(Table13[[#This Row],[Direction]]="R",(G2514+Table13[[#This Row],[Steps]])&gt;100),1,0)</f>
        <v>0</v>
      </c>
      <c r="J2515">
        <f>IF(Table13[[#This Row],[POS]]=0,1,0)</f>
        <v>0</v>
      </c>
      <c r="K2515">
        <f>SUM(Table13[[#This Row],[prefix]],Table13[[#This Row],[Past zero L]],Table13[[#This Row],[Past Zero R]],Table13[[#This Row],[Is Zero]])</f>
        <v>1</v>
      </c>
    </row>
    <row r="2516" spans="1:11" ht="16" x14ac:dyDescent="0.2">
      <c r="A2516" s="1" t="s">
        <v>50</v>
      </c>
      <c r="B2516" t="str">
        <f>LEFT(Table13[[#This Row],[Input]],1)</f>
        <v>R</v>
      </c>
      <c r="C2516">
        <f>_xlfn.LET(_xlpm.steps,SUBSTITUTE(Table13[[#This Row],[Input]],Table13[[#This Row],[Direction]],""),VALUE(IF(LEN(_xlpm.steps)&gt;2,RIGHT(_xlpm.steps,2),_xlpm.steps)))</f>
        <v>78</v>
      </c>
      <c r="D2516">
        <f>_xlfn.LET(_xlpm.steps,SUBSTITUTE(Table13[[#This Row],[Input]],Table13[[#This Row],[Direction]],""),VALUE(IF(LEN(_xlpm.steps)&gt;2,LEFT(_xlpm.steps,LEN(_xlpm.steps)-2),0)))</f>
        <v>0</v>
      </c>
      <c r="E2516">
        <f>_xlfn.LET(_xlpm.dir,Table13[[#This Row],[Direction]],
IF(_xlpm.dir="L",
    IF(G2515-Table13[[#This Row],[Steps]]&lt;0,100+(G2515-Table13[[#This Row],[Steps]]),G2515-Table13[[#This Row],[Steps]]),
))</f>
        <v>0</v>
      </c>
      <c r="F2516">
        <f>_xlfn.LET(_xlpm.dir,Table13[[#This Row],[Direction]],
IF(_xlpm.dir="R",
    IF(G2515+Table13[[#This Row],[Steps]]&gt;99,(G2515+Table13[[#This Row],[Steps]])-100,G2515+Table13[[#This Row],[Steps]]),
))</f>
        <v>50</v>
      </c>
      <c r="G2516">
        <f>IF(Table13[[#This Row],[New Pos L]]&lt;&gt;0,Table13[[#This Row],[New Pos L]],Table13[[#This Row],[New Pos R]])</f>
        <v>50</v>
      </c>
      <c r="H2516">
        <f>IF(AND(Table13[[#This Row],[Direction]]="L",Table13[[#This Row],[Steps]]&gt;G2515,G2515&lt;&gt;0),1,0)</f>
        <v>0</v>
      </c>
      <c r="I2516">
        <f>IF(AND(Table13[[#This Row],[Direction]]="R",(G2515+Table13[[#This Row],[Steps]])&gt;100),1,0)</f>
        <v>1</v>
      </c>
      <c r="J2516">
        <f>IF(Table13[[#This Row],[POS]]=0,1,0)</f>
        <v>0</v>
      </c>
      <c r="K2516">
        <f>SUM(Table13[[#This Row],[prefix]],Table13[[#This Row],[Past zero L]],Table13[[#This Row],[Past Zero R]],Table13[[#This Row],[Is Zero]])</f>
        <v>1</v>
      </c>
    </row>
    <row r="2517" spans="1:11" ht="16" x14ac:dyDescent="0.2">
      <c r="A2517" s="1" t="s">
        <v>615</v>
      </c>
      <c r="B2517" t="str">
        <f>LEFT(Table13[[#This Row],[Input]],1)</f>
        <v>L</v>
      </c>
      <c r="C2517">
        <f>_xlfn.LET(_xlpm.steps,SUBSTITUTE(Table13[[#This Row],[Input]],Table13[[#This Row],[Direction]],""),VALUE(IF(LEN(_xlpm.steps)&gt;2,RIGHT(_xlpm.steps,2),_xlpm.steps)))</f>
        <v>26</v>
      </c>
      <c r="D2517">
        <f>_xlfn.LET(_xlpm.steps,SUBSTITUTE(Table13[[#This Row],[Input]],Table13[[#This Row],[Direction]],""),VALUE(IF(LEN(_xlpm.steps)&gt;2,LEFT(_xlpm.steps,LEN(_xlpm.steps)-2),0)))</f>
        <v>1</v>
      </c>
      <c r="E2517">
        <f>_xlfn.LET(_xlpm.dir,Table13[[#This Row],[Direction]],
IF(_xlpm.dir="L",
    IF(G2516-Table13[[#This Row],[Steps]]&lt;0,100+(G2516-Table13[[#This Row],[Steps]]),G2516-Table13[[#This Row],[Steps]]),
))</f>
        <v>24</v>
      </c>
      <c r="F2517">
        <f>_xlfn.LET(_xlpm.dir,Table13[[#This Row],[Direction]],
IF(_xlpm.dir="R",
    IF(G2516+Table13[[#This Row],[Steps]]&gt;99,(G2516+Table13[[#This Row],[Steps]])-100,G2516+Table13[[#This Row],[Steps]]),
))</f>
        <v>0</v>
      </c>
      <c r="G2517">
        <f>IF(Table13[[#This Row],[New Pos L]]&lt;&gt;0,Table13[[#This Row],[New Pos L]],Table13[[#This Row],[New Pos R]])</f>
        <v>24</v>
      </c>
      <c r="H2517">
        <f>IF(AND(Table13[[#This Row],[Direction]]="L",Table13[[#This Row],[Steps]]&gt;G2516,G2516&lt;&gt;0),1,0)</f>
        <v>0</v>
      </c>
      <c r="I2517">
        <f>IF(AND(Table13[[#This Row],[Direction]]="R",(G2516+Table13[[#This Row],[Steps]])&gt;100),1,0)</f>
        <v>0</v>
      </c>
      <c r="J2517">
        <f>IF(Table13[[#This Row],[POS]]=0,1,0)</f>
        <v>0</v>
      </c>
      <c r="K2517">
        <f>SUM(Table13[[#This Row],[prefix]],Table13[[#This Row],[Past zero L]],Table13[[#This Row],[Past Zero R]],Table13[[#This Row],[Is Zero]])</f>
        <v>1</v>
      </c>
    </row>
    <row r="2518" spans="1:11" ht="16" x14ac:dyDescent="0.2">
      <c r="A2518" s="1" t="s">
        <v>158</v>
      </c>
      <c r="B2518" t="str">
        <f>LEFT(Table13[[#This Row],[Input]],1)</f>
        <v>L</v>
      </c>
      <c r="C2518">
        <f>_xlfn.LET(_xlpm.steps,SUBSTITUTE(Table13[[#This Row],[Input]],Table13[[#This Row],[Direction]],""),VALUE(IF(LEN(_xlpm.steps)&gt;2,RIGHT(_xlpm.steps,2),_xlpm.steps)))</f>
        <v>24</v>
      </c>
      <c r="D2518">
        <f>_xlfn.LET(_xlpm.steps,SUBSTITUTE(Table13[[#This Row],[Input]],Table13[[#This Row],[Direction]],""),VALUE(IF(LEN(_xlpm.steps)&gt;2,LEFT(_xlpm.steps,LEN(_xlpm.steps)-2),0)))</f>
        <v>0</v>
      </c>
      <c r="E2518">
        <f>_xlfn.LET(_xlpm.dir,Table13[[#This Row],[Direction]],
IF(_xlpm.dir="L",
    IF(G2517-Table13[[#This Row],[Steps]]&lt;0,100+(G2517-Table13[[#This Row],[Steps]]),G2517-Table13[[#This Row],[Steps]]),
))</f>
        <v>0</v>
      </c>
      <c r="F2518">
        <f>_xlfn.LET(_xlpm.dir,Table13[[#This Row],[Direction]],
IF(_xlpm.dir="R",
    IF(G2517+Table13[[#This Row],[Steps]]&gt;99,(G2517+Table13[[#This Row],[Steps]])-100,G2517+Table13[[#This Row],[Steps]]),
))</f>
        <v>0</v>
      </c>
      <c r="G2518">
        <f>IF(Table13[[#This Row],[New Pos L]]&lt;&gt;0,Table13[[#This Row],[New Pos L]],Table13[[#This Row],[New Pos R]])</f>
        <v>0</v>
      </c>
      <c r="H2518">
        <f>IF(AND(Table13[[#This Row],[Direction]]="L",Table13[[#This Row],[Steps]]&gt;G2517,G2517&lt;&gt;0),1,0)</f>
        <v>0</v>
      </c>
      <c r="I2518">
        <f>IF(AND(Table13[[#This Row],[Direction]]="R",(G2517+Table13[[#This Row],[Steps]])&gt;100),1,0)</f>
        <v>0</v>
      </c>
      <c r="J2518">
        <f>IF(Table13[[#This Row],[POS]]=0,1,0)</f>
        <v>1</v>
      </c>
      <c r="K2518">
        <f>SUM(Table13[[#This Row],[prefix]],Table13[[#This Row],[Past zero L]],Table13[[#This Row],[Past Zero R]],Table13[[#This Row],[Is Zero]])</f>
        <v>1</v>
      </c>
    </row>
    <row r="2519" spans="1:11" ht="16" x14ac:dyDescent="0.2">
      <c r="A2519" s="1" t="s">
        <v>536</v>
      </c>
      <c r="B2519" t="str">
        <f>LEFT(Table13[[#This Row],[Input]],1)</f>
        <v>L</v>
      </c>
      <c r="C2519">
        <f>_xlfn.LET(_xlpm.steps,SUBSTITUTE(Table13[[#This Row],[Input]],Table13[[#This Row],[Direction]],""),VALUE(IF(LEN(_xlpm.steps)&gt;2,RIGHT(_xlpm.steps,2),_xlpm.steps)))</f>
        <v>22</v>
      </c>
      <c r="D2519">
        <f>_xlfn.LET(_xlpm.steps,SUBSTITUTE(Table13[[#This Row],[Input]],Table13[[#This Row],[Direction]],""),VALUE(IF(LEN(_xlpm.steps)&gt;2,LEFT(_xlpm.steps,LEN(_xlpm.steps)-2),0)))</f>
        <v>8</v>
      </c>
      <c r="E2519">
        <f>_xlfn.LET(_xlpm.dir,Table13[[#This Row],[Direction]],
IF(_xlpm.dir="L",
    IF(G2518-Table13[[#This Row],[Steps]]&lt;0,100+(G2518-Table13[[#This Row],[Steps]]),G2518-Table13[[#This Row],[Steps]]),
))</f>
        <v>78</v>
      </c>
      <c r="F2519">
        <f>_xlfn.LET(_xlpm.dir,Table13[[#This Row],[Direction]],
IF(_xlpm.dir="R",
    IF(G2518+Table13[[#This Row],[Steps]]&gt;99,(G2518+Table13[[#This Row],[Steps]])-100,G2518+Table13[[#This Row],[Steps]]),
))</f>
        <v>0</v>
      </c>
      <c r="G2519">
        <f>IF(Table13[[#This Row],[New Pos L]]&lt;&gt;0,Table13[[#This Row],[New Pos L]],Table13[[#This Row],[New Pos R]])</f>
        <v>78</v>
      </c>
      <c r="H2519">
        <f>IF(AND(Table13[[#This Row],[Direction]]="L",Table13[[#This Row],[Steps]]&gt;G2518,G2518&lt;&gt;0),1,0)</f>
        <v>0</v>
      </c>
      <c r="I2519">
        <f>IF(AND(Table13[[#This Row],[Direction]]="R",(G2518+Table13[[#This Row],[Steps]])&gt;100),1,0)</f>
        <v>0</v>
      </c>
      <c r="J2519">
        <f>IF(Table13[[#This Row],[POS]]=0,1,0)</f>
        <v>0</v>
      </c>
      <c r="K2519">
        <f>SUM(Table13[[#This Row],[prefix]],Table13[[#This Row],[Past zero L]],Table13[[#This Row],[Past Zero R]],Table13[[#This Row],[Is Zero]])</f>
        <v>8</v>
      </c>
    </row>
    <row r="2520" spans="1:11" ht="16" x14ac:dyDescent="0.2">
      <c r="A2520" s="1" t="s">
        <v>137</v>
      </c>
      <c r="B2520" t="str">
        <f>LEFT(Table13[[#This Row],[Input]],1)</f>
        <v>R</v>
      </c>
      <c r="C2520">
        <f>_xlfn.LET(_xlpm.steps,SUBSTITUTE(Table13[[#This Row],[Input]],Table13[[#This Row],[Direction]],""),VALUE(IF(LEN(_xlpm.steps)&gt;2,RIGHT(_xlpm.steps,2),_xlpm.steps)))</f>
        <v>28</v>
      </c>
      <c r="D2520">
        <f>_xlfn.LET(_xlpm.steps,SUBSTITUTE(Table13[[#This Row],[Input]],Table13[[#This Row],[Direction]],""),VALUE(IF(LEN(_xlpm.steps)&gt;2,LEFT(_xlpm.steps,LEN(_xlpm.steps)-2),0)))</f>
        <v>0</v>
      </c>
      <c r="E2520">
        <f>_xlfn.LET(_xlpm.dir,Table13[[#This Row],[Direction]],
IF(_xlpm.dir="L",
    IF(G2519-Table13[[#This Row],[Steps]]&lt;0,100+(G2519-Table13[[#This Row],[Steps]]),G2519-Table13[[#This Row],[Steps]]),
))</f>
        <v>0</v>
      </c>
      <c r="F2520">
        <f>_xlfn.LET(_xlpm.dir,Table13[[#This Row],[Direction]],
IF(_xlpm.dir="R",
    IF(G2519+Table13[[#This Row],[Steps]]&gt;99,(G2519+Table13[[#This Row],[Steps]])-100,G2519+Table13[[#This Row],[Steps]]),
))</f>
        <v>6</v>
      </c>
      <c r="G2520">
        <f>IF(Table13[[#This Row],[New Pos L]]&lt;&gt;0,Table13[[#This Row],[New Pos L]],Table13[[#This Row],[New Pos R]])</f>
        <v>6</v>
      </c>
      <c r="H2520">
        <f>IF(AND(Table13[[#This Row],[Direction]]="L",Table13[[#This Row],[Steps]]&gt;G2519,G2519&lt;&gt;0),1,0)</f>
        <v>0</v>
      </c>
      <c r="I2520">
        <f>IF(AND(Table13[[#This Row],[Direction]]="R",(G2519+Table13[[#This Row],[Steps]])&gt;100),1,0)</f>
        <v>1</v>
      </c>
      <c r="J2520">
        <f>IF(Table13[[#This Row],[POS]]=0,1,0)</f>
        <v>0</v>
      </c>
      <c r="K2520">
        <f>SUM(Table13[[#This Row],[prefix]],Table13[[#This Row],[Past zero L]],Table13[[#This Row],[Past Zero R]],Table13[[#This Row],[Is Zero]])</f>
        <v>1</v>
      </c>
    </row>
    <row r="2521" spans="1:11" ht="16" x14ac:dyDescent="0.2">
      <c r="A2521" s="1" t="s">
        <v>131</v>
      </c>
      <c r="B2521" t="str">
        <f>LEFT(Table13[[#This Row],[Input]],1)</f>
        <v>R</v>
      </c>
      <c r="C2521">
        <f>_xlfn.LET(_xlpm.steps,SUBSTITUTE(Table13[[#This Row],[Input]],Table13[[#This Row],[Direction]],""),VALUE(IF(LEN(_xlpm.steps)&gt;2,RIGHT(_xlpm.steps,2),_xlpm.steps)))</f>
        <v>99</v>
      </c>
      <c r="D2521">
        <f>_xlfn.LET(_xlpm.steps,SUBSTITUTE(Table13[[#This Row],[Input]],Table13[[#This Row],[Direction]],""),VALUE(IF(LEN(_xlpm.steps)&gt;2,LEFT(_xlpm.steps,LEN(_xlpm.steps)-2),0)))</f>
        <v>0</v>
      </c>
      <c r="E2521">
        <f>_xlfn.LET(_xlpm.dir,Table13[[#This Row],[Direction]],
IF(_xlpm.dir="L",
    IF(G2520-Table13[[#This Row],[Steps]]&lt;0,100+(G2520-Table13[[#This Row],[Steps]]),G2520-Table13[[#This Row],[Steps]]),
))</f>
        <v>0</v>
      </c>
      <c r="F2521">
        <f>_xlfn.LET(_xlpm.dir,Table13[[#This Row],[Direction]],
IF(_xlpm.dir="R",
    IF(G2520+Table13[[#This Row],[Steps]]&gt;99,(G2520+Table13[[#This Row],[Steps]])-100,G2520+Table13[[#This Row],[Steps]]),
))</f>
        <v>5</v>
      </c>
      <c r="G2521">
        <f>IF(Table13[[#This Row],[New Pos L]]&lt;&gt;0,Table13[[#This Row],[New Pos L]],Table13[[#This Row],[New Pos R]])</f>
        <v>5</v>
      </c>
      <c r="H2521">
        <f>IF(AND(Table13[[#This Row],[Direction]]="L",Table13[[#This Row],[Steps]]&gt;G2520,G2520&lt;&gt;0),1,0)</f>
        <v>0</v>
      </c>
      <c r="I2521">
        <f>IF(AND(Table13[[#This Row],[Direction]]="R",(G2520+Table13[[#This Row],[Steps]])&gt;100),1,0)</f>
        <v>1</v>
      </c>
      <c r="J2521">
        <f>IF(Table13[[#This Row],[POS]]=0,1,0)</f>
        <v>0</v>
      </c>
      <c r="K2521">
        <f>SUM(Table13[[#This Row],[prefix]],Table13[[#This Row],[Past zero L]],Table13[[#This Row],[Past Zero R]],Table13[[#This Row],[Is Zero]])</f>
        <v>1</v>
      </c>
    </row>
    <row r="2522" spans="1:11" ht="16" x14ac:dyDescent="0.2">
      <c r="A2522" s="1" t="s">
        <v>135</v>
      </c>
      <c r="B2522" t="str">
        <f>LEFT(Table13[[#This Row],[Input]],1)</f>
        <v>R</v>
      </c>
      <c r="C2522">
        <f>_xlfn.LET(_xlpm.steps,SUBSTITUTE(Table13[[#This Row],[Input]],Table13[[#This Row],[Direction]],""),VALUE(IF(LEN(_xlpm.steps)&gt;2,RIGHT(_xlpm.steps,2),_xlpm.steps)))</f>
        <v>69</v>
      </c>
      <c r="D2522">
        <f>_xlfn.LET(_xlpm.steps,SUBSTITUTE(Table13[[#This Row],[Input]],Table13[[#This Row],[Direction]],""),VALUE(IF(LEN(_xlpm.steps)&gt;2,LEFT(_xlpm.steps,LEN(_xlpm.steps)-2),0)))</f>
        <v>0</v>
      </c>
      <c r="E2522">
        <f>_xlfn.LET(_xlpm.dir,Table13[[#This Row],[Direction]],
IF(_xlpm.dir="L",
    IF(G2521-Table13[[#This Row],[Steps]]&lt;0,100+(G2521-Table13[[#This Row],[Steps]]),G2521-Table13[[#This Row],[Steps]]),
))</f>
        <v>0</v>
      </c>
      <c r="F2522">
        <f>_xlfn.LET(_xlpm.dir,Table13[[#This Row],[Direction]],
IF(_xlpm.dir="R",
    IF(G2521+Table13[[#This Row],[Steps]]&gt;99,(G2521+Table13[[#This Row],[Steps]])-100,G2521+Table13[[#This Row],[Steps]]),
))</f>
        <v>74</v>
      </c>
      <c r="G2522">
        <f>IF(Table13[[#This Row],[New Pos L]]&lt;&gt;0,Table13[[#This Row],[New Pos L]],Table13[[#This Row],[New Pos R]])</f>
        <v>74</v>
      </c>
      <c r="H2522">
        <f>IF(AND(Table13[[#This Row],[Direction]]="L",Table13[[#This Row],[Steps]]&gt;G2521,G2521&lt;&gt;0),1,0)</f>
        <v>0</v>
      </c>
      <c r="I2522">
        <f>IF(AND(Table13[[#This Row],[Direction]]="R",(G2521+Table13[[#This Row],[Steps]])&gt;100),1,0)</f>
        <v>0</v>
      </c>
      <c r="J2522">
        <f>IF(Table13[[#This Row],[POS]]=0,1,0)</f>
        <v>0</v>
      </c>
      <c r="K2522">
        <f>SUM(Table13[[#This Row],[prefix]],Table13[[#This Row],[Past zero L]],Table13[[#This Row],[Past Zero R]],Table13[[#This Row],[Is Zero]])</f>
        <v>0</v>
      </c>
    </row>
    <row r="2523" spans="1:11" ht="16" x14ac:dyDescent="0.2">
      <c r="A2523" s="1" t="s">
        <v>616</v>
      </c>
      <c r="B2523" t="str">
        <f>LEFT(Table13[[#This Row],[Input]],1)</f>
        <v>R</v>
      </c>
      <c r="C2523">
        <f>_xlfn.LET(_xlpm.steps,SUBSTITUTE(Table13[[#This Row],[Input]],Table13[[#This Row],[Direction]],""),VALUE(IF(LEN(_xlpm.steps)&gt;2,RIGHT(_xlpm.steps,2),_xlpm.steps)))</f>
        <v>26</v>
      </c>
      <c r="D2523">
        <f>_xlfn.LET(_xlpm.steps,SUBSTITUTE(Table13[[#This Row],[Input]],Table13[[#This Row],[Direction]],""),VALUE(IF(LEN(_xlpm.steps)&gt;2,LEFT(_xlpm.steps,LEN(_xlpm.steps)-2),0)))</f>
        <v>2</v>
      </c>
      <c r="E2523">
        <f>_xlfn.LET(_xlpm.dir,Table13[[#This Row],[Direction]],
IF(_xlpm.dir="L",
    IF(G2522-Table13[[#This Row],[Steps]]&lt;0,100+(G2522-Table13[[#This Row],[Steps]]),G2522-Table13[[#This Row],[Steps]]),
))</f>
        <v>0</v>
      </c>
      <c r="F2523">
        <f>_xlfn.LET(_xlpm.dir,Table13[[#This Row],[Direction]],
IF(_xlpm.dir="R",
    IF(G2522+Table13[[#This Row],[Steps]]&gt;99,(G2522+Table13[[#This Row],[Steps]])-100,G2522+Table13[[#This Row],[Steps]]),
))</f>
        <v>0</v>
      </c>
      <c r="G2523">
        <f>IF(Table13[[#This Row],[New Pos L]]&lt;&gt;0,Table13[[#This Row],[New Pos L]],Table13[[#This Row],[New Pos R]])</f>
        <v>0</v>
      </c>
      <c r="H2523">
        <f>IF(AND(Table13[[#This Row],[Direction]]="L",Table13[[#This Row],[Steps]]&gt;G2522,G2522&lt;&gt;0),1,0)</f>
        <v>0</v>
      </c>
      <c r="I2523">
        <f>IF(AND(Table13[[#This Row],[Direction]]="R",(G2522+Table13[[#This Row],[Steps]])&gt;100),1,0)</f>
        <v>0</v>
      </c>
      <c r="J2523">
        <f>IF(Table13[[#This Row],[POS]]=0,1,0)</f>
        <v>1</v>
      </c>
      <c r="K2523">
        <f>SUM(Table13[[#This Row],[prefix]],Table13[[#This Row],[Past zero L]],Table13[[#This Row],[Past Zero R]],Table13[[#This Row],[Is Zero]])</f>
        <v>3</v>
      </c>
    </row>
    <row r="2524" spans="1:11" ht="16" x14ac:dyDescent="0.2">
      <c r="A2524" s="1" t="s">
        <v>159</v>
      </c>
      <c r="B2524" t="str">
        <f>LEFT(Table13[[#This Row],[Input]],1)</f>
        <v>R</v>
      </c>
      <c r="C2524">
        <f>_xlfn.LET(_xlpm.steps,SUBSTITUTE(Table13[[#This Row],[Input]],Table13[[#This Row],[Direction]],""),VALUE(IF(LEN(_xlpm.steps)&gt;2,RIGHT(_xlpm.steps,2),_xlpm.steps)))</f>
        <v>24</v>
      </c>
      <c r="D2524">
        <f>_xlfn.LET(_xlpm.steps,SUBSTITUTE(Table13[[#This Row],[Input]],Table13[[#This Row],[Direction]],""),VALUE(IF(LEN(_xlpm.steps)&gt;2,LEFT(_xlpm.steps,LEN(_xlpm.steps)-2),0)))</f>
        <v>0</v>
      </c>
      <c r="E2524">
        <f>_xlfn.LET(_xlpm.dir,Table13[[#This Row],[Direction]],
IF(_xlpm.dir="L",
    IF(G2523-Table13[[#This Row],[Steps]]&lt;0,100+(G2523-Table13[[#This Row],[Steps]]),G2523-Table13[[#This Row],[Steps]]),
))</f>
        <v>0</v>
      </c>
      <c r="F2524">
        <f>_xlfn.LET(_xlpm.dir,Table13[[#This Row],[Direction]],
IF(_xlpm.dir="R",
    IF(G2523+Table13[[#This Row],[Steps]]&gt;99,(G2523+Table13[[#This Row],[Steps]])-100,G2523+Table13[[#This Row],[Steps]]),
))</f>
        <v>24</v>
      </c>
      <c r="G2524">
        <f>IF(Table13[[#This Row],[New Pos L]]&lt;&gt;0,Table13[[#This Row],[New Pos L]],Table13[[#This Row],[New Pos R]])</f>
        <v>24</v>
      </c>
      <c r="H2524">
        <f>IF(AND(Table13[[#This Row],[Direction]]="L",Table13[[#This Row],[Steps]]&gt;G2523,G2523&lt;&gt;0),1,0)</f>
        <v>0</v>
      </c>
      <c r="I2524">
        <f>IF(AND(Table13[[#This Row],[Direction]]="R",(G2523+Table13[[#This Row],[Steps]])&gt;100),1,0)</f>
        <v>0</v>
      </c>
      <c r="J2524">
        <f>IF(Table13[[#This Row],[POS]]=0,1,0)</f>
        <v>0</v>
      </c>
      <c r="K2524">
        <f>SUM(Table13[[#This Row],[prefix]],Table13[[#This Row],[Past zero L]],Table13[[#This Row],[Past Zero R]],Table13[[#This Row],[Is Zero]])</f>
        <v>0</v>
      </c>
    </row>
    <row r="2525" spans="1:11" ht="16" x14ac:dyDescent="0.2">
      <c r="A2525" s="1" t="s">
        <v>617</v>
      </c>
      <c r="B2525" t="str">
        <f>LEFT(Table13[[#This Row],[Input]],1)</f>
        <v>L</v>
      </c>
      <c r="C2525">
        <f>_xlfn.LET(_xlpm.steps,SUBSTITUTE(Table13[[#This Row],[Input]],Table13[[#This Row],[Direction]],""),VALUE(IF(LEN(_xlpm.steps)&gt;2,RIGHT(_xlpm.steps,2),_xlpm.steps)))</f>
        <v>24</v>
      </c>
      <c r="D2525">
        <f>_xlfn.LET(_xlpm.steps,SUBSTITUTE(Table13[[#This Row],[Input]],Table13[[#This Row],[Direction]],""),VALUE(IF(LEN(_xlpm.steps)&gt;2,LEFT(_xlpm.steps,LEN(_xlpm.steps)-2),0)))</f>
        <v>9</v>
      </c>
      <c r="E2525">
        <f>_xlfn.LET(_xlpm.dir,Table13[[#This Row],[Direction]],
IF(_xlpm.dir="L",
    IF(G2524-Table13[[#This Row],[Steps]]&lt;0,100+(G2524-Table13[[#This Row],[Steps]]),G2524-Table13[[#This Row],[Steps]]),
))</f>
        <v>0</v>
      </c>
      <c r="F2525">
        <f>_xlfn.LET(_xlpm.dir,Table13[[#This Row],[Direction]],
IF(_xlpm.dir="R",
    IF(G2524+Table13[[#This Row],[Steps]]&gt;99,(G2524+Table13[[#This Row],[Steps]])-100,G2524+Table13[[#This Row],[Steps]]),
))</f>
        <v>0</v>
      </c>
      <c r="G2525">
        <f>IF(Table13[[#This Row],[New Pos L]]&lt;&gt;0,Table13[[#This Row],[New Pos L]],Table13[[#This Row],[New Pos R]])</f>
        <v>0</v>
      </c>
      <c r="H2525">
        <f>IF(AND(Table13[[#This Row],[Direction]]="L",Table13[[#This Row],[Steps]]&gt;G2524,G2524&lt;&gt;0),1,0)</f>
        <v>0</v>
      </c>
      <c r="I2525">
        <f>IF(AND(Table13[[#This Row],[Direction]]="R",(G2524+Table13[[#This Row],[Steps]])&gt;100),1,0)</f>
        <v>0</v>
      </c>
      <c r="J2525">
        <f>IF(Table13[[#This Row],[POS]]=0,1,0)</f>
        <v>1</v>
      </c>
      <c r="K2525">
        <f>SUM(Table13[[#This Row],[prefix]],Table13[[#This Row],[Past zero L]],Table13[[#This Row],[Past Zero R]],Table13[[#This Row],[Is Zero]])</f>
        <v>10</v>
      </c>
    </row>
    <row r="2526" spans="1:11" ht="16" x14ac:dyDescent="0.2">
      <c r="A2526" s="1" t="s">
        <v>42</v>
      </c>
      <c r="B2526" t="str">
        <f>LEFT(Table13[[#This Row],[Input]],1)</f>
        <v>L</v>
      </c>
      <c r="C2526">
        <f>_xlfn.LET(_xlpm.steps,SUBSTITUTE(Table13[[#This Row],[Input]],Table13[[#This Row],[Direction]],""),VALUE(IF(LEN(_xlpm.steps)&gt;2,RIGHT(_xlpm.steps,2),_xlpm.steps)))</f>
        <v>27</v>
      </c>
      <c r="D2526">
        <f>_xlfn.LET(_xlpm.steps,SUBSTITUTE(Table13[[#This Row],[Input]],Table13[[#This Row],[Direction]],""),VALUE(IF(LEN(_xlpm.steps)&gt;2,LEFT(_xlpm.steps,LEN(_xlpm.steps)-2),0)))</f>
        <v>0</v>
      </c>
      <c r="E2526">
        <f>_xlfn.LET(_xlpm.dir,Table13[[#This Row],[Direction]],
IF(_xlpm.dir="L",
    IF(G2525-Table13[[#This Row],[Steps]]&lt;0,100+(G2525-Table13[[#This Row],[Steps]]),G2525-Table13[[#This Row],[Steps]]),
))</f>
        <v>73</v>
      </c>
      <c r="F2526">
        <f>_xlfn.LET(_xlpm.dir,Table13[[#This Row],[Direction]],
IF(_xlpm.dir="R",
    IF(G2525+Table13[[#This Row],[Steps]]&gt;99,(G2525+Table13[[#This Row],[Steps]])-100,G2525+Table13[[#This Row],[Steps]]),
))</f>
        <v>0</v>
      </c>
      <c r="G2526">
        <f>IF(Table13[[#This Row],[New Pos L]]&lt;&gt;0,Table13[[#This Row],[New Pos L]],Table13[[#This Row],[New Pos R]])</f>
        <v>73</v>
      </c>
      <c r="H2526">
        <f>IF(AND(Table13[[#This Row],[Direction]]="L",Table13[[#This Row],[Steps]]&gt;G2525,G2525&lt;&gt;0),1,0)</f>
        <v>0</v>
      </c>
      <c r="I2526">
        <f>IF(AND(Table13[[#This Row],[Direction]]="R",(G2525+Table13[[#This Row],[Steps]])&gt;100),1,0)</f>
        <v>0</v>
      </c>
      <c r="J2526">
        <f>IF(Table13[[#This Row],[POS]]=0,1,0)</f>
        <v>0</v>
      </c>
      <c r="K2526">
        <f>SUM(Table13[[#This Row],[prefix]],Table13[[#This Row],[Past zero L]],Table13[[#This Row],[Past Zero R]],Table13[[#This Row],[Is Zero]])</f>
        <v>0</v>
      </c>
    </row>
    <row r="2527" spans="1:11" ht="16" x14ac:dyDescent="0.2">
      <c r="A2527" s="1" t="s">
        <v>146</v>
      </c>
      <c r="B2527" t="str">
        <f>LEFT(Table13[[#This Row],[Input]],1)</f>
        <v>R</v>
      </c>
      <c r="C2527">
        <f>_xlfn.LET(_xlpm.steps,SUBSTITUTE(Table13[[#This Row],[Input]],Table13[[#This Row],[Direction]],""),VALUE(IF(LEN(_xlpm.steps)&gt;2,RIGHT(_xlpm.steps,2),_xlpm.steps)))</f>
        <v>4</v>
      </c>
      <c r="D2527">
        <f>_xlfn.LET(_xlpm.steps,SUBSTITUTE(Table13[[#This Row],[Input]],Table13[[#This Row],[Direction]],""),VALUE(IF(LEN(_xlpm.steps)&gt;2,LEFT(_xlpm.steps,LEN(_xlpm.steps)-2),0)))</f>
        <v>0</v>
      </c>
      <c r="E2527">
        <f>_xlfn.LET(_xlpm.dir,Table13[[#This Row],[Direction]],
IF(_xlpm.dir="L",
    IF(G2526-Table13[[#This Row],[Steps]]&lt;0,100+(G2526-Table13[[#This Row],[Steps]]),G2526-Table13[[#This Row],[Steps]]),
))</f>
        <v>0</v>
      </c>
      <c r="F2527">
        <f>_xlfn.LET(_xlpm.dir,Table13[[#This Row],[Direction]],
IF(_xlpm.dir="R",
    IF(G2526+Table13[[#This Row],[Steps]]&gt;99,(G2526+Table13[[#This Row],[Steps]])-100,G2526+Table13[[#This Row],[Steps]]),
))</f>
        <v>77</v>
      </c>
      <c r="G2527">
        <f>IF(Table13[[#This Row],[New Pos L]]&lt;&gt;0,Table13[[#This Row],[New Pos L]],Table13[[#This Row],[New Pos R]])</f>
        <v>77</v>
      </c>
      <c r="H2527">
        <f>IF(AND(Table13[[#This Row],[Direction]]="L",Table13[[#This Row],[Steps]]&gt;G2526,G2526&lt;&gt;0),1,0)</f>
        <v>0</v>
      </c>
      <c r="I2527">
        <f>IF(AND(Table13[[#This Row],[Direction]]="R",(G2526+Table13[[#This Row],[Steps]])&gt;100),1,0)</f>
        <v>0</v>
      </c>
      <c r="J2527">
        <f>IF(Table13[[#This Row],[POS]]=0,1,0)</f>
        <v>0</v>
      </c>
      <c r="K2527">
        <f>SUM(Table13[[#This Row],[prefix]],Table13[[#This Row],[Past zero L]],Table13[[#This Row],[Past Zero R]],Table13[[#This Row],[Is Zero]])</f>
        <v>0</v>
      </c>
    </row>
    <row r="2528" spans="1:11" ht="16" x14ac:dyDescent="0.2">
      <c r="A2528" s="1" t="s">
        <v>68</v>
      </c>
      <c r="B2528" t="str">
        <f>LEFT(Table13[[#This Row],[Input]],1)</f>
        <v>L</v>
      </c>
      <c r="C2528">
        <f>_xlfn.LET(_xlpm.steps,SUBSTITUTE(Table13[[#This Row],[Input]],Table13[[#This Row],[Direction]],""),VALUE(IF(LEN(_xlpm.steps)&gt;2,RIGHT(_xlpm.steps,2),_xlpm.steps)))</f>
        <v>80</v>
      </c>
      <c r="D2528">
        <f>_xlfn.LET(_xlpm.steps,SUBSTITUTE(Table13[[#This Row],[Input]],Table13[[#This Row],[Direction]],""),VALUE(IF(LEN(_xlpm.steps)&gt;2,LEFT(_xlpm.steps,LEN(_xlpm.steps)-2),0)))</f>
        <v>0</v>
      </c>
      <c r="E2528">
        <f>_xlfn.LET(_xlpm.dir,Table13[[#This Row],[Direction]],
IF(_xlpm.dir="L",
    IF(G2527-Table13[[#This Row],[Steps]]&lt;0,100+(G2527-Table13[[#This Row],[Steps]]),G2527-Table13[[#This Row],[Steps]]),
))</f>
        <v>97</v>
      </c>
      <c r="F2528">
        <f>_xlfn.LET(_xlpm.dir,Table13[[#This Row],[Direction]],
IF(_xlpm.dir="R",
    IF(G2527+Table13[[#This Row],[Steps]]&gt;99,(G2527+Table13[[#This Row],[Steps]])-100,G2527+Table13[[#This Row],[Steps]]),
))</f>
        <v>0</v>
      </c>
      <c r="G2528">
        <f>IF(Table13[[#This Row],[New Pos L]]&lt;&gt;0,Table13[[#This Row],[New Pos L]],Table13[[#This Row],[New Pos R]])</f>
        <v>97</v>
      </c>
      <c r="H2528">
        <f>IF(AND(Table13[[#This Row],[Direction]]="L",Table13[[#This Row],[Steps]]&gt;G2527,G2527&lt;&gt;0),1,0)</f>
        <v>1</v>
      </c>
      <c r="I2528">
        <f>IF(AND(Table13[[#This Row],[Direction]]="R",(G2527+Table13[[#This Row],[Steps]])&gt;100),1,0)</f>
        <v>0</v>
      </c>
      <c r="J2528">
        <f>IF(Table13[[#This Row],[POS]]=0,1,0)</f>
        <v>0</v>
      </c>
      <c r="K2528">
        <f>SUM(Table13[[#This Row],[prefix]],Table13[[#This Row],[Past zero L]],Table13[[#This Row],[Past Zero R]],Table13[[#This Row],[Is Zero]])</f>
        <v>1</v>
      </c>
    </row>
    <row r="2529" spans="1:11" ht="16" x14ac:dyDescent="0.2">
      <c r="A2529" s="1" t="s">
        <v>46</v>
      </c>
      <c r="B2529" t="str">
        <f>LEFT(Table13[[#This Row],[Input]],1)</f>
        <v>L</v>
      </c>
      <c r="C2529">
        <f>_xlfn.LET(_xlpm.steps,SUBSTITUTE(Table13[[#This Row],[Input]],Table13[[#This Row],[Direction]],""),VALUE(IF(LEN(_xlpm.steps)&gt;2,RIGHT(_xlpm.steps,2),_xlpm.steps)))</f>
        <v>97</v>
      </c>
      <c r="D2529">
        <f>_xlfn.LET(_xlpm.steps,SUBSTITUTE(Table13[[#This Row],[Input]],Table13[[#This Row],[Direction]],""),VALUE(IF(LEN(_xlpm.steps)&gt;2,LEFT(_xlpm.steps,LEN(_xlpm.steps)-2),0)))</f>
        <v>0</v>
      </c>
      <c r="E2529">
        <f>_xlfn.LET(_xlpm.dir,Table13[[#This Row],[Direction]],
IF(_xlpm.dir="L",
    IF(G2528-Table13[[#This Row],[Steps]]&lt;0,100+(G2528-Table13[[#This Row],[Steps]]),G2528-Table13[[#This Row],[Steps]]),
))</f>
        <v>0</v>
      </c>
      <c r="F2529">
        <f>_xlfn.LET(_xlpm.dir,Table13[[#This Row],[Direction]],
IF(_xlpm.dir="R",
    IF(G2528+Table13[[#This Row],[Steps]]&gt;99,(G2528+Table13[[#This Row],[Steps]])-100,G2528+Table13[[#This Row],[Steps]]),
))</f>
        <v>0</v>
      </c>
      <c r="G2529">
        <f>IF(Table13[[#This Row],[New Pos L]]&lt;&gt;0,Table13[[#This Row],[New Pos L]],Table13[[#This Row],[New Pos R]])</f>
        <v>0</v>
      </c>
      <c r="H2529">
        <f>IF(AND(Table13[[#This Row],[Direction]]="L",Table13[[#This Row],[Steps]]&gt;G2528,G2528&lt;&gt;0),1,0)</f>
        <v>0</v>
      </c>
      <c r="I2529">
        <f>IF(AND(Table13[[#This Row],[Direction]]="R",(G2528+Table13[[#This Row],[Steps]])&gt;100),1,0)</f>
        <v>0</v>
      </c>
      <c r="J2529">
        <f>IF(Table13[[#This Row],[POS]]=0,1,0)</f>
        <v>1</v>
      </c>
      <c r="K2529">
        <f>SUM(Table13[[#This Row],[prefix]],Table13[[#This Row],[Past zero L]],Table13[[#This Row],[Past Zero R]],Table13[[#This Row],[Is Zero]])</f>
        <v>1</v>
      </c>
    </row>
    <row r="2530" spans="1:11" ht="16" x14ac:dyDescent="0.2">
      <c r="A2530" s="1" t="s">
        <v>191</v>
      </c>
      <c r="B2530" t="str">
        <f>LEFT(Table13[[#This Row],[Input]],1)</f>
        <v>L</v>
      </c>
      <c r="C2530">
        <f>_xlfn.LET(_xlpm.steps,SUBSTITUTE(Table13[[#This Row],[Input]],Table13[[#This Row],[Direction]],""),VALUE(IF(LEN(_xlpm.steps)&gt;2,RIGHT(_xlpm.steps,2),_xlpm.steps)))</f>
        <v>5</v>
      </c>
      <c r="D2530">
        <f>_xlfn.LET(_xlpm.steps,SUBSTITUTE(Table13[[#This Row],[Input]],Table13[[#This Row],[Direction]],""),VALUE(IF(LEN(_xlpm.steps)&gt;2,LEFT(_xlpm.steps,LEN(_xlpm.steps)-2),0)))</f>
        <v>0</v>
      </c>
      <c r="E2530">
        <f>_xlfn.LET(_xlpm.dir,Table13[[#This Row],[Direction]],
IF(_xlpm.dir="L",
    IF(G2529-Table13[[#This Row],[Steps]]&lt;0,100+(G2529-Table13[[#This Row],[Steps]]),G2529-Table13[[#This Row],[Steps]]),
))</f>
        <v>95</v>
      </c>
      <c r="F2530">
        <f>_xlfn.LET(_xlpm.dir,Table13[[#This Row],[Direction]],
IF(_xlpm.dir="R",
    IF(G2529+Table13[[#This Row],[Steps]]&gt;99,(G2529+Table13[[#This Row],[Steps]])-100,G2529+Table13[[#This Row],[Steps]]),
))</f>
        <v>0</v>
      </c>
      <c r="G2530">
        <f>IF(Table13[[#This Row],[New Pos L]]&lt;&gt;0,Table13[[#This Row],[New Pos L]],Table13[[#This Row],[New Pos R]])</f>
        <v>95</v>
      </c>
      <c r="H2530">
        <f>IF(AND(Table13[[#This Row],[Direction]]="L",Table13[[#This Row],[Steps]]&gt;G2529,G2529&lt;&gt;0),1,0)</f>
        <v>0</v>
      </c>
      <c r="I2530">
        <f>IF(AND(Table13[[#This Row],[Direction]]="R",(G2529+Table13[[#This Row],[Steps]])&gt;100),1,0)</f>
        <v>0</v>
      </c>
      <c r="J2530">
        <f>IF(Table13[[#This Row],[POS]]=0,1,0)</f>
        <v>0</v>
      </c>
      <c r="K2530">
        <f>SUM(Table13[[#This Row],[prefix]],Table13[[#This Row],[Past zero L]],Table13[[#This Row],[Past Zero R]],Table13[[#This Row],[Is Zero]])</f>
        <v>0</v>
      </c>
    </row>
    <row r="2531" spans="1:11" ht="16" x14ac:dyDescent="0.2">
      <c r="A2531" s="1" t="s">
        <v>95</v>
      </c>
      <c r="B2531" t="str">
        <f>LEFT(Table13[[#This Row],[Input]],1)</f>
        <v>L</v>
      </c>
      <c r="C2531">
        <f>_xlfn.LET(_xlpm.steps,SUBSTITUTE(Table13[[#This Row],[Input]],Table13[[#This Row],[Direction]],""),VALUE(IF(LEN(_xlpm.steps)&gt;2,RIGHT(_xlpm.steps,2),_xlpm.steps)))</f>
        <v>78</v>
      </c>
      <c r="D2531">
        <f>_xlfn.LET(_xlpm.steps,SUBSTITUTE(Table13[[#This Row],[Input]],Table13[[#This Row],[Direction]],""),VALUE(IF(LEN(_xlpm.steps)&gt;2,LEFT(_xlpm.steps,LEN(_xlpm.steps)-2),0)))</f>
        <v>0</v>
      </c>
      <c r="E2531">
        <f>_xlfn.LET(_xlpm.dir,Table13[[#This Row],[Direction]],
IF(_xlpm.dir="L",
    IF(G2530-Table13[[#This Row],[Steps]]&lt;0,100+(G2530-Table13[[#This Row],[Steps]]),G2530-Table13[[#This Row],[Steps]]),
))</f>
        <v>17</v>
      </c>
      <c r="F2531">
        <f>_xlfn.LET(_xlpm.dir,Table13[[#This Row],[Direction]],
IF(_xlpm.dir="R",
    IF(G2530+Table13[[#This Row],[Steps]]&gt;99,(G2530+Table13[[#This Row],[Steps]])-100,G2530+Table13[[#This Row],[Steps]]),
))</f>
        <v>0</v>
      </c>
      <c r="G2531">
        <f>IF(Table13[[#This Row],[New Pos L]]&lt;&gt;0,Table13[[#This Row],[New Pos L]],Table13[[#This Row],[New Pos R]])</f>
        <v>17</v>
      </c>
      <c r="H2531">
        <f>IF(AND(Table13[[#This Row],[Direction]]="L",Table13[[#This Row],[Steps]]&gt;G2530,G2530&lt;&gt;0),1,0)</f>
        <v>0</v>
      </c>
      <c r="I2531">
        <f>IF(AND(Table13[[#This Row],[Direction]]="R",(G2530+Table13[[#This Row],[Steps]])&gt;100),1,0)</f>
        <v>0</v>
      </c>
      <c r="J2531">
        <f>IF(Table13[[#This Row],[POS]]=0,1,0)</f>
        <v>0</v>
      </c>
      <c r="K2531">
        <f>SUM(Table13[[#This Row],[prefix]],Table13[[#This Row],[Past zero L]],Table13[[#This Row],[Past Zero R]],Table13[[#This Row],[Is Zero]])</f>
        <v>0</v>
      </c>
    </row>
    <row r="2532" spans="1:11" ht="16" x14ac:dyDescent="0.2">
      <c r="A2532" s="1" t="s">
        <v>267</v>
      </c>
      <c r="B2532" t="str">
        <f>LEFT(Table13[[#This Row],[Input]],1)</f>
        <v>L</v>
      </c>
      <c r="C2532">
        <f>_xlfn.LET(_xlpm.steps,SUBSTITUTE(Table13[[#This Row],[Input]],Table13[[#This Row],[Direction]],""),VALUE(IF(LEN(_xlpm.steps)&gt;2,RIGHT(_xlpm.steps,2),_xlpm.steps)))</f>
        <v>39</v>
      </c>
      <c r="D2532">
        <f>_xlfn.LET(_xlpm.steps,SUBSTITUTE(Table13[[#This Row],[Input]],Table13[[#This Row],[Direction]],""),VALUE(IF(LEN(_xlpm.steps)&gt;2,LEFT(_xlpm.steps,LEN(_xlpm.steps)-2),0)))</f>
        <v>0</v>
      </c>
      <c r="E2532">
        <f>_xlfn.LET(_xlpm.dir,Table13[[#This Row],[Direction]],
IF(_xlpm.dir="L",
    IF(G2531-Table13[[#This Row],[Steps]]&lt;0,100+(G2531-Table13[[#This Row],[Steps]]),G2531-Table13[[#This Row],[Steps]]),
))</f>
        <v>78</v>
      </c>
      <c r="F2532">
        <f>_xlfn.LET(_xlpm.dir,Table13[[#This Row],[Direction]],
IF(_xlpm.dir="R",
    IF(G2531+Table13[[#This Row],[Steps]]&gt;99,(G2531+Table13[[#This Row],[Steps]])-100,G2531+Table13[[#This Row],[Steps]]),
))</f>
        <v>0</v>
      </c>
      <c r="G2532">
        <f>IF(Table13[[#This Row],[New Pos L]]&lt;&gt;0,Table13[[#This Row],[New Pos L]],Table13[[#This Row],[New Pos R]])</f>
        <v>78</v>
      </c>
      <c r="H2532">
        <f>IF(AND(Table13[[#This Row],[Direction]]="L",Table13[[#This Row],[Steps]]&gt;G2531,G2531&lt;&gt;0),1,0)</f>
        <v>1</v>
      </c>
      <c r="I2532">
        <f>IF(AND(Table13[[#This Row],[Direction]]="R",(G2531+Table13[[#This Row],[Steps]])&gt;100),1,0)</f>
        <v>0</v>
      </c>
      <c r="J2532">
        <f>IF(Table13[[#This Row],[POS]]=0,1,0)</f>
        <v>0</v>
      </c>
      <c r="K2532">
        <f>SUM(Table13[[#This Row],[prefix]],Table13[[#This Row],[Past zero L]],Table13[[#This Row],[Past Zero R]],Table13[[#This Row],[Is Zero]])</f>
        <v>1</v>
      </c>
    </row>
    <row r="2533" spans="1:11" ht="16" x14ac:dyDescent="0.2">
      <c r="A2533" s="1" t="s">
        <v>28</v>
      </c>
      <c r="B2533" t="str">
        <f>LEFT(Table13[[#This Row],[Input]],1)</f>
        <v>R</v>
      </c>
      <c r="C2533">
        <f>_xlfn.LET(_xlpm.steps,SUBSTITUTE(Table13[[#This Row],[Input]],Table13[[#This Row],[Direction]],""),VALUE(IF(LEN(_xlpm.steps)&gt;2,RIGHT(_xlpm.steps,2),_xlpm.steps)))</f>
        <v>30</v>
      </c>
      <c r="D2533">
        <f>_xlfn.LET(_xlpm.steps,SUBSTITUTE(Table13[[#This Row],[Input]],Table13[[#This Row],[Direction]],""),VALUE(IF(LEN(_xlpm.steps)&gt;2,LEFT(_xlpm.steps,LEN(_xlpm.steps)-2),0)))</f>
        <v>0</v>
      </c>
      <c r="E2533">
        <f>_xlfn.LET(_xlpm.dir,Table13[[#This Row],[Direction]],
IF(_xlpm.dir="L",
    IF(G2532-Table13[[#This Row],[Steps]]&lt;0,100+(G2532-Table13[[#This Row],[Steps]]),G2532-Table13[[#This Row],[Steps]]),
))</f>
        <v>0</v>
      </c>
      <c r="F2533">
        <f>_xlfn.LET(_xlpm.dir,Table13[[#This Row],[Direction]],
IF(_xlpm.dir="R",
    IF(G2532+Table13[[#This Row],[Steps]]&gt;99,(G2532+Table13[[#This Row],[Steps]])-100,G2532+Table13[[#This Row],[Steps]]),
))</f>
        <v>8</v>
      </c>
      <c r="G2533">
        <f>IF(Table13[[#This Row],[New Pos L]]&lt;&gt;0,Table13[[#This Row],[New Pos L]],Table13[[#This Row],[New Pos R]])</f>
        <v>8</v>
      </c>
      <c r="H2533">
        <f>IF(AND(Table13[[#This Row],[Direction]]="L",Table13[[#This Row],[Steps]]&gt;G2532,G2532&lt;&gt;0),1,0)</f>
        <v>0</v>
      </c>
      <c r="I2533">
        <f>IF(AND(Table13[[#This Row],[Direction]]="R",(G2532+Table13[[#This Row],[Steps]])&gt;100),1,0)</f>
        <v>1</v>
      </c>
      <c r="J2533">
        <f>IF(Table13[[#This Row],[POS]]=0,1,0)</f>
        <v>0</v>
      </c>
      <c r="K2533">
        <f>SUM(Table13[[#This Row],[prefix]],Table13[[#This Row],[Past zero L]],Table13[[#This Row],[Past Zero R]],Table13[[#This Row],[Is Zero]])</f>
        <v>1</v>
      </c>
    </row>
    <row r="2534" spans="1:11" ht="16" x14ac:dyDescent="0.2">
      <c r="A2534" s="1" t="s">
        <v>23</v>
      </c>
      <c r="B2534" t="str">
        <f>LEFT(Table13[[#This Row],[Input]],1)</f>
        <v>L</v>
      </c>
      <c r="C2534">
        <f>_xlfn.LET(_xlpm.steps,SUBSTITUTE(Table13[[#This Row],[Input]],Table13[[#This Row],[Direction]],""),VALUE(IF(LEN(_xlpm.steps)&gt;2,RIGHT(_xlpm.steps,2),_xlpm.steps)))</f>
        <v>8</v>
      </c>
      <c r="D2534">
        <f>_xlfn.LET(_xlpm.steps,SUBSTITUTE(Table13[[#This Row],[Input]],Table13[[#This Row],[Direction]],""),VALUE(IF(LEN(_xlpm.steps)&gt;2,LEFT(_xlpm.steps,LEN(_xlpm.steps)-2),0)))</f>
        <v>0</v>
      </c>
      <c r="E2534">
        <f>_xlfn.LET(_xlpm.dir,Table13[[#This Row],[Direction]],
IF(_xlpm.dir="L",
    IF(G2533-Table13[[#This Row],[Steps]]&lt;0,100+(G2533-Table13[[#This Row],[Steps]]),G2533-Table13[[#This Row],[Steps]]),
))</f>
        <v>0</v>
      </c>
      <c r="F2534">
        <f>_xlfn.LET(_xlpm.dir,Table13[[#This Row],[Direction]],
IF(_xlpm.dir="R",
    IF(G2533+Table13[[#This Row],[Steps]]&gt;99,(G2533+Table13[[#This Row],[Steps]])-100,G2533+Table13[[#This Row],[Steps]]),
))</f>
        <v>0</v>
      </c>
      <c r="G2534">
        <f>IF(Table13[[#This Row],[New Pos L]]&lt;&gt;0,Table13[[#This Row],[New Pos L]],Table13[[#This Row],[New Pos R]])</f>
        <v>0</v>
      </c>
      <c r="H2534">
        <f>IF(AND(Table13[[#This Row],[Direction]]="L",Table13[[#This Row],[Steps]]&gt;G2533,G2533&lt;&gt;0),1,0)</f>
        <v>0</v>
      </c>
      <c r="I2534">
        <f>IF(AND(Table13[[#This Row],[Direction]]="R",(G2533+Table13[[#This Row],[Steps]])&gt;100),1,0)</f>
        <v>0</v>
      </c>
      <c r="J2534">
        <f>IF(Table13[[#This Row],[POS]]=0,1,0)</f>
        <v>1</v>
      </c>
      <c r="K2534">
        <f>SUM(Table13[[#This Row],[prefix]],Table13[[#This Row],[Past zero L]],Table13[[#This Row],[Past Zero R]],Table13[[#This Row],[Is Zero]])</f>
        <v>1</v>
      </c>
    </row>
    <row r="2535" spans="1:11" ht="16" x14ac:dyDescent="0.2">
      <c r="A2535" s="1" t="s">
        <v>618</v>
      </c>
      <c r="B2535" t="str">
        <f>LEFT(Table13[[#This Row],[Input]],1)</f>
        <v>R</v>
      </c>
      <c r="C2535">
        <f>_xlfn.LET(_xlpm.steps,SUBSTITUTE(Table13[[#This Row],[Input]],Table13[[#This Row],[Direction]],""),VALUE(IF(LEN(_xlpm.steps)&gt;2,RIGHT(_xlpm.steps,2),_xlpm.steps)))</f>
        <v>53</v>
      </c>
      <c r="D2535">
        <f>_xlfn.LET(_xlpm.steps,SUBSTITUTE(Table13[[#This Row],[Input]],Table13[[#This Row],[Direction]],""),VALUE(IF(LEN(_xlpm.steps)&gt;2,LEFT(_xlpm.steps,LEN(_xlpm.steps)-2),0)))</f>
        <v>8</v>
      </c>
      <c r="E2535">
        <f>_xlfn.LET(_xlpm.dir,Table13[[#This Row],[Direction]],
IF(_xlpm.dir="L",
    IF(G2534-Table13[[#This Row],[Steps]]&lt;0,100+(G2534-Table13[[#This Row],[Steps]]),G2534-Table13[[#This Row],[Steps]]),
))</f>
        <v>0</v>
      </c>
      <c r="F2535">
        <f>_xlfn.LET(_xlpm.dir,Table13[[#This Row],[Direction]],
IF(_xlpm.dir="R",
    IF(G2534+Table13[[#This Row],[Steps]]&gt;99,(G2534+Table13[[#This Row],[Steps]])-100,G2534+Table13[[#This Row],[Steps]]),
))</f>
        <v>53</v>
      </c>
      <c r="G2535">
        <f>IF(Table13[[#This Row],[New Pos L]]&lt;&gt;0,Table13[[#This Row],[New Pos L]],Table13[[#This Row],[New Pos R]])</f>
        <v>53</v>
      </c>
      <c r="H2535">
        <f>IF(AND(Table13[[#This Row],[Direction]]="L",Table13[[#This Row],[Steps]]&gt;G2534,G2534&lt;&gt;0),1,0)</f>
        <v>0</v>
      </c>
      <c r="I2535">
        <f>IF(AND(Table13[[#This Row],[Direction]]="R",(G2534+Table13[[#This Row],[Steps]])&gt;100),1,0)</f>
        <v>0</v>
      </c>
      <c r="J2535">
        <f>IF(Table13[[#This Row],[POS]]=0,1,0)</f>
        <v>0</v>
      </c>
      <c r="K2535">
        <f>SUM(Table13[[#This Row],[prefix]],Table13[[#This Row],[Past zero L]],Table13[[#This Row],[Past Zero R]],Table13[[#This Row],[Is Zero]])</f>
        <v>8</v>
      </c>
    </row>
    <row r="2536" spans="1:11" ht="16" x14ac:dyDescent="0.2">
      <c r="A2536" s="1" t="s">
        <v>181</v>
      </c>
      <c r="B2536" t="str">
        <f>LEFT(Table13[[#This Row],[Input]],1)</f>
        <v>L</v>
      </c>
      <c r="C2536">
        <f>_xlfn.LET(_xlpm.steps,SUBSTITUTE(Table13[[#This Row],[Input]],Table13[[#This Row],[Direction]],""),VALUE(IF(LEN(_xlpm.steps)&gt;2,RIGHT(_xlpm.steps,2),_xlpm.steps)))</f>
        <v>53</v>
      </c>
      <c r="D2536">
        <f>_xlfn.LET(_xlpm.steps,SUBSTITUTE(Table13[[#This Row],[Input]],Table13[[#This Row],[Direction]],""),VALUE(IF(LEN(_xlpm.steps)&gt;2,LEFT(_xlpm.steps,LEN(_xlpm.steps)-2),0)))</f>
        <v>0</v>
      </c>
      <c r="E2536">
        <f>_xlfn.LET(_xlpm.dir,Table13[[#This Row],[Direction]],
IF(_xlpm.dir="L",
    IF(G2535-Table13[[#This Row],[Steps]]&lt;0,100+(G2535-Table13[[#This Row],[Steps]]),G2535-Table13[[#This Row],[Steps]]),
))</f>
        <v>0</v>
      </c>
      <c r="F2536">
        <f>_xlfn.LET(_xlpm.dir,Table13[[#This Row],[Direction]],
IF(_xlpm.dir="R",
    IF(G2535+Table13[[#This Row],[Steps]]&gt;99,(G2535+Table13[[#This Row],[Steps]])-100,G2535+Table13[[#This Row],[Steps]]),
))</f>
        <v>0</v>
      </c>
      <c r="G2536">
        <f>IF(Table13[[#This Row],[New Pos L]]&lt;&gt;0,Table13[[#This Row],[New Pos L]],Table13[[#This Row],[New Pos R]])</f>
        <v>0</v>
      </c>
      <c r="H2536">
        <f>IF(AND(Table13[[#This Row],[Direction]]="L",Table13[[#This Row],[Steps]]&gt;G2535,G2535&lt;&gt;0),1,0)</f>
        <v>0</v>
      </c>
      <c r="I2536">
        <f>IF(AND(Table13[[#This Row],[Direction]]="R",(G2535+Table13[[#This Row],[Steps]])&gt;100),1,0)</f>
        <v>0</v>
      </c>
      <c r="J2536">
        <f>IF(Table13[[#This Row],[POS]]=0,1,0)</f>
        <v>1</v>
      </c>
      <c r="K2536">
        <f>SUM(Table13[[#This Row],[prefix]],Table13[[#This Row],[Past zero L]],Table13[[#This Row],[Past Zero R]],Table13[[#This Row],[Is Zero]])</f>
        <v>1</v>
      </c>
    </row>
    <row r="2537" spans="1:11" ht="16" x14ac:dyDescent="0.2">
      <c r="A2537" s="1" t="s">
        <v>179</v>
      </c>
      <c r="B2537" t="str">
        <f>LEFT(Table13[[#This Row],[Input]],1)</f>
        <v>L</v>
      </c>
      <c r="C2537">
        <f>_xlfn.LET(_xlpm.steps,SUBSTITUTE(Table13[[#This Row],[Input]],Table13[[#This Row],[Direction]],""),VALUE(IF(LEN(_xlpm.steps)&gt;2,RIGHT(_xlpm.steps,2),_xlpm.steps)))</f>
        <v>54</v>
      </c>
      <c r="D2537">
        <f>_xlfn.LET(_xlpm.steps,SUBSTITUTE(Table13[[#This Row],[Input]],Table13[[#This Row],[Direction]],""),VALUE(IF(LEN(_xlpm.steps)&gt;2,LEFT(_xlpm.steps,LEN(_xlpm.steps)-2),0)))</f>
        <v>0</v>
      </c>
      <c r="E2537">
        <f>_xlfn.LET(_xlpm.dir,Table13[[#This Row],[Direction]],
IF(_xlpm.dir="L",
    IF(G2536-Table13[[#This Row],[Steps]]&lt;0,100+(G2536-Table13[[#This Row],[Steps]]),G2536-Table13[[#This Row],[Steps]]),
))</f>
        <v>46</v>
      </c>
      <c r="F2537">
        <f>_xlfn.LET(_xlpm.dir,Table13[[#This Row],[Direction]],
IF(_xlpm.dir="R",
    IF(G2536+Table13[[#This Row],[Steps]]&gt;99,(G2536+Table13[[#This Row],[Steps]])-100,G2536+Table13[[#This Row],[Steps]]),
))</f>
        <v>0</v>
      </c>
      <c r="G2537">
        <f>IF(Table13[[#This Row],[New Pos L]]&lt;&gt;0,Table13[[#This Row],[New Pos L]],Table13[[#This Row],[New Pos R]])</f>
        <v>46</v>
      </c>
      <c r="H2537">
        <f>IF(AND(Table13[[#This Row],[Direction]]="L",Table13[[#This Row],[Steps]]&gt;G2536,G2536&lt;&gt;0),1,0)</f>
        <v>0</v>
      </c>
      <c r="I2537">
        <f>IF(AND(Table13[[#This Row],[Direction]]="R",(G2536+Table13[[#This Row],[Steps]])&gt;100),1,0)</f>
        <v>0</v>
      </c>
      <c r="J2537">
        <f>IF(Table13[[#This Row],[POS]]=0,1,0)</f>
        <v>0</v>
      </c>
      <c r="K2537">
        <f>SUM(Table13[[#This Row],[prefix]],Table13[[#This Row],[Past zero L]],Table13[[#This Row],[Past Zero R]],Table13[[#This Row],[Is Zero]])</f>
        <v>0</v>
      </c>
    </row>
    <row r="2538" spans="1:11" ht="16" x14ac:dyDescent="0.2">
      <c r="A2538" s="1" t="s">
        <v>216</v>
      </c>
      <c r="B2538" t="str">
        <f>LEFT(Table13[[#This Row],[Input]],1)</f>
        <v>R</v>
      </c>
      <c r="C2538">
        <f>_xlfn.LET(_xlpm.steps,SUBSTITUTE(Table13[[#This Row],[Input]],Table13[[#This Row],[Direction]],""),VALUE(IF(LEN(_xlpm.steps)&gt;2,RIGHT(_xlpm.steps,2),_xlpm.steps)))</f>
        <v>54</v>
      </c>
      <c r="D2538">
        <f>_xlfn.LET(_xlpm.steps,SUBSTITUTE(Table13[[#This Row],[Input]],Table13[[#This Row],[Direction]],""),VALUE(IF(LEN(_xlpm.steps)&gt;2,LEFT(_xlpm.steps,LEN(_xlpm.steps)-2),0)))</f>
        <v>0</v>
      </c>
      <c r="E2538">
        <f>_xlfn.LET(_xlpm.dir,Table13[[#This Row],[Direction]],
IF(_xlpm.dir="L",
    IF(G2537-Table13[[#This Row],[Steps]]&lt;0,100+(G2537-Table13[[#This Row],[Steps]]),G2537-Table13[[#This Row],[Steps]]),
))</f>
        <v>0</v>
      </c>
      <c r="F2538">
        <f>_xlfn.LET(_xlpm.dir,Table13[[#This Row],[Direction]],
IF(_xlpm.dir="R",
    IF(G2537+Table13[[#This Row],[Steps]]&gt;99,(G2537+Table13[[#This Row],[Steps]])-100,G2537+Table13[[#This Row],[Steps]]),
))</f>
        <v>0</v>
      </c>
      <c r="G2538">
        <f>IF(Table13[[#This Row],[New Pos L]]&lt;&gt;0,Table13[[#This Row],[New Pos L]],Table13[[#This Row],[New Pos R]])</f>
        <v>0</v>
      </c>
      <c r="H2538">
        <f>IF(AND(Table13[[#This Row],[Direction]]="L",Table13[[#This Row],[Steps]]&gt;G2537,G2537&lt;&gt;0),1,0)</f>
        <v>0</v>
      </c>
      <c r="I2538">
        <f>IF(AND(Table13[[#This Row],[Direction]]="R",(G2537+Table13[[#This Row],[Steps]])&gt;100),1,0)</f>
        <v>0</v>
      </c>
      <c r="J2538">
        <f>IF(Table13[[#This Row],[POS]]=0,1,0)</f>
        <v>1</v>
      </c>
      <c r="K2538">
        <f>SUM(Table13[[#This Row],[prefix]],Table13[[#This Row],[Past zero L]],Table13[[#This Row],[Past Zero R]],Table13[[#This Row],[Is Zero]])</f>
        <v>1</v>
      </c>
    </row>
    <row r="2539" spans="1:11" ht="16" x14ac:dyDescent="0.2">
      <c r="A2539" s="1" t="s">
        <v>84</v>
      </c>
      <c r="B2539" t="str">
        <f>LEFT(Table13[[#This Row],[Input]],1)</f>
        <v>R</v>
      </c>
      <c r="C2539">
        <f>_xlfn.LET(_xlpm.steps,SUBSTITUTE(Table13[[#This Row],[Input]],Table13[[#This Row],[Direction]],""),VALUE(IF(LEN(_xlpm.steps)&gt;2,RIGHT(_xlpm.steps,2),_xlpm.steps)))</f>
        <v>88</v>
      </c>
      <c r="D2539">
        <f>_xlfn.LET(_xlpm.steps,SUBSTITUTE(Table13[[#This Row],[Input]],Table13[[#This Row],[Direction]],""),VALUE(IF(LEN(_xlpm.steps)&gt;2,LEFT(_xlpm.steps,LEN(_xlpm.steps)-2),0)))</f>
        <v>0</v>
      </c>
      <c r="E2539">
        <f>_xlfn.LET(_xlpm.dir,Table13[[#This Row],[Direction]],
IF(_xlpm.dir="L",
    IF(G2538-Table13[[#This Row],[Steps]]&lt;0,100+(G2538-Table13[[#This Row],[Steps]]),G2538-Table13[[#This Row],[Steps]]),
))</f>
        <v>0</v>
      </c>
      <c r="F2539">
        <f>_xlfn.LET(_xlpm.dir,Table13[[#This Row],[Direction]],
IF(_xlpm.dir="R",
    IF(G2538+Table13[[#This Row],[Steps]]&gt;99,(G2538+Table13[[#This Row],[Steps]])-100,G2538+Table13[[#This Row],[Steps]]),
))</f>
        <v>88</v>
      </c>
      <c r="G2539">
        <f>IF(Table13[[#This Row],[New Pos L]]&lt;&gt;0,Table13[[#This Row],[New Pos L]],Table13[[#This Row],[New Pos R]])</f>
        <v>88</v>
      </c>
      <c r="H2539">
        <f>IF(AND(Table13[[#This Row],[Direction]]="L",Table13[[#This Row],[Steps]]&gt;G2538,G2538&lt;&gt;0),1,0)</f>
        <v>0</v>
      </c>
      <c r="I2539">
        <f>IF(AND(Table13[[#This Row],[Direction]]="R",(G2538+Table13[[#This Row],[Steps]])&gt;100),1,0)</f>
        <v>0</v>
      </c>
      <c r="J2539">
        <f>IF(Table13[[#This Row],[POS]]=0,1,0)</f>
        <v>0</v>
      </c>
      <c r="K2539">
        <f>SUM(Table13[[#This Row],[prefix]],Table13[[#This Row],[Past zero L]],Table13[[#This Row],[Past Zero R]],Table13[[#This Row],[Is Zero]])</f>
        <v>0</v>
      </c>
    </row>
    <row r="2540" spans="1:11" ht="16" x14ac:dyDescent="0.2">
      <c r="A2540" s="1" t="s">
        <v>27</v>
      </c>
      <c r="B2540" t="str">
        <f>LEFT(Table13[[#This Row],[Input]],1)</f>
        <v>L</v>
      </c>
      <c r="C2540">
        <f>_xlfn.LET(_xlpm.steps,SUBSTITUTE(Table13[[#This Row],[Input]],Table13[[#This Row],[Direction]],""),VALUE(IF(LEN(_xlpm.steps)&gt;2,RIGHT(_xlpm.steps,2),_xlpm.steps)))</f>
        <v>14</v>
      </c>
      <c r="D2540">
        <f>_xlfn.LET(_xlpm.steps,SUBSTITUTE(Table13[[#This Row],[Input]],Table13[[#This Row],[Direction]],""),VALUE(IF(LEN(_xlpm.steps)&gt;2,LEFT(_xlpm.steps,LEN(_xlpm.steps)-2),0)))</f>
        <v>0</v>
      </c>
      <c r="E2540">
        <f>_xlfn.LET(_xlpm.dir,Table13[[#This Row],[Direction]],
IF(_xlpm.dir="L",
    IF(G2539-Table13[[#This Row],[Steps]]&lt;0,100+(G2539-Table13[[#This Row],[Steps]]),G2539-Table13[[#This Row],[Steps]]),
))</f>
        <v>74</v>
      </c>
      <c r="F2540">
        <f>_xlfn.LET(_xlpm.dir,Table13[[#This Row],[Direction]],
IF(_xlpm.dir="R",
    IF(G2539+Table13[[#This Row],[Steps]]&gt;99,(G2539+Table13[[#This Row],[Steps]])-100,G2539+Table13[[#This Row],[Steps]]),
))</f>
        <v>0</v>
      </c>
      <c r="G2540">
        <f>IF(Table13[[#This Row],[New Pos L]]&lt;&gt;0,Table13[[#This Row],[New Pos L]],Table13[[#This Row],[New Pos R]])</f>
        <v>74</v>
      </c>
      <c r="H2540">
        <f>IF(AND(Table13[[#This Row],[Direction]]="L",Table13[[#This Row],[Steps]]&gt;G2539,G2539&lt;&gt;0),1,0)</f>
        <v>0</v>
      </c>
      <c r="I2540">
        <f>IF(AND(Table13[[#This Row],[Direction]]="R",(G2539+Table13[[#This Row],[Steps]])&gt;100),1,0)</f>
        <v>0</v>
      </c>
      <c r="J2540">
        <f>IF(Table13[[#This Row],[POS]]=0,1,0)</f>
        <v>0</v>
      </c>
      <c r="K2540">
        <f>SUM(Table13[[#This Row],[prefix]],Table13[[#This Row],[Past zero L]],Table13[[#This Row],[Past Zero R]],Table13[[#This Row],[Is Zero]])</f>
        <v>0</v>
      </c>
    </row>
    <row r="2541" spans="1:11" ht="16" x14ac:dyDescent="0.2">
      <c r="A2541" s="1" t="s">
        <v>151</v>
      </c>
      <c r="B2541" t="str">
        <f>LEFT(Table13[[#This Row],[Input]],1)</f>
        <v>L</v>
      </c>
      <c r="C2541">
        <f>_xlfn.LET(_xlpm.steps,SUBSTITUTE(Table13[[#This Row],[Input]],Table13[[#This Row],[Direction]],""),VALUE(IF(LEN(_xlpm.steps)&gt;2,RIGHT(_xlpm.steps,2),_xlpm.steps)))</f>
        <v>74</v>
      </c>
      <c r="D2541">
        <f>_xlfn.LET(_xlpm.steps,SUBSTITUTE(Table13[[#This Row],[Input]],Table13[[#This Row],[Direction]],""),VALUE(IF(LEN(_xlpm.steps)&gt;2,LEFT(_xlpm.steps,LEN(_xlpm.steps)-2),0)))</f>
        <v>0</v>
      </c>
      <c r="E2541">
        <f>_xlfn.LET(_xlpm.dir,Table13[[#This Row],[Direction]],
IF(_xlpm.dir="L",
    IF(G2540-Table13[[#This Row],[Steps]]&lt;0,100+(G2540-Table13[[#This Row],[Steps]]),G2540-Table13[[#This Row],[Steps]]),
))</f>
        <v>0</v>
      </c>
      <c r="F2541">
        <f>_xlfn.LET(_xlpm.dir,Table13[[#This Row],[Direction]],
IF(_xlpm.dir="R",
    IF(G2540+Table13[[#This Row],[Steps]]&gt;99,(G2540+Table13[[#This Row],[Steps]])-100,G2540+Table13[[#This Row],[Steps]]),
))</f>
        <v>0</v>
      </c>
      <c r="G2541">
        <f>IF(Table13[[#This Row],[New Pos L]]&lt;&gt;0,Table13[[#This Row],[New Pos L]],Table13[[#This Row],[New Pos R]])</f>
        <v>0</v>
      </c>
      <c r="H2541">
        <f>IF(AND(Table13[[#This Row],[Direction]]="L",Table13[[#This Row],[Steps]]&gt;G2540,G2540&lt;&gt;0),1,0)</f>
        <v>0</v>
      </c>
      <c r="I2541">
        <f>IF(AND(Table13[[#This Row],[Direction]]="R",(G2540+Table13[[#This Row],[Steps]])&gt;100),1,0)</f>
        <v>0</v>
      </c>
      <c r="J2541">
        <f>IF(Table13[[#This Row],[POS]]=0,1,0)</f>
        <v>1</v>
      </c>
      <c r="K2541">
        <f>SUM(Table13[[#This Row],[prefix]],Table13[[#This Row],[Past zero L]],Table13[[#This Row],[Past Zero R]],Table13[[#This Row],[Is Zero]])</f>
        <v>1</v>
      </c>
    </row>
    <row r="2542" spans="1:11" ht="16" x14ac:dyDescent="0.2">
      <c r="A2542" s="1" t="s">
        <v>132</v>
      </c>
      <c r="B2542" t="str">
        <f>LEFT(Table13[[#This Row],[Input]],1)</f>
        <v>L</v>
      </c>
      <c r="C2542">
        <f>_xlfn.LET(_xlpm.steps,SUBSTITUTE(Table13[[#This Row],[Input]],Table13[[#This Row],[Direction]],""),VALUE(IF(LEN(_xlpm.steps)&gt;2,RIGHT(_xlpm.steps,2),_xlpm.steps)))</f>
        <v>51</v>
      </c>
      <c r="D2542">
        <f>_xlfn.LET(_xlpm.steps,SUBSTITUTE(Table13[[#This Row],[Input]],Table13[[#This Row],[Direction]],""),VALUE(IF(LEN(_xlpm.steps)&gt;2,LEFT(_xlpm.steps,LEN(_xlpm.steps)-2),0)))</f>
        <v>0</v>
      </c>
      <c r="E2542">
        <f>_xlfn.LET(_xlpm.dir,Table13[[#This Row],[Direction]],
IF(_xlpm.dir="L",
    IF(G2541-Table13[[#This Row],[Steps]]&lt;0,100+(G2541-Table13[[#This Row],[Steps]]),G2541-Table13[[#This Row],[Steps]]),
))</f>
        <v>49</v>
      </c>
      <c r="F2542">
        <f>_xlfn.LET(_xlpm.dir,Table13[[#This Row],[Direction]],
IF(_xlpm.dir="R",
    IF(G2541+Table13[[#This Row],[Steps]]&gt;99,(G2541+Table13[[#This Row],[Steps]])-100,G2541+Table13[[#This Row],[Steps]]),
))</f>
        <v>0</v>
      </c>
      <c r="G2542">
        <f>IF(Table13[[#This Row],[New Pos L]]&lt;&gt;0,Table13[[#This Row],[New Pos L]],Table13[[#This Row],[New Pos R]])</f>
        <v>49</v>
      </c>
      <c r="H2542">
        <f>IF(AND(Table13[[#This Row],[Direction]]="L",Table13[[#This Row],[Steps]]&gt;G2541,G2541&lt;&gt;0),1,0)</f>
        <v>0</v>
      </c>
      <c r="I2542">
        <f>IF(AND(Table13[[#This Row],[Direction]]="R",(G2541+Table13[[#This Row],[Steps]])&gt;100),1,0)</f>
        <v>0</v>
      </c>
      <c r="J2542">
        <f>IF(Table13[[#This Row],[POS]]=0,1,0)</f>
        <v>0</v>
      </c>
      <c r="K2542">
        <f>SUM(Table13[[#This Row],[prefix]],Table13[[#This Row],[Past zero L]],Table13[[#This Row],[Past Zero R]],Table13[[#This Row],[Is Zero]])</f>
        <v>0</v>
      </c>
    </row>
    <row r="2543" spans="1:11" ht="16" x14ac:dyDescent="0.2">
      <c r="A2543" s="1" t="s">
        <v>194</v>
      </c>
      <c r="B2543" t="str">
        <f>LEFT(Table13[[#This Row],[Input]],1)</f>
        <v>R</v>
      </c>
      <c r="C2543">
        <f>_xlfn.LET(_xlpm.steps,SUBSTITUTE(Table13[[#This Row],[Input]],Table13[[#This Row],[Direction]],""),VALUE(IF(LEN(_xlpm.steps)&gt;2,RIGHT(_xlpm.steps,2),_xlpm.steps)))</f>
        <v>51</v>
      </c>
      <c r="D2543">
        <f>_xlfn.LET(_xlpm.steps,SUBSTITUTE(Table13[[#This Row],[Input]],Table13[[#This Row],[Direction]],""),VALUE(IF(LEN(_xlpm.steps)&gt;2,LEFT(_xlpm.steps,LEN(_xlpm.steps)-2),0)))</f>
        <v>0</v>
      </c>
      <c r="E2543">
        <f>_xlfn.LET(_xlpm.dir,Table13[[#This Row],[Direction]],
IF(_xlpm.dir="L",
    IF(G2542-Table13[[#This Row],[Steps]]&lt;0,100+(G2542-Table13[[#This Row],[Steps]]),G2542-Table13[[#This Row],[Steps]]),
))</f>
        <v>0</v>
      </c>
      <c r="F2543">
        <f>_xlfn.LET(_xlpm.dir,Table13[[#This Row],[Direction]],
IF(_xlpm.dir="R",
    IF(G2542+Table13[[#This Row],[Steps]]&gt;99,(G2542+Table13[[#This Row],[Steps]])-100,G2542+Table13[[#This Row],[Steps]]),
))</f>
        <v>0</v>
      </c>
      <c r="G2543">
        <f>IF(Table13[[#This Row],[New Pos L]]&lt;&gt;0,Table13[[#This Row],[New Pos L]],Table13[[#This Row],[New Pos R]])</f>
        <v>0</v>
      </c>
      <c r="H2543">
        <f>IF(AND(Table13[[#This Row],[Direction]]="L",Table13[[#This Row],[Steps]]&gt;G2542,G2542&lt;&gt;0),1,0)</f>
        <v>0</v>
      </c>
      <c r="I2543">
        <f>IF(AND(Table13[[#This Row],[Direction]]="R",(G2542+Table13[[#This Row],[Steps]])&gt;100),1,0)</f>
        <v>0</v>
      </c>
      <c r="J2543">
        <f>IF(Table13[[#This Row],[POS]]=0,1,0)</f>
        <v>1</v>
      </c>
      <c r="K2543">
        <f>SUM(Table13[[#This Row],[prefix]],Table13[[#This Row],[Past zero L]],Table13[[#This Row],[Past Zero R]],Table13[[#This Row],[Is Zero]])</f>
        <v>1</v>
      </c>
    </row>
    <row r="2544" spans="1:11" ht="16" x14ac:dyDescent="0.2">
      <c r="A2544" s="1" t="s">
        <v>75</v>
      </c>
      <c r="B2544" t="str">
        <f>LEFT(Table13[[#This Row],[Input]],1)</f>
        <v>R</v>
      </c>
      <c r="C2544">
        <f>_xlfn.LET(_xlpm.steps,SUBSTITUTE(Table13[[#This Row],[Input]],Table13[[#This Row],[Direction]],""),VALUE(IF(LEN(_xlpm.steps)&gt;2,RIGHT(_xlpm.steps,2),_xlpm.steps)))</f>
        <v>2</v>
      </c>
      <c r="D2544">
        <f>_xlfn.LET(_xlpm.steps,SUBSTITUTE(Table13[[#This Row],[Input]],Table13[[#This Row],[Direction]],""),VALUE(IF(LEN(_xlpm.steps)&gt;2,LEFT(_xlpm.steps,LEN(_xlpm.steps)-2),0)))</f>
        <v>0</v>
      </c>
      <c r="E2544">
        <f>_xlfn.LET(_xlpm.dir,Table13[[#This Row],[Direction]],
IF(_xlpm.dir="L",
    IF(G2543-Table13[[#This Row],[Steps]]&lt;0,100+(G2543-Table13[[#This Row],[Steps]]),G2543-Table13[[#This Row],[Steps]]),
))</f>
        <v>0</v>
      </c>
      <c r="F2544">
        <f>_xlfn.LET(_xlpm.dir,Table13[[#This Row],[Direction]],
IF(_xlpm.dir="R",
    IF(G2543+Table13[[#This Row],[Steps]]&gt;99,(G2543+Table13[[#This Row],[Steps]])-100,G2543+Table13[[#This Row],[Steps]]),
))</f>
        <v>2</v>
      </c>
      <c r="G2544">
        <f>IF(Table13[[#This Row],[New Pos L]]&lt;&gt;0,Table13[[#This Row],[New Pos L]],Table13[[#This Row],[New Pos R]])</f>
        <v>2</v>
      </c>
      <c r="H2544">
        <f>IF(AND(Table13[[#This Row],[Direction]]="L",Table13[[#This Row],[Steps]]&gt;G2543,G2543&lt;&gt;0),1,0)</f>
        <v>0</v>
      </c>
      <c r="I2544">
        <f>IF(AND(Table13[[#This Row],[Direction]]="R",(G2543+Table13[[#This Row],[Steps]])&gt;100),1,0)</f>
        <v>0</v>
      </c>
      <c r="J2544">
        <f>IF(Table13[[#This Row],[POS]]=0,1,0)</f>
        <v>0</v>
      </c>
      <c r="K2544">
        <f>SUM(Table13[[#This Row],[prefix]],Table13[[#This Row],[Past zero L]],Table13[[#This Row],[Past Zero R]],Table13[[#This Row],[Is Zero]])</f>
        <v>0</v>
      </c>
    </row>
    <row r="2545" spans="1:11" ht="16" x14ac:dyDescent="0.2">
      <c r="A2545" s="1" t="s">
        <v>619</v>
      </c>
      <c r="B2545" t="str">
        <f>LEFT(Table13[[#This Row],[Input]],1)</f>
        <v>L</v>
      </c>
      <c r="C2545">
        <f>_xlfn.LET(_xlpm.steps,SUBSTITUTE(Table13[[#This Row],[Input]],Table13[[#This Row],[Direction]],""),VALUE(IF(LEN(_xlpm.steps)&gt;2,RIGHT(_xlpm.steps,2),_xlpm.steps)))</f>
        <v>96</v>
      </c>
      <c r="D2545">
        <f>_xlfn.LET(_xlpm.steps,SUBSTITUTE(Table13[[#This Row],[Input]],Table13[[#This Row],[Direction]],""),VALUE(IF(LEN(_xlpm.steps)&gt;2,LEFT(_xlpm.steps,LEN(_xlpm.steps)-2),0)))</f>
        <v>7</v>
      </c>
      <c r="E2545">
        <f>_xlfn.LET(_xlpm.dir,Table13[[#This Row],[Direction]],
IF(_xlpm.dir="L",
    IF(G2544-Table13[[#This Row],[Steps]]&lt;0,100+(G2544-Table13[[#This Row],[Steps]]),G2544-Table13[[#This Row],[Steps]]),
))</f>
        <v>6</v>
      </c>
      <c r="F2545">
        <f>_xlfn.LET(_xlpm.dir,Table13[[#This Row],[Direction]],
IF(_xlpm.dir="R",
    IF(G2544+Table13[[#This Row],[Steps]]&gt;99,(G2544+Table13[[#This Row],[Steps]])-100,G2544+Table13[[#This Row],[Steps]]),
))</f>
        <v>0</v>
      </c>
      <c r="G2545">
        <f>IF(Table13[[#This Row],[New Pos L]]&lt;&gt;0,Table13[[#This Row],[New Pos L]],Table13[[#This Row],[New Pos R]])</f>
        <v>6</v>
      </c>
      <c r="H2545">
        <f>IF(AND(Table13[[#This Row],[Direction]]="L",Table13[[#This Row],[Steps]]&gt;G2544,G2544&lt;&gt;0),1,0)</f>
        <v>1</v>
      </c>
      <c r="I2545">
        <f>IF(AND(Table13[[#This Row],[Direction]]="R",(G2544+Table13[[#This Row],[Steps]])&gt;100),1,0)</f>
        <v>0</v>
      </c>
      <c r="J2545">
        <f>IF(Table13[[#This Row],[POS]]=0,1,0)</f>
        <v>0</v>
      </c>
      <c r="K2545">
        <f>SUM(Table13[[#This Row],[prefix]],Table13[[#This Row],[Past zero L]],Table13[[#This Row],[Past Zero R]],Table13[[#This Row],[Is Zero]])</f>
        <v>8</v>
      </c>
    </row>
    <row r="2546" spans="1:11" ht="16" x14ac:dyDescent="0.2">
      <c r="A2546" s="1" t="s">
        <v>102</v>
      </c>
      <c r="B2546" t="str">
        <f>LEFT(Table13[[#This Row],[Input]],1)</f>
        <v>R</v>
      </c>
      <c r="C2546">
        <f>_xlfn.LET(_xlpm.steps,SUBSTITUTE(Table13[[#This Row],[Input]],Table13[[#This Row],[Direction]],""),VALUE(IF(LEN(_xlpm.steps)&gt;2,RIGHT(_xlpm.steps,2),_xlpm.steps)))</f>
        <v>39</v>
      </c>
      <c r="D2546">
        <f>_xlfn.LET(_xlpm.steps,SUBSTITUTE(Table13[[#This Row],[Input]],Table13[[#This Row],[Direction]],""),VALUE(IF(LEN(_xlpm.steps)&gt;2,LEFT(_xlpm.steps,LEN(_xlpm.steps)-2),0)))</f>
        <v>0</v>
      </c>
      <c r="E2546">
        <f>_xlfn.LET(_xlpm.dir,Table13[[#This Row],[Direction]],
IF(_xlpm.dir="L",
    IF(G2545-Table13[[#This Row],[Steps]]&lt;0,100+(G2545-Table13[[#This Row],[Steps]]),G2545-Table13[[#This Row],[Steps]]),
))</f>
        <v>0</v>
      </c>
      <c r="F2546">
        <f>_xlfn.LET(_xlpm.dir,Table13[[#This Row],[Direction]],
IF(_xlpm.dir="R",
    IF(G2545+Table13[[#This Row],[Steps]]&gt;99,(G2545+Table13[[#This Row],[Steps]])-100,G2545+Table13[[#This Row],[Steps]]),
))</f>
        <v>45</v>
      </c>
      <c r="G2546">
        <f>IF(Table13[[#This Row],[New Pos L]]&lt;&gt;0,Table13[[#This Row],[New Pos L]],Table13[[#This Row],[New Pos R]])</f>
        <v>45</v>
      </c>
      <c r="H2546">
        <f>IF(AND(Table13[[#This Row],[Direction]]="L",Table13[[#This Row],[Steps]]&gt;G2545,G2545&lt;&gt;0),1,0)</f>
        <v>0</v>
      </c>
      <c r="I2546">
        <f>IF(AND(Table13[[#This Row],[Direction]]="R",(G2545+Table13[[#This Row],[Steps]])&gt;100),1,0)</f>
        <v>0</v>
      </c>
      <c r="J2546">
        <f>IF(Table13[[#This Row],[POS]]=0,1,0)</f>
        <v>0</v>
      </c>
      <c r="K2546">
        <f>SUM(Table13[[#This Row],[prefix]],Table13[[#This Row],[Past zero L]],Table13[[#This Row],[Past Zero R]],Table13[[#This Row],[Is Zero]])</f>
        <v>0</v>
      </c>
    </row>
    <row r="2547" spans="1:11" ht="16" x14ac:dyDescent="0.2">
      <c r="A2547" s="1" t="s">
        <v>185</v>
      </c>
      <c r="B2547" t="str">
        <f>LEFT(Table13[[#This Row],[Input]],1)</f>
        <v>R</v>
      </c>
      <c r="C2547">
        <f>_xlfn.LET(_xlpm.steps,SUBSTITUTE(Table13[[#This Row],[Input]],Table13[[#This Row],[Direction]],""),VALUE(IF(LEN(_xlpm.steps)&gt;2,RIGHT(_xlpm.steps,2),_xlpm.steps)))</f>
        <v>61</v>
      </c>
      <c r="D2547">
        <f>_xlfn.LET(_xlpm.steps,SUBSTITUTE(Table13[[#This Row],[Input]],Table13[[#This Row],[Direction]],""),VALUE(IF(LEN(_xlpm.steps)&gt;2,LEFT(_xlpm.steps,LEN(_xlpm.steps)-2),0)))</f>
        <v>0</v>
      </c>
      <c r="E2547">
        <f>_xlfn.LET(_xlpm.dir,Table13[[#This Row],[Direction]],
IF(_xlpm.dir="L",
    IF(G2546-Table13[[#This Row],[Steps]]&lt;0,100+(G2546-Table13[[#This Row],[Steps]]),G2546-Table13[[#This Row],[Steps]]),
))</f>
        <v>0</v>
      </c>
      <c r="F2547">
        <f>_xlfn.LET(_xlpm.dir,Table13[[#This Row],[Direction]],
IF(_xlpm.dir="R",
    IF(G2546+Table13[[#This Row],[Steps]]&gt;99,(G2546+Table13[[#This Row],[Steps]])-100,G2546+Table13[[#This Row],[Steps]]),
))</f>
        <v>6</v>
      </c>
      <c r="G2547">
        <f>IF(Table13[[#This Row],[New Pos L]]&lt;&gt;0,Table13[[#This Row],[New Pos L]],Table13[[#This Row],[New Pos R]])</f>
        <v>6</v>
      </c>
      <c r="H2547">
        <f>IF(AND(Table13[[#This Row],[Direction]]="L",Table13[[#This Row],[Steps]]&gt;G2546,G2546&lt;&gt;0),1,0)</f>
        <v>0</v>
      </c>
      <c r="I2547">
        <f>IF(AND(Table13[[#This Row],[Direction]]="R",(G2546+Table13[[#This Row],[Steps]])&gt;100),1,0)</f>
        <v>1</v>
      </c>
      <c r="J2547">
        <f>IF(Table13[[#This Row],[POS]]=0,1,0)</f>
        <v>0</v>
      </c>
      <c r="K2547">
        <f>SUM(Table13[[#This Row],[prefix]],Table13[[#This Row],[Past zero L]],Table13[[#This Row],[Past Zero R]],Table13[[#This Row],[Is Zero]])</f>
        <v>1</v>
      </c>
    </row>
    <row r="2548" spans="1:11" ht="16" x14ac:dyDescent="0.2">
      <c r="A2548" s="1" t="s">
        <v>6</v>
      </c>
      <c r="B2548" t="str">
        <f>LEFT(Table13[[#This Row],[Input]],1)</f>
        <v>R</v>
      </c>
      <c r="C2548">
        <f>_xlfn.LET(_xlpm.steps,SUBSTITUTE(Table13[[#This Row],[Input]],Table13[[#This Row],[Direction]],""),VALUE(IF(LEN(_xlpm.steps)&gt;2,RIGHT(_xlpm.steps,2),_xlpm.steps)))</f>
        <v>49</v>
      </c>
      <c r="D2548">
        <f>_xlfn.LET(_xlpm.steps,SUBSTITUTE(Table13[[#This Row],[Input]],Table13[[#This Row],[Direction]],""),VALUE(IF(LEN(_xlpm.steps)&gt;2,LEFT(_xlpm.steps,LEN(_xlpm.steps)-2),0)))</f>
        <v>0</v>
      </c>
      <c r="E2548">
        <f>_xlfn.LET(_xlpm.dir,Table13[[#This Row],[Direction]],
IF(_xlpm.dir="L",
    IF(G2547-Table13[[#This Row],[Steps]]&lt;0,100+(G2547-Table13[[#This Row],[Steps]]),G2547-Table13[[#This Row],[Steps]]),
))</f>
        <v>0</v>
      </c>
      <c r="F2548">
        <f>_xlfn.LET(_xlpm.dir,Table13[[#This Row],[Direction]],
IF(_xlpm.dir="R",
    IF(G2547+Table13[[#This Row],[Steps]]&gt;99,(G2547+Table13[[#This Row],[Steps]])-100,G2547+Table13[[#This Row],[Steps]]),
))</f>
        <v>55</v>
      </c>
      <c r="G2548">
        <f>IF(Table13[[#This Row],[New Pos L]]&lt;&gt;0,Table13[[#This Row],[New Pos L]],Table13[[#This Row],[New Pos R]])</f>
        <v>55</v>
      </c>
      <c r="H2548">
        <f>IF(AND(Table13[[#This Row],[Direction]]="L",Table13[[#This Row],[Steps]]&gt;G2547,G2547&lt;&gt;0),1,0)</f>
        <v>0</v>
      </c>
      <c r="I2548">
        <f>IF(AND(Table13[[#This Row],[Direction]]="R",(G2547+Table13[[#This Row],[Steps]])&gt;100),1,0)</f>
        <v>0</v>
      </c>
      <c r="J2548">
        <f>IF(Table13[[#This Row],[POS]]=0,1,0)</f>
        <v>0</v>
      </c>
      <c r="K2548">
        <f>SUM(Table13[[#This Row],[prefix]],Table13[[#This Row],[Past zero L]],Table13[[#This Row],[Past Zero R]],Table13[[#This Row],[Is Zero]])</f>
        <v>0</v>
      </c>
    </row>
    <row r="2549" spans="1:11" ht="16" x14ac:dyDescent="0.2">
      <c r="A2549" s="1" t="s">
        <v>11</v>
      </c>
      <c r="B2549" t="str">
        <f>LEFT(Table13[[#This Row],[Input]],1)</f>
        <v>L</v>
      </c>
      <c r="C2549">
        <f>_xlfn.LET(_xlpm.steps,SUBSTITUTE(Table13[[#This Row],[Input]],Table13[[#This Row],[Direction]],""),VALUE(IF(LEN(_xlpm.steps)&gt;2,RIGHT(_xlpm.steps,2),_xlpm.steps)))</f>
        <v>34</v>
      </c>
      <c r="D2549">
        <f>_xlfn.LET(_xlpm.steps,SUBSTITUTE(Table13[[#This Row],[Input]],Table13[[#This Row],[Direction]],""),VALUE(IF(LEN(_xlpm.steps)&gt;2,LEFT(_xlpm.steps,LEN(_xlpm.steps)-2),0)))</f>
        <v>0</v>
      </c>
      <c r="E2549">
        <f>_xlfn.LET(_xlpm.dir,Table13[[#This Row],[Direction]],
IF(_xlpm.dir="L",
    IF(G2548-Table13[[#This Row],[Steps]]&lt;0,100+(G2548-Table13[[#This Row],[Steps]]),G2548-Table13[[#This Row],[Steps]]),
))</f>
        <v>21</v>
      </c>
      <c r="F2549">
        <f>_xlfn.LET(_xlpm.dir,Table13[[#This Row],[Direction]],
IF(_xlpm.dir="R",
    IF(G2548+Table13[[#This Row],[Steps]]&gt;99,(G2548+Table13[[#This Row],[Steps]])-100,G2548+Table13[[#This Row],[Steps]]),
))</f>
        <v>0</v>
      </c>
      <c r="G2549">
        <f>IF(Table13[[#This Row],[New Pos L]]&lt;&gt;0,Table13[[#This Row],[New Pos L]],Table13[[#This Row],[New Pos R]])</f>
        <v>21</v>
      </c>
      <c r="H2549">
        <f>IF(AND(Table13[[#This Row],[Direction]]="L",Table13[[#This Row],[Steps]]&gt;G2548,G2548&lt;&gt;0),1,0)</f>
        <v>0</v>
      </c>
      <c r="I2549">
        <f>IF(AND(Table13[[#This Row],[Direction]]="R",(G2548+Table13[[#This Row],[Steps]])&gt;100),1,0)</f>
        <v>0</v>
      </c>
      <c r="J2549">
        <f>IF(Table13[[#This Row],[POS]]=0,1,0)</f>
        <v>0</v>
      </c>
      <c r="K2549">
        <f>SUM(Table13[[#This Row],[prefix]],Table13[[#This Row],[Past zero L]],Table13[[#This Row],[Past Zero R]],Table13[[#This Row],[Is Zero]])</f>
        <v>0</v>
      </c>
    </row>
    <row r="2550" spans="1:11" ht="16" x14ac:dyDescent="0.2">
      <c r="A2550" s="1" t="s">
        <v>145</v>
      </c>
      <c r="B2550" t="str">
        <f>LEFT(Table13[[#This Row],[Input]],1)</f>
        <v>L</v>
      </c>
      <c r="C2550">
        <f>_xlfn.LET(_xlpm.steps,SUBSTITUTE(Table13[[#This Row],[Input]],Table13[[#This Row],[Direction]],""),VALUE(IF(LEN(_xlpm.steps)&gt;2,RIGHT(_xlpm.steps,2),_xlpm.steps)))</f>
        <v>83</v>
      </c>
      <c r="D2550">
        <f>_xlfn.LET(_xlpm.steps,SUBSTITUTE(Table13[[#This Row],[Input]],Table13[[#This Row],[Direction]],""),VALUE(IF(LEN(_xlpm.steps)&gt;2,LEFT(_xlpm.steps,LEN(_xlpm.steps)-2),0)))</f>
        <v>0</v>
      </c>
      <c r="E2550">
        <f>_xlfn.LET(_xlpm.dir,Table13[[#This Row],[Direction]],
IF(_xlpm.dir="L",
    IF(G2549-Table13[[#This Row],[Steps]]&lt;0,100+(G2549-Table13[[#This Row],[Steps]]),G2549-Table13[[#This Row],[Steps]]),
))</f>
        <v>38</v>
      </c>
      <c r="F2550">
        <f>_xlfn.LET(_xlpm.dir,Table13[[#This Row],[Direction]],
IF(_xlpm.dir="R",
    IF(G2549+Table13[[#This Row],[Steps]]&gt;99,(G2549+Table13[[#This Row],[Steps]])-100,G2549+Table13[[#This Row],[Steps]]),
))</f>
        <v>0</v>
      </c>
      <c r="G2550">
        <f>IF(Table13[[#This Row],[New Pos L]]&lt;&gt;0,Table13[[#This Row],[New Pos L]],Table13[[#This Row],[New Pos R]])</f>
        <v>38</v>
      </c>
      <c r="H2550">
        <f>IF(AND(Table13[[#This Row],[Direction]]="L",Table13[[#This Row],[Steps]]&gt;G2549,G2549&lt;&gt;0),1,0)</f>
        <v>1</v>
      </c>
      <c r="I2550">
        <f>IF(AND(Table13[[#This Row],[Direction]]="R",(G2549+Table13[[#This Row],[Steps]])&gt;100),1,0)</f>
        <v>0</v>
      </c>
      <c r="J2550">
        <f>IF(Table13[[#This Row],[POS]]=0,1,0)</f>
        <v>0</v>
      </c>
      <c r="K2550">
        <f>SUM(Table13[[#This Row],[prefix]],Table13[[#This Row],[Past zero L]],Table13[[#This Row],[Past Zero R]],Table13[[#This Row],[Is Zero]])</f>
        <v>1</v>
      </c>
    </row>
    <row r="2551" spans="1:11" ht="16" x14ac:dyDescent="0.2">
      <c r="A2551" s="1" t="s">
        <v>206</v>
      </c>
      <c r="B2551" t="str">
        <f>LEFT(Table13[[#This Row],[Input]],1)</f>
        <v>R</v>
      </c>
      <c r="C2551">
        <f>_xlfn.LET(_xlpm.steps,SUBSTITUTE(Table13[[#This Row],[Input]],Table13[[#This Row],[Direction]],""),VALUE(IF(LEN(_xlpm.steps)&gt;2,RIGHT(_xlpm.steps,2),_xlpm.steps)))</f>
        <v>62</v>
      </c>
      <c r="D2551">
        <f>_xlfn.LET(_xlpm.steps,SUBSTITUTE(Table13[[#This Row],[Input]],Table13[[#This Row],[Direction]],""),VALUE(IF(LEN(_xlpm.steps)&gt;2,LEFT(_xlpm.steps,LEN(_xlpm.steps)-2),0)))</f>
        <v>0</v>
      </c>
      <c r="E2551">
        <f>_xlfn.LET(_xlpm.dir,Table13[[#This Row],[Direction]],
IF(_xlpm.dir="L",
    IF(G2550-Table13[[#This Row],[Steps]]&lt;0,100+(G2550-Table13[[#This Row],[Steps]]),G2550-Table13[[#This Row],[Steps]]),
))</f>
        <v>0</v>
      </c>
      <c r="F2551">
        <f>_xlfn.LET(_xlpm.dir,Table13[[#This Row],[Direction]],
IF(_xlpm.dir="R",
    IF(G2550+Table13[[#This Row],[Steps]]&gt;99,(G2550+Table13[[#This Row],[Steps]])-100,G2550+Table13[[#This Row],[Steps]]),
))</f>
        <v>0</v>
      </c>
      <c r="G2551">
        <f>IF(Table13[[#This Row],[New Pos L]]&lt;&gt;0,Table13[[#This Row],[New Pos L]],Table13[[#This Row],[New Pos R]])</f>
        <v>0</v>
      </c>
      <c r="H2551">
        <f>IF(AND(Table13[[#This Row],[Direction]]="L",Table13[[#This Row],[Steps]]&gt;G2550,G2550&lt;&gt;0),1,0)</f>
        <v>0</v>
      </c>
      <c r="I2551">
        <f>IF(AND(Table13[[#This Row],[Direction]]="R",(G2550+Table13[[#This Row],[Steps]])&gt;100),1,0)</f>
        <v>0</v>
      </c>
      <c r="J2551">
        <f>IF(Table13[[#This Row],[POS]]=0,1,0)</f>
        <v>1</v>
      </c>
      <c r="K2551">
        <f>SUM(Table13[[#This Row],[prefix]],Table13[[#This Row],[Past zero L]],Table13[[#This Row],[Past Zero R]],Table13[[#This Row],[Is Zero]])</f>
        <v>1</v>
      </c>
    </row>
    <row r="2552" spans="1:11" ht="16" x14ac:dyDescent="0.2">
      <c r="A2552" s="1" t="s">
        <v>126</v>
      </c>
      <c r="B2552" t="str">
        <f>LEFT(Table13[[#This Row],[Input]],1)</f>
        <v>R</v>
      </c>
      <c r="C2552">
        <f>_xlfn.LET(_xlpm.steps,SUBSTITUTE(Table13[[#This Row],[Input]],Table13[[#This Row],[Direction]],""),VALUE(IF(LEN(_xlpm.steps)&gt;2,RIGHT(_xlpm.steps,2),_xlpm.steps)))</f>
        <v>65</v>
      </c>
      <c r="D2552">
        <f>_xlfn.LET(_xlpm.steps,SUBSTITUTE(Table13[[#This Row],[Input]],Table13[[#This Row],[Direction]],""),VALUE(IF(LEN(_xlpm.steps)&gt;2,LEFT(_xlpm.steps,LEN(_xlpm.steps)-2),0)))</f>
        <v>0</v>
      </c>
      <c r="E2552">
        <f>_xlfn.LET(_xlpm.dir,Table13[[#This Row],[Direction]],
IF(_xlpm.dir="L",
    IF(G2551-Table13[[#This Row],[Steps]]&lt;0,100+(G2551-Table13[[#This Row],[Steps]]),G2551-Table13[[#This Row],[Steps]]),
))</f>
        <v>0</v>
      </c>
      <c r="F2552">
        <f>_xlfn.LET(_xlpm.dir,Table13[[#This Row],[Direction]],
IF(_xlpm.dir="R",
    IF(G2551+Table13[[#This Row],[Steps]]&gt;99,(G2551+Table13[[#This Row],[Steps]])-100,G2551+Table13[[#This Row],[Steps]]),
))</f>
        <v>65</v>
      </c>
      <c r="G2552">
        <f>IF(Table13[[#This Row],[New Pos L]]&lt;&gt;0,Table13[[#This Row],[New Pos L]],Table13[[#This Row],[New Pos R]])</f>
        <v>65</v>
      </c>
      <c r="H2552">
        <f>IF(AND(Table13[[#This Row],[Direction]]="L",Table13[[#This Row],[Steps]]&gt;G2551,G2551&lt;&gt;0),1,0)</f>
        <v>0</v>
      </c>
      <c r="I2552">
        <f>IF(AND(Table13[[#This Row],[Direction]]="R",(G2551+Table13[[#This Row],[Steps]])&gt;100),1,0)</f>
        <v>0</v>
      </c>
      <c r="J2552">
        <f>IF(Table13[[#This Row],[POS]]=0,1,0)</f>
        <v>0</v>
      </c>
      <c r="K2552">
        <f>SUM(Table13[[#This Row],[prefix]],Table13[[#This Row],[Past zero L]],Table13[[#This Row],[Past Zero R]],Table13[[#This Row],[Is Zero]])</f>
        <v>0</v>
      </c>
    </row>
    <row r="2553" spans="1:11" ht="16" x14ac:dyDescent="0.2">
      <c r="A2553" s="1" t="s">
        <v>620</v>
      </c>
      <c r="B2553" t="str">
        <f>LEFT(Table13[[#This Row],[Input]],1)</f>
        <v>L</v>
      </c>
      <c r="C2553">
        <f>_xlfn.LET(_xlpm.steps,SUBSTITUTE(Table13[[#This Row],[Input]],Table13[[#This Row],[Direction]],""),VALUE(IF(LEN(_xlpm.steps)&gt;2,RIGHT(_xlpm.steps,2),_xlpm.steps)))</f>
        <v>13</v>
      </c>
      <c r="D2553">
        <f>_xlfn.LET(_xlpm.steps,SUBSTITUTE(Table13[[#This Row],[Input]],Table13[[#This Row],[Direction]],""),VALUE(IF(LEN(_xlpm.steps)&gt;2,LEFT(_xlpm.steps,LEN(_xlpm.steps)-2),0)))</f>
        <v>8</v>
      </c>
      <c r="E2553">
        <f>_xlfn.LET(_xlpm.dir,Table13[[#This Row],[Direction]],
IF(_xlpm.dir="L",
    IF(G2552-Table13[[#This Row],[Steps]]&lt;0,100+(G2552-Table13[[#This Row],[Steps]]),G2552-Table13[[#This Row],[Steps]]),
))</f>
        <v>52</v>
      </c>
      <c r="F2553">
        <f>_xlfn.LET(_xlpm.dir,Table13[[#This Row],[Direction]],
IF(_xlpm.dir="R",
    IF(G2552+Table13[[#This Row],[Steps]]&gt;99,(G2552+Table13[[#This Row],[Steps]])-100,G2552+Table13[[#This Row],[Steps]]),
))</f>
        <v>0</v>
      </c>
      <c r="G2553">
        <f>IF(Table13[[#This Row],[New Pos L]]&lt;&gt;0,Table13[[#This Row],[New Pos L]],Table13[[#This Row],[New Pos R]])</f>
        <v>52</v>
      </c>
      <c r="H2553">
        <f>IF(AND(Table13[[#This Row],[Direction]]="L",Table13[[#This Row],[Steps]]&gt;G2552,G2552&lt;&gt;0),1,0)</f>
        <v>0</v>
      </c>
      <c r="I2553">
        <f>IF(AND(Table13[[#This Row],[Direction]]="R",(G2552+Table13[[#This Row],[Steps]])&gt;100),1,0)</f>
        <v>0</v>
      </c>
      <c r="J2553">
        <f>IF(Table13[[#This Row],[POS]]=0,1,0)</f>
        <v>0</v>
      </c>
      <c r="K2553">
        <f>SUM(Table13[[#This Row],[prefix]],Table13[[#This Row],[Past zero L]],Table13[[#This Row],[Past Zero R]],Table13[[#This Row],[Is Zero]])</f>
        <v>8</v>
      </c>
    </row>
    <row r="2554" spans="1:11" ht="16" x14ac:dyDescent="0.2">
      <c r="A2554" s="1" t="s">
        <v>621</v>
      </c>
      <c r="B2554" t="str">
        <f>LEFT(Table13[[#This Row],[Input]],1)</f>
        <v>L</v>
      </c>
      <c r="C2554">
        <f>_xlfn.LET(_xlpm.steps,SUBSTITUTE(Table13[[#This Row],[Input]],Table13[[#This Row],[Direction]],""),VALUE(IF(LEN(_xlpm.steps)&gt;2,RIGHT(_xlpm.steps,2),_xlpm.steps)))</f>
        <v>52</v>
      </c>
      <c r="D2554">
        <f>_xlfn.LET(_xlpm.steps,SUBSTITUTE(Table13[[#This Row],[Input]],Table13[[#This Row],[Direction]],""),VALUE(IF(LEN(_xlpm.steps)&gt;2,LEFT(_xlpm.steps,LEN(_xlpm.steps)-2),0)))</f>
        <v>7</v>
      </c>
      <c r="E2554">
        <f>_xlfn.LET(_xlpm.dir,Table13[[#This Row],[Direction]],
IF(_xlpm.dir="L",
    IF(G2553-Table13[[#This Row],[Steps]]&lt;0,100+(G2553-Table13[[#This Row],[Steps]]),G2553-Table13[[#This Row],[Steps]]),
))</f>
        <v>0</v>
      </c>
      <c r="F2554">
        <f>_xlfn.LET(_xlpm.dir,Table13[[#This Row],[Direction]],
IF(_xlpm.dir="R",
    IF(G2553+Table13[[#This Row],[Steps]]&gt;99,(G2553+Table13[[#This Row],[Steps]])-100,G2553+Table13[[#This Row],[Steps]]),
))</f>
        <v>0</v>
      </c>
      <c r="G2554">
        <f>IF(Table13[[#This Row],[New Pos L]]&lt;&gt;0,Table13[[#This Row],[New Pos L]],Table13[[#This Row],[New Pos R]])</f>
        <v>0</v>
      </c>
      <c r="H2554">
        <f>IF(AND(Table13[[#This Row],[Direction]]="L",Table13[[#This Row],[Steps]]&gt;G2553,G2553&lt;&gt;0),1,0)</f>
        <v>0</v>
      </c>
      <c r="I2554">
        <f>IF(AND(Table13[[#This Row],[Direction]]="R",(G2553+Table13[[#This Row],[Steps]])&gt;100),1,0)</f>
        <v>0</v>
      </c>
      <c r="J2554">
        <f>IF(Table13[[#This Row],[POS]]=0,1,0)</f>
        <v>1</v>
      </c>
      <c r="K2554">
        <f>SUM(Table13[[#This Row],[prefix]],Table13[[#This Row],[Past zero L]],Table13[[#This Row],[Past Zero R]],Table13[[#This Row],[Is Zero]])</f>
        <v>8</v>
      </c>
    </row>
    <row r="2555" spans="1:11" ht="16" x14ac:dyDescent="0.2">
      <c r="A2555" s="1" t="s">
        <v>12</v>
      </c>
      <c r="B2555" t="str">
        <f>LEFT(Table13[[#This Row],[Input]],1)</f>
        <v>L</v>
      </c>
      <c r="C2555">
        <f>_xlfn.LET(_xlpm.steps,SUBSTITUTE(Table13[[#This Row],[Input]],Table13[[#This Row],[Direction]],""),VALUE(IF(LEN(_xlpm.steps)&gt;2,RIGHT(_xlpm.steps,2),_xlpm.steps)))</f>
        <v>11</v>
      </c>
      <c r="D2555">
        <f>_xlfn.LET(_xlpm.steps,SUBSTITUTE(Table13[[#This Row],[Input]],Table13[[#This Row],[Direction]],""),VALUE(IF(LEN(_xlpm.steps)&gt;2,LEFT(_xlpm.steps,LEN(_xlpm.steps)-2),0)))</f>
        <v>0</v>
      </c>
      <c r="E2555">
        <f>_xlfn.LET(_xlpm.dir,Table13[[#This Row],[Direction]],
IF(_xlpm.dir="L",
    IF(G2554-Table13[[#This Row],[Steps]]&lt;0,100+(G2554-Table13[[#This Row],[Steps]]),G2554-Table13[[#This Row],[Steps]]),
))</f>
        <v>89</v>
      </c>
      <c r="F2555">
        <f>_xlfn.LET(_xlpm.dir,Table13[[#This Row],[Direction]],
IF(_xlpm.dir="R",
    IF(G2554+Table13[[#This Row],[Steps]]&gt;99,(G2554+Table13[[#This Row],[Steps]])-100,G2554+Table13[[#This Row],[Steps]]),
))</f>
        <v>0</v>
      </c>
      <c r="G2555">
        <f>IF(Table13[[#This Row],[New Pos L]]&lt;&gt;0,Table13[[#This Row],[New Pos L]],Table13[[#This Row],[New Pos R]])</f>
        <v>89</v>
      </c>
      <c r="H2555">
        <f>IF(AND(Table13[[#This Row],[Direction]]="L",Table13[[#This Row],[Steps]]&gt;G2554,G2554&lt;&gt;0),1,0)</f>
        <v>0</v>
      </c>
      <c r="I2555">
        <f>IF(AND(Table13[[#This Row],[Direction]]="R",(G2554+Table13[[#This Row],[Steps]])&gt;100),1,0)</f>
        <v>0</v>
      </c>
      <c r="J2555">
        <f>IF(Table13[[#This Row],[POS]]=0,1,0)</f>
        <v>0</v>
      </c>
      <c r="K2555">
        <f>SUM(Table13[[#This Row],[prefix]],Table13[[#This Row],[Past zero L]],Table13[[#This Row],[Past Zero R]],Table13[[#This Row],[Is Zero]])</f>
        <v>0</v>
      </c>
    </row>
    <row r="2556" spans="1:11" ht="16" x14ac:dyDescent="0.2">
      <c r="A2556" s="1" t="s">
        <v>159</v>
      </c>
      <c r="B2556" t="str">
        <f>LEFT(Table13[[#This Row],[Input]],1)</f>
        <v>R</v>
      </c>
      <c r="C2556">
        <f>_xlfn.LET(_xlpm.steps,SUBSTITUTE(Table13[[#This Row],[Input]],Table13[[#This Row],[Direction]],""),VALUE(IF(LEN(_xlpm.steps)&gt;2,RIGHT(_xlpm.steps,2),_xlpm.steps)))</f>
        <v>24</v>
      </c>
      <c r="D2556">
        <f>_xlfn.LET(_xlpm.steps,SUBSTITUTE(Table13[[#This Row],[Input]],Table13[[#This Row],[Direction]],""),VALUE(IF(LEN(_xlpm.steps)&gt;2,LEFT(_xlpm.steps,LEN(_xlpm.steps)-2),0)))</f>
        <v>0</v>
      </c>
      <c r="E2556">
        <f>_xlfn.LET(_xlpm.dir,Table13[[#This Row],[Direction]],
IF(_xlpm.dir="L",
    IF(G2555-Table13[[#This Row],[Steps]]&lt;0,100+(G2555-Table13[[#This Row],[Steps]]),G2555-Table13[[#This Row],[Steps]]),
))</f>
        <v>0</v>
      </c>
      <c r="F2556">
        <f>_xlfn.LET(_xlpm.dir,Table13[[#This Row],[Direction]],
IF(_xlpm.dir="R",
    IF(G2555+Table13[[#This Row],[Steps]]&gt;99,(G2555+Table13[[#This Row],[Steps]])-100,G2555+Table13[[#This Row],[Steps]]),
))</f>
        <v>13</v>
      </c>
      <c r="G2556">
        <f>IF(Table13[[#This Row],[New Pos L]]&lt;&gt;0,Table13[[#This Row],[New Pos L]],Table13[[#This Row],[New Pos R]])</f>
        <v>13</v>
      </c>
      <c r="H2556">
        <f>IF(AND(Table13[[#This Row],[Direction]]="L",Table13[[#This Row],[Steps]]&gt;G2555,G2555&lt;&gt;0),1,0)</f>
        <v>0</v>
      </c>
      <c r="I2556">
        <f>IF(AND(Table13[[#This Row],[Direction]]="R",(G2555+Table13[[#This Row],[Steps]])&gt;100),1,0)</f>
        <v>1</v>
      </c>
      <c r="J2556">
        <f>IF(Table13[[#This Row],[POS]]=0,1,0)</f>
        <v>0</v>
      </c>
      <c r="K2556">
        <f>SUM(Table13[[#This Row],[prefix]],Table13[[#This Row],[Past zero L]],Table13[[#This Row],[Past Zero R]],Table13[[#This Row],[Is Zero]])</f>
        <v>1</v>
      </c>
    </row>
    <row r="2557" spans="1:11" ht="16" x14ac:dyDescent="0.2">
      <c r="A2557" s="1" t="s">
        <v>31</v>
      </c>
      <c r="B2557" t="str">
        <f>LEFT(Table13[[#This Row],[Input]],1)</f>
        <v>L</v>
      </c>
      <c r="C2557">
        <f>_xlfn.LET(_xlpm.steps,SUBSTITUTE(Table13[[#This Row],[Input]],Table13[[#This Row],[Direction]],""),VALUE(IF(LEN(_xlpm.steps)&gt;2,RIGHT(_xlpm.steps,2),_xlpm.steps)))</f>
        <v>13</v>
      </c>
      <c r="D2557">
        <f>_xlfn.LET(_xlpm.steps,SUBSTITUTE(Table13[[#This Row],[Input]],Table13[[#This Row],[Direction]],""),VALUE(IF(LEN(_xlpm.steps)&gt;2,LEFT(_xlpm.steps,LEN(_xlpm.steps)-2),0)))</f>
        <v>0</v>
      </c>
      <c r="E2557">
        <f>_xlfn.LET(_xlpm.dir,Table13[[#This Row],[Direction]],
IF(_xlpm.dir="L",
    IF(G2556-Table13[[#This Row],[Steps]]&lt;0,100+(G2556-Table13[[#This Row],[Steps]]),G2556-Table13[[#This Row],[Steps]]),
))</f>
        <v>0</v>
      </c>
      <c r="F2557">
        <f>_xlfn.LET(_xlpm.dir,Table13[[#This Row],[Direction]],
IF(_xlpm.dir="R",
    IF(G2556+Table13[[#This Row],[Steps]]&gt;99,(G2556+Table13[[#This Row],[Steps]])-100,G2556+Table13[[#This Row],[Steps]]),
))</f>
        <v>0</v>
      </c>
      <c r="G2557">
        <f>IF(Table13[[#This Row],[New Pos L]]&lt;&gt;0,Table13[[#This Row],[New Pos L]],Table13[[#This Row],[New Pos R]])</f>
        <v>0</v>
      </c>
      <c r="H2557">
        <f>IF(AND(Table13[[#This Row],[Direction]]="L",Table13[[#This Row],[Steps]]&gt;G2556,G2556&lt;&gt;0),1,0)</f>
        <v>0</v>
      </c>
      <c r="I2557">
        <f>IF(AND(Table13[[#This Row],[Direction]]="R",(G2556+Table13[[#This Row],[Steps]])&gt;100),1,0)</f>
        <v>0</v>
      </c>
      <c r="J2557">
        <f>IF(Table13[[#This Row],[POS]]=0,1,0)</f>
        <v>1</v>
      </c>
      <c r="K2557">
        <f>SUM(Table13[[#This Row],[prefix]],Table13[[#This Row],[Past zero L]],Table13[[#This Row],[Past Zero R]],Table13[[#This Row],[Is Zero]])</f>
        <v>1</v>
      </c>
    </row>
    <row r="2558" spans="1:11" ht="16" x14ac:dyDescent="0.2">
      <c r="A2558" s="1" t="s">
        <v>209</v>
      </c>
      <c r="B2558" t="str">
        <f>LEFT(Table13[[#This Row],[Input]],1)</f>
        <v>L</v>
      </c>
      <c r="C2558">
        <f>_xlfn.LET(_xlpm.steps,SUBSTITUTE(Table13[[#This Row],[Input]],Table13[[#This Row],[Direction]],""),VALUE(IF(LEN(_xlpm.steps)&gt;2,RIGHT(_xlpm.steps,2),_xlpm.steps)))</f>
        <v>86</v>
      </c>
      <c r="D2558">
        <f>_xlfn.LET(_xlpm.steps,SUBSTITUTE(Table13[[#This Row],[Input]],Table13[[#This Row],[Direction]],""),VALUE(IF(LEN(_xlpm.steps)&gt;2,LEFT(_xlpm.steps,LEN(_xlpm.steps)-2),0)))</f>
        <v>0</v>
      </c>
      <c r="E2558">
        <f>_xlfn.LET(_xlpm.dir,Table13[[#This Row],[Direction]],
IF(_xlpm.dir="L",
    IF(G2557-Table13[[#This Row],[Steps]]&lt;0,100+(G2557-Table13[[#This Row],[Steps]]),G2557-Table13[[#This Row],[Steps]]),
))</f>
        <v>14</v>
      </c>
      <c r="F2558">
        <f>_xlfn.LET(_xlpm.dir,Table13[[#This Row],[Direction]],
IF(_xlpm.dir="R",
    IF(G2557+Table13[[#This Row],[Steps]]&gt;99,(G2557+Table13[[#This Row],[Steps]])-100,G2557+Table13[[#This Row],[Steps]]),
))</f>
        <v>0</v>
      </c>
      <c r="G2558">
        <f>IF(Table13[[#This Row],[New Pos L]]&lt;&gt;0,Table13[[#This Row],[New Pos L]],Table13[[#This Row],[New Pos R]])</f>
        <v>14</v>
      </c>
      <c r="H2558">
        <f>IF(AND(Table13[[#This Row],[Direction]]="L",Table13[[#This Row],[Steps]]&gt;G2557,G2557&lt;&gt;0),1,0)</f>
        <v>0</v>
      </c>
      <c r="I2558">
        <f>IF(AND(Table13[[#This Row],[Direction]]="R",(G2557+Table13[[#This Row],[Steps]])&gt;100),1,0)</f>
        <v>0</v>
      </c>
      <c r="J2558">
        <f>IF(Table13[[#This Row],[POS]]=0,1,0)</f>
        <v>0</v>
      </c>
      <c r="K2558">
        <f>SUM(Table13[[#This Row],[prefix]],Table13[[#This Row],[Past zero L]],Table13[[#This Row],[Past Zero R]],Table13[[#This Row],[Is Zero]])</f>
        <v>0</v>
      </c>
    </row>
    <row r="2559" spans="1:11" ht="16" x14ac:dyDescent="0.2">
      <c r="A2559" s="1" t="s">
        <v>622</v>
      </c>
      <c r="B2559" t="str">
        <f>LEFT(Table13[[#This Row],[Input]],1)</f>
        <v>L</v>
      </c>
      <c r="C2559">
        <f>_xlfn.LET(_xlpm.steps,SUBSTITUTE(Table13[[#This Row],[Input]],Table13[[#This Row],[Direction]],""),VALUE(IF(LEN(_xlpm.steps)&gt;2,RIGHT(_xlpm.steps,2),_xlpm.steps)))</f>
        <v>50</v>
      </c>
      <c r="D2559">
        <f>_xlfn.LET(_xlpm.steps,SUBSTITUTE(Table13[[#This Row],[Input]],Table13[[#This Row],[Direction]],""),VALUE(IF(LEN(_xlpm.steps)&gt;2,LEFT(_xlpm.steps,LEN(_xlpm.steps)-2),0)))</f>
        <v>8</v>
      </c>
      <c r="E2559">
        <f>_xlfn.LET(_xlpm.dir,Table13[[#This Row],[Direction]],
IF(_xlpm.dir="L",
    IF(G2558-Table13[[#This Row],[Steps]]&lt;0,100+(G2558-Table13[[#This Row],[Steps]]),G2558-Table13[[#This Row],[Steps]]),
))</f>
        <v>64</v>
      </c>
      <c r="F2559">
        <f>_xlfn.LET(_xlpm.dir,Table13[[#This Row],[Direction]],
IF(_xlpm.dir="R",
    IF(G2558+Table13[[#This Row],[Steps]]&gt;99,(G2558+Table13[[#This Row],[Steps]])-100,G2558+Table13[[#This Row],[Steps]]),
))</f>
        <v>0</v>
      </c>
      <c r="G2559">
        <f>IF(Table13[[#This Row],[New Pos L]]&lt;&gt;0,Table13[[#This Row],[New Pos L]],Table13[[#This Row],[New Pos R]])</f>
        <v>64</v>
      </c>
      <c r="H2559">
        <f>IF(AND(Table13[[#This Row],[Direction]]="L",Table13[[#This Row],[Steps]]&gt;G2558,G2558&lt;&gt;0),1,0)</f>
        <v>1</v>
      </c>
      <c r="I2559">
        <f>IF(AND(Table13[[#This Row],[Direction]]="R",(G2558+Table13[[#This Row],[Steps]])&gt;100),1,0)</f>
        <v>0</v>
      </c>
      <c r="J2559">
        <f>IF(Table13[[#This Row],[POS]]=0,1,0)</f>
        <v>0</v>
      </c>
      <c r="K2559">
        <f>SUM(Table13[[#This Row],[prefix]],Table13[[#This Row],[Past zero L]],Table13[[#This Row],[Past Zero R]],Table13[[#This Row],[Is Zero]])</f>
        <v>9</v>
      </c>
    </row>
    <row r="2560" spans="1:11" ht="16" x14ac:dyDescent="0.2">
      <c r="A2560" s="1" t="s">
        <v>15</v>
      </c>
      <c r="B2560" t="str">
        <f>LEFT(Table13[[#This Row],[Input]],1)</f>
        <v>R</v>
      </c>
      <c r="C2560">
        <f>_xlfn.LET(_xlpm.steps,SUBSTITUTE(Table13[[#This Row],[Input]],Table13[[#This Row],[Direction]],""),VALUE(IF(LEN(_xlpm.steps)&gt;2,RIGHT(_xlpm.steps,2),_xlpm.steps)))</f>
        <v>36</v>
      </c>
      <c r="D2560">
        <f>_xlfn.LET(_xlpm.steps,SUBSTITUTE(Table13[[#This Row],[Input]],Table13[[#This Row],[Direction]],""),VALUE(IF(LEN(_xlpm.steps)&gt;2,LEFT(_xlpm.steps,LEN(_xlpm.steps)-2),0)))</f>
        <v>0</v>
      </c>
      <c r="E2560">
        <f>_xlfn.LET(_xlpm.dir,Table13[[#This Row],[Direction]],
IF(_xlpm.dir="L",
    IF(G2559-Table13[[#This Row],[Steps]]&lt;0,100+(G2559-Table13[[#This Row],[Steps]]),G2559-Table13[[#This Row],[Steps]]),
))</f>
        <v>0</v>
      </c>
      <c r="F2560">
        <f>_xlfn.LET(_xlpm.dir,Table13[[#This Row],[Direction]],
IF(_xlpm.dir="R",
    IF(G2559+Table13[[#This Row],[Steps]]&gt;99,(G2559+Table13[[#This Row],[Steps]])-100,G2559+Table13[[#This Row],[Steps]]),
))</f>
        <v>0</v>
      </c>
      <c r="G2560">
        <f>IF(Table13[[#This Row],[New Pos L]]&lt;&gt;0,Table13[[#This Row],[New Pos L]],Table13[[#This Row],[New Pos R]])</f>
        <v>0</v>
      </c>
      <c r="H2560">
        <f>IF(AND(Table13[[#This Row],[Direction]]="L",Table13[[#This Row],[Steps]]&gt;G2559,G2559&lt;&gt;0),1,0)</f>
        <v>0</v>
      </c>
      <c r="I2560">
        <f>IF(AND(Table13[[#This Row],[Direction]]="R",(G2559+Table13[[#This Row],[Steps]])&gt;100),1,0)</f>
        <v>0</v>
      </c>
      <c r="J2560">
        <f>IF(Table13[[#This Row],[POS]]=0,1,0)</f>
        <v>1</v>
      </c>
      <c r="K2560">
        <f>SUM(Table13[[#This Row],[prefix]],Table13[[#This Row],[Past zero L]],Table13[[#This Row],[Past Zero R]],Table13[[#This Row],[Is Zero]])</f>
        <v>1</v>
      </c>
    </row>
    <row r="2561" spans="1:11" ht="16" x14ac:dyDescent="0.2">
      <c r="A2561" s="1" t="s">
        <v>623</v>
      </c>
      <c r="B2561" t="str">
        <f>LEFT(Table13[[#This Row],[Input]],1)</f>
        <v>R</v>
      </c>
      <c r="C2561">
        <f>_xlfn.LET(_xlpm.steps,SUBSTITUTE(Table13[[#This Row],[Input]],Table13[[#This Row],[Direction]],""),VALUE(IF(LEN(_xlpm.steps)&gt;2,RIGHT(_xlpm.steps,2),_xlpm.steps)))</f>
        <v>67</v>
      </c>
      <c r="D2561">
        <f>_xlfn.LET(_xlpm.steps,SUBSTITUTE(Table13[[#This Row],[Input]],Table13[[#This Row],[Direction]],""),VALUE(IF(LEN(_xlpm.steps)&gt;2,LEFT(_xlpm.steps,LEN(_xlpm.steps)-2),0)))</f>
        <v>2</v>
      </c>
      <c r="E2561">
        <f>_xlfn.LET(_xlpm.dir,Table13[[#This Row],[Direction]],
IF(_xlpm.dir="L",
    IF(G2560-Table13[[#This Row],[Steps]]&lt;0,100+(G2560-Table13[[#This Row],[Steps]]),G2560-Table13[[#This Row],[Steps]]),
))</f>
        <v>0</v>
      </c>
      <c r="F2561">
        <f>_xlfn.LET(_xlpm.dir,Table13[[#This Row],[Direction]],
IF(_xlpm.dir="R",
    IF(G2560+Table13[[#This Row],[Steps]]&gt;99,(G2560+Table13[[#This Row],[Steps]])-100,G2560+Table13[[#This Row],[Steps]]),
))</f>
        <v>67</v>
      </c>
      <c r="G2561">
        <f>IF(Table13[[#This Row],[New Pos L]]&lt;&gt;0,Table13[[#This Row],[New Pos L]],Table13[[#This Row],[New Pos R]])</f>
        <v>67</v>
      </c>
      <c r="H2561">
        <f>IF(AND(Table13[[#This Row],[Direction]]="L",Table13[[#This Row],[Steps]]&gt;G2560,G2560&lt;&gt;0),1,0)</f>
        <v>0</v>
      </c>
      <c r="I2561">
        <f>IF(AND(Table13[[#This Row],[Direction]]="R",(G2560+Table13[[#This Row],[Steps]])&gt;100),1,0)</f>
        <v>0</v>
      </c>
      <c r="J2561">
        <f>IF(Table13[[#This Row],[POS]]=0,1,0)</f>
        <v>0</v>
      </c>
      <c r="K2561">
        <f>SUM(Table13[[#This Row],[prefix]],Table13[[#This Row],[Past zero L]],Table13[[#This Row],[Past Zero R]],Table13[[#This Row],[Is Zero]])</f>
        <v>2</v>
      </c>
    </row>
    <row r="2562" spans="1:11" ht="16" x14ac:dyDescent="0.2">
      <c r="A2562" s="1" t="s">
        <v>70</v>
      </c>
      <c r="B2562" t="str">
        <f>LEFT(Table13[[#This Row],[Input]],1)</f>
        <v>R</v>
      </c>
      <c r="C2562">
        <f>_xlfn.LET(_xlpm.steps,SUBSTITUTE(Table13[[#This Row],[Input]],Table13[[#This Row],[Direction]],""),VALUE(IF(LEN(_xlpm.steps)&gt;2,RIGHT(_xlpm.steps,2),_xlpm.steps)))</f>
        <v>73</v>
      </c>
      <c r="D2562">
        <f>_xlfn.LET(_xlpm.steps,SUBSTITUTE(Table13[[#This Row],[Input]],Table13[[#This Row],[Direction]],""),VALUE(IF(LEN(_xlpm.steps)&gt;2,LEFT(_xlpm.steps,LEN(_xlpm.steps)-2),0)))</f>
        <v>0</v>
      </c>
      <c r="E2562">
        <f>_xlfn.LET(_xlpm.dir,Table13[[#This Row],[Direction]],
IF(_xlpm.dir="L",
    IF(G2561-Table13[[#This Row],[Steps]]&lt;0,100+(G2561-Table13[[#This Row],[Steps]]),G2561-Table13[[#This Row],[Steps]]),
))</f>
        <v>0</v>
      </c>
      <c r="F2562">
        <f>_xlfn.LET(_xlpm.dir,Table13[[#This Row],[Direction]],
IF(_xlpm.dir="R",
    IF(G2561+Table13[[#This Row],[Steps]]&gt;99,(G2561+Table13[[#This Row],[Steps]])-100,G2561+Table13[[#This Row],[Steps]]),
))</f>
        <v>40</v>
      </c>
      <c r="G2562">
        <f>IF(Table13[[#This Row],[New Pos L]]&lt;&gt;0,Table13[[#This Row],[New Pos L]],Table13[[#This Row],[New Pos R]])</f>
        <v>40</v>
      </c>
      <c r="H2562">
        <f>IF(AND(Table13[[#This Row],[Direction]]="L",Table13[[#This Row],[Steps]]&gt;G2561,G2561&lt;&gt;0),1,0)</f>
        <v>0</v>
      </c>
      <c r="I2562">
        <f>IF(AND(Table13[[#This Row],[Direction]]="R",(G2561+Table13[[#This Row],[Steps]])&gt;100),1,0)</f>
        <v>1</v>
      </c>
      <c r="J2562">
        <f>IF(Table13[[#This Row],[POS]]=0,1,0)</f>
        <v>0</v>
      </c>
      <c r="K2562">
        <f>SUM(Table13[[#This Row],[prefix]],Table13[[#This Row],[Past zero L]],Table13[[#This Row],[Past Zero R]],Table13[[#This Row],[Is Zero]])</f>
        <v>1</v>
      </c>
    </row>
    <row r="2563" spans="1:11" ht="16" x14ac:dyDescent="0.2">
      <c r="A2563" s="1" t="s">
        <v>624</v>
      </c>
      <c r="B2563" t="str">
        <f>LEFT(Table13[[#This Row],[Input]],1)</f>
        <v>L</v>
      </c>
      <c r="C2563">
        <f>_xlfn.LET(_xlpm.steps,SUBSTITUTE(Table13[[#This Row],[Input]],Table13[[#This Row],[Direction]],""),VALUE(IF(LEN(_xlpm.steps)&gt;2,RIGHT(_xlpm.steps,2),_xlpm.steps)))</f>
        <v>63</v>
      </c>
      <c r="D2563">
        <f>_xlfn.LET(_xlpm.steps,SUBSTITUTE(Table13[[#This Row],[Input]],Table13[[#This Row],[Direction]],""),VALUE(IF(LEN(_xlpm.steps)&gt;2,LEFT(_xlpm.steps,LEN(_xlpm.steps)-2),0)))</f>
        <v>9</v>
      </c>
      <c r="E2563">
        <f>_xlfn.LET(_xlpm.dir,Table13[[#This Row],[Direction]],
IF(_xlpm.dir="L",
    IF(G2562-Table13[[#This Row],[Steps]]&lt;0,100+(G2562-Table13[[#This Row],[Steps]]),G2562-Table13[[#This Row],[Steps]]),
))</f>
        <v>77</v>
      </c>
      <c r="F2563">
        <f>_xlfn.LET(_xlpm.dir,Table13[[#This Row],[Direction]],
IF(_xlpm.dir="R",
    IF(G2562+Table13[[#This Row],[Steps]]&gt;99,(G2562+Table13[[#This Row],[Steps]])-100,G2562+Table13[[#This Row],[Steps]]),
))</f>
        <v>0</v>
      </c>
      <c r="G2563">
        <f>IF(Table13[[#This Row],[New Pos L]]&lt;&gt;0,Table13[[#This Row],[New Pos L]],Table13[[#This Row],[New Pos R]])</f>
        <v>77</v>
      </c>
      <c r="H2563">
        <f>IF(AND(Table13[[#This Row],[Direction]]="L",Table13[[#This Row],[Steps]]&gt;G2562,G2562&lt;&gt;0),1,0)</f>
        <v>1</v>
      </c>
      <c r="I2563">
        <f>IF(AND(Table13[[#This Row],[Direction]]="R",(G2562+Table13[[#This Row],[Steps]])&gt;100),1,0)</f>
        <v>0</v>
      </c>
      <c r="J2563">
        <f>IF(Table13[[#This Row],[POS]]=0,1,0)</f>
        <v>0</v>
      </c>
      <c r="K2563">
        <f>SUM(Table13[[#This Row],[prefix]],Table13[[#This Row],[Past zero L]],Table13[[#This Row],[Past Zero R]],Table13[[#This Row],[Is Zero]])</f>
        <v>10</v>
      </c>
    </row>
    <row r="2564" spans="1:11" ht="16" x14ac:dyDescent="0.2">
      <c r="A2564" s="1" t="s">
        <v>71</v>
      </c>
      <c r="B2564" t="str">
        <f>LEFT(Table13[[#This Row],[Input]],1)</f>
        <v>R</v>
      </c>
      <c r="C2564">
        <f>_xlfn.LET(_xlpm.steps,SUBSTITUTE(Table13[[#This Row],[Input]],Table13[[#This Row],[Direction]],""),VALUE(IF(LEN(_xlpm.steps)&gt;2,RIGHT(_xlpm.steps,2),_xlpm.steps)))</f>
        <v>23</v>
      </c>
      <c r="D2564">
        <f>_xlfn.LET(_xlpm.steps,SUBSTITUTE(Table13[[#This Row],[Input]],Table13[[#This Row],[Direction]],""),VALUE(IF(LEN(_xlpm.steps)&gt;2,LEFT(_xlpm.steps,LEN(_xlpm.steps)-2),0)))</f>
        <v>0</v>
      </c>
      <c r="E2564">
        <f>_xlfn.LET(_xlpm.dir,Table13[[#This Row],[Direction]],
IF(_xlpm.dir="L",
    IF(G2563-Table13[[#This Row],[Steps]]&lt;0,100+(G2563-Table13[[#This Row],[Steps]]),G2563-Table13[[#This Row],[Steps]]),
))</f>
        <v>0</v>
      </c>
      <c r="F2564">
        <f>_xlfn.LET(_xlpm.dir,Table13[[#This Row],[Direction]],
IF(_xlpm.dir="R",
    IF(G2563+Table13[[#This Row],[Steps]]&gt;99,(G2563+Table13[[#This Row],[Steps]])-100,G2563+Table13[[#This Row],[Steps]]),
))</f>
        <v>0</v>
      </c>
      <c r="G2564">
        <f>IF(Table13[[#This Row],[New Pos L]]&lt;&gt;0,Table13[[#This Row],[New Pos L]],Table13[[#This Row],[New Pos R]])</f>
        <v>0</v>
      </c>
      <c r="H2564">
        <f>IF(AND(Table13[[#This Row],[Direction]]="L",Table13[[#This Row],[Steps]]&gt;G2563,G2563&lt;&gt;0),1,0)</f>
        <v>0</v>
      </c>
      <c r="I2564">
        <f>IF(AND(Table13[[#This Row],[Direction]]="R",(G2563+Table13[[#This Row],[Steps]])&gt;100),1,0)</f>
        <v>0</v>
      </c>
      <c r="J2564">
        <f>IF(Table13[[#This Row],[POS]]=0,1,0)</f>
        <v>1</v>
      </c>
      <c r="K2564">
        <f>SUM(Table13[[#This Row],[prefix]],Table13[[#This Row],[Past zero L]],Table13[[#This Row],[Past Zero R]],Table13[[#This Row],[Is Zero]])</f>
        <v>1</v>
      </c>
    </row>
    <row r="2565" spans="1:11" ht="16" x14ac:dyDescent="0.2">
      <c r="A2565" s="1" t="s">
        <v>319</v>
      </c>
      <c r="B2565" t="str">
        <f>LEFT(Table13[[#This Row],[Input]],1)</f>
        <v>L</v>
      </c>
      <c r="C2565">
        <f>_xlfn.LET(_xlpm.steps,SUBSTITUTE(Table13[[#This Row],[Input]],Table13[[#This Row],[Direction]],""),VALUE(IF(LEN(_xlpm.steps)&gt;2,RIGHT(_xlpm.steps,2),_xlpm.steps)))</f>
        <v>79</v>
      </c>
      <c r="D2565">
        <f>_xlfn.LET(_xlpm.steps,SUBSTITUTE(Table13[[#This Row],[Input]],Table13[[#This Row],[Direction]],""),VALUE(IF(LEN(_xlpm.steps)&gt;2,LEFT(_xlpm.steps,LEN(_xlpm.steps)-2),0)))</f>
        <v>0</v>
      </c>
      <c r="E2565">
        <f>_xlfn.LET(_xlpm.dir,Table13[[#This Row],[Direction]],
IF(_xlpm.dir="L",
    IF(G2564-Table13[[#This Row],[Steps]]&lt;0,100+(G2564-Table13[[#This Row],[Steps]]),G2564-Table13[[#This Row],[Steps]]),
))</f>
        <v>21</v>
      </c>
      <c r="F2565">
        <f>_xlfn.LET(_xlpm.dir,Table13[[#This Row],[Direction]],
IF(_xlpm.dir="R",
    IF(G2564+Table13[[#This Row],[Steps]]&gt;99,(G2564+Table13[[#This Row],[Steps]])-100,G2564+Table13[[#This Row],[Steps]]),
))</f>
        <v>0</v>
      </c>
      <c r="G2565">
        <f>IF(Table13[[#This Row],[New Pos L]]&lt;&gt;0,Table13[[#This Row],[New Pos L]],Table13[[#This Row],[New Pos R]])</f>
        <v>21</v>
      </c>
      <c r="H2565">
        <f>IF(AND(Table13[[#This Row],[Direction]]="L",Table13[[#This Row],[Steps]]&gt;G2564,G2564&lt;&gt;0),1,0)</f>
        <v>0</v>
      </c>
      <c r="I2565">
        <f>IF(AND(Table13[[#This Row],[Direction]]="R",(G2564+Table13[[#This Row],[Steps]])&gt;100),1,0)</f>
        <v>0</v>
      </c>
      <c r="J2565">
        <f>IF(Table13[[#This Row],[POS]]=0,1,0)</f>
        <v>0</v>
      </c>
      <c r="K2565">
        <f>SUM(Table13[[#This Row],[prefix]],Table13[[#This Row],[Past zero L]],Table13[[#This Row],[Past Zero R]],Table13[[#This Row],[Is Zero]])</f>
        <v>0</v>
      </c>
    </row>
    <row r="2566" spans="1:11" ht="16" x14ac:dyDescent="0.2">
      <c r="A2566" s="1" t="s">
        <v>625</v>
      </c>
      <c r="B2566" t="str">
        <f>LEFT(Table13[[#This Row],[Input]],1)</f>
        <v>R</v>
      </c>
      <c r="C2566">
        <f>_xlfn.LET(_xlpm.steps,SUBSTITUTE(Table13[[#This Row],[Input]],Table13[[#This Row],[Direction]],""),VALUE(IF(LEN(_xlpm.steps)&gt;2,RIGHT(_xlpm.steps,2),_xlpm.steps)))</f>
        <v>79</v>
      </c>
      <c r="D2566">
        <f>_xlfn.LET(_xlpm.steps,SUBSTITUTE(Table13[[#This Row],[Input]],Table13[[#This Row],[Direction]],""),VALUE(IF(LEN(_xlpm.steps)&gt;2,LEFT(_xlpm.steps,LEN(_xlpm.steps)-2),0)))</f>
        <v>8</v>
      </c>
      <c r="E2566">
        <f>_xlfn.LET(_xlpm.dir,Table13[[#This Row],[Direction]],
IF(_xlpm.dir="L",
    IF(G2565-Table13[[#This Row],[Steps]]&lt;0,100+(G2565-Table13[[#This Row],[Steps]]),G2565-Table13[[#This Row],[Steps]]),
))</f>
        <v>0</v>
      </c>
      <c r="F2566">
        <f>_xlfn.LET(_xlpm.dir,Table13[[#This Row],[Direction]],
IF(_xlpm.dir="R",
    IF(G2565+Table13[[#This Row],[Steps]]&gt;99,(G2565+Table13[[#This Row],[Steps]])-100,G2565+Table13[[#This Row],[Steps]]),
))</f>
        <v>0</v>
      </c>
      <c r="G2566">
        <f>IF(Table13[[#This Row],[New Pos L]]&lt;&gt;0,Table13[[#This Row],[New Pos L]],Table13[[#This Row],[New Pos R]])</f>
        <v>0</v>
      </c>
      <c r="H2566">
        <f>IF(AND(Table13[[#This Row],[Direction]]="L",Table13[[#This Row],[Steps]]&gt;G2565,G2565&lt;&gt;0),1,0)</f>
        <v>0</v>
      </c>
      <c r="I2566">
        <f>IF(AND(Table13[[#This Row],[Direction]]="R",(G2565+Table13[[#This Row],[Steps]])&gt;100),1,0)</f>
        <v>0</v>
      </c>
      <c r="J2566">
        <f>IF(Table13[[#This Row],[POS]]=0,1,0)</f>
        <v>1</v>
      </c>
      <c r="K2566">
        <f>SUM(Table13[[#This Row],[prefix]],Table13[[#This Row],[Past zero L]],Table13[[#This Row],[Past Zero R]],Table13[[#This Row],[Is Zero]])</f>
        <v>9</v>
      </c>
    </row>
    <row r="2567" spans="1:11" ht="16" x14ac:dyDescent="0.2">
      <c r="A2567" s="1" t="s">
        <v>105</v>
      </c>
      <c r="B2567" t="str">
        <f>LEFT(Table13[[#This Row],[Input]],1)</f>
        <v>R</v>
      </c>
      <c r="C2567">
        <f>_xlfn.LET(_xlpm.steps,SUBSTITUTE(Table13[[#This Row],[Input]],Table13[[#This Row],[Direction]],""),VALUE(IF(LEN(_xlpm.steps)&gt;2,RIGHT(_xlpm.steps,2),_xlpm.steps)))</f>
        <v>98</v>
      </c>
      <c r="D2567">
        <f>_xlfn.LET(_xlpm.steps,SUBSTITUTE(Table13[[#This Row],[Input]],Table13[[#This Row],[Direction]],""),VALUE(IF(LEN(_xlpm.steps)&gt;2,LEFT(_xlpm.steps,LEN(_xlpm.steps)-2),0)))</f>
        <v>0</v>
      </c>
      <c r="E2567">
        <f>_xlfn.LET(_xlpm.dir,Table13[[#This Row],[Direction]],
IF(_xlpm.dir="L",
    IF(G2566-Table13[[#This Row],[Steps]]&lt;0,100+(G2566-Table13[[#This Row],[Steps]]),G2566-Table13[[#This Row],[Steps]]),
))</f>
        <v>0</v>
      </c>
      <c r="F2567">
        <f>_xlfn.LET(_xlpm.dir,Table13[[#This Row],[Direction]],
IF(_xlpm.dir="R",
    IF(G2566+Table13[[#This Row],[Steps]]&gt;99,(G2566+Table13[[#This Row],[Steps]])-100,G2566+Table13[[#This Row],[Steps]]),
))</f>
        <v>98</v>
      </c>
      <c r="G2567">
        <f>IF(Table13[[#This Row],[New Pos L]]&lt;&gt;0,Table13[[#This Row],[New Pos L]],Table13[[#This Row],[New Pos R]])</f>
        <v>98</v>
      </c>
      <c r="H2567">
        <f>IF(AND(Table13[[#This Row],[Direction]]="L",Table13[[#This Row],[Steps]]&gt;G2566,G2566&lt;&gt;0),1,0)</f>
        <v>0</v>
      </c>
      <c r="I2567">
        <f>IF(AND(Table13[[#This Row],[Direction]]="R",(G2566+Table13[[#This Row],[Steps]])&gt;100),1,0)</f>
        <v>0</v>
      </c>
      <c r="J2567">
        <f>IF(Table13[[#This Row],[POS]]=0,1,0)</f>
        <v>0</v>
      </c>
      <c r="K2567">
        <f>SUM(Table13[[#This Row],[prefix]],Table13[[#This Row],[Past zero L]],Table13[[#This Row],[Past Zero R]],Table13[[#This Row],[Is Zero]])</f>
        <v>0</v>
      </c>
    </row>
    <row r="2568" spans="1:11" ht="16" x14ac:dyDescent="0.2">
      <c r="A2568" s="1" t="s">
        <v>157</v>
      </c>
      <c r="B2568" t="str">
        <f>LEFT(Table13[[#This Row],[Input]],1)</f>
        <v>R</v>
      </c>
      <c r="C2568">
        <f>_xlfn.LET(_xlpm.steps,SUBSTITUTE(Table13[[#This Row],[Input]],Table13[[#This Row],[Direction]],""),VALUE(IF(LEN(_xlpm.steps)&gt;2,RIGHT(_xlpm.steps,2),_xlpm.steps)))</f>
        <v>68</v>
      </c>
      <c r="D2568">
        <f>_xlfn.LET(_xlpm.steps,SUBSTITUTE(Table13[[#This Row],[Input]],Table13[[#This Row],[Direction]],""),VALUE(IF(LEN(_xlpm.steps)&gt;2,LEFT(_xlpm.steps,LEN(_xlpm.steps)-2),0)))</f>
        <v>0</v>
      </c>
      <c r="E2568">
        <f>_xlfn.LET(_xlpm.dir,Table13[[#This Row],[Direction]],
IF(_xlpm.dir="L",
    IF(G2567-Table13[[#This Row],[Steps]]&lt;0,100+(G2567-Table13[[#This Row],[Steps]]),G2567-Table13[[#This Row],[Steps]]),
))</f>
        <v>0</v>
      </c>
      <c r="F2568">
        <f>_xlfn.LET(_xlpm.dir,Table13[[#This Row],[Direction]],
IF(_xlpm.dir="R",
    IF(G2567+Table13[[#This Row],[Steps]]&gt;99,(G2567+Table13[[#This Row],[Steps]])-100,G2567+Table13[[#This Row],[Steps]]),
))</f>
        <v>66</v>
      </c>
      <c r="G2568">
        <f>IF(Table13[[#This Row],[New Pos L]]&lt;&gt;0,Table13[[#This Row],[New Pos L]],Table13[[#This Row],[New Pos R]])</f>
        <v>66</v>
      </c>
      <c r="H2568">
        <f>IF(AND(Table13[[#This Row],[Direction]]="L",Table13[[#This Row],[Steps]]&gt;G2567,G2567&lt;&gt;0),1,0)</f>
        <v>0</v>
      </c>
      <c r="I2568">
        <f>IF(AND(Table13[[#This Row],[Direction]]="R",(G2567+Table13[[#This Row],[Steps]])&gt;100),1,0)</f>
        <v>1</v>
      </c>
      <c r="J2568">
        <f>IF(Table13[[#This Row],[POS]]=0,1,0)</f>
        <v>0</v>
      </c>
      <c r="K2568">
        <f>SUM(Table13[[#This Row],[prefix]],Table13[[#This Row],[Past zero L]],Table13[[#This Row],[Past Zero R]],Table13[[#This Row],[Is Zero]])</f>
        <v>1</v>
      </c>
    </row>
    <row r="2569" spans="1:11" ht="16" x14ac:dyDescent="0.2">
      <c r="A2569" s="1" t="s">
        <v>123</v>
      </c>
      <c r="B2569" t="str">
        <f>LEFT(Table13[[#This Row],[Input]],1)</f>
        <v>L</v>
      </c>
      <c r="C2569">
        <f>_xlfn.LET(_xlpm.steps,SUBSTITUTE(Table13[[#This Row],[Input]],Table13[[#This Row],[Direction]],""),VALUE(IF(LEN(_xlpm.steps)&gt;2,RIGHT(_xlpm.steps,2),_xlpm.steps)))</f>
        <v>63</v>
      </c>
      <c r="D2569">
        <f>_xlfn.LET(_xlpm.steps,SUBSTITUTE(Table13[[#This Row],[Input]],Table13[[#This Row],[Direction]],""),VALUE(IF(LEN(_xlpm.steps)&gt;2,LEFT(_xlpm.steps,LEN(_xlpm.steps)-2),0)))</f>
        <v>0</v>
      </c>
      <c r="E2569">
        <f>_xlfn.LET(_xlpm.dir,Table13[[#This Row],[Direction]],
IF(_xlpm.dir="L",
    IF(G2568-Table13[[#This Row],[Steps]]&lt;0,100+(G2568-Table13[[#This Row],[Steps]]),G2568-Table13[[#This Row],[Steps]]),
))</f>
        <v>3</v>
      </c>
      <c r="F2569">
        <f>_xlfn.LET(_xlpm.dir,Table13[[#This Row],[Direction]],
IF(_xlpm.dir="R",
    IF(G2568+Table13[[#This Row],[Steps]]&gt;99,(G2568+Table13[[#This Row],[Steps]])-100,G2568+Table13[[#This Row],[Steps]]),
))</f>
        <v>0</v>
      </c>
      <c r="G2569">
        <f>IF(Table13[[#This Row],[New Pos L]]&lt;&gt;0,Table13[[#This Row],[New Pos L]],Table13[[#This Row],[New Pos R]])</f>
        <v>3</v>
      </c>
      <c r="H2569">
        <f>IF(AND(Table13[[#This Row],[Direction]]="L",Table13[[#This Row],[Steps]]&gt;G2568,G2568&lt;&gt;0),1,0)</f>
        <v>0</v>
      </c>
      <c r="I2569">
        <f>IF(AND(Table13[[#This Row],[Direction]]="R",(G2568+Table13[[#This Row],[Steps]])&gt;100),1,0)</f>
        <v>0</v>
      </c>
      <c r="J2569">
        <f>IF(Table13[[#This Row],[POS]]=0,1,0)</f>
        <v>0</v>
      </c>
      <c r="K2569">
        <f>SUM(Table13[[#This Row],[prefix]],Table13[[#This Row],[Past zero L]],Table13[[#This Row],[Past Zero R]],Table13[[#This Row],[Is Zero]])</f>
        <v>0</v>
      </c>
    </row>
    <row r="2570" spans="1:11" ht="16" x14ac:dyDescent="0.2">
      <c r="A2570" s="1" t="s">
        <v>47</v>
      </c>
      <c r="B2570" t="str">
        <f>LEFT(Table13[[#This Row],[Input]],1)</f>
        <v>R</v>
      </c>
      <c r="C2570">
        <f>_xlfn.LET(_xlpm.steps,SUBSTITUTE(Table13[[#This Row],[Input]],Table13[[#This Row],[Direction]],""),VALUE(IF(LEN(_xlpm.steps)&gt;2,RIGHT(_xlpm.steps,2),_xlpm.steps)))</f>
        <v>97</v>
      </c>
      <c r="D2570">
        <f>_xlfn.LET(_xlpm.steps,SUBSTITUTE(Table13[[#This Row],[Input]],Table13[[#This Row],[Direction]],""),VALUE(IF(LEN(_xlpm.steps)&gt;2,LEFT(_xlpm.steps,LEN(_xlpm.steps)-2),0)))</f>
        <v>0</v>
      </c>
      <c r="E2570">
        <f>_xlfn.LET(_xlpm.dir,Table13[[#This Row],[Direction]],
IF(_xlpm.dir="L",
    IF(G2569-Table13[[#This Row],[Steps]]&lt;0,100+(G2569-Table13[[#This Row],[Steps]]),G2569-Table13[[#This Row],[Steps]]),
))</f>
        <v>0</v>
      </c>
      <c r="F2570">
        <f>_xlfn.LET(_xlpm.dir,Table13[[#This Row],[Direction]],
IF(_xlpm.dir="R",
    IF(G2569+Table13[[#This Row],[Steps]]&gt;99,(G2569+Table13[[#This Row],[Steps]])-100,G2569+Table13[[#This Row],[Steps]]),
))</f>
        <v>0</v>
      </c>
      <c r="G2570">
        <f>IF(Table13[[#This Row],[New Pos L]]&lt;&gt;0,Table13[[#This Row],[New Pos L]],Table13[[#This Row],[New Pos R]])</f>
        <v>0</v>
      </c>
      <c r="H2570">
        <f>IF(AND(Table13[[#This Row],[Direction]]="L",Table13[[#This Row],[Steps]]&gt;G2569,G2569&lt;&gt;0),1,0)</f>
        <v>0</v>
      </c>
      <c r="I2570">
        <f>IF(AND(Table13[[#This Row],[Direction]]="R",(G2569+Table13[[#This Row],[Steps]])&gt;100),1,0)</f>
        <v>0</v>
      </c>
      <c r="J2570">
        <f>IF(Table13[[#This Row],[POS]]=0,1,0)</f>
        <v>1</v>
      </c>
      <c r="K2570">
        <f>SUM(Table13[[#This Row],[prefix]],Table13[[#This Row],[Past zero L]],Table13[[#This Row],[Past Zero R]],Table13[[#This Row],[Is Zero]])</f>
        <v>1</v>
      </c>
    </row>
    <row r="2571" spans="1:11" ht="16" x14ac:dyDescent="0.2">
      <c r="A2571" s="1" t="s">
        <v>626</v>
      </c>
      <c r="B2571" t="str">
        <f>LEFT(Table13[[#This Row],[Input]],1)</f>
        <v>R</v>
      </c>
      <c r="C2571">
        <f>_xlfn.LET(_xlpm.steps,SUBSTITUTE(Table13[[#This Row],[Input]],Table13[[#This Row],[Direction]],""),VALUE(IF(LEN(_xlpm.steps)&gt;2,RIGHT(_xlpm.steps,2),_xlpm.steps)))</f>
        <v>86</v>
      </c>
      <c r="D2571">
        <f>_xlfn.LET(_xlpm.steps,SUBSTITUTE(Table13[[#This Row],[Input]],Table13[[#This Row],[Direction]],""),VALUE(IF(LEN(_xlpm.steps)&gt;2,LEFT(_xlpm.steps,LEN(_xlpm.steps)-2),0)))</f>
        <v>4</v>
      </c>
      <c r="E2571">
        <f>_xlfn.LET(_xlpm.dir,Table13[[#This Row],[Direction]],
IF(_xlpm.dir="L",
    IF(G2570-Table13[[#This Row],[Steps]]&lt;0,100+(G2570-Table13[[#This Row],[Steps]]),G2570-Table13[[#This Row],[Steps]]),
))</f>
        <v>0</v>
      </c>
      <c r="F2571">
        <f>_xlfn.LET(_xlpm.dir,Table13[[#This Row],[Direction]],
IF(_xlpm.dir="R",
    IF(G2570+Table13[[#This Row],[Steps]]&gt;99,(G2570+Table13[[#This Row],[Steps]])-100,G2570+Table13[[#This Row],[Steps]]),
))</f>
        <v>86</v>
      </c>
      <c r="G2571">
        <f>IF(Table13[[#This Row],[New Pos L]]&lt;&gt;0,Table13[[#This Row],[New Pos L]],Table13[[#This Row],[New Pos R]])</f>
        <v>86</v>
      </c>
      <c r="H2571">
        <f>IF(AND(Table13[[#This Row],[Direction]]="L",Table13[[#This Row],[Steps]]&gt;G2570,G2570&lt;&gt;0),1,0)</f>
        <v>0</v>
      </c>
      <c r="I2571">
        <f>IF(AND(Table13[[#This Row],[Direction]]="R",(G2570+Table13[[#This Row],[Steps]])&gt;100),1,0)</f>
        <v>0</v>
      </c>
      <c r="J2571">
        <f>IF(Table13[[#This Row],[POS]]=0,1,0)</f>
        <v>0</v>
      </c>
      <c r="K2571">
        <f>SUM(Table13[[#This Row],[prefix]],Table13[[#This Row],[Past zero L]],Table13[[#This Row],[Past Zero R]],Table13[[#This Row],[Is Zero]])</f>
        <v>4</v>
      </c>
    </row>
    <row r="2572" spans="1:11" ht="16" x14ac:dyDescent="0.2">
      <c r="A2572" s="1" t="s">
        <v>128</v>
      </c>
      <c r="B2572" t="str">
        <f>LEFT(Table13[[#This Row],[Input]],1)</f>
        <v>R</v>
      </c>
      <c r="C2572">
        <f>_xlfn.LET(_xlpm.steps,SUBSTITUTE(Table13[[#This Row],[Input]],Table13[[#This Row],[Direction]],""),VALUE(IF(LEN(_xlpm.steps)&gt;2,RIGHT(_xlpm.steps,2),_xlpm.steps)))</f>
        <v>92</v>
      </c>
      <c r="D2572">
        <f>_xlfn.LET(_xlpm.steps,SUBSTITUTE(Table13[[#This Row],[Input]],Table13[[#This Row],[Direction]],""),VALUE(IF(LEN(_xlpm.steps)&gt;2,LEFT(_xlpm.steps,LEN(_xlpm.steps)-2),0)))</f>
        <v>0</v>
      </c>
      <c r="E2572">
        <f>_xlfn.LET(_xlpm.dir,Table13[[#This Row],[Direction]],
IF(_xlpm.dir="L",
    IF(G2571-Table13[[#This Row],[Steps]]&lt;0,100+(G2571-Table13[[#This Row],[Steps]]),G2571-Table13[[#This Row],[Steps]]),
))</f>
        <v>0</v>
      </c>
      <c r="F2572">
        <f>_xlfn.LET(_xlpm.dir,Table13[[#This Row],[Direction]],
IF(_xlpm.dir="R",
    IF(G2571+Table13[[#This Row],[Steps]]&gt;99,(G2571+Table13[[#This Row],[Steps]])-100,G2571+Table13[[#This Row],[Steps]]),
))</f>
        <v>78</v>
      </c>
      <c r="G2572">
        <f>IF(Table13[[#This Row],[New Pos L]]&lt;&gt;0,Table13[[#This Row],[New Pos L]],Table13[[#This Row],[New Pos R]])</f>
        <v>78</v>
      </c>
      <c r="H2572">
        <f>IF(AND(Table13[[#This Row],[Direction]]="L",Table13[[#This Row],[Steps]]&gt;G2571,G2571&lt;&gt;0),1,0)</f>
        <v>0</v>
      </c>
      <c r="I2572">
        <f>IF(AND(Table13[[#This Row],[Direction]]="R",(G2571+Table13[[#This Row],[Steps]])&gt;100),1,0)</f>
        <v>1</v>
      </c>
      <c r="J2572">
        <f>IF(Table13[[#This Row],[POS]]=0,1,0)</f>
        <v>0</v>
      </c>
      <c r="K2572">
        <f>SUM(Table13[[#This Row],[prefix]],Table13[[#This Row],[Past zero L]],Table13[[#This Row],[Past Zero R]],Table13[[#This Row],[Is Zero]])</f>
        <v>1</v>
      </c>
    </row>
    <row r="2573" spans="1:11" ht="16" x14ac:dyDescent="0.2">
      <c r="A2573" s="1" t="s">
        <v>32</v>
      </c>
      <c r="B2573" t="str">
        <f>LEFT(Table13[[#This Row],[Input]],1)</f>
        <v>L</v>
      </c>
      <c r="C2573">
        <f>_xlfn.LET(_xlpm.steps,SUBSTITUTE(Table13[[#This Row],[Input]],Table13[[#This Row],[Direction]],""),VALUE(IF(LEN(_xlpm.steps)&gt;2,RIGHT(_xlpm.steps,2),_xlpm.steps)))</f>
        <v>28</v>
      </c>
      <c r="D2573">
        <f>_xlfn.LET(_xlpm.steps,SUBSTITUTE(Table13[[#This Row],[Input]],Table13[[#This Row],[Direction]],""),VALUE(IF(LEN(_xlpm.steps)&gt;2,LEFT(_xlpm.steps,LEN(_xlpm.steps)-2),0)))</f>
        <v>0</v>
      </c>
      <c r="E2573">
        <f>_xlfn.LET(_xlpm.dir,Table13[[#This Row],[Direction]],
IF(_xlpm.dir="L",
    IF(G2572-Table13[[#This Row],[Steps]]&lt;0,100+(G2572-Table13[[#This Row],[Steps]]),G2572-Table13[[#This Row],[Steps]]),
))</f>
        <v>50</v>
      </c>
      <c r="F2573">
        <f>_xlfn.LET(_xlpm.dir,Table13[[#This Row],[Direction]],
IF(_xlpm.dir="R",
    IF(G2572+Table13[[#This Row],[Steps]]&gt;99,(G2572+Table13[[#This Row],[Steps]])-100,G2572+Table13[[#This Row],[Steps]]),
))</f>
        <v>0</v>
      </c>
      <c r="G2573">
        <f>IF(Table13[[#This Row],[New Pos L]]&lt;&gt;0,Table13[[#This Row],[New Pos L]],Table13[[#This Row],[New Pos R]])</f>
        <v>50</v>
      </c>
      <c r="H2573">
        <f>IF(AND(Table13[[#This Row],[Direction]]="L",Table13[[#This Row],[Steps]]&gt;G2572,G2572&lt;&gt;0),1,0)</f>
        <v>0</v>
      </c>
      <c r="I2573">
        <f>IF(AND(Table13[[#This Row],[Direction]]="R",(G2572+Table13[[#This Row],[Steps]])&gt;100),1,0)</f>
        <v>0</v>
      </c>
      <c r="J2573">
        <f>IF(Table13[[#This Row],[POS]]=0,1,0)</f>
        <v>0</v>
      </c>
      <c r="K2573">
        <f>SUM(Table13[[#This Row],[prefix]],Table13[[#This Row],[Past zero L]],Table13[[#This Row],[Past Zero R]],Table13[[#This Row],[Is Zero]])</f>
        <v>0</v>
      </c>
    </row>
    <row r="2574" spans="1:11" ht="16" x14ac:dyDescent="0.2">
      <c r="A2574" s="1" t="s">
        <v>201</v>
      </c>
      <c r="B2574" t="str">
        <f>LEFT(Table13[[#This Row],[Input]],1)</f>
        <v>R</v>
      </c>
      <c r="C2574">
        <f>_xlfn.LET(_xlpm.steps,SUBSTITUTE(Table13[[#This Row],[Input]],Table13[[#This Row],[Direction]],""),VALUE(IF(LEN(_xlpm.steps)&gt;2,RIGHT(_xlpm.steps,2),_xlpm.steps)))</f>
        <v>31</v>
      </c>
      <c r="D2574">
        <f>_xlfn.LET(_xlpm.steps,SUBSTITUTE(Table13[[#This Row],[Input]],Table13[[#This Row],[Direction]],""),VALUE(IF(LEN(_xlpm.steps)&gt;2,LEFT(_xlpm.steps,LEN(_xlpm.steps)-2),0)))</f>
        <v>0</v>
      </c>
      <c r="E2574">
        <f>_xlfn.LET(_xlpm.dir,Table13[[#This Row],[Direction]],
IF(_xlpm.dir="L",
    IF(G2573-Table13[[#This Row],[Steps]]&lt;0,100+(G2573-Table13[[#This Row],[Steps]]),G2573-Table13[[#This Row],[Steps]]),
))</f>
        <v>0</v>
      </c>
      <c r="F2574">
        <f>_xlfn.LET(_xlpm.dir,Table13[[#This Row],[Direction]],
IF(_xlpm.dir="R",
    IF(G2573+Table13[[#This Row],[Steps]]&gt;99,(G2573+Table13[[#This Row],[Steps]])-100,G2573+Table13[[#This Row],[Steps]]),
))</f>
        <v>81</v>
      </c>
      <c r="G2574">
        <f>IF(Table13[[#This Row],[New Pos L]]&lt;&gt;0,Table13[[#This Row],[New Pos L]],Table13[[#This Row],[New Pos R]])</f>
        <v>81</v>
      </c>
      <c r="H2574">
        <f>IF(AND(Table13[[#This Row],[Direction]]="L",Table13[[#This Row],[Steps]]&gt;G2573,G2573&lt;&gt;0),1,0)</f>
        <v>0</v>
      </c>
      <c r="I2574">
        <f>IF(AND(Table13[[#This Row],[Direction]]="R",(G2573+Table13[[#This Row],[Steps]])&gt;100),1,0)</f>
        <v>0</v>
      </c>
      <c r="J2574">
        <f>IF(Table13[[#This Row],[POS]]=0,1,0)</f>
        <v>0</v>
      </c>
      <c r="K2574">
        <f>SUM(Table13[[#This Row],[prefix]],Table13[[#This Row],[Past zero L]],Table13[[#This Row],[Past Zero R]],Table13[[#This Row],[Is Zero]])</f>
        <v>0</v>
      </c>
    </row>
    <row r="2575" spans="1:11" ht="16" x14ac:dyDescent="0.2">
      <c r="A2575" s="1" t="s">
        <v>65</v>
      </c>
      <c r="B2575" t="str">
        <f>LEFT(Table13[[#This Row],[Input]],1)</f>
        <v>L</v>
      </c>
      <c r="C2575">
        <f>_xlfn.LET(_xlpm.steps,SUBSTITUTE(Table13[[#This Row],[Input]],Table13[[#This Row],[Direction]],""),VALUE(IF(LEN(_xlpm.steps)&gt;2,RIGHT(_xlpm.steps,2),_xlpm.steps)))</f>
        <v>19</v>
      </c>
      <c r="D2575">
        <f>_xlfn.LET(_xlpm.steps,SUBSTITUTE(Table13[[#This Row],[Input]],Table13[[#This Row],[Direction]],""),VALUE(IF(LEN(_xlpm.steps)&gt;2,LEFT(_xlpm.steps,LEN(_xlpm.steps)-2),0)))</f>
        <v>0</v>
      </c>
      <c r="E2575">
        <f>_xlfn.LET(_xlpm.dir,Table13[[#This Row],[Direction]],
IF(_xlpm.dir="L",
    IF(G2574-Table13[[#This Row],[Steps]]&lt;0,100+(G2574-Table13[[#This Row],[Steps]]),G2574-Table13[[#This Row],[Steps]]),
))</f>
        <v>62</v>
      </c>
      <c r="F2575">
        <f>_xlfn.LET(_xlpm.dir,Table13[[#This Row],[Direction]],
IF(_xlpm.dir="R",
    IF(G2574+Table13[[#This Row],[Steps]]&gt;99,(G2574+Table13[[#This Row],[Steps]])-100,G2574+Table13[[#This Row],[Steps]]),
))</f>
        <v>0</v>
      </c>
      <c r="G2575">
        <f>IF(Table13[[#This Row],[New Pos L]]&lt;&gt;0,Table13[[#This Row],[New Pos L]],Table13[[#This Row],[New Pos R]])</f>
        <v>62</v>
      </c>
      <c r="H2575">
        <f>IF(AND(Table13[[#This Row],[Direction]]="L",Table13[[#This Row],[Steps]]&gt;G2574,G2574&lt;&gt;0),1,0)</f>
        <v>0</v>
      </c>
      <c r="I2575">
        <f>IF(AND(Table13[[#This Row],[Direction]]="R",(G2574+Table13[[#This Row],[Steps]])&gt;100),1,0)</f>
        <v>0</v>
      </c>
      <c r="J2575">
        <f>IF(Table13[[#This Row],[POS]]=0,1,0)</f>
        <v>0</v>
      </c>
      <c r="K2575">
        <f>SUM(Table13[[#This Row],[prefix]],Table13[[#This Row],[Past zero L]],Table13[[#This Row],[Past Zero R]],Table13[[#This Row],[Is Zero]])</f>
        <v>0</v>
      </c>
    </row>
    <row r="2576" spans="1:11" ht="16" x14ac:dyDescent="0.2">
      <c r="A2576" s="1" t="s">
        <v>127</v>
      </c>
      <c r="B2576" t="str">
        <f>LEFT(Table13[[#This Row],[Input]],1)</f>
        <v>L</v>
      </c>
      <c r="C2576">
        <f>_xlfn.LET(_xlpm.steps,SUBSTITUTE(Table13[[#This Row],[Input]],Table13[[#This Row],[Direction]],""),VALUE(IF(LEN(_xlpm.steps)&gt;2,RIGHT(_xlpm.steps,2),_xlpm.steps)))</f>
        <v>62</v>
      </c>
      <c r="D2576">
        <f>_xlfn.LET(_xlpm.steps,SUBSTITUTE(Table13[[#This Row],[Input]],Table13[[#This Row],[Direction]],""),VALUE(IF(LEN(_xlpm.steps)&gt;2,LEFT(_xlpm.steps,LEN(_xlpm.steps)-2),0)))</f>
        <v>0</v>
      </c>
      <c r="E2576">
        <f>_xlfn.LET(_xlpm.dir,Table13[[#This Row],[Direction]],
IF(_xlpm.dir="L",
    IF(G2575-Table13[[#This Row],[Steps]]&lt;0,100+(G2575-Table13[[#This Row],[Steps]]),G2575-Table13[[#This Row],[Steps]]),
))</f>
        <v>0</v>
      </c>
      <c r="F2576">
        <f>_xlfn.LET(_xlpm.dir,Table13[[#This Row],[Direction]],
IF(_xlpm.dir="R",
    IF(G2575+Table13[[#This Row],[Steps]]&gt;99,(G2575+Table13[[#This Row],[Steps]])-100,G2575+Table13[[#This Row],[Steps]]),
))</f>
        <v>0</v>
      </c>
      <c r="G2576">
        <f>IF(Table13[[#This Row],[New Pos L]]&lt;&gt;0,Table13[[#This Row],[New Pos L]],Table13[[#This Row],[New Pos R]])</f>
        <v>0</v>
      </c>
      <c r="H2576">
        <f>IF(AND(Table13[[#This Row],[Direction]]="L",Table13[[#This Row],[Steps]]&gt;G2575,G2575&lt;&gt;0),1,0)</f>
        <v>0</v>
      </c>
      <c r="I2576">
        <f>IF(AND(Table13[[#This Row],[Direction]]="R",(G2575+Table13[[#This Row],[Steps]])&gt;100),1,0)</f>
        <v>0</v>
      </c>
      <c r="J2576">
        <f>IF(Table13[[#This Row],[POS]]=0,1,0)</f>
        <v>1</v>
      </c>
      <c r="K2576">
        <f>SUM(Table13[[#This Row],[prefix]],Table13[[#This Row],[Past zero L]],Table13[[#This Row],[Past Zero R]],Table13[[#This Row],[Is Zero]])</f>
        <v>1</v>
      </c>
    </row>
    <row r="2577" spans="1:11" ht="16" x14ac:dyDescent="0.2">
      <c r="A2577" s="1" t="s">
        <v>627</v>
      </c>
      <c r="B2577" t="str">
        <f>LEFT(Table13[[#This Row],[Input]],1)</f>
        <v>R</v>
      </c>
      <c r="C2577">
        <f>_xlfn.LET(_xlpm.steps,SUBSTITUTE(Table13[[#This Row],[Input]],Table13[[#This Row],[Direction]],""),VALUE(IF(LEN(_xlpm.steps)&gt;2,RIGHT(_xlpm.steps,2),_xlpm.steps)))</f>
        <v>26</v>
      </c>
      <c r="D2577">
        <f>_xlfn.LET(_xlpm.steps,SUBSTITUTE(Table13[[#This Row],[Input]],Table13[[#This Row],[Direction]],""),VALUE(IF(LEN(_xlpm.steps)&gt;2,LEFT(_xlpm.steps,LEN(_xlpm.steps)-2),0)))</f>
        <v>4</v>
      </c>
      <c r="E2577">
        <f>_xlfn.LET(_xlpm.dir,Table13[[#This Row],[Direction]],
IF(_xlpm.dir="L",
    IF(G2576-Table13[[#This Row],[Steps]]&lt;0,100+(G2576-Table13[[#This Row],[Steps]]),G2576-Table13[[#This Row],[Steps]]),
))</f>
        <v>0</v>
      </c>
      <c r="F2577">
        <f>_xlfn.LET(_xlpm.dir,Table13[[#This Row],[Direction]],
IF(_xlpm.dir="R",
    IF(G2576+Table13[[#This Row],[Steps]]&gt;99,(G2576+Table13[[#This Row],[Steps]])-100,G2576+Table13[[#This Row],[Steps]]),
))</f>
        <v>26</v>
      </c>
      <c r="G2577">
        <f>IF(Table13[[#This Row],[New Pos L]]&lt;&gt;0,Table13[[#This Row],[New Pos L]],Table13[[#This Row],[New Pos R]])</f>
        <v>26</v>
      </c>
      <c r="H2577">
        <f>IF(AND(Table13[[#This Row],[Direction]]="L",Table13[[#This Row],[Steps]]&gt;G2576,G2576&lt;&gt;0),1,0)</f>
        <v>0</v>
      </c>
      <c r="I2577">
        <f>IF(AND(Table13[[#This Row],[Direction]]="R",(G2576+Table13[[#This Row],[Steps]])&gt;100),1,0)</f>
        <v>0</v>
      </c>
      <c r="J2577">
        <f>IF(Table13[[#This Row],[POS]]=0,1,0)</f>
        <v>0</v>
      </c>
      <c r="K2577">
        <f>SUM(Table13[[#This Row],[prefix]],Table13[[#This Row],[Past zero L]],Table13[[#This Row],[Past Zero R]],Table13[[#This Row],[Is Zero]])</f>
        <v>4</v>
      </c>
    </row>
    <row r="2578" spans="1:11" ht="16" x14ac:dyDescent="0.2">
      <c r="A2578" s="1" t="s">
        <v>161</v>
      </c>
      <c r="B2578" t="str">
        <f>LEFT(Table13[[#This Row],[Input]],1)</f>
        <v>R</v>
      </c>
      <c r="C2578">
        <f>_xlfn.LET(_xlpm.steps,SUBSTITUTE(Table13[[#This Row],[Input]],Table13[[#This Row],[Direction]],""),VALUE(IF(LEN(_xlpm.steps)&gt;2,RIGHT(_xlpm.steps,2),_xlpm.steps)))</f>
        <v>76</v>
      </c>
      <c r="D2578">
        <f>_xlfn.LET(_xlpm.steps,SUBSTITUTE(Table13[[#This Row],[Input]],Table13[[#This Row],[Direction]],""),VALUE(IF(LEN(_xlpm.steps)&gt;2,LEFT(_xlpm.steps,LEN(_xlpm.steps)-2),0)))</f>
        <v>0</v>
      </c>
      <c r="E2578">
        <f>_xlfn.LET(_xlpm.dir,Table13[[#This Row],[Direction]],
IF(_xlpm.dir="L",
    IF(G2577-Table13[[#This Row],[Steps]]&lt;0,100+(G2577-Table13[[#This Row],[Steps]]),G2577-Table13[[#This Row],[Steps]]),
))</f>
        <v>0</v>
      </c>
      <c r="F2578">
        <f>_xlfn.LET(_xlpm.dir,Table13[[#This Row],[Direction]],
IF(_xlpm.dir="R",
    IF(G2577+Table13[[#This Row],[Steps]]&gt;99,(G2577+Table13[[#This Row],[Steps]])-100,G2577+Table13[[#This Row],[Steps]]),
))</f>
        <v>2</v>
      </c>
      <c r="G2578">
        <f>IF(Table13[[#This Row],[New Pos L]]&lt;&gt;0,Table13[[#This Row],[New Pos L]],Table13[[#This Row],[New Pos R]])</f>
        <v>2</v>
      </c>
      <c r="H2578">
        <f>IF(AND(Table13[[#This Row],[Direction]]="L",Table13[[#This Row],[Steps]]&gt;G2577,G2577&lt;&gt;0),1,0)</f>
        <v>0</v>
      </c>
      <c r="I2578">
        <f>IF(AND(Table13[[#This Row],[Direction]]="R",(G2577+Table13[[#This Row],[Steps]])&gt;100),1,0)</f>
        <v>1</v>
      </c>
      <c r="J2578">
        <f>IF(Table13[[#This Row],[POS]]=0,1,0)</f>
        <v>0</v>
      </c>
      <c r="K2578">
        <f>SUM(Table13[[#This Row],[prefix]],Table13[[#This Row],[Past zero L]],Table13[[#This Row],[Past Zero R]],Table13[[#This Row],[Is Zero]])</f>
        <v>1</v>
      </c>
    </row>
    <row r="2579" spans="1:11" ht="16" x14ac:dyDescent="0.2">
      <c r="A2579" s="1" t="s">
        <v>5</v>
      </c>
      <c r="B2579" t="str">
        <f>LEFT(Table13[[#This Row],[Input]],1)</f>
        <v>R</v>
      </c>
      <c r="C2579">
        <f>_xlfn.LET(_xlpm.steps,SUBSTITUTE(Table13[[#This Row],[Input]],Table13[[#This Row],[Direction]],""),VALUE(IF(LEN(_xlpm.steps)&gt;2,RIGHT(_xlpm.steps,2),_xlpm.steps)))</f>
        <v>1</v>
      </c>
      <c r="D2579">
        <f>_xlfn.LET(_xlpm.steps,SUBSTITUTE(Table13[[#This Row],[Input]],Table13[[#This Row],[Direction]],""),VALUE(IF(LEN(_xlpm.steps)&gt;2,LEFT(_xlpm.steps,LEN(_xlpm.steps)-2),0)))</f>
        <v>0</v>
      </c>
      <c r="E2579">
        <f>_xlfn.LET(_xlpm.dir,Table13[[#This Row],[Direction]],
IF(_xlpm.dir="L",
    IF(G2578-Table13[[#This Row],[Steps]]&lt;0,100+(G2578-Table13[[#This Row],[Steps]]),G2578-Table13[[#This Row],[Steps]]),
))</f>
        <v>0</v>
      </c>
      <c r="F2579">
        <f>_xlfn.LET(_xlpm.dir,Table13[[#This Row],[Direction]],
IF(_xlpm.dir="R",
    IF(G2578+Table13[[#This Row],[Steps]]&gt;99,(G2578+Table13[[#This Row],[Steps]])-100,G2578+Table13[[#This Row],[Steps]]),
))</f>
        <v>3</v>
      </c>
      <c r="G2579">
        <f>IF(Table13[[#This Row],[New Pos L]]&lt;&gt;0,Table13[[#This Row],[New Pos L]],Table13[[#This Row],[New Pos R]])</f>
        <v>3</v>
      </c>
      <c r="H2579">
        <f>IF(AND(Table13[[#This Row],[Direction]]="L",Table13[[#This Row],[Steps]]&gt;G2578,G2578&lt;&gt;0),1,0)</f>
        <v>0</v>
      </c>
      <c r="I2579">
        <f>IF(AND(Table13[[#This Row],[Direction]]="R",(G2578+Table13[[#This Row],[Steps]])&gt;100),1,0)</f>
        <v>0</v>
      </c>
      <c r="J2579">
        <f>IF(Table13[[#This Row],[POS]]=0,1,0)</f>
        <v>0</v>
      </c>
      <c r="K2579">
        <f>SUM(Table13[[#This Row],[prefix]],Table13[[#This Row],[Past zero L]],Table13[[#This Row],[Past Zero R]],Table13[[#This Row],[Is Zero]])</f>
        <v>0</v>
      </c>
    </row>
    <row r="2580" spans="1:11" ht="16" x14ac:dyDescent="0.2">
      <c r="A2580" s="1" t="s">
        <v>47</v>
      </c>
      <c r="B2580" t="str">
        <f>LEFT(Table13[[#This Row],[Input]],1)</f>
        <v>R</v>
      </c>
      <c r="C2580">
        <f>_xlfn.LET(_xlpm.steps,SUBSTITUTE(Table13[[#This Row],[Input]],Table13[[#This Row],[Direction]],""),VALUE(IF(LEN(_xlpm.steps)&gt;2,RIGHT(_xlpm.steps,2),_xlpm.steps)))</f>
        <v>97</v>
      </c>
      <c r="D2580">
        <f>_xlfn.LET(_xlpm.steps,SUBSTITUTE(Table13[[#This Row],[Input]],Table13[[#This Row],[Direction]],""),VALUE(IF(LEN(_xlpm.steps)&gt;2,LEFT(_xlpm.steps,LEN(_xlpm.steps)-2),0)))</f>
        <v>0</v>
      </c>
      <c r="E2580">
        <f>_xlfn.LET(_xlpm.dir,Table13[[#This Row],[Direction]],
IF(_xlpm.dir="L",
    IF(G2579-Table13[[#This Row],[Steps]]&lt;0,100+(G2579-Table13[[#This Row],[Steps]]),G2579-Table13[[#This Row],[Steps]]),
))</f>
        <v>0</v>
      </c>
      <c r="F2580">
        <f>_xlfn.LET(_xlpm.dir,Table13[[#This Row],[Direction]],
IF(_xlpm.dir="R",
    IF(G2579+Table13[[#This Row],[Steps]]&gt;99,(G2579+Table13[[#This Row],[Steps]])-100,G2579+Table13[[#This Row],[Steps]]),
))</f>
        <v>0</v>
      </c>
      <c r="G2580">
        <f>IF(Table13[[#This Row],[New Pos L]]&lt;&gt;0,Table13[[#This Row],[New Pos L]],Table13[[#This Row],[New Pos R]])</f>
        <v>0</v>
      </c>
      <c r="H2580">
        <f>IF(AND(Table13[[#This Row],[Direction]]="L",Table13[[#This Row],[Steps]]&gt;G2579,G2579&lt;&gt;0),1,0)</f>
        <v>0</v>
      </c>
      <c r="I2580">
        <f>IF(AND(Table13[[#This Row],[Direction]]="R",(G2579+Table13[[#This Row],[Steps]])&gt;100),1,0)</f>
        <v>0</v>
      </c>
      <c r="J2580">
        <f>IF(Table13[[#This Row],[POS]]=0,1,0)</f>
        <v>1</v>
      </c>
      <c r="K2580">
        <f>SUM(Table13[[#This Row],[prefix]],Table13[[#This Row],[Past zero L]],Table13[[#This Row],[Past Zero R]],Table13[[#This Row],[Is Zero]])</f>
        <v>1</v>
      </c>
    </row>
    <row r="2581" spans="1:11" ht="16" x14ac:dyDescent="0.2">
      <c r="A2581" s="1" t="s">
        <v>64</v>
      </c>
      <c r="B2581" t="str">
        <f>LEFT(Table13[[#This Row],[Input]],1)</f>
        <v>R</v>
      </c>
      <c r="C2581">
        <f>_xlfn.LET(_xlpm.steps,SUBSTITUTE(Table13[[#This Row],[Input]],Table13[[#This Row],[Direction]],""),VALUE(IF(LEN(_xlpm.steps)&gt;2,RIGHT(_xlpm.steps,2),_xlpm.steps)))</f>
        <v>10</v>
      </c>
      <c r="D2581">
        <f>_xlfn.LET(_xlpm.steps,SUBSTITUTE(Table13[[#This Row],[Input]],Table13[[#This Row],[Direction]],""),VALUE(IF(LEN(_xlpm.steps)&gt;2,LEFT(_xlpm.steps,LEN(_xlpm.steps)-2),0)))</f>
        <v>0</v>
      </c>
      <c r="E2581">
        <f>_xlfn.LET(_xlpm.dir,Table13[[#This Row],[Direction]],
IF(_xlpm.dir="L",
    IF(G2580-Table13[[#This Row],[Steps]]&lt;0,100+(G2580-Table13[[#This Row],[Steps]]),G2580-Table13[[#This Row],[Steps]]),
))</f>
        <v>0</v>
      </c>
      <c r="F2581">
        <f>_xlfn.LET(_xlpm.dir,Table13[[#This Row],[Direction]],
IF(_xlpm.dir="R",
    IF(G2580+Table13[[#This Row],[Steps]]&gt;99,(G2580+Table13[[#This Row],[Steps]])-100,G2580+Table13[[#This Row],[Steps]]),
))</f>
        <v>10</v>
      </c>
      <c r="G2581">
        <f>IF(Table13[[#This Row],[New Pos L]]&lt;&gt;0,Table13[[#This Row],[New Pos L]],Table13[[#This Row],[New Pos R]])</f>
        <v>10</v>
      </c>
      <c r="H2581">
        <f>IF(AND(Table13[[#This Row],[Direction]]="L",Table13[[#This Row],[Steps]]&gt;G2580,G2580&lt;&gt;0),1,0)</f>
        <v>0</v>
      </c>
      <c r="I2581">
        <f>IF(AND(Table13[[#This Row],[Direction]]="R",(G2580+Table13[[#This Row],[Steps]])&gt;100),1,0)</f>
        <v>0</v>
      </c>
      <c r="J2581">
        <f>IF(Table13[[#This Row],[POS]]=0,1,0)</f>
        <v>0</v>
      </c>
      <c r="K2581">
        <f>SUM(Table13[[#This Row],[prefix]],Table13[[#This Row],[Past zero L]],Table13[[#This Row],[Past Zero R]],Table13[[#This Row],[Is Zero]])</f>
        <v>0</v>
      </c>
    </row>
    <row r="2582" spans="1:11" ht="16" x14ac:dyDescent="0.2">
      <c r="A2582" s="1" t="s">
        <v>234</v>
      </c>
      <c r="B2582" t="str">
        <f>LEFT(Table13[[#This Row],[Input]],1)</f>
        <v>R</v>
      </c>
      <c r="C2582">
        <f>_xlfn.LET(_xlpm.steps,SUBSTITUTE(Table13[[#This Row],[Input]],Table13[[#This Row],[Direction]],""),VALUE(IF(LEN(_xlpm.steps)&gt;2,RIGHT(_xlpm.steps,2),_xlpm.steps)))</f>
        <v>82</v>
      </c>
      <c r="D2582">
        <f>_xlfn.LET(_xlpm.steps,SUBSTITUTE(Table13[[#This Row],[Input]],Table13[[#This Row],[Direction]],""),VALUE(IF(LEN(_xlpm.steps)&gt;2,LEFT(_xlpm.steps,LEN(_xlpm.steps)-2),0)))</f>
        <v>0</v>
      </c>
      <c r="E2582">
        <f>_xlfn.LET(_xlpm.dir,Table13[[#This Row],[Direction]],
IF(_xlpm.dir="L",
    IF(G2581-Table13[[#This Row],[Steps]]&lt;0,100+(G2581-Table13[[#This Row],[Steps]]),G2581-Table13[[#This Row],[Steps]]),
))</f>
        <v>0</v>
      </c>
      <c r="F2582">
        <f>_xlfn.LET(_xlpm.dir,Table13[[#This Row],[Direction]],
IF(_xlpm.dir="R",
    IF(G2581+Table13[[#This Row],[Steps]]&gt;99,(G2581+Table13[[#This Row],[Steps]])-100,G2581+Table13[[#This Row],[Steps]]),
))</f>
        <v>92</v>
      </c>
      <c r="G2582">
        <f>IF(Table13[[#This Row],[New Pos L]]&lt;&gt;0,Table13[[#This Row],[New Pos L]],Table13[[#This Row],[New Pos R]])</f>
        <v>92</v>
      </c>
      <c r="H2582">
        <f>IF(AND(Table13[[#This Row],[Direction]]="L",Table13[[#This Row],[Steps]]&gt;G2581,G2581&lt;&gt;0),1,0)</f>
        <v>0</v>
      </c>
      <c r="I2582">
        <f>IF(AND(Table13[[#This Row],[Direction]]="R",(G2581+Table13[[#This Row],[Steps]])&gt;100),1,0)</f>
        <v>0</v>
      </c>
      <c r="J2582">
        <f>IF(Table13[[#This Row],[POS]]=0,1,0)</f>
        <v>0</v>
      </c>
      <c r="K2582">
        <f>SUM(Table13[[#This Row],[prefix]],Table13[[#This Row],[Past zero L]],Table13[[#This Row],[Past Zero R]],Table13[[#This Row],[Is Zero]])</f>
        <v>0</v>
      </c>
    </row>
    <row r="2583" spans="1:11" ht="16" x14ac:dyDescent="0.2">
      <c r="A2583" s="1" t="s">
        <v>628</v>
      </c>
      <c r="B2583" t="str">
        <f>LEFT(Table13[[#This Row],[Input]],1)</f>
        <v>R</v>
      </c>
      <c r="C2583">
        <f>_xlfn.LET(_xlpm.steps,SUBSTITUTE(Table13[[#This Row],[Input]],Table13[[#This Row],[Direction]],""),VALUE(IF(LEN(_xlpm.steps)&gt;2,RIGHT(_xlpm.steps,2),_xlpm.steps)))</f>
        <v>39</v>
      </c>
      <c r="D2583">
        <f>_xlfn.LET(_xlpm.steps,SUBSTITUTE(Table13[[#This Row],[Input]],Table13[[#This Row],[Direction]],""),VALUE(IF(LEN(_xlpm.steps)&gt;2,LEFT(_xlpm.steps,LEN(_xlpm.steps)-2),0)))</f>
        <v>7</v>
      </c>
      <c r="E2583">
        <f>_xlfn.LET(_xlpm.dir,Table13[[#This Row],[Direction]],
IF(_xlpm.dir="L",
    IF(G2582-Table13[[#This Row],[Steps]]&lt;0,100+(G2582-Table13[[#This Row],[Steps]]),G2582-Table13[[#This Row],[Steps]]),
))</f>
        <v>0</v>
      </c>
      <c r="F2583">
        <f>_xlfn.LET(_xlpm.dir,Table13[[#This Row],[Direction]],
IF(_xlpm.dir="R",
    IF(G2582+Table13[[#This Row],[Steps]]&gt;99,(G2582+Table13[[#This Row],[Steps]])-100,G2582+Table13[[#This Row],[Steps]]),
))</f>
        <v>31</v>
      </c>
      <c r="G2583">
        <f>IF(Table13[[#This Row],[New Pos L]]&lt;&gt;0,Table13[[#This Row],[New Pos L]],Table13[[#This Row],[New Pos R]])</f>
        <v>31</v>
      </c>
      <c r="H2583">
        <f>IF(AND(Table13[[#This Row],[Direction]]="L",Table13[[#This Row],[Steps]]&gt;G2582,G2582&lt;&gt;0),1,0)</f>
        <v>0</v>
      </c>
      <c r="I2583">
        <f>IF(AND(Table13[[#This Row],[Direction]]="R",(G2582+Table13[[#This Row],[Steps]])&gt;100),1,0)</f>
        <v>1</v>
      </c>
      <c r="J2583">
        <f>IF(Table13[[#This Row],[POS]]=0,1,0)</f>
        <v>0</v>
      </c>
      <c r="K2583">
        <f>SUM(Table13[[#This Row],[prefix]],Table13[[#This Row],[Past zero L]],Table13[[#This Row],[Past Zero R]],Table13[[#This Row],[Is Zero]])</f>
        <v>8</v>
      </c>
    </row>
    <row r="2584" spans="1:11" ht="16" x14ac:dyDescent="0.2">
      <c r="A2584" s="1" t="s">
        <v>226</v>
      </c>
      <c r="B2584" t="str">
        <f>LEFT(Table13[[#This Row],[Input]],1)</f>
        <v>L</v>
      </c>
      <c r="C2584">
        <f>_xlfn.LET(_xlpm.steps,SUBSTITUTE(Table13[[#This Row],[Input]],Table13[[#This Row],[Direction]],""),VALUE(IF(LEN(_xlpm.steps)&gt;2,RIGHT(_xlpm.steps,2),_xlpm.steps)))</f>
        <v>31</v>
      </c>
      <c r="D2584">
        <f>_xlfn.LET(_xlpm.steps,SUBSTITUTE(Table13[[#This Row],[Input]],Table13[[#This Row],[Direction]],""),VALUE(IF(LEN(_xlpm.steps)&gt;2,LEFT(_xlpm.steps,LEN(_xlpm.steps)-2),0)))</f>
        <v>0</v>
      </c>
      <c r="E2584">
        <f>_xlfn.LET(_xlpm.dir,Table13[[#This Row],[Direction]],
IF(_xlpm.dir="L",
    IF(G2583-Table13[[#This Row],[Steps]]&lt;0,100+(G2583-Table13[[#This Row],[Steps]]),G2583-Table13[[#This Row],[Steps]]),
))</f>
        <v>0</v>
      </c>
      <c r="F2584">
        <f>_xlfn.LET(_xlpm.dir,Table13[[#This Row],[Direction]],
IF(_xlpm.dir="R",
    IF(G2583+Table13[[#This Row],[Steps]]&gt;99,(G2583+Table13[[#This Row],[Steps]])-100,G2583+Table13[[#This Row],[Steps]]),
))</f>
        <v>0</v>
      </c>
      <c r="G2584">
        <f>IF(Table13[[#This Row],[New Pos L]]&lt;&gt;0,Table13[[#This Row],[New Pos L]],Table13[[#This Row],[New Pos R]])</f>
        <v>0</v>
      </c>
      <c r="H2584">
        <f>IF(AND(Table13[[#This Row],[Direction]]="L",Table13[[#This Row],[Steps]]&gt;G2583,G2583&lt;&gt;0),1,0)</f>
        <v>0</v>
      </c>
      <c r="I2584">
        <f>IF(AND(Table13[[#This Row],[Direction]]="R",(G2583+Table13[[#This Row],[Steps]])&gt;100),1,0)</f>
        <v>0</v>
      </c>
      <c r="J2584">
        <f>IF(Table13[[#This Row],[POS]]=0,1,0)</f>
        <v>1</v>
      </c>
      <c r="K2584">
        <f>SUM(Table13[[#This Row],[prefix]],Table13[[#This Row],[Past zero L]],Table13[[#This Row],[Past Zero R]],Table13[[#This Row],[Is Zero]])</f>
        <v>1</v>
      </c>
    </row>
    <row r="2585" spans="1:11" ht="16" x14ac:dyDescent="0.2">
      <c r="A2585" s="1" t="s">
        <v>44</v>
      </c>
      <c r="B2585" t="str">
        <f>LEFT(Table13[[#This Row],[Input]],1)</f>
        <v>R</v>
      </c>
      <c r="C2585">
        <f>_xlfn.LET(_xlpm.steps,SUBSTITUTE(Table13[[#This Row],[Input]],Table13[[#This Row],[Direction]],""),VALUE(IF(LEN(_xlpm.steps)&gt;2,RIGHT(_xlpm.steps,2),_xlpm.steps)))</f>
        <v>96</v>
      </c>
      <c r="D2585">
        <f>_xlfn.LET(_xlpm.steps,SUBSTITUTE(Table13[[#This Row],[Input]],Table13[[#This Row],[Direction]],""),VALUE(IF(LEN(_xlpm.steps)&gt;2,LEFT(_xlpm.steps,LEN(_xlpm.steps)-2),0)))</f>
        <v>0</v>
      </c>
      <c r="E2585">
        <f>_xlfn.LET(_xlpm.dir,Table13[[#This Row],[Direction]],
IF(_xlpm.dir="L",
    IF(G2584-Table13[[#This Row],[Steps]]&lt;0,100+(G2584-Table13[[#This Row],[Steps]]),G2584-Table13[[#This Row],[Steps]]),
))</f>
        <v>0</v>
      </c>
      <c r="F2585">
        <f>_xlfn.LET(_xlpm.dir,Table13[[#This Row],[Direction]],
IF(_xlpm.dir="R",
    IF(G2584+Table13[[#This Row],[Steps]]&gt;99,(G2584+Table13[[#This Row],[Steps]])-100,G2584+Table13[[#This Row],[Steps]]),
))</f>
        <v>96</v>
      </c>
      <c r="G2585">
        <f>IF(Table13[[#This Row],[New Pos L]]&lt;&gt;0,Table13[[#This Row],[New Pos L]],Table13[[#This Row],[New Pos R]])</f>
        <v>96</v>
      </c>
      <c r="H2585">
        <f>IF(AND(Table13[[#This Row],[Direction]]="L",Table13[[#This Row],[Steps]]&gt;G2584,G2584&lt;&gt;0),1,0)</f>
        <v>0</v>
      </c>
      <c r="I2585">
        <f>IF(AND(Table13[[#This Row],[Direction]]="R",(G2584+Table13[[#This Row],[Steps]])&gt;100),1,0)</f>
        <v>0</v>
      </c>
      <c r="J2585">
        <f>IF(Table13[[#This Row],[POS]]=0,1,0)</f>
        <v>0</v>
      </c>
      <c r="K2585">
        <f>SUM(Table13[[#This Row],[prefix]],Table13[[#This Row],[Past zero L]],Table13[[#This Row],[Past Zero R]],Table13[[#This Row],[Is Zero]])</f>
        <v>0</v>
      </c>
    </row>
    <row r="2586" spans="1:11" ht="16" x14ac:dyDescent="0.2">
      <c r="A2586" s="1" t="s">
        <v>629</v>
      </c>
      <c r="B2586" t="str">
        <f>LEFT(Table13[[#This Row],[Input]],1)</f>
        <v>L</v>
      </c>
      <c r="C2586">
        <f>_xlfn.LET(_xlpm.steps,SUBSTITUTE(Table13[[#This Row],[Input]],Table13[[#This Row],[Direction]],""),VALUE(IF(LEN(_xlpm.steps)&gt;2,RIGHT(_xlpm.steps,2),_xlpm.steps)))</f>
        <v>96</v>
      </c>
      <c r="D2586">
        <f>_xlfn.LET(_xlpm.steps,SUBSTITUTE(Table13[[#This Row],[Input]],Table13[[#This Row],[Direction]],""),VALUE(IF(LEN(_xlpm.steps)&gt;2,LEFT(_xlpm.steps,LEN(_xlpm.steps)-2),0)))</f>
        <v>3</v>
      </c>
      <c r="E2586">
        <f>_xlfn.LET(_xlpm.dir,Table13[[#This Row],[Direction]],
IF(_xlpm.dir="L",
    IF(G2585-Table13[[#This Row],[Steps]]&lt;0,100+(G2585-Table13[[#This Row],[Steps]]),G2585-Table13[[#This Row],[Steps]]),
))</f>
        <v>0</v>
      </c>
      <c r="F2586">
        <f>_xlfn.LET(_xlpm.dir,Table13[[#This Row],[Direction]],
IF(_xlpm.dir="R",
    IF(G2585+Table13[[#This Row],[Steps]]&gt;99,(G2585+Table13[[#This Row],[Steps]])-100,G2585+Table13[[#This Row],[Steps]]),
))</f>
        <v>0</v>
      </c>
      <c r="G2586">
        <f>IF(Table13[[#This Row],[New Pos L]]&lt;&gt;0,Table13[[#This Row],[New Pos L]],Table13[[#This Row],[New Pos R]])</f>
        <v>0</v>
      </c>
      <c r="H2586">
        <f>IF(AND(Table13[[#This Row],[Direction]]="L",Table13[[#This Row],[Steps]]&gt;G2585,G2585&lt;&gt;0),1,0)</f>
        <v>0</v>
      </c>
      <c r="I2586">
        <f>IF(AND(Table13[[#This Row],[Direction]]="R",(G2585+Table13[[#This Row],[Steps]])&gt;100),1,0)</f>
        <v>0</v>
      </c>
      <c r="J2586">
        <f>IF(Table13[[#This Row],[POS]]=0,1,0)</f>
        <v>1</v>
      </c>
      <c r="K2586">
        <f>SUM(Table13[[#This Row],[prefix]],Table13[[#This Row],[Past zero L]],Table13[[#This Row],[Past Zero R]],Table13[[#This Row],[Is Zero]])</f>
        <v>4</v>
      </c>
    </row>
    <row r="2587" spans="1:11" ht="16" x14ac:dyDescent="0.2">
      <c r="A2587" s="1" t="s">
        <v>69</v>
      </c>
      <c r="B2587" t="str">
        <f>LEFT(Table13[[#This Row],[Input]],1)</f>
        <v>R</v>
      </c>
      <c r="C2587">
        <f>_xlfn.LET(_xlpm.steps,SUBSTITUTE(Table13[[#This Row],[Input]],Table13[[#This Row],[Direction]],""),VALUE(IF(LEN(_xlpm.steps)&gt;2,RIGHT(_xlpm.steps,2),_xlpm.steps)))</f>
        <v>27</v>
      </c>
      <c r="D2587">
        <f>_xlfn.LET(_xlpm.steps,SUBSTITUTE(Table13[[#This Row],[Input]],Table13[[#This Row],[Direction]],""),VALUE(IF(LEN(_xlpm.steps)&gt;2,LEFT(_xlpm.steps,LEN(_xlpm.steps)-2),0)))</f>
        <v>0</v>
      </c>
      <c r="E2587">
        <f>_xlfn.LET(_xlpm.dir,Table13[[#This Row],[Direction]],
IF(_xlpm.dir="L",
    IF(G2586-Table13[[#This Row],[Steps]]&lt;0,100+(G2586-Table13[[#This Row],[Steps]]),G2586-Table13[[#This Row],[Steps]]),
))</f>
        <v>0</v>
      </c>
      <c r="F2587">
        <f>_xlfn.LET(_xlpm.dir,Table13[[#This Row],[Direction]],
IF(_xlpm.dir="R",
    IF(G2586+Table13[[#This Row],[Steps]]&gt;99,(G2586+Table13[[#This Row],[Steps]])-100,G2586+Table13[[#This Row],[Steps]]),
))</f>
        <v>27</v>
      </c>
      <c r="G2587">
        <f>IF(Table13[[#This Row],[New Pos L]]&lt;&gt;0,Table13[[#This Row],[New Pos L]],Table13[[#This Row],[New Pos R]])</f>
        <v>27</v>
      </c>
      <c r="H2587">
        <f>IF(AND(Table13[[#This Row],[Direction]]="L",Table13[[#This Row],[Steps]]&gt;G2586,G2586&lt;&gt;0),1,0)</f>
        <v>0</v>
      </c>
      <c r="I2587">
        <f>IF(AND(Table13[[#This Row],[Direction]]="R",(G2586+Table13[[#This Row],[Steps]])&gt;100),1,0)</f>
        <v>0</v>
      </c>
      <c r="J2587">
        <f>IF(Table13[[#This Row],[POS]]=0,1,0)</f>
        <v>0</v>
      </c>
      <c r="K2587">
        <f>SUM(Table13[[#This Row],[prefix]],Table13[[#This Row],[Past zero L]],Table13[[#This Row],[Past Zero R]],Table13[[#This Row],[Is Zero]])</f>
        <v>0</v>
      </c>
    </row>
    <row r="2588" spans="1:11" ht="16" x14ac:dyDescent="0.2">
      <c r="A2588" s="1" t="s">
        <v>70</v>
      </c>
      <c r="B2588" t="str">
        <f>LEFT(Table13[[#This Row],[Input]],1)</f>
        <v>R</v>
      </c>
      <c r="C2588">
        <f>_xlfn.LET(_xlpm.steps,SUBSTITUTE(Table13[[#This Row],[Input]],Table13[[#This Row],[Direction]],""),VALUE(IF(LEN(_xlpm.steps)&gt;2,RIGHT(_xlpm.steps,2),_xlpm.steps)))</f>
        <v>73</v>
      </c>
      <c r="D2588">
        <f>_xlfn.LET(_xlpm.steps,SUBSTITUTE(Table13[[#This Row],[Input]],Table13[[#This Row],[Direction]],""),VALUE(IF(LEN(_xlpm.steps)&gt;2,LEFT(_xlpm.steps,LEN(_xlpm.steps)-2),0)))</f>
        <v>0</v>
      </c>
      <c r="E2588">
        <f>_xlfn.LET(_xlpm.dir,Table13[[#This Row],[Direction]],
IF(_xlpm.dir="L",
    IF(G2587-Table13[[#This Row],[Steps]]&lt;0,100+(G2587-Table13[[#This Row],[Steps]]),G2587-Table13[[#This Row],[Steps]]),
))</f>
        <v>0</v>
      </c>
      <c r="F2588">
        <f>_xlfn.LET(_xlpm.dir,Table13[[#This Row],[Direction]],
IF(_xlpm.dir="R",
    IF(G2587+Table13[[#This Row],[Steps]]&gt;99,(G2587+Table13[[#This Row],[Steps]])-100,G2587+Table13[[#This Row],[Steps]]),
))</f>
        <v>0</v>
      </c>
      <c r="G2588">
        <f>IF(Table13[[#This Row],[New Pos L]]&lt;&gt;0,Table13[[#This Row],[New Pos L]],Table13[[#This Row],[New Pos R]])</f>
        <v>0</v>
      </c>
      <c r="H2588">
        <f>IF(AND(Table13[[#This Row],[Direction]]="L",Table13[[#This Row],[Steps]]&gt;G2587,G2587&lt;&gt;0),1,0)</f>
        <v>0</v>
      </c>
      <c r="I2588">
        <f>IF(AND(Table13[[#This Row],[Direction]]="R",(G2587+Table13[[#This Row],[Steps]])&gt;100),1,0)</f>
        <v>0</v>
      </c>
      <c r="J2588">
        <f>IF(Table13[[#This Row],[POS]]=0,1,0)</f>
        <v>1</v>
      </c>
      <c r="K2588">
        <f>SUM(Table13[[#This Row],[prefix]],Table13[[#This Row],[Past zero L]],Table13[[#This Row],[Past Zero R]],Table13[[#This Row],[Is Zero]])</f>
        <v>1</v>
      </c>
    </row>
    <row r="2589" spans="1:11" ht="16" x14ac:dyDescent="0.2">
      <c r="A2589" s="1" t="s">
        <v>195</v>
      </c>
      <c r="B2589" t="str">
        <f>LEFT(Table13[[#This Row],[Input]],1)</f>
        <v>R</v>
      </c>
      <c r="C2589">
        <f>_xlfn.LET(_xlpm.steps,SUBSTITUTE(Table13[[#This Row],[Input]],Table13[[#This Row],[Direction]],""),VALUE(IF(LEN(_xlpm.steps)&gt;2,RIGHT(_xlpm.steps,2),_xlpm.steps)))</f>
        <v>40</v>
      </c>
      <c r="D2589">
        <f>_xlfn.LET(_xlpm.steps,SUBSTITUTE(Table13[[#This Row],[Input]],Table13[[#This Row],[Direction]],""),VALUE(IF(LEN(_xlpm.steps)&gt;2,LEFT(_xlpm.steps,LEN(_xlpm.steps)-2),0)))</f>
        <v>0</v>
      </c>
      <c r="E2589">
        <f>_xlfn.LET(_xlpm.dir,Table13[[#This Row],[Direction]],
IF(_xlpm.dir="L",
    IF(G2588-Table13[[#This Row],[Steps]]&lt;0,100+(G2588-Table13[[#This Row],[Steps]]),G2588-Table13[[#This Row],[Steps]]),
))</f>
        <v>0</v>
      </c>
      <c r="F2589">
        <f>_xlfn.LET(_xlpm.dir,Table13[[#This Row],[Direction]],
IF(_xlpm.dir="R",
    IF(G2588+Table13[[#This Row],[Steps]]&gt;99,(G2588+Table13[[#This Row],[Steps]])-100,G2588+Table13[[#This Row],[Steps]]),
))</f>
        <v>40</v>
      </c>
      <c r="G2589">
        <f>IF(Table13[[#This Row],[New Pos L]]&lt;&gt;0,Table13[[#This Row],[New Pos L]],Table13[[#This Row],[New Pos R]])</f>
        <v>40</v>
      </c>
      <c r="H2589">
        <f>IF(AND(Table13[[#This Row],[Direction]]="L",Table13[[#This Row],[Steps]]&gt;G2588,G2588&lt;&gt;0),1,0)</f>
        <v>0</v>
      </c>
      <c r="I2589">
        <f>IF(AND(Table13[[#This Row],[Direction]]="R",(G2588+Table13[[#This Row],[Steps]])&gt;100),1,0)</f>
        <v>0</v>
      </c>
      <c r="J2589">
        <f>IF(Table13[[#This Row],[POS]]=0,1,0)</f>
        <v>0</v>
      </c>
      <c r="K2589">
        <f>SUM(Table13[[#This Row],[prefix]],Table13[[#This Row],[Past zero L]],Table13[[#This Row],[Past Zero R]],Table13[[#This Row],[Is Zero]])</f>
        <v>0</v>
      </c>
    </row>
    <row r="2590" spans="1:11" ht="16" x14ac:dyDescent="0.2">
      <c r="A2590" s="1" t="s">
        <v>9</v>
      </c>
      <c r="B2590" t="str">
        <f>LEFT(Table13[[#This Row],[Input]],1)</f>
        <v>L</v>
      </c>
      <c r="C2590">
        <f>_xlfn.LET(_xlpm.steps,SUBSTITUTE(Table13[[#This Row],[Input]],Table13[[#This Row],[Direction]],""),VALUE(IF(LEN(_xlpm.steps)&gt;2,RIGHT(_xlpm.steps,2),_xlpm.steps)))</f>
        <v>9</v>
      </c>
      <c r="D2590">
        <f>_xlfn.LET(_xlpm.steps,SUBSTITUTE(Table13[[#This Row],[Input]],Table13[[#This Row],[Direction]],""),VALUE(IF(LEN(_xlpm.steps)&gt;2,LEFT(_xlpm.steps,LEN(_xlpm.steps)-2),0)))</f>
        <v>0</v>
      </c>
      <c r="E2590">
        <f>_xlfn.LET(_xlpm.dir,Table13[[#This Row],[Direction]],
IF(_xlpm.dir="L",
    IF(G2589-Table13[[#This Row],[Steps]]&lt;0,100+(G2589-Table13[[#This Row],[Steps]]),G2589-Table13[[#This Row],[Steps]]),
))</f>
        <v>31</v>
      </c>
      <c r="F2590">
        <f>_xlfn.LET(_xlpm.dir,Table13[[#This Row],[Direction]],
IF(_xlpm.dir="R",
    IF(G2589+Table13[[#This Row],[Steps]]&gt;99,(G2589+Table13[[#This Row],[Steps]])-100,G2589+Table13[[#This Row],[Steps]]),
))</f>
        <v>0</v>
      </c>
      <c r="G2590">
        <f>IF(Table13[[#This Row],[New Pos L]]&lt;&gt;0,Table13[[#This Row],[New Pos L]],Table13[[#This Row],[New Pos R]])</f>
        <v>31</v>
      </c>
      <c r="H2590">
        <f>IF(AND(Table13[[#This Row],[Direction]]="L",Table13[[#This Row],[Steps]]&gt;G2589,G2589&lt;&gt;0),1,0)</f>
        <v>0</v>
      </c>
      <c r="I2590">
        <f>IF(AND(Table13[[#This Row],[Direction]]="R",(G2589+Table13[[#This Row],[Steps]])&gt;100),1,0)</f>
        <v>0</v>
      </c>
      <c r="J2590">
        <f>IF(Table13[[#This Row],[POS]]=0,1,0)</f>
        <v>0</v>
      </c>
      <c r="K2590">
        <f>SUM(Table13[[#This Row],[prefix]],Table13[[#This Row],[Past zero L]],Table13[[#This Row],[Past Zero R]],Table13[[#This Row],[Is Zero]])</f>
        <v>0</v>
      </c>
    </row>
    <row r="2591" spans="1:11" ht="16" x14ac:dyDescent="0.2">
      <c r="A2591" s="1" t="s">
        <v>630</v>
      </c>
      <c r="B2591" t="str">
        <f>LEFT(Table13[[#This Row],[Input]],1)</f>
        <v>R</v>
      </c>
      <c r="C2591">
        <f>_xlfn.LET(_xlpm.steps,SUBSTITUTE(Table13[[#This Row],[Input]],Table13[[#This Row],[Direction]],""),VALUE(IF(LEN(_xlpm.steps)&gt;2,RIGHT(_xlpm.steps,2),_xlpm.steps)))</f>
        <v>52</v>
      </c>
      <c r="D2591">
        <f>_xlfn.LET(_xlpm.steps,SUBSTITUTE(Table13[[#This Row],[Input]],Table13[[#This Row],[Direction]],""),VALUE(IF(LEN(_xlpm.steps)&gt;2,LEFT(_xlpm.steps,LEN(_xlpm.steps)-2),0)))</f>
        <v>5</v>
      </c>
      <c r="E2591">
        <f>_xlfn.LET(_xlpm.dir,Table13[[#This Row],[Direction]],
IF(_xlpm.dir="L",
    IF(G2590-Table13[[#This Row],[Steps]]&lt;0,100+(G2590-Table13[[#This Row],[Steps]]),G2590-Table13[[#This Row],[Steps]]),
))</f>
        <v>0</v>
      </c>
      <c r="F2591">
        <f>_xlfn.LET(_xlpm.dir,Table13[[#This Row],[Direction]],
IF(_xlpm.dir="R",
    IF(G2590+Table13[[#This Row],[Steps]]&gt;99,(G2590+Table13[[#This Row],[Steps]])-100,G2590+Table13[[#This Row],[Steps]]),
))</f>
        <v>83</v>
      </c>
      <c r="G2591">
        <f>IF(Table13[[#This Row],[New Pos L]]&lt;&gt;0,Table13[[#This Row],[New Pos L]],Table13[[#This Row],[New Pos R]])</f>
        <v>83</v>
      </c>
      <c r="H2591">
        <f>IF(AND(Table13[[#This Row],[Direction]]="L",Table13[[#This Row],[Steps]]&gt;G2590,G2590&lt;&gt;0),1,0)</f>
        <v>0</v>
      </c>
      <c r="I2591">
        <f>IF(AND(Table13[[#This Row],[Direction]]="R",(G2590+Table13[[#This Row],[Steps]])&gt;100),1,0)</f>
        <v>0</v>
      </c>
      <c r="J2591">
        <f>IF(Table13[[#This Row],[POS]]=0,1,0)</f>
        <v>0</v>
      </c>
      <c r="K2591">
        <f>SUM(Table13[[#This Row],[prefix]],Table13[[#This Row],[Past zero L]],Table13[[#This Row],[Past Zero R]],Table13[[#This Row],[Is Zero]])</f>
        <v>5</v>
      </c>
    </row>
    <row r="2592" spans="1:11" ht="16" x14ac:dyDescent="0.2">
      <c r="A2592" s="1" t="s">
        <v>51</v>
      </c>
      <c r="B2592" t="str">
        <f>LEFT(Table13[[#This Row],[Input]],1)</f>
        <v>L</v>
      </c>
      <c r="C2592">
        <f>_xlfn.LET(_xlpm.steps,SUBSTITUTE(Table13[[#This Row],[Input]],Table13[[#This Row],[Direction]],""),VALUE(IF(LEN(_xlpm.steps)&gt;2,RIGHT(_xlpm.steps,2),_xlpm.steps)))</f>
        <v>25</v>
      </c>
      <c r="D2592">
        <f>_xlfn.LET(_xlpm.steps,SUBSTITUTE(Table13[[#This Row],[Input]],Table13[[#This Row],[Direction]],""),VALUE(IF(LEN(_xlpm.steps)&gt;2,LEFT(_xlpm.steps,LEN(_xlpm.steps)-2),0)))</f>
        <v>0</v>
      </c>
      <c r="E2592">
        <f>_xlfn.LET(_xlpm.dir,Table13[[#This Row],[Direction]],
IF(_xlpm.dir="L",
    IF(G2591-Table13[[#This Row],[Steps]]&lt;0,100+(G2591-Table13[[#This Row],[Steps]]),G2591-Table13[[#This Row],[Steps]]),
))</f>
        <v>58</v>
      </c>
      <c r="F2592">
        <f>_xlfn.LET(_xlpm.dir,Table13[[#This Row],[Direction]],
IF(_xlpm.dir="R",
    IF(G2591+Table13[[#This Row],[Steps]]&gt;99,(G2591+Table13[[#This Row],[Steps]])-100,G2591+Table13[[#This Row],[Steps]]),
))</f>
        <v>0</v>
      </c>
      <c r="G2592">
        <f>IF(Table13[[#This Row],[New Pos L]]&lt;&gt;0,Table13[[#This Row],[New Pos L]],Table13[[#This Row],[New Pos R]])</f>
        <v>58</v>
      </c>
      <c r="H2592">
        <f>IF(AND(Table13[[#This Row],[Direction]]="L",Table13[[#This Row],[Steps]]&gt;G2591,G2591&lt;&gt;0),1,0)</f>
        <v>0</v>
      </c>
      <c r="I2592">
        <f>IF(AND(Table13[[#This Row],[Direction]]="R",(G2591+Table13[[#This Row],[Steps]])&gt;100),1,0)</f>
        <v>0</v>
      </c>
      <c r="J2592">
        <f>IF(Table13[[#This Row],[POS]]=0,1,0)</f>
        <v>0</v>
      </c>
      <c r="K2592">
        <f>SUM(Table13[[#This Row],[prefix]],Table13[[#This Row],[Past zero L]],Table13[[#This Row],[Past Zero R]],Table13[[#This Row],[Is Zero]])</f>
        <v>0</v>
      </c>
    </row>
    <row r="2593" spans="1:11" ht="16" x14ac:dyDescent="0.2">
      <c r="A2593" s="1" t="s">
        <v>319</v>
      </c>
      <c r="B2593" t="str">
        <f>LEFT(Table13[[#This Row],[Input]],1)</f>
        <v>L</v>
      </c>
      <c r="C2593">
        <f>_xlfn.LET(_xlpm.steps,SUBSTITUTE(Table13[[#This Row],[Input]],Table13[[#This Row],[Direction]],""),VALUE(IF(LEN(_xlpm.steps)&gt;2,RIGHT(_xlpm.steps,2),_xlpm.steps)))</f>
        <v>79</v>
      </c>
      <c r="D2593">
        <f>_xlfn.LET(_xlpm.steps,SUBSTITUTE(Table13[[#This Row],[Input]],Table13[[#This Row],[Direction]],""),VALUE(IF(LEN(_xlpm.steps)&gt;2,LEFT(_xlpm.steps,LEN(_xlpm.steps)-2),0)))</f>
        <v>0</v>
      </c>
      <c r="E2593">
        <f>_xlfn.LET(_xlpm.dir,Table13[[#This Row],[Direction]],
IF(_xlpm.dir="L",
    IF(G2592-Table13[[#This Row],[Steps]]&lt;0,100+(G2592-Table13[[#This Row],[Steps]]),G2592-Table13[[#This Row],[Steps]]),
))</f>
        <v>79</v>
      </c>
      <c r="F2593">
        <f>_xlfn.LET(_xlpm.dir,Table13[[#This Row],[Direction]],
IF(_xlpm.dir="R",
    IF(G2592+Table13[[#This Row],[Steps]]&gt;99,(G2592+Table13[[#This Row],[Steps]])-100,G2592+Table13[[#This Row],[Steps]]),
))</f>
        <v>0</v>
      </c>
      <c r="G2593">
        <f>IF(Table13[[#This Row],[New Pos L]]&lt;&gt;0,Table13[[#This Row],[New Pos L]],Table13[[#This Row],[New Pos R]])</f>
        <v>79</v>
      </c>
      <c r="H2593">
        <f>IF(AND(Table13[[#This Row],[Direction]]="L",Table13[[#This Row],[Steps]]&gt;G2592,G2592&lt;&gt;0),1,0)</f>
        <v>1</v>
      </c>
      <c r="I2593">
        <f>IF(AND(Table13[[#This Row],[Direction]]="R",(G2592+Table13[[#This Row],[Steps]])&gt;100),1,0)</f>
        <v>0</v>
      </c>
      <c r="J2593">
        <f>IF(Table13[[#This Row],[POS]]=0,1,0)</f>
        <v>0</v>
      </c>
      <c r="K2593">
        <f>SUM(Table13[[#This Row],[prefix]],Table13[[#This Row],[Past zero L]],Table13[[#This Row],[Past Zero R]],Table13[[#This Row],[Is Zero]])</f>
        <v>1</v>
      </c>
    </row>
    <row r="2594" spans="1:11" ht="16" x14ac:dyDescent="0.2">
      <c r="A2594" s="1" t="s">
        <v>126</v>
      </c>
      <c r="B2594" t="str">
        <f>LEFT(Table13[[#This Row],[Input]],1)</f>
        <v>R</v>
      </c>
      <c r="C2594">
        <f>_xlfn.LET(_xlpm.steps,SUBSTITUTE(Table13[[#This Row],[Input]],Table13[[#This Row],[Direction]],""),VALUE(IF(LEN(_xlpm.steps)&gt;2,RIGHT(_xlpm.steps,2),_xlpm.steps)))</f>
        <v>65</v>
      </c>
      <c r="D2594">
        <f>_xlfn.LET(_xlpm.steps,SUBSTITUTE(Table13[[#This Row],[Input]],Table13[[#This Row],[Direction]],""),VALUE(IF(LEN(_xlpm.steps)&gt;2,LEFT(_xlpm.steps,LEN(_xlpm.steps)-2),0)))</f>
        <v>0</v>
      </c>
      <c r="E2594">
        <f>_xlfn.LET(_xlpm.dir,Table13[[#This Row],[Direction]],
IF(_xlpm.dir="L",
    IF(G2593-Table13[[#This Row],[Steps]]&lt;0,100+(G2593-Table13[[#This Row],[Steps]]),G2593-Table13[[#This Row],[Steps]]),
))</f>
        <v>0</v>
      </c>
      <c r="F2594">
        <f>_xlfn.LET(_xlpm.dir,Table13[[#This Row],[Direction]],
IF(_xlpm.dir="R",
    IF(G2593+Table13[[#This Row],[Steps]]&gt;99,(G2593+Table13[[#This Row],[Steps]])-100,G2593+Table13[[#This Row],[Steps]]),
))</f>
        <v>44</v>
      </c>
      <c r="G2594">
        <f>IF(Table13[[#This Row],[New Pos L]]&lt;&gt;0,Table13[[#This Row],[New Pos L]],Table13[[#This Row],[New Pos R]])</f>
        <v>44</v>
      </c>
      <c r="H2594">
        <f>IF(AND(Table13[[#This Row],[Direction]]="L",Table13[[#This Row],[Steps]]&gt;G2593,G2593&lt;&gt;0),1,0)</f>
        <v>0</v>
      </c>
      <c r="I2594">
        <f>IF(AND(Table13[[#This Row],[Direction]]="R",(G2593+Table13[[#This Row],[Steps]])&gt;100),1,0)</f>
        <v>1</v>
      </c>
      <c r="J2594">
        <f>IF(Table13[[#This Row],[POS]]=0,1,0)</f>
        <v>0</v>
      </c>
      <c r="K2594">
        <f>SUM(Table13[[#This Row],[prefix]],Table13[[#This Row],[Past zero L]],Table13[[#This Row],[Past Zero R]],Table13[[#This Row],[Is Zero]])</f>
        <v>1</v>
      </c>
    </row>
    <row r="2595" spans="1:11" ht="16" x14ac:dyDescent="0.2">
      <c r="A2595" s="1" t="s">
        <v>631</v>
      </c>
      <c r="B2595" t="str">
        <f>LEFT(Table13[[#This Row],[Input]],1)</f>
        <v>R</v>
      </c>
      <c r="C2595">
        <f>_xlfn.LET(_xlpm.steps,SUBSTITUTE(Table13[[#This Row],[Input]],Table13[[#This Row],[Direction]],""),VALUE(IF(LEN(_xlpm.steps)&gt;2,RIGHT(_xlpm.steps,2),_xlpm.steps)))</f>
        <v>86</v>
      </c>
      <c r="D2595">
        <f>_xlfn.LET(_xlpm.steps,SUBSTITUTE(Table13[[#This Row],[Input]],Table13[[#This Row],[Direction]],""),VALUE(IF(LEN(_xlpm.steps)&gt;2,LEFT(_xlpm.steps,LEN(_xlpm.steps)-2),0)))</f>
        <v>9</v>
      </c>
      <c r="E2595">
        <f>_xlfn.LET(_xlpm.dir,Table13[[#This Row],[Direction]],
IF(_xlpm.dir="L",
    IF(G2594-Table13[[#This Row],[Steps]]&lt;0,100+(G2594-Table13[[#This Row],[Steps]]),G2594-Table13[[#This Row],[Steps]]),
))</f>
        <v>0</v>
      </c>
      <c r="F2595">
        <f>_xlfn.LET(_xlpm.dir,Table13[[#This Row],[Direction]],
IF(_xlpm.dir="R",
    IF(G2594+Table13[[#This Row],[Steps]]&gt;99,(G2594+Table13[[#This Row],[Steps]])-100,G2594+Table13[[#This Row],[Steps]]),
))</f>
        <v>30</v>
      </c>
      <c r="G2595">
        <f>IF(Table13[[#This Row],[New Pos L]]&lt;&gt;0,Table13[[#This Row],[New Pos L]],Table13[[#This Row],[New Pos R]])</f>
        <v>30</v>
      </c>
      <c r="H2595">
        <f>IF(AND(Table13[[#This Row],[Direction]]="L",Table13[[#This Row],[Steps]]&gt;G2594,G2594&lt;&gt;0),1,0)</f>
        <v>0</v>
      </c>
      <c r="I2595">
        <f>IF(AND(Table13[[#This Row],[Direction]]="R",(G2594+Table13[[#This Row],[Steps]])&gt;100),1,0)</f>
        <v>1</v>
      </c>
      <c r="J2595">
        <f>IF(Table13[[#This Row],[POS]]=0,1,0)</f>
        <v>0</v>
      </c>
      <c r="K2595">
        <f>SUM(Table13[[#This Row],[prefix]],Table13[[#This Row],[Past zero L]],Table13[[#This Row],[Past Zero R]],Table13[[#This Row],[Is Zero]])</f>
        <v>10</v>
      </c>
    </row>
    <row r="2596" spans="1:11" ht="16" x14ac:dyDescent="0.2">
      <c r="A2596" s="1" t="s">
        <v>607</v>
      </c>
      <c r="B2596" t="str">
        <f>LEFT(Table13[[#This Row],[Input]],1)</f>
        <v>R</v>
      </c>
      <c r="C2596">
        <f>_xlfn.LET(_xlpm.steps,SUBSTITUTE(Table13[[#This Row],[Input]],Table13[[#This Row],[Direction]],""),VALUE(IF(LEN(_xlpm.steps)&gt;2,RIGHT(_xlpm.steps,2),_xlpm.steps)))</f>
        <v>70</v>
      </c>
      <c r="D2596">
        <f>_xlfn.LET(_xlpm.steps,SUBSTITUTE(Table13[[#This Row],[Input]],Table13[[#This Row],[Direction]],""),VALUE(IF(LEN(_xlpm.steps)&gt;2,LEFT(_xlpm.steps,LEN(_xlpm.steps)-2),0)))</f>
        <v>5</v>
      </c>
      <c r="E2596">
        <f>_xlfn.LET(_xlpm.dir,Table13[[#This Row],[Direction]],
IF(_xlpm.dir="L",
    IF(G2595-Table13[[#This Row],[Steps]]&lt;0,100+(G2595-Table13[[#This Row],[Steps]]),G2595-Table13[[#This Row],[Steps]]),
))</f>
        <v>0</v>
      </c>
      <c r="F2596">
        <f>_xlfn.LET(_xlpm.dir,Table13[[#This Row],[Direction]],
IF(_xlpm.dir="R",
    IF(G2595+Table13[[#This Row],[Steps]]&gt;99,(G2595+Table13[[#This Row],[Steps]])-100,G2595+Table13[[#This Row],[Steps]]),
))</f>
        <v>0</v>
      </c>
      <c r="G2596">
        <f>IF(Table13[[#This Row],[New Pos L]]&lt;&gt;0,Table13[[#This Row],[New Pos L]],Table13[[#This Row],[New Pos R]])</f>
        <v>0</v>
      </c>
      <c r="H2596">
        <f>IF(AND(Table13[[#This Row],[Direction]]="L",Table13[[#This Row],[Steps]]&gt;G2595,G2595&lt;&gt;0),1,0)</f>
        <v>0</v>
      </c>
      <c r="I2596">
        <f>IF(AND(Table13[[#This Row],[Direction]]="R",(G2595+Table13[[#This Row],[Steps]])&gt;100),1,0)</f>
        <v>0</v>
      </c>
      <c r="J2596">
        <f>IF(Table13[[#This Row],[POS]]=0,1,0)</f>
        <v>1</v>
      </c>
      <c r="K2596">
        <f>SUM(Table13[[#This Row],[prefix]],Table13[[#This Row],[Past zero L]],Table13[[#This Row],[Past Zero R]],Table13[[#This Row],[Is Zero]])</f>
        <v>6</v>
      </c>
    </row>
    <row r="2597" spans="1:11" ht="16" x14ac:dyDescent="0.2">
      <c r="A2597" s="1" t="s">
        <v>131</v>
      </c>
      <c r="B2597" t="str">
        <f>LEFT(Table13[[#This Row],[Input]],1)</f>
        <v>R</v>
      </c>
      <c r="C2597">
        <f>_xlfn.LET(_xlpm.steps,SUBSTITUTE(Table13[[#This Row],[Input]],Table13[[#This Row],[Direction]],""),VALUE(IF(LEN(_xlpm.steps)&gt;2,RIGHT(_xlpm.steps,2),_xlpm.steps)))</f>
        <v>99</v>
      </c>
      <c r="D2597">
        <f>_xlfn.LET(_xlpm.steps,SUBSTITUTE(Table13[[#This Row],[Input]],Table13[[#This Row],[Direction]],""),VALUE(IF(LEN(_xlpm.steps)&gt;2,LEFT(_xlpm.steps,LEN(_xlpm.steps)-2),0)))</f>
        <v>0</v>
      </c>
      <c r="E2597">
        <f>_xlfn.LET(_xlpm.dir,Table13[[#This Row],[Direction]],
IF(_xlpm.dir="L",
    IF(G2596-Table13[[#This Row],[Steps]]&lt;0,100+(G2596-Table13[[#This Row],[Steps]]),G2596-Table13[[#This Row],[Steps]]),
))</f>
        <v>0</v>
      </c>
      <c r="F2597">
        <f>_xlfn.LET(_xlpm.dir,Table13[[#This Row],[Direction]],
IF(_xlpm.dir="R",
    IF(G2596+Table13[[#This Row],[Steps]]&gt;99,(G2596+Table13[[#This Row],[Steps]])-100,G2596+Table13[[#This Row],[Steps]]),
))</f>
        <v>99</v>
      </c>
      <c r="G2597">
        <f>IF(Table13[[#This Row],[New Pos L]]&lt;&gt;0,Table13[[#This Row],[New Pos L]],Table13[[#This Row],[New Pos R]])</f>
        <v>99</v>
      </c>
      <c r="H2597">
        <f>IF(AND(Table13[[#This Row],[Direction]]="L",Table13[[#This Row],[Steps]]&gt;G2596,G2596&lt;&gt;0),1,0)</f>
        <v>0</v>
      </c>
      <c r="I2597">
        <f>IF(AND(Table13[[#This Row],[Direction]]="R",(G2596+Table13[[#This Row],[Steps]])&gt;100),1,0)</f>
        <v>0</v>
      </c>
      <c r="J2597">
        <f>IF(Table13[[#This Row],[POS]]=0,1,0)</f>
        <v>0</v>
      </c>
      <c r="K2597">
        <f>SUM(Table13[[#This Row],[prefix]],Table13[[#This Row],[Past zero L]],Table13[[#This Row],[Past Zero R]],Table13[[#This Row],[Is Zero]])</f>
        <v>0</v>
      </c>
    </row>
    <row r="2598" spans="1:11" ht="16" x14ac:dyDescent="0.2">
      <c r="A2598" s="1" t="s">
        <v>188</v>
      </c>
      <c r="B2598" t="str">
        <f>LEFT(Table13[[#This Row],[Input]],1)</f>
        <v>R</v>
      </c>
      <c r="C2598">
        <f>_xlfn.LET(_xlpm.steps,SUBSTITUTE(Table13[[#This Row],[Input]],Table13[[#This Row],[Direction]],""),VALUE(IF(LEN(_xlpm.steps)&gt;2,RIGHT(_xlpm.steps,2),_xlpm.steps)))</f>
        <v>5</v>
      </c>
      <c r="D2598">
        <f>_xlfn.LET(_xlpm.steps,SUBSTITUTE(Table13[[#This Row],[Input]],Table13[[#This Row],[Direction]],""),VALUE(IF(LEN(_xlpm.steps)&gt;2,LEFT(_xlpm.steps,LEN(_xlpm.steps)-2),0)))</f>
        <v>0</v>
      </c>
      <c r="E2598">
        <f>_xlfn.LET(_xlpm.dir,Table13[[#This Row],[Direction]],
IF(_xlpm.dir="L",
    IF(G2597-Table13[[#This Row],[Steps]]&lt;0,100+(G2597-Table13[[#This Row],[Steps]]),G2597-Table13[[#This Row],[Steps]]),
))</f>
        <v>0</v>
      </c>
      <c r="F2598">
        <f>_xlfn.LET(_xlpm.dir,Table13[[#This Row],[Direction]],
IF(_xlpm.dir="R",
    IF(G2597+Table13[[#This Row],[Steps]]&gt;99,(G2597+Table13[[#This Row],[Steps]])-100,G2597+Table13[[#This Row],[Steps]]),
))</f>
        <v>4</v>
      </c>
      <c r="G2598">
        <f>IF(Table13[[#This Row],[New Pos L]]&lt;&gt;0,Table13[[#This Row],[New Pos L]],Table13[[#This Row],[New Pos R]])</f>
        <v>4</v>
      </c>
      <c r="H2598">
        <f>IF(AND(Table13[[#This Row],[Direction]]="L",Table13[[#This Row],[Steps]]&gt;G2597,G2597&lt;&gt;0),1,0)</f>
        <v>0</v>
      </c>
      <c r="I2598">
        <f>IF(AND(Table13[[#This Row],[Direction]]="R",(G2597+Table13[[#This Row],[Steps]])&gt;100),1,0)</f>
        <v>1</v>
      </c>
      <c r="J2598">
        <f>IF(Table13[[#This Row],[POS]]=0,1,0)</f>
        <v>0</v>
      </c>
      <c r="K2598">
        <f>SUM(Table13[[#This Row],[prefix]],Table13[[#This Row],[Past zero L]],Table13[[#This Row],[Past Zero R]],Table13[[#This Row],[Is Zero]])</f>
        <v>1</v>
      </c>
    </row>
    <row r="2599" spans="1:11" ht="16" x14ac:dyDescent="0.2">
      <c r="A2599" s="1" t="s">
        <v>186</v>
      </c>
      <c r="B2599" t="str">
        <f>LEFT(Table13[[#This Row],[Input]],1)</f>
        <v>L</v>
      </c>
      <c r="C2599">
        <f>_xlfn.LET(_xlpm.steps,SUBSTITUTE(Table13[[#This Row],[Input]],Table13[[#This Row],[Direction]],""),VALUE(IF(LEN(_xlpm.steps)&gt;2,RIGHT(_xlpm.steps,2),_xlpm.steps)))</f>
        <v>84</v>
      </c>
      <c r="D2599">
        <f>_xlfn.LET(_xlpm.steps,SUBSTITUTE(Table13[[#This Row],[Input]],Table13[[#This Row],[Direction]],""),VALUE(IF(LEN(_xlpm.steps)&gt;2,LEFT(_xlpm.steps,LEN(_xlpm.steps)-2),0)))</f>
        <v>0</v>
      </c>
      <c r="E2599">
        <f>_xlfn.LET(_xlpm.dir,Table13[[#This Row],[Direction]],
IF(_xlpm.dir="L",
    IF(G2598-Table13[[#This Row],[Steps]]&lt;0,100+(G2598-Table13[[#This Row],[Steps]]),G2598-Table13[[#This Row],[Steps]]),
))</f>
        <v>20</v>
      </c>
      <c r="F2599">
        <f>_xlfn.LET(_xlpm.dir,Table13[[#This Row],[Direction]],
IF(_xlpm.dir="R",
    IF(G2598+Table13[[#This Row],[Steps]]&gt;99,(G2598+Table13[[#This Row],[Steps]])-100,G2598+Table13[[#This Row],[Steps]]),
))</f>
        <v>0</v>
      </c>
      <c r="G2599">
        <f>IF(Table13[[#This Row],[New Pos L]]&lt;&gt;0,Table13[[#This Row],[New Pos L]],Table13[[#This Row],[New Pos R]])</f>
        <v>20</v>
      </c>
      <c r="H2599">
        <f>IF(AND(Table13[[#This Row],[Direction]]="L",Table13[[#This Row],[Steps]]&gt;G2598,G2598&lt;&gt;0),1,0)</f>
        <v>1</v>
      </c>
      <c r="I2599">
        <f>IF(AND(Table13[[#This Row],[Direction]]="R",(G2598+Table13[[#This Row],[Steps]])&gt;100),1,0)</f>
        <v>0</v>
      </c>
      <c r="J2599">
        <f>IF(Table13[[#This Row],[POS]]=0,1,0)</f>
        <v>0</v>
      </c>
      <c r="K2599">
        <f>SUM(Table13[[#This Row],[prefix]],Table13[[#This Row],[Past zero L]],Table13[[#This Row],[Past Zero R]],Table13[[#This Row],[Is Zero]])</f>
        <v>1</v>
      </c>
    </row>
    <row r="2600" spans="1:11" ht="16" x14ac:dyDescent="0.2">
      <c r="A2600" s="1" t="s">
        <v>148</v>
      </c>
      <c r="B2600" t="str">
        <f>LEFT(Table13[[#This Row],[Input]],1)</f>
        <v>R</v>
      </c>
      <c r="C2600">
        <f>_xlfn.LET(_xlpm.steps,SUBSTITUTE(Table13[[#This Row],[Input]],Table13[[#This Row],[Direction]],""),VALUE(IF(LEN(_xlpm.steps)&gt;2,RIGHT(_xlpm.steps,2),_xlpm.steps)))</f>
        <v>80</v>
      </c>
      <c r="D2600">
        <f>_xlfn.LET(_xlpm.steps,SUBSTITUTE(Table13[[#This Row],[Input]],Table13[[#This Row],[Direction]],""),VALUE(IF(LEN(_xlpm.steps)&gt;2,LEFT(_xlpm.steps,LEN(_xlpm.steps)-2),0)))</f>
        <v>0</v>
      </c>
      <c r="E2600">
        <f>_xlfn.LET(_xlpm.dir,Table13[[#This Row],[Direction]],
IF(_xlpm.dir="L",
    IF(G2599-Table13[[#This Row],[Steps]]&lt;0,100+(G2599-Table13[[#This Row],[Steps]]),G2599-Table13[[#This Row],[Steps]]),
))</f>
        <v>0</v>
      </c>
      <c r="F2600">
        <f>_xlfn.LET(_xlpm.dir,Table13[[#This Row],[Direction]],
IF(_xlpm.dir="R",
    IF(G2599+Table13[[#This Row],[Steps]]&gt;99,(G2599+Table13[[#This Row],[Steps]])-100,G2599+Table13[[#This Row],[Steps]]),
))</f>
        <v>0</v>
      </c>
      <c r="G2600">
        <f>IF(Table13[[#This Row],[New Pos L]]&lt;&gt;0,Table13[[#This Row],[New Pos L]],Table13[[#This Row],[New Pos R]])</f>
        <v>0</v>
      </c>
      <c r="H2600">
        <f>IF(AND(Table13[[#This Row],[Direction]]="L",Table13[[#This Row],[Steps]]&gt;G2599,G2599&lt;&gt;0),1,0)</f>
        <v>0</v>
      </c>
      <c r="I2600">
        <f>IF(AND(Table13[[#This Row],[Direction]]="R",(G2599+Table13[[#This Row],[Steps]])&gt;100),1,0)</f>
        <v>0</v>
      </c>
      <c r="J2600">
        <f>IF(Table13[[#This Row],[POS]]=0,1,0)</f>
        <v>1</v>
      </c>
      <c r="K2600">
        <f>SUM(Table13[[#This Row],[prefix]],Table13[[#This Row],[Past zero L]],Table13[[#This Row],[Past Zero R]],Table13[[#This Row],[Is Zero]])</f>
        <v>1</v>
      </c>
    </row>
    <row r="2601" spans="1:11" ht="16" x14ac:dyDescent="0.2">
      <c r="A2601" s="1" t="s">
        <v>632</v>
      </c>
      <c r="B2601" t="str">
        <f>LEFT(Table13[[#This Row],[Input]],1)</f>
        <v>L</v>
      </c>
      <c r="C2601">
        <f>_xlfn.LET(_xlpm.steps,SUBSTITUTE(Table13[[#This Row],[Input]],Table13[[#This Row],[Direction]],""),VALUE(IF(LEN(_xlpm.steps)&gt;2,RIGHT(_xlpm.steps,2),_xlpm.steps)))</f>
        <v>89</v>
      </c>
      <c r="D2601">
        <f>_xlfn.LET(_xlpm.steps,SUBSTITUTE(Table13[[#This Row],[Input]],Table13[[#This Row],[Direction]],""),VALUE(IF(LEN(_xlpm.steps)&gt;2,LEFT(_xlpm.steps,LEN(_xlpm.steps)-2),0)))</f>
        <v>8</v>
      </c>
      <c r="E2601">
        <f>_xlfn.LET(_xlpm.dir,Table13[[#This Row],[Direction]],
IF(_xlpm.dir="L",
    IF(G2600-Table13[[#This Row],[Steps]]&lt;0,100+(G2600-Table13[[#This Row],[Steps]]),G2600-Table13[[#This Row],[Steps]]),
))</f>
        <v>11</v>
      </c>
      <c r="F2601">
        <f>_xlfn.LET(_xlpm.dir,Table13[[#This Row],[Direction]],
IF(_xlpm.dir="R",
    IF(G2600+Table13[[#This Row],[Steps]]&gt;99,(G2600+Table13[[#This Row],[Steps]])-100,G2600+Table13[[#This Row],[Steps]]),
))</f>
        <v>0</v>
      </c>
      <c r="G2601">
        <f>IF(Table13[[#This Row],[New Pos L]]&lt;&gt;0,Table13[[#This Row],[New Pos L]],Table13[[#This Row],[New Pos R]])</f>
        <v>11</v>
      </c>
      <c r="H2601">
        <f>IF(AND(Table13[[#This Row],[Direction]]="L",Table13[[#This Row],[Steps]]&gt;G2600,G2600&lt;&gt;0),1,0)</f>
        <v>0</v>
      </c>
      <c r="I2601">
        <f>IF(AND(Table13[[#This Row],[Direction]]="R",(G2600+Table13[[#This Row],[Steps]])&gt;100),1,0)</f>
        <v>0</v>
      </c>
      <c r="J2601">
        <f>IF(Table13[[#This Row],[POS]]=0,1,0)</f>
        <v>0</v>
      </c>
      <c r="K2601">
        <f>SUM(Table13[[#This Row],[prefix]],Table13[[#This Row],[Past zero L]],Table13[[#This Row],[Past Zero R]],Table13[[#This Row],[Is Zero]])</f>
        <v>8</v>
      </c>
    </row>
    <row r="2602" spans="1:11" ht="16" x14ac:dyDescent="0.2">
      <c r="A2602" s="1" t="s">
        <v>210</v>
      </c>
      <c r="B2602" t="str">
        <f>LEFT(Table13[[#This Row],[Input]],1)</f>
        <v>R</v>
      </c>
      <c r="C2602">
        <f>_xlfn.LET(_xlpm.steps,SUBSTITUTE(Table13[[#This Row],[Input]],Table13[[#This Row],[Direction]],""),VALUE(IF(LEN(_xlpm.steps)&gt;2,RIGHT(_xlpm.steps,2),_xlpm.steps)))</f>
        <v>89</v>
      </c>
      <c r="D2602">
        <f>_xlfn.LET(_xlpm.steps,SUBSTITUTE(Table13[[#This Row],[Input]],Table13[[#This Row],[Direction]],""),VALUE(IF(LEN(_xlpm.steps)&gt;2,LEFT(_xlpm.steps,LEN(_xlpm.steps)-2),0)))</f>
        <v>0</v>
      </c>
      <c r="E2602">
        <f>_xlfn.LET(_xlpm.dir,Table13[[#This Row],[Direction]],
IF(_xlpm.dir="L",
    IF(G2601-Table13[[#This Row],[Steps]]&lt;0,100+(G2601-Table13[[#This Row],[Steps]]),G2601-Table13[[#This Row],[Steps]]),
))</f>
        <v>0</v>
      </c>
      <c r="F2602">
        <f>_xlfn.LET(_xlpm.dir,Table13[[#This Row],[Direction]],
IF(_xlpm.dir="R",
    IF(G2601+Table13[[#This Row],[Steps]]&gt;99,(G2601+Table13[[#This Row],[Steps]])-100,G2601+Table13[[#This Row],[Steps]]),
))</f>
        <v>0</v>
      </c>
      <c r="G2602">
        <f>IF(Table13[[#This Row],[New Pos L]]&lt;&gt;0,Table13[[#This Row],[New Pos L]],Table13[[#This Row],[New Pos R]])</f>
        <v>0</v>
      </c>
      <c r="H2602">
        <f>IF(AND(Table13[[#This Row],[Direction]]="L",Table13[[#This Row],[Steps]]&gt;G2601,G2601&lt;&gt;0),1,0)</f>
        <v>0</v>
      </c>
      <c r="I2602">
        <f>IF(AND(Table13[[#This Row],[Direction]]="R",(G2601+Table13[[#This Row],[Steps]])&gt;100),1,0)</f>
        <v>0</v>
      </c>
      <c r="J2602">
        <f>IF(Table13[[#This Row],[POS]]=0,1,0)</f>
        <v>1</v>
      </c>
      <c r="K2602">
        <f>SUM(Table13[[#This Row],[prefix]],Table13[[#This Row],[Past zero L]],Table13[[#This Row],[Past Zero R]],Table13[[#This Row],[Is Zero]])</f>
        <v>1</v>
      </c>
    </row>
    <row r="2603" spans="1:11" ht="16" x14ac:dyDescent="0.2">
      <c r="A2603" s="1" t="s">
        <v>172</v>
      </c>
      <c r="B2603" t="str">
        <f>LEFT(Table13[[#This Row],[Input]],1)</f>
        <v>L</v>
      </c>
      <c r="C2603">
        <f>_xlfn.LET(_xlpm.steps,SUBSTITUTE(Table13[[#This Row],[Input]],Table13[[#This Row],[Direction]],""),VALUE(IF(LEN(_xlpm.steps)&gt;2,RIGHT(_xlpm.steps,2),_xlpm.steps)))</f>
        <v>66</v>
      </c>
      <c r="D2603">
        <f>_xlfn.LET(_xlpm.steps,SUBSTITUTE(Table13[[#This Row],[Input]],Table13[[#This Row],[Direction]],""),VALUE(IF(LEN(_xlpm.steps)&gt;2,LEFT(_xlpm.steps,LEN(_xlpm.steps)-2),0)))</f>
        <v>0</v>
      </c>
      <c r="E2603">
        <f>_xlfn.LET(_xlpm.dir,Table13[[#This Row],[Direction]],
IF(_xlpm.dir="L",
    IF(G2602-Table13[[#This Row],[Steps]]&lt;0,100+(G2602-Table13[[#This Row],[Steps]]),G2602-Table13[[#This Row],[Steps]]),
))</f>
        <v>34</v>
      </c>
      <c r="F2603">
        <f>_xlfn.LET(_xlpm.dir,Table13[[#This Row],[Direction]],
IF(_xlpm.dir="R",
    IF(G2602+Table13[[#This Row],[Steps]]&gt;99,(G2602+Table13[[#This Row],[Steps]])-100,G2602+Table13[[#This Row],[Steps]]),
))</f>
        <v>0</v>
      </c>
      <c r="G2603">
        <f>IF(Table13[[#This Row],[New Pos L]]&lt;&gt;0,Table13[[#This Row],[New Pos L]],Table13[[#This Row],[New Pos R]])</f>
        <v>34</v>
      </c>
      <c r="H2603">
        <f>IF(AND(Table13[[#This Row],[Direction]]="L",Table13[[#This Row],[Steps]]&gt;G2602,G2602&lt;&gt;0),1,0)</f>
        <v>0</v>
      </c>
      <c r="I2603">
        <f>IF(AND(Table13[[#This Row],[Direction]]="R",(G2602+Table13[[#This Row],[Steps]])&gt;100),1,0)</f>
        <v>0</v>
      </c>
      <c r="J2603">
        <f>IF(Table13[[#This Row],[POS]]=0,1,0)</f>
        <v>0</v>
      </c>
      <c r="K2603">
        <f>SUM(Table13[[#This Row],[prefix]],Table13[[#This Row],[Past zero L]],Table13[[#This Row],[Past Zero R]],Table13[[#This Row],[Is Zero]])</f>
        <v>0</v>
      </c>
    </row>
    <row r="2604" spans="1:11" ht="16" x14ac:dyDescent="0.2">
      <c r="A2604" s="1" t="s">
        <v>23</v>
      </c>
      <c r="B2604" t="str">
        <f>LEFT(Table13[[#This Row],[Input]],1)</f>
        <v>L</v>
      </c>
      <c r="C2604">
        <f>_xlfn.LET(_xlpm.steps,SUBSTITUTE(Table13[[#This Row],[Input]],Table13[[#This Row],[Direction]],""),VALUE(IF(LEN(_xlpm.steps)&gt;2,RIGHT(_xlpm.steps,2),_xlpm.steps)))</f>
        <v>8</v>
      </c>
      <c r="D2604">
        <f>_xlfn.LET(_xlpm.steps,SUBSTITUTE(Table13[[#This Row],[Input]],Table13[[#This Row],[Direction]],""),VALUE(IF(LEN(_xlpm.steps)&gt;2,LEFT(_xlpm.steps,LEN(_xlpm.steps)-2),0)))</f>
        <v>0</v>
      </c>
      <c r="E2604">
        <f>_xlfn.LET(_xlpm.dir,Table13[[#This Row],[Direction]],
IF(_xlpm.dir="L",
    IF(G2603-Table13[[#This Row],[Steps]]&lt;0,100+(G2603-Table13[[#This Row],[Steps]]),G2603-Table13[[#This Row],[Steps]]),
))</f>
        <v>26</v>
      </c>
      <c r="F2604">
        <f>_xlfn.LET(_xlpm.dir,Table13[[#This Row],[Direction]],
IF(_xlpm.dir="R",
    IF(G2603+Table13[[#This Row],[Steps]]&gt;99,(G2603+Table13[[#This Row],[Steps]])-100,G2603+Table13[[#This Row],[Steps]]),
))</f>
        <v>0</v>
      </c>
      <c r="G2604">
        <f>IF(Table13[[#This Row],[New Pos L]]&lt;&gt;0,Table13[[#This Row],[New Pos L]],Table13[[#This Row],[New Pos R]])</f>
        <v>26</v>
      </c>
      <c r="H2604">
        <f>IF(AND(Table13[[#This Row],[Direction]]="L",Table13[[#This Row],[Steps]]&gt;G2603,G2603&lt;&gt;0),1,0)</f>
        <v>0</v>
      </c>
      <c r="I2604">
        <f>IF(AND(Table13[[#This Row],[Direction]]="R",(G2603+Table13[[#This Row],[Steps]])&gt;100),1,0)</f>
        <v>0</v>
      </c>
      <c r="J2604">
        <f>IF(Table13[[#This Row],[POS]]=0,1,0)</f>
        <v>0</v>
      </c>
      <c r="K2604">
        <f>SUM(Table13[[#This Row],[prefix]],Table13[[#This Row],[Past zero L]],Table13[[#This Row],[Past Zero R]],Table13[[#This Row],[Is Zero]])</f>
        <v>0</v>
      </c>
    </row>
    <row r="2605" spans="1:11" ht="16" x14ac:dyDescent="0.2">
      <c r="A2605" s="1" t="s">
        <v>633</v>
      </c>
      <c r="B2605" t="str">
        <f>LEFT(Table13[[#This Row],[Input]],1)</f>
        <v>R</v>
      </c>
      <c r="C2605">
        <f>_xlfn.LET(_xlpm.steps,SUBSTITUTE(Table13[[#This Row],[Input]],Table13[[#This Row],[Direction]],""),VALUE(IF(LEN(_xlpm.steps)&gt;2,RIGHT(_xlpm.steps,2),_xlpm.steps)))</f>
        <v>47</v>
      </c>
      <c r="D2605">
        <f>_xlfn.LET(_xlpm.steps,SUBSTITUTE(Table13[[#This Row],[Input]],Table13[[#This Row],[Direction]],""),VALUE(IF(LEN(_xlpm.steps)&gt;2,LEFT(_xlpm.steps,LEN(_xlpm.steps)-2),0)))</f>
        <v>5</v>
      </c>
      <c r="E2605">
        <f>_xlfn.LET(_xlpm.dir,Table13[[#This Row],[Direction]],
IF(_xlpm.dir="L",
    IF(G2604-Table13[[#This Row],[Steps]]&lt;0,100+(G2604-Table13[[#This Row],[Steps]]),G2604-Table13[[#This Row],[Steps]]),
))</f>
        <v>0</v>
      </c>
      <c r="F2605">
        <f>_xlfn.LET(_xlpm.dir,Table13[[#This Row],[Direction]],
IF(_xlpm.dir="R",
    IF(G2604+Table13[[#This Row],[Steps]]&gt;99,(G2604+Table13[[#This Row],[Steps]])-100,G2604+Table13[[#This Row],[Steps]]),
))</f>
        <v>73</v>
      </c>
      <c r="G2605">
        <f>IF(Table13[[#This Row],[New Pos L]]&lt;&gt;0,Table13[[#This Row],[New Pos L]],Table13[[#This Row],[New Pos R]])</f>
        <v>73</v>
      </c>
      <c r="H2605">
        <f>IF(AND(Table13[[#This Row],[Direction]]="L",Table13[[#This Row],[Steps]]&gt;G2604,G2604&lt;&gt;0),1,0)</f>
        <v>0</v>
      </c>
      <c r="I2605">
        <f>IF(AND(Table13[[#This Row],[Direction]]="R",(G2604+Table13[[#This Row],[Steps]])&gt;100),1,0)</f>
        <v>0</v>
      </c>
      <c r="J2605">
        <f>IF(Table13[[#This Row],[POS]]=0,1,0)</f>
        <v>0</v>
      </c>
      <c r="K2605">
        <f>SUM(Table13[[#This Row],[prefix]],Table13[[#This Row],[Past zero L]],Table13[[#This Row],[Past Zero R]],Table13[[#This Row],[Is Zero]])</f>
        <v>5</v>
      </c>
    </row>
    <row r="2606" spans="1:11" ht="16" x14ac:dyDescent="0.2">
      <c r="A2606" s="1" t="s">
        <v>59</v>
      </c>
      <c r="B2606" t="str">
        <f>LEFT(Table13[[#This Row],[Input]],1)</f>
        <v>L</v>
      </c>
      <c r="C2606">
        <f>_xlfn.LET(_xlpm.steps,SUBSTITUTE(Table13[[#This Row],[Input]],Table13[[#This Row],[Direction]],""),VALUE(IF(LEN(_xlpm.steps)&gt;2,RIGHT(_xlpm.steps,2),_xlpm.steps)))</f>
        <v>6</v>
      </c>
      <c r="D2606">
        <f>_xlfn.LET(_xlpm.steps,SUBSTITUTE(Table13[[#This Row],[Input]],Table13[[#This Row],[Direction]],""),VALUE(IF(LEN(_xlpm.steps)&gt;2,LEFT(_xlpm.steps,LEN(_xlpm.steps)-2),0)))</f>
        <v>0</v>
      </c>
      <c r="E2606">
        <f>_xlfn.LET(_xlpm.dir,Table13[[#This Row],[Direction]],
IF(_xlpm.dir="L",
    IF(G2605-Table13[[#This Row],[Steps]]&lt;0,100+(G2605-Table13[[#This Row],[Steps]]),G2605-Table13[[#This Row],[Steps]]),
))</f>
        <v>67</v>
      </c>
      <c r="F2606">
        <f>_xlfn.LET(_xlpm.dir,Table13[[#This Row],[Direction]],
IF(_xlpm.dir="R",
    IF(G2605+Table13[[#This Row],[Steps]]&gt;99,(G2605+Table13[[#This Row],[Steps]])-100,G2605+Table13[[#This Row],[Steps]]),
))</f>
        <v>0</v>
      </c>
      <c r="G2606">
        <f>IF(Table13[[#This Row],[New Pos L]]&lt;&gt;0,Table13[[#This Row],[New Pos L]],Table13[[#This Row],[New Pos R]])</f>
        <v>67</v>
      </c>
      <c r="H2606">
        <f>IF(AND(Table13[[#This Row],[Direction]]="L",Table13[[#This Row],[Steps]]&gt;G2605,G2605&lt;&gt;0),1,0)</f>
        <v>0</v>
      </c>
      <c r="I2606">
        <f>IF(AND(Table13[[#This Row],[Direction]]="R",(G2605+Table13[[#This Row],[Steps]])&gt;100),1,0)</f>
        <v>0</v>
      </c>
      <c r="J2606">
        <f>IF(Table13[[#This Row],[POS]]=0,1,0)</f>
        <v>0</v>
      </c>
      <c r="K2606">
        <f>SUM(Table13[[#This Row],[prefix]],Table13[[#This Row],[Past zero L]],Table13[[#This Row],[Past Zero R]],Table13[[#This Row],[Is Zero]])</f>
        <v>0</v>
      </c>
    </row>
    <row r="2607" spans="1:11" ht="16" x14ac:dyDescent="0.2">
      <c r="A2607" s="1" t="s">
        <v>304</v>
      </c>
      <c r="B2607" t="str">
        <f>LEFT(Table13[[#This Row],[Input]],1)</f>
        <v>L</v>
      </c>
      <c r="C2607">
        <f>_xlfn.LET(_xlpm.steps,SUBSTITUTE(Table13[[#This Row],[Input]],Table13[[#This Row],[Direction]],""),VALUE(IF(LEN(_xlpm.steps)&gt;2,RIGHT(_xlpm.steps,2),_xlpm.steps)))</f>
        <v>26</v>
      </c>
      <c r="D2607">
        <f>_xlfn.LET(_xlpm.steps,SUBSTITUTE(Table13[[#This Row],[Input]],Table13[[#This Row],[Direction]],""),VALUE(IF(LEN(_xlpm.steps)&gt;2,LEFT(_xlpm.steps,LEN(_xlpm.steps)-2),0)))</f>
        <v>0</v>
      </c>
      <c r="E2607">
        <f>_xlfn.LET(_xlpm.dir,Table13[[#This Row],[Direction]],
IF(_xlpm.dir="L",
    IF(G2606-Table13[[#This Row],[Steps]]&lt;0,100+(G2606-Table13[[#This Row],[Steps]]),G2606-Table13[[#This Row],[Steps]]),
))</f>
        <v>41</v>
      </c>
      <c r="F2607">
        <f>_xlfn.LET(_xlpm.dir,Table13[[#This Row],[Direction]],
IF(_xlpm.dir="R",
    IF(G2606+Table13[[#This Row],[Steps]]&gt;99,(G2606+Table13[[#This Row],[Steps]])-100,G2606+Table13[[#This Row],[Steps]]),
))</f>
        <v>0</v>
      </c>
      <c r="G2607">
        <f>IF(Table13[[#This Row],[New Pos L]]&lt;&gt;0,Table13[[#This Row],[New Pos L]],Table13[[#This Row],[New Pos R]])</f>
        <v>41</v>
      </c>
      <c r="H2607">
        <f>IF(AND(Table13[[#This Row],[Direction]]="L",Table13[[#This Row],[Steps]]&gt;G2606,G2606&lt;&gt;0),1,0)</f>
        <v>0</v>
      </c>
      <c r="I2607">
        <f>IF(AND(Table13[[#This Row],[Direction]]="R",(G2606+Table13[[#This Row],[Steps]])&gt;100),1,0)</f>
        <v>0</v>
      </c>
      <c r="J2607">
        <f>IF(Table13[[#This Row],[POS]]=0,1,0)</f>
        <v>0</v>
      </c>
      <c r="K2607">
        <f>SUM(Table13[[#This Row],[prefix]],Table13[[#This Row],[Past zero L]],Table13[[#This Row],[Past Zero R]],Table13[[#This Row],[Is Zero]])</f>
        <v>0</v>
      </c>
    </row>
    <row r="2608" spans="1:11" ht="16" x14ac:dyDescent="0.2">
      <c r="A2608" s="1" t="s">
        <v>254</v>
      </c>
      <c r="B2608" t="str">
        <f>LEFT(Table13[[#This Row],[Input]],1)</f>
        <v>R</v>
      </c>
      <c r="C2608">
        <f>_xlfn.LET(_xlpm.steps,SUBSTITUTE(Table13[[#This Row],[Input]],Table13[[#This Row],[Direction]],""),VALUE(IF(LEN(_xlpm.steps)&gt;2,RIGHT(_xlpm.steps,2),_xlpm.steps)))</f>
        <v>84</v>
      </c>
      <c r="D2608">
        <f>_xlfn.LET(_xlpm.steps,SUBSTITUTE(Table13[[#This Row],[Input]],Table13[[#This Row],[Direction]],""),VALUE(IF(LEN(_xlpm.steps)&gt;2,LEFT(_xlpm.steps,LEN(_xlpm.steps)-2),0)))</f>
        <v>0</v>
      </c>
      <c r="E2608">
        <f>_xlfn.LET(_xlpm.dir,Table13[[#This Row],[Direction]],
IF(_xlpm.dir="L",
    IF(G2607-Table13[[#This Row],[Steps]]&lt;0,100+(G2607-Table13[[#This Row],[Steps]]),G2607-Table13[[#This Row],[Steps]]),
))</f>
        <v>0</v>
      </c>
      <c r="F2608">
        <f>_xlfn.LET(_xlpm.dir,Table13[[#This Row],[Direction]],
IF(_xlpm.dir="R",
    IF(G2607+Table13[[#This Row],[Steps]]&gt;99,(G2607+Table13[[#This Row],[Steps]])-100,G2607+Table13[[#This Row],[Steps]]),
))</f>
        <v>25</v>
      </c>
      <c r="G2608">
        <f>IF(Table13[[#This Row],[New Pos L]]&lt;&gt;0,Table13[[#This Row],[New Pos L]],Table13[[#This Row],[New Pos R]])</f>
        <v>25</v>
      </c>
      <c r="H2608">
        <f>IF(AND(Table13[[#This Row],[Direction]]="L",Table13[[#This Row],[Steps]]&gt;G2607,G2607&lt;&gt;0),1,0)</f>
        <v>0</v>
      </c>
      <c r="I2608">
        <f>IF(AND(Table13[[#This Row],[Direction]]="R",(G2607+Table13[[#This Row],[Steps]])&gt;100),1,0)</f>
        <v>1</v>
      </c>
      <c r="J2608">
        <f>IF(Table13[[#This Row],[POS]]=0,1,0)</f>
        <v>0</v>
      </c>
      <c r="K2608">
        <f>SUM(Table13[[#This Row],[prefix]],Table13[[#This Row],[Past zero L]],Table13[[#This Row],[Past Zero R]],Table13[[#This Row],[Is Zero]])</f>
        <v>1</v>
      </c>
    </row>
    <row r="2609" spans="1:11" ht="16" x14ac:dyDescent="0.2">
      <c r="A2609" s="1" t="s">
        <v>309</v>
      </c>
      <c r="B2609" t="str">
        <f>LEFT(Table13[[#This Row],[Input]],1)</f>
        <v>L</v>
      </c>
      <c r="C2609">
        <f>_xlfn.LET(_xlpm.steps,SUBSTITUTE(Table13[[#This Row],[Input]],Table13[[#This Row],[Direction]],""),VALUE(IF(LEN(_xlpm.steps)&gt;2,RIGHT(_xlpm.steps,2),_xlpm.steps)))</f>
        <v>41</v>
      </c>
      <c r="D2609">
        <f>_xlfn.LET(_xlpm.steps,SUBSTITUTE(Table13[[#This Row],[Input]],Table13[[#This Row],[Direction]],""),VALUE(IF(LEN(_xlpm.steps)&gt;2,LEFT(_xlpm.steps,LEN(_xlpm.steps)-2),0)))</f>
        <v>0</v>
      </c>
      <c r="E2609">
        <f>_xlfn.LET(_xlpm.dir,Table13[[#This Row],[Direction]],
IF(_xlpm.dir="L",
    IF(G2608-Table13[[#This Row],[Steps]]&lt;0,100+(G2608-Table13[[#This Row],[Steps]]),G2608-Table13[[#This Row],[Steps]]),
))</f>
        <v>84</v>
      </c>
      <c r="F2609">
        <f>_xlfn.LET(_xlpm.dir,Table13[[#This Row],[Direction]],
IF(_xlpm.dir="R",
    IF(G2608+Table13[[#This Row],[Steps]]&gt;99,(G2608+Table13[[#This Row],[Steps]])-100,G2608+Table13[[#This Row],[Steps]]),
))</f>
        <v>0</v>
      </c>
      <c r="G2609">
        <f>IF(Table13[[#This Row],[New Pos L]]&lt;&gt;0,Table13[[#This Row],[New Pos L]],Table13[[#This Row],[New Pos R]])</f>
        <v>84</v>
      </c>
      <c r="H2609">
        <f>IF(AND(Table13[[#This Row],[Direction]]="L",Table13[[#This Row],[Steps]]&gt;G2608,G2608&lt;&gt;0),1,0)</f>
        <v>1</v>
      </c>
      <c r="I2609">
        <f>IF(AND(Table13[[#This Row],[Direction]]="R",(G2608+Table13[[#This Row],[Steps]])&gt;100),1,0)</f>
        <v>0</v>
      </c>
      <c r="J2609">
        <f>IF(Table13[[#This Row],[POS]]=0,1,0)</f>
        <v>0</v>
      </c>
      <c r="K2609">
        <f>SUM(Table13[[#This Row],[prefix]],Table13[[#This Row],[Past zero L]],Table13[[#This Row],[Past Zero R]],Table13[[#This Row],[Is Zero]])</f>
        <v>1</v>
      </c>
    </row>
    <row r="2610" spans="1:11" ht="16" x14ac:dyDescent="0.2">
      <c r="A2610" s="1" t="s">
        <v>634</v>
      </c>
      <c r="B2610" t="str">
        <f>LEFT(Table13[[#This Row],[Input]],1)</f>
        <v>R</v>
      </c>
      <c r="C2610">
        <f>_xlfn.LET(_xlpm.steps,SUBSTITUTE(Table13[[#This Row],[Input]],Table13[[#This Row],[Direction]],""),VALUE(IF(LEN(_xlpm.steps)&gt;2,RIGHT(_xlpm.steps,2),_xlpm.steps)))</f>
        <v>63</v>
      </c>
      <c r="D2610">
        <f>_xlfn.LET(_xlpm.steps,SUBSTITUTE(Table13[[#This Row],[Input]],Table13[[#This Row],[Direction]],""),VALUE(IF(LEN(_xlpm.steps)&gt;2,LEFT(_xlpm.steps,LEN(_xlpm.steps)-2),0)))</f>
        <v>2</v>
      </c>
      <c r="E2610">
        <f>_xlfn.LET(_xlpm.dir,Table13[[#This Row],[Direction]],
IF(_xlpm.dir="L",
    IF(G2609-Table13[[#This Row],[Steps]]&lt;0,100+(G2609-Table13[[#This Row],[Steps]]),G2609-Table13[[#This Row],[Steps]]),
))</f>
        <v>0</v>
      </c>
      <c r="F2610">
        <f>_xlfn.LET(_xlpm.dir,Table13[[#This Row],[Direction]],
IF(_xlpm.dir="R",
    IF(G2609+Table13[[#This Row],[Steps]]&gt;99,(G2609+Table13[[#This Row],[Steps]])-100,G2609+Table13[[#This Row],[Steps]]),
))</f>
        <v>47</v>
      </c>
      <c r="G2610">
        <f>IF(Table13[[#This Row],[New Pos L]]&lt;&gt;0,Table13[[#This Row],[New Pos L]],Table13[[#This Row],[New Pos R]])</f>
        <v>47</v>
      </c>
      <c r="H2610">
        <f>IF(AND(Table13[[#This Row],[Direction]]="L",Table13[[#This Row],[Steps]]&gt;G2609,G2609&lt;&gt;0),1,0)</f>
        <v>0</v>
      </c>
      <c r="I2610">
        <f>IF(AND(Table13[[#This Row],[Direction]]="R",(G2609+Table13[[#This Row],[Steps]])&gt;100),1,0)</f>
        <v>1</v>
      </c>
      <c r="J2610">
        <f>IF(Table13[[#This Row],[POS]]=0,1,0)</f>
        <v>0</v>
      </c>
      <c r="K2610">
        <f>SUM(Table13[[#This Row],[prefix]],Table13[[#This Row],[Past zero L]],Table13[[#This Row],[Past Zero R]],Table13[[#This Row],[Is Zero]])</f>
        <v>3</v>
      </c>
    </row>
    <row r="2611" spans="1:11" ht="16" x14ac:dyDescent="0.2">
      <c r="A2611" s="1" t="s">
        <v>15</v>
      </c>
      <c r="B2611" t="str">
        <f>LEFT(Table13[[#This Row],[Input]],1)</f>
        <v>R</v>
      </c>
      <c r="C2611">
        <f>_xlfn.LET(_xlpm.steps,SUBSTITUTE(Table13[[#This Row],[Input]],Table13[[#This Row],[Direction]],""),VALUE(IF(LEN(_xlpm.steps)&gt;2,RIGHT(_xlpm.steps,2),_xlpm.steps)))</f>
        <v>36</v>
      </c>
      <c r="D2611">
        <f>_xlfn.LET(_xlpm.steps,SUBSTITUTE(Table13[[#This Row],[Input]],Table13[[#This Row],[Direction]],""),VALUE(IF(LEN(_xlpm.steps)&gt;2,LEFT(_xlpm.steps,LEN(_xlpm.steps)-2),0)))</f>
        <v>0</v>
      </c>
      <c r="E2611">
        <f>_xlfn.LET(_xlpm.dir,Table13[[#This Row],[Direction]],
IF(_xlpm.dir="L",
    IF(G2610-Table13[[#This Row],[Steps]]&lt;0,100+(G2610-Table13[[#This Row],[Steps]]),G2610-Table13[[#This Row],[Steps]]),
))</f>
        <v>0</v>
      </c>
      <c r="F2611">
        <f>_xlfn.LET(_xlpm.dir,Table13[[#This Row],[Direction]],
IF(_xlpm.dir="R",
    IF(G2610+Table13[[#This Row],[Steps]]&gt;99,(G2610+Table13[[#This Row],[Steps]])-100,G2610+Table13[[#This Row],[Steps]]),
))</f>
        <v>83</v>
      </c>
      <c r="G2611">
        <f>IF(Table13[[#This Row],[New Pos L]]&lt;&gt;0,Table13[[#This Row],[New Pos L]],Table13[[#This Row],[New Pos R]])</f>
        <v>83</v>
      </c>
      <c r="H2611">
        <f>IF(AND(Table13[[#This Row],[Direction]]="L",Table13[[#This Row],[Steps]]&gt;G2610,G2610&lt;&gt;0),1,0)</f>
        <v>0</v>
      </c>
      <c r="I2611">
        <f>IF(AND(Table13[[#This Row],[Direction]]="R",(G2610+Table13[[#This Row],[Steps]])&gt;100),1,0)</f>
        <v>0</v>
      </c>
      <c r="J2611">
        <f>IF(Table13[[#This Row],[POS]]=0,1,0)</f>
        <v>0</v>
      </c>
      <c r="K2611">
        <f>SUM(Table13[[#This Row],[prefix]],Table13[[#This Row],[Past zero L]],Table13[[#This Row],[Past Zero R]],Table13[[#This Row],[Is Zero]])</f>
        <v>0</v>
      </c>
    </row>
    <row r="2612" spans="1:11" ht="16" x14ac:dyDescent="0.2">
      <c r="A2612" s="1" t="s">
        <v>81</v>
      </c>
      <c r="B2612" t="str">
        <f>LEFT(Table13[[#This Row],[Input]],1)</f>
        <v>R</v>
      </c>
      <c r="C2612">
        <f>_xlfn.LET(_xlpm.steps,SUBSTITUTE(Table13[[#This Row],[Input]],Table13[[#This Row],[Direction]],""),VALUE(IF(LEN(_xlpm.steps)&gt;2,RIGHT(_xlpm.steps,2),_xlpm.steps)))</f>
        <v>17</v>
      </c>
      <c r="D2612">
        <f>_xlfn.LET(_xlpm.steps,SUBSTITUTE(Table13[[#This Row],[Input]],Table13[[#This Row],[Direction]],""),VALUE(IF(LEN(_xlpm.steps)&gt;2,LEFT(_xlpm.steps,LEN(_xlpm.steps)-2),0)))</f>
        <v>0</v>
      </c>
      <c r="E2612">
        <f>_xlfn.LET(_xlpm.dir,Table13[[#This Row],[Direction]],
IF(_xlpm.dir="L",
    IF(G2611-Table13[[#This Row],[Steps]]&lt;0,100+(G2611-Table13[[#This Row],[Steps]]),G2611-Table13[[#This Row],[Steps]]),
))</f>
        <v>0</v>
      </c>
      <c r="F2612">
        <f>_xlfn.LET(_xlpm.dir,Table13[[#This Row],[Direction]],
IF(_xlpm.dir="R",
    IF(G2611+Table13[[#This Row],[Steps]]&gt;99,(G2611+Table13[[#This Row],[Steps]])-100,G2611+Table13[[#This Row],[Steps]]),
))</f>
        <v>0</v>
      </c>
      <c r="G2612">
        <f>IF(Table13[[#This Row],[New Pos L]]&lt;&gt;0,Table13[[#This Row],[New Pos L]],Table13[[#This Row],[New Pos R]])</f>
        <v>0</v>
      </c>
      <c r="H2612">
        <f>IF(AND(Table13[[#This Row],[Direction]]="L",Table13[[#This Row],[Steps]]&gt;G2611,G2611&lt;&gt;0),1,0)</f>
        <v>0</v>
      </c>
      <c r="I2612">
        <f>IF(AND(Table13[[#This Row],[Direction]]="R",(G2611+Table13[[#This Row],[Steps]])&gt;100),1,0)</f>
        <v>0</v>
      </c>
      <c r="J2612">
        <f>IF(Table13[[#This Row],[POS]]=0,1,0)</f>
        <v>1</v>
      </c>
      <c r="K2612">
        <f>SUM(Table13[[#This Row],[prefix]],Table13[[#This Row],[Past zero L]],Table13[[#This Row],[Past Zero R]],Table13[[#This Row],[Is Zero]])</f>
        <v>1</v>
      </c>
    </row>
    <row r="2613" spans="1:11" ht="16" x14ac:dyDescent="0.2">
      <c r="A2613" s="1" t="s">
        <v>344</v>
      </c>
      <c r="B2613" t="str">
        <f>LEFT(Table13[[#This Row],[Input]],1)</f>
        <v>R</v>
      </c>
      <c r="C2613">
        <f>_xlfn.LET(_xlpm.steps,SUBSTITUTE(Table13[[#This Row],[Input]],Table13[[#This Row],[Direction]],""),VALUE(IF(LEN(_xlpm.steps)&gt;2,RIGHT(_xlpm.steps,2),_xlpm.steps)))</f>
        <v>9</v>
      </c>
      <c r="D2613">
        <f>_xlfn.LET(_xlpm.steps,SUBSTITUTE(Table13[[#This Row],[Input]],Table13[[#This Row],[Direction]],""),VALUE(IF(LEN(_xlpm.steps)&gt;2,LEFT(_xlpm.steps,LEN(_xlpm.steps)-2),0)))</f>
        <v>0</v>
      </c>
      <c r="E2613">
        <f>_xlfn.LET(_xlpm.dir,Table13[[#This Row],[Direction]],
IF(_xlpm.dir="L",
    IF(G2612-Table13[[#This Row],[Steps]]&lt;0,100+(G2612-Table13[[#This Row],[Steps]]),G2612-Table13[[#This Row],[Steps]]),
))</f>
        <v>0</v>
      </c>
      <c r="F2613">
        <f>_xlfn.LET(_xlpm.dir,Table13[[#This Row],[Direction]],
IF(_xlpm.dir="R",
    IF(G2612+Table13[[#This Row],[Steps]]&gt;99,(G2612+Table13[[#This Row],[Steps]])-100,G2612+Table13[[#This Row],[Steps]]),
))</f>
        <v>9</v>
      </c>
      <c r="G2613">
        <f>IF(Table13[[#This Row],[New Pos L]]&lt;&gt;0,Table13[[#This Row],[New Pos L]],Table13[[#This Row],[New Pos R]])</f>
        <v>9</v>
      </c>
      <c r="H2613">
        <f>IF(AND(Table13[[#This Row],[Direction]]="L",Table13[[#This Row],[Steps]]&gt;G2612,G2612&lt;&gt;0),1,0)</f>
        <v>0</v>
      </c>
      <c r="I2613">
        <f>IF(AND(Table13[[#This Row],[Direction]]="R",(G2612+Table13[[#This Row],[Steps]])&gt;100),1,0)</f>
        <v>0</v>
      </c>
      <c r="J2613">
        <f>IF(Table13[[#This Row],[POS]]=0,1,0)</f>
        <v>0</v>
      </c>
      <c r="K2613">
        <f>SUM(Table13[[#This Row],[prefix]],Table13[[#This Row],[Past zero L]],Table13[[#This Row],[Past Zero R]],Table13[[#This Row],[Is Zero]])</f>
        <v>0</v>
      </c>
    </row>
    <row r="2614" spans="1:11" ht="16" x14ac:dyDescent="0.2">
      <c r="A2614" s="1" t="s">
        <v>272</v>
      </c>
      <c r="B2614" t="str">
        <f>LEFT(Table13[[#This Row],[Input]],1)</f>
        <v>R</v>
      </c>
      <c r="C2614">
        <f>_xlfn.LET(_xlpm.steps,SUBSTITUTE(Table13[[#This Row],[Input]],Table13[[#This Row],[Direction]],""),VALUE(IF(LEN(_xlpm.steps)&gt;2,RIGHT(_xlpm.steps,2),_xlpm.steps)))</f>
        <v>56</v>
      </c>
      <c r="D2614">
        <f>_xlfn.LET(_xlpm.steps,SUBSTITUTE(Table13[[#This Row],[Input]],Table13[[#This Row],[Direction]],""),VALUE(IF(LEN(_xlpm.steps)&gt;2,LEFT(_xlpm.steps,LEN(_xlpm.steps)-2),0)))</f>
        <v>0</v>
      </c>
      <c r="E2614">
        <f>_xlfn.LET(_xlpm.dir,Table13[[#This Row],[Direction]],
IF(_xlpm.dir="L",
    IF(G2613-Table13[[#This Row],[Steps]]&lt;0,100+(G2613-Table13[[#This Row],[Steps]]),G2613-Table13[[#This Row],[Steps]]),
))</f>
        <v>0</v>
      </c>
      <c r="F2614">
        <f>_xlfn.LET(_xlpm.dir,Table13[[#This Row],[Direction]],
IF(_xlpm.dir="R",
    IF(G2613+Table13[[#This Row],[Steps]]&gt;99,(G2613+Table13[[#This Row],[Steps]])-100,G2613+Table13[[#This Row],[Steps]]),
))</f>
        <v>65</v>
      </c>
      <c r="G2614">
        <f>IF(Table13[[#This Row],[New Pos L]]&lt;&gt;0,Table13[[#This Row],[New Pos L]],Table13[[#This Row],[New Pos R]])</f>
        <v>65</v>
      </c>
      <c r="H2614">
        <f>IF(AND(Table13[[#This Row],[Direction]]="L",Table13[[#This Row],[Steps]]&gt;G2613,G2613&lt;&gt;0),1,0)</f>
        <v>0</v>
      </c>
      <c r="I2614">
        <f>IF(AND(Table13[[#This Row],[Direction]]="R",(G2613+Table13[[#This Row],[Steps]])&gt;100),1,0)</f>
        <v>0</v>
      </c>
      <c r="J2614">
        <f>IF(Table13[[#This Row],[POS]]=0,1,0)</f>
        <v>0</v>
      </c>
      <c r="K2614">
        <f>SUM(Table13[[#This Row],[prefix]],Table13[[#This Row],[Past zero L]],Table13[[#This Row],[Past Zero R]],Table13[[#This Row],[Is Zero]])</f>
        <v>0</v>
      </c>
    </row>
    <row r="2615" spans="1:11" ht="16" x14ac:dyDescent="0.2">
      <c r="A2615" s="1" t="s">
        <v>82</v>
      </c>
      <c r="B2615" t="str">
        <f>LEFT(Table13[[#This Row],[Input]],1)</f>
        <v>L</v>
      </c>
      <c r="C2615">
        <f>_xlfn.LET(_xlpm.steps,SUBSTITUTE(Table13[[#This Row],[Input]],Table13[[#This Row],[Direction]],""),VALUE(IF(LEN(_xlpm.steps)&gt;2,RIGHT(_xlpm.steps,2),_xlpm.steps)))</f>
        <v>55</v>
      </c>
      <c r="D2615">
        <f>_xlfn.LET(_xlpm.steps,SUBSTITUTE(Table13[[#This Row],[Input]],Table13[[#This Row],[Direction]],""),VALUE(IF(LEN(_xlpm.steps)&gt;2,LEFT(_xlpm.steps,LEN(_xlpm.steps)-2),0)))</f>
        <v>0</v>
      </c>
      <c r="E2615">
        <f>_xlfn.LET(_xlpm.dir,Table13[[#This Row],[Direction]],
IF(_xlpm.dir="L",
    IF(G2614-Table13[[#This Row],[Steps]]&lt;0,100+(G2614-Table13[[#This Row],[Steps]]),G2614-Table13[[#This Row],[Steps]]),
))</f>
        <v>10</v>
      </c>
      <c r="F2615">
        <f>_xlfn.LET(_xlpm.dir,Table13[[#This Row],[Direction]],
IF(_xlpm.dir="R",
    IF(G2614+Table13[[#This Row],[Steps]]&gt;99,(G2614+Table13[[#This Row],[Steps]])-100,G2614+Table13[[#This Row],[Steps]]),
))</f>
        <v>0</v>
      </c>
      <c r="G2615">
        <f>IF(Table13[[#This Row],[New Pos L]]&lt;&gt;0,Table13[[#This Row],[New Pos L]],Table13[[#This Row],[New Pos R]])</f>
        <v>10</v>
      </c>
      <c r="H2615">
        <f>IF(AND(Table13[[#This Row],[Direction]]="L",Table13[[#This Row],[Steps]]&gt;G2614,G2614&lt;&gt;0),1,0)</f>
        <v>0</v>
      </c>
      <c r="I2615">
        <f>IF(AND(Table13[[#This Row],[Direction]]="R",(G2614+Table13[[#This Row],[Steps]])&gt;100),1,0)</f>
        <v>0</v>
      </c>
      <c r="J2615">
        <f>IF(Table13[[#This Row],[POS]]=0,1,0)</f>
        <v>0</v>
      </c>
      <c r="K2615">
        <f>SUM(Table13[[#This Row],[prefix]],Table13[[#This Row],[Past zero L]],Table13[[#This Row],[Past Zero R]],Table13[[#This Row],[Is Zero]])</f>
        <v>0</v>
      </c>
    </row>
    <row r="2616" spans="1:11" ht="16" x14ac:dyDescent="0.2">
      <c r="A2616" s="1" t="s">
        <v>207</v>
      </c>
      <c r="B2616" t="str">
        <f>LEFT(Table13[[#This Row],[Input]],1)</f>
        <v>L</v>
      </c>
      <c r="C2616">
        <f>_xlfn.LET(_xlpm.steps,SUBSTITUTE(Table13[[#This Row],[Input]],Table13[[#This Row],[Direction]],""),VALUE(IF(LEN(_xlpm.steps)&gt;2,RIGHT(_xlpm.steps,2),_xlpm.steps)))</f>
        <v>89</v>
      </c>
      <c r="D2616">
        <f>_xlfn.LET(_xlpm.steps,SUBSTITUTE(Table13[[#This Row],[Input]],Table13[[#This Row],[Direction]],""),VALUE(IF(LEN(_xlpm.steps)&gt;2,LEFT(_xlpm.steps,LEN(_xlpm.steps)-2),0)))</f>
        <v>0</v>
      </c>
      <c r="E2616">
        <f>_xlfn.LET(_xlpm.dir,Table13[[#This Row],[Direction]],
IF(_xlpm.dir="L",
    IF(G2615-Table13[[#This Row],[Steps]]&lt;0,100+(G2615-Table13[[#This Row],[Steps]]),G2615-Table13[[#This Row],[Steps]]),
))</f>
        <v>21</v>
      </c>
      <c r="F2616">
        <f>_xlfn.LET(_xlpm.dir,Table13[[#This Row],[Direction]],
IF(_xlpm.dir="R",
    IF(G2615+Table13[[#This Row],[Steps]]&gt;99,(G2615+Table13[[#This Row],[Steps]])-100,G2615+Table13[[#This Row],[Steps]]),
))</f>
        <v>0</v>
      </c>
      <c r="G2616">
        <f>IF(Table13[[#This Row],[New Pos L]]&lt;&gt;0,Table13[[#This Row],[New Pos L]],Table13[[#This Row],[New Pos R]])</f>
        <v>21</v>
      </c>
      <c r="H2616">
        <f>IF(AND(Table13[[#This Row],[Direction]]="L",Table13[[#This Row],[Steps]]&gt;G2615,G2615&lt;&gt;0),1,0)</f>
        <v>1</v>
      </c>
      <c r="I2616">
        <f>IF(AND(Table13[[#This Row],[Direction]]="R",(G2615+Table13[[#This Row],[Steps]])&gt;100),1,0)</f>
        <v>0</v>
      </c>
      <c r="J2616">
        <f>IF(Table13[[#This Row],[POS]]=0,1,0)</f>
        <v>0</v>
      </c>
      <c r="K2616">
        <f>SUM(Table13[[#This Row],[prefix]],Table13[[#This Row],[Past zero L]],Table13[[#This Row],[Past Zero R]],Table13[[#This Row],[Is Zero]])</f>
        <v>1</v>
      </c>
    </row>
    <row r="2617" spans="1:11" ht="16" x14ac:dyDescent="0.2">
      <c r="A2617" s="1" t="s">
        <v>264</v>
      </c>
      <c r="B2617" t="str">
        <f>LEFT(Table13[[#This Row],[Input]],1)</f>
        <v>L</v>
      </c>
      <c r="C2617">
        <f>_xlfn.LET(_xlpm.steps,SUBSTITUTE(Table13[[#This Row],[Input]],Table13[[#This Row],[Direction]],""),VALUE(IF(LEN(_xlpm.steps)&gt;2,RIGHT(_xlpm.steps,2),_xlpm.steps)))</f>
        <v>21</v>
      </c>
      <c r="D2617">
        <f>_xlfn.LET(_xlpm.steps,SUBSTITUTE(Table13[[#This Row],[Input]],Table13[[#This Row],[Direction]],""),VALUE(IF(LEN(_xlpm.steps)&gt;2,LEFT(_xlpm.steps,LEN(_xlpm.steps)-2),0)))</f>
        <v>0</v>
      </c>
      <c r="E2617">
        <f>_xlfn.LET(_xlpm.dir,Table13[[#This Row],[Direction]],
IF(_xlpm.dir="L",
    IF(G2616-Table13[[#This Row],[Steps]]&lt;0,100+(G2616-Table13[[#This Row],[Steps]]),G2616-Table13[[#This Row],[Steps]]),
))</f>
        <v>0</v>
      </c>
      <c r="F2617">
        <f>_xlfn.LET(_xlpm.dir,Table13[[#This Row],[Direction]],
IF(_xlpm.dir="R",
    IF(G2616+Table13[[#This Row],[Steps]]&gt;99,(G2616+Table13[[#This Row],[Steps]])-100,G2616+Table13[[#This Row],[Steps]]),
))</f>
        <v>0</v>
      </c>
      <c r="G2617">
        <f>IF(Table13[[#This Row],[New Pos L]]&lt;&gt;0,Table13[[#This Row],[New Pos L]],Table13[[#This Row],[New Pos R]])</f>
        <v>0</v>
      </c>
      <c r="H2617">
        <f>IF(AND(Table13[[#This Row],[Direction]]="L",Table13[[#This Row],[Steps]]&gt;G2616,G2616&lt;&gt;0),1,0)</f>
        <v>0</v>
      </c>
      <c r="I2617">
        <f>IF(AND(Table13[[#This Row],[Direction]]="R",(G2616+Table13[[#This Row],[Steps]])&gt;100),1,0)</f>
        <v>0</v>
      </c>
      <c r="J2617">
        <f>IF(Table13[[#This Row],[POS]]=0,1,0)</f>
        <v>1</v>
      </c>
      <c r="K2617">
        <f>SUM(Table13[[#This Row],[prefix]],Table13[[#This Row],[Past zero L]],Table13[[#This Row],[Past Zero R]],Table13[[#This Row],[Is Zero]])</f>
        <v>1</v>
      </c>
    </row>
    <row r="2618" spans="1:11" ht="16" x14ac:dyDescent="0.2">
      <c r="A2618" s="1" t="s">
        <v>69</v>
      </c>
      <c r="B2618" t="str">
        <f>LEFT(Table13[[#This Row],[Input]],1)</f>
        <v>R</v>
      </c>
      <c r="C2618">
        <f>_xlfn.LET(_xlpm.steps,SUBSTITUTE(Table13[[#This Row],[Input]],Table13[[#This Row],[Direction]],""),VALUE(IF(LEN(_xlpm.steps)&gt;2,RIGHT(_xlpm.steps,2),_xlpm.steps)))</f>
        <v>27</v>
      </c>
      <c r="D2618">
        <f>_xlfn.LET(_xlpm.steps,SUBSTITUTE(Table13[[#This Row],[Input]],Table13[[#This Row],[Direction]],""),VALUE(IF(LEN(_xlpm.steps)&gt;2,LEFT(_xlpm.steps,LEN(_xlpm.steps)-2),0)))</f>
        <v>0</v>
      </c>
      <c r="E2618">
        <f>_xlfn.LET(_xlpm.dir,Table13[[#This Row],[Direction]],
IF(_xlpm.dir="L",
    IF(G2617-Table13[[#This Row],[Steps]]&lt;0,100+(G2617-Table13[[#This Row],[Steps]]),G2617-Table13[[#This Row],[Steps]]),
))</f>
        <v>0</v>
      </c>
      <c r="F2618">
        <f>_xlfn.LET(_xlpm.dir,Table13[[#This Row],[Direction]],
IF(_xlpm.dir="R",
    IF(G2617+Table13[[#This Row],[Steps]]&gt;99,(G2617+Table13[[#This Row],[Steps]])-100,G2617+Table13[[#This Row],[Steps]]),
))</f>
        <v>27</v>
      </c>
      <c r="G2618">
        <f>IF(Table13[[#This Row],[New Pos L]]&lt;&gt;0,Table13[[#This Row],[New Pos L]],Table13[[#This Row],[New Pos R]])</f>
        <v>27</v>
      </c>
      <c r="H2618">
        <f>IF(AND(Table13[[#This Row],[Direction]]="L",Table13[[#This Row],[Steps]]&gt;G2617,G2617&lt;&gt;0),1,0)</f>
        <v>0</v>
      </c>
      <c r="I2618">
        <f>IF(AND(Table13[[#This Row],[Direction]]="R",(G2617+Table13[[#This Row],[Steps]])&gt;100),1,0)</f>
        <v>0</v>
      </c>
      <c r="J2618">
        <f>IF(Table13[[#This Row],[POS]]=0,1,0)</f>
        <v>0</v>
      </c>
      <c r="K2618">
        <f>SUM(Table13[[#This Row],[prefix]],Table13[[#This Row],[Past zero L]],Table13[[#This Row],[Past Zero R]],Table13[[#This Row],[Is Zero]])</f>
        <v>0</v>
      </c>
    </row>
    <row r="2619" spans="1:11" ht="16" x14ac:dyDescent="0.2">
      <c r="A2619" s="1" t="s">
        <v>381</v>
      </c>
      <c r="B2619" t="str">
        <f>LEFT(Table13[[#This Row],[Input]],1)</f>
        <v>R</v>
      </c>
      <c r="C2619">
        <f>_xlfn.LET(_xlpm.steps,SUBSTITUTE(Table13[[#This Row],[Input]],Table13[[#This Row],[Direction]],""),VALUE(IF(LEN(_xlpm.steps)&gt;2,RIGHT(_xlpm.steps,2),_xlpm.steps)))</f>
        <v>73</v>
      </c>
      <c r="D2619">
        <f>_xlfn.LET(_xlpm.steps,SUBSTITUTE(Table13[[#This Row],[Input]],Table13[[#This Row],[Direction]],""),VALUE(IF(LEN(_xlpm.steps)&gt;2,LEFT(_xlpm.steps,LEN(_xlpm.steps)-2),0)))</f>
        <v>7</v>
      </c>
      <c r="E2619">
        <f>_xlfn.LET(_xlpm.dir,Table13[[#This Row],[Direction]],
IF(_xlpm.dir="L",
    IF(G2618-Table13[[#This Row],[Steps]]&lt;0,100+(G2618-Table13[[#This Row],[Steps]]),G2618-Table13[[#This Row],[Steps]]),
))</f>
        <v>0</v>
      </c>
      <c r="F2619">
        <f>_xlfn.LET(_xlpm.dir,Table13[[#This Row],[Direction]],
IF(_xlpm.dir="R",
    IF(G2618+Table13[[#This Row],[Steps]]&gt;99,(G2618+Table13[[#This Row],[Steps]])-100,G2618+Table13[[#This Row],[Steps]]),
))</f>
        <v>0</v>
      </c>
      <c r="G2619">
        <f>IF(Table13[[#This Row],[New Pos L]]&lt;&gt;0,Table13[[#This Row],[New Pos L]],Table13[[#This Row],[New Pos R]])</f>
        <v>0</v>
      </c>
      <c r="H2619">
        <f>IF(AND(Table13[[#This Row],[Direction]]="L",Table13[[#This Row],[Steps]]&gt;G2618,G2618&lt;&gt;0),1,0)</f>
        <v>0</v>
      </c>
      <c r="I2619">
        <f>IF(AND(Table13[[#This Row],[Direction]]="R",(G2618+Table13[[#This Row],[Steps]])&gt;100),1,0)</f>
        <v>0</v>
      </c>
      <c r="J2619">
        <f>IF(Table13[[#This Row],[POS]]=0,1,0)</f>
        <v>1</v>
      </c>
      <c r="K2619">
        <f>SUM(Table13[[#This Row],[prefix]],Table13[[#This Row],[Past zero L]],Table13[[#This Row],[Past Zero R]],Table13[[#This Row],[Is Zero]])</f>
        <v>8</v>
      </c>
    </row>
    <row r="2620" spans="1:11" ht="16" x14ac:dyDescent="0.2">
      <c r="A2620" s="1" t="s">
        <v>11</v>
      </c>
      <c r="B2620" t="str">
        <f>LEFT(Table13[[#This Row],[Input]],1)</f>
        <v>L</v>
      </c>
      <c r="C2620">
        <f>_xlfn.LET(_xlpm.steps,SUBSTITUTE(Table13[[#This Row],[Input]],Table13[[#This Row],[Direction]],""),VALUE(IF(LEN(_xlpm.steps)&gt;2,RIGHT(_xlpm.steps,2),_xlpm.steps)))</f>
        <v>34</v>
      </c>
      <c r="D2620">
        <f>_xlfn.LET(_xlpm.steps,SUBSTITUTE(Table13[[#This Row],[Input]],Table13[[#This Row],[Direction]],""),VALUE(IF(LEN(_xlpm.steps)&gt;2,LEFT(_xlpm.steps,LEN(_xlpm.steps)-2),0)))</f>
        <v>0</v>
      </c>
      <c r="E2620">
        <f>_xlfn.LET(_xlpm.dir,Table13[[#This Row],[Direction]],
IF(_xlpm.dir="L",
    IF(G2619-Table13[[#This Row],[Steps]]&lt;0,100+(G2619-Table13[[#This Row],[Steps]]),G2619-Table13[[#This Row],[Steps]]),
))</f>
        <v>66</v>
      </c>
      <c r="F2620">
        <f>_xlfn.LET(_xlpm.dir,Table13[[#This Row],[Direction]],
IF(_xlpm.dir="R",
    IF(G2619+Table13[[#This Row],[Steps]]&gt;99,(G2619+Table13[[#This Row],[Steps]])-100,G2619+Table13[[#This Row],[Steps]]),
))</f>
        <v>0</v>
      </c>
      <c r="G2620">
        <f>IF(Table13[[#This Row],[New Pos L]]&lt;&gt;0,Table13[[#This Row],[New Pos L]],Table13[[#This Row],[New Pos R]])</f>
        <v>66</v>
      </c>
      <c r="H2620">
        <f>IF(AND(Table13[[#This Row],[Direction]]="L",Table13[[#This Row],[Steps]]&gt;G2619,G2619&lt;&gt;0),1,0)</f>
        <v>0</v>
      </c>
      <c r="I2620">
        <f>IF(AND(Table13[[#This Row],[Direction]]="R",(G2619+Table13[[#This Row],[Steps]])&gt;100),1,0)</f>
        <v>0</v>
      </c>
      <c r="J2620">
        <f>IF(Table13[[#This Row],[POS]]=0,1,0)</f>
        <v>0</v>
      </c>
      <c r="K2620">
        <f>SUM(Table13[[#This Row],[prefix]],Table13[[#This Row],[Past zero L]],Table13[[#This Row],[Past Zero R]],Table13[[#This Row],[Is Zero]])</f>
        <v>0</v>
      </c>
    </row>
    <row r="2621" spans="1:11" ht="16" x14ac:dyDescent="0.2">
      <c r="A2621" s="1" t="s">
        <v>279</v>
      </c>
      <c r="B2621" t="str">
        <f>LEFT(Table13[[#This Row],[Input]],1)</f>
        <v>R</v>
      </c>
      <c r="C2621">
        <f>_xlfn.LET(_xlpm.steps,SUBSTITUTE(Table13[[#This Row],[Input]],Table13[[#This Row],[Direction]],""),VALUE(IF(LEN(_xlpm.steps)&gt;2,RIGHT(_xlpm.steps,2),_xlpm.steps)))</f>
        <v>34</v>
      </c>
      <c r="D2621">
        <f>_xlfn.LET(_xlpm.steps,SUBSTITUTE(Table13[[#This Row],[Input]],Table13[[#This Row],[Direction]],""),VALUE(IF(LEN(_xlpm.steps)&gt;2,LEFT(_xlpm.steps,LEN(_xlpm.steps)-2),0)))</f>
        <v>0</v>
      </c>
      <c r="E2621">
        <f>_xlfn.LET(_xlpm.dir,Table13[[#This Row],[Direction]],
IF(_xlpm.dir="L",
    IF(G2620-Table13[[#This Row],[Steps]]&lt;0,100+(G2620-Table13[[#This Row],[Steps]]),G2620-Table13[[#This Row],[Steps]]),
))</f>
        <v>0</v>
      </c>
      <c r="F2621">
        <f>_xlfn.LET(_xlpm.dir,Table13[[#This Row],[Direction]],
IF(_xlpm.dir="R",
    IF(G2620+Table13[[#This Row],[Steps]]&gt;99,(G2620+Table13[[#This Row],[Steps]])-100,G2620+Table13[[#This Row],[Steps]]),
))</f>
        <v>0</v>
      </c>
      <c r="G2621">
        <f>IF(Table13[[#This Row],[New Pos L]]&lt;&gt;0,Table13[[#This Row],[New Pos L]],Table13[[#This Row],[New Pos R]])</f>
        <v>0</v>
      </c>
      <c r="H2621">
        <f>IF(AND(Table13[[#This Row],[Direction]]="L",Table13[[#This Row],[Steps]]&gt;G2620,G2620&lt;&gt;0),1,0)</f>
        <v>0</v>
      </c>
      <c r="I2621">
        <f>IF(AND(Table13[[#This Row],[Direction]]="R",(G2620+Table13[[#This Row],[Steps]])&gt;100),1,0)</f>
        <v>0</v>
      </c>
      <c r="J2621">
        <f>IF(Table13[[#This Row],[POS]]=0,1,0)</f>
        <v>1</v>
      </c>
      <c r="K2621">
        <f>SUM(Table13[[#This Row],[prefix]],Table13[[#This Row],[Past zero L]],Table13[[#This Row],[Past Zero R]],Table13[[#This Row],[Is Zero]])</f>
        <v>1</v>
      </c>
    </row>
    <row r="2622" spans="1:11" ht="16" x14ac:dyDescent="0.2">
      <c r="A2622" s="1" t="s">
        <v>635</v>
      </c>
      <c r="B2622" t="str">
        <f>LEFT(Table13[[#This Row],[Input]],1)</f>
        <v>R</v>
      </c>
      <c r="C2622">
        <f>_xlfn.LET(_xlpm.steps,SUBSTITUTE(Table13[[#This Row],[Input]],Table13[[#This Row],[Direction]],""),VALUE(IF(LEN(_xlpm.steps)&gt;2,RIGHT(_xlpm.steps,2),_xlpm.steps)))</f>
        <v>23</v>
      </c>
      <c r="D2622">
        <f>_xlfn.LET(_xlpm.steps,SUBSTITUTE(Table13[[#This Row],[Input]],Table13[[#This Row],[Direction]],""),VALUE(IF(LEN(_xlpm.steps)&gt;2,LEFT(_xlpm.steps,LEN(_xlpm.steps)-2),0)))</f>
        <v>8</v>
      </c>
      <c r="E2622">
        <f>_xlfn.LET(_xlpm.dir,Table13[[#This Row],[Direction]],
IF(_xlpm.dir="L",
    IF(G2621-Table13[[#This Row],[Steps]]&lt;0,100+(G2621-Table13[[#This Row],[Steps]]),G2621-Table13[[#This Row],[Steps]]),
))</f>
        <v>0</v>
      </c>
      <c r="F2622">
        <f>_xlfn.LET(_xlpm.dir,Table13[[#This Row],[Direction]],
IF(_xlpm.dir="R",
    IF(G2621+Table13[[#This Row],[Steps]]&gt;99,(G2621+Table13[[#This Row],[Steps]])-100,G2621+Table13[[#This Row],[Steps]]),
))</f>
        <v>23</v>
      </c>
      <c r="G2622">
        <f>IF(Table13[[#This Row],[New Pos L]]&lt;&gt;0,Table13[[#This Row],[New Pos L]],Table13[[#This Row],[New Pos R]])</f>
        <v>23</v>
      </c>
      <c r="H2622">
        <f>IF(AND(Table13[[#This Row],[Direction]]="L",Table13[[#This Row],[Steps]]&gt;G2621,G2621&lt;&gt;0),1,0)</f>
        <v>0</v>
      </c>
      <c r="I2622">
        <f>IF(AND(Table13[[#This Row],[Direction]]="R",(G2621+Table13[[#This Row],[Steps]])&gt;100),1,0)</f>
        <v>0</v>
      </c>
      <c r="J2622">
        <f>IF(Table13[[#This Row],[POS]]=0,1,0)</f>
        <v>0</v>
      </c>
      <c r="K2622">
        <f>SUM(Table13[[#This Row],[prefix]],Table13[[#This Row],[Past zero L]],Table13[[#This Row],[Past Zero R]],Table13[[#This Row],[Is Zero]])</f>
        <v>8</v>
      </c>
    </row>
    <row r="2623" spans="1:11" ht="16" x14ac:dyDescent="0.2">
      <c r="A2623" s="1" t="s">
        <v>60</v>
      </c>
      <c r="B2623" t="str">
        <f>LEFT(Table13[[#This Row],[Input]],1)</f>
        <v>R</v>
      </c>
      <c r="C2623">
        <f>_xlfn.LET(_xlpm.steps,SUBSTITUTE(Table13[[#This Row],[Input]],Table13[[#This Row],[Direction]],""),VALUE(IF(LEN(_xlpm.steps)&gt;2,RIGHT(_xlpm.steps,2),_xlpm.steps)))</f>
        <v>86</v>
      </c>
      <c r="D2623">
        <f>_xlfn.LET(_xlpm.steps,SUBSTITUTE(Table13[[#This Row],[Input]],Table13[[#This Row],[Direction]],""),VALUE(IF(LEN(_xlpm.steps)&gt;2,LEFT(_xlpm.steps,LEN(_xlpm.steps)-2),0)))</f>
        <v>0</v>
      </c>
      <c r="E2623">
        <f>_xlfn.LET(_xlpm.dir,Table13[[#This Row],[Direction]],
IF(_xlpm.dir="L",
    IF(G2622-Table13[[#This Row],[Steps]]&lt;0,100+(G2622-Table13[[#This Row],[Steps]]),G2622-Table13[[#This Row],[Steps]]),
))</f>
        <v>0</v>
      </c>
      <c r="F2623">
        <f>_xlfn.LET(_xlpm.dir,Table13[[#This Row],[Direction]],
IF(_xlpm.dir="R",
    IF(G2622+Table13[[#This Row],[Steps]]&gt;99,(G2622+Table13[[#This Row],[Steps]])-100,G2622+Table13[[#This Row],[Steps]]),
))</f>
        <v>9</v>
      </c>
      <c r="G2623">
        <f>IF(Table13[[#This Row],[New Pos L]]&lt;&gt;0,Table13[[#This Row],[New Pos L]],Table13[[#This Row],[New Pos R]])</f>
        <v>9</v>
      </c>
      <c r="H2623">
        <f>IF(AND(Table13[[#This Row],[Direction]]="L",Table13[[#This Row],[Steps]]&gt;G2622,G2622&lt;&gt;0),1,0)</f>
        <v>0</v>
      </c>
      <c r="I2623">
        <f>IF(AND(Table13[[#This Row],[Direction]]="R",(G2622+Table13[[#This Row],[Steps]])&gt;100),1,0)</f>
        <v>1</v>
      </c>
      <c r="J2623">
        <f>IF(Table13[[#This Row],[POS]]=0,1,0)</f>
        <v>0</v>
      </c>
      <c r="K2623">
        <f>SUM(Table13[[#This Row],[prefix]],Table13[[#This Row],[Past zero L]],Table13[[#This Row],[Past Zero R]],Table13[[#This Row],[Is Zero]])</f>
        <v>1</v>
      </c>
    </row>
    <row r="2624" spans="1:11" ht="16" x14ac:dyDescent="0.2">
      <c r="A2624" s="1" t="s">
        <v>66</v>
      </c>
      <c r="B2624" t="str">
        <f>LEFT(Table13[[#This Row],[Input]],1)</f>
        <v>R</v>
      </c>
      <c r="C2624">
        <f>_xlfn.LET(_xlpm.steps,SUBSTITUTE(Table13[[#This Row],[Input]],Table13[[#This Row],[Direction]],""),VALUE(IF(LEN(_xlpm.steps)&gt;2,RIGHT(_xlpm.steps,2),_xlpm.steps)))</f>
        <v>45</v>
      </c>
      <c r="D2624">
        <f>_xlfn.LET(_xlpm.steps,SUBSTITUTE(Table13[[#This Row],[Input]],Table13[[#This Row],[Direction]],""),VALUE(IF(LEN(_xlpm.steps)&gt;2,LEFT(_xlpm.steps,LEN(_xlpm.steps)-2),0)))</f>
        <v>0</v>
      </c>
      <c r="E2624">
        <f>_xlfn.LET(_xlpm.dir,Table13[[#This Row],[Direction]],
IF(_xlpm.dir="L",
    IF(G2623-Table13[[#This Row],[Steps]]&lt;0,100+(G2623-Table13[[#This Row],[Steps]]),G2623-Table13[[#This Row],[Steps]]),
))</f>
        <v>0</v>
      </c>
      <c r="F2624">
        <f>_xlfn.LET(_xlpm.dir,Table13[[#This Row],[Direction]],
IF(_xlpm.dir="R",
    IF(G2623+Table13[[#This Row],[Steps]]&gt;99,(G2623+Table13[[#This Row],[Steps]])-100,G2623+Table13[[#This Row],[Steps]]),
))</f>
        <v>54</v>
      </c>
      <c r="G2624">
        <f>IF(Table13[[#This Row],[New Pos L]]&lt;&gt;0,Table13[[#This Row],[New Pos L]],Table13[[#This Row],[New Pos R]])</f>
        <v>54</v>
      </c>
      <c r="H2624">
        <f>IF(AND(Table13[[#This Row],[Direction]]="L",Table13[[#This Row],[Steps]]&gt;G2623,G2623&lt;&gt;0),1,0)</f>
        <v>0</v>
      </c>
      <c r="I2624">
        <f>IF(AND(Table13[[#This Row],[Direction]]="R",(G2623+Table13[[#This Row],[Steps]])&gt;100),1,0)</f>
        <v>0</v>
      </c>
      <c r="J2624">
        <f>IF(Table13[[#This Row],[POS]]=0,1,0)</f>
        <v>0</v>
      </c>
      <c r="K2624">
        <f>SUM(Table13[[#This Row],[prefix]],Table13[[#This Row],[Past zero L]],Table13[[#This Row],[Past Zero R]],Table13[[#This Row],[Is Zero]])</f>
        <v>0</v>
      </c>
    </row>
    <row r="2625" spans="1:11" ht="16" x14ac:dyDescent="0.2">
      <c r="A2625" s="1" t="s">
        <v>20</v>
      </c>
      <c r="B2625" t="str">
        <f>LEFT(Table13[[#This Row],[Input]],1)</f>
        <v>R</v>
      </c>
      <c r="C2625">
        <f>_xlfn.LET(_xlpm.steps,SUBSTITUTE(Table13[[#This Row],[Input]],Table13[[#This Row],[Direction]],""),VALUE(IF(LEN(_xlpm.steps)&gt;2,RIGHT(_xlpm.steps,2),_xlpm.steps)))</f>
        <v>46</v>
      </c>
      <c r="D2625">
        <f>_xlfn.LET(_xlpm.steps,SUBSTITUTE(Table13[[#This Row],[Input]],Table13[[#This Row],[Direction]],""),VALUE(IF(LEN(_xlpm.steps)&gt;2,LEFT(_xlpm.steps,LEN(_xlpm.steps)-2),0)))</f>
        <v>0</v>
      </c>
      <c r="E2625">
        <f>_xlfn.LET(_xlpm.dir,Table13[[#This Row],[Direction]],
IF(_xlpm.dir="L",
    IF(G2624-Table13[[#This Row],[Steps]]&lt;0,100+(G2624-Table13[[#This Row],[Steps]]),G2624-Table13[[#This Row],[Steps]]),
))</f>
        <v>0</v>
      </c>
      <c r="F2625">
        <f>_xlfn.LET(_xlpm.dir,Table13[[#This Row],[Direction]],
IF(_xlpm.dir="R",
    IF(G2624+Table13[[#This Row],[Steps]]&gt;99,(G2624+Table13[[#This Row],[Steps]])-100,G2624+Table13[[#This Row],[Steps]]),
))</f>
        <v>0</v>
      </c>
      <c r="G2625">
        <f>IF(Table13[[#This Row],[New Pos L]]&lt;&gt;0,Table13[[#This Row],[New Pos L]],Table13[[#This Row],[New Pos R]])</f>
        <v>0</v>
      </c>
      <c r="H2625">
        <f>IF(AND(Table13[[#This Row],[Direction]]="L",Table13[[#This Row],[Steps]]&gt;G2624,G2624&lt;&gt;0),1,0)</f>
        <v>0</v>
      </c>
      <c r="I2625">
        <f>IF(AND(Table13[[#This Row],[Direction]]="R",(G2624+Table13[[#This Row],[Steps]])&gt;100),1,0)</f>
        <v>0</v>
      </c>
      <c r="J2625">
        <f>IF(Table13[[#This Row],[POS]]=0,1,0)</f>
        <v>1</v>
      </c>
      <c r="K2625">
        <f>SUM(Table13[[#This Row],[prefix]],Table13[[#This Row],[Past zero L]],Table13[[#This Row],[Past Zero R]],Table13[[#This Row],[Is Zero]])</f>
        <v>1</v>
      </c>
    </row>
    <row r="2626" spans="1:11" ht="16" x14ac:dyDescent="0.2">
      <c r="A2626" s="1" t="s">
        <v>34</v>
      </c>
      <c r="B2626" t="str">
        <f>LEFT(Table13[[#This Row],[Input]],1)</f>
        <v>L</v>
      </c>
      <c r="C2626">
        <f>_xlfn.LET(_xlpm.steps,SUBSTITUTE(Table13[[#This Row],[Input]],Table13[[#This Row],[Direction]],""),VALUE(IF(LEN(_xlpm.steps)&gt;2,RIGHT(_xlpm.steps,2),_xlpm.steps)))</f>
        <v>15</v>
      </c>
      <c r="D2626">
        <f>_xlfn.LET(_xlpm.steps,SUBSTITUTE(Table13[[#This Row],[Input]],Table13[[#This Row],[Direction]],""),VALUE(IF(LEN(_xlpm.steps)&gt;2,LEFT(_xlpm.steps,LEN(_xlpm.steps)-2),0)))</f>
        <v>0</v>
      </c>
      <c r="E2626">
        <f>_xlfn.LET(_xlpm.dir,Table13[[#This Row],[Direction]],
IF(_xlpm.dir="L",
    IF(G2625-Table13[[#This Row],[Steps]]&lt;0,100+(G2625-Table13[[#This Row],[Steps]]),G2625-Table13[[#This Row],[Steps]]),
))</f>
        <v>85</v>
      </c>
      <c r="F2626">
        <f>_xlfn.LET(_xlpm.dir,Table13[[#This Row],[Direction]],
IF(_xlpm.dir="R",
    IF(G2625+Table13[[#This Row],[Steps]]&gt;99,(G2625+Table13[[#This Row],[Steps]])-100,G2625+Table13[[#This Row],[Steps]]),
))</f>
        <v>0</v>
      </c>
      <c r="G2626">
        <f>IF(Table13[[#This Row],[New Pos L]]&lt;&gt;0,Table13[[#This Row],[New Pos L]],Table13[[#This Row],[New Pos R]])</f>
        <v>85</v>
      </c>
      <c r="H2626">
        <f>IF(AND(Table13[[#This Row],[Direction]]="L",Table13[[#This Row],[Steps]]&gt;G2625,G2625&lt;&gt;0),1,0)</f>
        <v>0</v>
      </c>
      <c r="I2626">
        <f>IF(AND(Table13[[#This Row],[Direction]]="R",(G2625+Table13[[#This Row],[Steps]])&gt;100),1,0)</f>
        <v>0</v>
      </c>
      <c r="J2626">
        <f>IF(Table13[[#This Row],[POS]]=0,1,0)</f>
        <v>0</v>
      </c>
      <c r="K2626">
        <f>SUM(Table13[[#This Row],[prefix]],Table13[[#This Row],[Past zero L]],Table13[[#This Row],[Past Zero R]],Table13[[#This Row],[Is Zero]])</f>
        <v>0</v>
      </c>
    </row>
    <row r="2627" spans="1:11" ht="16" x14ac:dyDescent="0.2">
      <c r="A2627" s="1" t="s">
        <v>76</v>
      </c>
      <c r="B2627" t="str">
        <f>LEFT(Table13[[#This Row],[Input]],1)</f>
        <v>R</v>
      </c>
      <c r="C2627">
        <f>_xlfn.LET(_xlpm.steps,SUBSTITUTE(Table13[[#This Row],[Input]],Table13[[#This Row],[Direction]],""),VALUE(IF(LEN(_xlpm.steps)&gt;2,RIGHT(_xlpm.steps,2),_xlpm.steps)))</f>
        <v>37</v>
      </c>
      <c r="D2627">
        <f>_xlfn.LET(_xlpm.steps,SUBSTITUTE(Table13[[#This Row],[Input]],Table13[[#This Row],[Direction]],""),VALUE(IF(LEN(_xlpm.steps)&gt;2,LEFT(_xlpm.steps,LEN(_xlpm.steps)-2),0)))</f>
        <v>0</v>
      </c>
      <c r="E2627">
        <f>_xlfn.LET(_xlpm.dir,Table13[[#This Row],[Direction]],
IF(_xlpm.dir="L",
    IF(G2626-Table13[[#This Row],[Steps]]&lt;0,100+(G2626-Table13[[#This Row],[Steps]]),G2626-Table13[[#This Row],[Steps]]),
))</f>
        <v>0</v>
      </c>
      <c r="F2627">
        <f>_xlfn.LET(_xlpm.dir,Table13[[#This Row],[Direction]],
IF(_xlpm.dir="R",
    IF(G2626+Table13[[#This Row],[Steps]]&gt;99,(G2626+Table13[[#This Row],[Steps]])-100,G2626+Table13[[#This Row],[Steps]]),
))</f>
        <v>22</v>
      </c>
      <c r="G2627">
        <f>IF(Table13[[#This Row],[New Pos L]]&lt;&gt;0,Table13[[#This Row],[New Pos L]],Table13[[#This Row],[New Pos R]])</f>
        <v>22</v>
      </c>
      <c r="H2627">
        <f>IF(AND(Table13[[#This Row],[Direction]]="L",Table13[[#This Row],[Steps]]&gt;G2626,G2626&lt;&gt;0),1,0)</f>
        <v>0</v>
      </c>
      <c r="I2627">
        <f>IF(AND(Table13[[#This Row],[Direction]]="R",(G2626+Table13[[#This Row],[Steps]])&gt;100),1,0)</f>
        <v>1</v>
      </c>
      <c r="J2627">
        <f>IF(Table13[[#This Row],[POS]]=0,1,0)</f>
        <v>0</v>
      </c>
      <c r="K2627">
        <f>SUM(Table13[[#This Row],[prefix]],Table13[[#This Row],[Past zero L]],Table13[[#This Row],[Past Zero R]],Table13[[#This Row],[Is Zero]])</f>
        <v>1</v>
      </c>
    </row>
    <row r="2628" spans="1:11" ht="16" x14ac:dyDescent="0.2">
      <c r="A2628" s="1" t="s">
        <v>636</v>
      </c>
      <c r="B2628" t="str">
        <f>LEFT(Table13[[#This Row],[Input]],1)</f>
        <v>L</v>
      </c>
      <c r="C2628">
        <f>_xlfn.LET(_xlpm.steps,SUBSTITUTE(Table13[[#This Row],[Input]],Table13[[#This Row],[Direction]],""),VALUE(IF(LEN(_xlpm.steps)&gt;2,RIGHT(_xlpm.steps,2),_xlpm.steps)))</f>
        <v>27</v>
      </c>
      <c r="D2628">
        <f>_xlfn.LET(_xlpm.steps,SUBSTITUTE(Table13[[#This Row],[Input]],Table13[[#This Row],[Direction]],""),VALUE(IF(LEN(_xlpm.steps)&gt;2,LEFT(_xlpm.steps,LEN(_xlpm.steps)-2),0)))</f>
        <v>4</v>
      </c>
      <c r="E2628">
        <f>_xlfn.LET(_xlpm.dir,Table13[[#This Row],[Direction]],
IF(_xlpm.dir="L",
    IF(G2627-Table13[[#This Row],[Steps]]&lt;0,100+(G2627-Table13[[#This Row],[Steps]]),G2627-Table13[[#This Row],[Steps]]),
))</f>
        <v>95</v>
      </c>
      <c r="F2628">
        <f>_xlfn.LET(_xlpm.dir,Table13[[#This Row],[Direction]],
IF(_xlpm.dir="R",
    IF(G2627+Table13[[#This Row],[Steps]]&gt;99,(G2627+Table13[[#This Row],[Steps]])-100,G2627+Table13[[#This Row],[Steps]]),
))</f>
        <v>0</v>
      </c>
      <c r="G2628">
        <f>IF(Table13[[#This Row],[New Pos L]]&lt;&gt;0,Table13[[#This Row],[New Pos L]],Table13[[#This Row],[New Pos R]])</f>
        <v>95</v>
      </c>
      <c r="H2628">
        <f>IF(AND(Table13[[#This Row],[Direction]]="L",Table13[[#This Row],[Steps]]&gt;G2627,G2627&lt;&gt;0),1,0)</f>
        <v>1</v>
      </c>
      <c r="I2628">
        <f>IF(AND(Table13[[#This Row],[Direction]]="R",(G2627+Table13[[#This Row],[Steps]])&gt;100),1,0)</f>
        <v>0</v>
      </c>
      <c r="J2628">
        <f>IF(Table13[[#This Row],[POS]]=0,1,0)</f>
        <v>0</v>
      </c>
      <c r="K2628">
        <f>SUM(Table13[[#This Row],[prefix]],Table13[[#This Row],[Past zero L]],Table13[[#This Row],[Past Zero R]],Table13[[#This Row],[Is Zero]])</f>
        <v>5</v>
      </c>
    </row>
    <row r="2629" spans="1:11" ht="16" x14ac:dyDescent="0.2">
      <c r="A2629" s="1" t="s">
        <v>134</v>
      </c>
      <c r="B2629" t="str">
        <f>LEFT(Table13[[#This Row],[Input]],1)</f>
        <v>L</v>
      </c>
      <c r="C2629">
        <f>_xlfn.LET(_xlpm.steps,SUBSTITUTE(Table13[[#This Row],[Input]],Table13[[#This Row],[Direction]],""),VALUE(IF(LEN(_xlpm.steps)&gt;2,RIGHT(_xlpm.steps,2),_xlpm.steps)))</f>
        <v>95</v>
      </c>
      <c r="D2629">
        <f>_xlfn.LET(_xlpm.steps,SUBSTITUTE(Table13[[#This Row],[Input]],Table13[[#This Row],[Direction]],""),VALUE(IF(LEN(_xlpm.steps)&gt;2,LEFT(_xlpm.steps,LEN(_xlpm.steps)-2),0)))</f>
        <v>0</v>
      </c>
      <c r="E2629">
        <f>_xlfn.LET(_xlpm.dir,Table13[[#This Row],[Direction]],
IF(_xlpm.dir="L",
    IF(G2628-Table13[[#This Row],[Steps]]&lt;0,100+(G2628-Table13[[#This Row],[Steps]]),G2628-Table13[[#This Row],[Steps]]),
))</f>
        <v>0</v>
      </c>
      <c r="F2629">
        <f>_xlfn.LET(_xlpm.dir,Table13[[#This Row],[Direction]],
IF(_xlpm.dir="R",
    IF(G2628+Table13[[#This Row],[Steps]]&gt;99,(G2628+Table13[[#This Row],[Steps]])-100,G2628+Table13[[#This Row],[Steps]]),
))</f>
        <v>0</v>
      </c>
      <c r="G2629">
        <f>IF(Table13[[#This Row],[New Pos L]]&lt;&gt;0,Table13[[#This Row],[New Pos L]],Table13[[#This Row],[New Pos R]])</f>
        <v>0</v>
      </c>
      <c r="H2629">
        <f>IF(AND(Table13[[#This Row],[Direction]]="L",Table13[[#This Row],[Steps]]&gt;G2628,G2628&lt;&gt;0),1,0)</f>
        <v>0</v>
      </c>
      <c r="I2629">
        <f>IF(AND(Table13[[#This Row],[Direction]]="R",(G2628+Table13[[#This Row],[Steps]])&gt;100),1,0)</f>
        <v>0</v>
      </c>
      <c r="J2629">
        <f>IF(Table13[[#This Row],[POS]]=0,1,0)</f>
        <v>1</v>
      </c>
      <c r="K2629">
        <f>SUM(Table13[[#This Row],[prefix]],Table13[[#This Row],[Past zero L]],Table13[[#This Row],[Past Zero R]],Table13[[#This Row],[Is Zero]])</f>
        <v>1</v>
      </c>
    </row>
    <row r="2630" spans="1:11" ht="16" x14ac:dyDescent="0.2">
      <c r="A2630" s="1" t="s">
        <v>325</v>
      </c>
      <c r="B2630" t="str">
        <f>LEFT(Table13[[#This Row],[Input]],1)</f>
        <v>L</v>
      </c>
      <c r="C2630">
        <f>_xlfn.LET(_xlpm.steps,SUBSTITUTE(Table13[[#This Row],[Input]],Table13[[#This Row],[Direction]],""),VALUE(IF(LEN(_xlpm.steps)&gt;2,RIGHT(_xlpm.steps,2),_xlpm.steps)))</f>
        <v>68</v>
      </c>
      <c r="D2630">
        <f>_xlfn.LET(_xlpm.steps,SUBSTITUTE(Table13[[#This Row],[Input]],Table13[[#This Row],[Direction]],""),VALUE(IF(LEN(_xlpm.steps)&gt;2,LEFT(_xlpm.steps,LEN(_xlpm.steps)-2),0)))</f>
        <v>0</v>
      </c>
      <c r="E2630">
        <f>_xlfn.LET(_xlpm.dir,Table13[[#This Row],[Direction]],
IF(_xlpm.dir="L",
    IF(G2629-Table13[[#This Row],[Steps]]&lt;0,100+(G2629-Table13[[#This Row],[Steps]]),G2629-Table13[[#This Row],[Steps]]),
))</f>
        <v>32</v>
      </c>
      <c r="F2630">
        <f>_xlfn.LET(_xlpm.dir,Table13[[#This Row],[Direction]],
IF(_xlpm.dir="R",
    IF(G2629+Table13[[#This Row],[Steps]]&gt;99,(G2629+Table13[[#This Row],[Steps]])-100,G2629+Table13[[#This Row],[Steps]]),
))</f>
        <v>0</v>
      </c>
      <c r="G2630">
        <f>IF(Table13[[#This Row],[New Pos L]]&lt;&gt;0,Table13[[#This Row],[New Pos L]],Table13[[#This Row],[New Pos R]])</f>
        <v>32</v>
      </c>
      <c r="H2630">
        <f>IF(AND(Table13[[#This Row],[Direction]]="L",Table13[[#This Row],[Steps]]&gt;G2629,G2629&lt;&gt;0),1,0)</f>
        <v>0</v>
      </c>
      <c r="I2630">
        <f>IF(AND(Table13[[#This Row],[Direction]]="R",(G2629+Table13[[#This Row],[Steps]])&gt;100),1,0)</f>
        <v>0</v>
      </c>
      <c r="J2630">
        <f>IF(Table13[[#This Row],[POS]]=0,1,0)</f>
        <v>0</v>
      </c>
      <c r="K2630">
        <f>SUM(Table13[[#This Row],[prefix]],Table13[[#This Row],[Past zero L]],Table13[[#This Row],[Past Zero R]],Table13[[#This Row],[Is Zero]])</f>
        <v>0</v>
      </c>
    </row>
    <row r="2631" spans="1:11" ht="16" x14ac:dyDescent="0.2">
      <c r="A2631" s="1" t="s">
        <v>191</v>
      </c>
      <c r="B2631" t="str">
        <f>LEFT(Table13[[#This Row],[Input]],1)</f>
        <v>L</v>
      </c>
      <c r="C2631">
        <f>_xlfn.LET(_xlpm.steps,SUBSTITUTE(Table13[[#This Row],[Input]],Table13[[#This Row],[Direction]],""),VALUE(IF(LEN(_xlpm.steps)&gt;2,RIGHT(_xlpm.steps,2),_xlpm.steps)))</f>
        <v>5</v>
      </c>
      <c r="D2631">
        <f>_xlfn.LET(_xlpm.steps,SUBSTITUTE(Table13[[#This Row],[Input]],Table13[[#This Row],[Direction]],""),VALUE(IF(LEN(_xlpm.steps)&gt;2,LEFT(_xlpm.steps,LEN(_xlpm.steps)-2),0)))</f>
        <v>0</v>
      </c>
      <c r="E2631">
        <f>_xlfn.LET(_xlpm.dir,Table13[[#This Row],[Direction]],
IF(_xlpm.dir="L",
    IF(G2630-Table13[[#This Row],[Steps]]&lt;0,100+(G2630-Table13[[#This Row],[Steps]]),G2630-Table13[[#This Row],[Steps]]),
))</f>
        <v>27</v>
      </c>
      <c r="F2631">
        <f>_xlfn.LET(_xlpm.dir,Table13[[#This Row],[Direction]],
IF(_xlpm.dir="R",
    IF(G2630+Table13[[#This Row],[Steps]]&gt;99,(G2630+Table13[[#This Row],[Steps]])-100,G2630+Table13[[#This Row],[Steps]]),
))</f>
        <v>0</v>
      </c>
      <c r="G2631">
        <f>IF(Table13[[#This Row],[New Pos L]]&lt;&gt;0,Table13[[#This Row],[New Pos L]],Table13[[#This Row],[New Pos R]])</f>
        <v>27</v>
      </c>
      <c r="H2631">
        <f>IF(AND(Table13[[#This Row],[Direction]]="L",Table13[[#This Row],[Steps]]&gt;G2630,G2630&lt;&gt;0),1,0)</f>
        <v>0</v>
      </c>
      <c r="I2631">
        <f>IF(AND(Table13[[#This Row],[Direction]]="R",(G2630+Table13[[#This Row],[Steps]])&gt;100),1,0)</f>
        <v>0</v>
      </c>
      <c r="J2631">
        <f>IF(Table13[[#This Row],[POS]]=0,1,0)</f>
        <v>0</v>
      </c>
      <c r="K2631">
        <f>SUM(Table13[[#This Row],[prefix]],Table13[[#This Row],[Past zero L]],Table13[[#This Row],[Past Zero R]],Table13[[#This Row],[Is Zero]])</f>
        <v>0</v>
      </c>
    </row>
    <row r="2632" spans="1:11" ht="16" x14ac:dyDescent="0.2">
      <c r="A2632" s="1" t="s">
        <v>70</v>
      </c>
      <c r="B2632" t="str">
        <f>LEFT(Table13[[#This Row],[Input]],1)</f>
        <v>R</v>
      </c>
      <c r="C2632">
        <f>_xlfn.LET(_xlpm.steps,SUBSTITUTE(Table13[[#This Row],[Input]],Table13[[#This Row],[Direction]],""),VALUE(IF(LEN(_xlpm.steps)&gt;2,RIGHT(_xlpm.steps,2),_xlpm.steps)))</f>
        <v>73</v>
      </c>
      <c r="D2632">
        <f>_xlfn.LET(_xlpm.steps,SUBSTITUTE(Table13[[#This Row],[Input]],Table13[[#This Row],[Direction]],""),VALUE(IF(LEN(_xlpm.steps)&gt;2,LEFT(_xlpm.steps,LEN(_xlpm.steps)-2),0)))</f>
        <v>0</v>
      </c>
      <c r="E2632">
        <f>_xlfn.LET(_xlpm.dir,Table13[[#This Row],[Direction]],
IF(_xlpm.dir="L",
    IF(G2631-Table13[[#This Row],[Steps]]&lt;0,100+(G2631-Table13[[#This Row],[Steps]]),G2631-Table13[[#This Row],[Steps]]),
))</f>
        <v>0</v>
      </c>
      <c r="F2632">
        <f>_xlfn.LET(_xlpm.dir,Table13[[#This Row],[Direction]],
IF(_xlpm.dir="R",
    IF(G2631+Table13[[#This Row],[Steps]]&gt;99,(G2631+Table13[[#This Row],[Steps]])-100,G2631+Table13[[#This Row],[Steps]]),
))</f>
        <v>0</v>
      </c>
      <c r="G2632">
        <f>IF(Table13[[#This Row],[New Pos L]]&lt;&gt;0,Table13[[#This Row],[New Pos L]],Table13[[#This Row],[New Pos R]])</f>
        <v>0</v>
      </c>
      <c r="H2632">
        <f>IF(AND(Table13[[#This Row],[Direction]]="L",Table13[[#This Row],[Steps]]&gt;G2631,G2631&lt;&gt;0),1,0)</f>
        <v>0</v>
      </c>
      <c r="I2632">
        <f>IF(AND(Table13[[#This Row],[Direction]]="R",(G2631+Table13[[#This Row],[Steps]])&gt;100),1,0)</f>
        <v>0</v>
      </c>
      <c r="J2632">
        <f>IF(Table13[[#This Row],[POS]]=0,1,0)</f>
        <v>1</v>
      </c>
      <c r="K2632">
        <f>SUM(Table13[[#This Row],[prefix]],Table13[[#This Row],[Past zero L]],Table13[[#This Row],[Past Zero R]],Table13[[#This Row],[Is Zero]])</f>
        <v>1</v>
      </c>
    </row>
    <row r="2633" spans="1:11" ht="16" x14ac:dyDescent="0.2">
      <c r="A2633" s="1" t="s">
        <v>637</v>
      </c>
      <c r="B2633" t="str">
        <f>LEFT(Table13[[#This Row],[Input]],1)</f>
        <v>R</v>
      </c>
      <c r="C2633">
        <f>_xlfn.LET(_xlpm.steps,SUBSTITUTE(Table13[[#This Row],[Input]],Table13[[#This Row],[Direction]],""),VALUE(IF(LEN(_xlpm.steps)&gt;2,RIGHT(_xlpm.steps,2),_xlpm.steps)))</f>
        <v>73</v>
      </c>
      <c r="D2633">
        <f>_xlfn.LET(_xlpm.steps,SUBSTITUTE(Table13[[#This Row],[Input]],Table13[[#This Row],[Direction]],""),VALUE(IF(LEN(_xlpm.steps)&gt;2,LEFT(_xlpm.steps,LEN(_xlpm.steps)-2),0)))</f>
        <v>9</v>
      </c>
      <c r="E2633">
        <f>_xlfn.LET(_xlpm.dir,Table13[[#This Row],[Direction]],
IF(_xlpm.dir="L",
    IF(G2632-Table13[[#This Row],[Steps]]&lt;0,100+(G2632-Table13[[#This Row],[Steps]]),G2632-Table13[[#This Row],[Steps]]),
))</f>
        <v>0</v>
      </c>
      <c r="F2633">
        <f>_xlfn.LET(_xlpm.dir,Table13[[#This Row],[Direction]],
IF(_xlpm.dir="R",
    IF(G2632+Table13[[#This Row],[Steps]]&gt;99,(G2632+Table13[[#This Row],[Steps]])-100,G2632+Table13[[#This Row],[Steps]]),
))</f>
        <v>73</v>
      </c>
      <c r="G2633">
        <f>IF(Table13[[#This Row],[New Pos L]]&lt;&gt;0,Table13[[#This Row],[New Pos L]],Table13[[#This Row],[New Pos R]])</f>
        <v>73</v>
      </c>
      <c r="H2633">
        <f>IF(AND(Table13[[#This Row],[Direction]]="L",Table13[[#This Row],[Steps]]&gt;G2632,G2632&lt;&gt;0),1,0)</f>
        <v>0</v>
      </c>
      <c r="I2633">
        <f>IF(AND(Table13[[#This Row],[Direction]]="R",(G2632+Table13[[#This Row],[Steps]])&gt;100),1,0)</f>
        <v>0</v>
      </c>
      <c r="J2633">
        <f>IF(Table13[[#This Row],[POS]]=0,1,0)</f>
        <v>0</v>
      </c>
      <c r="K2633">
        <f>SUM(Table13[[#This Row],[prefix]],Table13[[#This Row],[Past zero L]],Table13[[#This Row],[Past Zero R]],Table13[[#This Row],[Is Zero]])</f>
        <v>9</v>
      </c>
    </row>
    <row r="2634" spans="1:11" ht="16" x14ac:dyDescent="0.2">
      <c r="A2634" s="1" t="s">
        <v>69</v>
      </c>
      <c r="B2634" t="str">
        <f>LEFT(Table13[[#This Row],[Input]],1)</f>
        <v>R</v>
      </c>
      <c r="C2634">
        <f>_xlfn.LET(_xlpm.steps,SUBSTITUTE(Table13[[#This Row],[Input]],Table13[[#This Row],[Direction]],""),VALUE(IF(LEN(_xlpm.steps)&gt;2,RIGHT(_xlpm.steps,2),_xlpm.steps)))</f>
        <v>27</v>
      </c>
      <c r="D2634">
        <f>_xlfn.LET(_xlpm.steps,SUBSTITUTE(Table13[[#This Row],[Input]],Table13[[#This Row],[Direction]],""),VALUE(IF(LEN(_xlpm.steps)&gt;2,LEFT(_xlpm.steps,LEN(_xlpm.steps)-2),0)))</f>
        <v>0</v>
      </c>
      <c r="E2634">
        <f>_xlfn.LET(_xlpm.dir,Table13[[#This Row],[Direction]],
IF(_xlpm.dir="L",
    IF(G2633-Table13[[#This Row],[Steps]]&lt;0,100+(G2633-Table13[[#This Row],[Steps]]),G2633-Table13[[#This Row],[Steps]]),
))</f>
        <v>0</v>
      </c>
      <c r="F2634">
        <f>_xlfn.LET(_xlpm.dir,Table13[[#This Row],[Direction]],
IF(_xlpm.dir="R",
    IF(G2633+Table13[[#This Row],[Steps]]&gt;99,(G2633+Table13[[#This Row],[Steps]])-100,G2633+Table13[[#This Row],[Steps]]),
))</f>
        <v>0</v>
      </c>
      <c r="G2634">
        <f>IF(Table13[[#This Row],[New Pos L]]&lt;&gt;0,Table13[[#This Row],[New Pos L]],Table13[[#This Row],[New Pos R]])</f>
        <v>0</v>
      </c>
      <c r="H2634">
        <f>IF(AND(Table13[[#This Row],[Direction]]="L",Table13[[#This Row],[Steps]]&gt;G2633,G2633&lt;&gt;0),1,0)</f>
        <v>0</v>
      </c>
      <c r="I2634">
        <f>IF(AND(Table13[[#This Row],[Direction]]="R",(G2633+Table13[[#This Row],[Steps]])&gt;100),1,0)</f>
        <v>0</v>
      </c>
      <c r="J2634">
        <f>IF(Table13[[#This Row],[POS]]=0,1,0)</f>
        <v>1</v>
      </c>
      <c r="K2634">
        <f>SUM(Table13[[#This Row],[prefix]],Table13[[#This Row],[Past zero L]],Table13[[#This Row],[Past Zero R]],Table13[[#This Row],[Is Zero]])</f>
        <v>1</v>
      </c>
    </row>
    <row r="2635" spans="1:11" ht="16" x14ac:dyDescent="0.2">
      <c r="A2635" s="1" t="s">
        <v>141</v>
      </c>
      <c r="B2635" t="str">
        <f>LEFT(Table13[[#This Row],[Input]],1)</f>
        <v>L</v>
      </c>
      <c r="C2635">
        <f>_xlfn.LET(_xlpm.steps,SUBSTITUTE(Table13[[#This Row],[Input]],Table13[[#This Row],[Direction]],""),VALUE(IF(LEN(_xlpm.steps)&gt;2,RIGHT(_xlpm.steps,2),_xlpm.steps)))</f>
        <v>90</v>
      </c>
      <c r="D2635">
        <f>_xlfn.LET(_xlpm.steps,SUBSTITUTE(Table13[[#This Row],[Input]],Table13[[#This Row],[Direction]],""),VALUE(IF(LEN(_xlpm.steps)&gt;2,LEFT(_xlpm.steps,LEN(_xlpm.steps)-2),0)))</f>
        <v>0</v>
      </c>
      <c r="E2635">
        <f>_xlfn.LET(_xlpm.dir,Table13[[#This Row],[Direction]],
IF(_xlpm.dir="L",
    IF(G2634-Table13[[#This Row],[Steps]]&lt;0,100+(G2634-Table13[[#This Row],[Steps]]),G2634-Table13[[#This Row],[Steps]]),
))</f>
        <v>10</v>
      </c>
      <c r="F2635">
        <f>_xlfn.LET(_xlpm.dir,Table13[[#This Row],[Direction]],
IF(_xlpm.dir="R",
    IF(G2634+Table13[[#This Row],[Steps]]&gt;99,(G2634+Table13[[#This Row],[Steps]])-100,G2634+Table13[[#This Row],[Steps]]),
))</f>
        <v>0</v>
      </c>
      <c r="G2635">
        <f>IF(Table13[[#This Row],[New Pos L]]&lt;&gt;0,Table13[[#This Row],[New Pos L]],Table13[[#This Row],[New Pos R]])</f>
        <v>10</v>
      </c>
      <c r="H2635">
        <f>IF(AND(Table13[[#This Row],[Direction]]="L",Table13[[#This Row],[Steps]]&gt;G2634,G2634&lt;&gt;0),1,0)</f>
        <v>0</v>
      </c>
      <c r="I2635">
        <f>IF(AND(Table13[[#This Row],[Direction]]="R",(G2634+Table13[[#This Row],[Steps]])&gt;100),1,0)</f>
        <v>0</v>
      </c>
      <c r="J2635">
        <f>IF(Table13[[#This Row],[POS]]=0,1,0)</f>
        <v>0</v>
      </c>
      <c r="K2635">
        <f>SUM(Table13[[#This Row],[prefix]],Table13[[#This Row],[Past zero L]],Table13[[#This Row],[Past Zero R]],Table13[[#This Row],[Is Zero]])</f>
        <v>0</v>
      </c>
    </row>
    <row r="2636" spans="1:11" ht="16" x14ac:dyDescent="0.2">
      <c r="A2636" s="1" t="s">
        <v>638</v>
      </c>
      <c r="B2636" t="str">
        <f>LEFT(Table13[[#This Row],[Input]],1)</f>
        <v>L</v>
      </c>
      <c r="C2636">
        <f>_xlfn.LET(_xlpm.steps,SUBSTITUTE(Table13[[#This Row],[Input]],Table13[[#This Row],[Direction]],""),VALUE(IF(LEN(_xlpm.steps)&gt;2,RIGHT(_xlpm.steps,2),_xlpm.steps)))</f>
        <v>91</v>
      </c>
      <c r="D2636">
        <f>_xlfn.LET(_xlpm.steps,SUBSTITUTE(Table13[[#This Row],[Input]],Table13[[#This Row],[Direction]],""),VALUE(IF(LEN(_xlpm.steps)&gt;2,LEFT(_xlpm.steps,LEN(_xlpm.steps)-2),0)))</f>
        <v>4</v>
      </c>
      <c r="E2636">
        <f>_xlfn.LET(_xlpm.dir,Table13[[#This Row],[Direction]],
IF(_xlpm.dir="L",
    IF(G2635-Table13[[#This Row],[Steps]]&lt;0,100+(G2635-Table13[[#This Row],[Steps]]),G2635-Table13[[#This Row],[Steps]]),
))</f>
        <v>19</v>
      </c>
      <c r="F2636">
        <f>_xlfn.LET(_xlpm.dir,Table13[[#This Row],[Direction]],
IF(_xlpm.dir="R",
    IF(G2635+Table13[[#This Row],[Steps]]&gt;99,(G2635+Table13[[#This Row],[Steps]])-100,G2635+Table13[[#This Row],[Steps]]),
))</f>
        <v>0</v>
      </c>
      <c r="G2636">
        <f>IF(Table13[[#This Row],[New Pos L]]&lt;&gt;0,Table13[[#This Row],[New Pos L]],Table13[[#This Row],[New Pos R]])</f>
        <v>19</v>
      </c>
      <c r="H2636">
        <f>IF(AND(Table13[[#This Row],[Direction]]="L",Table13[[#This Row],[Steps]]&gt;G2635,G2635&lt;&gt;0),1,0)</f>
        <v>1</v>
      </c>
      <c r="I2636">
        <f>IF(AND(Table13[[#This Row],[Direction]]="R",(G2635+Table13[[#This Row],[Steps]])&gt;100),1,0)</f>
        <v>0</v>
      </c>
      <c r="J2636">
        <f>IF(Table13[[#This Row],[POS]]=0,1,0)</f>
        <v>0</v>
      </c>
      <c r="K2636">
        <f>SUM(Table13[[#This Row],[prefix]],Table13[[#This Row],[Past zero L]],Table13[[#This Row],[Past Zero R]],Table13[[#This Row],[Is Zero]])</f>
        <v>5</v>
      </c>
    </row>
    <row r="2637" spans="1:11" ht="16" x14ac:dyDescent="0.2">
      <c r="A2637" s="1" t="s">
        <v>183</v>
      </c>
      <c r="B2637" t="str">
        <f>LEFT(Table13[[#This Row],[Input]],1)</f>
        <v>L</v>
      </c>
      <c r="C2637">
        <f>_xlfn.LET(_xlpm.steps,SUBSTITUTE(Table13[[#This Row],[Input]],Table13[[#This Row],[Direction]],""),VALUE(IF(LEN(_xlpm.steps)&gt;2,RIGHT(_xlpm.steps,2),_xlpm.steps)))</f>
        <v>67</v>
      </c>
      <c r="D2637">
        <f>_xlfn.LET(_xlpm.steps,SUBSTITUTE(Table13[[#This Row],[Input]],Table13[[#This Row],[Direction]],""),VALUE(IF(LEN(_xlpm.steps)&gt;2,LEFT(_xlpm.steps,LEN(_xlpm.steps)-2),0)))</f>
        <v>0</v>
      </c>
      <c r="E2637">
        <f>_xlfn.LET(_xlpm.dir,Table13[[#This Row],[Direction]],
IF(_xlpm.dir="L",
    IF(G2636-Table13[[#This Row],[Steps]]&lt;0,100+(G2636-Table13[[#This Row],[Steps]]),G2636-Table13[[#This Row],[Steps]]),
))</f>
        <v>52</v>
      </c>
      <c r="F2637">
        <f>_xlfn.LET(_xlpm.dir,Table13[[#This Row],[Direction]],
IF(_xlpm.dir="R",
    IF(G2636+Table13[[#This Row],[Steps]]&gt;99,(G2636+Table13[[#This Row],[Steps]])-100,G2636+Table13[[#This Row],[Steps]]),
))</f>
        <v>0</v>
      </c>
      <c r="G2637">
        <f>IF(Table13[[#This Row],[New Pos L]]&lt;&gt;0,Table13[[#This Row],[New Pos L]],Table13[[#This Row],[New Pos R]])</f>
        <v>52</v>
      </c>
      <c r="H2637">
        <f>IF(AND(Table13[[#This Row],[Direction]]="L",Table13[[#This Row],[Steps]]&gt;G2636,G2636&lt;&gt;0),1,0)</f>
        <v>1</v>
      </c>
      <c r="I2637">
        <f>IF(AND(Table13[[#This Row],[Direction]]="R",(G2636+Table13[[#This Row],[Steps]])&gt;100),1,0)</f>
        <v>0</v>
      </c>
      <c r="J2637">
        <f>IF(Table13[[#This Row],[POS]]=0,1,0)</f>
        <v>0</v>
      </c>
      <c r="K2637">
        <f>SUM(Table13[[#This Row],[prefix]],Table13[[#This Row],[Past zero L]],Table13[[#This Row],[Past Zero R]],Table13[[#This Row],[Is Zero]])</f>
        <v>1</v>
      </c>
    </row>
    <row r="2638" spans="1:11" ht="16" x14ac:dyDescent="0.2">
      <c r="A2638" s="1" t="s">
        <v>174</v>
      </c>
      <c r="B2638" t="str">
        <f>LEFT(Table13[[#This Row],[Input]],1)</f>
        <v>L</v>
      </c>
      <c r="C2638">
        <f>_xlfn.LET(_xlpm.steps,SUBSTITUTE(Table13[[#This Row],[Input]],Table13[[#This Row],[Direction]],""),VALUE(IF(LEN(_xlpm.steps)&gt;2,RIGHT(_xlpm.steps,2),_xlpm.steps)))</f>
        <v>92</v>
      </c>
      <c r="D2638">
        <f>_xlfn.LET(_xlpm.steps,SUBSTITUTE(Table13[[#This Row],[Input]],Table13[[#This Row],[Direction]],""),VALUE(IF(LEN(_xlpm.steps)&gt;2,LEFT(_xlpm.steps,LEN(_xlpm.steps)-2),0)))</f>
        <v>0</v>
      </c>
      <c r="E2638">
        <f>_xlfn.LET(_xlpm.dir,Table13[[#This Row],[Direction]],
IF(_xlpm.dir="L",
    IF(G2637-Table13[[#This Row],[Steps]]&lt;0,100+(G2637-Table13[[#This Row],[Steps]]),G2637-Table13[[#This Row],[Steps]]),
))</f>
        <v>60</v>
      </c>
      <c r="F2638">
        <f>_xlfn.LET(_xlpm.dir,Table13[[#This Row],[Direction]],
IF(_xlpm.dir="R",
    IF(G2637+Table13[[#This Row],[Steps]]&gt;99,(G2637+Table13[[#This Row],[Steps]])-100,G2637+Table13[[#This Row],[Steps]]),
))</f>
        <v>0</v>
      </c>
      <c r="G2638">
        <f>IF(Table13[[#This Row],[New Pos L]]&lt;&gt;0,Table13[[#This Row],[New Pos L]],Table13[[#This Row],[New Pos R]])</f>
        <v>60</v>
      </c>
      <c r="H2638">
        <f>IF(AND(Table13[[#This Row],[Direction]]="L",Table13[[#This Row],[Steps]]&gt;G2637,G2637&lt;&gt;0),1,0)</f>
        <v>1</v>
      </c>
      <c r="I2638">
        <f>IF(AND(Table13[[#This Row],[Direction]]="R",(G2637+Table13[[#This Row],[Steps]])&gt;100),1,0)</f>
        <v>0</v>
      </c>
      <c r="J2638">
        <f>IF(Table13[[#This Row],[POS]]=0,1,0)</f>
        <v>0</v>
      </c>
      <c r="K2638">
        <f>SUM(Table13[[#This Row],[prefix]],Table13[[#This Row],[Past zero L]],Table13[[#This Row],[Past Zero R]],Table13[[#This Row],[Is Zero]])</f>
        <v>1</v>
      </c>
    </row>
    <row r="2639" spans="1:11" ht="16" x14ac:dyDescent="0.2">
      <c r="A2639" s="1" t="s">
        <v>276</v>
      </c>
      <c r="B2639" t="str">
        <f>LEFT(Table13[[#This Row],[Input]],1)</f>
        <v>L</v>
      </c>
      <c r="C2639">
        <f>_xlfn.LET(_xlpm.steps,SUBSTITUTE(Table13[[#This Row],[Input]],Table13[[#This Row],[Direction]],""),VALUE(IF(LEN(_xlpm.steps)&gt;2,RIGHT(_xlpm.steps,2),_xlpm.steps)))</f>
        <v>60</v>
      </c>
      <c r="D2639">
        <f>_xlfn.LET(_xlpm.steps,SUBSTITUTE(Table13[[#This Row],[Input]],Table13[[#This Row],[Direction]],""),VALUE(IF(LEN(_xlpm.steps)&gt;2,LEFT(_xlpm.steps,LEN(_xlpm.steps)-2),0)))</f>
        <v>0</v>
      </c>
      <c r="E2639">
        <f>_xlfn.LET(_xlpm.dir,Table13[[#This Row],[Direction]],
IF(_xlpm.dir="L",
    IF(G2638-Table13[[#This Row],[Steps]]&lt;0,100+(G2638-Table13[[#This Row],[Steps]]),G2638-Table13[[#This Row],[Steps]]),
))</f>
        <v>0</v>
      </c>
      <c r="F2639">
        <f>_xlfn.LET(_xlpm.dir,Table13[[#This Row],[Direction]],
IF(_xlpm.dir="R",
    IF(G2638+Table13[[#This Row],[Steps]]&gt;99,(G2638+Table13[[#This Row],[Steps]])-100,G2638+Table13[[#This Row],[Steps]]),
))</f>
        <v>0</v>
      </c>
      <c r="G2639">
        <f>IF(Table13[[#This Row],[New Pos L]]&lt;&gt;0,Table13[[#This Row],[New Pos L]],Table13[[#This Row],[New Pos R]])</f>
        <v>0</v>
      </c>
      <c r="H2639">
        <f>IF(AND(Table13[[#This Row],[Direction]]="L",Table13[[#This Row],[Steps]]&gt;G2638,G2638&lt;&gt;0),1,0)</f>
        <v>0</v>
      </c>
      <c r="I2639">
        <f>IF(AND(Table13[[#This Row],[Direction]]="R",(G2638+Table13[[#This Row],[Steps]])&gt;100),1,0)</f>
        <v>0</v>
      </c>
      <c r="J2639">
        <f>IF(Table13[[#This Row],[POS]]=0,1,0)</f>
        <v>1</v>
      </c>
      <c r="K2639">
        <f>SUM(Table13[[#This Row],[prefix]],Table13[[#This Row],[Past zero L]],Table13[[#This Row],[Past Zero R]],Table13[[#This Row],[Is Zero]])</f>
        <v>1</v>
      </c>
    </row>
    <row r="2640" spans="1:11" ht="16" x14ac:dyDescent="0.2">
      <c r="A2640" s="1" t="s">
        <v>304</v>
      </c>
      <c r="B2640" t="str">
        <f>LEFT(Table13[[#This Row],[Input]],1)</f>
        <v>L</v>
      </c>
      <c r="C2640">
        <f>_xlfn.LET(_xlpm.steps,SUBSTITUTE(Table13[[#This Row],[Input]],Table13[[#This Row],[Direction]],""),VALUE(IF(LEN(_xlpm.steps)&gt;2,RIGHT(_xlpm.steps,2),_xlpm.steps)))</f>
        <v>26</v>
      </c>
      <c r="D2640">
        <f>_xlfn.LET(_xlpm.steps,SUBSTITUTE(Table13[[#This Row],[Input]],Table13[[#This Row],[Direction]],""),VALUE(IF(LEN(_xlpm.steps)&gt;2,LEFT(_xlpm.steps,LEN(_xlpm.steps)-2),0)))</f>
        <v>0</v>
      </c>
      <c r="E2640">
        <f>_xlfn.LET(_xlpm.dir,Table13[[#This Row],[Direction]],
IF(_xlpm.dir="L",
    IF(G2639-Table13[[#This Row],[Steps]]&lt;0,100+(G2639-Table13[[#This Row],[Steps]]),G2639-Table13[[#This Row],[Steps]]),
))</f>
        <v>74</v>
      </c>
      <c r="F2640">
        <f>_xlfn.LET(_xlpm.dir,Table13[[#This Row],[Direction]],
IF(_xlpm.dir="R",
    IF(G2639+Table13[[#This Row],[Steps]]&gt;99,(G2639+Table13[[#This Row],[Steps]])-100,G2639+Table13[[#This Row],[Steps]]),
))</f>
        <v>0</v>
      </c>
      <c r="G2640">
        <f>IF(Table13[[#This Row],[New Pos L]]&lt;&gt;0,Table13[[#This Row],[New Pos L]],Table13[[#This Row],[New Pos R]])</f>
        <v>74</v>
      </c>
      <c r="H2640">
        <f>IF(AND(Table13[[#This Row],[Direction]]="L",Table13[[#This Row],[Steps]]&gt;G2639,G2639&lt;&gt;0),1,0)</f>
        <v>0</v>
      </c>
      <c r="I2640">
        <f>IF(AND(Table13[[#This Row],[Direction]]="R",(G2639+Table13[[#This Row],[Steps]])&gt;100),1,0)</f>
        <v>0</v>
      </c>
      <c r="J2640">
        <f>IF(Table13[[#This Row],[POS]]=0,1,0)</f>
        <v>0</v>
      </c>
      <c r="K2640">
        <f>SUM(Table13[[#This Row],[prefix]],Table13[[#This Row],[Past zero L]],Table13[[#This Row],[Past Zero R]],Table13[[#This Row],[Is Zero]])</f>
        <v>0</v>
      </c>
    </row>
    <row r="2641" spans="1:11" ht="16" x14ac:dyDescent="0.2">
      <c r="A2641" s="1" t="s">
        <v>3</v>
      </c>
      <c r="B2641" t="str">
        <f>LEFT(Table13[[#This Row],[Input]],1)</f>
        <v>R</v>
      </c>
      <c r="C2641">
        <f>_xlfn.LET(_xlpm.steps,SUBSTITUTE(Table13[[#This Row],[Input]],Table13[[#This Row],[Direction]],""),VALUE(IF(LEN(_xlpm.steps)&gt;2,RIGHT(_xlpm.steps,2),_xlpm.steps)))</f>
        <v>44</v>
      </c>
      <c r="D2641">
        <f>_xlfn.LET(_xlpm.steps,SUBSTITUTE(Table13[[#This Row],[Input]],Table13[[#This Row],[Direction]],""),VALUE(IF(LEN(_xlpm.steps)&gt;2,LEFT(_xlpm.steps,LEN(_xlpm.steps)-2),0)))</f>
        <v>0</v>
      </c>
      <c r="E2641">
        <f>_xlfn.LET(_xlpm.dir,Table13[[#This Row],[Direction]],
IF(_xlpm.dir="L",
    IF(G2640-Table13[[#This Row],[Steps]]&lt;0,100+(G2640-Table13[[#This Row],[Steps]]),G2640-Table13[[#This Row],[Steps]]),
))</f>
        <v>0</v>
      </c>
      <c r="F2641">
        <f>_xlfn.LET(_xlpm.dir,Table13[[#This Row],[Direction]],
IF(_xlpm.dir="R",
    IF(G2640+Table13[[#This Row],[Steps]]&gt;99,(G2640+Table13[[#This Row],[Steps]])-100,G2640+Table13[[#This Row],[Steps]]),
))</f>
        <v>18</v>
      </c>
      <c r="G2641">
        <f>IF(Table13[[#This Row],[New Pos L]]&lt;&gt;0,Table13[[#This Row],[New Pos L]],Table13[[#This Row],[New Pos R]])</f>
        <v>18</v>
      </c>
      <c r="H2641">
        <f>IF(AND(Table13[[#This Row],[Direction]]="L",Table13[[#This Row],[Steps]]&gt;G2640,G2640&lt;&gt;0),1,0)</f>
        <v>0</v>
      </c>
      <c r="I2641">
        <f>IF(AND(Table13[[#This Row],[Direction]]="R",(G2640+Table13[[#This Row],[Steps]])&gt;100),1,0)</f>
        <v>1</v>
      </c>
      <c r="J2641">
        <f>IF(Table13[[#This Row],[POS]]=0,1,0)</f>
        <v>0</v>
      </c>
      <c r="K2641">
        <f>SUM(Table13[[#This Row],[prefix]],Table13[[#This Row],[Past zero L]],Table13[[#This Row],[Past Zero R]],Table13[[#This Row],[Is Zero]])</f>
        <v>1</v>
      </c>
    </row>
    <row r="2642" spans="1:11" ht="16" x14ac:dyDescent="0.2">
      <c r="A2642" s="1" t="s">
        <v>69</v>
      </c>
      <c r="B2642" t="str">
        <f>LEFT(Table13[[#This Row],[Input]],1)</f>
        <v>R</v>
      </c>
      <c r="C2642">
        <f>_xlfn.LET(_xlpm.steps,SUBSTITUTE(Table13[[#This Row],[Input]],Table13[[#This Row],[Direction]],""),VALUE(IF(LEN(_xlpm.steps)&gt;2,RIGHT(_xlpm.steps,2),_xlpm.steps)))</f>
        <v>27</v>
      </c>
      <c r="D2642">
        <f>_xlfn.LET(_xlpm.steps,SUBSTITUTE(Table13[[#This Row],[Input]],Table13[[#This Row],[Direction]],""),VALUE(IF(LEN(_xlpm.steps)&gt;2,LEFT(_xlpm.steps,LEN(_xlpm.steps)-2),0)))</f>
        <v>0</v>
      </c>
      <c r="E2642">
        <f>_xlfn.LET(_xlpm.dir,Table13[[#This Row],[Direction]],
IF(_xlpm.dir="L",
    IF(G2641-Table13[[#This Row],[Steps]]&lt;0,100+(G2641-Table13[[#This Row],[Steps]]),G2641-Table13[[#This Row],[Steps]]),
))</f>
        <v>0</v>
      </c>
      <c r="F2642">
        <f>_xlfn.LET(_xlpm.dir,Table13[[#This Row],[Direction]],
IF(_xlpm.dir="R",
    IF(G2641+Table13[[#This Row],[Steps]]&gt;99,(G2641+Table13[[#This Row],[Steps]])-100,G2641+Table13[[#This Row],[Steps]]),
))</f>
        <v>45</v>
      </c>
      <c r="G2642">
        <f>IF(Table13[[#This Row],[New Pos L]]&lt;&gt;0,Table13[[#This Row],[New Pos L]],Table13[[#This Row],[New Pos R]])</f>
        <v>45</v>
      </c>
      <c r="H2642">
        <f>IF(AND(Table13[[#This Row],[Direction]]="L",Table13[[#This Row],[Steps]]&gt;G2641,G2641&lt;&gt;0),1,0)</f>
        <v>0</v>
      </c>
      <c r="I2642">
        <f>IF(AND(Table13[[#This Row],[Direction]]="R",(G2641+Table13[[#This Row],[Steps]])&gt;100),1,0)</f>
        <v>0</v>
      </c>
      <c r="J2642">
        <f>IF(Table13[[#This Row],[POS]]=0,1,0)</f>
        <v>0</v>
      </c>
      <c r="K2642">
        <f>SUM(Table13[[#This Row],[prefix]],Table13[[#This Row],[Past zero L]],Table13[[#This Row],[Past Zero R]],Table13[[#This Row],[Is Zero]])</f>
        <v>0</v>
      </c>
    </row>
    <row r="2643" spans="1:11" ht="16" x14ac:dyDescent="0.2">
      <c r="A2643" s="1" t="s">
        <v>165</v>
      </c>
      <c r="B2643" t="str">
        <f>LEFT(Table13[[#This Row],[Input]],1)</f>
        <v>R</v>
      </c>
      <c r="C2643">
        <f>_xlfn.LET(_xlpm.steps,SUBSTITUTE(Table13[[#This Row],[Input]],Table13[[#This Row],[Direction]],""),VALUE(IF(LEN(_xlpm.steps)&gt;2,RIGHT(_xlpm.steps,2),_xlpm.steps)))</f>
        <v>55</v>
      </c>
      <c r="D2643">
        <f>_xlfn.LET(_xlpm.steps,SUBSTITUTE(Table13[[#This Row],[Input]],Table13[[#This Row],[Direction]],""),VALUE(IF(LEN(_xlpm.steps)&gt;2,LEFT(_xlpm.steps,LEN(_xlpm.steps)-2),0)))</f>
        <v>0</v>
      </c>
      <c r="E2643">
        <f>_xlfn.LET(_xlpm.dir,Table13[[#This Row],[Direction]],
IF(_xlpm.dir="L",
    IF(G2642-Table13[[#This Row],[Steps]]&lt;0,100+(G2642-Table13[[#This Row],[Steps]]),G2642-Table13[[#This Row],[Steps]]),
))</f>
        <v>0</v>
      </c>
      <c r="F2643">
        <f>_xlfn.LET(_xlpm.dir,Table13[[#This Row],[Direction]],
IF(_xlpm.dir="R",
    IF(G2642+Table13[[#This Row],[Steps]]&gt;99,(G2642+Table13[[#This Row],[Steps]])-100,G2642+Table13[[#This Row],[Steps]]),
))</f>
        <v>0</v>
      </c>
      <c r="G2643">
        <f>IF(Table13[[#This Row],[New Pos L]]&lt;&gt;0,Table13[[#This Row],[New Pos L]],Table13[[#This Row],[New Pos R]])</f>
        <v>0</v>
      </c>
      <c r="H2643">
        <f>IF(AND(Table13[[#This Row],[Direction]]="L",Table13[[#This Row],[Steps]]&gt;G2642,G2642&lt;&gt;0),1,0)</f>
        <v>0</v>
      </c>
      <c r="I2643">
        <f>IF(AND(Table13[[#This Row],[Direction]]="R",(G2642+Table13[[#This Row],[Steps]])&gt;100),1,0)</f>
        <v>0</v>
      </c>
      <c r="J2643">
        <f>IF(Table13[[#This Row],[POS]]=0,1,0)</f>
        <v>1</v>
      </c>
      <c r="K2643">
        <f>SUM(Table13[[#This Row],[prefix]],Table13[[#This Row],[Past zero L]],Table13[[#This Row],[Past Zero R]],Table13[[#This Row],[Is Zero]])</f>
        <v>1</v>
      </c>
    </row>
    <row r="2644" spans="1:11" ht="16" x14ac:dyDescent="0.2">
      <c r="A2644" s="1" t="s">
        <v>216</v>
      </c>
      <c r="B2644" t="str">
        <f>LEFT(Table13[[#This Row],[Input]],1)</f>
        <v>R</v>
      </c>
      <c r="C2644">
        <f>_xlfn.LET(_xlpm.steps,SUBSTITUTE(Table13[[#This Row],[Input]],Table13[[#This Row],[Direction]],""),VALUE(IF(LEN(_xlpm.steps)&gt;2,RIGHT(_xlpm.steps,2),_xlpm.steps)))</f>
        <v>54</v>
      </c>
      <c r="D2644">
        <f>_xlfn.LET(_xlpm.steps,SUBSTITUTE(Table13[[#This Row],[Input]],Table13[[#This Row],[Direction]],""),VALUE(IF(LEN(_xlpm.steps)&gt;2,LEFT(_xlpm.steps,LEN(_xlpm.steps)-2),0)))</f>
        <v>0</v>
      </c>
      <c r="E2644">
        <f>_xlfn.LET(_xlpm.dir,Table13[[#This Row],[Direction]],
IF(_xlpm.dir="L",
    IF(G2643-Table13[[#This Row],[Steps]]&lt;0,100+(G2643-Table13[[#This Row],[Steps]]),G2643-Table13[[#This Row],[Steps]]),
))</f>
        <v>0</v>
      </c>
      <c r="F2644">
        <f>_xlfn.LET(_xlpm.dir,Table13[[#This Row],[Direction]],
IF(_xlpm.dir="R",
    IF(G2643+Table13[[#This Row],[Steps]]&gt;99,(G2643+Table13[[#This Row],[Steps]])-100,G2643+Table13[[#This Row],[Steps]]),
))</f>
        <v>54</v>
      </c>
      <c r="G2644">
        <f>IF(Table13[[#This Row],[New Pos L]]&lt;&gt;0,Table13[[#This Row],[New Pos L]],Table13[[#This Row],[New Pos R]])</f>
        <v>54</v>
      </c>
      <c r="H2644">
        <f>IF(AND(Table13[[#This Row],[Direction]]="L",Table13[[#This Row],[Steps]]&gt;G2643,G2643&lt;&gt;0),1,0)</f>
        <v>0</v>
      </c>
      <c r="I2644">
        <f>IF(AND(Table13[[#This Row],[Direction]]="R",(G2643+Table13[[#This Row],[Steps]])&gt;100),1,0)</f>
        <v>0</v>
      </c>
      <c r="J2644">
        <f>IF(Table13[[#This Row],[POS]]=0,1,0)</f>
        <v>0</v>
      </c>
      <c r="K2644">
        <f>SUM(Table13[[#This Row],[prefix]],Table13[[#This Row],[Past zero L]],Table13[[#This Row],[Past Zero R]],Table13[[#This Row],[Is Zero]])</f>
        <v>0</v>
      </c>
    </row>
    <row r="2645" spans="1:11" ht="16" x14ac:dyDescent="0.2">
      <c r="A2645" s="1" t="s">
        <v>4</v>
      </c>
      <c r="B2645" t="str">
        <f>LEFT(Table13[[#This Row],[Input]],1)</f>
        <v>R</v>
      </c>
      <c r="C2645">
        <f>_xlfn.LET(_xlpm.steps,SUBSTITUTE(Table13[[#This Row],[Input]],Table13[[#This Row],[Direction]],""),VALUE(IF(LEN(_xlpm.steps)&gt;2,RIGHT(_xlpm.steps,2),_xlpm.steps)))</f>
        <v>3</v>
      </c>
      <c r="D2645">
        <f>_xlfn.LET(_xlpm.steps,SUBSTITUTE(Table13[[#This Row],[Input]],Table13[[#This Row],[Direction]],""),VALUE(IF(LEN(_xlpm.steps)&gt;2,LEFT(_xlpm.steps,LEN(_xlpm.steps)-2),0)))</f>
        <v>0</v>
      </c>
      <c r="E2645">
        <f>_xlfn.LET(_xlpm.dir,Table13[[#This Row],[Direction]],
IF(_xlpm.dir="L",
    IF(G2644-Table13[[#This Row],[Steps]]&lt;0,100+(G2644-Table13[[#This Row],[Steps]]),G2644-Table13[[#This Row],[Steps]]),
))</f>
        <v>0</v>
      </c>
      <c r="F2645">
        <f>_xlfn.LET(_xlpm.dir,Table13[[#This Row],[Direction]],
IF(_xlpm.dir="R",
    IF(G2644+Table13[[#This Row],[Steps]]&gt;99,(G2644+Table13[[#This Row],[Steps]])-100,G2644+Table13[[#This Row],[Steps]]),
))</f>
        <v>57</v>
      </c>
      <c r="G2645">
        <f>IF(Table13[[#This Row],[New Pos L]]&lt;&gt;0,Table13[[#This Row],[New Pos L]],Table13[[#This Row],[New Pos R]])</f>
        <v>57</v>
      </c>
      <c r="H2645">
        <f>IF(AND(Table13[[#This Row],[Direction]]="L",Table13[[#This Row],[Steps]]&gt;G2644,G2644&lt;&gt;0),1,0)</f>
        <v>0</v>
      </c>
      <c r="I2645">
        <f>IF(AND(Table13[[#This Row],[Direction]]="R",(G2644+Table13[[#This Row],[Steps]])&gt;100),1,0)</f>
        <v>0</v>
      </c>
      <c r="J2645">
        <f>IF(Table13[[#This Row],[POS]]=0,1,0)</f>
        <v>0</v>
      </c>
      <c r="K2645">
        <f>SUM(Table13[[#This Row],[prefix]],Table13[[#This Row],[Past zero L]],Table13[[#This Row],[Past Zero R]],Table13[[#This Row],[Is Zero]])</f>
        <v>0</v>
      </c>
    </row>
    <row r="2646" spans="1:11" ht="16" x14ac:dyDescent="0.2">
      <c r="A2646" s="1" t="s">
        <v>344</v>
      </c>
      <c r="B2646" t="str">
        <f>LEFT(Table13[[#This Row],[Input]],1)</f>
        <v>R</v>
      </c>
      <c r="C2646">
        <f>_xlfn.LET(_xlpm.steps,SUBSTITUTE(Table13[[#This Row],[Input]],Table13[[#This Row],[Direction]],""),VALUE(IF(LEN(_xlpm.steps)&gt;2,RIGHT(_xlpm.steps,2),_xlpm.steps)))</f>
        <v>9</v>
      </c>
      <c r="D2646">
        <f>_xlfn.LET(_xlpm.steps,SUBSTITUTE(Table13[[#This Row],[Input]],Table13[[#This Row],[Direction]],""),VALUE(IF(LEN(_xlpm.steps)&gt;2,LEFT(_xlpm.steps,LEN(_xlpm.steps)-2),0)))</f>
        <v>0</v>
      </c>
      <c r="E2646">
        <f>_xlfn.LET(_xlpm.dir,Table13[[#This Row],[Direction]],
IF(_xlpm.dir="L",
    IF(G2645-Table13[[#This Row],[Steps]]&lt;0,100+(G2645-Table13[[#This Row],[Steps]]),G2645-Table13[[#This Row],[Steps]]),
))</f>
        <v>0</v>
      </c>
      <c r="F2646">
        <f>_xlfn.LET(_xlpm.dir,Table13[[#This Row],[Direction]],
IF(_xlpm.dir="R",
    IF(G2645+Table13[[#This Row],[Steps]]&gt;99,(G2645+Table13[[#This Row],[Steps]])-100,G2645+Table13[[#This Row],[Steps]]),
))</f>
        <v>66</v>
      </c>
      <c r="G2646">
        <f>IF(Table13[[#This Row],[New Pos L]]&lt;&gt;0,Table13[[#This Row],[New Pos L]],Table13[[#This Row],[New Pos R]])</f>
        <v>66</v>
      </c>
      <c r="H2646">
        <f>IF(AND(Table13[[#This Row],[Direction]]="L",Table13[[#This Row],[Steps]]&gt;G2645,G2645&lt;&gt;0),1,0)</f>
        <v>0</v>
      </c>
      <c r="I2646">
        <f>IF(AND(Table13[[#This Row],[Direction]]="R",(G2645+Table13[[#This Row],[Steps]])&gt;100),1,0)</f>
        <v>0</v>
      </c>
      <c r="J2646">
        <f>IF(Table13[[#This Row],[POS]]=0,1,0)</f>
        <v>0</v>
      </c>
      <c r="K2646">
        <f>SUM(Table13[[#This Row],[prefix]],Table13[[#This Row],[Past zero L]],Table13[[#This Row],[Past Zero R]],Table13[[#This Row],[Is Zero]])</f>
        <v>0</v>
      </c>
    </row>
    <row r="2647" spans="1:11" ht="16" x14ac:dyDescent="0.2">
      <c r="A2647" s="1" t="s">
        <v>16</v>
      </c>
      <c r="B2647" t="str">
        <f>LEFT(Table13[[#This Row],[Input]],1)</f>
        <v>L</v>
      </c>
      <c r="C2647">
        <f>_xlfn.LET(_xlpm.steps,SUBSTITUTE(Table13[[#This Row],[Input]],Table13[[#This Row],[Direction]],""),VALUE(IF(LEN(_xlpm.steps)&gt;2,RIGHT(_xlpm.steps,2),_xlpm.steps)))</f>
        <v>10</v>
      </c>
      <c r="D2647">
        <f>_xlfn.LET(_xlpm.steps,SUBSTITUTE(Table13[[#This Row],[Input]],Table13[[#This Row],[Direction]],""),VALUE(IF(LEN(_xlpm.steps)&gt;2,LEFT(_xlpm.steps,LEN(_xlpm.steps)-2),0)))</f>
        <v>0</v>
      </c>
      <c r="E2647">
        <f>_xlfn.LET(_xlpm.dir,Table13[[#This Row],[Direction]],
IF(_xlpm.dir="L",
    IF(G2646-Table13[[#This Row],[Steps]]&lt;0,100+(G2646-Table13[[#This Row],[Steps]]),G2646-Table13[[#This Row],[Steps]]),
))</f>
        <v>56</v>
      </c>
      <c r="F2647">
        <f>_xlfn.LET(_xlpm.dir,Table13[[#This Row],[Direction]],
IF(_xlpm.dir="R",
    IF(G2646+Table13[[#This Row],[Steps]]&gt;99,(G2646+Table13[[#This Row],[Steps]])-100,G2646+Table13[[#This Row],[Steps]]),
))</f>
        <v>0</v>
      </c>
      <c r="G2647">
        <f>IF(Table13[[#This Row],[New Pos L]]&lt;&gt;0,Table13[[#This Row],[New Pos L]],Table13[[#This Row],[New Pos R]])</f>
        <v>56</v>
      </c>
      <c r="H2647">
        <f>IF(AND(Table13[[#This Row],[Direction]]="L",Table13[[#This Row],[Steps]]&gt;G2646,G2646&lt;&gt;0),1,0)</f>
        <v>0</v>
      </c>
      <c r="I2647">
        <f>IF(AND(Table13[[#This Row],[Direction]]="R",(G2646+Table13[[#This Row],[Steps]])&gt;100),1,0)</f>
        <v>0</v>
      </c>
      <c r="J2647">
        <f>IF(Table13[[#This Row],[POS]]=0,1,0)</f>
        <v>0</v>
      </c>
      <c r="K2647">
        <f>SUM(Table13[[#This Row],[prefix]],Table13[[#This Row],[Past zero L]],Table13[[#This Row],[Past Zero R]],Table13[[#This Row],[Is Zero]])</f>
        <v>0</v>
      </c>
    </row>
    <row r="2648" spans="1:11" ht="16" x14ac:dyDescent="0.2">
      <c r="A2648" s="1" t="s">
        <v>3</v>
      </c>
      <c r="B2648" t="str">
        <f>LEFT(Table13[[#This Row],[Input]],1)</f>
        <v>R</v>
      </c>
      <c r="C2648">
        <f>_xlfn.LET(_xlpm.steps,SUBSTITUTE(Table13[[#This Row],[Input]],Table13[[#This Row],[Direction]],""),VALUE(IF(LEN(_xlpm.steps)&gt;2,RIGHT(_xlpm.steps,2),_xlpm.steps)))</f>
        <v>44</v>
      </c>
      <c r="D2648">
        <f>_xlfn.LET(_xlpm.steps,SUBSTITUTE(Table13[[#This Row],[Input]],Table13[[#This Row],[Direction]],""),VALUE(IF(LEN(_xlpm.steps)&gt;2,LEFT(_xlpm.steps,LEN(_xlpm.steps)-2),0)))</f>
        <v>0</v>
      </c>
      <c r="E2648">
        <f>_xlfn.LET(_xlpm.dir,Table13[[#This Row],[Direction]],
IF(_xlpm.dir="L",
    IF(G2647-Table13[[#This Row],[Steps]]&lt;0,100+(G2647-Table13[[#This Row],[Steps]]),G2647-Table13[[#This Row],[Steps]]),
))</f>
        <v>0</v>
      </c>
      <c r="F2648">
        <f>_xlfn.LET(_xlpm.dir,Table13[[#This Row],[Direction]],
IF(_xlpm.dir="R",
    IF(G2647+Table13[[#This Row],[Steps]]&gt;99,(G2647+Table13[[#This Row],[Steps]])-100,G2647+Table13[[#This Row],[Steps]]),
))</f>
        <v>0</v>
      </c>
      <c r="G2648">
        <f>IF(Table13[[#This Row],[New Pos L]]&lt;&gt;0,Table13[[#This Row],[New Pos L]],Table13[[#This Row],[New Pos R]])</f>
        <v>0</v>
      </c>
      <c r="H2648">
        <f>IF(AND(Table13[[#This Row],[Direction]]="L",Table13[[#This Row],[Steps]]&gt;G2647,G2647&lt;&gt;0),1,0)</f>
        <v>0</v>
      </c>
      <c r="I2648">
        <f>IF(AND(Table13[[#This Row],[Direction]]="R",(G2647+Table13[[#This Row],[Steps]])&gt;100),1,0)</f>
        <v>0</v>
      </c>
      <c r="J2648">
        <f>IF(Table13[[#This Row],[POS]]=0,1,0)</f>
        <v>1</v>
      </c>
      <c r="K2648">
        <f>SUM(Table13[[#This Row],[prefix]],Table13[[#This Row],[Past zero L]],Table13[[#This Row],[Past Zero R]],Table13[[#This Row],[Is Zero]])</f>
        <v>1</v>
      </c>
    </row>
    <row r="2649" spans="1:11" ht="16" x14ac:dyDescent="0.2">
      <c r="A2649" s="1" t="s">
        <v>81</v>
      </c>
      <c r="B2649" t="str">
        <f>LEFT(Table13[[#This Row],[Input]],1)</f>
        <v>R</v>
      </c>
      <c r="C2649">
        <f>_xlfn.LET(_xlpm.steps,SUBSTITUTE(Table13[[#This Row],[Input]],Table13[[#This Row],[Direction]],""),VALUE(IF(LEN(_xlpm.steps)&gt;2,RIGHT(_xlpm.steps,2),_xlpm.steps)))</f>
        <v>17</v>
      </c>
      <c r="D2649">
        <f>_xlfn.LET(_xlpm.steps,SUBSTITUTE(Table13[[#This Row],[Input]],Table13[[#This Row],[Direction]],""),VALUE(IF(LEN(_xlpm.steps)&gt;2,LEFT(_xlpm.steps,LEN(_xlpm.steps)-2),0)))</f>
        <v>0</v>
      </c>
      <c r="E2649">
        <f>_xlfn.LET(_xlpm.dir,Table13[[#This Row],[Direction]],
IF(_xlpm.dir="L",
    IF(G2648-Table13[[#This Row],[Steps]]&lt;0,100+(G2648-Table13[[#This Row],[Steps]]),G2648-Table13[[#This Row],[Steps]]),
))</f>
        <v>0</v>
      </c>
      <c r="F2649">
        <f>_xlfn.LET(_xlpm.dir,Table13[[#This Row],[Direction]],
IF(_xlpm.dir="R",
    IF(G2648+Table13[[#This Row],[Steps]]&gt;99,(G2648+Table13[[#This Row],[Steps]])-100,G2648+Table13[[#This Row],[Steps]]),
))</f>
        <v>17</v>
      </c>
      <c r="G2649">
        <f>IF(Table13[[#This Row],[New Pos L]]&lt;&gt;0,Table13[[#This Row],[New Pos L]],Table13[[#This Row],[New Pos R]])</f>
        <v>17</v>
      </c>
      <c r="H2649">
        <f>IF(AND(Table13[[#This Row],[Direction]]="L",Table13[[#This Row],[Steps]]&gt;G2648,G2648&lt;&gt;0),1,0)</f>
        <v>0</v>
      </c>
      <c r="I2649">
        <f>IF(AND(Table13[[#This Row],[Direction]]="R",(G2648+Table13[[#This Row],[Steps]])&gt;100),1,0)</f>
        <v>0</v>
      </c>
      <c r="J2649">
        <f>IF(Table13[[#This Row],[POS]]=0,1,0)</f>
        <v>0</v>
      </c>
      <c r="K2649">
        <f>SUM(Table13[[#This Row],[prefix]],Table13[[#This Row],[Past zero L]],Table13[[#This Row],[Past Zero R]],Table13[[#This Row],[Is Zero]])</f>
        <v>0</v>
      </c>
    </row>
    <row r="2650" spans="1:11" ht="16" x14ac:dyDescent="0.2">
      <c r="A2650" s="1" t="s">
        <v>462</v>
      </c>
      <c r="B2650" t="str">
        <f>LEFT(Table13[[#This Row],[Input]],1)</f>
        <v>L</v>
      </c>
      <c r="C2650">
        <f>_xlfn.LET(_xlpm.steps,SUBSTITUTE(Table13[[#This Row],[Input]],Table13[[#This Row],[Direction]],""),VALUE(IF(LEN(_xlpm.steps)&gt;2,RIGHT(_xlpm.steps,2),_xlpm.steps)))</f>
        <v>17</v>
      </c>
      <c r="D2650">
        <f>_xlfn.LET(_xlpm.steps,SUBSTITUTE(Table13[[#This Row],[Input]],Table13[[#This Row],[Direction]],""),VALUE(IF(LEN(_xlpm.steps)&gt;2,LEFT(_xlpm.steps,LEN(_xlpm.steps)-2),0)))</f>
        <v>0</v>
      </c>
      <c r="E2650">
        <f>_xlfn.LET(_xlpm.dir,Table13[[#This Row],[Direction]],
IF(_xlpm.dir="L",
    IF(G2649-Table13[[#This Row],[Steps]]&lt;0,100+(G2649-Table13[[#This Row],[Steps]]),G2649-Table13[[#This Row],[Steps]]),
))</f>
        <v>0</v>
      </c>
      <c r="F2650">
        <f>_xlfn.LET(_xlpm.dir,Table13[[#This Row],[Direction]],
IF(_xlpm.dir="R",
    IF(G2649+Table13[[#This Row],[Steps]]&gt;99,(G2649+Table13[[#This Row],[Steps]])-100,G2649+Table13[[#This Row],[Steps]]),
))</f>
        <v>0</v>
      </c>
      <c r="G2650">
        <f>IF(Table13[[#This Row],[New Pos L]]&lt;&gt;0,Table13[[#This Row],[New Pos L]],Table13[[#This Row],[New Pos R]])</f>
        <v>0</v>
      </c>
      <c r="H2650">
        <f>IF(AND(Table13[[#This Row],[Direction]]="L",Table13[[#This Row],[Steps]]&gt;G2649,G2649&lt;&gt;0),1,0)</f>
        <v>0</v>
      </c>
      <c r="I2650">
        <f>IF(AND(Table13[[#This Row],[Direction]]="R",(G2649+Table13[[#This Row],[Steps]])&gt;100),1,0)</f>
        <v>0</v>
      </c>
      <c r="J2650">
        <f>IF(Table13[[#This Row],[POS]]=0,1,0)</f>
        <v>1</v>
      </c>
      <c r="K2650">
        <f>SUM(Table13[[#This Row],[prefix]],Table13[[#This Row],[Past zero L]],Table13[[#This Row],[Past Zero R]],Table13[[#This Row],[Is Zero]])</f>
        <v>1</v>
      </c>
    </row>
    <row r="2651" spans="1:11" ht="16" x14ac:dyDescent="0.2">
      <c r="A2651" s="1" t="s">
        <v>140</v>
      </c>
      <c r="B2651" t="str">
        <f>LEFT(Table13[[#This Row],[Input]],1)</f>
        <v>L</v>
      </c>
      <c r="C2651">
        <f>_xlfn.LET(_xlpm.steps,SUBSTITUTE(Table13[[#This Row],[Input]],Table13[[#This Row],[Direction]],""),VALUE(IF(LEN(_xlpm.steps)&gt;2,RIGHT(_xlpm.steps,2),_xlpm.steps)))</f>
        <v>61</v>
      </c>
      <c r="D2651">
        <f>_xlfn.LET(_xlpm.steps,SUBSTITUTE(Table13[[#This Row],[Input]],Table13[[#This Row],[Direction]],""),VALUE(IF(LEN(_xlpm.steps)&gt;2,LEFT(_xlpm.steps,LEN(_xlpm.steps)-2),0)))</f>
        <v>0</v>
      </c>
      <c r="E2651">
        <f>_xlfn.LET(_xlpm.dir,Table13[[#This Row],[Direction]],
IF(_xlpm.dir="L",
    IF(G2650-Table13[[#This Row],[Steps]]&lt;0,100+(G2650-Table13[[#This Row],[Steps]]),G2650-Table13[[#This Row],[Steps]]),
))</f>
        <v>39</v>
      </c>
      <c r="F2651">
        <f>_xlfn.LET(_xlpm.dir,Table13[[#This Row],[Direction]],
IF(_xlpm.dir="R",
    IF(G2650+Table13[[#This Row],[Steps]]&gt;99,(G2650+Table13[[#This Row],[Steps]])-100,G2650+Table13[[#This Row],[Steps]]),
))</f>
        <v>0</v>
      </c>
      <c r="G2651">
        <f>IF(Table13[[#This Row],[New Pos L]]&lt;&gt;0,Table13[[#This Row],[New Pos L]],Table13[[#This Row],[New Pos R]])</f>
        <v>39</v>
      </c>
      <c r="H2651">
        <f>IF(AND(Table13[[#This Row],[Direction]]="L",Table13[[#This Row],[Steps]]&gt;G2650,G2650&lt;&gt;0),1,0)</f>
        <v>0</v>
      </c>
      <c r="I2651">
        <f>IF(AND(Table13[[#This Row],[Direction]]="R",(G2650+Table13[[#This Row],[Steps]])&gt;100),1,0)</f>
        <v>0</v>
      </c>
      <c r="J2651">
        <f>IF(Table13[[#This Row],[POS]]=0,1,0)</f>
        <v>0</v>
      </c>
      <c r="K2651">
        <f>SUM(Table13[[#This Row],[prefix]],Table13[[#This Row],[Past zero L]],Table13[[#This Row],[Past Zero R]],Table13[[#This Row],[Is Zero]])</f>
        <v>0</v>
      </c>
    </row>
    <row r="2652" spans="1:11" ht="16" x14ac:dyDescent="0.2">
      <c r="A2652" s="1" t="s">
        <v>185</v>
      </c>
      <c r="B2652" t="str">
        <f>LEFT(Table13[[#This Row],[Input]],1)</f>
        <v>R</v>
      </c>
      <c r="C2652">
        <f>_xlfn.LET(_xlpm.steps,SUBSTITUTE(Table13[[#This Row],[Input]],Table13[[#This Row],[Direction]],""),VALUE(IF(LEN(_xlpm.steps)&gt;2,RIGHT(_xlpm.steps,2),_xlpm.steps)))</f>
        <v>61</v>
      </c>
      <c r="D2652">
        <f>_xlfn.LET(_xlpm.steps,SUBSTITUTE(Table13[[#This Row],[Input]],Table13[[#This Row],[Direction]],""),VALUE(IF(LEN(_xlpm.steps)&gt;2,LEFT(_xlpm.steps,LEN(_xlpm.steps)-2),0)))</f>
        <v>0</v>
      </c>
      <c r="E2652">
        <f>_xlfn.LET(_xlpm.dir,Table13[[#This Row],[Direction]],
IF(_xlpm.dir="L",
    IF(G2651-Table13[[#This Row],[Steps]]&lt;0,100+(G2651-Table13[[#This Row],[Steps]]),G2651-Table13[[#This Row],[Steps]]),
))</f>
        <v>0</v>
      </c>
      <c r="F2652">
        <f>_xlfn.LET(_xlpm.dir,Table13[[#This Row],[Direction]],
IF(_xlpm.dir="R",
    IF(G2651+Table13[[#This Row],[Steps]]&gt;99,(G2651+Table13[[#This Row],[Steps]])-100,G2651+Table13[[#This Row],[Steps]]),
))</f>
        <v>0</v>
      </c>
      <c r="G2652">
        <f>IF(Table13[[#This Row],[New Pos L]]&lt;&gt;0,Table13[[#This Row],[New Pos L]],Table13[[#This Row],[New Pos R]])</f>
        <v>0</v>
      </c>
      <c r="H2652">
        <f>IF(AND(Table13[[#This Row],[Direction]]="L",Table13[[#This Row],[Steps]]&gt;G2651,G2651&lt;&gt;0),1,0)</f>
        <v>0</v>
      </c>
      <c r="I2652">
        <f>IF(AND(Table13[[#This Row],[Direction]]="R",(G2651+Table13[[#This Row],[Steps]])&gt;100),1,0)</f>
        <v>0</v>
      </c>
      <c r="J2652">
        <f>IF(Table13[[#This Row],[POS]]=0,1,0)</f>
        <v>1</v>
      </c>
      <c r="K2652">
        <f>SUM(Table13[[#This Row],[prefix]],Table13[[#This Row],[Past zero L]],Table13[[#This Row],[Past Zero R]],Table13[[#This Row],[Is Zero]])</f>
        <v>1</v>
      </c>
    </row>
    <row r="2653" spans="1:11" ht="16" x14ac:dyDescent="0.2">
      <c r="A2653" s="1" t="s">
        <v>131</v>
      </c>
      <c r="B2653" t="str">
        <f>LEFT(Table13[[#This Row],[Input]],1)</f>
        <v>R</v>
      </c>
      <c r="C2653">
        <f>_xlfn.LET(_xlpm.steps,SUBSTITUTE(Table13[[#This Row],[Input]],Table13[[#This Row],[Direction]],""),VALUE(IF(LEN(_xlpm.steps)&gt;2,RIGHT(_xlpm.steps,2),_xlpm.steps)))</f>
        <v>99</v>
      </c>
      <c r="D2653">
        <f>_xlfn.LET(_xlpm.steps,SUBSTITUTE(Table13[[#This Row],[Input]],Table13[[#This Row],[Direction]],""),VALUE(IF(LEN(_xlpm.steps)&gt;2,LEFT(_xlpm.steps,LEN(_xlpm.steps)-2),0)))</f>
        <v>0</v>
      </c>
      <c r="E2653">
        <f>_xlfn.LET(_xlpm.dir,Table13[[#This Row],[Direction]],
IF(_xlpm.dir="L",
    IF(G2652-Table13[[#This Row],[Steps]]&lt;0,100+(G2652-Table13[[#This Row],[Steps]]),G2652-Table13[[#This Row],[Steps]]),
))</f>
        <v>0</v>
      </c>
      <c r="F2653">
        <f>_xlfn.LET(_xlpm.dir,Table13[[#This Row],[Direction]],
IF(_xlpm.dir="R",
    IF(G2652+Table13[[#This Row],[Steps]]&gt;99,(G2652+Table13[[#This Row],[Steps]])-100,G2652+Table13[[#This Row],[Steps]]),
))</f>
        <v>99</v>
      </c>
      <c r="G2653">
        <f>IF(Table13[[#This Row],[New Pos L]]&lt;&gt;0,Table13[[#This Row],[New Pos L]],Table13[[#This Row],[New Pos R]])</f>
        <v>99</v>
      </c>
      <c r="H2653">
        <f>IF(AND(Table13[[#This Row],[Direction]]="L",Table13[[#This Row],[Steps]]&gt;G2652,G2652&lt;&gt;0),1,0)</f>
        <v>0</v>
      </c>
      <c r="I2653">
        <f>IF(AND(Table13[[#This Row],[Direction]]="R",(G2652+Table13[[#This Row],[Steps]])&gt;100),1,0)</f>
        <v>0</v>
      </c>
      <c r="J2653">
        <f>IF(Table13[[#This Row],[POS]]=0,1,0)</f>
        <v>0</v>
      </c>
      <c r="K2653">
        <f>SUM(Table13[[#This Row],[prefix]],Table13[[#This Row],[Past zero L]],Table13[[#This Row],[Past Zero R]],Table13[[#This Row],[Is Zero]])</f>
        <v>0</v>
      </c>
    </row>
    <row r="2654" spans="1:11" ht="16" x14ac:dyDescent="0.2">
      <c r="A2654" s="1" t="s">
        <v>71</v>
      </c>
      <c r="B2654" t="str">
        <f>LEFT(Table13[[#This Row],[Input]],1)</f>
        <v>R</v>
      </c>
      <c r="C2654">
        <f>_xlfn.LET(_xlpm.steps,SUBSTITUTE(Table13[[#This Row],[Input]],Table13[[#This Row],[Direction]],""),VALUE(IF(LEN(_xlpm.steps)&gt;2,RIGHT(_xlpm.steps,2),_xlpm.steps)))</f>
        <v>23</v>
      </c>
      <c r="D2654">
        <f>_xlfn.LET(_xlpm.steps,SUBSTITUTE(Table13[[#This Row],[Input]],Table13[[#This Row],[Direction]],""),VALUE(IF(LEN(_xlpm.steps)&gt;2,LEFT(_xlpm.steps,LEN(_xlpm.steps)-2),0)))</f>
        <v>0</v>
      </c>
      <c r="E2654">
        <f>_xlfn.LET(_xlpm.dir,Table13[[#This Row],[Direction]],
IF(_xlpm.dir="L",
    IF(G2653-Table13[[#This Row],[Steps]]&lt;0,100+(G2653-Table13[[#This Row],[Steps]]),G2653-Table13[[#This Row],[Steps]]),
))</f>
        <v>0</v>
      </c>
      <c r="F2654">
        <f>_xlfn.LET(_xlpm.dir,Table13[[#This Row],[Direction]],
IF(_xlpm.dir="R",
    IF(G2653+Table13[[#This Row],[Steps]]&gt;99,(G2653+Table13[[#This Row],[Steps]])-100,G2653+Table13[[#This Row],[Steps]]),
))</f>
        <v>22</v>
      </c>
      <c r="G2654">
        <f>IF(Table13[[#This Row],[New Pos L]]&lt;&gt;0,Table13[[#This Row],[New Pos L]],Table13[[#This Row],[New Pos R]])</f>
        <v>22</v>
      </c>
      <c r="H2654">
        <f>IF(AND(Table13[[#This Row],[Direction]]="L",Table13[[#This Row],[Steps]]&gt;G2653,G2653&lt;&gt;0),1,0)</f>
        <v>0</v>
      </c>
      <c r="I2654">
        <f>IF(AND(Table13[[#This Row],[Direction]]="R",(G2653+Table13[[#This Row],[Steps]])&gt;100),1,0)</f>
        <v>1</v>
      </c>
      <c r="J2654">
        <f>IF(Table13[[#This Row],[POS]]=0,1,0)</f>
        <v>0</v>
      </c>
      <c r="K2654">
        <f>SUM(Table13[[#This Row],[prefix]],Table13[[#This Row],[Past zero L]],Table13[[#This Row],[Past Zero R]],Table13[[#This Row],[Is Zero]])</f>
        <v>1</v>
      </c>
    </row>
    <row r="2655" spans="1:11" ht="16" x14ac:dyDescent="0.2">
      <c r="A2655" s="1" t="s">
        <v>91</v>
      </c>
      <c r="B2655" t="str">
        <f>LEFT(Table13[[#This Row],[Input]],1)</f>
        <v>L</v>
      </c>
      <c r="C2655">
        <f>_xlfn.LET(_xlpm.steps,SUBSTITUTE(Table13[[#This Row],[Input]],Table13[[#This Row],[Direction]],""),VALUE(IF(LEN(_xlpm.steps)&gt;2,RIGHT(_xlpm.steps,2),_xlpm.steps)))</f>
        <v>22</v>
      </c>
      <c r="D2655">
        <f>_xlfn.LET(_xlpm.steps,SUBSTITUTE(Table13[[#This Row],[Input]],Table13[[#This Row],[Direction]],""),VALUE(IF(LEN(_xlpm.steps)&gt;2,LEFT(_xlpm.steps,LEN(_xlpm.steps)-2),0)))</f>
        <v>0</v>
      </c>
      <c r="E2655">
        <f>_xlfn.LET(_xlpm.dir,Table13[[#This Row],[Direction]],
IF(_xlpm.dir="L",
    IF(G2654-Table13[[#This Row],[Steps]]&lt;0,100+(G2654-Table13[[#This Row],[Steps]]),G2654-Table13[[#This Row],[Steps]]),
))</f>
        <v>0</v>
      </c>
      <c r="F2655">
        <f>_xlfn.LET(_xlpm.dir,Table13[[#This Row],[Direction]],
IF(_xlpm.dir="R",
    IF(G2654+Table13[[#This Row],[Steps]]&gt;99,(G2654+Table13[[#This Row],[Steps]])-100,G2654+Table13[[#This Row],[Steps]]),
))</f>
        <v>0</v>
      </c>
      <c r="G2655">
        <f>IF(Table13[[#This Row],[New Pos L]]&lt;&gt;0,Table13[[#This Row],[New Pos L]],Table13[[#This Row],[New Pos R]])</f>
        <v>0</v>
      </c>
      <c r="H2655">
        <f>IF(AND(Table13[[#This Row],[Direction]]="L",Table13[[#This Row],[Steps]]&gt;G2654,G2654&lt;&gt;0),1,0)</f>
        <v>0</v>
      </c>
      <c r="I2655">
        <f>IF(AND(Table13[[#This Row],[Direction]]="R",(G2654+Table13[[#This Row],[Steps]])&gt;100),1,0)</f>
        <v>0</v>
      </c>
      <c r="J2655">
        <f>IF(Table13[[#This Row],[POS]]=0,1,0)</f>
        <v>1</v>
      </c>
      <c r="K2655">
        <f>SUM(Table13[[#This Row],[prefix]],Table13[[#This Row],[Past zero L]],Table13[[#This Row],[Past Zero R]],Table13[[#This Row],[Is Zero]])</f>
        <v>1</v>
      </c>
    </row>
    <row r="2656" spans="1:11" ht="16" x14ac:dyDescent="0.2">
      <c r="A2656" s="1" t="s">
        <v>26</v>
      </c>
      <c r="B2656" t="str">
        <f>LEFT(Table13[[#This Row],[Input]],1)</f>
        <v>R</v>
      </c>
      <c r="C2656">
        <f>_xlfn.LET(_xlpm.steps,SUBSTITUTE(Table13[[#This Row],[Input]],Table13[[#This Row],[Direction]],""),VALUE(IF(LEN(_xlpm.steps)&gt;2,RIGHT(_xlpm.steps,2),_xlpm.steps)))</f>
        <v>6</v>
      </c>
      <c r="D2656">
        <f>_xlfn.LET(_xlpm.steps,SUBSTITUTE(Table13[[#This Row],[Input]],Table13[[#This Row],[Direction]],""),VALUE(IF(LEN(_xlpm.steps)&gt;2,LEFT(_xlpm.steps,LEN(_xlpm.steps)-2),0)))</f>
        <v>0</v>
      </c>
      <c r="E2656">
        <f>_xlfn.LET(_xlpm.dir,Table13[[#This Row],[Direction]],
IF(_xlpm.dir="L",
    IF(G2655-Table13[[#This Row],[Steps]]&lt;0,100+(G2655-Table13[[#This Row],[Steps]]),G2655-Table13[[#This Row],[Steps]]),
))</f>
        <v>0</v>
      </c>
      <c r="F2656">
        <f>_xlfn.LET(_xlpm.dir,Table13[[#This Row],[Direction]],
IF(_xlpm.dir="R",
    IF(G2655+Table13[[#This Row],[Steps]]&gt;99,(G2655+Table13[[#This Row],[Steps]])-100,G2655+Table13[[#This Row],[Steps]]),
))</f>
        <v>6</v>
      </c>
      <c r="G2656">
        <f>IF(Table13[[#This Row],[New Pos L]]&lt;&gt;0,Table13[[#This Row],[New Pos L]],Table13[[#This Row],[New Pos R]])</f>
        <v>6</v>
      </c>
      <c r="H2656">
        <f>IF(AND(Table13[[#This Row],[Direction]]="L",Table13[[#This Row],[Steps]]&gt;G2655,G2655&lt;&gt;0),1,0)</f>
        <v>0</v>
      </c>
      <c r="I2656">
        <f>IF(AND(Table13[[#This Row],[Direction]]="R",(G2655+Table13[[#This Row],[Steps]])&gt;100),1,0)</f>
        <v>0</v>
      </c>
      <c r="J2656">
        <f>IF(Table13[[#This Row],[POS]]=0,1,0)</f>
        <v>0</v>
      </c>
      <c r="K2656">
        <f>SUM(Table13[[#This Row],[prefix]],Table13[[#This Row],[Past zero L]],Table13[[#This Row],[Past Zero R]],Table13[[#This Row],[Is Zero]])</f>
        <v>0</v>
      </c>
    </row>
    <row r="2657" spans="1:11" ht="16" x14ac:dyDescent="0.2">
      <c r="A2657" s="1" t="s">
        <v>253</v>
      </c>
      <c r="B2657" t="str">
        <f>LEFT(Table13[[#This Row],[Input]],1)</f>
        <v>R</v>
      </c>
      <c r="C2657">
        <f>_xlfn.LET(_xlpm.steps,SUBSTITUTE(Table13[[#This Row],[Input]],Table13[[#This Row],[Direction]],""),VALUE(IF(LEN(_xlpm.steps)&gt;2,RIGHT(_xlpm.steps,2),_xlpm.steps)))</f>
        <v>94</v>
      </c>
      <c r="D2657">
        <f>_xlfn.LET(_xlpm.steps,SUBSTITUTE(Table13[[#This Row],[Input]],Table13[[#This Row],[Direction]],""),VALUE(IF(LEN(_xlpm.steps)&gt;2,LEFT(_xlpm.steps,LEN(_xlpm.steps)-2),0)))</f>
        <v>0</v>
      </c>
      <c r="E2657">
        <f>_xlfn.LET(_xlpm.dir,Table13[[#This Row],[Direction]],
IF(_xlpm.dir="L",
    IF(G2656-Table13[[#This Row],[Steps]]&lt;0,100+(G2656-Table13[[#This Row],[Steps]]),G2656-Table13[[#This Row],[Steps]]),
))</f>
        <v>0</v>
      </c>
      <c r="F2657">
        <f>_xlfn.LET(_xlpm.dir,Table13[[#This Row],[Direction]],
IF(_xlpm.dir="R",
    IF(G2656+Table13[[#This Row],[Steps]]&gt;99,(G2656+Table13[[#This Row],[Steps]])-100,G2656+Table13[[#This Row],[Steps]]),
))</f>
        <v>0</v>
      </c>
      <c r="G2657">
        <f>IF(Table13[[#This Row],[New Pos L]]&lt;&gt;0,Table13[[#This Row],[New Pos L]],Table13[[#This Row],[New Pos R]])</f>
        <v>0</v>
      </c>
      <c r="H2657">
        <f>IF(AND(Table13[[#This Row],[Direction]]="L",Table13[[#This Row],[Steps]]&gt;G2656,G2656&lt;&gt;0),1,0)</f>
        <v>0</v>
      </c>
      <c r="I2657">
        <f>IF(AND(Table13[[#This Row],[Direction]]="R",(G2656+Table13[[#This Row],[Steps]])&gt;100),1,0)</f>
        <v>0</v>
      </c>
      <c r="J2657">
        <f>IF(Table13[[#This Row],[POS]]=0,1,0)</f>
        <v>1</v>
      </c>
      <c r="K2657">
        <f>SUM(Table13[[#This Row],[prefix]],Table13[[#This Row],[Past zero L]],Table13[[#This Row],[Past Zero R]],Table13[[#This Row],[Is Zero]])</f>
        <v>1</v>
      </c>
    </row>
    <row r="2658" spans="1:11" ht="16" x14ac:dyDescent="0.2">
      <c r="A2658" s="1" t="s">
        <v>132</v>
      </c>
      <c r="B2658" t="str">
        <f>LEFT(Table13[[#This Row],[Input]],1)</f>
        <v>L</v>
      </c>
      <c r="C2658">
        <f>_xlfn.LET(_xlpm.steps,SUBSTITUTE(Table13[[#This Row],[Input]],Table13[[#This Row],[Direction]],""),VALUE(IF(LEN(_xlpm.steps)&gt;2,RIGHT(_xlpm.steps,2),_xlpm.steps)))</f>
        <v>51</v>
      </c>
      <c r="D2658">
        <f>_xlfn.LET(_xlpm.steps,SUBSTITUTE(Table13[[#This Row],[Input]],Table13[[#This Row],[Direction]],""),VALUE(IF(LEN(_xlpm.steps)&gt;2,LEFT(_xlpm.steps,LEN(_xlpm.steps)-2),0)))</f>
        <v>0</v>
      </c>
      <c r="E2658">
        <f>_xlfn.LET(_xlpm.dir,Table13[[#This Row],[Direction]],
IF(_xlpm.dir="L",
    IF(G2657-Table13[[#This Row],[Steps]]&lt;0,100+(G2657-Table13[[#This Row],[Steps]]),G2657-Table13[[#This Row],[Steps]]),
))</f>
        <v>49</v>
      </c>
      <c r="F2658">
        <f>_xlfn.LET(_xlpm.dir,Table13[[#This Row],[Direction]],
IF(_xlpm.dir="R",
    IF(G2657+Table13[[#This Row],[Steps]]&gt;99,(G2657+Table13[[#This Row],[Steps]])-100,G2657+Table13[[#This Row],[Steps]]),
))</f>
        <v>0</v>
      </c>
      <c r="G2658">
        <f>IF(Table13[[#This Row],[New Pos L]]&lt;&gt;0,Table13[[#This Row],[New Pos L]],Table13[[#This Row],[New Pos R]])</f>
        <v>49</v>
      </c>
      <c r="H2658">
        <f>IF(AND(Table13[[#This Row],[Direction]]="L",Table13[[#This Row],[Steps]]&gt;G2657,G2657&lt;&gt;0),1,0)</f>
        <v>0</v>
      </c>
      <c r="I2658">
        <f>IF(AND(Table13[[#This Row],[Direction]]="R",(G2657+Table13[[#This Row],[Steps]])&gt;100),1,0)</f>
        <v>0</v>
      </c>
      <c r="J2658">
        <f>IF(Table13[[#This Row],[POS]]=0,1,0)</f>
        <v>0</v>
      </c>
      <c r="K2658">
        <f>SUM(Table13[[#This Row],[prefix]],Table13[[#This Row],[Past zero L]],Table13[[#This Row],[Past Zero R]],Table13[[#This Row],[Is Zero]])</f>
        <v>0</v>
      </c>
    </row>
    <row r="2659" spans="1:11" ht="16" x14ac:dyDescent="0.2">
      <c r="A2659" s="1" t="s">
        <v>244</v>
      </c>
      <c r="B2659" t="str">
        <f>LEFT(Table13[[#This Row],[Input]],1)</f>
        <v>L</v>
      </c>
      <c r="C2659">
        <f>_xlfn.LET(_xlpm.steps,SUBSTITUTE(Table13[[#This Row],[Input]],Table13[[#This Row],[Direction]],""),VALUE(IF(LEN(_xlpm.steps)&gt;2,RIGHT(_xlpm.steps,2),_xlpm.steps)))</f>
        <v>98</v>
      </c>
      <c r="D2659">
        <f>_xlfn.LET(_xlpm.steps,SUBSTITUTE(Table13[[#This Row],[Input]],Table13[[#This Row],[Direction]],""),VALUE(IF(LEN(_xlpm.steps)&gt;2,LEFT(_xlpm.steps,LEN(_xlpm.steps)-2),0)))</f>
        <v>0</v>
      </c>
      <c r="E2659">
        <f>_xlfn.LET(_xlpm.dir,Table13[[#This Row],[Direction]],
IF(_xlpm.dir="L",
    IF(G2658-Table13[[#This Row],[Steps]]&lt;0,100+(G2658-Table13[[#This Row],[Steps]]),G2658-Table13[[#This Row],[Steps]]),
))</f>
        <v>51</v>
      </c>
      <c r="F2659">
        <f>_xlfn.LET(_xlpm.dir,Table13[[#This Row],[Direction]],
IF(_xlpm.dir="R",
    IF(G2658+Table13[[#This Row],[Steps]]&gt;99,(G2658+Table13[[#This Row],[Steps]])-100,G2658+Table13[[#This Row],[Steps]]),
))</f>
        <v>0</v>
      </c>
      <c r="G2659">
        <f>IF(Table13[[#This Row],[New Pos L]]&lt;&gt;0,Table13[[#This Row],[New Pos L]],Table13[[#This Row],[New Pos R]])</f>
        <v>51</v>
      </c>
      <c r="H2659">
        <f>IF(AND(Table13[[#This Row],[Direction]]="L",Table13[[#This Row],[Steps]]&gt;G2658,G2658&lt;&gt;0),1,0)</f>
        <v>1</v>
      </c>
      <c r="I2659">
        <f>IF(AND(Table13[[#This Row],[Direction]]="R",(G2658+Table13[[#This Row],[Steps]])&gt;100),1,0)</f>
        <v>0</v>
      </c>
      <c r="J2659">
        <f>IF(Table13[[#This Row],[POS]]=0,1,0)</f>
        <v>0</v>
      </c>
      <c r="K2659">
        <f>SUM(Table13[[#This Row],[prefix]],Table13[[#This Row],[Past zero L]],Table13[[#This Row],[Past Zero R]],Table13[[#This Row],[Is Zero]])</f>
        <v>1</v>
      </c>
    </row>
    <row r="2660" spans="1:11" ht="16" x14ac:dyDescent="0.2">
      <c r="A2660" s="1" t="s">
        <v>40</v>
      </c>
      <c r="B2660" t="str">
        <f>LEFT(Table13[[#This Row],[Input]],1)</f>
        <v>R</v>
      </c>
      <c r="C2660">
        <f>_xlfn.LET(_xlpm.steps,SUBSTITUTE(Table13[[#This Row],[Input]],Table13[[#This Row],[Direction]],""),VALUE(IF(LEN(_xlpm.steps)&gt;2,RIGHT(_xlpm.steps,2),_xlpm.steps)))</f>
        <v>52</v>
      </c>
      <c r="D2660">
        <f>_xlfn.LET(_xlpm.steps,SUBSTITUTE(Table13[[#This Row],[Input]],Table13[[#This Row],[Direction]],""),VALUE(IF(LEN(_xlpm.steps)&gt;2,LEFT(_xlpm.steps,LEN(_xlpm.steps)-2),0)))</f>
        <v>0</v>
      </c>
      <c r="E2660">
        <f>_xlfn.LET(_xlpm.dir,Table13[[#This Row],[Direction]],
IF(_xlpm.dir="L",
    IF(G2659-Table13[[#This Row],[Steps]]&lt;0,100+(G2659-Table13[[#This Row],[Steps]]),G2659-Table13[[#This Row],[Steps]]),
))</f>
        <v>0</v>
      </c>
      <c r="F2660">
        <f>_xlfn.LET(_xlpm.dir,Table13[[#This Row],[Direction]],
IF(_xlpm.dir="R",
    IF(G2659+Table13[[#This Row],[Steps]]&gt;99,(G2659+Table13[[#This Row],[Steps]])-100,G2659+Table13[[#This Row],[Steps]]),
))</f>
        <v>3</v>
      </c>
      <c r="G2660">
        <f>IF(Table13[[#This Row],[New Pos L]]&lt;&gt;0,Table13[[#This Row],[New Pos L]],Table13[[#This Row],[New Pos R]])</f>
        <v>3</v>
      </c>
      <c r="H2660">
        <f>IF(AND(Table13[[#This Row],[Direction]]="L",Table13[[#This Row],[Steps]]&gt;G2659,G2659&lt;&gt;0),1,0)</f>
        <v>0</v>
      </c>
      <c r="I2660">
        <f>IF(AND(Table13[[#This Row],[Direction]]="R",(G2659+Table13[[#This Row],[Steps]])&gt;100),1,0)</f>
        <v>1</v>
      </c>
      <c r="J2660">
        <f>IF(Table13[[#This Row],[POS]]=0,1,0)</f>
        <v>0</v>
      </c>
      <c r="K2660">
        <f>SUM(Table13[[#This Row],[prefix]],Table13[[#This Row],[Past zero L]],Table13[[#This Row],[Past Zero R]],Table13[[#This Row],[Is Zero]])</f>
        <v>1</v>
      </c>
    </row>
    <row r="2661" spans="1:11" ht="16" x14ac:dyDescent="0.2">
      <c r="A2661" s="1" t="s">
        <v>95</v>
      </c>
      <c r="B2661" t="str">
        <f>LEFT(Table13[[#This Row],[Input]],1)</f>
        <v>L</v>
      </c>
      <c r="C2661">
        <f>_xlfn.LET(_xlpm.steps,SUBSTITUTE(Table13[[#This Row],[Input]],Table13[[#This Row],[Direction]],""),VALUE(IF(LEN(_xlpm.steps)&gt;2,RIGHT(_xlpm.steps,2),_xlpm.steps)))</f>
        <v>78</v>
      </c>
      <c r="D2661">
        <f>_xlfn.LET(_xlpm.steps,SUBSTITUTE(Table13[[#This Row],[Input]],Table13[[#This Row],[Direction]],""),VALUE(IF(LEN(_xlpm.steps)&gt;2,LEFT(_xlpm.steps,LEN(_xlpm.steps)-2),0)))</f>
        <v>0</v>
      </c>
      <c r="E2661">
        <f>_xlfn.LET(_xlpm.dir,Table13[[#This Row],[Direction]],
IF(_xlpm.dir="L",
    IF(G2660-Table13[[#This Row],[Steps]]&lt;0,100+(G2660-Table13[[#This Row],[Steps]]),G2660-Table13[[#This Row],[Steps]]),
))</f>
        <v>25</v>
      </c>
      <c r="F2661">
        <f>_xlfn.LET(_xlpm.dir,Table13[[#This Row],[Direction]],
IF(_xlpm.dir="R",
    IF(G2660+Table13[[#This Row],[Steps]]&gt;99,(G2660+Table13[[#This Row],[Steps]])-100,G2660+Table13[[#This Row],[Steps]]),
))</f>
        <v>0</v>
      </c>
      <c r="G2661">
        <f>IF(Table13[[#This Row],[New Pos L]]&lt;&gt;0,Table13[[#This Row],[New Pos L]],Table13[[#This Row],[New Pos R]])</f>
        <v>25</v>
      </c>
      <c r="H2661">
        <f>IF(AND(Table13[[#This Row],[Direction]]="L",Table13[[#This Row],[Steps]]&gt;G2660,G2660&lt;&gt;0),1,0)</f>
        <v>1</v>
      </c>
      <c r="I2661">
        <f>IF(AND(Table13[[#This Row],[Direction]]="R",(G2660+Table13[[#This Row],[Steps]])&gt;100),1,0)</f>
        <v>0</v>
      </c>
      <c r="J2661">
        <f>IF(Table13[[#This Row],[POS]]=0,1,0)</f>
        <v>0</v>
      </c>
      <c r="K2661">
        <f>SUM(Table13[[#This Row],[prefix]],Table13[[#This Row],[Past zero L]],Table13[[#This Row],[Past Zero R]],Table13[[#This Row],[Is Zero]])</f>
        <v>1</v>
      </c>
    </row>
    <row r="2662" spans="1:11" ht="16" x14ac:dyDescent="0.2">
      <c r="A2662" s="1" t="s">
        <v>51</v>
      </c>
      <c r="B2662" t="str">
        <f>LEFT(Table13[[#This Row],[Input]],1)</f>
        <v>L</v>
      </c>
      <c r="C2662">
        <f>_xlfn.LET(_xlpm.steps,SUBSTITUTE(Table13[[#This Row],[Input]],Table13[[#This Row],[Direction]],""),VALUE(IF(LEN(_xlpm.steps)&gt;2,RIGHT(_xlpm.steps,2),_xlpm.steps)))</f>
        <v>25</v>
      </c>
      <c r="D2662">
        <f>_xlfn.LET(_xlpm.steps,SUBSTITUTE(Table13[[#This Row],[Input]],Table13[[#This Row],[Direction]],""),VALUE(IF(LEN(_xlpm.steps)&gt;2,LEFT(_xlpm.steps,LEN(_xlpm.steps)-2),0)))</f>
        <v>0</v>
      </c>
      <c r="E2662">
        <f>_xlfn.LET(_xlpm.dir,Table13[[#This Row],[Direction]],
IF(_xlpm.dir="L",
    IF(G2661-Table13[[#This Row],[Steps]]&lt;0,100+(G2661-Table13[[#This Row],[Steps]]),G2661-Table13[[#This Row],[Steps]]),
))</f>
        <v>0</v>
      </c>
      <c r="F2662">
        <f>_xlfn.LET(_xlpm.dir,Table13[[#This Row],[Direction]],
IF(_xlpm.dir="R",
    IF(G2661+Table13[[#This Row],[Steps]]&gt;99,(G2661+Table13[[#This Row],[Steps]])-100,G2661+Table13[[#This Row],[Steps]]),
))</f>
        <v>0</v>
      </c>
      <c r="G2662">
        <f>IF(Table13[[#This Row],[New Pos L]]&lt;&gt;0,Table13[[#This Row],[New Pos L]],Table13[[#This Row],[New Pos R]])</f>
        <v>0</v>
      </c>
      <c r="H2662">
        <f>IF(AND(Table13[[#This Row],[Direction]]="L",Table13[[#This Row],[Steps]]&gt;G2661,G2661&lt;&gt;0),1,0)</f>
        <v>0</v>
      </c>
      <c r="I2662">
        <f>IF(AND(Table13[[#This Row],[Direction]]="R",(G2661+Table13[[#This Row],[Steps]])&gt;100),1,0)</f>
        <v>0</v>
      </c>
      <c r="J2662">
        <f>IF(Table13[[#This Row],[POS]]=0,1,0)</f>
        <v>1</v>
      </c>
      <c r="K2662">
        <f>SUM(Table13[[#This Row],[prefix]],Table13[[#This Row],[Past zero L]],Table13[[#This Row],[Past Zero R]],Table13[[#This Row],[Is Zero]])</f>
        <v>1</v>
      </c>
    </row>
    <row r="2663" spans="1:11" ht="16" x14ac:dyDescent="0.2">
      <c r="A2663" s="1" t="s">
        <v>80</v>
      </c>
      <c r="B2663" t="str">
        <f>LEFT(Table13[[#This Row],[Input]],1)</f>
        <v>L</v>
      </c>
      <c r="C2663">
        <f>_xlfn.LET(_xlpm.steps,SUBSTITUTE(Table13[[#This Row],[Input]],Table13[[#This Row],[Direction]],""),VALUE(IF(LEN(_xlpm.steps)&gt;2,RIGHT(_xlpm.steps,2),_xlpm.steps)))</f>
        <v>48</v>
      </c>
      <c r="D2663">
        <f>_xlfn.LET(_xlpm.steps,SUBSTITUTE(Table13[[#This Row],[Input]],Table13[[#This Row],[Direction]],""),VALUE(IF(LEN(_xlpm.steps)&gt;2,LEFT(_xlpm.steps,LEN(_xlpm.steps)-2),0)))</f>
        <v>0</v>
      </c>
      <c r="E2663">
        <f>_xlfn.LET(_xlpm.dir,Table13[[#This Row],[Direction]],
IF(_xlpm.dir="L",
    IF(G2662-Table13[[#This Row],[Steps]]&lt;0,100+(G2662-Table13[[#This Row],[Steps]]),G2662-Table13[[#This Row],[Steps]]),
))</f>
        <v>52</v>
      </c>
      <c r="F2663">
        <f>_xlfn.LET(_xlpm.dir,Table13[[#This Row],[Direction]],
IF(_xlpm.dir="R",
    IF(G2662+Table13[[#This Row],[Steps]]&gt;99,(G2662+Table13[[#This Row],[Steps]])-100,G2662+Table13[[#This Row],[Steps]]),
))</f>
        <v>0</v>
      </c>
      <c r="G2663">
        <f>IF(Table13[[#This Row],[New Pos L]]&lt;&gt;0,Table13[[#This Row],[New Pos L]],Table13[[#This Row],[New Pos R]])</f>
        <v>52</v>
      </c>
      <c r="H2663">
        <f>IF(AND(Table13[[#This Row],[Direction]]="L",Table13[[#This Row],[Steps]]&gt;G2662,G2662&lt;&gt;0),1,0)</f>
        <v>0</v>
      </c>
      <c r="I2663">
        <f>IF(AND(Table13[[#This Row],[Direction]]="R",(G2662+Table13[[#This Row],[Steps]])&gt;100),1,0)</f>
        <v>0</v>
      </c>
      <c r="J2663">
        <f>IF(Table13[[#This Row],[POS]]=0,1,0)</f>
        <v>0</v>
      </c>
      <c r="K2663">
        <f>SUM(Table13[[#This Row],[prefix]],Table13[[#This Row],[Past zero L]],Table13[[#This Row],[Past Zero R]],Table13[[#This Row],[Is Zero]])</f>
        <v>0</v>
      </c>
    </row>
    <row r="2664" spans="1:11" ht="16" x14ac:dyDescent="0.2">
      <c r="A2664" s="1" t="s">
        <v>27</v>
      </c>
      <c r="B2664" t="str">
        <f>LEFT(Table13[[#This Row],[Input]],1)</f>
        <v>L</v>
      </c>
      <c r="C2664">
        <f>_xlfn.LET(_xlpm.steps,SUBSTITUTE(Table13[[#This Row],[Input]],Table13[[#This Row],[Direction]],""),VALUE(IF(LEN(_xlpm.steps)&gt;2,RIGHT(_xlpm.steps,2),_xlpm.steps)))</f>
        <v>14</v>
      </c>
      <c r="D2664">
        <f>_xlfn.LET(_xlpm.steps,SUBSTITUTE(Table13[[#This Row],[Input]],Table13[[#This Row],[Direction]],""),VALUE(IF(LEN(_xlpm.steps)&gt;2,LEFT(_xlpm.steps,LEN(_xlpm.steps)-2),0)))</f>
        <v>0</v>
      </c>
      <c r="E2664">
        <f>_xlfn.LET(_xlpm.dir,Table13[[#This Row],[Direction]],
IF(_xlpm.dir="L",
    IF(G2663-Table13[[#This Row],[Steps]]&lt;0,100+(G2663-Table13[[#This Row],[Steps]]),G2663-Table13[[#This Row],[Steps]]),
))</f>
        <v>38</v>
      </c>
      <c r="F2664">
        <f>_xlfn.LET(_xlpm.dir,Table13[[#This Row],[Direction]],
IF(_xlpm.dir="R",
    IF(G2663+Table13[[#This Row],[Steps]]&gt;99,(G2663+Table13[[#This Row],[Steps]])-100,G2663+Table13[[#This Row],[Steps]]),
))</f>
        <v>0</v>
      </c>
      <c r="G2664">
        <f>IF(Table13[[#This Row],[New Pos L]]&lt;&gt;0,Table13[[#This Row],[New Pos L]],Table13[[#This Row],[New Pos R]])</f>
        <v>38</v>
      </c>
      <c r="H2664">
        <f>IF(AND(Table13[[#This Row],[Direction]]="L",Table13[[#This Row],[Steps]]&gt;G2663,G2663&lt;&gt;0),1,0)</f>
        <v>0</v>
      </c>
      <c r="I2664">
        <f>IF(AND(Table13[[#This Row],[Direction]]="R",(G2663+Table13[[#This Row],[Steps]])&gt;100),1,0)</f>
        <v>0</v>
      </c>
      <c r="J2664">
        <f>IF(Table13[[#This Row],[POS]]=0,1,0)</f>
        <v>0</v>
      </c>
      <c r="K2664">
        <f>SUM(Table13[[#This Row],[prefix]],Table13[[#This Row],[Past zero L]],Table13[[#This Row],[Past Zero R]],Table13[[#This Row],[Is Zero]])</f>
        <v>0</v>
      </c>
    </row>
    <row r="2665" spans="1:11" ht="16" x14ac:dyDescent="0.2">
      <c r="A2665" s="1" t="s">
        <v>2</v>
      </c>
      <c r="B2665" t="str">
        <f>LEFT(Table13[[#This Row],[Input]],1)</f>
        <v>L</v>
      </c>
      <c r="C2665">
        <f>_xlfn.LET(_xlpm.steps,SUBSTITUTE(Table13[[#This Row],[Input]],Table13[[#This Row],[Direction]],""),VALUE(IF(LEN(_xlpm.steps)&gt;2,RIGHT(_xlpm.steps,2),_xlpm.steps)))</f>
        <v>38</v>
      </c>
      <c r="D2665">
        <f>_xlfn.LET(_xlpm.steps,SUBSTITUTE(Table13[[#This Row],[Input]],Table13[[#This Row],[Direction]],""),VALUE(IF(LEN(_xlpm.steps)&gt;2,LEFT(_xlpm.steps,LEN(_xlpm.steps)-2),0)))</f>
        <v>0</v>
      </c>
      <c r="E2665">
        <f>_xlfn.LET(_xlpm.dir,Table13[[#This Row],[Direction]],
IF(_xlpm.dir="L",
    IF(G2664-Table13[[#This Row],[Steps]]&lt;0,100+(G2664-Table13[[#This Row],[Steps]]),G2664-Table13[[#This Row],[Steps]]),
))</f>
        <v>0</v>
      </c>
      <c r="F2665">
        <f>_xlfn.LET(_xlpm.dir,Table13[[#This Row],[Direction]],
IF(_xlpm.dir="R",
    IF(G2664+Table13[[#This Row],[Steps]]&gt;99,(G2664+Table13[[#This Row],[Steps]])-100,G2664+Table13[[#This Row],[Steps]]),
))</f>
        <v>0</v>
      </c>
      <c r="G2665">
        <f>IF(Table13[[#This Row],[New Pos L]]&lt;&gt;0,Table13[[#This Row],[New Pos L]],Table13[[#This Row],[New Pos R]])</f>
        <v>0</v>
      </c>
      <c r="H2665">
        <f>IF(AND(Table13[[#This Row],[Direction]]="L",Table13[[#This Row],[Steps]]&gt;G2664,G2664&lt;&gt;0),1,0)</f>
        <v>0</v>
      </c>
      <c r="I2665">
        <f>IF(AND(Table13[[#This Row],[Direction]]="R",(G2664+Table13[[#This Row],[Steps]])&gt;100),1,0)</f>
        <v>0</v>
      </c>
      <c r="J2665">
        <f>IF(Table13[[#This Row],[POS]]=0,1,0)</f>
        <v>1</v>
      </c>
      <c r="K2665">
        <f>SUM(Table13[[#This Row],[prefix]],Table13[[#This Row],[Past zero L]],Table13[[#This Row],[Past Zero R]],Table13[[#This Row],[Is Zero]])</f>
        <v>1</v>
      </c>
    </row>
    <row r="2666" spans="1:11" ht="16" x14ac:dyDescent="0.2">
      <c r="A2666" s="1" t="s">
        <v>13</v>
      </c>
      <c r="B2666" t="str">
        <f>LEFT(Table13[[#This Row],[Input]],1)</f>
        <v>R</v>
      </c>
      <c r="C2666">
        <f>_xlfn.LET(_xlpm.steps,SUBSTITUTE(Table13[[#This Row],[Input]],Table13[[#This Row],[Direction]],""),VALUE(IF(LEN(_xlpm.steps)&gt;2,RIGHT(_xlpm.steps,2),_xlpm.steps)))</f>
        <v>12</v>
      </c>
      <c r="D2666">
        <f>_xlfn.LET(_xlpm.steps,SUBSTITUTE(Table13[[#This Row],[Input]],Table13[[#This Row],[Direction]],""),VALUE(IF(LEN(_xlpm.steps)&gt;2,LEFT(_xlpm.steps,LEN(_xlpm.steps)-2),0)))</f>
        <v>0</v>
      </c>
      <c r="E2666">
        <f>_xlfn.LET(_xlpm.dir,Table13[[#This Row],[Direction]],
IF(_xlpm.dir="L",
    IF(G2665-Table13[[#This Row],[Steps]]&lt;0,100+(G2665-Table13[[#This Row],[Steps]]),G2665-Table13[[#This Row],[Steps]]),
))</f>
        <v>0</v>
      </c>
      <c r="F2666">
        <f>_xlfn.LET(_xlpm.dir,Table13[[#This Row],[Direction]],
IF(_xlpm.dir="R",
    IF(G2665+Table13[[#This Row],[Steps]]&gt;99,(G2665+Table13[[#This Row],[Steps]])-100,G2665+Table13[[#This Row],[Steps]]),
))</f>
        <v>12</v>
      </c>
      <c r="G2666">
        <f>IF(Table13[[#This Row],[New Pos L]]&lt;&gt;0,Table13[[#This Row],[New Pos L]],Table13[[#This Row],[New Pos R]])</f>
        <v>12</v>
      </c>
      <c r="H2666">
        <f>IF(AND(Table13[[#This Row],[Direction]]="L",Table13[[#This Row],[Steps]]&gt;G2665,G2665&lt;&gt;0),1,0)</f>
        <v>0</v>
      </c>
      <c r="I2666">
        <f>IF(AND(Table13[[#This Row],[Direction]]="R",(G2665+Table13[[#This Row],[Steps]])&gt;100),1,0)</f>
        <v>0</v>
      </c>
      <c r="J2666">
        <f>IF(Table13[[#This Row],[POS]]=0,1,0)</f>
        <v>0</v>
      </c>
      <c r="K2666">
        <f>SUM(Table13[[#This Row],[prefix]],Table13[[#This Row],[Past zero L]],Table13[[#This Row],[Past Zero R]],Table13[[#This Row],[Is Zero]])</f>
        <v>0</v>
      </c>
    </row>
    <row r="2667" spans="1:11" ht="16" x14ac:dyDescent="0.2">
      <c r="A2667" s="1" t="s">
        <v>62</v>
      </c>
      <c r="B2667" t="str">
        <f>LEFT(Table13[[#This Row],[Input]],1)</f>
        <v>L</v>
      </c>
      <c r="C2667">
        <f>_xlfn.LET(_xlpm.steps,SUBSTITUTE(Table13[[#This Row],[Input]],Table13[[#This Row],[Direction]],""),VALUE(IF(LEN(_xlpm.steps)&gt;2,RIGHT(_xlpm.steps,2),_xlpm.steps)))</f>
        <v>57</v>
      </c>
      <c r="D2667">
        <f>_xlfn.LET(_xlpm.steps,SUBSTITUTE(Table13[[#This Row],[Input]],Table13[[#This Row],[Direction]],""),VALUE(IF(LEN(_xlpm.steps)&gt;2,LEFT(_xlpm.steps,LEN(_xlpm.steps)-2),0)))</f>
        <v>0</v>
      </c>
      <c r="E2667">
        <f>_xlfn.LET(_xlpm.dir,Table13[[#This Row],[Direction]],
IF(_xlpm.dir="L",
    IF(G2666-Table13[[#This Row],[Steps]]&lt;0,100+(G2666-Table13[[#This Row],[Steps]]),G2666-Table13[[#This Row],[Steps]]),
))</f>
        <v>55</v>
      </c>
      <c r="F2667">
        <f>_xlfn.LET(_xlpm.dir,Table13[[#This Row],[Direction]],
IF(_xlpm.dir="R",
    IF(G2666+Table13[[#This Row],[Steps]]&gt;99,(G2666+Table13[[#This Row],[Steps]])-100,G2666+Table13[[#This Row],[Steps]]),
))</f>
        <v>0</v>
      </c>
      <c r="G2667">
        <f>IF(Table13[[#This Row],[New Pos L]]&lt;&gt;0,Table13[[#This Row],[New Pos L]],Table13[[#This Row],[New Pos R]])</f>
        <v>55</v>
      </c>
      <c r="H2667">
        <f>IF(AND(Table13[[#This Row],[Direction]]="L",Table13[[#This Row],[Steps]]&gt;G2666,G2666&lt;&gt;0),1,0)</f>
        <v>1</v>
      </c>
      <c r="I2667">
        <f>IF(AND(Table13[[#This Row],[Direction]]="R",(G2666+Table13[[#This Row],[Steps]])&gt;100),1,0)</f>
        <v>0</v>
      </c>
      <c r="J2667">
        <f>IF(Table13[[#This Row],[POS]]=0,1,0)</f>
        <v>0</v>
      </c>
      <c r="K2667">
        <f>SUM(Table13[[#This Row],[prefix]],Table13[[#This Row],[Past zero L]],Table13[[#This Row],[Past Zero R]],Table13[[#This Row],[Is Zero]])</f>
        <v>1</v>
      </c>
    </row>
    <row r="2668" spans="1:11" ht="16" x14ac:dyDescent="0.2">
      <c r="A2668" s="1" t="s">
        <v>66</v>
      </c>
      <c r="B2668" t="str">
        <f>LEFT(Table13[[#This Row],[Input]],1)</f>
        <v>R</v>
      </c>
      <c r="C2668">
        <f>_xlfn.LET(_xlpm.steps,SUBSTITUTE(Table13[[#This Row],[Input]],Table13[[#This Row],[Direction]],""),VALUE(IF(LEN(_xlpm.steps)&gt;2,RIGHT(_xlpm.steps,2),_xlpm.steps)))</f>
        <v>45</v>
      </c>
      <c r="D2668">
        <f>_xlfn.LET(_xlpm.steps,SUBSTITUTE(Table13[[#This Row],[Input]],Table13[[#This Row],[Direction]],""),VALUE(IF(LEN(_xlpm.steps)&gt;2,LEFT(_xlpm.steps,LEN(_xlpm.steps)-2),0)))</f>
        <v>0</v>
      </c>
      <c r="E2668">
        <f>_xlfn.LET(_xlpm.dir,Table13[[#This Row],[Direction]],
IF(_xlpm.dir="L",
    IF(G2667-Table13[[#This Row],[Steps]]&lt;0,100+(G2667-Table13[[#This Row],[Steps]]),G2667-Table13[[#This Row],[Steps]]),
))</f>
        <v>0</v>
      </c>
      <c r="F2668">
        <f>_xlfn.LET(_xlpm.dir,Table13[[#This Row],[Direction]],
IF(_xlpm.dir="R",
    IF(G2667+Table13[[#This Row],[Steps]]&gt;99,(G2667+Table13[[#This Row],[Steps]])-100,G2667+Table13[[#This Row],[Steps]]),
))</f>
        <v>0</v>
      </c>
      <c r="G2668">
        <f>IF(Table13[[#This Row],[New Pos L]]&lt;&gt;0,Table13[[#This Row],[New Pos L]],Table13[[#This Row],[New Pos R]])</f>
        <v>0</v>
      </c>
      <c r="H2668">
        <f>IF(AND(Table13[[#This Row],[Direction]]="L",Table13[[#This Row],[Steps]]&gt;G2667,G2667&lt;&gt;0),1,0)</f>
        <v>0</v>
      </c>
      <c r="I2668">
        <f>IF(AND(Table13[[#This Row],[Direction]]="R",(G2667+Table13[[#This Row],[Steps]])&gt;100),1,0)</f>
        <v>0</v>
      </c>
      <c r="J2668">
        <f>IF(Table13[[#This Row],[POS]]=0,1,0)</f>
        <v>1</v>
      </c>
      <c r="K2668">
        <f>SUM(Table13[[#This Row],[prefix]],Table13[[#This Row],[Past zero L]],Table13[[#This Row],[Past Zero R]],Table13[[#This Row],[Is Zero]])</f>
        <v>1</v>
      </c>
    </row>
    <row r="2669" spans="1:11" ht="16" x14ac:dyDescent="0.2">
      <c r="A2669" s="1" t="s">
        <v>639</v>
      </c>
      <c r="B2669" t="str">
        <f>LEFT(Table13[[#This Row],[Input]],1)</f>
        <v>L</v>
      </c>
      <c r="C2669">
        <f>_xlfn.LET(_xlpm.steps,SUBSTITUTE(Table13[[#This Row],[Input]],Table13[[#This Row],[Direction]],""),VALUE(IF(LEN(_xlpm.steps)&gt;2,RIGHT(_xlpm.steps,2),_xlpm.steps)))</f>
        <v>35</v>
      </c>
      <c r="D2669">
        <f>_xlfn.LET(_xlpm.steps,SUBSTITUTE(Table13[[#This Row],[Input]],Table13[[#This Row],[Direction]],""),VALUE(IF(LEN(_xlpm.steps)&gt;2,LEFT(_xlpm.steps,LEN(_xlpm.steps)-2),0)))</f>
        <v>3</v>
      </c>
      <c r="E2669">
        <f>_xlfn.LET(_xlpm.dir,Table13[[#This Row],[Direction]],
IF(_xlpm.dir="L",
    IF(G2668-Table13[[#This Row],[Steps]]&lt;0,100+(G2668-Table13[[#This Row],[Steps]]),G2668-Table13[[#This Row],[Steps]]),
))</f>
        <v>65</v>
      </c>
      <c r="F2669">
        <f>_xlfn.LET(_xlpm.dir,Table13[[#This Row],[Direction]],
IF(_xlpm.dir="R",
    IF(G2668+Table13[[#This Row],[Steps]]&gt;99,(G2668+Table13[[#This Row],[Steps]])-100,G2668+Table13[[#This Row],[Steps]]),
))</f>
        <v>0</v>
      </c>
      <c r="G2669">
        <f>IF(Table13[[#This Row],[New Pos L]]&lt;&gt;0,Table13[[#This Row],[New Pos L]],Table13[[#This Row],[New Pos R]])</f>
        <v>65</v>
      </c>
      <c r="H2669">
        <f>IF(AND(Table13[[#This Row],[Direction]]="L",Table13[[#This Row],[Steps]]&gt;G2668,G2668&lt;&gt;0),1,0)</f>
        <v>0</v>
      </c>
      <c r="I2669">
        <f>IF(AND(Table13[[#This Row],[Direction]]="R",(G2668+Table13[[#This Row],[Steps]])&gt;100),1,0)</f>
        <v>0</v>
      </c>
      <c r="J2669">
        <f>IF(Table13[[#This Row],[POS]]=0,1,0)</f>
        <v>0</v>
      </c>
      <c r="K2669">
        <f>SUM(Table13[[#This Row],[prefix]],Table13[[#This Row],[Past zero L]],Table13[[#This Row],[Past Zero R]],Table13[[#This Row],[Is Zero]])</f>
        <v>3</v>
      </c>
    </row>
    <row r="2670" spans="1:11" ht="16" x14ac:dyDescent="0.2">
      <c r="A2670" s="1" t="s">
        <v>40</v>
      </c>
      <c r="B2670" t="str">
        <f>LEFT(Table13[[#This Row],[Input]],1)</f>
        <v>R</v>
      </c>
      <c r="C2670">
        <f>_xlfn.LET(_xlpm.steps,SUBSTITUTE(Table13[[#This Row],[Input]],Table13[[#This Row],[Direction]],""),VALUE(IF(LEN(_xlpm.steps)&gt;2,RIGHT(_xlpm.steps,2),_xlpm.steps)))</f>
        <v>52</v>
      </c>
      <c r="D2670">
        <f>_xlfn.LET(_xlpm.steps,SUBSTITUTE(Table13[[#This Row],[Input]],Table13[[#This Row],[Direction]],""),VALUE(IF(LEN(_xlpm.steps)&gt;2,LEFT(_xlpm.steps,LEN(_xlpm.steps)-2),0)))</f>
        <v>0</v>
      </c>
      <c r="E2670">
        <f>_xlfn.LET(_xlpm.dir,Table13[[#This Row],[Direction]],
IF(_xlpm.dir="L",
    IF(G2669-Table13[[#This Row],[Steps]]&lt;0,100+(G2669-Table13[[#This Row],[Steps]]),G2669-Table13[[#This Row],[Steps]]),
))</f>
        <v>0</v>
      </c>
      <c r="F2670">
        <f>_xlfn.LET(_xlpm.dir,Table13[[#This Row],[Direction]],
IF(_xlpm.dir="R",
    IF(G2669+Table13[[#This Row],[Steps]]&gt;99,(G2669+Table13[[#This Row],[Steps]])-100,G2669+Table13[[#This Row],[Steps]]),
))</f>
        <v>17</v>
      </c>
      <c r="G2670">
        <f>IF(Table13[[#This Row],[New Pos L]]&lt;&gt;0,Table13[[#This Row],[New Pos L]],Table13[[#This Row],[New Pos R]])</f>
        <v>17</v>
      </c>
      <c r="H2670">
        <f>IF(AND(Table13[[#This Row],[Direction]]="L",Table13[[#This Row],[Steps]]&gt;G2669,G2669&lt;&gt;0),1,0)</f>
        <v>0</v>
      </c>
      <c r="I2670">
        <f>IF(AND(Table13[[#This Row],[Direction]]="R",(G2669+Table13[[#This Row],[Steps]])&gt;100),1,0)</f>
        <v>1</v>
      </c>
      <c r="J2670">
        <f>IF(Table13[[#This Row],[POS]]=0,1,0)</f>
        <v>0</v>
      </c>
      <c r="K2670">
        <f>SUM(Table13[[#This Row],[prefix]],Table13[[#This Row],[Past zero L]],Table13[[#This Row],[Past Zero R]],Table13[[#This Row],[Is Zero]])</f>
        <v>1</v>
      </c>
    </row>
    <row r="2671" spans="1:11" ht="16" x14ac:dyDescent="0.2">
      <c r="A2671" s="1" t="s">
        <v>267</v>
      </c>
      <c r="B2671" t="str">
        <f>LEFT(Table13[[#This Row],[Input]],1)</f>
        <v>L</v>
      </c>
      <c r="C2671">
        <f>_xlfn.LET(_xlpm.steps,SUBSTITUTE(Table13[[#This Row],[Input]],Table13[[#This Row],[Direction]],""),VALUE(IF(LEN(_xlpm.steps)&gt;2,RIGHT(_xlpm.steps,2),_xlpm.steps)))</f>
        <v>39</v>
      </c>
      <c r="D2671">
        <f>_xlfn.LET(_xlpm.steps,SUBSTITUTE(Table13[[#This Row],[Input]],Table13[[#This Row],[Direction]],""),VALUE(IF(LEN(_xlpm.steps)&gt;2,LEFT(_xlpm.steps,LEN(_xlpm.steps)-2),0)))</f>
        <v>0</v>
      </c>
      <c r="E2671">
        <f>_xlfn.LET(_xlpm.dir,Table13[[#This Row],[Direction]],
IF(_xlpm.dir="L",
    IF(G2670-Table13[[#This Row],[Steps]]&lt;0,100+(G2670-Table13[[#This Row],[Steps]]),G2670-Table13[[#This Row],[Steps]]),
))</f>
        <v>78</v>
      </c>
      <c r="F2671">
        <f>_xlfn.LET(_xlpm.dir,Table13[[#This Row],[Direction]],
IF(_xlpm.dir="R",
    IF(G2670+Table13[[#This Row],[Steps]]&gt;99,(G2670+Table13[[#This Row],[Steps]])-100,G2670+Table13[[#This Row],[Steps]]),
))</f>
        <v>0</v>
      </c>
      <c r="G2671">
        <f>IF(Table13[[#This Row],[New Pos L]]&lt;&gt;0,Table13[[#This Row],[New Pos L]],Table13[[#This Row],[New Pos R]])</f>
        <v>78</v>
      </c>
      <c r="H2671">
        <f>IF(AND(Table13[[#This Row],[Direction]]="L",Table13[[#This Row],[Steps]]&gt;G2670,G2670&lt;&gt;0),1,0)</f>
        <v>1</v>
      </c>
      <c r="I2671">
        <f>IF(AND(Table13[[#This Row],[Direction]]="R",(G2670+Table13[[#This Row],[Steps]])&gt;100),1,0)</f>
        <v>0</v>
      </c>
      <c r="J2671">
        <f>IF(Table13[[#This Row],[POS]]=0,1,0)</f>
        <v>0</v>
      </c>
      <c r="K2671">
        <f>SUM(Table13[[#This Row],[prefix]],Table13[[#This Row],[Past zero L]],Table13[[#This Row],[Past Zero R]],Table13[[#This Row],[Is Zero]])</f>
        <v>1</v>
      </c>
    </row>
    <row r="2672" spans="1:11" ht="16" x14ac:dyDescent="0.2">
      <c r="A2672" s="1" t="s">
        <v>640</v>
      </c>
      <c r="B2672" t="str">
        <f>LEFT(Table13[[#This Row],[Input]],1)</f>
        <v>R</v>
      </c>
      <c r="C2672">
        <f>_xlfn.LET(_xlpm.steps,SUBSTITUTE(Table13[[#This Row],[Input]],Table13[[#This Row],[Direction]],""),VALUE(IF(LEN(_xlpm.steps)&gt;2,RIGHT(_xlpm.steps,2),_xlpm.steps)))</f>
        <v>6</v>
      </c>
      <c r="D2672">
        <f>_xlfn.LET(_xlpm.steps,SUBSTITUTE(Table13[[#This Row],[Input]],Table13[[#This Row],[Direction]],""),VALUE(IF(LEN(_xlpm.steps)&gt;2,LEFT(_xlpm.steps,LEN(_xlpm.steps)-2),0)))</f>
        <v>5</v>
      </c>
      <c r="E2672">
        <f>_xlfn.LET(_xlpm.dir,Table13[[#This Row],[Direction]],
IF(_xlpm.dir="L",
    IF(G2671-Table13[[#This Row],[Steps]]&lt;0,100+(G2671-Table13[[#This Row],[Steps]]),G2671-Table13[[#This Row],[Steps]]),
))</f>
        <v>0</v>
      </c>
      <c r="F2672">
        <f>_xlfn.LET(_xlpm.dir,Table13[[#This Row],[Direction]],
IF(_xlpm.dir="R",
    IF(G2671+Table13[[#This Row],[Steps]]&gt;99,(G2671+Table13[[#This Row],[Steps]])-100,G2671+Table13[[#This Row],[Steps]]),
))</f>
        <v>84</v>
      </c>
      <c r="G2672">
        <f>IF(Table13[[#This Row],[New Pos L]]&lt;&gt;0,Table13[[#This Row],[New Pos L]],Table13[[#This Row],[New Pos R]])</f>
        <v>84</v>
      </c>
      <c r="H2672">
        <f>IF(AND(Table13[[#This Row],[Direction]]="L",Table13[[#This Row],[Steps]]&gt;G2671,G2671&lt;&gt;0),1,0)</f>
        <v>0</v>
      </c>
      <c r="I2672">
        <f>IF(AND(Table13[[#This Row],[Direction]]="R",(G2671+Table13[[#This Row],[Steps]])&gt;100),1,0)</f>
        <v>0</v>
      </c>
      <c r="J2672">
        <f>IF(Table13[[#This Row],[POS]]=0,1,0)</f>
        <v>0</v>
      </c>
      <c r="K2672">
        <f>SUM(Table13[[#This Row],[prefix]],Table13[[#This Row],[Past zero L]],Table13[[#This Row],[Past Zero R]],Table13[[#This Row],[Is Zero]])</f>
        <v>5</v>
      </c>
    </row>
    <row r="2673" spans="1:11" ht="16" x14ac:dyDescent="0.2">
      <c r="A2673" s="1" t="s">
        <v>10</v>
      </c>
      <c r="B2673" t="str">
        <f>LEFT(Table13[[#This Row],[Input]],1)</f>
        <v>L</v>
      </c>
      <c r="C2673">
        <f>_xlfn.LET(_xlpm.steps,SUBSTITUTE(Table13[[#This Row],[Input]],Table13[[#This Row],[Direction]],""),VALUE(IF(LEN(_xlpm.steps)&gt;2,RIGHT(_xlpm.steps,2),_xlpm.steps)))</f>
        <v>35</v>
      </c>
      <c r="D2673">
        <f>_xlfn.LET(_xlpm.steps,SUBSTITUTE(Table13[[#This Row],[Input]],Table13[[#This Row],[Direction]],""),VALUE(IF(LEN(_xlpm.steps)&gt;2,LEFT(_xlpm.steps,LEN(_xlpm.steps)-2),0)))</f>
        <v>0</v>
      </c>
      <c r="E2673">
        <f>_xlfn.LET(_xlpm.dir,Table13[[#This Row],[Direction]],
IF(_xlpm.dir="L",
    IF(G2672-Table13[[#This Row],[Steps]]&lt;0,100+(G2672-Table13[[#This Row],[Steps]]),G2672-Table13[[#This Row],[Steps]]),
))</f>
        <v>49</v>
      </c>
      <c r="F2673">
        <f>_xlfn.LET(_xlpm.dir,Table13[[#This Row],[Direction]],
IF(_xlpm.dir="R",
    IF(G2672+Table13[[#This Row],[Steps]]&gt;99,(G2672+Table13[[#This Row],[Steps]])-100,G2672+Table13[[#This Row],[Steps]]),
))</f>
        <v>0</v>
      </c>
      <c r="G2673">
        <f>IF(Table13[[#This Row],[New Pos L]]&lt;&gt;0,Table13[[#This Row],[New Pos L]],Table13[[#This Row],[New Pos R]])</f>
        <v>49</v>
      </c>
      <c r="H2673">
        <f>IF(AND(Table13[[#This Row],[Direction]]="L",Table13[[#This Row],[Steps]]&gt;G2672,G2672&lt;&gt;0),1,0)</f>
        <v>0</v>
      </c>
      <c r="I2673">
        <f>IF(AND(Table13[[#This Row],[Direction]]="R",(G2672+Table13[[#This Row],[Steps]])&gt;100),1,0)</f>
        <v>0</v>
      </c>
      <c r="J2673">
        <f>IF(Table13[[#This Row],[POS]]=0,1,0)</f>
        <v>0</v>
      </c>
      <c r="K2673">
        <f>SUM(Table13[[#This Row],[prefix]],Table13[[#This Row],[Past zero L]],Table13[[#This Row],[Past Zero R]],Table13[[#This Row],[Is Zero]])</f>
        <v>0</v>
      </c>
    </row>
    <row r="2674" spans="1:11" ht="16" x14ac:dyDescent="0.2">
      <c r="A2674" s="1" t="s">
        <v>194</v>
      </c>
      <c r="B2674" t="str">
        <f>LEFT(Table13[[#This Row],[Input]],1)</f>
        <v>R</v>
      </c>
      <c r="C2674">
        <f>_xlfn.LET(_xlpm.steps,SUBSTITUTE(Table13[[#This Row],[Input]],Table13[[#This Row],[Direction]],""),VALUE(IF(LEN(_xlpm.steps)&gt;2,RIGHT(_xlpm.steps,2),_xlpm.steps)))</f>
        <v>51</v>
      </c>
      <c r="D2674">
        <f>_xlfn.LET(_xlpm.steps,SUBSTITUTE(Table13[[#This Row],[Input]],Table13[[#This Row],[Direction]],""),VALUE(IF(LEN(_xlpm.steps)&gt;2,LEFT(_xlpm.steps,LEN(_xlpm.steps)-2),0)))</f>
        <v>0</v>
      </c>
      <c r="E2674">
        <f>_xlfn.LET(_xlpm.dir,Table13[[#This Row],[Direction]],
IF(_xlpm.dir="L",
    IF(G2673-Table13[[#This Row],[Steps]]&lt;0,100+(G2673-Table13[[#This Row],[Steps]]),G2673-Table13[[#This Row],[Steps]]),
))</f>
        <v>0</v>
      </c>
      <c r="F2674">
        <f>_xlfn.LET(_xlpm.dir,Table13[[#This Row],[Direction]],
IF(_xlpm.dir="R",
    IF(G2673+Table13[[#This Row],[Steps]]&gt;99,(G2673+Table13[[#This Row],[Steps]])-100,G2673+Table13[[#This Row],[Steps]]),
))</f>
        <v>0</v>
      </c>
      <c r="G2674">
        <f>IF(Table13[[#This Row],[New Pos L]]&lt;&gt;0,Table13[[#This Row],[New Pos L]],Table13[[#This Row],[New Pos R]])</f>
        <v>0</v>
      </c>
      <c r="H2674">
        <f>IF(AND(Table13[[#This Row],[Direction]]="L",Table13[[#This Row],[Steps]]&gt;G2673,G2673&lt;&gt;0),1,0)</f>
        <v>0</v>
      </c>
      <c r="I2674">
        <f>IF(AND(Table13[[#This Row],[Direction]]="R",(G2673+Table13[[#This Row],[Steps]])&gt;100),1,0)</f>
        <v>0</v>
      </c>
      <c r="J2674">
        <f>IF(Table13[[#This Row],[POS]]=0,1,0)</f>
        <v>1</v>
      </c>
      <c r="K2674">
        <f>SUM(Table13[[#This Row],[prefix]],Table13[[#This Row],[Past zero L]],Table13[[#This Row],[Past Zero R]],Table13[[#This Row],[Is Zero]])</f>
        <v>1</v>
      </c>
    </row>
    <row r="2675" spans="1:11" ht="16" x14ac:dyDescent="0.2">
      <c r="A2675" s="1" t="s">
        <v>91</v>
      </c>
      <c r="B2675" t="str">
        <f>LEFT(Table13[[#This Row],[Input]],1)</f>
        <v>L</v>
      </c>
      <c r="C2675">
        <f>_xlfn.LET(_xlpm.steps,SUBSTITUTE(Table13[[#This Row],[Input]],Table13[[#This Row],[Direction]],""),VALUE(IF(LEN(_xlpm.steps)&gt;2,RIGHT(_xlpm.steps,2),_xlpm.steps)))</f>
        <v>22</v>
      </c>
      <c r="D2675">
        <f>_xlfn.LET(_xlpm.steps,SUBSTITUTE(Table13[[#This Row],[Input]],Table13[[#This Row],[Direction]],""),VALUE(IF(LEN(_xlpm.steps)&gt;2,LEFT(_xlpm.steps,LEN(_xlpm.steps)-2),0)))</f>
        <v>0</v>
      </c>
      <c r="E2675">
        <f>_xlfn.LET(_xlpm.dir,Table13[[#This Row],[Direction]],
IF(_xlpm.dir="L",
    IF(G2674-Table13[[#This Row],[Steps]]&lt;0,100+(G2674-Table13[[#This Row],[Steps]]),G2674-Table13[[#This Row],[Steps]]),
))</f>
        <v>78</v>
      </c>
      <c r="F2675">
        <f>_xlfn.LET(_xlpm.dir,Table13[[#This Row],[Direction]],
IF(_xlpm.dir="R",
    IF(G2674+Table13[[#This Row],[Steps]]&gt;99,(G2674+Table13[[#This Row],[Steps]])-100,G2674+Table13[[#This Row],[Steps]]),
))</f>
        <v>0</v>
      </c>
      <c r="G2675">
        <f>IF(Table13[[#This Row],[New Pos L]]&lt;&gt;0,Table13[[#This Row],[New Pos L]],Table13[[#This Row],[New Pos R]])</f>
        <v>78</v>
      </c>
      <c r="H2675">
        <f>IF(AND(Table13[[#This Row],[Direction]]="L",Table13[[#This Row],[Steps]]&gt;G2674,G2674&lt;&gt;0),1,0)</f>
        <v>0</v>
      </c>
      <c r="I2675">
        <f>IF(AND(Table13[[#This Row],[Direction]]="R",(G2674+Table13[[#This Row],[Steps]])&gt;100),1,0)</f>
        <v>0</v>
      </c>
      <c r="J2675">
        <f>IF(Table13[[#This Row],[POS]]=0,1,0)</f>
        <v>0</v>
      </c>
      <c r="K2675">
        <f>SUM(Table13[[#This Row],[prefix]],Table13[[#This Row],[Past zero L]],Table13[[#This Row],[Past Zero R]],Table13[[#This Row],[Is Zero]])</f>
        <v>0</v>
      </c>
    </row>
    <row r="2676" spans="1:11" ht="16" x14ac:dyDescent="0.2">
      <c r="A2676" s="1" t="s">
        <v>641</v>
      </c>
      <c r="B2676" t="str">
        <f>LEFT(Table13[[#This Row],[Input]],1)</f>
        <v>L</v>
      </c>
      <c r="C2676">
        <f>_xlfn.LET(_xlpm.steps,SUBSTITUTE(Table13[[#This Row],[Input]],Table13[[#This Row],[Direction]],""),VALUE(IF(LEN(_xlpm.steps)&gt;2,RIGHT(_xlpm.steps,2),_xlpm.steps)))</f>
        <v>97</v>
      </c>
      <c r="D2676">
        <f>_xlfn.LET(_xlpm.steps,SUBSTITUTE(Table13[[#This Row],[Input]],Table13[[#This Row],[Direction]],""),VALUE(IF(LEN(_xlpm.steps)&gt;2,LEFT(_xlpm.steps,LEN(_xlpm.steps)-2),0)))</f>
        <v>5</v>
      </c>
      <c r="E2676">
        <f>_xlfn.LET(_xlpm.dir,Table13[[#This Row],[Direction]],
IF(_xlpm.dir="L",
    IF(G2675-Table13[[#This Row],[Steps]]&lt;0,100+(G2675-Table13[[#This Row],[Steps]]),G2675-Table13[[#This Row],[Steps]]),
))</f>
        <v>81</v>
      </c>
      <c r="F2676">
        <f>_xlfn.LET(_xlpm.dir,Table13[[#This Row],[Direction]],
IF(_xlpm.dir="R",
    IF(G2675+Table13[[#This Row],[Steps]]&gt;99,(G2675+Table13[[#This Row],[Steps]])-100,G2675+Table13[[#This Row],[Steps]]),
))</f>
        <v>0</v>
      </c>
      <c r="G2676">
        <f>IF(Table13[[#This Row],[New Pos L]]&lt;&gt;0,Table13[[#This Row],[New Pos L]],Table13[[#This Row],[New Pos R]])</f>
        <v>81</v>
      </c>
      <c r="H2676">
        <f>IF(AND(Table13[[#This Row],[Direction]]="L",Table13[[#This Row],[Steps]]&gt;G2675,G2675&lt;&gt;0),1,0)</f>
        <v>1</v>
      </c>
      <c r="I2676">
        <f>IF(AND(Table13[[#This Row],[Direction]]="R",(G2675+Table13[[#This Row],[Steps]])&gt;100),1,0)</f>
        <v>0</v>
      </c>
      <c r="J2676">
        <f>IF(Table13[[#This Row],[POS]]=0,1,0)</f>
        <v>0</v>
      </c>
      <c r="K2676">
        <f>SUM(Table13[[#This Row],[prefix]],Table13[[#This Row],[Past zero L]],Table13[[#This Row],[Past Zero R]],Table13[[#This Row],[Is Zero]])</f>
        <v>6</v>
      </c>
    </row>
    <row r="2677" spans="1:11" ht="16" x14ac:dyDescent="0.2">
      <c r="A2677" s="1" t="s">
        <v>14</v>
      </c>
      <c r="B2677" t="str">
        <f>LEFT(Table13[[#This Row],[Input]],1)</f>
        <v>L</v>
      </c>
      <c r="C2677">
        <f>_xlfn.LET(_xlpm.steps,SUBSTITUTE(Table13[[#This Row],[Input]],Table13[[#This Row],[Direction]],""),VALUE(IF(LEN(_xlpm.steps)&gt;2,RIGHT(_xlpm.steps,2),_xlpm.steps)))</f>
        <v>43</v>
      </c>
      <c r="D2677">
        <f>_xlfn.LET(_xlpm.steps,SUBSTITUTE(Table13[[#This Row],[Input]],Table13[[#This Row],[Direction]],""),VALUE(IF(LEN(_xlpm.steps)&gt;2,LEFT(_xlpm.steps,LEN(_xlpm.steps)-2),0)))</f>
        <v>0</v>
      </c>
      <c r="E2677">
        <f>_xlfn.LET(_xlpm.dir,Table13[[#This Row],[Direction]],
IF(_xlpm.dir="L",
    IF(G2676-Table13[[#This Row],[Steps]]&lt;0,100+(G2676-Table13[[#This Row],[Steps]]),G2676-Table13[[#This Row],[Steps]]),
))</f>
        <v>38</v>
      </c>
      <c r="F2677">
        <f>_xlfn.LET(_xlpm.dir,Table13[[#This Row],[Direction]],
IF(_xlpm.dir="R",
    IF(G2676+Table13[[#This Row],[Steps]]&gt;99,(G2676+Table13[[#This Row],[Steps]])-100,G2676+Table13[[#This Row],[Steps]]),
))</f>
        <v>0</v>
      </c>
      <c r="G2677">
        <f>IF(Table13[[#This Row],[New Pos L]]&lt;&gt;0,Table13[[#This Row],[New Pos L]],Table13[[#This Row],[New Pos R]])</f>
        <v>38</v>
      </c>
      <c r="H2677">
        <f>IF(AND(Table13[[#This Row],[Direction]]="L",Table13[[#This Row],[Steps]]&gt;G2676,G2676&lt;&gt;0),1,0)</f>
        <v>0</v>
      </c>
      <c r="I2677">
        <f>IF(AND(Table13[[#This Row],[Direction]]="R",(G2676+Table13[[#This Row],[Steps]])&gt;100),1,0)</f>
        <v>0</v>
      </c>
      <c r="J2677">
        <f>IF(Table13[[#This Row],[POS]]=0,1,0)</f>
        <v>0</v>
      </c>
      <c r="K2677">
        <f>SUM(Table13[[#This Row],[prefix]],Table13[[#This Row],[Past zero L]],Table13[[#This Row],[Past Zero R]],Table13[[#This Row],[Is Zero]])</f>
        <v>0</v>
      </c>
    </row>
    <row r="2678" spans="1:11" ht="16" x14ac:dyDescent="0.2">
      <c r="A2678" s="1" t="s">
        <v>140</v>
      </c>
      <c r="B2678" t="str">
        <f>LEFT(Table13[[#This Row],[Input]],1)</f>
        <v>L</v>
      </c>
      <c r="C2678">
        <f>_xlfn.LET(_xlpm.steps,SUBSTITUTE(Table13[[#This Row],[Input]],Table13[[#This Row],[Direction]],""),VALUE(IF(LEN(_xlpm.steps)&gt;2,RIGHT(_xlpm.steps,2),_xlpm.steps)))</f>
        <v>61</v>
      </c>
      <c r="D2678">
        <f>_xlfn.LET(_xlpm.steps,SUBSTITUTE(Table13[[#This Row],[Input]],Table13[[#This Row],[Direction]],""),VALUE(IF(LEN(_xlpm.steps)&gt;2,LEFT(_xlpm.steps,LEN(_xlpm.steps)-2),0)))</f>
        <v>0</v>
      </c>
      <c r="E2678">
        <f>_xlfn.LET(_xlpm.dir,Table13[[#This Row],[Direction]],
IF(_xlpm.dir="L",
    IF(G2677-Table13[[#This Row],[Steps]]&lt;0,100+(G2677-Table13[[#This Row],[Steps]]),G2677-Table13[[#This Row],[Steps]]),
))</f>
        <v>77</v>
      </c>
      <c r="F2678">
        <f>_xlfn.LET(_xlpm.dir,Table13[[#This Row],[Direction]],
IF(_xlpm.dir="R",
    IF(G2677+Table13[[#This Row],[Steps]]&gt;99,(G2677+Table13[[#This Row],[Steps]])-100,G2677+Table13[[#This Row],[Steps]]),
))</f>
        <v>0</v>
      </c>
      <c r="G2678">
        <f>IF(Table13[[#This Row],[New Pos L]]&lt;&gt;0,Table13[[#This Row],[New Pos L]],Table13[[#This Row],[New Pos R]])</f>
        <v>77</v>
      </c>
      <c r="H2678">
        <f>IF(AND(Table13[[#This Row],[Direction]]="L",Table13[[#This Row],[Steps]]&gt;G2677,G2677&lt;&gt;0),1,0)</f>
        <v>1</v>
      </c>
      <c r="I2678">
        <f>IF(AND(Table13[[#This Row],[Direction]]="R",(G2677+Table13[[#This Row],[Steps]])&gt;100),1,0)</f>
        <v>0</v>
      </c>
      <c r="J2678">
        <f>IF(Table13[[#This Row],[POS]]=0,1,0)</f>
        <v>0</v>
      </c>
      <c r="K2678">
        <f>SUM(Table13[[#This Row],[prefix]],Table13[[#This Row],[Past zero L]],Table13[[#This Row],[Past Zero R]],Table13[[#This Row],[Is Zero]])</f>
        <v>1</v>
      </c>
    </row>
    <row r="2679" spans="1:11" ht="16" x14ac:dyDescent="0.2">
      <c r="A2679" s="1" t="s">
        <v>31</v>
      </c>
      <c r="B2679" t="str">
        <f>LEFT(Table13[[#This Row],[Input]],1)</f>
        <v>L</v>
      </c>
      <c r="C2679">
        <f>_xlfn.LET(_xlpm.steps,SUBSTITUTE(Table13[[#This Row],[Input]],Table13[[#This Row],[Direction]],""),VALUE(IF(LEN(_xlpm.steps)&gt;2,RIGHT(_xlpm.steps,2),_xlpm.steps)))</f>
        <v>13</v>
      </c>
      <c r="D2679">
        <f>_xlfn.LET(_xlpm.steps,SUBSTITUTE(Table13[[#This Row],[Input]],Table13[[#This Row],[Direction]],""),VALUE(IF(LEN(_xlpm.steps)&gt;2,LEFT(_xlpm.steps,LEN(_xlpm.steps)-2),0)))</f>
        <v>0</v>
      </c>
      <c r="E2679">
        <f>_xlfn.LET(_xlpm.dir,Table13[[#This Row],[Direction]],
IF(_xlpm.dir="L",
    IF(G2678-Table13[[#This Row],[Steps]]&lt;0,100+(G2678-Table13[[#This Row],[Steps]]),G2678-Table13[[#This Row],[Steps]]),
))</f>
        <v>64</v>
      </c>
      <c r="F2679">
        <f>_xlfn.LET(_xlpm.dir,Table13[[#This Row],[Direction]],
IF(_xlpm.dir="R",
    IF(G2678+Table13[[#This Row],[Steps]]&gt;99,(G2678+Table13[[#This Row],[Steps]])-100,G2678+Table13[[#This Row],[Steps]]),
))</f>
        <v>0</v>
      </c>
      <c r="G2679">
        <f>IF(Table13[[#This Row],[New Pos L]]&lt;&gt;0,Table13[[#This Row],[New Pos L]],Table13[[#This Row],[New Pos R]])</f>
        <v>64</v>
      </c>
      <c r="H2679">
        <f>IF(AND(Table13[[#This Row],[Direction]]="L",Table13[[#This Row],[Steps]]&gt;G2678,G2678&lt;&gt;0),1,0)</f>
        <v>0</v>
      </c>
      <c r="I2679">
        <f>IF(AND(Table13[[#This Row],[Direction]]="R",(G2678+Table13[[#This Row],[Steps]])&gt;100),1,0)</f>
        <v>0</v>
      </c>
      <c r="J2679">
        <f>IF(Table13[[#This Row],[POS]]=0,1,0)</f>
        <v>0</v>
      </c>
      <c r="K2679">
        <f>SUM(Table13[[#This Row],[prefix]],Table13[[#This Row],[Past zero L]],Table13[[#This Row],[Past Zero R]],Table13[[#This Row],[Is Zero]])</f>
        <v>0</v>
      </c>
    </row>
    <row r="2680" spans="1:11" ht="16" x14ac:dyDescent="0.2">
      <c r="A2680" s="1" t="s">
        <v>182</v>
      </c>
      <c r="B2680" t="str">
        <f>LEFT(Table13[[#This Row],[Input]],1)</f>
        <v>L</v>
      </c>
      <c r="C2680">
        <f>_xlfn.LET(_xlpm.steps,SUBSTITUTE(Table13[[#This Row],[Input]],Table13[[#This Row],[Direction]],""),VALUE(IF(LEN(_xlpm.steps)&gt;2,RIGHT(_xlpm.steps,2),_xlpm.steps)))</f>
        <v>3</v>
      </c>
      <c r="D2680">
        <f>_xlfn.LET(_xlpm.steps,SUBSTITUTE(Table13[[#This Row],[Input]],Table13[[#This Row],[Direction]],""),VALUE(IF(LEN(_xlpm.steps)&gt;2,LEFT(_xlpm.steps,LEN(_xlpm.steps)-2),0)))</f>
        <v>0</v>
      </c>
      <c r="E2680">
        <f>_xlfn.LET(_xlpm.dir,Table13[[#This Row],[Direction]],
IF(_xlpm.dir="L",
    IF(G2679-Table13[[#This Row],[Steps]]&lt;0,100+(G2679-Table13[[#This Row],[Steps]]),G2679-Table13[[#This Row],[Steps]]),
))</f>
        <v>61</v>
      </c>
      <c r="F2680">
        <f>_xlfn.LET(_xlpm.dir,Table13[[#This Row],[Direction]],
IF(_xlpm.dir="R",
    IF(G2679+Table13[[#This Row],[Steps]]&gt;99,(G2679+Table13[[#This Row],[Steps]])-100,G2679+Table13[[#This Row],[Steps]]),
))</f>
        <v>0</v>
      </c>
      <c r="G2680">
        <f>IF(Table13[[#This Row],[New Pos L]]&lt;&gt;0,Table13[[#This Row],[New Pos L]],Table13[[#This Row],[New Pos R]])</f>
        <v>61</v>
      </c>
      <c r="H2680">
        <f>IF(AND(Table13[[#This Row],[Direction]]="L",Table13[[#This Row],[Steps]]&gt;G2679,G2679&lt;&gt;0),1,0)</f>
        <v>0</v>
      </c>
      <c r="I2680">
        <f>IF(AND(Table13[[#This Row],[Direction]]="R",(G2679+Table13[[#This Row],[Steps]])&gt;100),1,0)</f>
        <v>0</v>
      </c>
      <c r="J2680">
        <f>IF(Table13[[#This Row],[POS]]=0,1,0)</f>
        <v>0</v>
      </c>
      <c r="K2680">
        <f>SUM(Table13[[#This Row],[prefix]],Table13[[#This Row],[Past zero L]],Table13[[#This Row],[Past Zero R]],Table13[[#This Row],[Is Zero]])</f>
        <v>0</v>
      </c>
    </row>
    <row r="2681" spans="1:11" ht="16" x14ac:dyDescent="0.2">
      <c r="A2681" s="1" t="s">
        <v>102</v>
      </c>
      <c r="B2681" t="str">
        <f>LEFT(Table13[[#This Row],[Input]],1)</f>
        <v>R</v>
      </c>
      <c r="C2681">
        <f>_xlfn.LET(_xlpm.steps,SUBSTITUTE(Table13[[#This Row],[Input]],Table13[[#This Row],[Direction]],""),VALUE(IF(LEN(_xlpm.steps)&gt;2,RIGHT(_xlpm.steps,2),_xlpm.steps)))</f>
        <v>39</v>
      </c>
      <c r="D2681">
        <f>_xlfn.LET(_xlpm.steps,SUBSTITUTE(Table13[[#This Row],[Input]],Table13[[#This Row],[Direction]],""),VALUE(IF(LEN(_xlpm.steps)&gt;2,LEFT(_xlpm.steps,LEN(_xlpm.steps)-2),0)))</f>
        <v>0</v>
      </c>
      <c r="E2681">
        <f>_xlfn.LET(_xlpm.dir,Table13[[#This Row],[Direction]],
IF(_xlpm.dir="L",
    IF(G2680-Table13[[#This Row],[Steps]]&lt;0,100+(G2680-Table13[[#This Row],[Steps]]),G2680-Table13[[#This Row],[Steps]]),
))</f>
        <v>0</v>
      </c>
      <c r="F2681">
        <f>_xlfn.LET(_xlpm.dir,Table13[[#This Row],[Direction]],
IF(_xlpm.dir="R",
    IF(G2680+Table13[[#This Row],[Steps]]&gt;99,(G2680+Table13[[#This Row],[Steps]])-100,G2680+Table13[[#This Row],[Steps]]),
))</f>
        <v>0</v>
      </c>
      <c r="G2681">
        <f>IF(Table13[[#This Row],[New Pos L]]&lt;&gt;0,Table13[[#This Row],[New Pos L]],Table13[[#This Row],[New Pos R]])</f>
        <v>0</v>
      </c>
      <c r="H2681">
        <f>IF(AND(Table13[[#This Row],[Direction]]="L",Table13[[#This Row],[Steps]]&gt;G2680,G2680&lt;&gt;0),1,0)</f>
        <v>0</v>
      </c>
      <c r="I2681">
        <f>IF(AND(Table13[[#This Row],[Direction]]="R",(G2680+Table13[[#This Row],[Steps]])&gt;100),1,0)</f>
        <v>0</v>
      </c>
      <c r="J2681">
        <f>IF(Table13[[#This Row],[POS]]=0,1,0)</f>
        <v>1</v>
      </c>
      <c r="K2681">
        <f>SUM(Table13[[#This Row],[prefix]],Table13[[#This Row],[Past zero L]],Table13[[#This Row],[Past Zero R]],Table13[[#This Row],[Is Zero]])</f>
        <v>1</v>
      </c>
    </row>
    <row r="2682" spans="1:11" ht="16" x14ac:dyDescent="0.2">
      <c r="A2682" s="1" t="s">
        <v>267</v>
      </c>
      <c r="B2682" t="str">
        <f>LEFT(Table13[[#This Row],[Input]],1)</f>
        <v>L</v>
      </c>
      <c r="C2682">
        <f>_xlfn.LET(_xlpm.steps,SUBSTITUTE(Table13[[#This Row],[Input]],Table13[[#This Row],[Direction]],""),VALUE(IF(LEN(_xlpm.steps)&gt;2,RIGHT(_xlpm.steps,2),_xlpm.steps)))</f>
        <v>39</v>
      </c>
      <c r="D2682">
        <f>_xlfn.LET(_xlpm.steps,SUBSTITUTE(Table13[[#This Row],[Input]],Table13[[#This Row],[Direction]],""),VALUE(IF(LEN(_xlpm.steps)&gt;2,LEFT(_xlpm.steps,LEN(_xlpm.steps)-2),0)))</f>
        <v>0</v>
      </c>
      <c r="E2682">
        <f>_xlfn.LET(_xlpm.dir,Table13[[#This Row],[Direction]],
IF(_xlpm.dir="L",
    IF(G2681-Table13[[#This Row],[Steps]]&lt;0,100+(G2681-Table13[[#This Row],[Steps]]),G2681-Table13[[#This Row],[Steps]]),
))</f>
        <v>61</v>
      </c>
      <c r="F2682">
        <f>_xlfn.LET(_xlpm.dir,Table13[[#This Row],[Direction]],
IF(_xlpm.dir="R",
    IF(G2681+Table13[[#This Row],[Steps]]&gt;99,(G2681+Table13[[#This Row],[Steps]])-100,G2681+Table13[[#This Row],[Steps]]),
))</f>
        <v>0</v>
      </c>
      <c r="G2682">
        <f>IF(Table13[[#This Row],[New Pos L]]&lt;&gt;0,Table13[[#This Row],[New Pos L]],Table13[[#This Row],[New Pos R]])</f>
        <v>61</v>
      </c>
      <c r="H2682">
        <f>IF(AND(Table13[[#This Row],[Direction]]="L",Table13[[#This Row],[Steps]]&gt;G2681,G2681&lt;&gt;0),1,0)</f>
        <v>0</v>
      </c>
      <c r="I2682">
        <f>IF(AND(Table13[[#This Row],[Direction]]="R",(G2681+Table13[[#This Row],[Steps]])&gt;100),1,0)</f>
        <v>0</v>
      </c>
      <c r="J2682">
        <f>IF(Table13[[#This Row],[POS]]=0,1,0)</f>
        <v>0</v>
      </c>
      <c r="K2682">
        <f>SUM(Table13[[#This Row],[prefix]],Table13[[#This Row],[Past zero L]],Table13[[#This Row],[Past Zero R]],Table13[[#This Row],[Is Zero]])</f>
        <v>0</v>
      </c>
    </row>
    <row r="2683" spans="1:11" ht="16" x14ac:dyDescent="0.2">
      <c r="A2683" s="1" t="s">
        <v>642</v>
      </c>
      <c r="B2683" t="str">
        <f>LEFT(Table13[[#This Row],[Input]],1)</f>
        <v>R</v>
      </c>
      <c r="C2683">
        <f>_xlfn.LET(_xlpm.steps,SUBSTITUTE(Table13[[#This Row],[Input]],Table13[[#This Row],[Direction]],""),VALUE(IF(LEN(_xlpm.steps)&gt;2,RIGHT(_xlpm.steps,2),_xlpm.steps)))</f>
        <v>72</v>
      </c>
      <c r="D2683">
        <f>_xlfn.LET(_xlpm.steps,SUBSTITUTE(Table13[[#This Row],[Input]],Table13[[#This Row],[Direction]],""),VALUE(IF(LEN(_xlpm.steps)&gt;2,LEFT(_xlpm.steps,LEN(_xlpm.steps)-2),0)))</f>
        <v>3</v>
      </c>
      <c r="E2683">
        <f>_xlfn.LET(_xlpm.dir,Table13[[#This Row],[Direction]],
IF(_xlpm.dir="L",
    IF(G2682-Table13[[#This Row],[Steps]]&lt;0,100+(G2682-Table13[[#This Row],[Steps]]),G2682-Table13[[#This Row],[Steps]]),
))</f>
        <v>0</v>
      </c>
      <c r="F2683">
        <f>_xlfn.LET(_xlpm.dir,Table13[[#This Row],[Direction]],
IF(_xlpm.dir="R",
    IF(G2682+Table13[[#This Row],[Steps]]&gt;99,(G2682+Table13[[#This Row],[Steps]])-100,G2682+Table13[[#This Row],[Steps]]),
))</f>
        <v>33</v>
      </c>
      <c r="G2683">
        <f>IF(Table13[[#This Row],[New Pos L]]&lt;&gt;0,Table13[[#This Row],[New Pos L]],Table13[[#This Row],[New Pos R]])</f>
        <v>33</v>
      </c>
      <c r="H2683">
        <f>IF(AND(Table13[[#This Row],[Direction]]="L",Table13[[#This Row],[Steps]]&gt;G2682,G2682&lt;&gt;0),1,0)</f>
        <v>0</v>
      </c>
      <c r="I2683">
        <f>IF(AND(Table13[[#This Row],[Direction]]="R",(G2682+Table13[[#This Row],[Steps]])&gt;100),1,0)</f>
        <v>1</v>
      </c>
      <c r="J2683">
        <f>IF(Table13[[#This Row],[POS]]=0,1,0)</f>
        <v>0</v>
      </c>
      <c r="K2683">
        <f>SUM(Table13[[#This Row],[prefix]],Table13[[#This Row],[Past zero L]],Table13[[#This Row],[Past Zero R]],Table13[[#This Row],[Is Zero]])</f>
        <v>4</v>
      </c>
    </row>
    <row r="2684" spans="1:11" ht="16" x14ac:dyDescent="0.2">
      <c r="A2684" s="1" t="s">
        <v>293</v>
      </c>
      <c r="B2684" t="str">
        <f>LEFT(Table13[[#This Row],[Input]],1)</f>
        <v>R</v>
      </c>
      <c r="C2684">
        <f>_xlfn.LET(_xlpm.steps,SUBSTITUTE(Table13[[#This Row],[Input]],Table13[[#This Row],[Direction]],""),VALUE(IF(LEN(_xlpm.steps)&gt;2,RIGHT(_xlpm.steps,2),_xlpm.steps)))</f>
        <v>67</v>
      </c>
      <c r="D2684">
        <f>_xlfn.LET(_xlpm.steps,SUBSTITUTE(Table13[[#This Row],[Input]],Table13[[#This Row],[Direction]],""),VALUE(IF(LEN(_xlpm.steps)&gt;2,LEFT(_xlpm.steps,LEN(_xlpm.steps)-2),0)))</f>
        <v>0</v>
      </c>
      <c r="E2684">
        <f>_xlfn.LET(_xlpm.dir,Table13[[#This Row],[Direction]],
IF(_xlpm.dir="L",
    IF(G2683-Table13[[#This Row],[Steps]]&lt;0,100+(G2683-Table13[[#This Row],[Steps]]),G2683-Table13[[#This Row],[Steps]]),
))</f>
        <v>0</v>
      </c>
      <c r="F2684">
        <f>_xlfn.LET(_xlpm.dir,Table13[[#This Row],[Direction]],
IF(_xlpm.dir="R",
    IF(G2683+Table13[[#This Row],[Steps]]&gt;99,(G2683+Table13[[#This Row],[Steps]])-100,G2683+Table13[[#This Row],[Steps]]),
))</f>
        <v>0</v>
      </c>
      <c r="G2684">
        <f>IF(Table13[[#This Row],[New Pos L]]&lt;&gt;0,Table13[[#This Row],[New Pos L]],Table13[[#This Row],[New Pos R]])</f>
        <v>0</v>
      </c>
      <c r="H2684">
        <f>IF(AND(Table13[[#This Row],[Direction]]="L",Table13[[#This Row],[Steps]]&gt;G2683,G2683&lt;&gt;0),1,0)</f>
        <v>0</v>
      </c>
      <c r="I2684">
        <f>IF(AND(Table13[[#This Row],[Direction]]="R",(G2683+Table13[[#This Row],[Steps]])&gt;100),1,0)</f>
        <v>0</v>
      </c>
      <c r="J2684">
        <f>IF(Table13[[#This Row],[POS]]=0,1,0)</f>
        <v>1</v>
      </c>
      <c r="K2684">
        <f>SUM(Table13[[#This Row],[prefix]],Table13[[#This Row],[Past zero L]],Table13[[#This Row],[Past Zero R]],Table13[[#This Row],[Is Zero]])</f>
        <v>1</v>
      </c>
    </row>
    <row r="2685" spans="1:11" ht="16" x14ac:dyDescent="0.2">
      <c r="A2685" s="1" t="s">
        <v>69</v>
      </c>
      <c r="B2685" t="str">
        <f>LEFT(Table13[[#This Row],[Input]],1)</f>
        <v>R</v>
      </c>
      <c r="C2685">
        <f>_xlfn.LET(_xlpm.steps,SUBSTITUTE(Table13[[#This Row],[Input]],Table13[[#This Row],[Direction]],""),VALUE(IF(LEN(_xlpm.steps)&gt;2,RIGHT(_xlpm.steps,2),_xlpm.steps)))</f>
        <v>27</v>
      </c>
      <c r="D2685">
        <f>_xlfn.LET(_xlpm.steps,SUBSTITUTE(Table13[[#This Row],[Input]],Table13[[#This Row],[Direction]],""),VALUE(IF(LEN(_xlpm.steps)&gt;2,LEFT(_xlpm.steps,LEN(_xlpm.steps)-2),0)))</f>
        <v>0</v>
      </c>
      <c r="E2685">
        <f>_xlfn.LET(_xlpm.dir,Table13[[#This Row],[Direction]],
IF(_xlpm.dir="L",
    IF(G2684-Table13[[#This Row],[Steps]]&lt;0,100+(G2684-Table13[[#This Row],[Steps]]),G2684-Table13[[#This Row],[Steps]]),
))</f>
        <v>0</v>
      </c>
      <c r="F2685">
        <f>_xlfn.LET(_xlpm.dir,Table13[[#This Row],[Direction]],
IF(_xlpm.dir="R",
    IF(G2684+Table13[[#This Row],[Steps]]&gt;99,(G2684+Table13[[#This Row],[Steps]])-100,G2684+Table13[[#This Row],[Steps]]),
))</f>
        <v>27</v>
      </c>
      <c r="G2685">
        <f>IF(Table13[[#This Row],[New Pos L]]&lt;&gt;0,Table13[[#This Row],[New Pos L]],Table13[[#This Row],[New Pos R]])</f>
        <v>27</v>
      </c>
      <c r="H2685">
        <f>IF(AND(Table13[[#This Row],[Direction]]="L",Table13[[#This Row],[Steps]]&gt;G2684,G2684&lt;&gt;0),1,0)</f>
        <v>0</v>
      </c>
      <c r="I2685">
        <f>IF(AND(Table13[[#This Row],[Direction]]="R",(G2684+Table13[[#This Row],[Steps]])&gt;100),1,0)</f>
        <v>0</v>
      </c>
      <c r="J2685">
        <f>IF(Table13[[#This Row],[POS]]=0,1,0)</f>
        <v>0</v>
      </c>
      <c r="K2685">
        <f>SUM(Table13[[#This Row],[prefix]],Table13[[#This Row],[Past zero L]],Table13[[#This Row],[Past Zero R]],Table13[[#This Row],[Is Zero]])</f>
        <v>0</v>
      </c>
    </row>
    <row r="2686" spans="1:11" ht="16" x14ac:dyDescent="0.2">
      <c r="A2686" s="1" t="s">
        <v>48</v>
      </c>
      <c r="B2686" t="str">
        <f>LEFT(Table13[[#This Row],[Input]],1)</f>
        <v>R</v>
      </c>
      <c r="C2686">
        <f>_xlfn.LET(_xlpm.steps,SUBSTITUTE(Table13[[#This Row],[Input]],Table13[[#This Row],[Direction]],""),VALUE(IF(LEN(_xlpm.steps)&gt;2,RIGHT(_xlpm.steps,2),_xlpm.steps)))</f>
        <v>81</v>
      </c>
      <c r="D2686">
        <f>_xlfn.LET(_xlpm.steps,SUBSTITUTE(Table13[[#This Row],[Input]],Table13[[#This Row],[Direction]],""),VALUE(IF(LEN(_xlpm.steps)&gt;2,LEFT(_xlpm.steps,LEN(_xlpm.steps)-2),0)))</f>
        <v>0</v>
      </c>
      <c r="E2686">
        <f>_xlfn.LET(_xlpm.dir,Table13[[#This Row],[Direction]],
IF(_xlpm.dir="L",
    IF(G2685-Table13[[#This Row],[Steps]]&lt;0,100+(G2685-Table13[[#This Row],[Steps]]),G2685-Table13[[#This Row],[Steps]]),
))</f>
        <v>0</v>
      </c>
      <c r="F2686">
        <f>_xlfn.LET(_xlpm.dir,Table13[[#This Row],[Direction]],
IF(_xlpm.dir="R",
    IF(G2685+Table13[[#This Row],[Steps]]&gt;99,(G2685+Table13[[#This Row],[Steps]])-100,G2685+Table13[[#This Row],[Steps]]),
))</f>
        <v>8</v>
      </c>
      <c r="G2686">
        <f>IF(Table13[[#This Row],[New Pos L]]&lt;&gt;0,Table13[[#This Row],[New Pos L]],Table13[[#This Row],[New Pos R]])</f>
        <v>8</v>
      </c>
      <c r="H2686">
        <f>IF(AND(Table13[[#This Row],[Direction]]="L",Table13[[#This Row],[Steps]]&gt;G2685,G2685&lt;&gt;0),1,0)</f>
        <v>0</v>
      </c>
      <c r="I2686">
        <f>IF(AND(Table13[[#This Row],[Direction]]="R",(G2685+Table13[[#This Row],[Steps]])&gt;100),1,0)</f>
        <v>1</v>
      </c>
      <c r="J2686">
        <f>IF(Table13[[#This Row],[POS]]=0,1,0)</f>
        <v>0</v>
      </c>
      <c r="K2686">
        <f>SUM(Table13[[#This Row],[prefix]],Table13[[#This Row],[Past zero L]],Table13[[#This Row],[Past Zero R]],Table13[[#This Row],[Is Zero]])</f>
        <v>1</v>
      </c>
    </row>
    <row r="2687" spans="1:11" ht="16" x14ac:dyDescent="0.2">
      <c r="A2687" s="1" t="s">
        <v>23</v>
      </c>
      <c r="B2687" t="str">
        <f>LEFT(Table13[[#This Row],[Input]],1)</f>
        <v>L</v>
      </c>
      <c r="C2687">
        <f>_xlfn.LET(_xlpm.steps,SUBSTITUTE(Table13[[#This Row],[Input]],Table13[[#This Row],[Direction]],""),VALUE(IF(LEN(_xlpm.steps)&gt;2,RIGHT(_xlpm.steps,2),_xlpm.steps)))</f>
        <v>8</v>
      </c>
      <c r="D2687">
        <f>_xlfn.LET(_xlpm.steps,SUBSTITUTE(Table13[[#This Row],[Input]],Table13[[#This Row],[Direction]],""),VALUE(IF(LEN(_xlpm.steps)&gt;2,LEFT(_xlpm.steps,LEN(_xlpm.steps)-2),0)))</f>
        <v>0</v>
      </c>
      <c r="E2687">
        <f>_xlfn.LET(_xlpm.dir,Table13[[#This Row],[Direction]],
IF(_xlpm.dir="L",
    IF(G2686-Table13[[#This Row],[Steps]]&lt;0,100+(G2686-Table13[[#This Row],[Steps]]),G2686-Table13[[#This Row],[Steps]]),
))</f>
        <v>0</v>
      </c>
      <c r="F2687">
        <f>_xlfn.LET(_xlpm.dir,Table13[[#This Row],[Direction]],
IF(_xlpm.dir="R",
    IF(G2686+Table13[[#This Row],[Steps]]&gt;99,(G2686+Table13[[#This Row],[Steps]])-100,G2686+Table13[[#This Row],[Steps]]),
))</f>
        <v>0</v>
      </c>
      <c r="G2687">
        <f>IF(Table13[[#This Row],[New Pos L]]&lt;&gt;0,Table13[[#This Row],[New Pos L]],Table13[[#This Row],[New Pos R]])</f>
        <v>0</v>
      </c>
      <c r="H2687">
        <f>IF(AND(Table13[[#This Row],[Direction]]="L",Table13[[#This Row],[Steps]]&gt;G2686,G2686&lt;&gt;0),1,0)</f>
        <v>0</v>
      </c>
      <c r="I2687">
        <f>IF(AND(Table13[[#This Row],[Direction]]="R",(G2686+Table13[[#This Row],[Steps]])&gt;100),1,0)</f>
        <v>0</v>
      </c>
      <c r="J2687">
        <f>IF(Table13[[#This Row],[POS]]=0,1,0)</f>
        <v>1</v>
      </c>
      <c r="K2687">
        <f>SUM(Table13[[#This Row],[prefix]],Table13[[#This Row],[Past zero L]],Table13[[#This Row],[Past Zero R]],Table13[[#This Row],[Is Zero]])</f>
        <v>1</v>
      </c>
    </row>
    <row r="2688" spans="1:11" ht="16" x14ac:dyDescent="0.2">
      <c r="A2688" s="1" t="s">
        <v>643</v>
      </c>
      <c r="B2688" t="str">
        <f>LEFT(Table13[[#This Row],[Input]],1)</f>
        <v>R</v>
      </c>
      <c r="C2688">
        <f>_xlfn.LET(_xlpm.steps,SUBSTITUTE(Table13[[#This Row],[Input]],Table13[[#This Row],[Direction]],""),VALUE(IF(LEN(_xlpm.steps)&gt;2,RIGHT(_xlpm.steps,2),_xlpm.steps)))</f>
        <v>78</v>
      </c>
      <c r="D2688">
        <f>_xlfn.LET(_xlpm.steps,SUBSTITUTE(Table13[[#This Row],[Input]],Table13[[#This Row],[Direction]],""),VALUE(IF(LEN(_xlpm.steps)&gt;2,LEFT(_xlpm.steps,LEN(_xlpm.steps)-2),0)))</f>
        <v>6</v>
      </c>
      <c r="E2688">
        <f>_xlfn.LET(_xlpm.dir,Table13[[#This Row],[Direction]],
IF(_xlpm.dir="L",
    IF(G2687-Table13[[#This Row],[Steps]]&lt;0,100+(G2687-Table13[[#This Row],[Steps]]),G2687-Table13[[#This Row],[Steps]]),
))</f>
        <v>0</v>
      </c>
      <c r="F2688">
        <f>_xlfn.LET(_xlpm.dir,Table13[[#This Row],[Direction]],
IF(_xlpm.dir="R",
    IF(G2687+Table13[[#This Row],[Steps]]&gt;99,(G2687+Table13[[#This Row],[Steps]])-100,G2687+Table13[[#This Row],[Steps]]),
))</f>
        <v>78</v>
      </c>
      <c r="G2688">
        <f>IF(Table13[[#This Row],[New Pos L]]&lt;&gt;0,Table13[[#This Row],[New Pos L]],Table13[[#This Row],[New Pos R]])</f>
        <v>78</v>
      </c>
      <c r="H2688">
        <f>IF(AND(Table13[[#This Row],[Direction]]="L",Table13[[#This Row],[Steps]]&gt;G2687,G2687&lt;&gt;0),1,0)</f>
        <v>0</v>
      </c>
      <c r="I2688">
        <f>IF(AND(Table13[[#This Row],[Direction]]="R",(G2687+Table13[[#This Row],[Steps]])&gt;100),1,0)</f>
        <v>0</v>
      </c>
      <c r="J2688">
        <f>IF(Table13[[#This Row],[POS]]=0,1,0)</f>
        <v>0</v>
      </c>
      <c r="K2688">
        <f>SUM(Table13[[#This Row],[prefix]],Table13[[#This Row],[Past zero L]],Table13[[#This Row],[Past Zero R]],Table13[[#This Row],[Is Zero]])</f>
        <v>6</v>
      </c>
    </row>
    <row r="2689" spans="1:11" ht="16" x14ac:dyDescent="0.2">
      <c r="A2689" s="1" t="s">
        <v>6</v>
      </c>
      <c r="B2689" t="str">
        <f>LEFT(Table13[[#This Row],[Input]],1)</f>
        <v>R</v>
      </c>
      <c r="C2689">
        <f>_xlfn.LET(_xlpm.steps,SUBSTITUTE(Table13[[#This Row],[Input]],Table13[[#This Row],[Direction]],""),VALUE(IF(LEN(_xlpm.steps)&gt;2,RIGHT(_xlpm.steps,2),_xlpm.steps)))</f>
        <v>49</v>
      </c>
      <c r="D2689">
        <f>_xlfn.LET(_xlpm.steps,SUBSTITUTE(Table13[[#This Row],[Input]],Table13[[#This Row],[Direction]],""),VALUE(IF(LEN(_xlpm.steps)&gt;2,LEFT(_xlpm.steps,LEN(_xlpm.steps)-2),0)))</f>
        <v>0</v>
      </c>
      <c r="E2689">
        <f>_xlfn.LET(_xlpm.dir,Table13[[#This Row],[Direction]],
IF(_xlpm.dir="L",
    IF(G2688-Table13[[#This Row],[Steps]]&lt;0,100+(G2688-Table13[[#This Row],[Steps]]),G2688-Table13[[#This Row],[Steps]]),
))</f>
        <v>0</v>
      </c>
      <c r="F2689">
        <f>_xlfn.LET(_xlpm.dir,Table13[[#This Row],[Direction]],
IF(_xlpm.dir="R",
    IF(G2688+Table13[[#This Row],[Steps]]&gt;99,(G2688+Table13[[#This Row],[Steps]])-100,G2688+Table13[[#This Row],[Steps]]),
))</f>
        <v>27</v>
      </c>
      <c r="G2689">
        <f>IF(Table13[[#This Row],[New Pos L]]&lt;&gt;0,Table13[[#This Row],[New Pos L]],Table13[[#This Row],[New Pos R]])</f>
        <v>27</v>
      </c>
      <c r="H2689">
        <f>IF(AND(Table13[[#This Row],[Direction]]="L",Table13[[#This Row],[Steps]]&gt;G2688,G2688&lt;&gt;0),1,0)</f>
        <v>0</v>
      </c>
      <c r="I2689">
        <f>IF(AND(Table13[[#This Row],[Direction]]="R",(G2688+Table13[[#This Row],[Steps]])&gt;100),1,0)</f>
        <v>1</v>
      </c>
      <c r="J2689">
        <f>IF(Table13[[#This Row],[POS]]=0,1,0)</f>
        <v>0</v>
      </c>
      <c r="K2689">
        <f>SUM(Table13[[#This Row],[prefix]],Table13[[#This Row],[Past zero L]],Table13[[#This Row],[Past Zero R]],Table13[[#This Row],[Is Zero]])</f>
        <v>1</v>
      </c>
    </row>
    <row r="2690" spans="1:11" ht="16" x14ac:dyDescent="0.2">
      <c r="A2690" s="1" t="s">
        <v>25</v>
      </c>
      <c r="B2690" t="str">
        <f>LEFT(Table13[[#This Row],[Input]],1)</f>
        <v>L</v>
      </c>
      <c r="C2690">
        <f>_xlfn.LET(_xlpm.steps,SUBSTITUTE(Table13[[#This Row],[Input]],Table13[[#This Row],[Direction]],""),VALUE(IF(LEN(_xlpm.steps)&gt;2,RIGHT(_xlpm.steps,2),_xlpm.steps)))</f>
        <v>20</v>
      </c>
      <c r="D2690">
        <f>_xlfn.LET(_xlpm.steps,SUBSTITUTE(Table13[[#This Row],[Input]],Table13[[#This Row],[Direction]],""),VALUE(IF(LEN(_xlpm.steps)&gt;2,LEFT(_xlpm.steps,LEN(_xlpm.steps)-2),0)))</f>
        <v>0</v>
      </c>
      <c r="E2690">
        <f>_xlfn.LET(_xlpm.dir,Table13[[#This Row],[Direction]],
IF(_xlpm.dir="L",
    IF(G2689-Table13[[#This Row],[Steps]]&lt;0,100+(G2689-Table13[[#This Row],[Steps]]),G2689-Table13[[#This Row],[Steps]]),
))</f>
        <v>7</v>
      </c>
      <c r="F2690">
        <f>_xlfn.LET(_xlpm.dir,Table13[[#This Row],[Direction]],
IF(_xlpm.dir="R",
    IF(G2689+Table13[[#This Row],[Steps]]&gt;99,(G2689+Table13[[#This Row],[Steps]])-100,G2689+Table13[[#This Row],[Steps]]),
))</f>
        <v>0</v>
      </c>
      <c r="G2690">
        <f>IF(Table13[[#This Row],[New Pos L]]&lt;&gt;0,Table13[[#This Row],[New Pos L]],Table13[[#This Row],[New Pos R]])</f>
        <v>7</v>
      </c>
      <c r="H2690">
        <f>IF(AND(Table13[[#This Row],[Direction]]="L",Table13[[#This Row],[Steps]]&gt;G2689,G2689&lt;&gt;0),1,0)</f>
        <v>0</v>
      </c>
      <c r="I2690">
        <f>IF(AND(Table13[[#This Row],[Direction]]="R",(G2689+Table13[[#This Row],[Steps]])&gt;100),1,0)</f>
        <v>0</v>
      </c>
      <c r="J2690">
        <f>IF(Table13[[#This Row],[POS]]=0,1,0)</f>
        <v>0</v>
      </c>
      <c r="K2690">
        <f>SUM(Table13[[#This Row],[prefix]],Table13[[#This Row],[Past zero L]],Table13[[#This Row],[Past Zero R]],Table13[[#This Row],[Is Zero]])</f>
        <v>0</v>
      </c>
    </row>
    <row r="2691" spans="1:11" ht="16" x14ac:dyDescent="0.2">
      <c r="A2691" s="1" t="s">
        <v>644</v>
      </c>
      <c r="B2691" t="str">
        <f>LEFT(Table13[[#This Row],[Input]],1)</f>
        <v>R</v>
      </c>
      <c r="C2691">
        <f>_xlfn.LET(_xlpm.steps,SUBSTITUTE(Table13[[#This Row],[Input]],Table13[[#This Row],[Direction]],""),VALUE(IF(LEN(_xlpm.steps)&gt;2,RIGHT(_xlpm.steps,2),_xlpm.steps)))</f>
        <v>34</v>
      </c>
      <c r="D2691">
        <f>_xlfn.LET(_xlpm.steps,SUBSTITUTE(Table13[[#This Row],[Input]],Table13[[#This Row],[Direction]],""),VALUE(IF(LEN(_xlpm.steps)&gt;2,LEFT(_xlpm.steps,LEN(_xlpm.steps)-2),0)))</f>
        <v>6</v>
      </c>
      <c r="E2691">
        <f>_xlfn.LET(_xlpm.dir,Table13[[#This Row],[Direction]],
IF(_xlpm.dir="L",
    IF(G2690-Table13[[#This Row],[Steps]]&lt;0,100+(G2690-Table13[[#This Row],[Steps]]),G2690-Table13[[#This Row],[Steps]]),
))</f>
        <v>0</v>
      </c>
      <c r="F2691">
        <f>_xlfn.LET(_xlpm.dir,Table13[[#This Row],[Direction]],
IF(_xlpm.dir="R",
    IF(G2690+Table13[[#This Row],[Steps]]&gt;99,(G2690+Table13[[#This Row],[Steps]])-100,G2690+Table13[[#This Row],[Steps]]),
))</f>
        <v>41</v>
      </c>
      <c r="G2691">
        <f>IF(Table13[[#This Row],[New Pos L]]&lt;&gt;0,Table13[[#This Row],[New Pos L]],Table13[[#This Row],[New Pos R]])</f>
        <v>41</v>
      </c>
      <c r="H2691">
        <f>IF(AND(Table13[[#This Row],[Direction]]="L",Table13[[#This Row],[Steps]]&gt;G2690,G2690&lt;&gt;0),1,0)</f>
        <v>0</v>
      </c>
      <c r="I2691">
        <f>IF(AND(Table13[[#This Row],[Direction]]="R",(G2690+Table13[[#This Row],[Steps]])&gt;100),1,0)</f>
        <v>0</v>
      </c>
      <c r="J2691">
        <f>IF(Table13[[#This Row],[POS]]=0,1,0)</f>
        <v>0</v>
      </c>
      <c r="K2691">
        <f>SUM(Table13[[#This Row],[prefix]],Table13[[#This Row],[Past zero L]],Table13[[#This Row],[Past Zero R]],Table13[[#This Row],[Is Zero]])</f>
        <v>6</v>
      </c>
    </row>
    <row r="2692" spans="1:11" ht="16" x14ac:dyDescent="0.2">
      <c r="A2692" s="1" t="s">
        <v>645</v>
      </c>
      <c r="B2692" t="str">
        <f>LEFT(Table13[[#This Row],[Input]],1)</f>
        <v>L</v>
      </c>
      <c r="C2692">
        <f>_xlfn.LET(_xlpm.steps,SUBSTITUTE(Table13[[#This Row],[Input]],Table13[[#This Row],[Direction]],""),VALUE(IF(LEN(_xlpm.steps)&gt;2,RIGHT(_xlpm.steps,2),_xlpm.steps)))</f>
        <v>41</v>
      </c>
      <c r="D2692">
        <f>_xlfn.LET(_xlpm.steps,SUBSTITUTE(Table13[[#This Row],[Input]],Table13[[#This Row],[Direction]],""),VALUE(IF(LEN(_xlpm.steps)&gt;2,LEFT(_xlpm.steps,LEN(_xlpm.steps)-2),0)))</f>
        <v>7</v>
      </c>
      <c r="E2692">
        <f>_xlfn.LET(_xlpm.dir,Table13[[#This Row],[Direction]],
IF(_xlpm.dir="L",
    IF(G2691-Table13[[#This Row],[Steps]]&lt;0,100+(G2691-Table13[[#This Row],[Steps]]),G2691-Table13[[#This Row],[Steps]]),
))</f>
        <v>0</v>
      </c>
      <c r="F2692">
        <f>_xlfn.LET(_xlpm.dir,Table13[[#This Row],[Direction]],
IF(_xlpm.dir="R",
    IF(G2691+Table13[[#This Row],[Steps]]&gt;99,(G2691+Table13[[#This Row],[Steps]])-100,G2691+Table13[[#This Row],[Steps]]),
))</f>
        <v>0</v>
      </c>
      <c r="G2692">
        <f>IF(Table13[[#This Row],[New Pos L]]&lt;&gt;0,Table13[[#This Row],[New Pos L]],Table13[[#This Row],[New Pos R]])</f>
        <v>0</v>
      </c>
      <c r="H2692">
        <f>IF(AND(Table13[[#This Row],[Direction]]="L",Table13[[#This Row],[Steps]]&gt;G2691,G2691&lt;&gt;0),1,0)</f>
        <v>0</v>
      </c>
      <c r="I2692">
        <f>IF(AND(Table13[[#This Row],[Direction]]="R",(G2691+Table13[[#This Row],[Steps]])&gt;100),1,0)</f>
        <v>0</v>
      </c>
      <c r="J2692">
        <f>IF(Table13[[#This Row],[POS]]=0,1,0)</f>
        <v>1</v>
      </c>
      <c r="K2692">
        <f>SUM(Table13[[#This Row],[prefix]],Table13[[#This Row],[Past zero L]],Table13[[#This Row],[Past Zero R]],Table13[[#This Row],[Is Zero]])</f>
        <v>8</v>
      </c>
    </row>
    <row r="2693" spans="1:11" ht="16" x14ac:dyDescent="0.2">
      <c r="A2693" s="1" t="s">
        <v>41</v>
      </c>
      <c r="B2693" t="str">
        <f>LEFT(Table13[[#This Row],[Input]],1)</f>
        <v>L</v>
      </c>
      <c r="C2693">
        <f>_xlfn.LET(_xlpm.steps,SUBSTITUTE(Table13[[#This Row],[Input]],Table13[[#This Row],[Direction]],""),VALUE(IF(LEN(_xlpm.steps)&gt;2,RIGHT(_xlpm.steps,2),_xlpm.steps)))</f>
        <v>7</v>
      </c>
      <c r="D2693">
        <f>_xlfn.LET(_xlpm.steps,SUBSTITUTE(Table13[[#This Row],[Input]],Table13[[#This Row],[Direction]],""),VALUE(IF(LEN(_xlpm.steps)&gt;2,LEFT(_xlpm.steps,LEN(_xlpm.steps)-2),0)))</f>
        <v>0</v>
      </c>
      <c r="E2693">
        <f>_xlfn.LET(_xlpm.dir,Table13[[#This Row],[Direction]],
IF(_xlpm.dir="L",
    IF(G2692-Table13[[#This Row],[Steps]]&lt;0,100+(G2692-Table13[[#This Row],[Steps]]),G2692-Table13[[#This Row],[Steps]]),
))</f>
        <v>93</v>
      </c>
      <c r="F2693">
        <f>_xlfn.LET(_xlpm.dir,Table13[[#This Row],[Direction]],
IF(_xlpm.dir="R",
    IF(G2692+Table13[[#This Row],[Steps]]&gt;99,(G2692+Table13[[#This Row],[Steps]])-100,G2692+Table13[[#This Row],[Steps]]),
))</f>
        <v>0</v>
      </c>
      <c r="G2693">
        <f>IF(Table13[[#This Row],[New Pos L]]&lt;&gt;0,Table13[[#This Row],[New Pos L]],Table13[[#This Row],[New Pos R]])</f>
        <v>93</v>
      </c>
      <c r="H2693">
        <f>IF(AND(Table13[[#This Row],[Direction]]="L",Table13[[#This Row],[Steps]]&gt;G2692,G2692&lt;&gt;0),1,0)</f>
        <v>0</v>
      </c>
      <c r="I2693">
        <f>IF(AND(Table13[[#This Row],[Direction]]="R",(G2692+Table13[[#This Row],[Steps]])&gt;100),1,0)</f>
        <v>0</v>
      </c>
      <c r="J2693">
        <f>IF(Table13[[#This Row],[POS]]=0,1,0)</f>
        <v>0</v>
      </c>
      <c r="K2693">
        <f>SUM(Table13[[#This Row],[prefix]],Table13[[#This Row],[Past zero L]],Table13[[#This Row],[Past Zero R]],Table13[[#This Row],[Is Zero]])</f>
        <v>0</v>
      </c>
    </row>
    <row r="2694" spans="1:11" ht="16" x14ac:dyDescent="0.2">
      <c r="A2694" s="1" t="s">
        <v>353</v>
      </c>
      <c r="B2694" t="str">
        <f>LEFT(Table13[[#This Row],[Input]],1)</f>
        <v>R</v>
      </c>
      <c r="C2694">
        <f>_xlfn.LET(_xlpm.steps,SUBSTITUTE(Table13[[#This Row],[Input]],Table13[[#This Row],[Direction]],""),VALUE(IF(LEN(_xlpm.steps)&gt;2,RIGHT(_xlpm.steps,2),_xlpm.steps)))</f>
        <v>7</v>
      </c>
      <c r="D2694">
        <f>_xlfn.LET(_xlpm.steps,SUBSTITUTE(Table13[[#This Row],[Input]],Table13[[#This Row],[Direction]],""),VALUE(IF(LEN(_xlpm.steps)&gt;2,LEFT(_xlpm.steps,LEN(_xlpm.steps)-2),0)))</f>
        <v>0</v>
      </c>
      <c r="E2694">
        <f>_xlfn.LET(_xlpm.dir,Table13[[#This Row],[Direction]],
IF(_xlpm.dir="L",
    IF(G2693-Table13[[#This Row],[Steps]]&lt;0,100+(G2693-Table13[[#This Row],[Steps]]),G2693-Table13[[#This Row],[Steps]]),
))</f>
        <v>0</v>
      </c>
      <c r="F2694">
        <f>_xlfn.LET(_xlpm.dir,Table13[[#This Row],[Direction]],
IF(_xlpm.dir="R",
    IF(G2693+Table13[[#This Row],[Steps]]&gt;99,(G2693+Table13[[#This Row],[Steps]])-100,G2693+Table13[[#This Row],[Steps]]),
))</f>
        <v>0</v>
      </c>
      <c r="G2694">
        <f>IF(Table13[[#This Row],[New Pos L]]&lt;&gt;0,Table13[[#This Row],[New Pos L]],Table13[[#This Row],[New Pos R]])</f>
        <v>0</v>
      </c>
      <c r="H2694">
        <f>IF(AND(Table13[[#This Row],[Direction]]="L",Table13[[#This Row],[Steps]]&gt;G2693,G2693&lt;&gt;0),1,0)</f>
        <v>0</v>
      </c>
      <c r="I2694">
        <f>IF(AND(Table13[[#This Row],[Direction]]="R",(G2693+Table13[[#This Row],[Steps]])&gt;100),1,0)</f>
        <v>0</v>
      </c>
      <c r="J2694">
        <f>IF(Table13[[#This Row],[POS]]=0,1,0)</f>
        <v>1</v>
      </c>
      <c r="K2694">
        <f>SUM(Table13[[#This Row],[prefix]],Table13[[#This Row],[Past zero L]],Table13[[#This Row],[Past Zero R]],Table13[[#This Row],[Is Zero]])</f>
        <v>1</v>
      </c>
    </row>
    <row r="2695" spans="1:11" ht="16" x14ac:dyDescent="0.2">
      <c r="A2695" s="1" t="s">
        <v>68</v>
      </c>
      <c r="B2695" t="str">
        <f>LEFT(Table13[[#This Row],[Input]],1)</f>
        <v>L</v>
      </c>
      <c r="C2695">
        <f>_xlfn.LET(_xlpm.steps,SUBSTITUTE(Table13[[#This Row],[Input]],Table13[[#This Row],[Direction]],""),VALUE(IF(LEN(_xlpm.steps)&gt;2,RIGHT(_xlpm.steps,2),_xlpm.steps)))</f>
        <v>80</v>
      </c>
      <c r="D2695">
        <f>_xlfn.LET(_xlpm.steps,SUBSTITUTE(Table13[[#This Row],[Input]],Table13[[#This Row],[Direction]],""),VALUE(IF(LEN(_xlpm.steps)&gt;2,LEFT(_xlpm.steps,LEN(_xlpm.steps)-2),0)))</f>
        <v>0</v>
      </c>
      <c r="E2695">
        <f>_xlfn.LET(_xlpm.dir,Table13[[#This Row],[Direction]],
IF(_xlpm.dir="L",
    IF(G2694-Table13[[#This Row],[Steps]]&lt;0,100+(G2694-Table13[[#This Row],[Steps]]),G2694-Table13[[#This Row],[Steps]]),
))</f>
        <v>20</v>
      </c>
      <c r="F2695">
        <f>_xlfn.LET(_xlpm.dir,Table13[[#This Row],[Direction]],
IF(_xlpm.dir="R",
    IF(G2694+Table13[[#This Row],[Steps]]&gt;99,(G2694+Table13[[#This Row],[Steps]])-100,G2694+Table13[[#This Row],[Steps]]),
))</f>
        <v>0</v>
      </c>
      <c r="G2695">
        <f>IF(Table13[[#This Row],[New Pos L]]&lt;&gt;0,Table13[[#This Row],[New Pos L]],Table13[[#This Row],[New Pos R]])</f>
        <v>20</v>
      </c>
      <c r="H2695">
        <f>IF(AND(Table13[[#This Row],[Direction]]="L",Table13[[#This Row],[Steps]]&gt;G2694,G2694&lt;&gt;0),1,0)</f>
        <v>0</v>
      </c>
      <c r="I2695">
        <f>IF(AND(Table13[[#This Row],[Direction]]="R",(G2694+Table13[[#This Row],[Steps]])&gt;100),1,0)</f>
        <v>0</v>
      </c>
      <c r="J2695">
        <f>IF(Table13[[#This Row],[POS]]=0,1,0)</f>
        <v>0</v>
      </c>
      <c r="K2695">
        <f>SUM(Table13[[#This Row],[prefix]],Table13[[#This Row],[Past zero L]],Table13[[#This Row],[Past Zero R]],Table13[[#This Row],[Is Zero]])</f>
        <v>0</v>
      </c>
    </row>
    <row r="2696" spans="1:11" ht="16" x14ac:dyDescent="0.2">
      <c r="A2696" s="1" t="s">
        <v>646</v>
      </c>
      <c r="B2696" t="str">
        <f>LEFT(Table13[[#This Row],[Input]],1)</f>
        <v>R</v>
      </c>
      <c r="C2696">
        <f>_xlfn.LET(_xlpm.steps,SUBSTITUTE(Table13[[#This Row],[Input]],Table13[[#This Row],[Direction]],""),VALUE(IF(LEN(_xlpm.steps)&gt;2,RIGHT(_xlpm.steps,2),_xlpm.steps)))</f>
        <v>57</v>
      </c>
      <c r="D2696">
        <f>_xlfn.LET(_xlpm.steps,SUBSTITUTE(Table13[[#This Row],[Input]],Table13[[#This Row],[Direction]],""),VALUE(IF(LEN(_xlpm.steps)&gt;2,LEFT(_xlpm.steps,LEN(_xlpm.steps)-2),0)))</f>
        <v>6</v>
      </c>
      <c r="E2696">
        <f>_xlfn.LET(_xlpm.dir,Table13[[#This Row],[Direction]],
IF(_xlpm.dir="L",
    IF(G2695-Table13[[#This Row],[Steps]]&lt;0,100+(G2695-Table13[[#This Row],[Steps]]),G2695-Table13[[#This Row],[Steps]]),
))</f>
        <v>0</v>
      </c>
      <c r="F2696">
        <f>_xlfn.LET(_xlpm.dir,Table13[[#This Row],[Direction]],
IF(_xlpm.dir="R",
    IF(G2695+Table13[[#This Row],[Steps]]&gt;99,(G2695+Table13[[#This Row],[Steps]])-100,G2695+Table13[[#This Row],[Steps]]),
))</f>
        <v>77</v>
      </c>
      <c r="G2696">
        <f>IF(Table13[[#This Row],[New Pos L]]&lt;&gt;0,Table13[[#This Row],[New Pos L]],Table13[[#This Row],[New Pos R]])</f>
        <v>77</v>
      </c>
      <c r="H2696">
        <f>IF(AND(Table13[[#This Row],[Direction]]="L",Table13[[#This Row],[Steps]]&gt;G2695,G2695&lt;&gt;0),1,0)</f>
        <v>0</v>
      </c>
      <c r="I2696">
        <f>IF(AND(Table13[[#This Row],[Direction]]="R",(G2695+Table13[[#This Row],[Steps]])&gt;100),1,0)</f>
        <v>0</v>
      </c>
      <c r="J2696">
        <f>IF(Table13[[#This Row],[POS]]=0,1,0)</f>
        <v>0</v>
      </c>
      <c r="K2696">
        <f>SUM(Table13[[#This Row],[prefix]],Table13[[#This Row],[Past zero L]],Table13[[#This Row],[Past Zero R]],Table13[[#This Row],[Is Zero]])</f>
        <v>6</v>
      </c>
    </row>
    <row r="2697" spans="1:11" ht="16" x14ac:dyDescent="0.2">
      <c r="A2697" s="1" t="s">
        <v>205</v>
      </c>
      <c r="B2697" t="str">
        <f>LEFT(Table13[[#This Row],[Input]],1)</f>
        <v>R</v>
      </c>
      <c r="C2697">
        <f>_xlfn.LET(_xlpm.steps,SUBSTITUTE(Table13[[#This Row],[Input]],Table13[[#This Row],[Direction]],""),VALUE(IF(LEN(_xlpm.steps)&gt;2,RIGHT(_xlpm.steps,2),_xlpm.steps)))</f>
        <v>83</v>
      </c>
      <c r="D2697">
        <f>_xlfn.LET(_xlpm.steps,SUBSTITUTE(Table13[[#This Row],[Input]],Table13[[#This Row],[Direction]],""),VALUE(IF(LEN(_xlpm.steps)&gt;2,LEFT(_xlpm.steps,LEN(_xlpm.steps)-2),0)))</f>
        <v>0</v>
      </c>
      <c r="E2697">
        <f>_xlfn.LET(_xlpm.dir,Table13[[#This Row],[Direction]],
IF(_xlpm.dir="L",
    IF(G2696-Table13[[#This Row],[Steps]]&lt;0,100+(G2696-Table13[[#This Row],[Steps]]),G2696-Table13[[#This Row],[Steps]]),
))</f>
        <v>0</v>
      </c>
      <c r="F2697">
        <f>_xlfn.LET(_xlpm.dir,Table13[[#This Row],[Direction]],
IF(_xlpm.dir="R",
    IF(G2696+Table13[[#This Row],[Steps]]&gt;99,(G2696+Table13[[#This Row],[Steps]])-100,G2696+Table13[[#This Row],[Steps]]),
))</f>
        <v>60</v>
      </c>
      <c r="G2697">
        <f>IF(Table13[[#This Row],[New Pos L]]&lt;&gt;0,Table13[[#This Row],[New Pos L]],Table13[[#This Row],[New Pos R]])</f>
        <v>60</v>
      </c>
      <c r="H2697">
        <f>IF(AND(Table13[[#This Row],[Direction]]="L",Table13[[#This Row],[Steps]]&gt;G2696,G2696&lt;&gt;0),1,0)</f>
        <v>0</v>
      </c>
      <c r="I2697">
        <f>IF(AND(Table13[[#This Row],[Direction]]="R",(G2696+Table13[[#This Row],[Steps]])&gt;100),1,0)</f>
        <v>1</v>
      </c>
      <c r="J2697">
        <f>IF(Table13[[#This Row],[POS]]=0,1,0)</f>
        <v>0</v>
      </c>
      <c r="K2697">
        <f>SUM(Table13[[#This Row],[prefix]],Table13[[#This Row],[Past zero L]],Table13[[#This Row],[Past Zero R]],Table13[[#This Row],[Is Zero]])</f>
        <v>1</v>
      </c>
    </row>
    <row r="2698" spans="1:11" ht="16" x14ac:dyDescent="0.2">
      <c r="A2698" s="1" t="s">
        <v>192</v>
      </c>
      <c r="B2698" t="str">
        <f>LEFT(Table13[[#This Row],[Input]],1)</f>
        <v>L</v>
      </c>
      <c r="C2698">
        <f>_xlfn.LET(_xlpm.steps,SUBSTITUTE(Table13[[#This Row],[Input]],Table13[[#This Row],[Direction]],""),VALUE(IF(LEN(_xlpm.steps)&gt;2,RIGHT(_xlpm.steps,2),_xlpm.steps)))</f>
        <v>52</v>
      </c>
      <c r="D2698">
        <f>_xlfn.LET(_xlpm.steps,SUBSTITUTE(Table13[[#This Row],[Input]],Table13[[#This Row],[Direction]],""),VALUE(IF(LEN(_xlpm.steps)&gt;2,LEFT(_xlpm.steps,LEN(_xlpm.steps)-2),0)))</f>
        <v>0</v>
      </c>
      <c r="E2698">
        <f>_xlfn.LET(_xlpm.dir,Table13[[#This Row],[Direction]],
IF(_xlpm.dir="L",
    IF(G2697-Table13[[#This Row],[Steps]]&lt;0,100+(G2697-Table13[[#This Row],[Steps]]),G2697-Table13[[#This Row],[Steps]]),
))</f>
        <v>8</v>
      </c>
      <c r="F2698">
        <f>_xlfn.LET(_xlpm.dir,Table13[[#This Row],[Direction]],
IF(_xlpm.dir="R",
    IF(G2697+Table13[[#This Row],[Steps]]&gt;99,(G2697+Table13[[#This Row],[Steps]])-100,G2697+Table13[[#This Row],[Steps]]),
))</f>
        <v>0</v>
      </c>
      <c r="G2698">
        <f>IF(Table13[[#This Row],[New Pos L]]&lt;&gt;0,Table13[[#This Row],[New Pos L]],Table13[[#This Row],[New Pos R]])</f>
        <v>8</v>
      </c>
      <c r="H2698">
        <f>IF(AND(Table13[[#This Row],[Direction]]="L",Table13[[#This Row],[Steps]]&gt;G2697,G2697&lt;&gt;0),1,0)</f>
        <v>0</v>
      </c>
      <c r="I2698">
        <f>IF(AND(Table13[[#This Row],[Direction]]="R",(G2697+Table13[[#This Row],[Steps]])&gt;100),1,0)</f>
        <v>0</v>
      </c>
      <c r="J2698">
        <f>IF(Table13[[#This Row],[POS]]=0,1,0)</f>
        <v>0</v>
      </c>
      <c r="K2698">
        <f>SUM(Table13[[#This Row],[prefix]],Table13[[#This Row],[Past zero L]],Table13[[#This Row],[Past Zero R]],Table13[[#This Row],[Is Zero]])</f>
        <v>0</v>
      </c>
    </row>
    <row r="2699" spans="1:11" ht="16" x14ac:dyDescent="0.2">
      <c r="A2699" s="1" t="s">
        <v>20</v>
      </c>
      <c r="B2699" t="str">
        <f>LEFT(Table13[[#This Row],[Input]],1)</f>
        <v>R</v>
      </c>
      <c r="C2699">
        <f>_xlfn.LET(_xlpm.steps,SUBSTITUTE(Table13[[#This Row],[Input]],Table13[[#This Row],[Direction]],""),VALUE(IF(LEN(_xlpm.steps)&gt;2,RIGHT(_xlpm.steps,2),_xlpm.steps)))</f>
        <v>46</v>
      </c>
      <c r="D2699">
        <f>_xlfn.LET(_xlpm.steps,SUBSTITUTE(Table13[[#This Row],[Input]],Table13[[#This Row],[Direction]],""),VALUE(IF(LEN(_xlpm.steps)&gt;2,LEFT(_xlpm.steps,LEN(_xlpm.steps)-2),0)))</f>
        <v>0</v>
      </c>
      <c r="E2699">
        <f>_xlfn.LET(_xlpm.dir,Table13[[#This Row],[Direction]],
IF(_xlpm.dir="L",
    IF(G2698-Table13[[#This Row],[Steps]]&lt;0,100+(G2698-Table13[[#This Row],[Steps]]),G2698-Table13[[#This Row],[Steps]]),
))</f>
        <v>0</v>
      </c>
      <c r="F2699">
        <f>_xlfn.LET(_xlpm.dir,Table13[[#This Row],[Direction]],
IF(_xlpm.dir="R",
    IF(G2698+Table13[[#This Row],[Steps]]&gt;99,(G2698+Table13[[#This Row],[Steps]])-100,G2698+Table13[[#This Row],[Steps]]),
))</f>
        <v>54</v>
      </c>
      <c r="G2699">
        <f>IF(Table13[[#This Row],[New Pos L]]&lt;&gt;0,Table13[[#This Row],[New Pos L]],Table13[[#This Row],[New Pos R]])</f>
        <v>54</v>
      </c>
      <c r="H2699">
        <f>IF(AND(Table13[[#This Row],[Direction]]="L",Table13[[#This Row],[Steps]]&gt;G2698,G2698&lt;&gt;0),1,0)</f>
        <v>0</v>
      </c>
      <c r="I2699">
        <f>IF(AND(Table13[[#This Row],[Direction]]="R",(G2698+Table13[[#This Row],[Steps]])&gt;100),1,0)</f>
        <v>0</v>
      </c>
      <c r="J2699">
        <f>IF(Table13[[#This Row],[POS]]=0,1,0)</f>
        <v>0</v>
      </c>
      <c r="K2699">
        <f>SUM(Table13[[#This Row],[prefix]],Table13[[#This Row],[Past zero L]],Table13[[#This Row],[Past Zero R]],Table13[[#This Row],[Is Zero]])</f>
        <v>0</v>
      </c>
    </row>
    <row r="2700" spans="1:11" ht="16" x14ac:dyDescent="0.2">
      <c r="A2700" s="1" t="s">
        <v>309</v>
      </c>
      <c r="B2700" t="str">
        <f>LEFT(Table13[[#This Row],[Input]],1)</f>
        <v>L</v>
      </c>
      <c r="C2700">
        <f>_xlfn.LET(_xlpm.steps,SUBSTITUTE(Table13[[#This Row],[Input]],Table13[[#This Row],[Direction]],""),VALUE(IF(LEN(_xlpm.steps)&gt;2,RIGHT(_xlpm.steps,2),_xlpm.steps)))</f>
        <v>41</v>
      </c>
      <c r="D2700">
        <f>_xlfn.LET(_xlpm.steps,SUBSTITUTE(Table13[[#This Row],[Input]],Table13[[#This Row],[Direction]],""),VALUE(IF(LEN(_xlpm.steps)&gt;2,LEFT(_xlpm.steps,LEN(_xlpm.steps)-2),0)))</f>
        <v>0</v>
      </c>
      <c r="E2700">
        <f>_xlfn.LET(_xlpm.dir,Table13[[#This Row],[Direction]],
IF(_xlpm.dir="L",
    IF(G2699-Table13[[#This Row],[Steps]]&lt;0,100+(G2699-Table13[[#This Row],[Steps]]),G2699-Table13[[#This Row],[Steps]]),
))</f>
        <v>13</v>
      </c>
      <c r="F2700">
        <f>_xlfn.LET(_xlpm.dir,Table13[[#This Row],[Direction]],
IF(_xlpm.dir="R",
    IF(G2699+Table13[[#This Row],[Steps]]&gt;99,(G2699+Table13[[#This Row],[Steps]])-100,G2699+Table13[[#This Row],[Steps]]),
))</f>
        <v>0</v>
      </c>
      <c r="G2700">
        <f>IF(Table13[[#This Row],[New Pos L]]&lt;&gt;0,Table13[[#This Row],[New Pos L]],Table13[[#This Row],[New Pos R]])</f>
        <v>13</v>
      </c>
      <c r="H2700">
        <f>IF(AND(Table13[[#This Row],[Direction]]="L",Table13[[#This Row],[Steps]]&gt;G2699,G2699&lt;&gt;0),1,0)</f>
        <v>0</v>
      </c>
      <c r="I2700">
        <f>IF(AND(Table13[[#This Row],[Direction]]="R",(G2699+Table13[[#This Row],[Steps]])&gt;100),1,0)</f>
        <v>0</v>
      </c>
      <c r="J2700">
        <f>IF(Table13[[#This Row],[POS]]=0,1,0)</f>
        <v>0</v>
      </c>
      <c r="K2700">
        <f>SUM(Table13[[#This Row],[prefix]],Table13[[#This Row],[Past zero L]],Table13[[#This Row],[Past Zero R]],Table13[[#This Row],[Is Zero]])</f>
        <v>0</v>
      </c>
    </row>
    <row r="2701" spans="1:11" ht="16" x14ac:dyDescent="0.2">
      <c r="A2701" s="1" t="s">
        <v>213</v>
      </c>
      <c r="B2701" t="str">
        <f>LEFT(Table13[[#This Row],[Input]],1)</f>
        <v>R</v>
      </c>
      <c r="C2701">
        <f>_xlfn.LET(_xlpm.steps,SUBSTITUTE(Table13[[#This Row],[Input]],Table13[[#This Row],[Direction]],""),VALUE(IF(LEN(_xlpm.steps)&gt;2,RIGHT(_xlpm.steps,2),_xlpm.steps)))</f>
        <v>87</v>
      </c>
      <c r="D2701">
        <f>_xlfn.LET(_xlpm.steps,SUBSTITUTE(Table13[[#This Row],[Input]],Table13[[#This Row],[Direction]],""),VALUE(IF(LEN(_xlpm.steps)&gt;2,LEFT(_xlpm.steps,LEN(_xlpm.steps)-2),0)))</f>
        <v>0</v>
      </c>
      <c r="E2701">
        <f>_xlfn.LET(_xlpm.dir,Table13[[#This Row],[Direction]],
IF(_xlpm.dir="L",
    IF(G2700-Table13[[#This Row],[Steps]]&lt;0,100+(G2700-Table13[[#This Row],[Steps]]),G2700-Table13[[#This Row],[Steps]]),
))</f>
        <v>0</v>
      </c>
      <c r="F2701">
        <f>_xlfn.LET(_xlpm.dir,Table13[[#This Row],[Direction]],
IF(_xlpm.dir="R",
    IF(G2700+Table13[[#This Row],[Steps]]&gt;99,(G2700+Table13[[#This Row],[Steps]])-100,G2700+Table13[[#This Row],[Steps]]),
))</f>
        <v>0</v>
      </c>
      <c r="G2701">
        <f>IF(Table13[[#This Row],[New Pos L]]&lt;&gt;0,Table13[[#This Row],[New Pos L]],Table13[[#This Row],[New Pos R]])</f>
        <v>0</v>
      </c>
      <c r="H2701">
        <f>IF(AND(Table13[[#This Row],[Direction]]="L",Table13[[#This Row],[Steps]]&gt;G2700,G2700&lt;&gt;0),1,0)</f>
        <v>0</v>
      </c>
      <c r="I2701">
        <f>IF(AND(Table13[[#This Row],[Direction]]="R",(G2700+Table13[[#This Row],[Steps]])&gt;100),1,0)</f>
        <v>0</v>
      </c>
      <c r="J2701">
        <f>IF(Table13[[#This Row],[POS]]=0,1,0)</f>
        <v>1</v>
      </c>
      <c r="K2701">
        <f>SUM(Table13[[#This Row],[prefix]],Table13[[#This Row],[Past zero L]],Table13[[#This Row],[Past Zero R]],Table13[[#This Row],[Is Zero]])</f>
        <v>1</v>
      </c>
    </row>
    <row r="2702" spans="1:11" ht="16" x14ac:dyDescent="0.2">
      <c r="A2702" s="1" t="s">
        <v>207</v>
      </c>
      <c r="B2702" t="str">
        <f>LEFT(Table13[[#This Row],[Input]],1)</f>
        <v>L</v>
      </c>
      <c r="C2702">
        <f>_xlfn.LET(_xlpm.steps,SUBSTITUTE(Table13[[#This Row],[Input]],Table13[[#This Row],[Direction]],""),VALUE(IF(LEN(_xlpm.steps)&gt;2,RIGHT(_xlpm.steps,2),_xlpm.steps)))</f>
        <v>89</v>
      </c>
      <c r="D2702">
        <f>_xlfn.LET(_xlpm.steps,SUBSTITUTE(Table13[[#This Row],[Input]],Table13[[#This Row],[Direction]],""),VALUE(IF(LEN(_xlpm.steps)&gt;2,LEFT(_xlpm.steps,LEN(_xlpm.steps)-2),0)))</f>
        <v>0</v>
      </c>
      <c r="E2702">
        <f>_xlfn.LET(_xlpm.dir,Table13[[#This Row],[Direction]],
IF(_xlpm.dir="L",
    IF(G2701-Table13[[#This Row],[Steps]]&lt;0,100+(G2701-Table13[[#This Row],[Steps]]),G2701-Table13[[#This Row],[Steps]]),
))</f>
        <v>11</v>
      </c>
      <c r="F2702">
        <f>_xlfn.LET(_xlpm.dir,Table13[[#This Row],[Direction]],
IF(_xlpm.dir="R",
    IF(G2701+Table13[[#This Row],[Steps]]&gt;99,(G2701+Table13[[#This Row],[Steps]])-100,G2701+Table13[[#This Row],[Steps]]),
))</f>
        <v>0</v>
      </c>
      <c r="G2702">
        <f>IF(Table13[[#This Row],[New Pos L]]&lt;&gt;0,Table13[[#This Row],[New Pos L]],Table13[[#This Row],[New Pos R]])</f>
        <v>11</v>
      </c>
      <c r="H2702">
        <f>IF(AND(Table13[[#This Row],[Direction]]="L",Table13[[#This Row],[Steps]]&gt;G2701,G2701&lt;&gt;0),1,0)</f>
        <v>0</v>
      </c>
      <c r="I2702">
        <f>IF(AND(Table13[[#This Row],[Direction]]="R",(G2701+Table13[[#This Row],[Steps]])&gt;100),1,0)</f>
        <v>0</v>
      </c>
      <c r="J2702">
        <f>IF(Table13[[#This Row],[POS]]=0,1,0)</f>
        <v>0</v>
      </c>
      <c r="K2702">
        <f>SUM(Table13[[#This Row],[prefix]],Table13[[#This Row],[Past zero L]],Table13[[#This Row],[Past Zero R]],Table13[[#This Row],[Is Zero]])</f>
        <v>0</v>
      </c>
    </row>
    <row r="2703" spans="1:11" ht="16" x14ac:dyDescent="0.2">
      <c r="A2703" s="1" t="s">
        <v>462</v>
      </c>
      <c r="B2703" t="str">
        <f>LEFT(Table13[[#This Row],[Input]],1)</f>
        <v>L</v>
      </c>
      <c r="C2703">
        <f>_xlfn.LET(_xlpm.steps,SUBSTITUTE(Table13[[#This Row],[Input]],Table13[[#This Row],[Direction]],""),VALUE(IF(LEN(_xlpm.steps)&gt;2,RIGHT(_xlpm.steps,2),_xlpm.steps)))</f>
        <v>17</v>
      </c>
      <c r="D2703">
        <f>_xlfn.LET(_xlpm.steps,SUBSTITUTE(Table13[[#This Row],[Input]],Table13[[#This Row],[Direction]],""),VALUE(IF(LEN(_xlpm.steps)&gt;2,LEFT(_xlpm.steps,LEN(_xlpm.steps)-2),0)))</f>
        <v>0</v>
      </c>
      <c r="E2703">
        <f>_xlfn.LET(_xlpm.dir,Table13[[#This Row],[Direction]],
IF(_xlpm.dir="L",
    IF(G2702-Table13[[#This Row],[Steps]]&lt;0,100+(G2702-Table13[[#This Row],[Steps]]),G2702-Table13[[#This Row],[Steps]]),
))</f>
        <v>94</v>
      </c>
      <c r="F2703">
        <f>_xlfn.LET(_xlpm.dir,Table13[[#This Row],[Direction]],
IF(_xlpm.dir="R",
    IF(G2702+Table13[[#This Row],[Steps]]&gt;99,(G2702+Table13[[#This Row],[Steps]])-100,G2702+Table13[[#This Row],[Steps]]),
))</f>
        <v>0</v>
      </c>
      <c r="G2703">
        <f>IF(Table13[[#This Row],[New Pos L]]&lt;&gt;0,Table13[[#This Row],[New Pos L]],Table13[[#This Row],[New Pos R]])</f>
        <v>94</v>
      </c>
      <c r="H2703">
        <f>IF(AND(Table13[[#This Row],[Direction]]="L",Table13[[#This Row],[Steps]]&gt;G2702,G2702&lt;&gt;0),1,0)</f>
        <v>1</v>
      </c>
      <c r="I2703">
        <f>IF(AND(Table13[[#This Row],[Direction]]="R",(G2702+Table13[[#This Row],[Steps]])&gt;100),1,0)</f>
        <v>0</v>
      </c>
      <c r="J2703">
        <f>IF(Table13[[#This Row],[POS]]=0,1,0)</f>
        <v>0</v>
      </c>
      <c r="K2703">
        <f>SUM(Table13[[#This Row],[prefix]],Table13[[#This Row],[Past zero L]],Table13[[#This Row],[Past Zero R]],Table13[[#This Row],[Is Zero]])</f>
        <v>1</v>
      </c>
    </row>
    <row r="2704" spans="1:11" ht="16" x14ac:dyDescent="0.2">
      <c r="A2704" s="1" t="s">
        <v>647</v>
      </c>
      <c r="B2704" t="str">
        <f>LEFT(Table13[[#This Row],[Input]],1)</f>
        <v>L</v>
      </c>
      <c r="C2704">
        <f>_xlfn.LET(_xlpm.steps,SUBSTITUTE(Table13[[#This Row],[Input]],Table13[[#This Row],[Direction]],""),VALUE(IF(LEN(_xlpm.steps)&gt;2,RIGHT(_xlpm.steps,2),_xlpm.steps)))</f>
        <v>28</v>
      </c>
      <c r="D2704">
        <f>_xlfn.LET(_xlpm.steps,SUBSTITUTE(Table13[[#This Row],[Input]],Table13[[#This Row],[Direction]],""),VALUE(IF(LEN(_xlpm.steps)&gt;2,LEFT(_xlpm.steps,LEN(_xlpm.steps)-2),0)))</f>
        <v>8</v>
      </c>
      <c r="E2704">
        <f>_xlfn.LET(_xlpm.dir,Table13[[#This Row],[Direction]],
IF(_xlpm.dir="L",
    IF(G2703-Table13[[#This Row],[Steps]]&lt;0,100+(G2703-Table13[[#This Row],[Steps]]),G2703-Table13[[#This Row],[Steps]]),
))</f>
        <v>66</v>
      </c>
      <c r="F2704">
        <f>_xlfn.LET(_xlpm.dir,Table13[[#This Row],[Direction]],
IF(_xlpm.dir="R",
    IF(G2703+Table13[[#This Row],[Steps]]&gt;99,(G2703+Table13[[#This Row],[Steps]])-100,G2703+Table13[[#This Row],[Steps]]),
))</f>
        <v>0</v>
      </c>
      <c r="G2704">
        <f>IF(Table13[[#This Row],[New Pos L]]&lt;&gt;0,Table13[[#This Row],[New Pos L]],Table13[[#This Row],[New Pos R]])</f>
        <v>66</v>
      </c>
      <c r="H2704">
        <f>IF(AND(Table13[[#This Row],[Direction]]="L",Table13[[#This Row],[Steps]]&gt;G2703,G2703&lt;&gt;0),1,0)</f>
        <v>0</v>
      </c>
      <c r="I2704">
        <f>IF(AND(Table13[[#This Row],[Direction]]="R",(G2703+Table13[[#This Row],[Steps]])&gt;100),1,0)</f>
        <v>0</v>
      </c>
      <c r="J2704">
        <f>IF(Table13[[#This Row],[POS]]=0,1,0)</f>
        <v>0</v>
      </c>
      <c r="K2704">
        <f>SUM(Table13[[#This Row],[prefix]],Table13[[#This Row],[Past zero L]],Table13[[#This Row],[Past Zero R]],Table13[[#This Row],[Is Zero]])</f>
        <v>8</v>
      </c>
    </row>
    <row r="2705" spans="1:11" ht="16" x14ac:dyDescent="0.2">
      <c r="A2705" s="1" t="s">
        <v>4</v>
      </c>
      <c r="B2705" t="str">
        <f>LEFT(Table13[[#This Row],[Input]],1)</f>
        <v>R</v>
      </c>
      <c r="C2705">
        <f>_xlfn.LET(_xlpm.steps,SUBSTITUTE(Table13[[#This Row],[Input]],Table13[[#This Row],[Direction]],""),VALUE(IF(LEN(_xlpm.steps)&gt;2,RIGHT(_xlpm.steps,2),_xlpm.steps)))</f>
        <v>3</v>
      </c>
      <c r="D2705">
        <f>_xlfn.LET(_xlpm.steps,SUBSTITUTE(Table13[[#This Row],[Input]],Table13[[#This Row],[Direction]],""),VALUE(IF(LEN(_xlpm.steps)&gt;2,LEFT(_xlpm.steps,LEN(_xlpm.steps)-2),0)))</f>
        <v>0</v>
      </c>
      <c r="E2705">
        <f>_xlfn.LET(_xlpm.dir,Table13[[#This Row],[Direction]],
IF(_xlpm.dir="L",
    IF(G2704-Table13[[#This Row],[Steps]]&lt;0,100+(G2704-Table13[[#This Row],[Steps]]),G2704-Table13[[#This Row],[Steps]]),
))</f>
        <v>0</v>
      </c>
      <c r="F2705">
        <f>_xlfn.LET(_xlpm.dir,Table13[[#This Row],[Direction]],
IF(_xlpm.dir="R",
    IF(G2704+Table13[[#This Row],[Steps]]&gt;99,(G2704+Table13[[#This Row],[Steps]])-100,G2704+Table13[[#This Row],[Steps]]),
))</f>
        <v>69</v>
      </c>
      <c r="G2705">
        <f>IF(Table13[[#This Row],[New Pos L]]&lt;&gt;0,Table13[[#This Row],[New Pos L]],Table13[[#This Row],[New Pos R]])</f>
        <v>69</v>
      </c>
      <c r="H2705">
        <f>IF(AND(Table13[[#This Row],[Direction]]="L",Table13[[#This Row],[Steps]]&gt;G2704,G2704&lt;&gt;0),1,0)</f>
        <v>0</v>
      </c>
      <c r="I2705">
        <f>IF(AND(Table13[[#This Row],[Direction]]="R",(G2704+Table13[[#This Row],[Steps]])&gt;100),1,0)</f>
        <v>0</v>
      </c>
      <c r="J2705">
        <f>IF(Table13[[#This Row],[POS]]=0,1,0)</f>
        <v>0</v>
      </c>
      <c r="K2705">
        <f>SUM(Table13[[#This Row],[prefix]],Table13[[#This Row],[Past zero L]],Table13[[#This Row],[Past Zero R]],Table13[[#This Row],[Is Zero]])</f>
        <v>0</v>
      </c>
    </row>
    <row r="2706" spans="1:11" ht="16" x14ac:dyDescent="0.2">
      <c r="A2706" s="1" t="s">
        <v>267</v>
      </c>
      <c r="B2706" t="str">
        <f>LEFT(Table13[[#This Row],[Input]],1)</f>
        <v>L</v>
      </c>
      <c r="C2706">
        <f>_xlfn.LET(_xlpm.steps,SUBSTITUTE(Table13[[#This Row],[Input]],Table13[[#This Row],[Direction]],""),VALUE(IF(LEN(_xlpm.steps)&gt;2,RIGHT(_xlpm.steps,2),_xlpm.steps)))</f>
        <v>39</v>
      </c>
      <c r="D2706">
        <f>_xlfn.LET(_xlpm.steps,SUBSTITUTE(Table13[[#This Row],[Input]],Table13[[#This Row],[Direction]],""),VALUE(IF(LEN(_xlpm.steps)&gt;2,LEFT(_xlpm.steps,LEN(_xlpm.steps)-2),0)))</f>
        <v>0</v>
      </c>
      <c r="E2706">
        <f>_xlfn.LET(_xlpm.dir,Table13[[#This Row],[Direction]],
IF(_xlpm.dir="L",
    IF(G2705-Table13[[#This Row],[Steps]]&lt;0,100+(G2705-Table13[[#This Row],[Steps]]),G2705-Table13[[#This Row],[Steps]]),
))</f>
        <v>30</v>
      </c>
      <c r="F2706">
        <f>_xlfn.LET(_xlpm.dir,Table13[[#This Row],[Direction]],
IF(_xlpm.dir="R",
    IF(G2705+Table13[[#This Row],[Steps]]&gt;99,(G2705+Table13[[#This Row],[Steps]])-100,G2705+Table13[[#This Row],[Steps]]),
))</f>
        <v>0</v>
      </c>
      <c r="G2706">
        <f>IF(Table13[[#This Row],[New Pos L]]&lt;&gt;0,Table13[[#This Row],[New Pos L]],Table13[[#This Row],[New Pos R]])</f>
        <v>30</v>
      </c>
      <c r="H2706">
        <f>IF(AND(Table13[[#This Row],[Direction]]="L",Table13[[#This Row],[Steps]]&gt;G2705,G2705&lt;&gt;0),1,0)</f>
        <v>0</v>
      </c>
      <c r="I2706">
        <f>IF(AND(Table13[[#This Row],[Direction]]="R",(G2705+Table13[[#This Row],[Steps]])&gt;100),1,0)</f>
        <v>0</v>
      </c>
      <c r="J2706">
        <f>IF(Table13[[#This Row],[POS]]=0,1,0)</f>
        <v>0</v>
      </c>
      <c r="K2706">
        <f>SUM(Table13[[#This Row],[prefix]],Table13[[#This Row],[Past zero L]],Table13[[#This Row],[Past Zero R]],Table13[[#This Row],[Is Zero]])</f>
        <v>0</v>
      </c>
    </row>
    <row r="2707" spans="1:11" ht="16" x14ac:dyDescent="0.2">
      <c r="A2707" s="1" t="s">
        <v>241</v>
      </c>
      <c r="B2707" t="str">
        <f>LEFT(Table13[[#This Row],[Input]],1)</f>
        <v>R</v>
      </c>
      <c r="C2707">
        <f>_xlfn.LET(_xlpm.steps,SUBSTITUTE(Table13[[#This Row],[Input]],Table13[[#This Row],[Direction]],""),VALUE(IF(LEN(_xlpm.steps)&gt;2,RIGHT(_xlpm.steps,2),_xlpm.steps)))</f>
        <v>60</v>
      </c>
      <c r="D2707">
        <f>_xlfn.LET(_xlpm.steps,SUBSTITUTE(Table13[[#This Row],[Input]],Table13[[#This Row],[Direction]],""),VALUE(IF(LEN(_xlpm.steps)&gt;2,LEFT(_xlpm.steps,LEN(_xlpm.steps)-2),0)))</f>
        <v>0</v>
      </c>
      <c r="E2707">
        <f>_xlfn.LET(_xlpm.dir,Table13[[#This Row],[Direction]],
IF(_xlpm.dir="L",
    IF(G2706-Table13[[#This Row],[Steps]]&lt;0,100+(G2706-Table13[[#This Row],[Steps]]),G2706-Table13[[#This Row],[Steps]]),
))</f>
        <v>0</v>
      </c>
      <c r="F2707">
        <f>_xlfn.LET(_xlpm.dir,Table13[[#This Row],[Direction]],
IF(_xlpm.dir="R",
    IF(G2706+Table13[[#This Row],[Steps]]&gt;99,(G2706+Table13[[#This Row],[Steps]])-100,G2706+Table13[[#This Row],[Steps]]),
))</f>
        <v>90</v>
      </c>
      <c r="G2707">
        <f>IF(Table13[[#This Row],[New Pos L]]&lt;&gt;0,Table13[[#This Row],[New Pos L]],Table13[[#This Row],[New Pos R]])</f>
        <v>90</v>
      </c>
      <c r="H2707">
        <f>IF(AND(Table13[[#This Row],[Direction]]="L",Table13[[#This Row],[Steps]]&gt;G2706,G2706&lt;&gt;0),1,0)</f>
        <v>0</v>
      </c>
      <c r="I2707">
        <f>IF(AND(Table13[[#This Row],[Direction]]="R",(G2706+Table13[[#This Row],[Steps]])&gt;100),1,0)</f>
        <v>0</v>
      </c>
      <c r="J2707">
        <f>IF(Table13[[#This Row],[POS]]=0,1,0)</f>
        <v>0</v>
      </c>
      <c r="K2707">
        <f>SUM(Table13[[#This Row],[prefix]],Table13[[#This Row],[Past zero L]],Table13[[#This Row],[Past Zero R]],Table13[[#This Row],[Is Zero]])</f>
        <v>0</v>
      </c>
    </row>
    <row r="2708" spans="1:11" ht="16" x14ac:dyDescent="0.2">
      <c r="A2708" s="1" t="s">
        <v>64</v>
      </c>
      <c r="B2708" t="str">
        <f>LEFT(Table13[[#This Row],[Input]],1)</f>
        <v>R</v>
      </c>
      <c r="C2708">
        <f>_xlfn.LET(_xlpm.steps,SUBSTITUTE(Table13[[#This Row],[Input]],Table13[[#This Row],[Direction]],""),VALUE(IF(LEN(_xlpm.steps)&gt;2,RIGHT(_xlpm.steps,2),_xlpm.steps)))</f>
        <v>10</v>
      </c>
      <c r="D2708">
        <f>_xlfn.LET(_xlpm.steps,SUBSTITUTE(Table13[[#This Row],[Input]],Table13[[#This Row],[Direction]],""),VALUE(IF(LEN(_xlpm.steps)&gt;2,LEFT(_xlpm.steps,LEN(_xlpm.steps)-2),0)))</f>
        <v>0</v>
      </c>
      <c r="E2708">
        <f>_xlfn.LET(_xlpm.dir,Table13[[#This Row],[Direction]],
IF(_xlpm.dir="L",
    IF(G2707-Table13[[#This Row],[Steps]]&lt;0,100+(G2707-Table13[[#This Row],[Steps]]),G2707-Table13[[#This Row],[Steps]]),
))</f>
        <v>0</v>
      </c>
      <c r="F2708">
        <f>_xlfn.LET(_xlpm.dir,Table13[[#This Row],[Direction]],
IF(_xlpm.dir="R",
    IF(G2707+Table13[[#This Row],[Steps]]&gt;99,(G2707+Table13[[#This Row],[Steps]])-100,G2707+Table13[[#This Row],[Steps]]),
))</f>
        <v>0</v>
      </c>
      <c r="G2708">
        <f>IF(Table13[[#This Row],[New Pos L]]&lt;&gt;0,Table13[[#This Row],[New Pos L]],Table13[[#This Row],[New Pos R]])</f>
        <v>0</v>
      </c>
      <c r="H2708">
        <f>IF(AND(Table13[[#This Row],[Direction]]="L",Table13[[#This Row],[Steps]]&gt;G2707,G2707&lt;&gt;0),1,0)</f>
        <v>0</v>
      </c>
      <c r="I2708">
        <f>IF(AND(Table13[[#This Row],[Direction]]="R",(G2707+Table13[[#This Row],[Steps]])&gt;100),1,0)</f>
        <v>0</v>
      </c>
      <c r="J2708">
        <f>IF(Table13[[#This Row],[POS]]=0,1,0)</f>
        <v>1</v>
      </c>
      <c r="K2708">
        <f>SUM(Table13[[#This Row],[prefix]],Table13[[#This Row],[Past zero L]],Table13[[#This Row],[Past Zero R]],Table13[[#This Row],[Is Zero]])</f>
        <v>1</v>
      </c>
    </row>
    <row r="2709" spans="1:11" ht="16" x14ac:dyDescent="0.2">
      <c r="A2709" s="1" t="s">
        <v>70</v>
      </c>
      <c r="B2709" t="str">
        <f>LEFT(Table13[[#This Row],[Input]],1)</f>
        <v>R</v>
      </c>
      <c r="C2709">
        <f>_xlfn.LET(_xlpm.steps,SUBSTITUTE(Table13[[#This Row],[Input]],Table13[[#This Row],[Direction]],""),VALUE(IF(LEN(_xlpm.steps)&gt;2,RIGHT(_xlpm.steps,2),_xlpm.steps)))</f>
        <v>73</v>
      </c>
      <c r="D2709">
        <f>_xlfn.LET(_xlpm.steps,SUBSTITUTE(Table13[[#This Row],[Input]],Table13[[#This Row],[Direction]],""),VALUE(IF(LEN(_xlpm.steps)&gt;2,LEFT(_xlpm.steps,LEN(_xlpm.steps)-2),0)))</f>
        <v>0</v>
      </c>
      <c r="E2709">
        <f>_xlfn.LET(_xlpm.dir,Table13[[#This Row],[Direction]],
IF(_xlpm.dir="L",
    IF(G2708-Table13[[#This Row],[Steps]]&lt;0,100+(G2708-Table13[[#This Row],[Steps]]),G2708-Table13[[#This Row],[Steps]]),
))</f>
        <v>0</v>
      </c>
      <c r="F2709">
        <f>_xlfn.LET(_xlpm.dir,Table13[[#This Row],[Direction]],
IF(_xlpm.dir="R",
    IF(G2708+Table13[[#This Row],[Steps]]&gt;99,(G2708+Table13[[#This Row],[Steps]])-100,G2708+Table13[[#This Row],[Steps]]),
))</f>
        <v>73</v>
      </c>
      <c r="G2709">
        <f>IF(Table13[[#This Row],[New Pos L]]&lt;&gt;0,Table13[[#This Row],[New Pos L]],Table13[[#This Row],[New Pos R]])</f>
        <v>73</v>
      </c>
      <c r="H2709">
        <f>IF(AND(Table13[[#This Row],[Direction]]="L",Table13[[#This Row],[Steps]]&gt;G2708,G2708&lt;&gt;0),1,0)</f>
        <v>0</v>
      </c>
      <c r="I2709">
        <f>IF(AND(Table13[[#This Row],[Direction]]="R",(G2708+Table13[[#This Row],[Steps]])&gt;100),1,0)</f>
        <v>0</v>
      </c>
      <c r="J2709">
        <f>IF(Table13[[#This Row],[POS]]=0,1,0)</f>
        <v>0</v>
      </c>
      <c r="K2709">
        <f>SUM(Table13[[#This Row],[prefix]],Table13[[#This Row],[Past zero L]],Table13[[#This Row],[Past Zero R]],Table13[[#This Row],[Is Zero]])</f>
        <v>0</v>
      </c>
    </row>
    <row r="2710" spans="1:11" ht="16" x14ac:dyDescent="0.2">
      <c r="A2710" s="1" t="s">
        <v>69</v>
      </c>
      <c r="B2710" t="str">
        <f>LEFT(Table13[[#This Row],[Input]],1)</f>
        <v>R</v>
      </c>
      <c r="C2710">
        <f>_xlfn.LET(_xlpm.steps,SUBSTITUTE(Table13[[#This Row],[Input]],Table13[[#This Row],[Direction]],""),VALUE(IF(LEN(_xlpm.steps)&gt;2,RIGHT(_xlpm.steps,2),_xlpm.steps)))</f>
        <v>27</v>
      </c>
      <c r="D2710">
        <f>_xlfn.LET(_xlpm.steps,SUBSTITUTE(Table13[[#This Row],[Input]],Table13[[#This Row],[Direction]],""),VALUE(IF(LEN(_xlpm.steps)&gt;2,LEFT(_xlpm.steps,LEN(_xlpm.steps)-2),0)))</f>
        <v>0</v>
      </c>
      <c r="E2710">
        <f>_xlfn.LET(_xlpm.dir,Table13[[#This Row],[Direction]],
IF(_xlpm.dir="L",
    IF(G2709-Table13[[#This Row],[Steps]]&lt;0,100+(G2709-Table13[[#This Row],[Steps]]),G2709-Table13[[#This Row],[Steps]]),
))</f>
        <v>0</v>
      </c>
      <c r="F2710">
        <f>_xlfn.LET(_xlpm.dir,Table13[[#This Row],[Direction]],
IF(_xlpm.dir="R",
    IF(G2709+Table13[[#This Row],[Steps]]&gt;99,(G2709+Table13[[#This Row],[Steps]])-100,G2709+Table13[[#This Row],[Steps]]),
))</f>
        <v>0</v>
      </c>
      <c r="G2710">
        <f>IF(Table13[[#This Row],[New Pos L]]&lt;&gt;0,Table13[[#This Row],[New Pos L]],Table13[[#This Row],[New Pos R]])</f>
        <v>0</v>
      </c>
      <c r="H2710">
        <f>IF(AND(Table13[[#This Row],[Direction]]="L",Table13[[#This Row],[Steps]]&gt;G2709,G2709&lt;&gt;0),1,0)</f>
        <v>0</v>
      </c>
      <c r="I2710">
        <f>IF(AND(Table13[[#This Row],[Direction]]="R",(G2709+Table13[[#This Row],[Steps]])&gt;100),1,0)</f>
        <v>0</v>
      </c>
      <c r="J2710">
        <f>IF(Table13[[#This Row],[POS]]=0,1,0)</f>
        <v>1</v>
      </c>
      <c r="K2710">
        <f>SUM(Table13[[#This Row],[prefix]],Table13[[#This Row],[Past zero L]],Table13[[#This Row],[Past Zero R]],Table13[[#This Row],[Is Zero]])</f>
        <v>1</v>
      </c>
    </row>
    <row r="2711" spans="1:11" ht="16" x14ac:dyDescent="0.2">
      <c r="A2711" s="1" t="s">
        <v>122</v>
      </c>
      <c r="B2711" t="str">
        <f>LEFT(Table13[[#This Row],[Input]],1)</f>
        <v>R</v>
      </c>
      <c r="C2711">
        <f>_xlfn.LET(_xlpm.steps,SUBSTITUTE(Table13[[#This Row],[Input]],Table13[[#This Row],[Direction]],""),VALUE(IF(LEN(_xlpm.steps)&gt;2,RIGHT(_xlpm.steps,2),_xlpm.steps)))</f>
        <v>75</v>
      </c>
      <c r="D2711">
        <f>_xlfn.LET(_xlpm.steps,SUBSTITUTE(Table13[[#This Row],[Input]],Table13[[#This Row],[Direction]],""),VALUE(IF(LEN(_xlpm.steps)&gt;2,LEFT(_xlpm.steps,LEN(_xlpm.steps)-2),0)))</f>
        <v>0</v>
      </c>
      <c r="E2711">
        <f>_xlfn.LET(_xlpm.dir,Table13[[#This Row],[Direction]],
IF(_xlpm.dir="L",
    IF(G2710-Table13[[#This Row],[Steps]]&lt;0,100+(G2710-Table13[[#This Row],[Steps]]),G2710-Table13[[#This Row],[Steps]]),
))</f>
        <v>0</v>
      </c>
      <c r="F2711">
        <f>_xlfn.LET(_xlpm.dir,Table13[[#This Row],[Direction]],
IF(_xlpm.dir="R",
    IF(G2710+Table13[[#This Row],[Steps]]&gt;99,(G2710+Table13[[#This Row],[Steps]])-100,G2710+Table13[[#This Row],[Steps]]),
))</f>
        <v>75</v>
      </c>
      <c r="G2711">
        <f>IF(Table13[[#This Row],[New Pos L]]&lt;&gt;0,Table13[[#This Row],[New Pos L]],Table13[[#This Row],[New Pos R]])</f>
        <v>75</v>
      </c>
      <c r="H2711">
        <f>IF(AND(Table13[[#This Row],[Direction]]="L",Table13[[#This Row],[Steps]]&gt;G2710,G2710&lt;&gt;0),1,0)</f>
        <v>0</v>
      </c>
      <c r="I2711">
        <f>IF(AND(Table13[[#This Row],[Direction]]="R",(G2710+Table13[[#This Row],[Steps]])&gt;100),1,0)</f>
        <v>0</v>
      </c>
      <c r="J2711">
        <f>IF(Table13[[#This Row],[POS]]=0,1,0)</f>
        <v>0</v>
      </c>
      <c r="K2711">
        <f>SUM(Table13[[#This Row],[prefix]],Table13[[#This Row],[Past zero L]],Table13[[#This Row],[Past Zero R]],Table13[[#This Row],[Is Zero]])</f>
        <v>0</v>
      </c>
    </row>
    <row r="2712" spans="1:11" ht="16" x14ac:dyDescent="0.2">
      <c r="A2712" s="1" t="s">
        <v>54</v>
      </c>
      <c r="B2712" t="str">
        <f>LEFT(Table13[[#This Row],[Input]],1)</f>
        <v>L</v>
      </c>
      <c r="C2712">
        <f>_xlfn.LET(_xlpm.steps,SUBSTITUTE(Table13[[#This Row],[Input]],Table13[[#This Row],[Direction]],""),VALUE(IF(LEN(_xlpm.steps)&gt;2,RIGHT(_xlpm.steps,2),_xlpm.steps)))</f>
        <v>75</v>
      </c>
      <c r="D2712">
        <f>_xlfn.LET(_xlpm.steps,SUBSTITUTE(Table13[[#This Row],[Input]],Table13[[#This Row],[Direction]],""),VALUE(IF(LEN(_xlpm.steps)&gt;2,LEFT(_xlpm.steps,LEN(_xlpm.steps)-2),0)))</f>
        <v>0</v>
      </c>
      <c r="E2712">
        <f>_xlfn.LET(_xlpm.dir,Table13[[#This Row],[Direction]],
IF(_xlpm.dir="L",
    IF(G2711-Table13[[#This Row],[Steps]]&lt;0,100+(G2711-Table13[[#This Row],[Steps]]),G2711-Table13[[#This Row],[Steps]]),
))</f>
        <v>0</v>
      </c>
      <c r="F2712">
        <f>_xlfn.LET(_xlpm.dir,Table13[[#This Row],[Direction]],
IF(_xlpm.dir="R",
    IF(G2711+Table13[[#This Row],[Steps]]&gt;99,(G2711+Table13[[#This Row],[Steps]])-100,G2711+Table13[[#This Row],[Steps]]),
))</f>
        <v>0</v>
      </c>
      <c r="G2712">
        <f>IF(Table13[[#This Row],[New Pos L]]&lt;&gt;0,Table13[[#This Row],[New Pos L]],Table13[[#This Row],[New Pos R]])</f>
        <v>0</v>
      </c>
      <c r="H2712">
        <f>IF(AND(Table13[[#This Row],[Direction]]="L",Table13[[#This Row],[Steps]]&gt;G2711,G2711&lt;&gt;0),1,0)</f>
        <v>0</v>
      </c>
      <c r="I2712">
        <f>IF(AND(Table13[[#This Row],[Direction]]="R",(G2711+Table13[[#This Row],[Steps]])&gt;100),1,0)</f>
        <v>0</v>
      </c>
      <c r="J2712">
        <f>IF(Table13[[#This Row],[POS]]=0,1,0)</f>
        <v>1</v>
      </c>
      <c r="K2712">
        <f>SUM(Table13[[#This Row],[prefix]],Table13[[#This Row],[Past zero L]],Table13[[#This Row],[Past Zero R]],Table13[[#This Row],[Is Zero]])</f>
        <v>1</v>
      </c>
    </row>
    <row r="2713" spans="1:11" ht="16" x14ac:dyDescent="0.2">
      <c r="A2713" s="1" t="s">
        <v>648</v>
      </c>
      <c r="B2713" t="str">
        <f>LEFT(Table13[[#This Row],[Input]],1)</f>
        <v>L</v>
      </c>
      <c r="C2713">
        <f>_xlfn.LET(_xlpm.steps,SUBSTITUTE(Table13[[#This Row],[Input]],Table13[[#This Row],[Direction]],""),VALUE(IF(LEN(_xlpm.steps)&gt;2,RIGHT(_xlpm.steps,2),_xlpm.steps)))</f>
        <v>49</v>
      </c>
      <c r="D2713">
        <f>_xlfn.LET(_xlpm.steps,SUBSTITUTE(Table13[[#This Row],[Input]],Table13[[#This Row],[Direction]],""),VALUE(IF(LEN(_xlpm.steps)&gt;2,LEFT(_xlpm.steps,LEN(_xlpm.steps)-2),0)))</f>
        <v>8</v>
      </c>
      <c r="E2713">
        <f>_xlfn.LET(_xlpm.dir,Table13[[#This Row],[Direction]],
IF(_xlpm.dir="L",
    IF(G2712-Table13[[#This Row],[Steps]]&lt;0,100+(G2712-Table13[[#This Row],[Steps]]),G2712-Table13[[#This Row],[Steps]]),
))</f>
        <v>51</v>
      </c>
      <c r="F2713">
        <f>_xlfn.LET(_xlpm.dir,Table13[[#This Row],[Direction]],
IF(_xlpm.dir="R",
    IF(G2712+Table13[[#This Row],[Steps]]&gt;99,(G2712+Table13[[#This Row],[Steps]])-100,G2712+Table13[[#This Row],[Steps]]),
))</f>
        <v>0</v>
      </c>
      <c r="G2713">
        <f>IF(Table13[[#This Row],[New Pos L]]&lt;&gt;0,Table13[[#This Row],[New Pos L]],Table13[[#This Row],[New Pos R]])</f>
        <v>51</v>
      </c>
      <c r="H2713">
        <f>IF(AND(Table13[[#This Row],[Direction]]="L",Table13[[#This Row],[Steps]]&gt;G2712,G2712&lt;&gt;0),1,0)</f>
        <v>0</v>
      </c>
      <c r="I2713">
        <f>IF(AND(Table13[[#This Row],[Direction]]="R",(G2712+Table13[[#This Row],[Steps]])&gt;100),1,0)</f>
        <v>0</v>
      </c>
      <c r="J2713">
        <f>IF(Table13[[#This Row],[POS]]=0,1,0)</f>
        <v>0</v>
      </c>
      <c r="K2713">
        <f>SUM(Table13[[#This Row],[prefix]],Table13[[#This Row],[Past zero L]],Table13[[#This Row],[Past Zero R]],Table13[[#This Row],[Is Zero]])</f>
        <v>8</v>
      </c>
    </row>
    <row r="2714" spans="1:11" ht="16" x14ac:dyDescent="0.2">
      <c r="A2714" s="1" t="s">
        <v>490</v>
      </c>
      <c r="B2714" t="str">
        <f>LEFT(Table13[[#This Row],[Input]],1)</f>
        <v>R</v>
      </c>
      <c r="C2714">
        <f>_xlfn.LET(_xlpm.steps,SUBSTITUTE(Table13[[#This Row],[Input]],Table13[[#This Row],[Direction]],""),VALUE(IF(LEN(_xlpm.steps)&gt;2,RIGHT(_xlpm.steps,2),_xlpm.steps)))</f>
        <v>49</v>
      </c>
      <c r="D2714">
        <f>_xlfn.LET(_xlpm.steps,SUBSTITUTE(Table13[[#This Row],[Input]],Table13[[#This Row],[Direction]],""),VALUE(IF(LEN(_xlpm.steps)&gt;2,LEFT(_xlpm.steps,LEN(_xlpm.steps)-2),0)))</f>
        <v>7</v>
      </c>
      <c r="E2714">
        <f>_xlfn.LET(_xlpm.dir,Table13[[#This Row],[Direction]],
IF(_xlpm.dir="L",
    IF(G2713-Table13[[#This Row],[Steps]]&lt;0,100+(G2713-Table13[[#This Row],[Steps]]),G2713-Table13[[#This Row],[Steps]]),
))</f>
        <v>0</v>
      </c>
      <c r="F2714">
        <f>_xlfn.LET(_xlpm.dir,Table13[[#This Row],[Direction]],
IF(_xlpm.dir="R",
    IF(G2713+Table13[[#This Row],[Steps]]&gt;99,(G2713+Table13[[#This Row],[Steps]])-100,G2713+Table13[[#This Row],[Steps]]),
))</f>
        <v>0</v>
      </c>
      <c r="G2714">
        <f>IF(Table13[[#This Row],[New Pos L]]&lt;&gt;0,Table13[[#This Row],[New Pos L]],Table13[[#This Row],[New Pos R]])</f>
        <v>0</v>
      </c>
      <c r="H2714">
        <f>IF(AND(Table13[[#This Row],[Direction]]="L",Table13[[#This Row],[Steps]]&gt;G2713,G2713&lt;&gt;0),1,0)</f>
        <v>0</v>
      </c>
      <c r="I2714">
        <f>IF(AND(Table13[[#This Row],[Direction]]="R",(G2713+Table13[[#This Row],[Steps]])&gt;100),1,0)</f>
        <v>0</v>
      </c>
      <c r="J2714">
        <f>IF(Table13[[#This Row],[POS]]=0,1,0)</f>
        <v>1</v>
      </c>
      <c r="K2714">
        <f>SUM(Table13[[#This Row],[prefix]],Table13[[#This Row],[Past zero L]],Table13[[#This Row],[Past Zero R]],Table13[[#This Row],[Is Zero]])</f>
        <v>8</v>
      </c>
    </row>
    <row r="2715" spans="1:11" ht="16" x14ac:dyDescent="0.2">
      <c r="A2715" s="1" t="s">
        <v>219</v>
      </c>
      <c r="B2715" t="str">
        <f>LEFT(Table13[[#This Row],[Input]],1)</f>
        <v>L</v>
      </c>
      <c r="C2715">
        <f>_xlfn.LET(_xlpm.steps,SUBSTITUTE(Table13[[#This Row],[Input]],Table13[[#This Row],[Direction]],""),VALUE(IF(LEN(_xlpm.steps)&gt;2,RIGHT(_xlpm.steps,2),_xlpm.steps)))</f>
        <v>64</v>
      </c>
      <c r="D2715">
        <f>_xlfn.LET(_xlpm.steps,SUBSTITUTE(Table13[[#This Row],[Input]],Table13[[#This Row],[Direction]],""),VALUE(IF(LEN(_xlpm.steps)&gt;2,LEFT(_xlpm.steps,LEN(_xlpm.steps)-2),0)))</f>
        <v>0</v>
      </c>
      <c r="E2715">
        <f>_xlfn.LET(_xlpm.dir,Table13[[#This Row],[Direction]],
IF(_xlpm.dir="L",
    IF(G2714-Table13[[#This Row],[Steps]]&lt;0,100+(G2714-Table13[[#This Row],[Steps]]),G2714-Table13[[#This Row],[Steps]]),
))</f>
        <v>36</v>
      </c>
      <c r="F2715">
        <f>_xlfn.LET(_xlpm.dir,Table13[[#This Row],[Direction]],
IF(_xlpm.dir="R",
    IF(G2714+Table13[[#This Row],[Steps]]&gt;99,(G2714+Table13[[#This Row],[Steps]])-100,G2714+Table13[[#This Row],[Steps]]),
))</f>
        <v>0</v>
      </c>
      <c r="G2715">
        <f>IF(Table13[[#This Row],[New Pos L]]&lt;&gt;0,Table13[[#This Row],[New Pos L]],Table13[[#This Row],[New Pos R]])</f>
        <v>36</v>
      </c>
      <c r="H2715">
        <f>IF(AND(Table13[[#This Row],[Direction]]="L",Table13[[#This Row],[Steps]]&gt;G2714,G2714&lt;&gt;0),1,0)</f>
        <v>0</v>
      </c>
      <c r="I2715">
        <f>IF(AND(Table13[[#This Row],[Direction]]="R",(G2714+Table13[[#This Row],[Steps]])&gt;100),1,0)</f>
        <v>0</v>
      </c>
      <c r="J2715">
        <f>IF(Table13[[#This Row],[POS]]=0,1,0)</f>
        <v>0</v>
      </c>
      <c r="K2715">
        <f>SUM(Table13[[#This Row],[prefix]],Table13[[#This Row],[Past zero L]],Table13[[#This Row],[Past Zero R]],Table13[[#This Row],[Is Zero]])</f>
        <v>0</v>
      </c>
    </row>
    <row r="2716" spans="1:11" ht="16" x14ac:dyDescent="0.2">
      <c r="A2716" s="1" t="s">
        <v>325</v>
      </c>
      <c r="B2716" t="str">
        <f>LEFT(Table13[[#This Row],[Input]],1)</f>
        <v>L</v>
      </c>
      <c r="C2716">
        <f>_xlfn.LET(_xlpm.steps,SUBSTITUTE(Table13[[#This Row],[Input]],Table13[[#This Row],[Direction]],""),VALUE(IF(LEN(_xlpm.steps)&gt;2,RIGHT(_xlpm.steps,2),_xlpm.steps)))</f>
        <v>68</v>
      </c>
      <c r="D2716">
        <f>_xlfn.LET(_xlpm.steps,SUBSTITUTE(Table13[[#This Row],[Input]],Table13[[#This Row],[Direction]],""),VALUE(IF(LEN(_xlpm.steps)&gt;2,LEFT(_xlpm.steps,LEN(_xlpm.steps)-2),0)))</f>
        <v>0</v>
      </c>
      <c r="E2716">
        <f>_xlfn.LET(_xlpm.dir,Table13[[#This Row],[Direction]],
IF(_xlpm.dir="L",
    IF(G2715-Table13[[#This Row],[Steps]]&lt;0,100+(G2715-Table13[[#This Row],[Steps]]),G2715-Table13[[#This Row],[Steps]]),
))</f>
        <v>68</v>
      </c>
      <c r="F2716">
        <f>_xlfn.LET(_xlpm.dir,Table13[[#This Row],[Direction]],
IF(_xlpm.dir="R",
    IF(G2715+Table13[[#This Row],[Steps]]&gt;99,(G2715+Table13[[#This Row],[Steps]])-100,G2715+Table13[[#This Row],[Steps]]),
))</f>
        <v>0</v>
      </c>
      <c r="G2716">
        <f>IF(Table13[[#This Row],[New Pos L]]&lt;&gt;0,Table13[[#This Row],[New Pos L]],Table13[[#This Row],[New Pos R]])</f>
        <v>68</v>
      </c>
      <c r="H2716">
        <f>IF(AND(Table13[[#This Row],[Direction]]="L",Table13[[#This Row],[Steps]]&gt;G2715,G2715&lt;&gt;0),1,0)</f>
        <v>1</v>
      </c>
      <c r="I2716">
        <f>IF(AND(Table13[[#This Row],[Direction]]="R",(G2715+Table13[[#This Row],[Steps]])&gt;100),1,0)</f>
        <v>0</v>
      </c>
      <c r="J2716">
        <f>IF(Table13[[#This Row],[POS]]=0,1,0)</f>
        <v>0</v>
      </c>
      <c r="K2716">
        <f>SUM(Table13[[#This Row],[prefix]],Table13[[#This Row],[Past zero L]],Table13[[#This Row],[Past Zero R]],Table13[[#This Row],[Is Zero]])</f>
        <v>1</v>
      </c>
    </row>
    <row r="2717" spans="1:11" ht="16" x14ac:dyDescent="0.2">
      <c r="A2717" s="1" t="s">
        <v>649</v>
      </c>
      <c r="B2717" t="str">
        <f>LEFT(Table13[[#This Row],[Input]],1)</f>
        <v>R</v>
      </c>
      <c r="C2717">
        <f>_xlfn.LET(_xlpm.steps,SUBSTITUTE(Table13[[#This Row],[Input]],Table13[[#This Row],[Direction]],""),VALUE(IF(LEN(_xlpm.steps)&gt;2,RIGHT(_xlpm.steps,2),_xlpm.steps)))</f>
        <v>82</v>
      </c>
      <c r="D2717">
        <f>_xlfn.LET(_xlpm.steps,SUBSTITUTE(Table13[[#This Row],[Input]],Table13[[#This Row],[Direction]],""),VALUE(IF(LEN(_xlpm.steps)&gt;2,LEFT(_xlpm.steps,LEN(_xlpm.steps)-2),0)))</f>
        <v>1</v>
      </c>
      <c r="E2717">
        <f>_xlfn.LET(_xlpm.dir,Table13[[#This Row],[Direction]],
IF(_xlpm.dir="L",
    IF(G2716-Table13[[#This Row],[Steps]]&lt;0,100+(G2716-Table13[[#This Row],[Steps]]),G2716-Table13[[#This Row],[Steps]]),
))</f>
        <v>0</v>
      </c>
      <c r="F2717">
        <f>_xlfn.LET(_xlpm.dir,Table13[[#This Row],[Direction]],
IF(_xlpm.dir="R",
    IF(G2716+Table13[[#This Row],[Steps]]&gt;99,(G2716+Table13[[#This Row],[Steps]])-100,G2716+Table13[[#This Row],[Steps]]),
))</f>
        <v>50</v>
      </c>
      <c r="G2717">
        <f>IF(Table13[[#This Row],[New Pos L]]&lt;&gt;0,Table13[[#This Row],[New Pos L]],Table13[[#This Row],[New Pos R]])</f>
        <v>50</v>
      </c>
      <c r="H2717">
        <f>IF(AND(Table13[[#This Row],[Direction]]="L",Table13[[#This Row],[Steps]]&gt;G2716,G2716&lt;&gt;0),1,0)</f>
        <v>0</v>
      </c>
      <c r="I2717">
        <f>IF(AND(Table13[[#This Row],[Direction]]="R",(G2716+Table13[[#This Row],[Steps]])&gt;100),1,0)</f>
        <v>1</v>
      </c>
      <c r="J2717">
        <f>IF(Table13[[#This Row],[POS]]=0,1,0)</f>
        <v>0</v>
      </c>
      <c r="K2717">
        <f>SUM(Table13[[#This Row],[prefix]],Table13[[#This Row],[Past zero L]],Table13[[#This Row],[Past Zero R]],Table13[[#This Row],[Is Zero]])</f>
        <v>2</v>
      </c>
    </row>
    <row r="2718" spans="1:11" ht="16" x14ac:dyDescent="0.2">
      <c r="A2718" s="1" t="s">
        <v>36</v>
      </c>
      <c r="B2718" t="str">
        <f>LEFT(Table13[[#This Row],[Input]],1)</f>
        <v>R</v>
      </c>
      <c r="C2718">
        <f>_xlfn.LET(_xlpm.steps,SUBSTITUTE(Table13[[#This Row],[Input]],Table13[[#This Row],[Direction]],""),VALUE(IF(LEN(_xlpm.steps)&gt;2,RIGHT(_xlpm.steps,2),_xlpm.steps)))</f>
        <v>50</v>
      </c>
      <c r="D2718">
        <f>_xlfn.LET(_xlpm.steps,SUBSTITUTE(Table13[[#This Row],[Input]],Table13[[#This Row],[Direction]],""),VALUE(IF(LEN(_xlpm.steps)&gt;2,LEFT(_xlpm.steps,LEN(_xlpm.steps)-2),0)))</f>
        <v>0</v>
      </c>
      <c r="E2718">
        <f>_xlfn.LET(_xlpm.dir,Table13[[#This Row],[Direction]],
IF(_xlpm.dir="L",
    IF(G2717-Table13[[#This Row],[Steps]]&lt;0,100+(G2717-Table13[[#This Row],[Steps]]),G2717-Table13[[#This Row],[Steps]]),
))</f>
        <v>0</v>
      </c>
      <c r="F2718">
        <f>_xlfn.LET(_xlpm.dir,Table13[[#This Row],[Direction]],
IF(_xlpm.dir="R",
    IF(G2717+Table13[[#This Row],[Steps]]&gt;99,(G2717+Table13[[#This Row],[Steps]])-100,G2717+Table13[[#This Row],[Steps]]),
))</f>
        <v>0</v>
      </c>
      <c r="G2718">
        <f>IF(Table13[[#This Row],[New Pos L]]&lt;&gt;0,Table13[[#This Row],[New Pos L]],Table13[[#This Row],[New Pos R]])</f>
        <v>0</v>
      </c>
      <c r="H2718">
        <f>IF(AND(Table13[[#This Row],[Direction]]="L",Table13[[#This Row],[Steps]]&gt;G2717,G2717&lt;&gt;0),1,0)</f>
        <v>0</v>
      </c>
      <c r="I2718">
        <f>IF(AND(Table13[[#This Row],[Direction]]="R",(G2717+Table13[[#This Row],[Steps]])&gt;100),1,0)</f>
        <v>0</v>
      </c>
      <c r="J2718">
        <f>IF(Table13[[#This Row],[POS]]=0,1,0)</f>
        <v>1</v>
      </c>
      <c r="K2718">
        <f>SUM(Table13[[#This Row],[prefix]],Table13[[#This Row],[Past zero L]],Table13[[#This Row],[Past Zero R]],Table13[[#This Row],[Is Zero]])</f>
        <v>1</v>
      </c>
    </row>
    <row r="2719" spans="1:11" ht="16" x14ac:dyDescent="0.2">
      <c r="A2719" s="1" t="s">
        <v>115</v>
      </c>
      <c r="B2719" t="str">
        <f>LEFT(Table13[[#This Row],[Input]],1)</f>
        <v>L</v>
      </c>
      <c r="C2719">
        <f>_xlfn.LET(_xlpm.steps,SUBSTITUTE(Table13[[#This Row],[Input]],Table13[[#This Row],[Direction]],""),VALUE(IF(LEN(_xlpm.steps)&gt;2,RIGHT(_xlpm.steps,2),_xlpm.steps)))</f>
        <v>29</v>
      </c>
      <c r="D2719">
        <f>_xlfn.LET(_xlpm.steps,SUBSTITUTE(Table13[[#This Row],[Input]],Table13[[#This Row],[Direction]],""),VALUE(IF(LEN(_xlpm.steps)&gt;2,LEFT(_xlpm.steps,LEN(_xlpm.steps)-2),0)))</f>
        <v>0</v>
      </c>
      <c r="E2719">
        <f>_xlfn.LET(_xlpm.dir,Table13[[#This Row],[Direction]],
IF(_xlpm.dir="L",
    IF(G2718-Table13[[#This Row],[Steps]]&lt;0,100+(G2718-Table13[[#This Row],[Steps]]),G2718-Table13[[#This Row],[Steps]]),
))</f>
        <v>71</v>
      </c>
      <c r="F2719">
        <f>_xlfn.LET(_xlpm.dir,Table13[[#This Row],[Direction]],
IF(_xlpm.dir="R",
    IF(G2718+Table13[[#This Row],[Steps]]&gt;99,(G2718+Table13[[#This Row],[Steps]])-100,G2718+Table13[[#This Row],[Steps]]),
))</f>
        <v>0</v>
      </c>
      <c r="G2719">
        <f>IF(Table13[[#This Row],[New Pos L]]&lt;&gt;0,Table13[[#This Row],[New Pos L]],Table13[[#This Row],[New Pos R]])</f>
        <v>71</v>
      </c>
      <c r="H2719">
        <f>IF(AND(Table13[[#This Row],[Direction]]="L",Table13[[#This Row],[Steps]]&gt;G2718,G2718&lt;&gt;0),1,0)</f>
        <v>0</v>
      </c>
      <c r="I2719">
        <f>IF(AND(Table13[[#This Row],[Direction]]="R",(G2718+Table13[[#This Row],[Steps]])&gt;100),1,0)</f>
        <v>0</v>
      </c>
      <c r="J2719">
        <f>IF(Table13[[#This Row],[POS]]=0,1,0)</f>
        <v>0</v>
      </c>
      <c r="K2719">
        <f>SUM(Table13[[#This Row],[prefix]],Table13[[#This Row],[Past zero L]],Table13[[#This Row],[Past Zero R]],Table13[[#This Row],[Is Zero]])</f>
        <v>0</v>
      </c>
    </row>
    <row r="2720" spans="1:11" ht="16" x14ac:dyDescent="0.2">
      <c r="A2720" s="1" t="s">
        <v>57</v>
      </c>
      <c r="B2720" t="str">
        <f>LEFT(Table13[[#This Row],[Input]],1)</f>
        <v>R</v>
      </c>
      <c r="C2720">
        <f>_xlfn.LET(_xlpm.steps,SUBSTITUTE(Table13[[#This Row],[Input]],Table13[[#This Row],[Direction]],""),VALUE(IF(LEN(_xlpm.steps)&gt;2,RIGHT(_xlpm.steps,2),_xlpm.steps)))</f>
        <v>29</v>
      </c>
      <c r="D2720">
        <f>_xlfn.LET(_xlpm.steps,SUBSTITUTE(Table13[[#This Row],[Input]],Table13[[#This Row],[Direction]],""),VALUE(IF(LEN(_xlpm.steps)&gt;2,LEFT(_xlpm.steps,LEN(_xlpm.steps)-2),0)))</f>
        <v>0</v>
      </c>
      <c r="E2720">
        <f>_xlfn.LET(_xlpm.dir,Table13[[#This Row],[Direction]],
IF(_xlpm.dir="L",
    IF(G2719-Table13[[#This Row],[Steps]]&lt;0,100+(G2719-Table13[[#This Row],[Steps]]),G2719-Table13[[#This Row],[Steps]]),
))</f>
        <v>0</v>
      </c>
      <c r="F2720">
        <f>_xlfn.LET(_xlpm.dir,Table13[[#This Row],[Direction]],
IF(_xlpm.dir="R",
    IF(G2719+Table13[[#This Row],[Steps]]&gt;99,(G2719+Table13[[#This Row],[Steps]])-100,G2719+Table13[[#This Row],[Steps]]),
))</f>
        <v>0</v>
      </c>
      <c r="G2720">
        <f>IF(Table13[[#This Row],[New Pos L]]&lt;&gt;0,Table13[[#This Row],[New Pos L]],Table13[[#This Row],[New Pos R]])</f>
        <v>0</v>
      </c>
      <c r="H2720">
        <f>IF(AND(Table13[[#This Row],[Direction]]="L",Table13[[#This Row],[Steps]]&gt;G2719,G2719&lt;&gt;0),1,0)</f>
        <v>0</v>
      </c>
      <c r="I2720">
        <f>IF(AND(Table13[[#This Row],[Direction]]="R",(G2719+Table13[[#This Row],[Steps]])&gt;100),1,0)</f>
        <v>0</v>
      </c>
      <c r="J2720">
        <f>IF(Table13[[#This Row],[POS]]=0,1,0)</f>
        <v>1</v>
      </c>
      <c r="K2720">
        <f>SUM(Table13[[#This Row],[prefix]],Table13[[#This Row],[Past zero L]],Table13[[#This Row],[Past Zero R]],Table13[[#This Row],[Is Zero]])</f>
        <v>1</v>
      </c>
    </row>
    <row r="2721" spans="1:11" ht="16" x14ac:dyDescent="0.2">
      <c r="A2721" s="1" t="s">
        <v>119</v>
      </c>
      <c r="B2721" t="str">
        <f>LEFT(Table13[[#This Row],[Input]],1)</f>
        <v>L</v>
      </c>
      <c r="C2721">
        <f>_xlfn.LET(_xlpm.steps,SUBSTITUTE(Table13[[#This Row],[Input]],Table13[[#This Row],[Direction]],""),VALUE(IF(LEN(_xlpm.steps)&gt;2,RIGHT(_xlpm.steps,2),_xlpm.steps)))</f>
        <v>77</v>
      </c>
      <c r="D2721">
        <f>_xlfn.LET(_xlpm.steps,SUBSTITUTE(Table13[[#This Row],[Input]],Table13[[#This Row],[Direction]],""),VALUE(IF(LEN(_xlpm.steps)&gt;2,LEFT(_xlpm.steps,LEN(_xlpm.steps)-2),0)))</f>
        <v>0</v>
      </c>
      <c r="E2721">
        <f>_xlfn.LET(_xlpm.dir,Table13[[#This Row],[Direction]],
IF(_xlpm.dir="L",
    IF(G2720-Table13[[#This Row],[Steps]]&lt;0,100+(G2720-Table13[[#This Row],[Steps]]),G2720-Table13[[#This Row],[Steps]]),
))</f>
        <v>23</v>
      </c>
      <c r="F2721">
        <f>_xlfn.LET(_xlpm.dir,Table13[[#This Row],[Direction]],
IF(_xlpm.dir="R",
    IF(G2720+Table13[[#This Row],[Steps]]&gt;99,(G2720+Table13[[#This Row],[Steps]])-100,G2720+Table13[[#This Row],[Steps]]),
))</f>
        <v>0</v>
      </c>
      <c r="G2721">
        <f>IF(Table13[[#This Row],[New Pos L]]&lt;&gt;0,Table13[[#This Row],[New Pos L]],Table13[[#This Row],[New Pos R]])</f>
        <v>23</v>
      </c>
      <c r="H2721">
        <f>IF(AND(Table13[[#This Row],[Direction]]="L",Table13[[#This Row],[Steps]]&gt;G2720,G2720&lt;&gt;0),1,0)</f>
        <v>0</v>
      </c>
      <c r="I2721">
        <f>IF(AND(Table13[[#This Row],[Direction]]="R",(G2720+Table13[[#This Row],[Steps]])&gt;100),1,0)</f>
        <v>0</v>
      </c>
      <c r="J2721">
        <f>IF(Table13[[#This Row],[POS]]=0,1,0)</f>
        <v>0</v>
      </c>
      <c r="K2721">
        <f>SUM(Table13[[#This Row],[prefix]],Table13[[#This Row],[Past zero L]],Table13[[#This Row],[Past Zero R]],Table13[[#This Row],[Is Zero]])</f>
        <v>0</v>
      </c>
    </row>
    <row r="2722" spans="1:11" ht="16" x14ac:dyDescent="0.2">
      <c r="A2722" s="1" t="s">
        <v>588</v>
      </c>
      <c r="B2722" t="str">
        <f>LEFT(Table13[[#This Row],[Input]],1)</f>
        <v>L</v>
      </c>
      <c r="C2722">
        <f>_xlfn.LET(_xlpm.steps,SUBSTITUTE(Table13[[#This Row],[Input]],Table13[[#This Row],[Direction]],""),VALUE(IF(LEN(_xlpm.steps)&gt;2,RIGHT(_xlpm.steps,2),_xlpm.steps)))</f>
        <v>47</v>
      </c>
      <c r="D2722">
        <f>_xlfn.LET(_xlpm.steps,SUBSTITUTE(Table13[[#This Row],[Input]],Table13[[#This Row],[Direction]],""),VALUE(IF(LEN(_xlpm.steps)&gt;2,LEFT(_xlpm.steps,LEN(_xlpm.steps)-2),0)))</f>
        <v>6</v>
      </c>
      <c r="E2722">
        <f>_xlfn.LET(_xlpm.dir,Table13[[#This Row],[Direction]],
IF(_xlpm.dir="L",
    IF(G2721-Table13[[#This Row],[Steps]]&lt;0,100+(G2721-Table13[[#This Row],[Steps]]),G2721-Table13[[#This Row],[Steps]]),
))</f>
        <v>76</v>
      </c>
      <c r="F2722">
        <f>_xlfn.LET(_xlpm.dir,Table13[[#This Row],[Direction]],
IF(_xlpm.dir="R",
    IF(G2721+Table13[[#This Row],[Steps]]&gt;99,(G2721+Table13[[#This Row],[Steps]])-100,G2721+Table13[[#This Row],[Steps]]),
))</f>
        <v>0</v>
      </c>
      <c r="G2722">
        <f>IF(Table13[[#This Row],[New Pos L]]&lt;&gt;0,Table13[[#This Row],[New Pos L]],Table13[[#This Row],[New Pos R]])</f>
        <v>76</v>
      </c>
      <c r="H2722">
        <f>IF(AND(Table13[[#This Row],[Direction]]="L",Table13[[#This Row],[Steps]]&gt;G2721,G2721&lt;&gt;0),1,0)</f>
        <v>1</v>
      </c>
      <c r="I2722">
        <f>IF(AND(Table13[[#This Row],[Direction]]="R",(G2721+Table13[[#This Row],[Steps]])&gt;100),1,0)</f>
        <v>0</v>
      </c>
      <c r="J2722">
        <f>IF(Table13[[#This Row],[POS]]=0,1,0)</f>
        <v>0</v>
      </c>
      <c r="K2722">
        <f>SUM(Table13[[#This Row],[prefix]],Table13[[#This Row],[Past zero L]],Table13[[#This Row],[Past Zero R]],Table13[[#This Row],[Is Zero]])</f>
        <v>7</v>
      </c>
    </row>
    <row r="2723" spans="1:11" ht="16" x14ac:dyDescent="0.2">
      <c r="A2723" s="1" t="s">
        <v>29</v>
      </c>
      <c r="B2723" t="str">
        <f>LEFT(Table13[[#This Row],[Input]],1)</f>
        <v>L</v>
      </c>
      <c r="C2723">
        <f>_xlfn.LET(_xlpm.steps,SUBSTITUTE(Table13[[#This Row],[Input]],Table13[[#This Row],[Direction]],""),VALUE(IF(LEN(_xlpm.steps)&gt;2,RIGHT(_xlpm.steps,2),_xlpm.steps)))</f>
        <v>33</v>
      </c>
      <c r="D2723">
        <f>_xlfn.LET(_xlpm.steps,SUBSTITUTE(Table13[[#This Row],[Input]],Table13[[#This Row],[Direction]],""),VALUE(IF(LEN(_xlpm.steps)&gt;2,LEFT(_xlpm.steps,LEN(_xlpm.steps)-2),0)))</f>
        <v>0</v>
      </c>
      <c r="E2723">
        <f>_xlfn.LET(_xlpm.dir,Table13[[#This Row],[Direction]],
IF(_xlpm.dir="L",
    IF(G2722-Table13[[#This Row],[Steps]]&lt;0,100+(G2722-Table13[[#This Row],[Steps]]),G2722-Table13[[#This Row],[Steps]]),
))</f>
        <v>43</v>
      </c>
      <c r="F2723">
        <f>_xlfn.LET(_xlpm.dir,Table13[[#This Row],[Direction]],
IF(_xlpm.dir="R",
    IF(G2722+Table13[[#This Row],[Steps]]&gt;99,(G2722+Table13[[#This Row],[Steps]])-100,G2722+Table13[[#This Row],[Steps]]),
))</f>
        <v>0</v>
      </c>
      <c r="G2723">
        <f>IF(Table13[[#This Row],[New Pos L]]&lt;&gt;0,Table13[[#This Row],[New Pos L]],Table13[[#This Row],[New Pos R]])</f>
        <v>43</v>
      </c>
      <c r="H2723">
        <f>IF(AND(Table13[[#This Row],[Direction]]="L",Table13[[#This Row],[Steps]]&gt;G2722,G2722&lt;&gt;0),1,0)</f>
        <v>0</v>
      </c>
      <c r="I2723">
        <f>IF(AND(Table13[[#This Row],[Direction]]="R",(G2722+Table13[[#This Row],[Steps]])&gt;100),1,0)</f>
        <v>0</v>
      </c>
      <c r="J2723">
        <f>IF(Table13[[#This Row],[POS]]=0,1,0)</f>
        <v>0</v>
      </c>
      <c r="K2723">
        <f>SUM(Table13[[#This Row],[prefix]],Table13[[#This Row],[Past zero L]],Table13[[#This Row],[Past Zero R]],Table13[[#This Row],[Is Zero]])</f>
        <v>0</v>
      </c>
    </row>
    <row r="2724" spans="1:11" ht="16" x14ac:dyDescent="0.2">
      <c r="A2724" s="1" t="s">
        <v>63</v>
      </c>
      <c r="B2724" t="str">
        <f>LEFT(Table13[[#This Row],[Input]],1)</f>
        <v>R</v>
      </c>
      <c r="C2724">
        <f>_xlfn.LET(_xlpm.steps,SUBSTITUTE(Table13[[#This Row],[Input]],Table13[[#This Row],[Direction]],""),VALUE(IF(LEN(_xlpm.steps)&gt;2,RIGHT(_xlpm.steps,2),_xlpm.steps)))</f>
        <v>57</v>
      </c>
      <c r="D2724">
        <f>_xlfn.LET(_xlpm.steps,SUBSTITUTE(Table13[[#This Row],[Input]],Table13[[#This Row],[Direction]],""),VALUE(IF(LEN(_xlpm.steps)&gt;2,LEFT(_xlpm.steps,LEN(_xlpm.steps)-2),0)))</f>
        <v>0</v>
      </c>
      <c r="E2724">
        <f>_xlfn.LET(_xlpm.dir,Table13[[#This Row],[Direction]],
IF(_xlpm.dir="L",
    IF(G2723-Table13[[#This Row],[Steps]]&lt;0,100+(G2723-Table13[[#This Row],[Steps]]),G2723-Table13[[#This Row],[Steps]]),
))</f>
        <v>0</v>
      </c>
      <c r="F2724">
        <f>_xlfn.LET(_xlpm.dir,Table13[[#This Row],[Direction]],
IF(_xlpm.dir="R",
    IF(G2723+Table13[[#This Row],[Steps]]&gt;99,(G2723+Table13[[#This Row],[Steps]])-100,G2723+Table13[[#This Row],[Steps]]),
))</f>
        <v>0</v>
      </c>
      <c r="G2724">
        <f>IF(Table13[[#This Row],[New Pos L]]&lt;&gt;0,Table13[[#This Row],[New Pos L]],Table13[[#This Row],[New Pos R]])</f>
        <v>0</v>
      </c>
      <c r="H2724">
        <f>IF(AND(Table13[[#This Row],[Direction]]="L",Table13[[#This Row],[Steps]]&gt;G2723,G2723&lt;&gt;0),1,0)</f>
        <v>0</v>
      </c>
      <c r="I2724">
        <f>IF(AND(Table13[[#This Row],[Direction]]="R",(G2723+Table13[[#This Row],[Steps]])&gt;100),1,0)</f>
        <v>0</v>
      </c>
      <c r="J2724">
        <f>IF(Table13[[#This Row],[POS]]=0,1,0)</f>
        <v>1</v>
      </c>
      <c r="K2724">
        <f>SUM(Table13[[#This Row],[prefix]],Table13[[#This Row],[Past zero L]],Table13[[#This Row],[Past Zero R]],Table13[[#This Row],[Is Zero]])</f>
        <v>1</v>
      </c>
    </row>
    <row r="2725" spans="1:11" ht="16" x14ac:dyDescent="0.2">
      <c r="A2725" s="1" t="s">
        <v>44</v>
      </c>
      <c r="B2725" t="str">
        <f>LEFT(Table13[[#This Row],[Input]],1)</f>
        <v>R</v>
      </c>
      <c r="C2725">
        <f>_xlfn.LET(_xlpm.steps,SUBSTITUTE(Table13[[#This Row],[Input]],Table13[[#This Row],[Direction]],""),VALUE(IF(LEN(_xlpm.steps)&gt;2,RIGHT(_xlpm.steps,2),_xlpm.steps)))</f>
        <v>96</v>
      </c>
      <c r="D2725">
        <f>_xlfn.LET(_xlpm.steps,SUBSTITUTE(Table13[[#This Row],[Input]],Table13[[#This Row],[Direction]],""),VALUE(IF(LEN(_xlpm.steps)&gt;2,LEFT(_xlpm.steps,LEN(_xlpm.steps)-2),0)))</f>
        <v>0</v>
      </c>
      <c r="E2725">
        <f>_xlfn.LET(_xlpm.dir,Table13[[#This Row],[Direction]],
IF(_xlpm.dir="L",
    IF(G2724-Table13[[#This Row],[Steps]]&lt;0,100+(G2724-Table13[[#This Row],[Steps]]),G2724-Table13[[#This Row],[Steps]]),
))</f>
        <v>0</v>
      </c>
      <c r="F2725">
        <f>_xlfn.LET(_xlpm.dir,Table13[[#This Row],[Direction]],
IF(_xlpm.dir="R",
    IF(G2724+Table13[[#This Row],[Steps]]&gt;99,(G2724+Table13[[#This Row],[Steps]])-100,G2724+Table13[[#This Row],[Steps]]),
))</f>
        <v>96</v>
      </c>
      <c r="G2725">
        <f>IF(Table13[[#This Row],[New Pos L]]&lt;&gt;0,Table13[[#This Row],[New Pos L]],Table13[[#This Row],[New Pos R]])</f>
        <v>96</v>
      </c>
      <c r="H2725">
        <f>IF(AND(Table13[[#This Row],[Direction]]="L",Table13[[#This Row],[Steps]]&gt;G2724,G2724&lt;&gt;0),1,0)</f>
        <v>0</v>
      </c>
      <c r="I2725">
        <f>IF(AND(Table13[[#This Row],[Direction]]="R",(G2724+Table13[[#This Row],[Steps]])&gt;100),1,0)</f>
        <v>0</v>
      </c>
      <c r="J2725">
        <f>IF(Table13[[#This Row],[POS]]=0,1,0)</f>
        <v>0</v>
      </c>
      <c r="K2725">
        <f>SUM(Table13[[#This Row],[prefix]],Table13[[#This Row],[Past zero L]],Table13[[#This Row],[Past Zero R]],Table13[[#This Row],[Is Zero]])</f>
        <v>0</v>
      </c>
    </row>
    <row r="2726" spans="1:11" ht="16" x14ac:dyDescent="0.2">
      <c r="A2726" s="1" t="s">
        <v>325</v>
      </c>
      <c r="B2726" t="str">
        <f>LEFT(Table13[[#This Row],[Input]],1)</f>
        <v>L</v>
      </c>
      <c r="C2726">
        <f>_xlfn.LET(_xlpm.steps,SUBSTITUTE(Table13[[#This Row],[Input]],Table13[[#This Row],[Direction]],""),VALUE(IF(LEN(_xlpm.steps)&gt;2,RIGHT(_xlpm.steps,2),_xlpm.steps)))</f>
        <v>68</v>
      </c>
      <c r="D2726">
        <f>_xlfn.LET(_xlpm.steps,SUBSTITUTE(Table13[[#This Row],[Input]],Table13[[#This Row],[Direction]],""),VALUE(IF(LEN(_xlpm.steps)&gt;2,LEFT(_xlpm.steps,LEN(_xlpm.steps)-2),0)))</f>
        <v>0</v>
      </c>
      <c r="E2726">
        <f>_xlfn.LET(_xlpm.dir,Table13[[#This Row],[Direction]],
IF(_xlpm.dir="L",
    IF(G2725-Table13[[#This Row],[Steps]]&lt;0,100+(G2725-Table13[[#This Row],[Steps]]),G2725-Table13[[#This Row],[Steps]]),
))</f>
        <v>28</v>
      </c>
      <c r="F2726">
        <f>_xlfn.LET(_xlpm.dir,Table13[[#This Row],[Direction]],
IF(_xlpm.dir="R",
    IF(G2725+Table13[[#This Row],[Steps]]&gt;99,(G2725+Table13[[#This Row],[Steps]])-100,G2725+Table13[[#This Row],[Steps]]),
))</f>
        <v>0</v>
      </c>
      <c r="G2726">
        <f>IF(Table13[[#This Row],[New Pos L]]&lt;&gt;0,Table13[[#This Row],[New Pos L]],Table13[[#This Row],[New Pos R]])</f>
        <v>28</v>
      </c>
      <c r="H2726">
        <f>IF(AND(Table13[[#This Row],[Direction]]="L",Table13[[#This Row],[Steps]]&gt;G2725,G2725&lt;&gt;0),1,0)</f>
        <v>0</v>
      </c>
      <c r="I2726">
        <f>IF(AND(Table13[[#This Row],[Direction]]="R",(G2725+Table13[[#This Row],[Steps]])&gt;100),1,0)</f>
        <v>0</v>
      </c>
      <c r="J2726">
        <f>IF(Table13[[#This Row],[POS]]=0,1,0)</f>
        <v>0</v>
      </c>
      <c r="K2726">
        <f>SUM(Table13[[#This Row],[prefix]],Table13[[#This Row],[Past zero L]],Table13[[#This Row],[Past Zero R]],Table13[[#This Row],[Is Zero]])</f>
        <v>0</v>
      </c>
    </row>
    <row r="2727" spans="1:11" ht="16" x14ac:dyDescent="0.2">
      <c r="A2727" s="1" t="s">
        <v>32</v>
      </c>
      <c r="B2727" t="str">
        <f>LEFT(Table13[[#This Row],[Input]],1)</f>
        <v>L</v>
      </c>
      <c r="C2727">
        <f>_xlfn.LET(_xlpm.steps,SUBSTITUTE(Table13[[#This Row],[Input]],Table13[[#This Row],[Direction]],""),VALUE(IF(LEN(_xlpm.steps)&gt;2,RIGHT(_xlpm.steps,2),_xlpm.steps)))</f>
        <v>28</v>
      </c>
      <c r="D2727">
        <f>_xlfn.LET(_xlpm.steps,SUBSTITUTE(Table13[[#This Row],[Input]],Table13[[#This Row],[Direction]],""),VALUE(IF(LEN(_xlpm.steps)&gt;2,LEFT(_xlpm.steps,LEN(_xlpm.steps)-2),0)))</f>
        <v>0</v>
      </c>
      <c r="E2727">
        <f>_xlfn.LET(_xlpm.dir,Table13[[#This Row],[Direction]],
IF(_xlpm.dir="L",
    IF(G2726-Table13[[#This Row],[Steps]]&lt;0,100+(G2726-Table13[[#This Row],[Steps]]),G2726-Table13[[#This Row],[Steps]]),
))</f>
        <v>0</v>
      </c>
      <c r="F2727">
        <f>_xlfn.LET(_xlpm.dir,Table13[[#This Row],[Direction]],
IF(_xlpm.dir="R",
    IF(G2726+Table13[[#This Row],[Steps]]&gt;99,(G2726+Table13[[#This Row],[Steps]])-100,G2726+Table13[[#This Row],[Steps]]),
))</f>
        <v>0</v>
      </c>
      <c r="G2727">
        <f>IF(Table13[[#This Row],[New Pos L]]&lt;&gt;0,Table13[[#This Row],[New Pos L]],Table13[[#This Row],[New Pos R]])</f>
        <v>0</v>
      </c>
      <c r="H2727">
        <f>IF(AND(Table13[[#This Row],[Direction]]="L",Table13[[#This Row],[Steps]]&gt;G2726,G2726&lt;&gt;0),1,0)</f>
        <v>0</v>
      </c>
      <c r="I2727">
        <f>IF(AND(Table13[[#This Row],[Direction]]="R",(G2726+Table13[[#This Row],[Steps]])&gt;100),1,0)</f>
        <v>0</v>
      </c>
      <c r="J2727">
        <f>IF(Table13[[#This Row],[POS]]=0,1,0)</f>
        <v>1</v>
      </c>
      <c r="K2727">
        <f>SUM(Table13[[#This Row],[prefix]],Table13[[#This Row],[Past zero L]],Table13[[#This Row],[Past Zero R]],Table13[[#This Row],[Is Zero]])</f>
        <v>1</v>
      </c>
    </row>
    <row r="2728" spans="1:11" ht="16" x14ac:dyDescent="0.2">
      <c r="A2728" s="1" t="s">
        <v>21</v>
      </c>
      <c r="B2728" t="str">
        <f>LEFT(Table13[[#This Row],[Input]],1)</f>
        <v>L</v>
      </c>
      <c r="C2728">
        <f>_xlfn.LET(_xlpm.steps,SUBSTITUTE(Table13[[#This Row],[Input]],Table13[[#This Row],[Direction]],""),VALUE(IF(LEN(_xlpm.steps)&gt;2,RIGHT(_xlpm.steps,2),_xlpm.steps)))</f>
        <v>36</v>
      </c>
      <c r="D2728">
        <f>_xlfn.LET(_xlpm.steps,SUBSTITUTE(Table13[[#This Row],[Input]],Table13[[#This Row],[Direction]],""),VALUE(IF(LEN(_xlpm.steps)&gt;2,LEFT(_xlpm.steps,LEN(_xlpm.steps)-2),0)))</f>
        <v>0</v>
      </c>
      <c r="E2728">
        <f>_xlfn.LET(_xlpm.dir,Table13[[#This Row],[Direction]],
IF(_xlpm.dir="L",
    IF(G2727-Table13[[#This Row],[Steps]]&lt;0,100+(G2727-Table13[[#This Row],[Steps]]),G2727-Table13[[#This Row],[Steps]]),
))</f>
        <v>64</v>
      </c>
      <c r="F2728">
        <f>_xlfn.LET(_xlpm.dir,Table13[[#This Row],[Direction]],
IF(_xlpm.dir="R",
    IF(G2727+Table13[[#This Row],[Steps]]&gt;99,(G2727+Table13[[#This Row],[Steps]])-100,G2727+Table13[[#This Row],[Steps]]),
))</f>
        <v>0</v>
      </c>
      <c r="G2728">
        <f>IF(Table13[[#This Row],[New Pos L]]&lt;&gt;0,Table13[[#This Row],[New Pos L]],Table13[[#This Row],[New Pos R]])</f>
        <v>64</v>
      </c>
      <c r="H2728">
        <f>IF(AND(Table13[[#This Row],[Direction]]="L",Table13[[#This Row],[Steps]]&gt;G2727,G2727&lt;&gt;0),1,0)</f>
        <v>0</v>
      </c>
      <c r="I2728">
        <f>IF(AND(Table13[[#This Row],[Direction]]="R",(G2727+Table13[[#This Row],[Steps]])&gt;100),1,0)</f>
        <v>0</v>
      </c>
      <c r="J2728">
        <f>IF(Table13[[#This Row],[POS]]=0,1,0)</f>
        <v>0</v>
      </c>
      <c r="K2728">
        <f>SUM(Table13[[#This Row],[prefix]],Table13[[#This Row],[Past zero L]],Table13[[#This Row],[Past Zero R]],Table13[[#This Row],[Is Zero]])</f>
        <v>0</v>
      </c>
    </row>
    <row r="2729" spans="1:11" ht="16" x14ac:dyDescent="0.2">
      <c r="A2729" s="1" t="s">
        <v>165</v>
      </c>
      <c r="B2729" t="str">
        <f>LEFT(Table13[[#This Row],[Input]],1)</f>
        <v>R</v>
      </c>
      <c r="C2729">
        <f>_xlfn.LET(_xlpm.steps,SUBSTITUTE(Table13[[#This Row],[Input]],Table13[[#This Row],[Direction]],""),VALUE(IF(LEN(_xlpm.steps)&gt;2,RIGHT(_xlpm.steps,2),_xlpm.steps)))</f>
        <v>55</v>
      </c>
      <c r="D2729">
        <f>_xlfn.LET(_xlpm.steps,SUBSTITUTE(Table13[[#This Row],[Input]],Table13[[#This Row],[Direction]],""),VALUE(IF(LEN(_xlpm.steps)&gt;2,LEFT(_xlpm.steps,LEN(_xlpm.steps)-2),0)))</f>
        <v>0</v>
      </c>
      <c r="E2729">
        <f>_xlfn.LET(_xlpm.dir,Table13[[#This Row],[Direction]],
IF(_xlpm.dir="L",
    IF(G2728-Table13[[#This Row],[Steps]]&lt;0,100+(G2728-Table13[[#This Row],[Steps]]),G2728-Table13[[#This Row],[Steps]]),
))</f>
        <v>0</v>
      </c>
      <c r="F2729">
        <f>_xlfn.LET(_xlpm.dir,Table13[[#This Row],[Direction]],
IF(_xlpm.dir="R",
    IF(G2728+Table13[[#This Row],[Steps]]&gt;99,(G2728+Table13[[#This Row],[Steps]])-100,G2728+Table13[[#This Row],[Steps]]),
))</f>
        <v>19</v>
      </c>
      <c r="G2729">
        <f>IF(Table13[[#This Row],[New Pos L]]&lt;&gt;0,Table13[[#This Row],[New Pos L]],Table13[[#This Row],[New Pos R]])</f>
        <v>19</v>
      </c>
      <c r="H2729">
        <f>IF(AND(Table13[[#This Row],[Direction]]="L",Table13[[#This Row],[Steps]]&gt;G2728,G2728&lt;&gt;0),1,0)</f>
        <v>0</v>
      </c>
      <c r="I2729">
        <f>IF(AND(Table13[[#This Row],[Direction]]="R",(G2728+Table13[[#This Row],[Steps]])&gt;100),1,0)</f>
        <v>1</v>
      </c>
      <c r="J2729">
        <f>IF(Table13[[#This Row],[POS]]=0,1,0)</f>
        <v>0</v>
      </c>
      <c r="K2729">
        <f>SUM(Table13[[#This Row],[prefix]],Table13[[#This Row],[Past zero L]],Table13[[#This Row],[Past Zero R]],Table13[[#This Row],[Is Zero]])</f>
        <v>1</v>
      </c>
    </row>
    <row r="2730" spans="1:11" ht="16" x14ac:dyDescent="0.2">
      <c r="A2730" s="1" t="s">
        <v>650</v>
      </c>
      <c r="B2730" t="str">
        <f>LEFT(Table13[[#This Row],[Input]],1)</f>
        <v>R</v>
      </c>
      <c r="C2730">
        <f>_xlfn.LET(_xlpm.steps,SUBSTITUTE(Table13[[#This Row],[Input]],Table13[[#This Row],[Direction]],""),VALUE(IF(LEN(_xlpm.steps)&gt;2,RIGHT(_xlpm.steps,2),_xlpm.steps)))</f>
        <v>74</v>
      </c>
      <c r="D2730">
        <f>_xlfn.LET(_xlpm.steps,SUBSTITUTE(Table13[[#This Row],[Input]],Table13[[#This Row],[Direction]],""),VALUE(IF(LEN(_xlpm.steps)&gt;2,LEFT(_xlpm.steps,LEN(_xlpm.steps)-2),0)))</f>
        <v>7</v>
      </c>
      <c r="E2730">
        <f>_xlfn.LET(_xlpm.dir,Table13[[#This Row],[Direction]],
IF(_xlpm.dir="L",
    IF(G2729-Table13[[#This Row],[Steps]]&lt;0,100+(G2729-Table13[[#This Row],[Steps]]),G2729-Table13[[#This Row],[Steps]]),
))</f>
        <v>0</v>
      </c>
      <c r="F2730">
        <f>_xlfn.LET(_xlpm.dir,Table13[[#This Row],[Direction]],
IF(_xlpm.dir="R",
    IF(G2729+Table13[[#This Row],[Steps]]&gt;99,(G2729+Table13[[#This Row],[Steps]])-100,G2729+Table13[[#This Row],[Steps]]),
))</f>
        <v>93</v>
      </c>
      <c r="G2730">
        <f>IF(Table13[[#This Row],[New Pos L]]&lt;&gt;0,Table13[[#This Row],[New Pos L]],Table13[[#This Row],[New Pos R]])</f>
        <v>93</v>
      </c>
      <c r="H2730">
        <f>IF(AND(Table13[[#This Row],[Direction]]="L",Table13[[#This Row],[Steps]]&gt;G2729,G2729&lt;&gt;0),1,0)</f>
        <v>0</v>
      </c>
      <c r="I2730">
        <f>IF(AND(Table13[[#This Row],[Direction]]="R",(G2729+Table13[[#This Row],[Steps]])&gt;100),1,0)</f>
        <v>0</v>
      </c>
      <c r="J2730">
        <f>IF(Table13[[#This Row],[POS]]=0,1,0)</f>
        <v>0</v>
      </c>
      <c r="K2730">
        <f>SUM(Table13[[#This Row],[prefix]],Table13[[#This Row],[Past zero L]],Table13[[#This Row],[Past Zero R]],Table13[[#This Row],[Is Zero]])</f>
        <v>7</v>
      </c>
    </row>
    <row r="2731" spans="1:11" ht="16" x14ac:dyDescent="0.2">
      <c r="A2731" s="1" t="s">
        <v>125</v>
      </c>
      <c r="B2731" t="str">
        <f>LEFT(Table13[[#This Row],[Input]],1)</f>
        <v>L</v>
      </c>
      <c r="C2731">
        <f>_xlfn.LET(_xlpm.steps,SUBSTITUTE(Table13[[#This Row],[Input]],Table13[[#This Row],[Direction]],""),VALUE(IF(LEN(_xlpm.steps)&gt;2,RIGHT(_xlpm.steps,2),_xlpm.steps)))</f>
        <v>76</v>
      </c>
      <c r="D2731">
        <f>_xlfn.LET(_xlpm.steps,SUBSTITUTE(Table13[[#This Row],[Input]],Table13[[#This Row],[Direction]],""),VALUE(IF(LEN(_xlpm.steps)&gt;2,LEFT(_xlpm.steps,LEN(_xlpm.steps)-2),0)))</f>
        <v>0</v>
      </c>
      <c r="E2731">
        <f>_xlfn.LET(_xlpm.dir,Table13[[#This Row],[Direction]],
IF(_xlpm.dir="L",
    IF(G2730-Table13[[#This Row],[Steps]]&lt;0,100+(G2730-Table13[[#This Row],[Steps]]),G2730-Table13[[#This Row],[Steps]]),
))</f>
        <v>17</v>
      </c>
      <c r="F2731">
        <f>_xlfn.LET(_xlpm.dir,Table13[[#This Row],[Direction]],
IF(_xlpm.dir="R",
    IF(G2730+Table13[[#This Row],[Steps]]&gt;99,(G2730+Table13[[#This Row],[Steps]])-100,G2730+Table13[[#This Row],[Steps]]),
))</f>
        <v>0</v>
      </c>
      <c r="G2731">
        <f>IF(Table13[[#This Row],[New Pos L]]&lt;&gt;0,Table13[[#This Row],[New Pos L]],Table13[[#This Row],[New Pos R]])</f>
        <v>17</v>
      </c>
      <c r="H2731">
        <f>IF(AND(Table13[[#This Row],[Direction]]="L",Table13[[#This Row],[Steps]]&gt;G2730,G2730&lt;&gt;0),1,0)</f>
        <v>0</v>
      </c>
      <c r="I2731">
        <f>IF(AND(Table13[[#This Row],[Direction]]="R",(G2730+Table13[[#This Row],[Steps]])&gt;100),1,0)</f>
        <v>0</v>
      </c>
      <c r="J2731">
        <f>IF(Table13[[#This Row],[POS]]=0,1,0)</f>
        <v>0</v>
      </c>
      <c r="K2731">
        <f>SUM(Table13[[#This Row],[prefix]],Table13[[#This Row],[Past zero L]],Table13[[#This Row],[Past Zero R]],Table13[[#This Row],[Is Zero]])</f>
        <v>0</v>
      </c>
    </row>
    <row r="2732" spans="1:11" ht="16" x14ac:dyDescent="0.2">
      <c r="A2732" s="1" t="s">
        <v>175</v>
      </c>
      <c r="B2732" t="str">
        <f>LEFT(Table13[[#This Row],[Input]],1)</f>
        <v>L</v>
      </c>
      <c r="C2732">
        <f>_xlfn.LET(_xlpm.steps,SUBSTITUTE(Table13[[#This Row],[Input]],Table13[[#This Row],[Direction]],""),VALUE(IF(LEN(_xlpm.steps)&gt;2,RIGHT(_xlpm.steps,2),_xlpm.steps)))</f>
        <v>1</v>
      </c>
      <c r="D2732">
        <f>_xlfn.LET(_xlpm.steps,SUBSTITUTE(Table13[[#This Row],[Input]],Table13[[#This Row],[Direction]],""),VALUE(IF(LEN(_xlpm.steps)&gt;2,LEFT(_xlpm.steps,LEN(_xlpm.steps)-2),0)))</f>
        <v>0</v>
      </c>
      <c r="E2732">
        <f>_xlfn.LET(_xlpm.dir,Table13[[#This Row],[Direction]],
IF(_xlpm.dir="L",
    IF(G2731-Table13[[#This Row],[Steps]]&lt;0,100+(G2731-Table13[[#This Row],[Steps]]),G2731-Table13[[#This Row],[Steps]]),
))</f>
        <v>16</v>
      </c>
      <c r="F2732">
        <f>_xlfn.LET(_xlpm.dir,Table13[[#This Row],[Direction]],
IF(_xlpm.dir="R",
    IF(G2731+Table13[[#This Row],[Steps]]&gt;99,(G2731+Table13[[#This Row],[Steps]])-100,G2731+Table13[[#This Row],[Steps]]),
))</f>
        <v>0</v>
      </c>
      <c r="G2732">
        <f>IF(Table13[[#This Row],[New Pos L]]&lt;&gt;0,Table13[[#This Row],[New Pos L]],Table13[[#This Row],[New Pos R]])</f>
        <v>16</v>
      </c>
      <c r="H2732">
        <f>IF(AND(Table13[[#This Row],[Direction]]="L",Table13[[#This Row],[Steps]]&gt;G2731,G2731&lt;&gt;0),1,0)</f>
        <v>0</v>
      </c>
      <c r="I2732">
        <f>IF(AND(Table13[[#This Row],[Direction]]="R",(G2731+Table13[[#This Row],[Steps]])&gt;100),1,0)</f>
        <v>0</v>
      </c>
      <c r="J2732">
        <f>IF(Table13[[#This Row],[POS]]=0,1,0)</f>
        <v>0</v>
      </c>
      <c r="K2732">
        <f>SUM(Table13[[#This Row],[prefix]],Table13[[#This Row],[Past zero L]],Table13[[#This Row],[Past Zero R]],Table13[[#This Row],[Is Zero]])</f>
        <v>0</v>
      </c>
    </row>
    <row r="2733" spans="1:11" ht="16" x14ac:dyDescent="0.2">
      <c r="A2733" s="1" t="s">
        <v>396</v>
      </c>
      <c r="B2733" t="str">
        <f>LEFT(Table13[[#This Row],[Input]],1)</f>
        <v>R</v>
      </c>
      <c r="C2733">
        <f>_xlfn.LET(_xlpm.steps,SUBSTITUTE(Table13[[#This Row],[Input]],Table13[[#This Row],[Direction]],""),VALUE(IF(LEN(_xlpm.steps)&gt;2,RIGHT(_xlpm.steps,2),_xlpm.steps)))</f>
        <v>84</v>
      </c>
      <c r="D2733">
        <f>_xlfn.LET(_xlpm.steps,SUBSTITUTE(Table13[[#This Row],[Input]],Table13[[#This Row],[Direction]],""),VALUE(IF(LEN(_xlpm.steps)&gt;2,LEFT(_xlpm.steps,LEN(_xlpm.steps)-2),0)))</f>
        <v>3</v>
      </c>
      <c r="E2733">
        <f>_xlfn.LET(_xlpm.dir,Table13[[#This Row],[Direction]],
IF(_xlpm.dir="L",
    IF(G2732-Table13[[#This Row],[Steps]]&lt;0,100+(G2732-Table13[[#This Row],[Steps]]),G2732-Table13[[#This Row],[Steps]]),
))</f>
        <v>0</v>
      </c>
      <c r="F2733">
        <f>_xlfn.LET(_xlpm.dir,Table13[[#This Row],[Direction]],
IF(_xlpm.dir="R",
    IF(G2732+Table13[[#This Row],[Steps]]&gt;99,(G2732+Table13[[#This Row],[Steps]])-100,G2732+Table13[[#This Row],[Steps]]),
))</f>
        <v>0</v>
      </c>
      <c r="G2733">
        <f>IF(Table13[[#This Row],[New Pos L]]&lt;&gt;0,Table13[[#This Row],[New Pos L]],Table13[[#This Row],[New Pos R]])</f>
        <v>0</v>
      </c>
      <c r="H2733">
        <f>IF(AND(Table13[[#This Row],[Direction]]="L",Table13[[#This Row],[Steps]]&gt;G2732,G2732&lt;&gt;0),1,0)</f>
        <v>0</v>
      </c>
      <c r="I2733">
        <f>IF(AND(Table13[[#This Row],[Direction]]="R",(G2732+Table13[[#This Row],[Steps]])&gt;100),1,0)</f>
        <v>0</v>
      </c>
      <c r="J2733">
        <f>IF(Table13[[#This Row],[POS]]=0,1,0)</f>
        <v>1</v>
      </c>
      <c r="K2733">
        <f>SUM(Table13[[#This Row],[prefix]],Table13[[#This Row],[Past zero L]],Table13[[#This Row],[Past Zero R]],Table13[[#This Row],[Is Zero]])</f>
        <v>4</v>
      </c>
    </row>
    <row r="2734" spans="1:11" ht="16" x14ac:dyDescent="0.2">
      <c r="A2734" s="1" t="s">
        <v>66</v>
      </c>
      <c r="B2734" t="str">
        <f>LEFT(Table13[[#This Row],[Input]],1)</f>
        <v>R</v>
      </c>
      <c r="C2734">
        <f>_xlfn.LET(_xlpm.steps,SUBSTITUTE(Table13[[#This Row],[Input]],Table13[[#This Row],[Direction]],""),VALUE(IF(LEN(_xlpm.steps)&gt;2,RIGHT(_xlpm.steps,2),_xlpm.steps)))</f>
        <v>45</v>
      </c>
      <c r="D2734">
        <f>_xlfn.LET(_xlpm.steps,SUBSTITUTE(Table13[[#This Row],[Input]],Table13[[#This Row],[Direction]],""),VALUE(IF(LEN(_xlpm.steps)&gt;2,LEFT(_xlpm.steps,LEN(_xlpm.steps)-2),0)))</f>
        <v>0</v>
      </c>
      <c r="E2734">
        <f>_xlfn.LET(_xlpm.dir,Table13[[#This Row],[Direction]],
IF(_xlpm.dir="L",
    IF(G2733-Table13[[#This Row],[Steps]]&lt;0,100+(G2733-Table13[[#This Row],[Steps]]),G2733-Table13[[#This Row],[Steps]]),
))</f>
        <v>0</v>
      </c>
      <c r="F2734">
        <f>_xlfn.LET(_xlpm.dir,Table13[[#This Row],[Direction]],
IF(_xlpm.dir="R",
    IF(G2733+Table13[[#This Row],[Steps]]&gt;99,(G2733+Table13[[#This Row],[Steps]])-100,G2733+Table13[[#This Row],[Steps]]),
))</f>
        <v>45</v>
      </c>
      <c r="G2734">
        <f>IF(Table13[[#This Row],[New Pos L]]&lt;&gt;0,Table13[[#This Row],[New Pos L]],Table13[[#This Row],[New Pos R]])</f>
        <v>45</v>
      </c>
      <c r="H2734">
        <f>IF(AND(Table13[[#This Row],[Direction]]="L",Table13[[#This Row],[Steps]]&gt;G2733,G2733&lt;&gt;0),1,0)</f>
        <v>0</v>
      </c>
      <c r="I2734">
        <f>IF(AND(Table13[[#This Row],[Direction]]="R",(G2733+Table13[[#This Row],[Steps]])&gt;100),1,0)</f>
        <v>0</v>
      </c>
      <c r="J2734">
        <f>IF(Table13[[#This Row],[POS]]=0,1,0)</f>
        <v>0</v>
      </c>
      <c r="K2734">
        <f>SUM(Table13[[#This Row],[prefix]],Table13[[#This Row],[Past zero L]],Table13[[#This Row],[Past Zero R]],Table13[[#This Row],[Is Zero]])</f>
        <v>0</v>
      </c>
    </row>
    <row r="2735" spans="1:11" ht="16" x14ac:dyDescent="0.2">
      <c r="A2735" s="1" t="s">
        <v>278</v>
      </c>
      <c r="B2735" t="str">
        <f>LEFT(Table13[[#This Row],[Input]],1)</f>
        <v>L</v>
      </c>
      <c r="C2735">
        <f>_xlfn.LET(_xlpm.steps,SUBSTITUTE(Table13[[#This Row],[Input]],Table13[[#This Row],[Direction]],""),VALUE(IF(LEN(_xlpm.steps)&gt;2,RIGHT(_xlpm.steps,2),_xlpm.steps)))</f>
        <v>40</v>
      </c>
      <c r="D2735">
        <f>_xlfn.LET(_xlpm.steps,SUBSTITUTE(Table13[[#This Row],[Input]],Table13[[#This Row],[Direction]],""),VALUE(IF(LEN(_xlpm.steps)&gt;2,LEFT(_xlpm.steps,LEN(_xlpm.steps)-2),0)))</f>
        <v>0</v>
      </c>
      <c r="E2735">
        <f>_xlfn.LET(_xlpm.dir,Table13[[#This Row],[Direction]],
IF(_xlpm.dir="L",
    IF(G2734-Table13[[#This Row],[Steps]]&lt;0,100+(G2734-Table13[[#This Row],[Steps]]),G2734-Table13[[#This Row],[Steps]]),
))</f>
        <v>5</v>
      </c>
      <c r="F2735">
        <f>_xlfn.LET(_xlpm.dir,Table13[[#This Row],[Direction]],
IF(_xlpm.dir="R",
    IF(G2734+Table13[[#This Row],[Steps]]&gt;99,(G2734+Table13[[#This Row],[Steps]])-100,G2734+Table13[[#This Row],[Steps]]),
))</f>
        <v>0</v>
      </c>
      <c r="G2735">
        <f>IF(Table13[[#This Row],[New Pos L]]&lt;&gt;0,Table13[[#This Row],[New Pos L]],Table13[[#This Row],[New Pos R]])</f>
        <v>5</v>
      </c>
      <c r="H2735">
        <f>IF(AND(Table13[[#This Row],[Direction]]="L",Table13[[#This Row],[Steps]]&gt;G2734,G2734&lt;&gt;0),1,0)</f>
        <v>0</v>
      </c>
      <c r="I2735">
        <f>IF(AND(Table13[[#This Row],[Direction]]="R",(G2734+Table13[[#This Row],[Steps]])&gt;100),1,0)</f>
        <v>0</v>
      </c>
      <c r="J2735">
        <f>IF(Table13[[#This Row],[POS]]=0,1,0)</f>
        <v>0</v>
      </c>
      <c r="K2735">
        <f>SUM(Table13[[#This Row],[prefix]],Table13[[#This Row],[Past zero L]],Table13[[#This Row],[Past Zero R]],Table13[[#This Row],[Is Zero]])</f>
        <v>0</v>
      </c>
    </row>
    <row r="2736" spans="1:11" ht="16" x14ac:dyDescent="0.2">
      <c r="A2736" s="1" t="s">
        <v>111</v>
      </c>
      <c r="B2736" t="str">
        <f>LEFT(Table13[[#This Row],[Input]],1)</f>
        <v>R</v>
      </c>
      <c r="C2736">
        <f>_xlfn.LET(_xlpm.steps,SUBSTITUTE(Table13[[#This Row],[Input]],Table13[[#This Row],[Direction]],""),VALUE(IF(LEN(_xlpm.steps)&gt;2,RIGHT(_xlpm.steps,2),_xlpm.steps)))</f>
        <v>64</v>
      </c>
      <c r="D2736">
        <f>_xlfn.LET(_xlpm.steps,SUBSTITUTE(Table13[[#This Row],[Input]],Table13[[#This Row],[Direction]],""),VALUE(IF(LEN(_xlpm.steps)&gt;2,LEFT(_xlpm.steps,LEN(_xlpm.steps)-2),0)))</f>
        <v>0</v>
      </c>
      <c r="E2736">
        <f>_xlfn.LET(_xlpm.dir,Table13[[#This Row],[Direction]],
IF(_xlpm.dir="L",
    IF(G2735-Table13[[#This Row],[Steps]]&lt;0,100+(G2735-Table13[[#This Row],[Steps]]),G2735-Table13[[#This Row],[Steps]]),
))</f>
        <v>0</v>
      </c>
      <c r="F2736">
        <f>_xlfn.LET(_xlpm.dir,Table13[[#This Row],[Direction]],
IF(_xlpm.dir="R",
    IF(G2735+Table13[[#This Row],[Steps]]&gt;99,(G2735+Table13[[#This Row],[Steps]])-100,G2735+Table13[[#This Row],[Steps]]),
))</f>
        <v>69</v>
      </c>
      <c r="G2736">
        <f>IF(Table13[[#This Row],[New Pos L]]&lt;&gt;0,Table13[[#This Row],[New Pos L]],Table13[[#This Row],[New Pos R]])</f>
        <v>69</v>
      </c>
      <c r="H2736">
        <f>IF(AND(Table13[[#This Row],[Direction]]="L",Table13[[#This Row],[Steps]]&gt;G2735,G2735&lt;&gt;0),1,0)</f>
        <v>0</v>
      </c>
      <c r="I2736">
        <f>IF(AND(Table13[[#This Row],[Direction]]="R",(G2735+Table13[[#This Row],[Steps]])&gt;100),1,0)</f>
        <v>0</v>
      </c>
      <c r="J2736">
        <f>IF(Table13[[#This Row],[POS]]=0,1,0)</f>
        <v>0</v>
      </c>
      <c r="K2736">
        <f>SUM(Table13[[#This Row],[prefix]],Table13[[#This Row],[Past zero L]],Table13[[#This Row],[Past Zero R]],Table13[[#This Row],[Is Zero]])</f>
        <v>0</v>
      </c>
    </row>
    <row r="2737" spans="1:11" ht="16" x14ac:dyDescent="0.2">
      <c r="A2737" s="1" t="s">
        <v>119</v>
      </c>
      <c r="B2737" t="str">
        <f>LEFT(Table13[[#This Row],[Input]],1)</f>
        <v>L</v>
      </c>
      <c r="C2737">
        <f>_xlfn.LET(_xlpm.steps,SUBSTITUTE(Table13[[#This Row],[Input]],Table13[[#This Row],[Direction]],""),VALUE(IF(LEN(_xlpm.steps)&gt;2,RIGHT(_xlpm.steps,2),_xlpm.steps)))</f>
        <v>77</v>
      </c>
      <c r="D2737">
        <f>_xlfn.LET(_xlpm.steps,SUBSTITUTE(Table13[[#This Row],[Input]],Table13[[#This Row],[Direction]],""),VALUE(IF(LEN(_xlpm.steps)&gt;2,LEFT(_xlpm.steps,LEN(_xlpm.steps)-2),0)))</f>
        <v>0</v>
      </c>
      <c r="E2737">
        <f>_xlfn.LET(_xlpm.dir,Table13[[#This Row],[Direction]],
IF(_xlpm.dir="L",
    IF(G2736-Table13[[#This Row],[Steps]]&lt;0,100+(G2736-Table13[[#This Row],[Steps]]),G2736-Table13[[#This Row],[Steps]]),
))</f>
        <v>92</v>
      </c>
      <c r="F2737">
        <f>_xlfn.LET(_xlpm.dir,Table13[[#This Row],[Direction]],
IF(_xlpm.dir="R",
    IF(G2736+Table13[[#This Row],[Steps]]&gt;99,(G2736+Table13[[#This Row],[Steps]])-100,G2736+Table13[[#This Row],[Steps]]),
))</f>
        <v>0</v>
      </c>
      <c r="G2737">
        <f>IF(Table13[[#This Row],[New Pos L]]&lt;&gt;0,Table13[[#This Row],[New Pos L]],Table13[[#This Row],[New Pos R]])</f>
        <v>92</v>
      </c>
      <c r="H2737">
        <f>IF(AND(Table13[[#This Row],[Direction]]="L",Table13[[#This Row],[Steps]]&gt;G2736,G2736&lt;&gt;0),1,0)</f>
        <v>1</v>
      </c>
      <c r="I2737">
        <f>IF(AND(Table13[[#This Row],[Direction]]="R",(G2736+Table13[[#This Row],[Steps]])&gt;100),1,0)</f>
        <v>0</v>
      </c>
      <c r="J2737">
        <f>IF(Table13[[#This Row],[POS]]=0,1,0)</f>
        <v>0</v>
      </c>
      <c r="K2737">
        <f>SUM(Table13[[#This Row],[prefix]],Table13[[#This Row],[Past zero L]],Table13[[#This Row],[Past Zero R]],Table13[[#This Row],[Is Zero]])</f>
        <v>1</v>
      </c>
    </row>
    <row r="2738" spans="1:11" ht="16" x14ac:dyDescent="0.2">
      <c r="A2738" s="1" t="s">
        <v>129</v>
      </c>
      <c r="B2738" t="str">
        <f>LEFT(Table13[[#This Row],[Input]],1)</f>
        <v>R</v>
      </c>
      <c r="C2738">
        <f>_xlfn.LET(_xlpm.steps,SUBSTITUTE(Table13[[#This Row],[Input]],Table13[[#This Row],[Direction]],""),VALUE(IF(LEN(_xlpm.steps)&gt;2,RIGHT(_xlpm.steps,2),_xlpm.steps)))</f>
        <v>8</v>
      </c>
      <c r="D2738">
        <f>_xlfn.LET(_xlpm.steps,SUBSTITUTE(Table13[[#This Row],[Input]],Table13[[#This Row],[Direction]],""),VALUE(IF(LEN(_xlpm.steps)&gt;2,LEFT(_xlpm.steps,LEN(_xlpm.steps)-2),0)))</f>
        <v>0</v>
      </c>
      <c r="E2738">
        <f>_xlfn.LET(_xlpm.dir,Table13[[#This Row],[Direction]],
IF(_xlpm.dir="L",
    IF(G2737-Table13[[#This Row],[Steps]]&lt;0,100+(G2737-Table13[[#This Row],[Steps]]),G2737-Table13[[#This Row],[Steps]]),
))</f>
        <v>0</v>
      </c>
      <c r="F2738">
        <f>_xlfn.LET(_xlpm.dir,Table13[[#This Row],[Direction]],
IF(_xlpm.dir="R",
    IF(G2737+Table13[[#This Row],[Steps]]&gt;99,(G2737+Table13[[#This Row],[Steps]])-100,G2737+Table13[[#This Row],[Steps]]),
))</f>
        <v>0</v>
      </c>
      <c r="G2738">
        <f>IF(Table13[[#This Row],[New Pos L]]&lt;&gt;0,Table13[[#This Row],[New Pos L]],Table13[[#This Row],[New Pos R]])</f>
        <v>0</v>
      </c>
      <c r="H2738">
        <f>IF(AND(Table13[[#This Row],[Direction]]="L",Table13[[#This Row],[Steps]]&gt;G2737,G2737&lt;&gt;0),1,0)</f>
        <v>0</v>
      </c>
      <c r="I2738">
        <f>IF(AND(Table13[[#This Row],[Direction]]="R",(G2737+Table13[[#This Row],[Steps]])&gt;100),1,0)</f>
        <v>0</v>
      </c>
      <c r="J2738">
        <f>IF(Table13[[#This Row],[POS]]=0,1,0)</f>
        <v>1</v>
      </c>
      <c r="K2738">
        <f>SUM(Table13[[#This Row],[prefix]],Table13[[#This Row],[Past zero L]],Table13[[#This Row],[Past Zero R]],Table13[[#This Row],[Is Zero]])</f>
        <v>1</v>
      </c>
    </row>
    <row r="2739" spans="1:11" ht="16" x14ac:dyDescent="0.2">
      <c r="A2739" s="1" t="s">
        <v>563</v>
      </c>
      <c r="B2739" t="str">
        <f>LEFT(Table13[[#This Row],[Input]],1)</f>
        <v>R</v>
      </c>
      <c r="C2739">
        <f>_xlfn.LET(_xlpm.steps,SUBSTITUTE(Table13[[#This Row],[Input]],Table13[[#This Row],[Direction]],""),VALUE(IF(LEN(_xlpm.steps)&gt;2,RIGHT(_xlpm.steps,2),_xlpm.steps)))</f>
        <v>60</v>
      </c>
      <c r="D2739">
        <f>_xlfn.LET(_xlpm.steps,SUBSTITUTE(Table13[[#This Row],[Input]],Table13[[#This Row],[Direction]],""),VALUE(IF(LEN(_xlpm.steps)&gt;2,LEFT(_xlpm.steps,LEN(_xlpm.steps)-2),0)))</f>
        <v>9</v>
      </c>
      <c r="E2739">
        <f>_xlfn.LET(_xlpm.dir,Table13[[#This Row],[Direction]],
IF(_xlpm.dir="L",
    IF(G2738-Table13[[#This Row],[Steps]]&lt;0,100+(G2738-Table13[[#This Row],[Steps]]),G2738-Table13[[#This Row],[Steps]]),
))</f>
        <v>0</v>
      </c>
      <c r="F2739">
        <f>_xlfn.LET(_xlpm.dir,Table13[[#This Row],[Direction]],
IF(_xlpm.dir="R",
    IF(G2738+Table13[[#This Row],[Steps]]&gt;99,(G2738+Table13[[#This Row],[Steps]])-100,G2738+Table13[[#This Row],[Steps]]),
))</f>
        <v>60</v>
      </c>
      <c r="G2739">
        <f>IF(Table13[[#This Row],[New Pos L]]&lt;&gt;0,Table13[[#This Row],[New Pos L]],Table13[[#This Row],[New Pos R]])</f>
        <v>60</v>
      </c>
      <c r="H2739">
        <f>IF(AND(Table13[[#This Row],[Direction]]="L",Table13[[#This Row],[Steps]]&gt;G2738,G2738&lt;&gt;0),1,0)</f>
        <v>0</v>
      </c>
      <c r="I2739">
        <f>IF(AND(Table13[[#This Row],[Direction]]="R",(G2738+Table13[[#This Row],[Steps]])&gt;100),1,0)</f>
        <v>0</v>
      </c>
      <c r="J2739">
        <f>IF(Table13[[#This Row],[POS]]=0,1,0)</f>
        <v>0</v>
      </c>
      <c r="K2739">
        <f>SUM(Table13[[#This Row],[prefix]],Table13[[#This Row],[Past zero L]],Table13[[#This Row],[Past Zero R]],Table13[[#This Row],[Is Zero]])</f>
        <v>9</v>
      </c>
    </row>
    <row r="2740" spans="1:11" ht="16" x14ac:dyDescent="0.2">
      <c r="A2740" s="1" t="s">
        <v>20</v>
      </c>
      <c r="B2740" t="str">
        <f>LEFT(Table13[[#This Row],[Input]],1)</f>
        <v>R</v>
      </c>
      <c r="C2740">
        <f>_xlfn.LET(_xlpm.steps,SUBSTITUTE(Table13[[#This Row],[Input]],Table13[[#This Row],[Direction]],""),VALUE(IF(LEN(_xlpm.steps)&gt;2,RIGHT(_xlpm.steps,2),_xlpm.steps)))</f>
        <v>46</v>
      </c>
      <c r="D2740">
        <f>_xlfn.LET(_xlpm.steps,SUBSTITUTE(Table13[[#This Row],[Input]],Table13[[#This Row],[Direction]],""),VALUE(IF(LEN(_xlpm.steps)&gt;2,LEFT(_xlpm.steps,LEN(_xlpm.steps)-2),0)))</f>
        <v>0</v>
      </c>
      <c r="E2740">
        <f>_xlfn.LET(_xlpm.dir,Table13[[#This Row],[Direction]],
IF(_xlpm.dir="L",
    IF(G2739-Table13[[#This Row],[Steps]]&lt;0,100+(G2739-Table13[[#This Row],[Steps]]),G2739-Table13[[#This Row],[Steps]]),
))</f>
        <v>0</v>
      </c>
      <c r="F2740">
        <f>_xlfn.LET(_xlpm.dir,Table13[[#This Row],[Direction]],
IF(_xlpm.dir="R",
    IF(G2739+Table13[[#This Row],[Steps]]&gt;99,(G2739+Table13[[#This Row],[Steps]])-100,G2739+Table13[[#This Row],[Steps]]),
))</f>
        <v>6</v>
      </c>
      <c r="G2740">
        <f>IF(Table13[[#This Row],[New Pos L]]&lt;&gt;0,Table13[[#This Row],[New Pos L]],Table13[[#This Row],[New Pos R]])</f>
        <v>6</v>
      </c>
      <c r="H2740">
        <f>IF(AND(Table13[[#This Row],[Direction]]="L",Table13[[#This Row],[Steps]]&gt;G2739,G2739&lt;&gt;0),1,0)</f>
        <v>0</v>
      </c>
      <c r="I2740">
        <f>IF(AND(Table13[[#This Row],[Direction]]="R",(G2739+Table13[[#This Row],[Steps]])&gt;100),1,0)</f>
        <v>1</v>
      </c>
      <c r="J2740">
        <f>IF(Table13[[#This Row],[POS]]=0,1,0)</f>
        <v>0</v>
      </c>
      <c r="K2740">
        <f>SUM(Table13[[#This Row],[prefix]],Table13[[#This Row],[Past zero L]],Table13[[#This Row],[Past Zero R]],Table13[[#This Row],[Is Zero]])</f>
        <v>1</v>
      </c>
    </row>
    <row r="2741" spans="1:11" ht="16" x14ac:dyDescent="0.2">
      <c r="A2741" s="1" t="s">
        <v>462</v>
      </c>
      <c r="B2741" t="str">
        <f>LEFT(Table13[[#This Row],[Input]],1)</f>
        <v>L</v>
      </c>
      <c r="C2741">
        <f>_xlfn.LET(_xlpm.steps,SUBSTITUTE(Table13[[#This Row],[Input]],Table13[[#This Row],[Direction]],""),VALUE(IF(LEN(_xlpm.steps)&gt;2,RIGHT(_xlpm.steps,2),_xlpm.steps)))</f>
        <v>17</v>
      </c>
      <c r="D2741">
        <f>_xlfn.LET(_xlpm.steps,SUBSTITUTE(Table13[[#This Row],[Input]],Table13[[#This Row],[Direction]],""),VALUE(IF(LEN(_xlpm.steps)&gt;2,LEFT(_xlpm.steps,LEN(_xlpm.steps)-2),0)))</f>
        <v>0</v>
      </c>
      <c r="E2741">
        <f>_xlfn.LET(_xlpm.dir,Table13[[#This Row],[Direction]],
IF(_xlpm.dir="L",
    IF(G2740-Table13[[#This Row],[Steps]]&lt;0,100+(G2740-Table13[[#This Row],[Steps]]),G2740-Table13[[#This Row],[Steps]]),
))</f>
        <v>89</v>
      </c>
      <c r="F2741">
        <f>_xlfn.LET(_xlpm.dir,Table13[[#This Row],[Direction]],
IF(_xlpm.dir="R",
    IF(G2740+Table13[[#This Row],[Steps]]&gt;99,(G2740+Table13[[#This Row],[Steps]])-100,G2740+Table13[[#This Row],[Steps]]),
))</f>
        <v>0</v>
      </c>
      <c r="G2741">
        <f>IF(Table13[[#This Row],[New Pos L]]&lt;&gt;0,Table13[[#This Row],[New Pos L]],Table13[[#This Row],[New Pos R]])</f>
        <v>89</v>
      </c>
      <c r="H2741">
        <f>IF(AND(Table13[[#This Row],[Direction]]="L",Table13[[#This Row],[Steps]]&gt;G2740,G2740&lt;&gt;0),1,0)</f>
        <v>1</v>
      </c>
      <c r="I2741">
        <f>IF(AND(Table13[[#This Row],[Direction]]="R",(G2740+Table13[[#This Row],[Steps]])&gt;100),1,0)</f>
        <v>0</v>
      </c>
      <c r="J2741">
        <f>IF(Table13[[#This Row],[POS]]=0,1,0)</f>
        <v>0</v>
      </c>
      <c r="K2741">
        <f>SUM(Table13[[#This Row],[prefix]],Table13[[#This Row],[Past zero L]],Table13[[#This Row],[Past Zero R]],Table13[[#This Row],[Is Zero]])</f>
        <v>1</v>
      </c>
    </row>
    <row r="2742" spans="1:11" ht="16" x14ac:dyDescent="0.2">
      <c r="A2742" s="1" t="s">
        <v>207</v>
      </c>
      <c r="B2742" t="str">
        <f>LEFT(Table13[[#This Row],[Input]],1)</f>
        <v>L</v>
      </c>
      <c r="C2742">
        <f>_xlfn.LET(_xlpm.steps,SUBSTITUTE(Table13[[#This Row],[Input]],Table13[[#This Row],[Direction]],""),VALUE(IF(LEN(_xlpm.steps)&gt;2,RIGHT(_xlpm.steps,2),_xlpm.steps)))</f>
        <v>89</v>
      </c>
      <c r="D2742">
        <f>_xlfn.LET(_xlpm.steps,SUBSTITUTE(Table13[[#This Row],[Input]],Table13[[#This Row],[Direction]],""),VALUE(IF(LEN(_xlpm.steps)&gt;2,LEFT(_xlpm.steps,LEN(_xlpm.steps)-2),0)))</f>
        <v>0</v>
      </c>
      <c r="E2742">
        <f>_xlfn.LET(_xlpm.dir,Table13[[#This Row],[Direction]],
IF(_xlpm.dir="L",
    IF(G2741-Table13[[#This Row],[Steps]]&lt;0,100+(G2741-Table13[[#This Row],[Steps]]),G2741-Table13[[#This Row],[Steps]]),
))</f>
        <v>0</v>
      </c>
      <c r="F2742">
        <f>_xlfn.LET(_xlpm.dir,Table13[[#This Row],[Direction]],
IF(_xlpm.dir="R",
    IF(G2741+Table13[[#This Row],[Steps]]&gt;99,(G2741+Table13[[#This Row],[Steps]])-100,G2741+Table13[[#This Row],[Steps]]),
))</f>
        <v>0</v>
      </c>
      <c r="G2742">
        <f>IF(Table13[[#This Row],[New Pos L]]&lt;&gt;0,Table13[[#This Row],[New Pos L]],Table13[[#This Row],[New Pos R]])</f>
        <v>0</v>
      </c>
      <c r="H2742">
        <f>IF(AND(Table13[[#This Row],[Direction]]="L",Table13[[#This Row],[Steps]]&gt;G2741,G2741&lt;&gt;0),1,0)</f>
        <v>0</v>
      </c>
      <c r="I2742">
        <f>IF(AND(Table13[[#This Row],[Direction]]="R",(G2741+Table13[[#This Row],[Steps]])&gt;100),1,0)</f>
        <v>0</v>
      </c>
      <c r="J2742">
        <f>IF(Table13[[#This Row],[POS]]=0,1,0)</f>
        <v>1</v>
      </c>
      <c r="K2742">
        <f>SUM(Table13[[#This Row],[prefix]],Table13[[#This Row],[Past zero L]],Table13[[#This Row],[Past Zero R]],Table13[[#This Row],[Is Zero]])</f>
        <v>1</v>
      </c>
    </row>
    <row r="2743" spans="1:11" ht="16" x14ac:dyDescent="0.2">
      <c r="A2743" s="1" t="s">
        <v>651</v>
      </c>
      <c r="B2743" t="str">
        <f>LEFT(Table13[[#This Row],[Input]],1)</f>
        <v>R</v>
      </c>
      <c r="C2743">
        <f>_xlfn.LET(_xlpm.steps,SUBSTITUTE(Table13[[#This Row],[Input]],Table13[[#This Row],[Direction]],""),VALUE(IF(LEN(_xlpm.steps)&gt;2,RIGHT(_xlpm.steps,2),_xlpm.steps)))</f>
        <v>24</v>
      </c>
      <c r="D2743">
        <f>_xlfn.LET(_xlpm.steps,SUBSTITUTE(Table13[[#This Row],[Input]],Table13[[#This Row],[Direction]],""),VALUE(IF(LEN(_xlpm.steps)&gt;2,LEFT(_xlpm.steps,LEN(_xlpm.steps)-2),0)))</f>
        <v>5</v>
      </c>
      <c r="E2743">
        <f>_xlfn.LET(_xlpm.dir,Table13[[#This Row],[Direction]],
IF(_xlpm.dir="L",
    IF(G2742-Table13[[#This Row],[Steps]]&lt;0,100+(G2742-Table13[[#This Row],[Steps]]),G2742-Table13[[#This Row],[Steps]]),
))</f>
        <v>0</v>
      </c>
      <c r="F2743">
        <f>_xlfn.LET(_xlpm.dir,Table13[[#This Row],[Direction]],
IF(_xlpm.dir="R",
    IF(G2742+Table13[[#This Row],[Steps]]&gt;99,(G2742+Table13[[#This Row],[Steps]])-100,G2742+Table13[[#This Row],[Steps]]),
))</f>
        <v>24</v>
      </c>
      <c r="G2743">
        <f>IF(Table13[[#This Row],[New Pos L]]&lt;&gt;0,Table13[[#This Row],[New Pos L]],Table13[[#This Row],[New Pos R]])</f>
        <v>24</v>
      </c>
      <c r="H2743">
        <f>IF(AND(Table13[[#This Row],[Direction]]="L",Table13[[#This Row],[Steps]]&gt;G2742,G2742&lt;&gt;0),1,0)</f>
        <v>0</v>
      </c>
      <c r="I2743">
        <f>IF(AND(Table13[[#This Row],[Direction]]="R",(G2742+Table13[[#This Row],[Steps]])&gt;100),1,0)</f>
        <v>0</v>
      </c>
      <c r="J2743">
        <f>IF(Table13[[#This Row],[POS]]=0,1,0)</f>
        <v>0</v>
      </c>
      <c r="K2743">
        <f>SUM(Table13[[#This Row],[prefix]],Table13[[#This Row],[Past zero L]],Table13[[#This Row],[Past Zero R]],Table13[[#This Row],[Is Zero]])</f>
        <v>5</v>
      </c>
    </row>
    <row r="2744" spans="1:11" ht="16" x14ac:dyDescent="0.2">
      <c r="A2744" s="1" t="s">
        <v>24</v>
      </c>
      <c r="B2744" t="str">
        <f>LEFT(Table13[[#This Row],[Input]],1)</f>
        <v>L</v>
      </c>
      <c r="C2744">
        <f>_xlfn.LET(_xlpm.steps,SUBSTITUTE(Table13[[#This Row],[Input]],Table13[[#This Row],[Direction]],""),VALUE(IF(LEN(_xlpm.steps)&gt;2,RIGHT(_xlpm.steps,2),_xlpm.steps)))</f>
        <v>49</v>
      </c>
      <c r="D2744">
        <f>_xlfn.LET(_xlpm.steps,SUBSTITUTE(Table13[[#This Row],[Input]],Table13[[#This Row],[Direction]],""),VALUE(IF(LEN(_xlpm.steps)&gt;2,LEFT(_xlpm.steps,LEN(_xlpm.steps)-2),0)))</f>
        <v>0</v>
      </c>
      <c r="E2744">
        <f>_xlfn.LET(_xlpm.dir,Table13[[#This Row],[Direction]],
IF(_xlpm.dir="L",
    IF(G2743-Table13[[#This Row],[Steps]]&lt;0,100+(G2743-Table13[[#This Row],[Steps]]),G2743-Table13[[#This Row],[Steps]]),
))</f>
        <v>75</v>
      </c>
      <c r="F2744">
        <f>_xlfn.LET(_xlpm.dir,Table13[[#This Row],[Direction]],
IF(_xlpm.dir="R",
    IF(G2743+Table13[[#This Row],[Steps]]&gt;99,(G2743+Table13[[#This Row],[Steps]])-100,G2743+Table13[[#This Row],[Steps]]),
))</f>
        <v>0</v>
      </c>
      <c r="G2744">
        <f>IF(Table13[[#This Row],[New Pos L]]&lt;&gt;0,Table13[[#This Row],[New Pos L]],Table13[[#This Row],[New Pos R]])</f>
        <v>75</v>
      </c>
      <c r="H2744">
        <f>IF(AND(Table13[[#This Row],[Direction]]="L",Table13[[#This Row],[Steps]]&gt;G2743,G2743&lt;&gt;0),1,0)</f>
        <v>1</v>
      </c>
      <c r="I2744">
        <f>IF(AND(Table13[[#This Row],[Direction]]="R",(G2743+Table13[[#This Row],[Steps]])&gt;100),1,0)</f>
        <v>0</v>
      </c>
      <c r="J2744">
        <f>IF(Table13[[#This Row],[POS]]=0,1,0)</f>
        <v>0</v>
      </c>
      <c r="K2744">
        <f>SUM(Table13[[#This Row],[prefix]],Table13[[#This Row],[Past zero L]],Table13[[#This Row],[Past Zero R]],Table13[[#This Row],[Is Zero]])</f>
        <v>1</v>
      </c>
    </row>
    <row r="2745" spans="1:11" ht="16" x14ac:dyDescent="0.2">
      <c r="A2745" s="1" t="s">
        <v>652</v>
      </c>
      <c r="B2745" t="str">
        <f>LEFT(Table13[[#This Row],[Input]],1)</f>
        <v>R</v>
      </c>
      <c r="C2745">
        <f>_xlfn.LET(_xlpm.steps,SUBSTITUTE(Table13[[#This Row],[Input]],Table13[[#This Row],[Direction]],""),VALUE(IF(LEN(_xlpm.steps)&gt;2,RIGHT(_xlpm.steps,2),_xlpm.steps)))</f>
        <v>61</v>
      </c>
      <c r="D2745">
        <f>_xlfn.LET(_xlpm.steps,SUBSTITUTE(Table13[[#This Row],[Input]],Table13[[#This Row],[Direction]],""),VALUE(IF(LEN(_xlpm.steps)&gt;2,LEFT(_xlpm.steps,LEN(_xlpm.steps)-2),0)))</f>
        <v>9</v>
      </c>
      <c r="E2745">
        <f>_xlfn.LET(_xlpm.dir,Table13[[#This Row],[Direction]],
IF(_xlpm.dir="L",
    IF(G2744-Table13[[#This Row],[Steps]]&lt;0,100+(G2744-Table13[[#This Row],[Steps]]),G2744-Table13[[#This Row],[Steps]]),
))</f>
        <v>0</v>
      </c>
      <c r="F2745">
        <f>_xlfn.LET(_xlpm.dir,Table13[[#This Row],[Direction]],
IF(_xlpm.dir="R",
    IF(G2744+Table13[[#This Row],[Steps]]&gt;99,(G2744+Table13[[#This Row],[Steps]])-100,G2744+Table13[[#This Row],[Steps]]),
))</f>
        <v>36</v>
      </c>
      <c r="G2745">
        <f>IF(Table13[[#This Row],[New Pos L]]&lt;&gt;0,Table13[[#This Row],[New Pos L]],Table13[[#This Row],[New Pos R]])</f>
        <v>36</v>
      </c>
      <c r="H2745">
        <f>IF(AND(Table13[[#This Row],[Direction]]="L",Table13[[#This Row],[Steps]]&gt;G2744,G2744&lt;&gt;0),1,0)</f>
        <v>0</v>
      </c>
      <c r="I2745">
        <f>IF(AND(Table13[[#This Row],[Direction]]="R",(G2744+Table13[[#This Row],[Steps]])&gt;100),1,0)</f>
        <v>1</v>
      </c>
      <c r="J2745">
        <f>IF(Table13[[#This Row],[POS]]=0,1,0)</f>
        <v>0</v>
      </c>
      <c r="K2745">
        <f>SUM(Table13[[#This Row],[prefix]],Table13[[#This Row],[Past zero L]],Table13[[#This Row],[Past Zero R]],Table13[[#This Row],[Is Zero]])</f>
        <v>10</v>
      </c>
    </row>
    <row r="2746" spans="1:11" ht="16" x14ac:dyDescent="0.2">
      <c r="A2746" s="1" t="s">
        <v>2</v>
      </c>
      <c r="B2746" t="str">
        <f>LEFT(Table13[[#This Row],[Input]],1)</f>
        <v>L</v>
      </c>
      <c r="C2746">
        <f>_xlfn.LET(_xlpm.steps,SUBSTITUTE(Table13[[#This Row],[Input]],Table13[[#This Row],[Direction]],""),VALUE(IF(LEN(_xlpm.steps)&gt;2,RIGHT(_xlpm.steps,2),_xlpm.steps)))</f>
        <v>38</v>
      </c>
      <c r="D2746">
        <f>_xlfn.LET(_xlpm.steps,SUBSTITUTE(Table13[[#This Row],[Input]],Table13[[#This Row],[Direction]],""),VALUE(IF(LEN(_xlpm.steps)&gt;2,LEFT(_xlpm.steps,LEN(_xlpm.steps)-2),0)))</f>
        <v>0</v>
      </c>
      <c r="E2746">
        <f>_xlfn.LET(_xlpm.dir,Table13[[#This Row],[Direction]],
IF(_xlpm.dir="L",
    IF(G2745-Table13[[#This Row],[Steps]]&lt;0,100+(G2745-Table13[[#This Row],[Steps]]),G2745-Table13[[#This Row],[Steps]]),
))</f>
        <v>98</v>
      </c>
      <c r="F2746">
        <f>_xlfn.LET(_xlpm.dir,Table13[[#This Row],[Direction]],
IF(_xlpm.dir="R",
    IF(G2745+Table13[[#This Row],[Steps]]&gt;99,(G2745+Table13[[#This Row],[Steps]])-100,G2745+Table13[[#This Row],[Steps]]),
))</f>
        <v>0</v>
      </c>
      <c r="G2746">
        <f>IF(Table13[[#This Row],[New Pos L]]&lt;&gt;0,Table13[[#This Row],[New Pos L]],Table13[[#This Row],[New Pos R]])</f>
        <v>98</v>
      </c>
      <c r="H2746">
        <f>IF(AND(Table13[[#This Row],[Direction]]="L",Table13[[#This Row],[Steps]]&gt;G2745,G2745&lt;&gt;0),1,0)</f>
        <v>1</v>
      </c>
      <c r="I2746">
        <f>IF(AND(Table13[[#This Row],[Direction]]="R",(G2745+Table13[[#This Row],[Steps]])&gt;100),1,0)</f>
        <v>0</v>
      </c>
      <c r="J2746">
        <f>IF(Table13[[#This Row],[POS]]=0,1,0)</f>
        <v>0</v>
      </c>
      <c r="K2746">
        <f>SUM(Table13[[#This Row],[prefix]],Table13[[#This Row],[Past zero L]],Table13[[#This Row],[Past Zero R]],Table13[[#This Row],[Is Zero]])</f>
        <v>1</v>
      </c>
    </row>
    <row r="2747" spans="1:11" ht="16" x14ac:dyDescent="0.2">
      <c r="A2747" s="1" t="s">
        <v>145</v>
      </c>
      <c r="B2747" t="str">
        <f>LEFT(Table13[[#This Row],[Input]],1)</f>
        <v>L</v>
      </c>
      <c r="C2747">
        <f>_xlfn.LET(_xlpm.steps,SUBSTITUTE(Table13[[#This Row],[Input]],Table13[[#This Row],[Direction]],""),VALUE(IF(LEN(_xlpm.steps)&gt;2,RIGHT(_xlpm.steps,2),_xlpm.steps)))</f>
        <v>83</v>
      </c>
      <c r="D2747">
        <f>_xlfn.LET(_xlpm.steps,SUBSTITUTE(Table13[[#This Row],[Input]],Table13[[#This Row],[Direction]],""),VALUE(IF(LEN(_xlpm.steps)&gt;2,LEFT(_xlpm.steps,LEN(_xlpm.steps)-2),0)))</f>
        <v>0</v>
      </c>
      <c r="E2747">
        <f>_xlfn.LET(_xlpm.dir,Table13[[#This Row],[Direction]],
IF(_xlpm.dir="L",
    IF(G2746-Table13[[#This Row],[Steps]]&lt;0,100+(G2746-Table13[[#This Row],[Steps]]),G2746-Table13[[#This Row],[Steps]]),
))</f>
        <v>15</v>
      </c>
      <c r="F2747">
        <f>_xlfn.LET(_xlpm.dir,Table13[[#This Row],[Direction]],
IF(_xlpm.dir="R",
    IF(G2746+Table13[[#This Row],[Steps]]&gt;99,(G2746+Table13[[#This Row],[Steps]])-100,G2746+Table13[[#This Row],[Steps]]),
))</f>
        <v>0</v>
      </c>
      <c r="G2747">
        <f>IF(Table13[[#This Row],[New Pos L]]&lt;&gt;0,Table13[[#This Row],[New Pos L]],Table13[[#This Row],[New Pos R]])</f>
        <v>15</v>
      </c>
      <c r="H2747">
        <f>IF(AND(Table13[[#This Row],[Direction]]="L",Table13[[#This Row],[Steps]]&gt;G2746,G2746&lt;&gt;0),1,0)</f>
        <v>0</v>
      </c>
      <c r="I2747">
        <f>IF(AND(Table13[[#This Row],[Direction]]="R",(G2746+Table13[[#This Row],[Steps]])&gt;100),1,0)</f>
        <v>0</v>
      </c>
      <c r="J2747">
        <f>IF(Table13[[#This Row],[POS]]=0,1,0)</f>
        <v>0</v>
      </c>
      <c r="K2747">
        <f>SUM(Table13[[#This Row],[prefix]],Table13[[#This Row],[Past zero L]],Table13[[#This Row],[Past Zero R]],Table13[[#This Row],[Is Zero]])</f>
        <v>0</v>
      </c>
    </row>
    <row r="2748" spans="1:11" ht="16" x14ac:dyDescent="0.2">
      <c r="A2748" s="1" t="s">
        <v>164</v>
      </c>
      <c r="B2748" t="str">
        <f>LEFT(Table13[[#This Row],[Input]],1)</f>
        <v>R</v>
      </c>
      <c r="C2748">
        <f>_xlfn.LET(_xlpm.steps,SUBSTITUTE(Table13[[#This Row],[Input]],Table13[[#This Row],[Direction]],""),VALUE(IF(LEN(_xlpm.steps)&gt;2,RIGHT(_xlpm.steps,2),_xlpm.steps)))</f>
        <v>85</v>
      </c>
      <c r="D2748">
        <f>_xlfn.LET(_xlpm.steps,SUBSTITUTE(Table13[[#This Row],[Input]],Table13[[#This Row],[Direction]],""),VALUE(IF(LEN(_xlpm.steps)&gt;2,LEFT(_xlpm.steps,LEN(_xlpm.steps)-2),0)))</f>
        <v>0</v>
      </c>
      <c r="E2748">
        <f>_xlfn.LET(_xlpm.dir,Table13[[#This Row],[Direction]],
IF(_xlpm.dir="L",
    IF(G2747-Table13[[#This Row],[Steps]]&lt;0,100+(G2747-Table13[[#This Row],[Steps]]),G2747-Table13[[#This Row],[Steps]]),
))</f>
        <v>0</v>
      </c>
      <c r="F2748">
        <f>_xlfn.LET(_xlpm.dir,Table13[[#This Row],[Direction]],
IF(_xlpm.dir="R",
    IF(G2747+Table13[[#This Row],[Steps]]&gt;99,(G2747+Table13[[#This Row],[Steps]])-100,G2747+Table13[[#This Row],[Steps]]),
))</f>
        <v>0</v>
      </c>
      <c r="G2748">
        <f>IF(Table13[[#This Row],[New Pos L]]&lt;&gt;0,Table13[[#This Row],[New Pos L]],Table13[[#This Row],[New Pos R]])</f>
        <v>0</v>
      </c>
      <c r="H2748">
        <f>IF(AND(Table13[[#This Row],[Direction]]="L",Table13[[#This Row],[Steps]]&gt;G2747,G2747&lt;&gt;0),1,0)</f>
        <v>0</v>
      </c>
      <c r="I2748">
        <f>IF(AND(Table13[[#This Row],[Direction]]="R",(G2747+Table13[[#This Row],[Steps]])&gt;100),1,0)</f>
        <v>0</v>
      </c>
      <c r="J2748">
        <f>IF(Table13[[#This Row],[POS]]=0,1,0)</f>
        <v>1</v>
      </c>
      <c r="K2748">
        <f>SUM(Table13[[#This Row],[prefix]],Table13[[#This Row],[Past zero L]],Table13[[#This Row],[Past Zero R]],Table13[[#This Row],[Is Zero]])</f>
        <v>1</v>
      </c>
    </row>
    <row r="2749" spans="1:11" ht="16" x14ac:dyDescent="0.2">
      <c r="A2749" s="1" t="s">
        <v>141</v>
      </c>
      <c r="B2749" t="str">
        <f>LEFT(Table13[[#This Row],[Input]],1)</f>
        <v>L</v>
      </c>
      <c r="C2749">
        <f>_xlfn.LET(_xlpm.steps,SUBSTITUTE(Table13[[#This Row],[Input]],Table13[[#This Row],[Direction]],""),VALUE(IF(LEN(_xlpm.steps)&gt;2,RIGHT(_xlpm.steps,2),_xlpm.steps)))</f>
        <v>90</v>
      </c>
      <c r="D2749">
        <f>_xlfn.LET(_xlpm.steps,SUBSTITUTE(Table13[[#This Row],[Input]],Table13[[#This Row],[Direction]],""),VALUE(IF(LEN(_xlpm.steps)&gt;2,LEFT(_xlpm.steps,LEN(_xlpm.steps)-2),0)))</f>
        <v>0</v>
      </c>
      <c r="E2749">
        <f>_xlfn.LET(_xlpm.dir,Table13[[#This Row],[Direction]],
IF(_xlpm.dir="L",
    IF(G2748-Table13[[#This Row],[Steps]]&lt;0,100+(G2748-Table13[[#This Row],[Steps]]),G2748-Table13[[#This Row],[Steps]]),
))</f>
        <v>10</v>
      </c>
      <c r="F2749">
        <f>_xlfn.LET(_xlpm.dir,Table13[[#This Row],[Direction]],
IF(_xlpm.dir="R",
    IF(G2748+Table13[[#This Row],[Steps]]&gt;99,(G2748+Table13[[#This Row],[Steps]])-100,G2748+Table13[[#This Row],[Steps]]),
))</f>
        <v>0</v>
      </c>
      <c r="G2749">
        <f>IF(Table13[[#This Row],[New Pos L]]&lt;&gt;0,Table13[[#This Row],[New Pos L]],Table13[[#This Row],[New Pos R]])</f>
        <v>10</v>
      </c>
      <c r="H2749">
        <f>IF(AND(Table13[[#This Row],[Direction]]="L",Table13[[#This Row],[Steps]]&gt;G2748,G2748&lt;&gt;0),1,0)</f>
        <v>0</v>
      </c>
      <c r="I2749">
        <f>IF(AND(Table13[[#This Row],[Direction]]="R",(G2748+Table13[[#This Row],[Steps]])&gt;100),1,0)</f>
        <v>0</v>
      </c>
      <c r="J2749">
        <f>IF(Table13[[#This Row],[POS]]=0,1,0)</f>
        <v>0</v>
      </c>
      <c r="K2749">
        <f>SUM(Table13[[#This Row],[prefix]],Table13[[#This Row],[Past zero L]],Table13[[#This Row],[Past Zero R]],Table13[[#This Row],[Is Zero]])</f>
        <v>0</v>
      </c>
    </row>
    <row r="2750" spans="1:11" ht="16" x14ac:dyDescent="0.2">
      <c r="A2750" s="1" t="s">
        <v>653</v>
      </c>
      <c r="B2750" t="str">
        <f>LEFT(Table13[[#This Row],[Input]],1)</f>
        <v>L</v>
      </c>
      <c r="C2750">
        <f>_xlfn.LET(_xlpm.steps,SUBSTITUTE(Table13[[#This Row],[Input]],Table13[[#This Row],[Direction]],""),VALUE(IF(LEN(_xlpm.steps)&gt;2,RIGHT(_xlpm.steps,2),_xlpm.steps)))</f>
        <v>10</v>
      </c>
      <c r="D2750">
        <f>_xlfn.LET(_xlpm.steps,SUBSTITUTE(Table13[[#This Row],[Input]],Table13[[#This Row],[Direction]],""),VALUE(IF(LEN(_xlpm.steps)&gt;2,LEFT(_xlpm.steps,LEN(_xlpm.steps)-2),0)))</f>
        <v>1</v>
      </c>
      <c r="E2750">
        <f>_xlfn.LET(_xlpm.dir,Table13[[#This Row],[Direction]],
IF(_xlpm.dir="L",
    IF(G2749-Table13[[#This Row],[Steps]]&lt;0,100+(G2749-Table13[[#This Row],[Steps]]),G2749-Table13[[#This Row],[Steps]]),
))</f>
        <v>0</v>
      </c>
      <c r="F2750">
        <f>_xlfn.LET(_xlpm.dir,Table13[[#This Row],[Direction]],
IF(_xlpm.dir="R",
    IF(G2749+Table13[[#This Row],[Steps]]&gt;99,(G2749+Table13[[#This Row],[Steps]])-100,G2749+Table13[[#This Row],[Steps]]),
))</f>
        <v>0</v>
      </c>
      <c r="G2750">
        <f>IF(Table13[[#This Row],[New Pos L]]&lt;&gt;0,Table13[[#This Row],[New Pos L]],Table13[[#This Row],[New Pos R]])</f>
        <v>0</v>
      </c>
      <c r="H2750">
        <f>IF(AND(Table13[[#This Row],[Direction]]="L",Table13[[#This Row],[Steps]]&gt;G2749,G2749&lt;&gt;0),1,0)</f>
        <v>0</v>
      </c>
      <c r="I2750">
        <f>IF(AND(Table13[[#This Row],[Direction]]="R",(G2749+Table13[[#This Row],[Steps]])&gt;100),1,0)</f>
        <v>0</v>
      </c>
      <c r="J2750">
        <f>IF(Table13[[#This Row],[POS]]=0,1,0)</f>
        <v>1</v>
      </c>
      <c r="K2750">
        <f>SUM(Table13[[#This Row],[prefix]],Table13[[#This Row],[Past zero L]],Table13[[#This Row],[Past Zero R]],Table13[[#This Row],[Is Zero]])</f>
        <v>2</v>
      </c>
    </row>
    <row r="2751" spans="1:11" ht="16" x14ac:dyDescent="0.2">
      <c r="A2751" s="1" t="s">
        <v>64</v>
      </c>
      <c r="B2751" t="str">
        <f>LEFT(Table13[[#This Row],[Input]],1)</f>
        <v>R</v>
      </c>
      <c r="C2751">
        <f>_xlfn.LET(_xlpm.steps,SUBSTITUTE(Table13[[#This Row],[Input]],Table13[[#This Row],[Direction]],""),VALUE(IF(LEN(_xlpm.steps)&gt;2,RIGHT(_xlpm.steps,2),_xlpm.steps)))</f>
        <v>10</v>
      </c>
      <c r="D2751">
        <f>_xlfn.LET(_xlpm.steps,SUBSTITUTE(Table13[[#This Row],[Input]],Table13[[#This Row],[Direction]],""),VALUE(IF(LEN(_xlpm.steps)&gt;2,LEFT(_xlpm.steps,LEN(_xlpm.steps)-2),0)))</f>
        <v>0</v>
      </c>
      <c r="E2751">
        <f>_xlfn.LET(_xlpm.dir,Table13[[#This Row],[Direction]],
IF(_xlpm.dir="L",
    IF(G2750-Table13[[#This Row],[Steps]]&lt;0,100+(G2750-Table13[[#This Row],[Steps]]),G2750-Table13[[#This Row],[Steps]]),
))</f>
        <v>0</v>
      </c>
      <c r="F2751">
        <f>_xlfn.LET(_xlpm.dir,Table13[[#This Row],[Direction]],
IF(_xlpm.dir="R",
    IF(G2750+Table13[[#This Row],[Steps]]&gt;99,(G2750+Table13[[#This Row],[Steps]])-100,G2750+Table13[[#This Row],[Steps]]),
))</f>
        <v>10</v>
      </c>
      <c r="G2751">
        <f>IF(Table13[[#This Row],[New Pos L]]&lt;&gt;0,Table13[[#This Row],[New Pos L]],Table13[[#This Row],[New Pos R]])</f>
        <v>10</v>
      </c>
      <c r="H2751">
        <f>IF(AND(Table13[[#This Row],[Direction]]="L",Table13[[#This Row],[Steps]]&gt;G2750,G2750&lt;&gt;0),1,0)</f>
        <v>0</v>
      </c>
      <c r="I2751">
        <f>IF(AND(Table13[[#This Row],[Direction]]="R",(G2750+Table13[[#This Row],[Steps]])&gt;100),1,0)</f>
        <v>0</v>
      </c>
      <c r="J2751">
        <f>IF(Table13[[#This Row],[POS]]=0,1,0)</f>
        <v>0</v>
      </c>
      <c r="K2751">
        <f>SUM(Table13[[#This Row],[prefix]],Table13[[#This Row],[Past zero L]],Table13[[#This Row],[Past Zero R]],Table13[[#This Row],[Is Zero]])</f>
        <v>0</v>
      </c>
    </row>
    <row r="2752" spans="1:11" ht="16" x14ac:dyDescent="0.2">
      <c r="A2752" s="1" t="s">
        <v>16</v>
      </c>
      <c r="B2752" t="str">
        <f>LEFT(Table13[[#This Row],[Input]],1)</f>
        <v>L</v>
      </c>
      <c r="C2752">
        <f>_xlfn.LET(_xlpm.steps,SUBSTITUTE(Table13[[#This Row],[Input]],Table13[[#This Row],[Direction]],""),VALUE(IF(LEN(_xlpm.steps)&gt;2,RIGHT(_xlpm.steps,2),_xlpm.steps)))</f>
        <v>10</v>
      </c>
      <c r="D2752">
        <f>_xlfn.LET(_xlpm.steps,SUBSTITUTE(Table13[[#This Row],[Input]],Table13[[#This Row],[Direction]],""),VALUE(IF(LEN(_xlpm.steps)&gt;2,LEFT(_xlpm.steps,LEN(_xlpm.steps)-2),0)))</f>
        <v>0</v>
      </c>
      <c r="E2752">
        <f>_xlfn.LET(_xlpm.dir,Table13[[#This Row],[Direction]],
IF(_xlpm.dir="L",
    IF(G2751-Table13[[#This Row],[Steps]]&lt;0,100+(G2751-Table13[[#This Row],[Steps]]),G2751-Table13[[#This Row],[Steps]]),
))</f>
        <v>0</v>
      </c>
      <c r="F2752">
        <f>_xlfn.LET(_xlpm.dir,Table13[[#This Row],[Direction]],
IF(_xlpm.dir="R",
    IF(G2751+Table13[[#This Row],[Steps]]&gt;99,(G2751+Table13[[#This Row],[Steps]])-100,G2751+Table13[[#This Row],[Steps]]),
))</f>
        <v>0</v>
      </c>
      <c r="G2752">
        <f>IF(Table13[[#This Row],[New Pos L]]&lt;&gt;0,Table13[[#This Row],[New Pos L]],Table13[[#This Row],[New Pos R]])</f>
        <v>0</v>
      </c>
      <c r="H2752">
        <f>IF(AND(Table13[[#This Row],[Direction]]="L",Table13[[#This Row],[Steps]]&gt;G2751,G2751&lt;&gt;0),1,0)</f>
        <v>0</v>
      </c>
      <c r="I2752">
        <f>IF(AND(Table13[[#This Row],[Direction]]="R",(G2751+Table13[[#This Row],[Steps]])&gt;100),1,0)</f>
        <v>0</v>
      </c>
      <c r="J2752">
        <f>IF(Table13[[#This Row],[POS]]=0,1,0)</f>
        <v>1</v>
      </c>
      <c r="K2752">
        <f>SUM(Table13[[#This Row],[prefix]],Table13[[#This Row],[Past zero L]],Table13[[#This Row],[Past Zero R]],Table13[[#This Row],[Is Zero]])</f>
        <v>1</v>
      </c>
    </row>
    <row r="2753" spans="1:11" ht="16" x14ac:dyDescent="0.2">
      <c r="A2753" s="1" t="s">
        <v>16</v>
      </c>
      <c r="B2753" t="str">
        <f>LEFT(Table13[[#This Row],[Input]],1)</f>
        <v>L</v>
      </c>
      <c r="C2753">
        <f>_xlfn.LET(_xlpm.steps,SUBSTITUTE(Table13[[#This Row],[Input]],Table13[[#This Row],[Direction]],""),VALUE(IF(LEN(_xlpm.steps)&gt;2,RIGHT(_xlpm.steps,2),_xlpm.steps)))</f>
        <v>10</v>
      </c>
      <c r="D2753">
        <f>_xlfn.LET(_xlpm.steps,SUBSTITUTE(Table13[[#This Row],[Input]],Table13[[#This Row],[Direction]],""),VALUE(IF(LEN(_xlpm.steps)&gt;2,LEFT(_xlpm.steps,LEN(_xlpm.steps)-2),0)))</f>
        <v>0</v>
      </c>
      <c r="E2753">
        <f>_xlfn.LET(_xlpm.dir,Table13[[#This Row],[Direction]],
IF(_xlpm.dir="L",
    IF(G2752-Table13[[#This Row],[Steps]]&lt;0,100+(G2752-Table13[[#This Row],[Steps]]),G2752-Table13[[#This Row],[Steps]]),
))</f>
        <v>90</v>
      </c>
      <c r="F2753">
        <f>_xlfn.LET(_xlpm.dir,Table13[[#This Row],[Direction]],
IF(_xlpm.dir="R",
    IF(G2752+Table13[[#This Row],[Steps]]&gt;99,(G2752+Table13[[#This Row],[Steps]])-100,G2752+Table13[[#This Row],[Steps]]),
))</f>
        <v>0</v>
      </c>
      <c r="G2753">
        <f>IF(Table13[[#This Row],[New Pos L]]&lt;&gt;0,Table13[[#This Row],[New Pos L]],Table13[[#This Row],[New Pos R]])</f>
        <v>90</v>
      </c>
      <c r="H2753">
        <f>IF(AND(Table13[[#This Row],[Direction]]="L",Table13[[#This Row],[Steps]]&gt;G2752,G2752&lt;&gt;0),1,0)</f>
        <v>0</v>
      </c>
      <c r="I2753">
        <f>IF(AND(Table13[[#This Row],[Direction]]="R",(G2752+Table13[[#This Row],[Steps]])&gt;100),1,0)</f>
        <v>0</v>
      </c>
      <c r="J2753">
        <f>IF(Table13[[#This Row],[POS]]=0,1,0)</f>
        <v>0</v>
      </c>
      <c r="K2753">
        <f>SUM(Table13[[#This Row],[prefix]],Table13[[#This Row],[Past zero L]],Table13[[#This Row],[Past Zero R]],Table13[[#This Row],[Is Zero]])</f>
        <v>0</v>
      </c>
    </row>
    <row r="2754" spans="1:11" ht="16" x14ac:dyDescent="0.2">
      <c r="A2754" s="1" t="s">
        <v>64</v>
      </c>
      <c r="B2754" t="str">
        <f>LEFT(Table13[[#This Row],[Input]],1)</f>
        <v>R</v>
      </c>
      <c r="C2754">
        <f>_xlfn.LET(_xlpm.steps,SUBSTITUTE(Table13[[#This Row],[Input]],Table13[[#This Row],[Direction]],""),VALUE(IF(LEN(_xlpm.steps)&gt;2,RIGHT(_xlpm.steps,2),_xlpm.steps)))</f>
        <v>10</v>
      </c>
      <c r="D2754">
        <f>_xlfn.LET(_xlpm.steps,SUBSTITUTE(Table13[[#This Row],[Input]],Table13[[#This Row],[Direction]],""),VALUE(IF(LEN(_xlpm.steps)&gt;2,LEFT(_xlpm.steps,LEN(_xlpm.steps)-2),0)))</f>
        <v>0</v>
      </c>
      <c r="E2754">
        <f>_xlfn.LET(_xlpm.dir,Table13[[#This Row],[Direction]],
IF(_xlpm.dir="L",
    IF(G2753-Table13[[#This Row],[Steps]]&lt;0,100+(G2753-Table13[[#This Row],[Steps]]),G2753-Table13[[#This Row],[Steps]]),
))</f>
        <v>0</v>
      </c>
      <c r="F2754">
        <f>_xlfn.LET(_xlpm.dir,Table13[[#This Row],[Direction]],
IF(_xlpm.dir="R",
    IF(G2753+Table13[[#This Row],[Steps]]&gt;99,(G2753+Table13[[#This Row],[Steps]])-100,G2753+Table13[[#This Row],[Steps]]),
))</f>
        <v>0</v>
      </c>
      <c r="G2754">
        <f>IF(Table13[[#This Row],[New Pos L]]&lt;&gt;0,Table13[[#This Row],[New Pos L]],Table13[[#This Row],[New Pos R]])</f>
        <v>0</v>
      </c>
      <c r="H2754">
        <f>IF(AND(Table13[[#This Row],[Direction]]="L",Table13[[#This Row],[Steps]]&gt;G2753,G2753&lt;&gt;0),1,0)</f>
        <v>0</v>
      </c>
      <c r="I2754">
        <f>IF(AND(Table13[[#This Row],[Direction]]="R",(G2753+Table13[[#This Row],[Steps]])&gt;100),1,0)</f>
        <v>0</v>
      </c>
      <c r="J2754">
        <f>IF(Table13[[#This Row],[POS]]=0,1,0)</f>
        <v>1</v>
      </c>
      <c r="K2754">
        <f>SUM(Table13[[#This Row],[prefix]],Table13[[#This Row],[Past zero L]],Table13[[#This Row],[Past Zero R]],Table13[[#This Row],[Is Zero]])</f>
        <v>1</v>
      </c>
    </row>
    <row r="2755" spans="1:11" ht="16" x14ac:dyDescent="0.2">
      <c r="A2755" s="1" t="s">
        <v>69</v>
      </c>
      <c r="B2755" t="str">
        <f>LEFT(Table13[[#This Row],[Input]],1)</f>
        <v>R</v>
      </c>
      <c r="C2755">
        <f>_xlfn.LET(_xlpm.steps,SUBSTITUTE(Table13[[#This Row],[Input]],Table13[[#This Row],[Direction]],""),VALUE(IF(LEN(_xlpm.steps)&gt;2,RIGHT(_xlpm.steps,2),_xlpm.steps)))</f>
        <v>27</v>
      </c>
      <c r="D2755">
        <f>_xlfn.LET(_xlpm.steps,SUBSTITUTE(Table13[[#This Row],[Input]],Table13[[#This Row],[Direction]],""),VALUE(IF(LEN(_xlpm.steps)&gt;2,LEFT(_xlpm.steps,LEN(_xlpm.steps)-2),0)))</f>
        <v>0</v>
      </c>
      <c r="E2755">
        <f>_xlfn.LET(_xlpm.dir,Table13[[#This Row],[Direction]],
IF(_xlpm.dir="L",
    IF(G2754-Table13[[#This Row],[Steps]]&lt;0,100+(G2754-Table13[[#This Row],[Steps]]),G2754-Table13[[#This Row],[Steps]]),
))</f>
        <v>0</v>
      </c>
      <c r="F2755">
        <f>_xlfn.LET(_xlpm.dir,Table13[[#This Row],[Direction]],
IF(_xlpm.dir="R",
    IF(G2754+Table13[[#This Row],[Steps]]&gt;99,(G2754+Table13[[#This Row],[Steps]])-100,G2754+Table13[[#This Row],[Steps]]),
))</f>
        <v>27</v>
      </c>
      <c r="G2755">
        <f>IF(Table13[[#This Row],[New Pos L]]&lt;&gt;0,Table13[[#This Row],[New Pos L]],Table13[[#This Row],[New Pos R]])</f>
        <v>27</v>
      </c>
      <c r="H2755">
        <f>IF(AND(Table13[[#This Row],[Direction]]="L",Table13[[#This Row],[Steps]]&gt;G2754,G2754&lt;&gt;0),1,0)</f>
        <v>0</v>
      </c>
      <c r="I2755">
        <f>IF(AND(Table13[[#This Row],[Direction]]="R",(G2754+Table13[[#This Row],[Steps]])&gt;100),1,0)</f>
        <v>0</v>
      </c>
      <c r="J2755">
        <f>IF(Table13[[#This Row],[POS]]=0,1,0)</f>
        <v>0</v>
      </c>
      <c r="K2755">
        <f>SUM(Table13[[#This Row],[prefix]],Table13[[#This Row],[Past zero L]],Table13[[#This Row],[Past Zero R]],Table13[[#This Row],[Is Zero]])</f>
        <v>0</v>
      </c>
    </row>
    <row r="2756" spans="1:11" ht="16" x14ac:dyDescent="0.2">
      <c r="A2756" s="1" t="s">
        <v>42</v>
      </c>
      <c r="B2756" t="str">
        <f>LEFT(Table13[[#This Row],[Input]],1)</f>
        <v>L</v>
      </c>
      <c r="C2756">
        <f>_xlfn.LET(_xlpm.steps,SUBSTITUTE(Table13[[#This Row],[Input]],Table13[[#This Row],[Direction]],""),VALUE(IF(LEN(_xlpm.steps)&gt;2,RIGHT(_xlpm.steps,2),_xlpm.steps)))</f>
        <v>27</v>
      </c>
      <c r="D2756">
        <f>_xlfn.LET(_xlpm.steps,SUBSTITUTE(Table13[[#This Row],[Input]],Table13[[#This Row],[Direction]],""),VALUE(IF(LEN(_xlpm.steps)&gt;2,LEFT(_xlpm.steps,LEN(_xlpm.steps)-2),0)))</f>
        <v>0</v>
      </c>
      <c r="E2756">
        <f>_xlfn.LET(_xlpm.dir,Table13[[#This Row],[Direction]],
IF(_xlpm.dir="L",
    IF(G2755-Table13[[#This Row],[Steps]]&lt;0,100+(G2755-Table13[[#This Row],[Steps]]),G2755-Table13[[#This Row],[Steps]]),
))</f>
        <v>0</v>
      </c>
      <c r="F2756">
        <f>_xlfn.LET(_xlpm.dir,Table13[[#This Row],[Direction]],
IF(_xlpm.dir="R",
    IF(G2755+Table13[[#This Row],[Steps]]&gt;99,(G2755+Table13[[#This Row],[Steps]])-100,G2755+Table13[[#This Row],[Steps]]),
))</f>
        <v>0</v>
      </c>
      <c r="G2756">
        <f>IF(Table13[[#This Row],[New Pos L]]&lt;&gt;0,Table13[[#This Row],[New Pos L]],Table13[[#This Row],[New Pos R]])</f>
        <v>0</v>
      </c>
      <c r="H2756">
        <f>IF(AND(Table13[[#This Row],[Direction]]="L",Table13[[#This Row],[Steps]]&gt;G2755,G2755&lt;&gt;0),1,0)</f>
        <v>0</v>
      </c>
      <c r="I2756">
        <f>IF(AND(Table13[[#This Row],[Direction]]="R",(G2755+Table13[[#This Row],[Steps]])&gt;100),1,0)</f>
        <v>0</v>
      </c>
      <c r="J2756">
        <f>IF(Table13[[#This Row],[POS]]=0,1,0)</f>
        <v>1</v>
      </c>
      <c r="K2756">
        <f>SUM(Table13[[#This Row],[prefix]],Table13[[#This Row],[Past zero L]],Table13[[#This Row],[Past Zero R]],Table13[[#This Row],[Is Zero]])</f>
        <v>1</v>
      </c>
    </row>
    <row r="2757" spans="1:11" ht="16" x14ac:dyDescent="0.2">
      <c r="A2757" s="1" t="s">
        <v>654</v>
      </c>
      <c r="B2757" t="str">
        <f>LEFT(Table13[[#This Row],[Input]],1)</f>
        <v>L</v>
      </c>
      <c r="C2757">
        <f>_xlfn.LET(_xlpm.steps,SUBSTITUTE(Table13[[#This Row],[Input]],Table13[[#This Row],[Direction]],""),VALUE(IF(LEN(_xlpm.steps)&gt;2,RIGHT(_xlpm.steps,2),_xlpm.steps)))</f>
        <v>56</v>
      </c>
      <c r="D2757">
        <f>_xlfn.LET(_xlpm.steps,SUBSTITUTE(Table13[[#This Row],[Input]],Table13[[#This Row],[Direction]],""),VALUE(IF(LEN(_xlpm.steps)&gt;2,LEFT(_xlpm.steps,LEN(_xlpm.steps)-2),0)))</f>
        <v>3</v>
      </c>
      <c r="E2757">
        <f>_xlfn.LET(_xlpm.dir,Table13[[#This Row],[Direction]],
IF(_xlpm.dir="L",
    IF(G2756-Table13[[#This Row],[Steps]]&lt;0,100+(G2756-Table13[[#This Row],[Steps]]),G2756-Table13[[#This Row],[Steps]]),
))</f>
        <v>44</v>
      </c>
      <c r="F2757">
        <f>_xlfn.LET(_xlpm.dir,Table13[[#This Row],[Direction]],
IF(_xlpm.dir="R",
    IF(G2756+Table13[[#This Row],[Steps]]&gt;99,(G2756+Table13[[#This Row],[Steps]])-100,G2756+Table13[[#This Row],[Steps]]),
))</f>
        <v>0</v>
      </c>
      <c r="G2757">
        <f>IF(Table13[[#This Row],[New Pos L]]&lt;&gt;0,Table13[[#This Row],[New Pos L]],Table13[[#This Row],[New Pos R]])</f>
        <v>44</v>
      </c>
      <c r="H2757">
        <f>IF(AND(Table13[[#This Row],[Direction]]="L",Table13[[#This Row],[Steps]]&gt;G2756,G2756&lt;&gt;0),1,0)</f>
        <v>0</v>
      </c>
      <c r="I2757">
        <f>IF(AND(Table13[[#This Row],[Direction]]="R",(G2756+Table13[[#This Row],[Steps]])&gt;100),1,0)</f>
        <v>0</v>
      </c>
      <c r="J2757">
        <f>IF(Table13[[#This Row],[POS]]=0,1,0)</f>
        <v>0</v>
      </c>
      <c r="K2757">
        <f>SUM(Table13[[#This Row],[prefix]],Table13[[#This Row],[Past zero L]],Table13[[#This Row],[Past Zero R]],Table13[[#This Row],[Is Zero]])</f>
        <v>3</v>
      </c>
    </row>
    <row r="2758" spans="1:11" ht="16" x14ac:dyDescent="0.2">
      <c r="A2758" s="1" t="s">
        <v>0</v>
      </c>
      <c r="B2758" t="str">
        <f>LEFT(Table13[[#This Row],[Input]],1)</f>
        <v>L</v>
      </c>
      <c r="C2758">
        <f>_xlfn.LET(_xlpm.steps,SUBSTITUTE(Table13[[#This Row],[Input]],Table13[[#This Row],[Direction]],""),VALUE(IF(LEN(_xlpm.steps)&gt;2,RIGHT(_xlpm.steps,2),_xlpm.steps)))</f>
        <v>44</v>
      </c>
      <c r="D2758">
        <f>_xlfn.LET(_xlpm.steps,SUBSTITUTE(Table13[[#This Row],[Input]],Table13[[#This Row],[Direction]],""),VALUE(IF(LEN(_xlpm.steps)&gt;2,LEFT(_xlpm.steps,LEN(_xlpm.steps)-2),0)))</f>
        <v>0</v>
      </c>
      <c r="E2758">
        <f>_xlfn.LET(_xlpm.dir,Table13[[#This Row],[Direction]],
IF(_xlpm.dir="L",
    IF(G2757-Table13[[#This Row],[Steps]]&lt;0,100+(G2757-Table13[[#This Row],[Steps]]),G2757-Table13[[#This Row],[Steps]]),
))</f>
        <v>0</v>
      </c>
      <c r="F2758">
        <f>_xlfn.LET(_xlpm.dir,Table13[[#This Row],[Direction]],
IF(_xlpm.dir="R",
    IF(G2757+Table13[[#This Row],[Steps]]&gt;99,(G2757+Table13[[#This Row],[Steps]])-100,G2757+Table13[[#This Row],[Steps]]),
))</f>
        <v>0</v>
      </c>
      <c r="G2758">
        <f>IF(Table13[[#This Row],[New Pos L]]&lt;&gt;0,Table13[[#This Row],[New Pos L]],Table13[[#This Row],[New Pos R]])</f>
        <v>0</v>
      </c>
      <c r="H2758">
        <f>IF(AND(Table13[[#This Row],[Direction]]="L",Table13[[#This Row],[Steps]]&gt;G2757,G2757&lt;&gt;0),1,0)</f>
        <v>0</v>
      </c>
      <c r="I2758">
        <f>IF(AND(Table13[[#This Row],[Direction]]="R",(G2757+Table13[[#This Row],[Steps]])&gt;100),1,0)</f>
        <v>0</v>
      </c>
      <c r="J2758">
        <f>IF(Table13[[#This Row],[POS]]=0,1,0)</f>
        <v>1</v>
      </c>
      <c r="K2758">
        <f>SUM(Table13[[#This Row],[prefix]],Table13[[#This Row],[Past zero L]],Table13[[#This Row],[Past Zero R]],Table13[[#This Row],[Is Zero]])</f>
        <v>1</v>
      </c>
    </row>
    <row r="2759" spans="1:11" ht="16" x14ac:dyDescent="0.2">
      <c r="A2759" s="1" t="s">
        <v>57</v>
      </c>
      <c r="B2759" t="str">
        <f>LEFT(Table13[[#This Row],[Input]],1)</f>
        <v>R</v>
      </c>
      <c r="C2759">
        <f>_xlfn.LET(_xlpm.steps,SUBSTITUTE(Table13[[#This Row],[Input]],Table13[[#This Row],[Direction]],""),VALUE(IF(LEN(_xlpm.steps)&gt;2,RIGHT(_xlpm.steps,2),_xlpm.steps)))</f>
        <v>29</v>
      </c>
      <c r="D2759">
        <f>_xlfn.LET(_xlpm.steps,SUBSTITUTE(Table13[[#This Row],[Input]],Table13[[#This Row],[Direction]],""),VALUE(IF(LEN(_xlpm.steps)&gt;2,LEFT(_xlpm.steps,LEN(_xlpm.steps)-2),0)))</f>
        <v>0</v>
      </c>
      <c r="E2759">
        <f>_xlfn.LET(_xlpm.dir,Table13[[#This Row],[Direction]],
IF(_xlpm.dir="L",
    IF(G2758-Table13[[#This Row],[Steps]]&lt;0,100+(G2758-Table13[[#This Row],[Steps]]),G2758-Table13[[#This Row],[Steps]]),
))</f>
        <v>0</v>
      </c>
      <c r="F2759">
        <f>_xlfn.LET(_xlpm.dir,Table13[[#This Row],[Direction]],
IF(_xlpm.dir="R",
    IF(G2758+Table13[[#This Row],[Steps]]&gt;99,(G2758+Table13[[#This Row],[Steps]])-100,G2758+Table13[[#This Row],[Steps]]),
))</f>
        <v>29</v>
      </c>
      <c r="G2759">
        <f>IF(Table13[[#This Row],[New Pos L]]&lt;&gt;0,Table13[[#This Row],[New Pos L]],Table13[[#This Row],[New Pos R]])</f>
        <v>29</v>
      </c>
      <c r="H2759">
        <f>IF(AND(Table13[[#This Row],[Direction]]="L",Table13[[#This Row],[Steps]]&gt;G2758,G2758&lt;&gt;0),1,0)</f>
        <v>0</v>
      </c>
      <c r="I2759">
        <f>IF(AND(Table13[[#This Row],[Direction]]="R",(G2758+Table13[[#This Row],[Steps]])&gt;100),1,0)</f>
        <v>0</v>
      </c>
      <c r="J2759">
        <f>IF(Table13[[#This Row],[POS]]=0,1,0)</f>
        <v>0</v>
      </c>
      <c r="K2759">
        <f>SUM(Table13[[#This Row],[prefix]],Table13[[#This Row],[Past zero L]],Table13[[#This Row],[Past Zero R]],Table13[[#This Row],[Is Zero]])</f>
        <v>0</v>
      </c>
    </row>
    <row r="2760" spans="1:11" ht="16" x14ac:dyDescent="0.2">
      <c r="A2760" s="1" t="s">
        <v>140</v>
      </c>
      <c r="B2760" t="str">
        <f>LEFT(Table13[[#This Row],[Input]],1)</f>
        <v>L</v>
      </c>
      <c r="C2760">
        <f>_xlfn.LET(_xlpm.steps,SUBSTITUTE(Table13[[#This Row],[Input]],Table13[[#This Row],[Direction]],""),VALUE(IF(LEN(_xlpm.steps)&gt;2,RIGHT(_xlpm.steps,2),_xlpm.steps)))</f>
        <v>61</v>
      </c>
      <c r="D2760">
        <f>_xlfn.LET(_xlpm.steps,SUBSTITUTE(Table13[[#This Row],[Input]],Table13[[#This Row],[Direction]],""),VALUE(IF(LEN(_xlpm.steps)&gt;2,LEFT(_xlpm.steps,LEN(_xlpm.steps)-2),0)))</f>
        <v>0</v>
      </c>
      <c r="E2760">
        <f>_xlfn.LET(_xlpm.dir,Table13[[#This Row],[Direction]],
IF(_xlpm.dir="L",
    IF(G2759-Table13[[#This Row],[Steps]]&lt;0,100+(G2759-Table13[[#This Row],[Steps]]),G2759-Table13[[#This Row],[Steps]]),
))</f>
        <v>68</v>
      </c>
      <c r="F2760">
        <f>_xlfn.LET(_xlpm.dir,Table13[[#This Row],[Direction]],
IF(_xlpm.dir="R",
    IF(G2759+Table13[[#This Row],[Steps]]&gt;99,(G2759+Table13[[#This Row],[Steps]])-100,G2759+Table13[[#This Row],[Steps]]),
))</f>
        <v>0</v>
      </c>
      <c r="G2760">
        <f>IF(Table13[[#This Row],[New Pos L]]&lt;&gt;0,Table13[[#This Row],[New Pos L]],Table13[[#This Row],[New Pos R]])</f>
        <v>68</v>
      </c>
      <c r="H2760">
        <f>IF(AND(Table13[[#This Row],[Direction]]="L",Table13[[#This Row],[Steps]]&gt;G2759,G2759&lt;&gt;0),1,0)</f>
        <v>1</v>
      </c>
      <c r="I2760">
        <f>IF(AND(Table13[[#This Row],[Direction]]="R",(G2759+Table13[[#This Row],[Steps]])&gt;100),1,0)</f>
        <v>0</v>
      </c>
      <c r="J2760">
        <f>IF(Table13[[#This Row],[POS]]=0,1,0)</f>
        <v>0</v>
      </c>
      <c r="K2760">
        <f>SUM(Table13[[#This Row],[prefix]],Table13[[#This Row],[Past zero L]],Table13[[#This Row],[Past Zero R]],Table13[[#This Row],[Is Zero]])</f>
        <v>1</v>
      </c>
    </row>
    <row r="2761" spans="1:11" ht="16" x14ac:dyDescent="0.2">
      <c r="A2761" s="1" t="s">
        <v>254</v>
      </c>
      <c r="B2761" t="str">
        <f>LEFT(Table13[[#This Row],[Input]],1)</f>
        <v>R</v>
      </c>
      <c r="C2761">
        <f>_xlfn.LET(_xlpm.steps,SUBSTITUTE(Table13[[#This Row],[Input]],Table13[[#This Row],[Direction]],""),VALUE(IF(LEN(_xlpm.steps)&gt;2,RIGHT(_xlpm.steps,2),_xlpm.steps)))</f>
        <v>84</v>
      </c>
      <c r="D2761">
        <f>_xlfn.LET(_xlpm.steps,SUBSTITUTE(Table13[[#This Row],[Input]],Table13[[#This Row],[Direction]],""),VALUE(IF(LEN(_xlpm.steps)&gt;2,LEFT(_xlpm.steps,LEN(_xlpm.steps)-2),0)))</f>
        <v>0</v>
      </c>
      <c r="E2761">
        <f>_xlfn.LET(_xlpm.dir,Table13[[#This Row],[Direction]],
IF(_xlpm.dir="L",
    IF(G2760-Table13[[#This Row],[Steps]]&lt;0,100+(G2760-Table13[[#This Row],[Steps]]),G2760-Table13[[#This Row],[Steps]]),
))</f>
        <v>0</v>
      </c>
      <c r="F2761">
        <f>_xlfn.LET(_xlpm.dir,Table13[[#This Row],[Direction]],
IF(_xlpm.dir="R",
    IF(G2760+Table13[[#This Row],[Steps]]&gt;99,(G2760+Table13[[#This Row],[Steps]])-100,G2760+Table13[[#This Row],[Steps]]),
))</f>
        <v>52</v>
      </c>
      <c r="G2761">
        <f>IF(Table13[[#This Row],[New Pos L]]&lt;&gt;0,Table13[[#This Row],[New Pos L]],Table13[[#This Row],[New Pos R]])</f>
        <v>52</v>
      </c>
      <c r="H2761">
        <f>IF(AND(Table13[[#This Row],[Direction]]="L",Table13[[#This Row],[Steps]]&gt;G2760,G2760&lt;&gt;0),1,0)</f>
        <v>0</v>
      </c>
      <c r="I2761">
        <f>IF(AND(Table13[[#This Row],[Direction]]="R",(G2760+Table13[[#This Row],[Steps]])&gt;100),1,0)</f>
        <v>1</v>
      </c>
      <c r="J2761">
        <f>IF(Table13[[#This Row],[POS]]=0,1,0)</f>
        <v>0</v>
      </c>
      <c r="K2761">
        <f>SUM(Table13[[#This Row],[prefix]],Table13[[#This Row],[Past zero L]],Table13[[#This Row],[Past Zero R]],Table13[[#This Row],[Is Zero]])</f>
        <v>1</v>
      </c>
    </row>
    <row r="2762" spans="1:11" ht="16" x14ac:dyDescent="0.2">
      <c r="A2762" s="1" t="s">
        <v>30</v>
      </c>
      <c r="B2762" t="str">
        <f>LEFT(Table13[[#This Row],[Input]],1)</f>
        <v>R</v>
      </c>
      <c r="C2762">
        <f>_xlfn.LET(_xlpm.steps,SUBSTITUTE(Table13[[#This Row],[Input]],Table13[[#This Row],[Direction]],""),VALUE(IF(LEN(_xlpm.steps)&gt;2,RIGHT(_xlpm.steps,2),_xlpm.steps)))</f>
        <v>48</v>
      </c>
      <c r="D2762">
        <f>_xlfn.LET(_xlpm.steps,SUBSTITUTE(Table13[[#This Row],[Input]],Table13[[#This Row],[Direction]],""),VALUE(IF(LEN(_xlpm.steps)&gt;2,LEFT(_xlpm.steps,LEN(_xlpm.steps)-2),0)))</f>
        <v>0</v>
      </c>
      <c r="E2762">
        <f>_xlfn.LET(_xlpm.dir,Table13[[#This Row],[Direction]],
IF(_xlpm.dir="L",
    IF(G2761-Table13[[#This Row],[Steps]]&lt;0,100+(G2761-Table13[[#This Row],[Steps]]),G2761-Table13[[#This Row],[Steps]]),
))</f>
        <v>0</v>
      </c>
      <c r="F2762">
        <f>_xlfn.LET(_xlpm.dir,Table13[[#This Row],[Direction]],
IF(_xlpm.dir="R",
    IF(G2761+Table13[[#This Row],[Steps]]&gt;99,(G2761+Table13[[#This Row],[Steps]])-100,G2761+Table13[[#This Row],[Steps]]),
))</f>
        <v>0</v>
      </c>
      <c r="G2762">
        <f>IF(Table13[[#This Row],[New Pos L]]&lt;&gt;0,Table13[[#This Row],[New Pos L]],Table13[[#This Row],[New Pos R]])</f>
        <v>0</v>
      </c>
      <c r="H2762">
        <f>IF(AND(Table13[[#This Row],[Direction]]="L",Table13[[#This Row],[Steps]]&gt;G2761,G2761&lt;&gt;0),1,0)</f>
        <v>0</v>
      </c>
      <c r="I2762">
        <f>IF(AND(Table13[[#This Row],[Direction]]="R",(G2761+Table13[[#This Row],[Steps]])&gt;100),1,0)</f>
        <v>0</v>
      </c>
      <c r="J2762">
        <f>IF(Table13[[#This Row],[POS]]=0,1,0)</f>
        <v>1</v>
      </c>
      <c r="K2762">
        <f>SUM(Table13[[#This Row],[prefix]],Table13[[#This Row],[Past zero L]],Table13[[#This Row],[Past Zero R]],Table13[[#This Row],[Is Zero]])</f>
        <v>1</v>
      </c>
    </row>
    <row r="2763" spans="1:11" ht="16" x14ac:dyDescent="0.2">
      <c r="A2763" s="1" t="s">
        <v>84</v>
      </c>
      <c r="B2763" t="str">
        <f>LEFT(Table13[[#This Row],[Input]],1)</f>
        <v>R</v>
      </c>
      <c r="C2763">
        <f>_xlfn.LET(_xlpm.steps,SUBSTITUTE(Table13[[#This Row],[Input]],Table13[[#This Row],[Direction]],""),VALUE(IF(LEN(_xlpm.steps)&gt;2,RIGHT(_xlpm.steps,2),_xlpm.steps)))</f>
        <v>88</v>
      </c>
      <c r="D2763">
        <f>_xlfn.LET(_xlpm.steps,SUBSTITUTE(Table13[[#This Row],[Input]],Table13[[#This Row],[Direction]],""),VALUE(IF(LEN(_xlpm.steps)&gt;2,LEFT(_xlpm.steps,LEN(_xlpm.steps)-2),0)))</f>
        <v>0</v>
      </c>
      <c r="E2763">
        <f>_xlfn.LET(_xlpm.dir,Table13[[#This Row],[Direction]],
IF(_xlpm.dir="L",
    IF(G2762-Table13[[#This Row],[Steps]]&lt;0,100+(G2762-Table13[[#This Row],[Steps]]),G2762-Table13[[#This Row],[Steps]]),
))</f>
        <v>0</v>
      </c>
      <c r="F2763">
        <f>_xlfn.LET(_xlpm.dir,Table13[[#This Row],[Direction]],
IF(_xlpm.dir="R",
    IF(G2762+Table13[[#This Row],[Steps]]&gt;99,(G2762+Table13[[#This Row],[Steps]])-100,G2762+Table13[[#This Row],[Steps]]),
))</f>
        <v>88</v>
      </c>
      <c r="G2763">
        <f>IF(Table13[[#This Row],[New Pos L]]&lt;&gt;0,Table13[[#This Row],[New Pos L]],Table13[[#This Row],[New Pos R]])</f>
        <v>88</v>
      </c>
      <c r="H2763">
        <f>IF(AND(Table13[[#This Row],[Direction]]="L",Table13[[#This Row],[Steps]]&gt;G2762,G2762&lt;&gt;0),1,0)</f>
        <v>0</v>
      </c>
      <c r="I2763">
        <f>IF(AND(Table13[[#This Row],[Direction]]="R",(G2762+Table13[[#This Row],[Steps]])&gt;100),1,0)</f>
        <v>0</v>
      </c>
      <c r="J2763">
        <f>IF(Table13[[#This Row],[POS]]=0,1,0)</f>
        <v>0</v>
      </c>
      <c r="K2763">
        <f>SUM(Table13[[#This Row],[prefix]],Table13[[#This Row],[Past zero L]],Table13[[#This Row],[Past Zero R]],Table13[[#This Row],[Is Zero]])</f>
        <v>0</v>
      </c>
    </row>
    <row r="2764" spans="1:11" ht="16" x14ac:dyDescent="0.2">
      <c r="A2764" s="1" t="s">
        <v>28</v>
      </c>
      <c r="B2764" t="str">
        <f>LEFT(Table13[[#This Row],[Input]],1)</f>
        <v>R</v>
      </c>
      <c r="C2764">
        <f>_xlfn.LET(_xlpm.steps,SUBSTITUTE(Table13[[#This Row],[Input]],Table13[[#This Row],[Direction]],""),VALUE(IF(LEN(_xlpm.steps)&gt;2,RIGHT(_xlpm.steps,2),_xlpm.steps)))</f>
        <v>30</v>
      </c>
      <c r="D2764">
        <f>_xlfn.LET(_xlpm.steps,SUBSTITUTE(Table13[[#This Row],[Input]],Table13[[#This Row],[Direction]],""),VALUE(IF(LEN(_xlpm.steps)&gt;2,LEFT(_xlpm.steps,LEN(_xlpm.steps)-2),0)))</f>
        <v>0</v>
      </c>
      <c r="E2764">
        <f>_xlfn.LET(_xlpm.dir,Table13[[#This Row],[Direction]],
IF(_xlpm.dir="L",
    IF(G2763-Table13[[#This Row],[Steps]]&lt;0,100+(G2763-Table13[[#This Row],[Steps]]),G2763-Table13[[#This Row],[Steps]]),
))</f>
        <v>0</v>
      </c>
      <c r="F2764">
        <f>_xlfn.LET(_xlpm.dir,Table13[[#This Row],[Direction]],
IF(_xlpm.dir="R",
    IF(G2763+Table13[[#This Row],[Steps]]&gt;99,(G2763+Table13[[#This Row],[Steps]])-100,G2763+Table13[[#This Row],[Steps]]),
))</f>
        <v>18</v>
      </c>
      <c r="G2764">
        <f>IF(Table13[[#This Row],[New Pos L]]&lt;&gt;0,Table13[[#This Row],[New Pos L]],Table13[[#This Row],[New Pos R]])</f>
        <v>18</v>
      </c>
      <c r="H2764">
        <f>IF(AND(Table13[[#This Row],[Direction]]="L",Table13[[#This Row],[Steps]]&gt;G2763,G2763&lt;&gt;0),1,0)</f>
        <v>0</v>
      </c>
      <c r="I2764">
        <f>IF(AND(Table13[[#This Row],[Direction]]="R",(G2763+Table13[[#This Row],[Steps]])&gt;100),1,0)</f>
        <v>1</v>
      </c>
      <c r="J2764">
        <f>IF(Table13[[#This Row],[POS]]=0,1,0)</f>
        <v>0</v>
      </c>
      <c r="K2764">
        <f>SUM(Table13[[#This Row],[prefix]],Table13[[#This Row],[Past zero L]],Table13[[#This Row],[Past Zero R]],Table13[[#This Row],[Is Zero]])</f>
        <v>1</v>
      </c>
    </row>
    <row r="2765" spans="1:11" ht="16" x14ac:dyDescent="0.2">
      <c r="A2765" s="1" t="s">
        <v>206</v>
      </c>
      <c r="B2765" t="str">
        <f>LEFT(Table13[[#This Row],[Input]],1)</f>
        <v>R</v>
      </c>
      <c r="C2765">
        <f>_xlfn.LET(_xlpm.steps,SUBSTITUTE(Table13[[#This Row],[Input]],Table13[[#This Row],[Direction]],""),VALUE(IF(LEN(_xlpm.steps)&gt;2,RIGHT(_xlpm.steps,2),_xlpm.steps)))</f>
        <v>62</v>
      </c>
      <c r="D2765">
        <f>_xlfn.LET(_xlpm.steps,SUBSTITUTE(Table13[[#This Row],[Input]],Table13[[#This Row],[Direction]],""),VALUE(IF(LEN(_xlpm.steps)&gt;2,LEFT(_xlpm.steps,LEN(_xlpm.steps)-2),0)))</f>
        <v>0</v>
      </c>
      <c r="E2765">
        <f>_xlfn.LET(_xlpm.dir,Table13[[#This Row],[Direction]],
IF(_xlpm.dir="L",
    IF(G2764-Table13[[#This Row],[Steps]]&lt;0,100+(G2764-Table13[[#This Row],[Steps]]),G2764-Table13[[#This Row],[Steps]]),
))</f>
        <v>0</v>
      </c>
      <c r="F2765">
        <f>_xlfn.LET(_xlpm.dir,Table13[[#This Row],[Direction]],
IF(_xlpm.dir="R",
    IF(G2764+Table13[[#This Row],[Steps]]&gt;99,(G2764+Table13[[#This Row],[Steps]])-100,G2764+Table13[[#This Row],[Steps]]),
))</f>
        <v>80</v>
      </c>
      <c r="G2765">
        <f>IF(Table13[[#This Row],[New Pos L]]&lt;&gt;0,Table13[[#This Row],[New Pos L]],Table13[[#This Row],[New Pos R]])</f>
        <v>80</v>
      </c>
      <c r="H2765">
        <f>IF(AND(Table13[[#This Row],[Direction]]="L",Table13[[#This Row],[Steps]]&gt;G2764,G2764&lt;&gt;0),1,0)</f>
        <v>0</v>
      </c>
      <c r="I2765">
        <f>IF(AND(Table13[[#This Row],[Direction]]="R",(G2764+Table13[[#This Row],[Steps]])&gt;100),1,0)</f>
        <v>0</v>
      </c>
      <c r="J2765">
        <f>IF(Table13[[#This Row],[POS]]=0,1,0)</f>
        <v>0</v>
      </c>
      <c r="K2765">
        <f>SUM(Table13[[#This Row],[prefix]],Table13[[#This Row],[Past zero L]],Table13[[#This Row],[Past Zero R]],Table13[[#This Row],[Is Zero]])</f>
        <v>0</v>
      </c>
    </row>
    <row r="2766" spans="1:11" ht="16" x14ac:dyDescent="0.2">
      <c r="A2766" s="1" t="s">
        <v>550</v>
      </c>
      <c r="B2766" t="str">
        <f>LEFT(Table13[[#This Row],[Input]],1)</f>
        <v>R</v>
      </c>
      <c r="C2766">
        <f>_xlfn.LET(_xlpm.steps,SUBSTITUTE(Table13[[#This Row],[Input]],Table13[[#This Row],[Direction]],""),VALUE(IF(LEN(_xlpm.steps)&gt;2,RIGHT(_xlpm.steps,2),_xlpm.steps)))</f>
        <v>20</v>
      </c>
      <c r="D2766">
        <f>_xlfn.LET(_xlpm.steps,SUBSTITUTE(Table13[[#This Row],[Input]],Table13[[#This Row],[Direction]],""),VALUE(IF(LEN(_xlpm.steps)&gt;2,LEFT(_xlpm.steps,LEN(_xlpm.steps)-2),0)))</f>
        <v>7</v>
      </c>
      <c r="E2766">
        <f>_xlfn.LET(_xlpm.dir,Table13[[#This Row],[Direction]],
IF(_xlpm.dir="L",
    IF(G2765-Table13[[#This Row],[Steps]]&lt;0,100+(G2765-Table13[[#This Row],[Steps]]),G2765-Table13[[#This Row],[Steps]]),
))</f>
        <v>0</v>
      </c>
      <c r="F2766">
        <f>_xlfn.LET(_xlpm.dir,Table13[[#This Row],[Direction]],
IF(_xlpm.dir="R",
    IF(G2765+Table13[[#This Row],[Steps]]&gt;99,(G2765+Table13[[#This Row],[Steps]])-100,G2765+Table13[[#This Row],[Steps]]),
))</f>
        <v>0</v>
      </c>
      <c r="G2766">
        <f>IF(Table13[[#This Row],[New Pos L]]&lt;&gt;0,Table13[[#This Row],[New Pos L]],Table13[[#This Row],[New Pos R]])</f>
        <v>0</v>
      </c>
      <c r="H2766">
        <f>IF(AND(Table13[[#This Row],[Direction]]="L",Table13[[#This Row],[Steps]]&gt;G2765,G2765&lt;&gt;0),1,0)</f>
        <v>0</v>
      </c>
      <c r="I2766">
        <f>IF(AND(Table13[[#This Row],[Direction]]="R",(G2765+Table13[[#This Row],[Steps]])&gt;100),1,0)</f>
        <v>0</v>
      </c>
      <c r="J2766">
        <f>IF(Table13[[#This Row],[POS]]=0,1,0)</f>
        <v>1</v>
      </c>
      <c r="K2766">
        <f>SUM(Table13[[#This Row],[prefix]],Table13[[#This Row],[Past zero L]],Table13[[#This Row],[Past Zero R]],Table13[[#This Row],[Is Zero]])</f>
        <v>8</v>
      </c>
    </row>
    <row r="2767" spans="1:11" ht="16" x14ac:dyDescent="0.2">
      <c r="A2767" s="1" t="s">
        <v>89</v>
      </c>
      <c r="B2767" t="str">
        <f>LEFT(Table13[[#This Row],[Input]],1)</f>
        <v>L</v>
      </c>
      <c r="C2767">
        <f>_xlfn.LET(_xlpm.steps,SUBSTITUTE(Table13[[#This Row],[Input]],Table13[[#This Row],[Direction]],""),VALUE(IF(LEN(_xlpm.steps)&gt;2,RIGHT(_xlpm.steps,2),_xlpm.steps)))</f>
        <v>91</v>
      </c>
      <c r="D2767">
        <f>_xlfn.LET(_xlpm.steps,SUBSTITUTE(Table13[[#This Row],[Input]],Table13[[#This Row],[Direction]],""),VALUE(IF(LEN(_xlpm.steps)&gt;2,LEFT(_xlpm.steps,LEN(_xlpm.steps)-2),0)))</f>
        <v>0</v>
      </c>
      <c r="E2767">
        <f>_xlfn.LET(_xlpm.dir,Table13[[#This Row],[Direction]],
IF(_xlpm.dir="L",
    IF(G2766-Table13[[#This Row],[Steps]]&lt;0,100+(G2766-Table13[[#This Row],[Steps]]),G2766-Table13[[#This Row],[Steps]]),
))</f>
        <v>9</v>
      </c>
      <c r="F2767">
        <f>_xlfn.LET(_xlpm.dir,Table13[[#This Row],[Direction]],
IF(_xlpm.dir="R",
    IF(G2766+Table13[[#This Row],[Steps]]&gt;99,(G2766+Table13[[#This Row],[Steps]])-100,G2766+Table13[[#This Row],[Steps]]),
))</f>
        <v>0</v>
      </c>
      <c r="G2767">
        <f>IF(Table13[[#This Row],[New Pos L]]&lt;&gt;0,Table13[[#This Row],[New Pos L]],Table13[[#This Row],[New Pos R]])</f>
        <v>9</v>
      </c>
      <c r="H2767">
        <f>IF(AND(Table13[[#This Row],[Direction]]="L",Table13[[#This Row],[Steps]]&gt;G2766,G2766&lt;&gt;0),1,0)</f>
        <v>0</v>
      </c>
      <c r="I2767">
        <f>IF(AND(Table13[[#This Row],[Direction]]="R",(G2766+Table13[[#This Row],[Steps]])&gt;100),1,0)</f>
        <v>0</v>
      </c>
      <c r="J2767">
        <f>IF(Table13[[#This Row],[POS]]=0,1,0)</f>
        <v>0</v>
      </c>
      <c r="K2767">
        <f>SUM(Table13[[#This Row],[prefix]],Table13[[#This Row],[Past zero L]],Table13[[#This Row],[Past Zero R]],Table13[[#This Row],[Is Zero]])</f>
        <v>0</v>
      </c>
    </row>
    <row r="2768" spans="1:11" ht="16" x14ac:dyDescent="0.2">
      <c r="A2768" s="1" t="s">
        <v>346</v>
      </c>
      <c r="B2768" t="str">
        <f>LEFT(Table13[[#This Row],[Input]],1)</f>
        <v>L</v>
      </c>
      <c r="C2768">
        <f>_xlfn.LET(_xlpm.steps,SUBSTITUTE(Table13[[#This Row],[Input]],Table13[[#This Row],[Direction]],""),VALUE(IF(LEN(_xlpm.steps)&gt;2,RIGHT(_xlpm.steps,2),_xlpm.steps)))</f>
        <v>61</v>
      </c>
      <c r="D2768">
        <f>_xlfn.LET(_xlpm.steps,SUBSTITUTE(Table13[[#This Row],[Input]],Table13[[#This Row],[Direction]],""),VALUE(IF(LEN(_xlpm.steps)&gt;2,LEFT(_xlpm.steps,LEN(_xlpm.steps)-2),0)))</f>
        <v>1</v>
      </c>
      <c r="E2768">
        <f>_xlfn.LET(_xlpm.dir,Table13[[#This Row],[Direction]],
IF(_xlpm.dir="L",
    IF(G2767-Table13[[#This Row],[Steps]]&lt;0,100+(G2767-Table13[[#This Row],[Steps]]),G2767-Table13[[#This Row],[Steps]]),
))</f>
        <v>48</v>
      </c>
      <c r="F2768">
        <f>_xlfn.LET(_xlpm.dir,Table13[[#This Row],[Direction]],
IF(_xlpm.dir="R",
    IF(G2767+Table13[[#This Row],[Steps]]&gt;99,(G2767+Table13[[#This Row],[Steps]])-100,G2767+Table13[[#This Row],[Steps]]),
))</f>
        <v>0</v>
      </c>
      <c r="G2768">
        <f>IF(Table13[[#This Row],[New Pos L]]&lt;&gt;0,Table13[[#This Row],[New Pos L]],Table13[[#This Row],[New Pos R]])</f>
        <v>48</v>
      </c>
      <c r="H2768">
        <f>IF(AND(Table13[[#This Row],[Direction]]="L",Table13[[#This Row],[Steps]]&gt;G2767,G2767&lt;&gt;0),1,0)</f>
        <v>1</v>
      </c>
      <c r="I2768">
        <f>IF(AND(Table13[[#This Row],[Direction]]="R",(G2767+Table13[[#This Row],[Steps]])&gt;100),1,0)</f>
        <v>0</v>
      </c>
      <c r="J2768">
        <f>IF(Table13[[#This Row],[POS]]=0,1,0)</f>
        <v>0</v>
      </c>
      <c r="K2768">
        <f>SUM(Table13[[#This Row],[prefix]],Table13[[#This Row],[Past zero L]],Table13[[#This Row],[Past Zero R]],Table13[[#This Row],[Is Zero]])</f>
        <v>2</v>
      </c>
    </row>
    <row r="2769" spans="1:11" ht="16" x14ac:dyDescent="0.2">
      <c r="A2769" s="1" t="s">
        <v>363</v>
      </c>
      <c r="B2769" t="str">
        <f>LEFT(Table13[[#This Row],[Input]],1)</f>
        <v>R</v>
      </c>
      <c r="C2769">
        <f>_xlfn.LET(_xlpm.steps,SUBSTITUTE(Table13[[#This Row],[Input]],Table13[[#This Row],[Direction]],""),VALUE(IF(LEN(_xlpm.steps)&gt;2,RIGHT(_xlpm.steps,2),_xlpm.steps)))</f>
        <v>63</v>
      </c>
      <c r="D2769">
        <f>_xlfn.LET(_xlpm.steps,SUBSTITUTE(Table13[[#This Row],[Input]],Table13[[#This Row],[Direction]],""),VALUE(IF(LEN(_xlpm.steps)&gt;2,LEFT(_xlpm.steps,LEN(_xlpm.steps)-2),0)))</f>
        <v>0</v>
      </c>
      <c r="E2769">
        <f>_xlfn.LET(_xlpm.dir,Table13[[#This Row],[Direction]],
IF(_xlpm.dir="L",
    IF(G2768-Table13[[#This Row],[Steps]]&lt;0,100+(G2768-Table13[[#This Row],[Steps]]),G2768-Table13[[#This Row],[Steps]]),
))</f>
        <v>0</v>
      </c>
      <c r="F2769">
        <f>_xlfn.LET(_xlpm.dir,Table13[[#This Row],[Direction]],
IF(_xlpm.dir="R",
    IF(G2768+Table13[[#This Row],[Steps]]&gt;99,(G2768+Table13[[#This Row],[Steps]])-100,G2768+Table13[[#This Row],[Steps]]),
))</f>
        <v>11</v>
      </c>
      <c r="G2769">
        <f>IF(Table13[[#This Row],[New Pos L]]&lt;&gt;0,Table13[[#This Row],[New Pos L]],Table13[[#This Row],[New Pos R]])</f>
        <v>11</v>
      </c>
      <c r="H2769">
        <f>IF(AND(Table13[[#This Row],[Direction]]="L",Table13[[#This Row],[Steps]]&gt;G2768,G2768&lt;&gt;0),1,0)</f>
        <v>0</v>
      </c>
      <c r="I2769">
        <f>IF(AND(Table13[[#This Row],[Direction]]="R",(G2768+Table13[[#This Row],[Steps]])&gt;100),1,0)</f>
        <v>1</v>
      </c>
      <c r="J2769">
        <f>IF(Table13[[#This Row],[POS]]=0,1,0)</f>
        <v>0</v>
      </c>
      <c r="K2769">
        <f>SUM(Table13[[#This Row],[prefix]],Table13[[#This Row],[Past zero L]],Table13[[#This Row],[Past Zero R]],Table13[[#This Row],[Is Zero]])</f>
        <v>1</v>
      </c>
    </row>
    <row r="2770" spans="1:11" ht="16" x14ac:dyDescent="0.2">
      <c r="A2770" s="1" t="s">
        <v>210</v>
      </c>
      <c r="B2770" t="str">
        <f>LEFT(Table13[[#This Row],[Input]],1)</f>
        <v>R</v>
      </c>
      <c r="C2770">
        <f>_xlfn.LET(_xlpm.steps,SUBSTITUTE(Table13[[#This Row],[Input]],Table13[[#This Row],[Direction]],""),VALUE(IF(LEN(_xlpm.steps)&gt;2,RIGHT(_xlpm.steps,2),_xlpm.steps)))</f>
        <v>89</v>
      </c>
      <c r="D2770">
        <f>_xlfn.LET(_xlpm.steps,SUBSTITUTE(Table13[[#This Row],[Input]],Table13[[#This Row],[Direction]],""),VALUE(IF(LEN(_xlpm.steps)&gt;2,LEFT(_xlpm.steps,LEN(_xlpm.steps)-2),0)))</f>
        <v>0</v>
      </c>
      <c r="E2770">
        <f>_xlfn.LET(_xlpm.dir,Table13[[#This Row],[Direction]],
IF(_xlpm.dir="L",
    IF(G2769-Table13[[#This Row],[Steps]]&lt;0,100+(G2769-Table13[[#This Row],[Steps]]),G2769-Table13[[#This Row],[Steps]]),
))</f>
        <v>0</v>
      </c>
      <c r="F2770">
        <f>_xlfn.LET(_xlpm.dir,Table13[[#This Row],[Direction]],
IF(_xlpm.dir="R",
    IF(G2769+Table13[[#This Row],[Steps]]&gt;99,(G2769+Table13[[#This Row],[Steps]])-100,G2769+Table13[[#This Row],[Steps]]),
))</f>
        <v>0</v>
      </c>
      <c r="G2770">
        <f>IF(Table13[[#This Row],[New Pos L]]&lt;&gt;0,Table13[[#This Row],[New Pos L]],Table13[[#This Row],[New Pos R]])</f>
        <v>0</v>
      </c>
      <c r="H2770">
        <f>IF(AND(Table13[[#This Row],[Direction]]="L",Table13[[#This Row],[Steps]]&gt;G2769,G2769&lt;&gt;0),1,0)</f>
        <v>0</v>
      </c>
      <c r="I2770">
        <f>IF(AND(Table13[[#This Row],[Direction]]="R",(G2769+Table13[[#This Row],[Steps]])&gt;100),1,0)</f>
        <v>0</v>
      </c>
      <c r="J2770">
        <f>IF(Table13[[#This Row],[POS]]=0,1,0)</f>
        <v>1</v>
      </c>
      <c r="K2770">
        <f>SUM(Table13[[#This Row],[prefix]],Table13[[#This Row],[Past zero L]],Table13[[#This Row],[Past Zero R]],Table13[[#This Row],[Is Zero]])</f>
        <v>1</v>
      </c>
    </row>
    <row r="2771" spans="1:11" ht="16" x14ac:dyDescent="0.2">
      <c r="A2771" s="1" t="s">
        <v>167</v>
      </c>
      <c r="B2771" t="str">
        <f>LEFT(Table13[[#This Row],[Input]],1)</f>
        <v>L</v>
      </c>
      <c r="C2771">
        <f>_xlfn.LET(_xlpm.steps,SUBSTITUTE(Table13[[#This Row],[Input]],Table13[[#This Row],[Direction]],""),VALUE(IF(LEN(_xlpm.steps)&gt;2,RIGHT(_xlpm.steps,2),_xlpm.steps)))</f>
        <v>59</v>
      </c>
      <c r="D2771">
        <f>_xlfn.LET(_xlpm.steps,SUBSTITUTE(Table13[[#This Row],[Input]],Table13[[#This Row],[Direction]],""),VALUE(IF(LEN(_xlpm.steps)&gt;2,LEFT(_xlpm.steps,LEN(_xlpm.steps)-2),0)))</f>
        <v>0</v>
      </c>
      <c r="E2771">
        <f>_xlfn.LET(_xlpm.dir,Table13[[#This Row],[Direction]],
IF(_xlpm.dir="L",
    IF(G2770-Table13[[#This Row],[Steps]]&lt;0,100+(G2770-Table13[[#This Row],[Steps]]),G2770-Table13[[#This Row],[Steps]]),
))</f>
        <v>41</v>
      </c>
      <c r="F2771">
        <f>_xlfn.LET(_xlpm.dir,Table13[[#This Row],[Direction]],
IF(_xlpm.dir="R",
    IF(G2770+Table13[[#This Row],[Steps]]&gt;99,(G2770+Table13[[#This Row],[Steps]])-100,G2770+Table13[[#This Row],[Steps]]),
))</f>
        <v>0</v>
      </c>
      <c r="G2771">
        <f>IF(Table13[[#This Row],[New Pos L]]&lt;&gt;0,Table13[[#This Row],[New Pos L]],Table13[[#This Row],[New Pos R]])</f>
        <v>41</v>
      </c>
      <c r="H2771">
        <f>IF(AND(Table13[[#This Row],[Direction]]="L",Table13[[#This Row],[Steps]]&gt;G2770,G2770&lt;&gt;0),1,0)</f>
        <v>0</v>
      </c>
      <c r="I2771">
        <f>IF(AND(Table13[[#This Row],[Direction]]="R",(G2770+Table13[[#This Row],[Steps]])&gt;100),1,0)</f>
        <v>0</v>
      </c>
      <c r="J2771">
        <f>IF(Table13[[#This Row],[POS]]=0,1,0)</f>
        <v>0</v>
      </c>
      <c r="K2771">
        <f>SUM(Table13[[#This Row],[prefix]],Table13[[#This Row],[Past zero L]],Table13[[#This Row],[Past Zero R]],Table13[[#This Row],[Is Zero]])</f>
        <v>0</v>
      </c>
    </row>
    <row r="2772" spans="1:11" ht="16" x14ac:dyDescent="0.2">
      <c r="A2772" s="1" t="s">
        <v>172</v>
      </c>
      <c r="B2772" t="str">
        <f>LEFT(Table13[[#This Row],[Input]],1)</f>
        <v>L</v>
      </c>
      <c r="C2772">
        <f>_xlfn.LET(_xlpm.steps,SUBSTITUTE(Table13[[#This Row],[Input]],Table13[[#This Row],[Direction]],""),VALUE(IF(LEN(_xlpm.steps)&gt;2,RIGHT(_xlpm.steps,2),_xlpm.steps)))</f>
        <v>66</v>
      </c>
      <c r="D2772">
        <f>_xlfn.LET(_xlpm.steps,SUBSTITUTE(Table13[[#This Row],[Input]],Table13[[#This Row],[Direction]],""),VALUE(IF(LEN(_xlpm.steps)&gt;2,LEFT(_xlpm.steps,LEN(_xlpm.steps)-2),0)))</f>
        <v>0</v>
      </c>
      <c r="E2772">
        <f>_xlfn.LET(_xlpm.dir,Table13[[#This Row],[Direction]],
IF(_xlpm.dir="L",
    IF(G2771-Table13[[#This Row],[Steps]]&lt;0,100+(G2771-Table13[[#This Row],[Steps]]),G2771-Table13[[#This Row],[Steps]]),
))</f>
        <v>75</v>
      </c>
      <c r="F2772">
        <f>_xlfn.LET(_xlpm.dir,Table13[[#This Row],[Direction]],
IF(_xlpm.dir="R",
    IF(G2771+Table13[[#This Row],[Steps]]&gt;99,(G2771+Table13[[#This Row],[Steps]])-100,G2771+Table13[[#This Row],[Steps]]),
))</f>
        <v>0</v>
      </c>
      <c r="G2772">
        <f>IF(Table13[[#This Row],[New Pos L]]&lt;&gt;0,Table13[[#This Row],[New Pos L]],Table13[[#This Row],[New Pos R]])</f>
        <v>75</v>
      </c>
      <c r="H2772">
        <f>IF(AND(Table13[[#This Row],[Direction]]="L",Table13[[#This Row],[Steps]]&gt;G2771,G2771&lt;&gt;0),1,0)</f>
        <v>1</v>
      </c>
      <c r="I2772">
        <f>IF(AND(Table13[[#This Row],[Direction]]="R",(G2771+Table13[[#This Row],[Steps]])&gt;100),1,0)</f>
        <v>0</v>
      </c>
      <c r="J2772">
        <f>IF(Table13[[#This Row],[POS]]=0,1,0)</f>
        <v>0</v>
      </c>
      <c r="K2772">
        <f>SUM(Table13[[#This Row],[prefix]],Table13[[#This Row],[Past zero L]],Table13[[#This Row],[Past Zero R]],Table13[[#This Row],[Is Zero]])</f>
        <v>1</v>
      </c>
    </row>
    <row r="2773" spans="1:11" ht="16" x14ac:dyDescent="0.2">
      <c r="A2773" s="1" t="s">
        <v>209</v>
      </c>
      <c r="B2773" t="str">
        <f>LEFT(Table13[[#This Row],[Input]],1)</f>
        <v>L</v>
      </c>
      <c r="C2773">
        <f>_xlfn.LET(_xlpm.steps,SUBSTITUTE(Table13[[#This Row],[Input]],Table13[[#This Row],[Direction]],""),VALUE(IF(LEN(_xlpm.steps)&gt;2,RIGHT(_xlpm.steps,2),_xlpm.steps)))</f>
        <v>86</v>
      </c>
      <c r="D2773">
        <f>_xlfn.LET(_xlpm.steps,SUBSTITUTE(Table13[[#This Row],[Input]],Table13[[#This Row],[Direction]],""),VALUE(IF(LEN(_xlpm.steps)&gt;2,LEFT(_xlpm.steps,LEN(_xlpm.steps)-2),0)))</f>
        <v>0</v>
      </c>
      <c r="E2773">
        <f>_xlfn.LET(_xlpm.dir,Table13[[#This Row],[Direction]],
IF(_xlpm.dir="L",
    IF(G2772-Table13[[#This Row],[Steps]]&lt;0,100+(G2772-Table13[[#This Row],[Steps]]),G2772-Table13[[#This Row],[Steps]]),
))</f>
        <v>89</v>
      </c>
      <c r="F2773">
        <f>_xlfn.LET(_xlpm.dir,Table13[[#This Row],[Direction]],
IF(_xlpm.dir="R",
    IF(G2772+Table13[[#This Row],[Steps]]&gt;99,(G2772+Table13[[#This Row],[Steps]])-100,G2772+Table13[[#This Row],[Steps]]),
))</f>
        <v>0</v>
      </c>
      <c r="G2773">
        <f>IF(Table13[[#This Row],[New Pos L]]&lt;&gt;0,Table13[[#This Row],[New Pos L]],Table13[[#This Row],[New Pos R]])</f>
        <v>89</v>
      </c>
      <c r="H2773">
        <f>IF(AND(Table13[[#This Row],[Direction]]="L",Table13[[#This Row],[Steps]]&gt;G2772,G2772&lt;&gt;0),1,0)</f>
        <v>1</v>
      </c>
      <c r="I2773">
        <f>IF(AND(Table13[[#This Row],[Direction]]="R",(G2772+Table13[[#This Row],[Steps]])&gt;100),1,0)</f>
        <v>0</v>
      </c>
      <c r="J2773">
        <f>IF(Table13[[#This Row],[POS]]=0,1,0)</f>
        <v>0</v>
      </c>
      <c r="K2773">
        <f>SUM(Table13[[#This Row],[prefix]],Table13[[#This Row],[Past zero L]],Table13[[#This Row],[Past Zero R]],Table13[[#This Row],[Is Zero]])</f>
        <v>1</v>
      </c>
    </row>
    <row r="2774" spans="1:11" ht="16" x14ac:dyDescent="0.2">
      <c r="A2774" s="1" t="s">
        <v>293</v>
      </c>
      <c r="B2774" t="str">
        <f>LEFT(Table13[[#This Row],[Input]],1)</f>
        <v>R</v>
      </c>
      <c r="C2774">
        <f>_xlfn.LET(_xlpm.steps,SUBSTITUTE(Table13[[#This Row],[Input]],Table13[[#This Row],[Direction]],""),VALUE(IF(LEN(_xlpm.steps)&gt;2,RIGHT(_xlpm.steps,2),_xlpm.steps)))</f>
        <v>67</v>
      </c>
      <c r="D2774">
        <f>_xlfn.LET(_xlpm.steps,SUBSTITUTE(Table13[[#This Row],[Input]],Table13[[#This Row],[Direction]],""),VALUE(IF(LEN(_xlpm.steps)&gt;2,LEFT(_xlpm.steps,LEN(_xlpm.steps)-2),0)))</f>
        <v>0</v>
      </c>
      <c r="E2774">
        <f>_xlfn.LET(_xlpm.dir,Table13[[#This Row],[Direction]],
IF(_xlpm.dir="L",
    IF(G2773-Table13[[#This Row],[Steps]]&lt;0,100+(G2773-Table13[[#This Row],[Steps]]),G2773-Table13[[#This Row],[Steps]]),
))</f>
        <v>0</v>
      </c>
      <c r="F2774">
        <f>_xlfn.LET(_xlpm.dir,Table13[[#This Row],[Direction]],
IF(_xlpm.dir="R",
    IF(G2773+Table13[[#This Row],[Steps]]&gt;99,(G2773+Table13[[#This Row],[Steps]])-100,G2773+Table13[[#This Row],[Steps]]),
))</f>
        <v>56</v>
      </c>
      <c r="G2774">
        <f>IF(Table13[[#This Row],[New Pos L]]&lt;&gt;0,Table13[[#This Row],[New Pos L]],Table13[[#This Row],[New Pos R]])</f>
        <v>56</v>
      </c>
      <c r="H2774">
        <f>IF(AND(Table13[[#This Row],[Direction]]="L",Table13[[#This Row],[Steps]]&gt;G2773,G2773&lt;&gt;0),1,0)</f>
        <v>0</v>
      </c>
      <c r="I2774">
        <f>IF(AND(Table13[[#This Row],[Direction]]="R",(G2773+Table13[[#This Row],[Steps]])&gt;100),1,0)</f>
        <v>1</v>
      </c>
      <c r="J2774">
        <f>IF(Table13[[#This Row],[POS]]=0,1,0)</f>
        <v>0</v>
      </c>
      <c r="K2774">
        <f>SUM(Table13[[#This Row],[prefix]],Table13[[#This Row],[Past zero L]],Table13[[#This Row],[Past Zero R]],Table13[[#This Row],[Is Zero]])</f>
        <v>1</v>
      </c>
    </row>
    <row r="2775" spans="1:11" ht="16" x14ac:dyDescent="0.2">
      <c r="A2775" s="1" t="s">
        <v>655</v>
      </c>
      <c r="B2775" t="str">
        <f>LEFT(Table13[[#This Row],[Input]],1)</f>
        <v>L</v>
      </c>
      <c r="C2775">
        <f>_xlfn.LET(_xlpm.steps,SUBSTITUTE(Table13[[#This Row],[Input]],Table13[[#This Row],[Direction]],""),VALUE(IF(LEN(_xlpm.steps)&gt;2,RIGHT(_xlpm.steps,2),_xlpm.steps)))</f>
        <v>56</v>
      </c>
      <c r="D2775">
        <f>_xlfn.LET(_xlpm.steps,SUBSTITUTE(Table13[[#This Row],[Input]],Table13[[#This Row],[Direction]],""),VALUE(IF(LEN(_xlpm.steps)&gt;2,LEFT(_xlpm.steps,LEN(_xlpm.steps)-2),0)))</f>
        <v>7</v>
      </c>
      <c r="E2775">
        <f>_xlfn.LET(_xlpm.dir,Table13[[#This Row],[Direction]],
IF(_xlpm.dir="L",
    IF(G2774-Table13[[#This Row],[Steps]]&lt;0,100+(G2774-Table13[[#This Row],[Steps]]),G2774-Table13[[#This Row],[Steps]]),
))</f>
        <v>0</v>
      </c>
      <c r="F2775">
        <f>_xlfn.LET(_xlpm.dir,Table13[[#This Row],[Direction]],
IF(_xlpm.dir="R",
    IF(G2774+Table13[[#This Row],[Steps]]&gt;99,(G2774+Table13[[#This Row],[Steps]])-100,G2774+Table13[[#This Row],[Steps]]),
))</f>
        <v>0</v>
      </c>
      <c r="G2775">
        <f>IF(Table13[[#This Row],[New Pos L]]&lt;&gt;0,Table13[[#This Row],[New Pos L]],Table13[[#This Row],[New Pos R]])</f>
        <v>0</v>
      </c>
      <c r="H2775">
        <f>IF(AND(Table13[[#This Row],[Direction]]="L",Table13[[#This Row],[Steps]]&gt;G2774,G2774&lt;&gt;0),1,0)</f>
        <v>0</v>
      </c>
      <c r="I2775">
        <f>IF(AND(Table13[[#This Row],[Direction]]="R",(G2774+Table13[[#This Row],[Steps]])&gt;100),1,0)</f>
        <v>0</v>
      </c>
      <c r="J2775">
        <f>IF(Table13[[#This Row],[POS]]=0,1,0)</f>
        <v>1</v>
      </c>
      <c r="K2775">
        <f>SUM(Table13[[#This Row],[prefix]],Table13[[#This Row],[Past zero L]],Table13[[#This Row],[Past Zero R]],Table13[[#This Row],[Is Zero]])</f>
        <v>8</v>
      </c>
    </row>
    <row r="2776" spans="1:11" ht="16" x14ac:dyDescent="0.2">
      <c r="A2776" s="1" t="s">
        <v>5</v>
      </c>
      <c r="B2776" t="str">
        <f>LEFT(Table13[[#This Row],[Input]],1)</f>
        <v>R</v>
      </c>
      <c r="C2776">
        <f>_xlfn.LET(_xlpm.steps,SUBSTITUTE(Table13[[#This Row],[Input]],Table13[[#This Row],[Direction]],""),VALUE(IF(LEN(_xlpm.steps)&gt;2,RIGHT(_xlpm.steps,2),_xlpm.steps)))</f>
        <v>1</v>
      </c>
      <c r="D2776">
        <f>_xlfn.LET(_xlpm.steps,SUBSTITUTE(Table13[[#This Row],[Input]],Table13[[#This Row],[Direction]],""),VALUE(IF(LEN(_xlpm.steps)&gt;2,LEFT(_xlpm.steps,LEN(_xlpm.steps)-2),0)))</f>
        <v>0</v>
      </c>
      <c r="E2776">
        <f>_xlfn.LET(_xlpm.dir,Table13[[#This Row],[Direction]],
IF(_xlpm.dir="L",
    IF(G2775-Table13[[#This Row],[Steps]]&lt;0,100+(G2775-Table13[[#This Row],[Steps]]),G2775-Table13[[#This Row],[Steps]]),
))</f>
        <v>0</v>
      </c>
      <c r="F2776">
        <f>_xlfn.LET(_xlpm.dir,Table13[[#This Row],[Direction]],
IF(_xlpm.dir="R",
    IF(G2775+Table13[[#This Row],[Steps]]&gt;99,(G2775+Table13[[#This Row],[Steps]])-100,G2775+Table13[[#This Row],[Steps]]),
))</f>
        <v>1</v>
      </c>
      <c r="G2776">
        <f>IF(Table13[[#This Row],[New Pos L]]&lt;&gt;0,Table13[[#This Row],[New Pos L]],Table13[[#This Row],[New Pos R]])</f>
        <v>1</v>
      </c>
      <c r="H2776">
        <f>IF(AND(Table13[[#This Row],[Direction]]="L",Table13[[#This Row],[Steps]]&gt;G2775,G2775&lt;&gt;0),1,0)</f>
        <v>0</v>
      </c>
      <c r="I2776">
        <f>IF(AND(Table13[[#This Row],[Direction]]="R",(G2775+Table13[[#This Row],[Steps]])&gt;100),1,0)</f>
        <v>0</v>
      </c>
      <c r="J2776">
        <f>IF(Table13[[#This Row],[POS]]=0,1,0)</f>
        <v>0</v>
      </c>
      <c r="K2776">
        <f>SUM(Table13[[#This Row],[prefix]],Table13[[#This Row],[Past zero L]],Table13[[#This Row],[Past Zero R]],Table13[[#This Row],[Is Zero]])</f>
        <v>0</v>
      </c>
    </row>
    <row r="2777" spans="1:11" ht="16" x14ac:dyDescent="0.2">
      <c r="A2777" s="1" t="s">
        <v>656</v>
      </c>
      <c r="B2777" t="str">
        <f>LEFT(Table13[[#This Row],[Input]],1)</f>
        <v>L</v>
      </c>
      <c r="C2777">
        <f>_xlfn.LET(_xlpm.steps,SUBSTITUTE(Table13[[#This Row],[Input]],Table13[[#This Row],[Direction]],""),VALUE(IF(LEN(_xlpm.steps)&gt;2,RIGHT(_xlpm.steps,2),_xlpm.steps)))</f>
        <v>11</v>
      </c>
      <c r="D2777">
        <f>_xlfn.LET(_xlpm.steps,SUBSTITUTE(Table13[[#This Row],[Input]],Table13[[#This Row],[Direction]],""),VALUE(IF(LEN(_xlpm.steps)&gt;2,LEFT(_xlpm.steps,LEN(_xlpm.steps)-2),0)))</f>
        <v>9</v>
      </c>
      <c r="E2777">
        <f>_xlfn.LET(_xlpm.dir,Table13[[#This Row],[Direction]],
IF(_xlpm.dir="L",
    IF(G2776-Table13[[#This Row],[Steps]]&lt;0,100+(G2776-Table13[[#This Row],[Steps]]),G2776-Table13[[#This Row],[Steps]]),
))</f>
        <v>90</v>
      </c>
      <c r="F2777">
        <f>_xlfn.LET(_xlpm.dir,Table13[[#This Row],[Direction]],
IF(_xlpm.dir="R",
    IF(G2776+Table13[[#This Row],[Steps]]&gt;99,(G2776+Table13[[#This Row],[Steps]])-100,G2776+Table13[[#This Row],[Steps]]),
))</f>
        <v>0</v>
      </c>
      <c r="G2777">
        <f>IF(Table13[[#This Row],[New Pos L]]&lt;&gt;0,Table13[[#This Row],[New Pos L]],Table13[[#This Row],[New Pos R]])</f>
        <v>90</v>
      </c>
      <c r="H2777">
        <f>IF(AND(Table13[[#This Row],[Direction]]="L",Table13[[#This Row],[Steps]]&gt;G2776,G2776&lt;&gt;0),1,0)</f>
        <v>1</v>
      </c>
      <c r="I2777">
        <f>IF(AND(Table13[[#This Row],[Direction]]="R",(G2776+Table13[[#This Row],[Steps]])&gt;100),1,0)</f>
        <v>0</v>
      </c>
      <c r="J2777">
        <f>IF(Table13[[#This Row],[POS]]=0,1,0)</f>
        <v>0</v>
      </c>
      <c r="K2777">
        <f>SUM(Table13[[#This Row],[prefix]],Table13[[#This Row],[Past zero L]],Table13[[#This Row],[Past Zero R]],Table13[[#This Row],[Is Zero]])</f>
        <v>10</v>
      </c>
    </row>
    <row r="2778" spans="1:11" ht="16" x14ac:dyDescent="0.2">
      <c r="A2778" s="1" t="s">
        <v>657</v>
      </c>
      <c r="B2778" t="str">
        <f>LEFT(Table13[[#This Row],[Input]],1)</f>
        <v>R</v>
      </c>
      <c r="C2778">
        <f>_xlfn.LET(_xlpm.steps,SUBSTITUTE(Table13[[#This Row],[Input]],Table13[[#This Row],[Direction]],""),VALUE(IF(LEN(_xlpm.steps)&gt;2,RIGHT(_xlpm.steps,2),_xlpm.steps)))</f>
        <v>16</v>
      </c>
      <c r="D2778">
        <f>_xlfn.LET(_xlpm.steps,SUBSTITUTE(Table13[[#This Row],[Input]],Table13[[#This Row],[Direction]],""),VALUE(IF(LEN(_xlpm.steps)&gt;2,LEFT(_xlpm.steps,LEN(_xlpm.steps)-2),0)))</f>
        <v>4</v>
      </c>
      <c r="E2778">
        <f>_xlfn.LET(_xlpm.dir,Table13[[#This Row],[Direction]],
IF(_xlpm.dir="L",
    IF(G2777-Table13[[#This Row],[Steps]]&lt;0,100+(G2777-Table13[[#This Row],[Steps]]),G2777-Table13[[#This Row],[Steps]]),
))</f>
        <v>0</v>
      </c>
      <c r="F2778">
        <f>_xlfn.LET(_xlpm.dir,Table13[[#This Row],[Direction]],
IF(_xlpm.dir="R",
    IF(G2777+Table13[[#This Row],[Steps]]&gt;99,(G2777+Table13[[#This Row],[Steps]])-100,G2777+Table13[[#This Row],[Steps]]),
))</f>
        <v>6</v>
      </c>
      <c r="G2778">
        <f>IF(Table13[[#This Row],[New Pos L]]&lt;&gt;0,Table13[[#This Row],[New Pos L]],Table13[[#This Row],[New Pos R]])</f>
        <v>6</v>
      </c>
      <c r="H2778">
        <f>IF(AND(Table13[[#This Row],[Direction]]="L",Table13[[#This Row],[Steps]]&gt;G2777,G2777&lt;&gt;0),1,0)</f>
        <v>0</v>
      </c>
      <c r="I2778">
        <f>IF(AND(Table13[[#This Row],[Direction]]="R",(G2777+Table13[[#This Row],[Steps]])&gt;100),1,0)</f>
        <v>1</v>
      </c>
      <c r="J2778">
        <f>IF(Table13[[#This Row],[POS]]=0,1,0)</f>
        <v>0</v>
      </c>
      <c r="K2778">
        <f>SUM(Table13[[#This Row],[prefix]],Table13[[#This Row],[Past zero L]],Table13[[#This Row],[Past Zero R]],Table13[[#This Row],[Is Zero]])</f>
        <v>5</v>
      </c>
    </row>
    <row r="2779" spans="1:11" ht="16" x14ac:dyDescent="0.2">
      <c r="A2779" s="1" t="s">
        <v>75</v>
      </c>
      <c r="B2779" t="str">
        <f>LEFT(Table13[[#This Row],[Input]],1)</f>
        <v>R</v>
      </c>
      <c r="C2779">
        <f>_xlfn.LET(_xlpm.steps,SUBSTITUTE(Table13[[#This Row],[Input]],Table13[[#This Row],[Direction]],""),VALUE(IF(LEN(_xlpm.steps)&gt;2,RIGHT(_xlpm.steps,2),_xlpm.steps)))</f>
        <v>2</v>
      </c>
      <c r="D2779">
        <f>_xlfn.LET(_xlpm.steps,SUBSTITUTE(Table13[[#This Row],[Input]],Table13[[#This Row],[Direction]],""),VALUE(IF(LEN(_xlpm.steps)&gt;2,LEFT(_xlpm.steps,LEN(_xlpm.steps)-2),0)))</f>
        <v>0</v>
      </c>
      <c r="E2779">
        <f>_xlfn.LET(_xlpm.dir,Table13[[#This Row],[Direction]],
IF(_xlpm.dir="L",
    IF(G2778-Table13[[#This Row],[Steps]]&lt;0,100+(G2778-Table13[[#This Row],[Steps]]),G2778-Table13[[#This Row],[Steps]]),
))</f>
        <v>0</v>
      </c>
      <c r="F2779">
        <f>_xlfn.LET(_xlpm.dir,Table13[[#This Row],[Direction]],
IF(_xlpm.dir="R",
    IF(G2778+Table13[[#This Row],[Steps]]&gt;99,(G2778+Table13[[#This Row],[Steps]])-100,G2778+Table13[[#This Row],[Steps]]),
))</f>
        <v>8</v>
      </c>
      <c r="G2779">
        <f>IF(Table13[[#This Row],[New Pos L]]&lt;&gt;0,Table13[[#This Row],[New Pos L]],Table13[[#This Row],[New Pos R]])</f>
        <v>8</v>
      </c>
      <c r="H2779">
        <f>IF(AND(Table13[[#This Row],[Direction]]="L",Table13[[#This Row],[Steps]]&gt;G2778,G2778&lt;&gt;0),1,0)</f>
        <v>0</v>
      </c>
      <c r="I2779">
        <f>IF(AND(Table13[[#This Row],[Direction]]="R",(G2778+Table13[[#This Row],[Steps]])&gt;100),1,0)</f>
        <v>0</v>
      </c>
      <c r="J2779">
        <f>IF(Table13[[#This Row],[POS]]=0,1,0)</f>
        <v>0</v>
      </c>
      <c r="K2779">
        <f>SUM(Table13[[#This Row],[prefix]],Table13[[#This Row],[Past zero L]],Table13[[#This Row],[Past Zero R]],Table13[[#This Row],[Is Zero]])</f>
        <v>0</v>
      </c>
    </row>
    <row r="2780" spans="1:11" ht="16" x14ac:dyDescent="0.2">
      <c r="A2780" s="1" t="s">
        <v>79</v>
      </c>
      <c r="B2780" t="str">
        <f>LEFT(Table13[[#This Row],[Input]],1)</f>
        <v>L</v>
      </c>
      <c r="C2780">
        <f>_xlfn.LET(_xlpm.steps,SUBSTITUTE(Table13[[#This Row],[Input]],Table13[[#This Row],[Direction]],""),VALUE(IF(LEN(_xlpm.steps)&gt;2,RIGHT(_xlpm.steps,2),_xlpm.steps)))</f>
        <v>45</v>
      </c>
      <c r="D2780">
        <f>_xlfn.LET(_xlpm.steps,SUBSTITUTE(Table13[[#This Row],[Input]],Table13[[#This Row],[Direction]],""),VALUE(IF(LEN(_xlpm.steps)&gt;2,LEFT(_xlpm.steps,LEN(_xlpm.steps)-2),0)))</f>
        <v>0</v>
      </c>
      <c r="E2780">
        <f>_xlfn.LET(_xlpm.dir,Table13[[#This Row],[Direction]],
IF(_xlpm.dir="L",
    IF(G2779-Table13[[#This Row],[Steps]]&lt;0,100+(G2779-Table13[[#This Row],[Steps]]),G2779-Table13[[#This Row],[Steps]]),
))</f>
        <v>63</v>
      </c>
      <c r="F2780">
        <f>_xlfn.LET(_xlpm.dir,Table13[[#This Row],[Direction]],
IF(_xlpm.dir="R",
    IF(G2779+Table13[[#This Row],[Steps]]&gt;99,(G2779+Table13[[#This Row],[Steps]])-100,G2779+Table13[[#This Row],[Steps]]),
))</f>
        <v>0</v>
      </c>
      <c r="G2780">
        <f>IF(Table13[[#This Row],[New Pos L]]&lt;&gt;0,Table13[[#This Row],[New Pos L]],Table13[[#This Row],[New Pos R]])</f>
        <v>63</v>
      </c>
      <c r="H2780">
        <f>IF(AND(Table13[[#This Row],[Direction]]="L",Table13[[#This Row],[Steps]]&gt;G2779,G2779&lt;&gt;0),1,0)</f>
        <v>1</v>
      </c>
      <c r="I2780">
        <f>IF(AND(Table13[[#This Row],[Direction]]="R",(G2779+Table13[[#This Row],[Steps]])&gt;100),1,0)</f>
        <v>0</v>
      </c>
      <c r="J2780">
        <f>IF(Table13[[#This Row],[POS]]=0,1,0)</f>
        <v>0</v>
      </c>
      <c r="K2780">
        <f>SUM(Table13[[#This Row],[prefix]],Table13[[#This Row],[Past zero L]],Table13[[#This Row],[Past Zero R]],Table13[[#This Row],[Is Zero]])</f>
        <v>1</v>
      </c>
    </row>
    <row r="2781" spans="1:11" ht="16" x14ac:dyDescent="0.2">
      <c r="A2781" s="1" t="s">
        <v>41</v>
      </c>
      <c r="B2781" t="str">
        <f>LEFT(Table13[[#This Row],[Input]],1)</f>
        <v>L</v>
      </c>
      <c r="C2781">
        <f>_xlfn.LET(_xlpm.steps,SUBSTITUTE(Table13[[#This Row],[Input]],Table13[[#This Row],[Direction]],""),VALUE(IF(LEN(_xlpm.steps)&gt;2,RIGHT(_xlpm.steps,2),_xlpm.steps)))</f>
        <v>7</v>
      </c>
      <c r="D2781">
        <f>_xlfn.LET(_xlpm.steps,SUBSTITUTE(Table13[[#This Row],[Input]],Table13[[#This Row],[Direction]],""),VALUE(IF(LEN(_xlpm.steps)&gt;2,LEFT(_xlpm.steps,LEN(_xlpm.steps)-2),0)))</f>
        <v>0</v>
      </c>
      <c r="E2781">
        <f>_xlfn.LET(_xlpm.dir,Table13[[#This Row],[Direction]],
IF(_xlpm.dir="L",
    IF(G2780-Table13[[#This Row],[Steps]]&lt;0,100+(G2780-Table13[[#This Row],[Steps]]),G2780-Table13[[#This Row],[Steps]]),
))</f>
        <v>56</v>
      </c>
      <c r="F2781">
        <f>_xlfn.LET(_xlpm.dir,Table13[[#This Row],[Direction]],
IF(_xlpm.dir="R",
    IF(G2780+Table13[[#This Row],[Steps]]&gt;99,(G2780+Table13[[#This Row],[Steps]])-100,G2780+Table13[[#This Row],[Steps]]),
))</f>
        <v>0</v>
      </c>
      <c r="G2781">
        <f>IF(Table13[[#This Row],[New Pos L]]&lt;&gt;0,Table13[[#This Row],[New Pos L]],Table13[[#This Row],[New Pos R]])</f>
        <v>56</v>
      </c>
      <c r="H2781">
        <f>IF(AND(Table13[[#This Row],[Direction]]="L",Table13[[#This Row],[Steps]]&gt;G2780,G2780&lt;&gt;0),1,0)</f>
        <v>0</v>
      </c>
      <c r="I2781">
        <f>IF(AND(Table13[[#This Row],[Direction]]="R",(G2780+Table13[[#This Row],[Steps]])&gt;100),1,0)</f>
        <v>0</v>
      </c>
      <c r="J2781">
        <f>IF(Table13[[#This Row],[POS]]=0,1,0)</f>
        <v>0</v>
      </c>
      <c r="K2781">
        <f>SUM(Table13[[#This Row],[prefix]],Table13[[#This Row],[Past zero L]],Table13[[#This Row],[Past Zero R]],Table13[[#This Row],[Is Zero]])</f>
        <v>0</v>
      </c>
    </row>
    <row r="2782" spans="1:11" ht="16" x14ac:dyDescent="0.2">
      <c r="A2782" s="1" t="s">
        <v>72</v>
      </c>
      <c r="B2782" t="str">
        <f>LEFT(Table13[[#This Row],[Input]],1)</f>
        <v>R</v>
      </c>
      <c r="C2782">
        <f>_xlfn.LET(_xlpm.steps,SUBSTITUTE(Table13[[#This Row],[Input]],Table13[[#This Row],[Direction]],""),VALUE(IF(LEN(_xlpm.steps)&gt;2,RIGHT(_xlpm.steps,2),_xlpm.steps)))</f>
        <v>43</v>
      </c>
      <c r="D2782">
        <f>_xlfn.LET(_xlpm.steps,SUBSTITUTE(Table13[[#This Row],[Input]],Table13[[#This Row],[Direction]],""),VALUE(IF(LEN(_xlpm.steps)&gt;2,LEFT(_xlpm.steps,LEN(_xlpm.steps)-2),0)))</f>
        <v>0</v>
      </c>
      <c r="E2782">
        <f>_xlfn.LET(_xlpm.dir,Table13[[#This Row],[Direction]],
IF(_xlpm.dir="L",
    IF(G2781-Table13[[#This Row],[Steps]]&lt;0,100+(G2781-Table13[[#This Row],[Steps]]),G2781-Table13[[#This Row],[Steps]]),
))</f>
        <v>0</v>
      </c>
      <c r="F2782">
        <f>_xlfn.LET(_xlpm.dir,Table13[[#This Row],[Direction]],
IF(_xlpm.dir="R",
    IF(G2781+Table13[[#This Row],[Steps]]&gt;99,(G2781+Table13[[#This Row],[Steps]])-100,G2781+Table13[[#This Row],[Steps]]),
))</f>
        <v>99</v>
      </c>
      <c r="G2782">
        <f>IF(Table13[[#This Row],[New Pos L]]&lt;&gt;0,Table13[[#This Row],[New Pos L]],Table13[[#This Row],[New Pos R]])</f>
        <v>99</v>
      </c>
      <c r="H2782">
        <f>IF(AND(Table13[[#This Row],[Direction]]="L",Table13[[#This Row],[Steps]]&gt;G2781,G2781&lt;&gt;0),1,0)</f>
        <v>0</v>
      </c>
      <c r="I2782">
        <f>IF(AND(Table13[[#This Row],[Direction]]="R",(G2781+Table13[[#This Row],[Steps]])&gt;100),1,0)</f>
        <v>0</v>
      </c>
      <c r="J2782">
        <f>IF(Table13[[#This Row],[POS]]=0,1,0)</f>
        <v>0</v>
      </c>
      <c r="K2782">
        <f>SUM(Table13[[#This Row],[prefix]],Table13[[#This Row],[Past zero L]],Table13[[#This Row],[Past Zero R]],Table13[[#This Row],[Is Zero]])</f>
        <v>0</v>
      </c>
    </row>
    <row r="2783" spans="1:11" ht="16" x14ac:dyDescent="0.2">
      <c r="A2783" s="1" t="s">
        <v>5</v>
      </c>
      <c r="B2783" t="str">
        <f>LEFT(Table13[[#This Row],[Input]],1)</f>
        <v>R</v>
      </c>
      <c r="C2783">
        <f>_xlfn.LET(_xlpm.steps,SUBSTITUTE(Table13[[#This Row],[Input]],Table13[[#This Row],[Direction]],""),VALUE(IF(LEN(_xlpm.steps)&gt;2,RIGHT(_xlpm.steps,2),_xlpm.steps)))</f>
        <v>1</v>
      </c>
      <c r="D2783">
        <f>_xlfn.LET(_xlpm.steps,SUBSTITUTE(Table13[[#This Row],[Input]],Table13[[#This Row],[Direction]],""),VALUE(IF(LEN(_xlpm.steps)&gt;2,LEFT(_xlpm.steps,LEN(_xlpm.steps)-2),0)))</f>
        <v>0</v>
      </c>
      <c r="E2783">
        <f>_xlfn.LET(_xlpm.dir,Table13[[#This Row],[Direction]],
IF(_xlpm.dir="L",
    IF(G2782-Table13[[#This Row],[Steps]]&lt;0,100+(G2782-Table13[[#This Row],[Steps]]),G2782-Table13[[#This Row],[Steps]]),
))</f>
        <v>0</v>
      </c>
      <c r="F2783">
        <f>_xlfn.LET(_xlpm.dir,Table13[[#This Row],[Direction]],
IF(_xlpm.dir="R",
    IF(G2782+Table13[[#This Row],[Steps]]&gt;99,(G2782+Table13[[#This Row],[Steps]])-100,G2782+Table13[[#This Row],[Steps]]),
))</f>
        <v>0</v>
      </c>
      <c r="G2783">
        <f>IF(Table13[[#This Row],[New Pos L]]&lt;&gt;0,Table13[[#This Row],[New Pos L]],Table13[[#This Row],[New Pos R]])</f>
        <v>0</v>
      </c>
      <c r="H2783">
        <f>IF(AND(Table13[[#This Row],[Direction]]="L",Table13[[#This Row],[Steps]]&gt;G2782,G2782&lt;&gt;0),1,0)</f>
        <v>0</v>
      </c>
      <c r="I2783">
        <f>IF(AND(Table13[[#This Row],[Direction]]="R",(G2782+Table13[[#This Row],[Steps]])&gt;100),1,0)</f>
        <v>0</v>
      </c>
      <c r="J2783">
        <f>IF(Table13[[#This Row],[POS]]=0,1,0)</f>
        <v>1</v>
      </c>
      <c r="K2783">
        <f>SUM(Table13[[#This Row],[prefix]],Table13[[#This Row],[Past zero L]],Table13[[#This Row],[Past Zero R]],Table13[[#This Row],[Is Zero]])</f>
        <v>1</v>
      </c>
    </row>
    <row r="2784" spans="1:11" ht="16" x14ac:dyDescent="0.2">
      <c r="A2784" s="1" t="s">
        <v>658</v>
      </c>
      <c r="B2784" t="str">
        <f>LEFT(Table13[[#This Row],[Input]],1)</f>
        <v>R</v>
      </c>
      <c r="C2784">
        <f>_xlfn.LET(_xlpm.steps,SUBSTITUTE(Table13[[#This Row],[Input]],Table13[[#This Row],[Direction]],""),VALUE(IF(LEN(_xlpm.steps)&gt;2,RIGHT(_xlpm.steps,2),_xlpm.steps)))</f>
        <v>93</v>
      </c>
      <c r="D2784">
        <f>_xlfn.LET(_xlpm.steps,SUBSTITUTE(Table13[[#This Row],[Input]],Table13[[#This Row],[Direction]],""),VALUE(IF(LEN(_xlpm.steps)&gt;2,LEFT(_xlpm.steps,LEN(_xlpm.steps)-2),0)))</f>
        <v>7</v>
      </c>
      <c r="E2784">
        <f>_xlfn.LET(_xlpm.dir,Table13[[#This Row],[Direction]],
IF(_xlpm.dir="L",
    IF(G2783-Table13[[#This Row],[Steps]]&lt;0,100+(G2783-Table13[[#This Row],[Steps]]),G2783-Table13[[#This Row],[Steps]]),
))</f>
        <v>0</v>
      </c>
      <c r="F2784">
        <f>_xlfn.LET(_xlpm.dir,Table13[[#This Row],[Direction]],
IF(_xlpm.dir="R",
    IF(G2783+Table13[[#This Row],[Steps]]&gt;99,(G2783+Table13[[#This Row],[Steps]])-100,G2783+Table13[[#This Row],[Steps]]),
))</f>
        <v>93</v>
      </c>
      <c r="G2784">
        <f>IF(Table13[[#This Row],[New Pos L]]&lt;&gt;0,Table13[[#This Row],[New Pos L]],Table13[[#This Row],[New Pos R]])</f>
        <v>93</v>
      </c>
      <c r="H2784">
        <f>IF(AND(Table13[[#This Row],[Direction]]="L",Table13[[#This Row],[Steps]]&gt;G2783,G2783&lt;&gt;0),1,0)</f>
        <v>0</v>
      </c>
      <c r="I2784">
        <f>IF(AND(Table13[[#This Row],[Direction]]="R",(G2783+Table13[[#This Row],[Steps]])&gt;100),1,0)</f>
        <v>0</v>
      </c>
      <c r="J2784">
        <f>IF(Table13[[#This Row],[POS]]=0,1,0)</f>
        <v>0</v>
      </c>
      <c r="K2784">
        <f>SUM(Table13[[#This Row],[prefix]],Table13[[#This Row],[Past zero L]],Table13[[#This Row],[Past Zero R]],Table13[[#This Row],[Is Zero]])</f>
        <v>7</v>
      </c>
    </row>
    <row r="2785" spans="1:11" ht="16" x14ac:dyDescent="0.2">
      <c r="A2785" s="1" t="s">
        <v>353</v>
      </c>
      <c r="B2785" t="str">
        <f>LEFT(Table13[[#This Row],[Input]],1)</f>
        <v>R</v>
      </c>
      <c r="C2785">
        <f>_xlfn.LET(_xlpm.steps,SUBSTITUTE(Table13[[#This Row],[Input]],Table13[[#This Row],[Direction]],""),VALUE(IF(LEN(_xlpm.steps)&gt;2,RIGHT(_xlpm.steps,2),_xlpm.steps)))</f>
        <v>7</v>
      </c>
      <c r="D2785">
        <f>_xlfn.LET(_xlpm.steps,SUBSTITUTE(Table13[[#This Row],[Input]],Table13[[#This Row],[Direction]],""),VALUE(IF(LEN(_xlpm.steps)&gt;2,LEFT(_xlpm.steps,LEN(_xlpm.steps)-2),0)))</f>
        <v>0</v>
      </c>
      <c r="E2785">
        <f>_xlfn.LET(_xlpm.dir,Table13[[#This Row],[Direction]],
IF(_xlpm.dir="L",
    IF(G2784-Table13[[#This Row],[Steps]]&lt;0,100+(G2784-Table13[[#This Row],[Steps]]),G2784-Table13[[#This Row],[Steps]]),
))</f>
        <v>0</v>
      </c>
      <c r="F2785">
        <f>_xlfn.LET(_xlpm.dir,Table13[[#This Row],[Direction]],
IF(_xlpm.dir="R",
    IF(G2784+Table13[[#This Row],[Steps]]&gt;99,(G2784+Table13[[#This Row],[Steps]])-100,G2784+Table13[[#This Row],[Steps]]),
))</f>
        <v>0</v>
      </c>
      <c r="G2785">
        <f>IF(Table13[[#This Row],[New Pos L]]&lt;&gt;0,Table13[[#This Row],[New Pos L]],Table13[[#This Row],[New Pos R]])</f>
        <v>0</v>
      </c>
      <c r="H2785">
        <f>IF(AND(Table13[[#This Row],[Direction]]="L",Table13[[#This Row],[Steps]]&gt;G2784,G2784&lt;&gt;0),1,0)</f>
        <v>0</v>
      </c>
      <c r="I2785">
        <f>IF(AND(Table13[[#This Row],[Direction]]="R",(G2784+Table13[[#This Row],[Steps]])&gt;100),1,0)</f>
        <v>0</v>
      </c>
      <c r="J2785">
        <f>IF(Table13[[#This Row],[POS]]=0,1,0)</f>
        <v>1</v>
      </c>
      <c r="K2785">
        <f>SUM(Table13[[#This Row],[prefix]],Table13[[#This Row],[Past zero L]],Table13[[#This Row],[Past Zero R]],Table13[[#This Row],[Is Zero]])</f>
        <v>1</v>
      </c>
    </row>
    <row r="2786" spans="1:11" ht="16" x14ac:dyDescent="0.2">
      <c r="A2786" s="1" t="s">
        <v>56</v>
      </c>
      <c r="B2786" t="str">
        <f>LEFT(Table13[[#This Row],[Input]],1)</f>
        <v>R</v>
      </c>
      <c r="C2786">
        <f>_xlfn.LET(_xlpm.steps,SUBSTITUTE(Table13[[#This Row],[Input]],Table13[[#This Row],[Direction]],""),VALUE(IF(LEN(_xlpm.steps)&gt;2,RIGHT(_xlpm.steps,2),_xlpm.steps)))</f>
        <v>42</v>
      </c>
      <c r="D2786">
        <f>_xlfn.LET(_xlpm.steps,SUBSTITUTE(Table13[[#This Row],[Input]],Table13[[#This Row],[Direction]],""),VALUE(IF(LEN(_xlpm.steps)&gt;2,LEFT(_xlpm.steps,LEN(_xlpm.steps)-2),0)))</f>
        <v>0</v>
      </c>
      <c r="E2786">
        <f>_xlfn.LET(_xlpm.dir,Table13[[#This Row],[Direction]],
IF(_xlpm.dir="L",
    IF(G2785-Table13[[#This Row],[Steps]]&lt;0,100+(G2785-Table13[[#This Row],[Steps]]),G2785-Table13[[#This Row],[Steps]]),
))</f>
        <v>0</v>
      </c>
      <c r="F2786">
        <f>_xlfn.LET(_xlpm.dir,Table13[[#This Row],[Direction]],
IF(_xlpm.dir="R",
    IF(G2785+Table13[[#This Row],[Steps]]&gt;99,(G2785+Table13[[#This Row],[Steps]])-100,G2785+Table13[[#This Row],[Steps]]),
))</f>
        <v>42</v>
      </c>
      <c r="G2786">
        <f>IF(Table13[[#This Row],[New Pos L]]&lt;&gt;0,Table13[[#This Row],[New Pos L]],Table13[[#This Row],[New Pos R]])</f>
        <v>42</v>
      </c>
      <c r="H2786">
        <f>IF(AND(Table13[[#This Row],[Direction]]="L",Table13[[#This Row],[Steps]]&gt;G2785,G2785&lt;&gt;0),1,0)</f>
        <v>0</v>
      </c>
      <c r="I2786">
        <f>IF(AND(Table13[[#This Row],[Direction]]="R",(G2785+Table13[[#This Row],[Steps]])&gt;100),1,0)</f>
        <v>0</v>
      </c>
      <c r="J2786">
        <f>IF(Table13[[#This Row],[POS]]=0,1,0)</f>
        <v>0</v>
      </c>
      <c r="K2786">
        <f>SUM(Table13[[#This Row],[prefix]],Table13[[#This Row],[Past zero L]],Table13[[#This Row],[Past Zero R]],Table13[[#This Row],[Is Zero]])</f>
        <v>0</v>
      </c>
    </row>
    <row r="2787" spans="1:11" ht="16" x14ac:dyDescent="0.2">
      <c r="A2787" s="1" t="s">
        <v>37</v>
      </c>
      <c r="B2787" t="str">
        <f>LEFT(Table13[[#This Row],[Input]],1)</f>
        <v>L</v>
      </c>
      <c r="C2787">
        <f>_xlfn.LET(_xlpm.steps,SUBSTITUTE(Table13[[#This Row],[Input]],Table13[[#This Row],[Direction]],""),VALUE(IF(LEN(_xlpm.steps)&gt;2,RIGHT(_xlpm.steps,2),_xlpm.steps)))</f>
        <v>42</v>
      </c>
      <c r="D2787">
        <f>_xlfn.LET(_xlpm.steps,SUBSTITUTE(Table13[[#This Row],[Input]],Table13[[#This Row],[Direction]],""),VALUE(IF(LEN(_xlpm.steps)&gt;2,LEFT(_xlpm.steps,LEN(_xlpm.steps)-2),0)))</f>
        <v>0</v>
      </c>
      <c r="E2787">
        <f>_xlfn.LET(_xlpm.dir,Table13[[#This Row],[Direction]],
IF(_xlpm.dir="L",
    IF(G2786-Table13[[#This Row],[Steps]]&lt;0,100+(G2786-Table13[[#This Row],[Steps]]),G2786-Table13[[#This Row],[Steps]]),
))</f>
        <v>0</v>
      </c>
      <c r="F2787">
        <f>_xlfn.LET(_xlpm.dir,Table13[[#This Row],[Direction]],
IF(_xlpm.dir="R",
    IF(G2786+Table13[[#This Row],[Steps]]&gt;99,(G2786+Table13[[#This Row],[Steps]])-100,G2786+Table13[[#This Row],[Steps]]),
))</f>
        <v>0</v>
      </c>
      <c r="G2787">
        <f>IF(Table13[[#This Row],[New Pos L]]&lt;&gt;0,Table13[[#This Row],[New Pos L]],Table13[[#This Row],[New Pos R]])</f>
        <v>0</v>
      </c>
      <c r="H2787">
        <f>IF(AND(Table13[[#This Row],[Direction]]="L",Table13[[#This Row],[Steps]]&gt;G2786,G2786&lt;&gt;0),1,0)</f>
        <v>0</v>
      </c>
      <c r="I2787">
        <f>IF(AND(Table13[[#This Row],[Direction]]="R",(G2786+Table13[[#This Row],[Steps]])&gt;100),1,0)</f>
        <v>0</v>
      </c>
      <c r="J2787">
        <f>IF(Table13[[#This Row],[POS]]=0,1,0)</f>
        <v>1</v>
      </c>
      <c r="K2787">
        <f>SUM(Table13[[#This Row],[prefix]],Table13[[#This Row],[Past zero L]],Table13[[#This Row],[Past Zero R]],Table13[[#This Row],[Is Zero]])</f>
        <v>1</v>
      </c>
    </row>
    <row r="2788" spans="1:11" ht="16" x14ac:dyDescent="0.2">
      <c r="A2788" s="1" t="s">
        <v>123</v>
      </c>
      <c r="B2788" t="str">
        <f>LEFT(Table13[[#This Row],[Input]],1)</f>
        <v>L</v>
      </c>
      <c r="C2788">
        <f>_xlfn.LET(_xlpm.steps,SUBSTITUTE(Table13[[#This Row],[Input]],Table13[[#This Row],[Direction]],""),VALUE(IF(LEN(_xlpm.steps)&gt;2,RIGHT(_xlpm.steps,2),_xlpm.steps)))</f>
        <v>63</v>
      </c>
      <c r="D2788">
        <f>_xlfn.LET(_xlpm.steps,SUBSTITUTE(Table13[[#This Row],[Input]],Table13[[#This Row],[Direction]],""),VALUE(IF(LEN(_xlpm.steps)&gt;2,LEFT(_xlpm.steps,LEN(_xlpm.steps)-2),0)))</f>
        <v>0</v>
      </c>
      <c r="E2788">
        <f>_xlfn.LET(_xlpm.dir,Table13[[#This Row],[Direction]],
IF(_xlpm.dir="L",
    IF(G2787-Table13[[#This Row],[Steps]]&lt;0,100+(G2787-Table13[[#This Row],[Steps]]),G2787-Table13[[#This Row],[Steps]]),
))</f>
        <v>37</v>
      </c>
      <c r="F2788">
        <f>_xlfn.LET(_xlpm.dir,Table13[[#This Row],[Direction]],
IF(_xlpm.dir="R",
    IF(G2787+Table13[[#This Row],[Steps]]&gt;99,(G2787+Table13[[#This Row],[Steps]])-100,G2787+Table13[[#This Row],[Steps]]),
))</f>
        <v>0</v>
      </c>
      <c r="G2788">
        <f>IF(Table13[[#This Row],[New Pos L]]&lt;&gt;0,Table13[[#This Row],[New Pos L]],Table13[[#This Row],[New Pos R]])</f>
        <v>37</v>
      </c>
      <c r="H2788">
        <f>IF(AND(Table13[[#This Row],[Direction]]="L",Table13[[#This Row],[Steps]]&gt;G2787,G2787&lt;&gt;0),1,0)</f>
        <v>0</v>
      </c>
      <c r="I2788">
        <f>IF(AND(Table13[[#This Row],[Direction]]="R",(G2787+Table13[[#This Row],[Steps]])&gt;100),1,0)</f>
        <v>0</v>
      </c>
      <c r="J2788">
        <f>IF(Table13[[#This Row],[POS]]=0,1,0)</f>
        <v>0</v>
      </c>
      <c r="K2788">
        <f>SUM(Table13[[#This Row],[prefix]],Table13[[#This Row],[Past zero L]],Table13[[#This Row],[Past Zero R]],Table13[[#This Row],[Is Zero]])</f>
        <v>0</v>
      </c>
    </row>
    <row r="2789" spans="1:11" ht="16" x14ac:dyDescent="0.2">
      <c r="A2789" s="1" t="s">
        <v>353</v>
      </c>
      <c r="B2789" t="str">
        <f>LEFT(Table13[[#This Row],[Input]],1)</f>
        <v>R</v>
      </c>
      <c r="C2789">
        <f>_xlfn.LET(_xlpm.steps,SUBSTITUTE(Table13[[#This Row],[Input]],Table13[[#This Row],[Direction]],""),VALUE(IF(LEN(_xlpm.steps)&gt;2,RIGHT(_xlpm.steps,2),_xlpm.steps)))</f>
        <v>7</v>
      </c>
      <c r="D2789">
        <f>_xlfn.LET(_xlpm.steps,SUBSTITUTE(Table13[[#This Row],[Input]],Table13[[#This Row],[Direction]],""),VALUE(IF(LEN(_xlpm.steps)&gt;2,LEFT(_xlpm.steps,LEN(_xlpm.steps)-2),0)))</f>
        <v>0</v>
      </c>
      <c r="E2789">
        <f>_xlfn.LET(_xlpm.dir,Table13[[#This Row],[Direction]],
IF(_xlpm.dir="L",
    IF(G2788-Table13[[#This Row],[Steps]]&lt;0,100+(G2788-Table13[[#This Row],[Steps]]),G2788-Table13[[#This Row],[Steps]]),
))</f>
        <v>0</v>
      </c>
      <c r="F2789">
        <f>_xlfn.LET(_xlpm.dir,Table13[[#This Row],[Direction]],
IF(_xlpm.dir="R",
    IF(G2788+Table13[[#This Row],[Steps]]&gt;99,(G2788+Table13[[#This Row],[Steps]])-100,G2788+Table13[[#This Row],[Steps]]),
))</f>
        <v>44</v>
      </c>
      <c r="G2789">
        <f>IF(Table13[[#This Row],[New Pos L]]&lt;&gt;0,Table13[[#This Row],[New Pos L]],Table13[[#This Row],[New Pos R]])</f>
        <v>44</v>
      </c>
      <c r="H2789">
        <f>IF(AND(Table13[[#This Row],[Direction]]="L",Table13[[#This Row],[Steps]]&gt;G2788,G2788&lt;&gt;0),1,0)</f>
        <v>0</v>
      </c>
      <c r="I2789">
        <f>IF(AND(Table13[[#This Row],[Direction]]="R",(G2788+Table13[[#This Row],[Steps]])&gt;100),1,0)</f>
        <v>0</v>
      </c>
      <c r="J2789">
        <f>IF(Table13[[#This Row],[POS]]=0,1,0)</f>
        <v>0</v>
      </c>
      <c r="K2789">
        <f>SUM(Table13[[#This Row],[prefix]],Table13[[#This Row],[Past zero L]],Table13[[#This Row],[Past Zero R]],Table13[[#This Row],[Is Zero]])</f>
        <v>0</v>
      </c>
    </row>
    <row r="2790" spans="1:11" ht="16" x14ac:dyDescent="0.2">
      <c r="A2790" s="1" t="s">
        <v>245</v>
      </c>
      <c r="B2790" t="str">
        <f>LEFT(Table13[[#This Row],[Input]],1)</f>
        <v>R</v>
      </c>
      <c r="C2790">
        <f>_xlfn.LET(_xlpm.steps,SUBSTITUTE(Table13[[#This Row],[Input]],Table13[[#This Row],[Direction]],""),VALUE(IF(LEN(_xlpm.steps)&gt;2,RIGHT(_xlpm.steps,2),_xlpm.steps)))</f>
        <v>71</v>
      </c>
      <c r="D2790">
        <f>_xlfn.LET(_xlpm.steps,SUBSTITUTE(Table13[[#This Row],[Input]],Table13[[#This Row],[Direction]],""),VALUE(IF(LEN(_xlpm.steps)&gt;2,LEFT(_xlpm.steps,LEN(_xlpm.steps)-2),0)))</f>
        <v>0</v>
      </c>
      <c r="E2790">
        <f>_xlfn.LET(_xlpm.dir,Table13[[#This Row],[Direction]],
IF(_xlpm.dir="L",
    IF(G2789-Table13[[#This Row],[Steps]]&lt;0,100+(G2789-Table13[[#This Row],[Steps]]),G2789-Table13[[#This Row],[Steps]]),
))</f>
        <v>0</v>
      </c>
      <c r="F2790">
        <f>_xlfn.LET(_xlpm.dir,Table13[[#This Row],[Direction]],
IF(_xlpm.dir="R",
    IF(G2789+Table13[[#This Row],[Steps]]&gt;99,(G2789+Table13[[#This Row],[Steps]])-100,G2789+Table13[[#This Row],[Steps]]),
))</f>
        <v>15</v>
      </c>
      <c r="G2790">
        <f>IF(Table13[[#This Row],[New Pos L]]&lt;&gt;0,Table13[[#This Row],[New Pos L]],Table13[[#This Row],[New Pos R]])</f>
        <v>15</v>
      </c>
      <c r="H2790">
        <f>IF(AND(Table13[[#This Row],[Direction]]="L",Table13[[#This Row],[Steps]]&gt;G2789,G2789&lt;&gt;0),1,0)</f>
        <v>0</v>
      </c>
      <c r="I2790">
        <f>IF(AND(Table13[[#This Row],[Direction]]="R",(G2789+Table13[[#This Row],[Steps]])&gt;100),1,0)</f>
        <v>1</v>
      </c>
      <c r="J2790">
        <f>IF(Table13[[#This Row],[POS]]=0,1,0)</f>
        <v>0</v>
      </c>
      <c r="K2790">
        <f>SUM(Table13[[#This Row],[prefix]],Table13[[#This Row],[Past zero L]],Table13[[#This Row],[Past Zero R]],Table13[[#This Row],[Is Zero]])</f>
        <v>1</v>
      </c>
    </row>
    <row r="2791" spans="1:11" ht="16" x14ac:dyDescent="0.2">
      <c r="A2791" s="1" t="s">
        <v>8</v>
      </c>
      <c r="B2791" t="str">
        <f>LEFT(Table13[[#This Row],[Input]],1)</f>
        <v>R</v>
      </c>
      <c r="C2791">
        <f>_xlfn.LET(_xlpm.steps,SUBSTITUTE(Table13[[#This Row],[Input]],Table13[[#This Row],[Direction]],""),VALUE(IF(LEN(_xlpm.steps)&gt;2,RIGHT(_xlpm.steps,2),_xlpm.steps)))</f>
        <v>18</v>
      </c>
      <c r="D2791">
        <f>_xlfn.LET(_xlpm.steps,SUBSTITUTE(Table13[[#This Row],[Input]],Table13[[#This Row],[Direction]],""),VALUE(IF(LEN(_xlpm.steps)&gt;2,LEFT(_xlpm.steps,LEN(_xlpm.steps)-2),0)))</f>
        <v>0</v>
      </c>
      <c r="E2791">
        <f>_xlfn.LET(_xlpm.dir,Table13[[#This Row],[Direction]],
IF(_xlpm.dir="L",
    IF(G2790-Table13[[#This Row],[Steps]]&lt;0,100+(G2790-Table13[[#This Row],[Steps]]),G2790-Table13[[#This Row],[Steps]]),
))</f>
        <v>0</v>
      </c>
      <c r="F2791">
        <f>_xlfn.LET(_xlpm.dir,Table13[[#This Row],[Direction]],
IF(_xlpm.dir="R",
    IF(G2790+Table13[[#This Row],[Steps]]&gt;99,(G2790+Table13[[#This Row],[Steps]])-100,G2790+Table13[[#This Row],[Steps]]),
))</f>
        <v>33</v>
      </c>
      <c r="G2791">
        <f>IF(Table13[[#This Row],[New Pos L]]&lt;&gt;0,Table13[[#This Row],[New Pos L]],Table13[[#This Row],[New Pos R]])</f>
        <v>33</v>
      </c>
      <c r="H2791">
        <f>IF(AND(Table13[[#This Row],[Direction]]="L",Table13[[#This Row],[Steps]]&gt;G2790,G2790&lt;&gt;0),1,0)</f>
        <v>0</v>
      </c>
      <c r="I2791">
        <f>IF(AND(Table13[[#This Row],[Direction]]="R",(G2790+Table13[[#This Row],[Steps]])&gt;100),1,0)</f>
        <v>0</v>
      </c>
      <c r="J2791">
        <f>IF(Table13[[#This Row],[POS]]=0,1,0)</f>
        <v>0</v>
      </c>
      <c r="K2791">
        <f>SUM(Table13[[#This Row],[prefix]],Table13[[#This Row],[Past zero L]],Table13[[#This Row],[Past Zero R]],Table13[[#This Row],[Is Zero]])</f>
        <v>0</v>
      </c>
    </row>
    <row r="2792" spans="1:11" ht="16" x14ac:dyDescent="0.2">
      <c r="A2792" s="1" t="s">
        <v>122</v>
      </c>
      <c r="B2792" t="str">
        <f>LEFT(Table13[[#This Row],[Input]],1)</f>
        <v>R</v>
      </c>
      <c r="C2792">
        <f>_xlfn.LET(_xlpm.steps,SUBSTITUTE(Table13[[#This Row],[Input]],Table13[[#This Row],[Direction]],""),VALUE(IF(LEN(_xlpm.steps)&gt;2,RIGHT(_xlpm.steps,2),_xlpm.steps)))</f>
        <v>75</v>
      </c>
      <c r="D2792">
        <f>_xlfn.LET(_xlpm.steps,SUBSTITUTE(Table13[[#This Row],[Input]],Table13[[#This Row],[Direction]],""),VALUE(IF(LEN(_xlpm.steps)&gt;2,LEFT(_xlpm.steps,LEN(_xlpm.steps)-2),0)))</f>
        <v>0</v>
      </c>
      <c r="E2792">
        <f>_xlfn.LET(_xlpm.dir,Table13[[#This Row],[Direction]],
IF(_xlpm.dir="L",
    IF(G2791-Table13[[#This Row],[Steps]]&lt;0,100+(G2791-Table13[[#This Row],[Steps]]),G2791-Table13[[#This Row],[Steps]]),
))</f>
        <v>0</v>
      </c>
      <c r="F2792">
        <f>_xlfn.LET(_xlpm.dir,Table13[[#This Row],[Direction]],
IF(_xlpm.dir="R",
    IF(G2791+Table13[[#This Row],[Steps]]&gt;99,(G2791+Table13[[#This Row],[Steps]])-100,G2791+Table13[[#This Row],[Steps]]),
))</f>
        <v>8</v>
      </c>
      <c r="G2792">
        <f>IF(Table13[[#This Row],[New Pos L]]&lt;&gt;0,Table13[[#This Row],[New Pos L]],Table13[[#This Row],[New Pos R]])</f>
        <v>8</v>
      </c>
      <c r="H2792">
        <f>IF(AND(Table13[[#This Row],[Direction]]="L",Table13[[#This Row],[Steps]]&gt;G2791,G2791&lt;&gt;0),1,0)</f>
        <v>0</v>
      </c>
      <c r="I2792">
        <f>IF(AND(Table13[[#This Row],[Direction]]="R",(G2791+Table13[[#This Row],[Steps]])&gt;100),1,0)</f>
        <v>1</v>
      </c>
      <c r="J2792">
        <f>IF(Table13[[#This Row],[POS]]=0,1,0)</f>
        <v>0</v>
      </c>
      <c r="K2792">
        <f>SUM(Table13[[#This Row],[prefix]],Table13[[#This Row],[Past zero L]],Table13[[#This Row],[Past Zero R]],Table13[[#This Row],[Is Zero]])</f>
        <v>1</v>
      </c>
    </row>
    <row r="2793" spans="1:11" ht="16" x14ac:dyDescent="0.2">
      <c r="A2793" s="1" t="s">
        <v>659</v>
      </c>
      <c r="B2793" t="str">
        <f>LEFT(Table13[[#This Row],[Input]],1)</f>
        <v>R</v>
      </c>
      <c r="C2793">
        <f>_xlfn.LET(_xlpm.steps,SUBSTITUTE(Table13[[#This Row],[Input]],Table13[[#This Row],[Direction]],""),VALUE(IF(LEN(_xlpm.steps)&gt;2,RIGHT(_xlpm.steps,2),_xlpm.steps)))</f>
        <v>52</v>
      </c>
      <c r="D2793">
        <f>_xlfn.LET(_xlpm.steps,SUBSTITUTE(Table13[[#This Row],[Input]],Table13[[#This Row],[Direction]],""),VALUE(IF(LEN(_xlpm.steps)&gt;2,LEFT(_xlpm.steps,LEN(_xlpm.steps)-2),0)))</f>
        <v>3</v>
      </c>
      <c r="E2793">
        <f>_xlfn.LET(_xlpm.dir,Table13[[#This Row],[Direction]],
IF(_xlpm.dir="L",
    IF(G2792-Table13[[#This Row],[Steps]]&lt;0,100+(G2792-Table13[[#This Row],[Steps]]),G2792-Table13[[#This Row],[Steps]]),
))</f>
        <v>0</v>
      </c>
      <c r="F2793">
        <f>_xlfn.LET(_xlpm.dir,Table13[[#This Row],[Direction]],
IF(_xlpm.dir="R",
    IF(G2792+Table13[[#This Row],[Steps]]&gt;99,(G2792+Table13[[#This Row],[Steps]])-100,G2792+Table13[[#This Row],[Steps]]),
))</f>
        <v>60</v>
      </c>
      <c r="G2793">
        <f>IF(Table13[[#This Row],[New Pos L]]&lt;&gt;0,Table13[[#This Row],[New Pos L]],Table13[[#This Row],[New Pos R]])</f>
        <v>60</v>
      </c>
      <c r="H2793">
        <f>IF(AND(Table13[[#This Row],[Direction]]="L",Table13[[#This Row],[Steps]]&gt;G2792,G2792&lt;&gt;0),1,0)</f>
        <v>0</v>
      </c>
      <c r="I2793">
        <f>IF(AND(Table13[[#This Row],[Direction]]="R",(G2792+Table13[[#This Row],[Steps]])&gt;100),1,0)</f>
        <v>0</v>
      </c>
      <c r="J2793">
        <f>IF(Table13[[#This Row],[POS]]=0,1,0)</f>
        <v>0</v>
      </c>
      <c r="K2793">
        <f>SUM(Table13[[#This Row],[prefix]],Table13[[#This Row],[Past zero L]],Table13[[#This Row],[Past Zero R]],Table13[[#This Row],[Is Zero]])</f>
        <v>3</v>
      </c>
    </row>
    <row r="2794" spans="1:11" ht="16" x14ac:dyDescent="0.2">
      <c r="A2794" s="1" t="s">
        <v>89</v>
      </c>
      <c r="B2794" t="str">
        <f>LEFT(Table13[[#This Row],[Input]],1)</f>
        <v>L</v>
      </c>
      <c r="C2794">
        <f>_xlfn.LET(_xlpm.steps,SUBSTITUTE(Table13[[#This Row],[Input]],Table13[[#This Row],[Direction]],""),VALUE(IF(LEN(_xlpm.steps)&gt;2,RIGHT(_xlpm.steps,2),_xlpm.steps)))</f>
        <v>91</v>
      </c>
      <c r="D2794">
        <f>_xlfn.LET(_xlpm.steps,SUBSTITUTE(Table13[[#This Row],[Input]],Table13[[#This Row],[Direction]],""),VALUE(IF(LEN(_xlpm.steps)&gt;2,LEFT(_xlpm.steps,LEN(_xlpm.steps)-2),0)))</f>
        <v>0</v>
      </c>
      <c r="E2794">
        <f>_xlfn.LET(_xlpm.dir,Table13[[#This Row],[Direction]],
IF(_xlpm.dir="L",
    IF(G2793-Table13[[#This Row],[Steps]]&lt;0,100+(G2793-Table13[[#This Row],[Steps]]),G2793-Table13[[#This Row],[Steps]]),
))</f>
        <v>69</v>
      </c>
      <c r="F2794">
        <f>_xlfn.LET(_xlpm.dir,Table13[[#This Row],[Direction]],
IF(_xlpm.dir="R",
    IF(G2793+Table13[[#This Row],[Steps]]&gt;99,(G2793+Table13[[#This Row],[Steps]])-100,G2793+Table13[[#This Row],[Steps]]),
))</f>
        <v>0</v>
      </c>
      <c r="G2794">
        <f>IF(Table13[[#This Row],[New Pos L]]&lt;&gt;0,Table13[[#This Row],[New Pos L]],Table13[[#This Row],[New Pos R]])</f>
        <v>69</v>
      </c>
      <c r="H2794">
        <f>IF(AND(Table13[[#This Row],[Direction]]="L",Table13[[#This Row],[Steps]]&gt;G2793,G2793&lt;&gt;0),1,0)</f>
        <v>1</v>
      </c>
      <c r="I2794">
        <f>IF(AND(Table13[[#This Row],[Direction]]="R",(G2793+Table13[[#This Row],[Steps]])&gt;100),1,0)</f>
        <v>0</v>
      </c>
      <c r="J2794">
        <f>IF(Table13[[#This Row],[POS]]=0,1,0)</f>
        <v>0</v>
      </c>
      <c r="K2794">
        <f>SUM(Table13[[#This Row],[prefix]],Table13[[#This Row],[Past zero L]],Table13[[#This Row],[Past Zero R]],Table13[[#This Row],[Is Zero]])</f>
        <v>1</v>
      </c>
    </row>
    <row r="2795" spans="1:11" ht="16" x14ac:dyDescent="0.2">
      <c r="A2795" s="1" t="s">
        <v>201</v>
      </c>
      <c r="B2795" t="str">
        <f>LEFT(Table13[[#This Row],[Input]],1)</f>
        <v>R</v>
      </c>
      <c r="C2795">
        <f>_xlfn.LET(_xlpm.steps,SUBSTITUTE(Table13[[#This Row],[Input]],Table13[[#This Row],[Direction]],""),VALUE(IF(LEN(_xlpm.steps)&gt;2,RIGHT(_xlpm.steps,2),_xlpm.steps)))</f>
        <v>31</v>
      </c>
      <c r="D2795">
        <f>_xlfn.LET(_xlpm.steps,SUBSTITUTE(Table13[[#This Row],[Input]],Table13[[#This Row],[Direction]],""),VALUE(IF(LEN(_xlpm.steps)&gt;2,LEFT(_xlpm.steps,LEN(_xlpm.steps)-2),0)))</f>
        <v>0</v>
      </c>
      <c r="E2795">
        <f>_xlfn.LET(_xlpm.dir,Table13[[#This Row],[Direction]],
IF(_xlpm.dir="L",
    IF(G2794-Table13[[#This Row],[Steps]]&lt;0,100+(G2794-Table13[[#This Row],[Steps]]),G2794-Table13[[#This Row],[Steps]]),
))</f>
        <v>0</v>
      </c>
      <c r="F2795">
        <f>_xlfn.LET(_xlpm.dir,Table13[[#This Row],[Direction]],
IF(_xlpm.dir="R",
    IF(G2794+Table13[[#This Row],[Steps]]&gt;99,(G2794+Table13[[#This Row],[Steps]])-100,G2794+Table13[[#This Row],[Steps]]),
))</f>
        <v>0</v>
      </c>
      <c r="G2795">
        <f>IF(Table13[[#This Row],[New Pos L]]&lt;&gt;0,Table13[[#This Row],[New Pos L]],Table13[[#This Row],[New Pos R]])</f>
        <v>0</v>
      </c>
      <c r="H2795">
        <f>IF(AND(Table13[[#This Row],[Direction]]="L",Table13[[#This Row],[Steps]]&gt;G2794,G2794&lt;&gt;0),1,0)</f>
        <v>0</v>
      </c>
      <c r="I2795">
        <f>IF(AND(Table13[[#This Row],[Direction]]="R",(G2794+Table13[[#This Row],[Steps]])&gt;100),1,0)</f>
        <v>0</v>
      </c>
      <c r="J2795">
        <f>IF(Table13[[#This Row],[POS]]=0,1,0)</f>
        <v>1</v>
      </c>
      <c r="K2795">
        <f>SUM(Table13[[#This Row],[prefix]],Table13[[#This Row],[Past zero L]],Table13[[#This Row],[Past Zero R]],Table13[[#This Row],[Is Zero]])</f>
        <v>1</v>
      </c>
    </row>
    <row r="2796" spans="1:11" ht="16" x14ac:dyDescent="0.2">
      <c r="A2796" s="1" t="s">
        <v>588</v>
      </c>
      <c r="B2796" t="str">
        <f>LEFT(Table13[[#This Row],[Input]],1)</f>
        <v>L</v>
      </c>
      <c r="C2796">
        <f>_xlfn.LET(_xlpm.steps,SUBSTITUTE(Table13[[#This Row],[Input]],Table13[[#This Row],[Direction]],""),VALUE(IF(LEN(_xlpm.steps)&gt;2,RIGHT(_xlpm.steps,2),_xlpm.steps)))</f>
        <v>47</v>
      </c>
      <c r="D2796">
        <f>_xlfn.LET(_xlpm.steps,SUBSTITUTE(Table13[[#This Row],[Input]],Table13[[#This Row],[Direction]],""),VALUE(IF(LEN(_xlpm.steps)&gt;2,LEFT(_xlpm.steps,LEN(_xlpm.steps)-2),0)))</f>
        <v>6</v>
      </c>
      <c r="E2796">
        <f>_xlfn.LET(_xlpm.dir,Table13[[#This Row],[Direction]],
IF(_xlpm.dir="L",
    IF(G2795-Table13[[#This Row],[Steps]]&lt;0,100+(G2795-Table13[[#This Row],[Steps]]),G2795-Table13[[#This Row],[Steps]]),
))</f>
        <v>53</v>
      </c>
      <c r="F2796">
        <f>_xlfn.LET(_xlpm.dir,Table13[[#This Row],[Direction]],
IF(_xlpm.dir="R",
    IF(G2795+Table13[[#This Row],[Steps]]&gt;99,(G2795+Table13[[#This Row],[Steps]])-100,G2795+Table13[[#This Row],[Steps]]),
))</f>
        <v>0</v>
      </c>
      <c r="G2796">
        <f>IF(Table13[[#This Row],[New Pos L]]&lt;&gt;0,Table13[[#This Row],[New Pos L]],Table13[[#This Row],[New Pos R]])</f>
        <v>53</v>
      </c>
      <c r="H2796">
        <f>IF(AND(Table13[[#This Row],[Direction]]="L",Table13[[#This Row],[Steps]]&gt;G2795,G2795&lt;&gt;0),1,0)</f>
        <v>0</v>
      </c>
      <c r="I2796">
        <f>IF(AND(Table13[[#This Row],[Direction]]="R",(G2795+Table13[[#This Row],[Steps]])&gt;100),1,0)</f>
        <v>0</v>
      </c>
      <c r="J2796">
        <f>IF(Table13[[#This Row],[POS]]=0,1,0)</f>
        <v>0</v>
      </c>
      <c r="K2796">
        <f>SUM(Table13[[#This Row],[prefix]],Table13[[#This Row],[Past zero L]],Table13[[#This Row],[Past Zero R]],Table13[[#This Row],[Is Zero]])</f>
        <v>6</v>
      </c>
    </row>
    <row r="2797" spans="1:11" ht="16" x14ac:dyDescent="0.2">
      <c r="A2797" s="1" t="s">
        <v>660</v>
      </c>
      <c r="B2797" t="str">
        <f>LEFT(Table13[[#This Row],[Input]],1)</f>
        <v>R</v>
      </c>
      <c r="C2797">
        <f>_xlfn.LET(_xlpm.steps,SUBSTITUTE(Table13[[#This Row],[Input]],Table13[[#This Row],[Direction]],""),VALUE(IF(LEN(_xlpm.steps)&gt;2,RIGHT(_xlpm.steps,2),_xlpm.steps)))</f>
        <v>60</v>
      </c>
      <c r="D2797">
        <f>_xlfn.LET(_xlpm.steps,SUBSTITUTE(Table13[[#This Row],[Input]],Table13[[#This Row],[Direction]],""),VALUE(IF(LEN(_xlpm.steps)&gt;2,LEFT(_xlpm.steps,LEN(_xlpm.steps)-2),0)))</f>
        <v>3</v>
      </c>
      <c r="E2797">
        <f>_xlfn.LET(_xlpm.dir,Table13[[#This Row],[Direction]],
IF(_xlpm.dir="L",
    IF(G2796-Table13[[#This Row],[Steps]]&lt;0,100+(G2796-Table13[[#This Row],[Steps]]),G2796-Table13[[#This Row],[Steps]]),
))</f>
        <v>0</v>
      </c>
      <c r="F2797">
        <f>_xlfn.LET(_xlpm.dir,Table13[[#This Row],[Direction]],
IF(_xlpm.dir="R",
    IF(G2796+Table13[[#This Row],[Steps]]&gt;99,(G2796+Table13[[#This Row],[Steps]])-100,G2796+Table13[[#This Row],[Steps]]),
))</f>
        <v>13</v>
      </c>
      <c r="G2797">
        <f>IF(Table13[[#This Row],[New Pos L]]&lt;&gt;0,Table13[[#This Row],[New Pos L]],Table13[[#This Row],[New Pos R]])</f>
        <v>13</v>
      </c>
      <c r="H2797">
        <f>IF(AND(Table13[[#This Row],[Direction]]="L",Table13[[#This Row],[Steps]]&gt;G2796,G2796&lt;&gt;0),1,0)</f>
        <v>0</v>
      </c>
      <c r="I2797">
        <f>IF(AND(Table13[[#This Row],[Direction]]="R",(G2796+Table13[[#This Row],[Steps]])&gt;100),1,0)</f>
        <v>1</v>
      </c>
      <c r="J2797">
        <f>IF(Table13[[#This Row],[POS]]=0,1,0)</f>
        <v>0</v>
      </c>
      <c r="K2797">
        <f>SUM(Table13[[#This Row],[prefix]],Table13[[#This Row],[Past zero L]],Table13[[#This Row],[Past Zero R]],Table13[[#This Row],[Is Zero]])</f>
        <v>4</v>
      </c>
    </row>
    <row r="2798" spans="1:11" ht="16" x14ac:dyDescent="0.2">
      <c r="A2798" s="1" t="s">
        <v>661</v>
      </c>
      <c r="B2798" t="str">
        <f>LEFT(Table13[[#This Row],[Input]],1)</f>
        <v>R</v>
      </c>
      <c r="C2798">
        <f>_xlfn.LET(_xlpm.steps,SUBSTITUTE(Table13[[#This Row],[Input]],Table13[[#This Row],[Direction]],""),VALUE(IF(LEN(_xlpm.steps)&gt;2,RIGHT(_xlpm.steps,2),_xlpm.steps)))</f>
        <v>48</v>
      </c>
      <c r="D2798">
        <f>_xlfn.LET(_xlpm.steps,SUBSTITUTE(Table13[[#This Row],[Input]],Table13[[#This Row],[Direction]],""),VALUE(IF(LEN(_xlpm.steps)&gt;2,LEFT(_xlpm.steps,LEN(_xlpm.steps)-2),0)))</f>
        <v>2</v>
      </c>
      <c r="E2798">
        <f>_xlfn.LET(_xlpm.dir,Table13[[#This Row],[Direction]],
IF(_xlpm.dir="L",
    IF(G2797-Table13[[#This Row],[Steps]]&lt;0,100+(G2797-Table13[[#This Row],[Steps]]),G2797-Table13[[#This Row],[Steps]]),
))</f>
        <v>0</v>
      </c>
      <c r="F2798">
        <f>_xlfn.LET(_xlpm.dir,Table13[[#This Row],[Direction]],
IF(_xlpm.dir="R",
    IF(G2797+Table13[[#This Row],[Steps]]&gt;99,(G2797+Table13[[#This Row],[Steps]])-100,G2797+Table13[[#This Row],[Steps]]),
))</f>
        <v>61</v>
      </c>
      <c r="G2798">
        <f>IF(Table13[[#This Row],[New Pos L]]&lt;&gt;0,Table13[[#This Row],[New Pos L]],Table13[[#This Row],[New Pos R]])</f>
        <v>61</v>
      </c>
      <c r="H2798">
        <f>IF(AND(Table13[[#This Row],[Direction]]="L",Table13[[#This Row],[Steps]]&gt;G2797,G2797&lt;&gt;0),1,0)</f>
        <v>0</v>
      </c>
      <c r="I2798">
        <f>IF(AND(Table13[[#This Row],[Direction]]="R",(G2797+Table13[[#This Row],[Steps]])&gt;100),1,0)</f>
        <v>0</v>
      </c>
      <c r="J2798">
        <f>IF(Table13[[#This Row],[POS]]=0,1,0)</f>
        <v>0</v>
      </c>
      <c r="K2798">
        <f>SUM(Table13[[#This Row],[prefix]],Table13[[#This Row],[Past zero L]],Table13[[#This Row],[Past Zero R]],Table13[[#This Row],[Is Zero]])</f>
        <v>2</v>
      </c>
    </row>
    <row r="2799" spans="1:11" ht="16" x14ac:dyDescent="0.2">
      <c r="A2799" s="1" t="s">
        <v>662</v>
      </c>
      <c r="B2799" t="str">
        <f>LEFT(Table13[[#This Row],[Input]],1)</f>
        <v>L</v>
      </c>
      <c r="C2799">
        <f>_xlfn.LET(_xlpm.steps,SUBSTITUTE(Table13[[#This Row],[Input]],Table13[[#This Row],[Direction]],""),VALUE(IF(LEN(_xlpm.steps)&gt;2,RIGHT(_xlpm.steps,2),_xlpm.steps)))</f>
        <v>61</v>
      </c>
      <c r="D2799">
        <f>_xlfn.LET(_xlpm.steps,SUBSTITUTE(Table13[[#This Row],[Input]],Table13[[#This Row],[Direction]],""),VALUE(IF(LEN(_xlpm.steps)&gt;2,LEFT(_xlpm.steps,LEN(_xlpm.steps)-2),0)))</f>
        <v>6</v>
      </c>
      <c r="E2799">
        <f>_xlfn.LET(_xlpm.dir,Table13[[#This Row],[Direction]],
IF(_xlpm.dir="L",
    IF(G2798-Table13[[#This Row],[Steps]]&lt;0,100+(G2798-Table13[[#This Row],[Steps]]),G2798-Table13[[#This Row],[Steps]]),
))</f>
        <v>0</v>
      </c>
      <c r="F2799">
        <f>_xlfn.LET(_xlpm.dir,Table13[[#This Row],[Direction]],
IF(_xlpm.dir="R",
    IF(G2798+Table13[[#This Row],[Steps]]&gt;99,(G2798+Table13[[#This Row],[Steps]])-100,G2798+Table13[[#This Row],[Steps]]),
))</f>
        <v>0</v>
      </c>
      <c r="G2799">
        <f>IF(Table13[[#This Row],[New Pos L]]&lt;&gt;0,Table13[[#This Row],[New Pos L]],Table13[[#This Row],[New Pos R]])</f>
        <v>0</v>
      </c>
      <c r="H2799">
        <f>IF(AND(Table13[[#This Row],[Direction]]="L",Table13[[#This Row],[Steps]]&gt;G2798,G2798&lt;&gt;0),1,0)</f>
        <v>0</v>
      </c>
      <c r="I2799">
        <f>IF(AND(Table13[[#This Row],[Direction]]="R",(G2798+Table13[[#This Row],[Steps]])&gt;100),1,0)</f>
        <v>0</v>
      </c>
      <c r="J2799">
        <f>IF(Table13[[#This Row],[POS]]=0,1,0)</f>
        <v>1</v>
      </c>
      <c r="K2799">
        <f>SUM(Table13[[#This Row],[prefix]],Table13[[#This Row],[Past zero L]],Table13[[#This Row],[Past Zero R]],Table13[[#This Row],[Is Zero]])</f>
        <v>7</v>
      </c>
    </row>
    <row r="2800" spans="1:11" ht="16" x14ac:dyDescent="0.2">
      <c r="A2800" s="1" t="s">
        <v>304</v>
      </c>
      <c r="B2800" t="str">
        <f>LEFT(Table13[[#This Row],[Input]],1)</f>
        <v>L</v>
      </c>
      <c r="C2800">
        <f>_xlfn.LET(_xlpm.steps,SUBSTITUTE(Table13[[#This Row],[Input]],Table13[[#This Row],[Direction]],""),VALUE(IF(LEN(_xlpm.steps)&gt;2,RIGHT(_xlpm.steps,2),_xlpm.steps)))</f>
        <v>26</v>
      </c>
      <c r="D2800">
        <f>_xlfn.LET(_xlpm.steps,SUBSTITUTE(Table13[[#This Row],[Input]],Table13[[#This Row],[Direction]],""),VALUE(IF(LEN(_xlpm.steps)&gt;2,LEFT(_xlpm.steps,LEN(_xlpm.steps)-2),0)))</f>
        <v>0</v>
      </c>
      <c r="E2800">
        <f>_xlfn.LET(_xlpm.dir,Table13[[#This Row],[Direction]],
IF(_xlpm.dir="L",
    IF(G2799-Table13[[#This Row],[Steps]]&lt;0,100+(G2799-Table13[[#This Row],[Steps]]),G2799-Table13[[#This Row],[Steps]]),
))</f>
        <v>74</v>
      </c>
      <c r="F2800">
        <f>_xlfn.LET(_xlpm.dir,Table13[[#This Row],[Direction]],
IF(_xlpm.dir="R",
    IF(G2799+Table13[[#This Row],[Steps]]&gt;99,(G2799+Table13[[#This Row],[Steps]])-100,G2799+Table13[[#This Row],[Steps]]),
))</f>
        <v>0</v>
      </c>
      <c r="G2800">
        <f>IF(Table13[[#This Row],[New Pos L]]&lt;&gt;0,Table13[[#This Row],[New Pos L]],Table13[[#This Row],[New Pos R]])</f>
        <v>74</v>
      </c>
      <c r="H2800">
        <f>IF(AND(Table13[[#This Row],[Direction]]="L",Table13[[#This Row],[Steps]]&gt;G2799,G2799&lt;&gt;0),1,0)</f>
        <v>0</v>
      </c>
      <c r="I2800">
        <f>IF(AND(Table13[[#This Row],[Direction]]="R",(G2799+Table13[[#This Row],[Steps]])&gt;100),1,0)</f>
        <v>0</v>
      </c>
      <c r="J2800">
        <f>IF(Table13[[#This Row],[POS]]=0,1,0)</f>
        <v>0</v>
      </c>
      <c r="K2800">
        <f>SUM(Table13[[#This Row],[prefix]],Table13[[#This Row],[Past zero L]],Table13[[#This Row],[Past Zero R]],Table13[[#This Row],[Is Zero]])</f>
        <v>0</v>
      </c>
    </row>
    <row r="2801" spans="1:11" ht="16" x14ac:dyDescent="0.2">
      <c r="A2801" s="1" t="s">
        <v>20</v>
      </c>
      <c r="B2801" t="str">
        <f>LEFT(Table13[[#This Row],[Input]],1)</f>
        <v>R</v>
      </c>
      <c r="C2801">
        <f>_xlfn.LET(_xlpm.steps,SUBSTITUTE(Table13[[#This Row],[Input]],Table13[[#This Row],[Direction]],""),VALUE(IF(LEN(_xlpm.steps)&gt;2,RIGHT(_xlpm.steps,2),_xlpm.steps)))</f>
        <v>46</v>
      </c>
      <c r="D2801">
        <f>_xlfn.LET(_xlpm.steps,SUBSTITUTE(Table13[[#This Row],[Input]],Table13[[#This Row],[Direction]],""),VALUE(IF(LEN(_xlpm.steps)&gt;2,LEFT(_xlpm.steps,LEN(_xlpm.steps)-2),0)))</f>
        <v>0</v>
      </c>
      <c r="E2801">
        <f>_xlfn.LET(_xlpm.dir,Table13[[#This Row],[Direction]],
IF(_xlpm.dir="L",
    IF(G2800-Table13[[#This Row],[Steps]]&lt;0,100+(G2800-Table13[[#This Row],[Steps]]),G2800-Table13[[#This Row],[Steps]]),
))</f>
        <v>0</v>
      </c>
      <c r="F2801">
        <f>_xlfn.LET(_xlpm.dir,Table13[[#This Row],[Direction]],
IF(_xlpm.dir="R",
    IF(G2800+Table13[[#This Row],[Steps]]&gt;99,(G2800+Table13[[#This Row],[Steps]])-100,G2800+Table13[[#This Row],[Steps]]),
))</f>
        <v>20</v>
      </c>
      <c r="G2801">
        <f>IF(Table13[[#This Row],[New Pos L]]&lt;&gt;0,Table13[[#This Row],[New Pos L]],Table13[[#This Row],[New Pos R]])</f>
        <v>20</v>
      </c>
      <c r="H2801">
        <f>IF(AND(Table13[[#This Row],[Direction]]="L",Table13[[#This Row],[Steps]]&gt;G2800,G2800&lt;&gt;0),1,0)</f>
        <v>0</v>
      </c>
      <c r="I2801">
        <f>IF(AND(Table13[[#This Row],[Direction]]="R",(G2800+Table13[[#This Row],[Steps]])&gt;100),1,0)</f>
        <v>1</v>
      </c>
      <c r="J2801">
        <f>IF(Table13[[#This Row],[POS]]=0,1,0)</f>
        <v>0</v>
      </c>
      <c r="K2801">
        <f>SUM(Table13[[#This Row],[prefix]],Table13[[#This Row],[Past zero L]],Table13[[#This Row],[Past Zero R]],Table13[[#This Row],[Is Zero]])</f>
        <v>1</v>
      </c>
    </row>
    <row r="2802" spans="1:11" ht="16" x14ac:dyDescent="0.2">
      <c r="A2802" s="1" t="s">
        <v>28</v>
      </c>
      <c r="B2802" t="str">
        <f>LEFT(Table13[[#This Row],[Input]],1)</f>
        <v>R</v>
      </c>
      <c r="C2802">
        <f>_xlfn.LET(_xlpm.steps,SUBSTITUTE(Table13[[#This Row],[Input]],Table13[[#This Row],[Direction]],""),VALUE(IF(LEN(_xlpm.steps)&gt;2,RIGHT(_xlpm.steps,2),_xlpm.steps)))</f>
        <v>30</v>
      </c>
      <c r="D2802">
        <f>_xlfn.LET(_xlpm.steps,SUBSTITUTE(Table13[[#This Row],[Input]],Table13[[#This Row],[Direction]],""),VALUE(IF(LEN(_xlpm.steps)&gt;2,LEFT(_xlpm.steps,LEN(_xlpm.steps)-2),0)))</f>
        <v>0</v>
      </c>
      <c r="E2802">
        <f>_xlfn.LET(_xlpm.dir,Table13[[#This Row],[Direction]],
IF(_xlpm.dir="L",
    IF(G2801-Table13[[#This Row],[Steps]]&lt;0,100+(G2801-Table13[[#This Row],[Steps]]),G2801-Table13[[#This Row],[Steps]]),
))</f>
        <v>0</v>
      </c>
      <c r="F2802">
        <f>_xlfn.LET(_xlpm.dir,Table13[[#This Row],[Direction]],
IF(_xlpm.dir="R",
    IF(G2801+Table13[[#This Row],[Steps]]&gt;99,(G2801+Table13[[#This Row],[Steps]])-100,G2801+Table13[[#This Row],[Steps]]),
))</f>
        <v>50</v>
      </c>
      <c r="G2802">
        <f>IF(Table13[[#This Row],[New Pos L]]&lt;&gt;0,Table13[[#This Row],[New Pos L]],Table13[[#This Row],[New Pos R]])</f>
        <v>50</v>
      </c>
      <c r="H2802">
        <f>IF(AND(Table13[[#This Row],[Direction]]="L",Table13[[#This Row],[Steps]]&gt;G2801,G2801&lt;&gt;0),1,0)</f>
        <v>0</v>
      </c>
      <c r="I2802">
        <f>IF(AND(Table13[[#This Row],[Direction]]="R",(G2801+Table13[[#This Row],[Steps]])&gt;100),1,0)</f>
        <v>0</v>
      </c>
      <c r="J2802">
        <f>IF(Table13[[#This Row],[POS]]=0,1,0)</f>
        <v>0</v>
      </c>
      <c r="K2802">
        <f>SUM(Table13[[#This Row],[prefix]],Table13[[#This Row],[Past zero L]],Table13[[#This Row],[Past Zero R]],Table13[[#This Row],[Is Zero]])</f>
        <v>0</v>
      </c>
    </row>
    <row r="2803" spans="1:11" ht="16" x14ac:dyDescent="0.2">
      <c r="A2803" s="1" t="s">
        <v>120</v>
      </c>
      <c r="B2803" t="str">
        <f>LEFT(Table13[[#This Row],[Input]],1)</f>
        <v>L</v>
      </c>
      <c r="C2803">
        <f>_xlfn.LET(_xlpm.steps,SUBSTITUTE(Table13[[#This Row],[Input]],Table13[[#This Row],[Direction]],""),VALUE(IF(LEN(_xlpm.steps)&gt;2,RIGHT(_xlpm.steps,2),_xlpm.steps)))</f>
        <v>23</v>
      </c>
      <c r="D2803">
        <f>_xlfn.LET(_xlpm.steps,SUBSTITUTE(Table13[[#This Row],[Input]],Table13[[#This Row],[Direction]],""),VALUE(IF(LEN(_xlpm.steps)&gt;2,LEFT(_xlpm.steps,LEN(_xlpm.steps)-2),0)))</f>
        <v>0</v>
      </c>
      <c r="E2803">
        <f>_xlfn.LET(_xlpm.dir,Table13[[#This Row],[Direction]],
IF(_xlpm.dir="L",
    IF(G2802-Table13[[#This Row],[Steps]]&lt;0,100+(G2802-Table13[[#This Row],[Steps]]),G2802-Table13[[#This Row],[Steps]]),
))</f>
        <v>27</v>
      </c>
      <c r="F2803">
        <f>_xlfn.LET(_xlpm.dir,Table13[[#This Row],[Direction]],
IF(_xlpm.dir="R",
    IF(G2802+Table13[[#This Row],[Steps]]&gt;99,(G2802+Table13[[#This Row],[Steps]])-100,G2802+Table13[[#This Row],[Steps]]),
))</f>
        <v>0</v>
      </c>
      <c r="G2803">
        <f>IF(Table13[[#This Row],[New Pos L]]&lt;&gt;0,Table13[[#This Row],[New Pos L]],Table13[[#This Row],[New Pos R]])</f>
        <v>27</v>
      </c>
      <c r="H2803">
        <f>IF(AND(Table13[[#This Row],[Direction]]="L",Table13[[#This Row],[Steps]]&gt;G2802,G2802&lt;&gt;0),1,0)</f>
        <v>0</v>
      </c>
      <c r="I2803">
        <f>IF(AND(Table13[[#This Row],[Direction]]="R",(G2802+Table13[[#This Row],[Steps]])&gt;100),1,0)</f>
        <v>0</v>
      </c>
      <c r="J2803">
        <f>IF(Table13[[#This Row],[POS]]=0,1,0)</f>
        <v>0</v>
      </c>
      <c r="K2803">
        <f>SUM(Table13[[#This Row],[prefix]],Table13[[#This Row],[Past zero L]],Table13[[#This Row],[Past Zero R]],Table13[[#This Row],[Is Zero]])</f>
        <v>0</v>
      </c>
    </row>
    <row r="2804" spans="1:11" ht="16" x14ac:dyDescent="0.2">
      <c r="A2804" s="1" t="s">
        <v>138</v>
      </c>
      <c r="B2804" t="str">
        <f>LEFT(Table13[[#This Row],[Input]],1)</f>
        <v>L</v>
      </c>
      <c r="C2804">
        <f>_xlfn.LET(_xlpm.steps,SUBSTITUTE(Table13[[#This Row],[Input]],Table13[[#This Row],[Direction]],""),VALUE(IF(LEN(_xlpm.steps)&gt;2,RIGHT(_xlpm.steps,2),_xlpm.steps)))</f>
        <v>94</v>
      </c>
      <c r="D2804">
        <f>_xlfn.LET(_xlpm.steps,SUBSTITUTE(Table13[[#This Row],[Input]],Table13[[#This Row],[Direction]],""),VALUE(IF(LEN(_xlpm.steps)&gt;2,LEFT(_xlpm.steps,LEN(_xlpm.steps)-2),0)))</f>
        <v>0</v>
      </c>
      <c r="E2804">
        <f>_xlfn.LET(_xlpm.dir,Table13[[#This Row],[Direction]],
IF(_xlpm.dir="L",
    IF(G2803-Table13[[#This Row],[Steps]]&lt;0,100+(G2803-Table13[[#This Row],[Steps]]),G2803-Table13[[#This Row],[Steps]]),
))</f>
        <v>33</v>
      </c>
      <c r="F2804">
        <f>_xlfn.LET(_xlpm.dir,Table13[[#This Row],[Direction]],
IF(_xlpm.dir="R",
    IF(G2803+Table13[[#This Row],[Steps]]&gt;99,(G2803+Table13[[#This Row],[Steps]])-100,G2803+Table13[[#This Row],[Steps]]),
))</f>
        <v>0</v>
      </c>
      <c r="G2804">
        <f>IF(Table13[[#This Row],[New Pos L]]&lt;&gt;0,Table13[[#This Row],[New Pos L]],Table13[[#This Row],[New Pos R]])</f>
        <v>33</v>
      </c>
      <c r="H2804">
        <f>IF(AND(Table13[[#This Row],[Direction]]="L",Table13[[#This Row],[Steps]]&gt;G2803,G2803&lt;&gt;0),1,0)</f>
        <v>1</v>
      </c>
      <c r="I2804">
        <f>IF(AND(Table13[[#This Row],[Direction]]="R",(G2803+Table13[[#This Row],[Steps]])&gt;100),1,0)</f>
        <v>0</v>
      </c>
      <c r="J2804">
        <f>IF(Table13[[#This Row],[POS]]=0,1,0)</f>
        <v>0</v>
      </c>
      <c r="K2804">
        <f>SUM(Table13[[#This Row],[prefix]],Table13[[#This Row],[Past zero L]],Table13[[#This Row],[Past Zero R]],Table13[[#This Row],[Is Zero]])</f>
        <v>1</v>
      </c>
    </row>
    <row r="2805" spans="1:11" ht="16" x14ac:dyDescent="0.2">
      <c r="A2805" s="1" t="s">
        <v>401</v>
      </c>
      <c r="B2805" t="str">
        <f>LEFT(Table13[[#This Row],[Input]],1)</f>
        <v>L</v>
      </c>
      <c r="C2805">
        <f>_xlfn.LET(_xlpm.steps,SUBSTITUTE(Table13[[#This Row],[Input]],Table13[[#This Row],[Direction]],""),VALUE(IF(LEN(_xlpm.steps)&gt;2,RIGHT(_xlpm.steps,2),_xlpm.steps)))</f>
        <v>4</v>
      </c>
      <c r="D2805">
        <f>_xlfn.LET(_xlpm.steps,SUBSTITUTE(Table13[[#This Row],[Input]],Table13[[#This Row],[Direction]],""),VALUE(IF(LEN(_xlpm.steps)&gt;2,LEFT(_xlpm.steps,LEN(_xlpm.steps)-2),0)))</f>
        <v>4</v>
      </c>
      <c r="E2805">
        <f>_xlfn.LET(_xlpm.dir,Table13[[#This Row],[Direction]],
IF(_xlpm.dir="L",
    IF(G2804-Table13[[#This Row],[Steps]]&lt;0,100+(G2804-Table13[[#This Row],[Steps]]),G2804-Table13[[#This Row],[Steps]]),
))</f>
        <v>29</v>
      </c>
      <c r="F2805">
        <f>_xlfn.LET(_xlpm.dir,Table13[[#This Row],[Direction]],
IF(_xlpm.dir="R",
    IF(G2804+Table13[[#This Row],[Steps]]&gt;99,(G2804+Table13[[#This Row],[Steps]])-100,G2804+Table13[[#This Row],[Steps]]),
))</f>
        <v>0</v>
      </c>
      <c r="G2805">
        <f>IF(Table13[[#This Row],[New Pos L]]&lt;&gt;0,Table13[[#This Row],[New Pos L]],Table13[[#This Row],[New Pos R]])</f>
        <v>29</v>
      </c>
      <c r="H2805">
        <f>IF(AND(Table13[[#This Row],[Direction]]="L",Table13[[#This Row],[Steps]]&gt;G2804,G2804&lt;&gt;0),1,0)</f>
        <v>0</v>
      </c>
      <c r="I2805">
        <f>IF(AND(Table13[[#This Row],[Direction]]="R",(G2804+Table13[[#This Row],[Steps]])&gt;100),1,0)</f>
        <v>0</v>
      </c>
      <c r="J2805">
        <f>IF(Table13[[#This Row],[POS]]=0,1,0)</f>
        <v>0</v>
      </c>
      <c r="K2805">
        <f>SUM(Table13[[#This Row],[prefix]],Table13[[#This Row],[Past zero L]],Table13[[#This Row],[Past Zero R]],Table13[[#This Row],[Is Zero]])</f>
        <v>4</v>
      </c>
    </row>
    <row r="2806" spans="1:11" ht="16" x14ac:dyDescent="0.2">
      <c r="A2806" s="1" t="s">
        <v>165</v>
      </c>
      <c r="B2806" t="str">
        <f>LEFT(Table13[[#This Row],[Input]],1)</f>
        <v>R</v>
      </c>
      <c r="C2806">
        <f>_xlfn.LET(_xlpm.steps,SUBSTITUTE(Table13[[#This Row],[Input]],Table13[[#This Row],[Direction]],""),VALUE(IF(LEN(_xlpm.steps)&gt;2,RIGHT(_xlpm.steps,2),_xlpm.steps)))</f>
        <v>55</v>
      </c>
      <c r="D2806">
        <f>_xlfn.LET(_xlpm.steps,SUBSTITUTE(Table13[[#This Row],[Input]],Table13[[#This Row],[Direction]],""),VALUE(IF(LEN(_xlpm.steps)&gt;2,LEFT(_xlpm.steps,LEN(_xlpm.steps)-2),0)))</f>
        <v>0</v>
      </c>
      <c r="E2806">
        <f>_xlfn.LET(_xlpm.dir,Table13[[#This Row],[Direction]],
IF(_xlpm.dir="L",
    IF(G2805-Table13[[#This Row],[Steps]]&lt;0,100+(G2805-Table13[[#This Row],[Steps]]),G2805-Table13[[#This Row],[Steps]]),
))</f>
        <v>0</v>
      </c>
      <c r="F2806">
        <f>_xlfn.LET(_xlpm.dir,Table13[[#This Row],[Direction]],
IF(_xlpm.dir="R",
    IF(G2805+Table13[[#This Row],[Steps]]&gt;99,(G2805+Table13[[#This Row],[Steps]])-100,G2805+Table13[[#This Row],[Steps]]),
))</f>
        <v>84</v>
      </c>
      <c r="G2806">
        <f>IF(Table13[[#This Row],[New Pos L]]&lt;&gt;0,Table13[[#This Row],[New Pos L]],Table13[[#This Row],[New Pos R]])</f>
        <v>84</v>
      </c>
      <c r="H2806">
        <f>IF(AND(Table13[[#This Row],[Direction]]="L",Table13[[#This Row],[Steps]]&gt;G2805,G2805&lt;&gt;0),1,0)</f>
        <v>0</v>
      </c>
      <c r="I2806">
        <f>IF(AND(Table13[[#This Row],[Direction]]="R",(G2805+Table13[[#This Row],[Steps]])&gt;100),1,0)</f>
        <v>0</v>
      </c>
      <c r="J2806">
        <f>IF(Table13[[#This Row],[POS]]=0,1,0)</f>
        <v>0</v>
      </c>
      <c r="K2806">
        <f>SUM(Table13[[#This Row],[prefix]],Table13[[#This Row],[Past zero L]],Table13[[#This Row],[Past Zero R]],Table13[[#This Row],[Is Zero]])</f>
        <v>0</v>
      </c>
    </row>
    <row r="2807" spans="1:11" ht="16" x14ac:dyDescent="0.2">
      <c r="A2807" s="1" t="s">
        <v>663</v>
      </c>
      <c r="B2807" t="str">
        <f>LEFT(Table13[[#This Row],[Input]],1)</f>
        <v>R</v>
      </c>
      <c r="C2807">
        <f>_xlfn.LET(_xlpm.steps,SUBSTITUTE(Table13[[#This Row],[Input]],Table13[[#This Row],[Direction]],""),VALUE(IF(LEN(_xlpm.steps)&gt;2,RIGHT(_xlpm.steps,2),_xlpm.steps)))</f>
        <v>16</v>
      </c>
      <c r="D2807">
        <f>_xlfn.LET(_xlpm.steps,SUBSTITUTE(Table13[[#This Row],[Input]],Table13[[#This Row],[Direction]],""),VALUE(IF(LEN(_xlpm.steps)&gt;2,LEFT(_xlpm.steps,LEN(_xlpm.steps)-2),0)))</f>
        <v>5</v>
      </c>
      <c r="E2807">
        <f>_xlfn.LET(_xlpm.dir,Table13[[#This Row],[Direction]],
IF(_xlpm.dir="L",
    IF(G2806-Table13[[#This Row],[Steps]]&lt;0,100+(G2806-Table13[[#This Row],[Steps]]),G2806-Table13[[#This Row],[Steps]]),
))</f>
        <v>0</v>
      </c>
      <c r="F2807">
        <f>_xlfn.LET(_xlpm.dir,Table13[[#This Row],[Direction]],
IF(_xlpm.dir="R",
    IF(G2806+Table13[[#This Row],[Steps]]&gt;99,(G2806+Table13[[#This Row],[Steps]])-100,G2806+Table13[[#This Row],[Steps]]),
))</f>
        <v>0</v>
      </c>
      <c r="G2807">
        <f>IF(Table13[[#This Row],[New Pos L]]&lt;&gt;0,Table13[[#This Row],[New Pos L]],Table13[[#This Row],[New Pos R]])</f>
        <v>0</v>
      </c>
      <c r="H2807">
        <f>IF(AND(Table13[[#This Row],[Direction]]="L",Table13[[#This Row],[Steps]]&gt;G2806,G2806&lt;&gt;0),1,0)</f>
        <v>0</v>
      </c>
      <c r="I2807">
        <f>IF(AND(Table13[[#This Row],[Direction]]="R",(G2806+Table13[[#This Row],[Steps]])&gt;100),1,0)</f>
        <v>0</v>
      </c>
      <c r="J2807">
        <f>IF(Table13[[#This Row],[POS]]=0,1,0)</f>
        <v>1</v>
      </c>
      <c r="K2807">
        <f>SUM(Table13[[#This Row],[prefix]],Table13[[#This Row],[Past zero L]],Table13[[#This Row],[Past Zero R]],Table13[[#This Row],[Is Zero]])</f>
        <v>6</v>
      </c>
    </row>
    <row r="2808" spans="1:11" ht="16" x14ac:dyDescent="0.2">
      <c r="A2808" s="1" t="s">
        <v>195</v>
      </c>
      <c r="B2808" t="str">
        <f>LEFT(Table13[[#This Row],[Input]],1)</f>
        <v>R</v>
      </c>
      <c r="C2808">
        <f>_xlfn.LET(_xlpm.steps,SUBSTITUTE(Table13[[#This Row],[Input]],Table13[[#This Row],[Direction]],""),VALUE(IF(LEN(_xlpm.steps)&gt;2,RIGHT(_xlpm.steps,2),_xlpm.steps)))</f>
        <v>40</v>
      </c>
      <c r="D2808">
        <f>_xlfn.LET(_xlpm.steps,SUBSTITUTE(Table13[[#This Row],[Input]],Table13[[#This Row],[Direction]],""),VALUE(IF(LEN(_xlpm.steps)&gt;2,LEFT(_xlpm.steps,LEN(_xlpm.steps)-2),0)))</f>
        <v>0</v>
      </c>
      <c r="E2808">
        <f>_xlfn.LET(_xlpm.dir,Table13[[#This Row],[Direction]],
IF(_xlpm.dir="L",
    IF(G2807-Table13[[#This Row],[Steps]]&lt;0,100+(G2807-Table13[[#This Row],[Steps]]),G2807-Table13[[#This Row],[Steps]]),
))</f>
        <v>0</v>
      </c>
      <c r="F2808">
        <f>_xlfn.LET(_xlpm.dir,Table13[[#This Row],[Direction]],
IF(_xlpm.dir="R",
    IF(G2807+Table13[[#This Row],[Steps]]&gt;99,(G2807+Table13[[#This Row],[Steps]])-100,G2807+Table13[[#This Row],[Steps]]),
))</f>
        <v>40</v>
      </c>
      <c r="G2808">
        <f>IF(Table13[[#This Row],[New Pos L]]&lt;&gt;0,Table13[[#This Row],[New Pos L]],Table13[[#This Row],[New Pos R]])</f>
        <v>40</v>
      </c>
      <c r="H2808">
        <f>IF(AND(Table13[[#This Row],[Direction]]="L",Table13[[#This Row],[Steps]]&gt;G2807,G2807&lt;&gt;0),1,0)</f>
        <v>0</v>
      </c>
      <c r="I2808">
        <f>IF(AND(Table13[[#This Row],[Direction]]="R",(G2807+Table13[[#This Row],[Steps]])&gt;100),1,0)</f>
        <v>0</v>
      </c>
      <c r="J2808">
        <f>IF(Table13[[#This Row],[POS]]=0,1,0)</f>
        <v>0</v>
      </c>
      <c r="K2808">
        <f>SUM(Table13[[#This Row],[prefix]],Table13[[#This Row],[Past zero L]],Table13[[#This Row],[Past Zero R]],Table13[[#This Row],[Is Zero]])</f>
        <v>0</v>
      </c>
    </row>
    <row r="2809" spans="1:11" ht="16" x14ac:dyDescent="0.2">
      <c r="A2809" s="1" t="s">
        <v>65</v>
      </c>
      <c r="B2809" t="str">
        <f>LEFT(Table13[[#This Row],[Input]],1)</f>
        <v>L</v>
      </c>
      <c r="C2809">
        <f>_xlfn.LET(_xlpm.steps,SUBSTITUTE(Table13[[#This Row],[Input]],Table13[[#This Row],[Direction]],""),VALUE(IF(LEN(_xlpm.steps)&gt;2,RIGHT(_xlpm.steps,2),_xlpm.steps)))</f>
        <v>19</v>
      </c>
      <c r="D2809">
        <f>_xlfn.LET(_xlpm.steps,SUBSTITUTE(Table13[[#This Row],[Input]],Table13[[#This Row],[Direction]],""),VALUE(IF(LEN(_xlpm.steps)&gt;2,LEFT(_xlpm.steps,LEN(_xlpm.steps)-2),0)))</f>
        <v>0</v>
      </c>
      <c r="E2809">
        <f>_xlfn.LET(_xlpm.dir,Table13[[#This Row],[Direction]],
IF(_xlpm.dir="L",
    IF(G2808-Table13[[#This Row],[Steps]]&lt;0,100+(G2808-Table13[[#This Row],[Steps]]),G2808-Table13[[#This Row],[Steps]]),
))</f>
        <v>21</v>
      </c>
      <c r="F2809">
        <f>_xlfn.LET(_xlpm.dir,Table13[[#This Row],[Direction]],
IF(_xlpm.dir="R",
    IF(G2808+Table13[[#This Row],[Steps]]&gt;99,(G2808+Table13[[#This Row],[Steps]])-100,G2808+Table13[[#This Row],[Steps]]),
))</f>
        <v>0</v>
      </c>
      <c r="G2809">
        <f>IF(Table13[[#This Row],[New Pos L]]&lt;&gt;0,Table13[[#This Row],[New Pos L]],Table13[[#This Row],[New Pos R]])</f>
        <v>21</v>
      </c>
      <c r="H2809">
        <f>IF(AND(Table13[[#This Row],[Direction]]="L",Table13[[#This Row],[Steps]]&gt;G2808,G2808&lt;&gt;0),1,0)</f>
        <v>0</v>
      </c>
      <c r="I2809">
        <f>IF(AND(Table13[[#This Row],[Direction]]="R",(G2808+Table13[[#This Row],[Steps]])&gt;100),1,0)</f>
        <v>0</v>
      </c>
      <c r="J2809">
        <f>IF(Table13[[#This Row],[POS]]=0,1,0)</f>
        <v>0</v>
      </c>
      <c r="K2809">
        <f>SUM(Table13[[#This Row],[prefix]],Table13[[#This Row],[Past zero L]],Table13[[#This Row],[Past Zero R]],Table13[[#This Row],[Is Zero]])</f>
        <v>0</v>
      </c>
    </row>
    <row r="2810" spans="1:11" ht="16" x14ac:dyDescent="0.2">
      <c r="A2810" s="1" t="s">
        <v>139</v>
      </c>
      <c r="B2810" t="str">
        <f>LEFT(Table13[[#This Row],[Input]],1)</f>
        <v>R</v>
      </c>
      <c r="C2810">
        <f>_xlfn.LET(_xlpm.steps,SUBSTITUTE(Table13[[#This Row],[Input]],Table13[[#This Row],[Direction]],""),VALUE(IF(LEN(_xlpm.steps)&gt;2,RIGHT(_xlpm.steps,2),_xlpm.steps)))</f>
        <v>38</v>
      </c>
      <c r="D2810">
        <f>_xlfn.LET(_xlpm.steps,SUBSTITUTE(Table13[[#This Row],[Input]],Table13[[#This Row],[Direction]],""),VALUE(IF(LEN(_xlpm.steps)&gt;2,LEFT(_xlpm.steps,LEN(_xlpm.steps)-2),0)))</f>
        <v>0</v>
      </c>
      <c r="E2810">
        <f>_xlfn.LET(_xlpm.dir,Table13[[#This Row],[Direction]],
IF(_xlpm.dir="L",
    IF(G2809-Table13[[#This Row],[Steps]]&lt;0,100+(G2809-Table13[[#This Row],[Steps]]),G2809-Table13[[#This Row],[Steps]]),
))</f>
        <v>0</v>
      </c>
      <c r="F2810">
        <f>_xlfn.LET(_xlpm.dir,Table13[[#This Row],[Direction]],
IF(_xlpm.dir="R",
    IF(G2809+Table13[[#This Row],[Steps]]&gt;99,(G2809+Table13[[#This Row],[Steps]])-100,G2809+Table13[[#This Row],[Steps]]),
))</f>
        <v>59</v>
      </c>
      <c r="G2810">
        <f>IF(Table13[[#This Row],[New Pos L]]&lt;&gt;0,Table13[[#This Row],[New Pos L]],Table13[[#This Row],[New Pos R]])</f>
        <v>59</v>
      </c>
      <c r="H2810">
        <f>IF(AND(Table13[[#This Row],[Direction]]="L",Table13[[#This Row],[Steps]]&gt;G2809,G2809&lt;&gt;0),1,0)</f>
        <v>0</v>
      </c>
      <c r="I2810">
        <f>IF(AND(Table13[[#This Row],[Direction]]="R",(G2809+Table13[[#This Row],[Steps]])&gt;100),1,0)</f>
        <v>0</v>
      </c>
      <c r="J2810">
        <f>IF(Table13[[#This Row],[POS]]=0,1,0)</f>
        <v>0</v>
      </c>
      <c r="K2810">
        <f>SUM(Table13[[#This Row],[prefix]],Table13[[#This Row],[Past zero L]],Table13[[#This Row],[Past Zero R]],Table13[[#This Row],[Is Zero]])</f>
        <v>0</v>
      </c>
    </row>
    <row r="2811" spans="1:11" ht="16" x14ac:dyDescent="0.2">
      <c r="A2811" s="1" t="s">
        <v>84</v>
      </c>
      <c r="B2811" t="str">
        <f>LEFT(Table13[[#This Row],[Input]],1)</f>
        <v>R</v>
      </c>
      <c r="C2811">
        <f>_xlfn.LET(_xlpm.steps,SUBSTITUTE(Table13[[#This Row],[Input]],Table13[[#This Row],[Direction]],""),VALUE(IF(LEN(_xlpm.steps)&gt;2,RIGHT(_xlpm.steps,2),_xlpm.steps)))</f>
        <v>88</v>
      </c>
      <c r="D2811">
        <f>_xlfn.LET(_xlpm.steps,SUBSTITUTE(Table13[[#This Row],[Input]],Table13[[#This Row],[Direction]],""),VALUE(IF(LEN(_xlpm.steps)&gt;2,LEFT(_xlpm.steps,LEN(_xlpm.steps)-2),0)))</f>
        <v>0</v>
      </c>
      <c r="E2811">
        <f>_xlfn.LET(_xlpm.dir,Table13[[#This Row],[Direction]],
IF(_xlpm.dir="L",
    IF(G2810-Table13[[#This Row],[Steps]]&lt;0,100+(G2810-Table13[[#This Row],[Steps]]),G2810-Table13[[#This Row],[Steps]]),
))</f>
        <v>0</v>
      </c>
      <c r="F2811">
        <f>_xlfn.LET(_xlpm.dir,Table13[[#This Row],[Direction]],
IF(_xlpm.dir="R",
    IF(G2810+Table13[[#This Row],[Steps]]&gt;99,(G2810+Table13[[#This Row],[Steps]])-100,G2810+Table13[[#This Row],[Steps]]),
))</f>
        <v>47</v>
      </c>
      <c r="G2811">
        <f>IF(Table13[[#This Row],[New Pos L]]&lt;&gt;0,Table13[[#This Row],[New Pos L]],Table13[[#This Row],[New Pos R]])</f>
        <v>47</v>
      </c>
      <c r="H2811">
        <f>IF(AND(Table13[[#This Row],[Direction]]="L",Table13[[#This Row],[Steps]]&gt;G2810,G2810&lt;&gt;0),1,0)</f>
        <v>0</v>
      </c>
      <c r="I2811">
        <f>IF(AND(Table13[[#This Row],[Direction]]="R",(G2810+Table13[[#This Row],[Steps]])&gt;100),1,0)</f>
        <v>1</v>
      </c>
      <c r="J2811">
        <f>IF(Table13[[#This Row],[POS]]=0,1,0)</f>
        <v>0</v>
      </c>
      <c r="K2811">
        <f>SUM(Table13[[#This Row],[prefix]],Table13[[#This Row],[Past zero L]],Table13[[#This Row],[Past Zero R]],Table13[[#This Row],[Is Zero]])</f>
        <v>1</v>
      </c>
    </row>
    <row r="2812" spans="1:11" ht="16" x14ac:dyDescent="0.2">
      <c r="A2812" s="1" t="s">
        <v>20</v>
      </c>
      <c r="B2812" t="str">
        <f>LEFT(Table13[[#This Row],[Input]],1)</f>
        <v>R</v>
      </c>
      <c r="C2812">
        <f>_xlfn.LET(_xlpm.steps,SUBSTITUTE(Table13[[#This Row],[Input]],Table13[[#This Row],[Direction]],""),VALUE(IF(LEN(_xlpm.steps)&gt;2,RIGHT(_xlpm.steps,2),_xlpm.steps)))</f>
        <v>46</v>
      </c>
      <c r="D2812">
        <f>_xlfn.LET(_xlpm.steps,SUBSTITUTE(Table13[[#This Row],[Input]],Table13[[#This Row],[Direction]],""),VALUE(IF(LEN(_xlpm.steps)&gt;2,LEFT(_xlpm.steps,LEN(_xlpm.steps)-2),0)))</f>
        <v>0</v>
      </c>
      <c r="E2812">
        <f>_xlfn.LET(_xlpm.dir,Table13[[#This Row],[Direction]],
IF(_xlpm.dir="L",
    IF(G2811-Table13[[#This Row],[Steps]]&lt;0,100+(G2811-Table13[[#This Row],[Steps]]),G2811-Table13[[#This Row],[Steps]]),
))</f>
        <v>0</v>
      </c>
      <c r="F2812">
        <f>_xlfn.LET(_xlpm.dir,Table13[[#This Row],[Direction]],
IF(_xlpm.dir="R",
    IF(G2811+Table13[[#This Row],[Steps]]&gt;99,(G2811+Table13[[#This Row],[Steps]])-100,G2811+Table13[[#This Row],[Steps]]),
))</f>
        <v>93</v>
      </c>
      <c r="G2812">
        <f>IF(Table13[[#This Row],[New Pos L]]&lt;&gt;0,Table13[[#This Row],[New Pos L]],Table13[[#This Row],[New Pos R]])</f>
        <v>93</v>
      </c>
      <c r="H2812">
        <f>IF(AND(Table13[[#This Row],[Direction]]="L",Table13[[#This Row],[Steps]]&gt;G2811,G2811&lt;&gt;0),1,0)</f>
        <v>0</v>
      </c>
      <c r="I2812">
        <f>IF(AND(Table13[[#This Row],[Direction]]="R",(G2811+Table13[[#This Row],[Steps]])&gt;100),1,0)</f>
        <v>0</v>
      </c>
      <c r="J2812">
        <f>IF(Table13[[#This Row],[POS]]=0,1,0)</f>
        <v>0</v>
      </c>
      <c r="K2812">
        <f>SUM(Table13[[#This Row],[prefix]],Table13[[#This Row],[Past zero L]],Table13[[#This Row],[Past Zero R]],Table13[[#This Row],[Is Zero]])</f>
        <v>0</v>
      </c>
    </row>
    <row r="2813" spans="1:11" ht="16" x14ac:dyDescent="0.2">
      <c r="A2813" s="1" t="s">
        <v>4</v>
      </c>
      <c r="B2813" t="str">
        <f>LEFT(Table13[[#This Row],[Input]],1)</f>
        <v>R</v>
      </c>
      <c r="C2813">
        <f>_xlfn.LET(_xlpm.steps,SUBSTITUTE(Table13[[#This Row],[Input]],Table13[[#This Row],[Direction]],""),VALUE(IF(LEN(_xlpm.steps)&gt;2,RIGHT(_xlpm.steps,2),_xlpm.steps)))</f>
        <v>3</v>
      </c>
      <c r="D2813">
        <f>_xlfn.LET(_xlpm.steps,SUBSTITUTE(Table13[[#This Row],[Input]],Table13[[#This Row],[Direction]],""),VALUE(IF(LEN(_xlpm.steps)&gt;2,LEFT(_xlpm.steps,LEN(_xlpm.steps)-2),0)))</f>
        <v>0</v>
      </c>
      <c r="E2813">
        <f>_xlfn.LET(_xlpm.dir,Table13[[#This Row],[Direction]],
IF(_xlpm.dir="L",
    IF(G2812-Table13[[#This Row],[Steps]]&lt;0,100+(G2812-Table13[[#This Row],[Steps]]),G2812-Table13[[#This Row],[Steps]]),
))</f>
        <v>0</v>
      </c>
      <c r="F2813">
        <f>_xlfn.LET(_xlpm.dir,Table13[[#This Row],[Direction]],
IF(_xlpm.dir="R",
    IF(G2812+Table13[[#This Row],[Steps]]&gt;99,(G2812+Table13[[#This Row],[Steps]])-100,G2812+Table13[[#This Row],[Steps]]),
))</f>
        <v>96</v>
      </c>
      <c r="G2813">
        <f>IF(Table13[[#This Row],[New Pos L]]&lt;&gt;0,Table13[[#This Row],[New Pos L]],Table13[[#This Row],[New Pos R]])</f>
        <v>96</v>
      </c>
      <c r="H2813">
        <f>IF(AND(Table13[[#This Row],[Direction]]="L",Table13[[#This Row],[Steps]]&gt;G2812,G2812&lt;&gt;0),1,0)</f>
        <v>0</v>
      </c>
      <c r="I2813">
        <f>IF(AND(Table13[[#This Row],[Direction]]="R",(G2812+Table13[[#This Row],[Steps]])&gt;100),1,0)</f>
        <v>0</v>
      </c>
      <c r="J2813">
        <f>IF(Table13[[#This Row],[POS]]=0,1,0)</f>
        <v>0</v>
      </c>
      <c r="K2813">
        <f>SUM(Table13[[#This Row],[prefix]],Table13[[#This Row],[Past zero L]],Table13[[#This Row],[Past Zero R]],Table13[[#This Row],[Is Zero]])</f>
        <v>0</v>
      </c>
    </row>
    <row r="2814" spans="1:11" ht="16" x14ac:dyDescent="0.2">
      <c r="A2814" s="1" t="s">
        <v>363</v>
      </c>
      <c r="B2814" t="str">
        <f>LEFT(Table13[[#This Row],[Input]],1)</f>
        <v>R</v>
      </c>
      <c r="C2814">
        <f>_xlfn.LET(_xlpm.steps,SUBSTITUTE(Table13[[#This Row],[Input]],Table13[[#This Row],[Direction]],""),VALUE(IF(LEN(_xlpm.steps)&gt;2,RIGHT(_xlpm.steps,2),_xlpm.steps)))</f>
        <v>63</v>
      </c>
      <c r="D2814">
        <f>_xlfn.LET(_xlpm.steps,SUBSTITUTE(Table13[[#This Row],[Input]],Table13[[#This Row],[Direction]],""),VALUE(IF(LEN(_xlpm.steps)&gt;2,LEFT(_xlpm.steps,LEN(_xlpm.steps)-2),0)))</f>
        <v>0</v>
      </c>
      <c r="E2814">
        <f>_xlfn.LET(_xlpm.dir,Table13[[#This Row],[Direction]],
IF(_xlpm.dir="L",
    IF(G2813-Table13[[#This Row],[Steps]]&lt;0,100+(G2813-Table13[[#This Row],[Steps]]),G2813-Table13[[#This Row],[Steps]]),
))</f>
        <v>0</v>
      </c>
      <c r="F2814">
        <f>_xlfn.LET(_xlpm.dir,Table13[[#This Row],[Direction]],
IF(_xlpm.dir="R",
    IF(G2813+Table13[[#This Row],[Steps]]&gt;99,(G2813+Table13[[#This Row],[Steps]])-100,G2813+Table13[[#This Row],[Steps]]),
))</f>
        <v>59</v>
      </c>
      <c r="G2814">
        <f>IF(Table13[[#This Row],[New Pos L]]&lt;&gt;0,Table13[[#This Row],[New Pos L]],Table13[[#This Row],[New Pos R]])</f>
        <v>59</v>
      </c>
      <c r="H2814">
        <f>IF(AND(Table13[[#This Row],[Direction]]="L",Table13[[#This Row],[Steps]]&gt;G2813,G2813&lt;&gt;0),1,0)</f>
        <v>0</v>
      </c>
      <c r="I2814">
        <f>IF(AND(Table13[[#This Row],[Direction]]="R",(G2813+Table13[[#This Row],[Steps]])&gt;100),1,0)</f>
        <v>1</v>
      </c>
      <c r="J2814">
        <f>IF(Table13[[#This Row],[POS]]=0,1,0)</f>
        <v>0</v>
      </c>
      <c r="K2814">
        <f>SUM(Table13[[#This Row],[prefix]],Table13[[#This Row],[Past zero L]],Table13[[#This Row],[Past Zero R]],Table13[[#This Row],[Is Zero]])</f>
        <v>1</v>
      </c>
    </row>
    <row r="2815" spans="1:11" ht="16" x14ac:dyDescent="0.2">
      <c r="A2815" s="1" t="s">
        <v>102</v>
      </c>
      <c r="B2815" t="str">
        <f>LEFT(Table13[[#This Row],[Input]],1)</f>
        <v>R</v>
      </c>
      <c r="C2815">
        <f>_xlfn.LET(_xlpm.steps,SUBSTITUTE(Table13[[#This Row],[Input]],Table13[[#This Row],[Direction]],""),VALUE(IF(LEN(_xlpm.steps)&gt;2,RIGHT(_xlpm.steps,2),_xlpm.steps)))</f>
        <v>39</v>
      </c>
      <c r="D2815">
        <f>_xlfn.LET(_xlpm.steps,SUBSTITUTE(Table13[[#This Row],[Input]],Table13[[#This Row],[Direction]],""),VALUE(IF(LEN(_xlpm.steps)&gt;2,LEFT(_xlpm.steps,LEN(_xlpm.steps)-2),0)))</f>
        <v>0</v>
      </c>
      <c r="E2815">
        <f>_xlfn.LET(_xlpm.dir,Table13[[#This Row],[Direction]],
IF(_xlpm.dir="L",
    IF(G2814-Table13[[#This Row],[Steps]]&lt;0,100+(G2814-Table13[[#This Row],[Steps]]),G2814-Table13[[#This Row],[Steps]]),
))</f>
        <v>0</v>
      </c>
      <c r="F2815">
        <f>_xlfn.LET(_xlpm.dir,Table13[[#This Row],[Direction]],
IF(_xlpm.dir="R",
    IF(G2814+Table13[[#This Row],[Steps]]&gt;99,(G2814+Table13[[#This Row],[Steps]])-100,G2814+Table13[[#This Row],[Steps]]),
))</f>
        <v>98</v>
      </c>
      <c r="G2815">
        <f>IF(Table13[[#This Row],[New Pos L]]&lt;&gt;0,Table13[[#This Row],[New Pos L]],Table13[[#This Row],[New Pos R]])</f>
        <v>98</v>
      </c>
      <c r="H2815">
        <f>IF(AND(Table13[[#This Row],[Direction]]="L",Table13[[#This Row],[Steps]]&gt;G2814,G2814&lt;&gt;0),1,0)</f>
        <v>0</v>
      </c>
      <c r="I2815">
        <f>IF(AND(Table13[[#This Row],[Direction]]="R",(G2814+Table13[[#This Row],[Steps]])&gt;100),1,0)</f>
        <v>0</v>
      </c>
      <c r="J2815">
        <f>IF(Table13[[#This Row],[POS]]=0,1,0)</f>
        <v>0</v>
      </c>
      <c r="K2815">
        <f>SUM(Table13[[#This Row],[prefix]],Table13[[#This Row],[Past zero L]],Table13[[#This Row],[Past Zero R]],Table13[[#This Row],[Is Zero]])</f>
        <v>0</v>
      </c>
    </row>
    <row r="2816" spans="1:11" ht="16" x14ac:dyDescent="0.2">
      <c r="A2816" s="1" t="s">
        <v>69</v>
      </c>
      <c r="B2816" t="str">
        <f>LEFT(Table13[[#This Row],[Input]],1)</f>
        <v>R</v>
      </c>
      <c r="C2816">
        <f>_xlfn.LET(_xlpm.steps,SUBSTITUTE(Table13[[#This Row],[Input]],Table13[[#This Row],[Direction]],""),VALUE(IF(LEN(_xlpm.steps)&gt;2,RIGHT(_xlpm.steps,2),_xlpm.steps)))</f>
        <v>27</v>
      </c>
      <c r="D2816">
        <f>_xlfn.LET(_xlpm.steps,SUBSTITUTE(Table13[[#This Row],[Input]],Table13[[#This Row],[Direction]],""),VALUE(IF(LEN(_xlpm.steps)&gt;2,LEFT(_xlpm.steps,LEN(_xlpm.steps)-2),0)))</f>
        <v>0</v>
      </c>
      <c r="E2816">
        <f>_xlfn.LET(_xlpm.dir,Table13[[#This Row],[Direction]],
IF(_xlpm.dir="L",
    IF(G2815-Table13[[#This Row],[Steps]]&lt;0,100+(G2815-Table13[[#This Row],[Steps]]),G2815-Table13[[#This Row],[Steps]]),
))</f>
        <v>0</v>
      </c>
      <c r="F2816">
        <f>_xlfn.LET(_xlpm.dir,Table13[[#This Row],[Direction]],
IF(_xlpm.dir="R",
    IF(G2815+Table13[[#This Row],[Steps]]&gt;99,(G2815+Table13[[#This Row],[Steps]])-100,G2815+Table13[[#This Row],[Steps]]),
))</f>
        <v>25</v>
      </c>
      <c r="G2816">
        <f>IF(Table13[[#This Row],[New Pos L]]&lt;&gt;0,Table13[[#This Row],[New Pos L]],Table13[[#This Row],[New Pos R]])</f>
        <v>25</v>
      </c>
      <c r="H2816">
        <f>IF(AND(Table13[[#This Row],[Direction]]="L",Table13[[#This Row],[Steps]]&gt;G2815,G2815&lt;&gt;0),1,0)</f>
        <v>0</v>
      </c>
      <c r="I2816">
        <f>IF(AND(Table13[[#This Row],[Direction]]="R",(G2815+Table13[[#This Row],[Steps]])&gt;100),1,0)</f>
        <v>1</v>
      </c>
      <c r="J2816">
        <f>IF(Table13[[#This Row],[POS]]=0,1,0)</f>
        <v>0</v>
      </c>
      <c r="K2816">
        <f>SUM(Table13[[#This Row],[prefix]],Table13[[#This Row],[Past zero L]],Table13[[#This Row],[Past Zero R]],Table13[[#This Row],[Is Zero]])</f>
        <v>1</v>
      </c>
    </row>
    <row r="2817" spans="1:11" ht="16" x14ac:dyDescent="0.2">
      <c r="A2817" s="1" t="s">
        <v>122</v>
      </c>
      <c r="B2817" t="str">
        <f>LEFT(Table13[[#This Row],[Input]],1)</f>
        <v>R</v>
      </c>
      <c r="C2817">
        <f>_xlfn.LET(_xlpm.steps,SUBSTITUTE(Table13[[#This Row],[Input]],Table13[[#This Row],[Direction]],""),VALUE(IF(LEN(_xlpm.steps)&gt;2,RIGHT(_xlpm.steps,2),_xlpm.steps)))</f>
        <v>75</v>
      </c>
      <c r="D2817">
        <f>_xlfn.LET(_xlpm.steps,SUBSTITUTE(Table13[[#This Row],[Input]],Table13[[#This Row],[Direction]],""),VALUE(IF(LEN(_xlpm.steps)&gt;2,LEFT(_xlpm.steps,LEN(_xlpm.steps)-2),0)))</f>
        <v>0</v>
      </c>
      <c r="E2817">
        <f>_xlfn.LET(_xlpm.dir,Table13[[#This Row],[Direction]],
IF(_xlpm.dir="L",
    IF(G2816-Table13[[#This Row],[Steps]]&lt;0,100+(G2816-Table13[[#This Row],[Steps]]),G2816-Table13[[#This Row],[Steps]]),
))</f>
        <v>0</v>
      </c>
      <c r="F2817">
        <f>_xlfn.LET(_xlpm.dir,Table13[[#This Row],[Direction]],
IF(_xlpm.dir="R",
    IF(G2816+Table13[[#This Row],[Steps]]&gt;99,(G2816+Table13[[#This Row],[Steps]])-100,G2816+Table13[[#This Row],[Steps]]),
))</f>
        <v>0</v>
      </c>
      <c r="G2817">
        <f>IF(Table13[[#This Row],[New Pos L]]&lt;&gt;0,Table13[[#This Row],[New Pos L]],Table13[[#This Row],[New Pos R]])</f>
        <v>0</v>
      </c>
      <c r="H2817">
        <f>IF(AND(Table13[[#This Row],[Direction]]="L",Table13[[#This Row],[Steps]]&gt;G2816,G2816&lt;&gt;0),1,0)</f>
        <v>0</v>
      </c>
      <c r="I2817">
        <f>IF(AND(Table13[[#This Row],[Direction]]="R",(G2816+Table13[[#This Row],[Steps]])&gt;100),1,0)</f>
        <v>0</v>
      </c>
      <c r="J2817">
        <f>IF(Table13[[#This Row],[POS]]=0,1,0)</f>
        <v>1</v>
      </c>
      <c r="K2817">
        <f>SUM(Table13[[#This Row],[prefix]],Table13[[#This Row],[Past zero L]],Table13[[#This Row],[Past Zero R]],Table13[[#This Row],[Is Zero]])</f>
        <v>1</v>
      </c>
    </row>
    <row r="2818" spans="1:11" ht="16" x14ac:dyDescent="0.2">
      <c r="A2818" s="1" t="s">
        <v>140</v>
      </c>
      <c r="B2818" t="str">
        <f>LEFT(Table13[[#This Row],[Input]],1)</f>
        <v>L</v>
      </c>
      <c r="C2818">
        <f>_xlfn.LET(_xlpm.steps,SUBSTITUTE(Table13[[#This Row],[Input]],Table13[[#This Row],[Direction]],""),VALUE(IF(LEN(_xlpm.steps)&gt;2,RIGHT(_xlpm.steps,2),_xlpm.steps)))</f>
        <v>61</v>
      </c>
      <c r="D2818">
        <f>_xlfn.LET(_xlpm.steps,SUBSTITUTE(Table13[[#This Row],[Input]],Table13[[#This Row],[Direction]],""),VALUE(IF(LEN(_xlpm.steps)&gt;2,LEFT(_xlpm.steps,LEN(_xlpm.steps)-2),0)))</f>
        <v>0</v>
      </c>
      <c r="E2818">
        <f>_xlfn.LET(_xlpm.dir,Table13[[#This Row],[Direction]],
IF(_xlpm.dir="L",
    IF(G2817-Table13[[#This Row],[Steps]]&lt;0,100+(G2817-Table13[[#This Row],[Steps]]),G2817-Table13[[#This Row],[Steps]]),
))</f>
        <v>39</v>
      </c>
      <c r="F2818">
        <f>_xlfn.LET(_xlpm.dir,Table13[[#This Row],[Direction]],
IF(_xlpm.dir="R",
    IF(G2817+Table13[[#This Row],[Steps]]&gt;99,(G2817+Table13[[#This Row],[Steps]])-100,G2817+Table13[[#This Row],[Steps]]),
))</f>
        <v>0</v>
      </c>
      <c r="G2818">
        <f>IF(Table13[[#This Row],[New Pos L]]&lt;&gt;0,Table13[[#This Row],[New Pos L]],Table13[[#This Row],[New Pos R]])</f>
        <v>39</v>
      </c>
      <c r="H2818">
        <f>IF(AND(Table13[[#This Row],[Direction]]="L",Table13[[#This Row],[Steps]]&gt;G2817,G2817&lt;&gt;0),1,0)</f>
        <v>0</v>
      </c>
      <c r="I2818">
        <f>IF(AND(Table13[[#This Row],[Direction]]="R",(G2817+Table13[[#This Row],[Steps]])&gt;100),1,0)</f>
        <v>0</v>
      </c>
      <c r="J2818">
        <f>IF(Table13[[#This Row],[POS]]=0,1,0)</f>
        <v>0</v>
      </c>
      <c r="K2818">
        <f>SUM(Table13[[#This Row],[prefix]],Table13[[#This Row],[Past zero L]],Table13[[#This Row],[Past Zero R]],Table13[[#This Row],[Is Zero]])</f>
        <v>0</v>
      </c>
    </row>
    <row r="2819" spans="1:11" ht="16" x14ac:dyDescent="0.2">
      <c r="A2819" s="1" t="s">
        <v>139</v>
      </c>
      <c r="B2819" t="str">
        <f>LEFT(Table13[[#This Row],[Input]],1)</f>
        <v>R</v>
      </c>
      <c r="C2819">
        <f>_xlfn.LET(_xlpm.steps,SUBSTITUTE(Table13[[#This Row],[Input]],Table13[[#This Row],[Direction]],""),VALUE(IF(LEN(_xlpm.steps)&gt;2,RIGHT(_xlpm.steps,2),_xlpm.steps)))</f>
        <v>38</v>
      </c>
      <c r="D2819">
        <f>_xlfn.LET(_xlpm.steps,SUBSTITUTE(Table13[[#This Row],[Input]],Table13[[#This Row],[Direction]],""),VALUE(IF(LEN(_xlpm.steps)&gt;2,LEFT(_xlpm.steps,LEN(_xlpm.steps)-2),0)))</f>
        <v>0</v>
      </c>
      <c r="E2819">
        <f>_xlfn.LET(_xlpm.dir,Table13[[#This Row],[Direction]],
IF(_xlpm.dir="L",
    IF(G2818-Table13[[#This Row],[Steps]]&lt;0,100+(G2818-Table13[[#This Row],[Steps]]),G2818-Table13[[#This Row],[Steps]]),
))</f>
        <v>0</v>
      </c>
      <c r="F2819">
        <f>_xlfn.LET(_xlpm.dir,Table13[[#This Row],[Direction]],
IF(_xlpm.dir="R",
    IF(G2818+Table13[[#This Row],[Steps]]&gt;99,(G2818+Table13[[#This Row],[Steps]])-100,G2818+Table13[[#This Row],[Steps]]),
))</f>
        <v>77</v>
      </c>
      <c r="G2819">
        <f>IF(Table13[[#This Row],[New Pos L]]&lt;&gt;0,Table13[[#This Row],[New Pos L]],Table13[[#This Row],[New Pos R]])</f>
        <v>77</v>
      </c>
      <c r="H2819">
        <f>IF(AND(Table13[[#This Row],[Direction]]="L",Table13[[#This Row],[Steps]]&gt;G2818,G2818&lt;&gt;0),1,0)</f>
        <v>0</v>
      </c>
      <c r="I2819">
        <f>IF(AND(Table13[[#This Row],[Direction]]="R",(G2818+Table13[[#This Row],[Steps]])&gt;100),1,0)</f>
        <v>0</v>
      </c>
      <c r="J2819">
        <f>IF(Table13[[#This Row],[POS]]=0,1,0)</f>
        <v>0</v>
      </c>
      <c r="K2819">
        <f>SUM(Table13[[#This Row],[prefix]],Table13[[#This Row],[Past zero L]],Table13[[#This Row],[Past Zero R]],Table13[[#This Row],[Is Zero]])</f>
        <v>0</v>
      </c>
    </row>
    <row r="2820" spans="1:11" ht="16" x14ac:dyDescent="0.2">
      <c r="A2820" s="1" t="s">
        <v>9</v>
      </c>
      <c r="B2820" t="str">
        <f>LEFT(Table13[[#This Row],[Input]],1)</f>
        <v>L</v>
      </c>
      <c r="C2820">
        <f>_xlfn.LET(_xlpm.steps,SUBSTITUTE(Table13[[#This Row],[Input]],Table13[[#This Row],[Direction]],""),VALUE(IF(LEN(_xlpm.steps)&gt;2,RIGHT(_xlpm.steps,2),_xlpm.steps)))</f>
        <v>9</v>
      </c>
      <c r="D2820">
        <f>_xlfn.LET(_xlpm.steps,SUBSTITUTE(Table13[[#This Row],[Input]],Table13[[#This Row],[Direction]],""),VALUE(IF(LEN(_xlpm.steps)&gt;2,LEFT(_xlpm.steps,LEN(_xlpm.steps)-2),0)))</f>
        <v>0</v>
      </c>
      <c r="E2820">
        <f>_xlfn.LET(_xlpm.dir,Table13[[#This Row],[Direction]],
IF(_xlpm.dir="L",
    IF(G2819-Table13[[#This Row],[Steps]]&lt;0,100+(G2819-Table13[[#This Row],[Steps]]),G2819-Table13[[#This Row],[Steps]]),
))</f>
        <v>68</v>
      </c>
      <c r="F2820">
        <f>_xlfn.LET(_xlpm.dir,Table13[[#This Row],[Direction]],
IF(_xlpm.dir="R",
    IF(G2819+Table13[[#This Row],[Steps]]&gt;99,(G2819+Table13[[#This Row],[Steps]])-100,G2819+Table13[[#This Row],[Steps]]),
))</f>
        <v>0</v>
      </c>
      <c r="G2820">
        <f>IF(Table13[[#This Row],[New Pos L]]&lt;&gt;0,Table13[[#This Row],[New Pos L]],Table13[[#This Row],[New Pos R]])</f>
        <v>68</v>
      </c>
      <c r="H2820">
        <f>IF(AND(Table13[[#This Row],[Direction]]="L",Table13[[#This Row],[Steps]]&gt;G2819,G2819&lt;&gt;0),1,0)</f>
        <v>0</v>
      </c>
      <c r="I2820">
        <f>IF(AND(Table13[[#This Row],[Direction]]="R",(G2819+Table13[[#This Row],[Steps]])&gt;100),1,0)</f>
        <v>0</v>
      </c>
      <c r="J2820">
        <f>IF(Table13[[#This Row],[POS]]=0,1,0)</f>
        <v>0</v>
      </c>
      <c r="K2820">
        <f>SUM(Table13[[#This Row],[prefix]],Table13[[#This Row],[Past zero L]],Table13[[#This Row],[Past Zero R]],Table13[[#This Row],[Is Zero]])</f>
        <v>0</v>
      </c>
    </row>
    <row r="2821" spans="1:11" ht="16" x14ac:dyDescent="0.2">
      <c r="A2821" s="1" t="s">
        <v>201</v>
      </c>
      <c r="B2821" t="str">
        <f>LEFT(Table13[[#This Row],[Input]],1)</f>
        <v>R</v>
      </c>
      <c r="C2821">
        <f>_xlfn.LET(_xlpm.steps,SUBSTITUTE(Table13[[#This Row],[Input]],Table13[[#This Row],[Direction]],""),VALUE(IF(LEN(_xlpm.steps)&gt;2,RIGHT(_xlpm.steps,2),_xlpm.steps)))</f>
        <v>31</v>
      </c>
      <c r="D2821">
        <f>_xlfn.LET(_xlpm.steps,SUBSTITUTE(Table13[[#This Row],[Input]],Table13[[#This Row],[Direction]],""),VALUE(IF(LEN(_xlpm.steps)&gt;2,LEFT(_xlpm.steps,LEN(_xlpm.steps)-2),0)))</f>
        <v>0</v>
      </c>
      <c r="E2821">
        <f>_xlfn.LET(_xlpm.dir,Table13[[#This Row],[Direction]],
IF(_xlpm.dir="L",
    IF(G2820-Table13[[#This Row],[Steps]]&lt;0,100+(G2820-Table13[[#This Row],[Steps]]),G2820-Table13[[#This Row],[Steps]]),
))</f>
        <v>0</v>
      </c>
      <c r="F2821">
        <f>_xlfn.LET(_xlpm.dir,Table13[[#This Row],[Direction]],
IF(_xlpm.dir="R",
    IF(G2820+Table13[[#This Row],[Steps]]&gt;99,(G2820+Table13[[#This Row],[Steps]])-100,G2820+Table13[[#This Row],[Steps]]),
))</f>
        <v>99</v>
      </c>
      <c r="G2821">
        <f>IF(Table13[[#This Row],[New Pos L]]&lt;&gt;0,Table13[[#This Row],[New Pos L]],Table13[[#This Row],[New Pos R]])</f>
        <v>99</v>
      </c>
      <c r="H2821">
        <f>IF(AND(Table13[[#This Row],[Direction]]="L",Table13[[#This Row],[Steps]]&gt;G2820,G2820&lt;&gt;0),1,0)</f>
        <v>0</v>
      </c>
      <c r="I2821">
        <f>IF(AND(Table13[[#This Row],[Direction]]="R",(G2820+Table13[[#This Row],[Steps]])&gt;100),1,0)</f>
        <v>0</v>
      </c>
      <c r="J2821">
        <f>IF(Table13[[#This Row],[POS]]=0,1,0)</f>
        <v>0</v>
      </c>
      <c r="K2821">
        <f>SUM(Table13[[#This Row],[prefix]],Table13[[#This Row],[Past zero L]],Table13[[#This Row],[Past Zero R]],Table13[[#This Row],[Is Zero]])</f>
        <v>0</v>
      </c>
    </row>
    <row r="2822" spans="1:11" ht="16" x14ac:dyDescent="0.2">
      <c r="A2822" s="1" t="s">
        <v>23</v>
      </c>
      <c r="B2822" t="str">
        <f>LEFT(Table13[[#This Row],[Input]],1)</f>
        <v>L</v>
      </c>
      <c r="C2822">
        <f>_xlfn.LET(_xlpm.steps,SUBSTITUTE(Table13[[#This Row],[Input]],Table13[[#This Row],[Direction]],""),VALUE(IF(LEN(_xlpm.steps)&gt;2,RIGHT(_xlpm.steps,2),_xlpm.steps)))</f>
        <v>8</v>
      </c>
      <c r="D2822">
        <f>_xlfn.LET(_xlpm.steps,SUBSTITUTE(Table13[[#This Row],[Input]],Table13[[#This Row],[Direction]],""),VALUE(IF(LEN(_xlpm.steps)&gt;2,LEFT(_xlpm.steps,LEN(_xlpm.steps)-2),0)))</f>
        <v>0</v>
      </c>
      <c r="E2822">
        <f>_xlfn.LET(_xlpm.dir,Table13[[#This Row],[Direction]],
IF(_xlpm.dir="L",
    IF(G2821-Table13[[#This Row],[Steps]]&lt;0,100+(G2821-Table13[[#This Row],[Steps]]),G2821-Table13[[#This Row],[Steps]]),
))</f>
        <v>91</v>
      </c>
      <c r="F2822">
        <f>_xlfn.LET(_xlpm.dir,Table13[[#This Row],[Direction]],
IF(_xlpm.dir="R",
    IF(G2821+Table13[[#This Row],[Steps]]&gt;99,(G2821+Table13[[#This Row],[Steps]])-100,G2821+Table13[[#This Row],[Steps]]),
))</f>
        <v>0</v>
      </c>
      <c r="G2822">
        <f>IF(Table13[[#This Row],[New Pos L]]&lt;&gt;0,Table13[[#This Row],[New Pos L]],Table13[[#This Row],[New Pos R]])</f>
        <v>91</v>
      </c>
      <c r="H2822">
        <f>IF(AND(Table13[[#This Row],[Direction]]="L",Table13[[#This Row],[Steps]]&gt;G2821,G2821&lt;&gt;0),1,0)</f>
        <v>0</v>
      </c>
      <c r="I2822">
        <f>IF(AND(Table13[[#This Row],[Direction]]="R",(G2821+Table13[[#This Row],[Steps]])&gt;100),1,0)</f>
        <v>0</v>
      </c>
      <c r="J2822">
        <f>IF(Table13[[#This Row],[POS]]=0,1,0)</f>
        <v>0</v>
      </c>
      <c r="K2822">
        <f>SUM(Table13[[#This Row],[prefix]],Table13[[#This Row],[Past zero L]],Table13[[#This Row],[Past Zero R]],Table13[[#This Row],[Is Zero]])</f>
        <v>0</v>
      </c>
    </row>
    <row r="2823" spans="1:11" ht="16" x14ac:dyDescent="0.2">
      <c r="A2823" s="1" t="s">
        <v>89</v>
      </c>
      <c r="B2823" t="str">
        <f>LEFT(Table13[[#This Row],[Input]],1)</f>
        <v>L</v>
      </c>
      <c r="C2823">
        <f>_xlfn.LET(_xlpm.steps,SUBSTITUTE(Table13[[#This Row],[Input]],Table13[[#This Row],[Direction]],""),VALUE(IF(LEN(_xlpm.steps)&gt;2,RIGHT(_xlpm.steps,2),_xlpm.steps)))</f>
        <v>91</v>
      </c>
      <c r="D2823">
        <f>_xlfn.LET(_xlpm.steps,SUBSTITUTE(Table13[[#This Row],[Input]],Table13[[#This Row],[Direction]],""),VALUE(IF(LEN(_xlpm.steps)&gt;2,LEFT(_xlpm.steps,LEN(_xlpm.steps)-2),0)))</f>
        <v>0</v>
      </c>
      <c r="E2823">
        <f>_xlfn.LET(_xlpm.dir,Table13[[#This Row],[Direction]],
IF(_xlpm.dir="L",
    IF(G2822-Table13[[#This Row],[Steps]]&lt;0,100+(G2822-Table13[[#This Row],[Steps]]),G2822-Table13[[#This Row],[Steps]]),
))</f>
        <v>0</v>
      </c>
      <c r="F2823">
        <f>_xlfn.LET(_xlpm.dir,Table13[[#This Row],[Direction]],
IF(_xlpm.dir="R",
    IF(G2822+Table13[[#This Row],[Steps]]&gt;99,(G2822+Table13[[#This Row],[Steps]])-100,G2822+Table13[[#This Row],[Steps]]),
))</f>
        <v>0</v>
      </c>
      <c r="G2823">
        <f>IF(Table13[[#This Row],[New Pos L]]&lt;&gt;0,Table13[[#This Row],[New Pos L]],Table13[[#This Row],[New Pos R]])</f>
        <v>0</v>
      </c>
      <c r="H2823">
        <f>IF(AND(Table13[[#This Row],[Direction]]="L",Table13[[#This Row],[Steps]]&gt;G2822,G2822&lt;&gt;0),1,0)</f>
        <v>0</v>
      </c>
      <c r="I2823">
        <f>IF(AND(Table13[[#This Row],[Direction]]="R",(G2822+Table13[[#This Row],[Steps]])&gt;100),1,0)</f>
        <v>0</v>
      </c>
      <c r="J2823">
        <f>IF(Table13[[#This Row],[POS]]=0,1,0)</f>
        <v>1</v>
      </c>
      <c r="K2823">
        <f>SUM(Table13[[#This Row],[prefix]],Table13[[#This Row],[Past zero L]],Table13[[#This Row],[Past Zero R]],Table13[[#This Row],[Is Zero]])</f>
        <v>1</v>
      </c>
    </row>
    <row r="2824" spans="1:11" ht="16" x14ac:dyDescent="0.2">
      <c r="A2824" s="1" t="s">
        <v>82</v>
      </c>
      <c r="B2824" t="str">
        <f>LEFT(Table13[[#This Row],[Input]],1)</f>
        <v>L</v>
      </c>
      <c r="C2824">
        <f>_xlfn.LET(_xlpm.steps,SUBSTITUTE(Table13[[#This Row],[Input]],Table13[[#This Row],[Direction]],""),VALUE(IF(LEN(_xlpm.steps)&gt;2,RIGHT(_xlpm.steps,2),_xlpm.steps)))</f>
        <v>55</v>
      </c>
      <c r="D2824">
        <f>_xlfn.LET(_xlpm.steps,SUBSTITUTE(Table13[[#This Row],[Input]],Table13[[#This Row],[Direction]],""),VALUE(IF(LEN(_xlpm.steps)&gt;2,LEFT(_xlpm.steps,LEN(_xlpm.steps)-2),0)))</f>
        <v>0</v>
      </c>
      <c r="E2824">
        <f>_xlfn.LET(_xlpm.dir,Table13[[#This Row],[Direction]],
IF(_xlpm.dir="L",
    IF(G2823-Table13[[#This Row],[Steps]]&lt;0,100+(G2823-Table13[[#This Row],[Steps]]),G2823-Table13[[#This Row],[Steps]]),
))</f>
        <v>45</v>
      </c>
      <c r="F2824">
        <f>_xlfn.LET(_xlpm.dir,Table13[[#This Row],[Direction]],
IF(_xlpm.dir="R",
    IF(G2823+Table13[[#This Row],[Steps]]&gt;99,(G2823+Table13[[#This Row],[Steps]])-100,G2823+Table13[[#This Row],[Steps]]),
))</f>
        <v>0</v>
      </c>
      <c r="G2824">
        <f>IF(Table13[[#This Row],[New Pos L]]&lt;&gt;0,Table13[[#This Row],[New Pos L]],Table13[[#This Row],[New Pos R]])</f>
        <v>45</v>
      </c>
      <c r="H2824">
        <f>IF(AND(Table13[[#This Row],[Direction]]="L",Table13[[#This Row],[Steps]]&gt;G2823,G2823&lt;&gt;0),1,0)</f>
        <v>0</v>
      </c>
      <c r="I2824">
        <f>IF(AND(Table13[[#This Row],[Direction]]="R",(G2823+Table13[[#This Row],[Steps]])&gt;100),1,0)</f>
        <v>0</v>
      </c>
      <c r="J2824">
        <f>IF(Table13[[#This Row],[POS]]=0,1,0)</f>
        <v>0</v>
      </c>
      <c r="K2824">
        <f>SUM(Table13[[#This Row],[prefix]],Table13[[#This Row],[Past zero L]],Table13[[#This Row],[Past Zero R]],Table13[[#This Row],[Is Zero]])</f>
        <v>0</v>
      </c>
    </row>
    <row r="2825" spans="1:11" ht="16" x14ac:dyDescent="0.2">
      <c r="A2825" s="1" t="s">
        <v>664</v>
      </c>
      <c r="B2825" t="str">
        <f>LEFT(Table13[[#This Row],[Input]],1)</f>
        <v>R</v>
      </c>
      <c r="C2825">
        <f>_xlfn.LET(_xlpm.steps,SUBSTITUTE(Table13[[#This Row],[Input]],Table13[[#This Row],[Direction]],""),VALUE(IF(LEN(_xlpm.steps)&gt;2,RIGHT(_xlpm.steps,2),_xlpm.steps)))</f>
        <v>55</v>
      </c>
      <c r="D2825">
        <f>_xlfn.LET(_xlpm.steps,SUBSTITUTE(Table13[[#This Row],[Input]],Table13[[#This Row],[Direction]],""),VALUE(IF(LEN(_xlpm.steps)&gt;2,LEFT(_xlpm.steps,LEN(_xlpm.steps)-2),0)))</f>
        <v>3</v>
      </c>
      <c r="E2825">
        <f>_xlfn.LET(_xlpm.dir,Table13[[#This Row],[Direction]],
IF(_xlpm.dir="L",
    IF(G2824-Table13[[#This Row],[Steps]]&lt;0,100+(G2824-Table13[[#This Row],[Steps]]),G2824-Table13[[#This Row],[Steps]]),
))</f>
        <v>0</v>
      </c>
      <c r="F2825">
        <f>_xlfn.LET(_xlpm.dir,Table13[[#This Row],[Direction]],
IF(_xlpm.dir="R",
    IF(G2824+Table13[[#This Row],[Steps]]&gt;99,(G2824+Table13[[#This Row],[Steps]])-100,G2824+Table13[[#This Row],[Steps]]),
))</f>
        <v>0</v>
      </c>
      <c r="G2825">
        <f>IF(Table13[[#This Row],[New Pos L]]&lt;&gt;0,Table13[[#This Row],[New Pos L]],Table13[[#This Row],[New Pos R]])</f>
        <v>0</v>
      </c>
      <c r="H2825">
        <f>IF(AND(Table13[[#This Row],[Direction]]="L",Table13[[#This Row],[Steps]]&gt;G2824,G2824&lt;&gt;0),1,0)</f>
        <v>0</v>
      </c>
      <c r="I2825">
        <f>IF(AND(Table13[[#This Row],[Direction]]="R",(G2824+Table13[[#This Row],[Steps]])&gt;100),1,0)</f>
        <v>0</v>
      </c>
      <c r="J2825">
        <f>IF(Table13[[#This Row],[POS]]=0,1,0)</f>
        <v>1</v>
      </c>
      <c r="K2825">
        <f>SUM(Table13[[#This Row],[prefix]],Table13[[#This Row],[Past zero L]],Table13[[#This Row],[Past Zero R]],Table13[[#This Row],[Is Zero]])</f>
        <v>4</v>
      </c>
    </row>
    <row r="2826" spans="1:11" ht="16" x14ac:dyDescent="0.2">
      <c r="A2826" s="1" t="s">
        <v>254</v>
      </c>
      <c r="B2826" t="str">
        <f>LEFT(Table13[[#This Row],[Input]],1)</f>
        <v>R</v>
      </c>
      <c r="C2826">
        <f>_xlfn.LET(_xlpm.steps,SUBSTITUTE(Table13[[#This Row],[Input]],Table13[[#This Row],[Direction]],""),VALUE(IF(LEN(_xlpm.steps)&gt;2,RIGHT(_xlpm.steps,2),_xlpm.steps)))</f>
        <v>84</v>
      </c>
      <c r="D2826">
        <f>_xlfn.LET(_xlpm.steps,SUBSTITUTE(Table13[[#This Row],[Input]],Table13[[#This Row],[Direction]],""),VALUE(IF(LEN(_xlpm.steps)&gt;2,LEFT(_xlpm.steps,LEN(_xlpm.steps)-2),0)))</f>
        <v>0</v>
      </c>
      <c r="E2826">
        <f>_xlfn.LET(_xlpm.dir,Table13[[#This Row],[Direction]],
IF(_xlpm.dir="L",
    IF(G2825-Table13[[#This Row],[Steps]]&lt;0,100+(G2825-Table13[[#This Row],[Steps]]),G2825-Table13[[#This Row],[Steps]]),
))</f>
        <v>0</v>
      </c>
      <c r="F2826">
        <f>_xlfn.LET(_xlpm.dir,Table13[[#This Row],[Direction]],
IF(_xlpm.dir="R",
    IF(G2825+Table13[[#This Row],[Steps]]&gt;99,(G2825+Table13[[#This Row],[Steps]])-100,G2825+Table13[[#This Row],[Steps]]),
))</f>
        <v>84</v>
      </c>
      <c r="G2826">
        <f>IF(Table13[[#This Row],[New Pos L]]&lt;&gt;0,Table13[[#This Row],[New Pos L]],Table13[[#This Row],[New Pos R]])</f>
        <v>84</v>
      </c>
      <c r="H2826">
        <f>IF(AND(Table13[[#This Row],[Direction]]="L",Table13[[#This Row],[Steps]]&gt;G2825,G2825&lt;&gt;0),1,0)</f>
        <v>0</v>
      </c>
      <c r="I2826">
        <f>IF(AND(Table13[[#This Row],[Direction]]="R",(G2825+Table13[[#This Row],[Steps]])&gt;100),1,0)</f>
        <v>0</v>
      </c>
      <c r="J2826">
        <f>IF(Table13[[#This Row],[POS]]=0,1,0)</f>
        <v>0</v>
      </c>
      <c r="K2826">
        <f>SUM(Table13[[#This Row],[prefix]],Table13[[#This Row],[Past zero L]],Table13[[#This Row],[Past Zero R]],Table13[[#This Row],[Is Zero]])</f>
        <v>0</v>
      </c>
    </row>
    <row r="2827" spans="1:11" ht="16" x14ac:dyDescent="0.2">
      <c r="A2827" s="1" t="s">
        <v>182</v>
      </c>
      <c r="B2827" t="str">
        <f>LEFT(Table13[[#This Row],[Input]],1)</f>
        <v>L</v>
      </c>
      <c r="C2827">
        <f>_xlfn.LET(_xlpm.steps,SUBSTITUTE(Table13[[#This Row],[Input]],Table13[[#This Row],[Direction]],""),VALUE(IF(LEN(_xlpm.steps)&gt;2,RIGHT(_xlpm.steps,2),_xlpm.steps)))</f>
        <v>3</v>
      </c>
      <c r="D2827">
        <f>_xlfn.LET(_xlpm.steps,SUBSTITUTE(Table13[[#This Row],[Input]],Table13[[#This Row],[Direction]],""),VALUE(IF(LEN(_xlpm.steps)&gt;2,LEFT(_xlpm.steps,LEN(_xlpm.steps)-2),0)))</f>
        <v>0</v>
      </c>
      <c r="E2827">
        <f>_xlfn.LET(_xlpm.dir,Table13[[#This Row],[Direction]],
IF(_xlpm.dir="L",
    IF(G2826-Table13[[#This Row],[Steps]]&lt;0,100+(G2826-Table13[[#This Row],[Steps]]),G2826-Table13[[#This Row],[Steps]]),
))</f>
        <v>81</v>
      </c>
      <c r="F2827">
        <f>_xlfn.LET(_xlpm.dir,Table13[[#This Row],[Direction]],
IF(_xlpm.dir="R",
    IF(G2826+Table13[[#This Row],[Steps]]&gt;99,(G2826+Table13[[#This Row],[Steps]])-100,G2826+Table13[[#This Row],[Steps]]),
))</f>
        <v>0</v>
      </c>
      <c r="G2827">
        <f>IF(Table13[[#This Row],[New Pos L]]&lt;&gt;0,Table13[[#This Row],[New Pos L]],Table13[[#This Row],[New Pos R]])</f>
        <v>81</v>
      </c>
      <c r="H2827">
        <f>IF(AND(Table13[[#This Row],[Direction]]="L",Table13[[#This Row],[Steps]]&gt;G2826,G2826&lt;&gt;0),1,0)</f>
        <v>0</v>
      </c>
      <c r="I2827">
        <f>IF(AND(Table13[[#This Row],[Direction]]="R",(G2826+Table13[[#This Row],[Steps]])&gt;100),1,0)</f>
        <v>0</v>
      </c>
      <c r="J2827">
        <f>IF(Table13[[#This Row],[POS]]=0,1,0)</f>
        <v>0</v>
      </c>
      <c r="K2827">
        <f>SUM(Table13[[#This Row],[prefix]],Table13[[#This Row],[Past zero L]],Table13[[#This Row],[Past Zero R]],Table13[[#This Row],[Is Zero]])</f>
        <v>0</v>
      </c>
    </row>
    <row r="2828" spans="1:11" ht="16" x14ac:dyDescent="0.2">
      <c r="A2828" s="1" t="s">
        <v>210</v>
      </c>
      <c r="B2828" t="str">
        <f>LEFT(Table13[[#This Row],[Input]],1)</f>
        <v>R</v>
      </c>
      <c r="C2828">
        <f>_xlfn.LET(_xlpm.steps,SUBSTITUTE(Table13[[#This Row],[Input]],Table13[[#This Row],[Direction]],""),VALUE(IF(LEN(_xlpm.steps)&gt;2,RIGHT(_xlpm.steps,2),_xlpm.steps)))</f>
        <v>89</v>
      </c>
      <c r="D2828">
        <f>_xlfn.LET(_xlpm.steps,SUBSTITUTE(Table13[[#This Row],[Input]],Table13[[#This Row],[Direction]],""),VALUE(IF(LEN(_xlpm.steps)&gt;2,LEFT(_xlpm.steps,LEN(_xlpm.steps)-2),0)))</f>
        <v>0</v>
      </c>
      <c r="E2828">
        <f>_xlfn.LET(_xlpm.dir,Table13[[#This Row],[Direction]],
IF(_xlpm.dir="L",
    IF(G2827-Table13[[#This Row],[Steps]]&lt;0,100+(G2827-Table13[[#This Row],[Steps]]),G2827-Table13[[#This Row],[Steps]]),
))</f>
        <v>0</v>
      </c>
      <c r="F2828">
        <f>_xlfn.LET(_xlpm.dir,Table13[[#This Row],[Direction]],
IF(_xlpm.dir="R",
    IF(G2827+Table13[[#This Row],[Steps]]&gt;99,(G2827+Table13[[#This Row],[Steps]])-100,G2827+Table13[[#This Row],[Steps]]),
))</f>
        <v>70</v>
      </c>
      <c r="G2828">
        <f>IF(Table13[[#This Row],[New Pos L]]&lt;&gt;0,Table13[[#This Row],[New Pos L]],Table13[[#This Row],[New Pos R]])</f>
        <v>70</v>
      </c>
      <c r="H2828">
        <f>IF(AND(Table13[[#This Row],[Direction]]="L",Table13[[#This Row],[Steps]]&gt;G2827,G2827&lt;&gt;0),1,0)</f>
        <v>0</v>
      </c>
      <c r="I2828">
        <f>IF(AND(Table13[[#This Row],[Direction]]="R",(G2827+Table13[[#This Row],[Steps]])&gt;100),1,0)</f>
        <v>1</v>
      </c>
      <c r="J2828">
        <f>IF(Table13[[#This Row],[POS]]=0,1,0)</f>
        <v>0</v>
      </c>
      <c r="K2828">
        <f>SUM(Table13[[#This Row],[prefix]],Table13[[#This Row],[Past zero L]],Table13[[#This Row],[Past Zero R]],Table13[[#This Row],[Is Zero]])</f>
        <v>1</v>
      </c>
    </row>
    <row r="2829" spans="1:11" ht="16" x14ac:dyDescent="0.2">
      <c r="A2829" s="1" t="s">
        <v>125</v>
      </c>
      <c r="B2829" t="str">
        <f>LEFT(Table13[[#This Row],[Input]],1)</f>
        <v>L</v>
      </c>
      <c r="C2829">
        <f>_xlfn.LET(_xlpm.steps,SUBSTITUTE(Table13[[#This Row],[Input]],Table13[[#This Row],[Direction]],""),VALUE(IF(LEN(_xlpm.steps)&gt;2,RIGHT(_xlpm.steps,2),_xlpm.steps)))</f>
        <v>76</v>
      </c>
      <c r="D2829">
        <f>_xlfn.LET(_xlpm.steps,SUBSTITUTE(Table13[[#This Row],[Input]],Table13[[#This Row],[Direction]],""),VALUE(IF(LEN(_xlpm.steps)&gt;2,LEFT(_xlpm.steps,LEN(_xlpm.steps)-2),0)))</f>
        <v>0</v>
      </c>
      <c r="E2829">
        <f>_xlfn.LET(_xlpm.dir,Table13[[#This Row],[Direction]],
IF(_xlpm.dir="L",
    IF(G2828-Table13[[#This Row],[Steps]]&lt;0,100+(G2828-Table13[[#This Row],[Steps]]),G2828-Table13[[#This Row],[Steps]]),
))</f>
        <v>94</v>
      </c>
      <c r="F2829">
        <f>_xlfn.LET(_xlpm.dir,Table13[[#This Row],[Direction]],
IF(_xlpm.dir="R",
    IF(G2828+Table13[[#This Row],[Steps]]&gt;99,(G2828+Table13[[#This Row],[Steps]])-100,G2828+Table13[[#This Row],[Steps]]),
))</f>
        <v>0</v>
      </c>
      <c r="G2829">
        <f>IF(Table13[[#This Row],[New Pos L]]&lt;&gt;0,Table13[[#This Row],[New Pos L]],Table13[[#This Row],[New Pos R]])</f>
        <v>94</v>
      </c>
      <c r="H2829">
        <f>IF(AND(Table13[[#This Row],[Direction]]="L",Table13[[#This Row],[Steps]]&gt;G2828,G2828&lt;&gt;0),1,0)</f>
        <v>1</v>
      </c>
      <c r="I2829">
        <f>IF(AND(Table13[[#This Row],[Direction]]="R",(G2828+Table13[[#This Row],[Steps]])&gt;100),1,0)</f>
        <v>0</v>
      </c>
      <c r="J2829">
        <f>IF(Table13[[#This Row],[POS]]=0,1,0)</f>
        <v>0</v>
      </c>
      <c r="K2829">
        <f>SUM(Table13[[#This Row],[prefix]],Table13[[#This Row],[Past zero L]],Table13[[#This Row],[Past Zero R]],Table13[[#This Row],[Is Zero]])</f>
        <v>1</v>
      </c>
    </row>
    <row r="2830" spans="1:11" ht="16" x14ac:dyDescent="0.2">
      <c r="A2830" s="1" t="s">
        <v>2</v>
      </c>
      <c r="B2830" t="str">
        <f>LEFT(Table13[[#This Row],[Input]],1)</f>
        <v>L</v>
      </c>
      <c r="C2830">
        <f>_xlfn.LET(_xlpm.steps,SUBSTITUTE(Table13[[#This Row],[Input]],Table13[[#This Row],[Direction]],""),VALUE(IF(LEN(_xlpm.steps)&gt;2,RIGHT(_xlpm.steps,2),_xlpm.steps)))</f>
        <v>38</v>
      </c>
      <c r="D2830">
        <f>_xlfn.LET(_xlpm.steps,SUBSTITUTE(Table13[[#This Row],[Input]],Table13[[#This Row],[Direction]],""),VALUE(IF(LEN(_xlpm.steps)&gt;2,LEFT(_xlpm.steps,LEN(_xlpm.steps)-2),0)))</f>
        <v>0</v>
      </c>
      <c r="E2830">
        <f>_xlfn.LET(_xlpm.dir,Table13[[#This Row],[Direction]],
IF(_xlpm.dir="L",
    IF(G2829-Table13[[#This Row],[Steps]]&lt;0,100+(G2829-Table13[[#This Row],[Steps]]),G2829-Table13[[#This Row],[Steps]]),
))</f>
        <v>56</v>
      </c>
      <c r="F2830">
        <f>_xlfn.LET(_xlpm.dir,Table13[[#This Row],[Direction]],
IF(_xlpm.dir="R",
    IF(G2829+Table13[[#This Row],[Steps]]&gt;99,(G2829+Table13[[#This Row],[Steps]])-100,G2829+Table13[[#This Row],[Steps]]),
))</f>
        <v>0</v>
      </c>
      <c r="G2830">
        <f>IF(Table13[[#This Row],[New Pos L]]&lt;&gt;0,Table13[[#This Row],[New Pos L]],Table13[[#This Row],[New Pos R]])</f>
        <v>56</v>
      </c>
      <c r="H2830">
        <f>IF(AND(Table13[[#This Row],[Direction]]="L",Table13[[#This Row],[Steps]]&gt;G2829,G2829&lt;&gt;0),1,0)</f>
        <v>0</v>
      </c>
      <c r="I2830">
        <f>IF(AND(Table13[[#This Row],[Direction]]="R",(G2829+Table13[[#This Row],[Steps]])&gt;100),1,0)</f>
        <v>0</v>
      </c>
      <c r="J2830">
        <f>IF(Table13[[#This Row],[POS]]=0,1,0)</f>
        <v>0</v>
      </c>
      <c r="K2830">
        <f>SUM(Table13[[#This Row],[prefix]],Table13[[#This Row],[Past zero L]],Table13[[#This Row],[Past Zero R]],Table13[[#This Row],[Is Zero]])</f>
        <v>0</v>
      </c>
    </row>
    <row r="2831" spans="1:11" ht="16" x14ac:dyDescent="0.2">
      <c r="A2831" s="1" t="s">
        <v>53</v>
      </c>
      <c r="B2831" t="str">
        <f>LEFT(Table13[[#This Row],[Input]],1)</f>
        <v>L</v>
      </c>
      <c r="C2831">
        <f>_xlfn.LET(_xlpm.steps,SUBSTITUTE(Table13[[#This Row],[Input]],Table13[[#This Row],[Direction]],""),VALUE(IF(LEN(_xlpm.steps)&gt;2,RIGHT(_xlpm.steps,2),_xlpm.steps)))</f>
        <v>56</v>
      </c>
      <c r="D2831">
        <f>_xlfn.LET(_xlpm.steps,SUBSTITUTE(Table13[[#This Row],[Input]],Table13[[#This Row],[Direction]],""),VALUE(IF(LEN(_xlpm.steps)&gt;2,LEFT(_xlpm.steps,LEN(_xlpm.steps)-2),0)))</f>
        <v>0</v>
      </c>
      <c r="E2831">
        <f>_xlfn.LET(_xlpm.dir,Table13[[#This Row],[Direction]],
IF(_xlpm.dir="L",
    IF(G2830-Table13[[#This Row],[Steps]]&lt;0,100+(G2830-Table13[[#This Row],[Steps]]),G2830-Table13[[#This Row],[Steps]]),
))</f>
        <v>0</v>
      </c>
      <c r="F2831">
        <f>_xlfn.LET(_xlpm.dir,Table13[[#This Row],[Direction]],
IF(_xlpm.dir="R",
    IF(G2830+Table13[[#This Row],[Steps]]&gt;99,(G2830+Table13[[#This Row],[Steps]])-100,G2830+Table13[[#This Row],[Steps]]),
))</f>
        <v>0</v>
      </c>
      <c r="G2831">
        <f>IF(Table13[[#This Row],[New Pos L]]&lt;&gt;0,Table13[[#This Row],[New Pos L]],Table13[[#This Row],[New Pos R]])</f>
        <v>0</v>
      </c>
      <c r="H2831">
        <f>IF(AND(Table13[[#This Row],[Direction]]="L",Table13[[#This Row],[Steps]]&gt;G2830,G2830&lt;&gt;0),1,0)</f>
        <v>0</v>
      </c>
      <c r="I2831">
        <f>IF(AND(Table13[[#This Row],[Direction]]="R",(G2830+Table13[[#This Row],[Steps]])&gt;100),1,0)</f>
        <v>0</v>
      </c>
      <c r="J2831">
        <f>IF(Table13[[#This Row],[POS]]=0,1,0)</f>
        <v>1</v>
      </c>
      <c r="K2831">
        <f>SUM(Table13[[#This Row],[prefix]],Table13[[#This Row],[Past zero L]],Table13[[#This Row],[Past Zero R]],Table13[[#This Row],[Is Zero]])</f>
        <v>1</v>
      </c>
    </row>
    <row r="2832" spans="1:11" ht="16" x14ac:dyDescent="0.2">
      <c r="A2832" s="1" t="s">
        <v>73</v>
      </c>
      <c r="B2832" t="str">
        <f>LEFT(Table13[[#This Row],[Input]],1)</f>
        <v>R</v>
      </c>
      <c r="C2832">
        <f>_xlfn.LET(_xlpm.steps,SUBSTITUTE(Table13[[#This Row],[Input]],Table13[[#This Row],[Direction]],""),VALUE(IF(LEN(_xlpm.steps)&gt;2,RIGHT(_xlpm.steps,2),_xlpm.steps)))</f>
        <v>21</v>
      </c>
      <c r="D2832">
        <f>_xlfn.LET(_xlpm.steps,SUBSTITUTE(Table13[[#This Row],[Input]],Table13[[#This Row],[Direction]],""),VALUE(IF(LEN(_xlpm.steps)&gt;2,LEFT(_xlpm.steps,LEN(_xlpm.steps)-2),0)))</f>
        <v>0</v>
      </c>
      <c r="E2832">
        <f>_xlfn.LET(_xlpm.dir,Table13[[#This Row],[Direction]],
IF(_xlpm.dir="L",
    IF(G2831-Table13[[#This Row],[Steps]]&lt;0,100+(G2831-Table13[[#This Row],[Steps]]),G2831-Table13[[#This Row],[Steps]]),
))</f>
        <v>0</v>
      </c>
      <c r="F2832">
        <f>_xlfn.LET(_xlpm.dir,Table13[[#This Row],[Direction]],
IF(_xlpm.dir="R",
    IF(G2831+Table13[[#This Row],[Steps]]&gt;99,(G2831+Table13[[#This Row],[Steps]])-100,G2831+Table13[[#This Row],[Steps]]),
))</f>
        <v>21</v>
      </c>
      <c r="G2832">
        <f>IF(Table13[[#This Row],[New Pos L]]&lt;&gt;0,Table13[[#This Row],[New Pos L]],Table13[[#This Row],[New Pos R]])</f>
        <v>21</v>
      </c>
      <c r="H2832">
        <f>IF(AND(Table13[[#This Row],[Direction]]="L",Table13[[#This Row],[Steps]]&gt;G2831,G2831&lt;&gt;0),1,0)</f>
        <v>0</v>
      </c>
      <c r="I2832">
        <f>IF(AND(Table13[[#This Row],[Direction]]="R",(G2831+Table13[[#This Row],[Steps]])&gt;100),1,0)</f>
        <v>0</v>
      </c>
      <c r="J2832">
        <f>IF(Table13[[#This Row],[POS]]=0,1,0)</f>
        <v>0</v>
      </c>
      <c r="K2832">
        <f>SUM(Table13[[#This Row],[prefix]],Table13[[#This Row],[Past zero L]],Table13[[#This Row],[Past Zero R]],Table13[[#This Row],[Is Zero]])</f>
        <v>0</v>
      </c>
    </row>
    <row r="2833" spans="1:11" ht="16" x14ac:dyDescent="0.2">
      <c r="A2833" s="1" t="s">
        <v>105</v>
      </c>
      <c r="B2833" t="str">
        <f>LEFT(Table13[[#This Row],[Input]],1)</f>
        <v>R</v>
      </c>
      <c r="C2833">
        <f>_xlfn.LET(_xlpm.steps,SUBSTITUTE(Table13[[#This Row],[Input]],Table13[[#This Row],[Direction]],""),VALUE(IF(LEN(_xlpm.steps)&gt;2,RIGHT(_xlpm.steps,2),_xlpm.steps)))</f>
        <v>98</v>
      </c>
      <c r="D2833">
        <f>_xlfn.LET(_xlpm.steps,SUBSTITUTE(Table13[[#This Row],[Input]],Table13[[#This Row],[Direction]],""),VALUE(IF(LEN(_xlpm.steps)&gt;2,LEFT(_xlpm.steps,LEN(_xlpm.steps)-2),0)))</f>
        <v>0</v>
      </c>
      <c r="E2833">
        <f>_xlfn.LET(_xlpm.dir,Table13[[#This Row],[Direction]],
IF(_xlpm.dir="L",
    IF(G2832-Table13[[#This Row],[Steps]]&lt;0,100+(G2832-Table13[[#This Row],[Steps]]),G2832-Table13[[#This Row],[Steps]]),
))</f>
        <v>0</v>
      </c>
      <c r="F2833">
        <f>_xlfn.LET(_xlpm.dir,Table13[[#This Row],[Direction]],
IF(_xlpm.dir="R",
    IF(G2832+Table13[[#This Row],[Steps]]&gt;99,(G2832+Table13[[#This Row],[Steps]])-100,G2832+Table13[[#This Row],[Steps]]),
))</f>
        <v>19</v>
      </c>
      <c r="G2833">
        <f>IF(Table13[[#This Row],[New Pos L]]&lt;&gt;0,Table13[[#This Row],[New Pos L]],Table13[[#This Row],[New Pos R]])</f>
        <v>19</v>
      </c>
      <c r="H2833">
        <f>IF(AND(Table13[[#This Row],[Direction]]="L",Table13[[#This Row],[Steps]]&gt;G2832,G2832&lt;&gt;0),1,0)</f>
        <v>0</v>
      </c>
      <c r="I2833">
        <f>IF(AND(Table13[[#This Row],[Direction]]="R",(G2832+Table13[[#This Row],[Steps]])&gt;100),1,0)</f>
        <v>1</v>
      </c>
      <c r="J2833">
        <f>IF(Table13[[#This Row],[POS]]=0,1,0)</f>
        <v>0</v>
      </c>
      <c r="K2833">
        <f>SUM(Table13[[#This Row],[prefix]],Table13[[#This Row],[Past zero L]],Table13[[#This Row],[Past Zero R]],Table13[[#This Row],[Is Zero]])</f>
        <v>1</v>
      </c>
    </row>
    <row r="2834" spans="1:11" ht="16" x14ac:dyDescent="0.2">
      <c r="A2834" s="1" t="s">
        <v>126</v>
      </c>
      <c r="B2834" t="str">
        <f>LEFT(Table13[[#This Row],[Input]],1)</f>
        <v>R</v>
      </c>
      <c r="C2834">
        <f>_xlfn.LET(_xlpm.steps,SUBSTITUTE(Table13[[#This Row],[Input]],Table13[[#This Row],[Direction]],""),VALUE(IF(LEN(_xlpm.steps)&gt;2,RIGHT(_xlpm.steps,2),_xlpm.steps)))</f>
        <v>65</v>
      </c>
      <c r="D2834">
        <f>_xlfn.LET(_xlpm.steps,SUBSTITUTE(Table13[[#This Row],[Input]],Table13[[#This Row],[Direction]],""),VALUE(IF(LEN(_xlpm.steps)&gt;2,LEFT(_xlpm.steps,LEN(_xlpm.steps)-2),0)))</f>
        <v>0</v>
      </c>
      <c r="E2834">
        <f>_xlfn.LET(_xlpm.dir,Table13[[#This Row],[Direction]],
IF(_xlpm.dir="L",
    IF(G2833-Table13[[#This Row],[Steps]]&lt;0,100+(G2833-Table13[[#This Row],[Steps]]),G2833-Table13[[#This Row],[Steps]]),
))</f>
        <v>0</v>
      </c>
      <c r="F2834">
        <f>_xlfn.LET(_xlpm.dir,Table13[[#This Row],[Direction]],
IF(_xlpm.dir="R",
    IF(G2833+Table13[[#This Row],[Steps]]&gt;99,(G2833+Table13[[#This Row],[Steps]])-100,G2833+Table13[[#This Row],[Steps]]),
))</f>
        <v>84</v>
      </c>
      <c r="G2834">
        <f>IF(Table13[[#This Row],[New Pos L]]&lt;&gt;0,Table13[[#This Row],[New Pos L]],Table13[[#This Row],[New Pos R]])</f>
        <v>84</v>
      </c>
      <c r="H2834">
        <f>IF(AND(Table13[[#This Row],[Direction]]="L",Table13[[#This Row],[Steps]]&gt;G2833,G2833&lt;&gt;0),1,0)</f>
        <v>0</v>
      </c>
      <c r="I2834">
        <f>IF(AND(Table13[[#This Row],[Direction]]="R",(G2833+Table13[[#This Row],[Steps]])&gt;100),1,0)</f>
        <v>0</v>
      </c>
      <c r="J2834">
        <f>IF(Table13[[#This Row],[POS]]=0,1,0)</f>
        <v>0</v>
      </c>
      <c r="K2834">
        <f>SUM(Table13[[#This Row],[prefix]],Table13[[#This Row],[Past zero L]],Table13[[#This Row],[Past Zero R]],Table13[[#This Row],[Is Zero]])</f>
        <v>0</v>
      </c>
    </row>
    <row r="2835" spans="1:11" ht="16" x14ac:dyDescent="0.2">
      <c r="A2835" s="1" t="s">
        <v>55</v>
      </c>
      <c r="B2835" t="str">
        <f>LEFT(Table13[[#This Row],[Input]],1)</f>
        <v>L</v>
      </c>
      <c r="C2835">
        <f>_xlfn.LET(_xlpm.steps,SUBSTITUTE(Table13[[#This Row],[Input]],Table13[[#This Row],[Direction]],""),VALUE(IF(LEN(_xlpm.steps)&gt;2,RIGHT(_xlpm.steps,2),_xlpm.steps)))</f>
        <v>82</v>
      </c>
      <c r="D2835">
        <f>_xlfn.LET(_xlpm.steps,SUBSTITUTE(Table13[[#This Row],[Input]],Table13[[#This Row],[Direction]],""),VALUE(IF(LEN(_xlpm.steps)&gt;2,LEFT(_xlpm.steps,LEN(_xlpm.steps)-2),0)))</f>
        <v>0</v>
      </c>
      <c r="E2835">
        <f>_xlfn.LET(_xlpm.dir,Table13[[#This Row],[Direction]],
IF(_xlpm.dir="L",
    IF(G2834-Table13[[#This Row],[Steps]]&lt;0,100+(G2834-Table13[[#This Row],[Steps]]),G2834-Table13[[#This Row],[Steps]]),
))</f>
        <v>2</v>
      </c>
      <c r="F2835">
        <f>_xlfn.LET(_xlpm.dir,Table13[[#This Row],[Direction]],
IF(_xlpm.dir="R",
    IF(G2834+Table13[[#This Row],[Steps]]&gt;99,(G2834+Table13[[#This Row],[Steps]])-100,G2834+Table13[[#This Row],[Steps]]),
))</f>
        <v>0</v>
      </c>
      <c r="G2835">
        <f>IF(Table13[[#This Row],[New Pos L]]&lt;&gt;0,Table13[[#This Row],[New Pos L]],Table13[[#This Row],[New Pos R]])</f>
        <v>2</v>
      </c>
      <c r="H2835">
        <f>IF(AND(Table13[[#This Row],[Direction]]="L",Table13[[#This Row],[Steps]]&gt;G2834,G2834&lt;&gt;0),1,0)</f>
        <v>0</v>
      </c>
      <c r="I2835">
        <f>IF(AND(Table13[[#This Row],[Direction]]="R",(G2834+Table13[[#This Row],[Steps]])&gt;100),1,0)</f>
        <v>0</v>
      </c>
      <c r="J2835">
        <f>IF(Table13[[#This Row],[POS]]=0,1,0)</f>
        <v>0</v>
      </c>
      <c r="K2835">
        <f>SUM(Table13[[#This Row],[prefix]],Table13[[#This Row],[Past zero L]],Table13[[#This Row],[Past Zero R]],Table13[[#This Row],[Is Zero]])</f>
        <v>0</v>
      </c>
    </row>
    <row r="2836" spans="1:11" ht="16" x14ac:dyDescent="0.2">
      <c r="A2836" s="1" t="s">
        <v>353</v>
      </c>
      <c r="B2836" t="str">
        <f>LEFT(Table13[[#This Row],[Input]],1)</f>
        <v>R</v>
      </c>
      <c r="C2836">
        <f>_xlfn.LET(_xlpm.steps,SUBSTITUTE(Table13[[#This Row],[Input]],Table13[[#This Row],[Direction]],""),VALUE(IF(LEN(_xlpm.steps)&gt;2,RIGHT(_xlpm.steps,2),_xlpm.steps)))</f>
        <v>7</v>
      </c>
      <c r="D2836">
        <f>_xlfn.LET(_xlpm.steps,SUBSTITUTE(Table13[[#This Row],[Input]],Table13[[#This Row],[Direction]],""),VALUE(IF(LEN(_xlpm.steps)&gt;2,LEFT(_xlpm.steps,LEN(_xlpm.steps)-2),0)))</f>
        <v>0</v>
      </c>
      <c r="E2836">
        <f>_xlfn.LET(_xlpm.dir,Table13[[#This Row],[Direction]],
IF(_xlpm.dir="L",
    IF(G2835-Table13[[#This Row],[Steps]]&lt;0,100+(G2835-Table13[[#This Row],[Steps]]),G2835-Table13[[#This Row],[Steps]]),
))</f>
        <v>0</v>
      </c>
      <c r="F2836">
        <f>_xlfn.LET(_xlpm.dir,Table13[[#This Row],[Direction]],
IF(_xlpm.dir="R",
    IF(G2835+Table13[[#This Row],[Steps]]&gt;99,(G2835+Table13[[#This Row],[Steps]])-100,G2835+Table13[[#This Row],[Steps]]),
))</f>
        <v>9</v>
      </c>
      <c r="G2836">
        <f>IF(Table13[[#This Row],[New Pos L]]&lt;&gt;0,Table13[[#This Row],[New Pos L]],Table13[[#This Row],[New Pos R]])</f>
        <v>9</v>
      </c>
      <c r="H2836">
        <f>IF(AND(Table13[[#This Row],[Direction]]="L",Table13[[#This Row],[Steps]]&gt;G2835,G2835&lt;&gt;0),1,0)</f>
        <v>0</v>
      </c>
      <c r="I2836">
        <f>IF(AND(Table13[[#This Row],[Direction]]="R",(G2835+Table13[[#This Row],[Steps]])&gt;100),1,0)</f>
        <v>0</v>
      </c>
      <c r="J2836">
        <f>IF(Table13[[#This Row],[POS]]=0,1,0)</f>
        <v>0</v>
      </c>
      <c r="K2836">
        <f>SUM(Table13[[#This Row],[prefix]],Table13[[#This Row],[Past zero L]],Table13[[#This Row],[Past Zero R]],Table13[[#This Row],[Is Zero]])</f>
        <v>0</v>
      </c>
    </row>
    <row r="2837" spans="1:11" ht="16" x14ac:dyDescent="0.2">
      <c r="A2837" s="1" t="s">
        <v>260</v>
      </c>
      <c r="B2837" t="str">
        <f>LEFT(Table13[[#This Row],[Input]],1)</f>
        <v>L</v>
      </c>
      <c r="C2837">
        <f>_xlfn.LET(_xlpm.steps,SUBSTITUTE(Table13[[#This Row],[Input]],Table13[[#This Row],[Direction]],""),VALUE(IF(LEN(_xlpm.steps)&gt;2,RIGHT(_xlpm.steps,2),_xlpm.steps)))</f>
        <v>85</v>
      </c>
      <c r="D2837">
        <f>_xlfn.LET(_xlpm.steps,SUBSTITUTE(Table13[[#This Row],[Input]],Table13[[#This Row],[Direction]],""),VALUE(IF(LEN(_xlpm.steps)&gt;2,LEFT(_xlpm.steps,LEN(_xlpm.steps)-2),0)))</f>
        <v>0</v>
      </c>
      <c r="E2837">
        <f>_xlfn.LET(_xlpm.dir,Table13[[#This Row],[Direction]],
IF(_xlpm.dir="L",
    IF(G2836-Table13[[#This Row],[Steps]]&lt;0,100+(G2836-Table13[[#This Row],[Steps]]),G2836-Table13[[#This Row],[Steps]]),
))</f>
        <v>24</v>
      </c>
      <c r="F2837">
        <f>_xlfn.LET(_xlpm.dir,Table13[[#This Row],[Direction]],
IF(_xlpm.dir="R",
    IF(G2836+Table13[[#This Row],[Steps]]&gt;99,(G2836+Table13[[#This Row],[Steps]])-100,G2836+Table13[[#This Row],[Steps]]),
))</f>
        <v>0</v>
      </c>
      <c r="G2837">
        <f>IF(Table13[[#This Row],[New Pos L]]&lt;&gt;0,Table13[[#This Row],[New Pos L]],Table13[[#This Row],[New Pos R]])</f>
        <v>24</v>
      </c>
      <c r="H2837">
        <f>IF(AND(Table13[[#This Row],[Direction]]="L",Table13[[#This Row],[Steps]]&gt;G2836,G2836&lt;&gt;0),1,0)</f>
        <v>1</v>
      </c>
      <c r="I2837">
        <f>IF(AND(Table13[[#This Row],[Direction]]="R",(G2836+Table13[[#This Row],[Steps]])&gt;100),1,0)</f>
        <v>0</v>
      </c>
      <c r="J2837">
        <f>IF(Table13[[#This Row],[POS]]=0,1,0)</f>
        <v>0</v>
      </c>
      <c r="K2837">
        <f>SUM(Table13[[#This Row],[prefix]],Table13[[#This Row],[Past zero L]],Table13[[#This Row],[Past Zero R]],Table13[[#This Row],[Is Zero]])</f>
        <v>1</v>
      </c>
    </row>
    <row r="2838" spans="1:11" ht="16" x14ac:dyDescent="0.2">
      <c r="A2838" s="1" t="s">
        <v>125</v>
      </c>
      <c r="B2838" t="str">
        <f>LEFT(Table13[[#This Row],[Input]],1)</f>
        <v>L</v>
      </c>
      <c r="C2838">
        <f>_xlfn.LET(_xlpm.steps,SUBSTITUTE(Table13[[#This Row],[Input]],Table13[[#This Row],[Direction]],""),VALUE(IF(LEN(_xlpm.steps)&gt;2,RIGHT(_xlpm.steps,2),_xlpm.steps)))</f>
        <v>76</v>
      </c>
      <c r="D2838">
        <f>_xlfn.LET(_xlpm.steps,SUBSTITUTE(Table13[[#This Row],[Input]],Table13[[#This Row],[Direction]],""),VALUE(IF(LEN(_xlpm.steps)&gt;2,LEFT(_xlpm.steps,LEN(_xlpm.steps)-2),0)))</f>
        <v>0</v>
      </c>
      <c r="E2838">
        <f>_xlfn.LET(_xlpm.dir,Table13[[#This Row],[Direction]],
IF(_xlpm.dir="L",
    IF(G2837-Table13[[#This Row],[Steps]]&lt;0,100+(G2837-Table13[[#This Row],[Steps]]),G2837-Table13[[#This Row],[Steps]]),
))</f>
        <v>48</v>
      </c>
      <c r="F2838">
        <f>_xlfn.LET(_xlpm.dir,Table13[[#This Row],[Direction]],
IF(_xlpm.dir="R",
    IF(G2837+Table13[[#This Row],[Steps]]&gt;99,(G2837+Table13[[#This Row],[Steps]])-100,G2837+Table13[[#This Row],[Steps]]),
))</f>
        <v>0</v>
      </c>
      <c r="G2838">
        <f>IF(Table13[[#This Row],[New Pos L]]&lt;&gt;0,Table13[[#This Row],[New Pos L]],Table13[[#This Row],[New Pos R]])</f>
        <v>48</v>
      </c>
      <c r="H2838">
        <f>IF(AND(Table13[[#This Row],[Direction]]="L",Table13[[#This Row],[Steps]]&gt;G2837,G2837&lt;&gt;0),1,0)</f>
        <v>1</v>
      </c>
      <c r="I2838">
        <f>IF(AND(Table13[[#This Row],[Direction]]="R",(G2837+Table13[[#This Row],[Steps]])&gt;100),1,0)</f>
        <v>0</v>
      </c>
      <c r="J2838">
        <f>IF(Table13[[#This Row],[POS]]=0,1,0)</f>
        <v>0</v>
      </c>
      <c r="K2838">
        <f>SUM(Table13[[#This Row],[prefix]],Table13[[#This Row],[Past zero L]],Table13[[#This Row],[Past Zero R]],Table13[[#This Row],[Is Zero]])</f>
        <v>1</v>
      </c>
    </row>
    <row r="2839" spans="1:11" ht="16" x14ac:dyDescent="0.2">
      <c r="A2839" s="1" t="s">
        <v>216</v>
      </c>
      <c r="B2839" t="str">
        <f>LEFT(Table13[[#This Row],[Input]],1)</f>
        <v>R</v>
      </c>
      <c r="C2839">
        <f>_xlfn.LET(_xlpm.steps,SUBSTITUTE(Table13[[#This Row],[Input]],Table13[[#This Row],[Direction]],""),VALUE(IF(LEN(_xlpm.steps)&gt;2,RIGHT(_xlpm.steps,2),_xlpm.steps)))</f>
        <v>54</v>
      </c>
      <c r="D2839">
        <f>_xlfn.LET(_xlpm.steps,SUBSTITUTE(Table13[[#This Row],[Input]],Table13[[#This Row],[Direction]],""),VALUE(IF(LEN(_xlpm.steps)&gt;2,LEFT(_xlpm.steps,LEN(_xlpm.steps)-2),0)))</f>
        <v>0</v>
      </c>
      <c r="E2839">
        <f>_xlfn.LET(_xlpm.dir,Table13[[#This Row],[Direction]],
IF(_xlpm.dir="L",
    IF(G2838-Table13[[#This Row],[Steps]]&lt;0,100+(G2838-Table13[[#This Row],[Steps]]),G2838-Table13[[#This Row],[Steps]]),
))</f>
        <v>0</v>
      </c>
      <c r="F2839">
        <f>_xlfn.LET(_xlpm.dir,Table13[[#This Row],[Direction]],
IF(_xlpm.dir="R",
    IF(G2838+Table13[[#This Row],[Steps]]&gt;99,(G2838+Table13[[#This Row],[Steps]])-100,G2838+Table13[[#This Row],[Steps]]),
))</f>
        <v>2</v>
      </c>
      <c r="G2839">
        <f>IF(Table13[[#This Row],[New Pos L]]&lt;&gt;0,Table13[[#This Row],[New Pos L]],Table13[[#This Row],[New Pos R]])</f>
        <v>2</v>
      </c>
      <c r="H2839">
        <f>IF(AND(Table13[[#This Row],[Direction]]="L",Table13[[#This Row],[Steps]]&gt;G2838,G2838&lt;&gt;0),1,0)</f>
        <v>0</v>
      </c>
      <c r="I2839">
        <f>IF(AND(Table13[[#This Row],[Direction]]="R",(G2838+Table13[[#This Row],[Steps]])&gt;100),1,0)</f>
        <v>1</v>
      </c>
      <c r="J2839">
        <f>IF(Table13[[#This Row],[POS]]=0,1,0)</f>
        <v>0</v>
      </c>
      <c r="K2839">
        <f>SUM(Table13[[#This Row],[prefix]],Table13[[#This Row],[Past zero L]],Table13[[#This Row],[Past Zero R]],Table13[[#This Row],[Is Zero]])</f>
        <v>1</v>
      </c>
    </row>
    <row r="2840" spans="1:11" ht="16" x14ac:dyDescent="0.2">
      <c r="A2840" s="1" t="s">
        <v>105</v>
      </c>
      <c r="B2840" t="str">
        <f>LEFT(Table13[[#This Row],[Input]],1)</f>
        <v>R</v>
      </c>
      <c r="C2840">
        <f>_xlfn.LET(_xlpm.steps,SUBSTITUTE(Table13[[#This Row],[Input]],Table13[[#This Row],[Direction]],""),VALUE(IF(LEN(_xlpm.steps)&gt;2,RIGHT(_xlpm.steps,2),_xlpm.steps)))</f>
        <v>98</v>
      </c>
      <c r="D2840">
        <f>_xlfn.LET(_xlpm.steps,SUBSTITUTE(Table13[[#This Row],[Input]],Table13[[#This Row],[Direction]],""),VALUE(IF(LEN(_xlpm.steps)&gt;2,LEFT(_xlpm.steps,LEN(_xlpm.steps)-2),0)))</f>
        <v>0</v>
      </c>
      <c r="E2840">
        <f>_xlfn.LET(_xlpm.dir,Table13[[#This Row],[Direction]],
IF(_xlpm.dir="L",
    IF(G2839-Table13[[#This Row],[Steps]]&lt;0,100+(G2839-Table13[[#This Row],[Steps]]),G2839-Table13[[#This Row],[Steps]]),
))</f>
        <v>0</v>
      </c>
      <c r="F2840">
        <f>_xlfn.LET(_xlpm.dir,Table13[[#This Row],[Direction]],
IF(_xlpm.dir="R",
    IF(G2839+Table13[[#This Row],[Steps]]&gt;99,(G2839+Table13[[#This Row],[Steps]])-100,G2839+Table13[[#This Row],[Steps]]),
))</f>
        <v>0</v>
      </c>
      <c r="G2840">
        <f>IF(Table13[[#This Row],[New Pos L]]&lt;&gt;0,Table13[[#This Row],[New Pos L]],Table13[[#This Row],[New Pos R]])</f>
        <v>0</v>
      </c>
      <c r="H2840">
        <f>IF(AND(Table13[[#This Row],[Direction]]="L",Table13[[#This Row],[Steps]]&gt;G2839,G2839&lt;&gt;0),1,0)</f>
        <v>0</v>
      </c>
      <c r="I2840">
        <f>IF(AND(Table13[[#This Row],[Direction]]="R",(G2839+Table13[[#This Row],[Steps]])&gt;100),1,0)</f>
        <v>0</v>
      </c>
      <c r="J2840">
        <f>IF(Table13[[#This Row],[POS]]=0,1,0)</f>
        <v>1</v>
      </c>
      <c r="K2840">
        <f>SUM(Table13[[#This Row],[prefix]],Table13[[#This Row],[Past zero L]],Table13[[#This Row],[Past Zero R]],Table13[[#This Row],[Is Zero]])</f>
        <v>1</v>
      </c>
    </row>
    <row r="2841" spans="1:11" ht="16" x14ac:dyDescent="0.2">
      <c r="A2841" s="1" t="s">
        <v>63</v>
      </c>
      <c r="B2841" t="str">
        <f>LEFT(Table13[[#This Row],[Input]],1)</f>
        <v>R</v>
      </c>
      <c r="C2841">
        <f>_xlfn.LET(_xlpm.steps,SUBSTITUTE(Table13[[#This Row],[Input]],Table13[[#This Row],[Direction]],""),VALUE(IF(LEN(_xlpm.steps)&gt;2,RIGHT(_xlpm.steps,2),_xlpm.steps)))</f>
        <v>57</v>
      </c>
      <c r="D2841">
        <f>_xlfn.LET(_xlpm.steps,SUBSTITUTE(Table13[[#This Row],[Input]],Table13[[#This Row],[Direction]],""),VALUE(IF(LEN(_xlpm.steps)&gt;2,LEFT(_xlpm.steps,LEN(_xlpm.steps)-2),0)))</f>
        <v>0</v>
      </c>
      <c r="E2841">
        <f>_xlfn.LET(_xlpm.dir,Table13[[#This Row],[Direction]],
IF(_xlpm.dir="L",
    IF(G2840-Table13[[#This Row],[Steps]]&lt;0,100+(G2840-Table13[[#This Row],[Steps]]),G2840-Table13[[#This Row],[Steps]]),
))</f>
        <v>0</v>
      </c>
      <c r="F2841">
        <f>_xlfn.LET(_xlpm.dir,Table13[[#This Row],[Direction]],
IF(_xlpm.dir="R",
    IF(G2840+Table13[[#This Row],[Steps]]&gt;99,(G2840+Table13[[#This Row],[Steps]])-100,G2840+Table13[[#This Row],[Steps]]),
))</f>
        <v>57</v>
      </c>
      <c r="G2841">
        <f>IF(Table13[[#This Row],[New Pos L]]&lt;&gt;0,Table13[[#This Row],[New Pos L]],Table13[[#This Row],[New Pos R]])</f>
        <v>57</v>
      </c>
      <c r="H2841">
        <f>IF(AND(Table13[[#This Row],[Direction]]="L",Table13[[#This Row],[Steps]]&gt;G2840,G2840&lt;&gt;0),1,0)</f>
        <v>0</v>
      </c>
      <c r="I2841">
        <f>IF(AND(Table13[[#This Row],[Direction]]="R",(G2840+Table13[[#This Row],[Steps]])&gt;100),1,0)</f>
        <v>0</v>
      </c>
      <c r="J2841">
        <f>IF(Table13[[#This Row],[POS]]=0,1,0)</f>
        <v>0</v>
      </c>
      <c r="K2841">
        <f>SUM(Table13[[#This Row],[prefix]],Table13[[#This Row],[Past zero L]],Table13[[#This Row],[Past Zero R]],Table13[[#This Row],[Is Zero]])</f>
        <v>0</v>
      </c>
    </row>
    <row r="2842" spans="1:11" ht="16" x14ac:dyDescent="0.2">
      <c r="A2842" s="1" t="s">
        <v>181</v>
      </c>
      <c r="B2842" t="str">
        <f>LEFT(Table13[[#This Row],[Input]],1)</f>
        <v>L</v>
      </c>
      <c r="C2842">
        <f>_xlfn.LET(_xlpm.steps,SUBSTITUTE(Table13[[#This Row],[Input]],Table13[[#This Row],[Direction]],""),VALUE(IF(LEN(_xlpm.steps)&gt;2,RIGHT(_xlpm.steps,2),_xlpm.steps)))</f>
        <v>53</v>
      </c>
      <c r="D2842">
        <f>_xlfn.LET(_xlpm.steps,SUBSTITUTE(Table13[[#This Row],[Input]],Table13[[#This Row],[Direction]],""),VALUE(IF(LEN(_xlpm.steps)&gt;2,LEFT(_xlpm.steps,LEN(_xlpm.steps)-2),0)))</f>
        <v>0</v>
      </c>
      <c r="E2842">
        <f>_xlfn.LET(_xlpm.dir,Table13[[#This Row],[Direction]],
IF(_xlpm.dir="L",
    IF(G2841-Table13[[#This Row],[Steps]]&lt;0,100+(G2841-Table13[[#This Row],[Steps]]),G2841-Table13[[#This Row],[Steps]]),
))</f>
        <v>4</v>
      </c>
      <c r="F2842">
        <f>_xlfn.LET(_xlpm.dir,Table13[[#This Row],[Direction]],
IF(_xlpm.dir="R",
    IF(G2841+Table13[[#This Row],[Steps]]&gt;99,(G2841+Table13[[#This Row],[Steps]])-100,G2841+Table13[[#This Row],[Steps]]),
))</f>
        <v>0</v>
      </c>
      <c r="G2842">
        <f>IF(Table13[[#This Row],[New Pos L]]&lt;&gt;0,Table13[[#This Row],[New Pos L]],Table13[[#This Row],[New Pos R]])</f>
        <v>4</v>
      </c>
      <c r="H2842">
        <f>IF(AND(Table13[[#This Row],[Direction]]="L",Table13[[#This Row],[Steps]]&gt;G2841,G2841&lt;&gt;0),1,0)</f>
        <v>0</v>
      </c>
      <c r="I2842">
        <f>IF(AND(Table13[[#This Row],[Direction]]="R",(G2841+Table13[[#This Row],[Steps]])&gt;100),1,0)</f>
        <v>0</v>
      </c>
      <c r="J2842">
        <f>IF(Table13[[#This Row],[POS]]=0,1,0)</f>
        <v>0</v>
      </c>
      <c r="K2842">
        <f>SUM(Table13[[#This Row],[prefix]],Table13[[#This Row],[Past zero L]],Table13[[#This Row],[Past Zero R]],Table13[[#This Row],[Is Zero]])</f>
        <v>0</v>
      </c>
    </row>
    <row r="2843" spans="1:11" ht="16" x14ac:dyDescent="0.2">
      <c r="A2843" s="1" t="s">
        <v>44</v>
      </c>
      <c r="B2843" t="str">
        <f>LEFT(Table13[[#This Row],[Input]],1)</f>
        <v>R</v>
      </c>
      <c r="C2843">
        <f>_xlfn.LET(_xlpm.steps,SUBSTITUTE(Table13[[#This Row],[Input]],Table13[[#This Row],[Direction]],""),VALUE(IF(LEN(_xlpm.steps)&gt;2,RIGHT(_xlpm.steps,2),_xlpm.steps)))</f>
        <v>96</v>
      </c>
      <c r="D2843">
        <f>_xlfn.LET(_xlpm.steps,SUBSTITUTE(Table13[[#This Row],[Input]],Table13[[#This Row],[Direction]],""),VALUE(IF(LEN(_xlpm.steps)&gt;2,LEFT(_xlpm.steps,LEN(_xlpm.steps)-2),0)))</f>
        <v>0</v>
      </c>
      <c r="E2843">
        <f>_xlfn.LET(_xlpm.dir,Table13[[#This Row],[Direction]],
IF(_xlpm.dir="L",
    IF(G2842-Table13[[#This Row],[Steps]]&lt;0,100+(G2842-Table13[[#This Row],[Steps]]),G2842-Table13[[#This Row],[Steps]]),
))</f>
        <v>0</v>
      </c>
      <c r="F2843">
        <f>_xlfn.LET(_xlpm.dir,Table13[[#This Row],[Direction]],
IF(_xlpm.dir="R",
    IF(G2842+Table13[[#This Row],[Steps]]&gt;99,(G2842+Table13[[#This Row],[Steps]])-100,G2842+Table13[[#This Row],[Steps]]),
))</f>
        <v>0</v>
      </c>
      <c r="G2843">
        <f>IF(Table13[[#This Row],[New Pos L]]&lt;&gt;0,Table13[[#This Row],[New Pos L]],Table13[[#This Row],[New Pos R]])</f>
        <v>0</v>
      </c>
      <c r="H2843">
        <f>IF(AND(Table13[[#This Row],[Direction]]="L",Table13[[#This Row],[Steps]]&gt;G2842,G2842&lt;&gt;0),1,0)</f>
        <v>0</v>
      </c>
      <c r="I2843">
        <f>IF(AND(Table13[[#This Row],[Direction]]="R",(G2842+Table13[[#This Row],[Steps]])&gt;100),1,0)</f>
        <v>0</v>
      </c>
      <c r="J2843">
        <f>IF(Table13[[#This Row],[POS]]=0,1,0)</f>
        <v>1</v>
      </c>
      <c r="K2843">
        <f>SUM(Table13[[#This Row],[prefix]],Table13[[#This Row],[Past zero L]],Table13[[#This Row],[Past Zero R]],Table13[[#This Row],[Is Zero]])</f>
        <v>1</v>
      </c>
    </row>
    <row r="2844" spans="1:11" ht="16" x14ac:dyDescent="0.2">
      <c r="A2844" s="1" t="s">
        <v>81</v>
      </c>
      <c r="B2844" t="str">
        <f>LEFT(Table13[[#This Row],[Input]],1)</f>
        <v>R</v>
      </c>
      <c r="C2844">
        <f>_xlfn.LET(_xlpm.steps,SUBSTITUTE(Table13[[#This Row],[Input]],Table13[[#This Row],[Direction]],""),VALUE(IF(LEN(_xlpm.steps)&gt;2,RIGHT(_xlpm.steps,2),_xlpm.steps)))</f>
        <v>17</v>
      </c>
      <c r="D2844">
        <f>_xlfn.LET(_xlpm.steps,SUBSTITUTE(Table13[[#This Row],[Input]],Table13[[#This Row],[Direction]],""),VALUE(IF(LEN(_xlpm.steps)&gt;2,LEFT(_xlpm.steps,LEN(_xlpm.steps)-2),0)))</f>
        <v>0</v>
      </c>
      <c r="E2844">
        <f>_xlfn.LET(_xlpm.dir,Table13[[#This Row],[Direction]],
IF(_xlpm.dir="L",
    IF(G2843-Table13[[#This Row],[Steps]]&lt;0,100+(G2843-Table13[[#This Row],[Steps]]),G2843-Table13[[#This Row],[Steps]]),
))</f>
        <v>0</v>
      </c>
      <c r="F2844">
        <f>_xlfn.LET(_xlpm.dir,Table13[[#This Row],[Direction]],
IF(_xlpm.dir="R",
    IF(G2843+Table13[[#This Row],[Steps]]&gt;99,(G2843+Table13[[#This Row],[Steps]])-100,G2843+Table13[[#This Row],[Steps]]),
))</f>
        <v>17</v>
      </c>
      <c r="G2844">
        <f>IF(Table13[[#This Row],[New Pos L]]&lt;&gt;0,Table13[[#This Row],[New Pos L]],Table13[[#This Row],[New Pos R]])</f>
        <v>17</v>
      </c>
      <c r="H2844">
        <f>IF(AND(Table13[[#This Row],[Direction]]="L",Table13[[#This Row],[Steps]]&gt;G2843,G2843&lt;&gt;0),1,0)</f>
        <v>0</v>
      </c>
      <c r="I2844">
        <f>IF(AND(Table13[[#This Row],[Direction]]="R",(G2843+Table13[[#This Row],[Steps]])&gt;100),1,0)</f>
        <v>0</v>
      </c>
      <c r="J2844">
        <f>IF(Table13[[#This Row],[POS]]=0,1,0)</f>
        <v>0</v>
      </c>
      <c r="K2844">
        <f>SUM(Table13[[#This Row],[prefix]],Table13[[#This Row],[Past zero L]],Table13[[#This Row],[Past Zero R]],Table13[[#This Row],[Is Zero]])</f>
        <v>0</v>
      </c>
    </row>
    <row r="2845" spans="1:11" ht="16" x14ac:dyDescent="0.2">
      <c r="A2845" s="1" t="s">
        <v>146</v>
      </c>
      <c r="B2845" t="str">
        <f>LEFT(Table13[[#This Row],[Input]],1)</f>
        <v>R</v>
      </c>
      <c r="C2845">
        <f>_xlfn.LET(_xlpm.steps,SUBSTITUTE(Table13[[#This Row],[Input]],Table13[[#This Row],[Direction]],""),VALUE(IF(LEN(_xlpm.steps)&gt;2,RIGHT(_xlpm.steps,2),_xlpm.steps)))</f>
        <v>4</v>
      </c>
      <c r="D2845">
        <f>_xlfn.LET(_xlpm.steps,SUBSTITUTE(Table13[[#This Row],[Input]],Table13[[#This Row],[Direction]],""),VALUE(IF(LEN(_xlpm.steps)&gt;2,LEFT(_xlpm.steps,LEN(_xlpm.steps)-2),0)))</f>
        <v>0</v>
      </c>
      <c r="E2845">
        <f>_xlfn.LET(_xlpm.dir,Table13[[#This Row],[Direction]],
IF(_xlpm.dir="L",
    IF(G2844-Table13[[#This Row],[Steps]]&lt;0,100+(G2844-Table13[[#This Row],[Steps]]),G2844-Table13[[#This Row],[Steps]]),
))</f>
        <v>0</v>
      </c>
      <c r="F2845">
        <f>_xlfn.LET(_xlpm.dir,Table13[[#This Row],[Direction]],
IF(_xlpm.dir="R",
    IF(G2844+Table13[[#This Row],[Steps]]&gt;99,(G2844+Table13[[#This Row],[Steps]])-100,G2844+Table13[[#This Row],[Steps]]),
))</f>
        <v>21</v>
      </c>
      <c r="G2845">
        <f>IF(Table13[[#This Row],[New Pos L]]&lt;&gt;0,Table13[[#This Row],[New Pos L]],Table13[[#This Row],[New Pos R]])</f>
        <v>21</v>
      </c>
      <c r="H2845">
        <f>IF(AND(Table13[[#This Row],[Direction]]="L",Table13[[#This Row],[Steps]]&gt;G2844,G2844&lt;&gt;0),1,0)</f>
        <v>0</v>
      </c>
      <c r="I2845">
        <f>IF(AND(Table13[[#This Row],[Direction]]="R",(G2844+Table13[[#This Row],[Steps]])&gt;100),1,0)</f>
        <v>0</v>
      </c>
      <c r="J2845">
        <f>IF(Table13[[#This Row],[POS]]=0,1,0)</f>
        <v>0</v>
      </c>
      <c r="K2845">
        <f>SUM(Table13[[#This Row],[prefix]],Table13[[#This Row],[Past zero L]],Table13[[#This Row],[Past Zero R]],Table13[[#This Row],[Is Zero]])</f>
        <v>0</v>
      </c>
    </row>
    <row r="2846" spans="1:11" ht="16" x14ac:dyDescent="0.2">
      <c r="A2846" s="1" t="s">
        <v>188</v>
      </c>
      <c r="B2846" t="str">
        <f>LEFT(Table13[[#This Row],[Input]],1)</f>
        <v>R</v>
      </c>
      <c r="C2846">
        <f>_xlfn.LET(_xlpm.steps,SUBSTITUTE(Table13[[#This Row],[Input]],Table13[[#This Row],[Direction]],""),VALUE(IF(LEN(_xlpm.steps)&gt;2,RIGHT(_xlpm.steps,2),_xlpm.steps)))</f>
        <v>5</v>
      </c>
      <c r="D2846">
        <f>_xlfn.LET(_xlpm.steps,SUBSTITUTE(Table13[[#This Row],[Input]],Table13[[#This Row],[Direction]],""),VALUE(IF(LEN(_xlpm.steps)&gt;2,LEFT(_xlpm.steps,LEN(_xlpm.steps)-2),0)))</f>
        <v>0</v>
      </c>
      <c r="E2846">
        <f>_xlfn.LET(_xlpm.dir,Table13[[#This Row],[Direction]],
IF(_xlpm.dir="L",
    IF(G2845-Table13[[#This Row],[Steps]]&lt;0,100+(G2845-Table13[[#This Row],[Steps]]),G2845-Table13[[#This Row],[Steps]]),
))</f>
        <v>0</v>
      </c>
      <c r="F2846">
        <f>_xlfn.LET(_xlpm.dir,Table13[[#This Row],[Direction]],
IF(_xlpm.dir="R",
    IF(G2845+Table13[[#This Row],[Steps]]&gt;99,(G2845+Table13[[#This Row],[Steps]])-100,G2845+Table13[[#This Row],[Steps]]),
))</f>
        <v>26</v>
      </c>
      <c r="G2846">
        <f>IF(Table13[[#This Row],[New Pos L]]&lt;&gt;0,Table13[[#This Row],[New Pos L]],Table13[[#This Row],[New Pos R]])</f>
        <v>26</v>
      </c>
      <c r="H2846">
        <f>IF(AND(Table13[[#This Row],[Direction]]="L",Table13[[#This Row],[Steps]]&gt;G2845,G2845&lt;&gt;0),1,0)</f>
        <v>0</v>
      </c>
      <c r="I2846">
        <f>IF(AND(Table13[[#This Row],[Direction]]="R",(G2845+Table13[[#This Row],[Steps]])&gt;100),1,0)</f>
        <v>0</v>
      </c>
      <c r="J2846">
        <f>IF(Table13[[#This Row],[POS]]=0,1,0)</f>
        <v>0</v>
      </c>
      <c r="K2846">
        <f>SUM(Table13[[#This Row],[prefix]],Table13[[#This Row],[Past zero L]],Table13[[#This Row],[Past Zero R]],Table13[[#This Row],[Is Zero]])</f>
        <v>0</v>
      </c>
    </row>
    <row r="2847" spans="1:11" ht="16" x14ac:dyDescent="0.2">
      <c r="A2847" s="1" t="s">
        <v>64</v>
      </c>
      <c r="B2847" t="str">
        <f>LEFT(Table13[[#This Row],[Input]],1)</f>
        <v>R</v>
      </c>
      <c r="C2847">
        <f>_xlfn.LET(_xlpm.steps,SUBSTITUTE(Table13[[#This Row],[Input]],Table13[[#This Row],[Direction]],""),VALUE(IF(LEN(_xlpm.steps)&gt;2,RIGHT(_xlpm.steps,2),_xlpm.steps)))</f>
        <v>10</v>
      </c>
      <c r="D2847">
        <f>_xlfn.LET(_xlpm.steps,SUBSTITUTE(Table13[[#This Row],[Input]],Table13[[#This Row],[Direction]],""),VALUE(IF(LEN(_xlpm.steps)&gt;2,LEFT(_xlpm.steps,LEN(_xlpm.steps)-2),0)))</f>
        <v>0</v>
      </c>
      <c r="E2847">
        <f>_xlfn.LET(_xlpm.dir,Table13[[#This Row],[Direction]],
IF(_xlpm.dir="L",
    IF(G2846-Table13[[#This Row],[Steps]]&lt;0,100+(G2846-Table13[[#This Row],[Steps]]),G2846-Table13[[#This Row],[Steps]]),
))</f>
        <v>0</v>
      </c>
      <c r="F2847">
        <f>_xlfn.LET(_xlpm.dir,Table13[[#This Row],[Direction]],
IF(_xlpm.dir="R",
    IF(G2846+Table13[[#This Row],[Steps]]&gt;99,(G2846+Table13[[#This Row],[Steps]])-100,G2846+Table13[[#This Row],[Steps]]),
))</f>
        <v>36</v>
      </c>
      <c r="G2847">
        <f>IF(Table13[[#This Row],[New Pos L]]&lt;&gt;0,Table13[[#This Row],[New Pos L]],Table13[[#This Row],[New Pos R]])</f>
        <v>36</v>
      </c>
      <c r="H2847">
        <f>IF(AND(Table13[[#This Row],[Direction]]="L",Table13[[#This Row],[Steps]]&gt;G2846,G2846&lt;&gt;0),1,0)</f>
        <v>0</v>
      </c>
      <c r="I2847">
        <f>IF(AND(Table13[[#This Row],[Direction]]="R",(G2846+Table13[[#This Row],[Steps]])&gt;100),1,0)</f>
        <v>0</v>
      </c>
      <c r="J2847">
        <f>IF(Table13[[#This Row],[POS]]=0,1,0)</f>
        <v>0</v>
      </c>
      <c r="K2847">
        <f>SUM(Table13[[#This Row],[prefix]],Table13[[#This Row],[Past zero L]],Table13[[#This Row],[Past Zero R]],Table13[[#This Row],[Is Zero]])</f>
        <v>0</v>
      </c>
    </row>
    <row r="2848" spans="1:11" ht="16" x14ac:dyDescent="0.2">
      <c r="A2848" s="1" t="s">
        <v>111</v>
      </c>
      <c r="B2848" t="str">
        <f>LEFT(Table13[[#This Row],[Input]],1)</f>
        <v>R</v>
      </c>
      <c r="C2848">
        <f>_xlfn.LET(_xlpm.steps,SUBSTITUTE(Table13[[#This Row],[Input]],Table13[[#This Row],[Direction]],""),VALUE(IF(LEN(_xlpm.steps)&gt;2,RIGHT(_xlpm.steps,2),_xlpm.steps)))</f>
        <v>64</v>
      </c>
      <c r="D2848">
        <f>_xlfn.LET(_xlpm.steps,SUBSTITUTE(Table13[[#This Row],[Input]],Table13[[#This Row],[Direction]],""),VALUE(IF(LEN(_xlpm.steps)&gt;2,LEFT(_xlpm.steps,LEN(_xlpm.steps)-2),0)))</f>
        <v>0</v>
      </c>
      <c r="E2848">
        <f>_xlfn.LET(_xlpm.dir,Table13[[#This Row],[Direction]],
IF(_xlpm.dir="L",
    IF(G2847-Table13[[#This Row],[Steps]]&lt;0,100+(G2847-Table13[[#This Row],[Steps]]),G2847-Table13[[#This Row],[Steps]]),
))</f>
        <v>0</v>
      </c>
      <c r="F2848">
        <f>_xlfn.LET(_xlpm.dir,Table13[[#This Row],[Direction]],
IF(_xlpm.dir="R",
    IF(G2847+Table13[[#This Row],[Steps]]&gt;99,(G2847+Table13[[#This Row],[Steps]])-100,G2847+Table13[[#This Row],[Steps]]),
))</f>
        <v>0</v>
      </c>
      <c r="G2848">
        <f>IF(Table13[[#This Row],[New Pos L]]&lt;&gt;0,Table13[[#This Row],[New Pos L]],Table13[[#This Row],[New Pos R]])</f>
        <v>0</v>
      </c>
      <c r="H2848">
        <f>IF(AND(Table13[[#This Row],[Direction]]="L",Table13[[#This Row],[Steps]]&gt;G2847,G2847&lt;&gt;0),1,0)</f>
        <v>0</v>
      </c>
      <c r="I2848">
        <f>IF(AND(Table13[[#This Row],[Direction]]="R",(G2847+Table13[[#This Row],[Steps]])&gt;100),1,0)</f>
        <v>0</v>
      </c>
      <c r="J2848">
        <f>IF(Table13[[#This Row],[POS]]=0,1,0)</f>
        <v>1</v>
      </c>
      <c r="K2848">
        <f>SUM(Table13[[#This Row],[prefix]],Table13[[#This Row],[Past zero L]],Table13[[#This Row],[Past Zero R]],Table13[[#This Row],[Is Zero]])</f>
        <v>1</v>
      </c>
    </row>
    <row r="2849" spans="1:11" ht="16" x14ac:dyDescent="0.2">
      <c r="A2849" s="1" t="s">
        <v>100</v>
      </c>
      <c r="B2849" t="str">
        <f>LEFT(Table13[[#This Row],[Input]],1)</f>
        <v>R</v>
      </c>
      <c r="C2849">
        <f>_xlfn.LET(_xlpm.steps,SUBSTITUTE(Table13[[#This Row],[Input]],Table13[[#This Row],[Direction]],""),VALUE(IF(LEN(_xlpm.steps)&gt;2,RIGHT(_xlpm.steps,2),_xlpm.steps)))</f>
        <v>58</v>
      </c>
      <c r="D2849">
        <f>_xlfn.LET(_xlpm.steps,SUBSTITUTE(Table13[[#This Row],[Input]],Table13[[#This Row],[Direction]],""),VALUE(IF(LEN(_xlpm.steps)&gt;2,LEFT(_xlpm.steps,LEN(_xlpm.steps)-2),0)))</f>
        <v>0</v>
      </c>
      <c r="E2849">
        <f>_xlfn.LET(_xlpm.dir,Table13[[#This Row],[Direction]],
IF(_xlpm.dir="L",
    IF(G2848-Table13[[#This Row],[Steps]]&lt;0,100+(G2848-Table13[[#This Row],[Steps]]),G2848-Table13[[#This Row],[Steps]]),
))</f>
        <v>0</v>
      </c>
      <c r="F2849">
        <f>_xlfn.LET(_xlpm.dir,Table13[[#This Row],[Direction]],
IF(_xlpm.dir="R",
    IF(G2848+Table13[[#This Row],[Steps]]&gt;99,(G2848+Table13[[#This Row],[Steps]])-100,G2848+Table13[[#This Row],[Steps]]),
))</f>
        <v>58</v>
      </c>
      <c r="G2849">
        <f>IF(Table13[[#This Row],[New Pos L]]&lt;&gt;0,Table13[[#This Row],[New Pos L]],Table13[[#This Row],[New Pos R]])</f>
        <v>58</v>
      </c>
      <c r="H2849">
        <f>IF(AND(Table13[[#This Row],[Direction]]="L",Table13[[#This Row],[Steps]]&gt;G2848,G2848&lt;&gt;0),1,0)</f>
        <v>0</v>
      </c>
      <c r="I2849">
        <f>IF(AND(Table13[[#This Row],[Direction]]="R",(G2848+Table13[[#This Row],[Steps]])&gt;100),1,0)</f>
        <v>0</v>
      </c>
      <c r="J2849">
        <f>IF(Table13[[#This Row],[POS]]=0,1,0)</f>
        <v>0</v>
      </c>
      <c r="K2849">
        <f>SUM(Table13[[#This Row],[prefix]],Table13[[#This Row],[Past zero L]],Table13[[#This Row],[Past Zero R]],Table13[[#This Row],[Is Zero]])</f>
        <v>0</v>
      </c>
    </row>
    <row r="2850" spans="1:11" ht="16" x14ac:dyDescent="0.2">
      <c r="A2850" s="1" t="s">
        <v>91</v>
      </c>
      <c r="B2850" t="str">
        <f>LEFT(Table13[[#This Row],[Input]],1)</f>
        <v>L</v>
      </c>
      <c r="C2850">
        <f>_xlfn.LET(_xlpm.steps,SUBSTITUTE(Table13[[#This Row],[Input]],Table13[[#This Row],[Direction]],""),VALUE(IF(LEN(_xlpm.steps)&gt;2,RIGHT(_xlpm.steps,2),_xlpm.steps)))</f>
        <v>22</v>
      </c>
      <c r="D2850">
        <f>_xlfn.LET(_xlpm.steps,SUBSTITUTE(Table13[[#This Row],[Input]],Table13[[#This Row],[Direction]],""),VALUE(IF(LEN(_xlpm.steps)&gt;2,LEFT(_xlpm.steps,LEN(_xlpm.steps)-2),0)))</f>
        <v>0</v>
      </c>
      <c r="E2850">
        <f>_xlfn.LET(_xlpm.dir,Table13[[#This Row],[Direction]],
IF(_xlpm.dir="L",
    IF(G2849-Table13[[#This Row],[Steps]]&lt;0,100+(G2849-Table13[[#This Row],[Steps]]),G2849-Table13[[#This Row],[Steps]]),
))</f>
        <v>36</v>
      </c>
      <c r="F2850">
        <f>_xlfn.LET(_xlpm.dir,Table13[[#This Row],[Direction]],
IF(_xlpm.dir="R",
    IF(G2849+Table13[[#This Row],[Steps]]&gt;99,(G2849+Table13[[#This Row],[Steps]])-100,G2849+Table13[[#This Row],[Steps]]),
))</f>
        <v>0</v>
      </c>
      <c r="G2850">
        <f>IF(Table13[[#This Row],[New Pos L]]&lt;&gt;0,Table13[[#This Row],[New Pos L]],Table13[[#This Row],[New Pos R]])</f>
        <v>36</v>
      </c>
      <c r="H2850">
        <f>IF(AND(Table13[[#This Row],[Direction]]="L",Table13[[#This Row],[Steps]]&gt;G2849,G2849&lt;&gt;0),1,0)</f>
        <v>0</v>
      </c>
      <c r="I2850">
        <f>IF(AND(Table13[[#This Row],[Direction]]="R",(G2849+Table13[[#This Row],[Steps]])&gt;100),1,0)</f>
        <v>0</v>
      </c>
      <c r="J2850">
        <f>IF(Table13[[#This Row],[POS]]=0,1,0)</f>
        <v>0</v>
      </c>
      <c r="K2850">
        <f>SUM(Table13[[#This Row],[prefix]],Table13[[#This Row],[Past zero L]],Table13[[#This Row],[Past Zero R]],Table13[[#This Row],[Is Zero]])</f>
        <v>0</v>
      </c>
    </row>
    <row r="2851" spans="1:11" ht="16" x14ac:dyDescent="0.2">
      <c r="A2851" s="1" t="s">
        <v>62</v>
      </c>
      <c r="B2851" t="str">
        <f>LEFT(Table13[[#This Row],[Input]],1)</f>
        <v>L</v>
      </c>
      <c r="C2851">
        <f>_xlfn.LET(_xlpm.steps,SUBSTITUTE(Table13[[#This Row],[Input]],Table13[[#This Row],[Direction]],""),VALUE(IF(LEN(_xlpm.steps)&gt;2,RIGHT(_xlpm.steps,2),_xlpm.steps)))</f>
        <v>57</v>
      </c>
      <c r="D2851">
        <f>_xlfn.LET(_xlpm.steps,SUBSTITUTE(Table13[[#This Row],[Input]],Table13[[#This Row],[Direction]],""),VALUE(IF(LEN(_xlpm.steps)&gt;2,LEFT(_xlpm.steps,LEN(_xlpm.steps)-2),0)))</f>
        <v>0</v>
      </c>
      <c r="E2851">
        <f>_xlfn.LET(_xlpm.dir,Table13[[#This Row],[Direction]],
IF(_xlpm.dir="L",
    IF(G2850-Table13[[#This Row],[Steps]]&lt;0,100+(G2850-Table13[[#This Row],[Steps]]),G2850-Table13[[#This Row],[Steps]]),
))</f>
        <v>79</v>
      </c>
      <c r="F2851">
        <f>_xlfn.LET(_xlpm.dir,Table13[[#This Row],[Direction]],
IF(_xlpm.dir="R",
    IF(G2850+Table13[[#This Row],[Steps]]&gt;99,(G2850+Table13[[#This Row],[Steps]])-100,G2850+Table13[[#This Row],[Steps]]),
))</f>
        <v>0</v>
      </c>
      <c r="G2851">
        <f>IF(Table13[[#This Row],[New Pos L]]&lt;&gt;0,Table13[[#This Row],[New Pos L]],Table13[[#This Row],[New Pos R]])</f>
        <v>79</v>
      </c>
      <c r="H2851">
        <f>IF(AND(Table13[[#This Row],[Direction]]="L",Table13[[#This Row],[Steps]]&gt;G2850,G2850&lt;&gt;0),1,0)</f>
        <v>1</v>
      </c>
      <c r="I2851">
        <f>IF(AND(Table13[[#This Row],[Direction]]="R",(G2850+Table13[[#This Row],[Steps]])&gt;100),1,0)</f>
        <v>0</v>
      </c>
      <c r="J2851">
        <f>IF(Table13[[#This Row],[POS]]=0,1,0)</f>
        <v>0</v>
      </c>
      <c r="K2851">
        <f>SUM(Table13[[#This Row],[prefix]],Table13[[#This Row],[Past zero L]],Table13[[#This Row],[Past Zero R]],Table13[[#This Row],[Is Zero]])</f>
        <v>1</v>
      </c>
    </row>
    <row r="2852" spans="1:11" ht="16" x14ac:dyDescent="0.2">
      <c r="A2852" s="1" t="s">
        <v>73</v>
      </c>
      <c r="B2852" t="str">
        <f>LEFT(Table13[[#This Row],[Input]],1)</f>
        <v>R</v>
      </c>
      <c r="C2852">
        <f>_xlfn.LET(_xlpm.steps,SUBSTITUTE(Table13[[#This Row],[Input]],Table13[[#This Row],[Direction]],""),VALUE(IF(LEN(_xlpm.steps)&gt;2,RIGHT(_xlpm.steps,2),_xlpm.steps)))</f>
        <v>21</v>
      </c>
      <c r="D2852">
        <f>_xlfn.LET(_xlpm.steps,SUBSTITUTE(Table13[[#This Row],[Input]],Table13[[#This Row],[Direction]],""),VALUE(IF(LEN(_xlpm.steps)&gt;2,LEFT(_xlpm.steps,LEN(_xlpm.steps)-2),0)))</f>
        <v>0</v>
      </c>
      <c r="E2852">
        <f>_xlfn.LET(_xlpm.dir,Table13[[#This Row],[Direction]],
IF(_xlpm.dir="L",
    IF(G2851-Table13[[#This Row],[Steps]]&lt;0,100+(G2851-Table13[[#This Row],[Steps]]),G2851-Table13[[#This Row],[Steps]]),
))</f>
        <v>0</v>
      </c>
      <c r="F2852">
        <f>_xlfn.LET(_xlpm.dir,Table13[[#This Row],[Direction]],
IF(_xlpm.dir="R",
    IF(G2851+Table13[[#This Row],[Steps]]&gt;99,(G2851+Table13[[#This Row],[Steps]])-100,G2851+Table13[[#This Row],[Steps]]),
))</f>
        <v>0</v>
      </c>
      <c r="G2852">
        <f>IF(Table13[[#This Row],[New Pos L]]&lt;&gt;0,Table13[[#This Row],[New Pos L]],Table13[[#This Row],[New Pos R]])</f>
        <v>0</v>
      </c>
      <c r="H2852">
        <f>IF(AND(Table13[[#This Row],[Direction]]="L",Table13[[#This Row],[Steps]]&gt;G2851,G2851&lt;&gt;0),1,0)</f>
        <v>0</v>
      </c>
      <c r="I2852">
        <f>IF(AND(Table13[[#This Row],[Direction]]="R",(G2851+Table13[[#This Row],[Steps]])&gt;100),1,0)</f>
        <v>0</v>
      </c>
      <c r="J2852">
        <f>IF(Table13[[#This Row],[POS]]=0,1,0)</f>
        <v>1</v>
      </c>
      <c r="K2852">
        <f>SUM(Table13[[#This Row],[prefix]],Table13[[#This Row],[Past zero L]],Table13[[#This Row],[Past Zero R]],Table13[[#This Row],[Is Zero]])</f>
        <v>1</v>
      </c>
    </row>
    <row r="2853" spans="1:11" ht="16" x14ac:dyDescent="0.2">
      <c r="A2853" s="1" t="s">
        <v>665</v>
      </c>
      <c r="B2853" t="str">
        <f>LEFT(Table13[[#This Row],[Input]],1)</f>
        <v>R</v>
      </c>
      <c r="C2853">
        <f>_xlfn.LET(_xlpm.steps,SUBSTITUTE(Table13[[#This Row],[Input]],Table13[[#This Row],[Direction]],""),VALUE(IF(LEN(_xlpm.steps)&gt;2,RIGHT(_xlpm.steps,2),_xlpm.steps)))</f>
        <v>7</v>
      </c>
      <c r="D2853">
        <f>_xlfn.LET(_xlpm.steps,SUBSTITUTE(Table13[[#This Row],[Input]],Table13[[#This Row],[Direction]],""),VALUE(IF(LEN(_xlpm.steps)&gt;2,LEFT(_xlpm.steps,LEN(_xlpm.steps)-2),0)))</f>
        <v>8</v>
      </c>
      <c r="E2853">
        <f>_xlfn.LET(_xlpm.dir,Table13[[#This Row],[Direction]],
IF(_xlpm.dir="L",
    IF(G2852-Table13[[#This Row],[Steps]]&lt;0,100+(G2852-Table13[[#This Row],[Steps]]),G2852-Table13[[#This Row],[Steps]]),
))</f>
        <v>0</v>
      </c>
      <c r="F2853">
        <f>_xlfn.LET(_xlpm.dir,Table13[[#This Row],[Direction]],
IF(_xlpm.dir="R",
    IF(G2852+Table13[[#This Row],[Steps]]&gt;99,(G2852+Table13[[#This Row],[Steps]])-100,G2852+Table13[[#This Row],[Steps]]),
))</f>
        <v>7</v>
      </c>
      <c r="G2853">
        <f>IF(Table13[[#This Row],[New Pos L]]&lt;&gt;0,Table13[[#This Row],[New Pos L]],Table13[[#This Row],[New Pos R]])</f>
        <v>7</v>
      </c>
      <c r="H2853">
        <f>IF(AND(Table13[[#This Row],[Direction]]="L",Table13[[#This Row],[Steps]]&gt;G2852,G2852&lt;&gt;0),1,0)</f>
        <v>0</v>
      </c>
      <c r="I2853">
        <f>IF(AND(Table13[[#This Row],[Direction]]="R",(G2852+Table13[[#This Row],[Steps]])&gt;100),1,0)</f>
        <v>0</v>
      </c>
      <c r="J2853">
        <f>IF(Table13[[#This Row],[POS]]=0,1,0)</f>
        <v>0</v>
      </c>
      <c r="K2853">
        <f>SUM(Table13[[#This Row],[prefix]],Table13[[#This Row],[Past zero L]],Table13[[#This Row],[Past Zero R]],Table13[[#This Row],[Is Zero]])</f>
        <v>8</v>
      </c>
    </row>
    <row r="2854" spans="1:11" ht="16" x14ac:dyDescent="0.2">
      <c r="A2854" s="1" t="s">
        <v>392</v>
      </c>
      <c r="B2854" t="str">
        <f>LEFT(Table13[[#This Row],[Input]],1)</f>
        <v>L</v>
      </c>
      <c r="C2854">
        <f>_xlfn.LET(_xlpm.steps,SUBSTITUTE(Table13[[#This Row],[Input]],Table13[[#This Row],[Direction]],""),VALUE(IF(LEN(_xlpm.steps)&gt;2,RIGHT(_xlpm.steps,2),_xlpm.steps)))</f>
        <v>36</v>
      </c>
      <c r="D2854">
        <f>_xlfn.LET(_xlpm.steps,SUBSTITUTE(Table13[[#This Row],[Input]],Table13[[#This Row],[Direction]],""),VALUE(IF(LEN(_xlpm.steps)&gt;2,LEFT(_xlpm.steps,LEN(_xlpm.steps)-2),0)))</f>
        <v>1</v>
      </c>
      <c r="E2854">
        <f>_xlfn.LET(_xlpm.dir,Table13[[#This Row],[Direction]],
IF(_xlpm.dir="L",
    IF(G2853-Table13[[#This Row],[Steps]]&lt;0,100+(G2853-Table13[[#This Row],[Steps]]),G2853-Table13[[#This Row],[Steps]]),
))</f>
        <v>71</v>
      </c>
      <c r="F2854">
        <f>_xlfn.LET(_xlpm.dir,Table13[[#This Row],[Direction]],
IF(_xlpm.dir="R",
    IF(G2853+Table13[[#This Row],[Steps]]&gt;99,(G2853+Table13[[#This Row],[Steps]])-100,G2853+Table13[[#This Row],[Steps]]),
))</f>
        <v>0</v>
      </c>
      <c r="G2854">
        <f>IF(Table13[[#This Row],[New Pos L]]&lt;&gt;0,Table13[[#This Row],[New Pos L]],Table13[[#This Row],[New Pos R]])</f>
        <v>71</v>
      </c>
      <c r="H2854">
        <f>IF(AND(Table13[[#This Row],[Direction]]="L",Table13[[#This Row],[Steps]]&gt;G2853,G2853&lt;&gt;0),1,0)</f>
        <v>1</v>
      </c>
      <c r="I2854">
        <f>IF(AND(Table13[[#This Row],[Direction]]="R",(G2853+Table13[[#This Row],[Steps]])&gt;100),1,0)</f>
        <v>0</v>
      </c>
      <c r="J2854">
        <f>IF(Table13[[#This Row],[POS]]=0,1,0)</f>
        <v>0</v>
      </c>
      <c r="K2854">
        <f>SUM(Table13[[#This Row],[prefix]],Table13[[#This Row],[Past zero L]],Table13[[#This Row],[Past Zero R]],Table13[[#This Row],[Is Zero]])</f>
        <v>2</v>
      </c>
    </row>
    <row r="2855" spans="1:11" ht="16" x14ac:dyDescent="0.2">
      <c r="A2855" s="1" t="s">
        <v>666</v>
      </c>
      <c r="B2855" t="str">
        <f>LEFT(Table13[[#This Row],[Input]],1)</f>
        <v>L</v>
      </c>
      <c r="C2855">
        <f>_xlfn.LET(_xlpm.steps,SUBSTITUTE(Table13[[#This Row],[Input]],Table13[[#This Row],[Direction]],""),VALUE(IF(LEN(_xlpm.steps)&gt;2,RIGHT(_xlpm.steps,2),_xlpm.steps)))</f>
        <v>78</v>
      </c>
      <c r="D2855">
        <f>_xlfn.LET(_xlpm.steps,SUBSTITUTE(Table13[[#This Row],[Input]],Table13[[#This Row],[Direction]],""),VALUE(IF(LEN(_xlpm.steps)&gt;2,LEFT(_xlpm.steps,LEN(_xlpm.steps)-2),0)))</f>
        <v>8</v>
      </c>
      <c r="E2855">
        <f>_xlfn.LET(_xlpm.dir,Table13[[#This Row],[Direction]],
IF(_xlpm.dir="L",
    IF(G2854-Table13[[#This Row],[Steps]]&lt;0,100+(G2854-Table13[[#This Row],[Steps]]),G2854-Table13[[#This Row],[Steps]]),
))</f>
        <v>93</v>
      </c>
      <c r="F2855">
        <f>_xlfn.LET(_xlpm.dir,Table13[[#This Row],[Direction]],
IF(_xlpm.dir="R",
    IF(G2854+Table13[[#This Row],[Steps]]&gt;99,(G2854+Table13[[#This Row],[Steps]])-100,G2854+Table13[[#This Row],[Steps]]),
))</f>
        <v>0</v>
      </c>
      <c r="G2855">
        <f>IF(Table13[[#This Row],[New Pos L]]&lt;&gt;0,Table13[[#This Row],[New Pos L]],Table13[[#This Row],[New Pos R]])</f>
        <v>93</v>
      </c>
      <c r="H2855">
        <f>IF(AND(Table13[[#This Row],[Direction]]="L",Table13[[#This Row],[Steps]]&gt;G2854,G2854&lt;&gt;0),1,0)</f>
        <v>1</v>
      </c>
      <c r="I2855">
        <f>IF(AND(Table13[[#This Row],[Direction]]="R",(G2854+Table13[[#This Row],[Steps]])&gt;100),1,0)</f>
        <v>0</v>
      </c>
      <c r="J2855">
        <f>IF(Table13[[#This Row],[POS]]=0,1,0)</f>
        <v>0</v>
      </c>
      <c r="K2855">
        <f>SUM(Table13[[#This Row],[prefix]],Table13[[#This Row],[Past zero L]],Table13[[#This Row],[Past Zero R]],Table13[[#This Row],[Is Zero]])</f>
        <v>9</v>
      </c>
    </row>
    <row r="2856" spans="1:11" ht="16" x14ac:dyDescent="0.2">
      <c r="A2856" s="1" t="s">
        <v>155</v>
      </c>
      <c r="B2856" t="str">
        <f>LEFT(Table13[[#This Row],[Input]],1)</f>
        <v>L</v>
      </c>
      <c r="C2856">
        <f>_xlfn.LET(_xlpm.steps,SUBSTITUTE(Table13[[#This Row],[Input]],Table13[[#This Row],[Direction]],""),VALUE(IF(LEN(_xlpm.steps)&gt;2,RIGHT(_xlpm.steps,2),_xlpm.steps)))</f>
        <v>18</v>
      </c>
      <c r="D2856">
        <f>_xlfn.LET(_xlpm.steps,SUBSTITUTE(Table13[[#This Row],[Input]],Table13[[#This Row],[Direction]],""),VALUE(IF(LEN(_xlpm.steps)&gt;2,LEFT(_xlpm.steps,LEN(_xlpm.steps)-2),0)))</f>
        <v>0</v>
      </c>
      <c r="E2856">
        <f>_xlfn.LET(_xlpm.dir,Table13[[#This Row],[Direction]],
IF(_xlpm.dir="L",
    IF(G2855-Table13[[#This Row],[Steps]]&lt;0,100+(G2855-Table13[[#This Row],[Steps]]),G2855-Table13[[#This Row],[Steps]]),
))</f>
        <v>75</v>
      </c>
      <c r="F2856">
        <f>_xlfn.LET(_xlpm.dir,Table13[[#This Row],[Direction]],
IF(_xlpm.dir="R",
    IF(G2855+Table13[[#This Row],[Steps]]&gt;99,(G2855+Table13[[#This Row],[Steps]])-100,G2855+Table13[[#This Row],[Steps]]),
))</f>
        <v>0</v>
      </c>
      <c r="G2856">
        <f>IF(Table13[[#This Row],[New Pos L]]&lt;&gt;0,Table13[[#This Row],[New Pos L]],Table13[[#This Row],[New Pos R]])</f>
        <v>75</v>
      </c>
      <c r="H2856">
        <f>IF(AND(Table13[[#This Row],[Direction]]="L",Table13[[#This Row],[Steps]]&gt;G2855,G2855&lt;&gt;0),1,0)</f>
        <v>0</v>
      </c>
      <c r="I2856">
        <f>IF(AND(Table13[[#This Row],[Direction]]="R",(G2855+Table13[[#This Row],[Steps]])&gt;100),1,0)</f>
        <v>0</v>
      </c>
      <c r="J2856">
        <f>IF(Table13[[#This Row],[POS]]=0,1,0)</f>
        <v>0</v>
      </c>
      <c r="K2856">
        <f>SUM(Table13[[#This Row],[prefix]],Table13[[#This Row],[Past zero L]],Table13[[#This Row],[Past Zero R]],Table13[[#This Row],[Is Zero]])</f>
        <v>0</v>
      </c>
    </row>
    <row r="2857" spans="1:11" ht="16" x14ac:dyDescent="0.2">
      <c r="A2857" s="1" t="s">
        <v>288</v>
      </c>
      <c r="B2857" t="str">
        <f>LEFT(Table13[[#This Row],[Input]],1)</f>
        <v>R</v>
      </c>
      <c r="C2857">
        <f>_xlfn.LET(_xlpm.steps,SUBSTITUTE(Table13[[#This Row],[Input]],Table13[[#This Row],[Direction]],""),VALUE(IF(LEN(_xlpm.steps)&gt;2,RIGHT(_xlpm.steps,2),_xlpm.steps)))</f>
        <v>25</v>
      </c>
      <c r="D2857">
        <f>_xlfn.LET(_xlpm.steps,SUBSTITUTE(Table13[[#This Row],[Input]],Table13[[#This Row],[Direction]],""),VALUE(IF(LEN(_xlpm.steps)&gt;2,LEFT(_xlpm.steps,LEN(_xlpm.steps)-2),0)))</f>
        <v>0</v>
      </c>
      <c r="E2857">
        <f>_xlfn.LET(_xlpm.dir,Table13[[#This Row],[Direction]],
IF(_xlpm.dir="L",
    IF(G2856-Table13[[#This Row],[Steps]]&lt;0,100+(G2856-Table13[[#This Row],[Steps]]),G2856-Table13[[#This Row],[Steps]]),
))</f>
        <v>0</v>
      </c>
      <c r="F2857">
        <f>_xlfn.LET(_xlpm.dir,Table13[[#This Row],[Direction]],
IF(_xlpm.dir="R",
    IF(G2856+Table13[[#This Row],[Steps]]&gt;99,(G2856+Table13[[#This Row],[Steps]])-100,G2856+Table13[[#This Row],[Steps]]),
))</f>
        <v>0</v>
      </c>
      <c r="G2857">
        <f>IF(Table13[[#This Row],[New Pos L]]&lt;&gt;0,Table13[[#This Row],[New Pos L]],Table13[[#This Row],[New Pos R]])</f>
        <v>0</v>
      </c>
      <c r="H2857">
        <f>IF(AND(Table13[[#This Row],[Direction]]="L",Table13[[#This Row],[Steps]]&gt;G2856,G2856&lt;&gt;0),1,0)</f>
        <v>0</v>
      </c>
      <c r="I2857">
        <f>IF(AND(Table13[[#This Row],[Direction]]="R",(G2856+Table13[[#This Row],[Steps]])&gt;100),1,0)</f>
        <v>0</v>
      </c>
      <c r="J2857">
        <f>IF(Table13[[#This Row],[POS]]=0,1,0)</f>
        <v>1</v>
      </c>
      <c r="K2857">
        <f>SUM(Table13[[#This Row],[prefix]],Table13[[#This Row],[Past zero L]],Table13[[#This Row],[Past Zero R]],Table13[[#This Row],[Is Zero]])</f>
        <v>1</v>
      </c>
    </row>
    <row r="2858" spans="1:11" ht="16" x14ac:dyDescent="0.2">
      <c r="A2858" s="1" t="s">
        <v>667</v>
      </c>
      <c r="B2858" t="str">
        <f>LEFT(Table13[[#This Row],[Input]],1)</f>
        <v>R</v>
      </c>
      <c r="C2858">
        <f>_xlfn.LET(_xlpm.steps,SUBSTITUTE(Table13[[#This Row],[Input]],Table13[[#This Row],[Direction]],""),VALUE(IF(LEN(_xlpm.steps)&gt;2,RIGHT(_xlpm.steps,2),_xlpm.steps)))</f>
        <v>83</v>
      </c>
      <c r="D2858">
        <f>_xlfn.LET(_xlpm.steps,SUBSTITUTE(Table13[[#This Row],[Input]],Table13[[#This Row],[Direction]],""),VALUE(IF(LEN(_xlpm.steps)&gt;2,LEFT(_xlpm.steps,LEN(_xlpm.steps)-2),0)))</f>
        <v>3</v>
      </c>
      <c r="E2858">
        <f>_xlfn.LET(_xlpm.dir,Table13[[#This Row],[Direction]],
IF(_xlpm.dir="L",
    IF(G2857-Table13[[#This Row],[Steps]]&lt;0,100+(G2857-Table13[[#This Row],[Steps]]),G2857-Table13[[#This Row],[Steps]]),
))</f>
        <v>0</v>
      </c>
      <c r="F2858">
        <f>_xlfn.LET(_xlpm.dir,Table13[[#This Row],[Direction]],
IF(_xlpm.dir="R",
    IF(G2857+Table13[[#This Row],[Steps]]&gt;99,(G2857+Table13[[#This Row],[Steps]])-100,G2857+Table13[[#This Row],[Steps]]),
))</f>
        <v>83</v>
      </c>
      <c r="G2858">
        <f>IF(Table13[[#This Row],[New Pos L]]&lt;&gt;0,Table13[[#This Row],[New Pos L]],Table13[[#This Row],[New Pos R]])</f>
        <v>83</v>
      </c>
      <c r="H2858">
        <f>IF(AND(Table13[[#This Row],[Direction]]="L",Table13[[#This Row],[Steps]]&gt;G2857,G2857&lt;&gt;0),1,0)</f>
        <v>0</v>
      </c>
      <c r="I2858">
        <f>IF(AND(Table13[[#This Row],[Direction]]="R",(G2857+Table13[[#This Row],[Steps]])&gt;100),1,0)</f>
        <v>0</v>
      </c>
      <c r="J2858">
        <f>IF(Table13[[#This Row],[POS]]=0,1,0)</f>
        <v>0</v>
      </c>
      <c r="K2858">
        <f>SUM(Table13[[#This Row],[prefix]],Table13[[#This Row],[Past zero L]],Table13[[#This Row],[Past Zero R]],Table13[[#This Row],[Is Zero]])</f>
        <v>3</v>
      </c>
    </row>
    <row r="2859" spans="1:11" ht="16" x14ac:dyDescent="0.2">
      <c r="A2859" s="1" t="s">
        <v>145</v>
      </c>
      <c r="B2859" t="str">
        <f>LEFT(Table13[[#This Row],[Input]],1)</f>
        <v>L</v>
      </c>
      <c r="C2859">
        <f>_xlfn.LET(_xlpm.steps,SUBSTITUTE(Table13[[#This Row],[Input]],Table13[[#This Row],[Direction]],""),VALUE(IF(LEN(_xlpm.steps)&gt;2,RIGHT(_xlpm.steps,2),_xlpm.steps)))</f>
        <v>83</v>
      </c>
      <c r="D2859">
        <f>_xlfn.LET(_xlpm.steps,SUBSTITUTE(Table13[[#This Row],[Input]],Table13[[#This Row],[Direction]],""),VALUE(IF(LEN(_xlpm.steps)&gt;2,LEFT(_xlpm.steps,LEN(_xlpm.steps)-2),0)))</f>
        <v>0</v>
      </c>
      <c r="E2859">
        <f>_xlfn.LET(_xlpm.dir,Table13[[#This Row],[Direction]],
IF(_xlpm.dir="L",
    IF(G2858-Table13[[#This Row],[Steps]]&lt;0,100+(G2858-Table13[[#This Row],[Steps]]),G2858-Table13[[#This Row],[Steps]]),
))</f>
        <v>0</v>
      </c>
      <c r="F2859">
        <f>_xlfn.LET(_xlpm.dir,Table13[[#This Row],[Direction]],
IF(_xlpm.dir="R",
    IF(G2858+Table13[[#This Row],[Steps]]&gt;99,(G2858+Table13[[#This Row],[Steps]])-100,G2858+Table13[[#This Row],[Steps]]),
))</f>
        <v>0</v>
      </c>
      <c r="G2859">
        <f>IF(Table13[[#This Row],[New Pos L]]&lt;&gt;0,Table13[[#This Row],[New Pos L]],Table13[[#This Row],[New Pos R]])</f>
        <v>0</v>
      </c>
      <c r="H2859">
        <f>IF(AND(Table13[[#This Row],[Direction]]="L",Table13[[#This Row],[Steps]]&gt;G2858,G2858&lt;&gt;0),1,0)</f>
        <v>0</v>
      </c>
      <c r="I2859">
        <f>IF(AND(Table13[[#This Row],[Direction]]="R",(G2858+Table13[[#This Row],[Steps]])&gt;100),1,0)</f>
        <v>0</v>
      </c>
      <c r="J2859">
        <f>IF(Table13[[#This Row],[POS]]=0,1,0)</f>
        <v>1</v>
      </c>
      <c r="K2859">
        <f>SUM(Table13[[#This Row],[prefix]],Table13[[#This Row],[Past zero L]],Table13[[#This Row],[Past Zero R]],Table13[[#This Row],[Is Zero]])</f>
        <v>1</v>
      </c>
    </row>
    <row r="2860" spans="1:11" ht="16" x14ac:dyDescent="0.2">
      <c r="A2860" s="1" t="s">
        <v>36</v>
      </c>
      <c r="B2860" t="str">
        <f>LEFT(Table13[[#This Row],[Input]],1)</f>
        <v>R</v>
      </c>
      <c r="C2860">
        <f>_xlfn.LET(_xlpm.steps,SUBSTITUTE(Table13[[#This Row],[Input]],Table13[[#This Row],[Direction]],""),VALUE(IF(LEN(_xlpm.steps)&gt;2,RIGHT(_xlpm.steps,2),_xlpm.steps)))</f>
        <v>50</v>
      </c>
      <c r="D2860">
        <f>_xlfn.LET(_xlpm.steps,SUBSTITUTE(Table13[[#This Row],[Input]],Table13[[#This Row],[Direction]],""),VALUE(IF(LEN(_xlpm.steps)&gt;2,LEFT(_xlpm.steps,LEN(_xlpm.steps)-2),0)))</f>
        <v>0</v>
      </c>
      <c r="E2860">
        <f>_xlfn.LET(_xlpm.dir,Table13[[#This Row],[Direction]],
IF(_xlpm.dir="L",
    IF(G2859-Table13[[#This Row],[Steps]]&lt;0,100+(G2859-Table13[[#This Row],[Steps]]),G2859-Table13[[#This Row],[Steps]]),
))</f>
        <v>0</v>
      </c>
      <c r="F2860">
        <f>_xlfn.LET(_xlpm.dir,Table13[[#This Row],[Direction]],
IF(_xlpm.dir="R",
    IF(G2859+Table13[[#This Row],[Steps]]&gt;99,(G2859+Table13[[#This Row],[Steps]])-100,G2859+Table13[[#This Row],[Steps]]),
))</f>
        <v>50</v>
      </c>
      <c r="G2860">
        <f>IF(Table13[[#This Row],[New Pos L]]&lt;&gt;0,Table13[[#This Row],[New Pos L]],Table13[[#This Row],[New Pos R]])</f>
        <v>50</v>
      </c>
      <c r="H2860">
        <f>IF(AND(Table13[[#This Row],[Direction]]="L",Table13[[#This Row],[Steps]]&gt;G2859,G2859&lt;&gt;0),1,0)</f>
        <v>0</v>
      </c>
      <c r="I2860">
        <f>IF(AND(Table13[[#This Row],[Direction]]="R",(G2859+Table13[[#This Row],[Steps]])&gt;100),1,0)</f>
        <v>0</v>
      </c>
      <c r="J2860">
        <f>IF(Table13[[#This Row],[POS]]=0,1,0)</f>
        <v>0</v>
      </c>
      <c r="K2860">
        <f>SUM(Table13[[#This Row],[prefix]],Table13[[#This Row],[Past zero L]],Table13[[#This Row],[Past Zero R]],Table13[[#This Row],[Is Zero]])</f>
        <v>0</v>
      </c>
    </row>
    <row r="2861" spans="1:11" ht="16" x14ac:dyDescent="0.2">
      <c r="A2861" s="1" t="s">
        <v>36</v>
      </c>
      <c r="B2861" t="str">
        <f>LEFT(Table13[[#This Row],[Input]],1)</f>
        <v>R</v>
      </c>
      <c r="C2861">
        <f>_xlfn.LET(_xlpm.steps,SUBSTITUTE(Table13[[#This Row],[Input]],Table13[[#This Row],[Direction]],""),VALUE(IF(LEN(_xlpm.steps)&gt;2,RIGHT(_xlpm.steps,2),_xlpm.steps)))</f>
        <v>50</v>
      </c>
      <c r="D2861">
        <f>_xlfn.LET(_xlpm.steps,SUBSTITUTE(Table13[[#This Row],[Input]],Table13[[#This Row],[Direction]],""),VALUE(IF(LEN(_xlpm.steps)&gt;2,LEFT(_xlpm.steps,LEN(_xlpm.steps)-2),0)))</f>
        <v>0</v>
      </c>
      <c r="E2861">
        <f>_xlfn.LET(_xlpm.dir,Table13[[#This Row],[Direction]],
IF(_xlpm.dir="L",
    IF(G2860-Table13[[#This Row],[Steps]]&lt;0,100+(G2860-Table13[[#This Row],[Steps]]),G2860-Table13[[#This Row],[Steps]]),
))</f>
        <v>0</v>
      </c>
      <c r="F2861">
        <f>_xlfn.LET(_xlpm.dir,Table13[[#This Row],[Direction]],
IF(_xlpm.dir="R",
    IF(G2860+Table13[[#This Row],[Steps]]&gt;99,(G2860+Table13[[#This Row],[Steps]])-100,G2860+Table13[[#This Row],[Steps]]),
))</f>
        <v>0</v>
      </c>
      <c r="G2861">
        <f>IF(Table13[[#This Row],[New Pos L]]&lt;&gt;0,Table13[[#This Row],[New Pos L]],Table13[[#This Row],[New Pos R]])</f>
        <v>0</v>
      </c>
      <c r="H2861">
        <f>IF(AND(Table13[[#This Row],[Direction]]="L",Table13[[#This Row],[Steps]]&gt;G2860,G2860&lt;&gt;0),1,0)</f>
        <v>0</v>
      </c>
      <c r="I2861">
        <f>IF(AND(Table13[[#This Row],[Direction]]="R",(G2860+Table13[[#This Row],[Steps]])&gt;100),1,0)</f>
        <v>0</v>
      </c>
      <c r="J2861">
        <f>IF(Table13[[#This Row],[POS]]=0,1,0)</f>
        <v>1</v>
      </c>
      <c r="K2861">
        <f>SUM(Table13[[#This Row],[prefix]],Table13[[#This Row],[Past zero L]],Table13[[#This Row],[Past Zero R]],Table13[[#This Row],[Is Zero]])</f>
        <v>1</v>
      </c>
    </row>
    <row r="2862" spans="1:11" ht="16" x14ac:dyDescent="0.2">
      <c r="A2862" s="1" t="s">
        <v>148</v>
      </c>
      <c r="B2862" t="str">
        <f>LEFT(Table13[[#This Row],[Input]],1)</f>
        <v>R</v>
      </c>
      <c r="C2862">
        <f>_xlfn.LET(_xlpm.steps,SUBSTITUTE(Table13[[#This Row],[Input]],Table13[[#This Row],[Direction]],""),VALUE(IF(LEN(_xlpm.steps)&gt;2,RIGHT(_xlpm.steps,2),_xlpm.steps)))</f>
        <v>80</v>
      </c>
      <c r="D2862">
        <f>_xlfn.LET(_xlpm.steps,SUBSTITUTE(Table13[[#This Row],[Input]],Table13[[#This Row],[Direction]],""),VALUE(IF(LEN(_xlpm.steps)&gt;2,LEFT(_xlpm.steps,LEN(_xlpm.steps)-2),0)))</f>
        <v>0</v>
      </c>
      <c r="E2862">
        <f>_xlfn.LET(_xlpm.dir,Table13[[#This Row],[Direction]],
IF(_xlpm.dir="L",
    IF(G2861-Table13[[#This Row],[Steps]]&lt;0,100+(G2861-Table13[[#This Row],[Steps]]),G2861-Table13[[#This Row],[Steps]]),
))</f>
        <v>0</v>
      </c>
      <c r="F2862">
        <f>_xlfn.LET(_xlpm.dir,Table13[[#This Row],[Direction]],
IF(_xlpm.dir="R",
    IF(G2861+Table13[[#This Row],[Steps]]&gt;99,(G2861+Table13[[#This Row],[Steps]])-100,G2861+Table13[[#This Row],[Steps]]),
))</f>
        <v>80</v>
      </c>
      <c r="G2862">
        <f>IF(Table13[[#This Row],[New Pos L]]&lt;&gt;0,Table13[[#This Row],[New Pos L]],Table13[[#This Row],[New Pos R]])</f>
        <v>80</v>
      </c>
      <c r="H2862">
        <f>IF(AND(Table13[[#This Row],[Direction]]="L",Table13[[#This Row],[Steps]]&gt;G2861,G2861&lt;&gt;0),1,0)</f>
        <v>0</v>
      </c>
      <c r="I2862">
        <f>IF(AND(Table13[[#This Row],[Direction]]="R",(G2861+Table13[[#This Row],[Steps]])&gt;100),1,0)</f>
        <v>0</v>
      </c>
      <c r="J2862">
        <f>IF(Table13[[#This Row],[POS]]=0,1,0)</f>
        <v>0</v>
      </c>
      <c r="K2862">
        <f>SUM(Table13[[#This Row],[prefix]],Table13[[#This Row],[Past zero L]],Table13[[#This Row],[Past Zero R]],Table13[[#This Row],[Is Zero]])</f>
        <v>0</v>
      </c>
    </row>
    <row r="2863" spans="1:11" ht="16" x14ac:dyDescent="0.2">
      <c r="A2863" s="1" t="s">
        <v>179</v>
      </c>
      <c r="B2863" t="str">
        <f>LEFT(Table13[[#This Row],[Input]],1)</f>
        <v>L</v>
      </c>
      <c r="C2863">
        <f>_xlfn.LET(_xlpm.steps,SUBSTITUTE(Table13[[#This Row],[Input]],Table13[[#This Row],[Direction]],""),VALUE(IF(LEN(_xlpm.steps)&gt;2,RIGHT(_xlpm.steps,2),_xlpm.steps)))</f>
        <v>54</v>
      </c>
      <c r="D2863">
        <f>_xlfn.LET(_xlpm.steps,SUBSTITUTE(Table13[[#This Row],[Input]],Table13[[#This Row],[Direction]],""),VALUE(IF(LEN(_xlpm.steps)&gt;2,LEFT(_xlpm.steps,LEN(_xlpm.steps)-2),0)))</f>
        <v>0</v>
      </c>
      <c r="E2863">
        <f>_xlfn.LET(_xlpm.dir,Table13[[#This Row],[Direction]],
IF(_xlpm.dir="L",
    IF(G2862-Table13[[#This Row],[Steps]]&lt;0,100+(G2862-Table13[[#This Row],[Steps]]),G2862-Table13[[#This Row],[Steps]]),
))</f>
        <v>26</v>
      </c>
      <c r="F2863">
        <f>_xlfn.LET(_xlpm.dir,Table13[[#This Row],[Direction]],
IF(_xlpm.dir="R",
    IF(G2862+Table13[[#This Row],[Steps]]&gt;99,(G2862+Table13[[#This Row],[Steps]])-100,G2862+Table13[[#This Row],[Steps]]),
))</f>
        <v>0</v>
      </c>
      <c r="G2863">
        <f>IF(Table13[[#This Row],[New Pos L]]&lt;&gt;0,Table13[[#This Row],[New Pos L]],Table13[[#This Row],[New Pos R]])</f>
        <v>26</v>
      </c>
      <c r="H2863">
        <f>IF(AND(Table13[[#This Row],[Direction]]="L",Table13[[#This Row],[Steps]]&gt;G2862,G2862&lt;&gt;0),1,0)</f>
        <v>0</v>
      </c>
      <c r="I2863">
        <f>IF(AND(Table13[[#This Row],[Direction]]="R",(G2862+Table13[[#This Row],[Steps]])&gt;100),1,0)</f>
        <v>0</v>
      </c>
      <c r="J2863">
        <f>IF(Table13[[#This Row],[POS]]=0,1,0)</f>
        <v>0</v>
      </c>
      <c r="K2863">
        <f>SUM(Table13[[#This Row],[prefix]],Table13[[#This Row],[Past zero L]],Table13[[#This Row],[Past Zero R]],Table13[[#This Row],[Is Zero]])</f>
        <v>0</v>
      </c>
    </row>
    <row r="2864" spans="1:11" ht="16" x14ac:dyDescent="0.2">
      <c r="A2864" s="1" t="s">
        <v>668</v>
      </c>
      <c r="B2864" t="str">
        <f>LEFT(Table13[[#This Row],[Input]],1)</f>
        <v>R</v>
      </c>
      <c r="C2864">
        <f>_xlfn.LET(_xlpm.steps,SUBSTITUTE(Table13[[#This Row],[Input]],Table13[[#This Row],[Direction]],""),VALUE(IF(LEN(_xlpm.steps)&gt;2,RIGHT(_xlpm.steps,2),_xlpm.steps)))</f>
        <v>74</v>
      </c>
      <c r="D2864">
        <f>_xlfn.LET(_xlpm.steps,SUBSTITUTE(Table13[[#This Row],[Input]],Table13[[#This Row],[Direction]],""),VALUE(IF(LEN(_xlpm.steps)&gt;2,LEFT(_xlpm.steps,LEN(_xlpm.steps)-2),0)))</f>
        <v>4</v>
      </c>
      <c r="E2864">
        <f>_xlfn.LET(_xlpm.dir,Table13[[#This Row],[Direction]],
IF(_xlpm.dir="L",
    IF(G2863-Table13[[#This Row],[Steps]]&lt;0,100+(G2863-Table13[[#This Row],[Steps]]),G2863-Table13[[#This Row],[Steps]]),
))</f>
        <v>0</v>
      </c>
      <c r="F2864">
        <f>_xlfn.LET(_xlpm.dir,Table13[[#This Row],[Direction]],
IF(_xlpm.dir="R",
    IF(G2863+Table13[[#This Row],[Steps]]&gt;99,(G2863+Table13[[#This Row],[Steps]])-100,G2863+Table13[[#This Row],[Steps]]),
))</f>
        <v>0</v>
      </c>
      <c r="G2864">
        <f>IF(Table13[[#This Row],[New Pos L]]&lt;&gt;0,Table13[[#This Row],[New Pos L]],Table13[[#This Row],[New Pos R]])</f>
        <v>0</v>
      </c>
      <c r="H2864">
        <f>IF(AND(Table13[[#This Row],[Direction]]="L",Table13[[#This Row],[Steps]]&gt;G2863,G2863&lt;&gt;0),1,0)</f>
        <v>0</v>
      </c>
      <c r="I2864">
        <f>IF(AND(Table13[[#This Row],[Direction]]="R",(G2863+Table13[[#This Row],[Steps]])&gt;100),1,0)</f>
        <v>0</v>
      </c>
      <c r="J2864">
        <f>IF(Table13[[#This Row],[POS]]=0,1,0)</f>
        <v>1</v>
      </c>
      <c r="K2864">
        <f>SUM(Table13[[#This Row],[prefix]],Table13[[#This Row],[Past zero L]],Table13[[#This Row],[Past Zero R]],Table13[[#This Row],[Is Zero]])</f>
        <v>5</v>
      </c>
    </row>
    <row r="2865" spans="1:11" ht="16" x14ac:dyDescent="0.2">
      <c r="A2865" s="1" t="s">
        <v>151</v>
      </c>
      <c r="B2865" t="str">
        <f>LEFT(Table13[[#This Row],[Input]],1)</f>
        <v>L</v>
      </c>
      <c r="C2865">
        <f>_xlfn.LET(_xlpm.steps,SUBSTITUTE(Table13[[#This Row],[Input]],Table13[[#This Row],[Direction]],""),VALUE(IF(LEN(_xlpm.steps)&gt;2,RIGHT(_xlpm.steps,2),_xlpm.steps)))</f>
        <v>74</v>
      </c>
      <c r="D2865">
        <f>_xlfn.LET(_xlpm.steps,SUBSTITUTE(Table13[[#This Row],[Input]],Table13[[#This Row],[Direction]],""),VALUE(IF(LEN(_xlpm.steps)&gt;2,LEFT(_xlpm.steps,LEN(_xlpm.steps)-2),0)))</f>
        <v>0</v>
      </c>
      <c r="E2865">
        <f>_xlfn.LET(_xlpm.dir,Table13[[#This Row],[Direction]],
IF(_xlpm.dir="L",
    IF(G2864-Table13[[#This Row],[Steps]]&lt;0,100+(G2864-Table13[[#This Row],[Steps]]),G2864-Table13[[#This Row],[Steps]]),
))</f>
        <v>26</v>
      </c>
      <c r="F2865">
        <f>_xlfn.LET(_xlpm.dir,Table13[[#This Row],[Direction]],
IF(_xlpm.dir="R",
    IF(G2864+Table13[[#This Row],[Steps]]&gt;99,(G2864+Table13[[#This Row],[Steps]])-100,G2864+Table13[[#This Row],[Steps]]),
))</f>
        <v>0</v>
      </c>
      <c r="G2865">
        <f>IF(Table13[[#This Row],[New Pos L]]&lt;&gt;0,Table13[[#This Row],[New Pos L]],Table13[[#This Row],[New Pos R]])</f>
        <v>26</v>
      </c>
      <c r="H2865">
        <f>IF(AND(Table13[[#This Row],[Direction]]="L",Table13[[#This Row],[Steps]]&gt;G2864,G2864&lt;&gt;0),1,0)</f>
        <v>0</v>
      </c>
      <c r="I2865">
        <f>IF(AND(Table13[[#This Row],[Direction]]="R",(G2864+Table13[[#This Row],[Steps]])&gt;100),1,0)</f>
        <v>0</v>
      </c>
      <c r="J2865">
        <f>IF(Table13[[#This Row],[POS]]=0,1,0)</f>
        <v>0</v>
      </c>
      <c r="K2865">
        <f>SUM(Table13[[#This Row],[prefix]],Table13[[#This Row],[Past zero L]],Table13[[#This Row],[Past Zero R]],Table13[[#This Row],[Is Zero]])</f>
        <v>0</v>
      </c>
    </row>
    <row r="2866" spans="1:11" ht="16" x14ac:dyDescent="0.2">
      <c r="A2866" s="1" t="s">
        <v>77</v>
      </c>
      <c r="B2866" t="str">
        <f>LEFT(Table13[[#This Row],[Input]],1)</f>
        <v>R</v>
      </c>
      <c r="C2866">
        <f>_xlfn.LET(_xlpm.steps,SUBSTITUTE(Table13[[#This Row],[Input]],Table13[[#This Row],[Direction]],""),VALUE(IF(LEN(_xlpm.steps)&gt;2,RIGHT(_xlpm.steps,2),_xlpm.steps)))</f>
        <v>74</v>
      </c>
      <c r="D2866">
        <f>_xlfn.LET(_xlpm.steps,SUBSTITUTE(Table13[[#This Row],[Input]],Table13[[#This Row],[Direction]],""),VALUE(IF(LEN(_xlpm.steps)&gt;2,LEFT(_xlpm.steps,LEN(_xlpm.steps)-2),0)))</f>
        <v>0</v>
      </c>
      <c r="E2866">
        <f>_xlfn.LET(_xlpm.dir,Table13[[#This Row],[Direction]],
IF(_xlpm.dir="L",
    IF(G2865-Table13[[#This Row],[Steps]]&lt;0,100+(G2865-Table13[[#This Row],[Steps]]),G2865-Table13[[#This Row],[Steps]]),
))</f>
        <v>0</v>
      </c>
      <c r="F2866">
        <f>_xlfn.LET(_xlpm.dir,Table13[[#This Row],[Direction]],
IF(_xlpm.dir="R",
    IF(G2865+Table13[[#This Row],[Steps]]&gt;99,(G2865+Table13[[#This Row],[Steps]])-100,G2865+Table13[[#This Row],[Steps]]),
))</f>
        <v>0</v>
      </c>
      <c r="G2866">
        <f>IF(Table13[[#This Row],[New Pos L]]&lt;&gt;0,Table13[[#This Row],[New Pos L]],Table13[[#This Row],[New Pos R]])</f>
        <v>0</v>
      </c>
      <c r="H2866">
        <f>IF(AND(Table13[[#This Row],[Direction]]="L",Table13[[#This Row],[Steps]]&gt;G2865,G2865&lt;&gt;0),1,0)</f>
        <v>0</v>
      </c>
      <c r="I2866">
        <f>IF(AND(Table13[[#This Row],[Direction]]="R",(G2865+Table13[[#This Row],[Steps]])&gt;100),1,0)</f>
        <v>0</v>
      </c>
      <c r="J2866">
        <f>IF(Table13[[#This Row],[POS]]=0,1,0)</f>
        <v>1</v>
      </c>
      <c r="K2866">
        <f>SUM(Table13[[#This Row],[prefix]],Table13[[#This Row],[Past zero L]],Table13[[#This Row],[Past Zero R]],Table13[[#This Row],[Is Zero]])</f>
        <v>1</v>
      </c>
    </row>
    <row r="2867" spans="1:11" ht="16" x14ac:dyDescent="0.2">
      <c r="A2867" s="1" t="s">
        <v>275</v>
      </c>
      <c r="B2867" t="str">
        <f>LEFT(Table13[[#This Row],[Input]],1)</f>
        <v>R</v>
      </c>
      <c r="C2867">
        <f>_xlfn.LET(_xlpm.steps,SUBSTITUTE(Table13[[#This Row],[Input]],Table13[[#This Row],[Direction]],""),VALUE(IF(LEN(_xlpm.steps)&gt;2,RIGHT(_xlpm.steps,2),_xlpm.steps)))</f>
        <v>97</v>
      </c>
      <c r="D2867">
        <f>_xlfn.LET(_xlpm.steps,SUBSTITUTE(Table13[[#This Row],[Input]],Table13[[#This Row],[Direction]],""),VALUE(IF(LEN(_xlpm.steps)&gt;2,LEFT(_xlpm.steps,LEN(_xlpm.steps)-2),0)))</f>
        <v>3</v>
      </c>
      <c r="E2867">
        <f>_xlfn.LET(_xlpm.dir,Table13[[#This Row],[Direction]],
IF(_xlpm.dir="L",
    IF(G2866-Table13[[#This Row],[Steps]]&lt;0,100+(G2866-Table13[[#This Row],[Steps]]),G2866-Table13[[#This Row],[Steps]]),
))</f>
        <v>0</v>
      </c>
      <c r="F2867">
        <f>_xlfn.LET(_xlpm.dir,Table13[[#This Row],[Direction]],
IF(_xlpm.dir="R",
    IF(G2866+Table13[[#This Row],[Steps]]&gt;99,(G2866+Table13[[#This Row],[Steps]])-100,G2866+Table13[[#This Row],[Steps]]),
))</f>
        <v>97</v>
      </c>
      <c r="G2867">
        <f>IF(Table13[[#This Row],[New Pos L]]&lt;&gt;0,Table13[[#This Row],[New Pos L]],Table13[[#This Row],[New Pos R]])</f>
        <v>97</v>
      </c>
      <c r="H2867">
        <f>IF(AND(Table13[[#This Row],[Direction]]="L",Table13[[#This Row],[Steps]]&gt;G2866,G2866&lt;&gt;0),1,0)</f>
        <v>0</v>
      </c>
      <c r="I2867">
        <f>IF(AND(Table13[[#This Row],[Direction]]="R",(G2866+Table13[[#This Row],[Steps]])&gt;100),1,0)</f>
        <v>0</v>
      </c>
      <c r="J2867">
        <f>IF(Table13[[#This Row],[POS]]=0,1,0)</f>
        <v>0</v>
      </c>
      <c r="K2867">
        <f>SUM(Table13[[#This Row],[prefix]],Table13[[#This Row],[Past zero L]],Table13[[#This Row],[Past Zero R]],Table13[[#This Row],[Is Zero]])</f>
        <v>3</v>
      </c>
    </row>
    <row r="2868" spans="1:11" ht="16" x14ac:dyDescent="0.2">
      <c r="A2868" s="1" t="s">
        <v>234</v>
      </c>
      <c r="B2868" t="str">
        <f>LEFT(Table13[[#This Row],[Input]],1)</f>
        <v>R</v>
      </c>
      <c r="C2868">
        <f>_xlfn.LET(_xlpm.steps,SUBSTITUTE(Table13[[#This Row],[Input]],Table13[[#This Row],[Direction]],""),VALUE(IF(LEN(_xlpm.steps)&gt;2,RIGHT(_xlpm.steps,2),_xlpm.steps)))</f>
        <v>82</v>
      </c>
      <c r="D2868">
        <f>_xlfn.LET(_xlpm.steps,SUBSTITUTE(Table13[[#This Row],[Input]],Table13[[#This Row],[Direction]],""),VALUE(IF(LEN(_xlpm.steps)&gt;2,LEFT(_xlpm.steps,LEN(_xlpm.steps)-2),0)))</f>
        <v>0</v>
      </c>
      <c r="E2868">
        <f>_xlfn.LET(_xlpm.dir,Table13[[#This Row],[Direction]],
IF(_xlpm.dir="L",
    IF(G2867-Table13[[#This Row],[Steps]]&lt;0,100+(G2867-Table13[[#This Row],[Steps]]),G2867-Table13[[#This Row],[Steps]]),
))</f>
        <v>0</v>
      </c>
      <c r="F2868">
        <f>_xlfn.LET(_xlpm.dir,Table13[[#This Row],[Direction]],
IF(_xlpm.dir="R",
    IF(G2867+Table13[[#This Row],[Steps]]&gt;99,(G2867+Table13[[#This Row],[Steps]])-100,G2867+Table13[[#This Row],[Steps]]),
))</f>
        <v>79</v>
      </c>
      <c r="G2868">
        <f>IF(Table13[[#This Row],[New Pos L]]&lt;&gt;0,Table13[[#This Row],[New Pos L]],Table13[[#This Row],[New Pos R]])</f>
        <v>79</v>
      </c>
      <c r="H2868">
        <f>IF(AND(Table13[[#This Row],[Direction]]="L",Table13[[#This Row],[Steps]]&gt;G2867,G2867&lt;&gt;0),1,0)</f>
        <v>0</v>
      </c>
      <c r="I2868">
        <f>IF(AND(Table13[[#This Row],[Direction]]="R",(G2867+Table13[[#This Row],[Steps]])&gt;100),1,0)</f>
        <v>1</v>
      </c>
      <c r="J2868">
        <f>IF(Table13[[#This Row],[POS]]=0,1,0)</f>
        <v>0</v>
      </c>
      <c r="K2868">
        <f>SUM(Table13[[#This Row],[prefix]],Table13[[#This Row],[Past zero L]],Table13[[#This Row],[Past Zero R]],Table13[[#This Row],[Is Zero]])</f>
        <v>1</v>
      </c>
    </row>
    <row r="2869" spans="1:11" ht="16" x14ac:dyDescent="0.2">
      <c r="A2869" s="1" t="s">
        <v>114</v>
      </c>
      <c r="B2869" t="str">
        <f>LEFT(Table13[[#This Row],[Input]],1)</f>
        <v>R</v>
      </c>
      <c r="C2869">
        <f>_xlfn.LET(_xlpm.steps,SUBSTITUTE(Table13[[#This Row],[Input]],Table13[[#This Row],[Direction]],""),VALUE(IF(LEN(_xlpm.steps)&gt;2,RIGHT(_xlpm.steps,2),_xlpm.steps)))</f>
        <v>70</v>
      </c>
      <c r="D2869">
        <f>_xlfn.LET(_xlpm.steps,SUBSTITUTE(Table13[[#This Row],[Input]],Table13[[#This Row],[Direction]],""),VALUE(IF(LEN(_xlpm.steps)&gt;2,LEFT(_xlpm.steps,LEN(_xlpm.steps)-2),0)))</f>
        <v>0</v>
      </c>
      <c r="E2869">
        <f>_xlfn.LET(_xlpm.dir,Table13[[#This Row],[Direction]],
IF(_xlpm.dir="L",
    IF(G2868-Table13[[#This Row],[Steps]]&lt;0,100+(G2868-Table13[[#This Row],[Steps]]),G2868-Table13[[#This Row],[Steps]]),
))</f>
        <v>0</v>
      </c>
      <c r="F2869">
        <f>_xlfn.LET(_xlpm.dir,Table13[[#This Row],[Direction]],
IF(_xlpm.dir="R",
    IF(G2868+Table13[[#This Row],[Steps]]&gt;99,(G2868+Table13[[#This Row],[Steps]])-100,G2868+Table13[[#This Row],[Steps]]),
))</f>
        <v>49</v>
      </c>
      <c r="G2869">
        <f>IF(Table13[[#This Row],[New Pos L]]&lt;&gt;0,Table13[[#This Row],[New Pos L]],Table13[[#This Row],[New Pos R]])</f>
        <v>49</v>
      </c>
      <c r="H2869">
        <f>IF(AND(Table13[[#This Row],[Direction]]="L",Table13[[#This Row],[Steps]]&gt;G2868,G2868&lt;&gt;0),1,0)</f>
        <v>0</v>
      </c>
      <c r="I2869">
        <f>IF(AND(Table13[[#This Row],[Direction]]="R",(G2868+Table13[[#This Row],[Steps]])&gt;100),1,0)</f>
        <v>1</v>
      </c>
      <c r="J2869">
        <f>IF(Table13[[#This Row],[POS]]=0,1,0)</f>
        <v>0</v>
      </c>
      <c r="K2869">
        <f>SUM(Table13[[#This Row],[prefix]],Table13[[#This Row],[Past zero L]],Table13[[#This Row],[Past Zero R]],Table13[[#This Row],[Is Zero]])</f>
        <v>1</v>
      </c>
    </row>
    <row r="2870" spans="1:11" ht="16" x14ac:dyDescent="0.2">
      <c r="A2870" s="1" t="s">
        <v>88</v>
      </c>
      <c r="B2870" t="str">
        <f>LEFT(Table13[[#This Row],[Input]],1)</f>
        <v>R</v>
      </c>
      <c r="C2870">
        <f>_xlfn.LET(_xlpm.steps,SUBSTITUTE(Table13[[#This Row],[Input]],Table13[[#This Row],[Direction]],""),VALUE(IF(LEN(_xlpm.steps)&gt;2,RIGHT(_xlpm.steps,2),_xlpm.steps)))</f>
        <v>53</v>
      </c>
      <c r="D2870">
        <f>_xlfn.LET(_xlpm.steps,SUBSTITUTE(Table13[[#This Row],[Input]],Table13[[#This Row],[Direction]],""),VALUE(IF(LEN(_xlpm.steps)&gt;2,LEFT(_xlpm.steps,LEN(_xlpm.steps)-2),0)))</f>
        <v>0</v>
      </c>
      <c r="E2870">
        <f>_xlfn.LET(_xlpm.dir,Table13[[#This Row],[Direction]],
IF(_xlpm.dir="L",
    IF(G2869-Table13[[#This Row],[Steps]]&lt;0,100+(G2869-Table13[[#This Row],[Steps]]),G2869-Table13[[#This Row],[Steps]]),
))</f>
        <v>0</v>
      </c>
      <c r="F2870">
        <f>_xlfn.LET(_xlpm.dir,Table13[[#This Row],[Direction]],
IF(_xlpm.dir="R",
    IF(G2869+Table13[[#This Row],[Steps]]&gt;99,(G2869+Table13[[#This Row],[Steps]])-100,G2869+Table13[[#This Row],[Steps]]),
))</f>
        <v>2</v>
      </c>
      <c r="G2870">
        <f>IF(Table13[[#This Row],[New Pos L]]&lt;&gt;0,Table13[[#This Row],[New Pos L]],Table13[[#This Row],[New Pos R]])</f>
        <v>2</v>
      </c>
      <c r="H2870">
        <f>IF(AND(Table13[[#This Row],[Direction]]="L",Table13[[#This Row],[Steps]]&gt;G2869,G2869&lt;&gt;0),1,0)</f>
        <v>0</v>
      </c>
      <c r="I2870">
        <f>IF(AND(Table13[[#This Row],[Direction]]="R",(G2869+Table13[[#This Row],[Steps]])&gt;100),1,0)</f>
        <v>1</v>
      </c>
      <c r="J2870">
        <f>IF(Table13[[#This Row],[POS]]=0,1,0)</f>
        <v>0</v>
      </c>
      <c r="K2870">
        <f>SUM(Table13[[#This Row],[prefix]],Table13[[#This Row],[Past zero L]],Table13[[#This Row],[Past Zero R]],Table13[[#This Row],[Is Zero]])</f>
        <v>1</v>
      </c>
    </row>
    <row r="2871" spans="1:11" ht="16" x14ac:dyDescent="0.2">
      <c r="A2871" s="1" t="s">
        <v>105</v>
      </c>
      <c r="B2871" t="str">
        <f>LEFT(Table13[[#This Row],[Input]],1)</f>
        <v>R</v>
      </c>
      <c r="C2871">
        <f>_xlfn.LET(_xlpm.steps,SUBSTITUTE(Table13[[#This Row],[Input]],Table13[[#This Row],[Direction]],""),VALUE(IF(LEN(_xlpm.steps)&gt;2,RIGHT(_xlpm.steps,2),_xlpm.steps)))</f>
        <v>98</v>
      </c>
      <c r="D2871">
        <f>_xlfn.LET(_xlpm.steps,SUBSTITUTE(Table13[[#This Row],[Input]],Table13[[#This Row],[Direction]],""),VALUE(IF(LEN(_xlpm.steps)&gt;2,LEFT(_xlpm.steps,LEN(_xlpm.steps)-2),0)))</f>
        <v>0</v>
      </c>
      <c r="E2871">
        <f>_xlfn.LET(_xlpm.dir,Table13[[#This Row],[Direction]],
IF(_xlpm.dir="L",
    IF(G2870-Table13[[#This Row],[Steps]]&lt;0,100+(G2870-Table13[[#This Row],[Steps]]),G2870-Table13[[#This Row],[Steps]]),
))</f>
        <v>0</v>
      </c>
      <c r="F2871">
        <f>_xlfn.LET(_xlpm.dir,Table13[[#This Row],[Direction]],
IF(_xlpm.dir="R",
    IF(G2870+Table13[[#This Row],[Steps]]&gt;99,(G2870+Table13[[#This Row],[Steps]])-100,G2870+Table13[[#This Row],[Steps]]),
))</f>
        <v>0</v>
      </c>
      <c r="G2871">
        <f>IF(Table13[[#This Row],[New Pos L]]&lt;&gt;0,Table13[[#This Row],[New Pos L]],Table13[[#This Row],[New Pos R]])</f>
        <v>0</v>
      </c>
      <c r="H2871">
        <f>IF(AND(Table13[[#This Row],[Direction]]="L",Table13[[#This Row],[Steps]]&gt;G2870,G2870&lt;&gt;0),1,0)</f>
        <v>0</v>
      </c>
      <c r="I2871">
        <f>IF(AND(Table13[[#This Row],[Direction]]="R",(G2870+Table13[[#This Row],[Steps]])&gt;100),1,0)</f>
        <v>0</v>
      </c>
      <c r="J2871">
        <f>IF(Table13[[#This Row],[POS]]=0,1,0)</f>
        <v>1</v>
      </c>
      <c r="K2871">
        <f>SUM(Table13[[#This Row],[prefix]],Table13[[#This Row],[Past zero L]],Table13[[#This Row],[Past Zero R]],Table13[[#This Row],[Is Zero]])</f>
        <v>1</v>
      </c>
    </row>
    <row r="2872" spans="1:11" ht="16" x14ac:dyDescent="0.2">
      <c r="A2872" s="1" t="s">
        <v>272</v>
      </c>
      <c r="B2872" t="str">
        <f>LEFT(Table13[[#This Row],[Input]],1)</f>
        <v>R</v>
      </c>
      <c r="C2872">
        <f>_xlfn.LET(_xlpm.steps,SUBSTITUTE(Table13[[#This Row],[Input]],Table13[[#This Row],[Direction]],""),VALUE(IF(LEN(_xlpm.steps)&gt;2,RIGHT(_xlpm.steps,2),_xlpm.steps)))</f>
        <v>56</v>
      </c>
      <c r="D2872">
        <f>_xlfn.LET(_xlpm.steps,SUBSTITUTE(Table13[[#This Row],[Input]],Table13[[#This Row],[Direction]],""),VALUE(IF(LEN(_xlpm.steps)&gt;2,LEFT(_xlpm.steps,LEN(_xlpm.steps)-2),0)))</f>
        <v>0</v>
      </c>
      <c r="E2872">
        <f>_xlfn.LET(_xlpm.dir,Table13[[#This Row],[Direction]],
IF(_xlpm.dir="L",
    IF(G2871-Table13[[#This Row],[Steps]]&lt;0,100+(G2871-Table13[[#This Row],[Steps]]),G2871-Table13[[#This Row],[Steps]]),
))</f>
        <v>0</v>
      </c>
      <c r="F2872">
        <f>_xlfn.LET(_xlpm.dir,Table13[[#This Row],[Direction]],
IF(_xlpm.dir="R",
    IF(G2871+Table13[[#This Row],[Steps]]&gt;99,(G2871+Table13[[#This Row],[Steps]])-100,G2871+Table13[[#This Row],[Steps]]),
))</f>
        <v>56</v>
      </c>
      <c r="G2872">
        <f>IF(Table13[[#This Row],[New Pos L]]&lt;&gt;0,Table13[[#This Row],[New Pos L]],Table13[[#This Row],[New Pos R]])</f>
        <v>56</v>
      </c>
      <c r="H2872">
        <f>IF(AND(Table13[[#This Row],[Direction]]="L",Table13[[#This Row],[Steps]]&gt;G2871,G2871&lt;&gt;0),1,0)</f>
        <v>0</v>
      </c>
      <c r="I2872">
        <f>IF(AND(Table13[[#This Row],[Direction]]="R",(G2871+Table13[[#This Row],[Steps]])&gt;100),1,0)</f>
        <v>0</v>
      </c>
      <c r="J2872">
        <f>IF(Table13[[#This Row],[POS]]=0,1,0)</f>
        <v>0</v>
      </c>
      <c r="K2872">
        <f>SUM(Table13[[#This Row],[prefix]],Table13[[#This Row],[Past zero L]],Table13[[#This Row],[Past Zero R]],Table13[[#This Row],[Is Zero]])</f>
        <v>0</v>
      </c>
    </row>
    <row r="2873" spans="1:11" ht="16" x14ac:dyDescent="0.2">
      <c r="A2873" s="1" t="s">
        <v>53</v>
      </c>
      <c r="B2873" t="str">
        <f>LEFT(Table13[[#This Row],[Input]],1)</f>
        <v>L</v>
      </c>
      <c r="C2873">
        <f>_xlfn.LET(_xlpm.steps,SUBSTITUTE(Table13[[#This Row],[Input]],Table13[[#This Row],[Direction]],""),VALUE(IF(LEN(_xlpm.steps)&gt;2,RIGHT(_xlpm.steps,2),_xlpm.steps)))</f>
        <v>56</v>
      </c>
      <c r="D2873">
        <f>_xlfn.LET(_xlpm.steps,SUBSTITUTE(Table13[[#This Row],[Input]],Table13[[#This Row],[Direction]],""),VALUE(IF(LEN(_xlpm.steps)&gt;2,LEFT(_xlpm.steps,LEN(_xlpm.steps)-2),0)))</f>
        <v>0</v>
      </c>
      <c r="E2873">
        <f>_xlfn.LET(_xlpm.dir,Table13[[#This Row],[Direction]],
IF(_xlpm.dir="L",
    IF(G2872-Table13[[#This Row],[Steps]]&lt;0,100+(G2872-Table13[[#This Row],[Steps]]),G2872-Table13[[#This Row],[Steps]]),
))</f>
        <v>0</v>
      </c>
      <c r="F2873">
        <f>_xlfn.LET(_xlpm.dir,Table13[[#This Row],[Direction]],
IF(_xlpm.dir="R",
    IF(G2872+Table13[[#This Row],[Steps]]&gt;99,(G2872+Table13[[#This Row],[Steps]])-100,G2872+Table13[[#This Row],[Steps]]),
))</f>
        <v>0</v>
      </c>
      <c r="G2873">
        <f>IF(Table13[[#This Row],[New Pos L]]&lt;&gt;0,Table13[[#This Row],[New Pos L]],Table13[[#This Row],[New Pos R]])</f>
        <v>0</v>
      </c>
      <c r="H2873">
        <f>IF(AND(Table13[[#This Row],[Direction]]="L",Table13[[#This Row],[Steps]]&gt;G2872,G2872&lt;&gt;0),1,0)</f>
        <v>0</v>
      </c>
      <c r="I2873">
        <f>IF(AND(Table13[[#This Row],[Direction]]="R",(G2872+Table13[[#This Row],[Steps]])&gt;100),1,0)</f>
        <v>0</v>
      </c>
      <c r="J2873">
        <f>IF(Table13[[#This Row],[POS]]=0,1,0)</f>
        <v>1</v>
      </c>
      <c r="K2873">
        <f>SUM(Table13[[#This Row],[prefix]],Table13[[#This Row],[Past zero L]],Table13[[#This Row],[Past Zero R]],Table13[[#This Row],[Is Zero]])</f>
        <v>1</v>
      </c>
    </row>
    <row r="2874" spans="1:11" ht="16" x14ac:dyDescent="0.2">
      <c r="A2874" s="1" t="s">
        <v>135</v>
      </c>
      <c r="B2874" t="str">
        <f>LEFT(Table13[[#This Row],[Input]],1)</f>
        <v>R</v>
      </c>
      <c r="C2874">
        <f>_xlfn.LET(_xlpm.steps,SUBSTITUTE(Table13[[#This Row],[Input]],Table13[[#This Row],[Direction]],""),VALUE(IF(LEN(_xlpm.steps)&gt;2,RIGHT(_xlpm.steps,2),_xlpm.steps)))</f>
        <v>69</v>
      </c>
      <c r="D2874">
        <f>_xlfn.LET(_xlpm.steps,SUBSTITUTE(Table13[[#This Row],[Input]],Table13[[#This Row],[Direction]],""),VALUE(IF(LEN(_xlpm.steps)&gt;2,LEFT(_xlpm.steps,LEN(_xlpm.steps)-2),0)))</f>
        <v>0</v>
      </c>
      <c r="E2874">
        <f>_xlfn.LET(_xlpm.dir,Table13[[#This Row],[Direction]],
IF(_xlpm.dir="L",
    IF(G2873-Table13[[#This Row],[Steps]]&lt;0,100+(G2873-Table13[[#This Row],[Steps]]),G2873-Table13[[#This Row],[Steps]]),
))</f>
        <v>0</v>
      </c>
      <c r="F2874">
        <f>_xlfn.LET(_xlpm.dir,Table13[[#This Row],[Direction]],
IF(_xlpm.dir="R",
    IF(G2873+Table13[[#This Row],[Steps]]&gt;99,(G2873+Table13[[#This Row],[Steps]])-100,G2873+Table13[[#This Row],[Steps]]),
))</f>
        <v>69</v>
      </c>
      <c r="G2874">
        <f>IF(Table13[[#This Row],[New Pos L]]&lt;&gt;0,Table13[[#This Row],[New Pos L]],Table13[[#This Row],[New Pos R]])</f>
        <v>69</v>
      </c>
      <c r="H2874">
        <f>IF(AND(Table13[[#This Row],[Direction]]="L",Table13[[#This Row],[Steps]]&gt;G2873,G2873&lt;&gt;0),1,0)</f>
        <v>0</v>
      </c>
      <c r="I2874">
        <f>IF(AND(Table13[[#This Row],[Direction]]="R",(G2873+Table13[[#This Row],[Steps]])&gt;100),1,0)</f>
        <v>0</v>
      </c>
      <c r="J2874">
        <f>IF(Table13[[#This Row],[POS]]=0,1,0)</f>
        <v>0</v>
      </c>
      <c r="K2874">
        <f>SUM(Table13[[#This Row],[prefix]],Table13[[#This Row],[Past zero L]],Table13[[#This Row],[Past Zero R]],Table13[[#This Row],[Is Zero]])</f>
        <v>0</v>
      </c>
    </row>
    <row r="2875" spans="1:11" ht="16" x14ac:dyDescent="0.2">
      <c r="A2875" s="1" t="s">
        <v>320</v>
      </c>
      <c r="B2875" t="str">
        <f>LEFT(Table13[[#This Row],[Input]],1)</f>
        <v>L</v>
      </c>
      <c r="C2875">
        <f>_xlfn.LET(_xlpm.steps,SUBSTITUTE(Table13[[#This Row],[Input]],Table13[[#This Row],[Direction]],""),VALUE(IF(LEN(_xlpm.steps)&gt;2,RIGHT(_xlpm.steps,2),_xlpm.steps)))</f>
        <v>69</v>
      </c>
      <c r="D2875">
        <f>_xlfn.LET(_xlpm.steps,SUBSTITUTE(Table13[[#This Row],[Input]],Table13[[#This Row],[Direction]],""),VALUE(IF(LEN(_xlpm.steps)&gt;2,LEFT(_xlpm.steps,LEN(_xlpm.steps)-2),0)))</f>
        <v>1</v>
      </c>
      <c r="E2875">
        <f>_xlfn.LET(_xlpm.dir,Table13[[#This Row],[Direction]],
IF(_xlpm.dir="L",
    IF(G2874-Table13[[#This Row],[Steps]]&lt;0,100+(G2874-Table13[[#This Row],[Steps]]),G2874-Table13[[#This Row],[Steps]]),
))</f>
        <v>0</v>
      </c>
      <c r="F2875">
        <f>_xlfn.LET(_xlpm.dir,Table13[[#This Row],[Direction]],
IF(_xlpm.dir="R",
    IF(G2874+Table13[[#This Row],[Steps]]&gt;99,(G2874+Table13[[#This Row],[Steps]])-100,G2874+Table13[[#This Row],[Steps]]),
))</f>
        <v>0</v>
      </c>
      <c r="G2875">
        <f>IF(Table13[[#This Row],[New Pos L]]&lt;&gt;0,Table13[[#This Row],[New Pos L]],Table13[[#This Row],[New Pos R]])</f>
        <v>0</v>
      </c>
      <c r="H2875">
        <f>IF(AND(Table13[[#This Row],[Direction]]="L",Table13[[#This Row],[Steps]]&gt;G2874,G2874&lt;&gt;0),1,0)</f>
        <v>0</v>
      </c>
      <c r="I2875">
        <f>IF(AND(Table13[[#This Row],[Direction]]="R",(G2874+Table13[[#This Row],[Steps]])&gt;100),1,0)</f>
        <v>0</v>
      </c>
      <c r="J2875">
        <f>IF(Table13[[#This Row],[POS]]=0,1,0)</f>
        <v>1</v>
      </c>
      <c r="K2875">
        <f>SUM(Table13[[#This Row],[prefix]],Table13[[#This Row],[Past zero L]],Table13[[#This Row],[Past Zero R]],Table13[[#This Row],[Is Zero]])</f>
        <v>2</v>
      </c>
    </row>
    <row r="2876" spans="1:11" ht="16" x14ac:dyDescent="0.2">
      <c r="A2876" s="1" t="s">
        <v>36</v>
      </c>
      <c r="B2876" t="str">
        <f>LEFT(Table13[[#This Row],[Input]],1)</f>
        <v>R</v>
      </c>
      <c r="C2876">
        <f>_xlfn.LET(_xlpm.steps,SUBSTITUTE(Table13[[#This Row],[Input]],Table13[[#This Row],[Direction]],""),VALUE(IF(LEN(_xlpm.steps)&gt;2,RIGHT(_xlpm.steps,2),_xlpm.steps)))</f>
        <v>50</v>
      </c>
      <c r="D2876">
        <f>_xlfn.LET(_xlpm.steps,SUBSTITUTE(Table13[[#This Row],[Input]],Table13[[#This Row],[Direction]],""),VALUE(IF(LEN(_xlpm.steps)&gt;2,LEFT(_xlpm.steps,LEN(_xlpm.steps)-2),0)))</f>
        <v>0</v>
      </c>
      <c r="E2876">
        <f>_xlfn.LET(_xlpm.dir,Table13[[#This Row],[Direction]],
IF(_xlpm.dir="L",
    IF(G2875-Table13[[#This Row],[Steps]]&lt;0,100+(G2875-Table13[[#This Row],[Steps]]),G2875-Table13[[#This Row],[Steps]]),
))</f>
        <v>0</v>
      </c>
      <c r="F2876">
        <f>_xlfn.LET(_xlpm.dir,Table13[[#This Row],[Direction]],
IF(_xlpm.dir="R",
    IF(G2875+Table13[[#This Row],[Steps]]&gt;99,(G2875+Table13[[#This Row],[Steps]])-100,G2875+Table13[[#This Row],[Steps]]),
))</f>
        <v>50</v>
      </c>
      <c r="G2876">
        <f>IF(Table13[[#This Row],[New Pos L]]&lt;&gt;0,Table13[[#This Row],[New Pos L]],Table13[[#This Row],[New Pos R]])</f>
        <v>50</v>
      </c>
      <c r="H2876">
        <f>IF(AND(Table13[[#This Row],[Direction]]="L",Table13[[#This Row],[Steps]]&gt;G2875,G2875&lt;&gt;0),1,0)</f>
        <v>0</v>
      </c>
      <c r="I2876">
        <f>IF(AND(Table13[[#This Row],[Direction]]="R",(G2875+Table13[[#This Row],[Steps]])&gt;100),1,0)</f>
        <v>0</v>
      </c>
      <c r="J2876">
        <f>IF(Table13[[#This Row],[POS]]=0,1,0)</f>
        <v>0</v>
      </c>
      <c r="K2876">
        <f>SUM(Table13[[#This Row],[prefix]],Table13[[#This Row],[Past zero L]],Table13[[#This Row],[Past Zero R]],Table13[[#This Row],[Is Zero]])</f>
        <v>0</v>
      </c>
    </row>
    <row r="2877" spans="1:11" ht="16" x14ac:dyDescent="0.2">
      <c r="A2877" s="1" t="s">
        <v>161</v>
      </c>
      <c r="B2877" t="str">
        <f>LEFT(Table13[[#This Row],[Input]],1)</f>
        <v>R</v>
      </c>
      <c r="C2877">
        <f>_xlfn.LET(_xlpm.steps,SUBSTITUTE(Table13[[#This Row],[Input]],Table13[[#This Row],[Direction]],""),VALUE(IF(LEN(_xlpm.steps)&gt;2,RIGHT(_xlpm.steps,2),_xlpm.steps)))</f>
        <v>76</v>
      </c>
      <c r="D2877">
        <f>_xlfn.LET(_xlpm.steps,SUBSTITUTE(Table13[[#This Row],[Input]],Table13[[#This Row],[Direction]],""),VALUE(IF(LEN(_xlpm.steps)&gt;2,LEFT(_xlpm.steps,LEN(_xlpm.steps)-2),0)))</f>
        <v>0</v>
      </c>
      <c r="E2877">
        <f>_xlfn.LET(_xlpm.dir,Table13[[#This Row],[Direction]],
IF(_xlpm.dir="L",
    IF(G2876-Table13[[#This Row],[Steps]]&lt;0,100+(G2876-Table13[[#This Row],[Steps]]),G2876-Table13[[#This Row],[Steps]]),
))</f>
        <v>0</v>
      </c>
      <c r="F2877">
        <f>_xlfn.LET(_xlpm.dir,Table13[[#This Row],[Direction]],
IF(_xlpm.dir="R",
    IF(G2876+Table13[[#This Row],[Steps]]&gt;99,(G2876+Table13[[#This Row],[Steps]])-100,G2876+Table13[[#This Row],[Steps]]),
))</f>
        <v>26</v>
      </c>
      <c r="G2877">
        <f>IF(Table13[[#This Row],[New Pos L]]&lt;&gt;0,Table13[[#This Row],[New Pos L]],Table13[[#This Row],[New Pos R]])</f>
        <v>26</v>
      </c>
      <c r="H2877">
        <f>IF(AND(Table13[[#This Row],[Direction]]="L",Table13[[#This Row],[Steps]]&gt;G2876,G2876&lt;&gt;0),1,0)</f>
        <v>0</v>
      </c>
      <c r="I2877">
        <f>IF(AND(Table13[[#This Row],[Direction]]="R",(G2876+Table13[[#This Row],[Steps]])&gt;100),1,0)</f>
        <v>1</v>
      </c>
      <c r="J2877">
        <f>IF(Table13[[#This Row],[POS]]=0,1,0)</f>
        <v>0</v>
      </c>
      <c r="K2877">
        <f>SUM(Table13[[#This Row],[prefix]],Table13[[#This Row],[Past zero L]],Table13[[#This Row],[Past Zero R]],Table13[[#This Row],[Is Zero]])</f>
        <v>1</v>
      </c>
    </row>
    <row r="2878" spans="1:11" ht="16" x14ac:dyDescent="0.2">
      <c r="A2878" s="1" t="s">
        <v>134</v>
      </c>
      <c r="B2878" t="str">
        <f>LEFT(Table13[[#This Row],[Input]],1)</f>
        <v>L</v>
      </c>
      <c r="C2878">
        <f>_xlfn.LET(_xlpm.steps,SUBSTITUTE(Table13[[#This Row],[Input]],Table13[[#This Row],[Direction]],""),VALUE(IF(LEN(_xlpm.steps)&gt;2,RIGHT(_xlpm.steps,2),_xlpm.steps)))</f>
        <v>95</v>
      </c>
      <c r="D2878">
        <f>_xlfn.LET(_xlpm.steps,SUBSTITUTE(Table13[[#This Row],[Input]],Table13[[#This Row],[Direction]],""),VALUE(IF(LEN(_xlpm.steps)&gt;2,LEFT(_xlpm.steps,LEN(_xlpm.steps)-2),0)))</f>
        <v>0</v>
      </c>
      <c r="E2878">
        <f>_xlfn.LET(_xlpm.dir,Table13[[#This Row],[Direction]],
IF(_xlpm.dir="L",
    IF(G2877-Table13[[#This Row],[Steps]]&lt;0,100+(G2877-Table13[[#This Row],[Steps]]),G2877-Table13[[#This Row],[Steps]]),
))</f>
        <v>31</v>
      </c>
      <c r="F2878">
        <f>_xlfn.LET(_xlpm.dir,Table13[[#This Row],[Direction]],
IF(_xlpm.dir="R",
    IF(G2877+Table13[[#This Row],[Steps]]&gt;99,(G2877+Table13[[#This Row],[Steps]])-100,G2877+Table13[[#This Row],[Steps]]),
))</f>
        <v>0</v>
      </c>
      <c r="G2878">
        <f>IF(Table13[[#This Row],[New Pos L]]&lt;&gt;0,Table13[[#This Row],[New Pos L]],Table13[[#This Row],[New Pos R]])</f>
        <v>31</v>
      </c>
      <c r="H2878">
        <f>IF(AND(Table13[[#This Row],[Direction]]="L",Table13[[#This Row],[Steps]]&gt;G2877,G2877&lt;&gt;0),1,0)</f>
        <v>1</v>
      </c>
      <c r="I2878">
        <f>IF(AND(Table13[[#This Row],[Direction]]="R",(G2877+Table13[[#This Row],[Steps]])&gt;100),1,0)</f>
        <v>0</v>
      </c>
      <c r="J2878">
        <f>IF(Table13[[#This Row],[POS]]=0,1,0)</f>
        <v>0</v>
      </c>
      <c r="K2878">
        <f>SUM(Table13[[#This Row],[prefix]],Table13[[#This Row],[Past zero L]],Table13[[#This Row],[Past Zero R]],Table13[[#This Row],[Is Zero]])</f>
        <v>1</v>
      </c>
    </row>
    <row r="2879" spans="1:11" ht="16" x14ac:dyDescent="0.2">
      <c r="A2879" s="1" t="s">
        <v>226</v>
      </c>
      <c r="B2879" t="str">
        <f>LEFT(Table13[[#This Row],[Input]],1)</f>
        <v>L</v>
      </c>
      <c r="C2879">
        <f>_xlfn.LET(_xlpm.steps,SUBSTITUTE(Table13[[#This Row],[Input]],Table13[[#This Row],[Direction]],""),VALUE(IF(LEN(_xlpm.steps)&gt;2,RIGHT(_xlpm.steps,2),_xlpm.steps)))</f>
        <v>31</v>
      </c>
      <c r="D2879">
        <f>_xlfn.LET(_xlpm.steps,SUBSTITUTE(Table13[[#This Row],[Input]],Table13[[#This Row],[Direction]],""),VALUE(IF(LEN(_xlpm.steps)&gt;2,LEFT(_xlpm.steps,LEN(_xlpm.steps)-2),0)))</f>
        <v>0</v>
      </c>
      <c r="E2879">
        <f>_xlfn.LET(_xlpm.dir,Table13[[#This Row],[Direction]],
IF(_xlpm.dir="L",
    IF(G2878-Table13[[#This Row],[Steps]]&lt;0,100+(G2878-Table13[[#This Row],[Steps]]),G2878-Table13[[#This Row],[Steps]]),
))</f>
        <v>0</v>
      </c>
      <c r="F2879">
        <f>_xlfn.LET(_xlpm.dir,Table13[[#This Row],[Direction]],
IF(_xlpm.dir="R",
    IF(G2878+Table13[[#This Row],[Steps]]&gt;99,(G2878+Table13[[#This Row],[Steps]])-100,G2878+Table13[[#This Row],[Steps]]),
))</f>
        <v>0</v>
      </c>
      <c r="G2879">
        <f>IF(Table13[[#This Row],[New Pos L]]&lt;&gt;0,Table13[[#This Row],[New Pos L]],Table13[[#This Row],[New Pos R]])</f>
        <v>0</v>
      </c>
      <c r="H2879">
        <f>IF(AND(Table13[[#This Row],[Direction]]="L",Table13[[#This Row],[Steps]]&gt;G2878,G2878&lt;&gt;0),1,0)</f>
        <v>0</v>
      </c>
      <c r="I2879">
        <f>IF(AND(Table13[[#This Row],[Direction]]="R",(G2878+Table13[[#This Row],[Steps]])&gt;100),1,0)</f>
        <v>0</v>
      </c>
      <c r="J2879">
        <f>IF(Table13[[#This Row],[POS]]=0,1,0)</f>
        <v>1</v>
      </c>
      <c r="K2879">
        <f>SUM(Table13[[#This Row],[prefix]],Table13[[#This Row],[Past zero L]],Table13[[#This Row],[Past Zero R]],Table13[[#This Row],[Is Zero]])</f>
        <v>1</v>
      </c>
    </row>
    <row r="2880" spans="1:11" ht="16" x14ac:dyDescent="0.2">
      <c r="A2880" s="1" t="s">
        <v>217</v>
      </c>
      <c r="B2880" t="str">
        <f>LEFT(Table13[[#This Row],[Input]],1)</f>
        <v>R</v>
      </c>
      <c r="C2880">
        <f>_xlfn.LET(_xlpm.steps,SUBSTITUTE(Table13[[#This Row],[Input]],Table13[[#This Row],[Direction]],""),VALUE(IF(LEN(_xlpm.steps)&gt;2,RIGHT(_xlpm.steps,2),_xlpm.steps)))</f>
        <v>91</v>
      </c>
      <c r="D2880">
        <f>_xlfn.LET(_xlpm.steps,SUBSTITUTE(Table13[[#This Row],[Input]],Table13[[#This Row],[Direction]],""),VALUE(IF(LEN(_xlpm.steps)&gt;2,LEFT(_xlpm.steps,LEN(_xlpm.steps)-2),0)))</f>
        <v>0</v>
      </c>
      <c r="E2880">
        <f>_xlfn.LET(_xlpm.dir,Table13[[#This Row],[Direction]],
IF(_xlpm.dir="L",
    IF(G2879-Table13[[#This Row],[Steps]]&lt;0,100+(G2879-Table13[[#This Row],[Steps]]),G2879-Table13[[#This Row],[Steps]]),
))</f>
        <v>0</v>
      </c>
      <c r="F2880">
        <f>_xlfn.LET(_xlpm.dir,Table13[[#This Row],[Direction]],
IF(_xlpm.dir="R",
    IF(G2879+Table13[[#This Row],[Steps]]&gt;99,(G2879+Table13[[#This Row],[Steps]])-100,G2879+Table13[[#This Row],[Steps]]),
))</f>
        <v>91</v>
      </c>
      <c r="G2880">
        <f>IF(Table13[[#This Row],[New Pos L]]&lt;&gt;0,Table13[[#This Row],[New Pos L]],Table13[[#This Row],[New Pos R]])</f>
        <v>91</v>
      </c>
      <c r="H2880">
        <f>IF(AND(Table13[[#This Row],[Direction]]="L",Table13[[#This Row],[Steps]]&gt;G2879,G2879&lt;&gt;0),1,0)</f>
        <v>0</v>
      </c>
      <c r="I2880">
        <f>IF(AND(Table13[[#This Row],[Direction]]="R",(G2879+Table13[[#This Row],[Steps]])&gt;100),1,0)</f>
        <v>0</v>
      </c>
      <c r="J2880">
        <f>IF(Table13[[#This Row],[POS]]=0,1,0)</f>
        <v>0</v>
      </c>
      <c r="K2880">
        <f>SUM(Table13[[#This Row],[prefix]],Table13[[#This Row],[Past zero L]],Table13[[#This Row],[Past Zero R]],Table13[[#This Row],[Is Zero]])</f>
        <v>0</v>
      </c>
    </row>
    <row r="2881" spans="1:11" ht="16" x14ac:dyDescent="0.2">
      <c r="A2881" s="1" t="s">
        <v>344</v>
      </c>
      <c r="B2881" t="str">
        <f>LEFT(Table13[[#This Row],[Input]],1)</f>
        <v>R</v>
      </c>
      <c r="C2881">
        <f>_xlfn.LET(_xlpm.steps,SUBSTITUTE(Table13[[#This Row],[Input]],Table13[[#This Row],[Direction]],""),VALUE(IF(LEN(_xlpm.steps)&gt;2,RIGHT(_xlpm.steps,2),_xlpm.steps)))</f>
        <v>9</v>
      </c>
      <c r="D2881">
        <f>_xlfn.LET(_xlpm.steps,SUBSTITUTE(Table13[[#This Row],[Input]],Table13[[#This Row],[Direction]],""),VALUE(IF(LEN(_xlpm.steps)&gt;2,LEFT(_xlpm.steps,LEN(_xlpm.steps)-2),0)))</f>
        <v>0</v>
      </c>
      <c r="E2881">
        <f>_xlfn.LET(_xlpm.dir,Table13[[#This Row],[Direction]],
IF(_xlpm.dir="L",
    IF(G2880-Table13[[#This Row],[Steps]]&lt;0,100+(G2880-Table13[[#This Row],[Steps]]),G2880-Table13[[#This Row],[Steps]]),
))</f>
        <v>0</v>
      </c>
      <c r="F2881">
        <f>_xlfn.LET(_xlpm.dir,Table13[[#This Row],[Direction]],
IF(_xlpm.dir="R",
    IF(G2880+Table13[[#This Row],[Steps]]&gt;99,(G2880+Table13[[#This Row],[Steps]])-100,G2880+Table13[[#This Row],[Steps]]),
))</f>
        <v>0</v>
      </c>
      <c r="G2881">
        <f>IF(Table13[[#This Row],[New Pos L]]&lt;&gt;0,Table13[[#This Row],[New Pos L]],Table13[[#This Row],[New Pos R]])</f>
        <v>0</v>
      </c>
      <c r="H2881">
        <f>IF(AND(Table13[[#This Row],[Direction]]="L",Table13[[#This Row],[Steps]]&gt;G2880,G2880&lt;&gt;0),1,0)</f>
        <v>0</v>
      </c>
      <c r="I2881">
        <f>IF(AND(Table13[[#This Row],[Direction]]="R",(G2880+Table13[[#This Row],[Steps]])&gt;100),1,0)</f>
        <v>0</v>
      </c>
      <c r="J2881">
        <f>IF(Table13[[#This Row],[POS]]=0,1,0)</f>
        <v>1</v>
      </c>
      <c r="K2881">
        <f>SUM(Table13[[#This Row],[prefix]],Table13[[#This Row],[Past zero L]],Table13[[#This Row],[Past Zero R]],Table13[[#This Row],[Is Zero]])</f>
        <v>1</v>
      </c>
    </row>
    <row r="2882" spans="1:11" ht="16" x14ac:dyDescent="0.2">
      <c r="A2882" s="1" t="s">
        <v>49</v>
      </c>
      <c r="B2882" t="str">
        <f>LEFT(Table13[[#This Row],[Input]],1)</f>
        <v>L</v>
      </c>
      <c r="C2882">
        <f>_xlfn.LET(_xlpm.steps,SUBSTITUTE(Table13[[#This Row],[Input]],Table13[[#This Row],[Direction]],""),VALUE(IF(LEN(_xlpm.steps)&gt;2,RIGHT(_xlpm.steps,2),_xlpm.steps)))</f>
        <v>93</v>
      </c>
      <c r="D2882">
        <f>_xlfn.LET(_xlpm.steps,SUBSTITUTE(Table13[[#This Row],[Input]],Table13[[#This Row],[Direction]],""),VALUE(IF(LEN(_xlpm.steps)&gt;2,LEFT(_xlpm.steps,LEN(_xlpm.steps)-2),0)))</f>
        <v>0</v>
      </c>
      <c r="E2882">
        <f>_xlfn.LET(_xlpm.dir,Table13[[#This Row],[Direction]],
IF(_xlpm.dir="L",
    IF(G2881-Table13[[#This Row],[Steps]]&lt;0,100+(G2881-Table13[[#This Row],[Steps]]),G2881-Table13[[#This Row],[Steps]]),
))</f>
        <v>7</v>
      </c>
      <c r="F2882">
        <f>_xlfn.LET(_xlpm.dir,Table13[[#This Row],[Direction]],
IF(_xlpm.dir="R",
    IF(G2881+Table13[[#This Row],[Steps]]&gt;99,(G2881+Table13[[#This Row],[Steps]])-100,G2881+Table13[[#This Row],[Steps]]),
))</f>
        <v>0</v>
      </c>
      <c r="G2882">
        <f>IF(Table13[[#This Row],[New Pos L]]&lt;&gt;0,Table13[[#This Row],[New Pos L]],Table13[[#This Row],[New Pos R]])</f>
        <v>7</v>
      </c>
      <c r="H2882">
        <f>IF(AND(Table13[[#This Row],[Direction]]="L",Table13[[#This Row],[Steps]]&gt;G2881,G2881&lt;&gt;0),1,0)</f>
        <v>0</v>
      </c>
      <c r="I2882">
        <f>IF(AND(Table13[[#This Row],[Direction]]="R",(G2881+Table13[[#This Row],[Steps]])&gt;100),1,0)</f>
        <v>0</v>
      </c>
      <c r="J2882">
        <f>IF(Table13[[#This Row],[POS]]=0,1,0)</f>
        <v>0</v>
      </c>
      <c r="K2882">
        <f>SUM(Table13[[#This Row],[prefix]],Table13[[#This Row],[Past zero L]],Table13[[#This Row],[Past Zero R]],Table13[[#This Row],[Is Zero]])</f>
        <v>0</v>
      </c>
    </row>
    <row r="2883" spans="1:11" ht="16" x14ac:dyDescent="0.2">
      <c r="A2883" s="1" t="s">
        <v>123</v>
      </c>
      <c r="B2883" t="str">
        <f>LEFT(Table13[[#This Row],[Input]],1)</f>
        <v>L</v>
      </c>
      <c r="C2883">
        <f>_xlfn.LET(_xlpm.steps,SUBSTITUTE(Table13[[#This Row],[Input]],Table13[[#This Row],[Direction]],""),VALUE(IF(LEN(_xlpm.steps)&gt;2,RIGHT(_xlpm.steps,2),_xlpm.steps)))</f>
        <v>63</v>
      </c>
      <c r="D2883">
        <f>_xlfn.LET(_xlpm.steps,SUBSTITUTE(Table13[[#This Row],[Input]],Table13[[#This Row],[Direction]],""),VALUE(IF(LEN(_xlpm.steps)&gt;2,LEFT(_xlpm.steps,LEN(_xlpm.steps)-2),0)))</f>
        <v>0</v>
      </c>
      <c r="E2883">
        <f>_xlfn.LET(_xlpm.dir,Table13[[#This Row],[Direction]],
IF(_xlpm.dir="L",
    IF(G2882-Table13[[#This Row],[Steps]]&lt;0,100+(G2882-Table13[[#This Row],[Steps]]),G2882-Table13[[#This Row],[Steps]]),
))</f>
        <v>44</v>
      </c>
      <c r="F2883">
        <f>_xlfn.LET(_xlpm.dir,Table13[[#This Row],[Direction]],
IF(_xlpm.dir="R",
    IF(G2882+Table13[[#This Row],[Steps]]&gt;99,(G2882+Table13[[#This Row],[Steps]])-100,G2882+Table13[[#This Row],[Steps]]),
))</f>
        <v>0</v>
      </c>
      <c r="G2883">
        <f>IF(Table13[[#This Row],[New Pos L]]&lt;&gt;0,Table13[[#This Row],[New Pos L]],Table13[[#This Row],[New Pos R]])</f>
        <v>44</v>
      </c>
      <c r="H2883">
        <f>IF(AND(Table13[[#This Row],[Direction]]="L",Table13[[#This Row],[Steps]]&gt;G2882,G2882&lt;&gt;0),1,0)</f>
        <v>1</v>
      </c>
      <c r="I2883">
        <f>IF(AND(Table13[[#This Row],[Direction]]="R",(G2882+Table13[[#This Row],[Steps]])&gt;100),1,0)</f>
        <v>0</v>
      </c>
      <c r="J2883">
        <f>IF(Table13[[#This Row],[POS]]=0,1,0)</f>
        <v>0</v>
      </c>
      <c r="K2883">
        <f>SUM(Table13[[#This Row],[prefix]],Table13[[#This Row],[Past zero L]],Table13[[#This Row],[Past Zero R]],Table13[[#This Row],[Is Zero]])</f>
        <v>1</v>
      </c>
    </row>
    <row r="2884" spans="1:11" ht="16" x14ac:dyDescent="0.2">
      <c r="A2884" s="1" t="s">
        <v>41</v>
      </c>
      <c r="B2884" t="str">
        <f>LEFT(Table13[[#This Row],[Input]],1)</f>
        <v>L</v>
      </c>
      <c r="C2884">
        <f>_xlfn.LET(_xlpm.steps,SUBSTITUTE(Table13[[#This Row],[Input]],Table13[[#This Row],[Direction]],""),VALUE(IF(LEN(_xlpm.steps)&gt;2,RIGHT(_xlpm.steps,2),_xlpm.steps)))</f>
        <v>7</v>
      </c>
      <c r="D2884">
        <f>_xlfn.LET(_xlpm.steps,SUBSTITUTE(Table13[[#This Row],[Input]],Table13[[#This Row],[Direction]],""),VALUE(IF(LEN(_xlpm.steps)&gt;2,LEFT(_xlpm.steps,LEN(_xlpm.steps)-2),0)))</f>
        <v>0</v>
      </c>
      <c r="E2884">
        <f>_xlfn.LET(_xlpm.dir,Table13[[#This Row],[Direction]],
IF(_xlpm.dir="L",
    IF(G2883-Table13[[#This Row],[Steps]]&lt;0,100+(G2883-Table13[[#This Row],[Steps]]),G2883-Table13[[#This Row],[Steps]]),
))</f>
        <v>37</v>
      </c>
      <c r="F2884">
        <f>_xlfn.LET(_xlpm.dir,Table13[[#This Row],[Direction]],
IF(_xlpm.dir="R",
    IF(G2883+Table13[[#This Row],[Steps]]&gt;99,(G2883+Table13[[#This Row],[Steps]])-100,G2883+Table13[[#This Row],[Steps]]),
))</f>
        <v>0</v>
      </c>
      <c r="G2884">
        <f>IF(Table13[[#This Row],[New Pos L]]&lt;&gt;0,Table13[[#This Row],[New Pos L]],Table13[[#This Row],[New Pos R]])</f>
        <v>37</v>
      </c>
      <c r="H2884">
        <f>IF(AND(Table13[[#This Row],[Direction]]="L",Table13[[#This Row],[Steps]]&gt;G2883,G2883&lt;&gt;0),1,0)</f>
        <v>0</v>
      </c>
      <c r="I2884">
        <f>IF(AND(Table13[[#This Row],[Direction]]="R",(G2883+Table13[[#This Row],[Steps]])&gt;100),1,0)</f>
        <v>0</v>
      </c>
      <c r="J2884">
        <f>IF(Table13[[#This Row],[POS]]=0,1,0)</f>
        <v>0</v>
      </c>
      <c r="K2884">
        <f>SUM(Table13[[#This Row],[prefix]],Table13[[#This Row],[Past zero L]],Table13[[#This Row],[Past Zero R]],Table13[[#This Row],[Is Zero]])</f>
        <v>0</v>
      </c>
    </row>
    <row r="2885" spans="1:11" ht="16" x14ac:dyDescent="0.2">
      <c r="A2885" s="1" t="s">
        <v>669</v>
      </c>
      <c r="B2885" t="str">
        <f>LEFT(Table13[[#This Row],[Input]],1)</f>
        <v>R</v>
      </c>
      <c r="C2885">
        <f>_xlfn.LET(_xlpm.steps,SUBSTITUTE(Table13[[#This Row],[Input]],Table13[[#This Row],[Direction]],""),VALUE(IF(LEN(_xlpm.steps)&gt;2,RIGHT(_xlpm.steps,2),_xlpm.steps)))</f>
        <v>63</v>
      </c>
      <c r="D2885">
        <f>_xlfn.LET(_xlpm.steps,SUBSTITUTE(Table13[[#This Row],[Input]],Table13[[#This Row],[Direction]],""),VALUE(IF(LEN(_xlpm.steps)&gt;2,LEFT(_xlpm.steps,LEN(_xlpm.steps)-2),0)))</f>
        <v>8</v>
      </c>
      <c r="E2885">
        <f>_xlfn.LET(_xlpm.dir,Table13[[#This Row],[Direction]],
IF(_xlpm.dir="L",
    IF(G2884-Table13[[#This Row],[Steps]]&lt;0,100+(G2884-Table13[[#This Row],[Steps]]),G2884-Table13[[#This Row],[Steps]]),
))</f>
        <v>0</v>
      </c>
      <c r="F2885">
        <f>_xlfn.LET(_xlpm.dir,Table13[[#This Row],[Direction]],
IF(_xlpm.dir="R",
    IF(G2884+Table13[[#This Row],[Steps]]&gt;99,(G2884+Table13[[#This Row],[Steps]])-100,G2884+Table13[[#This Row],[Steps]]),
))</f>
        <v>0</v>
      </c>
      <c r="G2885">
        <f>IF(Table13[[#This Row],[New Pos L]]&lt;&gt;0,Table13[[#This Row],[New Pos L]],Table13[[#This Row],[New Pos R]])</f>
        <v>0</v>
      </c>
      <c r="H2885">
        <f>IF(AND(Table13[[#This Row],[Direction]]="L",Table13[[#This Row],[Steps]]&gt;G2884,G2884&lt;&gt;0),1,0)</f>
        <v>0</v>
      </c>
      <c r="I2885">
        <f>IF(AND(Table13[[#This Row],[Direction]]="R",(G2884+Table13[[#This Row],[Steps]])&gt;100),1,0)</f>
        <v>0</v>
      </c>
      <c r="J2885">
        <f>IF(Table13[[#This Row],[POS]]=0,1,0)</f>
        <v>1</v>
      </c>
      <c r="K2885">
        <f>SUM(Table13[[#This Row],[prefix]],Table13[[#This Row],[Past zero L]],Table13[[#This Row],[Past Zero R]],Table13[[#This Row],[Is Zero]])</f>
        <v>9</v>
      </c>
    </row>
    <row r="2886" spans="1:11" ht="16" x14ac:dyDescent="0.2">
      <c r="A2886" s="1" t="s">
        <v>8</v>
      </c>
      <c r="B2886" t="str">
        <f>LEFT(Table13[[#This Row],[Input]],1)</f>
        <v>R</v>
      </c>
      <c r="C2886">
        <f>_xlfn.LET(_xlpm.steps,SUBSTITUTE(Table13[[#This Row],[Input]],Table13[[#This Row],[Direction]],""),VALUE(IF(LEN(_xlpm.steps)&gt;2,RIGHT(_xlpm.steps,2),_xlpm.steps)))</f>
        <v>18</v>
      </c>
      <c r="D2886">
        <f>_xlfn.LET(_xlpm.steps,SUBSTITUTE(Table13[[#This Row],[Input]],Table13[[#This Row],[Direction]],""),VALUE(IF(LEN(_xlpm.steps)&gt;2,LEFT(_xlpm.steps,LEN(_xlpm.steps)-2),0)))</f>
        <v>0</v>
      </c>
      <c r="E2886">
        <f>_xlfn.LET(_xlpm.dir,Table13[[#This Row],[Direction]],
IF(_xlpm.dir="L",
    IF(G2885-Table13[[#This Row],[Steps]]&lt;0,100+(G2885-Table13[[#This Row],[Steps]]),G2885-Table13[[#This Row],[Steps]]),
))</f>
        <v>0</v>
      </c>
      <c r="F2886">
        <f>_xlfn.LET(_xlpm.dir,Table13[[#This Row],[Direction]],
IF(_xlpm.dir="R",
    IF(G2885+Table13[[#This Row],[Steps]]&gt;99,(G2885+Table13[[#This Row],[Steps]])-100,G2885+Table13[[#This Row],[Steps]]),
))</f>
        <v>18</v>
      </c>
      <c r="G2886">
        <f>IF(Table13[[#This Row],[New Pos L]]&lt;&gt;0,Table13[[#This Row],[New Pos L]],Table13[[#This Row],[New Pos R]])</f>
        <v>18</v>
      </c>
      <c r="H2886">
        <f>IF(AND(Table13[[#This Row],[Direction]]="L",Table13[[#This Row],[Steps]]&gt;G2885,G2885&lt;&gt;0),1,0)</f>
        <v>0</v>
      </c>
      <c r="I2886">
        <f>IF(AND(Table13[[#This Row],[Direction]]="R",(G2885+Table13[[#This Row],[Steps]])&gt;100),1,0)</f>
        <v>0</v>
      </c>
      <c r="J2886">
        <f>IF(Table13[[#This Row],[POS]]=0,1,0)</f>
        <v>0</v>
      </c>
      <c r="K2886">
        <f>SUM(Table13[[#This Row],[prefix]],Table13[[#This Row],[Past zero L]],Table13[[#This Row],[Past Zero R]],Table13[[#This Row],[Is Zero]])</f>
        <v>0</v>
      </c>
    </row>
    <row r="2887" spans="1:11" ht="16" x14ac:dyDescent="0.2">
      <c r="A2887" s="1" t="s">
        <v>49</v>
      </c>
      <c r="B2887" t="str">
        <f>LEFT(Table13[[#This Row],[Input]],1)</f>
        <v>L</v>
      </c>
      <c r="C2887">
        <f>_xlfn.LET(_xlpm.steps,SUBSTITUTE(Table13[[#This Row],[Input]],Table13[[#This Row],[Direction]],""),VALUE(IF(LEN(_xlpm.steps)&gt;2,RIGHT(_xlpm.steps,2),_xlpm.steps)))</f>
        <v>93</v>
      </c>
      <c r="D2887">
        <f>_xlfn.LET(_xlpm.steps,SUBSTITUTE(Table13[[#This Row],[Input]],Table13[[#This Row],[Direction]],""),VALUE(IF(LEN(_xlpm.steps)&gt;2,LEFT(_xlpm.steps,LEN(_xlpm.steps)-2),0)))</f>
        <v>0</v>
      </c>
      <c r="E2887">
        <f>_xlfn.LET(_xlpm.dir,Table13[[#This Row],[Direction]],
IF(_xlpm.dir="L",
    IF(G2886-Table13[[#This Row],[Steps]]&lt;0,100+(G2886-Table13[[#This Row],[Steps]]),G2886-Table13[[#This Row],[Steps]]),
))</f>
        <v>25</v>
      </c>
      <c r="F2887">
        <f>_xlfn.LET(_xlpm.dir,Table13[[#This Row],[Direction]],
IF(_xlpm.dir="R",
    IF(G2886+Table13[[#This Row],[Steps]]&gt;99,(G2886+Table13[[#This Row],[Steps]])-100,G2886+Table13[[#This Row],[Steps]]),
))</f>
        <v>0</v>
      </c>
      <c r="G2887">
        <f>IF(Table13[[#This Row],[New Pos L]]&lt;&gt;0,Table13[[#This Row],[New Pos L]],Table13[[#This Row],[New Pos R]])</f>
        <v>25</v>
      </c>
      <c r="H2887">
        <f>IF(AND(Table13[[#This Row],[Direction]]="L",Table13[[#This Row],[Steps]]&gt;G2886,G2886&lt;&gt;0),1,0)</f>
        <v>1</v>
      </c>
      <c r="I2887">
        <f>IF(AND(Table13[[#This Row],[Direction]]="R",(G2886+Table13[[#This Row],[Steps]])&gt;100),1,0)</f>
        <v>0</v>
      </c>
      <c r="J2887">
        <f>IF(Table13[[#This Row],[POS]]=0,1,0)</f>
        <v>0</v>
      </c>
      <c r="K2887">
        <f>SUM(Table13[[#This Row],[prefix]],Table13[[#This Row],[Past zero L]],Table13[[#This Row],[Past Zero R]],Table13[[#This Row],[Is Zero]])</f>
        <v>1</v>
      </c>
    </row>
    <row r="2888" spans="1:11" ht="16" x14ac:dyDescent="0.2">
      <c r="A2888" s="1" t="s">
        <v>46</v>
      </c>
      <c r="B2888" t="str">
        <f>LEFT(Table13[[#This Row],[Input]],1)</f>
        <v>L</v>
      </c>
      <c r="C2888">
        <f>_xlfn.LET(_xlpm.steps,SUBSTITUTE(Table13[[#This Row],[Input]],Table13[[#This Row],[Direction]],""),VALUE(IF(LEN(_xlpm.steps)&gt;2,RIGHT(_xlpm.steps,2),_xlpm.steps)))</f>
        <v>97</v>
      </c>
      <c r="D2888">
        <f>_xlfn.LET(_xlpm.steps,SUBSTITUTE(Table13[[#This Row],[Input]],Table13[[#This Row],[Direction]],""),VALUE(IF(LEN(_xlpm.steps)&gt;2,LEFT(_xlpm.steps,LEN(_xlpm.steps)-2),0)))</f>
        <v>0</v>
      </c>
      <c r="E2888">
        <f>_xlfn.LET(_xlpm.dir,Table13[[#This Row],[Direction]],
IF(_xlpm.dir="L",
    IF(G2887-Table13[[#This Row],[Steps]]&lt;0,100+(G2887-Table13[[#This Row],[Steps]]),G2887-Table13[[#This Row],[Steps]]),
))</f>
        <v>28</v>
      </c>
      <c r="F2888">
        <f>_xlfn.LET(_xlpm.dir,Table13[[#This Row],[Direction]],
IF(_xlpm.dir="R",
    IF(G2887+Table13[[#This Row],[Steps]]&gt;99,(G2887+Table13[[#This Row],[Steps]])-100,G2887+Table13[[#This Row],[Steps]]),
))</f>
        <v>0</v>
      </c>
      <c r="G2888">
        <f>IF(Table13[[#This Row],[New Pos L]]&lt;&gt;0,Table13[[#This Row],[New Pos L]],Table13[[#This Row],[New Pos R]])</f>
        <v>28</v>
      </c>
      <c r="H2888">
        <f>IF(AND(Table13[[#This Row],[Direction]]="L",Table13[[#This Row],[Steps]]&gt;G2887,G2887&lt;&gt;0),1,0)</f>
        <v>1</v>
      </c>
      <c r="I2888">
        <f>IF(AND(Table13[[#This Row],[Direction]]="R",(G2887+Table13[[#This Row],[Steps]])&gt;100),1,0)</f>
        <v>0</v>
      </c>
      <c r="J2888">
        <f>IF(Table13[[#This Row],[POS]]=0,1,0)</f>
        <v>0</v>
      </c>
      <c r="K2888">
        <f>SUM(Table13[[#This Row],[prefix]],Table13[[#This Row],[Past zero L]],Table13[[#This Row],[Past Zero R]],Table13[[#This Row],[Is Zero]])</f>
        <v>1</v>
      </c>
    </row>
    <row r="2889" spans="1:11" ht="16" x14ac:dyDescent="0.2">
      <c r="A2889" s="1" t="s">
        <v>19</v>
      </c>
      <c r="B2889" t="str">
        <f>LEFT(Table13[[#This Row],[Input]],1)</f>
        <v>R</v>
      </c>
      <c r="C2889">
        <f>_xlfn.LET(_xlpm.steps,SUBSTITUTE(Table13[[#This Row],[Input]],Table13[[#This Row],[Direction]],""),VALUE(IF(LEN(_xlpm.steps)&gt;2,RIGHT(_xlpm.steps,2),_xlpm.steps)))</f>
        <v>47</v>
      </c>
      <c r="D2889">
        <f>_xlfn.LET(_xlpm.steps,SUBSTITUTE(Table13[[#This Row],[Input]],Table13[[#This Row],[Direction]],""),VALUE(IF(LEN(_xlpm.steps)&gt;2,LEFT(_xlpm.steps,LEN(_xlpm.steps)-2),0)))</f>
        <v>0</v>
      </c>
      <c r="E2889">
        <f>_xlfn.LET(_xlpm.dir,Table13[[#This Row],[Direction]],
IF(_xlpm.dir="L",
    IF(G2888-Table13[[#This Row],[Steps]]&lt;0,100+(G2888-Table13[[#This Row],[Steps]]),G2888-Table13[[#This Row],[Steps]]),
))</f>
        <v>0</v>
      </c>
      <c r="F2889">
        <f>_xlfn.LET(_xlpm.dir,Table13[[#This Row],[Direction]],
IF(_xlpm.dir="R",
    IF(G2888+Table13[[#This Row],[Steps]]&gt;99,(G2888+Table13[[#This Row],[Steps]])-100,G2888+Table13[[#This Row],[Steps]]),
))</f>
        <v>75</v>
      </c>
      <c r="G2889">
        <f>IF(Table13[[#This Row],[New Pos L]]&lt;&gt;0,Table13[[#This Row],[New Pos L]],Table13[[#This Row],[New Pos R]])</f>
        <v>75</v>
      </c>
      <c r="H2889">
        <f>IF(AND(Table13[[#This Row],[Direction]]="L",Table13[[#This Row],[Steps]]&gt;G2888,G2888&lt;&gt;0),1,0)</f>
        <v>0</v>
      </c>
      <c r="I2889">
        <f>IF(AND(Table13[[#This Row],[Direction]]="R",(G2888+Table13[[#This Row],[Steps]])&gt;100),1,0)</f>
        <v>0</v>
      </c>
      <c r="J2889">
        <f>IF(Table13[[#This Row],[POS]]=0,1,0)</f>
        <v>0</v>
      </c>
      <c r="K2889">
        <f>SUM(Table13[[#This Row],[prefix]],Table13[[#This Row],[Past zero L]],Table13[[#This Row],[Past Zero R]],Table13[[#This Row],[Is Zero]])</f>
        <v>0</v>
      </c>
    </row>
    <row r="2890" spans="1:11" ht="16" x14ac:dyDescent="0.2">
      <c r="A2890" s="1" t="s">
        <v>210</v>
      </c>
      <c r="B2890" t="str">
        <f>LEFT(Table13[[#This Row],[Input]],1)</f>
        <v>R</v>
      </c>
      <c r="C2890">
        <f>_xlfn.LET(_xlpm.steps,SUBSTITUTE(Table13[[#This Row],[Input]],Table13[[#This Row],[Direction]],""),VALUE(IF(LEN(_xlpm.steps)&gt;2,RIGHT(_xlpm.steps,2),_xlpm.steps)))</f>
        <v>89</v>
      </c>
      <c r="D2890">
        <f>_xlfn.LET(_xlpm.steps,SUBSTITUTE(Table13[[#This Row],[Input]],Table13[[#This Row],[Direction]],""),VALUE(IF(LEN(_xlpm.steps)&gt;2,LEFT(_xlpm.steps,LEN(_xlpm.steps)-2),0)))</f>
        <v>0</v>
      </c>
      <c r="E2890">
        <f>_xlfn.LET(_xlpm.dir,Table13[[#This Row],[Direction]],
IF(_xlpm.dir="L",
    IF(G2889-Table13[[#This Row],[Steps]]&lt;0,100+(G2889-Table13[[#This Row],[Steps]]),G2889-Table13[[#This Row],[Steps]]),
))</f>
        <v>0</v>
      </c>
      <c r="F2890">
        <f>_xlfn.LET(_xlpm.dir,Table13[[#This Row],[Direction]],
IF(_xlpm.dir="R",
    IF(G2889+Table13[[#This Row],[Steps]]&gt;99,(G2889+Table13[[#This Row],[Steps]])-100,G2889+Table13[[#This Row],[Steps]]),
))</f>
        <v>64</v>
      </c>
      <c r="G2890">
        <f>IF(Table13[[#This Row],[New Pos L]]&lt;&gt;0,Table13[[#This Row],[New Pos L]],Table13[[#This Row],[New Pos R]])</f>
        <v>64</v>
      </c>
      <c r="H2890">
        <f>IF(AND(Table13[[#This Row],[Direction]]="L",Table13[[#This Row],[Steps]]&gt;G2889,G2889&lt;&gt;0),1,0)</f>
        <v>0</v>
      </c>
      <c r="I2890">
        <f>IF(AND(Table13[[#This Row],[Direction]]="R",(G2889+Table13[[#This Row],[Steps]])&gt;100),1,0)</f>
        <v>1</v>
      </c>
      <c r="J2890">
        <f>IF(Table13[[#This Row],[POS]]=0,1,0)</f>
        <v>0</v>
      </c>
      <c r="K2890">
        <f>SUM(Table13[[#This Row],[prefix]],Table13[[#This Row],[Past zero L]],Table13[[#This Row],[Past Zero R]],Table13[[#This Row],[Is Zero]])</f>
        <v>1</v>
      </c>
    </row>
    <row r="2891" spans="1:11" ht="16" x14ac:dyDescent="0.2">
      <c r="A2891" s="1" t="s">
        <v>346</v>
      </c>
      <c r="B2891" t="str">
        <f>LEFT(Table13[[#This Row],[Input]],1)</f>
        <v>L</v>
      </c>
      <c r="C2891">
        <f>_xlfn.LET(_xlpm.steps,SUBSTITUTE(Table13[[#This Row],[Input]],Table13[[#This Row],[Direction]],""),VALUE(IF(LEN(_xlpm.steps)&gt;2,RIGHT(_xlpm.steps,2),_xlpm.steps)))</f>
        <v>61</v>
      </c>
      <c r="D2891">
        <f>_xlfn.LET(_xlpm.steps,SUBSTITUTE(Table13[[#This Row],[Input]],Table13[[#This Row],[Direction]],""),VALUE(IF(LEN(_xlpm.steps)&gt;2,LEFT(_xlpm.steps,LEN(_xlpm.steps)-2),0)))</f>
        <v>1</v>
      </c>
      <c r="E2891">
        <f>_xlfn.LET(_xlpm.dir,Table13[[#This Row],[Direction]],
IF(_xlpm.dir="L",
    IF(G2890-Table13[[#This Row],[Steps]]&lt;0,100+(G2890-Table13[[#This Row],[Steps]]),G2890-Table13[[#This Row],[Steps]]),
))</f>
        <v>3</v>
      </c>
      <c r="F2891">
        <f>_xlfn.LET(_xlpm.dir,Table13[[#This Row],[Direction]],
IF(_xlpm.dir="R",
    IF(G2890+Table13[[#This Row],[Steps]]&gt;99,(G2890+Table13[[#This Row],[Steps]])-100,G2890+Table13[[#This Row],[Steps]]),
))</f>
        <v>0</v>
      </c>
      <c r="G2891">
        <f>IF(Table13[[#This Row],[New Pos L]]&lt;&gt;0,Table13[[#This Row],[New Pos L]],Table13[[#This Row],[New Pos R]])</f>
        <v>3</v>
      </c>
      <c r="H2891">
        <f>IF(AND(Table13[[#This Row],[Direction]]="L",Table13[[#This Row],[Steps]]&gt;G2890,G2890&lt;&gt;0),1,0)</f>
        <v>0</v>
      </c>
      <c r="I2891">
        <f>IF(AND(Table13[[#This Row],[Direction]]="R",(G2890+Table13[[#This Row],[Steps]])&gt;100),1,0)</f>
        <v>0</v>
      </c>
      <c r="J2891">
        <f>IF(Table13[[#This Row],[POS]]=0,1,0)</f>
        <v>0</v>
      </c>
      <c r="K2891">
        <f>SUM(Table13[[#This Row],[prefix]],Table13[[#This Row],[Past zero L]],Table13[[#This Row],[Past Zero R]],Table13[[#This Row],[Is Zero]])</f>
        <v>1</v>
      </c>
    </row>
    <row r="2892" spans="1:11" ht="16" x14ac:dyDescent="0.2">
      <c r="A2892" s="1" t="s">
        <v>136</v>
      </c>
      <c r="B2892" t="str">
        <f>LEFT(Table13[[#This Row],[Input]],1)</f>
        <v>L</v>
      </c>
      <c r="C2892">
        <f>_xlfn.LET(_xlpm.steps,SUBSTITUTE(Table13[[#This Row],[Input]],Table13[[#This Row],[Direction]],""),VALUE(IF(LEN(_xlpm.steps)&gt;2,RIGHT(_xlpm.steps,2),_xlpm.steps)))</f>
        <v>72</v>
      </c>
      <c r="D2892">
        <f>_xlfn.LET(_xlpm.steps,SUBSTITUTE(Table13[[#This Row],[Input]],Table13[[#This Row],[Direction]],""),VALUE(IF(LEN(_xlpm.steps)&gt;2,LEFT(_xlpm.steps,LEN(_xlpm.steps)-2),0)))</f>
        <v>0</v>
      </c>
      <c r="E2892">
        <f>_xlfn.LET(_xlpm.dir,Table13[[#This Row],[Direction]],
IF(_xlpm.dir="L",
    IF(G2891-Table13[[#This Row],[Steps]]&lt;0,100+(G2891-Table13[[#This Row],[Steps]]),G2891-Table13[[#This Row],[Steps]]),
))</f>
        <v>31</v>
      </c>
      <c r="F2892">
        <f>_xlfn.LET(_xlpm.dir,Table13[[#This Row],[Direction]],
IF(_xlpm.dir="R",
    IF(G2891+Table13[[#This Row],[Steps]]&gt;99,(G2891+Table13[[#This Row],[Steps]])-100,G2891+Table13[[#This Row],[Steps]]),
))</f>
        <v>0</v>
      </c>
      <c r="G2892">
        <f>IF(Table13[[#This Row],[New Pos L]]&lt;&gt;0,Table13[[#This Row],[New Pos L]],Table13[[#This Row],[New Pos R]])</f>
        <v>31</v>
      </c>
      <c r="H2892">
        <f>IF(AND(Table13[[#This Row],[Direction]]="L",Table13[[#This Row],[Steps]]&gt;G2891,G2891&lt;&gt;0),1,0)</f>
        <v>1</v>
      </c>
      <c r="I2892">
        <f>IF(AND(Table13[[#This Row],[Direction]]="R",(G2891+Table13[[#This Row],[Steps]])&gt;100),1,0)</f>
        <v>0</v>
      </c>
      <c r="J2892">
        <f>IF(Table13[[#This Row],[POS]]=0,1,0)</f>
        <v>0</v>
      </c>
      <c r="K2892">
        <f>SUM(Table13[[#This Row],[prefix]],Table13[[#This Row],[Past zero L]],Table13[[#This Row],[Past Zero R]],Table13[[#This Row],[Is Zero]])</f>
        <v>1</v>
      </c>
    </row>
    <row r="2893" spans="1:11" ht="16" x14ac:dyDescent="0.2">
      <c r="A2893" s="1" t="s">
        <v>135</v>
      </c>
      <c r="B2893" t="str">
        <f>LEFT(Table13[[#This Row],[Input]],1)</f>
        <v>R</v>
      </c>
      <c r="C2893">
        <f>_xlfn.LET(_xlpm.steps,SUBSTITUTE(Table13[[#This Row],[Input]],Table13[[#This Row],[Direction]],""),VALUE(IF(LEN(_xlpm.steps)&gt;2,RIGHT(_xlpm.steps,2),_xlpm.steps)))</f>
        <v>69</v>
      </c>
      <c r="D2893">
        <f>_xlfn.LET(_xlpm.steps,SUBSTITUTE(Table13[[#This Row],[Input]],Table13[[#This Row],[Direction]],""),VALUE(IF(LEN(_xlpm.steps)&gt;2,LEFT(_xlpm.steps,LEN(_xlpm.steps)-2),0)))</f>
        <v>0</v>
      </c>
      <c r="E2893">
        <f>_xlfn.LET(_xlpm.dir,Table13[[#This Row],[Direction]],
IF(_xlpm.dir="L",
    IF(G2892-Table13[[#This Row],[Steps]]&lt;0,100+(G2892-Table13[[#This Row],[Steps]]),G2892-Table13[[#This Row],[Steps]]),
))</f>
        <v>0</v>
      </c>
      <c r="F2893">
        <f>_xlfn.LET(_xlpm.dir,Table13[[#This Row],[Direction]],
IF(_xlpm.dir="R",
    IF(G2892+Table13[[#This Row],[Steps]]&gt;99,(G2892+Table13[[#This Row],[Steps]])-100,G2892+Table13[[#This Row],[Steps]]),
))</f>
        <v>0</v>
      </c>
      <c r="G2893">
        <f>IF(Table13[[#This Row],[New Pos L]]&lt;&gt;0,Table13[[#This Row],[New Pos L]],Table13[[#This Row],[New Pos R]])</f>
        <v>0</v>
      </c>
      <c r="H2893">
        <f>IF(AND(Table13[[#This Row],[Direction]]="L",Table13[[#This Row],[Steps]]&gt;G2892,G2892&lt;&gt;0),1,0)</f>
        <v>0</v>
      </c>
      <c r="I2893">
        <f>IF(AND(Table13[[#This Row],[Direction]]="R",(G2892+Table13[[#This Row],[Steps]])&gt;100),1,0)</f>
        <v>0</v>
      </c>
      <c r="J2893">
        <f>IF(Table13[[#This Row],[POS]]=0,1,0)</f>
        <v>1</v>
      </c>
      <c r="K2893">
        <f>SUM(Table13[[#This Row],[prefix]],Table13[[#This Row],[Past zero L]],Table13[[#This Row],[Past Zero R]],Table13[[#This Row],[Is Zero]])</f>
        <v>1</v>
      </c>
    </row>
    <row r="2894" spans="1:11" ht="16" x14ac:dyDescent="0.2">
      <c r="A2894" s="1" t="s">
        <v>205</v>
      </c>
      <c r="B2894" t="str">
        <f>LEFT(Table13[[#This Row],[Input]],1)</f>
        <v>R</v>
      </c>
      <c r="C2894">
        <f>_xlfn.LET(_xlpm.steps,SUBSTITUTE(Table13[[#This Row],[Input]],Table13[[#This Row],[Direction]],""),VALUE(IF(LEN(_xlpm.steps)&gt;2,RIGHT(_xlpm.steps,2),_xlpm.steps)))</f>
        <v>83</v>
      </c>
      <c r="D2894">
        <f>_xlfn.LET(_xlpm.steps,SUBSTITUTE(Table13[[#This Row],[Input]],Table13[[#This Row],[Direction]],""),VALUE(IF(LEN(_xlpm.steps)&gt;2,LEFT(_xlpm.steps,LEN(_xlpm.steps)-2),0)))</f>
        <v>0</v>
      </c>
      <c r="E2894">
        <f>_xlfn.LET(_xlpm.dir,Table13[[#This Row],[Direction]],
IF(_xlpm.dir="L",
    IF(G2893-Table13[[#This Row],[Steps]]&lt;0,100+(G2893-Table13[[#This Row],[Steps]]),G2893-Table13[[#This Row],[Steps]]),
))</f>
        <v>0</v>
      </c>
      <c r="F2894">
        <f>_xlfn.LET(_xlpm.dir,Table13[[#This Row],[Direction]],
IF(_xlpm.dir="R",
    IF(G2893+Table13[[#This Row],[Steps]]&gt;99,(G2893+Table13[[#This Row],[Steps]])-100,G2893+Table13[[#This Row],[Steps]]),
))</f>
        <v>83</v>
      </c>
      <c r="G2894">
        <f>IF(Table13[[#This Row],[New Pos L]]&lt;&gt;0,Table13[[#This Row],[New Pos L]],Table13[[#This Row],[New Pos R]])</f>
        <v>83</v>
      </c>
      <c r="H2894">
        <f>IF(AND(Table13[[#This Row],[Direction]]="L",Table13[[#This Row],[Steps]]&gt;G2893,G2893&lt;&gt;0),1,0)</f>
        <v>0</v>
      </c>
      <c r="I2894">
        <f>IF(AND(Table13[[#This Row],[Direction]]="R",(G2893+Table13[[#This Row],[Steps]])&gt;100),1,0)</f>
        <v>0</v>
      </c>
      <c r="J2894">
        <f>IF(Table13[[#This Row],[POS]]=0,1,0)</f>
        <v>0</v>
      </c>
      <c r="K2894">
        <f>SUM(Table13[[#This Row],[prefix]],Table13[[#This Row],[Past zero L]],Table13[[#This Row],[Past Zero R]],Table13[[#This Row],[Is Zero]])</f>
        <v>0</v>
      </c>
    </row>
    <row r="2895" spans="1:11" ht="16" x14ac:dyDescent="0.2">
      <c r="A2895" s="1" t="s">
        <v>357</v>
      </c>
      <c r="B2895" t="str">
        <f>LEFT(Table13[[#This Row],[Input]],1)</f>
        <v>R</v>
      </c>
      <c r="C2895">
        <f>_xlfn.LET(_xlpm.steps,SUBSTITUTE(Table13[[#This Row],[Input]],Table13[[#This Row],[Direction]],""),VALUE(IF(LEN(_xlpm.steps)&gt;2,RIGHT(_xlpm.steps,2),_xlpm.steps)))</f>
        <v>72</v>
      </c>
      <c r="D2895">
        <f>_xlfn.LET(_xlpm.steps,SUBSTITUTE(Table13[[#This Row],[Input]],Table13[[#This Row],[Direction]],""),VALUE(IF(LEN(_xlpm.steps)&gt;2,LEFT(_xlpm.steps,LEN(_xlpm.steps)-2),0)))</f>
        <v>0</v>
      </c>
      <c r="E2895">
        <f>_xlfn.LET(_xlpm.dir,Table13[[#This Row],[Direction]],
IF(_xlpm.dir="L",
    IF(G2894-Table13[[#This Row],[Steps]]&lt;0,100+(G2894-Table13[[#This Row],[Steps]]),G2894-Table13[[#This Row],[Steps]]),
))</f>
        <v>0</v>
      </c>
      <c r="F2895">
        <f>_xlfn.LET(_xlpm.dir,Table13[[#This Row],[Direction]],
IF(_xlpm.dir="R",
    IF(G2894+Table13[[#This Row],[Steps]]&gt;99,(G2894+Table13[[#This Row],[Steps]])-100,G2894+Table13[[#This Row],[Steps]]),
))</f>
        <v>55</v>
      </c>
      <c r="G2895">
        <f>IF(Table13[[#This Row],[New Pos L]]&lt;&gt;0,Table13[[#This Row],[New Pos L]],Table13[[#This Row],[New Pos R]])</f>
        <v>55</v>
      </c>
      <c r="H2895">
        <f>IF(AND(Table13[[#This Row],[Direction]]="L",Table13[[#This Row],[Steps]]&gt;G2894,G2894&lt;&gt;0),1,0)</f>
        <v>0</v>
      </c>
      <c r="I2895">
        <f>IF(AND(Table13[[#This Row],[Direction]]="R",(G2894+Table13[[#This Row],[Steps]])&gt;100),1,0)</f>
        <v>1</v>
      </c>
      <c r="J2895">
        <f>IF(Table13[[#This Row],[POS]]=0,1,0)</f>
        <v>0</v>
      </c>
      <c r="K2895">
        <f>SUM(Table13[[#This Row],[prefix]],Table13[[#This Row],[Past zero L]],Table13[[#This Row],[Past Zero R]],Table13[[#This Row],[Is Zero]])</f>
        <v>1</v>
      </c>
    </row>
    <row r="2896" spans="1:11" ht="16" x14ac:dyDescent="0.2">
      <c r="A2896" s="1" t="s">
        <v>295</v>
      </c>
      <c r="B2896" t="str">
        <f>LEFT(Table13[[#This Row],[Input]],1)</f>
        <v>L</v>
      </c>
      <c r="C2896">
        <f>_xlfn.LET(_xlpm.steps,SUBSTITUTE(Table13[[#This Row],[Input]],Table13[[#This Row],[Direction]],""),VALUE(IF(LEN(_xlpm.steps)&gt;2,RIGHT(_xlpm.steps,2),_xlpm.steps)))</f>
        <v>88</v>
      </c>
      <c r="D2896">
        <f>_xlfn.LET(_xlpm.steps,SUBSTITUTE(Table13[[#This Row],[Input]],Table13[[#This Row],[Direction]],""),VALUE(IF(LEN(_xlpm.steps)&gt;2,LEFT(_xlpm.steps,LEN(_xlpm.steps)-2),0)))</f>
        <v>0</v>
      </c>
      <c r="E2896">
        <f>_xlfn.LET(_xlpm.dir,Table13[[#This Row],[Direction]],
IF(_xlpm.dir="L",
    IF(G2895-Table13[[#This Row],[Steps]]&lt;0,100+(G2895-Table13[[#This Row],[Steps]]),G2895-Table13[[#This Row],[Steps]]),
))</f>
        <v>67</v>
      </c>
      <c r="F2896">
        <f>_xlfn.LET(_xlpm.dir,Table13[[#This Row],[Direction]],
IF(_xlpm.dir="R",
    IF(G2895+Table13[[#This Row],[Steps]]&gt;99,(G2895+Table13[[#This Row],[Steps]])-100,G2895+Table13[[#This Row],[Steps]]),
))</f>
        <v>0</v>
      </c>
      <c r="G2896">
        <f>IF(Table13[[#This Row],[New Pos L]]&lt;&gt;0,Table13[[#This Row],[New Pos L]],Table13[[#This Row],[New Pos R]])</f>
        <v>67</v>
      </c>
      <c r="H2896">
        <f>IF(AND(Table13[[#This Row],[Direction]]="L",Table13[[#This Row],[Steps]]&gt;G2895,G2895&lt;&gt;0),1,0)</f>
        <v>1</v>
      </c>
      <c r="I2896">
        <f>IF(AND(Table13[[#This Row],[Direction]]="R",(G2895+Table13[[#This Row],[Steps]])&gt;100),1,0)</f>
        <v>0</v>
      </c>
      <c r="J2896">
        <f>IF(Table13[[#This Row],[POS]]=0,1,0)</f>
        <v>0</v>
      </c>
      <c r="K2896">
        <f>SUM(Table13[[#This Row],[prefix]],Table13[[#This Row],[Past zero L]],Table13[[#This Row],[Past Zero R]],Table13[[#This Row],[Is Zero]])</f>
        <v>1</v>
      </c>
    </row>
    <row r="2897" spans="1:11" ht="16" x14ac:dyDescent="0.2">
      <c r="A2897" s="1" t="s">
        <v>185</v>
      </c>
      <c r="B2897" t="str">
        <f>LEFT(Table13[[#This Row],[Input]],1)</f>
        <v>R</v>
      </c>
      <c r="C2897">
        <f>_xlfn.LET(_xlpm.steps,SUBSTITUTE(Table13[[#This Row],[Input]],Table13[[#This Row],[Direction]],""),VALUE(IF(LEN(_xlpm.steps)&gt;2,RIGHT(_xlpm.steps,2),_xlpm.steps)))</f>
        <v>61</v>
      </c>
      <c r="D2897">
        <f>_xlfn.LET(_xlpm.steps,SUBSTITUTE(Table13[[#This Row],[Input]],Table13[[#This Row],[Direction]],""),VALUE(IF(LEN(_xlpm.steps)&gt;2,LEFT(_xlpm.steps,LEN(_xlpm.steps)-2),0)))</f>
        <v>0</v>
      </c>
      <c r="E2897">
        <f>_xlfn.LET(_xlpm.dir,Table13[[#This Row],[Direction]],
IF(_xlpm.dir="L",
    IF(G2896-Table13[[#This Row],[Steps]]&lt;0,100+(G2896-Table13[[#This Row],[Steps]]),G2896-Table13[[#This Row],[Steps]]),
))</f>
        <v>0</v>
      </c>
      <c r="F2897">
        <f>_xlfn.LET(_xlpm.dir,Table13[[#This Row],[Direction]],
IF(_xlpm.dir="R",
    IF(G2896+Table13[[#This Row],[Steps]]&gt;99,(G2896+Table13[[#This Row],[Steps]])-100,G2896+Table13[[#This Row],[Steps]]),
))</f>
        <v>28</v>
      </c>
      <c r="G2897">
        <f>IF(Table13[[#This Row],[New Pos L]]&lt;&gt;0,Table13[[#This Row],[New Pos L]],Table13[[#This Row],[New Pos R]])</f>
        <v>28</v>
      </c>
      <c r="H2897">
        <f>IF(AND(Table13[[#This Row],[Direction]]="L",Table13[[#This Row],[Steps]]&gt;G2896,G2896&lt;&gt;0),1,0)</f>
        <v>0</v>
      </c>
      <c r="I2897">
        <f>IF(AND(Table13[[#This Row],[Direction]]="R",(G2896+Table13[[#This Row],[Steps]])&gt;100),1,0)</f>
        <v>1</v>
      </c>
      <c r="J2897">
        <f>IF(Table13[[#This Row],[POS]]=0,1,0)</f>
        <v>0</v>
      </c>
      <c r="K2897">
        <f>SUM(Table13[[#This Row],[prefix]],Table13[[#This Row],[Past zero L]],Table13[[#This Row],[Past Zero R]],Table13[[#This Row],[Is Zero]])</f>
        <v>1</v>
      </c>
    </row>
    <row r="2898" spans="1:11" ht="16" x14ac:dyDescent="0.2">
      <c r="A2898" s="1" t="s">
        <v>209</v>
      </c>
      <c r="B2898" t="str">
        <f>LEFT(Table13[[#This Row],[Input]],1)</f>
        <v>L</v>
      </c>
      <c r="C2898">
        <f>_xlfn.LET(_xlpm.steps,SUBSTITUTE(Table13[[#This Row],[Input]],Table13[[#This Row],[Direction]],""),VALUE(IF(LEN(_xlpm.steps)&gt;2,RIGHT(_xlpm.steps,2),_xlpm.steps)))</f>
        <v>86</v>
      </c>
      <c r="D2898">
        <f>_xlfn.LET(_xlpm.steps,SUBSTITUTE(Table13[[#This Row],[Input]],Table13[[#This Row],[Direction]],""),VALUE(IF(LEN(_xlpm.steps)&gt;2,LEFT(_xlpm.steps,LEN(_xlpm.steps)-2),0)))</f>
        <v>0</v>
      </c>
      <c r="E2898">
        <f>_xlfn.LET(_xlpm.dir,Table13[[#This Row],[Direction]],
IF(_xlpm.dir="L",
    IF(G2897-Table13[[#This Row],[Steps]]&lt;0,100+(G2897-Table13[[#This Row],[Steps]]),G2897-Table13[[#This Row],[Steps]]),
))</f>
        <v>42</v>
      </c>
      <c r="F2898">
        <f>_xlfn.LET(_xlpm.dir,Table13[[#This Row],[Direction]],
IF(_xlpm.dir="R",
    IF(G2897+Table13[[#This Row],[Steps]]&gt;99,(G2897+Table13[[#This Row],[Steps]])-100,G2897+Table13[[#This Row],[Steps]]),
))</f>
        <v>0</v>
      </c>
      <c r="G2898">
        <f>IF(Table13[[#This Row],[New Pos L]]&lt;&gt;0,Table13[[#This Row],[New Pos L]],Table13[[#This Row],[New Pos R]])</f>
        <v>42</v>
      </c>
      <c r="H2898">
        <f>IF(AND(Table13[[#This Row],[Direction]]="L",Table13[[#This Row],[Steps]]&gt;G2897,G2897&lt;&gt;0),1,0)</f>
        <v>1</v>
      </c>
      <c r="I2898">
        <f>IF(AND(Table13[[#This Row],[Direction]]="R",(G2897+Table13[[#This Row],[Steps]])&gt;100),1,0)</f>
        <v>0</v>
      </c>
      <c r="J2898">
        <f>IF(Table13[[#This Row],[POS]]=0,1,0)</f>
        <v>0</v>
      </c>
      <c r="K2898">
        <f>SUM(Table13[[#This Row],[prefix]],Table13[[#This Row],[Past zero L]],Table13[[#This Row],[Past Zero R]],Table13[[#This Row],[Is Zero]])</f>
        <v>1</v>
      </c>
    </row>
    <row r="2899" spans="1:11" ht="16" x14ac:dyDescent="0.2">
      <c r="A2899" s="1" t="s">
        <v>295</v>
      </c>
      <c r="B2899" t="str">
        <f>LEFT(Table13[[#This Row],[Input]],1)</f>
        <v>L</v>
      </c>
      <c r="C2899">
        <f>_xlfn.LET(_xlpm.steps,SUBSTITUTE(Table13[[#This Row],[Input]],Table13[[#This Row],[Direction]],""),VALUE(IF(LEN(_xlpm.steps)&gt;2,RIGHT(_xlpm.steps,2),_xlpm.steps)))</f>
        <v>88</v>
      </c>
      <c r="D2899">
        <f>_xlfn.LET(_xlpm.steps,SUBSTITUTE(Table13[[#This Row],[Input]],Table13[[#This Row],[Direction]],""),VALUE(IF(LEN(_xlpm.steps)&gt;2,LEFT(_xlpm.steps,LEN(_xlpm.steps)-2),0)))</f>
        <v>0</v>
      </c>
      <c r="E2899">
        <f>_xlfn.LET(_xlpm.dir,Table13[[#This Row],[Direction]],
IF(_xlpm.dir="L",
    IF(G2898-Table13[[#This Row],[Steps]]&lt;0,100+(G2898-Table13[[#This Row],[Steps]]),G2898-Table13[[#This Row],[Steps]]),
))</f>
        <v>54</v>
      </c>
      <c r="F2899">
        <f>_xlfn.LET(_xlpm.dir,Table13[[#This Row],[Direction]],
IF(_xlpm.dir="R",
    IF(G2898+Table13[[#This Row],[Steps]]&gt;99,(G2898+Table13[[#This Row],[Steps]])-100,G2898+Table13[[#This Row],[Steps]]),
))</f>
        <v>0</v>
      </c>
      <c r="G2899">
        <f>IF(Table13[[#This Row],[New Pos L]]&lt;&gt;0,Table13[[#This Row],[New Pos L]],Table13[[#This Row],[New Pos R]])</f>
        <v>54</v>
      </c>
      <c r="H2899">
        <f>IF(AND(Table13[[#This Row],[Direction]]="L",Table13[[#This Row],[Steps]]&gt;G2898,G2898&lt;&gt;0),1,0)</f>
        <v>1</v>
      </c>
      <c r="I2899">
        <f>IF(AND(Table13[[#This Row],[Direction]]="R",(G2898+Table13[[#This Row],[Steps]])&gt;100),1,0)</f>
        <v>0</v>
      </c>
      <c r="J2899">
        <f>IF(Table13[[#This Row],[POS]]=0,1,0)</f>
        <v>0</v>
      </c>
      <c r="K2899">
        <f>SUM(Table13[[#This Row],[prefix]],Table13[[#This Row],[Past zero L]],Table13[[#This Row],[Past Zero R]],Table13[[#This Row],[Is Zero]])</f>
        <v>1</v>
      </c>
    </row>
    <row r="2900" spans="1:11" ht="16" x14ac:dyDescent="0.2">
      <c r="A2900" s="1" t="s">
        <v>398</v>
      </c>
      <c r="B2900" t="str">
        <f>LEFT(Table13[[#This Row],[Input]],1)</f>
        <v>R</v>
      </c>
      <c r="C2900">
        <f>_xlfn.LET(_xlpm.steps,SUBSTITUTE(Table13[[#This Row],[Input]],Table13[[#This Row],[Direction]],""),VALUE(IF(LEN(_xlpm.steps)&gt;2,RIGHT(_xlpm.steps,2),_xlpm.steps)))</f>
        <v>27</v>
      </c>
      <c r="D2900">
        <f>_xlfn.LET(_xlpm.steps,SUBSTITUTE(Table13[[#This Row],[Input]],Table13[[#This Row],[Direction]],""),VALUE(IF(LEN(_xlpm.steps)&gt;2,LEFT(_xlpm.steps,LEN(_xlpm.steps)-2),0)))</f>
        <v>3</v>
      </c>
      <c r="E2900">
        <f>_xlfn.LET(_xlpm.dir,Table13[[#This Row],[Direction]],
IF(_xlpm.dir="L",
    IF(G2899-Table13[[#This Row],[Steps]]&lt;0,100+(G2899-Table13[[#This Row],[Steps]]),G2899-Table13[[#This Row],[Steps]]),
))</f>
        <v>0</v>
      </c>
      <c r="F2900">
        <f>_xlfn.LET(_xlpm.dir,Table13[[#This Row],[Direction]],
IF(_xlpm.dir="R",
    IF(G2899+Table13[[#This Row],[Steps]]&gt;99,(G2899+Table13[[#This Row],[Steps]])-100,G2899+Table13[[#This Row],[Steps]]),
))</f>
        <v>81</v>
      </c>
      <c r="G2900">
        <f>IF(Table13[[#This Row],[New Pos L]]&lt;&gt;0,Table13[[#This Row],[New Pos L]],Table13[[#This Row],[New Pos R]])</f>
        <v>81</v>
      </c>
      <c r="H2900">
        <f>IF(AND(Table13[[#This Row],[Direction]]="L",Table13[[#This Row],[Steps]]&gt;G2899,G2899&lt;&gt;0),1,0)</f>
        <v>0</v>
      </c>
      <c r="I2900">
        <f>IF(AND(Table13[[#This Row],[Direction]]="R",(G2899+Table13[[#This Row],[Steps]])&gt;100),1,0)</f>
        <v>0</v>
      </c>
      <c r="J2900">
        <f>IF(Table13[[#This Row],[POS]]=0,1,0)</f>
        <v>0</v>
      </c>
      <c r="K2900">
        <f>SUM(Table13[[#This Row],[prefix]],Table13[[#This Row],[Past zero L]],Table13[[#This Row],[Past Zero R]],Table13[[#This Row],[Is Zero]])</f>
        <v>3</v>
      </c>
    </row>
    <row r="2901" spans="1:11" ht="16" x14ac:dyDescent="0.2">
      <c r="A2901" s="1" t="s">
        <v>111</v>
      </c>
      <c r="B2901" t="str">
        <f>LEFT(Table13[[#This Row],[Input]],1)</f>
        <v>R</v>
      </c>
      <c r="C2901">
        <f>_xlfn.LET(_xlpm.steps,SUBSTITUTE(Table13[[#This Row],[Input]],Table13[[#This Row],[Direction]],""),VALUE(IF(LEN(_xlpm.steps)&gt;2,RIGHT(_xlpm.steps,2),_xlpm.steps)))</f>
        <v>64</v>
      </c>
      <c r="D2901">
        <f>_xlfn.LET(_xlpm.steps,SUBSTITUTE(Table13[[#This Row],[Input]],Table13[[#This Row],[Direction]],""),VALUE(IF(LEN(_xlpm.steps)&gt;2,LEFT(_xlpm.steps,LEN(_xlpm.steps)-2),0)))</f>
        <v>0</v>
      </c>
      <c r="E2901">
        <f>_xlfn.LET(_xlpm.dir,Table13[[#This Row],[Direction]],
IF(_xlpm.dir="L",
    IF(G2900-Table13[[#This Row],[Steps]]&lt;0,100+(G2900-Table13[[#This Row],[Steps]]),G2900-Table13[[#This Row],[Steps]]),
))</f>
        <v>0</v>
      </c>
      <c r="F2901">
        <f>_xlfn.LET(_xlpm.dir,Table13[[#This Row],[Direction]],
IF(_xlpm.dir="R",
    IF(G2900+Table13[[#This Row],[Steps]]&gt;99,(G2900+Table13[[#This Row],[Steps]])-100,G2900+Table13[[#This Row],[Steps]]),
))</f>
        <v>45</v>
      </c>
      <c r="G2901">
        <f>IF(Table13[[#This Row],[New Pos L]]&lt;&gt;0,Table13[[#This Row],[New Pos L]],Table13[[#This Row],[New Pos R]])</f>
        <v>45</v>
      </c>
      <c r="H2901">
        <f>IF(AND(Table13[[#This Row],[Direction]]="L",Table13[[#This Row],[Steps]]&gt;G2900,G2900&lt;&gt;0),1,0)</f>
        <v>0</v>
      </c>
      <c r="I2901">
        <f>IF(AND(Table13[[#This Row],[Direction]]="R",(G2900+Table13[[#This Row],[Steps]])&gt;100),1,0)</f>
        <v>1</v>
      </c>
      <c r="J2901">
        <f>IF(Table13[[#This Row],[POS]]=0,1,0)</f>
        <v>0</v>
      </c>
      <c r="K2901">
        <f>SUM(Table13[[#This Row],[prefix]],Table13[[#This Row],[Past zero L]],Table13[[#This Row],[Past Zero R]],Table13[[#This Row],[Is Zero]])</f>
        <v>1</v>
      </c>
    </row>
    <row r="2902" spans="1:11" ht="16" x14ac:dyDescent="0.2">
      <c r="A2902" s="1" t="s">
        <v>165</v>
      </c>
      <c r="B2902" t="str">
        <f>LEFT(Table13[[#This Row],[Input]],1)</f>
        <v>R</v>
      </c>
      <c r="C2902">
        <f>_xlfn.LET(_xlpm.steps,SUBSTITUTE(Table13[[#This Row],[Input]],Table13[[#This Row],[Direction]],""),VALUE(IF(LEN(_xlpm.steps)&gt;2,RIGHT(_xlpm.steps,2),_xlpm.steps)))</f>
        <v>55</v>
      </c>
      <c r="D2902">
        <f>_xlfn.LET(_xlpm.steps,SUBSTITUTE(Table13[[#This Row],[Input]],Table13[[#This Row],[Direction]],""),VALUE(IF(LEN(_xlpm.steps)&gt;2,LEFT(_xlpm.steps,LEN(_xlpm.steps)-2),0)))</f>
        <v>0</v>
      </c>
      <c r="E2902">
        <f>_xlfn.LET(_xlpm.dir,Table13[[#This Row],[Direction]],
IF(_xlpm.dir="L",
    IF(G2901-Table13[[#This Row],[Steps]]&lt;0,100+(G2901-Table13[[#This Row],[Steps]]),G2901-Table13[[#This Row],[Steps]]),
))</f>
        <v>0</v>
      </c>
      <c r="F2902">
        <f>_xlfn.LET(_xlpm.dir,Table13[[#This Row],[Direction]],
IF(_xlpm.dir="R",
    IF(G2901+Table13[[#This Row],[Steps]]&gt;99,(G2901+Table13[[#This Row],[Steps]])-100,G2901+Table13[[#This Row],[Steps]]),
))</f>
        <v>0</v>
      </c>
      <c r="G2902">
        <f>IF(Table13[[#This Row],[New Pos L]]&lt;&gt;0,Table13[[#This Row],[New Pos L]],Table13[[#This Row],[New Pos R]])</f>
        <v>0</v>
      </c>
      <c r="H2902">
        <f>IF(AND(Table13[[#This Row],[Direction]]="L",Table13[[#This Row],[Steps]]&gt;G2901,G2901&lt;&gt;0),1,0)</f>
        <v>0</v>
      </c>
      <c r="I2902">
        <f>IF(AND(Table13[[#This Row],[Direction]]="R",(G2901+Table13[[#This Row],[Steps]])&gt;100),1,0)</f>
        <v>0</v>
      </c>
      <c r="J2902">
        <f>IF(Table13[[#This Row],[POS]]=0,1,0)</f>
        <v>1</v>
      </c>
      <c r="K2902">
        <f>SUM(Table13[[#This Row],[prefix]],Table13[[#This Row],[Past zero L]],Table13[[#This Row],[Past Zero R]],Table13[[#This Row],[Is Zero]])</f>
        <v>1</v>
      </c>
    </row>
    <row r="2903" spans="1:11" ht="16" x14ac:dyDescent="0.2">
      <c r="A2903" s="1" t="s">
        <v>82</v>
      </c>
      <c r="B2903" t="str">
        <f>LEFT(Table13[[#This Row],[Input]],1)</f>
        <v>L</v>
      </c>
      <c r="C2903">
        <f>_xlfn.LET(_xlpm.steps,SUBSTITUTE(Table13[[#This Row],[Input]],Table13[[#This Row],[Direction]],""),VALUE(IF(LEN(_xlpm.steps)&gt;2,RIGHT(_xlpm.steps,2),_xlpm.steps)))</f>
        <v>55</v>
      </c>
      <c r="D2903">
        <f>_xlfn.LET(_xlpm.steps,SUBSTITUTE(Table13[[#This Row],[Input]],Table13[[#This Row],[Direction]],""),VALUE(IF(LEN(_xlpm.steps)&gt;2,LEFT(_xlpm.steps,LEN(_xlpm.steps)-2),0)))</f>
        <v>0</v>
      </c>
      <c r="E2903">
        <f>_xlfn.LET(_xlpm.dir,Table13[[#This Row],[Direction]],
IF(_xlpm.dir="L",
    IF(G2902-Table13[[#This Row],[Steps]]&lt;0,100+(G2902-Table13[[#This Row],[Steps]]),G2902-Table13[[#This Row],[Steps]]),
))</f>
        <v>45</v>
      </c>
      <c r="F2903">
        <f>_xlfn.LET(_xlpm.dir,Table13[[#This Row],[Direction]],
IF(_xlpm.dir="R",
    IF(G2902+Table13[[#This Row],[Steps]]&gt;99,(G2902+Table13[[#This Row],[Steps]])-100,G2902+Table13[[#This Row],[Steps]]),
))</f>
        <v>0</v>
      </c>
      <c r="G2903">
        <f>IF(Table13[[#This Row],[New Pos L]]&lt;&gt;0,Table13[[#This Row],[New Pos L]],Table13[[#This Row],[New Pos R]])</f>
        <v>45</v>
      </c>
      <c r="H2903">
        <f>IF(AND(Table13[[#This Row],[Direction]]="L",Table13[[#This Row],[Steps]]&gt;G2902,G2902&lt;&gt;0),1,0)</f>
        <v>0</v>
      </c>
      <c r="I2903">
        <f>IF(AND(Table13[[#This Row],[Direction]]="R",(G2902+Table13[[#This Row],[Steps]])&gt;100),1,0)</f>
        <v>0</v>
      </c>
      <c r="J2903">
        <f>IF(Table13[[#This Row],[POS]]=0,1,0)</f>
        <v>0</v>
      </c>
      <c r="K2903">
        <f>SUM(Table13[[#This Row],[prefix]],Table13[[#This Row],[Past zero L]],Table13[[#This Row],[Past Zero R]],Table13[[#This Row],[Is Zero]])</f>
        <v>0</v>
      </c>
    </row>
    <row r="2904" spans="1:11" ht="16" x14ac:dyDescent="0.2">
      <c r="A2904" s="1" t="s">
        <v>165</v>
      </c>
      <c r="B2904" t="str">
        <f>LEFT(Table13[[#This Row],[Input]],1)</f>
        <v>R</v>
      </c>
      <c r="C2904">
        <f>_xlfn.LET(_xlpm.steps,SUBSTITUTE(Table13[[#This Row],[Input]],Table13[[#This Row],[Direction]],""),VALUE(IF(LEN(_xlpm.steps)&gt;2,RIGHT(_xlpm.steps,2),_xlpm.steps)))</f>
        <v>55</v>
      </c>
      <c r="D2904">
        <f>_xlfn.LET(_xlpm.steps,SUBSTITUTE(Table13[[#This Row],[Input]],Table13[[#This Row],[Direction]],""),VALUE(IF(LEN(_xlpm.steps)&gt;2,LEFT(_xlpm.steps,LEN(_xlpm.steps)-2),0)))</f>
        <v>0</v>
      </c>
      <c r="E2904">
        <f>_xlfn.LET(_xlpm.dir,Table13[[#This Row],[Direction]],
IF(_xlpm.dir="L",
    IF(G2903-Table13[[#This Row],[Steps]]&lt;0,100+(G2903-Table13[[#This Row],[Steps]]),G2903-Table13[[#This Row],[Steps]]),
))</f>
        <v>0</v>
      </c>
      <c r="F2904">
        <f>_xlfn.LET(_xlpm.dir,Table13[[#This Row],[Direction]],
IF(_xlpm.dir="R",
    IF(G2903+Table13[[#This Row],[Steps]]&gt;99,(G2903+Table13[[#This Row],[Steps]])-100,G2903+Table13[[#This Row],[Steps]]),
))</f>
        <v>0</v>
      </c>
      <c r="G2904">
        <f>IF(Table13[[#This Row],[New Pos L]]&lt;&gt;0,Table13[[#This Row],[New Pos L]],Table13[[#This Row],[New Pos R]])</f>
        <v>0</v>
      </c>
      <c r="H2904">
        <f>IF(AND(Table13[[#This Row],[Direction]]="L",Table13[[#This Row],[Steps]]&gt;G2903,G2903&lt;&gt;0),1,0)</f>
        <v>0</v>
      </c>
      <c r="I2904">
        <f>IF(AND(Table13[[#This Row],[Direction]]="R",(G2903+Table13[[#This Row],[Steps]])&gt;100),1,0)</f>
        <v>0</v>
      </c>
      <c r="J2904">
        <f>IF(Table13[[#This Row],[POS]]=0,1,0)</f>
        <v>1</v>
      </c>
      <c r="K2904">
        <f>SUM(Table13[[#This Row],[prefix]],Table13[[#This Row],[Past zero L]],Table13[[#This Row],[Past Zero R]],Table13[[#This Row],[Is Zero]])</f>
        <v>1</v>
      </c>
    </row>
    <row r="2905" spans="1:11" ht="16" x14ac:dyDescent="0.2">
      <c r="A2905" s="1" t="s">
        <v>25</v>
      </c>
      <c r="B2905" t="str">
        <f>LEFT(Table13[[#This Row],[Input]],1)</f>
        <v>L</v>
      </c>
      <c r="C2905">
        <f>_xlfn.LET(_xlpm.steps,SUBSTITUTE(Table13[[#This Row],[Input]],Table13[[#This Row],[Direction]],""),VALUE(IF(LEN(_xlpm.steps)&gt;2,RIGHT(_xlpm.steps,2),_xlpm.steps)))</f>
        <v>20</v>
      </c>
      <c r="D2905">
        <f>_xlfn.LET(_xlpm.steps,SUBSTITUTE(Table13[[#This Row],[Input]],Table13[[#This Row],[Direction]],""),VALUE(IF(LEN(_xlpm.steps)&gt;2,LEFT(_xlpm.steps,LEN(_xlpm.steps)-2),0)))</f>
        <v>0</v>
      </c>
      <c r="E2905">
        <f>_xlfn.LET(_xlpm.dir,Table13[[#This Row],[Direction]],
IF(_xlpm.dir="L",
    IF(G2904-Table13[[#This Row],[Steps]]&lt;0,100+(G2904-Table13[[#This Row],[Steps]]),G2904-Table13[[#This Row],[Steps]]),
))</f>
        <v>80</v>
      </c>
      <c r="F2905">
        <f>_xlfn.LET(_xlpm.dir,Table13[[#This Row],[Direction]],
IF(_xlpm.dir="R",
    IF(G2904+Table13[[#This Row],[Steps]]&gt;99,(G2904+Table13[[#This Row],[Steps]])-100,G2904+Table13[[#This Row],[Steps]]),
))</f>
        <v>0</v>
      </c>
      <c r="G2905">
        <f>IF(Table13[[#This Row],[New Pos L]]&lt;&gt;0,Table13[[#This Row],[New Pos L]],Table13[[#This Row],[New Pos R]])</f>
        <v>80</v>
      </c>
      <c r="H2905">
        <f>IF(AND(Table13[[#This Row],[Direction]]="L",Table13[[#This Row],[Steps]]&gt;G2904,G2904&lt;&gt;0),1,0)</f>
        <v>0</v>
      </c>
      <c r="I2905">
        <f>IF(AND(Table13[[#This Row],[Direction]]="R",(G2904+Table13[[#This Row],[Steps]])&gt;100),1,0)</f>
        <v>0</v>
      </c>
      <c r="J2905">
        <f>IF(Table13[[#This Row],[POS]]=0,1,0)</f>
        <v>0</v>
      </c>
      <c r="K2905">
        <f>SUM(Table13[[#This Row],[prefix]],Table13[[#This Row],[Past zero L]],Table13[[#This Row],[Past Zero R]],Table13[[#This Row],[Is Zero]])</f>
        <v>0</v>
      </c>
    </row>
    <row r="2906" spans="1:11" ht="16" x14ac:dyDescent="0.2">
      <c r="A2906" s="1" t="s">
        <v>68</v>
      </c>
      <c r="B2906" t="str">
        <f>LEFT(Table13[[#This Row],[Input]],1)</f>
        <v>L</v>
      </c>
      <c r="C2906">
        <f>_xlfn.LET(_xlpm.steps,SUBSTITUTE(Table13[[#This Row],[Input]],Table13[[#This Row],[Direction]],""),VALUE(IF(LEN(_xlpm.steps)&gt;2,RIGHT(_xlpm.steps,2),_xlpm.steps)))</f>
        <v>80</v>
      </c>
      <c r="D2906">
        <f>_xlfn.LET(_xlpm.steps,SUBSTITUTE(Table13[[#This Row],[Input]],Table13[[#This Row],[Direction]],""),VALUE(IF(LEN(_xlpm.steps)&gt;2,LEFT(_xlpm.steps,LEN(_xlpm.steps)-2),0)))</f>
        <v>0</v>
      </c>
      <c r="E2906">
        <f>_xlfn.LET(_xlpm.dir,Table13[[#This Row],[Direction]],
IF(_xlpm.dir="L",
    IF(G2905-Table13[[#This Row],[Steps]]&lt;0,100+(G2905-Table13[[#This Row],[Steps]]),G2905-Table13[[#This Row],[Steps]]),
))</f>
        <v>0</v>
      </c>
      <c r="F2906">
        <f>_xlfn.LET(_xlpm.dir,Table13[[#This Row],[Direction]],
IF(_xlpm.dir="R",
    IF(G2905+Table13[[#This Row],[Steps]]&gt;99,(G2905+Table13[[#This Row],[Steps]])-100,G2905+Table13[[#This Row],[Steps]]),
))</f>
        <v>0</v>
      </c>
      <c r="G2906">
        <f>IF(Table13[[#This Row],[New Pos L]]&lt;&gt;0,Table13[[#This Row],[New Pos L]],Table13[[#This Row],[New Pos R]])</f>
        <v>0</v>
      </c>
      <c r="H2906">
        <f>IF(AND(Table13[[#This Row],[Direction]]="L",Table13[[#This Row],[Steps]]&gt;G2905,G2905&lt;&gt;0),1,0)</f>
        <v>0</v>
      </c>
      <c r="I2906">
        <f>IF(AND(Table13[[#This Row],[Direction]]="R",(G2905+Table13[[#This Row],[Steps]])&gt;100),1,0)</f>
        <v>0</v>
      </c>
      <c r="J2906">
        <f>IF(Table13[[#This Row],[POS]]=0,1,0)</f>
        <v>1</v>
      </c>
      <c r="K2906">
        <f>SUM(Table13[[#This Row],[prefix]],Table13[[#This Row],[Past zero L]],Table13[[#This Row],[Past Zero R]],Table13[[#This Row],[Is Zero]])</f>
        <v>1</v>
      </c>
    </row>
    <row r="2907" spans="1:11" ht="16" x14ac:dyDescent="0.2">
      <c r="A2907" s="1" t="s">
        <v>167</v>
      </c>
      <c r="B2907" t="str">
        <f>LEFT(Table13[[#This Row],[Input]],1)</f>
        <v>L</v>
      </c>
      <c r="C2907">
        <f>_xlfn.LET(_xlpm.steps,SUBSTITUTE(Table13[[#This Row],[Input]],Table13[[#This Row],[Direction]],""),VALUE(IF(LEN(_xlpm.steps)&gt;2,RIGHT(_xlpm.steps,2),_xlpm.steps)))</f>
        <v>59</v>
      </c>
      <c r="D2907">
        <f>_xlfn.LET(_xlpm.steps,SUBSTITUTE(Table13[[#This Row],[Input]],Table13[[#This Row],[Direction]],""),VALUE(IF(LEN(_xlpm.steps)&gt;2,LEFT(_xlpm.steps,LEN(_xlpm.steps)-2),0)))</f>
        <v>0</v>
      </c>
      <c r="E2907">
        <f>_xlfn.LET(_xlpm.dir,Table13[[#This Row],[Direction]],
IF(_xlpm.dir="L",
    IF(G2906-Table13[[#This Row],[Steps]]&lt;0,100+(G2906-Table13[[#This Row],[Steps]]),G2906-Table13[[#This Row],[Steps]]),
))</f>
        <v>41</v>
      </c>
      <c r="F2907">
        <f>_xlfn.LET(_xlpm.dir,Table13[[#This Row],[Direction]],
IF(_xlpm.dir="R",
    IF(G2906+Table13[[#This Row],[Steps]]&gt;99,(G2906+Table13[[#This Row],[Steps]])-100,G2906+Table13[[#This Row],[Steps]]),
))</f>
        <v>0</v>
      </c>
      <c r="G2907">
        <f>IF(Table13[[#This Row],[New Pos L]]&lt;&gt;0,Table13[[#This Row],[New Pos L]],Table13[[#This Row],[New Pos R]])</f>
        <v>41</v>
      </c>
      <c r="H2907">
        <f>IF(AND(Table13[[#This Row],[Direction]]="L",Table13[[#This Row],[Steps]]&gt;G2906,G2906&lt;&gt;0),1,0)</f>
        <v>0</v>
      </c>
      <c r="I2907">
        <f>IF(AND(Table13[[#This Row],[Direction]]="R",(G2906+Table13[[#This Row],[Steps]])&gt;100),1,0)</f>
        <v>0</v>
      </c>
      <c r="J2907">
        <f>IF(Table13[[#This Row],[POS]]=0,1,0)</f>
        <v>0</v>
      </c>
      <c r="K2907">
        <f>SUM(Table13[[#This Row],[prefix]],Table13[[#This Row],[Past zero L]],Table13[[#This Row],[Past Zero R]],Table13[[#This Row],[Is Zero]])</f>
        <v>0</v>
      </c>
    </row>
    <row r="2908" spans="1:11" ht="16" x14ac:dyDescent="0.2">
      <c r="A2908" s="1" t="s">
        <v>73</v>
      </c>
      <c r="B2908" t="str">
        <f>LEFT(Table13[[#This Row],[Input]],1)</f>
        <v>R</v>
      </c>
      <c r="C2908">
        <f>_xlfn.LET(_xlpm.steps,SUBSTITUTE(Table13[[#This Row],[Input]],Table13[[#This Row],[Direction]],""),VALUE(IF(LEN(_xlpm.steps)&gt;2,RIGHT(_xlpm.steps,2),_xlpm.steps)))</f>
        <v>21</v>
      </c>
      <c r="D2908">
        <f>_xlfn.LET(_xlpm.steps,SUBSTITUTE(Table13[[#This Row],[Input]],Table13[[#This Row],[Direction]],""),VALUE(IF(LEN(_xlpm.steps)&gt;2,LEFT(_xlpm.steps,LEN(_xlpm.steps)-2),0)))</f>
        <v>0</v>
      </c>
      <c r="E2908">
        <f>_xlfn.LET(_xlpm.dir,Table13[[#This Row],[Direction]],
IF(_xlpm.dir="L",
    IF(G2907-Table13[[#This Row],[Steps]]&lt;0,100+(G2907-Table13[[#This Row],[Steps]]),G2907-Table13[[#This Row],[Steps]]),
))</f>
        <v>0</v>
      </c>
      <c r="F2908">
        <f>_xlfn.LET(_xlpm.dir,Table13[[#This Row],[Direction]],
IF(_xlpm.dir="R",
    IF(G2907+Table13[[#This Row],[Steps]]&gt;99,(G2907+Table13[[#This Row],[Steps]])-100,G2907+Table13[[#This Row],[Steps]]),
))</f>
        <v>62</v>
      </c>
      <c r="G2908">
        <f>IF(Table13[[#This Row],[New Pos L]]&lt;&gt;0,Table13[[#This Row],[New Pos L]],Table13[[#This Row],[New Pos R]])</f>
        <v>62</v>
      </c>
      <c r="H2908">
        <f>IF(AND(Table13[[#This Row],[Direction]]="L",Table13[[#This Row],[Steps]]&gt;G2907,G2907&lt;&gt;0),1,0)</f>
        <v>0</v>
      </c>
      <c r="I2908">
        <f>IF(AND(Table13[[#This Row],[Direction]]="R",(G2907+Table13[[#This Row],[Steps]])&gt;100),1,0)</f>
        <v>0</v>
      </c>
      <c r="J2908">
        <f>IF(Table13[[#This Row],[POS]]=0,1,0)</f>
        <v>0</v>
      </c>
      <c r="K2908">
        <f>SUM(Table13[[#This Row],[prefix]],Table13[[#This Row],[Past zero L]],Table13[[#This Row],[Past Zero R]],Table13[[#This Row],[Is Zero]])</f>
        <v>0</v>
      </c>
    </row>
    <row r="2909" spans="1:11" ht="16" x14ac:dyDescent="0.2">
      <c r="A2909" s="1" t="s">
        <v>193</v>
      </c>
      <c r="B2909" t="str">
        <f>LEFT(Table13[[#This Row],[Input]],1)</f>
        <v>L</v>
      </c>
      <c r="C2909">
        <f>_xlfn.LET(_xlpm.steps,SUBSTITUTE(Table13[[#This Row],[Input]],Table13[[#This Row],[Direction]],""),VALUE(IF(LEN(_xlpm.steps)&gt;2,RIGHT(_xlpm.steps,2),_xlpm.steps)))</f>
        <v>12</v>
      </c>
      <c r="D2909">
        <f>_xlfn.LET(_xlpm.steps,SUBSTITUTE(Table13[[#This Row],[Input]],Table13[[#This Row],[Direction]],""),VALUE(IF(LEN(_xlpm.steps)&gt;2,LEFT(_xlpm.steps,LEN(_xlpm.steps)-2),0)))</f>
        <v>0</v>
      </c>
      <c r="E2909">
        <f>_xlfn.LET(_xlpm.dir,Table13[[#This Row],[Direction]],
IF(_xlpm.dir="L",
    IF(G2908-Table13[[#This Row],[Steps]]&lt;0,100+(G2908-Table13[[#This Row],[Steps]]),G2908-Table13[[#This Row],[Steps]]),
))</f>
        <v>50</v>
      </c>
      <c r="F2909">
        <f>_xlfn.LET(_xlpm.dir,Table13[[#This Row],[Direction]],
IF(_xlpm.dir="R",
    IF(G2908+Table13[[#This Row],[Steps]]&gt;99,(G2908+Table13[[#This Row],[Steps]])-100,G2908+Table13[[#This Row],[Steps]]),
))</f>
        <v>0</v>
      </c>
      <c r="G2909">
        <f>IF(Table13[[#This Row],[New Pos L]]&lt;&gt;0,Table13[[#This Row],[New Pos L]],Table13[[#This Row],[New Pos R]])</f>
        <v>50</v>
      </c>
      <c r="H2909">
        <f>IF(AND(Table13[[#This Row],[Direction]]="L",Table13[[#This Row],[Steps]]&gt;G2908,G2908&lt;&gt;0),1,0)</f>
        <v>0</v>
      </c>
      <c r="I2909">
        <f>IF(AND(Table13[[#This Row],[Direction]]="R",(G2908+Table13[[#This Row],[Steps]])&gt;100),1,0)</f>
        <v>0</v>
      </c>
      <c r="J2909">
        <f>IF(Table13[[#This Row],[POS]]=0,1,0)</f>
        <v>0</v>
      </c>
      <c r="K2909">
        <f>SUM(Table13[[#This Row],[prefix]],Table13[[#This Row],[Past zero L]],Table13[[#This Row],[Past Zero R]],Table13[[#This Row],[Is Zero]])</f>
        <v>0</v>
      </c>
    </row>
    <row r="2910" spans="1:11" ht="16" x14ac:dyDescent="0.2">
      <c r="A2910" s="1" t="s">
        <v>272</v>
      </c>
      <c r="B2910" t="str">
        <f>LEFT(Table13[[#This Row],[Input]],1)</f>
        <v>R</v>
      </c>
      <c r="C2910">
        <f>_xlfn.LET(_xlpm.steps,SUBSTITUTE(Table13[[#This Row],[Input]],Table13[[#This Row],[Direction]],""),VALUE(IF(LEN(_xlpm.steps)&gt;2,RIGHT(_xlpm.steps,2),_xlpm.steps)))</f>
        <v>56</v>
      </c>
      <c r="D2910">
        <f>_xlfn.LET(_xlpm.steps,SUBSTITUTE(Table13[[#This Row],[Input]],Table13[[#This Row],[Direction]],""),VALUE(IF(LEN(_xlpm.steps)&gt;2,LEFT(_xlpm.steps,LEN(_xlpm.steps)-2),0)))</f>
        <v>0</v>
      </c>
      <c r="E2910">
        <f>_xlfn.LET(_xlpm.dir,Table13[[#This Row],[Direction]],
IF(_xlpm.dir="L",
    IF(G2909-Table13[[#This Row],[Steps]]&lt;0,100+(G2909-Table13[[#This Row],[Steps]]),G2909-Table13[[#This Row],[Steps]]),
))</f>
        <v>0</v>
      </c>
      <c r="F2910">
        <f>_xlfn.LET(_xlpm.dir,Table13[[#This Row],[Direction]],
IF(_xlpm.dir="R",
    IF(G2909+Table13[[#This Row],[Steps]]&gt;99,(G2909+Table13[[#This Row],[Steps]])-100,G2909+Table13[[#This Row],[Steps]]),
))</f>
        <v>6</v>
      </c>
      <c r="G2910">
        <f>IF(Table13[[#This Row],[New Pos L]]&lt;&gt;0,Table13[[#This Row],[New Pos L]],Table13[[#This Row],[New Pos R]])</f>
        <v>6</v>
      </c>
      <c r="H2910">
        <f>IF(AND(Table13[[#This Row],[Direction]]="L",Table13[[#This Row],[Steps]]&gt;G2909,G2909&lt;&gt;0),1,0)</f>
        <v>0</v>
      </c>
      <c r="I2910">
        <f>IF(AND(Table13[[#This Row],[Direction]]="R",(G2909+Table13[[#This Row],[Steps]])&gt;100),1,0)</f>
        <v>1</v>
      </c>
      <c r="J2910">
        <f>IF(Table13[[#This Row],[POS]]=0,1,0)</f>
        <v>0</v>
      </c>
      <c r="K2910">
        <f>SUM(Table13[[#This Row],[prefix]],Table13[[#This Row],[Past zero L]],Table13[[#This Row],[Past Zero R]],Table13[[#This Row],[Is Zero]])</f>
        <v>1</v>
      </c>
    </row>
    <row r="2911" spans="1:11" ht="16" x14ac:dyDescent="0.2">
      <c r="A2911" s="1" t="s">
        <v>34</v>
      </c>
      <c r="B2911" t="str">
        <f>LEFT(Table13[[#This Row],[Input]],1)</f>
        <v>L</v>
      </c>
      <c r="C2911">
        <f>_xlfn.LET(_xlpm.steps,SUBSTITUTE(Table13[[#This Row],[Input]],Table13[[#This Row],[Direction]],""),VALUE(IF(LEN(_xlpm.steps)&gt;2,RIGHT(_xlpm.steps,2),_xlpm.steps)))</f>
        <v>15</v>
      </c>
      <c r="D2911">
        <f>_xlfn.LET(_xlpm.steps,SUBSTITUTE(Table13[[#This Row],[Input]],Table13[[#This Row],[Direction]],""),VALUE(IF(LEN(_xlpm.steps)&gt;2,LEFT(_xlpm.steps,LEN(_xlpm.steps)-2),0)))</f>
        <v>0</v>
      </c>
      <c r="E2911">
        <f>_xlfn.LET(_xlpm.dir,Table13[[#This Row],[Direction]],
IF(_xlpm.dir="L",
    IF(G2910-Table13[[#This Row],[Steps]]&lt;0,100+(G2910-Table13[[#This Row],[Steps]]),G2910-Table13[[#This Row],[Steps]]),
))</f>
        <v>91</v>
      </c>
      <c r="F2911">
        <f>_xlfn.LET(_xlpm.dir,Table13[[#This Row],[Direction]],
IF(_xlpm.dir="R",
    IF(G2910+Table13[[#This Row],[Steps]]&gt;99,(G2910+Table13[[#This Row],[Steps]])-100,G2910+Table13[[#This Row],[Steps]]),
))</f>
        <v>0</v>
      </c>
      <c r="G2911">
        <f>IF(Table13[[#This Row],[New Pos L]]&lt;&gt;0,Table13[[#This Row],[New Pos L]],Table13[[#This Row],[New Pos R]])</f>
        <v>91</v>
      </c>
      <c r="H2911">
        <f>IF(AND(Table13[[#This Row],[Direction]]="L",Table13[[#This Row],[Steps]]&gt;G2910,G2910&lt;&gt;0),1,0)</f>
        <v>1</v>
      </c>
      <c r="I2911">
        <f>IF(AND(Table13[[#This Row],[Direction]]="R",(G2910+Table13[[#This Row],[Steps]])&gt;100),1,0)</f>
        <v>0</v>
      </c>
      <c r="J2911">
        <f>IF(Table13[[#This Row],[POS]]=0,1,0)</f>
        <v>0</v>
      </c>
      <c r="K2911">
        <f>SUM(Table13[[#This Row],[prefix]],Table13[[#This Row],[Past zero L]],Table13[[#This Row],[Past Zero R]],Table13[[#This Row],[Is Zero]])</f>
        <v>1</v>
      </c>
    </row>
    <row r="2912" spans="1:11" ht="16" x14ac:dyDescent="0.2">
      <c r="A2912" s="1" t="s">
        <v>279</v>
      </c>
      <c r="B2912" t="str">
        <f>LEFT(Table13[[#This Row],[Input]],1)</f>
        <v>R</v>
      </c>
      <c r="C2912">
        <f>_xlfn.LET(_xlpm.steps,SUBSTITUTE(Table13[[#This Row],[Input]],Table13[[#This Row],[Direction]],""),VALUE(IF(LEN(_xlpm.steps)&gt;2,RIGHT(_xlpm.steps,2),_xlpm.steps)))</f>
        <v>34</v>
      </c>
      <c r="D2912">
        <f>_xlfn.LET(_xlpm.steps,SUBSTITUTE(Table13[[#This Row],[Input]],Table13[[#This Row],[Direction]],""),VALUE(IF(LEN(_xlpm.steps)&gt;2,LEFT(_xlpm.steps,LEN(_xlpm.steps)-2),0)))</f>
        <v>0</v>
      </c>
      <c r="E2912">
        <f>_xlfn.LET(_xlpm.dir,Table13[[#This Row],[Direction]],
IF(_xlpm.dir="L",
    IF(G2911-Table13[[#This Row],[Steps]]&lt;0,100+(G2911-Table13[[#This Row],[Steps]]),G2911-Table13[[#This Row],[Steps]]),
))</f>
        <v>0</v>
      </c>
      <c r="F2912">
        <f>_xlfn.LET(_xlpm.dir,Table13[[#This Row],[Direction]],
IF(_xlpm.dir="R",
    IF(G2911+Table13[[#This Row],[Steps]]&gt;99,(G2911+Table13[[#This Row],[Steps]])-100,G2911+Table13[[#This Row],[Steps]]),
))</f>
        <v>25</v>
      </c>
      <c r="G2912">
        <f>IF(Table13[[#This Row],[New Pos L]]&lt;&gt;0,Table13[[#This Row],[New Pos L]],Table13[[#This Row],[New Pos R]])</f>
        <v>25</v>
      </c>
      <c r="H2912">
        <f>IF(AND(Table13[[#This Row],[Direction]]="L",Table13[[#This Row],[Steps]]&gt;G2911,G2911&lt;&gt;0),1,0)</f>
        <v>0</v>
      </c>
      <c r="I2912">
        <f>IF(AND(Table13[[#This Row],[Direction]]="R",(G2911+Table13[[#This Row],[Steps]])&gt;100),1,0)</f>
        <v>1</v>
      </c>
      <c r="J2912">
        <f>IF(Table13[[#This Row],[POS]]=0,1,0)</f>
        <v>0</v>
      </c>
      <c r="K2912">
        <f>SUM(Table13[[#This Row],[prefix]],Table13[[#This Row],[Past zero L]],Table13[[#This Row],[Past Zero R]],Table13[[#This Row],[Is Zero]])</f>
        <v>1</v>
      </c>
    </row>
    <row r="2913" spans="1:11" ht="16" x14ac:dyDescent="0.2">
      <c r="A2913" s="1" t="s">
        <v>424</v>
      </c>
      <c r="B2913" t="str">
        <f>LEFT(Table13[[#This Row],[Input]],1)</f>
        <v>L</v>
      </c>
      <c r="C2913">
        <f>_xlfn.LET(_xlpm.steps,SUBSTITUTE(Table13[[#This Row],[Input]],Table13[[#This Row],[Direction]],""),VALUE(IF(LEN(_xlpm.steps)&gt;2,RIGHT(_xlpm.steps,2),_xlpm.steps)))</f>
        <v>25</v>
      </c>
      <c r="D2913">
        <f>_xlfn.LET(_xlpm.steps,SUBSTITUTE(Table13[[#This Row],[Input]],Table13[[#This Row],[Direction]],""),VALUE(IF(LEN(_xlpm.steps)&gt;2,LEFT(_xlpm.steps,LEN(_xlpm.steps)-2),0)))</f>
        <v>2</v>
      </c>
      <c r="E2913">
        <f>_xlfn.LET(_xlpm.dir,Table13[[#This Row],[Direction]],
IF(_xlpm.dir="L",
    IF(G2912-Table13[[#This Row],[Steps]]&lt;0,100+(G2912-Table13[[#This Row],[Steps]]),G2912-Table13[[#This Row],[Steps]]),
))</f>
        <v>0</v>
      </c>
      <c r="F2913">
        <f>_xlfn.LET(_xlpm.dir,Table13[[#This Row],[Direction]],
IF(_xlpm.dir="R",
    IF(G2912+Table13[[#This Row],[Steps]]&gt;99,(G2912+Table13[[#This Row],[Steps]])-100,G2912+Table13[[#This Row],[Steps]]),
))</f>
        <v>0</v>
      </c>
      <c r="G2913">
        <f>IF(Table13[[#This Row],[New Pos L]]&lt;&gt;0,Table13[[#This Row],[New Pos L]],Table13[[#This Row],[New Pos R]])</f>
        <v>0</v>
      </c>
      <c r="H2913">
        <f>IF(AND(Table13[[#This Row],[Direction]]="L",Table13[[#This Row],[Steps]]&gt;G2912,G2912&lt;&gt;0),1,0)</f>
        <v>0</v>
      </c>
      <c r="I2913">
        <f>IF(AND(Table13[[#This Row],[Direction]]="R",(G2912+Table13[[#This Row],[Steps]])&gt;100),1,0)</f>
        <v>0</v>
      </c>
      <c r="J2913">
        <f>IF(Table13[[#This Row],[POS]]=0,1,0)</f>
        <v>1</v>
      </c>
      <c r="K2913">
        <f>SUM(Table13[[#This Row],[prefix]],Table13[[#This Row],[Past zero L]],Table13[[#This Row],[Past Zero R]],Table13[[#This Row],[Is Zero]])</f>
        <v>3</v>
      </c>
    </row>
    <row r="2914" spans="1:11" ht="16" x14ac:dyDescent="0.2">
      <c r="A2914" s="1" t="s">
        <v>175</v>
      </c>
      <c r="B2914" t="str">
        <f>LEFT(Table13[[#This Row],[Input]],1)</f>
        <v>L</v>
      </c>
      <c r="C2914">
        <f>_xlfn.LET(_xlpm.steps,SUBSTITUTE(Table13[[#This Row],[Input]],Table13[[#This Row],[Direction]],""),VALUE(IF(LEN(_xlpm.steps)&gt;2,RIGHT(_xlpm.steps,2),_xlpm.steps)))</f>
        <v>1</v>
      </c>
      <c r="D2914">
        <f>_xlfn.LET(_xlpm.steps,SUBSTITUTE(Table13[[#This Row],[Input]],Table13[[#This Row],[Direction]],""),VALUE(IF(LEN(_xlpm.steps)&gt;2,LEFT(_xlpm.steps,LEN(_xlpm.steps)-2),0)))</f>
        <v>0</v>
      </c>
      <c r="E2914">
        <f>_xlfn.LET(_xlpm.dir,Table13[[#This Row],[Direction]],
IF(_xlpm.dir="L",
    IF(G2913-Table13[[#This Row],[Steps]]&lt;0,100+(G2913-Table13[[#This Row],[Steps]]),G2913-Table13[[#This Row],[Steps]]),
))</f>
        <v>99</v>
      </c>
      <c r="F2914">
        <f>_xlfn.LET(_xlpm.dir,Table13[[#This Row],[Direction]],
IF(_xlpm.dir="R",
    IF(G2913+Table13[[#This Row],[Steps]]&gt;99,(G2913+Table13[[#This Row],[Steps]])-100,G2913+Table13[[#This Row],[Steps]]),
))</f>
        <v>0</v>
      </c>
      <c r="G2914">
        <f>IF(Table13[[#This Row],[New Pos L]]&lt;&gt;0,Table13[[#This Row],[New Pos L]],Table13[[#This Row],[New Pos R]])</f>
        <v>99</v>
      </c>
      <c r="H2914">
        <f>IF(AND(Table13[[#This Row],[Direction]]="L",Table13[[#This Row],[Steps]]&gt;G2913,G2913&lt;&gt;0),1,0)</f>
        <v>0</v>
      </c>
      <c r="I2914">
        <f>IF(AND(Table13[[#This Row],[Direction]]="R",(G2913+Table13[[#This Row],[Steps]])&gt;100),1,0)</f>
        <v>0</v>
      </c>
      <c r="J2914">
        <f>IF(Table13[[#This Row],[POS]]=0,1,0)</f>
        <v>0</v>
      </c>
      <c r="K2914">
        <f>SUM(Table13[[#This Row],[prefix]],Table13[[#This Row],[Past zero L]],Table13[[#This Row],[Past Zero R]],Table13[[#This Row],[Is Zero]])</f>
        <v>0</v>
      </c>
    </row>
    <row r="2915" spans="1:11" ht="16" x14ac:dyDescent="0.2">
      <c r="A2915" s="1" t="s">
        <v>120</v>
      </c>
      <c r="B2915" t="str">
        <f>LEFT(Table13[[#This Row],[Input]],1)</f>
        <v>L</v>
      </c>
      <c r="C2915">
        <f>_xlfn.LET(_xlpm.steps,SUBSTITUTE(Table13[[#This Row],[Input]],Table13[[#This Row],[Direction]],""),VALUE(IF(LEN(_xlpm.steps)&gt;2,RIGHT(_xlpm.steps,2),_xlpm.steps)))</f>
        <v>23</v>
      </c>
      <c r="D2915">
        <f>_xlfn.LET(_xlpm.steps,SUBSTITUTE(Table13[[#This Row],[Input]],Table13[[#This Row],[Direction]],""),VALUE(IF(LEN(_xlpm.steps)&gt;2,LEFT(_xlpm.steps,LEN(_xlpm.steps)-2),0)))</f>
        <v>0</v>
      </c>
      <c r="E2915">
        <f>_xlfn.LET(_xlpm.dir,Table13[[#This Row],[Direction]],
IF(_xlpm.dir="L",
    IF(G2914-Table13[[#This Row],[Steps]]&lt;0,100+(G2914-Table13[[#This Row],[Steps]]),G2914-Table13[[#This Row],[Steps]]),
))</f>
        <v>76</v>
      </c>
      <c r="F2915">
        <f>_xlfn.LET(_xlpm.dir,Table13[[#This Row],[Direction]],
IF(_xlpm.dir="R",
    IF(G2914+Table13[[#This Row],[Steps]]&gt;99,(G2914+Table13[[#This Row],[Steps]])-100,G2914+Table13[[#This Row],[Steps]]),
))</f>
        <v>0</v>
      </c>
      <c r="G2915">
        <f>IF(Table13[[#This Row],[New Pos L]]&lt;&gt;0,Table13[[#This Row],[New Pos L]],Table13[[#This Row],[New Pos R]])</f>
        <v>76</v>
      </c>
      <c r="H2915">
        <f>IF(AND(Table13[[#This Row],[Direction]]="L",Table13[[#This Row],[Steps]]&gt;G2914,G2914&lt;&gt;0),1,0)</f>
        <v>0</v>
      </c>
      <c r="I2915">
        <f>IF(AND(Table13[[#This Row],[Direction]]="R",(G2914+Table13[[#This Row],[Steps]])&gt;100),1,0)</f>
        <v>0</v>
      </c>
      <c r="J2915">
        <f>IF(Table13[[#This Row],[POS]]=0,1,0)</f>
        <v>0</v>
      </c>
      <c r="K2915">
        <f>SUM(Table13[[#This Row],[prefix]],Table13[[#This Row],[Past zero L]],Table13[[#This Row],[Past Zero R]],Table13[[#This Row],[Is Zero]])</f>
        <v>0</v>
      </c>
    </row>
    <row r="2916" spans="1:11" ht="16" x14ac:dyDescent="0.2">
      <c r="A2916" s="1" t="s">
        <v>66</v>
      </c>
      <c r="B2916" t="str">
        <f>LEFT(Table13[[#This Row],[Input]],1)</f>
        <v>R</v>
      </c>
      <c r="C2916">
        <f>_xlfn.LET(_xlpm.steps,SUBSTITUTE(Table13[[#This Row],[Input]],Table13[[#This Row],[Direction]],""),VALUE(IF(LEN(_xlpm.steps)&gt;2,RIGHT(_xlpm.steps,2),_xlpm.steps)))</f>
        <v>45</v>
      </c>
      <c r="D2916">
        <f>_xlfn.LET(_xlpm.steps,SUBSTITUTE(Table13[[#This Row],[Input]],Table13[[#This Row],[Direction]],""),VALUE(IF(LEN(_xlpm.steps)&gt;2,LEFT(_xlpm.steps,LEN(_xlpm.steps)-2),0)))</f>
        <v>0</v>
      </c>
      <c r="E2916">
        <f>_xlfn.LET(_xlpm.dir,Table13[[#This Row],[Direction]],
IF(_xlpm.dir="L",
    IF(G2915-Table13[[#This Row],[Steps]]&lt;0,100+(G2915-Table13[[#This Row],[Steps]]),G2915-Table13[[#This Row],[Steps]]),
))</f>
        <v>0</v>
      </c>
      <c r="F2916">
        <f>_xlfn.LET(_xlpm.dir,Table13[[#This Row],[Direction]],
IF(_xlpm.dir="R",
    IF(G2915+Table13[[#This Row],[Steps]]&gt;99,(G2915+Table13[[#This Row],[Steps]])-100,G2915+Table13[[#This Row],[Steps]]),
))</f>
        <v>21</v>
      </c>
      <c r="G2916">
        <f>IF(Table13[[#This Row],[New Pos L]]&lt;&gt;0,Table13[[#This Row],[New Pos L]],Table13[[#This Row],[New Pos R]])</f>
        <v>21</v>
      </c>
      <c r="H2916">
        <f>IF(AND(Table13[[#This Row],[Direction]]="L",Table13[[#This Row],[Steps]]&gt;G2915,G2915&lt;&gt;0),1,0)</f>
        <v>0</v>
      </c>
      <c r="I2916">
        <f>IF(AND(Table13[[#This Row],[Direction]]="R",(G2915+Table13[[#This Row],[Steps]])&gt;100),1,0)</f>
        <v>1</v>
      </c>
      <c r="J2916">
        <f>IF(Table13[[#This Row],[POS]]=0,1,0)</f>
        <v>0</v>
      </c>
      <c r="K2916">
        <f>SUM(Table13[[#This Row],[prefix]],Table13[[#This Row],[Past zero L]],Table13[[#This Row],[Past Zero R]],Table13[[#This Row],[Is Zero]])</f>
        <v>1</v>
      </c>
    </row>
    <row r="2917" spans="1:11" ht="16" x14ac:dyDescent="0.2">
      <c r="A2917" s="1" t="s">
        <v>127</v>
      </c>
      <c r="B2917" t="str">
        <f>LEFT(Table13[[#This Row],[Input]],1)</f>
        <v>L</v>
      </c>
      <c r="C2917">
        <f>_xlfn.LET(_xlpm.steps,SUBSTITUTE(Table13[[#This Row],[Input]],Table13[[#This Row],[Direction]],""),VALUE(IF(LEN(_xlpm.steps)&gt;2,RIGHT(_xlpm.steps,2),_xlpm.steps)))</f>
        <v>62</v>
      </c>
      <c r="D2917">
        <f>_xlfn.LET(_xlpm.steps,SUBSTITUTE(Table13[[#This Row],[Input]],Table13[[#This Row],[Direction]],""),VALUE(IF(LEN(_xlpm.steps)&gt;2,LEFT(_xlpm.steps,LEN(_xlpm.steps)-2),0)))</f>
        <v>0</v>
      </c>
      <c r="E2917">
        <f>_xlfn.LET(_xlpm.dir,Table13[[#This Row],[Direction]],
IF(_xlpm.dir="L",
    IF(G2916-Table13[[#This Row],[Steps]]&lt;0,100+(G2916-Table13[[#This Row],[Steps]]),G2916-Table13[[#This Row],[Steps]]),
))</f>
        <v>59</v>
      </c>
      <c r="F2917">
        <f>_xlfn.LET(_xlpm.dir,Table13[[#This Row],[Direction]],
IF(_xlpm.dir="R",
    IF(G2916+Table13[[#This Row],[Steps]]&gt;99,(G2916+Table13[[#This Row],[Steps]])-100,G2916+Table13[[#This Row],[Steps]]),
))</f>
        <v>0</v>
      </c>
      <c r="G2917">
        <f>IF(Table13[[#This Row],[New Pos L]]&lt;&gt;0,Table13[[#This Row],[New Pos L]],Table13[[#This Row],[New Pos R]])</f>
        <v>59</v>
      </c>
      <c r="H2917">
        <f>IF(AND(Table13[[#This Row],[Direction]]="L",Table13[[#This Row],[Steps]]&gt;G2916,G2916&lt;&gt;0),1,0)</f>
        <v>1</v>
      </c>
      <c r="I2917">
        <f>IF(AND(Table13[[#This Row],[Direction]]="R",(G2916+Table13[[#This Row],[Steps]])&gt;100),1,0)</f>
        <v>0</v>
      </c>
      <c r="J2917">
        <f>IF(Table13[[#This Row],[POS]]=0,1,0)</f>
        <v>0</v>
      </c>
      <c r="K2917">
        <f>SUM(Table13[[#This Row],[prefix]],Table13[[#This Row],[Past zero L]],Table13[[#This Row],[Past Zero R]],Table13[[#This Row],[Is Zero]])</f>
        <v>1</v>
      </c>
    </row>
    <row r="2918" spans="1:11" ht="16" x14ac:dyDescent="0.2">
      <c r="A2918" s="1" t="s">
        <v>157</v>
      </c>
      <c r="B2918" t="str">
        <f>LEFT(Table13[[#This Row],[Input]],1)</f>
        <v>R</v>
      </c>
      <c r="C2918">
        <f>_xlfn.LET(_xlpm.steps,SUBSTITUTE(Table13[[#This Row],[Input]],Table13[[#This Row],[Direction]],""),VALUE(IF(LEN(_xlpm.steps)&gt;2,RIGHT(_xlpm.steps,2),_xlpm.steps)))</f>
        <v>68</v>
      </c>
      <c r="D2918">
        <f>_xlfn.LET(_xlpm.steps,SUBSTITUTE(Table13[[#This Row],[Input]],Table13[[#This Row],[Direction]],""),VALUE(IF(LEN(_xlpm.steps)&gt;2,LEFT(_xlpm.steps,LEN(_xlpm.steps)-2),0)))</f>
        <v>0</v>
      </c>
      <c r="E2918">
        <f>_xlfn.LET(_xlpm.dir,Table13[[#This Row],[Direction]],
IF(_xlpm.dir="L",
    IF(G2917-Table13[[#This Row],[Steps]]&lt;0,100+(G2917-Table13[[#This Row],[Steps]]),G2917-Table13[[#This Row],[Steps]]),
))</f>
        <v>0</v>
      </c>
      <c r="F2918">
        <f>_xlfn.LET(_xlpm.dir,Table13[[#This Row],[Direction]],
IF(_xlpm.dir="R",
    IF(G2917+Table13[[#This Row],[Steps]]&gt;99,(G2917+Table13[[#This Row],[Steps]])-100,G2917+Table13[[#This Row],[Steps]]),
))</f>
        <v>27</v>
      </c>
      <c r="G2918">
        <f>IF(Table13[[#This Row],[New Pos L]]&lt;&gt;0,Table13[[#This Row],[New Pos L]],Table13[[#This Row],[New Pos R]])</f>
        <v>27</v>
      </c>
      <c r="H2918">
        <f>IF(AND(Table13[[#This Row],[Direction]]="L",Table13[[#This Row],[Steps]]&gt;G2917,G2917&lt;&gt;0),1,0)</f>
        <v>0</v>
      </c>
      <c r="I2918">
        <f>IF(AND(Table13[[#This Row],[Direction]]="R",(G2917+Table13[[#This Row],[Steps]])&gt;100),1,0)</f>
        <v>1</v>
      </c>
      <c r="J2918">
        <f>IF(Table13[[#This Row],[POS]]=0,1,0)</f>
        <v>0</v>
      </c>
      <c r="K2918">
        <f>SUM(Table13[[#This Row],[prefix]],Table13[[#This Row],[Past zero L]],Table13[[#This Row],[Past Zero R]],Table13[[#This Row],[Is Zero]])</f>
        <v>1</v>
      </c>
    </row>
    <row r="2919" spans="1:11" ht="16" x14ac:dyDescent="0.2">
      <c r="A2919" s="1" t="s">
        <v>390</v>
      </c>
      <c r="B2919" t="str">
        <f>LEFT(Table13[[#This Row],[Input]],1)</f>
        <v>L</v>
      </c>
      <c r="C2919">
        <f>_xlfn.LET(_xlpm.steps,SUBSTITUTE(Table13[[#This Row],[Input]],Table13[[#This Row],[Direction]],""),VALUE(IF(LEN(_xlpm.steps)&gt;2,RIGHT(_xlpm.steps,2),_xlpm.steps)))</f>
        <v>52</v>
      </c>
      <c r="D2919">
        <f>_xlfn.LET(_xlpm.steps,SUBSTITUTE(Table13[[#This Row],[Input]],Table13[[#This Row],[Direction]],""),VALUE(IF(LEN(_xlpm.steps)&gt;2,LEFT(_xlpm.steps,LEN(_xlpm.steps)-2),0)))</f>
        <v>4</v>
      </c>
      <c r="E2919">
        <f>_xlfn.LET(_xlpm.dir,Table13[[#This Row],[Direction]],
IF(_xlpm.dir="L",
    IF(G2918-Table13[[#This Row],[Steps]]&lt;0,100+(G2918-Table13[[#This Row],[Steps]]),G2918-Table13[[#This Row],[Steps]]),
))</f>
        <v>75</v>
      </c>
      <c r="F2919">
        <f>_xlfn.LET(_xlpm.dir,Table13[[#This Row],[Direction]],
IF(_xlpm.dir="R",
    IF(G2918+Table13[[#This Row],[Steps]]&gt;99,(G2918+Table13[[#This Row],[Steps]])-100,G2918+Table13[[#This Row],[Steps]]),
))</f>
        <v>0</v>
      </c>
      <c r="G2919">
        <f>IF(Table13[[#This Row],[New Pos L]]&lt;&gt;0,Table13[[#This Row],[New Pos L]],Table13[[#This Row],[New Pos R]])</f>
        <v>75</v>
      </c>
      <c r="H2919">
        <f>IF(AND(Table13[[#This Row],[Direction]]="L",Table13[[#This Row],[Steps]]&gt;G2918,G2918&lt;&gt;0),1,0)</f>
        <v>1</v>
      </c>
      <c r="I2919">
        <f>IF(AND(Table13[[#This Row],[Direction]]="R",(G2918+Table13[[#This Row],[Steps]])&gt;100),1,0)</f>
        <v>0</v>
      </c>
      <c r="J2919">
        <f>IF(Table13[[#This Row],[POS]]=0,1,0)</f>
        <v>0</v>
      </c>
      <c r="K2919">
        <f>SUM(Table13[[#This Row],[prefix]],Table13[[#This Row],[Past zero L]],Table13[[#This Row],[Past Zero R]],Table13[[#This Row],[Is Zero]])</f>
        <v>5</v>
      </c>
    </row>
    <row r="2920" spans="1:11" ht="16" x14ac:dyDescent="0.2">
      <c r="A2920" s="1" t="s">
        <v>272</v>
      </c>
      <c r="B2920" t="str">
        <f>LEFT(Table13[[#This Row],[Input]],1)</f>
        <v>R</v>
      </c>
      <c r="C2920">
        <f>_xlfn.LET(_xlpm.steps,SUBSTITUTE(Table13[[#This Row],[Input]],Table13[[#This Row],[Direction]],""),VALUE(IF(LEN(_xlpm.steps)&gt;2,RIGHT(_xlpm.steps,2),_xlpm.steps)))</f>
        <v>56</v>
      </c>
      <c r="D2920">
        <f>_xlfn.LET(_xlpm.steps,SUBSTITUTE(Table13[[#This Row],[Input]],Table13[[#This Row],[Direction]],""),VALUE(IF(LEN(_xlpm.steps)&gt;2,LEFT(_xlpm.steps,LEN(_xlpm.steps)-2),0)))</f>
        <v>0</v>
      </c>
      <c r="E2920">
        <f>_xlfn.LET(_xlpm.dir,Table13[[#This Row],[Direction]],
IF(_xlpm.dir="L",
    IF(G2919-Table13[[#This Row],[Steps]]&lt;0,100+(G2919-Table13[[#This Row],[Steps]]),G2919-Table13[[#This Row],[Steps]]),
))</f>
        <v>0</v>
      </c>
      <c r="F2920">
        <f>_xlfn.LET(_xlpm.dir,Table13[[#This Row],[Direction]],
IF(_xlpm.dir="R",
    IF(G2919+Table13[[#This Row],[Steps]]&gt;99,(G2919+Table13[[#This Row],[Steps]])-100,G2919+Table13[[#This Row],[Steps]]),
))</f>
        <v>31</v>
      </c>
      <c r="G2920">
        <f>IF(Table13[[#This Row],[New Pos L]]&lt;&gt;0,Table13[[#This Row],[New Pos L]],Table13[[#This Row],[New Pos R]])</f>
        <v>31</v>
      </c>
      <c r="H2920">
        <f>IF(AND(Table13[[#This Row],[Direction]]="L",Table13[[#This Row],[Steps]]&gt;G2919,G2919&lt;&gt;0),1,0)</f>
        <v>0</v>
      </c>
      <c r="I2920">
        <f>IF(AND(Table13[[#This Row],[Direction]]="R",(G2919+Table13[[#This Row],[Steps]])&gt;100),1,0)</f>
        <v>1</v>
      </c>
      <c r="J2920">
        <f>IF(Table13[[#This Row],[POS]]=0,1,0)</f>
        <v>0</v>
      </c>
      <c r="K2920">
        <f>SUM(Table13[[#This Row],[prefix]],Table13[[#This Row],[Past zero L]],Table13[[#This Row],[Past Zero R]],Table13[[#This Row],[Is Zero]])</f>
        <v>1</v>
      </c>
    </row>
    <row r="2921" spans="1:11" ht="16" x14ac:dyDescent="0.2">
      <c r="A2921" s="1" t="s">
        <v>121</v>
      </c>
      <c r="B2921" t="str">
        <f>LEFT(Table13[[#This Row],[Input]],1)</f>
        <v>L</v>
      </c>
      <c r="C2921">
        <f>_xlfn.LET(_xlpm.steps,SUBSTITUTE(Table13[[#This Row],[Input]],Table13[[#This Row],[Direction]],""),VALUE(IF(LEN(_xlpm.steps)&gt;2,RIGHT(_xlpm.steps,2),_xlpm.steps)))</f>
        <v>69</v>
      </c>
      <c r="D2921">
        <f>_xlfn.LET(_xlpm.steps,SUBSTITUTE(Table13[[#This Row],[Input]],Table13[[#This Row],[Direction]],""),VALUE(IF(LEN(_xlpm.steps)&gt;2,LEFT(_xlpm.steps,LEN(_xlpm.steps)-2),0)))</f>
        <v>0</v>
      </c>
      <c r="E2921">
        <f>_xlfn.LET(_xlpm.dir,Table13[[#This Row],[Direction]],
IF(_xlpm.dir="L",
    IF(G2920-Table13[[#This Row],[Steps]]&lt;0,100+(G2920-Table13[[#This Row],[Steps]]),G2920-Table13[[#This Row],[Steps]]),
))</f>
        <v>62</v>
      </c>
      <c r="F2921">
        <f>_xlfn.LET(_xlpm.dir,Table13[[#This Row],[Direction]],
IF(_xlpm.dir="R",
    IF(G2920+Table13[[#This Row],[Steps]]&gt;99,(G2920+Table13[[#This Row],[Steps]])-100,G2920+Table13[[#This Row],[Steps]]),
))</f>
        <v>0</v>
      </c>
      <c r="G2921">
        <f>IF(Table13[[#This Row],[New Pos L]]&lt;&gt;0,Table13[[#This Row],[New Pos L]],Table13[[#This Row],[New Pos R]])</f>
        <v>62</v>
      </c>
      <c r="H2921">
        <f>IF(AND(Table13[[#This Row],[Direction]]="L",Table13[[#This Row],[Steps]]&gt;G2920,G2920&lt;&gt;0),1,0)</f>
        <v>1</v>
      </c>
      <c r="I2921">
        <f>IF(AND(Table13[[#This Row],[Direction]]="R",(G2920+Table13[[#This Row],[Steps]])&gt;100),1,0)</f>
        <v>0</v>
      </c>
      <c r="J2921">
        <f>IF(Table13[[#This Row],[POS]]=0,1,0)</f>
        <v>0</v>
      </c>
      <c r="K2921">
        <f>SUM(Table13[[#This Row],[prefix]],Table13[[#This Row],[Past zero L]],Table13[[#This Row],[Past Zero R]],Table13[[#This Row],[Is Zero]])</f>
        <v>1</v>
      </c>
    </row>
    <row r="2922" spans="1:11" ht="16" x14ac:dyDescent="0.2">
      <c r="A2922" s="1" t="s">
        <v>79</v>
      </c>
      <c r="B2922" t="str">
        <f>LEFT(Table13[[#This Row],[Input]],1)</f>
        <v>L</v>
      </c>
      <c r="C2922">
        <f>_xlfn.LET(_xlpm.steps,SUBSTITUTE(Table13[[#This Row],[Input]],Table13[[#This Row],[Direction]],""),VALUE(IF(LEN(_xlpm.steps)&gt;2,RIGHT(_xlpm.steps,2),_xlpm.steps)))</f>
        <v>45</v>
      </c>
      <c r="D2922">
        <f>_xlfn.LET(_xlpm.steps,SUBSTITUTE(Table13[[#This Row],[Input]],Table13[[#This Row],[Direction]],""),VALUE(IF(LEN(_xlpm.steps)&gt;2,LEFT(_xlpm.steps,LEN(_xlpm.steps)-2),0)))</f>
        <v>0</v>
      </c>
      <c r="E2922">
        <f>_xlfn.LET(_xlpm.dir,Table13[[#This Row],[Direction]],
IF(_xlpm.dir="L",
    IF(G2921-Table13[[#This Row],[Steps]]&lt;0,100+(G2921-Table13[[#This Row],[Steps]]),G2921-Table13[[#This Row],[Steps]]),
))</f>
        <v>17</v>
      </c>
      <c r="F2922">
        <f>_xlfn.LET(_xlpm.dir,Table13[[#This Row],[Direction]],
IF(_xlpm.dir="R",
    IF(G2921+Table13[[#This Row],[Steps]]&gt;99,(G2921+Table13[[#This Row],[Steps]])-100,G2921+Table13[[#This Row],[Steps]]),
))</f>
        <v>0</v>
      </c>
      <c r="G2922">
        <f>IF(Table13[[#This Row],[New Pos L]]&lt;&gt;0,Table13[[#This Row],[New Pos L]],Table13[[#This Row],[New Pos R]])</f>
        <v>17</v>
      </c>
      <c r="H2922">
        <f>IF(AND(Table13[[#This Row],[Direction]]="L",Table13[[#This Row],[Steps]]&gt;G2921,G2921&lt;&gt;0),1,0)</f>
        <v>0</v>
      </c>
      <c r="I2922">
        <f>IF(AND(Table13[[#This Row],[Direction]]="R",(G2921+Table13[[#This Row],[Steps]])&gt;100),1,0)</f>
        <v>0</v>
      </c>
      <c r="J2922">
        <f>IF(Table13[[#This Row],[POS]]=0,1,0)</f>
        <v>0</v>
      </c>
      <c r="K2922">
        <f>SUM(Table13[[#This Row],[prefix]],Table13[[#This Row],[Past zero L]],Table13[[#This Row],[Past Zero R]],Table13[[#This Row],[Is Zero]])</f>
        <v>0</v>
      </c>
    </row>
    <row r="2923" spans="1:11" ht="16" x14ac:dyDescent="0.2">
      <c r="A2923" s="1" t="s">
        <v>119</v>
      </c>
      <c r="B2923" t="str">
        <f>LEFT(Table13[[#This Row],[Input]],1)</f>
        <v>L</v>
      </c>
      <c r="C2923">
        <f>_xlfn.LET(_xlpm.steps,SUBSTITUTE(Table13[[#This Row],[Input]],Table13[[#This Row],[Direction]],""),VALUE(IF(LEN(_xlpm.steps)&gt;2,RIGHT(_xlpm.steps,2),_xlpm.steps)))</f>
        <v>77</v>
      </c>
      <c r="D2923">
        <f>_xlfn.LET(_xlpm.steps,SUBSTITUTE(Table13[[#This Row],[Input]],Table13[[#This Row],[Direction]],""),VALUE(IF(LEN(_xlpm.steps)&gt;2,LEFT(_xlpm.steps,LEN(_xlpm.steps)-2),0)))</f>
        <v>0</v>
      </c>
      <c r="E2923">
        <f>_xlfn.LET(_xlpm.dir,Table13[[#This Row],[Direction]],
IF(_xlpm.dir="L",
    IF(G2922-Table13[[#This Row],[Steps]]&lt;0,100+(G2922-Table13[[#This Row],[Steps]]),G2922-Table13[[#This Row],[Steps]]),
))</f>
        <v>40</v>
      </c>
      <c r="F2923">
        <f>_xlfn.LET(_xlpm.dir,Table13[[#This Row],[Direction]],
IF(_xlpm.dir="R",
    IF(G2922+Table13[[#This Row],[Steps]]&gt;99,(G2922+Table13[[#This Row],[Steps]])-100,G2922+Table13[[#This Row],[Steps]]),
))</f>
        <v>0</v>
      </c>
      <c r="G2923">
        <f>IF(Table13[[#This Row],[New Pos L]]&lt;&gt;0,Table13[[#This Row],[New Pos L]],Table13[[#This Row],[New Pos R]])</f>
        <v>40</v>
      </c>
      <c r="H2923">
        <f>IF(AND(Table13[[#This Row],[Direction]]="L",Table13[[#This Row],[Steps]]&gt;G2922,G2922&lt;&gt;0),1,0)</f>
        <v>1</v>
      </c>
      <c r="I2923">
        <f>IF(AND(Table13[[#This Row],[Direction]]="R",(G2922+Table13[[#This Row],[Steps]])&gt;100),1,0)</f>
        <v>0</v>
      </c>
      <c r="J2923">
        <f>IF(Table13[[#This Row],[POS]]=0,1,0)</f>
        <v>0</v>
      </c>
      <c r="K2923">
        <f>SUM(Table13[[#This Row],[prefix]],Table13[[#This Row],[Past zero L]],Table13[[#This Row],[Past Zero R]],Table13[[#This Row],[Is Zero]])</f>
        <v>1</v>
      </c>
    </row>
    <row r="2924" spans="1:11" ht="16" x14ac:dyDescent="0.2">
      <c r="A2924" s="1" t="s">
        <v>68</v>
      </c>
      <c r="B2924" t="str">
        <f>LEFT(Table13[[#This Row],[Input]],1)</f>
        <v>L</v>
      </c>
      <c r="C2924">
        <f>_xlfn.LET(_xlpm.steps,SUBSTITUTE(Table13[[#This Row],[Input]],Table13[[#This Row],[Direction]],""),VALUE(IF(LEN(_xlpm.steps)&gt;2,RIGHT(_xlpm.steps,2),_xlpm.steps)))</f>
        <v>80</v>
      </c>
      <c r="D2924">
        <f>_xlfn.LET(_xlpm.steps,SUBSTITUTE(Table13[[#This Row],[Input]],Table13[[#This Row],[Direction]],""),VALUE(IF(LEN(_xlpm.steps)&gt;2,LEFT(_xlpm.steps,LEN(_xlpm.steps)-2),0)))</f>
        <v>0</v>
      </c>
      <c r="E2924">
        <f>_xlfn.LET(_xlpm.dir,Table13[[#This Row],[Direction]],
IF(_xlpm.dir="L",
    IF(G2923-Table13[[#This Row],[Steps]]&lt;0,100+(G2923-Table13[[#This Row],[Steps]]),G2923-Table13[[#This Row],[Steps]]),
))</f>
        <v>60</v>
      </c>
      <c r="F2924">
        <f>_xlfn.LET(_xlpm.dir,Table13[[#This Row],[Direction]],
IF(_xlpm.dir="R",
    IF(G2923+Table13[[#This Row],[Steps]]&gt;99,(G2923+Table13[[#This Row],[Steps]])-100,G2923+Table13[[#This Row],[Steps]]),
))</f>
        <v>0</v>
      </c>
      <c r="G2924">
        <f>IF(Table13[[#This Row],[New Pos L]]&lt;&gt;0,Table13[[#This Row],[New Pos L]],Table13[[#This Row],[New Pos R]])</f>
        <v>60</v>
      </c>
      <c r="H2924">
        <f>IF(AND(Table13[[#This Row],[Direction]]="L",Table13[[#This Row],[Steps]]&gt;G2923,G2923&lt;&gt;0),1,0)</f>
        <v>1</v>
      </c>
      <c r="I2924">
        <f>IF(AND(Table13[[#This Row],[Direction]]="R",(G2923+Table13[[#This Row],[Steps]])&gt;100),1,0)</f>
        <v>0</v>
      </c>
      <c r="J2924">
        <f>IF(Table13[[#This Row],[POS]]=0,1,0)</f>
        <v>0</v>
      </c>
      <c r="K2924">
        <f>SUM(Table13[[#This Row],[prefix]],Table13[[#This Row],[Past zero L]],Table13[[#This Row],[Past Zero R]],Table13[[#This Row],[Is Zero]])</f>
        <v>1</v>
      </c>
    </row>
    <row r="2925" spans="1:11" ht="16" x14ac:dyDescent="0.2">
      <c r="A2925" s="1" t="s">
        <v>179</v>
      </c>
      <c r="B2925" t="str">
        <f>LEFT(Table13[[#This Row],[Input]],1)</f>
        <v>L</v>
      </c>
      <c r="C2925">
        <f>_xlfn.LET(_xlpm.steps,SUBSTITUTE(Table13[[#This Row],[Input]],Table13[[#This Row],[Direction]],""),VALUE(IF(LEN(_xlpm.steps)&gt;2,RIGHT(_xlpm.steps,2),_xlpm.steps)))</f>
        <v>54</v>
      </c>
      <c r="D2925">
        <f>_xlfn.LET(_xlpm.steps,SUBSTITUTE(Table13[[#This Row],[Input]],Table13[[#This Row],[Direction]],""),VALUE(IF(LEN(_xlpm.steps)&gt;2,LEFT(_xlpm.steps,LEN(_xlpm.steps)-2),0)))</f>
        <v>0</v>
      </c>
      <c r="E2925">
        <f>_xlfn.LET(_xlpm.dir,Table13[[#This Row],[Direction]],
IF(_xlpm.dir="L",
    IF(G2924-Table13[[#This Row],[Steps]]&lt;0,100+(G2924-Table13[[#This Row],[Steps]]),G2924-Table13[[#This Row],[Steps]]),
))</f>
        <v>6</v>
      </c>
      <c r="F2925">
        <f>_xlfn.LET(_xlpm.dir,Table13[[#This Row],[Direction]],
IF(_xlpm.dir="R",
    IF(G2924+Table13[[#This Row],[Steps]]&gt;99,(G2924+Table13[[#This Row],[Steps]])-100,G2924+Table13[[#This Row],[Steps]]),
))</f>
        <v>0</v>
      </c>
      <c r="G2925">
        <f>IF(Table13[[#This Row],[New Pos L]]&lt;&gt;0,Table13[[#This Row],[New Pos L]],Table13[[#This Row],[New Pos R]])</f>
        <v>6</v>
      </c>
      <c r="H2925">
        <f>IF(AND(Table13[[#This Row],[Direction]]="L",Table13[[#This Row],[Steps]]&gt;G2924,G2924&lt;&gt;0),1,0)</f>
        <v>0</v>
      </c>
      <c r="I2925">
        <f>IF(AND(Table13[[#This Row],[Direction]]="R",(G2924+Table13[[#This Row],[Steps]])&gt;100),1,0)</f>
        <v>0</v>
      </c>
      <c r="J2925">
        <f>IF(Table13[[#This Row],[POS]]=0,1,0)</f>
        <v>0</v>
      </c>
      <c r="K2925">
        <f>SUM(Table13[[#This Row],[prefix]],Table13[[#This Row],[Past zero L]],Table13[[#This Row],[Past Zero R]],Table13[[#This Row],[Is Zero]])</f>
        <v>0</v>
      </c>
    </row>
    <row r="2926" spans="1:11" ht="16" x14ac:dyDescent="0.2">
      <c r="A2926" s="1" t="s">
        <v>13</v>
      </c>
      <c r="B2926" t="str">
        <f>LEFT(Table13[[#This Row],[Input]],1)</f>
        <v>R</v>
      </c>
      <c r="C2926">
        <f>_xlfn.LET(_xlpm.steps,SUBSTITUTE(Table13[[#This Row],[Input]],Table13[[#This Row],[Direction]],""),VALUE(IF(LEN(_xlpm.steps)&gt;2,RIGHT(_xlpm.steps,2),_xlpm.steps)))</f>
        <v>12</v>
      </c>
      <c r="D2926">
        <f>_xlfn.LET(_xlpm.steps,SUBSTITUTE(Table13[[#This Row],[Input]],Table13[[#This Row],[Direction]],""),VALUE(IF(LEN(_xlpm.steps)&gt;2,LEFT(_xlpm.steps,LEN(_xlpm.steps)-2),0)))</f>
        <v>0</v>
      </c>
      <c r="E2926">
        <f>_xlfn.LET(_xlpm.dir,Table13[[#This Row],[Direction]],
IF(_xlpm.dir="L",
    IF(G2925-Table13[[#This Row],[Steps]]&lt;0,100+(G2925-Table13[[#This Row],[Steps]]),G2925-Table13[[#This Row],[Steps]]),
))</f>
        <v>0</v>
      </c>
      <c r="F2926">
        <f>_xlfn.LET(_xlpm.dir,Table13[[#This Row],[Direction]],
IF(_xlpm.dir="R",
    IF(G2925+Table13[[#This Row],[Steps]]&gt;99,(G2925+Table13[[#This Row],[Steps]])-100,G2925+Table13[[#This Row],[Steps]]),
))</f>
        <v>18</v>
      </c>
      <c r="G2926">
        <f>IF(Table13[[#This Row],[New Pos L]]&lt;&gt;0,Table13[[#This Row],[New Pos L]],Table13[[#This Row],[New Pos R]])</f>
        <v>18</v>
      </c>
      <c r="H2926">
        <f>IF(AND(Table13[[#This Row],[Direction]]="L",Table13[[#This Row],[Steps]]&gt;G2925,G2925&lt;&gt;0),1,0)</f>
        <v>0</v>
      </c>
      <c r="I2926">
        <f>IF(AND(Table13[[#This Row],[Direction]]="R",(G2925+Table13[[#This Row],[Steps]])&gt;100),1,0)</f>
        <v>0</v>
      </c>
      <c r="J2926">
        <f>IF(Table13[[#This Row],[POS]]=0,1,0)</f>
        <v>0</v>
      </c>
      <c r="K2926">
        <f>SUM(Table13[[#This Row],[prefix]],Table13[[#This Row],[Past zero L]],Table13[[#This Row],[Past Zero R]],Table13[[#This Row],[Is Zero]])</f>
        <v>0</v>
      </c>
    </row>
    <row r="2927" spans="1:11" ht="16" x14ac:dyDescent="0.2">
      <c r="A2927" s="1" t="s">
        <v>234</v>
      </c>
      <c r="B2927" t="str">
        <f>LEFT(Table13[[#This Row],[Input]],1)</f>
        <v>R</v>
      </c>
      <c r="C2927">
        <f>_xlfn.LET(_xlpm.steps,SUBSTITUTE(Table13[[#This Row],[Input]],Table13[[#This Row],[Direction]],""),VALUE(IF(LEN(_xlpm.steps)&gt;2,RIGHT(_xlpm.steps,2),_xlpm.steps)))</f>
        <v>82</v>
      </c>
      <c r="D2927">
        <f>_xlfn.LET(_xlpm.steps,SUBSTITUTE(Table13[[#This Row],[Input]],Table13[[#This Row],[Direction]],""),VALUE(IF(LEN(_xlpm.steps)&gt;2,LEFT(_xlpm.steps,LEN(_xlpm.steps)-2),0)))</f>
        <v>0</v>
      </c>
      <c r="E2927">
        <f>_xlfn.LET(_xlpm.dir,Table13[[#This Row],[Direction]],
IF(_xlpm.dir="L",
    IF(G2926-Table13[[#This Row],[Steps]]&lt;0,100+(G2926-Table13[[#This Row],[Steps]]),G2926-Table13[[#This Row],[Steps]]),
))</f>
        <v>0</v>
      </c>
      <c r="F2927">
        <f>_xlfn.LET(_xlpm.dir,Table13[[#This Row],[Direction]],
IF(_xlpm.dir="R",
    IF(G2926+Table13[[#This Row],[Steps]]&gt;99,(G2926+Table13[[#This Row],[Steps]])-100,G2926+Table13[[#This Row],[Steps]]),
))</f>
        <v>0</v>
      </c>
      <c r="G2927">
        <f>IF(Table13[[#This Row],[New Pos L]]&lt;&gt;0,Table13[[#This Row],[New Pos L]],Table13[[#This Row],[New Pos R]])</f>
        <v>0</v>
      </c>
      <c r="H2927">
        <f>IF(AND(Table13[[#This Row],[Direction]]="L",Table13[[#This Row],[Steps]]&gt;G2926,G2926&lt;&gt;0),1,0)</f>
        <v>0</v>
      </c>
      <c r="I2927">
        <f>IF(AND(Table13[[#This Row],[Direction]]="R",(G2926+Table13[[#This Row],[Steps]])&gt;100),1,0)</f>
        <v>0</v>
      </c>
      <c r="J2927">
        <f>IF(Table13[[#This Row],[POS]]=0,1,0)</f>
        <v>1</v>
      </c>
      <c r="K2927">
        <f>SUM(Table13[[#This Row],[prefix]],Table13[[#This Row],[Past zero L]],Table13[[#This Row],[Past Zero R]],Table13[[#This Row],[Is Zero]])</f>
        <v>1</v>
      </c>
    </row>
    <row r="2928" spans="1:11" ht="16" x14ac:dyDescent="0.2">
      <c r="A2928" s="1" t="s">
        <v>175</v>
      </c>
      <c r="B2928" t="str">
        <f>LEFT(Table13[[#This Row],[Input]],1)</f>
        <v>L</v>
      </c>
      <c r="C2928">
        <f>_xlfn.LET(_xlpm.steps,SUBSTITUTE(Table13[[#This Row],[Input]],Table13[[#This Row],[Direction]],""),VALUE(IF(LEN(_xlpm.steps)&gt;2,RIGHT(_xlpm.steps,2),_xlpm.steps)))</f>
        <v>1</v>
      </c>
      <c r="D2928">
        <f>_xlfn.LET(_xlpm.steps,SUBSTITUTE(Table13[[#This Row],[Input]],Table13[[#This Row],[Direction]],""),VALUE(IF(LEN(_xlpm.steps)&gt;2,LEFT(_xlpm.steps,LEN(_xlpm.steps)-2),0)))</f>
        <v>0</v>
      </c>
      <c r="E2928">
        <f>_xlfn.LET(_xlpm.dir,Table13[[#This Row],[Direction]],
IF(_xlpm.dir="L",
    IF(G2927-Table13[[#This Row],[Steps]]&lt;0,100+(G2927-Table13[[#This Row],[Steps]]),G2927-Table13[[#This Row],[Steps]]),
))</f>
        <v>99</v>
      </c>
      <c r="F2928">
        <f>_xlfn.LET(_xlpm.dir,Table13[[#This Row],[Direction]],
IF(_xlpm.dir="R",
    IF(G2927+Table13[[#This Row],[Steps]]&gt;99,(G2927+Table13[[#This Row],[Steps]])-100,G2927+Table13[[#This Row],[Steps]]),
))</f>
        <v>0</v>
      </c>
      <c r="G2928">
        <f>IF(Table13[[#This Row],[New Pos L]]&lt;&gt;0,Table13[[#This Row],[New Pos L]],Table13[[#This Row],[New Pos R]])</f>
        <v>99</v>
      </c>
      <c r="H2928">
        <f>IF(AND(Table13[[#This Row],[Direction]]="L",Table13[[#This Row],[Steps]]&gt;G2927,G2927&lt;&gt;0),1,0)</f>
        <v>0</v>
      </c>
      <c r="I2928">
        <f>IF(AND(Table13[[#This Row],[Direction]]="R",(G2927+Table13[[#This Row],[Steps]])&gt;100),1,0)</f>
        <v>0</v>
      </c>
      <c r="J2928">
        <f>IF(Table13[[#This Row],[POS]]=0,1,0)</f>
        <v>0</v>
      </c>
      <c r="K2928">
        <f>SUM(Table13[[#This Row],[prefix]],Table13[[#This Row],[Past zero L]],Table13[[#This Row],[Past Zero R]],Table13[[#This Row],[Is Zero]])</f>
        <v>0</v>
      </c>
    </row>
    <row r="2929" spans="1:11" ht="16" x14ac:dyDescent="0.2">
      <c r="A2929" s="1" t="s">
        <v>252</v>
      </c>
      <c r="B2929" t="str">
        <f>LEFT(Table13[[#This Row],[Input]],1)</f>
        <v>L</v>
      </c>
      <c r="C2929">
        <f>_xlfn.LET(_xlpm.steps,SUBSTITUTE(Table13[[#This Row],[Input]],Table13[[#This Row],[Direction]],""),VALUE(IF(LEN(_xlpm.steps)&gt;2,RIGHT(_xlpm.steps,2),_xlpm.steps)))</f>
        <v>99</v>
      </c>
      <c r="D2929">
        <f>_xlfn.LET(_xlpm.steps,SUBSTITUTE(Table13[[#This Row],[Input]],Table13[[#This Row],[Direction]],""),VALUE(IF(LEN(_xlpm.steps)&gt;2,LEFT(_xlpm.steps,LEN(_xlpm.steps)-2),0)))</f>
        <v>0</v>
      </c>
      <c r="E2929">
        <f>_xlfn.LET(_xlpm.dir,Table13[[#This Row],[Direction]],
IF(_xlpm.dir="L",
    IF(G2928-Table13[[#This Row],[Steps]]&lt;0,100+(G2928-Table13[[#This Row],[Steps]]),G2928-Table13[[#This Row],[Steps]]),
))</f>
        <v>0</v>
      </c>
      <c r="F2929">
        <f>_xlfn.LET(_xlpm.dir,Table13[[#This Row],[Direction]],
IF(_xlpm.dir="R",
    IF(G2928+Table13[[#This Row],[Steps]]&gt;99,(G2928+Table13[[#This Row],[Steps]])-100,G2928+Table13[[#This Row],[Steps]]),
))</f>
        <v>0</v>
      </c>
      <c r="G2929">
        <f>IF(Table13[[#This Row],[New Pos L]]&lt;&gt;0,Table13[[#This Row],[New Pos L]],Table13[[#This Row],[New Pos R]])</f>
        <v>0</v>
      </c>
      <c r="H2929">
        <f>IF(AND(Table13[[#This Row],[Direction]]="L",Table13[[#This Row],[Steps]]&gt;G2928,G2928&lt;&gt;0),1,0)</f>
        <v>0</v>
      </c>
      <c r="I2929">
        <f>IF(AND(Table13[[#This Row],[Direction]]="R",(G2928+Table13[[#This Row],[Steps]])&gt;100),1,0)</f>
        <v>0</v>
      </c>
      <c r="J2929">
        <f>IF(Table13[[#This Row],[POS]]=0,1,0)</f>
        <v>1</v>
      </c>
      <c r="K2929">
        <f>SUM(Table13[[#This Row],[prefix]],Table13[[#This Row],[Past zero L]],Table13[[#This Row],[Past Zero R]],Table13[[#This Row],[Is Zero]])</f>
        <v>1</v>
      </c>
    </row>
    <row r="2930" spans="1:11" ht="16" x14ac:dyDescent="0.2">
      <c r="A2930" s="1" t="s">
        <v>95</v>
      </c>
      <c r="B2930" t="str">
        <f>LEFT(Table13[[#This Row],[Input]],1)</f>
        <v>L</v>
      </c>
      <c r="C2930">
        <f>_xlfn.LET(_xlpm.steps,SUBSTITUTE(Table13[[#This Row],[Input]],Table13[[#This Row],[Direction]],""),VALUE(IF(LEN(_xlpm.steps)&gt;2,RIGHT(_xlpm.steps,2),_xlpm.steps)))</f>
        <v>78</v>
      </c>
      <c r="D2930">
        <f>_xlfn.LET(_xlpm.steps,SUBSTITUTE(Table13[[#This Row],[Input]],Table13[[#This Row],[Direction]],""),VALUE(IF(LEN(_xlpm.steps)&gt;2,LEFT(_xlpm.steps,LEN(_xlpm.steps)-2),0)))</f>
        <v>0</v>
      </c>
      <c r="E2930">
        <f>_xlfn.LET(_xlpm.dir,Table13[[#This Row],[Direction]],
IF(_xlpm.dir="L",
    IF(G2929-Table13[[#This Row],[Steps]]&lt;0,100+(G2929-Table13[[#This Row],[Steps]]),G2929-Table13[[#This Row],[Steps]]),
))</f>
        <v>22</v>
      </c>
      <c r="F2930">
        <f>_xlfn.LET(_xlpm.dir,Table13[[#This Row],[Direction]],
IF(_xlpm.dir="R",
    IF(G2929+Table13[[#This Row],[Steps]]&gt;99,(G2929+Table13[[#This Row],[Steps]])-100,G2929+Table13[[#This Row],[Steps]]),
))</f>
        <v>0</v>
      </c>
      <c r="G2930">
        <f>IF(Table13[[#This Row],[New Pos L]]&lt;&gt;0,Table13[[#This Row],[New Pos L]],Table13[[#This Row],[New Pos R]])</f>
        <v>22</v>
      </c>
      <c r="H2930">
        <f>IF(AND(Table13[[#This Row],[Direction]]="L",Table13[[#This Row],[Steps]]&gt;G2929,G2929&lt;&gt;0),1,0)</f>
        <v>0</v>
      </c>
      <c r="I2930">
        <f>IF(AND(Table13[[#This Row],[Direction]]="R",(G2929+Table13[[#This Row],[Steps]])&gt;100),1,0)</f>
        <v>0</v>
      </c>
      <c r="J2930">
        <f>IF(Table13[[#This Row],[POS]]=0,1,0)</f>
        <v>0</v>
      </c>
      <c r="K2930">
        <f>SUM(Table13[[#This Row],[prefix]],Table13[[#This Row],[Past zero L]],Table13[[#This Row],[Past Zero R]],Table13[[#This Row],[Is Zero]])</f>
        <v>0</v>
      </c>
    </row>
    <row r="2931" spans="1:11" ht="16" x14ac:dyDescent="0.2">
      <c r="A2931" s="1" t="s">
        <v>505</v>
      </c>
      <c r="B2931" t="str">
        <f>LEFT(Table13[[#This Row],[Input]],1)</f>
        <v>L</v>
      </c>
      <c r="C2931">
        <f>_xlfn.LET(_xlpm.steps,SUBSTITUTE(Table13[[#This Row],[Input]],Table13[[#This Row],[Direction]],""),VALUE(IF(LEN(_xlpm.steps)&gt;2,RIGHT(_xlpm.steps,2),_xlpm.steps)))</f>
        <v>91</v>
      </c>
      <c r="D2931">
        <f>_xlfn.LET(_xlpm.steps,SUBSTITUTE(Table13[[#This Row],[Input]],Table13[[#This Row],[Direction]],""),VALUE(IF(LEN(_xlpm.steps)&gt;2,LEFT(_xlpm.steps,LEN(_xlpm.steps)-2),0)))</f>
        <v>9</v>
      </c>
      <c r="E2931">
        <f>_xlfn.LET(_xlpm.dir,Table13[[#This Row],[Direction]],
IF(_xlpm.dir="L",
    IF(G2930-Table13[[#This Row],[Steps]]&lt;0,100+(G2930-Table13[[#This Row],[Steps]]),G2930-Table13[[#This Row],[Steps]]),
))</f>
        <v>31</v>
      </c>
      <c r="F2931">
        <f>_xlfn.LET(_xlpm.dir,Table13[[#This Row],[Direction]],
IF(_xlpm.dir="R",
    IF(G2930+Table13[[#This Row],[Steps]]&gt;99,(G2930+Table13[[#This Row],[Steps]])-100,G2930+Table13[[#This Row],[Steps]]),
))</f>
        <v>0</v>
      </c>
      <c r="G2931">
        <f>IF(Table13[[#This Row],[New Pos L]]&lt;&gt;0,Table13[[#This Row],[New Pos L]],Table13[[#This Row],[New Pos R]])</f>
        <v>31</v>
      </c>
      <c r="H2931">
        <f>IF(AND(Table13[[#This Row],[Direction]]="L",Table13[[#This Row],[Steps]]&gt;G2930,G2930&lt;&gt;0),1,0)</f>
        <v>1</v>
      </c>
      <c r="I2931">
        <f>IF(AND(Table13[[#This Row],[Direction]]="R",(G2930+Table13[[#This Row],[Steps]])&gt;100),1,0)</f>
        <v>0</v>
      </c>
      <c r="J2931">
        <f>IF(Table13[[#This Row],[POS]]=0,1,0)</f>
        <v>0</v>
      </c>
      <c r="K2931">
        <f>SUM(Table13[[#This Row],[prefix]],Table13[[#This Row],[Past zero L]],Table13[[#This Row],[Past Zero R]],Table13[[#This Row],[Is Zero]])</f>
        <v>10</v>
      </c>
    </row>
    <row r="2932" spans="1:11" ht="16" x14ac:dyDescent="0.2">
      <c r="A2932" s="1" t="s">
        <v>135</v>
      </c>
      <c r="B2932" t="str">
        <f>LEFT(Table13[[#This Row],[Input]],1)</f>
        <v>R</v>
      </c>
      <c r="C2932">
        <f>_xlfn.LET(_xlpm.steps,SUBSTITUTE(Table13[[#This Row],[Input]],Table13[[#This Row],[Direction]],""),VALUE(IF(LEN(_xlpm.steps)&gt;2,RIGHT(_xlpm.steps,2),_xlpm.steps)))</f>
        <v>69</v>
      </c>
      <c r="D2932">
        <f>_xlfn.LET(_xlpm.steps,SUBSTITUTE(Table13[[#This Row],[Input]],Table13[[#This Row],[Direction]],""),VALUE(IF(LEN(_xlpm.steps)&gt;2,LEFT(_xlpm.steps,LEN(_xlpm.steps)-2),0)))</f>
        <v>0</v>
      </c>
      <c r="E2932">
        <f>_xlfn.LET(_xlpm.dir,Table13[[#This Row],[Direction]],
IF(_xlpm.dir="L",
    IF(G2931-Table13[[#This Row],[Steps]]&lt;0,100+(G2931-Table13[[#This Row],[Steps]]),G2931-Table13[[#This Row],[Steps]]),
))</f>
        <v>0</v>
      </c>
      <c r="F2932">
        <f>_xlfn.LET(_xlpm.dir,Table13[[#This Row],[Direction]],
IF(_xlpm.dir="R",
    IF(G2931+Table13[[#This Row],[Steps]]&gt;99,(G2931+Table13[[#This Row],[Steps]])-100,G2931+Table13[[#This Row],[Steps]]),
))</f>
        <v>0</v>
      </c>
      <c r="G2932">
        <f>IF(Table13[[#This Row],[New Pos L]]&lt;&gt;0,Table13[[#This Row],[New Pos L]],Table13[[#This Row],[New Pos R]])</f>
        <v>0</v>
      </c>
      <c r="H2932">
        <f>IF(AND(Table13[[#This Row],[Direction]]="L",Table13[[#This Row],[Steps]]&gt;G2931,G2931&lt;&gt;0),1,0)</f>
        <v>0</v>
      </c>
      <c r="I2932">
        <f>IF(AND(Table13[[#This Row],[Direction]]="R",(G2931+Table13[[#This Row],[Steps]])&gt;100),1,0)</f>
        <v>0</v>
      </c>
      <c r="J2932">
        <f>IF(Table13[[#This Row],[POS]]=0,1,0)</f>
        <v>1</v>
      </c>
      <c r="K2932">
        <f>SUM(Table13[[#This Row],[prefix]],Table13[[#This Row],[Past zero L]],Table13[[#This Row],[Past Zero R]],Table13[[#This Row],[Is Zero]])</f>
        <v>1</v>
      </c>
    </row>
    <row r="2933" spans="1:11" ht="16" x14ac:dyDescent="0.2">
      <c r="A2933" s="1" t="s">
        <v>148</v>
      </c>
      <c r="B2933" t="str">
        <f>LEFT(Table13[[#This Row],[Input]],1)</f>
        <v>R</v>
      </c>
      <c r="C2933">
        <f>_xlfn.LET(_xlpm.steps,SUBSTITUTE(Table13[[#This Row],[Input]],Table13[[#This Row],[Direction]],""),VALUE(IF(LEN(_xlpm.steps)&gt;2,RIGHT(_xlpm.steps,2),_xlpm.steps)))</f>
        <v>80</v>
      </c>
      <c r="D2933">
        <f>_xlfn.LET(_xlpm.steps,SUBSTITUTE(Table13[[#This Row],[Input]],Table13[[#This Row],[Direction]],""),VALUE(IF(LEN(_xlpm.steps)&gt;2,LEFT(_xlpm.steps,LEN(_xlpm.steps)-2),0)))</f>
        <v>0</v>
      </c>
      <c r="E2933">
        <f>_xlfn.LET(_xlpm.dir,Table13[[#This Row],[Direction]],
IF(_xlpm.dir="L",
    IF(G2932-Table13[[#This Row],[Steps]]&lt;0,100+(G2932-Table13[[#This Row],[Steps]]),G2932-Table13[[#This Row],[Steps]]),
))</f>
        <v>0</v>
      </c>
      <c r="F2933">
        <f>_xlfn.LET(_xlpm.dir,Table13[[#This Row],[Direction]],
IF(_xlpm.dir="R",
    IF(G2932+Table13[[#This Row],[Steps]]&gt;99,(G2932+Table13[[#This Row],[Steps]])-100,G2932+Table13[[#This Row],[Steps]]),
))</f>
        <v>80</v>
      </c>
      <c r="G2933">
        <f>IF(Table13[[#This Row],[New Pos L]]&lt;&gt;0,Table13[[#This Row],[New Pos L]],Table13[[#This Row],[New Pos R]])</f>
        <v>80</v>
      </c>
      <c r="H2933">
        <f>IF(AND(Table13[[#This Row],[Direction]]="L",Table13[[#This Row],[Steps]]&gt;G2932,G2932&lt;&gt;0),1,0)</f>
        <v>0</v>
      </c>
      <c r="I2933">
        <f>IF(AND(Table13[[#This Row],[Direction]]="R",(G2932+Table13[[#This Row],[Steps]])&gt;100),1,0)</f>
        <v>0</v>
      </c>
      <c r="J2933">
        <f>IF(Table13[[#This Row],[POS]]=0,1,0)</f>
        <v>0</v>
      </c>
      <c r="K2933">
        <f>SUM(Table13[[#This Row],[prefix]],Table13[[#This Row],[Past zero L]],Table13[[#This Row],[Past Zero R]],Table13[[#This Row],[Is Zero]])</f>
        <v>0</v>
      </c>
    </row>
    <row r="2934" spans="1:11" ht="16" x14ac:dyDescent="0.2">
      <c r="A2934" s="1" t="s">
        <v>670</v>
      </c>
      <c r="B2934" t="str">
        <f>LEFT(Table13[[#This Row],[Input]],1)</f>
        <v>R</v>
      </c>
      <c r="C2934">
        <f>_xlfn.LET(_xlpm.steps,SUBSTITUTE(Table13[[#This Row],[Input]],Table13[[#This Row],[Direction]],""),VALUE(IF(LEN(_xlpm.steps)&gt;2,RIGHT(_xlpm.steps,2),_xlpm.steps)))</f>
        <v>21</v>
      </c>
      <c r="D2934">
        <f>_xlfn.LET(_xlpm.steps,SUBSTITUTE(Table13[[#This Row],[Input]],Table13[[#This Row],[Direction]],""),VALUE(IF(LEN(_xlpm.steps)&gt;2,LEFT(_xlpm.steps,LEN(_xlpm.steps)-2),0)))</f>
        <v>5</v>
      </c>
      <c r="E2934">
        <f>_xlfn.LET(_xlpm.dir,Table13[[#This Row],[Direction]],
IF(_xlpm.dir="L",
    IF(G2933-Table13[[#This Row],[Steps]]&lt;0,100+(G2933-Table13[[#This Row],[Steps]]),G2933-Table13[[#This Row],[Steps]]),
))</f>
        <v>0</v>
      </c>
      <c r="F2934">
        <f>_xlfn.LET(_xlpm.dir,Table13[[#This Row],[Direction]],
IF(_xlpm.dir="R",
    IF(G2933+Table13[[#This Row],[Steps]]&gt;99,(G2933+Table13[[#This Row],[Steps]])-100,G2933+Table13[[#This Row],[Steps]]),
))</f>
        <v>1</v>
      </c>
      <c r="G2934">
        <f>IF(Table13[[#This Row],[New Pos L]]&lt;&gt;0,Table13[[#This Row],[New Pos L]],Table13[[#This Row],[New Pos R]])</f>
        <v>1</v>
      </c>
      <c r="H2934">
        <f>IF(AND(Table13[[#This Row],[Direction]]="L",Table13[[#This Row],[Steps]]&gt;G2933,G2933&lt;&gt;0),1,0)</f>
        <v>0</v>
      </c>
      <c r="I2934">
        <f>IF(AND(Table13[[#This Row],[Direction]]="R",(G2933+Table13[[#This Row],[Steps]])&gt;100),1,0)</f>
        <v>1</v>
      </c>
      <c r="J2934">
        <f>IF(Table13[[#This Row],[POS]]=0,1,0)</f>
        <v>0</v>
      </c>
      <c r="K2934">
        <f>SUM(Table13[[#This Row],[prefix]],Table13[[#This Row],[Past zero L]],Table13[[#This Row],[Past Zero R]],Table13[[#This Row],[Is Zero]])</f>
        <v>6</v>
      </c>
    </row>
    <row r="2935" spans="1:11" ht="16" x14ac:dyDescent="0.2">
      <c r="A2935" s="1" t="s">
        <v>66</v>
      </c>
      <c r="B2935" t="str">
        <f>LEFT(Table13[[#This Row],[Input]],1)</f>
        <v>R</v>
      </c>
      <c r="C2935">
        <f>_xlfn.LET(_xlpm.steps,SUBSTITUTE(Table13[[#This Row],[Input]],Table13[[#This Row],[Direction]],""),VALUE(IF(LEN(_xlpm.steps)&gt;2,RIGHT(_xlpm.steps,2),_xlpm.steps)))</f>
        <v>45</v>
      </c>
      <c r="D2935">
        <f>_xlfn.LET(_xlpm.steps,SUBSTITUTE(Table13[[#This Row],[Input]],Table13[[#This Row],[Direction]],""),VALUE(IF(LEN(_xlpm.steps)&gt;2,LEFT(_xlpm.steps,LEN(_xlpm.steps)-2),0)))</f>
        <v>0</v>
      </c>
      <c r="E2935">
        <f>_xlfn.LET(_xlpm.dir,Table13[[#This Row],[Direction]],
IF(_xlpm.dir="L",
    IF(G2934-Table13[[#This Row],[Steps]]&lt;0,100+(G2934-Table13[[#This Row],[Steps]]),G2934-Table13[[#This Row],[Steps]]),
))</f>
        <v>0</v>
      </c>
      <c r="F2935">
        <f>_xlfn.LET(_xlpm.dir,Table13[[#This Row],[Direction]],
IF(_xlpm.dir="R",
    IF(G2934+Table13[[#This Row],[Steps]]&gt;99,(G2934+Table13[[#This Row],[Steps]])-100,G2934+Table13[[#This Row],[Steps]]),
))</f>
        <v>46</v>
      </c>
      <c r="G2935">
        <f>IF(Table13[[#This Row],[New Pos L]]&lt;&gt;0,Table13[[#This Row],[New Pos L]],Table13[[#This Row],[New Pos R]])</f>
        <v>46</v>
      </c>
      <c r="H2935">
        <f>IF(AND(Table13[[#This Row],[Direction]]="L",Table13[[#This Row],[Steps]]&gt;G2934,G2934&lt;&gt;0),1,0)</f>
        <v>0</v>
      </c>
      <c r="I2935">
        <f>IF(AND(Table13[[#This Row],[Direction]]="R",(G2934+Table13[[#This Row],[Steps]])&gt;100),1,0)</f>
        <v>0</v>
      </c>
      <c r="J2935">
        <f>IF(Table13[[#This Row],[POS]]=0,1,0)</f>
        <v>0</v>
      </c>
      <c r="K2935">
        <f>SUM(Table13[[#This Row],[prefix]],Table13[[#This Row],[Past zero L]],Table13[[#This Row],[Past Zero R]],Table13[[#This Row],[Is Zero]])</f>
        <v>0</v>
      </c>
    </row>
    <row r="2936" spans="1:11" ht="16" x14ac:dyDescent="0.2">
      <c r="A2936" s="1" t="s">
        <v>35</v>
      </c>
      <c r="B2936" t="str">
        <f>LEFT(Table13[[#This Row],[Input]],1)</f>
        <v>L</v>
      </c>
      <c r="C2936">
        <f>_xlfn.LET(_xlpm.steps,SUBSTITUTE(Table13[[#This Row],[Input]],Table13[[#This Row],[Direction]],""),VALUE(IF(LEN(_xlpm.steps)&gt;2,RIGHT(_xlpm.steps,2),_xlpm.steps)))</f>
        <v>2</v>
      </c>
      <c r="D2936">
        <f>_xlfn.LET(_xlpm.steps,SUBSTITUTE(Table13[[#This Row],[Input]],Table13[[#This Row],[Direction]],""),VALUE(IF(LEN(_xlpm.steps)&gt;2,LEFT(_xlpm.steps,LEN(_xlpm.steps)-2),0)))</f>
        <v>0</v>
      </c>
      <c r="E2936">
        <f>_xlfn.LET(_xlpm.dir,Table13[[#This Row],[Direction]],
IF(_xlpm.dir="L",
    IF(G2935-Table13[[#This Row],[Steps]]&lt;0,100+(G2935-Table13[[#This Row],[Steps]]),G2935-Table13[[#This Row],[Steps]]),
))</f>
        <v>44</v>
      </c>
      <c r="F2936">
        <f>_xlfn.LET(_xlpm.dir,Table13[[#This Row],[Direction]],
IF(_xlpm.dir="R",
    IF(G2935+Table13[[#This Row],[Steps]]&gt;99,(G2935+Table13[[#This Row],[Steps]])-100,G2935+Table13[[#This Row],[Steps]]),
))</f>
        <v>0</v>
      </c>
      <c r="G2936">
        <f>IF(Table13[[#This Row],[New Pos L]]&lt;&gt;0,Table13[[#This Row],[New Pos L]],Table13[[#This Row],[New Pos R]])</f>
        <v>44</v>
      </c>
      <c r="H2936">
        <f>IF(AND(Table13[[#This Row],[Direction]]="L",Table13[[#This Row],[Steps]]&gt;G2935,G2935&lt;&gt;0),1,0)</f>
        <v>0</v>
      </c>
      <c r="I2936">
        <f>IF(AND(Table13[[#This Row],[Direction]]="R",(G2935+Table13[[#This Row],[Steps]])&gt;100),1,0)</f>
        <v>0</v>
      </c>
      <c r="J2936">
        <f>IF(Table13[[#This Row],[POS]]=0,1,0)</f>
        <v>0</v>
      </c>
      <c r="K2936">
        <f>SUM(Table13[[#This Row],[prefix]],Table13[[#This Row],[Past zero L]],Table13[[#This Row],[Past Zero R]],Table13[[#This Row],[Is Zero]])</f>
        <v>0</v>
      </c>
    </row>
    <row r="2937" spans="1:11" ht="16" x14ac:dyDescent="0.2">
      <c r="A2937" s="1" t="s">
        <v>272</v>
      </c>
      <c r="B2937" t="str">
        <f>LEFT(Table13[[#This Row],[Input]],1)</f>
        <v>R</v>
      </c>
      <c r="C2937">
        <f>_xlfn.LET(_xlpm.steps,SUBSTITUTE(Table13[[#This Row],[Input]],Table13[[#This Row],[Direction]],""),VALUE(IF(LEN(_xlpm.steps)&gt;2,RIGHT(_xlpm.steps,2),_xlpm.steps)))</f>
        <v>56</v>
      </c>
      <c r="D2937">
        <f>_xlfn.LET(_xlpm.steps,SUBSTITUTE(Table13[[#This Row],[Input]],Table13[[#This Row],[Direction]],""),VALUE(IF(LEN(_xlpm.steps)&gt;2,LEFT(_xlpm.steps,LEN(_xlpm.steps)-2),0)))</f>
        <v>0</v>
      </c>
      <c r="E2937">
        <f>_xlfn.LET(_xlpm.dir,Table13[[#This Row],[Direction]],
IF(_xlpm.dir="L",
    IF(G2936-Table13[[#This Row],[Steps]]&lt;0,100+(G2936-Table13[[#This Row],[Steps]]),G2936-Table13[[#This Row],[Steps]]),
))</f>
        <v>0</v>
      </c>
      <c r="F2937">
        <f>_xlfn.LET(_xlpm.dir,Table13[[#This Row],[Direction]],
IF(_xlpm.dir="R",
    IF(G2936+Table13[[#This Row],[Steps]]&gt;99,(G2936+Table13[[#This Row],[Steps]])-100,G2936+Table13[[#This Row],[Steps]]),
))</f>
        <v>0</v>
      </c>
      <c r="G2937">
        <f>IF(Table13[[#This Row],[New Pos L]]&lt;&gt;0,Table13[[#This Row],[New Pos L]],Table13[[#This Row],[New Pos R]])</f>
        <v>0</v>
      </c>
      <c r="H2937">
        <f>IF(AND(Table13[[#This Row],[Direction]]="L",Table13[[#This Row],[Steps]]&gt;G2936,G2936&lt;&gt;0),1,0)</f>
        <v>0</v>
      </c>
      <c r="I2937">
        <f>IF(AND(Table13[[#This Row],[Direction]]="R",(G2936+Table13[[#This Row],[Steps]])&gt;100),1,0)</f>
        <v>0</v>
      </c>
      <c r="J2937">
        <f>IF(Table13[[#This Row],[POS]]=0,1,0)</f>
        <v>1</v>
      </c>
      <c r="K2937">
        <f>SUM(Table13[[#This Row],[prefix]],Table13[[#This Row],[Past zero L]],Table13[[#This Row],[Past Zero R]],Table13[[#This Row],[Is Zero]])</f>
        <v>1</v>
      </c>
    </row>
    <row r="2938" spans="1:11" ht="16" x14ac:dyDescent="0.2">
      <c r="A2938" s="1" t="s">
        <v>122</v>
      </c>
      <c r="B2938" t="str">
        <f>LEFT(Table13[[#This Row],[Input]],1)</f>
        <v>R</v>
      </c>
      <c r="C2938">
        <f>_xlfn.LET(_xlpm.steps,SUBSTITUTE(Table13[[#This Row],[Input]],Table13[[#This Row],[Direction]],""),VALUE(IF(LEN(_xlpm.steps)&gt;2,RIGHT(_xlpm.steps,2),_xlpm.steps)))</f>
        <v>75</v>
      </c>
      <c r="D2938">
        <f>_xlfn.LET(_xlpm.steps,SUBSTITUTE(Table13[[#This Row],[Input]],Table13[[#This Row],[Direction]],""),VALUE(IF(LEN(_xlpm.steps)&gt;2,LEFT(_xlpm.steps,LEN(_xlpm.steps)-2),0)))</f>
        <v>0</v>
      </c>
      <c r="E2938">
        <f>_xlfn.LET(_xlpm.dir,Table13[[#This Row],[Direction]],
IF(_xlpm.dir="L",
    IF(G2937-Table13[[#This Row],[Steps]]&lt;0,100+(G2937-Table13[[#This Row],[Steps]]),G2937-Table13[[#This Row],[Steps]]),
))</f>
        <v>0</v>
      </c>
      <c r="F2938">
        <f>_xlfn.LET(_xlpm.dir,Table13[[#This Row],[Direction]],
IF(_xlpm.dir="R",
    IF(G2937+Table13[[#This Row],[Steps]]&gt;99,(G2937+Table13[[#This Row],[Steps]])-100,G2937+Table13[[#This Row],[Steps]]),
))</f>
        <v>75</v>
      </c>
      <c r="G2938">
        <f>IF(Table13[[#This Row],[New Pos L]]&lt;&gt;0,Table13[[#This Row],[New Pos L]],Table13[[#This Row],[New Pos R]])</f>
        <v>75</v>
      </c>
      <c r="H2938">
        <f>IF(AND(Table13[[#This Row],[Direction]]="L",Table13[[#This Row],[Steps]]&gt;G2937,G2937&lt;&gt;0),1,0)</f>
        <v>0</v>
      </c>
      <c r="I2938">
        <f>IF(AND(Table13[[#This Row],[Direction]]="R",(G2937+Table13[[#This Row],[Steps]])&gt;100),1,0)</f>
        <v>0</v>
      </c>
      <c r="J2938">
        <f>IF(Table13[[#This Row],[POS]]=0,1,0)</f>
        <v>0</v>
      </c>
      <c r="K2938">
        <f>SUM(Table13[[#This Row],[prefix]],Table13[[#This Row],[Past zero L]],Table13[[#This Row],[Past Zero R]],Table13[[#This Row],[Is Zero]])</f>
        <v>0</v>
      </c>
    </row>
    <row r="2939" spans="1:11" ht="16" x14ac:dyDescent="0.2">
      <c r="A2939" s="1" t="s">
        <v>209</v>
      </c>
      <c r="B2939" t="str">
        <f>LEFT(Table13[[#This Row],[Input]],1)</f>
        <v>L</v>
      </c>
      <c r="C2939">
        <f>_xlfn.LET(_xlpm.steps,SUBSTITUTE(Table13[[#This Row],[Input]],Table13[[#This Row],[Direction]],""),VALUE(IF(LEN(_xlpm.steps)&gt;2,RIGHT(_xlpm.steps,2),_xlpm.steps)))</f>
        <v>86</v>
      </c>
      <c r="D2939">
        <f>_xlfn.LET(_xlpm.steps,SUBSTITUTE(Table13[[#This Row],[Input]],Table13[[#This Row],[Direction]],""),VALUE(IF(LEN(_xlpm.steps)&gt;2,LEFT(_xlpm.steps,LEN(_xlpm.steps)-2),0)))</f>
        <v>0</v>
      </c>
      <c r="E2939">
        <f>_xlfn.LET(_xlpm.dir,Table13[[#This Row],[Direction]],
IF(_xlpm.dir="L",
    IF(G2938-Table13[[#This Row],[Steps]]&lt;0,100+(G2938-Table13[[#This Row],[Steps]]),G2938-Table13[[#This Row],[Steps]]),
))</f>
        <v>89</v>
      </c>
      <c r="F2939">
        <f>_xlfn.LET(_xlpm.dir,Table13[[#This Row],[Direction]],
IF(_xlpm.dir="R",
    IF(G2938+Table13[[#This Row],[Steps]]&gt;99,(G2938+Table13[[#This Row],[Steps]])-100,G2938+Table13[[#This Row],[Steps]]),
))</f>
        <v>0</v>
      </c>
      <c r="G2939">
        <f>IF(Table13[[#This Row],[New Pos L]]&lt;&gt;0,Table13[[#This Row],[New Pos L]],Table13[[#This Row],[New Pos R]])</f>
        <v>89</v>
      </c>
      <c r="H2939">
        <f>IF(AND(Table13[[#This Row],[Direction]]="L",Table13[[#This Row],[Steps]]&gt;G2938,G2938&lt;&gt;0),1,0)</f>
        <v>1</v>
      </c>
      <c r="I2939">
        <f>IF(AND(Table13[[#This Row],[Direction]]="R",(G2938+Table13[[#This Row],[Steps]])&gt;100),1,0)</f>
        <v>0</v>
      </c>
      <c r="J2939">
        <f>IF(Table13[[#This Row],[POS]]=0,1,0)</f>
        <v>0</v>
      </c>
      <c r="K2939">
        <f>SUM(Table13[[#This Row],[prefix]],Table13[[#This Row],[Past zero L]],Table13[[#This Row],[Past Zero R]],Table13[[#This Row],[Is Zero]])</f>
        <v>1</v>
      </c>
    </row>
    <row r="2940" spans="1:11" ht="16" x14ac:dyDescent="0.2">
      <c r="A2940" s="1" t="s">
        <v>157</v>
      </c>
      <c r="B2940" t="str">
        <f>LEFT(Table13[[#This Row],[Input]],1)</f>
        <v>R</v>
      </c>
      <c r="C2940">
        <f>_xlfn.LET(_xlpm.steps,SUBSTITUTE(Table13[[#This Row],[Input]],Table13[[#This Row],[Direction]],""),VALUE(IF(LEN(_xlpm.steps)&gt;2,RIGHT(_xlpm.steps,2),_xlpm.steps)))</f>
        <v>68</v>
      </c>
      <c r="D2940">
        <f>_xlfn.LET(_xlpm.steps,SUBSTITUTE(Table13[[#This Row],[Input]],Table13[[#This Row],[Direction]],""),VALUE(IF(LEN(_xlpm.steps)&gt;2,LEFT(_xlpm.steps,LEN(_xlpm.steps)-2),0)))</f>
        <v>0</v>
      </c>
      <c r="E2940">
        <f>_xlfn.LET(_xlpm.dir,Table13[[#This Row],[Direction]],
IF(_xlpm.dir="L",
    IF(G2939-Table13[[#This Row],[Steps]]&lt;0,100+(G2939-Table13[[#This Row],[Steps]]),G2939-Table13[[#This Row],[Steps]]),
))</f>
        <v>0</v>
      </c>
      <c r="F2940">
        <f>_xlfn.LET(_xlpm.dir,Table13[[#This Row],[Direction]],
IF(_xlpm.dir="R",
    IF(G2939+Table13[[#This Row],[Steps]]&gt;99,(G2939+Table13[[#This Row],[Steps]])-100,G2939+Table13[[#This Row],[Steps]]),
))</f>
        <v>57</v>
      </c>
      <c r="G2940">
        <f>IF(Table13[[#This Row],[New Pos L]]&lt;&gt;0,Table13[[#This Row],[New Pos L]],Table13[[#This Row],[New Pos R]])</f>
        <v>57</v>
      </c>
      <c r="H2940">
        <f>IF(AND(Table13[[#This Row],[Direction]]="L",Table13[[#This Row],[Steps]]&gt;G2939,G2939&lt;&gt;0),1,0)</f>
        <v>0</v>
      </c>
      <c r="I2940">
        <f>IF(AND(Table13[[#This Row],[Direction]]="R",(G2939+Table13[[#This Row],[Steps]])&gt;100),1,0)</f>
        <v>1</v>
      </c>
      <c r="J2940">
        <f>IF(Table13[[#This Row],[POS]]=0,1,0)</f>
        <v>0</v>
      </c>
      <c r="K2940">
        <f>SUM(Table13[[#This Row],[prefix]],Table13[[#This Row],[Past zero L]],Table13[[#This Row],[Past Zero R]],Table13[[#This Row],[Is Zero]])</f>
        <v>1</v>
      </c>
    </row>
    <row r="2941" spans="1:11" ht="16" x14ac:dyDescent="0.2">
      <c r="A2941" s="1" t="s">
        <v>62</v>
      </c>
      <c r="B2941" t="str">
        <f>LEFT(Table13[[#This Row],[Input]],1)</f>
        <v>L</v>
      </c>
      <c r="C2941">
        <f>_xlfn.LET(_xlpm.steps,SUBSTITUTE(Table13[[#This Row],[Input]],Table13[[#This Row],[Direction]],""),VALUE(IF(LEN(_xlpm.steps)&gt;2,RIGHT(_xlpm.steps,2),_xlpm.steps)))</f>
        <v>57</v>
      </c>
      <c r="D2941">
        <f>_xlfn.LET(_xlpm.steps,SUBSTITUTE(Table13[[#This Row],[Input]],Table13[[#This Row],[Direction]],""),VALUE(IF(LEN(_xlpm.steps)&gt;2,LEFT(_xlpm.steps,LEN(_xlpm.steps)-2),0)))</f>
        <v>0</v>
      </c>
      <c r="E2941">
        <f>_xlfn.LET(_xlpm.dir,Table13[[#This Row],[Direction]],
IF(_xlpm.dir="L",
    IF(G2940-Table13[[#This Row],[Steps]]&lt;0,100+(G2940-Table13[[#This Row],[Steps]]),G2940-Table13[[#This Row],[Steps]]),
))</f>
        <v>0</v>
      </c>
      <c r="F2941">
        <f>_xlfn.LET(_xlpm.dir,Table13[[#This Row],[Direction]],
IF(_xlpm.dir="R",
    IF(G2940+Table13[[#This Row],[Steps]]&gt;99,(G2940+Table13[[#This Row],[Steps]])-100,G2940+Table13[[#This Row],[Steps]]),
))</f>
        <v>0</v>
      </c>
      <c r="G2941">
        <f>IF(Table13[[#This Row],[New Pos L]]&lt;&gt;0,Table13[[#This Row],[New Pos L]],Table13[[#This Row],[New Pos R]])</f>
        <v>0</v>
      </c>
      <c r="H2941">
        <f>IF(AND(Table13[[#This Row],[Direction]]="L",Table13[[#This Row],[Steps]]&gt;G2940,G2940&lt;&gt;0),1,0)</f>
        <v>0</v>
      </c>
      <c r="I2941">
        <f>IF(AND(Table13[[#This Row],[Direction]]="R",(G2940+Table13[[#This Row],[Steps]])&gt;100),1,0)</f>
        <v>0</v>
      </c>
      <c r="J2941">
        <f>IF(Table13[[#This Row],[POS]]=0,1,0)</f>
        <v>1</v>
      </c>
      <c r="K2941">
        <f>SUM(Table13[[#This Row],[prefix]],Table13[[#This Row],[Past zero L]],Table13[[#This Row],[Past Zero R]],Table13[[#This Row],[Is Zero]])</f>
        <v>1</v>
      </c>
    </row>
    <row r="2942" spans="1:11" ht="16" x14ac:dyDescent="0.2">
      <c r="A2942" s="1" t="s">
        <v>551</v>
      </c>
      <c r="B2942" t="str">
        <f>LEFT(Table13[[#This Row],[Input]],1)</f>
        <v>L</v>
      </c>
      <c r="C2942">
        <f>_xlfn.LET(_xlpm.steps,SUBSTITUTE(Table13[[#This Row],[Input]],Table13[[#This Row],[Direction]],""),VALUE(IF(LEN(_xlpm.steps)&gt;2,RIGHT(_xlpm.steps,2),_xlpm.steps)))</f>
        <v>21</v>
      </c>
      <c r="D2942">
        <f>_xlfn.LET(_xlpm.steps,SUBSTITUTE(Table13[[#This Row],[Input]],Table13[[#This Row],[Direction]],""),VALUE(IF(LEN(_xlpm.steps)&gt;2,LEFT(_xlpm.steps,LEN(_xlpm.steps)-2),0)))</f>
        <v>5</v>
      </c>
      <c r="E2942">
        <f>_xlfn.LET(_xlpm.dir,Table13[[#This Row],[Direction]],
IF(_xlpm.dir="L",
    IF(G2941-Table13[[#This Row],[Steps]]&lt;0,100+(G2941-Table13[[#This Row],[Steps]]),G2941-Table13[[#This Row],[Steps]]),
))</f>
        <v>79</v>
      </c>
      <c r="F2942">
        <f>_xlfn.LET(_xlpm.dir,Table13[[#This Row],[Direction]],
IF(_xlpm.dir="R",
    IF(G2941+Table13[[#This Row],[Steps]]&gt;99,(G2941+Table13[[#This Row],[Steps]])-100,G2941+Table13[[#This Row],[Steps]]),
))</f>
        <v>0</v>
      </c>
      <c r="G2942">
        <f>IF(Table13[[#This Row],[New Pos L]]&lt;&gt;0,Table13[[#This Row],[New Pos L]],Table13[[#This Row],[New Pos R]])</f>
        <v>79</v>
      </c>
      <c r="H2942">
        <f>IF(AND(Table13[[#This Row],[Direction]]="L",Table13[[#This Row],[Steps]]&gt;G2941,G2941&lt;&gt;0),1,0)</f>
        <v>0</v>
      </c>
      <c r="I2942">
        <f>IF(AND(Table13[[#This Row],[Direction]]="R",(G2941+Table13[[#This Row],[Steps]])&gt;100),1,0)</f>
        <v>0</v>
      </c>
      <c r="J2942">
        <f>IF(Table13[[#This Row],[POS]]=0,1,0)</f>
        <v>0</v>
      </c>
      <c r="K2942">
        <f>SUM(Table13[[#This Row],[prefix]],Table13[[#This Row],[Past zero L]],Table13[[#This Row],[Past Zero R]],Table13[[#This Row],[Is Zero]])</f>
        <v>5</v>
      </c>
    </row>
    <row r="2943" spans="1:11" ht="16" x14ac:dyDescent="0.2">
      <c r="A2943" s="1" t="s">
        <v>319</v>
      </c>
      <c r="B2943" t="str">
        <f>LEFT(Table13[[#This Row],[Input]],1)</f>
        <v>L</v>
      </c>
      <c r="C2943">
        <f>_xlfn.LET(_xlpm.steps,SUBSTITUTE(Table13[[#This Row],[Input]],Table13[[#This Row],[Direction]],""),VALUE(IF(LEN(_xlpm.steps)&gt;2,RIGHT(_xlpm.steps,2),_xlpm.steps)))</f>
        <v>79</v>
      </c>
      <c r="D2943">
        <f>_xlfn.LET(_xlpm.steps,SUBSTITUTE(Table13[[#This Row],[Input]],Table13[[#This Row],[Direction]],""),VALUE(IF(LEN(_xlpm.steps)&gt;2,LEFT(_xlpm.steps,LEN(_xlpm.steps)-2),0)))</f>
        <v>0</v>
      </c>
      <c r="E2943">
        <f>_xlfn.LET(_xlpm.dir,Table13[[#This Row],[Direction]],
IF(_xlpm.dir="L",
    IF(G2942-Table13[[#This Row],[Steps]]&lt;0,100+(G2942-Table13[[#This Row],[Steps]]),G2942-Table13[[#This Row],[Steps]]),
))</f>
        <v>0</v>
      </c>
      <c r="F2943">
        <f>_xlfn.LET(_xlpm.dir,Table13[[#This Row],[Direction]],
IF(_xlpm.dir="R",
    IF(G2942+Table13[[#This Row],[Steps]]&gt;99,(G2942+Table13[[#This Row],[Steps]])-100,G2942+Table13[[#This Row],[Steps]]),
))</f>
        <v>0</v>
      </c>
      <c r="G2943">
        <f>IF(Table13[[#This Row],[New Pos L]]&lt;&gt;0,Table13[[#This Row],[New Pos L]],Table13[[#This Row],[New Pos R]])</f>
        <v>0</v>
      </c>
      <c r="H2943">
        <f>IF(AND(Table13[[#This Row],[Direction]]="L",Table13[[#This Row],[Steps]]&gt;G2942,G2942&lt;&gt;0),1,0)</f>
        <v>0</v>
      </c>
      <c r="I2943">
        <f>IF(AND(Table13[[#This Row],[Direction]]="R",(G2942+Table13[[#This Row],[Steps]])&gt;100),1,0)</f>
        <v>0</v>
      </c>
      <c r="J2943">
        <f>IF(Table13[[#This Row],[POS]]=0,1,0)</f>
        <v>1</v>
      </c>
      <c r="K2943">
        <f>SUM(Table13[[#This Row],[prefix]],Table13[[#This Row],[Past zero L]],Table13[[#This Row],[Past Zero R]],Table13[[#This Row],[Is Zero]])</f>
        <v>1</v>
      </c>
    </row>
    <row r="2944" spans="1:11" ht="16" x14ac:dyDescent="0.2">
      <c r="A2944" s="1" t="s">
        <v>276</v>
      </c>
      <c r="B2944" t="str">
        <f>LEFT(Table13[[#This Row],[Input]],1)</f>
        <v>L</v>
      </c>
      <c r="C2944">
        <f>_xlfn.LET(_xlpm.steps,SUBSTITUTE(Table13[[#This Row],[Input]],Table13[[#This Row],[Direction]],""),VALUE(IF(LEN(_xlpm.steps)&gt;2,RIGHT(_xlpm.steps,2),_xlpm.steps)))</f>
        <v>60</v>
      </c>
      <c r="D2944">
        <f>_xlfn.LET(_xlpm.steps,SUBSTITUTE(Table13[[#This Row],[Input]],Table13[[#This Row],[Direction]],""),VALUE(IF(LEN(_xlpm.steps)&gt;2,LEFT(_xlpm.steps,LEN(_xlpm.steps)-2),0)))</f>
        <v>0</v>
      </c>
      <c r="E2944">
        <f>_xlfn.LET(_xlpm.dir,Table13[[#This Row],[Direction]],
IF(_xlpm.dir="L",
    IF(G2943-Table13[[#This Row],[Steps]]&lt;0,100+(G2943-Table13[[#This Row],[Steps]]),G2943-Table13[[#This Row],[Steps]]),
))</f>
        <v>40</v>
      </c>
      <c r="F2944">
        <f>_xlfn.LET(_xlpm.dir,Table13[[#This Row],[Direction]],
IF(_xlpm.dir="R",
    IF(G2943+Table13[[#This Row],[Steps]]&gt;99,(G2943+Table13[[#This Row],[Steps]])-100,G2943+Table13[[#This Row],[Steps]]),
))</f>
        <v>0</v>
      </c>
      <c r="G2944">
        <f>IF(Table13[[#This Row],[New Pos L]]&lt;&gt;0,Table13[[#This Row],[New Pos L]],Table13[[#This Row],[New Pos R]])</f>
        <v>40</v>
      </c>
      <c r="H2944">
        <f>IF(AND(Table13[[#This Row],[Direction]]="L",Table13[[#This Row],[Steps]]&gt;G2943,G2943&lt;&gt;0),1,0)</f>
        <v>0</v>
      </c>
      <c r="I2944">
        <f>IF(AND(Table13[[#This Row],[Direction]]="R",(G2943+Table13[[#This Row],[Steps]])&gt;100),1,0)</f>
        <v>0</v>
      </c>
      <c r="J2944">
        <f>IF(Table13[[#This Row],[POS]]=0,1,0)</f>
        <v>0</v>
      </c>
      <c r="K2944">
        <f>SUM(Table13[[#This Row],[prefix]],Table13[[#This Row],[Past zero L]],Table13[[#This Row],[Past Zero R]],Table13[[#This Row],[Is Zero]])</f>
        <v>0</v>
      </c>
    </row>
    <row r="2945" spans="1:11" ht="16" x14ac:dyDescent="0.2">
      <c r="A2945" s="1" t="s">
        <v>134</v>
      </c>
      <c r="B2945" t="str">
        <f>LEFT(Table13[[#This Row],[Input]],1)</f>
        <v>L</v>
      </c>
      <c r="C2945">
        <f>_xlfn.LET(_xlpm.steps,SUBSTITUTE(Table13[[#This Row],[Input]],Table13[[#This Row],[Direction]],""),VALUE(IF(LEN(_xlpm.steps)&gt;2,RIGHT(_xlpm.steps,2),_xlpm.steps)))</f>
        <v>95</v>
      </c>
      <c r="D2945">
        <f>_xlfn.LET(_xlpm.steps,SUBSTITUTE(Table13[[#This Row],[Input]],Table13[[#This Row],[Direction]],""),VALUE(IF(LEN(_xlpm.steps)&gt;2,LEFT(_xlpm.steps,LEN(_xlpm.steps)-2),0)))</f>
        <v>0</v>
      </c>
      <c r="E2945">
        <f>_xlfn.LET(_xlpm.dir,Table13[[#This Row],[Direction]],
IF(_xlpm.dir="L",
    IF(G2944-Table13[[#This Row],[Steps]]&lt;0,100+(G2944-Table13[[#This Row],[Steps]]),G2944-Table13[[#This Row],[Steps]]),
))</f>
        <v>45</v>
      </c>
      <c r="F2945">
        <f>_xlfn.LET(_xlpm.dir,Table13[[#This Row],[Direction]],
IF(_xlpm.dir="R",
    IF(G2944+Table13[[#This Row],[Steps]]&gt;99,(G2944+Table13[[#This Row],[Steps]])-100,G2944+Table13[[#This Row],[Steps]]),
))</f>
        <v>0</v>
      </c>
      <c r="G2945">
        <f>IF(Table13[[#This Row],[New Pos L]]&lt;&gt;0,Table13[[#This Row],[New Pos L]],Table13[[#This Row],[New Pos R]])</f>
        <v>45</v>
      </c>
      <c r="H2945">
        <f>IF(AND(Table13[[#This Row],[Direction]]="L",Table13[[#This Row],[Steps]]&gt;G2944,G2944&lt;&gt;0),1,0)</f>
        <v>1</v>
      </c>
      <c r="I2945">
        <f>IF(AND(Table13[[#This Row],[Direction]]="R",(G2944+Table13[[#This Row],[Steps]])&gt;100),1,0)</f>
        <v>0</v>
      </c>
      <c r="J2945">
        <f>IF(Table13[[#This Row],[POS]]=0,1,0)</f>
        <v>0</v>
      </c>
      <c r="K2945">
        <f>SUM(Table13[[#This Row],[prefix]],Table13[[#This Row],[Past zero L]],Table13[[#This Row],[Past Zero R]],Table13[[#This Row],[Is Zero]])</f>
        <v>1</v>
      </c>
    </row>
    <row r="2946" spans="1:11" ht="16" x14ac:dyDescent="0.2">
      <c r="A2946" s="1" t="s">
        <v>132</v>
      </c>
      <c r="B2946" t="str">
        <f>LEFT(Table13[[#This Row],[Input]],1)</f>
        <v>L</v>
      </c>
      <c r="C2946">
        <f>_xlfn.LET(_xlpm.steps,SUBSTITUTE(Table13[[#This Row],[Input]],Table13[[#This Row],[Direction]],""),VALUE(IF(LEN(_xlpm.steps)&gt;2,RIGHT(_xlpm.steps,2),_xlpm.steps)))</f>
        <v>51</v>
      </c>
      <c r="D2946">
        <f>_xlfn.LET(_xlpm.steps,SUBSTITUTE(Table13[[#This Row],[Input]],Table13[[#This Row],[Direction]],""),VALUE(IF(LEN(_xlpm.steps)&gt;2,LEFT(_xlpm.steps,LEN(_xlpm.steps)-2),0)))</f>
        <v>0</v>
      </c>
      <c r="E2946">
        <f>_xlfn.LET(_xlpm.dir,Table13[[#This Row],[Direction]],
IF(_xlpm.dir="L",
    IF(G2945-Table13[[#This Row],[Steps]]&lt;0,100+(G2945-Table13[[#This Row],[Steps]]),G2945-Table13[[#This Row],[Steps]]),
))</f>
        <v>94</v>
      </c>
      <c r="F2946">
        <f>_xlfn.LET(_xlpm.dir,Table13[[#This Row],[Direction]],
IF(_xlpm.dir="R",
    IF(G2945+Table13[[#This Row],[Steps]]&gt;99,(G2945+Table13[[#This Row],[Steps]])-100,G2945+Table13[[#This Row],[Steps]]),
))</f>
        <v>0</v>
      </c>
      <c r="G2946">
        <f>IF(Table13[[#This Row],[New Pos L]]&lt;&gt;0,Table13[[#This Row],[New Pos L]],Table13[[#This Row],[New Pos R]])</f>
        <v>94</v>
      </c>
      <c r="H2946">
        <f>IF(AND(Table13[[#This Row],[Direction]]="L",Table13[[#This Row],[Steps]]&gt;G2945,G2945&lt;&gt;0),1,0)</f>
        <v>1</v>
      </c>
      <c r="I2946">
        <f>IF(AND(Table13[[#This Row],[Direction]]="R",(G2945+Table13[[#This Row],[Steps]])&gt;100),1,0)</f>
        <v>0</v>
      </c>
      <c r="J2946">
        <f>IF(Table13[[#This Row],[POS]]=0,1,0)</f>
        <v>0</v>
      </c>
      <c r="K2946">
        <f>SUM(Table13[[#This Row],[prefix]],Table13[[#This Row],[Past zero L]],Table13[[#This Row],[Past Zero R]],Table13[[#This Row],[Is Zero]])</f>
        <v>1</v>
      </c>
    </row>
    <row r="2947" spans="1:11" ht="16" x14ac:dyDescent="0.2">
      <c r="A2947" s="1" t="s">
        <v>192</v>
      </c>
      <c r="B2947" t="str">
        <f>LEFT(Table13[[#This Row],[Input]],1)</f>
        <v>L</v>
      </c>
      <c r="C2947">
        <f>_xlfn.LET(_xlpm.steps,SUBSTITUTE(Table13[[#This Row],[Input]],Table13[[#This Row],[Direction]],""),VALUE(IF(LEN(_xlpm.steps)&gt;2,RIGHT(_xlpm.steps,2),_xlpm.steps)))</f>
        <v>52</v>
      </c>
      <c r="D2947">
        <f>_xlfn.LET(_xlpm.steps,SUBSTITUTE(Table13[[#This Row],[Input]],Table13[[#This Row],[Direction]],""),VALUE(IF(LEN(_xlpm.steps)&gt;2,LEFT(_xlpm.steps,LEN(_xlpm.steps)-2),0)))</f>
        <v>0</v>
      </c>
      <c r="E2947">
        <f>_xlfn.LET(_xlpm.dir,Table13[[#This Row],[Direction]],
IF(_xlpm.dir="L",
    IF(G2946-Table13[[#This Row],[Steps]]&lt;0,100+(G2946-Table13[[#This Row],[Steps]]),G2946-Table13[[#This Row],[Steps]]),
))</f>
        <v>42</v>
      </c>
      <c r="F2947">
        <f>_xlfn.LET(_xlpm.dir,Table13[[#This Row],[Direction]],
IF(_xlpm.dir="R",
    IF(G2946+Table13[[#This Row],[Steps]]&gt;99,(G2946+Table13[[#This Row],[Steps]])-100,G2946+Table13[[#This Row],[Steps]]),
))</f>
        <v>0</v>
      </c>
      <c r="G2947">
        <f>IF(Table13[[#This Row],[New Pos L]]&lt;&gt;0,Table13[[#This Row],[New Pos L]],Table13[[#This Row],[New Pos R]])</f>
        <v>42</v>
      </c>
      <c r="H2947">
        <f>IF(AND(Table13[[#This Row],[Direction]]="L",Table13[[#This Row],[Steps]]&gt;G2946,G2946&lt;&gt;0),1,0)</f>
        <v>0</v>
      </c>
      <c r="I2947">
        <f>IF(AND(Table13[[#This Row],[Direction]]="R",(G2946+Table13[[#This Row],[Steps]])&gt;100),1,0)</f>
        <v>0</v>
      </c>
      <c r="J2947">
        <f>IF(Table13[[#This Row],[POS]]=0,1,0)</f>
        <v>0</v>
      </c>
      <c r="K2947">
        <f>SUM(Table13[[#This Row],[prefix]],Table13[[#This Row],[Past zero L]],Table13[[#This Row],[Past Zero R]],Table13[[#This Row],[Is Zero]])</f>
        <v>0</v>
      </c>
    </row>
    <row r="2948" spans="1:11" ht="16" x14ac:dyDescent="0.2">
      <c r="A2948" s="1" t="s">
        <v>100</v>
      </c>
      <c r="B2948" t="str">
        <f>LEFT(Table13[[#This Row],[Input]],1)</f>
        <v>R</v>
      </c>
      <c r="C2948">
        <f>_xlfn.LET(_xlpm.steps,SUBSTITUTE(Table13[[#This Row],[Input]],Table13[[#This Row],[Direction]],""),VALUE(IF(LEN(_xlpm.steps)&gt;2,RIGHT(_xlpm.steps,2),_xlpm.steps)))</f>
        <v>58</v>
      </c>
      <c r="D2948">
        <f>_xlfn.LET(_xlpm.steps,SUBSTITUTE(Table13[[#This Row],[Input]],Table13[[#This Row],[Direction]],""),VALUE(IF(LEN(_xlpm.steps)&gt;2,LEFT(_xlpm.steps,LEN(_xlpm.steps)-2),0)))</f>
        <v>0</v>
      </c>
      <c r="E2948">
        <f>_xlfn.LET(_xlpm.dir,Table13[[#This Row],[Direction]],
IF(_xlpm.dir="L",
    IF(G2947-Table13[[#This Row],[Steps]]&lt;0,100+(G2947-Table13[[#This Row],[Steps]]),G2947-Table13[[#This Row],[Steps]]),
))</f>
        <v>0</v>
      </c>
      <c r="F2948">
        <f>_xlfn.LET(_xlpm.dir,Table13[[#This Row],[Direction]],
IF(_xlpm.dir="R",
    IF(G2947+Table13[[#This Row],[Steps]]&gt;99,(G2947+Table13[[#This Row],[Steps]])-100,G2947+Table13[[#This Row],[Steps]]),
))</f>
        <v>0</v>
      </c>
      <c r="G2948">
        <f>IF(Table13[[#This Row],[New Pos L]]&lt;&gt;0,Table13[[#This Row],[New Pos L]],Table13[[#This Row],[New Pos R]])</f>
        <v>0</v>
      </c>
      <c r="H2948">
        <f>IF(AND(Table13[[#This Row],[Direction]]="L",Table13[[#This Row],[Steps]]&gt;G2947,G2947&lt;&gt;0),1,0)</f>
        <v>0</v>
      </c>
      <c r="I2948">
        <f>IF(AND(Table13[[#This Row],[Direction]]="R",(G2947+Table13[[#This Row],[Steps]])&gt;100),1,0)</f>
        <v>0</v>
      </c>
      <c r="J2948">
        <f>IF(Table13[[#This Row],[POS]]=0,1,0)</f>
        <v>1</v>
      </c>
      <c r="K2948">
        <f>SUM(Table13[[#This Row],[prefix]],Table13[[#This Row],[Past zero L]],Table13[[#This Row],[Past Zero R]],Table13[[#This Row],[Is Zero]])</f>
        <v>1</v>
      </c>
    </row>
    <row r="2949" spans="1:11" ht="16" x14ac:dyDescent="0.2">
      <c r="A2949" s="1" t="s">
        <v>161</v>
      </c>
      <c r="B2949" t="str">
        <f>LEFT(Table13[[#This Row],[Input]],1)</f>
        <v>R</v>
      </c>
      <c r="C2949">
        <f>_xlfn.LET(_xlpm.steps,SUBSTITUTE(Table13[[#This Row],[Input]],Table13[[#This Row],[Direction]],""),VALUE(IF(LEN(_xlpm.steps)&gt;2,RIGHT(_xlpm.steps,2),_xlpm.steps)))</f>
        <v>76</v>
      </c>
      <c r="D2949">
        <f>_xlfn.LET(_xlpm.steps,SUBSTITUTE(Table13[[#This Row],[Input]],Table13[[#This Row],[Direction]],""),VALUE(IF(LEN(_xlpm.steps)&gt;2,LEFT(_xlpm.steps,LEN(_xlpm.steps)-2),0)))</f>
        <v>0</v>
      </c>
      <c r="E2949">
        <f>_xlfn.LET(_xlpm.dir,Table13[[#This Row],[Direction]],
IF(_xlpm.dir="L",
    IF(G2948-Table13[[#This Row],[Steps]]&lt;0,100+(G2948-Table13[[#This Row],[Steps]]),G2948-Table13[[#This Row],[Steps]]),
))</f>
        <v>0</v>
      </c>
      <c r="F2949">
        <f>_xlfn.LET(_xlpm.dir,Table13[[#This Row],[Direction]],
IF(_xlpm.dir="R",
    IF(G2948+Table13[[#This Row],[Steps]]&gt;99,(G2948+Table13[[#This Row],[Steps]])-100,G2948+Table13[[#This Row],[Steps]]),
))</f>
        <v>76</v>
      </c>
      <c r="G2949">
        <f>IF(Table13[[#This Row],[New Pos L]]&lt;&gt;0,Table13[[#This Row],[New Pos L]],Table13[[#This Row],[New Pos R]])</f>
        <v>76</v>
      </c>
      <c r="H2949">
        <f>IF(AND(Table13[[#This Row],[Direction]]="L",Table13[[#This Row],[Steps]]&gt;G2948,G2948&lt;&gt;0),1,0)</f>
        <v>0</v>
      </c>
      <c r="I2949">
        <f>IF(AND(Table13[[#This Row],[Direction]]="R",(G2948+Table13[[#This Row],[Steps]])&gt;100),1,0)</f>
        <v>0</v>
      </c>
      <c r="J2949">
        <f>IF(Table13[[#This Row],[POS]]=0,1,0)</f>
        <v>0</v>
      </c>
      <c r="K2949">
        <f>SUM(Table13[[#This Row],[prefix]],Table13[[#This Row],[Past zero L]],Table13[[#This Row],[Past Zero R]],Table13[[#This Row],[Is Zero]])</f>
        <v>0</v>
      </c>
    </row>
    <row r="2950" spans="1:11" ht="16" x14ac:dyDescent="0.2">
      <c r="A2950" s="1" t="s">
        <v>125</v>
      </c>
      <c r="B2950" t="str">
        <f>LEFT(Table13[[#This Row],[Input]],1)</f>
        <v>L</v>
      </c>
      <c r="C2950">
        <f>_xlfn.LET(_xlpm.steps,SUBSTITUTE(Table13[[#This Row],[Input]],Table13[[#This Row],[Direction]],""),VALUE(IF(LEN(_xlpm.steps)&gt;2,RIGHT(_xlpm.steps,2),_xlpm.steps)))</f>
        <v>76</v>
      </c>
      <c r="D2950">
        <f>_xlfn.LET(_xlpm.steps,SUBSTITUTE(Table13[[#This Row],[Input]],Table13[[#This Row],[Direction]],""),VALUE(IF(LEN(_xlpm.steps)&gt;2,LEFT(_xlpm.steps,LEN(_xlpm.steps)-2),0)))</f>
        <v>0</v>
      </c>
      <c r="E2950">
        <f>_xlfn.LET(_xlpm.dir,Table13[[#This Row],[Direction]],
IF(_xlpm.dir="L",
    IF(G2949-Table13[[#This Row],[Steps]]&lt;0,100+(G2949-Table13[[#This Row],[Steps]]),G2949-Table13[[#This Row],[Steps]]),
))</f>
        <v>0</v>
      </c>
      <c r="F2950">
        <f>_xlfn.LET(_xlpm.dir,Table13[[#This Row],[Direction]],
IF(_xlpm.dir="R",
    IF(G2949+Table13[[#This Row],[Steps]]&gt;99,(G2949+Table13[[#This Row],[Steps]])-100,G2949+Table13[[#This Row],[Steps]]),
))</f>
        <v>0</v>
      </c>
      <c r="G2950">
        <f>IF(Table13[[#This Row],[New Pos L]]&lt;&gt;0,Table13[[#This Row],[New Pos L]],Table13[[#This Row],[New Pos R]])</f>
        <v>0</v>
      </c>
      <c r="H2950">
        <f>IF(AND(Table13[[#This Row],[Direction]]="L",Table13[[#This Row],[Steps]]&gt;G2949,G2949&lt;&gt;0),1,0)</f>
        <v>0</v>
      </c>
      <c r="I2950">
        <f>IF(AND(Table13[[#This Row],[Direction]]="R",(G2949+Table13[[#This Row],[Steps]])&gt;100),1,0)</f>
        <v>0</v>
      </c>
      <c r="J2950">
        <f>IF(Table13[[#This Row],[POS]]=0,1,0)</f>
        <v>1</v>
      </c>
      <c r="K2950">
        <f>SUM(Table13[[#This Row],[prefix]],Table13[[#This Row],[Past zero L]],Table13[[#This Row],[Past Zero R]],Table13[[#This Row],[Is Zero]])</f>
        <v>1</v>
      </c>
    </row>
    <row r="2951" spans="1:11" ht="16" x14ac:dyDescent="0.2">
      <c r="A2951" s="1" t="s">
        <v>16</v>
      </c>
      <c r="B2951" t="str">
        <f>LEFT(Table13[[#This Row],[Input]],1)</f>
        <v>L</v>
      </c>
      <c r="C2951">
        <f>_xlfn.LET(_xlpm.steps,SUBSTITUTE(Table13[[#This Row],[Input]],Table13[[#This Row],[Direction]],""),VALUE(IF(LEN(_xlpm.steps)&gt;2,RIGHT(_xlpm.steps,2),_xlpm.steps)))</f>
        <v>10</v>
      </c>
      <c r="D2951">
        <f>_xlfn.LET(_xlpm.steps,SUBSTITUTE(Table13[[#This Row],[Input]],Table13[[#This Row],[Direction]],""),VALUE(IF(LEN(_xlpm.steps)&gt;2,LEFT(_xlpm.steps,LEN(_xlpm.steps)-2),0)))</f>
        <v>0</v>
      </c>
      <c r="E2951">
        <f>_xlfn.LET(_xlpm.dir,Table13[[#This Row],[Direction]],
IF(_xlpm.dir="L",
    IF(G2950-Table13[[#This Row],[Steps]]&lt;0,100+(G2950-Table13[[#This Row],[Steps]]),G2950-Table13[[#This Row],[Steps]]),
))</f>
        <v>90</v>
      </c>
      <c r="F2951">
        <f>_xlfn.LET(_xlpm.dir,Table13[[#This Row],[Direction]],
IF(_xlpm.dir="R",
    IF(G2950+Table13[[#This Row],[Steps]]&gt;99,(G2950+Table13[[#This Row],[Steps]])-100,G2950+Table13[[#This Row],[Steps]]),
))</f>
        <v>0</v>
      </c>
      <c r="G2951">
        <f>IF(Table13[[#This Row],[New Pos L]]&lt;&gt;0,Table13[[#This Row],[New Pos L]],Table13[[#This Row],[New Pos R]])</f>
        <v>90</v>
      </c>
      <c r="H2951">
        <f>IF(AND(Table13[[#This Row],[Direction]]="L",Table13[[#This Row],[Steps]]&gt;G2950,G2950&lt;&gt;0),1,0)</f>
        <v>0</v>
      </c>
      <c r="I2951">
        <f>IF(AND(Table13[[#This Row],[Direction]]="R",(G2950+Table13[[#This Row],[Steps]])&gt;100),1,0)</f>
        <v>0</v>
      </c>
      <c r="J2951">
        <f>IF(Table13[[#This Row],[POS]]=0,1,0)</f>
        <v>0</v>
      </c>
      <c r="K2951">
        <f>SUM(Table13[[#This Row],[prefix]],Table13[[#This Row],[Past zero L]],Table13[[#This Row],[Past Zero R]],Table13[[#This Row],[Is Zero]])</f>
        <v>0</v>
      </c>
    </row>
    <row r="2952" spans="1:11" ht="16" x14ac:dyDescent="0.2">
      <c r="A2952" s="1" t="s">
        <v>671</v>
      </c>
      <c r="B2952" t="str">
        <f>LEFT(Table13[[#This Row],[Input]],1)</f>
        <v>R</v>
      </c>
      <c r="C2952">
        <f>_xlfn.LET(_xlpm.steps,SUBSTITUTE(Table13[[#This Row],[Input]],Table13[[#This Row],[Direction]],""),VALUE(IF(LEN(_xlpm.steps)&gt;2,RIGHT(_xlpm.steps,2),_xlpm.steps)))</f>
        <v>83</v>
      </c>
      <c r="D2952">
        <f>_xlfn.LET(_xlpm.steps,SUBSTITUTE(Table13[[#This Row],[Input]],Table13[[#This Row],[Direction]],""),VALUE(IF(LEN(_xlpm.steps)&gt;2,LEFT(_xlpm.steps,LEN(_xlpm.steps)-2),0)))</f>
        <v>5</v>
      </c>
      <c r="E2952">
        <f>_xlfn.LET(_xlpm.dir,Table13[[#This Row],[Direction]],
IF(_xlpm.dir="L",
    IF(G2951-Table13[[#This Row],[Steps]]&lt;0,100+(G2951-Table13[[#This Row],[Steps]]),G2951-Table13[[#This Row],[Steps]]),
))</f>
        <v>0</v>
      </c>
      <c r="F2952">
        <f>_xlfn.LET(_xlpm.dir,Table13[[#This Row],[Direction]],
IF(_xlpm.dir="R",
    IF(G2951+Table13[[#This Row],[Steps]]&gt;99,(G2951+Table13[[#This Row],[Steps]])-100,G2951+Table13[[#This Row],[Steps]]),
))</f>
        <v>73</v>
      </c>
      <c r="G2952">
        <f>IF(Table13[[#This Row],[New Pos L]]&lt;&gt;0,Table13[[#This Row],[New Pos L]],Table13[[#This Row],[New Pos R]])</f>
        <v>73</v>
      </c>
      <c r="H2952">
        <f>IF(AND(Table13[[#This Row],[Direction]]="L",Table13[[#This Row],[Steps]]&gt;G2951,G2951&lt;&gt;0),1,0)</f>
        <v>0</v>
      </c>
      <c r="I2952">
        <f>IF(AND(Table13[[#This Row],[Direction]]="R",(G2951+Table13[[#This Row],[Steps]])&gt;100),1,0)</f>
        <v>1</v>
      </c>
      <c r="J2952">
        <f>IF(Table13[[#This Row],[POS]]=0,1,0)</f>
        <v>0</v>
      </c>
      <c r="K2952">
        <f>SUM(Table13[[#This Row],[prefix]],Table13[[#This Row],[Past zero L]],Table13[[#This Row],[Past Zero R]],Table13[[#This Row],[Is Zero]])</f>
        <v>6</v>
      </c>
    </row>
    <row r="2953" spans="1:11" ht="16" x14ac:dyDescent="0.2">
      <c r="A2953" s="1" t="s">
        <v>69</v>
      </c>
      <c r="B2953" t="str">
        <f>LEFT(Table13[[#This Row],[Input]],1)</f>
        <v>R</v>
      </c>
      <c r="C2953">
        <f>_xlfn.LET(_xlpm.steps,SUBSTITUTE(Table13[[#This Row],[Input]],Table13[[#This Row],[Direction]],""),VALUE(IF(LEN(_xlpm.steps)&gt;2,RIGHT(_xlpm.steps,2),_xlpm.steps)))</f>
        <v>27</v>
      </c>
      <c r="D2953">
        <f>_xlfn.LET(_xlpm.steps,SUBSTITUTE(Table13[[#This Row],[Input]],Table13[[#This Row],[Direction]],""),VALUE(IF(LEN(_xlpm.steps)&gt;2,LEFT(_xlpm.steps,LEN(_xlpm.steps)-2),0)))</f>
        <v>0</v>
      </c>
      <c r="E2953">
        <f>_xlfn.LET(_xlpm.dir,Table13[[#This Row],[Direction]],
IF(_xlpm.dir="L",
    IF(G2952-Table13[[#This Row],[Steps]]&lt;0,100+(G2952-Table13[[#This Row],[Steps]]),G2952-Table13[[#This Row],[Steps]]),
))</f>
        <v>0</v>
      </c>
      <c r="F2953">
        <f>_xlfn.LET(_xlpm.dir,Table13[[#This Row],[Direction]],
IF(_xlpm.dir="R",
    IF(G2952+Table13[[#This Row],[Steps]]&gt;99,(G2952+Table13[[#This Row],[Steps]])-100,G2952+Table13[[#This Row],[Steps]]),
))</f>
        <v>0</v>
      </c>
      <c r="G2953">
        <f>IF(Table13[[#This Row],[New Pos L]]&lt;&gt;0,Table13[[#This Row],[New Pos L]],Table13[[#This Row],[New Pos R]])</f>
        <v>0</v>
      </c>
      <c r="H2953">
        <f>IF(AND(Table13[[#This Row],[Direction]]="L",Table13[[#This Row],[Steps]]&gt;G2952,G2952&lt;&gt;0),1,0)</f>
        <v>0</v>
      </c>
      <c r="I2953">
        <f>IF(AND(Table13[[#This Row],[Direction]]="R",(G2952+Table13[[#This Row],[Steps]])&gt;100),1,0)</f>
        <v>0</v>
      </c>
      <c r="J2953">
        <f>IF(Table13[[#This Row],[POS]]=0,1,0)</f>
        <v>1</v>
      </c>
      <c r="K2953">
        <f>SUM(Table13[[#This Row],[prefix]],Table13[[#This Row],[Past zero L]],Table13[[#This Row],[Past Zero R]],Table13[[#This Row],[Is Zero]])</f>
        <v>1</v>
      </c>
    </row>
    <row r="2954" spans="1:11" ht="16" x14ac:dyDescent="0.2">
      <c r="A2954" s="1" t="s">
        <v>13</v>
      </c>
      <c r="B2954" t="str">
        <f>LEFT(Table13[[#This Row],[Input]],1)</f>
        <v>R</v>
      </c>
      <c r="C2954">
        <f>_xlfn.LET(_xlpm.steps,SUBSTITUTE(Table13[[#This Row],[Input]],Table13[[#This Row],[Direction]],""),VALUE(IF(LEN(_xlpm.steps)&gt;2,RIGHT(_xlpm.steps,2),_xlpm.steps)))</f>
        <v>12</v>
      </c>
      <c r="D2954">
        <f>_xlfn.LET(_xlpm.steps,SUBSTITUTE(Table13[[#This Row],[Input]],Table13[[#This Row],[Direction]],""),VALUE(IF(LEN(_xlpm.steps)&gt;2,LEFT(_xlpm.steps,LEN(_xlpm.steps)-2),0)))</f>
        <v>0</v>
      </c>
      <c r="E2954">
        <f>_xlfn.LET(_xlpm.dir,Table13[[#This Row],[Direction]],
IF(_xlpm.dir="L",
    IF(G2953-Table13[[#This Row],[Steps]]&lt;0,100+(G2953-Table13[[#This Row],[Steps]]),G2953-Table13[[#This Row],[Steps]]),
))</f>
        <v>0</v>
      </c>
      <c r="F2954">
        <f>_xlfn.LET(_xlpm.dir,Table13[[#This Row],[Direction]],
IF(_xlpm.dir="R",
    IF(G2953+Table13[[#This Row],[Steps]]&gt;99,(G2953+Table13[[#This Row],[Steps]])-100,G2953+Table13[[#This Row],[Steps]]),
))</f>
        <v>12</v>
      </c>
      <c r="G2954">
        <f>IF(Table13[[#This Row],[New Pos L]]&lt;&gt;0,Table13[[#This Row],[New Pos L]],Table13[[#This Row],[New Pos R]])</f>
        <v>12</v>
      </c>
      <c r="H2954">
        <f>IF(AND(Table13[[#This Row],[Direction]]="L",Table13[[#This Row],[Steps]]&gt;G2953,G2953&lt;&gt;0),1,0)</f>
        <v>0</v>
      </c>
      <c r="I2954">
        <f>IF(AND(Table13[[#This Row],[Direction]]="R",(G2953+Table13[[#This Row],[Steps]])&gt;100),1,0)</f>
        <v>0</v>
      </c>
      <c r="J2954">
        <f>IF(Table13[[#This Row],[POS]]=0,1,0)</f>
        <v>0</v>
      </c>
      <c r="K2954">
        <f>SUM(Table13[[#This Row],[prefix]],Table13[[#This Row],[Past zero L]],Table13[[#This Row],[Past Zero R]],Table13[[#This Row],[Is Zero]])</f>
        <v>0</v>
      </c>
    </row>
    <row r="2955" spans="1:11" ht="16" x14ac:dyDescent="0.2">
      <c r="A2955" s="1" t="s">
        <v>193</v>
      </c>
      <c r="B2955" t="str">
        <f>LEFT(Table13[[#This Row],[Input]],1)</f>
        <v>L</v>
      </c>
      <c r="C2955">
        <f>_xlfn.LET(_xlpm.steps,SUBSTITUTE(Table13[[#This Row],[Input]],Table13[[#This Row],[Direction]],""),VALUE(IF(LEN(_xlpm.steps)&gt;2,RIGHT(_xlpm.steps,2),_xlpm.steps)))</f>
        <v>12</v>
      </c>
      <c r="D2955">
        <f>_xlfn.LET(_xlpm.steps,SUBSTITUTE(Table13[[#This Row],[Input]],Table13[[#This Row],[Direction]],""),VALUE(IF(LEN(_xlpm.steps)&gt;2,LEFT(_xlpm.steps,LEN(_xlpm.steps)-2),0)))</f>
        <v>0</v>
      </c>
      <c r="E2955">
        <f>_xlfn.LET(_xlpm.dir,Table13[[#This Row],[Direction]],
IF(_xlpm.dir="L",
    IF(G2954-Table13[[#This Row],[Steps]]&lt;0,100+(G2954-Table13[[#This Row],[Steps]]),G2954-Table13[[#This Row],[Steps]]),
))</f>
        <v>0</v>
      </c>
      <c r="F2955">
        <f>_xlfn.LET(_xlpm.dir,Table13[[#This Row],[Direction]],
IF(_xlpm.dir="R",
    IF(G2954+Table13[[#This Row],[Steps]]&gt;99,(G2954+Table13[[#This Row],[Steps]])-100,G2954+Table13[[#This Row],[Steps]]),
))</f>
        <v>0</v>
      </c>
      <c r="G2955">
        <f>IF(Table13[[#This Row],[New Pos L]]&lt;&gt;0,Table13[[#This Row],[New Pos L]],Table13[[#This Row],[New Pos R]])</f>
        <v>0</v>
      </c>
      <c r="H2955">
        <f>IF(AND(Table13[[#This Row],[Direction]]="L",Table13[[#This Row],[Steps]]&gt;G2954,G2954&lt;&gt;0),1,0)</f>
        <v>0</v>
      </c>
      <c r="I2955">
        <f>IF(AND(Table13[[#This Row],[Direction]]="R",(G2954+Table13[[#This Row],[Steps]])&gt;100),1,0)</f>
        <v>0</v>
      </c>
      <c r="J2955">
        <f>IF(Table13[[#This Row],[POS]]=0,1,0)</f>
        <v>1</v>
      </c>
      <c r="K2955">
        <f>SUM(Table13[[#This Row],[prefix]],Table13[[#This Row],[Past zero L]],Table13[[#This Row],[Past Zero R]],Table13[[#This Row],[Is Zero]])</f>
        <v>1</v>
      </c>
    </row>
    <row r="2956" spans="1:11" ht="16" x14ac:dyDescent="0.2">
      <c r="A2956" s="1" t="s">
        <v>672</v>
      </c>
      <c r="B2956" t="str">
        <f>LEFT(Table13[[#This Row],[Input]],1)</f>
        <v>R</v>
      </c>
      <c r="C2956">
        <f>_xlfn.LET(_xlpm.steps,SUBSTITUTE(Table13[[#This Row],[Input]],Table13[[#This Row],[Direction]],""),VALUE(IF(LEN(_xlpm.steps)&gt;2,RIGHT(_xlpm.steps,2),_xlpm.steps)))</f>
        <v>73</v>
      </c>
      <c r="D2956">
        <f>_xlfn.LET(_xlpm.steps,SUBSTITUTE(Table13[[#This Row],[Input]],Table13[[#This Row],[Direction]],""),VALUE(IF(LEN(_xlpm.steps)&gt;2,LEFT(_xlpm.steps,LEN(_xlpm.steps)-2),0)))</f>
        <v>5</v>
      </c>
      <c r="E2956">
        <f>_xlfn.LET(_xlpm.dir,Table13[[#This Row],[Direction]],
IF(_xlpm.dir="L",
    IF(G2955-Table13[[#This Row],[Steps]]&lt;0,100+(G2955-Table13[[#This Row],[Steps]]),G2955-Table13[[#This Row],[Steps]]),
))</f>
        <v>0</v>
      </c>
      <c r="F2956">
        <f>_xlfn.LET(_xlpm.dir,Table13[[#This Row],[Direction]],
IF(_xlpm.dir="R",
    IF(G2955+Table13[[#This Row],[Steps]]&gt;99,(G2955+Table13[[#This Row],[Steps]])-100,G2955+Table13[[#This Row],[Steps]]),
))</f>
        <v>73</v>
      </c>
      <c r="G2956">
        <f>IF(Table13[[#This Row],[New Pos L]]&lt;&gt;0,Table13[[#This Row],[New Pos L]],Table13[[#This Row],[New Pos R]])</f>
        <v>73</v>
      </c>
      <c r="H2956">
        <f>IF(AND(Table13[[#This Row],[Direction]]="L",Table13[[#This Row],[Steps]]&gt;G2955,G2955&lt;&gt;0),1,0)</f>
        <v>0</v>
      </c>
      <c r="I2956">
        <f>IF(AND(Table13[[#This Row],[Direction]]="R",(G2955+Table13[[#This Row],[Steps]])&gt;100),1,0)</f>
        <v>0</v>
      </c>
      <c r="J2956">
        <f>IF(Table13[[#This Row],[POS]]=0,1,0)</f>
        <v>0</v>
      </c>
      <c r="K2956">
        <f>SUM(Table13[[#This Row],[prefix]],Table13[[#This Row],[Past zero L]],Table13[[#This Row],[Past Zero R]],Table13[[#This Row],[Is Zero]])</f>
        <v>5</v>
      </c>
    </row>
    <row r="2957" spans="1:11" ht="16" x14ac:dyDescent="0.2">
      <c r="A2957" s="1" t="s">
        <v>36</v>
      </c>
      <c r="B2957" t="str">
        <f>LEFT(Table13[[#This Row],[Input]],1)</f>
        <v>R</v>
      </c>
      <c r="C2957">
        <f>_xlfn.LET(_xlpm.steps,SUBSTITUTE(Table13[[#This Row],[Input]],Table13[[#This Row],[Direction]],""),VALUE(IF(LEN(_xlpm.steps)&gt;2,RIGHT(_xlpm.steps,2),_xlpm.steps)))</f>
        <v>50</v>
      </c>
      <c r="D2957">
        <f>_xlfn.LET(_xlpm.steps,SUBSTITUTE(Table13[[#This Row],[Input]],Table13[[#This Row],[Direction]],""),VALUE(IF(LEN(_xlpm.steps)&gt;2,LEFT(_xlpm.steps,LEN(_xlpm.steps)-2),0)))</f>
        <v>0</v>
      </c>
      <c r="E2957">
        <f>_xlfn.LET(_xlpm.dir,Table13[[#This Row],[Direction]],
IF(_xlpm.dir="L",
    IF(G2956-Table13[[#This Row],[Steps]]&lt;0,100+(G2956-Table13[[#This Row],[Steps]]),G2956-Table13[[#This Row],[Steps]]),
))</f>
        <v>0</v>
      </c>
      <c r="F2957">
        <f>_xlfn.LET(_xlpm.dir,Table13[[#This Row],[Direction]],
IF(_xlpm.dir="R",
    IF(G2956+Table13[[#This Row],[Steps]]&gt;99,(G2956+Table13[[#This Row],[Steps]])-100,G2956+Table13[[#This Row],[Steps]]),
))</f>
        <v>23</v>
      </c>
      <c r="G2957">
        <f>IF(Table13[[#This Row],[New Pos L]]&lt;&gt;0,Table13[[#This Row],[New Pos L]],Table13[[#This Row],[New Pos R]])</f>
        <v>23</v>
      </c>
      <c r="H2957">
        <f>IF(AND(Table13[[#This Row],[Direction]]="L",Table13[[#This Row],[Steps]]&gt;G2956,G2956&lt;&gt;0),1,0)</f>
        <v>0</v>
      </c>
      <c r="I2957">
        <f>IF(AND(Table13[[#This Row],[Direction]]="R",(G2956+Table13[[#This Row],[Steps]])&gt;100),1,0)</f>
        <v>1</v>
      </c>
      <c r="J2957">
        <f>IF(Table13[[#This Row],[POS]]=0,1,0)</f>
        <v>0</v>
      </c>
      <c r="K2957">
        <f>SUM(Table13[[#This Row],[prefix]],Table13[[#This Row],[Past zero L]],Table13[[#This Row],[Past Zero R]],Table13[[#This Row],[Is Zero]])</f>
        <v>1</v>
      </c>
    </row>
    <row r="2958" spans="1:11" ht="16" x14ac:dyDescent="0.2">
      <c r="A2958" s="1" t="s">
        <v>252</v>
      </c>
      <c r="B2958" t="str">
        <f>LEFT(Table13[[#This Row],[Input]],1)</f>
        <v>L</v>
      </c>
      <c r="C2958">
        <f>_xlfn.LET(_xlpm.steps,SUBSTITUTE(Table13[[#This Row],[Input]],Table13[[#This Row],[Direction]],""),VALUE(IF(LEN(_xlpm.steps)&gt;2,RIGHT(_xlpm.steps,2),_xlpm.steps)))</f>
        <v>99</v>
      </c>
      <c r="D2958">
        <f>_xlfn.LET(_xlpm.steps,SUBSTITUTE(Table13[[#This Row],[Input]],Table13[[#This Row],[Direction]],""),VALUE(IF(LEN(_xlpm.steps)&gt;2,LEFT(_xlpm.steps,LEN(_xlpm.steps)-2),0)))</f>
        <v>0</v>
      </c>
      <c r="E2958">
        <f>_xlfn.LET(_xlpm.dir,Table13[[#This Row],[Direction]],
IF(_xlpm.dir="L",
    IF(G2957-Table13[[#This Row],[Steps]]&lt;0,100+(G2957-Table13[[#This Row],[Steps]]),G2957-Table13[[#This Row],[Steps]]),
))</f>
        <v>24</v>
      </c>
      <c r="F2958">
        <f>_xlfn.LET(_xlpm.dir,Table13[[#This Row],[Direction]],
IF(_xlpm.dir="R",
    IF(G2957+Table13[[#This Row],[Steps]]&gt;99,(G2957+Table13[[#This Row],[Steps]])-100,G2957+Table13[[#This Row],[Steps]]),
))</f>
        <v>0</v>
      </c>
      <c r="G2958">
        <f>IF(Table13[[#This Row],[New Pos L]]&lt;&gt;0,Table13[[#This Row],[New Pos L]],Table13[[#This Row],[New Pos R]])</f>
        <v>24</v>
      </c>
      <c r="H2958">
        <f>IF(AND(Table13[[#This Row],[Direction]]="L",Table13[[#This Row],[Steps]]&gt;G2957,G2957&lt;&gt;0),1,0)</f>
        <v>1</v>
      </c>
      <c r="I2958">
        <f>IF(AND(Table13[[#This Row],[Direction]]="R",(G2957+Table13[[#This Row],[Steps]])&gt;100),1,0)</f>
        <v>0</v>
      </c>
      <c r="J2958">
        <f>IF(Table13[[#This Row],[POS]]=0,1,0)</f>
        <v>0</v>
      </c>
      <c r="K2958">
        <f>SUM(Table13[[#This Row],[prefix]],Table13[[#This Row],[Past zero L]],Table13[[#This Row],[Past Zero R]],Table13[[#This Row],[Is Zero]])</f>
        <v>1</v>
      </c>
    </row>
    <row r="2959" spans="1:11" ht="16" x14ac:dyDescent="0.2">
      <c r="A2959" s="1" t="s">
        <v>161</v>
      </c>
      <c r="B2959" t="str">
        <f>LEFT(Table13[[#This Row],[Input]],1)</f>
        <v>R</v>
      </c>
      <c r="C2959">
        <f>_xlfn.LET(_xlpm.steps,SUBSTITUTE(Table13[[#This Row],[Input]],Table13[[#This Row],[Direction]],""),VALUE(IF(LEN(_xlpm.steps)&gt;2,RIGHT(_xlpm.steps,2),_xlpm.steps)))</f>
        <v>76</v>
      </c>
      <c r="D2959">
        <f>_xlfn.LET(_xlpm.steps,SUBSTITUTE(Table13[[#This Row],[Input]],Table13[[#This Row],[Direction]],""),VALUE(IF(LEN(_xlpm.steps)&gt;2,LEFT(_xlpm.steps,LEN(_xlpm.steps)-2),0)))</f>
        <v>0</v>
      </c>
      <c r="E2959">
        <f>_xlfn.LET(_xlpm.dir,Table13[[#This Row],[Direction]],
IF(_xlpm.dir="L",
    IF(G2958-Table13[[#This Row],[Steps]]&lt;0,100+(G2958-Table13[[#This Row],[Steps]]),G2958-Table13[[#This Row],[Steps]]),
))</f>
        <v>0</v>
      </c>
      <c r="F2959">
        <f>_xlfn.LET(_xlpm.dir,Table13[[#This Row],[Direction]],
IF(_xlpm.dir="R",
    IF(G2958+Table13[[#This Row],[Steps]]&gt;99,(G2958+Table13[[#This Row],[Steps]])-100,G2958+Table13[[#This Row],[Steps]]),
))</f>
        <v>0</v>
      </c>
      <c r="G2959">
        <f>IF(Table13[[#This Row],[New Pos L]]&lt;&gt;0,Table13[[#This Row],[New Pos L]],Table13[[#This Row],[New Pos R]])</f>
        <v>0</v>
      </c>
      <c r="H2959">
        <f>IF(AND(Table13[[#This Row],[Direction]]="L",Table13[[#This Row],[Steps]]&gt;G2958,G2958&lt;&gt;0),1,0)</f>
        <v>0</v>
      </c>
      <c r="I2959">
        <f>IF(AND(Table13[[#This Row],[Direction]]="R",(G2958+Table13[[#This Row],[Steps]])&gt;100),1,0)</f>
        <v>0</v>
      </c>
      <c r="J2959">
        <f>IF(Table13[[#This Row],[POS]]=0,1,0)</f>
        <v>1</v>
      </c>
      <c r="K2959">
        <f>SUM(Table13[[#This Row],[prefix]],Table13[[#This Row],[Past zero L]],Table13[[#This Row],[Past Zero R]],Table13[[#This Row],[Is Zero]])</f>
        <v>1</v>
      </c>
    </row>
    <row r="2960" spans="1:11" ht="16" x14ac:dyDescent="0.2">
      <c r="A2960" s="1" t="s">
        <v>174</v>
      </c>
      <c r="B2960" t="str">
        <f>LEFT(Table13[[#This Row],[Input]],1)</f>
        <v>L</v>
      </c>
      <c r="C2960">
        <f>_xlfn.LET(_xlpm.steps,SUBSTITUTE(Table13[[#This Row],[Input]],Table13[[#This Row],[Direction]],""),VALUE(IF(LEN(_xlpm.steps)&gt;2,RIGHT(_xlpm.steps,2),_xlpm.steps)))</f>
        <v>92</v>
      </c>
      <c r="D2960">
        <f>_xlfn.LET(_xlpm.steps,SUBSTITUTE(Table13[[#This Row],[Input]],Table13[[#This Row],[Direction]],""),VALUE(IF(LEN(_xlpm.steps)&gt;2,LEFT(_xlpm.steps,LEN(_xlpm.steps)-2),0)))</f>
        <v>0</v>
      </c>
      <c r="E2960">
        <f>_xlfn.LET(_xlpm.dir,Table13[[#This Row],[Direction]],
IF(_xlpm.dir="L",
    IF(G2959-Table13[[#This Row],[Steps]]&lt;0,100+(G2959-Table13[[#This Row],[Steps]]),G2959-Table13[[#This Row],[Steps]]),
))</f>
        <v>8</v>
      </c>
      <c r="F2960">
        <f>_xlfn.LET(_xlpm.dir,Table13[[#This Row],[Direction]],
IF(_xlpm.dir="R",
    IF(G2959+Table13[[#This Row],[Steps]]&gt;99,(G2959+Table13[[#This Row],[Steps]])-100,G2959+Table13[[#This Row],[Steps]]),
))</f>
        <v>0</v>
      </c>
      <c r="G2960">
        <f>IF(Table13[[#This Row],[New Pos L]]&lt;&gt;0,Table13[[#This Row],[New Pos L]],Table13[[#This Row],[New Pos R]])</f>
        <v>8</v>
      </c>
      <c r="H2960">
        <f>IF(AND(Table13[[#This Row],[Direction]]="L",Table13[[#This Row],[Steps]]&gt;G2959,G2959&lt;&gt;0),1,0)</f>
        <v>0</v>
      </c>
      <c r="I2960">
        <f>IF(AND(Table13[[#This Row],[Direction]]="R",(G2959+Table13[[#This Row],[Steps]])&gt;100),1,0)</f>
        <v>0</v>
      </c>
      <c r="J2960">
        <f>IF(Table13[[#This Row],[POS]]=0,1,0)</f>
        <v>0</v>
      </c>
      <c r="K2960">
        <f>SUM(Table13[[#This Row],[prefix]],Table13[[#This Row],[Past zero L]],Table13[[#This Row],[Past Zero R]],Table13[[#This Row],[Is Zero]])</f>
        <v>0</v>
      </c>
    </row>
    <row r="2961" spans="1:11" ht="16" x14ac:dyDescent="0.2">
      <c r="A2961" s="1" t="s">
        <v>673</v>
      </c>
      <c r="B2961" t="str">
        <f>LEFT(Table13[[#This Row],[Input]],1)</f>
        <v>R</v>
      </c>
      <c r="C2961">
        <f>_xlfn.LET(_xlpm.steps,SUBSTITUTE(Table13[[#This Row],[Input]],Table13[[#This Row],[Direction]],""),VALUE(IF(LEN(_xlpm.steps)&gt;2,RIGHT(_xlpm.steps,2),_xlpm.steps)))</f>
        <v>52</v>
      </c>
      <c r="D2961">
        <f>_xlfn.LET(_xlpm.steps,SUBSTITUTE(Table13[[#This Row],[Input]],Table13[[#This Row],[Direction]],""),VALUE(IF(LEN(_xlpm.steps)&gt;2,LEFT(_xlpm.steps,LEN(_xlpm.steps)-2),0)))</f>
        <v>8</v>
      </c>
      <c r="E2961">
        <f>_xlfn.LET(_xlpm.dir,Table13[[#This Row],[Direction]],
IF(_xlpm.dir="L",
    IF(G2960-Table13[[#This Row],[Steps]]&lt;0,100+(G2960-Table13[[#This Row],[Steps]]),G2960-Table13[[#This Row],[Steps]]),
))</f>
        <v>0</v>
      </c>
      <c r="F2961">
        <f>_xlfn.LET(_xlpm.dir,Table13[[#This Row],[Direction]],
IF(_xlpm.dir="R",
    IF(G2960+Table13[[#This Row],[Steps]]&gt;99,(G2960+Table13[[#This Row],[Steps]])-100,G2960+Table13[[#This Row],[Steps]]),
))</f>
        <v>60</v>
      </c>
      <c r="G2961">
        <f>IF(Table13[[#This Row],[New Pos L]]&lt;&gt;0,Table13[[#This Row],[New Pos L]],Table13[[#This Row],[New Pos R]])</f>
        <v>60</v>
      </c>
      <c r="H2961">
        <f>IF(AND(Table13[[#This Row],[Direction]]="L",Table13[[#This Row],[Steps]]&gt;G2960,G2960&lt;&gt;0),1,0)</f>
        <v>0</v>
      </c>
      <c r="I2961">
        <f>IF(AND(Table13[[#This Row],[Direction]]="R",(G2960+Table13[[#This Row],[Steps]])&gt;100),1,0)</f>
        <v>0</v>
      </c>
      <c r="J2961">
        <f>IF(Table13[[#This Row],[POS]]=0,1,0)</f>
        <v>0</v>
      </c>
      <c r="K2961">
        <f>SUM(Table13[[#This Row],[prefix]],Table13[[#This Row],[Past zero L]],Table13[[#This Row],[Past Zero R]],Table13[[#This Row],[Is Zero]])</f>
        <v>8</v>
      </c>
    </row>
    <row r="2962" spans="1:11" ht="16" x14ac:dyDescent="0.2">
      <c r="A2962" s="1" t="s">
        <v>226</v>
      </c>
      <c r="B2962" t="str">
        <f>LEFT(Table13[[#This Row],[Input]],1)</f>
        <v>L</v>
      </c>
      <c r="C2962">
        <f>_xlfn.LET(_xlpm.steps,SUBSTITUTE(Table13[[#This Row],[Input]],Table13[[#This Row],[Direction]],""),VALUE(IF(LEN(_xlpm.steps)&gt;2,RIGHT(_xlpm.steps,2),_xlpm.steps)))</f>
        <v>31</v>
      </c>
      <c r="D2962">
        <f>_xlfn.LET(_xlpm.steps,SUBSTITUTE(Table13[[#This Row],[Input]],Table13[[#This Row],[Direction]],""),VALUE(IF(LEN(_xlpm.steps)&gt;2,LEFT(_xlpm.steps,LEN(_xlpm.steps)-2),0)))</f>
        <v>0</v>
      </c>
      <c r="E2962">
        <f>_xlfn.LET(_xlpm.dir,Table13[[#This Row],[Direction]],
IF(_xlpm.dir="L",
    IF(G2961-Table13[[#This Row],[Steps]]&lt;0,100+(G2961-Table13[[#This Row],[Steps]]),G2961-Table13[[#This Row],[Steps]]),
))</f>
        <v>29</v>
      </c>
      <c r="F2962">
        <f>_xlfn.LET(_xlpm.dir,Table13[[#This Row],[Direction]],
IF(_xlpm.dir="R",
    IF(G2961+Table13[[#This Row],[Steps]]&gt;99,(G2961+Table13[[#This Row],[Steps]])-100,G2961+Table13[[#This Row],[Steps]]),
))</f>
        <v>0</v>
      </c>
      <c r="G2962">
        <f>IF(Table13[[#This Row],[New Pos L]]&lt;&gt;0,Table13[[#This Row],[New Pos L]],Table13[[#This Row],[New Pos R]])</f>
        <v>29</v>
      </c>
      <c r="H2962">
        <f>IF(AND(Table13[[#This Row],[Direction]]="L",Table13[[#This Row],[Steps]]&gt;G2961,G2961&lt;&gt;0),1,0)</f>
        <v>0</v>
      </c>
      <c r="I2962">
        <f>IF(AND(Table13[[#This Row],[Direction]]="R",(G2961+Table13[[#This Row],[Steps]])&gt;100),1,0)</f>
        <v>0</v>
      </c>
      <c r="J2962">
        <f>IF(Table13[[#This Row],[POS]]=0,1,0)</f>
        <v>0</v>
      </c>
      <c r="K2962">
        <f>SUM(Table13[[#This Row],[prefix]],Table13[[#This Row],[Past zero L]],Table13[[#This Row],[Past Zero R]],Table13[[#This Row],[Is Zero]])</f>
        <v>0</v>
      </c>
    </row>
    <row r="2963" spans="1:11" ht="16" x14ac:dyDescent="0.2">
      <c r="A2963" s="1" t="s">
        <v>245</v>
      </c>
      <c r="B2963" t="str">
        <f>LEFT(Table13[[#This Row],[Input]],1)</f>
        <v>R</v>
      </c>
      <c r="C2963">
        <f>_xlfn.LET(_xlpm.steps,SUBSTITUTE(Table13[[#This Row],[Input]],Table13[[#This Row],[Direction]],""),VALUE(IF(LEN(_xlpm.steps)&gt;2,RIGHT(_xlpm.steps,2),_xlpm.steps)))</f>
        <v>71</v>
      </c>
      <c r="D2963">
        <f>_xlfn.LET(_xlpm.steps,SUBSTITUTE(Table13[[#This Row],[Input]],Table13[[#This Row],[Direction]],""),VALUE(IF(LEN(_xlpm.steps)&gt;2,LEFT(_xlpm.steps,LEN(_xlpm.steps)-2),0)))</f>
        <v>0</v>
      </c>
      <c r="E2963">
        <f>_xlfn.LET(_xlpm.dir,Table13[[#This Row],[Direction]],
IF(_xlpm.dir="L",
    IF(G2962-Table13[[#This Row],[Steps]]&lt;0,100+(G2962-Table13[[#This Row],[Steps]]),G2962-Table13[[#This Row],[Steps]]),
))</f>
        <v>0</v>
      </c>
      <c r="F2963">
        <f>_xlfn.LET(_xlpm.dir,Table13[[#This Row],[Direction]],
IF(_xlpm.dir="R",
    IF(G2962+Table13[[#This Row],[Steps]]&gt;99,(G2962+Table13[[#This Row],[Steps]])-100,G2962+Table13[[#This Row],[Steps]]),
))</f>
        <v>0</v>
      </c>
      <c r="G2963">
        <f>IF(Table13[[#This Row],[New Pos L]]&lt;&gt;0,Table13[[#This Row],[New Pos L]],Table13[[#This Row],[New Pos R]])</f>
        <v>0</v>
      </c>
      <c r="H2963">
        <f>IF(AND(Table13[[#This Row],[Direction]]="L",Table13[[#This Row],[Steps]]&gt;G2962,G2962&lt;&gt;0),1,0)</f>
        <v>0</v>
      </c>
      <c r="I2963">
        <f>IF(AND(Table13[[#This Row],[Direction]]="R",(G2962+Table13[[#This Row],[Steps]])&gt;100),1,0)</f>
        <v>0</v>
      </c>
      <c r="J2963">
        <f>IF(Table13[[#This Row],[POS]]=0,1,0)</f>
        <v>1</v>
      </c>
      <c r="K2963">
        <f>SUM(Table13[[#This Row],[prefix]],Table13[[#This Row],[Past zero L]],Table13[[#This Row],[Past Zero R]],Table13[[#This Row],[Is Zero]])</f>
        <v>1</v>
      </c>
    </row>
    <row r="2964" spans="1:11" ht="16" x14ac:dyDescent="0.2">
      <c r="A2964" s="1" t="s">
        <v>88</v>
      </c>
      <c r="B2964" t="str">
        <f>LEFT(Table13[[#This Row],[Input]],1)</f>
        <v>R</v>
      </c>
      <c r="C2964">
        <f>_xlfn.LET(_xlpm.steps,SUBSTITUTE(Table13[[#This Row],[Input]],Table13[[#This Row],[Direction]],""),VALUE(IF(LEN(_xlpm.steps)&gt;2,RIGHT(_xlpm.steps,2),_xlpm.steps)))</f>
        <v>53</v>
      </c>
      <c r="D2964">
        <f>_xlfn.LET(_xlpm.steps,SUBSTITUTE(Table13[[#This Row],[Input]],Table13[[#This Row],[Direction]],""),VALUE(IF(LEN(_xlpm.steps)&gt;2,LEFT(_xlpm.steps,LEN(_xlpm.steps)-2),0)))</f>
        <v>0</v>
      </c>
      <c r="E2964">
        <f>_xlfn.LET(_xlpm.dir,Table13[[#This Row],[Direction]],
IF(_xlpm.dir="L",
    IF(G2963-Table13[[#This Row],[Steps]]&lt;0,100+(G2963-Table13[[#This Row],[Steps]]),G2963-Table13[[#This Row],[Steps]]),
))</f>
        <v>0</v>
      </c>
      <c r="F2964">
        <f>_xlfn.LET(_xlpm.dir,Table13[[#This Row],[Direction]],
IF(_xlpm.dir="R",
    IF(G2963+Table13[[#This Row],[Steps]]&gt;99,(G2963+Table13[[#This Row],[Steps]])-100,G2963+Table13[[#This Row],[Steps]]),
))</f>
        <v>53</v>
      </c>
      <c r="G2964">
        <f>IF(Table13[[#This Row],[New Pos L]]&lt;&gt;0,Table13[[#This Row],[New Pos L]],Table13[[#This Row],[New Pos R]])</f>
        <v>53</v>
      </c>
      <c r="H2964">
        <f>IF(AND(Table13[[#This Row],[Direction]]="L",Table13[[#This Row],[Steps]]&gt;G2963,G2963&lt;&gt;0),1,0)</f>
        <v>0</v>
      </c>
      <c r="I2964">
        <f>IF(AND(Table13[[#This Row],[Direction]]="R",(G2963+Table13[[#This Row],[Steps]])&gt;100),1,0)</f>
        <v>0</v>
      </c>
      <c r="J2964">
        <f>IF(Table13[[#This Row],[POS]]=0,1,0)</f>
        <v>0</v>
      </c>
      <c r="K2964">
        <f>SUM(Table13[[#This Row],[prefix]],Table13[[#This Row],[Past zero L]],Table13[[#This Row],[Past Zero R]],Table13[[#This Row],[Is Zero]])</f>
        <v>0</v>
      </c>
    </row>
    <row r="2965" spans="1:11" ht="16" x14ac:dyDescent="0.2">
      <c r="A2965" s="1" t="s">
        <v>15</v>
      </c>
      <c r="B2965" t="str">
        <f>LEFT(Table13[[#This Row],[Input]],1)</f>
        <v>R</v>
      </c>
      <c r="C2965">
        <f>_xlfn.LET(_xlpm.steps,SUBSTITUTE(Table13[[#This Row],[Input]],Table13[[#This Row],[Direction]],""),VALUE(IF(LEN(_xlpm.steps)&gt;2,RIGHT(_xlpm.steps,2),_xlpm.steps)))</f>
        <v>36</v>
      </c>
      <c r="D2965">
        <f>_xlfn.LET(_xlpm.steps,SUBSTITUTE(Table13[[#This Row],[Input]],Table13[[#This Row],[Direction]],""),VALUE(IF(LEN(_xlpm.steps)&gt;2,LEFT(_xlpm.steps,LEN(_xlpm.steps)-2),0)))</f>
        <v>0</v>
      </c>
      <c r="E2965">
        <f>_xlfn.LET(_xlpm.dir,Table13[[#This Row],[Direction]],
IF(_xlpm.dir="L",
    IF(G2964-Table13[[#This Row],[Steps]]&lt;0,100+(G2964-Table13[[#This Row],[Steps]]),G2964-Table13[[#This Row],[Steps]]),
))</f>
        <v>0</v>
      </c>
      <c r="F2965">
        <f>_xlfn.LET(_xlpm.dir,Table13[[#This Row],[Direction]],
IF(_xlpm.dir="R",
    IF(G2964+Table13[[#This Row],[Steps]]&gt;99,(G2964+Table13[[#This Row],[Steps]])-100,G2964+Table13[[#This Row],[Steps]]),
))</f>
        <v>89</v>
      </c>
      <c r="G2965">
        <f>IF(Table13[[#This Row],[New Pos L]]&lt;&gt;0,Table13[[#This Row],[New Pos L]],Table13[[#This Row],[New Pos R]])</f>
        <v>89</v>
      </c>
      <c r="H2965">
        <f>IF(AND(Table13[[#This Row],[Direction]]="L",Table13[[#This Row],[Steps]]&gt;G2964,G2964&lt;&gt;0),1,0)</f>
        <v>0</v>
      </c>
      <c r="I2965">
        <f>IF(AND(Table13[[#This Row],[Direction]]="R",(G2964+Table13[[#This Row],[Steps]])&gt;100),1,0)</f>
        <v>0</v>
      </c>
      <c r="J2965">
        <f>IF(Table13[[#This Row],[POS]]=0,1,0)</f>
        <v>0</v>
      </c>
      <c r="K2965">
        <f>SUM(Table13[[#This Row],[prefix]],Table13[[#This Row],[Past zero L]],Table13[[#This Row],[Past Zero R]],Table13[[#This Row],[Is Zero]])</f>
        <v>0</v>
      </c>
    </row>
    <row r="2966" spans="1:11" ht="16" x14ac:dyDescent="0.2">
      <c r="A2966" s="1" t="s">
        <v>674</v>
      </c>
      <c r="B2966" t="str">
        <f>LEFT(Table13[[#This Row],[Input]],1)</f>
        <v>R</v>
      </c>
      <c r="C2966">
        <f>_xlfn.LET(_xlpm.steps,SUBSTITUTE(Table13[[#This Row],[Input]],Table13[[#This Row],[Direction]],""),VALUE(IF(LEN(_xlpm.steps)&gt;2,RIGHT(_xlpm.steps,2),_xlpm.steps)))</f>
        <v>32</v>
      </c>
      <c r="D2966">
        <f>_xlfn.LET(_xlpm.steps,SUBSTITUTE(Table13[[#This Row],[Input]],Table13[[#This Row],[Direction]],""),VALUE(IF(LEN(_xlpm.steps)&gt;2,LEFT(_xlpm.steps,LEN(_xlpm.steps)-2),0)))</f>
        <v>2</v>
      </c>
      <c r="E2966">
        <f>_xlfn.LET(_xlpm.dir,Table13[[#This Row],[Direction]],
IF(_xlpm.dir="L",
    IF(G2965-Table13[[#This Row],[Steps]]&lt;0,100+(G2965-Table13[[#This Row],[Steps]]),G2965-Table13[[#This Row],[Steps]]),
))</f>
        <v>0</v>
      </c>
      <c r="F2966">
        <f>_xlfn.LET(_xlpm.dir,Table13[[#This Row],[Direction]],
IF(_xlpm.dir="R",
    IF(G2965+Table13[[#This Row],[Steps]]&gt;99,(G2965+Table13[[#This Row],[Steps]])-100,G2965+Table13[[#This Row],[Steps]]),
))</f>
        <v>21</v>
      </c>
      <c r="G2966">
        <f>IF(Table13[[#This Row],[New Pos L]]&lt;&gt;0,Table13[[#This Row],[New Pos L]],Table13[[#This Row],[New Pos R]])</f>
        <v>21</v>
      </c>
      <c r="H2966">
        <f>IF(AND(Table13[[#This Row],[Direction]]="L",Table13[[#This Row],[Steps]]&gt;G2965,G2965&lt;&gt;0),1,0)</f>
        <v>0</v>
      </c>
      <c r="I2966">
        <f>IF(AND(Table13[[#This Row],[Direction]]="R",(G2965+Table13[[#This Row],[Steps]])&gt;100),1,0)</f>
        <v>1</v>
      </c>
      <c r="J2966">
        <f>IF(Table13[[#This Row],[POS]]=0,1,0)</f>
        <v>0</v>
      </c>
      <c r="K2966">
        <f>SUM(Table13[[#This Row],[prefix]],Table13[[#This Row],[Past zero L]],Table13[[#This Row],[Past Zero R]],Table13[[#This Row],[Is Zero]])</f>
        <v>3</v>
      </c>
    </row>
    <row r="2967" spans="1:11" ht="16" x14ac:dyDescent="0.2">
      <c r="A2967" s="1" t="s">
        <v>15</v>
      </c>
      <c r="B2967" t="str">
        <f>LEFT(Table13[[#This Row],[Input]],1)</f>
        <v>R</v>
      </c>
      <c r="C2967">
        <f>_xlfn.LET(_xlpm.steps,SUBSTITUTE(Table13[[#This Row],[Input]],Table13[[#This Row],[Direction]],""),VALUE(IF(LEN(_xlpm.steps)&gt;2,RIGHT(_xlpm.steps,2),_xlpm.steps)))</f>
        <v>36</v>
      </c>
      <c r="D2967">
        <f>_xlfn.LET(_xlpm.steps,SUBSTITUTE(Table13[[#This Row],[Input]],Table13[[#This Row],[Direction]],""),VALUE(IF(LEN(_xlpm.steps)&gt;2,LEFT(_xlpm.steps,LEN(_xlpm.steps)-2),0)))</f>
        <v>0</v>
      </c>
      <c r="E2967">
        <f>_xlfn.LET(_xlpm.dir,Table13[[#This Row],[Direction]],
IF(_xlpm.dir="L",
    IF(G2966-Table13[[#This Row],[Steps]]&lt;0,100+(G2966-Table13[[#This Row],[Steps]]),G2966-Table13[[#This Row],[Steps]]),
))</f>
        <v>0</v>
      </c>
      <c r="F2967">
        <f>_xlfn.LET(_xlpm.dir,Table13[[#This Row],[Direction]],
IF(_xlpm.dir="R",
    IF(G2966+Table13[[#This Row],[Steps]]&gt;99,(G2966+Table13[[#This Row],[Steps]])-100,G2966+Table13[[#This Row],[Steps]]),
))</f>
        <v>57</v>
      </c>
      <c r="G2967">
        <f>IF(Table13[[#This Row],[New Pos L]]&lt;&gt;0,Table13[[#This Row],[New Pos L]],Table13[[#This Row],[New Pos R]])</f>
        <v>57</v>
      </c>
      <c r="H2967">
        <f>IF(AND(Table13[[#This Row],[Direction]]="L",Table13[[#This Row],[Steps]]&gt;G2966,G2966&lt;&gt;0),1,0)</f>
        <v>0</v>
      </c>
      <c r="I2967">
        <f>IF(AND(Table13[[#This Row],[Direction]]="R",(G2966+Table13[[#This Row],[Steps]])&gt;100),1,0)</f>
        <v>0</v>
      </c>
      <c r="J2967">
        <f>IF(Table13[[#This Row],[POS]]=0,1,0)</f>
        <v>0</v>
      </c>
      <c r="K2967">
        <f>SUM(Table13[[#This Row],[prefix]],Table13[[#This Row],[Past zero L]],Table13[[#This Row],[Past Zero R]],Table13[[#This Row],[Is Zero]])</f>
        <v>0</v>
      </c>
    </row>
    <row r="2968" spans="1:11" ht="16" x14ac:dyDescent="0.2">
      <c r="A2968" s="1" t="s">
        <v>2</v>
      </c>
      <c r="B2968" t="str">
        <f>LEFT(Table13[[#This Row],[Input]],1)</f>
        <v>L</v>
      </c>
      <c r="C2968">
        <f>_xlfn.LET(_xlpm.steps,SUBSTITUTE(Table13[[#This Row],[Input]],Table13[[#This Row],[Direction]],""),VALUE(IF(LEN(_xlpm.steps)&gt;2,RIGHT(_xlpm.steps,2),_xlpm.steps)))</f>
        <v>38</v>
      </c>
      <c r="D2968">
        <f>_xlfn.LET(_xlpm.steps,SUBSTITUTE(Table13[[#This Row],[Input]],Table13[[#This Row],[Direction]],""),VALUE(IF(LEN(_xlpm.steps)&gt;2,LEFT(_xlpm.steps,LEN(_xlpm.steps)-2),0)))</f>
        <v>0</v>
      </c>
      <c r="E2968">
        <f>_xlfn.LET(_xlpm.dir,Table13[[#This Row],[Direction]],
IF(_xlpm.dir="L",
    IF(G2967-Table13[[#This Row],[Steps]]&lt;0,100+(G2967-Table13[[#This Row],[Steps]]),G2967-Table13[[#This Row],[Steps]]),
))</f>
        <v>19</v>
      </c>
      <c r="F2968">
        <f>_xlfn.LET(_xlpm.dir,Table13[[#This Row],[Direction]],
IF(_xlpm.dir="R",
    IF(G2967+Table13[[#This Row],[Steps]]&gt;99,(G2967+Table13[[#This Row],[Steps]])-100,G2967+Table13[[#This Row],[Steps]]),
))</f>
        <v>0</v>
      </c>
      <c r="G2968">
        <f>IF(Table13[[#This Row],[New Pos L]]&lt;&gt;0,Table13[[#This Row],[New Pos L]],Table13[[#This Row],[New Pos R]])</f>
        <v>19</v>
      </c>
      <c r="H2968">
        <f>IF(AND(Table13[[#This Row],[Direction]]="L",Table13[[#This Row],[Steps]]&gt;G2967,G2967&lt;&gt;0),1,0)</f>
        <v>0</v>
      </c>
      <c r="I2968">
        <f>IF(AND(Table13[[#This Row],[Direction]]="R",(G2967+Table13[[#This Row],[Steps]])&gt;100),1,0)</f>
        <v>0</v>
      </c>
      <c r="J2968">
        <f>IF(Table13[[#This Row],[POS]]=0,1,0)</f>
        <v>0</v>
      </c>
      <c r="K2968">
        <f>SUM(Table13[[#This Row],[prefix]],Table13[[#This Row],[Past zero L]],Table13[[#This Row],[Past Zero R]],Table13[[#This Row],[Is Zero]])</f>
        <v>0</v>
      </c>
    </row>
    <row r="2969" spans="1:11" ht="16" x14ac:dyDescent="0.2">
      <c r="A2969" s="1" t="s">
        <v>63</v>
      </c>
      <c r="B2969" t="str">
        <f>LEFT(Table13[[#This Row],[Input]],1)</f>
        <v>R</v>
      </c>
      <c r="C2969">
        <f>_xlfn.LET(_xlpm.steps,SUBSTITUTE(Table13[[#This Row],[Input]],Table13[[#This Row],[Direction]],""),VALUE(IF(LEN(_xlpm.steps)&gt;2,RIGHT(_xlpm.steps,2),_xlpm.steps)))</f>
        <v>57</v>
      </c>
      <c r="D2969">
        <f>_xlfn.LET(_xlpm.steps,SUBSTITUTE(Table13[[#This Row],[Input]],Table13[[#This Row],[Direction]],""),VALUE(IF(LEN(_xlpm.steps)&gt;2,LEFT(_xlpm.steps,LEN(_xlpm.steps)-2),0)))</f>
        <v>0</v>
      </c>
      <c r="E2969">
        <f>_xlfn.LET(_xlpm.dir,Table13[[#This Row],[Direction]],
IF(_xlpm.dir="L",
    IF(G2968-Table13[[#This Row],[Steps]]&lt;0,100+(G2968-Table13[[#This Row],[Steps]]),G2968-Table13[[#This Row],[Steps]]),
))</f>
        <v>0</v>
      </c>
      <c r="F2969">
        <f>_xlfn.LET(_xlpm.dir,Table13[[#This Row],[Direction]],
IF(_xlpm.dir="R",
    IF(G2968+Table13[[#This Row],[Steps]]&gt;99,(G2968+Table13[[#This Row],[Steps]])-100,G2968+Table13[[#This Row],[Steps]]),
))</f>
        <v>76</v>
      </c>
      <c r="G2969">
        <f>IF(Table13[[#This Row],[New Pos L]]&lt;&gt;0,Table13[[#This Row],[New Pos L]],Table13[[#This Row],[New Pos R]])</f>
        <v>76</v>
      </c>
      <c r="H2969">
        <f>IF(AND(Table13[[#This Row],[Direction]]="L",Table13[[#This Row],[Steps]]&gt;G2968,G2968&lt;&gt;0),1,0)</f>
        <v>0</v>
      </c>
      <c r="I2969">
        <f>IF(AND(Table13[[#This Row],[Direction]]="R",(G2968+Table13[[#This Row],[Steps]])&gt;100),1,0)</f>
        <v>0</v>
      </c>
      <c r="J2969">
        <f>IF(Table13[[#This Row],[POS]]=0,1,0)</f>
        <v>0</v>
      </c>
      <c r="K2969">
        <f>SUM(Table13[[#This Row],[prefix]],Table13[[#This Row],[Past zero L]],Table13[[#This Row],[Past Zero R]],Table13[[#This Row],[Is Zero]])</f>
        <v>0</v>
      </c>
    </row>
    <row r="2970" spans="1:11" ht="16" x14ac:dyDescent="0.2">
      <c r="A2970" s="1" t="s">
        <v>50</v>
      </c>
      <c r="B2970" t="str">
        <f>LEFT(Table13[[#This Row],[Input]],1)</f>
        <v>R</v>
      </c>
      <c r="C2970">
        <f>_xlfn.LET(_xlpm.steps,SUBSTITUTE(Table13[[#This Row],[Input]],Table13[[#This Row],[Direction]],""),VALUE(IF(LEN(_xlpm.steps)&gt;2,RIGHT(_xlpm.steps,2),_xlpm.steps)))</f>
        <v>78</v>
      </c>
      <c r="D2970">
        <f>_xlfn.LET(_xlpm.steps,SUBSTITUTE(Table13[[#This Row],[Input]],Table13[[#This Row],[Direction]],""),VALUE(IF(LEN(_xlpm.steps)&gt;2,LEFT(_xlpm.steps,LEN(_xlpm.steps)-2),0)))</f>
        <v>0</v>
      </c>
      <c r="E2970">
        <f>_xlfn.LET(_xlpm.dir,Table13[[#This Row],[Direction]],
IF(_xlpm.dir="L",
    IF(G2969-Table13[[#This Row],[Steps]]&lt;0,100+(G2969-Table13[[#This Row],[Steps]]),G2969-Table13[[#This Row],[Steps]]),
))</f>
        <v>0</v>
      </c>
      <c r="F2970">
        <f>_xlfn.LET(_xlpm.dir,Table13[[#This Row],[Direction]],
IF(_xlpm.dir="R",
    IF(G2969+Table13[[#This Row],[Steps]]&gt;99,(G2969+Table13[[#This Row],[Steps]])-100,G2969+Table13[[#This Row],[Steps]]),
))</f>
        <v>54</v>
      </c>
      <c r="G2970">
        <f>IF(Table13[[#This Row],[New Pos L]]&lt;&gt;0,Table13[[#This Row],[New Pos L]],Table13[[#This Row],[New Pos R]])</f>
        <v>54</v>
      </c>
      <c r="H2970">
        <f>IF(AND(Table13[[#This Row],[Direction]]="L",Table13[[#This Row],[Steps]]&gt;G2969,G2969&lt;&gt;0),1,0)</f>
        <v>0</v>
      </c>
      <c r="I2970">
        <f>IF(AND(Table13[[#This Row],[Direction]]="R",(G2969+Table13[[#This Row],[Steps]])&gt;100),1,0)</f>
        <v>1</v>
      </c>
      <c r="J2970">
        <f>IF(Table13[[#This Row],[POS]]=0,1,0)</f>
        <v>0</v>
      </c>
      <c r="K2970">
        <f>SUM(Table13[[#This Row],[prefix]],Table13[[#This Row],[Past zero L]],Table13[[#This Row],[Past Zero R]],Table13[[#This Row],[Is Zero]])</f>
        <v>1</v>
      </c>
    </row>
    <row r="2971" spans="1:11" ht="16" x14ac:dyDescent="0.2">
      <c r="A2971" s="1" t="s">
        <v>11</v>
      </c>
      <c r="B2971" t="str">
        <f>LEFT(Table13[[#This Row],[Input]],1)</f>
        <v>L</v>
      </c>
      <c r="C2971">
        <f>_xlfn.LET(_xlpm.steps,SUBSTITUTE(Table13[[#This Row],[Input]],Table13[[#This Row],[Direction]],""),VALUE(IF(LEN(_xlpm.steps)&gt;2,RIGHT(_xlpm.steps,2),_xlpm.steps)))</f>
        <v>34</v>
      </c>
      <c r="D2971">
        <f>_xlfn.LET(_xlpm.steps,SUBSTITUTE(Table13[[#This Row],[Input]],Table13[[#This Row],[Direction]],""),VALUE(IF(LEN(_xlpm.steps)&gt;2,LEFT(_xlpm.steps,LEN(_xlpm.steps)-2),0)))</f>
        <v>0</v>
      </c>
      <c r="E2971">
        <f>_xlfn.LET(_xlpm.dir,Table13[[#This Row],[Direction]],
IF(_xlpm.dir="L",
    IF(G2970-Table13[[#This Row],[Steps]]&lt;0,100+(G2970-Table13[[#This Row],[Steps]]),G2970-Table13[[#This Row],[Steps]]),
))</f>
        <v>20</v>
      </c>
      <c r="F2971">
        <f>_xlfn.LET(_xlpm.dir,Table13[[#This Row],[Direction]],
IF(_xlpm.dir="R",
    IF(G2970+Table13[[#This Row],[Steps]]&gt;99,(G2970+Table13[[#This Row],[Steps]])-100,G2970+Table13[[#This Row],[Steps]]),
))</f>
        <v>0</v>
      </c>
      <c r="G2971">
        <f>IF(Table13[[#This Row],[New Pos L]]&lt;&gt;0,Table13[[#This Row],[New Pos L]],Table13[[#This Row],[New Pos R]])</f>
        <v>20</v>
      </c>
      <c r="H2971">
        <f>IF(AND(Table13[[#This Row],[Direction]]="L",Table13[[#This Row],[Steps]]&gt;G2970,G2970&lt;&gt;0),1,0)</f>
        <v>0</v>
      </c>
      <c r="I2971">
        <f>IF(AND(Table13[[#This Row],[Direction]]="R",(G2970+Table13[[#This Row],[Steps]])&gt;100),1,0)</f>
        <v>0</v>
      </c>
      <c r="J2971">
        <f>IF(Table13[[#This Row],[POS]]=0,1,0)</f>
        <v>0</v>
      </c>
      <c r="K2971">
        <f>SUM(Table13[[#This Row],[prefix]],Table13[[#This Row],[Past zero L]],Table13[[#This Row],[Past Zero R]],Table13[[#This Row],[Is Zero]])</f>
        <v>0</v>
      </c>
    </row>
    <row r="2972" spans="1:11" ht="16" x14ac:dyDescent="0.2">
      <c r="A2972" s="1" t="s">
        <v>155</v>
      </c>
      <c r="B2972" t="str">
        <f>LEFT(Table13[[#This Row],[Input]],1)</f>
        <v>L</v>
      </c>
      <c r="C2972">
        <f>_xlfn.LET(_xlpm.steps,SUBSTITUTE(Table13[[#This Row],[Input]],Table13[[#This Row],[Direction]],""),VALUE(IF(LEN(_xlpm.steps)&gt;2,RIGHT(_xlpm.steps,2),_xlpm.steps)))</f>
        <v>18</v>
      </c>
      <c r="D2972">
        <f>_xlfn.LET(_xlpm.steps,SUBSTITUTE(Table13[[#This Row],[Input]],Table13[[#This Row],[Direction]],""),VALUE(IF(LEN(_xlpm.steps)&gt;2,LEFT(_xlpm.steps,LEN(_xlpm.steps)-2),0)))</f>
        <v>0</v>
      </c>
      <c r="E2972">
        <f>_xlfn.LET(_xlpm.dir,Table13[[#This Row],[Direction]],
IF(_xlpm.dir="L",
    IF(G2971-Table13[[#This Row],[Steps]]&lt;0,100+(G2971-Table13[[#This Row],[Steps]]),G2971-Table13[[#This Row],[Steps]]),
))</f>
        <v>2</v>
      </c>
      <c r="F2972">
        <f>_xlfn.LET(_xlpm.dir,Table13[[#This Row],[Direction]],
IF(_xlpm.dir="R",
    IF(G2971+Table13[[#This Row],[Steps]]&gt;99,(G2971+Table13[[#This Row],[Steps]])-100,G2971+Table13[[#This Row],[Steps]]),
))</f>
        <v>0</v>
      </c>
      <c r="G2972">
        <f>IF(Table13[[#This Row],[New Pos L]]&lt;&gt;0,Table13[[#This Row],[New Pos L]],Table13[[#This Row],[New Pos R]])</f>
        <v>2</v>
      </c>
      <c r="H2972">
        <f>IF(AND(Table13[[#This Row],[Direction]]="L",Table13[[#This Row],[Steps]]&gt;G2971,G2971&lt;&gt;0),1,0)</f>
        <v>0</v>
      </c>
      <c r="I2972">
        <f>IF(AND(Table13[[#This Row],[Direction]]="R",(G2971+Table13[[#This Row],[Steps]])&gt;100),1,0)</f>
        <v>0</v>
      </c>
      <c r="J2972">
        <f>IF(Table13[[#This Row],[POS]]=0,1,0)</f>
        <v>0</v>
      </c>
      <c r="K2972">
        <f>SUM(Table13[[#This Row],[prefix]],Table13[[#This Row],[Past zero L]],Table13[[#This Row],[Past Zero R]],Table13[[#This Row],[Is Zero]])</f>
        <v>0</v>
      </c>
    </row>
    <row r="2973" spans="1:11" ht="16" x14ac:dyDescent="0.2">
      <c r="A2973" s="1" t="s">
        <v>278</v>
      </c>
      <c r="B2973" t="str">
        <f>LEFT(Table13[[#This Row],[Input]],1)</f>
        <v>L</v>
      </c>
      <c r="C2973">
        <f>_xlfn.LET(_xlpm.steps,SUBSTITUTE(Table13[[#This Row],[Input]],Table13[[#This Row],[Direction]],""),VALUE(IF(LEN(_xlpm.steps)&gt;2,RIGHT(_xlpm.steps,2),_xlpm.steps)))</f>
        <v>40</v>
      </c>
      <c r="D2973">
        <f>_xlfn.LET(_xlpm.steps,SUBSTITUTE(Table13[[#This Row],[Input]],Table13[[#This Row],[Direction]],""),VALUE(IF(LEN(_xlpm.steps)&gt;2,LEFT(_xlpm.steps,LEN(_xlpm.steps)-2),0)))</f>
        <v>0</v>
      </c>
      <c r="E2973">
        <f>_xlfn.LET(_xlpm.dir,Table13[[#This Row],[Direction]],
IF(_xlpm.dir="L",
    IF(G2972-Table13[[#This Row],[Steps]]&lt;0,100+(G2972-Table13[[#This Row],[Steps]]),G2972-Table13[[#This Row],[Steps]]),
))</f>
        <v>62</v>
      </c>
      <c r="F2973">
        <f>_xlfn.LET(_xlpm.dir,Table13[[#This Row],[Direction]],
IF(_xlpm.dir="R",
    IF(G2972+Table13[[#This Row],[Steps]]&gt;99,(G2972+Table13[[#This Row],[Steps]])-100,G2972+Table13[[#This Row],[Steps]]),
))</f>
        <v>0</v>
      </c>
      <c r="G2973">
        <f>IF(Table13[[#This Row],[New Pos L]]&lt;&gt;0,Table13[[#This Row],[New Pos L]],Table13[[#This Row],[New Pos R]])</f>
        <v>62</v>
      </c>
      <c r="H2973">
        <f>IF(AND(Table13[[#This Row],[Direction]]="L",Table13[[#This Row],[Steps]]&gt;G2972,G2972&lt;&gt;0),1,0)</f>
        <v>1</v>
      </c>
      <c r="I2973">
        <f>IF(AND(Table13[[#This Row],[Direction]]="R",(G2972+Table13[[#This Row],[Steps]])&gt;100),1,0)</f>
        <v>0</v>
      </c>
      <c r="J2973">
        <f>IF(Table13[[#This Row],[POS]]=0,1,0)</f>
        <v>0</v>
      </c>
      <c r="K2973">
        <f>SUM(Table13[[#This Row],[prefix]],Table13[[#This Row],[Past zero L]],Table13[[#This Row],[Past Zero R]],Table13[[#This Row],[Is Zero]])</f>
        <v>1</v>
      </c>
    </row>
    <row r="2974" spans="1:11" ht="16" x14ac:dyDescent="0.2">
      <c r="A2974" s="1" t="s">
        <v>139</v>
      </c>
      <c r="B2974" t="str">
        <f>LEFT(Table13[[#This Row],[Input]],1)</f>
        <v>R</v>
      </c>
      <c r="C2974">
        <f>_xlfn.LET(_xlpm.steps,SUBSTITUTE(Table13[[#This Row],[Input]],Table13[[#This Row],[Direction]],""),VALUE(IF(LEN(_xlpm.steps)&gt;2,RIGHT(_xlpm.steps,2),_xlpm.steps)))</f>
        <v>38</v>
      </c>
      <c r="D2974">
        <f>_xlfn.LET(_xlpm.steps,SUBSTITUTE(Table13[[#This Row],[Input]],Table13[[#This Row],[Direction]],""),VALUE(IF(LEN(_xlpm.steps)&gt;2,LEFT(_xlpm.steps,LEN(_xlpm.steps)-2),0)))</f>
        <v>0</v>
      </c>
      <c r="E2974">
        <f>_xlfn.LET(_xlpm.dir,Table13[[#This Row],[Direction]],
IF(_xlpm.dir="L",
    IF(G2973-Table13[[#This Row],[Steps]]&lt;0,100+(G2973-Table13[[#This Row],[Steps]]),G2973-Table13[[#This Row],[Steps]]),
))</f>
        <v>0</v>
      </c>
      <c r="F2974">
        <f>_xlfn.LET(_xlpm.dir,Table13[[#This Row],[Direction]],
IF(_xlpm.dir="R",
    IF(G2973+Table13[[#This Row],[Steps]]&gt;99,(G2973+Table13[[#This Row],[Steps]])-100,G2973+Table13[[#This Row],[Steps]]),
))</f>
        <v>0</v>
      </c>
      <c r="G2974">
        <f>IF(Table13[[#This Row],[New Pos L]]&lt;&gt;0,Table13[[#This Row],[New Pos L]],Table13[[#This Row],[New Pos R]])</f>
        <v>0</v>
      </c>
      <c r="H2974">
        <f>IF(AND(Table13[[#This Row],[Direction]]="L",Table13[[#This Row],[Steps]]&gt;G2973,G2973&lt;&gt;0),1,0)</f>
        <v>0</v>
      </c>
      <c r="I2974">
        <f>IF(AND(Table13[[#This Row],[Direction]]="R",(G2973+Table13[[#This Row],[Steps]])&gt;100),1,0)</f>
        <v>0</v>
      </c>
      <c r="J2974">
        <f>IF(Table13[[#This Row],[POS]]=0,1,0)</f>
        <v>1</v>
      </c>
      <c r="K2974">
        <f>SUM(Table13[[#This Row],[prefix]],Table13[[#This Row],[Past zero L]],Table13[[#This Row],[Past Zero R]],Table13[[#This Row],[Is Zero]])</f>
        <v>1</v>
      </c>
    </row>
    <row r="2975" spans="1:11" ht="16" x14ac:dyDescent="0.2">
      <c r="A2975" s="1" t="s">
        <v>58</v>
      </c>
      <c r="B2975" t="str">
        <f>LEFT(Table13[[#This Row],[Input]],1)</f>
        <v>L</v>
      </c>
      <c r="C2975">
        <f>_xlfn.LET(_xlpm.steps,SUBSTITUTE(Table13[[#This Row],[Input]],Table13[[#This Row],[Direction]],""),VALUE(IF(LEN(_xlpm.steps)&gt;2,RIGHT(_xlpm.steps,2),_xlpm.steps)))</f>
        <v>30</v>
      </c>
      <c r="D2975">
        <f>_xlfn.LET(_xlpm.steps,SUBSTITUTE(Table13[[#This Row],[Input]],Table13[[#This Row],[Direction]],""),VALUE(IF(LEN(_xlpm.steps)&gt;2,LEFT(_xlpm.steps,LEN(_xlpm.steps)-2),0)))</f>
        <v>0</v>
      </c>
      <c r="E2975">
        <f>_xlfn.LET(_xlpm.dir,Table13[[#This Row],[Direction]],
IF(_xlpm.dir="L",
    IF(G2974-Table13[[#This Row],[Steps]]&lt;0,100+(G2974-Table13[[#This Row],[Steps]]),G2974-Table13[[#This Row],[Steps]]),
))</f>
        <v>70</v>
      </c>
      <c r="F2975">
        <f>_xlfn.LET(_xlpm.dir,Table13[[#This Row],[Direction]],
IF(_xlpm.dir="R",
    IF(G2974+Table13[[#This Row],[Steps]]&gt;99,(G2974+Table13[[#This Row],[Steps]])-100,G2974+Table13[[#This Row],[Steps]]),
))</f>
        <v>0</v>
      </c>
      <c r="G2975">
        <f>IF(Table13[[#This Row],[New Pos L]]&lt;&gt;0,Table13[[#This Row],[New Pos L]],Table13[[#This Row],[New Pos R]])</f>
        <v>70</v>
      </c>
      <c r="H2975">
        <f>IF(AND(Table13[[#This Row],[Direction]]="L",Table13[[#This Row],[Steps]]&gt;G2974,G2974&lt;&gt;0),1,0)</f>
        <v>0</v>
      </c>
      <c r="I2975">
        <f>IF(AND(Table13[[#This Row],[Direction]]="R",(G2974+Table13[[#This Row],[Steps]])&gt;100),1,0)</f>
        <v>0</v>
      </c>
      <c r="J2975">
        <f>IF(Table13[[#This Row],[POS]]=0,1,0)</f>
        <v>0</v>
      </c>
      <c r="K2975">
        <f>SUM(Table13[[#This Row],[prefix]],Table13[[#This Row],[Past zero L]],Table13[[#This Row],[Past Zero R]],Table13[[#This Row],[Is Zero]])</f>
        <v>0</v>
      </c>
    </row>
    <row r="2976" spans="1:11" ht="16" x14ac:dyDescent="0.2">
      <c r="A2976" s="1" t="s">
        <v>157</v>
      </c>
      <c r="B2976" t="str">
        <f>LEFT(Table13[[#This Row],[Input]],1)</f>
        <v>R</v>
      </c>
      <c r="C2976">
        <f>_xlfn.LET(_xlpm.steps,SUBSTITUTE(Table13[[#This Row],[Input]],Table13[[#This Row],[Direction]],""),VALUE(IF(LEN(_xlpm.steps)&gt;2,RIGHT(_xlpm.steps,2),_xlpm.steps)))</f>
        <v>68</v>
      </c>
      <c r="D2976">
        <f>_xlfn.LET(_xlpm.steps,SUBSTITUTE(Table13[[#This Row],[Input]],Table13[[#This Row],[Direction]],""),VALUE(IF(LEN(_xlpm.steps)&gt;2,LEFT(_xlpm.steps,LEN(_xlpm.steps)-2),0)))</f>
        <v>0</v>
      </c>
      <c r="E2976">
        <f>_xlfn.LET(_xlpm.dir,Table13[[#This Row],[Direction]],
IF(_xlpm.dir="L",
    IF(G2975-Table13[[#This Row],[Steps]]&lt;0,100+(G2975-Table13[[#This Row],[Steps]]),G2975-Table13[[#This Row],[Steps]]),
))</f>
        <v>0</v>
      </c>
      <c r="F2976">
        <f>_xlfn.LET(_xlpm.dir,Table13[[#This Row],[Direction]],
IF(_xlpm.dir="R",
    IF(G2975+Table13[[#This Row],[Steps]]&gt;99,(G2975+Table13[[#This Row],[Steps]])-100,G2975+Table13[[#This Row],[Steps]]),
))</f>
        <v>38</v>
      </c>
      <c r="G2976">
        <f>IF(Table13[[#This Row],[New Pos L]]&lt;&gt;0,Table13[[#This Row],[New Pos L]],Table13[[#This Row],[New Pos R]])</f>
        <v>38</v>
      </c>
      <c r="H2976">
        <f>IF(AND(Table13[[#This Row],[Direction]]="L",Table13[[#This Row],[Steps]]&gt;G2975,G2975&lt;&gt;0),1,0)</f>
        <v>0</v>
      </c>
      <c r="I2976">
        <f>IF(AND(Table13[[#This Row],[Direction]]="R",(G2975+Table13[[#This Row],[Steps]])&gt;100),1,0)</f>
        <v>1</v>
      </c>
      <c r="J2976">
        <f>IF(Table13[[#This Row],[POS]]=0,1,0)</f>
        <v>0</v>
      </c>
      <c r="K2976">
        <f>SUM(Table13[[#This Row],[prefix]],Table13[[#This Row],[Past zero L]],Table13[[#This Row],[Past Zero R]],Table13[[#This Row],[Is Zero]])</f>
        <v>1</v>
      </c>
    </row>
    <row r="2977" spans="1:11" ht="16" x14ac:dyDescent="0.2">
      <c r="A2977" s="1" t="s">
        <v>675</v>
      </c>
      <c r="B2977" t="str">
        <f>LEFT(Table13[[#This Row],[Input]],1)</f>
        <v>L</v>
      </c>
      <c r="C2977">
        <f>_xlfn.LET(_xlpm.steps,SUBSTITUTE(Table13[[#This Row],[Input]],Table13[[#This Row],[Direction]],""),VALUE(IF(LEN(_xlpm.steps)&gt;2,RIGHT(_xlpm.steps,2),_xlpm.steps)))</f>
        <v>86</v>
      </c>
      <c r="D2977">
        <f>_xlfn.LET(_xlpm.steps,SUBSTITUTE(Table13[[#This Row],[Input]],Table13[[#This Row],[Direction]],""),VALUE(IF(LEN(_xlpm.steps)&gt;2,LEFT(_xlpm.steps,LEN(_xlpm.steps)-2),0)))</f>
        <v>1</v>
      </c>
      <c r="E2977">
        <f>_xlfn.LET(_xlpm.dir,Table13[[#This Row],[Direction]],
IF(_xlpm.dir="L",
    IF(G2976-Table13[[#This Row],[Steps]]&lt;0,100+(G2976-Table13[[#This Row],[Steps]]),G2976-Table13[[#This Row],[Steps]]),
))</f>
        <v>52</v>
      </c>
      <c r="F2977">
        <f>_xlfn.LET(_xlpm.dir,Table13[[#This Row],[Direction]],
IF(_xlpm.dir="R",
    IF(G2976+Table13[[#This Row],[Steps]]&gt;99,(G2976+Table13[[#This Row],[Steps]])-100,G2976+Table13[[#This Row],[Steps]]),
))</f>
        <v>0</v>
      </c>
      <c r="G2977">
        <f>IF(Table13[[#This Row],[New Pos L]]&lt;&gt;0,Table13[[#This Row],[New Pos L]],Table13[[#This Row],[New Pos R]])</f>
        <v>52</v>
      </c>
      <c r="H2977">
        <f>IF(AND(Table13[[#This Row],[Direction]]="L",Table13[[#This Row],[Steps]]&gt;G2976,G2976&lt;&gt;0),1,0)</f>
        <v>1</v>
      </c>
      <c r="I2977">
        <f>IF(AND(Table13[[#This Row],[Direction]]="R",(G2976+Table13[[#This Row],[Steps]])&gt;100),1,0)</f>
        <v>0</v>
      </c>
      <c r="J2977">
        <f>IF(Table13[[#This Row],[POS]]=0,1,0)</f>
        <v>0</v>
      </c>
      <c r="K2977">
        <f>SUM(Table13[[#This Row],[prefix]],Table13[[#This Row],[Past zero L]],Table13[[#This Row],[Past Zero R]],Table13[[#This Row],[Is Zero]])</f>
        <v>2</v>
      </c>
    </row>
    <row r="2978" spans="1:11" ht="16" x14ac:dyDescent="0.2">
      <c r="A2978" s="1" t="s">
        <v>182</v>
      </c>
      <c r="B2978" t="str">
        <f>LEFT(Table13[[#This Row],[Input]],1)</f>
        <v>L</v>
      </c>
      <c r="C2978">
        <f>_xlfn.LET(_xlpm.steps,SUBSTITUTE(Table13[[#This Row],[Input]],Table13[[#This Row],[Direction]],""),VALUE(IF(LEN(_xlpm.steps)&gt;2,RIGHT(_xlpm.steps,2),_xlpm.steps)))</f>
        <v>3</v>
      </c>
      <c r="D2978">
        <f>_xlfn.LET(_xlpm.steps,SUBSTITUTE(Table13[[#This Row],[Input]],Table13[[#This Row],[Direction]],""),VALUE(IF(LEN(_xlpm.steps)&gt;2,LEFT(_xlpm.steps,LEN(_xlpm.steps)-2),0)))</f>
        <v>0</v>
      </c>
      <c r="E2978">
        <f>_xlfn.LET(_xlpm.dir,Table13[[#This Row],[Direction]],
IF(_xlpm.dir="L",
    IF(G2977-Table13[[#This Row],[Steps]]&lt;0,100+(G2977-Table13[[#This Row],[Steps]]),G2977-Table13[[#This Row],[Steps]]),
))</f>
        <v>49</v>
      </c>
      <c r="F2978">
        <f>_xlfn.LET(_xlpm.dir,Table13[[#This Row],[Direction]],
IF(_xlpm.dir="R",
    IF(G2977+Table13[[#This Row],[Steps]]&gt;99,(G2977+Table13[[#This Row],[Steps]])-100,G2977+Table13[[#This Row],[Steps]]),
))</f>
        <v>0</v>
      </c>
      <c r="G2978">
        <f>IF(Table13[[#This Row],[New Pos L]]&lt;&gt;0,Table13[[#This Row],[New Pos L]],Table13[[#This Row],[New Pos R]])</f>
        <v>49</v>
      </c>
      <c r="H2978">
        <f>IF(AND(Table13[[#This Row],[Direction]]="L",Table13[[#This Row],[Steps]]&gt;G2977,G2977&lt;&gt;0),1,0)</f>
        <v>0</v>
      </c>
      <c r="I2978">
        <f>IF(AND(Table13[[#This Row],[Direction]]="R",(G2977+Table13[[#This Row],[Steps]])&gt;100),1,0)</f>
        <v>0</v>
      </c>
      <c r="J2978">
        <f>IF(Table13[[#This Row],[POS]]=0,1,0)</f>
        <v>0</v>
      </c>
      <c r="K2978">
        <f>SUM(Table13[[#This Row],[prefix]],Table13[[#This Row],[Past zero L]],Table13[[#This Row],[Past Zero R]],Table13[[#This Row],[Is Zero]])</f>
        <v>0</v>
      </c>
    </row>
    <row r="2979" spans="1:11" ht="16" x14ac:dyDescent="0.2">
      <c r="A2979" s="1" t="s">
        <v>260</v>
      </c>
      <c r="B2979" t="str">
        <f>LEFT(Table13[[#This Row],[Input]],1)</f>
        <v>L</v>
      </c>
      <c r="C2979">
        <f>_xlfn.LET(_xlpm.steps,SUBSTITUTE(Table13[[#This Row],[Input]],Table13[[#This Row],[Direction]],""),VALUE(IF(LEN(_xlpm.steps)&gt;2,RIGHT(_xlpm.steps,2),_xlpm.steps)))</f>
        <v>85</v>
      </c>
      <c r="D2979">
        <f>_xlfn.LET(_xlpm.steps,SUBSTITUTE(Table13[[#This Row],[Input]],Table13[[#This Row],[Direction]],""),VALUE(IF(LEN(_xlpm.steps)&gt;2,LEFT(_xlpm.steps,LEN(_xlpm.steps)-2),0)))</f>
        <v>0</v>
      </c>
      <c r="E2979">
        <f>_xlfn.LET(_xlpm.dir,Table13[[#This Row],[Direction]],
IF(_xlpm.dir="L",
    IF(G2978-Table13[[#This Row],[Steps]]&lt;0,100+(G2978-Table13[[#This Row],[Steps]]),G2978-Table13[[#This Row],[Steps]]),
))</f>
        <v>64</v>
      </c>
      <c r="F2979">
        <f>_xlfn.LET(_xlpm.dir,Table13[[#This Row],[Direction]],
IF(_xlpm.dir="R",
    IF(G2978+Table13[[#This Row],[Steps]]&gt;99,(G2978+Table13[[#This Row],[Steps]])-100,G2978+Table13[[#This Row],[Steps]]),
))</f>
        <v>0</v>
      </c>
      <c r="G2979">
        <f>IF(Table13[[#This Row],[New Pos L]]&lt;&gt;0,Table13[[#This Row],[New Pos L]],Table13[[#This Row],[New Pos R]])</f>
        <v>64</v>
      </c>
      <c r="H2979">
        <f>IF(AND(Table13[[#This Row],[Direction]]="L",Table13[[#This Row],[Steps]]&gt;G2978,G2978&lt;&gt;0),1,0)</f>
        <v>1</v>
      </c>
      <c r="I2979">
        <f>IF(AND(Table13[[#This Row],[Direction]]="R",(G2978+Table13[[#This Row],[Steps]])&gt;100),1,0)</f>
        <v>0</v>
      </c>
      <c r="J2979">
        <f>IF(Table13[[#This Row],[POS]]=0,1,0)</f>
        <v>0</v>
      </c>
      <c r="K2979">
        <f>SUM(Table13[[#This Row],[prefix]],Table13[[#This Row],[Past zero L]],Table13[[#This Row],[Past Zero R]],Table13[[#This Row],[Is Zero]])</f>
        <v>1</v>
      </c>
    </row>
    <row r="2980" spans="1:11" ht="16" x14ac:dyDescent="0.2">
      <c r="A2980" s="1" t="s">
        <v>536</v>
      </c>
      <c r="B2980" t="str">
        <f>LEFT(Table13[[#This Row],[Input]],1)</f>
        <v>L</v>
      </c>
      <c r="C2980">
        <f>_xlfn.LET(_xlpm.steps,SUBSTITUTE(Table13[[#This Row],[Input]],Table13[[#This Row],[Direction]],""),VALUE(IF(LEN(_xlpm.steps)&gt;2,RIGHT(_xlpm.steps,2),_xlpm.steps)))</f>
        <v>22</v>
      </c>
      <c r="D2980">
        <f>_xlfn.LET(_xlpm.steps,SUBSTITUTE(Table13[[#This Row],[Input]],Table13[[#This Row],[Direction]],""),VALUE(IF(LEN(_xlpm.steps)&gt;2,LEFT(_xlpm.steps,LEN(_xlpm.steps)-2),0)))</f>
        <v>8</v>
      </c>
      <c r="E2980">
        <f>_xlfn.LET(_xlpm.dir,Table13[[#This Row],[Direction]],
IF(_xlpm.dir="L",
    IF(G2979-Table13[[#This Row],[Steps]]&lt;0,100+(G2979-Table13[[#This Row],[Steps]]),G2979-Table13[[#This Row],[Steps]]),
))</f>
        <v>42</v>
      </c>
      <c r="F2980">
        <f>_xlfn.LET(_xlpm.dir,Table13[[#This Row],[Direction]],
IF(_xlpm.dir="R",
    IF(G2979+Table13[[#This Row],[Steps]]&gt;99,(G2979+Table13[[#This Row],[Steps]])-100,G2979+Table13[[#This Row],[Steps]]),
))</f>
        <v>0</v>
      </c>
      <c r="G2980">
        <f>IF(Table13[[#This Row],[New Pos L]]&lt;&gt;0,Table13[[#This Row],[New Pos L]],Table13[[#This Row],[New Pos R]])</f>
        <v>42</v>
      </c>
      <c r="H2980">
        <f>IF(AND(Table13[[#This Row],[Direction]]="L",Table13[[#This Row],[Steps]]&gt;G2979,G2979&lt;&gt;0),1,0)</f>
        <v>0</v>
      </c>
      <c r="I2980">
        <f>IF(AND(Table13[[#This Row],[Direction]]="R",(G2979+Table13[[#This Row],[Steps]])&gt;100),1,0)</f>
        <v>0</v>
      </c>
      <c r="J2980">
        <f>IF(Table13[[#This Row],[POS]]=0,1,0)</f>
        <v>0</v>
      </c>
      <c r="K2980">
        <f>SUM(Table13[[#This Row],[prefix]],Table13[[#This Row],[Past zero L]],Table13[[#This Row],[Past Zero R]],Table13[[#This Row],[Is Zero]])</f>
        <v>8</v>
      </c>
    </row>
    <row r="2981" spans="1:11" ht="16" x14ac:dyDescent="0.2">
      <c r="A2981" s="1" t="s">
        <v>0</v>
      </c>
      <c r="B2981" t="str">
        <f>LEFT(Table13[[#This Row],[Input]],1)</f>
        <v>L</v>
      </c>
      <c r="C2981">
        <f>_xlfn.LET(_xlpm.steps,SUBSTITUTE(Table13[[#This Row],[Input]],Table13[[#This Row],[Direction]],""),VALUE(IF(LEN(_xlpm.steps)&gt;2,RIGHT(_xlpm.steps,2),_xlpm.steps)))</f>
        <v>44</v>
      </c>
      <c r="D2981">
        <f>_xlfn.LET(_xlpm.steps,SUBSTITUTE(Table13[[#This Row],[Input]],Table13[[#This Row],[Direction]],""),VALUE(IF(LEN(_xlpm.steps)&gt;2,LEFT(_xlpm.steps,LEN(_xlpm.steps)-2),0)))</f>
        <v>0</v>
      </c>
      <c r="E2981">
        <f>_xlfn.LET(_xlpm.dir,Table13[[#This Row],[Direction]],
IF(_xlpm.dir="L",
    IF(G2980-Table13[[#This Row],[Steps]]&lt;0,100+(G2980-Table13[[#This Row],[Steps]]),G2980-Table13[[#This Row],[Steps]]),
))</f>
        <v>98</v>
      </c>
      <c r="F2981">
        <f>_xlfn.LET(_xlpm.dir,Table13[[#This Row],[Direction]],
IF(_xlpm.dir="R",
    IF(G2980+Table13[[#This Row],[Steps]]&gt;99,(G2980+Table13[[#This Row],[Steps]])-100,G2980+Table13[[#This Row],[Steps]]),
))</f>
        <v>0</v>
      </c>
      <c r="G2981">
        <f>IF(Table13[[#This Row],[New Pos L]]&lt;&gt;0,Table13[[#This Row],[New Pos L]],Table13[[#This Row],[New Pos R]])</f>
        <v>98</v>
      </c>
      <c r="H2981">
        <f>IF(AND(Table13[[#This Row],[Direction]]="L",Table13[[#This Row],[Steps]]&gt;G2980,G2980&lt;&gt;0),1,0)</f>
        <v>1</v>
      </c>
      <c r="I2981">
        <f>IF(AND(Table13[[#This Row],[Direction]]="R",(G2980+Table13[[#This Row],[Steps]])&gt;100),1,0)</f>
        <v>0</v>
      </c>
      <c r="J2981">
        <f>IF(Table13[[#This Row],[POS]]=0,1,0)</f>
        <v>0</v>
      </c>
      <c r="K2981">
        <f>SUM(Table13[[#This Row],[prefix]],Table13[[#This Row],[Past zero L]],Table13[[#This Row],[Past Zero R]],Table13[[#This Row],[Is Zero]])</f>
        <v>1</v>
      </c>
    </row>
    <row r="2982" spans="1:11" ht="16" x14ac:dyDescent="0.2">
      <c r="A2982" s="1" t="s">
        <v>252</v>
      </c>
      <c r="B2982" t="str">
        <f>LEFT(Table13[[#This Row],[Input]],1)</f>
        <v>L</v>
      </c>
      <c r="C2982">
        <f>_xlfn.LET(_xlpm.steps,SUBSTITUTE(Table13[[#This Row],[Input]],Table13[[#This Row],[Direction]],""),VALUE(IF(LEN(_xlpm.steps)&gt;2,RIGHT(_xlpm.steps,2),_xlpm.steps)))</f>
        <v>99</v>
      </c>
      <c r="D2982">
        <f>_xlfn.LET(_xlpm.steps,SUBSTITUTE(Table13[[#This Row],[Input]],Table13[[#This Row],[Direction]],""),VALUE(IF(LEN(_xlpm.steps)&gt;2,LEFT(_xlpm.steps,LEN(_xlpm.steps)-2),0)))</f>
        <v>0</v>
      </c>
      <c r="E2982">
        <f>_xlfn.LET(_xlpm.dir,Table13[[#This Row],[Direction]],
IF(_xlpm.dir="L",
    IF(G2981-Table13[[#This Row],[Steps]]&lt;0,100+(G2981-Table13[[#This Row],[Steps]]),G2981-Table13[[#This Row],[Steps]]),
))</f>
        <v>99</v>
      </c>
      <c r="F2982">
        <f>_xlfn.LET(_xlpm.dir,Table13[[#This Row],[Direction]],
IF(_xlpm.dir="R",
    IF(G2981+Table13[[#This Row],[Steps]]&gt;99,(G2981+Table13[[#This Row],[Steps]])-100,G2981+Table13[[#This Row],[Steps]]),
))</f>
        <v>0</v>
      </c>
      <c r="G2982">
        <f>IF(Table13[[#This Row],[New Pos L]]&lt;&gt;0,Table13[[#This Row],[New Pos L]],Table13[[#This Row],[New Pos R]])</f>
        <v>99</v>
      </c>
      <c r="H2982">
        <f>IF(AND(Table13[[#This Row],[Direction]]="L",Table13[[#This Row],[Steps]]&gt;G2981,G2981&lt;&gt;0),1,0)</f>
        <v>1</v>
      </c>
      <c r="I2982">
        <f>IF(AND(Table13[[#This Row],[Direction]]="R",(G2981+Table13[[#This Row],[Steps]])&gt;100),1,0)</f>
        <v>0</v>
      </c>
      <c r="J2982">
        <f>IF(Table13[[#This Row],[POS]]=0,1,0)</f>
        <v>0</v>
      </c>
      <c r="K2982">
        <f>SUM(Table13[[#This Row],[prefix]],Table13[[#This Row],[Past zero L]],Table13[[#This Row],[Past Zero R]],Table13[[#This Row],[Is Zero]])</f>
        <v>1</v>
      </c>
    </row>
    <row r="2983" spans="1:11" ht="16" x14ac:dyDescent="0.2">
      <c r="A2983" s="1" t="s">
        <v>213</v>
      </c>
      <c r="B2983" t="str">
        <f>LEFT(Table13[[#This Row],[Input]],1)</f>
        <v>R</v>
      </c>
      <c r="C2983">
        <f>_xlfn.LET(_xlpm.steps,SUBSTITUTE(Table13[[#This Row],[Input]],Table13[[#This Row],[Direction]],""),VALUE(IF(LEN(_xlpm.steps)&gt;2,RIGHT(_xlpm.steps,2),_xlpm.steps)))</f>
        <v>87</v>
      </c>
      <c r="D2983">
        <f>_xlfn.LET(_xlpm.steps,SUBSTITUTE(Table13[[#This Row],[Input]],Table13[[#This Row],[Direction]],""),VALUE(IF(LEN(_xlpm.steps)&gt;2,LEFT(_xlpm.steps,LEN(_xlpm.steps)-2),0)))</f>
        <v>0</v>
      </c>
      <c r="E2983">
        <f>_xlfn.LET(_xlpm.dir,Table13[[#This Row],[Direction]],
IF(_xlpm.dir="L",
    IF(G2982-Table13[[#This Row],[Steps]]&lt;0,100+(G2982-Table13[[#This Row],[Steps]]),G2982-Table13[[#This Row],[Steps]]),
))</f>
        <v>0</v>
      </c>
      <c r="F2983">
        <f>_xlfn.LET(_xlpm.dir,Table13[[#This Row],[Direction]],
IF(_xlpm.dir="R",
    IF(G2982+Table13[[#This Row],[Steps]]&gt;99,(G2982+Table13[[#This Row],[Steps]])-100,G2982+Table13[[#This Row],[Steps]]),
))</f>
        <v>86</v>
      </c>
      <c r="G2983">
        <f>IF(Table13[[#This Row],[New Pos L]]&lt;&gt;0,Table13[[#This Row],[New Pos L]],Table13[[#This Row],[New Pos R]])</f>
        <v>86</v>
      </c>
      <c r="H2983">
        <f>IF(AND(Table13[[#This Row],[Direction]]="L",Table13[[#This Row],[Steps]]&gt;G2982,G2982&lt;&gt;0),1,0)</f>
        <v>0</v>
      </c>
      <c r="I2983">
        <f>IF(AND(Table13[[#This Row],[Direction]]="R",(G2982+Table13[[#This Row],[Steps]])&gt;100),1,0)</f>
        <v>1</v>
      </c>
      <c r="J2983">
        <f>IF(Table13[[#This Row],[POS]]=0,1,0)</f>
        <v>0</v>
      </c>
      <c r="K2983">
        <f>SUM(Table13[[#This Row],[prefix]],Table13[[#This Row],[Past zero L]],Table13[[#This Row],[Past Zero R]],Table13[[#This Row],[Is Zero]])</f>
        <v>1</v>
      </c>
    </row>
    <row r="2984" spans="1:11" ht="16" x14ac:dyDescent="0.2">
      <c r="A2984" s="1" t="s">
        <v>141</v>
      </c>
      <c r="B2984" t="str">
        <f>LEFT(Table13[[#This Row],[Input]],1)</f>
        <v>L</v>
      </c>
      <c r="C2984">
        <f>_xlfn.LET(_xlpm.steps,SUBSTITUTE(Table13[[#This Row],[Input]],Table13[[#This Row],[Direction]],""),VALUE(IF(LEN(_xlpm.steps)&gt;2,RIGHT(_xlpm.steps,2),_xlpm.steps)))</f>
        <v>90</v>
      </c>
      <c r="D2984">
        <f>_xlfn.LET(_xlpm.steps,SUBSTITUTE(Table13[[#This Row],[Input]],Table13[[#This Row],[Direction]],""),VALUE(IF(LEN(_xlpm.steps)&gt;2,LEFT(_xlpm.steps,LEN(_xlpm.steps)-2),0)))</f>
        <v>0</v>
      </c>
      <c r="E2984">
        <f>_xlfn.LET(_xlpm.dir,Table13[[#This Row],[Direction]],
IF(_xlpm.dir="L",
    IF(G2983-Table13[[#This Row],[Steps]]&lt;0,100+(G2983-Table13[[#This Row],[Steps]]),G2983-Table13[[#This Row],[Steps]]),
))</f>
        <v>96</v>
      </c>
      <c r="F2984">
        <f>_xlfn.LET(_xlpm.dir,Table13[[#This Row],[Direction]],
IF(_xlpm.dir="R",
    IF(G2983+Table13[[#This Row],[Steps]]&gt;99,(G2983+Table13[[#This Row],[Steps]])-100,G2983+Table13[[#This Row],[Steps]]),
))</f>
        <v>0</v>
      </c>
      <c r="G2984">
        <f>IF(Table13[[#This Row],[New Pos L]]&lt;&gt;0,Table13[[#This Row],[New Pos L]],Table13[[#This Row],[New Pos R]])</f>
        <v>96</v>
      </c>
      <c r="H2984">
        <f>IF(AND(Table13[[#This Row],[Direction]]="L",Table13[[#This Row],[Steps]]&gt;G2983,G2983&lt;&gt;0),1,0)</f>
        <v>1</v>
      </c>
      <c r="I2984">
        <f>IF(AND(Table13[[#This Row],[Direction]]="R",(G2983+Table13[[#This Row],[Steps]])&gt;100),1,0)</f>
        <v>0</v>
      </c>
      <c r="J2984">
        <f>IF(Table13[[#This Row],[POS]]=0,1,0)</f>
        <v>0</v>
      </c>
      <c r="K2984">
        <f>SUM(Table13[[#This Row],[prefix]],Table13[[#This Row],[Past zero L]],Table13[[#This Row],[Past Zero R]],Table13[[#This Row],[Is Zero]])</f>
        <v>1</v>
      </c>
    </row>
    <row r="2985" spans="1:11" ht="16" x14ac:dyDescent="0.2">
      <c r="A2985" s="1" t="s">
        <v>45</v>
      </c>
      <c r="B2985" t="str">
        <f>LEFT(Table13[[#This Row],[Input]],1)</f>
        <v>L</v>
      </c>
      <c r="C2985">
        <f>_xlfn.LET(_xlpm.steps,SUBSTITUTE(Table13[[#This Row],[Input]],Table13[[#This Row],[Direction]],""),VALUE(IF(LEN(_xlpm.steps)&gt;2,RIGHT(_xlpm.steps,2),_xlpm.steps)))</f>
        <v>96</v>
      </c>
      <c r="D2985">
        <f>_xlfn.LET(_xlpm.steps,SUBSTITUTE(Table13[[#This Row],[Input]],Table13[[#This Row],[Direction]],""),VALUE(IF(LEN(_xlpm.steps)&gt;2,LEFT(_xlpm.steps,LEN(_xlpm.steps)-2),0)))</f>
        <v>0</v>
      </c>
      <c r="E2985">
        <f>_xlfn.LET(_xlpm.dir,Table13[[#This Row],[Direction]],
IF(_xlpm.dir="L",
    IF(G2984-Table13[[#This Row],[Steps]]&lt;0,100+(G2984-Table13[[#This Row],[Steps]]),G2984-Table13[[#This Row],[Steps]]),
))</f>
        <v>0</v>
      </c>
      <c r="F2985">
        <f>_xlfn.LET(_xlpm.dir,Table13[[#This Row],[Direction]],
IF(_xlpm.dir="R",
    IF(G2984+Table13[[#This Row],[Steps]]&gt;99,(G2984+Table13[[#This Row],[Steps]])-100,G2984+Table13[[#This Row],[Steps]]),
))</f>
        <v>0</v>
      </c>
      <c r="G2985">
        <f>IF(Table13[[#This Row],[New Pos L]]&lt;&gt;0,Table13[[#This Row],[New Pos L]],Table13[[#This Row],[New Pos R]])</f>
        <v>0</v>
      </c>
      <c r="H2985">
        <f>IF(AND(Table13[[#This Row],[Direction]]="L",Table13[[#This Row],[Steps]]&gt;G2984,G2984&lt;&gt;0),1,0)</f>
        <v>0</v>
      </c>
      <c r="I2985">
        <f>IF(AND(Table13[[#This Row],[Direction]]="R",(G2984+Table13[[#This Row],[Steps]])&gt;100),1,0)</f>
        <v>0</v>
      </c>
      <c r="J2985">
        <f>IF(Table13[[#This Row],[POS]]=0,1,0)</f>
        <v>1</v>
      </c>
      <c r="K2985">
        <f>SUM(Table13[[#This Row],[prefix]],Table13[[#This Row],[Past zero L]],Table13[[#This Row],[Past Zero R]],Table13[[#This Row],[Is Zero]])</f>
        <v>1</v>
      </c>
    </row>
    <row r="2986" spans="1:11" ht="16" x14ac:dyDescent="0.2">
      <c r="A2986" s="1" t="s">
        <v>357</v>
      </c>
      <c r="B2986" t="str">
        <f>LEFT(Table13[[#This Row],[Input]],1)</f>
        <v>R</v>
      </c>
      <c r="C2986">
        <f>_xlfn.LET(_xlpm.steps,SUBSTITUTE(Table13[[#This Row],[Input]],Table13[[#This Row],[Direction]],""),VALUE(IF(LEN(_xlpm.steps)&gt;2,RIGHT(_xlpm.steps,2),_xlpm.steps)))</f>
        <v>72</v>
      </c>
      <c r="D2986">
        <f>_xlfn.LET(_xlpm.steps,SUBSTITUTE(Table13[[#This Row],[Input]],Table13[[#This Row],[Direction]],""),VALUE(IF(LEN(_xlpm.steps)&gt;2,LEFT(_xlpm.steps,LEN(_xlpm.steps)-2),0)))</f>
        <v>0</v>
      </c>
      <c r="E2986">
        <f>_xlfn.LET(_xlpm.dir,Table13[[#This Row],[Direction]],
IF(_xlpm.dir="L",
    IF(G2985-Table13[[#This Row],[Steps]]&lt;0,100+(G2985-Table13[[#This Row],[Steps]]),G2985-Table13[[#This Row],[Steps]]),
))</f>
        <v>0</v>
      </c>
      <c r="F2986">
        <f>_xlfn.LET(_xlpm.dir,Table13[[#This Row],[Direction]],
IF(_xlpm.dir="R",
    IF(G2985+Table13[[#This Row],[Steps]]&gt;99,(G2985+Table13[[#This Row],[Steps]])-100,G2985+Table13[[#This Row],[Steps]]),
))</f>
        <v>72</v>
      </c>
      <c r="G2986">
        <f>IF(Table13[[#This Row],[New Pos L]]&lt;&gt;0,Table13[[#This Row],[New Pos L]],Table13[[#This Row],[New Pos R]])</f>
        <v>72</v>
      </c>
      <c r="H2986">
        <f>IF(AND(Table13[[#This Row],[Direction]]="L",Table13[[#This Row],[Steps]]&gt;G2985,G2985&lt;&gt;0),1,0)</f>
        <v>0</v>
      </c>
      <c r="I2986">
        <f>IF(AND(Table13[[#This Row],[Direction]]="R",(G2985+Table13[[#This Row],[Steps]])&gt;100),1,0)</f>
        <v>0</v>
      </c>
      <c r="J2986">
        <f>IF(Table13[[#This Row],[POS]]=0,1,0)</f>
        <v>0</v>
      </c>
      <c r="K2986">
        <f>SUM(Table13[[#This Row],[prefix]],Table13[[#This Row],[Past zero L]],Table13[[#This Row],[Past Zero R]],Table13[[#This Row],[Is Zero]])</f>
        <v>0</v>
      </c>
    </row>
    <row r="2987" spans="1:11" ht="16" x14ac:dyDescent="0.2">
      <c r="A2987" s="1" t="s">
        <v>110</v>
      </c>
      <c r="B2987" t="str">
        <f>LEFT(Table13[[#This Row],[Input]],1)</f>
        <v>L</v>
      </c>
      <c r="C2987">
        <f>_xlfn.LET(_xlpm.steps,SUBSTITUTE(Table13[[#This Row],[Input]],Table13[[#This Row],[Direction]],""),VALUE(IF(LEN(_xlpm.steps)&gt;2,RIGHT(_xlpm.steps,2),_xlpm.steps)))</f>
        <v>81</v>
      </c>
      <c r="D2987">
        <f>_xlfn.LET(_xlpm.steps,SUBSTITUTE(Table13[[#This Row],[Input]],Table13[[#This Row],[Direction]],""),VALUE(IF(LEN(_xlpm.steps)&gt;2,LEFT(_xlpm.steps,LEN(_xlpm.steps)-2),0)))</f>
        <v>0</v>
      </c>
      <c r="E2987">
        <f>_xlfn.LET(_xlpm.dir,Table13[[#This Row],[Direction]],
IF(_xlpm.dir="L",
    IF(G2986-Table13[[#This Row],[Steps]]&lt;0,100+(G2986-Table13[[#This Row],[Steps]]),G2986-Table13[[#This Row],[Steps]]),
))</f>
        <v>91</v>
      </c>
      <c r="F2987">
        <f>_xlfn.LET(_xlpm.dir,Table13[[#This Row],[Direction]],
IF(_xlpm.dir="R",
    IF(G2986+Table13[[#This Row],[Steps]]&gt;99,(G2986+Table13[[#This Row],[Steps]])-100,G2986+Table13[[#This Row],[Steps]]),
))</f>
        <v>0</v>
      </c>
      <c r="G2987">
        <f>IF(Table13[[#This Row],[New Pos L]]&lt;&gt;0,Table13[[#This Row],[New Pos L]],Table13[[#This Row],[New Pos R]])</f>
        <v>91</v>
      </c>
      <c r="H2987">
        <f>IF(AND(Table13[[#This Row],[Direction]]="L",Table13[[#This Row],[Steps]]&gt;G2986,G2986&lt;&gt;0),1,0)</f>
        <v>1</v>
      </c>
      <c r="I2987">
        <f>IF(AND(Table13[[#This Row],[Direction]]="R",(G2986+Table13[[#This Row],[Steps]])&gt;100),1,0)</f>
        <v>0</v>
      </c>
      <c r="J2987">
        <f>IF(Table13[[#This Row],[POS]]=0,1,0)</f>
        <v>0</v>
      </c>
      <c r="K2987">
        <f>SUM(Table13[[#This Row],[prefix]],Table13[[#This Row],[Past zero L]],Table13[[#This Row],[Past Zero R]],Table13[[#This Row],[Is Zero]])</f>
        <v>1</v>
      </c>
    </row>
    <row r="2988" spans="1:11" ht="16" x14ac:dyDescent="0.2">
      <c r="A2988" s="1" t="s">
        <v>51</v>
      </c>
      <c r="B2988" t="str">
        <f>LEFT(Table13[[#This Row],[Input]],1)</f>
        <v>L</v>
      </c>
      <c r="C2988">
        <f>_xlfn.LET(_xlpm.steps,SUBSTITUTE(Table13[[#This Row],[Input]],Table13[[#This Row],[Direction]],""),VALUE(IF(LEN(_xlpm.steps)&gt;2,RIGHT(_xlpm.steps,2),_xlpm.steps)))</f>
        <v>25</v>
      </c>
      <c r="D2988">
        <f>_xlfn.LET(_xlpm.steps,SUBSTITUTE(Table13[[#This Row],[Input]],Table13[[#This Row],[Direction]],""),VALUE(IF(LEN(_xlpm.steps)&gt;2,LEFT(_xlpm.steps,LEN(_xlpm.steps)-2),0)))</f>
        <v>0</v>
      </c>
      <c r="E2988">
        <f>_xlfn.LET(_xlpm.dir,Table13[[#This Row],[Direction]],
IF(_xlpm.dir="L",
    IF(G2987-Table13[[#This Row],[Steps]]&lt;0,100+(G2987-Table13[[#This Row],[Steps]]),G2987-Table13[[#This Row],[Steps]]),
))</f>
        <v>66</v>
      </c>
      <c r="F2988">
        <f>_xlfn.LET(_xlpm.dir,Table13[[#This Row],[Direction]],
IF(_xlpm.dir="R",
    IF(G2987+Table13[[#This Row],[Steps]]&gt;99,(G2987+Table13[[#This Row],[Steps]])-100,G2987+Table13[[#This Row],[Steps]]),
))</f>
        <v>0</v>
      </c>
      <c r="G2988">
        <f>IF(Table13[[#This Row],[New Pos L]]&lt;&gt;0,Table13[[#This Row],[New Pos L]],Table13[[#This Row],[New Pos R]])</f>
        <v>66</v>
      </c>
      <c r="H2988">
        <f>IF(AND(Table13[[#This Row],[Direction]]="L",Table13[[#This Row],[Steps]]&gt;G2987,G2987&lt;&gt;0),1,0)</f>
        <v>0</v>
      </c>
      <c r="I2988">
        <f>IF(AND(Table13[[#This Row],[Direction]]="R",(G2987+Table13[[#This Row],[Steps]])&gt;100),1,0)</f>
        <v>0</v>
      </c>
      <c r="J2988">
        <f>IF(Table13[[#This Row],[POS]]=0,1,0)</f>
        <v>0</v>
      </c>
      <c r="K2988">
        <f>SUM(Table13[[#This Row],[prefix]],Table13[[#This Row],[Past zero L]],Table13[[#This Row],[Past Zero R]],Table13[[#This Row],[Is Zero]])</f>
        <v>0</v>
      </c>
    </row>
    <row r="2989" spans="1:11" ht="16" x14ac:dyDescent="0.2">
      <c r="A2989" s="1" t="s">
        <v>123</v>
      </c>
      <c r="B2989" t="str">
        <f>LEFT(Table13[[#This Row],[Input]],1)</f>
        <v>L</v>
      </c>
      <c r="C2989">
        <f>_xlfn.LET(_xlpm.steps,SUBSTITUTE(Table13[[#This Row],[Input]],Table13[[#This Row],[Direction]],""),VALUE(IF(LEN(_xlpm.steps)&gt;2,RIGHT(_xlpm.steps,2),_xlpm.steps)))</f>
        <v>63</v>
      </c>
      <c r="D2989">
        <f>_xlfn.LET(_xlpm.steps,SUBSTITUTE(Table13[[#This Row],[Input]],Table13[[#This Row],[Direction]],""),VALUE(IF(LEN(_xlpm.steps)&gt;2,LEFT(_xlpm.steps,LEN(_xlpm.steps)-2),0)))</f>
        <v>0</v>
      </c>
      <c r="E2989">
        <f>_xlfn.LET(_xlpm.dir,Table13[[#This Row],[Direction]],
IF(_xlpm.dir="L",
    IF(G2988-Table13[[#This Row],[Steps]]&lt;0,100+(G2988-Table13[[#This Row],[Steps]]),G2988-Table13[[#This Row],[Steps]]),
))</f>
        <v>3</v>
      </c>
      <c r="F2989">
        <f>_xlfn.LET(_xlpm.dir,Table13[[#This Row],[Direction]],
IF(_xlpm.dir="R",
    IF(G2988+Table13[[#This Row],[Steps]]&gt;99,(G2988+Table13[[#This Row],[Steps]])-100,G2988+Table13[[#This Row],[Steps]]),
))</f>
        <v>0</v>
      </c>
      <c r="G2989">
        <f>IF(Table13[[#This Row],[New Pos L]]&lt;&gt;0,Table13[[#This Row],[New Pos L]],Table13[[#This Row],[New Pos R]])</f>
        <v>3</v>
      </c>
      <c r="H2989">
        <f>IF(AND(Table13[[#This Row],[Direction]]="L",Table13[[#This Row],[Steps]]&gt;G2988,G2988&lt;&gt;0),1,0)</f>
        <v>0</v>
      </c>
      <c r="I2989">
        <f>IF(AND(Table13[[#This Row],[Direction]]="R",(G2988+Table13[[#This Row],[Steps]])&gt;100),1,0)</f>
        <v>0</v>
      </c>
      <c r="J2989">
        <f>IF(Table13[[#This Row],[POS]]=0,1,0)</f>
        <v>0</v>
      </c>
      <c r="K2989">
        <f>SUM(Table13[[#This Row],[prefix]],Table13[[#This Row],[Past zero L]],Table13[[#This Row],[Past Zero R]],Table13[[#This Row],[Is Zero]])</f>
        <v>0</v>
      </c>
    </row>
    <row r="2990" spans="1:11" ht="16" x14ac:dyDescent="0.2">
      <c r="A2990" s="1" t="s">
        <v>164</v>
      </c>
      <c r="B2990" t="str">
        <f>LEFT(Table13[[#This Row],[Input]],1)</f>
        <v>R</v>
      </c>
      <c r="C2990">
        <f>_xlfn.LET(_xlpm.steps,SUBSTITUTE(Table13[[#This Row],[Input]],Table13[[#This Row],[Direction]],""),VALUE(IF(LEN(_xlpm.steps)&gt;2,RIGHT(_xlpm.steps,2),_xlpm.steps)))</f>
        <v>85</v>
      </c>
      <c r="D2990">
        <f>_xlfn.LET(_xlpm.steps,SUBSTITUTE(Table13[[#This Row],[Input]],Table13[[#This Row],[Direction]],""),VALUE(IF(LEN(_xlpm.steps)&gt;2,LEFT(_xlpm.steps,LEN(_xlpm.steps)-2),0)))</f>
        <v>0</v>
      </c>
      <c r="E2990">
        <f>_xlfn.LET(_xlpm.dir,Table13[[#This Row],[Direction]],
IF(_xlpm.dir="L",
    IF(G2989-Table13[[#This Row],[Steps]]&lt;0,100+(G2989-Table13[[#This Row],[Steps]]),G2989-Table13[[#This Row],[Steps]]),
))</f>
        <v>0</v>
      </c>
      <c r="F2990">
        <f>_xlfn.LET(_xlpm.dir,Table13[[#This Row],[Direction]],
IF(_xlpm.dir="R",
    IF(G2989+Table13[[#This Row],[Steps]]&gt;99,(G2989+Table13[[#This Row],[Steps]])-100,G2989+Table13[[#This Row],[Steps]]),
))</f>
        <v>88</v>
      </c>
      <c r="G2990">
        <f>IF(Table13[[#This Row],[New Pos L]]&lt;&gt;0,Table13[[#This Row],[New Pos L]],Table13[[#This Row],[New Pos R]])</f>
        <v>88</v>
      </c>
      <c r="H2990">
        <f>IF(AND(Table13[[#This Row],[Direction]]="L",Table13[[#This Row],[Steps]]&gt;G2989,G2989&lt;&gt;0),1,0)</f>
        <v>0</v>
      </c>
      <c r="I2990">
        <f>IF(AND(Table13[[#This Row],[Direction]]="R",(G2989+Table13[[#This Row],[Steps]])&gt;100),1,0)</f>
        <v>0</v>
      </c>
      <c r="J2990">
        <f>IF(Table13[[#This Row],[POS]]=0,1,0)</f>
        <v>0</v>
      </c>
      <c r="K2990">
        <f>SUM(Table13[[#This Row],[prefix]],Table13[[#This Row],[Past zero L]],Table13[[#This Row],[Past Zero R]],Table13[[#This Row],[Is Zero]])</f>
        <v>0</v>
      </c>
    </row>
    <row r="2991" spans="1:11" ht="16" x14ac:dyDescent="0.2">
      <c r="A2991" s="1" t="s">
        <v>84</v>
      </c>
      <c r="B2991" t="str">
        <f>LEFT(Table13[[#This Row],[Input]],1)</f>
        <v>R</v>
      </c>
      <c r="C2991">
        <f>_xlfn.LET(_xlpm.steps,SUBSTITUTE(Table13[[#This Row],[Input]],Table13[[#This Row],[Direction]],""),VALUE(IF(LEN(_xlpm.steps)&gt;2,RIGHT(_xlpm.steps,2),_xlpm.steps)))</f>
        <v>88</v>
      </c>
      <c r="D2991">
        <f>_xlfn.LET(_xlpm.steps,SUBSTITUTE(Table13[[#This Row],[Input]],Table13[[#This Row],[Direction]],""),VALUE(IF(LEN(_xlpm.steps)&gt;2,LEFT(_xlpm.steps,LEN(_xlpm.steps)-2),0)))</f>
        <v>0</v>
      </c>
      <c r="E2991">
        <f>_xlfn.LET(_xlpm.dir,Table13[[#This Row],[Direction]],
IF(_xlpm.dir="L",
    IF(G2990-Table13[[#This Row],[Steps]]&lt;0,100+(G2990-Table13[[#This Row],[Steps]]),G2990-Table13[[#This Row],[Steps]]),
))</f>
        <v>0</v>
      </c>
      <c r="F2991">
        <f>_xlfn.LET(_xlpm.dir,Table13[[#This Row],[Direction]],
IF(_xlpm.dir="R",
    IF(G2990+Table13[[#This Row],[Steps]]&gt;99,(G2990+Table13[[#This Row],[Steps]])-100,G2990+Table13[[#This Row],[Steps]]),
))</f>
        <v>76</v>
      </c>
      <c r="G2991">
        <f>IF(Table13[[#This Row],[New Pos L]]&lt;&gt;0,Table13[[#This Row],[New Pos L]],Table13[[#This Row],[New Pos R]])</f>
        <v>76</v>
      </c>
      <c r="H2991">
        <f>IF(AND(Table13[[#This Row],[Direction]]="L",Table13[[#This Row],[Steps]]&gt;G2990,G2990&lt;&gt;0),1,0)</f>
        <v>0</v>
      </c>
      <c r="I2991">
        <f>IF(AND(Table13[[#This Row],[Direction]]="R",(G2990+Table13[[#This Row],[Steps]])&gt;100),1,0)</f>
        <v>1</v>
      </c>
      <c r="J2991">
        <f>IF(Table13[[#This Row],[POS]]=0,1,0)</f>
        <v>0</v>
      </c>
      <c r="K2991">
        <f>SUM(Table13[[#This Row],[prefix]],Table13[[#This Row],[Past zero L]],Table13[[#This Row],[Past Zero R]],Table13[[#This Row],[Is Zero]])</f>
        <v>1</v>
      </c>
    </row>
    <row r="2992" spans="1:11" ht="16" x14ac:dyDescent="0.2">
      <c r="A2992" s="1" t="s">
        <v>125</v>
      </c>
      <c r="B2992" t="str">
        <f>LEFT(Table13[[#This Row],[Input]],1)</f>
        <v>L</v>
      </c>
      <c r="C2992">
        <f>_xlfn.LET(_xlpm.steps,SUBSTITUTE(Table13[[#This Row],[Input]],Table13[[#This Row],[Direction]],""),VALUE(IF(LEN(_xlpm.steps)&gt;2,RIGHT(_xlpm.steps,2),_xlpm.steps)))</f>
        <v>76</v>
      </c>
      <c r="D2992">
        <f>_xlfn.LET(_xlpm.steps,SUBSTITUTE(Table13[[#This Row],[Input]],Table13[[#This Row],[Direction]],""),VALUE(IF(LEN(_xlpm.steps)&gt;2,LEFT(_xlpm.steps,LEN(_xlpm.steps)-2),0)))</f>
        <v>0</v>
      </c>
      <c r="E2992">
        <f>_xlfn.LET(_xlpm.dir,Table13[[#This Row],[Direction]],
IF(_xlpm.dir="L",
    IF(G2991-Table13[[#This Row],[Steps]]&lt;0,100+(G2991-Table13[[#This Row],[Steps]]),G2991-Table13[[#This Row],[Steps]]),
))</f>
        <v>0</v>
      </c>
      <c r="F2992">
        <f>_xlfn.LET(_xlpm.dir,Table13[[#This Row],[Direction]],
IF(_xlpm.dir="R",
    IF(G2991+Table13[[#This Row],[Steps]]&gt;99,(G2991+Table13[[#This Row],[Steps]])-100,G2991+Table13[[#This Row],[Steps]]),
))</f>
        <v>0</v>
      </c>
      <c r="G2992">
        <f>IF(Table13[[#This Row],[New Pos L]]&lt;&gt;0,Table13[[#This Row],[New Pos L]],Table13[[#This Row],[New Pos R]])</f>
        <v>0</v>
      </c>
      <c r="H2992">
        <f>IF(AND(Table13[[#This Row],[Direction]]="L",Table13[[#This Row],[Steps]]&gt;G2991,G2991&lt;&gt;0),1,0)</f>
        <v>0</v>
      </c>
      <c r="I2992">
        <f>IF(AND(Table13[[#This Row],[Direction]]="R",(G2991+Table13[[#This Row],[Steps]])&gt;100),1,0)</f>
        <v>0</v>
      </c>
      <c r="J2992">
        <f>IF(Table13[[#This Row],[POS]]=0,1,0)</f>
        <v>1</v>
      </c>
      <c r="K2992">
        <f>SUM(Table13[[#This Row],[prefix]],Table13[[#This Row],[Past zero L]],Table13[[#This Row],[Past Zero R]],Table13[[#This Row],[Is Zero]])</f>
        <v>1</v>
      </c>
    </row>
    <row r="2993" spans="1:11" ht="16" x14ac:dyDescent="0.2">
      <c r="A2993" s="1" t="s">
        <v>210</v>
      </c>
      <c r="B2993" t="str">
        <f>LEFT(Table13[[#This Row],[Input]],1)</f>
        <v>R</v>
      </c>
      <c r="C2993">
        <f>_xlfn.LET(_xlpm.steps,SUBSTITUTE(Table13[[#This Row],[Input]],Table13[[#This Row],[Direction]],""),VALUE(IF(LEN(_xlpm.steps)&gt;2,RIGHT(_xlpm.steps,2),_xlpm.steps)))</f>
        <v>89</v>
      </c>
      <c r="D2993">
        <f>_xlfn.LET(_xlpm.steps,SUBSTITUTE(Table13[[#This Row],[Input]],Table13[[#This Row],[Direction]],""),VALUE(IF(LEN(_xlpm.steps)&gt;2,LEFT(_xlpm.steps,LEN(_xlpm.steps)-2),0)))</f>
        <v>0</v>
      </c>
      <c r="E2993">
        <f>_xlfn.LET(_xlpm.dir,Table13[[#This Row],[Direction]],
IF(_xlpm.dir="L",
    IF(G2992-Table13[[#This Row],[Steps]]&lt;0,100+(G2992-Table13[[#This Row],[Steps]]),G2992-Table13[[#This Row],[Steps]]),
))</f>
        <v>0</v>
      </c>
      <c r="F2993">
        <f>_xlfn.LET(_xlpm.dir,Table13[[#This Row],[Direction]],
IF(_xlpm.dir="R",
    IF(G2992+Table13[[#This Row],[Steps]]&gt;99,(G2992+Table13[[#This Row],[Steps]])-100,G2992+Table13[[#This Row],[Steps]]),
))</f>
        <v>89</v>
      </c>
      <c r="G2993">
        <f>IF(Table13[[#This Row],[New Pos L]]&lt;&gt;0,Table13[[#This Row],[New Pos L]],Table13[[#This Row],[New Pos R]])</f>
        <v>89</v>
      </c>
      <c r="H2993">
        <f>IF(AND(Table13[[#This Row],[Direction]]="L",Table13[[#This Row],[Steps]]&gt;G2992,G2992&lt;&gt;0),1,0)</f>
        <v>0</v>
      </c>
      <c r="I2993">
        <f>IF(AND(Table13[[#This Row],[Direction]]="R",(G2992+Table13[[#This Row],[Steps]])&gt;100),1,0)</f>
        <v>0</v>
      </c>
      <c r="J2993">
        <f>IF(Table13[[#This Row],[POS]]=0,1,0)</f>
        <v>0</v>
      </c>
      <c r="K2993">
        <f>SUM(Table13[[#This Row],[prefix]],Table13[[#This Row],[Past zero L]],Table13[[#This Row],[Past Zero R]],Table13[[#This Row],[Is Zero]])</f>
        <v>0</v>
      </c>
    </row>
    <row r="2994" spans="1:11" ht="16" x14ac:dyDescent="0.2">
      <c r="A2994" s="1" t="s">
        <v>33</v>
      </c>
      <c r="B2994" t="str">
        <f>LEFT(Table13[[#This Row],[Input]],1)</f>
        <v>R</v>
      </c>
      <c r="C2994">
        <f>_xlfn.LET(_xlpm.steps,SUBSTITUTE(Table13[[#This Row],[Input]],Table13[[#This Row],[Direction]],""),VALUE(IF(LEN(_xlpm.steps)&gt;2,RIGHT(_xlpm.steps,2),_xlpm.steps)))</f>
        <v>22</v>
      </c>
      <c r="D2994">
        <f>_xlfn.LET(_xlpm.steps,SUBSTITUTE(Table13[[#This Row],[Input]],Table13[[#This Row],[Direction]],""),VALUE(IF(LEN(_xlpm.steps)&gt;2,LEFT(_xlpm.steps,LEN(_xlpm.steps)-2),0)))</f>
        <v>0</v>
      </c>
      <c r="E2994">
        <f>_xlfn.LET(_xlpm.dir,Table13[[#This Row],[Direction]],
IF(_xlpm.dir="L",
    IF(G2993-Table13[[#This Row],[Steps]]&lt;0,100+(G2993-Table13[[#This Row],[Steps]]),G2993-Table13[[#This Row],[Steps]]),
))</f>
        <v>0</v>
      </c>
      <c r="F2994">
        <f>_xlfn.LET(_xlpm.dir,Table13[[#This Row],[Direction]],
IF(_xlpm.dir="R",
    IF(G2993+Table13[[#This Row],[Steps]]&gt;99,(G2993+Table13[[#This Row],[Steps]])-100,G2993+Table13[[#This Row],[Steps]]),
))</f>
        <v>11</v>
      </c>
      <c r="G2994">
        <f>IF(Table13[[#This Row],[New Pos L]]&lt;&gt;0,Table13[[#This Row],[New Pos L]],Table13[[#This Row],[New Pos R]])</f>
        <v>11</v>
      </c>
      <c r="H2994">
        <f>IF(AND(Table13[[#This Row],[Direction]]="L",Table13[[#This Row],[Steps]]&gt;G2993,G2993&lt;&gt;0),1,0)</f>
        <v>0</v>
      </c>
      <c r="I2994">
        <f>IF(AND(Table13[[#This Row],[Direction]]="R",(G2993+Table13[[#This Row],[Steps]])&gt;100),1,0)</f>
        <v>1</v>
      </c>
      <c r="J2994">
        <f>IF(Table13[[#This Row],[POS]]=0,1,0)</f>
        <v>0</v>
      </c>
      <c r="K2994">
        <f>SUM(Table13[[#This Row],[prefix]],Table13[[#This Row],[Past zero L]],Table13[[#This Row],[Past Zero R]],Table13[[#This Row],[Is Zero]])</f>
        <v>1</v>
      </c>
    </row>
    <row r="2995" spans="1:11" ht="16" x14ac:dyDescent="0.2">
      <c r="A2995" s="1" t="s">
        <v>88</v>
      </c>
      <c r="B2995" t="str">
        <f>LEFT(Table13[[#This Row],[Input]],1)</f>
        <v>R</v>
      </c>
      <c r="C2995">
        <f>_xlfn.LET(_xlpm.steps,SUBSTITUTE(Table13[[#This Row],[Input]],Table13[[#This Row],[Direction]],""),VALUE(IF(LEN(_xlpm.steps)&gt;2,RIGHT(_xlpm.steps,2),_xlpm.steps)))</f>
        <v>53</v>
      </c>
      <c r="D2995">
        <f>_xlfn.LET(_xlpm.steps,SUBSTITUTE(Table13[[#This Row],[Input]],Table13[[#This Row],[Direction]],""),VALUE(IF(LEN(_xlpm.steps)&gt;2,LEFT(_xlpm.steps,LEN(_xlpm.steps)-2),0)))</f>
        <v>0</v>
      </c>
      <c r="E2995">
        <f>_xlfn.LET(_xlpm.dir,Table13[[#This Row],[Direction]],
IF(_xlpm.dir="L",
    IF(G2994-Table13[[#This Row],[Steps]]&lt;0,100+(G2994-Table13[[#This Row],[Steps]]),G2994-Table13[[#This Row],[Steps]]),
))</f>
        <v>0</v>
      </c>
      <c r="F2995">
        <f>_xlfn.LET(_xlpm.dir,Table13[[#This Row],[Direction]],
IF(_xlpm.dir="R",
    IF(G2994+Table13[[#This Row],[Steps]]&gt;99,(G2994+Table13[[#This Row],[Steps]])-100,G2994+Table13[[#This Row],[Steps]]),
))</f>
        <v>64</v>
      </c>
      <c r="G2995">
        <f>IF(Table13[[#This Row],[New Pos L]]&lt;&gt;0,Table13[[#This Row],[New Pos L]],Table13[[#This Row],[New Pos R]])</f>
        <v>64</v>
      </c>
      <c r="H2995">
        <f>IF(AND(Table13[[#This Row],[Direction]]="L",Table13[[#This Row],[Steps]]&gt;G2994,G2994&lt;&gt;0),1,0)</f>
        <v>0</v>
      </c>
      <c r="I2995">
        <f>IF(AND(Table13[[#This Row],[Direction]]="R",(G2994+Table13[[#This Row],[Steps]])&gt;100),1,0)</f>
        <v>0</v>
      </c>
      <c r="J2995">
        <f>IF(Table13[[#This Row],[POS]]=0,1,0)</f>
        <v>0</v>
      </c>
      <c r="K2995">
        <f>SUM(Table13[[#This Row],[prefix]],Table13[[#This Row],[Past zero L]],Table13[[#This Row],[Past Zero R]],Table13[[#This Row],[Is Zero]])</f>
        <v>0</v>
      </c>
    </row>
    <row r="2996" spans="1:11" ht="16" x14ac:dyDescent="0.2">
      <c r="A2996" s="1" t="s">
        <v>676</v>
      </c>
      <c r="B2996" t="str">
        <f>LEFT(Table13[[#This Row],[Input]],1)</f>
        <v>L</v>
      </c>
      <c r="C2996">
        <f>_xlfn.LET(_xlpm.steps,SUBSTITUTE(Table13[[#This Row],[Input]],Table13[[#This Row],[Direction]],""),VALUE(IF(LEN(_xlpm.steps)&gt;2,RIGHT(_xlpm.steps,2),_xlpm.steps)))</f>
        <v>64</v>
      </c>
      <c r="D2996">
        <f>_xlfn.LET(_xlpm.steps,SUBSTITUTE(Table13[[#This Row],[Input]],Table13[[#This Row],[Direction]],""),VALUE(IF(LEN(_xlpm.steps)&gt;2,LEFT(_xlpm.steps,LEN(_xlpm.steps)-2),0)))</f>
        <v>2</v>
      </c>
      <c r="E2996">
        <f>_xlfn.LET(_xlpm.dir,Table13[[#This Row],[Direction]],
IF(_xlpm.dir="L",
    IF(G2995-Table13[[#This Row],[Steps]]&lt;0,100+(G2995-Table13[[#This Row],[Steps]]),G2995-Table13[[#This Row],[Steps]]),
))</f>
        <v>0</v>
      </c>
      <c r="F2996">
        <f>_xlfn.LET(_xlpm.dir,Table13[[#This Row],[Direction]],
IF(_xlpm.dir="R",
    IF(G2995+Table13[[#This Row],[Steps]]&gt;99,(G2995+Table13[[#This Row],[Steps]])-100,G2995+Table13[[#This Row],[Steps]]),
))</f>
        <v>0</v>
      </c>
      <c r="G2996">
        <f>IF(Table13[[#This Row],[New Pos L]]&lt;&gt;0,Table13[[#This Row],[New Pos L]],Table13[[#This Row],[New Pos R]])</f>
        <v>0</v>
      </c>
      <c r="H2996">
        <f>IF(AND(Table13[[#This Row],[Direction]]="L",Table13[[#This Row],[Steps]]&gt;G2995,G2995&lt;&gt;0),1,0)</f>
        <v>0</v>
      </c>
      <c r="I2996">
        <f>IF(AND(Table13[[#This Row],[Direction]]="R",(G2995+Table13[[#This Row],[Steps]])&gt;100),1,0)</f>
        <v>0</v>
      </c>
      <c r="J2996">
        <f>IF(Table13[[#This Row],[POS]]=0,1,0)</f>
        <v>1</v>
      </c>
      <c r="K2996">
        <f>SUM(Table13[[#This Row],[prefix]],Table13[[#This Row],[Past zero L]],Table13[[#This Row],[Past Zero R]],Table13[[#This Row],[Is Zero]])</f>
        <v>3</v>
      </c>
    </row>
    <row r="2997" spans="1:11" ht="16" x14ac:dyDescent="0.2">
      <c r="A2997" s="1" t="s">
        <v>677</v>
      </c>
      <c r="B2997" t="str">
        <f>LEFT(Table13[[#This Row],[Input]],1)</f>
        <v>R</v>
      </c>
      <c r="C2997">
        <f>_xlfn.LET(_xlpm.steps,SUBSTITUTE(Table13[[#This Row],[Input]],Table13[[#This Row],[Direction]],""),VALUE(IF(LEN(_xlpm.steps)&gt;2,RIGHT(_xlpm.steps,2),_xlpm.steps)))</f>
        <v>90</v>
      </c>
      <c r="D2997">
        <f>_xlfn.LET(_xlpm.steps,SUBSTITUTE(Table13[[#This Row],[Input]],Table13[[#This Row],[Direction]],""),VALUE(IF(LEN(_xlpm.steps)&gt;2,LEFT(_xlpm.steps,LEN(_xlpm.steps)-2),0)))</f>
        <v>9</v>
      </c>
      <c r="E2997">
        <f>_xlfn.LET(_xlpm.dir,Table13[[#This Row],[Direction]],
IF(_xlpm.dir="L",
    IF(G2996-Table13[[#This Row],[Steps]]&lt;0,100+(G2996-Table13[[#This Row],[Steps]]),G2996-Table13[[#This Row],[Steps]]),
))</f>
        <v>0</v>
      </c>
      <c r="F2997">
        <f>_xlfn.LET(_xlpm.dir,Table13[[#This Row],[Direction]],
IF(_xlpm.dir="R",
    IF(G2996+Table13[[#This Row],[Steps]]&gt;99,(G2996+Table13[[#This Row],[Steps]])-100,G2996+Table13[[#This Row],[Steps]]),
))</f>
        <v>90</v>
      </c>
      <c r="G2997">
        <f>IF(Table13[[#This Row],[New Pos L]]&lt;&gt;0,Table13[[#This Row],[New Pos L]],Table13[[#This Row],[New Pos R]])</f>
        <v>90</v>
      </c>
      <c r="H2997">
        <f>IF(AND(Table13[[#This Row],[Direction]]="L",Table13[[#This Row],[Steps]]&gt;G2996,G2996&lt;&gt;0),1,0)</f>
        <v>0</v>
      </c>
      <c r="I2997">
        <f>IF(AND(Table13[[#This Row],[Direction]]="R",(G2996+Table13[[#This Row],[Steps]])&gt;100),1,0)</f>
        <v>0</v>
      </c>
      <c r="J2997">
        <f>IF(Table13[[#This Row],[POS]]=0,1,0)</f>
        <v>0</v>
      </c>
      <c r="K2997">
        <f>SUM(Table13[[#This Row],[prefix]],Table13[[#This Row],[Past zero L]],Table13[[#This Row],[Past Zero R]],Table13[[#This Row],[Is Zero]])</f>
        <v>9</v>
      </c>
    </row>
    <row r="2998" spans="1:11" ht="16" x14ac:dyDescent="0.2">
      <c r="A2998" s="1" t="s">
        <v>18</v>
      </c>
      <c r="B2998" t="str">
        <f>LEFT(Table13[[#This Row],[Input]],1)</f>
        <v>L</v>
      </c>
      <c r="C2998">
        <f>_xlfn.LET(_xlpm.steps,SUBSTITUTE(Table13[[#This Row],[Input]],Table13[[#This Row],[Direction]],""),VALUE(IF(LEN(_xlpm.steps)&gt;2,RIGHT(_xlpm.steps,2),_xlpm.steps)))</f>
        <v>46</v>
      </c>
      <c r="D2998">
        <f>_xlfn.LET(_xlpm.steps,SUBSTITUTE(Table13[[#This Row],[Input]],Table13[[#This Row],[Direction]],""),VALUE(IF(LEN(_xlpm.steps)&gt;2,LEFT(_xlpm.steps,LEN(_xlpm.steps)-2),0)))</f>
        <v>0</v>
      </c>
      <c r="E2998">
        <f>_xlfn.LET(_xlpm.dir,Table13[[#This Row],[Direction]],
IF(_xlpm.dir="L",
    IF(G2997-Table13[[#This Row],[Steps]]&lt;0,100+(G2997-Table13[[#This Row],[Steps]]),G2997-Table13[[#This Row],[Steps]]),
))</f>
        <v>44</v>
      </c>
      <c r="F2998">
        <f>_xlfn.LET(_xlpm.dir,Table13[[#This Row],[Direction]],
IF(_xlpm.dir="R",
    IF(G2997+Table13[[#This Row],[Steps]]&gt;99,(G2997+Table13[[#This Row],[Steps]])-100,G2997+Table13[[#This Row],[Steps]]),
))</f>
        <v>0</v>
      </c>
      <c r="G2998">
        <f>IF(Table13[[#This Row],[New Pos L]]&lt;&gt;0,Table13[[#This Row],[New Pos L]],Table13[[#This Row],[New Pos R]])</f>
        <v>44</v>
      </c>
      <c r="H2998">
        <f>IF(AND(Table13[[#This Row],[Direction]]="L",Table13[[#This Row],[Steps]]&gt;G2997,G2997&lt;&gt;0),1,0)</f>
        <v>0</v>
      </c>
      <c r="I2998">
        <f>IF(AND(Table13[[#This Row],[Direction]]="R",(G2997+Table13[[#This Row],[Steps]])&gt;100),1,0)</f>
        <v>0</v>
      </c>
      <c r="J2998">
        <f>IF(Table13[[#This Row],[POS]]=0,1,0)</f>
        <v>0</v>
      </c>
      <c r="K2998">
        <f>SUM(Table13[[#This Row],[prefix]],Table13[[#This Row],[Past zero L]],Table13[[#This Row],[Past Zero R]],Table13[[#This Row],[Is Zero]])</f>
        <v>0</v>
      </c>
    </row>
    <row r="2999" spans="1:11" ht="16" x14ac:dyDescent="0.2">
      <c r="A2999" s="1" t="s">
        <v>135</v>
      </c>
      <c r="B2999" t="str">
        <f>LEFT(Table13[[#This Row],[Input]],1)</f>
        <v>R</v>
      </c>
      <c r="C2999">
        <f>_xlfn.LET(_xlpm.steps,SUBSTITUTE(Table13[[#This Row],[Input]],Table13[[#This Row],[Direction]],""),VALUE(IF(LEN(_xlpm.steps)&gt;2,RIGHT(_xlpm.steps,2),_xlpm.steps)))</f>
        <v>69</v>
      </c>
      <c r="D2999">
        <f>_xlfn.LET(_xlpm.steps,SUBSTITUTE(Table13[[#This Row],[Input]],Table13[[#This Row],[Direction]],""),VALUE(IF(LEN(_xlpm.steps)&gt;2,LEFT(_xlpm.steps,LEN(_xlpm.steps)-2),0)))</f>
        <v>0</v>
      </c>
      <c r="E2999">
        <f>_xlfn.LET(_xlpm.dir,Table13[[#This Row],[Direction]],
IF(_xlpm.dir="L",
    IF(G2998-Table13[[#This Row],[Steps]]&lt;0,100+(G2998-Table13[[#This Row],[Steps]]),G2998-Table13[[#This Row],[Steps]]),
))</f>
        <v>0</v>
      </c>
      <c r="F2999">
        <f>_xlfn.LET(_xlpm.dir,Table13[[#This Row],[Direction]],
IF(_xlpm.dir="R",
    IF(G2998+Table13[[#This Row],[Steps]]&gt;99,(G2998+Table13[[#This Row],[Steps]])-100,G2998+Table13[[#This Row],[Steps]]),
))</f>
        <v>13</v>
      </c>
      <c r="G2999">
        <f>IF(Table13[[#This Row],[New Pos L]]&lt;&gt;0,Table13[[#This Row],[New Pos L]],Table13[[#This Row],[New Pos R]])</f>
        <v>13</v>
      </c>
      <c r="H2999">
        <f>IF(AND(Table13[[#This Row],[Direction]]="L",Table13[[#This Row],[Steps]]&gt;G2998,G2998&lt;&gt;0),1,0)</f>
        <v>0</v>
      </c>
      <c r="I2999">
        <f>IF(AND(Table13[[#This Row],[Direction]]="R",(G2998+Table13[[#This Row],[Steps]])&gt;100),1,0)</f>
        <v>1</v>
      </c>
      <c r="J2999">
        <f>IF(Table13[[#This Row],[POS]]=0,1,0)</f>
        <v>0</v>
      </c>
      <c r="K2999">
        <f>SUM(Table13[[#This Row],[prefix]],Table13[[#This Row],[Past zero L]],Table13[[#This Row],[Past Zero R]],Table13[[#This Row],[Is Zero]])</f>
        <v>1</v>
      </c>
    </row>
    <row r="3000" spans="1:11" ht="16" x14ac:dyDescent="0.2">
      <c r="A3000" s="1" t="s">
        <v>213</v>
      </c>
      <c r="B3000" t="str">
        <f>LEFT(Table13[[#This Row],[Input]],1)</f>
        <v>R</v>
      </c>
      <c r="C3000">
        <f>_xlfn.LET(_xlpm.steps,SUBSTITUTE(Table13[[#This Row],[Input]],Table13[[#This Row],[Direction]],""),VALUE(IF(LEN(_xlpm.steps)&gt;2,RIGHT(_xlpm.steps,2),_xlpm.steps)))</f>
        <v>87</v>
      </c>
      <c r="D3000">
        <f>_xlfn.LET(_xlpm.steps,SUBSTITUTE(Table13[[#This Row],[Input]],Table13[[#This Row],[Direction]],""),VALUE(IF(LEN(_xlpm.steps)&gt;2,LEFT(_xlpm.steps,LEN(_xlpm.steps)-2),0)))</f>
        <v>0</v>
      </c>
      <c r="E3000">
        <f>_xlfn.LET(_xlpm.dir,Table13[[#This Row],[Direction]],
IF(_xlpm.dir="L",
    IF(G2999-Table13[[#This Row],[Steps]]&lt;0,100+(G2999-Table13[[#This Row],[Steps]]),G2999-Table13[[#This Row],[Steps]]),
))</f>
        <v>0</v>
      </c>
      <c r="F3000">
        <f>_xlfn.LET(_xlpm.dir,Table13[[#This Row],[Direction]],
IF(_xlpm.dir="R",
    IF(G2999+Table13[[#This Row],[Steps]]&gt;99,(G2999+Table13[[#This Row],[Steps]])-100,G2999+Table13[[#This Row],[Steps]]),
))</f>
        <v>0</v>
      </c>
      <c r="G3000">
        <f>IF(Table13[[#This Row],[New Pos L]]&lt;&gt;0,Table13[[#This Row],[New Pos L]],Table13[[#This Row],[New Pos R]])</f>
        <v>0</v>
      </c>
      <c r="H3000">
        <f>IF(AND(Table13[[#This Row],[Direction]]="L",Table13[[#This Row],[Steps]]&gt;G2999,G2999&lt;&gt;0),1,0)</f>
        <v>0</v>
      </c>
      <c r="I3000">
        <f>IF(AND(Table13[[#This Row],[Direction]]="R",(G2999+Table13[[#This Row],[Steps]])&gt;100),1,0)</f>
        <v>0</v>
      </c>
      <c r="J3000">
        <f>IF(Table13[[#This Row],[POS]]=0,1,0)</f>
        <v>1</v>
      </c>
      <c r="K3000">
        <f>SUM(Table13[[#This Row],[prefix]],Table13[[#This Row],[Past zero L]],Table13[[#This Row],[Past Zero R]],Table13[[#This Row],[Is Zero]])</f>
        <v>1</v>
      </c>
    </row>
    <row r="3001" spans="1:11" ht="16" x14ac:dyDescent="0.2">
      <c r="A3001" s="1" t="s">
        <v>64</v>
      </c>
      <c r="B3001" t="str">
        <f>LEFT(Table13[[#This Row],[Input]],1)</f>
        <v>R</v>
      </c>
      <c r="C3001">
        <f>_xlfn.LET(_xlpm.steps,SUBSTITUTE(Table13[[#This Row],[Input]],Table13[[#This Row],[Direction]],""),VALUE(IF(LEN(_xlpm.steps)&gt;2,RIGHT(_xlpm.steps,2),_xlpm.steps)))</f>
        <v>10</v>
      </c>
      <c r="D3001">
        <f>_xlfn.LET(_xlpm.steps,SUBSTITUTE(Table13[[#This Row],[Input]],Table13[[#This Row],[Direction]],""),VALUE(IF(LEN(_xlpm.steps)&gt;2,LEFT(_xlpm.steps,LEN(_xlpm.steps)-2),0)))</f>
        <v>0</v>
      </c>
      <c r="E3001">
        <f>_xlfn.LET(_xlpm.dir,Table13[[#This Row],[Direction]],
IF(_xlpm.dir="L",
    IF(G3000-Table13[[#This Row],[Steps]]&lt;0,100+(G3000-Table13[[#This Row],[Steps]]),G3000-Table13[[#This Row],[Steps]]),
))</f>
        <v>0</v>
      </c>
      <c r="F3001">
        <f>_xlfn.LET(_xlpm.dir,Table13[[#This Row],[Direction]],
IF(_xlpm.dir="R",
    IF(G3000+Table13[[#This Row],[Steps]]&gt;99,(G3000+Table13[[#This Row],[Steps]])-100,G3000+Table13[[#This Row],[Steps]]),
))</f>
        <v>10</v>
      </c>
      <c r="G3001">
        <f>IF(Table13[[#This Row],[New Pos L]]&lt;&gt;0,Table13[[#This Row],[New Pos L]],Table13[[#This Row],[New Pos R]])</f>
        <v>10</v>
      </c>
      <c r="H3001">
        <f>IF(AND(Table13[[#This Row],[Direction]]="L",Table13[[#This Row],[Steps]]&gt;G3000,G3000&lt;&gt;0),1,0)</f>
        <v>0</v>
      </c>
      <c r="I3001">
        <f>IF(AND(Table13[[#This Row],[Direction]]="R",(G3000+Table13[[#This Row],[Steps]])&gt;100),1,0)</f>
        <v>0</v>
      </c>
      <c r="J3001">
        <f>IF(Table13[[#This Row],[POS]]=0,1,0)</f>
        <v>0</v>
      </c>
      <c r="K3001">
        <f>SUM(Table13[[#This Row],[prefix]],Table13[[#This Row],[Past zero L]],Table13[[#This Row],[Past Zero R]],Table13[[#This Row],[Is Zero]])</f>
        <v>0</v>
      </c>
    </row>
    <row r="3002" spans="1:11" ht="16" x14ac:dyDescent="0.2">
      <c r="A3002" s="1" t="s">
        <v>16</v>
      </c>
      <c r="B3002" t="str">
        <f>LEFT(Table13[[#This Row],[Input]],1)</f>
        <v>L</v>
      </c>
      <c r="C3002">
        <f>_xlfn.LET(_xlpm.steps,SUBSTITUTE(Table13[[#This Row],[Input]],Table13[[#This Row],[Direction]],""),VALUE(IF(LEN(_xlpm.steps)&gt;2,RIGHT(_xlpm.steps,2),_xlpm.steps)))</f>
        <v>10</v>
      </c>
      <c r="D3002">
        <f>_xlfn.LET(_xlpm.steps,SUBSTITUTE(Table13[[#This Row],[Input]],Table13[[#This Row],[Direction]],""),VALUE(IF(LEN(_xlpm.steps)&gt;2,LEFT(_xlpm.steps,LEN(_xlpm.steps)-2),0)))</f>
        <v>0</v>
      </c>
      <c r="E3002">
        <f>_xlfn.LET(_xlpm.dir,Table13[[#This Row],[Direction]],
IF(_xlpm.dir="L",
    IF(G3001-Table13[[#This Row],[Steps]]&lt;0,100+(G3001-Table13[[#This Row],[Steps]]),G3001-Table13[[#This Row],[Steps]]),
))</f>
        <v>0</v>
      </c>
      <c r="F3002">
        <f>_xlfn.LET(_xlpm.dir,Table13[[#This Row],[Direction]],
IF(_xlpm.dir="R",
    IF(G3001+Table13[[#This Row],[Steps]]&gt;99,(G3001+Table13[[#This Row],[Steps]])-100,G3001+Table13[[#This Row],[Steps]]),
))</f>
        <v>0</v>
      </c>
      <c r="G3002">
        <f>IF(Table13[[#This Row],[New Pos L]]&lt;&gt;0,Table13[[#This Row],[New Pos L]],Table13[[#This Row],[New Pos R]])</f>
        <v>0</v>
      </c>
      <c r="H3002">
        <f>IF(AND(Table13[[#This Row],[Direction]]="L",Table13[[#This Row],[Steps]]&gt;G3001,G3001&lt;&gt;0),1,0)</f>
        <v>0</v>
      </c>
      <c r="I3002">
        <f>IF(AND(Table13[[#This Row],[Direction]]="R",(G3001+Table13[[#This Row],[Steps]])&gt;100),1,0)</f>
        <v>0</v>
      </c>
      <c r="J3002">
        <f>IF(Table13[[#This Row],[POS]]=0,1,0)</f>
        <v>1</v>
      </c>
      <c r="K3002">
        <f>SUM(Table13[[#This Row],[prefix]],Table13[[#This Row],[Past zero L]],Table13[[#This Row],[Past Zero R]],Table13[[#This Row],[Is Zero]])</f>
        <v>1</v>
      </c>
    </row>
    <row r="3003" spans="1:11" ht="16" x14ac:dyDescent="0.2">
      <c r="A3003" s="1" t="s">
        <v>252</v>
      </c>
      <c r="B3003" t="str">
        <f>LEFT(Table13[[#This Row],[Input]],1)</f>
        <v>L</v>
      </c>
      <c r="C3003">
        <f>_xlfn.LET(_xlpm.steps,SUBSTITUTE(Table13[[#This Row],[Input]],Table13[[#This Row],[Direction]],""),VALUE(IF(LEN(_xlpm.steps)&gt;2,RIGHT(_xlpm.steps,2),_xlpm.steps)))</f>
        <v>99</v>
      </c>
      <c r="D3003">
        <f>_xlfn.LET(_xlpm.steps,SUBSTITUTE(Table13[[#This Row],[Input]],Table13[[#This Row],[Direction]],""),VALUE(IF(LEN(_xlpm.steps)&gt;2,LEFT(_xlpm.steps,LEN(_xlpm.steps)-2),0)))</f>
        <v>0</v>
      </c>
      <c r="E3003">
        <f>_xlfn.LET(_xlpm.dir,Table13[[#This Row],[Direction]],
IF(_xlpm.dir="L",
    IF(G3002-Table13[[#This Row],[Steps]]&lt;0,100+(G3002-Table13[[#This Row],[Steps]]),G3002-Table13[[#This Row],[Steps]]),
))</f>
        <v>1</v>
      </c>
      <c r="F3003">
        <f>_xlfn.LET(_xlpm.dir,Table13[[#This Row],[Direction]],
IF(_xlpm.dir="R",
    IF(G3002+Table13[[#This Row],[Steps]]&gt;99,(G3002+Table13[[#This Row],[Steps]])-100,G3002+Table13[[#This Row],[Steps]]),
))</f>
        <v>0</v>
      </c>
      <c r="G3003">
        <f>IF(Table13[[#This Row],[New Pos L]]&lt;&gt;0,Table13[[#This Row],[New Pos L]],Table13[[#This Row],[New Pos R]])</f>
        <v>1</v>
      </c>
      <c r="H3003">
        <f>IF(AND(Table13[[#This Row],[Direction]]="L",Table13[[#This Row],[Steps]]&gt;G3002,G3002&lt;&gt;0),1,0)</f>
        <v>0</v>
      </c>
      <c r="I3003">
        <f>IF(AND(Table13[[#This Row],[Direction]]="R",(G3002+Table13[[#This Row],[Steps]])&gt;100),1,0)</f>
        <v>0</v>
      </c>
      <c r="J3003">
        <f>IF(Table13[[#This Row],[POS]]=0,1,0)</f>
        <v>0</v>
      </c>
      <c r="K3003">
        <f>SUM(Table13[[#This Row],[prefix]],Table13[[#This Row],[Past zero L]],Table13[[#This Row],[Past Zero R]],Table13[[#This Row],[Is Zero]])</f>
        <v>0</v>
      </c>
    </row>
    <row r="3004" spans="1:11" ht="16" x14ac:dyDescent="0.2">
      <c r="A3004" s="1" t="s">
        <v>175</v>
      </c>
      <c r="B3004" t="str">
        <f>LEFT(Table13[[#This Row],[Input]],1)</f>
        <v>L</v>
      </c>
      <c r="C3004">
        <f>_xlfn.LET(_xlpm.steps,SUBSTITUTE(Table13[[#This Row],[Input]],Table13[[#This Row],[Direction]],""),VALUE(IF(LEN(_xlpm.steps)&gt;2,RIGHT(_xlpm.steps,2),_xlpm.steps)))</f>
        <v>1</v>
      </c>
      <c r="D3004">
        <f>_xlfn.LET(_xlpm.steps,SUBSTITUTE(Table13[[#This Row],[Input]],Table13[[#This Row],[Direction]],""),VALUE(IF(LEN(_xlpm.steps)&gt;2,LEFT(_xlpm.steps,LEN(_xlpm.steps)-2),0)))</f>
        <v>0</v>
      </c>
      <c r="E3004">
        <f>_xlfn.LET(_xlpm.dir,Table13[[#This Row],[Direction]],
IF(_xlpm.dir="L",
    IF(G3003-Table13[[#This Row],[Steps]]&lt;0,100+(G3003-Table13[[#This Row],[Steps]]),G3003-Table13[[#This Row],[Steps]]),
))</f>
        <v>0</v>
      </c>
      <c r="F3004">
        <f>_xlfn.LET(_xlpm.dir,Table13[[#This Row],[Direction]],
IF(_xlpm.dir="R",
    IF(G3003+Table13[[#This Row],[Steps]]&gt;99,(G3003+Table13[[#This Row],[Steps]])-100,G3003+Table13[[#This Row],[Steps]]),
))</f>
        <v>0</v>
      </c>
      <c r="G3004">
        <f>IF(Table13[[#This Row],[New Pos L]]&lt;&gt;0,Table13[[#This Row],[New Pos L]],Table13[[#This Row],[New Pos R]])</f>
        <v>0</v>
      </c>
      <c r="H3004">
        <f>IF(AND(Table13[[#This Row],[Direction]]="L",Table13[[#This Row],[Steps]]&gt;G3003,G3003&lt;&gt;0),1,0)</f>
        <v>0</v>
      </c>
      <c r="I3004">
        <f>IF(AND(Table13[[#This Row],[Direction]]="R",(G3003+Table13[[#This Row],[Steps]])&gt;100),1,0)</f>
        <v>0</v>
      </c>
      <c r="J3004">
        <f>IF(Table13[[#This Row],[POS]]=0,1,0)</f>
        <v>1</v>
      </c>
      <c r="K3004">
        <f>SUM(Table13[[#This Row],[prefix]],Table13[[#This Row],[Past zero L]],Table13[[#This Row],[Past Zero R]],Table13[[#This Row],[Is Zero]])</f>
        <v>1</v>
      </c>
    </row>
    <row r="3005" spans="1:11" ht="16" x14ac:dyDescent="0.2">
      <c r="A3005" s="1" t="s">
        <v>88</v>
      </c>
      <c r="B3005" t="str">
        <f>LEFT(Table13[[#This Row],[Input]],1)</f>
        <v>R</v>
      </c>
      <c r="C3005">
        <f>_xlfn.LET(_xlpm.steps,SUBSTITUTE(Table13[[#This Row],[Input]],Table13[[#This Row],[Direction]],""),VALUE(IF(LEN(_xlpm.steps)&gt;2,RIGHT(_xlpm.steps,2),_xlpm.steps)))</f>
        <v>53</v>
      </c>
      <c r="D3005">
        <f>_xlfn.LET(_xlpm.steps,SUBSTITUTE(Table13[[#This Row],[Input]],Table13[[#This Row],[Direction]],""),VALUE(IF(LEN(_xlpm.steps)&gt;2,LEFT(_xlpm.steps,LEN(_xlpm.steps)-2),0)))</f>
        <v>0</v>
      </c>
      <c r="E3005">
        <f>_xlfn.LET(_xlpm.dir,Table13[[#This Row],[Direction]],
IF(_xlpm.dir="L",
    IF(G3004-Table13[[#This Row],[Steps]]&lt;0,100+(G3004-Table13[[#This Row],[Steps]]),G3004-Table13[[#This Row],[Steps]]),
))</f>
        <v>0</v>
      </c>
      <c r="F3005">
        <f>_xlfn.LET(_xlpm.dir,Table13[[#This Row],[Direction]],
IF(_xlpm.dir="R",
    IF(G3004+Table13[[#This Row],[Steps]]&gt;99,(G3004+Table13[[#This Row],[Steps]])-100,G3004+Table13[[#This Row],[Steps]]),
))</f>
        <v>53</v>
      </c>
      <c r="G3005">
        <f>IF(Table13[[#This Row],[New Pos L]]&lt;&gt;0,Table13[[#This Row],[New Pos L]],Table13[[#This Row],[New Pos R]])</f>
        <v>53</v>
      </c>
      <c r="H3005">
        <f>IF(AND(Table13[[#This Row],[Direction]]="L",Table13[[#This Row],[Steps]]&gt;G3004,G3004&lt;&gt;0),1,0)</f>
        <v>0</v>
      </c>
      <c r="I3005">
        <f>IF(AND(Table13[[#This Row],[Direction]]="R",(G3004+Table13[[#This Row],[Steps]])&gt;100),1,0)</f>
        <v>0</v>
      </c>
      <c r="J3005">
        <f>IF(Table13[[#This Row],[POS]]=0,1,0)</f>
        <v>0</v>
      </c>
      <c r="K3005">
        <f>SUM(Table13[[#This Row],[prefix]],Table13[[#This Row],[Past zero L]],Table13[[#This Row],[Past Zero R]],Table13[[#This Row],[Is Zero]])</f>
        <v>0</v>
      </c>
    </row>
    <row r="3006" spans="1:11" ht="16" x14ac:dyDescent="0.2">
      <c r="A3006" s="1" t="s">
        <v>678</v>
      </c>
      <c r="B3006" t="str">
        <f>LEFT(Table13[[#This Row],[Input]],1)</f>
        <v>R</v>
      </c>
      <c r="C3006">
        <f>_xlfn.LET(_xlpm.steps,SUBSTITUTE(Table13[[#This Row],[Input]],Table13[[#This Row],[Direction]],""),VALUE(IF(LEN(_xlpm.steps)&gt;2,RIGHT(_xlpm.steps,2),_xlpm.steps)))</f>
        <v>47</v>
      </c>
      <c r="D3006">
        <f>_xlfn.LET(_xlpm.steps,SUBSTITUTE(Table13[[#This Row],[Input]],Table13[[#This Row],[Direction]],""),VALUE(IF(LEN(_xlpm.steps)&gt;2,LEFT(_xlpm.steps,LEN(_xlpm.steps)-2),0)))</f>
        <v>7</v>
      </c>
      <c r="E3006">
        <f>_xlfn.LET(_xlpm.dir,Table13[[#This Row],[Direction]],
IF(_xlpm.dir="L",
    IF(G3005-Table13[[#This Row],[Steps]]&lt;0,100+(G3005-Table13[[#This Row],[Steps]]),G3005-Table13[[#This Row],[Steps]]),
))</f>
        <v>0</v>
      </c>
      <c r="F3006">
        <f>_xlfn.LET(_xlpm.dir,Table13[[#This Row],[Direction]],
IF(_xlpm.dir="R",
    IF(G3005+Table13[[#This Row],[Steps]]&gt;99,(G3005+Table13[[#This Row],[Steps]])-100,G3005+Table13[[#This Row],[Steps]]),
))</f>
        <v>0</v>
      </c>
      <c r="G3006">
        <f>IF(Table13[[#This Row],[New Pos L]]&lt;&gt;0,Table13[[#This Row],[New Pos L]],Table13[[#This Row],[New Pos R]])</f>
        <v>0</v>
      </c>
      <c r="H3006">
        <f>IF(AND(Table13[[#This Row],[Direction]]="L",Table13[[#This Row],[Steps]]&gt;G3005,G3005&lt;&gt;0),1,0)</f>
        <v>0</v>
      </c>
      <c r="I3006">
        <f>IF(AND(Table13[[#This Row],[Direction]]="R",(G3005+Table13[[#This Row],[Steps]])&gt;100),1,0)</f>
        <v>0</v>
      </c>
      <c r="J3006">
        <f>IF(Table13[[#This Row],[POS]]=0,1,0)</f>
        <v>1</v>
      </c>
      <c r="K3006">
        <f>SUM(Table13[[#This Row],[prefix]],Table13[[#This Row],[Past zero L]],Table13[[#This Row],[Past Zero R]],Table13[[#This Row],[Is Zero]])</f>
        <v>8</v>
      </c>
    </row>
    <row r="3007" spans="1:11" ht="16" x14ac:dyDescent="0.2">
      <c r="A3007" s="1" t="s">
        <v>19</v>
      </c>
      <c r="B3007" t="str">
        <f>LEFT(Table13[[#This Row],[Input]],1)</f>
        <v>R</v>
      </c>
      <c r="C3007">
        <f>_xlfn.LET(_xlpm.steps,SUBSTITUTE(Table13[[#This Row],[Input]],Table13[[#This Row],[Direction]],""),VALUE(IF(LEN(_xlpm.steps)&gt;2,RIGHT(_xlpm.steps,2),_xlpm.steps)))</f>
        <v>47</v>
      </c>
      <c r="D3007">
        <f>_xlfn.LET(_xlpm.steps,SUBSTITUTE(Table13[[#This Row],[Input]],Table13[[#This Row],[Direction]],""),VALUE(IF(LEN(_xlpm.steps)&gt;2,LEFT(_xlpm.steps,LEN(_xlpm.steps)-2),0)))</f>
        <v>0</v>
      </c>
      <c r="E3007">
        <f>_xlfn.LET(_xlpm.dir,Table13[[#This Row],[Direction]],
IF(_xlpm.dir="L",
    IF(G3006-Table13[[#This Row],[Steps]]&lt;0,100+(G3006-Table13[[#This Row],[Steps]]),G3006-Table13[[#This Row],[Steps]]),
))</f>
        <v>0</v>
      </c>
      <c r="F3007">
        <f>_xlfn.LET(_xlpm.dir,Table13[[#This Row],[Direction]],
IF(_xlpm.dir="R",
    IF(G3006+Table13[[#This Row],[Steps]]&gt;99,(G3006+Table13[[#This Row],[Steps]])-100,G3006+Table13[[#This Row],[Steps]]),
))</f>
        <v>47</v>
      </c>
      <c r="G3007">
        <f>IF(Table13[[#This Row],[New Pos L]]&lt;&gt;0,Table13[[#This Row],[New Pos L]],Table13[[#This Row],[New Pos R]])</f>
        <v>47</v>
      </c>
      <c r="H3007">
        <f>IF(AND(Table13[[#This Row],[Direction]]="L",Table13[[#This Row],[Steps]]&gt;G3006,G3006&lt;&gt;0),1,0)</f>
        <v>0</v>
      </c>
      <c r="I3007">
        <f>IF(AND(Table13[[#This Row],[Direction]]="R",(G3006+Table13[[#This Row],[Steps]])&gt;100),1,0)</f>
        <v>0</v>
      </c>
      <c r="J3007">
        <f>IF(Table13[[#This Row],[POS]]=0,1,0)</f>
        <v>0</v>
      </c>
      <c r="K3007">
        <f>SUM(Table13[[#This Row],[prefix]],Table13[[#This Row],[Past zero L]],Table13[[#This Row],[Past Zero R]],Table13[[#This Row],[Is Zero]])</f>
        <v>0</v>
      </c>
    </row>
    <row r="3008" spans="1:11" ht="16" x14ac:dyDescent="0.2">
      <c r="A3008" s="1" t="s">
        <v>398</v>
      </c>
      <c r="B3008" t="str">
        <f>LEFT(Table13[[#This Row],[Input]],1)</f>
        <v>R</v>
      </c>
      <c r="C3008">
        <f>_xlfn.LET(_xlpm.steps,SUBSTITUTE(Table13[[#This Row],[Input]],Table13[[#This Row],[Direction]],""),VALUE(IF(LEN(_xlpm.steps)&gt;2,RIGHT(_xlpm.steps,2),_xlpm.steps)))</f>
        <v>27</v>
      </c>
      <c r="D3008">
        <f>_xlfn.LET(_xlpm.steps,SUBSTITUTE(Table13[[#This Row],[Input]],Table13[[#This Row],[Direction]],""),VALUE(IF(LEN(_xlpm.steps)&gt;2,LEFT(_xlpm.steps,LEN(_xlpm.steps)-2),0)))</f>
        <v>3</v>
      </c>
      <c r="E3008">
        <f>_xlfn.LET(_xlpm.dir,Table13[[#This Row],[Direction]],
IF(_xlpm.dir="L",
    IF(G3007-Table13[[#This Row],[Steps]]&lt;0,100+(G3007-Table13[[#This Row],[Steps]]),G3007-Table13[[#This Row],[Steps]]),
))</f>
        <v>0</v>
      </c>
      <c r="F3008">
        <f>_xlfn.LET(_xlpm.dir,Table13[[#This Row],[Direction]],
IF(_xlpm.dir="R",
    IF(G3007+Table13[[#This Row],[Steps]]&gt;99,(G3007+Table13[[#This Row],[Steps]])-100,G3007+Table13[[#This Row],[Steps]]),
))</f>
        <v>74</v>
      </c>
      <c r="G3008">
        <f>IF(Table13[[#This Row],[New Pos L]]&lt;&gt;0,Table13[[#This Row],[New Pos L]],Table13[[#This Row],[New Pos R]])</f>
        <v>74</v>
      </c>
      <c r="H3008">
        <f>IF(AND(Table13[[#This Row],[Direction]]="L",Table13[[#This Row],[Steps]]&gt;G3007,G3007&lt;&gt;0),1,0)</f>
        <v>0</v>
      </c>
      <c r="I3008">
        <f>IF(AND(Table13[[#This Row],[Direction]]="R",(G3007+Table13[[#This Row],[Steps]])&gt;100),1,0)</f>
        <v>0</v>
      </c>
      <c r="J3008">
        <f>IF(Table13[[#This Row],[POS]]=0,1,0)</f>
        <v>0</v>
      </c>
      <c r="K3008">
        <f>SUM(Table13[[#This Row],[prefix]],Table13[[#This Row],[Past zero L]],Table13[[#This Row],[Past Zero R]],Table13[[#This Row],[Is Zero]])</f>
        <v>3</v>
      </c>
    </row>
    <row r="3009" spans="1:11" ht="16" x14ac:dyDescent="0.2">
      <c r="A3009" s="1" t="s">
        <v>525</v>
      </c>
      <c r="B3009" t="str">
        <f>LEFT(Table13[[#This Row],[Input]],1)</f>
        <v>R</v>
      </c>
      <c r="C3009">
        <f>_xlfn.LET(_xlpm.steps,SUBSTITUTE(Table13[[#This Row],[Input]],Table13[[#This Row],[Direction]],""),VALUE(IF(LEN(_xlpm.steps)&gt;2,RIGHT(_xlpm.steps,2),_xlpm.steps)))</f>
        <v>26</v>
      </c>
      <c r="D3009">
        <f>_xlfn.LET(_xlpm.steps,SUBSTITUTE(Table13[[#This Row],[Input]],Table13[[#This Row],[Direction]],""),VALUE(IF(LEN(_xlpm.steps)&gt;2,LEFT(_xlpm.steps,LEN(_xlpm.steps)-2),0)))</f>
        <v>8</v>
      </c>
      <c r="E3009">
        <f>_xlfn.LET(_xlpm.dir,Table13[[#This Row],[Direction]],
IF(_xlpm.dir="L",
    IF(G3008-Table13[[#This Row],[Steps]]&lt;0,100+(G3008-Table13[[#This Row],[Steps]]),G3008-Table13[[#This Row],[Steps]]),
))</f>
        <v>0</v>
      </c>
      <c r="F3009">
        <f>_xlfn.LET(_xlpm.dir,Table13[[#This Row],[Direction]],
IF(_xlpm.dir="R",
    IF(G3008+Table13[[#This Row],[Steps]]&gt;99,(G3008+Table13[[#This Row],[Steps]])-100,G3008+Table13[[#This Row],[Steps]]),
))</f>
        <v>0</v>
      </c>
      <c r="G3009">
        <f>IF(Table13[[#This Row],[New Pos L]]&lt;&gt;0,Table13[[#This Row],[New Pos L]],Table13[[#This Row],[New Pos R]])</f>
        <v>0</v>
      </c>
      <c r="H3009">
        <f>IF(AND(Table13[[#This Row],[Direction]]="L",Table13[[#This Row],[Steps]]&gt;G3008,G3008&lt;&gt;0),1,0)</f>
        <v>0</v>
      </c>
      <c r="I3009">
        <f>IF(AND(Table13[[#This Row],[Direction]]="R",(G3008+Table13[[#This Row],[Steps]])&gt;100),1,0)</f>
        <v>0</v>
      </c>
      <c r="J3009">
        <f>IF(Table13[[#This Row],[POS]]=0,1,0)</f>
        <v>1</v>
      </c>
      <c r="K3009">
        <f>SUM(Table13[[#This Row],[prefix]],Table13[[#This Row],[Past zero L]],Table13[[#This Row],[Past Zero R]],Table13[[#This Row],[Is Zero]])</f>
        <v>9</v>
      </c>
    </row>
    <row r="3010" spans="1:11" ht="16" x14ac:dyDescent="0.2">
      <c r="A3010" s="1" t="s">
        <v>234</v>
      </c>
      <c r="B3010" t="str">
        <f>LEFT(Table13[[#This Row],[Input]],1)</f>
        <v>R</v>
      </c>
      <c r="C3010">
        <f>_xlfn.LET(_xlpm.steps,SUBSTITUTE(Table13[[#This Row],[Input]],Table13[[#This Row],[Direction]],""),VALUE(IF(LEN(_xlpm.steps)&gt;2,RIGHT(_xlpm.steps,2),_xlpm.steps)))</f>
        <v>82</v>
      </c>
      <c r="D3010">
        <f>_xlfn.LET(_xlpm.steps,SUBSTITUTE(Table13[[#This Row],[Input]],Table13[[#This Row],[Direction]],""),VALUE(IF(LEN(_xlpm.steps)&gt;2,LEFT(_xlpm.steps,LEN(_xlpm.steps)-2),0)))</f>
        <v>0</v>
      </c>
      <c r="E3010">
        <f>_xlfn.LET(_xlpm.dir,Table13[[#This Row],[Direction]],
IF(_xlpm.dir="L",
    IF(G3009-Table13[[#This Row],[Steps]]&lt;0,100+(G3009-Table13[[#This Row],[Steps]]),G3009-Table13[[#This Row],[Steps]]),
))</f>
        <v>0</v>
      </c>
      <c r="F3010">
        <f>_xlfn.LET(_xlpm.dir,Table13[[#This Row],[Direction]],
IF(_xlpm.dir="R",
    IF(G3009+Table13[[#This Row],[Steps]]&gt;99,(G3009+Table13[[#This Row],[Steps]])-100,G3009+Table13[[#This Row],[Steps]]),
))</f>
        <v>82</v>
      </c>
      <c r="G3010">
        <f>IF(Table13[[#This Row],[New Pos L]]&lt;&gt;0,Table13[[#This Row],[New Pos L]],Table13[[#This Row],[New Pos R]])</f>
        <v>82</v>
      </c>
      <c r="H3010">
        <f>IF(AND(Table13[[#This Row],[Direction]]="L",Table13[[#This Row],[Steps]]&gt;G3009,G3009&lt;&gt;0),1,0)</f>
        <v>0</v>
      </c>
      <c r="I3010">
        <f>IF(AND(Table13[[#This Row],[Direction]]="R",(G3009+Table13[[#This Row],[Steps]])&gt;100),1,0)</f>
        <v>0</v>
      </c>
      <c r="J3010">
        <f>IF(Table13[[#This Row],[POS]]=0,1,0)</f>
        <v>0</v>
      </c>
      <c r="K3010">
        <f>SUM(Table13[[#This Row],[prefix]],Table13[[#This Row],[Past zero L]],Table13[[#This Row],[Past Zero R]],Table13[[#This Row],[Is Zero]])</f>
        <v>0</v>
      </c>
    </row>
    <row r="3011" spans="1:11" ht="16" x14ac:dyDescent="0.2">
      <c r="A3011" s="1" t="s">
        <v>30</v>
      </c>
      <c r="B3011" t="str">
        <f>LEFT(Table13[[#This Row],[Input]],1)</f>
        <v>R</v>
      </c>
      <c r="C3011">
        <f>_xlfn.LET(_xlpm.steps,SUBSTITUTE(Table13[[#This Row],[Input]],Table13[[#This Row],[Direction]],""),VALUE(IF(LEN(_xlpm.steps)&gt;2,RIGHT(_xlpm.steps,2),_xlpm.steps)))</f>
        <v>48</v>
      </c>
      <c r="D3011">
        <f>_xlfn.LET(_xlpm.steps,SUBSTITUTE(Table13[[#This Row],[Input]],Table13[[#This Row],[Direction]],""),VALUE(IF(LEN(_xlpm.steps)&gt;2,LEFT(_xlpm.steps,LEN(_xlpm.steps)-2),0)))</f>
        <v>0</v>
      </c>
      <c r="E3011">
        <f>_xlfn.LET(_xlpm.dir,Table13[[#This Row],[Direction]],
IF(_xlpm.dir="L",
    IF(G3010-Table13[[#This Row],[Steps]]&lt;0,100+(G3010-Table13[[#This Row],[Steps]]),G3010-Table13[[#This Row],[Steps]]),
))</f>
        <v>0</v>
      </c>
      <c r="F3011">
        <f>_xlfn.LET(_xlpm.dir,Table13[[#This Row],[Direction]],
IF(_xlpm.dir="R",
    IF(G3010+Table13[[#This Row],[Steps]]&gt;99,(G3010+Table13[[#This Row],[Steps]])-100,G3010+Table13[[#This Row],[Steps]]),
))</f>
        <v>30</v>
      </c>
      <c r="G3011">
        <f>IF(Table13[[#This Row],[New Pos L]]&lt;&gt;0,Table13[[#This Row],[New Pos L]],Table13[[#This Row],[New Pos R]])</f>
        <v>30</v>
      </c>
      <c r="H3011">
        <f>IF(AND(Table13[[#This Row],[Direction]]="L",Table13[[#This Row],[Steps]]&gt;G3010,G3010&lt;&gt;0),1,0)</f>
        <v>0</v>
      </c>
      <c r="I3011">
        <f>IF(AND(Table13[[#This Row],[Direction]]="R",(G3010+Table13[[#This Row],[Steps]])&gt;100),1,0)</f>
        <v>1</v>
      </c>
      <c r="J3011">
        <f>IF(Table13[[#This Row],[POS]]=0,1,0)</f>
        <v>0</v>
      </c>
      <c r="K3011">
        <f>SUM(Table13[[#This Row],[prefix]],Table13[[#This Row],[Past zero L]],Table13[[#This Row],[Past Zero R]],Table13[[#This Row],[Is Zero]])</f>
        <v>1</v>
      </c>
    </row>
    <row r="3012" spans="1:11" ht="16" x14ac:dyDescent="0.2">
      <c r="A3012" s="1" t="s">
        <v>114</v>
      </c>
      <c r="B3012" t="str">
        <f>LEFT(Table13[[#This Row],[Input]],1)</f>
        <v>R</v>
      </c>
      <c r="C3012">
        <f>_xlfn.LET(_xlpm.steps,SUBSTITUTE(Table13[[#This Row],[Input]],Table13[[#This Row],[Direction]],""),VALUE(IF(LEN(_xlpm.steps)&gt;2,RIGHT(_xlpm.steps,2),_xlpm.steps)))</f>
        <v>70</v>
      </c>
      <c r="D3012">
        <f>_xlfn.LET(_xlpm.steps,SUBSTITUTE(Table13[[#This Row],[Input]],Table13[[#This Row],[Direction]],""),VALUE(IF(LEN(_xlpm.steps)&gt;2,LEFT(_xlpm.steps,LEN(_xlpm.steps)-2),0)))</f>
        <v>0</v>
      </c>
      <c r="E3012">
        <f>_xlfn.LET(_xlpm.dir,Table13[[#This Row],[Direction]],
IF(_xlpm.dir="L",
    IF(G3011-Table13[[#This Row],[Steps]]&lt;0,100+(G3011-Table13[[#This Row],[Steps]]),G3011-Table13[[#This Row],[Steps]]),
))</f>
        <v>0</v>
      </c>
      <c r="F3012">
        <f>_xlfn.LET(_xlpm.dir,Table13[[#This Row],[Direction]],
IF(_xlpm.dir="R",
    IF(G3011+Table13[[#This Row],[Steps]]&gt;99,(G3011+Table13[[#This Row],[Steps]])-100,G3011+Table13[[#This Row],[Steps]]),
))</f>
        <v>0</v>
      </c>
      <c r="G3012">
        <f>IF(Table13[[#This Row],[New Pos L]]&lt;&gt;0,Table13[[#This Row],[New Pos L]],Table13[[#This Row],[New Pos R]])</f>
        <v>0</v>
      </c>
      <c r="H3012">
        <f>IF(AND(Table13[[#This Row],[Direction]]="L",Table13[[#This Row],[Steps]]&gt;G3011,G3011&lt;&gt;0),1,0)</f>
        <v>0</v>
      </c>
      <c r="I3012">
        <f>IF(AND(Table13[[#This Row],[Direction]]="R",(G3011+Table13[[#This Row],[Steps]])&gt;100),1,0)</f>
        <v>0</v>
      </c>
      <c r="J3012">
        <f>IF(Table13[[#This Row],[POS]]=0,1,0)</f>
        <v>1</v>
      </c>
      <c r="K3012">
        <f>SUM(Table13[[#This Row],[prefix]],Table13[[#This Row],[Past zero L]],Table13[[#This Row],[Past Zero R]],Table13[[#This Row],[Is Zero]])</f>
        <v>1</v>
      </c>
    </row>
    <row r="3013" spans="1:11" ht="16" x14ac:dyDescent="0.2">
      <c r="A3013" s="1" t="s">
        <v>167</v>
      </c>
      <c r="B3013" t="str">
        <f>LEFT(Table13[[#This Row],[Input]],1)</f>
        <v>L</v>
      </c>
      <c r="C3013">
        <f>_xlfn.LET(_xlpm.steps,SUBSTITUTE(Table13[[#This Row],[Input]],Table13[[#This Row],[Direction]],""),VALUE(IF(LEN(_xlpm.steps)&gt;2,RIGHT(_xlpm.steps,2),_xlpm.steps)))</f>
        <v>59</v>
      </c>
      <c r="D3013">
        <f>_xlfn.LET(_xlpm.steps,SUBSTITUTE(Table13[[#This Row],[Input]],Table13[[#This Row],[Direction]],""),VALUE(IF(LEN(_xlpm.steps)&gt;2,LEFT(_xlpm.steps,LEN(_xlpm.steps)-2),0)))</f>
        <v>0</v>
      </c>
      <c r="E3013">
        <f>_xlfn.LET(_xlpm.dir,Table13[[#This Row],[Direction]],
IF(_xlpm.dir="L",
    IF(G3012-Table13[[#This Row],[Steps]]&lt;0,100+(G3012-Table13[[#This Row],[Steps]]),G3012-Table13[[#This Row],[Steps]]),
))</f>
        <v>41</v>
      </c>
      <c r="F3013">
        <f>_xlfn.LET(_xlpm.dir,Table13[[#This Row],[Direction]],
IF(_xlpm.dir="R",
    IF(G3012+Table13[[#This Row],[Steps]]&gt;99,(G3012+Table13[[#This Row],[Steps]])-100,G3012+Table13[[#This Row],[Steps]]),
))</f>
        <v>0</v>
      </c>
      <c r="G3013">
        <f>IF(Table13[[#This Row],[New Pos L]]&lt;&gt;0,Table13[[#This Row],[New Pos L]],Table13[[#This Row],[New Pos R]])</f>
        <v>41</v>
      </c>
      <c r="H3013">
        <f>IF(AND(Table13[[#This Row],[Direction]]="L",Table13[[#This Row],[Steps]]&gt;G3012,G3012&lt;&gt;0),1,0)</f>
        <v>0</v>
      </c>
      <c r="I3013">
        <f>IF(AND(Table13[[#This Row],[Direction]]="R",(G3012+Table13[[#This Row],[Steps]])&gt;100),1,0)</f>
        <v>0</v>
      </c>
      <c r="J3013">
        <f>IF(Table13[[#This Row],[POS]]=0,1,0)</f>
        <v>0</v>
      </c>
      <c r="K3013">
        <f>SUM(Table13[[#This Row],[prefix]],Table13[[#This Row],[Past zero L]],Table13[[#This Row],[Past Zero R]],Table13[[#This Row],[Is Zero]])</f>
        <v>0</v>
      </c>
    </row>
    <row r="3014" spans="1:11" ht="16" x14ac:dyDescent="0.2">
      <c r="A3014" s="1" t="s">
        <v>234</v>
      </c>
      <c r="B3014" t="str">
        <f>LEFT(Table13[[#This Row],[Input]],1)</f>
        <v>R</v>
      </c>
      <c r="C3014">
        <f>_xlfn.LET(_xlpm.steps,SUBSTITUTE(Table13[[#This Row],[Input]],Table13[[#This Row],[Direction]],""),VALUE(IF(LEN(_xlpm.steps)&gt;2,RIGHT(_xlpm.steps,2),_xlpm.steps)))</f>
        <v>82</v>
      </c>
      <c r="D3014">
        <f>_xlfn.LET(_xlpm.steps,SUBSTITUTE(Table13[[#This Row],[Input]],Table13[[#This Row],[Direction]],""),VALUE(IF(LEN(_xlpm.steps)&gt;2,LEFT(_xlpm.steps,LEN(_xlpm.steps)-2),0)))</f>
        <v>0</v>
      </c>
      <c r="E3014">
        <f>_xlfn.LET(_xlpm.dir,Table13[[#This Row],[Direction]],
IF(_xlpm.dir="L",
    IF(G3013-Table13[[#This Row],[Steps]]&lt;0,100+(G3013-Table13[[#This Row],[Steps]]),G3013-Table13[[#This Row],[Steps]]),
))</f>
        <v>0</v>
      </c>
      <c r="F3014">
        <f>_xlfn.LET(_xlpm.dir,Table13[[#This Row],[Direction]],
IF(_xlpm.dir="R",
    IF(G3013+Table13[[#This Row],[Steps]]&gt;99,(G3013+Table13[[#This Row],[Steps]])-100,G3013+Table13[[#This Row],[Steps]]),
))</f>
        <v>23</v>
      </c>
      <c r="G3014">
        <f>IF(Table13[[#This Row],[New Pos L]]&lt;&gt;0,Table13[[#This Row],[New Pos L]],Table13[[#This Row],[New Pos R]])</f>
        <v>23</v>
      </c>
      <c r="H3014">
        <f>IF(AND(Table13[[#This Row],[Direction]]="L",Table13[[#This Row],[Steps]]&gt;G3013,G3013&lt;&gt;0),1,0)</f>
        <v>0</v>
      </c>
      <c r="I3014">
        <f>IF(AND(Table13[[#This Row],[Direction]]="R",(G3013+Table13[[#This Row],[Steps]])&gt;100),1,0)</f>
        <v>1</v>
      </c>
      <c r="J3014">
        <f>IF(Table13[[#This Row],[POS]]=0,1,0)</f>
        <v>0</v>
      </c>
      <c r="K3014">
        <f>SUM(Table13[[#This Row],[prefix]],Table13[[#This Row],[Past zero L]],Table13[[#This Row],[Past Zero R]],Table13[[#This Row],[Is Zero]])</f>
        <v>1</v>
      </c>
    </row>
    <row r="3015" spans="1:11" ht="16" x14ac:dyDescent="0.2">
      <c r="A3015" s="1" t="s">
        <v>138</v>
      </c>
      <c r="B3015" t="str">
        <f>LEFT(Table13[[#This Row],[Input]],1)</f>
        <v>L</v>
      </c>
      <c r="C3015">
        <f>_xlfn.LET(_xlpm.steps,SUBSTITUTE(Table13[[#This Row],[Input]],Table13[[#This Row],[Direction]],""),VALUE(IF(LEN(_xlpm.steps)&gt;2,RIGHT(_xlpm.steps,2),_xlpm.steps)))</f>
        <v>94</v>
      </c>
      <c r="D3015">
        <f>_xlfn.LET(_xlpm.steps,SUBSTITUTE(Table13[[#This Row],[Input]],Table13[[#This Row],[Direction]],""),VALUE(IF(LEN(_xlpm.steps)&gt;2,LEFT(_xlpm.steps,LEN(_xlpm.steps)-2),0)))</f>
        <v>0</v>
      </c>
      <c r="E3015">
        <f>_xlfn.LET(_xlpm.dir,Table13[[#This Row],[Direction]],
IF(_xlpm.dir="L",
    IF(G3014-Table13[[#This Row],[Steps]]&lt;0,100+(G3014-Table13[[#This Row],[Steps]]),G3014-Table13[[#This Row],[Steps]]),
))</f>
        <v>29</v>
      </c>
      <c r="F3015">
        <f>_xlfn.LET(_xlpm.dir,Table13[[#This Row],[Direction]],
IF(_xlpm.dir="R",
    IF(G3014+Table13[[#This Row],[Steps]]&gt;99,(G3014+Table13[[#This Row],[Steps]])-100,G3014+Table13[[#This Row],[Steps]]),
))</f>
        <v>0</v>
      </c>
      <c r="G3015">
        <f>IF(Table13[[#This Row],[New Pos L]]&lt;&gt;0,Table13[[#This Row],[New Pos L]],Table13[[#This Row],[New Pos R]])</f>
        <v>29</v>
      </c>
      <c r="H3015">
        <f>IF(AND(Table13[[#This Row],[Direction]]="L",Table13[[#This Row],[Steps]]&gt;G3014,G3014&lt;&gt;0),1,0)</f>
        <v>1</v>
      </c>
      <c r="I3015">
        <f>IF(AND(Table13[[#This Row],[Direction]]="R",(G3014+Table13[[#This Row],[Steps]])&gt;100),1,0)</f>
        <v>0</v>
      </c>
      <c r="J3015">
        <f>IF(Table13[[#This Row],[POS]]=0,1,0)</f>
        <v>0</v>
      </c>
      <c r="K3015">
        <f>SUM(Table13[[#This Row],[prefix]],Table13[[#This Row],[Past zero L]],Table13[[#This Row],[Past Zero R]],Table13[[#This Row],[Is Zero]])</f>
        <v>1</v>
      </c>
    </row>
    <row r="3016" spans="1:11" ht="16" x14ac:dyDescent="0.2">
      <c r="A3016" s="1" t="s">
        <v>679</v>
      </c>
      <c r="B3016" t="str">
        <f>LEFT(Table13[[#This Row],[Input]],1)</f>
        <v>R</v>
      </c>
      <c r="C3016">
        <f>_xlfn.LET(_xlpm.steps,SUBSTITUTE(Table13[[#This Row],[Input]],Table13[[#This Row],[Direction]],""),VALUE(IF(LEN(_xlpm.steps)&gt;2,RIGHT(_xlpm.steps,2),_xlpm.steps)))</f>
        <v>71</v>
      </c>
      <c r="D3016">
        <f>_xlfn.LET(_xlpm.steps,SUBSTITUTE(Table13[[#This Row],[Input]],Table13[[#This Row],[Direction]],""),VALUE(IF(LEN(_xlpm.steps)&gt;2,LEFT(_xlpm.steps,LEN(_xlpm.steps)-2),0)))</f>
        <v>9</v>
      </c>
      <c r="E3016">
        <f>_xlfn.LET(_xlpm.dir,Table13[[#This Row],[Direction]],
IF(_xlpm.dir="L",
    IF(G3015-Table13[[#This Row],[Steps]]&lt;0,100+(G3015-Table13[[#This Row],[Steps]]),G3015-Table13[[#This Row],[Steps]]),
))</f>
        <v>0</v>
      </c>
      <c r="F3016">
        <f>_xlfn.LET(_xlpm.dir,Table13[[#This Row],[Direction]],
IF(_xlpm.dir="R",
    IF(G3015+Table13[[#This Row],[Steps]]&gt;99,(G3015+Table13[[#This Row],[Steps]])-100,G3015+Table13[[#This Row],[Steps]]),
))</f>
        <v>0</v>
      </c>
      <c r="G3016">
        <f>IF(Table13[[#This Row],[New Pos L]]&lt;&gt;0,Table13[[#This Row],[New Pos L]],Table13[[#This Row],[New Pos R]])</f>
        <v>0</v>
      </c>
      <c r="H3016">
        <f>IF(AND(Table13[[#This Row],[Direction]]="L",Table13[[#This Row],[Steps]]&gt;G3015,G3015&lt;&gt;0),1,0)</f>
        <v>0</v>
      </c>
      <c r="I3016">
        <f>IF(AND(Table13[[#This Row],[Direction]]="R",(G3015+Table13[[#This Row],[Steps]])&gt;100),1,0)</f>
        <v>0</v>
      </c>
      <c r="J3016">
        <f>IF(Table13[[#This Row],[POS]]=0,1,0)</f>
        <v>1</v>
      </c>
      <c r="K3016">
        <f>SUM(Table13[[#This Row],[prefix]],Table13[[#This Row],[Past zero L]],Table13[[#This Row],[Past Zero R]],Table13[[#This Row],[Is Zero]])</f>
        <v>10</v>
      </c>
    </row>
    <row r="3017" spans="1:11" ht="16" x14ac:dyDescent="0.2">
      <c r="A3017" s="1" t="s">
        <v>216</v>
      </c>
      <c r="B3017" t="str">
        <f>LEFT(Table13[[#This Row],[Input]],1)</f>
        <v>R</v>
      </c>
      <c r="C3017">
        <f>_xlfn.LET(_xlpm.steps,SUBSTITUTE(Table13[[#This Row],[Input]],Table13[[#This Row],[Direction]],""),VALUE(IF(LEN(_xlpm.steps)&gt;2,RIGHT(_xlpm.steps,2),_xlpm.steps)))</f>
        <v>54</v>
      </c>
      <c r="D3017">
        <f>_xlfn.LET(_xlpm.steps,SUBSTITUTE(Table13[[#This Row],[Input]],Table13[[#This Row],[Direction]],""),VALUE(IF(LEN(_xlpm.steps)&gt;2,LEFT(_xlpm.steps,LEN(_xlpm.steps)-2),0)))</f>
        <v>0</v>
      </c>
      <c r="E3017">
        <f>_xlfn.LET(_xlpm.dir,Table13[[#This Row],[Direction]],
IF(_xlpm.dir="L",
    IF(G3016-Table13[[#This Row],[Steps]]&lt;0,100+(G3016-Table13[[#This Row],[Steps]]),G3016-Table13[[#This Row],[Steps]]),
))</f>
        <v>0</v>
      </c>
      <c r="F3017">
        <f>_xlfn.LET(_xlpm.dir,Table13[[#This Row],[Direction]],
IF(_xlpm.dir="R",
    IF(G3016+Table13[[#This Row],[Steps]]&gt;99,(G3016+Table13[[#This Row],[Steps]])-100,G3016+Table13[[#This Row],[Steps]]),
))</f>
        <v>54</v>
      </c>
      <c r="G3017">
        <f>IF(Table13[[#This Row],[New Pos L]]&lt;&gt;0,Table13[[#This Row],[New Pos L]],Table13[[#This Row],[New Pos R]])</f>
        <v>54</v>
      </c>
      <c r="H3017">
        <f>IF(AND(Table13[[#This Row],[Direction]]="L",Table13[[#This Row],[Steps]]&gt;G3016,G3016&lt;&gt;0),1,0)</f>
        <v>0</v>
      </c>
      <c r="I3017">
        <f>IF(AND(Table13[[#This Row],[Direction]]="R",(G3016+Table13[[#This Row],[Steps]])&gt;100),1,0)</f>
        <v>0</v>
      </c>
      <c r="J3017">
        <f>IF(Table13[[#This Row],[POS]]=0,1,0)</f>
        <v>0</v>
      </c>
      <c r="K3017">
        <f>SUM(Table13[[#This Row],[prefix]],Table13[[#This Row],[Past zero L]],Table13[[#This Row],[Past Zero R]],Table13[[#This Row],[Is Zero]])</f>
        <v>0</v>
      </c>
    </row>
    <row r="3018" spans="1:11" ht="16" x14ac:dyDescent="0.2">
      <c r="A3018" s="1" t="s">
        <v>20</v>
      </c>
      <c r="B3018" t="str">
        <f>LEFT(Table13[[#This Row],[Input]],1)</f>
        <v>R</v>
      </c>
      <c r="C3018">
        <f>_xlfn.LET(_xlpm.steps,SUBSTITUTE(Table13[[#This Row],[Input]],Table13[[#This Row],[Direction]],""),VALUE(IF(LEN(_xlpm.steps)&gt;2,RIGHT(_xlpm.steps,2),_xlpm.steps)))</f>
        <v>46</v>
      </c>
      <c r="D3018">
        <f>_xlfn.LET(_xlpm.steps,SUBSTITUTE(Table13[[#This Row],[Input]],Table13[[#This Row],[Direction]],""),VALUE(IF(LEN(_xlpm.steps)&gt;2,LEFT(_xlpm.steps,LEN(_xlpm.steps)-2),0)))</f>
        <v>0</v>
      </c>
      <c r="E3018">
        <f>_xlfn.LET(_xlpm.dir,Table13[[#This Row],[Direction]],
IF(_xlpm.dir="L",
    IF(G3017-Table13[[#This Row],[Steps]]&lt;0,100+(G3017-Table13[[#This Row],[Steps]]),G3017-Table13[[#This Row],[Steps]]),
))</f>
        <v>0</v>
      </c>
      <c r="F3018">
        <f>_xlfn.LET(_xlpm.dir,Table13[[#This Row],[Direction]],
IF(_xlpm.dir="R",
    IF(G3017+Table13[[#This Row],[Steps]]&gt;99,(G3017+Table13[[#This Row],[Steps]])-100,G3017+Table13[[#This Row],[Steps]]),
))</f>
        <v>0</v>
      </c>
      <c r="G3018">
        <f>IF(Table13[[#This Row],[New Pos L]]&lt;&gt;0,Table13[[#This Row],[New Pos L]],Table13[[#This Row],[New Pos R]])</f>
        <v>0</v>
      </c>
      <c r="H3018">
        <f>IF(AND(Table13[[#This Row],[Direction]]="L",Table13[[#This Row],[Steps]]&gt;G3017,G3017&lt;&gt;0),1,0)</f>
        <v>0</v>
      </c>
      <c r="I3018">
        <f>IF(AND(Table13[[#This Row],[Direction]]="R",(G3017+Table13[[#This Row],[Steps]])&gt;100),1,0)</f>
        <v>0</v>
      </c>
      <c r="J3018">
        <f>IF(Table13[[#This Row],[POS]]=0,1,0)</f>
        <v>1</v>
      </c>
      <c r="K3018">
        <f>SUM(Table13[[#This Row],[prefix]],Table13[[#This Row],[Past zero L]],Table13[[#This Row],[Past Zero R]],Table13[[#This Row],[Is Zero]])</f>
        <v>1</v>
      </c>
    </row>
    <row r="3019" spans="1:11" ht="16" x14ac:dyDescent="0.2">
      <c r="A3019" s="1" t="s">
        <v>15</v>
      </c>
      <c r="B3019" t="str">
        <f>LEFT(Table13[[#This Row],[Input]],1)</f>
        <v>R</v>
      </c>
      <c r="C3019">
        <f>_xlfn.LET(_xlpm.steps,SUBSTITUTE(Table13[[#This Row],[Input]],Table13[[#This Row],[Direction]],""),VALUE(IF(LEN(_xlpm.steps)&gt;2,RIGHT(_xlpm.steps,2),_xlpm.steps)))</f>
        <v>36</v>
      </c>
      <c r="D3019">
        <f>_xlfn.LET(_xlpm.steps,SUBSTITUTE(Table13[[#This Row],[Input]],Table13[[#This Row],[Direction]],""),VALUE(IF(LEN(_xlpm.steps)&gt;2,LEFT(_xlpm.steps,LEN(_xlpm.steps)-2),0)))</f>
        <v>0</v>
      </c>
      <c r="E3019">
        <f>_xlfn.LET(_xlpm.dir,Table13[[#This Row],[Direction]],
IF(_xlpm.dir="L",
    IF(G3018-Table13[[#This Row],[Steps]]&lt;0,100+(G3018-Table13[[#This Row],[Steps]]),G3018-Table13[[#This Row],[Steps]]),
))</f>
        <v>0</v>
      </c>
      <c r="F3019">
        <f>_xlfn.LET(_xlpm.dir,Table13[[#This Row],[Direction]],
IF(_xlpm.dir="R",
    IF(G3018+Table13[[#This Row],[Steps]]&gt;99,(G3018+Table13[[#This Row],[Steps]])-100,G3018+Table13[[#This Row],[Steps]]),
))</f>
        <v>36</v>
      </c>
      <c r="G3019">
        <f>IF(Table13[[#This Row],[New Pos L]]&lt;&gt;0,Table13[[#This Row],[New Pos L]],Table13[[#This Row],[New Pos R]])</f>
        <v>36</v>
      </c>
      <c r="H3019">
        <f>IF(AND(Table13[[#This Row],[Direction]]="L",Table13[[#This Row],[Steps]]&gt;G3018,G3018&lt;&gt;0),1,0)</f>
        <v>0</v>
      </c>
      <c r="I3019">
        <f>IF(AND(Table13[[#This Row],[Direction]]="R",(G3018+Table13[[#This Row],[Steps]])&gt;100),1,0)</f>
        <v>0</v>
      </c>
      <c r="J3019">
        <f>IF(Table13[[#This Row],[POS]]=0,1,0)</f>
        <v>0</v>
      </c>
      <c r="K3019">
        <f>SUM(Table13[[#This Row],[prefix]],Table13[[#This Row],[Past zero L]],Table13[[#This Row],[Past Zero R]],Table13[[#This Row],[Is Zero]])</f>
        <v>0</v>
      </c>
    </row>
    <row r="3020" spans="1:11" ht="16" x14ac:dyDescent="0.2">
      <c r="A3020" s="1" t="s">
        <v>680</v>
      </c>
      <c r="B3020" t="str">
        <f>LEFT(Table13[[#This Row],[Input]],1)</f>
        <v>R</v>
      </c>
      <c r="C3020">
        <f>_xlfn.LET(_xlpm.steps,SUBSTITUTE(Table13[[#This Row],[Input]],Table13[[#This Row],[Direction]],""),VALUE(IF(LEN(_xlpm.steps)&gt;2,RIGHT(_xlpm.steps,2),_xlpm.steps)))</f>
        <v>64</v>
      </c>
      <c r="D3020">
        <f>_xlfn.LET(_xlpm.steps,SUBSTITUTE(Table13[[#This Row],[Input]],Table13[[#This Row],[Direction]],""),VALUE(IF(LEN(_xlpm.steps)&gt;2,LEFT(_xlpm.steps,LEN(_xlpm.steps)-2),0)))</f>
        <v>9</v>
      </c>
      <c r="E3020">
        <f>_xlfn.LET(_xlpm.dir,Table13[[#This Row],[Direction]],
IF(_xlpm.dir="L",
    IF(G3019-Table13[[#This Row],[Steps]]&lt;0,100+(G3019-Table13[[#This Row],[Steps]]),G3019-Table13[[#This Row],[Steps]]),
))</f>
        <v>0</v>
      </c>
      <c r="F3020">
        <f>_xlfn.LET(_xlpm.dir,Table13[[#This Row],[Direction]],
IF(_xlpm.dir="R",
    IF(G3019+Table13[[#This Row],[Steps]]&gt;99,(G3019+Table13[[#This Row],[Steps]])-100,G3019+Table13[[#This Row],[Steps]]),
))</f>
        <v>0</v>
      </c>
      <c r="G3020">
        <f>IF(Table13[[#This Row],[New Pos L]]&lt;&gt;0,Table13[[#This Row],[New Pos L]],Table13[[#This Row],[New Pos R]])</f>
        <v>0</v>
      </c>
      <c r="H3020">
        <f>IF(AND(Table13[[#This Row],[Direction]]="L",Table13[[#This Row],[Steps]]&gt;G3019,G3019&lt;&gt;0),1,0)</f>
        <v>0</v>
      </c>
      <c r="I3020">
        <f>IF(AND(Table13[[#This Row],[Direction]]="R",(G3019+Table13[[#This Row],[Steps]])&gt;100),1,0)</f>
        <v>0</v>
      </c>
      <c r="J3020">
        <f>IF(Table13[[#This Row],[POS]]=0,1,0)</f>
        <v>1</v>
      </c>
      <c r="K3020">
        <f>SUM(Table13[[#This Row],[prefix]],Table13[[#This Row],[Past zero L]],Table13[[#This Row],[Past Zero R]],Table13[[#This Row],[Is Zero]])</f>
        <v>10</v>
      </c>
    </row>
    <row r="3021" spans="1:11" ht="16" x14ac:dyDescent="0.2">
      <c r="A3021" s="1" t="s">
        <v>681</v>
      </c>
      <c r="B3021" t="str">
        <f>LEFT(Table13[[#This Row],[Input]],1)</f>
        <v>R</v>
      </c>
      <c r="C3021">
        <f>_xlfn.LET(_xlpm.steps,SUBSTITUTE(Table13[[#This Row],[Input]],Table13[[#This Row],[Direction]],""),VALUE(IF(LEN(_xlpm.steps)&gt;2,RIGHT(_xlpm.steps,2),_xlpm.steps)))</f>
        <v>38</v>
      </c>
      <c r="D3021">
        <f>_xlfn.LET(_xlpm.steps,SUBSTITUTE(Table13[[#This Row],[Input]],Table13[[#This Row],[Direction]],""),VALUE(IF(LEN(_xlpm.steps)&gt;2,LEFT(_xlpm.steps,LEN(_xlpm.steps)-2),0)))</f>
        <v>1</v>
      </c>
      <c r="E3021">
        <f>_xlfn.LET(_xlpm.dir,Table13[[#This Row],[Direction]],
IF(_xlpm.dir="L",
    IF(G3020-Table13[[#This Row],[Steps]]&lt;0,100+(G3020-Table13[[#This Row],[Steps]]),G3020-Table13[[#This Row],[Steps]]),
))</f>
        <v>0</v>
      </c>
      <c r="F3021">
        <f>_xlfn.LET(_xlpm.dir,Table13[[#This Row],[Direction]],
IF(_xlpm.dir="R",
    IF(G3020+Table13[[#This Row],[Steps]]&gt;99,(G3020+Table13[[#This Row],[Steps]])-100,G3020+Table13[[#This Row],[Steps]]),
))</f>
        <v>38</v>
      </c>
      <c r="G3021">
        <f>IF(Table13[[#This Row],[New Pos L]]&lt;&gt;0,Table13[[#This Row],[New Pos L]],Table13[[#This Row],[New Pos R]])</f>
        <v>38</v>
      </c>
      <c r="H3021">
        <f>IF(AND(Table13[[#This Row],[Direction]]="L",Table13[[#This Row],[Steps]]&gt;G3020,G3020&lt;&gt;0),1,0)</f>
        <v>0</v>
      </c>
      <c r="I3021">
        <f>IF(AND(Table13[[#This Row],[Direction]]="R",(G3020+Table13[[#This Row],[Steps]])&gt;100),1,0)</f>
        <v>0</v>
      </c>
      <c r="J3021">
        <f>IF(Table13[[#This Row],[POS]]=0,1,0)</f>
        <v>0</v>
      </c>
      <c r="K3021">
        <f>SUM(Table13[[#This Row],[prefix]],Table13[[#This Row],[Past zero L]],Table13[[#This Row],[Past Zero R]],Table13[[#This Row],[Is Zero]])</f>
        <v>1</v>
      </c>
    </row>
    <row r="3022" spans="1:11" ht="16" x14ac:dyDescent="0.2">
      <c r="A3022" s="1" t="s">
        <v>2</v>
      </c>
      <c r="B3022" t="str">
        <f>LEFT(Table13[[#This Row],[Input]],1)</f>
        <v>L</v>
      </c>
      <c r="C3022">
        <f>_xlfn.LET(_xlpm.steps,SUBSTITUTE(Table13[[#This Row],[Input]],Table13[[#This Row],[Direction]],""),VALUE(IF(LEN(_xlpm.steps)&gt;2,RIGHT(_xlpm.steps,2),_xlpm.steps)))</f>
        <v>38</v>
      </c>
      <c r="D3022">
        <f>_xlfn.LET(_xlpm.steps,SUBSTITUTE(Table13[[#This Row],[Input]],Table13[[#This Row],[Direction]],""),VALUE(IF(LEN(_xlpm.steps)&gt;2,LEFT(_xlpm.steps,LEN(_xlpm.steps)-2),0)))</f>
        <v>0</v>
      </c>
      <c r="E3022">
        <f>_xlfn.LET(_xlpm.dir,Table13[[#This Row],[Direction]],
IF(_xlpm.dir="L",
    IF(G3021-Table13[[#This Row],[Steps]]&lt;0,100+(G3021-Table13[[#This Row],[Steps]]),G3021-Table13[[#This Row],[Steps]]),
))</f>
        <v>0</v>
      </c>
      <c r="F3022">
        <f>_xlfn.LET(_xlpm.dir,Table13[[#This Row],[Direction]],
IF(_xlpm.dir="R",
    IF(G3021+Table13[[#This Row],[Steps]]&gt;99,(G3021+Table13[[#This Row],[Steps]])-100,G3021+Table13[[#This Row],[Steps]]),
))</f>
        <v>0</v>
      </c>
      <c r="G3022">
        <f>IF(Table13[[#This Row],[New Pos L]]&lt;&gt;0,Table13[[#This Row],[New Pos L]],Table13[[#This Row],[New Pos R]])</f>
        <v>0</v>
      </c>
      <c r="H3022">
        <f>IF(AND(Table13[[#This Row],[Direction]]="L",Table13[[#This Row],[Steps]]&gt;G3021,G3021&lt;&gt;0),1,0)</f>
        <v>0</v>
      </c>
      <c r="I3022">
        <f>IF(AND(Table13[[#This Row],[Direction]]="R",(G3021+Table13[[#This Row],[Steps]])&gt;100),1,0)</f>
        <v>0</v>
      </c>
      <c r="J3022">
        <f>IF(Table13[[#This Row],[POS]]=0,1,0)</f>
        <v>1</v>
      </c>
      <c r="K3022">
        <f>SUM(Table13[[#This Row],[prefix]],Table13[[#This Row],[Past zero L]],Table13[[#This Row],[Past Zero R]],Table13[[#This Row],[Is Zero]])</f>
        <v>1</v>
      </c>
    </row>
    <row r="3023" spans="1:11" ht="16" x14ac:dyDescent="0.2">
      <c r="A3023" s="1" t="s">
        <v>304</v>
      </c>
      <c r="B3023" t="str">
        <f>LEFT(Table13[[#This Row],[Input]],1)</f>
        <v>L</v>
      </c>
      <c r="C3023">
        <f>_xlfn.LET(_xlpm.steps,SUBSTITUTE(Table13[[#This Row],[Input]],Table13[[#This Row],[Direction]],""),VALUE(IF(LEN(_xlpm.steps)&gt;2,RIGHT(_xlpm.steps,2),_xlpm.steps)))</f>
        <v>26</v>
      </c>
      <c r="D3023">
        <f>_xlfn.LET(_xlpm.steps,SUBSTITUTE(Table13[[#This Row],[Input]],Table13[[#This Row],[Direction]],""),VALUE(IF(LEN(_xlpm.steps)&gt;2,LEFT(_xlpm.steps,LEN(_xlpm.steps)-2),0)))</f>
        <v>0</v>
      </c>
      <c r="E3023">
        <f>_xlfn.LET(_xlpm.dir,Table13[[#This Row],[Direction]],
IF(_xlpm.dir="L",
    IF(G3022-Table13[[#This Row],[Steps]]&lt;0,100+(G3022-Table13[[#This Row],[Steps]]),G3022-Table13[[#This Row],[Steps]]),
))</f>
        <v>74</v>
      </c>
      <c r="F3023">
        <f>_xlfn.LET(_xlpm.dir,Table13[[#This Row],[Direction]],
IF(_xlpm.dir="R",
    IF(G3022+Table13[[#This Row],[Steps]]&gt;99,(G3022+Table13[[#This Row],[Steps]])-100,G3022+Table13[[#This Row],[Steps]]),
))</f>
        <v>0</v>
      </c>
      <c r="G3023">
        <f>IF(Table13[[#This Row],[New Pos L]]&lt;&gt;0,Table13[[#This Row],[New Pos L]],Table13[[#This Row],[New Pos R]])</f>
        <v>74</v>
      </c>
      <c r="H3023">
        <f>IF(AND(Table13[[#This Row],[Direction]]="L",Table13[[#This Row],[Steps]]&gt;G3022,G3022&lt;&gt;0),1,0)</f>
        <v>0</v>
      </c>
      <c r="I3023">
        <f>IF(AND(Table13[[#This Row],[Direction]]="R",(G3022+Table13[[#This Row],[Steps]])&gt;100),1,0)</f>
        <v>0</v>
      </c>
      <c r="J3023">
        <f>IF(Table13[[#This Row],[POS]]=0,1,0)</f>
        <v>0</v>
      </c>
      <c r="K3023">
        <f>SUM(Table13[[#This Row],[prefix]],Table13[[#This Row],[Past zero L]],Table13[[#This Row],[Past Zero R]],Table13[[#This Row],[Is Zero]])</f>
        <v>0</v>
      </c>
    </row>
    <row r="3024" spans="1:11" ht="16" x14ac:dyDescent="0.2">
      <c r="A3024" s="1" t="s">
        <v>67</v>
      </c>
      <c r="B3024" t="str">
        <f>LEFT(Table13[[#This Row],[Input]],1)</f>
        <v>R</v>
      </c>
      <c r="C3024">
        <f>_xlfn.LET(_xlpm.steps,SUBSTITUTE(Table13[[#This Row],[Input]],Table13[[#This Row],[Direction]],""),VALUE(IF(LEN(_xlpm.steps)&gt;2,RIGHT(_xlpm.steps,2),_xlpm.steps)))</f>
        <v>33</v>
      </c>
      <c r="D3024">
        <f>_xlfn.LET(_xlpm.steps,SUBSTITUTE(Table13[[#This Row],[Input]],Table13[[#This Row],[Direction]],""),VALUE(IF(LEN(_xlpm.steps)&gt;2,LEFT(_xlpm.steps,LEN(_xlpm.steps)-2),0)))</f>
        <v>0</v>
      </c>
      <c r="E3024">
        <f>_xlfn.LET(_xlpm.dir,Table13[[#This Row],[Direction]],
IF(_xlpm.dir="L",
    IF(G3023-Table13[[#This Row],[Steps]]&lt;0,100+(G3023-Table13[[#This Row],[Steps]]),G3023-Table13[[#This Row],[Steps]]),
))</f>
        <v>0</v>
      </c>
      <c r="F3024">
        <f>_xlfn.LET(_xlpm.dir,Table13[[#This Row],[Direction]],
IF(_xlpm.dir="R",
    IF(G3023+Table13[[#This Row],[Steps]]&gt;99,(G3023+Table13[[#This Row],[Steps]])-100,G3023+Table13[[#This Row],[Steps]]),
))</f>
        <v>7</v>
      </c>
      <c r="G3024">
        <f>IF(Table13[[#This Row],[New Pos L]]&lt;&gt;0,Table13[[#This Row],[New Pos L]],Table13[[#This Row],[New Pos R]])</f>
        <v>7</v>
      </c>
      <c r="H3024">
        <f>IF(AND(Table13[[#This Row],[Direction]]="L",Table13[[#This Row],[Steps]]&gt;G3023,G3023&lt;&gt;0),1,0)</f>
        <v>0</v>
      </c>
      <c r="I3024">
        <f>IF(AND(Table13[[#This Row],[Direction]]="R",(G3023+Table13[[#This Row],[Steps]])&gt;100),1,0)</f>
        <v>1</v>
      </c>
      <c r="J3024">
        <f>IF(Table13[[#This Row],[POS]]=0,1,0)</f>
        <v>0</v>
      </c>
      <c r="K3024">
        <f>SUM(Table13[[#This Row],[prefix]],Table13[[#This Row],[Past zero L]],Table13[[#This Row],[Past Zero R]],Table13[[#This Row],[Is Zero]])</f>
        <v>1</v>
      </c>
    </row>
    <row r="3025" spans="1:11" ht="16" x14ac:dyDescent="0.2">
      <c r="A3025" s="1" t="s">
        <v>17</v>
      </c>
      <c r="B3025" t="str">
        <f>LEFT(Table13[[#This Row],[Input]],1)</f>
        <v>L</v>
      </c>
      <c r="C3025">
        <f>_xlfn.LET(_xlpm.steps,SUBSTITUTE(Table13[[#This Row],[Input]],Table13[[#This Row],[Direction]],""),VALUE(IF(LEN(_xlpm.steps)&gt;2,RIGHT(_xlpm.steps,2),_xlpm.steps)))</f>
        <v>50</v>
      </c>
      <c r="D3025">
        <f>_xlfn.LET(_xlpm.steps,SUBSTITUTE(Table13[[#This Row],[Input]],Table13[[#This Row],[Direction]],""),VALUE(IF(LEN(_xlpm.steps)&gt;2,LEFT(_xlpm.steps,LEN(_xlpm.steps)-2),0)))</f>
        <v>0</v>
      </c>
      <c r="E3025">
        <f>_xlfn.LET(_xlpm.dir,Table13[[#This Row],[Direction]],
IF(_xlpm.dir="L",
    IF(G3024-Table13[[#This Row],[Steps]]&lt;0,100+(G3024-Table13[[#This Row],[Steps]]),G3024-Table13[[#This Row],[Steps]]),
))</f>
        <v>57</v>
      </c>
      <c r="F3025">
        <f>_xlfn.LET(_xlpm.dir,Table13[[#This Row],[Direction]],
IF(_xlpm.dir="R",
    IF(G3024+Table13[[#This Row],[Steps]]&gt;99,(G3024+Table13[[#This Row],[Steps]])-100,G3024+Table13[[#This Row],[Steps]]),
))</f>
        <v>0</v>
      </c>
      <c r="G3025">
        <f>IF(Table13[[#This Row],[New Pos L]]&lt;&gt;0,Table13[[#This Row],[New Pos L]],Table13[[#This Row],[New Pos R]])</f>
        <v>57</v>
      </c>
      <c r="H3025">
        <f>IF(AND(Table13[[#This Row],[Direction]]="L",Table13[[#This Row],[Steps]]&gt;G3024,G3024&lt;&gt;0),1,0)</f>
        <v>1</v>
      </c>
      <c r="I3025">
        <f>IF(AND(Table13[[#This Row],[Direction]]="R",(G3024+Table13[[#This Row],[Steps]])&gt;100),1,0)</f>
        <v>0</v>
      </c>
      <c r="J3025">
        <f>IF(Table13[[#This Row],[POS]]=0,1,0)</f>
        <v>0</v>
      </c>
      <c r="K3025">
        <f>SUM(Table13[[#This Row],[prefix]],Table13[[#This Row],[Past zero L]],Table13[[#This Row],[Past Zero R]],Table13[[#This Row],[Is Zero]])</f>
        <v>1</v>
      </c>
    </row>
    <row r="3026" spans="1:11" ht="16" x14ac:dyDescent="0.2">
      <c r="A3026" s="1" t="s">
        <v>62</v>
      </c>
      <c r="B3026" t="str">
        <f>LEFT(Table13[[#This Row],[Input]],1)</f>
        <v>L</v>
      </c>
      <c r="C3026">
        <f>_xlfn.LET(_xlpm.steps,SUBSTITUTE(Table13[[#This Row],[Input]],Table13[[#This Row],[Direction]],""),VALUE(IF(LEN(_xlpm.steps)&gt;2,RIGHT(_xlpm.steps,2),_xlpm.steps)))</f>
        <v>57</v>
      </c>
      <c r="D3026">
        <f>_xlfn.LET(_xlpm.steps,SUBSTITUTE(Table13[[#This Row],[Input]],Table13[[#This Row],[Direction]],""),VALUE(IF(LEN(_xlpm.steps)&gt;2,LEFT(_xlpm.steps,LEN(_xlpm.steps)-2),0)))</f>
        <v>0</v>
      </c>
      <c r="E3026">
        <f>_xlfn.LET(_xlpm.dir,Table13[[#This Row],[Direction]],
IF(_xlpm.dir="L",
    IF(G3025-Table13[[#This Row],[Steps]]&lt;0,100+(G3025-Table13[[#This Row],[Steps]]),G3025-Table13[[#This Row],[Steps]]),
))</f>
        <v>0</v>
      </c>
      <c r="F3026">
        <f>_xlfn.LET(_xlpm.dir,Table13[[#This Row],[Direction]],
IF(_xlpm.dir="R",
    IF(G3025+Table13[[#This Row],[Steps]]&gt;99,(G3025+Table13[[#This Row],[Steps]])-100,G3025+Table13[[#This Row],[Steps]]),
))</f>
        <v>0</v>
      </c>
      <c r="G3026">
        <f>IF(Table13[[#This Row],[New Pos L]]&lt;&gt;0,Table13[[#This Row],[New Pos L]],Table13[[#This Row],[New Pos R]])</f>
        <v>0</v>
      </c>
      <c r="H3026">
        <f>IF(AND(Table13[[#This Row],[Direction]]="L",Table13[[#This Row],[Steps]]&gt;G3025,G3025&lt;&gt;0),1,0)</f>
        <v>0</v>
      </c>
      <c r="I3026">
        <f>IF(AND(Table13[[#This Row],[Direction]]="R",(G3025+Table13[[#This Row],[Steps]])&gt;100),1,0)</f>
        <v>0</v>
      </c>
      <c r="J3026">
        <f>IF(Table13[[#This Row],[POS]]=0,1,0)</f>
        <v>1</v>
      </c>
      <c r="K3026">
        <f>SUM(Table13[[#This Row],[prefix]],Table13[[#This Row],[Past zero L]],Table13[[#This Row],[Past Zero R]],Table13[[#This Row],[Is Zero]])</f>
        <v>1</v>
      </c>
    </row>
    <row r="3027" spans="1:11" ht="16" x14ac:dyDescent="0.2">
      <c r="A3027" s="1" t="s">
        <v>319</v>
      </c>
      <c r="B3027" t="str">
        <f>LEFT(Table13[[#This Row],[Input]],1)</f>
        <v>L</v>
      </c>
      <c r="C3027">
        <f>_xlfn.LET(_xlpm.steps,SUBSTITUTE(Table13[[#This Row],[Input]],Table13[[#This Row],[Direction]],""),VALUE(IF(LEN(_xlpm.steps)&gt;2,RIGHT(_xlpm.steps,2),_xlpm.steps)))</f>
        <v>79</v>
      </c>
      <c r="D3027">
        <f>_xlfn.LET(_xlpm.steps,SUBSTITUTE(Table13[[#This Row],[Input]],Table13[[#This Row],[Direction]],""),VALUE(IF(LEN(_xlpm.steps)&gt;2,LEFT(_xlpm.steps,LEN(_xlpm.steps)-2),0)))</f>
        <v>0</v>
      </c>
      <c r="E3027">
        <f>_xlfn.LET(_xlpm.dir,Table13[[#This Row],[Direction]],
IF(_xlpm.dir="L",
    IF(G3026-Table13[[#This Row],[Steps]]&lt;0,100+(G3026-Table13[[#This Row],[Steps]]),G3026-Table13[[#This Row],[Steps]]),
))</f>
        <v>21</v>
      </c>
      <c r="F3027">
        <f>_xlfn.LET(_xlpm.dir,Table13[[#This Row],[Direction]],
IF(_xlpm.dir="R",
    IF(G3026+Table13[[#This Row],[Steps]]&gt;99,(G3026+Table13[[#This Row],[Steps]])-100,G3026+Table13[[#This Row],[Steps]]),
))</f>
        <v>0</v>
      </c>
      <c r="G3027">
        <f>IF(Table13[[#This Row],[New Pos L]]&lt;&gt;0,Table13[[#This Row],[New Pos L]],Table13[[#This Row],[New Pos R]])</f>
        <v>21</v>
      </c>
      <c r="H3027">
        <f>IF(AND(Table13[[#This Row],[Direction]]="L",Table13[[#This Row],[Steps]]&gt;G3026,G3026&lt;&gt;0),1,0)</f>
        <v>0</v>
      </c>
      <c r="I3027">
        <f>IF(AND(Table13[[#This Row],[Direction]]="R",(G3026+Table13[[#This Row],[Steps]])&gt;100),1,0)</f>
        <v>0</v>
      </c>
      <c r="J3027">
        <f>IF(Table13[[#This Row],[POS]]=0,1,0)</f>
        <v>0</v>
      </c>
      <c r="K3027">
        <f>SUM(Table13[[#This Row],[prefix]],Table13[[#This Row],[Past zero L]],Table13[[#This Row],[Past Zero R]],Table13[[#This Row],[Is Zero]])</f>
        <v>0</v>
      </c>
    </row>
    <row r="3028" spans="1:11" ht="16" x14ac:dyDescent="0.2">
      <c r="A3028" s="1" t="s">
        <v>276</v>
      </c>
      <c r="B3028" t="str">
        <f>LEFT(Table13[[#This Row],[Input]],1)</f>
        <v>L</v>
      </c>
      <c r="C3028">
        <f>_xlfn.LET(_xlpm.steps,SUBSTITUTE(Table13[[#This Row],[Input]],Table13[[#This Row],[Direction]],""),VALUE(IF(LEN(_xlpm.steps)&gt;2,RIGHT(_xlpm.steps,2),_xlpm.steps)))</f>
        <v>60</v>
      </c>
      <c r="D3028">
        <f>_xlfn.LET(_xlpm.steps,SUBSTITUTE(Table13[[#This Row],[Input]],Table13[[#This Row],[Direction]],""),VALUE(IF(LEN(_xlpm.steps)&gt;2,LEFT(_xlpm.steps,LEN(_xlpm.steps)-2),0)))</f>
        <v>0</v>
      </c>
      <c r="E3028">
        <f>_xlfn.LET(_xlpm.dir,Table13[[#This Row],[Direction]],
IF(_xlpm.dir="L",
    IF(G3027-Table13[[#This Row],[Steps]]&lt;0,100+(G3027-Table13[[#This Row],[Steps]]),G3027-Table13[[#This Row],[Steps]]),
))</f>
        <v>61</v>
      </c>
      <c r="F3028">
        <f>_xlfn.LET(_xlpm.dir,Table13[[#This Row],[Direction]],
IF(_xlpm.dir="R",
    IF(G3027+Table13[[#This Row],[Steps]]&gt;99,(G3027+Table13[[#This Row],[Steps]])-100,G3027+Table13[[#This Row],[Steps]]),
))</f>
        <v>0</v>
      </c>
      <c r="G3028">
        <f>IF(Table13[[#This Row],[New Pos L]]&lt;&gt;0,Table13[[#This Row],[New Pos L]],Table13[[#This Row],[New Pos R]])</f>
        <v>61</v>
      </c>
      <c r="H3028">
        <f>IF(AND(Table13[[#This Row],[Direction]]="L",Table13[[#This Row],[Steps]]&gt;G3027,G3027&lt;&gt;0),1,0)</f>
        <v>1</v>
      </c>
      <c r="I3028">
        <f>IF(AND(Table13[[#This Row],[Direction]]="R",(G3027+Table13[[#This Row],[Steps]])&gt;100),1,0)</f>
        <v>0</v>
      </c>
      <c r="J3028">
        <f>IF(Table13[[#This Row],[POS]]=0,1,0)</f>
        <v>0</v>
      </c>
      <c r="K3028">
        <f>SUM(Table13[[#This Row],[prefix]],Table13[[#This Row],[Past zero L]],Table13[[#This Row],[Past Zero R]],Table13[[#This Row],[Is Zero]])</f>
        <v>1</v>
      </c>
    </row>
    <row r="3029" spans="1:11" ht="16" x14ac:dyDescent="0.2">
      <c r="A3029" s="1" t="s">
        <v>110</v>
      </c>
      <c r="B3029" t="str">
        <f>LEFT(Table13[[#This Row],[Input]],1)</f>
        <v>L</v>
      </c>
      <c r="C3029">
        <f>_xlfn.LET(_xlpm.steps,SUBSTITUTE(Table13[[#This Row],[Input]],Table13[[#This Row],[Direction]],""),VALUE(IF(LEN(_xlpm.steps)&gt;2,RIGHT(_xlpm.steps,2),_xlpm.steps)))</f>
        <v>81</v>
      </c>
      <c r="D3029">
        <f>_xlfn.LET(_xlpm.steps,SUBSTITUTE(Table13[[#This Row],[Input]],Table13[[#This Row],[Direction]],""),VALUE(IF(LEN(_xlpm.steps)&gt;2,LEFT(_xlpm.steps,LEN(_xlpm.steps)-2),0)))</f>
        <v>0</v>
      </c>
      <c r="E3029">
        <f>_xlfn.LET(_xlpm.dir,Table13[[#This Row],[Direction]],
IF(_xlpm.dir="L",
    IF(G3028-Table13[[#This Row],[Steps]]&lt;0,100+(G3028-Table13[[#This Row],[Steps]]),G3028-Table13[[#This Row],[Steps]]),
))</f>
        <v>80</v>
      </c>
      <c r="F3029">
        <f>_xlfn.LET(_xlpm.dir,Table13[[#This Row],[Direction]],
IF(_xlpm.dir="R",
    IF(G3028+Table13[[#This Row],[Steps]]&gt;99,(G3028+Table13[[#This Row],[Steps]])-100,G3028+Table13[[#This Row],[Steps]]),
))</f>
        <v>0</v>
      </c>
      <c r="G3029">
        <f>IF(Table13[[#This Row],[New Pos L]]&lt;&gt;0,Table13[[#This Row],[New Pos L]],Table13[[#This Row],[New Pos R]])</f>
        <v>80</v>
      </c>
      <c r="H3029">
        <f>IF(AND(Table13[[#This Row],[Direction]]="L",Table13[[#This Row],[Steps]]&gt;G3028,G3028&lt;&gt;0),1,0)</f>
        <v>1</v>
      </c>
      <c r="I3029">
        <f>IF(AND(Table13[[#This Row],[Direction]]="R",(G3028+Table13[[#This Row],[Steps]])&gt;100),1,0)</f>
        <v>0</v>
      </c>
      <c r="J3029">
        <f>IF(Table13[[#This Row],[POS]]=0,1,0)</f>
        <v>0</v>
      </c>
      <c r="K3029">
        <f>SUM(Table13[[#This Row],[prefix]],Table13[[#This Row],[Past zero L]],Table13[[#This Row],[Past Zero R]],Table13[[#This Row],[Is Zero]])</f>
        <v>1</v>
      </c>
    </row>
    <row r="3030" spans="1:11" ht="16" x14ac:dyDescent="0.2">
      <c r="A3030" s="1" t="s">
        <v>213</v>
      </c>
      <c r="B3030" t="str">
        <f>LEFT(Table13[[#This Row],[Input]],1)</f>
        <v>R</v>
      </c>
      <c r="C3030">
        <f>_xlfn.LET(_xlpm.steps,SUBSTITUTE(Table13[[#This Row],[Input]],Table13[[#This Row],[Direction]],""),VALUE(IF(LEN(_xlpm.steps)&gt;2,RIGHT(_xlpm.steps,2),_xlpm.steps)))</f>
        <v>87</v>
      </c>
      <c r="D3030">
        <f>_xlfn.LET(_xlpm.steps,SUBSTITUTE(Table13[[#This Row],[Input]],Table13[[#This Row],[Direction]],""),VALUE(IF(LEN(_xlpm.steps)&gt;2,LEFT(_xlpm.steps,LEN(_xlpm.steps)-2),0)))</f>
        <v>0</v>
      </c>
      <c r="E3030">
        <f>_xlfn.LET(_xlpm.dir,Table13[[#This Row],[Direction]],
IF(_xlpm.dir="L",
    IF(G3029-Table13[[#This Row],[Steps]]&lt;0,100+(G3029-Table13[[#This Row],[Steps]]),G3029-Table13[[#This Row],[Steps]]),
))</f>
        <v>0</v>
      </c>
      <c r="F3030">
        <f>_xlfn.LET(_xlpm.dir,Table13[[#This Row],[Direction]],
IF(_xlpm.dir="R",
    IF(G3029+Table13[[#This Row],[Steps]]&gt;99,(G3029+Table13[[#This Row],[Steps]])-100,G3029+Table13[[#This Row],[Steps]]),
))</f>
        <v>67</v>
      </c>
      <c r="G3030">
        <f>IF(Table13[[#This Row],[New Pos L]]&lt;&gt;0,Table13[[#This Row],[New Pos L]],Table13[[#This Row],[New Pos R]])</f>
        <v>67</v>
      </c>
      <c r="H3030">
        <f>IF(AND(Table13[[#This Row],[Direction]]="L",Table13[[#This Row],[Steps]]&gt;G3029,G3029&lt;&gt;0),1,0)</f>
        <v>0</v>
      </c>
      <c r="I3030">
        <f>IF(AND(Table13[[#This Row],[Direction]]="R",(G3029+Table13[[#This Row],[Steps]])&gt;100),1,0)</f>
        <v>1</v>
      </c>
      <c r="J3030">
        <f>IF(Table13[[#This Row],[POS]]=0,1,0)</f>
        <v>0</v>
      </c>
      <c r="K3030">
        <f>SUM(Table13[[#This Row],[prefix]],Table13[[#This Row],[Past zero L]],Table13[[#This Row],[Past Zero R]],Table13[[#This Row],[Is Zero]])</f>
        <v>1</v>
      </c>
    </row>
    <row r="3031" spans="1:11" ht="16" x14ac:dyDescent="0.2">
      <c r="A3031" s="1" t="s">
        <v>183</v>
      </c>
      <c r="B3031" t="str">
        <f>LEFT(Table13[[#This Row],[Input]],1)</f>
        <v>L</v>
      </c>
      <c r="C3031">
        <f>_xlfn.LET(_xlpm.steps,SUBSTITUTE(Table13[[#This Row],[Input]],Table13[[#This Row],[Direction]],""),VALUE(IF(LEN(_xlpm.steps)&gt;2,RIGHT(_xlpm.steps,2),_xlpm.steps)))</f>
        <v>67</v>
      </c>
      <c r="D3031">
        <f>_xlfn.LET(_xlpm.steps,SUBSTITUTE(Table13[[#This Row],[Input]],Table13[[#This Row],[Direction]],""),VALUE(IF(LEN(_xlpm.steps)&gt;2,LEFT(_xlpm.steps,LEN(_xlpm.steps)-2),0)))</f>
        <v>0</v>
      </c>
      <c r="E3031">
        <f>_xlfn.LET(_xlpm.dir,Table13[[#This Row],[Direction]],
IF(_xlpm.dir="L",
    IF(G3030-Table13[[#This Row],[Steps]]&lt;0,100+(G3030-Table13[[#This Row],[Steps]]),G3030-Table13[[#This Row],[Steps]]),
))</f>
        <v>0</v>
      </c>
      <c r="F3031">
        <f>_xlfn.LET(_xlpm.dir,Table13[[#This Row],[Direction]],
IF(_xlpm.dir="R",
    IF(G3030+Table13[[#This Row],[Steps]]&gt;99,(G3030+Table13[[#This Row],[Steps]])-100,G3030+Table13[[#This Row],[Steps]]),
))</f>
        <v>0</v>
      </c>
      <c r="G3031">
        <f>IF(Table13[[#This Row],[New Pos L]]&lt;&gt;0,Table13[[#This Row],[New Pos L]],Table13[[#This Row],[New Pos R]])</f>
        <v>0</v>
      </c>
      <c r="H3031">
        <f>IF(AND(Table13[[#This Row],[Direction]]="L",Table13[[#This Row],[Steps]]&gt;G3030,G3030&lt;&gt;0),1,0)</f>
        <v>0</v>
      </c>
      <c r="I3031">
        <f>IF(AND(Table13[[#This Row],[Direction]]="R",(G3030+Table13[[#This Row],[Steps]])&gt;100),1,0)</f>
        <v>0</v>
      </c>
      <c r="J3031">
        <f>IF(Table13[[#This Row],[POS]]=0,1,0)</f>
        <v>1</v>
      </c>
      <c r="K3031">
        <f>SUM(Table13[[#This Row],[prefix]],Table13[[#This Row],[Past zero L]],Table13[[#This Row],[Past Zero R]],Table13[[#This Row],[Is Zero]])</f>
        <v>1</v>
      </c>
    </row>
    <row r="3032" spans="1:11" ht="16" x14ac:dyDescent="0.2">
      <c r="A3032" s="1" t="s">
        <v>119</v>
      </c>
      <c r="B3032" t="str">
        <f>LEFT(Table13[[#This Row],[Input]],1)</f>
        <v>L</v>
      </c>
      <c r="C3032">
        <f>_xlfn.LET(_xlpm.steps,SUBSTITUTE(Table13[[#This Row],[Input]],Table13[[#This Row],[Direction]],""),VALUE(IF(LEN(_xlpm.steps)&gt;2,RIGHT(_xlpm.steps,2),_xlpm.steps)))</f>
        <v>77</v>
      </c>
      <c r="D3032">
        <f>_xlfn.LET(_xlpm.steps,SUBSTITUTE(Table13[[#This Row],[Input]],Table13[[#This Row],[Direction]],""),VALUE(IF(LEN(_xlpm.steps)&gt;2,LEFT(_xlpm.steps,LEN(_xlpm.steps)-2),0)))</f>
        <v>0</v>
      </c>
      <c r="E3032">
        <f>_xlfn.LET(_xlpm.dir,Table13[[#This Row],[Direction]],
IF(_xlpm.dir="L",
    IF(G3031-Table13[[#This Row],[Steps]]&lt;0,100+(G3031-Table13[[#This Row],[Steps]]),G3031-Table13[[#This Row],[Steps]]),
))</f>
        <v>23</v>
      </c>
      <c r="F3032">
        <f>_xlfn.LET(_xlpm.dir,Table13[[#This Row],[Direction]],
IF(_xlpm.dir="R",
    IF(G3031+Table13[[#This Row],[Steps]]&gt;99,(G3031+Table13[[#This Row],[Steps]])-100,G3031+Table13[[#This Row],[Steps]]),
))</f>
        <v>0</v>
      </c>
      <c r="G3032">
        <f>IF(Table13[[#This Row],[New Pos L]]&lt;&gt;0,Table13[[#This Row],[New Pos L]],Table13[[#This Row],[New Pos R]])</f>
        <v>23</v>
      </c>
      <c r="H3032">
        <f>IF(AND(Table13[[#This Row],[Direction]]="L",Table13[[#This Row],[Steps]]&gt;G3031,G3031&lt;&gt;0),1,0)</f>
        <v>0</v>
      </c>
      <c r="I3032">
        <f>IF(AND(Table13[[#This Row],[Direction]]="R",(G3031+Table13[[#This Row],[Steps]])&gt;100),1,0)</f>
        <v>0</v>
      </c>
      <c r="J3032">
        <f>IF(Table13[[#This Row],[POS]]=0,1,0)</f>
        <v>0</v>
      </c>
      <c r="K3032">
        <f>SUM(Table13[[#This Row],[prefix]],Table13[[#This Row],[Past zero L]],Table13[[#This Row],[Past Zero R]],Table13[[#This Row],[Is Zero]])</f>
        <v>0</v>
      </c>
    </row>
    <row r="3033" spans="1:11" ht="16" x14ac:dyDescent="0.2">
      <c r="A3033" s="1" t="s">
        <v>682</v>
      </c>
      <c r="B3033" t="str">
        <f>LEFT(Table13[[#This Row],[Input]],1)</f>
        <v>L</v>
      </c>
      <c r="C3033">
        <f>_xlfn.LET(_xlpm.steps,SUBSTITUTE(Table13[[#This Row],[Input]],Table13[[#This Row],[Direction]],""),VALUE(IF(LEN(_xlpm.steps)&gt;2,RIGHT(_xlpm.steps,2),_xlpm.steps)))</f>
        <v>23</v>
      </c>
      <c r="D3033">
        <f>_xlfn.LET(_xlpm.steps,SUBSTITUTE(Table13[[#This Row],[Input]],Table13[[#This Row],[Direction]],""),VALUE(IF(LEN(_xlpm.steps)&gt;2,LEFT(_xlpm.steps,LEN(_xlpm.steps)-2),0)))</f>
        <v>1</v>
      </c>
      <c r="E3033">
        <f>_xlfn.LET(_xlpm.dir,Table13[[#This Row],[Direction]],
IF(_xlpm.dir="L",
    IF(G3032-Table13[[#This Row],[Steps]]&lt;0,100+(G3032-Table13[[#This Row],[Steps]]),G3032-Table13[[#This Row],[Steps]]),
))</f>
        <v>0</v>
      </c>
      <c r="F3033">
        <f>_xlfn.LET(_xlpm.dir,Table13[[#This Row],[Direction]],
IF(_xlpm.dir="R",
    IF(G3032+Table13[[#This Row],[Steps]]&gt;99,(G3032+Table13[[#This Row],[Steps]])-100,G3032+Table13[[#This Row],[Steps]]),
))</f>
        <v>0</v>
      </c>
      <c r="G3033">
        <f>IF(Table13[[#This Row],[New Pos L]]&lt;&gt;0,Table13[[#This Row],[New Pos L]],Table13[[#This Row],[New Pos R]])</f>
        <v>0</v>
      </c>
      <c r="H3033">
        <f>IF(AND(Table13[[#This Row],[Direction]]="L",Table13[[#This Row],[Steps]]&gt;G3032,G3032&lt;&gt;0),1,0)</f>
        <v>0</v>
      </c>
      <c r="I3033">
        <f>IF(AND(Table13[[#This Row],[Direction]]="R",(G3032+Table13[[#This Row],[Steps]])&gt;100),1,0)</f>
        <v>0</v>
      </c>
      <c r="J3033">
        <f>IF(Table13[[#This Row],[POS]]=0,1,0)</f>
        <v>1</v>
      </c>
      <c r="K3033">
        <f>SUM(Table13[[#This Row],[prefix]],Table13[[#This Row],[Past zero L]],Table13[[#This Row],[Past Zero R]],Table13[[#This Row],[Is Zero]])</f>
        <v>2</v>
      </c>
    </row>
    <row r="3034" spans="1:11" ht="16" x14ac:dyDescent="0.2">
      <c r="A3034" s="1" t="s">
        <v>336</v>
      </c>
      <c r="B3034" t="str">
        <f>LEFT(Table13[[#This Row],[Input]],1)</f>
        <v>R</v>
      </c>
      <c r="C3034">
        <f>_xlfn.LET(_xlpm.steps,SUBSTITUTE(Table13[[#This Row],[Input]],Table13[[#This Row],[Direction]],""),VALUE(IF(LEN(_xlpm.steps)&gt;2,RIGHT(_xlpm.steps,2),_xlpm.steps)))</f>
        <v>95</v>
      </c>
      <c r="D3034">
        <f>_xlfn.LET(_xlpm.steps,SUBSTITUTE(Table13[[#This Row],[Input]],Table13[[#This Row],[Direction]],""),VALUE(IF(LEN(_xlpm.steps)&gt;2,LEFT(_xlpm.steps,LEN(_xlpm.steps)-2),0)))</f>
        <v>0</v>
      </c>
      <c r="E3034">
        <f>_xlfn.LET(_xlpm.dir,Table13[[#This Row],[Direction]],
IF(_xlpm.dir="L",
    IF(G3033-Table13[[#This Row],[Steps]]&lt;0,100+(G3033-Table13[[#This Row],[Steps]]),G3033-Table13[[#This Row],[Steps]]),
))</f>
        <v>0</v>
      </c>
      <c r="F3034">
        <f>_xlfn.LET(_xlpm.dir,Table13[[#This Row],[Direction]],
IF(_xlpm.dir="R",
    IF(G3033+Table13[[#This Row],[Steps]]&gt;99,(G3033+Table13[[#This Row],[Steps]])-100,G3033+Table13[[#This Row],[Steps]]),
))</f>
        <v>95</v>
      </c>
      <c r="G3034">
        <f>IF(Table13[[#This Row],[New Pos L]]&lt;&gt;0,Table13[[#This Row],[New Pos L]],Table13[[#This Row],[New Pos R]])</f>
        <v>95</v>
      </c>
      <c r="H3034">
        <f>IF(AND(Table13[[#This Row],[Direction]]="L",Table13[[#This Row],[Steps]]&gt;G3033,G3033&lt;&gt;0),1,0)</f>
        <v>0</v>
      </c>
      <c r="I3034">
        <f>IF(AND(Table13[[#This Row],[Direction]]="R",(G3033+Table13[[#This Row],[Steps]])&gt;100),1,0)</f>
        <v>0</v>
      </c>
      <c r="J3034">
        <f>IF(Table13[[#This Row],[POS]]=0,1,0)</f>
        <v>0</v>
      </c>
      <c r="K3034">
        <f>SUM(Table13[[#This Row],[prefix]],Table13[[#This Row],[Past zero L]],Table13[[#This Row],[Past Zero R]],Table13[[#This Row],[Is Zero]])</f>
        <v>0</v>
      </c>
    </row>
    <row r="3035" spans="1:11" ht="16" x14ac:dyDescent="0.2">
      <c r="A3035" s="1" t="s">
        <v>134</v>
      </c>
      <c r="B3035" t="str">
        <f>LEFT(Table13[[#This Row],[Input]],1)</f>
        <v>L</v>
      </c>
      <c r="C3035">
        <f>_xlfn.LET(_xlpm.steps,SUBSTITUTE(Table13[[#This Row],[Input]],Table13[[#This Row],[Direction]],""),VALUE(IF(LEN(_xlpm.steps)&gt;2,RIGHT(_xlpm.steps,2),_xlpm.steps)))</f>
        <v>95</v>
      </c>
      <c r="D3035">
        <f>_xlfn.LET(_xlpm.steps,SUBSTITUTE(Table13[[#This Row],[Input]],Table13[[#This Row],[Direction]],""),VALUE(IF(LEN(_xlpm.steps)&gt;2,LEFT(_xlpm.steps,LEN(_xlpm.steps)-2),0)))</f>
        <v>0</v>
      </c>
      <c r="E3035">
        <f>_xlfn.LET(_xlpm.dir,Table13[[#This Row],[Direction]],
IF(_xlpm.dir="L",
    IF(G3034-Table13[[#This Row],[Steps]]&lt;0,100+(G3034-Table13[[#This Row],[Steps]]),G3034-Table13[[#This Row],[Steps]]),
))</f>
        <v>0</v>
      </c>
      <c r="F3035">
        <f>_xlfn.LET(_xlpm.dir,Table13[[#This Row],[Direction]],
IF(_xlpm.dir="R",
    IF(G3034+Table13[[#This Row],[Steps]]&gt;99,(G3034+Table13[[#This Row],[Steps]])-100,G3034+Table13[[#This Row],[Steps]]),
))</f>
        <v>0</v>
      </c>
      <c r="G3035">
        <f>IF(Table13[[#This Row],[New Pos L]]&lt;&gt;0,Table13[[#This Row],[New Pos L]],Table13[[#This Row],[New Pos R]])</f>
        <v>0</v>
      </c>
      <c r="H3035">
        <f>IF(AND(Table13[[#This Row],[Direction]]="L",Table13[[#This Row],[Steps]]&gt;G3034,G3034&lt;&gt;0),1,0)</f>
        <v>0</v>
      </c>
      <c r="I3035">
        <f>IF(AND(Table13[[#This Row],[Direction]]="R",(G3034+Table13[[#This Row],[Steps]])&gt;100),1,0)</f>
        <v>0</v>
      </c>
      <c r="J3035">
        <f>IF(Table13[[#This Row],[POS]]=0,1,0)</f>
        <v>1</v>
      </c>
      <c r="K3035">
        <f>SUM(Table13[[#This Row],[prefix]],Table13[[#This Row],[Past zero L]],Table13[[#This Row],[Past Zero R]],Table13[[#This Row],[Is Zero]])</f>
        <v>1</v>
      </c>
    </row>
    <row r="3036" spans="1:11" ht="16" x14ac:dyDescent="0.2">
      <c r="A3036" s="1" t="s">
        <v>134</v>
      </c>
      <c r="B3036" t="str">
        <f>LEFT(Table13[[#This Row],[Input]],1)</f>
        <v>L</v>
      </c>
      <c r="C3036">
        <f>_xlfn.LET(_xlpm.steps,SUBSTITUTE(Table13[[#This Row],[Input]],Table13[[#This Row],[Direction]],""),VALUE(IF(LEN(_xlpm.steps)&gt;2,RIGHT(_xlpm.steps,2),_xlpm.steps)))</f>
        <v>95</v>
      </c>
      <c r="D3036">
        <f>_xlfn.LET(_xlpm.steps,SUBSTITUTE(Table13[[#This Row],[Input]],Table13[[#This Row],[Direction]],""),VALUE(IF(LEN(_xlpm.steps)&gt;2,LEFT(_xlpm.steps,LEN(_xlpm.steps)-2),0)))</f>
        <v>0</v>
      </c>
      <c r="E3036">
        <f>_xlfn.LET(_xlpm.dir,Table13[[#This Row],[Direction]],
IF(_xlpm.dir="L",
    IF(G3035-Table13[[#This Row],[Steps]]&lt;0,100+(G3035-Table13[[#This Row],[Steps]]),G3035-Table13[[#This Row],[Steps]]),
))</f>
        <v>5</v>
      </c>
      <c r="F3036">
        <f>_xlfn.LET(_xlpm.dir,Table13[[#This Row],[Direction]],
IF(_xlpm.dir="R",
    IF(G3035+Table13[[#This Row],[Steps]]&gt;99,(G3035+Table13[[#This Row],[Steps]])-100,G3035+Table13[[#This Row],[Steps]]),
))</f>
        <v>0</v>
      </c>
      <c r="G3036">
        <f>IF(Table13[[#This Row],[New Pos L]]&lt;&gt;0,Table13[[#This Row],[New Pos L]],Table13[[#This Row],[New Pos R]])</f>
        <v>5</v>
      </c>
      <c r="H3036">
        <f>IF(AND(Table13[[#This Row],[Direction]]="L",Table13[[#This Row],[Steps]]&gt;G3035,G3035&lt;&gt;0),1,0)</f>
        <v>0</v>
      </c>
      <c r="I3036">
        <f>IF(AND(Table13[[#This Row],[Direction]]="R",(G3035+Table13[[#This Row],[Steps]])&gt;100),1,0)</f>
        <v>0</v>
      </c>
      <c r="J3036">
        <f>IF(Table13[[#This Row],[POS]]=0,1,0)</f>
        <v>0</v>
      </c>
      <c r="K3036">
        <f>SUM(Table13[[#This Row],[prefix]],Table13[[#This Row],[Past zero L]],Table13[[#This Row],[Past Zero R]],Table13[[#This Row],[Is Zero]])</f>
        <v>0</v>
      </c>
    </row>
    <row r="3037" spans="1:11" ht="16" x14ac:dyDescent="0.2">
      <c r="A3037" s="1" t="s">
        <v>296</v>
      </c>
      <c r="B3037" t="str">
        <f>LEFT(Table13[[#This Row],[Input]],1)</f>
        <v>R</v>
      </c>
      <c r="C3037">
        <f>_xlfn.LET(_xlpm.steps,SUBSTITUTE(Table13[[#This Row],[Input]],Table13[[#This Row],[Direction]],""),VALUE(IF(LEN(_xlpm.steps)&gt;2,RIGHT(_xlpm.steps,2),_xlpm.steps)))</f>
        <v>19</v>
      </c>
      <c r="D3037">
        <f>_xlfn.LET(_xlpm.steps,SUBSTITUTE(Table13[[#This Row],[Input]],Table13[[#This Row],[Direction]],""),VALUE(IF(LEN(_xlpm.steps)&gt;2,LEFT(_xlpm.steps,LEN(_xlpm.steps)-2),0)))</f>
        <v>0</v>
      </c>
      <c r="E3037">
        <f>_xlfn.LET(_xlpm.dir,Table13[[#This Row],[Direction]],
IF(_xlpm.dir="L",
    IF(G3036-Table13[[#This Row],[Steps]]&lt;0,100+(G3036-Table13[[#This Row],[Steps]]),G3036-Table13[[#This Row],[Steps]]),
))</f>
        <v>0</v>
      </c>
      <c r="F3037">
        <f>_xlfn.LET(_xlpm.dir,Table13[[#This Row],[Direction]],
IF(_xlpm.dir="R",
    IF(G3036+Table13[[#This Row],[Steps]]&gt;99,(G3036+Table13[[#This Row],[Steps]])-100,G3036+Table13[[#This Row],[Steps]]),
))</f>
        <v>24</v>
      </c>
      <c r="G3037">
        <f>IF(Table13[[#This Row],[New Pos L]]&lt;&gt;0,Table13[[#This Row],[New Pos L]],Table13[[#This Row],[New Pos R]])</f>
        <v>24</v>
      </c>
      <c r="H3037">
        <f>IF(AND(Table13[[#This Row],[Direction]]="L",Table13[[#This Row],[Steps]]&gt;G3036,G3036&lt;&gt;0),1,0)</f>
        <v>0</v>
      </c>
      <c r="I3037">
        <f>IF(AND(Table13[[#This Row],[Direction]]="R",(G3036+Table13[[#This Row],[Steps]])&gt;100),1,0)</f>
        <v>0</v>
      </c>
      <c r="J3037">
        <f>IF(Table13[[#This Row],[POS]]=0,1,0)</f>
        <v>0</v>
      </c>
      <c r="K3037">
        <f>SUM(Table13[[#This Row],[prefix]],Table13[[#This Row],[Past zero L]],Table13[[#This Row],[Past Zero R]],Table13[[#This Row],[Is Zero]])</f>
        <v>0</v>
      </c>
    </row>
    <row r="3038" spans="1:11" ht="16" x14ac:dyDescent="0.2">
      <c r="A3038" s="1" t="s">
        <v>134</v>
      </c>
      <c r="B3038" t="str">
        <f>LEFT(Table13[[#This Row],[Input]],1)</f>
        <v>L</v>
      </c>
      <c r="C3038">
        <f>_xlfn.LET(_xlpm.steps,SUBSTITUTE(Table13[[#This Row],[Input]],Table13[[#This Row],[Direction]],""),VALUE(IF(LEN(_xlpm.steps)&gt;2,RIGHT(_xlpm.steps,2),_xlpm.steps)))</f>
        <v>95</v>
      </c>
      <c r="D3038">
        <f>_xlfn.LET(_xlpm.steps,SUBSTITUTE(Table13[[#This Row],[Input]],Table13[[#This Row],[Direction]],""),VALUE(IF(LEN(_xlpm.steps)&gt;2,LEFT(_xlpm.steps,LEN(_xlpm.steps)-2),0)))</f>
        <v>0</v>
      </c>
      <c r="E3038">
        <f>_xlfn.LET(_xlpm.dir,Table13[[#This Row],[Direction]],
IF(_xlpm.dir="L",
    IF(G3037-Table13[[#This Row],[Steps]]&lt;0,100+(G3037-Table13[[#This Row],[Steps]]),G3037-Table13[[#This Row],[Steps]]),
))</f>
        <v>29</v>
      </c>
      <c r="F3038">
        <f>_xlfn.LET(_xlpm.dir,Table13[[#This Row],[Direction]],
IF(_xlpm.dir="R",
    IF(G3037+Table13[[#This Row],[Steps]]&gt;99,(G3037+Table13[[#This Row],[Steps]])-100,G3037+Table13[[#This Row],[Steps]]),
))</f>
        <v>0</v>
      </c>
      <c r="G3038">
        <f>IF(Table13[[#This Row],[New Pos L]]&lt;&gt;0,Table13[[#This Row],[New Pos L]],Table13[[#This Row],[New Pos R]])</f>
        <v>29</v>
      </c>
      <c r="H3038">
        <f>IF(AND(Table13[[#This Row],[Direction]]="L",Table13[[#This Row],[Steps]]&gt;G3037,G3037&lt;&gt;0),1,0)</f>
        <v>1</v>
      </c>
      <c r="I3038">
        <f>IF(AND(Table13[[#This Row],[Direction]]="R",(G3037+Table13[[#This Row],[Steps]])&gt;100),1,0)</f>
        <v>0</v>
      </c>
      <c r="J3038">
        <f>IF(Table13[[#This Row],[POS]]=0,1,0)</f>
        <v>0</v>
      </c>
      <c r="K3038">
        <f>SUM(Table13[[#This Row],[prefix]],Table13[[#This Row],[Past zero L]],Table13[[#This Row],[Past Zero R]],Table13[[#This Row],[Is Zero]])</f>
        <v>1</v>
      </c>
    </row>
    <row r="3039" spans="1:11" ht="16" x14ac:dyDescent="0.2">
      <c r="A3039" s="1" t="s">
        <v>115</v>
      </c>
      <c r="B3039" t="str">
        <f>LEFT(Table13[[#This Row],[Input]],1)</f>
        <v>L</v>
      </c>
      <c r="C3039">
        <f>_xlfn.LET(_xlpm.steps,SUBSTITUTE(Table13[[#This Row],[Input]],Table13[[#This Row],[Direction]],""),VALUE(IF(LEN(_xlpm.steps)&gt;2,RIGHT(_xlpm.steps,2),_xlpm.steps)))</f>
        <v>29</v>
      </c>
      <c r="D3039">
        <f>_xlfn.LET(_xlpm.steps,SUBSTITUTE(Table13[[#This Row],[Input]],Table13[[#This Row],[Direction]],""),VALUE(IF(LEN(_xlpm.steps)&gt;2,LEFT(_xlpm.steps,LEN(_xlpm.steps)-2),0)))</f>
        <v>0</v>
      </c>
      <c r="E3039">
        <f>_xlfn.LET(_xlpm.dir,Table13[[#This Row],[Direction]],
IF(_xlpm.dir="L",
    IF(G3038-Table13[[#This Row],[Steps]]&lt;0,100+(G3038-Table13[[#This Row],[Steps]]),G3038-Table13[[#This Row],[Steps]]),
))</f>
        <v>0</v>
      </c>
      <c r="F3039">
        <f>_xlfn.LET(_xlpm.dir,Table13[[#This Row],[Direction]],
IF(_xlpm.dir="R",
    IF(G3038+Table13[[#This Row],[Steps]]&gt;99,(G3038+Table13[[#This Row],[Steps]])-100,G3038+Table13[[#This Row],[Steps]]),
))</f>
        <v>0</v>
      </c>
      <c r="G3039">
        <f>IF(Table13[[#This Row],[New Pos L]]&lt;&gt;0,Table13[[#This Row],[New Pos L]],Table13[[#This Row],[New Pos R]])</f>
        <v>0</v>
      </c>
      <c r="H3039">
        <f>IF(AND(Table13[[#This Row],[Direction]]="L",Table13[[#This Row],[Steps]]&gt;G3038,G3038&lt;&gt;0),1,0)</f>
        <v>0</v>
      </c>
      <c r="I3039">
        <f>IF(AND(Table13[[#This Row],[Direction]]="R",(G3038+Table13[[#This Row],[Steps]])&gt;100),1,0)</f>
        <v>0</v>
      </c>
      <c r="J3039">
        <f>IF(Table13[[#This Row],[POS]]=0,1,0)</f>
        <v>1</v>
      </c>
      <c r="K3039">
        <f>SUM(Table13[[#This Row],[prefix]],Table13[[#This Row],[Past zero L]],Table13[[#This Row],[Past Zero R]],Table13[[#This Row],[Is Zero]])</f>
        <v>1</v>
      </c>
    </row>
    <row r="3040" spans="1:11" ht="16" x14ac:dyDescent="0.2">
      <c r="A3040" s="1" t="s">
        <v>125</v>
      </c>
      <c r="B3040" t="str">
        <f>LEFT(Table13[[#This Row],[Input]],1)</f>
        <v>L</v>
      </c>
      <c r="C3040">
        <f>_xlfn.LET(_xlpm.steps,SUBSTITUTE(Table13[[#This Row],[Input]],Table13[[#This Row],[Direction]],""),VALUE(IF(LEN(_xlpm.steps)&gt;2,RIGHT(_xlpm.steps,2),_xlpm.steps)))</f>
        <v>76</v>
      </c>
      <c r="D3040">
        <f>_xlfn.LET(_xlpm.steps,SUBSTITUTE(Table13[[#This Row],[Input]],Table13[[#This Row],[Direction]],""),VALUE(IF(LEN(_xlpm.steps)&gt;2,LEFT(_xlpm.steps,LEN(_xlpm.steps)-2),0)))</f>
        <v>0</v>
      </c>
      <c r="E3040">
        <f>_xlfn.LET(_xlpm.dir,Table13[[#This Row],[Direction]],
IF(_xlpm.dir="L",
    IF(G3039-Table13[[#This Row],[Steps]]&lt;0,100+(G3039-Table13[[#This Row],[Steps]]),G3039-Table13[[#This Row],[Steps]]),
))</f>
        <v>24</v>
      </c>
      <c r="F3040">
        <f>_xlfn.LET(_xlpm.dir,Table13[[#This Row],[Direction]],
IF(_xlpm.dir="R",
    IF(G3039+Table13[[#This Row],[Steps]]&gt;99,(G3039+Table13[[#This Row],[Steps]])-100,G3039+Table13[[#This Row],[Steps]]),
))</f>
        <v>0</v>
      </c>
      <c r="G3040">
        <f>IF(Table13[[#This Row],[New Pos L]]&lt;&gt;0,Table13[[#This Row],[New Pos L]],Table13[[#This Row],[New Pos R]])</f>
        <v>24</v>
      </c>
      <c r="H3040">
        <f>IF(AND(Table13[[#This Row],[Direction]]="L",Table13[[#This Row],[Steps]]&gt;G3039,G3039&lt;&gt;0),1,0)</f>
        <v>0</v>
      </c>
      <c r="I3040">
        <f>IF(AND(Table13[[#This Row],[Direction]]="R",(G3039+Table13[[#This Row],[Steps]])&gt;100),1,0)</f>
        <v>0</v>
      </c>
      <c r="J3040">
        <f>IF(Table13[[#This Row],[POS]]=0,1,0)</f>
        <v>0</v>
      </c>
      <c r="K3040">
        <f>SUM(Table13[[#This Row],[prefix]],Table13[[#This Row],[Past zero L]],Table13[[#This Row],[Past Zero R]],Table13[[#This Row],[Is Zero]])</f>
        <v>0</v>
      </c>
    </row>
    <row r="3041" spans="1:11" ht="16" x14ac:dyDescent="0.2">
      <c r="A3041" s="1" t="s">
        <v>157</v>
      </c>
      <c r="B3041" t="str">
        <f>LEFT(Table13[[#This Row],[Input]],1)</f>
        <v>R</v>
      </c>
      <c r="C3041">
        <f>_xlfn.LET(_xlpm.steps,SUBSTITUTE(Table13[[#This Row],[Input]],Table13[[#This Row],[Direction]],""),VALUE(IF(LEN(_xlpm.steps)&gt;2,RIGHT(_xlpm.steps,2),_xlpm.steps)))</f>
        <v>68</v>
      </c>
      <c r="D3041">
        <f>_xlfn.LET(_xlpm.steps,SUBSTITUTE(Table13[[#This Row],[Input]],Table13[[#This Row],[Direction]],""),VALUE(IF(LEN(_xlpm.steps)&gt;2,LEFT(_xlpm.steps,LEN(_xlpm.steps)-2),0)))</f>
        <v>0</v>
      </c>
      <c r="E3041">
        <f>_xlfn.LET(_xlpm.dir,Table13[[#This Row],[Direction]],
IF(_xlpm.dir="L",
    IF(G3040-Table13[[#This Row],[Steps]]&lt;0,100+(G3040-Table13[[#This Row],[Steps]]),G3040-Table13[[#This Row],[Steps]]),
))</f>
        <v>0</v>
      </c>
      <c r="F3041">
        <f>_xlfn.LET(_xlpm.dir,Table13[[#This Row],[Direction]],
IF(_xlpm.dir="R",
    IF(G3040+Table13[[#This Row],[Steps]]&gt;99,(G3040+Table13[[#This Row],[Steps]])-100,G3040+Table13[[#This Row],[Steps]]),
))</f>
        <v>92</v>
      </c>
      <c r="G3041">
        <f>IF(Table13[[#This Row],[New Pos L]]&lt;&gt;0,Table13[[#This Row],[New Pos L]],Table13[[#This Row],[New Pos R]])</f>
        <v>92</v>
      </c>
      <c r="H3041">
        <f>IF(AND(Table13[[#This Row],[Direction]]="L",Table13[[#This Row],[Steps]]&gt;G3040,G3040&lt;&gt;0),1,0)</f>
        <v>0</v>
      </c>
      <c r="I3041">
        <f>IF(AND(Table13[[#This Row],[Direction]]="R",(G3040+Table13[[#This Row],[Steps]])&gt;100),1,0)</f>
        <v>0</v>
      </c>
      <c r="J3041">
        <f>IF(Table13[[#This Row],[POS]]=0,1,0)</f>
        <v>0</v>
      </c>
      <c r="K3041">
        <f>SUM(Table13[[#This Row],[prefix]],Table13[[#This Row],[Past zero L]],Table13[[#This Row],[Past Zero R]],Table13[[#This Row],[Is Zero]])</f>
        <v>0</v>
      </c>
    </row>
    <row r="3042" spans="1:11" ht="16" x14ac:dyDescent="0.2">
      <c r="A3042" s="1" t="s">
        <v>213</v>
      </c>
      <c r="B3042" t="str">
        <f>LEFT(Table13[[#This Row],[Input]],1)</f>
        <v>R</v>
      </c>
      <c r="C3042">
        <f>_xlfn.LET(_xlpm.steps,SUBSTITUTE(Table13[[#This Row],[Input]],Table13[[#This Row],[Direction]],""),VALUE(IF(LEN(_xlpm.steps)&gt;2,RIGHT(_xlpm.steps,2),_xlpm.steps)))</f>
        <v>87</v>
      </c>
      <c r="D3042">
        <f>_xlfn.LET(_xlpm.steps,SUBSTITUTE(Table13[[#This Row],[Input]],Table13[[#This Row],[Direction]],""),VALUE(IF(LEN(_xlpm.steps)&gt;2,LEFT(_xlpm.steps,LEN(_xlpm.steps)-2),0)))</f>
        <v>0</v>
      </c>
      <c r="E3042">
        <f>_xlfn.LET(_xlpm.dir,Table13[[#This Row],[Direction]],
IF(_xlpm.dir="L",
    IF(G3041-Table13[[#This Row],[Steps]]&lt;0,100+(G3041-Table13[[#This Row],[Steps]]),G3041-Table13[[#This Row],[Steps]]),
))</f>
        <v>0</v>
      </c>
      <c r="F3042">
        <f>_xlfn.LET(_xlpm.dir,Table13[[#This Row],[Direction]],
IF(_xlpm.dir="R",
    IF(G3041+Table13[[#This Row],[Steps]]&gt;99,(G3041+Table13[[#This Row],[Steps]])-100,G3041+Table13[[#This Row],[Steps]]),
))</f>
        <v>79</v>
      </c>
      <c r="G3042">
        <f>IF(Table13[[#This Row],[New Pos L]]&lt;&gt;0,Table13[[#This Row],[New Pos L]],Table13[[#This Row],[New Pos R]])</f>
        <v>79</v>
      </c>
      <c r="H3042">
        <f>IF(AND(Table13[[#This Row],[Direction]]="L",Table13[[#This Row],[Steps]]&gt;G3041,G3041&lt;&gt;0),1,0)</f>
        <v>0</v>
      </c>
      <c r="I3042">
        <f>IF(AND(Table13[[#This Row],[Direction]]="R",(G3041+Table13[[#This Row],[Steps]])&gt;100),1,0)</f>
        <v>1</v>
      </c>
      <c r="J3042">
        <f>IF(Table13[[#This Row],[POS]]=0,1,0)</f>
        <v>0</v>
      </c>
      <c r="K3042">
        <f>SUM(Table13[[#This Row],[prefix]],Table13[[#This Row],[Past zero L]],Table13[[#This Row],[Past Zero R]],Table13[[#This Row],[Is Zero]])</f>
        <v>1</v>
      </c>
    </row>
    <row r="3043" spans="1:11" ht="16" x14ac:dyDescent="0.2">
      <c r="A3043" s="1" t="s">
        <v>319</v>
      </c>
      <c r="B3043" t="str">
        <f>LEFT(Table13[[#This Row],[Input]],1)</f>
        <v>L</v>
      </c>
      <c r="C3043">
        <f>_xlfn.LET(_xlpm.steps,SUBSTITUTE(Table13[[#This Row],[Input]],Table13[[#This Row],[Direction]],""),VALUE(IF(LEN(_xlpm.steps)&gt;2,RIGHT(_xlpm.steps,2),_xlpm.steps)))</f>
        <v>79</v>
      </c>
      <c r="D3043">
        <f>_xlfn.LET(_xlpm.steps,SUBSTITUTE(Table13[[#This Row],[Input]],Table13[[#This Row],[Direction]],""),VALUE(IF(LEN(_xlpm.steps)&gt;2,LEFT(_xlpm.steps,LEN(_xlpm.steps)-2),0)))</f>
        <v>0</v>
      </c>
      <c r="E3043">
        <f>_xlfn.LET(_xlpm.dir,Table13[[#This Row],[Direction]],
IF(_xlpm.dir="L",
    IF(G3042-Table13[[#This Row],[Steps]]&lt;0,100+(G3042-Table13[[#This Row],[Steps]]),G3042-Table13[[#This Row],[Steps]]),
))</f>
        <v>0</v>
      </c>
      <c r="F3043">
        <f>_xlfn.LET(_xlpm.dir,Table13[[#This Row],[Direction]],
IF(_xlpm.dir="R",
    IF(G3042+Table13[[#This Row],[Steps]]&gt;99,(G3042+Table13[[#This Row],[Steps]])-100,G3042+Table13[[#This Row],[Steps]]),
))</f>
        <v>0</v>
      </c>
      <c r="G3043">
        <f>IF(Table13[[#This Row],[New Pos L]]&lt;&gt;0,Table13[[#This Row],[New Pos L]],Table13[[#This Row],[New Pos R]])</f>
        <v>0</v>
      </c>
      <c r="H3043">
        <f>IF(AND(Table13[[#This Row],[Direction]]="L",Table13[[#This Row],[Steps]]&gt;G3042,G3042&lt;&gt;0),1,0)</f>
        <v>0</v>
      </c>
      <c r="I3043">
        <f>IF(AND(Table13[[#This Row],[Direction]]="R",(G3042+Table13[[#This Row],[Steps]])&gt;100),1,0)</f>
        <v>0</v>
      </c>
      <c r="J3043">
        <f>IF(Table13[[#This Row],[POS]]=0,1,0)</f>
        <v>1</v>
      </c>
      <c r="K3043">
        <f>SUM(Table13[[#This Row],[prefix]],Table13[[#This Row],[Past zero L]],Table13[[#This Row],[Past Zero R]],Table13[[#This Row],[Is Zero]])</f>
        <v>1</v>
      </c>
    </row>
    <row r="3044" spans="1:11" ht="16" x14ac:dyDescent="0.2">
      <c r="A3044" s="1" t="s">
        <v>461</v>
      </c>
      <c r="B3044" t="str">
        <f>LEFT(Table13[[#This Row],[Input]],1)</f>
        <v>L</v>
      </c>
      <c r="C3044">
        <f>_xlfn.LET(_xlpm.steps,SUBSTITUTE(Table13[[#This Row],[Input]],Table13[[#This Row],[Direction]],""),VALUE(IF(LEN(_xlpm.steps)&gt;2,RIGHT(_xlpm.steps,2),_xlpm.steps)))</f>
        <v>77</v>
      </c>
      <c r="D3044">
        <f>_xlfn.LET(_xlpm.steps,SUBSTITUTE(Table13[[#This Row],[Input]],Table13[[#This Row],[Direction]],""),VALUE(IF(LEN(_xlpm.steps)&gt;2,LEFT(_xlpm.steps,LEN(_xlpm.steps)-2),0)))</f>
        <v>5</v>
      </c>
      <c r="E3044">
        <f>_xlfn.LET(_xlpm.dir,Table13[[#This Row],[Direction]],
IF(_xlpm.dir="L",
    IF(G3043-Table13[[#This Row],[Steps]]&lt;0,100+(G3043-Table13[[#This Row],[Steps]]),G3043-Table13[[#This Row],[Steps]]),
))</f>
        <v>23</v>
      </c>
      <c r="F3044">
        <f>_xlfn.LET(_xlpm.dir,Table13[[#This Row],[Direction]],
IF(_xlpm.dir="R",
    IF(G3043+Table13[[#This Row],[Steps]]&gt;99,(G3043+Table13[[#This Row],[Steps]])-100,G3043+Table13[[#This Row],[Steps]]),
))</f>
        <v>0</v>
      </c>
      <c r="G3044">
        <f>IF(Table13[[#This Row],[New Pos L]]&lt;&gt;0,Table13[[#This Row],[New Pos L]],Table13[[#This Row],[New Pos R]])</f>
        <v>23</v>
      </c>
      <c r="H3044">
        <f>IF(AND(Table13[[#This Row],[Direction]]="L",Table13[[#This Row],[Steps]]&gt;G3043,G3043&lt;&gt;0),1,0)</f>
        <v>0</v>
      </c>
      <c r="I3044">
        <f>IF(AND(Table13[[#This Row],[Direction]]="R",(G3043+Table13[[#This Row],[Steps]])&gt;100),1,0)</f>
        <v>0</v>
      </c>
      <c r="J3044">
        <f>IF(Table13[[#This Row],[POS]]=0,1,0)</f>
        <v>0</v>
      </c>
      <c r="K3044">
        <f>SUM(Table13[[#This Row],[prefix]],Table13[[#This Row],[Past zero L]],Table13[[#This Row],[Past Zero R]],Table13[[#This Row],[Is Zero]])</f>
        <v>5</v>
      </c>
    </row>
    <row r="3045" spans="1:11" ht="16" x14ac:dyDescent="0.2">
      <c r="A3045" s="1" t="s">
        <v>44</v>
      </c>
      <c r="B3045" t="str">
        <f>LEFT(Table13[[#This Row],[Input]],1)</f>
        <v>R</v>
      </c>
      <c r="C3045">
        <f>_xlfn.LET(_xlpm.steps,SUBSTITUTE(Table13[[#This Row],[Input]],Table13[[#This Row],[Direction]],""),VALUE(IF(LEN(_xlpm.steps)&gt;2,RIGHT(_xlpm.steps,2),_xlpm.steps)))</f>
        <v>96</v>
      </c>
      <c r="D3045">
        <f>_xlfn.LET(_xlpm.steps,SUBSTITUTE(Table13[[#This Row],[Input]],Table13[[#This Row],[Direction]],""),VALUE(IF(LEN(_xlpm.steps)&gt;2,LEFT(_xlpm.steps,LEN(_xlpm.steps)-2),0)))</f>
        <v>0</v>
      </c>
      <c r="E3045">
        <f>_xlfn.LET(_xlpm.dir,Table13[[#This Row],[Direction]],
IF(_xlpm.dir="L",
    IF(G3044-Table13[[#This Row],[Steps]]&lt;0,100+(G3044-Table13[[#This Row],[Steps]]),G3044-Table13[[#This Row],[Steps]]),
))</f>
        <v>0</v>
      </c>
      <c r="F3045">
        <f>_xlfn.LET(_xlpm.dir,Table13[[#This Row],[Direction]],
IF(_xlpm.dir="R",
    IF(G3044+Table13[[#This Row],[Steps]]&gt;99,(G3044+Table13[[#This Row],[Steps]])-100,G3044+Table13[[#This Row],[Steps]]),
))</f>
        <v>19</v>
      </c>
      <c r="G3045">
        <f>IF(Table13[[#This Row],[New Pos L]]&lt;&gt;0,Table13[[#This Row],[New Pos L]],Table13[[#This Row],[New Pos R]])</f>
        <v>19</v>
      </c>
      <c r="H3045">
        <f>IF(AND(Table13[[#This Row],[Direction]]="L",Table13[[#This Row],[Steps]]&gt;G3044,G3044&lt;&gt;0),1,0)</f>
        <v>0</v>
      </c>
      <c r="I3045">
        <f>IF(AND(Table13[[#This Row],[Direction]]="R",(G3044+Table13[[#This Row],[Steps]])&gt;100),1,0)</f>
        <v>1</v>
      </c>
      <c r="J3045">
        <f>IF(Table13[[#This Row],[POS]]=0,1,0)</f>
        <v>0</v>
      </c>
      <c r="K3045">
        <f>SUM(Table13[[#This Row],[prefix]],Table13[[#This Row],[Past zero L]],Table13[[#This Row],[Past Zero R]],Table13[[#This Row],[Is Zero]])</f>
        <v>1</v>
      </c>
    </row>
    <row r="3046" spans="1:11" ht="16" x14ac:dyDescent="0.2">
      <c r="A3046" s="1" t="s">
        <v>254</v>
      </c>
      <c r="B3046" t="str">
        <f>LEFT(Table13[[#This Row],[Input]],1)</f>
        <v>R</v>
      </c>
      <c r="C3046">
        <f>_xlfn.LET(_xlpm.steps,SUBSTITUTE(Table13[[#This Row],[Input]],Table13[[#This Row],[Direction]],""),VALUE(IF(LEN(_xlpm.steps)&gt;2,RIGHT(_xlpm.steps,2),_xlpm.steps)))</f>
        <v>84</v>
      </c>
      <c r="D3046">
        <f>_xlfn.LET(_xlpm.steps,SUBSTITUTE(Table13[[#This Row],[Input]],Table13[[#This Row],[Direction]],""),VALUE(IF(LEN(_xlpm.steps)&gt;2,LEFT(_xlpm.steps,LEN(_xlpm.steps)-2),0)))</f>
        <v>0</v>
      </c>
      <c r="E3046">
        <f>_xlfn.LET(_xlpm.dir,Table13[[#This Row],[Direction]],
IF(_xlpm.dir="L",
    IF(G3045-Table13[[#This Row],[Steps]]&lt;0,100+(G3045-Table13[[#This Row],[Steps]]),G3045-Table13[[#This Row],[Steps]]),
))</f>
        <v>0</v>
      </c>
      <c r="F3046">
        <f>_xlfn.LET(_xlpm.dir,Table13[[#This Row],[Direction]],
IF(_xlpm.dir="R",
    IF(G3045+Table13[[#This Row],[Steps]]&gt;99,(G3045+Table13[[#This Row],[Steps]])-100,G3045+Table13[[#This Row],[Steps]]),
))</f>
        <v>3</v>
      </c>
      <c r="G3046">
        <f>IF(Table13[[#This Row],[New Pos L]]&lt;&gt;0,Table13[[#This Row],[New Pos L]],Table13[[#This Row],[New Pos R]])</f>
        <v>3</v>
      </c>
      <c r="H3046">
        <f>IF(AND(Table13[[#This Row],[Direction]]="L",Table13[[#This Row],[Steps]]&gt;G3045,G3045&lt;&gt;0),1,0)</f>
        <v>0</v>
      </c>
      <c r="I3046">
        <f>IF(AND(Table13[[#This Row],[Direction]]="R",(G3045+Table13[[#This Row],[Steps]])&gt;100),1,0)</f>
        <v>1</v>
      </c>
      <c r="J3046">
        <f>IF(Table13[[#This Row],[POS]]=0,1,0)</f>
        <v>0</v>
      </c>
      <c r="K3046">
        <f>SUM(Table13[[#This Row],[prefix]],Table13[[#This Row],[Past zero L]],Table13[[#This Row],[Past Zero R]],Table13[[#This Row],[Is Zero]])</f>
        <v>1</v>
      </c>
    </row>
    <row r="3047" spans="1:11" ht="16" x14ac:dyDescent="0.2">
      <c r="A3047" s="1" t="s">
        <v>191</v>
      </c>
      <c r="B3047" t="str">
        <f>LEFT(Table13[[#This Row],[Input]],1)</f>
        <v>L</v>
      </c>
      <c r="C3047">
        <f>_xlfn.LET(_xlpm.steps,SUBSTITUTE(Table13[[#This Row],[Input]],Table13[[#This Row],[Direction]],""),VALUE(IF(LEN(_xlpm.steps)&gt;2,RIGHT(_xlpm.steps,2),_xlpm.steps)))</f>
        <v>5</v>
      </c>
      <c r="D3047">
        <f>_xlfn.LET(_xlpm.steps,SUBSTITUTE(Table13[[#This Row],[Input]],Table13[[#This Row],[Direction]],""),VALUE(IF(LEN(_xlpm.steps)&gt;2,LEFT(_xlpm.steps,LEN(_xlpm.steps)-2),0)))</f>
        <v>0</v>
      </c>
      <c r="E3047">
        <f>_xlfn.LET(_xlpm.dir,Table13[[#This Row],[Direction]],
IF(_xlpm.dir="L",
    IF(G3046-Table13[[#This Row],[Steps]]&lt;0,100+(G3046-Table13[[#This Row],[Steps]]),G3046-Table13[[#This Row],[Steps]]),
))</f>
        <v>98</v>
      </c>
      <c r="F3047">
        <f>_xlfn.LET(_xlpm.dir,Table13[[#This Row],[Direction]],
IF(_xlpm.dir="R",
    IF(G3046+Table13[[#This Row],[Steps]]&gt;99,(G3046+Table13[[#This Row],[Steps]])-100,G3046+Table13[[#This Row],[Steps]]),
))</f>
        <v>0</v>
      </c>
      <c r="G3047">
        <f>IF(Table13[[#This Row],[New Pos L]]&lt;&gt;0,Table13[[#This Row],[New Pos L]],Table13[[#This Row],[New Pos R]])</f>
        <v>98</v>
      </c>
      <c r="H3047">
        <f>IF(AND(Table13[[#This Row],[Direction]]="L",Table13[[#This Row],[Steps]]&gt;G3046,G3046&lt;&gt;0),1,0)</f>
        <v>1</v>
      </c>
      <c r="I3047">
        <f>IF(AND(Table13[[#This Row],[Direction]]="R",(G3046+Table13[[#This Row],[Steps]])&gt;100),1,0)</f>
        <v>0</v>
      </c>
      <c r="J3047">
        <f>IF(Table13[[#This Row],[POS]]=0,1,0)</f>
        <v>0</v>
      </c>
      <c r="K3047">
        <f>SUM(Table13[[#This Row],[prefix]],Table13[[#This Row],[Past zero L]],Table13[[#This Row],[Past Zero R]],Table13[[#This Row],[Is Zero]])</f>
        <v>1</v>
      </c>
    </row>
    <row r="3048" spans="1:11" ht="16" x14ac:dyDescent="0.2">
      <c r="A3048" s="1" t="s">
        <v>683</v>
      </c>
      <c r="B3048" t="str">
        <f>LEFT(Table13[[#This Row],[Input]],1)</f>
        <v>R</v>
      </c>
      <c r="C3048">
        <f>_xlfn.LET(_xlpm.steps,SUBSTITUTE(Table13[[#This Row],[Input]],Table13[[#This Row],[Direction]],""),VALUE(IF(LEN(_xlpm.steps)&gt;2,RIGHT(_xlpm.steps,2),_xlpm.steps)))</f>
        <v>18</v>
      </c>
      <c r="D3048">
        <f>_xlfn.LET(_xlpm.steps,SUBSTITUTE(Table13[[#This Row],[Input]],Table13[[#This Row],[Direction]],""),VALUE(IF(LEN(_xlpm.steps)&gt;2,LEFT(_xlpm.steps,LEN(_xlpm.steps)-2),0)))</f>
        <v>6</v>
      </c>
      <c r="E3048">
        <f>_xlfn.LET(_xlpm.dir,Table13[[#This Row],[Direction]],
IF(_xlpm.dir="L",
    IF(G3047-Table13[[#This Row],[Steps]]&lt;0,100+(G3047-Table13[[#This Row],[Steps]]),G3047-Table13[[#This Row],[Steps]]),
))</f>
        <v>0</v>
      </c>
      <c r="F3048">
        <f>_xlfn.LET(_xlpm.dir,Table13[[#This Row],[Direction]],
IF(_xlpm.dir="R",
    IF(G3047+Table13[[#This Row],[Steps]]&gt;99,(G3047+Table13[[#This Row],[Steps]])-100,G3047+Table13[[#This Row],[Steps]]),
))</f>
        <v>16</v>
      </c>
      <c r="G3048">
        <f>IF(Table13[[#This Row],[New Pos L]]&lt;&gt;0,Table13[[#This Row],[New Pos L]],Table13[[#This Row],[New Pos R]])</f>
        <v>16</v>
      </c>
      <c r="H3048">
        <f>IF(AND(Table13[[#This Row],[Direction]]="L",Table13[[#This Row],[Steps]]&gt;G3047,G3047&lt;&gt;0),1,0)</f>
        <v>0</v>
      </c>
      <c r="I3048">
        <f>IF(AND(Table13[[#This Row],[Direction]]="R",(G3047+Table13[[#This Row],[Steps]])&gt;100),1,0)</f>
        <v>1</v>
      </c>
      <c r="J3048">
        <f>IF(Table13[[#This Row],[POS]]=0,1,0)</f>
        <v>0</v>
      </c>
      <c r="K3048">
        <f>SUM(Table13[[#This Row],[prefix]],Table13[[#This Row],[Past zero L]],Table13[[#This Row],[Past Zero R]],Table13[[#This Row],[Is Zero]])</f>
        <v>7</v>
      </c>
    </row>
    <row r="3049" spans="1:11" ht="16" x14ac:dyDescent="0.2">
      <c r="A3049" s="1" t="s">
        <v>684</v>
      </c>
      <c r="B3049" t="str">
        <f>LEFT(Table13[[#This Row],[Input]],1)</f>
        <v>L</v>
      </c>
      <c r="C3049">
        <f>_xlfn.LET(_xlpm.steps,SUBSTITUTE(Table13[[#This Row],[Input]],Table13[[#This Row],[Direction]],""),VALUE(IF(LEN(_xlpm.steps)&gt;2,RIGHT(_xlpm.steps,2),_xlpm.steps)))</f>
        <v>13</v>
      </c>
      <c r="D3049">
        <f>_xlfn.LET(_xlpm.steps,SUBSTITUTE(Table13[[#This Row],[Input]],Table13[[#This Row],[Direction]],""),VALUE(IF(LEN(_xlpm.steps)&gt;2,LEFT(_xlpm.steps,LEN(_xlpm.steps)-2),0)))</f>
        <v>6</v>
      </c>
      <c r="E3049">
        <f>_xlfn.LET(_xlpm.dir,Table13[[#This Row],[Direction]],
IF(_xlpm.dir="L",
    IF(G3048-Table13[[#This Row],[Steps]]&lt;0,100+(G3048-Table13[[#This Row],[Steps]]),G3048-Table13[[#This Row],[Steps]]),
))</f>
        <v>3</v>
      </c>
      <c r="F3049">
        <f>_xlfn.LET(_xlpm.dir,Table13[[#This Row],[Direction]],
IF(_xlpm.dir="R",
    IF(G3048+Table13[[#This Row],[Steps]]&gt;99,(G3048+Table13[[#This Row],[Steps]])-100,G3048+Table13[[#This Row],[Steps]]),
))</f>
        <v>0</v>
      </c>
      <c r="G3049">
        <f>IF(Table13[[#This Row],[New Pos L]]&lt;&gt;0,Table13[[#This Row],[New Pos L]],Table13[[#This Row],[New Pos R]])</f>
        <v>3</v>
      </c>
      <c r="H3049">
        <f>IF(AND(Table13[[#This Row],[Direction]]="L",Table13[[#This Row],[Steps]]&gt;G3048,G3048&lt;&gt;0),1,0)</f>
        <v>0</v>
      </c>
      <c r="I3049">
        <f>IF(AND(Table13[[#This Row],[Direction]]="R",(G3048+Table13[[#This Row],[Steps]])&gt;100),1,0)</f>
        <v>0</v>
      </c>
      <c r="J3049">
        <f>IF(Table13[[#This Row],[POS]]=0,1,0)</f>
        <v>0</v>
      </c>
      <c r="K3049">
        <f>SUM(Table13[[#This Row],[prefix]],Table13[[#This Row],[Past zero L]],Table13[[#This Row],[Past Zero R]],Table13[[#This Row],[Is Zero]])</f>
        <v>6</v>
      </c>
    </row>
    <row r="3050" spans="1:11" ht="16" x14ac:dyDescent="0.2">
      <c r="A3050" s="1" t="s">
        <v>59</v>
      </c>
      <c r="B3050" t="str">
        <f>LEFT(Table13[[#This Row],[Input]],1)</f>
        <v>L</v>
      </c>
      <c r="C3050">
        <f>_xlfn.LET(_xlpm.steps,SUBSTITUTE(Table13[[#This Row],[Input]],Table13[[#This Row],[Direction]],""),VALUE(IF(LEN(_xlpm.steps)&gt;2,RIGHT(_xlpm.steps,2),_xlpm.steps)))</f>
        <v>6</v>
      </c>
      <c r="D3050">
        <f>_xlfn.LET(_xlpm.steps,SUBSTITUTE(Table13[[#This Row],[Input]],Table13[[#This Row],[Direction]],""),VALUE(IF(LEN(_xlpm.steps)&gt;2,LEFT(_xlpm.steps,LEN(_xlpm.steps)-2),0)))</f>
        <v>0</v>
      </c>
      <c r="E3050">
        <f>_xlfn.LET(_xlpm.dir,Table13[[#This Row],[Direction]],
IF(_xlpm.dir="L",
    IF(G3049-Table13[[#This Row],[Steps]]&lt;0,100+(G3049-Table13[[#This Row],[Steps]]),G3049-Table13[[#This Row],[Steps]]),
))</f>
        <v>97</v>
      </c>
      <c r="F3050">
        <f>_xlfn.LET(_xlpm.dir,Table13[[#This Row],[Direction]],
IF(_xlpm.dir="R",
    IF(G3049+Table13[[#This Row],[Steps]]&gt;99,(G3049+Table13[[#This Row],[Steps]])-100,G3049+Table13[[#This Row],[Steps]]),
))</f>
        <v>0</v>
      </c>
      <c r="G3050">
        <f>IF(Table13[[#This Row],[New Pos L]]&lt;&gt;0,Table13[[#This Row],[New Pos L]],Table13[[#This Row],[New Pos R]])</f>
        <v>97</v>
      </c>
      <c r="H3050">
        <f>IF(AND(Table13[[#This Row],[Direction]]="L",Table13[[#This Row],[Steps]]&gt;G3049,G3049&lt;&gt;0),1,0)</f>
        <v>1</v>
      </c>
      <c r="I3050">
        <f>IF(AND(Table13[[#This Row],[Direction]]="R",(G3049+Table13[[#This Row],[Steps]])&gt;100),1,0)</f>
        <v>0</v>
      </c>
      <c r="J3050">
        <f>IF(Table13[[#This Row],[POS]]=0,1,0)</f>
        <v>0</v>
      </c>
      <c r="K3050">
        <f>SUM(Table13[[#This Row],[prefix]],Table13[[#This Row],[Past zero L]],Table13[[#This Row],[Past Zero R]],Table13[[#This Row],[Is Zero]])</f>
        <v>1</v>
      </c>
    </row>
    <row r="3051" spans="1:11" ht="16" x14ac:dyDescent="0.2">
      <c r="A3051" s="1" t="s">
        <v>330</v>
      </c>
      <c r="B3051" t="str">
        <f>LEFT(Table13[[#This Row],[Input]],1)</f>
        <v>L</v>
      </c>
      <c r="C3051">
        <f>_xlfn.LET(_xlpm.steps,SUBSTITUTE(Table13[[#This Row],[Input]],Table13[[#This Row],[Direction]],""),VALUE(IF(LEN(_xlpm.steps)&gt;2,RIGHT(_xlpm.steps,2),_xlpm.steps)))</f>
        <v>47</v>
      </c>
      <c r="D3051">
        <f>_xlfn.LET(_xlpm.steps,SUBSTITUTE(Table13[[#This Row],[Input]],Table13[[#This Row],[Direction]],""),VALUE(IF(LEN(_xlpm.steps)&gt;2,LEFT(_xlpm.steps,LEN(_xlpm.steps)-2),0)))</f>
        <v>0</v>
      </c>
      <c r="E3051">
        <f>_xlfn.LET(_xlpm.dir,Table13[[#This Row],[Direction]],
IF(_xlpm.dir="L",
    IF(G3050-Table13[[#This Row],[Steps]]&lt;0,100+(G3050-Table13[[#This Row],[Steps]]),G3050-Table13[[#This Row],[Steps]]),
))</f>
        <v>50</v>
      </c>
      <c r="F3051">
        <f>_xlfn.LET(_xlpm.dir,Table13[[#This Row],[Direction]],
IF(_xlpm.dir="R",
    IF(G3050+Table13[[#This Row],[Steps]]&gt;99,(G3050+Table13[[#This Row],[Steps]])-100,G3050+Table13[[#This Row],[Steps]]),
))</f>
        <v>0</v>
      </c>
      <c r="G3051">
        <f>IF(Table13[[#This Row],[New Pos L]]&lt;&gt;0,Table13[[#This Row],[New Pos L]],Table13[[#This Row],[New Pos R]])</f>
        <v>50</v>
      </c>
      <c r="H3051">
        <f>IF(AND(Table13[[#This Row],[Direction]]="L",Table13[[#This Row],[Steps]]&gt;G3050,G3050&lt;&gt;0),1,0)</f>
        <v>0</v>
      </c>
      <c r="I3051">
        <f>IF(AND(Table13[[#This Row],[Direction]]="R",(G3050+Table13[[#This Row],[Steps]])&gt;100),1,0)</f>
        <v>0</v>
      </c>
      <c r="J3051">
        <f>IF(Table13[[#This Row],[POS]]=0,1,0)</f>
        <v>0</v>
      </c>
      <c r="K3051">
        <f>SUM(Table13[[#This Row],[prefix]],Table13[[#This Row],[Past zero L]],Table13[[#This Row],[Past Zero R]],Table13[[#This Row],[Is Zero]])</f>
        <v>0</v>
      </c>
    </row>
    <row r="3052" spans="1:11" ht="16" x14ac:dyDescent="0.2">
      <c r="A3052" s="1" t="s">
        <v>36</v>
      </c>
      <c r="B3052" t="str">
        <f>LEFT(Table13[[#This Row],[Input]],1)</f>
        <v>R</v>
      </c>
      <c r="C3052">
        <f>_xlfn.LET(_xlpm.steps,SUBSTITUTE(Table13[[#This Row],[Input]],Table13[[#This Row],[Direction]],""),VALUE(IF(LEN(_xlpm.steps)&gt;2,RIGHT(_xlpm.steps,2),_xlpm.steps)))</f>
        <v>50</v>
      </c>
      <c r="D3052">
        <f>_xlfn.LET(_xlpm.steps,SUBSTITUTE(Table13[[#This Row],[Input]],Table13[[#This Row],[Direction]],""),VALUE(IF(LEN(_xlpm.steps)&gt;2,LEFT(_xlpm.steps,LEN(_xlpm.steps)-2),0)))</f>
        <v>0</v>
      </c>
      <c r="E3052">
        <f>_xlfn.LET(_xlpm.dir,Table13[[#This Row],[Direction]],
IF(_xlpm.dir="L",
    IF(G3051-Table13[[#This Row],[Steps]]&lt;0,100+(G3051-Table13[[#This Row],[Steps]]),G3051-Table13[[#This Row],[Steps]]),
))</f>
        <v>0</v>
      </c>
      <c r="F3052">
        <f>_xlfn.LET(_xlpm.dir,Table13[[#This Row],[Direction]],
IF(_xlpm.dir="R",
    IF(G3051+Table13[[#This Row],[Steps]]&gt;99,(G3051+Table13[[#This Row],[Steps]])-100,G3051+Table13[[#This Row],[Steps]]),
))</f>
        <v>0</v>
      </c>
      <c r="G3052">
        <f>IF(Table13[[#This Row],[New Pos L]]&lt;&gt;0,Table13[[#This Row],[New Pos L]],Table13[[#This Row],[New Pos R]])</f>
        <v>0</v>
      </c>
      <c r="H3052">
        <f>IF(AND(Table13[[#This Row],[Direction]]="L",Table13[[#This Row],[Steps]]&gt;G3051,G3051&lt;&gt;0),1,0)</f>
        <v>0</v>
      </c>
      <c r="I3052">
        <f>IF(AND(Table13[[#This Row],[Direction]]="R",(G3051+Table13[[#This Row],[Steps]])&gt;100),1,0)</f>
        <v>0</v>
      </c>
      <c r="J3052">
        <f>IF(Table13[[#This Row],[POS]]=0,1,0)</f>
        <v>1</v>
      </c>
      <c r="K3052">
        <f>SUM(Table13[[#This Row],[prefix]],Table13[[#This Row],[Past zero L]],Table13[[#This Row],[Past Zero R]],Table13[[#This Row],[Is Zero]])</f>
        <v>1</v>
      </c>
    </row>
    <row r="3053" spans="1:11" ht="16" x14ac:dyDescent="0.2">
      <c r="A3053" s="1" t="s">
        <v>21</v>
      </c>
      <c r="B3053" t="str">
        <f>LEFT(Table13[[#This Row],[Input]],1)</f>
        <v>L</v>
      </c>
      <c r="C3053">
        <f>_xlfn.LET(_xlpm.steps,SUBSTITUTE(Table13[[#This Row],[Input]],Table13[[#This Row],[Direction]],""),VALUE(IF(LEN(_xlpm.steps)&gt;2,RIGHT(_xlpm.steps,2),_xlpm.steps)))</f>
        <v>36</v>
      </c>
      <c r="D3053">
        <f>_xlfn.LET(_xlpm.steps,SUBSTITUTE(Table13[[#This Row],[Input]],Table13[[#This Row],[Direction]],""),VALUE(IF(LEN(_xlpm.steps)&gt;2,LEFT(_xlpm.steps,LEN(_xlpm.steps)-2),0)))</f>
        <v>0</v>
      </c>
      <c r="E3053">
        <f>_xlfn.LET(_xlpm.dir,Table13[[#This Row],[Direction]],
IF(_xlpm.dir="L",
    IF(G3052-Table13[[#This Row],[Steps]]&lt;0,100+(G3052-Table13[[#This Row],[Steps]]),G3052-Table13[[#This Row],[Steps]]),
))</f>
        <v>64</v>
      </c>
      <c r="F3053">
        <f>_xlfn.LET(_xlpm.dir,Table13[[#This Row],[Direction]],
IF(_xlpm.dir="R",
    IF(G3052+Table13[[#This Row],[Steps]]&gt;99,(G3052+Table13[[#This Row],[Steps]])-100,G3052+Table13[[#This Row],[Steps]]),
))</f>
        <v>0</v>
      </c>
      <c r="G3053">
        <f>IF(Table13[[#This Row],[New Pos L]]&lt;&gt;0,Table13[[#This Row],[New Pos L]],Table13[[#This Row],[New Pos R]])</f>
        <v>64</v>
      </c>
      <c r="H3053">
        <f>IF(AND(Table13[[#This Row],[Direction]]="L",Table13[[#This Row],[Steps]]&gt;G3052,G3052&lt;&gt;0),1,0)</f>
        <v>0</v>
      </c>
      <c r="I3053">
        <f>IF(AND(Table13[[#This Row],[Direction]]="R",(G3052+Table13[[#This Row],[Steps]])&gt;100),1,0)</f>
        <v>0</v>
      </c>
      <c r="J3053">
        <f>IF(Table13[[#This Row],[POS]]=0,1,0)</f>
        <v>0</v>
      </c>
      <c r="K3053">
        <f>SUM(Table13[[#This Row],[prefix]],Table13[[#This Row],[Past zero L]],Table13[[#This Row],[Past Zero R]],Table13[[#This Row],[Is Zero]])</f>
        <v>0</v>
      </c>
    </row>
    <row r="3054" spans="1:11" ht="16" x14ac:dyDescent="0.2">
      <c r="A3054" s="1" t="s">
        <v>685</v>
      </c>
      <c r="B3054" t="str">
        <f>LEFT(Table13[[#This Row],[Input]],1)</f>
        <v>R</v>
      </c>
      <c r="C3054">
        <f>_xlfn.LET(_xlpm.steps,SUBSTITUTE(Table13[[#This Row],[Input]],Table13[[#This Row],[Direction]],""),VALUE(IF(LEN(_xlpm.steps)&gt;2,RIGHT(_xlpm.steps,2),_xlpm.steps)))</f>
        <v>41</v>
      </c>
      <c r="D3054">
        <f>_xlfn.LET(_xlpm.steps,SUBSTITUTE(Table13[[#This Row],[Input]],Table13[[#This Row],[Direction]],""),VALUE(IF(LEN(_xlpm.steps)&gt;2,LEFT(_xlpm.steps,LEN(_xlpm.steps)-2),0)))</f>
        <v>3</v>
      </c>
      <c r="E3054">
        <f>_xlfn.LET(_xlpm.dir,Table13[[#This Row],[Direction]],
IF(_xlpm.dir="L",
    IF(G3053-Table13[[#This Row],[Steps]]&lt;0,100+(G3053-Table13[[#This Row],[Steps]]),G3053-Table13[[#This Row],[Steps]]),
))</f>
        <v>0</v>
      </c>
      <c r="F3054">
        <f>_xlfn.LET(_xlpm.dir,Table13[[#This Row],[Direction]],
IF(_xlpm.dir="R",
    IF(G3053+Table13[[#This Row],[Steps]]&gt;99,(G3053+Table13[[#This Row],[Steps]])-100,G3053+Table13[[#This Row],[Steps]]),
))</f>
        <v>5</v>
      </c>
      <c r="G3054">
        <f>IF(Table13[[#This Row],[New Pos L]]&lt;&gt;0,Table13[[#This Row],[New Pos L]],Table13[[#This Row],[New Pos R]])</f>
        <v>5</v>
      </c>
      <c r="H3054">
        <f>IF(AND(Table13[[#This Row],[Direction]]="L",Table13[[#This Row],[Steps]]&gt;G3053,G3053&lt;&gt;0),1,0)</f>
        <v>0</v>
      </c>
      <c r="I3054">
        <f>IF(AND(Table13[[#This Row],[Direction]]="R",(G3053+Table13[[#This Row],[Steps]])&gt;100),1,0)</f>
        <v>1</v>
      </c>
      <c r="J3054">
        <f>IF(Table13[[#This Row],[POS]]=0,1,0)</f>
        <v>0</v>
      </c>
      <c r="K3054">
        <f>SUM(Table13[[#This Row],[prefix]],Table13[[#This Row],[Past zero L]],Table13[[#This Row],[Past Zero R]],Table13[[#This Row],[Is Zero]])</f>
        <v>4</v>
      </c>
    </row>
    <row r="3055" spans="1:11" ht="16" x14ac:dyDescent="0.2">
      <c r="A3055" s="1" t="s">
        <v>353</v>
      </c>
      <c r="B3055" t="str">
        <f>LEFT(Table13[[#This Row],[Input]],1)</f>
        <v>R</v>
      </c>
      <c r="C3055">
        <f>_xlfn.LET(_xlpm.steps,SUBSTITUTE(Table13[[#This Row],[Input]],Table13[[#This Row],[Direction]],""),VALUE(IF(LEN(_xlpm.steps)&gt;2,RIGHT(_xlpm.steps,2),_xlpm.steps)))</f>
        <v>7</v>
      </c>
      <c r="D3055">
        <f>_xlfn.LET(_xlpm.steps,SUBSTITUTE(Table13[[#This Row],[Input]],Table13[[#This Row],[Direction]],""),VALUE(IF(LEN(_xlpm.steps)&gt;2,LEFT(_xlpm.steps,LEN(_xlpm.steps)-2),0)))</f>
        <v>0</v>
      </c>
      <c r="E3055">
        <f>_xlfn.LET(_xlpm.dir,Table13[[#This Row],[Direction]],
IF(_xlpm.dir="L",
    IF(G3054-Table13[[#This Row],[Steps]]&lt;0,100+(G3054-Table13[[#This Row],[Steps]]),G3054-Table13[[#This Row],[Steps]]),
))</f>
        <v>0</v>
      </c>
      <c r="F3055">
        <f>_xlfn.LET(_xlpm.dir,Table13[[#This Row],[Direction]],
IF(_xlpm.dir="R",
    IF(G3054+Table13[[#This Row],[Steps]]&gt;99,(G3054+Table13[[#This Row],[Steps]])-100,G3054+Table13[[#This Row],[Steps]]),
))</f>
        <v>12</v>
      </c>
      <c r="G3055">
        <f>IF(Table13[[#This Row],[New Pos L]]&lt;&gt;0,Table13[[#This Row],[New Pos L]],Table13[[#This Row],[New Pos R]])</f>
        <v>12</v>
      </c>
      <c r="H3055">
        <f>IF(AND(Table13[[#This Row],[Direction]]="L",Table13[[#This Row],[Steps]]&gt;G3054,G3054&lt;&gt;0),1,0)</f>
        <v>0</v>
      </c>
      <c r="I3055">
        <f>IF(AND(Table13[[#This Row],[Direction]]="R",(G3054+Table13[[#This Row],[Steps]])&gt;100),1,0)</f>
        <v>0</v>
      </c>
      <c r="J3055">
        <f>IF(Table13[[#This Row],[POS]]=0,1,0)</f>
        <v>0</v>
      </c>
      <c r="K3055">
        <f>SUM(Table13[[#This Row],[prefix]],Table13[[#This Row],[Past zero L]],Table13[[#This Row],[Past Zero R]],Table13[[#This Row],[Is Zero]])</f>
        <v>0</v>
      </c>
    </row>
    <row r="3056" spans="1:11" ht="16" x14ac:dyDescent="0.2">
      <c r="A3056" s="1" t="s">
        <v>193</v>
      </c>
      <c r="B3056" t="str">
        <f>LEFT(Table13[[#This Row],[Input]],1)</f>
        <v>L</v>
      </c>
      <c r="C3056">
        <f>_xlfn.LET(_xlpm.steps,SUBSTITUTE(Table13[[#This Row],[Input]],Table13[[#This Row],[Direction]],""),VALUE(IF(LEN(_xlpm.steps)&gt;2,RIGHT(_xlpm.steps,2),_xlpm.steps)))</f>
        <v>12</v>
      </c>
      <c r="D3056">
        <f>_xlfn.LET(_xlpm.steps,SUBSTITUTE(Table13[[#This Row],[Input]],Table13[[#This Row],[Direction]],""),VALUE(IF(LEN(_xlpm.steps)&gt;2,LEFT(_xlpm.steps,LEN(_xlpm.steps)-2),0)))</f>
        <v>0</v>
      </c>
      <c r="E3056">
        <f>_xlfn.LET(_xlpm.dir,Table13[[#This Row],[Direction]],
IF(_xlpm.dir="L",
    IF(G3055-Table13[[#This Row],[Steps]]&lt;0,100+(G3055-Table13[[#This Row],[Steps]]),G3055-Table13[[#This Row],[Steps]]),
))</f>
        <v>0</v>
      </c>
      <c r="F3056">
        <f>_xlfn.LET(_xlpm.dir,Table13[[#This Row],[Direction]],
IF(_xlpm.dir="R",
    IF(G3055+Table13[[#This Row],[Steps]]&gt;99,(G3055+Table13[[#This Row],[Steps]])-100,G3055+Table13[[#This Row],[Steps]]),
))</f>
        <v>0</v>
      </c>
      <c r="G3056">
        <f>IF(Table13[[#This Row],[New Pos L]]&lt;&gt;0,Table13[[#This Row],[New Pos L]],Table13[[#This Row],[New Pos R]])</f>
        <v>0</v>
      </c>
      <c r="H3056">
        <f>IF(AND(Table13[[#This Row],[Direction]]="L",Table13[[#This Row],[Steps]]&gt;G3055,G3055&lt;&gt;0),1,0)</f>
        <v>0</v>
      </c>
      <c r="I3056">
        <f>IF(AND(Table13[[#This Row],[Direction]]="R",(G3055+Table13[[#This Row],[Steps]])&gt;100),1,0)</f>
        <v>0</v>
      </c>
      <c r="J3056">
        <f>IF(Table13[[#This Row],[POS]]=0,1,0)</f>
        <v>1</v>
      </c>
      <c r="K3056">
        <f>SUM(Table13[[#This Row],[prefix]],Table13[[#This Row],[Past zero L]],Table13[[#This Row],[Past Zero R]],Table13[[#This Row],[Is Zero]])</f>
        <v>1</v>
      </c>
    </row>
    <row r="3057" spans="1:11" ht="16" x14ac:dyDescent="0.2">
      <c r="A3057" s="1" t="s">
        <v>123</v>
      </c>
      <c r="B3057" t="str">
        <f>LEFT(Table13[[#This Row],[Input]],1)</f>
        <v>L</v>
      </c>
      <c r="C3057">
        <f>_xlfn.LET(_xlpm.steps,SUBSTITUTE(Table13[[#This Row],[Input]],Table13[[#This Row],[Direction]],""),VALUE(IF(LEN(_xlpm.steps)&gt;2,RIGHT(_xlpm.steps,2),_xlpm.steps)))</f>
        <v>63</v>
      </c>
      <c r="D3057">
        <f>_xlfn.LET(_xlpm.steps,SUBSTITUTE(Table13[[#This Row],[Input]],Table13[[#This Row],[Direction]],""),VALUE(IF(LEN(_xlpm.steps)&gt;2,LEFT(_xlpm.steps,LEN(_xlpm.steps)-2),0)))</f>
        <v>0</v>
      </c>
      <c r="E3057">
        <f>_xlfn.LET(_xlpm.dir,Table13[[#This Row],[Direction]],
IF(_xlpm.dir="L",
    IF(G3056-Table13[[#This Row],[Steps]]&lt;0,100+(G3056-Table13[[#This Row],[Steps]]),G3056-Table13[[#This Row],[Steps]]),
))</f>
        <v>37</v>
      </c>
      <c r="F3057">
        <f>_xlfn.LET(_xlpm.dir,Table13[[#This Row],[Direction]],
IF(_xlpm.dir="R",
    IF(G3056+Table13[[#This Row],[Steps]]&gt;99,(G3056+Table13[[#This Row],[Steps]])-100,G3056+Table13[[#This Row],[Steps]]),
))</f>
        <v>0</v>
      </c>
      <c r="G3057">
        <f>IF(Table13[[#This Row],[New Pos L]]&lt;&gt;0,Table13[[#This Row],[New Pos L]],Table13[[#This Row],[New Pos R]])</f>
        <v>37</v>
      </c>
      <c r="H3057">
        <f>IF(AND(Table13[[#This Row],[Direction]]="L",Table13[[#This Row],[Steps]]&gt;G3056,G3056&lt;&gt;0),1,0)</f>
        <v>0</v>
      </c>
      <c r="I3057">
        <f>IF(AND(Table13[[#This Row],[Direction]]="R",(G3056+Table13[[#This Row],[Steps]])&gt;100),1,0)</f>
        <v>0</v>
      </c>
      <c r="J3057">
        <f>IF(Table13[[#This Row],[POS]]=0,1,0)</f>
        <v>0</v>
      </c>
      <c r="K3057">
        <f>SUM(Table13[[#This Row],[prefix]],Table13[[#This Row],[Past zero L]],Table13[[#This Row],[Past Zero R]],Table13[[#This Row],[Is Zero]])</f>
        <v>0</v>
      </c>
    </row>
    <row r="3058" spans="1:11" ht="16" x14ac:dyDescent="0.2">
      <c r="A3058" s="1" t="s">
        <v>337</v>
      </c>
      <c r="B3058" t="str">
        <f>LEFT(Table13[[#This Row],[Input]],1)</f>
        <v>L</v>
      </c>
      <c r="C3058">
        <f>_xlfn.LET(_xlpm.steps,SUBSTITUTE(Table13[[#This Row],[Input]],Table13[[#This Row],[Direction]],""),VALUE(IF(LEN(_xlpm.steps)&gt;2,RIGHT(_xlpm.steps,2),_xlpm.steps)))</f>
        <v>38</v>
      </c>
      <c r="D3058">
        <f>_xlfn.LET(_xlpm.steps,SUBSTITUTE(Table13[[#This Row],[Input]],Table13[[#This Row],[Direction]],""),VALUE(IF(LEN(_xlpm.steps)&gt;2,LEFT(_xlpm.steps,LEN(_xlpm.steps)-2),0)))</f>
        <v>1</v>
      </c>
      <c r="E3058">
        <f>_xlfn.LET(_xlpm.dir,Table13[[#This Row],[Direction]],
IF(_xlpm.dir="L",
    IF(G3057-Table13[[#This Row],[Steps]]&lt;0,100+(G3057-Table13[[#This Row],[Steps]]),G3057-Table13[[#This Row],[Steps]]),
))</f>
        <v>99</v>
      </c>
      <c r="F3058">
        <f>_xlfn.LET(_xlpm.dir,Table13[[#This Row],[Direction]],
IF(_xlpm.dir="R",
    IF(G3057+Table13[[#This Row],[Steps]]&gt;99,(G3057+Table13[[#This Row],[Steps]])-100,G3057+Table13[[#This Row],[Steps]]),
))</f>
        <v>0</v>
      </c>
      <c r="G3058">
        <f>IF(Table13[[#This Row],[New Pos L]]&lt;&gt;0,Table13[[#This Row],[New Pos L]],Table13[[#This Row],[New Pos R]])</f>
        <v>99</v>
      </c>
      <c r="H3058">
        <f>IF(AND(Table13[[#This Row],[Direction]]="L",Table13[[#This Row],[Steps]]&gt;G3057,G3057&lt;&gt;0),1,0)</f>
        <v>1</v>
      </c>
      <c r="I3058">
        <f>IF(AND(Table13[[#This Row],[Direction]]="R",(G3057+Table13[[#This Row],[Steps]])&gt;100),1,0)</f>
        <v>0</v>
      </c>
      <c r="J3058">
        <f>IF(Table13[[#This Row],[POS]]=0,1,0)</f>
        <v>0</v>
      </c>
      <c r="K3058">
        <f>SUM(Table13[[#This Row],[prefix]],Table13[[#This Row],[Past zero L]],Table13[[#This Row],[Past Zero R]],Table13[[#This Row],[Is Zero]])</f>
        <v>2</v>
      </c>
    </row>
    <row r="3059" spans="1:11" ht="16" x14ac:dyDescent="0.2">
      <c r="A3059" s="1" t="s">
        <v>686</v>
      </c>
      <c r="B3059" t="str">
        <f>LEFT(Table13[[#This Row],[Input]],1)</f>
        <v>R</v>
      </c>
      <c r="C3059">
        <f>_xlfn.LET(_xlpm.steps,SUBSTITUTE(Table13[[#This Row],[Input]],Table13[[#This Row],[Direction]],""),VALUE(IF(LEN(_xlpm.steps)&gt;2,RIGHT(_xlpm.steps,2),_xlpm.steps)))</f>
        <v>44</v>
      </c>
      <c r="D3059">
        <f>_xlfn.LET(_xlpm.steps,SUBSTITUTE(Table13[[#This Row],[Input]],Table13[[#This Row],[Direction]],""),VALUE(IF(LEN(_xlpm.steps)&gt;2,LEFT(_xlpm.steps,LEN(_xlpm.steps)-2),0)))</f>
        <v>5</v>
      </c>
      <c r="E3059">
        <f>_xlfn.LET(_xlpm.dir,Table13[[#This Row],[Direction]],
IF(_xlpm.dir="L",
    IF(G3058-Table13[[#This Row],[Steps]]&lt;0,100+(G3058-Table13[[#This Row],[Steps]]),G3058-Table13[[#This Row],[Steps]]),
))</f>
        <v>0</v>
      </c>
      <c r="F3059">
        <f>_xlfn.LET(_xlpm.dir,Table13[[#This Row],[Direction]],
IF(_xlpm.dir="R",
    IF(G3058+Table13[[#This Row],[Steps]]&gt;99,(G3058+Table13[[#This Row],[Steps]])-100,G3058+Table13[[#This Row],[Steps]]),
))</f>
        <v>43</v>
      </c>
      <c r="G3059">
        <f>IF(Table13[[#This Row],[New Pos L]]&lt;&gt;0,Table13[[#This Row],[New Pos L]],Table13[[#This Row],[New Pos R]])</f>
        <v>43</v>
      </c>
      <c r="H3059">
        <f>IF(AND(Table13[[#This Row],[Direction]]="L",Table13[[#This Row],[Steps]]&gt;G3058,G3058&lt;&gt;0),1,0)</f>
        <v>0</v>
      </c>
      <c r="I3059">
        <f>IF(AND(Table13[[#This Row],[Direction]]="R",(G3058+Table13[[#This Row],[Steps]])&gt;100),1,0)</f>
        <v>1</v>
      </c>
      <c r="J3059">
        <f>IF(Table13[[#This Row],[POS]]=0,1,0)</f>
        <v>0</v>
      </c>
      <c r="K3059">
        <f>SUM(Table13[[#This Row],[prefix]],Table13[[#This Row],[Past zero L]],Table13[[#This Row],[Past Zero R]],Table13[[#This Row],[Is Zero]])</f>
        <v>6</v>
      </c>
    </row>
    <row r="3060" spans="1:11" ht="16" x14ac:dyDescent="0.2">
      <c r="A3060" s="1" t="s">
        <v>14</v>
      </c>
      <c r="B3060" t="str">
        <f>LEFT(Table13[[#This Row],[Input]],1)</f>
        <v>L</v>
      </c>
      <c r="C3060">
        <f>_xlfn.LET(_xlpm.steps,SUBSTITUTE(Table13[[#This Row],[Input]],Table13[[#This Row],[Direction]],""),VALUE(IF(LEN(_xlpm.steps)&gt;2,RIGHT(_xlpm.steps,2),_xlpm.steps)))</f>
        <v>43</v>
      </c>
      <c r="D3060">
        <f>_xlfn.LET(_xlpm.steps,SUBSTITUTE(Table13[[#This Row],[Input]],Table13[[#This Row],[Direction]],""),VALUE(IF(LEN(_xlpm.steps)&gt;2,LEFT(_xlpm.steps,LEN(_xlpm.steps)-2),0)))</f>
        <v>0</v>
      </c>
      <c r="E3060">
        <f>_xlfn.LET(_xlpm.dir,Table13[[#This Row],[Direction]],
IF(_xlpm.dir="L",
    IF(G3059-Table13[[#This Row],[Steps]]&lt;0,100+(G3059-Table13[[#This Row],[Steps]]),G3059-Table13[[#This Row],[Steps]]),
))</f>
        <v>0</v>
      </c>
      <c r="F3060">
        <f>_xlfn.LET(_xlpm.dir,Table13[[#This Row],[Direction]],
IF(_xlpm.dir="R",
    IF(G3059+Table13[[#This Row],[Steps]]&gt;99,(G3059+Table13[[#This Row],[Steps]])-100,G3059+Table13[[#This Row],[Steps]]),
))</f>
        <v>0</v>
      </c>
      <c r="G3060">
        <f>IF(Table13[[#This Row],[New Pos L]]&lt;&gt;0,Table13[[#This Row],[New Pos L]],Table13[[#This Row],[New Pos R]])</f>
        <v>0</v>
      </c>
      <c r="H3060">
        <f>IF(AND(Table13[[#This Row],[Direction]]="L",Table13[[#This Row],[Steps]]&gt;G3059,G3059&lt;&gt;0),1,0)</f>
        <v>0</v>
      </c>
      <c r="I3060">
        <f>IF(AND(Table13[[#This Row],[Direction]]="R",(G3059+Table13[[#This Row],[Steps]])&gt;100),1,0)</f>
        <v>0</v>
      </c>
      <c r="J3060">
        <f>IF(Table13[[#This Row],[POS]]=0,1,0)</f>
        <v>1</v>
      </c>
      <c r="K3060">
        <f>SUM(Table13[[#This Row],[prefix]],Table13[[#This Row],[Past zero L]],Table13[[#This Row],[Past Zero R]],Table13[[#This Row],[Is Zero]])</f>
        <v>1</v>
      </c>
    </row>
    <row r="3061" spans="1:11" ht="16" x14ac:dyDescent="0.2">
      <c r="A3061" s="1" t="s">
        <v>687</v>
      </c>
      <c r="B3061" t="str">
        <f>LEFT(Table13[[#This Row],[Input]],1)</f>
        <v>L</v>
      </c>
      <c r="C3061">
        <f>_xlfn.LET(_xlpm.steps,SUBSTITUTE(Table13[[#This Row],[Input]],Table13[[#This Row],[Direction]],""),VALUE(IF(LEN(_xlpm.steps)&gt;2,RIGHT(_xlpm.steps,2),_xlpm.steps)))</f>
        <v>60</v>
      </c>
      <c r="D3061">
        <f>_xlfn.LET(_xlpm.steps,SUBSTITUTE(Table13[[#This Row],[Input]],Table13[[#This Row],[Direction]],""),VALUE(IF(LEN(_xlpm.steps)&gt;2,LEFT(_xlpm.steps,LEN(_xlpm.steps)-2),0)))</f>
        <v>7</v>
      </c>
      <c r="E3061">
        <f>_xlfn.LET(_xlpm.dir,Table13[[#This Row],[Direction]],
IF(_xlpm.dir="L",
    IF(G3060-Table13[[#This Row],[Steps]]&lt;0,100+(G3060-Table13[[#This Row],[Steps]]),G3060-Table13[[#This Row],[Steps]]),
))</f>
        <v>40</v>
      </c>
      <c r="F3061">
        <f>_xlfn.LET(_xlpm.dir,Table13[[#This Row],[Direction]],
IF(_xlpm.dir="R",
    IF(G3060+Table13[[#This Row],[Steps]]&gt;99,(G3060+Table13[[#This Row],[Steps]])-100,G3060+Table13[[#This Row],[Steps]]),
))</f>
        <v>0</v>
      </c>
      <c r="G3061">
        <f>IF(Table13[[#This Row],[New Pos L]]&lt;&gt;0,Table13[[#This Row],[New Pos L]],Table13[[#This Row],[New Pos R]])</f>
        <v>40</v>
      </c>
      <c r="H3061">
        <f>IF(AND(Table13[[#This Row],[Direction]]="L",Table13[[#This Row],[Steps]]&gt;G3060,G3060&lt;&gt;0),1,0)</f>
        <v>0</v>
      </c>
      <c r="I3061">
        <f>IF(AND(Table13[[#This Row],[Direction]]="R",(G3060+Table13[[#This Row],[Steps]])&gt;100),1,0)</f>
        <v>0</v>
      </c>
      <c r="J3061">
        <f>IF(Table13[[#This Row],[POS]]=0,1,0)</f>
        <v>0</v>
      </c>
      <c r="K3061">
        <f>SUM(Table13[[#This Row],[prefix]],Table13[[#This Row],[Past zero L]],Table13[[#This Row],[Past Zero R]],Table13[[#This Row],[Is Zero]])</f>
        <v>7</v>
      </c>
    </row>
    <row r="3062" spans="1:11" ht="16" x14ac:dyDescent="0.2">
      <c r="A3062" s="1" t="s">
        <v>293</v>
      </c>
      <c r="B3062" t="str">
        <f>LEFT(Table13[[#This Row],[Input]],1)</f>
        <v>R</v>
      </c>
      <c r="C3062">
        <f>_xlfn.LET(_xlpm.steps,SUBSTITUTE(Table13[[#This Row],[Input]],Table13[[#This Row],[Direction]],""),VALUE(IF(LEN(_xlpm.steps)&gt;2,RIGHT(_xlpm.steps,2),_xlpm.steps)))</f>
        <v>67</v>
      </c>
      <c r="D3062">
        <f>_xlfn.LET(_xlpm.steps,SUBSTITUTE(Table13[[#This Row],[Input]],Table13[[#This Row],[Direction]],""),VALUE(IF(LEN(_xlpm.steps)&gt;2,LEFT(_xlpm.steps,LEN(_xlpm.steps)-2),0)))</f>
        <v>0</v>
      </c>
      <c r="E3062">
        <f>_xlfn.LET(_xlpm.dir,Table13[[#This Row],[Direction]],
IF(_xlpm.dir="L",
    IF(G3061-Table13[[#This Row],[Steps]]&lt;0,100+(G3061-Table13[[#This Row],[Steps]]),G3061-Table13[[#This Row],[Steps]]),
))</f>
        <v>0</v>
      </c>
      <c r="F3062">
        <f>_xlfn.LET(_xlpm.dir,Table13[[#This Row],[Direction]],
IF(_xlpm.dir="R",
    IF(G3061+Table13[[#This Row],[Steps]]&gt;99,(G3061+Table13[[#This Row],[Steps]])-100,G3061+Table13[[#This Row],[Steps]]),
))</f>
        <v>7</v>
      </c>
      <c r="G3062">
        <f>IF(Table13[[#This Row],[New Pos L]]&lt;&gt;0,Table13[[#This Row],[New Pos L]],Table13[[#This Row],[New Pos R]])</f>
        <v>7</v>
      </c>
      <c r="H3062">
        <f>IF(AND(Table13[[#This Row],[Direction]]="L",Table13[[#This Row],[Steps]]&gt;G3061,G3061&lt;&gt;0),1,0)</f>
        <v>0</v>
      </c>
      <c r="I3062">
        <f>IF(AND(Table13[[#This Row],[Direction]]="R",(G3061+Table13[[#This Row],[Steps]])&gt;100),1,0)</f>
        <v>1</v>
      </c>
      <c r="J3062">
        <f>IF(Table13[[#This Row],[POS]]=0,1,0)</f>
        <v>0</v>
      </c>
      <c r="K3062">
        <f>SUM(Table13[[#This Row],[prefix]],Table13[[#This Row],[Past zero L]],Table13[[#This Row],[Past Zero R]],Table13[[#This Row],[Is Zero]])</f>
        <v>1</v>
      </c>
    </row>
    <row r="3063" spans="1:11" ht="16" x14ac:dyDescent="0.2">
      <c r="A3063" s="1" t="s">
        <v>73</v>
      </c>
      <c r="B3063" t="str">
        <f>LEFT(Table13[[#This Row],[Input]],1)</f>
        <v>R</v>
      </c>
      <c r="C3063">
        <f>_xlfn.LET(_xlpm.steps,SUBSTITUTE(Table13[[#This Row],[Input]],Table13[[#This Row],[Direction]],""),VALUE(IF(LEN(_xlpm.steps)&gt;2,RIGHT(_xlpm.steps,2),_xlpm.steps)))</f>
        <v>21</v>
      </c>
      <c r="D3063">
        <f>_xlfn.LET(_xlpm.steps,SUBSTITUTE(Table13[[#This Row],[Input]],Table13[[#This Row],[Direction]],""),VALUE(IF(LEN(_xlpm.steps)&gt;2,LEFT(_xlpm.steps,LEN(_xlpm.steps)-2),0)))</f>
        <v>0</v>
      </c>
      <c r="E3063">
        <f>_xlfn.LET(_xlpm.dir,Table13[[#This Row],[Direction]],
IF(_xlpm.dir="L",
    IF(G3062-Table13[[#This Row],[Steps]]&lt;0,100+(G3062-Table13[[#This Row],[Steps]]),G3062-Table13[[#This Row],[Steps]]),
))</f>
        <v>0</v>
      </c>
      <c r="F3063">
        <f>_xlfn.LET(_xlpm.dir,Table13[[#This Row],[Direction]],
IF(_xlpm.dir="R",
    IF(G3062+Table13[[#This Row],[Steps]]&gt;99,(G3062+Table13[[#This Row],[Steps]])-100,G3062+Table13[[#This Row],[Steps]]),
))</f>
        <v>28</v>
      </c>
      <c r="G3063">
        <f>IF(Table13[[#This Row],[New Pos L]]&lt;&gt;0,Table13[[#This Row],[New Pos L]],Table13[[#This Row],[New Pos R]])</f>
        <v>28</v>
      </c>
      <c r="H3063">
        <f>IF(AND(Table13[[#This Row],[Direction]]="L",Table13[[#This Row],[Steps]]&gt;G3062,G3062&lt;&gt;0),1,0)</f>
        <v>0</v>
      </c>
      <c r="I3063">
        <f>IF(AND(Table13[[#This Row],[Direction]]="R",(G3062+Table13[[#This Row],[Steps]])&gt;100),1,0)</f>
        <v>0</v>
      </c>
      <c r="J3063">
        <f>IF(Table13[[#This Row],[POS]]=0,1,0)</f>
        <v>0</v>
      </c>
      <c r="K3063">
        <f>SUM(Table13[[#This Row],[prefix]],Table13[[#This Row],[Past zero L]],Table13[[#This Row],[Past Zero R]],Table13[[#This Row],[Is Zero]])</f>
        <v>0</v>
      </c>
    </row>
    <row r="3064" spans="1:11" ht="16" x14ac:dyDescent="0.2">
      <c r="A3064" s="1" t="s">
        <v>357</v>
      </c>
      <c r="B3064" t="str">
        <f>LEFT(Table13[[#This Row],[Input]],1)</f>
        <v>R</v>
      </c>
      <c r="C3064">
        <f>_xlfn.LET(_xlpm.steps,SUBSTITUTE(Table13[[#This Row],[Input]],Table13[[#This Row],[Direction]],""),VALUE(IF(LEN(_xlpm.steps)&gt;2,RIGHT(_xlpm.steps,2),_xlpm.steps)))</f>
        <v>72</v>
      </c>
      <c r="D3064">
        <f>_xlfn.LET(_xlpm.steps,SUBSTITUTE(Table13[[#This Row],[Input]],Table13[[#This Row],[Direction]],""),VALUE(IF(LEN(_xlpm.steps)&gt;2,LEFT(_xlpm.steps,LEN(_xlpm.steps)-2),0)))</f>
        <v>0</v>
      </c>
      <c r="E3064">
        <f>_xlfn.LET(_xlpm.dir,Table13[[#This Row],[Direction]],
IF(_xlpm.dir="L",
    IF(G3063-Table13[[#This Row],[Steps]]&lt;0,100+(G3063-Table13[[#This Row],[Steps]]),G3063-Table13[[#This Row],[Steps]]),
))</f>
        <v>0</v>
      </c>
      <c r="F3064">
        <f>_xlfn.LET(_xlpm.dir,Table13[[#This Row],[Direction]],
IF(_xlpm.dir="R",
    IF(G3063+Table13[[#This Row],[Steps]]&gt;99,(G3063+Table13[[#This Row],[Steps]])-100,G3063+Table13[[#This Row],[Steps]]),
))</f>
        <v>0</v>
      </c>
      <c r="G3064">
        <f>IF(Table13[[#This Row],[New Pos L]]&lt;&gt;0,Table13[[#This Row],[New Pos L]],Table13[[#This Row],[New Pos R]])</f>
        <v>0</v>
      </c>
      <c r="H3064">
        <f>IF(AND(Table13[[#This Row],[Direction]]="L",Table13[[#This Row],[Steps]]&gt;G3063,G3063&lt;&gt;0),1,0)</f>
        <v>0</v>
      </c>
      <c r="I3064">
        <f>IF(AND(Table13[[#This Row],[Direction]]="R",(G3063+Table13[[#This Row],[Steps]])&gt;100),1,0)</f>
        <v>0</v>
      </c>
      <c r="J3064">
        <f>IF(Table13[[#This Row],[POS]]=0,1,0)</f>
        <v>1</v>
      </c>
      <c r="K3064">
        <f>SUM(Table13[[#This Row],[prefix]],Table13[[#This Row],[Past zero L]],Table13[[#This Row],[Past Zero R]],Table13[[#This Row],[Is Zero]])</f>
        <v>1</v>
      </c>
    </row>
    <row r="3065" spans="1:11" ht="16" x14ac:dyDescent="0.2">
      <c r="A3065" s="1" t="s">
        <v>688</v>
      </c>
      <c r="B3065" t="str">
        <f>LEFT(Table13[[#This Row],[Input]],1)</f>
        <v>R</v>
      </c>
      <c r="C3065">
        <f>_xlfn.LET(_xlpm.steps,SUBSTITUTE(Table13[[#This Row],[Input]],Table13[[#This Row],[Direction]],""),VALUE(IF(LEN(_xlpm.steps)&gt;2,RIGHT(_xlpm.steps,2),_xlpm.steps)))</f>
        <v>81</v>
      </c>
      <c r="D3065">
        <f>_xlfn.LET(_xlpm.steps,SUBSTITUTE(Table13[[#This Row],[Input]],Table13[[#This Row],[Direction]],""),VALUE(IF(LEN(_xlpm.steps)&gt;2,LEFT(_xlpm.steps,LEN(_xlpm.steps)-2),0)))</f>
        <v>4</v>
      </c>
      <c r="E3065">
        <f>_xlfn.LET(_xlpm.dir,Table13[[#This Row],[Direction]],
IF(_xlpm.dir="L",
    IF(G3064-Table13[[#This Row],[Steps]]&lt;0,100+(G3064-Table13[[#This Row],[Steps]]),G3064-Table13[[#This Row],[Steps]]),
))</f>
        <v>0</v>
      </c>
      <c r="F3065">
        <f>_xlfn.LET(_xlpm.dir,Table13[[#This Row],[Direction]],
IF(_xlpm.dir="R",
    IF(G3064+Table13[[#This Row],[Steps]]&gt;99,(G3064+Table13[[#This Row],[Steps]])-100,G3064+Table13[[#This Row],[Steps]]),
))</f>
        <v>81</v>
      </c>
      <c r="G3065">
        <f>IF(Table13[[#This Row],[New Pos L]]&lt;&gt;0,Table13[[#This Row],[New Pos L]],Table13[[#This Row],[New Pos R]])</f>
        <v>81</v>
      </c>
      <c r="H3065">
        <f>IF(AND(Table13[[#This Row],[Direction]]="L",Table13[[#This Row],[Steps]]&gt;G3064,G3064&lt;&gt;0),1,0)</f>
        <v>0</v>
      </c>
      <c r="I3065">
        <f>IF(AND(Table13[[#This Row],[Direction]]="R",(G3064+Table13[[#This Row],[Steps]])&gt;100),1,0)</f>
        <v>0</v>
      </c>
      <c r="J3065">
        <f>IF(Table13[[#This Row],[POS]]=0,1,0)</f>
        <v>0</v>
      </c>
      <c r="K3065">
        <f>SUM(Table13[[#This Row],[prefix]],Table13[[#This Row],[Past zero L]],Table13[[#This Row],[Past Zero R]],Table13[[#This Row],[Is Zero]])</f>
        <v>4</v>
      </c>
    </row>
    <row r="3066" spans="1:11" ht="16" x14ac:dyDescent="0.2">
      <c r="A3066" s="1" t="s">
        <v>82</v>
      </c>
      <c r="B3066" t="str">
        <f>LEFT(Table13[[#This Row],[Input]],1)</f>
        <v>L</v>
      </c>
      <c r="C3066">
        <f>_xlfn.LET(_xlpm.steps,SUBSTITUTE(Table13[[#This Row],[Input]],Table13[[#This Row],[Direction]],""),VALUE(IF(LEN(_xlpm.steps)&gt;2,RIGHT(_xlpm.steps,2),_xlpm.steps)))</f>
        <v>55</v>
      </c>
      <c r="D3066">
        <f>_xlfn.LET(_xlpm.steps,SUBSTITUTE(Table13[[#This Row],[Input]],Table13[[#This Row],[Direction]],""),VALUE(IF(LEN(_xlpm.steps)&gt;2,LEFT(_xlpm.steps,LEN(_xlpm.steps)-2),0)))</f>
        <v>0</v>
      </c>
      <c r="E3066">
        <f>_xlfn.LET(_xlpm.dir,Table13[[#This Row],[Direction]],
IF(_xlpm.dir="L",
    IF(G3065-Table13[[#This Row],[Steps]]&lt;0,100+(G3065-Table13[[#This Row],[Steps]]),G3065-Table13[[#This Row],[Steps]]),
))</f>
        <v>26</v>
      </c>
      <c r="F3066">
        <f>_xlfn.LET(_xlpm.dir,Table13[[#This Row],[Direction]],
IF(_xlpm.dir="R",
    IF(G3065+Table13[[#This Row],[Steps]]&gt;99,(G3065+Table13[[#This Row],[Steps]])-100,G3065+Table13[[#This Row],[Steps]]),
))</f>
        <v>0</v>
      </c>
      <c r="G3066">
        <f>IF(Table13[[#This Row],[New Pos L]]&lt;&gt;0,Table13[[#This Row],[New Pos L]],Table13[[#This Row],[New Pos R]])</f>
        <v>26</v>
      </c>
      <c r="H3066">
        <f>IF(AND(Table13[[#This Row],[Direction]]="L",Table13[[#This Row],[Steps]]&gt;G3065,G3065&lt;&gt;0),1,0)</f>
        <v>0</v>
      </c>
      <c r="I3066">
        <f>IF(AND(Table13[[#This Row],[Direction]]="R",(G3065+Table13[[#This Row],[Steps]])&gt;100),1,0)</f>
        <v>0</v>
      </c>
      <c r="J3066">
        <f>IF(Table13[[#This Row],[POS]]=0,1,0)</f>
        <v>0</v>
      </c>
      <c r="K3066">
        <f>SUM(Table13[[#This Row],[prefix]],Table13[[#This Row],[Past zero L]],Table13[[#This Row],[Past Zero R]],Table13[[#This Row],[Is Zero]])</f>
        <v>0</v>
      </c>
    </row>
    <row r="3067" spans="1:11" ht="16" x14ac:dyDescent="0.2">
      <c r="A3067" s="1" t="s">
        <v>218</v>
      </c>
      <c r="B3067" t="str">
        <f>LEFT(Table13[[#This Row],[Input]],1)</f>
        <v>R</v>
      </c>
      <c r="C3067">
        <f>_xlfn.LET(_xlpm.steps,SUBSTITUTE(Table13[[#This Row],[Input]],Table13[[#This Row],[Direction]],""),VALUE(IF(LEN(_xlpm.steps)&gt;2,RIGHT(_xlpm.steps,2),_xlpm.steps)))</f>
        <v>35</v>
      </c>
      <c r="D3067">
        <f>_xlfn.LET(_xlpm.steps,SUBSTITUTE(Table13[[#This Row],[Input]],Table13[[#This Row],[Direction]],""),VALUE(IF(LEN(_xlpm.steps)&gt;2,LEFT(_xlpm.steps,LEN(_xlpm.steps)-2),0)))</f>
        <v>0</v>
      </c>
      <c r="E3067">
        <f>_xlfn.LET(_xlpm.dir,Table13[[#This Row],[Direction]],
IF(_xlpm.dir="L",
    IF(G3066-Table13[[#This Row],[Steps]]&lt;0,100+(G3066-Table13[[#This Row],[Steps]]),G3066-Table13[[#This Row],[Steps]]),
))</f>
        <v>0</v>
      </c>
      <c r="F3067">
        <f>_xlfn.LET(_xlpm.dir,Table13[[#This Row],[Direction]],
IF(_xlpm.dir="R",
    IF(G3066+Table13[[#This Row],[Steps]]&gt;99,(G3066+Table13[[#This Row],[Steps]])-100,G3066+Table13[[#This Row],[Steps]]),
))</f>
        <v>61</v>
      </c>
      <c r="G3067">
        <f>IF(Table13[[#This Row],[New Pos L]]&lt;&gt;0,Table13[[#This Row],[New Pos L]],Table13[[#This Row],[New Pos R]])</f>
        <v>61</v>
      </c>
      <c r="H3067">
        <f>IF(AND(Table13[[#This Row],[Direction]]="L",Table13[[#This Row],[Steps]]&gt;G3066,G3066&lt;&gt;0),1,0)</f>
        <v>0</v>
      </c>
      <c r="I3067">
        <f>IF(AND(Table13[[#This Row],[Direction]]="R",(G3066+Table13[[#This Row],[Steps]])&gt;100),1,0)</f>
        <v>0</v>
      </c>
      <c r="J3067">
        <f>IF(Table13[[#This Row],[POS]]=0,1,0)</f>
        <v>0</v>
      </c>
      <c r="K3067">
        <f>SUM(Table13[[#This Row],[prefix]],Table13[[#This Row],[Past zero L]],Table13[[#This Row],[Past Zero R]],Table13[[#This Row],[Is Zero]])</f>
        <v>0</v>
      </c>
    </row>
    <row r="3068" spans="1:11" ht="16" x14ac:dyDescent="0.2">
      <c r="A3068" s="1" t="s">
        <v>689</v>
      </c>
      <c r="B3068" t="str">
        <f>LEFT(Table13[[#This Row],[Input]],1)</f>
        <v>L</v>
      </c>
      <c r="C3068">
        <f>_xlfn.LET(_xlpm.steps,SUBSTITUTE(Table13[[#This Row],[Input]],Table13[[#This Row],[Direction]],""),VALUE(IF(LEN(_xlpm.steps)&gt;2,RIGHT(_xlpm.steps,2),_xlpm.steps)))</f>
        <v>58</v>
      </c>
      <c r="D3068">
        <f>_xlfn.LET(_xlpm.steps,SUBSTITUTE(Table13[[#This Row],[Input]],Table13[[#This Row],[Direction]],""),VALUE(IF(LEN(_xlpm.steps)&gt;2,LEFT(_xlpm.steps,LEN(_xlpm.steps)-2),0)))</f>
        <v>3</v>
      </c>
      <c r="E3068">
        <f>_xlfn.LET(_xlpm.dir,Table13[[#This Row],[Direction]],
IF(_xlpm.dir="L",
    IF(G3067-Table13[[#This Row],[Steps]]&lt;0,100+(G3067-Table13[[#This Row],[Steps]]),G3067-Table13[[#This Row],[Steps]]),
))</f>
        <v>3</v>
      </c>
      <c r="F3068">
        <f>_xlfn.LET(_xlpm.dir,Table13[[#This Row],[Direction]],
IF(_xlpm.dir="R",
    IF(G3067+Table13[[#This Row],[Steps]]&gt;99,(G3067+Table13[[#This Row],[Steps]])-100,G3067+Table13[[#This Row],[Steps]]),
))</f>
        <v>0</v>
      </c>
      <c r="G3068">
        <f>IF(Table13[[#This Row],[New Pos L]]&lt;&gt;0,Table13[[#This Row],[New Pos L]],Table13[[#This Row],[New Pos R]])</f>
        <v>3</v>
      </c>
      <c r="H3068">
        <f>IF(AND(Table13[[#This Row],[Direction]]="L",Table13[[#This Row],[Steps]]&gt;G3067,G3067&lt;&gt;0),1,0)</f>
        <v>0</v>
      </c>
      <c r="I3068">
        <f>IF(AND(Table13[[#This Row],[Direction]]="R",(G3067+Table13[[#This Row],[Steps]])&gt;100),1,0)</f>
        <v>0</v>
      </c>
      <c r="J3068">
        <f>IF(Table13[[#This Row],[POS]]=0,1,0)</f>
        <v>0</v>
      </c>
      <c r="K3068">
        <f>SUM(Table13[[#This Row],[prefix]],Table13[[#This Row],[Past zero L]],Table13[[#This Row],[Past Zero R]],Table13[[#This Row],[Is Zero]])</f>
        <v>3</v>
      </c>
    </row>
    <row r="3069" spans="1:11" ht="16" x14ac:dyDescent="0.2">
      <c r="A3069" s="1" t="s">
        <v>182</v>
      </c>
      <c r="B3069" t="str">
        <f>LEFT(Table13[[#This Row],[Input]],1)</f>
        <v>L</v>
      </c>
      <c r="C3069">
        <f>_xlfn.LET(_xlpm.steps,SUBSTITUTE(Table13[[#This Row],[Input]],Table13[[#This Row],[Direction]],""),VALUE(IF(LEN(_xlpm.steps)&gt;2,RIGHT(_xlpm.steps,2),_xlpm.steps)))</f>
        <v>3</v>
      </c>
      <c r="D3069">
        <f>_xlfn.LET(_xlpm.steps,SUBSTITUTE(Table13[[#This Row],[Input]],Table13[[#This Row],[Direction]],""),VALUE(IF(LEN(_xlpm.steps)&gt;2,LEFT(_xlpm.steps,LEN(_xlpm.steps)-2),0)))</f>
        <v>0</v>
      </c>
      <c r="E3069">
        <f>_xlfn.LET(_xlpm.dir,Table13[[#This Row],[Direction]],
IF(_xlpm.dir="L",
    IF(G3068-Table13[[#This Row],[Steps]]&lt;0,100+(G3068-Table13[[#This Row],[Steps]]),G3068-Table13[[#This Row],[Steps]]),
))</f>
        <v>0</v>
      </c>
      <c r="F3069">
        <f>_xlfn.LET(_xlpm.dir,Table13[[#This Row],[Direction]],
IF(_xlpm.dir="R",
    IF(G3068+Table13[[#This Row],[Steps]]&gt;99,(G3068+Table13[[#This Row],[Steps]])-100,G3068+Table13[[#This Row],[Steps]]),
))</f>
        <v>0</v>
      </c>
      <c r="G3069">
        <f>IF(Table13[[#This Row],[New Pos L]]&lt;&gt;0,Table13[[#This Row],[New Pos L]],Table13[[#This Row],[New Pos R]])</f>
        <v>0</v>
      </c>
      <c r="H3069">
        <f>IF(AND(Table13[[#This Row],[Direction]]="L",Table13[[#This Row],[Steps]]&gt;G3068,G3068&lt;&gt;0),1,0)</f>
        <v>0</v>
      </c>
      <c r="I3069">
        <f>IF(AND(Table13[[#This Row],[Direction]]="R",(G3068+Table13[[#This Row],[Steps]])&gt;100),1,0)</f>
        <v>0</v>
      </c>
      <c r="J3069">
        <f>IF(Table13[[#This Row],[POS]]=0,1,0)</f>
        <v>1</v>
      </c>
      <c r="K3069">
        <f>SUM(Table13[[#This Row],[prefix]],Table13[[#This Row],[Past zero L]],Table13[[#This Row],[Past Zero R]],Table13[[#This Row],[Is Zero]])</f>
        <v>1</v>
      </c>
    </row>
    <row r="3070" spans="1:11" ht="16" x14ac:dyDescent="0.2">
      <c r="A3070" s="1" t="s">
        <v>353</v>
      </c>
      <c r="B3070" t="str">
        <f>LEFT(Table13[[#This Row],[Input]],1)</f>
        <v>R</v>
      </c>
      <c r="C3070">
        <f>_xlfn.LET(_xlpm.steps,SUBSTITUTE(Table13[[#This Row],[Input]],Table13[[#This Row],[Direction]],""),VALUE(IF(LEN(_xlpm.steps)&gt;2,RIGHT(_xlpm.steps,2),_xlpm.steps)))</f>
        <v>7</v>
      </c>
      <c r="D3070">
        <f>_xlfn.LET(_xlpm.steps,SUBSTITUTE(Table13[[#This Row],[Input]],Table13[[#This Row],[Direction]],""),VALUE(IF(LEN(_xlpm.steps)&gt;2,LEFT(_xlpm.steps,LEN(_xlpm.steps)-2),0)))</f>
        <v>0</v>
      </c>
      <c r="E3070">
        <f>_xlfn.LET(_xlpm.dir,Table13[[#This Row],[Direction]],
IF(_xlpm.dir="L",
    IF(G3069-Table13[[#This Row],[Steps]]&lt;0,100+(G3069-Table13[[#This Row],[Steps]]),G3069-Table13[[#This Row],[Steps]]),
))</f>
        <v>0</v>
      </c>
      <c r="F3070">
        <f>_xlfn.LET(_xlpm.dir,Table13[[#This Row],[Direction]],
IF(_xlpm.dir="R",
    IF(G3069+Table13[[#This Row],[Steps]]&gt;99,(G3069+Table13[[#This Row],[Steps]])-100,G3069+Table13[[#This Row],[Steps]]),
))</f>
        <v>7</v>
      </c>
      <c r="G3070">
        <f>IF(Table13[[#This Row],[New Pos L]]&lt;&gt;0,Table13[[#This Row],[New Pos L]],Table13[[#This Row],[New Pos R]])</f>
        <v>7</v>
      </c>
      <c r="H3070">
        <f>IF(AND(Table13[[#This Row],[Direction]]="L",Table13[[#This Row],[Steps]]&gt;G3069,G3069&lt;&gt;0),1,0)</f>
        <v>0</v>
      </c>
      <c r="I3070">
        <f>IF(AND(Table13[[#This Row],[Direction]]="R",(G3069+Table13[[#This Row],[Steps]])&gt;100),1,0)</f>
        <v>0</v>
      </c>
      <c r="J3070">
        <f>IF(Table13[[#This Row],[POS]]=0,1,0)</f>
        <v>0</v>
      </c>
      <c r="K3070">
        <f>SUM(Table13[[#This Row],[prefix]],Table13[[#This Row],[Past zero L]],Table13[[#This Row],[Past Zero R]],Table13[[#This Row],[Is Zero]])</f>
        <v>0</v>
      </c>
    </row>
    <row r="3071" spans="1:11" ht="16" x14ac:dyDescent="0.2">
      <c r="A3071" s="1" t="s">
        <v>29</v>
      </c>
      <c r="B3071" t="str">
        <f>LEFT(Table13[[#This Row],[Input]],1)</f>
        <v>L</v>
      </c>
      <c r="C3071">
        <f>_xlfn.LET(_xlpm.steps,SUBSTITUTE(Table13[[#This Row],[Input]],Table13[[#This Row],[Direction]],""),VALUE(IF(LEN(_xlpm.steps)&gt;2,RIGHT(_xlpm.steps,2),_xlpm.steps)))</f>
        <v>33</v>
      </c>
      <c r="D3071">
        <f>_xlfn.LET(_xlpm.steps,SUBSTITUTE(Table13[[#This Row],[Input]],Table13[[#This Row],[Direction]],""),VALUE(IF(LEN(_xlpm.steps)&gt;2,LEFT(_xlpm.steps,LEN(_xlpm.steps)-2),0)))</f>
        <v>0</v>
      </c>
      <c r="E3071">
        <f>_xlfn.LET(_xlpm.dir,Table13[[#This Row],[Direction]],
IF(_xlpm.dir="L",
    IF(G3070-Table13[[#This Row],[Steps]]&lt;0,100+(G3070-Table13[[#This Row],[Steps]]),G3070-Table13[[#This Row],[Steps]]),
))</f>
        <v>74</v>
      </c>
      <c r="F3071">
        <f>_xlfn.LET(_xlpm.dir,Table13[[#This Row],[Direction]],
IF(_xlpm.dir="R",
    IF(G3070+Table13[[#This Row],[Steps]]&gt;99,(G3070+Table13[[#This Row],[Steps]])-100,G3070+Table13[[#This Row],[Steps]]),
))</f>
        <v>0</v>
      </c>
      <c r="G3071">
        <f>IF(Table13[[#This Row],[New Pos L]]&lt;&gt;0,Table13[[#This Row],[New Pos L]],Table13[[#This Row],[New Pos R]])</f>
        <v>74</v>
      </c>
      <c r="H3071">
        <f>IF(AND(Table13[[#This Row],[Direction]]="L",Table13[[#This Row],[Steps]]&gt;G3070,G3070&lt;&gt;0),1,0)</f>
        <v>1</v>
      </c>
      <c r="I3071">
        <f>IF(AND(Table13[[#This Row],[Direction]]="R",(G3070+Table13[[#This Row],[Steps]])&gt;100),1,0)</f>
        <v>0</v>
      </c>
      <c r="J3071">
        <f>IF(Table13[[#This Row],[POS]]=0,1,0)</f>
        <v>0</v>
      </c>
      <c r="K3071">
        <f>SUM(Table13[[#This Row],[prefix]],Table13[[#This Row],[Past zero L]],Table13[[#This Row],[Past Zero R]],Table13[[#This Row],[Is Zero]])</f>
        <v>1</v>
      </c>
    </row>
    <row r="3072" spans="1:11" ht="16" x14ac:dyDescent="0.2">
      <c r="A3072" s="1" t="s">
        <v>690</v>
      </c>
      <c r="B3072" t="str">
        <f>LEFT(Table13[[#This Row],[Input]],1)</f>
        <v>L</v>
      </c>
      <c r="C3072">
        <f>_xlfn.LET(_xlpm.steps,SUBSTITUTE(Table13[[#This Row],[Input]],Table13[[#This Row],[Direction]],""),VALUE(IF(LEN(_xlpm.steps)&gt;2,RIGHT(_xlpm.steps,2),_xlpm.steps)))</f>
        <v>34</v>
      </c>
      <c r="D3072">
        <f>_xlfn.LET(_xlpm.steps,SUBSTITUTE(Table13[[#This Row],[Input]],Table13[[#This Row],[Direction]],""),VALUE(IF(LEN(_xlpm.steps)&gt;2,LEFT(_xlpm.steps,LEN(_xlpm.steps)-2),0)))</f>
        <v>3</v>
      </c>
      <c r="E3072">
        <f>_xlfn.LET(_xlpm.dir,Table13[[#This Row],[Direction]],
IF(_xlpm.dir="L",
    IF(G3071-Table13[[#This Row],[Steps]]&lt;0,100+(G3071-Table13[[#This Row],[Steps]]),G3071-Table13[[#This Row],[Steps]]),
))</f>
        <v>40</v>
      </c>
      <c r="F3072">
        <f>_xlfn.LET(_xlpm.dir,Table13[[#This Row],[Direction]],
IF(_xlpm.dir="R",
    IF(G3071+Table13[[#This Row],[Steps]]&gt;99,(G3071+Table13[[#This Row],[Steps]])-100,G3071+Table13[[#This Row],[Steps]]),
))</f>
        <v>0</v>
      </c>
      <c r="G3072">
        <f>IF(Table13[[#This Row],[New Pos L]]&lt;&gt;0,Table13[[#This Row],[New Pos L]],Table13[[#This Row],[New Pos R]])</f>
        <v>40</v>
      </c>
      <c r="H3072">
        <f>IF(AND(Table13[[#This Row],[Direction]]="L",Table13[[#This Row],[Steps]]&gt;G3071,G3071&lt;&gt;0),1,0)</f>
        <v>0</v>
      </c>
      <c r="I3072">
        <f>IF(AND(Table13[[#This Row],[Direction]]="R",(G3071+Table13[[#This Row],[Steps]])&gt;100),1,0)</f>
        <v>0</v>
      </c>
      <c r="J3072">
        <f>IF(Table13[[#This Row],[POS]]=0,1,0)</f>
        <v>0</v>
      </c>
      <c r="K3072">
        <f>SUM(Table13[[#This Row],[prefix]],Table13[[#This Row],[Past zero L]],Table13[[#This Row],[Past Zero R]],Table13[[#This Row],[Is Zero]])</f>
        <v>3</v>
      </c>
    </row>
    <row r="3073" spans="1:11" ht="16" x14ac:dyDescent="0.2">
      <c r="A3073" s="1" t="s">
        <v>344</v>
      </c>
      <c r="B3073" t="str">
        <f>LEFT(Table13[[#This Row],[Input]],1)</f>
        <v>R</v>
      </c>
      <c r="C3073">
        <f>_xlfn.LET(_xlpm.steps,SUBSTITUTE(Table13[[#This Row],[Input]],Table13[[#This Row],[Direction]],""),VALUE(IF(LEN(_xlpm.steps)&gt;2,RIGHT(_xlpm.steps,2),_xlpm.steps)))</f>
        <v>9</v>
      </c>
      <c r="D3073">
        <f>_xlfn.LET(_xlpm.steps,SUBSTITUTE(Table13[[#This Row],[Input]],Table13[[#This Row],[Direction]],""),VALUE(IF(LEN(_xlpm.steps)&gt;2,LEFT(_xlpm.steps,LEN(_xlpm.steps)-2),0)))</f>
        <v>0</v>
      </c>
      <c r="E3073">
        <f>_xlfn.LET(_xlpm.dir,Table13[[#This Row],[Direction]],
IF(_xlpm.dir="L",
    IF(G3072-Table13[[#This Row],[Steps]]&lt;0,100+(G3072-Table13[[#This Row],[Steps]]),G3072-Table13[[#This Row],[Steps]]),
))</f>
        <v>0</v>
      </c>
      <c r="F3073">
        <f>_xlfn.LET(_xlpm.dir,Table13[[#This Row],[Direction]],
IF(_xlpm.dir="R",
    IF(G3072+Table13[[#This Row],[Steps]]&gt;99,(G3072+Table13[[#This Row],[Steps]])-100,G3072+Table13[[#This Row],[Steps]]),
))</f>
        <v>49</v>
      </c>
      <c r="G3073">
        <f>IF(Table13[[#This Row],[New Pos L]]&lt;&gt;0,Table13[[#This Row],[New Pos L]],Table13[[#This Row],[New Pos R]])</f>
        <v>49</v>
      </c>
      <c r="H3073">
        <f>IF(AND(Table13[[#This Row],[Direction]]="L",Table13[[#This Row],[Steps]]&gt;G3072,G3072&lt;&gt;0),1,0)</f>
        <v>0</v>
      </c>
      <c r="I3073">
        <f>IF(AND(Table13[[#This Row],[Direction]]="R",(G3072+Table13[[#This Row],[Steps]])&gt;100),1,0)</f>
        <v>0</v>
      </c>
      <c r="J3073">
        <f>IF(Table13[[#This Row],[POS]]=0,1,0)</f>
        <v>0</v>
      </c>
      <c r="K3073">
        <f>SUM(Table13[[#This Row],[prefix]],Table13[[#This Row],[Past zero L]],Table13[[#This Row],[Past Zero R]],Table13[[#This Row],[Is Zero]])</f>
        <v>0</v>
      </c>
    </row>
    <row r="3074" spans="1:11" ht="16" x14ac:dyDescent="0.2">
      <c r="A3074" s="1" t="s">
        <v>4</v>
      </c>
      <c r="B3074" t="str">
        <f>LEFT(Table13[[#This Row],[Input]],1)</f>
        <v>R</v>
      </c>
      <c r="C3074">
        <f>_xlfn.LET(_xlpm.steps,SUBSTITUTE(Table13[[#This Row],[Input]],Table13[[#This Row],[Direction]],""),VALUE(IF(LEN(_xlpm.steps)&gt;2,RIGHT(_xlpm.steps,2),_xlpm.steps)))</f>
        <v>3</v>
      </c>
      <c r="D3074">
        <f>_xlfn.LET(_xlpm.steps,SUBSTITUTE(Table13[[#This Row],[Input]],Table13[[#This Row],[Direction]],""),VALUE(IF(LEN(_xlpm.steps)&gt;2,LEFT(_xlpm.steps,LEN(_xlpm.steps)-2),0)))</f>
        <v>0</v>
      </c>
      <c r="E3074">
        <f>_xlfn.LET(_xlpm.dir,Table13[[#This Row],[Direction]],
IF(_xlpm.dir="L",
    IF(G3073-Table13[[#This Row],[Steps]]&lt;0,100+(G3073-Table13[[#This Row],[Steps]]),G3073-Table13[[#This Row],[Steps]]),
))</f>
        <v>0</v>
      </c>
      <c r="F3074">
        <f>_xlfn.LET(_xlpm.dir,Table13[[#This Row],[Direction]],
IF(_xlpm.dir="R",
    IF(G3073+Table13[[#This Row],[Steps]]&gt;99,(G3073+Table13[[#This Row],[Steps]])-100,G3073+Table13[[#This Row],[Steps]]),
))</f>
        <v>52</v>
      </c>
      <c r="G3074">
        <f>IF(Table13[[#This Row],[New Pos L]]&lt;&gt;0,Table13[[#This Row],[New Pos L]],Table13[[#This Row],[New Pos R]])</f>
        <v>52</v>
      </c>
      <c r="H3074">
        <f>IF(AND(Table13[[#This Row],[Direction]]="L",Table13[[#This Row],[Steps]]&gt;G3073,G3073&lt;&gt;0),1,0)</f>
        <v>0</v>
      </c>
      <c r="I3074">
        <f>IF(AND(Table13[[#This Row],[Direction]]="R",(G3073+Table13[[#This Row],[Steps]])&gt;100),1,0)</f>
        <v>0</v>
      </c>
      <c r="J3074">
        <f>IF(Table13[[#This Row],[POS]]=0,1,0)</f>
        <v>0</v>
      </c>
      <c r="K3074">
        <f>SUM(Table13[[#This Row],[prefix]],Table13[[#This Row],[Past zero L]],Table13[[#This Row],[Past Zero R]],Table13[[#This Row],[Is Zero]])</f>
        <v>0</v>
      </c>
    </row>
    <row r="3075" spans="1:11" ht="16" x14ac:dyDescent="0.2">
      <c r="A3075" s="1" t="s">
        <v>319</v>
      </c>
      <c r="B3075" t="str">
        <f>LEFT(Table13[[#This Row],[Input]],1)</f>
        <v>L</v>
      </c>
      <c r="C3075">
        <f>_xlfn.LET(_xlpm.steps,SUBSTITUTE(Table13[[#This Row],[Input]],Table13[[#This Row],[Direction]],""),VALUE(IF(LEN(_xlpm.steps)&gt;2,RIGHT(_xlpm.steps,2),_xlpm.steps)))</f>
        <v>79</v>
      </c>
      <c r="D3075">
        <f>_xlfn.LET(_xlpm.steps,SUBSTITUTE(Table13[[#This Row],[Input]],Table13[[#This Row],[Direction]],""),VALUE(IF(LEN(_xlpm.steps)&gt;2,LEFT(_xlpm.steps,LEN(_xlpm.steps)-2),0)))</f>
        <v>0</v>
      </c>
      <c r="E3075">
        <f>_xlfn.LET(_xlpm.dir,Table13[[#This Row],[Direction]],
IF(_xlpm.dir="L",
    IF(G3074-Table13[[#This Row],[Steps]]&lt;0,100+(G3074-Table13[[#This Row],[Steps]]),G3074-Table13[[#This Row],[Steps]]),
))</f>
        <v>73</v>
      </c>
      <c r="F3075">
        <f>_xlfn.LET(_xlpm.dir,Table13[[#This Row],[Direction]],
IF(_xlpm.dir="R",
    IF(G3074+Table13[[#This Row],[Steps]]&gt;99,(G3074+Table13[[#This Row],[Steps]])-100,G3074+Table13[[#This Row],[Steps]]),
))</f>
        <v>0</v>
      </c>
      <c r="G3075">
        <f>IF(Table13[[#This Row],[New Pos L]]&lt;&gt;0,Table13[[#This Row],[New Pos L]],Table13[[#This Row],[New Pos R]])</f>
        <v>73</v>
      </c>
      <c r="H3075">
        <f>IF(AND(Table13[[#This Row],[Direction]]="L",Table13[[#This Row],[Steps]]&gt;G3074,G3074&lt;&gt;0),1,0)</f>
        <v>1</v>
      </c>
      <c r="I3075">
        <f>IF(AND(Table13[[#This Row],[Direction]]="R",(G3074+Table13[[#This Row],[Steps]])&gt;100),1,0)</f>
        <v>0</v>
      </c>
      <c r="J3075">
        <f>IF(Table13[[#This Row],[POS]]=0,1,0)</f>
        <v>0</v>
      </c>
      <c r="K3075">
        <f>SUM(Table13[[#This Row],[prefix]],Table13[[#This Row],[Past zero L]],Table13[[#This Row],[Past Zero R]],Table13[[#This Row],[Is Zero]])</f>
        <v>1</v>
      </c>
    </row>
    <row r="3076" spans="1:11" ht="16" x14ac:dyDescent="0.2">
      <c r="A3076" s="1" t="s">
        <v>69</v>
      </c>
      <c r="B3076" t="str">
        <f>LEFT(Table13[[#This Row],[Input]],1)</f>
        <v>R</v>
      </c>
      <c r="C3076">
        <f>_xlfn.LET(_xlpm.steps,SUBSTITUTE(Table13[[#This Row],[Input]],Table13[[#This Row],[Direction]],""),VALUE(IF(LEN(_xlpm.steps)&gt;2,RIGHT(_xlpm.steps,2),_xlpm.steps)))</f>
        <v>27</v>
      </c>
      <c r="D3076">
        <f>_xlfn.LET(_xlpm.steps,SUBSTITUTE(Table13[[#This Row],[Input]],Table13[[#This Row],[Direction]],""),VALUE(IF(LEN(_xlpm.steps)&gt;2,LEFT(_xlpm.steps,LEN(_xlpm.steps)-2),0)))</f>
        <v>0</v>
      </c>
      <c r="E3076">
        <f>_xlfn.LET(_xlpm.dir,Table13[[#This Row],[Direction]],
IF(_xlpm.dir="L",
    IF(G3075-Table13[[#This Row],[Steps]]&lt;0,100+(G3075-Table13[[#This Row],[Steps]]),G3075-Table13[[#This Row],[Steps]]),
))</f>
        <v>0</v>
      </c>
      <c r="F3076">
        <f>_xlfn.LET(_xlpm.dir,Table13[[#This Row],[Direction]],
IF(_xlpm.dir="R",
    IF(G3075+Table13[[#This Row],[Steps]]&gt;99,(G3075+Table13[[#This Row],[Steps]])-100,G3075+Table13[[#This Row],[Steps]]),
))</f>
        <v>0</v>
      </c>
      <c r="G3076">
        <f>IF(Table13[[#This Row],[New Pos L]]&lt;&gt;0,Table13[[#This Row],[New Pos L]],Table13[[#This Row],[New Pos R]])</f>
        <v>0</v>
      </c>
      <c r="H3076">
        <f>IF(AND(Table13[[#This Row],[Direction]]="L",Table13[[#This Row],[Steps]]&gt;G3075,G3075&lt;&gt;0),1,0)</f>
        <v>0</v>
      </c>
      <c r="I3076">
        <f>IF(AND(Table13[[#This Row],[Direction]]="R",(G3075+Table13[[#This Row],[Steps]])&gt;100),1,0)</f>
        <v>0</v>
      </c>
      <c r="J3076">
        <f>IF(Table13[[#This Row],[POS]]=0,1,0)</f>
        <v>1</v>
      </c>
      <c r="K3076">
        <f>SUM(Table13[[#This Row],[prefix]],Table13[[#This Row],[Past zero L]],Table13[[#This Row],[Past Zero R]],Table13[[#This Row],[Is Zero]])</f>
        <v>1</v>
      </c>
    </row>
    <row r="3077" spans="1:11" ht="16" x14ac:dyDescent="0.2">
      <c r="A3077" s="1" t="s">
        <v>187</v>
      </c>
      <c r="B3077" t="str">
        <f>LEFT(Table13[[#This Row],[Input]],1)</f>
        <v>R</v>
      </c>
      <c r="C3077">
        <f>_xlfn.LET(_xlpm.steps,SUBSTITUTE(Table13[[#This Row],[Input]],Table13[[#This Row],[Direction]],""),VALUE(IF(LEN(_xlpm.steps)&gt;2,RIGHT(_xlpm.steps,2),_xlpm.steps)))</f>
        <v>20</v>
      </c>
      <c r="D3077">
        <f>_xlfn.LET(_xlpm.steps,SUBSTITUTE(Table13[[#This Row],[Input]],Table13[[#This Row],[Direction]],""),VALUE(IF(LEN(_xlpm.steps)&gt;2,LEFT(_xlpm.steps,LEN(_xlpm.steps)-2),0)))</f>
        <v>0</v>
      </c>
      <c r="E3077">
        <f>_xlfn.LET(_xlpm.dir,Table13[[#This Row],[Direction]],
IF(_xlpm.dir="L",
    IF(G3076-Table13[[#This Row],[Steps]]&lt;0,100+(G3076-Table13[[#This Row],[Steps]]),G3076-Table13[[#This Row],[Steps]]),
))</f>
        <v>0</v>
      </c>
      <c r="F3077">
        <f>_xlfn.LET(_xlpm.dir,Table13[[#This Row],[Direction]],
IF(_xlpm.dir="R",
    IF(G3076+Table13[[#This Row],[Steps]]&gt;99,(G3076+Table13[[#This Row],[Steps]])-100,G3076+Table13[[#This Row],[Steps]]),
))</f>
        <v>20</v>
      </c>
      <c r="G3077">
        <f>IF(Table13[[#This Row],[New Pos L]]&lt;&gt;0,Table13[[#This Row],[New Pos L]],Table13[[#This Row],[New Pos R]])</f>
        <v>20</v>
      </c>
      <c r="H3077">
        <f>IF(AND(Table13[[#This Row],[Direction]]="L",Table13[[#This Row],[Steps]]&gt;G3076,G3076&lt;&gt;0),1,0)</f>
        <v>0</v>
      </c>
      <c r="I3077">
        <f>IF(AND(Table13[[#This Row],[Direction]]="R",(G3076+Table13[[#This Row],[Steps]])&gt;100),1,0)</f>
        <v>0</v>
      </c>
      <c r="J3077">
        <f>IF(Table13[[#This Row],[POS]]=0,1,0)</f>
        <v>0</v>
      </c>
      <c r="K3077">
        <f>SUM(Table13[[#This Row],[prefix]],Table13[[#This Row],[Past zero L]],Table13[[#This Row],[Past Zero R]],Table13[[#This Row],[Is Zero]])</f>
        <v>0</v>
      </c>
    </row>
    <row r="3078" spans="1:11" ht="16" x14ac:dyDescent="0.2">
      <c r="A3078" s="1" t="s">
        <v>52</v>
      </c>
      <c r="B3078" t="str">
        <f>LEFT(Table13[[#This Row],[Input]],1)</f>
        <v>R</v>
      </c>
      <c r="C3078">
        <f>_xlfn.LET(_xlpm.steps,SUBSTITUTE(Table13[[#This Row],[Input]],Table13[[#This Row],[Direction]],""),VALUE(IF(LEN(_xlpm.steps)&gt;2,RIGHT(_xlpm.steps,2),_xlpm.steps)))</f>
        <v>11</v>
      </c>
      <c r="D3078">
        <f>_xlfn.LET(_xlpm.steps,SUBSTITUTE(Table13[[#This Row],[Input]],Table13[[#This Row],[Direction]],""),VALUE(IF(LEN(_xlpm.steps)&gt;2,LEFT(_xlpm.steps,LEN(_xlpm.steps)-2),0)))</f>
        <v>0</v>
      </c>
      <c r="E3078">
        <f>_xlfn.LET(_xlpm.dir,Table13[[#This Row],[Direction]],
IF(_xlpm.dir="L",
    IF(G3077-Table13[[#This Row],[Steps]]&lt;0,100+(G3077-Table13[[#This Row],[Steps]]),G3077-Table13[[#This Row],[Steps]]),
))</f>
        <v>0</v>
      </c>
      <c r="F3078">
        <f>_xlfn.LET(_xlpm.dir,Table13[[#This Row],[Direction]],
IF(_xlpm.dir="R",
    IF(G3077+Table13[[#This Row],[Steps]]&gt;99,(G3077+Table13[[#This Row],[Steps]])-100,G3077+Table13[[#This Row],[Steps]]),
))</f>
        <v>31</v>
      </c>
      <c r="G3078">
        <f>IF(Table13[[#This Row],[New Pos L]]&lt;&gt;0,Table13[[#This Row],[New Pos L]],Table13[[#This Row],[New Pos R]])</f>
        <v>31</v>
      </c>
      <c r="H3078">
        <f>IF(AND(Table13[[#This Row],[Direction]]="L",Table13[[#This Row],[Steps]]&gt;G3077,G3077&lt;&gt;0),1,0)</f>
        <v>0</v>
      </c>
      <c r="I3078">
        <f>IF(AND(Table13[[#This Row],[Direction]]="R",(G3077+Table13[[#This Row],[Steps]])&gt;100),1,0)</f>
        <v>0</v>
      </c>
      <c r="J3078">
        <f>IF(Table13[[#This Row],[POS]]=0,1,0)</f>
        <v>0</v>
      </c>
      <c r="K3078">
        <f>SUM(Table13[[#This Row],[prefix]],Table13[[#This Row],[Past zero L]],Table13[[#This Row],[Past Zero R]],Table13[[#This Row],[Is Zero]])</f>
        <v>0</v>
      </c>
    </row>
    <row r="3079" spans="1:11" ht="16" x14ac:dyDescent="0.2">
      <c r="A3079" s="1" t="s">
        <v>46</v>
      </c>
      <c r="B3079" t="str">
        <f>LEFT(Table13[[#This Row],[Input]],1)</f>
        <v>L</v>
      </c>
      <c r="C3079">
        <f>_xlfn.LET(_xlpm.steps,SUBSTITUTE(Table13[[#This Row],[Input]],Table13[[#This Row],[Direction]],""),VALUE(IF(LEN(_xlpm.steps)&gt;2,RIGHT(_xlpm.steps,2),_xlpm.steps)))</f>
        <v>97</v>
      </c>
      <c r="D3079">
        <f>_xlfn.LET(_xlpm.steps,SUBSTITUTE(Table13[[#This Row],[Input]],Table13[[#This Row],[Direction]],""),VALUE(IF(LEN(_xlpm.steps)&gt;2,LEFT(_xlpm.steps,LEN(_xlpm.steps)-2),0)))</f>
        <v>0</v>
      </c>
      <c r="E3079">
        <f>_xlfn.LET(_xlpm.dir,Table13[[#This Row],[Direction]],
IF(_xlpm.dir="L",
    IF(G3078-Table13[[#This Row],[Steps]]&lt;0,100+(G3078-Table13[[#This Row],[Steps]]),G3078-Table13[[#This Row],[Steps]]),
))</f>
        <v>34</v>
      </c>
      <c r="F3079">
        <f>_xlfn.LET(_xlpm.dir,Table13[[#This Row],[Direction]],
IF(_xlpm.dir="R",
    IF(G3078+Table13[[#This Row],[Steps]]&gt;99,(G3078+Table13[[#This Row],[Steps]])-100,G3078+Table13[[#This Row],[Steps]]),
))</f>
        <v>0</v>
      </c>
      <c r="G3079">
        <f>IF(Table13[[#This Row],[New Pos L]]&lt;&gt;0,Table13[[#This Row],[New Pos L]],Table13[[#This Row],[New Pos R]])</f>
        <v>34</v>
      </c>
      <c r="H3079">
        <f>IF(AND(Table13[[#This Row],[Direction]]="L",Table13[[#This Row],[Steps]]&gt;G3078,G3078&lt;&gt;0),1,0)</f>
        <v>1</v>
      </c>
      <c r="I3079">
        <f>IF(AND(Table13[[#This Row],[Direction]]="R",(G3078+Table13[[#This Row],[Steps]])&gt;100),1,0)</f>
        <v>0</v>
      </c>
      <c r="J3079">
        <f>IF(Table13[[#This Row],[POS]]=0,1,0)</f>
        <v>0</v>
      </c>
      <c r="K3079">
        <f>SUM(Table13[[#This Row],[prefix]],Table13[[#This Row],[Past zero L]],Table13[[#This Row],[Past Zero R]],Table13[[#This Row],[Is Zero]])</f>
        <v>1</v>
      </c>
    </row>
    <row r="3080" spans="1:11" ht="16" x14ac:dyDescent="0.2">
      <c r="A3080" s="1" t="s">
        <v>98</v>
      </c>
      <c r="B3080" t="str">
        <f>LEFT(Table13[[#This Row],[Input]],1)</f>
        <v>L</v>
      </c>
      <c r="C3080">
        <f>_xlfn.LET(_xlpm.steps,SUBSTITUTE(Table13[[#This Row],[Input]],Table13[[#This Row],[Direction]],""),VALUE(IF(LEN(_xlpm.steps)&gt;2,RIGHT(_xlpm.steps,2),_xlpm.steps)))</f>
        <v>65</v>
      </c>
      <c r="D3080">
        <f>_xlfn.LET(_xlpm.steps,SUBSTITUTE(Table13[[#This Row],[Input]],Table13[[#This Row],[Direction]],""),VALUE(IF(LEN(_xlpm.steps)&gt;2,LEFT(_xlpm.steps,LEN(_xlpm.steps)-2),0)))</f>
        <v>0</v>
      </c>
      <c r="E3080">
        <f>_xlfn.LET(_xlpm.dir,Table13[[#This Row],[Direction]],
IF(_xlpm.dir="L",
    IF(G3079-Table13[[#This Row],[Steps]]&lt;0,100+(G3079-Table13[[#This Row],[Steps]]),G3079-Table13[[#This Row],[Steps]]),
))</f>
        <v>69</v>
      </c>
      <c r="F3080">
        <f>_xlfn.LET(_xlpm.dir,Table13[[#This Row],[Direction]],
IF(_xlpm.dir="R",
    IF(G3079+Table13[[#This Row],[Steps]]&gt;99,(G3079+Table13[[#This Row],[Steps]])-100,G3079+Table13[[#This Row],[Steps]]),
))</f>
        <v>0</v>
      </c>
      <c r="G3080">
        <f>IF(Table13[[#This Row],[New Pos L]]&lt;&gt;0,Table13[[#This Row],[New Pos L]],Table13[[#This Row],[New Pos R]])</f>
        <v>69</v>
      </c>
      <c r="H3080">
        <f>IF(AND(Table13[[#This Row],[Direction]]="L",Table13[[#This Row],[Steps]]&gt;G3079,G3079&lt;&gt;0),1,0)</f>
        <v>1</v>
      </c>
      <c r="I3080">
        <f>IF(AND(Table13[[#This Row],[Direction]]="R",(G3079+Table13[[#This Row],[Steps]])&gt;100),1,0)</f>
        <v>0</v>
      </c>
      <c r="J3080">
        <f>IF(Table13[[#This Row],[POS]]=0,1,0)</f>
        <v>0</v>
      </c>
      <c r="K3080">
        <f>SUM(Table13[[#This Row],[prefix]],Table13[[#This Row],[Past zero L]],Table13[[#This Row],[Past Zero R]],Table13[[#This Row],[Is Zero]])</f>
        <v>1</v>
      </c>
    </row>
    <row r="3081" spans="1:11" ht="16" x14ac:dyDescent="0.2">
      <c r="A3081" s="1" t="s">
        <v>56</v>
      </c>
      <c r="B3081" t="str">
        <f>LEFT(Table13[[#This Row],[Input]],1)</f>
        <v>R</v>
      </c>
      <c r="C3081">
        <f>_xlfn.LET(_xlpm.steps,SUBSTITUTE(Table13[[#This Row],[Input]],Table13[[#This Row],[Direction]],""),VALUE(IF(LEN(_xlpm.steps)&gt;2,RIGHT(_xlpm.steps,2),_xlpm.steps)))</f>
        <v>42</v>
      </c>
      <c r="D3081">
        <f>_xlfn.LET(_xlpm.steps,SUBSTITUTE(Table13[[#This Row],[Input]],Table13[[#This Row],[Direction]],""),VALUE(IF(LEN(_xlpm.steps)&gt;2,LEFT(_xlpm.steps,LEN(_xlpm.steps)-2),0)))</f>
        <v>0</v>
      </c>
      <c r="E3081">
        <f>_xlfn.LET(_xlpm.dir,Table13[[#This Row],[Direction]],
IF(_xlpm.dir="L",
    IF(G3080-Table13[[#This Row],[Steps]]&lt;0,100+(G3080-Table13[[#This Row],[Steps]]),G3080-Table13[[#This Row],[Steps]]),
))</f>
        <v>0</v>
      </c>
      <c r="F3081">
        <f>_xlfn.LET(_xlpm.dir,Table13[[#This Row],[Direction]],
IF(_xlpm.dir="R",
    IF(G3080+Table13[[#This Row],[Steps]]&gt;99,(G3080+Table13[[#This Row],[Steps]])-100,G3080+Table13[[#This Row],[Steps]]),
))</f>
        <v>11</v>
      </c>
      <c r="G3081">
        <f>IF(Table13[[#This Row],[New Pos L]]&lt;&gt;0,Table13[[#This Row],[New Pos L]],Table13[[#This Row],[New Pos R]])</f>
        <v>11</v>
      </c>
      <c r="H3081">
        <f>IF(AND(Table13[[#This Row],[Direction]]="L",Table13[[#This Row],[Steps]]&gt;G3080,G3080&lt;&gt;0),1,0)</f>
        <v>0</v>
      </c>
      <c r="I3081">
        <f>IF(AND(Table13[[#This Row],[Direction]]="R",(G3080+Table13[[#This Row],[Steps]])&gt;100),1,0)</f>
        <v>1</v>
      </c>
      <c r="J3081">
        <f>IF(Table13[[#This Row],[POS]]=0,1,0)</f>
        <v>0</v>
      </c>
      <c r="K3081">
        <f>SUM(Table13[[#This Row],[prefix]],Table13[[#This Row],[Past zero L]],Table13[[#This Row],[Past Zero R]],Table13[[#This Row],[Is Zero]])</f>
        <v>1</v>
      </c>
    </row>
    <row r="3082" spans="1:11" ht="16" x14ac:dyDescent="0.2">
      <c r="A3082" s="1" t="s">
        <v>187</v>
      </c>
      <c r="B3082" t="str">
        <f>LEFT(Table13[[#This Row],[Input]],1)</f>
        <v>R</v>
      </c>
      <c r="C3082">
        <f>_xlfn.LET(_xlpm.steps,SUBSTITUTE(Table13[[#This Row],[Input]],Table13[[#This Row],[Direction]],""),VALUE(IF(LEN(_xlpm.steps)&gt;2,RIGHT(_xlpm.steps,2),_xlpm.steps)))</f>
        <v>20</v>
      </c>
      <c r="D3082">
        <f>_xlfn.LET(_xlpm.steps,SUBSTITUTE(Table13[[#This Row],[Input]],Table13[[#This Row],[Direction]],""),VALUE(IF(LEN(_xlpm.steps)&gt;2,LEFT(_xlpm.steps,LEN(_xlpm.steps)-2),0)))</f>
        <v>0</v>
      </c>
      <c r="E3082">
        <f>_xlfn.LET(_xlpm.dir,Table13[[#This Row],[Direction]],
IF(_xlpm.dir="L",
    IF(G3081-Table13[[#This Row],[Steps]]&lt;0,100+(G3081-Table13[[#This Row],[Steps]]),G3081-Table13[[#This Row],[Steps]]),
))</f>
        <v>0</v>
      </c>
      <c r="F3082">
        <f>_xlfn.LET(_xlpm.dir,Table13[[#This Row],[Direction]],
IF(_xlpm.dir="R",
    IF(G3081+Table13[[#This Row],[Steps]]&gt;99,(G3081+Table13[[#This Row],[Steps]])-100,G3081+Table13[[#This Row],[Steps]]),
))</f>
        <v>31</v>
      </c>
      <c r="G3082">
        <f>IF(Table13[[#This Row],[New Pos L]]&lt;&gt;0,Table13[[#This Row],[New Pos L]],Table13[[#This Row],[New Pos R]])</f>
        <v>31</v>
      </c>
      <c r="H3082">
        <f>IF(AND(Table13[[#This Row],[Direction]]="L",Table13[[#This Row],[Steps]]&gt;G3081,G3081&lt;&gt;0),1,0)</f>
        <v>0</v>
      </c>
      <c r="I3082">
        <f>IF(AND(Table13[[#This Row],[Direction]]="R",(G3081+Table13[[#This Row],[Steps]])&gt;100),1,0)</f>
        <v>0</v>
      </c>
      <c r="J3082">
        <f>IF(Table13[[#This Row],[POS]]=0,1,0)</f>
        <v>0</v>
      </c>
      <c r="K3082">
        <f>SUM(Table13[[#This Row],[prefix]],Table13[[#This Row],[Past zero L]],Table13[[#This Row],[Past Zero R]],Table13[[#This Row],[Is Zero]])</f>
        <v>0</v>
      </c>
    </row>
    <row r="3083" spans="1:11" ht="16" x14ac:dyDescent="0.2">
      <c r="A3083" s="1" t="s">
        <v>135</v>
      </c>
      <c r="B3083" t="str">
        <f>LEFT(Table13[[#This Row],[Input]],1)</f>
        <v>R</v>
      </c>
      <c r="C3083">
        <f>_xlfn.LET(_xlpm.steps,SUBSTITUTE(Table13[[#This Row],[Input]],Table13[[#This Row],[Direction]],""),VALUE(IF(LEN(_xlpm.steps)&gt;2,RIGHT(_xlpm.steps,2),_xlpm.steps)))</f>
        <v>69</v>
      </c>
      <c r="D3083">
        <f>_xlfn.LET(_xlpm.steps,SUBSTITUTE(Table13[[#This Row],[Input]],Table13[[#This Row],[Direction]],""),VALUE(IF(LEN(_xlpm.steps)&gt;2,LEFT(_xlpm.steps,LEN(_xlpm.steps)-2),0)))</f>
        <v>0</v>
      </c>
      <c r="E3083">
        <f>_xlfn.LET(_xlpm.dir,Table13[[#This Row],[Direction]],
IF(_xlpm.dir="L",
    IF(G3082-Table13[[#This Row],[Steps]]&lt;0,100+(G3082-Table13[[#This Row],[Steps]]),G3082-Table13[[#This Row],[Steps]]),
))</f>
        <v>0</v>
      </c>
      <c r="F3083">
        <f>_xlfn.LET(_xlpm.dir,Table13[[#This Row],[Direction]],
IF(_xlpm.dir="R",
    IF(G3082+Table13[[#This Row],[Steps]]&gt;99,(G3082+Table13[[#This Row],[Steps]])-100,G3082+Table13[[#This Row],[Steps]]),
))</f>
        <v>0</v>
      </c>
      <c r="G3083">
        <f>IF(Table13[[#This Row],[New Pos L]]&lt;&gt;0,Table13[[#This Row],[New Pos L]],Table13[[#This Row],[New Pos R]])</f>
        <v>0</v>
      </c>
      <c r="H3083">
        <f>IF(AND(Table13[[#This Row],[Direction]]="L",Table13[[#This Row],[Steps]]&gt;G3082,G3082&lt;&gt;0),1,0)</f>
        <v>0</v>
      </c>
      <c r="I3083">
        <f>IF(AND(Table13[[#This Row],[Direction]]="R",(G3082+Table13[[#This Row],[Steps]])&gt;100),1,0)</f>
        <v>0</v>
      </c>
      <c r="J3083">
        <f>IF(Table13[[#This Row],[POS]]=0,1,0)</f>
        <v>1</v>
      </c>
      <c r="K3083">
        <f>SUM(Table13[[#This Row],[prefix]],Table13[[#This Row],[Past zero L]],Table13[[#This Row],[Past Zero R]],Table13[[#This Row],[Is Zero]])</f>
        <v>1</v>
      </c>
    </row>
    <row r="3084" spans="1:11" ht="16" x14ac:dyDescent="0.2">
      <c r="A3084" s="1" t="s">
        <v>81</v>
      </c>
      <c r="B3084" t="str">
        <f>LEFT(Table13[[#This Row],[Input]],1)</f>
        <v>R</v>
      </c>
      <c r="C3084">
        <f>_xlfn.LET(_xlpm.steps,SUBSTITUTE(Table13[[#This Row],[Input]],Table13[[#This Row],[Direction]],""),VALUE(IF(LEN(_xlpm.steps)&gt;2,RIGHT(_xlpm.steps,2),_xlpm.steps)))</f>
        <v>17</v>
      </c>
      <c r="D3084">
        <f>_xlfn.LET(_xlpm.steps,SUBSTITUTE(Table13[[#This Row],[Input]],Table13[[#This Row],[Direction]],""),VALUE(IF(LEN(_xlpm.steps)&gt;2,LEFT(_xlpm.steps,LEN(_xlpm.steps)-2),0)))</f>
        <v>0</v>
      </c>
      <c r="E3084">
        <f>_xlfn.LET(_xlpm.dir,Table13[[#This Row],[Direction]],
IF(_xlpm.dir="L",
    IF(G3083-Table13[[#This Row],[Steps]]&lt;0,100+(G3083-Table13[[#This Row],[Steps]]),G3083-Table13[[#This Row],[Steps]]),
))</f>
        <v>0</v>
      </c>
      <c r="F3084">
        <f>_xlfn.LET(_xlpm.dir,Table13[[#This Row],[Direction]],
IF(_xlpm.dir="R",
    IF(G3083+Table13[[#This Row],[Steps]]&gt;99,(G3083+Table13[[#This Row],[Steps]])-100,G3083+Table13[[#This Row],[Steps]]),
))</f>
        <v>17</v>
      </c>
      <c r="G3084">
        <f>IF(Table13[[#This Row],[New Pos L]]&lt;&gt;0,Table13[[#This Row],[New Pos L]],Table13[[#This Row],[New Pos R]])</f>
        <v>17</v>
      </c>
      <c r="H3084">
        <f>IF(AND(Table13[[#This Row],[Direction]]="L",Table13[[#This Row],[Steps]]&gt;G3083,G3083&lt;&gt;0),1,0)</f>
        <v>0</v>
      </c>
      <c r="I3084">
        <f>IF(AND(Table13[[#This Row],[Direction]]="R",(G3083+Table13[[#This Row],[Steps]])&gt;100),1,0)</f>
        <v>0</v>
      </c>
      <c r="J3084">
        <f>IF(Table13[[#This Row],[POS]]=0,1,0)</f>
        <v>0</v>
      </c>
      <c r="K3084">
        <f>SUM(Table13[[#This Row],[prefix]],Table13[[#This Row],[Past zero L]],Table13[[#This Row],[Past Zero R]],Table13[[#This Row],[Is Zero]])</f>
        <v>0</v>
      </c>
    </row>
    <row r="3085" spans="1:11" ht="16" x14ac:dyDescent="0.2">
      <c r="A3085" s="1" t="s">
        <v>462</v>
      </c>
      <c r="B3085" t="str">
        <f>LEFT(Table13[[#This Row],[Input]],1)</f>
        <v>L</v>
      </c>
      <c r="C3085">
        <f>_xlfn.LET(_xlpm.steps,SUBSTITUTE(Table13[[#This Row],[Input]],Table13[[#This Row],[Direction]],""),VALUE(IF(LEN(_xlpm.steps)&gt;2,RIGHT(_xlpm.steps,2),_xlpm.steps)))</f>
        <v>17</v>
      </c>
      <c r="D3085">
        <f>_xlfn.LET(_xlpm.steps,SUBSTITUTE(Table13[[#This Row],[Input]],Table13[[#This Row],[Direction]],""),VALUE(IF(LEN(_xlpm.steps)&gt;2,LEFT(_xlpm.steps,LEN(_xlpm.steps)-2),0)))</f>
        <v>0</v>
      </c>
      <c r="E3085">
        <f>_xlfn.LET(_xlpm.dir,Table13[[#This Row],[Direction]],
IF(_xlpm.dir="L",
    IF(G3084-Table13[[#This Row],[Steps]]&lt;0,100+(G3084-Table13[[#This Row],[Steps]]),G3084-Table13[[#This Row],[Steps]]),
))</f>
        <v>0</v>
      </c>
      <c r="F3085">
        <f>_xlfn.LET(_xlpm.dir,Table13[[#This Row],[Direction]],
IF(_xlpm.dir="R",
    IF(G3084+Table13[[#This Row],[Steps]]&gt;99,(G3084+Table13[[#This Row],[Steps]])-100,G3084+Table13[[#This Row],[Steps]]),
))</f>
        <v>0</v>
      </c>
      <c r="G3085">
        <f>IF(Table13[[#This Row],[New Pos L]]&lt;&gt;0,Table13[[#This Row],[New Pos L]],Table13[[#This Row],[New Pos R]])</f>
        <v>0</v>
      </c>
      <c r="H3085">
        <f>IF(AND(Table13[[#This Row],[Direction]]="L",Table13[[#This Row],[Steps]]&gt;G3084,G3084&lt;&gt;0),1,0)</f>
        <v>0</v>
      </c>
      <c r="I3085">
        <f>IF(AND(Table13[[#This Row],[Direction]]="R",(G3084+Table13[[#This Row],[Steps]])&gt;100),1,0)</f>
        <v>0</v>
      </c>
      <c r="J3085">
        <f>IF(Table13[[#This Row],[POS]]=0,1,0)</f>
        <v>1</v>
      </c>
      <c r="K3085">
        <f>SUM(Table13[[#This Row],[prefix]],Table13[[#This Row],[Past zero L]],Table13[[#This Row],[Past Zero R]],Table13[[#This Row],[Is Zero]])</f>
        <v>1</v>
      </c>
    </row>
    <row r="3086" spans="1:11" ht="16" x14ac:dyDescent="0.2">
      <c r="A3086" s="1" t="s">
        <v>267</v>
      </c>
      <c r="B3086" t="str">
        <f>LEFT(Table13[[#This Row],[Input]],1)</f>
        <v>L</v>
      </c>
      <c r="C3086">
        <f>_xlfn.LET(_xlpm.steps,SUBSTITUTE(Table13[[#This Row],[Input]],Table13[[#This Row],[Direction]],""),VALUE(IF(LEN(_xlpm.steps)&gt;2,RIGHT(_xlpm.steps,2),_xlpm.steps)))</f>
        <v>39</v>
      </c>
      <c r="D3086">
        <f>_xlfn.LET(_xlpm.steps,SUBSTITUTE(Table13[[#This Row],[Input]],Table13[[#This Row],[Direction]],""),VALUE(IF(LEN(_xlpm.steps)&gt;2,LEFT(_xlpm.steps,LEN(_xlpm.steps)-2),0)))</f>
        <v>0</v>
      </c>
      <c r="E3086">
        <f>_xlfn.LET(_xlpm.dir,Table13[[#This Row],[Direction]],
IF(_xlpm.dir="L",
    IF(G3085-Table13[[#This Row],[Steps]]&lt;0,100+(G3085-Table13[[#This Row],[Steps]]),G3085-Table13[[#This Row],[Steps]]),
))</f>
        <v>61</v>
      </c>
      <c r="F3086">
        <f>_xlfn.LET(_xlpm.dir,Table13[[#This Row],[Direction]],
IF(_xlpm.dir="R",
    IF(G3085+Table13[[#This Row],[Steps]]&gt;99,(G3085+Table13[[#This Row],[Steps]])-100,G3085+Table13[[#This Row],[Steps]]),
))</f>
        <v>0</v>
      </c>
      <c r="G3086">
        <f>IF(Table13[[#This Row],[New Pos L]]&lt;&gt;0,Table13[[#This Row],[New Pos L]],Table13[[#This Row],[New Pos R]])</f>
        <v>61</v>
      </c>
      <c r="H3086">
        <f>IF(AND(Table13[[#This Row],[Direction]]="L",Table13[[#This Row],[Steps]]&gt;G3085,G3085&lt;&gt;0),1,0)</f>
        <v>0</v>
      </c>
      <c r="I3086">
        <f>IF(AND(Table13[[#This Row],[Direction]]="R",(G3085+Table13[[#This Row],[Steps]])&gt;100),1,0)</f>
        <v>0</v>
      </c>
      <c r="J3086">
        <f>IF(Table13[[#This Row],[POS]]=0,1,0)</f>
        <v>0</v>
      </c>
      <c r="K3086">
        <f>SUM(Table13[[#This Row],[prefix]],Table13[[#This Row],[Past zero L]],Table13[[#This Row],[Past Zero R]],Table13[[#This Row],[Is Zero]])</f>
        <v>0</v>
      </c>
    </row>
    <row r="3087" spans="1:11" ht="16" x14ac:dyDescent="0.2">
      <c r="A3087" s="1" t="s">
        <v>691</v>
      </c>
      <c r="B3087" t="str">
        <f>LEFT(Table13[[#This Row],[Input]],1)</f>
        <v>L</v>
      </c>
      <c r="C3087">
        <f>_xlfn.LET(_xlpm.steps,SUBSTITUTE(Table13[[#This Row],[Input]],Table13[[#This Row],[Direction]],""),VALUE(IF(LEN(_xlpm.steps)&gt;2,RIGHT(_xlpm.steps,2),_xlpm.steps)))</f>
        <v>87</v>
      </c>
      <c r="D3087">
        <f>_xlfn.LET(_xlpm.steps,SUBSTITUTE(Table13[[#This Row],[Input]],Table13[[#This Row],[Direction]],""),VALUE(IF(LEN(_xlpm.steps)&gt;2,LEFT(_xlpm.steps,LEN(_xlpm.steps)-2),0)))</f>
        <v>7</v>
      </c>
      <c r="E3087">
        <f>_xlfn.LET(_xlpm.dir,Table13[[#This Row],[Direction]],
IF(_xlpm.dir="L",
    IF(G3086-Table13[[#This Row],[Steps]]&lt;0,100+(G3086-Table13[[#This Row],[Steps]]),G3086-Table13[[#This Row],[Steps]]),
))</f>
        <v>74</v>
      </c>
      <c r="F3087">
        <f>_xlfn.LET(_xlpm.dir,Table13[[#This Row],[Direction]],
IF(_xlpm.dir="R",
    IF(G3086+Table13[[#This Row],[Steps]]&gt;99,(G3086+Table13[[#This Row],[Steps]])-100,G3086+Table13[[#This Row],[Steps]]),
))</f>
        <v>0</v>
      </c>
      <c r="G3087">
        <f>IF(Table13[[#This Row],[New Pos L]]&lt;&gt;0,Table13[[#This Row],[New Pos L]],Table13[[#This Row],[New Pos R]])</f>
        <v>74</v>
      </c>
      <c r="H3087">
        <f>IF(AND(Table13[[#This Row],[Direction]]="L",Table13[[#This Row],[Steps]]&gt;G3086,G3086&lt;&gt;0),1,0)</f>
        <v>1</v>
      </c>
      <c r="I3087">
        <f>IF(AND(Table13[[#This Row],[Direction]]="R",(G3086+Table13[[#This Row],[Steps]])&gt;100),1,0)</f>
        <v>0</v>
      </c>
      <c r="J3087">
        <f>IF(Table13[[#This Row],[POS]]=0,1,0)</f>
        <v>0</v>
      </c>
      <c r="K3087">
        <f>SUM(Table13[[#This Row],[prefix]],Table13[[#This Row],[Past zero L]],Table13[[#This Row],[Past Zero R]],Table13[[#This Row],[Is Zero]])</f>
        <v>8</v>
      </c>
    </row>
    <row r="3088" spans="1:11" ht="16" x14ac:dyDescent="0.2">
      <c r="A3088" s="1" t="s">
        <v>462</v>
      </c>
      <c r="B3088" t="str">
        <f>LEFT(Table13[[#This Row],[Input]],1)</f>
        <v>L</v>
      </c>
      <c r="C3088">
        <f>_xlfn.LET(_xlpm.steps,SUBSTITUTE(Table13[[#This Row],[Input]],Table13[[#This Row],[Direction]],""),VALUE(IF(LEN(_xlpm.steps)&gt;2,RIGHT(_xlpm.steps,2),_xlpm.steps)))</f>
        <v>17</v>
      </c>
      <c r="D3088">
        <f>_xlfn.LET(_xlpm.steps,SUBSTITUTE(Table13[[#This Row],[Input]],Table13[[#This Row],[Direction]],""),VALUE(IF(LEN(_xlpm.steps)&gt;2,LEFT(_xlpm.steps,LEN(_xlpm.steps)-2),0)))</f>
        <v>0</v>
      </c>
      <c r="E3088">
        <f>_xlfn.LET(_xlpm.dir,Table13[[#This Row],[Direction]],
IF(_xlpm.dir="L",
    IF(G3087-Table13[[#This Row],[Steps]]&lt;0,100+(G3087-Table13[[#This Row],[Steps]]),G3087-Table13[[#This Row],[Steps]]),
))</f>
        <v>57</v>
      </c>
      <c r="F3088">
        <f>_xlfn.LET(_xlpm.dir,Table13[[#This Row],[Direction]],
IF(_xlpm.dir="R",
    IF(G3087+Table13[[#This Row],[Steps]]&gt;99,(G3087+Table13[[#This Row],[Steps]])-100,G3087+Table13[[#This Row],[Steps]]),
))</f>
        <v>0</v>
      </c>
      <c r="G3088">
        <f>IF(Table13[[#This Row],[New Pos L]]&lt;&gt;0,Table13[[#This Row],[New Pos L]],Table13[[#This Row],[New Pos R]])</f>
        <v>57</v>
      </c>
      <c r="H3088">
        <f>IF(AND(Table13[[#This Row],[Direction]]="L",Table13[[#This Row],[Steps]]&gt;G3087,G3087&lt;&gt;0),1,0)</f>
        <v>0</v>
      </c>
      <c r="I3088">
        <f>IF(AND(Table13[[#This Row],[Direction]]="R",(G3087+Table13[[#This Row],[Steps]])&gt;100),1,0)</f>
        <v>0</v>
      </c>
      <c r="J3088">
        <f>IF(Table13[[#This Row],[POS]]=0,1,0)</f>
        <v>0</v>
      </c>
      <c r="K3088">
        <f>SUM(Table13[[#This Row],[prefix]],Table13[[#This Row],[Past zero L]],Table13[[#This Row],[Past Zero R]],Table13[[#This Row],[Is Zero]])</f>
        <v>0</v>
      </c>
    </row>
    <row r="3089" spans="1:11" ht="16" x14ac:dyDescent="0.2">
      <c r="A3089" s="1" t="s">
        <v>692</v>
      </c>
      <c r="B3089" t="str">
        <f>LEFT(Table13[[#This Row],[Input]],1)</f>
        <v>R</v>
      </c>
      <c r="C3089">
        <f>_xlfn.LET(_xlpm.steps,SUBSTITUTE(Table13[[#This Row],[Input]],Table13[[#This Row],[Direction]],""),VALUE(IF(LEN(_xlpm.steps)&gt;2,RIGHT(_xlpm.steps,2),_xlpm.steps)))</f>
        <v>69</v>
      </c>
      <c r="D3089">
        <f>_xlfn.LET(_xlpm.steps,SUBSTITUTE(Table13[[#This Row],[Input]],Table13[[#This Row],[Direction]],""),VALUE(IF(LEN(_xlpm.steps)&gt;2,LEFT(_xlpm.steps,LEN(_xlpm.steps)-2),0)))</f>
        <v>6</v>
      </c>
      <c r="E3089">
        <f>_xlfn.LET(_xlpm.dir,Table13[[#This Row],[Direction]],
IF(_xlpm.dir="L",
    IF(G3088-Table13[[#This Row],[Steps]]&lt;0,100+(G3088-Table13[[#This Row],[Steps]]),G3088-Table13[[#This Row],[Steps]]),
))</f>
        <v>0</v>
      </c>
      <c r="F3089">
        <f>_xlfn.LET(_xlpm.dir,Table13[[#This Row],[Direction]],
IF(_xlpm.dir="R",
    IF(G3088+Table13[[#This Row],[Steps]]&gt;99,(G3088+Table13[[#This Row],[Steps]])-100,G3088+Table13[[#This Row],[Steps]]),
))</f>
        <v>26</v>
      </c>
      <c r="G3089">
        <f>IF(Table13[[#This Row],[New Pos L]]&lt;&gt;0,Table13[[#This Row],[New Pos L]],Table13[[#This Row],[New Pos R]])</f>
        <v>26</v>
      </c>
      <c r="H3089">
        <f>IF(AND(Table13[[#This Row],[Direction]]="L",Table13[[#This Row],[Steps]]&gt;G3088,G3088&lt;&gt;0),1,0)</f>
        <v>0</v>
      </c>
      <c r="I3089">
        <f>IF(AND(Table13[[#This Row],[Direction]]="R",(G3088+Table13[[#This Row],[Steps]])&gt;100),1,0)</f>
        <v>1</v>
      </c>
      <c r="J3089">
        <f>IF(Table13[[#This Row],[POS]]=0,1,0)</f>
        <v>0</v>
      </c>
      <c r="K3089">
        <f>SUM(Table13[[#This Row],[prefix]],Table13[[#This Row],[Past zero L]],Table13[[#This Row],[Past Zero R]],Table13[[#This Row],[Is Zero]])</f>
        <v>7</v>
      </c>
    </row>
    <row r="3090" spans="1:11" ht="16" x14ac:dyDescent="0.2">
      <c r="A3090" s="1" t="s">
        <v>417</v>
      </c>
      <c r="B3090" t="str">
        <f>LEFT(Table13[[#This Row],[Input]],1)</f>
        <v>R</v>
      </c>
      <c r="C3090">
        <f>_xlfn.LET(_xlpm.steps,SUBSTITUTE(Table13[[#This Row],[Input]],Table13[[#This Row],[Direction]],""),VALUE(IF(LEN(_xlpm.steps)&gt;2,RIGHT(_xlpm.steps,2),_xlpm.steps)))</f>
        <v>5</v>
      </c>
      <c r="D3090">
        <f>_xlfn.LET(_xlpm.steps,SUBSTITUTE(Table13[[#This Row],[Input]],Table13[[#This Row],[Direction]],""),VALUE(IF(LEN(_xlpm.steps)&gt;2,LEFT(_xlpm.steps,LEN(_xlpm.steps)-2),0)))</f>
        <v>1</v>
      </c>
      <c r="E3090">
        <f>_xlfn.LET(_xlpm.dir,Table13[[#This Row],[Direction]],
IF(_xlpm.dir="L",
    IF(G3089-Table13[[#This Row],[Steps]]&lt;0,100+(G3089-Table13[[#This Row],[Steps]]),G3089-Table13[[#This Row],[Steps]]),
))</f>
        <v>0</v>
      </c>
      <c r="F3090">
        <f>_xlfn.LET(_xlpm.dir,Table13[[#This Row],[Direction]],
IF(_xlpm.dir="R",
    IF(G3089+Table13[[#This Row],[Steps]]&gt;99,(G3089+Table13[[#This Row],[Steps]])-100,G3089+Table13[[#This Row],[Steps]]),
))</f>
        <v>31</v>
      </c>
      <c r="G3090">
        <f>IF(Table13[[#This Row],[New Pos L]]&lt;&gt;0,Table13[[#This Row],[New Pos L]],Table13[[#This Row],[New Pos R]])</f>
        <v>31</v>
      </c>
      <c r="H3090">
        <f>IF(AND(Table13[[#This Row],[Direction]]="L",Table13[[#This Row],[Steps]]&gt;G3089,G3089&lt;&gt;0),1,0)</f>
        <v>0</v>
      </c>
      <c r="I3090">
        <f>IF(AND(Table13[[#This Row],[Direction]]="R",(G3089+Table13[[#This Row],[Steps]])&gt;100),1,0)</f>
        <v>0</v>
      </c>
      <c r="J3090">
        <f>IF(Table13[[#This Row],[POS]]=0,1,0)</f>
        <v>0</v>
      </c>
      <c r="K3090">
        <f>SUM(Table13[[#This Row],[prefix]],Table13[[#This Row],[Past zero L]],Table13[[#This Row],[Past Zero R]],Table13[[#This Row],[Is Zero]])</f>
        <v>1</v>
      </c>
    </row>
    <row r="3091" spans="1:11" ht="16" x14ac:dyDescent="0.2">
      <c r="A3091" s="1" t="s">
        <v>693</v>
      </c>
      <c r="B3091" t="str">
        <f>LEFT(Table13[[#This Row],[Input]],1)</f>
        <v>R</v>
      </c>
      <c r="C3091">
        <f>_xlfn.LET(_xlpm.steps,SUBSTITUTE(Table13[[#This Row],[Input]],Table13[[#This Row],[Direction]],""),VALUE(IF(LEN(_xlpm.steps)&gt;2,RIGHT(_xlpm.steps,2),_xlpm.steps)))</f>
        <v>16</v>
      </c>
      <c r="D3091">
        <f>_xlfn.LET(_xlpm.steps,SUBSTITUTE(Table13[[#This Row],[Input]],Table13[[#This Row],[Direction]],""),VALUE(IF(LEN(_xlpm.steps)&gt;2,LEFT(_xlpm.steps,LEN(_xlpm.steps)-2),0)))</f>
        <v>2</v>
      </c>
      <c r="E3091">
        <f>_xlfn.LET(_xlpm.dir,Table13[[#This Row],[Direction]],
IF(_xlpm.dir="L",
    IF(G3090-Table13[[#This Row],[Steps]]&lt;0,100+(G3090-Table13[[#This Row],[Steps]]),G3090-Table13[[#This Row],[Steps]]),
))</f>
        <v>0</v>
      </c>
      <c r="F3091">
        <f>_xlfn.LET(_xlpm.dir,Table13[[#This Row],[Direction]],
IF(_xlpm.dir="R",
    IF(G3090+Table13[[#This Row],[Steps]]&gt;99,(G3090+Table13[[#This Row],[Steps]])-100,G3090+Table13[[#This Row],[Steps]]),
))</f>
        <v>47</v>
      </c>
      <c r="G3091">
        <f>IF(Table13[[#This Row],[New Pos L]]&lt;&gt;0,Table13[[#This Row],[New Pos L]],Table13[[#This Row],[New Pos R]])</f>
        <v>47</v>
      </c>
      <c r="H3091">
        <f>IF(AND(Table13[[#This Row],[Direction]]="L",Table13[[#This Row],[Steps]]&gt;G3090,G3090&lt;&gt;0),1,0)</f>
        <v>0</v>
      </c>
      <c r="I3091">
        <f>IF(AND(Table13[[#This Row],[Direction]]="R",(G3090+Table13[[#This Row],[Steps]])&gt;100),1,0)</f>
        <v>0</v>
      </c>
      <c r="J3091">
        <f>IF(Table13[[#This Row],[POS]]=0,1,0)</f>
        <v>0</v>
      </c>
      <c r="K3091">
        <f>SUM(Table13[[#This Row],[prefix]],Table13[[#This Row],[Past zero L]],Table13[[#This Row],[Past Zero R]],Table13[[#This Row],[Is Zero]])</f>
        <v>2</v>
      </c>
    </row>
    <row r="3092" spans="1:11" ht="16" x14ac:dyDescent="0.2">
      <c r="A3092" s="1" t="s">
        <v>217</v>
      </c>
      <c r="B3092" t="str">
        <f>LEFT(Table13[[#This Row],[Input]],1)</f>
        <v>R</v>
      </c>
      <c r="C3092">
        <f>_xlfn.LET(_xlpm.steps,SUBSTITUTE(Table13[[#This Row],[Input]],Table13[[#This Row],[Direction]],""),VALUE(IF(LEN(_xlpm.steps)&gt;2,RIGHT(_xlpm.steps,2),_xlpm.steps)))</f>
        <v>91</v>
      </c>
      <c r="D3092">
        <f>_xlfn.LET(_xlpm.steps,SUBSTITUTE(Table13[[#This Row],[Input]],Table13[[#This Row],[Direction]],""),VALUE(IF(LEN(_xlpm.steps)&gt;2,LEFT(_xlpm.steps,LEN(_xlpm.steps)-2),0)))</f>
        <v>0</v>
      </c>
      <c r="E3092">
        <f>_xlfn.LET(_xlpm.dir,Table13[[#This Row],[Direction]],
IF(_xlpm.dir="L",
    IF(G3091-Table13[[#This Row],[Steps]]&lt;0,100+(G3091-Table13[[#This Row],[Steps]]),G3091-Table13[[#This Row],[Steps]]),
))</f>
        <v>0</v>
      </c>
      <c r="F3092">
        <f>_xlfn.LET(_xlpm.dir,Table13[[#This Row],[Direction]],
IF(_xlpm.dir="R",
    IF(G3091+Table13[[#This Row],[Steps]]&gt;99,(G3091+Table13[[#This Row],[Steps]])-100,G3091+Table13[[#This Row],[Steps]]),
))</f>
        <v>38</v>
      </c>
      <c r="G3092">
        <f>IF(Table13[[#This Row],[New Pos L]]&lt;&gt;0,Table13[[#This Row],[New Pos L]],Table13[[#This Row],[New Pos R]])</f>
        <v>38</v>
      </c>
      <c r="H3092">
        <f>IF(AND(Table13[[#This Row],[Direction]]="L",Table13[[#This Row],[Steps]]&gt;G3091,G3091&lt;&gt;0),1,0)</f>
        <v>0</v>
      </c>
      <c r="I3092">
        <f>IF(AND(Table13[[#This Row],[Direction]]="R",(G3091+Table13[[#This Row],[Steps]])&gt;100),1,0)</f>
        <v>1</v>
      </c>
      <c r="J3092">
        <f>IF(Table13[[#This Row],[POS]]=0,1,0)</f>
        <v>0</v>
      </c>
      <c r="K3092">
        <f>SUM(Table13[[#This Row],[prefix]],Table13[[#This Row],[Past zero L]],Table13[[#This Row],[Past Zero R]],Table13[[#This Row],[Is Zero]])</f>
        <v>1</v>
      </c>
    </row>
    <row r="3093" spans="1:11" ht="16" x14ac:dyDescent="0.2">
      <c r="A3093" s="1" t="s">
        <v>2</v>
      </c>
      <c r="B3093" t="str">
        <f>LEFT(Table13[[#This Row],[Input]],1)</f>
        <v>L</v>
      </c>
      <c r="C3093">
        <f>_xlfn.LET(_xlpm.steps,SUBSTITUTE(Table13[[#This Row],[Input]],Table13[[#This Row],[Direction]],""),VALUE(IF(LEN(_xlpm.steps)&gt;2,RIGHT(_xlpm.steps,2),_xlpm.steps)))</f>
        <v>38</v>
      </c>
      <c r="D3093">
        <f>_xlfn.LET(_xlpm.steps,SUBSTITUTE(Table13[[#This Row],[Input]],Table13[[#This Row],[Direction]],""),VALUE(IF(LEN(_xlpm.steps)&gt;2,LEFT(_xlpm.steps,LEN(_xlpm.steps)-2),0)))</f>
        <v>0</v>
      </c>
      <c r="E3093">
        <f>_xlfn.LET(_xlpm.dir,Table13[[#This Row],[Direction]],
IF(_xlpm.dir="L",
    IF(G3092-Table13[[#This Row],[Steps]]&lt;0,100+(G3092-Table13[[#This Row],[Steps]]),G3092-Table13[[#This Row],[Steps]]),
))</f>
        <v>0</v>
      </c>
      <c r="F3093">
        <f>_xlfn.LET(_xlpm.dir,Table13[[#This Row],[Direction]],
IF(_xlpm.dir="R",
    IF(G3092+Table13[[#This Row],[Steps]]&gt;99,(G3092+Table13[[#This Row],[Steps]])-100,G3092+Table13[[#This Row],[Steps]]),
))</f>
        <v>0</v>
      </c>
      <c r="G3093">
        <f>IF(Table13[[#This Row],[New Pos L]]&lt;&gt;0,Table13[[#This Row],[New Pos L]],Table13[[#This Row],[New Pos R]])</f>
        <v>0</v>
      </c>
      <c r="H3093">
        <f>IF(AND(Table13[[#This Row],[Direction]]="L",Table13[[#This Row],[Steps]]&gt;G3092,G3092&lt;&gt;0),1,0)</f>
        <v>0</v>
      </c>
      <c r="I3093">
        <f>IF(AND(Table13[[#This Row],[Direction]]="R",(G3092+Table13[[#This Row],[Steps]])&gt;100),1,0)</f>
        <v>0</v>
      </c>
      <c r="J3093">
        <f>IF(Table13[[#This Row],[POS]]=0,1,0)</f>
        <v>1</v>
      </c>
      <c r="K3093">
        <f>SUM(Table13[[#This Row],[prefix]],Table13[[#This Row],[Past zero L]],Table13[[#This Row],[Past Zero R]],Table13[[#This Row],[Is Zero]])</f>
        <v>1</v>
      </c>
    </row>
    <row r="3094" spans="1:11" ht="16" x14ac:dyDescent="0.2">
      <c r="A3094" s="1" t="s">
        <v>201</v>
      </c>
      <c r="B3094" t="str">
        <f>LEFT(Table13[[#This Row],[Input]],1)</f>
        <v>R</v>
      </c>
      <c r="C3094">
        <f>_xlfn.LET(_xlpm.steps,SUBSTITUTE(Table13[[#This Row],[Input]],Table13[[#This Row],[Direction]],""),VALUE(IF(LEN(_xlpm.steps)&gt;2,RIGHT(_xlpm.steps,2),_xlpm.steps)))</f>
        <v>31</v>
      </c>
      <c r="D3094">
        <f>_xlfn.LET(_xlpm.steps,SUBSTITUTE(Table13[[#This Row],[Input]],Table13[[#This Row],[Direction]],""),VALUE(IF(LEN(_xlpm.steps)&gt;2,LEFT(_xlpm.steps,LEN(_xlpm.steps)-2),0)))</f>
        <v>0</v>
      </c>
      <c r="E3094">
        <f>_xlfn.LET(_xlpm.dir,Table13[[#This Row],[Direction]],
IF(_xlpm.dir="L",
    IF(G3093-Table13[[#This Row],[Steps]]&lt;0,100+(G3093-Table13[[#This Row],[Steps]]),G3093-Table13[[#This Row],[Steps]]),
))</f>
        <v>0</v>
      </c>
      <c r="F3094">
        <f>_xlfn.LET(_xlpm.dir,Table13[[#This Row],[Direction]],
IF(_xlpm.dir="R",
    IF(G3093+Table13[[#This Row],[Steps]]&gt;99,(G3093+Table13[[#This Row],[Steps]])-100,G3093+Table13[[#This Row],[Steps]]),
))</f>
        <v>31</v>
      </c>
      <c r="G3094">
        <f>IF(Table13[[#This Row],[New Pos L]]&lt;&gt;0,Table13[[#This Row],[New Pos L]],Table13[[#This Row],[New Pos R]])</f>
        <v>31</v>
      </c>
      <c r="H3094">
        <f>IF(AND(Table13[[#This Row],[Direction]]="L",Table13[[#This Row],[Steps]]&gt;G3093,G3093&lt;&gt;0),1,0)</f>
        <v>0</v>
      </c>
      <c r="I3094">
        <f>IF(AND(Table13[[#This Row],[Direction]]="R",(G3093+Table13[[#This Row],[Steps]])&gt;100),1,0)</f>
        <v>0</v>
      </c>
      <c r="J3094">
        <f>IF(Table13[[#This Row],[POS]]=0,1,0)</f>
        <v>0</v>
      </c>
      <c r="K3094">
        <f>SUM(Table13[[#This Row],[prefix]],Table13[[#This Row],[Past zero L]],Table13[[#This Row],[Past Zero R]],Table13[[#This Row],[Is Zero]])</f>
        <v>0</v>
      </c>
    </row>
    <row r="3095" spans="1:11" ht="16" x14ac:dyDescent="0.2">
      <c r="A3095" s="1" t="s">
        <v>694</v>
      </c>
      <c r="B3095" t="str">
        <f>LEFT(Table13[[#This Row],[Input]],1)</f>
        <v>R</v>
      </c>
      <c r="C3095">
        <f>_xlfn.LET(_xlpm.steps,SUBSTITUTE(Table13[[#This Row],[Input]],Table13[[#This Row],[Direction]],""),VALUE(IF(LEN(_xlpm.steps)&gt;2,RIGHT(_xlpm.steps,2),_xlpm.steps)))</f>
        <v>63</v>
      </c>
      <c r="D3095">
        <f>_xlfn.LET(_xlpm.steps,SUBSTITUTE(Table13[[#This Row],[Input]],Table13[[#This Row],[Direction]],""),VALUE(IF(LEN(_xlpm.steps)&gt;2,LEFT(_xlpm.steps,LEN(_xlpm.steps)-2),0)))</f>
        <v>4</v>
      </c>
      <c r="E3095">
        <f>_xlfn.LET(_xlpm.dir,Table13[[#This Row],[Direction]],
IF(_xlpm.dir="L",
    IF(G3094-Table13[[#This Row],[Steps]]&lt;0,100+(G3094-Table13[[#This Row],[Steps]]),G3094-Table13[[#This Row],[Steps]]),
))</f>
        <v>0</v>
      </c>
      <c r="F3095">
        <f>_xlfn.LET(_xlpm.dir,Table13[[#This Row],[Direction]],
IF(_xlpm.dir="R",
    IF(G3094+Table13[[#This Row],[Steps]]&gt;99,(G3094+Table13[[#This Row],[Steps]])-100,G3094+Table13[[#This Row],[Steps]]),
))</f>
        <v>94</v>
      </c>
      <c r="G3095">
        <f>IF(Table13[[#This Row],[New Pos L]]&lt;&gt;0,Table13[[#This Row],[New Pos L]],Table13[[#This Row],[New Pos R]])</f>
        <v>94</v>
      </c>
      <c r="H3095">
        <f>IF(AND(Table13[[#This Row],[Direction]]="L",Table13[[#This Row],[Steps]]&gt;G3094,G3094&lt;&gt;0),1,0)</f>
        <v>0</v>
      </c>
      <c r="I3095">
        <f>IF(AND(Table13[[#This Row],[Direction]]="R",(G3094+Table13[[#This Row],[Steps]])&gt;100),1,0)</f>
        <v>0</v>
      </c>
      <c r="J3095">
        <f>IF(Table13[[#This Row],[POS]]=0,1,0)</f>
        <v>0</v>
      </c>
      <c r="K3095">
        <f>SUM(Table13[[#This Row],[prefix]],Table13[[#This Row],[Past zero L]],Table13[[#This Row],[Past Zero R]],Table13[[#This Row],[Is Zero]])</f>
        <v>4</v>
      </c>
    </row>
    <row r="3096" spans="1:11" ht="16" x14ac:dyDescent="0.2">
      <c r="A3096" s="1" t="s">
        <v>72</v>
      </c>
      <c r="B3096" t="str">
        <f>LEFT(Table13[[#This Row],[Input]],1)</f>
        <v>R</v>
      </c>
      <c r="C3096">
        <f>_xlfn.LET(_xlpm.steps,SUBSTITUTE(Table13[[#This Row],[Input]],Table13[[#This Row],[Direction]],""),VALUE(IF(LEN(_xlpm.steps)&gt;2,RIGHT(_xlpm.steps,2),_xlpm.steps)))</f>
        <v>43</v>
      </c>
      <c r="D3096">
        <f>_xlfn.LET(_xlpm.steps,SUBSTITUTE(Table13[[#This Row],[Input]],Table13[[#This Row],[Direction]],""),VALUE(IF(LEN(_xlpm.steps)&gt;2,LEFT(_xlpm.steps,LEN(_xlpm.steps)-2),0)))</f>
        <v>0</v>
      </c>
      <c r="E3096">
        <f>_xlfn.LET(_xlpm.dir,Table13[[#This Row],[Direction]],
IF(_xlpm.dir="L",
    IF(G3095-Table13[[#This Row],[Steps]]&lt;0,100+(G3095-Table13[[#This Row],[Steps]]),G3095-Table13[[#This Row],[Steps]]),
))</f>
        <v>0</v>
      </c>
      <c r="F3096">
        <f>_xlfn.LET(_xlpm.dir,Table13[[#This Row],[Direction]],
IF(_xlpm.dir="R",
    IF(G3095+Table13[[#This Row],[Steps]]&gt;99,(G3095+Table13[[#This Row],[Steps]])-100,G3095+Table13[[#This Row],[Steps]]),
))</f>
        <v>37</v>
      </c>
      <c r="G3096">
        <f>IF(Table13[[#This Row],[New Pos L]]&lt;&gt;0,Table13[[#This Row],[New Pos L]],Table13[[#This Row],[New Pos R]])</f>
        <v>37</v>
      </c>
      <c r="H3096">
        <f>IF(AND(Table13[[#This Row],[Direction]]="L",Table13[[#This Row],[Steps]]&gt;G3095,G3095&lt;&gt;0),1,0)</f>
        <v>0</v>
      </c>
      <c r="I3096">
        <f>IF(AND(Table13[[#This Row],[Direction]]="R",(G3095+Table13[[#This Row],[Steps]])&gt;100),1,0)</f>
        <v>1</v>
      </c>
      <c r="J3096">
        <f>IF(Table13[[#This Row],[POS]]=0,1,0)</f>
        <v>0</v>
      </c>
      <c r="K3096">
        <f>SUM(Table13[[#This Row],[prefix]],Table13[[#This Row],[Past zero L]],Table13[[#This Row],[Past Zero R]],Table13[[#This Row],[Is Zero]])</f>
        <v>1</v>
      </c>
    </row>
    <row r="3097" spans="1:11" ht="16" x14ac:dyDescent="0.2">
      <c r="A3097" s="1" t="s">
        <v>363</v>
      </c>
      <c r="B3097" t="str">
        <f>LEFT(Table13[[#This Row],[Input]],1)</f>
        <v>R</v>
      </c>
      <c r="C3097">
        <f>_xlfn.LET(_xlpm.steps,SUBSTITUTE(Table13[[#This Row],[Input]],Table13[[#This Row],[Direction]],""),VALUE(IF(LEN(_xlpm.steps)&gt;2,RIGHT(_xlpm.steps,2),_xlpm.steps)))</f>
        <v>63</v>
      </c>
      <c r="D3097">
        <f>_xlfn.LET(_xlpm.steps,SUBSTITUTE(Table13[[#This Row],[Input]],Table13[[#This Row],[Direction]],""),VALUE(IF(LEN(_xlpm.steps)&gt;2,LEFT(_xlpm.steps,LEN(_xlpm.steps)-2),0)))</f>
        <v>0</v>
      </c>
      <c r="E3097">
        <f>_xlfn.LET(_xlpm.dir,Table13[[#This Row],[Direction]],
IF(_xlpm.dir="L",
    IF(G3096-Table13[[#This Row],[Steps]]&lt;0,100+(G3096-Table13[[#This Row],[Steps]]),G3096-Table13[[#This Row],[Steps]]),
))</f>
        <v>0</v>
      </c>
      <c r="F3097">
        <f>_xlfn.LET(_xlpm.dir,Table13[[#This Row],[Direction]],
IF(_xlpm.dir="R",
    IF(G3096+Table13[[#This Row],[Steps]]&gt;99,(G3096+Table13[[#This Row],[Steps]])-100,G3096+Table13[[#This Row],[Steps]]),
))</f>
        <v>0</v>
      </c>
      <c r="G3097">
        <f>IF(Table13[[#This Row],[New Pos L]]&lt;&gt;0,Table13[[#This Row],[New Pos L]],Table13[[#This Row],[New Pos R]])</f>
        <v>0</v>
      </c>
      <c r="H3097">
        <f>IF(AND(Table13[[#This Row],[Direction]]="L",Table13[[#This Row],[Steps]]&gt;G3096,G3096&lt;&gt;0),1,0)</f>
        <v>0</v>
      </c>
      <c r="I3097">
        <f>IF(AND(Table13[[#This Row],[Direction]]="R",(G3096+Table13[[#This Row],[Steps]])&gt;100),1,0)</f>
        <v>0</v>
      </c>
      <c r="J3097">
        <f>IF(Table13[[#This Row],[POS]]=0,1,0)</f>
        <v>1</v>
      </c>
      <c r="K3097">
        <f>SUM(Table13[[#This Row],[prefix]],Table13[[#This Row],[Past zero L]],Table13[[#This Row],[Past Zero R]],Table13[[#This Row],[Is Zero]])</f>
        <v>1</v>
      </c>
    </row>
    <row r="3098" spans="1:11" ht="16" x14ac:dyDescent="0.2">
      <c r="A3098" s="1" t="s">
        <v>695</v>
      </c>
      <c r="B3098" t="str">
        <f>LEFT(Table13[[#This Row],[Input]],1)</f>
        <v>R</v>
      </c>
      <c r="C3098">
        <f>_xlfn.LET(_xlpm.steps,SUBSTITUTE(Table13[[#This Row],[Input]],Table13[[#This Row],[Direction]],""),VALUE(IF(LEN(_xlpm.steps)&gt;2,RIGHT(_xlpm.steps,2),_xlpm.steps)))</f>
        <v>32</v>
      </c>
      <c r="D3098">
        <f>_xlfn.LET(_xlpm.steps,SUBSTITUTE(Table13[[#This Row],[Input]],Table13[[#This Row],[Direction]],""),VALUE(IF(LEN(_xlpm.steps)&gt;2,LEFT(_xlpm.steps,LEN(_xlpm.steps)-2),0)))</f>
        <v>9</v>
      </c>
      <c r="E3098">
        <f>_xlfn.LET(_xlpm.dir,Table13[[#This Row],[Direction]],
IF(_xlpm.dir="L",
    IF(G3097-Table13[[#This Row],[Steps]]&lt;0,100+(G3097-Table13[[#This Row],[Steps]]),G3097-Table13[[#This Row],[Steps]]),
))</f>
        <v>0</v>
      </c>
      <c r="F3098">
        <f>_xlfn.LET(_xlpm.dir,Table13[[#This Row],[Direction]],
IF(_xlpm.dir="R",
    IF(G3097+Table13[[#This Row],[Steps]]&gt;99,(G3097+Table13[[#This Row],[Steps]])-100,G3097+Table13[[#This Row],[Steps]]),
))</f>
        <v>32</v>
      </c>
      <c r="G3098">
        <f>IF(Table13[[#This Row],[New Pos L]]&lt;&gt;0,Table13[[#This Row],[New Pos L]],Table13[[#This Row],[New Pos R]])</f>
        <v>32</v>
      </c>
      <c r="H3098">
        <f>IF(AND(Table13[[#This Row],[Direction]]="L",Table13[[#This Row],[Steps]]&gt;G3097,G3097&lt;&gt;0),1,0)</f>
        <v>0</v>
      </c>
      <c r="I3098">
        <f>IF(AND(Table13[[#This Row],[Direction]]="R",(G3097+Table13[[#This Row],[Steps]])&gt;100),1,0)</f>
        <v>0</v>
      </c>
      <c r="J3098">
        <f>IF(Table13[[#This Row],[POS]]=0,1,0)</f>
        <v>0</v>
      </c>
      <c r="K3098">
        <f>SUM(Table13[[#This Row],[prefix]],Table13[[#This Row],[Past zero L]],Table13[[#This Row],[Past Zero R]],Table13[[#This Row],[Is Zero]])</f>
        <v>9</v>
      </c>
    </row>
    <row r="3099" spans="1:11" ht="16" x14ac:dyDescent="0.2">
      <c r="A3099" s="1" t="s">
        <v>405</v>
      </c>
      <c r="B3099" t="str">
        <f>LEFT(Table13[[#This Row],[Input]],1)</f>
        <v>L</v>
      </c>
      <c r="C3099">
        <f>_xlfn.LET(_xlpm.steps,SUBSTITUTE(Table13[[#This Row],[Input]],Table13[[#This Row],[Direction]],""),VALUE(IF(LEN(_xlpm.steps)&gt;2,RIGHT(_xlpm.steps,2),_xlpm.steps)))</f>
        <v>32</v>
      </c>
      <c r="D3099">
        <f>_xlfn.LET(_xlpm.steps,SUBSTITUTE(Table13[[#This Row],[Input]],Table13[[#This Row],[Direction]],""),VALUE(IF(LEN(_xlpm.steps)&gt;2,LEFT(_xlpm.steps,LEN(_xlpm.steps)-2),0)))</f>
        <v>0</v>
      </c>
      <c r="E3099">
        <f>_xlfn.LET(_xlpm.dir,Table13[[#This Row],[Direction]],
IF(_xlpm.dir="L",
    IF(G3098-Table13[[#This Row],[Steps]]&lt;0,100+(G3098-Table13[[#This Row],[Steps]]),G3098-Table13[[#This Row],[Steps]]),
))</f>
        <v>0</v>
      </c>
      <c r="F3099">
        <f>_xlfn.LET(_xlpm.dir,Table13[[#This Row],[Direction]],
IF(_xlpm.dir="R",
    IF(G3098+Table13[[#This Row],[Steps]]&gt;99,(G3098+Table13[[#This Row],[Steps]])-100,G3098+Table13[[#This Row],[Steps]]),
))</f>
        <v>0</v>
      </c>
      <c r="G3099">
        <f>IF(Table13[[#This Row],[New Pos L]]&lt;&gt;0,Table13[[#This Row],[New Pos L]],Table13[[#This Row],[New Pos R]])</f>
        <v>0</v>
      </c>
      <c r="H3099">
        <f>IF(AND(Table13[[#This Row],[Direction]]="L",Table13[[#This Row],[Steps]]&gt;G3098,G3098&lt;&gt;0),1,0)</f>
        <v>0</v>
      </c>
      <c r="I3099">
        <f>IF(AND(Table13[[#This Row],[Direction]]="R",(G3098+Table13[[#This Row],[Steps]])&gt;100),1,0)</f>
        <v>0</v>
      </c>
      <c r="J3099">
        <f>IF(Table13[[#This Row],[POS]]=0,1,0)</f>
        <v>1</v>
      </c>
      <c r="K3099">
        <f>SUM(Table13[[#This Row],[prefix]],Table13[[#This Row],[Past zero L]],Table13[[#This Row],[Past Zero R]],Table13[[#This Row],[Is Zero]])</f>
        <v>1</v>
      </c>
    </row>
    <row r="3100" spans="1:11" ht="16" x14ac:dyDescent="0.2">
      <c r="A3100" s="1" t="s">
        <v>696</v>
      </c>
      <c r="B3100" t="str">
        <f>LEFT(Table13[[#This Row],[Input]],1)</f>
        <v>L</v>
      </c>
      <c r="C3100">
        <f>_xlfn.LET(_xlpm.steps,SUBSTITUTE(Table13[[#This Row],[Input]],Table13[[#This Row],[Direction]],""),VALUE(IF(LEN(_xlpm.steps)&gt;2,RIGHT(_xlpm.steps,2),_xlpm.steps)))</f>
        <v>66</v>
      </c>
      <c r="D3100">
        <f>_xlfn.LET(_xlpm.steps,SUBSTITUTE(Table13[[#This Row],[Input]],Table13[[#This Row],[Direction]],""),VALUE(IF(LEN(_xlpm.steps)&gt;2,LEFT(_xlpm.steps,LEN(_xlpm.steps)-2),0)))</f>
        <v>3</v>
      </c>
      <c r="E3100">
        <f>_xlfn.LET(_xlpm.dir,Table13[[#This Row],[Direction]],
IF(_xlpm.dir="L",
    IF(G3099-Table13[[#This Row],[Steps]]&lt;0,100+(G3099-Table13[[#This Row],[Steps]]),G3099-Table13[[#This Row],[Steps]]),
))</f>
        <v>34</v>
      </c>
      <c r="F3100">
        <f>_xlfn.LET(_xlpm.dir,Table13[[#This Row],[Direction]],
IF(_xlpm.dir="R",
    IF(G3099+Table13[[#This Row],[Steps]]&gt;99,(G3099+Table13[[#This Row],[Steps]])-100,G3099+Table13[[#This Row],[Steps]]),
))</f>
        <v>0</v>
      </c>
      <c r="G3100">
        <f>IF(Table13[[#This Row],[New Pos L]]&lt;&gt;0,Table13[[#This Row],[New Pos L]],Table13[[#This Row],[New Pos R]])</f>
        <v>34</v>
      </c>
      <c r="H3100">
        <f>IF(AND(Table13[[#This Row],[Direction]]="L",Table13[[#This Row],[Steps]]&gt;G3099,G3099&lt;&gt;0),1,0)</f>
        <v>0</v>
      </c>
      <c r="I3100">
        <f>IF(AND(Table13[[#This Row],[Direction]]="R",(G3099+Table13[[#This Row],[Steps]])&gt;100),1,0)</f>
        <v>0</v>
      </c>
      <c r="J3100">
        <f>IF(Table13[[#This Row],[POS]]=0,1,0)</f>
        <v>0</v>
      </c>
      <c r="K3100">
        <f>SUM(Table13[[#This Row],[prefix]],Table13[[#This Row],[Past zero L]],Table13[[#This Row],[Past Zero R]],Table13[[#This Row],[Is Zero]])</f>
        <v>3</v>
      </c>
    </row>
    <row r="3101" spans="1:11" ht="16" x14ac:dyDescent="0.2">
      <c r="A3101" s="1" t="s">
        <v>11</v>
      </c>
      <c r="B3101" t="str">
        <f>LEFT(Table13[[#This Row],[Input]],1)</f>
        <v>L</v>
      </c>
      <c r="C3101">
        <f>_xlfn.LET(_xlpm.steps,SUBSTITUTE(Table13[[#This Row],[Input]],Table13[[#This Row],[Direction]],""),VALUE(IF(LEN(_xlpm.steps)&gt;2,RIGHT(_xlpm.steps,2),_xlpm.steps)))</f>
        <v>34</v>
      </c>
      <c r="D3101">
        <f>_xlfn.LET(_xlpm.steps,SUBSTITUTE(Table13[[#This Row],[Input]],Table13[[#This Row],[Direction]],""),VALUE(IF(LEN(_xlpm.steps)&gt;2,LEFT(_xlpm.steps,LEN(_xlpm.steps)-2),0)))</f>
        <v>0</v>
      </c>
      <c r="E3101">
        <f>_xlfn.LET(_xlpm.dir,Table13[[#This Row],[Direction]],
IF(_xlpm.dir="L",
    IF(G3100-Table13[[#This Row],[Steps]]&lt;0,100+(G3100-Table13[[#This Row],[Steps]]),G3100-Table13[[#This Row],[Steps]]),
))</f>
        <v>0</v>
      </c>
      <c r="F3101">
        <f>_xlfn.LET(_xlpm.dir,Table13[[#This Row],[Direction]],
IF(_xlpm.dir="R",
    IF(G3100+Table13[[#This Row],[Steps]]&gt;99,(G3100+Table13[[#This Row],[Steps]])-100,G3100+Table13[[#This Row],[Steps]]),
))</f>
        <v>0</v>
      </c>
      <c r="G3101">
        <f>IF(Table13[[#This Row],[New Pos L]]&lt;&gt;0,Table13[[#This Row],[New Pos L]],Table13[[#This Row],[New Pos R]])</f>
        <v>0</v>
      </c>
      <c r="H3101">
        <f>IF(AND(Table13[[#This Row],[Direction]]="L",Table13[[#This Row],[Steps]]&gt;G3100,G3100&lt;&gt;0),1,0)</f>
        <v>0</v>
      </c>
      <c r="I3101">
        <f>IF(AND(Table13[[#This Row],[Direction]]="R",(G3100+Table13[[#This Row],[Steps]])&gt;100),1,0)</f>
        <v>0</v>
      </c>
      <c r="J3101">
        <f>IF(Table13[[#This Row],[POS]]=0,1,0)</f>
        <v>1</v>
      </c>
      <c r="K3101">
        <f>SUM(Table13[[#This Row],[prefix]],Table13[[#This Row],[Past zero L]],Table13[[#This Row],[Past Zero R]],Table13[[#This Row],[Is Zero]])</f>
        <v>1</v>
      </c>
    </row>
    <row r="3102" spans="1:11" ht="16" x14ac:dyDescent="0.2">
      <c r="A3102" s="1" t="s">
        <v>697</v>
      </c>
      <c r="B3102" t="str">
        <f>LEFT(Table13[[#This Row],[Input]],1)</f>
        <v>R</v>
      </c>
      <c r="C3102">
        <f>_xlfn.LET(_xlpm.steps,SUBSTITUTE(Table13[[#This Row],[Input]],Table13[[#This Row],[Direction]],""),VALUE(IF(LEN(_xlpm.steps)&gt;2,RIGHT(_xlpm.steps,2),_xlpm.steps)))</f>
        <v>12</v>
      </c>
      <c r="D3102">
        <f>_xlfn.LET(_xlpm.steps,SUBSTITUTE(Table13[[#This Row],[Input]],Table13[[#This Row],[Direction]],""),VALUE(IF(LEN(_xlpm.steps)&gt;2,LEFT(_xlpm.steps,LEN(_xlpm.steps)-2),0)))</f>
        <v>3</v>
      </c>
      <c r="E3102">
        <f>_xlfn.LET(_xlpm.dir,Table13[[#This Row],[Direction]],
IF(_xlpm.dir="L",
    IF(G3101-Table13[[#This Row],[Steps]]&lt;0,100+(G3101-Table13[[#This Row],[Steps]]),G3101-Table13[[#This Row],[Steps]]),
))</f>
        <v>0</v>
      </c>
      <c r="F3102">
        <f>_xlfn.LET(_xlpm.dir,Table13[[#This Row],[Direction]],
IF(_xlpm.dir="R",
    IF(G3101+Table13[[#This Row],[Steps]]&gt;99,(G3101+Table13[[#This Row],[Steps]])-100,G3101+Table13[[#This Row],[Steps]]),
))</f>
        <v>12</v>
      </c>
      <c r="G3102">
        <f>IF(Table13[[#This Row],[New Pos L]]&lt;&gt;0,Table13[[#This Row],[New Pos L]],Table13[[#This Row],[New Pos R]])</f>
        <v>12</v>
      </c>
      <c r="H3102">
        <f>IF(AND(Table13[[#This Row],[Direction]]="L",Table13[[#This Row],[Steps]]&gt;G3101,G3101&lt;&gt;0),1,0)</f>
        <v>0</v>
      </c>
      <c r="I3102">
        <f>IF(AND(Table13[[#This Row],[Direction]]="R",(G3101+Table13[[#This Row],[Steps]])&gt;100),1,0)</f>
        <v>0</v>
      </c>
      <c r="J3102">
        <f>IF(Table13[[#This Row],[POS]]=0,1,0)</f>
        <v>0</v>
      </c>
      <c r="K3102">
        <f>SUM(Table13[[#This Row],[prefix]],Table13[[#This Row],[Past zero L]],Table13[[#This Row],[Past Zero R]],Table13[[#This Row],[Is Zero]])</f>
        <v>3</v>
      </c>
    </row>
    <row r="3103" spans="1:11" ht="16" x14ac:dyDescent="0.2">
      <c r="A3103" s="1" t="s">
        <v>81</v>
      </c>
      <c r="B3103" t="str">
        <f>LEFT(Table13[[#This Row],[Input]],1)</f>
        <v>R</v>
      </c>
      <c r="C3103">
        <f>_xlfn.LET(_xlpm.steps,SUBSTITUTE(Table13[[#This Row],[Input]],Table13[[#This Row],[Direction]],""),VALUE(IF(LEN(_xlpm.steps)&gt;2,RIGHT(_xlpm.steps,2),_xlpm.steps)))</f>
        <v>17</v>
      </c>
      <c r="D3103">
        <f>_xlfn.LET(_xlpm.steps,SUBSTITUTE(Table13[[#This Row],[Input]],Table13[[#This Row],[Direction]],""),VALUE(IF(LEN(_xlpm.steps)&gt;2,LEFT(_xlpm.steps,LEN(_xlpm.steps)-2),0)))</f>
        <v>0</v>
      </c>
      <c r="E3103">
        <f>_xlfn.LET(_xlpm.dir,Table13[[#This Row],[Direction]],
IF(_xlpm.dir="L",
    IF(G3102-Table13[[#This Row],[Steps]]&lt;0,100+(G3102-Table13[[#This Row],[Steps]]),G3102-Table13[[#This Row],[Steps]]),
))</f>
        <v>0</v>
      </c>
      <c r="F3103">
        <f>_xlfn.LET(_xlpm.dir,Table13[[#This Row],[Direction]],
IF(_xlpm.dir="R",
    IF(G3102+Table13[[#This Row],[Steps]]&gt;99,(G3102+Table13[[#This Row],[Steps]])-100,G3102+Table13[[#This Row],[Steps]]),
))</f>
        <v>29</v>
      </c>
      <c r="G3103">
        <f>IF(Table13[[#This Row],[New Pos L]]&lt;&gt;0,Table13[[#This Row],[New Pos L]],Table13[[#This Row],[New Pos R]])</f>
        <v>29</v>
      </c>
      <c r="H3103">
        <f>IF(AND(Table13[[#This Row],[Direction]]="L",Table13[[#This Row],[Steps]]&gt;G3102,G3102&lt;&gt;0),1,0)</f>
        <v>0</v>
      </c>
      <c r="I3103">
        <f>IF(AND(Table13[[#This Row],[Direction]]="R",(G3102+Table13[[#This Row],[Steps]])&gt;100),1,0)</f>
        <v>0</v>
      </c>
      <c r="J3103">
        <f>IF(Table13[[#This Row],[POS]]=0,1,0)</f>
        <v>0</v>
      </c>
      <c r="K3103">
        <f>SUM(Table13[[#This Row],[prefix]],Table13[[#This Row],[Past zero L]],Table13[[#This Row],[Past Zero R]],Table13[[#This Row],[Is Zero]])</f>
        <v>0</v>
      </c>
    </row>
    <row r="3104" spans="1:11" ht="16" x14ac:dyDescent="0.2">
      <c r="A3104" s="1" t="s">
        <v>206</v>
      </c>
      <c r="B3104" t="str">
        <f>LEFT(Table13[[#This Row],[Input]],1)</f>
        <v>R</v>
      </c>
      <c r="C3104">
        <f>_xlfn.LET(_xlpm.steps,SUBSTITUTE(Table13[[#This Row],[Input]],Table13[[#This Row],[Direction]],""),VALUE(IF(LEN(_xlpm.steps)&gt;2,RIGHT(_xlpm.steps,2),_xlpm.steps)))</f>
        <v>62</v>
      </c>
      <c r="D3104">
        <f>_xlfn.LET(_xlpm.steps,SUBSTITUTE(Table13[[#This Row],[Input]],Table13[[#This Row],[Direction]],""),VALUE(IF(LEN(_xlpm.steps)&gt;2,LEFT(_xlpm.steps,LEN(_xlpm.steps)-2),0)))</f>
        <v>0</v>
      </c>
      <c r="E3104">
        <f>_xlfn.LET(_xlpm.dir,Table13[[#This Row],[Direction]],
IF(_xlpm.dir="L",
    IF(G3103-Table13[[#This Row],[Steps]]&lt;0,100+(G3103-Table13[[#This Row],[Steps]]),G3103-Table13[[#This Row],[Steps]]),
))</f>
        <v>0</v>
      </c>
      <c r="F3104">
        <f>_xlfn.LET(_xlpm.dir,Table13[[#This Row],[Direction]],
IF(_xlpm.dir="R",
    IF(G3103+Table13[[#This Row],[Steps]]&gt;99,(G3103+Table13[[#This Row],[Steps]])-100,G3103+Table13[[#This Row],[Steps]]),
))</f>
        <v>91</v>
      </c>
      <c r="G3104">
        <f>IF(Table13[[#This Row],[New Pos L]]&lt;&gt;0,Table13[[#This Row],[New Pos L]],Table13[[#This Row],[New Pos R]])</f>
        <v>91</v>
      </c>
      <c r="H3104">
        <f>IF(AND(Table13[[#This Row],[Direction]]="L",Table13[[#This Row],[Steps]]&gt;G3103,G3103&lt;&gt;0),1,0)</f>
        <v>0</v>
      </c>
      <c r="I3104">
        <f>IF(AND(Table13[[#This Row],[Direction]]="R",(G3103+Table13[[#This Row],[Steps]])&gt;100),1,0)</f>
        <v>0</v>
      </c>
      <c r="J3104">
        <f>IF(Table13[[#This Row],[POS]]=0,1,0)</f>
        <v>0</v>
      </c>
      <c r="K3104">
        <f>SUM(Table13[[#This Row],[prefix]],Table13[[#This Row],[Past zero L]],Table13[[#This Row],[Past Zero R]],Table13[[#This Row],[Is Zero]])</f>
        <v>0</v>
      </c>
    </row>
    <row r="3105" spans="1:11" ht="16" x14ac:dyDescent="0.2">
      <c r="A3105" s="1" t="s">
        <v>114</v>
      </c>
      <c r="B3105" t="str">
        <f>LEFT(Table13[[#This Row],[Input]],1)</f>
        <v>R</v>
      </c>
      <c r="C3105">
        <f>_xlfn.LET(_xlpm.steps,SUBSTITUTE(Table13[[#This Row],[Input]],Table13[[#This Row],[Direction]],""),VALUE(IF(LEN(_xlpm.steps)&gt;2,RIGHT(_xlpm.steps,2),_xlpm.steps)))</f>
        <v>70</v>
      </c>
      <c r="D3105">
        <f>_xlfn.LET(_xlpm.steps,SUBSTITUTE(Table13[[#This Row],[Input]],Table13[[#This Row],[Direction]],""),VALUE(IF(LEN(_xlpm.steps)&gt;2,LEFT(_xlpm.steps,LEN(_xlpm.steps)-2),0)))</f>
        <v>0</v>
      </c>
      <c r="E3105">
        <f>_xlfn.LET(_xlpm.dir,Table13[[#This Row],[Direction]],
IF(_xlpm.dir="L",
    IF(G3104-Table13[[#This Row],[Steps]]&lt;0,100+(G3104-Table13[[#This Row],[Steps]]),G3104-Table13[[#This Row],[Steps]]),
))</f>
        <v>0</v>
      </c>
      <c r="F3105">
        <f>_xlfn.LET(_xlpm.dir,Table13[[#This Row],[Direction]],
IF(_xlpm.dir="R",
    IF(G3104+Table13[[#This Row],[Steps]]&gt;99,(G3104+Table13[[#This Row],[Steps]])-100,G3104+Table13[[#This Row],[Steps]]),
))</f>
        <v>61</v>
      </c>
      <c r="G3105">
        <f>IF(Table13[[#This Row],[New Pos L]]&lt;&gt;0,Table13[[#This Row],[New Pos L]],Table13[[#This Row],[New Pos R]])</f>
        <v>61</v>
      </c>
      <c r="H3105">
        <f>IF(AND(Table13[[#This Row],[Direction]]="L",Table13[[#This Row],[Steps]]&gt;G3104,G3104&lt;&gt;0),1,0)</f>
        <v>0</v>
      </c>
      <c r="I3105">
        <f>IF(AND(Table13[[#This Row],[Direction]]="R",(G3104+Table13[[#This Row],[Steps]])&gt;100),1,0)</f>
        <v>1</v>
      </c>
      <c r="J3105">
        <f>IF(Table13[[#This Row],[POS]]=0,1,0)</f>
        <v>0</v>
      </c>
      <c r="K3105">
        <f>SUM(Table13[[#This Row],[prefix]],Table13[[#This Row],[Past zero L]],Table13[[#This Row],[Past Zero R]],Table13[[#This Row],[Is Zero]])</f>
        <v>1</v>
      </c>
    </row>
    <row r="3106" spans="1:11" ht="16" x14ac:dyDescent="0.2">
      <c r="A3106" s="1" t="s">
        <v>80</v>
      </c>
      <c r="B3106" t="str">
        <f>LEFT(Table13[[#This Row],[Input]],1)</f>
        <v>L</v>
      </c>
      <c r="C3106">
        <f>_xlfn.LET(_xlpm.steps,SUBSTITUTE(Table13[[#This Row],[Input]],Table13[[#This Row],[Direction]],""),VALUE(IF(LEN(_xlpm.steps)&gt;2,RIGHT(_xlpm.steps,2),_xlpm.steps)))</f>
        <v>48</v>
      </c>
      <c r="D3106">
        <f>_xlfn.LET(_xlpm.steps,SUBSTITUTE(Table13[[#This Row],[Input]],Table13[[#This Row],[Direction]],""),VALUE(IF(LEN(_xlpm.steps)&gt;2,LEFT(_xlpm.steps,LEN(_xlpm.steps)-2),0)))</f>
        <v>0</v>
      </c>
      <c r="E3106">
        <f>_xlfn.LET(_xlpm.dir,Table13[[#This Row],[Direction]],
IF(_xlpm.dir="L",
    IF(G3105-Table13[[#This Row],[Steps]]&lt;0,100+(G3105-Table13[[#This Row],[Steps]]),G3105-Table13[[#This Row],[Steps]]),
))</f>
        <v>13</v>
      </c>
      <c r="F3106">
        <f>_xlfn.LET(_xlpm.dir,Table13[[#This Row],[Direction]],
IF(_xlpm.dir="R",
    IF(G3105+Table13[[#This Row],[Steps]]&gt;99,(G3105+Table13[[#This Row],[Steps]])-100,G3105+Table13[[#This Row],[Steps]]),
))</f>
        <v>0</v>
      </c>
      <c r="G3106">
        <f>IF(Table13[[#This Row],[New Pos L]]&lt;&gt;0,Table13[[#This Row],[New Pos L]],Table13[[#This Row],[New Pos R]])</f>
        <v>13</v>
      </c>
      <c r="H3106">
        <f>IF(AND(Table13[[#This Row],[Direction]]="L",Table13[[#This Row],[Steps]]&gt;G3105,G3105&lt;&gt;0),1,0)</f>
        <v>0</v>
      </c>
      <c r="I3106">
        <f>IF(AND(Table13[[#This Row],[Direction]]="R",(G3105+Table13[[#This Row],[Steps]])&gt;100),1,0)</f>
        <v>0</v>
      </c>
      <c r="J3106">
        <f>IF(Table13[[#This Row],[POS]]=0,1,0)</f>
        <v>0</v>
      </c>
      <c r="K3106">
        <f>SUM(Table13[[#This Row],[prefix]],Table13[[#This Row],[Past zero L]],Table13[[#This Row],[Past Zero R]],Table13[[#This Row],[Is Zero]])</f>
        <v>0</v>
      </c>
    </row>
    <row r="3107" spans="1:11" ht="16" x14ac:dyDescent="0.2">
      <c r="A3107" s="1" t="s">
        <v>171</v>
      </c>
      <c r="B3107" t="str">
        <f>LEFT(Table13[[#This Row],[Input]],1)</f>
        <v>L</v>
      </c>
      <c r="C3107">
        <f>_xlfn.LET(_xlpm.steps,SUBSTITUTE(Table13[[#This Row],[Input]],Table13[[#This Row],[Direction]],""),VALUE(IF(LEN(_xlpm.steps)&gt;2,RIGHT(_xlpm.steps,2),_xlpm.steps)))</f>
        <v>73</v>
      </c>
      <c r="D3107">
        <f>_xlfn.LET(_xlpm.steps,SUBSTITUTE(Table13[[#This Row],[Input]],Table13[[#This Row],[Direction]],""),VALUE(IF(LEN(_xlpm.steps)&gt;2,LEFT(_xlpm.steps,LEN(_xlpm.steps)-2),0)))</f>
        <v>0</v>
      </c>
      <c r="E3107">
        <f>_xlfn.LET(_xlpm.dir,Table13[[#This Row],[Direction]],
IF(_xlpm.dir="L",
    IF(G3106-Table13[[#This Row],[Steps]]&lt;0,100+(G3106-Table13[[#This Row],[Steps]]),G3106-Table13[[#This Row],[Steps]]),
))</f>
        <v>40</v>
      </c>
      <c r="F3107">
        <f>_xlfn.LET(_xlpm.dir,Table13[[#This Row],[Direction]],
IF(_xlpm.dir="R",
    IF(G3106+Table13[[#This Row],[Steps]]&gt;99,(G3106+Table13[[#This Row],[Steps]])-100,G3106+Table13[[#This Row],[Steps]]),
))</f>
        <v>0</v>
      </c>
      <c r="G3107">
        <f>IF(Table13[[#This Row],[New Pos L]]&lt;&gt;0,Table13[[#This Row],[New Pos L]],Table13[[#This Row],[New Pos R]])</f>
        <v>40</v>
      </c>
      <c r="H3107">
        <f>IF(AND(Table13[[#This Row],[Direction]]="L",Table13[[#This Row],[Steps]]&gt;G3106,G3106&lt;&gt;0),1,0)</f>
        <v>1</v>
      </c>
      <c r="I3107">
        <f>IF(AND(Table13[[#This Row],[Direction]]="R",(G3106+Table13[[#This Row],[Steps]])&gt;100),1,0)</f>
        <v>0</v>
      </c>
      <c r="J3107">
        <f>IF(Table13[[#This Row],[POS]]=0,1,0)</f>
        <v>0</v>
      </c>
      <c r="K3107">
        <f>SUM(Table13[[#This Row],[prefix]],Table13[[#This Row],[Past zero L]],Table13[[#This Row],[Past Zero R]],Table13[[#This Row],[Is Zero]])</f>
        <v>1</v>
      </c>
    </row>
    <row r="3108" spans="1:11" ht="16" x14ac:dyDescent="0.2">
      <c r="A3108" s="1" t="s">
        <v>1</v>
      </c>
      <c r="B3108" t="str">
        <f>LEFT(Table13[[#This Row],[Input]],1)</f>
        <v>R</v>
      </c>
      <c r="C3108">
        <f>_xlfn.LET(_xlpm.steps,SUBSTITUTE(Table13[[#This Row],[Input]],Table13[[#This Row],[Direction]],""),VALUE(IF(LEN(_xlpm.steps)&gt;2,RIGHT(_xlpm.steps,2),_xlpm.steps)))</f>
        <v>26</v>
      </c>
      <c r="D3108">
        <f>_xlfn.LET(_xlpm.steps,SUBSTITUTE(Table13[[#This Row],[Input]],Table13[[#This Row],[Direction]],""),VALUE(IF(LEN(_xlpm.steps)&gt;2,LEFT(_xlpm.steps,LEN(_xlpm.steps)-2),0)))</f>
        <v>0</v>
      </c>
      <c r="E3108">
        <f>_xlfn.LET(_xlpm.dir,Table13[[#This Row],[Direction]],
IF(_xlpm.dir="L",
    IF(G3107-Table13[[#This Row],[Steps]]&lt;0,100+(G3107-Table13[[#This Row],[Steps]]),G3107-Table13[[#This Row],[Steps]]),
))</f>
        <v>0</v>
      </c>
      <c r="F3108">
        <f>_xlfn.LET(_xlpm.dir,Table13[[#This Row],[Direction]],
IF(_xlpm.dir="R",
    IF(G3107+Table13[[#This Row],[Steps]]&gt;99,(G3107+Table13[[#This Row],[Steps]])-100,G3107+Table13[[#This Row],[Steps]]),
))</f>
        <v>66</v>
      </c>
      <c r="G3108">
        <f>IF(Table13[[#This Row],[New Pos L]]&lt;&gt;0,Table13[[#This Row],[New Pos L]],Table13[[#This Row],[New Pos R]])</f>
        <v>66</v>
      </c>
      <c r="H3108">
        <f>IF(AND(Table13[[#This Row],[Direction]]="L",Table13[[#This Row],[Steps]]&gt;G3107,G3107&lt;&gt;0),1,0)</f>
        <v>0</v>
      </c>
      <c r="I3108">
        <f>IF(AND(Table13[[#This Row],[Direction]]="R",(G3107+Table13[[#This Row],[Steps]])&gt;100),1,0)</f>
        <v>0</v>
      </c>
      <c r="J3108">
        <f>IF(Table13[[#This Row],[POS]]=0,1,0)</f>
        <v>0</v>
      </c>
      <c r="K3108">
        <f>SUM(Table13[[#This Row],[prefix]],Table13[[#This Row],[Past zero L]],Table13[[#This Row],[Past Zero R]],Table13[[#This Row],[Is Zero]])</f>
        <v>0</v>
      </c>
    </row>
    <row r="3109" spans="1:11" ht="16" x14ac:dyDescent="0.2">
      <c r="A3109" s="1" t="s">
        <v>304</v>
      </c>
      <c r="B3109" t="str">
        <f>LEFT(Table13[[#This Row],[Input]],1)</f>
        <v>L</v>
      </c>
      <c r="C3109">
        <f>_xlfn.LET(_xlpm.steps,SUBSTITUTE(Table13[[#This Row],[Input]],Table13[[#This Row],[Direction]],""),VALUE(IF(LEN(_xlpm.steps)&gt;2,RIGHT(_xlpm.steps,2),_xlpm.steps)))</f>
        <v>26</v>
      </c>
      <c r="D3109">
        <f>_xlfn.LET(_xlpm.steps,SUBSTITUTE(Table13[[#This Row],[Input]],Table13[[#This Row],[Direction]],""),VALUE(IF(LEN(_xlpm.steps)&gt;2,LEFT(_xlpm.steps,LEN(_xlpm.steps)-2),0)))</f>
        <v>0</v>
      </c>
      <c r="E3109">
        <f>_xlfn.LET(_xlpm.dir,Table13[[#This Row],[Direction]],
IF(_xlpm.dir="L",
    IF(G3108-Table13[[#This Row],[Steps]]&lt;0,100+(G3108-Table13[[#This Row],[Steps]]),G3108-Table13[[#This Row],[Steps]]),
))</f>
        <v>40</v>
      </c>
      <c r="F3109">
        <f>_xlfn.LET(_xlpm.dir,Table13[[#This Row],[Direction]],
IF(_xlpm.dir="R",
    IF(G3108+Table13[[#This Row],[Steps]]&gt;99,(G3108+Table13[[#This Row],[Steps]])-100,G3108+Table13[[#This Row],[Steps]]),
))</f>
        <v>0</v>
      </c>
      <c r="G3109">
        <f>IF(Table13[[#This Row],[New Pos L]]&lt;&gt;0,Table13[[#This Row],[New Pos L]],Table13[[#This Row],[New Pos R]])</f>
        <v>40</v>
      </c>
      <c r="H3109">
        <f>IF(AND(Table13[[#This Row],[Direction]]="L",Table13[[#This Row],[Steps]]&gt;G3108,G3108&lt;&gt;0),1,0)</f>
        <v>0</v>
      </c>
      <c r="I3109">
        <f>IF(AND(Table13[[#This Row],[Direction]]="R",(G3108+Table13[[#This Row],[Steps]])&gt;100),1,0)</f>
        <v>0</v>
      </c>
      <c r="J3109">
        <f>IF(Table13[[#This Row],[POS]]=0,1,0)</f>
        <v>0</v>
      </c>
      <c r="K3109">
        <f>SUM(Table13[[#This Row],[prefix]],Table13[[#This Row],[Past zero L]],Table13[[#This Row],[Past Zero R]],Table13[[#This Row],[Is Zero]])</f>
        <v>0</v>
      </c>
    </row>
    <row r="3110" spans="1:11" ht="16" x14ac:dyDescent="0.2">
      <c r="A3110" s="1" t="s">
        <v>241</v>
      </c>
      <c r="B3110" t="str">
        <f>LEFT(Table13[[#This Row],[Input]],1)</f>
        <v>R</v>
      </c>
      <c r="C3110">
        <f>_xlfn.LET(_xlpm.steps,SUBSTITUTE(Table13[[#This Row],[Input]],Table13[[#This Row],[Direction]],""),VALUE(IF(LEN(_xlpm.steps)&gt;2,RIGHT(_xlpm.steps,2),_xlpm.steps)))</f>
        <v>60</v>
      </c>
      <c r="D3110">
        <f>_xlfn.LET(_xlpm.steps,SUBSTITUTE(Table13[[#This Row],[Input]],Table13[[#This Row],[Direction]],""),VALUE(IF(LEN(_xlpm.steps)&gt;2,LEFT(_xlpm.steps,LEN(_xlpm.steps)-2),0)))</f>
        <v>0</v>
      </c>
      <c r="E3110">
        <f>_xlfn.LET(_xlpm.dir,Table13[[#This Row],[Direction]],
IF(_xlpm.dir="L",
    IF(G3109-Table13[[#This Row],[Steps]]&lt;0,100+(G3109-Table13[[#This Row],[Steps]]),G3109-Table13[[#This Row],[Steps]]),
))</f>
        <v>0</v>
      </c>
      <c r="F3110">
        <f>_xlfn.LET(_xlpm.dir,Table13[[#This Row],[Direction]],
IF(_xlpm.dir="R",
    IF(G3109+Table13[[#This Row],[Steps]]&gt;99,(G3109+Table13[[#This Row],[Steps]])-100,G3109+Table13[[#This Row],[Steps]]),
))</f>
        <v>0</v>
      </c>
      <c r="G3110">
        <f>IF(Table13[[#This Row],[New Pos L]]&lt;&gt;0,Table13[[#This Row],[New Pos L]],Table13[[#This Row],[New Pos R]])</f>
        <v>0</v>
      </c>
      <c r="H3110">
        <f>IF(AND(Table13[[#This Row],[Direction]]="L",Table13[[#This Row],[Steps]]&gt;G3109,G3109&lt;&gt;0),1,0)</f>
        <v>0</v>
      </c>
      <c r="I3110">
        <f>IF(AND(Table13[[#This Row],[Direction]]="R",(G3109+Table13[[#This Row],[Steps]])&gt;100),1,0)</f>
        <v>0</v>
      </c>
      <c r="J3110">
        <f>IF(Table13[[#This Row],[POS]]=0,1,0)</f>
        <v>1</v>
      </c>
      <c r="K3110">
        <f>SUM(Table13[[#This Row],[prefix]],Table13[[#This Row],[Past zero L]],Table13[[#This Row],[Past Zero R]],Table13[[#This Row],[Is Zero]])</f>
        <v>1</v>
      </c>
    </row>
    <row r="3111" spans="1:11" ht="16" x14ac:dyDescent="0.2">
      <c r="A3111" s="1" t="s">
        <v>462</v>
      </c>
      <c r="B3111" t="str">
        <f>LEFT(Table13[[#This Row],[Input]],1)</f>
        <v>L</v>
      </c>
      <c r="C3111">
        <f>_xlfn.LET(_xlpm.steps,SUBSTITUTE(Table13[[#This Row],[Input]],Table13[[#This Row],[Direction]],""),VALUE(IF(LEN(_xlpm.steps)&gt;2,RIGHT(_xlpm.steps,2),_xlpm.steps)))</f>
        <v>17</v>
      </c>
      <c r="D3111">
        <f>_xlfn.LET(_xlpm.steps,SUBSTITUTE(Table13[[#This Row],[Input]],Table13[[#This Row],[Direction]],""),VALUE(IF(LEN(_xlpm.steps)&gt;2,LEFT(_xlpm.steps,LEN(_xlpm.steps)-2),0)))</f>
        <v>0</v>
      </c>
      <c r="E3111">
        <f>_xlfn.LET(_xlpm.dir,Table13[[#This Row],[Direction]],
IF(_xlpm.dir="L",
    IF(G3110-Table13[[#This Row],[Steps]]&lt;0,100+(G3110-Table13[[#This Row],[Steps]]),G3110-Table13[[#This Row],[Steps]]),
))</f>
        <v>83</v>
      </c>
      <c r="F3111">
        <f>_xlfn.LET(_xlpm.dir,Table13[[#This Row],[Direction]],
IF(_xlpm.dir="R",
    IF(G3110+Table13[[#This Row],[Steps]]&gt;99,(G3110+Table13[[#This Row],[Steps]])-100,G3110+Table13[[#This Row],[Steps]]),
))</f>
        <v>0</v>
      </c>
      <c r="G3111">
        <f>IF(Table13[[#This Row],[New Pos L]]&lt;&gt;0,Table13[[#This Row],[New Pos L]],Table13[[#This Row],[New Pos R]])</f>
        <v>83</v>
      </c>
      <c r="H3111">
        <f>IF(AND(Table13[[#This Row],[Direction]]="L",Table13[[#This Row],[Steps]]&gt;G3110,G3110&lt;&gt;0),1,0)</f>
        <v>0</v>
      </c>
      <c r="I3111">
        <f>IF(AND(Table13[[#This Row],[Direction]]="R",(G3110+Table13[[#This Row],[Steps]])&gt;100),1,0)</f>
        <v>0</v>
      </c>
      <c r="J3111">
        <f>IF(Table13[[#This Row],[POS]]=0,1,0)</f>
        <v>0</v>
      </c>
      <c r="K3111">
        <f>SUM(Table13[[#This Row],[prefix]],Table13[[#This Row],[Past zero L]],Table13[[#This Row],[Past Zero R]],Table13[[#This Row],[Is Zero]])</f>
        <v>0</v>
      </c>
    </row>
    <row r="3112" spans="1:11" ht="16" x14ac:dyDescent="0.2">
      <c r="A3112" s="1" t="s">
        <v>698</v>
      </c>
      <c r="B3112" t="str">
        <f>LEFT(Table13[[#This Row],[Input]],1)</f>
        <v>R</v>
      </c>
      <c r="C3112">
        <f>_xlfn.LET(_xlpm.steps,SUBSTITUTE(Table13[[#This Row],[Input]],Table13[[#This Row],[Direction]],""),VALUE(IF(LEN(_xlpm.steps)&gt;2,RIGHT(_xlpm.steps,2),_xlpm.steps)))</f>
        <v>49</v>
      </c>
      <c r="D3112">
        <f>_xlfn.LET(_xlpm.steps,SUBSTITUTE(Table13[[#This Row],[Input]],Table13[[#This Row],[Direction]],""),VALUE(IF(LEN(_xlpm.steps)&gt;2,LEFT(_xlpm.steps,LEN(_xlpm.steps)-2),0)))</f>
        <v>8</v>
      </c>
      <c r="E3112">
        <f>_xlfn.LET(_xlpm.dir,Table13[[#This Row],[Direction]],
IF(_xlpm.dir="L",
    IF(G3111-Table13[[#This Row],[Steps]]&lt;0,100+(G3111-Table13[[#This Row],[Steps]]),G3111-Table13[[#This Row],[Steps]]),
))</f>
        <v>0</v>
      </c>
      <c r="F3112">
        <f>_xlfn.LET(_xlpm.dir,Table13[[#This Row],[Direction]],
IF(_xlpm.dir="R",
    IF(G3111+Table13[[#This Row],[Steps]]&gt;99,(G3111+Table13[[#This Row],[Steps]])-100,G3111+Table13[[#This Row],[Steps]]),
))</f>
        <v>32</v>
      </c>
      <c r="G3112">
        <f>IF(Table13[[#This Row],[New Pos L]]&lt;&gt;0,Table13[[#This Row],[New Pos L]],Table13[[#This Row],[New Pos R]])</f>
        <v>32</v>
      </c>
      <c r="H3112">
        <f>IF(AND(Table13[[#This Row],[Direction]]="L",Table13[[#This Row],[Steps]]&gt;G3111,G3111&lt;&gt;0),1,0)</f>
        <v>0</v>
      </c>
      <c r="I3112">
        <f>IF(AND(Table13[[#This Row],[Direction]]="R",(G3111+Table13[[#This Row],[Steps]])&gt;100),1,0)</f>
        <v>1</v>
      </c>
      <c r="J3112">
        <f>IF(Table13[[#This Row],[POS]]=0,1,0)</f>
        <v>0</v>
      </c>
      <c r="K3112">
        <f>SUM(Table13[[#This Row],[prefix]],Table13[[#This Row],[Past zero L]],Table13[[#This Row],[Past Zero R]],Table13[[#This Row],[Is Zero]])</f>
        <v>9</v>
      </c>
    </row>
    <row r="3113" spans="1:11" ht="16" x14ac:dyDescent="0.2">
      <c r="A3113" s="1" t="s">
        <v>106</v>
      </c>
      <c r="B3113" t="str">
        <f>LEFT(Table13[[#This Row],[Input]],1)</f>
        <v>R</v>
      </c>
      <c r="C3113">
        <f>_xlfn.LET(_xlpm.steps,SUBSTITUTE(Table13[[#This Row],[Input]],Table13[[#This Row],[Direction]],""),VALUE(IF(LEN(_xlpm.steps)&gt;2,RIGHT(_xlpm.steps,2),_xlpm.steps)))</f>
        <v>41</v>
      </c>
      <c r="D3113">
        <f>_xlfn.LET(_xlpm.steps,SUBSTITUTE(Table13[[#This Row],[Input]],Table13[[#This Row],[Direction]],""),VALUE(IF(LEN(_xlpm.steps)&gt;2,LEFT(_xlpm.steps,LEN(_xlpm.steps)-2),0)))</f>
        <v>0</v>
      </c>
      <c r="E3113">
        <f>_xlfn.LET(_xlpm.dir,Table13[[#This Row],[Direction]],
IF(_xlpm.dir="L",
    IF(G3112-Table13[[#This Row],[Steps]]&lt;0,100+(G3112-Table13[[#This Row],[Steps]]),G3112-Table13[[#This Row],[Steps]]),
))</f>
        <v>0</v>
      </c>
      <c r="F3113">
        <f>_xlfn.LET(_xlpm.dir,Table13[[#This Row],[Direction]],
IF(_xlpm.dir="R",
    IF(G3112+Table13[[#This Row],[Steps]]&gt;99,(G3112+Table13[[#This Row],[Steps]])-100,G3112+Table13[[#This Row],[Steps]]),
))</f>
        <v>73</v>
      </c>
      <c r="G3113">
        <f>IF(Table13[[#This Row],[New Pos L]]&lt;&gt;0,Table13[[#This Row],[New Pos L]],Table13[[#This Row],[New Pos R]])</f>
        <v>73</v>
      </c>
      <c r="H3113">
        <f>IF(AND(Table13[[#This Row],[Direction]]="L",Table13[[#This Row],[Steps]]&gt;G3112,G3112&lt;&gt;0),1,0)</f>
        <v>0</v>
      </c>
      <c r="I3113">
        <f>IF(AND(Table13[[#This Row],[Direction]]="R",(G3112+Table13[[#This Row],[Steps]])&gt;100),1,0)</f>
        <v>0</v>
      </c>
      <c r="J3113">
        <f>IF(Table13[[#This Row],[POS]]=0,1,0)</f>
        <v>0</v>
      </c>
      <c r="K3113">
        <f>SUM(Table13[[#This Row],[prefix]],Table13[[#This Row],[Past zero L]],Table13[[#This Row],[Past Zero R]],Table13[[#This Row],[Is Zero]])</f>
        <v>0</v>
      </c>
    </row>
    <row r="3114" spans="1:11" ht="16" x14ac:dyDescent="0.2">
      <c r="A3114" s="1" t="s">
        <v>699</v>
      </c>
      <c r="B3114" t="str">
        <f>LEFT(Table13[[#This Row],[Input]],1)</f>
        <v>R</v>
      </c>
      <c r="C3114">
        <f>_xlfn.LET(_xlpm.steps,SUBSTITUTE(Table13[[#This Row],[Input]],Table13[[#This Row],[Direction]],""),VALUE(IF(LEN(_xlpm.steps)&gt;2,RIGHT(_xlpm.steps,2),_xlpm.steps)))</f>
        <v>75</v>
      </c>
      <c r="D3114">
        <f>_xlfn.LET(_xlpm.steps,SUBSTITUTE(Table13[[#This Row],[Input]],Table13[[#This Row],[Direction]],""),VALUE(IF(LEN(_xlpm.steps)&gt;2,LEFT(_xlpm.steps,LEN(_xlpm.steps)-2),0)))</f>
        <v>4</v>
      </c>
      <c r="E3114">
        <f>_xlfn.LET(_xlpm.dir,Table13[[#This Row],[Direction]],
IF(_xlpm.dir="L",
    IF(G3113-Table13[[#This Row],[Steps]]&lt;0,100+(G3113-Table13[[#This Row],[Steps]]),G3113-Table13[[#This Row],[Steps]]),
))</f>
        <v>0</v>
      </c>
      <c r="F3114">
        <f>_xlfn.LET(_xlpm.dir,Table13[[#This Row],[Direction]],
IF(_xlpm.dir="R",
    IF(G3113+Table13[[#This Row],[Steps]]&gt;99,(G3113+Table13[[#This Row],[Steps]])-100,G3113+Table13[[#This Row],[Steps]]),
))</f>
        <v>48</v>
      </c>
      <c r="G3114">
        <f>IF(Table13[[#This Row],[New Pos L]]&lt;&gt;0,Table13[[#This Row],[New Pos L]],Table13[[#This Row],[New Pos R]])</f>
        <v>48</v>
      </c>
      <c r="H3114">
        <f>IF(AND(Table13[[#This Row],[Direction]]="L",Table13[[#This Row],[Steps]]&gt;G3113,G3113&lt;&gt;0),1,0)</f>
        <v>0</v>
      </c>
      <c r="I3114">
        <f>IF(AND(Table13[[#This Row],[Direction]]="R",(G3113+Table13[[#This Row],[Steps]])&gt;100),1,0)</f>
        <v>1</v>
      </c>
      <c r="J3114">
        <f>IF(Table13[[#This Row],[POS]]=0,1,0)</f>
        <v>0</v>
      </c>
      <c r="K3114">
        <f>SUM(Table13[[#This Row],[prefix]],Table13[[#This Row],[Past zero L]],Table13[[#This Row],[Past Zero R]],Table13[[#This Row],[Is Zero]])</f>
        <v>5</v>
      </c>
    </row>
    <row r="3115" spans="1:11" ht="16" x14ac:dyDescent="0.2">
      <c r="A3115" s="1" t="s">
        <v>40</v>
      </c>
      <c r="B3115" t="str">
        <f>LEFT(Table13[[#This Row],[Input]],1)</f>
        <v>R</v>
      </c>
      <c r="C3115">
        <f>_xlfn.LET(_xlpm.steps,SUBSTITUTE(Table13[[#This Row],[Input]],Table13[[#This Row],[Direction]],""),VALUE(IF(LEN(_xlpm.steps)&gt;2,RIGHT(_xlpm.steps,2),_xlpm.steps)))</f>
        <v>52</v>
      </c>
      <c r="D3115">
        <f>_xlfn.LET(_xlpm.steps,SUBSTITUTE(Table13[[#This Row],[Input]],Table13[[#This Row],[Direction]],""),VALUE(IF(LEN(_xlpm.steps)&gt;2,LEFT(_xlpm.steps,LEN(_xlpm.steps)-2),0)))</f>
        <v>0</v>
      </c>
      <c r="E3115">
        <f>_xlfn.LET(_xlpm.dir,Table13[[#This Row],[Direction]],
IF(_xlpm.dir="L",
    IF(G3114-Table13[[#This Row],[Steps]]&lt;0,100+(G3114-Table13[[#This Row],[Steps]]),G3114-Table13[[#This Row],[Steps]]),
))</f>
        <v>0</v>
      </c>
      <c r="F3115">
        <f>_xlfn.LET(_xlpm.dir,Table13[[#This Row],[Direction]],
IF(_xlpm.dir="R",
    IF(G3114+Table13[[#This Row],[Steps]]&gt;99,(G3114+Table13[[#This Row],[Steps]])-100,G3114+Table13[[#This Row],[Steps]]),
))</f>
        <v>0</v>
      </c>
      <c r="G3115">
        <f>IF(Table13[[#This Row],[New Pos L]]&lt;&gt;0,Table13[[#This Row],[New Pos L]],Table13[[#This Row],[New Pos R]])</f>
        <v>0</v>
      </c>
      <c r="H3115">
        <f>IF(AND(Table13[[#This Row],[Direction]]="L",Table13[[#This Row],[Steps]]&gt;G3114,G3114&lt;&gt;0),1,0)</f>
        <v>0</v>
      </c>
      <c r="I3115">
        <f>IF(AND(Table13[[#This Row],[Direction]]="R",(G3114+Table13[[#This Row],[Steps]])&gt;100),1,0)</f>
        <v>0</v>
      </c>
      <c r="J3115">
        <f>IF(Table13[[#This Row],[POS]]=0,1,0)</f>
        <v>1</v>
      </c>
      <c r="K3115">
        <f>SUM(Table13[[#This Row],[prefix]],Table13[[#This Row],[Past zero L]],Table13[[#This Row],[Past Zero R]],Table13[[#This Row],[Is Zero]])</f>
        <v>1</v>
      </c>
    </row>
    <row r="3116" spans="1:11" ht="16" x14ac:dyDescent="0.2">
      <c r="A3116" s="1" t="s">
        <v>201</v>
      </c>
      <c r="B3116" t="str">
        <f>LEFT(Table13[[#This Row],[Input]],1)</f>
        <v>R</v>
      </c>
      <c r="C3116">
        <f>_xlfn.LET(_xlpm.steps,SUBSTITUTE(Table13[[#This Row],[Input]],Table13[[#This Row],[Direction]],""),VALUE(IF(LEN(_xlpm.steps)&gt;2,RIGHT(_xlpm.steps,2),_xlpm.steps)))</f>
        <v>31</v>
      </c>
      <c r="D3116">
        <f>_xlfn.LET(_xlpm.steps,SUBSTITUTE(Table13[[#This Row],[Input]],Table13[[#This Row],[Direction]],""),VALUE(IF(LEN(_xlpm.steps)&gt;2,LEFT(_xlpm.steps,LEN(_xlpm.steps)-2),0)))</f>
        <v>0</v>
      </c>
      <c r="E3116">
        <f>_xlfn.LET(_xlpm.dir,Table13[[#This Row],[Direction]],
IF(_xlpm.dir="L",
    IF(G3115-Table13[[#This Row],[Steps]]&lt;0,100+(G3115-Table13[[#This Row],[Steps]]),G3115-Table13[[#This Row],[Steps]]),
))</f>
        <v>0</v>
      </c>
      <c r="F3116">
        <f>_xlfn.LET(_xlpm.dir,Table13[[#This Row],[Direction]],
IF(_xlpm.dir="R",
    IF(G3115+Table13[[#This Row],[Steps]]&gt;99,(G3115+Table13[[#This Row],[Steps]])-100,G3115+Table13[[#This Row],[Steps]]),
))</f>
        <v>31</v>
      </c>
      <c r="G3116">
        <f>IF(Table13[[#This Row],[New Pos L]]&lt;&gt;0,Table13[[#This Row],[New Pos L]],Table13[[#This Row],[New Pos R]])</f>
        <v>31</v>
      </c>
      <c r="H3116">
        <f>IF(AND(Table13[[#This Row],[Direction]]="L",Table13[[#This Row],[Steps]]&gt;G3115,G3115&lt;&gt;0),1,0)</f>
        <v>0</v>
      </c>
      <c r="I3116">
        <f>IF(AND(Table13[[#This Row],[Direction]]="R",(G3115+Table13[[#This Row],[Steps]])&gt;100),1,0)</f>
        <v>0</v>
      </c>
      <c r="J3116">
        <f>IF(Table13[[#This Row],[POS]]=0,1,0)</f>
        <v>0</v>
      </c>
      <c r="K3116">
        <f>SUM(Table13[[#This Row],[prefix]],Table13[[#This Row],[Past zero L]],Table13[[#This Row],[Past Zero R]],Table13[[#This Row],[Is Zero]])</f>
        <v>0</v>
      </c>
    </row>
    <row r="3117" spans="1:11" ht="16" x14ac:dyDescent="0.2">
      <c r="A3117" s="1" t="s">
        <v>141</v>
      </c>
      <c r="B3117" t="str">
        <f>LEFT(Table13[[#This Row],[Input]],1)</f>
        <v>L</v>
      </c>
      <c r="C3117">
        <f>_xlfn.LET(_xlpm.steps,SUBSTITUTE(Table13[[#This Row],[Input]],Table13[[#This Row],[Direction]],""),VALUE(IF(LEN(_xlpm.steps)&gt;2,RIGHT(_xlpm.steps,2),_xlpm.steps)))</f>
        <v>90</v>
      </c>
      <c r="D3117">
        <f>_xlfn.LET(_xlpm.steps,SUBSTITUTE(Table13[[#This Row],[Input]],Table13[[#This Row],[Direction]],""),VALUE(IF(LEN(_xlpm.steps)&gt;2,LEFT(_xlpm.steps,LEN(_xlpm.steps)-2),0)))</f>
        <v>0</v>
      </c>
      <c r="E3117">
        <f>_xlfn.LET(_xlpm.dir,Table13[[#This Row],[Direction]],
IF(_xlpm.dir="L",
    IF(G3116-Table13[[#This Row],[Steps]]&lt;0,100+(G3116-Table13[[#This Row],[Steps]]),G3116-Table13[[#This Row],[Steps]]),
))</f>
        <v>41</v>
      </c>
      <c r="F3117">
        <f>_xlfn.LET(_xlpm.dir,Table13[[#This Row],[Direction]],
IF(_xlpm.dir="R",
    IF(G3116+Table13[[#This Row],[Steps]]&gt;99,(G3116+Table13[[#This Row],[Steps]])-100,G3116+Table13[[#This Row],[Steps]]),
))</f>
        <v>0</v>
      </c>
      <c r="G3117">
        <f>IF(Table13[[#This Row],[New Pos L]]&lt;&gt;0,Table13[[#This Row],[New Pos L]],Table13[[#This Row],[New Pos R]])</f>
        <v>41</v>
      </c>
      <c r="H3117">
        <f>IF(AND(Table13[[#This Row],[Direction]]="L",Table13[[#This Row],[Steps]]&gt;G3116,G3116&lt;&gt;0),1,0)</f>
        <v>1</v>
      </c>
      <c r="I3117">
        <f>IF(AND(Table13[[#This Row],[Direction]]="R",(G3116+Table13[[#This Row],[Steps]])&gt;100),1,0)</f>
        <v>0</v>
      </c>
      <c r="J3117">
        <f>IF(Table13[[#This Row],[POS]]=0,1,0)</f>
        <v>0</v>
      </c>
      <c r="K3117">
        <f>SUM(Table13[[#This Row],[prefix]],Table13[[#This Row],[Past zero L]],Table13[[#This Row],[Past Zero R]],Table13[[#This Row],[Is Zero]])</f>
        <v>1</v>
      </c>
    </row>
    <row r="3118" spans="1:11" ht="16" x14ac:dyDescent="0.2">
      <c r="A3118" s="1" t="s">
        <v>83</v>
      </c>
      <c r="B3118" t="str">
        <f>LEFT(Table13[[#This Row],[Input]],1)</f>
        <v>R</v>
      </c>
      <c r="C3118">
        <f>_xlfn.LET(_xlpm.steps,SUBSTITUTE(Table13[[#This Row],[Input]],Table13[[#This Row],[Direction]],""),VALUE(IF(LEN(_xlpm.steps)&gt;2,RIGHT(_xlpm.steps,2),_xlpm.steps)))</f>
        <v>79</v>
      </c>
      <c r="D3118">
        <f>_xlfn.LET(_xlpm.steps,SUBSTITUTE(Table13[[#This Row],[Input]],Table13[[#This Row],[Direction]],""),VALUE(IF(LEN(_xlpm.steps)&gt;2,LEFT(_xlpm.steps,LEN(_xlpm.steps)-2),0)))</f>
        <v>0</v>
      </c>
      <c r="E3118">
        <f>_xlfn.LET(_xlpm.dir,Table13[[#This Row],[Direction]],
IF(_xlpm.dir="L",
    IF(G3117-Table13[[#This Row],[Steps]]&lt;0,100+(G3117-Table13[[#This Row],[Steps]]),G3117-Table13[[#This Row],[Steps]]),
))</f>
        <v>0</v>
      </c>
      <c r="F3118">
        <f>_xlfn.LET(_xlpm.dir,Table13[[#This Row],[Direction]],
IF(_xlpm.dir="R",
    IF(G3117+Table13[[#This Row],[Steps]]&gt;99,(G3117+Table13[[#This Row],[Steps]])-100,G3117+Table13[[#This Row],[Steps]]),
))</f>
        <v>20</v>
      </c>
      <c r="G3118">
        <f>IF(Table13[[#This Row],[New Pos L]]&lt;&gt;0,Table13[[#This Row],[New Pos L]],Table13[[#This Row],[New Pos R]])</f>
        <v>20</v>
      </c>
      <c r="H3118">
        <f>IF(AND(Table13[[#This Row],[Direction]]="L",Table13[[#This Row],[Steps]]&gt;G3117,G3117&lt;&gt;0),1,0)</f>
        <v>0</v>
      </c>
      <c r="I3118">
        <f>IF(AND(Table13[[#This Row],[Direction]]="R",(G3117+Table13[[#This Row],[Steps]])&gt;100),1,0)</f>
        <v>1</v>
      </c>
      <c r="J3118">
        <f>IF(Table13[[#This Row],[POS]]=0,1,0)</f>
        <v>0</v>
      </c>
      <c r="K3118">
        <f>SUM(Table13[[#This Row],[prefix]],Table13[[#This Row],[Past zero L]],Table13[[#This Row],[Past Zero R]],Table13[[#This Row],[Is Zero]])</f>
        <v>1</v>
      </c>
    </row>
    <row r="3119" spans="1:11" ht="16" x14ac:dyDescent="0.2">
      <c r="A3119" s="1" t="s">
        <v>25</v>
      </c>
      <c r="B3119" t="str">
        <f>LEFT(Table13[[#This Row],[Input]],1)</f>
        <v>L</v>
      </c>
      <c r="C3119">
        <f>_xlfn.LET(_xlpm.steps,SUBSTITUTE(Table13[[#This Row],[Input]],Table13[[#This Row],[Direction]],""),VALUE(IF(LEN(_xlpm.steps)&gt;2,RIGHT(_xlpm.steps,2),_xlpm.steps)))</f>
        <v>20</v>
      </c>
      <c r="D3119">
        <f>_xlfn.LET(_xlpm.steps,SUBSTITUTE(Table13[[#This Row],[Input]],Table13[[#This Row],[Direction]],""),VALUE(IF(LEN(_xlpm.steps)&gt;2,LEFT(_xlpm.steps,LEN(_xlpm.steps)-2),0)))</f>
        <v>0</v>
      </c>
      <c r="E3119">
        <f>_xlfn.LET(_xlpm.dir,Table13[[#This Row],[Direction]],
IF(_xlpm.dir="L",
    IF(G3118-Table13[[#This Row],[Steps]]&lt;0,100+(G3118-Table13[[#This Row],[Steps]]),G3118-Table13[[#This Row],[Steps]]),
))</f>
        <v>0</v>
      </c>
      <c r="F3119">
        <f>_xlfn.LET(_xlpm.dir,Table13[[#This Row],[Direction]],
IF(_xlpm.dir="R",
    IF(G3118+Table13[[#This Row],[Steps]]&gt;99,(G3118+Table13[[#This Row],[Steps]])-100,G3118+Table13[[#This Row],[Steps]]),
))</f>
        <v>0</v>
      </c>
      <c r="G3119">
        <f>IF(Table13[[#This Row],[New Pos L]]&lt;&gt;0,Table13[[#This Row],[New Pos L]],Table13[[#This Row],[New Pos R]])</f>
        <v>0</v>
      </c>
      <c r="H3119">
        <f>IF(AND(Table13[[#This Row],[Direction]]="L",Table13[[#This Row],[Steps]]&gt;G3118,G3118&lt;&gt;0),1,0)</f>
        <v>0</v>
      </c>
      <c r="I3119">
        <f>IF(AND(Table13[[#This Row],[Direction]]="R",(G3118+Table13[[#This Row],[Steps]])&gt;100),1,0)</f>
        <v>0</v>
      </c>
      <c r="J3119">
        <f>IF(Table13[[#This Row],[POS]]=0,1,0)</f>
        <v>1</v>
      </c>
      <c r="K3119">
        <f>SUM(Table13[[#This Row],[prefix]],Table13[[#This Row],[Past zero L]],Table13[[#This Row],[Past Zero R]],Table13[[#This Row],[Is Zero]])</f>
        <v>1</v>
      </c>
    </row>
    <row r="3120" spans="1:11" ht="16" x14ac:dyDescent="0.2">
      <c r="A3120" s="1" t="s">
        <v>700</v>
      </c>
      <c r="B3120" t="str">
        <f>LEFT(Table13[[#This Row],[Input]],1)</f>
        <v>R</v>
      </c>
      <c r="C3120">
        <f>_xlfn.LET(_xlpm.steps,SUBSTITUTE(Table13[[#This Row],[Input]],Table13[[#This Row],[Direction]],""),VALUE(IF(LEN(_xlpm.steps)&gt;2,RIGHT(_xlpm.steps,2),_xlpm.steps)))</f>
        <v>41</v>
      </c>
      <c r="D3120">
        <f>_xlfn.LET(_xlpm.steps,SUBSTITUTE(Table13[[#This Row],[Input]],Table13[[#This Row],[Direction]],""),VALUE(IF(LEN(_xlpm.steps)&gt;2,LEFT(_xlpm.steps,LEN(_xlpm.steps)-2),0)))</f>
        <v>2</v>
      </c>
      <c r="E3120">
        <f>_xlfn.LET(_xlpm.dir,Table13[[#This Row],[Direction]],
IF(_xlpm.dir="L",
    IF(G3119-Table13[[#This Row],[Steps]]&lt;0,100+(G3119-Table13[[#This Row],[Steps]]),G3119-Table13[[#This Row],[Steps]]),
))</f>
        <v>0</v>
      </c>
      <c r="F3120">
        <f>_xlfn.LET(_xlpm.dir,Table13[[#This Row],[Direction]],
IF(_xlpm.dir="R",
    IF(G3119+Table13[[#This Row],[Steps]]&gt;99,(G3119+Table13[[#This Row],[Steps]])-100,G3119+Table13[[#This Row],[Steps]]),
))</f>
        <v>41</v>
      </c>
      <c r="G3120">
        <f>IF(Table13[[#This Row],[New Pos L]]&lt;&gt;0,Table13[[#This Row],[New Pos L]],Table13[[#This Row],[New Pos R]])</f>
        <v>41</v>
      </c>
      <c r="H3120">
        <f>IF(AND(Table13[[#This Row],[Direction]]="L",Table13[[#This Row],[Steps]]&gt;G3119,G3119&lt;&gt;0),1,0)</f>
        <v>0</v>
      </c>
      <c r="I3120">
        <f>IF(AND(Table13[[#This Row],[Direction]]="R",(G3119+Table13[[#This Row],[Steps]])&gt;100),1,0)</f>
        <v>0</v>
      </c>
      <c r="J3120">
        <f>IF(Table13[[#This Row],[POS]]=0,1,0)</f>
        <v>0</v>
      </c>
      <c r="K3120">
        <f>SUM(Table13[[#This Row],[prefix]],Table13[[#This Row],[Past zero L]],Table13[[#This Row],[Past Zero R]],Table13[[#This Row],[Is Zero]])</f>
        <v>2</v>
      </c>
    </row>
    <row r="3121" spans="1:11" ht="16" x14ac:dyDescent="0.2">
      <c r="A3121" s="1" t="s">
        <v>701</v>
      </c>
      <c r="B3121" t="str">
        <f>LEFT(Table13[[#This Row],[Input]],1)</f>
        <v>L</v>
      </c>
      <c r="C3121">
        <f>_xlfn.LET(_xlpm.steps,SUBSTITUTE(Table13[[#This Row],[Input]],Table13[[#This Row],[Direction]],""),VALUE(IF(LEN(_xlpm.steps)&gt;2,RIGHT(_xlpm.steps,2),_xlpm.steps)))</f>
        <v>41</v>
      </c>
      <c r="D3121">
        <f>_xlfn.LET(_xlpm.steps,SUBSTITUTE(Table13[[#This Row],[Input]],Table13[[#This Row],[Direction]],""),VALUE(IF(LEN(_xlpm.steps)&gt;2,LEFT(_xlpm.steps,LEN(_xlpm.steps)-2),0)))</f>
        <v>9</v>
      </c>
      <c r="E3121">
        <f>_xlfn.LET(_xlpm.dir,Table13[[#This Row],[Direction]],
IF(_xlpm.dir="L",
    IF(G3120-Table13[[#This Row],[Steps]]&lt;0,100+(G3120-Table13[[#This Row],[Steps]]),G3120-Table13[[#This Row],[Steps]]),
))</f>
        <v>0</v>
      </c>
      <c r="F3121">
        <f>_xlfn.LET(_xlpm.dir,Table13[[#This Row],[Direction]],
IF(_xlpm.dir="R",
    IF(G3120+Table13[[#This Row],[Steps]]&gt;99,(G3120+Table13[[#This Row],[Steps]])-100,G3120+Table13[[#This Row],[Steps]]),
))</f>
        <v>0</v>
      </c>
      <c r="G3121">
        <f>IF(Table13[[#This Row],[New Pos L]]&lt;&gt;0,Table13[[#This Row],[New Pos L]],Table13[[#This Row],[New Pos R]])</f>
        <v>0</v>
      </c>
      <c r="H3121">
        <f>IF(AND(Table13[[#This Row],[Direction]]="L",Table13[[#This Row],[Steps]]&gt;G3120,G3120&lt;&gt;0),1,0)</f>
        <v>0</v>
      </c>
      <c r="I3121">
        <f>IF(AND(Table13[[#This Row],[Direction]]="R",(G3120+Table13[[#This Row],[Steps]])&gt;100),1,0)</f>
        <v>0</v>
      </c>
      <c r="J3121">
        <f>IF(Table13[[#This Row],[POS]]=0,1,0)</f>
        <v>1</v>
      </c>
      <c r="K3121">
        <f>SUM(Table13[[#This Row],[prefix]],Table13[[#This Row],[Past zero L]],Table13[[#This Row],[Past Zero R]],Table13[[#This Row],[Is Zero]])</f>
        <v>10</v>
      </c>
    </row>
    <row r="3122" spans="1:11" ht="16" x14ac:dyDescent="0.2">
      <c r="A3122" s="1" t="s">
        <v>702</v>
      </c>
      <c r="B3122" t="str">
        <f>LEFT(Table13[[#This Row],[Input]],1)</f>
        <v>L</v>
      </c>
      <c r="C3122">
        <f>_xlfn.LET(_xlpm.steps,SUBSTITUTE(Table13[[#This Row],[Input]],Table13[[#This Row],[Direction]],""),VALUE(IF(LEN(_xlpm.steps)&gt;2,RIGHT(_xlpm.steps,2),_xlpm.steps)))</f>
        <v>27</v>
      </c>
      <c r="D3122">
        <f>_xlfn.LET(_xlpm.steps,SUBSTITUTE(Table13[[#This Row],[Input]],Table13[[#This Row],[Direction]],""),VALUE(IF(LEN(_xlpm.steps)&gt;2,LEFT(_xlpm.steps,LEN(_xlpm.steps)-2),0)))</f>
        <v>2</v>
      </c>
      <c r="E3122">
        <f>_xlfn.LET(_xlpm.dir,Table13[[#This Row],[Direction]],
IF(_xlpm.dir="L",
    IF(G3121-Table13[[#This Row],[Steps]]&lt;0,100+(G3121-Table13[[#This Row],[Steps]]),G3121-Table13[[#This Row],[Steps]]),
))</f>
        <v>73</v>
      </c>
      <c r="F3122">
        <f>_xlfn.LET(_xlpm.dir,Table13[[#This Row],[Direction]],
IF(_xlpm.dir="R",
    IF(G3121+Table13[[#This Row],[Steps]]&gt;99,(G3121+Table13[[#This Row],[Steps]])-100,G3121+Table13[[#This Row],[Steps]]),
))</f>
        <v>0</v>
      </c>
      <c r="G3122">
        <f>IF(Table13[[#This Row],[New Pos L]]&lt;&gt;0,Table13[[#This Row],[New Pos L]],Table13[[#This Row],[New Pos R]])</f>
        <v>73</v>
      </c>
      <c r="H3122">
        <f>IF(AND(Table13[[#This Row],[Direction]]="L",Table13[[#This Row],[Steps]]&gt;G3121,G3121&lt;&gt;0),1,0)</f>
        <v>0</v>
      </c>
      <c r="I3122">
        <f>IF(AND(Table13[[#This Row],[Direction]]="R",(G3121+Table13[[#This Row],[Steps]])&gt;100),1,0)</f>
        <v>0</v>
      </c>
      <c r="J3122">
        <f>IF(Table13[[#This Row],[POS]]=0,1,0)</f>
        <v>0</v>
      </c>
      <c r="K3122">
        <f>SUM(Table13[[#This Row],[prefix]],Table13[[#This Row],[Past zero L]],Table13[[#This Row],[Past Zero R]],Table13[[#This Row],[Is Zero]])</f>
        <v>2</v>
      </c>
    </row>
    <row r="3123" spans="1:11" ht="16" x14ac:dyDescent="0.2">
      <c r="A3123" s="1" t="s">
        <v>69</v>
      </c>
      <c r="B3123" t="str">
        <f>LEFT(Table13[[#This Row],[Input]],1)</f>
        <v>R</v>
      </c>
      <c r="C3123">
        <f>_xlfn.LET(_xlpm.steps,SUBSTITUTE(Table13[[#This Row],[Input]],Table13[[#This Row],[Direction]],""),VALUE(IF(LEN(_xlpm.steps)&gt;2,RIGHT(_xlpm.steps,2),_xlpm.steps)))</f>
        <v>27</v>
      </c>
      <c r="D3123">
        <f>_xlfn.LET(_xlpm.steps,SUBSTITUTE(Table13[[#This Row],[Input]],Table13[[#This Row],[Direction]],""),VALUE(IF(LEN(_xlpm.steps)&gt;2,LEFT(_xlpm.steps,LEN(_xlpm.steps)-2),0)))</f>
        <v>0</v>
      </c>
      <c r="E3123">
        <f>_xlfn.LET(_xlpm.dir,Table13[[#This Row],[Direction]],
IF(_xlpm.dir="L",
    IF(G3122-Table13[[#This Row],[Steps]]&lt;0,100+(G3122-Table13[[#This Row],[Steps]]),G3122-Table13[[#This Row],[Steps]]),
))</f>
        <v>0</v>
      </c>
      <c r="F3123">
        <f>_xlfn.LET(_xlpm.dir,Table13[[#This Row],[Direction]],
IF(_xlpm.dir="R",
    IF(G3122+Table13[[#This Row],[Steps]]&gt;99,(G3122+Table13[[#This Row],[Steps]])-100,G3122+Table13[[#This Row],[Steps]]),
))</f>
        <v>0</v>
      </c>
      <c r="G3123">
        <f>IF(Table13[[#This Row],[New Pos L]]&lt;&gt;0,Table13[[#This Row],[New Pos L]],Table13[[#This Row],[New Pos R]])</f>
        <v>0</v>
      </c>
      <c r="H3123">
        <f>IF(AND(Table13[[#This Row],[Direction]]="L",Table13[[#This Row],[Steps]]&gt;G3122,G3122&lt;&gt;0),1,0)</f>
        <v>0</v>
      </c>
      <c r="I3123">
        <f>IF(AND(Table13[[#This Row],[Direction]]="R",(G3122+Table13[[#This Row],[Steps]])&gt;100),1,0)</f>
        <v>0</v>
      </c>
      <c r="J3123">
        <f>IF(Table13[[#This Row],[POS]]=0,1,0)</f>
        <v>1</v>
      </c>
      <c r="K3123">
        <f>SUM(Table13[[#This Row],[prefix]],Table13[[#This Row],[Past zero L]],Table13[[#This Row],[Past Zero R]],Table13[[#This Row],[Is Zero]])</f>
        <v>1</v>
      </c>
    </row>
    <row r="3124" spans="1:11" ht="16" x14ac:dyDescent="0.2">
      <c r="A3124" s="1" t="s">
        <v>145</v>
      </c>
      <c r="B3124" t="str">
        <f>LEFT(Table13[[#This Row],[Input]],1)</f>
        <v>L</v>
      </c>
      <c r="C3124">
        <f>_xlfn.LET(_xlpm.steps,SUBSTITUTE(Table13[[#This Row],[Input]],Table13[[#This Row],[Direction]],""),VALUE(IF(LEN(_xlpm.steps)&gt;2,RIGHT(_xlpm.steps,2),_xlpm.steps)))</f>
        <v>83</v>
      </c>
      <c r="D3124">
        <f>_xlfn.LET(_xlpm.steps,SUBSTITUTE(Table13[[#This Row],[Input]],Table13[[#This Row],[Direction]],""),VALUE(IF(LEN(_xlpm.steps)&gt;2,LEFT(_xlpm.steps,LEN(_xlpm.steps)-2),0)))</f>
        <v>0</v>
      </c>
      <c r="E3124">
        <f>_xlfn.LET(_xlpm.dir,Table13[[#This Row],[Direction]],
IF(_xlpm.dir="L",
    IF(G3123-Table13[[#This Row],[Steps]]&lt;0,100+(G3123-Table13[[#This Row],[Steps]]),G3123-Table13[[#This Row],[Steps]]),
))</f>
        <v>17</v>
      </c>
      <c r="F3124">
        <f>_xlfn.LET(_xlpm.dir,Table13[[#This Row],[Direction]],
IF(_xlpm.dir="R",
    IF(G3123+Table13[[#This Row],[Steps]]&gt;99,(G3123+Table13[[#This Row],[Steps]])-100,G3123+Table13[[#This Row],[Steps]]),
))</f>
        <v>0</v>
      </c>
      <c r="G3124">
        <f>IF(Table13[[#This Row],[New Pos L]]&lt;&gt;0,Table13[[#This Row],[New Pos L]],Table13[[#This Row],[New Pos R]])</f>
        <v>17</v>
      </c>
      <c r="H3124">
        <f>IF(AND(Table13[[#This Row],[Direction]]="L",Table13[[#This Row],[Steps]]&gt;G3123,G3123&lt;&gt;0),1,0)</f>
        <v>0</v>
      </c>
      <c r="I3124">
        <f>IF(AND(Table13[[#This Row],[Direction]]="R",(G3123+Table13[[#This Row],[Steps]])&gt;100),1,0)</f>
        <v>0</v>
      </c>
      <c r="J3124">
        <f>IF(Table13[[#This Row],[POS]]=0,1,0)</f>
        <v>0</v>
      </c>
      <c r="K3124">
        <f>SUM(Table13[[#This Row],[prefix]],Table13[[#This Row],[Past zero L]],Table13[[#This Row],[Past Zero R]],Table13[[#This Row],[Is Zero]])</f>
        <v>0</v>
      </c>
    </row>
    <row r="3125" spans="1:11" ht="16" x14ac:dyDescent="0.2">
      <c r="A3125" s="1" t="s">
        <v>56</v>
      </c>
      <c r="B3125" t="str">
        <f>LEFT(Table13[[#This Row],[Input]],1)</f>
        <v>R</v>
      </c>
      <c r="C3125">
        <f>_xlfn.LET(_xlpm.steps,SUBSTITUTE(Table13[[#This Row],[Input]],Table13[[#This Row],[Direction]],""),VALUE(IF(LEN(_xlpm.steps)&gt;2,RIGHT(_xlpm.steps,2),_xlpm.steps)))</f>
        <v>42</v>
      </c>
      <c r="D3125">
        <f>_xlfn.LET(_xlpm.steps,SUBSTITUTE(Table13[[#This Row],[Input]],Table13[[#This Row],[Direction]],""),VALUE(IF(LEN(_xlpm.steps)&gt;2,LEFT(_xlpm.steps,LEN(_xlpm.steps)-2),0)))</f>
        <v>0</v>
      </c>
      <c r="E3125">
        <f>_xlfn.LET(_xlpm.dir,Table13[[#This Row],[Direction]],
IF(_xlpm.dir="L",
    IF(G3124-Table13[[#This Row],[Steps]]&lt;0,100+(G3124-Table13[[#This Row],[Steps]]),G3124-Table13[[#This Row],[Steps]]),
))</f>
        <v>0</v>
      </c>
      <c r="F3125">
        <f>_xlfn.LET(_xlpm.dir,Table13[[#This Row],[Direction]],
IF(_xlpm.dir="R",
    IF(G3124+Table13[[#This Row],[Steps]]&gt;99,(G3124+Table13[[#This Row],[Steps]])-100,G3124+Table13[[#This Row],[Steps]]),
))</f>
        <v>59</v>
      </c>
      <c r="G3125">
        <f>IF(Table13[[#This Row],[New Pos L]]&lt;&gt;0,Table13[[#This Row],[New Pos L]],Table13[[#This Row],[New Pos R]])</f>
        <v>59</v>
      </c>
      <c r="H3125">
        <f>IF(AND(Table13[[#This Row],[Direction]]="L",Table13[[#This Row],[Steps]]&gt;G3124,G3124&lt;&gt;0),1,0)</f>
        <v>0</v>
      </c>
      <c r="I3125">
        <f>IF(AND(Table13[[#This Row],[Direction]]="R",(G3124+Table13[[#This Row],[Steps]])&gt;100),1,0)</f>
        <v>0</v>
      </c>
      <c r="J3125">
        <f>IF(Table13[[#This Row],[POS]]=0,1,0)</f>
        <v>0</v>
      </c>
      <c r="K3125">
        <f>SUM(Table13[[#This Row],[prefix]],Table13[[#This Row],[Past zero L]],Table13[[#This Row],[Past Zero R]],Table13[[#This Row],[Is Zero]])</f>
        <v>0</v>
      </c>
    </row>
    <row r="3126" spans="1:11" ht="16" x14ac:dyDescent="0.2">
      <c r="A3126" s="1" t="s">
        <v>39</v>
      </c>
      <c r="B3126" t="str">
        <f>LEFT(Table13[[#This Row],[Input]],1)</f>
        <v>R</v>
      </c>
      <c r="C3126">
        <f>_xlfn.LET(_xlpm.steps,SUBSTITUTE(Table13[[#This Row],[Input]],Table13[[#This Row],[Direction]],""),VALUE(IF(LEN(_xlpm.steps)&gt;2,RIGHT(_xlpm.steps,2),_xlpm.steps)))</f>
        <v>32</v>
      </c>
      <c r="D3126">
        <f>_xlfn.LET(_xlpm.steps,SUBSTITUTE(Table13[[#This Row],[Input]],Table13[[#This Row],[Direction]],""),VALUE(IF(LEN(_xlpm.steps)&gt;2,LEFT(_xlpm.steps,LEN(_xlpm.steps)-2),0)))</f>
        <v>0</v>
      </c>
      <c r="E3126">
        <f>_xlfn.LET(_xlpm.dir,Table13[[#This Row],[Direction]],
IF(_xlpm.dir="L",
    IF(G3125-Table13[[#This Row],[Steps]]&lt;0,100+(G3125-Table13[[#This Row],[Steps]]),G3125-Table13[[#This Row],[Steps]]),
))</f>
        <v>0</v>
      </c>
      <c r="F3126">
        <f>_xlfn.LET(_xlpm.dir,Table13[[#This Row],[Direction]],
IF(_xlpm.dir="R",
    IF(G3125+Table13[[#This Row],[Steps]]&gt;99,(G3125+Table13[[#This Row],[Steps]])-100,G3125+Table13[[#This Row],[Steps]]),
))</f>
        <v>91</v>
      </c>
      <c r="G3126">
        <f>IF(Table13[[#This Row],[New Pos L]]&lt;&gt;0,Table13[[#This Row],[New Pos L]],Table13[[#This Row],[New Pos R]])</f>
        <v>91</v>
      </c>
      <c r="H3126">
        <f>IF(AND(Table13[[#This Row],[Direction]]="L",Table13[[#This Row],[Steps]]&gt;G3125,G3125&lt;&gt;0),1,0)</f>
        <v>0</v>
      </c>
      <c r="I3126">
        <f>IF(AND(Table13[[#This Row],[Direction]]="R",(G3125+Table13[[#This Row],[Steps]])&gt;100),1,0)</f>
        <v>0</v>
      </c>
      <c r="J3126">
        <f>IF(Table13[[#This Row],[POS]]=0,1,0)</f>
        <v>0</v>
      </c>
      <c r="K3126">
        <f>SUM(Table13[[#This Row],[prefix]],Table13[[#This Row],[Past zero L]],Table13[[#This Row],[Past Zero R]],Table13[[#This Row],[Is Zero]])</f>
        <v>0</v>
      </c>
    </row>
    <row r="3127" spans="1:11" ht="16" x14ac:dyDescent="0.2">
      <c r="A3127" s="1" t="s">
        <v>344</v>
      </c>
      <c r="B3127" t="str">
        <f>LEFT(Table13[[#This Row],[Input]],1)</f>
        <v>R</v>
      </c>
      <c r="C3127">
        <f>_xlfn.LET(_xlpm.steps,SUBSTITUTE(Table13[[#This Row],[Input]],Table13[[#This Row],[Direction]],""),VALUE(IF(LEN(_xlpm.steps)&gt;2,RIGHT(_xlpm.steps,2),_xlpm.steps)))</f>
        <v>9</v>
      </c>
      <c r="D3127">
        <f>_xlfn.LET(_xlpm.steps,SUBSTITUTE(Table13[[#This Row],[Input]],Table13[[#This Row],[Direction]],""),VALUE(IF(LEN(_xlpm.steps)&gt;2,LEFT(_xlpm.steps,LEN(_xlpm.steps)-2),0)))</f>
        <v>0</v>
      </c>
      <c r="E3127">
        <f>_xlfn.LET(_xlpm.dir,Table13[[#This Row],[Direction]],
IF(_xlpm.dir="L",
    IF(G3126-Table13[[#This Row],[Steps]]&lt;0,100+(G3126-Table13[[#This Row],[Steps]]),G3126-Table13[[#This Row],[Steps]]),
))</f>
        <v>0</v>
      </c>
      <c r="F3127">
        <f>_xlfn.LET(_xlpm.dir,Table13[[#This Row],[Direction]],
IF(_xlpm.dir="R",
    IF(G3126+Table13[[#This Row],[Steps]]&gt;99,(G3126+Table13[[#This Row],[Steps]])-100,G3126+Table13[[#This Row],[Steps]]),
))</f>
        <v>0</v>
      </c>
      <c r="G3127">
        <f>IF(Table13[[#This Row],[New Pos L]]&lt;&gt;0,Table13[[#This Row],[New Pos L]],Table13[[#This Row],[New Pos R]])</f>
        <v>0</v>
      </c>
      <c r="H3127">
        <f>IF(AND(Table13[[#This Row],[Direction]]="L",Table13[[#This Row],[Steps]]&gt;G3126,G3126&lt;&gt;0),1,0)</f>
        <v>0</v>
      </c>
      <c r="I3127">
        <f>IF(AND(Table13[[#This Row],[Direction]]="R",(G3126+Table13[[#This Row],[Steps]])&gt;100),1,0)</f>
        <v>0</v>
      </c>
      <c r="J3127">
        <f>IF(Table13[[#This Row],[POS]]=0,1,0)</f>
        <v>1</v>
      </c>
      <c r="K3127">
        <f>SUM(Table13[[#This Row],[prefix]],Table13[[#This Row],[Past zero L]],Table13[[#This Row],[Past Zero R]],Table13[[#This Row],[Is Zero]])</f>
        <v>1</v>
      </c>
    </row>
    <row r="3128" spans="1:11" ht="16" x14ac:dyDescent="0.2">
      <c r="A3128" s="1" t="s">
        <v>53</v>
      </c>
      <c r="B3128" t="str">
        <f>LEFT(Table13[[#This Row],[Input]],1)</f>
        <v>L</v>
      </c>
      <c r="C3128">
        <f>_xlfn.LET(_xlpm.steps,SUBSTITUTE(Table13[[#This Row],[Input]],Table13[[#This Row],[Direction]],""),VALUE(IF(LEN(_xlpm.steps)&gt;2,RIGHT(_xlpm.steps,2),_xlpm.steps)))</f>
        <v>56</v>
      </c>
      <c r="D3128">
        <f>_xlfn.LET(_xlpm.steps,SUBSTITUTE(Table13[[#This Row],[Input]],Table13[[#This Row],[Direction]],""),VALUE(IF(LEN(_xlpm.steps)&gt;2,LEFT(_xlpm.steps,LEN(_xlpm.steps)-2),0)))</f>
        <v>0</v>
      </c>
      <c r="E3128">
        <f>_xlfn.LET(_xlpm.dir,Table13[[#This Row],[Direction]],
IF(_xlpm.dir="L",
    IF(G3127-Table13[[#This Row],[Steps]]&lt;0,100+(G3127-Table13[[#This Row],[Steps]]),G3127-Table13[[#This Row],[Steps]]),
))</f>
        <v>44</v>
      </c>
      <c r="F3128">
        <f>_xlfn.LET(_xlpm.dir,Table13[[#This Row],[Direction]],
IF(_xlpm.dir="R",
    IF(G3127+Table13[[#This Row],[Steps]]&gt;99,(G3127+Table13[[#This Row],[Steps]])-100,G3127+Table13[[#This Row],[Steps]]),
))</f>
        <v>0</v>
      </c>
      <c r="G3128">
        <f>IF(Table13[[#This Row],[New Pos L]]&lt;&gt;0,Table13[[#This Row],[New Pos L]],Table13[[#This Row],[New Pos R]])</f>
        <v>44</v>
      </c>
      <c r="H3128">
        <f>IF(AND(Table13[[#This Row],[Direction]]="L",Table13[[#This Row],[Steps]]&gt;G3127,G3127&lt;&gt;0),1,0)</f>
        <v>0</v>
      </c>
      <c r="I3128">
        <f>IF(AND(Table13[[#This Row],[Direction]]="R",(G3127+Table13[[#This Row],[Steps]])&gt;100),1,0)</f>
        <v>0</v>
      </c>
      <c r="J3128">
        <f>IF(Table13[[#This Row],[POS]]=0,1,0)</f>
        <v>0</v>
      </c>
      <c r="K3128">
        <f>SUM(Table13[[#This Row],[prefix]],Table13[[#This Row],[Past zero L]],Table13[[#This Row],[Past Zero R]],Table13[[#This Row],[Is Zero]])</f>
        <v>0</v>
      </c>
    </row>
    <row r="3129" spans="1:11" ht="16" x14ac:dyDescent="0.2">
      <c r="A3129" s="1" t="s">
        <v>703</v>
      </c>
      <c r="B3129" t="str">
        <f>LEFT(Table13[[#This Row],[Input]],1)</f>
        <v>L</v>
      </c>
      <c r="C3129">
        <f>_xlfn.LET(_xlpm.steps,SUBSTITUTE(Table13[[#This Row],[Input]],Table13[[#This Row],[Direction]],""),VALUE(IF(LEN(_xlpm.steps)&gt;2,RIGHT(_xlpm.steps,2),_xlpm.steps)))</f>
        <v>35</v>
      </c>
      <c r="D3129">
        <f>_xlfn.LET(_xlpm.steps,SUBSTITUTE(Table13[[#This Row],[Input]],Table13[[#This Row],[Direction]],""),VALUE(IF(LEN(_xlpm.steps)&gt;2,LEFT(_xlpm.steps,LEN(_xlpm.steps)-2),0)))</f>
        <v>7</v>
      </c>
      <c r="E3129">
        <f>_xlfn.LET(_xlpm.dir,Table13[[#This Row],[Direction]],
IF(_xlpm.dir="L",
    IF(G3128-Table13[[#This Row],[Steps]]&lt;0,100+(G3128-Table13[[#This Row],[Steps]]),G3128-Table13[[#This Row],[Steps]]),
))</f>
        <v>9</v>
      </c>
      <c r="F3129">
        <f>_xlfn.LET(_xlpm.dir,Table13[[#This Row],[Direction]],
IF(_xlpm.dir="R",
    IF(G3128+Table13[[#This Row],[Steps]]&gt;99,(G3128+Table13[[#This Row],[Steps]])-100,G3128+Table13[[#This Row],[Steps]]),
))</f>
        <v>0</v>
      </c>
      <c r="G3129">
        <f>IF(Table13[[#This Row],[New Pos L]]&lt;&gt;0,Table13[[#This Row],[New Pos L]],Table13[[#This Row],[New Pos R]])</f>
        <v>9</v>
      </c>
      <c r="H3129">
        <f>IF(AND(Table13[[#This Row],[Direction]]="L",Table13[[#This Row],[Steps]]&gt;G3128,G3128&lt;&gt;0),1,0)</f>
        <v>0</v>
      </c>
      <c r="I3129">
        <f>IF(AND(Table13[[#This Row],[Direction]]="R",(G3128+Table13[[#This Row],[Steps]])&gt;100),1,0)</f>
        <v>0</v>
      </c>
      <c r="J3129">
        <f>IF(Table13[[#This Row],[POS]]=0,1,0)</f>
        <v>0</v>
      </c>
      <c r="K3129">
        <f>SUM(Table13[[#This Row],[prefix]],Table13[[#This Row],[Past zero L]],Table13[[#This Row],[Past Zero R]],Table13[[#This Row],[Is Zero]])</f>
        <v>7</v>
      </c>
    </row>
    <row r="3130" spans="1:11" ht="16" x14ac:dyDescent="0.2">
      <c r="A3130" s="1" t="s">
        <v>13</v>
      </c>
      <c r="B3130" t="str">
        <f>LEFT(Table13[[#This Row],[Input]],1)</f>
        <v>R</v>
      </c>
      <c r="C3130">
        <f>_xlfn.LET(_xlpm.steps,SUBSTITUTE(Table13[[#This Row],[Input]],Table13[[#This Row],[Direction]],""),VALUE(IF(LEN(_xlpm.steps)&gt;2,RIGHT(_xlpm.steps,2),_xlpm.steps)))</f>
        <v>12</v>
      </c>
      <c r="D3130">
        <f>_xlfn.LET(_xlpm.steps,SUBSTITUTE(Table13[[#This Row],[Input]],Table13[[#This Row],[Direction]],""),VALUE(IF(LEN(_xlpm.steps)&gt;2,LEFT(_xlpm.steps,LEN(_xlpm.steps)-2),0)))</f>
        <v>0</v>
      </c>
      <c r="E3130">
        <f>_xlfn.LET(_xlpm.dir,Table13[[#This Row],[Direction]],
IF(_xlpm.dir="L",
    IF(G3129-Table13[[#This Row],[Steps]]&lt;0,100+(G3129-Table13[[#This Row],[Steps]]),G3129-Table13[[#This Row],[Steps]]),
))</f>
        <v>0</v>
      </c>
      <c r="F3130">
        <f>_xlfn.LET(_xlpm.dir,Table13[[#This Row],[Direction]],
IF(_xlpm.dir="R",
    IF(G3129+Table13[[#This Row],[Steps]]&gt;99,(G3129+Table13[[#This Row],[Steps]])-100,G3129+Table13[[#This Row],[Steps]]),
))</f>
        <v>21</v>
      </c>
      <c r="G3130">
        <f>IF(Table13[[#This Row],[New Pos L]]&lt;&gt;0,Table13[[#This Row],[New Pos L]],Table13[[#This Row],[New Pos R]])</f>
        <v>21</v>
      </c>
      <c r="H3130">
        <f>IF(AND(Table13[[#This Row],[Direction]]="L",Table13[[#This Row],[Steps]]&gt;G3129,G3129&lt;&gt;0),1,0)</f>
        <v>0</v>
      </c>
      <c r="I3130">
        <f>IF(AND(Table13[[#This Row],[Direction]]="R",(G3129+Table13[[#This Row],[Steps]])&gt;100),1,0)</f>
        <v>0</v>
      </c>
      <c r="J3130">
        <f>IF(Table13[[#This Row],[POS]]=0,1,0)</f>
        <v>0</v>
      </c>
      <c r="K3130">
        <f>SUM(Table13[[#This Row],[prefix]],Table13[[#This Row],[Past zero L]],Table13[[#This Row],[Past Zero R]],Table13[[#This Row],[Is Zero]])</f>
        <v>0</v>
      </c>
    </row>
    <row r="3131" spans="1:11" ht="16" x14ac:dyDescent="0.2">
      <c r="A3131" s="1" t="s">
        <v>704</v>
      </c>
      <c r="B3131" t="str">
        <f>LEFT(Table13[[#This Row],[Input]],1)</f>
        <v>R</v>
      </c>
      <c r="C3131">
        <f>_xlfn.LET(_xlpm.steps,SUBSTITUTE(Table13[[#This Row],[Input]],Table13[[#This Row],[Direction]],""),VALUE(IF(LEN(_xlpm.steps)&gt;2,RIGHT(_xlpm.steps,2),_xlpm.steps)))</f>
        <v>66</v>
      </c>
      <c r="D3131">
        <f>_xlfn.LET(_xlpm.steps,SUBSTITUTE(Table13[[#This Row],[Input]],Table13[[#This Row],[Direction]],""),VALUE(IF(LEN(_xlpm.steps)&gt;2,LEFT(_xlpm.steps,LEN(_xlpm.steps)-2),0)))</f>
        <v>3</v>
      </c>
      <c r="E3131">
        <f>_xlfn.LET(_xlpm.dir,Table13[[#This Row],[Direction]],
IF(_xlpm.dir="L",
    IF(G3130-Table13[[#This Row],[Steps]]&lt;0,100+(G3130-Table13[[#This Row],[Steps]]),G3130-Table13[[#This Row],[Steps]]),
))</f>
        <v>0</v>
      </c>
      <c r="F3131">
        <f>_xlfn.LET(_xlpm.dir,Table13[[#This Row],[Direction]],
IF(_xlpm.dir="R",
    IF(G3130+Table13[[#This Row],[Steps]]&gt;99,(G3130+Table13[[#This Row],[Steps]])-100,G3130+Table13[[#This Row],[Steps]]),
))</f>
        <v>87</v>
      </c>
      <c r="G3131">
        <f>IF(Table13[[#This Row],[New Pos L]]&lt;&gt;0,Table13[[#This Row],[New Pos L]],Table13[[#This Row],[New Pos R]])</f>
        <v>87</v>
      </c>
      <c r="H3131">
        <f>IF(AND(Table13[[#This Row],[Direction]]="L",Table13[[#This Row],[Steps]]&gt;G3130,G3130&lt;&gt;0),1,0)</f>
        <v>0</v>
      </c>
      <c r="I3131">
        <f>IF(AND(Table13[[#This Row],[Direction]]="R",(G3130+Table13[[#This Row],[Steps]])&gt;100),1,0)</f>
        <v>0</v>
      </c>
      <c r="J3131">
        <f>IF(Table13[[#This Row],[POS]]=0,1,0)</f>
        <v>0</v>
      </c>
      <c r="K3131">
        <f>SUM(Table13[[#This Row],[prefix]],Table13[[#This Row],[Past zero L]],Table13[[#This Row],[Past Zero R]],Table13[[#This Row],[Is Zero]])</f>
        <v>3</v>
      </c>
    </row>
    <row r="3132" spans="1:11" ht="16" x14ac:dyDescent="0.2">
      <c r="A3132" s="1" t="s">
        <v>38</v>
      </c>
      <c r="B3132" t="str">
        <f>LEFT(Table13[[#This Row],[Input]],1)</f>
        <v>R</v>
      </c>
      <c r="C3132">
        <f>_xlfn.LET(_xlpm.steps,SUBSTITUTE(Table13[[#This Row],[Input]],Table13[[#This Row],[Direction]],""),VALUE(IF(LEN(_xlpm.steps)&gt;2,RIGHT(_xlpm.steps,2),_xlpm.steps)))</f>
        <v>15</v>
      </c>
      <c r="D3132">
        <f>_xlfn.LET(_xlpm.steps,SUBSTITUTE(Table13[[#This Row],[Input]],Table13[[#This Row],[Direction]],""),VALUE(IF(LEN(_xlpm.steps)&gt;2,LEFT(_xlpm.steps,LEN(_xlpm.steps)-2),0)))</f>
        <v>0</v>
      </c>
      <c r="E3132">
        <f>_xlfn.LET(_xlpm.dir,Table13[[#This Row],[Direction]],
IF(_xlpm.dir="L",
    IF(G3131-Table13[[#This Row],[Steps]]&lt;0,100+(G3131-Table13[[#This Row],[Steps]]),G3131-Table13[[#This Row],[Steps]]),
))</f>
        <v>0</v>
      </c>
      <c r="F3132">
        <f>_xlfn.LET(_xlpm.dir,Table13[[#This Row],[Direction]],
IF(_xlpm.dir="R",
    IF(G3131+Table13[[#This Row],[Steps]]&gt;99,(G3131+Table13[[#This Row],[Steps]])-100,G3131+Table13[[#This Row],[Steps]]),
))</f>
        <v>2</v>
      </c>
      <c r="G3132">
        <f>IF(Table13[[#This Row],[New Pos L]]&lt;&gt;0,Table13[[#This Row],[New Pos L]],Table13[[#This Row],[New Pos R]])</f>
        <v>2</v>
      </c>
      <c r="H3132">
        <f>IF(AND(Table13[[#This Row],[Direction]]="L",Table13[[#This Row],[Steps]]&gt;G3131,G3131&lt;&gt;0),1,0)</f>
        <v>0</v>
      </c>
      <c r="I3132">
        <f>IF(AND(Table13[[#This Row],[Direction]]="R",(G3131+Table13[[#This Row],[Steps]])&gt;100),1,0)</f>
        <v>1</v>
      </c>
      <c r="J3132">
        <f>IF(Table13[[#This Row],[POS]]=0,1,0)</f>
        <v>0</v>
      </c>
      <c r="K3132">
        <f>SUM(Table13[[#This Row],[prefix]],Table13[[#This Row],[Past zero L]],Table13[[#This Row],[Past Zero R]],Table13[[#This Row],[Is Zero]])</f>
        <v>1</v>
      </c>
    </row>
    <row r="3133" spans="1:11" ht="16" x14ac:dyDescent="0.2">
      <c r="A3133" s="1" t="s">
        <v>105</v>
      </c>
      <c r="B3133" t="str">
        <f>LEFT(Table13[[#This Row],[Input]],1)</f>
        <v>R</v>
      </c>
      <c r="C3133">
        <f>_xlfn.LET(_xlpm.steps,SUBSTITUTE(Table13[[#This Row],[Input]],Table13[[#This Row],[Direction]],""),VALUE(IF(LEN(_xlpm.steps)&gt;2,RIGHT(_xlpm.steps,2),_xlpm.steps)))</f>
        <v>98</v>
      </c>
      <c r="D3133">
        <f>_xlfn.LET(_xlpm.steps,SUBSTITUTE(Table13[[#This Row],[Input]],Table13[[#This Row],[Direction]],""),VALUE(IF(LEN(_xlpm.steps)&gt;2,LEFT(_xlpm.steps,LEN(_xlpm.steps)-2),0)))</f>
        <v>0</v>
      </c>
      <c r="E3133">
        <f>_xlfn.LET(_xlpm.dir,Table13[[#This Row],[Direction]],
IF(_xlpm.dir="L",
    IF(G3132-Table13[[#This Row],[Steps]]&lt;0,100+(G3132-Table13[[#This Row],[Steps]]),G3132-Table13[[#This Row],[Steps]]),
))</f>
        <v>0</v>
      </c>
      <c r="F3133">
        <f>_xlfn.LET(_xlpm.dir,Table13[[#This Row],[Direction]],
IF(_xlpm.dir="R",
    IF(G3132+Table13[[#This Row],[Steps]]&gt;99,(G3132+Table13[[#This Row],[Steps]])-100,G3132+Table13[[#This Row],[Steps]]),
))</f>
        <v>0</v>
      </c>
      <c r="G3133">
        <f>IF(Table13[[#This Row],[New Pos L]]&lt;&gt;0,Table13[[#This Row],[New Pos L]],Table13[[#This Row],[New Pos R]])</f>
        <v>0</v>
      </c>
      <c r="H3133">
        <f>IF(AND(Table13[[#This Row],[Direction]]="L",Table13[[#This Row],[Steps]]&gt;G3132,G3132&lt;&gt;0),1,0)</f>
        <v>0</v>
      </c>
      <c r="I3133">
        <f>IF(AND(Table13[[#This Row],[Direction]]="R",(G3132+Table13[[#This Row],[Steps]])&gt;100),1,0)</f>
        <v>0</v>
      </c>
      <c r="J3133">
        <f>IF(Table13[[#This Row],[POS]]=0,1,0)</f>
        <v>1</v>
      </c>
      <c r="K3133">
        <f>SUM(Table13[[#This Row],[prefix]],Table13[[#This Row],[Past zero L]],Table13[[#This Row],[Past Zero R]],Table13[[#This Row],[Is Zero]])</f>
        <v>1</v>
      </c>
    </row>
    <row r="3134" spans="1:11" ht="16" x14ac:dyDescent="0.2">
      <c r="A3134" s="1" t="s">
        <v>4</v>
      </c>
      <c r="B3134" t="str">
        <f>LEFT(Table13[[#This Row],[Input]],1)</f>
        <v>R</v>
      </c>
      <c r="C3134">
        <f>_xlfn.LET(_xlpm.steps,SUBSTITUTE(Table13[[#This Row],[Input]],Table13[[#This Row],[Direction]],""),VALUE(IF(LEN(_xlpm.steps)&gt;2,RIGHT(_xlpm.steps,2),_xlpm.steps)))</f>
        <v>3</v>
      </c>
      <c r="D3134">
        <f>_xlfn.LET(_xlpm.steps,SUBSTITUTE(Table13[[#This Row],[Input]],Table13[[#This Row],[Direction]],""),VALUE(IF(LEN(_xlpm.steps)&gt;2,LEFT(_xlpm.steps,LEN(_xlpm.steps)-2),0)))</f>
        <v>0</v>
      </c>
      <c r="E3134">
        <f>_xlfn.LET(_xlpm.dir,Table13[[#This Row],[Direction]],
IF(_xlpm.dir="L",
    IF(G3133-Table13[[#This Row],[Steps]]&lt;0,100+(G3133-Table13[[#This Row],[Steps]]),G3133-Table13[[#This Row],[Steps]]),
))</f>
        <v>0</v>
      </c>
      <c r="F3134">
        <f>_xlfn.LET(_xlpm.dir,Table13[[#This Row],[Direction]],
IF(_xlpm.dir="R",
    IF(G3133+Table13[[#This Row],[Steps]]&gt;99,(G3133+Table13[[#This Row],[Steps]])-100,G3133+Table13[[#This Row],[Steps]]),
))</f>
        <v>3</v>
      </c>
      <c r="G3134">
        <f>IF(Table13[[#This Row],[New Pos L]]&lt;&gt;0,Table13[[#This Row],[New Pos L]],Table13[[#This Row],[New Pos R]])</f>
        <v>3</v>
      </c>
      <c r="H3134">
        <f>IF(AND(Table13[[#This Row],[Direction]]="L",Table13[[#This Row],[Steps]]&gt;G3133,G3133&lt;&gt;0),1,0)</f>
        <v>0</v>
      </c>
      <c r="I3134">
        <f>IF(AND(Table13[[#This Row],[Direction]]="R",(G3133+Table13[[#This Row],[Steps]])&gt;100),1,0)</f>
        <v>0</v>
      </c>
      <c r="J3134">
        <f>IF(Table13[[#This Row],[POS]]=0,1,0)</f>
        <v>0</v>
      </c>
      <c r="K3134">
        <f>SUM(Table13[[#This Row],[prefix]],Table13[[#This Row],[Past zero L]],Table13[[#This Row],[Past Zero R]],Table13[[#This Row],[Is Zero]])</f>
        <v>0</v>
      </c>
    </row>
    <row r="3135" spans="1:11" ht="16" x14ac:dyDescent="0.2">
      <c r="A3135" s="1" t="s">
        <v>52</v>
      </c>
      <c r="B3135" t="str">
        <f>LEFT(Table13[[#This Row],[Input]],1)</f>
        <v>R</v>
      </c>
      <c r="C3135">
        <f>_xlfn.LET(_xlpm.steps,SUBSTITUTE(Table13[[#This Row],[Input]],Table13[[#This Row],[Direction]],""),VALUE(IF(LEN(_xlpm.steps)&gt;2,RIGHT(_xlpm.steps,2),_xlpm.steps)))</f>
        <v>11</v>
      </c>
      <c r="D3135">
        <f>_xlfn.LET(_xlpm.steps,SUBSTITUTE(Table13[[#This Row],[Input]],Table13[[#This Row],[Direction]],""),VALUE(IF(LEN(_xlpm.steps)&gt;2,LEFT(_xlpm.steps,LEN(_xlpm.steps)-2),0)))</f>
        <v>0</v>
      </c>
      <c r="E3135">
        <f>_xlfn.LET(_xlpm.dir,Table13[[#This Row],[Direction]],
IF(_xlpm.dir="L",
    IF(G3134-Table13[[#This Row],[Steps]]&lt;0,100+(G3134-Table13[[#This Row],[Steps]]),G3134-Table13[[#This Row],[Steps]]),
))</f>
        <v>0</v>
      </c>
      <c r="F3135">
        <f>_xlfn.LET(_xlpm.dir,Table13[[#This Row],[Direction]],
IF(_xlpm.dir="R",
    IF(G3134+Table13[[#This Row],[Steps]]&gt;99,(G3134+Table13[[#This Row],[Steps]])-100,G3134+Table13[[#This Row],[Steps]]),
))</f>
        <v>14</v>
      </c>
      <c r="G3135">
        <f>IF(Table13[[#This Row],[New Pos L]]&lt;&gt;0,Table13[[#This Row],[New Pos L]],Table13[[#This Row],[New Pos R]])</f>
        <v>14</v>
      </c>
      <c r="H3135">
        <f>IF(AND(Table13[[#This Row],[Direction]]="L",Table13[[#This Row],[Steps]]&gt;G3134,G3134&lt;&gt;0),1,0)</f>
        <v>0</v>
      </c>
      <c r="I3135">
        <f>IF(AND(Table13[[#This Row],[Direction]]="R",(G3134+Table13[[#This Row],[Steps]])&gt;100),1,0)</f>
        <v>0</v>
      </c>
      <c r="J3135">
        <f>IF(Table13[[#This Row],[POS]]=0,1,0)</f>
        <v>0</v>
      </c>
      <c r="K3135">
        <f>SUM(Table13[[#This Row],[prefix]],Table13[[#This Row],[Past zero L]],Table13[[#This Row],[Past Zero R]],Table13[[#This Row],[Is Zero]])</f>
        <v>0</v>
      </c>
    </row>
    <row r="3136" spans="1:11" ht="16" x14ac:dyDescent="0.2">
      <c r="A3136" s="1" t="s">
        <v>26</v>
      </c>
      <c r="B3136" t="str">
        <f>LEFT(Table13[[#This Row],[Input]],1)</f>
        <v>R</v>
      </c>
      <c r="C3136">
        <f>_xlfn.LET(_xlpm.steps,SUBSTITUTE(Table13[[#This Row],[Input]],Table13[[#This Row],[Direction]],""),VALUE(IF(LEN(_xlpm.steps)&gt;2,RIGHT(_xlpm.steps,2),_xlpm.steps)))</f>
        <v>6</v>
      </c>
      <c r="D3136">
        <f>_xlfn.LET(_xlpm.steps,SUBSTITUTE(Table13[[#This Row],[Input]],Table13[[#This Row],[Direction]],""),VALUE(IF(LEN(_xlpm.steps)&gt;2,LEFT(_xlpm.steps,LEN(_xlpm.steps)-2),0)))</f>
        <v>0</v>
      </c>
      <c r="E3136">
        <f>_xlfn.LET(_xlpm.dir,Table13[[#This Row],[Direction]],
IF(_xlpm.dir="L",
    IF(G3135-Table13[[#This Row],[Steps]]&lt;0,100+(G3135-Table13[[#This Row],[Steps]]),G3135-Table13[[#This Row],[Steps]]),
))</f>
        <v>0</v>
      </c>
      <c r="F3136">
        <f>_xlfn.LET(_xlpm.dir,Table13[[#This Row],[Direction]],
IF(_xlpm.dir="R",
    IF(G3135+Table13[[#This Row],[Steps]]&gt;99,(G3135+Table13[[#This Row],[Steps]])-100,G3135+Table13[[#This Row],[Steps]]),
))</f>
        <v>20</v>
      </c>
      <c r="G3136">
        <f>IF(Table13[[#This Row],[New Pos L]]&lt;&gt;0,Table13[[#This Row],[New Pos L]],Table13[[#This Row],[New Pos R]])</f>
        <v>20</v>
      </c>
      <c r="H3136">
        <f>IF(AND(Table13[[#This Row],[Direction]]="L",Table13[[#This Row],[Steps]]&gt;G3135,G3135&lt;&gt;0),1,0)</f>
        <v>0</v>
      </c>
      <c r="I3136">
        <f>IF(AND(Table13[[#This Row],[Direction]]="R",(G3135+Table13[[#This Row],[Steps]])&gt;100),1,0)</f>
        <v>0</v>
      </c>
      <c r="J3136">
        <f>IF(Table13[[#This Row],[POS]]=0,1,0)</f>
        <v>0</v>
      </c>
      <c r="K3136">
        <f>SUM(Table13[[#This Row],[prefix]],Table13[[#This Row],[Past zero L]],Table13[[#This Row],[Past Zero R]],Table13[[#This Row],[Is Zero]])</f>
        <v>0</v>
      </c>
    </row>
    <row r="3137" spans="1:11" ht="16" x14ac:dyDescent="0.2">
      <c r="A3137" s="1" t="s">
        <v>705</v>
      </c>
      <c r="B3137" t="str">
        <f>LEFT(Table13[[#This Row],[Input]],1)</f>
        <v>L</v>
      </c>
      <c r="C3137">
        <f>_xlfn.LET(_xlpm.steps,SUBSTITUTE(Table13[[#This Row],[Input]],Table13[[#This Row],[Direction]],""),VALUE(IF(LEN(_xlpm.steps)&gt;2,RIGHT(_xlpm.steps,2),_xlpm.steps)))</f>
        <v>13</v>
      </c>
      <c r="D3137">
        <f>_xlfn.LET(_xlpm.steps,SUBSTITUTE(Table13[[#This Row],[Input]],Table13[[#This Row],[Direction]],""),VALUE(IF(LEN(_xlpm.steps)&gt;2,LEFT(_xlpm.steps,LEN(_xlpm.steps)-2),0)))</f>
        <v>4</v>
      </c>
      <c r="E3137">
        <f>_xlfn.LET(_xlpm.dir,Table13[[#This Row],[Direction]],
IF(_xlpm.dir="L",
    IF(G3136-Table13[[#This Row],[Steps]]&lt;0,100+(G3136-Table13[[#This Row],[Steps]]),G3136-Table13[[#This Row],[Steps]]),
))</f>
        <v>7</v>
      </c>
      <c r="F3137">
        <f>_xlfn.LET(_xlpm.dir,Table13[[#This Row],[Direction]],
IF(_xlpm.dir="R",
    IF(G3136+Table13[[#This Row],[Steps]]&gt;99,(G3136+Table13[[#This Row],[Steps]])-100,G3136+Table13[[#This Row],[Steps]]),
))</f>
        <v>0</v>
      </c>
      <c r="G3137">
        <f>IF(Table13[[#This Row],[New Pos L]]&lt;&gt;0,Table13[[#This Row],[New Pos L]],Table13[[#This Row],[New Pos R]])</f>
        <v>7</v>
      </c>
      <c r="H3137">
        <f>IF(AND(Table13[[#This Row],[Direction]]="L",Table13[[#This Row],[Steps]]&gt;G3136,G3136&lt;&gt;0),1,0)</f>
        <v>0</v>
      </c>
      <c r="I3137">
        <f>IF(AND(Table13[[#This Row],[Direction]]="R",(G3136+Table13[[#This Row],[Steps]])&gt;100),1,0)</f>
        <v>0</v>
      </c>
      <c r="J3137">
        <f>IF(Table13[[#This Row],[POS]]=0,1,0)</f>
        <v>0</v>
      </c>
      <c r="K3137">
        <f>SUM(Table13[[#This Row],[prefix]],Table13[[#This Row],[Past zero L]],Table13[[#This Row],[Past Zero R]],Table13[[#This Row],[Is Zero]])</f>
        <v>4</v>
      </c>
    </row>
    <row r="3138" spans="1:11" ht="16" x14ac:dyDescent="0.2">
      <c r="A3138" s="1" t="s">
        <v>264</v>
      </c>
      <c r="B3138" t="str">
        <f>LEFT(Table13[[#This Row],[Input]],1)</f>
        <v>L</v>
      </c>
      <c r="C3138">
        <f>_xlfn.LET(_xlpm.steps,SUBSTITUTE(Table13[[#This Row],[Input]],Table13[[#This Row],[Direction]],""),VALUE(IF(LEN(_xlpm.steps)&gt;2,RIGHT(_xlpm.steps,2),_xlpm.steps)))</f>
        <v>21</v>
      </c>
      <c r="D3138">
        <f>_xlfn.LET(_xlpm.steps,SUBSTITUTE(Table13[[#This Row],[Input]],Table13[[#This Row],[Direction]],""),VALUE(IF(LEN(_xlpm.steps)&gt;2,LEFT(_xlpm.steps,LEN(_xlpm.steps)-2),0)))</f>
        <v>0</v>
      </c>
      <c r="E3138">
        <f>_xlfn.LET(_xlpm.dir,Table13[[#This Row],[Direction]],
IF(_xlpm.dir="L",
    IF(G3137-Table13[[#This Row],[Steps]]&lt;0,100+(G3137-Table13[[#This Row],[Steps]]),G3137-Table13[[#This Row],[Steps]]),
))</f>
        <v>86</v>
      </c>
      <c r="F3138">
        <f>_xlfn.LET(_xlpm.dir,Table13[[#This Row],[Direction]],
IF(_xlpm.dir="R",
    IF(G3137+Table13[[#This Row],[Steps]]&gt;99,(G3137+Table13[[#This Row],[Steps]])-100,G3137+Table13[[#This Row],[Steps]]),
))</f>
        <v>0</v>
      </c>
      <c r="G3138">
        <f>IF(Table13[[#This Row],[New Pos L]]&lt;&gt;0,Table13[[#This Row],[New Pos L]],Table13[[#This Row],[New Pos R]])</f>
        <v>86</v>
      </c>
      <c r="H3138">
        <f>IF(AND(Table13[[#This Row],[Direction]]="L",Table13[[#This Row],[Steps]]&gt;G3137,G3137&lt;&gt;0),1,0)</f>
        <v>1</v>
      </c>
      <c r="I3138">
        <f>IF(AND(Table13[[#This Row],[Direction]]="R",(G3137+Table13[[#This Row],[Steps]])&gt;100),1,0)</f>
        <v>0</v>
      </c>
      <c r="J3138">
        <f>IF(Table13[[#This Row],[POS]]=0,1,0)</f>
        <v>0</v>
      </c>
      <c r="K3138">
        <f>SUM(Table13[[#This Row],[prefix]],Table13[[#This Row],[Past zero L]],Table13[[#This Row],[Past Zero R]],Table13[[#This Row],[Is Zero]])</f>
        <v>1</v>
      </c>
    </row>
    <row r="3139" spans="1:11" ht="16" x14ac:dyDescent="0.2">
      <c r="A3139" s="1" t="s">
        <v>7</v>
      </c>
      <c r="B3139" t="str">
        <f>LEFT(Table13[[#This Row],[Input]],1)</f>
        <v>R</v>
      </c>
      <c r="C3139">
        <f>_xlfn.LET(_xlpm.steps,SUBSTITUTE(Table13[[#This Row],[Input]],Table13[[#This Row],[Direction]],""),VALUE(IF(LEN(_xlpm.steps)&gt;2,RIGHT(_xlpm.steps,2),_xlpm.steps)))</f>
        <v>14</v>
      </c>
      <c r="D3139">
        <f>_xlfn.LET(_xlpm.steps,SUBSTITUTE(Table13[[#This Row],[Input]],Table13[[#This Row],[Direction]],""),VALUE(IF(LEN(_xlpm.steps)&gt;2,LEFT(_xlpm.steps,LEN(_xlpm.steps)-2),0)))</f>
        <v>0</v>
      </c>
      <c r="E3139">
        <f>_xlfn.LET(_xlpm.dir,Table13[[#This Row],[Direction]],
IF(_xlpm.dir="L",
    IF(G3138-Table13[[#This Row],[Steps]]&lt;0,100+(G3138-Table13[[#This Row],[Steps]]),G3138-Table13[[#This Row],[Steps]]),
))</f>
        <v>0</v>
      </c>
      <c r="F3139">
        <f>_xlfn.LET(_xlpm.dir,Table13[[#This Row],[Direction]],
IF(_xlpm.dir="R",
    IF(G3138+Table13[[#This Row],[Steps]]&gt;99,(G3138+Table13[[#This Row],[Steps]])-100,G3138+Table13[[#This Row],[Steps]]),
))</f>
        <v>0</v>
      </c>
      <c r="G3139">
        <f>IF(Table13[[#This Row],[New Pos L]]&lt;&gt;0,Table13[[#This Row],[New Pos L]],Table13[[#This Row],[New Pos R]])</f>
        <v>0</v>
      </c>
      <c r="H3139">
        <f>IF(AND(Table13[[#This Row],[Direction]]="L",Table13[[#This Row],[Steps]]&gt;G3138,G3138&lt;&gt;0),1,0)</f>
        <v>0</v>
      </c>
      <c r="I3139">
        <f>IF(AND(Table13[[#This Row],[Direction]]="R",(G3138+Table13[[#This Row],[Steps]])&gt;100),1,0)</f>
        <v>0</v>
      </c>
      <c r="J3139">
        <f>IF(Table13[[#This Row],[POS]]=0,1,0)</f>
        <v>1</v>
      </c>
      <c r="K3139">
        <f>SUM(Table13[[#This Row],[prefix]],Table13[[#This Row],[Past zero L]],Table13[[#This Row],[Past Zero R]],Table13[[#This Row],[Is Zero]])</f>
        <v>1</v>
      </c>
    </row>
    <row r="3140" spans="1:11" ht="16" x14ac:dyDescent="0.2">
      <c r="A3140" s="1" t="s">
        <v>216</v>
      </c>
      <c r="B3140" t="str">
        <f>LEFT(Table13[[#This Row],[Input]],1)</f>
        <v>R</v>
      </c>
      <c r="C3140">
        <f>_xlfn.LET(_xlpm.steps,SUBSTITUTE(Table13[[#This Row],[Input]],Table13[[#This Row],[Direction]],""),VALUE(IF(LEN(_xlpm.steps)&gt;2,RIGHT(_xlpm.steps,2),_xlpm.steps)))</f>
        <v>54</v>
      </c>
      <c r="D3140">
        <f>_xlfn.LET(_xlpm.steps,SUBSTITUTE(Table13[[#This Row],[Input]],Table13[[#This Row],[Direction]],""),VALUE(IF(LEN(_xlpm.steps)&gt;2,LEFT(_xlpm.steps,LEN(_xlpm.steps)-2),0)))</f>
        <v>0</v>
      </c>
      <c r="E3140">
        <f>_xlfn.LET(_xlpm.dir,Table13[[#This Row],[Direction]],
IF(_xlpm.dir="L",
    IF(G3139-Table13[[#This Row],[Steps]]&lt;0,100+(G3139-Table13[[#This Row],[Steps]]),G3139-Table13[[#This Row],[Steps]]),
))</f>
        <v>0</v>
      </c>
      <c r="F3140">
        <f>_xlfn.LET(_xlpm.dir,Table13[[#This Row],[Direction]],
IF(_xlpm.dir="R",
    IF(G3139+Table13[[#This Row],[Steps]]&gt;99,(G3139+Table13[[#This Row],[Steps]])-100,G3139+Table13[[#This Row],[Steps]]),
))</f>
        <v>54</v>
      </c>
      <c r="G3140">
        <f>IF(Table13[[#This Row],[New Pos L]]&lt;&gt;0,Table13[[#This Row],[New Pos L]],Table13[[#This Row],[New Pos R]])</f>
        <v>54</v>
      </c>
      <c r="H3140">
        <f>IF(AND(Table13[[#This Row],[Direction]]="L",Table13[[#This Row],[Steps]]&gt;G3139,G3139&lt;&gt;0),1,0)</f>
        <v>0</v>
      </c>
      <c r="I3140">
        <f>IF(AND(Table13[[#This Row],[Direction]]="R",(G3139+Table13[[#This Row],[Steps]])&gt;100),1,0)</f>
        <v>0</v>
      </c>
      <c r="J3140">
        <f>IF(Table13[[#This Row],[POS]]=0,1,0)</f>
        <v>0</v>
      </c>
      <c r="K3140">
        <f>SUM(Table13[[#This Row],[prefix]],Table13[[#This Row],[Past zero L]],Table13[[#This Row],[Past Zero R]],Table13[[#This Row],[Is Zero]])</f>
        <v>0</v>
      </c>
    </row>
    <row r="3141" spans="1:11" ht="16" x14ac:dyDescent="0.2">
      <c r="A3141" s="1" t="s">
        <v>137</v>
      </c>
      <c r="B3141" t="str">
        <f>LEFT(Table13[[#This Row],[Input]],1)</f>
        <v>R</v>
      </c>
      <c r="C3141">
        <f>_xlfn.LET(_xlpm.steps,SUBSTITUTE(Table13[[#This Row],[Input]],Table13[[#This Row],[Direction]],""),VALUE(IF(LEN(_xlpm.steps)&gt;2,RIGHT(_xlpm.steps,2),_xlpm.steps)))</f>
        <v>28</v>
      </c>
      <c r="D3141">
        <f>_xlfn.LET(_xlpm.steps,SUBSTITUTE(Table13[[#This Row],[Input]],Table13[[#This Row],[Direction]],""),VALUE(IF(LEN(_xlpm.steps)&gt;2,LEFT(_xlpm.steps,LEN(_xlpm.steps)-2),0)))</f>
        <v>0</v>
      </c>
      <c r="E3141">
        <f>_xlfn.LET(_xlpm.dir,Table13[[#This Row],[Direction]],
IF(_xlpm.dir="L",
    IF(G3140-Table13[[#This Row],[Steps]]&lt;0,100+(G3140-Table13[[#This Row],[Steps]]),G3140-Table13[[#This Row],[Steps]]),
))</f>
        <v>0</v>
      </c>
      <c r="F3141">
        <f>_xlfn.LET(_xlpm.dir,Table13[[#This Row],[Direction]],
IF(_xlpm.dir="R",
    IF(G3140+Table13[[#This Row],[Steps]]&gt;99,(G3140+Table13[[#This Row],[Steps]])-100,G3140+Table13[[#This Row],[Steps]]),
))</f>
        <v>82</v>
      </c>
      <c r="G3141">
        <f>IF(Table13[[#This Row],[New Pos L]]&lt;&gt;0,Table13[[#This Row],[New Pos L]],Table13[[#This Row],[New Pos R]])</f>
        <v>82</v>
      </c>
      <c r="H3141">
        <f>IF(AND(Table13[[#This Row],[Direction]]="L",Table13[[#This Row],[Steps]]&gt;G3140,G3140&lt;&gt;0),1,0)</f>
        <v>0</v>
      </c>
      <c r="I3141">
        <f>IF(AND(Table13[[#This Row],[Direction]]="R",(G3140+Table13[[#This Row],[Steps]])&gt;100),1,0)</f>
        <v>0</v>
      </c>
      <c r="J3141">
        <f>IF(Table13[[#This Row],[POS]]=0,1,0)</f>
        <v>0</v>
      </c>
      <c r="K3141">
        <f>SUM(Table13[[#This Row],[prefix]],Table13[[#This Row],[Past zero L]],Table13[[#This Row],[Past Zero R]],Table13[[#This Row],[Is Zero]])</f>
        <v>0</v>
      </c>
    </row>
    <row r="3142" spans="1:11" ht="16" x14ac:dyDescent="0.2">
      <c r="A3142" s="1" t="s">
        <v>77</v>
      </c>
      <c r="B3142" t="str">
        <f>LEFT(Table13[[#This Row],[Input]],1)</f>
        <v>R</v>
      </c>
      <c r="C3142">
        <f>_xlfn.LET(_xlpm.steps,SUBSTITUTE(Table13[[#This Row],[Input]],Table13[[#This Row],[Direction]],""),VALUE(IF(LEN(_xlpm.steps)&gt;2,RIGHT(_xlpm.steps,2),_xlpm.steps)))</f>
        <v>74</v>
      </c>
      <c r="D3142">
        <f>_xlfn.LET(_xlpm.steps,SUBSTITUTE(Table13[[#This Row],[Input]],Table13[[#This Row],[Direction]],""),VALUE(IF(LEN(_xlpm.steps)&gt;2,LEFT(_xlpm.steps,LEN(_xlpm.steps)-2),0)))</f>
        <v>0</v>
      </c>
      <c r="E3142">
        <f>_xlfn.LET(_xlpm.dir,Table13[[#This Row],[Direction]],
IF(_xlpm.dir="L",
    IF(G3141-Table13[[#This Row],[Steps]]&lt;0,100+(G3141-Table13[[#This Row],[Steps]]),G3141-Table13[[#This Row],[Steps]]),
))</f>
        <v>0</v>
      </c>
      <c r="F3142">
        <f>_xlfn.LET(_xlpm.dir,Table13[[#This Row],[Direction]],
IF(_xlpm.dir="R",
    IF(G3141+Table13[[#This Row],[Steps]]&gt;99,(G3141+Table13[[#This Row],[Steps]])-100,G3141+Table13[[#This Row],[Steps]]),
))</f>
        <v>56</v>
      </c>
      <c r="G3142">
        <f>IF(Table13[[#This Row],[New Pos L]]&lt;&gt;0,Table13[[#This Row],[New Pos L]],Table13[[#This Row],[New Pos R]])</f>
        <v>56</v>
      </c>
      <c r="H3142">
        <f>IF(AND(Table13[[#This Row],[Direction]]="L",Table13[[#This Row],[Steps]]&gt;G3141,G3141&lt;&gt;0),1,0)</f>
        <v>0</v>
      </c>
      <c r="I3142">
        <f>IF(AND(Table13[[#This Row],[Direction]]="R",(G3141+Table13[[#This Row],[Steps]])&gt;100),1,0)</f>
        <v>1</v>
      </c>
      <c r="J3142">
        <f>IF(Table13[[#This Row],[POS]]=0,1,0)</f>
        <v>0</v>
      </c>
      <c r="K3142">
        <f>SUM(Table13[[#This Row],[prefix]],Table13[[#This Row],[Past zero L]],Table13[[#This Row],[Past Zero R]],Table13[[#This Row],[Is Zero]])</f>
        <v>1</v>
      </c>
    </row>
    <row r="3143" spans="1:11" ht="16" x14ac:dyDescent="0.2">
      <c r="A3143" s="1" t="s">
        <v>3</v>
      </c>
      <c r="B3143" t="str">
        <f>LEFT(Table13[[#This Row],[Input]],1)</f>
        <v>R</v>
      </c>
      <c r="C3143">
        <f>_xlfn.LET(_xlpm.steps,SUBSTITUTE(Table13[[#This Row],[Input]],Table13[[#This Row],[Direction]],""),VALUE(IF(LEN(_xlpm.steps)&gt;2,RIGHT(_xlpm.steps,2),_xlpm.steps)))</f>
        <v>44</v>
      </c>
      <c r="D3143">
        <f>_xlfn.LET(_xlpm.steps,SUBSTITUTE(Table13[[#This Row],[Input]],Table13[[#This Row],[Direction]],""),VALUE(IF(LEN(_xlpm.steps)&gt;2,LEFT(_xlpm.steps,LEN(_xlpm.steps)-2),0)))</f>
        <v>0</v>
      </c>
      <c r="E3143">
        <f>_xlfn.LET(_xlpm.dir,Table13[[#This Row],[Direction]],
IF(_xlpm.dir="L",
    IF(G3142-Table13[[#This Row],[Steps]]&lt;0,100+(G3142-Table13[[#This Row],[Steps]]),G3142-Table13[[#This Row],[Steps]]),
))</f>
        <v>0</v>
      </c>
      <c r="F3143">
        <f>_xlfn.LET(_xlpm.dir,Table13[[#This Row],[Direction]],
IF(_xlpm.dir="R",
    IF(G3142+Table13[[#This Row],[Steps]]&gt;99,(G3142+Table13[[#This Row],[Steps]])-100,G3142+Table13[[#This Row],[Steps]]),
))</f>
        <v>0</v>
      </c>
      <c r="G3143">
        <f>IF(Table13[[#This Row],[New Pos L]]&lt;&gt;0,Table13[[#This Row],[New Pos L]],Table13[[#This Row],[New Pos R]])</f>
        <v>0</v>
      </c>
      <c r="H3143">
        <f>IF(AND(Table13[[#This Row],[Direction]]="L",Table13[[#This Row],[Steps]]&gt;G3142,G3142&lt;&gt;0),1,0)</f>
        <v>0</v>
      </c>
      <c r="I3143">
        <f>IF(AND(Table13[[#This Row],[Direction]]="R",(G3142+Table13[[#This Row],[Steps]])&gt;100),1,0)</f>
        <v>0</v>
      </c>
      <c r="J3143">
        <f>IF(Table13[[#This Row],[POS]]=0,1,0)</f>
        <v>1</v>
      </c>
      <c r="K3143">
        <f>SUM(Table13[[#This Row],[prefix]],Table13[[#This Row],[Past zero L]],Table13[[#This Row],[Past Zero R]],Table13[[#This Row],[Is Zero]])</f>
        <v>1</v>
      </c>
    </row>
    <row r="3144" spans="1:11" ht="16" x14ac:dyDescent="0.2">
      <c r="A3144" s="1" t="s">
        <v>76</v>
      </c>
      <c r="B3144" t="str">
        <f>LEFT(Table13[[#This Row],[Input]],1)</f>
        <v>R</v>
      </c>
      <c r="C3144">
        <f>_xlfn.LET(_xlpm.steps,SUBSTITUTE(Table13[[#This Row],[Input]],Table13[[#This Row],[Direction]],""),VALUE(IF(LEN(_xlpm.steps)&gt;2,RIGHT(_xlpm.steps,2),_xlpm.steps)))</f>
        <v>37</v>
      </c>
      <c r="D3144">
        <f>_xlfn.LET(_xlpm.steps,SUBSTITUTE(Table13[[#This Row],[Input]],Table13[[#This Row],[Direction]],""),VALUE(IF(LEN(_xlpm.steps)&gt;2,LEFT(_xlpm.steps,LEN(_xlpm.steps)-2),0)))</f>
        <v>0</v>
      </c>
      <c r="E3144">
        <f>_xlfn.LET(_xlpm.dir,Table13[[#This Row],[Direction]],
IF(_xlpm.dir="L",
    IF(G3143-Table13[[#This Row],[Steps]]&lt;0,100+(G3143-Table13[[#This Row],[Steps]]),G3143-Table13[[#This Row],[Steps]]),
))</f>
        <v>0</v>
      </c>
      <c r="F3144">
        <f>_xlfn.LET(_xlpm.dir,Table13[[#This Row],[Direction]],
IF(_xlpm.dir="R",
    IF(G3143+Table13[[#This Row],[Steps]]&gt;99,(G3143+Table13[[#This Row],[Steps]])-100,G3143+Table13[[#This Row],[Steps]]),
))</f>
        <v>37</v>
      </c>
      <c r="G3144">
        <f>IF(Table13[[#This Row],[New Pos L]]&lt;&gt;0,Table13[[#This Row],[New Pos L]],Table13[[#This Row],[New Pos R]])</f>
        <v>37</v>
      </c>
      <c r="H3144">
        <f>IF(AND(Table13[[#This Row],[Direction]]="L",Table13[[#This Row],[Steps]]&gt;G3143,G3143&lt;&gt;0),1,0)</f>
        <v>0</v>
      </c>
      <c r="I3144">
        <f>IF(AND(Table13[[#This Row],[Direction]]="R",(G3143+Table13[[#This Row],[Steps]])&gt;100),1,0)</f>
        <v>0</v>
      </c>
      <c r="J3144">
        <f>IF(Table13[[#This Row],[POS]]=0,1,0)</f>
        <v>0</v>
      </c>
      <c r="K3144">
        <f>SUM(Table13[[#This Row],[prefix]],Table13[[#This Row],[Past zero L]],Table13[[#This Row],[Past Zero R]],Table13[[#This Row],[Is Zero]])</f>
        <v>0</v>
      </c>
    </row>
    <row r="3145" spans="1:11" ht="16" x14ac:dyDescent="0.2">
      <c r="A3145" s="1" t="s">
        <v>12</v>
      </c>
      <c r="B3145" t="str">
        <f>LEFT(Table13[[#This Row],[Input]],1)</f>
        <v>L</v>
      </c>
      <c r="C3145">
        <f>_xlfn.LET(_xlpm.steps,SUBSTITUTE(Table13[[#This Row],[Input]],Table13[[#This Row],[Direction]],""),VALUE(IF(LEN(_xlpm.steps)&gt;2,RIGHT(_xlpm.steps,2),_xlpm.steps)))</f>
        <v>11</v>
      </c>
      <c r="D3145">
        <f>_xlfn.LET(_xlpm.steps,SUBSTITUTE(Table13[[#This Row],[Input]],Table13[[#This Row],[Direction]],""),VALUE(IF(LEN(_xlpm.steps)&gt;2,LEFT(_xlpm.steps,LEN(_xlpm.steps)-2),0)))</f>
        <v>0</v>
      </c>
      <c r="E3145">
        <f>_xlfn.LET(_xlpm.dir,Table13[[#This Row],[Direction]],
IF(_xlpm.dir="L",
    IF(G3144-Table13[[#This Row],[Steps]]&lt;0,100+(G3144-Table13[[#This Row],[Steps]]),G3144-Table13[[#This Row],[Steps]]),
))</f>
        <v>26</v>
      </c>
      <c r="F3145">
        <f>_xlfn.LET(_xlpm.dir,Table13[[#This Row],[Direction]],
IF(_xlpm.dir="R",
    IF(G3144+Table13[[#This Row],[Steps]]&gt;99,(G3144+Table13[[#This Row],[Steps]])-100,G3144+Table13[[#This Row],[Steps]]),
))</f>
        <v>0</v>
      </c>
      <c r="G3145">
        <f>IF(Table13[[#This Row],[New Pos L]]&lt;&gt;0,Table13[[#This Row],[New Pos L]],Table13[[#This Row],[New Pos R]])</f>
        <v>26</v>
      </c>
      <c r="H3145">
        <f>IF(AND(Table13[[#This Row],[Direction]]="L",Table13[[#This Row],[Steps]]&gt;G3144,G3144&lt;&gt;0),1,0)</f>
        <v>0</v>
      </c>
      <c r="I3145">
        <f>IF(AND(Table13[[#This Row],[Direction]]="R",(G3144+Table13[[#This Row],[Steps]])&gt;100),1,0)</f>
        <v>0</v>
      </c>
      <c r="J3145">
        <f>IF(Table13[[#This Row],[POS]]=0,1,0)</f>
        <v>0</v>
      </c>
      <c r="K3145">
        <f>SUM(Table13[[#This Row],[prefix]],Table13[[#This Row],[Past zero L]],Table13[[#This Row],[Past Zero R]],Table13[[#This Row],[Is Zero]])</f>
        <v>0</v>
      </c>
    </row>
    <row r="3146" spans="1:11" ht="16" x14ac:dyDescent="0.2">
      <c r="A3146" s="1" t="s">
        <v>77</v>
      </c>
      <c r="B3146" t="str">
        <f>LEFT(Table13[[#This Row],[Input]],1)</f>
        <v>R</v>
      </c>
      <c r="C3146">
        <f>_xlfn.LET(_xlpm.steps,SUBSTITUTE(Table13[[#This Row],[Input]],Table13[[#This Row],[Direction]],""),VALUE(IF(LEN(_xlpm.steps)&gt;2,RIGHT(_xlpm.steps,2),_xlpm.steps)))</f>
        <v>74</v>
      </c>
      <c r="D3146">
        <f>_xlfn.LET(_xlpm.steps,SUBSTITUTE(Table13[[#This Row],[Input]],Table13[[#This Row],[Direction]],""),VALUE(IF(LEN(_xlpm.steps)&gt;2,LEFT(_xlpm.steps,LEN(_xlpm.steps)-2),0)))</f>
        <v>0</v>
      </c>
      <c r="E3146">
        <f>_xlfn.LET(_xlpm.dir,Table13[[#This Row],[Direction]],
IF(_xlpm.dir="L",
    IF(G3145-Table13[[#This Row],[Steps]]&lt;0,100+(G3145-Table13[[#This Row],[Steps]]),G3145-Table13[[#This Row],[Steps]]),
))</f>
        <v>0</v>
      </c>
      <c r="F3146">
        <f>_xlfn.LET(_xlpm.dir,Table13[[#This Row],[Direction]],
IF(_xlpm.dir="R",
    IF(G3145+Table13[[#This Row],[Steps]]&gt;99,(G3145+Table13[[#This Row],[Steps]])-100,G3145+Table13[[#This Row],[Steps]]),
))</f>
        <v>0</v>
      </c>
      <c r="G3146">
        <f>IF(Table13[[#This Row],[New Pos L]]&lt;&gt;0,Table13[[#This Row],[New Pos L]],Table13[[#This Row],[New Pos R]])</f>
        <v>0</v>
      </c>
      <c r="H3146">
        <f>IF(AND(Table13[[#This Row],[Direction]]="L",Table13[[#This Row],[Steps]]&gt;G3145,G3145&lt;&gt;0),1,0)</f>
        <v>0</v>
      </c>
      <c r="I3146">
        <f>IF(AND(Table13[[#This Row],[Direction]]="R",(G3145+Table13[[#This Row],[Steps]])&gt;100),1,0)</f>
        <v>0</v>
      </c>
      <c r="J3146">
        <f>IF(Table13[[#This Row],[POS]]=0,1,0)</f>
        <v>1</v>
      </c>
      <c r="K3146">
        <f>SUM(Table13[[#This Row],[prefix]],Table13[[#This Row],[Past zero L]],Table13[[#This Row],[Past Zero R]],Table13[[#This Row],[Is Zero]])</f>
        <v>1</v>
      </c>
    </row>
    <row r="3147" spans="1:11" ht="16" x14ac:dyDescent="0.2">
      <c r="A3147" s="1" t="s">
        <v>52</v>
      </c>
      <c r="B3147" t="str">
        <f>LEFT(Table13[[#This Row],[Input]],1)</f>
        <v>R</v>
      </c>
      <c r="C3147">
        <f>_xlfn.LET(_xlpm.steps,SUBSTITUTE(Table13[[#This Row],[Input]],Table13[[#This Row],[Direction]],""),VALUE(IF(LEN(_xlpm.steps)&gt;2,RIGHT(_xlpm.steps,2),_xlpm.steps)))</f>
        <v>11</v>
      </c>
      <c r="D3147">
        <f>_xlfn.LET(_xlpm.steps,SUBSTITUTE(Table13[[#This Row],[Input]],Table13[[#This Row],[Direction]],""),VALUE(IF(LEN(_xlpm.steps)&gt;2,LEFT(_xlpm.steps,LEN(_xlpm.steps)-2),0)))</f>
        <v>0</v>
      </c>
      <c r="E3147">
        <f>_xlfn.LET(_xlpm.dir,Table13[[#This Row],[Direction]],
IF(_xlpm.dir="L",
    IF(G3146-Table13[[#This Row],[Steps]]&lt;0,100+(G3146-Table13[[#This Row],[Steps]]),G3146-Table13[[#This Row],[Steps]]),
))</f>
        <v>0</v>
      </c>
      <c r="F3147">
        <f>_xlfn.LET(_xlpm.dir,Table13[[#This Row],[Direction]],
IF(_xlpm.dir="R",
    IF(G3146+Table13[[#This Row],[Steps]]&gt;99,(G3146+Table13[[#This Row],[Steps]])-100,G3146+Table13[[#This Row],[Steps]]),
))</f>
        <v>11</v>
      </c>
      <c r="G3147">
        <f>IF(Table13[[#This Row],[New Pos L]]&lt;&gt;0,Table13[[#This Row],[New Pos L]],Table13[[#This Row],[New Pos R]])</f>
        <v>11</v>
      </c>
      <c r="H3147">
        <f>IF(AND(Table13[[#This Row],[Direction]]="L",Table13[[#This Row],[Steps]]&gt;G3146,G3146&lt;&gt;0),1,0)</f>
        <v>0</v>
      </c>
      <c r="I3147">
        <f>IF(AND(Table13[[#This Row],[Direction]]="R",(G3146+Table13[[#This Row],[Steps]])&gt;100),1,0)</f>
        <v>0</v>
      </c>
      <c r="J3147">
        <f>IF(Table13[[#This Row],[POS]]=0,1,0)</f>
        <v>0</v>
      </c>
      <c r="K3147">
        <f>SUM(Table13[[#This Row],[prefix]],Table13[[#This Row],[Past zero L]],Table13[[#This Row],[Past Zero R]],Table13[[#This Row],[Is Zero]])</f>
        <v>0</v>
      </c>
    </row>
    <row r="3148" spans="1:11" ht="16" x14ac:dyDescent="0.2">
      <c r="A3148" s="1" t="s">
        <v>98</v>
      </c>
      <c r="B3148" t="str">
        <f>LEFT(Table13[[#This Row],[Input]],1)</f>
        <v>L</v>
      </c>
      <c r="C3148">
        <f>_xlfn.LET(_xlpm.steps,SUBSTITUTE(Table13[[#This Row],[Input]],Table13[[#This Row],[Direction]],""),VALUE(IF(LEN(_xlpm.steps)&gt;2,RIGHT(_xlpm.steps,2),_xlpm.steps)))</f>
        <v>65</v>
      </c>
      <c r="D3148">
        <f>_xlfn.LET(_xlpm.steps,SUBSTITUTE(Table13[[#This Row],[Input]],Table13[[#This Row],[Direction]],""),VALUE(IF(LEN(_xlpm.steps)&gt;2,LEFT(_xlpm.steps,LEN(_xlpm.steps)-2),0)))</f>
        <v>0</v>
      </c>
      <c r="E3148">
        <f>_xlfn.LET(_xlpm.dir,Table13[[#This Row],[Direction]],
IF(_xlpm.dir="L",
    IF(G3147-Table13[[#This Row],[Steps]]&lt;0,100+(G3147-Table13[[#This Row],[Steps]]),G3147-Table13[[#This Row],[Steps]]),
))</f>
        <v>46</v>
      </c>
      <c r="F3148">
        <f>_xlfn.LET(_xlpm.dir,Table13[[#This Row],[Direction]],
IF(_xlpm.dir="R",
    IF(G3147+Table13[[#This Row],[Steps]]&gt;99,(G3147+Table13[[#This Row],[Steps]])-100,G3147+Table13[[#This Row],[Steps]]),
))</f>
        <v>0</v>
      </c>
      <c r="G3148">
        <f>IF(Table13[[#This Row],[New Pos L]]&lt;&gt;0,Table13[[#This Row],[New Pos L]],Table13[[#This Row],[New Pos R]])</f>
        <v>46</v>
      </c>
      <c r="H3148">
        <f>IF(AND(Table13[[#This Row],[Direction]]="L",Table13[[#This Row],[Steps]]&gt;G3147,G3147&lt;&gt;0),1,0)</f>
        <v>1</v>
      </c>
      <c r="I3148">
        <f>IF(AND(Table13[[#This Row],[Direction]]="R",(G3147+Table13[[#This Row],[Steps]])&gt;100),1,0)</f>
        <v>0</v>
      </c>
      <c r="J3148">
        <f>IF(Table13[[#This Row],[POS]]=0,1,0)</f>
        <v>0</v>
      </c>
      <c r="K3148">
        <f>SUM(Table13[[#This Row],[prefix]],Table13[[#This Row],[Past zero L]],Table13[[#This Row],[Past Zero R]],Table13[[#This Row],[Is Zero]])</f>
        <v>1</v>
      </c>
    </row>
    <row r="3149" spans="1:11" ht="16" x14ac:dyDescent="0.2">
      <c r="A3149" s="1" t="s">
        <v>0</v>
      </c>
      <c r="B3149" t="str">
        <f>LEFT(Table13[[#This Row],[Input]],1)</f>
        <v>L</v>
      </c>
      <c r="C3149">
        <f>_xlfn.LET(_xlpm.steps,SUBSTITUTE(Table13[[#This Row],[Input]],Table13[[#This Row],[Direction]],""),VALUE(IF(LEN(_xlpm.steps)&gt;2,RIGHT(_xlpm.steps,2),_xlpm.steps)))</f>
        <v>44</v>
      </c>
      <c r="D3149">
        <f>_xlfn.LET(_xlpm.steps,SUBSTITUTE(Table13[[#This Row],[Input]],Table13[[#This Row],[Direction]],""),VALUE(IF(LEN(_xlpm.steps)&gt;2,LEFT(_xlpm.steps,LEN(_xlpm.steps)-2),0)))</f>
        <v>0</v>
      </c>
      <c r="E3149">
        <f>_xlfn.LET(_xlpm.dir,Table13[[#This Row],[Direction]],
IF(_xlpm.dir="L",
    IF(G3148-Table13[[#This Row],[Steps]]&lt;0,100+(G3148-Table13[[#This Row],[Steps]]),G3148-Table13[[#This Row],[Steps]]),
))</f>
        <v>2</v>
      </c>
      <c r="F3149">
        <f>_xlfn.LET(_xlpm.dir,Table13[[#This Row],[Direction]],
IF(_xlpm.dir="R",
    IF(G3148+Table13[[#This Row],[Steps]]&gt;99,(G3148+Table13[[#This Row],[Steps]])-100,G3148+Table13[[#This Row],[Steps]]),
))</f>
        <v>0</v>
      </c>
      <c r="G3149">
        <f>IF(Table13[[#This Row],[New Pos L]]&lt;&gt;0,Table13[[#This Row],[New Pos L]],Table13[[#This Row],[New Pos R]])</f>
        <v>2</v>
      </c>
      <c r="H3149">
        <f>IF(AND(Table13[[#This Row],[Direction]]="L",Table13[[#This Row],[Steps]]&gt;G3148,G3148&lt;&gt;0),1,0)</f>
        <v>0</v>
      </c>
      <c r="I3149">
        <f>IF(AND(Table13[[#This Row],[Direction]]="R",(G3148+Table13[[#This Row],[Steps]])&gt;100),1,0)</f>
        <v>0</v>
      </c>
      <c r="J3149">
        <f>IF(Table13[[#This Row],[POS]]=0,1,0)</f>
        <v>0</v>
      </c>
      <c r="K3149">
        <f>SUM(Table13[[#This Row],[prefix]],Table13[[#This Row],[Past zero L]],Table13[[#This Row],[Past Zero R]],Table13[[#This Row],[Is Zero]])</f>
        <v>0</v>
      </c>
    </row>
    <row r="3150" spans="1:11" ht="16" x14ac:dyDescent="0.2">
      <c r="A3150" s="1" t="s">
        <v>60</v>
      </c>
      <c r="B3150" t="str">
        <f>LEFT(Table13[[#This Row],[Input]],1)</f>
        <v>R</v>
      </c>
      <c r="C3150">
        <f>_xlfn.LET(_xlpm.steps,SUBSTITUTE(Table13[[#This Row],[Input]],Table13[[#This Row],[Direction]],""),VALUE(IF(LEN(_xlpm.steps)&gt;2,RIGHT(_xlpm.steps,2),_xlpm.steps)))</f>
        <v>86</v>
      </c>
      <c r="D3150">
        <f>_xlfn.LET(_xlpm.steps,SUBSTITUTE(Table13[[#This Row],[Input]],Table13[[#This Row],[Direction]],""),VALUE(IF(LEN(_xlpm.steps)&gt;2,LEFT(_xlpm.steps,LEN(_xlpm.steps)-2),0)))</f>
        <v>0</v>
      </c>
      <c r="E3150">
        <f>_xlfn.LET(_xlpm.dir,Table13[[#This Row],[Direction]],
IF(_xlpm.dir="L",
    IF(G3149-Table13[[#This Row],[Steps]]&lt;0,100+(G3149-Table13[[#This Row],[Steps]]),G3149-Table13[[#This Row],[Steps]]),
))</f>
        <v>0</v>
      </c>
      <c r="F3150">
        <f>_xlfn.LET(_xlpm.dir,Table13[[#This Row],[Direction]],
IF(_xlpm.dir="R",
    IF(G3149+Table13[[#This Row],[Steps]]&gt;99,(G3149+Table13[[#This Row],[Steps]])-100,G3149+Table13[[#This Row],[Steps]]),
))</f>
        <v>88</v>
      </c>
      <c r="G3150">
        <f>IF(Table13[[#This Row],[New Pos L]]&lt;&gt;0,Table13[[#This Row],[New Pos L]],Table13[[#This Row],[New Pos R]])</f>
        <v>88</v>
      </c>
      <c r="H3150">
        <f>IF(AND(Table13[[#This Row],[Direction]]="L",Table13[[#This Row],[Steps]]&gt;G3149,G3149&lt;&gt;0),1,0)</f>
        <v>0</v>
      </c>
      <c r="I3150">
        <f>IF(AND(Table13[[#This Row],[Direction]]="R",(G3149+Table13[[#This Row],[Steps]])&gt;100),1,0)</f>
        <v>0</v>
      </c>
      <c r="J3150">
        <f>IF(Table13[[#This Row],[POS]]=0,1,0)</f>
        <v>0</v>
      </c>
      <c r="K3150">
        <f>SUM(Table13[[#This Row],[prefix]],Table13[[#This Row],[Past zero L]],Table13[[#This Row],[Past Zero R]],Table13[[#This Row],[Is Zero]])</f>
        <v>0</v>
      </c>
    </row>
    <row r="3151" spans="1:11" ht="16" x14ac:dyDescent="0.2">
      <c r="A3151" s="1" t="s">
        <v>104</v>
      </c>
      <c r="B3151" t="str">
        <f>LEFT(Table13[[#This Row],[Input]],1)</f>
        <v>R</v>
      </c>
      <c r="C3151">
        <f>_xlfn.LET(_xlpm.steps,SUBSTITUTE(Table13[[#This Row],[Input]],Table13[[#This Row],[Direction]],""),VALUE(IF(LEN(_xlpm.steps)&gt;2,RIGHT(_xlpm.steps,2),_xlpm.steps)))</f>
        <v>59</v>
      </c>
      <c r="D3151">
        <f>_xlfn.LET(_xlpm.steps,SUBSTITUTE(Table13[[#This Row],[Input]],Table13[[#This Row],[Direction]],""),VALUE(IF(LEN(_xlpm.steps)&gt;2,LEFT(_xlpm.steps,LEN(_xlpm.steps)-2),0)))</f>
        <v>0</v>
      </c>
      <c r="E3151">
        <f>_xlfn.LET(_xlpm.dir,Table13[[#This Row],[Direction]],
IF(_xlpm.dir="L",
    IF(G3150-Table13[[#This Row],[Steps]]&lt;0,100+(G3150-Table13[[#This Row],[Steps]]),G3150-Table13[[#This Row],[Steps]]),
))</f>
        <v>0</v>
      </c>
      <c r="F3151">
        <f>_xlfn.LET(_xlpm.dir,Table13[[#This Row],[Direction]],
IF(_xlpm.dir="R",
    IF(G3150+Table13[[#This Row],[Steps]]&gt;99,(G3150+Table13[[#This Row],[Steps]])-100,G3150+Table13[[#This Row],[Steps]]),
))</f>
        <v>47</v>
      </c>
      <c r="G3151">
        <f>IF(Table13[[#This Row],[New Pos L]]&lt;&gt;0,Table13[[#This Row],[New Pos L]],Table13[[#This Row],[New Pos R]])</f>
        <v>47</v>
      </c>
      <c r="H3151">
        <f>IF(AND(Table13[[#This Row],[Direction]]="L",Table13[[#This Row],[Steps]]&gt;G3150,G3150&lt;&gt;0),1,0)</f>
        <v>0</v>
      </c>
      <c r="I3151">
        <f>IF(AND(Table13[[#This Row],[Direction]]="R",(G3150+Table13[[#This Row],[Steps]])&gt;100),1,0)</f>
        <v>1</v>
      </c>
      <c r="J3151">
        <f>IF(Table13[[#This Row],[POS]]=0,1,0)</f>
        <v>0</v>
      </c>
      <c r="K3151">
        <f>SUM(Table13[[#This Row],[prefix]],Table13[[#This Row],[Past zero L]],Table13[[#This Row],[Past Zero R]],Table13[[#This Row],[Is Zero]])</f>
        <v>1</v>
      </c>
    </row>
    <row r="3152" spans="1:11" ht="16" x14ac:dyDescent="0.2">
      <c r="A3152" s="1" t="s">
        <v>706</v>
      </c>
      <c r="B3152" t="str">
        <f>LEFT(Table13[[#This Row],[Input]],1)</f>
        <v>L</v>
      </c>
      <c r="C3152">
        <f>_xlfn.LET(_xlpm.steps,SUBSTITUTE(Table13[[#This Row],[Input]],Table13[[#This Row],[Direction]],""),VALUE(IF(LEN(_xlpm.steps)&gt;2,RIGHT(_xlpm.steps,2),_xlpm.steps)))</f>
        <v>5</v>
      </c>
      <c r="D3152">
        <f>_xlfn.LET(_xlpm.steps,SUBSTITUTE(Table13[[#This Row],[Input]],Table13[[#This Row],[Direction]],""),VALUE(IF(LEN(_xlpm.steps)&gt;2,LEFT(_xlpm.steps,LEN(_xlpm.steps)-2),0)))</f>
        <v>1</v>
      </c>
      <c r="E3152">
        <f>_xlfn.LET(_xlpm.dir,Table13[[#This Row],[Direction]],
IF(_xlpm.dir="L",
    IF(G3151-Table13[[#This Row],[Steps]]&lt;0,100+(G3151-Table13[[#This Row],[Steps]]),G3151-Table13[[#This Row],[Steps]]),
))</f>
        <v>42</v>
      </c>
      <c r="F3152">
        <f>_xlfn.LET(_xlpm.dir,Table13[[#This Row],[Direction]],
IF(_xlpm.dir="R",
    IF(G3151+Table13[[#This Row],[Steps]]&gt;99,(G3151+Table13[[#This Row],[Steps]])-100,G3151+Table13[[#This Row],[Steps]]),
))</f>
        <v>0</v>
      </c>
      <c r="G3152">
        <f>IF(Table13[[#This Row],[New Pos L]]&lt;&gt;0,Table13[[#This Row],[New Pos L]],Table13[[#This Row],[New Pos R]])</f>
        <v>42</v>
      </c>
      <c r="H3152">
        <f>IF(AND(Table13[[#This Row],[Direction]]="L",Table13[[#This Row],[Steps]]&gt;G3151,G3151&lt;&gt;0),1,0)</f>
        <v>0</v>
      </c>
      <c r="I3152">
        <f>IF(AND(Table13[[#This Row],[Direction]]="R",(G3151+Table13[[#This Row],[Steps]])&gt;100),1,0)</f>
        <v>0</v>
      </c>
      <c r="J3152">
        <f>IF(Table13[[#This Row],[POS]]=0,1,0)</f>
        <v>0</v>
      </c>
      <c r="K3152">
        <f>SUM(Table13[[#This Row],[prefix]],Table13[[#This Row],[Past zero L]],Table13[[#This Row],[Past Zero R]],Table13[[#This Row],[Is Zero]])</f>
        <v>1</v>
      </c>
    </row>
    <row r="3153" spans="1:11" ht="16" x14ac:dyDescent="0.2">
      <c r="A3153" s="1" t="s">
        <v>40</v>
      </c>
      <c r="B3153" t="str">
        <f>LEFT(Table13[[#This Row],[Input]],1)</f>
        <v>R</v>
      </c>
      <c r="C3153">
        <f>_xlfn.LET(_xlpm.steps,SUBSTITUTE(Table13[[#This Row],[Input]],Table13[[#This Row],[Direction]],""),VALUE(IF(LEN(_xlpm.steps)&gt;2,RIGHT(_xlpm.steps,2),_xlpm.steps)))</f>
        <v>52</v>
      </c>
      <c r="D3153">
        <f>_xlfn.LET(_xlpm.steps,SUBSTITUTE(Table13[[#This Row],[Input]],Table13[[#This Row],[Direction]],""),VALUE(IF(LEN(_xlpm.steps)&gt;2,LEFT(_xlpm.steps,LEN(_xlpm.steps)-2),0)))</f>
        <v>0</v>
      </c>
      <c r="E3153">
        <f>_xlfn.LET(_xlpm.dir,Table13[[#This Row],[Direction]],
IF(_xlpm.dir="L",
    IF(G3152-Table13[[#This Row],[Steps]]&lt;0,100+(G3152-Table13[[#This Row],[Steps]]),G3152-Table13[[#This Row],[Steps]]),
))</f>
        <v>0</v>
      </c>
      <c r="F3153">
        <f>_xlfn.LET(_xlpm.dir,Table13[[#This Row],[Direction]],
IF(_xlpm.dir="R",
    IF(G3152+Table13[[#This Row],[Steps]]&gt;99,(G3152+Table13[[#This Row],[Steps]])-100,G3152+Table13[[#This Row],[Steps]]),
))</f>
        <v>94</v>
      </c>
      <c r="G3153">
        <f>IF(Table13[[#This Row],[New Pos L]]&lt;&gt;0,Table13[[#This Row],[New Pos L]],Table13[[#This Row],[New Pos R]])</f>
        <v>94</v>
      </c>
      <c r="H3153">
        <f>IF(AND(Table13[[#This Row],[Direction]]="L",Table13[[#This Row],[Steps]]&gt;G3152,G3152&lt;&gt;0),1,0)</f>
        <v>0</v>
      </c>
      <c r="I3153">
        <f>IF(AND(Table13[[#This Row],[Direction]]="R",(G3152+Table13[[#This Row],[Steps]])&gt;100),1,0)</f>
        <v>0</v>
      </c>
      <c r="J3153">
        <f>IF(Table13[[#This Row],[POS]]=0,1,0)</f>
        <v>0</v>
      </c>
      <c r="K3153">
        <f>SUM(Table13[[#This Row],[prefix]],Table13[[#This Row],[Past zero L]],Table13[[#This Row],[Past Zero R]],Table13[[#This Row],[Is Zero]])</f>
        <v>0</v>
      </c>
    </row>
    <row r="3154" spans="1:11" ht="16" x14ac:dyDescent="0.2">
      <c r="A3154" s="1" t="s">
        <v>195</v>
      </c>
      <c r="B3154" t="str">
        <f>LEFT(Table13[[#This Row],[Input]],1)</f>
        <v>R</v>
      </c>
      <c r="C3154">
        <f>_xlfn.LET(_xlpm.steps,SUBSTITUTE(Table13[[#This Row],[Input]],Table13[[#This Row],[Direction]],""),VALUE(IF(LEN(_xlpm.steps)&gt;2,RIGHT(_xlpm.steps,2),_xlpm.steps)))</f>
        <v>40</v>
      </c>
      <c r="D3154">
        <f>_xlfn.LET(_xlpm.steps,SUBSTITUTE(Table13[[#This Row],[Input]],Table13[[#This Row],[Direction]],""),VALUE(IF(LEN(_xlpm.steps)&gt;2,LEFT(_xlpm.steps,LEN(_xlpm.steps)-2),0)))</f>
        <v>0</v>
      </c>
      <c r="E3154">
        <f>_xlfn.LET(_xlpm.dir,Table13[[#This Row],[Direction]],
IF(_xlpm.dir="L",
    IF(G3153-Table13[[#This Row],[Steps]]&lt;0,100+(G3153-Table13[[#This Row],[Steps]]),G3153-Table13[[#This Row],[Steps]]),
))</f>
        <v>0</v>
      </c>
      <c r="F3154">
        <f>_xlfn.LET(_xlpm.dir,Table13[[#This Row],[Direction]],
IF(_xlpm.dir="R",
    IF(G3153+Table13[[#This Row],[Steps]]&gt;99,(G3153+Table13[[#This Row],[Steps]])-100,G3153+Table13[[#This Row],[Steps]]),
))</f>
        <v>34</v>
      </c>
      <c r="G3154">
        <f>IF(Table13[[#This Row],[New Pos L]]&lt;&gt;0,Table13[[#This Row],[New Pos L]],Table13[[#This Row],[New Pos R]])</f>
        <v>34</v>
      </c>
      <c r="H3154">
        <f>IF(AND(Table13[[#This Row],[Direction]]="L",Table13[[#This Row],[Steps]]&gt;G3153,G3153&lt;&gt;0),1,0)</f>
        <v>0</v>
      </c>
      <c r="I3154">
        <f>IF(AND(Table13[[#This Row],[Direction]]="R",(G3153+Table13[[#This Row],[Steps]])&gt;100),1,0)</f>
        <v>1</v>
      </c>
      <c r="J3154">
        <f>IF(Table13[[#This Row],[POS]]=0,1,0)</f>
        <v>0</v>
      </c>
      <c r="K3154">
        <f>SUM(Table13[[#This Row],[prefix]],Table13[[#This Row],[Past zero L]],Table13[[#This Row],[Past Zero R]],Table13[[#This Row],[Is Zero]])</f>
        <v>1</v>
      </c>
    </row>
    <row r="3155" spans="1:11" ht="16" x14ac:dyDescent="0.2">
      <c r="A3155" s="1" t="s">
        <v>23</v>
      </c>
      <c r="B3155" t="str">
        <f>LEFT(Table13[[#This Row],[Input]],1)</f>
        <v>L</v>
      </c>
      <c r="C3155">
        <f>_xlfn.LET(_xlpm.steps,SUBSTITUTE(Table13[[#This Row],[Input]],Table13[[#This Row],[Direction]],""),VALUE(IF(LEN(_xlpm.steps)&gt;2,RIGHT(_xlpm.steps,2),_xlpm.steps)))</f>
        <v>8</v>
      </c>
      <c r="D3155">
        <f>_xlfn.LET(_xlpm.steps,SUBSTITUTE(Table13[[#This Row],[Input]],Table13[[#This Row],[Direction]],""),VALUE(IF(LEN(_xlpm.steps)&gt;2,LEFT(_xlpm.steps,LEN(_xlpm.steps)-2),0)))</f>
        <v>0</v>
      </c>
      <c r="E3155">
        <f>_xlfn.LET(_xlpm.dir,Table13[[#This Row],[Direction]],
IF(_xlpm.dir="L",
    IF(G3154-Table13[[#This Row],[Steps]]&lt;0,100+(G3154-Table13[[#This Row],[Steps]]),G3154-Table13[[#This Row],[Steps]]),
))</f>
        <v>26</v>
      </c>
      <c r="F3155">
        <f>_xlfn.LET(_xlpm.dir,Table13[[#This Row],[Direction]],
IF(_xlpm.dir="R",
    IF(G3154+Table13[[#This Row],[Steps]]&gt;99,(G3154+Table13[[#This Row],[Steps]])-100,G3154+Table13[[#This Row],[Steps]]),
))</f>
        <v>0</v>
      </c>
      <c r="G3155">
        <f>IF(Table13[[#This Row],[New Pos L]]&lt;&gt;0,Table13[[#This Row],[New Pos L]],Table13[[#This Row],[New Pos R]])</f>
        <v>26</v>
      </c>
      <c r="H3155">
        <f>IF(AND(Table13[[#This Row],[Direction]]="L",Table13[[#This Row],[Steps]]&gt;G3154,G3154&lt;&gt;0),1,0)</f>
        <v>0</v>
      </c>
      <c r="I3155">
        <f>IF(AND(Table13[[#This Row],[Direction]]="R",(G3154+Table13[[#This Row],[Steps]])&gt;100),1,0)</f>
        <v>0</v>
      </c>
      <c r="J3155">
        <f>IF(Table13[[#This Row],[POS]]=0,1,0)</f>
        <v>0</v>
      </c>
      <c r="K3155">
        <f>SUM(Table13[[#This Row],[prefix]],Table13[[#This Row],[Past zero L]],Table13[[#This Row],[Past Zero R]],Table13[[#This Row],[Is Zero]])</f>
        <v>0</v>
      </c>
    </row>
    <row r="3156" spans="1:11" ht="16" x14ac:dyDescent="0.2">
      <c r="A3156" s="1" t="s">
        <v>77</v>
      </c>
      <c r="B3156" t="str">
        <f>LEFT(Table13[[#This Row],[Input]],1)</f>
        <v>R</v>
      </c>
      <c r="C3156">
        <f>_xlfn.LET(_xlpm.steps,SUBSTITUTE(Table13[[#This Row],[Input]],Table13[[#This Row],[Direction]],""),VALUE(IF(LEN(_xlpm.steps)&gt;2,RIGHT(_xlpm.steps,2),_xlpm.steps)))</f>
        <v>74</v>
      </c>
      <c r="D3156">
        <f>_xlfn.LET(_xlpm.steps,SUBSTITUTE(Table13[[#This Row],[Input]],Table13[[#This Row],[Direction]],""),VALUE(IF(LEN(_xlpm.steps)&gt;2,LEFT(_xlpm.steps,LEN(_xlpm.steps)-2),0)))</f>
        <v>0</v>
      </c>
      <c r="E3156">
        <f>_xlfn.LET(_xlpm.dir,Table13[[#This Row],[Direction]],
IF(_xlpm.dir="L",
    IF(G3155-Table13[[#This Row],[Steps]]&lt;0,100+(G3155-Table13[[#This Row],[Steps]]),G3155-Table13[[#This Row],[Steps]]),
))</f>
        <v>0</v>
      </c>
      <c r="F3156">
        <f>_xlfn.LET(_xlpm.dir,Table13[[#This Row],[Direction]],
IF(_xlpm.dir="R",
    IF(G3155+Table13[[#This Row],[Steps]]&gt;99,(G3155+Table13[[#This Row],[Steps]])-100,G3155+Table13[[#This Row],[Steps]]),
))</f>
        <v>0</v>
      </c>
      <c r="G3156">
        <f>IF(Table13[[#This Row],[New Pos L]]&lt;&gt;0,Table13[[#This Row],[New Pos L]],Table13[[#This Row],[New Pos R]])</f>
        <v>0</v>
      </c>
      <c r="H3156">
        <f>IF(AND(Table13[[#This Row],[Direction]]="L",Table13[[#This Row],[Steps]]&gt;G3155,G3155&lt;&gt;0),1,0)</f>
        <v>0</v>
      </c>
      <c r="I3156">
        <f>IF(AND(Table13[[#This Row],[Direction]]="R",(G3155+Table13[[#This Row],[Steps]])&gt;100),1,0)</f>
        <v>0</v>
      </c>
      <c r="J3156">
        <f>IF(Table13[[#This Row],[POS]]=0,1,0)</f>
        <v>1</v>
      </c>
      <c r="K3156">
        <f>SUM(Table13[[#This Row],[prefix]],Table13[[#This Row],[Past zero L]],Table13[[#This Row],[Past Zero R]],Table13[[#This Row],[Is Zero]])</f>
        <v>1</v>
      </c>
    </row>
    <row r="3157" spans="1:11" ht="16" x14ac:dyDescent="0.2">
      <c r="A3157" s="1" t="s">
        <v>157</v>
      </c>
      <c r="B3157" t="str">
        <f>LEFT(Table13[[#This Row],[Input]],1)</f>
        <v>R</v>
      </c>
      <c r="C3157">
        <f>_xlfn.LET(_xlpm.steps,SUBSTITUTE(Table13[[#This Row],[Input]],Table13[[#This Row],[Direction]],""),VALUE(IF(LEN(_xlpm.steps)&gt;2,RIGHT(_xlpm.steps,2),_xlpm.steps)))</f>
        <v>68</v>
      </c>
      <c r="D3157">
        <f>_xlfn.LET(_xlpm.steps,SUBSTITUTE(Table13[[#This Row],[Input]],Table13[[#This Row],[Direction]],""),VALUE(IF(LEN(_xlpm.steps)&gt;2,LEFT(_xlpm.steps,LEN(_xlpm.steps)-2),0)))</f>
        <v>0</v>
      </c>
      <c r="E3157">
        <f>_xlfn.LET(_xlpm.dir,Table13[[#This Row],[Direction]],
IF(_xlpm.dir="L",
    IF(G3156-Table13[[#This Row],[Steps]]&lt;0,100+(G3156-Table13[[#This Row],[Steps]]),G3156-Table13[[#This Row],[Steps]]),
))</f>
        <v>0</v>
      </c>
      <c r="F3157">
        <f>_xlfn.LET(_xlpm.dir,Table13[[#This Row],[Direction]],
IF(_xlpm.dir="R",
    IF(G3156+Table13[[#This Row],[Steps]]&gt;99,(G3156+Table13[[#This Row],[Steps]])-100,G3156+Table13[[#This Row],[Steps]]),
))</f>
        <v>68</v>
      </c>
      <c r="G3157">
        <f>IF(Table13[[#This Row],[New Pos L]]&lt;&gt;0,Table13[[#This Row],[New Pos L]],Table13[[#This Row],[New Pos R]])</f>
        <v>68</v>
      </c>
      <c r="H3157">
        <f>IF(AND(Table13[[#This Row],[Direction]]="L",Table13[[#This Row],[Steps]]&gt;G3156,G3156&lt;&gt;0),1,0)</f>
        <v>0</v>
      </c>
      <c r="I3157">
        <f>IF(AND(Table13[[#This Row],[Direction]]="R",(G3156+Table13[[#This Row],[Steps]])&gt;100),1,0)</f>
        <v>0</v>
      </c>
      <c r="J3157">
        <f>IF(Table13[[#This Row],[POS]]=0,1,0)</f>
        <v>0</v>
      </c>
      <c r="K3157">
        <f>SUM(Table13[[#This Row],[prefix]],Table13[[#This Row],[Past zero L]],Table13[[#This Row],[Past Zero R]],Table13[[#This Row],[Is Zero]])</f>
        <v>0</v>
      </c>
    </row>
    <row r="3158" spans="1:11" ht="16" x14ac:dyDescent="0.2">
      <c r="A3158" s="1" t="s">
        <v>707</v>
      </c>
      <c r="B3158" t="str">
        <f>LEFT(Table13[[#This Row],[Input]],1)</f>
        <v>R</v>
      </c>
      <c r="C3158">
        <f>_xlfn.LET(_xlpm.steps,SUBSTITUTE(Table13[[#This Row],[Input]],Table13[[#This Row],[Direction]],""),VALUE(IF(LEN(_xlpm.steps)&gt;2,RIGHT(_xlpm.steps,2),_xlpm.steps)))</f>
        <v>32</v>
      </c>
      <c r="D3158">
        <f>_xlfn.LET(_xlpm.steps,SUBSTITUTE(Table13[[#This Row],[Input]],Table13[[#This Row],[Direction]],""),VALUE(IF(LEN(_xlpm.steps)&gt;2,LEFT(_xlpm.steps,LEN(_xlpm.steps)-2),0)))</f>
        <v>5</v>
      </c>
      <c r="E3158">
        <f>_xlfn.LET(_xlpm.dir,Table13[[#This Row],[Direction]],
IF(_xlpm.dir="L",
    IF(G3157-Table13[[#This Row],[Steps]]&lt;0,100+(G3157-Table13[[#This Row],[Steps]]),G3157-Table13[[#This Row],[Steps]]),
))</f>
        <v>0</v>
      </c>
      <c r="F3158">
        <f>_xlfn.LET(_xlpm.dir,Table13[[#This Row],[Direction]],
IF(_xlpm.dir="R",
    IF(G3157+Table13[[#This Row],[Steps]]&gt;99,(G3157+Table13[[#This Row],[Steps]])-100,G3157+Table13[[#This Row],[Steps]]),
))</f>
        <v>0</v>
      </c>
      <c r="G3158">
        <f>IF(Table13[[#This Row],[New Pos L]]&lt;&gt;0,Table13[[#This Row],[New Pos L]],Table13[[#This Row],[New Pos R]])</f>
        <v>0</v>
      </c>
      <c r="H3158">
        <f>IF(AND(Table13[[#This Row],[Direction]]="L",Table13[[#This Row],[Steps]]&gt;G3157,G3157&lt;&gt;0),1,0)</f>
        <v>0</v>
      </c>
      <c r="I3158">
        <f>IF(AND(Table13[[#This Row],[Direction]]="R",(G3157+Table13[[#This Row],[Steps]])&gt;100),1,0)</f>
        <v>0</v>
      </c>
      <c r="J3158">
        <f>IF(Table13[[#This Row],[POS]]=0,1,0)</f>
        <v>1</v>
      </c>
      <c r="K3158">
        <f>SUM(Table13[[#This Row],[prefix]],Table13[[#This Row],[Past zero L]],Table13[[#This Row],[Past Zero R]],Table13[[#This Row],[Is Zero]])</f>
        <v>6</v>
      </c>
    </row>
    <row r="3159" spans="1:11" ht="16" x14ac:dyDescent="0.2">
      <c r="A3159" s="1" t="s">
        <v>708</v>
      </c>
      <c r="B3159" t="str">
        <f>LEFT(Table13[[#This Row],[Input]],1)</f>
        <v>R</v>
      </c>
      <c r="C3159">
        <f>_xlfn.LET(_xlpm.steps,SUBSTITUTE(Table13[[#This Row],[Input]],Table13[[#This Row],[Direction]],""),VALUE(IF(LEN(_xlpm.steps)&gt;2,RIGHT(_xlpm.steps,2),_xlpm.steps)))</f>
        <v>96</v>
      </c>
      <c r="D3159">
        <f>_xlfn.LET(_xlpm.steps,SUBSTITUTE(Table13[[#This Row],[Input]],Table13[[#This Row],[Direction]],""),VALUE(IF(LEN(_xlpm.steps)&gt;2,LEFT(_xlpm.steps,LEN(_xlpm.steps)-2),0)))</f>
        <v>4</v>
      </c>
      <c r="E3159">
        <f>_xlfn.LET(_xlpm.dir,Table13[[#This Row],[Direction]],
IF(_xlpm.dir="L",
    IF(G3158-Table13[[#This Row],[Steps]]&lt;0,100+(G3158-Table13[[#This Row],[Steps]]),G3158-Table13[[#This Row],[Steps]]),
))</f>
        <v>0</v>
      </c>
      <c r="F3159">
        <f>_xlfn.LET(_xlpm.dir,Table13[[#This Row],[Direction]],
IF(_xlpm.dir="R",
    IF(G3158+Table13[[#This Row],[Steps]]&gt;99,(G3158+Table13[[#This Row],[Steps]])-100,G3158+Table13[[#This Row],[Steps]]),
))</f>
        <v>96</v>
      </c>
      <c r="G3159">
        <f>IF(Table13[[#This Row],[New Pos L]]&lt;&gt;0,Table13[[#This Row],[New Pos L]],Table13[[#This Row],[New Pos R]])</f>
        <v>96</v>
      </c>
      <c r="H3159">
        <f>IF(AND(Table13[[#This Row],[Direction]]="L",Table13[[#This Row],[Steps]]&gt;G3158,G3158&lt;&gt;0),1,0)</f>
        <v>0</v>
      </c>
      <c r="I3159">
        <f>IF(AND(Table13[[#This Row],[Direction]]="R",(G3158+Table13[[#This Row],[Steps]])&gt;100),1,0)</f>
        <v>0</v>
      </c>
      <c r="J3159">
        <f>IF(Table13[[#This Row],[POS]]=0,1,0)</f>
        <v>0</v>
      </c>
      <c r="K3159">
        <f>SUM(Table13[[#This Row],[prefix]],Table13[[#This Row],[Past zero L]],Table13[[#This Row],[Past Zero R]],Table13[[#This Row],[Is Zero]])</f>
        <v>4</v>
      </c>
    </row>
    <row r="3160" spans="1:11" ht="16" x14ac:dyDescent="0.2">
      <c r="A3160" s="1" t="s">
        <v>181</v>
      </c>
      <c r="B3160" t="str">
        <f>LEFT(Table13[[#This Row],[Input]],1)</f>
        <v>L</v>
      </c>
      <c r="C3160">
        <f>_xlfn.LET(_xlpm.steps,SUBSTITUTE(Table13[[#This Row],[Input]],Table13[[#This Row],[Direction]],""),VALUE(IF(LEN(_xlpm.steps)&gt;2,RIGHT(_xlpm.steps,2),_xlpm.steps)))</f>
        <v>53</v>
      </c>
      <c r="D3160">
        <f>_xlfn.LET(_xlpm.steps,SUBSTITUTE(Table13[[#This Row],[Input]],Table13[[#This Row],[Direction]],""),VALUE(IF(LEN(_xlpm.steps)&gt;2,LEFT(_xlpm.steps,LEN(_xlpm.steps)-2),0)))</f>
        <v>0</v>
      </c>
      <c r="E3160">
        <f>_xlfn.LET(_xlpm.dir,Table13[[#This Row],[Direction]],
IF(_xlpm.dir="L",
    IF(G3159-Table13[[#This Row],[Steps]]&lt;0,100+(G3159-Table13[[#This Row],[Steps]]),G3159-Table13[[#This Row],[Steps]]),
))</f>
        <v>43</v>
      </c>
      <c r="F3160">
        <f>_xlfn.LET(_xlpm.dir,Table13[[#This Row],[Direction]],
IF(_xlpm.dir="R",
    IF(G3159+Table13[[#This Row],[Steps]]&gt;99,(G3159+Table13[[#This Row],[Steps]])-100,G3159+Table13[[#This Row],[Steps]]),
))</f>
        <v>0</v>
      </c>
      <c r="G3160">
        <f>IF(Table13[[#This Row],[New Pos L]]&lt;&gt;0,Table13[[#This Row],[New Pos L]],Table13[[#This Row],[New Pos R]])</f>
        <v>43</v>
      </c>
      <c r="H3160">
        <f>IF(AND(Table13[[#This Row],[Direction]]="L",Table13[[#This Row],[Steps]]&gt;G3159,G3159&lt;&gt;0),1,0)</f>
        <v>0</v>
      </c>
      <c r="I3160">
        <f>IF(AND(Table13[[#This Row],[Direction]]="R",(G3159+Table13[[#This Row],[Steps]])&gt;100),1,0)</f>
        <v>0</v>
      </c>
      <c r="J3160">
        <f>IF(Table13[[#This Row],[POS]]=0,1,0)</f>
        <v>0</v>
      </c>
      <c r="K3160">
        <f>SUM(Table13[[#This Row],[prefix]],Table13[[#This Row],[Past zero L]],Table13[[#This Row],[Past Zero R]],Table13[[#This Row],[Is Zero]])</f>
        <v>0</v>
      </c>
    </row>
    <row r="3161" spans="1:11" ht="16" x14ac:dyDescent="0.2">
      <c r="A3161" s="1" t="s">
        <v>63</v>
      </c>
      <c r="B3161" t="str">
        <f>LEFT(Table13[[#This Row],[Input]],1)</f>
        <v>R</v>
      </c>
      <c r="C3161">
        <f>_xlfn.LET(_xlpm.steps,SUBSTITUTE(Table13[[#This Row],[Input]],Table13[[#This Row],[Direction]],""),VALUE(IF(LEN(_xlpm.steps)&gt;2,RIGHT(_xlpm.steps,2),_xlpm.steps)))</f>
        <v>57</v>
      </c>
      <c r="D3161">
        <f>_xlfn.LET(_xlpm.steps,SUBSTITUTE(Table13[[#This Row],[Input]],Table13[[#This Row],[Direction]],""),VALUE(IF(LEN(_xlpm.steps)&gt;2,LEFT(_xlpm.steps,LEN(_xlpm.steps)-2),0)))</f>
        <v>0</v>
      </c>
      <c r="E3161">
        <f>_xlfn.LET(_xlpm.dir,Table13[[#This Row],[Direction]],
IF(_xlpm.dir="L",
    IF(G3160-Table13[[#This Row],[Steps]]&lt;0,100+(G3160-Table13[[#This Row],[Steps]]),G3160-Table13[[#This Row],[Steps]]),
))</f>
        <v>0</v>
      </c>
      <c r="F3161">
        <f>_xlfn.LET(_xlpm.dir,Table13[[#This Row],[Direction]],
IF(_xlpm.dir="R",
    IF(G3160+Table13[[#This Row],[Steps]]&gt;99,(G3160+Table13[[#This Row],[Steps]])-100,G3160+Table13[[#This Row],[Steps]]),
))</f>
        <v>0</v>
      </c>
      <c r="G3161">
        <f>IF(Table13[[#This Row],[New Pos L]]&lt;&gt;0,Table13[[#This Row],[New Pos L]],Table13[[#This Row],[New Pos R]])</f>
        <v>0</v>
      </c>
      <c r="H3161">
        <f>IF(AND(Table13[[#This Row],[Direction]]="L",Table13[[#This Row],[Steps]]&gt;G3160,G3160&lt;&gt;0),1,0)</f>
        <v>0</v>
      </c>
      <c r="I3161">
        <f>IF(AND(Table13[[#This Row],[Direction]]="R",(G3160+Table13[[#This Row],[Steps]])&gt;100),1,0)</f>
        <v>0</v>
      </c>
      <c r="J3161">
        <f>IF(Table13[[#This Row],[POS]]=0,1,0)</f>
        <v>1</v>
      </c>
      <c r="K3161">
        <f>SUM(Table13[[#This Row],[prefix]],Table13[[#This Row],[Past zero L]],Table13[[#This Row],[Past Zero R]],Table13[[#This Row],[Is Zero]])</f>
        <v>1</v>
      </c>
    </row>
    <row r="3162" spans="1:11" ht="16" x14ac:dyDescent="0.2">
      <c r="A3162" s="1" t="s">
        <v>205</v>
      </c>
      <c r="B3162" t="str">
        <f>LEFT(Table13[[#This Row],[Input]],1)</f>
        <v>R</v>
      </c>
      <c r="C3162">
        <f>_xlfn.LET(_xlpm.steps,SUBSTITUTE(Table13[[#This Row],[Input]],Table13[[#This Row],[Direction]],""),VALUE(IF(LEN(_xlpm.steps)&gt;2,RIGHT(_xlpm.steps,2),_xlpm.steps)))</f>
        <v>83</v>
      </c>
      <c r="D3162">
        <f>_xlfn.LET(_xlpm.steps,SUBSTITUTE(Table13[[#This Row],[Input]],Table13[[#This Row],[Direction]],""),VALUE(IF(LEN(_xlpm.steps)&gt;2,LEFT(_xlpm.steps,LEN(_xlpm.steps)-2),0)))</f>
        <v>0</v>
      </c>
      <c r="E3162">
        <f>_xlfn.LET(_xlpm.dir,Table13[[#This Row],[Direction]],
IF(_xlpm.dir="L",
    IF(G3161-Table13[[#This Row],[Steps]]&lt;0,100+(G3161-Table13[[#This Row],[Steps]]),G3161-Table13[[#This Row],[Steps]]),
))</f>
        <v>0</v>
      </c>
      <c r="F3162">
        <f>_xlfn.LET(_xlpm.dir,Table13[[#This Row],[Direction]],
IF(_xlpm.dir="R",
    IF(G3161+Table13[[#This Row],[Steps]]&gt;99,(G3161+Table13[[#This Row],[Steps]])-100,G3161+Table13[[#This Row],[Steps]]),
))</f>
        <v>83</v>
      </c>
      <c r="G3162">
        <f>IF(Table13[[#This Row],[New Pos L]]&lt;&gt;0,Table13[[#This Row],[New Pos L]],Table13[[#This Row],[New Pos R]])</f>
        <v>83</v>
      </c>
      <c r="H3162">
        <f>IF(AND(Table13[[#This Row],[Direction]]="L",Table13[[#This Row],[Steps]]&gt;G3161,G3161&lt;&gt;0),1,0)</f>
        <v>0</v>
      </c>
      <c r="I3162">
        <f>IF(AND(Table13[[#This Row],[Direction]]="R",(G3161+Table13[[#This Row],[Steps]])&gt;100),1,0)</f>
        <v>0</v>
      </c>
      <c r="J3162">
        <f>IF(Table13[[#This Row],[POS]]=0,1,0)</f>
        <v>0</v>
      </c>
      <c r="K3162">
        <f>SUM(Table13[[#This Row],[prefix]],Table13[[#This Row],[Past zero L]],Table13[[#This Row],[Past Zero R]],Table13[[#This Row],[Is Zero]])</f>
        <v>0</v>
      </c>
    </row>
    <row r="3163" spans="1:11" ht="16" x14ac:dyDescent="0.2">
      <c r="A3163" s="1" t="s">
        <v>145</v>
      </c>
      <c r="B3163" t="str">
        <f>LEFT(Table13[[#This Row],[Input]],1)</f>
        <v>L</v>
      </c>
      <c r="C3163">
        <f>_xlfn.LET(_xlpm.steps,SUBSTITUTE(Table13[[#This Row],[Input]],Table13[[#This Row],[Direction]],""),VALUE(IF(LEN(_xlpm.steps)&gt;2,RIGHT(_xlpm.steps,2),_xlpm.steps)))</f>
        <v>83</v>
      </c>
      <c r="D3163">
        <f>_xlfn.LET(_xlpm.steps,SUBSTITUTE(Table13[[#This Row],[Input]],Table13[[#This Row],[Direction]],""),VALUE(IF(LEN(_xlpm.steps)&gt;2,LEFT(_xlpm.steps,LEN(_xlpm.steps)-2),0)))</f>
        <v>0</v>
      </c>
      <c r="E3163">
        <f>_xlfn.LET(_xlpm.dir,Table13[[#This Row],[Direction]],
IF(_xlpm.dir="L",
    IF(G3162-Table13[[#This Row],[Steps]]&lt;0,100+(G3162-Table13[[#This Row],[Steps]]),G3162-Table13[[#This Row],[Steps]]),
))</f>
        <v>0</v>
      </c>
      <c r="F3163">
        <f>_xlfn.LET(_xlpm.dir,Table13[[#This Row],[Direction]],
IF(_xlpm.dir="R",
    IF(G3162+Table13[[#This Row],[Steps]]&gt;99,(G3162+Table13[[#This Row],[Steps]])-100,G3162+Table13[[#This Row],[Steps]]),
))</f>
        <v>0</v>
      </c>
      <c r="G3163">
        <f>IF(Table13[[#This Row],[New Pos L]]&lt;&gt;0,Table13[[#This Row],[New Pos L]],Table13[[#This Row],[New Pos R]])</f>
        <v>0</v>
      </c>
      <c r="H3163">
        <f>IF(AND(Table13[[#This Row],[Direction]]="L",Table13[[#This Row],[Steps]]&gt;G3162,G3162&lt;&gt;0),1,0)</f>
        <v>0</v>
      </c>
      <c r="I3163">
        <f>IF(AND(Table13[[#This Row],[Direction]]="R",(G3162+Table13[[#This Row],[Steps]])&gt;100),1,0)</f>
        <v>0</v>
      </c>
      <c r="J3163">
        <f>IF(Table13[[#This Row],[POS]]=0,1,0)</f>
        <v>1</v>
      </c>
      <c r="K3163">
        <f>SUM(Table13[[#This Row],[prefix]],Table13[[#This Row],[Past zero L]],Table13[[#This Row],[Past Zero R]],Table13[[#This Row],[Is Zero]])</f>
        <v>1</v>
      </c>
    </row>
    <row r="3164" spans="1:11" ht="16" x14ac:dyDescent="0.2">
      <c r="A3164" s="1" t="s">
        <v>59</v>
      </c>
      <c r="B3164" t="str">
        <f>LEFT(Table13[[#This Row],[Input]],1)</f>
        <v>L</v>
      </c>
      <c r="C3164">
        <f>_xlfn.LET(_xlpm.steps,SUBSTITUTE(Table13[[#This Row],[Input]],Table13[[#This Row],[Direction]],""),VALUE(IF(LEN(_xlpm.steps)&gt;2,RIGHT(_xlpm.steps,2),_xlpm.steps)))</f>
        <v>6</v>
      </c>
      <c r="D3164">
        <f>_xlfn.LET(_xlpm.steps,SUBSTITUTE(Table13[[#This Row],[Input]],Table13[[#This Row],[Direction]],""),VALUE(IF(LEN(_xlpm.steps)&gt;2,LEFT(_xlpm.steps,LEN(_xlpm.steps)-2),0)))</f>
        <v>0</v>
      </c>
      <c r="E3164">
        <f>_xlfn.LET(_xlpm.dir,Table13[[#This Row],[Direction]],
IF(_xlpm.dir="L",
    IF(G3163-Table13[[#This Row],[Steps]]&lt;0,100+(G3163-Table13[[#This Row],[Steps]]),G3163-Table13[[#This Row],[Steps]]),
))</f>
        <v>94</v>
      </c>
      <c r="F3164">
        <f>_xlfn.LET(_xlpm.dir,Table13[[#This Row],[Direction]],
IF(_xlpm.dir="R",
    IF(G3163+Table13[[#This Row],[Steps]]&gt;99,(G3163+Table13[[#This Row],[Steps]])-100,G3163+Table13[[#This Row],[Steps]]),
))</f>
        <v>0</v>
      </c>
      <c r="G3164">
        <f>IF(Table13[[#This Row],[New Pos L]]&lt;&gt;0,Table13[[#This Row],[New Pos L]],Table13[[#This Row],[New Pos R]])</f>
        <v>94</v>
      </c>
      <c r="H3164">
        <f>IF(AND(Table13[[#This Row],[Direction]]="L",Table13[[#This Row],[Steps]]&gt;G3163,G3163&lt;&gt;0),1,0)</f>
        <v>0</v>
      </c>
      <c r="I3164">
        <f>IF(AND(Table13[[#This Row],[Direction]]="R",(G3163+Table13[[#This Row],[Steps]])&gt;100),1,0)</f>
        <v>0</v>
      </c>
      <c r="J3164">
        <f>IF(Table13[[#This Row],[POS]]=0,1,0)</f>
        <v>0</v>
      </c>
      <c r="K3164">
        <f>SUM(Table13[[#This Row],[prefix]],Table13[[#This Row],[Past zero L]],Table13[[#This Row],[Past Zero R]],Table13[[#This Row],[Is Zero]])</f>
        <v>0</v>
      </c>
    </row>
    <row r="3165" spans="1:11" ht="16" x14ac:dyDescent="0.2">
      <c r="A3165" s="1" t="s">
        <v>8</v>
      </c>
      <c r="B3165" t="str">
        <f>LEFT(Table13[[#This Row],[Input]],1)</f>
        <v>R</v>
      </c>
      <c r="C3165">
        <f>_xlfn.LET(_xlpm.steps,SUBSTITUTE(Table13[[#This Row],[Input]],Table13[[#This Row],[Direction]],""),VALUE(IF(LEN(_xlpm.steps)&gt;2,RIGHT(_xlpm.steps,2),_xlpm.steps)))</f>
        <v>18</v>
      </c>
      <c r="D3165">
        <f>_xlfn.LET(_xlpm.steps,SUBSTITUTE(Table13[[#This Row],[Input]],Table13[[#This Row],[Direction]],""),VALUE(IF(LEN(_xlpm.steps)&gt;2,LEFT(_xlpm.steps,LEN(_xlpm.steps)-2),0)))</f>
        <v>0</v>
      </c>
      <c r="E3165">
        <f>_xlfn.LET(_xlpm.dir,Table13[[#This Row],[Direction]],
IF(_xlpm.dir="L",
    IF(G3164-Table13[[#This Row],[Steps]]&lt;0,100+(G3164-Table13[[#This Row],[Steps]]),G3164-Table13[[#This Row],[Steps]]),
))</f>
        <v>0</v>
      </c>
      <c r="F3165">
        <f>_xlfn.LET(_xlpm.dir,Table13[[#This Row],[Direction]],
IF(_xlpm.dir="R",
    IF(G3164+Table13[[#This Row],[Steps]]&gt;99,(G3164+Table13[[#This Row],[Steps]])-100,G3164+Table13[[#This Row],[Steps]]),
))</f>
        <v>12</v>
      </c>
      <c r="G3165">
        <f>IF(Table13[[#This Row],[New Pos L]]&lt;&gt;0,Table13[[#This Row],[New Pos L]],Table13[[#This Row],[New Pos R]])</f>
        <v>12</v>
      </c>
      <c r="H3165">
        <f>IF(AND(Table13[[#This Row],[Direction]]="L",Table13[[#This Row],[Steps]]&gt;G3164,G3164&lt;&gt;0),1,0)</f>
        <v>0</v>
      </c>
      <c r="I3165">
        <f>IF(AND(Table13[[#This Row],[Direction]]="R",(G3164+Table13[[#This Row],[Steps]])&gt;100),1,0)</f>
        <v>1</v>
      </c>
      <c r="J3165">
        <f>IF(Table13[[#This Row],[POS]]=0,1,0)</f>
        <v>0</v>
      </c>
      <c r="K3165">
        <f>SUM(Table13[[#This Row],[prefix]],Table13[[#This Row],[Past zero L]],Table13[[#This Row],[Past Zero R]],Table13[[#This Row],[Is Zero]])</f>
        <v>1</v>
      </c>
    </row>
    <row r="3166" spans="1:11" ht="16" x14ac:dyDescent="0.2">
      <c r="A3166" s="1" t="s">
        <v>193</v>
      </c>
      <c r="B3166" t="str">
        <f>LEFT(Table13[[#This Row],[Input]],1)</f>
        <v>L</v>
      </c>
      <c r="C3166">
        <f>_xlfn.LET(_xlpm.steps,SUBSTITUTE(Table13[[#This Row],[Input]],Table13[[#This Row],[Direction]],""),VALUE(IF(LEN(_xlpm.steps)&gt;2,RIGHT(_xlpm.steps,2),_xlpm.steps)))</f>
        <v>12</v>
      </c>
      <c r="D3166">
        <f>_xlfn.LET(_xlpm.steps,SUBSTITUTE(Table13[[#This Row],[Input]],Table13[[#This Row],[Direction]],""),VALUE(IF(LEN(_xlpm.steps)&gt;2,LEFT(_xlpm.steps,LEN(_xlpm.steps)-2),0)))</f>
        <v>0</v>
      </c>
      <c r="E3166">
        <f>_xlfn.LET(_xlpm.dir,Table13[[#This Row],[Direction]],
IF(_xlpm.dir="L",
    IF(G3165-Table13[[#This Row],[Steps]]&lt;0,100+(G3165-Table13[[#This Row],[Steps]]),G3165-Table13[[#This Row],[Steps]]),
))</f>
        <v>0</v>
      </c>
      <c r="F3166">
        <f>_xlfn.LET(_xlpm.dir,Table13[[#This Row],[Direction]],
IF(_xlpm.dir="R",
    IF(G3165+Table13[[#This Row],[Steps]]&gt;99,(G3165+Table13[[#This Row],[Steps]])-100,G3165+Table13[[#This Row],[Steps]]),
))</f>
        <v>0</v>
      </c>
      <c r="G3166">
        <f>IF(Table13[[#This Row],[New Pos L]]&lt;&gt;0,Table13[[#This Row],[New Pos L]],Table13[[#This Row],[New Pos R]])</f>
        <v>0</v>
      </c>
      <c r="H3166">
        <f>IF(AND(Table13[[#This Row],[Direction]]="L",Table13[[#This Row],[Steps]]&gt;G3165,G3165&lt;&gt;0),1,0)</f>
        <v>0</v>
      </c>
      <c r="I3166">
        <f>IF(AND(Table13[[#This Row],[Direction]]="R",(G3165+Table13[[#This Row],[Steps]])&gt;100),1,0)</f>
        <v>0</v>
      </c>
      <c r="J3166">
        <f>IF(Table13[[#This Row],[POS]]=0,1,0)</f>
        <v>1</v>
      </c>
      <c r="K3166">
        <f>SUM(Table13[[#This Row],[prefix]],Table13[[#This Row],[Past zero L]],Table13[[#This Row],[Past Zero R]],Table13[[#This Row],[Is Zero]])</f>
        <v>1</v>
      </c>
    </row>
    <row r="3167" spans="1:11" ht="16" x14ac:dyDescent="0.2">
      <c r="A3167" s="1" t="s">
        <v>6</v>
      </c>
      <c r="B3167" t="str">
        <f>LEFT(Table13[[#This Row],[Input]],1)</f>
        <v>R</v>
      </c>
      <c r="C3167">
        <f>_xlfn.LET(_xlpm.steps,SUBSTITUTE(Table13[[#This Row],[Input]],Table13[[#This Row],[Direction]],""),VALUE(IF(LEN(_xlpm.steps)&gt;2,RIGHT(_xlpm.steps,2),_xlpm.steps)))</f>
        <v>49</v>
      </c>
      <c r="D3167">
        <f>_xlfn.LET(_xlpm.steps,SUBSTITUTE(Table13[[#This Row],[Input]],Table13[[#This Row],[Direction]],""),VALUE(IF(LEN(_xlpm.steps)&gt;2,LEFT(_xlpm.steps,LEN(_xlpm.steps)-2),0)))</f>
        <v>0</v>
      </c>
      <c r="E3167">
        <f>_xlfn.LET(_xlpm.dir,Table13[[#This Row],[Direction]],
IF(_xlpm.dir="L",
    IF(G3166-Table13[[#This Row],[Steps]]&lt;0,100+(G3166-Table13[[#This Row],[Steps]]),G3166-Table13[[#This Row],[Steps]]),
))</f>
        <v>0</v>
      </c>
      <c r="F3167">
        <f>_xlfn.LET(_xlpm.dir,Table13[[#This Row],[Direction]],
IF(_xlpm.dir="R",
    IF(G3166+Table13[[#This Row],[Steps]]&gt;99,(G3166+Table13[[#This Row],[Steps]])-100,G3166+Table13[[#This Row],[Steps]]),
))</f>
        <v>49</v>
      </c>
      <c r="G3167">
        <f>IF(Table13[[#This Row],[New Pos L]]&lt;&gt;0,Table13[[#This Row],[New Pos L]],Table13[[#This Row],[New Pos R]])</f>
        <v>49</v>
      </c>
      <c r="H3167">
        <f>IF(AND(Table13[[#This Row],[Direction]]="L",Table13[[#This Row],[Steps]]&gt;G3166,G3166&lt;&gt;0),1,0)</f>
        <v>0</v>
      </c>
      <c r="I3167">
        <f>IF(AND(Table13[[#This Row],[Direction]]="R",(G3166+Table13[[#This Row],[Steps]])&gt;100),1,0)</f>
        <v>0</v>
      </c>
      <c r="J3167">
        <f>IF(Table13[[#This Row],[POS]]=0,1,0)</f>
        <v>0</v>
      </c>
      <c r="K3167">
        <f>SUM(Table13[[#This Row],[prefix]],Table13[[#This Row],[Past zero L]],Table13[[#This Row],[Past Zero R]],Table13[[#This Row],[Is Zero]])</f>
        <v>0</v>
      </c>
    </row>
    <row r="3168" spans="1:11" ht="16" x14ac:dyDescent="0.2">
      <c r="A3168" s="1" t="s">
        <v>295</v>
      </c>
      <c r="B3168" t="str">
        <f>LEFT(Table13[[#This Row],[Input]],1)</f>
        <v>L</v>
      </c>
      <c r="C3168">
        <f>_xlfn.LET(_xlpm.steps,SUBSTITUTE(Table13[[#This Row],[Input]],Table13[[#This Row],[Direction]],""),VALUE(IF(LEN(_xlpm.steps)&gt;2,RIGHT(_xlpm.steps,2),_xlpm.steps)))</f>
        <v>88</v>
      </c>
      <c r="D3168">
        <f>_xlfn.LET(_xlpm.steps,SUBSTITUTE(Table13[[#This Row],[Input]],Table13[[#This Row],[Direction]],""),VALUE(IF(LEN(_xlpm.steps)&gt;2,LEFT(_xlpm.steps,LEN(_xlpm.steps)-2),0)))</f>
        <v>0</v>
      </c>
      <c r="E3168">
        <f>_xlfn.LET(_xlpm.dir,Table13[[#This Row],[Direction]],
IF(_xlpm.dir="L",
    IF(G3167-Table13[[#This Row],[Steps]]&lt;0,100+(G3167-Table13[[#This Row],[Steps]]),G3167-Table13[[#This Row],[Steps]]),
))</f>
        <v>61</v>
      </c>
      <c r="F3168">
        <f>_xlfn.LET(_xlpm.dir,Table13[[#This Row],[Direction]],
IF(_xlpm.dir="R",
    IF(G3167+Table13[[#This Row],[Steps]]&gt;99,(G3167+Table13[[#This Row],[Steps]])-100,G3167+Table13[[#This Row],[Steps]]),
))</f>
        <v>0</v>
      </c>
      <c r="G3168">
        <f>IF(Table13[[#This Row],[New Pos L]]&lt;&gt;0,Table13[[#This Row],[New Pos L]],Table13[[#This Row],[New Pos R]])</f>
        <v>61</v>
      </c>
      <c r="H3168">
        <f>IF(AND(Table13[[#This Row],[Direction]]="L",Table13[[#This Row],[Steps]]&gt;G3167,G3167&lt;&gt;0),1,0)</f>
        <v>1</v>
      </c>
      <c r="I3168">
        <f>IF(AND(Table13[[#This Row],[Direction]]="R",(G3167+Table13[[#This Row],[Steps]])&gt;100),1,0)</f>
        <v>0</v>
      </c>
      <c r="J3168">
        <f>IF(Table13[[#This Row],[POS]]=0,1,0)</f>
        <v>0</v>
      </c>
      <c r="K3168">
        <f>SUM(Table13[[#This Row],[prefix]],Table13[[#This Row],[Past zero L]],Table13[[#This Row],[Past Zero R]],Table13[[#This Row],[Is Zero]])</f>
        <v>1</v>
      </c>
    </row>
    <row r="3169" spans="1:11" ht="16" x14ac:dyDescent="0.2">
      <c r="A3169" s="1" t="s">
        <v>102</v>
      </c>
      <c r="B3169" t="str">
        <f>LEFT(Table13[[#This Row],[Input]],1)</f>
        <v>R</v>
      </c>
      <c r="C3169">
        <f>_xlfn.LET(_xlpm.steps,SUBSTITUTE(Table13[[#This Row],[Input]],Table13[[#This Row],[Direction]],""),VALUE(IF(LEN(_xlpm.steps)&gt;2,RIGHT(_xlpm.steps,2),_xlpm.steps)))</f>
        <v>39</v>
      </c>
      <c r="D3169">
        <f>_xlfn.LET(_xlpm.steps,SUBSTITUTE(Table13[[#This Row],[Input]],Table13[[#This Row],[Direction]],""),VALUE(IF(LEN(_xlpm.steps)&gt;2,LEFT(_xlpm.steps,LEN(_xlpm.steps)-2),0)))</f>
        <v>0</v>
      </c>
      <c r="E3169">
        <f>_xlfn.LET(_xlpm.dir,Table13[[#This Row],[Direction]],
IF(_xlpm.dir="L",
    IF(G3168-Table13[[#This Row],[Steps]]&lt;0,100+(G3168-Table13[[#This Row],[Steps]]),G3168-Table13[[#This Row],[Steps]]),
))</f>
        <v>0</v>
      </c>
      <c r="F3169">
        <f>_xlfn.LET(_xlpm.dir,Table13[[#This Row],[Direction]],
IF(_xlpm.dir="R",
    IF(G3168+Table13[[#This Row],[Steps]]&gt;99,(G3168+Table13[[#This Row],[Steps]])-100,G3168+Table13[[#This Row],[Steps]]),
))</f>
        <v>0</v>
      </c>
      <c r="G3169">
        <f>IF(Table13[[#This Row],[New Pos L]]&lt;&gt;0,Table13[[#This Row],[New Pos L]],Table13[[#This Row],[New Pos R]])</f>
        <v>0</v>
      </c>
      <c r="H3169">
        <f>IF(AND(Table13[[#This Row],[Direction]]="L",Table13[[#This Row],[Steps]]&gt;G3168,G3168&lt;&gt;0),1,0)</f>
        <v>0</v>
      </c>
      <c r="I3169">
        <f>IF(AND(Table13[[#This Row],[Direction]]="R",(G3168+Table13[[#This Row],[Steps]])&gt;100),1,0)</f>
        <v>0</v>
      </c>
      <c r="J3169">
        <f>IF(Table13[[#This Row],[POS]]=0,1,0)</f>
        <v>1</v>
      </c>
      <c r="K3169">
        <f>SUM(Table13[[#This Row],[prefix]],Table13[[#This Row],[Past zero L]],Table13[[#This Row],[Past Zero R]],Table13[[#This Row],[Is Zero]])</f>
        <v>1</v>
      </c>
    </row>
    <row r="3170" spans="1:11" ht="16" x14ac:dyDescent="0.2">
      <c r="A3170" s="1" t="s">
        <v>709</v>
      </c>
      <c r="B3170" t="str">
        <f>LEFT(Table13[[#This Row],[Input]],1)</f>
        <v>R</v>
      </c>
      <c r="C3170">
        <f>_xlfn.LET(_xlpm.steps,SUBSTITUTE(Table13[[#This Row],[Input]],Table13[[#This Row],[Direction]],""),VALUE(IF(LEN(_xlpm.steps)&gt;2,RIGHT(_xlpm.steps,2),_xlpm.steps)))</f>
        <v>87</v>
      </c>
      <c r="D3170">
        <f>_xlfn.LET(_xlpm.steps,SUBSTITUTE(Table13[[#This Row],[Input]],Table13[[#This Row],[Direction]],""),VALUE(IF(LEN(_xlpm.steps)&gt;2,LEFT(_xlpm.steps,LEN(_xlpm.steps)-2),0)))</f>
        <v>3</v>
      </c>
      <c r="E3170">
        <f>_xlfn.LET(_xlpm.dir,Table13[[#This Row],[Direction]],
IF(_xlpm.dir="L",
    IF(G3169-Table13[[#This Row],[Steps]]&lt;0,100+(G3169-Table13[[#This Row],[Steps]]),G3169-Table13[[#This Row],[Steps]]),
))</f>
        <v>0</v>
      </c>
      <c r="F3170">
        <f>_xlfn.LET(_xlpm.dir,Table13[[#This Row],[Direction]],
IF(_xlpm.dir="R",
    IF(G3169+Table13[[#This Row],[Steps]]&gt;99,(G3169+Table13[[#This Row],[Steps]])-100,G3169+Table13[[#This Row],[Steps]]),
))</f>
        <v>87</v>
      </c>
      <c r="G3170">
        <f>IF(Table13[[#This Row],[New Pos L]]&lt;&gt;0,Table13[[#This Row],[New Pos L]],Table13[[#This Row],[New Pos R]])</f>
        <v>87</v>
      </c>
      <c r="H3170">
        <f>IF(AND(Table13[[#This Row],[Direction]]="L",Table13[[#This Row],[Steps]]&gt;G3169,G3169&lt;&gt;0),1,0)</f>
        <v>0</v>
      </c>
      <c r="I3170">
        <f>IF(AND(Table13[[#This Row],[Direction]]="R",(G3169+Table13[[#This Row],[Steps]])&gt;100),1,0)</f>
        <v>0</v>
      </c>
      <c r="J3170">
        <f>IF(Table13[[#This Row],[POS]]=0,1,0)</f>
        <v>0</v>
      </c>
      <c r="K3170">
        <f>SUM(Table13[[#This Row],[prefix]],Table13[[#This Row],[Past zero L]],Table13[[#This Row],[Past Zero R]],Table13[[#This Row],[Is Zero]])</f>
        <v>3</v>
      </c>
    </row>
    <row r="3171" spans="1:11" ht="16" x14ac:dyDescent="0.2">
      <c r="A3171" s="1" t="s">
        <v>132</v>
      </c>
      <c r="B3171" t="str">
        <f>LEFT(Table13[[#This Row],[Input]],1)</f>
        <v>L</v>
      </c>
      <c r="C3171">
        <f>_xlfn.LET(_xlpm.steps,SUBSTITUTE(Table13[[#This Row],[Input]],Table13[[#This Row],[Direction]],""),VALUE(IF(LEN(_xlpm.steps)&gt;2,RIGHT(_xlpm.steps,2),_xlpm.steps)))</f>
        <v>51</v>
      </c>
      <c r="D3171">
        <f>_xlfn.LET(_xlpm.steps,SUBSTITUTE(Table13[[#This Row],[Input]],Table13[[#This Row],[Direction]],""),VALUE(IF(LEN(_xlpm.steps)&gt;2,LEFT(_xlpm.steps,LEN(_xlpm.steps)-2),0)))</f>
        <v>0</v>
      </c>
      <c r="E3171">
        <f>_xlfn.LET(_xlpm.dir,Table13[[#This Row],[Direction]],
IF(_xlpm.dir="L",
    IF(G3170-Table13[[#This Row],[Steps]]&lt;0,100+(G3170-Table13[[#This Row],[Steps]]),G3170-Table13[[#This Row],[Steps]]),
))</f>
        <v>36</v>
      </c>
      <c r="F3171">
        <f>_xlfn.LET(_xlpm.dir,Table13[[#This Row],[Direction]],
IF(_xlpm.dir="R",
    IF(G3170+Table13[[#This Row],[Steps]]&gt;99,(G3170+Table13[[#This Row],[Steps]])-100,G3170+Table13[[#This Row],[Steps]]),
))</f>
        <v>0</v>
      </c>
      <c r="G3171">
        <f>IF(Table13[[#This Row],[New Pos L]]&lt;&gt;0,Table13[[#This Row],[New Pos L]],Table13[[#This Row],[New Pos R]])</f>
        <v>36</v>
      </c>
      <c r="H3171">
        <f>IF(AND(Table13[[#This Row],[Direction]]="L",Table13[[#This Row],[Steps]]&gt;G3170,G3170&lt;&gt;0),1,0)</f>
        <v>0</v>
      </c>
      <c r="I3171">
        <f>IF(AND(Table13[[#This Row],[Direction]]="R",(G3170+Table13[[#This Row],[Steps]])&gt;100),1,0)</f>
        <v>0</v>
      </c>
      <c r="J3171">
        <f>IF(Table13[[#This Row],[POS]]=0,1,0)</f>
        <v>0</v>
      </c>
      <c r="K3171">
        <f>SUM(Table13[[#This Row],[prefix]],Table13[[#This Row],[Past zero L]],Table13[[#This Row],[Past Zero R]],Table13[[#This Row],[Is Zero]])</f>
        <v>0</v>
      </c>
    </row>
    <row r="3172" spans="1:11" ht="16" x14ac:dyDescent="0.2">
      <c r="A3172" s="1" t="s">
        <v>21</v>
      </c>
      <c r="B3172" t="str">
        <f>LEFT(Table13[[#This Row],[Input]],1)</f>
        <v>L</v>
      </c>
      <c r="C3172">
        <f>_xlfn.LET(_xlpm.steps,SUBSTITUTE(Table13[[#This Row],[Input]],Table13[[#This Row],[Direction]],""),VALUE(IF(LEN(_xlpm.steps)&gt;2,RIGHT(_xlpm.steps,2),_xlpm.steps)))</f>
        <v>36</v>
      </c>
      <c r="D3172">
        <f>_xlfn.LET(_xlpm.steps,SUBSTITUTE(Table13[[#This Row],[Input]],Table13[[#This Row],[Direction]],""),VALUE(IF(LEN(_xlpm.steps)&gt;2,LEFT(_xlpm.steps,LEN(_xlpm.steps)-2),0)))</f>
        <v>0</v>
      </c>
      <c r="E3172">
        <f>_xlfn.LET(_xlpm.dir,Table13[[#This Row],[Direction]],
IF(_xlpm.dir="L",
    IF(G3171-Table13[[#This Row],[Steps]]&lt;0,100+(G3171-Table13[[#This Row],[Steps]]),G3171-Table13[[#This Row],[Steps]]),
))</f>
        <v>0</v>
      </c>
      <c r="F3172">
        <f>_xlfn.LET(_xlpm.dir,Table13[[#This Row],[Direction]],
IF(_xlpm.dir="R",
    IF(G3171+Table13[[#This Row],[Steps]]&gt;99,(G3171+Table13[[#This Row],[Steps]])-100,G3171+Table13[[#This Row],[Steps]]),
))</f>
        <v>0</v>
      </c>
      <c r="G3172">
        <f>IF(Table13[[#This Row],[New Pos L]]&lt;&gt;0,Table13[[#This Row],[New Pos L]],Table13[[#This Row],[New Pos R]])</f>
        <v>0</v>
      </c>
      <c r="H3172">
        <f>IF(AND(Table13[[#This Row],[Direction]]="L",Table13[[#This Row],[Steps]]&gt;G3171,G3171&lt;&gt;0),1,0)</f>
        <v>0</v>
      </c>
      <c r="I3172">
        <f>IF(AND(Table13[[#This Row],[Direction]]="R",(G3171+Table13[[#This Row],[Steps]])&gt;100),1,0)</f>
        <v>0</v>
      </c>
      <c r="J3172">
        <f>IF(Table13[[#This Row],[POS]]=0,1,0)</f>
        <v>1</v>
      </c>
      <c r="K3172">
        <f>SUM(Table13[[#This Row],[prefix]],Table13[[#This Row],[Past zero L]],Table13[[#This Row],[Past Zero R]],Table13[[#This Row],[Is Zero]])</f>
        <v>1</v>
      </c>
    </row>
    <row r="3173" spans="1:11" ht="16" x14ac:dyDescent="0.2">
      <c r="A3173" s="1" t="s">
        <v>364</v>
      </c>
      <c r="B3173" t="str">
        <f>LEFT(Table13[[#This Row],[Input]],1)</f>
        <v>L</v>
      </c>
      <c r="C3173">
        <f>_xlfn.LET(_xlpm.steps,SUBSTITUTE(Table13[[#This Row],[Input]],Table13[[#This Row],[Direction]],""),VALUE(IF(LEN(_xlpm.steps)&gt;2,RIGHT(_xlpm.steps,2),_xlpm.steps)))</f>
        <v>70</v>
      </c>
      <c r="D3173">
        <f>_xlfn.LET(_xlpm.steps,SUBSTITUTE(Table13[[#This Row],[Input]],Table13[[#This Row],[Direction]],""),VALUE(IF(LEN(_xlpm.steps)&gt;2,LEFT(_xlpm.steps,LEN(_xlpm.steps)-2),0)))</f>
        <v>0</v>
      </c>
      <c r="E3173">
        <f>_xlfn.LET(_xlpm.dir,Table13[[#This Row],[Direction]],
IF(_xlpm.dir="L",
    IF(G3172-Table13[[#This Row],[Steps]]&lt;0,100+(G3172-Table13[[#This Row],[Steps]]),G3172-Table13[[#This Row],[Steps]]),
))</f>
        <v>30</v>
      </c>
      <c r="F3173">
        <f>_xlfn.LET(_xlpm.dir,Table13[[#This Row],[Direction]],
IF(_xlpm.dir="R",
    IF(G3172+Table13[[#This Row],[Steps]]&gt;99,(G3172+Table13[[#This Row],[Steps]])-100,G3172+Table13[[#This Row],[Steps]]),
))</f>
        <v>0</v>
      </c>
      <c r="G3173">
        <f>IF(Table13[[#This Row],[New Pos L]]&lt;&gt;0,Table13[[#This Row],[New Pos L]],Table13[[#This Row],[New Pos R]])</f>
        <v>30</v>
      </c>
      <c r="H3173">
        <f>IF(AND(Table13[[#This Row],[Direction]]="L",Table13[[#This Row],[Steps]]&gt;G3172,G3172&lt;&gt;0),1,0)</f>
        <v>0</v>
      </c>
      <c r="I3173">
        <f>IF(AND(Table13[[#This Row],[Direction]]="R",(G3172+Table13[[#This Row],[Steps]])&gt;100),1,0)</f>
        <v>0</v>
      </c>
      <c r="J3173">
        <f>IF(Table13[[#This Row],[POS]]=0,1,0)</f>
        <v>0</v>
      </c>
      <c r="K3173">
        <f>SUM(Table13[[#This Row],[prefix]],Table13[[#This Row],[Past zero L]],Table13[[#This Row],[Past Zero R]],Table13[[#This Row],[Is Zero]])</f>
        <v>0</v>
      </c>
    </row>
    <row r="3174" spans="1:11" ht="16" x14ac:dyDescent="0.2">
      <c r="A3174" s="1" t="s">
        <v>58</v>
      </c>
      <c r="B3174" t="str">
        <f>LEFT(Table13[[#This Row],[Input]],1)</f>
        <v>L</v>
      </c>
      <c r="C3174">
        <f>_xlfn.LET(_xlpm.steps,SUBSTITUTE(Table13[[#This Row],[Input]],Table13[[#This Row],[Direction]],""),VALUE(IF(LEN(_xlpm.steps)&gt;2,RIGHT(_xlpm.steps,2),_xlpm.steps)))</f>
        <v>30</v>
      </c>
      <c r="D3174">
        <f>_xlfn.LET(_xlpm.steps,SUBSTITUTE(Table13[[#This Row],[Input]],Table13[[#This Row],[Direction]],""),VALUE(IF(LEN(_xlpm.steps)&gt;2,LEFT(_xlpm.steps,LEN(_xlpm.steps)-2),0)))</f>
        <v>0</v>
      </c>
      <c r="E3174">
        <f>_xlfn.LET(_xlpm.dir,Table13[[#This Row],[Direction]],
IF(_xlpm.dir="L",
    IF(G3173-Table13[[#This Row],[Steps]]&lt;0,100+(G3173-Table13[[#This Row],[Steps]]),G3173-Table13[[#This Row],[Steps]]),
))</f>
        <v>0</v>
      </c>
      <c r="F3174">
        <f>_xlfn.LET(_xlpm.dir,Table13[[#This Row],[Direction]],
IF(_xlpm.dir="R",
    IF(G3173+Table13[[#This Row],[Steps]]&gt;99,(G3173+Table13[[#This Row],[Steps]])-100,G3173+Table13[[#This Row],[Steps]]),
))</f>
        <v>0</v>
      </c>
      <c r="G3174">
        <f>IF(Table13[[#This Row],[New Pos L]]&lt;&gt;0,Table13[[#This Row],[New Pos L]],Table13[[#This Row],[New Pos R]])</f>
        <v>0</v>
      </c>
      <c r="H3174">
        <f>IF(AND(Table13[[#This Row],[Direction]]="L",Table13[[#This Row],[Steps]]&gt;G3173,G3173&lt;&gt;0),1,0)</f>
        <v>0</v>
      </c>
      <c r="I3174">
        <f>IF(AND(Table13[[#This Row],[Direction]]="R",(G3173+Table13[[#This Row],[Steps]])&gt;100),1,0)</f>
        <v>0</v>
      </c>
      <c r="J3174">
        <f>IF(Table13[[#This Row],[POS]]=0,1,0)</f>
        <v>1</v>
      </c>
      <c r="K3174">
        <f>SUM(Table13[[#This Row],[prefix]],Table13[[#This Row],[Past zero L]],Table13[[#This Row],[Past Zero R]],Table13[[#This Row],[Is Zero]])</f>
        <v>1</v>
      </c>
    </row>
    <row r="3175" spans="1:11" ht="16" x14ac:dyDescent="0.2">
      <c r="A3175" s="1" t="s">
        <v>141</v>
      </c>
      <c r="B3175" t="str">
        <f>LEFT(Table13[[#This Row],[Input]],1)</f>
        <v>L</v>
      </c>
      <c r="C3175">
        <f>_xlfn.LET(_xlpm.steps,SUBSTITUTE(Table13[[#This Row],[Input]],Table13[[#This Row],[Direction]],""),VALUE(IF(LEN(_xlpm.steps)&gt;2,RIGHT(_xlpm.steps,2),_xlpm.steps)))</f>
        <v>90</v>
      </c>
      <c r="D3175">
        <f>_xlfn.LET(_xlpm.steps,SUBSTITUTE(Table13[[#This Row],[Input]],Table13[[#This Row],[Direction]],""),VALUE(IF(LEN(_xlpm.steps)&gt;2,LEFT(_xlpm.steps,LEN(_xlpm.steps)-2),0)))</f>
        <v>0</v>
      </c>
      <c r="E3175">
        <f>_xlfn.LET(_xlpm.dir,Table13[[#This Row],[Direction]],
IF(_xlpm.dir="L",
    IF(G3174-Table13[[#This Row],[Steps]]&lt;0,100+(G3174-Table13[[#This Row],[Steps]]),G3174-Table13[[#This Row],[Steps]]),
))</f>
        <v>10</v>
      </c>
      <c r="F3175">
        <f>_xlfn.LET(_xlpm.dir,Table13[[#This Row],[Direction]],
IF(_xlpm.dir="R",
    IF(G3174+Table13[[#This Row],[Steps]]&gt;99,(G3174+Table13[[#This Row],[Steps]])-100,G3174+Table13[[#This Row],[Steps]]),
))</f>
        <v>0</v>
      </c>
      <c r="G3175">
        <f>IF(Table13[[#This Row],[New Pos L]]&lt;&gt;0,Table13[[#This Row],[New Pos L]],Table13[[#This Row],[New Pos R]])</f>
        <v>10</v>
      </c>
      <c r="H3175">
        <f>IF(AND(Table13[[#This Row],[Direction]]="L",Table13[[#This Row],[Steps]]&gt;G3174,G3174&lt;&gt;0),1,0)</f>
        <v>0</v>
      </c>
      <c r="I3175">
        <f>IF(AND(Table13[[#This Row],[Direction]]="R",(G3174+Table13[[#This Row],[Steps]])&gt;100),1,0)</f>
        <v>0</v>
      </c>
      <c r="J3175">
        <f>IF(Table13[[#This Row],[POS]]=0,1,0)</f>
        <v>0</v>
      </c>
      <c r="K3175">
        <f>SUM(Table13[[#This Row],[prefix]],Table13[[#This Row],[Past zero L]],Table13[[#This Row],[Past Zero R]],Table13[[#This Row],[Is Zero]])</f>
        <v>0</v>
      </c>
    </row>
    <row r="3176" spans="1:11" ht="16" x14ac:dyDescent="0.2">
      <c r="A3176" s="1" t="s">
        <v>158</v>
      </c>
      <c r="B3176" t="str">
        <f>LEFT(Table13[[#This Row],[Input]],1)</f>
        <v>L</v>
      </c>
      <c r="C3176">
        <f>_xlfn.LET(_xlpm.steps,SUBSTITUTE(Table13[[#This Row],[Input]],Table13[[#This Row],[Direction]],""),VALUE(IF(LEN(_xlpm.steps)&gt;2,RIGHT(_xlpm.steps,2),_xlpm.steps)))</f>
        <v>24</v>
      </c>
      <c r="D3176">
        <f>_xlfn.LET(_xlpm.steps,SUBSTITUTE(Table13[[#This Row],[Input]],Table13[[#This Row],[Direction]],""),VALUE(IF(LEN(_xlpm.steps)&gt;2,LEFT(_xlpm.steps,LEN(_xlpm.steps)-2),0)))</f>
        <v>0</v>
      </c>
      <c r="E3176">
        <f>_xlfn.LET(_xlpm.dir,Table13[[#This Row],[Direction]],
IF(_xlpm.dir="L",
    IF(G3175-Table13[[#This Row],[Steps]]&lt;0,100+(G3175-Table13[[#This Row],[Steps]]),G3175-Table13[[#This Row],[Steps]]),
))</f>
        <v>86</v>
      </c>
      <c r="F3176">
        <f>_xlfn.LET(_xlpm.dir,Table13[[#This Row],[Direction]],
IF(_xlpm.dir="R",
    IF(G3175+Table13[[#This Row],[Steps]]&gt;99,(G3175+Table13[[#This Row],[Steps]])-100,G3175+Table13[[#This Row],[Steps]]),
))</f>
        <v>0</v>
      </c>
      <c r="G3176">
        <f>IF(Table13[[#This Row],[New Pos L]]&lt;&gt;0,Table13[[#This Row],[New Pos L]],Table13[[#This Row],[New Pos R]])</f>
        <v>86</v>
      </c>
      <c r="H3176">
        <f>IF(AND(Table13[[#This Row],[Direction]]="L",Table13[[#This Row],[Steps]]&gt;G3175,G3175&lt;&gt;0),1,0)</f>
        <v>1</v>
      </c>
      <c r="I3176">
        <f>IF(AND(Table13[[#This Row],[Direction]]="R",(G3175+Table13[[#This Row],[Steps]])&gt;100),1,0)</f>
        <v>0</v>
      </c>
      <c r="J3176">
        <f>IF(Table13[[#This Row],[POS]]=0,1,0)</f>
        <v>0</v>
      </c>
      <c r="K3176">
        <f>SUM(Table13[[#This Row],[prefix]],Table13[[#This Row],[Past zero L]],Table13[[#This Row],[Past Zero R]],Table13[[#This Row],[Is Zero]])</f>
        <v>1</v>
      </c>
    </row>
    <row r="3177" spans="1:11" ht="16" x14ac:dyDescent="0.2">
      <c r="A3177" s="1" t="s">
        <v>216</v>
      </c>
      <c r="B3177" t="str">
        <f>LEFT(Table13[[#This Row],[Input]],1)</f>
        <v>R</v>
      </c>
      <c r="C3177">
        <f>_xlfn.LET(_xlpm.steps,SUBSTITUTE(Table13[[#This Row],[Input]],Table13[[#This Row],[Direction]],""),VALUE(IF(LEN(_xlpm.steps)&gt;2,RIGHT(_xlpm.steps,2),_xlpm.steps)))</f>
        <v>54</v>
      </c>
      <c r="D3177">
        <f>_xlfn.LET(_xlpm.steps,SUBSTITUTE(Table13[[#This Row],[Input]],Table13[[#This Row],[Direction]],""),VALUE(IF(LEN(_xlpm.steps)&gt;2,LEFT(_xlpm.steps,LEN(_xlpm.steps)-2),0)))</f>
        <v>0</v>
      </c>
      <c r="E3177">
        <f>_xlfn.LET(_xlpm.dir,Table13[[#This Row],[Direction]],
IF(_xlpm.dir="L",
    IF(G3176-Table13[[#This Row],[Steps]]&lt;0,100+(G3176-Table13[[#This Row],[Steps]]),G3176-Table13[[#This Row],[Steps]]),
))</f>
        <v>0</v>
      </c>
      <c r="F3177">
        <f>_xlfn.LET(_xlpm.dir,Table13[[#This Row],[Direction]],
IF(_xlpm.dir="R",
    IF(G3176+Table13[[#This Row],[Steps]]&gt;99,(G3176+Table13[[#This Row],[Steps]])-100,G3176+Table13[[#This Row],[Steps]]),
))</f>
        <v>40</v>
      </c>
      <c r="G3177">
        <f>IF(Table13[[#This Row],[New Pos L]]&lt;&gt;0,Table13[[#This Row],[New Pos L]],Table13[[#This Row],[New Pos R]])</f>
        <v>40</v>
      </c>
      <c r="H3177">
        <f>IF(AND(Table13[[#This Row],[Direction]]="L",Table13[[#This Row],[Steps]]&gt;G3176,G3176&lt;&gt;0),1,0)</f>
        <v>0</v>
      </c>
      <c r="I3177">
        <f>IF(AND(Table13[[#This Row],[Direction]]="R",(G3176+Table13[[#This Row],[Steps]])&gt;100),1,0)</f>
        <v>1</v>
      </c>
      <c r="J3177">
        <f>IF(Table13[[#This Row],[POS]]=0,1,0)</f>
        <v>0</v>
      </c>
      <c r="K3177">
        <f>SUM(Table13[[#This Row],[prefix]],Table13[[#This Row],[Past zero L]],Table13[[#This Row],[Past Zero R]],Table13[[#This Row],[Is Zero]])</f>
        <v>1</v>
      </c>
    </row>
    <row r="3178" spans="1:11" ht="16" x14ac:dyDescent="0.2">
      <c r="A3178" s="1" t="s">
        <v>346</v>
      </c>
      <c r="B3178" t="str">
        <f>LEFT(Table13[[#This Row],[Input]],1)</f>
        <v>L</v>
      </c>
      <c r="C3178">
        <f>_xlfn.LET(_xlpm.steps,SUBSTITUTE(Table13[[#This Row],[Input]],Table13[[#This Row],[Direction]],""),VALUE(IF(LEN(_xlpm.steps)&gt;2,RIGHT(_xlpm.steps,2),_xlpm.steps)))</f>
        <v>61</v>
      </c>
      <c r="D3178">
        <f>_xlfn.LET(_xlpm.steps,SUBSTITUTE(Table13[[#This Row],[Input]],Table13[[#This Row],[Direction]],""),VALUE(IF(LEN(_xlpm.steps)&gt;2,LEFT(_xlpm.steps,LEN(_xlpm.steps)-2),0)))</f>
        <v>1</v>
      </c>
      <c r="E3178">
        <f>_xlfn.LET(_xlpm.dir,Table13[[#This Row],[Direction]],
IF(_xlpm.dir="L",
    IF(G3177-Table13[[#This Row],[Steps]]&lt;0,100+(G3177-Table13[[#This Row],[Steps]]),G3177-Table13[[#This Row],[Steps]]),
))</f>
        <v>79</v>
      </c>
      <c r="F3178">
        <f>_xlfn.LET(_xlpm.dir,Table13[[#This Row],[Direction]],
IF(_xlpm.dir="R",
    IF(G3177+Table13[[#This Row],[Steps]]&gt;99,(G3177+Table13[[#This Row],[Steps]])-100,G3177+Table13[[#This Row],[Steps]]),
))</f>
        <v>0</v>
      </c>
      <c r="G3178">
        <f>IF(Table13[[#This Row],[New Pos L]]&lt;&gt;0,Table13[[#This Row],[New Pos L]],Table13[[#This Row],[New Pos R]])</f>
        <v>79</v>
      </c>
      <c r="H3178">
        <f>IF(AND(Table13[[#This Row],[Direction]]="L",Table13[[#This Row],[Steps]]&gt;G3177,G3177&lt;&gt;0),1,0)</f>
        <v>1</v>
      </c>
      <c r="I3178">
        <f>IF(AND(Table13[[#This Row],[Direction]]="R",(G3177+Table13[[#This Row],[Steps]])&gt;100),1,0)</f>
        <v>0</v>
      </c>
      <c r="J3178">
        <f>IF(Table13[[#This Row],[POS]]=0,1,0)</f>
        <v>0</v>
      </c>
      <c r="K3178">
        <f>SUM(Table13[[#This Row],[prefix]],Table13[[#This Row],[Past zero L]],Table13[[#This Row],[Past Zero R]],Table13[[#This Row],[Is Zero]])</f>
        <v>2</v>
      </c>
    </row>
    <row r="3179" spans="1:11" ht="16" x14ac:dyDescent="0.2">
      <c r="A3179" s="1" t="s">
        <v>19</v>
      </c>
      <c r="B3179" t="str">
        <f>LEFT(Table13[[#This Row],[Input]],1)</f>
        <v>R</v>
      </c>
      <c r="C3179">
        <f>_xlfn.LET(_xlpm.steps,SUBSTITUTE(Table13[[#This Row],[Input]],Table13[[#This Row],[Direction]],""),VALUE(IF(LEN(_xlpm.steps)&gt;2,RIGHT(_xlpm.steps,2),_xlpm.steps)))</f>
        <v>47</v>
      </c>
      <c r="D3179">
        <f>_xlfn.LET(_xlpm.steps,SUBSTITUTE(Table13[[#This Row],[Input]],Table13[[#This Row],[Direction]],""),VALUE(IF(LEN(_xlpm.steps)&gt;2,LEFT(_xlpm.steps,LEN(_xlpm.steps)-2),0)))</f>
        <v>0</v>
      </c>
      <c r="E3179">
        <f>_xlfn.LET(_xlpm.dir,Table13[[#This Row],[Direction]],
IF(_xlpm.dir="L",
    IF(G3178-Table13[[#This Row],[Steps]]&lt;0,100+(G3178-Table13[[#This Row],[Steps]]),G3178-Table13[[#This Row],[Steps]]),
))</f>
        <v>0</v>
      </c>
      <c r="F3179">
        <f>_xlfn.LET(_xlpm.dir,Table13[[#This Row],[Direction]],
IF(_xlpm.dir="R",
    IF(G3178+Table13[[#This Row],[Steps]]&gt;99,(G3178+Table13[[#This Row],[Steps]])-100,G3178+Table13[[#This Row],[Steps]]),
))</f>
        <v>26</v>
      </c>
      <c r="G3179">
        <f>IF(Table13[[#This Row],[New Pos L]]&lt;&gt;0,Table13[[#This Row],[New Pos L]],Table13[[#This Row],[New Pos R]])</f>
        <v>26</v>
      </c>
      <c r="H3179">
        <f>IF(AND(Table13[[#This Row],[Direction]]="L",Table13[[#This Row],[Steps]]&gt;G3178,G3178&lt;&gt;0),1,0)</f>
        <v>0</v>
      </c>
      <c r="I3179">
        <f>IF(AND(Table13[[#This Row],[Direction]]="R",(G3178+Table13[[#This Row],[Steps]])&gt;100),1,0)</f>
        <v>1</v>
      </c>
      <c r="J3179">
        <f>IF(Table13[[#This Row],[POS]]=0,1,0)</f>
        <v>0</v>
      </c>
      <c r="K3179">
        <f>SUM(Table13[[#This Row],[prefix]],Table13[[#This Row],[Past zero L]],Table13[[#This Row],[Past Zero R]],Table13[[#This Row],[Is Zero]])</f>
        <v>1</v>
      </c>
    </row>
    <row r="3180" spans="1:11" ht="16" x14ac:dyDescent="0.2">
      <c r="A3180" s="1" t="s">
        <v>42</v>
      </c>
      <c r="B3180" t="str">
        <f>LEFT(Table13[[#This Row],[Input]],1)</f>
        <v>L</v>
      </c>
      <c r="C3180">
        <f>_xlfn.LET(_xlpm.steps,SUBSTITUTE(Table13[[#This Row],[Input]],Table13[[#This Row],[Direction]],""),VALUE(IF(LEN(_xlpm.steps)&gt;2,RIGHT(_xlpm.steps,2),_xlpm.steps)))</f>
        <v>27</v>
      </c>
      <c r="D3180">
        <f>_xlfn.LET(_xlpm.steps,SUBSTITUTE(Table13[[#This Row],[Input]],Table13[[#This Row],[Direction]],""),VALUE(IF(LEN(_xlpm.steps)&gt;2,LEFT(_xlpm.steps,LEN(_xlpm.steps)-2),0)))</f>
        <v>0</v>
      </c>
      <c r="E3180">
        <f>_xlfn.LET(_xlpm.dir,Table13[[#This Row],[Direction]],
IF(_xlpm.dir="L",
    IF(G3179-Table13[[#This Row],[Steps]]&lt;0,100+(G3179-Table13[[#This Row],[Steps]]),G3179-Table13[[#This Row],[Steps]]),
))</f>
        <v>99</v>
      </c>
      <c r="F3180">
        <f>_xlfn.LET(_xlpm.dir,Table13[[#This Row],[Direction]],
IF(_xlpm.dir="R",
    IF(G3179+Table13[[#This Row],[Steps]]&gt;99,(G3179+Table13[[#This Row],[Steps]])-100,G3179+Table13[[#This Row],[Steps]]),
))</f>
        <v>0</v>
      </c>
      <c r="G3180">
        <f>IF(Table13[[#This Row],[New Pos L]]&lt;&gt;0,Table13[[#This Row],[New Pos L]],Table13[[#This Row],[New Pos R]])</f>
        <v>99</v>
      </c>
      <c r="H3180">
        <f>IF(AND(Table13[[#This Row],[Direction]]="L",Table13[[#This Row],[Steps]]&gt;G3179,G3179&lt;&gt;0),1,0)</f>
        <v>1</v>
      </c>
      <c r="I3180">
        <f>IF(AND(Table13[[#This Row],[Direction]]="R",(G3179+Table13[[#This Row],[Steps]])&gt;100),1,0)</f>
        <v>0</v>
      </c>
      <c r="J3180">
        <f>IF(Table13[[#This Row],[POS]]=0,1,0)</f>
        <v>0</v>
      </c>
      <c r="K3180">
        <f>SUM(Table13[[#This Row],[prefix]],Table13[[#This Row],[Past zero L]],Table13[[#This Row],[Past Zero R]],Table13[[#This Row],[Is Zero]])</f>
        <v>1</v>
      </c>
    </row>
    <row r="3181" spans="1:11" ht="16" x14ac:dyDescent="0.2">
      <c r="A3181" s="1" t="s">
        <v>222</v>
      </c>
      <c r="B3181" t="str">
        <f>LEFT(Table13[[#This Row],[Input]],1)</f>
        <v>R</v>
      </c>
      <c r="C3181">
        <f>_xlfn.LET(_xlpm.steps,SUBSTITUTE(Table13[[#This Row],[Input]],Table13[[#This Row],[Direction]],""),VALUE(IF(LEN(_xlpm.steps)&gt;2,RIGHT(_xlpm.steps,2),_xlpm.steps)))</f>
        <v>1</v>
      </c>
      <c r="D3181">
        <f>_xlfn.LET(_xlpm.steps,SUBSTITUTE(Table13[[#This Row],[Input]],Table13[[#This Row],[Direction]],""),VALUE(IF(LEN(_xlpm.steps)&gt;2,LEFT(_xlpm.steps,LEN(_xlpm.steps)-2),0)))</f>
        <v>4</v>
      </c>
      <c r="E3181">
        <f>_xlfn.LET(_xlpm.dir,Table13[[#This Row],[Direction]],
IF(_xlpm.dir="L",
    IF(G3180-Table13[[#This Row],[Steps]]&lt;0,100+(G3180-Table13[[#This Row],[Steps]]),G3180-Table13[[#This Row],[Steps]]),
))</f>
        <v>0</v>
      </c>
      <c r="F3181">
        <f>_xlfn.LET(_xlpm.dir,Table13[[#This Row],[Direction]],
IF(_xlpm.dir="R",
    IF(G3180+Table13[[#This Row],[Steps]]&gt;99,(G3180+Table13[[#This Row],[Steps]])-100,G3180+Table13[[#This Row],[Steps]]),
))</f>
        <v>0</v>
      </c>
      <c r="G3181">
        <f>IF(Table13[[#This Row],[New Pos L]]&lt;&gt;0,Table13[[#This Row],[New Pos L]],Table13[[#This Row],[New Pos R]])</f>
        <v>0</v>
      </c>
      <c r="H3181">
        <f>IF(AND(Table13[[#This Row],[Direction]]="L",Table13[[#This Row],[Steps]]&gt;G3180,G3180&lt;&gt;0),1,0)</f>
        <v>0</v>
      </c>
      <c r="I3181">
        <f>IF(AND(Table13[[#This Row],[Direction]]="R",(G3180+Table13[[#This Row],[Steps]])&gt;100),1,0)</f>
        <v>0</v>
      </c>
      <c r="J3181">
        <f>IF(Table13[[#This Row],[POS]]=0,1,0)</f>
        <v>1</v>
      </c>
      <c r="K3181">
        <f>SUM(Table13[[#This Row],[prefix]],Table13[[#This Row],[Past zero L]],Table13[[#This Row],[Past Zero R]],Table13[[#This Row],[Is Zero]])</f>
        <v>5</v>
      </c>
    </row>
    <row r="3182" spans="1:11" ht="16" x14ac:dyDescent="0.2">
      <c r="A3182" s="1" t="s">
        <v>5</v>
      </c>
      <c r="B3182" t="str">
        <f>LEFT(Table13[[#This Row],[Input]],1)</f>
        <v>R</v>
      </c>
      <c r="C3182">
        <f>_xlfn.LET(_xlpm.steps,SUBSTITUTE(Table13[[#This Row],[Input]],Table13[[#This Row],[Direction]],""),VALUE(IF(LEN(_xlpm.steps)&gt;2,RIGHT(_xlpm.steps,2),_xlpm.steps)))</f>
        <v>1</v>
      </c>
      <c r="D3182">
        <f>_xlfn.LET(_xlpm.steps,SUBSTITUTE(Table13[[#This Row],[Input]],Table13[[#This Row],[Direction]],""),VALUE(IF(LEN(_xlpm.steps)&gt;2,LEFT(_xlpm.steps,LEN(_xlpm.steps)-2),0)))</f>
        <v>0</v>
      </c>
      <c r="E3182">
        <f>_xlfn.LET(_xlpm.dir,Table13[[#This Row],[Direction]],
IF(_xlpm.dir="L",
    IF(G3181-Table13[[#This Row],[Steps]]&lt;0,100+(G3181-Table13[[#This Row],[Steps]]),G3181-Table13[[#This Row],[Steps]]),
))</f>
        <v>0</v>
      </c>
      <c r="F3182">
        <f>_xlfn.LET(_xlpm.dir,Table13[[#This Row],[Direction]],
IF(_xlpm.dir="R",
    IF(G3181+Table13[[#This Row],[Steps]]&gt;99,(G3181+Table13[[#This Row],[Steps]])-100,G3181+Table13[[#This Row],[Steps]]),
))</f>
        <v>1</v>
      </c>
      <c r="G3182">
        <f>IF(Table13[[#This Row],[New Pos L]]&lt;&gt;0,Table13[[#This Row],[New Pos L]],Table13[[#This Row],[New Pos R]])</f>
        <v>1</v>
      </c>
      <c r="H3182">
        <f>IF(AND(Table13[[#This Row],[Direction]]="L",Table13[[#This Row],[Steps]]&gt;G3181,G3181&lt;&gt;0),1,0)</f>
        <v>0</v>
      </c>
      <c r="I3182">
        <f>IF(AND(Table13[[#This Row],[Direction]]="R",(G3181+Table13[[#This Row],[Steps]])&gt;100),1,0)</f>
        <v>0</v>
      </c>
      <c r="J3182">
        <f>IF(Table13[[#This Row],[POS]]=0,1,0)</f>
        <v>0</v>
      </c>
      <c r="K3182">
        <f>SUM(Table13[[#This Row],[prefix]],Table13[[#This Row],[Past zero L]],Table13[[#This Row],[Past Zero R]],Table13[[#This Row],[Is Zero]])</f>
        <v>0</v>
      </c>
    </row>
    <row r="3183" spans="1:11" ht="16" x14ac:dyDescent="0.2">
      <c r="A3183" s="1" t="s">
        <v>511</v>
      </c>
      <c r="B3183" t="str">
        <f>LEFT(Table13[[#This Row],[Input]],1)</f>
        <v>L</v>
      </c>
      <c r="C3183">
        <f>_xlfn.LET(_xlpm.steps,SUBSTITUTE(Table13[[#This Row],[Input]],Table13[[#This Row],[Direction]],""),VALUE(IF(LEN(_xlpm.steps)&gt;2,RIGHT(_xlpm.steps,2),_xlpm.steps)))</f>
        <v>47</v>
      </c>
      <c r="D3183">
        <f>_xlfn.LET(_xlpm.steps,SUBSTITUTE(Table13[[#This Row],[Input]],Table13[[#This Row],[Direction]],""),VALUE(IF(LEN(_xlpm.steps)&gt;2,LEFT(_xlpm.steps,LEN(_xlpm.steps)-2),0)))</f>
        <v>9</v>
      </c>
      <c r="E3183">
        <f>_xlfn.LET(_xlpm.dir,Table13[[#This Row],[Direction]],
IF(_xlpm.dir="L",
    IF(G3182-Table13[[#This Row],[Steps]]&lt;0,100+(G3182-Table13[[#This Row],[Steps]]),G3182-Table13[[#This Row],[Steps]]),
))</f>
        <v>54</v>
      </c>
      <c r="F3183">
        <f>_xlfn.LET(_xlpm.dir,Table13[[#This Row],[Direction]],
IF(_xlpm.dir="R",
    IF(G3182+Table13[[#This Row],[Steps]]&gt;99,(G3182+Table13[[#This Row],[Steps]])-100,G3182+Table13[[#This Row],[Steps]]),
))</f>
        <v>0</v>
      </c>
      <c r="G3183">
        <f>IF(Table13[[#This Row],[New Pos L]]&lt;&gt;0,Table13[[#This Row],[New Pos L]],Table13[[#This Row],[New Pos R]])</f>
        <v>54</v>
      </c>
      <c r="H3183">
        <f>IF(AND(Table13[[#This Row],[Direction]]="L",Table13[[#This Row],[Steps]]&gt;G3182,G3182&lt;&gt;0),1,0)</f>
        <v>1</v>
      </c>
      <c r="I3183">
        <f>IF(AND(Table13[[#This Row],[Direction]]="R",(G3182+Table13[[#This Row],[Steps]])&gt;100),1,0)</f>
        <v>0</v>
      </c>
      <c r="J3183">
        <f>IF(Table13[[#This Row],[POS]]=0,1,0)</f>
        <v>0</v>
      </c>
      <c r="K3183">
        <f>SUM(Table13[[#This Row],[prefix]],Table13[[#This Row],[Past zero L]],Table13[[#This Row],[Past Zero R]],Table13[[#This Row],[Is Zero]])</f>
        <v>10</v>
      </c>
    </row>
    <row r="3184" spans="1:11" ht="16" x14ac:dyDescent="0.2">
      <c r="A3184" s="1" t="s">
        <v>20</v>
      </c>
      <c r="B3184" t="str">
        <f>LEFT(Table13[[#This Row],[Input]],1)</f>
        <v>R</v>
      </c>
      <c r="C3184">
        <f>_xlfn.LET(_xlpm.steps,SUBSTITUTE(Table13[[#This Row],[Input]],Table13[[#This Row],[Direction]],""),VALUE(IF(LEN(_xlpm.steps)&gt;2,RIGHT(_xlpm.steps,2),_xlpm.steps)))</f>
        <v>46</v>
      </c>
      <c r="D3184">
        <f>_xlfn.LET(_xlpm.steps,SUBSTITUTE(Table13[[#This Row],[Input]],Table13[[#This Row],[Direction]],""),VALUE(IF(LEN(_xlpm.steps)&gt;2,LEFT(_xlpm.steps,LEN(_xlpm.steps)-2),0)))</f>
        <v>0</v>
      </c>
      <c r="E3184">
        <f>_xlfn.LET(_xlpm.dir,Table13[[#This Row],[Direction]],
IF(_xlpm.dir="L",
    IF(G3183-Table13[[#This Row],[Steps]]&lt;0,100+(G3183-Table13[[#This Row],[Steps]]),G3183-Table13[[#This Row],[Steps]]),
))</f>
        <v>0</v>
      </c>
      <c r="F3184">
        <f>_xlfn.LET(_xlpm.dir,Table13[[#This Row],[Direction]],
IF(_xlpm.dir="R",
    IF(G3183+Table13[[#This Row],[Steps]]&gt;99,(G3183+Table13[[#This Row],[Steps]])-100,G3183+Table13[[#This Row],[Steps]]),
))</f>
        <v>0</v>
      </c>
      <c r="G3184">
        <f>IF(Table13[[#This Row],[New Pos L]]&lt;&gt;0,Table13[[#This Row],[New Pos L]],Table13[[#This Row],[New Pos R]])</f>
        <v>0</v>
      </c>
      <c r="H3184">
        <f>IF(AND(Table13[[#This Row],[Direction]]="L",Table13[[#This Row],[Steps]]&gt;G3183,G3183&lt;&gt;0),1,0)</f>
        <v>0</v>
      </c>
      <c r="I3184">
        <f>IF(AND(Table13[[#This Row],[Direction]]="R",(G3183+Table13[[#This Row],[Steps]])&gt;100),1,0)</f>
        <v>0</v>
      </c>
      <c r="J3184">
        <f>IF(Table13[[#This Row],[POS]]=0,1,0)</f>
        <v>1</v>
      </c>
      <c r="K3184">
        <f>SUM(Table13[[#This Row],[prefix]],Table13[[#This Row],[Past zero L]],Table13[[#This Row],[Past Zero R]],Table13[[#This Row],[Is Zero]])</f>
        <v>1</v>
      </c>
    </row>
    <row r="3185" spans="1:11" ht="16" x14ac:dyDescent="0.2">
      <c r="A3185" s="1" t="s">
        <v>244</v>
      </c>
      <c r="B3185" t="str">
        <f>LEFT(Table13[[#This Row],[Input]],1)</f>
        <v>L</v>
      </c>
      <c r="C3185">
        <f>_xlfn.LET(_xlpm.steps,SUBSTITUTE(Table13[[#This Row],[Input]],Table13[[#This Row],[Direction]],""),VALUE(IF(LEN(_xlpm.steps)&gt;2,RIGHT(_xlpm.steps,2),_xlpm.steps)))</f>
        <v>98</v>
      </c>
      <c r="D3185">
        <f>_xlfn.LET(_xlpm.steps,SUBSTITUTE(Table13[[#This Row],[Input]],Table13[[#This Row],[Direction]],""),VALUE(IF(LEN(_xlpm.steps)&gt;2,LEFT(_xlpm.steps,LEN(_xlpm.steps)-2),0)))</f>
        <v>0</v>
      </c>
      <c r="E3185">
        <f>_xlfn.LET(_xlpm.dir,Table13[[#This Row],[Direction]],
IF(_xlpm.dir="L",
    IF(G3184-Table13[[#This Row],[Steps]]&lt;0,100+(G3184-Table13[[#This Row],[Steps]]),G3184-Table13[[#This Row],[Steps]]),
))</f>
        <v>2</v>
      </c>
      <c r="F3185">
        <f>_xlfn.LET(_xlpm.dir,Table13[[#This Row],[Direction]],
IF(_xlpm.dir="R",
    IF(G3184+Table13[[#This Row],[Steps]]&gt;99,(G3184+Table13[[#This Row],[Steps]])-100,G3184+Table13[[#This Row],[Steps]]),
))</f>
        <v>0</v>
      </c>
      <c r="G3185">
        <f>IF(Table13[[#This Row],[New Pos L]]&lt;&gt;0,Table13[[#This Row],[New Pos L]],Table13[[#This Row],[New Pos R]])</f>
        <v>2</v>
      </c>
      <c r="H3185">
        <f>IF(AND(Table13[[#This Row],[Direction]]="L",Table13[[#This Row],[Steps]]&gt;G3184,G3184&lt;&gt;0),1,0)</f>
        <v>0</v>
      </c>
      <c r="I3185">
        <f>IF(AND(Table13[[#This Row],[Direction]]="R",(G3184+Table13[[#This Row],[Steps]])&gt;100),1,0)</f>
        <v>0</v>
      </c>
      <c r="J3185">
        <f>IF(Table13[[#This Row],[POS]]=0,1,0)</f>
        <v>0</v>
      </c>
      <c r="K3185">
        <f>SUM(Table13[[#This Row],[prefix]],Table13[[#This Row],[Past zero L]],Table13[[#This Row],[Past Zero R]],Table13[[#This Row],[Is Zero]])</f>
        <v>0</v>
      </c>
    </row>
    <row r="3186" spans="1:11" ht="16" x14ac:dyDescent="0.2">
      <c r="A3186" s="1" t="s">
        <v>710</v>
      </c>
      <c r="B3186" t="str">
        <f>LEFT(Table13[[#This Row],[Input]],1)</f>
        <v>L</v>
      </c>
      <c r="C3186">
        <f>_xlfn.LET(_xlpm.steps,SUBSTITUTE(Table13[[#This Row],[Input]],Table13[[#This Row],[Direction]],""),VALUE(IF(LEN(_xlpm.steps)&gt;2,RIGHT(_xlpm.steps,2),_xlpm.steps)))</f>
        <v>2</v>
      </c>
      <c r="D3186">
        <f>_xlfn.LET(_xlpm.steps,SUBSTITUTE(Table13[[#This Row],[Input]],Table13[[#This Row],[Direction]],""),VALUE(IF(LEN(_xlpm.steps)&gt;2,LEFT(_xlpm.steps,LEN(_xlpm.steps)-2),0)))</f>
        <v>8</v>
      </c>
      <c r="E3186">
        <f>_xlfn.LET(_xlpm.dir,Table13[[#This Row],[Direction]],
IF(_xlpm.dir="L",
    IF(G3185-Table13[[#This Row],[Steps]]&lt;0,100+(G3185-Table13[[#This Row],[Steps]]),G3185-Table13[[#This Row],[Steps]]),
))</f>
        <v>0</v>
      </c>
      <c r="F3186">
        <f>_xlfn.LET(_xlpm.dir,Table13[[#This Row],[Direction]],
IF(_xlpm.dir="R",
    IF(G3185+Table13[[#This Row],[Steps]]&gt;99,(G3185+Table13[[#This Row],[Steps]])-100,G3185+Table13[[#This Row],[Steps]]),
))</f>
        <v>0</v>
      </c>
      <c r="G3186">
        <f>IF(Table13[[#This Row],[New Pos L]]&lt;&gt;0,Table13[[#This Row],[New Pos L]],Table13[[#This Row],[New Pos R]])</f>
        <v>0</v>
      </c>
      <c r="H3186">
        <f>IF(AND(Table13[[#This Row],[Direction]]="L",Table13[[#This Row],[Steps]]&gt;G3185,G3185&lt;&gt;0),1,0)</f>
        <v>0</v>
      </c>
      <c r="I3186">
        <f>IF(AND(Table13[[#This Row],[Direction]]="R",(G3185+Table13[[#This Row],[Steps]])&gt;100),1,0)</f>
        <v>0</v>
      </c>
      <c r="J3186">
        <f>IF(Table13[[#This Row],[POS]]=0,1,0)</f>
        <v>1</v>
      </c>
      <c r="K3186">
        <f>SUM(Table13[[#This Row],[prefix]],Table13[[#This Row],[Past zero L]],Table13[[#This Row],[Past Zero R]],Table13[[#This Row],[Is Zero]])</f>
        <v>9</v>
      </c>
    </row>
    <row r="3187" spans="1:11" ht="16" x14ac:dyDescent="0.2">
      <c r="A3187" s="1" t="s">
        <v>24</v>
      </c>
      <c r="B3187" t="str">
        <f>LEFT(Table13[[#This Row],[Input]],1)</f>
        <v>L</v>
      </c>
      <c r="C3187">
        <f>_xlfn.LET(_xlpm.steps,SUBSTITUTE(Table13[[#This Row],[Input]],Table13[[#This Row],[Direction]],""),VALUE(IF(LEN(_xlpm.steps)&gt;2,RIGHT(_xlpm.steps,2),_xlpm.steps)))</f>
        <v>49</v>
      </c>
      <c r="D3187">
        <f>_xlfn.LET(_xlpm.steps,SUBSTITUTE(Table13[[#This Row],[Input]],Table13[[#This Row],[Direction]],""),VALUE(IF(LEN(_xlpm.steps)&gt;2,LEFT(_xlpm.steps,LEN(_xlpm.steps)-2),0)))</f>
        <v>0</v>
      </c>
      <c r="E3187">
        <f>_xlfn.LET(_xlpm.dir,Table13[[#This Row],[Direction]],
IF(_xlpm.dir="L",
    IF(G3186-Table13[[#This Row],[Steps]]&lt;0,100+(G3186-Table13[[#This Row],[Steps]]),G3186-Table13[[#This Row],[Steps]]),
))</f>
        <v>51</v>
      </c>
      <c r="F3187">
        <f>_xlfn.LET(_xlpm.dir,Table13[[#This Row],[Direction]],
IF(_xlpm.dir="R",
    IF(G3186+Table13[[#This Row],[Steps]]&gt;99,(G3186+Table13[[#This Row],[Steps]])-100,G3186+Table13[[#This Row],[Steps]]),
))</f>
        <v>0</v>
      </c>
      <c r="G3187">
        <f>IF(Table13[[#This Row],[New Pos L]]&lt;&gt;0,Table13[[#This Row],[New Pos L]],Table13[[#This Row],[New Pos R]])</f>
        <v>51</v>
      </c>
      <c r="H3187">
        <f>IF(AND(Table13[[#This Row],[Direction]]="L",Table13[[#This Row],[Steps]]&gt;G3186,G3186&lt;&gt;0),1,0)</f>
        <v>0</v>
      </c>
      <c r="I3187">
        <f>IF(AND(Table13[[#This Row],[Direction]]="R",(G3186+Table13[[#This Row],[Steps]])&gt;100),1,0)</f>
        <v>0</v>
      </c>
      <c r="J3187">
        <f>IF(Table13[[#This Row],[POS]]=0,1,0)</f>
        <v>0</v>
      </c>
      <c r="K3187">
        <f>SUM(Table13[[#This Row],[prefix]],Table13[[#This Row],[Past zero L]],Table13[[#This Row],[Past Zero R]],Table13[[#This Row],[Is Zero]])</f>
        <v>0</v>
      </c>
    </row>
    <row r="3188" spans="1:11" ht="16" x14ac:dyDescent="0.2">
      <c r="A3188" s="1" t="s">
        <v>106</v>
      </c>
      <c r="B3188" t="str">
        <f>LEFT(Table13[[#This Row],[Input]],1)</f>
        <v>R</v>
      </c>
      <c r="C3188">
        <f>_xlfn.LET(_xlpm.steps,SUBSTITUTE(Table13[[#This Row],[Input]],Table13[[#This Row],[Direction]],""),VALUE(IF(LEN(_xlpm.steps)&gt;2,RIGHT(_xlpm.steps,2),_xlpm.steps)))</f>
        <v>41</v>
      </c>
      <c r="D3188">
        <f>_xlfn.LET(_xlpm.steps,SUBSTITUTE(Table13[[#This Row],[Input]],Table13[[#This Row],[Direction]],""),VALUE(IF(LEN(_xlpm.steps)&gt;2,LEFT(_xlpm.steps,LEN(_xlpm.steps)-2),0)))</f>
        <v>0</v>
      </c>
      <c r="E3188">
        <f>_xlfn.LET(_xlpm.dir,Table13[[#This Row],[Direction]],
IF(_xlpm.dir="L",
    IF(G3187-Table13[[#This Row],[Steps]]&lt;0,100+(G3187-Table13[[#This Row],[Steps]]),G3187-Table13[[#This Row],[Steps]]),
))</f>
        <v>0</v>
      </c>
      <c r="F3188">
        <f>_xlfn.LET(_xlpm.dir,Table13[[#This Row],[Direction]],
IF(_xlpm.dir="R",
    IF(G3187+Table13[[#This Row],[Steps]]&gt;99,(G3187+Table13[[#This Row],[Steps]])-100,G3187+Table13[[#This Row],[Steps]]),
))</f>
        <v>92</v>
      </c>
      <c r="G3188">
        <f>IF(Table13[[#This Row],[New Pos L]]&lt;&gt;0,Table13[[#This Row],[New Pos L]],Table13[[#This Row],[New Pos R]])</f>
        <v>92</v>
      </c>
      <c r="H3188">
        <f>IF(AND(Table13[[#This Row],[Direction]]="L",Table13[[#This Row],[Steps]]&gt;G3187,G3187&lt;&gt;0),1,0)</f>
        <v>0</v>
      </c>
      <c r="I3188">
        <f>IF(AND(Table13[[#This Row],[Direction]]="R",(G3187+Table13[[#This Row],[Steps]])&gt;100),1,0)</f>
        <v>0</v>
      </c>
      <c r="J3188">
        <f>IF(Table13[[#This Row],[POS]]=0,1,0)</f>
        <v>0</v>
      </c>
      <c r="K3188">
        <f>SUM(Table13[[#This Row],[prefix]],Table13[[#This Row],[Past zero L]],Table13[[#This Row],[Past Zero R]],Table13[[#This Row],[Is Zero]])</f>
        <v>0</v>
      </c>
    </row>
    <row r="3189" spans="1:11" ht="16" x14ac:dyDescent="0.2">
      <c r="A3189" s="1" t="s">
        <v>174</v>
      </c>
      <c r="B3189" t="str">
        <f>LEFT(Table13[[#This Row],[Input]],1)</f>
        <v>L</v>
      </c>
      <c r="C3189">
        <f>_xlfn.LET(_xlpm.steps,SUBSTITUTE(Table13[[#This Row],[Input]],Table13[[#This Row],[Direction]],""),VALUE(IF(LEN(_xlpm.steps)&gt;2,RIGHT(_xlpm.steps,2),_xlpm.steps)))</f>
        <v>92</v>
      </c>
      <c r="D3189">
        <f>_xlfn.LET(_xlpm.steps,SUBSTITUTE(Table13[[#This Row],[Input]],Table13[[#This Row],[Direction]],""),VALUE(IF(LEN(_xlpm.steps)&gt;2,LEFT(_xlpm.steps,LEN(_xlpm.steps)-2),0)))</f>
        <v>0</v>
      </c>
      <c r="E3189">
        <f>_xlfn.LET(_xlpm.dir,Table13[[#This Row],[Direction]],
IF(_xlpm.dir="L",
    IF(G3188-Table13[[#This Row],[Steps]]&lt;0,100+(G3188-Table13[[#This Row],[Steps]]),G3188-Table13[[#This Row],[Steps]]),
))</f>
        <v>0</v>
      </c>
      <c r="F3189">
        <f>_xlfn.LET(_xlpm.dir,Table13[[#This Row],[Direction]],
IF(_xlpm.dir="R",
    IF(G3188+Table13[[#This Row],[Steps]]&gt;99,(G3188+Table13[[#This Row],[Steps]])-100,G3188+Table13[[#This Row],[Steps]]),
))</f>
        <v>0</v>
      </c>
      <c r="G3189">
        <f>IF(Table13[[#This Row],[New Pos L]]&lt;&gt;0,Table13[[#This Row],[New Pos L]],Table13[[#This Row],[New Pos R]])</f>
        <v>0</v>
      </c>
      <c r="H3189">
        <f>IF(AND(Table13[[#This Row],[Direction]]="L",Table13[[#This Row],[Steps]]&gt;G3188,G3188&lt;&gt;0),1,0)</f>
        <v>0</v>
      </c>
      <c r="I3189">
        <f>IF(AND(Table13[[#This Row],[Direction]]="R",(G3188+Table13[[#This Row],[Steps]])&gt;100),1,0)</f>
        <v>0</v>
      </c>
      <c r="J3189">
        <f>IF(Table13[[#This Row],[POS]]=0,1,0)</f>
        <v>1</v>
      </c>
      <c r="K3189">
        <f>SUM(Table13[[#This Row],[prefix]],Table13[[#This Row],[Past zero L]],Table13[[#This Row],[Past Zero R]],Table13[[#This Row],[Is Zero]])</f>
        <v>1</v>
      </c>
    </row>
    <row r="3190" spans="1:11" ht="16" x14ac:dyDescent="0.2">
      <c r="A3190" s="1" t="s">
        <v>186</v>
      </c>
      <c r="B3190" t="str">
        <f>LEFT(Table13[[#This Row],[Input]],1)</f>
        <v>L</v>
      </c>
      <c r="C3190">
        <f>_xlfn.LET(_xlpm.steps,SUBSTITUTE(Table13[[#This Row],[Input]],Table13[[#This Row],[Direction]],""),VALUE(IF(LEN(_xlpm.steps)&gt;2,RIGHT(_xlpm.steps,2),_xlpm.steps)))</f>
        <v>84</v>
      </c>
      <c r="D3190">
        <f>_xlfn.LET(_xlpm.steps,SUBSTITUTE(Table13[[#This Row],[Input]],Table13[[#This Row],[Direction]],""),VALUE(IF(LEN(_xlpm.steps)&gt;2,LEFT(_xlpm.steps,LEN(_xlpm.steps)-2),0)))</f>
        <v>0</v>
      </c>
      <c r="E3190">
        <f>_xlfn.LET(_xlpm.dir,Table13[[#This Row],[Direction]],
IF(_xlpm.dir="L",
    IF(G3189-Table13[[#This Row],[Steps]]&lt;0,100+(G3189-Table13[[#This Row],[Steps]]),G3189-Table13[[#This Row],[Steps]]),
))</f>
        <v>16</v>
      </c>
      <c r="F3190">
        <f>_xlfn.LET(_xlpm.dir,Table13[[#This Row],[Direction]],
IF(_xlpm.dir="R",
    IF(G3189+Table13[[#This Row],[Steps]]&gt;99,(G3189+Table13[[#This Row],[Steps]])-100,G3189+Table13[[#This Row],[Steps]]),
))</f>
        <v>0</v>
      </c>
      <c r="G3190">
        <f>IF(Table13[[#This Row],[New Pos L]]&lt;&gt;0,Table13[[#This Row],[New Pos L]],Table13[[#This Row],[New Pos R]])</f>
        <v>16</v>
      </c>
      <c r="H3190">
        <f>IF(AND(Table13[[#This Row],[Direction]]="L",Table13[[#This Row],[Steps]]&gt;G3189,G3189&lt;&gt;0),1,0)</f>
        <v>0</v>
      </c>
      <c r="I3190">
        <f>IF(AND(Table13[[#This Row],[Direction]]="R",(G3189+Table13[[#This Row],[Steps]])&gt;100),1,0)</f>
        <v>0</v>
      </c>
      <c r="J3190">
        <f>IF(Table13[[#This Row],[POS]]=0,1,0)</f>
        <v>0</v>
      </c>
      <c r="K3190">
        <f>SUM(Table13[[#This Row],[prefix]],Table13[[#This Row],[Past zero L]],Table13[[#This Row],[Past Zero R]],Table13[[#This Row],[Is Zero]])</f>
        <v>0</v>
      </c>
    </row>
    <row r="3191" spans="1:11" ht="16" x14ac:dyDescent="0.2">
      <c r="A3191" s="1" t="s">
        <v>336</v>
      </c>
      <c r="B3191" t="str">
        <f>LEFT(Table13[[#This Row],[Input]],1)</f>
        <v>R</v>
      </c>
      <c r="C3191">
        <f>_xlfn.LET(_xlpm.steps,SUBSTITUTE(Table13[[#This Row],[Input]],Table13[[#This Row],[Direction]],""),VALUE(IF(LEN(_xlpm.steps)&gt;2,RIGHT(_xlpm.steps,2),_xlpm.steps)))</f>
        <v>95</v>
      </c>
      <c r="D3191">
        <f>_xlfn.LET(_xlpm.steps,SUBSTITUTE(Table13[[#This Row],[Input]],Table13[[#This Row],[Direction]],""),VALUE(IF(LEN(_xlpm.steps)&gt;2,LEFT(_xlpm.steps,LEN(_xlpm.steps)-2),0)))</f>
        <v>0</v>
      </c>
      <c r="E3191">
        <f>_xlfn.LET(_xlpm.dir,Table13[[#This Row],[Direction]],
IF(_xlpm.dir="L",
    IF(G3190-Table13[[#This Row],[Steps]]&lt;0,100+(G3190-Table13[[#This Row],[Steps]]),G3190-Table13[[#This Row],[Steps]]),
))</f>
        <v>0</v>
      </c>
      <c r="F3191">
        <f>_xlfn.LET(_xlpm.dir,Table13[[#This Row],[Direction]],
IF(_xlpm.dir="R",
    IF(G3190+Table13[[#This Row],[Steps]]&gt;99,(G3190+Table13[[#This Row],[Steps]])-100,G3190+Table13[[#This Row],[Steps]]),
))</f>
        <v>11</v>
      </c>
      <c r="G3191">
        <f>IF(Table13[[#This Row],[New Pos L]]&lt;&gt;0,Table13[[#This Row],[New Pos L]],Table13[[#This Row],[New Pos R]])</f>
        <v>11</v>
      </c>
      <c r="H3191">
        <f>IF(AND(Table13[[#This Row],[Direction]]="L",Table13[[#This Row],[Steps]]&gt;G3190,G3190&lt;&gt;0),1,0)</f>
        <v>0</v>
      </c>
      <c r="I3191">
        <f>IF(AND(Table13[[#This Row],[Direction]]="R",(G3190+Table13[[#This Row],[Steps]])&gt;100),1,0)</f>
        <v>1</v>
      </c>
      <c r="J3191">
        <f>IF(Table13[[#This Row],[POS]]=0,1,0)</f>
        <v>0</v>
      </c>
      <c r="K3191">
        <f>SUM(Table13[[#This Row],[prefix]],Table13[[#This Row],[Past zero L]],Table13[[#This Row],[Past Zero R]],Table13[[#This Row],[Is Zero]])</f>
        <v>1</v>
      </c>
    </row>
    <row r="3192" spans="1:11" ht="16" x14ac:dyDescent="0.2">
      <c r="A3192" s="1" t="s">
        <v>711</v>
      </c>
      <c r="B3192" t="str">
        <f>LEFT(Table13[[#This Row],[Input]],1)</f>
        <v>R</v>
      </c>
      <c r="C3192">
        <f>_xlfn.LET(_xlpm.steps,SUBSTITUTE(Table13[[#This Row],[Input]],Table13[[#This Row],[Direction]],""),VALUE(IF(LEN(_xlpm.steps)&gt;2,RIGHT(_xlpm.steps,2),_xlpm.steps)))</f>
        <v>89</v>
      </c>
      <c r="D3192">
        <f>_xlfn.LET(_xlpm.steps,SUBSTITUTE(Table13[[#This Row],[Input]],Table13[[#This Row],[Direction]],""),VALUE(IF(LEN(_xlpm.steps)&gt;2,LEFT(_xlpm.steps,LEN(_xlpm.steps)-2),0)))</f>
        <v>2</v>
      </c>
      <c r="E3192">
        <f>_xlfn.LET(_xlpm.dir,Table13[[#This Row],[Direction]],
IF(_xlpm.dir="L",
    IF(G3191-Table13[[#This Row],[Steps]]&lt;0,100+(G3191-Table13[[#This Row],[Steps]]),G3191-Table13[[#This Row],[Steps]]),
))</f>
        <v>0</v>
      </c>
      <c r="F3192">
        <f>_xlfn.LET(_xlpm.dir,Table13[[#This Row],[Direction]],
IF(_xlpm.dir="R",
    IF(G3191+Table13[[#This Row],[Steps]]&gt;99,(G3191+Table13[[#This Row],[Steps]])-100,G3191+Table13[[#This Row],[Steps]]),
))</f>
        <v>0</v>
      </c>
      <c r="G3192">
        <f>IF(Table13[[#This Row],[New Pos L]]&lt;&gt;0,Table13[[#This Row],[New Pos L]],Table13[[#This Row],[New Pos R]])</f>
        <v>0</v>
      </c>
      <c r="H3192">
        <f>IF(AND(Table13[[#This Row],[Direction]]="L",Table13[[#This Row],[Steps]]&gt;G3191,G3191&lt;&gt;0),1,0)</f>
        <v>0</v>
      </c>
      <c r="I3192">
        <f>IF(AND(Table13[[#This Row],[Direction]]="R",(G3191+Table13[[#This Row],[Steps]])&gt;100),1,0)</f>
        <v>0</v>
      </c>
      <c r="J3192">
        <f>IF(Table13[[#This Row],[POS]]=0,1,0)</f>
        <v>1</v>
      </c>
      <c r="K3192">
        <f>SUM(Table13[[#This Row],[prefix]],Table13[[#This Row],[Past zero L]],Table13[[#This Row],[Past Zero R]],Table13[[#This Row],[Is Zero]])</f>
        <v>3</v>
      </c>
    </row>
    <row r="3193" spans="1:11" ht="16" x14ac:dyDescent="0.2">
      <c r="A3193" s="1" t="s">
        <v>217</v>
      </c>
      <c r="B3193" t="str">
        <f>LEFT(Table13[[#This Row],[Input]],1)</f>
        <v>R</v>
      </c>
      <c r="C3193">
        <f>_xlfn.LET(_xlpm.steps,SUBSTITUTE(Table13[[#This Row],[Input]],Table13[[#This Row],[Direction]],""),VALUE(IF(LEN(_xlpm.steps)&gt;2,RIGHT(_xlpm.steps,2),_xlpm.steps)))</f>
        <v>91</v>
      </c>
      <c r="D3193">
        <f>_xlfn.LET(_xlpm.steps,SUBSTITUTE(Table13[[#This Row],[Input]],Table13[[#This Row],[Direction]],""),VALUE(IF(LEN(_xlpm.steps)&gt;2,LEFT(_xlpm.steps,LEN(_xlpm.steps)-2),0)))</f>
        <v>0</v>
      </c>
      <c r="E3193">
        <f>_xlfn.LET(_xlpm.dir,Table13[[#This Row],[Direction]],
IF(_xlpm.dir="L",
    IF(G3192-Table13[[#This Row],[Steps]]&lt;0,100+(G3192-Table13[[#This Row],[Steps]]),G3192-Table13[[#This Row],[Steps]]),
))</f>
        <v>0</v>
      </c>
      <c r="F3193">
        <f>_xlfn.LET(_xlpm.dir,Table13[[#This Row],[Direction]],
IF(_xlpm.dir="R",
    IF(G3192+Table13[[#This Row],[Steps]]&gt;99,(G3192+Table13[[#This Row],[Steps]])-100,G3192+Table13[[#This Row],[Steps]]),
))</f>
        <v>91</v>
      </c>
      <c r="G3193">
        <f>IF(Table13[[#This Row],[New Pos L]]&lt;&gt;0,Table13[[#This Row],[New Pos L]],Table13[[#This Row],[New Pos R]])</f>
        <v>91</v>
      </c>
      <c r="H3193">
        <f>IF(AND(Table13[[#This Row],[Direction]]="L",Table13[[#This Row],[Steps]]&gt;G3192,G3192&lt;&gt;0),1,0)</f>
        <v>0</v>
      </c>
      <c r="I3193">
        <f>IF(AND(Table13[[#This Row],[Direction]]="R",(G3192+Table13[[#This Row],[Steps]])&gt;100),1,0)</f>
        <v>0</v>
      </c>
      <c r="J3193">
        <f>IF(Table13[[#This Row],[POS]]=0,1,0)</f>
        <v>0</v>
      </c>
      <c r="K3193">
        <f>SUM(Table13[[#This Row],[prefix]],Table13[[#This Row],[Past zero L]],Table13[[#This Row],[Past Zero R]],Table13[[#This Row],[Is Zero]])</f>
        <v>0</v>
      </c>
    </row>
    <row r="3194" spans="1:11" ht="16" x14ac:dyDescent="0.2">
      <c r="A3194" s="1" t="s">
        <v>210</v>
      </c>
      <c r="B3194" t="str">
        <f>LEFT(Table13[[#This Row],[Input]],1)</f>
        <v>R</v>
      </c>
      <c r="C3194">
        <f>_xlfn.LET(_xlpm.steps,SUBSTITUTE(Table13[[#This Row],[Input]],Table13[[#This Row],[Direction]],""),VALUE(IF(LEN(_xlpm.steps)&gt;2,RIGHT(_xlpm.steps,2),_xlpm.steps)))</f>
        <v>89</v>
      </c>
      <c r="D3194">
        <f>_xlfn.LET(_xlpm.steps,SUBSTITUTE(Table13[[#This Row],[Input]],Table13[[#This Row],[Direction]],""),VALUE(IF(LEN(_xlpm.steps)&gt;2,LEFT(_xlpm.steps,LEN(_xlpm.steps)-2),0)))</f>
        <v>0</v>
      </c>
      <c r="E3194">
        <f>_xlfn.LET(_xlpm.dir,Table13[[#This Row],[Direction]],
IF(_xlpm.dir="L",
    IF(G3193-Table13[[#This Row],[Steps]]&lt;0,100+(G3193-Table13[[#This Row],[Steps]]),G3193-Table13[[#This Row],[Steps]]),
))</f>
        <v>0</v>
      </c>
      <c r="F3194">
        <f>_xlfn.LET(_xlpm.dir,Table13[[#This Row],[Direction]],
IF(_xlpm.dir="R",
    IF(G3193+Table13[[#This Row],[Steps]]&gt;99,(G3193+Table13[[#This Row],[Steps]])-100,G3193+Table13[[#This Row],[Steps]]),
))</f>
        <v>80</v>
      </c>
      <c r="G3194">
        <f>IF(Table13[[#This Row],[New Pos L]]&lt;&gt;0,Table13[[#This Row],[New Pos L]],Table13[[#This Row],[New Pos R]])</f>
        <v>80</v>
      </c>
      <c r="H3194">
        <f>IF(AND(Table13[[#This Row],[Direction]]="L",Table13[[#This Row],[Steps]]&gt;G3193,G3193&lt;&gt;0),1,0)</f>
        <v>0</v>
      </c>
      <c r="I3194">
        <f>IF(AND(Table13[[#This Row],[Direction]]="R",(G3193+Table13[[#This Row],[Steps]])&gt;100),1,0)</f>
        <v>1</v>
      </c>
      <c r="J3194">
        <f>IF(Table13[[#This Row],[POS]]=0,1,0)</f>
        <v>0</v>
      </c>
      <c r="K3194">
        <f>SUM(Table13[[#This Row],[prefix]],Table13[[#This Row],[Past zero L]],Table13[[#This Row],[Past Zero R]],Table13[[#This Row],[Is Zero]])</f>
        <v>1</v>
      </c>
    </row>
    <row r="3195" spans="1:11" ht="16" x14ac:dyDescent="0.2">
      <c r="A3195" s="1" t="s">
        <v>62</v>
      </c>
      <c r="B3195" t="str">
        <f>LEFT(Table13[[#This Row],[Input]],1)</f>
        <v>L</v>
      </c>
      <c r="C3195">
        <f>_xlfn.LET(_xlpm.steps,SUBSTITUTE(Table13[[#This Row],[Input]],Table13[[#This Row],[Direction]],""),VALUE(IF(LEN(_xlpm.steps)&gt;2,RIGHT(_xlpm.steps,2),_xlpm.steps)))</f>
        <v>57</v>
      </c>
      <c r="D3195">
        <f>_xlfn.LET(_xlpm.steps,SUBSTITUTE(Table13[[#This Row],[Input]],Table13[[#This Row],[Direction]],""),VALUE(IF(LEN(_xlpm.steps)&gt;2,LEFT(_xlpm.steps,LEN(_xlpm.steps)-2),0)))</f>
        <v>0</v>
      </c>
      <c r="E3195">
        <f>_xlfn.LET(_xlpm.dir,Table13[[#This Row],[Direction]],
IF(_xlpm.dir="L",
    IF(G3194-Table13[[#This Row],[Steps]]&lt;0,100+(G3194-Table13[[#This Row],[Steps]]),G3194-Table13[[#This Row],[Steps]]),
))</f>
        <v>23</v>
      </c>
      <c r="F3195">
        <f>_xlfn.LET(_xlpm.dir,Table13[[#This Row],[Direction]],
IF(_xlpm.dir="R",
    IF(G3194+Table13[[#This Row],[Steps]]&gt;99,(G3194+Table13[[#This Row],[Steps]])-100,G3194+Table13[[#This Row],[Steps]]),
))</f>
        <v>0</v>
      </c>
      <c r="G3195">
        <f>IF(Table13[[#This Row],[New Pos L]]&lt;&gt;0,Table13[[#This Row],[New Pos L]],Table13[[#This Row],[New Pos R]])</f>
        <v>23</v>
      </c>
      <c r="H3195">
        <f>IF(AND(Table13[[#This Row],[Direction]]="L",Table13[[#This Row],[Steps]]&gt;G3194,G3194&lt;&gt;0),1,0)</f>
        <v>0</v>
      </c>
      <c r="I3195">
        <f>IF(AND(Table13[[#This Row],[Direction]]="R",(G3194+Table13[[#This Row],[Steps]])&gt;100),1,0)</f>
        <v>0</v>
      </c>
      <c r="J3195">
        <f>IF(Table13[[#This Row],[POS]]=0,1,0)</f>
        <v>0</v>
      </c>
      <c r="K3195">
        <f>SUM(Table13[[#This Row],[prefix]],Table13[[#This Row],[Past zero L]],Table13[[#This Row],[Past Zero R]],Table13[[#This Row],[Is Zero]])</f>
        <v>0</v>
      </c>
    </row>
    <row r="3196" spans="1:11" ht="16" x14ac:dyDescent="0.2">
      <c r="A3196" s="1" t="s">
        <v>140</v>
      </c>
      <c r="B3196" t="str">
        <f>LEFT(Table13[[#This Row],[Input]],1)</f>
        <v>L</v>
      </c>
      <c r="C3196">
        <f>_xlfn.LET(_xlpm.steps,SUBSTITUTE(Table13[[#This Row],[Input]],Table13[[#This Row],[Direction]],""),VALUE(IF(LEN(_xlpm.steps)&gt;2,RIGHT(_xlpm.steps,2),_xlpm.steps)))</f>
        <v>61</v>
      </c>
      <c r="D3196">
        <f>_xlfn.LET(_xlpm.steps,SUBSTITUTE(Table13[[#This Row],[Input]],Table13[[#This Row],[Direction]],""),VALUE(IF(LEN(_xlpm.steps)&gt;2,LEFT(_xlpm.steps,LEN(_xlpm.steps)-2),0)))</f>
        <v>0</v>
      </c>
      <c r="E3196">
        <f>_xlfn.LET(_xlpm.dir,Table13[[#This Row],[Direction]],
IF(_xlpm.dir="L",
    IF(G3195-Table13[[#This Row],[Steps]]&lt;0,100+(G3195-Table13[[#This Row],[Steps]]),G3195-Table13[[#This Row],[Steps]]),
))</f>
        <v>62</v>
      </c>
      <c r="F3196">
        <f>_xlfn.LET(_xlpm.dir,Table13[[#This Row],[Direction]],
IF(_xlpm.dir="R",
    IF(G3195+Table13[[#This Row],[Steps]]&gt;99,(G3195+Table13[[#This Row],[Steps]])-100,G3195+Table13[[#This Row],[Steps]]),
))</f>
        <v>0</v>
      </c>
      <c r="G3196">
        <f>IF(Table13[[#This Row],[New Pos L]]&lt;&gt;0,Table13[[#This Row],[New Pos L]],Table13[[#This Row],[New Pos R]])</f>
        <v>62</v>
      </c>
      <c r="H3196">
        <f>IF(AND(Table13[[#This Row],[Direction]]="L",Table13[[#This Row],[Steps]]&gt;G3195,G3195&lt;&gt;0),1,0)</f>
        <v>1</v>
      </c>
      <c r="I3196">
        <f>IF(AND(Table13[[#This Row],[Direction]]="R",(G3195+Table13[[#This Row],[Steps]])&gt;100),1,0)</f>
        <v>0</v>
      </c>
      <c r="J3196">
        <f>IF(Table13[[#This Row],[POS]]=0,1,0)</f>
        <v>0</v>
      </c>
      <c r="K3196">
        <f>SUM(Table13[[#This Row],[prefix]],Table13[[#This Row],[Past zero L]],Table13[[#This Row],[Past Zero R]],Table13[[#This Row],[Is Zero]])</f>
        <v>1</v>
      </c>
    </row>
    <row r="3197" spans="1:11" ht="16" x14ac:dyDescent="0.2">
      <c r="A3197" s="1" t="s">
        <v>79</v>
      </c>
      <c r="B3197" t="str">
        <f>LEFT(Table13[[#This Row],[Input]],1)</f>
        <v>L</v>
      </c>
      <c r="C3197">
        <f>_xlfn.LET(_xlpm.steps,SUBSTITUTE(Table13[[#This Row],[Input]],Table13[[#This Row],[Direction]],""),VALUE(IF(LEN(_xlpm.steps)&gt;2,RIGHT(_xlpm.steps,2),_xlpm.steps)))</f>
        <v>45</v>
      </c>
      <c r="D3197">
        <f>_xlfn.LET(_xlpm.steps,SUBSTITUTE(Table13[[#This Row],[Input]],Table13[[#This Row],[Direction]],""),VALUE(IF(LEN(_xlpm.steps)&gt;2,LEFT(_xlpm.steps,LEN(_xlpm.steps)-2),0)))</f>
        <v>0</v>
      </c>
      <c r="E3197">
        <f>_xlfn.LET(_xlpm.dir,Table13[[#This Row],[Direction]],
IF(_xlpm.dir="L",
    IF(G3196-Table13[[#This Row],[Steps]]&lt;0,100+(G3196-Table13[[#This Row],[Steps]]),G3196-Table13[[#This Row],[Steps]]),
))</f>
        <v>17</v>
      </c>
      <c r="F3197">
        <f>_xlfn.LET(_xlpm.dir,Table13[[#This Row],[Direction]],
IF(_xlpm.dir="R",
    IF(G3196+Table13[[#This Row],[Steps]]&gt;99,(G3196+Table13[[#This Row],[Steps]])-100,G3196+Table13[[#This Row],[Steps]]),
))</f>
        <v>0</v>
      </c>
      <c r="G3197">
        <f>IF(Table13[[#This Row],[New Pos L]]&lt;&gt;0,Table13[[#This Row],[New Pos L]],Table13[[#This Row],[New Pos R]])</f>
        <v>17</v>
      </c>
      <c r="H3197">
        <f>IF(AND(Table13[[#This Row],[Direction]]="L",Table13[[#This Row],[Steps]]&gt;G3196,G3196&lt;&gt;0),1,0)</f>
        <v>0</v>
      </c>
      <c r="I3197">
        <f>IF(AND(Table13[[#This Row],[Direction]]="R",(G3196+Table13[[#This Row],[Steps]])&gt;100),1,0)</f>
        <v>0</v>
      </c>
      <c r="J3197">
        <f>IF(Table13[[#This Row],[POS]]=0,1,0)</f>
        <v>0</v>
      </c>
      <c r="K3197">
        <f>SUM(Table13[[#This Row],[prefix]],Table13[[#This Row],[Past zero L]],Table13[[#This Row],[Past Zero R]],Table13[[#This Row],[Is Zero]])</f>
        <v>0</v>
      </c>
    </row>
    <row r="3198" spans="1:11" ht="16" x14ac:dyDescent="0.2">
      <c r="A3198" s="1" t="s">
        <v>3</v>
      </c>
      <c r="B3198" t="str">
        <f>LEFT(Table13[[#This Row],[Input]],1)</f>
        <v>R</v>
      </c>
      <c r="C3198">
        <f>_xlfn.LET(_xlpm.steps,SUBSTITUTE(Table13[[#This Row],[Input]],Table13[[#This Row],[Direction]],""),VALUE(IF(LEN(_xlpm.steps)&gt;2,RIGHT(_xlpm.steps,2),_xlpm.steps)))</f>
        <v>44</v>
      </c>
      <c r="D3198">
        <f>_xlfn.LET(_xlpm.steps,SUBSTITUTE(Table13[[#This Row],[Input]],Table13[[#This Row],[Direction]],""),VALUE(IF(LEN(_xlpm.steps)&gt;2,LEFT(_xlpm.steps,LEN(_xlpm.steps)-2),0)))</f>
        <v>0</v>
      </c>
      <c r="E3198">
        <f>_xlfn.LET(_xlpm.dir,Table13[[#This Row],[Direction]],
IF(_xlpm.dir="L",
    IF(G3197-Table13[[#This Row],[Steps]]&lt;0,100+(G3197-Table13[[#This Row],[Steps]]),G3197-Table13[[#This Row],[Steps]]),
))</f>
        <v>0</v>
      </c>
      <c r="F3198">
        <f>_xlfn.LET(_xlpm.dir,Table13[[#This Row],[Direction]],
IF(_xlpm.dir="R",
    IF(G3197+Table13[[#This Row],[Steps]]&gt;99,(G3197+Table13[[#This Row],[Steps]])-100,G3197+Table13[[#This Row],[Steps]]),
))</f>
        <v>61</v>
      </c>
      <c r="G3198">
        <f>IF(Table13[[#This Row],[New Pos L]]&lt;&gt;0,Table13[[#This Row],[New Pos L]],Table13[[#This Row],[New Pos R]])</f>
        <v>61</v>
      </c>
      <c r="H3198">
        <f>IF(AND(Table13[[#This Row],[Direction]]="L",Table13[[#This Row],[Steps]]&gt;G3197,G3197&lt;&gt;0),1,0)</f>
        <v>0</v>
      </c>
      <c r="I3198">
        <f>IF(AND(Table13[[#This Row],[Direction]]="R",(G3197+Table13[[#This Row],[Steps]])&gt;100),1,0)</f>
        <v>0</v>
      </c>
      <c r="J3198">
        <f>IF(Table13[[#This Row],[POS]]=0,1,0)</f>
        <v>0</v>
      </c>
      <c r="K3198">
        <f>SUM(Table13[[#This Row],[prefix]],Table13[[#This Row],[Past zero L]],Table13[[#This Row],[Past Zero R]],Table13[[#This Row],[Is Zero]])</f>
        <v>0</v>
      </c>
    </row>
    <row r="3199" spans="1:11" ht="16" x14ac:dyDescent="0.2">
      <c r="A3199" s="1" t="s">
        <v>191</v>
      </c>
      <c r="B3199" t="str">
        <f>LEFT(Table13[[#This Row],[Input]],1)</f>
        <v>L</v>
      </c>
      <c r="C3199">
        <f>_xlfn.LET(_xlpm.steps,SUBSTITUTE(Table13[[#This Row],[Input]],Table13[[#This Row],[Direction]],""),VALUE(IF(LEN(_xlpm.steps)&gt;2,RIGHT(_xlpm.steps,2),_xlpm.steps)))</f>
        <v>5</v>
      </c>
      <c r="D3199">
        <f>_xlfn.LET(_xlpm.steps,SUBSTITUTE(Table13[[#This Row],[Input]],Table13[[#This Row],[Direction]],""),VALUE(IF(LEN(_xlpm.steps)&gt;2,LEFT(_xlpm.steps,LEN(_xlpm.steps)-2),0)))</f>
        <v>0</v>
      </c>
      <c r="E3199">
        <f>_xlfn.LET(_xlpm.dir,Table13[[#This Row],[Direction]],
IF(_xlpm.dir="L",
    IF(G3198-Table13[[#This Row],[Steps]]&lt;0,100+(G3198-Table13[[#This Row],[Steps]]),G3198-Table13[[#This Row],[Steps]]),
))</f>
        <v>56</v>
      </c>
      <c r="F3199">
        <f>_xlfn.LET(_xlpm.dir,Table13[[#This Row],[Direction]],
IF(_xlpm.dir="R",
    IF(G3198+Table13[[#This Row],[Steps]]&gt;99,(G3198+Table13[[#This Row],[Steps]])-100,G3198+Table13[[#This Row],[Steps]]),
))</f>
        <v>0</v>
      </c>
      <c r="G3199">
        <f>IF(Table13[[#This Row],[New Pos L]]&lt;&gt;0,Table13[[#This Row],[New Pos L]],Table13[[#This Row],[New Pos R]])</f>
        <v>56</v>
      </c>
      <c r="H3199">
        <f>IF(AND(Table13[[#This Row],[Direction]]="L",Table13[[#This Row],[Steps]]&gt;G3198,G3198&lt;&gt;0),1,0)</f>
        <v>0</v>
      </c>
      <c r="I3199">
        <f>IF(AND(Table13[[#This Row],[Direction]]="R",(G3198+Table13[[#This Row],[Steps]])&gt;100),1,0)</f>
        <v>0</v>
      </c>
      <c r="J3199">
        <f>IF(Table13[[#This Row],[POS]]=0,1,0)</f>
        <v>0</v>
      </c>
      <c r="K3199">
        <f>SUM(Table13[[#This Row],[prefix]],Table13[[#This Row],[Past zero L]],Table13[[#This Row],[Past Zero R]],Table13[[#This Row],[Is Zero]])</f>
        <v>0</v>
      </c>
    </row>
    <row r="3200" spans="1:11" ht="16" x14ac:dyDescent="0.2">
      <c r="A3200" s="1" t="s">
        <v>135</v>
      </c>
      <c r="B3200" t="str">
        <f>LEFT(Table13[[#This Row],[Input]],1)</f>
        <v>R</v>
      </c>
      <c r="C3200">
        <f>_xlfn.LET(_xlpm.steps,SUBSTITUTE(Table13[[#This Row],[Input]],Table13[[#This Row],[Direction]],""),VALUE(IF(LEN(_xlpm.steps)&gt;2,RIGHT(_xlpm.steps,2),_xlpm.steps)))</f>
        <v>69</v>
      </c>
      <c r="D3200">
        <f>_xlfn.LET(_xlpm.steps,SUBSTITUTE(Table13[[#This Row],[Input]],Table13[[#This Row],[Direction]],""),VALUE(IF(LEN(_xlpm.steps)&gt;2,LEFT(_xlpm.steps,LEN(_xlpm.steps)-2),0)))</f>
        <v>0</v>
      </c>
      <c r="E3200">
        <f>_xlfn.LET(_xlpm.dir,Table13[[#This Row],[Direction]],
IF(_xlpm.dir="L",
    IF(G3199-Table13[[#This Row],[Steps]]&lt;0,100+(G3199-Table13[[#This Row],[Steps]]),G3199-Table13[[#This Row],[Steps]]),
))</f>
        <v>0</v>
      </c>
      <c r="F3200">
        <f>_xlfn.LET(_xlpm.dir,Table13[[#This Row],[Direction]],
IF(_xlpm.dir="R",
    IF(G3199+Table13[[#This Row],[Steps]]&gt;99,(G3199+Table13[[#This Row],[Steps]])-100,G3199+Table13[[#This Row],[Steps]]),
))</f>
        <v>25</v>
      </c>
      <c r="G3200">
        <f>IF(Table13[[#This Row],[New Pos L]]&lt;&gt;0,Table13[[#This Row],[New Pos L]],Table13[[#This Row],[New Pos R]])</f>
        <v>25</v>
      </c>
      <c r="H3200">
        <f>IF(AND(Table13[[#This Row],[Direction]]="L",Table13[[#This Row],[Steps]]&gt;G3199,G3199&lt;&gt;0),1,0)</f>
        <v>0</v>
      </c>
      <c r="I3200">
        <f>IF(AND(Table13[[#This Row],[Direction]]="R",(G3199+Table13[[#This Row],[Steps]])&gt;100),1,0)</f>
        <v>1</v>
      </c>
      <c r="J3200">
        <f>IF(Table13[[#This Row],[POS]]=0,1,0)</f>
        <v>0</v>
      </c>
      <c r="K3200">
        <f>SUM(Table13[[#This Row],[prefix]],Table13[[#This Row],[Past zero L]],Table13[[#This Row],[Past Zero R]],Table13[[#This Row],[Is Zero]])</f>
        <v>1</v>
      </c>
    </row>
    <row r="3201" spans="1:11" ht="16" x14ac:dyDescent="0.2">
      <c r="A3201" s="1" t="s">
        <v>122</v>
      </c>
      <c r="B3201" t="str">
        <f>LEFT(Table13[[#This Row],[Input]],1)</f>
        <v>R</v>
      </c>
      <c r="C3201">
        <f>_xlfn.LET(_xlpm.steps,SUBSTITUTE(Table13[[#This Row],[Input]],Table13[[#This Row],[Direction]],""),VALUE(IF(LEN(_xlpm.steps)&gt;2,RIGHT(_xlpm.steps,2),_xlpm.steps)))</f>
        <v>75</v>
      </c>
      <c r="D3201">
        <f>_xlfn.LET(_xlpm.steps,SUBSTITUTE(Table13[[#This Row],[Input]],Table13[[#This Row],[Direction]],""),VALUE(IF(LEN(_xlpm.steps)&gt;2,LEFT(_xlpm.steps,LEN(_xlpm.steps)-2),0)))</f>
        <v>0</v>
      </c>
      <c r="E3201">
        <f>_xlfn.LET(_xlpm.dir,Table13[[#This Row],[Direction]],
IF(_xlpm.dir="L",
    IF(G3200-Table13[[#This Row],[Steps]]&lt;0,100+(G3200-Table13[[#This Row],[Steps]]),G3200-Table13[[#This Row],[Steps]]),
))</f>
        <v>0</v>
      </c>
      <c r="F3201">
        <f>_xlfn.LET(_xlpm.dir,Table13[[#This Row],[Direction]],
IF(_xlpm.dir="R",
    IF(G3200+Table13[[#This Row],[Steps]]&gt;99,(G3200+Table13[[#This Row],[Steps]])-100,G3200+Table13[[#This Row],[Steps]]),
))</f>
        <v>0</v>
      </c>
      <c r="G3201">
        <f>IF(Table13[[#This Row],[New Pos L]]&lt;&gt;0,Table13[[#This Row],[New Pos L]],Table13[[#This Row],[New Pos R]])</f>
        <v>0</v>
      </c>
      <c r="H3201">
        <f>IF(AND(Table13[[#This Row],[Direction]]="L",Table13[[#This Row],[Steps]]&gt;G3200,G3200&lt;&gt;0),1,0)</f>
        <v>0</v>
      </c>
      <c r="I3201">
        <f>IF(AND(Table13[[#This Row],[Direction]]="R",(G3200+Table13[[#This Row],[Steps]])&gt;100),1,0)</f>
        <v>0</v>
      </c>
      <c r="J3201">
        <f>IF(Table13[[#This Row],[POS]]=0,1,0)</f>
        <v>1</v>
      </c>
      <c r="K3201">
        <f>SUM(Table13[[#This Row],[prefix]],Table13[[#This Row],[Past zero L]],Table13[[#This Row],[Past Zero R]],Table13[[#This Row],[Is Zero]])</f>
        <v>1</v>
      </c>
    </row>
    <row r="3202" spans="1:11" ht="16" x14ac:dyDescent="0.2">
      <c r="A3202" s="1" t="s">
        <v>712</v>
      </c>
      <c r="B3202" t="str">
        <f>LEFT(Table13[[#This Row],[Input]],1)</f>
        <v>R</v>
      </c>
      <c r="C3202">
        <f>_xlfn.LET(_xlpm.steps,SUBSTITUTE(Table13[[#This Row],[Input]],Table13[[#This Row],[Direction]],""),VALUE(IF(LEN(_xlpm.steps)&gt;2,RIGHT(_xlpm.steps,2),_xlpm.steps)))</f>
        <v>58</v>
      </c>
      <c r="D3202">
        <f>_xlfn.LET(_xlpm.steps,SUBSTITUTE(Table13[[#This Row],[Input]],Table13[[#This Row],[Direction]],""),VALUE(IF(LEN(_xlpm.steps)&gt;2,LEFT(_xlpm.steps,LEN(_xlpm.steps)-2),0)))</f>
        <v>3</v>
      </c>
      <c r="E3202">
        <f>_xlfn.LET(_xlpm.dir,Table13[[#This Row],[Direction]],
IF(_xlpm.dir="L",
    IF(G3201-Table13[[#This Row],[Steps]]&lt;0,100+(G3201-Table13[[#This Row],[Steps]]),G3201-Table13[[#This Row],[Steps]]),
))</f>
        <v>0</v>
      </c>
      <c r="F3202">
        <f>_xlfn.LET(_xlpm.dir,Table13[[#This Row],[Direction]],
IF(_xlpm.dir="R",
    IF(G3201+Table13[[#This Row],[Steps]]&gt;99,(G3201+Table13[[#This Row],[Steps]])-100,G3201+Table13[[#This Row],[Steps]]),
))</f>
        <v>58</v>
      </c>
      <c r="G3202">
        <f>IF(Table13[[#This Row],[New Pos L]]&lt;&gt;0,Table13[[#This Row],[New Pos L]],Table13[[#This Row],[New Pos R]])</f>
        <v>58</v>
      </c>
      <c r="H3202">
        <f>IF(AND(Table13[[#This Row],[Direction]]="L",Table13[[#This Row],[Steps]]&gt;G3201,G3201&lt;&gt;0),1,0)</f>
        <v>0</v>
      </c>
      <c r="I3202">
        <f>IF(AND(Table13[[#This Row],[Direction]]="R",(G3201+Table13[[#This Row],[Steps]])&gt;100),1,0)</f>
        <v>0</v>
      </c>
      <c r="J3202">
        <f>IF(Table13[[#This Row],[POS]]=0,1,0)</f>
        <v>0</v>
      </c>
      <c r="K3202">
        <f>SUM(Table13[[#This Row],[prefix]],Table13[[#This Row],[Past zero L]],Table13[[#This Row],[Past Zero R]],Table13[[#This Row],[Is Zero]])</f>
        <v>3</v>
      </c>
    </row>
    <row r="3203" spans="1:11" ht="16" x14ac:dyDescent="0.2">
      <c r="A3203" s="1" t="s">
        <v>13</v>
      </c>
      <c r="B3203" t="str">
        <f>LEFT(Table13[[#This Row],[Input]],1)</f>
        <v>R</v>
      </c>
      <c r="C3203">
        <f>_xlfn.LET(_xlpm.steps,SUBSTITUTE(Table13[[#This Row],[Input]],Table13[[#This Row],[Direction]],""),VALUE(IF(LEN(_xlpm.steps)&gt;2,RIGHT(_xlpm.steps,2),_xlpm.steps)))</f>
        <v>12</v>
      </c>
      <c r="D3203">
        <f>_xlfn.LET(_xlpm.steps,SUBSTITUTE(Table13[[#This Row],[Input]],Table13[[#This Row],[Direction]],""),VALUE(IF(LEN(_xlpm.steps)&gt;2,LEFT(_xlpm.steps,LEN(_xlpm.steps)-2),0)))</f>
        <v>0</v>
      </c>
      <c r="E3203">
        <f>_xlfn.LET(_xlpm.dir,Table13[[#This Row],[Direction]],
IF(_xlpm.dir="L",
    IF(G3202-Table13[[#This Row],[Steps]]&lt;0,100+(G3202-Table13[[#This Row],[Steps]]),G3202-Table13[[#This Row],[Steps]]),
))</f>
        <v>0</v>
      </c>
      <c r="F3203">
        <f>_xlfn.LET(_xlpm.dir,Table13[[#This Row],[Direction]],
IF(_xlpm.dir="R",
    IF(G3202+Table13[[#This Row],[Steps]]&gt;99,(G3202+Table13[[#This Row],[Steps]])-100,G3202+Table13[[#This Row],[Steps]]),
))</f>
        <v>70</v>
      </c>
      <c r="G3203">
        <f>IF(Table13[[#This Row],[New Pos L]]&lt;&gt;0,Table13[[#This Row],[New Pos L]],Table13[[#This Row],[New Pos R]])</f>
        <v>70</v>
      </c>
      <c r="H3203">
        <f>IF(AND(Table13[[#This Row],[Direction]]="L",Table13[[#This Row],[Steps]]&gt;G3202,G3202&lt;&gt;0),1,0)</f>
        <v>0</v>
      </c>
      <c r="I3203">
        <f>IF(AND(Table13[[#This Row],[Direction]]="R",(G3202+Table13[[#This Row],[Steps]])&gt;100),1,0)</f>
        <v>0</v>
      </c>
      <c r="J3203">
        <f>IF(Table13[[#This Row],[POS]]=0,1,0)</f>
        <v>0</v>
      </c>
      <c r="K3203">
        <f>SUM(Table13[[#This Row],[prefix]],Table13[[#This Row],[Past zero L]],Table13[[#This Row],[Past Zero R]],Table13[[#This Row],[Is Zero]])</f>
        <v>0</v>
      </c>
    </row>
    <row r="3204" spans="1:11" ht="16" x14ac:dyDescent="0.2">
      <c r="A3204" s="1" t="s">
        <v>28</v>
      </c>
      <c r="B3204" t="str">
        <f>LEFT(Table13[[#This Row],[Input]],1)</f>
        <v>R</v>
      </c>
      <c r="C3204">
        <f>_xlfn.LET(_xlpm.steps,SUBSTITUTE(Table13[[#This Row],[Input]],Table13[[#This Row],[Direction]],""),VALUE(IF(LEN(_xlpm.steps)&gt;2,RIGHT(_xlpm.steps,2),_xlpm.steps)))</f>
        <v>30</v>
      </c>
      <c r="D3204">
        <f>_xlfn.LET(_xlpm.steps,SUBSTITUTE(Table13[[#This Row],[Input]],Table13[[#This Row],[Direction]],""),VALUE(IF(LEN(_xlpm.steps)&gt;2,LEFT(_xlpm.steps,LEN(_xlpm.steps)-2),0)))</f>
        <v>0</v>
      </c>
      <c r="E3204">
        <f>_xlfn.LET(_xlpm.dir,Table13[[#This Row],[Direction]],
IF(_xlpm.dir="L",
    IF(G3203-Table13[[#This Row],[Steps]]&lt;0,100+(G3203-Table13[[#This Row],[Steps]]),G3203-Table13[[#This Row],[Steps]]),
))</f>
        <v>0</v>
      </c>
      <c r="F3204">
        <f>_xlfn.LET(_xlpm.dir,Table13[[#This Row],[Direction]],
IF(_xlpm.dir="R",
    IF(G3203+Table13[[#This Row],[Steps]]&gt;99,(G3203+Table13[[#This Row],[Steps]])-100,G3203+Table13[[#This Row],[Steps]]),
))</f>
        <v>0</v>
      </c>
      <c r="G3204">
        <f>IF(Table13[[#This Row],[New Pos L]]&lt;&gt;0,Table13[[#This Row],[New Pos L]],Table13[[#This Row],[New Pos R]])</f>
        <v>0</v>
      </c>
      <c r="H3204">
        <f>IF(AND(Table13[[#This Row],[Direction]]="L",Table13[[#This Row],[Steps]]&gt;G3203,G3203&lt;&gt;0),1,0)</f>
        <v>0</v>
      </c>
      <c r="I3204">
        <f>IF(AND(Table13[[#This Row],[Direction]]="R",(G3203+Table13[[#This Row],[Steps]])&gt;100),1,0)</f>
        <v>0</v>
      </c>
      <c r="J3204">
        <f>IF(Table13[[#This Row],[POS]]=0,1,0)</f>
        <v>1</v>
      </c>
      <c r="K3204">
        <f>SUM(Table13[[#This Row],[prefix]],Table13[[#This Row],[Past zero L]],Table13[[#This Row],[Past Zero R]],Table13[[#This Row],[Is Zero]])</f>
        <v>1</v>
      </c>
    </row>
    <row r="3205" spans="1:11" ht="16" x14ac:dyDescent="0.2">
      <c r="A3205" s="1" t="s">
        <v>75</v>
      </c>
      <c r="B3205" t="str">
        <f>LEFT(Table13[[#This Row],[Input]],1)</f>
        <v>R</v>
      </c>
      <c r="C3205">
        <f>_xlfn.LET(_xlpm.steps,SUBSTITUTE(Table13[[#This Row],[Input]],Table13[[#This Row],[Direction]],""),VALUE(IF(LEN(_xlpm.steps)&gt;2,RIGHT(_xlpm.steps,2),_xlpm.steps)))</f>
        <v>2</v>
      </c>
      <c r="D3205">
        <f>_xlfn.LET(_xlpm.steps,SUBSTITUTE(Table13[[#This Row],[Input]],Table13[[#This Row],[Direction]],""),VALUE(IF(LEN(_xlpm.steps)&gt;2,LEFT(_xlpm.steps,LEN(_xlpm.steps)-2),0)))</f>
        <v>0</v>
      </c>
      <c r="E3205">
        <f>_xlfn.LET(_xlpm.dir,Table13[[#This Row],[Direction]],
IF(_xlpm.dir="L",
    IF(G3204-Table13[[#This Row],[Steps]]&lt;0,100+(G3204-Table13[[#This Row],[Steps]]),G3204-Table13[[#This Row],[Steps]]),
))</f>
        <v>0</v>
      </c>
      <c r="F3205">
        <f>_xlfn.LET(_xlpm.dir,Table13[[#This Row],[Direction]],
IF(_xlpm.dir="R",
    IF(G3204+Table13[[#This Row],[Steps]]&gt;99,(G3204+Table13[[#This Row],[Steps]])-100,G3204+Table13[[#This Row],[Steps]]),
))</f>
        <v>2</v>
      </c>
      <c r="G3205">
        <f>IF(Table13[[#This Row],[New Pos L]]&lt;&gt;0,Table13[[#This Row],[New Pos L]],Table13[[#This Row],[New Pos R]])</f>
        <v>2</v>
      </c>
      <c r="H3205">
        <f>IF(AND(Table13[[#This Row],[Direction]]="L",Table13[[#This Row],[Steps]]&gt;G3204,G3204&lt;&gt;0),1,0)</f>
        <v>0</v>
      </c>
      <c r="I3205">
        <f>IF(AND(Table13[[#This Row],[Direction]]="R",(G3204+Table13[[#This Row],[Steps]])&gt;100),1,0)</f>
        <v>0</v>
      </c>
      <c r="J3205">
        <f>IF(Table13[[#This Row],[POS]]=0,1,0)</f>
        <v>0</v>
      </c>
      <c r="K3205">
        <f>SUM(Table13[[#This Row],[prefix]],Table13[[#This Row],[Past zero L]],Table13[[#This Row],[Past Zero R]],Table13[[#This Row],[Is Zero]])</f>
        <v>0</v>
      </c>
    </row>
    <row r="3206" spans="1:11" ht="16" x14ac:dyDescent="0.2">
      <c r="A3206" s="1" t="s">
        <v>256</v>
      </c>
      <c r="B3206" t="str">
        <f>LEFT(Table13[[#This Row],[Input]],1)</f>
        <v>R</v>
      </c>
      <c r="C3206">
        <f>_xlfn.LET(_xlpm.steps,SUBSTITUTE(Table13[[#This Row],[Input]],Table13[[#This Row],[Direction]],""),VALUE(IF(LEN(_xlpm.steps)&gt;2,RIGHT(_xlpm.steps,2),_xlpm.steps)))</f>
        <v>13</v>
      </c>
      <c r="D3206">
        <f>_xlfn.LET(_xlpm.steps,SUBSTITUTE(Table13[[#This Row],[Input]],Table13[[#This Row],[Direction]],""),VALUE(IF(LEN(_xlpm.steps)&gt;2,LEFT(_xlpm.steps,LEN(_xlpm.steps)-2),0)))</f>
        <v>0</v>
      </c>
      <c r="E3206">
        <f>_xlfn.LET(_xlpm.dir,Table13[[#This Row],[Direction]],
IF(_xlpm.dir="L",
    IF(G3205-Table13[[#This Row],[Steps]]&lt;0,100+(G3205-Table13[[#This Row],[Steps]]),G3205-Table13[[#This Row],[Steps]]),
))</f>
        <v>0</v>
      </c>
      <c r="F3206">
        <f>_xlfn.LET(_xlpm.dir,Table13[[#This Row],[Direction]],
IF(_xlpm.dir="R",
    IF(G3205+Table13[[#This Row],[Steps]]&gt;99,(G3205+Table13[[#This Row],[Steps]])-100,G3205+Table13[[#This Row],[Steps]]),
))</f>
        <v>15</v>
      </c>
      <c r="G3206">
        <f>IF(Table13[[#This Row],[New Pos L]]&lt;&gt;0,Table13[[#This Row],[New Pos L]],Table13[[#This Row],[New Pos R]])</f>
        <v>15</v>
      </c>
      <c r="H3206">
        <f>IF(AND(Table13[[#This Row],[Direction]]="L",Table13[[#This Row],[Steps]]&gt;G3205,G3205&lt;&gt;0),1,0)</f>
        <v>0</v>
      </c>
      <c r="I3206">
        <f>IF(AND(Table13[[#This Row],[Direction]]="R",(G3205+Table13[[#This Row],[Steps]])&gt;100),1,0)</f>
        <v>0</v>
      </c>
      <c r="J3206">
        <f>IF(Table13[[#This Row],[POS]]=0,1,0)</f>
        <v>0</v>
      </c>
      <c r="K3206">
        <f>SUM(Table13[[#This Row],[prefix]],Table13[[#This Row],[Past zero L]],Table13[[#This Row],[Past Zero R]],Table13[[#This Row],[Is Zero]])</f>
        <v>0</v>
      </c>
    </row>
    <row r="3207" spans="1:11" ht="16" x14ac:dyDescent="0.2">
      <c r="A3207" s="1" t="s">
        <v>402</v>
      </c>
      <c r="B3207" t="str">
        <f>LEFT(Table13[[#This Row],[Input]],1)</f>
        <v>R</v>
      </c>
      <c r="C3207">
        <f>_xlfn.LET(_xlpm.steps,SUBSTITUTE(Table13[[#This Row],[Input]],Table13[[#This Row],[Direction]],""),VALUE(IF(LEN(_xlpm.steps)&gt;2,RIGHT(_xlpm.steps,2),_xlpm.steps)))</f>
        <v>91</v>
      </c>
      <c r="D3207">
        <f>_xlfn.LET(_xlpm.steps,SUBSTITUTE(Table13[[#This Row],[Input]],Table13[[#This Row],[Direction]],""),VALUE(IF(LEN(_xlpm.steps)&gt;2,LEFT(_xlpm.steps,LEN(_xlpm.steps)-2),0)))</f>
        <v>1</v>
      </c>
      <c r="E3207">
        <f>_xlfn.LET(_xlpm.dir,Table13[[#This Row],[Direction]],
IF(_xlpm.dir="L",
    IF(G3206-Table13[[#This Row],[Steps]]&lt;0,100+(G3206-Table13[[#This Row],[Steps]]),G3206-Table13[[#This Row],[Steps]]),
))</f>
        <v>0</v>
      </c>
      <c r="F3207">
        <f>_xlfn.LET(_xlpm.dir,Table13[[#This Row],[Direction]],
IF(_xlpm.dir="R",
    IF(G3206+Table13[[#This Row],[Steps]]&gt;99,(G3206+Table13[[#This Row],[Steps]])-100,G3206+Table13[[#This Row],[Steps]]),
))</f>
        <v>6</v>
      </c>
      <c r="G3207">
        <f>IF(Table13[[#This Row],[New Pos L]]&lt;&gt;0,Table13[[#This Row],[New Pos L]],Table13[[#This Row],[New Pos R]])</f>
        <v>6</v>
      </c>
      <c r="H3207">
        <f>IF(AND(Table13[[#This Row],[Direction]]="L",Table13[[#This Row],[Steps]]&gt;G3206,G3206&lt;&gt;0),1,0)</f>
        <v>0</v>
      </c>
      <c r="I3207">
        <f>IF(AND(Table13[[#This Row],[Direction]]="R",(G3206+Table13[[#This Row],[Steps]])&gt;100),1,0)</f>
        <v>1</v>
      </c>
      <c r="J3207">
        <f>IF(Table13[[#This Row],[POS]]=0,1,0)</f>
        <v>0</v>
      </c>
      <c r="K3207">
        <f>SUM(Table13[[#This Row],[prefix]],Table13[[#This Row],[Past zero L]],Table13[[#This Row],[Past Zero R]],Table13[[#This Row],[Is Zero]])</f>
        <v>2</v>
      </c>
    </row>
    <row r="3208" spans="1:11" ht="16" x14ac:dyDescent="0.2">
      <c r="A3208" s="1" t="s">
        <v>272</v>
      </c>
      <c r="B3208" t="str">
        <f>LEFT(Table13[[#This Row],[Input]],1)</f>
        <v>R</v>
      </c>
      <c r="C3208">
        <f>_xlfn.LET(_xlpm.steps,SUBSTITUTE(Table13[[#This Row],[Input]],Table13[[#This Row],[Direction]],""),VALUE(IF(LEN(_xlpm.steps)&gt;2,RIGHT(_xlpm.steps,2),_xlpm.steps)))</f>
        <v>56</v>
      </c>
      <c r="D3208">
        <f>_xlfn.LET(_xlpm.steps,SUBSTITUTE(Table13[[#This Row],[Input]],Table13[[#This Row],[Direction]],""),VALUE(IF(LEN(_xlpm.steps)&gt;2,LEFT(_xlpm.steps,LEN(_xlpm.steps)-2),0)))</f>
        <v>0</v>
      </c>
      <c r="E3208">
        <f>_xlfn.LET(_xlpm.dir,Table13[[#This Row],[Direction]],
IF(_xlpm.dir="L",
    IF(G3207-Table13[[#This Row],[Steps]]&lt;0,100+(G3207-Table13[[#This Row],[Steps]]),G3207-Table13[[#This Row],[Steps]]),
))</f>
        <v>0</v>
      </c>
      <c r="F3208">
        <f>_xlfn.LET(_xlpm.dir,Table13[[#This Row],[Direction]],
IF(_xlpm.dir="R",
    IF(G3207+Table13[[#This Row],[Steps]]&gt;99,(G3207+Table13[[#This Row],[Steps]])-100,G3207+Table13[[#This Row],[Steps]]),
))</f>
        <v>62</v>
      </c>
      <c r="G3208">
        <f>IF(Table13[[#This Row],[New Pos L]]&lt;&gt;0,Table13[[#This Row],[New Pos L]],Table13[[#This Row],[New Pos R]])</f>
        <v>62</v>
      </c>
      <c r="H3208">
        <f>IF(AND(Table13[[#This Row],[Direction]]="L",Table13[[#This Row],[Steps]]&gt;G3207,G3207&lt;&gt;0),1,0)</f>
        <v>0</v>
      </c>
      <c r="I3208">
        <f>IF(AND(Table13[[#This Row],[Direction]]="R",(G3207+Table13[[#This Row],[Steps]])&gt;100),1,0)</f>
        <v>0</v>
      </c>
      <c r="J3208">
        <f>IF(Table13[[#This Row],[POS]]=0,1,0)</f>
        <v>0</v>
      </c>
      <c r="K3208">
        <f>SUM(Table13[[#This Row],[prefix]],Table13[[#This Row],[Past zero L]],Table13[[#This Row],[Past Zero R]],Table13[[#This Row],[Is Zero]])</f>
        <v>0</v>
      </c>
    </row>
    <row r="3209" spans="1:11" ht="16" x14ac:dyDescent="0.2">
      <c r="A3209" s="1" t="s">
        <v>139</v>
      </c>
      <c r="B3209" t="str">
        <f>LEFT(Table13[[#This Row],[Input]],1)</f>
        <v>R</v>
      </c>
      <c r="C3209">
        <f>_xlfn.LET(_xlpm.steps,SUBSTITUTE(Table13[[#This Row],[Input]],Table13[[#This Row],[Direction]],""),VALUE(IF(LEN(_xlpm.steps)&gt;2,RIGHT(_xlpm.steps,2),_xlpm.steps)))</f>
        <v>38</v>
      </c>
      <c r="D3209">
        <f>_xlfn.LET(_xlpm.steps,SUBSTITUTE(Table13[[#This Row],[Input]],Table13[[#This Row],[Direction]],""),VALUE(IF(LEN(_xlpm.steps)&gt;2,LEFT(_xlpm.steps,LEN(_xlpm.steps)-2),0)))</f>
        <v>0</v>
      </c>
      <c r="E3209">
        <f>_xlfn.LET(_xlpm.dir,Table13[[#This Row],[Direction]],
IF(_xlpm.dir="L",
    IF(G3208-Table13[[#This Row],[Steps]]&lt;0,100+(G3208-Table13[[#This Row],[Steps]]),G3208-Table13[[#This Row],[Steps]]),
))</f>
        <v>0</v>
      </c>
      <c r="F3209">
        <f>_xlfn.LET(_xlpm.dir,Table13[[#This Row],[Direction]],
IF(_xlpm.dir="R",
    IF(G3208+Table13[[#This Row],[Steps]]&gt;99,(G3208+Table13[[#This Row],[Steps]])-100,G3208+Table13[[#This Row],[Steps]]),
))</f>
        <v>0</v>
      </c>
      <c r="G3209">
        <f>IF(Table13[[#This Row],[New Pos L]]&lt;&gt;0,Table13[[#This Row],[New Pos L]],Table13[[#This Row],[New Pos R]])</f>
        <v>0</v>
      </c>
      <c r="H3209">
        <f>IF(AND(Table13[[#This Row],[Direction]]="L",Table13[[#This Row],[Steps]]&gt;G3208,G3208&lt;&gt;0),1,0)</f>
        <v>0</v>
      </c>
      <c r="I3209">
        <f>IF(AND(Table13[[#This Row],[Direction]]="R",(G3208+Table13[[#This Row],[Steps]])&gt;100),1,0)</f>
        <v>0</v>
      </c>
      <c r="J3209">
        <f>IF(Table13[[#This Row],[POS]]=0,1,0)</f>
        <v>1</v>
      </c>
      <c r="K3209">
        <f>SUM(Table13[[#This Row],[prefix]],Table13[[#This Row],[Past zero L]],Table13[[#This Row],[Past Zero R]],Table13[[#This Row],[Is Zero]])</f>
        <v>1</v>
      </c>
    </row>
    <row r="3210" spans="1:11" ht="16" x14ac:dyDescent="0.2">
      <c r="A3210" s="1" t="s">
        <v>0</v>
      </c>
      <c r="B3210" t="str">
        <f>LEFT(Table13[[#This Row],[Input]],1)</f>
        <v>L</v>
      </c>
      <c r="C3210">
        <f>_xlfn.LET(_xlpm.steps,SUBSTITUTE(Table13[[#This Row],[Input]],Table13[[#This Row],[Direction]],""),VALUE(IF(LEN(_xlpm.steps)&gt;2,RIGHT(_xlpm.steps,2),_xlpm.steps)))</f>
        <v>44</v>
      </c>
      <c r="D3210">
        <f>_xlfn.LET(_xlpm.steps,SUBSTITUTE(Table13[[#This Row],[Input]],Table13[[#This Row],[Direction]],""),VALUE(IF(LEN(_xlpm.steps)&gt;2,LEFT(_xlpm.steps,LEN(_xlpm.steps)-2),0)))</f>
        <v>0</v>
      </c>
      <c r="E3210">
        <f>_xlfn.LET(_xlpm.dir,Table13[[#This Row],[Direction]],
IF(_xlpm.dir="L",
    IF(G3209-Table13[[#This Row],[Steps]]&lt;0,100+(G3209-Table13[[#This Row],[Steps]]),G3209-Table13[[#This Row],[Steps]]),
))</f>
        <v>56</v>
      </c>
      <c r="F3210">
        <f>_xlfn.LET(_xlpm.dir,Table13[[#This Row],[Direction]],
IF(_xlpm.dir="R",
    IF(G3209+Table13[[#This Row],[Steps]]&gt;99,(G3209+Table13[[#This Row],[Steps]])-100,G3209+Table13[[#This Row],[Steps]]),
))</f>
        <v>0</v>
      </c>
      <c r="G3210">
        <f>IF(Table13[[#This Row],[New Pos L]]&lt;&gt;0,Table13[[#This Row],[New Pos L]],Table13[[#This Row],[New Pos R]])</f>
        <v>56</v>
      </c>
      <c r="H3210">
        <f>IF(AND(Table13[[#This Row],[Direction]]="L",Table13[[#This Row],[Steps]]&gt;G3209,G3209&lt;&gt;0),1,0)</f>
        <v>0</v>
      </c>
      <c r="I3210">
        <f>IF(AND(Table13[[#This Row],[Direction]]="R",(G3209+Table13[[#This Row],[Steps]])&gt;100),1,0)</f>
        <v>0</v>
      </c>
      <c r="J3210">
        <f>IF(Table13[[#This Row],[POS]]=0,1,0)</f>
        <v>0</v>
      </c>
      <c r="K3210">
        <f>SUM(Table13[[#This Row],[prefix]],Table13[[#This Row],[Past zero L]],Table13[[#This Row],[Past Zero R]],Table13[[#This Row],[Is Zero]])</f>
        <v>0</v>
      </c>
    </row>
    <row r="3211" spans="1:11" ht="16" x14ac:dyDescent="0.2">
      <c r="A3211" s="1" t="s">
        <v>53</v>
      </c>
      <c r="B3211" t="str">
        <f>LEFT(Table13[[#This Row],[Input]],1)</f>
        <v>L</v>
      </c>
      <c r="C3211">
        <f>_xlfn.LET(_xlpm.steps,SUBSTITUTE(Table13[[#This Row],[Input]],Table13[[#This Row],[Direction]],""),VALUE(IF(LEN(_xlpm.steps)&gt;2,RIGHT(_xlpm.steps,2),_xlpm.steps)))</f>
        <v>56</v>
      </c>
      <c r="D3211">
        <f>_xlfn.LET(_xlpm.steps,SUBSTITUTE(Table13[[#This Row],[Input]],Table13[[#This Row],[Direction]],""),VALUE(IF(LEN(_xlpm.steps)&gt;2,LEFT(_xlpm.steps,LEN(_xlpm.steps)-2),0)))</f>
        <v>0</v>
      </c>
      <c r="E3211">
        <f>_xlfn.LET(_xlpm.dir,Table13[[#This Row],[Direction]],
IF(_xlpm.dir="L",
    IF(G3210-Table13[[#This Row],[Steps]]&lt;0,100+(G3210-Table13[[#This Row],[Steps]]),G3210-Table13[[#This Row],[Steps]]),
))</f>
        <v>0</v>
      </c>
      <c r="F3211">
        <f>_xlfn.LET(_xlpm.dir,Table13[[#This Row],[Direction]],
IF(_xlpm.dir="R",
    IF(G3210+Table13[[#This Row],[Steps]]&gt;99,(G3210+Table13[[#This Row],[Steps]])-100,G3210+Table13[[#This Row],[Steps]]),
))</f>
        <v>0</v>
      </c>
      <c r="G3211">
        <f>IF(Table13[[#This Row],[New Pos L]]&lt;&gt;0,Table13[[#This Row],[New Pos L]],Table13[[#This Row],[New Pos R]])</f>
        <v>0</v>
      </c>
      <c r="H3211">
        <f>IF(AND(Table13[[#This Row],[Direction]]="L",Table13[[#This Row],[Steps]]&gt;G3210,G3210&lt;&gt;0),1,0)</f>
        <v>0</v>
      </c>
      <c r="I3211">
        <f>IF(AND(Table13[[#This Row],[Direction]]="R",(G3210+Table13[[#This Row],[Steps]])&gt;100),1,0)</f>
        <v>0</v>
      </c>
      <c r="J3211">
        <f>IF(Table13[[#This Row],[POS]]=0,1,0)</f>
        <v>1</v>
      </c>
      <c r="K3211">
        <f>SUM(Table13[[#This Row],[prefix]],Table13[[#This Row],[Past zero L]],Table13[[#This Row],[Past Zero R]],Table13[[#This Row],[Is Zero]])</f>
        <v>1</v>
      </c>
    </row>
    <row r="3212" spans="1:11" ht="16" x14ac:dyDescent="0.2">
      <c r="A3212" s="1" t="s">
        <v>24</v>
      </c>
      <c r="B3212" t="str">
        <f>LEFT(Table13[[#This Row],[Input]],1)</f>
        <v>L</v>
      </c>
      <c r="C3212">
        <f>_xlfn.LET(_xlpm.steps,SUBSTITUTE(Table13[[#This Row],[Input]],Table13[[#This Row],[Direction]],""),VALUE(IF(LEN(_xlpm.steps)&gt;2,RIGHT(_xlpm.steps,2),_xlpm.steps)))</f>
        <v>49</v>
      </c>
      <c r="D3212">
        <f>_xlfn.LET(_xlpm.steps,SUBSTITUTE(Table13[[#This Row],[Input]],Table13[[#This Row],[Direction]],""),VALUE(IF(LEN(_xlpm.steps)&gt;2,LEFT(_xlpm.steps,LEN(_xlpm.steps)-2),0)))</f>
        <v>0</v>
      </c>
      <c r="E3212">
        <f>_xlfn.LET(_xlpm.dir,Table13[[#This Row],[Direction]],
IF(_xlpm.dir="L",
    IF(G3211-Table13[[#This Row],[Steps]]&lt;0,100+(G3211-Table13[[#This Row],[Steps]]),G3211-Table13[[#This Row],[Steps]]),
))</f>
        <v>51</v>
      </c>
      <c r="F3212">
        <f>_xlfn.LET(_xlpm.dir,Table13[[#This Row],[Direction]],
IF(_xlpm.dir="R",
    IF(G3211+Table13[[#This Row],[Steps]]&gt;99,(G3211+Table13[[#This Row],[Steps]])-100,G3211+Table13[[#This Row],[Steps]]),
))</f>
        <v>0</v>
      </c>
      <c r="G3212">
        <f>IF(Table13[[#This Row],[New Pos L]]&lt;&gt;0,Table13[[#This Row],[New Pos L]],Table13[[#This Row],[New Pos R]])</f>
        <v>51</v>
      </c>
      <c r="H3212">
        <f>IF(AND(Table13[[#This Row],[Direction]]="L",Table13[[#This Row],[Steps]]&gt;G3211,G3211&lt;&gt;0),1,0)</f>
        <v>0</v>
      </c>
      <c r="I3212">
        <f>IF(AND(Table13[[#This Row],[Direction]]="R",(G3211+Table13[[#This Row],[Steps]])&gt;100),1,0)</f>
        <v>0</v>
      </c>
      <c r="J3212">
        <f>IF(Table13[[#This Row],[POS]]=0,1,0)</f>
        <v>0</v>
      </c>
      <c r="K3212">
        <f>SUM(Table13[[#This Row],[prefix]],Table13[[#This Row],[Past zero L]],Table13[[#This Row],[Past Zero R]],Table13[[#This Row],[Is Zero]])</f>
        <v>0</v>
      </c>
    </row>
    <row r="3213" spans="1:11" ht="16" x14ac:dyDescent="0.2">
      <c r="A3213" s="1" t="s">
        <v>155</v>
      </c>
      <c r="B3213" t="str">
        <f>LEFT(Table13[[#This Row],[Input]],1)</f>
        <v>L</v>
      </c>
      <c r="C3213">
        <f>_xlfn.LET(_xlpm.steps,SUBSTITUTE(Table13[[#This Row],[Input]],Table13[[#This Row],[Direction]],""),VALUE(IF(LEN(_xlpm.steps)&gt;2,RIGHT(_xlpm.steps,2),_xlpm.steps)))</f>
        <v>18</v>
      </c>
      <c r="D3213">
        <f>_xlfn.LET(_xlpm.steps,SUBSTITUTE(Table13[[#This Row],[Input]],Table13[[#This Row],[Direction]],""),VALUE(IF(LEN(_xlpm.steps)&gt;2,LEFT(_xlpm.steps,LEN(_xlpm.steps)-2),0)))</f>
        <v>0</v>
      </c>
      <c r="E3213">
        <f>_xlfn.LET(_xlpm.dir,Table13[[#This Row],[Direction]],
IF(_xlpm.dir="L",
    IF(G3212-Table13[[#This Row],[Steps]]&lt;0,100+(G3212-Table13[[#This Row],[Steps]]),G3212-Table13[[#This Row],[Steps]]),
))</f>
        <v>33</v>
      </c>
      <c r="F3213">
        <f>_xlfn.LET(_xlpm.dir,Table13[[#This Row],[Direction]],
IF(_xlpm.dir="R",
    IF(G3212+Table13[[#This Row],[Steps]]&gt;99,(G3212+Table13[[#This Row],[Steps]])-100,G3212+Table13[[#This Row],[Steps]]),
))</f>
        <v>0</v>
      </c>
      <c r="G3213">
        <f>IF(Table13[[#This Row],[New Pos L]]&lt;&gt;0,Table13[[#This Row],[New Pos L]],Table13[[#This Row],[New Pos R]])</f>
        <v>33</v>
      </c>
      <c r="H3213">
        <f>IF(AND(Table13[[#This Row],[Direction]]="L",Table13[[#This Row],[Steps]]&gt;G3212,G3212&lt;&gt;0),1,0)</f>
        <v>0</v>
      </c>
      <c r="I3213">
        <f>IF(AND(Table13[[#This Row],[Direction]]="R",(G3212+Table13[[#This Row],[Steps]])&gt;100),1,0)</f>
        <v>0</v>
      </c>
      <c r="J3213">
        <f>IF(Table13[[#This Row],[POS]]=0,1,0)</f>
        <v>0</v>
      </c>
      <c r="K3213">
        <f>SUM(Table13[[#This Row],[prefix]],Table13[[#This Row],[Past zero L]],Table13[[#This Row],[Past Zero R]],Table13[[#This Row],[Is Zero]])</f>
        <v>0</v>
      </c>
    </row>
    <row r="3214" spans="1:11" ht="16" x14ac:dyDescent="0.2">
      <c r="A3214" s="1" t="s">
        <v>293</v>
      </c>
      <c r="B3214" t="str">
        <f>LEFT(Table13[[#This Row],[Input]],1)</f>
        <v>R</v>
      </c>
      <c r="C3214">
        <f>_xlfn.LET(_xlpm.steps,SUBSTITUTE(Table13[[#This Row],[Input]],Table13[[#This Row],[Direction]],""),VALUE(IF(LEN(_xlpm.steps)&gt;2,RIGHT(_xlpm.steps,2),_xlpm.steps)))</f>
        <v>67</v>
      </c>
      <c r="D3214">
        <f>_xlfn.LET(_xlpm.steps,SUBSTITUTE(Table13[[#This Row],[Input]],Table13[[#This Row],[Direction]],""),VALUE(IF(LEN(_xlpm.steps)&gt;2,LEFT(_xlpm.steps,LEN(_xlpm.steps)-2),0)))</f>
        <v>0</v>
      </c>
      <c r="E3214">
        <f>_xlfn.LET(_xlpm.dir,Table13[[#This Row],[Direction]],
IF(_xlpm.dir="L",
    IF(G3213-Table13[[#This Row],[Steps]]&lt;0,100+(G3213-Table13[[#This Row],[Steps]]),G3213-Table13[[#This Row],[Steps]]),
))</f>
        <v>0</v>
      </c>
      <c r="F3214">
        <f>_xlfn.LET(_xlpm.dir,Table13[[#This Row],[Direction]],
IF(_xlpm.dir="R",
    IF(G3213+Table13[[#This Row],[Steps]]&gt;99,(G3213+Table13[[#This Row],[Steps]])-100,G3213+Table13[[#This Row],[Steps]]),
))</f>
        <v>0</v>
      </c>
      <c r="G3214">
        <f>IF(Table13[[#This Row],[New Pos L]]&lt;&gt;0,Table13[[#This Row],[New Pos L]],Table13[[#This Row],[New Pos R]])</f>
        <v>0</v>
      </c>
      <c r="H3214">
        <f>IF(AND(Table13[[#This Row],[Direction]]="L",Table13[[#This Row],[Steps]]&gt;G3213,G3213&lt;&gt;0),1,0)</f>
        <v>0</v>
      </c>
      <c r="I3214">
        <f>IF(AND(Table13[[#This Row],[Direction]]="R",(G3213+Table13[[#This Row],[Steps]])&gt;100),1,0)</f>
        <v>0</v>
      </c>
      <c r="J3214">
        <f>IF(Table13[[#This Row],[POS]]=0,1,0)</f>
        <v>1</v>
      </c>
      <c r="K3214">
        <f>SUM(Table13[[#This Row],[prefix]],Table13[[#This Row],[Past zero L]],Table13[[#This Row],[Past Zero R]],Table13[[#This Row],[Is Zero]])</f>
        <v>1</v>
      </c>
    </row>
    <row r="3215" spans="1:11" ht="16" x14ac:dyDescent="0.2">
      <c r="A3215" s="1" t="s">
        <v>59</v>
      </c>
      <c r="B3215" t="str">
        <f>LEFT(Table13[[#This Row],[Input]],1)</f>
        <v>L</v>
      </c>
      <c r="C3215">
        <f>_xlfn.LET(_xlpm.steps,SUBSTITUTE(Table13[[#This Row],[Input]],Table13[[#This Row],[Direction]],""),VALUE(IF(LEN(_xlpm.steps)&gt;2,RIGHT(_xlpm.steps,2),_xlpm.steps)))</f>
        <v>6</v>
      </c>
      <c r="D3215">
        <f>_xlfn.LET(_xlpm.steps,SUBSTITUTE(Table13[[#This Row],[Input]],Table13[[#This Row],[Direction]],""),VALUE(IF(LEN(_xlpm.steps)&gt;2,LEFT(_xlpm.steps,LEN(_xlpm.steps)-2),0)))</f>
        <v>0</v>
      </c>
      <c r="E3215">
        <f>_xlfn.LET(_xlpm.dir,Table13[[#This Row],[Direction]],
IF(_xlpm.dir="L",
    IF(G3214-Table13[[#This Row],[Steps]]&lt;0,100+(G3214-Table13[[#This Row],[Steps]]),G3214-Table13[[#This Row],[Steps]]),
))</f>
        <v>94</v>
      </c>
      <c r="F3215">
        <f>_xlfn.LET(_xlpm.dir,Table13[[#This Row],[Direction]],
IF(_xlpm.dir="R",
    IF(G3214+Table13[[#This Row],[Steps]]&gt;99,(G3214+Table13[[#This Row],[Steps]])-100,G3214+Table13[[#This Row],[Steps]]),
))</f>
        <v>0</v>
      </c>
      <c r="G3215">
        <f>IF(Table13[[#This Row],[New Pos L]]&lt;&gt;0,Table13[[#This Row],[New Pos L]],Table13[[#This Row],[New Pos R]])</f>
        <v>94</v>
      </c>
      <c r="H3215">
        <f>IF(AND(Table13[[#This Row],[Direction]]="L",Table13[[#This Row],[Steps]]&gt;G3214,G3214&lt;&gt;0),1,0)</f>
        <v>0</v>
      </c>
      <c r="I3215">
        <f>IF(AND(Table13[[#This Row],[Direction]]="R",(G3214+Table13[[#This Row],[Steps]])&gt;100),1,0)</f>
        <v>0</v>
      </c>
      <c r="J3215">
        <f>IF(Table13[[#This Row],[POS]]=0,1,0)</f>
        <v>0</v>
      </c>
      <c r="K3215">
        <f>SUM(Table13[[#This Row],[prefix]],Table13[[#This Row],[Past zero L]],Table13[[#This Row],[Past Zero R]],Table13[[#This Row],[Is Zero]])</f>
        <v>0</v>
      </c>
    </row>
    <row r="3216" spans="1:11" ht="16" x14ac:dyDescent="0.2">
      <c r="A3216" s="1" t="s">
        <v>79</v>
      </c>
      <c r="B3216" t="str">
        <f>LEFT(Table13[[#This Row],[Input]],1)</f>
        <v>L</v>
      </c>
      <c r="C3216">
        <f>_xlfn.LET(_xlpm.steps,SUBSTITUTE(Table13[[#This Row],[Input]],Table13[[#This Row],[Direction]],""),VALUE(IF(LEN(_xlpm.steps)&gt;2,RIGHT(_xlpm.steps,2),_xlpm.steps)))</f>
        <v>45</v>
      </c>
      <c r="D3216">
        <f>_xlfn.LET(_xlpm.steps,SUBSTITUTE(Table13[[#This Row],[Input]],Table13[[#This Row],[Direction]],""),VALUE(IF(LEN(_xlpm.steps)&gt;2,LEFT(_xlpm.steps,LEN(_xlpm.steps)-2),0)))</f>
        <v>0</v>
      </c>
      <c r="E3216">
        <f>_xlfn.LET(_xlpm.dir,Table13[[#This Row],[Direction]],
IF(_xlpm.dir="L",
    IF(G3215-Table13[[#This Row],[Steps]]&lt;0,100+(G3215-Table13[[#This Row],[Steps]]),G3215-Table13[[#This Row],[Steps]]),
))</f>
        <v>49</v>
      </c>
      <c r="F3216">
        <f>_xlfn.LET(_xlpm.dir,Table13[[#This Row],[Direction]],
IF(_xlpm.dir="R",
    IF(G3215+Table13[[#This Row],[Steps]]&gt;99,(G3215+Table13[[#This Row],[Steps]])-100,G3215+Table13[[#This Row],[Steps]]),
))</f>
        <v>0</v>
      </c>
      <c r="G3216">
        <f>IF(Table13[[#This Row],[New Pos L]]&lt;&gt;0,Table13[[#This Row],[New Pos L]],Table13[[#This Row],[New Pos R]])</f>
        <v>49</v>
      </c>
      <c r="H3216">
        <f>IF(AND(Table13[[#This Row],[Direction]]="L",Table13[[#This Row],[Steps]]&gt;G3215,G3215&lt;&gt;0),1,0)</f>
        <v>0</v>
      </c>
      <c r="I3216">
        <f>IF(AND(Table13[[#This Row],[Direction]]="R",(G3215+Table13[[#This Row],[Steps]])&gt;100),1,0)</f>
        <v>0</v>
      </c>
      <c r="J3216">
        <f>IF(Table13[[#This Row],[POS]]=0,1,0)</f>
        <v>0</v>
      </c>
      <c r="K3216">
        <f>SUM(Table13[[#This Row],[prefix]],Table13[[#This Row],[Past zero L]],Table13[[#This Row],[Past Zero R]],Table13[[#This Row],[Is Zero]])</f>
        <v>0</v>
      </c>
    </row>
    <row r="3217" spans="1:11" ht="16" x14ac:dyDescent="0.2">
      <c r="A3217" s="1" t="s">
        <v>557</v>
      </c>
      <c r="B3217" t="str">
        <f>LEFT(Table13[[#This Row],[Input]],1)</f>
        <v>L</v>
      </c>
      <c r="C3217">
        <f>_xlfn.LET(_xlpm.steps,SUBSTITUTE(Table13[[#This Row],[Input]],Table13[[#This Row],[Direction]],""),VALUE(IF(LEN(_xlpm.steps)&gt;2,RIGHT(_xlpm.steps,2),_xlpm.steps)))</f>
        <v>71</v>
      </c>
      <c r="D3217">
        <f>_xlfn.LET(_xlpm.steps,SUBSTITUTE(Table13[[#This Row],[Input]],Table13[[#This Row],[Direction]],""),VALUE(IF(LEN(_xlpm.steps)&gt;2,LEFT(_xlpm.steps,LEN(_xlpm.steps)-2),0)))</f>
        <v>7</v>
      </c>
      <c r="E3217">
        <f>_xlfn.LET(_xlpm.dir,Table13[[#This Row],[Direction]],
IF(_xlpm.dir="L",
    IF(G3216-Table13[[#This Row],[Steps]]&lt;0,100+(G3216-Table13[[#This Row],[Steps]]),G3216-Table13[[#This Row],[Steps]]),
))</f>
        <v>78</v>
      </c>
      <c r="F3217">
        <f>_xlfn.LET(_xlpm.dir,Table13[[#This Row],[Direction]],
IF(_xlpm.dir="R",
    IF(G3216+Table13[[#This Row],[Steps]]&gt;99,(G3216+Table13[[#This Row],[Steps]])-100,G3216+Table13[[#This Row],[Steps]]),
))</f>
        <v>0</v>
      </c>
      <c r="G3217">
        <f>IF(Table13[[#This Row],[New Pos L]]&lt;&gt;0,Table13[[#This Row],[New Pos L]],Table13[[#This Row],[New Pos R]])</f>
        <v>78</v>
      </c>
      <c r="H3217">
        <f>IF(AND(Table13[[#This Row],[Direction]]="L",Table13[[#This Row],[Steps]]&gt;G3216,G3216&lt;&gt;0),1,0)</f>
        <v>1</v>
      </c>
      <c r="I3217">
        <f>IF(AND(Table13[[#This Row],[Direction]]="R",(G3216+Table13[[#This Row],[Steps]])&gt;100),1,0)</f>
        <v>0</v>
      </c>
      <c r="J3217">
        <f>IF(Table13[[#This Row],[POS]]=0,1,0)</f>
        <v>0</v>
      </c>
      <c r="K3217">
        <f>SUM(Table13[[#This Row],[prefix]],Table13[[#This Row],[Past zero L]],Table13[[#This Row],[Past Zero R]],Table13[[#This Row],[Is Zero]])</f>
        <v>8</v>
      </c>
    </row>
    <row r="3218" spans="1:11" ht="16" x14ac:dyDescent="0.2">
      <c r="A3218" s="1" t="s">
        <v>57</v>
      </c>
      <c r="B3218" t="str">
        <f>LEFT(Table13[[#This Row],[Input]],1)</f>
        <v>R</v>
      </c>
      <c r="C3218">
        <f>_xlfn.LET(_xlpm.steps,SUBSTITUTE(Table13[[#This Row],[Input]],Table13[[#This Row],[Direction]],""),VALUE(IF(LEN(_xlpm.steps)&gt;2,RIGHT(_xlpm.steps,2),_xlpm.steps)))</f>
        <v>29</v>
      </c>
      <c r="D3218">
        <f>_xlfn.LET(_xlpm.steps,SUBSTITUTE(Table13[[#This Row],[Input]],Table13[[#This Row],[Direction]],""),VALUE(IF(LEN(_xlpm.steps)&gt;2,LEFT(_xlpm.steps,LEN(_xlpm.steps)-2),0)))</f>
        <v>0</v>
      </c>
      <c r="E3218">
        <f>_xlfn.LET(_xlpm.dir,Table13[[#This Row],[Direction]],
IF(_xlpm.dir="L",
    IF(G3217-Table13[[#This Row],[Steps]]&lt;0,100+(G3217-Table13[[#This Row],[Steps]]),G3217-Table13[[#This Row],[Steps]]),
))</f>
        <v>0</v>
      </c>
      <c r="F3218">
        <f>_xlfn.LET(_xlpm.dir,Table13[[#This Row],[Direction]],
IF(_xlpm.dir="R",
    IF(G3217+Table13[[#This Row],[Steps]]&gt;99,(G3217+Table13[[#This Row],[Steps]])-100,G3217+Table13[[#This Row],[Steps]]),
))</f>
        <v>7</v>
      </c>
      <c r="G3218">
        <f>IF(Table13[[#This Row],[New Pos L]]&lt;&gt;0,Table13[[#This Row],[New Pos L]],Table13[[#This Row],[New Pos R]])</f>
        <v>7</v>
      </c>
      <c r="H3218">
        <f>IF(AND(Table13[[#This Row],[Direction]]="L",Table13[[#This Row],[Steps]]&gt;G3217,G3217&lt;&gt;0),1,0)</f>
        <v>0</v>
      </c>
      <c r="I3218">
        <f>IF(AND(Table13[[#This Row],[Direction]]="R",(G3217+Table13[[#This Row],[Steps]])&gt;100),1,0)</f>
        <v>1</v>
      </c>
      <c r="J3218">
        <f>IF(Table13[[#This Row],[POS]]=0,1,0)</f>
        <v>0</v>
      </c>
      <c r="K3218">
        <f>SUM(Table13[[#This Row],[prefix]],Table13[[#This Row],[Past zero L]],Table13[[#This Row],[Past Zero R]],Table13[[#This Row],[Is Zero]])</f>
        <v>1</v>
      </c>
    </row>
    <row r="3219" spans="1:11" ht="16" x14ac:dyDescent="0.2">
      <c r="A3219" s="1" t="s">
        <v>41</v>
      </c>
      <c r="B3219" t="str">
        <f>LEFT(Table13[[#This Row],[Input]],1)</f>
        <v>L</v>
      </c>
      <c r="C3219">
        <f>_xlfn.LET(_xlpm.steps,SUBSTITUTE(Table13[[#This Row],[Input]],Table13[[#This Row],[Direction]],""),VALUE(IF(LEN(_xlpm.steps)&gt;2,RIGHT(_xlpm.steps,2),_xlpm.steps)))</f>
        <v>7</v>
      </c>
      <c r="D3219">
        <f>_xlfn.LET(_xlpm.steps,SUBSTITUTE(Table13[[#This Row],[Input]],Table13[[#This Row],[Direction]],""),VALUE(IF(LEN(_xlpm.steps)&gt;2,LEFT(_xlpm.steps,LEN(_xlpm.steps)-2),0)))</f>
        <v>0</v>
      </c>
      <c r="E3219">
        <f>_xlfn.LET(_xlpm.dir,Table13[[#This Row],[Direction]],
IF(_xlpm.dir="L",
    IF(G3218-Table13[[#This Row],[Steps]]&lt;0,100+(G3218-Table13[[#This Row],[Steps]]),G3218-Table13[[#This Row],[Steps]]),
))</f>
        <v>0</v>
      </c>
      <c r="F3219">
        <f>_xlfn.LET(_xlpm.dir,Table13[[#This Row],[Direction]],
IF(_xlpm.dir="R",
    IF(G3218+Table13[[#This Row],[Steps]]&gt;99,(G3218+Table13[[#This Row],[Steps]])-100,G3218+Table13[[#This Row],[Steps]]),
))</f>
        <v>0</v>
      </c>
      <c r="G3219">
        <f>IF(Table13[[#This Row],[New Pos L]]&lt;&gt;0,Table13[[#This Row],[New Pos L]],Table13[[#This Row],[New Pos R]])</f>
        <v>0</v>
      </c>
      <c r="H3219">
        <f>IF(AND(Table13[[#This Row],[Direction]]="L",Table13[[#This Row],[Steps]]&gt;G3218,G3218&lt;&gt;0),1,0)</f>
        <v>0</v>
      </c>
      <c r="I3219">
        <f>IF(AND(Table13[[#This Row],[Direction]]="R",(G3218+Table13[[#This Row],[Steps]])&gt;100),1,0)</f>
        <v>0</v>
      </c>
      <c r="J3219">
        <f>IF(Table13[[#This Row],[POS]]=0,1,0)</f>
        <v>1</v>
      </c>
      <c r="K3219">
        <f>SUM(Table13[[#This Row],[prefix]],Table13[[#This Row],[Past zero L]],Table13[[#This Row],[Past Zero R]],Table13[[#This Row],[Is Zero]])</f>
        <v>1</v>
      </c>
    </row>
    <row r="3220" spans="1:11" ht="16" x14ac:dyDescent="0.2">
      <c r="A3220" s="1" t="s">
        <v>51</v>
      </c>
      <c r="B3220" t="str">
        <f>LEFT(Table13[[#This Row],[Input]],1)</f>
        <v>L</v>
      </c>
      <c r="C3220">
        <f>_xlfn.LET(_xlpm.steps,SUBSTITUTE(Table13[[#This Row],[Input]],Table13[[#This Row],[Direction]],""),VALUE(IF(LEN(_xlpm.steps)&gt;2,RIGHT(_xlpm.steps,2),_xlpm.steps)))</f>
        <v>25</v>
      </c>
      <c r="D3220">
        <f>_xlfn.LET(_xlpm.steps,SUBSTITUTE(Table13[[#This Row],[Input]],Table13[[#This Row],[Direction]],""),VALUE(IF(LEN(_xlpm.steps)&gt;2,LEFT(_xlpm.steps,LEN(_xlpm.steps)-2),0)))</f>
        <v>0</v>
      </c>
      <c r="E3220">
        <f>_xlfn.LET(_xlpm.dir,Table13[[#This Row],[Direction]],
IF(_xlpm.dir="L",
    IF(G3219-Table13[[#This Row],[Steps]]&lt;0,100+(G3219-Table13[[#This Row],[Steps]]),G3219-Table13[[#This Row],[Steps]]),
))</f>
        <v>75</v>
      </c>
      <c r="F3220">
        <f>_xlfn.LET(_xlpm.dir,Table13[[#This Row],[Direction]],
IF(_xlpm.dir="R",
    IF(G3219+Table13[[#This Row],[Steps]]&gt;99,(G3219+Table13[[#This Row],[Steps]])-100,G3219+Table13[[#This Row],[Steps]]),
))</f>
        <v>0</v>
      </c>
      <c r="G3220">
        <f>IF(Table13[[#This Row],[New Pos L]]&lt;&gt;0,Table13[[#This Row],[New Pos L]],Table13[[#This Row],[New Pos R]])</f>
        <v>75</v>
      </c>
      <c r="H3220">
        <f>IF(AND(Table13[[#This Row],[Direction]]="L",Table13[[#This Row],[Steps]]&gt;G3219,G3219&lt;&gt;0),1,0)</f>
        <v>0</v>
      </c>
      <c r="I3220">
        <f>IF(AND(Table13[[#This Row],[Direction]]="R",(G3219+Table13[[#This Row],[Steps]])&gt;100),1,0)</f>
        <v>0</v>
      </c>
      <c r="J3220">
        <f>IF(Table13[[#This Row],[POS]]=0,1,0)</f>
        <v>0</v>
      </c>
      <c r="K3220">
        <f>SUM(Table13[[#This Row],[prefix]],Table13[[#This Row],[Past zero L]],Table13[[#This Row],[Past Zero R]],Table13[[#This Row],[Is Zero]])</f>
        <v>0</v>
      </c>
    </row>
    <row r="3221" spans="1:11" ht="16" x14ac:dyDescent="0.2">
      <c r="A3221" s="1" t="s">
        <v>54</v>
      </c>
      <c r="B3221" t="str">
        <f>LEFT(Table13[[#This Row],[Input]],1)</f>
        <v>L</v>
      </c>
      <c r="C3221">
        <f>_xlfn.LET(_xlpm.steps,SUBSTITUTE(Table13[[#This Row],[Input]],Table13[[#This Row],[Direction]],""),VALUE(IF(LEN(_xlpm.steps)&gt;2,RIGHT(_xlpm.steps,2),_xlpm.steps)))</f>
        <v>75</v>
      </c>
      <c r="D3221">
        <f>_xlfn.LET(_xlpm.steps,SUBSTITUTE(Table13[[#This Row],[Input]],Table13[[#This Row],[Direction]],""),VALUE(IF(LEN(_xlpm.steps)&gt;2,LEFT(_xlpm.steps,LEN(_xlpm.steps)-2),0)))</f>
        <v>0</v>
      </c>
      <c r="E3221">
        <f>_xlfn.LET(_xlpm.dir,Table13[[#This Row],[Direction]],
IF(_xlpm.dir="L",
    IF(G3220-Table13[[#This Row],[Steps]]&lt;0,100+(G3220-Table13[[#This Row],[Steps]]),G3220-Table13[[#This Row],[Steps]]),
))</f>
        <v>0</v>
      </c>
      <c r="F3221">
        <f>_xlfn.LET(_xlpm.dir,Table13[[#This Row],[Direction]],
IF(_xlpm.dir="R",
    IF(G3220+Table13[[#This Row],[Steps]]&gt;99,(G3220+Table13[[#This Row],[Steps]])-100,G3220+Table13[[#This Row],[Steps]]),
))</f>
        <v>0</v>
      </c>
      <c r="G3221">
        <f>IF(Table13[[#This Row],[New Pos L]]&lt;&gt;0,Table13[[#This Row],[New Pos L]],Table13[[#This Row],[New Pos R]])</f>
        <v>0</v>
      </c>
      <c r="H3221">
        <f>IF(AND(Table13[[#This Row],[Direction]]="L",Table13[[#This Row],[Steps]]&gt;G3220,G3220&lt;&gt;0),1,0)</f>
        <v>0</v>
      </c>
      <c r="I3221">
        <f>IF(AND(Table13[[#This Row],[Direction]]="R",(G3220+Table13[[#This Row],[Steps]])&gt;100),1,0)</f>
        <v>0</v>
      </c>
      <c r="J3221">
        <f>IF(Table13[[#This Row],[POS]]=0,1,0)</f>
        <v>1</v>
      </c>
      <c r="K3221">
        <f>SUM(Table13[[#This Row],[prefix]],Table13[[#This Row],[Past zero L]],Table13[[#This Row],[Past Zero R]],Table13[[#This Row],[Is Zero]])</f>
        <v>1</v>
      </c>
    </row>
    <row r="3222" spans="1:11" ht="16" x14ac:dyDescent="0.2">
      <c r="A3222" s="1" t="s">
        <v>713</v>
      </c>
      <c r="B3222" t="str">
        <f>LEFT(Table13[[#This Row],[Input]],1)</f>
        <v>R</v>
      </c>
      <c r="C3222">
        <f>_xlfn.LET(_xlpm.steps,SUBSTITUTE(Table13[[#This Row],[Input]],Table13[[#This Row],[Direction]],""),VALUE(IF(LEN(_xlpm.steps)&gt;2,RIGHT(_xlpm.steps,2),_xlpm.steps)))</f>
        <v>56</v>
      </c>
      <c r="D3222">
        <f>_xlfn.LET(_xlpm.steps,SUBSTITUTE(Table13[[#This Row],[Input]],Table13[[#This Row],[Direction]],""),VALUE(IF(LEN(_xlpm.steps)&gt;2,LEFT(_xlpm.steps,LEN(_xlpm.steps)-2),0)))</f>
        <v>3</v>
      </c>
      <c r="E3222">
        <f>_xlfn.LET(_xlpm.dir,Table13[[#This Row],[Direction]],
IF(_xlpm.dir="L",
    IF(G3221-Table13[[#This Row],[Steps]]&lt;0,100+(G3221-Table13[[#This Row],[Steps]]),G3221-Table13[[#This Row],[Steps]]),
))</f>
        <v>0</v>
      </c>
      <c r="F3222">
        <f>_xlfn.LET(_xlpm.dir,Table13[[#This Row],[Direction]],
IF(_xlpm.dir="R",
    IF(G3221+Table13[[#This Row],[Steps]]&gt;99,(G3221+Table13[[#This Row],[Steps]])-100,G3221+Table13[[#This Row],[Steps]]),
))</f>
        <v>56</v>
      </c>
      <c r="G3222">
        <f>IF(Table13[[#This Row],[New Pos L]]&lt;&gt;0,Table13[[#This Row],[New Pos L]],Table13[[#This Row],[New Pos R]])</f>
        <v>56</v>
      </c>
      <c r="H3222">
        <f>IF(AND(Table13[[#This Row],[Direction]]="L",Table13[[#This Row],[Steps]]&gt;G3221,G3221&lt;&gt;0),1,0)</f>
        <v>0</v>
      </c>
      <c r="I3222">
        <f>IF(AND(Table13[[#This Row],[Direction]]="R",(G3221+Table13[[#This Row],[Steps]])&gt;100),1,0)</f>
        <v>0</v>
      </c>
      <c r="J3222">
        <f>IF(Table13[[#This Row],[POS]]=0,1,0)</f>
        <v>0</v>
      </c>
      <c r="K3222">
        <f>SUM(Table13[[#This Row],[prefix]],Table13[[#This Row],[Past zero L]],Table13[[#This Row],[Past Zero R]],Table13[[#This Row],[Is Zero]])</f>
        <v>3</v>
      </c>
    </row>
    <row r="3223" spans="1:11" ht="16" x14ac:dyDescent="0.2">
      <c r="A3223" s="1" t="s">
        <v>13</v>
      </c>
      <c r="B3223" t="str">
        <f>LEFT(Table13[[#This Row],[Input]],1)</f>
        <v>R</v>
      </c>
      <c r="C3223">
        <f>_xlfn.LET(_xlpm.steps,SUBSTITUTE(Table13[[#This Row],[Input]],Table13[[#This Row],[Direction]],""),VALUE(IF(LEN(_xlpm.steps)&gt;2,RIGHT(_xlpm.steps,2),_xlpm.steps)))</f>
        <v>12</v>
      </c>
      <c r="D3223">
        <f>_xlfn.LET(_xlpm.steps,SUBSTITUTE(Table13[[#This Row],[Input]],Table13[[#This Row],[Direction]],""),VALUE(IF(LEN(_xlpm.steps)&gt;2,LEFT(_xlpm.steps,LEN(_xlpm.steps)-2),0)))</f>
        <v>0</v>
      </c>
      <c r="E3223">
        <f>_xlfn.LET(_xlpm.dir,Table13[[#This Row],[Direction]],
IF(_xlpm.dir="L",
    IF(G3222-Table13[[#This Row],[Steps]]&lt;0,100+(G3222-Table13[[#This Row],[Steps]]),G3222-Table13[[#This Row],[Steps]]),
))</f>
        <v>0</v>
      </c>
      <c r="F3223">
        <f>_xlfn.LET(_xlpm.dir,Table13[[#This Row],[Direction]],
IF(_xlpm.dir="R",
    IF(G3222+Table13[[#This Row],[Steps]]&gt;99,(G3222+Table13[[#This Row],[Steps]])-100,G3222+Table13[[#This Row],[Steps]]),
))</f>
        <v>68</v>
      </c>
      <c r="G3223">
        <f>IF(Table13[[#This Row],[New Pos L]]&lt;&gt;0,Table13[[#This Row],[New Pos L]],Table13[[#This Row],[New Pos R]])</f>
        <v>68</v>
      </c>
      <c r="H3223">
        <f>IF(AND(Table13[[#This Row],[Direction]]="L",Table13[[#This Row],[Steps]]&gt;G3222,G3222&lt;&gt;0),1,0)</f>
        <v>0</v>
      </c>
      <c r="I3223">
        <f>IF(AND(Table13[[#This Row],[Direction]]="R",(G3222+Table13[[#This Row],[Steps]])&gt;100),1,0)</f>
        <v>0</v>
      </c>
      <c r="J3223">
        <f>IF(Table13[[#This Row],[POS]]=0,1,0)</f>
        <v>0</v>
      </c>
      <c r="K3223">
        <f>SUM(Table13[[#This Row],[prefix]],Table13[[#This Row],[Past zero L]],Table13[[#This Row],[Past Zero R]],Table13[[#This Row],[Is Zero]])</f>
        <v>0</v>
      </c>
    </row>
    <row r="3224" spans="1:11" ht="16" x14ac:dyDescent="0.2">
      <c r="A3224" s="1" t="s">
        <v>39</v>
      </c>
      <c r="B3224" t="str">
        <f>LEFT(Table13[[#This Row],[Input]],1)</f>
        <v>R</v>
      </c>
      <c r="C3224">
        <f>_xlfn.LET(_xlpm.steps,SUBSTITUTE(Table13[[#This Row],[Input]],Table13[[#This Row],[Direction]],""),VALUE(IF(LEN(_xlpm.steps)&gt;2,RIGHT(_xlpm.steps,2),_xlpm.steps)))</f>
        <v>32</v>
      </c>
      <c r="D3224">
        <f>_xlfn.LET(_xlpm.steps,SUBSTITUTE(Table13[[#This Row],[Input]],Table13[[#This Row],[Direction]],""),VALUE(IF(LEN(_xlpm.steps)&gt;2,LEFT(_xlpm.steps,LEN(_xlpm.steps)-2),0)))</f>
        <v>0</v>
      </c>
      <c r="E3224">
        <f>_xlfn.LET(_xlpm.dir,Table13[[#This Row],[Direction]],
IF(_xlpm.dir="L",
    IF(G3223-Table13[[#This Row],[Steps]]&lt;0,100+(G3223-Table13[[#This Row],[Steps]]),G3223-Table13[[#This Row],[Steps]]),
))</f>
        <v>0</v>
      </c>
      <c r="F3224">
        <f>_xlfn.LET(_xlpm.dir,Table13[[#This Row],[Direction]],
IF(_xlpm.dir="R",
    IF(G3223+Table13[[#This Row],[Steps]]&gt;99,(G3223+Table13[[#This Row],[Steps]])-100,G3223+Table13[[#This Row],[Steps]]),
))</f>
        <v>0</v>
      </c>
      <c r="G3224">
        <f>IF(Table13[[#This Row],[New Pos L]]&lt;&gt;0,Table13[[#This Row],[New Pos L]],Table13[[#This Row],[New Pos R]])</f>
        <v>0</v>
      </c>
      <c r="H3224">
        <f>IF(AND(Table13[[#This Row],[Direction]]="L",Table13[[#This Row],[Steps]]&gt;G3223,G3223&lt;&gt;0),1,0)</f>
        <v>0</v>
      </c>
      <c r="I3224">
        <f>IF(AND(Table13[[#This Row],[Direction]]="R",(G3223+Table13[[#This Row],[Steps]])&gt;100),1,0)</f>
        <v>0</v>
      </c>
      <c r="J3224">
        <f>IF(Table13[[#This Row],[POS]]=0,1,0)</f>
        <v>1</v>
      </c>
      <c r="K3224">
        <f>SUM(Table13[[#This Row],[prefix]],Table13[[#This Row],[Past zero L]],Table13[[#This Row],[Past Zero R]],Table13[[#This Row],[Is Zero]])</f>
        <v>1</v>
      </c>
    </row>
    <row r="3225" spans="1:11" ht="16" x14ac:dyDescent="0.2">
      <c r="A3225" s="1" t="s">
        <v>714</v>
      </c>
      <c r="B3225" t="str">
        <f>LEFT(Table13[[#This Row],[Input]],1)</f>
        <v>R</v>
      </c>
      <c r="C3225">
        <f>_xlfn.LET(_xlpm.steps,SUBSTITUTE(Table13[[#This Row],[Input]],Table13[[#This Row],[Direction]],""),VALUE(IF(LEN(_xlpm.steps)&gt;2,RIGHT(_xlpm.steps,2),_xlpm.steps)))</f>
        <v>16</v>
      </c>
      <c r="D3225">
        <f>_xlfn.LET(_xlpm.steps,SUBSTITUTE(Table13[[#This Row],[Input]],Table13[[#This Row],[Direction]],""),VALUE(IF(LEN(_xlpm.steps)&gt;2,LEFT(_xlpm.steps,LEN(_xlpm.steps)-2),0)))</f>
        <v>1</v>
      </c>
      <c r="E3225">
        <f>_xlfn.LET(_xlpm.dir,Table13[[#This Row],[Direction]],
IF(_xlpm.dir="L",
    IF(G3224-Table13[[#This Row],[Steps]]&lt;0,100+(G3224-Table13[[#This Row],[Steps]]),G3224-Table13[[#This Row],[Steps]]),
))</f>
        <v>0</v>
      </c>
      <c r="F3225">
        <f>_xlfn.LET(_xlpm.dir,Table13[[#This Row],[Direction]],
IF(_xlpm.dir="R",
    IF(G3224+Table13[[#This Row],[Steps]]&gt;99,(G3224+Table13[[#This Row],[Steps]])-100,G3224+Table13[[#This Row],[Steps]]),
))</f>
        <v>16</v>
      </c>
      <c r="G3225">
        <f>IF(Table13[[#This Row],[New Pos L]]&lt;&gt;0,Table13[[#This Row],[New Pos L]],Table13[[#This Row],[New Pos R]])</f>
        <v>16</v>
      </c>
      <c r="H3225">
        <f>IF(AND(Table13[[#This Row],[Direction]]="L",Table13[[#This Row],[Steps]]&gt;G3224,G3224&lt;&gt;0),1,0)</f>
        <v>0</v>
      </c>
      <c r="I3225">
        <f>IF(AND(Table13[[#This Row],[Direction]]="R",(G3224+Table13[[#This Row],[Steps]])&gt;100),1,0)</f>
        <v>0</v>
      </c>
      <c r="J3225">
        <f>IF(Table13[[#This Row],[POS]]=0,1,0)</f>
        <v>0</v>
      </c>
      <c r="K3225">
        <f>SUM(Table13[[#This Row],[prefix]],Table13[[#This Row],[Past zero L]],Table13[[#This Row],[Past Zero R]],Table13[[#This Row],[Is Zero]])</f>
        <v>1</v>
      </c>
    </row>
    <row r="3226" spans="1:11" ht="16" x14ac:dyDescent="0.2">
      <c r="A3226" s="1" t="s">
        <v>183</v>
      </c>
      <c r="B3226" t="str">
        <f>LEFT(Table13[[#This Row],[Input]],1)</f>
        <v>L</v>
      </c>
      <c r="C3226">
        <f>_xlfn.LET(_xlpm.steps,SUBSTITUTE(Table13[[#This Row],[Input]],Table13[[#This Row],[Direction]],""),VALUE(IF(LEN(_xlpm.steps)&gt;2,RIGHT(_xlpm.steps,2),_xlpm.steps)))</f>
        <v>67</v>
      </c>
      <c r="D3226">
        <f>_xlfn.LET(_xlpm.steps,SUBSTITUTE(Table13[[#This Row],[Input]],Table13[[#This Row],[Direction]],""),VALUE(IF(LEN(_xlpm.steps)&gt;2,LEFT(_xlpm.steps,LEN(_xlpm.steps)-2),0)))</f>
        <v>0</v>
      </c>
      <c r="E3226">
        <f>_xlfn.LET(_xlpm.dir,Table13[[#This Row],[Direction]],
IF(_xlpm.dir="L",
    IF(G3225-Table13[[#This Row],[Steps]]&lt;0,100+(G3225-Table13[[#This Row],[Steps]]),G3225-Table13[[#This Row],[Steps]]),
))</f>
        <v>49</v>
      </c>
      <c r="F3226">
        <f>_xlfn.LET(_xlpm.dir,Table13[[#This Row],[Direction]],
IF(_xlpm.dir="R",
    IF(G3225+Table13[[#This Row],[Steps]]&gt;99,(G3225+Table13[[#This Row],[Steps]])-100,G3225+Table13[[#This Row],[Steps]]),
))</f>
        <v>0</v>
      </c>
      <c r="G3226">
        <f>IF(Table13[[#This Row],[New Pos L]]&lt;&gt;0,Table13[[#This Row],[New Pos L]],Table13[[#This Row],[New Pos R]])</f>
        <v>49</v>
      </c>
      <c r="H3226">
        <f>IF(AND(Table13[[#This Row],[Direction]]="L",Table13[[#This Row],[Steps]]&gt;G3225,G3225&lt;&gt;0),1,0)</f>
        <v>1</v>
      </c>
      <c r="I3226">
        <f>IF(AND(Table13[[#This Row],[Direction]]="R",(G3225+Table13[[#This Row],[Steps]])&gt;100),1,0)</f>
        <v>0</v>
      </c>
      <c r="J3226">
        <f>IF(Table13[[#This Row],[POS]]=0,1,0)</f>
        <v>0</v>
      </c>
      <c r="K3226">
        <f>SUM(Table13[[#This Row],[prefix]],Table13[[#This Row],[Past zero L]],Table13[[#This Row],[Past Zero R]],Table13[[#This Row],[Is Zero]])</f>
        <v>1</v>
      </c>
    </row>
    <row r="3227" spans="1:11" ht="16" x14ac:dyDescent="0.2">
      <c r="A3227" s="1" t="s">
        <v>195</v>
      </c>
      <c r="B3227" t="str">
        <f>LEFT(Table13[[#This Row],[Input]],1)</f>
        <v>R</v>
      </c>
      <c r="C3227">
        <f>_xlfn.LET(_xlpm.steps,SUBSTITUTE(Table13[[#This Row],[Input]],Table13[[#This Row],[Direction]],""),VALUE(IF(LEN(_xlpm.steps)&gt;2,RIGHT(_xlpm.steps,2),_xlpm.steps)))</f>
        <v>40</v>
      </c>
      <c r="D3227">
        <f>_xlfn.LET(_xlpm.steps,SUBSTITUTE(Table13[[#This Row],[Input]],Table13[[#This Row],[Direction]],""),VALUE(IF(LEN(_xlpm.steps)&gt;2,LEFT(_xlpm.steps,LEN(_xlpm.steps)-2),0)))</f>
        <v>0</v>
      </c>
      <c r="E3227">
        <f>_xlfn.LET(_xlpm.dir,Table13[[#This Row],[Direction]],
IF(_xlpm.dir="L",
    IF(G3226-Table13[[#This Row],[Steps]]&lt;0,100+(G3226-Table13[[#This Row],[Steps]]),G3226-Table13[[#This Row],[Steps]]),
))</f>
        <v>0</v>
      </c>
      <c r="F3227">
        <f>_xlfn.LET(_xlpm.dir,Table13[[#This Row],[Direction]],
IF(_xlpm.dir="R",
    IF(G3226+Table13[[#This Row],[Steps]]&gt;99,(G3226+Table13[[#This Row],[Steps]])-100,G3226+Table13[[#This Row],[Steps]]),
))</f>
        <v>89</v>
      </c>
      <c r="G3227">
        <f>IF(Table13[[#This Row],[New Pos L]]&lt;&gt;0,Table13[[#This Row],[New Pos L]],Table13[[#This Row],[New Pos R]])</f>
        <v>89</v>
      </c>
      <c r="H3227">
        <f>IF(AND(Table13[[#This Row],[Direction]]="L",Table13[[#This Row],[Steps]]&gt;G3226,G3226&lt;&gt;0),1,0)</f>
        <v>0</v>
      </c>
      <c r="I3227">
        <f>IF(AND(Table13[[#This Row],[Direction]]="R",(G3226+Table13[[#This Row],[Steps]])&gt;100),1,0)</f>
        <v>0</v>
      </c>
      <c r="J3227">
        <f>IF(Table13[[#This Row],[POS]]=0,1,0)</f>
        <v>0</v>
      </c>
      <c r="K3227">
        <f>SUM(Table13[[#This Row],[prefix]],Table13[[#This Row],[Past zero L]],Table13[[#This Row],[Past Zero R]],Table13[[#This Row],[Is Zero]])</f>
        <v>0</v>
      </c>
    </row>
    <row r="3228" spans="1:11" ht="16" x14ac:dyDescent="0.2">
      <c r="A3228" s="1" t="s">
        <v>30</v>
      </c>
      <c r="B3228" t="str">
        <f>LEFT(Table13[[#This Row],[Input]],1)</f>
        <v>R</v>
      </c>
      <c r="C3228">
        <f>_xlfn.LET(_xlpm.steps,SUBSTITUTE(Table13[[#This Row],[Input]],Table13[[#This Row],[Direction]],""),VALUE(IF(LEN(_xlpm.steps)&gt;2,RIGHT(_xlpm.steps,2),_xlpm.steps)))</f>
        <v>48</v>
      </c>
      <c r="D3228">
        <f>_xlfn.LET(_xlpm.steps,SUBSTITUTE(Table13[[#This Row],[Input]],Table13[[#This Row],[Direction]],""),VALUE(IF(LEN(_xlpm.steps)&gt;2,LEFT(_xlpm.steps,LEN(_xlpm.steps)-2),0)))</f>
        <v>0</v>
      </c>
      <c r="E3228">
        <f>_xlfn.LET(_xlpm.dir,Table13[[#This Row],[Direction]],
IF(_xlpm.dir="L",
    IF(G3227-Table13[[#This Row],[Steps]]&lt;0,100+(G3227-Table13[[#This Row],[Steps]]),G3227-Table13[[#This Row],[Steps]]),
))</f>
        <v>0</v>
      </c>
      <c r="F3228">
        <f>_xlfn.LET(_xlpm.dir,Table13[[#This Row],[Direction]],
IF(_xlpm.dir="R",
    IF(G3227+Table13[[#This Row],[Steps]]&gt;99,(G3227+Table13[[#This Row],[Steps]])-100,G3227+Table13[[#This Row],[Steps]]),
))</f>
        <v>37</v>
      </c>
      <c r="G3228">
        <f>IF(Table13[[#This Row],[New Pos L]]&lt;&gt;0,Table13[[#This Row],[New Pos L]],Table13[[#This Row],[New Pos R]])</f>
        <v>37</v>
      </c>
      <c r="H3228">
        <f>IF(AND(Table13[[#This Row],[Direction]]="L",Table13[[#This Row],[Steps]]&gt;G3227,G3227&lt;&gt;0),1,0)</f>
        <v>0</v>
      </c>
      <c r="I3228">
        <f>IF(AND(Table13[[#This Row],[Direction]]="R",(G3227+Table13[[#This Row],[Steps]])&gt;100),1,0)</f>
        <v>1</v>
      </c>
      <c r="J3228">
        <f>IF(Table13[[#This Row],[POS]]=0,1,0)</f>
        <v>0</v>
      </c>
      <c r="K3228">
        <f>SUM(Table13[[#This Row],[prefix]],Table13[[#This Row],[Past zero L]],Table13[[#This Row],[Past Zero R]],Table13[[#This Row],[Is Zero]])</f>
        <v>1</v>
      </c>
    </row>
    <row r="3229" spans="1:11" ht="16" x14ac:dyDescent="0.2">
      <c r="A3229" s="1" t="s">
        <v>60</v>
      </c>
      <c r="B3229" t="str">
        <f>LEFT(Table13[[#This Row],[Input]],1)</f>
        <v>R</v>
      </c>
      <c r="C3229">
        <f>_xlfn.LET(_xlpm.steps,SUBSTITUTE(Table13[[#This Row],[Input]],Table13[[#This Row],[Direction]],""),VALUE(IF(LEN(_xlpm.steps)&gt;2,RIGHT(_xlpm.steps,2),_xlpm.steps)))</f>
        <v>86</v>
      </c>
      <c r="D3229">
        <f>_xlfn.LET(_xlpm.steps,SUBSTITUTE(Table13[[#This Row],[Input]],Table13[[#This Row],[Direction]],""),VALUE(IF(LEN(_xlpm.steps)&gt;2,LEFT(_xlpm.steps,LEN(_xlpm.steps)-2),0)))</f>
        <v>0</v>
      </c>
      <c r="E3229">
        <f>_xlfn.LET(_xlpm.dir,Table13[[#This Row],[Direction]],
IF(_xlpm.dir="L",
    IF(G3228-Table13[[#This Row],[Steps]]&lt;0,100+(G3228-Table13[[#This Row],[Steps]]),G3228-Table13[[#This Row],[Steps]]),
))</f>
        <v>0</v>
      </c>
      <c r="F3229">
        <f>_xlfn.LET(_xlpm.dir,Table13[[#This Row],[Direction]],
IF(_xlpm.dir="R",
    IF(G3228+Table13[[#This Row],[Steps]]&gt;99,(G3228+Table13[[#This Row],[Steps]])-100,G3228+Table13[[#This Row],[Steps]]),
))</f>
        <v>23</v>
      </c>
      <c r="G3229">
        <f>IF(Table13[[#This Row],[New Pos L]]&lt;&gt;0,Table13[[#This Row],[New Pos L]],Table13[[#This Row],[New Pos R]])</f>
        <v>23</v>
      </c>
      <c r="H3229">
        <f>IF(AND(Table13[[#This Row],[Direction]]="L",Table13[[#This Row],[Steps]]&gt;G3228,G3228&lt;&gt;0),1,0)</f>
        <v>0</v>
      </c>
      <c r="I3229">
        <f>IF(AND(Table13[[#This Row],[Direction]]="R",(G3228+Table13[[#This Row],[Steps]])&gt;100),1,0)</f>
        <v>1</v>
      </c>
      <c r="J3229">
        <f>IF(Table13[[#This Row],[POS]]=0,1,0)</f>
        <v>0</v>
      </c>
      <c r="K3229">
        <f>SUM(Table13[[#This Row],[prefix]],Table13[[#This Row],[Past zero L]],Table13[[#This Row],[Past Zero R]],Table13[[#This Row],[Is Zero]])</f>
        <v>1</v>
      </c>
    </row>
    <row r="3230" spans="1:11" ht="16" x14ac:dyDescent="0.2">
      <c r="A3230" s="1" t="s">
        <v>252</v>
      </c>
      <c r="B3230" t="str">
        <f>LEFT(Table13[[#This Row],[Input]],1)</f>
        <v>L</v>
      </c>
      <c r="C3230">
        <f>_xlfn.LET(_xlpm.steps,SUBSTITUTE(Table13[[#This Row],[Input]],Table13[[#This Row],[Direction]],""),VALUE(IF(LEN(_xlpm.steps)&gt;2,RIGHT(_xlpm.steps,2),_xlpm.steps)))</f>
        <v>99</v>
      </c>
      <c r="D3230">
        <f>_xlfn.LET(_xlpm.steps,SUBSTITUTE(Table13[[#This Row],[Input]],Table13[[#This Row],[Direction]],""),VALUE(IF(LEN(_xlpm.steps)&gt;2,LEFT(_xlpm.steps,LEN(_xlpm.steps)-2),0)))</f>
        <v>0</v>
      </c>
      <c r="E3230">
        <f>_xlfn.LET(_xlpm.dir,Table13[[#This Row],[Direction]],
IF(_xlpm.dir="L",
    IF(G3229-Table13[[#This Row],[Steps]]&lt;0,100+(G3229-Table13[[#This Row],[Steps]]),G3229-Table13[[#This Row],[Steps]]),
))</f>
        <v>24</v>
      </c>
      <c r="F3230">
        <f>_xlfn.LET(_xlpm.dir,Table13[[#This Row],[Direction]],
IF(_xlpm.dir="R",
    IF(G3229+Table13[[#This Row],[Steps]]&gt;99,(G3229+Table13[[#This Row],[Steps]])-100,G3229+Table13[[#This Row],[Steps]]),
))</f>
        <v>0</v>
      </c>
      <c r="G3230">
        <f>IF(Table13[[#This Row],[New Pos L]]&lt;&gt;0,Table13[[#This Row],[New Pos L]],Table13[[#This Row],[New Pos R]])</f>
        <v>24</v>
      </c>
      <c r="H3230">
        <f>IF(AND(Table13[[#This Row],[Direction]]="L",Table13[[#This Row],[Steps]]&gt;G3229,G3229&lt;&gt;0),1,0)</f>
        <v>1</v>
      </c>
      <c r="I3230">
        <f>IF(AND(Table13[[#This Row],[Direction]]="R",(G3229+Table13[[#This Row],[Steps]])&gt;100),1,0)</f>
        <v>0</v>
      </c>
      <c r="J3230">
        <f>IF(Table13[[#This Row],[POS]]=0,1,0)</f>
        <v>0</v>
      </c>
      <c r="K3230">
        <f>SUM(Table13[[#This Row],[prefix]],Table13[[#This Row],[Past zero L]],Table13[[#This Row],[Past Zero R]],Table13[[#This Row],[Is Zero]])</f>
        <v>1</v>
      </c>
    </row>
    <row r="3231" spans="1:11" ht="16" x14ac:dyDescent="0.2">
      <c r="A3231" s="1" t="s">
        <v>161</v>
      </c>
      <c r="B3231" t="str">
        <f>LEFT(Table13[[#This Row],[Input]],1)</f>
        <v>R</v>
      </c>
      <c r="C3231">
        <f>_xlfn.LET(_xlpm.steps,SUBSTITUTE(Table13[[#This Row],[Input]],Table13[[#This Row],[Direction]],""),VALUE(IF(LEN(_xlpm.steps)&gt;2,RIGHT(_xlpm.steps,2),_xlpm.steps)))</f>
        <v>76</v>
      </c>
      <c r="D3231">
        <f>_xlfn.LET(_xlpm.steps,SUBSTITUTE(Table13[[#This Row],[Input]],Table13[[#This Row],[Direction]],""),VALUE(IF(LEN(_xlpm.steps)&gt;2,LEFT(_xlpm.steps,LEN(_xlpm.steps)-2),0)))</f>
        <v>0</v>
      </c>
      <c r="E3231">
        <f>_xlfn.LET(_xlpm.dir,Table13[[#This Row],[Direction]],
IF(_xlpm.dir="L",
    IF(G3230-Table13[[#This Row],[Steps]]&lt;0,100+(G3230-Table13[[#This Row],[Steps]]),G3230-Table13[[#This Row],[Steps]]),
))</f>
        <v>0</v>
      </c>
      <c r="F3231">
        <f>_xlfn.LET(_xlpm.dir,Table13[[#This Row],[Direction]],
IF(_xlpm.dir="R",
    IF(G3230+Table13[[#This Row],[Steps]]&gt;99,(G3230+Table13[[#This Row],[Steps]])-100,G3230+Table13[[#This Row],[Steps]]),
))</f>
        <v>0</v>
      </c>
      <c r="G3231">
        <f>IF(Table13[[#This Row],[New Pos L]]&lt;&gt;0,Table13[[#This Row],[New Pos L]],Table13[[#This Row],[New Pos R]])</f>
        <v>0</v>
      </c>
      <c r="H3231">
        <f>IF(AND(Table13[[#This Row],[Direction]]="L",Table13[[#This Row],[Steps]]&gt;G3230,G3230&lt;&gt;0),1,0)</f>
        <v>0</v>
      </c>
      <c r="I3231">
        <f>IF(AND(Table13[[#This Row],[Direction]]="R",(G3230+Table13[[#This Row],[Steps]])&gt;100),1,0)</f>
        <v>0</v>
      </c>
      <c r="J3231">
        <f>IF(Table13[[#This Row],[POS]]=0,1,0)</f>
        <v>1</v>
      </c>
      <c r="K3231">
        <f>SUM(Table13[[#This Row],[prefix]],Table13[[#This Row],[Past zero L]],Table13[[#This Row],[Past Zero R]],Table13[[#This Row],[Is Zero]])</f>
        <v>1</v>
      </c>
    </row>
    <row r="3232" spans="1:11" ht="16" x14ac:dyDescent="0.2">
      <c r="A3232" s="1" t="s">
        <v>105</v>
      </c>
      <c r="B3232" t="str">
        <f>LEFT(Table13[[#This Row],[Input]],1)</f>
        <v>R</v>
      </c>
      <c r="C3232">
        <f>_xlfn.LET(_xlpm.steps,SUBSTITUTE(Table13[[#This Row],[Input]],Table13[[#This Row],[Direction]],""),VALUE(IF(LEN(_xlpm.steps)&gt;2,RIGHT(_xlpm.steps,2),_xlpm.steps)))</f>
        <v>98</v>
      </c>
      <c r="D3232">
        <f>_xlfn.LET(_xlpm.steps,SUBSTITUTE(Table13[[#This Row],[Input]],Table13[[#This Row],[Direction]],""),VALUE(IF(LEN(_xlpm.steps)&gt;2,LEFT(_xlpm.steps,LEN(_xlpm.steps)-2),0)))</f>
        <v>0</v>
      </c>
      <c r="E3232">
        <f>_xlfn.LET(_xlpm.dir,Table13[[#This Row],[Direction]],
IF(_xlpm.dir="L",
    IF(G3231-Table13[[#This Row],[Steps]]&lt;0,100+(G3231-Table13[[#This Row],[Steps]]),G3231-Table13[[#This Row],[Steps]]),
))</f>
        <v>0</v>
      </c>
      <c r="F3232">
        <f>_xlfn.LET(_xlpm.dir,Table13[[#This Row],[Direction]],
IF(_xlpm.dir="R",
    IF(G3231+Table13[[#This Row],[Steps]]&gt;99,(G3231+Table13[[#This Row],[Steps]])-100,G3231+Table13[[#This Row],[Steps]]),
))</f>
        <v>98</v>
      </c>
      <c r="G3232">
        <f>IF(Table13[[#This Row],[New Pos L]]&lt;&gt;0,Table13[[#This Row],[New Pos L]],Table13[[#This Row],[New Pos R]])</f>
        <v>98</v>
      </c>
      <c r="H3232">
        <f>IF(AND(Table13[[#This Row],[Direction]]="L",Table13[[#This Row],[Steps]]&gt;G3231,G3231&lt;&gt;0),1,0)</f>
        <v>0</v>
      </c>
      <c r="I3232">
        <f>IF(AND(Table13[[#This Row],[Direction]]="R",(G3231+Table13[[#This Row],[Steps]])&gt;100),1,0)</f>
        <v>0</v>
      </c>
      <c r="J3232">
        <f>IF(Table13[[#This Row],[POS]]=0,1,0)</f>
        <v>0</v>
      </c>
      <c r="K3232">
        <f>SUM(Table13[[#This Row],[prefix]],Table13[[#This Row],[Past zero L]],Table13[[#This Row],[Past Zero R]],Table13[[#This Row],[Is Zero]])</f>
        <v>0</v>
      </c>
    </row>
    <row r="3233" spans="1:11" ht="16" x14ac:dyDescent="0.2">
      <c r="A3233" s="1" t="s">
        <v>462</v>
      </c>
      <c r="B3233" t="str">
        <f>LEFT(Table13[[#This Row],[Input]],1)</f>
        <v>L</v>
      </c>
      <c r="C3233">
        <f>_xlfn.LET(_xlpm.steps,SUBSTITUTE(Table13[[#This Row],[Input]],Table13[[#This Row],[Direction]],""),VALUE(IF(LEN(_xlpm.steps)&gt;2,RIGHT(_xlpm.steps,2),_xlpm.steps)))</f>
        <v>17</v>
      </c>
      <c r="D3233">
        <f>_xlfn.LET(_xlpm.steps,SUBSTITUTE(Table13[[#This Row],[Input]],Table13[[#This Row],[Direction]],""),VALUE(IF(LEN(_xlpm.steps)&gt;2,LEFT(_xlpm.steps,LEN(_xlpm.steps)-2),0)))</f>
        <v>0</v>
      </c>
      <c r="E3233">
        <f>_xlfn.LET(_xlpm.dir,Table13[[#This Row],[Direction]],
IF(_xlpm.dir="L",
    IF(G3232-Table13[[#This Row],[Steps]]&lt;0,100+(G3232-Table13[[#This Row],[Steps]]),G3232-Table13[[#This Row],[Steps]]),
))</f>
        <v>81</v>
      </c>
      <c r="F3233">
        <f>_xlfn.LET(_xlpm.dir,Table13[[#This Row],[Direction]],
IF(_xlpm.dir="R",
    IF(G3232+Table13[[#This Row],[Steps]]&gt;99,(G3232+Table13[[#This Row],[Steps]])-100,G3232+Table13[[#This Row],[Steps]]),
))</f>
        <v>0</v>
      </c>
      <c r="G3233">
        <f>IF(Table13[[#This Row],[New Pos L]]&lt;&gt;0,Table13[[#This Row],[New Pos L]],Table13[[#This Row],[New Pos R]])</f>
        <v>81</v>
      </c>
      <c r="H3233">
        <f>IF(AND(Table13[[#This Row],[Direction]]="L",Table13[[#This Row],[Steps]]&gt;G3232,G3232&lt;&gt;0),1,0)</f>
        <v>0</v>
      </c>
      <c r="I3233">
        <f>IF(AND(Table13[[#This Row],[Direction]]="R",(G3232+Table13[[#This Row],[Steps]])&gt;100),1,0)</f>
        <v>0</v>
      </c>
      <c r="J3233">
        <f>IF(Table13[[#This Row],[POS]]=0,1,0)</f>
        <v>0</v>
      </c>
      <c r="K3233">
        <f>SUM(Table13[[#This Row],[prefix]],Table13[[#This Row],[Past zero L]],Table13[[#This Row],[Past Zero R]],Table13[[#This Row],[Is Zero]])</f>
        <v>0</v>
      </c>
    </row>
    <row r="3234" spans="1:11" ht="16" x14ac:dyDescent="0.2">
      <c r="A3234" s="1" t="s">
        <v>296</v>
      </c>
      <c r="B3234" t="str">
        <f>LEFT(Table13[[#This Row],[Input]],1)</f>
        <v>R</v>
      </c>
      <c r="C3234">
        <f>_xlfn.LET(_xlpm.steps,SUBSTITUTE(Table13[[#This Row],[Input]],Table13[[#This Row],[Direction]],""),VALUE(IF(LEN(_xlpm.steps)&gt;2,RIGHT(_xlpm.steps,2),_xlpm.steps)))</f>
        <v>19</v>
      </c>
      <c r="D3234">
        <f>_xlfn.LET(_xlpm.steps,SUBSTITUTE(Table13[[#This Row],[Input]],Table13[[#This Row],[Direction]],""),VALUE(IF(LEN(_xlpm.steps)&gt;2,LEFT(_xlpm.steps,LEN(_xlpm.steps)-2),0)))</f>
        <v>0</v>
      </c>
      <c r="E3234">
        <f>_xlfn.LET(_xlpm.dir,Table13[[#This Row],[Direction]],
IF(_xlpm.dir="L",
    IF(G3233-Table13[[#This Row],[Steps]]&lt;0,100+(G3233-Table13[[#This Row],[Steps]]),G3233-Table13[[#This Row],[Steps]]),
))</f>
        <v>0</v>
      </c>
      <c r="F3234">
        <f>_xlfn.LET(_xlpm.dir,Table13[[#This Row],[Direction]],
IF(_xlpm.dir="R",
    IF(G3233+Table13[[#This Row],[Steps]]&gt;99,(G3233+Table13[[#This Row],[Steps]])-100,G3233+Table13[[#This Row],[Steps]]),
))</f>
        <v>0</v>
      </c>
      <c r="G3234">
        <f>IF(Table13[[#This Row],[New Pos L]]&lt;&gt;0,Table13[[#This Row],[New Pos L]],Table13[[#This Row],[New Pos R]])</f>
        <v>0</v>
      </c>
      <c r="H3234">
        <f>IF(AND(Table13[[#This Row],[Direction]]="L",Table13[[#This Row],[Steps]]&gt;G3233,G3233&lt;&gt;0),1,0)</f>
        <v>0</v>
      </c>
      <c r="I3234">
        <f>IF(AND(Table13[[#This Row],[Direction]]="R",(G3233+Table13[[#This Row],[Steps]])&gt;100),1,0)</f>
        <v>0</v>
      </c>
      <c r="J3234">
        <f>IF(Table13[[#This Row],[POS]]=0,1,0)</f>
        <v>1</v>
      </c>
      <c r="K3234">
        <f>SUM(Table13[[#This Row],[prefix]],Table13[[#This Row],[Past zero L]],Table13[[#This Row],[Past Zero R]],Table13[[#This Row],[Is Zero]])</f>
        <v>1</v>
      </c>
    </row>
    <row r="3235" spans="1:11" ht="16" x14ac:dyDescent="0.2">
      <c r="A3235" s="1" t="s">
        <v>77</v>
      </c>
      <c r="B3235" t="str">
        <f>LEFT(Table13[[#This Row],[Input]],1)</f>
        <v>R</v>
      </c>
      <c r="C3235">
        <f>_xlfn.LET(_xlpm.steps,SUBSTITUTE(Table13[[#This Row],[Input]],Table13[[#This Row],[Direction]],""),VALUE(IF(LEN(_xlpm.steps)&gt;2,RIGHT(_xlpm.steps,2),_xlpm.steps)))</f>
        <v>74</v>
      </c>
      <c r="D3235">
        <f>_xlfn.LET(_xlpm.steps,SUBSTITUTE(Table13[[#This Row],[Input]],Table13[[#This Row],[Direction]],""),VALUE(IF(LEN(_xlpm.steps)&gt;2,LEFT(_xlpm.steps,LEN(_xlpm.steps)-2),0)))</f>
        <v>0</v>
      </c>
      <c r="E3235">
        <f>_xlfn.LET(_xlpm.dir,Table13[[#This Row],[Direction]],
IF(_xlpm.dir="L",
    IF(G3234-Table13[[#This Row],[Steps]]&lt;0,100+(G3234-Table13[[#This Row],[Steps]]),G3234-Table13[[#This Row],[Steps]]),
))</f>
        <v>0</v>
      </c>
      <c r="F3235">
        <f>_xlfn.LET(_xlpm.dir,Table13[[#This Row],[Direction]],
IF(_xlpm.dir="R",
    IF(G3234+Table13[[#This Row],[Steps]]&gt;99,(G3234+Table13[[#This Row],[Steps]])-100,G3234+Table13[[#This Row],[Steps]]),
))</f>
        <v>74</v>
      </c>
      <c r="G3235">
        <f>IF(Table13[[#This Row],[New Pos L]]&lt;&gt;0,Table13[[#This Row],[New Pos L]],Table13[[#This Row],[New Pos R]])</f>
        <v>74</v>
      </c>
      <c r="H3235">
        <f>IF(AND(Table13[[#This Row],[Direction]]="L",Table13[[#This Row],[Steps]]&gt;G3234,G3234&lt;&gt;0),1,0)</f>
        <v>0</v>
      </c>
      <c r="I3235">
        <f>IF(AND(Table13[[#This Row],[Direction]]="R",(G3234+Table13[[#This Row],[Steps]])&gt;100),1,0)</f>
        <v>0</v>
      </c>
      <c r="J3235">
        <f>IF(Table13[[#This Row],[POS]]=0,1,0)</f>
        <v>0</v>
      </c>
      <c r="K3235">
        <f>SUM(Table13[[#This Row],[prefix]],Table13[[#This Row],[Past zero L]],Table13[[#This Row],[Past Zero R]],Table13[[#This Row],[Is Zero]])</f>
        <v>0</v>
      </c>
    </row>
    <row r="3236" spans="1:11" ht="16" x14ac:dyDescent="0.2">
      <c r="A3236" s="1" t="s">
        <v>179</v>
      </c>
      <c r="B3236" t="str">
        <f>LEFT(Table13[[#This Row],[Input]],1)</f>
        <v>L</v>
      </c>
      <c r="C3236">
        <f>_xlfn.LET(_xlpm.steps,SUBSTITUTE(Table13[[#This Row],[Input]],Table13[[#This Row],[Direction]],""),VALUE(IF(LEN(_xlpm.steps)&gt;2,RIGHT(_xlpm.steps,2),_xlpm.steps)))</f>
        <v>54</v>
      </c>
      <c r="D3236">
        <f>_xlfn.LET(_xlpm.steps,SUBSTITUTE(Table13[[#This Row],[Input]],Table13[[#This Row],[Direction]],""),VALUE(IF(LEN(_xlpm.steps)&gt;2,LEFT(_xlpm.steps,LEN(_xlpm.steps)-2),0)))</f>
        <v>0</v>
      </c>
      <c r="E3236">
        <f>_xlfn.LET(_xlpm.dir,Table13[[#This Row],[Direction]],
IF(_xlpm.dir="L",
    IF(G3235-Table13[[#This Row],[Steps]]&lt;0,100+(G3235-Table13[[#This Row],[Steps]]),G3235-Table13[[#This Row],[Steps]]),
))</f>
        <v>20</v>
      </c>
      <c r="F3236">
        <f>_xlfn.LET(_xlpm.dir,Table13[[#This Row],[Direction]],
IF(_xlpm.dir="R",
    IF(G3235+Table13[[#This Row],[Steps]]&gt;99,(G3235+Table13[[#This Row],[Steps]])-100,G3235+Table13[[#This Row],[Steps]]),
))</f>
        <v>0</v>
      </c>
      <c r="G3236">
        <f>IF(Table13[[#This Row],[New Pos L]]&lt;&gt;0,Table13[[#This Row],[New Pos L]],Table13[[#This Row],[New Pos R]])</f>
        <v>20</v>
      </c>
      <c r="H3236">
        <f>IF(AND(Table13[[#This Row],[Direction]]="L",Table13[[#This Row],[Steps]]&gt;G3235,G3235&lt;&gt;0),1,0)</f>
        <v>0</v>
      </c>
      <c r="I3236">
        <f>IF(AND(Table13[[#This Row],[Direction]]="R",(G3235+Table13[[#This Row],[Steps]])&gt;100),1,0)</f>
        <v>0</v>
      </c>
      <c r="J3236">
        <f>IF(Table13[[#This Row],[POS]]=0,1,0)</f>
        <v>0</v>
      </c>
      <c r="K3236">
        <f>SUM(Table13[[#This Row],[prefix]],Table13[[#This Row],[Past zero L]],Table13[[#This Row],[Past Zero R]],Table13[[#This Row],[Is Zero]])</f>
        <v>0</v>
      </c>
    </row>
    <row r="3237" spans="1:11" ht="16" x14ac:dyDescent="0.2">
      <c r="A3237" s="1" t="s">
        <v>30</v>
      </c>
      <c r="B3237" t="str">
        <f>LEFT(Table13[[#This Row],[Input]],1)</f>
        <v>R</v>
      </c>
      <c r="C3237">
        <f>_xlfn.LET(_xlpm.steps,SUBSTITUTE(Table13[[#This Row],[Input]],Table13[[#This Row],[Direction]],""),VALUE(IF(LEN(_xlpm.steps)&gt;2,RIGHT(_xlpm.steps,2),_xlpm.steps)))</f>
        <v>48</v>
      </c>
      <c r="D3237">
        <f>_xlfn.LET(_xlpm.steps,SUBSTITUTE(Table13[[#This Row],[Input]],Table13[[#This Row],[Direction]],""),VALUE(IF(LEN(_xlpm.steps)&gt;2,LEFT(_xlpm.steps,LEN(_xlpm.steps)-2),0)))</f>
        <v>0</v>
      </c>
      <c r="E3237">
        <f>_xlfn.LET(_xlpm.dir,Table13[[#This Row],[Direction]],
IF(_xlpm.dir="L",
    IF(G3236-Table13[[#This Row],[Steps]]&lt;0,100+(G3236-Table13[[#This Row],[Steps]]),G3236-Table13[[#This Row],[Steps]]),
))</f>
        <v>0</v>
      </c>
      <c r="F3237">
        <f>_xlfn.LET(_xlpm.dir,Table13[[#This Row],[Direction]],
IF(_xlpm.dir="R",
    IF(G3236+Table13[[#This Row],[Steps]]&gt;99,(G3236+Table13[[#This Row],[Steps]])-100,G3236+Table13[[#This Row],[Steps]]),
))</f>
        <v>68</v>
      </c>
      <c r="G3237">
        <f>IF(Table13[[#This Row],[New Pos L]]&lt;&gt;0,Table13[[#This Row],[New Pos L]],Table13[[#This Row],[New Pos R]])</f>
        <v>68</v>
      </c>
      <c r="H3237">
        <f>IF(AND(Table13[[#This Row],[Direction]]="L",Table13[[#This Row],[Steps]]&gt;G3236,G3236&lt;&gt;0),1,0)</f>
        <v>0</v>
      </c>
      <c r="I3237">
        <f>IF(AND(Table13[[#This Row],[Direction]]="R",(G3236+Table13[[#This Row],[Steps]])&gt;100),1,0)</f>
        <v>0</v>
      </c>
      <c r="J3237">
        <f>IF(Table13[[#This Row],[POS]]=0,1,0)</f>
        <v>0</v>
      </c>
      <c r="K3237">
        <f>SUM(Table13[[#This Row],[prefix]],Table13[[#This Row],[Past zero L]],Table13[[#This Row],[Past Zero R]],Table13[[#This Row],[Is Zero]])</f>
        <v>0</v>
      </c>
    </row>
    <row r="3238" spans="1:11" ht="16" x14ac:dyDescent="0.2">
      <c r="A3238" s="1" t="s">
        <v>14</v>
      </c>
      <c r="B3238" t="str">
        <f>LEFT(Table13[[#This Row],[Input]],1)</f>
        <v>L</v>
      </c>
      <c r="C3238">
        <f>_xlfn.LET(_xlpm.steps,SUBSTITUTE(Table13[[#This Row],[Input]],Table13[[#This Row],[Direction]],""),VALUE(IF(LEN(_xlpm.steps)&gt;2,RIGHT(_xlpm.steps,2),_xlpm.steps)))</f>
        <v>43</v>
      </c>
      <c r="D3238">
        <f>_xlfn.LET(_xlpm.steps,SUBSTITUTE(Table13[[#This Row],[Input]],Table13[[#This Row],[Direction]],""),VALUE(IF(LEN(_xlpm.steps)&gt;2,LEFT(_xlpm.steps,LEN(_xlpm.steps)-2),0)))</f>
        <v>0</v>
      </c>
      <c r="E3238">
        <f>_xlfn.LET(_xlpm.dir,Table13[[#This Row],[Direction]],
IF(_xlpm.dir="L",
    IF(G3237-Table13[[#This Row],[Steps]]&lt;0,100+(G3237-Table13[[#This Row],[Steps]]),G3237-Table13[[#This Row],[Steps]]),
))</f>
        <v>25</v>
      </c>
      <c r="F3238">
        <f>_xlfn.LET(_xlpm.dir,Table13[[#This Row],[Direction]],
IF(_xlpm.dir="R",
    IF(G3237+Table13[[#This Row],[Steps]]&gt;99,(G3237+Table13[[#This Row],[Steps]])-100,G3237+Table13[[#This Row],[Steps]]),
))</f>
        <v>0</v>
      </c>
      <c r="G3238">
        <f>IF(Table13[[#This Row],[New Pos L]]&lt;&gt;0,Table13[[#This Row],[New Pos L]],Table13[[#This Row],[New Pos R]])</f>
        <v>25</v>
      </c>
      <c r="H3238">
        <f>IF(AND(Table13[[#This Row],[Direction]]="L",Table13[[#This Row],[Steps]]&gt;G3237,G3237&lt;&gt;0),1,0)</f>
        <v>0</v>
      </c>
      <c r="I3238">
        <f>IF(AND(Table13[[#This Row],[Direction]]="R",(G3237+Table13[[#This Row],[Steps]])&gt;100),1,0)</f>
        <v>0</v>
      </c>
      <c r="J3238">
        <f>IF(Table13[[#This Row],[POS]]=0,1,0)</f>
        <v>0</v>
      </c>
      <c r="K3238">
        <f>SUM(Table13[[#This Row],[prefix]],Table13[[#This Row],[Past zero L]],Table13[[#This Row],[Past Zero R]],Table13[[#This Row],[Is Zero]])</f>
        <v>0</v>
      </c>
    </row>
    <row r="3239" spans="1:11" ht="16" x14ac:dyDescent="0.2">
      <c r="A3239" s="1" t="s">
        <v>34</v>
      </c>
      <c r="B3239" t="str">
        <f>LEFT(Table13[[#This Row],[Input]],1)</f>
        <v>L</v>
      </c>
      <c r="C3239">
        <f>_xlfn.LET(_xlpm.steps,SUBSTITUTE(Table13[[#This Row],[Input]],Table13[[#This Row],[Direction]],""),VALUE(IF(LEN(_xlpm.steps)&gt;2,RIGHT(_xlpm.steps,2),_xlpm.steps)))</f>
        <v>15</v>
      </c>
      <c r="D3239">
        <f>_xlfn.LET(_xlpm.steps,SUBSTITUTE(Table13[[#This Row],[Input]],Table13[[#This Row],[Direction]],""),VALUE(IF(LEN(_xlpm.steps)&gt;2,LEFT(_xlpm.steps,LEN(_xlpm.steps)-2),0)))</f>
        <v>0</v>
      </c>
      <c r="E3239">
        <f>_xlfn.LET(_xlpm.dir,Table13[[#This Row],[Direction]],
IF(_xlpm.dir="L",
    IF(G3238-Table13[[#This Row],[Steps]]&lt;0,100+(G3238-Table13[[#This Row],[Steps]]),G3238-Table13[[#This Row],[Steps]]),
))</f>
        <v>10</v>
      </c>
      <c r="F3239">
        <f>_xlfn.LET(_xlpm.dir,Table13[[#This Row],[Direction]],
IF(_xlpm.dir="R",
    IF(G3238+Table13[[#This Row],[Steps]]&gt;99,(G3238+Table13[[#This Row],[Steps]])-100,G3238+Table13[[#This Row],[Steps]]),
))</f>
        <v>0</v>
      </c>
      <c r="G3239">
        <f>IF(Table13[[#This Row],[New Pos L]]&lt;&gt;0,Table13[[#This Row],[New Pos L]],Table13[[#This Row],[New Pos R]])</f>
        <v>10</v>
      </c>
      <c r="H3239">
        <f>IF(AND(Table13[[#This Row],[Direction]]="L",Table13[[#This Row],[Steps]]&gt;G3238,G3238&lt;&gt;0),1,0)</f>
        <v>0</v>
      </c>
      <c r="I3239">
        <f>IF(AND(Table13[[#This Row],[Direction]]="R",(G3238+Table13[[#This Row],[Steps]])&gt;100),1,0)</f>
        <v>0</v>
      </c>
      <c r="J3239">
        <f>IF(Table13[[#This Row],[POS]]=0,1,0)</f>
        <v>0</v>
      </c>
      <c r="K3239">
        <f>SUM(Table13[[#This Row],[prefix]],Table13[[#This Row],[Past zero L]],Table13[[#This Row],[Past Zero R]],Table13[[#This Row],[Is Zero]])</f>
        <v>0</v>
      </c>
    </row>
    <row r="3240" spans="1:11" ht="16" x14ac:dyDescent="0.2">
      <c r="A3240" s="1" t="s">
        <v>73</v>
      </c>
      <c r="B3240" t="str">
        <f>LEFT(Table13[[#This Row],[Input]],1)</f>
        <v>R</v>
      </c>
      <c r="C3240">
        <f>_xlfn.LET(_xlpm.steps,SUBSTITUTE(Table13[[#This Row],[Input]],Table13[[#This Row],[Direction]],""),VALUE(IF(LEN(_xlpm.steps)&gt;2,RIGHT(_xlpm.steps,2),_xlpm.steps)))</f>
        <v>21</v>
      </c>
      <c r="D3240">
        <f>_xlfn.LET(_xlpm.steps,SUBSTITUTE(Table13[[#This Row],[Input]],Table13[[#This Row],[Direction]],""),VALUE(IF(LEN(_xlpm.steps)&gt;2,LEFT(_xlpm.steps,LEN(_xlpm.steps)-2),0)))</f>
        <v>0</v>
      </c>
      <c r="E3240">
        <f>_xlfn.LET(_xlpm.dir,Table13[[#This Row],[Direction]],
IF(_xlpm.dir="L",
    IF(G3239-Table13[[#This Row],[Steps]]&lt;0,100+(G3239-Table13[[#This Row],[Steps]]),G3239-Table13[[#This Row],[Steps]]),
))</f>
        <v>0</v>
      </c>
      <c r="F3240">
        <f>_xlfn.LET(_xlpm.dir,Table13[[#This Row],[Direction]],
IF(_xlpm.dir="R",
    IF(G3239+Table13[[#This Row],[Steps]]&gt;99,(G3239+Table13[[#This Row],[Steps]])-100,G3239+Table13[[#This Row],[Steps]]),
))</f>
        <v>31</v>
      </c>
      <c r="G3240">
        <f>IF(Table13[[#This Row],[New Pos L]]&lt;&gt;0,Table13[[#This Row],[New Pos L]],Table13[[#This Row],[New Pos R]])</f>
        <v>31</v>
      </c>
      <c r="H3240">
        <f>IF(AND(Table13[[#This Row],[Direction]]="L",Table13[[#This Row],[Steps]]&gt;G3239,G3239&lt;&gt;0),1,0)</f>
        <v>0</v>
      </c>
      <c r="I3240">
        <f>IF(AND(Table13[[#This Row],[Direction]]="R",(G3239+Table13[[#This Row],[Steps]])&gt;100),1,0)</f>
        <v>0</v>
      </c>
      <c r="J3240">
        <f>IF(Table13[[#This Row],[POS]]=0,1,0)</f>
        <v>0</v>
      </c>
      <c r="K3240">
        <f>SUM(Table13[[#This Row],[prefix]],Table13[[#This Row],[Past zero L]],Table13[[#This Row],[Past Zero R]],Table13[[#This Row],[Is Zero]])</f>
        <v>0</v>
      </c>
    </row>
    <row r="3241" spans="1:11" ht="16" x14ac:dyDescent="0.2">
      <c r="A3241" s="1" t="s">
        <v>715</v>
      </c>
      <c r="B3241" t="str">
        <f>LEFT(Table13[[#This Row],[Input]],1)</f>
        <v>L</v>
      </c>
      <c r="C3241">
        <f>_xlfn.LET(_xlpm.steps,SUBSTITUTE(Table13[[#This Row],[Input]],Table13[[#This Row],[Direction]],""),VALUE(IF(LEN(_xlpm.steps)&gt;2,RIGHT(_xlpm.steps,2),_xlpm.steps)))</f>
        <v>31</v>
      </c>
      <c r="D3241">
        <f>_xlfn.LET(_xlpm.steps,SUBSTITUTE(Table13[[#This Row],[Input]],Table13[[#This Row],[Direction]],""),VALUE(IF(LEN(_xlpm.steps)&gt;2,LEFT(_xlpm.steps,LEN(_xlpm.steps)-2),0)))</f>
        <v>8</v>
      </c>
      <c r="E3241">
        <f>_xlfn.LET(_xlpm.dir,Table13[[#This Row],[Direction]],
IF(_xlpm.dir="L",
    IF(G3240-Table13[[#This Row],[Steps]]&lt;0,100+(G3240-Table13[[#This Row],[Steps]]),G3240-Table13[[#This Row],[Steps]]),
))</f>
        <v>0</v>
      </c>
      <c r="F3241">
        <f>_xlfn.LET(_xlpm.dir,Table13[[#This Row],[Direction]],
IF(_xlpm.dir="R",
    IF(G3240+Table13[[#This Row],[Steps]]&gt;99,(G3240+Table13[[#This Row],[Steps]])-100,G3240+Table13[[#This Row],[Steps]]),
))</f>
        <v>0</v>
      </c>
      <c r="G3241">
        <f>IF(Table13[[#This Row],[New Pos L]]&lt;&gt;0,Table13[[#This Row],[New Pos L]],Table13[[#This Row],[New Pos R]])</f>
        <v>0</v>
      </c>
      <c r="H3241">
        <f>IF(AND(Table13[[#This Row],[Direction]]="L",Table13[[#This Row],[Steps]]&gt;G3240,G3240&lt;&gt;0),1,0)</f>
        <v>0</v>
      </c>
      <c r="I3241">
        <f>IF(AND(Table13[[#This Row],[Direction]]="R",(G3240+Table13[[#This Row],[Steps]])&gt;100),1,0)</f>
        <v>0</v>
      </c>
      <c r="J3241">
        <f>IF(Table13[[#This Row],[POS]]=0,1,0)</f>
        <v>1</v>
      </c>
      <c r="K3241">
        <f>SUM(Table13[[#This Row],[prefix]],Table13[[#This Row],[Past zero L]],Table13[[#This Row],[Past Zero R]],Table13[[#This Row],[Is Zero]])</f>
        <v>9</v>
      </c>
    </row>
    <row r="3242" spans="1:11" ht="16" x14ac:dyDescent="0.2">
      <c r="A3242" s="1" t="s">
        <v>81</v>
      </c>
      <c r="B3242" t="str">
        <f>LEFT(Table13[[#This Row],[Input]],1)</f>
        <v>R</v>
      </c>
      <c r="C3242">
        <f>_xlfn.LET(_xlpm.steps,SUBSTITUTE(Table13[[#This Row],[Input]],Table13[[#This Row],[Direction]],""),VALUE(IF(LEN(_xlpm.steps)&gt;2,RIGHT(_xlpm.steps,2),_xlpm.steps)))</f>
        <v>17</v>
      </c>
      <c r="D3242">
        <f>_xlfn.LET(_xlpm.steps,SUBSTITUTE(Table13[[#This Row],[Input]],Table13[[#This Row],[Direction]],""),VALUE(IF(LEN(_xlpm.steps)&gt;2,LEFT(_xlpm.steps,LEN(_xlpm.steps)-2),0)))</f>
        <v>0</v>
      </c>
      <c r="E3242">
        <f>_xlfn.LET(_xlpm.dir,Table13[[#This Row],[Direction]],
IF(_xlpm.dir="L",
    IF(G3241-Table13[[#This Row],[Steps]]&lt;0,100+(G3241-Table13[[#This Row],[Steps]]),G3241-Table13[[#This Row],[Steps]]),
))</f>
        <v>0</v>
      </c>
      <c r="F3242">
        <f>_xlfn.LET(_xlpm.dir,Table13[[#This Row],[Direction]],
IF(_xlpm.dir="R",
    IF(G3241+Table13[[#This Row],[Steps]]&gt;99,(G3241+Table13[[#This Row],[Steps]])-100,G3241+Table13[[#This Row],[Steps]]),
))</f>
        <v>17</v>
      </c>
      <c r="G3242">
        <f>IF(Table13[[#This Row],[New Pos L]]&lt;&gt;0,Table13[[#This Row],[New Pos L]],Table13[[#This Row],[New Pos R]])</f>
        <v>17</v>
      </c>
      <c r="H3242">
        <f>IF(AND(Table13[[#This Row],[Direction]]="L",Table13[[#This Row],[Steps]]&gt;G3241,G3241&lt;&gt;0),1,0)</f>
        <v>0</v>
      </c>
      <c r="I3242">
        <f>IF(AND(Table13[[#This Row],[Direction]]="R",(G3241+Table13[[#This Row],[Steps]])&gt;100),1,0)</f>
        <v>0</v>
      </c>
      <c r="J3242">
        <f>IF(Table13[[#This Row],[POS]]=0,1,0)</f>
        <v>0</v>
      </c>
      <c r="K3242">
        <f>SUM(Table13[[#This Row],[prefix]],Table13[[#This Row],[Past zero L]],Table13[[#This Row],[Past Zero R]],Table13[[#This Row],[Is Zero]])</f>
        <v>0</v>
      </c>
    </row>
    <row r="3243" spans="1:11" ht="16" x14ac:dyDescent="0.2">
      <c r="A3243" s="1" t="s">
        <v>462</v>
      </c>
      <c r="B3243" t="str">
        <f>LEFT(Table13[[#This Row],[Input]],1)</f>
        <v>L</v>
      </c>
      <c r="C3243">
        <f>_xlfn.LET(_xlpm.steps,SUBSTITUTE(Table13[[#This Row],[Input]],Table13[[#This Row],[Direction]],""),VALUE(IF(LEN(_xlpm.steps)&gt;2,RIGHT(_xlpm.steps,2),_xlpm.steps)))</f>
        <v>17</v>
      </c>
      <c r="D3243">
        <f>_xlfn.LET(_xlpm.steps,SUBSTITUTE(Table13[[#This Row],[Input]],Table13[[#This Row],[Direction]],""),VALUE(IF(LEN(_xlpm.steps)&gt;2,LEFT(_xlpm.steps,LEN(_xlpm.steps)-2),0)))</f>
        <v>0</v>
      </c>
      <c r="E3243">
        <f>_xlfn.LET(_xlpm.dir,Table13[[#This Row],[Direction]],
IF(_xlpm.dir="L",
    IF(G3242-Table13[[#This Row],[Steps]]&lt;0,100+(G3242-Table13[[#This Row],[Steps]]),G3242-Table13[[#This Row],[Steps]]),
))</f>
        <v>0</v>
      </c>
      <c r="F3243">
        <f>_xlfn.LET(_xlpm.dir,Table13[[#This Row],[Direction]],
IF(_xlpm.dir="R",
    IF(G3242+Table13[[#This Row],[Steps]]&gt;99,(G3242+Table13[[#This Row],[Steps]])-100,G3242+Table13[[#This Row],[Steps]]),
))</f>
        <v>0</v>
      </c>
      <c r="G3243">
        <f>IF(Table13[[#This Row],[New Pos L]]&lt;&gt;0,Table13[[#This Row],[New Pos L]],Table13[[#This Row],[New Pos R]])</f>
        <v>0</v>
      </c>
      <c r="H3243">
        <f>IF(AND(Table13[[#This Row],[Direction]]="L",Table13[[#This Row],[Steps]]&gt;G3242,G3242&lt;&gt;0),1,0)</f>
        <v>0</v>
      </c>
      <c r="I3243">
        <f>IF(AND(Table13[[#This Row],[Direction]]="R",(G3242+Table13[[#This Row],[Steps]])&gt;100),1,0)</f>
        <v>0</v>
      </c>
      <c r="J3243">
        <f>IF(Table13[[#This Row],[POS]]=0,1,0)</f>
        <v>1</v>
      </c>
      <c r="K3243">
        <f>SUM(Table13[[#This Row],[prefix]],Table13[[#This Row],[Past zero L]],Table13[[#This Row],[Past Zero R]],Table13[[#This Row],[Is Zero]])</f>
        <v>1</v>
      </c>
    </row>
    <row r="3244" spans="1:11" ht="16" x14ac:dyDescent="0.2">
      <c r="A3244" s="1" t="s">
        <v>83</v>
      </c>
      <c r="B3244" t="str">
        <f>LEFT(Table13[[#This Row],[Input]],1)</f>
        <v>R</v>
      </c>
      <c r="C3244">
        <f>_xlfn.LET(_xlpm.steps,SUBSTITUTE(Table13[[#This Row],[Input]],Table13[[#This Row],[Direction]],""),VALUE(IF(LEN(_xlpm.steps)&gt;2,RIGHT(_xlpm.steps,2),_xlpm.steps)))</f>
        <v>79</v>
      </c>
      <c r="D3244">
        <f>_xlfn.LET(_xlpm.steps,SUBSTITUTE(Table13[[#This Row],[Input]],Table13[[#This Row],[Direction]],""),VALUE(IF(LEN(_xlpm.steps)&gt;2,LEFT(_xlpm.steps,LEN(_xlpm.steps)-2),0)))</f>
        <v>0</v>
      </c>
      <c r="E3244">
        <f>_xlfn.LET(_xlpm.dir,Table13[[#This Row],[Direction]],
IF(_xlpm.dir="L",
    IF(G3243-Table13[[#This Row],[Steps]]&lt;0,100+(G3243-Table13[[#This Row],[Steps]]),G3243-Table13[[#This Row],[Steps]]),
))</f>
        <v>0</v>
      </c>
      <c r="F3244">
        <f>_xlfn.LET(_xlpm.dir,Table13[[#This Row],[Direction]],
IF(_xlpm.dir="R",
    IF(G3243+Table13[[#This Row],[Steps]]&gt;99,(G3243+Table13[[#This Row],[Steps]])-100,G3243+Table13[[#This Row],[Steps]]),
))</f>
        <v>79</v>
      </c>
      <c r="G3244">
        <f>IF(Table13[[#This Row],[New Pos L]]&lt;&gt;0,Table13[[#This Row],[New Pos L]],Table13[[#This Row],[New Pos R]])</f>
        <v>79</v>
      </c>
      <c r="H3244">
        <f>IF(AND(Table13[[#This Row],[Direction]]="L",Table13[[#This Row],[Steps]]&gt;G3243,G3243&lt;&gt;0),1,0)</f>
        <v>0</v>
      </c>
      <c r="I3244">
        <f>IF(AND(Table13[[#This Row],[Direction]]="R",(G3243+Table13[[#This Row],[Steps]])&gt;100),1,0)</f>
        <v>0</v>
      </c>
      <c r="J3244">
        <f>IF(Table13[[#This Row],[POS]]=0,1,0)</f>
        <v>0</v>
      </c>
      <c r="K3244">
        <f>SUM(Table13[[#This Row],[prefix]],Table13[[#This Row],[Past zero L]],Table13[[#This Row],[Past Zero R]],Table13[[#This Row],[Is Zero]])</f>
        <v>0</v>
      </c>
    </row>
    <row r="3245" spans="1:11" ht="16" x14ac:dyDescent="0.2">
      <c r="A3245" s="1" t="s">
        <v>319</v>
      </c>
      <c r="B3245" t="str">
        <f>LEFT(Table13[[#This Row],[Input]],1)</f>
        <v>L</v>
      </c>
      <c r="C3245">
        <f>_xlfn.LET(_xlpm.steps,SUBSTITUTE(Table13[[#This Row],[Input]],Table13[[#This Row],[Direction]],""),VALUE(IF(LEN(_xlpm.steps)&gt;2,RIGHT(_xlpm.steps,2),_xlpm.steps)))</f>
        <v>79</v>
      </c>
      <c r="D3245">
        <f>_xlfn.LET(_xlpm.steps,SUBSTITUTE(Table13[[#This Row],[Input]],Table13[[#This Row],[Direction]],""),VALUE(IF(LEN(_xlpm.steps)&gt;2,LEFT(_xlpm.steps,LEN(_xlpm.steps)-2),0)))</f>
        <v>0</v>
      </c>
      <c r="E3245">
        <f>_xlfn.LET(_xlpm.dir,Table13[[#This Row],[Direction]],
IF(_xlpm.dir="L",
    IF(G3244-Table13[[#This Row],[Steps]]&lt;0,100+(G3244-Table13[[#This Row],[Steps]]),G3244-Table13[[#This Row],[Steps]]),
))</f>
        <v>0</v>
      </c>
      <c r="F3245">
        <f>_xlfn.LET(_xlpm.dir,Table13[[#This Row],[Direction]],
IF(_xlpm.dir="R",
    IF(G3244+Table13[[#This Row],[Steps]]&gt;99,(G3244+Table13[[#This Row],[Steps]])-100,G3244+Table13[[#This Row],[Steps]]),
))</f>
        <v>0</v>
      </c>
      <c r="G3245">
        <f>IF(Table13[[#This Row],[New Pos L]]&lt;&gt;0,Table13[[#This Row],[New Pos L]],Table13[[#This Row],[New Pos R]])</f>
        <v>0</v>
      </c>
      <c r="H3245">
        <f>IF(AND(Table13[[#This Row],[Direction]]="L",Table13[[#This Row],[Steps]]&gt;G3244,G3244&lt;&gt;0),1,0)</f>
        <v>0</v>
      </c>
      <c r="I3245">
        <f>IF(AND(Table13[[#This Row],[Direction]]="R",(G3244+Table13[[#This Row],[Steps]])&gt;100),1,0)</f>
        <v>0</v>
      </c>
      <c r="J3245">
        <f>IF(Table13[[#This Row],[POS]]=0,1,0)</f>
        <v>1</v>
      </c>
      <c r="K3245">
        <f>SUM(Table13[[#This Row],[prefix]],Table13[[#This Row],[Past zero L]],Table13[[#This Row],[Past Zero R]],Table13[[#This Row],[Is Zero]])</f>
        <v>1</v>
      </c>
    </row>
    <row r="3246" spans="1:11" ht="16" x14ac:dyDescent="0.2">
      <c r="A3246" s="1" t="s">
        <v>716</v>
      </c>
      <c r="B3246" t="str">
        <f>LEFT(Table13[[#This Row],[Input]],1)</f>
        <v>L</v>
      </c>
      <c r="C3246">
        <f>_xlfn.LET(_xlpm.steps,SUBSTITUTE(Table13[[#This Row],[Input]],Table13[[#This Row],[Direction]],""),VALUE(IF(LEN(_xlpm.steps)&gt;2,RIGHT(_xlpm.steps,2),_xlpm.steps)))</f>
        <v>48</v>
      </c>
      <c r="D3246">
        <f>_xlfn.LET(_xlpm.steps,SUBSTITUTE(Table13[[#This Row],[Input]],Table13[[#This Row],[Direction]],""),VALUE(IF(LEN(_xlpm.steps)&gt;2,LEFT(_xlpm.steps,LEN(_xlpm.steps)-2),0)))</f>
        <v>5</v>
      </c>
      <c r="E3246">
        <f>_xlfn.LET(_xlpm.dir,Table13[[#This Row],[Direction]],
IF(_xlpm.dir="L",
    IF(G3245-Table13[[#This Row],[Steps]]&lt;0,100+(G3245-Table13[[#This Row],[Steps]]),G3245-Table13[[#This Row],[Steps]]),
))</f>
        <v>52</v>
      </c>
      <c r="F3246">
        <f>_xlfn.LET(_xlpm.dir,Table13[[#This Row],[Direction]],
IF(_xlpm.dir="R",
    IF(G3245+Table13[[#This Row],[Steps]]&gt;99,(G3245+Table13[[#This Row],[Steps]])-100,G3245+Table13[[#This Row],[Steps]]),
))</f>
        <v>0</v>
      </c>
      <c r="G3246">
        <f>IF(Table13[[#This Row],[New Pos L]]&lt;&gt;0,Table13[[#This Row],[New Pos L]],Table13[[#This Row],[New Pos R]])</f>
        <v>52</v>
      </c>
      <c r="H3246">
        <f>IF(AND(Table13[[#This Row],[Direction]]="L",Table13[[#This Row],[Steps]]&gt;G3245,G3245&lt;&gt;0),1,0)</f>
        <v>0</v>
      </c>
      <c r="I3246">
        <f>IF(AND(Table13[[#This Row],[Direction]]="R",(G3245+Table13[[#This Row],[Steps]])&gt;100),1,0)</f>
        <v>0</v>
      </c>
      <c r="J3246">
        <f>IF(Table13[[#This Row],[POS]]=0,1,0)</f>
        <v>0</v>
      </c>
      <c r="K3246">
        <f>SUM(Table13[[#This Row],[prefix]],Table13[[#This Row],[Past zero L]],Table13[[#This Row],[Past Zero R]],Table13[[#This Row],[Is Zero]])</f>
        <v>5</v>
      </c>
    </row>
    <row r="3247" spans="1:11" ht="16" x14ac:dyDescent="0.2">
      <c r="A3247" s="1" t="s">
        <v>59</v>
      </c>
      <c r="B3247" t="str">
        <f>LEFT(Table13[[#This Row],[Input]],1)</f>
        <v>L</v>
      </c>
      <c r="C3247">
        <f>_xlfn.LET(_xlpm.steps,SUBSTITUTE(Table13[[#This Row],[Input]],Table13[[#This Row],[Direction]],""),VALUE(IF(LEN(_xlpm.steps)&gt;2,RIGHT(_xlpm.steps,2),_xlpm.steps)))</f>
        <v>6</v>
      </c>
      <c r="D3247">
        <f>_xlfn.LET(_xlpm.steps,SUBSTITUTE(Table13[[#This Row],[Input]],Table13[[#This Row],[Direction]],""),VALUE(IF(LEN(_xlpm.steps)&gt;2,LEFT(_xlpm.steps,LEN(_xlpm.steps)-2),0)))</f>
        <v>0</v>
      </c>
      <c r="E3247">
        <f>_xlfn.LET(_xlpm.dir,Table13[[#This Row],[Direction]],
IF(_xlpm.dir="L",
    IF(G3246-Table13[[#This Row],[Steps]]&lt;0,100+(G3246-Table13[[#This Row],[Steps]]),G3246-Table13[[#This Row],[Steps]]),
))</f>
        <v>46</v>
      </c>
      <c r="F3247">
        <f>_xlfn.LET(_xlpm.dir,Table13[[#This Row],[Direction]],
IF(_xlpm.dir="R",
    IF(G3246+Table13[[#This Row],[Steps]]&gt;99,(G3246+Table13[[#This Row],[Steps]])-100,G3246+Table13[[#This Row],[Steps]]),
))</f>
        <v>0</v>
      </c>
      <c r="G3247">
        <f>IF(Table13[[#This Row],[New Pos L]]&lt;&gt;0,Table13[[#This Row],[New Pos L]],Table13[[#This Row],[New Pos R]])</f>
        <v>46</v>
      </c>
      <c r="H3247">
        <f>IF(AND(Table13[[#This Row],[Direction]]="L",Table13[[#This Row],[Steps]]&gt;G3246,G3246&lt;&gt;0),1,0)</f>
        <v>0</v>
      </c>
      <c r="I3247">
        <f>IF(AND(Table13[[#This Row],[Direction]]="R",(G3246+Table13[[#This Row],[Steps]])&gt;100),1,0)</f>
        <v>0</v>
      </c>
      <c r="J3247">
        <f>IF(Table13[[#This Row],[POS]]=0,1,0)</f>
        <v>0</v>
      </c>
      <c r="K3247">
        <f>SUM(Table13[[#This Row],[prefix]],Table13[[#This Row],[Past zero L]],Table13[[#This Row],[Past Zero R]],Table13[[#This Row],[Is Zero]])</f>
        <v>0</v>
      </c>
    </row>
    <row r="3248" spans="1:11" ht="16" x14ac:dyDescent="0.2">
      <c r="A3248" s="1" t="s">
        <v>9</v>
      </c>
      <c r="B3248" t="str">
        <f>LEFT(Table13[[#This Row],[Input]],1)</f>
        <v>L</v>
      </c>
      <c r="C3248">
        <f>_xlfn.LET(_xlpm.steps,SUBSTITUTE(Table13[[#This Row],[Input]],Table13[[#This Row],[Direction]],""),VALUE(IF(LEN(_xlpm.steps)&gt;2,RIGHT(_xlpm.steps,2),_xlpm.steps)))</f>
        <v>9</v>
      </c>
      <c r="D3248">
        <f>_xlfn.LET(_xlpm.steps,SUBSTITUTE(Table13[[#This Row],[Input]],Table13[[#This Row],[Direction]],""),VALUE(IF(LEN(_xlpm.steps)&gt;2,LEFT(_xlpm.steps,LEN(_xlpm.steps)-2),0)))</f>
        <v>0</v>
      </c>
      <c r="E3248">
        <f>_xlfn.LET(_xlpm.dir,Table13[[#This Row],[Direction]],
IF(_xlpm.dir="L",
    IF(G3247-Table13[[#This Row],[Steps]]&lt;0,100+(G3247-Table13[[#This Row],[Steps]]),G3247-Table13[[#This Row],[Steps]]),
))</f>
        <v>37</v>
      </c>
      <c r="F3248">
        <f>_xlfn.LET(_xlpm.dir,Table13[[#This Row],[Direction]],
IF(_xlpm.dir="R",
    IF(G3247+Table13[[#This Row],[Steps]]&gt;99,(G3247+Table13[[#This Row],[Steps]])-100,G3247+Table13[[#This Row],[Steps]]),
))</f>
        <v>0</v>
      </c>
      <c r="G3248">
        <f>IF(Table13[[#This Row],[New Pos L]]&lt;&gt;0,Table13[[#This Row],[New Pos L]],Table13[[#This Row],[New Pos R]])</f>
        <v>37</v>
      </c>
      <c r="H3248">
        <f>IF(AND(Table13[[#This Row],[Direction]]="L",Table13[[#This Row],[Steps]]&gt;G3247,G3247&lt;&gt;0),1,0)</f>
        <v>0</v>
      </c>
      <c r="I3248">
        <f>IF(AND(Table13[[#This Row],[Direction]]="R",(G3247+Table13[[#This Row],[Steps]])&gt;100),1,0)</f>
        <v>0</v>
      </c>
      <c r="J3248">
        <f>IF(Table13[[#This Row],[POS]]=0,1,0)</f>
        <v>0</v>
      </c>
      <c r="K3248">
        <f>SUM(Table13[[#This Row],[prefix]],Table13[[#This Row],[Past zero L]],Table13[[#This Row],[Past Zero R]],Table13[[#This Row],[Is Zero]])</f>
        <v>0</v>
      </c>
    </row>
    <row r="3249" spans="1:11" ht="16" x14ac:dyDescent="0.2">
      <c r="A3249" s="1" t="s">
        <v>22</v>
      </c>
      <c r="B3249" t="str">
        <f>LEFT(Table13[[#This Row],[Input]],1)</f>
        <v>L</v>
      </c>
      <c r="C3249">
        <f>_xlfn.LET(_xlpm.steps,SUBSTITUTE(Table13[[#This Row],[Input]],Table13[[#This Row],[Direction]],""),VALUE(IF(LEN(_xlpm.steps)&gt;2,RIGHT(_xlpm.steps,2),_xlpm.steps)))</f>
        <v>37</v>
      </c>
      <c r="D3249">
        <f>_xlfn.LET(_xlpm.steps,SUBSTITUTE(Table13[[#This Row],[Input]],Table13[[#This Row],[Direction]],""),VALUE(IF(LEN(_xlpm.steps)&gt;2,LEFT(_xlpm.steps,LEN(_xlpm.steps)-2),0)))</f>
        <v>0</v>
      </c>
      <c r="E3249">
        <f>_xlfn.LET(_xlpm.dir,Table13[[#This Row],[Direction]],
IF(_xlpm.dir="L",
    IF(G3248-Table13[[#This Row],[Steps]]&lt;0,100+(G3248-Table13[[#This Row],[Steps]]),G3248-Table13[[#This Row],[Steps]]),
))</f>
        <v>0</v>
      </c>
      <c r="F3249">
        <f>_xlfn.LET(_xlpm.dir,Table13[[#This Row],[Direction]],
IF(_xlpm.dir="R",
    IF(G3248+Table13[[#This Row],[Steps]]&gt;99,(G3248+Table13[[#This Row],[Steps]])-100,G3248+Table13[[#This Row],[Steps]]),
))</f>
        <v>0</v>
      </c>
      <c r="G3249">
        <f>IF(Table13[[#This Row],[New Pos L]]&lt;&gt;0,Table13[[#This Row],[New Pos L]],Table13[[#This Row],[New Pos R]])</f>
        <v>0</v>
      </c>
      <c r="H3249">
        <f>IF(AND(Table13[[#This Row],[Direction]]="L",Table13[[#This Row],[Steps]]&gt;G3248,G3248&lt;&gt;0),1,0)</f>
        <v>0</v>
      </c>
      <c r="I3249">
        <f>IF(AND(Table13[[#This Row],[Direction]]="R",(G3248+Table13[[#This Row],[Steps]])&gt;100),1,0)</f>
        <v>0</v>
      </c>
      <c r="J3249">
        <f>IF(Table13[[#This Row],[POS]]=0,1,0)</f>
        <v>1</v>
      </c>
      <c r="K3249">
        <f>SUM(Table13[[#This Row],[prefix]],Table13[[#This Row],[Past zero L]],Table13[[#This Row],[Past Zero R]],Table13[[#This Row],[Is Zero]])</f>
        <v>1</v>
      </c>
    </row>
    <row r="3250" spans="1:11" ht="16" x14ac:dyDescent="0.2">
      <c r="A3250" s="1" t="s">
        <v>717</v>
      </c>
      <c r="B3250" t="str">
        <f>LEFT(Table13[[#This Row],[Input]],1)</f>
        <v>R</v>
      </c>
      <c r="C3250">
        <f>_xlfn.LET(_xlpm.steps,SUBSTITUTE(Table13[[#This Row],[Input]],Table13[[#This Row],[Direction]],""),VALUE(IF(LEN(_xlpm.steps)&gt;2,RIGHT(_xlpm.steps,2),_xlpm.steps)))</f>
        <v>65</v>
      </c>
      <c r="D3250">
        <f>_xlfn.LET(_xlpm.steps,SUBSTITUTE(Table13[[#This Row],[Input]],Table13[[#This Row],[Direction]],""),VALUE(IF(LEN(_xlpm.steps)&gt;2,LEFT(_xlpm.steps,LEN(_xlpm.steps)-2),0)))</f>
        <v>6</v>
      </c>
      <c r="E3250">
        <f>_xlfn.LET(_xlpm.dir,Table13[[#This Row],[Direction]],
IF(_xlpm.dir="L",
    IF(G3249-Table13[[#This Row],[Steps]]&lt;0,100+(G3249-Table13[[#This Row],[Steps]]),G3249-Table13[[#This Row],[Steps]]),
))</f>
        <v>0</v>
      </c>
      <c r="F3250">
        <f>_xlfn.LET(_xlpm.dir,Table13[[#This Row],[Direction]],
IF(_xlpm.dir="R",
    IF(G3249+Table13[[#This Row],[Steps]]&gt;99,(G3249+Table13[[#This Row],[Steps]])-100,G3249+Table13[[#This Row],[Steps]]),
))</f>
        <v>65</v>
      </c>
      <c r="G3250">
        <f>IF(Table13[[#This Row],[New Pos L]]&lt;&gt;0,Table13[[#This Row],[New Pos L]],Table13[[#This Row],[New Pos R]])</f>
        <v>65</v>
      </c>
      <c r="H3250">
        <f>IF(AND(Table13[[#This Row],[Direction]]="L",Table13[[#This Row],[Steps]]&gt;G3249,G3249&lt;&gt;0),1,0)</f>
        <v>0</v>
      </c>
      <c r="I3250">
        <f>IF(AND(Table13[[#This Row],[Direction]]="R",(G3249+Table13[[#This Row],[Steps]])&gt;100),1,0)</f>
        <v>0</v>
      </c>
      <c r="J3250">
        <f>IF(Table13[[#This Row],[POS]]=0,1,0)</f>
        <v>0</v>
      </c>
      <c r="K3250">
        <f>SUM(Table13[[#This Row],[prefix]],Table13[[#This Row],[Past zero L]],Table13[[#This Row],[Past Zero R]],Table13[[#This Row],[Is Zero]])</f>
        <v>6</v>
      </c>
    </row>
    <row r="3251" spans="1:11" ht="16" x14ac:dyDescent="0.2">
      <c r="A3251" s="1" t="s">
        <v>68</v>
      </c>
      <c r="B3251" t="str">
        <f>LEFT(Table13[[#This Row],[Input]],1)</f>
        <v>L</v>
      </c>
      <c r="C3251">
        <f>_xlfn.LET(_xlpm.steps,SUBSTITUTE(Table13[[#This Row],[Input]],Table13[[#This Row],[Direction]],""),VALUE(IF(LEN(_xlpm.steps)&gt;2,RIGHT(_xlpm.steps,2),_xlpm.steps)))</f>
        <v>80</v>
      </c>
      <c r="D3251">
        <f>_xlfn.LET(_xlpm.steps,SUBSTITUTE(Table13[[#This Row],[Input]],Table13[[#This Row],[Direction]],""),VALUE(IF(LEN(_xlpm.steps)&gt;2,LEFT(_xlpm.steps,LEN(_xlpm.steps)-2),0)))</f>
        <v>0</v>
      </c>
      <c r="E3251">
        <f>_xlfn.LET(_xlpm.dir,Table13[[#This Row],[Direction]],
IF(_xlpm.dir="L",
    IF(G3250-Table13[[#This Row],[Steps]]&lt;0,100+(G3250-Table13[[#This Row],[Steps]]),G3250-Table13[[#This Row],[Steps]]),
))</f>
        <v>85</v>
      </c>
      <c r="F3251">
        <f>_xlfn.LET(_xlpm.dir,Table13[[#This Row],[Direction]],
IF(_xlpm.dir="R",
    IF(G3250+Table13[[#This Row],[Steps]]&gt;99,(G3250+Table13[[#This Row],[Steps]])-100,G3250+Table13[[#This Row],[Steps]]),
))</f>
        <v>0</v>
      </c>
      <c r="G3251">
        <f>IF(Table13[[#This Row],[New Pos L]]&lt;&gt;0,Table13[[#This Row],[New Pos L]],Table13[[#This Row],[New Pos R]])</f>
        <v>85</v>
      </c>
      <c r="H3251">
        <f>IF(AND(Table13[[#This Row],[Direction]]="L",Table13[[#This Row],[Steps]]&gt;G3250,G3250&lt;&gt;0),1,0)</f>
        <v>1</v>
      </c>
      <c r="I3251">
        <f>IF(AND(Table13[[#This Row],[Direction]]="R",(G3250+Table13[[#This Row],[Steps]])&gt;100),1,0)</f>
        <v>0</v>
      </c>
      <c r="J3251">
        <f>IF(Table13[[#This Row],[POS]]=0,1,0)</f>
        <v>0</v>
      </c>
      <c r="K3251">
        <f>SUM(Table13[[#This Row],[prefix]],Table13[[#This Row],[Past zero L]],Table13[[#This Row],[Past Zero R]],Table13[[#This Row],[Is Zero]])</f>
        <v>1</v>
      </c>
    </row>
    <row r="3252" spans="1:11" ht="16" x14ac:dyDescent="0.2">
      <c r="A3252" s="1" t="s">
        <v>20</v>
      </c>
      <c r="B3252" t="str">
        <f>LEFT(Table13[[#This Row],[Input]],1)</f>
        <v>R</v>
      </c>
      <c r="C3252">
        <f>_xlfn.LET(_xlpm.steps,SUBSTITUTE(Table13[[#This Row],[Input]],Table13[[#This Row],[Direction]],""),VALUE(IF(LEN(_xlpm.steps)&gt;2,RIGHT(_xlpm.steps,2),_xlpm.steps)))</f>
        <v>46</v>
      </c>
      <c r="D3252">
        <f>_xlfn.LET(_xlpm.steps,SUBSTITUTE(Table13[[#This Row],[Input]],Table13[[#This Row],[Direction]],""),VALUE(IF(LEN(_xlpm.steps)&gt;2,LEFT(_xlpm.steps,LEN(_xlpm.steps)-2),0)))</f>
        <v>0</v>
      </c>
      <c r="E3252">
        <f>_xlfn.LET(_xlpm.dir,Table13[[#This Row],[Direction]],
IF(_xlpm.dir="L",
    IF(G3251-Table13[[#This Row],[Steps]]&lt;0,100+(G3251-Table13[[#This Row],[Steps]]),G3251-Table13[[#This Row],[Steps]]),
))</f>
        <v>0</v>
      </c>
      <c r="F3252">
        <f>_xlfn.LET(_xlpm.dir,Table13[[#This Row],[Direction]],
IF(_xlpm.dir="R",
    IF(G3251+Table13[[#This Row],[Steps]]&gt;99,(G3251+Table13[[#This Row],[Steps]])-100,G3251+Table13[[#This Row],[Steps]]),
))</f>
        <v>31</v>
      </c>
      <c r="G3252">
        <f>IF(Table13[[#This Row],[New Pos L]]&lt;&gt;0,Table13[[#This Row],[New Pos L]],Table13[[#This Row],[New Pos R]])</f>
        <v>31</v>
      </c>
      <c r="H3252">
        <f>IF(AND(Table13[[#This Row],[Direction]]="L",Table13[[#This Row],[Steps]]&gt;G3251,G3251&lt;&gt;0),1,0)</f>
        <v>0</v>
      </c>
      <c r="I3252">
        <f>IF(AND(Table13[[#This Row],[Direction]]="R",(G3251+Table13[[#This Row],[Steps]])&gt;100),1,0)</f>
        <v>1</v>
      </c>
      <c r="J3252">
        <f>IF(Table13[[#This Row],[POS]]=0,1,0)</f>
        <v>0</v>
      </c>
      <c r="K3252">
        <f>SUM(Table13[[#This Row],[prefix]],Table13[[#This Row],[Past zero L]],Table13[[#This Row],[Past Zero R]],Table13[[#This Row],[Is Zero]])</f>
        <v>1</v>
      </c>
    </row>
    <row r="3253" spans="1:11" ht="16" x14ac:dyDescent="0.2">
      <c r="A3253" s="1" t="s">
        <v>135</v>
      </c>
      <c r="B3253" t="str">
        <f>LEFT(Table13[[#This Row],[Input]],1)</f>
        <v>R</v>
      </c>
      <c r="C3253">
        <f>_xlfn.LET(_xlpm.steps,SUBSTITUTE(Table13[[#This Row],[Input]],Table13[[#This Row],[Direction]],""),VALUE(IF(LEN(_xlpm.steps)&gt;2,RIGHT(_xlpm.steps,2),_xlpm.steps)))</f>
        <v>69</v>
      </c>
      <c r="D3253">
        <f>_xlfn.LET(_xlpm.steps,SUBSTITUTE(Table13[[#This Row],[Input]],Table13[[#This Row],[Direction]],""),VALUE(IF(LEN(_xlpm.steps)&gt;2,LEFT(_xlpm.steps,LEN(_xlpm.steps)-2),0)))</f>
        <v>0</v>
      </c>
      <c r="E3253">
        <f>_xlfn.LET(_xlpm.dir,Table13[[#This Row],[Direction]],
IF(_xlpm.dir="L",
    IF(G3252-Table13[[#This Row],[Steps]]&lt;0,100+(G3252-Table13[[#This Row],[Steps]]),G3252-Table13[[#This Row],[Steps]]),
))</f>
        <v>0</v>
      </c>
      <c r="F3253">
        <f>_xlfn.LET(_xlpm.dir,Table13[[#This Row],[Direction]],
IF(_xlpm.dir="R",
    IF(G3252+Table13[[#This Row],[Steps]]&gt;99,(G3252+Table13[[#This Row],[Steps]])-100,G3252+Table13[[#This Row],[Steps]]),
))</f>
        <v>0</v>
      </c>
      <c r="G3253">
        <f>IF(Table13[[#This Row],[New Pos L]]&lt;&gt;0,Table13[[#This Row],[New Pos L]],Table13[[#This Row],[New Pos R]])</f>
        <v>0</v>
      </c>
      <c r="H3253">
        <f>IF(AND(Table13[[#This Row],[Direction]]="L",Table13[[#This Row],[Steps]]&gt;G3252,G3252&lt;&gt;0),1,0)</f>
        <v>0</v>
      </c>
      <c r="I3253">
        <f>IF(AND(Table13[[#This Row],[Direction]]="R",(G3252+Table13[[#This Row],[Steps]])&gt;100),1,0)</f>
        <v>0</v>
      </c>
      <c r="J3253">
        <f>IF(Table13[[#This Row],[POS]]=0,1,0)</f>
        <v>1</v>
      </c>
      <c r="K3253">
        <f>SUM(Table13[[#This Row],[prefix]],Table13[[#This Row],[Past zero L]],Table13[[#This Row],[Past Zero R]],Table13[[#This Row],[Is Zero]])</f>
        <v>1</v>
      </c>
    </row>
    <row r="3254" spans="1:11" ht="16" x14ac:dyDescent="0.2">
      <c r="A3254" s="1" t="s">
        <v>209</v>
      </c>
      <c r="B3254" t="str">
        <f>LEFT(Table13[[#This Row],[Input]],1)</f>
        <v>L</v>
      </c>
      <c r="C3254">
        <f>_xlfn.LET(_xlpm.steps,SUBSTITUTE(Table13[[#This Row],[Input]],Table13[[#This Row],[Direction]],""),VALUE(IF(LEN(_xlpm.steps)&gt;2,RIGHT(_xlpm.steps,2),_xlpm.steps)))</f>
        <v>86</v>
      </c>
      <c r="D3254">
        <f>_xlfn.LET(_xlpm.steps,SUBSTITUTE(Table13[[#This Row],[Input]],Table13[[#This Row],[Direction]],""),VALUE(IF(LEN(_xlpm.steps)&gt;2,LEFT(_xlpm.steps,LEN(_xlpm.steps)-2),0)))</f>
        <v>0</v>
      </c>
      <c r="E3254">
        <f>_xlfn.LET(_xlpm.dir,Table13[[#This Row],[Direction]],
IF(_xlpm.dir="L",
    IF(G3253-Table13[[#This Row],[Steps]]&lt;0,100+(G3253-Table13[[#This Row],[Steps]]),G3253-Table13[[#This Row],[Steps]]),
))</f>
        <v>14</v>
      </c>
      <c r="F3254">
        <f>_xlfn.LET(_xlpm.dir,Table13[[#This Row],[Direction]],
IF(_xlpm.dir="R",
    IF(G3253+Table13[[#This Row],[Steps]]&gt;99,(G3253+Table13[[#This Row],[Steps]])-100,G3253+Table13[[#This Row],[Steps]]),
))</f>
        <v>0</v>
      </c>
      <c r="G3254">
        <f>IF(Table13[[#This Row],[New Pos L]]&lt;&gt;0,Table13[[#This Row],[New Pos L]],Table13[[#This Row],[New Pos R]])</f>
        <v>14</v>
      </c>
      <c r="H3254">
        <f>IF(AND(Table13[[#This Row],[Direction]]="L",Table13[[#This Row],[Steps]]&gt;G3253,G3253&lt;&gt;0),1,0)</f>
        <v>0</v>
      </c>
      <c r="I3254">
        <f>IF(AND(Table13[[#This Row],[Direction]]="R",(G3253+Table13[[#This Row],[Steps]])&gt;100),1,0)</f>
        <v>0</v>
      </c>
      <c r="J3254">
        <f>IF(Table13[[#This Row],[POS]]=0,1,0)</f>
        <v>0</v>
      </c>
      <c r="K3254">
        <f>SUM(Table13[[#This Row],[prefix]],Table13[[#This Row],[Past zero L]],Table13[[#This Row],[Past Zero R]],Table13[[#This Row],[Is Zero]])</f>
        <v>0</v>
      </c>
    </row>
    <row r="3255" spans="1:11" ht="16" x14ac:dyDescent="0.2">
      <c r="A3255" s="1" t="s">
        <v>278</v>
      </c>
      <c r="B3255" t="str">
        <f>LEFT(Table13[[#This Row],[Input]],1)</f>
        <v>L</v>
      </c>
      <c r="C3255">
        <f>_xlfn.LET(_xlpm.steps,SUBSTITUTE(Table13[[#This Row],[Input]],Table13[[#This Row],[Direction]],""),VALUE(IF(LEN(_xlpm.steps)&gt;2,RIGHT(_xlpm.steps,2),_xlpm.steps)))</f>
        <v>40</v>
      </c>
      <c r="D3255">
        <f>_xlfn.LET(_xlpm.steps,SUBSTITUTE(Table13[[#This Row],[Input]],Table13[[#This Row],[Direction]],""),VALUE(IF(LEN(_xlpm.steps)&gt;2,LEFT(_xlpm.steps,LEN(_xlpm.steps)-2),0)))</f>
        <v>0</v>
      </c>
      <c r="E3255">
        <f>_xlfn.LET(_xlpm.dir,Table13[[#This Row],[Direction]],
IF(_xlpm.dir="L",
    IF(G3254-Table13[[#This Row],[Steps]]&lt;0,100+(G3254-Table13[[#This Row],[Steps]]),G3254-Table13[[#This Row],[Steps]]),
))</f>
        <v>74</v>
      </c>
      <c r="F3255">
        <f>_xlfn.LET(_xlpm.dir,Table13[[#This Row],[Direction]],
IF(_xlpm.dir="R",
    IF(G3254+Table13[[#This Row],[Steps]]&gt;99,(G3254+Table13[[#This Row],[Steps]])-100,G3254+Table13[[#This Row],[Steps]]),
))</f>
        <v>0</v>
      </c>
      <c r="G3255">
        <f>IF(Table13[[#This Row],[New Pos L]]&lt;&gt;0,Table13[[#This Row],[New Pos L]],Table13[[#This Row],[New Pos R]])</f>
        <v>74</v>
      </c>
      <c r="H3255">
        <f>IF(AND(Table13[[#This Row],[Direction]]="L",Table13[[#This Row],[Steps]]&gt;G3254,G3254&lt;&gt;0),1,0)</f>
        <v>1</v>
      </c>
      <c r="I3255">
        <f>IF(AND(Table13[[#This Row],[Direction]]="R",(G3254+Table13[[#This Row],[Steps]])&gt;100),1,0)</f>
        <v>0</v>
      </c>
      <c r="J3255">
        <f>IF(Table13[[#This Row],[POS]]=0,1,0)</f>
        <v>0</v>
      </c>
      <c r="K3255">
        <f>SUM(Table13[[#This Row],[prefix]],Table13[[#This Row],[Past zero L]],Table13[[#This Row],[Past Zero R]],Table13[[#This Row],[Is Zero]])</f>
        <v>1</v>
      </c>
    </row>
    <row r="3256" spans="1:11" ht="16" x14ac:dyDescent="0.2">
      <c r="A3256" s="1" t="s">
        <v>126</v>
      </c>
      <c r="B3256" t="str">
        <f>LEFT(Table13[[#This Row],[Input]],1)</f>
        <v>R</v>
      </c>
      <c r="C3256">
        <f>_xlfn.LET(_xlpm.steps,SUBSTITUTE(Table13[[#This Row],[Input]],Table13[[#This Row],[Direction]],""),VALUE(IF(LEN(_xlpm.steps)&gt;2,RIGHT(_xlpm.steps,2),_xlpm.steps)))</f>
        <v>65</v>
      </c>
      <c r="D3256">
        <f>_xlfn.LET(_xlpm.steps,SUBSTITUTE(Table13[[#This Row],[Input]],Table13[[#This Row],[Direction]],""),VALUE(IF(LEN(_xlpm.steps)&gt;2,LEFT(_xlpm.steps,LEN(_xlpm.steps)-2),0)))</f>
        <v>0</v>
      </c>
      <c r="E3256">
        <f>_xlfn.LET(_xlpm.dir,Table13[[#This Row],[Direction]],
IF(_xlpm.dir="L",
    IF(G3255-Table13[[#This Row],[Steps]]&lt;0,100+(G3255-Table13[[#This Row],[Steps]]),G3255-Table13[[#This Row],[Steps]]),
))</f>
        <v>0</v>
      </c>
      <c r="F3256">
        <f>_xlfn.LET(_xlpm.dir,Table13[[#This Row],[Direction]],
IF(_xlpm.dir="R",
    IF(G3255+Table13[[#This Row],[Steps]]&gt;99,(G3255+Table13[[#This Row],[Steps]])-100,G3255+Table13[[#This Row],[Steps]]),
))</f>
        <v>39</v>
      </c>
      <c r="G3256">
        <f>IF(Table13[[#This Row],[New Pos L]]&lt;&gt;0,Table13[[#This Row],[New Pos L]],Table13[[#This Row],[New Pos R]])</f>
        <v>39</v>
      </c>
      <c r="H3256">
        <f>IF(AND(Table13[[#This Row],[Direction]]="L",Table13[[#This Row],[Steps]]&gt;G3255,G3255&lt;&gt;0),1,0)</f>
        <v>0</v>
      </c>
      <c r="I3256">
        <f>IF(AND(Table13[[#This Row],[Direction]]="R",(G3255+Table13[[#This Row],[Steps]])&gt;100),1,0)</f>
        <v>1</v>
      </c>
      <c r="J3256">
        <f>IF(Table13[[#This Row],[POS]]=0,1,0)</f>
        <v>0</v>
      </c>
      <c r="K3256">
        <f>SUM(Table13[[#This Row],[prefix]],Table13[[#This Row],[Past zero L]],Table13[[#This Row],[Past Zero R]],Table13[[#This Row],[Is Zero]])</f>
        <v>1</v>
      </c>
    </row>
    <row r="3257" spans="1:11" ht="16" x14ac:dyDescent="0.2">
      <c r="A3257" s="1" t="s">
        <v>185</v>
      </c>
      <c r="B3257" t="str">
        <f>LEFT(Table13[[#This Row],[Input]],1)</f>
        <v>R</v>
      </c>
      <c r="C3257">
        <f>_xlfn.LET(_xlpm.steps,SUBSTITUTE(Table13[[#This Row],[Input]],Table13[[#This Row],[Direction]],""),VALUE(IF(LEN(_xlpm.steps)&gt;2,RIGHT(_xlpm.steps,2),_xlpm.steps)))</f>
        <v>61</v>
      </c>
      <c r="D3257">
        <f>_xlfn.LET(_xlpm.steps,SUBSTITUTE(Table13[[#This Row],[Input]],Table13[[#This Row],[Direction]],""),VALUE(IF(LEN(_xlpm.steps)&gt;2,LEFT(_xlpm.steps,LEN(_xlpm.steps)-2),0)))</f>
        <v>0</v>
      </c>
      <c r="E3257">
        <f>_xlfn.LET(_xlpm.dir,Table13[[#This Row],[Direction]],
IF(_xlpm.dir="L",
    IF(G3256-Table13[[#This Row],[Steps]]&lt;0,100+(G3256-Table13[[#This Row],[Steps]]),G3256-Table13[[#This Row],[Steps]]),
))</f>
        <v>0</v>
      </c>
      <c r="F3257">
        <f>_xlfn.LET(_xlpm.dir,Table13[[#This Row],[Direction]],
IF(_xlpm.dir="R",
    IF(G3256+Table13[[#This Row],[Steps]]&gt;99,(G3256+Table13[[#This Row],[Steps]])-100,G3256+Table13[[#This Row],[Steps]]),
))</f>
        <v>0</v>
      </c>
      <c r="G3257">
        <f>IF(Table13[[#This Row],[New Pos L]]&lt;&gt;0,Table13[[#This Row],[New Pos L]],Table13[[#This Row],[New Pos R]])</f>
        <v>0</v>
      </c>
      <c r="H3257">
        <f>IF(AND(Table13[[#This Row],[Direction]]="L",Table13[[#This Row],[Steps]]&gt;G3256,G3256&lt;&gt;0),1,0)</f>
        <v>0</v>
      </c>
      <c r="I3257">
        <f>IF(AND(Table13[[#This Row],[Direction]]="R",(G3256+Table13[[#This Row],[Steps]])&gt;100),1,0)</f>
        <v>0</v>
      </c>
      <c r="J3257">
        <f>IF(Table13[[#This Row],[POS]]=0,1,0)</f>
        <v>1</v>
      </c>
      <c r="K3257">
        <f>SUM(Table13[[#This Row],[prefix]],Table13[[#This Row],[Past zero L]],Table13[[#This Row],[Past Zero R]],Table13[[#This Row],[Is Zero]])</f>
        <v>1</v>
      </c>
    </row>
    <row r="3258" spans="1:11" ht="16" x14ac:dyDescent="0.2">
      <c r="A3258" s="1" t="s">
        <v>100</v>
      </c>
      <c r="B3258" t="str">
        <f>LEFT(Table13[[#This Row],[Input]],1)</f>
        <v>R</v>
      </c>
      <c r="C3258">
        <f>_xlfn.LET(_xlpm.steps,SUBSTITUTE(Table13[[#This Row],[Input]],Table13[[#This Row],[Direction]],""),VALUE(IF(LEN(_xlpm.steps)&gt;2,RIGHT(_xlpm.steps,2),_xlpm.steps)))</f>
        <v>58</v>
      </c>
      <c r="D3258">
        <f>_xlfn.LET(_xlpm.steps,SUBSTITUTE(Table13[[#This Row],[Input]],Table13[[#This Row],[Direction]],""),VALUE(IF(LEN(_xlpm.steps)&gt;2,LEFT(_xlpm.steps,LEN(_xlpm.steps)-2),0)))</f>
        <v>0</v>
      </c>
      <c r="E3258">
        <f>_xlfn.LET(_xlpm.dir,Table13[[#This Row],[Direction]],
IF(_xlpm.dir="L",
    IF(G3257-Table13[[#This Row],[Steps]]&lt;0,100+(G3257-Table13[[#This Row],[Steps]]),G3257-Table13[[#This Row],[Steps]]),
))</f>
        <v>0</v>
      </c>
      <c r="F3258">
        <f>_xlfn.LET(_xlpm.dir,Table13[[#This Row],[Direction]],
IF(_xlpm.dir="R",
    IF(G3257+Table13[[#This Row],[Steps]]&gt;99,(G3257+Table13[[#This Row],[Steps]])-100,G3257+Table13[[#This Row],[Steps]]),
))</f>
        <v>58</v>
      </c>
      <c r="G3258">
        <f>IF(Table13[[#This Row],[New Pos L]]&lt;&gt;0,Table13[[#This Row],[New Pos L]],Table13[[#This Row],[New Pos R]])</f>
        <v>58</v>
      </c>
      <c r="H3258">
        <f>IF(AND(Table13[[#This Row],[Direction]]="L",Table13[[#This Row],[Steps]]&gt;G3257,G3257&lt;&gt;0),1,0)</f>
        <v>0</v>
      </c>
      <c r="I3258">
        <f>IF(AND(Table13[[#This Row],[Direction]]="R",(G3257+Table13[[#This Row],[Steps]])&gt;100),1,0)</f>
        <v>0</v>
      </c>
      <c r="J3258">
        <f>IF(Table13[[#This Row],[POS]]=0,1,0)</f>
        <v>0</v>
      </c>
      <c r="K3258">
        <f>SUM(Table13[[#This Row],[prefix]],Table13[[#This Row],[Past zero L]],Table13[[#This Row],[Past Zero R]],Table13[[#This Row],[Is Zero]])</f>
        <v>0</v>
      </c>
    </row>
    <row r="3259" spans="1:11" ht="16" x14ac:dyDescent="0.2">
      <c r="A3259" s="1" t="s">
        <v>56</v>
      </c>
      <c r="B3259" t="str">
        <f>LEFT(Table13[[#This Row],[Input]],1)</f>
        <v>R</v>
      </c>
      <c r="C3259">
        <f>_xlfn.LET(_xlpm.steps,SUBSTITUTE(Table13[[#This Row],[Input]],Table13[[#This Row],[Direction]],""),VALUE(IF(LEN(_xlpm.steps)&gt;2,RIGHT(_xlpm.steps,2),_xlpm.steps)))</f>
        <v>42</v>
      </c>
      <c r="D3259">
        <f>_xlfn.LET(_xlpm.steps,SUBSTITUTE(Table13[[#This Row],[Input]],Table13[[#This Row],[Direction]],""),VALUE(IF(LEN(_xlpm.steps)&gt;2,LEFT(_xlpm.steps,LEN(_xlpm.steps)-2),0)))</f>
        <v>0</v>
      </c>
      <c r="E3259">
        <f>_xlfn.LET(_xlpm.dir,Table13[[#This Row],[Direction]],
IF(_xlpm.dir="L",
    IF(G3258-Table13[[#This Row],[Steps]]&lt;0,100+(G3258-Table13[[#This Row],[Steps]]),G3258-Table13[[#This Row],[Steps]]),
))</f>
        <v>0</v>
      </c>
      <c r="F3259">
        <f>_xlfn.LET(_xlpm.dir,Table13[[#This Row],[Direction]],
IF(_xlpm.dir="R",
    IF(G3258+Table13[[#This Row],[Steps]]&gt;99,(G3258+Table13[[#This Row],[Steps]])-100,G3258+Table13[[#This Row],[Steps]]),
))</f>
        <v>0</v>
      </c>
      <c r="G3259">
        <f>IF(Table13[[#This Row],[New Pos L]]&lt;&gt;0,Table13[[#This Row],[New Pos L]],Table13[[#This Row],[New Pos R]])</f>
        <v>0</v>
      </c>
      <c r="H3259">
        <f>IF(AND(Table13[[#This Row],[Direction]]="L",Table13[[#This Row],[Steps]]&gt;G3258,G3258&lt;&gt;0),1,0)</f>
        <v>0</v>
      </c>
      <c r="I3259">
        <f>IF(AND(Table13[[#This Row],[Direction]]="R",(G3258+Table13[[#This Row],[Steps]])&gt;100),1,0)</f>
        <v>0</v>
      </c>
      <c r="J3259">
        <f>IF(Table13[[#This Row],[POS]]=0,1,0)</f>
        <v>1</v>
      </c>
      <c r="K3259">
        <f>SUM(Table13[[#This Row],[prefix]],Table13[[#This Row],[Past zero L]],Table13[[#This Row],[Past Zero R]],Table13[[#This Row],[Is Zero]])</f>
        <v>1</v>
      </c>
    </row>
    <row r="3260" spans="1:11" ht="16" x14ac:dyDescent="0.2">
      <c r="A3260" s="1" t="s">
        <v>185</v>
      </c>
      <c r="B3260" t="str">
        <f>LEFT(Table13[[#This Row],[Input]],1)</f>
        <v>R</v>
      </c>
      <c r="C3260">
        <f>_xlfn.LET(_xlpm.steps,SUBSTITUTE(Table13[[#This Row],[Input]],Table13[[#This Row],[Direction]],""),VALUE(IF(LEN(_xlpm.steps)&gt;2,RIGHT(_xlpm.steps,2),_xlpm.steps)))</f>
        <v>61</v>
      </c>
      <c r="D3260">
        <f>_xlfn.LET(_xlpm.steps,SUBSTITUTE(Table13[[#This Row],[Input]],Table13[[#This Row],[Direction]],""),VALUE(IF(LEN(_xlpm.steps)&gt;2,LEFT(_xlpm.steps,LEN(_xlpm.steps)-2),0)))</f>
        <v>0</v>
      </c>
      <c r="E3260">
        <f>_xlfn.LET(_xlpm.dir,Table13[[#This Row],[Direction]],
IF(_xlpm.dir="L",
    IF(G3259-Table13[[#This Row],[Steps]]&lt;0,100+(G3259-Table13[[#This Row],[Steps]]),G3259-Table13[[#This Row],[Steps]]),
))</f>
        <v>0</v>
      </c>
      <c r="F3260">
        <f>_xlfn.LET(_xlpm.dir,Table13[[#This Row],[Direction]],
IF(_xlpm.dir="R",
    IF(G3259+Table13[[#This Row],[Steps]]&gt;99,(G3259+Table13[[#This Row],[Steps]])-100,G3259+Table13[[#This Row],[Steps]]),
))</f>
        <v>61</v>
      </c>
      <c r="G3260">
        <f>IF(Table13[[#This Row],[New Pos L]]&lt;&gt;0,Table13[[#This Row],[New Pos L]],Table13[[#This Row],[New Pos R]])</f>
        <v>61</v>
      </c>
      <c r="H3260">
        <f>IF(AND(Table13[[#This Row],[Direction]]="L",Table13[[#This Row],[Steps]]&gt;G3259,G3259&lt;&gt;0),1,0)</f>
        <v>0</v>
      </c>
      <c r="I3260">
        <f>IF(AND(Table13[[#This Row],[Direction]]="R",(G3259+Table13[[#This Row],[Steps]])&gt;100),1,0)</f>
        <v>0</v>
      </c>
      <c r="J3260">
        <f>IF(Table13[[#This Row],[POS]]=0,1,0)</f>
        <v>0</v>
      </c>
      <c r="K3260">
        <f>SUM(Table13[[#This Row],[prefix]],Table13[[#This Row],[Past zero L]],Table13[[#This Row],[Past Zero R]],Table13[[#This Row],[Is Zero]])</f>
        <v>0</v>
      </c>
    </row>
    <row r="3261" spans="1:11" ht="16" x14ac:dyDescent="0.2">
      <c r="A3261" s="1" t="s">
        <v>140</v>
      </c>
      <c r="B3261" t="str">
        <f>LEFT(Table13[[#This Row],[Input]],1)</f>
        <v>L</v>
      </c>
      <c r="C3261">
        <f>_xlfn.LET(_xlpm.steps,SUBSTITUTE(Table13[[#This Row],[Input]],Table13[[#This Row],[Direction]],""),VALUE(IF(LEN(_xlpm.steps)&gt;2,RIGHT(_xlpm.steps,2),_xlpm.steps)))</f>
        <v>61</v>
      </c>
      <c r="D3261">
        <f>_xlfn.LET(_xlpm.steps,SUBSTITUTE(Table13[[#This Row],[Input]],Table13[[#This Row],[Direction]],""),VALUE(IF(LEN(_xlpm.steps)&gt;2,LEFT(_xlpm.steps,LEN(_xlpm.steps)-2),0)))</f>
        <v>0</v>
      </c>
      <c r="E3261">
        <f>_xlfn.LET(_xlpm.dir,Table13[[#This Row],[Direction]],
IF(_xlpm.dir="L",
    IF(G3260-Table13[[#This Row],[Steps]]&lt;0,100+(G3260-Table13[[#This Row],[Steps]]),G3260-Table13[[#This Row],[Steps]]),
))</f>
        <v>0</v>
      </c>
      <c r="F3261">
        <f>_xlfn.LET(_xlpm.dir,Table13[[#This Row],[Direction]],
IF(_xlpm.dir="R",
    IF(G3260+Table13[[#This Row],[Steps]]&gt;99,(G3260+Table13[[#This Row],[Steps]])-100,G3260+Table13[[#This Row],[Steps]]),
))</f>
        <v>0</v>
      </c>
      <c r="G3261">
        <f>IF(Table13[[#This Row],[New Pos L]]&lt;&gt;0,Table13[[#This Row],[New Pos L]],Table13[[#This Row],[New Pos R]])</f>
        <v>0</v>
      </c>
      <c r="H3261">
        <f>IF(AND(Table13[[#This Row],[Direction]]="L",Table13[[#This Row],[Steps]]&gt;G3260,G3260&lt;&gt;0),1,0)</f>
        <v>0</v>
      </c>
      <c r="I3261">
        <f>IF(AND(Table13[[#This Row],[Direction]]="R",(G3260+Table13[[#This Row],[Steps]])&gt;100),1,0)</f>
        <v>0</v>
      </c>
      <c r="J3261">
        <f>IF(Table13[[#This Row],[POS]]=0,1,0)</f>
        <v>1</v>
      </c>
      <c r="K3261">
        <f>SUM(Table13[[#This Row],[prefix]],Table13[[#This Row],[Past zero L]],Table13[[#This Row],[Past Zero R]],Table13[[#This Row],[Is Zero]])</f>
        <v>1</v>
      </c>
    </row>
    <row r="3262" spans="1:11" ht="16" x14ac:dyDescent="0.2">
      <c r="A3262" s="1" t="s">
        <v>423</v>
      </c>
      <c r="B3262" t="str">
        <f>LEFT(Table13[[#This Row],[Input]],1)</f>
        <v>R</v>
      </c>
      <c r="C3262">
        <f>_xlfn.LET(_xlpm.steps,SUBSTITUTE(Table13[[#This Row],[Input]],Table13[[#This Row],[Direction]],""),VALUE(IF(LEN(_xlpm.steps)&gt;2,RIGHT(_xlpm.steps,2),_xlpm.steps)))</f>
        <v>69</v>
      </c>
      <c r="D3262">
        <f>_xlfn.LET(_xlpm.steps,SUBSTITUTE(Table13[[#This Row],[Input]],Table13[[#This Row],[Direction]],""),VALUE(IF(LEN(_xlpm.steps)&gt;2,LEFT(_xlpm.steps,LEN(_xlpm.steps)-2),0)))</f>
        <v>4</v>
      </c>
      <c r="E3262">
        <f>_xlfn.LET(_xlpm.dir,Table13[[#This Row],[Direction]],
IF(_xlpm.dir="L",
    IF(G3261-Table13[[#This Row],[Steps]]&lt;0,100+(G3261-Table13[[#This Row],[Steps]]),G3261-Table13[[#This Row],[Steps]]),
))</f>
        <v>0</v>
      </c>
      <c r="F3262">
        <f>_xlfn.LET(_xlpm.dir,Table13[[#This Row],[Direction]],
IF(_xlpm.dir="R",
    IF(G3261+Table13[[#This Row],[Steps]]&gt;99,(G3261+Table13[[#This Row],[Steps]])-100,G3261+Table13[[#This Row],[Steps]]),
))</f>
        <v>69</v>
      </c>
      <c r="G3262">
        <f>IF(Table13[[#This Row],[New Pos L]]&lt;&gt;0,Table13[[#This Row],[New Pos L]],Table13[[#This Row],[New Pos R]])</f>
        <v>69</v>
      </c>
      <c r="H3262">
        <f>IF(AND(Table13[[#This Row],[Direction]]="L",Table13[[#This Row],[Steps]]&gt;G3261,G3261&lt;&gt;0),1,0)</f>
        <v>0</v>
      </c>
      <c r="I3262">
        <f>IF(AND(Table13[[#This Row],[Direction]]="R",(G3261+Table13[[#This Row],[Steps]])&gt;100),1,0)</f>
        <v>0</v>
      </c>
      <c r="J3262">
        <f>IF(Table13[[#This Row],[POS]]=0,1,0)</f>
        <v>0</v>
      </c>
      <c r="K3262">
        <f>SUM(Table13[[#This Row],[prefix]],Table13[[#This Row],[Past zero L]],Table13[[#This Row],[Past Zero R]],Table13[[#This Row],[Is Zero]])</f>
        <v>4</v>
      </c>
    </row>
    <row r="3263" spans="1:11" ht="16" x14ac:dyDescent="0.2">
      <c r="A3263" s="1" t="s">
        <v>718</v>
      </c>
      <c r="B3263" t="str">
        <f>LEFT(Table13[[#This Row],[Input]],1)</f>
        <v>L</v>
      </c>
      <c r="C3263">
        <f>_xlfn.LET(_xlpm.steps,SUBSTITUTE(Table13[[#This Row],[Input]],Table13[[#This Row],[Direction]],""),VALUE(IF(LEN(_xlpm.steps)&gt;2,RIGHT(_xlpm.steps,2),_xlpm.steps)))</f>
        <v>24</v>
      </c>
      <c r="D3263">
        <f>_xlfn.LET(_xlpm.steps,SUBSTITUTE(Table13[[#This Row],[Input]],Table13[[#This Row],[Direction]],""),VALUE(IF(LEN(_xlpm.steps)&gt;2,LEFT(_xlpm.steps,LEN(_xlpm.steps)-2),0)))</f>
        <v>2</v>
      </c>
      <c r="E3263">
        <f>_xlfn.LET(_xlpm.dir,Table13[[#This Row],[Direction]],
IF(_xlpm.dir="L",
    IF(G3262-Table13[[#This Row],[Steps]]&lt;0,100+(G3262-Table13[[#This Row],[Steps]]),G3262-Table13[[#This Row],[Steps]]),
))</f>
        <v>45</v>
      </c>
      <c r="F3263">
        <f>_xlfn.LET(_xlpm.dir,Table13[[#This Row],[Direction]],
IF(_xlpm.dir="R",
    IF(G3262+Table13[[#This Row],[Steps]]&gt;99,(G3262+Table13[[#This Row],[Steps]])-100,G3262+Table13[[#This Row],[Steps]]),
))</f>
        <v>0</v>
      </c>
      <c r="G3263">
        <f>IF(Table13[[#This Row],[New Pos L]]&lt;&gt;0,Table13[[#This Row],[New Pos L]],Table13[[#This Row],[New Pos R]])</f>
        <v>45</v>
      </c>
      <c r="H3263">
        <f>IF(AND(Table13[[#This Row],[Direction]]="L",Table13[[#This Row],[Steps]]&gt;G3262,G3262&lt;&gt;0),1,0)</f>
        <v>0</v>
      </c>
      <c r="I3263">
        <f>IF(AND(Table13[[#This Row],[Direction]]="R",(G3262+Table13[[#This Row],[Steps]])&gt;100),1,0)</f>
        <v>0</v>
      </c>
      <c r="J3263">
        <f>IF(Table13[[#This Row],[POS]]=0,1,0)</f>
        <v>0</v>
      </c>
      <c r="K3263">
        <f>SUM(Table13[[#This Row],[prefix]],Table13[[#This Row],[Past zero L]],Table13[[#This Row],[Past Zero R]],Table13[[#This Row],[Is Zero]])</f>
        <v>2</v>
      </c>
    </row>
    <row r="3264" spans="1:11" ht="16" x14ac:dyDescent="0.2">
      <c r="A3264" s="1" t="s">
        <v>513</v>
      </c>
      <c r="B3264" t="str">
        <f>LEFT(Table13[[#This Row],[Input]],1)</f>
        <v>R</v>
      </c>
      <c r="C3264">
        <f>_xlfn.LET(_xlpm.steps,SUBSTITUTE(Table13[[#This Row],[Input]],Table13[[#This Row],[Direction]],""),VALUE(IF(LEN(_xlpm.steps)&gt;2,RIGHT(_xlpm.steps,2),_xlpm.steps)))</f>
        <v>55</v>
      </c>
      <c r="D3264">
        <f>_xlfn.LET(_xlpm.steps,SUBSTITUTE(Table13[[#This Row],[Input]],Table13[[#This Row],[Direction]],""),VALUE(IF(LEN(_xlpm.steps)&gt;2,LEFT(_xlpm.steps,LEN(_xlpm.steps)-2),0)))</f>
        <v>6</v>
      </c>
      <c r="E3264">
        <f>_xlfn.LET(_xlpm.dir,Table13[[#This Row],[Direction]],
IF(_xlpm.dir="L",
    IF(G3263-Table13[[#This Row],[Steps]]&lt;0,100+(G3263-Table13[[#This Row],[Steps]]),G3263-Table13[[#This Row],[Steps]]),
))</f>
        <v>0</v>
      </c>
      <c r="F3264">
        <f>_xlfn.LET(_xlpm.dir,Table13[[#This Row],[Direction]],
IF(_xlpm.dir="R",
    IF(G3263+Table13[[#This Row],[Steps]]&gt;99,(G3263+Table13[[#This Row],[Steps]])-100,G3263+Table13[[#This Row],[Steps]]),
))</f>
        <v>0</v>
      </c>
      <c r="G3264">
        <f>IF(Table13[[#This Row],[New Pos L]]&lt;&gt;0,Table13[[#This Row],[New Pos L]],Table13[[#This Row],[New Pos R]])</f>
        <v>0</v>
      </c>
      <c r="H3264">
        <f>IF(AND(Table13[[#This Row],[Direction]]="L",Table13[[#This Row],[Steps]]&gt;G3263,G3263&lt;&gt;0),1,0)</f>
        <v>0</v>
      </c>
      <c r="I3264">
        <f>IF(AND(Table13[[#This Row],[Direction]]="R",(G3263+Table13[[#This Row],[Steps]])&gt;100),1,0)</f>
        <v>0</v>
      </c>
      <c r="J3264">
        <f>IF(Table13[[#This Row],[POS]]=0,1,0)</f>
        <v>1</v>
      </c>
      <c r="K3264">
        <f>SUM(Table13[[#This Row],[prefix]],Table13[[#This Row],[Past zero L]],Table13[[#This Row],[Past Zero R]],Table13[[#This Row],[Is Zero]])</f>
        <v>7</v>
      </c>
    </row>
    <row r="3265" spans="1:11" ht="16" x14ac:dyDescent="0.2">
      <c r="A3265" s="1" t="s">
        <v>719</v>
      </c>
      <c r="B3265" t="str">
        <f>LEFT(Table13[[#This Row],[Input]],1)</f>
        <v>R</v>
      </c>
      <c r="C3265">
        <f>_xlfn.LET(_xlpm.steps,SUBSTITUTE(Table13[[#This Row],[Input]],Table13[[#This Row],[Direction]],""),VALUE(IF(LEN(_xlpm.steps)&gt;2,RIGHT(_xlpm.steps,2),_xlpm.steps)))</f>
        <v>98</v>
      </c>
      <c r="D3265">
        <f>_xlfn.LET(_xlpm.steps,SUBSTITUTE(Table13[[#This Row],[Input]],Table13[[#This Row],[Direction]],""),VALUE(IF(LEN(_xlpm.steps)&gt;2,LEFT(_xlpm.steps,LEN(_xlpm.steps)-2),0)))</f>
        <v>1</v>
      </c>
      <c r="E3265">
        <f>_xlfn.LET(_xlpm.dir,Table13[[#This Row],[Direction]],
IF(_xlpm.dir="L",
    IF(G3264-Table13[[#This Row],[Steps]]&lt;0,100+(G3264-Table13[[#This Row],[Steps]]),G3264-Table13[[#This Row],[Steps]]),
))</f>
        <v>0</v>
      </c>
      <c r="F3265">
        <f>_xlfn.LET(_xlpm.dir,Table13[[#This Row],[Direction]],
IF(_xlpm.dir="R",
    IF(G3264+Table13[[#This Row],[Steps]]&gt;99,(G3264+Table13[[#This Row],[Steps]])-100,G3264+Table13[[#This Row],[Steps]]),
))</f>
        <v>98</v>
      </c>
      <c r="G3265">
        <f>IF(Table13[[#This Row],[New Pos L]]&lt;&gt;0,Table13[[#This Row],[New Pos L]],Table13[[#This Row],[New Pos R]])</f>
        <v>98</v>
      </c>
      <c r="H3265">
        <f>IF(AND(Table13[[#This Row],[Direction]]="L",Table13[[#This Row],[Steps]]&gt;G3264,G3264&lt;&gt;0),1,0)</f>
        <v>0</v>
      </c>
      <c r="I3265">
        <f>IF(AND(Table13[[#This Row],[Direction]]="R",(G3264+Table13[[#This Row],[Steps]])&gt;100),1,0)</f>
        <v>0</v>
      </c>
      <c r="J3265">
        <f>IF(Table13[[#This Row],[POS]]=0,1,0)</f>
        <v>0</v>
      </c>
      <c r="K3265">
        <f>SUM(Table13[[#This Row],[prefix]],Table13[[#This Row],[Past zero L]],Table13[[#This Row],[Past Zero R]],Table13[[#This Row],[Is Zero]])</f>
        <v>1</v>
      </c>
    </row>
    <row r="3266" spans="1:11" ht="16" x14ac:dyDescent="0.2">
      <c r="A3266" s="1" t="s">
        <v>213</v>
      </c>
      <c r="B3266" t="str">
        <f>LEFT(Table13[[#This Row],[Input]],1)</f>
        <v>R</v>
      </c>
      <c r="C3266">
        <f>_xlfn.LET(_xlpm.steps,SUBSTITUTE(Table13[[#This Row],[Input]],Table13[[#This Row],[Direction]],""),VALUE(IF(LEN(_xlpm.steps)&gt;2,RIGHT(_xlpm.steps,2),_xlpm.steps)))</f>
        <v>87</v>
      </c>
      <c r="D3266">
        <f>_xlfn.LET(_xlpm.steps,SUBSTITUTE(Table13[[#This Row],[Input]],Table13[[#This Row],[Direction]],""),VALUE(IF(LEN(_xlpm.steps)&gt;2,LEFT(_xlpm.steps,LEN(_xlpm.steps)-2),0)))</f>
        <v>0</v>
      </c>
      <c r="E3266">
        <f>_xlfn.LET(_xlpm.dir,Table13[[#This Row],[Direction]],
IF(_xlpm.dir="L",
    IF(G3265-Table13[[#This Row],[Steps]]&lt;0,100+(G3265-Table13[[#This Row],[Steps]]),G3265-Table13[[#This Row],[Steps]]),
))</f>
        <v>0</v>
      </c>
      <c r="F3266">
        <f>_xlfn.LET(_xlpm.dir,Table13[[#This Row],[Direction]],
IF(_xlpm.dir="R",
    IF(G3265+Table13[[#This Row],[Steps]]&gt;99,(G3265+Table13[[#This Row],[Steps]])-100,G3265+Table13[[#This Row],[Steps]]),
))</f>
        <v>85</v>
      </c>
      <c r="G3266">
        <f>IF(Table13[[#This Row],[New Pos L]]&lt;&gt;0,Table13[[#This Row],[New Pos L]],Table13[[#This Row],[New Pos R]])</f>
        <v>85</v>
      </c>
      <c r="H3266">
        <f>IF(AND(Table13[[#This Row],[Direction]]="L",Table13[[#This Row],[Steps]]&gt;G3265,G3265&lt;&gt;0),1,0)</f>
        <v>0</v>
      </c>
      <c r="I3266">
        <f>IF(AND(Table13[[#This Row],[Direction]]="R",(G3265+Table13[[#This Row],[Steps]])&gt;100),1,0)</f>
        <v>1</v>
      </c>
      <c r="J3266">
        <f>IF(Table13[[#This Row],[POS]]=0,1,0)</f>
        <v>0</v>
      </c>
      <c r="K3266">
        <f>SUM(Table13[[#This Row],[prefix]],Table13[[#This Row],[Past zero L]],Table13[[#This Row],[Past Zero R]],Table13[[#This Row],[Is Zero]])</f>
        <v>1</v>
      </c>
    </row>
    <row r="3267" spans="1:11" ht="16" x14ac:dyDescent="0.2">
      <c r="A3267" s="1" t="s">
        <v>33</v>
      </c>
      <c r="B3267" t="str">
        <f>LEFT(Table13[[#This Row],[Input]],1)</f>
        <v>R</v>
      </c>
      <c r="C3267">
        <f>_xlfn.LET(_xlpm.steps,SUBSTITUTE(Table13[[#This Row],[Input]],Table13[[#This Row],[Direction]],""),VALUE(IF(LEN(_xlpm.steps)&gt;2,RIGHT(_xlpm.steps,2),_xlpm.steps)))</f>
        <v>22</v>
      </c>
      <c r="D3267">
        <f>_xlfn.LET(_xlpm.steps,SUBSTITUTE(Table13[[#This Row],[Input]],Table13[[#This Row],[Direction]],""),VALUE(IF(LEN(_xlpm.steps)&gt;2,LEFT(_xlpm.steps,LEN(_xlpm.steps)-2),0)))</f>
        <v>0</v>
      </c>
      <c r="E3267">
        <f>_xlfn.LET(_xlpm.dir,Table13[[#This Row],[Direction]],
IF(_xlpm.dir="L",
    IF(G3266-Table13[[#This Row],[Steps]]&lt;0,100+(G3266-Table13[[#This Row],[Steps]]),G3266-Table13[[#This Row],[Steps]]),
))</f>
        <v>0</v>
      </c>
      <c r="F3267">
        <f>_xlfn.LET(_xlpm.dir,Table13[[#This Row],[Direction]],
IF(_xlpm.dir="R",
    IF(G3266+Table13[[#This Row],[Steps]]&gt;99,(G3266+Table13[[#This Row],[Steps]])-100,G3266+Table13[[#This Row],[Steps]]),
))</f>
        <v>7</v>
      </c>
      <c r="G3267">
        <f>IF(Table13[[#This Row],[New Pos L]]&lt;&gt;0,Table13[[#This Row],[New Pos L]],Table13[[#This Row],[New Pos R]])</f>
        <v>7</v>
      </c>
      <c r="H3267">
        <f>IF(AND(Table13[[#This Row],[Direction]]="L",Table13[[#This Row],[Steps]]&gt;G3266,G3266&lt;&gt;0),1,0)</f>
        <v>0</v>
      </c>
      <c r="I3267">
        <f>IF(AND(Table13[[#This Row],[Direction]]="R",(G3266+Table13[[#This Row],[Steps]])&gt;100),1,0)</f>
        <v>1</v>
      </c>
      <c r="J3267">
        <f>IF(Table13[[#This Row],[POS]]=0,1,0)</f>
        <v>0</v>
      </c>
      <c r="K3267">
        <f>SUM(Table13[[#This Row],[prefix]],Table13[[#This Row],[Past zero L]],Table13[[#This Row],[Past Zero R]],Table13[[#This Row],[Is Zero]])</f>
        <v>1</v>
      </c>
    </row>
    <row r="3268" spans="1:11" ht="16" x14ac:dyDescent="0.2">
      <c r="A3268" s="1" t="s">
        <v>174</v>
      </c>
      <c r="B3268" t="str">
        <f>LEFT(Table13[[#This Row],[Input]],1)</f>
        <v>L</v>
      </c>
      <c r="C3268">
        <f>_xlfn.LET(_xlpm.steps,SUBSTITUTE(Table13[[#This Row],[Input]],Table13[[#This Row],[Direction]],""),VALUE(IF(LEN(_xlpm.steps)&gt;2,RIGHT(_xlpm.steps,2),_xlpm.steps)))</f>
        <v>92</v>
      </c>
      <c r="D3268">
        <f>_xlfn.LET(_xlpm.steps,SUBSTITUTE(Table13[[#This Row],[Input]],Table13[[#This Row],[Direction]],""),VALUE(IF(LEN(_xlpm.steps)&gt;2,LEFT(_xlpm.steps,LEN(_xlpm.steps)-2),0)))</f>
        <v>0</v>
      </c>
      <c r="E3268">
        <f>_xlfn.LET(_xlpm.dir,Table13[[#This Row],[Direction]],
IF(_xlpm.dir="L",
    IF(G3267-Table13[[#This Row],[Steps]]&lt;0,100+(G3267-Table13[[#This Row],[Steps]]),G3267-Table13[[#This Row],[Steps]]),
))</f>
        <v>15</v>
      </c>
      <c r="F3268">
        <f>_xlfn.LET(_xlpm.dir,Table13[[#This Row],[Direction]],
IF(_xlpm.dir="R",
    IF(G3267+Table13[[#This Row],[Steps]]&gt;99,(G3267+Table13[[#This Row],[Steps]])-100,G3267+Table13[[#This Row],[Steps]]),
))</f>
        <v>0</v>
      </c>
      <c r="G3268">
        <f>IF(Table13[[#This Row],[New Pos L]]&lt;&gt;0,Table13[[#This Row],[New Pos L]],Table13[[#This Row],[New Pos R]])</f>
        <v>15</v>
      </c>
      <c r="H3268">
        <f>IF(AND(Table13[[#This Row],[Direction]]="L",Table13[[#This Row],[Steps]]&gt;G3267,G3267&lt;&gt;0),1,0)</f>
        <v>1</v>
      </c>
      <c r="I3268">
        <f>IF(AND(Table13[[#This Row],[Direction]]="R",(G3267+Table13[[#This Row],[Steps]])&gt;100),1,0)</f>
        <v>0</v>
      </c>
      <c r="J3268">
        <f>IF(Table13[[#This Row],[POS]]=0,1,0)</f>
        <v>0</v>
      </c>
      <c r="K3268">
        <f>SUM(Table13[[#This Row],[prefix]],Table13[[#This Row],[Past zero L]],Table13[[#This Row],[Past Zero R]],Table13[[#This Row],[Is Zero]])</f>
        <v>1</v>
      </c>
    </row>
    <row r="3269" spans="1:11" ht="16" x14ac:dyDescent="0.2">
      <c r="A3269" s="1" t="s">
        <v>34</v>
      </c>
      <c r="B3269" t="str">
        <f>LEFT(Table13[[#This Row],[Input]],1)</f>
        <v>L</v>
      </c>
      <c r="C3269">
        <f>_xlfn.LET(_xlpm.steps,SUBSTITUTE(Table13[[#This Row],[Input]],Table13[[#This Row],[Direction]],""),VALUE(IF(LEN(_xlpm.steps)&gt;2,RIGHT(_xlpm.steps,2),_xlpm.steps)))</f>
        <v>15</v>
      </c>
      <c r="D3269">
        <f>_xlfn.LET(_xlpm.steps,SUBSTITUTE(Table13[[#This Row],[Input]],Table13[[#This Row],[Direction]],""),VALUE(IF(LEN(_xlpm.steps)&gt;2,LEFT(_xlpm.steps,LEN(_xlpm.steps)-2),0)))</f>
        <v>0</v>
      </c>
      <c r="E3269">
        <f>_xlfn.LET(_xlpm.dir,Table13[[#This Row],[Direction]],
IF(_xlpm.dir="L",
    IF(G3268-Table13[[#This Row],[Steps]]&lt;0,100+(G3268-Table13[[#This Row],[Steps]]),G3268-Table13[[#This Row],[Steps]]),
))</f>
        <v>0</v>
      </c>
      <c r="F3269">
        <f>_xlfn.LET(_xlpm.dir,Table13[[#This Row],[Direction]],
IF(_xlpm.dir="R",
    IF(G3268+Table13[[#This Row],[Steps]]&gt;99,(G3268+Table13[[#This Row],[Steps]])-100,G3268+Table13[[#This Row],[Steps]]),
))</f>
        <v>0</v>
      </c>
      <c r="G3269">
        <f>IF(Table13[[#This Row],[New Pos L]]&lt;&gt;0,Table13[[#This Row],[New Pos L]],Table13[[#This Row],[New Pos R]])</f>
        <v>0</v>
      </c>
      <c r="H3269">
        <f>IF(AND(Table13[[#This Row],[Direction]]="L",Table13[[#This Row],[Steps]]&gt;G3268,G3268&lt;&gt;0),1,0)</f>
        <v>0</v>
      </c>
      <c r="I3269">
        <f>IF(AND(Table13[[#This Row],[Direction]]="R",(G3268+Table13[[#This Row],[Steps]])&gt;100),1,0)</f>
        <v>0</v>
      </c>
      <c r="J3269">
        <f>IF(Table13[[#This Row],[POS]]=0,1,0)</f>
        <v>1</v>
      </c>
      <c r="K3269">
        <f>SUM(Table13[[#This Row],[prefix]],Table13[[#This Row],[Past zero L]],Table13[[#This Row],[Past Zero R]],Table13[[#This Row],[Is Zero]])</f>
        <v>1</v>
      </c>
    </row>
    <row r="3270" spans="1:11" ht="16" x14ac:dyDescent="0.2">
      <c r="A3270" s="1" t="s">
        <v>83</v>
      </c>
      <c r="B3270" t="str">
        <f>LEFT(Table13[[#This Row],[Input]],1)</f>
        <v>R</v>
      </c>
      <c r="C3270">
        <f>_xlfn.LET(_xlpm.steps,SUBSTITUTE(Table13[[#This Row],[Input]],Table13[[#This Row],[Direction]],""),VALUE(IF(LEN(_xlpm.steps)&gt;2,RIGHT(_xlpm.steps,2),_xlpm.steps)))</f>
        <v>79</v>
      </c>
      <c r="D3270">
        <f>_xlfn.LET(_xlpm.steps,SUBSTITUTE(Table13[[#This Row],[Input]],Table13[[#This Row],[Direction]],""),VALUE(IF(LEN(_xlpm.steps)&gt;2,LEFT(_xlpm.steps,LEN(_xlpm.steps)-2),0)))</f>
        <v>0</v>
      </c>
      <c r="E3270">
        <f>_xlfn.LET(_xlpm.dir,Table13[[#This Row],[Direction]],
IF(_xlpm.dir="L",
    IF(G3269-Table13[[#This Row],[Steps]]&lt;0,100+(G3269-Table13[[#This Row],[Steps]]),G3269-Table13[[#This Row],[Steps]]),
))</f>
        <v>0</v>
      </c>
      <c r="F3270">
        <f>_xlfn.LET(_xlpm.dir,Table13[[#This Row],[Direction]],
IF(_xlpm.dir="R",
    IF(G3269+Table13[[#This Row],[Steps]]&gt;99,(G3269+Table13[[#This Row],[Steps]])-100,G3269+Table13[[#This Row],[Steps]]),
))</f>
        <v>79</v>
      </c>
      <c r="G3270">
        <f>IF(Table13[[#This Row],[New Pos L]]&lt;&gt;0,Table13[[#This Row],[New Pos L]],Table13[[#This Row],[New Pos R]])</f>
        <v>79</v>
      </c>
      <c r="H3270">
        <f>IF(AND(Table13[[#This Row],[Direction]]="L",Table13[[#This Row],[Steps]]&gt;G3269,G3269&lt;&gt;0),1,0)</f>
        <v>0</v>
      </c>
      <c r="I3270">
        <f>IF(AND(Table13[[#This Row],[Direction]]="R",(G3269+Table13[[#This Row],[Steps]])&gt;100),1,0)</f>
        <v>0</v>
      </c>
      <c r="J3270">
        <f>IF(Table13[[#This Row],[POS]]=0,1,0)</f>
        <v>0</v>
      </c>
      <c r="K3270">
        <f>SUM(Table13[[#This Row],[prefix]],Table13[[#This Row],[Past zero L]],Table13[[#This Row],[Past Zero R]],Table13[[#This Row],[Is Zero]])</f>
        <v>0</v>
      </c>
    </row>
    <row r="3271" spans="1:11" ht="16" x14ac:dyDescent="0.2">
      <c r="A3271" s="1" t="s">
        <v>75</v>
      </c>
      <c r="B3271" t="str">
        <f>LEFT(Table13[[#This Row],[Input]],1)</f>
        <v>R</v>
      </c>
      <c r="C3271">
        <f>_xlfn.LET(_xlpm.steps,SUBSTITUTE(Table13[[#This Row],[Input]],Table13[[#This Row],[Direction]],""),VALUE(IF(LEN(_xlpm.steps)&gt;2,RIGHT(_xlpm.steps,2),_xlpm.steps)))</f>
        <v>2</v>
      </c>
      <c r="D3271">
        <f>_xlfn.LET(_xlpm.steps,SUBSTITUTE(Table13[[#This Row],[Input]],Table13[[#This Row],[Direction]],""),VALUE(IF(LEN(_xlpm.steps)&gt;2,LEFT(_xlpm.steps,LEN(_xlpm.steps)-2),0)))</f>
        <v>0</v>
      </c>
      <c r="E3271">
        <f>_xlfn.LET(_xlpm.dir,Table13[[#This Row],[Direction]],
IF(_xlpm.dir="L",
    IF(G3270-Table13[[#This Row],[Steps]]&lt;0,100+(G3270-Table13[[#This Row],[Steps]]),G3270-Table13[[#This Row],[Steps]]),
))</f>
        <v>0</v>
      </c>
      <c r="F3271">
        <f>_xlfn.LET(_xlpm.dir,Table13[[#This Row],[Direction]],
IF(_xlpm.dir="R",
    IF(G3270+Table13[[#This Row],[Steps]]&gt;99,(G3270+Table13[[#This Row],[Steps]])-100,G3270+Table13[[#This Row],[Steps]]),
))</f>
        <v>81</v>
      </c>
      <c r="G3271">
        <f>IF(Table13[[#This Row],[New Pos L]]&lt;&gt;0,Table13[[#This Row],[New Pos L]],Table13[[#This Row],[New Pos R]])</f>
        <v>81</v>
      </c>
      <c r="H3271">
        <f>IF(AND(Table13[[#This Row],[Direction]]="L",Table13[[#This Row],[Steps]]&gt;G3270,G3270&lt;&gt;0),1,0)</f>
        <v>0</v>
      </c>
      <c r="I3271">
        <f>IF(AND(Table13[[#This Row],[Direction]]="R",(G3270+Table13[[#This Row],[Steps]])&gt;100),1,0)</f>
        <v>0</v>
      </c>
      <c r="J3271">
        <f>IF(Table13[[#This Row],[POS]]=0,1,0)</f>
        <v>0</v>
      </c>
      <c r="K3271">
        <f>SUM(Table13[[#This Row],[prefix]],Table13[[#This Row],[Past zero L]],Table13[[#This Row],[Past Zero R]],Table13[[#This Row],[Is Zero]])</f>
        <v>0</v>
      </c>
    </row>
    <row r="3272" spans="1:11" ht="16" x14ac:dyDescent="0.2">
      <c r="A3272" s="1" t="s">
        <v>276</v>
      </c>
      <c r="B3272" t="str">
        <f>LEFT(Table13[[#This Row],[Input]],1)</f>
        <v>L</v>
      </c>
      <c r="C3272">
        <f>_xlfn.LET(_xlpm.steps,SUBSTITUTE(Table13[[#This Row],[Input]],Table13[[#This Row],[Direction]],""),VALUE(IF(LEN(_xlpm.steps)&gt;2,RIGHT(_xlpm.steps,2),_xlpm.steps)))</f>
        <v>60</v>
      </c>
      <c r="D3272">
        <f>_xlfn.LET(_xlpm.steps,SUBSTITUTE(Table13[[#This Row],[Input]],Table13[[#This Row],[Direction]],""),VALUE(IF(LEN(_xlpm.steps)&gt;2,LEFT(_xlpm.steps,LEN(_xlpm.steps)-2),0)))</f>
        <v>0</v>
      </c>
      <c r="E3272">
        <f>_xlfn.LET(_xlpm.dir,Table13[[#This Row],[Direction]],
IF(_xlpm.dir="L",
    IF(G3271-Table13[[#This Row],[Steps]]&lt;0,100+(G3271-Table13[[#This Row],[Steps]]),G3271-Table13[[#This Row],[Steps]]),
))</f>
        <v>21</v>
      </c>
      <c r="F3272">
        <f>_xlfn.LET(_xlpm.dir,Table13[[#This Row],[Direction]],
IF(_xlpm.dir="R",
    IF(G3271+Table13[[#This Row],[Steps]]&gt;99,(G3271+Table13[[#This Row],[Steps]])-100,G3271+Table13[[#This Row],[Steps]]),
))</f>
        <v>0</v>
      </c>
      <c r="G3272">
        <f>IF(Table13[[#This Row],[New Pos L]]&lt;&gt;0,Table13[[#This Row],[New Pos L]],Table13[[#This Row],[New Pos R]])</f>
        <v>21</v>
      </c>
      <c r="H3272">
        <f>IF(AND(Table13[[#This Row],[Direction]]="L",Table13[[#This Row],[Steps]]&gt;G3271,G3271&lt;&gt;0),1,0)</f>
        <v>0</v>
      </c>
      <c r="I3272">
        <f>IF(AND(Table13[[#This Row],[Direction]]="R",(G3271+Table13[[#This Row],[Steps]])&gt;100),1,0)</f>
        <v>0</v>
      </c>
      <c r="J3272">
        <f>IF(Table13[[#This Row],[POS]]=0,1,0)</f>
        <v>0</v>
      </c>
      <c r="K3272">
        <f>SUM(Table13[[#This Row],[prefix]],Table13[[#This Row],[Past zero L]],Table13[[#This Row],[Past Zero R]],Table13[[#This Row],[Is Zero]])</f>
        <v>0</v>
      </c>
    </row>
    <row r="3273" spans="1:11" ht="16" x14ac:dyDescent="0.2">
      <c r="A3273" s="1" t="s">
        <v>720</v>
      </c>
      <c r="B3273" t="str">
        <f>LEFT(Table13[[#This Row],[Input]],1)</f>
        <v>R</v>
      </c>
      <c r="C3273">
        <f>_xlfn.LET(_xlpm.steps,SUBSTITUTE(Table13[[#This Row],[Input]],Table13[[#This Row],[Direction]],""),VALUE(IF(LEN(_xlpm.steps)&gt;2,RIGHT(_xlpm.steps,2),_xlpm.steps)))</f>
        <v>15</v>
      </c>
      <c r="D3273">
        <f>_xlfn.LET(_xlpm.steps,SUBSTITUTE(Table13[[#This Row],[Input]],Table13[[#This Row],[Direction]],""),VALUE(IF(LEN(_xlpm.steps)&gt;2,LEFT(_xlpm.steps,LEN(_xlpm.steps)-2),0)))</f>
        <v>6</v>
      </c>
      <c r="E3273">
        <f>_xlfn.LET(_xlpm.dir,Table13[[#This Row],[Direction]],
IF(_xlpm.dir="L",
    IF(G3272-Table13[[#This Row],[Steps]]&lt;0,100+(G3272-Table13[[#This Row],[Steps]]),G3272-Table13[[#This Row],[Steps]]),
))</f>
        <v>0</v>
      </c>
      <c r="F3273">
        <f>_xlfn.LET(_xlpm.dir,Table13[[#This Row],[Direction]],
IF(_xlpm.dir="R",
    IF(G3272+Table13[[#This Row],[Steps]]&gt;99,(G3272+Table13[[#This Row],[Steps]])-100,G3272+Table13[[#This Row],[Steps]]),
))</f>
        <v>36</v>
      </c>
      <c r="G3273">
        <f>IF(Table13[[#This Row],[New Pos L]]&lt;&gt;0,Table13[[#This Row],[New Pos L]],Table13[[#This Row],[New Pos R]])</f>
        <v>36</v>
      </c>
      <c r="H3273">
        <f>IF(AND(Table13[[#This Row],[Direction]]="L",Table13[[#This Row],[Steps]]&gt;G3272,G3272&lt;&gt;0),1,0)</f>
        <v>0</v>
      </c>
      <c r="I3273">
        <f>IF(AND(Table13[[#This Row],[Direction]]="R",(G3272+Table13[[#This Row],[Steps]])&gt;100),1,0)</f>
        <v>0</v>
      </c>
      <c r="J3273">
        <f>IF(Table13[[#This Row],[POS]]=0,1,0)</f>
        <v>0</v>
      </c>
      <c r="K3273">
        <f>SUM(Table13[[#This Row],[prefix]],Table13[[#This Row],[Past zero L]],Table13[[#This Row],[Past Zero R]],Table13[[#This Row],[Is Zero]])</f>
        <v>6</v>
      </c>
    </row>
    <row r="3274" spans="1:11" ht="16" x14ac:dyDescent="0.2">
      <c r="A3274" s="1" t="s">
        <v>111</v>
      </c>
      <c r="B3274" t="str">
        <f>LEFT(Table13[[#This Row],[Input]],1)</f>
        <v>R</v>
      </c>
      <c r="C3274">
        <f>_xlfn.LET(_xlpm.steps,SUBSTITUTE(Table13[[#This Row],[Input]],Table13[[#This Row],[Direction]],""),VALUE(IF(LEN(_xlpm.steps)&gt;2,RIGHT(_xlpm.steps,2),_xlpm.steps)))</f>
        <v>64</v>
      </c>
      <c r="D3274">
        <f>_xlfn.LET(_xlpm.steps,SUBSTITUTE(Table13[[#This Row],[Input]],Table13[[#This Row],[Direction]],""),VALUE(IF(LEN(_xlpm.steps)&gt;2,LEFT(_xlpm.steps,LEN(_xlpm.steps)-2),0)))</f>
        <v>0</v>
      </c>
      <c r="E3274">
        <f>_xlfn.LET(_xlpm.dir,Table13[[#This Row],[Direction]],
IF(_xlpm.dir="L",
    IF(G3273-Table13[[#This Row],[Steps]]&lt;0,100+(G3273-Table13[[#This Row],[Steps]]),G3273-Table13[[#This Row],[Steps]]),
))</f>
        <v>0</v>
      </c>
      <c r="F3274">
        <f>_xlfn.LET(_xlpm.dir,Table13[[#This Row],[Direction]],
IF(_xlpm.dir="R",
    IF(G3273+Table13[[#This Row],[Steps]]&gt;99,(G3273+Table13[[#This Row],[Steps]])-100,G3273+Table13[[#This Row],[Steps]]),
))</f>
        <v>0</v>
      </c>
      <c r="G3274">
        <f>IF(Table13[[#This Row],[New Pos L]]&lt;&gt;0,Table13[[#This Row],[New Pos L]],Table13[[#This Row],[New Pos R]])</f>
        <v>0</v>
      </c>
      <c r="H3274">
        <f>IF(AND(Table13[[#This Row],[Direction]]="L",Table13[[#This Row],[Steps]]&gt;G3273,G3273&lt;&gt;0),1,0)</f>
        <v>0</v>
      </c>
      <c r="I3274">
        <f>IF(AND(Table13[[#This Row],[Direction]]="R",(G3273+Table13[[#This Row],[Steps]])&gt;100),1,0)</f>
        <v>0</v>
      </c>
      <c r="J3274">
        <f>IF(Table13[[#This Row],[POS]]=0,1,0)</f>
        <v>1</v>
      </c>
      <c r="K3274">
        <f>SUM(Table13[[#This Row],[prefix]],Table13[[#This Row],[Past zero L]],Table13[[#This Row],[Past Zero R]],Table13[[#This Row],[Is Zero]])</f>
        <v>1</v>
      </c>
    </row>
    <row r="3275" spans="1:11" ht="16" x14ac:dyDescent="0.2">
      <c r="A3275" s="1" t="s">
        <v>49</v>
      </c>
      <c r="B3275" t="str">
        <f>LEFT(Table13[[#This Row],[Input]],1)</f>
        <v>L</v>
      </c>
      <c r="C3275">
        <f>_xlfn.LET(_xlpm.steps,SUBSTITUTE(Table13[[#This Row],[Input]],Table13[[#This Row],[Direction]],""),VALUE(IF(LEN(_xlpm.steps)&gt;2,RIGHT(_xlpm.steps,2),_xlpm.steps)))</f>
        <v>93</v>
      </c>
      <c r="D3275">
        <f>_xlfn.LET(_xlpm.steps,SUBSTITUTE(Table13[[#This Row],[Input]],Table13[[#This Row],[Direction]],""),VALUE(IF(LEN(_xlpm.steps)&gt;2,LEFT(_xlpm.steps,LEN(_xlpm.steps)-2),0)))</f>
        <v>0</v>
      </c>
      <c r="E3275">
        <f>_xlfn.LET(_xlpm.dir,Table13[[#This Row],[Direction]],
IF(_xlpm.dir="L",
    IF(G3274-Table13[[#This Row],[Steps]]&lt;0,100+(G3274-Table13[[#This Row],[Steps]]),G3274-Table13[[#This Row],[Steps]]),
))</f>
        <v>7</v>
      </c>
      <c r="F3275">
        <f>_xlfn.LET(_xlpm.dir,Table13[[#This Row],[Direction]],
IF(_xlpm.dir="R",
    IF(G3274+Table13[[#This Row],[Steps]]&gt;99,(G3274+Table13[[#This Row],[Steps]])-100,G3274+Table13[[#This Row],[Steps]]),
))</f>
        <v>0</v>
      </c>
      <c r="G3275">
        <f>IF(Table13[[#This Row],[New Pos L]]&lt;&gt;0,Table13[[#This Row],[New Pos L]],Table13[[#This Row],[New Pos R]])</f>
        <v>7</v>
      </c>
      <c r="H3275">
        <f>IF(AND(Table13[[#This Row],[Direction]]="L",Table13[[#This Row],[Steps]]&gt;G3274,G3274&lt;&gt;0),1,0)</f>
        <v>0</v>
      </c>
      <c r="I3275">
        <f>IF(AND(Table13[[#This Row],[Direction]]="R",(G3274+Table13[[#This Row],[Steps]])&gt;100),1,0)</f>
        <v>0</v>
      </c>
      <c r="J3275">
        <f>IF(Table13[[#This Row],[POS]]=0,1,0)</f>
        <v>0</v>
      </c>
      <c r="K3275">
        <f>SUM(Table13[[#This Row],[prefix]],Table13[[#This Row],[Past zero L]],Table13[[#This Row],[Past Zero R]],Table13[[#This Row],[Is Zero]])</f>
        <v>0</v>
      </c>
    </row>
    <row r="3276" spans="1:11" ht="16" x14ac:dyDescent="0.2">
      <c r="A3276" s="1" t="s">
        <v>41</v>
      </c>
      <c r="B3276" t="str">
        <f>LEFT(Table13[[#This Row],[Input]],1)</f>
        <v>L</v>
      </c>
      <c r="C3276">
        <f>_xlfn.LET(_xlpm.steps,SUBSTITUTE(Table13[[#This Row],[Input]],Table13[[#This Row],[Direction]],""),VALUE(IF(LEN(_xlpm.steps)&gt;2,RIGHT(_xlpm.steps,2),_xlpm.steps)))</f>
        <v>7</v>
      </c>
      <c r="D3276">
        <f>_xlfn.LET(_xlpm.steps,SUBSTITUTE(Table13[[#This Row],[Input]],Table13[[#This Row],[Direction]],""),VALUE(IF(LEN(_xlpm.steps)&gt;2,LEFT(_xlpm.steps,LEN(_xlpm.steps)-2),0)))</f>
        <v>0</v>
      </c>
      <c r="E3276">
        <f>_xlfn.LET(_xlpm.dir,Table13[[#This Row],[Direction]],
IF(_xlpm.dir="L",
    IF(G3275-Table13[[#This Row],[Steps]]&lt;0,100+(G3275-Table13[[#This Row],[Steps]]),G3275-Table13[[#This Row],[Steps]]),
))</f>
        <v>0</v>
      </c>
      <c r="F3276">
        <f>_xlfn.LET(_xlpm.dir,Table13[[#This Row],[Direction]],
IF(_xlpm.dir="R",
    IF(G3275+Table13[[#This Row],[Steps]]&gt;99,(G3275+Table13[[#This Row],[Steps]])-100,G3275+Table13[[#This Row],[Steps]]),
))</f>
        <v>0</v>
      </c>
      <c r="G3276">
        <f>IF(Table13[[#This Row],[New Pos L]]&lt;&gt;0,Table13[[#This Row],[New Pos L]],Table13[[#This Row],[New Pos R]])</f>
        <v>0</v>
      </c>
      <c r="H3276">
        <f>IF(AND(Table13[[#This Row],[Direction]]="L",Table13[[#This Row],[Steps]]&gt;G3275,G3275&lt;&gt;0),1,0)</f>
        <v>0</v>
      </c>
      <c r="I3276">
        <f>IF(AND(Table13[[#This Row],[Direction]]="R",(G3275+Table13[[#This Row],[Steps]])&gt;100),1,0)</f>
        <v>0</v>
      </c>
      <c r="J3276">
        <f>IF(Table13[[#This Row],[POS]]=0,1,0)</f>
        <v>1</v>
      </c>
      <c r="K3276">
        <f>SUM(Table13[[#This Row],[prefix]],Table13[[#This Row],[Past zero L]],Table13[[#This Row],[Past Zero R]],Table13[[#This Row],[Is Zero]])</f>
        <v>1</v>
      </c>
    </row>
    <row r="3277" spans="1:11" ht="16" x14ac:dyDescent="0.2">
      <c r="A3277" s="1" t="s">
        <v>146</v>
      </c>
      <c r="B3277" t="str">
        <f>LEFT(Table13[[#This Row],[Input]],1)</f>
        <v>R</v>
      </c>
      <c r="C3277">
        <f>_xlfn.LET(_xlpm.steps,SUBSTITUTE(Table13[[#This Row],[Input]],Table13[[#This Row],[Direction]],""),VALUE(IF(LEN(_xlpm.steps)&gt;2,RIGHT(_xlpm.steps,2),_xlpm.steps)))</f>
        <v>4</v>
      </c>
      <c r="D3277">
        <f>_xlfn.LET(_xlpm.steps,SUBSTITUTE(Table13[[#This Row],[Input]],Table13[[#This Row],[Direction]],""),VALUE(IF(LEN(_xlpm.steps)&gt;2,LEFT(_xlpm.steps,LEN(_xlpm.steps)-2),0)))</f>
        <v>0</v>
      </c>
      <c r="E3277">
        <f>_xlfn.LET(_xlpm.dir,Table13[[#This Row],[Direction]],
IF(_xlpm.dir="L",
    IF(G3276-Table13[[#This Row],[Steps]]&lt;0,100+(G3276-Table13[[#This Row],[Steps]]),G3276-Table13[[#This Row],[Steps]]),
))</f>
        <v>0</v>
      </c>
      <c r="F3277">
        <f>_xlfn.LET(_xlpm.dir,Table13[[#This Row],[Direction]],
IF(_xlpm.dir="R",
    IF(G3276+Table13[[#This Row],[Steps]]&gt;99,(G3276+Table13[[#This Row],[Steps]])-100,G3276+Table13[[#This Row],[Steps]]),
))</f>
        <v>4</v>
      </c>
      <c r="G3277">
        <f>IF(Table13[[#This Row],[New Pos L]]&lt;&gt;0,Table13[[#This Row],[New Pos L]],Table13[[#This Row],[New Pos R]])</f>
        <v>4</v>
      </c>
      <c r="H3277">
        <f>IF(AND(Table13[[#This Row],[Direction]]="L",Table13[[#This Row],[Steps]]&gt;G3276,G3276&lt;&gt;0),1,0)</f>
        <v>0</v>
      </c>
      <c r="I3277">
        <f>IF(AND(Table13[[#This Row],[Direction]]="R",(G3276+Table13[[#This Row],[Steps]])&gt;100),1,0)</f>
        <v>0</v>
      </c>
      <c r="J3277">
        <f>IF(Table13[[#This Row],[POS]]=0,1,0)</f>
        <v>0</v>
      </c>
      <c r="K3277">
        <f>SUM(Table13[[#This Row],[prefix]],Table13[[#This Row],[Past zero L]],Table13[[#This Row],[Past Zero R]],Table13[[#This Row],[Is Zero]])</f>
        <v>0</v>
      </c>
    </row>
    <row r="3278" spans="1:11" ht="16" x14ac:dyDescent="0.2">
      <c r="A3278" s="1" t="s">
        <v>67</v>
      </c>
      <c r="B3278" t="str">
        <f>LEFT(Table13[[#This Row],[Input]],1)</f>
        <v>R</v>
      </c>
      <c r="C3278">
        <f>_xlfn.LET(_xlpm.steps,SUBSTITUTE(Table13[[#This Row],[Input]],Table13[[#This Row],[Direction]],""),VALUE(IF(LEN(_xlpm.steps)&gt;2,RIGHT(_xlpm.steps,2),_xlpm.steps)))</f>
        <v>33</v>
      </c>
      <c r="D3278">
        <f>_xlfn.LET(_xlpm.steps,SUBSTITUTE(Table13[[#This Row],[Input]],Table13[[#This Row],[Direction]],""),VALUE(IF(LEN(_xlpm.steps)&gt;2,LEFT(_xlpm.steps,LEN(_xlpm.steps)-2),0)))</f>
        <v>0</v>
      </c>
      <c r="E3278">
        <f>_xlfn.LET(_xlpm.dir,Table13[[#This Row],[Direction]],
IF(_xlpm.dir="L",
    IF(G3277-Table13[[#This Row],[Steps]]&lt;0,100+(G3277-Table13[[#This Row],[Steps]]),G3277-Table13[[#This Row],[Steps]]),
))</f>
        <v>0</v>
      </c>
      <c r="F3278">
        <f>_xlfn.LET(_xlpm.dir,Table13[[#This Row],[Direction]],
IF(_xlpm.dir="R",
    IF(G3277+Table13[[#This Row],[Steps]]&gt;99,(G3277+Table13[[#This Row],[Steps]])-100,G3277+Table13[[#This Row],[Steps]]),
))</f>
        <v>37</v>
      </c>
      <c r="G3278">
        <f>IF(Table13[[#This Row],[New Pos L]]&lt;&gt;0,Table13[[#This Row],[New Pos L]],Table13[[#This Row],[New Pos R]])</f>
        <v>37</v>
      </c>
      <c r="H3278">
        <f>IF(AND(Table13[[#This Row],[Direction]]="L",Table13[[#This Row],[Steps]]&gt;G3277,G3277&lt;&gt;0),1,0)</f>
        <v>0</v>
      </c>
      <c r="I3278">
        <f>IF(AND(Table13[[#This Row],[Direction]]="R",(G3277+Table13[[#This Row],[Steps]])&gt;100),1,0)</f>
        <v>0</v>
      </c>
      <c r="J3278">
        <f>IF(Table13[[#This Row],[POS]]=0,1,0)</f>
        <v>0</v>
      </c>
      <c r="K3278">
        <f>SUM(Table13[[#This Row],[prefix]],Table13[[#This Row],[Past zero L]],Table13[[#This Row],[Past Zero R]],Table13[[#This Row],[Is Zero]])</f>
        <v>0</v>
      </c>
    </row>
    <row r="3279" spans="1:11" ht="16" x14ac:dyDescent="0.2">
      <c r="A3279" s="1" t="s">
        <v>628</v>
      </c>
      <c r="B3279" t="str">
        <f>LEFT(Table13[[#This Row],[Input]],1)</f>
        <v>R</v>
      </c>
      <c r="C3279">
        <f>_xlfn.LET(_xlpm.steps,SUBSTITUTE(Table13[[#This Row],[Input]],Table13[[#This Row],[Direction]],""),VALUE(IF(LEN(_xlpm.steps)&gt;2,RIGHT(_xlpm.steps,2),_xlpm.steps)))</f>
        <v>39</v>
      </c>
      <c r="D3279">
        <f>_xlfn.LET(_xlpm.steps,SUBSTITUTE(Table13[[#This Row],[Input]],Table13[[#This Row],[Direction]],""),VALUE(IF(LEN(_xlpm.steps)&gt;2,LEFT(_xlpm.steps,LEN(_xlpm.steps)-2),0)))</f>
        <v>7</v>
      </c>
      <c r="E3279">
        <f>_xlfn.LET(_xlpm.dir,Table13[[#This Row],[Direction]],
IF(_xlpm.dir="L",
    IF(G3278-Table13[[#This Row],[Steps]]&lt;0,100+(G3278-Table13[[#This Row],[Steps]]),G3278-Table13[[#This Row],[Steps]]),
))</f>
        <v>0</v>
      </c>
      <c r="F3279">
        <f>_xlfn.LET(_xlpm.dir,Table13[[#This Row],[Direction]],
IF(_xlpm.dir="R",
    IF(G3278+Table13[[#This Row],[Steps]]&gt;99,(G3278+Table13[[#This Row],[Steps]])-100,G3278+Table13[[#This Row],[Steps]]),
))</f>
        <v>76</v>
      </c>
      <c r="G3279">
        <f>IF(Table13[[#This Row],[New Pos L]]&lt;&gt;0,Table13[[#This Row],[New Pos L]],Table13[[#This Row],[New Pos R]])</f>
        <v>76</v>
      </c>
      <c r="H3279">
        <f>IF(AND(Table13[[#This Row],[Direction]]="L",Table13[[#This Row],[Steps]]&gt;G3278,G3278&lt;&gt;0),1,0)</f>
        <v>0</v>
      </c>
      <c r="I3279">
        <f>IF(AND(Table13[[#This Row],[Direction]]="R",(G3278+Table13[[#This Row],[Steps]])&gt;100),1,0)</f>
        <v>0</v>
      </c>
      <c r="J3279">
        <f>IF(Table13[[#This Row],[POS]]=0,1,0)</f>
        <v>0</v>
      </c>
      <c r="K3279">
        <f>SUM(Table13[[#This Row],[prefix]],Table13[[#This Row],[Past zero L]],Table13[[#This Row],[Past Zero R]],Table13[[#This Row],[Is Zero]])</f>
        <v>7</v>
      </c>
    </row>
    <row r="3280" spans="1:11" ht="16" x14ac:dyDescent="0.2">
      <c r="A3280" s="1" t="s">
        <v>382</v>
      </c>
      <c r="B3280" t="str">
        <f>LEFT(Table13[[#This Row],[Input]],1)</f>
        <v>L</v>
      </c>
      <c r="C3280">
        <f>_xlfn.LET(_xlpm.steps,SUBSTITUTE(Table13[[#This Row],[Input]],Table13[[#This Row],[Direction]],""),VALUE(IF(LEN(_xlpm.steps)&gt;2,RIGHT(_xlpm.steps,2),_xlpm.steps)))</f>
        <v>76</v>
      </c>
      <c r="D3280">
        <f>_xlfn.LET(_xlpm.steps,SUBSTITUTE(Table13[[#This Row],[Input]],Table13[[#This Row],[Direction]],""),VALUE(IF(LEN(_xlpm.steps)&gt;2,LEFT(_xlpm.steps,LEN(_xlpm.steps)-2),0)))</f>
        <v>8</v>
      </c>
      <c r="E3280">
        <f>_xlfn.LET(_xlpm.dir,Table13[[#This Row],[Direction]],
IF(_xlpm.dir="L",
    IF(G3279-Table13[[#This Row],[Steps]]&lt;0,100+(G3279-Table13[[#This Row],[Steps]]),G3279-Table13[[#This Row],[Steps]]),
))</f>
        <v>0</v>
      </c>
      <c r="F3280">
        <f>_xlfn.LET(_xlpm.dir,Table13[[#This Row],[Direction]],
IF(_xlpm.dir="R",
    IF(G3279+Table13[[#This Row],[Steps]]&gt;99,(G3279+Table13[[#This Row],[Steps]])-100,G3279+Table13[[#This Row],[Steps]]),
))</f>
        <v>0</v>
      </c>
      <c r="G3280">
        <f>IF(Table13[[#This Row],[New Pos L]]&lt;&gt;0,Table13[[#This Row],[New Pos L]],Table13[[#This Row],[New Pos R]])</f>
        <v>0</v>
      </c>
      <c r="H3280">
        <f>IF(AND(Table13[[#This Row],[Direction]]="L",Table13[[#This Row],[Steps]]&gt;G3279,G3279&lt;&gt;0),1,0)</f>
        <v>0</v>
      </c>
      <c r="I3280">
        <f>IF(AND(Table13[[#This Row],[Direction]]="R",(G3279+Table13[[#This Row],[Steps]])&gt;100),1,0)</f>
        <v>0</v>
      </c>
      <c r="J3280">
        <f>IF(Table13[[#This Row],[POS]]=0,1,0)</f>
        <v>1</v>
      </c>
      <c r="K3280">
        <f>SUM(Table13[[#This Row],[prefix]],Table13[[#This Row],[Past zero L]],Table13[[#This Row],[Past Zero R]],Table13[[#This Row],[Is Zero]])</f>
        <v>9</v>
      </c>
    </row>
    <row r="3281" spans="1:11" ht="16" x14ac:dyDescent="0.2">
      <c r="A3281" s="1" t="s">
        <v>22</v>
      </c>
      <c r="B3281" t="str">
        <f>LEFT(Table13[[#This Row],[Input]],1)</f>
        <v>L</v>
      </c>
      <c r="C3281">
        <f>_xlfn.LET(_xlpm.steps,SUBSTITUTE(Table13[[#This Row],[Input]],Table13[[#This Row],[Direction]],""),VALUE(IF(LEN(_xlpm.steps)&gt;2,RIGHT(_xlpm.steps,2),_xlpm.steps)))</f>
        <v>37</v>
      </c>
      <c r="D3281">
        <f>_xlfn.LET(_xlpm.steps,SUBSTITUTE(Table13[[#This Row],[Input]],Table13[[#This Row],[Direction]],""),VALUE(IF(LEN(_xlpm.steps)&gt;2,LEFT(_xlpm.steps,LEN(_xlpm.steps)-2),0)))</f>
        <v>0</v>
      </c>
      <c r="E3281">
        <f>_xlfn.LET(_xlpm.dir,Table13[[#This Row],[Direction]],
IF(_xlpm.dir="L",
    IF(G3280-Table13[[#This Row],[Steps]]&lt;0,100+(G3280-Table13[[#This Row],[Steps]]),G3280-Table13[[#This Row],[Steps]]),
))</f>
        <v>63</v>
      </c>
      <c r="F3281">
        <f>_xlfn.LET(_xlpm.dir,Table13[[#This Row],[Direction]],
IF(_xlpm.dir="R",
    IF(G3280+Table13[[#This Row],[Steps]]&gt;99,(G3280+Table13[[#This Row],[Steps]])-100,G3280+Table13[[#This Row],[Steps]]),
))</f>
        <v>0</v>
      </c>
      <c r="G3281">
        <f>IF(Table13[[#This Row],[New Pos L]]&lt;&gt;0,Table13[[#This Row],[New Pos L]],Table13[[#This Row],[New Pos R]])</f>
        <v>63</v>
      </c>
      <c r="H3281">
        <f>IF(AND(Table13[[#This Row],[Direction]]="L",Table13[[#This Row],[Steps]]&gt;G3280,G3280&lt;&gt;0),1,0)</f>
        <v>0</v>
      </c>
      <c r="I3281">
        <f>IF(AND(Table13[[#This Row],[Direction]]="R",(G3280+Table13[[#This Row],[Steps]])&gt;100),1,0)</f>
        <v>0</v>
      </c>
      <c r="J3281">
        <f>IF(Table13[[#This Row],[POS]]=0,1,0)</f>
        <v>0</v>
      </c>
      <c r="K3281">
        <f>SUM(Table13[[#This Row],[prefix]],Table13[[#This Row],[Past zero L]],Table13[[#This Row],[Past Zero R]],Table13[[#This Row],[Is Zero]])</f>
        <v>0</v>
      </c>
    </row>
    <row r="3282" spans="1:11" ht="16" x14ac:dyDescent="0.2">
      <c r="A3282" s="1" t="s">
        <v>278</v>
      </c>
      <c r="B3282" t="str">
        <f>LEFT(Table13[[#This Row],[Input]],1)</f>
        <v>L</v>
      </c>
      <c r="C3282">
        <f>_xlfn.LET(_xlpm.steps,SUBSTITUTE(Table13[[#This Row],[Input]],Table13[[#This Row],[Direction]],""),VALUE(IF(LEN(_xlpm.steps)&gt;2,RIGHT(_xlpm.steps,2),_xlpm.steps)))</f>
        <v>40</v>
      </c>
      <c r="D3282">
        <f>_xlfn.LET(_xlpm.steps,SUBSTITUTE(Table13[[#This Row],[Input]],Table13[[#This Row],[Direction]],""),VALUE(IF(LEN(_xlpm.steps)&gt;2,LEFT(_xlpm.steps,LEN(_xlpm.steps)-2),0)))</f>
        <v>0</v>
      </c>
      <c r="E3282">
        <f>_xlfn.LET(_xlpm.dir,Table13[[#This Row],[Direction]],
IF(_xlpm.dir="L",
    IF(G3281-Table13[[#This Row],[Steps]]&lt;0,100+(G3281-Table13[[#This Row],[Steps]]),G3281-Table13[[#This Row],[Steps]]),
))</f>
        <v>23</v>
      </c>
      <c r="F3282">
        <f>_xlfn.LET(_xlpm.dir,Table13[[#This Row],[Direction]],
IF(_xlpm.dir="R",
    IF(G3281+Table13[[#This Row],[Steps]]&gt;99,(G3281+Table13[[#This Row],[Steps]])-100,G3281+Table13[[#This Row],[Steps]]),
))</f>
        <v>0</v>
      </c>
      <c r="G3282">
        <f>IF(Table13[[#This Row],[New Pos L]]&lt;&gt;0,Table13[[#This Row],[New Pos L]],Table13[[#This Row],[New Pos R]])</f>
        <v>23</v>
      </c>
      <c r="H3282">
        <f>IF(AND(Table13[[#This Row],[Direction]]="L",Table13[[#This Row],[Steps]]&gt;G3281,G3281&lt;&gt;0),1,0)</f>
        <v>0</v>
      </c>
      <c r="I3282">
        <f>IF(AND(Table13[[#This Row],[Direction]]="R",(G3281+Table13[[#This Row],[Steps]])&gt;100),1,0)</f>
        <v>0</v>
      </c>
      <c r="J3282">
        <f>IF(Table13[[#This Row],[POS]]=0,1,0)</f>
        <v>0</v>
      </c>
      <c r="K3282">
        <f>SUM(Table13[[#This Row],[prefix]],Table13[[#This Row],[Past zero L]],Table13[[#This Row],[Past Zero R]],Table13[[#This Row],[Is Zero]])</f>
        <v>0</v>
      </c>
    </row>
    <row r="3283" spans="1:11" ht="16" x14ac:dyDescent="0.2">
      <c r="A3283" s="1" t="s">
        <v>171</v>
      </c>
      <c r="B3283" t="str">
        <f>LEFT(Table13[[#This Row],[Input]],1)</f>
        <v>L</v>
      </c>
      <c r="C3283">
        <f>_xlfn.LET(_xlpm.steps,SUBSTITUTE(Table13[[#This Row],[Input]],Table13[[#This Row],[Direction]],""),VALUE(IF(LEN(_xlpm.steps)&gt;2,RIGHT(_xlpm.steps,2),_xlpm.steps)))</f>
        <v>73</v>
      </c>
      <c r="D3283">
        <f>_xlfn.LET(_xlpm.steps,SUBSTITUTE(Table13[[#This Row],[Input]],Table13[[#This Row],[Direction]],""),VALUE(IF(LEN(_xlpm.steps)&gt;2,LEFT(_xlpm.steps,LEN(_xlpm.steps)-2),0)))</f>
        <v>0</v>
      </c>
      <c r="E3283">
        <f>_xlfn.LET(_xlpm.dir,Table13[[#This Row],[Direction]],
IF(_xlpm.dir="L",
    IF(G3282-Table13[[#This Row],[Steps]]&lt;0,100+(G3282-Table13[[#This Row],[Steps]]),G3282-Table13[[#This Row],[Steps]]),
))</f>
        <v>50</v>
      </c>
      <c r="F3283">
        <f>_xlfn.LET(_xlpm.dir,Table13[[#This Row],[Direction]],
IF(_xlpm.dir="R",
    IF(G3282+Table13[[#This Row],[Steps]]&gt;99,(G3282+Table13[[#This Row],[Steps]])-100,G3282+Table13[[#This Row],[Steps]]),
))</f>
        <v>0</v>
      </c>
      <c r="G3283">
        <f>IF(Table13[[#This Row],[New Pos L]]&lt;&gt;0,Table13[[#This Row],[New Pos L]],Table13[[#This Row],[New Pos R]])</f>
        <v>50</v>
      </c>
      <c r="H3283">
        <f>IF(AND(Table13[[#This Row],[Direction]]="L",Table13[[#This Row],[Steps]]&gt;G3282,G3282&lt;&gt;0),1,0)</f>
        <v>1</v>
      </c>
      <c r="I3283">
        <f>IF(AND(Table13[[#This Row],[Direction]]="R",(G3282+Table13[[#This Row],[Steps]])&gt;100),1,0)</f>
        <v>0</v>
      </c>
      <c r="J3283">
        <f>IF(Table13[[#This Row],[POS]]=0,1,0)</f>
        <v>0</v>
      </c>
      <c r="K3283">
        <f>SUM(Table13[[#This Row],[prefix]],Table13[[#This Row],[Past zero L]],Table13[[#This Row],[Past Zero R]],Table13[[#This Row],[Is Zero]])</f>
        <v>1</v>
      </c>
    </row>
    <row r="3284" spans="1:11" ht="16" x14ac:dyDescent="0.2">
      <c r="A3284" s="1" t="s">
        <v>17</v>
      </c>
      <c r="B3284" t="str">
        <f>LEFT(Table13[[#This Row],[Input]],1)</f>
        <v>L</v>
      </c>
      <c r="C3284">
        <f>_xlfn.LET(_xlpm.steps,SUBSTITUTE(Table13[[#This Row],[Input]],Table13[[#This Row],[Direction]],""),VALUE(IF(LEN(_xlpm.steps)&gt;2,RIGHT(_xlpm.steps,2),_xlpm.steps)))</f>
        <v>50</v>
      </c>
      <c r="D3284">
        <f>_xlfn.LET(_xlpm.steps,SUBSTITUTE(Table13[[#This Row],[Input]],Table13[[#This Row],[Direction]],""),VALUE(IF(LEN(_xlpm.steps)&gt;2,LEFT(_xlpm.steps,LEN(_xlpm.steps)-2),0)))</f>
        <v>0</v>
      </c>
      <c r="E3284">
        <f>_xlfn.LET(_xlpm.dir,Table13[[#This Row],[Direction]],
IF(_xlpm.dir="L",
    IF(G3283-Table13[[#This Row],[Steps]]&lt;0,100+(G3283-Table13[[#This Row],[Steps]]),G3283-Table13[[#This Row],[Steps]]),
))</f>
        <v>0</v>
      </c>
      <c r="F3284">
        <f>_xlfn.LET(_xlpm.dir,Table13[[#This Row],[Direction]],
IF(_xlpm.dir="R",
    IF(G3283+Table13[[#This Row],[Steps]]&gt;99,(G3283+Table13[[#This Row],[Steps]])-100,G3283+Table13[[#This Row],[Steps]]),
))</f>
        <v>0</v>
      </c>
      <c r="G3284">
        <f>IF(Table13[[#This Row],[New Pos L]]&lt;&gt;0,Table13[[#This Row],[New Pos L]],Table13[[#This Row],[New Pos R]])</f>
        <v>0</v>
      </c>
      <c r="H3284">
        <f>IF(AND(Table13[[#This Row],[Direction]]="L",Table13[[#This Row],[Steps]]&gt;G3283,G3283&lt;&gt;0),1,0)</f>
        <v>0</v>
      </c>
      <c r="I3284">
        <f>IF(AND(Table13[[#This Row],[Direction]]="R",(G3283+Table13[[#This Row],[Steps]])&gt;100),1,0)</f>
        <v>0</v>
      </c>
      <c r="J3284">
        <f>IF(Table13[[#This Row],[POS]]=0,1,0)</f>
        <v>1</v>
      </c>
      <c r="K3284">
        <f>SUM(Table13[[#This Row],[prefix]],Table13[[#This Row],[Past zero L]],Table13[[#This Row],[Past Zero R]],Table13[[#This Row],[Is Zero]])</f>
        <v>1</v>
      </c>
    </row>
    <row r="3285" spans="1:11" ht="16" x14ac:dyDescent="0.2">
      <c r="A3285" s="1" t="s">
        <v>721</v>
      </c>
      <c r="B3285" t="str">
        <f>LEFT(Table13[[#This Row],[Input]],1)</f>
        <v>L</v>
      </c>
      <c r="C3285">
        <f>_xlfn.LET(_xlpm.steps,SUBSTITUTE(Table13[[#This Row],[Input]],Table13[[#This Row],[Direction]],""),VALUE(IF(LEN(_xlpm.steps)&gt;2,RIGHT(_xlpm.steps,2),_xlpm.steps)))</f>
        <v>20</v>
      </c>
      <c r="D3285">
        <f>_xlfn.LET(_xlpm.steps,SUBSTITUTE(Table13[[#This Row],[Input]],Table13[[#This Row],[Direction]],""),VALUE(IF(LEN(_xlpm.steps)&gt;2,LEFT(_xlpm.steps,LEN(_xlpm.steps)-2),0)))</f>
        <v>9</v>
      </c>
      <c r="E3285">
        <f>_xlfn.LET(_xlpm.dir,Table13[[#This Row],[Direction]],
IF(_xlpm.dir="L",
    IF(G3284-Table13[[#This Row],[Steps]]&lt;0,100+(G3284-Table13[[#This Row],[Steps]]),G3284-Table13[[#This Row],[Steps]]),
))</f>
        <v>80</v>
      </c>
      <c r="F3285">
        <f>_xlfn.LET(_xlpm.dir,Table13[[#This Row],[Direction]],
IF(_xlpm.dir="R",
    IF(G3284+Table13[[#This Row],[Steps]]&gt;99,(G3284+Table13[[#This Row],[Steps]])-100,G3284+Table13[[#This Row],[Steps]]),
))</f>
        <v>0</v>
      </c>
      <c r="G3285">
        <f>IF(Table13[[#This Row],[New Pos L]]&lt;&gt;0,Table13[[#This Row],[New Pos L]],Table13[[#This Row],[New Pos R]])</f>
        <v>80</v>
      </c>
      <c r="H3285">
        <f>IF(AND(Table13[[#This Row],[Direction]]="L",Table13[[#This Row],[Steps]]&gt;G3284,G3284&lt;&gt;0),1,0)</f>
        <v>0</v>
      </c>
      <c r="I3285">
        <f>IF(AND(Table13[[#This Row],[Direction]]="R",(G3284+Table13[[#This Row],[Steps]])&gt;100),1,0)</f>
        <v>0</v>
      </c>
      <c r="J3285">
        <f>IF(Table13[[#This Row],[POS]]=0,1,0)</f>
        <v>0</v>
      </c>
      <c r="K3285">
        <f>SUM(Table13[[#This Row],[prefix]],Table13[[#This Row],[Past zero L]],Table13[[#This Row],[Past Zero R]],Table13[[#This Row],[Is Zero]])</f>
        <v>9</v>
      </c>
    </row>
    <row r="3286" spans="1:11" ht="16" x14ac:dyDescent="0.2">
      <c r="A3286" s="1" t="s">
        <v>140</v>
      </c>
      <c r="B3286" t="str">
        <f>LEFT(Table13[[#This Row],[Input]],1)</f>
        <v>L</v>
      </c>
      <c r="C3286">
        <f>_xlfn.LET(_xlpm.steps,SUBSTITUTE(Table13[[#This Row],[Input]],Table13[[#This Row],[Direction]],""),VALUE(IF(LEN(_xlpm.steps)&gt;2,RIGHT(_xlpm.steps,2),_xlpm.steps)))</f>
        <v>61</v>
      </c>
      <c r="D3286">
        <f>_xlfn.LET(_xlpm.steps,SUBSTITUTE(Table13[[#This Row],[Input]],Table13[[#This Row],[Direction]],""),VALUE(IF(LEN(_xlpm.steps)&gt;2,LEFT(_xlpm.steps,LEN(_xlpm.steps)-2),0)))</f>
        <v>0</v>
      </c>
      <c r="E3286">
        <f>_xlfn.LET(_xlpm.dir,Table13[[#This Row],[Direction]],
IF(_xlpm.dir="L",
    IF(G3285-Table13[[#This Row],[Steps]]&lt;0,100+(G3285-Table13[[#This Row],[Steps]]),G3285-Table13[[#This Row],[Steps]]),
))</f>
        <v>19</v>
      </c>
      <c r="F3286">
        <f>_xlfn.LET(_xlpm.dir,Table13[[#This Row],[Direction]],
IF(_xlpm.dir="R",
    IF(G3285+Table13[[#This Row],[Steps]]&gt;99,(G3285+Table13[[#This Row],[Steps]])-100,G3285+Table13[[#This Row],[Steps]]),
))</f>
        <v>0</v>
      </c>
      <c r="G3286">
        <f>IF(Table13[[#This Row],[New Pos L]]&lt;&gt;0,Table13[[#This Row],[New Pos L]],Table13[[#This Row],[New Pos R]])</f>
        <v>19</v>
      </c>
      <c r="H3286">
        <f>IF(AND(Table13[[#This Row],[Direction]]="L",Table13[[#This Row],[Steps]]&gt;G3285,G3285&lt;&gt;0),1,0)</f>
        <v>0</v>
      </c>
      <c r="I3286">
        <f>IF(AND(Table13[[#This Row],[Direction]]="R",(G3285+Table13[[#This Row],[Steps]])&gt;100),1,0)</f>
        <v>0</v>
      </c>
      <c r="J3286">
        <f>IF(Table13[[#This Row],[POS]]=0,1,0)</f>
        <v>0</v>
      </c>
      <c r="K3286">
        <f>SUM(Table13[[#This Row],[prefix]],Table13[[#This Row],[Past zero L]],Table13[[#This Row],[Past Zero R]],Table13[[#This Row],[Is Zero]])</f>
        <v>0</v>
      </c>
    </row>
    <row r="3287" spans="1:11" ht="16" x14ac:dyDescent="0.2">
      <c r="A3287" s="1" t="s">
        <v>48</v>
      </c>
      <c r="B3287" t="str">
        <f>LEFT(Table13[[#This Row],[Input]],1)</f>
        <v>R</v>
      </c>
      <c r="C3287">
        <f>_xlfn.LET(_xlpm.steps,SUBSTITUTE(Table13[[#This Row],[Input]],Table13[[#This Row],[Direction]],""),VALUE(IF(LEN(_xlpm.steps)&gt;2,RIGHT(_xlpm.steps,2),_xlpm.steps)))</f>
        <v>81</v>
      </c>
      <c r="D3287">
        <f>_xlfn.LET(_xlpm.steps,SUBSTITUTE(Table13[[#This Row],[Input]],Table13[[#This Row],[Direction]],""),VALUE(IF(LEN(_xlpm.steps)&gt;2,LEFT(_xlpm.steps,LEN(_xlpm.steps)-2),0)))</f>
        <v>0</v>
      </c>
      <c r="E3287">
        <f>_xlfn.LET(_xlpm.dir,Table13[[#This Row],[Direction]],
IF(_xlpm.dir="L",
    IF(G3286-Table13[[#This Row],[Steps]]&lt;0,100+(G3286-Table13[[#This Row],[Steps]]),G3286-Table13[[#This Row],[Steps]]),
))</f>
        <v>0</v>
      </c>
      <c r="F3287">
        <f>_xlfn.LET(_xlpm.dir,Table13[[#This Row],[Direction]],
IF(_xlpm.dir="R",
    IF(G3286+Table13[[#This Row],[Steps]]&gt;99,(G3286+Table13[[#This Row],[Steps]])-100,G3286+Table13[[#This Row],[Steps]]),
))</f>
        <v>0</v>
      </c>
      <c r="G3287">
        <f>IF(Table13[[#This Row],[New Pos L]]&lt;&gt;0,Table13[[#This Row],[New Pos L]],Table13[[#This Row],[New Pos R]])</f>
        <v>0</v>
      </c>
      <c r="H3287">
        <f>IF(AND(Table13[[#This Row],[Direction]]="L",Table13[[#This Row],[Steps]]&gt;G3286,G3286&lt;&gt;0),1,0)</f>
        <v>0</v>
      </c>
      <c r="I3287">
        <f>IF(AND(Table13[[#This Row],[Direction]]="R",(G3286+Table13[[#This Row],[Steps]])&gt;100),1,0)</f>
        <v>0</v>
      </c>
      <c r="J3287">
        <f>IF(Table13[[#This Row],[POS]]=0,1,0)</f>
        <v>1</v>
      </c>
      <c r="K3287">
        <f>SUM(Table13[[#This Row],[prefix]],Table13[[#This Row],[Past zero L]],Table13[[#This Row],[Past Zero R]],Table13[[#This Row],[Is Zero]])</f>
        <v>1</v>
      </c>
    </row>
    <row r="3288" spans="1:11" ht="16" x14ac:dyDescent="0.2">
      <c r="A3288" s="1" t="s">
        <v>191</v>
      </c>
      <c r="B3288" t="str">
        <f>LEFT(Table13[[#This Row],[Input]],1)</f>
        <v>L</v>
      </c>
      <c r="C3288">
        <f>_xlfn.LET(_xlpm.steps,SUBSTITUTE(Table13[[#This Row],[Input]],Table13[[#This Row],[Direction]],""),VALUE(IF(LEN(_xlpm.steps)&gt;2,RIGHT(_xlpm.steps,2),_xlpm.steps)))</f>
        <v>5</v>
      </c>
      <c r="D3288">
        <f>_xlfn.LET(_xlpm.steps,SUBSTITUTE(Table13[[#This Row],[Input]],Table13[[#This Row],[Direction]],""),VALUE(IF(LEN(_xlpm.steps)&gt;2,LEFT(_xlpm.steps,LEN(_xlpm.steps)-2),0)))</f>
        <v>0</v>
      </c>
      <c r="E3288">
        <f>_xlfn.LET(_xlpm.dir,Table13[[#This Row],[Direction]],
IF(_xlpm.dir="L",
    IF(G3287-Table13[[#This Row],[Steps]]&lt;0,100+(G3287-Table13[[#This Row],[Steps]]),G3287-Table13[[#This Row],[Steps]]),
))</f>
        <v>95</v>
      </c>
      <c r="F3288">
        <f>_xlfn.LET(_xlpm.dir,Table13[[#This Row],[Direction]],
IF(_xlpm.dir="R",
    IF(G3287+Table13[[#This Row],[Steps]]&gt;99,(G3287+Table13[[#This Row],[Steps]])-100,G3287+Table13[[#This Row],[Steps]]),
))</f>
        <v>0</v>
      </c>
      <c r="G3288">
        <f>IF(Table13[[#This Row],[New Pos L]]&lt;&gt;0,Table13[[#This Row],[New Pos L]],Table13[[#This Row],[New Pos R]])</f>
        <v>95</v>
      </c>
      <c r="H3288">
        <f>IF(AND(Table13[[#This Row],[Direction]]="L",Table13[[#This Row],[Steps]]&gt;G3287,G3287&lt;&gt;0),1,0)</f>
        <v>0</v>
      </c>
      <c r="I3288">
        <f>IF(AND(Table13[[#This Row],[Direction]]="R",(G3287+Table13[[#This Row],[Steps]])&gt;100),1,0)</f>
        <v>0</v>
      </c>
      <c r="J3288">
        <f>IF(Table13[[#This Row],[POS]]=0,1,0)</f>
        <v>0</v>
      </c>
      <c r="K3288">
        <f>SUM(Table13[[#This Row],[prefix]],Table13[[#This Row],[Past zero L]],Table13[[#This Row],[Past Zero R]],Table13[[#This Row],[Is Zero]])</f>
        <v>0</v>
      </c>
    </row>
    <row r="3289" spans="1:11" ht="16" x14ac:dyDescent="0.2">
      <c r="A3289" s="1" t="s">
        <v>134</v>
      </c>
      <c r="B3289" t="str">
        <f>LEFT(Table13[[#This Row],[Input]],1)</f>
        <v>L</v>
      </c>
      <c r="C3289">
        <f>_xlfn.LET(_xlpm.steps,SUBSTITUTE(Table13[[#This Row],[Input]],Table13[[#This Row],[Direction]],""),VALUE(IF(LEN(_xlpm.steps)&gt;2,RIGHT(_xlpm.steps,2),_xlpm.steps)))</f>
        <v>95</v>
      </c>
      <c r="D3289">
        <f>_xlfn.LET(_xlpm.steps,SUBSTITUTE(Table13[[#This Row],[Input]],Table13[[#This Row],[Direction]],""),VALUE(IF(LEN(_xlpm.steps)&gt;2,LEFT(_xlpm.steps,LEN(_xlpm.steps)-2),0)))</f>
        <v>0</v>
      </c>
      <c r="E3289">
        <f>_xlfn.LET(_xlpm.dir,Table13[[#This Row],[Direction]],
IF(_xlpm.dir="L",
    IF(G3288-Table13[[#This Row],[Steps]]&lt;0,100+(G3288-Table13[[#This Row],[Steps]]),G3288-Table13[[#This Row],[Steps]]),
))</f>
        <v>0</v>
      </c>
      <c r="F3289">
        <f>_xlfn.LET(_xlpm.dir,Table13[[#This Row],[Direction]],
IF(_xlpm.dir="R",
    IF(G3288+Table13[[#This Row],[Steps]]&gt;99,(G3288+Table13[[#This Row],[Steps]])-100,G3288+Table13[[#This Row],[Steps]]),
))</f>
        <v>0</v>
      </c>
      <c r="G3289">
        <f>IF(Table13[[#This Row],[New Pos L]]&lt;&gt;0,Table13[[#This Row],[New Pos L]],Table13[[#This Row],[New Pos R]])</f>
        <v>0</v>
      </c>
      <c r="H3289">
        <f>IF(AND(Table13[[#This Row],[Direction]]="L",Table13[[#This Row],[Steps]]&gt;G3288,G3288&lt;&gt;0),1,0)</f>
        <v>0</v>
      </c>
      <c r="I3289">
        <f>IF(AND(Table13[[#This Row],[Direction]]="R",(G3288+Table13[[#This Row],[Steps]])&gt;100),1,0)</f>
        <v>0</v>
      </c>
      <c r="J3289">
        <f>IF(Table13[[#This Row],[POS]]=0,1,0)</f>
        <v>1</v>
      </c>
      <c r="K3289">
        <f>SUM(Table13[[#This Row],[prefix]],Table13[[#This Row],[Past zero L]],Table13[[#This Row],[Past Zero R]],Table13[[#This Row],[Is Zero]])</f>
        <v>1</v>
      </c>
    </row>
    <row r="3290" spans="1:11" ht="16" x14ac:dyDescent="0.2">
      <c r="A3290" s="1" t="s">
        <v>182</v>
      </c>
      <c r="B3290" t="str">
        <f>LEFT(Table13[[#This Row],[Input]],1)</f>
        <v>L</v>
      </c>
      <c r="C3290">
        <f>_xlfn.LET(_xlpm.steps,SUBSTITUTE(Table13[[#This Row],[Input]],Table13[[#This Row],[Direction]],""),VALUE(IF(LEN(_xlpm.steps)&gt;2,RIGHT(_xlpm.steps,2),_xlpm.steps)))</f>
        <v>3</v>
      </c>
      <c r="D3290">
        <f>_xlfn.LET(_xlpm.steps,SUBSTITUTE(Table13[[#This Row],[Input]],Table13[[#This Row],[Direction]],""),VALUE(IF(LEN(_xlpm.steps)&gt;2,LEFT(_xlpm.steps,LEN(_xlpm.steps)-2),0)))</f>
        <v>0</v>
      </c>
      <c r="E3290">
        <f>_xlfn.LET(_xlpm.dir,Table13[[#This Row],[Direction]],
IF(_xlpm.dir="L",
    IF(G3289-Table13[[#This Row],[Steps]]&lt;0,100+(G3289-Table13[[#This Row],[Steps]]),G3289-Table13[[#This Row],[Steps]]),
))</f>
        <v>97</v>
      </c>
      <c r="F3290">
        <f>_xlfn.LET(_xlpm.dir,Table13[[#This Row],[Direction]],
IF(_xlpm.dir="R",
    IF(G3289+Table13[[#This Row],[Steps]]&gt;99,(G3289+Table13[[#This Row],[Steps]])-100,G3289+Table13[[#This Row],[Steps]]),
))</f>
        <v>0</v>
      </c>
      <c r="G3290">
        <f>IF(Table13[[#This Row],[New Pos L]]&lt;&gt;0,Table13[[#This Row],[New Pos L]],Table13[[#This Row],[New Pos R]])</f>
        <v>97</v>
      </c>
      <c r="H3290">
        <f>IF(AND(Table13[[#This Row],[Direction]]="L",Table13[[#This Row],[Steps]]&gt;G3289,G3289&lt;&gt;0),1,0)</f>
        <v>0</v>
      </c>
      <c r="I3290">
        <f>IF(AND(Table13[[#This Row],[Direction]]="R",(G3289+Table13[[#This Row],[Steps]])&gt;100),1,0)</f>
        <v>0</v>
      </c>
      <c r="J3290">
        <f>IF(Table13[[#This Row],[POS]]=0,1,0)</f>
        <v>0</v>
      </c>
      <c r="K3290">
        <f>SUM(Table13[[#This Row],[prefix]],Table13[[#This Row],[Past zero L]],Table13[[#This Row],[Past Zero R]],Table13[[#This Row],[Is Zero]])</f>
        <v>0</v>
      </c>
    </row>
    <row r="3291" spans="1:11" ht="16" x14ac:dyDescent="0.2">
      <c r="A3291" s="1" t="s">
        <v>357</v>
      </c>
      <c r="B3291" t="str">
        <f>LEFT(Table13[[#This Row],[Input]],1)</f>
        <v>R</v>
      </c>
      <c r="C3291">
        <f>_xlfn.LET(_xlpm.steps,SUBSTITUTE(Table13[[#This Row],[Input]],Table13[[#This Row],[Direction]],""),VALUE(IF(LEN(_xlpm.steps)&gt;2,RIGHT(_xlpm.steps,2),_xlpm.steps)))</f>
        <v>72</v>
      </c>
      <c r="D3291">
        <f>_xlfn.LET(_xlpm.steps,SUBSTITUTE(Table13[[#This Row],[Input]],Table13[[#This Row],[Direction]],""),VALUE(IF(LEN(_xlpm.steps)&gt;2,LEFT(_xlpm.steps,LEN(_xlpm.steps)-2),0)))</f>
        <v>0</v>
      </c>
      <c r="E3291">
        <f>_xlfn.LET(_xlpm.dir,Table13[[#This Row],[Direction]],
IF(_xlpm.dir="L",
    IF(G3290-Table13[[#This Row],[Steps]]&lt;0,100+(G3290-Table13[[#This Row],[Steps]]),G3290-Table13[[#This Row],[Steps]]),
))</f>
        <v>0</v>
      </c>
      <c r="F3291">
        <f>_xlfn.LET(_xlpm.dir,Table13[[#This Row],[Direction]],
IF(_xlpm.dir="R",
    IF(G3290+Table13[[#This Row],[Steps]]&gt;99,(G3290+Table13[[#This Row],[Steps]])-100,G3290+Table13[[#This Row],[Steps]]),
))</f>
        <v>69</v>
      </c>
      <c r="G3291">
        <f>IF(Table13[[#This Row],[New Pos L]]&lt;&gt;0,Table13[[#This Row],[New Pos L]],Table13[[#This Row],[New Pos R]])</f>
        <v>69</v>
      </c>
      <c r="H3291">
        <f>IF(AND(Table13[[#This Row],[Direction]]="L",Table13[[#This Row],[Steps]]&gt;G3290,G3290&lt;&gt;0),1,0)</f>
        <v>0</v>
      </c>
      <c r="I3291">
        <f>IF(AND(Table13[[#This Row],[Direction]]="R",(G3290+Table13[[#This Row],[Steps]])&gt;100),1,0)</f>
        <v>1</v>
      </c>
      <c r="J3291">
        <f>IF(Table13[[#This Row],[POS]]=0,1,0)</f>
        <v>0</v>
      </c>
      <c r="K3291">
        <f>SUM(Table13[[#This Row],[prefix]],Table13[[#This Row],[Past zero L]],Table13[[#This Row],[Past Zero R]],Table13[[#This Row],[Is Zero]])</f>
        <v>1</v>
      </c>
    </row>
    <row r="3292" spans="1:11" ht="16" x14ac:dyDescent="0.2">
      <c r="A3292" s="1" t="s">
        <v>50</v>
      </c>
      <c r="B3292" t="str">
        <f>LEFT(Table13[[#This Row],[Input]],1)</f>
        <v>R</v>
      </c>
      <c r="C3292">
        <f>_xlfn.LET(_xlpm.steps,SUBSTITUTE(Table13[[#This Row],[Input]],Table13[[#This Row],[Direction]],""),VALUE(IF(LEN(_xlpm.steps)&gt;2,RIGHT(_xlpm.steps,2),_xlpm.steps)))</f>
        <v>78</v>
      </c>
      <c r="D3292">
        <f>_xlfn.LET(_xlpm.steps,SUBSTITUTE(Table13[[#This Row],[Input]],Table13[[#This Row],[Direction]],""),VALUE(IF(LEN(_xlpm.steps)&gt;2,LEFT(_xlpm.steps,LEN(_xlpm.steps)-2),0)))</f>
        <v>0</v>
      </c>
      <c r="E3292">
        <f>_xlfn.LET(_xlpm.dir,Table13[[#This Row],[Direction]],
IF(_xlpm.dir="L",
    IF(G3291-Table13[[#This Row],[Steps]]&lt;0,100+(G3291-Table13[[#This Row],[Steps]]),G3291-Table13[[#This Row],[Steps]]),
))</f>
        <v>0</v>
      </c>
      <c r="F3292">
        <f>_xlfn.LET(_xlpm.dir,Table13[[#This Row],[Direction]],
IF(_xlpm.dir="R",
    IF(G3291+Table13[[#This Row],[Steps]]&gt;99,(G3291+Table13[[#This Row],[Steps]])-100,G3291+Table13[[#This Row],[Steps]]),
))</f>
        <v>47</v>
      </c>
      <c r="G3292">
        <f>IF(Table13[[#This Row],[New Pos L]]&lt;&gt;0,Table13[[#This Row],[New Pos L]],Table13[[#This Row],[New Pos R]])</f>
        <v>47</v>
      </c>
      <c r="H3292">
        <f>IF(AND(Table13[[#This Row],[Direction]]="L",Table13[[#This Row],[Steps]]&gt;G3291,G3291&lt;&gt;0),1,0)</f>
        <v>0</v>
      </c>
      <c r="I3292">
        <f>IF(AND(Table13[[#This Row],[Direction]]="R",(G3291+Table13[[#This Row],[Steps]])&gt;100),1,0)</f>
        <v>1</v>
      </c>
      <c r="J3292">
        <f>IF(Table13[[#This Row],[POS]]=0,1,0)</f>
        <v>0</v>
      </c>
      <c r="K3292">
        <f>SUM(Table13[[#This Row],[prefix]],Table13[[#This Row],[Past zero L]],Table13[[#This Row],[Past Zero R]],Table13[[#This Row],[Is Zero]])</f>
        <v>1</v>
      </c>
    </row>
    <row r="3293" spans="1:11" ht="16" x14ac:dyDescent="0.2">
      <c r="A3293" s="1" t="s">
        <v>41</v>
      </c>
      <c r="B3293" t="str">
        <f>LEFT(Table13[[#This Row],[Input]],1)</f>
        <v>L</v>
      </c>
      <c r="C3293">
        <f>_xlfn.LET(_xlpm.steps,SUBSTITUTE(Table13[[#This Row],[Input]],Table13[[#This Row],[Direction]],""),VALUE(IF(LEN(_xlpm.steps)&gt;2,RIGHT(_xlpm.steps,2),_xlpm.steps)))</f>
        <v>7</v>
      </c>
      <c r="D3293">
        <f>_xlfn.LET(_xlpm.steps,SUBSTITUTE(Table13[[#This Row],[Input]],Table13[[#This Row],[Direction]],""),VALUE(IF(LEN(_xlpm.steps)&gt;2,LEFT(_xlpm.steps,LEN(_xlpm.steps)-2),0)))</f>
        <v>0</v>
      </c>
      <c r="E3293">
        <f>_xlfn.LET(_xlpm.dir,Table13[[#This Row],[Direction]],
IF(_xlpm.dir="L",
    IF(G3292-Table13[[#This Row],[Steps]]&lt;0,100+(G3292-Table13[[#This Row],[Steps]]),G3292-Table13[[#This Row],[Steps]]),
))</f>
        <v>40</v>
      </c>
      <c r="F3293">
        <f>_xlfn.LET(_xlpm.dir,Table13[[#This Row],[Direction]],
IF(_xlpm.dir="R",
    IF(G3292+Table13[[#This Row],[Steps]]&gt;99,(G3292+Table13[[#This Row],[Steps]])-100,G3292+Table13[[#This Row],[Steps]]),
))</f>
        <v>0</v>
      </c>
      <c r="G3293">
        <f>IF(Table13[[#This Row],[New Pos L]]&lt;&gt;0,Table13[[#This Row],[New Pos L]],Table13[[#This Row],[New Pos R]])</f>
        <v>40</v>
      </c>
      <c r="H3293">
        <f>IF(AND(Table13[[#This Row],[Direction]]="L",Table13[[#This Row],[Steps]]&gt;G3292,G3292&lt;&gt;0),1,0)</f>
        <v>0</v>
      </c>
      <c r="I3293">
        <f>IF(AND(Table13[[#This Row],[Direction]]="R",(G3292+Table13[[#This Row],[Steps]])&gt;100),1,0)</f>
        <v>0</v>
      </c>
      <c r="J3293">
        <f>IF(Table13[[#This Row],[POS]]=0,1,0)</f>
        <v>0</v>
      </c>
      <c r="K3293">
        <f>SUM(Table13[[#This Row],[prefix]],Table13[[#This Row],[Past zero L]],Table13[[#This Row],[Past Zero R]],Table13[[#This Row],[Is Zero]])</f>
        <v>0</v>
      </c>
    </row>
    <row r="3294" spans="1:11" ht="16" x14ac:dyDescent="0.2">
      <c r="A3294" s="1" t="s">
        <v>563</v>
      </c>
      <c r="B3294" t="str">
        <f>LEFT(Table13[[#This Row],[Input]],1)</f>
        <v>R</v>
      </c>
      <c r="C3294">
        <f>_xlfn.LET(_xlpm.steps,SUBSTITUTE(Table13[[#This Row],[Input]],Table13[[#This Row],[Direction]],""),VALUE(IF(LEN(_xlpm.steps)&gt;2,RIGHT(_xlpm.steps,2),_xlpm.steps)))</f>
        <v>60</v>
      </c>
      <c r="D3294">
        <f>_xlfn.LET(_xlpm.steps,SUBSTITUTE(Table13[[#This Row],[Input]],Table13[[#This Row],[Direction]],""),VALUE(IF(LEN(_xlpm.steps)&gt;2,LEFT(_xlpm.steps,LEN(_xlpm.steps)-2),0)))</f>
        <v>9</v>
      </c>
      <c r="E3294">
        <f>_xlfn.LET(_xlpm.dir,Table13[[#This Row],[Direction]],
IF(_xlpm.dir="L",
    IF(G3293-Table13[[#This Row],[Steps]]&lt;0,100+(G3293-Table13[[#This Row],[Steps]]),G3293-Table13[[#This Row],[Steps]]),
))</f>
        <v>0</v>
      </c>
      <c r="F3294">
        <f>_xlfn.LET(_xlpm.dir,Table13[[#This Row],[Direction]],
IF(_xlpm.dir="R",
    IF(G3293+Table13[[#This Row],[Steps]]&gt;99,(G3293+Table13[[#This Row],[Steps]])-100,G3293+Table13[[#This Row],[Steps]]),
))</f>
        <v>0</v>
      </c>
      <c r="G3294">
        <f>IF(Table13[[#This Row],[New Pos L]]&lt;&gt;0,Table13[[#This Row],[New Pos L]],Table13[[#This Row],[New Pos R]])</f>
        <v>0</v>
      </c>
      <c r="H3294">
        <f>IF(AND(Table13[[#This Row],[Direction]]="L",Table13[[#This Row],[Steps]]&gt;G3293,G3293&lt;&gt;0),1,0)</f>
        <v>0</v>
      </c>
      <c r="I3294">
        <f>IF(AND(Table13[[#This Row],[Direction]]="R",(G3293+Table13[[#This Row],[Steps]])&gt;100),1,0)</f>
        <v>0</v>
      </c>
      <c r="J3294">
        <f>IF(Table13[[#This Row],[POS]]=0,1,0)</f>
        <v>1</v>
      </c>
      <c r="K3294">
        <f>SUM(Table13[[#This Row],[prefix]],Table13[[#This Row],[Past zero L]],Table13[[#This Row],[Past Zero R]],Table13[[#This Row],[Is Zero]])</f>
        <v>10</v>
      </c>
    </row>
    <row r="3295" spans="1:11" ht="16" x14ac:dyDescent="0.2">
      <c r="A3295" s="1" t="s">
        <v>195</v>
      </c>
      <c r="B3295" t="str">
        <f>LEFT(Table13[[#This Row],[Input]],1)</f>
        <v>R</v>
      </c>
      <c r="C3295">
        <f>_xlfn.LET(_xlpm.steps,SUBSTITUTE(Table13[[#This Row],[Input]],Table13[[#This Row],[Direction]],""),VALUE(IF(LEN(_xlpm.steps)&gt;2,RIGHT(_xlpm.steps,2),_xlpm.steps)))</f>
        <v>40</v>
      </c>
      <c r="D3295">
        <f>_xlfn.LET(_xlpm.steps,SUBSTITUTE(Table13[[#This Row],[Input]],Table13[[#This Row],[Direction]],""),VALUE(IF(LEN(_xlpm.steps)&gt;2,LEFT(_xlpm.steps,LEN(_xlpm.steps)-2),0)))</f>
        <v>0</v>
      </c>
      <c r="E3295">
        <f>_xlfn.LET(_xlpm.dir,Table13[[#This Row],[Direction]],
IF(_xlpm.dir="L",
    IF(G3294-Table13[[#This Row],[Steps]]&lt;0,100+(G3294-Table13[[#This Row],[Steps]]),G3294-Table13[[#This Row],[Steps]]),
))</f>
        <v>0</v>
      </c>
      <c r="F3295">
        <f>_xlfn.LET(_xlpm.dir,Table13[[#This Row],[Direction]],
IF(_xlpm.dir="R",
    IF(G3294+Table13[[#This Row],[Steps]]&gt;99,(G3294+Table13[[#This Row],[Steps]])-100,G3294+Table13[[#This Row],[Steps]]),
))</f>
        <v>40</v>
      </c>
      <c r="G3295">
        <f>IF(Table13[[#This Row],[New Pos L]]&lt;&gt;0,Table13[[#This Row],[New Pos L]],Table13[[#This Row],[New Pos R]])</f>
        <v>40</v>
      </c>
      <c r="H3295">
        <f>IF(AND(Table13[[#This Row],[Direction]]="L",Table13[[#This Row],[Steps]]&gt;G3294,G3294&lt;&gt;0),1,0)</f>
        <v>0</v>
      </c>
      <c r="I3295">
        <f>IF(AND(Table13[[#This Row],[Direction]]="R",(G3294+Table13[[#This Row],[Steps]])&gt;100),1,0)</f>
        <v>0</v>
      </c>
      <c r="J3295">
        <f>IF(Table13[[#This Row],[POS]]=0,1,0)</f>
        <v>0</v>
      </c>
      <c r="K3295">
        <f>SUM(Table13[[#This Row],[prefix]],Table13[[#This Row],[Past zero L]],Table13[[#This Row],[Past Zero R]],Table13[[#This Row],[Is Zero]])</f>
        <v>0</v>
      </c>
    </row>
    <row r="3296" spans="1:11" ht="16" x14ac:dyDescent="0.2">
      <c r="A3296" s="1" t="s">
        <v>386</v>
      </c>
      <c r="B3296" t="str">
        <f>LEFT(Table13[[#This Row],[Input]],1)</f>
        <v>R</v>
      </c>
      <c r="C3296">
        <f>_xlfn.LET(_xlpm.steps,SUBSTITUTE(Table13[[#This Row],[Input]],Table13[[#This Row],[Direction]],""),VALUE(IF(LEN(_xlpm.steps)&gt;2,RIGHT(_xlpm.steps,2),_xlpm.steps)))</f>
        <v>99</v>
      </c>
      <c r="D3296">
        <f>_xlfn.LET(_xlpm.steps,SUBSTITUTE(Table13[[#This Row],[Input]],Table13[[#This Row],[Direction]],""),VALUE(IF(LEN(_xlpm.steps)&gt;2,LEFT(_xlpm.steps,LEN(_xlpm.steps)-2),0)))</f>
        <v>9</v>
      </c>
      <c r="E3296">
        <f>_xlfn.LET(_xlpm.dir,Table13[[#This Row],[Direction]],
IF(_xlpm.dir="L",
    IF(G3295-Table13[[#This Row],[Steps]]&lt;0,100+(G3295-Table13[[#This Row],[Steps]]),G3295-Table13[[#This Row],[Steps]]),
))</f>
        <v>0</v>
      </c>
      <c r="F3296">
        <f>_xlfn.LET(_xlpm.dir,Table13[[#This Row],[Direction]],
IF(_xlpm.dir="R",
    IF(G3295+Table13[[#This Row],[Steps]]&gt;99,(G3295+Table13[[#This Row],[Steps]])-100,G3295+Table13[[#This Row],[Steps]]),
))</f>
        <v>39</v>
      </c>
      <c r="G3296">
        <f>IF(Table13[[#This Row],[New Pos L]]&lt;&gt;0,Table13[[#This Row],[New Pos L]],Table13[[#This Row],[New Pos R]])</f>
        <v>39</v>
      </c>
      <c r="H3296">
        <f>IF(AND(Table13[[#This Row],[Direction]]="L",Table13[[#This Row],[Steps]]&gt;G3295,G3295&lt;&gt;0),1,0)</f>
        <v>0</v>
      </c>
      <c r="I3296">
        <f>IF(AND(Table13[[#This Row],[Direction]]="R",(G3295+Table13[[#This Row],[Steps]])&gt;100),1,0)</f>
        <v>1</v>
      </c>
      <c r="J3296">
        <f>IF(Table13[[#This Row],[POS]]=0,1,0)</f>
        <v>0</v>
      </c>
      <c r="K3296">
        <f>SUM(Table13[[#This Row],[prefix]],Table13[[#This Row],[Past zero L]],Table13[[#This Row],[Past Zero R]],Table13[[#This Row],[Is Zero]])</f>
        <v>10</v>
      </c>
    </row>
    <row r="3297" spans="1:11" ht="16" x14ac:dyDescent="0.2">
      <c r="A3297" s="1" t="s">
        <v>722</v>
      </c>
      <c r="B3297" t="str">
        <f>LEFT(Table13[[#This Row],[Input]],1)</f>
        <v>L</v>
      </c>
      <c r="C3297">
        <f>_xlfn.LET(_xlpm.steps,SUBSTITUTE(Table13[[#This Row],[Input]],Table13[[#This Row],[Direction]],""),VALUE(IF(LEN(_xlpm.steps)&gt;2,RIGHT(_xlpm.steps,2),_xlpm.steps)))</f>
        <v>72</v>
      </c>
      <c r="D3297">
        <f>_xlfn.LET(_xlpm.steps,SUBSTITUTE(Table13[[#This Row],[Input]],Table13[[#This Row],[Direction]],""),VALUE(IF(LEN(_xlpm.steps)&gt;2,LEFT(_xlpm.steps,LEN(_xlpm.steps)-2),0)))</f>
        <v>2</v>
      </c>
      <c r="E3297">
        <f>_xlfn.LET(_xlpm.dir,Table13[[#This Row],[Direction]],
IF(_xlpm.dir="L",
    IF(G3296-Table13[[#This Row],[Steps]]&lt;0,100+(G3296-Table13[[#This Row],[Steps]]),G3296-Table13[[#This Row],[Steps]]),
))</f>
        <v>67</v>
      </c>
      <c r="F3297">
        <f>_xlfn.LET(_xlpm.dir,Table13[[#This Row],[Direction]],
IF(_xlpm.dir="R",
    IF(G3296+Table13[[#This Row],[Steps]]&gt;99,(G3296+Table13[[#This Row],[Steps]])-100,G3296+Table13[[#This Row],[Steps]]),
))</f>
        <v>0</v>
      </c>
      <c r="G3297">
        <f>IF(Table13[[#This Row],[New Pos L]]&lt;&gt;0,Table13[[#This Row],[New Pos L]],Table13[[#This Row],[New Pos R]])</f>
        <v>67</v>
      </c>
      <c r="H3297">
        <f>IF(AND(Table13[[#This Row],[Direction]]="L",Table13[[#This Row],[Steps]]&gt;G3296,G3296&lt;&gt;0),1,0)</f>
        <v>1</v>
      </c>
      <c r="I3297">
        <f>IF(AND(Table13[[#This Row],[Direction]]="R",(G3296+Table13[[#This Row],[Steps]])&gt;100),1,0)</f>
        <v>0</v>
      </c>
      <c r="J3297">
        <f>IF(Table13[[#This Row],[POS]]=0,1,0)</f>
        <v>0</v>
      </c>
      <c r="K3297">
        <f>SUM(Table13[[#This Row],[prefix]],Table13[[#This Row],[Past zero L]],Table13[[#This Row],[Past Zero R]],Table13[[#This Row],[Is Zero]])</f>
        <v>3</v>
      </c>
    </row>
    <row r="3298" spans="1:11" ht="16" x14ac:dyDescent="0.2">
      <c r="A3298" s="1" t="s">
        <v>136</v>
      </c>
      <c r="B3298" t="str">
        <f>LEFT(Table13[[#This Row],[Input]],1)</f>
        <v>L</v>
      </c>
      <c r="C3298">
        <f>_xlfn.LET(_xlpm.steps,SUBSTITUTE(Table13[[#This Row],[Input]],Table13[[#This Row],[Direction]],""),VALUE(IF(LEN(_xlpm.steps)&gt;2,RIGHT(_xlpm.steps,2),_xlpm.steps)))</f>
        <v>72</v>
      </c>
      <c r="D3298">
        <f>_xlfn.LET(_xlpm.steps,SUBSTITUTE(Table13[[#This Row],[Input]],Table13[[#This Row],[Direction]],""),VALUE(IF(LEN(_xlpm.steps)&gt;2,LEFT(_xlpm.steps,LEN(_xlpm.steps)-2),0)))</f>
        <v>0</v>
      </c>
      <c r="E3298">
        <f>_xlfn.LET(_xlpm.dir,Table13[[#This Row],[Direction]],
IF(_xlpm.dir="L",
    IF(G3297-Table13[[#This Row],[Steps]]&lt;0,100+(G3297-Table13[[#This Row],[Steps]]),G3297-Table13[[#This Row],[Steps]]),
))</f>
        <v>95</v>
      </c>
      <c r="F3298">
        <f>_xlfn.LET(_xlpm.dir,Table13[[#This Row],[Direction]],
IF(_xlpm.dir="R",
    IF(G3297+Table13[[#This Row],[Steps]]&gt;99,(G3297+Table13[[#This Row],[Steps]])-100,G3297+Table13[[#This Row],[Steps]]),
))</f>
        <v>0</v>
      </c>
      <c r="G3298">
        <f>IF(Table13[[#This Row],[New Pos L]]&lt;&gt;0,Table13[[#This Row],[New Pos L]],Table13[[#This Row],[New Pos R]])</f>
        <v>95</v>
      </c>
      <c r="H3298">
        <f>IF(AND(Table13[[#This Row],[Direction]]="L",Table13[[#This Row],[Steps]]&gt;G3297,G3297&lt;&gt;0),1,0)</f>
        <v>1</v>
      </c>
      <c r="I3298">
        <f>IF(AND(Table13[[#This Row],[Direction]]="R",(G3297+Table13[[#This Row],[Steps]])&gt;100),1,0)</f>
        <v>0</v>
      </c>
      <c r="J3298">
        <f>IF(Table13[[#This Row],[POS]]=0,1,0)</f>
        <v>0</v>
      </c>
      <c r="K3298">
        <f>SUM(Table13[[#This Row],[prefix]],Table13[[#This Row],[Past zero L]],Table13[[#This Row],[Past Zero R]],Table13[[#This Row],[Is Zero]])</f>
        <v>1</v>
      </c>
    </row>
    <row r="3299" spans="1:11" ht="16" x14ac:dyDescent="0.2">
      <c r="A3299" s="1" t="s">
        <v>723</v>
      </c>
      <c r="B3299" t="str">
        <f>LEFT(Table13[[#This Row],[Input]],1)</f>
        <v>L</v>
      </c>
      <c r="C3299">
        <f>_xlfn.LET(_xlpm.steps,SUBSTITUTE(Table13[[#This Row],[Input]],Table13[[#This Row],[Direction]],""),VALUE(IF(LEN(_xlpm.steps)&gt;2,RIGHT(_xlpm.steps,2),_xlpm.steps)))</f>
        <v>46</v>
      </c>
      <c r="D3299">
        <f>_xlfn.LET(_xlpm.steps,SUBSTITUTE(Table13[[#This Row],[Input]],Table13[[#This Row],[Direction]],""),VALUE(IF(LEN(_xlpm.steps)&gt;2,LEFT(_xlpm.steps,LEN(_xlpm.steps)-2),0)))</f>
        <v>3</v>
      </c>
      <c r="E3299">
        <f>_xlfn.LET(_xlpm.dir,Table13[[#This Row],[Direction]],
IF(_xlpm.dir="L",
    IF(G3298-Table13[[#This Row],[Steps]]&lt;0,100+(G3298-Table13[[#This Row],[Steps]]),G3298-Table13[[#This Row],[Steps]]),
))</f>
        <v>49</v>
      </c>
      <c r="F3299">
        <f>_xlfn.LET(_xlpm.dir,Table13[[#This Row],[Direction]],
IF(_xlpm.dir="R",
    IF(G3298+Table13[[#This Row],[Steps]]&gt;99,(G3298+Table13[[#This Row],[Steps]])-100,G3298+Table13[[#This Row],[Steps]]),
))</f>
        <v>0</v>
      </c>
      <c r="G3299">
        <f>IF(Table13[[#This Row],[New Pos L]]&lt;&gt;0,Table13[[#This Row],[New Pos L]],Table13[[#This Row],[New Pos R]])</f>
        <v>49</v>
      </c>
      <c r="H3299">
        <f>IF(AND(Table13[[#This Row],[Direction]]="L",Table13[[#This Row],[Steps]]&gt;G3298,G3298&lt;&gt;0),1,0)</f>
        <v>0</v>
      </c>
      <c r="I3299">
        <f>IF(AND(Table13[[#This Row],[Direction]]="R",(G3298+Table13[[#This Row],[Steps]])&gt;100),1,0)</f>
        <v>0</v>
      </c>
      <c r="J3299">
        <f>IF(Table13[[#This Row],[POS]]=0,1,0)</f>
        <v>0</v>
      </c>
      <c r="K3299">
        <f>SUM(Table13[[#This Row],[prefix]],Table13[[#This Row],[Past zero L]],Table13[[#This Row],[Past Zero R]],Table13[[#This Row],[Is Zero]])</f>
        <v>3</v>
      </c>
    </row>
    <row r="3300" spans="1:11" ht="16" x14ac:dyDescent="0.2">
      <c r="A3300" s="1" t="s">
        <v>267</v>
      </c>
      <c r="B3300" t="str">
        <f>LEFT(Table13[[#This Row],[Input]],1)</f>
        <v>L</v>
      </c>
      <c r="C3300">
        <f>_xlfn.LET(_xlpm.steps,SUBSTITUTE(Table13[[#This Row],[Input]],Table13[[#This Row],[Direction]],""),VALUE(IF(LEN(_xlpm.steps)&gt;2,RIGHT(_xlpm.steps,2),_xlpm.steps)))</f>
        <v>39</v>
      </c>
      <c r="D3300">
        <f>_xlfn.LET(_xlpm.steps,SUBSTITUTE(Table13[[#This Row],[Input]],Table13[[#This Row],[Direction]],""),VALUE(IF(LEN(_xlpm.steps)&gt;2,LEFT(_xlpm.steps,LEN(_xlpm.steps)-2),0)))</f>
        <v>0</v>
      </c>
      <c r="E3300">
        <f>_xlfn.LET(_xlpm.dir,Table13[[#This Row],[Direction]],
IF(_xlpm.dir="L",
    IF(G3299-Table13[[#This Row],[Steps]]&lt;0,100+(G3299-Table13[[#This Row],[Steps]]),G3299-Table13[[#This Row],[Steps]]),
))</f>
        <v>10</v>
      </c>
      <c r="F3300">
        <f>_xlfn.LET(_xlpm.dir,Table13[[#This Row],[Direction]],
IF(_xlpm.dir="R",
    IF(G3299+Table13[[#This Row],[Steps]]&gt;99,(G3299+Table13[[#This Row],[Steps]])-100,G3299+Table13[[#This Row],[Steps]]),
))</f>
        <v>0</v>
      </c>
      <c r="G3300">
        <f>IF(Table13[[#This Row],[New Pos L]]&lt;&gt;0,Table13[[#This Row],[New Pos L]],Table13[[#This Row],[New Pos R]])</f>
        <v>10</v>
      </c>
      <c r="H3300">
        <f>IF(AND(Table13[[#This Row],[Direction]]="L",Table13[[#This Row],[Steps]]&gt;G3299,G3299&lt;&gt;0),1,0)</f>
        <v>0</v>
      </c>
      <c r="I3300">
        <f>IF(AND(Table13[[#This Row],[Direction]]="R",(G3299+Table13[[#This Row],[Steps]])&gt;100),1,0)</f>
        <v>0</v>
      </c>
      <c r="J3300">
        <f>IF(Table13[[#This Row],[POS]]=0,1,0)</f>
        <v>0</v>
      </c>
      <c r="K3300">
        <f>SUM(Table13[[#This Row],[prefix]],Table13[[#This Row],[Past zero L]],Table13[[#This Row],[Past Zero R]],Table13[[#This Row],[Is Zero]])</f>
        <v>0</v>
      </c>
    </row>
    <row r="3301" spans="1:11" ht="16" x14ac:dyDescent="0.2">
      <c r="A3301" s="1" t="s">
        <v>16</v>
      </c>
      <c r="B3301" t="str">
        <f>LEFT(Table13[[#This Row],[Input]],1)</f>
        <v>L</v>
      </c>
      <c r="C3301">
        <f>_xlfn.LET(_xlpm.steps,SUBSTITUTE(Table13[[#This Row],[Input]],Table13[[#This Row],[Direction]],""),VALUE(IF(LEN(_xlpm.steps)&gt;2,RIGHT(_xlpm.steps,2),_xlpm.steps)))</f>
        <v>10</v>
      </c>
      <c r="D3301">
        <f>_xlfn.LET(_xlpm.steps,SUBSTITUTE(Table13[[#This Row],[Input]],Table13[[#This Row],[Direction]],""),VALUE(IF(LEN(_xlpm.steps)&gt;2,LEFT(_xlpm.steps,LEN(_xlpm.steps)-2),0)))</f>
        <v>0</v>
      </c>
      <c r="E3301">
        <f>_xlfn.LET(_xlpm.dir,Table13[[#This Row],[Direction]],
IF(_xlpm.dir="L",
    IF(G3300-Table13[[#This Row],[Steps]]&lt;0,100+(G3300-Table13[[#This Row],[Steps]]),G3300-Table13[[#This Row],[Steps]]),
))</f>
        <v>0</v>
      </c>
      <c r="F3301">
        <f>_xlfn.LET(_xlpm.dir,Table13[[#This Row],[Direction]],
IF(_xlpm.dir="R",
    IF(G3300+Table13[[#This Row],[Steps]]&gt;99,(G3300+Table13[[#This Row],[Steps]])-100,G3300+Table13[[#This Row],[Steps]]),
))</f>
        <v>0</v>
      </c>
      <c r="G3301">
        <f>IF(Table13[[#This Row],[New Pos L]]&lt;&gt;0,Table13[[#This Row],[New Pos L]],Table13[[#This Row],[New Pos R]])</f>
        <v>0</v>
      </c>
      <c r="H3301">
        <f>IF(AND(Table13[[#This Row],[Direction]]="L",Table13[[#This Row],[Steps]]&gt;G3300,G3300&lt;&gt;0),1,0)</f>
        <v>0</v>
      </c>
      <c r="I3301">
        <f>IF(AND(Table13[[#This Row],[Direction]]="R",(G3300+Table13[[#This Row],[Steps]])&gt;100),1,0)</f>
        <v>0</v>
      </c>
      <c r="J3301">
        <f>IF(Table13[[#This Row],[POS]]=0,1,0)</f>
        <v>1</v>
      </c>
      <c r="K3301">
        <f>SUM(Table13[[#This Row],[prefix]],Table13[[#This Row],[Past zero L]],Table13[[#This Row],[Past Zero R]],Table13[[#This Row],[Is Zero]])</f>
        <v>1</v>
      </c>
    </row>
    <row r="3302" spans="1:11" ht="16" x14ac:dyDescent="0.2">
      <c r="A3302" s="1" t="s">
        <v>126</v>
      </c>
      <c r="B3302" t="str">
        <f>LEFT(Table13[[#This Row],[Input]],1)</f>
        <v>R</v>
      </c>
      <c r="C3302">
        <f>_xlfn.LET(_xlpm.steps,SUBSTITUTE(Table13[[#This Row],[Input]],Table13[[#This Row],[Direction]],""),VALUE(IF(LEN(_xlpm.steps)&gt;2,RIGHT(_xlpm.steps,2),_xlpm.steps)))</f>
        <v>65</v>
      </c>
      <c r="D3302">
        <f>_xlfn.LET(_xlpm.steps,SUBSTITUTE(Table13[[#This Row],[Input]],Table13[[#This Row],[Direction]],""),VALUE(IF(LEN(_xlpm.steps)&gt;2,LEFT(_xlpm.steps,LEN(_xlpm.steps)-2),0)))</f>
        <v>0</v>
      </c>
      <c r="E3302">
        <f>_xlfn.LET(_xlpm.dir,Table13[[#This Row],[Direction]],
IF(_xlpm.dir="L",
    IF(G3301-Table13[[#This Row],[Steps]]&lt;0,100+(G3301-Table13[[#This Row],[Steps]]),G3301-Table13[[#This Row],[Steps]]),
))</f>
        <v>0</v>
      </c>
      <c r="F3302">
        <f>_xlfn.LET(_xlpm.dir,Table13[[#This Row],[Direction]],
IF(_xlpm.dir="R",
    IF(G3301+Table13[[#This Row],[Steps]]&gt;99,(G3301+Table13[[#This Row],[Steps]])-100,G3301+Table13[[#This Row],[Steps]]),
))</f>
        <v>65</v>
      </c>
      <c r="G3302">
        <f>IF(Table13[[#This Row],[New Pos L]]&lt;&gt;0,Table13[[#This Row],[New Pos L]],Table13[[#This Row],[New Pos R]])</f>
        <v>65</v>
      </c>
      <c r="H3302">
        <f>IF(AND(Table13[[#This Row],[Direction]]="L",Table13[[#This Row],[Steps]]&gt;G3301,G3301&lt;&gt;0),1,0)</f>
        <v>0</v>
      </c>
      <c r="I3302">
        <f>IF(AND(Table13[[#This Row],[Direction]]="R",(G3301+Table13[[#This Row],[Steps]])&gt;100),1,0)</f>
        <v>0</v>
      </c>
      <c r="J3302">
        <f>IF(Table13[[#This Row],[POS]]=0,1,0)</f>
        <v>0</v>
      </c>
      <c r="K3302">
        <f>SUM(Table13[[#This Row],[prefix]],Table13[[#This Row],[Past zero L]],Table13[[#This Row],[Past Zero R]],Table13[[#This Row],[Is Zero]])</f>
        <v>0</v>
      </c>
    </row>
    <row r="3303" spans="1:11" ht="16" x14ac:dyDescent="0.2">
      <c r="A3303" s="1" t="s">
        <v>724</v>
      </c>
      <c r="B3303" t="str">
        <f>LEFT(Table13[[#This Row],[Input]],1)</f>
        <v>L</v>
      </c>
      <c r="C3303">
        <f>_xlfn.LET(_xlpm.steps,SUBSTITUTE(Table13[[#This Row],[Input]],Table13[[#This Row],[Direction]],""),VALUE(IF(LEN(_xlpm.steps)&gt;2,RIGHT(_xlpm.steps,2),_xlpm.steps)))</f>
        <v>65</v>
      </c>
      <c r="D3303">
        <f>_xlfn.LET(_xlpm.steps,SUBSTITUTE(Table13[[#This Row],[Input]],Table13[[#This Row],[Direction]],""),VALUE(IF(LEN(_xlpm.steps)&gt;2,LEFT(_xlpm.steps,LEN(_xlpm.steps)-2),0)))</f>
        <v>7</v>
      </c>
      <c r="E3303">
        <f>_xlfn.LET(_xlpm.dir,Table13[[#This Row],[Direction]],
IF(_xlpm.dir="L",
    IF(G3302-Table13[[#This Row],[Steps]]&lt;0,100+(G3302-Table13[[#This Row],[Steps]]),G3302-Table13[[#This Row],[Steps]]),
))</f>
        <v>0</v>
      </c>
      <c r="F3303">
        <f>_xlfn.LET(_xlpm.dir,Table13[[#This Row],[Direction]],
IF(_xlpm.dir="R",
    IF(G3302+Table13[[#This Row],[Steps]]&gt;99,(G3302+Table13[[#This Row],[Steps]])-100,G3302+Table13[[#This Row],[Steps]]),
))</f>
        <v>0</v>
      </c>
      <c r="G3303">
        <f>IF(Table13[[#This Row],[New Pos L]]&lt;&gt;0,Table13[[#This Row],[New Pos L]],Table13[[#This Row],[New Pos R]])</f>
        <v>0</v>
      </c>
      <c r="H3303">
        <f>IF(AND(Table13[[#This Row],[Direction]]="L",Table13[[#This Row],[Steps]]&gt;G3302,G3302&lt;&gt;0),1,0)</f>
        <v>0</v>
      </c>
      <c r="I3303">
        <f>IF(AND(Table13[[#This Row],[Direction]]="R",(G3302+Table13[[#This Row],[Steps]])&gt;100),1,0)</f>
        <v>0</v>
      </c>
      <c r="J3303">
        <f>IF(Table13[[#This Row],[POS]]=0,1,0)</f>
        <v>1</v>
      </c>
      <c r="K3303">
        <f>SUM(Table13[[#This Row],[prefix]],Table13[[#This Row],[Past zero L]],Table13[[#This Row],[Past Zero R]],Table13[[#This Row],[Is Zero]])</f>
        <v>8</v>
      </c>
    </row>
    <row r="3304" spans="1:11" ht="16" x14ac:dyDescent="0.2">
      <c r="A3304" s="1" t="s">
        <v>179</v>
      </c>
      <c r="B3304" t="str">
        <f>LEFT(Table13[[#This Row],[Input]],1)</f>
        <v>L</v>
      </c>
      <c r="C3304">
        <f>_xlfn.LET(_xlpm.steps,SUBSTITUTE(Table13[[#This Row],[Input]],Table13[[#This Row],[Direction]],""),VALUE(IF(LEN(_xlpm.steps)&gt;2,RIGHT(_xlpm.steps,2),_xlpm.steps)))</f>
        <v>54</v>
      </c>
      <c r="D3304">
        <f>_xlfn.LET(_xlpm.steps,SUBSTITUTE(Table13[[#This Row],[Input]],Table13[[#This Row],[Direction]],""),VALUE(IF(LEN(_xlpm.steps)&gt;2,LEFT(_xlpm.steps,LEN(_xlpm.steps)-2),0)))</f>
        <v>0</v>
      </c>
      <c r="E3304">
        <f>_xlfn.LET(_xlpm.dir,Table13[[#This Row],[Direction]],
IF(_xlpm.dir="L",
    IF(G3303-Table13[[#This Row],[Steps]]&lt;0,100+(G3303-Table13[[#This Row],[Steps]]),G3303-Table13[[#This Row],[Steps]]),
))</f>
        <v>46</v>
      </c>
      <c r="F3304">
        <f>_xlfn.LET(_xlpm.dir,Table13[[#This Row],[Direction]],
IF(_xlpm.dir="R",
    IF(G3303+Table13[[#This Row],[Steps]]&gt;99,(G3303+Table13[[#This Row],[Steps]])-100,G3303+Table13[[#This Row],[Steps]]),
))</f>
        <v>0</v>
      </c>
      <c r="G3304">
        <f>IF(Table13[[#This Row],[New Pos L]]&lt;&gt;0,Table13[[#This Row],[New Pos L]],Table13[[#This Row],[New Pos R]])</f>
        <v>46</v>
      </c>
      <c r="H3304">
        <f>IF(AND(Table13[[#This Row],[Direction]]="L",Table13[[#This Row],[Steps]]&gt;G3303,G3303&lt;&gt;0),1,0)</f>
        <v>0</v>
      </c>
      <c r="I3304">
        <f>IF(AND(Table13[[#This Row],[Direction]]="R",(G3303+Table13[[#This Row],[Steps]])&gt;100),1,0)</f>
        <v>0</v>
      </c>
      <c r="J3304">
        <f>IF(Table13[[#This Row],[POS]]=0,1,0)</f>
        <v>0</v>
      </c>
      <c r="K3304">
        <f>SUM(Table13[[#This Row],[prefix]],Table13[[#This Row],[Past zero L]],Table13[[#This Row],[Past Zero R]],Table13[[#This Row],[Is Zero]])</f>
        <v>0</v>
      </c>
    </row>
    <row r="3305" spans="1:11" ht="16" x14ac:dyDescent="0.2">
      <c r="A3305" s="1" t="s">
        <v>616</v>
      </c>
      <c r="B3305" t="str">
        <f>LEFT(Table13[[#This Row],[Input]],1)</f>
        <v>R</v>
      </c>
      <c r="C3305">
        <f>_xlfn.LET(_xlpm.steps,SUBSTITUTE(Table13[[#This Row],[Input]],Table13[[#This Row],[Direction]],""),VALUE(IF(LEN(_xlpm.steps)&gt;2,RIGHT(_xlpm.steps,2),_xlpm.steps)))</f>
        <v>26</v>
      </c>
      <c r="D3305">
        <f>_xlfn.LET(_xlpm.steps,SUBSTITUTE(Table13[[#This Row],[Input]],Table13[[#This Row],[Direction]],""),VALUE(IF(LEN(_xlpm.steps)&gt;2,LEFT(_xlpm.steps,LEN(_xlpm.steps)-2),0)))</f>
        <v>2</v>
      </c>
      <c r="E3305">
        <f>_xlfn.LET(_xlpm.dir,Table13[[#This Row],[Direction]],
IF(_xlpm.dir="L",
    IF(G3304-Table13[[#This Row],[Steps]]&lt;0,100+(G3304-Table13[[#This Row],[Steps]]),G3304-Table13[[#This Row],[Steps]]),
))</f>
        <v>0</v>
      </c>
      <c r="F3305">
        <f>_xlfn.LET(_xlpm.dir,Table13[[#This Row],[Direction]],
IF(_xlpm.dir="R",
    IF(G3304+Table13[[#This Row],[Steps]]&gt;99,(G3304+Table13[[#This Row],[Steps]])-100,G3304+Table13[[#This Row],[Steps]]),
))</f>
        <v>72</v>
      </c>
      <c r="G3305">
        <f>IF(Table13[[#This Row],[New Pos L]]&lt;&gt;0,Table13[[#This Row],[New Pos L]],Table13[[#This Row],[New Pos R]])</f>
        <v>72</v>
      </c>
      <c r="H3305">
        <f>IF(AND(Table13[[#This Row],[Direction]]="L",Table13[[#This Row],[Steps]]&gt;G3304,G3304&lt;&gt;0),1,0)</f>
        <v>0</v>
      </c>
      <c r="I3305">
        <f>IF(AND(Table13[[#This Row],[Direction]]="R",(G3304+Table13[[#This Row],[Steps]])&gt;100),1,0)</f>
        <v>0</v>
      </c>
      <c r="J3305">
        <f>IF(Table13[[#This Row],[POS]]=0,1,0)</f>
        <v>0</v>
      </c>
      <c r="K3305">
        <f>SUM(Table13[[#This Row],[prefix]],Table13[[#This Row],[Past zero L]],Table13[[#This Row],[Past Zero R]],Table13[[#This Row],[Is Zero]])</f>
        <v>2</v>
      </c>
    </row>
    <row r="3306" spans="1:11" ht="16" x14ac:dyDescent="0.2">
      <c r="A3306" s="1" t="s">
        <v>26</v>
      </c>
      <c r="B3306" t="str">
        <f>LEFT(Table13[[#This Row],[Input]],1)</f>
        <v>R</v>
      </c>
      <c r="C3306">
        <f>_xlfn.LET(_xlpm.steps,SUBSTITUTE(Table13[[#This Row],[Input]],Table13[[#This Row],[Direction]],""),VALUE(IF(LEN(_xlpm.steps)&gt;2,RIGHT(_xlpm.steps,2),_xlpm.steps)))</f>
        <v>6</v>
      </c>
      <c r="D3306">
        <f>_xlfn.LET(_xlpm.steps,SUBSTITUTE(Table13[[#This Row],[Input]],Table13[[#This Row],[Direction]],""),VALUE(IF(LEN(_xlpm.steps)&gt;2,LEFT(_xlpm.steps,LEN(_xlpm.steps)-2),0)))</f>
        <v>0</v>
      </c>
      <c r="E3306">
        <f>_xlfn.LET(_xlpm.dir,Table13[[#This Row],[Direction]],
IF(_xlpm.dir="L",
    IF(G3305-Table13[[#This Row],[Steps]]&lt;0,100+(G3305-Table13[[#This Row],[Steps]]),G3305-Table13[[#This Row],[Steps]]),
))</f>
        <v>0</v>
      </c>
      <c r="F3306">
        <f>_xlfn.LET(_xlpm.dir,Table13[[#This Row],[Direction]],
IF(_xlpm.dir="R",
    IF(G3305+Table13[[#This Row],[Steps]]&gt;99,(G3305+Table13[[#This Row],[Steps]])-100,G3305+Table13[[#This Row],[Steps]]),
))</f>
        <v>78</v>
      </c>
      <c r="G3306">
        <f>IF(Table13[[#This Row],[New Pos L]]&lt;&gt;0,Table13[[#This Row],[New Pos L]],Table13[[#This Row],[New Pos R]])</f>
        <v>78</v>
      </c>
      <c r="H3306">
        <f>IF(AND(Table13[[#This Row],[Direction]]="L",Table13[[#This Row],[Steps]]&gt;G3305,G3305&lt;&gt;0),1,0)</f>
        <v>0</v>
      </c>
      <c r="I3306">
        <f>IF(AND(Table13[[#This Row],[Direction]]="R",(G3305+Table13[[#This Row],[Steps]])&gt;100),1,0)</f>
        <v>0</v>
      </c>
      <c r="J3306">
        <f>IF(Table13[[#This Row],[POS]]=0,1,0)</f>
        <v>0</v>
      </c>
      <c r="K3306">
        <f>SUM(Table13[[#This Row],[prefix]],Table13[[#This Row],[Past zero L]],Table13[[#This Row],[Past Zero R]],Table13[[#This Row],[Is Zero]])</f>
        <v>0</v>
      </c>
    </row>
    <row r="3307" spans="1:11" ht="16" x14ac:dyDescent="0.2">
      <c r="A3307" s="1" t="s">
        <v>95</v>
      </c>
      <c r="B3307" t="str">
        <f>LEFT(Table13[[#This Row],[Input]],1)</f>
        <v>L</v>
      </c>
      <c r="C3307">
        <f>_xlfn.LET(_xlpm.steps,SUBSTITUTE(Table13[[#This Row],[Input]],Table13[[#This Row],[Direction]],""),VALUE(IF(LEN(_xlpm.steps)&gt;2,RIGHT(_xlpm.steps,2),_xlpm.steps)))</f>
        <v>78</v>
      </c>
      <c r="D3307">
        <f>_xlfn.LET(_xlpm.steps,SUBSTITUTE(Table13[[#This Row],[Input]],Table13[[#This Row],[Direction]],""),VALUE(IF(LEN(_xlpm.steps)&gt;2,LEFT(_xlpm.steps,LEN(_xlpm.steps)-2),0)))</f>
        <v>0</v>
      </c>
      <c r="E3307">
        <f>_xlfn.LET(_xlpm.dir,Table13[[#This Row],[Direction]],
IF(_xlpm.dir="L",
    IF(G3306-Table13[[#This Row],[Steps]]&lt;0,100+(G3306-Table13[[#This Row],[Steps]]),G3306-Table13[[#This Row],[Steps]]),
))</f>
        <v>0</v>
      </c>
      <c r="F3307">
        <f>_xlfn.LET(_xlpm.dir,Table13[[#This Row],[Direction]],
IF(_xlpm.dir="R",
    IF(G3306+Table13[[#This Row],[Steps]]&gt;99,(G3306+Table13[[#This Row],[Steps]])-100,G3306+Table13[[#This Row],[Steps]]),
))</f>
        <v>0</v>
      </c>
      <c r="G3307">
        <f>IF(Table13[[#This Row],[New Pos L]]&lt;&gt;0,Table13[[#This Row],[New Pos L]],Table13[[#This Row],[New Pos R]])</f>
        <v>0</v>
      </c>
      <c r="H3307">
        <f>IF(AND(Table13[[#This Row],[Direction]]="L",Table13[[#This Row],[Steps]]&gt;G3306,G3306&lt;&gt;0),1,0)</f>
        <v>0</v>
      </c>
      <c r="I3307">
        <f>IF(AND(Table13[[#This Row],[Direction]]="R",(G3306+Table13[[#This Row],[Steps]])&gt;100),1,0)</f>
        <v>0</v>
      </c>
      <c r="J3307">
        <f>IF(Table13[[#This Row],[POS]]=0,1,0)</f>
        <v>1</v>
      </c>
      <c r="K3307">
        <f>SUM(Table13[[#This Row],[prefix]],Table13[[#This Row],[Past zero L]],Table13[[#This Row],[Past Zero R]],Table13[[#This Row],[Is Zero]])</f>
        <v>1</v>
      </c>
    </row>
    <row r="3308" spans="1:11" ht="16" x14ac:dyDescent="0.2">
      <c r="A3308" s="1" t="s">
        <v>276</v>
      </c>
      <c r="B3308" t="str">
        <f>LEFT(Table13[[#This Row],[Input]],1)</f>
        <v>L</v>
      </c>
      <c r="C3308">
        <f>_xlfn.LET(_xlpm.steps,SUBSTITUTE(Table13[[#This Row],[Input]],Table13[[#This Row],[Direction]],""),VALUE(IF(LEN(_xlpm.steps)&gt;2,RIGHT(_xlpm.steps,2),_xlpm.steps)))</f>
        <v>60</v>
      </c>
      <c r="D3308">
        <f>_xlfn.LET(_xlpm.steps,SUBSTITUTE(Table13[[#This Row],[Input]],Table13[[#This Row],[Direction]],""),VALUE(IF(LEN(_xlpm.steps)&gt;2,LEFT(_xlpm.steps,LEN(_xlpm.steps)-2),0)))</f>
        <v>0</v>
      </c>
      <c r="E3308">
        <f>_xlfn.LET(_xlpm.dir,Table13[[#This Row],[Direction]],
IF(_xlpm.dir="L",
    IF(G3307-Table13[[#This Row],[Steps]]&lt;0,100+(G3307-Table13[[#This Row],[Steps]]),G3307-Table13[[#This Row],[Steps]]),
))</f>
        <v>40</v>
      </c>
      <c r="F3308">
        <f>_xlfn.LET(_xlpm.dir,Table13[[#This Row],[Direction]],
IF(_xlpm.dir="R",
    IF(G3307+Table13[[#This Row],[Steps]]&gt;99,(G3307+Table13[[#This Row],[Steps]])-100,G3307+Table13[[#This Row],[Steps]]),
))</f>
        <v>0</v>
      </c>
      <c r="G3308">
        <f>IF(Table13[[#This Row],[New Pos L]]&lt;&gt;0,Table13[[#This Row],[New Pos L]],Table13[[#This Row],[New Pos R]])</f>
        <v>40</v>
      </c>
      <c r="H3308">
        <f>IF(AND(Table13[[#This Row],[Direction]]="L",Table13[[#This Row],[Steps]]&gt;G3307,G3307&lt;&gt;0),1,0)</f>
        <v>0</v>
      </c>
      <c r="I3308">
        <f>IF(AND(Table13[[#This Row],[Direction]]="R",(G3307+Table13[[#This Row],[Steps]])&gt;100),1,0)</f>
        <v>0</v>
      </c>
      <c r="J3308">
        <f>IF(Table13[[#This Row],[POS]]=0,1,0)</f>
        <v>0</v>
      </c>
      <c r="K3308">
        <f>SUM(Table13[[#This Row],[prefix]],Table13[[#This Row],[Past zero L]],Table13[[#This Row],[Past Zero R]],Table13[[#This Row],[Is Zero]])</f>
        <v>0</v>
      </c>
    </row>
    <row r="3309" spans="1:11" ht="16" x14ac:dyDescent="0.2">
      <c r="A3309" s="1" t="s">
        <v>137</v>
      </c>
      <c r="B3309" t="str">
        <f>LEFT(Table13[[#This Row],[Input]],1)</f>
        <v>R</v>
      </c>
      <c r="C3309">
        <f>_xlfn.LET(_xlpm.steps,SUBSTITUTE(Table13[[#This Row],[Input]],Table13[[#This Row],[Direction]],""),VALUE(IF(LEN(_xlpm.steps)&gt;2,RIGHT(_xlpm.steps,2),_xlpm.steps)))</f>
        <v>28</v>
      </c>
      <c r="D3309">
        <f>_xlfn.LET(_xlpm.steps,SUBSTITUTE(Table13[[#This Row],[Input]],Table13[[#This Row],[Direction]],""),VALUE(IF(LEN(_xlpm.steps)&gt;2,LEFT(_xlpm.steps,LEN(_xlpm.steps)-2),0)))</f>
        <v>0</v>
      </c>
      <c r="E3309">
        <f>_xlfn.LET(_xlpm.dir,Table13[[#This Row],[Direction]],
IF(_xlpm.dir="L",
    IF(G3308-Table13[[#This Row],[Steps]]&lt;0,100+(G3308-Table13[[#This Row],[Steps]]),G3308-Table13[[#This Row],[Steps]]),
))</f>
        <v>0</v>
      </c>
      <c r="F3309">
        <f>_xlfn.LET(_xlpm.dir,Table13[[#This Row],[Direction]],
IF(_xlpm.dir="R",
    IF(G3308+Table13[[#This Row],[Steps]]&gt;99,(G3308+Table13[[#This Row],[Steps]])-100,G3308+Table13[[#This Row],[Steps]]),
))</f>
        <v>68</v>
      </c>
      <c r="G3309">
        <f>IF(Table13[[#This Row],[New Pos L]]&lt;&gt;0,Table13[[#This Row],[New Pos L]],Table13[[#This Row],[New Pos R]])</f>
        <v>68</v>
      </c>
      <c r="H3309">
        <f>IF(AND(Table13[[#This Row],[Direction]]="L",Table13[[#This Row],[Steps]]&gt;G3308,G3308&lt;&gt;0),1,0)</f>
        <v>0</v>
      </c>
      <c r="I3309">
        <f>IF(AND(Table13[[#This Row],[Direction]]="R",(G3308+Table13[[#This Row],[Steps]])&gt;100),1,0)</f>
        <v>0</v>
      </c>
      <c r="J3309">
        <f>IF(Table13[[#This Row],[POS]]=0,1,0)</f>
        <v>0</v>
      </c>
      <c r="K3309">
        <f>SUM(Table13[[#This Row],[prefix]],Table13[[#This Row],[Past zero L]],Table13[[#This Row],[Past Zero R]],Table13[[#This Row],[Is Zero]])</f>
        <v>0</v>
      </c>
    </row>
    <row r="3310" spans="1:11" ht="16" x14ac:dyDescent="0.2">
      <c r="A3310" s="1" t="s">
        <v>272</v>
      </c>
      <c r="B3310" t="str">
        <f>LEFT(Table13[[#This Row],[Input]],1)</f>
        <v>R</v>
      </c>
      <c r="C3310">
        <f>_xlfn.LET(_xlpm.steps,SUBSTITUTE(Table13[[#This Row],[Input]],Table13[[#This Row],[Direction]],""),VALUE(IF(LEN(_xlpm.steps)&gt;2,RIGHT(_xlpm.steps,2),_xlpm.steps)))</f>
        <v>56</v>
      </c>
      <c r="D3310">
        <f>_xlfn.LET(_xlpm.steps,SUBSTITUTE(Table13[[#This Row],[Input]],Table13[[#This Row],[Direction]],""),VALUE(IF(LEN(_xlpm.steps)&gt;2,LEFT(_xlpm.steps,LEN(_xlpm.steps)-2),0)))</f>
        <v>0</v>
      </c>
      <c r="E3310">
        <f>_xlfn.LET(_xlpm.dir,Table13[[#This Row],[Direction]],
IF(_xlpm.dir="L",
    IF(G3309-Table13[[#This Row],[Steps]]&lt;0,100+(G3309-Table13[[#This Row],[Steps]]),G3309-Table13[[#This Row],[Steps]]),
))</f>
        <v>0</v>
      </c>
      <c r="F3310">
        <f>_xlfn.LET(_xlpm.dir,Table13[[#This Row],[Direction]],
IF(_xlpm.dir="R",
    IF(G3309+Table13[[#This Row],[Steps]]&gt;99,(G3309+Table13[[#This Row],[Steps]])-100,G3309+Table13[[#This Row],[Steps]]),
))</f>
        <v>24</v>
      </c>
      <c r="G3310">
        <f>IF(Table13[[#This Row],[New Pos L]]&lt;&gt;0,Table13[[#This Row],[New Pos L]],Table13[[#This Row],[New Pos R]])</f>
        <v>24</v>
      </c>
      <c r="H3310">
        <f>IF(AND(Table13[[#This Row],[Direction]]="L",Table13[[#This Row],[Steps]]&gt;G3309,G3309&lt;&gt;0),1,0)</f>
        <v>0</v>
      </c>
      <c r="I3310">
        <f>IF(AND(Table13[[#This Row],[Direction]]="R",(G3309+Table13[[#This Row],[Steps]])&gt;100),1,0)</f>
        <v>1</v>
      </c>
      <c r="J3310">
        <f>IF(Table13[[#This Row],[POS]]=0,1,0)</f>
        <v>0</v>
      </c>
      <c r="K3310">
        <f>SUM(Table13[[#This Row],[prefix]],Table13[[#This Row],[Past zero L]],Table13[[#This Row],[Past Zero R]],Table13[[#This Row],[Is Zero]])</f>
        <v>1</v>
      </c>
    </row>
    <row r="3311" spans="1:11" ht="16" x14ac:dyDescent="0.2">
      <c r="A3311" s="1" t="s">
        <v>725</v>
      </c>
      <c r="B3311" t="str">
        <f>LEFT(Table13[[#This Row],[Input]],1)</f>
        <v>R</v>
      </c>
      <c r="C3311">
        <f>_xlfn.LET(_xlpm.steps,SUBSTITUTE(Table13[[#This Row],[Input]],Table13[[#This Row],[Direction]],""),VALUE(IF(LEN(_xlpm.steps)&gt;2,RIGHT(_xlpm.steps,2),_xlpm.steps)))</f>
        <v>76</v>
      </c>
      <c r="D3311">
        <f>_xlfn.LET(_xlpm.steps,SUBSTITUTE(Table13[[#This Row],[Input]],Table13[[#This Row],[Direction]],""),VALUE(IF(LEN(_xlpm.steps)&gt;2,LEFT(_xlpm.steps,LEN(_xlpm.steps)-2),0)))</f>
        <v>3</v>
      </c>
      <c r="E3311">
        <f>_xlfn.LET(_xlpm.dir,Table13[[#This Row],[Direction]],
IF(_xlpm.dir="L",
    IF(G3310-Table13[[#This Row],[Steps]]&lt;0,100+(G3310-Table13[[#This Row],[Steps]]),G3310-Table13[[#This Row],[Steps]]),
))</f>
        <v>0</v>
      </c>
      <c r="F3311">
        <f>_xlfn.LET(_xlpm.dir,Table13[[#This Row],[Direction]],
IF(_xlpm.dir="R",
    IF(G3310+Table13[[#This Row],[Steps]]&gt;99,(G3310+Table13[[#This Row],[Steps]])-100,G3310+Table13[[#This Row],[Steps]]),
))</f>
        <v>0</v>
      </c>
      <c r="G3311">
        <f>IF(Table13[[#This Row],[New Pos L]]&lt;&gt;0,Table13[[#This Row],[New Pos L]],Table13[[#This Row],[New Pos R]])</f>
        <v>0</v>
      </c>
      <c r="H3311">
        <f>IF(AND(Table13[[#This Row],[Direction]]="L",Table13[[#This Row],[Steps]]&gt;G3310,G3310&lt;&gt;0),1,0)</f>
        <v>0</v>
      </c>
      <c r="I3311">
        <f>IF(AND(Table13[[#This Row],[Direction]]="R",(G3310+Table13[[#This Row],[Steps]])&gt;100),1,0)</f>
        <v>0</v>
      </c>
      <c r="J3311">
        <f>IF(Table13[[#This Row],[POS]]=0,1,0)</f>
        <v>1</v>
      </c>
      <c r="K3311">
        <f>SUM(Table13[[#This Row],[prefix]],Table13[[#This Row],[Past zero L]],Table13[[#This Row],[Past Zero R]],Table13[[#This Row],[Is Zero]])</f>
        <v>4</v>
      </c>
    </row>
    <row r="3312" spans="1:11" ht="16" x14ac:dyDescent="0.2">
      <c r="A3312" s="1" t="s">
        <v>6</v>
      </c>
      <c r="B3312" t="str">
        <f>LEFT(Table13[[#This Row],[Input]],1)</f>
        <v>R</v>
      </c>
      <c r="C3312">
        <f>_xlfn.LET(_xlpm.steps,SUBSTITUTE(Table13[[#This Row],[Input]],Table13[[#This Row],[Direction]],""),VALUE(IF(LEN(_xlpm.steps)&gt;2,RIGHT(_xlpm.steps,2),_xlpm.steps)))</f>
        <v>49</v>
      </c>
      <c r="D3312">
        <f>_xlfn.LET(_xlpm.steps,SUBSTITUTE(Table13[[#This Row],[Input]],Table13[[#This Row],[Direction]],""),VALUE(IF(LEN(_xlpm.steps)&gt;2,LEFT(_xlpm.steps,LEN(_xlpm.steps)-2),0)))</f>
        <v>0</v>
      </c>
      <c r="E3312">
        <f>_xlfn.LET(_xlpm.dir,Table13[[#This Row],[Direction]],
IF(_xlpm.dir="L",
    IF(G3311-Table13[[#This Row],[Steps]]&lt;0,100+(G3311-Table13[[#This Row],[Steps]]),G3311-Table13[[#This Row],[Steps]]),
))</f>
        <v>0</v>
      </c>
      <c r="F3312">
        <f>_xlfn.LET(_xlpm.dir,Table13[[#This Row],[Direction]],
IF(_xlpm.dir="R",
    IF(G3311+Table13[[#This Row],[Steps]]&gt;99,(G3311+Table13[[#This Row],[Steps]])-100,G3311+Table13[[#This Row],[Steps]]),
))</f>
        <v>49</v>
      </c>
      <c r="G3312">
        <f>IF(Table13[[#This Row],[New Pos L]]&lt;&gt;0,Table13[[#This Row],[New Pos L]],Table13[[#This Row],[New Pos R]])</f>
        <v>49</v>
      </c>
      <c r="H3312">
        <f>IF(AND(Table13[[#This Row],[Direction]]="L",Table13[[#This Row],[Steps]]&gt;G3311,G3311&lt;&gt;0),1,0)</f>
        <v>0</v>
      </c>
      <c r="I3312">
        <f>IF(AND(Table13[[#This Row],[Direction]]="R",(G3311+Table13[[#This Row],[Steps]])&gt;100),1,0)</f>
        <v>0</v>
      </c>
      <c r="J3312">
        <f>IF(Table13[[#This Row],[POS]]=0,1,0)</f>
        <v>0</v>
      </c>
      <c r="K3312">
        <f>SUM(Table13[[#This Row],[prefix]],Table13[[#This Row],[Past zero L]],Table13[[#This Row],[Past Zero R]],Table13[[#This Row],[Is Zero]])</f>
        <v>0</v>
      </c>
    </row>
    <row r="3313" spans="1:11" ht="16" x14ac:dyDescent="0.2">
      <c r="A3313" s="1" t="s">
        <v>61</v>
      </c>
      <c r="B3313" t="str">
        <f>LEFT(Table13[[#This Row],[Input]],1)</f>
        <v>L</v>
      </c>
      <c r="C3313">
        <f>_xlfn.LET(_xlpm.steps,SUBSTITUTE(Table13[[#This Row],[Input]],Table13[[#This Row],[Direction]],""),VALUE(IF(LEN(_xlpm.steps)&gt;2,RIGHT(_xlpm.steps,2),_xlpm.steps)))</f>
        <v>16</v>
      </c>
      <c r="D3313">
        <f>_xlfn.LET(_xlpm.steps,SUBSTITUTE(Table13[[#This Row],[Input]],Table13[[#This Row],[Direction]],""),VALUE(IF(LEN(_xlpm.steps)&gt;2,LEFT(_xlpm.steps,LEN(_xlpm.steps)-2),0)))</f>
        <v>0</v>
      </c>
      <c r="E3313">
        <f>_xlfn.LET(_xlpm.dir,Table13[[#This Row],[Direction]],
IF(_xlpm.dir="L",
    IF(G3312-Table13[[#This Row],[Steps]]&lt;0,100+(G3312-Table13[[#This Row],[Steps]]),G3312-Table13[[#This Row],[Steps]]),
))</f>
        <v>33</v>
      </c>
      <c r="F3313">
        <f>_xlfn.LET(_xlpm.dir,Table13[[#This Row],[Direction]],
IF(_xlpm.dir="R",
    IF(G3312+Table13[[#This Row],[Steps]]&gt;99,(G3312+Table13[[#This Row],[Steps]])-100,G3312+Table13[[#This Row],[Steps]]),
))</f>
        <v>0</v>
      </c>
      <c r="G3313">
        <f>IF(Table13[[#This Row],[New Pos L]]&lt;&gt;0,Table13[[#This Row],[New Pos L]],Table13[[#This Row],[New Pos R]])</f>
        <v>33</v>
      </c>
      <c r="H3313">
        <f>IF(AND(Table13[[#This Row],[Direction]]="L",Table13[[#This Row],[Steps]]&gt;G3312,G3312&lt;&gt;0),1,0)</f>
        <v>0</v>
      </c>
      <c r="I3313">
        <f>IF(AND(Table13[[#This Row],[Direction]]="R",(G3312+Table13[[#This Row],[Steps]])&gt;100),1,0)</f>
        <v>0</v>
      </c>
      <c r="J3313">
        <f>IF(Table13[[#This Row],[POS]]=0,1,0)</f>
        <v>0</v>
      </c>
      <c r="K3313">
        <f>SUM(Table13[[#This Row],[prefix]],Table13[[#This Row],[Past zero L]],Table13[[#This Row],[Past Zero R]],Table13[[#This Row],[Is Zero]])</f>
        <v>0</v>
      </c>
    </row>
    <row r="3314" spans="1:11" ht="16" x14ac:dyDescent="0.2">
      <c r="A3314" s="1" t="s">
        <v>293</v>
      </c>
      <c r="B3314" t="str">
        <f>LEFT(Table13[[#This Row],[Input]],1)</f>
        <v>R</v>
      </c>
      <c r="C3314">
        <f>_xlfn.LET(_xlpm.steps,SUBSTITUTE(Table13[[#This Row],[Input]],Table13[[#This Row],[Direction]],""),VALUE(IF(LEN(_xlpm.steps)&gt;2,RIGHT(_xlpm.steps,2),_xlpm.steps)))</f>
        <v>67</v>
      </c>
      <c r="D3314">
        <f>_xlfn.LET(_xlpm.steps,SUBSTITUTE(Table13[[#This Row],[Input]],Table13[[#This Row],[Direction]],""),VALUE(IF(LEN(_xlpm.steps)&gt;2,LEFT(_xlpm.steps,LEN(_xlpm.steps)-2),0)))</f>
        <v>0</v>
      </c>
      <c r="E3314">
        <f>_xlfn.LET(_xlpm.dir,Table13[[#This Row],[Direction]],
IF(_xlpm.dir="L",
    IF(G3313-Table13[[#This Row],[Steps]]&lt;0,100+(G3313-Table13[[#This Row],[Steps]]),G3313-Table13[[#This Row],[Steps]]),
))</f>
        <v>0</v>
      </c>
      <c r="F3314">
        <f>_xlfn.LET(_xlpm.dir,Table13[[#This Row],[Direction]],
IF(_xlpm.dir="R",
    IF(G3313+Table13[[#This Row],[Steps]]&gt;99,(G3313+Table13[[#This Row],[Steps]])-100,G3313+Table13[[#This Row],[Steps]]),
))</f>
        <v>0</v>
      </c>
      <c r="G3314">
        <f>IF(Table13[[#This Row],[New Pos L]]&lt;&gt;0,Table13[[#This Row],[New Pos L]],Table13[[#This Row],[New Pos R]])</f>
        <v>0</v>
      </c>
      <c r="H3314">
        <f>IF(AND(Table13[[#This Row],[Direction]]="L",Table13[[#This Row],[Steps]]&gt;G3313,G3313&lt;&gt;0),1,0)</f>
        <v>0</v>
      </c>
      <c r="I3314">
        <f>IF(AND(Table13[[#This Row],[Direction]]="R",(G3313+Table13[[#This Row],[Steps]])&gt;100),1,0)</f>
        <v>0</v>
      </c>
      <c r="J3314">
        <f>IF(Table13[[#This Row],[POS]]=0,1,0)</f>
        <v>1</v>
      </c>
      <c r="K3314">
        <f>SUM(Table13[[#This Row],[prefix]],Table13[[#This Row],[Past zero L]],Table13[[#This Row],[Past Zero R]],Table13[[#This Row],[Is Zero]])</f>
        <v>1</v>
      </c>
    </row>
    <row r="3315" spans="1:11" ht="16" x14ac:dyDescent="0.2">
      <c r="A3315" s="1" t="s">
        <v>145</v>
      </c>
      <c r="B3315" t="str">
        <f>LEFT(Table13[[#This Row],[Input]],1)</f>
        <v>L</v>
      </c>
      <c r="C3315">
        <f>_xlfn.LET(_xlpm.steps,SUBSTITUTE(Table13[[#This Row],[Input]],Table13[[#This Row],[Direction]],""),VALUE(IF(LEN(_xlpm.steps)&gt;2,RIGHT(_xlpm.steps,2),_xlpm.steps)))</f>
        <v>83</v>
      </c>
      <c r="D3315">
        <f>_xlfn.LET(_xlpm.steps,SUBSTITUTE(Table13[[#This Row],[Input]],Table13[[#This Row],[Direction]],""),VALUE(IF(LEN(_xlpm.steps)&gt;2,LEFT(_xlpm.steps,LEN(_xlpm.steps)-2),0)))</f>
        <v>0</v>
      </c>
      <c r="E3315">
        <f>_xlfn.LET(_xlpm.dir,Table13[[#This Row],[Direction]],
IF(_xlpm.dir="L",
    IF(G3314-Table13[[#This Row],[Steps]]&lt;0,100+(G3314-Table13[[#This Row],[Steps]]),G3314-Table13[[#This Row],[Steps]]),
))</f>
        <v>17</v>
      </c>
      <c r="F3315">
        <f>_xlfn.LET(_xlpm.dir,Table13[[#This Row],[Direction]],
IF(_xlpm.dir="R",
    IF(G3314+Table13[[#This Row],[Steps]]&gt;99,(G3314+Table13[[#This Row],[Steps]])-100,G3314+Table13[[#This Row],[Steps]]),
))</f>
        <v>0</v>
      </c>
      <c r="G3315">
        <f>IF(Table13[[#This Row],[New Pos L]]&lt;&gt;0,Table13[[#This Row],[New Pos L]],Table13[[#This Row],[New Pos R]])</f>
        <v>17</v>
      </c>
      <c r="H3315">
        <f>IF(AND(Table13[[#This Row],[Direction]]="L",Table13[[#This Row],[Steps]]&gt;G3314,G3314&lt;&gt;0),1,0)</f>
        <v>0</v>
      </c>
      <c r="I3315">
        <f>IF(AND(Table13[[#This Row],[Direction]]="R",(G3314+Table13[[#This Row],[Steps]])&gt;100),1,0)</f>
        <v>0</v>
      </c>
      <c r="J3315">
        <f>IF(Table13[[#This Row],[POS]]=0,1,0)</f>
        <v>0</v>
      </c>
      <c r="K3315">
        <f>SUM(Table13[[#This Row],[prefix]],Table13[[#This Row],[Past zero L]],Table13[[#This Row],[Past Zero R]],Table13[[#This Row],[Is Zero]])</f>
        <v>0</v>
      </c>
    </row>
    <row r="3316" spans="1:11" ht="16" x14ac:dyDescent="0.2">
      <c r="A3316" s="1" t="s">
        <v>462</v>
      </c>
      <c r="B3316" t="str">
        <f>LEFT(Table13[[#This Row],[Input]],1)</f>
        <v>L</v>
      </c>
      <c r="C3316">
        <f>_xlfn.LET(_xlpm.steps,SUBSTITUTE(Table13[[#This Row],[Input]],Table13[[#This Row],[Direction]],""),VALUE(IF(LEN(_xlpm.steps)&gt;2,RIGHT(_xlpm.steps,2),_xlpm.steps)))</f>
        <v>17</v>
      </c>
      <c r="D3316">
        <f>_xlfn.LET(_xlpm.steps,SUBSTITUTE(Table13[[#This Row],[Input]],Table13[[#This Row],[Direction]],""),VALUE(IF(LEN(_xlpm.steps)&gt;2,LEFT(_xlpm.steps,LEN(_xlpm.steps)-2),0)))</f>
        <v>0</v>
      </c>
      <c r="E3316">
        <f>_xlfn.LET(_xlpm.dir,Table13[[#This Row],[Direction]],
IF(_xlpm.dir="L",
    IF(G3315-Table13[[#This Row],[Steps]]&lt;0,100+(G3315-Table13[[#This Row],[Steps]]),G3315-Table13[[#This Row],[Steps]]),
))</f>
        <v>0</v>
      </c>
      <c r="F3316">
        <f>_xlfn.LET(_xlpm.dir,Table13[[#This Row],[Direction]],
IF(_xlpm.dir="R",
    IF(G3315+Table13[[#This Row],[Steps]]&gt;99,(G3315+Table13[[#This Row],[Steps]])-100,G3315+Table13[[#This Row],[Steps]]),
))</f>
        <v>0</v>
      </c>
      <c r="G3316">
        <f>IF(Table13[[#This Row],[New Pos L]]&lt;&gt;0,Table13[[#This Row],[New Pos L]],Table13[[#This Row],[New Pos R]])</f>
        <v>0</v>
      </c>
      <c r="H3316">
        <f>IF(AND(Table13[[#This Row],[Direction]]="L",Table13[[#This Row],[Steps]]&gt;G3315,G3315&lt;&gt;0),1,0)</f>
        <v>0</v>
      </c>
      <c r="I3316">
        <f>IF(AND(Table13[[#This Row],[Direction]]="R",(G3315+Table13[[#This Row],[Steps]])&gt;100),1,0)</f>
        <v>0</v>
      </c>
      <c r="J3316">
        <f>IF(Table13[[#This Row],[POS]]=0,1,0)</f>
        <v>1</v>
      </c>
      <c r="K3316">
        <f>SUM(Table13[[#This Row],[prefix]],Table13[[#This Row],[Past zero L]],Table13[[#This Row],[Past Zero R]],Table13[[#This Row],[Is Zero]])</f>
        <v>1</v>
      </c>
    </row>
    <row r="3317" spans="1:11" ht="16" x14ac:dyDescent="0.2">
      <c r="A3317" s="1" t="s">
        <v>353</v>
      </c>
      <c r="B3317" t="str">
        <f>LEFT(Table13[[#This Row],[Input]],1)</f>
        <v>R</v>
      </c>
      <c r="C3317">
        <f>_xlfn.LET(_xlpm.steps,SUBSTITUTE(Table13[[#This Row],[Input]],Table13[[#This Row],[Direction]],""),VALUE(IF(LEN(_xlpm.steps)&gt;2,RIGHT(_xlpm.steps,2),_xlpm.steps)))</f>
        <v>7</v>
      </c>
      <c r="D3317">
        <f>_xlfn.LET(_xlpm.steps,SUBSTITUTE(Table13[[#This Row],[Input]],Table13[[#This Row],[Direction]],""),VALUE(IF(LEN(_xlpm.steps)&gt;2,LEFT(_xlpm.steps,LEN(_xlpm.steps)-2),0)))</f>
        <v>0</v>
      </c>
      <c r="E3317">
        <f>_xlfn.LET(_xlpm.dir,Table13[[#This Row],[Direction]],
IF(_xlpm.dir="L",
    IF(G3316-Table13[[#This Row],[Steps]]&lt;0,100+(G3316-Table13[[#This Row],[Steps]]),G3316-Table13[[#This Row],[Steps]]),
))</f>
        <v>0</v>
      </c>
      <c r="F3317">
        <f>_xlfn.LET(_xlpm.dir,Table13[[#This Row],[Direction]],
IF(_xlpm.dir="R",
    IF(G3316+Table13[[#This Row],[Steps]]&gt;99,(G3316+Table13[[#This Row],[Steps]])-100,G3316+Table13[[#This Row],[Steps]]),
))</f>
        <v>7</v>
      </c>
      <c r="G3317">
        <f>IF(Table13[[#This Row],[New Pos L]]&lt;&gt;0,Table13[[#This Row],[New Pos L]],Table13[[#This Row],[New Pos R]])</f>
        <v>7</v>
      </c>
      <c r="H3317">
        <f>IF(AND(Table13[[#This Row],[Direction]]="L",Table13[[#This Row],[Steps]]&gt;G3316,G3316&lt;&gt;0),1,0)</f>
        <v>0</v>
      </c>
      <c r="I3317">
        <f>IF(AND(Table13[[#This Row],[Direction]]="R",(G3316+Table13[[#This Row],[Steps]])&gt;100),1,0)</f>
        <v>0</v>
      </c>
      <c r="J3317">
        <f>IF(Table13[[#This Row],[POS]]=0,1,0)</f>
        <v>0</v>
      </c>
      <c r="K3317">
        <f>SUM(Table13[[#This Row],[prefix]],Table13[[#This Row],[Past zero L]],Table13[[#This Row],[Past Zero R]],Table13[[#This Row],[Is Zero]])</f>
        <v>0</v>
      </c>
    </row>
    <row r="3318" spans="1:11" ht="16" x14ac:dyDescent="0.2">
      <c r="A3318" s="1" t="s">
        <v>232</v>
      </c>
      <c r="B3318" t="str">
        <f>LEFT(Table13[[#This Row],[Input]],1)</f>
        <v>R</v>
      </c>
      <c r="C3318">
        <f>_xlfn.LET(_xlpm.steps,SUBSTITUTE(Table13[[#This Row],[Input]],Table13[[#This Row],[Direction]],""),VALUE(IF(LEN(_xlpm.steps)&gt;2,RIGHT(_xlpm.steps,2),_xlpm.steps)))</f>
        <v>93</v>
      </c>
      <c r="D3318">
        <f>_xlfn.LET(_xlpm.steps,SUBSTITUTE(Table13[[#This Row],[Input]],Table13[[#This Row],[Direction]],""),VALUE(IF(LEN(_xlpm.steps)&gt;2,LEFT(_xlpm.steps,LEN(_xlpm.steps)-2),0)))</f>
        <v>8</v>
      </c>
      <c r="E3318">
        <f>_xlfn.LET(_xlpm.dir,Table13[[#This Row],[Direction]],
IF(_xlpm.dir="L",
    IF(G3317-Table13[[#This Row],[Steps]]&lt;0,100+(G3317-Table13[[#This Row],[Steps]]),G3317-Table13[[#This Row],[Steps]]),
))</f>
        <v>0</v>
      </c>
      <c r="F3318">
        <f>_xlfn.LET(_xlpm.dir,Table13[[#This Row],[Direction]],
IF(_xlpm.dir="R",
    IF(G3317+Table13[[#This Row],[Steps]]&gt;99,(G3317+Table13[[#This Row],[Steps]])-100,G3317+Table13[[#This Row],[Steps]]),
))</f>
        <v>0</v>
      </c>
      <c r="G3318">
        <f>IF(Table13[[#This Row],[New Pos L]]&lt;&gt;0,Table13[[#This Row],[New Pos L]],Table13[[#This Row],[New Pos R]])</f>
        <v>0</v>
      </c>
      <c r="H3318">
        <f>IF(AND(Table13[[#This Row],[Direction]]="L",Table13[[#This Row],[Steps]]&gt;G3317,G3317&lt;&gt;0),1,0)</f>
        <v>0</v>
      </c>
      <c r="I3318">
        <f>IF(AND(Table13[[#This Row],[Direction]]="R",(G3317+Table13[[#This Row],[Steps]])&gt;100),1,0)</f>
        <v>0</v>
      </c>
      <c r="J3318">
        <f>IF(Table13[[#This Row],[POS]]=0,1,0)</f>
        <v>1</v>
      </c>
      <c r="K3318">
        <f>SUM(Table13[[#This Row],[prefix]],Table13[[#This Row],[Past zero L]],Table13[[#This Row],[Past Zero R]],Table13[[#This Row],[Is Zero]])</f>
        <v>9</v>
      </c>
    </row>
    <row r="3319" spans="1:11" ht="16" x14ac:dyDescent="0.2">
      <c r="A3319" s="1" t="s">
        <v>158</v>
      </c>
      <c r="B3319" t="str">
        <f>LEFT(Table13[[#This Row],[Input]],1)</f>
        <v>L</v>
      </c>
      <c r="C3319">
        <f>_xlfn.LET(_xlpm.steps,SUBSTITUTE(Table13[[#This Row],[Input]],Table13[[#This Row],[Direction]],""),VALUE(IF(LEN(_xlpm.steps)&gt;2,RIGHT(_xlpm.steps,2),_xlpm.steps)))</f>
        <v>24</v>
      </c>
      <c r="D3319">
        <f>_xlfn.LET(_xlpm.steps,SUBSTITUTE(Table13[[#This Row],[Input]],Table13[[#This Row],[Direction]],""),VALUE(IF(LEN(_xlpm.steps)&gt;2,LEFT(_xlpm.steps,LEN(_xlpm.steps)-2),0)))</f>
        <v>0</v>
      </c>
      <c r="E3319">
        <f>_xlfn.LET(_xlpm.dir,Table13[[#This Row],[Direction]],
IF(_xlpm.dir="L",
    IF(G3318-Table13[[#This Row],[Steps]]&lt;0,100+(G3318-Table13[[#This Row],[Steps]]),G3318-Table13[[#This Row],[Steps]]),
))</f>
        <v>76</v>
      </c>
      <c r="F3319">
        <f>_xlfn.LET(_xlpm.dir,Table13[[#This Row],[Direction]],
IF(_xlpm.dir="R",
    IF(G3318+Table13[[#This Row],[Steps]]&gt;99,(G3318+Table13[[#This Row],[Steps]])-100,G3318+Table13[[#This Row],[Steps]]),
))</f>
        <v>0</v>
      </c>
      <c r="G3319">
        <f>IF(Table13[[#This Row],[New Pos L]]&lt;&gt;0,Table13[[#This Row],[New Pos L]],Table13[[#This Row],[New Pos R]])</f>
        <v>76</v>
      </c>
      <c r="H3319">
        <f>IF(AND(Table13[[#This Row],[Direction]]="L",Table13[[#This Row],[Steps]]&gt;G3318,G3318&lt;&gt;0),1,0)</f>
        <v>0</v>
      </c>
      <c r="I3319">
        <f>IF(AND(Table13[[#This Row],[Direction]]="R",(G3318+Table13[[#This Row],[Steps]])&gt;100),1,0)</f>
        <v>0</v>
      </c>
      <c r="J3319">
        <f>IF(Table13[[#This Row],[POS]]=0,1,0)</f>
        <v>0</v>
      </c>
      <c r="K3319">
        <f>SUM(Table13[[#This Row],[prefix]],Table13[[#This Row],[Past zero L]],Table13[[#This Row],[Past Zero R]],Table13[[#This Row],[Is Zero]])</f>
        <v>0</v>
      </c>
    </row>
    <row r="3320" spans="1:11" ht="16" x14ac:dyDescent="0.2">
      <c r="A3320" s="1" t="s">
        <v>159</v>
      </c>
      <c r="B3320" t="str">
        <f>LEFT(Table13[[#This Row],[Input]],1)</f>
        <v>R</v>
      </c>
      <c r="C3320">
        <f>_xlfn.LET(_xlpm.steps,SUBSTITUTE(Table13[[#This Row],[Input]],Table13[[#This Row],[Direction]],""),VALUE(IF(LEN(_xlpm.steps)&gt;2,RIGHT(_xlpm.steps,2),_xlpm.steps)))</f>
        <v>24</v>
      </c>
      <c r="D3320">
        <f>_xlfn.LET(_xlpm.steps,SUBSTITUTE(Table13[[#This Row],[Input]],Table13[[#This Row],[Direction]],""),VALUE(IF(LEN(_xlpm.steps)&gt;2,LEFT(_xlpm.steps,LEN(_xlpm.steps)-2),0)))</f>
        <v>0</v>
      </c>
      <c r="E3320">
        <f>_xlfn.LET(_xlpm.dir,Table13[[#This Row],[Direction]],
IF(_xlpm.dir="L",
    IF(G3319-Table13[[#This Row],[Steps]]&lt;0,100+(G3319-Table13[[#This Row],[Steps]]),G3319-Table13[[#This Row],[Steps]]),
))</f>
        <v>0</v>
      </c>
      <c r="F3320">
        <f>_xlfn.LET(_xlpm.dir,Table13[[#This Row],[Direction]],
IF(_xlpm.dir="R",
    IF(G3319+Table13[[#This Row],[Steps]]&gt;99,(G3319+Table13[[#This Row],[Steps]])-100,G3319+Table13[[#This Row],[Steps]]),
))</f>
        <v>0</v>
      </c>
      <c r="G3320">
        <f>IF(Table13[[#This Row],[New Pos L]]&lt;&gt;0,Table13[[#This Row],[New Pos L]],Table13[[#This Row],[New Pos R]])</f>
        <v>0</v>
      </c>
      <c r="H3320">
        <f>IF(AND(Table13[[#This Row],[Direction]]="L",Table13[[#This Row],[Steps]]&gt;G3319,G3319&lt;&gt;0),1,0)</f>
        <v>0</v>
      </c>
      <c r="I3320">
        <f>IF(AND(Table13[[#This Row],[Direction]]="R",(G3319+Table13[[#This Row],[Steps]])&gt;100),1,0)</f>
        <v>0</v>
      </c>
      <c r="J3320">
        <f>IF(Table13[[#This Row],[POS]]=0,1,0)</f>
        <v>1</v>
      </c>
      <c r="K3320">
        <f>SUM(Table13[[#This Row],[prefix]],Table13[[#This Row],[Past zero L]],Table13[[#This Row],[Past Zero R]],Table13[[#This Row],[Is Zero]])</f>
        <v>1</v>
      </c>
    </row>
    <row r="3321" spans="1:11" ht="16" x14ac:dyDescent="0.2">
      <c r="A3321" s="1" t="s">
        <v>681</v>
      </c>
      <c r="B3321" t="str">
        <f>LEFT(Table13[[#This Row],[Input]],1)</f>
        <v>R</v>
      </c>
      <c r="C3321">
        <f>_xlfn.LET(_xlpm.steps,SUBSTITUTE(Table13[[#This Row],[Input]],Table13[[#This Row],[Direction]],""),VALUE(IF(LEN(_xlpm.steps)&gt;2,RIGHT(_xlpm.steps,2),_xlpm.steps)))</f>
        <v>38</v>
      </c>
      <c r="D3321">
        <f>_xlfn.LET(_xlpm.steps,SUBSTITUTE(Table13[[#This Row],[Input]],Table13[[#This Row],[Direction]],""),VALUE(IF(LEN(_xlpm.steps)&gt;2,LEFT(_xlpm.steps,LEN(_xlpm.steps)-2),0)))</f>
        <v>1</v>
      </c>
      <c r="E3321">
        <f>_xlfn.LET(_xlpm.dir,Table13[[#This Row],[Direction]],
IF(_xlpm.dir="L",
    IF(G3320-Table13[[#This Row],[Steps]]&lt;0,100+(G3320-Table13[[#This Row],[Steps]]),G3320-Table13[[#This Row],[Steps]]),
))</f>
        <v>0</v>
      </c>
      <c r="F3321">
        <f>_xlfn.LET(_xlpm.dir,Table13[[#This Row],[Direction]],
IF(_xlpm.dir="R",
    IF(G3320+Table13[[#This Row],[Steps]]&gt;99,(G3320+Table13[[#This Row],[Steps]])-100,G3320+Table13[[#This Row],[Steps]]),
))</f>
        <v>38</v>
      </c>
      <c r="G3321">
        <f>IF(Table13[[#This Row],[New Pos L]]&lt;&gt;0,Table13[[#This Row],[New Pos L]],Table13[[#This Row],[New Pos R]])</f>
        <v>38</v>
      </c>
      <c r="H3321">
        <f>IF(AND(Table13[[#This Row],[Direction]]="L",Table13[[#This Row],[Steps]]&gt;G3320,G3320&lt;&gt;0),1,0)</f>
        <v>0</v>
      </c>
      <c r="I3321">
        <f>IF(AND(Table13[[#This Row],[Direction]]="R",(G3320+Table13[[#This Row],[Steps]])&gt;100),1,0)</f>
        <v>0</v>
      </c>
      <c r="J3321">
        <f>IF(Table13[[#This Row],[POS]]=0,1,0)</f>
        <v>0</v>
      </c>
      <c r="K3321">
        <f>SUM(Table13[[#This Row],[prefix]],Table13[[#This Row],[Past zero L]],Table13[[#This Row],[Past Zero R]],Table13[[#This Row],[Is Zero]])</f>
        <v>1</v>
      </c>
    </row>
    <row r="3322" spans="1:11" ht="16" x14ac:dyDescent="0.2">
      <c r="A3322" s="1" t="s">
        <v>330</v>
      </c>
      <c r="B3322" t="str">
        <f>LEFT(Table13[[#This Row],[Input]],1)</f>
        <v>L</v>
      </c>
      <c r="C3322">
        <f>_xlfn.LET(_xlpm.steps,SUBSTITUTE(Table13[[#This Row],[Input]],Table13[[#This Row],[Direction]],""),VALUE(IF(LEN(_xlpm.steps)&gt;2,RIGHT(_xlpm.steps,2),_xlpm.steps)))</f>
        <v>47</v>
      </c>
      <c r="D3322">
        <f>_xlfn.LET(_xlpm.steps,SUBSTITUTE(Table13[[#This Row],[Input]],Table13[[#This Row],[Direction]],""),VALUE(IF(LEN(_xlpm.steps)&gt;2,LEFT(_xlpm.steps,LEN(_xlpm.steps)-2),0)))</f>
        <v>0</v>
      </c>
      <c r="E3322">
        <f>_xlfn.LET(_xlpm.dir,Table13[[#This Row],[Direction]],
IF(_xlpm.dir="L",
    IF(G3321-Table13[[#This Row],[Steps]]&lt;0,100+(G3321-Table13[[#This Row],[Steps]]),G3321-Table13[[#This Row],[Steps]]),
))</f>
        <v>91</v>
      </c>
      <c r="F3322">
        <f>_xlfn.LET(_xlpm.dir,Table13[[#This Row],[Direction]],
IF(_xlpm.dir="R",
    IF(G3321+Table13[[#This Row],[Steps]]&gt;99,(G3321+Table13[[#This Row],[Steps]])-100,G3321+Table13[[#This Row],[Steps]]),
))</f>
        <v>0</v>
      </c>
      <c r="G3322">
        <f>IF(Table13[[#This Row],[New Pos L]]&lt;&gt;0,Table13[[#This Row],[New Pos L]],Table13[[#This Row],[New Pos R]])</f>
        <v>91</v>
      </c>
      <c r="H3322">
        <f>IF(AND(Table13[[#This Row],[Direction]]="L",Table13[[#This Row],[Steps]]&gt;G3321,G3321&lt;&gt;0),1,0)</f>
        <v>1</v>
      </c>
      <c r="I3322">
        <f>IF(AND(Table13[[#This Row],[Direction]]="R",(G3321+Table13[[#This Row],[Steps]])&gt;100),1,0)</f>
        <v>0</v>
      </c>
      <c r="J3322">
        <f>IF(Table13[[#This Row],[POS]]=0,1,0)</f>
        <v>0</v>
      </c>
      <c r="K3322">
        <f>SUM(Table13[[#This Row],[prefix]],Table13[[#This Row],[Past zero L]],Table13[[#This Row],[Past Zero R]],Table13[[#This Row],[Is Zero]])</f>
        <v>1</v>
      </c>
    </row>
    <row r="3323" spans="1:11" ht="16" x14ac:dyDescent="0.2">
      <c r="A3323" s="1" t="s">
        <v>726</v>
      </c>
      <c r="B3323" t="str">
        <f>LEFT(Table13[[#This Row],[Input]],1)</f>
        <v>L</v>
      </c>
      <c r="C3323">
        <f>_xlfn.LET(_xlpm.steps,SUBSTITUTE(Table13[[#This Row],[Input]],Table13[[#This Row],[Direction]],""),VALUE(IF(LEN(_xlpm.steps)&gt;2,RIGHT(_xlpm.steps,2),_xlpm.steps)))</f>
        <v>39</v>
      </c>
      <c r="D3323">
        <f>_xlfn.LET(_xlpm.steps,SUBSTITUTE(Table13[[#This Row],[Input]],Table13[[#This Row],[Direction]],""),VALUE(IF(LEN(_xlpm.steps)&gt;2,LEFT(_xlpm.steps,LEN(_xlpm.steps)-2),0)))</f>
        <v>2</v>
      </c>
      <c r="E3323">
        <f>_xlfn.LET(_xlpm.dir,Table13[[#This Row],[Direction]],
IF(_xlpm.dir="L",
    IF(G3322-Table13[[#This Row],[Steps]]&lt;0,100+(G3322-Table13[[#This Row],[Steps]]),G3322-Table13[[#This Row],[Steps]]),
))</f>
        <v>52</v>
      </c>
      <c r="F3323">
        <f>_xlfn.LET(_xlpm.dir,Table13[[#This Row],[Direction]],
IF(_xlpm.dir="R",
    IF(G3322+Table13[[#This Row],[Steps]]&gt;99,(G3322+Table13[[#This Row],[Steps]])-100,G3322+Table13[[#This Row],[Steps]]),
))</f>
        <v>0</v>
      </c>
      <c r="G3323">
        <f>IF(Table13[[#This Row],[New Pos L]]&lt;&gt;0,Table13[[#This Row],[New Pos L]],Table13[[#This Row],[New Pos R]])</f>
        <v>52</v>
      </c>
      <c r="H3323">
        <f>IF(AND(Table13[[#This Row],[Direction]]="L",Table13[[#This Row],[Steps]]&gt;G3322,G3322&lt;&gt;0),1,0)</f>
        <v>0</v>
      </c>
      <c r="I3323">
        <f>IF(AND(Table13[[#This Row],[Direction]]="R",(G3322+Table13[[#This Row],[Steps]])&gt;100),1,0)</f>
        <v>0</v>
      </c>
      <c r="J3323">
        <f>IF(Table13[[#This Row],[POS]]=0,1,0)</f>
        <v>0</v>
      </c>
      <c r="K3323">
        <f>SUM(Table13[[#This Row],[prefix]],Table13[[#This Row],[Past zero L]],Table13[[#This Row],[Past Zero R]],Table13[[#This Row],[Is Zero]])</f>
        <v>2</v>
      </c>
    </row>
    <row r="3324" spans="1:11" ht="16" x14ac:dyDescent="0.2">
      <c r="A3324" s="1" t="s">
        <v>727</v>
      </c>
      <c r="B3324" t="str">
        <f>LEFT(Table13[[#This Row],[Input]],1)</f>
        <v>R</v>
      </c>
      <c r="C3324">
        <f>_xlfn.LET(_xlpm.steps,SUBSTITUTE(Table13[[#This Row],[Input]],Table13[[#This Row],[Direction]],""),VALUE(IF(LEN(_xlpm.steps)&gt;2,RIGHT(_xlpm.steps,2),_xlpm.steps)))</f>
        <v>47</v>
      </c>
      <c r="D3324">
        <f>_xlfn.LET(_xlpm.steps,SUBSTITUTE(Table13[[#This Row],[Input]],Table13[[#This Row],[Direction]],""),VALUE(IF(LEN(_xlpm.steps)&gt;2,LEFT(_xlpm.steps,LEN(_xlpm.steps)-2),0)))</f>
        <v>3</v>
      </c>
      <c r="E3324">
        <f>_xlfn.LET(_xlpm.dir,Table13[[#This Row],[Direction]],
IF(_xlpm.dir="L",
    IF(G3323-Table13[[#This Row],[Steps]]&lt;0,100+(G3323-Table13[[#This Row],[Steps]]),G3323-Table13[[#This Row],[Steps]]),
))</f>
        <v>0</v>
      </c>
      <c r="F3324">
        <f>_xlfn.LET(_xlpm.dir,Table13[[#This Row],[Direction]],
IF(_xlpm.dir="R",
    IF(G3323+Table13[[#This Row],[Steps]]&gt;99,(G3323+Table13[[#This Row],[Steps]])-100,G3323+Table13[[#This Row],[Steps]]),
))</f>
        <v>99</v>
      </c>
      <c r="G3324">
        <f>IF(Table13[[#This Row],[New Pos L]]&lt;&gt;0,Table13[[#This Row],[New Pos L]],Table13[[#This Row],[New Pos R]])</f>
        <v>99</v>
      </c>
      <c r="H3324">
        <f>IF(AND(Table13[[#This Row],[Direction]]="L",Table13[[#This Row],[Steps]]&gt;G3323,G3323&lt;&gt;0),1,0)</f>
        <v>0</v>
      </c>
      <c r="I3324">
        <f>IF(AND(Table13[[#This Row],[Direction]]="R",(G3323+Table13[[#This Row],[Steps]])&gt;100),1,0)</f>
        <v>0</v>
      </c>
      <c r="J3324">
        <f>IF(Table13[[#This Row],[POS]]=0,1,0)</f>
        <v>0</v>
      </c>
      <c r="K3324">
        <f>SUM(Table13[[#This Row],[prefix]],Table13[[#This Row],[Past zero L]],Table13[[#This Row],[Past Zero R]],Table13[[#This Row],[Is Zero]])</f>
        <v>3</v>
      </c>
    </row>
    <row r="3325" spans="1:11" ht="16" x14ac:dyDescent="0.2">
      <c r="A3325" s="1" t="s">
        <v>252</v>
      </c>
      <c r="B3325" t="str">
        <f>LEFT(Table13[[#This Row],[Input]],1)</f>
        <v>L</v>
      </c>
      <c r="C3325">
        <f>_xlfn.LET(_xlpm.steps,SUBSTITUTE(Table13[[#This Row],[Input]],Table13[[#This Row],[Direction]],""),VALUE(IF(LEN(_xlpm.steps)&gt;2,RIGHT(_xlpm.steps,2),_xlpm.steps)))</f>
        <v>99</v>
      </c>
      <c r="D3325">
        <f>_xlfn.LET(_xlpm.steps,SUBSTITUTE(Table13[[#This Row],[Input]],Table13[[#This Row],[Direction]],""),VALUE(IF(LEN(_xlpm.steps)&gt;2,LEFT(_xlpm.steps,LEN(_xlpm.steps)-2),0)))</f>
        <v>0</v>
      </c>
      <c r="E3325">
        <f>_xlfn.LET(_xlpm.dir,Table13[[#This Row],[Direction]],
IF(_xlpm.dir="L",
    IF(G3324-Table13[[#This Row],[Steps]]&lt;0,100+(G3324-Table13[[#This Row],[Steps]]),G3324-Table13[[#This Row],[Steps]]),
))</f>
        <v>0</v>
      </c>
      <c r="F3325">
        <f>_xlfn.LET(_xlpm.dir,Table13[[#This Row],[Direction]],
IF(_xlpm.dir="R",
    IF(G3324+Table13[[#This Row],[Steps]]&gt;99,(G3324+Table13[[#This Row],[Steps]])-100,G3324+Table13[[#This Row],[Steps]]),
))</f>
        <v>0</v>
      </c>
      <c r="G3325">
        <f>IF(Table13[[#This Row],[New Pos L]]&lt;&gt;0,Table13[[#This Row],[New Pos L]],Table13[[#This Row],[New Pos R]])</f>
        <v>0</v>
      </c>
      <c r="H3325">
        <f>IF(AND(Table13[[#This Row],[Direction]]="L",Table13[[#This Row],[Steps]]&gt;G3324,G3324&lt;&gt;0),1,0)</f>
        <v>0</v>
      </c>
      <c r="I3325">
        <f>IF(AND(Table13[[#This Row],[Direction]]="R",(G3324+Table13[[#This Row],[Steps]])&gt;100),1,0)</f>
        <v>0</v>
      </c>
      <c r="J3325">
        <f>IF(Table13[[#This Row],[POS]]=0,1,0)</f>
        <v>1</v>
      </c>
      <c r="K3325">
        <f>SUM(Table13[[#This Row],[prefix]],Table13[[#This Row],[Past zero L]],Table13[[#This Row],[Past Zero R]],Table13[[#This Row],[Is Zero]])</f>
        <v>1</v>
      </c>
    </row>
    <row r="3326" spans="1:11" ht="16" x14ac:dyDescent="0.2">
      <c r="A3326" s="1" t="s">
        <v>194</v>
      </c>
      <c r="B3326" t="str">
        <f>LEFT(Table13[[#This Row],[Input]],1)</f>
        <v>R</v>
      </c>
      <c r="C3326">
        <f>_xlfn.LET(_xlpm.steps,SUBSTITUTE(Table13[[#This Row],[Input]],Table13[[#This Row],[Direction]],""),VALUE(IF(LEN(_xlpm.steps)&gt;2,RIGHT(_xlpm.steps,2),_xlpm.steps)))</f>
        <v>51</v>
      </c>
      <c r="D3326">
        <f>_xlfn.LET(_xlpm.steps,SUBSTITUTE(Table13[[#This Row],[Input]],Table13[[#This Row],[Direction]],""),VALUE(IF(LEN(_xlpm.steps)&gt;2,LEFT(_xlpm.steps,LEN(_xlpm.steps)-2),0)))</f>
        <v>0</v>
      </c>
      <c r="E3326">
        <f>_xlfn.LET(_xlpm.dir,Table13[[#This Row],[Direction]],
IF(_xlpm.dir="L",
    IF(G3325-Table13[[#This Row],[Steps]]&lt;0,100+(G3325-Table13[[#This Row],[Steps]]),G3325-Table13[[#This Row],[Steps]]),
))</f>
        <v>0</v>
      </c>
      <c r="F3326">
        <f>_xlfn.LET(_xlpm.dir,Table13[[#This Row],[Direction]],
IF(_xlpm.dir="R",
    IF(G3325+Table13[[#This Row],[Steps]]&gt;99,(G3325+Table13[[#This Row],[Steps]])-100,G3325+Table13[[#This Row],[Steps]]),
))</f>
        <v>51</v>
      </c>
      <c r="G3326">
        <f>IF(Table13[[#This Row],[New Pos L]]&lt;&gt;0,Table13[[#This Row],[New Pos L]],Table13[[#This Row],[New Pos R]])</f>
        <v>51</v>
      </c>
      <c r="H3326">
        <f>IF(AND(Table13[[#This Row],[Direction]]="L",Table13[[#This Row],[Steps]]&gt;G3325,G3325&lt;&gt;0),1,0)</f>
        <v>0</v>
      </c>
      <c r="I3326">
        <f>IF(AND(Table13[[#This Row],[Direction]]="R",(G3325+Table13[[#This Row],[Steps]])&gt;100),1,0)</f>
        <v>0</v>
      </c>
      <c r="J3326">
        <f>IF(Table13[[#This Row],[POS]]=0,1,0)</f>
        <v>0</v>
      </c>
      <c r="K3326">
        <f>SUM(Table13[[#This Row],[prefix]],Table13[[#This Row],[Past zero L]],Table13[[#This Row],[Past Zero R]],Table13[[#This Row],[Is Zero]])</f>
        <v>0</v>
      </c>
    </row>
    <row r="3327" spans="1:11" ht="16" x14ac:dyDescent="0.2">
      <c r="A3327" s="1" t="s">
        <v>132</v>
      </c>
      <c r="B3327" t="str">
        <f>LEFT(Table13[[#This Row],[Input]],1)</f>
        <v>L</v>
      </c>
      <c r="C3327">
        <f>_xlfn.LET(_xlpm.steps,SUBSTITUTE(Table13[[#This Row],[Input]],Table13[[#This Row],[Direction]],""),VALUE(IF(LEN(_xlpm.steps)&gt;2,RIGHT(_xlpm.steps,2),_xlpm.steps)))</f>
        <v>51</v>
      </c>
      <c r="D3327">
        <f>_xlfn.LET(_xlpm.steps,SUBSTITUTE(Table13[[#This Row],[Input]],Table13[[#This Row],[Direction]],""),VALUE(IF(LEN(_xlpm.steps)&gt;2,LEFT(_xlpm.steps,LEN(_xlpm.steps)-2),0)))</f>
        <v>0</v>
      </c>
      <c r="E3327">
        <f>_xlfn.LET(_xlpm.dir,Table13[[#This Row],[Direction]],
IF(_xlpm.dir="L",
    IF(G3326-Table13[[#This Row],[Steps]]&lt;0,100+(G3326-Table13[[#This Row],[Steps]]),G3326-Table13[[#This Row],[Steps]]),
))</f>
        <v>0</v>
      </c>
      <c r="F3327">
        <f>_xlfn.LET(_xlpm.dir,Table13[[#This Row],[Direction]],
IF(_xlpm.dir="R",
    IF(G3326+Table13[[#This Row],[Steps]]&gt;99,(G3326+Table13[[#This Row],[Steps]])-100,G3326+Table13[[#This Row],[Steps]]),
))</f>
        <v>0</v>
      </c>
      <c r="G3327">
        <f>IF(Table13[[#This Row],[New Pos L]]&lt;&gt;0,Table13[[#This Row],[New Pos L]],Table13[[#This Row],[New Pos R]])</f>
        <v>0</v>
      </c>
      <c r="H3327">
        <f>IF(AND(Table13[[#This Row],[Direction]]="L",Table13[[#This Row],[Steps]]&gt;G3326,G3326&lt;&gt;0),1,0)</f>
        <v>0</v>
      </c>
      <c r="I3327">
        <f>IF(AND(Table13[[#This Row],[Direction]]="R",(G3326+Table13[[#This Row],[Steps]])&gt;100),1,0)</f>
        <v>0</v>
      </c>
      <c r="J3327">
        <f>IF(Table13[[#This Row],[POS]]=0,1,0)</f>
        <v>1</v>
      </c>
      <c r="K3327">
        <f>SUM(Table13[[#This Row],[prefix]],Table13[[#This Row],[Past zero L]],Table13[[#This Row],[Past Zero R]],Table13[[#This Row],[Is Zero]])</f>
        <v>1</v>
      </c>
    </row>
    <row r="3328" spans="1:11" ht="16" x14ac:dyDescent="0.2">
      <c r="A3328" s="1" t="s">
        <v>728</v>
      </c>
      <c r="B3328" t="str">
        <f>LEFT(Table13[[#This Row],[Input]],1)</f>
        <v>L</v>
      </c>
      <c r="C3328">
        <f>_xlfn.LET(_xlpm.steps,SUBSTITUTE(Table13[[#This Row],[Input]],Table13[[#This Row],[Direction]],""),VALUE(IF(LEN(_xlpm.steps)&gt;2,RIGHT(_xlpm.steps,2),_xlpm.steps)))</f>
        <v>25</v>
      </c>
      <c r="D3328">
        <f>_xlfn.LET(_xlpm.steps,SUBSTITUTE(Table13[[#This Row],[Input]],Table13[[#This Row],[Direction]],""),VALUE(IF(LEN(_xlpm.steps)&gt;2,LEFT(_xlpm.steps,LEN(_xlpm.steps)-2),0)))</f>
        <v>9</v>
      </c>
      <c r="E3328">
        <f>_xlfn.LET(_xlpm.dir,Table13[[#This Row],[Direction]],
IF(_xlpm.dir="L",
    IF(G3327-Table13[[#This Row],[Steps]]&lt;0,100+(G3327-Table13[[#This Row],[Steps]]),G3327-Table13[[#This Row],[Steps]]),
))</f>
        <v>75</v>
      </c>
      <c r="F3328">
        <f>_xlfn.LET(_xlpm.dir,Table13[[#This Row],[Direction]],
IF(_xlpm.dir="R",
    IF(G3327+Table13[[#This Row],[Steps]]&gt;99,(G3327+Table13[[#This Row],[Steps]])-100,G3327+Table13[[#This Row],[Steps]]),
))</f>
        <v>0</v>
      </c>
      <c r="G3328">
        <f>IF(Table13[[#This Row],[New Pos L]]&lt;&gt;0,Table13[[#This Row],[New Pos L]],Table13[[#This Row],[New Pos R]])</f>
        <v>75</v>
      </c>
      <c r="H3328">
        <f>IF(AND(Table13[[#This Row],[Direction]]="L",Table13[[#This Row],[Steps]]&gt;G3327,G3327&lt;&gt;0),1,0)</f>
        <v>0</v>
      </c>
      <c r="I3328">
        <f>IF(AND(Table13[[#This Row],[Direction]]="R",(G3327+Table13[[#This Row],[Steps]])&gt;100),1,0)</f>
        <v>0</v>
      </c>
      <c r="J3328">
        <f>IF(Table13[[#This Row],[POS]]=0,1,0)</f>
        <v>0</v>
      </c>
      <c r="K3328">
        <f>SUM(Table13[[#This Row],[prefix]],Table13[[#This Row],[Past zero L]],Table13[[#This Row],[Past Zero R]],Table13[[#This Row],[Is Zero]])</f>
        <v>9</v>
      </c>
    </row>
    <row r="3329" spans="1:11" ht="16" x14ac:dyDescent="0.2">
      <c r="A3329" s="1" t="s">
        <v>68</v>
      </c>
      <c r="B3329" t="str">
        <f>LEFT(Table13[[#This Row],[Input]],1)</f>
        <v>L</v>
      </c>
      <c r="C3329">
        <f>_xlfn.LET(_xlpm.steps,SUBSTITUTE(Table13[[#This Row],[Input]],Table13[[#This Row],[Direction]],""),VALUE(IF(LEN(_xlpm.steps)&gt;2,RIGHT(_xlpm.steps,2),_xlpm.steps)))</f>
        <v>80</v>
      </c>
      <c r="D3329">
        <f>_xlfn.LET(_xlpm.steps,SUBSTITUTE(Table13[[#This Row],[Input]],Table13[[#This Row],[Direction]],""),VALUE(IF(LEN(_xlpm.steps)&gt;2,LEFT(_xlpm.steps,LEN(_xlpm.steps)-2),0)))</f>
        <v>0</v>
      </c>
      <c r="E3329">
        <f>_xlfn.LET(_xlpm.dir,Table13[[#This Row],[Direction]],
IF(_xlpm.dir="L",
    IF(G3328-Table13[[#This Row],[Steps]]&lt;0,100+(G3328-Table13[[#This Row],[Steps]]),G3328-Table13[[#This Row],[Steps]]),
))</f>
        <v>95</v>
      </c>
      <c r="F3329">
        <f>_xlfn.LET(_xlpm.dir,Table13[[#This Row],[Direction]],
IF(_xlpm.dir="R",
    IF(G3328+Table13[[#This Row],[Steps]]&gt;99,(G3328+Table13[[#This Row],[Steps]])-100,G3328+Table13[[#This Row],[Steps]]),
))</f>
        <v>0</v>
      </c>
      <c r="G3329">
        <f>IF(Table13[[#This Row],[New Pos L]]&lt;&gt;0,Table13[[#This Row],[New Pos L]],Table13[[#This Row],[New Pos R]])</f>
        <v>95</v>
      </c>
      <c r="H3329">
        <f>IF(AND(Table13[[#This Row],[Direction]]="L",Table13[[#This Row],[Steps]]&gt;G3328,G3328&lt;&gt;0),1,0)</f>
        <v>1</v>
      </c>
      <c r="I3329">
        <f>IF(AND(Table13[[#This Row],[Direction]]="R",(G3328+Table13[[#This Row],[Steps]])&gt;100),1,0)</f>
        <v>0</v>
      </c>
      <c r="J3329">
        <f>IF(Table13[[#This Row],[POS]]=0,1,0)</f>
        <v>0</v>
      </c>
      <c r="K3329">
        <f>SUM(Table13[[#This Row],[prefix]],Table13[[#This Row],[Past zero L]],Table13[[#This Row],[Past Zero R]],Table13[[#This Row],[Is Zero]])</f>
        <v>1</v>
      </c>
    </row>
    <row r="3330" spans="1:11" ht="16" x14ac:dyDescent="0.2">
      <c r="A3330" s="1" t="s">
        <v>134</v>
      </c>
      <c r="B3330" t="str">
        <f>LEFT(Table13[[#This Row],[Input]],1)</f>
        <v>L</v>
      </c>
      <c r="C3330">
        <f>_xlfn.LET(_xlpm.steps,SUBSTITUTE(Table13[[#This Row],[Input]],Table13[[#This Row],[Direction]],""),VALUE(IF(LEN(_xlpm.steps)&gt;2,RIGHT(_xlpm.steps,2),_xlpm.steps)))</f>
        <v>95</v>
      </c>
      <c r="D3330">
        <f>_xlfn.LET(_xlpm.steps,SUBSTITUTE(Table13[[#This Row],[Input]],Table13[[#This Row],[Direction]],""),VALUE(IF(LEN(_xlpm.steps)&gt;2,LEFT(_xlpm.steps,LEN(_xlpm.steps)-2),0)))</f>
        <v>0</v>
      </c>
      <c r="E3330">
        <f>_xlfn.LET(_xlpm.dir,Table13[[#This Row],[Direction]],
IF(_xlpm.dir="L",
    IF(G3329-Table13[[#This Row],[Steps]]&lt;0,100+(G3329-Table13[[#This Row],[Steps]]),G3329-Table13[[#This Row],[Steps]]),
))</f>
        <v>0</v>
      </c>
      <c r="F3330">
        <f>_xlfn.LET(_xlpm.dir,Table13[[#This Row],[Direction]],
IF(_xlpm.dir="R",
    IF(G3329+Table13[[#This Row],[Steps]]&gt;99,(G3329+Table13[[#This Row],[Steps]])-100,G3329+Table13[[#This Row],[Steps]]),
))</f>
        <v>0</v>
      </c>
      <c r="G3330">
        <f>IF(Table13[[#This Row],[New Pos L]]&lt;&gt;0,Table13[[#This Row],[New Pos L]],Table13[[#This Row],[New Pos R]])</f>
        <v>0</v>
      </c>
      <c r="H3330">
        <f>IF(AND(Table13[[#This Row],[Direction]]="L",Table13[[#This Row],[Steps]]&gt;G3329,G3329&lt;&gt;0),1,0)</f>
        <v>0</v>
      </c>
      <c r="I3330">
        <f>IF(AND(Table13[[#This Row],[Direction]]="R",(G3329+Table13[[#This Row],[Steps]])&gt;100),1,0)</f>
        <v>0</v>
      </c>
      <c r="J3330">
        <f>IF(Table13[[#This Row],[POS]]=0,1,0)</f>
        <v>1</v>
      </c>
      <c r="K3330">
        <f>SUM(Table13[[#This Row],[prefix]],Table13[[#This Row],[Past zero L]],Table13[[#This Row],[Past Zero R]],Table13[[#This Row],[Is Zero]])</f>
        <v>1</v>
      </c>
    </row>
    <row r="3331" spans="1:11" ht="16" x14ac:dyDescent="0.2">
      <c r="A3331" s="1" t="s">
        <v>276</v>
      </c>
      <c r="B3331" t="str">
        <f>LEFT(Table13[[#This Row],[Input]],1)</f>
        <v>L</v>
      </c>
      <c r="C3331">
        <f>_xlfn.LET(_xlpm.steps,SUBSTITUTE(Table13[[#This Row],[Input]],Table13[[#This Row],[Direction]],""),VALUE(IF(LEN(_xlpm.steps)&gt;2,RIGHT(_xlpm.steps,2),_xlpm.steps)))</f>
        <v>60</v>
      </c>
      <c r="D3331">
        <f>_xlfn.LET(_xlpm.steps,SUBSTITUTE(Table13[[#This Row],[Input]],Table13[[#This Row],[Direction]],""),VALUE(IF(LEN(_xlpm.steps)&gt;2,LEFT(_xlpm.steps,LEN(_xlpm.steps)-2),0)))</f>
        <v>0</v>
      </c>
      <c r="E3331">
        <f>_xlfn.LET(_xlpm.dir,Table13[[#This Row],[Direction]],
IF(_xlpm.dir="L",
    IF(G3330-Table13[[#This Row],[Steps]]&lt;0,100+(G3330-Table13[[#This Row],[Steps]]),G3330-Table13[[#This Row],[Steps]]),
))</f>
        <v>40</v>
      </c>
      <c r="F3331">
        <f>_xlfn.LET(_xlpm.dir,Table13[[#This Row],[Direction]],
IF(_xlpm.dir="R",
    IF(G3330+Table13[[#This Row],[Steps]]&gt;99,(G3330+Table13[[#This Row],[Steps]])-100,G3330+Table13[[#This Row],[Steps]]),
))</f>
        <v>0</v>
      </c>
      <c r="G3331">
        <f>IF(Table13[[#This Row],[New Pos L]]&lt;&gt;0,Table13[[#This Row],[New Pos L]],Table13[[#This Row],[New Pos R]])</f>
        <v>40</v>
      </c>
      <c r="H3331">
        <f>IF(AND(Table13[[#This Row],[Direction]]="L",Table13[[#This Row],[Steps]]&gt;G3330,G3330&lt;&gt;0),1,0)</f>
        <v>0</v>
      </c>
      <c r="I3331">
        <f>IF(AND(Table13[[#This Row],[Direction]]="R",(G3330+Table13[[#This Row],[Steps]])&gt;100),1,0)</f>
        <v>0</v>
      </c>
      <c r="J3331">
        <f>IF(Table13[[#This Row],[POS]]=0,1,0)</f>
        <v>0</v>
      </c>
      <c r="K3331">
        <f>SUM(Table13[[#This Row],[prefix]],Table13[[#This Row],[Past zero L]],Table13[[#This Row],[Past Zero R]],Table13[[#This Row],[Is Zero]])</f>
        <v>0</v>
      </c>
    </row>
    <row r="3332" spans="1:11" ht="16" x14ac:dyDescent="0.2">
      <c r="A3332" s="1" t="s">
        <v>241</v>
      </c>
      <c r="B3332" t="str">
        <f>LEFT(Table13[[#This Row],[Input]],1)</f>
        <v>R</v>
      </c>
      <c r="C3332">
        <f>_xlfn.LET(_xlpm.steps,SUBSTITUTE(Table13[[#This Row],[Input]],Table13[[#This Row],[Direction]],""),VALUE(IF(LEN(_xlpm.steps)&gt;2,RIGHT(_xlpm.steps,2),_xlpm.steps)))</f>
        <v>60</v>
      </c>
      <c r="D3332">
        <f>_xlfn.LET(_xlpm.steps,SUBSTITUTE(Table13[[#This Row],[Input]],Table13[[#This Row],[Direction]],""),VALUE(IF(LEN(_xlpm.steps)&gt;2,LEFT(_xlpm.steps,LEN(_xlpm.steps)-2),0)))</f>
        <v>0</v>
      </c>
      <c r="E3332">
        <f>_xlfn.LET(_xlpm.dir,Table13[[#This Row],[Direction]],
IF(_xlpm.dir="L",
    IF(G3331-Table13[[#This Row],[Steps]]&lt;0,100+(G3331-Table13[[#This Row],[Steps]]),G3331-Table13[[#This Row],[Steps]]),
))</f>
        <v>0</v>
      </c>
      <c r="F3332">
        <f>_xlfn.LET(_xlpm.dir,Table13[[#This Row],[Direction]],
IF(_xlpm.dir="R",
    IF(G3331+Table13[[#This Row],[Steps]]&gt;99,(G3331+Table13[[#This Row],[Steps]])-100,G3331+Table13[[#This Row],[Steps]]),
))</f>
        <v>0</v>
      </c>
      <c r="G3332">
        <f>IF(Table13[[#This Row],[New Pos L]]&lt;&gt;0,Table13[[#This Row],[New Pos L]],Table13[[#This Row],[New Pos R]])</f>
        <v>0</v>
      </c>
      <c r="H3332">
        <f>IF(AND(Table13[[#This Row],[Direction]]="L",Table13[[#This Row],[Steps]]&gt;G3331,G3331&lt;&gt;0),1,0)</f>
        <v>0</v>
      </c>
      <c r="I3332">
        <f>IF(AND(Table13[[#This Row],[Direction]]="R",(G3331+Table13[[#This Row],[Steps]])&gt;100),1,0)</f>
        <v>0</v>
      </c>
      <c r="J3332">
        <f>IF(Table13[[#This Row],[POS]]=0,1,0)</f>
        <v>1</v>
      </c>
      <c r="K3332">
        <f>SUM(Table13[[#This Row],[prefix]],Table13[[#This Row],[Past zero L]],Table13[[#This Row],[Past Zero R]],Table13[[#This Row],[Is Zero]])</f>
        <v>1</v>
      </c>
    </row>
    <row r="3333" spans="1:11" ht="16" x14ac:dyDescent="0.2">
      <c r="A3333" s="1" t="s">
        <v>98</v>
      </c>
      <c r="B3333" t="str">
        <f>LEFT(Table13[[#This Row],[Input]],1)</f>
        <v>L</v>
      </c>
      <c r="C3333">
        <f>_xlfn.LET(_xlpm.steps,SUBSTITUTE(Table13[[#This Row],[Input]],Table13[[#This Row],[Direction]],""),VALUE(IF(LEN(_xlpm.steps)&gt;2,RIGHT(_xlpm.steps,2),_xlpm.steps)))</f>
        <v>65</v>
      </c>
      <c r="D3333">
        <f>_xlfn.LET(_xlpm.steps,SUBSTITUTE(Table13[[#This Row],[Input]],Table13[[#This Row],[Direction]],""),VALUE(IF(LEN(_xlpm.steps)&gt;2,LEFT(_xlpm.steps,LEN(_xlpm.steps)-2),0)))</f>
        <v>0</v>
      </c>
      <c r="E3333">
        <f>_xlfn.LET(_xlpm.dir,Table13[[#This Row],[Direction]],
IF(_xlpm.dir="L",
    IF(G3332-Table13[[#This Row],[Steps]]&lt;0,100+(G3332-Table13[[#This Row],[Steps]]),G3332-Table13[[#This Row],[Steps]]),
))</f>
        <v>35</v>
      </c>
      <c r="F3333">
        <f>_xlfn.LET(_xlpm.dir,Table13[[#This Row],[Direction]],
IF(_xlpm.dir="R",
    IF(G3332+Table13[[#This Row],[Steps]]&gt;99,(G3332+Table13[[#This Row],[Steps]])-100,G3332+Table13[[#This Row],[Steps]]),
))</f>
        <v>0</v>
      </c>
      <c r="G3333">
        <f>IF(Table13[[#This Row],[New Pos L]]&lt;&gt;0,Table13[[#This Row],[New Pos L]],Table13[[#This Row],[New Pos R]])</f>
        <v>35</v>
      </c>
      <c r="H3333">
        <f>IF(AND(Table13[[#This Row],[Direction]]="L",Table13[[#This Row],[Steps]]&gt;G3332,G3332&lt;&gt;0),1,0)</f>
        <v>0</v>
      </c>
      <c r="I3333">
        <f>IF(AND(Table13[[#This Row],[Direction]]="R",(G3332+Table13[[#This Row],[Steps]])&gt;100),1,0)</f>
        <v>0</v>
      </c>
      <c r="J3333">
        <f>IF(Table13[[#This Row],[POS]]=0,1,0)</f>
        <v>0</v>
      </c>
      <c r="K3333">
        <f>SUM(Table13[[#This Row],[prefix]],Table13[[#This Row],[Past zero L]],Table13[[#This Row],[Past Zero R]],Table13[[#This Row],[Is Zero]])</f>
        <v>0</v>
      </c>
    </row>
    <row r="3334" spans="1:11" ht="16" x14ac:dyDescent="0.2">
      <c r="A3334" s="1" t="s">
        <v>357</v>
      </c>
      <c r="B3334" t="str">
        <f>LEFT(Table13[[#This Row],[Input]],1)</f>
        <v>R</v>
      </c>
      <c r="C3334">
        <f>_xlfn.LET(_xlpm.steps,SUBSTITUTE(Table13[[#This Row],[Input]],Table13[[#This Row],[Direction]],""),VALUE(IF(LEN(_xlpm.steps)&gt;2,RIGHT(_xlpm.steps,2),_xlpm.steps)))</f>
        <v>72</v>
      </c>
      <c r="D3334">
        <f>_xlfn.LET(_xlpm.steps,SUBSTITUTE(Table13[[#This Row],[Input]],Table13[[#This Row],[Direction]],""),VALUE(IF(LEN(_xlpm.steps)&gt;2,LEFT(_xlpm.steps,LEN(_xlpm.steps)-2),0)))</f>
        <v>0</v>
      </c>
      <c r="E3334">
        <f>_xlfn.LET(_xlpm.dir,Table13[[#This Row],[Direction]],
IF(_xlpm.dir="L",
    IF(G3333-Table13[[#This Row],[Steps]]&lt;0,100+(G3333-Table13[[#This Row],[Steps]]),G3333-Table13[[#This Row],[Steps]]),
))</f>
        <v>0</v>
      </c>
      <c r="F3334">
        <f>_xlfn.LET(_xlpm.dir,Table13[[#This Row],[Direction]],
IF(_xlpm.dir="R",
    IF(G3333+Table13[[#This Row],[Steps]]&gt;99,(G3333+Table13[[#This Row],[Steps]])-100,G3333+Table13[[#This Row],[Steps]]),
))</f>
        <v>7</v>
      </c>
      <c r="G3334">
        <f>IF(Table13[[#This Row],[New Pos L]]&lt;&gt;0,Table13[[#This Row],[New Pos L]],Table13[[#This Row],[New Pos R]])</f>
        <v>7</v>
      </c>
      <c r="H3334">
        <f>IF(AND(Table13[[#This Row],[Direction]]="L",Table13[[#This Row],[Steps]]&gt;G3333,G3333&lt;&gt;0),1,0)</f>
        <v>0</v>
      </c>
      <c r="I3334">
        <f>IF(AND(Table13[[#This Row],[Direction]]="R",(G3333+Table13[[#This Row],[Steps]])&gt;100),1,0)</f>
        <v>1</v>
      </c>
      <c r="J3334">
        <f>IF(Table13[[#This Row],[POS]]=0,1,0)</f>
        <v>0</v>
      </c>
      <c r="K3334">
        <f>SUM(Table13[[#This Row],[prefix]],Table13[[#This Row],[Past zero L]],Table13[[#This Row],[Past Zero R]],Table13[[#This Row],[Is Zero]])</f>
        <v>1</v>
      </c>
    </row>
    <row r="3335" spans="1:11" ht="16" x14ac:dyDescent="0.2">
      <c r="A3335" s="1" t="s">
        <v>7</v>
      </c>
      <c r="B3335" t="str">
        <f>LEFT(Table13[[#This Row],[Input]],1)</f>
        <v>R</v>
      </c>
      <c r="C3335">
        <f>_xlfn.LET(_xlpm.steps,SUBSTITUTE(Table13[[#This Row],[Input]],Table13[[#This Row],[Direction]],""),VALUE(IF(LEN(_xlpm.steps)&gt;2,RIGHT(_xlpm.steps,2),_xlpm.steps)))</f>
        <v>14</v>
      </c>
      <c r="D3335">
        <f>_xlfn.LET(_xlpm.steps,SUBSTITUTE(Table13[[#This Row],[Input]],Table13[[#This Row],[Direction]],""),VALUE(IF(LEN(_xlpm.steps)&gt;2,LEFT(_xlpm.steps,LEN(_xlpm.steps)-2),0)))</f>
        <v>0</v>
      </c>
      <c r="E3335">
        <f>_xlfn.LET(_xlpm.dir,Table13[[#This Row],[Direction]],
IF(_xlpm.dir="L",
    IF(G3334-Table13[[#This Row],[Steps]]&lt;0,100+(G3334-Table13[[#This Row],[Steps]]),G3334-Table13[[#This Row],[Steps]]),
))</f>
        <v>0</v>
      </c>
      <c r="F3335">
        <f>_xlfn.LET(_xlpm.dir,Table13[[#This Row],[Direction]],
IF(_xlpm.dir="R",
    IF(G3334+Table13[[#This Row],[Steps]]&gt;99,(G3334+Table13[[#This Row],[Steps]])-100,G3334+Table13[[#This Row],[Steps]]),
))</f>
        <v>21</v>
      </c>
      <c r="G3335">
        <f>IF(Table13[[#This Row],[New Pos L]]&lt;&gt;0,Table13[[#This Row],[New Pos L]],Table13[[#This Row],[New Pos R]])</f>
        <v>21</v>
      </c>
      <c r="H3335">
        <f>IF(AND(Table13[[#This Row],[Direction]]="L",Table13[[#This Row],[Steps]]&gt;G3334,G3334&lt;&gt;0),1,0)</f>
        <v>0</v>
      </c>
      <c r="I3335">
        <f>IF(AND(Table13[[#This Row],[Direction]]="R",(G3334+Table13[[#This Row],[Steps]])&gt;100),1,0)</f>
        <v>0</v>
      </c>
      <c r="J3335">
        <f>IF(Table13[[#This Row],[POS]]=0,1,0)</f>
        <v>0</v>
      </c>
      <c r="K3335">
        <f>SUM(Table13[[#This Row],[prefix]],Table13[[#This Row],[Past zero L]],Table13[[#This Row],[Past Zero R]],Table13[[#This Row],[Is Zero]])</f>
        <v>0</v>
      </c>
    </row>
    <row r="3336" spans="1:11" ht="16" x14ac:dyDescent="0.2">
      <c r="A3336" s="1" t="s">
        <v>123</v>
      </c>
      <c r="B3336" t="str">
        <f>LEFT(Table13[[#This Row],[Input]],1)</f>
        <v>L</v>
      </c>
      <c r="C3336">
        <f>_xlfn.LET(_xlpm.steps,SUBSTITUTE(Table13[[#This Row],[Input]],Table13[[#This Row],[Direction]],""),VALUE(IF(LEN(_xlpm.steps)&gt;2,RIGHT(_xlpm.steps,2),_xlpm.steps)))</f>
        <v>63</v>
      </c>
      <c r="D3336">
        <f>_xlfn.LET(_xlpm.steps,SUBSTITUTE(Table13[[#This Row],[Input]],Table13[[#This Row],[Direction]],""),VALUE(IF(LEN(_xlpm.steps)&gt;2,LEFT(_xlpm.steps,LEN(_xlpm.steps)-2),0)))</f>
        <v>0</v>
      </c>
      <c r="E3336">
        <f>_xlfn.LET(_xlpm.dir,Table13[[#This Row],[Direction]],
IF(_xlpm.dir="L",
    IF(G3335-Table13[[#This Row],[Steps]]&lt;0,100+(G3335-Table13[[#This Row],[Steps]]),G3335-Table13[[#This Row],[Steps]]),
))</f>
        <v>58</v>
      </c>
      <c r="F3336">
        <f>_xlfn.LET(_xlpm.dir,Table13[[#This Row],[Direction]],
IF(_xlpm.dir="R",
    IF(G3335+Table13[[#This Row],[Steps]]&gt;99,(G3335+Table13[[#This Row],[Steps]])-100,G3335+Table13[[#This Row],[Steps]]),
))</f>
        <v>0</v>
      </c>
      <c r="G3336">
        <f>IF(Table13[[#This Row],[New Pos L]]&lt;&gt;0,Table13[[#This Row],[New Pos L]],Table13[[#This Row],[New Pos R]])</f>
        <v>58</v>
      </c>
      <c r="H3336">
        <f>IF(AND(Table13[[#This Row],[Direction]]="L",Table13[[#This Row],[Steps]]&gt;G3335,G3335&lt;&gt;0),1,0)</f>
        <v>1</v>
      </c>
      <c r="I3336">
        <f>IF(AND(Table13[[#This Row],[Direction]]="R",(G3335+Table13[[#This Row],[Steps]])&gt;100),1,0)</f>
        <v>0</v>
      </c>
      <c r="J3336">
        <f>IF(Table13[[#This Row],[POS]]=0,1,0)</f>
        <v>0</v>
      </c>
      <c r="K3336">
        <f>SUM(Table13[[#This Row],[prefix]],Table13[[#This Row],[Past zero L]],Table13[[#This Row],[Past Zero R]],Table13[[#This Row],[Is Zero]])</f>
        <v>1</v>
      </c>
    </row>
    <row r="3337" spans="1:11" ht="16" x14ac:dyDescent="0.2">
      <c r="A3337" s="1" t="s">
        <v>83</v>
      </c>
      <c r="B3337" t="str">
        <f>LEFT(Table13[[#This Row],[Input]],1)</f>
        <v>R</v>
      </c>
      <c r="C3337">
        <f>_xlfn.LET(_xlpm.steps,SUBSTITUTE(Table13[[#This Row],[Input]],Table13[[#This Row],[Direction]],""),VALUE(IF(LEN(_xlpm.steps)&gt;2,RIGHT(_xlpm.steps,2),_xlpm.steps)))</f>
        <v>79</v>
      </c>
      <c r="D3337">
        <f>_xlfn.LET(_xlpm.steps,SUBSTITUTE(Table13[[#This Row],[Input]],Table13[[#This Row],[Direction]],""),VALUE(IF(LEN(_xlpm.steps)&gt;2,LEFT(_xlpm.steps,LEN(_xlpm.steps)-2),0)))</f>
        <v>0</v>
      </c>
      <c r="E3337">
        <f>_xlfn.LET(_xlpm.dir,Table13[[#This Row],[Direction]],
IF(_xlpm.dir="L",
    IF(G3336-Table13[[#This Row],[Steps]]&lt;0,100+(G3336-Table13[[#This Row],[Steps]]),G3336-Table13[[#This Row],[Steps]]),
))</f>
        <v>0</v>
      </c>
      <c r="F3337">
        <f>_xlfn.LET(_xlpm.dir,Table13[[#This Row],[Direction]],
IF(_xlpm.dir="R",
    IF(G3336+Table13[[#This Row],[Steps]]&gt;99,(G3336+Table13[[#This Row],[Steps]])-100,G3336+Table13[[#This Row],[Steps]]),
))</f>
        <v>37</v>
      </c>
      <c r="G3337">
        <f>IF(Table13[[#This Row],[New Pos L]]&lt;&gt;0,Table13[[#This Row],[New Pos L]],Table13[[#This Row],[New Pos R]])</f>
        <v>37</v>
      </c>
      <c r="H3337">
        <f>IF(AND(Table13[[#This Row],[Direction]]="L",Table13[[#This Row],[Steps]]&gt;G3336,G3336&lt;&gt;0),1,0)</f>
        <v>0</v>
      </c>
      <c r="I3337">
        <f>IF(AND(Table13[[#This Row],[Direction]]="R",(G3336+Table13[[#This Row],[Steps]])&gt;100),1,0)</f>
        <v>1</v>
      </c>
      <c r="J3337">
        <f>IF(Table13[[#This Row],[POS]]=0,1,0)</f>
        <v>0</v>
      </c>
      <c r="K3337">
        <f>SUM(Table13[[#This Row],[prefix]],Table13[[#This Row],[Past zero L]],Table13[[#This Row],[Past Zero R]],Table13[[#This Row],[Is Zero]])</f>
        <v>1</v>
      </c>
    </row>
    <row r="3338" spans="1:11" ht="16" x14ac:dyDescent="0.2">
      <c r="A3338" s="1" t="s">
        <v>363</v>
      </c>
      <c r="B3338" t="str">
        <f>LEFT(Table13[[#This Row],[Input]],1)</f>
        <v>R</v>
      </c>
      <c r="C3338">
        <f>_xlfn.LET(_xlpm.steps,SUBSTITUTE(Table13[[#This Row],[Input]],Table13[[#This Row],[Direction]],""),VALUE(IF(LEN(_xlpm.steps)&gt;2,RIGHT(_xlpm.steps,2),_xlpm.steps)))</f>
        <v>63</v>
      </c>
      <c r="D3338">
        <f>_xlfn.LET(_xlpm.steps,SUBSTITUTE(Table13[[#This Row],[Input]],Table13[[#This Row],[Direction]],""),VALUE(IF(LEN(_xlpm.steps)&gt;2,LEFT(_xlpm.steps,LEN(_xlpm.steps)-2),0)))</f>
        <v>0</v>
      </c>
      <c r="E3338">
        <f>_xlfn.LET(_xlpm.dir,Table13[[#This Row],[Direction]],
IF(_xlpm.dir="L",
    IF(G3337-Table13[[#This Row],[Steps]]&lt;0,100+(G3337-Table13[[#This Row],[Steps]]),G3337-Table13[[#This Row],[Steps]]),
))</f>
        <v>0</v>
      </c>
      <c r="F3338">
        <f>_xlfn.LET(_xlpm.dir,Table13[[#This Row],[Direction]],
IF(_xlpm.dir="R",
    IF(G3337+Table13[[#This Row],[Steps]]&gt;99,(G3337+Table13[[#This Row],[Steps]])-100,G3337+Table13[[#This Row],[Steps]]),
))</f>
        <v>0</v>
      </c>
      <c r="G3338">
        <f>IF(Table13[[#This Row],[New Pos L]]&lt;&gt;0,Table13[[#This Row],[New Pos L]],Table13[[#This Row],[New Pos R]])</f>
        <v>0</v>
      </c>
      <c r="H3338">
        <f>IF(AND(Table13[[#This Row],[Direction]]="L",Table13[[#This Row],[Steps]]&gt;G3337,G3337&lt;&gt;0),1,0)</f>
        <v>0</v>
      </c>
      <c r="I3338">
        <f>IF(AND(Table13[[#This Row],[Direction]]="R",(G3337+Table13[[#This Row],[Steps]])&gt;100),1,0)</f>
        <v>0</v>
      </c>
      <c r="J3338">
        <f>IF(Table13[[#This Row],[POS]]=0,1,0)</f>
        <v>1</v>
      </c>
      <c r="K3338">
        <f>SUM(Table13[[#This Row],[prefix]],Table13[[#This Row],[Past zero L]],Table13[[#This Row],[Past Zero R]],Table13[[#This Row],[Is Zero]])</f>
        <v>1</v>
      </c>
    </row>
    <row r="3339" spans="1:11" ht="16" x14ac:dyDescent="0.2">
      <c r="A3339" s="1" t="s">
        <v>40</v>
      </c>
      <c r="B3339" t="str">
        <f>LEFT(Table13[[#This Row],[Input]],1)</f>
        <v>R</v>
      </c>
      <c r="C3339">
        <f>_xlfn.LET(_xlpm.steps,SUBSTITUTE(Table13[[#This Row],[Input]],Table13[[#This Row],[Direction]],""),VALUE(IF(LEN(_xlpm.steps)&gt;2,RIGHT(_xlpm.steps,2),_xlpm.steps)))</f>
        <v>52</v>
      </c>
      <c r="D3339">
        <f>_xlfn.LET(_xlpm.steps,SUBSTITUTE(Table13[[#This Row],[Input]],Table13[[#This Row],[Direction]],""),VALUE(IF(LEN(_xlpm.steps)&gt;2,LEFT(_xlpm.steps,LEN(_xlpm.steps)-2),0)))</f>
        <v>0</v>
      </c>
      <c r="E3339">
        <f>_xlfn.LET(_xlpm.dir,Table13[[#This Row],[Direction]],
IF(_xlpm.dir="L",
    IF(G3338-Table13[[#This Row],[Steps]]&lt;0,100+(G3338-Table13[[#This Row],[Steps]]),G3338-Table13[[#This Row],[Steps]]),
))</f>
        <v>0</v>
      </c>
      <c r="F3339">
        <f>_xlfn.LET(_xlpm.dir,Table13[[#This Row],[Direction]],
IF(_xlpm.dir="R",
    IF(G3338+Table13[[#This Row],[Steps]]&gt;99,(G3338+Table13[[#This Row],[Steps]])-100,G3338+Table13[[#This Row],[Steps]]),
))</f>
        <v>52</v>
      </c>
      <c r="G3339">
        <f>IF(Table13[[#This Row],[New Pos L]]&lt;&gt;0,Table13[[#This Row],[New Pos L]],Table13[[#This Row],[New Pos R]])</f>
        <v>52</v>
      </c>
      <c r="H3339">
        <f>IF(AND(Table13[[#This Row],[Direction]]="L",Table13[[#This Row],[Steps]]&gt;G3338,G3338&lt;&gt;0),1,0)</f>
        <v>0</v>
      </c>
      <c r="I3339">
        <f>IF(AND(Table13[[#This Row],[Direction]]="R",(G3338+Table13[[#This Row],[Steps]])&gt;100),1,0)</f>
        <v>0</v>
      </c>
      <c r="J3339">
        <f>IF(Table13[[#This Row],[POS]]=0,1,0)</f>
        <v>0</v>
      </c>
      <c r="K3339">
        <f>SUM(Table13[[#This Row],[prefix]],Table13[[#This Row],[Past zero L]],Table13[[#This Row],[Past Zero R]],Table13[[#This Row],[Is Zero]])</f>
        <v>0</v>
      </c>
    </row>
    <row r="3340" spans="1:11" ht="16" x14ac:dyDescent="0.2">
      <c r="A3340" s="1" t="s">
        <v>30</v>
      </c>
      <c r="B3340" t="str">
        <f>LEFT(Table13[[#This Row],[Input]],1)</f>
        <v>R</v>
      </c>
      <c r="C3340">
        <f>_xlfn.LET(_xlpm.steps,SUBSTITUTE(Table13[[#This Row],[Input]],Table13[[#This Row],[Direction]],""),VALUE(IF(LEN(_xlpm.steps)&gt;2,RIGHT(_xlpm.steps,2),_xlpm.steps)))</f>
        <v>48</v>
      </c>
      <c r="D3340">
        <f>_xlfn.LET(_xlpm.steps,SUBSTITUTE(Table13[[#This Row],[Input]],Table13[[#This Row],[Direction]],""),VALUE(IF(LEN(_xlpm.steps)&gt;2,LEFT(_xlpm.steps,LEN(_xlpm.steps)-2),0)))</f>
        <v>0</v>
      </c>
      <c r="E3340">
        <f>_xlfn.LET(_xlpm.dir,Table13[[#This Row],[Direction]],
IF(_xlpm.dir="L",
    IF(G3339-Table13[[#This Row],[Steps]]&lt;0,100+(G3339-Table13[[#This Row],[Steps]]),G3339-Table13[[#This Row],[Steps]]),
))</f>
        <v>0</v>
      </c>
      <c r="F3340">
        <f>_xlfn.LET(_xlpm.dir,Table13[[#This Row],[Direction]],
IF(_xlpm.dir="R",
    IF(G3339+Table13[[#This Row],[Steps]]&gt;99,(G3339+Table13[[#This Row],[Steps]])-100,G3339+Table13[[#This Row],[Steps]]),
))</f>
        <v>0</v>
      </c>
      <c r="G3340">
        <f>IF(Table13[[#This Row],[New Pos L]]&lt;&gt;0,Table13[[#This Row],[New Pos L]],Table13[[#This Row],[New Pos R]])</f>
        <v>0</v>
      </c>
      <c r="H3340">
        <f>IF(AND(Table13[[#This Row],[Direction]]="L",Table13[[#This Row],[Steps]]&gt;G3339,G3339&lt;&gt;0),1,0)</f>
        <v>0</v>
      </c>
      <c r="I3340">
        <f>IF(AND(Table13[[#This Row],[Direction]]="R",(G3339+Table13[[#This Row],[Steps]])&gt;100),1,0)</f>
        <v>0</v>
      </c>
      <c r="J3340">
        <f>IF(Table13[[#This Row],[POS]]=0,1,0)</f>
        <v>1</v>
      </c>
      <c r="K3340">
        <f>SUM(Table13[[#This Row],[prefix]],Table13[[#This Row],[Past zero L]],Table13[[#This Row],[Past Zero R]],Table13[[#This Row],[Is Zero]])</f>
        <v>1</v>
      </c>
    </row>
    <row r="3341" spans="1:11" ht="16" x14ac:dyDescent="0.2">
      <c r="A3341" s="1" t="s">
        <v>729</v>
      </c>
      <c r="B3341" t="str">
        <f>LEFT(Table13[[#This Row],[Input]],1)</f>
        <v>L</v>
      </c>
      <c r="C3341">
        <f>_xlfn.LET(_xlpm.steps,SUBSTITUTE(Table13[[#This Row],[Input]],Table13[[#This Row],[Direction]],""),VALUE(IF(LEN(_xlpm.steps)&gt;2,RIGHT(_xlpm.steps,2),_xlpm.steps)))</f>
        <v>68</v>
      </c>
      <c r="D3341">
        <f>_xlfn.LET(_xlpm.steps,SUBSTITUTE(Table13[[#This Row],[Input]],Table13[[#This Row],[Direction]],""),VALUE(IF(LEN(_xlpm.steps)&gt;2,LEFT(_xlpm.steps,LEN(_xlpm.steps)-2),0)))</f>
        <v>1</v>
      </c>
      <c r="E3341">
        <f>_xlfn.LET(_xlpm.dir,Table13[[#This Row],[Direction]],
IF(_xlpm.dir="L",
    IF(G3340-Table13[[#This Row],[Steps]]&lt;0,100+(G3340-Table13[[#This Row],[Steps]]),G3340-Table13[[#This Row],[Steps]]),
))</f>
        <v>32</v>
      </c>
      <c r="F3341">
        <f>_xlfn.LET(_xlpm.dir,Table13[[#This Row],[Direction]],
IF(_xlpm.dir="R",
    IF(G3340+Table13[[#This Row],[Steps]]&gt;99,(G3340+Table13[[#This Row],[Steps]])-100,G3340+Table13[[#This Row],[Steps]]),
))</f>
        <v>0</v>
      </c>
      <c r="G3341">
        <f>IF(Table13[[#This Row],[New Pos L]]&lt;&gt;0,Table13[[#This Row],[New Pos L]],Table13[[#This Row],[New Pos R]])</f>
        <v>32</v>
      </c>
      <c r="H3341">
        <f>IF(AND(Table13[[#This Row],[Direction]]="L",Table13[[#This Row],[Steps]]&gt;G3340,G3340&lt;&gt;0),1,0)</f>
        <v>0</v>
      </c>
      <c r="I3341">
        <f>IF(AND(Table13[[#This Row],[Direction]]="R",(G3340+Table13[[#This Row],[Steps]])&gt;100),1,0)</f>
        <v>0</v>
      </c>
      <c r="J3341">
        <f>IF(Table13[[#This Row],[POS]]=0,1,0)</f>
        <v>0</v>
      </c>
      <c r="K3341">
        <f>SUM(Table13[[#This Row],[prefix]],Table13[[#This Row],[Past zero L]],Table13[[#This Row],[Past Zero R]],Table13[[#This Row],[Is Zero]])</f>
        <v>1</v>
      </c>
    </row>
    <row r="3342" spans="1:11" ht="16" x14ac:dyDescent="0.2">
      <c r="A3342" s="1" t="s">
        <v>104</v>
      </c>
      <c r="B3342" t="str">
        <f>LEFT(Table13[[#This Row],[Input]],1)</f>
        <v>R</v>
      </c>
      <c r="C3342">
        <f>_xlfn.LET(_xlpm.steps,SUBSTITUTE(Table13[[#This Row],[Input]],Table13[[#This Row],[Direction]],""),VALUE(IF(LEN(_xlpm.steps)&gt;2,RIGHT(_xlpm.steps,2),_xlpm.steps)))</f>
        <v>59</v>
      </c>
      <c r="D3342">
        <f>_xlfn.LET(_xlpm.steps,SUBSTITUTE(Table13[[#This Row],[Input]],Table13[[#This Row],[Direction]],""),VALUE(IF(LEN(_xlpm.steps)&gt;2,LEFT(_xlpm.steps,LEN(_xlpm.steps)-2),0)))</f>
        <v>0</v>
      </c>
      <c r="E3342">
        <f>_xlfn.LET(_xlpm.dir,Table13[[#This Row],[Direction]],
IF(_xlpm.dir="L",
    IF(G3341-Table13[[#This Row],[Steps]]&lt;0,100+(G3341-Table13[[#This Row],[Steps]]),G3341-Table13[[#This Row],[Steps]]),
))</f>
        <v>0</v>
      </c>
      <c r="F3342">
        <f>_xlfn.LET(_xlpm.dir,Table13[[#This Row],[Direction]],
IF(_xlpm.dir="R",
    IF(G3341+Table13[[#This Row],[Steps]]&gt;99,(G3341+Table13[[#This Row],[Steps]])-100,G3341+Table13[[#This Row],[Steps]]),
))</f>
        <v>91</v>
      </c>
      <c r="G3342">
        <f>IF(Table13[[#This Row],[New Pos L]]&lt;&gt;0,Table13[[#This Row],[New Pos L]],Table13[[#This Row],[New Pos R]])</f>
        <v>91</v>
      </c>
      <c r="H3342">
        <f>IF(AND(Table13[[#This Row],[Direction]]="L",Table13[[#This Row],[Steps]]&gt;G3341,G3341&lt;&gt;0),1,0)</f>
        <v>0</v>
      </c>
      <c r="I3342">
        <f>IF(AND(Table13[[#This Row],[Direction]]="R",(G3341+Table13[[#This Row],[Steps]])&gt;100),1,0)</f>
        <v>0</v>
      </c>
      <c r="J3342">
        <f>IF(Table13[[#This Row],[POS]]=0,1,0)</f>
        <v>0</v>
      </c>
      <c r="K3342">
        <f>SUM(Table13[[#This Row],[prefix]],Table13[[#This Row],[Past zero L]],Table13[[#This Row],[Past Zero R]],Table13[[#This Row],[Is Zero]])</f>
        <v>0</v>
      </c>
    </row>
    <row r="3343" spans="1:11" ht="16" x14ac:dyDescent="0.2">
      <c r="A3343" s="1" t="s">
        <v>29</v>
      </c>
      <c r="B3343" t="str">
        <f>LEFT(Table13[[#This Row],[Input]],1)</f>
        <v>L</v>
      </c>
      <c r="C3343">
        <f>_xlfn.LET(_xlpm.steps,SUBSTITUTE(Table13[[#This Row],[Input]],Table13[[#This Row],[Direction]],""),VALUE(IF(LEN(_xlpm.steps)&gt;2,RIGHT(_xlpm.steps,2),_xlpm.steps)))</f>
        <v>33</v>
      </c>
      <c r="D3343">
        <f>_xlfn.LET(_xlpm.steps,SUBSTITUTE(Table13[[#This Row],[Input]],Table13[[#This Row],[Direction]],""),VALUE(IF(LEN(_xlpm.steps)&gt;2,LEFT(_xlpm.steps,LEN(_xlpm.steps)-2),0)))</f>
        <v>0</v>
      </c>
      <c r="E3343">
        <f>_xlfn.LET(_xlpm.dir,Table13[[#This Row],[Direction]],
IF(_xlpm.dir="L",
    IF(G3342-Table13[[#This Row],[Steps]]&lt;0,100+(G3342-Table13[[#This Row],[Steps]]),G3342-Table13[[#This Row],[Steps]]),
))</f>
        <v>58</v>
      </c>
      <c r="F3343">
        <f>_xlfn.LET(_xlpm.dir,Table13[[#This Row],[Direction]],
IF(_xlpm.dir="R",
    IF(G3342+Table13[[#This Row],[Steps]]&gt;99,(G3342+Table13[[#This Row],[Steps]])-100,G3342+Table13[[#This Row],[Steps]]),
))</f>
        <v>0</v>
      </c>
      <c r="G3343">
        <f>IF(Table13[[#This Row],[New Pos L]]&lt;&gt;0,Table13[[#This Row],[New Pos L]],Table13[[#This Row],[New Pos R]])</f>
        <v>58</v>
      </c>
      <c r="H3343">
        <f>IF(AND(Table13[[#This Row],[Direction]]="L",Table13[[#This Row],[Steps]]&gt;G3342,G3342&lt;&gt;0),1,0)</f>
        <v>0</v>
      </c>
      <c r="I3343">
        <f>IF(AND(Table13[[#This Row],[Direction]]="R",(G3342+Table13[[#This Row],[Steps]])&gt;100),1,0)</f>
        <v>0</v>
      </c>
      <c r="J3343">
        <f>IF(Table13[[#This Row],[POS]]=0,1,0)</f>
        <v>0</v>
      </c>
      <c r="K3343">
        <f>SUM(Table13[[#This Row],[prefix]],Table13[[#This Row],[Past zero L]],Table13[[#This Row],[Past Zero R]],Table13[[#This Row],[Is Zero]])</f>
        <v>0</v>
      </c>
    </row>
    <row r="3344" spans="1:11" ht="16" x14ac:dyDescent="0.2">
      <c r="A3344" s="1" t="s">
        <v>69</v>
      </c>
      <c r="B3344" t="str">
        <f>LEFT(Table13[[#This Row],[Input]],1)</f>
        <v>R</v>
      </c>
      <c r="C3344">
        <f>_xlfn.LET(_xlpm.steps,SUBSTITUTE(Table13[[#This Row],[Input]],Table13[[#This Row],[Direction]],""),VALUE(IF(LEN(_xlpm.steps)&gt;2,RIGHT(_xlpm.steps,2),_xlpm.steps)))</f>
        <v>27</v>
      </c>
      <c r="D3344">
        <f>_xlfn.LET(_xlpm.steps,SUBSTITUTE(Table13[[#This Row],[Input]],Table13[[#This Row],[Direction]],""),VALUE(IF(LEN(_xlpm.steps)&gt;2,LEFT(_xlpm.steps,LEN(_xlpm.steps)-2),0)))</f>
        <v>0</v>
      </c>
      <c r="E3344">
        <f>_xlfn.LET(_xlpm.dir,Table13[[#This Row],[Direction]],
IF(_xlpm.dir="L",
    IF(G3343-Table13[[#This Row],[Steps]]&lt;0,100+(G3343-Table13[[#This Row],[Steps]]),G3343-Table13[[#This Row],[Steps]]),
))</f>
        <v>0</v>
      </c>
      <c r="F3344">
        <f>_xlfn.LET(_xlpm.dir,Table13[[#This Row],[Direction]],
IF(_xlpm.dir="R",
    IF(G3343+Table13[[#This Row],[Steps]]&gt;99,(G3343+Table13[[#This Row],[Steps]])-100,G3343+Table13[[#This Row],[Steps]]),
))</f>
        <v>85</v>
      </c>
      <c r="G3344">
        <f>IF(Table13[[#This Row],[New Pos L]]&lt;&gt;0,Table13[[#This Row],[New Pos L]],Table13[[#This Row],[New Pos R]])</f>
        <v>85</v>
      </c>
      <c r="H3344">
        <f>IF(AND(Table13[[#This Row],[Direction]]="L",Table13[[#This Row],[Steps]]&gt;G3343,G3343&lt;&gt;0),1,0)</f>
        <v>0</v>
      </c>
      <c r="I3344">
        <f>IF(AND(Table13[[#This Row],[Direction]]="R",(G3343+Table13[[#This Row],[Steps]])&gt;100),1,0)</f>
        <v>0</v>
      </c>
      <c r="J3344">
        <f>IF(Table13[[#This Row],[POS]]=0,1,0)</f>
        <v>0</v>
      </c>
      <c r="K3344">
        <f>SUM(Table13[[#This Row],[prefix]],Table13[[#This Row],[Past zero L]],Table13[[#This Row],[Past Zero R]],Table13[[#This Row],[Is Zero]])</f>
        <v>0</v>
      </c>
    </row>
    <row r="3345" spans="1:11" ht="16" x14ac:dyDescent="0.2">
      <c r="A3345" s="1" t="s">
        <v>260</v>
      </c>
      <c r="B3345" t="str">
        <f>LEFT(Table13[[#This Row],[Input]],1)</f>
        <v>L</v>
      </c>
      <c r="C3345">
        <f>_xlfn.LET(_xlpm.steps,SUBSTITUTE(Table13[[#This Row],[Input]],Table13[[#This Row],[Direction]],""),VALUE(IF(LEN(_xlpm.steps)&gt;2,RIGHT(_xlpm.steps,2),_xlpm.steps)))</f>
        <v>85</v>
      </c>
      <c r="D3345">
        <f>_xlfn.LET(_xlpm.steps,SUBSTITUTE(Table13[[#This Row],[Input]],Table13[[#This Row],[Direction]],""),VALUE(IF(LEN(_xlpm.steps)&gt;2,LEFT(_xlpm.steps,LEN(_xlpm.steps)-2),0)))</f>
        <v>0</v>
      </c>
      <c r="E3345">
        <f>_xlfn.LET(_xlpm.dir,Table13[[#This Row],[Direction]],
IF(_xlpm.dir="L",
    IF(G3344-Table13[[#This Row],[Steps]]&lt;0,100+(G3344-Table13[[#This Row],[Steps]]),G3344-Table13[[#This Row],[Steps]]),
))</f>
        <v>0</v>
      </c>
      <c r="F3345">
        <f>_xlfn.LET(_xlpm.dir,Table13[[#This Row],[Direction]],
IF(_xlpm.dir="R",
    IF(G3344+Table13[[#This Row],[Steps]]&gt;99,(G3344+Table13[[#This Row],[Steps]])-100,G3344+Table13[[#This Row],[Steps]]),
))</f>
        <v>0</v>
      </c>
      <c r="G3345">
        <f>IF(Table13[[#This Row],[New Pos L]]&lt;&gt;0,Table13[[#This Row],[New Pos L]],Table13[[#This Row],[New Pos R]])</f>
        <v>0</v>
      </c>
      <c r="H3345">
        <f>IF(AND(Table13[[#This Row],[Direction]]="L",Table13[[#This Row],[Steps]]&gt;G3344,G3344&lt;&gt;0),1,0)</f>
        <v>0</v>
      </c>
      <c r="I3345">
        <f>IF(AND(Table13[[#This Row],[Direction]]="R",(G3344+Table13[[#This Row],[Steps]])&gt;100),1,0)</f>
        <v>0</v>
      </c>
      <c r="J3345">
        <f>IF(Table13[[#This Row],[POS]]=0,1,0)</f>
        <v>1</v>
      </c>
      <c r="K3345">
        <f>SUM(Table13[[#This Row],[prefix]],Table13[[#This Row],[Past zero L]],Table13[[#This Row],[Past Zero R]],Table13[[#This Row],[Is Zero]])</f>
        <v>1</v>
      </c>
    </row>
    <row r="3346" spans="1:11" ht="16" x14ac:dyDescent="0.2">
      <c r="A3346" s="1" t="s">
        <v>694</v>
      </c>
      <c r="B3346" t="str">
        <f>LEFT(Table13[[#This Row],[Input]],1)</f>
        <v>R</v>
      </c>
      <c r="C3346">
        <f>_xlfn.LET(_xlpm.steps,SUBSTITUTE(Table13[[#This Row],[Input]],Table13[[#This Row],[Direction]],""),VALUE(IF(LEN(_xlpm.steps)&gt;2,RIGHT(_xlpm.steps,2),_xlpm.steps)))</f>
        <v>63</v>
      </c>
      <c r="D3346">
        <f>_xlfn.LET(_xlpm.steps,SUBSTITUTE(Table13[[#This Row],[Input]],Table13[[#This Row],[Direction]],""),VALUE(IF(LEN(_xlpm.steps)&gt;2,LEFT(_xlpm.steps,LEN(_xlpm.steps)-2),0)))</f>
        <v>4</v>
      </c>
      <c r="E3346">
        <f>_xlfn.LET(_xlpm.dir,Table13[[#This Row],[Direction]],
IF(_xlpm.dir="L",
    IF(G3345-Table13[[#This Row],[Steps]]&lt;0,100+(G3345-Table13[[#This Row],[Steps]]),G3345-Table13[[#This Row],[Steps]]),
))</f>
        <v>0</v>
      </c>
      <c r="F3346">
        <f>_xlfn.LET(_xlpm.dir,Table13[[#This Row],[Direction]],
IF(_xlpm.dir="R",
    IF(G3345+Table13[[#This Row],[Steps]]&gt;99,(G3345+Table13[[#This Row],[Steps]])-100,G3345+Table13[[#This Row],[Steps]]),
))</f>
        <v>63</v>
      </c>
      <c r="G3346">
        <f>IF(Table13[[#This Row],[New Pos L]]&lt;&gt;0,Table13[[#This Row],[New Pos L]],Table13[[#This Row],[New Pos R]])</f>
        <v>63</v>
      </c>
      <c r="H3346">
        <f>IF(AND(Table13[[#This Row],[Direction]]="L",Table13[[#This Row],[Steps]]&gt;G3345,G3345&lt;&gt;0),1,0)</f>
        <v>0</v>
      </c>
      <c r="I3346">
        <f>IF(AND(Table13[[#This Row],[Direction]]="R",(G3345+Table13[[#This Row],[Steps]])&gt;100),1,0)</f>
        <v>0</v>
      </c>
      <c r="J3346">
        <f>IF(Table13[[#This Row],[POS]]=0,1,0)</f>
        <v>0</v>
      </c>
      <c r="K3346">
        <f>SUM(Table13[[#This Row],[prefix]],Table13[[#This Row],[Past zero L]],Table13[[#This Row],[Past Zero R]],Table13[[#This Row],[Is Zero]])</f>
        <v>4</v>
      </c>
    </row>
    <row r="3347" spans="1:11" ht="16" x14ac:dyDescent="0.2">
      <c r="A3347" s="1" t="s">
        <v>61</v>
      </c>
      <c r="B3347" t="str">
        <f>LEFT(Table13[[#This Row],[Input]],1)</f>
        <v>L</v>
      </c>
      <c r="C3347">
        <f>_xlfn.LET(_xlpm.steps,SUBSTITUTE(Table13[[#This Row],[Input]],Table13[[#This Row],[Direction]],""),VALUE(IF(LEN(_xlpm.steps)&gt;2,RIGHT(_xlpm.steps,2),_xlpm.steps)))</f>
        <v>16</v>
      </c>
      <c r="D3347">
        <f>_xlfn.LET(_xlpm.steps,SUBSTITUTE(Table13[[#This Row],[Input]],Table13[[#This Row],[Direction]],""),VALUE(IF(LEN(_xlpm.steps)&gt;2,LEFT(_xlpm.steps,LEN(_xlpm.steps)-2),0)))</f>
        <v>0</v>
      </c>
      <c r="E3347">
        <f>_xlfn.LET(_xlpm.dir,Table13[[#This Row],[Direction]],
IF(_xlpm.dir="L",
    IF(G3346-Table13[[#This Row],[Steps]]&lt;0,100+(G3346-Table13[[#This Row],[Steps]]),G3346-Table13[[#This Row],[Steps]]),
))</f>
        <v>47</v>
      </c>
      <c r="F3347">
        <f>_xlfn.LET(_xlpm.dir,Table13[[#This Row],[Direction]],
IF(_xlpm.dir="R",
    IF(G3346+Table13[[#This Row],[Steps]]&gt;99,(G3346+Table13[[#This Row],[Steps]])-100,G3346+Table13[[#This Row],[Steps]]),
))</f>
        <v>0</v>
      </c>
      <c r="G3347">
        <f>IF(Table13[[#This Row],[New Pos L]]&lt;&gt;0,Table13[[#This Row],[New Pos L]],Table13[[#This Row],[New Pos R]])</f>
        <v>47</v>
      </c>
      <c r="H3347">
        <f>IF(AND(Table13[[#This Row],[Direction]]="L",Table13[[#This Row],[Steps]]&gt;G3346,G3346&lt;&gt;0),1,0)</f>
        <v>0</v>
      </c>
      <c r="I3347">
        <f>IF(AND(Table13[[#This Row],[Direction]]="R",(G3346+Table13[[#This Row],[Steps]])&gt;100),1,0)</f>
        <v>0</v>
      </c>
      <c r="J3347">
        <f>IF(Table13[[#This Row],[POS]]=0,1,0)</f>
        <v>0</v>
      </c>
      <c r="K3347">
        <f>SUM(Table13[[#This Row],[prefix]],Table13[[#This Row],[Past zero L]],Table13[[#This Row],[Past Zero R]],Table13[[#This Row],[Is Zero]])</f>
        <v>0</v>
      </c>
    </row>
    <row r="3348" spans="1:11" ht="16" x14ac:dyDescent="0.2">
      <c r="A3348" s="1" t="s">
        <v>218</v>
      </c>
      <c r="B3348" t="str">
        <f>LEFT(Table13[[#This Row],[Input]],1)</f>
        <v>R</v>
      </c>
      <c r="C3348">
        <f>_xlfn.LET(_xlpm.steps,SUBSTITUTE(Table13[[#This Row],[Input]],Table13[[#This Row],[Direction]],""),VALUE(IF(LEN(_xlpm.steps)&gt;2,RIGHT(_xlpm.steps,2),_xlpm.steps)))</f>
        <v>35</v>
      </c>
      <c r="D3348">
        <f>_xlfn.LET(_xlpm.steps,SUBSTITUTE(Table13[[#This Row],[Input]],Table13[[#This Row],[Direction]],""),VALUE(IF(LEN(_xlpm.steps)&gt;2,LEFT(_xlpm.steps,LEN(_xlpm.steps)-2),0)))</f>
        <v>0</v>
      </c>
      <c r="E3348">
        <f>_xlfn.LET(_xlpm.dir,Table13[[#This Row],[Direction]],
IF(_xlpm.dir="L",
    IF(G3347-Table13[[#This Row],[Steps]]&lt;0,100+(G3347-Table13[[#This Row],[Steps]]),G3347-Table13[[#This Row],[Steps]]),
))</f>
        <v>0</v>
      </c>
      <c r="F3348">
        <f>_xlfn.LET(_xlpm.dir,Table13[[#This Row],[Direction]],
IF(_xlpm.dir="R",
    IF(G3347+Table13[[#This Row],[Steps]]&gt;99,(G3347+Table13[[#This Row],[Steps]])-100,G3347+Table13[[#This Row],[Steps]]),
))</f>
        <v>82</v>
      </c>
      <c r="G3348">
        <f>IF(Table13[[#This Row],[New Pos L]]&lt;&gt;0,Table13[[#This Row],[New Pos L]],Table13[[#This Row],[New Pos R]])</f>
        <v>82</v>
      </c>
      <c r="H3348">
        <f>IF(AND(Table13[[#This Row],[Direction]]="L",Table13[[#This Row],[Steps]]&gt;G3347,G3347&lt;&gt;0),1,0)</f>
        <v>0</v>
      </c>
      <c r="I3348">
        <f>IF(AND(Table13[[#This Row],[Direction]]="R",(G3347+Table13[[#This Row],[Steps]])&gt;100),1,0)</f>
        <v>0</v>
      </c>
      <c r="J3348">
        <f>IF(Table13[[#This Row],[POS]]=0,1,0)</f>
        <v>0</v>
      </c>
      <c r="K3348">
        <f>SUM(Table13[[#This Row],[prefix]],Table13[[#This Row],[Past zero L]],Table13[[#This Row],[Past Zero R]],Table13[[#This Row],[Is Zero]])</f>
        <v>0</v>
      </c>
    </row>
    <row r="3349" spans="1:11" ht="16" x14ac:dyDescent="0.2">
      <c r="A3349" s="1" t="s">
        <v>730</v>
      </c>
      <c r="B3349" t="str">
        <f>LEFT(Table13[[#This Row],[Input]],1)</f>
        <v>R</v>
      </c>
      <c r="C3349">
        <f>_xlfn.LET(_xlpm.steps,SUBSTITUTE(Table13[[#This Row],[Input]],Table13[[#This Row],[Direction]],""),VALUE(IF(LEN(_xlpm.steps)&gt;2,RIGHT(_xlpm.steps,2),_xlpm.steps)))</f>
        <v>33</v>
      </c>
      <c r="D3349">
        <f>_xlfn.LET(_xlpm.steps,SUBSTITUTE(Table13[[#This Row],[Input]],Table13[[#This Row],[Direction]],""),VALUE(IF(LEN(_xlpm.steps)&gt;2,LEFT(_xlpm.steps,LEN(_xlpm.steps)-2),0)))</f>
        <v>1</v>
      </c>
      <c r="E3349">
        <f>_xlfn.LET(_xlpm.dir,Table13[[#This Row],[Direction]],
IF(_xlpm.dir="L",
    IF(G3348-Table13[[#This Row],[Steps]]&lt;0,100+(G3348-Table13[[#This Row],[Steps]]),G3348-Table13[[#This Row],[Steps]]),
))</f>
        <v>0</v>
      </c>
      <c r="F3349">
        <f>_xlfn.LET(_xlpm.dir,Table13[[#This Row],[Direction]],
IF(_xlpm.dir="R",
    IF(G3348+Table13[[#This Row],[Steps]]&gt;99,(G3348+Table13[[#This Row],[Steps]])-100,G3348+Table13[[#This Row],[Steps]]),
))</f>
        <v>15</v>
      </c>
      <c r="G3349">
        <f>IF(Table13[[#This Row],[New Pos L]]&lt;&gt;0,Table13[[#This Row],[New Pos L]],Table13[[#This Row],[New Pos R]])</f>
        <v>15</v>
      </c>
      <c r="H3349">
        <f>IF(AND(Table13[[#This Row],[Direction]]="L",Table13[[#This Row],[Steps]]&gt;G3348,G3348&lt;&gt;0),1,0)</f>
        <v>0</v>
      </c>
      <c r="I3349">
        <f>IF(AND(Table13[[#This Row],[Direction]]="R",(G3348+Table13[[#This Row],[Steps]])&gt;100),1,0)</f>
        <v>1</v>
      </c>
      <c r="J3349">
        <f>IF(Table13[[#This Row],[POS]]=0,1,0)</f>
        <v>0</v>
      </c>
      <c r="K3349">
        <f>SUM(Table13[[#This Row],[prefix]],Table13[[#This Row],[Past zero L]],Table13[[#This Row],[Past Zero R]],Table13[[#This Row],[Is Zero]])</f>
        <v>2</v>
      </c>
    </row>
    <row r="3350" spans="1:11" ht="16" x14ac:dyDescent="0.2">
      <c r="A3350" s="1" t="s">
        <v>11</v>
      </c>
      <c r="B3350" t="str">
        <f>LEFT(Table13[[#This Row],[Input]],1)</f>
        <v>L</v>
      </c>
      <c r="C3350">
        <f>_xlfn.LET(_xlpm.steps,SUBSTITUTE(Table13[[#This Row],[Input]],Table13[[#This Row],[Direction]],""),VALUE(IF(LEN(_xlpm.steps)&gt;2,RIGHT(_xlpm.steps,2),_xlpm.steps)))</f>
        <v>34</v>
      </c>
      <c r="D3350">
        <f>_xlfn.LET(_xlpm.steps,SUBSTITUTE(Table13[[#This Row],[Input]],Table13[[#This Row],[Direction]],""),VALUE(IF(LEN(_xlpm.steps)&gt;2,LEFT(_xlpm.steps,LEN(_xlpm.steps)-2),0)))</f>
        <v>0</v>
      </c>
      <c r="E3350">
        <f>_xlfn.LET(_xlpm.dir,Table13[[#This Row],[Direction]],
IF(_xlpm.dir="L",
    IF(G3349-Table13[[#This Row],[Steps]]&lt;0,100+(G3349-Table13[[#This Row],[Steps]]),G3349-Table13[[#This Row],[Steps]]),
))</f>
        <v>81</v>
      </c>
      <c r="F3350">
        <f>_xlfn.LET(_xlpm.dir,Table13[[#This Row],[Direction]],
IF(_xlpm.dir="R",
    IF(G3349+Table13[[#This Row],[Steps]]&gt;99,(G3349+Table13[[#This Row],[Steps]])-100,G3349+Table13[[#This Row],[Steps]]),
))</f>
        <v>0</v>
      </c>
      <c r="G3350">
        <f>IF(Table13[[#This Row],[New Pos L]]&lt;&gt;0,Table13[[#This Row],[New Pos L]],Table13[[#This Row],[New Pos R]])</f>
        <v>81</v>
      </c>
      <c r="H3350">
        <f>IF(AND(Table13[[#This Row],[Direction]]="L",Table13[[#This Row],[Steps]]&gt;G3349,G3349&lt;&gt;0),1,0)</f>
        <v>1</v>
      </c>
      <c r="I3350">
        <f>IF(AND(Table13[[#This Row],[Direction]]="R",(G3349+Table13[[#This Row],[Steps]])&gt;100),1,0)</f>
        <v>0</v>
      </c>
      <c r="J3350">
        <f>IF(Table13[[#This Row],[POS]]=0,1,0)</f>
        <v>0</v>
      </c>
      <c r="K3350">
        <f>SUM(Table13[[#This Row],[prefix]],Table13[[#This Row],[Past zero L]],Table13[[#This Row],[Past Zero R]],Table13[[#This Row],[Is Zero]])</f>
        <v>1</v>
      </c>
    </row>
    <row r="3351" spans="1:11" ht="16" x14ac:dyDescent="0.2">
      <c r="A3351" s="1" t="s">
        <v>189</v>
      </c>
      <c r="B3351" t="str">
        <f>LEFT(Table13[[#This Row],[Input]],1)</f>
        <v>L</v>
      </c>
      <c r="C3351">
        <f>_xlfn.LET(_xlpm.steps,SUBSTITUTE(Table13[[#This Row],[Input]],Table13[[#This Row],[Direction]],""),VALUE(IF(LEN(_xlpm.steps)&gt;2,RIGHT(_xlpm.steps,2),_xlpm.steps)))</f>
        <v>38</v>
      </c>
      <c r="D3351">
        <f>_xlfn.LET(_xlpm.steps,SUBSTITUTE(Table13[[#This Row],[Input]],Table13[[#This Row],[Direction]],""),VALUE(IF(LEN(_xlpm.steps)&gt;2,LEFT(_xlpm.steps,LEN(_xlpm.steps)-2),0)))</f>
        <v>8</v>
      </c>
      <c r="E3351">
        <f>_xlfn.LET(_xlpm.dir,Table13[[#This Row],[Direction]],
IF(_xlpm.dir="L",
    IF(G3350-Table13[[#This Row],[Steps]]&lt;0,100+(G3350-Table13[[#This Row],[Steps]]),G3350-Table13[[#This Row],[Steps]]),
))</f>
        <v>43</v>
      </c>
      <c r="F3351">
        <f>_xlfn.LET(_xlpm.dir,Table13[[#This Row],[Direction]],
IF(_xlpm.dir="R",
    IF(G3350+Table13[[#This Row],[Steps]]&gt;99,(G3350+Table13[[#This Row],[Steps]])-100,G3350+Table13[[#This Row],[Steps]]),
))</f>
        <v>0</v>
      </c>
      <c r="G3351">
        <f>IF(Table13[[#This Row],[New Pos L]]&lt;&gt;0,Table13[[#This Row],[New Pos L]],Table13[[#This Row],[New Pos R]])</f>
        <v>43</v>
      </c>
      <c r="H3351">
        <f>IF(AND(Table13[[#This Row],[Direction]]="L",Table13[[#This Row],[Steps]]&gt;G3350,G3350&lt;&gt;0),1,0)</f>
        <v>0</v>
      </c>
      <c r="I3351">
        <f>IF(AND(Table13[[#This Row],[Direction]]="R",(G3350+Table13[[#This Row],[Steps]])&gt;100),1,0)</f>
        <v>0</v>
      </c>
      <c r="J3351">
        <f>IF(Table13[[#This Row],[POS]]=0,1,0)</f>
        <v>0</v>
      </c>
      <c r="K3351">
        <f>SUM(Table13[[#This Row],[prefix]],Table13[[#This Row],[Past zero L]],Table13[[#This Row],[Past Zero R]],Table13[[#This Row],[Is Zero]])</f>
        <v>8</v>
      </c>
    </row>
    <row r="3352" spans="1:11" ht="16" x14ac:dyDescent="0.2">
      <c r="A3352" s="1" t="s">
        <v>14</v>
      </c>
      <c r="B3352" t="str">
        <f>LEFT(Table13[[#This Row],[Input]],1)</f>
        <v>L</v>
      </c>
      <c r="C3352">
        <f>_xlfn.LET(_xlpm.steps,SUBSTITUTE(Table13[[#This Row],[Input]],Table13[[#This Row],[Direction]],""),VALUE(IF(LEN(_xlpm.steps)&gt;2,RIGHT(_xlpm.steps,2),_xlpm.steps)))</f>
        <v>43</v>
      </c>
      <c r="D3352">
        <f>_xlfn.LET(_xlpm.steps,SUBSTITUTE(Table13[[#This Row],[Input]],Table13[[#This Row],[Direction]],""),VALUE(IF(LEN(_xlpm.steps)&gt;2,LEFT(_xlpm.steps,LEN(_xlpm.steps)-2),0)))</f>
        <v>0</v>
      </c>
      <c r="E3352">
        <f>_xlfn.LET(_xlpm.dir,Table13[[#This Row],[Direction]],
IF(_xlpm.dir="L",
    IF(G3351-Table13[[#This Row],[Steps]]&lt;0,100+(G3351-Table13[[#This Row],[Steps]]),G3351-Table13[[#This Row],[Steps]]),
))</f>
        <v>0</v>
      </c>
      <c r="F3352">
        <f>_xlfn.LET(_xlpm.dir,Table13[[#This Row],[Direction]],
IF(_xlpm.dir="R",
    IF(G3351+Table13[[#This Row],[Steps]]&gt;99,(G3351+Table13[[#This Row],[Steps]])-100,G3351+Table13[[#This Row],[Steps]]),
))</f>
        <v>0</v>
      </c>
      <c r="G3352">
        <f>IF(Table13[[#This Row],[New Pos L]]&lt;&gt;0,Table13[[#This Row],[New Pos L]],Table13[[#This Row],[New Pos R]])</f>
        <v>0</v>
      </c>
      <c r="H3352">
        <f>IF(AND(Table13[[#This Row],[Direction]]="L",Table13[[#This Row],[Steps]]&gt;G3351,G3351&lt;&gt;0),1,0)</f>
        <v>0</v>
      </c>
      <c r="I3352">
        <f>IF(AND(Table13[[#This Row],[Direction]]="R",(G3351+Table13[[#This Row],[Steps]])&gt;100),1,0)</f>
        <v>0</v>
      </c>
      <c r="J3352">
        <f>IF(Table13[[#This Row],[POS]]=0,1,0)</f>
        <v>1</v>
      </c>
      <c r="K3352">
        <f>SUM(Table13[[#This Row],[prefix]],Table13[[#This Row],[Past zero L]],Table13[[#This Row],[Past Zero R]],Table13[[#This Row],[Is Zero]])</f>
        <v>1</v>
      </c>
    </row>
    <row r="3353" spans="1:11" ht="16" x14ac:dyDescent="0.2">
      <c r="A3353" s="1" t="s">
        <v>42</v>
      </c>
      <c r="B3353" t="str">
        <f>LEFT(Table13[[#This Row],[Input]],1)</f>
        <v>L</v>
      </c>
      <c r="C3353">
        <f>_xlfn.LET(_xlpm.steps,SUBSTITUTE(Table13[[#This Row],[Input]],Table13[[#This Row],[Direction]],""),VALUE(IF(LEN(_xlpm.steps)&gt;2,RIGHT(_xlpm.steps,2),_xlpm.steps)))</f>
        <v>27</v>
      </c>
      <c r="D3353">
        <f>_xlfn.LET(_xlpm.steps,SUBSTITUTE(Table13[[#This Row],[Input]],Table13[[#This Row],[Direction]],""),VALUE(IF(LEN(_xlpm.steps)&gt;2,LEFT(_xlpm.steps,LEN(_xlpm.steps)-2),0)))</f>
        <v>0</v>
      </c>
      <c r="E3353">
        <f>_xlfn.LET(_xlpm.dir,Table13[[#This Row],[Direction]],
IF(_xlpm.dir="L",
    IF(G3352-Table13[[#This Row],[Steps]]&lt;0,100+(G3352-Table13[[#This Row],[Steps]]),G3352-Table13[[#This Row],[Steps]]),
))</f>
        <v>73</v>
      </c>
      <c r="F3353">
        <f>_xlfn.LET(_xlpm.dir,Table13[[#This Row],[Direction]],
IF(_xlpm.dir="R",
    IF(G3352+Table13[[#This Row],[Steps]]&gt;99,(G3352+Table13[[#This Row],[Steps]])-100,G3352+Table13[[#This Row],[Steps]]),
))</f>
        <v>0</v>
      </c>
      <c r="G3353">
        <f>IF(Table13[[#This Row],[New Pos L]]&lt;&gt;0,Table13[[#This Row],[New Pos L]],Table13[[#This Row],[New Pos R]])</f>
        <v>73</v>
      </c>
      <c r="H3353">
        <f>IF(AND(Table13[[#This Row],[Direction]]="L",Table13[[#This Row],[Steps]]&gt;G3352,G3352&lt;&gt;0),1,0)</f>
        <v>0</v>
      </c>
      <c r="I3353">
        <f>IF(AND(Table13[[#This Row],[Direction]]="R",(G3352+Table13[[#This Row],[Steps]])&gt;100),1,0)</f>
        <v>0</v>
      </c>
      <c r="J3353">
        <f>IF(Table13[[#This Row],[POS]]=0,1,0)</f>
        <v>0</v>
      </c>
      <c r="K3353">
        <f>SUM(Table13[[#This Row],[prefix]],Table13[[#This Row],[Past zero L]],Table13[[#This Row],[Past Zero R]],Table13[[#This Row],[Is Zero]])</f>
        <v>0</v>
      </c>
    </row>
    <row r="3354" spans="1:11" ht="16" x14ac:dyDescent="0.2">
      <c r="A3354" s="1" t="s">
        <v>69</v>
      </c>
      <c r="B3354" t="str">
        <f>LEFT(Table13[[#This Row],[Input]],1)</f>
        <v>R</v>
      </c>
      <c r="C3354">
        <f>_xlfn.LET(_xlpm.steps,SUBSTITUTE(Table13[[#This Row],[Input]],Table13[[#This Row],[Direction]],""),VALUE(IF(LEN(_xlpm.steps)&gt;2,RIGHT(_xlpm.steps,2),_xlpm.steps)))</f>
        <v>27</v>
      </c>
      <c r="D3354">
        <f>_xlfn.LET(_xlpm.steps,SUBSTITUTE(Table13[[#This Row],[Input]],Table13[[#This Row],[Direction]],""),VALUE(IF(LEN(_xlpm.steps)&gt;2,LEFT(_xlpm.steps,LEN(_xlpm.steps)-2),0)))</f>
        <v>0</v>
      </c>
      <c r="E3354">
        <f>_xlfn.LET(_xlpm.dir,Table13[[#This Row],[Direction]],
IF(_xlpm.dir="L",
    IF(G3353-Table13[[#This Row],[Steps]]&lt;0,100+(G3353-Table13[[#This Row],[Steps]]),G3353-Table13[[#This Row],[Steps]]),
))</f>
        <v>0</v>
      </c>
      <c r="F3354">
        <f>_xlfn.LET(_xlpm.dir,Table13[[#This Row],[Direction]],
IF(_xlpm.dir="R",
    IF(G3353+Table13[[#This Row],[Steps]]&gt;99,(G3353+Table13[[#This Row],[Steps]])-100,G3353+Table13[[#This Row],[Steps]]),
))</f>
        <v>0</v>
      </c>
      <c r="G3354">
        <f>IF(Table13[[#This Row],[New Pos L]]&lt;&gt;0,Table13[[#This Row],[New Pos L]],Table13[[#This Row],[New Pos R]])</f>
        <v>0</v>
      </c>
      <c r="H3354">
        <f>IF(AND(Table13[[#This Row],[Direction]]="L",Table13[[#This Row],[Steps]]&gt;G3353,G3353&lt;&gt;0),1,0)</f>
        <v>0</v>
      </c>
      <c r="I3354">
        <f>IF(AND(Table13[[#This Row],[Direction]]="R",(G3353+Table13[[#This Row],[Steps]])&gt;100),1,0)</f>
        <v>0</v>
      </c>
      <c r="J3354">
        <f>IF(Table13[[#This Row],[POS]]=0,1,0)</f>
        <v>1</v>
      </c>
      <c r="K3354">
        <f>SUM(Table13[[#This Row],[prefix]],Table13[[#This Row],[Past zero L]],Table13[[#This Row],[Past Zero R]],Table13[[#This Row],[Is Zero]])</f>
        <v>1</v>
      </c>
    </row>
    <row r="3355" spans="1:11" ht="16" x14ac:dyDescent="0.2">
      <c r="A3355" s="1" t="s">
        <v>4</v>
      </c>
      <c r="B3355" t="str">
        <f>LEFT(Table13[[#This Row],[Input]],1)</f>
        <v>R</v>
      </c>
      <c r="C3355">
        <f>_xlfn.LET(_xlpm.steps,SUBSTITUTE(Table13[[#This Row],[Input]],Table13[[#This Row],[Direction]],""),VALUE(IF(LEN(_xlpm.steps)&gt;2,RIGHT(_xlpm.steps,2),_xlpm.steps)))</f>
        <v>3</v>
      </c>
      <c r="D3355">
        <f>_xlfn.LET(_xlpm.steps,SUBSTITUTE(Table13[[#This Row],[Input]],Table13[[#This Row],[Direction]],""),VALUE(IF(LEN(_xlpm.steps)&gt;2,LEFT(_xlpm.steps,LEN(_xlpm.steps)-2),0)))</f>
        <v>0</v>
      </c>
      <c r="E3355">
        <f>_xlfn.LET(_xlpm.dir,Table13[[#This Row],[Direction]],
IF(_xlpm.dir="L",
    IF(G3354-Table13[[#This Row],[Steps]]&lt;0,100+(G3354-Table13[[#This Row],[Steps]]),G3354-Table13[[#This Row],[Steps]]),
))</f>
        <v>0</v>
      </c>
      <c r="F3355">
        <f>_xlfn.LET(_xlpm.dir,Table13[[#This Row],[Direction]],
IF(_xlpm.dir="R",
    IF(G3354+Table13[[#This Row],[Steps]]&gt;99,(G3354+Table13[[#This Row],[Steps]])-100,G3354+Table13[[#This Row],[Steps]]),
))</f>
        <v>3</v>
      </c>
      <c r="G3355">
        <f>IF(Table13[[#This Row],[New Pos L]]&lt;&gt;0,Table13[[#This Row],[New Pos L]],Table13[[#This Row],[New Pos R]])</f>
        <v>3</v>
      </c>
      <c r="H3355">
        <f>IF(AND(Table13[[#This Row],[Direction]]="L",Table13[[#This Row],[Steps]]&gt;G3354,G3354&lt;&gt;0),1,0)</f>
        <v>0</v>
      </c>
      <c r="I3355">
        <f>IF(AND(Table13[[#This Row],[Direction]]="R",(G3354+Table13[[#This Row],[Steps]])&gt;100),1,0)</f>
        <v>0</v>
      </c>
      <c r="J3355">
        <f>IF(Table13[[#This Row],[POS]]=0,1,0)</f>
        <v>0</v>
      </c>
      <c r="K3355">
        <f>SUM(Table13[[#This Row],[prefix]],Table13[[#This Row],[Past zero L]],Table13[[#This Row],[Past Zero R]],Table13[[#This Row],[Is Zero]])</f>
        <v>0</v>
      </c>
    </row>
    <row r="3356" spans="1:11" ht="16" x14ac:dyDescent="0.2">
      <c r="A3356" s="1" t="s">
        <v>55</v>
      </c>
      <c r="B3356" t="str">
        <f>LEFT(Table13[[#This Row],[Input]],1)</f>
        <v>L</v>
      </c>
      <c r="C3356">
        <f>_xlfn.LET(_xlpm.steps,SUBSTITUTE(Table13[[#This Row],[Input]],Table13[[#This Row],[Direction]],""),VALUE(IF(LEN(_xlpm.steps)&gt;2,RIGHT(_xlpm.steps,2),_xlpm.steps)))</f>
        <v>82</v>
      </c>
      <c r="D3356">
        <f>_xlfn.LET(_xlpm.steps,SUBSTITUTE(Table13[[#This Row],[Input]],Table13[[#This Row],[Direction]],""),VALUE(IF(LEN(_xlpm.steps)&gt;2,LEFT(_xlpm.steps,LEN(_xlpm.steps)-2),0)))</f>
        <v>0</v>
      </c>
      <c r="E3356">
        <f>_xlfn.LET(_xlpm.dir,Table13[[#This Row],[Direction]],
IF(_xlpm.dir="L",
    IF(G3355-Table13[[#This Row],[Steps]]&lt;0,100+(G3355-Table13[[#This Row],[Steps]]),G3355-Table13[[#This Row],[Steps]]),
))</f>
        <v>21</v>
      </c>
      <c r="F3356">
        <f>_xlfn.LET(_xlpm.dir,Table13[[#This Row],[Direction]],
IF(_xlpm.dir="R",
    IF(G3355+Table13[[#This Row],[Steps]]&gt;99,(G3355+Table13[[#This Row],[Steps]])-100,G3355+Table13[[#This Row],[Steps]]),
))</f>
        <v>0</v>
      </c>
      <c r="G3356">
        <f>IF(Table13[[#This Row],[New Pos L]]&lt;&gt;0,Table13[[#This Row],[New Pos L]],Table13[[#This Row],[New Pos R]])</f>
        <v>21</v>
      </c>
      <c r="H3356">
        <f>IF(AND(Table13[[#This Row],[Direction]]="L",Table13[[#This Row],[Steps]]&gt;G3355,G3355&lt;&gt;0),1,0)</f>
        <v>1</v>
      </c>
      <c r="I3356">
        <f>IF(AND(Table13[[#This Row],[Direction]]="R",(G3355+Table13[[#This Row],[Steps]])&gt;100),1,0)</f>
        <v>0</v>
      </c>
      <c r="J3356">
        <f>IF(Table13[[#This Row],[POS]]=0,1,0)</f>
        <v>0</v>
      </c>
      <c r="K3356">
        <f>SUM(Table13[[#This Row],[prefix]],Table13[[#This Row],[Past zero L]],Table13[[#This Row],[Past Zero R]],Table13[[#This Row],[Is Zero]])</f>
        <v>1</v>
      </c>
    </row>
    <row r="3357" spans="1:11" ht="16" x14ac:dyDescent="0.2">
      <c r="A3357" s="1" t="s">
        <v>10</v>
      </c>
      <c r="B3357" t="str">
        <f>LEFT(Table13[[#This Row],[Input]],1)</f>
        <v>L</v>
      </c>
      <c r="C3357">
        <f>_xlfn.LET(_xlpm.steps,SUBSTITUTE(Table13[[#This Row],[Input]],Table13[[#This Row],[Direction]],""),VALUE(IF(LEN(_xlpm.steps)&gt;2,RIGHT(_xlpm.steps,2),_xlpm.steps)))</f>
        <v>35</v>
      </c>
      <c r="D3357">
        <f>_xlfn.LET(_xlpm.steps,SUBSTITUTE(Table13[[#This Row],[Input]],Table13[[#This Row],[Direction]],""),VALUE(IF(LEN(_xlpm.steps)&gt;2,LEFT(_xlpm.steps,LEN(_xlpm.steps)-2),0)))</f>
        <v>0</v>
      </c>
      <c r="E3357">
        <f>_xlfn.LET(_xlpm.dir,Table13[[#This Row],[Direction]],
IF(_xlpm.dir="L",
    IF(G3356-Table13[[#This Row],[Steps]]&lt;0,100+(G3356-Table13[[#This Row],[Steps]]),G3356-Table13[[#This Row],[Steps]]),
))</f>
        <v>86</v>
      </c>
      <c r="F3357">
        <f>_xlfn.LET(_xlpm.dir,Table13[[#This Row],[Direction]],
IF(_xlpm.dir="R",
    IF(G3356+Table13[[#This Row],[Steps]]&gt;99,(G3356+Table13[[#This Row],[Steps]])-100,G3356+Table13[[#This Row],[Steps]]),
))</f>
        <v>0</v>
      </c>
      <c r="G3357">
        <f>IF(Table13[[#This Row],[New Pos L]]&lt;&gt;0,Table13[[#This Row],[New Pos L]],Table13[[#This Row],[New Pos R]])</f>
        <v>86</v>
      </c>
      <c r="H3357">
        <f>IF(AND(Table13[[#This Row],[Direction]]="L",Table13[[#This Row],[Steps]]&gt;G3356,G3356&lt;&gt;0),1,0)</f>
        <v>1</v>
      </c>
      <c r="I3357">
        <f>IF(AND(Table13[[#This Row],[Direction]]="R",(G3356+Table13[[#This Row],[Steps]])&gt;100),1,0)</f>
        <v>0</v>
      </c>
      <c r="J3357">
        <f>IF(Table13[[#This Row],[POS]]=0,1,0)</f>
        <v>0</v>
      </c>
      <c r="K3357">
        <f>SUM(Table13[[#This Row],[prefix]],Table13[[#This Row],[Past zero L]],Table13[[#This Row],[Past Zero R]],Table13[[#This Row],[Is Zero]])</f>
        <v>1</v>
      </c>
    </row>
    <row r="3358" spans="1:11" ht="16" x14ac:dyDescent="0.2">
      <c r="A3358" s="1" t="s">
        <v>206</v>
      </c>
      <c r="B3358" t="str">
        <f>LEFT(Table13[[#This Row],[Input]],1)</f>
        <v>R</v>
      </c>
      <c r="C3358">
        <f>_xlfn.LET(_xlpm.steps,SUBSTITUTE(Table13[[#This Row],[Input]],Table13[[#This Row],[Direction]],""),VALUE(IF(LEN(_xlpm.steps)&gt;2,RIGHT(_xlpm.steps,2),_xlpm.steps)))</f>
        <v>62</v>
      </c>
      <c r="D3358">
        <f>_xlfn.LET(_xlpm.steps,SUBSTITUTE(Table13[[#This Row],[Input]],Table13[[#This Row],[Direction]],""),VALUE(IF(LEN(_xlpm.steps)&gt;2,LEFT(_xlpm.steps,LEN(_xlpm.steps)-2),0)))</f>
        <v>0</v>
      </c>
      <c r="E3358">
        <f>_xlfn.LET(_xlpm.dir,Table13[[#This Row],[Direction]],
IF(_xlpm.dir="L",
    IF(G3357-Table13[[#This Row],[Steps]]&lt;0,100+(G3357-Table13[[#This Row],[Steps]]),G3357-Table13[[#This Row],[Steps]]),
))</f>
        <v>0</v>
      </c>
      <c r="F3358">
        <f>_xlfn.LET(_xlpm.dir,Table13[[#This Row],[Direction]],
IF(_xlpm.dir="R",
    IF(G3357+Table13[[#This Row],[Steps]]&gt;99,(G3357+Table13[[#This Row],[Steps]])-100,G3357+Table13[[#This Row],[Steps]]),
))</f>
        <v>48</v>
      </c>
      <c r="G3358">
        <f>IF(Table13[[#This Row],[New Pos L]]&lt;&gt;0,Table13[[#This Row],[New Pos L]],Table13[[#This Row],[New Pos R]])</f>
        <v>48</v>
      </c>
      <c r="H3358">
        <f>IF(AND(Table13[[#This Row],[Direction]]="L",Table13[[#This Row],[Steps]]&gt;G3357,G3357&lt;&gt;0),1,0)</f>
        <v>0</v>
      </c>
      <c r="I3358">
        <f>IF(AND(Table13[[#This Row],[Direction]]="R",(G3357+Table13[[#This Row],[Steps]])&gt;100),1,0)</f>
        <v>1</v>
      </c>
      <c r="J3358">
        <f>IF(Table13[[#This Row],[POS]]=0,1,0)</f>
        <v>0</v>
      </c>
      <c r="K3358">
        <f>SUM(Table13[[#This Row],[prefix]],Table13[[#This Row],[Past zero L]],Table13[[#This Row],[Past Zero R]],Table13[[#This Row],[Is Zero]])</f>
        <v>1</v>
      </c>
    </row>
    <row r="3359" spans="1:11" ht="16" x14ac:dyDescent="0.2">
      <c r="A3359" s="1" t="s">
        <v>9</v>
      </c>
      <c r="B3359" t="str">
        <f>LEFT(Table13[[#This Row],[Input]],1)</f>
        <v>L</v>
      </c>
      <c r="C3359">
        <f>_xlfn.LET(_xlpm.steps,SUBSTITUTE(Table13[[#This Row],[Input]],Table13[[#This Row],[Direction]],""),VALUE(IF(LEN(_xlpm.steps)&gt;2,RIGHT(_xlpm.steps,2),_xlpm.steps)))</f>
        <v>9</v>
      </c>
      <c r="D3359">
        <f>_xlfn.LET(_xlpm.steps,SUBSTITUTE(Table13[[#This Row],[Input]],Table13[[#This Row],[Direction]],""),VALUE(IF(LEN(_xlpm.steps)&gt;2,LEFT(_xlpm.steps,LEN(_xlpm.steps)-2),0)))</f>
        <v>0</v>
      </c>
      <c r="E3359">
        <f>_xlfn.LET(_xlpm.dir,Table13[[#This Row],[Direction]],
IF(_xlpm.dir="L",
    IF(G3358-Table13[[#This Row],[Steps]]&lt;0,100+(G3358-Table13[[#This Row],[Steps]]),G3358-Table13[[#This Row],[Steps]]),
))</f>
        <v>39</v>
      </c>
      <c r="F3359">
        <f>_xlfn.LET(_xlpm.dir,Table13[[#This Row],[Direction]],
IF(_xlpm.dir="R",
    IF(G3358+Table13[[#This Row],[Steps]]&gt;99,(G3358+Table13[[#This Row],[Steps]])-100,G3358+Table13[[#This Row],[Steps]]),
))</f>
        <v>0</v>
      </c>
      <c r="G3359">
        <f>IF(Table13[[#This Row],[New Pos L]]&lt;&gt;0,Table13[[#This Row],[New Pos L]],Table13[[#This Row],[New Pos R]])</f>
        <v>39</v>
      </c>
      <c r="H3359">
        <f>IF(AND(Table13[[#This Row],[Direction]]="L",Table13[[#This Row],[Steps]]&gt;G3358,G3358&lt;&gt;0),1,0)</f>
        <v>0</v>
      </c>
      <c r="I3359">
        <f>IF(AND(Table13[[#This Row],[Direction]]="R",(G3358+Table13[[#This Row],[Steps]])&gt;100),1,0)</f>
        <v>0</v>
      </c>
      <c r="J3359">
        <f>IF(Table13[[#This Row],[POS]]=0,1,0)</f>
        <v>0</v>
      </c>
      <c r="K3359">
        <f>SUM(Table13[[#This Row],[prefix]],Table13[[#This Row],[Past zero L]],Table13[[#This Row],[Past Zero R]],Table13[[#This Row],[Is Zero]])</f>
        <v>0</v>
      </c>
    </row>
    <row r="3360" spans="1:11" ht="16" x14ac:dyDescent="0.2">
      <c r="A3360" s="1" t="s">
        <v>60</v>
      </c>
      <c r="B3360" t="str">
        <f>LEFT(Table13[[#This Row],[Input]],1)</f>
        <v>R</v>
      </c>
      <c r="C3360">
        <f>_xlfn.LET(_xlpm.steps,SUBSTITUTE(Table13[[#This Row],[Input]],Table13[[#This Row],[Direction]],""),VALUE(IF(LEN(_xlpm.steps)&gt;2,RIGHT(_xlpm.steps,2),_xlpm.steps)))</f>
        <v>86</v>
      </c>
      <c r="D3360">
        <f>_xlfn.LET(_xlpm.steps,SUBSTITUTE(Table13[[#This Row],[Input]],Table13[[#This Row],[Direction]],""),VALUE(IF(LEN(_xlpm.steps)&gt;2,LEFT(_xlpm.steps,LEN(_xlpm.steps)-2),0)))</f>
        <v>0</v>
      </c>
      <c r="E3360">
        <f>_xlfn.LET(_xlpm.dir,Table13[[#This Row],[Direction]],
IF(_xlpm.dir="L",
    IF(G3359-Table13[[#This Row],[Steps]]&lt;0,100+(G3359-Table13[[#This Row],[Steps]]),G3359-Table13[[#This Row],[Steps]]),
))</f>
        <v>0</v>
      </c>
      <c r="F3360">
        <f>_xlfn.LET(_xlpm.dir,Table13[[#This Row],[Direction]],
IF(_xlpm.dir="R",
    IF(G3359+Table13[[#This Row],[Steps]]&gt;99,(G3359+Table13[[#This Row],[Steps]])-100,G3359+Table13[[#This Row],[Steps]]),
))</f>
        <v>25</v>
      </c>
      <c r="G3360">
        <f>IF(Table13[[#This Row],[New Pos L]]&lt;&gt;0,Table13[[#This Row],[New Pos L]],Table13[[#This Row],[New Pos R]])</f>
        <v>25</v>
      </c>
      <c r="H3360">
        <f>IF(AND(Table13[[#This Row],[Direction]]="L",Table13[[#This Row],[Steps]]&gt;G3359,G3359&lt;&gt;0),1,0)</f>
        <v>0</v>
      </c>
      <c r="I3360">
        <f>IF(AND(Table13[[#This Row],[Direction]]="R",(G3359+Table13[[#This Row],[Steps]])&gt;100),1,0)</f>
        <v>1</v>
      </c>
      <c r="J3360">
        <f>IF(Table13[[#This Row],[POS]]=0,1,0)</f>
        <v>0</v>
      </c>
      <c r="K3360">
        <f>SUM(Table13[[#This Row],[prefix]],Table13[[#This Row],[Past zero L]],Table13[[#This Row],[Past Zero R]],Table13[[#This Row],[Is Zero]])</f>
        <v>1</v>
      </c>
    </row>
    <row r="3361" spans="1:11" ht="16" x14ac:dyDescent="0.2">
      <c r="A3361" s="1" t="s">
        <v>51</v>
      </c>
      <c r="B3361" t="str">
        <f>LEFT(Table13[[#This Row],[Input]],1)</f>
        <v>L</v>
      </c>
      <c r="C3361">
        <f>_xlfn.LET(_xlpm.steps,SUBSTITUTE(Table13[[#This Row],[Input]],Table13[[#This Row],[Direction]],""),VALUE(IF(LEN(_xlpm.steps)&gt;2,RIGHT(_xlpm.steps,2),_xlpm.steps)))</f>
        <v>25</v>
      </c>
      <c r="D3361">
        <f>_xlfn.LET(_xlpm.steps,SUBSTITUTE(Table13[[#This Row],[Input]],Table13[[#This Row],[Direction]],""),VALUE(IF(LEN(_xlpm.steps)&gt;2,LEFT(_xlpm.steps,LEN(_xlpm.steps)-2),0)))</f>
        <v>0</v>
      </c>
      <c r="E3361">
        <f>_xlfn.LET(_xlpm.dir,Table13[[#This Row],[Direction]],
IF(_xlpm.dir="L",
    IF(G3360-Table13[[#This Row],[Steps]]&lt;0,100+(G3360-Table13[[#This Row],[Steps]]),G3360-Table13[[#This Row],[Steps]]),
))</f>
        <v>0</v>
      </c>
      <c r="F3361">
        <f>_xlfn.LET(_xlpm.dir,Table13[[#This Row],[Direction]],
IF(_xlpm.dir="R",
    IF(G3360+Table13[[#This Row],[Steps]]&gt;99,(G3360+Table13[[#This Row],[Steps]])-100,G3360+Table13[[#This Row],[Steps]]),
))</f>
        <v>0</v>
      </c>
      <c r="G3361">
        <f>IF(Table13[[#This Row],[New Pos L]]&lt;&gt;0,Table13[[#This Row],[New Pos L]],Table13[[#This Row],[New Pos R]])</f>
        <v>0</v>
      </c>
      <c r="H3361">
        <f>IF(AND(Table13[[#This Row],[Direction]]="L",Table13[[#This Row],[Steps]]&gt;G3360,G3360&lt;&gt;0),1,0)</f>
        <v>0</v>
      </c>
      <c r="I3361">
        <f>IF(AND(Table13[[#This Row],[Direction]]="R",(G3360+Table13[[#This Row],[Steps]])&gt;100),1,0)</f>
        <v>0</v>
      </c>
      <c r="J3361">
        <f>IF(Table13[[#This Row],[POS]]=0,1,0)</f>
        <v>1</v>
      </c>
      <c r="K3361">
        <f>SUM(Table13[[#This Row],[prefix]],Table13[[#This Row],[Past zero L]],Table13[[#This Row],[Past Zero R]],Table13[[#This Row],[Is Zero]])</f>
        <v>1</v>
      </c>
    </row>
    <row r="3362" spans="1:11" ht="16" x14ac:dyDescent="0.2">
      <c r="A3362" s="1" t="s">
        <v>109</v>
      </c>
      <c r="B3362" t="str">
        <f>LEFT(Table13[[#This Row],[Input]],1)</f>
        <v>L</v>
      </c>
      <c r="C3362">
        <f>_xlfn.LET(_xlpm.steps,SUBSTITUTE(Table13[[#This Row],[Input]],Table13[[#This Row],[Direction]],""),VALUE(IF(LEN(_xlpm.steps)&gt;2,RIGHT(_xlpm.steps,2),_xlpm.steps)))</f>
        <v>66</v>
      </c>
      <c r="D3362">
        <f>_xlfn.LET(_xlpm.steps,SUBSTITUTE(Table13[[#This Row],[Input]],Table13[[#This Row],[Direction]],""),VALUE(IF(LEN(_xlpm.steps)&gt;2,LEFT(_xlpm.steps,LEN(_xlpm.steps)-2),0)))</f>
        <v>7</v>
      </c>
      <c r="E3362">
        <f>_xlfn.LET(_xlpm.dir,Table13[[#This Row],[Direction]],
IF(_xlpm.dir="L",
    IF(G3361-Table13[[#This Row],[Steps]]&lt;0,100+(G3361-Table13[[#This Row],[Steps]]),G3361-Table13[[#This Row],[Steps]]),
))</f>
        <v>34</v>
      </c>
      <c r="F3362">
        <f>_xlfn.LET(_xlpm.dir,Table13[[#This Row],[Direction]],
IF(_xlpm.dir="R",
    IF(G3361+Table13[[#This Row],[Steps]]&gt;99,(G3361+Table13[[#This Row],[Steps]])-100,G3361+Table13[[#This Row],[Steps]]),
))</f>
        <v>0</v>
      </c>
      <c r="G3362">
        <f>IF(Table13[[#This Row],[New Pos L]]&lt;&gt;0,Table13[[#This Row],[New Pos L]],Table13[[#This Row],[New Pos R]])</f>
        <v>34</v>
      </c>
      <c r="H3362">
        <f>IF(AND(Table13[[#This Row],[Direction]]="L",Table13[[#This Row],[Steps]]&gt;G3361,G3361&lt;&gt;0),1,0)</f>
        <v>0</v>
      </c>
      <c r="I3362">
        <f>IF(AND(Table13[[#This Row],[Direction]]="R",(G3361+Table13[[#This Row],[Steps]])&gt;100),1,0)</f>
        <v>0</v>
      </c>
      <c r="J3362">
        <f>IF(Table13[[#This Row],[POS]]=0,1,0)</f>
        <v>0</v>
      </c>
      <c r="K3362">
        <f>SUM(Table13[[#This Row],[prefix]],Table13[[#This Row],[Past zero L]],Table13[[#This Row],[Past Zero R]],Table13[[#This Row],[Is Zero]])</f>
        <v>7</v>
      </c>
    </row>
    <row r="3363" spans="1:11" ht="16" x14ac:dyDescent="0.2">
      <c r="A3363" s="1" t="s">
        <v>108</v>
      </c>
      <c r="B3363" t="str">
        <f>LEFT(Table13[[#This Row],[Input]],1)</f>
        <v>R</v>
      </c>
      <c r="C3363">
        <f>_xlfn.LET(_xlpm.steps,SUBSTITUTE(Table13[[#This Row],[Input]],Table13[[#This Row],[Direction]],""),VALUE(IF(LEN(_xlpm.steps)&gt;2,RIGHT(_xlpm.steps,2),_xlpm.steps)))</f>
        <v>66</v>
      </c>
      <c r="D3363">
        <f>_xlfn.LET(_xlpm.steps,SUBSTITUTE(Table13[[#This Row],[Input]],Table13[[#This Row],[Direction]],""),VALUE(IF(LEN(_xlpm.steps)&gt;2,LEFT(_xlpm.steps,LEN(_xlpm.steps)-2),0)))</f>
        <v>0</v>
      </c>
      <c r="E3363">
        <f>_xlfn.LET(_xlpm.dir,Table13[[#This Row],[Direction]],
IF(_xlpm.dir="L",
    IF(G3362-Table13[[#This Row],[Steps]]&lt;0,100+(G3362-Table13[[#This Row],[Steps]]),G3362-Table13[[#This Row],[Steps]]),
))</f>
        <v>0</v>
      </c>
      <c r="F3363">
        <f>_xlfn.LET(_xlpm.dir,Table13[[#This Row],[Direction]],
IF(_xlpm.dir="R",
    IF(G3362+Table13[[#This Row],[Steps]]&gt;99,(G3362+Table13[[#This Row],[Steps]])-100,G3362+Table13[[#This Row],[Steps]]),
))</f>
        <v>0</v>
      </c>
      <c r="G3363">
        <f>IF(Table13[[#This Row],[New Pos L]]&lt;&gt;0,Table13[[#This Row],[New Pos L]],Table13[[#This Row],[New Pos R]])</f>
        <v>0</v>
      </c>
      <c r="H3363">
        <f>IF(AND(Table13[[#This Row],[Direction]]="L",Table13[[#This Row],[Steps]]&gt;G3362,G3362&lt;&gt;0),1,0)</f>
        <v>0</v>
      </c>
      <c r="I3363">
        <f>IF(AND(Table13[[#This Row],[Direction]]="R",(G3362+Table13[[#This Row],[Steps]])&gt;100),1,0)</f>
        <v>0</v>
      </c>
      <c r="J3363">
        <f>IF(Table13[[#This Row],[POS]]=0,1,0)</f>
        <v>1</v>
      </c>
      <c r="K3363">
        <f>SUM(Table13[[#This Row],[prefix]],Table13[[#This Row],[Past zero L]],Table13[[#This Row],[Past Zero R]],Table13[[#This Row],[Is Zero]])</f>
        <v>1</v>
      </c>
    </row>
    <row r="3364" spans="1:11" ht="16" x14ac:dyDescent="0.2">
      <c r="A3364" s="1" t="s">
        <v>731</v>
      </c>
      <c r="B3364" t="str">
        <f>LEFT(Table13[[#This Row],[Input]],1)</f>
        <v>L</v>
      </c>
      <c r="C3364">
        <f>_xlfn.LET(_xlpm.steps,SUBSTITUTE(Table13[[#This Row],[Input]],Table13[[#This Row],[Direction]],""),VALUE(IF(LEN(_xlpm.steps)&gt;2,RIGHT(_xlpm.steps,2),_xlpm.steps)))</f>
        <v>75</v>
      </c>
      <c r="D3364">
        <f>_xlfn.LET(_xlpm.steps,SUBSTITUTE(Table13[[#This Row],[Input]],Table13[[#This Row],[Direction]],""),VALUE(IF(LEN(_xlpm.steps)&gt;2,LEFT(_xlpm.steps,LEN(_xlpm.steps)-2),0)))</f>
        <v>7</v>
      </c>
      <c r="E3364">
        <f>_xlfn.LET(_xlpm.dir,Table13[[#This Row],[Direction]],
IF(_xlpm.dir="L",
    IF(G3363-Table13[[#This Row],[Steps]]&lt;0,100+(G3363-Table13[[#This Row],[Steps]]),G3363-Table13[[#This Row],[Steps]]),
))</f>
        <v>25</v>
      </c>
      <c r="F3364">
        <f>_xlfn.LET(_xlpm.dir,Table13[[#This Row],[Direction]],
IF(_xlpm.dir="R",
    IF(G3363+Table13[[#This Row],[Steps]]&gt;99,(G3363+Table13[[#This Row],[Steps]])-100,G3363+Table13[[#This Row],[Steps]]),
))</f>
        <v>0</v>
      </c>
      <c r="G3364">
        <f>IF(Table13[[#This Row],[New Pos L]]&lt;&gt;0,Table13[[#This Row],[New Pos L]],Table13[[#This Row],[New Pos R]])</f>
        <v>25</v>
      </c>
      <c r="H3364">
        <f>IF(AND(Table13[[#This Row],[Direction]]="L",Table13[[#This Row],[Steps]]&gt;G3363,G3363&lt;&gt;0),1,0)</f>
        <v>0</v>
      </c>
      <c r="I3364">
        <f>IF(AND(Table13[[#This Row],[Direction]]="R",(G3363+Table13[[#This Row],[Steps]])&gt;100),1,0)</f>
        <v>0</v>
      </c>
      <c r="J3364">
        <f>IF(Table13[[#This Row],[POS]]=0,1,0)</f>
        <v>0</v>
      </c>
      <c r="K3364">
        <f>SUM(Table13[[#This Row],[prefix]],Table13[[#This Row],[Past zero L]],Table13[[#This Row],[Past Zero R]],Table13[[#This Row],[Is Zero]])</f>
        <v>7</v>
      </c>
    </row>
    <row r="3365" spans="1:11" ht="16" x14ac:dyDescent="0.2">
      <c r="A3365" s="1" t="s">
        <v>218</v>
      </c>
      <c r="B3365" t="str">
        <f>LEFT(Table13[[#This Row],[Input]],1)</f>
        <v>R</v>
      </c>
      <c r="C3365">
        <f>_xlfn.LET(_xlpm.steps,SUBSTITUTE(Table13[[#This Row],[Input]],Table13[[#This Row],[Direction]],""),VALUE(IF(LEN(_xlpm.steps)&gt;2,RIGHT(_xlpm.steps,2),_xlpm.steps)))</f>
        <v>35</v>
      </c>
      <c r="D3365">
        <f>_xlfn.LET(_xlpm.steps,SUBSTITUTE(Table13[[#This Row],[Input]],Table13[[#This Row],[Direction]],""),VALUE(IF(LEN(_xlpm.steps)&gt;2,LEFT(_xlpm.steps,LEN(_xlpm.steps)-2),0)))</f>
        <v>0</v>
      </c>
      <c r="E3365">
        <f>_xlfn.LET(_xlpm.dir,Table13[[#This Row],[Direction]],
IF(_xlpm.dir="L",
    IF(G3364-Table13[[#This Row],[Steps]]&lt;0,100+(G3364-Table13[[#This Row],[Steps]]),G3364-Table13[[#This Row],[Steps]]),
))</f>
        <v>0</v>
      </c>
      <c r="F3365">
        <f>_xlfn.LET(_xlpm.dir,Table13[[#This Row],[Direction]],
IF(_xlpm.dir="R",
    IF(G3364+Table13[[#This Row],[Steps]]&gt;99,(G3364+Table13[[#This Row],[Steps]])-100,G3364+Table13[[#This Row],[Steps]]),
))</f>
        <v>60</v>
      </c>
      <c r="G3365">
        <f>IF(Table13[[#This Row],[New Pos L]]&lt;&gt;0,Table13[[#This Row],[New Pos L]],Table13[[#This Row],[New Pos R]])</f>
        <v>60</v>
      </c>
      <c r="H3365">
        <f>IF(AND(Table13[[#This Row],[Direction]]="L",Table13[[#This Row],[Steps]]&gt;G3364,G3364&lt;&gt;0),1,0)</f>
        <v>0</v>
      </c>
      <c r="I3365">
        <f>IF(AND(Table13[[#This Row],[Direction]]="R",(G3364+Table13[[#This Row],[Steps]])&gt;100),1,0)</f>
        <v>0</v>
      </c>
      <c r="J3365">
        <f>IF(Table13[[#This Row],[POS]]=0,1,0)</f>
        <v>0</v>
      </c>
      <c r="K3365">
        <f>SUM(Table13[[#This Row],[prefix]],Table13[[#This Row],[Past zero L]],Table13[[#This Row],[Past Zero R]],Table13[[#This Row],[Is Zero]])</f>
        <v>0</v>
      </c>
    </row>
    <row r="3366" spans="1:11" ht="16" x14ac:dyDescent="0.2">
      <c r="A3366" s="1" t="s">
        <v>326</v>
      </c>
      <c r="B3366" t="str">
        <f>LEFT(Table13[[#This Row],[Input]],1)</f>
        <v>L</v>
      </c>
      <c r="C3366">
        <f>_xlfn.LET(_xlpm.steps,SUBSTITUTE(Table13[[#This Row],[Input]],Table13[[#This Row],[Direction]],""),VALUE(IF(LEN(_xlpm.steps)&gt;2,RIGHT(_xlpm.steps,2),_xlpm.steps)))</f>
        <v>9</v>
      </c>
      <c r="D3366">
        <f>_xlfn.LET(_xlpm.steps,SUBSTITUTE(Table13[[#This Row],[Input]],Table13[[#This Row],[Direction]],""),VALUE(IF(LEN(_xlpm.steps)&gt;2,LEFT(_xlpm.steps,LEN(_xlpm.steps)-2),0)))</f>
        <v>4</v>
      </c>
      <c r="E3366">
        <f>_xlfn.LET(_xlpm.dir,Table13[[#This Row],[Direction]],
IF(_xlpm.dir="L",
    IF(G3365-Table13[[#This Row],[Steps]]&lt;0,100+(G3365-Table13[[#This Row],[Steps]]),G3365-Table13[[#This Row],[Steps]]),
))</f>
        <v>51</v>
      </c>
      <c r="F3366">
        <f>_xlfn.LET(_xlpm.dir,Table13[[#This Row],[Direction]],
IF(_xlpm.dir="R",
    IF(G3365+Table13[[#This Row],[Steps]]&gt;99,(G3365+Table13[[#This Row],[Steps]])-100,G3365+Table13[[#This Row],[Steps]]),
))</f>
        <v>0</v>
      </c>
      <c r="G3366">
        <f>IF(Table13[[#This Row],[New Pos L]]&lt;&gt;0,Table13[[#This Row],[New Pos L]],Table13[[#This Row],[New Pos R]])</f>
        <v>51</v>
      </c>
      <c r="H3366">
        <f>IF(AND(Table13[[#This Row],[Direction]]="L",Table13[[#This Row],[Steps]]&gt;G3365,G3365&lt;&gt;0),1,0)</f>
        <v>0</v>
      </c>
      <c r="I3366">
        <f>IF(AND(Table13[[#This Row],[Direction]]="R",(G3365+Table13[[#This Row],[Steps]])&gt;100),1,0)</f>
        <v>0</v>
      </c>
      <c r="J3366">
        <f>IF(Table13[[#This Row],[POS]]=0,1,0)</f>
        <v>0</v>
      </c>
      <c r="K3366">
        <f>SUM(Table13[[#This Row],[prefix]],Table13[[#This Row],[Past zero L]],Table13[[#This Row],[Past Zero R]],Table13[[#This Row],[Is Zero]])</f>
        <v>4</v>
      </c>
    </row>
    <row r="3367" spans="1:11" ht="16" x14ac:dyDescent="0.2">
      <c r="A3367" s="1" t="s">
        <v>121</v>
      </c>
      <c r="B3367" t="str">
        <f>LEFT(Table13[[#This Row],[Input]],1)</f>
        <v>L</v>
      </c>
      <c r="C3367">
        <f>_xlfn.LET(_xlpm.steps,SUBSTITUTE(Table13[[#This Row],[Input]],Table13[[#This Row],[Direction]],""),VALUE(IF(LEN(_xlpm.steps)&gt;2,RIGHT(_xlpm.steps,2),_xlpm.steps)))</f>
        <v>69</v>
      </c>
      <c r="D3367">
        <f>_xlfn.LET(_xlpm.steps,SUBSTITUTE(Table13[[#This Row],[Input]],Table13[[#This Row],[Direction]],""),VALUE(IF(LEN(_xlpm.steps)&gt;2,LEFT(_xlpm.steps,LEN(_xlpm.steps)-2),0)))</f>
        <v>0</v>
      </c>
      <c r="E3367">
        <f>_xlfn.LET(_xlpm.dir,Table13[[#This Row],[Direction]],
IF(_xlpm.dir="L",
    IF(G3366-Table13[[#This Row],[Steps]]&lt;0,100+(G3366-Table13[[#This Row],[Steps]]),G3366-Table13[[#This Row],[Steps]]),
))</f>
        <v>82</v>
      </c>
      <c r="F3367">
        <f>_xlfn.LET(_xlpm.dir,Table13[[#This Row],[Direction]],
IF(_xlpm.dir="R",
    IF(G3366+Table13[[#This Row],[Steps]]&gt;99,(G3366+Table13[[#This Row],[Steps]])-100,G3366+Table13[[#This Row],[Steps]]),
))</f>
        <v>0</v>
      </c>
      <c r="G3367">
        <f>IF(Table13[[#This Row],[New Pos L]]&lt;&gt;0,Table13[[#This Row],[New Pos L]],Table13[[#This Row],[New Pos R]])</f>
        <v>82</v>
      </c>
      <c r="H3367">
        <f>IF(AND(Table13[[#This Row],[Direction]]="L",Table13[[#This Row],[Steps]]&gt;G3366,G3366&lt;&gt;0),1,0)</f>
        <v>1</v>
      </c>
      <c r="I3367">
        <f>IF(AND(Table13[[#This Row],[Direction]]="R",(G3366+Table13[[#This Row],[Steps]])&gt;100),1,0)</f>
        <v>0</v>
      </c>
      <c r="J3367">
        <f>IF(Table13[[#This Row],[POS]]=0,1,0)</f>
        <v>0</v>
      </c>
      <c r="K3367">
        <f>SUM(Table13[[#This Row],[prefix]],Table13[[#This Row],[Past zero L]],Table13[[#This Row],[Past Zero R]],Table13[[#This Row],[Is Zero]])</f>
        <v>1</v>
      </c>
    </row>
    <row r="3368" spans="1:11" ht="16" x14ac:dyDescent="0.2">
      <c r="A3368" s="1" t="s">
        <v>50</v>
      </c>
      <c r="B3368" t="str">
        <f>LEFT(Table13[[#This Row],[Input]],1)</f>
        <v>R</v>
      </c>
      <c r="C3368">
        <f>_xlfn.LET(_xlpm.steps,SUBSTITUTE(Table13[[#This Row],[Input]],Table13[[#This Row],[Direction]],""),VALUE(IF(LEN(_xlpm.steps)&gt;2,RIGHT(_xlpm.steps,2),_xlpm.steps)))</f>
        <v>78</v>
      </c>
      <c r="D3368">
        <f>_xlfn.LET(_xlpm.steps,SUBSTITUTE(Table13[[#This Row],[Input]],Table13[[#This Row],[Direction]],""),VALUE(IF(LEN(_xlpm.steps)&gt;2,LEFT(_xlpm.steps,LEN(_xlpm.steps)-2),0)))</f>
        <v>0</v>
      </c>
      <c r="E3368">
        <f>_xlfn.LET(_xlpm.dir,Table13[[#This Row],[Direction]],
IF(_xlpm.dir="L",
    IF(G3367-Table13[[#This Row],[Steps]]&lt;0,100+(G3367-Table13[[#This Row],[Steps]]),G3367-Table13[[#This Row],[Steps]]),
))</f>
        <v>0</v>
      </c>
      <c r="F3368">
        <f>_xlfn.LET(_xlpm.dir,Table13[[#This Row],[Direction]],
IF(_xlpm.dir="R",
    IF(G3367+Table13[[#This Row],[Steps]]&gt;99,(G3367+Table13[[#This Row],[Steps]])-100,G3367+Table13[[#This Row],[Steps]]),
))</f>
        <v>60</v>
      </c>
      <c r="G3368">
        <f>IF(Table13[[#This Row],[New Pos L]]&lt;&gt;0,Table13[[#This Row],[New Pos L]],Table13[[#This Row],[New Pos R]])</f>
        <v>60</v>
      </c>
      <c r="H3368">
        <f>IF(AND(Table13[[#This Row],[Direction]]="L",Table13[[#This Row],[Steps]]&gt;G3367,G3367&lt;&gt;0),1,0)</f>
        <v>0</v>
      </c>
      <c r="I3368">
        <f>IF(AND(Table13[[#This Row],[Direction]]="R",(G3367+Table13[[#This Row],[Steps]])&gt;100),1,0)</f>
        <v>1</v>
      </c>
      <c r="J3368">
        <f>IF(Table13[[#This Row],[POS]]=0,1,0)</f>
        <v>0</v>
      </c>
      <c r="K3368">
        <f>SUM(Table13[[#This Row],[prefix]],Table13[[#This Row],[Past zero L]],Table13[[#This Row],[Past Zero R]],Table13[[#This Row],[Is Zero]])</f>
        <v>1</v>
      </c>
    </row>
    <row r="3369" spans="1:11" ht="16" x14ac:dyDescent="0.2">
      <c r="A3369" s="1" t="s">
        <v>72</v>
      </c>
      <c r="B3369" t="str">
        <f>LEFT(Table13[[#This Row],[Input]],1)</f>
        <v>R</v>
      </c>
      <c r="C3369">
        <f>_xlfn.LET(_xlpm.steps,SUBSTITUTE(Table13[[#This Row],[Input]],Table13[[#This Row],[Direction]],""),VALUE(IF(LEN(_xlpm.steps)&gt;2,RIGHT(_xlpm.steps,2),_xlpm.steps)))</f>
        <v>43</v>
      </c>
      <c r="D3369">
        <f>_xlfn.LET(_xlpm.steps,SUBSTITUTE(Table13[[#This Row],[Input]],Table13[[#This Row],[Direction]],""),VALUE(IF(LEN(_xlpm.steps)&gt;2,LEFT(_xlpm.steps,LEN(_xlpm.steps)-2),0)))</f>
        <v>0</v>
      </c>
      <c r="E3369">
        <f>_xlfn.LET(_xlpm.dir,Table13[[#This Row],[Direction]],
IF(_xlpm.dir="L",
    IF(G3368-Table13[[#This Row],[Steps]]&lt;0,100+(G3368-Table13[[#This Row],[Steps]]),G3368-Table13[[#This Row],[Steps]]),
))</f>
        <v>0</v>
      </c>
      <c r="F3369">
        <f>_xlfn.LET(_xlpm.dir,Table13[[#This Row],[Direction]],
IF(_xlpm.dir="R",
    IF(G3368+Table13[[#This Row],[Steps]]&gt;99,(G3368+Table13[[#This Row],[Steps]])-100,G3368+Table13[[#This Row],[Steps]]),
))</f>
        <v>3</v>
      </c>
      <c r="G3369">
        <f>IF(Table13[[#This Row],[New Pos L]]&lt;&gt;0,Table13[[#This Row],[New Pos L]],Table13[[#This Row],[New Pos R]])</f>
        <v>3</v>
      </c>
      <c r="H3369">
        <f>IF(AND(Table13[[#This Row],[Direction]]="L",Table13[[#This Row],[Steps]]&gt;G3368,G3368&lt;&gt;0),1,0)</f>
        <v>0</v>
      </c>
      <c r="I3369">
        <f>IF(AND(Table13[[#This Row],[Direction]]="R",(G3368+Table13[[#This Row],[Steps]])&gt;100),1,0)</f>
        <v>1</v>
      </c>
      <c r="J3369">
        <f>IF(Table13[[#This Row],[POS]]=0,1,0)</f>
        <v>0</v>
      </c>
      <c r="K3369">
        <f>SUM(Table13[[#This Row],[prefix]],Table13[[#This Row],[Past zero L]],Table13[[#This Row],[Past Zero R]],Table13[[#This Row],[Is Zero]])</f>
        <v>1</v>
      </c>
    </row>
    <row r="3370" spans="1:11" ht="16" x14ac:dyDescent="0.2">
      <c r="A3370" s="1" t="s">
        <v>138</v>
      </c>
      <c r="B3370" t="str">
        <f>LEFT(Table13[[#This Row],[Input]],1)</f>
        <v>L</v>
      </c>
      <c r="C3370">
        <f>_xlfn.LET(_xlpm.steps,SUBSTITUTE(Table13[[#This Row],[Input]],Table13[[#This Row],[Direction]],""),VALUE(IF(LEN(_xlpm.steps)&gt;2,RIGHT(_xlpm.steps,2),_xlpm.steps)))</f>
        <v>94</v>
      </c>
      <c r="D3370">
        <f>_xlfn.LET(_xlpm.steps,SUBSTITUTE(Table13[[#This Row],[Input]],Table13[[#This Row],[Direction]],""),VALUE(IF(LEN(_xlpm.steps)&gt;2,LEFT(_xlpm.steps,LEN(_xlpm.steps)-2),0)))</f>
        <v>0</v>
      </c>
      <c r="E3370">
        <f>_xlfn.LET(_xlpm.dir,Table13[[#This Row],[Direction]],
IF(_xlpm.dir="L",
    IF(G3369-Table13[[#This Row],[Steps]]&lt;0,100+(G3369-Table13[[#This Row],[Steps]]),G3369-Table13[[#This Row],[Steps]]),
))</f>
        <v>9</v>
      </c>
      <c r="F3370">
        <f>_xlfn.LET(_xlpm.dir,Table13[[#This Row],[Direction]],
IF(_xlpm.dir="R",
    IF(G3369+Table13[[#This Row],[Steps]]&gt;99,(G3369+Table13[[#This Row],[Steps]])-100,G3369+Table13[[#This Row],[Steps]]),
))</f>
        <v>0</v>
      </c>
      <c r="G3370">
        <f>IF(Table13[[#This Row],[New Pos L]]&lt;&gt;0,Table13[[#This Row],[New Pos L]],Table13[[#This Row],[New Pos R]])</f>
        <v>9</v>
      </c>
      <c r="H3370">
        <f>IF(AND(Table13[[#This Row],[Direction]]="L",Table13[[#This Row],[Steps]]&gt;G3369,G3369&lt;&gt;0),1,0)</f>
        <v>1</v>
      </c>
      <c r="I3370">
        <f>IF(AND(Table13[[#This Row],[Direction]]="R",(G3369+Table13[[#This Row],[Steps]])&gt;100),1,0)</f>
        <v>0</v>
      </c>
      <c r="J3370">
        <f>IF(Table13[[#This Row],[POS]]=0,1,0)</f>
        <v>0</v>
      </c>
      <c r="K3370">
        <f>SUM(Table13[[#This Row],[prefix]],Table13[[#This Row],[Past zero L]],Table13[[#This Row],[Past Zero R]],Table13[[#This Row],[Is Zero]])</f>
        <v>1</v>
      </c>
    </row>
    <row r="3371" spans="1:11" ht="16" x14ac:dyDescent="0.2">
      <c r="A3371" s="1" t="s">
        <v>9</v>
      </c>
      <c r="B3371" t="str">
        <f>LEFT(Table13[[#This Row],[Input]],1)</f>
        <v>L</v>
      </c>
      <c r="C3371">
        <f>_xlfn.LET(_xlpm.steps,SUBSTITUTE(Table13[[#This Row],[Input]],Table13[[#This Row],[Direction]],""),VALUE(IF(LEN(_xlpm.steps)&gt;2,RIGHT(_xlpm.steps,2),_xlpm.steps)))</f>
        <v>9</v>
      </c>
      <c r="D3371">
        <f>_xlfn.LET(_xlpm.steps,SUBSTITUTE(Table13[[#This Row],[Input]],Table13[[#This Row],[Direction]],""),VALUE(IF(LEN(_xlpm.steps)&gt;2,LEFT(_xlpm.steps,LEN(_xlpm.steps)-2),0)))</f>
        <v>0</v>
      </c>
      <c r="E3371">
        <f>_xlfn.LET(_xlpm.dir,Table13[[#This Row],[Direction]],
IF(_xlpm.dir="L",
    IF(G3370-Table13[[#This Row],[Steps]]&lt;0,100+(G3370-Table13[[#This Row],[Steps]]),G3370-Table13[[#This Row],[Steps]]),
))</f>
        <v>0</v>
      </c>
      <c r="F3371">
        <f>_xlfn.LET(_xlpm.dir,Table13[[#This Row],[Direction]],
IF(_xlpm.dir="R",
    IF(G3370+Table13[[#This Row],[Steps]]&gt;99,(G3370+Table13[[#This Row],[Steps]])-100,G3370+Table13[[#This Row],[Steps]]),
))</f>
        <v>0</v>
      </c>
      <c r="G3371">
        <f>IF(Table13[[#This Row],[New Pos L]]&lt;&gt;0,Table13[[#This Row],[New Pos L]],Table13[[#This Row],[New Pos R]])</f>
        <v>0</v>
      </c>
      <c r="H3371">
        <f>IF(AND(Table13[[#This Row],[Direction]]="L",Table13[[#This Row],[Steps]]&gt;G3370,G3370&lt;&gt;0),1,0)</f>
        <v>0</v>
      </c>
      <c r="I3371">
        <f>IF(AND(Table13[[#This Row],[Direction]]="R",(G3370+Table13[[#This Row],[Steps]])&gt;100),1,0)</f>
        <v>0</v>
      </c>
      <c r="J3371">
        <f>IF(Table13[[#This Row],[POS]]=0,1,0)</f>
        <v>1</v>
      </c>
      <c r="K3371">
        <f>SUM(Table13[[#This Row],[prefix]],Table13[[#This Row],[Past zero L]],Table13[[#This Row],[Past Zero R]],Table13[[#This Row],[Is Zero]])</f>
        <v>1</v>
      </c>
    </row>
    <row r="3372" spans="1:11" ht="16" x14ac:dyDescent="0.2">
      <c r="A3372" s="1" t="s">
        <v>29</v>
      </c>
      <c r="B3372" t="str">
        <f>LEFT(Table13[[#This Row],[Input]],1)</f>
        <v>L</v>
      </c>
      <c r="C3372">
        <f>_xlfn.LET(_xlpm.steps,SUBSTITUTE(Table13[[#This Row],[Input]],Table13[[#This Row],[Direction]],""),VALUE(IF(LEN(_xlpm.steps)&gt;2,RIGHT(_xlpm.steps,2),_xlpm.steps)))</f>
        <v>33</v>
      </c>
      <c r="D3372">
        <f>_xlfn.LET(_xlpm.steps,SUBSTITUTE(Table13[[#This Row],[Input]],Table13[[#This Row],[Direction]],""),VALUE(IF(LEN(_xlpm.steps)&gt;2,LEFT(_xlpm.steps,LEN(_xlpm.steps)-2),0)))</f>
        <v>0</v>
      </c>
      <c r="E3372">
        <f>_xlfn.LET(_xlpm.dir,Table13[[#This Row],[Direction]],
IF(_xlpm.dir="L",
    IF(G3371-Table13[[#This Row],[Steps]]&lt;0,100+(G3371-Table13[[#This Row],[Steps]]),G3371-Table13[[#This Row],[Steps]]),
))</f>
        <v>67</v>
      </c>
      <c r="F3372">
        <f>_xlfn.LET(_xlpm.dir,Table13[[#This Row],[Direction]],
IF(_xlpm.dir="R",
    IF(G3371+Table13[[#This Row],[Steps]]&gt;99,(G3371+Table13[[#This Row],[Steps]])-100,G3371+Table13[[#This Row],[Steps]]),
))</f>
        <v>0</v>
      </c>
      <c r="G3372">
        <f>IF(Table13[[#This Row],[New Pos L]]&lt;&gt;0,Table13[[#This Row],[New Pos L]],Table13[[#This Row],[New Pos R]])</f>
        <v>67</v>
      </c>
      <c r="H3372">
        <f>IF(AND(Table13[[#This Row],[Direction]]="L",Table13[[#This Row],[Steps]]&gt;G3371,G3371&lt;&gt;0),1,0)</f>
        <v>0</v>
      </c>
      <c r="I3372">
        <f>IF(AND(Table13[[#This Row],[Direction]]="R",(G3371+Table13[[#This Row],[Steps]])&gt;100),1,0)</f>
        <v>0</v>
      </c>
      <c r="J3372">
        <f>IF(Table13[[#This Row],[POS]]=0,1,0)</f>
        <v>0</v>
      </c>
      <c r="K3372">
        <f>SUM(Table13[[#This Row],[prefix]],Table13[[#This Row],[Past zero L]],Table13[[#This Row],[Past Zero R]],Table13[[#This Row],[Is Zero]])</f>
        <v>0</v>
      </c>
    </row>
    <row r="3373" spans="1:11" ht="16" x14ac:dyDescent="0.2">
      <c r="A3373" s="1" t="s">
        <v>102</v>
      </c>
      <c r="B3373" t="str">
        <f>LEFT(Table13[[#This Row],[Input]],1)</f>
        <v>R</v>
      </c>
      <c r="C3373">
        <f>_xlfn.LET(_xlpm.steps,SUBSTITUTE(Table13[[#This Row],[Input]],Table13[[#This Row],[Direction]],""),VALUE(IF(LEN(_xlpm.steps)&gt;2,RIGHT(_xlpm.steps,2),_xlpm.steps)))</f>
        <v>39</v>
      </c>
      <c r="D3373">
        <f>_xlfn.LET(_xlpm.steps,SUBSTITUTE(Table13[[#This Row],[Input]],Table13[[#This Row],[Direction]],""),VALUE(IF(LEN(_xlpm.steps)&gt;2,LEFT(_xlpm.steps,LEN(_xlpm.steps)-2),0)))</f>
        <v>0</v>
      </c>
      <c r="E3373">
        <f>_xlfn.LET(_xlpm.dir,Table13[[#This Row],[Direction]],
IF(_xlpm.dir="L",
    IF(G3372-Table13[[#This Row],[Steps]]&lt;0,100+(G3372-Table13[[#This Row],[Steps]]),G3372-Table13[[#This Row],[Steps]]),
))</f>
        <v>0</v>
      </c>
      <c r="F3373">
        <f>_xlfn.LET(_xlpm.dir,Table13[[#This Row],[Direction]],
IF(_xlpm.dir="R",
    IF(G3372+Table13[[#This Row],[Steps]]&gt;99,(G3372+Table13[[#This Row],[Steps]])-100,G3372+Table13[[#This Row],[Steps]]),
))</f>
        <v>6</v>
      </c>
      <c r="G3373">
        <f>IF(Table13[[#This Row],[New Pos L]]&lt;&gt;0,Table13[[#This Row],[New Pos L]],Table13[[#This Row],[New Pos R]])</f>
        <v>6</v>
      </c>
      <c r="H3373">
        <f>IF(AND(Table13[[#This Row],[Direction]]="L",Table13[[#This Row],[Steps]]&gt;G3372,G3372&lt;&gt;0),1,0)</f>
        <v>0</v>
      </c>
      <c r="I3373">
        <f>IF(AND(Table13[[#This Row],[Direction]]="R",(G3372+Table13[[#This Row],[Steps]])&gt;100),1,0)</f>
        <v>1</v>
      </c>
      <c r="J3373">
        <f>IF(Table13[[#This Row],[POS]]=0,1,0)</f>
        <v>0</v>
      </c>
      <c r="K3373">
        <f>SUM(Table13[[#This Row],[prefix]],Table13[[#This Row],[Past zero L]],Table13[[#This Row],[Past Zero R]],Table13[[#This Row],[Is Zero]])</f>
        <v>1</v>
      </c>
    </row>
    <row r="3374" spans="1:11" ht="16" x14ac:dyDescent="0.2">
      <c r="A3374" s="1" t="s">
        <v>732</v>
      </c>
      <c r="B3374" t="str">
        <f>LEFT(Table13[[#This Row],[Input]],1)</f>
        <v>R</v>
      </c>
      <c r="C3374">
        <f>_xlfn.LET(_xlpm.steps,SUBSTITUTE(Table13[[#This Row],[Input]],Table13[[#This Row],[Direction]],""),VALUE(IF(LEN(_xlpm.steps)&gt;2,RIGHT(_xlpm.steps,2),_xlpm.steps)))</f>
        <v>5</v>
      </c>
      <c r="D3374">
        <f>_xlfn.LET(_xlpm.steps,SUBSTITUTE(Table13[[#This Row],[Input]],Table13[[#This Row],[Direction]],""),VALUE(IF(LEN(_xlpm.steps)&gt;2,LEFT(_xlpm.steps,LEN(_xlpm.steps)-2),0)))</f>
        <v>8</v>
      </c>
      <c r="E3374">
        <f>_xlfn.LET(_xlpm.dir,Table13[[#This Row],[Direction]],
IF(_xlpm.dir="L",
    IF(G3373-Table13[[#This Row],[Steps]]&lt;0,100+(G3373-Table13[[#This Row],[Steps]]),G3373-Table13[[#This Row],[Steps]]),
))</f>
        <v>0</v>
      </c>
      <c r="F3374">
        <f>_xlfn.LET(_xlpm.dir,Table13[[#This Row],[Direction]],
IF(_xlpm.dir="R",
    IF(G3373+Table13[[#This Row],[Steps]]&gt;99,(G3373+Table13[[#This Row],[Steps]])-100,G3373+Table13[[#This Row],[Steps]]),
))</f>
        <v>11</v>
      </c>
      <c r="G3374">
        <f>IF(Table13[[#This Row],[New Pos L]]&lt;&gt;0,Table13[[#This Row],[New Pos L]],Table13[[#This Row],[New Pos R]])</f>
        <v>11</v>
      </c>
      <c r="H3374">
        <f>IF(AND(Table13[[#This Row],[Direction]]="L",Table13[[#This Row],[Steps]]&gt;G3373,G3373&lt;&gt;0),1,0)</f>
        <v>0</v>
      </c>
      <c r="I3374">
        <f>IF(AND(Table13[[#This Row],[Direction]]="R",(G3373+Table13[[#This Row],[Steps]])&gt;100),1,0)</f>
        <v>0</v>
      </c>
      <c r="J3374">
        <f>IF(Table13[[#This Row],[POS]]=0,1,0)</f>
        <v>0</v>
      </c>
      <c r="K3374">
        <f>SUM(Table13[[#This Row],[prefix]],Table13[[#This Row],[Past zero L]],Table13[[#This Row],[Past Zero R]],Table13[[#This Row],[Is Zero]])</f>
        <v>8</v>
      </c>
    </row>
    <row r="3375" spans="1:11" ht="16" x14ac:dyDescent="0.2">
      <c r="A3375" s="1" t="s">
        <v>12</v>
      </c>
      <c r="B3375" t="str">
        <f>LEFT(Table13[[#This Row],[Input]],1)</f>
        <v>L</v>
      </c>
      <c r="C3375">
        <f>_xlfn.LET(_xlpm.steps,SUBSTITUTE(Table13[[#This Row],[Input]],Table13[[#This Row],[Direction]],""),VALUE(IF(LEN(_xlpm.steps)&gt;2,RIGHT(_xlpm.steps,2),_xlpm.steps)))</f>
        <v>11</v>
      </c>
      <c r="D3375">
        <f>_xlfn.LET(_xlpm.steps,SUBSTITUTE(Table13[[#This Row],[Input]],Table13[[#This Row],[Direction]],""),VALUE(IF(LEN(_xlpm.steps)&gt;2,LEFT(_xlpm.steps,LEN(_xlpm.steps)-2),0)))</f>
        <v>0</v>
      </c>
      <c r="E3375">
        <f>_xlfn.LET(_xlpm.dir,Table13[[#This Row],[Direction]],
IF(_xlpm.dir="L",
    IF(G3374-Table13[[#This Row],[Steps]]&lt;0,100+(G3374-Table13[[#This Row],[Steps]]),G3374-Table13[[#This Row],[Steps]]),
))</f>
        <v>0</v>
      </c>
      <c r="F3375">
        <f>_xlfn.LET(_xlpm.dir,Table13[[#This Row],[Direction]],
IF(_xlpm.dir="R",
    IF(G3374+Table13[[#This Row],[Steps]]&gt;99,(G3374+Table13[[#This Row],[Steps]])-100,G3374+Table13[[#This Row],[Steps]]),
))</f>
        <v>0</v>
      </c>
      <c r="G3375">
        <f>IF(Table13[[#This Row],[New Pos L]]&lt;&gt;0,Table13[[#This Row],[New Pos L]],Table13[[#This Row],[New Pos R]])</f>
        <v>0</v>
      </c>
      <c r="H3375">
        <f>IF(AND(Table13[[#This Row],[Direction]]="L",Table13[[#This Row],[Steps]]&gt;G3374,G3374&lt;&gt;0),1,0)</f>
        <v>0</v>
      </c>
      <c r="I3375">
        <f>IF(AND(Table13[[#This Row],[Direction]]="R",(G3374+Table13[[#This Row],[Steps]])&gt;100),1,0)</f>
        <v>0</v>
      </c>
      <c r="J3375">
        <f>IF(Table13[[#This Row],[POS]]=0,1,0)</f>
        <v>1</v>
      </c>
      <c r="K3375">
        <f>SUM(Table13[[#This Row],[prefix]],Table13[[#This Row],[Past zero L]],Table13[[#This Row],[Past Zero R]],Table13[[#This Row],[Is Zero]])</f>
        <v>1</v>
      </c>
    </row>
    <row r="3376" spans="1:11" ht="16" x14ac:dyDescent="0.2">
      <c r="A3376" s="1" t="s">
        <v>105</v>
      </c>
      <c r="B3376" t="str">
        <f>LEFT(Table13[[#This Row],[Input]],1)</f>
        <v>R</v>
      </c>
      <c r="C3376">
        <f>_xlfn.LET(_xlpm.steps,SUBSTITUTE(Table13[[#This Row],[Input]],Table13[[#This Row],[Direction]],""),VALUE(IF(LEN(_xlpm.steps)&gt;2,RIGHT(_xlpm.steps,2),_xlpm.steps)))</f>
        <v>98</v>
      </c>
      <c r="D3376">
        <f>_xlfn.LET(_xlpm.steps,SUBSTITUTE(Table13[[#This Row],[Input]],Table13[[#This Row],[Direction]],""),VALUE(IF(LEN(_xlpm.steps)&gt;2,LEFT(_xlpm.steps,LEN(_xlpm.steps)-2),0)))</f>
        <v>0</v>
      </c>
      <c r="E3376">
        <f>_xlfn.LET(_xlpm.dir,Table13[[#This Row],[Direction]],
IF(_xlpm.dir="L",
    IF(G3375-Table13[[#This Row],[Steps]]&lt;0,100+(G3375-Table13[[#This Row],[Steps]]),G3375-Table13[[#This Row],[Steps]]),
))</f>
        <v>0</v>
      </c>
      <c r="F3376">
        <f>_xlfn.LET(_xlpm.dir,Table13[[#This Row],[Direction]],
IF(_xlpm.dir="R",
    IF(G3375+Table13[[#This Row],[Steps]]&gt;99,(G3375+Table13[[#This Row],[Steps]])-100,G3375+Table13[[#This Row],[Steps]]),
))</f>
        <v>98</v>
      </c>
      <c r="G3376">
        <f>IF(Table13[[#This Row],[New Pos L]]&lt;&gt;0,Table13[[#This Row],[New Pos L]],Table13[[#This Row],[New Pos R]])</f>
        <v>98</v>
      </c>
      <c r="H3376">
        <f>IF(AND(Table13[[#This Row],[Direction]]="L",Table13[[#This Row],[Steps]]&gt;G3375,G3375&lt;&gt;0),1,0)</f>
        <v>0</v>
      </c>
      <c r="I3376">
        <f>IF(AND(Table13[[#This Row],[Direction]]="R",(G3375+Table13[[#This Row],[Steps]])&gt;100),1,0)</f>
        <v>0</v>
      </c>
      <c r="J3376">
        <f>IF(Table13[[#This Row],[POS]]=0,1,0)</f>
        <v>0</v>
      </c>
      <c r="K3376">
        <f>SUM(Table13[[#This Row],[prefix]],Table13[[#This Row],[Past zero L]],Table13[[#This Row],[Past Zero R]],Table13[[#This Row],[Is Zero]])</f>
        <v>0</v>
      </c>
    </row>
    <row r="3377" spans="1:11" ht="16" x14ac:dyDescent="0.2">
      <c r="A3377" s="1" t="s">
        <v>75</v>
      </c>
      <c r="B3377" t="str">
        <f>LEFT(Table13[[#This Row],[Input]],1)</f>
        <v>R</v>
      </c>
      <c r="C3377">
        <f>_xlfn.LET(_xlpm.steps,SUBSTITUTE(Table13[[#This Row],[Input]],Table13[[#This Row],[Direction]],""),VALUE(IF(LEN(_xlpm.steps)&gt;2,RIGHT(_xlpm.steps,2),_xlpm.steps)))</f>
        <v>2</v>
      </c>
      <c r="D3377">
        <f>_xlfn.LET(_xlpm.steps,SUBSTITUTE(Table13[[#This Row],[Input]],Table13[[#This Row],[Direction]],""),VALUE(IF(LEN(_xlpm.steps)&gt;2,LEFT(_xlpm.steps,LEN(_xlpm.steps)-2),0)))</f>
        <v>0</v>
      </c>
      <c r="E3377">
        <f>_xlfn.LET(_xlpm.dir,Table13[[#This Row],[Direction]],
IF(_xlpm.dir="L",
    IF(G3376-Table13[[#This Row],[Steps]]&lt;0,100+(G3376-Table13[[#This Row],[Steps]]),G3376-Table13[[#This Row],[Steps]]),
))</f>
        <v>0</v>
      </c>
      <c r="F3377">
        <f>_xlfn.LET(_xlpm.dir,Table13[[#This Row],[Direction]],
IF(_xlpm.dir="R",
    IF(G3376+Table13[[#This Row],[Steps]]&gt;99,(G3376+Table13[[#This Row],[Steps]])-100,G3376+Table13[[#This Row],[Steps]]),
))</f>
        <v>0</v>
      </c>
      <c r="G3377">
        <f>IF(Table13[[#This Row],[New Pos L]]&lt;&gt;0,Table13[[#This Row],[New Pos L]],Table13[[#This Row],[New Pos R]])</f>
        <v>0</v>
      </c>
      <c r="H3377">
        <f>IF(AND(Table13[[#This Row],[Direction]]="L",Table13[[#This Row],[Steps]]&gt;G3376,G3376&lt;&gt;0),1,0)</f>
        <v>0</v>
      </c>
      <c r="I3377">
        <f>IF(AND(Table13[[#This Row],[Direction]]="R",(G3376+Table13[[#This Row],[Steps]])&gt;100),1,0)</f>
        <v>0</v>
      </c>
      <c r="J3377">
        <f>IF(Table13[[#This Row],[POS]]=0,1,0)</f>
        <v>1</v>
      </c>
      <c r="K3377">
        <f>SUM(Table13[[#This Row],[prefix]],Table13[[#This Row],[Past zero L]],Table13[[#This Row],[Past Zero R]],Table13[[#This Row],[Is Zero]])</f>
        <v>1</v>
      </c>
    </row>
    <row r="3378" spans="1:11" ht="16" x14ac:dyDescent="0.2">
      <c r="A3378" s="1" t="s">
        <v>98</v>
      </c>
      <c r="B3378" t="str">
        <f>LEFT(Table13[[#This Row],[Input]],1)</f>
        <v>L</v>
      </c>
      <c r="C3378">
        <f>_xlfn.LET(_xlpm.steps,SUBSTITUTE(Table13[[#This Row],[Input]],Table13[[#This Row],[Direction]],""),VALUE(IF(LEN(_xlpm.steps)&gt;2,RIGHT(_xlpm.steps,2),_xlpm.steps)))</f>
        <v>65</v>
      </c>
      <c r="D3378">
        <f>_xlfn.LET(_xlpm.steps,SUBSTITUTE(Table13[[#This Row],[Input]],Table13[[#This Row],[Direction]],""),VALUE(IF(LEN(_xlpm.steps)&gt;2,LEFT(_xlpm.steps,LEN(_xlpm.steps)-2),0)))</f>
        <v>0</v>
      </c>
      <c r="E3378">
        <f>_xlfn.LET(_xlpm.dir,Table13[[#This Row],[Direction]],
IF(_xlpm.dir="L",
    IF(G3377-Table13[[#This Row],[Steps]]&lt;0,100+(G3377-Table13[[#This Row],[Steps]]),G3377-Table13[[#This Row],[Steps]]),
))</f>
        <v>35</v>
      </c>
      <c r="F3378">
        <f>_xlfn.LET(_xlpm.dir,Table13[[#This Row],[Direction]],
IF(_xlpm.dir="R",
    IF(G3377+Table13[[#This Row],[Steps]]&gt;99,(G3377+Table13[[#This Row],[Steps]])-100,G3377+Table13[[#This Row],[Steps]]),
))</f>
        <v>0</v>
      </c>
      <c r="G3378">
        <f>IF(Table13[[#This Row],[New Pos L]]&lt;&gt;0,Table13[[#This Row],[New Pos L]],Table13[[#This Row],[New Pos R]])</f>
        <v>35</v>
      </c>
      <c r="H3378">
        <f>IF(AND(Table13[[#This Row],[Direction]]="L",Table13[[#This Row],[Steps]]&gt;G3377,G3377&lt;&gt;0),1,0)</f>
        <v>0</v>
      </c>
      <c r="I3378">
        <f>IF(AND(Table13[[#This Row],[Direction]]="R",(G3377+Table13[[#This Row],[Steps]])&gt;100),1,0)</f>
        <v>0</v>
      </c>
      <c r="J3378">
        <f>IF(Table13[[#This Row],[POS]]=0,1,0)</f>
        <v>0</v>
      </c>
      <c r="K3378">
        <f>SUM(Table13[[#This Row],[prefix]],Table13[[#This Row],[Past zero L]],Table13[[#This Row],[Past Zero R]],Table13[[#This Row],[Is Zero]])</f>
        <v>0</v>
      </c>
    </row>
    <row r="3379" spans="1:11" ht="16" x14ac:dyDescent="0.2">
      <c r="A3379" s="1" t="s">
        <v>733</v>
      </c>
      <c r="B3379" t="str">
        <f>LEFT(Table13[[#This Row],[Input]],1)</f>
        <v>L</v>
      </c>
      <c r="C3379">
        <f>_xlfn.LET(_xlpm.steps,SUBSTITUTE(Table13[[#This Row],[Input]],Table13[[#This Row],[Direction]],""),VALUE(IF(LEN(_xlpm.steps)&gt;2,RIGHT(_xlpm.steps,2),_xlpm.steps)))</f>
        <v>35</v>
      </c>
      <c r="D3379">
        <f>_xlfn.LET(_xlpm.steps,SUBSTITUTE(Table13[[#This Row],[Input]],Table13[[#This Row],[Direction]],""),VALUE(IF(LEN(_xlpm.steps)&gt;2,LEFT(_xlpm.steps,LEN(_xlpm.steps)-2),0)))</f>
        <v>8</v>
      </c>
      <c r="E3379">
        <f>_xlfn.LET(_xlpm.dir,Table13[[#This Row],[Direction]],
IF(_xlpm.dir="L",
    IF(G3378-Table13[[#This Row],[Steps]]&lt;0,100+(G3378-Table13[[#This Row],[Steps]]),G3378-Table13[[#This Row],[Steps]]),
))</f>
        <v>0</v>
      </c>
      <c r="F3379">
        <f>_xlfn.LET(_xlpm.dir,Table13[[#This Row],[Direction]],
IF(_xlpm.dir="R",
    IF(G3378+Table13[[#This Row],[Steps]]&gt;99,(G3378+Table13[[#This Row],[Steps]])-100,G3378+Table13[[#This Row],[Steps]]),
))</f>
        <v>0</v>
      </c>
      <c r="G3379">
        <f>IF(Table13[[#This Row],[New Pos L]]&lt;&gt;0,Table13[[#This Row],[New Pos L]],Table13[[#This Row],[New Pos R]])</f>
        <v>0</v>
      </c>
      <c r="H3379">
        <f>IF(AND(Table13[[#This Row],[Direction]]="L",Table13[[#This Row],[Steps]]&gt;G3378,G3378&lt;&gt;0),1,0)</f>
        <v>0</v>
      </c>
      <c r="I3379">
        <f>IF(AND(Table13[[#This Row],[Direction]]="R",(G3378+Table13[[#This Row],[Steps]])&gt;100),1,0)</f>
        <v>0</v>
      </c>
      <c r="J3379">
        <f>IF(Table13[[#This Row],[POS]]=0,1,0)</f>
        <v>1</v>
      </c>
      <c r="K3379">
        <f>SUM(Table13[[#This Row],[prefix]],Table13[[#This Row],[Past zero L]],Table13[[#This Row],[Past Zero R]],Table13[[#This Row],[Is Zero]])</f>
        <v>9</v>
      </c>
    </row>
    <row r="3380" spans="1:11" ht="16" x14ac:dyDescent="0.2">
      <c r="A3380" s="1" t="s">
        <v>734</v>
      </c>
      <c r="B3380" t="str">
        <f>LEFT(Table13[[#This Row],[Input]],1)</f>
        <v>R</v>
      </c>
      <c r="C3380">
        <f>_xlfn.LET(_xlpm.steps,SUBSTITUTE(Table13[[#This Row],[Input]],Table13[[#This Row],[Direction]],""),VALUE(IF(LEN(_xlpm.steps)&gt;2,RIGHT(_xlpm.steps,2),_xlpm.steps)))</f>
        <v>43</v>
      </c>
      <c r="D3380">
        <f>_xlfn.LET(_xlpm.steps,SUBSTITUTE(Table13[[#This Row],[Input]],Table13[[#This Row],[Direction]],""),VALUE(IF(LEN(_xlpm.steps)&gt;2,LEFT(_xlpm.steps,LEN(_xlpm.steps)-2),0)))</f>
        <v>4</v>
      </c>
      <c r="E3380">
        <f>_xlfn.LET(_xlpm.dir,Table13[[#This Row],[Direction]],
IF(_xlpm.dir="L",
    IF(G3379-Table13[[#This Row],[Steps]]&lt;0,100+(G3379-Table13[[#This Row],[Steps]]),G3379-Table13[[#This Row],[Steps]]),
))</f>
        <v>0</v>
      </c>
      <c r="F3380">
        <f>_xlfn.LET(_xlpm.dir,Table13[[#This Row],[Direction]],
IF(_xlpm.dir="R",
    IF(G3379+Table13[[#This Row],[Steps]]&gt;99,(G3379+Table13[[#This Row],[Steps]])-100,G3379+Table13[[#This Row],[Steps]]),
))</f>
        <v>43</v>
      </c>
      <c r="G3380">
        <f>IF(Table13[[#This Row],[New Pos L]]&lt;&gt;0,Table13[[#This Row],[New Pos L]],Table13[[#This Row],[New Pos R]])</f>
        <v>43</v>
      </c>
      <c r="H3380">
        <f>IF(AND(Table13[[#This Row],[Direction]]="L",Table13[[#This Row],[Steps]]&gt;G3379,G3379&lt;&gt;0),1,0)</f>
        <v>0</v>
      </c>
      <c r="I3380">
        <f>IF(AND(Table13[[#This Row],[Direction]]="R",(G3379+Table13[[#This Row],[Steps]])&gt;100),1,0)</f>
        <v>0</v>
      </c>
      <c r="J3380">
        <f>IF(Table13[[#This Row],[POS]]=0,1,0)</f>
        <v>0</v>
      </c>
      <c r="K3380">
        <f>SUM(Table13[[#This Row],[prefix]],Table13[[#This Row],[Past zero L]],Table13[[#This Row],[Past Zero R]],Table13[[#This Row],[Is Zero]])</f>
        <v>4</v>
      </c>
    </row>
    <row r="3381" spans="1:11" ht="16" x14ac:dyDescent="0.2">
      <c r="A3381" s="1" t="s">
        <v>293</v>
      </c>
      <c r="B3381" t="str">
        <f>LEFT(Table13[[#This Row],[Input]],1)</f>
        <v>R</v>
      </c>
      <c r="C3381">
        <f>_xlfn.LET(_xlpm.steps,SUBSTITUTE(Table13[[#This Row],[Input]],Table13[[#This Row],[Direction]],""),VALUE(IF(LEN(_xlpm.steps)&gt;2,RIGHT(_xlpm.steps,2),_xlpm.steps)))</f>
        <v>67</v>
      </c>
      <c r="D3381">
        <f>_xlfn.LET(_xlpm.steps,SUBSTITUTE(Table13[[#This Row],[Input]],Table13[[#This Row],[Direction]],""),VALUE(IF(LEN(_xlpm.steps)&gt;2,LEFT(_xlpm.steps,LEN(_xlpm.steps)-2),0)))</f>
        <v>0</v>
      </c>
      <c r="E3381">
        <f>_xlfn.LET(_xlpm.dir,Table13[[#This Row],[Direction]],
IF(_xlpm.dir="L",
    IF(G3380-Table13[[#This Row],[Steps]]&lt;0,100+(G3380-Table13[[#This Row],[Steps]]),G3380-Table13[[#This Row],[Steps]]),
))</f>
        <v>0</v>
      </c>
      <c r="F3381">
        <f>_xlfn.LET(_xlpm.dir,Table13[[#This Row],[Direction]],
IF(_xlpm.dir="R",
    IF(G3380+Table13[[#This Row],[Steps]]&gt;99,(G3380+Table13[[#This Row],[Steps]])-100,G3380+Table13[[#This Row],[Steps]]),
))</f>
        <v>10</v>
      </c>
      <c r="G3381">
        <f>IF(Table13[[#This Row],[New Pos L]]&lt;&gt;0,Table13[[#This Row],[New Pos L]],Table13[[#This Row],[New Pos R]])</f>
        <v>10</v>
      </c>
      <c r="H3381">
        <f>IF(AND(Table13[[#This Row],[Direction]]="L",Table13[[#This Row],[Steps]]&gt;G3380,G3380&lt;&gt;0),1,0)</f>
        <v>0</v>
      </c>
      <c r="I3381">
        <f>IF(AND(Table13[[#This Row],[Direction]]="R",(G3380+Table13[[#This Row],[Steps]])&gt;100),1,0)</f>
        <v>1</v>
      </c>
      <c r="J3381">
        <f>IF(Table13[[#This Row],[POS]]=0,1,0)</f>
        <v>0</v>
      </c>
      <c r="K3381">
        <f>SUM(Table13[[#This Row],[prefix]],Table13[[#This Row],[Past zero L]],Table13[[#This Row],[Past Zero R]],Table13[[#This Row],[Is Zero]])</f>
        <v>1</v>
      </c>
    </row>
    <row r="3382" spans="1:11" ht="16" x14ac:dyDescent="0.2">
      <c r="A3382" s="1" t="s">
        <v>43</v>
      </c>
      <c r="B3382" t="str">
        <f>LEFT(Table13[[#This Row],[Input]],1)</f>
        <v>R</v>
      </c>
      <c r="C3382">
        <f>_xlfn.LET(_xlpm.steps,SUBSTITUTE(Table13[[#This Row],[Input]],Table13[[#This Row],[Direction]],""),VALUE(IF(LEN(_xlpm.steps)&gt;2,RIGHT(_xlpm.steps,2),_xlpm.steps)))</f>
        <v>90</v>
      </c>
      <c r="D3382">
        <f>_xlfn.LET(_xlpm.steps,SUBSTITUTE(Table13[[#This Row],[Input]],Table13[[#This Row],[Direction]],""),VALUE(IF(LEN(_xlpm.steps)&gt;2,LEFT(_xlpm.steps,LEN(_xlpm.steps)-2),0)))</f>
        <v>0</v>
      </c>
      <c r="E3382">
        <f>_xlfn.LET(_xlpm.dir,Table13[[#This Row],[Direction]],
IF(_xlpm.dir="L",
    IF(G3381-Table13[[#This Row],[Steps]]&lt;0,100+(G3381-Table13[[#This Row],[Steps]]),G3381-Table13[[#This Row],[Steps]]),
))</f>
        <v>0</v>
      </c>
      <c r="F3382">
        <f>_xlfn.LET(_xlpm.dir,Table13[[#This Row],[Direction]],
IF(_xlpm.dir="R",
    IF(G3381+Table13[[#This Row],[Steps]]&gt;99,(G3381+Table13[[#This Row],[Steps]])-100,G3381+Table13[[#This Row],[Steps]]),
))</f>
        <v>0</v>
      </c>
      <c r="G3382">
        <f>IF(Table13[[#This Row],[New Pos L]]&lt;&gt;0,Table13[[#This Row],[New Pos L]],Table13[[#This Row],[New Pos R]])</f>
        <v>0</v>
      </c>
      <c r="H3382">
        <f>IF(AND(Table13[[#This Row],[Direction]]="L",Table13[[#This Row],[Steps]]&gt;G3381,G3381&lt;&gt;0),1,0)</f>
        <v>0</v>
      </c>
      <c r="I3382">
        <f>IF(AND(Table13[[#This Row],[Direction]]="R",(G3381+Table13[[#This Row],[Steps]])&gt;100),1,0)</f>
        <v>0</v>
      </c>
      <c r="J3382">
        <f>IF(Table13[[#This Row],[POS]]=0,1,0)</f>
        <v>1</v>
      </c>
      <c r="K3382">
        <f>SUM(Table13[[#This Row],[prefix]],Table13[[#This Row],[Past zero L]],Table13[[#This Row],[Past Zero R]],Table13[[#This Row],[Is Zero]])</f>
        <v>1</v>
      </c>
    </row>
    <row r="3383" spans="1:11" ht="16" x14ac:dyDescent="0.2">
      <c r="A3383" s="1" t="s">
        <v>37</v>
      </c>
      <c r="B3383" t="str">
        <f>LEFT(Table13[[#This Row],[Input]],1)</f>
        <v>L</v>
      </c>
      <c r="C3383">
        <f>_xlfn.LET(_xlpm.steps,SUBSTITUTE(Table13[[#This Row],[Input]],Table13[[#This Row],[Direction]],""),VALUE(IF(LEN(_xlpm.steps)&gt;2,RIGHT(_xlpm.steps,2),_xlpm.steps)))</f>
        <v>42</v>
      </c>
      <c r="D3383">
        <f>_xlfn.LET(_xlpm.steps,SUBSTITUTE(Table13[[#This Row],[Input]],Table13[[#This Row],[Direction]],""),VALUE(IF(LEN(_xlpm.steps)&gt;2,LEFT(_xlpm.steps,LEN(_xlpm.steps)-2),0)))</f>
        <v>0</v>
      </c>
      <c r="E3383">
        <f>_xlfn.LET(_xlpm.dir,Table13[[#This Row],[Direction]],
IF(_xlpm.dir="L",
    IF(G3382-Table13[[#This Row],[Steps]]&lt;0,100+(G3382-Table13[[#This Row],[Steps]]),G3382-Table13[[#This Row],[Steps]]),
))</f>
        <v>58</v>
      </c>
      <c r="F3383">
        <f>_xlfn.LET(_xlpm.dir,Table13[[#This Row],[Direction]],
IF(_xlpm.dir="R",
    IF(G3382+Table13[[#This Row],[Steps]]&gt;99,(G3382+Table13[[#This Row],[Steps]])-100,G3382+Table13[[#This Row],[Steps]]),
))</f>
        <v>0</v>
      </c>
      <c r="G3383">
        <f>IF(Table13[[#This Row],[New Pos L]]&lt;&gt;0,Table13[[#This Row],[New Pos L]],Table13[[#This Row],[New Pos R]])</f>
        <v>58</v>
      </c>
      <c r="H3383">
        <f>IF(AND(Table13[[#This Row],[Direction]]="L",Table13[[#This Row],[Steps]]&gt;G3382,G3382&lt;&gt;0),1,0)</f>
        <v>0</v>
      </c>
      <c r="I3383">
        <f>IF(AND(Table13[[#This Row],[Direction]]="R",(G3382+Table13[[#This Row],[Steps]])&gt;100),1,0)</f>
        <v>0</v>
      </c>
      <c r="J3383">
        <f>IF(Table13[[#This Row],[POS]]=0,1,0)</f>
        <v>0</v>
      </c>
      <c r="K3383">
        <f>SUM(Table13[[#This Row],[prefix]],Table13[[#This Row],[Past zero L]],Table13[[#This Row],[Past Zero R]],Table13[[#This Row],[Is Zero]])</f>
        <v>0</v>
      </c>
    </row>
    <row r="3384" spans="1:11" ht="16" x14ac:dyDescent="0.2">
      <c r="A3384" s="1" t="s">
        <v>116</v>
      </c>
      <c r="B3384" t="str">
        <f>LEFT(Table13[[#This Row],[Input]],1)</f>
        <v>L</v>
      </c>
      <c r="C3384">
        <f>_xlfn.LET(_xlpm.steps,SUBSTITUTE(Table13[[#This Row],[Input]],Table13[[#This Row],[Direction]],""),VALUE(IF(LEN(_xlpm.steps)&gt;2,RIGHT(_xlpm.steps,2),_xlpm.steps)))</f>
        <v>58</v>
      </c>
      <c r="D3384">
        <f>_xlfn.LET(_xlpm.steps,SUBSTITUTE(Table13[[#This Row],[Input]],Table13[[#This Row],[Direction]],""),VALUE(IF(LEN(_xlpm.steps)&gt;2,LEFT(_xlpm.steps,LEN(_xlpm.steps)-2),0)))</f>
        <v>0</v>
      </c>
      <c r="E3384">
        <f>_xlfn.LET(_xlpm.dir,Table13[[#This Row],[Direction]],
IF(_xlpm.dir="L",
    IF(G3383-Table13[[#This Row],[Steps]]&lt;0,100+(G3383-Table13[[#This Row],[Steps]]),G3383-Table13[[#This Row],[Steps]]),
))</f>
        <v>0</v>
      </c>
      <c r="F3384">
        <f>_xlfn.LET(_xlpm.dir,Table13[[#This Row],[Direction]],
IF(_xlpm.dir="R",
    IF(G3383+Table13[[#This Row],[Steps]]&gt;99,(G3383+Table13[[#This Row],[Steps]])-100,G3383+Table13[[#This Row],[Steps]]),
))</f>
        <v>0</v>
      </c>
      <c r="G3384">
        <f>IF(Table13[[#This Row],[New Pos L]]&lt;&gt;0,Table13[[#This Row],[New Pos L]],Table13[[#This Row],[New Pos R]])</f>
        <v>0</v>
      </c>
      <c r="H3384">
        <f>IF(AND(Table13[[#This Row],[Direction]]="L",Table13[[#This Row],[Steps]]&gt;G3383,G3383&lt;&gt;0),1,0)</f>
        <v>0</v>
      </c>
      <c r="I3384">
        <f>IF(AND(Table13[[#This Row],[Direction]]="R",(G3383+Table13[[#This Row],[Steps]])&gt;100),1,0)</f>
        <v>0</v>
      </c>
      <c r="J3384">
        <f>IF(Table13[[#This Row],[POS]]=0,1,0)</f>
        <v>1</v>
      </c>
      <c r="K3384">
        <f>SUM(Table13[[#This Row],[prefix]],Table13[[#This Row],[Past zero L]],Table13[[#This Row],[Past Zero R]],Table13[[#This Row],[Is Zero]])</f>
        <v>1</v>
      </c>
    </row>
    <row r="3385" spans="1:11" ht="16" x14ac:dyDescent="0.2">
      <c r="A3385" s="1" t="s">
        <v>735</v>
      </c>
      <c r="B3385" t="str">
        <f>LEFT(Table13[[#This Row],[Input]],1)</f>
        <v>R</v>
      </c>
      <c r="C3385">
        <f>_xlfn.LET(_xlpm.steps,SUBSTITUTE(Table13[[#This Row],[Input]],Table13[[#This Row],[Direction]],""),VALUE(IF(LEN(_xlpm.steps)&gt;2,RIGHT(_xlpm.steps,2),_xlpm.steps)))</f>
        <v>82</v>
      </c>
      <c r="D3385">
        <f>_xlfn.LET(_xlpm.steps,SUBSTITUTE(Table13[[#This Row],[Input]],Table13[[#This Row],[Direction]],""),VALUE(IF(LEN(_xlpm.steps)&gt;2,LEFT(_xlpm.steps,LEN(_xlpm.steps)-2),0)))</f>
        <v>2</v>
      </c>
      <c r="E3385">
        <f>_xlfn.LET(_xlpm.dir,Table13[[#This Row],[Direction]],
IF(_xlpm.dir="L",
    IF(G3384-Table13[[#This Row],[Steps]]&lt;0,100+(G3384-Table13[[#This Row],[Steps]]),G3384-Table13[[#This Row],[Steps]]),
))</f>
        <v>0</v>
      </c>
      <c r="F3385">
        <f>_xlfn.LET(_xlpm.dir,Table13[[#This Row],[Direction]],
IF(_xlpm.dir="R",
    IF(G3384+Table13[[#This Row],[Steps]]&gt;99,(G3384+Table13[[#This Row],[Steps]])-100,G3384+Table13[[#This Row],[Steps]]),
))</f>
        <v>82</v>
      </c>
      <c r="G3385">
        <f>IF(Table13[[#This Row],[New Pos L]]&lt;&gt;0,Table13[[#This Row],[New Pos L]],Table13[[#This Row],[New Pos R]])</f>
        <v>82</v>
      </c>
      <c r="H3385">
        <f>IF(AND(Table13[[#This Row],[Direction]]="L",Table13[[#This Row],[Steps]]&gt;G3384,G3384&lt;&gt;0),1,0)</f>
        <v>0</v>
      </c>
      <c r="I3385">
        <f>IF(AND(Table13[[#This Row],[Direction]]="R",(G3384+Table13[[#This Row],[Steps]])&gt;100),1,0)</f>
        <v>0</v>
      </c>
      <c r="J3385">
        <f>IF(Table13[[#This Row],[POS]]=0,1,0)</f>
        <v>0</v>
      </c>
      <c r="K3385">
        <f>SUM(Table13[[#This Row],[prefix]],Table13[[#This Row],[Past zero L]],Table13[[#This Row],[Past Zero R]],Table13[[#This Row],[Is Zero]])</f>
        <v>2</v>
      </c>
    </row>
    <row r="3386" spans="1:11" ht="16" x14ac:dyDescent="0.2">
      <c r="A3386" s="1" t="s">
        <v>736</v>
      </c>
      <c r="B3386" t="str">
        <f>LEFT(Table13[[#This Row],[Input]],1)</f>
        <v>L</v>
      </c>
      <c r="C3386">
        <f>_xlfn.LET(_xlpm.steps,SUBSTITUTE(Table13[[#This Row],[Input]],Table13[[#This Row],[Direction]],""),VALUE(IF(LEN(_xlpm.steps)&gt;2,RIGHT(_xlpm.steps,2),_xlpm.steps)))</f>
        <v>63</v>
      </c>
      <c r="D3386">
        <f>_xlfn.LET(_xlpm.steps,SUBSTITUTE(Table13[[#This Row],[Input]],Table13[[#This Row],[Direction]],""),VALUE(IF(LEN(_xlpm.steps)&gt;2,LEFT(_xlpm.steps,LEN(_xlpm.steps)-2),0)))</f>
        <v>7</v>
      </c>
      <c r="E3386">
        <f>_xlfn.LET(_xlpm.dir,Table13[[#This Row],[Direction]],
IF(_xlpm.dir="L",
    IF(G3385-Table13[[#This Row],[Steps]]&lt;0,100+(G3385-Table13[[#This Row],[Steps]]),G3385-Table13[[#This Row],[Steps]]),
))</f>
        <v>19</v>
      </c>
      <c r="F3386">
        <f>_xlfn.LET(_xlpm.dir,Table13[[#This Row],[Direction]],
IF(_xlpm.dir="R",
    IF(G3385+Table13[[#This Row],[Steps]]&gt;99,(G3385+Table13[[#This Row],[Steps]])-100,G3385+Table13[[#This Row],[Steps]]),
))</f>
        <v>0</v>
      </c>
      <c r="G3386">
        <f>IF(Table13[[#This Row],[New Pos L]]&lt;&gt;0,Table13[[#This Row],[New Pos L]],Table13[[#This Row],[New Pos R]])</f>
        <v>19</v>
      </c>
      <c r="H3386">
        <f>IF(AND(Table13[[#This Row],[Direction]]="L",Table13[[#This Row],[Steps]]&gt;G3385,G3385&lt;&gt;0),1,0)</f>
        <v>0</v>
      </c>
      <c r="I3386">
        <f>IF(AND(Table13[[#This Row],[Direction]]="R",(G3385+Table13[[#This Row],[Steps]])&gt;100),1,0)</f>
        <v>0</v>
      </c>
      <c r="J3386">
        <f>IF(Table13[[#This Row],[POS]]=0,1,0)</f>
        <v>0</v>
      </c>
      <c r="K3386">
        <f>SUM(Table13[[#This Row],[prefix]],Table13[[#This Row],[Past zero L]],Table13[[#This Row],[Past Zero R]],Table13[[#This Row],[Is Zero]])</f>
        <v>7</v>
      </c>
    </row>
    <row r="3387" spans="1:11" ht="16" x14ac:dyDescent="0.2">
      <c r="A3387" s="1" t="s">
        <v>48</v>
      </c>
      <c r="B3387" t="str">
        <f>LEFT(Table13[[#This Row],[Input]],1)</f>
        <v>R</v>
      </c>
      <c r="C3387">
        <f>_xlfn.LET(_xlpm.steps,SUBSTITUTE(Table13[[#This Row],[Input]],Table13[[#This Row],[Direction]],""),VALUE(IF(LEN(_xlpm.steps)&gt;2,RIGHT(_xlpm.steps,2),_xlpm.steps)))</f>
        <v>81</v>
      </c>
      <c r="D3387">
        <f>_xlfn.LET(_xlpm.steps,SUBSTITUTE(Table13[[#This Row],[Input]],Table13[[#This Row],[Direction]],""),VALUE(IF(LEN(_xlpm.steps)&gt;2,LEFT(_xlpm.steps,LEN(_xlpm.steps)-2),0)))</f>
        <v>0</v>
      </c>
      <c r="E3387">
        <f>_xlfn.LET(_xlpm.dir,Table13[[#This Row],[Direction]],
IF(_xlpm.dir="L",
    IF(G3386-Table13[[#This Row],[Steps]]&lt;0,100+(G3386-Table13[[#This Row],[Steps]]),G3386-Table13[[#This Row],[Steps]]),
))</f>
        <v>0</v>
      </c>
      <c r="F3387">
        <f>_xlfn.LET(_xlpm.dir,Table13[[#This Row],[Direction]],
IF(_xlpm.dir="R",
    IF(G3386+Table13[[#This Row],[Steps]]&gt;99,(G3386+Table13[[#This Row],[Steps]])-100,G3386+Table13[[#This Row],[Steps]]),
))</f>
        <v>0</v>
      </c>
      <c r="G3387">
        <f>IF(Table13[[#This Row],[New Pos L]]&lt;&gt;0,Table13[[#This Row],[New Pos L]],Table13[[#This Row],[New Pos R]])</f>
        <v>0</v>
      </c>
      <c r="H3387">
        <f>IF(AND(Table13[[#This Row],[Direction]]="L",Table13[[#This Row],[Steps]]&gt;G3386,G3386&lt;&gt;0),1,0)</f>
        <v>0</v>
      </c>
      <c r="I3387">
        <f>IF(AND(Table13[[#This Row],[Direction]]="R",(G3386+Table13[[#This Row],[Steps]])&gt;100),1,0)</f>
        <v>0</v>
      </c>
      <c r="J3387">
        <f>IF(Table13[[#This Row],[POS]]=0,1,0)</f>
        <v>1</v>
      </c>
      <c r="K3387">
        <f>SUM(Table13[[#This Row],[prefix]],Table13[[#This Row],[Past zero L]],Table13[[#This Row],[Past Zero R]],Table13[[#This Row],[Is Zero]])</f>
        <v>1</v>
      </c>
    </row>
    <row r="3388" spans="1:11" ht="16" x14ac:dyDescent="0.2">
      <c r="A3388" s="1" t="s">
        <v>55</v>
      </c>
      <c r="B3388" t="str">
        <f>LEFT(Table13[[#This Row],[Input]],1)</f>
        <v>L</v>
      </c>
      <c r="C3388">
        <f>_xlfn.LET(_xlpm.steps,SUBSTITUTE(Table13[[#This Row],[Input]],Table13[[#This Row],[Direction]],""),VALUE(IF(LEN(_xlpm.steps)&gt;2,RIGHT(_xlpm.steps,2),_xlpm.steps)))</f>
        <v>82</v>
      </c>
      <c r="D3388">
        <f>_xlfn.LET(_xlpm.steps,SUBSTITUTE(Table13[[#This Row],[Input]],Table13[[#This Row],[Direction]],""),VALUE(IF(LEN(_xlpm.steps)&gt;2,LEFT(_xlpm.steps,LEN(_xlpm.steps)-2),0)))</f>
        <v>0</v>
      </c>
      <c r="E3388">
        <f>_xlfn.LET(_xlpm.dir,Table13[[#This Row],[Direction]],
IF(_xlpm.dir="L",
    IF(G3387-Table13[[#This Row],[Steps]]&lt;0,100+(G3387-Table13[[#This Row],[Steps]]),G3387-Table13[[#This Row],[Steps]]),
))</f>
        <v>18</v>
      </c>
      <c r="F3388">
        <f>_xlfn.LET(_xlpm.dir,Table13[[#This Row],[Direction]],
IF(_xlpm.dir="R",
    IF(G3387+Table13[[#This Row],[Steps]]&gt;99,(G3387+Table13[[#This Row],[Steps]])-100,G3387+Table13[[#This Row],[Steps]]),
))</f>
        <v>0</v>
      </c>
      <c r="G3388">
        <f>IF(Table13[[#This Row],[New Pos L]]&lt;&gt;0,Table13[[#This Row],[New Pos L]],Table13[[#This Row],[New Pos R]])</f>
        <v>18</v>
      </c>
      <c r="H3388">
        <f>IF(AND(Table13[[#This Row],[Direction]]="L",Table13[[#This Row],[Steps]]&gt;G3387,G3387&lt;&gt;0),1,0)</f>
        <v>0</v>
      </c>
      <c r="I3388">
        <f>IF(AND(Table13[[#This Row],[Direction]]="R",(G3387+Table13[[#This Row],[Steps]])&gt;100),1,0)</f>
        <v>0</v>
      </c>
      <c r="J3388">
        <f>IF(Table13[[#This Row],[POS]]=0,1,0)</f>
        <v>0</v>
      </c>
      <c r="K3388">
        <f>SUM(Table13[[#This Row],[prefix]],Table13[[#This Row],[Past zero L]],Table13[[#This Row],[Past Zero R]],Table13[[#This Row],[Is Zero]])</f>
        <v>0</v>
      </c>
    </row>
    <row r="3389" spans="1:11" ht="16" x14ac:dyDescent="0.2">
      <c r="A3389" s="1" t="s">
        <v>126</v>
      </c>
      <c r="B3389" t="str">
        <f>LEFT(Table13[[#This Row],[Input]],1)</f>
        <v>R</v>
      </c>
      <c r="C3389">
        <f>_xlfn.LET(_xlpm.steps,SUBSTITUTE(Table13[[#This Row],[Input]],Table13[[#This Row],[Direction]],""),VALUE(IF(LEN(_xlpm.steps)&gt;2,RIGHT(_xlpm.steps,2),_xlpm.steps)))</f>
        <v>65</v>
      </c>
      <c r="D3389">
        <f>_xlfn.LET(_xlpm.steps,SUBSTITUTE(Table13[[#This Row],[Input]],Table13[[#This Row],[Direction]],""),VALUE(IF(LEN(_xlpm.steps)&gt;2,LEFT(_xlpm.steps,LEN(_xlpm.steps)-2),0)))</f>
        <v>0</v>
      </c>
      <c r="E3389">
        <f>_xlfn.LET(_xlpm.dir,Table13[[#This Row],[Direction]],
IF(_xlpm.dir="L",
    IF(G3388-Table13[[#This Row],[Steps]]&lt;0,100+(G3388-Table13[[#This Row],[Steps]]),G3388-Table13[[#This Row],[Steps]]),
))</f>
        <v>0</v>
      </c>
      <c r="F3389">
        <f>_xlfn.LET(_xlpm.dir,Table13[[#This Row],[Direction]],
IF(_xlpm.dir="R",
    IF(G3388+Table13[[#This Row],[Steps]]&gt;99,(G3388+Table13[[#This Row],[Steps]])-100,G3388+Table13[[#This Row],[Steps]]),
))</f>
        <v>83</v>
      </c>
      <c r="G3389">
        <f>IF(Table13[[#This Row],[New Pos L]]&lt;&gt;0,Table13[[#This Row],[New Pos L]],Table13[[#This Row],[New Pos R]])</f>
        <v>83</v>
      </c>
      <c r="H3389">
        <f>IF(AND(Table13[[#This Row],[Direction]]="L",Table13[[#This Row],[Steps]]&gt;G3388,G3388&lt;&gt;0),1,0)</f>
        <v>0</v>
      </c>
      <c r="I3389">
        <f>IF(AND(Table13[[#This Row],[Direction]]="R",(G3388+Table13[[#This Row],[Steps]])&gt;100),1,0)</f>
        <v>0</v>
      </c>
      <c r="J3389">
        <f>IF(Table13[[#This Row],[POS]]=0,1,0)</f>
        <v>0</v>
      </c>
      <c r="K3389">
        <f>SUM(Table13[[#This Row],[prefix]],Table13[[#This Row],[Past zero L]],Table13[[#This Row],[Past Zero R]],Table13[[#This Row],[Is Zero]])</f>
        <v>0</v>
      </c>
    </row>
    <row r="3390" spans="1:11" ht="16" x14ac:dyDescent="0.2">
      <c r="A3390" s="1" t="s">
        <v>106</v>
      </c>
      <c r="B3390" t="str">
        <f>LEFT(Table13[[#This Row],[Input]],1)</f>
        <v>R</v>
      </c>
      <c r="C3390">
        <f>_xlfn.LET(_xlpm.steps,SUBSTITUTE(Table13[[#This Row],[Input]],Table13[[#This Row],[Direction]],""),VALUE(IF(LEN(_xlpm.steps)&gt;2,RIGHT(_xlpm.steps,2),_xlpm.steps)))</f>
        <v>41</v>
      </c>
      <c r="D3390">
        <f>_xlfn.LET(_xlpm.steps,SUBSTITUTE(Table13[[#This Row],[Input]],Table13[[#This Row],[Direction]],""),VALUE(IF(LEN(_xlpm.steps)&gt;2,LEFT(_xlpm.steps,LEN(_xlpm.steps)-2),0)))</f>
        <v>0</v>
      </c>
      <c r="E3390">
        <f>_xlfn.LET(_xlpm.dir,Table13[[#This Row],[Direction]],
IF(_xlpm.dir="L",
    IF(G3389-Table13[[#This Row],[Steps]]&lt;0,100+(G3389-Table13[[#This Row],[Steps]]),G3389-Table13[[#This Row],[Steps]]),
))</f>
        <v>0</v>
      </c>
      <c r="F3390">
        <f>_xlfn.LET(_xlpm.dir,Table13[[#This Row],[Direction]],
IF(_xlpm.dir="R",
    IF(G3389+Table13[[#This Row],[Steps]]&gt;99,(G3389+Table13[[#This Row],[Steps]])-100,G3389+Table13[[#This Row],[Steps]]),
))</f>
        <v>24</v>
      </c>
      <c r="G3390">
        <f>IF(Table13[[#This Row],[New Pos L]]&lt;&gt;0,Table13[[#This Row],[New Pos L]],Table13[[#This Row],[New Pos R]])</f>
        <v>24</v>
      </c>
      <c r="H3390">
        <f>IF(AND(Table13[[#This Row],[Direction]]="L",Table13[[#This Row],[Steps]]&gt;G3389,G3389&lt;&gt;0),1,0)</f>
        <v>0</v>
      </c>
      <c r="I3390">
        <f>IF(AND(Table13[[#This Row],[Direction]]="R",(G3389+Table13[[#This Row],[Steps]])&gt;100),1,0)</f>
        <v>1</v>
      </c>
      <c r="J3390">
        <f>IF(Table13[[#This Row],[POS]]=0,1,0)</f>
        <v>0</v>
      </c>
      <c r="K3390">
        <f>SUM(Table13[[#This Row],[prefix]],Table13[[#This Row],[Past zero L]],Table13[[#This Row],[Past Zero R]],Table13[[#This Row],[Is Zero]])</f>
        <v>1</v>
      </c>
    </row>
    <row r="3391" spans="1:11" ht="16" x14ac:dyDescent="0.2">
      <c r="A3391" s="1" t="s">
        <v>737</v>
      </c>
      <c r="B3391" t="str">
        <f>LEFT(Table13[[#This Row],[Input]],1)</f>
        <v>R</v>
      </c>
      <c r="C3391">
        <f>_xlfn.LET(_xlpm.steps,SUBSTITUTE(Table13[[#This Row],[Input]],Table13[[#This Row],[Direction]],""),VALUE(IF(LEN(_xlpm.steps)&gt;2,RIGHT(_xlpm.steps,2),_xlpm.steps)))</f>
        <v>8</v>
      </c>
      <c r="D3391">
        <f>_xlfn.LET(_xlpm.steps,SUBSTITUTE(Table13[[#This Row],[Input]],Table13[[#This Row],[Direction]],""),VALUE(IF(LEN(_xlpm.steps)&gt;2,LEFT(_xlpm.steps,LEN(_xlpm.steps)-2),0)))</f>
        <v>5</v>
      </c>
      <c r="E3391">
        <f>_xlfn.LET(_xlpm.dir,Table13[[#This Row],[Direction]],
IF(_xlpm.dir="L",
    IF(G3390-Table13[[#This Row],[Steps]]&lt;0,100+(G3390-Table13[[#This Row],[Steps]]),G3390-Table13[[#This Row],[Steps]]),
))</f>
        <v>0</v>
      </c>
      <c r="F3391">
        <f>_xlfn.LET(_xlpm.dir,Table13[[#This Row],[Direction]],
IF(_xlpm.dir="R",
    IF(G3390+Table13[[#This Row],[Steps]]&gt;99,(G3390+Table13[[#This Row],[Steps]])-100,G3390+Table13[[#This Row],[Steps]]),
))</f>
        <v>32</v>
      </c>
      <c r="G3391">
        <f>IF(Table13[[#This Row],[New Pos L]]&lt;&gt;0,Table13[[#This Row],[New Pos L]],Table13[[#This Row],[New Pos R]])</f>
        <v>32</v>
      </c>
      <c r="H3391">
        <f>IF(AND(Table13[[#This Row],[Direction]]="L",Table13[[#This Row],[Steps]]&gt;G3390,G3390&lt;&gt;0),1,0)</f>
        <v>0</v>
      </c>
      <c r="I3391">
        <f>IF(AND(Table13[[#This Row],[Direction]]="R",(G3390+Table13[[#This Row],[Steps]])&gt;100),1,0)</f>
        <v>0</v>
      </c>
      <c r="J3391">
        <f>IF(Table13[[#This Row],[POS]]=0,1,0)</f>
        <v>0</v>
      </c>
      <c r="K3391">
        <f>SUM(Table13[[#This Row],[prefix]],Table13[[#This Row],[Past zero L]],Table13[[#This Row],[Past Zero R]],Table13[[#This Row],[Is Zero]])</f>
        <v>5</v>
      </c>
    </row>
    <row r="3392" spans="1:11" ht="16" x14ac:dyDescent="0.2">
      <c r="A3392" s="1" t="s">
        <v>738</v>
      </c>
      <c r="B3392" t="str">
        <f>LEFT(Table13[[#This Row],[Input]],1)</f>
        <v>R</v>
      </c>
      <c r="C3392">
        <f>_xlfn.LET(_xlpm.steps,SUBSTITUTE(Table13[[#This Row],[Input]],Table13[[#This Row],[Direction]],""),VALUE(IF(LEN(_xlpm.steps)&gt;2,RIGHT(_xlpm.steps,2),_xlpm.steps)))</f>
        <v>68</v>
      </c>
      <c r="D3392">
        <f>_xlfn.LET(_xlpm.steps,SUBSTITUTE(Table13[[#This Row],[Input]],Table13[[#This Row],[Direction]],""),VALUE(IF(LEN(_xlpm.steps)&gt;2,LEFT(_xlpm.steps,LEN(_xlpm.steps)-2),0)))</f>
        <v>3</v>
      </c>
      <c r="E3392">
        <f>_xlfn.LET(_xlpm.dir,Table13[[#This Row],[Direction]],
IF(_xlpm.dir="L",
    IF(G3391-Table13[[#This Row],[Steps]]&lt;0,100+(G3391-Table13[[#This Row],[Steps]]),G3391-Table13[[#This Row],[Steps]]),
))</f>
        <v>0</v>
      </c>
      <c r="F3392">
        <f>_xlfn.LET(_xlpm.dir,Table13[[#This Row],[Direction]],
IF(_xlpm.dir="R",
    IF(G3391+Table13[[#This Row],[Steps]]&gt;99,(G3391+Table13[[#This Row],[Steps]])-100,G3391+Table13[[#This Row],[Steps]]),
))</f>
        <v>0</v>
      </c>
      <c r="G3392">
        <f>IF(Table13[[#This Row],[New Pos L]]&lt;&gt;0,Table13[[#This Row],[New Pos L]],Table13[[#This Row],[New Pos R]])</f>
        <v>0</v>
      </c>
      <c r="H3392">
        <f>IF(AND(Table13[[#This Row],[Direction]]="L",Table13[[#This Row],[Steps]]&gt;G3391,G3391&lt;&gt;0),1,0)</f>
        <v>0</v>
      </c>
      <c r="I3392">
        <f>IF(AND(Table13[[#This Row],[Direction]]="R",(G3391+Table13[[#This Row],[Steps]])&gt;100),1,0)</f>
        <v>0</v>
      </c>
      <c r="J3392">
        <f>IF(Table13[[#This Row],[POS]]=0,1,0)</f>
        <v>1</v>
      </c>
      <c r="K3392">
        <f>SUM(Table13[[#This Row],[prefix]],Table13[[#This Row],[Past zero L]],Table13[[#This Row],[Past Zero R]],Table13[[#This Row],[Is Zero]])</f>
        <v>4</v>
      </c>
    </row>
    <row r="3393" spans="1:11" ht="16" x14ac:dyDescent="0.2">
      <c r="A3393" s="1" t="s">
        <v>165</v>
      </c>
      <c r="B3393" t="str">
        <f>LEFT(Table13[[#This Row],[Input]],1)</f>
        <v>R</v>
      </c>
      <c r="C3393">
        <f>_xlfn.LET(_xlpm.steps,SUBSTITUTE(Table13[[#This Row],[Input]],Table13[[#This Row],[Direction]],""),VALUE(IF(LEN(_xlpm.steps)&gt;2,RIGHT(_xlpm.steps,2),_xlpm.steps)))</f>
        <v>55</v>
      </c>
      <c r="D3393">
        <f>_xlfn.LET(_xlpm.steps,SUBSTITUTE(Table13[[#This Row],[Input]],Table13[[#This Row],[Direction]],""),VALUE(IF(LEN(_xlpm.steps)&gt;2,LEFT(_xlpm.steps,LEN(_xlpm.steps)-2),0)))</f>
        <v>0</v>
      </c>
      <c r="E3393">
        <f>_xlfn.LET(_xlpm.dir,Table13[[#This Row],[Direction]],
IF(_xlpm.dir="L",
    IF(G3392-Table13[[#This Row],[Steps]]&lt;0,100+(G3392-Table13[[#This Row],[Steps]]),G3392-Table13[[#This Row],[Steps]]),
))</f>
        <v>0</v>
      </c>
      <c r="F3393">
        <f>_xlfn.LET(_xlpm.dir,Table13[[#This Row],[Direction]],
IF(_xlpm.dir="R",
    IF(G3392+Table13[[#This Row],[Steps]]&gt;99,(G3392+Table13[[#This Row],[Steps]])-100,G3392+Table13[[#This Row],[Steps]]),
))</f>
        <v>55</v>
      </c>
      <c r="G3393">
        <f>IF(Table13[[#This Row],[New Pos L]]&lt;&gt;0,Table13[[#This Row],[New Pos L]],Table13[[#This Row],[New Pos R]])</f>
        <v>55</v>
      </c>
      <c r="H3393">
        <f>IF(AND(Table13[[#This Row],[Direction]]="L",Table13[[#This Row],[Steps]]&gt;G3392,G3392&lt;&gt;0),1,0)</f>
        <v>0</v>
      </c>
      <c r="I3393">
        <f>IF(AND(Table13[[#This Row],[Direction]]="R",(G3392+Table13[[#This Row],[Steps]])&gt;100),1,0)</f>
        <v>0</v>
      </c>
      <c r="J3393">
        <f>IF(Table13[[#This Row],[POS]]=0,1,0)</f>
        <v>0</v>
      </c>
      <c r="K3393">
        <f>SUM(Table13[[#This Row],[prefix]],Table13[[#This Row],[Past zero L]],Table13[[#This Row],[Past Zero R]],Table13[[#This Row],[Is Zero]])</f>
        <v>0</v>
      </c>
    </row>
    <row r="3394" spans="1:11" ht="16" x14ac:dyDescent="0.2">
      <c r="A3394" s="1" t="s">
        <v>66</v>
      </c>
      <c r="B3394" t="str">
        <f>LEFT(Table13[[#This Row],[Input]],1)</f>
        <v>R</v>
      </c>
      <c r="C3394">
        <f>_xlfn.LET(_xlpm.steps,SUBSTITUTE(Table13[[#This Row],[Input]],Table13[[#This Row],[Direction]],""),VALUE(IF(LEN(_xlpm.steps)&gt;2,RIGHT(_xlpm.steps,2),_xlpm.steps)))</f>
        <v>45</v>
      </c>
      <c r="D3394">
        <f>_xlfn.LET(_xlpm.steps,SUBSTITUTE(Table13[[#This Row],[Input]],Table13[[#This Row],[Direction]],""),VALUE(IF(LEN(_xlpm.steps)&gt;2,LEFT(_xlpm.steps,LEN(_xlpm.steps)-2),0)))</f>
        <v>0</v>
      </c>
      <c r="E3394">
        <f>_xlfn.LET(_xlpm.dir,Table13[[#This Row],[Direction]],
IF(_xlpm.dir="L",
    IF(G3393-Table13[[#This Row],[Steps]]&lt;0,100+(G3393-Table13[[#This Row],[Steps]]),G3393-Table13[[#This Row],[Steps]]),
))</f>
        <v>0</v>
      </c>
      <c r="F3394">
        <f>_xlfn.LET(_xlpm.dir,Table13[[#This Row],[Direction]],
IF(_xlpm.dir="R",
    IF(G3393+Table13[[#This Row],[Steps]]&gt;99,(G3393+Table13[[#This Row],[Steps]])-100,G3393+Table13[[#This Row],[Steps]]),
))</f>
        <v>0</v>
      </c>
      <c r="G3394">
        <f>IF(Table13[[#This Row],[New Pos L]]&lt;&gt;0,Table13[[#This Row],[New Pos L]],Table13[[#This Row],[New Pos R]])</f>
        <v>0</v>
      </c>
      <c r="H3394">
        <f>IF(AND(Table13[[#This Row],[Direction]]="L",Table13[[#This Row],[Steps]]&gt;G3393,G3393&lt;&gt;0),1,0)</f>
        <v>0</v>
      </c>
      <c r="I3394">
        <f>IF(AND(Table13[[#This Row],[Direction]]="R",(G3393+Table13[[#This Row],[Steps]])&gt;100),1,0)</f>
        <v>0</v>
      </c>
      <c r="J3394">
        <f>IF(Table13[[#This Row],[POS]]=0,1,0)</f>
        <v>1</v>
      </c>
      <c r="K3394">
        <f>SUM(Table13[[#This Row],[prefix]],Table13[[#This Row],[Past zero L]],Table13[[#This Row],[Past Zero R]],Table13[[#This Row],[Is Zero]])</f>
        <v>1</v>
      </c>
    </row>
    <row r="3395" spans="1:11" ht="16" x14ac:dyDescent="0.2">
      <c r="A3395" s="1" t="s">
        <v>739</v>
      </c>
      <c r="B3395" t="str">
        <f>LEFT(Table13[[#This Row],[Input]],1)</f>
        <v>R</v>
      </c>
      <c r="C3395">
        <f>_xlfn.LET(_xlpm.steps,SUBSTITUTE(Table13[[#This Row],[Input]],Table13[[#This Row],[Direction]],""),VALUE(IF(LEN(_xlpm.steps)&gt;2,RIGHT(_xlpm.steps,2),_xlpm.steps)))</f>
        <v>5</v>
      </c>
      <c r="D3395">
        <f>_xlfn.LET(_xlpm.steps,SUBSTITUTE(Table13[[#This Row],[Input]],Table13[[#This Row],[Direction]],""),VALUE(IF(LEN(_xlpm.steps)&gt;2,LEFT(_xlpm.steps,LEN(_xlpm.steps)-2),0)))</f>
        <v>5</v>
      </c>
      <c r="E3395">
        <f>_xlfn.LET(_xlpm.dir,Table13[[#This Row],[Direction]],
IF(_xlpm.dir="L",
    IF(G3394-Table13[[#This Row],[Steps]]&lt;0,100+(G3394-Table13[[#This Row],[Steps]]),G3394-Table13[[#This Row],[Steps]]),
))</f>
        <v>0</v>
      </c>
      <c r="F3395">
        <f>_xlfn.LET(_xlpm.dir,Table13[[#This Row],[Direction]],
IF(_xlpm.dir="R",
    IF(G3394+Table13[[#This Row],[Steps]]&gt;99,(G3394+Table13[[#This Row],[Steps]])-100,G3394+Table13[[#This Row],[Steps]]),
))</f>
        <v>5</v>
      </c>
      <c r="G3395">
        <f>IF(Table13[[#This Row],[New Pos L]]&lt;&gt;0,Table13[[#This Row],[New Pos L]],Table13[[#This Row],[New Pos R]])</f>
        <v>5</v>
      </c>
      <c r="H3395">
        <f>IF(AND(Table13[[#This Row],[Direction]]="L",Table13[[#This Row],[Steps]]&gt;G3394,G3394&lt;&gt;0),1,0)</f>
        <v>0</v>
      </c>
      <c r="I3395">
        <f>IF(AND(Table13[[#This Row],[Direction]]="R",(G3394+Table13[[#This Row],[Steps]])&gt;100),1,0)</f>
        <v>0</v>
      </c>
      <c r="J3395">
        <f>IF(Table13[[#This Row],[POS]]=0,1,0)</f>
        <v>0</v>
      </c>
      <c r="K3395">
        <f>SUM(Table13[[#This Row],[prefix]],Table13[[#This Row],[Past zero L]],Table13[[#This Row],[Past Zero R]],Table13[[#This Row],[Is Zero]])</f>
        <v>5</v>
      </c>
    </row>
    <row r="3396" spans="1:11" ht="16" x14ac:dyDescent="0.2">
      <c r="A3396" s="1" t="s">
        <v>740</v>
      </c>
      <c r="B3396" t="str">
        <f>LEFT(Table13[[#This Row],[Input]],1)</f>
        <v>R</v>
      </c>
      <c r="C3396">
        <f>_xlfn.LET(_xlpm.steps,SUBSTITUTE(Table13[[#This Row],[Input]],Table13[[#This Row],[Direction]],""),VALUE(IF(LEN(_xlpm.steps)&gt;2,RIGHT(_xlpm.steps,2),_xlpm.steps)))</f>
        <v>87</v>
      </c>
      <c r="D3396">
        <f>_xlfn.LET(_xlpm.steps,SUBSTITUTE(Table13[[#This Row],[Input]],Table13[[#This Row],[Direction]],""),VALUE(IF(LEN(_xlpm.steps)&gt;2,LEFT(_xlpm.steps,LEN(_xlpm.steps)-2),0)))</f>
        <v>9</v>
      </c>
      <c r="E3396">
        <f>_xlfn.LET(_xlpm.dir,Table13[[#This Row],[Direction]],
IF(_xlpm.dir="L",
    IF(G3395-Table13[[#This Row],[Steps]]&lt;0,100+(G3395-Table13[[#This Row],[Steps]]),G3395-Table13[[#This Row],[Steps]]),
))</f>
        <v>0</v>
      </c>
      <c r="F3396">
        <f>_xlfn.LET(_xlpm.dir,Table13[[#This Row],[Direction]],
IF(_xlpm.dir="R",
    IF(G3395+Table13[[#This Row],[Steps]]&gt;99,(G3395+Table13[[#This Row],[Steps]])-100,G3395+Table13[[#This Row],[Steps]]),
))</f>
        <v>92</v>
      </c>
      <c r="G3396">
        <f>IF(Table13[[#This Row],[New Pos L]]&lt;&gt;0,Table13[[#This Row],[New Pos L]],Table13[[#This Row],[New Pos R]])</f>
        <v>92</v>
      </c>
      <c r="H3396">
        <f>IF(AND(Table13[[#This Row],[Direction]]="L",Table13[[#This Row],[Steps]]&gt;G3395,G3395&lt;&gt;0),1,0)</f>
        <v>0</v>
      </c>
      <c r="I3396">
        <f>IF(AND(Table13[[#This Row],[Direction]]="R",(G3395+Table13[[#This Row],[Steps]])&gt;100),1,0)</f>
        <v>0</v>
      </c>
      <c r="J3396">
        <f>IF(Table13[[#This Row],[POS]]=0,1,0)</f>
        <v>0</v>
      </c>
      <c r="K3396">
        <f>SUM(Table13[[#This Row],[prefix]],Table13[[#This Row],[Past zero L]],Table13[[#This Row],[Past Zero R]],Table13[[#This Row],[Is Zero]])</f>
        <v>9</v>
      </c>
    </row>
    <row r="3397" spans="1:11" ht="16" x14ac:dyDescent="0.2">
      <c r="A3397" s="1" t="s">
        <v>22</v>
      </c>
      <c r="B3397" t="str">
        <f>LEFT(Table13[[#This Row],[Input]],1)</f>
        <v>L</v>
      </c>
      <c r="C3397">
        <f>_xlfn.LET(_xlpm.steps,SUBSTITUTE(Table13[[#This Row],[Input]],Table13[[#This Row],[Direction]],""),VALUE(IF(LEN(_xlpm.steps)&gt;2,RIGHT(_xlpm.steps,2),_xlpm.steps)))</f>
        <v>37</v>
      </c>
      <c r="D3397">
        <f>_xlfn.LET(_xlpm.steps,SUBSTITUTE(Table13[[#This Row],[Input]],Table13[[#This Row],[Direction]],""),VALUE(IF(LEN(_xlpm.steps)&gt;2,LEFT(_xlpm.steps,LEN(_xlpm.steps)-2),0)))</f>
        <v>0</v>
      </c>
      <c r="E3397">
        <f>_xlfn.LET(_xlpm.dir,Table13[[#This Row],[Direction]],
IF(_xlpm.dir="L",
    IF(G3396-Table13[[#This Row],[Steps]]&lt;0,100+(G3396-Table13[[#This Row],[Steps]]),G3396-Table13[[#This Row],[Steps]]),
))</f>
        <v>55</v>
      </c>
      <c r="F3397">
        <f>_xlfn.LET(_xlpm.dir,Table13[[#This Row],[Direction]],
IF(_xlpm.dir="R",
    IF(G3396+Table13[[#This Row],[Steps]]&gt;99,(G3396+Table13[[#This Row],[Steps]])-100,G3396+Table13[[#This Row],[Steps]]),
))</f>
        <v>0</v>
      </c>
      <c r="G3397">
        <f>IF(Table13[[#This Row],[New Pos L]]&lt;&gt;0,Table13[[#This Row],[New Pos L]],Table13[[#This Row],[New Pos R]])</f>
        <v>55</v>
      </c>
      <c r="H3397">
        <f>IF(AND(Table13[[#This Row],[Direction]]="L",Table13[[#This Row],[Steps]]&gt;G3396,G3396&lt;&gt;0),1,0)</f>
        <v>0</v>
      </c>
      <c r="I3397">
        <f>IF(AND(Table13[[#This Row],[Direction]]="R",(G3396+Table13[[#This Row],[Steps]])&gt;100),1,0)</f>
        <v>0</v>
      </c>
      <c r="J3397">
        <f>IF(Table13[[#This Row],[POS]]=0,1,0)</f>
        <v>0</v>
      </c>
      <c r="K3397">
        <f>SUM(Table13[[#This Row],[prefix]],Table13[[#This Row],[Past zero L]],Table13[[#This Row],[Past Zero R]],Table13[[#This Row],[Is Zero]])</f>
        <v>0</v>
      </c>
    </row>
    <row r="3398" spans="1:11" ht="16" x14ac:dyDescent="0.2">
      <c r="A3398" s="1" t="s">
        <v>725</v>
      </c>
      <c r="B3398" t="str">
        <f>LEFT(Table13[[#This Row],[Input]],1)</f>
        <v>R</v>
      </c>
      <c r="C3398">
        <f>_xlfn.LET(_xlpm.steps,SUBSTITUTE(Table13[[#This Row],[Input]],Table13[[#This Row],[Direction]],""),VALUE(IF(LEN(_xlpm.steps)&gt;2,RIGHT(_xlpm.steps,2),_xlpm.steps)))</f>
        <v>76</v>
      </c>
      <c r="D3398">
        <f>_xlfn.LET(_xlpm.steps,SUBSTITUTE(Table13[[#This Row],[Input]],Table13[[#This Row],[Direction]],""),VALUE(IF(LEN(_xlpm.steps)&gt;2,LEFT(_xlpm.steps,LEN(_xlpm.steps)-2),0)))</f>
        <v>3</v>
      </c>
      <c r="E3398">
        <f>_xlfn.LET(_xlpm.dir,Table13[[#This Row],[Direction]],
IF(_xlpm.dir="L",
    IF(G3397-Table13[[#This Row],[Steps]]&lt;0,100+(G3397-Table13[[#This Row],[Steps]]),G3397-Table13[[#This Row],[Steps]]),
))</f>
        <v>0</v>
      </c>
      <c r="F3398">
        <f>_xlfn.LET(_xlpm.dir,Table13[[#This Row],[Direction]],
IF(_xlpm.dir="R",
    IF(G3397+Table13[[#This Row],[Steps]]&gt;99,(G3397+Table13[[#This Row],[Steps]])-100,G3397+Table13[[#This Row],[Steps]]),
))</f>
        <v>31</v>
      </c>
      <c r="G3398">
        <f>IF(Table13[[#This Row],[New Pos L]]&lt;&gt;0,Table13[[#This Row],[New Pos L]],Table13[[#This Row],[New Pos R]])</f>
        <v>31</v>
      </c>
      <c r="H3398">
        <f>IF(AND(Table13[[#This Row],[Direction]]="L",Table13[[#This Row],[Steps]]&gt;G3397,G3397&lt;&gt;0),1,0)</f>
        <v>0</v>
      </c>
      <c r="I3398">
        <f>IF(AND(Table13[[#This Row],[Direction]]="R",(G3397+Table13[[#This Row],[Steps]])&gt;100),1,0)</f>
        <v>1</v>
      </c>
      <c r="J3398">
        <f>IF(Table13[[#This Row],[POS]]=0,1,0)</f>
        <v>0</v>
      </c>
      <c r="K3398">
        <f>SUM(Table13[[#This Row],[prefix]],Table13[[#This Row],[Past zero L]],Table13[[#This Row],[Past Zero R]],Table13[[#This Row],[Is Zero]])</f>
        <v>4</v>
      </c>
    </row>
    <row r="3399" spans="1:11" ht="16" x14ac:dyDescent="0.2">
      <c r="A3399" s="1" t="s">
        <v>185</v>
      </c>
      <c r="B3399" t="str">
        <f>LEFT(Table13[[#This Row],[Input]],1)</f>
        <v>R</v>
      </c>
      <c r="C3399">
        <f>_xlfn.LET(_xlpm.steps,SUBSTITUTE(Table13[[#This Row],[Input]],Table13[[#This Row],[Direction]],""),VALUE(IF(LEN(_xlpm.steps)&gt;2,RIGHT(_xlpm.steps,2),_xlpm.steps)))</f>
        <v>61</v>
      </c>
      <c r="D3399">
        <f>_xlfn.LET(_xlpm.steps,SUBSTITUTE(Table13[[#This Row],[Input]],Table13[[#This Row],[Direction]],""),VALUE(IF(LEN(_xlpm.steps)&gt;2,LEFT(_xlpm.steps,LEN(_xlpm.steps)-2),0)))</f>
        <v>0</v>
      </c>
      <c r="E3399">
        <f>_xlfn.LET(_xlpm.dir,Table13[[#This Row],[Direction]],
IF(_xlpm.dir="L",
    IF(G3398-Table13[[#This Row],[Steps]]&lt;0,100+(G3398-Table13[[#This Row],[Steps]]),G3398-Table13[[#This Row],[Steps]]),
))</f>
        <v>0</v>
      </c>
      <c r="F3399">
        <f>_xlfn.LET(_xlpm.dir,Table13[[#This Row],[Direction]],
IF(_xlpm.dir="R",
    IF(G3398+Table13[[#This Row],[Steps]]&gt;99,(G3398+Table13[[#This Row],[Steps]])-100,G3398+Table13[[#This Row],[Steps]]),
))</f>
        <v>92</v>
      </c>
      <c r="G3399">
        <f>IF(Table13[[#This Row],[New Pos L]]&lt;&gt;0,Table13[[#This Row],[New Pos L]],Table13[[#This Row],[New Pos R]])</f>
        <v>92</v>
      </c>
      <c r="H3399">
        <f>IF(AND(Table13[[#This Row],[Direction]]="L",Table13[[#This Row],[Steps]]&gt;G3398,G3398&lt;&gt;0),1,0)</f>
        <v>0</v>
      </c>
      <c r="I3399">
        <f>IF(AND(Table13[[#This Row],[Direction]]="R",(G3398+Table13[[#This Row],[Steps]])&gt;100),1,0)</f>
        <v>0</v>
      </c>
      <c r="J3399">
        <f>IF(Table13[[#This Row],[POS]]=0,1,0)</f>
        <v>0</v>
      </c>
      <c r="K3399">
        <f>SUM(Table13[[#This Row],[prefix]],Table13[[#This Row],[Past zero L]],Table13[[#This Row],[Past Zero R]],Table13[[#This Row],[Is Zero]])</f>
        <v>0</v>
      </c>
    </row>
    <row r="3400" spans="1:11" ht="16" x14ac:dyDescent="0.2">
      <c r="A3400" s="1" t="s">
        <v>174</v>
      </c>
      <c r="B3400" t="str">
        <f>LEFT(Table13[[#This Row],[Input]],1)</f>
        <v>L</v>
      </c>
      <c r="C3400">
        <f>_xlfn.LET(_xlpm.steps,SUBSTITUTE(Table13[[#This Row],[Input]],Table13[[#This Row],[Direction]],""),VALUE(IF(LEN(_xlpm.steps)&gt;2,RIGHT(_xlpm.steps,2),_xlpm.steps)))</f>
        <v>92</v>
      </c>
      <c r="D3400">
        <f>_xlfn.LET(_xlpm.steps,SUBSTITUTE(Table13[[#This Row],[Input]],Table13[[#This Row],[Direction]],""),VALUE(IF(LEN(_xlpm.steps)&gt;2,LEFT(_xlpm.steps,LEN(_xlpm.steps)-2),0)))</f>
        <v>0</v>
      </c>
      <c r="E3400">
        <f>_xlfn.LET(_xlpm.dir,Table13[[#This Row],[Direction]],
IF(_xlpm.dir="L",
    IF(G3399-Table13[[#This Row],[Steps]]&lt;0,100+(G3399-Table13[[#This Row],[Steps]]),G3399-Table13[[#This Row],[Steps]]),
))</f>
        <v>0</v>
      </c>
      <c r="F3400">
        <f>_xlfn.LET(_xlpm.dir,Table13[[#This Row],[Direction]],
IF(_xlpm.dir="R",
    IF(G3399+Table13[[#This Row],[Steps]]&gt;99,(G3399+Table13[[#This Row],[Steps]])-100,G3399+Table13[[#This Row],[Steps]]),
))</f>
        <v>0</v>
      </c>
      <c r="G3400">
        <f>IF(Table13[[#This Row],[New Pos L]]&lt;&gt;0,Table13[[#This Row],[New Pos L]],Table13[[#This Row],[New Pos R]])</f>
        <v>0</v>
      </c>
      <c r="H3400">
        <f>IF(AND(Table13[[#This Row],[Direction]]="L",Table13[[#This Row],[Steps]]&gt;G3399,G3399&lt;&gt;0),1,0)</f>
        <v>0</v>
      </c>
      <c r="I3400">
        <f>IF(AND(Table13[[#This Row],[Direction]]="R",(G3399+Table13[[#This Row],[Steps]])&gt;100),1,0)</f>
        <v>0</v>
      </c>
      <c r="J3400">
        <f>IF(Table13[[#This Row],[POS]]=0,1,0)</f>
        <v>1</v>
      </c>
      <c r="K3400">
        <f>SUM(Table13[[#This Row],[prefix]],Table13[[#This Row],[Past zero L]],Table13[[#This Row],[Past Zero R]],Table13[[#This Row],[Is Zero]])</f>
        <v>1</v>
      </c>
    </row>
    <row r="3401" spans="1:11" ht="16" x14ac:dyDescent="0.2">
      <c r="A3401" s="1" t="s">
        <v>741</v>
      </c>
      <c r="B3401" t="str">
        <f>LEFT(Table13[[#This Row],[Input]],1)</f>
        <v>L</v>
      </c>
      <c r="C3401">
        <f>_xlfn.LET(_xlpm.steps,SUBSTITUTE(Table13[[#This Row],[Input]],Table13[[#This Row],[Direction]],""),VALUE(IF(LEN(_xlpm.steps)&gt;2,RIGHT(_xlpm.steps,2),_xlpm.steps)))</f>
        <v>29</v>
      </c>
      <c r="D3401">
        <f>_xlfn.LET(_xlpm.steps,SUBSTITUTE(Table13[[#This Row],[Input]],Table13[[#This Row],[Direction]],""),VALUE(IF(LEN(_xlpm.steps)&gt;2,LEFT(_xlpm.steps,LEN(_xlpm.steps)-2),0)))</f>
        <v>1</v>
      </c>
      <c r="E3401">
        <f>_xlfn.LET(_xlpm.dir,Table13[[#This Row],[Direction]],
IF(_xlpm.dir="L",
    IF(G3400-Table13[[#This Row],[Steps]]&lt;0,100+(G3400-Table13[[#This Row],[Steps]]),G3400-Table13[[#This Row],[Steps]]),
))</f>
        <v>71</v>
      </c>
      <c r="F3401">
        <f>_xlfn.LET(_xlpm.dir,Table13[[#This Row],[Direction]],
IF(_xlpm.dir="R",
    IF(G3400+Table13[[#This Row],[Steps]]&gt;99,(G3400+Table13[[#This Row],[Steps]])-100,G3400+Table13[[#This Row],[Steps]]),
))</f>
        <v>0</v>
      </c>
      <c r="G3401">
        <f>IF(Table13[[#This Row],[New Pos L]]&lt;&gt;0,Table13[[#This Row],[New Pos L]],Table13[[#This Row],[New Pos R]])</f>
        <v>71</v>
      </c>
      <c r="H3401">
        <f>IF(AND(Table13[[#This Row],[Direction]]="L",Table13[[#This Row],[Steps]]&gt;G3400,G3400&lt;&gt;0),1,0)</f>
        <v>0</v>
      </c>
      <c r="I3401">
        <f>IF(AND(Table13[[#This Row],[Direction]]="R",(G3400+Table13[[#This Row],[Steps]])&gt;100),1,0)</f>
        <v>0</v>
      </c>
      <c r="J3401">
        <f>IF(Table13[[#This Row],[POS]]=0,1,0)</f>
        <v>0</v>
      </c>
      <c r="K3401">
        <f>SUM(Table13[[#This Row],[prefix]],Table13[[#This Row],[Past zero L]],Table13[[#This Row],[Past Zero R]],Table13[[#This Row],[Is Zero]])</f>
        <v>1</v>
      </c>
    </row>
    <row r="3402" spans="1:11" ht="16" x14ac:dyDescent="0.2">
      <c r="A3402" s="1" t="s">
        <v>188</v>
      </c>
      <c r="B3402" t="str">
        <f>LEFT(Table13[[#This Row],[Input]],1)</f>
        <v>R</v>
      </c>
      <c r="C3402">
        <f>_xlfn.LET(_xlpm.steps,SUBSTITUTE(Table13[[#This Row],[Input]],Table13[[#This Row],[Direction]],""),VALUE(IF(LEN(_xlpm.steps)&gt;2,RIGHT(_xlpm.steps,2),_xlpm.steps)))</f>
        <v>5</v>
      </c>
      <c r="D3402">
        <f>_xlfn.LET(_xlpm.steps,SUBSTITUTE(Table13[[#This Row],[Input]],Table13[[#This Row],[Direction]],""),VALUE(IF(LEN(_xlpm.steps)&gt;2,LEFT(_xlpm.steps,LEN(_xlpm.steps)-2),0)))</f>
        <v>0</v>
      </c>
      <c r="E3402">
        <f>_xlfn.LET(_xlpm.dir,Table13[[#This Row],[Direction]],
IF(_xlpm.dir="L",
    IF(G3401-Table13[[#This Row],[Steps]]&lt;0,100+(G3401-Table13[[#This Row],[Steps]]),G3401-Table13[[#This Row],[Steps]]),
))</f>
        <v>0</v>
      </c>
      <c r="F3402">
        <f>_xlfn.LET(_xlpm.dir,Table13[[#This Row],[Direction]],
IF(_xlpm.dir="R",
    IF(G3401+Table13[[#This Row],[Steps]]&gt;99,(G3401+Table13[[#This Row],[Steps]])-100,G3401+Table13[[#This Row],[Steps]]),
))</f>
        <v>76</v>
      </c>
      <c r="G3402">
        <f>IF(Table13[[#This Row],[New Pos L]]&lt;&gt;0,Table13[[#This Row],[New Pos L]],Table13[[#This Row],[New Pos R]])</f>
        <v>76</v>
      </c>
      <c r="H3402">
        <f>IF(AND(Table13[[#This Row],[Direction]]="L",Table13[[#This Row],[Steps]]&gt;G3401,G3401&lt;&gt;0),1,0)</f>
        <v>0</v>
      </c>
      <c r="I3402">
        <f>IF(AND(Table13[[#This Row],[Direction]]="R",(G3401+Table13[[#This Row],[Steps]])&gt;100),1,0)</f>
        <v>0</v>
      </c>
      <c r="J3402">
        <f>IF(Table13[[#This Row],[POS]]=0,1,0)</f>
        <v>0</v>
      </c>
      <c r="K3402">
        <f>SUM(Table13[[#This Row],[prefix]],Table13[[#This Row],[Past zero L]],Table13[[#This Row],[Past Zero R]],Table13[[#This Row],[Is Zero]])</f>
        <v>0</v>
      </c>
    </row>
    <row r="3403" spans="1:11" ht="16" x14ac:dyDescent="0.2">
      <c r="A3403" s="1" t="s">
        <v>91</v>
      </c>
      <c r="B3403" t="str">
        <f>LEFT(Table13[[#This Row],[Input]],1)</f>
        <v>L</v>
      </c>
      <c r="C3403">
        <f>_xlfn.LET(_xlpm.steps,SUBSTITUTE(Table13[[#This Row],[Input]],Table13[[#This Row],[Direction]],""),VALUE(IF(LEN(_xlpm.steps)&gt;2,RIGHT(_xlpm.steps,2),_xlpm.steps)))</f>
        <v>22</v>
      </c>
      <c r="D3403">
        <f>_xlfn.LET(_xlpm.steps,SUBSTITUTE(Table13[[#This Row],[Input]],Table13[[#This Row],[Direction]],""),VALUE(IF(LEN(_xlpm.steps)&gt;2,LEFT(_xlpm.steps,LEN(_xlpm.steps)-2),0)))</f>
        <v>0</v>
      </c>
      <c r="E3403">
        <f>_xlfn.LET(_xlpm.dir,Table13[[#This Row],[Direction]],
IF(_xlpm.dir="L",
    IF(G3402-Table13[[#This Row],[Steps]]&lt;0,100+(G3402-Table13[[#This Row],[Steps]]),G3402-Table13[[#This Row],[Steps]]),
))</f>
        <v>54</v>
      </c>
      <c r="F3403">
        <f>_xlfn.LET(_xlpm.dir,Table13[[#This Row],[Direction]],
IF(_xlpm.dir="R",
    IF(G3402+Table13[[#This Row],[Steps]]&gt;99,(G3402+Table13[[#This Row],[Steps]])-100,G3402+Table13[[#This Row],[Steps]]),
))</f>
        <v>0</v>
      </c>
      <c r="G3403">
        <f>IF(Table13[[#This Row],[New Pos L]]&lt;&gt;0,Table13[[#This Row],[New Pos L]],Table13[[#This Row],[New Pos R]])</f>
        <v>54</v>
      </c>
      <c r="H3403">
        <f>IF(AND(Table13[[#This Row],[Direction]]="L",Table13[[#This Row],[Steps]]&gt;G3402,G3402&lt;&gt;0),1,0)</f>
        <v>0</v>
      </c>
      <c r="I3403">
        <f>IF(AND(Table13[[#This Row],[Direction]]="R",(G3402+Table13[[#This Row],[Steps]])&gt;100),1,0)</f>
        <v>0</v>
      </c>
      <c r="J3403">
        <f>IF(Table13[[#This Row],[POS]]=0,1,0)</f>
        <v>0</v>
      </c>
      <c r="K3403">
        <f>SUM(Table13[[#This Row],[prefix]],Table13[[#This Row],[Past zero L]],Table13[[#This Row],[Past Zero R]],Table13[[#This Row],[Is Zero]])</f>
        <v>0</v>
      </c>
    </row>
    <row r="3404" spans="1:11" ht="16" x14ac:dyDescent="0.2">
      <c r="A3404" s="1" t="s">
        <v>20</v>
      </c>
      <c r="B3404" t="str">
        <f>LEFT(Table13[[#This Row],[Input]],1)</f>
        <v>R</v>
      </c>
      <c r="C3404">
        <f>_xlfn.LET(_xlpm.steps,SUBSTITUTE(Table13[[#This Row],[Input]],Table13[[#This Row],[Direction]],""),VALUE(IF(LEN(_xlpm.steps)&gt;2,RIGHT(_xlpm.steps,2),_xlpm.steps)))</f>
        <v>46</v>
      </c>
      <c r="D3404">
        <f>_xlfn.LET(_xlpm.steps,SUBSTITUTE(Table13[[#This Row],[Input]],Table13[[#This Row],[Direction]],""),VALUE(IF(LEN(_xlpm.steps)&gt;2,LEFT(_xlpm.steps,LEN(_xlpm.steps)-2),0)))</f>
        <v>0</v>
      </c>
      <c r="E3404">
        <f>_xlfn.LET(_xlpm.dir,Table13[[#This Row],[Direction]],
IF(_xlpm.dir="L",
    IF(G3403-Table13[[#This Row],[Steps]]&lt;0,100+(G3403-Table13[[#This Row],[Steps]]),G3403-Table13[[#This Row],[Steps]]),
))</f>
        <v>0</v>
      </c>
      <c r="F3404">
        <f>_xlfn.LET(_xlpm.dir,Table13[[#This Row],[Direction]],
IF(_xlpm.dir="R",
    IF(G3403+Table13[[#This Row],[Steps]]&gt;99,(G3403+Table13[[#This Row],[Steps]])-100,G3403+Table13[[#This Row],[Steps]]),
))</f>
        <v>0</v>
      </c>
      <c r="G3404">
        <f>IF(Table13[[#This Row],[New Pos L]]&lt;&gt;0,Table13[[#This Row],[New Pos L]],Table13[[#This Row],[New Pos R]])</f>
        <v>0</v>
      </c>
      <c r="H3404">
        <f>IF(AND(Table13[[#This Row],[Direction]]="L",Table13[[#This Row],[Steps]]&gt;G3403,G3403&lt;&gt;0),1,0)</f>
        <v>0</v>
      </c>
      <c r="I3404">
        <f>IF(AND(Table13[[#This Row],[Direction]]="R",(G3403+Table13[[#This Row],[Steps]])&gt;100),1,0)</f>
        <v>0</v>
      </c>
      <c r="J3404">
        <f>IF(Table13[[#This Row],[POS]]=0,1,0)</f>
        <v>1</v>
      </c>
      <c r="K3404">
        <f>SUM(Table13[[#This Row],[prefix]],Table13[[#This Row],[Past zero L]],Table13[[#This Row],[Past Zero R]],Table13[[#This Row],[Is Zero]])</f>
        <v>1</v>
      </c>
    </row>
    <row r="3405" spans="1:11" ht="16" x14ac:dyDescent="0.2">
      <c r="A3405" s="1" t="s">
        <v>245</v>
      </c>
      <c r="B3405" t="str">
        <f>LEFT(Table13[[#This Row],[Input]],1)</f>
        <v>R</v>
      </c>
      <c r="C3405">
        <f>_xlfn.LET(_xlpm.steps,SUBSTITUTE(Table13[[#This Row],[Input]],Table13[[#This Row],[Direction]],""),VALUE(IF(LEN(_xlpm.steps)&gt;2,RIGHT(_xlpm.steps,2),_xlpm.steps)))</f>
        <v>71</v>
      </c>
      <c r="D3405">
        <f>_xlfn.LET(_xlpm.steps,SUBSTITUTE(Table13[[#This Row],[Input]],Table13[[#This Row],[Direction]],""),VALUE(IF(LEN(_xlpm.steps)&gt;2,LEFT(_xlpm.steps,LEN(_xlpm.steps)-2),0)))</f>
        <v>0</v>
      </c>
      <c r="E3405">
        <f>_xlfn.LET(_xlpm.dir,Table13[[#This Row],[Direction]],
IF(_xlpm.dir="L",
    IF(G3404-Table13[[#This Row],[Steps]]&lt;0,100+(G3404-Table13[[#This Row],[Steps]]),G3404-Table13[[#This Row],[Steps]]),
))</f>
        <v>0</v>
      </c>
      <c r="F3405">
        <f>_xlfn.LET(_xlpm.dir,Table13[[#This Row],[Direction]],
IF(_xlpm.dir="R",
    IF(G3404+Table13[[#This Row],[Steps]]&gt;99,(G3404+Table13[[#This Row],[Steps]])-100,G3404+Table13[[#This Row],[Steps]]),
))</f>
        <v>71</v>
      </c>
      <c r="G3405">
        <f>IF(Table13[[#This Row],[New Pos L]]&lt;&gt;0,Table13[[#This Row],[New Pos L]],Table13[[#This Row],[New Pos R]])</f>
        <v>71</v>
      </c>
      <c r="H3405">
        <f>IF(AND(Table13[[#This Row],[Direction]]="L",Table13[[#This Row],[Steps]]&gt;G3404,G3404&lt;&gt;0),1,0)</f>
        <v>0</v>
      </c>
      <c r="I3405">
        <f>IF(AND(Table13[[#This Row],[Direction]]="R",(G3404+Table13[[#This Row],[Steps]])&gt;100),1,0)</f>
        <v>0</v>
      </c>
      <c r="J3405">
        <f>IF(Table13[[#This Row],[POS]]=0,1,0)</f>
        <v>0</v>
      </c>
      <c r="K3405">
        <f>SUM(Table13[[#This Row],[prefix]],Table13[[#This Row],[Past zero L]],Table13[[#This Row],[Past Zero R]],Table13[[#This Row],[Is Zero]])</f>
        <v>0</v>
      </c>
    </row>
    <row r="3406" spans="1:11" ht="16" x14ac:dyDescent="0.2">
      <c r="A3406" s="1" t="s">
        <v>94</v>
      </c>
      <c r="B3406" t="str">
        <f>LEFT(Table13[[#This Row],[Input]],1)</f>
        <v>L</v>
      </c>
      <c r="C3406">
        <f>_xlfn.LET(_xlpm.steps,SUBSTITUTE(Table13[[#This Row],[Input]],Table13[[#This Row],[Direction]],""),VALUE(IF(LEN(_xlpm.steps)&gt;2,RIGHT(_xlpm.steps,2),_xlpm.steps)))</f>
        <v>71</v>
      </c>
      <c r="D3406">
        <f>_xlfn.LET(_xlpm.steps,SUBSTITUTE(Table13[[#This Row],[Input]],Table13[[#This Row],[Direction]],""),VALUE(IF(LEN(_xlpm.steps)&gt;2,LEFT(_xlpm.steps,LEN(_xlpm.steps)-2),0)))</f>
        <v>0</v>
      </c>
      <c r="E3406">
        <f>_xlfn.LET(_xlpm.dir,Table13[[#This Row],[Direction]],
IF(_xlpm.dir="L",
    IF(G3405-Table13[[#This Row],[Steps]]&lt;0,100+(G3405-Table13[[#This Row],[Steps]]),G3405-Table13[[#This Row],[Steps]]),
))</f>
        <v>0</v>
      </c>
      <c r="F3406">
        <f>_xlfn.LET(_xlpm.dir,Table13[[#This Row],[Direction]],
IF(_xlpm.dir="R",
    IF(G3405+Table13[[#This Row],[Steps]]&gt;99,(G3405+Table13[[#This Row],[Steps]])-100,G3405+Table13[[#This Row],[Steps]]),
))</f>
        <v>0</v>
      </c>
      <c r="G3406">
        <f>IF(Table13[[#This Row],[New Pos L]]&lt;&gt;0,Table13[[#This Row],[New Pos L]],Table13[[#This Row],[New Pos R]])</f>
        <v>0</v>
      </c>
      <c r="H3406">
        <f>IF(AND(Table13[[#This Row],[Direction]]="L",Table13[[#This Row],[Steps]]&gt;G3405,G3405&lt;&gt;0),1,0)</f>
        <v>0</v>
      </c>
      <c r="I3406">
        <f>IF(AND(Table13[[#This Row],[Direction]]="R",(G3405+Table13[[#This Row],[Steps]])&gt;100),1,0)</f>
        <v>0</v>
      </c>
      <c r="J3406">
        <f>IF(Table13[[#This Row],[POS]]=0,1,0)</f>
        <v>1</v>
      </c>
      <c r="K3406">
        <f>SUM(Table13[[#This Row],[prefix]],Table13[[#This Row],[Past zero L]],Table13[[#This Row],[Past Zero R]],Table13[[#This Row],[Is Zero]])</f>
        <v>1</v>
      </c>
    </row>
    <row r="3407" spans="1:11" ht="16" x14ac:dyDescent="0.2">
      <c r="A3407" s="1" t="s">
        <v>18</v>
      </c>
      <c r="B3407" t="str">
        <f>LEFT(Table13[[#This Row],[Input]],1)</f>
        <v>L</v>
      </c>
      <c r="C3407">
        <f>_xlfn.LET(_xlpm.steps,SUBSTITUTE(Table13[[#This Row],[Input]],Table13[[#This Row],[Direction]],""),VALUE(IF(LEN(_xlpm.steps)&gt;2,RIGHT(_xlpm.steps,2),_xlpm.steps)))</f>
        <v>46</v>
      </c>
      <c r="D3407">
        <f>_xlfn.LET(_xlpm.steps,SUBSTITUTE(Table13[[#This Row],[Input]],Table13[[#This Row],[Direction]],""),VALUE(IF(LEN(_xlpm.steps)&gt;2,LEFT(_xlpm.steps,LEN(_xlpm.steps)-2),0)))</f>
        <v>0</v>
      </c>
      <c r="E3407">
        <f>_xlfn.LET(_xlpm.dir,Table13[[#This Row],[Direction]],
IF(_xlpm.dir="L",
    IF(G3406-Table13[[#This Row],[Steps]]&lt;0,100+(G3406-Table13[[#This Row],[Steps]]),G3406-Table13[[#This Row],[Steps]]),
))</f>
        <v>54</v>
      </c>
      <c r="F3407">
        <f>_xlfn.LET(_xlpm.dir,Table13[[#This Row],[Direction]],
IF(_xlpm.dir="R",
    IF(G3406+Table13[[#This Row],[Steps]]&gt;99,(G3406+Table13[[#This Row],[Steps]])-100,G3406+Table13[[#This Row],[Steps]]),
))</f>
        <v>0</v>
      </c>
      <c r="G3407">
        <f>IF(Table13[[#This Row],[New Pos L]]&lt;&gt;0,Table13[[#This Row],[New Pos L]],Table13[[#This Row],[New Pos R]])</f>
        <v>54</v>
      </c>
      <c r="H3407">
        <f>IF(AND(Table13[[#This Row],[Direction]]="L",Table13[[#This Row],[Steps]]&gt;G3406,G3406&lt;&gt;0),1,0)</f>
        <v>0</v>
      </c>
      <c r="I3407">
        <f>IF(AND(Table13[[#This Row],[Direction]]="R",(G3406+Table13[[#This Row],[Steps]])&gt;100),1,0)</f>
        <v>0</v>
      </c>
      <c r="J3407">
        <f>IF(Table13[[#This Row],[POS]]=0,1,0)</f>
        <v>0</v>
      </c>
      <c r="K3407">
        <f>SUM(Table13[[#This Row],[prefix]],Table13[[#This Row],[Past zero L]],Table13[[#This Row],[Past Zero R]],Table13[[#This Row],[Is Zero]])</f>
        <v>0</v>
      </c>
    </row>
    <row r="3408" spans="1:11" ht="16" x14ac:dyDescent="0.2">
      <c r="A3408" s="1" t="s">
        <v>47</v>
      </c>
      <c r="B3408" t="str">
        <f>LEFT(Table13[[#This Row],[Input]],1)</f>
        <v>R</v>
      </c>
      <c r="C3408">
        <f>_xlfn.LET(_xlpm.steps,SUBSTITUTE(Table13[[#This Row],[Input]],Table13[[#This Row],[Direction]],""),VALUE(IF(LEN(_xlpm.steps)&gt;2,RIGHT(_xlpm.steps,2),_xlpm.steps)))</f>
        <v>97</v>
      </c>
      <c r="D3408">
        <f>_xlfn.LET(_xlpm.steps,SUBSTITUTE(Table13[[#This Row],[Input]],Table13[[#This Row],[Direction]],""),VALUE(IF(LEN(_xlpm.steps)&gt;2,LEFT(_xlpm.steps,LEN(_xlpm.steps)-2),0)))</f>
        <v>0</v>
      </c>
      <c r="E3408">
        <f>_xlfn.LET(_xlpm.dir,Table13[[#This Row],[Direction]],
IF(_xlpm.dir="L",
    IF(G3407-Table13[[#This Row],[Steps]]&lt;0,100+(G3407-Table13[[#This Row],[Steps]]),G3407-Table13[[#This Row],[Steps]]),
))</f>
        <v>0</v>
      </c>
      <c r="F3408">
        <f>_xlfn.LET(_xlpm.dir,Table13[[#This Row],[Direction]],
IF(_xlpm.dir="R",
    IF(G3407+Table13[[#This Row],[Steps]]&gt;99,(G3407+Table13[[#This Row],[Steps]])-100,G3407+Table13[[#This Row],[Steps]]),
))</f>
        <v>51</v>
      </c>
      <c r="G3408">
        <f>IF(Table13[[#This Row],[New Pos L]]&lt;&gt;0,Table13[[#This Row],[New Pos L]],Table13[[#This Row],[New Pos R]])</f>
        <v>51</v>
      </c>
      <c r="H3408">
        <f>IF(AND(Table13[[#This Row],[Direction]]="L",Table13[[#This Row],[Steps]]&gt;G3407,G3407&lt;&gt;0),1,0)</f>
        <v>0</v>
      </c>
      <c r="I3408">
        <f>IF(AND(Table13[[#This Row],[Direction]]="R",(G3407+Table13[[#This Row],[Steps]])&gt;100),1,0)</f>
        <v>1</v>
      </c>
      <c r="J3408">
        <f>IF(Table13[[#This Row],[POS]]=0,1,0)</f>
        <v>0</v>
      </c>
      <c r="K3408">
        <f>SUM(Table13[[#This Row],[prefix]],Table13[[#This Row],[Past zero L]],Table13[[#This Row],[Past Zero R]],Table13[[#This Row],[Is Zero]])</f>
        <v>1</v>
      </c>
    </row>
    <row r="3409" spans="1:11" ht="16" x14ac:dyDescent="0.2">
      <c r="A3409" s="1" t="s">
        <v>253</v>
      </c>
      <c r="B3409" t="str">
        <f>LEFT(Table13[[#This Row],[Input]],1)</f>
        <v>R</v>
      </c>
      <c r="C3409">
        <f>_xlfn.LET(_xlpm.steps,SUBSTITUTE(Table13[[#This Row],[Input]],Table13[[#This Row],[Direction]],""),VALUE(IF(LEN(_xlpm.steps)&gt;2,RIGHT(_xlpm.steps,2),_xlpm.steps)))</f>
        <v>94</v>
      </c>
      <c r="D3409">
        <f>_xlfn.LET(_xlpm.steps,SUBSTITUTE(Table13[[#This Row],[Input]],Table13[[#This Row],[Direction]],""),VALUE(IF(LEN(_xlpm.steps)&gt;2,LEFT(_xlpm.steps,LEN(_xlpm.steps)-2),0)))</f>
        <v>0</v>
      </c>
      <c r="E3409">
        <f>_xlfn.LET(_xlpm.dir,Table13[[#This Row],[Direction]],
IF(_xlpm.dir="L",
    IF(G3408-Table13[[#This Row],[Steps]]&lt;0,100+(G3408-Table13[[#This Row],[Steps]]),G3408-Table13[[#This Row],[Steps]]),
))</f>
        <v>0</v>
      </c>
      <c r="F3409">
        <f>_xlfn.LET(_xlpm.dir,Table13[[#This Row],[Direction]],
IF(_xlpm.dir="R",
    IF(G3408+Table13[[#This Row],[Steps]]&gt;99,(G3408+Table13[[#This Row],[Steps]])-100,G3408+Table13[[#This Row],[Steps]]),
))</f>
        <v>45</v>
      </c>
      <c r="G3409">
        <f>IF(Table13[[#This Row],[New Pos L]]&lt;&gt;0,Table13[[#This Row],[New Pos L]],Table13[[#This Row],[New Pos R]])</f>
        <v>45</v>
      </c>
      <c r="H3409">
        <f>IF(AND(Table13[[#This Row],[Direction]]="L",Table13[[#This Row],[Steps]]&gt;G3408,G3408&lt;&gt;0),1,0)</f>
        <v>0</v>
      </c>
      <c r="I3409">
        <f>IF(AND(Table13[[#This Row],[Direction]]="R",(G3408+Table13[[#This Row],[Steps]])&gt;100),1,0)</f>
        <v>1</v>
      </c>
      <c r="J3409">
        <f>IF(Table13[[#This Row],[POS]]=0,1,0)</f>
        <v>0</v>
      </c>
      <c r="K3409">
        <f>SUM(Table13[[#This Row],[prefix]],Table13[[#This Row],[Past zero L]],Table13[[#This Row],[Past Zero R]],Table13[[#This Row],[Is Zero]])</f>
        <v>1</v>
      </c>
    </row>
    <row r="3410" spans="1:11" ht="16" x14ac:dyDescent="0.2">
      <c r="A3410" s="1" t="s">
        <v>94</v>
      </c>
      <c r="B3410" t="str">
        <f>LEFT(Table13[[#This Row],[Input]],1)</f>
        <v>L</v>
      </c>
      <c r="C3410">
        <f>_xlfn.LET(_xlpm.steps,SUBSTITUTE(Table13[[#This Row],[Input]],Table13[[#This Row],[Direction]],""),VALUE(IF(LEN(_xlpm.steps)&gt;2,RIGHT(_xlpm.steps,2),_xlpm.steps)))</f>
        <v>71</v>
      </c>
      <c r="D3410">
        <f>_xlfn.LET(_xlpm.steps,SUBSTITUTE(Table13[[#This Row],[Input]],Table13[[#This Row],[Direction]],""),VALUE(IF(LEN(_xlpm.steps)&gt;2,LEFT(_xlpm.steps,LEN(_xlpm.steps)-2),0)))</f>
        <v>0</v>
      </c>
      <c r="E3410">
        <f>_xlfn.LET(_xlpm.dir,Table13[[#This Row],[Direction]],
IF(_xlpm.dir="L",
    IF(G3409-Table13[[#This Row],[Steps]]&lt;0,100+(G3409-Table13[[#This Row],[Steps]]),G3409-Table13[[#This Row],[Steps]]),
))</f>
        <v>74</v>
      </c>
      <c r="F3410">
        <f>_xlfn.LET(_xlpm.dir,Table13[[#This Row],[Direction]],
IF(_xlpm.dir="R",
    IF(G3409+Table13[[#This Row],[Steps]]&gt;99,(G3409+Table13[[#This Row],[Steps]])-100,G3409+Table13[[#This Row],[Steps]]),
))</f>
        <v>0</v>
      </c>
      <c r="G3410">
        <f>IF(Table13[[#This Row],[New Pos L]]&lt;&gt;0,Table13[[#This Row],[New Pos L]],Table13[[#This Row],[New Pos R]])</f>
        <v>74</v>
      </c>
      <c r="H3410">
        <f>IF(AND(Table13[[#This Row],[Direction]]="L",Table13[[#This Row],[Steps]]&gt;G3409,G3409&lt;&gt;0),1,0)</f>
        <v>1</v>
      </c>
      <c r="I3410">
        <f>IF(AND(Table13[[#This Row],[Direction]]="R",(G3409+Table13[[#This Row],[Steps]])&gt;100),1,0)</f>
        <v>0</v>
      </c>
      <c r="J3410">
        <f>IF(Table13[[#This Row],[POS]]=0,1,0)</f>
        <v>0</v>
      </c>
      <c r="K3410">
        <f>SUM(Table13[[#This Row],[prefix]],Table13[[#This Row],[Past zero L]],Table13[[#This Row],[Past Zero R]],Table13[[#This Row],[Is Zero]])</f>
        <v>1</v>
      </c>
    </row>
    <row r="3411" spans="1:11" ht="16" x14ac:dyDescent="0.2">
      <c r="A3411" s="1" t="s">
        <v>13</v>
      </c>
      <c r="B3411" t="str">
        <f>LEFT(Table13[[#This Row],[Input]],1)</f>
        <v>R</v>
      </c>
      <c r="C3411">
        <f>_xlfn.LET(_xlpm.steps,SUBSTITUTE(Table13[[#This Row],[Input]],Table13[[#This Row],[Direction]],""),VALUE(IF(LEN(_xlpm.steps)&gt;2,RIGHT(_xlpm.steps,2),_xlpm.steps)))</f>
        <v>12</v>
      </c>
      <c r="D3411">
        <f>_xlfn.LET(_xlpm.steps,SUBSTITUTE(Table13[[#This Row],[Input]],Table13[[#This Row],[Direction]],""),VALUE(IF(LEN(_xlpm.steps)&gt;2,LEFT(_xlpm.steps,LEN(_xlpm.steps)-2),0)))</f>
        <v>0</v>
      </c>
      <c r="E3411">
        <f>_xlfn.LET(_xlpm.dir,Table13[[#This Row],[Direction]],
IF(_xlpm.dir="L",
    IF(G3410-Table13[[#This Row],[Steps]]&lt;0,100+(G3410-Table13[[#This Row],[Steps]]),G3410-Table13[[#This Row],[Steps]]),
))</f>
        <v>0</v>
      </c>
      <c r="F3411">
        <f>_xlfn.LET(_xlpm.dir,Table13[[#This Row],[Direction]],
IF(_xlpm.dir="R",
    IF(G3410+Table13[[#This Row],[Steps]]&gt;99,(G3410+Table13[[#This Row],[Steps]])-100,G3410+Table13[[#This Row],[Steps]]),
))</f>
        <v>86</v>
      </c>
      <c r="G3411">
        <f>IF(Table13[[#This Row],[New Pos L]]&lt;&gt;0,Table13[[#This Row],[New Pos L]],Table13[[#This Row],[New Pos R]])</f>
        <v>86</v>
      </c>
      <c r="H3411">
        <f>IF(AND(Table13[[#This Row],[Direction]]="L",Table13[[#This Row],[Steps]]&gt;G3410,G3410&lt;&gt;0),1,0)</f>
        <v>0</v>
      </c>
      <c r="I3411">
        <f>IF(AND(Table13[[#This Row],[Direction]]="R",(G3410+Table13[[#This Row],[Steps]])&gt;100),1,0)</f>
        <v>0</v>
      </c>
      <c r="J3411">
        <f>IF(Table13[[#This Row],[POS]]=0,1,0)</f>
        <v>0</v>
      </c>
      <c r="K3411">
        <f>SUM(Table13[[#This Row],[prefix]],Table13[[#This Row],[Past zero L]],Table13[[#This Row],[Past Zero R]],Table13[[#This Row],[Is Zero]])</f>
        <v>0</v>
      </c>
    </row>
    <row r="3412" spans="1:11" ht="16" x14ac:dyDescent="0.2">
      <c r="A3412" s="1" t="s">
        <v>254</v>
      </c>
      <c r="B3412" t="str">
        <f>LEFT(Table13[[#This Row],[Input]],1)</f>
        <v>R</v>
      </c>
      <c r="C3412">
        <f>_xlfn.LET(_xlpm.steps,SUBSTITUTE(Table13[[#This Row],[Input]],Table13[[#This Row],[Direction]],""),VALUE(IF(LEN(_xlpm.steps)&gt;2,RIGHT(_xlpm.steps,2),_xlpm.steps)))</f>
        <v>84</v>
      </c>
      <c r="D3412">
        <f>_xlfn.LET(_xlpm.steps,SUBSTITUTE(Table13[[#This Row],[Input]],Table13[[#This Row],[Direction]],""),VALUE(IF(LEN(_xlpm.steps)&gt;2,LEFT(_xlpm.steps,LEN(_xlpm.steps)-2),0)))</f>
        <v>0</v>
      </c>
      <c r="E3412">
        <f>_xlfn.LET(_xlpm.dir,Table13[[#This Row],[Direction]],
IF(_xlpm.dir="L",
    IF(G3411-Table13[[#This Row],[Steps]]&lt;0,100+(G3411-Table13[[#This Row],[Steps]]),G3411-Table13[[#This Row],[Steps]]),
))</f>
        <v>0</v>
      </c>
      <c r="F3412">
        <f>_xlfn.LET(_xlpm.dir,Table13[[#This Row],[Direction]],
IF(_xlpm.dir="R",
    IF(G3411+Table13[[#This Row],[Steps]]&gt;99,(G3411+Table13[[#This Row],[Steps]])-100,G3411+Table13[[#This Row],[Steps]]),
))</f>
        <v>70</v>
      </c>
      <c r="G3412">
        <f>IF(Table13[[#This Row],[New Pos L]]&lt;&gt;0,Table13[[#This Row],[New Pos L]],Table13[[#This Row],[New Pos R]])</f>
        <v>70</v>
      </c>
      <c r="H3412">
        <f>IF(AND(Table13[[#This Row],[Direction]]="L",Table13[[#This Row],[Steps]]&gt;G3411,G3411&lt;&gt;0),1,0)</f>
        <v>0</v>
      </c>
      <c r="I3412">
        <f>IF(AND(Table13[[#This Row],[Direction]]="R",(G3411+Table13[[#This Row],[Steps]])&gt;100),1,0)</f>
        <v>1</v>
      </c>
      <c r="J3412">
        <f>IF(Table13[[#This Row],[POS]]=0,1,0)</f>
        <v>0</v>
      </c>
      <c r="K3412">
        <f>SUM(Table13[[#This Row],[prefix]],Table13[[#This Row],[Past zero L]],Table13[[#This Row],[Past Zero R]],Table13[[#This Row],[Is Zero]])</f>
        <v>1</v>
      </c>
    </row>
    <row r="3413" spans="1:11" ht="16" x14ac:dyDescent="0.2">
      <c r="A3413" s="1" t="s">
        <v>296</v>
      </c>
      <c r="B3413" t="str">
        <f>LEFT(Table13[[#This Row],[Input]],1)</f>
        <v>R</v>
      </c>
      <c r="C3413">
        <f>_xlfn.LET(_xlpm.steps,SUBSTITUTE(Table13[[#This Row],[Input]],Table13[[#This Row],[Direction]],""),VALUE(IF(LEN(_xlpm.steps)&gt;2,RIGHT(_xlpm.steps,2),_xlpm.steps)))</f>
        <v>19</v>
      </c>
      <c r="D3413">
        <f>_xlfn.LET(_xlpm.steps,SUBSTITUTE(Table13[[#This Row],[Input]],Table13[[#This Row],[Direction]],""),VALUE(IF(LEN(_xlpm.steps)&gt;2,LEFT(_xlpm.steps,LEN(_xlpm.steps)-2),0)))</f>
        <v>0</v>
      </c>
      <c r="E3413">
        <f>_xlfn.LET(_xlpm.dir,Table13[[#This Row],[Direction]],
IF(_xlpm.dir="L",
    IF(G3412-Table13[[#This Row],[Steps]]&lt;0,100+(G3412-Table13[[#This Row],[Steps]]),G3412-Table13[[#This Row],[Steps]]),
))</f>
        <v>0</v>
      </c>
      <c r="F3413">
        <f>_xlfn.LET(_xlpm.dir,Table13[[#This Row],[Direction]],
IF(_xlpm.dir="R",
    IF(G3412+Table13[[#This Row],[Steps]]&gt;99,(G3412+Table13[[#This Row],[Steps]])-100,G3412+Table13[[#This Row],[Steps]]),
))</f>
        <v>89</v>
      </c>
      <c r="G3413">
        <f>IF(Table13[[#This Row],[New Pos L]]&lt;&gt;0,Table13[[#This Row],[New Pos L]],Table13[[#This Row],[New Pos R]])</f>
        <v>89</v>
      </c>
      <c r="H3413">
        <f>IF(AND(Table13[[#This Row],[Direction]]="L",Table13[[#This Row],[Steps]]&gt;G3412,G3412&lt;&gt;0),1,0)</f>
        <v>0</v>
      </c>
      <c r="I3413">
        <f>IF(AND(Table13[[#This Row],[Direction]]="R",(G3412+Table13[[#This Row],[Steps]])&gt;100),1,0)</f>
        <v>0</v>
      </c>
      <c r="J3413">
        <f>IF(Table13[[#This Row],[POS]]=0,1,0)</f>
        <v>0</v>
      </c>
      <c r="K3413">
        <f>SUM(Table13[[#This Row],[prefix]],Table13[[#This Row],[Past zero L]],Table13[[#This Row],[Past Zero R]],Table13[[#This Row],[Is Zero]])</f>
        <v>0</v>
      </c>
    </row>
    <row r="3414" spans="1:11" ht="16" x14ac:dyDescent="0.2">
      <c r="A3414" s="1" t="s">
        <v>207</v>
      </c>
      <c r="B3414" t="str">
        <f>LEFT(Table13[[#This Row],[Input]],1)</f>
        <v>L</v>
      </c>
      <c r="C3414">
        <f>_xlfn.LET(_xlpm.steps,SUBSTITUTE(Table13[[#This Row],[Input]],Table13[[#This Row],[Direction]],""),VALUE(IF(LEN(_xlpm.steps)&gt;2,RIGHT(_xlpm.steps,2),_xlpm.steps)))</f>
        <v>89</v>
      </c>
      <c r="D3414">
        <f>_xlfn.LET(_xlpm.steps,SUBSTITUTE(Table13[[#This Row],[Input]],Table13[[#This Row],[Direction]],""),VALUE(IF(LEN(_xlpm.steps)&gt;2,LEFT(_xlpm.steps,LEN(_xlpm.steps)-2),0)))</f>
        <v>0</v>
      </c>
      <c r="E3414">
        <f>_xlfn.LET(_xlpm.dir,Table13[[#This Row],[Direction]],
IF(_xlpm.dir="L",
    IF(G3413-Table13[[#This Row],[Steps]]&lt;0,100+(G3413-Table13[[#This Row],[Steps]]),G3413-Table13[[#This Row],[Steps]]),
))</f>
        <v>0</v>
      </c>
      <c r="F3414">
        <f>_xlfn.LET(_xlpm.dir,Table13[[#This Row],[Direction]],
IF(_xlpm.dir="R",
    IF(G3413+Table13[[#This Row],[Steps]]&gt;99,(G3413+Table13[[#This Row],[Steps]])-100,G3413+Table13[[#This Row],[Steps]]),
))</f>
        <v>0</v>
      </c>
      <c r="G3414">
        <f>IF(Table13[[#This Row],[New Pos L]]&lt;&gt;0,Table13[[#This Row],[New Pos L]],Table13[[#This Row],[New Pos R]])</f>
        <v>0</v>
      </c>
      <c r="H3414">
        <f>IF(AND(Table13[[#This Row],[Direction]]="L",Table13[[#This Row],[Steps]]&gt;G3413,G3413&lt;&gt;0),1,0)</f>
        <v>0</v>
      </c>
      <c r="I3414">
        <f>IF(AND(Table13[[#This Row],[Direction]]="R",(G3413+Table13[[#This Row],[Steps]])&gt;100),1,0)</f>
        <v>0</v>
      </c>
      <c r="J3414">
        <f>IF(Table13[[#This Row],[POS]]=0,1,0)</f>
        <v>1</v>
      </c>
      <c r="K3414">
        <f>SUM(Table13[[#This Row],[prefix]],Table13[[#This Row],[Past zero L]],Table13[[#This Row],[Past Zero R]],Table13[[#This Row],[Is Zero]])</f>
        <v>1</v>
      </c>
    </row>
    <row r="3415" spans="1:11" ht="16" x14ac:dyDescent="0.2">
      <c r="A3415" s="1" t="s">
        <v>742</v>
      </c>
      <c r="B3415" t="str">
        <f>LEFT(Table13[[#This Row],[Input]],1)</f>
        <v>L</v>
      </c>
      <c r="C3415">
        <f>_xlfn.LET(_xlpm.steps,SUBSTITUTE(Table13[[#This Row],[Input]],Table13[[#This Row],[Direction]],""),VALUE(IF(LEN(_xlpm.steps)&gt;2,RIGHT(_xlpm.steps,2),_xlpm.steps)))</f>
        <v>38</v>
      </c>
      <c r="D3415">
        <f>_xlfn.LET(_xlpm.steps,SUBSTITUTE(Table13[[#This Row],[Input]],Table13[[#This Row],[Direction]],""),VALUE(IF(LEN(_xlpm.steps)&gt;2,LEFT(_xlpm.steps,LEN(_xlpm.steps)-2),0)))</f>
        <v>2</v>
      </c>
      <c r="E3415">
        <f>_xlfn.LET(_xlpm.dir,Table13[[#This Row],[Direction]],
IF(_xlpm.dir="L",
    IF(G3414-Table13[[#This Row],[Steps]]&lt;0,100+(G3414-Table13[[#This Row],[Steps]]),G3414-Table13[[#This Row],[Steps]]),
))</f>
        <v>62</v>
      </c>
      <c r="F3415">
        <f>_xlfn.LET(_xlpm.dir,Table13[[#This Row],[Direction]],
IF(_xlpm.dir="R",
    IF(G3414+Table13[[#This Row],[Steps]]&gt;99,(G3414+Table13[[#This Row],[Steps]])-100,G3414+Table13[[#This Row],[Steps]]),
))</f>
        <v>0</v>
      </c>
      <c r="G3415">
        <f>IF(Table13[[#This Row],[New Pos L]]&lt;&gt;0,Table13[[#This Row],[New Pos L]],Table13[[#This Row],[New Pos R]])</f>
        <v>62</v>
      </c>
      <c r="H3415">
        <f>IF(AND(Table13[[#This Row],[Direction]]="L",Table13[[#This Row],[Steps]]&gt;G3414,G3414&lt;&gt;0),1,0)</f>
        <v>0</v>
      </c>
      <c r="I3415">
        <f>IF(AND(Table13[[#This Row],[Direction]]="R",(G3414+Table13[[#This Row],[Steps]])&gt;100),1,0)</f>
        <v>0</v>
      </c>
      <c r="J3415">
        <f>IF(Table13[[#This Row],[POS]]=0,1,0)</f>
        <v>0</v>
      </c>
      <c r="K3415">
        <f>SUM(Table13[[#This Row],[prefix]],Table13[[#This Row],[Past zero L]],Table13[[#This Row],[Past Zero R]],Table13[[#This Row],[Is Zero]])</f>
        <v>2</v>
      </c>
    </row>
    <row r="3416" spans="1:11" ht="16" x14ac:dyDescent="0.2">
      <c r="A3416" s="1" t="s">
        <v>139</v>
      </c>
      <c r="B3416" t="str">
        <f>LEFT(Table13[[#This Row],[Input]],1)</f>
        <v>R</v>
      </c>
      <c r="C3416">
        <f>_xlfn.LET(_xlpm.steps,SUBSTITUTE(Table13[[#This Row],[Input]],Table13[[#This Row],[Direction]],""),VALUE(IF(LEN(_xlpm.steps)&gt;2,RIGHT(_xlpm.steps,2),_xlpm.steps)))</f>
        <v>38</v>
      </c>
      <c r="D3416">
        <f>_xlfn.LET(_xlpm.steps,SUBSTITUTE(Table13[[#This Row],[Input]],Table13[[#This Row],[Direction]],""),VALUE(IF(LEN(_xlpm.steps)&gt;2,LEFT(_xlpm.steps,LEN(_xlpm.steps)-2),0)))</f>
        <v>0</v>
      </c>
      <c r="E3416">
        <f>_xlfn.LET(_xlpm.dir,Table13[[#This Row],[Direction]],
IF(_xlpm.dir="L",
    IF(G3415-Table13[[#This Row],[Steps]]&lt;0,100+(G3415-Table13[[#This Row],[Steps]]),G3415-Table13[[#This Row],[Steps]]),
))</f>
        <v>0</v>
      </c>
      <c r="F3416">
        <f>_xlfn.LET(_xlpm.dir,Table13[[#This Row],[Direction]],
IF(_xlpm.dir="R",
    IF(G3415+Table13[[#This Row],[Steps]]&gt;99,(G3415+Table13[[#This Row],[Steps]])-100,G3415+Table13[[#This Row],[Steps]]),
))</f>
        <v>0</v>
      </c>
      <c r="G3416">
        <f>IF(Table13[[#This Row],[New Pos L]]&lt;&gt;0,Table13[[#This Row],[New Pos L]],Table13[[#This Row],[New Pos R]])</f>
        <v>0</v>
      </c>
      <c r="H3416">
        <f>IF(AND(Table13[[#This Row],[Direction]]="L",Table13[[#This Row],[Steps]]&gt;G3415,G3415&lt;&gt;0),1,0)</f>
        <v>0</v>
      </c>
      <c r="I3416">
        <f>IF(AND(Table13[[#This Row],[Direction]]="R",(G3415+Table13[[#This Row],[Steps]])&gt;100),1,0)</f>
        <v>0</v>
      </c>
      <c r="J3416">
        <f>IF(Table13[[#This Row],[POS]]=0,1,0)</f>
        <v>1</v>
      </c>
      <c r="K3416">
        <f>SUM(Table13[[#This Row],[prefix]],Table13[[#This Row],[Past zero L]],Table13[[#This Row],[Past Zero R]],Table13[[#This Row],[Is Zero]])</f>
        <v>1</v>
      </c>
    </row>
    <row r="3417" spans="1:11" ht="16" x14ac:dyDescent="0.2">
      <c r="A3417" s="1" t="s">
        <v>295</v>
      </c>
      <c r="B3417" t="str">
        <f>LEFT(Table13[[#This Row],[Input]],1)</f>
        <v>L</v>
      </c>
      <c r="C3417">
        <f>_xlfn.LET(_xlpm.steps,SUBSTITUTE(Table13[[#This Row],[Input]],Table13[[#This Row],[Direction]],""),VALUE(IF(LEN(_xlpm.steps)&gt;2,RIGHT(_xlpm.steps,2),_xlpm.steps)))</f>
        <v>88</v>
      </c>
      <c r="D3417">
        <f>_xlfn.LET(_xlpm.steps,SUBSTITUTE(Table13[[#This Row],[Input]],Table13[[#This Row],[Direction]],""),VALUE(IF(LEN(_xlpm.steps)&gt;2,LEFT(_xlpm.steps,LEN(_xlpm.steps)-2),0)))</f>
        <v>0</v>
      </c>
      <c r="E3417">
        <f>_xlfn.LET(_xlpm.dir,Table13[[#This Row],[Direction]],
IF(_xlpm.dir="L",
    IF(G3416-Table13[[#This Row],[Steps]]&lt;0,100+(G3416-Table13[[#This Row],[Steps]]),G3416-Table13[[#This Row],[Steps]]),
))</f>
        <v>12</v>
      </c>
      <c r="F3417">
        <f>_xlfn.LET(_xlpm.dir,Table13[[#This Row],[Direction]],
IF(_xlpm.dir="R",
    IF(G3416+Table13[[#This Row],[Steps]]&gt;99,(G3416+Table13[[#This Row],[Steps]])-100,G3416+Table13[[#This Row],[Steps]]),
))</f>
        <v>0</v>
      </c>
      <c r="G3417">
        <f>IF(Table13[[#This Row],[New Pos L]]&lt;&gt;0,Table13[[#This Row],[New Pos L]],Table13[[#This Row],[New Pos R]])</f>
        <v>12</v>
      </c>
      <c r="H3417">
        <f>IF(AND(Table13[[#This Row],[Direction]]="L",Table13[[#This Row],[Steps]]&gt;G3416,G3416&lt;&gt;0),1,0)</f>
        <v>0</v>
      </c>
      <c r="I3417">
        <f>IF(AND(Table13[[#This Row],[Direction]]="R",(G3416+Table13[[#This Row],[Steps]])&gt;100),1,0)</f>
        <v>0</v>
      </c>
      <c r="J3417">
        <f>IF(Table13[[#This Row],[POS]]=0,1,0)</f>
        <v>0</v>
      </c>
      <c r="K3417">
        <f>SUM(Table13[[#This Row],[prefix]],Table13[[#This Row],[Past zero L]],Table13[[#This Row],[Past Zero R]],Table13[[#This Row],[Is Zero]])</f>
        <v>0</v>
      </c>
    </row>
    <row r="3418" spans="1:11" ht="16" x14ac:dyDescent="0.2">
      <c r="A3418" s="1" t="s">
        <v>185</v>
      </c>
      <c r="B3418" t="str">
        <f>LEFT(Table13[[#This Row],[Input]],1)</f>
        <v>R</v>
      </c>
      <c r="C3418">
        <f>_xlfn.LET(_xlpm.steps,SUBSTITUTE(Table13[[#This Row],[Input]],Table13[[#This Row],[Direction]],""),VALUE(IF(LEN(_xlpm.steps)&gt;2,RIGHT(_xlpm.steps,2),_xlpm.steps)))</f>
        <v>61</v>
      </c>
      <c r="D3418">
        <f>_xlfn.LET(_xlpm.steps,SUBSTITUTE(Table13[[#This Row],[Input]],Table13[[#This Row],[Direction]],""),VALUE(IF(LEN(_xlpm.steps)&gt;2,LEFT(_xlpm.steps,LEN(_xlpm.steps)-2),0)))</f>
        <v>0</v>
      </c>
      <c r="E3418">
        <f>_xlfn.LET(_xlpm.dir,Table13[[#This Row],[Direction]],
IF(_xlpm.dir="L",
    IF(G3417-Table13[[#This Row],[Steps]]&lt;0,100+(G3417-Table13[[#This Row],[Steps]]),G3417-Table13[[#This Row],[Steps]]),
))</f>
        <v>0</v>
      </c>
      <c r="F3418">
        <f>_xlfn.LET(_xlpm.dir,Table13[[#This Row],[Direction]],
IF(_xlpm.dir="R",
    IF(G3417+Table13[[#This Row],[Steps]]&gt;99,(G3417+Table13[[#This Row],[Steps]])-100,G3417+Table13[[#This Row],[Steps]]),
))</f>
        <v>73</v>
      </c>
      <c r="G3418">
        <f>IF(Table13[[#This Row],[New Pos L]]&lt;&gt;0,Table13[[#This Row],[New Pos L]],Table13[[#This Row],[New Pos R]])</f>
        <v>73</v>
      </c>
      <c r="H3418">
        <f>IF(AND(Table13[[#This Row],[Direction]]="L",Table13[[#This Row],[Steps]]&gt;G3417,G3417&lt;&gt;0),1,0)</f>
        <v>0</v>
      </c>
      <c r="I3418">
        <f>IF(AND(Table13[[#This Row],[Direction]]="R",(G3417+Table13[[#This Row],[Steps]])&gt;100),1,0)</f>
        <v>0</v>
      </c>
      <c r="J3418">
        <f>IF(Table13[[#This Row],[POS]]=0,1,0)</f>
        <v>0</v>
      </c>
      <c r="K3418">
        <f>SUM(Table13[[#This Row],[prefix]],Table13[[#This Row],[Past zero L]],Table13[[#This Row],[Past Zero R]],Table13[[#This Row],[Is Zero]])</f>
        <v>0</v>
      </c>
    </row>
    <row r="3419" spans="1:11" ht="16" x14ac:dyDescent="0.2">
      <c r="A3419" s="1" t="s">
        <v>120</v>
      </c>
      <c r="B3419" t="str">
        <f>LEFT(Table13[[#This Row],[Input]],1)</f>
        <v>L</v>
      </c>
      <c r="C3419">
        <f>_xlfn.LET(_xlpm.steps,SUBSTITUTE(Table13[[#This Row],[Input]],Table13[[#This Row],[Direction]],""),VALUE(IF(LEN(_xlpm.steps)&gt;2,RIGHT(_xlpm.steps,2),_xlpm.steps)))</f>
        <v>23</v>
      </c>
      <c r="D3419">
        <f>_xlfn.LET(_xlpm.steps,SUBSTITUTE(Table13[[#This Row],[Input]],Table13[[#This Row],[Direction]],""),VALUE(IF(LEN(_xlpm.steps)&gt;2,LEFT(_xlpm.steps,LEN(_xlpm.steps)-2),0)))</f>
        <v>0</v>
      </c>
      <c r="E3419">
        <f>_xlfn.LET(_xlpm.dir,Table13[[#This Row],[Direction]],
IF(_xlpm.dir="L",
    IF(G3418-Table13[[#This Row],[Steps]]&lt;0,100+(G3418-Table13[[#This Row],[Steps]]),G3418-Table13[[#This Row],[Steps]]),
))</f>
        <v>50</v>
      </c>
      <c r="F3419">
        <f>_xlfn.LET(_xlpm.dir,Table13[[#This Row],[Direction]],
IF(_xlpm.dir="R",
    IF(G3418+Table13[[#This Row],[Steps]]&gt;99,(G3418+Table13[[#This Row],[Steps]])-100,G3418+Table13[[#This Row],[Steps]]),
))</f>
        <v>0</v>
      </c>
      <c r="G3419">
        <f>IF(Table13[[#This Row],[New Pos L]]&lt;&gt;0,Table13[[#This Row],[New Pos L]],Table13[[#This Row],[New Pos R]])</f>
        <v>50</v>
      </c>
      <c r="H3419">
        <f>IF(AND(Table13[[#This Row],[Direction]]="L",Table13[[#This Row],[Steps]]&gt;G3418,G3418&lt;&gt;0),1,0)</f>
        <v>0</v>
      </c>
      <c r="I3419">
        <f>IF(AND(Table13[[#This Row],[Direction]]="R",(G3418+Table13[[#This Row],[Steps]])&gt;100),1,0)</f>
        <v>0</v>
      </c>
      <c r="J3419">
        <f>IF(Table13[[#This Row],[POS]]=0,1,0)</f>
        <v>0</v>
      </c>
      <c r="K3419">
        <f>SUM(Table13[[#This Row],[prefix]],Table13[[#This Row],[Past zero L]],Table13[[#This Row],[Past Zero R]],Table13[[#This Row],[Is Zero]])</f>
        <v>0</v>
      </c>
    </row>
    <row r="3420" spans="1:11" ht="16" x14ac:dyDescent="0.2">
      <c r="A3420" s="1" t="s">
        <v>79</v>
      </c>
      <c r="B3420" t="str">
        <f>LEFT(Table13[[#This Row],[Input]],1)</f>
        <v>L</v>
      </c>
      <c r="C3420">
        <f>_xlfn.LET(_xlpm.steps,SUBSTITUTE(Table13[[#This Row],[Input]],Table13[[#This Row],[Direction]],""),VALUE(IF(LEN(_xlpm.steps)&gt;2,RIGHT(_xlpm.steps,2),_xlpm.steps)))</f>
        <v>45</v>
      </c>
      <c r="D3420">
        <f>_xlfn.LET(_xlpm.steps,SUBSTITUTE(Table13[[#This Row],[Input]],Table13[[#This Row],[Direction]],""),VALUE(IF(LEN(_xlpm.steps)&gt;2,LEFT(_xlpm.steps,LEN(_xlpm.steps)-2),0)))</f>
        <v>0</v>
      </c>
      <c r="E3420">
        <f>_xlfn.LET(_xlpm.dir,Table13[[#This Row],[Direction]],
IF(_xlpm.dir="L",
    IF(G3419-Table13[[#This Row],[Steps]]&lt;0,100+(G3419-Table13[[#This Row],[Steps]]),G3419-Table13[[#This Row],[Steps]]),
))</f>
        <v>5</v>
      </c>
      <c r="F3420">
        <f>_xlfn.LET(_xlpm.dir,Table13[[#This Row],[Direction]],
IF(_xlpm.dir="R",
    IF(G3419+Table13[[#This Row],[Steps]]&gt;99,(G3419+Table13[[#This Row],[Steps]])-100,G3419+Table13[[#This Row],[Steps]]),
))</f>
        <v>0</v>
      </c>
      <c r="G3420">
        <f>IF(Table13[[#This Row],[New Pos L]]&lt;&gt;0,Table13[[#This Row],[New Pos L]],Table13[[#This Row],[New Pos R]])</f>
        <v>5</v>
      </c>
      <c r="H3420">
        <f>IF(AND(Table13[[#This Row],[Direction]]="L",Table13[[#This Row],[Steps]]&gt;G3419,G3419&lt;&gt;0),1,0)</f>
        <v>0</v>
      </c>
      <c r="I3420">
        <f>IF(AND(Table13[[#This Row],[Direction]]="R",(G3419+Table13[[#This Row],[Steps]])&gt;100),1,0)</f>
        <v>0</v>
      </c>
      <c r="J3420">
        <f>IF(Table13[[#This Row],[POS]]=0,1,0)</f>
        <v>0</v>
      </c>
      <c r="K3420">
        <f>SUM(Table13[[#This Row],[prefix]],Table13[[#This Row],[Past zero L]],Table13[[#This Row],[Past Zero R]],Table13[[#This Row],[Is Zero]])</f>
        <v>0</v>
      </c>
    </row>
    <row r="3421" spans="1:11" ht="16" x14ac:dyDescent="0.2">
      <c r="A3421" s="1" t="s">
        <v>145</v>
      </c>
      <c r="B3421" t="str">
        <f>LEFT(Table13[[#This Row],[Input]],1)</f>
        <v>L</v>
      </c>
      <c r="C3421">
        <f>_xlfn.LET(_xlpm.steps,SUBSTITUTE(Table13[[#This Row],[Input]],Table13[[#This Row],[Direction]],""),VALUE(IF(LEN(_xlpm.steps)&gt;2,RIGHT(_xlpm.steps,2),_xlpm.steps)))</f>
        <v>83</v>
      </c>
      <c r="D3421">
        <f>_xlfn.LET(_xlpm.steps,SUBSTITUTE(Table13[[#This Row],[Input]],Table13[[#This Row],[Direction]],""),VALUE(IF(LEN(_xlpm.steps)&gt;2,LEFT(_xlpm.steps,LEN(_xlpm.steps)-2),0)))</f>
        <v>0</v>
      </c>
      <c r="E3421">
        <f>_xlfn.LET(_xlpm.dir,Table13[[#This Row],[Direction]],
IF(_xlpm.dir="L",
    IF(G3420-Table13[[#This Row],[Steps]]&lt;0,100+(G3420-Table13[[#This Row],[Steps]]),G3420-Table13[[#This Row],[Steps]]),
))</f>
        <v>22</v>
      </c>
      <c r="F3421">
        <f>_xlfn.LET(_xlpm.dir,Table13[[#This Row],[Direction]],
IF(_xlpm.dir="R",
    IF(G3420+Table13[[#This Row],[Steps]]&gt;99,(G3420+Table13[[#This Row],[Steps]])-100,G3420+Table13[[#This Row],[Steps]]),
))</f>
        <v>0</v>
      </c>
      <c r="G3421">
        <f>IF(Table13[[#This Row],[New Pos L]]&lt;&gt;0,Table13[[#This Row],[New Pos L]],Table13[[#This Row],[New Pos R]])</f>
        <v>22</v>
      </c>
      <c r="H3421">
        <f>IF(AND(Table13[[#This Row],[Direction]]="L",Table13[[#This Row],[Steps]]&gt;G3420,G3420&lt;&gt;0),1,0)</f>
        <v>1</v>
      </c>
      <c r="I3421">
        <f>IF(AND(Table13[[#This Row],[Direction]]="R",(G3420+Table13[[#This Row],[Steps]])&gt;100),1,0)</f>
        <v>0</v>
      </c>
      <c r="J3421">
        <f>IF(Table13[[#This Row],[POS]]=0,1,0)</f>
        <v>0</v>
      </c>
      <c r="K3421">
        <f>SUM(Table13[[#This Row],[prefix]],Table13[[#This Row],[Past zero L]],Table13[[#This Row],[Past Zero R]],Table13[[#This Row],[Is Zero]])</f>
        <v>1</v>
      </c>
    </row>
    <row r="3422" spans="1:11" ht="16" x14ac:dyDescent="0.2">
      <c r="A3422" s="1" t="s">
        <v>161</v>
      </c>
      <c r="B3422" t="str">
        <f>LEFT(Table13[[#This Row],[Input]],1)</f>
        <v>R</v>
      </c>
      <c r="C3422">
        <f>_xlfn.LET(_xlpm.steps,SUBSTITUTE(Table13[[#This Row],[Input]],Table13[[#This Row],[Direction]],""),VALUE(IF(LEN(_xlpm.steps)&gt;2,RIGHT(_xlpm.steps,2),_xlpm.steps)))</f>
        <v>76</v>
      </c>
      <c r="D3422">
        <f>_xlfn.LET(_xlpm.steps,SUBSTITUTE(Table13[[#This Row],[Input]],Table13[[#This Row],[Direction]],""),VALUE(IF(LEN(_xlpm.steps)&gt;2,LEFT(_xlpm.steps,LEN(_xlpm.steps)-2),0)))</f>
        <v>0</v>
      </c>
      <c r="E3422">
        <f>_xlfn.LET(_xlpm.dir,Table13[[#This Row],[Direction]],
IF(_xlpm.dir="L",
    IF(G3421-Table13[[#This Row],[Steps]]&lt;0,100+(G3421-Table13[[#This Row],[Steps]]),G3421-Table13[[#This Row],[Steps]]),
))</f>
        <v>0</v>
      </c>
      <c r="F3422">
        <f>_xlfn.LET(_xlpm.dir,Table13[[#This Row],[Direction]],
IF(_xlpm.dir="R",
    IF(G3421+Table13[[#This Row],[Steps]]&gt;99,(G3421+Table13[[#This Row],[Steps]])-100,G3421+Table13[[#This Row],[Steps]]),
))</f>
        <v>98</v>
      </c>
      <c r="G3422">
        <f>IF(Table13[[#This Row],[New Pos L]]&lt;&gt;0,Table13[[#This Row],[New Pos L]],Table13[[#This Row],[New Pos R]])</f>
        <v>98</v>
      </c>
      <c r="H3422">
        <f>IF(AND(Table13[[#This Row],[Direction]]="L",Table13[[#This Row],[Steps]]&gt;G3421,G3421&lt;&gt;0),1,0)</f>
        <v>0</v>
      </c>
      <c r="I3422">
        <f>IF(AND(Table13[[#This Row],[Direction]]="R",(G3421+Table13[[#This Row],[Steps]])&gt;100),1,0)</f>
        <v>0</v>
      </c>
      <c r="J3422">
        <f>IF(Table13[[#This Row],[POS]]=0,1,0)</f>
        <v>0</v>
      </c>
      <c r="K3422">
        <f>SUM(Table13[[#This Row],[prefix]],Table13[[#This Row],[Past zero L]],Table13[[#This Row],[Past Zero R]],Table13[[#This Row],[Is Zero]])</f>
        <v>0</v>
      </c>
    </row>
    <row r="3423" spans="1:11" ht="16" x14ac:dyDescent="0.2">
      <c r="A3423" s="1" t="s">
        <v>244</v>
      </c>
      <c r="B3423" t="str">
        <f>LEFT(Table13[[#This Row],[Input]],1)</f>
        <v>L</v>
      </c>
      <c r="C3423">
        <f>_xlfn.LET(_xlpm.steps,SUBSTITUTE(Table13[[#This Row],[Input]],Table13[[#This Row],[Direction]],""),VALUE(IF(LEN(_xlpm.steps)&gt;2,RIGHT(_xlpm.steps,2),_xlpm.steps)))</f>
        <v>98</v>
      </c>
      <c r="D3423">
        <f>_xlfn.LET(_xlpm.steps,SUBSTITUTE(Table13[[#This Row],[Input]],Table13[[#This Row],[Direction]],""),VALUE(IF(LEN(_xlpm.steps)&gt;2,LEFT(_xlpm.steps,LEN(_xlpm.steps)-2),0)))</f>
        <v>0</v>
      </c>
      <c r="E3423">
        <f>_xlfn.LET(_xlpm.dir,Table13[[#This Row],[Direction]],
IF(_xlpm.dir="L",
    IF(G3422-Table13[[#This Row],[Steps]]&lt;0,100+(G3422-Table13[[#This Row],[Steps]]),G3422-Table13[[#This Row],[Steps]]),
))</f>
        <v>0</v>
      </c>
      <c r="F3423">
        <f>_xlfn.LET(_xlpm.dir,Table13[[#This Row],[Direction]],
IF(_xlpm.dir="R",
    IF(G3422+Table13[[#This Row],[Steps]]&gt;99,(G3422+Table13[[#This Row],[Steps]])-100,G3422+Table13[[#This Row],[Steps]]),
))</f>
        <v>0</v>
      </c>
      <c r="G3423">
        <f>IF(Table13[[#This Row],[New Pos L]]&lt;&gt;0,Table13[[#This Row],[New Pos L]],Table13[[#This Row],[New Pos R]])</f>
        <v>0</v>
      </c>
      <c r="H3423">
        <f>IF(AND(Table13[[#This Row],[Direction]]="L",Table13[[#This Row],[Steps]]&gt;G3422,G3422&lt;&gt;0),1,0)</f>
        <v>0</v>
      </c>
      <c r="I3423">
        <f>IF(AND(Table13[[#This Row],[Direction]]="R",(G3422+Table13[[#This Row],[Steps]])&gt;100),1,0)</f>
        <v>0</v>
      </c>
      <c r="J3423">
        <f>IF(Table13[[#This Row],[POS]]=0,1,0)</f>
        <v>1</v>
      </c>
      <c r="K3423">
        <f>SUM(Table13[[#This Row],[prefix]],Table13[[#This Row],[Past zero L]],Table13[[#This Row],[Past Zero R]],Table13[[#This Row],[Is Zero]])</f>
        <v>1</v>
      </c>
    </row>
    <row r="3424" spans="1:11" ht="16" x14ac:dyDescent="0.2">
      <c r="A3424" s="1" t="s">
        <v>296</v>
      </c>
      <c r="B3424" t="str">
        <f>LEFT(Table13[[#This Row],[Input]],1)</f>
        <v>R</v>
      </c>
      <c r="C3424">
        <f>_xlfn.LET(_xlpm.steps,SUBSTITUTE(Table13[[#This Row],[Input]],Table13[[#This Row],[Direction]],""),VALUE(IF(LEN(_xlpm.steps)&gt;2,RIGHT(_xlpm.steps,2),_xlpm.steps)))</f>
        <v>19</v>
      </c>
      <c r="D3424">
        <f>_xlfn.LET(_xlpm.steps,SUBSTITUTE(Table13[[#This Row],[Input]],Table13[[#This Row],[Direction]],""),VALUE(IF(LEN(_xlpm.steps)&gt;2,LEFT(_xlpm.steps,LEN(_xlpm.steps)-2),0)))</f>
        <v>0</v>
      </c>
      <c r="E3424">
        <f>_xlfn.LET(_xlpm.dir,Table13[[#This Row],[Direction]],
IF(_xlpm.dir="L",
    IF(G3423-Table13[[#This Row],[Steps]]&lt;0,100+(G3423-Table13[[#This Row],[Steps]]),G3423-Table13[[#This Row],[Steps]]),
))</f>
        <v>0</v>
      </c>
      <c r="F3424">
        <f>_xlfn.LET(_xlpm.dir,Table13[[#This Row],[Direction]],
IF(_xlpm.dir="R",
    IF(G3423+Table13[[#This Row],[Steps]]&gt;99,(G3423+Table13[[#This Row],[Steps]])-100,G3423+Table13[[#This Row],[Steps]]),
))</f>
        <v>19</v>
      </c>
      <c r="G3424">
        <f>IF(Table13[[#This Row],[New Pos L]]&lt;&gt;0,Table13[[#This Row],[New Pos L]],Table13[[#This Row],[New Pos R]])</f>
        <v>19</v>
      </c>
      <c r="H3424">
        <f>IF(AND(Table13[[#This Row],[Direction]]="L",Table13[[#This Row],[Steps]]&gt;G3423,G3423&lt;&gt;0),1,0)</f>
        <v>0</v>
      </c>
      <c r="I3424">
        <f>IF(AND(Table13[[#This Row],[Direction]]="R",(G3423+Table13[[#This Row],[Steps]])&gt;100),1,0)</f>
        <v>0</v>
      </c>
      <c r="J3424">
        <f>IF(Table13[[#This Row],[POS]]=0,1,0)</f>
        <v>0</v>
      </c>
      <c r="K3424">
        <f>SUM(Table13[[#This Row],[prefix]],Table13[[#This Row],[Past zero L]],Table13[[#This Row],[Past Zero R]],Table13[[#This Row],[Is Zero]])</f>
        <v>0</v>
      </c>
    </row>
    <row r="3425" spans="1:11" ht="16" x14ac:dyDescent="0.2">
      <c r="A3425" s="1" t="s">
        <v>65</v>
      </c>
      <c r="B3425" t="str">
        <f>LEFT(Table13[[#This Row],[Input]],1)</f>
        <v>L</v>
      </c>
      <c r="C3425">
        <f>_xlfn.LET(_xlpm.steps,SUBSTITUTE(Table13[[#This Row],[Input]],Table13[[#This Row],[Direction]],""),VALUE(IF(LEN(_xlpm.steps)&gt;2,RIGHT(_xlpm.steps,2),_xlpm.steps)))</f>
        <v>19</v>
      </c>
      <c r="D3425">
        <f>_xlfn.LET(_xlpm.steps,SUBSTITUTE(Table13[[#This Row],[Input]],Table13[[#This Row],[Direction]],""),VALUE(IF(LEN(_xlpm.steps)&gt;2,LEFT(_xlpm.steps,LEN(_xlpm.steps)-2),0)))</f>
        <v>0</v>
      </c>
      <c r="E3425">
        <f>_xlfn.LET(_xlpm.dir,Table13[[#This Row],[Direction]],
IF(_xlpm.dir="L",
    IF(G3424-Table13[[#This Row],[Steps]]&lt;0,100+(G3424-Table13[[#This Row],[Steps]]),G3424-Table13[[#This Row],[Steps]]),
))</f>
        <v>0</v>
      </c>
      <c r="F3425">
        <f>_xlfn.LET(_xlpm.dir,Table13[[#This Row],[Direction]],
IF(_xlpm.dir="R",
    IF(G3424+Table13[[#This Row],[Steps]]&gt;99,(G3424+Table13[[#This Row],[Steps]])-100,G3424+Table13[[#This Row],[Steps]]),
))</f>
        <v>0</v>
      </c>
      <c r="G3425">
        <f>IF(Table13[[#This Row],[New Pos L]]&lt;&gt;0,Table13[[#This Row],[New Pos L]],Table13[[#This Row],[New Pos R]])</f>
        <v>0</v>
      </c>
      <c r="H3425">
        <f>IF(AND(Table13[[#This Row],[Direction]]="L",Table13[[#This Row],[Steps]]&gt;G3424,G3424&lt;&gt;0),1,0)</f>
        <v>0</v>
      </c>
      <c r="I3425">
        <f>IF(AND(Table13[[#This Row],[Direction]]="R",(G3424+Table13[[#This Row],[Steps]])&gt;100),1,0)</f>
        <v>0</v>
      </c>
      <c r="J3425">
        <f>IF(Table13[[#This Row],[POS]]=0,1,0)</f>
        <v>1</v>
      </c>
      <c r="K3425">
        <f>SUM(Table13[[#This Row],[prefix]],Table13[[#This Row],[Past zero L]],Table13[[#This Row],[Past Zero R]],Table13[[#This Row],[Is Zero]])</f>
        <v>1</v>
      </c>
    </row>
    <row r="3426" spans="1:11" ht="16" x14ac:dyDescent="0.2">
      <c r="A3426" s="1" t="s">
        <v>216</v>
      </c>
      <c r="B3426" t="str">
        <f>LEFT(Table13[[#This Row],[Input]],1)</f>
        <v>R</v>
      </c>
      <c r="C3426">
        <f>_xlfn.LET(_xlpm.steps,SUBSTITUTE(Table13[[#This Row],[Input]],Table13[[#This Row],[Direction]],""),VALUE(IF(LEN(_xlpm.steps)&gt;2,RIGHT(_xlpm.steps,2),_xlpm.steps)))</f>
        <v>54</v>
      </c>
      <c r="D3426">
        <f>_xlfn.LET(_xlpm.steps,SUBSTITUTE(Table13[[#This Row],[Input]],Table13[[#This Row],[Direction]],""),VALUE(IF(LEN(_xlpm.steps)&gt;2,LEFT(_xlpm.steps,LEN(_xlpm.steps)-2),0)))</f>
        <v>0</v>
      </c>
      <c r="E3426">
        <f>_xlfn.LET(_xlpm.dir,Table13[[#This Row],[Direction]],
IF(_xlpm.dir="L",
    IF(G3425-Table13[[#This Row],[Steps]]&lt;0,100+(G3425-Table13[[#This Row],[Steps]]),G3425-Table13[[#This Row],[Steps]]),
))</f>
        <v>0</v>
      </c>
      <c r="F3426">
        <f>_xlfn.LET(_xlpm.dir,Table13[[#This Row],[Direction]],
IF(_xlpm.dir="R",
    IF(G3425+Table13[[#This Row],[Steps]]&gt;99,(G3425+Table13[[#This Row],[Steps]])-100,G3425+Table13[[#This Row],[Steps]]),
))</f>
        <v>54</v>
      </c>
      <c r="G3426">
        <f>IF(Table13[[#This Row],[New Pos L]]&lt;&gt;0,Table13[[#This Row],[New Pos L]],Table13[[#This Row],[New Pos R]])</f>
        <v>54</v>
      </c>
      <c r="H3426">
        <f>IF(AND(Table13[[#This Row],[Direction]]="L",Table13[[#This Row],[Steps]]&gt;G3425,G3425&lt;&gt;0),1,0)</f>
        <v>0</v>
      </c>
      <c r="I3426">
        <f>IF(AND(Table13[[#This Row],[Direction]]="R",(G3425+Table13[[#This Row],[Steps]])&gt;100),1,0)</f>
        <v>0</v>
      </c>
      <c r="J3426">
        <f>IF(Table13[[#This Row],[POS]]=0,1,0)</f>
        <v>0</v>
      </c>
      <c r="K3426">
        <f>SUM(Table13[[#This Row],[prefix]],Table13[[#This Row],[Past zero L]],Table13[[#This Row],[Past Zero R]],Table13[[#This Row],[Is Zero]])</f>
        <v>0</v>
      </c>
    </row>
    <row r="3427" spans="1:11" ht="16" x14ac:dyDescent="0.2">
      <c r="A3427" s="1" t="s">
        <v>167</v>
      </c>
      <c r="B3427" t="str">
        <f>LEFT(Table13[[#This Row],[Input]],1)</f>
        <v>L</v>
      </c>
      <c r="C3427">
        <f>_xlfn.LET(_xlpm.steps,SUBSTITUTE(Table13[[#This Row],[Input]],Table13[[#This Row],[Direction]],""),VALUE(IF(LEN(_xlpm.steps)&gt;2,RIGHT(_xlpm.steps,2),_xlpm.steps)))</f>
        <v>59</v>
      </c>
      <c r="D3427">
        <f>_xlfn.LET(_xlpm.steps,SUBSTITUTE(Table13[[#This Row],[Input]],Table13[[#This Row],[Direction]],""),VALUE(IF(LEN(_xlpm.steps)&gt;2,LEFT(_xlpm.steps,LEN(_xlpm.steps)-2),0)))</f>
        <v>0</v>
      </c>
      <c r="E3427">
        <f>_xlfn.LET(_xlpm.dir,Table13[[#This Row],[Direction]],
IF(_xlpm.dir="L",
    IF(G3426-Table13[[#This Row],[Steps]]&lt;0,100+(G3426-Table13[[#This Row],[Steps]]),G3426-Table13[[#This Row],[Steps]]),
))</f>
        <v>95</v>
      </c>
      <c r="F3427">
        <f>_xlfn.LET(_xlpm.dir,Table13[[#This Row],[Direction]],
IF(_xlpm.dir="R",
    IF(G3426+Table13[[#This Row],[Steps]]&gt;99,(G3426+Table13[[#This Row],[Steps]])-100,G3426+Table13[[#This Row],[Steps]]),
))</f>
        <v>0</v>
      </c>
      <c r="G3427">
        <f>IF(Table13[[#This Row],[New Pos L]]&lt;&gt;0,Table13[[#This Row],[New Pos L]],Table13[[#This Row],[New Pos R]])</f>
        <v>95</v>
      </c>
      <c r="H3427">
        <f>IF(AND(Table13[[#This Row],[Direction]]="L",Table13[[#This Row],[Steps]]&gt;G3426,G3426&lt;&gt;0),1,0)</f>
        <v>1</v>
      </c>
      <c r="I3427">
        <f>IF(AND(Table13[[#This Row],[Direction]]="R",(G3426+Table13[[#This Row],[Steps]])&gt;100),1,0)</f>
        <v>0</v>
      </c>
      <c r="J3427">
        <f>IF(Table13[[#This Row],[POS]]=0,1,0)</f>
        <v>0</v>
      </c>
      <c r="K3427">
        <f>SUM(Table13[[#This Row],[prefix]],Table13[[#This Row],[Past zero L]],Table13[[#This Row],[Past Zero R]],Table13[[#This Row],[Is Zero]])</f>
        <v>1</v>
      </c>
    </row>
    <row r="3428" spans="1:11" ht="16" x14ac:dyDescent="0.2">
      <c r="A3428" s="1" t="s">
        <v>134</v>
      </c>
      <c r="B3428" t="str">
        <f>LEFT(Table13[[#This Row],[Input]],1)</f>
        <v>L</v>
      </c>
      <c r="C3428">
        <f>_xlfn.LET(_xlpm.steps,SUBSTITUTE(Table13[[#This Row],[Input]],Table13[[#This Row],[Direction]],""),VALUE(IF(LEN(_xlpm.steps)&gt;2,RIGHT(_xlpm.steps,2),_xlpm.steps)))</f>
        <v>95</v>
      </c>
      <c r="D3428">
        <f>_xlfn.LET(_xlpm.steps,SUBSTITUTE(Table13[[#This Row],[Input]],Table13[[#This Row],[Direction]],""),VALUE(IF(LEN(_xlpm.steps)&gt;2,LEFT(_xlpm.steps,LEN(_xlpm.steps)-2),0)))</f>
        <v>0</v>
      </c>
      <c r="E3428">
        <f>_xlfn.LET(_xlpm.dir,Table13[[#This Row],[Direction]],
IF(_xlpm.dir="L",
    IF(G3427-Table13[[#This Row],[Steps]]&lt;0,100+(G3427-Table13[[#This Row],[Steps]]),G3427-Table13[[#This Row],[Steps]]),
))</f>
        <v>0</v>
      </c>
      <c r="F3428">
        <f>_xlfn.LET(_xlpm.dir,Table13[[#This Row],[Direction]],
IF(_xlpm.dir="R",
    IF(G3427+Table13[[#This Row],[Steps]]&gt;99,(G3427+Table13[[#This Row],[Steps]])-100,G3427+Table13[[#This Row],[Steps]]),
))</f>
        <v>0</v>
      </c>
      <c r="G3428">
        <f>IF(Table13[[#This Row],[New Pos L]]&lt;&gt;0,Table13[[#This Row],[New Pos L]],Table13[[#This Row],[New Pos R]])</f>
        <v>0</v>
      </c>
      <c r="H3428">
        <f>IF(AND(Table13[[#This Row],[Direction]]="L",Table13[[#This Row],[Steps]]&gt;G3427,G3427&lt;&gt;0),1,0)</f>
        <v>0</v>
      </c>
      <c r="I3428">
        <f>IF(AND(Table13[[#This Row],[Direction]]="R",(G3427+Table13[[#This Row],[Steps]])&gt;100),1,0)</f>
        <v>0</v>
      </c>
      <c r="J3428">
        <f>IF(Table13[[#This Row],[POS]]=0,1,0)</f>
        <v>1</v>
      </c>
      <c r="K3428">
        <f>SUM(Table13[[#This Row],[prefix]],Table13[[#This Row],[Past zero L]],Table13[[#This Row],[Past Zero R]],Table13[[#This Row],[Is Zero]])</f>
        <v>1</v>
      </c>
    </row>
    <row r="3429" spans="1:11" ht="16" x14ac:dyDescent="0.2">
      <c r="A3429" s="1" t="s">
        <v>319</v>
      </c>
      <c r="B3429" t="str">
        <f>LEFT(Table13[[#This Row],[Input]],1)</f>
        <v>L</v>
      </c>
      <c r="C3429">
        <f>_xlfn.LET(_xlpm.steps,SUBSTITUTE(Table13[[#This Row],[Input]],Table13[[#This Row],[Direction]],""),VALUE(IF(LEN(_xlpm.steps)&gt;2,RIGHT(_xlpm.steps,2),_xlpm.steps)))</f>
        <v>79</v>
      </c>
      <c r="D3429">
        <f>_xlfn.LET(_xlpm.steps,SUBSTITUTE(Table13[[#This Row],[Input]],Table13[[#This Row],[Direction]],""),VALUE(IF(LEN(_xlpm.steps)&gt;2,LEFT(_xlpm.steps,LEN(_xlpm.steps)-2),0)))</f>
        <v>0</v>
      </c>
      <c r="E3429">
        <f>_xlfn.LET(_xlpm.dir,Table13[[#This Row],[Direction]],
IF(_xlpm.dir="L",
    IF(G3428-Table13[[#This Row],[Steps]]&lt;0,100+(G3428-Table13[[#This Row],[Steps]]),G3428-Table13[[#This Row],[Steps]]),
))</f>
        <v>21</v>
      </c>
      <c r="F3429">
        <f>_xlfn.LET(_xlpm.dir,Table13[[#This Row],[Direction]],
IF(_xlpm.dir="R",
    IF(G3428+Table13[[#This Row],[Steps]]&gt;99,(G3428+Table13[[#This Row],[Steps]])-100,G3428+Table13[[#This Row],[Steps]]),
))</f>
        <v>0</v>
      </c>
      <c r="G3429">
        <f>IF(Table13[[#This Row],[New Pos L]]&lt;&gt;0,Table13[[#This Row],[New Pos L]],Table13[[#This Row],[New Pos R]])</f>
        <v>21</v>
      </c>
      <c r="H3429">
        <f>IF(AND(Table13[[#This Row],[Direction]]="L",Table13[[#This Row],[Steps]]&gt;G3428,G3428&lt;&gt;0),1,0)</f>
        <v>0</v>
      </c>
      <c r="I3429">
        <f>IF(AND(Table13[[#This Row],[Direction]]="R",(G3428+Table13[[#This Row],[Steps]])&gt;100),1,0)</f>
        <v>0</v>
      </c>
      <c r="J3429">
        <f>IF(Table13[[#This Row],[POS]]=0,1,0)</f>
        <v>0</v>
      </c>
      <c r="K3429">
        <f>SUM(Table13[[#This Row],[prefix]],Table13[[#This Row],[Past zero L]],Table13[[#This Row],[Past Zero R]],Table13[[#This Row],[Is Zero]])</f>
        <v>0</v>
      </c>
    </row>
    <row r="3430" spans="1:11" ht="16" x14ac:dyDescent="0.2">
      <c r="A3430" s="1" t="s">
        <v>264</v>
      </c>
      <c r="B3430" t="str">
        <f>LEFT(Table13[[#This Row],[Input]],1)</f>
        <v>L</v>
      </c>
      <c r="C3430">
        <f>_xlfn.LET(_xlpm.steps,SUBSTITUTE(Table13[[#This Row],[Input]],Table13[[#This Row],[Direction]],""),VALUE(IF(LEN(_xlpm.steps)&gt;2,RIGHT(_xlpm.steps,2),_xlpm.steps)))</f>
        <v>21</v>
      </c>
      <c r="D3430">
        <f>_xlfn.LET(_xlpm.steps,SUBSTITUTE(Table13[[#This Row],[Input]],Table13[[#This Row],[Direction]],""),VALUE(IF(LEN(_xlpm.steps)&gt;2,LEFT(_xlpm.steps,LEN(_xlpm.steps)-2),0)))</f>
        <v>0</v>
      </c>
      <c r="E3430">
        <f>_xlfn.LET(_xlpm.dir,Table13[[#This Row],[Direction]],
IF(_xlpm.dir="L",
    IF(G3429-Table13[[#This Row],[Steps]]&lt;0,100+(G3429-Table13[[#This Row],[Steps]]),G3429-Table13[[#This Row],[Steps]]),
))</f>
        <v>0</v>
      </c>
      <c r="F3430">
        <f>_xlfn.LET(_xlpm.dir,Table13[[#This Row],[Direction]],
IF(_xlpm.dir="R",
    IF(G3429+Table13[[#This Row],[Steps]]&gt;99,(G3429+Table13[[#This Row],[Steps]])-100,G3429+Table13[[#This Row],[Steps]]),
))</f>
        <v>0</v>
      </c>
      <c r="G3430">
        <f>IF(Table13[[#This Row],[New Pos L]]&lt;&gt;0,Table13[[#This Row],[New Pos L]],Table13[[#This Row],[New Pos R]])</f>
        <v>0</v>
      </c>
      <c r="H3430">
        <f>IF(AND(Table13[[#This Row],[Direction]]="L",Table13[[#This Row],[Steps]]&gt;G3429,G3429&lt;&gt;0),1,0)</f>
        <v>0</v>
      </c>
      <c r="I3430">
        <f>IF(AND(Table13[[#This Row],[Direction]]="R",(G3429+Table13[[#This Row],[Steps]])&gt;100),1,0)</f>
        <v>0</v>
      </c>
      <c r="J3430">
        <f>IF(Table13[[#This Row],[POS]]=0,1,0)</f>
        <v>1</v>
      </c>
      <c r="K3430">
        <f>SUM(Table13[[#This Row],[prefix]],Table13[[#This Row],[Past zero L]],Table13[[#This Row],[Past Zero R]],Table13[[#This Row],[Is Zero]])</f>
        <v>1</v>
      </c>
    </row>
    <row r="3431" spans="1:11" ht="16" x14ac:dyDescent="0.2">
      <c r="A3431" s="1" t="s">
        <v>84</v>
      </c>
      <c r="B3431" t="str">
        <f>LEFT(Table13[[#This Row],[Input]],1)</f>
        <v>R</v>
      </c>
      <c r="C3431">
        <f>_xlfn.LET(_xlpm.steps,SUBSTITUTE(Table13[[#This Row],[Input]],Table13[[#This Row],[Direction]],""),VALUE(IF(LEN(_xlpm.steps)&gt;2,RIGHT(_xlpm.steps,2),_xlpm.steps)))</f>
        <v>88</v>
      </c>
      <c r="D3431">
        <f>_xlfn.LET(_xlpm.steps,SUBSTITUTE(Table13[[#This Row],[Input]],Table13[[#This Row],[Direction]],""),VALUE(IF(LEN(_xlpm.steps)&gt;2,LEFT(_xlpm.steps,LEN(_xlpm.steps)-2),0)))</f>
        <v>0</v>
      </c>
      <c r="E3431">
        <f>_xlfn.LET(_xlpm.dir,Table13[[#This Row],[Direction]],
IF(_xlpm.dir="L",
    IF(G3430-Table13[[#This Row],[Steps]]&lt;0,100+(G3430-Table13[[#This Row],[Steps]]),G3430-Table13[[#This Row],[Steps]]),
))</f>
        <v>0</v>
      </c>
      <c r="F3431">
        <f>_xlfn.LET(_xlpm.dir,Table13[[#This Row],[Direction]],
IF(_xlpm.dir="R",
    IF(G3430+Table13[[#This Row],[Steps]]&gt;99,(G3430+Table13[[#This Row],[Steps]])-100,G3430+Table13[[#This Row],[Steps]]),
))</f>
        <v>88</v>
      </c>
      <c r="G3431">
        <f>IF(Table13[[#This Row],[New Pos L]]&lt;&gt;0,Table13[[#This Row],[New Pos L]],Table13[[#This Row],[New Pos R]])</f>
        <v>88</v>
      </c>
      <c r="H3431">
        <f>IF(AND(Table13[[#This Row],[Direction]]="L",Table13[[#This Row],[Steps]]&gt;G3430,G3430&lt;&gt;0),1,0)</f>
        <v>0</v>
      </c>
      <c r="I3431">
        <f>IF(AND(Table13[[#This Row],[Direction]]="R",(G3430+Table13[[#This Row],[Steps]])&gt;100),1,0)</f>
        <v>0</v>
      </c>
      <c r="J3431">
        <f>IF(Table13[[#This Row],[POS]]=0,1,0)</f>
        <v>0</v>
      </c>
      <c r="K3431">
        <f>SUM(Table13[[#This Row],[prefix]],Table13[[#This Row],[Past zero L]],Table13[[#This Row],[Past Zero R]],Table13[[#This Row],[Is Zero]])</f>
        <v>0</v>
      </c>
    </row>
    <row r="3432" spans="1:11" ht="16" x14ac:dyDescent="0.2">
      <c r="A3432" s="1" t="s">
        <v>295</v>
      </c>
      <c r="B3432" t="str">
        <f>LEFT(Table13[[#This Row],[Input]],1)</f>
        <v>L</v>
      </c>
      <c r="C3432">
        <f>_xlfn.LET(_xlpm.steps,SUBSTITUTE(Table13[[#This Row],[Input]],Table13[[#This Row],[Direction]],""),VALUE(IF(LEN(_xlpm.steps)&gt;2,RIGHT(_xlpm.steps,2),_xlpm.steps)))</f>
        <v>88</v>
      </c>
      <c r="D3432">
        <f>_xlfn.LET(_xlpm.steps,SUBSTITUTE(Table13[[#This Row],[Input]],Table13[[#This Row],[Direction]],""),VALUE(IF(LEN(_xlpm.steps)&gt;2,LEFT(_xlpm.steps,LEN(_xlpm.steps)-2),0)))</f>
        <v>0</v>
      </c>
      <c r="E3432">
        <f>_xlfn.LET(_xlpm.dir,Table13[[#This Row],[Direction]],
IF(_xlpm.dir="L",
    IF(G3431-Table13[[#This Row],[Steps]]&lt;0,100+(G3431-Table13[[#This Row],[Steps]]),G3431-Table13[[#This Row],[Steps]]),
))</f>
        <v>0</v>
      </c>
      <c r="F3432">
        <f>_xlfn.LET(_xlpm.dir,Table13[[#This Row],[Direction]],
IF(_xlpm.dir="R",
    IF(G3431+Table13[[#This Row],[Steps]]&gt;99,(G3431+Table13[[#This Row],[Steps]])-100,G3431+Table13[[#This Row],[Steps]]),
))</f>
        <v>0</v>
      </c>
      <c r="G3432">
        <f>IF(Table13[[#This Row],[New Pos L]]&lt;&gt;0,Table13[[#This Row],[New Pos L]],Table13[[#This Row],[New Pos R]])</f>
        <v>0</v>
      </c>
      <c r="H3432">
        <f>IF(AND(Table13[[#This Row],[Direction]]="L",Table13[[#This Row],[Steps]]&gt;G3431,G3431&lt;&gt;0),1,0)</f>
        <v>0</v>
      </c>
      <c r="I3432">
        <f>IF(AND(Table13[[#This Row],[Direction]]="R",(G3431+Table13[[#This Row],[Steps]])&gt;100),1,0)</f>
        <v>0</v>
      </c>
      <c r="J3432">
        <f>IF(Table13[[#This Row],[POS]]=0,1,0)</f>
        <v>1</v>
      </c>
      <c r="K3432">
        <f>SUM(Table13[[#This Row],[prefix]],Table13[[#This Row],[Past zero L]],Table13[[#This Row],[Past Zero R]],Table13[[#This Row],[Is Zero]])</f>
        <v>1</v>
      </c>
    </row>
    <row r="3433" spans="1:11" ht="16" x14ac:dyDescent="0.2">
      <c r="A3433" s="1" t="s">
        <v>0</v>
      </c>
      <c r="B3433" t="str">
        <f>LEFT(Table13[[#This Row],[Input]],1)</f>
        <v>L</v>
      </c>
      <c r="C3433">
        <f>_xlfn.LET(_xlpm.steps,SUBSTITUTE(Table13[[#This Row],[Input]],Table13[[#This Row],[Direction]],""),VALUE(IF(LEN(_xlpm.steps)&gt;2,RIGHT(_xlpm.steps,2),_xlpm.steps)))</f>
        <v>44</v>
      </c>
      <c r="D3433">
        <f>_xlfn.LET(_xlpm.steps,SUBSTITUTE(Table13[[#This Row],[Input]],Table13[[#This Row],[Direction]],""),VALUE(IF(LEN(_xlpm.steps)&gt;2,LEFT(_xlpm.steps,LEN(_xlpm.steps)-2),0)))</f>
        <v>0</v>
      </c>
      <c r="E3433">
        <f>_xlfn.LET(_xlpm.dir,Table13[[#This Row],[Direction]],
IF(_xlpm.dir="L",
    IF(G3432-Table13[[#This Row],[Steps]]&lt;0,100+(G3432-Table13[[#This Row],[Steps]]),G3432-Table13[[#This Row],[Steps]]),
))</f>
        <v>56</v>
      </c>
      <c r="F3433">
        <f>_xlfn.LET(_xlpm.dir,Table13[[#This Row],[Direction]],
IF(_xlpm.dir="R",
    IF(G3432+Table13[[#This Row],[Steps]]&gt;99,(G3432+Table13[[#This Row],[Steps]])-100,G3432+Table13[[#This Row],[Steps]]),
))</f>
        <v>0</v>
      </c>
      <c r="G3433">
        <f>IF(Table13[[#This Row],[New Pos L]]&lt;&gt;0,Table13[[#This Row],[New Pos L]],Table13[[#This Row],[New Pos R]])</f>
        <v>56</v>
      </c>
      <c r="H3433">
        <f>IF(AND(Table13[[#This Row],[Direction]]="L",Table13[[#This Row],[Steps]]&gt;G3432,G3432&lt;&gt;0),1,0)</f>
        <v>0</v>
      </c>
      <c r="I3433">
        <f>IF(AND(Table13[[#This Row],[Direction]]="R",(G3432+Table13[[#This Row],[Steps]])&gt;100),1,0)</f>
        <v>0</v>
      </c>
      <c r="J3433">
        <f>IF(Table13[[#This Row],[POS]]=0,1,0)</f>
        <v>0</v>
      </c>
      <c r="K3433">
        <f>SUM(Table13[[#This Row],[prefix]],Table13[[#This Row],[Past zero L]],Table13[[#This Row],[Past Zero R]],Table13[[#This Row],[Is Zero]])</f>
        <v>0</v>
      </c>
    </row>
    <row r="3434" spans="1:11" ht="16" x14ac:dyDescent="0.2">
      <c r="A3434" s="1" t="s">
        <v>8</v>
      </c>
      <c r="B3434" t="str">
        <f>LEFT(Table13[[#This Row],[Input]],1)</f>
        <v>R</v>
      </c>
      <c r="C3434">
        <f>_xlfn.LET(_xlpm.steps,SUBSTITUTE(Table13[[#This Row],[Input]],Table13[[#This Row],[Direction]],""),VALUE(IF(LEN(_xlpm.steps)&gt;2,RIGHT(_xlpm.steps,2),_xlpm.steps)))</f>
        <v>18</v>
      </c>
      <c r="D3434">
        <f>_xlfn.LET(_xlpm.steps,SUBSTITUTE(Table13[[#This Row],[Input]],Table13[[#This Row],[Direction]],""),VALUE(IF(LEN(_xlpm.steps)&gt;2,LEFT(_xlpm.steps,LEN(_xlpm.steps)-2),0)))</f>
        <v>0</v>
      </c>
      <c r="E3434">
        <f>_xlfn.LET(_xlpm.dir,Table13[[#This Row],[Direction]],
IF(_xlpm.dir="L",
    IF(G3433-Table13[[#This Row],[Steps]]&lt;0,100+(G3433-Table13[[#This Row],[Steps]]),G3433-Table13[[#This Row],[Steps]]),
))</f>
        <v>0</v>
      </c>
      <c r="F3434">
        <f>_xlfn.LET(_xlpm.dir,Table13[[#This Row],[Direction]],
IF(_xlpm.dir="R",
    IF(G3433+Table13[[#This Row],[Steps]]&gt;99,(G3433+Table13[[#This Row],[Steps]])-100,G3433+Table13[[#This Row],[Steps]]),
))</f>
        <v>74</v>
      </c>
      <c r="G3434">
        <f>IF(Table13[[#This Row],[New Pos L]]&lt;&gt;0,Table13[[#This Row],[New Pos L]],Table13[[#This Row],[New Pos R]])</f>
        <v>74</v>
      </c>
      <c r="H3434">
        <f>IF(AND(Table13[[#This Row],[Direction]]="L",Table13[[#This Row],[Steps]]&gt;G3433,G3433&lt;&gt;0),1,0)</f>
        <v>0</v>
      </c>
      <c r="I3434">
        <f>IF(AND(Table13[[#This Row],[Direction]]="R",(G3433+Table13[[#This Row],[Steps]])&gt;100),1,0)</f>
        <v>0</v>
      </c>
      <c r="J3434">
        <f>IF(Table13[[#This Row],[POS]]=0,1,0)</f>
        <v>0</v>
      </c>
      <c r="K3434">
        <f>SUM(Table13[[#This Row],[prefix]],Table13[[#This Row],[Past zero L]],Table13[[#This Row],[Past Zero R]],Table13[[#This Row],[Is Zero]])</f>
        <v>0</v>
      </c>
    </row>
    <row r="3435" spans="1:11" ht="16" x14ac:dyDescent="0.2">
      <c r="A3435" s="1" t="s">
        <v>175</v>
      </c>
      <c r="B3435" t="str">
        <f>LEFT(Table13[[#This Row],[Input]],1)</f>
        <v>L</v>
      </c>
      <c r="C3435">
        <f>_xlfn.LET(_xlpm.steps,SUBSTITUTE(Table13[[#This Row],[Input]],Table13[[#This Row],[Direction]],""),VALUE(IF(LEN(_xlpm.steps)&gt;2,RIGHT(_xlpm.steps,2),_xlpm.steps)))</f>
        <v>1</v>
      </c>
      <c r="D3435">
        <f>_xlfn.LET(_xlpm.steps,SUBSTITUTE(Table13[[#This Row],[Input]],Table13[[#This Row],[Direction]],""),VALUE(IF(LEN(_xlpm.steps)&gt;2,LEFT(_xlpm.steps,LEN(_xlpm.steps)-2),0)))</f>
        <v>0</v>
      </c>
      <c r="E3435">
        <f>_xlfn.LET(_xlpm.dir,Table13[[#This Row],[Direction]],
IF(_xlpm.dir="L",
    IF(G3434-Table13[[#This Row],[Steps]]&lt;0,100+(G3434-Table13[[#This Row],[Steps]]),G3434-Table13[[#This Row],[Steps]]),
))</f>
        <v>73</v>
      </c>
      <c r="F3435">
        <f>_xlfn.LET(_xlpm.dir,Table13[[#This Row],[Direction]],
IF(_xlpm.dir="R",
    IF(G3434+Table13[[#This Row],[Steps]]&gt;99,(G3434+Table13[[#This Row],[Steps]])-100,G3434+Table13[[#This Row],[Steps]]),
))</f>
        <v>0</v>
      </c>
      <c r="G3435">
        <f>IF(Table13[[#This Row],[New Pos L]]&lt;&gt;0,Table13[[#This Row],[New Pos L]],Table13[[#This Row],[New Pos R]])</f>
        <v>73</v>
      </c>
      <c r="H3435">
        <f>IF(AND(Table13[[#This Row],[Direction]]="L",Table13[[#This Row],[Steps]]&gt;G3434,G3434&lt;&gt;0),1,0)</f>
        <v>0</v>
      </c>
      <c r="I3435">
        <f>IF(AND(Table13[[#This Row],[Direction]]="R",(G3434+Table13[[#This Row],[Steps]])&gt;100),1,0)</f>
        <v>0</v>
      </c>
      <c r="J3435">
        <f>IF(Table13[[#This Row],[POS]]=0,1,0)</f>
        <v>0</v>
      </c>
      <c r="K3435">
        <f>SUM(Table13[[#This Row],[prefix]],Table13[[#This Row],[Past zero L]],Table13[[#This Row],[Past Zero R]],Table13[[#This Row],[Is Zero]])</f>
        <v>0</v>
      </c>
    </row>
    <row r="3436" spans="1:11" ht="16" x14ac:dyDescent="0.2">
      <c r="A3436" s="1" t="s">
        <v>69</v>
      </c>
      <c r="B3436" t="str">
        <f>LEFT(Table13[[#This Row],[Input]],1)</f>
        <v>R</v>
      </c>
      <c r="C3436">
        <f>_xlfn.LET(_xlpm.steps,SUBSTITUTE(Table13[[#This Row],[Input]],Table13[[#This Row],[Direction]],""),VALUE(IF(LEN(_xlpm.steps)&gt;2,RIGHT(_xlpm.steps,2),_xlpm.steps)))</f>
        <v>27</v>
      </c>
      <c r="D3436">
        <f>_xlfn.LET(_xlpm.steps,SUBSTITUTE(Table13[[#This Row],[Input]],Table13[[#This Row],[Direction]],""),VALUE(IF(LEN(_xlpm.steps)&gt;2,LEFT(_xlpm.steps,LEN(_xlpm.steps)-2),0)))</f>
        <v>0</v>
      </c>
      <c r="E3436">
        <f>_xlfn.LET(_xlpm.dir,Table13[[#This Row],[Direction]],
IF(_xlpm.dir="L",
    IF(G3435-Table13[[#This Row],[Steps]]&lt;0,100+(G3435-Table13[[#This Row],[Steps]]),G3435-Table13[[#This Row],[Steps]]),
))</f>
        <v>0</v>
      </c>
      <c r="F3436">
        <f>_xlfn.LET(_xlpm.dir,Table13[[#This Row],[Direction]],
IF(_xlpm.dir="R",
    IF(G3435+Table13[[#This Row],[Steps]]&gt;99,(G3435+Table13[[#This Row],[Steps]])-100,G3435+Table13[[#This Row],[Steps]]),
))</f>
        <v>0</v>
      </c>
      <c r="G3436">
        <f>IF(Table13[[#This Row],[New Pos L]]&lt;&gt;0,Table13[[#This Row],[New Pos L]],Table13[[#This Row],[New Pos R]])</f>
        <v>0</v>
      </c>
      <c r="H3436">
        <f>IF(AND(Table13[[#This Row],[Direction]]="L",Table13[[#This Row],[Steps]]&gt;G3435,G3435&lt;&gt;0),1,0)</f>
        <v>0</v>
      </c>
      <c r="I3436">
        <f>IF(AND(Table13[[#This Row],[Direction]]="R",(G3435+Table13[[#This Row],[Steps]])&gt;100),1,0)</f>
        <v>0</v>
      </c>
      <c r="J3436">
        <f>IF(Table13[[#This Row],[POS]]=0,1,0)</f>
        <v>1</v>
      </c>
      <c r="K3436">
        <f>SUM(Table13[[#This Row],[prefix]],Table13[[#This Row],[Past zero L]],Table13[[#This Row],[Past Zero R]],Table13[[#This Row],[Is Zero]])</f>
        <v>1</v>
      </c>
    </row>
    <row r="3437" spans="1:11" ht="16" x14ac:dyDescent="0.2">
      <c r="A3437" s="1" t="s">
        <v>743</v>
      </c>
      <c r="B3437" t="str">
        <f>LEFT(Table13[[#This Row],[Input]],1)</f>
        <v>R</v>
      </c>
      <c r="C3437">
        <f>_xlfn.LET(_xlpm.steps,SUBSTITUTE(Table13[[#This Row],[Input]],Table13[[#This Row],[Direction]],""),VALUE(IF(LEN(_xlpm.steps)&gt;2,RIGHT(_xlpm.steps,2),_xlpm.steps)))</f>
        <v>34</v>
      </c>
      <c r="D3437">
        <f>_xlfn.LET(_xlpm.steps,SUBSTITUTE(Table13[[#This Row],[Input]],Table13[[#This Row],[Direction]],""),VALUE(IF(LEN(_xlpm.steps)&gt;2,LEFT(_xlpm.steps,LEN(_xlpm.steps)-2),0)))</f>
        <v>9</v>
      </c>
      <c r="E3437">
        <f>_xlfn.LET(_xlpm.dir,Table13[[#This Row],[Direction]],
IF(_xlpm.dir="L",
    IF(G3436-Table13[[#This Row],[Steps]]&lt;0,100+(G3436-Table13[[#This Row],[Steps]]),G3436-Table13[[#This Row],[Steps]]),
))</f>
        <v>0</v>
      </c>
      <c r="F3437">
        <f>_xlfn.LET(_xlpm.dir,Table13[[#This Row],[Direction]],
IF(_xlpm.dir="R",
    IF(G3436+Table13[[#This Row],[Steps]]&gt;99,(G3436+Table13[[#This Row],[Steps]])-100,G3436+Table13[[#This Row],[Steps]]),
))</f>
        <v>34</v>
      </c>
      <c r="G3437">
        <f>IF(Table13[[#This Row],[New Pos L]]&lt;&gt;0,Table13[[#This Row],[New Pos L]],Table13[[#This Row],[New Pos R]])</f>
        <v>34</v>
      </c>
      <c r="H3437">
        <f>IF(AND(Table13[[#This Row],[Direction]]="L",Table13[[#This Row],[Steps]]&gt;G3436,G3436&lt;&gt;0),1,0)</f>
        <v>0</v>
      </c>
      <c r="I3437">
        <f>IF(AND(Table13[[#This Row],[Direction]]="R",(G3436+Table13[[#This Row],[Steps]])&gt;100),1,0)</f>
        <v>0</v>
      </c>
      <c r="J3437">
        <f>IF(Table13[[#This Row],[POS]]=0,1,0)</f>
        <v>0</v>
      </c>
      <c r="K3437">
        <f>SUM(Table13[[#This Row],[prefix]],Table13[[#This Row],[Past zero L]],Table13[[#This Row],[Past Zero R]],Table13[[#This Row],[Is Zero]])</f>
        <v>9</v>
      </c>
    </row>
    <row r="3438" spans="1:11" ht="16" x14ac:dyDescent="0.2">
      <c r="A3438" s="1" t="s">
        <v>158</v>
      </c>
      <c r="B3438" t="str">
        <f>LEFT(Table13[[#This Row],[Input]],1)</f>
        <v>L</v>
      </c>
      <c r="C3438">
        <f>_xlfn.LET(_xlpm.steps,SUBSTITUTE(Table13[[#This Row],[Input]],Table13[[#This Row],[Direction]],""),VALUE(IF(LEN(_xlpm.steps)&gt;2,RIGHT(_xlpm.steps,2),_xlpm.steps)))</f>
        <v>24</v>
      </c>
      <c r="D3438">
        <f>_xlfn.LET(_xlpm.steps,SUBSTITUTE(Table13[[#This Row],[Input]],Table13[[#This Row],[Direction]],""),VALUE(IF(LEN(_xlpm.steps)&gt;2,LEFT(_xlpm.steps,LEN(_xlpm.steps)-2),0)))</f>
        <v>0</v>
      </c>
      <c r="E3438">
        <f>_xlfn.LET(_xlpm.dir,Table13[[#This Row],[Direction]],
IF(_xlpm.dir="L",
    IF(G3437-Table13[[#This Row],[Steps]]&lt;0,100+(G3437-Table13[[#This Row],[Steps]]),G3437-Table13[[#This Row],[Steps]]),
))</f>
        <v>10</v>
      </c>
      <c r="F3438">
        <f>_xlfn.LET(_xlpm.dir,Table13[[#This Row],[Direction]],
IF(_xlpm.dir="R",
    IF(G3437+Table13[[#This Row],[Steps]]&gt;99,(G3437+Table13[[#This Row],[Steps]])-100,G3437+Table13[[#This Row],[Steps]]),
))</f>
        <v>0</v>
      </c>
      <c r="G3438">
        <f>IF(Table13[[#This Row],[New Pos L]]&lt;&gt;0,Table13[[#This Row],[New Pos L]],Table13[[#This Row],[New Pos R]])</f>
        <v>10</v>
      </c>
      <c r="H3438">
        <f>IF(AND(Table13[[#This Row],[Direction]]="L",Table13[[#This Row],[Steps]]&gt;G3437,G3437&lt;&gt;0),1,0)</f>
        <v>0</v>
      </c>
      <c r="I3438">
        <f>IF(AND(Table13[[#This Row],[Direction]]="R",(G3437+Table13[[#This Row],[Steps]])&gt;100),1,0)</f>
        <v>0</v>
      </c>
      <c r="J3438">
        <f>IF(Table13[[#This Row],[POS]]=0,1,0)</f>
        <v>0</v>
      </c>
      <c r="K3438">
        <f>SUM(Table13[[#This Row],[prefix]],Table13[[#This Row],[Past zero L]],Table13[[#This Row],[Past Zero R]],Table13[[#This Row],[Is Zero]])</f>
        <v>0</v>
      </c>
    </row>
    <row r="3439" spans="1:11" ht="16" x14ac:dyDescent="0.2">
      <c r="A3439" s="1" t="s">
        <v>288</v>
      </c>
      <c r="B3439" t="str">
        <f>LEFT(Table13[[#This Row],[Input]],1)</f>
        <v>R</v>
      </c>
      <c r="C3439">
        <f>_xlfn.LET(_xlpm.steps,SUBSTITUTE(Table13[[#This Row],[Input]],Table13[[#This Row],[Direction]],""),VALUE(IF(LEN(_xlpm.steps)&gt;2,RIGHT(_xlpm.steps,2),_xlpm.steps)))</f>
        <v>25</v>
      </c>
      <c r="D3439">
        <f>_xlfn.LET(_xlpm.steps,SUBSTITUTE(Table13[[#This Row],[Input]],Table13[[#This Row],[Direction]],""),VALUE(IF(LEN(_xlpm.steps)&gt;2,LEFT(_xlpm.steps,LEN(_xlpm.steps)-2),0)))</f>
        <v>0</v>
      </c>
      <c r="E3439">
        <f>_xlfn.LET(_xlpm.dir,Table13[[#This Row],[Direction]],
IF(_xlpm.dir="L",
    IF(G3438-Table13[[#This Row],[Steps]]&lt;0,100+(G3438-Table13[[#This Row],[Steps]]),G3438-Table13[[#This Row],[Steps]]),
))</f>
        <v>0</v>
      </c>
      <c r="F3439">
        <f>_xlfn.LET(_xlpm.dir,Table13[[#This Row],[Direction]],
IF(_xlpm.dir="R",
    IF(G3438+Table13[[#This Row],[Steps]]&gt;99,(G3438+Table13[[#This Row],[Steps]])-100,G3438+Table13[[#This Row],[Steps]]),
))</f>
        <v>35</v>
      </c>
      <c r="G3439">
        <f>IF(Table13[[#This Row],[New Pos L]]&lt;&gt;0,Table13[[#This Row],[New Pos L]],Table13[[#This Row],[New Pos R]])</f>
        <v>35</v>
      </c>
      <c r="H3439">
        <f>IF(AND(Table13[[#This Row],[Direction]]="L",Table13[[#This Row],[Steps]]&gt;G3438,G3438&lt;&gt;0),1,0)</f>
        <v>0</v>
      </c>
      <c r="I3439">
        <f>IF(AND(Table13[[#This Row],[Direction]]="R",(G3438+Table13[[#This Row],[Steps]])&gt;100),1,0)</f>
        <v>0</v>
      </c>
      <c r="J3439">
        <f>IF(Table13[[#This Row],[POS]]=0,1,0)</f>
        <v>0</v>
      </c>
      <c r="K3439">
        <f>SUM(Table13[[#This Row],[prefix]],Table13[[#This Row],[Past zero L]],Table13[[#This Row],[Past Zero R]],Table13[[#This Row],[Is Zero]])</f>
        <v>0</v>
      </c>
    </row>
    <row r="3440" spans="1:11" ht="16" x14ac:dyDescent="0.2">
      <c r="A3440" s="1" t="s">
        <v>10</v>
      </c>
      <c r="B3440" t="str">
        <f>LEFT(Table13[[#This Row],[Input]],1)</f>
        <v>L</v>
      </c>
      <c r="C3440">
        <f>_xlfn.LET(_xlpm.steps,SUBSTITUTE(Table13[[#This Row],[Input]],Table13[[#This Row],[Direction]],""),VALUE(IF(LEN(_xlpm.steps)&gt;2,RIGHT(_xlpm.steps,2),_xlpm.steps)))</f>
        <v>35</v>
      </c>
      <c r="D3440">
        <f>_xlfn.LET(_xlpm.steps,SUBSTITUTE(Table13[[#This Row],[Input]],Table13[[#This Row],[Direction]],""),VALUE(IF(LEN(_xlpm.steps)&gt;2,LEFT(_xlpm.steps,LEN(_xlpm.steps)-2),0)))</f>
        <v>0</v>
      </c>
      <c r="E3440">
        <f>_xlfn.LET(_xlpm.dir,Table13[[#This Row],[Direction]],
IF(_xlpm.dir="L",
    IF(G3439-Table13[[#This Row],[Steps]]&lt;0,100+(G3439-Table13[[#This Row],[Steps]]),G3439-Table13[[#This Row],[Steps]]),
))</f>
        <v>0</v>
      </c>
      <c r="F3440">
        <f>_xlfn.LET(_xlpm.dir,Table13[[#This Row],[Direction]],
IF(_xlpm.dir="R",
    IF(G3439+Table13[[#This Row],[Steps]]&gt;99,(G3439+Table13[[#This Row],[Steps]])-100,G3439+Table13[[#This Row],[Steps]]),
))</f>
        <v>0</v>
      </c>
      <c r="G3440">
        <f>IF(Table13[[#This Row],[New Pos L]]&lt;&gt;0,Table13[[#This Row],[New Pos L]],Table13[[#This Row],[New Pos R]])</f>
        <v>0</v>
      </c>
      <c r="H3440">
        <f>IF(AND(Table13[[#This Row],[Direction]]="L",Table13[[#This Row],[Steps]]&gt;G3439,G3439&lt;&gt;0),1,0)</f>
        <v>0</v>
      </c>
      <c r="I3440">
        <f>IF(AND(Table13[[#This Row],[Direction]]="R",(G3439+Table13[[#This Row],[Steps]])&gt;100),1,0)</f>
        <v>0</v>
      </c>
      <c r="J3440">
        <f>IF(Table13[[#This Row],[POS]]=0,1,0)</f>
        <v>1</v>
      </c>
      <c r="K3440">
        <f>SUM(Table13[[#This Row],[prefix]],Table13[[#This Row],[Past zero L]],Table13[[#This Row],[Past Zero R]],Table13[[#This Row],[Is Zero]])</f>
        <v>1</v>
      </c>
    </row>
    <row r="3441" spans="1:11" ht="16" x14ac:dyDescent="0.2">
      <c r="A3441" s="1" t="s">
        <v>10</v>
      </c>
      <c r="B3441" t="str">
        <f>LEFT(Table13[[#This Row],[Input]],1)</f>
        <v>L</v>
      </c>
      <c r="C3441">
        <f>_xlfn.LET(_xlpm.steps,SUBSTITUTE(Table13[[#This Row],[Input]],Table13[[#This Row],[Direction]],""),VALUE(IF(LEN(_xlpm.steps)&gt;2,RIGHT(_xlpm.steps,2),_xlpm.steps)))</f>
        <v>35</v>
      </c>
      <c r="D3441">
        <f>_xlfn.LET(_xlpm.steps,SUBSTITUTE(Table13[[#This Row],[Input]],Table13[[#This Row],[Direction]],""),VALUE(IF(LEN(_xlpm.steps)&gt;2,LEFT(_xlpm.steps,LEN(_xlpm.steps)-2),0)))</f>
        <v>0</v>
      </c>
      <c r="E3441">
        <f>_xlfn.LET(_xlpm.dir,Table13[[#This Row],[Direction]],
IF(_xlpm.dir="L",
    IF(G3440-Table13[[#This Row],[Steps]]&lt;0,100+(G3440-Table13[[#This Row],[Steps]]),G3440-Table13[[#This Row],[Steps]]),
))</f>
        <v>65</v>
      </c>
      <c r="F3441">
        <f>_xlfn.LET(_xlpm.dir,Table13[[#This Row],[Direction]],
IF(_xlpm.dir="R",
    IF(G3440+Table13[[#This Row],[Steps]]&gt;99,(G3440+Table13[[#This Row],[Steps]])-100,G3440+Table13[[#This Row],[Steps]]),
))</f>
        <v>0</v>
      </c>
      <c r="G3441">
        <f>IF(Table13[[#This Row],[New Pos L]]&lt;&gt;0,Table13[[#This Row],[New Pos L]],Table13[[#This Row],[New Pos R]])</f>
        <v>65</v>
      </c>
      <c r="H3441">
        <f>IF(AND(Table13[[#This Row],[Direction]]="L",Table13[[#This Row],[Steps]]&gt;G3440,G3440&lt;&gt;0),1,0)</f>
        <v>0</v>
      </c>
      <c r="I3441">
        <f>IF(AND(Table13[[#This Row],[Direction]]="R",(G3440+Table13[[#This Row],[Steps]])&gt;100),1,0)</f>
        <v>0</v>
      </c>
      <c r="J3441">
        <f>IF(Table13[[#This Row],[POS]]=0,1,0)</f>
        <v>0</v>
      </c>
      <c r="K3441">
        <f>SUM(Table13[[#This Row],[prefix]],Table13[[#This Row],[Past zero L]],Table13[[#This Row],[Past Zero R]],Table13[[#This Row],[Is Zero]])</f>
        <v>0</v>
      </c>
    </row>
    <row r="3442" spans="1:11" ht="16" x14ac:dyDescent="0.2">
      <c r="A3442" s="1" t="s">
        <v>98</v>
      </c>
      <c r="B3442" t="str">
        <f>LEFT(Table13[[#This Row],[Input]],1)</f>
        <v>L</v>
      </c>
      <c r="C3442">
        <f>_xlfn.LET(_xlpm.steps,SUBSTITUTE(Table13[[#This Row],[Input]],Table13[[#This Row],[Direction]],""),VALUE(IF(LEN(_xlpm.steps)&gt;2,RIGHT(_xlpm.steps,2),_xlpm.steps)))</f>
        <v>65</v>
      </c>
      <c r="D3442">
        <f>_xlfn.LET(_xlpm.steps,SUBSTITUTE(Table13[[#This Row],[Input]],Table13[[#This Row],[Direction]],""),VALUE(IF(LEN(_xlpm.steps)&gt;2,LEFT(_xlpm.steps,LEN(_xlpm.steps)-2),0)))</f>
        <v>0</v>
      </c>
      <c r="E3442">
        <f>_xlfn.LET(_xlpm.dir,Table13[[#This Row],[Direction]],
IF(_xlpm.dir="L",
    IF(G3441-Table13[[#This Row],[Steps]]&lt;0,100+(G3441-Table13[[#This Row],[Steps]]),G3441-Table13[[#This Row],[Steps]]),
))</f>
        <v>0</v>
      </c>
      <c r="F3442">
        <f>_xlfn.LET(_xlpm.dir,Table13[[#This Row],[Direction]],
IF(_xlpm.dir="R",
    IF(G3441+Table13[[#This Row],[Steps]]&gt;99,(G3441+Table13[[#This Row],[Steps]])-100,G3441+Table13[[#This Row],[Steps]]),
))</f>
        <v>0</v>
      </c>
      <c r="G3442">
        <f>IF(Table13[[#This Row],[New Pos L]]&lt;&gt;0,Table13[[#This Row],[New Pos L]],Table13[[#This Row],[New Pos R]])</f>
        <v>0</v>
      </c>
      <c r="H3442">
        <f>IF(AND(Table13[[#This Row],[Direction]]="L",Table13[[#This Row],[Steps]]&gt;G3441,G3441&lt;&gt;0),1,0)</f>
        <v>0</v>
      </c>
      <c r="I3442">
        <f>IF(AND(Table13[[#This Row],[Direction]]="R",(G3441+Table13[[#This Row],[Steps]])&gt;100),1,0)</f>
        <v>0</v>
      </c>
      <c r="J3442">
        <f>IF(Table13[[#This Row],[POS]]=0,1,0)</f>
        <v>1</v>
      </c>
      <c r="K3442">
        <f>SUM(Table13[[#This Row],[prefix]],Table13[[#This Row],[Past zero L]],Table13[[#This Row],[Past Zero R]],Table13[[#This Row],[Is Zero]])</f>
        <v>1</v>
      </c>
    </row>
    <row r="3443" spans="1:11" ht="16" x14ac:dyDescent="0.2">
      <c r="A3443" s="1" t="s">
        <v>744</v>
      </c>
      <c r="B3443" t="str">
        <f>LEFT(Table13[[#This Row],[Input]],1)</f>
        <v>L</v>
      </c>
      <c r="C3443">
        <f>_xlfn.LET(_xlpm.steps,SUBSTITUTE(Table13[[#This Row],[Input]],Table13[[#This Row],[Direction]],""),VALUE(IF(LEN(_xlpm.steps)&gt;2,RIGHT(_xlpm.steps,2),_xlpm.steps)))</f>
        <v>70</v>
      </c>
      <c r="D3443">
        <f>_xlfn.LET(_xlpm.steps,SUBSTITUTE(Table13[[#This Row],[Input]],Table13[[#This Row],[Direction]],""),VALUE(IF(LEN(_xlpm.steps)&gt;2,LEFT(_xlpm.steps,LEN(_xlpm.steps)-2),0)))</f>
        <v>8</v>
      </c>
      <c r="E3443">
        <f>_xlfn.LET(_xlpm.dir,Table13[[#This Row],[Direction]],
IF(_xlpm.dir="L",
    IF(G3442-Table13[[#This Row],[Steps]]&lt;0,100+(G3442-Table13[[#This Row],[Steps]]),G3442-Table13[[#This Row],[Steps]]),
))</f>
        <v>30</v>
      </c>
      <c r="F3443">
        <f>_xlfn.LET(_xlpm.dir,Table13[[#This Row],[Direction]],
IF(_xlpm.dir="R",
    IF(G3442+Table13[[#This Row],[Steps]]&gt;99,(G3442+Table13[[#This Row],[Steps]])-100,G3442+Table13[[#This Row],[Steps]]),
))</f>
        <v>0</v>
      </c>
      <c r="G3443">
        <f>IF(Table13[[#This Row],[New Pos L]]&lt;&gt;0,Table13[[#This Row],[New Pos L]],Table13[[#This Row],[New Pos R]])</f>
        <v>30</v>
      </c>
      <c r="H3443">
        <f>IF(AND(Table13[[#This Row],[Direction]]="L",Table13[[#This Row],[Steps]]&gt;G3442,G3442&lt;&gt;0),1,0)</f>
        <v>0</v>
      </c>
      <c r="I3443">
        <f>IF(AND(Table13[[#This Row],[Direction]]="R",(G3442+Table13[[#This Row],[Steps]])&gt;100),1,0)</f>
        <v>0</v>
      </c>
      <c r="J3443">
        <f>IF(Table13[[#This Row],[POS]]=0,1,0)</f>
        <v>0</v>
      </c>
      <c r="K3443">
        <f>SUM(Table13[[#This Row],[prefix]],Table13[[#This Row],[Past zero L]],Table13[[#This Row],[Past Zero R]],Table13[[#This Row],[Is Zero]])</f>
        <v>8</v>
      </c>
    </row>
    <row r="3444" spans="1:11" ht="16" x14ac:dyDescent="0.2">
      <c r="A3444" s="1" t="s">
        <v>68</v>
      </c>
      <c r="B3444" t="str">
        <f>LEFT(Table13[[#This Row],[Input]],1)</f>
        <v>L</v>
      </c>
      <c r="C3444">
        <f>_xlfn.LET(_xlpm.steps,SUBSTITUTE(Table13[[#This Row],[Input]],Table13[[#This Row],[Direction]],""),VALUE(IF(LEN(_xlpm.steps)&gt;2,RIGHT(_xlpm.steps,2),_xlpm.steps)))</f>
        <v>80</v>
      </c>
      <c r="D3444">
        <f>_xlfn.LET(_xlpm.steps,SUBSTITUTE(Table13[[#This Row],[Input]],Table13[[#This Row],[Direction]],""),VALUE(IF(LEN(_xlpm.steps)&gt;2,LEFT(_xlpm.steps,LEN(_xlpm.steps)-2),0)))</f>
        <v>0</v>
      </c>
      <c r="E3444">
        <f>_xlfn.LET(_xlpm.dir,Table13[[#This Row],[Direction]],
IF(_xlpm.dir="L",
    IF(G3443-Table13[[#This Row],[Steps]]&lt;0,100+(G3443-Table13[[#This Row],[Steps]]),G3443-Table13[[#This Row],[Steps]]),
))</f>
        <v>50</v>
      </c>
      <c r="F3444">
        <f>_xlfn.LET(_xlpm.dir,Table13[[#This Row],[Direction]],
IF(_xlpm.dir="R",
    IF(G3443+Table13[[#This Row],[Steps]]&gt;99,(G3443+Table13[[#This Row],[Steps]])-100,G3443+Table13[[#This Row],[Steps]]),
))</f>
        <v>0</v>
      </c>
      <c r="G3444">
        <f>IF(Table13[[#This Row],[New Pos L]]&lt;&gt;0,Table13[[#This Row],[New Pos L]],Table13[[#This Row],[New Pos R]])</f>
        <v>50</v>
      </c>
      <c r="H3444">
        <f>IF(AND(Table13[[#This Row],[Direction]]="L",Table13[[#This Row],[Steps]]&gt;G3443,G3443&lt;&gt;0),1,0)</f>
        <v>1</v>
      </c>
      <c r="I3444">
        <f>IF(AND(Table13[[#This Row],[Direction]]="R",(G3443+Table13[[#This Row],[Steps]])&gt;100),1,0)</f>
        <v>0</v>
      </c>
      <c r="J3444">
        <f>IF(Table13[[#This Row],[POS]]=0,1,0)</f>
        <v>0</v>
      </c>
      <c r="K3444">
        <f>SUM(Table13[[#This Row],[prefix]],Table13[[#This Row],[Past zero L]],Table13[[#This Row],[Past Zero R]],Table13[[#This Row],[Is Zero]])</f>
        <v>1</v>
      </c>
    </row>
    <row r="3445" spans="1:11" ht="16" x14ac:dyDescent="0.2">
      <c r="A3445" s="1" t="s">
        <v>315</v>
      </c>
      <c r="B3445" t="str">
        <f>LEFT(Table13[[#This Row],[Input]],1)</f>
        <v>L</v>
      </c>
      <c r="C3445">
        <f>_xlfn.LET(_xlpm.steps,SUBSTITUTE(Table13[[#This Row],[Input]],Table13[[#This Row],[Direction]],""),VALUE(IF(LEN(_xlpm.steps)&gt;2,RIGHT(_xlpm.steps,2),_xlpm.steps)))</f>
        <v>50</v>
      </c>
      <c r="D3445">
        <f>_xlfn.LET(_xlpm.steps,SUBSTITUTE(Table13[[#This Row],[Input]],Table13[[#This Row],[Direction]],""),VALUE(IF(LEN(_xlpm.steps)&gt;2,LEFT(_xlpm.steps,LEN(_xlpm.steps)-2),0)))</f>
        <v>7</v>
      </c>
      <c r="E3445">
        <f>_xlfn.LET(_xlpm.dir,Table13[[#This Row],[Direction]],
IF(_xlpm.dir="L",
    IF(G3444-Table13[[#This Row],[Steps]]&lt;0,100+(G3444-Table13[[#This Row],[Steps]]),G3444-Table13[[#This Row],[Steps]]),
))</f>
        <v>0</v>
      </c>
      <c r="F3445">
        <f>_xlfn.LET(_xlpm.dir,Table13[[#This Row],[Direction]],
IF(_xlpm.dir="R",
    IF(G3444+Table13[[#This Row],[Steps]]&gt;99,(G3444+Table13[[#This Row],[Steps]])-100,G3444+Table13[[#This Row],[Steps]]),
))</f>
        <v>0</v>
      </c>
      <c r="G3445">
        <f>IF(Table13[[#This Row],[New Pos L]]&lt;&gt;0,Table13[[#This Row],[New Pos L]],Table13[[#This Row],[New Pos R]])</f>
        <v>0</v>
      </c>
      <c r="H3445">
        <f>IF(AND(Table13[[#This Row],[Direction]]="L",Table13[[#This Row],[Steps]]&gt;G3444,G3444&lt;&gt;0),1,0)</f>
        <v>0</v>
      </c>
      <c r="I3445">
        <f>IF(AND(Table13[[#This Row],[Direction]]="R",(G3444+Table13[[#This Row],[Steps]])&gt;100),1,0)</f>
        <v>0</v>
      </c>
      <c r="J3445">
        <f>IF(Table13[[#This Row],[POS]]=0,1,0)</f>
        <v>1</v>
      </c>
      <c r="K3445">
        <f>SUM(Table13[[#This Row],[prefix]],Table13[[#This Row],[Past zero L]],Table13[[#This Row],[Past Zero R]],Table13[[#This Row],[Is Zero]])</f>
        <v>8</v>
      </c>
    </row>
    <row r="3446" spans="1:11" ht="16" x14ac:dyDescent="0.2">
      <c r="A3446" s="1" t="s">
        <v>38</v>
      </c>
      <c r="B3446" t="str">
        <f>LEFT(Table13[[#This Row],[Input]],1)</f>
        <v>R</v>
      </c>
      <c r="C3446">
        <f>_xlfn.LET(_xlpm.steps,SUBSTITUTE(Table13[[#This Row],[Input]],Table13[[#This Row],[Direction]],""),VALUE(IF(LEN(_xlpm.steps)&gt;2,RIGHT(_xlpm.steps,2),_xlpm.steps)))</f>
        <v>15</v>
      </c>
      <c r="D3446">
        <f>_xlfn.LET(_xlpm.steps,SUBSTITUTE(Table13[[#This Row],[Input]],Table13[[#This Row],[Direction]],""),VALUE(IF(LEN(_xlpm.steps)&gt;2,LEFT(_xlpm.steps,LEN(_xlpm.steps)-2),0)))</f>
        <v>0</v>
      </c>
      <c r="E3446">
        <f>_xlfn.LET(_xlpm.dir,Table13[[#This Row],[Direction]],
IF(_xlpm.dir="L",
    IF(G3445-Table13[[#This Row],[Steps]]&lt;0,100+(G3445-Table13[[#This Row],[Steps]]),G3445-Table13[[#This Row],[Steps]]),
))</f>
        <v>0</v>
      </c>
      <c r="F3446">
        <f>_xlfn.LET(_xlpm.dir,Table13[[#This Row],[Direction]],
IF(_xlpm.dir="R",
    IF(G3445+Table13[[#This Row],[Steps]]&gt;99,(G3445+Table13[[#This Row],[Steps]])-100,G3445+Table13[[#This Row],[Steps]]),
))</f>
        <v>15</v>
      </c>
      <c r="G3446">
        <f>IF(Table13[[#This Row],[New Pos L]]&lt;&gt;0,Table13[[#This Row],[New Pos L]],Table13[[#This Row],[New Pos R]])</f>
        <v>15</v>
      </c>
      <c r="H3446">
        <f>IF(AND(Table13[[#This Row],[Direction]]="L",Table13[[#This Row],[Steps]]&gt;G3445,G3445&lt;&gt;0),1,0)</f>
        <v>0</v>
      </c>
      <c r="I3446">
        <f>IF(AND(Table13[[#This Row],[Direction]]="R",(G3445+Table13[[#This Row],[Steps]])&gt;100),1,0)</f>
        <v>0</v>
      </c>
      <c r="J3446">
        <f>IF(Table13[[#This Row],[POS]]=0,1,0)</f>
        <v>0</v>
      </c>
      <c r="K3446">
        <f>SUM(Table13[[#This Row],[prefix]],Table13[[#This Row],[Past zero L]],Table13[[#This Row],[Past Zero R]],Table13[[#This Row],[Is Zero]])</f>
        <v>0</v>
      </c>
    </row>
    <row r="3447" spans="1:11" ht="16" x14ac:dyDescent="0.2">
      <c r="A3447" s="1" t="s">
        <v>79</v>
      </c>
      <c r="B3447" t="str">
        <f>LEFT(Table13[[#This Row],[Input]],1)</f>
        <v>L</v>
      </c>
      <c r="C3447">
        <f>_xlfn.LET(_xlpm.steps,SUBSTITUTE(Table13[[#This Row],[Input]],Table13[[#This Row],[Direction]],""),VALUE(IF(LEN(_xlpm.steps)&gt;2,RIGHT(_xlpm.steps,2),_xlpm.steps)))</f>
        <v>45</v>
      </c>
      <c r="D3447">
        <f>_xlfn.LET(_xlpm.steps,SUBSTITUTE(Table13[[#This Row],[Input]],Table13[[#This Row],[Direction]],""),VALUE(IF(LEN(_xlpm.steps)&gt;2,LEFT(_xlpm.steps,LEN(_xlpm.steps)-2),0)))</f>
        <v>0</v>
      </c>
      <c r="E3447">
        <f>_xlfn.LET(_xlpm.dir,Table13[[#This Row],[Direction]],
IF(_xlpm.dir="L",
    IF(G3446-Table13[[#This Row],[Steps]]&lt;0,100+(G3446-Table13[[#This Row],[Steps]]),G3446-Table13[[#This Row],[Steps]]),
))</f>
        <v>70</v>
      </c>
      <c r="F3447">
        <f>_xlfn.LET(_xlpm.dir,Table13[[#This Row],[Direction]],
IF(_xlpm.dir="R",
    IF(G3446+Table13[[#This Row],[Steps]]&gt;99,(G3446+Table13[[#This Row],[Steps]])-100,G3446+Table13[[#This Row],[Steps]]),
))</f>
        <v>0</v>
      </c>
      <c r="G3447">
        <f>IF(Table13[[#This Row],[New Pos L]]&lt;&gt;0,Table13[[#This Row],[New Pos L]],Table13[[#This Row],[New Pos R]])</f>
        <v>70</v>
      </c>
      <c r="H3447">
        <f>IF(AND(Table13[[#This Row],[Direction]]="L",Table13[[#This Row],[Steps]]&gt;G3446,G3446&lt;&gt;0),1,0)</f>
        <v>1</v>
      </c>
      <c r="I3447">
        <f>IF(AND(Table13[[#This Row],[Direction]]="R",(G3446+Table13[[#This Row],[Steps]])&gt;100),1,0)</f>
        <v>0</v>
      </c>
      <c r="J3447">
        <f>IF(Table13[[#This Row],[POS]]=0,1,0)</f>
        <v>0</v>
      </c>
      <c r="K3447">
        <f>SUM(Table13[[#This Row],[prefix]],Table13[[#This Row],[Past zero L]],Table13[[#This Row],[Past Zero R]],Table13[[#This Row],[Is Zero]])</f>
        <v>1</v>
      </c>
    </row>
    <row r="3448" spans="1:11" ht="16" x14ac:dyDescent="0.2">
      <c r="A3448" s="1" t="s">
        <v>745</v>
      </c>
      <c r="B3448" t="str">
        <f>LEFT(Table13[[#This Row],[Input]],1)</f>
        <v>R</v>
      </c>
      <c r="C3448">
        <f>_xlfn.LET(_xlpm.steps,SUBSTITUTE(Table13[[#This Row],[Input]],Table13[[#This Row],[Direction]],""),VALUE(IF(LEN(_xlpm.steps)&gt;2,RIGHT(_xlpm.steps,2),_xlpm.steps)))</f>
        <v>86</v>
      </c>
      <c r="D3448">
        <f>_xlfn.LET(_xlpm.steps,SUBSTITUTE(Table13[[#This Row],[Input]],Table13[[#This Row],[Direction]],""),VALUE(IF(LEN(_xlpm.steps)&gt;2,LEFT(_xlpm.steps,LEN(_xlpm.steps)-2),0)))</f>
        <v>8</v>
      </c>
      <c r="E3448">
        <f>_xlfn.LET(_xlpm.dir,Table13[[#This Row],[Direction]],
IF(_xlpm.dir="L",
    IF(G3447-Table13[[#This Row],[Steps]]&lt;0,100+(G3447-Table13[[#This Row],[Steps]]),G3447-Table13[[#This Row],[Steps]]),
))</f>
        <v>0</v>
      </c>
      <c r="F3448">
        <f>_xlfn.LET(_xlpm.dir,Table13[[#This Row],[Direction]],
IF(_xlpm.dir="R",
    IF(G3447+Table13[[#This Row],[Steps]]&gt;99,(G3447+Table13[[#This Row],[Steps]])-100,G3447+Table13[[#This Row],[Steps]]),
))</f>
        <v>56</v>
      </c>
      <c r="G3448">
        <f>IF(Table13[[#This Row],[New Pos L]]&lt;&gt;0,Table13[[#This Row],[New Pos L]],Table13[[#This Row],[New Pos R]])</f>
        <v>56</v>
      </c>
      <c r="H3448">
        <f>IF(AND(Table13[[#This Row],[Direction]]="L",Table13[[#This Row],[Steps]]&gt;G3447,G3447&lt;&gt;0),1,0)</f>
        <v>0</v>
      </c>
      <c r="I3448">
        <f>IF(AND(Table13[[#This Row],[Direction]]="R",(G3447+Table13[[#This Row],[Steps]])&gt;100),1,0)</f>
        <v>1</v>
      </c>
      <c r="J3448">
        <f>IF(Table13[[#This Row],[POS]]=0,1,0)</f>
        <v>0</v>
      </c>
      <c r="K3448">
        <f>SUM(Table13[[#This Row],[prefix]],Table13[[#This Row],[Past zero L]],Table13[[#This Row],[Past Zero R]],Table13[[#This Row],[Is Zero]])</f>
        <v>9</v>
      </c>
    </row>
    <row r="3449" spans="1:11" ht="16" x14ac:dyDescent="0.2">
      <c r="A3449" s="1" t="s">
        <v>746</v>
      </c>
      <c r="B3449" t="str">
        <f>LEFT(Table13[[#This Row],[Input]],1)</f>
        <v>L</v>
      </c>
      <c r="C3449">
        <f>_xlfn.LET(_xlpm.steps,SUBSTITUTE(Table13[[#This Row],[Input]],Table13[[#This Row],[Direction]],""),VALUE(IF(LEN(_xlpm.steps)&gt;2,RIGHT(_xlpm.steps,2),_xlpm.steps)))</f>
        <v>94</v>
      </c>
      <c r="D3449">
        <f>_xlfn.LET(_xlpm.steps,SUBSTITUTE(Table13[[#This Row],[Input]],Table13[[#This Row],[Direction]],""),VALUE(IF(LEN(_xlpm.steps)&gt;2,LEFT(_xlpm.steps,LEN(_xlpm.steps)-2),0)))</f>
        <v>3</v>
      </c>
      <c r="E3449">
        <f>_xlfn.LET(_xlpm.dir,Table13[[#This Row],[Direction]],
IF(_xlpm.dir="L",
    IF(G3448-Table13[[#This Row],[Steps]]&lt;0,100+(G3448-Table13[[#This Row],[Steps]]),G3448-Table13[[#This Row],[Steps]]),
))</f>
        <v>62</v>
      </c>
      <c r="F3449">
        <f>_xlfn.LET(_xlpm.dir,Table13[[#This Row],[Direction]],
IF(_xlpm.dir="R",
    IF(G3448+Table13[[#This Row],[Steps]]&gt;99,(G3448+Table13[[#This Row],[Steps]])-100,G3448+Table13[[#This Row],[Steps]]),
))</f>
        <v>0</v>
      </c>
      <c r="G3449">
        <f>IF(Table13[[#This Row],[New Pos L]]&lt;&gt;0,Table13[[#This Row],[New Pos L]],Table13[[#This Row],[New Pos R]])</f>
        <v>62</v>
      </c>
      <c r="H3449">
        <f>IF(AND(Table13[[#This Row],[Direction]]="L",Table13[[#This Row],[Steps]]&gt;G3448,G3448&lt;&gt;0),1,0)</f>
        <v>1</v>
      </c>
      <c r="I3449">
        <f>IF(AND(Table13[[#This Row],[Direction]]="R",(G3448+Table13[[#This Row],[Steps]])&gt;100),1,0)</f>
        <v>0</v>
      </c>
      <c r="J3449">
        <f>IF(Table13[[#This Row],[POS]]=0,1,0)</f>
        <v>0</v>
      </c>
      <c r="K3449">
        <f>SUM(Table13[[#This Row],[prefix]],Table13[[#This Row],[Past zero L]],Table13[[#This Row],[Past Zero R]],Table13[[#This Row],[Is Zero]])</f>
        <v>4</v>
      </c>
    </row>
    <row r="3450" spans="1:11" ht="16" x14ac:dyDescent="0.2">
      <c r="A3450" s="1" t="s">
        <v>747</v>
      </c>
      <c r="B3450" t="str">
        <f>LEFT(Table13[[#This Row],[Input]],1)</f>
        <v>L</v>
      </c>
      <c r="C3450">
        <f>_xlfn.LET(_xlpm.steps,SUBSTITUTE(Table13[[#This Row],[Input]],Table13[[#This Row],[Direction]],""),VALUE(IF(LEN(_xlpm.steps)&gt;2,RIGHT(_xlpm.steps,2),_xlpm.steps)))</f>
        <v>62</v>
      </c>
      <c r="D3450">
        <f>_xlfn.LET(_xlpm.steps,SUBSTITUTE(Table13[[#This Row],[Input]],Table13[[#This Row],[Direction]],""),VALUE(IF(LEN(_xlpm.steps)&gt;2,LEFT(_xlpm.steps,LEN(_xlpm.steps)-2),0)))</f>
        <v>3</v>
      </c>
      <c r="E3450">
        <f>_xlfn.LET(_xlpm.dir,Table13[[#This Row],[Direction]],
IF(_xlpm.dir="L",
    IF(G3449-Table13[[#This Row],[Steps]]&lt;0,100+(G3449-Table13[[#This Row],[Steps]]),G3449-Table13[[#This Row],[Steps]]),
))</f>
        <v>0</v>
      </c>
      <c r="F3450">
        <f>_xlfn.LET(_xlpm.dir,Table13[[#This Row],[Direction]],
IF(_xlpm.dir="R",
    IF(G3449+Table13[[#This Row],[Steps]]&gt;99,(G3449+Table13[[#This Row],[Steps]])-100,G3449+Table13[[#This Row],[Steps]]),
))</f>
        <v>0</v>
      </c>
      <c r="G3450">
        <f>IF(Table13[[#This Row],[New Pos L]]&lt;&gt;0,Table13[[#This Row],[New Pos L]],Table13[[#This Row],[New Pos R]])</f>
        <v>0</v>
      </c>
      <c r="H3450">
        <f>IF(AND(Table13[[#This Row],[Direction]]="L",Table13[[#This Row],[Steps]]&gt;G3449,G3449&lt;&gt;0),1,0)</f>
        <v>0</v>
      </c>
      <c r="I3450">
        <f>IF(AND(Table13[[#This Row],[Direction]]="R",(G3449+Table13[[#This Row],[Steps]])&gt;100),1,0)</f>
        <v>0</v>
      </c>
      <c r="J3450">
        <f>IF(Table13[[#This Row],[POS]]=0,1,0)</f>
        <v>1</v>
      </c>
      <c r="K3450">
        <f>SUM(Table13[[#This Row],[prefix]],Table13[[#This Row],[Past zero L]],Table13[[#This Row],[Past Zero R]],Table13[[#This Row],[Is Zero]])</f>
        <v>4</v>
      </c>
    </row>
    <row r="3451" spans="1:11" ht="16" x14ac:dyDescent="0.2">
      <c r="A3451" s="1" t="s">
        <v>70</v>
      </c>
      <c r="B3451" t="str">
        <f>LEFT(Table13[[#This Row],[Input]],1)</f>
        <v>R</v>
      </c>
      <c r="C3451">
        <f>_xlfn.LET(_xlpm.steps,SUBSTITUTE(Table13[[#This Row],[Input]],Table13[[#This Row],[Direction]],""),VALUE(IF(LEN(_xlpm.steps)&gt;2,RIGHT(_xlpm.steps,2),_xlpm.steps)))</f>
        <v>73</v>
      </c>
      <c r="D3451">
        <f>_xlfn.LET(_xlpm.steps,SUBSTITUTE(Table13[[#This Row],[Input]],Table13[[#This Row],[Direction]],""),VALUE(IF(LEN(_xlpm.steps)&gt;2,LEFT(_xlpm.steps,LEN(_xlpm.steps)-2),0)))</f>
        <v>0</v>
      </c>
      <c r="E3451">
        <f>_xlfn.LET(_xlpm.dir,Table13[[#This Row],[Direction]],
IF(_xlpm.dir="L",
    IF(G3450-Table13[[#This Row],[Steps]]&lt;0,100+(G3450-Table13[[#This Row],[Steps]]),G3450-Table13[[#This Row],[Steps]]),
))</f>
        <v>0</v>
      </c>
      <c r="F3451">
        <f>_xlfn.LET(_xlpm.dir,Table13[[#This Row],[Direction]],
IF(_xlpm.dir="R",
    IF(G3450+Table13[[#This Row],[Steps]]&gt;99,(G3450+Table13[[#This Row],[Steps]])-100,G3450+Table13[[#This Row],[Steps]]),
))</f>
        <v>73</v>
      </c>
      <c r="G3451">
        <f>IF(Table13[[#This Row],[New Pos L]]&lt;&gt;0,Table13[[#This Row],[New Pos L]],Table13[[#This Row],[New Pos R]])</f>
        <v>73</v>
      </c>
      <c r="H3451">
        <f>IF(AND(Table13[[#This Row],[Direction]]="L",Table13[[#This Row],[Steps]]&gt;G3450,G3450&lt;&gt;0),1,0)</f>
        <v>0</v>
      </c>
      <c r="I3451">
        <f>IF(AND(Table13[[#This Row],[Direction]]="R",(G3450+Table13[[#This Row],[Steps]])&gt;100),1,0)</f>
        <v>0</v>
      </c>
      <c r="J3451">
        <f>IF(Table13[[#This Row],[POS]]=0,1,0)</f>
        <v>0</v>
      </c>
      <c r="K3451">
        <f>SUM(Table13[[#This Row],[prefix]],Table13[[#This Row],[Past zero L]],Table13[[#This Row],[Past Zero R]],Table13[[#This Row],[Is Zero]])</f>
        <v>0</v>
      </c>
    </row>
    <row r="3452" spans="1:11" ht="16" x14ac:dyDescent="0.2">
      <c r="A3452" s="1" t="s">
        <v>330</v>
      </c>
      <c r="B3452" t="str">
        <f>LEFT(Table13[[#This Row],[Input]],1)</f>
        <v>L</v>
      </c>
      <c r="C3452">
        <f>_xlfn.LET(_xlpm.steps,SUBSTITUTE(Table13[[#This Row],[Input]],Table13[[#This Row],[Direction]],""),VALUE(IF(LEN(_xlpm.steps)&gt;2,RIGHT(_xlpm.steps,2),_xlpm.steps)))</f>
        <v>47</v>
      </c>
      <c r="D3452">
        <f>_xlfn.LET(_xlpm.steps,SUBSTITUTE(Table13[[#This Row],[Input]],Table13[[#This Row],[Direction]],""),VALUE(IF(LEN(_xlpm.steps)&gt;2,LEFT(_xlpm.steps,LEN(_xlpm.steps)-2),0)))</f>
        <v>0</v>
      </c>
      <c r="E3452">
        <f>_xlfn.LET(_xlpm.dir,Table13[[#This Row],[Direction]],
IF(_xlpm.dir="L",
    IF(G3451-Table13[[#This Row],[Steps]]&lt;0,100+(G3451-Table13[[#This Row],[Steps]]),G3451-Table13[[#This Row],[Steps]]),
))</f>
        <v>26</v>
      </c>
      <c r="F3452">
        <f>_xlfn.LET(_xlpm.dir,Table13[[#This Row],[Direction]],
IF(_xlpm.dir="R",
    IF(G3451+Table13[[#This Row],[Steps]]&gt;99,(G3451+Table13[[#This Row],[Steps]])-100,G3451+Table13[[#This Row],[Steps]]),
))</f>
        <v>0</v>
      </c>
      <c r="G3452">
        <f>IF(Table13[[#This Row],[New Pos L]]&lt;&gt;0,Table13[[#This Row],[New Pos L]],Table13[[#This Row],[New Pos R]])</f>
        <v>26</v>
      </c>
      <c r="H3452">
        <f>IF(AND(Table13[[#This Row],[Direction]]="L",Table13[[#This Row],[Steps]]&gt;G3451,G3451&lt;&gt;0),1,0)</f>
        <v>0</v>
      </c>
      <c r="I3452">
        <f>IF(AND(Table13[[#This Row],[Direction]]="R",(G3451+Table13[[#This Row],[Steps]])&gt;100),1,0)</f>
        <v>0</v>
      </c>
      <c r="J3452">
        <f>IF(Table13[[#This Row],[POS]]=0,1,0)</f>
        <v>0</v>
      </c>
      <c r="K3452">
        <f>SUM(Table13[[#This Row],[prefix]],Table13[[#This Row],[Past zero L]],Table13[[#This Row],[Past Zero R]],Table13[[#This Row],[Is Zero]])</f>
        <v>0</v>
      </c>
    </row>
    <row r="3453" spans="1:11" ht="16" x14ac:dyDescent="0.2">
      <c r="A3453" s="1" t="s">
        <v>88</v>
      </c>
      <c r="B3453" t="str">
        <f>LEFT(Table13[[#This Row],[Input]],1)</f>
        <v>R</v>
      </c>
      <c r="C3453">
        <f>_xlfn.LET(_xlpm.steps,SUBSTITUTE(Table13[[#This Row],[Input]],Table13[[#This Row],[Direction]],""),VALUE(IF(LEN(_xlpm.steps)&gt;2,RIGHT(_xlpm.steps,2),_xlpm.steps)))</f>
        <v>53</v>
      </c>
      <c r="D3453">
        <f>_xlfn.LET(_xlpm.steps,SUBSTITUTE(Table13[[#This Row],[Input]],Table13[[#This Row],[Direction]],""),VALUE(IF(LEN(_xlpm.steps)&gt;2,LEFT(_xlpm.steps,LEN(_xlpm.steps)-2),0)))</f>
        <v>0</v>
      </c>
      <c r="E3453">
        <f>_xlfn.LET(_xlpm.dir,Table13[[#This Row],[Direction]],
IF(_xlpm.dir="L",
    IF(G3452-Table13[[#This Row],[Steps]]&lt;0,100+(G3452-Table13[[#This Row],[Steps]]),G3452-Table13[[#This Row],[Steps]]),
))</f>
        <v>0</v>
      </c>
      <c r="F3453">
        <f>_xlfn.LET(_xlpm.dir,Table13[[#This Row],[Direction]],
IF(_xlpm.dir="R",
    IF(G3452+Table13[[#This Row],[Steps]]&gt;99,(G3452+Table13[[#This Row],[Steps]])-100,G3452+Table13[[#This Row],[Steps]]),
))</f>
        <v>79</v>
      </c>
      <c r="G3453">
        <f>IF(Table13[[#This Row],[New Pos L]]&lt;&gt;0,Table13[[#This Row],[New Pos L]],Table13[[#This Row],[New Pos R]])</f>
        <v>79</v>
      </c>
      <c r="H3453">
        <f>IF(AND(Table13[[#This Row],[Direction]]="L",Table13[[#This Row],[Steps]]&gt;G3452,G3452&lt;&gt;0),1,0)</f>
        <v>0</v>
      </c>
      <c r="I3453">
        <f>IF(AND(Table13[[#This Row],[Direction]]="R",(G3452+Table13[[#This Row],[Steps]])&gt;100),1,0)</f>
        <v>0</v>
      </c>
      <c r="J3453">
        <f>IF(Table13[[#This Row],[POS]]=0,1,0)</f>
        <v>0</v>
      </c>
      <c r="K3453">
        <f>SUM(Table13[[#This Row],[prefix]],Table13[[#This Row],[Past zero L]],Table13[[#This Row],[Past Zero R]],Table13[[#This Row],[Is Zero]])</f>
        <v>0</v>
      </c>
    </row>
    <row r="3454" spans="1:11" ht="16" x14ac:dyDescent="0.2">
      <c r="A3454" s="1" t="s">
        <v>145</v>
      </c>
      <c r="B3454" t="str">
        <f>LEFT(Table13[[#This Row],[Input]],1)</f>
        <v>L</v>
      </c>
      <c r="C3454">
        <f>_xlfn.LET(_xlpm.steps,SUBSTITUTE(Table13[[#This Row],[Input]],Table13[[#This Row],[Direction]],""),VALUE(IF(LEN(_xlpm.steps)&gt;2,RIGHT(_xlpm.steps,2),_xlpm.steps)))</f>
        <v>83</v>
      </c>
      <c r="D3454">
        <f>_xlfn.LET(_xlpm.steps,SUBSTITUTE(Table13[[#This Row],[Input]],Table13[[#This Row],[Direction]],""),VALUE(IF(LEN(_xlpm.steps)&gt;2,LEFT(_xlpm.steps,LEN(_xlpm.steps)-2),0)))</f>
        <v>0</v>
      </c>
      <c r="E3454">
        <f>_xlfn.LET(_xlpm.dir,Table13[[#This Row],[Direction]],
IF(_xlpm.dir="L",
    IF(G3453-Table13[[#This Row],[Steps]]&lt;0,100+(G3453-Table13[[#This Row],[Steps]]),G3453-Table13[[#This Row],[Steps]]),
))</f>
        <v>96</v>
      </c>
      <c r="F3454">
        <f>_xlfn.LET(_xlpm.dir,Table13[[#This Row],[Direction]],
IF(_xlpm.dir="R",
    IF(G3453+Table13[[#This Row],[Steps]]&gt;99,(G3453+Table13[[#This Row],[Steps]])-100,G3453+Table13[[#This Row],[Steps]]),
))</f>
        <v>0</v>
      </c>
      <c r="G3454">
        <f>IF(Table13[[#This Row],[New Pos L]]&lt;&gt;0,Table13[[#This Row],[New Pos L]],Table13[[#This Row],[New Pos R]])</f>
        <v>96</v>
      </c>
      <c r="H3454">
        <f>IF(AND(Table13[[#This Row],[Direction]]="L",Table13[[#This Row],[Steps]]&gt;G3453,G3453&lt;&gt;0),1,0)</f>
        <v>1</v>
      </c>
      <c r="I3454">
        <f>IF(AND(Table13[[#This Row],[Direction]]="R",(G3453+Table13[[#This Row],[Steps]])&gt;100),1,0)</f>
        <v>0</v>
      </c>
      <c r="J3454">
        <f>IF(Table13[[#This Row],[POS]]=0,1,0)</f>
        <v>0</v>
      </c>
      <c r="K3454">
        <f>SUM(Table13[[#This Row],[prefix]],Table13[[#This Row],[Past zero L]],Table13[[#This Row],[Past Zero R]],Table13[[#This Row],[Is Zero]])</f>
        <v>1</v>
      </c>
    </row>
    <row r="3455" spans="1:11" ht="16" x14ac:dyDescent="0.2">
      <c r="A3455" s="1" t="s">
        <v>182</v>
      </c>
      <c r="B3455" t="str">
        <f>LEFT(Table13[[#This Row],[Input]],1)</f>
        <v>L</v>
      </c>
      <c r="C3455">
        <f>_xlfn.LET(_xlpm.steps,SUBSTITUTE(Table13[[#This Row],[Input]],Table13[[#This Row],[Direction]],""),VALUE(IF(LEN(_xlpm.steps)&gt;2,RIGHT(_xlpm.steps,2),_xlpm.steps)))</f>
        <v>3</v>
      </c>
      <c r="D3455">
        <f>_xlfn.LET(_xlpm.steps,SUBSTITUTE(Table13[[#This Row],[Input]],Table13[[#This Row],[Direction]],""),VALUE(IF(LEN(_xlpm.steps)&gt;2,LEFT(_xlpm.steps,LEN(_xlpm.steps)-2),0)))</f>
        <v>0</v>
      </c>
      <c r="E3455">
        <f>_xlfn.LET(_xlpm.dir,Table13[[#This Row],[Direction]],
IF(_xlpm.dir="L",
    IF(G3454-Table13[[#This Row],[Steps]]&lt;0,100+(G3454-Table13[[#This Row],[Steps]]),G3454-Table13[[#This Row],[Steps]]),
))</f>
        <v>93</v>
      </c>
      <c r="F3455">
        <f>_xlfn.LET(_xlpm.dir,Table13[[#This Row],[Direction]],
IF(_xlpm.dir="R",
    IF(G3454+Table13[[#This Row],[Steps]]&gt;99,(G3454+Table13[[#This Row],[Steps]])-100,G3454+Table13[[#This Row],[Steps]]),
))</f>
        <v>0</v>
      </c>
      <c r="G3455">
        <f>IF(Table13[[#This Row],[New Pos L]]&lt;&gt;0,Table13[[#This Row],[New Pos L]],Table13[[#This Row],[New Pos R]])</f>
        <v>93</v>
      </c>
      <c r="H3455">
        <f>IF(AND(Table13[[#This Row],[Direction]]="L",Table13[[#This Row],[Steps]]&gt;G3454,G3454&lt;&gt;0),1,0)</f>
        <v>0</v>
      </c>
      <c r="I3455">
        <f>IF(AND(Table13[[#This Row],[Direction]]="R",(G3454+Table13[[#This Row],[Steps]])&gt;100),1,0)</f>
        <v>0</v>
      </c>
      <c r="J3455">
        <f>IF(Table13[[#This Row],[POS]]=0,1,0)</f>
        <v>0</v>
      </c>
      <c r="K3455">
        <f>SUM(Table13[[#This Row],[prefix]],Table13[[#This Row],[Past zero L]],Table13[[#This Row],[Past Zero R]],Table13[[#This Row],[Is Zero]])</f>
        <v>0</v>
      </c>
    </row>
    <row r="3456" spans="1:11" ht="16" x14ac:dyDescent="0.2">
      <c r="A3456" s="1" t="s">
        <v>353</v>
      </c>
      <c r="B3456" t="str">
        <f>LEFT(Table13[[#This Row],[Input]],1)</f>
        <v>R</v>
      </c>
      <c r="C3456">
        <f>_xlfn.LET(_xlpm.steps,SUBSTITUTE(Table13[[#This Row],[Input]],Table13[[#This Row],[Direction]],""),VALUE(IF(LEN(_xlpm.steps)&gt;2,RIGHT(_xlpm.steps,2),_xlpm.steps)))</f>
        <v>7</v>
      </c>
      <c r="D3456">
        <f>_xlfn.LET(_xlpm.steps,SUBSTITUTE(Table13[[#This Row],[Input]],Table13[[#This Row],[Direction]],""),VALUE(IF(LEN(_xlpm.steps)&gt;2,LEFT(_xlpm.steps,LEN(_xlpm.steps)-2),0)))</f>
        <v>0</v>
      </c>
      <c r="E3456">
        <f>_xlfn.LET(_xlpm.dir,Table13[[#This Row],[Direction]],
IF(_xlpm.dir="L",
    IF(G3455-Table13[[#This Row],[Steps]]&lt;0,100+(G3455-Table13[[#This Row],[Steps]]),G3455-Table13[[#This Row],[Steps]]),
))</f>
        <v>0</v>
      </c>
      <c r="F3456">
        <f>_xlfn.LET(_xlpm.dir,Table13[[#This Row],[Direction]],
IF(_xlpm.dir="R",
    IF(G3455+Table13[[#This Row],[Steps]]&gt;99,(G3455+Table13[[#This Row],[Steps]])-100,G3455+Table13[[#This Row],[Steps]]),
))</f>
        <v>0</v>
      </c>
      <c r="G3456">
        <f>IF(Table13[[#This Row],[New Pos L]]&lt;&gt;0,Table13[[#This Row],[New Pos L]],Table13[[#This Row],[New Pos R]])</f>
        <v>0</v>
      </c>
      <c r="H3456">
        <f>IF(AND(Table13[[#This Row],[Direction]]="L",Table13[[#This Row],[Steps]]&gt;G3455,G3455&lt;&gt;0),1,0)</f>
        <v>0</v>
      </c>
      <c r="I3456">
        <f>IF(AND(Table13[[#This Row],[Direction]]="R",(G3455+Table13[[#This Row],[Steps]])&gt;100),1,0)</f>
        <v>0</v>
      </c>
      <c r="J3456">
        <f>IF(Table13[[#This Row],[POS]]=0,1,0)</f>
        <v>1</v>
      </c>
      <c r="K3456">
        <f>SUM(Table13[[#This Row],[prefix]],Table13[[#This Row],[Past zero L]],Table13[[#This Row],[Past Zero R]],Table13[[#This Row],[Is Zero]])</f>
        <v>1</v>
      </c>
    </row>
    <row r="3457" spans="1:11" ht="16" x14ac:dyDescent="0.2">
      <c r="A3457" s="1" t="s">
        <v>20</v>
      </c>
      <c r="B3457" t="str">
        <f>LEFT(Table13[[#This Row],[Input]],1)</f>
        <v>R</v>
      </c>
      <c r="C3457">
        <f>_xlfn.LET(_xlpm.steps,SUBSTITUTE(Table13[[#This Row],[Input]],Table13[[#This Row],[Direction]],""),VALUE(IF(LEN(_xlpm.steps)&gt;2,RIGHT(_xlpm.steps,2),_xlpm.steps)))</f>
        <v>46</v>
      </c>
      <c r="D3457">
        <f>_xlfn.LET(_xlpm.steps,SUBSTITUTE(Table13[[#This Row],[Input]],Table13[[#This Row],[Direction]],""),VALUE(IF(LEN(_xlpm.steps)&gt;2,LEFT(_xlpm.steps,LEN(_xlpm.steps)-2),0)))</f>
        <v>0</v>
      </c>
      <c r="E3457">
        <f>_xlfn.LET(_xlpm.dir,Table13[[#This Row],[Direction]],
IF(_xlpm.dir="L",
    IF(G3456-Table13[[#This Row],[Steps]]&lt;0,100+(G3456-Table13[[#This Row],[Steps]]),G3456-Table13[[#This Row],[Steps]]),
))</f>
        <v>0</v>
      </c>
      <c r="F3457">
        <f>_xlfn.LET(_xlpm.dir,Table13[[#This Row],[Direction]],
IF(_xlpm.dir="R",
    IF(G3456+Table13[[#This Row],[Steps]]&gt;99,(G3456+Table13[[#This Row],[Steps]])-100,G3456+Table13[[#This Row],[Steps]]),
))</f>
        <v>46</v>
      </c>
      <c r="G3457">
        <f>IF(Table13[[#This Row],[New Pos L]]&lt;&gt;0,Table13[[#This Row],[New Pos L]],Table13[[#This Row],[New Pos R]])</f>
        <v>46</v>
      </c>
      <c r="H3457">
        <f>IF(AND(Table13[[#This Row],[Direction]]="L",Table13[[#This Row],[Steps]]&gt;G3456,G3456&lt;&gt;0),1,0)</f>
        <v>0</v>
      </c>
      <c r="I3457">
        <f>IF(AND(Table13[[#This Row],[Direction]]="R",(G3456+Table13[[#This Row],[Steps]])&gt;100),1,0)</f>
        <v>0</v>
      </c>
      <c r="J3457">
        <f>IF(Table13[[#This Row],[POS]]=0,1,0)</f>
        <v>0</v>
      </c>
      <c r="K3457">
        <f>SUM(Table13[[#This Row],[prefix]],Table13[[#This Row],[Past zero L]],Table13[[#This Row],[Past Zero R]],Table13[[#This Row],[Is Zero]])</f>
        <v>0</v>
      </c>
    </row>
    <row r="3458" spans="1:11" ht="16" x14ac:dyDescent="0.2">
      <c r="A3458" s="1" t="s">
        <v>213</v>
      </c>
      <c r="B3458" t="str">
        <f>LEFT(Table13[[#This Row],[Input]],1)</f>
        <v>R</v>
      </c>
      <c r="C3458">
        <f>_xlfn.LET(_xlpm.steps,SUBSTITUTE(Table13[[#This Row],[Input]],Table13[[#This Row],[Direction]],""),VALUE(IF(LEN(_xlpm.steps)&gt;2,RIGHT(_xlpm.steps,2),_xlpm.steps)))</f>
        <v>87</v>
      </c>
      <c r="D3458">
        <f>_xlfn.LET(_xlpm.steps,SUBSTITUTE(Table13[[#This Row],[Input]],Table13[[#This Row],[Direction]],""),VALUE(IF(LEN(_xlpm.steps)&gt;2,LEFT(_xlpm.steps,LEN(_xlpm.steps)-2),0)))</f>
        <v>0</v>
      </c>
      <c r="E3458">
        <f>_xlfn.LET(_xlpm.dir,Table13[[#This Row],[Direction]],
IF(_xlpm.dir="L",
    IF(G3457-Table13[[#This Row],[Steps]]&lt;0,100+(G3457-Table13[[#This Row],[Steps]]),G3457-Table13[[#This Row],[Steps]]),
))</f>
        <v>0</v>
      </c>
      <c r="F3458">
        <f>_xlfn.LET(_xlpm.dir,Table13[[#This Row],[Direction]],
IF(_xlpm.dir="R",
    IF(G3457+Table13[[#This Row],[Steps]]&gt;99,(G3457+Table13[[#This Row],[Steps]])-100,G3457+Table13[[#This Row],[Steps]]),
))</f>
        <v>33</v>
      </c>
      <c r="G3458">
        <f>IF(Table13[[#This Row],[New Pos L]]&lt;&gt;0,Table13[[#This Row],[New Pos L]],Table13[[#This Row],[New Pos R]])</f>
        <v>33</v>
      </c>
      <c r="H3458">
        <f>IF(AND(Table13[[#This Row],[Direction]]="L",Table13[[#This Row],[Steps]]&gt;G3457,G3457&lt;&gt;0),1,0)</f>
        <v>0</v>
      </c>
      <c r="I3458">
        <f>IF(AND(Table13[[#This Row],[Direction]]="R",(G3457+Table13[[#This Row],[Steps]])&gt;100),1,0)</f>
        <v>1</v>
      </c>
      <c r="J3458">
        <f>IF(Table13[[#This Row],[POS]]=0,1,0)</f>
        <v>0</v>
      </c>
      <c r="K3458">
        <f>SUM(Table13[[#This Row],[prefix]],Table13[[#This Row],[Past zero L]],Table13[[#This Row],[Past Zero R]],Table13[[#This Row],[Is Zero]])</f>
        <v>1</v>
      </c>
    </row>
    <row r="3459" spans="1:11" ht="16" x14ac:dyDescent="0.2">
      <c r="A3459" s="1" t="s">
        <v>293</v>
      </c>
      <c r="B3459" t="str">
        <f>LEFT(Table13[[#This Row],[Input]],1)</f>
        <v>R</v>
      </c>
      <c r="C3459">
        <f>_xlfn.LET(_xlpm.steps,SUBSTITUTE(Table13[[#This Row],[Input]],Table13[[#This Row],[Direction]],""),VALUE(IF(LEN(_xlpm.steps)&gt;2,RIGHT(_xlpm.steps,2),_xlpm.steps)))</f>
        <v>67</v>
      </c>
      <c r="D3459">
        <f>_xlfn.LET(_xlpm.steps,SUBSTITUTE(Table13[[#This Row],[Input]],Table13[[#This Row],[Direction]],""),VALUE(IF(LEN(_xlpm.steps)&gt;2,LEFT(_xlpm.steps,LEN(_xlpm.steps)-2),0)))</f>
        <v>0</v>
      </c>
      <c r="E3459">
        <f>_xlfn.LET(_xlpm.dir,Table13[[#This Row],[Direction]],
IF(_xlpm.dir="L",
    IF(G3458-Table13[[#This Row],[Steps]]&lt;0,100+(G3458-Table13[[#This Row],[Steps]]),G3458-Table13[[#This Row],[Steps]]),
))</f>
        <v>0</v>
      </c>
      <c r="F3459">
        <f>_xlfn.LET(_xlpm.dir,Table13[[#This Row],[Direction]],
IF(_xlpm.dir="R",
    IF(G3458+Table13[[#This Row],[Steps]]&gt;99,(G3458+Table13[[#This Row],[Steps]])-100,G3458+Table13[[#This Row],[Steps]]),
))</f>
        <v>0</v>
      </c>
      <c r="G3459">
        <f>IF(Table13[[#This Row],[New Pos L]]&lt;&gt;0,Table13[[#This Row],[New Pos L]],Table13[[#This Row],[New Pos R]])</f>
        <v>0</v>
      </c>
      <c r="H3459">
        <f>IF(AND(Table13[[#This Row],[Direction]]="L",Table13[[#This Row],[Steps]]&gt;G3458,G3458&lt;&gt;0),1,0)</f>
        <v>0</v>
      </c>
      <c r="I3459">
        <f>IF(AND(Table13[[#This Row],[Direction]]="R",(G3458+Table13[[#This Row],[Steps]])&gt;100),1,0)</f>
        <v>0</v>
      </c>
      <c r="J3459">
        <f>IF(Table13[[#This Row],[POS]]=0,1,0)</f>
        <v>1</v>
      </c>
      <c r="K3459">
        <f>SUM(Table13[[#This Row],[prefix]],Table13[[#This Row],[Past zero L]],Table13[[#This Row],[Past Zero R]],Table13[[#This Row],[Is Zero]])</f>
        <v>1</v>
      </c>
    </row>
    <row r="3460" spans="1:11" ht="16" x14ac:dyDescent="0.2">
      <c r="A3460" s="1" t="s">
        <v>19</v>
      </c>
      <c r="B3460" t="str">
        <f>LEFT(Table13[[#This Row],[Input]],1)</f>
        <v>R</v>
      </c>
      <c r="C3460">
        <f>_xlfn.LET(_xlpm.steps,SUBSTITUTE(Table13[[#This Row],[Input]],Table13[[#This Row],[Direction]],""),VALUE(IF(LEN(_xlpm.steps)&gt;2,RIGHT(_xlpm.steps,2),_xlpm.steps)))</f>
        <v>47</v>
      </c>
      <c r="D3460">
        <f>_xlfn.LET(_xlpm.steps,SUBSTITUTE(Table13[[#This Row],[Input]],Table13[[#This Row],[Direction]],""),VALUE(IF(LEN(_xlpm.steps)&gt;2,LEFT(_xlpm.steps,LEN(_xlpm.steps)-2),0)))</f>
        <v>0</v>
      </c>
      <c r="E3460">
        <f>_xlfn.LET(_xlpm.dir,Table13[[#This Row],[Direction]],
IF(_xlpm.dir="L",
    IF(G3459-Table13[[#This Row],[Steps]]&lt;0,100+(G3459-Table13[[#This Row],[Steps]]),G3459-Table13[[#This Row],[Steps]]),
))</f>
        <v>0</v>
      </c>
      <c r="F3460">
        <f>_xlfn.LET(_xlpm.dir,Table13[[#This Row],[Direction]],
IF(_xlpm.dir="R",
    IF(G3459+Table13[[#This Row],[Steps]]&gt;99,(G3459+Table13[[#This Row],[Steps]])-100,G3459+Table13[[#This Row],[Steps]]),
))</f>
        <v>47</v>
      </c>
      <c r="G3460">
        <f>IF(Table13[[#This Row],[New Pos L]]&lt;&gt;0,Table13[[#This Row],[New Pos L]],Table13[[#This Row],[New Pos R]])</f>
        <v>47</v>
      </c>
      <c r="H3460">
        <f>IF(AND(Table13[[#This Row],[Direction]]="L",Table13[[#This Row],[Steps]]&gt;G3459,G3459&lt;&gt;0),1,0)</f>
        <v>0</v>
      </c>
      <c r="I3460">
        <f>IF(AND(Table13[[#This Row],[Direction]]="R",(G3459+Table13[[#This Row],[Steps]])&gt;100),1,0)</f>
        <v>0</v>
      </c>
      <c r="J3460">
        <f>IF(Table13[[#This Row],[POS]]=0,1,0)</f>
        <v>0</v>
      </c>
      <c r="K3460">
        <f>SUM(Table13[[#This Row],[prefix]],Table13[[#This Row],[Past zero L]],Table13[[#This Row],[Past Zero R]],Table13[[#This Row],[Is Zero]])</f>
        <v>0</v>
      </c>
    </row>
    <row r="3461" spans="1:11" ht="16" x14ac:dyDescent="0.2">
      <c r="A3461" s="1" t="s">
        <v>364</v>
      </c>
      <c r="B3461" t="str">
        <f>LEFT(Table13[[#This Row],[Input]],1)</f>
        <v>L</v>
      </c>
      <c r="C3461">
        <f>_xlfn.LET(_xlpm.steps,SUBSTITUTE(Table13[[#This Row],[Input]],Table13[[#This Row],[Direction]],""),VALUE(IF(LEN(_xlpm.steps)&gt;2,RIGHT(_xlpm.steps,2),_xlpm.steps)))</f>
        <v>70</v>
      </c>
      <c r="D3461">
        <f>_xlfn.LET(_xlpm.steps,SUBSTITUTE(Table13[[#This Row],[Input]],Table13[[#This Row],[Direction]],""),VALUE(IF(LEN(_xlpm.steps)&gt;2,LEFT(_xlpm.steps,LEN(_xlpm.steps)-2),0)))</f>
        <v>0</v>
      </c>
      <c r="E3461">
        <f>_xlfn.LET(_xlpm.dir,Table13[[#This Row],[Direction]],
IF(_xlpm.dir="L",
    IF(G3460-Table13[[#This Row],[Steps]]&lt;0,100+(G3460-Table13[[#This Row],[Steps]]),G3460-Table13[[#This Row],[Steps]]),
))</f>
        <v>77</v>
      </c>
      <c r="F3461">
        <f>_xlfn.LET(_xlpm.dir,Table13[[#This Row],[Direction]],
IF(_xlpm.dir="R",
    IF(G3460+Table13[[#This Row],[Steps]]&gt;99,(G3460+Table13[[#This Row],[Steps]])-100,G3460+Table13[[#This Row],[Steps]]),
))</f>
        <v>0</v>
      </c>
      <c r="G3461">
        <f>IF(Table13[[#This Row],[New Pos L]]&lt;&gt;0,Table13[[#This Row],[New Pos L]],Table13[[#This Row],[New Pos R]])</f>
        <v>77</v>
      </c>
      <c r="H3461">
        <f>IF(AND(Table13[[#This Row],[Direction]]="L",Table13[[#This Row],[Steps]]&gt;G3460,G3460&lt;&gt;0),1,0)</f>
        <v>1</v>
      </c>
      <c r="I3461">
        <f>IF(AND(Table13[[#This Row],[Direction]]="R",(G3460+Table13[[#This Row],[Steps]])&gt;100),1,0)</f>
        <v>0</v>
      </c>
      <c r="J3461">
        <f>IF(Table13[[#This Row],[POS]]=0,1,0)</f>
        <v>0</v>
      </c>
      <c r="K3461">
        <f>SUM(Table13[[#This Row],[prefix]],Table13[[#This Row],[Past zero L]],Table13[[#This Row],[Past Zero R]],Table13[[#This Row],[Is Zero]])</f>
        <v>1</v>
      </c>
    </row>
    <row r="3462" spans="1:11" ht="16" x14ac:dyDescent="0.2">
      <c r="A3462" s="1" t="s">
        <v>192</v>
      </c>
      <c r="B3462" t="str">
        <f>LEFT(Table13[[#This Row],[Input]],1)</f>
        <v>L</v>
      </c>
      <c r="C3462">
        <f>_xlfn.LET(_xlpm.steps,SUBSTITUTE(Table13[[#This Row],[Input]],Table13[[#This Row],[Direction]],""),VALUE(IF(LEN(_xlpm.steps)&gt;2,RIGHT(_xlpm.steps,2),_xlpm.steps)))</f>
        <v>52</v>
      </c>
      <c r="D3462">
        <f>_xlfn.LET(_xlpm.steps,SUBSTITUTE(Table13[[#This Row],[Input]],Table13[[#This Row],[Direction]],""),VALUE(IF(LEN(_xlpm.steps)&gt;2,LEFT(_xlpm.steps,LEN(_xlpm.steps)-2),0)))</f>
        <v>0</v>
      </c>
      <c r="E3462">
        <f>_xlfn.LET(_xlpm.dir,Table13[[#This Row],[Direction]],
IF(_xlpm.dir="L",
    IF(G3461-Table13[[#This Row],[Steps]]&lt;0,100+(G3461-Table13[[#This Row],[Steps]]),G3461-Table13[[#This Row],[Steps]]),
))</f>
        <v>25</v>
      </c>
      <c r="F3462">
        <f>_xlfn.LET(_xlpm.dir,Table13[[#This Row],[Direction]],
IF(_xlpm.dir="R",
    IF(G3461+Table13[[#This Row],[Steps]]&gt;99,(G3461+Table13[[#This Row],[Steps]])-100,G3461+Table13[[#This Row],[Steps]]),
))</f>
        <v>0</v>
      </c>
      <c r="G3462">
        <f>IF(Table13[[#This Row],[New Pos L]]&lt;&gt;0,Table13[[#This Row],[New Pos L]],Table13[[#This Row],[New Pos R]])</f>
        <v>25</v>
      </c>
      <c r="H3462">
        <f>IF(AND(Table13[[#This Row],[Direction]]="L",Table13[[#This Row],[Steps]]&gt;G3461,G3461&lt;&gt;0),1,0)</f>
        <v>0</v>
      </c>
      <c r="I3462">
        <f>IF(AND(Table13[[#This Row],[Direction]]="R",(G3461+Table13[[#This Row],[Steps]])&gt;100),1,0)</f>
        <v>0</v>
      </c>
      <c r="J3462">
        <f>IF(Table13[[#This Row],[POS]]=0,1,0)</f>
        <v>0</v>
      </c>
      <c r="K3462">
        <f>SUM(Table13[[#This Row],[prefix]],Table13[[#This Row],[Past zero L]],Table13[[#This Row],[Past Zero R]],Table13[[#This Row],[Is Zero]])</f>
        <v>0</v>
      </c>
    </row>
    <row r="3463" spans="1:11" ht="16" x14ac:dyDescent="0.2">
      <c r="A3463" s="1" t="s">
        <v>164</v>
      </c>
      <c r="B3463" t="str">
        <f>LEFT(Table13[[#This Row],[Input]],1)</f>
        <v>R</v>
      </c>
      <c r="C3463">
        <f>_xlfn.LET(_xlpm.steps,SUBSTITUTE(Table13[[#This Row],[Input]],Table13[[#This Row],[Direction]],""),VALUE(IF(LEN(_xlpm.steps)&gt;2,RIGHT(_xlpm.steps,2),_xlpm.steps)))</f>
        <v>85</v>
      </c>
      <c r="D3463">
        <f>_xlfn.LET(_xlpm.steps,SUBSTITUTE(Table13[[#This Row],[Input]],Table13[[#This Row],[Direction]],""),VALUE(IF(LEN(_xlpm.steps)&gt;2,LEFT(_xlpm.steps,LEN(_xlpm.steps)-2),0)))</f>
        <v>0</v>
      </c>
      <c r="E3463">
        <f>_xlfn.LET(_xlpm.dir,Table13[[#This Row],[Direction]],
IF(_xlpm.dir="L",
    IF(G3462-Table13[[#This Row],[Steps]]&lt;0,100+(G3462-Table13[[#This Row],[Steps]]),G3462-Table13[[#This Row],[Steps]]),
))</f>
        <v>0</v>
      </c>
      <c r="F3463">
        <f>_xlfn.LET(_xlpm.dir,Table13[[#This Row],[Direction]],
IF(_xlpm.dir="R",
    IF(G3462+Table13[[#This Row],[Steps]]&gt;99,(G3462+Table13[[#This Row],[Steps]])-100,G3462+Table13[[#This Row],[Steps]]),
))</f>
        <v>10</v>
      </c>
      <c r="G3463">
        <f>IF(Table13[[#This Row],[New Pos L]]&lt;&gt;0,Table13[[#This Row],[New Pos L]],Table13[[#This Row],[New Pos R]])</f>
        <v>10</v>
      </c>
      <c r="H3463">
        <f>IF(AND(Table13[[#This Row],[Direction]]="L",Table13[[#This Row],[Steps]]&gt;G3462,G3462&lt;&gt;0),1,0)</f>
        <v>0</v>
      </c>
      <c r="I3463">
        <f>IF(AND(Table13[[#This Row],[Direction]]="R",(G3462+Table13[[#This Row],[Steps]])&gt;100),1,0)</f>
        <v>1</v>
      </c>
      <c r="J3463">
        <f>IF(Table13[[#This Row],[POS]]=0,1,0)</f>
        <v>0</v>
      </c>
      <c r="K3463">
        <f>SUM(Table13[[#This Row],[prefix]],Table13[[#This Row],[Past zero L]],Table13[[#This Row],[Past Zero R]],Table13[[#This Row],[Is Zero]])</f>
        <v>1</v>
      </c>
    </row>
    <row r="3464" spans="1:11" ht="16" x14ac:dyDescent="0.2">
      <c r="A3464" s="1" t="s">
        <v>194</v>
      </c>
      <c r="B3464" t="str">
        <f>LEFT(Table13[[#This Row],[Input]],1)</f>
        <v>R</v>
      </c>
      <c r="C3464">
        <f>_xlfn.LET(_xlpm.steps,SUBSTITUTE(Table13[[#This Row],[Input]],Table13[[#This Row],[Direction]],""),VALUE(IF(LEN(_xlpm.steps)&gt;2,RIGHT(_xlpm.steps,2),_xlpm.steps)))</f>
        <v>51</v>
      </c>
      <c r="D3464">
        <f>_xlfn.LET(_xlpm.steps,SUBSTITUTE(Table13[[#This Row],[Input]],Table13[[#This Row],[Direction]],""),VALUE(IF(LEN(_xlpm.steps)&gt;2,LEFT(_xlpm.steps,LEN(_xlpm.steps)-2),0)))</f>
        <v>0</v>
      </c>
      <c r="E3464">
        <f>_xlfn.LET(_xlpm.dir,Table13[[#This Row],[Direction]],
IF(_xlpm.dir="L",
    IF(G3463-Table13[[#This Row],[Steps]]&lt;0,100+(G3463-Table13[[#This Row],[Steps]]),G3463-Table13[[#This Row],[Steps]]),
))</f>
        <v>0</v>
      </c>
      <c r="F3464">
        <f>_xlfn.LET(_xlpm.dir,Table13[[#This Row],[Direction]],
IF(_xlpm.dir="R",
    IF(G3463+Table13[[#This Row],[Steps]]&gt;99,(G3463+Table13[[#This Row],[Steps]])-100,G3463+Table13[[#This Row],[Steps]]),
))</f>
        <v>61</v>
      </c>
      <c r="G3464">
        <f>IF(Table13[[#This Row],[New Pos L]]&lt;&gt;0,Table13[[#This Row],[New Pos L]],Table13[[#This Row],[New Pos R]])</f>
        <v>61</v>
      </c>
      <c r="H3464">
        <f>IF(AND(Table13[[#This Row],[Direction]]="L",Table13[[#This Row],[Steps]]&gt;G3463,G3463&lt;&gt;0),1,0)</f>
        <v>0</v>
      </c>
      <c r="I3464">
        <f>IF(AND(Table13[[#This Row],[Direction]]="R",(G3463+Table13[[#This Row],[Steps]])&gt;100),1,0)</f>
        <v>0</v>
      </c>
      <c r="J3464">
        <f>IF(Table13[[#This Row],[POS]]=0,1,0)</f>
        <v>0</v>
      </c>
      <c r="K3464">
        <f>SUM(Table13[[#This Row],[prefix]],Table13[[#This Row],[Past zero L]],Table13[[#This Row],[Past Zero R]],Table13[[#This Row],[Is Zero]])</f>
        <v>0</v>
      </c>
    </row>
    <row r="3465" spans="1:11" ht="16" x14ac:dyDescent="0.2">
      <c r="A3465" s="1" t="s">
        <v>174</v>
      </c>
      <c r="B3465" t="str">
        <f>LEFT(Table13[[#This Row],[Input]],1)</f>
        <v>L</v>
      </c>
      <c r="C3465">
        <f>_xlfn.LET(_xlpm.steps,SUBSTITUTE(Table13[[#This Row],[Input]],Table13[[#This Row],[Direction]],""),VALUE(IF(LEN(_xlpm.steps)&gt;2,RIGHT(_xlpm.steps,2),_xlpm.steps)))</f>
        <v>92</v>
      </c>
      <c r="D3465">
        <f>_xlfn.LET(_xlpm.steps,SUBSTITUTE(Table13[[#This Row],[Input]],Table13[[#This Row],[Direction]],""),VALUE(IF(LEN(_xlpm.steps)&gt;2,LEFT(_xlpm.steps,LEN(_xlpm.steps)-2),0)))</f>
        <v>0</v>
      </c>
      <c r="E3465">
        <f>_xlfn.LET(_xlpm.dir,Table13[[#This Row],[Direction]],
IF(_xlpm.dir="L",
    IF(G3464-Table13[[#This Row],[Steps]]&lt;0,100+(G3464-Table13[[#This Row],[Steps]]),G3464-Table13[[#This Row],[Steps]]),
))</f>
        <v>69</v>
      </c>
      <c r="F3465">
        <f>_xlfn.LET(_xlpm.dir,Table13[[#This Row],[Direction]],
IF(_xlpm.dir="R",
    IF(G3464+Table13[[#This Row],[Steps]]&gt;99,(G3464+Table13[[#This Row],[Steps]])-100,G3464+Table13[[#This Row],[Steps]]),
))</f>
        <v>0</v>
      </c>
      <c r="G3465">
        <f>IF(Table13[[#This Row],[New Pos L]]&lt;&gt;0,Table13[[#This Row],[New Pos L]],Table13[[#This Row],[New Pos R]])</f>
        <v>69</v>
      </c>
      <c r="H3465">
        <f>IF(AND(Table13[[#This Row],[Direction]]="L",Table13[[#This Row],[Steps]]&gt;G3464,G3464&lt;&gt;0),1,0)</f>
        <v>1</v>
      </c>
      <c r="I3465">
        <f>IF(AND(Table13[[#This Row],[Direction]]="R",(G3464+Table13[[#This Row],[Steps]])&gt;100),1,0)</f>
        <v>0</v>
      </c>
      <c r="J3465">
        <f>IF(Table13[[#This Row],[POS]]=0,1,0)</f>
        <v>0</v>
      </c>
      <c r="K3465">
        <f>SUM(Table13[[#This Row],[prefix]],Table13[[#This Row],[Past zero L]],Table13[[#This Row],[Past Zero R]],Table13[[#This Row],[Is Zero]])</f>
        <v>1</v>
      </c>
    </row>
    <row r="3466" spans="1:11" ht="16" x14ac:dyDescent="0.2">
      <c r="A3466" s="1" t="s">
        <v>188</v>
      </c>
      <c r="B3466" t="str">
        <f>LEFT(Table13[[#This Row],[Input]],1)</f>
        <v>R</v>
      </c>
      <c r="C3466">
        <f>_xlfn.LET(_xlpm.steps,SUBSTITUTE(Table13[[#This Row],[Input]],Table13[[#This Row],[Direction]],""),VALUE(IF(LEN(_xlpm.steps)&gt;2,RIGHT(_xlpm.steps,2),_xlpm.steps)))</f>
        <v>5</v>
      </c>
      <c r="D3466">
        <f>_xlfn.LET(_xlpm.steps,SUBSTITUTE(Table13[[#This Row],[Input]],Table13[[#This Row],[Direction]],""),VALUE(IF(LEN(_xlpm.steps)&gt;2,LEFT(_xlpm.steps,LEN(_xlpm.steps)-2),0)))</f>
        <v>0</v>
      </c>
      <c r="E3466">
        <f>_xlfn.LET(_xlpm.dir,Table13[[#This Row],[Direction]],
IF(_xlpm.dir="L",
    IF(G3465-Table13[[#This Row],[Steps]]&lt;0,100+(G3465-Table13[[#This Row],[Steps]]),G3465-Table13[[#This Row],[Steps]]),
))</f>
        <v>0</v>
      </c>
      <c r="F3466">
        <f>_xlfn.LET(_xlpm.dir,Table13[[#This Row],[Direction]],
IF(_xlpm.dir="R",
    IF(G3465+Table13[[#This Row],[Steps]]&gt;99,(G3465+Table13[[#This Row],[Steps]])-100,G3465+Table13[[#This Row],[Steps]]),
))</f>
        <v>74</v>
      </c>
      <c r="G3466">
        <f>IF(Table13[[#This Row],[New Pos L]]&lt;&gt;0,Table13[[#This Row],[New Pos L]],Table13[[#This Row],[New Pos R]])</f>
        <v>74</v>
      </c>
      <c r="H3466">
        <f>IF(AND(Table13[[#This Row],[Direction]]="L",Table13[[#This Row],[Steps]]&gt;G3465,G3465&lt;&gt;0),1,0)</f>
        <v>0</v>
      </c>
      <c r="I3466">
        <f>IF(AND(Table13[[#This Row],[Direction]]="R",(G3465+Table13[[#This Row],[Steps]])&gt;100),1,0)</f>
        <v>0</v>
      </c>
      <c r="J3466">
        <f>IF(Table13[[#This Row],[POS]]=0,1,0)</f>
        <v>0</v>
      </c>
      <c r="K3466">
        <f>SUM(Table13[[#This Row],[prefix]],Table13[[#This Row],[Past zero L]],Table13[[#This Row],[Past Zero R]],Table13[[#This Row],[Is Zero]])</f>
        <v>0</v>
      </c>
    </row>
    <row r="3467" spans="1:11" ht="16" x14ac:dyDescent="0.2">
      <c r="A3467" s="1" t="s">
        <v>40</v>
      </c>
      <c r="B3467" t="str">
        <f>LEFT(Table13[[#This Row],[Input]],1)</f>
        <v>R</v>
      </c>
      <c r="C3467">
        <f>_xlfn.LET(_xlpm.steps,SUBSTITUTE(Table13[[#This Row],[Input]],Table13[[#This Row],[Direction]],""),VALUE(IF(LEN(_xlpm.steps)&gt;2,RIGHT(_xlpm.steps,2),_xlpm.steps)))</f>
        <v>52</v>
      </c>
      <c r="D3467">
        <f>_xlfn.LET(_xlpm.steps,SUBSTITUTE(Table13[[#This Row],[Input]],Table13[[#This Row],[Direction]],""),VALUE(IF(LEN(_xlpm.steps)&gt;2,LEFT(_xlpm.steps,LEN(_xlpm.steps)-2),0)))</f>
        <v>0</v>
      </c>
      <c r="E3467">
        <f>_xlfn.LET(_xlpm.dir,Table13[[#This Row],[Direction]],
IF(_xlpm.dir="L",
    IF(G3466-Table13[[#This Row],[Steps]]&lt;0,100+(G3466-Table13[[#This Row],[Steps]]),G3466-Table13[[#This Row],[Steps]]),
))</f>
        <v>0</v>
      </c>
      <c r="F3467">
        <f>_xlfn.LET(_xlpm.dir,Table13[[#This Row],[Direction]],
IF(_xlpm.dir="R",
    IF(G3466+Table13[[#This Row],[Steps]]&gt;99,(G3466+Table13[[#This Row],[Steps]])-100,G3466+Table13[[#This Row],[Steps]]),
))</f>
        <v>26</v>
      </c>
      <c r="G3467">
        <f>IF(Table13[[#This Row],[New Pos L]]&lt;&gt;0,Table13[[#This Row],[New Pos L]],Table13[[#This Row],[New Pos R]])</f>
        <v>26</v>
      </c>
      <c r="H3467">
        <f>IF(AND(Table13[[#This Row],[Direction]]="L",Table13[[#This Row],[Steps]]&gt;G3466,G3466&lt;&gt;0),1,0)</f>
        <v>0</v>
      </c>
      <c r="I3467">
        <f>IF(AND(Table13[[#This Row],[Direction]]="R",(G3466+Table13[[#This Row],[Steps]])&gt;100),1,0)</f>
        <v>1</v>
      </c>
      <c r="J3467">
        <f>IF(Table13[[#This Row],[POS]]=0,1,0)</f>
        <v>0</v>
      </c>
      <c r="K3467">
        <f>SUM(Table13[[#This Row],[prefix]],Table13[[#This Row],[Past zero L]],Table13[[#This Row],[Past Zero R]],Table13[[#This Row],[Is Zero]])</f>
        <v>1</v>
      </c>
    </row>
    <row r="3468" spans="1:11" ht="16" x14ac:dyDescent="0.2">
      <c r="A3468" s="1" t="s">
        <v>748</v>
      </c>
      <c r="B3468" t="str">
        <f>LEFT(Table13[[#This Row],[Input]],1)</f>
        <v>L</v>
      </c>
      <c r="C3468">
        <f>_xlfn.LET(_xlpm.steps,SUBSTITUTE(Table13[[#This Row],[Input]],Table13[[#This Row],[Direction]],""),VALUE(IF(LEN(_xlpm.steps)&gt;2,RIGHT(_xlpm.steps,2),_xlpm.steps)))</f>
        <v>26</v>
      </c>
      <c r="D3468">
        <f>_xlfn.LET(_xlpm.steps,SUBSTITUTE(Table13[[#This Row],[Input]],Table13[[#This Row],[Direction]],""),VALUE(IF(LEN(_xlpm.steps)&gt;2,LEFT(_xlpm.steps,LEN(_xlpm.steps)-2),0)))</f>
        <v>8</v>
      </c>
      <c r="E3468">
        <f>_xlfn.LET(_xlpm.dir,Table13[[#This Row],[Direction]],
IF(_xlpm.dir="L",
    IF(G3467-Table13[[#This Row],[Steps]]&lt;0,100+(G3467-Table13[[#This Row],[Steps]]),G3467-Table13[[#This Row],[Steps]]),
))</f>
        <v>0</v>
      </c>
      <c r="F3468">
        <f>_xlfn.LET(_xlpm.dir,Table13[[#This Row],[Direction]],
IF(_xlpm.dir="R",
    IF(G3467+Table13[[#This Row],[Steps]]&gt;99,(G3467+Table13[[#This Row],[Steps]])-100,G3467+Table13[[#This Row],[Steps]]),
))</f>
        <v>0</v>
      </c>
      <c r="G3468">
        <f>IF(Table13[[#This Row],[New Pos L]]&lt;&gt;0,Table13[[#This Row],[New Pos L]],Table13[[#This Row],[New Pos R]])</f>
        <v>0</v>
      </c>
      <c r="H3468">
        <f>IF(AND(Table13[[#This Row],[Direction]]="L",Table13[[#This Row],[Steps]]&gt;G3467,G3467&lt;&gt;0),1,0)</f>
        <v>0</v>
      </c>
      <c r="I3468">
        <f>IF(AND(Table13[[#This Row],[Direction]]="R",(G3467+Table13[[#This Row],[Steps]])&gt;100),1,0)</f>
        <v>0</v>
      </c>
      <c r="J3468">
        <f>IF(Table13[[#This Row],[POS]]=0,1,0)</f>
        <v>1</v>
      </c>
      <c r="K3468">
        <f>SUM(Table13[[#This Row],[prefix]],Table13[[#This Row],[Past zero L]],Table13[[#This Row],[Past Zero R]],Table13[[#This Row],[Is Zero]])</f>
        <v>9</v>
      </c>
    </row>
    <row r="3469" spans="1:11" ht="16" x14ac:dyDescent="0.2">
      <c r="A3469" s="1" t="s">
        <v>42</v>
      </c>
      <c r="B3469" t="str">
        <f>LEFT(Table13[[#This Row],[Input]],1)</f>
        <v>L</v>
      </c>
      <c r="C3469">
        <f>_xlfn.LET(_xlpm.steps,SUBSTITUTE(Table13[[#This Row],[Input]],Table13[[#This Row],[Direction]],""),VALUE(IF(LEN(_xlpm.steps)&gt;2,RIGHT(_xlpm.steps,2),_xlpm.steps)))</f>
        <v>27</v>
      </c>
      <c r="D3469">
        <f>_xlfn.LET(_xlpm.steps,SUBSTITUTE(Table13[[#This Row],[Input]],Table13[[#This Row],[Direction]],""),VALUE(IF(LEN(_xlpm.steps)&gt;2,LEFT(_xlpm.steps,LEN(_xlpm.steps)-2),0)))</f>
        <v>0</v>
      </c>
      <c r="E3469">
        <f>_xlfn.LET(_xlpm.dir,Table13[[#This Row],[Direction]],
IF(_xlpm.dir="L",
    IF(G3468-Table13[[#This Row],[Steps]]&lt;0,100+(G3468-Table13[[#This Row],[Steps]]),G3468-Table13[[#This Row],[Steps]]),
))</f>
        <v>73</v>
      </c>
      <c r="F3469">
        <f>_xlfn.LET(_xlpm.dir,Table13[[#This Row],[Direction]],
IF(_xlpm.dir="R",
    IF(G3468+Table13[[#This Row],[Steps]]&gt;99,(G3468+Table13[[#This Row],[Steps]])-100,G3468+Table13[[#This Row],[Steps]]),
))</f>
        <v>0</v>
      </c>
      <c r="G3469">
        <f>IF(Table13[[#This Row],[New Pos L]]&lt;&gt;0,Table13[[#This Row],[New Pos L]],Table13[[#This Row],[New Pos R]])</f>
        <v>73</v>
      </c>
      <c r="H3469">
        <f>IF(AND(Table13[[#This Row],[Direction]]="L",Table13[[#This Row],[Steps]]&gt;G3468,G3468&lt;&gt;0),1,0)</f>
        <v>0</v>
      </c>
      <c r="I3469">
        <f>IF(AND(Table13[[#This Row],[Direction]]="R",(G3468+Table13[[#This Row],[Steps]])&gt;100),1,0)</f>
        <v>0</v>
      </c>
      <c r="J3469">
        <f>IF(Table13[[#This Row],[POS]]=0,1,0)</f>
        <v>0</v>
      </c>
      <c r="K3469">
        <f>SUM(Table13[[#This Row],[prefix]],Table13[[#This Row],[Past zero L]],Table13[[#This Row],[Past Zero R]],Table13[[#This Row],[Is Zero]])</f>
        <v>0</v>
      </c>
    </row>
    <row r="3470" spans="1:11" ht="16" x14ac:dyDescent="0.2">
      <c r="A3470" s="1" t="s">
        <v>171</v>
      </c>
      <c r="B3470" t="str">
        <f>LEFT(Table13[[#This Row],[Input]],1)</f>
        <v>L</v>
      </c>
      <c r="C3470">
        <f>_xlfn.LET(_xlpm.steps,SUBSTITUTE(Table13[[#This Row],[Input]],Table13[[#This Row],[Direction]],""),VALUE(IF(LEN(_xlpm.steps)&gt;2,RIGHT(_xlpm.steps,2),_xlpm.steps)))</f>
        <v>73</v>
      </c>
      <c r="D3470">
        <f>_xlfn.LET(_xlpm.steps,SUBSTITUTE(Table13[[#This Row],[Input]],Table13[[#This Row],[Direction]],""),VALUE(IF(LEN(_xlpm.steps)&gt;2,LEFT(_xlpm.steps,LEN(_xlpm.steps)-2),0)))</f>
        <v>0</v>
      </c>
      <c r="E3470">
        <f>_xlfn.LET(_xlpm.dir,Table13[[#This Row],[Direction]],
IF(_xlpm.dir="L",
    IF(G3469-Table13[[#This Row],[Steps]]&lt;0,100+(G3469-Table13[[#This Row],[Steps]]),G3469-Table13[[#This Row],[Steps]]),
))</f>
        <v>0</v>
      </c>
      <c r="F3470">
        <f>_xlfn.LET(_xlpm.dir,Table13[[#This Row],[Direction]],
IF(_xlpm.dir="R",
    IF(G3469+Table13[[#This Row],[Steps]]&gt;99,(G3469+Table13[[#This Row],[Steps]])-100,G3469+Table13[[#This Row],[Steps]]),
))</f>
        <v>0</v>
      </c>
      <c r="G3470">
        <f>IF(Table13[[#This Row],[New Pos L]]&lt;&gt;0,Table13[[#This Row],[New Pos L]],Table13[[#This Row],[New Pos R]])</f>
        <v>0</v>
      </c>
      <c r="H3470">
        <f>IF(AND(Table13[[#This Row],[Direction]]="L",Table13[[#This Row],[Steps]]&gt;G3469,G3469&lt;&gt;0),1,0)</f>
        <v>0</v>
      </c>
      <c r="I3470">
        <f>IF(AND(Table13[[#This Row],[Direction]]="R",(G3469+Table13[[#This Row],[Steps]])&gt;100),1,0)</f>
        <v>0</v>
      </c>
      <c r="J3470">
        <f>IF(Table13[[#This Row],[POS]]=0,1,0)</f>
        <v>1</v>
      </c>
      <c r="K3470">
        <f>SUM(Table13[[#This Row],[prefix]],Table13[[#This Row],[Past zero L]],Table13[[#This Row],[Past Zero R]],Table13[[#This Row],[Is Zero]])</f>
        <v>1</v>
      </c>
    </row>
    <row r="3471" spans="1:11" ht="16" x14ac:dyDescent="0.2">
      <c r="A3471" s="1" t="s">
        <v>182</v>
      </c>
      <c r="B3471" t="str">
        <f>LEFT(Table13[[#This Row],[Input]],1)</f>
        <v>L</v>
      </c>
      <c r="C3471">
        <f>_xlfn.LET(_xlpm.steps,SUBSTITUTE(Table13[[#This Row],[Input]],Table13[[#This Row],[Direction]],""),VALUE(IF(LEN(_xlpm.steps)&gt;2,RIGHT(_xlpm.steps,2),_xlpm.steps)))</f>
        <v>3</v>
      </c>
      <c r="D3471">
        <f>_xlfn.LET(_xlpm.steps,SUBSTITUTE(Table13[[#This Row],[Input]],Table13[[#This Row],[Direction]],""),VALUE(IF(LEN(_xlpm.steps)&gt;2,LEFT(_xlpm.steps,LEN(_xlpm.steps)-2),0)))</f>
        <v>0</v>
      </c>
      <c r="E3471">
        <f>_xlfn.LET(_xlpm.dir,Table13[[#This Row],[Direction]],
IF(_xlpm.dir="L",
    IF(G3470-Table13[[#This Row],[Steps]]&lt;0,100+(G3470-Table13[[#This Row],[Steps]]),G3470-Table13[[#This Row],[Steps]]),
))</f>
        <v>97</v>
      </c>
      <c r="F3471">
        <f>_xlfn.LET(_xlpm.dir,Table13[[#This Row],[Direction]],
IF(_xlpm.dir="R",
    IF(G3470+Table13[[#This Row],[Steps]]&gt;99,(G3470+Table13[[#This Row],[Steps]])-100,G3470+Table13[[#This Row],[Steps]]),
))</f>
        <v>0</v>
      </c>
      <c r="G3471">
        <f>IF(Table13[[#This Row],[New Pos L]]&lt;&gt;0,Table13[[#This Row],[New Pos L]],Table13[[#This Row],[New Pos R]])</f>
        <v>97</v>
      </c>
      <c r="H3471">
        <f>IF(AND(Table13[[#This Row],[Direction]]="L",Table13[[#This Row],[Steps]]&gt;G3470,G3470&lt;&gt;0),1,0)</f>
        <v>0</v>
      </c>
      <c r="I3471">
        <f>IF(AND(Table13[[#This Row],[Direction]]="R",(G3470+Table13[[#This Row],[Steps]])&gt;100),1,0)</f>
        <v>0</v>
      </c>
      <c r="J3471">
        <f>IF(Table13[[#This Row],[POS]]=0,1,0)</f>
        <v>0</v>
      </c>
      <c r="K3471">
        <f>SUM(Table13[[#This Row],[prefix]],Table13[[#This Row],[Past zero L]],Table13[[#This Row],[Past Zero R]],Table13[[#This Row],[Is Zero]])</f>
        <v>0</v>
      </c>
    </row>
    <row r="3472" spans="1:11" ht="16" x14ac:dyDescent="0.2">
      <c r="A3472" s="1" t="s">
        <v>749</v>
      </c>
      <c r="B3472" t="str">
        <f>LEFT(Table13[[#This Row],[Input]],1)</f>
        <v>R</v>
      </c>
      <c r="C3472">
        <f>_xlfn.LET(_xlpm.steps,SUBSTITUTE(Table13[[#This Row],[Input]],Table13[[#This Row],[Direction]],""),VALUE(IF(LEN(_xlpm.steps)&gt;2,RIGHT(_xlpm.steps,2),_xlpm.steps)))</f>
        <v>83</v>
      </c>
      <c r="D3472">
        <f>_xlfn.LET(_xlpm.steps,SUBSTITUTE(Table13[[#This Row],[Input]],Table13[[#This Row],[Direction]],""),VALUE(IF(LEN(_xlpm.steps)&gt;2,LEFT(_xlpm.steps,LEN(_xlpm.steps)-2),0)))</f>
        <v>8</v>
      </c>
      <c r="E3472">
        <f>_xlfn.LET(_xlpm.dir,Table13[[#This Row],[Direction]],
IF(_xlpm.dir="L",
    IF(G3471-Table13[[#This Row],[Steps]]&lt;0,100+(G3471-Table13[[#This Row],[Steps]]),G3471-Table13[[#This Row],[Steps]]),
))</f>
        <v>0</v>
      </c>
      <c r="F3472">
        <f>_xlfn.LET(_xlpm.dir,Table13[[#This Row],[Direction]],
IF(_xlpm.dir="R",
    IF(G3471+Table13[[#This Row],[Steps]]&gt;99,(G3471+Table13[[#This Row],[Steps]])-100,G3471+Table13[[#This Row],[Steps]]),
))</f>
        <v>80</v>
      </c>
      <c r="G3472">
        <f>IF(Table13[[#This Row],[New Pos L]]&lt;&gt;0,Table13[[#This Row],[New Pos L]],Table13[[#This Row],[New Pos R]])</f>
        <v>80</v>
      </c>
      <c r="H3472">
        <f>IF(AND(Table13[[#This Row],[Direction]]="L",Table13[[#This Row],[Steps]]&gt;G3471,G3471&lt;&gt;0),1,0)</f>
        <v>0</v>
      </c>
      <c r="I3472">
        <f>IF(AND(Table13[[#This Row],[Direction]]="R",(G3471+Table13[[#This Row],[Steps]])&gt;100),1,0)</f>
        <v>1</v>
      </c>
      <c r="J3472">
        <f>IF(Table13[[#This Row],[POS]]=0,1,0)</f>
        <v>0</v>
      </c>
      <c r="K3472">
        <f>SUM(Table13[[#This Row],[prefix]],Table13[[#This Row],[Past zero L]],Table13[[#This Row],[Past Zero R]],Table13[[#This Row],[Is Zero]])</f>
        <v>9</v>
      </c>
    </row>
    <row r="3473" spans="1:11" ht="16" x14ac:dyDescent="0.2">
      <c r="A3473" s="1" t="s">
        <v>286</v>
      </c>
      <c r="B3473" t="str">
        <f>LEFT(Table13[[#This Row],[Input]],1)</f>
        <v>L</v>
      </c>
      <c r="C3473">
        <f>_xlfn.LET(_xlpm.steps,SUBSTITUTE(Table13[[#This Row],[Input]],Table13[[#This Row],[Direction]],""),VALUE(IF(LEN(_xlpm.steps)&gt;2,RIGHT(_xlpm.steps,2),_xlpm.steps)))</f>
        <v>53</v>
      </c>
      <c r="D3473">
        <f>_xlfn.LET(_xlpm.steps,SUBSTITUTE(Table13[[#This Row],[Input]],Table13[[#This Row],[Direction]],""),VALUE(IF(LEN(_xlpm.steps)&gt;2,LEFT(_xlpm.steps,LEN(_xlpm.steps)-2),0)))</f>
        <v>5</v>
      </c>
      <c r="E3473">
        <f>_xlfn.LET(_xlpm.dir,Table13[[#This Row],[Direction]],
IF(_xlpm.dir="L",
    IF(G3472-Table13[[#This Row],[Steps]]&lt;0,100+(G3472-Table13[[#This Row],[Steps]]),G3472-Table13[[#This Row],[Steps]]),
))</f>
        <v>27</v>
      </c>
      <c r="F3473">
        <f>_xlfn.LET(_xlpm.dir,Table13[[#This Row],[Direction]],
IF(_xlpm.dir="R",
    IF(G3472+Table13[[#This Row],[Steps]]&gt;99,(G3472+Table13[[#This Row],[Steps]])-100,G3472+Table13[[#This Row],[Steps]]),
))</f>
        <v>0</v>
      </c>
      <c r="G3473">
        <f>IF(Table13[[#This Row],[New Pos L]]&lt;&gt;0,Table13[[#This Row],[New Pos L]],Table13[[#This Row],[New Pos R]])</f>
        <v>27</v>
      </c>
      <c r="H3473">
        <f>IF(AND(Table13[[#This Row],[Direction]]="L",Table13[[#This Row],[Steps]]&gt;G3472,G3472&lt;&gt;0),1,0)</f>
        <v>0</v>
      </c>
      <c r="I3473">
        <f>IF(AND(Table13[[#This Row],[Direction]]="R",(G3472+Table13[[#This Row],[Steps]])&gt;100),1,0)</f>
        <v>0</v>
      </c>
      <c r="J3473">
        <f>IF(Table13[[#This Row],[POS]]=0,1,0)</f>
        <v>0</v>
      </c>
      <c r="K3473">
        <f>SUM(Table13[[#This Row],[prefix]],Table13[[#This Row],[Past zero L]],Table13[[#This Row],[Past Zero R]],Table13[[#This Row],[Is Zero]])</f>
        <v>5</v>
      </c>
    </row>
    <row r="3474" spans="1:11" ht="16" x14ac:dyDescent="0.2">
      <c r="A3474" s="1" t="s">
        <v>42</v>
      </c>
      <c r="B3474" t="str">
        <f>LEFT(Table13[[#This Row],[Input]],1)</f>
        <v>L</v>
      </c>
      <c r="C3474">
        <f>_xlfn.LET(_xlpm.steps,SUBSTITUTE(Table13[[#This Row],[Input]],Table13[[#This Row],[Direction]],""),VALUE(IF(LEN(_xlpm.steps)&gt;2,RIGHT(_xlpm.steps,2),_xlpm.steps)))</f>
        <v>27</v>
      </c>
      <c r="D3474">
        <f>_xlfn.LET(_xlpm.steps,SUBSTITUTE(Table13[[#This Row],[Input]],Table13[[#This Row],[Direction]],""),VALUE(IF(LEN(_xlpm.steps)&gt;2,LEFT(_xlpm.steps,LEN(_xlpm.steps)-2),0)))</f>
        <v>0</v>
      </c>
      <c r="E3474">
        <f>_xlfn.LET(_xlpm.dir,Table13[[#This Row],[Direction]],
IF(_xlpm.dir="L",
    IF(G3473-Table13[[#This Row],[Steps]]&lt;0,100+(G3473-Table13[[#This Row],[Steps]]),G3473-Table13[[#This Row],[Steps]]),
))</f>
        <v>0</v>
      </c>
      <c r="F3474">
        <f>_xlfn.LET(_xlpm.dir,Table13[[#This Row],[Direction]],
IF(_xlpm.dir="R",
    IF(G3473+Table13[[#This Row],[Steps]]&gt;99,(G3473+Table13[[#This Row],[Steps]])-100,G3473+Table13[[#This Row],[Steps]]),
))</f>
        <v>0</v>
      </c>
      <c r="G3474">
        <f>IF(Table13[[#This Row],[New Pos L]]&lt;&gt;0,Table13[[#This Row],[New Pos L]],Table13[[#This Row],[New Pos R]])</f>
        <v>0</v>
      </c>
      <c r="H3474">
        <f>IF(AND(Table13[[#This Row],[Direction]]="L",Table13[[#This Row],[Steps]]&gt;G3473,G3473&lt;&gt;0),1,0)</f>
        <v>0</v>
      </c>
      <c r="I3474">
        <f>IF(AND(Table13[[#This Row],[Direction]]="R",(G3473+Table13[[#This Row],[Steps]])&gt;100),1,0)</f>
        <v>0</v>
      </c>
      <c r="J3474">
        <f>IF(Table13[[#This Row],[POS]]=0,1,0)</f>
        <v>1</v>
      </c>
      <c r="K3474">
        <f>SUM(Table13[[#This Row],[prefix]],Table13[[#This Row],[Past zero L]],Table13[[#This Row],[Past Zero R]],Table13[[#This Row],[Is Zero]])</f>
        <v>1</v>
      </c>
    </row>
    <row r="3475" spans="1:11" ht="16" x14ac:dyDescent="0.2">
      <c r="A3475" s="1" t="s">
        <v>357</v>
      </c>
      <c r="B3475" t="str">
        <f>LEFT(Table13[[#This Row],[Input]],1)</f>
        <v>R</v>
      </c>
      <c r="C3475">
        <f>_xlfn.LET(_xlpm.steps,SUBSTITUTE(Table13[[#This Row],[Input]],Table13[[#This Row],[Direction]],""),VALUE(IF(LEN(_xlpm.steps)&gt;2,RIGHT(_xlpm.steps,2),_xlpm.steps)))</f>
        <v>72</v>
      </c>
      <c r="D3475">
        <f>_xlfn.LET(_xlpm.steps,SUBSTITUTE(Table13[[#This Row],[Input]],Table13[[#This Row],[Direction]],""),VALUE(IF(LEN(_xlpm.steps)&gt;2,LEFT(_xlpm.steps,LEN(_xlpm.steps)-2),0)))</f>
        <v>0</v>
      </c>
      <c r="E3475">
        <f>_xlfn.LET(_xlpm.dir,Table13[[#This Row],[Direction]],
IF(_xlpm.dir="L",
    IF(G3474-Table13[[#This Row],[Steps]]&lt;0,100+(G3474-Table13[[#This Row],[Steps]]),G3474-Table13[[#This Row],[Steps]]),
))</f>
        <v>0</v>
      </c>
      <c r="F3475">
        <f>_xlfn.LET(_xlpm.dir,Table13[[#This Row],[Direction]],
IF(_xlpm.dir="R",
    IF(G3474+Table13[[#This Row],[Steps]]&gt;99,(G3474+Table13[[#This Row],[Steps]])-100,G3474+Table13[[#This Row],[Steps]]),
))</f>
        <v>72</v>
      </c>
      <c r="G3475">
        <f>IF(Table13[[#This Row],[New Pos L]]&lt;&gt;0,Table13[[#This Row],[New Pos L]],Table13[[#This Row],[New Pos R]])</f>
        <v>72</v>
      </c>
      <c r="H3475">
        <f>IF(AND(Table13[[#This Row],[Direction]]="L",Table13[[#This Row],[Steps]]&gt;G3474,G3474&lt;&gt;0),1,0)</f>
        <v>0</v>
      </c>
      <c r="I3475">
        <f>IF(AND(Table13[[#This Row],[Direction]]="R",(G3474+Table13[[#This Row],[Steps]])&gt;100),1,0)</f>
        <v>0</v>
      </c>
      <c r="J3475">
        <f>IF(Table13[[#This Row],[POS]]=0,1,0)</f>
        <v>0</v>
      </c>
      <c r="K3475">
        <f>SUM(Table13[[#This Row],[prefix]],Table13[[#This Row],[Past zero L]],Table13[[#This Row],[Past Zero R]],Table13[[#This Row],[Is Zero]])</f>
        <v>0</v>
      </c>
    </row>
    <row r="3476" spans="1:11" ht="16" x14ac:dyDescent="0.2">
      <c r="A3476" s="1" t="s">
        <v>167</v>
      </c>
      <c r="B3476" t="str">
        <f>LEFT(Table13[[#This Row],[Input]],1)</f>
        <v>L</v>
      </c>
      <c r="C3476">
        <f>_xlfn.LET(_xlpm.steps,SUBSTITUTE(Table13[[#This Row],[Input]],Table13[[#This Row],[Direction]],""),VALUE(IF(LEN(_xlpm.steps)&gt;2,RIGHT(_xlpm.steps,2),_xlpm.steps)))</f>
        <v>59</v>
      </c>
      <c r="D3476">
        <f>_xlfn.LET(_xlpm.steps,SUBSTITUTE(Table13[[#This Row],[Input]],Table13[[#This Row],[Direction]],""),VALUE(IF(LEN(_xlpm.steps)&gt;2,LEFT(_xlpm.steps,LEN(_xlpm.steps)-2),0)))</f>
        <v>0</v>
      </c>
      <c r="E3476">
        <f>_xlfn.LET(_xlpm.dir,Table13[[#This Row],[Direction]],
IF(_xlpm.dir="L",
    IF(G3475-Table13[[#This Row],[Steps]]&lt;0,100+(G3475-Table13[[#This Row],[Steps]]),G3475-Table13[[#This Row],[Steps]]),
))</f>
        <v>13</v>
      </c>
      <c r="F3476">
        <f>_xlfn.LET(_xlpm.dir,Table13[[#This Row],[Direction]],
IF(_xlpm.dir="R",
    IF(G3475+Table13[[#This Row],[Steps]]&gt;99,(G3475+Table13[[#This Row],[Steps]])-100,G3475+Table13[[#This Row],[Steps]]),
))</f>
        <v>0</v>
      </c>
      <c r="G3476">
        <f>IF(Table13[[#This Row],[New Pos L]]&lt;&gt;0,Table13[[#This Row],[New Pos L]],Table13[[#This Row],[New Pos R]])</f>
        <v>13</v>
      </c>
      <c r="H3476">
        <f>IF(AND(Table13[[#This Row],[Direction]]="L",Table13[[#This Row],[Steps]]&gt;G3475,G3475&lt;&gt;0),1,0)</f>
        <v>0</v>
      </c>
      <c r="I3476">
        <f>IF(AND(Table13[[#This Row],[Direction]]="R",(G3475+Table13[[#This Row],[Steps]])&gt;100),1,0)</f>
        <v>0</v>
      </c>
      <c r="J3476">
        <f>IF(Table13[[#This Row],[POS]]=0,1,0)</f>
        <v>0</v>
      </c>
      <c r="K3476">
        <f>SUM(Table13[[#This Row],[prefix]],Table13[[#This Row],[Past zero L]],Table13[[#This Row],[Past Zero R]],Table13[[#This Row],[Is Zero]])</f>
        <v>0</v>
      </c>
    </row>
    <row r="3477" spans="1:11" ht="16" x14ac:dyDescent="0.2">
      <c r="A3477" s="1" t="s">
        <v>70</v>
      </c>
      <c r="B3477" t="str">
        <f>LEFT(Table13[[#This Row],[Input]],1)</f>
        <v>R</v>
      </c>
      <c r="C3477">
        <f>_xlfn.LET(_xlpm.steps,SUBSTITUTE(Table13[[#This Row],[Input]],Table13[[#This Row],[Direction]],""),VALUE(IF(LEN(_xlpm.steps)&gt;2,RIGHT(_xlpm.steps,2),_xlpm.steps)))</f>
        <v>73</v>
      </c>
      <c r="D3477">
        <f>_xlfn.LET(_xlpm.steps,SUBSTITUTE(Table13[[#This Row],[Input]],Table13[[#This Row],[Direction]],""),VALUE(IF(LEN(_xlpm.steps)&gt;2,LEFT(_xlpm.steps,LEN(_xlpm.steps)-2),0)))</f>
        <v>0</v>
      </c>
      <c r="E3477">
        <f>_xlfn.LET(_xlpm.dir,Table13[[#This Row],[Direction]],
IF(_xlpm.dir="L",
    IF(G3476-Table13[[#This Row],[Steps]]&lt;0,100+(G3476-Table13[[#This Row],[Steps]]),G3476-Table13[[#This Row],[Steps]]),
))</f>
        <v>0</v>
      </c>
      <c r="F3477">
        <f>_xlfn.LET(_xlpm.dir,Table13[[#This Row],[Direction]],
IF(_xlpm.dir="R",
    IF(G3476+Table13[[#This Row],[Steps]]&gt;99,(G3476+Table13[[#This Row],[Steps]])-100,G3476+Table13[[#This Row],[Steps]]),
))</f>
        <v>86</v>
      </c>
      <c r="G3477">
        <f>IF(Table13[[#This Row],[New Pos L]]&lt;&gt;0,Table13[[#This Row],[New Pos L]],Table13[[#This Row],[New Pos R]])</f>
        <v>86</v>
      </c>
      <c r="H3477">
        <f>IF(AND(Table13[[#This Row],[Direction]]="L",Table13[[#This Row],[Steps]]&gt;G3476,G3476&lt;&gt;0),1,0)</f>
        <v>0</v>
      </c>
      <c r="I3477">
        <f>IF(AND(Table13[[#This Row],[Direction]]="R",(G3476+Table13[[#This Row],[Steps]])&gt;100),1,0)</f>
        <v>0</v>
      </c>
      <c r="J3477">
        <f>IF(Table13[[#This Row],[POS]]=0,1,0)</f>
        <v>0</v>
      </c>
      <c r="K3477">
        <f>SUM(Table13[[#This Row],[prefix]],Table13[[#This Row],[Past zero L]],Table13[[#This Row],[Past Zero R]],Table13[[#This Row],[Is Zero]])</f>
        <v>0</v>
      </c>
    </row>
    <row r="3478" spans="1:11" ht="16" x14ac:dyDescent="0.2">
      <c r="A3478" s="1" t="s">
        <v>32</v>
      </c>
      <c r="B3478" t="str">
        <f>LEFT(Table13[[#This Row],[Input]],1)</f>
        <v>L</v>
      </c>
      <c r="C3478">
        <f>_xlfn.LET(_xlpm.steps,SUBSTITUTE(Table13[[#This Row],[Input]],Table13[[#This Row],[Direction]],""),VALUE(IF(LEN(_xlpm.steps)&gt;2,RIGHT(_xlpm.steps,2),_xlpm.steps)))</f>
        <v>28</v>
      </c>
      <c r="D3478">
        <f>_xlfn.LET(_xlpm.steps,SUBSTITUTE(Table13[[#This Row],[Input]],Table13[[#This Row],[Direction]],""),VALUE(IF(LEN(_xlpm.steps)&gt;2,LEFT(_xlpm.steps,LEN(_xlpm.steps)-2),0)))</f>
        <v>0</v>
      </c>
      <c r="E3478">
        <f>_xlfn.LET(_xlpm.dir,Table13[[#This Row],[Direction]],
IF(_xlpm.dir="L",
    IF(G3477-Table13[[#This Row],[Steps]]&lt;0,100+(G3477-Table13[[#This Row],[Steps]]),G3477-Table13[[#This Row],[Steps]]),
))</f>
        <v>58</v>
      </c>
      <c r="F3478">
        <f>_xlfn.LET(_xlpm.dir,Table13[[#This Row],[Direction]],
IF(_xlpm.dir="R",
    IF(G3477+Table13[[#This Row],[Steps]]&gt;99,(G3477+Table13[[#This Row],[Steps]])-100,G3477+Table13[[#This Row],[Steps]]),
))</f>
        <v>0</v>
      </c>
      <c r="G3478">
        <f>IF(Table13[[#This Row],[New Pos L]]&lt;&gt;0,Table13[[#This Row],[New Pos L]],Table13[[#This Row],[New Pos R]])</f>
        <v>58</v>
      </c>
      <c r="H3478">
        <f>IF(AND(Table13[[#This Row],[Direction]]="L",Table13[[#This Row],[Steps]]&gt;G3477,G3477&lt;&gt;0),1,0)</f>
        <v>0</v>
      </c>
      <c r="I3478">
        <f>IF(AND(Table13[[#This Row],[Direction]]="R",(G3477+Table13[[#This Row],[Steps]])&gt;100),1,0)</f>
        <v>0</v>
      </c>
      <c r="J3478">
        <f>IF(Table13[[#This Row],[POS]]=0,1,0)</f>
        <v>0</v>
      </c>
      <c r="K3478">
        <f>SUM(Table13[[#This Row],[prefix]],Table13[[#This Row],[Past zero L]],Table13[[#This Row],[Past Zero R]],Table13[[#This Row],[Is Zero]])</f>
        <v>0</v>
      </c>
    </row>
    <row r="3479" spans="1:11" ht="16" x14ac:dyDescent="0.2">
      <c r="A3479" s="1" t="s">
        <v>531</v>
      </c>
      <c r="B3479" t="str">
        <f>LEFT(Table13[[#This Row],[Input]],1)</f>
        <v>L</v>
      </c>
      <c r="C3479">
        <f>_xlfn.LET(_xlpm.steps,SUBSTITUTE(Table13[[#This Row],[Input]],Table13[[#This Row],[Direction]],""),VALUE(IF(LEN(_xlpm.steps)&gt;2,RIGHT(_xlpm.steps,2),_xlpm.steps)))</f>
        <v>15</v>
      </c>
      <c r="D3479">
        <f>_xlfn.LET(_xlpm.steps,SUBSTITUTE(Table13[[#This Row],[Input]],Table13[[#This Row],[Direction]],""),VALUE(IF(LEN(_xlpm.steps)&gt;2,LEFT(_xlpm.steps,LEN(_xlpm.steps)-2),0)))</f>
        <v>1</v>
      </c>
      <c r="E3479">
        <f>_xlfn.LET(_xlpm.dir,Table13[[#This Row],[Direction]],
IF(_xlpm.dir="L",
    IF(G3478-Table13[[#This Row],[Steps]]&lt;0,100+(G3478-Table13[[#This Row],[Steps]]),G3478-Table13[[#This Row],[Steps]]),
))</f>
        <v>43</v>
      </c>
      <c r="F3479">
        <f>_xlfn.LET(_xlpm.dir,Table13[[#This Row],[Direction]],
IF(_xlpm.dir="R",
    IF(G3478+Table13[[#This Row],[Steps]]&gt;99,(G3478+Table13[[#This Row],[Steps]])-100,G3478+Table13[[#This Row],[Steps]]),
))</f>
        <v>0</v>
      </c>
      <c r="G3479">
        <f>IF(Table13[[#This Row],[New Pos L]]&lt;&gt;0,Table13[[#This Row],[New Pos L]],Table13[[#This Row],[New Pos R]])</f>
        <v>43</v>
      </c>
      <c r="H3479">
        <f>IF(AND(Table13[[#This Row],[Direction]]="L",Table13[[#This Row],[Steps]]&gt;G3478,G3478&lt;&gt;0),1,0)</f>
        <v>0</v>
      </c>
      <c r="I3479">
        <f>IF(AND(Table13[[#This Row],[Direction]]="R",(G3478+Table13[[#This Row],[Steps]])&gt;100),1,0)</f>
        <v>0</v>
      </c>
      <c r="J3479">
        <f>IF(Table13[[#This Row],[POS]]=0,1,0)</f>
        <v>0</v>
      </c>
      <c r="K3479">
        <f>SUM(Table13[[#This Row],[prefix]],Table13[[#This Row],[Past zero L]],Table13[[#This Row],[Past Zero R]],Table13[[#This Row],[Is Zero]])</f>
        <v>1</v>
      </c>
    </row>
    <row r="3480" spans="1:11" ht="16" x14ac:dyDescent="0.2">
      <c r="A3480" s="1" t="s">
        <v>60</v>
      </c>
      <c r="B3480" t="str">
        <f>LEFT(Table13[[#This Row],[Input]],1)</f>
        <v>R</v>
      </c>
      <c r="C3480">
        <f>_xlfn.LET(_xlpm.steps,SUBSTITUTE(Table13[[#This Row],[Input]],Table13[[#This Row],[Direction]],""),VALUE(IF(LEN(_xlpm.steps)&gt;2,RIGHT(_xlpm.steps,2),_xlpm.steps)))</f>
        <v>86</v>
      </c>
      <c r="D3480">
        <f>_xlfn.LET(_xlpm.steps,SUBSTITUTE(Table13[[#This Row],[Input]],Table13[[#This Row],[Direction]],""),VALUE(IF(LEN(_xlpm.steps)&gt;2,LEFT(_xlpm.steps,LEN(_xlpm.steps)-2),0)))</f>
        <v>0</v>
      </c>
      <c r="E3480">
        <f>_xlfn.LET(_xlpm.dir,Table13[[#This Row],[Direction]],
IF(_xlpm.dir="L",
    IF(G3479-Table13[[#This Row],[Steps]]&lt;0,100+(G3479-Table13[[#This Row],[Steps]]),G3479-Table13[[#This Row],[Steps]]),
))</f>
        <v>0</v>
      </c>
      <c r="F3480">
        <f>_xlfn.LET(_xlpm.dir,Table13[[#This Row],[Direction]],
IF(_xlpm.dir="R",
    IF(G3479+Table13[[#This Row],[Steps]]&gt;99,(G3479+Table13[[#This Row],[Steps]])-100,G3479+Table13[[#This Row],[Steps]]),
))</f>
        <v>29</v>
      </c>
      <c r="G3480">
        <f>IF(Table13[[#This Row],[New Pos L]]&lt;&gt;0,Table13[[#This Row],[New Pos L]],Table13[[#This Row],[New Pos R]])</f>
        <v>29</v>
      </c>
      <c r="H3480">
        <f>IF(AND(Table13[[#This Row],[Direction]]="L",Table13[[#This Row],[Steps]]&gt;G3479,G3479&lt;&gt;0),1,0)</f>
        <v>0</v>
      </c>
      <c r="I3480">
        <f>IF(AND(Table13[[#This Row],[Direction]]="R",(G3479+Table13[[#This Row],[Steps]])&gt;100),1,0)</f>
        <v>1</v>
      </c>
      <c r="J3480">
        <f>IF(Table13[[#This Row],[POS]]=0,1,0)</f>
        <v>0</v>
      </c>
      <c r="K3480">
        <f>SUM(Table13[[#This Row],[prefix]],Table13[[#This Row],[Past zero L]],Table13[[#This Row],[Past Zero R]],Table13[[#This Row],[Is Zero]])</f>
        <v>1</v>
      </c>
    </row>
    <row r="3481" spans="1:11" ht="16" x14ac:dyDescent="0.2">
      <c r="A3481" s="1" t="s">
        <v>750</v>
      </c>
      <c r="B3481" t="str">
        <f>LEFT(Table13[[#This Row],[Input]],1)</f>
        <v>R</v>
      </c>
      <c r="C3481">
        <f>_xlfn.LET(_xlpm.steps,SUBSTITUTE(Table13[[#This Row],[Input]],Table13[[#This Row],[Direction]],""),VALUE(IF(LEN(_xlpm.steps)&gt;2,RIGHT(_xlpm.steps,2),_xlpm.steps)))</f>
        <v>17</v>
      </c>
      <c r="D3481">
        <f>_xlfn.LET(_xlpm.steps,SUBSTITUTE(Table13[[#This Row],[Input]],Table13[[#This Row],[Direction]],""),VALUE(IF(LEN(_xlpm.steps)&gt;2,LEFT(_xlpm.steps,LEN(_xlpm.steps)-2),0)))</f>
        <v>6</v>
      </c>
      <c r="E3481">
        <f>_xlfn.LET(_xlpm.dir,Table13[[#This Row],[Direction]],
IF(_xlpm.dir="L",
    IF(G3480-Table13[[#This Row],[Steps]]&lt;0,100+(G3480-Table13[[#This Row],[Steps]]),G3480-Table13[[#This Row],[Steps]]),
))</f>
        <v>0</v>
      </c>
      <c r="F3481">
        <f>_xlfn.LET(_xlpm.dir,Table13[[#This Row],[Direction]],
IF(_xlpm.dir="R",
    IF(G3480+Table13[[#This Row],[Steps]]&gt;99,(G3480+Table13[[#This Row],[Steps]])-100,G3480+Table13[[#This Row],[Steps]]),
))</f>
        <v>46</v>
      </c>
      <c r="G3481">
        <f>IF(Table13[[#This Row],[New Pos L]]&lt;&gt;0,Table13[[#This Row],[New Pos L]],Table13[[#This Row],[New Pos R]])</f>
        <v>46</v>
      </c>
      <c r="H3481">
        <f>IF(AND(Table13[[#This Row],[Direction]]="L",Table13[[#This Row],[Steps]]&gt;G3480,G3480&lt;&gt;0),1,0)</f>
        <v>0</v>
      </c>
      <c r="I3481">
        <f>IF(AND(Table13[[#This Row],[Direction]]="R",(G3480+Table13[[#This Row],[Steps]])&gt;100),1,0)</f>
        <v>0</v>
      </c>
      <c r="J3481">
        <f>IF(Table13[[#This Row],[POS]]=0,1,0)</f>
        <v>0</v>
      </c>
      <c r="K3481">
        <f>SUM(Table13[[#This Row],[prefix]],Table13[[#This Row],[Past zero L]],Table13[[#This Row],[Past Zero R]],Table13[[#This Row],[Is Zero]])</f>
        <v>6</v>
      </c>
    </row>
    <row r="3482" spans="1:11" ht="16" x14ac:dyDescent="0.2">
      <c r="A3482" s="1" t="s">
        <v>363</v>
      </c>
      <c r="B3482" t="str">
        <f>LEFT(Table13[[#This Row],[Input]],1)</f>
        <v>R</v>
      </c>
      <c r="C3482">
        <f>_xlfn.LET(_xlpm.steps,SUBSTITUTE(Table13[[#This Row],[Input]],Table13[[#This Row],[Direction]],""),VALUE(IF(LEN(_xlpm.steps)&gt;2,RIGHT(_xlpm.steps,2),_xlpm.steps)))</f>
        <v>63</v>
      </c>
      <c r="D3482">
        <f>_xlfn.LET(_xlpm.steps,SUBSTITUTE(Table13[[#This Row],[Input]],Table13[[#This Row],[Direction]],""),VALUE(IF(LEN(_xlpm.steps)&gt;2,LEFT(_xlpm.steps,LEN(_xlpm.steps)-2),0)))</f>
        <v>0</v>
      </c>
      <c r="E3482">
        <f>_xlfn.LET(_xlpm.dir,Table13[[#This Row],[Direction]],
IF(_xlpm.dir="L",
    IF(G3481-Table13[[#This Row],[Steps]]&lt;0,100+(G3481-Table13[[#This Row],[Steps]]),G3481-Table13[[#This Row],[Steps]]),
))</f>
        <v>0</v>
      </c>
      <c r="F3482">
        <f>_xlfn.LET(_xlpm.dir,Table13[[#This Row],[Direction]],
IF(_xlpm.dir="R",
    IF(G3481+Table13[[#This Row],[Steps]]&gt;99,(G3481+Table13[[#This Row],[Steps]])-100,G3481+Table13[[#This Row],[Steps]]),
))</f>
        <v>9</v>
      </c>
      <c r="G3482">
        <f>IF(Table13[[#This Row],[New Pos L]]&lt;&gt;0,Table13[[#This Row],[New Pos L]],Table13[[#This Row],[New Pos R]])</f>
        <v>9</v>
      </c>
      <c r="H3482">
        <f>IF(AND(Table13[[#This Row],[Direction]]="L",Table13[[#This Row],[Steps]]&gt;G3481,G3481&lt;&gt;0),1,0)</f>
        <v>0</v>
      </c>
      <c r="I3482">
        <f>IF(AND(Table13[[#This Row],[Direction]]="R",(G3481+Table13[[#This Row],[Steps]])&gt;100),1,0)</f>
        <v>1</v>
      </c>
      <c r="J3482">
        <f>IF(Table13[[#This Row],[POS]]=0,1,0)</f>
        <v>0</v>
      </c>
      <c r="K3482">
        <f>SUM(Table13[[#This Row],[prefix]],Table13[[#This Row],[Past zero L]],Table13[[#This Row],[Past Zero R]],Table13[[#This Row],[Is Zero]])</f>
        <v>1</v>
      </c>
    </row>
    <row r="3483" spans="1:11" ht="16" x14ac:dyDescent="0.2">
      <c r="A3483" s="1" t="s">
        <v>235</v>
      </c>
      <c r="B3483" t="str">
        <f>LEFT(Table13[[#This Row],[Input]],1)</f>
        <v>L</v>
      </c>
      <c r="C3483">
        <f>_xlfn.LET(_xlpm.steps,SUBSTITUTE(Table13[[#This Row],[Input]],Table13[[#This Row],[Direction]],""),VALUE(IF(LEN(_xlpm.steps)&gt;2,RIGHT(_xlpm.steps,2),_xlpm.steps)))</f>
        <v>9</v>
      </c>
      <c r="D3483">
        <f>_xlfn.LET(_xlpm.steps,SUBSTITUTE(Table13[[#This Row],[Input]],Table13[[#This Row],[Direction]],""),VALUE(IF(LEN(_xlpm.steps)&gt;2,LEFT(_xlpm.steps,LEN(_xlpm.steps)-2),0)))</f>
        <v>9</v>
      </c>
      <c r="E3483">
        <f>_xlfn.LET(_xlpm.dir,Table13[[#This Row],[Direction]],
IF(_xlpm.dir="L",
    IF(G3482-Table13[[#This Row],[Steps]]&lt;0,100+(G3482-Table13[[#This Row],[Steps]]),G3482-Table13[[#This Row],[Steps]]),
))</f>
        <v>0</v>
      </c>
      <c r="F3483">
        <f>_xlfn.LET(_xlpm.dir,Table13[[#This Row],[Direction]],
IF(_xlpm.dir="R",
    IF(G3482+Table13[[#This Row],[Steps]]&gt;99,(G3482+Table13[[#This Row],[Steps]])-100,G3482+Table13[[#This Row],[Steps]]),
))</f>
        <v>0</v>
      </c>
      <c r="G3483">
        <f>IF(Table13[[#This Row],[New Pos L]]&lt;&gt;0,Table13[[#This Row],[New Pos L]],Table13[[#This Row],[New Pos R]])</f>
        <v>0</v>
      </c>
      <c r="H3483">
        <f>IF(AND(Table13[[#This Row],[Direction]]="L",Table13[[#This Row],[Steps]]&gt;G3482,G3482&lt;&gt;0),1,0)</f>
        <v>0</v>
      </c>
      <c r="I3483">
        <f>IF(AND(Table13[[#This Row],[Direction]]="R",(G3482+Table13[[#This Row],[Steps]])&gt;100),1,0)</f>
        <v>0</v>
      </c>
      <c r="J3483">
        <f>IF(Table13[[#This Row],[POS]]=0,1,0)</f>
        <v>1</v>
      </c>
      <c r="K3483">
        <f>SUM(Table13[[#This Row],[prefix]],Table13[[#This Row],[Past zero L]],Table13[[#This Row],[Past Zero R]],Table13[[#This Row],[Is Zero]])</f>
        <v>10</v>
      </c>
    </row>
    <row r="3484" spans="1:11" ht="16" x14ac:dyDescent="0.2">
      <c r="A3484" s="1" t="s">
        <v>132</v>
      </c>
      <c r="B3484" t="str">
        <f>LEFT(Table13[[#This Row],[Input]],1)</f>
        <v>L</v>
      </c>
      <c r="C3484">
        <f>_xlfn.LET(_xlpm.steps,SUBSTITUTE(Table13[[#This Row],[Input]],Table13[[#This Row],[Direction]],""),VALUE(IF(LEN(_xlpm.steps)&gt;2,RIGHT(_xlpm.steps,2),_xlpm.steps)))</f>
        <v>51</v>
      </c>
      <c r="D3484">
        <f>_xlfn.LET(_xlpm.steps,SUBSTITUTE(Table13[[#This Row],[Input]],Table13[[#This Row],[Direction]],""),VALUE(IF(LEN(_xlpm.steps)&gt;2,LEFT(_xlpm.steps,LEN(_xlpm.steps)-2),0)))</f>
        <v>0</v>
      </c>
      <c r="E3484">
        <f>_xlfn.LET(_xlpm.dir,Table13[[#This Row],[Direction]],
IF(_xlpm.dir="L",
    IF(G3483-Table13[[#This Row],[Steps]]&lt;0,100+(G3483-Table13[[#This Row],[Steps]]),G3483-Table13[[#This Row],[Steps]]),
))</f>
        <v>49</v>
      </c>
      <c r="F3484">
        <f>_xlfn.LET(_xlpm.dir,Table13[[#This Row],[Direction]],
IF(_xlpm.dir="R",
    IF(G3483+Table13[[#This Row],[Steps]]&gt;99,(G3483+Table13[[#This Row],[Steps]])-100,G3483+Table13[[#This Row],[Steps]]),
))</f>
        <v>0</v>
      </c>
      <c r="G3484">
        <f>IF(Table13[[#This Row],[New Pos L]]&lt;&gt;0,Table13[[#This Row],[New Pos L]],Table13[[#This Row],[New Pos R]])</f>
        <v>49</v>
      </c>
      <c r="H3484">
        <f>IF(AND(Table13[[#This Row],[Direction]]="L",Table13[[#This Row],[Steps]]&gt;G3483,G3483&lt;&gt;0),1,0)</f>
        <v>0</v>
      </c>
      <c r="I3484">
        <f>IF(AND(Table13[[#This Row],[Direction]]="R",(G3483+Table13[[#This Row],[Steps]])&gt;100),1,0)</f>
        <v>0</v>
      </c>
      <c r="J3484">
        <f>IF(Table13[[#This Row],[POS]]=0,1,0)</f>
        <v>0</v>
      </c>
      <c r="K3484">
        <f>SUM(Table13[[#This Row],[prefix]],Table13[[#This Row],[Past zero L]],Table13[[#This Row],[Past Zero R]],Table13[[#This Row],[Is Zero]])</f>
        <v>0</v>
      </c>
    </row>
    <row r="3485" spans="1:11" ht="16" x14ac:dyDescent="0.2">
      <c r="A3485" s="1" t="s">
        <v>47</v>
      </c>
      <c r="B3485" t="str">
        <f>LEFT(Table13[[#This Row],[Input]],1)</f>
        <v>R</v>
      </c>
      <c r="C3485">
        <f>_xlfn.LET(_xlpm.steps,SUBSTITUTE(Table13[[#This Row],[Input]],Table13[[#This Row],[Direction]],""),VALUE(IF(LEN(_xlpm.steps)&gt;2,RIGHT(_xlpm.steps,2),_xlpm.steps)))</f>
        <v>97</v>
      </c>
      <c r="D3485">
        <f>_xlfn.LET(_xlpm.steps,SUBSTITUTE(Table13[[#This Row],[Input]],Table13[[#This Row],[Direction]],""),VALUE(IF(LEN(_xlpm.steps)&gt;2,LEFT(_xlpm.steps,LEN(_xlpm.steps)-2),0)))</f>
        <v>0</v>
      </c>
      <c r="E3485">
        <f>_xlfn.LET(_xlpm.dir,Table13[[#This Row],[Direction]],
IF(_xlpm.dir="L",
    IF(G3484-Table13[[#This Row],[Steps]]&lt;0,100+(G3484-Table13[[#This Row],[Steps]]),G3484-Table13[[#This Row],[Steps]]),
))</f>
        <v>0</v>
      </c>
      <c r="F3485">
        <f>_xlfn.LET(_xlpm.dir,Table13[[#This Row],[Direction]],
IF(_xlpm.dir="R",
    IF(G3484+Table13[[#This Row],[Steps]]&gt;99,(G3484+Table13[[#This Row],[Steps]])-100,G3484+Table13[[#This Row],[Steps]]),
))</f>
        <v>46</v>
      </c>
      <c r="G3485">
        <f>IF(Table13[[#This Row],[New Pos L]]&lt;&gt;0,Table13[[#This Row],[New Pos L]],Table13[[#This Row],[New Pos R]])</f>
        <v>46</v>
      </c>
      <c r="H3485">
        <f>IF(AND(Table13[[#This Row],[Direction]]="L",Table13[[#This Row],[Steps]]&gt;G3484,G3484&lt;&gt;0),1,0)</f>
        <v>0</v>
      </c>
      <c r="I3485">
        <f>IF(AND(Table13[[#This Row],[Direction]]="R",(G3484+Table13[[#This Row],[Steps]])&gt;100),1,0)</f>
        <v>1</v>
      </c>
      <c r="J3485">
        <f>IF(Table13[[#This Row],[POS]]=0,1,0)</f>
        <v>0</v>
      </c>
      <c r="K3485">
        <f>SUM(Table13[[#This Row],[prefix]],Table13[[#This Row],[Past zero L]],Table13[[#This Row],[Past Zero R]],Table13[[#This Row],[Is Zero]])</f>
        <v>1</v>
      </c>
    </row>
    <row r="3486" spans="1:11" ht="16" x14ac:dyDescent="0.2">
      <c r="A3486" s="1" t="s">
        <v>18</v>
      </c>
      <c r="B3486" t="str">
        <f>LEFT(Table13[[#This Row],[Input]],1)</f>
        <v>L</v>
      </c>
      <c r="C3486">
        <f>_xlfn.LET(_xlpm.steps,SUBSTITUTE(Table13[[#This Row],[Input]],Table13[[#This Row],[Direction]],""),VALUE(IF(LEN(_xlpm.steps)&gt;2,RIGHT(_xlpm.steps,2),_xlpm.steps)))</f>
        <v>46</v>
      </c>
      <c r="D3486">
        <f>_xlfn.LET(_xlpm.steps,SUBSTITUTE(Table13[[#This Row],[Input]],Table13[[#This Row],[Direction]],""),VALUE(IF(LEN(_xlpm.steps)&gt;2,LEFT(_xlpm.steps,LEN(_xlpm.steps)-2),0)))</f>
        <v>0</v>
      </c>
      <c r="E3486">
        <f>_xlfn.LET(_xlpm.dir,Table13[[#This Row],[Direction]],
IF(_xlpm.dir="L",
    IF(G3485-Table13[[#This Row],[Steps]]&lt;0,100+(G3485-Table13[[#This Row],[Steps]]),G3485-Table13[[#This Row],[Steps]]),
))</f>
        <v>0</v>
      </c>
      <c r="F3486">
        <f>_xlfn.LET(_xlpm.dir,Table13[[#This Row],[Direction]],
IF(_xlpm.dir="R",
    IF(G3485+Table13[[#This Row],[Steps]]&gt;99,(G3485+Table13[[#This Row],[Steps]])-100,G3485+Table13[[#This Row],[Steps]]),
))</f>
        <v>0</v>
      </c>
      <c r="G3486">
        <f>IF(Table13[[#This Row],[New Pos L]]&lt;&gt;0,Table13[[#This Row],[New Pos L]],Table13[[#This Row],[New Pos R]])</f>
        <v>0</v>
      </c>
      <c r="H3486">
        <f>IF(AND(Table13[[#This Row],[Direction]]="L",Table13[[#This Row],[Steps]]&gt;G3485,G3485&lt;&gt;0),1,0)</f>
        <v>0</v>
      </c>
      <c r="I3486">
        <f>IF(AND(Table13[[#This Row],[Direction]]="R",(G3485+Table13[[#This Row],[Steps]])&gt;100),1,0)</f>
        <v>0</v>
      </c>
      <c r="J3486">
        <f>IF(Table13[[#This Row],[POS]]=0,1,0)</f>
        <v>1</v>
      </c>
      <c r="K3486">
        <f>SUM(Table13[[#This Row],[prefix]],Table13[[#This Row],[Past zero L]],Table13[[#This Row],[Past Zero R]],Table13[[#This Row],[Is Zero]])</f>
        <v>1</v>
      </c>
    </row>
    <row r="3487" spans="1:11" ht="16" x14ac:dyDescent="0.2">
      <c r="A3487" s="1" t="s">
        <v>1</v>
      </c>
      <c r="B3487" t="str">
        <f>LEFT(Table13[[#This Row],[Input]],1)</f>
        <v>R</v>
      </c>
      <c r="C3487">
        <f>_xlfn.LET(_xlpm.steps,SUBSTITUTE(Table13[[#This Row],[Input]],Table13[[#This Row],[Direction]],""),VALUE(IF(LEN(_xlpm.steps)&gt;2,RIGHT(_xlpm.steps,2),_xlpm.steps)))</f>
        <v>26</v>
      </c>
      <c r="D3487">
        <f>_xlfn.LET(_xlpm.steps,SUBSTITUTE(Table13[[#This Row],[Input]],Table13[[#This Row],[Direction]],""),VALUE(IF(LEN(_xlpm.steps)&gt;2,LEFT(_xlpm.steps,LEN(_xlpm.steps)-2),0)))</f>
        <v>0</v>
      </c>
      <c r="E3487">
        <f>_xlfn.LET(_xlpm.dir,Table13[[#This Row],[Direction]],
IF(_xlpm.dir="L",
    IF(G3486-Table13[[#This Row],[Steps]]&lt;0,100+(G3486-Table13[[#This Row],[Steps]]),G3486-Table13[[#This Row],[Steps]]),
))</f>
        <v>0</v>
      </c>
      <c r="F3487">
        <f>_xlfn.LET(_xlpm.dir,Table13[[#This Row],[Direction]],
IF(_xlpm.dir="R",
    IF(G3486+Table13[[#This Row],[Steps]]&gt;99,(G3486+Table13[[#This Row],[Steps]])-100,G3486+Table13[[#This Row],[Steps]]),
))</f>
        <v>26</v>
      </c>
      <c r="G3487">
        <f>IF(Table13[[#This Row],[New Pos L]]&lt;&gt;0,Table13[[#This Row],[New Pos L]],Table13[[#This Row],[New Pos R]])</f>
        <v>26</v>
      </c>
      <c r="H3487">
        <f>IF(AND(Table13[[#This Row],[Direction]]="L",Table13[[#This Row],[Steps]]&gt;G3486,G3486&lt;&gt;0),1,0)</f>
        <v>0</v>
      </c>
      <c r="I3487">
        <f>IF(AND(Table13[[#This Row],[Direction]]="R",(G3486+Table13[[#This Row],[Steps]])&gt;100),1,0)</f>
        <v>0</v>
      </c>
      <c r="J3487">
        <f>IF(Table13[[#This Row],[POS]]=0,1,0)</f>
        <v>0</v>
      </c>
      <c r="K3487">
        <f>SUM(Table13[[#This Row],[prefix]],Table13[[#This Row],[Past zero L]],Table13[[#This Row],[Past Zero R]],Table13[[#This Row],[Is Zero]])</f>
        <v>0</v>
      </c>
    </row>
    <row r="3488" spans="1:11" ht="16" x14ac:dyDescent="0.2">
      <c r="A3488" s="1" t="s">
        <v>11</v>
      </c>
      <c r="B3488" t="str">
        <f>LEFT(Table13[[#This Row],[Input]],1)</f>
        <v>L</v>
      </c>
      <c r="C3488">
        <f>_xlfn.LET(_xlpm.steps,SUBSTITUTE(Table13[[#This Row],[Input]],Table13[[#This Row],[Direction]],""),VALUE(IF(LEN(_xlpm.steps)&gt;2,RIGHT(_xlpm.steps,2),_xlpm.steps)))</f>
        <v>34</v>
      </c>
      <c r="D3488">
        <f>_xlfn.LET(_xlpm.steps,SUBSTITUTE(Table13[[#This Row],[Input]],Table13[[#This Row],[Direction]],""),VALUE(IF(LEN(_xlpm.steps)&gt;2,LEFT(_xlpm.steps,LEN(_xlpm.steps)-2),0)))</f>
        <v>0</v>
      </c>
      <c r="E3488">
        <f>_xlfn.LET(_xlpm.dir,Table13[[#This Row],[Direction]],
IF(_xlpm.dir="L",
    IF(G3487-Table13[[#This Row],[Steps]]&lt;0,100+(G3487-Table13[[#This Row],[Steps]]),G3487-Table13[[#This Row],[Steps]]),
))</f>
        <v>92</v>
      </c>
      <c r="F3488">
        <f>_xlfn.LET(_xlpm.dir,Table13[[#This Row],[Direction]],
IF(_xlpm.dir="R",
    IF(G3487+Table13[[#This Row],[Steps]]&gt;99,(G3487+Table13[[#This Row],[Steps]])-100,G3487+Table13[[#This Row],[Steps]]),
))</f>
        <v>0</v>
      </c>
      <c r="G3488">
        <f>IF(Table13[[#This Row],[New Pos L]]&lt;&gt;0,Table13[[#This Row],[New Pos L]],Table13[[#This Row],[New Pos R]])</f>
        <v>92</v>
      </c>
      <c r="H3488">
        <f>IF(AND(Table13[[#This Row],[Direction]]="L",Table13[[#This Row],[Steps]]&gt;G3487,G3487&lt;&gt;0),1,0)</f>
        <v>1</v>
      </c>
      <c r="I3488">
        <f>IF(AND(Table13[[#This Row],[Direction]]="R",(G3487+Table13[[#This Row],[Steps]])&gt;100),1,0)</f>
        <v>0</v>
      </c>
      <c r="J3488">
        <f>IF(Table13[[#This Row],[POS]]=0,1,0)</f>
        <v>0</v>
      </c>
      <c r="K3488">
        <f>SUM(Table13[[#This Row],[prefix]],Table13[[#This Row],[Past zero L]],Table13[[#This Row],[Past Zero R]],Table13[[#This Row],[Is Zero]])</f>
        <v>1</v>
      </c>
    </row>
    <row r="3489" spans="1:11" ht="16" x14ac:dyDescent="0.2">
      <c r="A3489" s="1" t="s">
        <v>751</v>
      </c>
      <c r="B3489" t="str">
        <f>LEFT(Table13[[#This Row],[Input]],1)</f>
        <v>R</v>
      </c>
      <c r="C3489">
        <f>_xlfn.LET(_xlpm.steps,SUBSTITUTE(Table13[[#This Row],[Input]],Table13[[#This Row],[Direction]],""),VALUE(IF(LEN(_xlpm.steps)&gt;2,RIGHT(_xlpm.steps,2),_xlpm.steps)))</f>
        <v>79</v>
      </c>
      <c r="D3489">
        <f>_xlfn.LET(_xlpm.steps,SUBSTITUTE(Table13[[#This Row],[Input]],Table13[[#This Row],[Direction]],""),VALUE(IF(LEN(_xlpm.steps)&gt;2,LEFT(_xlpm.steps,LEN(_xlpm.steps)-2),0)))</f>
        <v>9</v>
      </c>
      <c r="E3489">
        <f>_xlfn.LET(_xlpm.dir,Table13[[#This Row],[Direction]],
IF(_xlpm.dir="L",
    IF(G3488-Table13[[#This Row],[Steps]]&lt;0,100+(G3488-Table13[[#This Row],[Steps]]),G3488-Table13[[#This Row],[Steps]]),
))</f>
        <v>0</v>
      </c>
      <c r="F3489">
        <f>_xlfn.LET(_xlpm.dir,Table13[[#This Row],[Direction]],
IF(_xlpm.dir="R",
    IF(G3488+Table13[[#This Row],[Steps]]&gt;99,(G3488+Table13[[#This Row],[Steps]])-100,G3488+Table13[[#This Row],[Steps]]),
))</f>
        <v>71</v>
      </c>
      <c r="G3489">
        <f>IF(Table13[[#This Row],[New Pos L]]&lt;&gt;0,Table13[[#This Row],[New Pos L]],Table13[[#This Row],[New Pos R]])</f>
        <v>71</v>
      </c>
      <c r="H3489">
        <f>IF(AND(Table13[[#This Row],[Direction]]="L",Table13[[#This Row],[Steps]]&gt;G3488,G3488&lt;&gt;0),1,0)</f>
        <v>0</v>
      </c>
      <c r="I3489">
        <f>IF(AND(Table13[[#This Row],[Direction]]="R",(G3488+Table13[[#This Row],[Steps]])&gt;100),1,0)</f>
        <v>1</v>
      </c>
      <c r="J3489">
        <f>IF(Table13[[#This Row],[POS]]=0,1,0)</f>
        <v>0</v>
      </c>
      <c r="K3489">
        <f>SUM(Table13[[#This Row],[prefix]],Table13[[#This Row],[Past zero L]],Table13[[#This Row],[Past Zero R]],Table13[[#This Row],[Is Zero]])</f>
        <v>10</v>
      </c>
    </row>
    <row r="3490" spans="1:11" ht="16" x14ac:dyDescent="0.2">
      <c r="A3490" s="1" t="s">
        <v>63</v>
      </c>
      <c r="B3490" t="str">
        <f>LEFT(Table13[[#This Row],[Input]],1)</f>
        <v>R</v>
      </c>
      <c r="C3490">
        <f>_xlfn.LET(_xlpm.steps,SUBSTITUTE(Table13[[#This Row],[Input]],Table13[[#This Row],[Direction]],""),VALUE(IF(LEN(_xlpm.steps)&gt;2,RIGHT(_xlpm.steps,2),_xlpm.steps)))</f>
        <v>57</v>
      </c>
      <c r="D3490">
        <f>_xlfn.LET(_xlpm.steps,SUBSTITUTE(Table13[[#This Row],[Input]],Table13[[#This Row],[Direction]],""),VALUE(IF(LEN(_xlpm.steps)&gt;2,LEFT(_xlpm.steps,LEN(_xlpm.steps)-2),0)))</f>
        <v>0</v>
      </c>
      <c r="E3490">
        <f>_xlfn.LET(_xlpm.dir,Table13[[#This Row],[Direction]],
IF(_xlpm.dir="L",
    IF(G3489-Table13[[#This Row],[Steps]]&lt;0,100+(G3489-Table13[[#This Row],[Steps]]),G3489-Table13[[#This Row],[Steps]]),
))</f>
        <v>0</v>
      </c>
      <c r="F3490">
        <f>_xlfn.LET(_xlpm.dir,Table13[[#This Row],[Direction]],
IF(_xlpm.dir="R",
    IF(G3489+Table13[[#This Row],[Steps]]&gt;99,(G3489+Table13[[#This Row],[Steps]])-100,G3489+Table13[[#This Row],[Steps]]),
))</f>
        <v>28</v>
      </c>
      <c r="G3490">
        <f>IF(Table13[[#This Row],[New Pos L]]&lt;&gt;0,Table13[[#This Row],[New Pos L]],Table13[[#This Row],[New Pos R]])</f>
        <v>28</v>
      </c>
      <c r="H3490">
        <f>IF(AND(Table13[[#This Row],[Direction]]="L",Table13[[#This Row],[Steps]]&gt;G3489,G3489&lt;&gt;0),1,0)</f>
        <v>0</v>
      </c>
      <c r="I3490">
        <f>IF(AND(Table13[[#This Row],[Direction]]="R",(G3489+Table13[[#This Row],[Steps]])&gt;100),1,0)</f>
        <v>1</v>
      </c>
      <c r="J3490">
        <f>IF(Table13[[#This Row],[POS]]=0,1,0)</f>
        <v>0</v>
      </c>
      <c r="K3490">
        <f>SUM(Table13[[#This Row],[prefix]],Table13[[#This Row],[Past zero L]],Table13[[#This Row],[Past Zero R]],Table13[[#This Row],[Is Zero]])</f>
        <v>1</v>
      </c>
    </row>
    <row r="3491" spans="1:11" ht="16" x14ac:dyDescent="0.2">
      <c r="A3491" s="1" t="s">
        <v>1</v>
      </c>
      <c r="B3491" t="str">
        <f>LEFT(Table13[[#This Row],[Input]],1)</f>
        <v>R</v>
      </c>
      <c r="C3491">
        <f>_xlfn.LET(_xlpm.steps,SUBSTITUTE(Table13[[#This Row],[Input]],Table13[[#This Row],[Direction]],""),VALUE(IF(LEN(_xlpm.steps)&gt;2,RIGHT(_xlpm.steps,2),_xlpm.steps)))</f>
        <v>26</v>
      </c>
      <c r="D3491">
        <f>_xlfn.LET(_xlpm.steps,SUBSTITUTE(Table13[[#This Row],[Input]],Table13[[#This Row],[Direction]],""),VALUE(IF(LEN(_xlpm.steps)&gt;2,LEFT(_xlpm.steps,LEN(_xlpm.steps)-2),0)))</f>
        <v>0</v>
      </c>
      <c r="E3491">
        <f>_xlfn.LET(_xlpm.dir,Table13[[#This Row],[Direction]],
IF(_xlpm.dir="L",
    IF(G3490-Table13[[#This Row],[Steps]]&lt;0,100+(G3490-Table13[[#This Row],[Steps]]),G3490-Table13[[#This Row],[Steps]]),
))</f>
        <v>0</v>
      </c>
      <c r="F3491">
        <f>_xlfn.LET(_xlpm.dir,Table13[[#This Row],[Direction]],
IF(_xlpm.dir="R",
    IF(G3490+Table13[[#This Row],[Steps]]&gt;99,(G3490+Table13[[#This Row],[Steps]])-100,G3490+Table13[[#This Row],[Steps]]),
))</f>
        <v>54</v>
      </c>
      <c r="G3491">
        <f>IF(Table13[[#This Row],[New Pos L]]&lt;&gt;0,Table13[[#This Row],[New Pos L]],Table13[[#This Row],[New Pos R]])</f>
        <v>54</v>
      </c>
      <c r="H3491">
        <f>IF(AND(Table13[[#This Row],[Direction]]="L",Table13[[#This Row],[Steps]]&gt;G3490,G3490&lt;&gt;0),1,0)</f>
        <v>0</v>
      </c>
      <c r="I3491">
        <f>IF(AND(Table13[[#This Row],[Direction]]="R",(G3490+Table13[[#This Row],[Steps]])&gt;100),1,0)</f>
        <v>0</v>
      </c>
      <c r="J3491">
        <f>IF(Table13[[#This Row],[POS]]=0,1,0)</f>
        <v>0</v>
      </c>
      <c r="K3491">
        <f>SUM(Table13[[#This Row],[prefix]],Table13[[#This Row],[Past zero L]],Table13[[#This Row],[Past Zero R]],Table13[[#This Row],[Is Zero]])</f>
        <v>0</v>
      </c>
    </row>
    <row r="3492" spans="1:11" ht="16" x14ac:dyDescent="0.2">
      <c r="A3492" s="1" t="s">
        <v>138</v>
      </c>
      <c r="B3492" t="str">
        <f>LEFT(Table13[[#This Row],[Input]],1)</f>
        <v>L</v>
      </c>
      <c r="C3492">
        <f>_xlfn.LET(_xlpm.steps,SUBSTITUTE(Table13[[#This Row],[Input]],Table13[[#This Row],[Direction]],""),VALUE(IF(LEN(_xlpm.steps)&gt;2,RIGHT(_xlpm.steps,2),_xlpm.steps)))</f>
        <v>94</v>
      </c>
      <c r="D3492">
        <f>_xlfn.LET(_xlpm.steps,SUBSTITUTE(Table13[[#This Row],[Input]],Table13[[#This Row],[Direction]],""),VALUE(IF(LEN(_xlpm.steps)&gt;2,LEFT(_xlpm.steps,LEN(_xlpm.steps)-2),0)))</f>
        <v>0</v>
      </c>
      <c r="E3492">
        <f>_xlfn.LET(_xlpm.dir,Table13[[#This Row],[Direction]],
IF(_xlpm.dir="L",
    IF(G3491-Table13[[#This Row],[Steps]]&lt;0,100+(G3491-Table13[[#This Row],[Steps]]),G3491-Table13[[#This Row],[Steps]]),
))</f>
        <v>60</v>
      </c>
      <c r="F3492">
        <f>_xlfn.LET(_xlpm.dir,Table13[[#This Row],[Direction]],
IF(_xlpm.dir="R",
    IF(G3491+Table13[[#This Row],[Steps]]&gt;99,(G3491+Table13[[#This Row],[Steps]])-100,G3491+Table13[[#This Row],[Steps]]),
))</f>
        <v>0</v>
      </c>
      <c r="G3492">
        <f>IF(Table13[[#This Row],[New Pos L]]&lt;&gt;0,Table13[[#This Row],[New Pos L]],Table13[[#This Row],[New Pos R]])</f>
        <v>60</v>
      </c>
      <c r="H3492">
        <f>IF(AND(Table13[[#This Row],[Direction]]="L",Table13[[#This Row],[Steps]]&gt;G3491,G3491&lt;&gt;0),1,0)</f>
        <v>1</v>
      </c>
      <c r="I3492">
        <f>IF(AND(Table13[[#This Row],[Direction]]="R",(G3491+Table13[[#This Row],[Steps]])&gt;100),1,0)</f>
        <v>0</v>
      </c>
      <c r="J3492">
        <f>IF(Table13[[#This Row],[POS]]=0,1,0)</f>
        <v>0</v>
      </c>
      <c r="K3492">
        <f>SUM(Table13[[#This Row],[prefix]],Table13[[#This Row],[Past zero L]],Table13[[#This Row],[Past Zero R]],Table13[[#This Row],[Is Zero]])</f>
        <v>1</v>
      </c>
    </row>
    <row r="3493" spans="1:11" ht="16" x14ac:dyDescent="0.2">
      <c r="A3493" s="1" t="s">
        <v>276</v>
      </c>
      <c r="B3493" t="str">
        <f>LEFT(Table13[[#This Row],[Input]],1)</f>
        <v>L</v>
      </c>
      <c r="C3493">
        <f>_xlfn.LET(_xlpm.steps,SUBSTITUTE(Table13[[#This Row],[Input]],Table13[[#This Row],[Direction]],""),VALUE(IF(LEN(_xlpm.steps)&gt;2,RIGHT(_xlpm.steps,2),_xlpm.steps)))</f>
        <v>60</v>
      </c>
      <c r="D3493">
        <f>_xlfn.LET(_xlpm.steps,SUBSTITUTE(Table13[[#This Row],[Input]],Table13[[#This Row],[Direction]],""),VALUE(IF(LEN(_xlpm.steps)&gt;2,LEFT(_xlpm.steps,LEN(_xlpm.steps)-2),0)))</f>
        <v>0</v>
      </c>
      <c r="E3493">
        <f>_xlfn.LET(_xlpm.dir,Table13[[#This Row],[Direction]],
IF(_xlpm.dir="L",
    IF(G3492-Table13[[#This Row],[Steps]]&lt;0,100+(G3492-Table13[[#This Row],[Steps]]),G3492-Table13[[#This Row],[Steps]]),
))</f>
        <v>0</v>
      </c>
      <c r="F3493">
        <f>_xlfn.LET(_xlpm.dir,Table13[[#This Row],[Direction]],
IF(_xlpm.dir="R",
    IF(G3492+Table13[[#This Row],[Steps]]&gt;99,(G3492+Table13[[#This Row],[Steps]])-100,G3492+Table13[[#This Row],[Steps]]),
))</f>
        <v>0</v>
      </c>
      <c r="G3493">
        <f>IF(Table13[[#This Row],[New Pos L]]&lt;&gt;0,Table13[[#This Row],[New Pos L]],Table13[[#This Row],[New Pos R]])</f>
        <v>0</v>
      </c>
      <c r="H3493">
        <f>IF(AND(Table13[[#This Row],[Direction]]="L",Table13[[#This Row],[Steps]]&gt;G3492,G3492&lt;&gt;0),1,0)</f>
        <v>0</v>
      </c>
      <c r="I3493">
        <f>IF(AND(Table13[[#This Row],[Direction]]="R",(G3492+Table13[[#This Row],[Steps]])&gt;100),1,0)</f>
        <v>0</v>
      </c>
      <c r="J3493">
        <f>IF(Table13[[#This Row],[POS]]=0,1,0)</f>
        <v>1</v>
      </c>
      <c r="K3493">
        <f>SUM(Table13[[#This Row],[prefix]],Table13[[#This Row],[Past zero L]],Table13[[#This Row],[Past Zero R]],Table13[[#This Row],[Is Zero]])</f>
        <v>1</v>
      </c>
    </row>
    <row r="3494" spans="1:11" ht="16" x14ac:dyDescent="0.2">
      <c r="A3494" s="1" t="s">
        <v>223</v>
      </c>
      <c r="B3494" t="str">
        <f>LEFT(Table13[[#This Row],[Input]],1)</f>
        <v>L</v>
      </c>
      <c r="C3494">
        <f>_xlfn.LET(_xlpm.steps,SUBSTITUTE(Table13[[#This Row],[Input]],Table13[[#This Row],[Direction]],""),VALUE(IF(LEN(_xlpm.steps)&gt;2,RIGHT(_xlpm.steps,2),_xlpm.steps)))</f>
        <v>87</v>
      </c>
      <c r="D3494">
        <f>_xlfn.LET(_xlpm.steps,SUBSTITUTE(Table13[[#This Row],[Input]],Table13[[#This Row],[Direction]],""),VALUE(IF(LEN(_xlpm.steps)&gt;2,LEFT(_xlpm.steps,LEN(_xlpm.steps)-2),0)))</f>
        <v>0</v>
      </c>
      <c r="E3494">
        <f>_xlfn.LET(_xlpm.dir,Table13[[#This Row],[Direction]],
IF(_xlpm.dir="L",
    IF(G3493-Table13[[#This Row],[Steps]]&lt;0,100+(G3493-Table13[[#This Row],[Steps]]),G3493-Table13[[#This Row],[Steps]]),
))</f>
        <v>13</v>
      </c>
      <c r="F3494">
        <f>_xlfn.LET(_xlpm.dir,Table13[[#This Row],[Direction]],
IF(_xlpm.dir="R",
    IF(G3493+Table13[[#This Row],[Steps]]&gt;99,(G3493+Table13[[#This Row],[Steps]])-100,G3493+Table13[[#This Row],[Steps]]),
))</f>
        <v>0</v>
      </c>
      <c r="G3494">
        <f>IF(Table13[[#This Row],[New Pos L]]&lt;&gt;0,Table13[[#This Row],[New Pos L]],Table13[[#This Row],[New Pos R]])</f>
        <v>13</v>
      </c>
      <c r="H3494">
        <f>IF(AND(Table13[[#This Row],[Direction]]="L",Table13[[#This Row],[Steps]]&gt;G3493,G3493&lt;&gt;0),1,0)</f>
        <v>0</v>
      </c>
      <c r="I3494">
        <f>IF(AND(Table13[[#This Row],[Direction]]="R",(G3493+Table13[[#This Row],[Steps]])&gt;100),1,0)</f>
        <v>0</v>
      </c>
      <c r="J3494">
        <f>IF(Table13[[#This Row],[POS]]=0,1,0)</f>
        <v>0</v>
      </c>
      <c r="K3494">
        <f>SUM(Table13[[#This Row],[prefix]],Table13[[#This Row],[Past zero L]],Table13[[#This Row],[Past Zero R]],Table13[[#This Row],[Is Zero]])</f>
        <v>0</v>
      </c>
    </row>
    <row r="3495" spans="1:11" ht="16" x14ac:dyDescent="0.2">
      <c r="A3495" s="1" t="s">
        <v>128</v>
      </c>
      <c r="B3495" t="str">
        <f>LEFT(Table13[[#This Row],[Input]],1)</f>
        <v>R</v>
      </c>
      <c r="C3495">
        <f>_xlfn.LET(_xlpm.steps,SUBSTITUTE(Table13[[#This Row],[Input]],Table13[[#This Row],[Direction]],""),VALUE(IF(LEN(_xlpm.steps)&gt;2,RIGHT(_xlpm.steps,2),_xlpm.steps)))</f>
        <v>92</v>
      </c>
      <c r="D3495">
        <f>_xlfn.LET(_xlpm.steps,SUBSTITUTE(Table13[[#This Row],[Input]],Table13[[#This Row],[Direction]],""),VALUE(IF(LEN(_xlpm.steps)&gt;2,LEFT(_xlpm.steps,LEN(_xlpm.steps)-2),0)))</f>
        <v>0</v>
      </c>
      <c r="E3495">
        <f>_xlfn.LET(_xlpm.dir,Table13[[#This Row],[Direction]],
IF(_xlpm.dir="L",
    IF(G3494-Table13[[#This Row],[Steps]]&lt;0,100+(G3494-Table13[[#This Row],[Steps]]),G3494-Table13[[#This Row],[Steps]]),
))</f>
        <v>0</v>
      </c>
      <c r="F3495">
        <f>_xlfn.LET(_xlpm.dir,Table13[[#This Row],[Direction]],
IF(_xlpm.dir="R",
    IF(G3494+Table13[[#This Row],[Steps]]&gt;99,(G3494+Table13[[#This Row],[Steps]])-100,G3494+Table13[[#This Row],[Steps]]),
))</f>
        <v>5</v>
      </c>
      <c r="G3495">
        <f>IF(Table13[[#This Row],[New Pos L]]&lt;&gt;0,Table13[[#This Row],[New Pos L]],Table13[[#This Row],[New Pos R]])</f>
        <v>5</v>
      </c>
      <c r="H3495">
        <f>IF(AND(Table13[[#This Row],[Direction]]="L",Table13[[#This Row],[Steps]]&gt;G3494,G3494&lt;&gt;0),1,0)</f>
        <v>0</v>
      </c>
      <c r="I3495">
        <f>IF(AND(Table13[[#This Row],[Direction]]="R",(G3494+Table13[[#This Row],[Steps]])&gt;100),1,0)</f>
        <v>1</v>
      </c>
      <c r="J3495">
        <f>IF(Table13[[#This Row],[POS]]=0,1,0)</f>
        <v>0</v>
      </c>
      <c r="K3495">
        <f>SUM(Table13[[#This Row],[prefix]],Table13[[#This Row],[Past zero L]],Table13[[#This Row],[Past Zero R]],Table13[[#This Row],[Is Zero]])</f>
        <v>1</v>
      </c>
    </row>
    <row r="3496" spans="1:11" ht="16" x14ac:dyDescent="0.2">
      <c r="A3496" s="1" t="s">
        <v>336</v>
      </c>
      <c r="B3496" t="str">
        <f>LEFT(Table13[[#This Row],[Input]],1)</f>
        <v>R</v>
      </c>
      <c r="C3496">
        <f>_xlfn.LET(_xlpm.steps,SUBSTITUTE(Table13[[#This Row],[Input]],Table13[[#This Row],[Direction]],""),VALUE(IF(LEN(_xlpm.steps)&gt;2,RIGHT(_xlpm.steps,2),_xlpm.steps)))</f>
        <v>95</v>
      </c>
      <c r="D3496">
        <f>_xlfn.LET(_xlpm.steps,SUBSTITUTE(Table13[[#This Row],[Input]],Table13[[#This Row],[Direction]],""),VALUE(IF(LEN(_xlpm.steps)&gt;2,LEFT(_xlpm.steps,LEN(_xlpm.steps)-2),0)))</f>
        <v>0</v>
      </c>
      <c r="E3496">
        <f>_xlfn.LET(_xlpm.dir,Table13[[#This Row],[Direction]],
IF(_xlpm.dir="L",
    IF(G3495-Table13[[#This Row],[Steps]]&lt;0,100+(G3495-Table13[[#This Row],[Steps]]),G3495-Table13[[#This Row],[Steps]]),
))</f>
        <v>0</v>
      </c>
      <c r="F3496">
        <f>_xlfn.LET(_xlpm.dir,Table13[[#This Row],[Direction]],
IF(_xlpm.dir="R",
    IF(G3495+Table13[[#This Row],[Steps]]&gt;99,(G3495+Table13[[#This Row],[Steps]])-100,G3495+Table13[[#This Row],[Steps]]),
))</f>
        <v>0</v>
      </c>
      <c r="G3496">
        <f>IF(Table13[[#This Row],[New Pos L]]&lt;&gt;0,Table13[[#This Row],[New Pos L]],Table13[[#This Row],[New Pos R]])</f>
        <v>0</v>
      </c>
      <c r="H3496">
        <f>IF(AND(Table13[[#This Row],[Direction]]="L",Table13[[#This Row],[Steps]]&gt;G3495,G3495&lt;&gt;0),1,0)</f>
        <v>0</v>
      </c>
      <c r="I3496">
        <f>IF(AND(Table13[[#This Row],[Direction]]="R",(G3495+Table13[[#This Row],[Steps]])&gt;100),1,0)</f>
        <v>0</v>
      </c>
      <c r="J3496">
        <f>IF(Table13[[#This Row],[POS]]=0,1,0)</f>
        <v>1</v>
      </c>
      <c r="K3496">
        <f>SUM(Table13[[#This Row],[prefix]],Table13[[#This Row],[Past zero L]],Table13[[#This Row],[Past Zero R]],Table13[[#This Row],[Is Zero]])</f>
        <v>1</v>
      </c>
    </row>
    <row r="3497" spans="1:11" ht="16" x14ac:dyDescent="0.2">
      <c r="A3497" s="1" t="s">
        <v>213</v>
      </c>
      <c r="B3497" t="str">
        <f>LEFT(Table13[[#This Row],[Input]],1)</f>
        <v>R</v>
      </c>
      <c r="C3497">
        <f>_xlfn.LET(_xlpm.steps,SUBSTITUTE(Table13[[#This Row],[Input]],Table13[[#This Row],[Direction]],""),VALUE(IF(LEN(_xlpm.steps)&gt;2,RIGHT(_xlpm.steps,2),_xlpm.steps)))</f>
        <v>87</v>
      </c>
      <c r="D3497">
        <f>_xlfn.LET(_xlpm.steps,SUBSTITUTE(Table13[[#This Row],[Input]],Table13[[#This Row],[Direction]],""),VALUE(IF(LEN(_xlpm.steps)&gt;2,LEFT(_xlpm.steps,LEN(_xlpm.steps)-2),0)))</f>
        <v>0</v>
      </c>
      <c r="E3497">
        <f>_xlfn.LET(_xlpm.dir,Table13[[#This Row],[Direction]],
IF(_xlpm.dir="L",
    IF(G3496-Table13[[#This Row],[Steps]]&lt;0,100+(G3496-Table13[[#This Row],[Steps]]),G3496-Table13[[#This Row],[Steps]]),
))</f>
        <v>0</v>
      </c>
      <c r="F3497">
        <f>_xlfn.LET(_xlpm.dir,Table13[[#This Row],[Direction]],
IF(_xlpm.dir="R",
    IF(G3496+Table13[[#This Row],[Steps]]&gt;99,(G3496+Table13[[#This Row],[Steps]])-100,G3496+Table13[[#This Row],[Steps]]),
))</f>
        <v>87</v>
      </c>
      <c r="G3497">
        <f>IF(Table13[[#This Row],[New Pos L]]&lt;&gt;0,Table13[[#This Row],[New Pos L]],Table13[[#This Row],[New Pos R]])</f>
        <v>87</v>
      </c>
      <c r="H3497">
        <f>IF(AND(Table13[[#This Row],[Direction]]="L",Table13[[#This Row],[Steps]]&gt;G3496,G3496&lt;&gt;0),1,0)</f>
        <v>0</v>
      </c>
      <c r="I3497">
        <f>IF(AND(Table13[[#This Row],[Direction]]="R",(G3496+Table13[[#This Row],[Steps]])&gt;100),1,0)</f>
        <v>0</v>
      </c>
      <c r="J3497">
        <f>IF(Table13[[#This Row],[POS]]=0,1,0)</f>
        <v>0</v>
      </c>
      <c r="K3497">
        <f>SUM(Table13[[#This Row],[prefix]],Table13[[#This Row],[Past zero L]],Table13[[#This Row],[Past Zero R]],Table13[[#This Row],[Is Zero]])</f>
        <v>0</v>
      </c>
    </row>
    <row r="3498" spans="1:11" ht="16" x14ac:dyDescent="0.2">
      <c r="A3498" s="1" t="s">
        <v>752</v>
      </c>
      <c r="B3498" t="str">
        <f>LEFT(Table13[[#This Row],[Input]],1)</f>
        <v>R</v>
      </c>
      <c r="C3498">
        <f>_xlfn.LET(_xlpm.steps,SUBSTITUTE(Table13[[#This Row],[Input]],Table13[[#This Row],[Direction]],""),VALUE(IF(LEN(_xlpm.steps)&gt;2,RIGHT(_xlpm.steps,2),_xlpm.steps)))</f>
        <v>13</v>
      </c>
      <c r="D3498">
        <f>_xlfn.LET(_xlpm.steps,SUBSTITUTE(Table13[[#This Row],[Input]],Table13[[#This Row],[Direction]],""),VALUE(IF(LEN(_xlpm.steps)&gt;2,LEFT(_xlpm.steps,LEN(_xlpm.steps)-2),0)))</f>
        <v>7</v>
      </c>
      <c r="E3498">
        <f>_xlfn.LET(_xlpm.dir,Table13[[#This Row],[Direction]],
IF(_xlpm.dir="L",
    IF(G3497-Table13[[#This Row],[Steps]]&lt;0,100+(G3497-Table13[[#This Row],[Steps]]),G3497-Table13[[#This Row],[Steps]]),
))</f>
        <v>0</v>
      </c>
      <c r="F3498">
        <f>_xlfn.LET(_xlpm.dir,Table13[[#This Row],[Direction]],
IF(_xlpm.dir="R",
    IF(G3497+Table13[[#This Row],[Steps]]&gt;99,(G3497+Table13[[#This Row],[Steps]])-100,G3497+Table13[[#This Row],[Steps]]),
))</f>
        <v>0</v>
      </c>
      <c r="G3498">
        <f>IF(Table13[[#This Row],[New Pos L]]&lt;&gt;0,Table13[[#This Row],[New Pos L]],Table13[[#This Row],[New Pos R]])</f>
        <v>0</v>
      </c>
      <c r="H3498">
        <f>IF(AND(Table13[[#This Row],[Direction]]="L",Table13[[#This Row],[Steps]]&gt;G3497,G3497&lt;&gt;0),1,0)</f>
        <v>0</v>
      </c>
      <c r="I3498">
        <f>IF(AND(Table13[[#This Row],[Direction]]="R",(G3497+Table13[[#This Row],[Steps]])&gt;100),1,0)</f>
        <v>0</v>
      </c>
      <c r="J3498">
        <f>IF(Table13[[#This Row],[POS]]=0,1,0)</f>
        <v>1</v>
      </c>
      <c r="K3498">
        <f>SUM(Table13[[#This Row],[prefix]],Table13[[#This Row],[Past zero L]],Table13[[#This Row],[Past Zero R]],Table13[[#This Row],[Is Zero]])</f>
        <v>8</v>
      </c>
    </row>
    <row r="3499" spans="1:11" ht="16" x14ac:dyDescent="0.2">
      <c r="A3499" s="1" t="s">
        <v>141</v>
      </c>
      <c r="B3499" t="str">
        <f>LEFT(Table13[[#This Row],[Input]],1)</f>
        <v>L</v>
      </c>
      <c r="C3499">
        <f>_xlfn.LET(_xlpm.steps,SUBSTITUTE(Table13[[#This Row],[Input]],Table13[[#This Row],[Direction]],""),VALUE(IF(LEN(_xlpm.steps)&gt;2,RIGHT(_xlpm.steps,2),_xlpm.steps)))</f>
        <v>90</v>
      </c>
      <c r="D3499">
        <f>_xlfn.LET(_xlpm.steps,SUBSTITUTE(Table13[[#This Row],[Input]],Table13[[#This Row],[Direction]],""),VALUE(IF(LEN(_xlpm.steps)&gt;2,LEFT(_xlpm.steps,LEN(_xlpm.steps)-2),0)))</f>
        <v>0</v>
      </c>
      <c r="E3499">
        <f>_xlfn.LET(_xlpm.dir,Table13[[#This Row],[Direction]],
IF(_xlpm.dir="L",
    IF(G3498-Table13[[#This Row],[Steps]]&lt;0,100+(G3498-Table13[[#This Row],[Steps]]),G3498-Table13[[#This Row],[Steps]]),
))</f>
        <v>10</v>
      </c>
      <c r="F3499">
        <f>_xlfn.LET(_xlpm.dir,Table13[[#This Row],[Direction]],
IF(_xlpm.dir="R",
    IF(G3498+Table13[[#This Row],[Steps]]&gt;99,(G3498+Table13[[#This Row],[Steps]])-100,G3498+Table13[[#This Row],[Steps]]),
))</f>
        <v>0</v>
      </c>
      <c r="G3499">
        <f>IF(Table13[[#This Row],[New Pos L]]&lt;&gt;0,Table13[[#This Row],[New Pos L]],Table13[[#This Row],[New Pos R]])</f>
        <v>10</v>
      </c>
      <c r="H3499">
        <f>IF(AND(Table13[[#This Row],[Direction]]="L",Table13[[#This Row],[Steps]]&gt;G3498,G3498&lt;&gt;0),1,0)</f>
        <v>0</v>
      </c>
      <c r="I3499">
        <f>IF(AND(Table13[[#This Row],[Direction]]="R",(G3498+Table13[[#This Row],[Steps]])&gt;100),1,0)</f>
        <v>0</v>
      </c>
      <c r="J3499">
        <f>IF(Table13[[#This Row],[POS]]=0,1,0)</f>
        <v>0</v>
      </c>
      <c r="K3499">
        <f>SUM(Table13[[#This Row],[prefix]],Table13[[#This Row],[Past zero L]],Table13[[#This Row],[Past Zero R]],Table13[[#This Row],[Is Zero]])</f>
        <v>0</v>
      </c>
    </row>
    <row r="3500" spans="1:11" ht="16" x14ac:dyDescent="0.2">
      <c r="A3500" s="1" t="s">
        <v>111</v>
      </c>
      <c r="B3500" t="str">
        <f>LEFT(Table13[[#This Row],[Input]],1)</f>
        <v>R</v>
      </c>
      <c r="C3500">
        <f>_xlfn.LET(_xlpm.steps,SUBSTITUTE(Table13[[#This Row],[Input]],Table13[[#This Row],[Direction]],""),VALUE(IF(LEN(_xlpm.steps)&gt;2,RIGHT(_xlpm.steps,2),_xlpm.steps)))</f>
        <v>64</v>
      </c>
      <c r="D3500">
        <f>_xlfn.LET(_xlpm.steps,SUBSTITUTE(Table13[[#This Row],[Input]],Table13[[#This Row],[Direction]],""),VALUE(IF(LEN(_xlpm.steps)&gt;2,LEFT(_xlpm.steps,LEN(_xlpm.steps)-2),0)))</f>
        <v>0</v>
      </c>
      <c r="E3500">
        <f>_xlfn.LET(_xlpm.dir,Table13[[#This Row],[Direction]],
IF(_xlpm.dir="L",
    IF(G3499-Table13[[#This Row],[Steps]]&lt;0,100+(G3499-Table13[[#This Row],[Steps]]),G3499-Table13[[#This Row],[Steps]]),
))</f>
        <v>0</v>
      </c>
      <c r="F3500">
        <f>_xlfn.LET(_xlpm.dir,Table13[[#This Row],[Direction]],
IF(_xlpm.dir="R",
    IF(G3499+Table13[[#This Row],[Steps]]&gt;99,(G3499+Table13[[#This Row],[Steps]])-100,G3499+Table13[[#This Row],[Steps]]),
))</f>
        <v>74</v>
      </c>
      <c r="G3500">
        <f>IF(Table13[[#This Row],[New Pos L]]&lt;&gt;0,Table13[[#This Row],[New Pos L]],Table13[[#This Row],[New Pos R]])</f>
        <v>74</v>
      </c>
      <c r="H3500">
        <f>IF(AND(Table13[[#This Row],[Direction]]="L",Table13[[#This Row],[Steps]]&gt;G3499,G3499&lt;&gt;0),1,0)</f>
        <v>0</v>
      </c>
      <c r="I3500">
        <f>IF(AND(Table13[[#This Row],[Direction]]="R",(G3499+Table13[[#This Row],[Steps]])&gt;100),1,0)</f>
        <v>0</v>
      </c>
      <c r="J3500">
        <f>IF(Table13[[#This Row],[POS]]=0,1,0)</f>
        <v>0</v>
      </c>
      <c r="K3500">
        <f>SUM(Table13[[#This Row],[prefix]],Table13[[#This Row],[Past zero L]],Table13[[#This Row],[Past Zero R]],Table13[[#This Row],[Is Zero]])</f>
        <v>0</v>
      </c>
    </row>
    <row r="3501" spans="1:11" ht="16" x14ac:dyDescent="0.2">
      <c r="A3501" s="1" t="s">
        <v>151</v>
      </c>
      <c r="B3501" t="str">
        <f>LEFT(Table13[[#This Row],[Input]],1)</f>
        <v>L</v>
      </c>
      <c r="C3501">
        <f>_xlfn.LET(_xlpm.steps,SUBSTITUTE(Table13[[#This Row],[Input]],Table13[[#This Row],[Direction]],""),VALUE(IF(LEN(_xlpm.steps)&gt;2,RIGHT(_xlpm.steps,2),_xlpm.steps)))</f>
        <v>74</v>
      </c>
      <c r="D3501">
        <f>_xlfn.LET(_xlpm.steps,SUBSTITUTE(Table13[[#This Row],[Input]],Table13[[#This Row],[Direction]],""),VALUE(IF(LEN(_xlpm.steps)&gt;2,LEFT(_xlpm.steps,LEN(_xlpm.steps)-2),0)))</f>
        <v>0</v>
      </c>
      <c r="E3501">
        <f>_xlfn.LET(_xlpm.dir,Table13[[#This Row],[Direction]],
IF(_xlpm.dir="L",
    IF(G3500-Table13[[#This Row],[Steps]]&lt;0,100+(G3500-Table13[[#This Row],[Steps]]),G3500-Table13[[#This Row],[Steps]]),
))</f>
        <v>0</v>
      </c>
      <c r="F3501">
        <f>_xlfn.LET(_xlpm.dir,Table13[[#This Row],[Direction]],
IF(_xlpm.dir="R",
    IF(G3500+Table13[[#This Row],[Steps]]&gt;99,(G3500+Table13[[#This Row],[Steps]])-100,G3500+Table13[[#This Row],[Steps]]),
))</f>
        <v>0</v>
      </c>
      <c r="G3501">
        <f>IF(Table13[[#This Row],[New Pos L]]&lt;&gt;0,Table13[[#This Row],[New Pos L]],Table13[[#This Row],[New Pos R]])</f>
        <v>0</v>
      </c>
      <c r="H3501">
        <f>IF(AND(Table13[[#This Row],[Direction]]="L",Table13[[#This Row],[Steps]]&gt;G3500,G3500&lt;&gt;0),1,0)</f>
        <v>0</v>
      </c>
      <c r="I3501">
        <f>IF(AND(Table13[[#This Row],[Direction]]="R",(G3500+Table13[[#This Row],[Steps]])&gt;100),1,0)</f>
        <v>0</v>
      </c>
      <c r="J3501">
        <f>IF(Table13[[#This Row],[POS]]=0,1,0)</f>
        <v>1</v>
      </c>
      <c r="K3501">
        <f>SUM(Table13[[#This Row],[prefix]],Table13[[#This Row],[Past zero L]],Table13[[#This Row],[Past Zero R]],Table13[[#This Row],[Is Zero]])</f>
        <v>1</v>
      </c>
    </row>
    <row r="3502" spans="1:11" ht="16" x14ac:dyDescent="0.2">
      <c r="A3502" s="1" t="s">
        <v>295</v>
      </c>
      <c r="B3502" t="str">
        <f>LEFT(Table13[[#This Row],[Input]],1)</f>
        <v>L</v>
      </c>
      <c r="C3502">
        <f>_xlfn.LET(_xlpm.steps,SUBSTITUTE(Table13[[#This Row],[Input]],Table13[[#This Row],[Direction]],""),VALUE(IF(LEN(_xlpm.steps)&gt;2,RIGHT(_xlpm.steps,2),_xlpm.steps)))</f>
        <v>88</v>
      </c>
      <c r="D3502">
        <f>_xlfn.LET(_xlpm.steps,SUBSTITUTE(Table13[[#This Row],[Input]],Table13[[#This Row],[Direction]],""),VALUE(IF(LEN(_xlpm.steps)&gt;2,LEFT(_xlpm.steps,LEN(_xlpm.steps)-2),0)))</f>
        <v>0</v>
      </c>
      <c r="E3502">
        <f>_xlfn.LET(_xlpm.dir,Table13[[#This Row],[Direction]],
IF(_xlpm.dir="L",
    IF(G3501-Table13[[#This Row],[Steps]]&lt;0,100+(G3501-Table13[[#This Row],[Steps]]),G3501-Table13[[#This Row],[Steps]]),
))</f>
        <v>12</v>
      </c>
      <c r="F3502">
        <f>_xlfn.LET(_xlpm.dir,Table13[[#This Row],[Direction]],
IF(_xlpm.dir="R",
    IF(G3501+Table13[[#This Row],[Steps]]&gt;99,(G3501+Table13[[#This Row],[Steps]])-100,G3501+Table13[[#This Row],[Steps]]),
))</f>
        <v>0</v>
      </c>
      <c r="G3502">
        <f>IF(Table13[[#This Row],[New Pos L]]&lt;&gt;0,Table13[[#This Row],[New Pos L]],Table13[[#This Row],[New Pos R]])</f>
        <v>12</v>
      </c>
      <c r="H3502">
        <f>IF(AND(Table13[[#This Row],[Direction]]="L",Table13[[#This Row],[Steps]]&gt;G3501,G3501&lt;&gt;0),1,0)</f>
        <v>0</v>
      </c>
      <c r="I3502">
        <f>IF(AND(Table13[[#This Row],[Direction]]="R",(G3501+Table13[[#This Row],[Steps]])&gt;100),1,0)</f>
        <v>0</v>
      </c>
      <c r="J3502">
        <f>IF(Table13[[#This Row],[POS]]=0,1,0)</f>
        <v>0</v>
      </c>
      <c r="K3502">
        <f>SUM(Table13[[#This Row],[prefix]],Table13[[#This Row],[Past zero L]],Table13[[#This Row],[Past Zero R]],Table13[[#This Row],[Is Zero]])</f>
        <v>0</v>
      </c>
    </row>
    <row r="3503" spans="1:11" ht="16" x14ac:dyDescent="0.2">
      <c r="A3503" s="1" t="s">
        <v>49</v>
      </c>
      <c r="B3503" t="str">
        <f>LEFT(Table13[[#This Row],[Input]],1)</f>
        <v>L</v>
      </c>
      <c r="C3503">
        <f>_xlfn.LET(_xlpm.steps,SUBSTITUTE(Table13[[#This Row],[Input]],Table13[[#This Row],[Direction]],""),VALUE(IF(LEN(_xlpm.steps)&gt;2,RIGHT(_xlpm.steps,2),_xlpm.steps)))</f>
        <v>93</v>
      </c>
      <c r="D3503">
        <f>_xlfn.LET(_xlpm.steps,SUBSTITUTE(Table13[[#This Row],[Input]],Table13[[#This Row],[Direction]],""),VALUE(IF(LEN(_xlpm.steps)&gt;2,LEFT(_xlpm.steps,LEN(_xlpm.steps)-2),0)))</f>
        <v>0</v>
      </c>
      <c r="E3503">
        <f>_xlfn.LET(_xlpm.dir,Table13[[#This Row],[Direction]],
IF(_xlpm.dir="L",
    IF(G3502-Table13[[#This Row],[Steps]]&lt;0,100+(G3502-Table13[[#This Row],[Steps]]),G3502-Table13[[#This Row],[Steps]]),
))</f>
        <v>19</v>
      </c>
      <c r="F3503">
        <f>_xlfn.LET(_xlpm.dir,Table13[[#This Row],[Direction]],
IF(_xlpm.dir="R",
    IF(G3502+Table13[[#This Row],[Steps]]&gt;99,(G3502+Table13[[#This Row],[Steps]])-100,G3502+Table13[[#This Row],[Steps]]),
))</f>
        <v>0</v>
      </c>
      <c r="G3503">
        <f>IF(Table13[[#This Row],[New Pos L]]&lt;&gt;0,Table13[[#This Row],[New Pos L]],Table13[[#This Row],[New Pos R]])</f>
        <v>19</v>
      </c>
      <c r="H3503">
        <f>IF(AND(Table13[[#This Row],[Direction]]="L",Table13[[#This Row],[Steps]]&gt;G3502,G3502&lt;&gt;0),1,0)</f>
        <v>1</v>
      </c>
      <c r="I3503">
        <f>IF(AND(Table13[[#This Row],[Direction]]="R",(G3502+Table13[[#This Row],[Steps]])&gt;100),1,0)</f>
        <v>0</v>
      </c>
      <c r="J3503">
        <f>IF(Table13[[#This Row],[POS]]=0,1,0)</f>
        <v>0</v>
      </c>
      <c r="K3503">
        <f>SUM(Table13[[#This Row],[prefix]],Table13[[#This Row],[Past zero L]],Table13[[#This Row],[Past Zero R]],Table13[[#This Row],[Is Zero]])</f>
        <v>1</v>
      </c>
    </row>
    <row r="3504" spans="1:11" ht="16" x14ac:dyDescent="0.2">
      <c r="A3504" s="1" t="s">
        <v>264</v>
      </c>
      <c r="B3504" t="str">
        <f>LEFT(Table13[[#This Row],[Input]],1)</f>
        <v>L</v>
      </c>
      <c r="C3504">
        <f>_xlfn.LET(_xlpm.steps,SUBSTITUTE(Table13[[#This Row],[Input]],Table13[[#This Row],[Direction]],""),VALUE(IF(LEN(_xlpm.steps)&gt;2,RIGHT(_xlpm.steps,2),_xlpm.steps)))</f>
        <v>21</v>
      </c>
      <c r="D3504">
        <f>_xlfn.LET(_xlpm.steps,SUBSTITUTE(Table13[[#This Row],[Input]],Table13[[#This Row],[Direction]],""),VALUE(IF(LEN(_xlpm.steps)&gt;2,LEFT(_xlpm.steps,LEN(_xlpm.steps)-2),0)))</f>
        <v>0</v>
      </c>
      <c r="E3504">
        <f>_xlfn.LET(_xlpm.dir,Table13[[#This Row],[Direction]],
IF(_xlpm.dir="L",
    IF(G3503-Table13[[#This Row],[Steps]]&lt;0,100+(G3503-Table13[[#This Row],[Steps]]),G3503-Table13[[#This Row],[Steps]]),
))</f>
        <v>98</v>
      </c>
      <c r="F3504">
        <f>_xlfn.LET(_xlpm.dir,Table13[[#This Row],[Direction]],
IF(_xlpm.dir="R",
    IF(G3503+Table13[[#This Row],[Steps]]&gt;99,(G3503+Table13[[#This Row],[Steps]])-100,G3503+Table13[[#This Row],[Steps]]),
))</f>
        <v>0</v>
      </c>
      <c r="G3504">
        <f>IF(Table13[[#This Row],[New Pos L]]&lt;&gt;0,Table13[[#This Row],[New Pos L]],Table13[[#This Row],[New Pos R]])</f>
        <v>98</v>
      </c>
      <c r="H3504">
        <f>IF(AND(Table13[[#This Row],[Direction]]="L",Table13[[#This Row],[Steps]]&gt;G3503,G3503&lt;&gt;0),1,0)</f>
        <v>1</v>
      </c>
      <c r="I3504">
        <f>IF(AND(Table13[[#This Row],[Direction]]="R",(G3503+Table13[[#This Row],[Steps]])&gt;100),1,0)</f>
        <v>0</v>
      </c>
      <c r="J3504">
        <f>IF(Table13[[#This Row],[POS]]=0,1,0)</f>
        <v>0</v>
      </c>
      <c r="K3504">
        <f>SUM(Table13[[#This Row],[prefix]],Table13[[#This Row],[Past zero L]],Table13[[#This Row],[Past Zero R]],Table13[[#This Row],[Is Zero]])</f>
        <v>1</v>
      </c>
    </row>
    <row r="3505" spans="1:11" ht="16" x14ac:dyDescent="0.2">
      <c r="A3505" s="1" t="s">
        <v>164</v>
      </c>
      <c r="B3505" t="str">
        <f>LEFT(Table13[[#This Row],[Input]],1)</f>
        <v>R</v>
      </c>
      <c r="C3505">
        <f>_xlfn.LET(_xlpm.steps,SUBSTITUTE(Table13[[#This Row],[Input]],Table13[[#This Row],[Direction]],""),VALUE(IF(LEN(_xlpm.steps)&gt;2,RIGHT(_xlpm.steps,2),_xlpm.steps)))</f>
        <v>85</v>
      </c>
      <c r="D3505">
        <f>_xlfn.LET(_xlpm.steps,SUBSTITUTE(Table13[[#This Row],[Input]],Table13[[#This Row],[Direction]],""),VALUE(IF(LEN(_xlpm.steps)&gt;2,LEFT(_xlpm.steps,LEN(_xlpm.steps)-2),0)))</f>
        <v>0</v>
      </c>
      <c r="E3505">
        <f>_xlfn.LET(_xlpm.dir,Table13[[#This Row],[Direction]],
IF(_xlpm.dir="L",
    IF(G3504-Table13[[#This Row],[Steps]]&lt;0,100+(G3504-Table13[[#This Row],[Steps]]),G3504-Table13[[#This Row],[Steps]]),
))</f>
        <v>0</v>
      </c>
      <c r="F3505">
        <f>_xlfn.LET(_xlpm.dir,Table13[[#This Row],[Direction]],
IF(_xlpm.dir="R",
    IF(G3504+Table13[[#This Row],[Steps]]&gt;99,(G3504+Table13[[#This Row],[Steps]])-100,G3504+Table13[[#This Row],[Steps]]),
))</f>
        <v>83</v>
      </c>
      <c r="G3505">
        <f>IF(Table13[[#This Row],[New Pos L]]&lt;&gt;0,Table13[[#This Row],[New Pos L]],Table13[[#This Row],[New Pos R]])</f>
        <v>83</v>
      </c>
      <c r="H3505">
        <f>IF(AND(Table13[[#This Row],[Direction]]="L",Table13[[#This Row],[Steps]]&gt;G3504,G3504&lt;&gt;0),1,0)</f>
        <v>0</v>
      </c>
      <c r="I3505">
        <f>IF(AND(Table13[[#This Row],[Direction]]="R",(G3504+Table13[[#This Row],[Steps]])&gt;100),1,0)</f>
        <v>1</v>
      </c>
      <c r="J3505">
        <f>IF(Table13[[#This Row],[POS]]=0,1,0)</f>
        <v>0</v>
      </c>
      <c r="K3505">
        <f>SUM(Table13[[#This Row],[prefix]],Table13[[#This Row],[Past zero L]],Table13[[#This Row],[Past Zero R]],Table13[[#This Row],[Is Zero]])</f>
        <v>1</v>
      </c>
    </row>
    <row r="3506" spans="1:11" ht="16" x14ac:dyDescent="0.2">
      <c r="A3506" s="1" t="s">
        <v>278</v>
      </c>
      <c r="B3506" t="str">
        <f>LEFT(Table13[[#This Row],[Input]],1)</f>
        <v>L</v>
      </c>
      <c r="C3506">
        <f>_xlfn.LET(_xlpm.steps,SUBSTITUTE(Table13[[#This Row],[Input]],Table13[[#This Row],[Direction]],""),VALUE(IF(LEN(_xlpm.steps)&gt;2,RIGHT(_xlpm.steps,2),_xlpm.steps)))</f>
        <v>40</v>
      </c>
      <c r="D3506">
        <f>_xlfn.LET(_xlpm.steps,SUBSTITUTE(Table13[[#This Row],[Input]],Table13[[#This Row],[Direction]],""),VALUE(IF(LEN(_xlpm.steps)&gt;2,LEFT(_xlpm.steps,LEN(_xlpm.steps)-2),0)))</f>
        <v>0</v>
      </c>
      <c r="E3506">
        <f>_xlfn.LET(_xlpm.dir,Table13[[#This Row],[Direction]],
IF(_xlpm.dir="L",
    IF(G3505-Table13[[#This Row],[Steps]]&lt;0,100+(G3505-Table13[[#This Row],[Steps]]),G3505-Table13[[#This Row],[Steps]]),
))</f>
        <v>43</v>
      </c>
      <c r="F3506">
        <f>_xlfn.LET(_xlpm.dir,Table13[[#This Row],[Direction]],
IF(_xlpm.dir="R",
    IF(G3505+Table13[[#This Row],[Steps]]&gt;99,(G3505+Table13[[#This Row],[Steps]])-100,G3505+Table13[[#This Row],[Steps]]),
))</f>
        <v>0</v>
      </c>
      <c r="G3506">
        <f>IF(Table13[[#This Row],[New Pos L]]&lt;&gt;0,Table13[[#This Row],[New Pos L]],Table13[[#This Row],[New Pos R]])</f>
        <v>43</v>
      </c>
      <c r="H3506">
        <f>IF(AND(Table13[[#This Row],[Direction]]="L",Table13[[#This Row],[Steps]]&gt;G3505,G3505&lt;&gt;0),1,0)</f>
        <v>0</v>
      </c>
      <c r="I3506">
        <f>IF(AND(Table13[[#This Row],[Direction]]="R",(G3505+Table13[[#This Row],[Steps]])&gt;100),1,0)</f>
        <v>0</v>
      </c>
      <c r="J3506">
        <f>IF(Table13[[#This Row],[POS]]=0,1,0)</f>
        <v>0</v>
      </c>
      <c r="K3506">
        <f>SUM(Table13[[#This Row],[prefix]],Table13[[#This Row],[Past zero L]],Table13[[#This Row],[Past Zero R]],Table13[[#This Row],[Is Zero]])</f>
        <v>0</v>
      </c>
    </row>
    <row r="3507" spans="1:11" ht="16" x14ac:dyDescent="0.2">
      <c r="A3507" s="1" t="s">
        <v>57</v>
      </c>
      <c r="B3507" t="str">
        <f>LEFT(Table13[[#This Row],[Input]],1)</f>
        <v>R</v>
      </c>
      <c r="C3507">
        <f>_xlfn.LET(_xlpm.steps,SUBSTITUTE(Table13[[#This Row],[Input]],Table13[[#This Row],[Direction]],""),VALUE(IF(LEN(_xlpm.steps)&gt;2,RIGHT(_xlpm.steps,2),_xlpm.steps)))</f>
        <v>29</v>
      </c>
      <c r="D3507">
        <f>_xlfn.LET(_xlpm.steps,SUBSTITUTE(Table13[[#This Row],[Input]],Table13[[#This Row],[Direction]],""),VALUE(IF(LEN(_xlpm.steps)&gt;2,LEFT(_xlpm.steps,LEN(_xlpm.steps)-2),0)))</f>
        <v>0</v>
      </c>
      <c r="E3507">
        <f>_xlfn.LET(_xlpm.dir,Table13[[#This Row],[Direction]],
IF(_xlpm.dir="L",
    IF(G3506-Table13[[#This Row],[Steps]]&lt;0,100+(G3506-Table13[[#This Row],[Steps]]),G3506-Table13[[#This Row],[Steps]]),
))</f>
        <v>0</v>
      </c>
      <c r="F3507">
        <f>_xlfn.LET(_xlpm.dir,Table13[[#This Row],[Direction]],
IF(_xlpm.dir="R",
    IF(G3506+Table13[[#This Row],[Steps]]&gt;99,(G3506+Table13[[#This Row],[Steps]])-100,G3506+Table13[[#This Row],[Steps]]),
))</f>
        <v>72</v>
      </c>
      <c r="G3507">
        <f>IF(Table13[[#This Row],[New Pos L]]&lt;&gt;0,Table13[[#This Row],[New Pos L]],Table13[[#This Row],[New Pos R]])</f>
        <v>72</v>
      </c>
      <c r="H3507">
        <f>IF(AND(Table13[[#This Row],[Direction]]="L",Table13[[#This Row],[Steps]]&gt;G3506,G3506&lt;&gt;0),1,0)</f>
        <v>0</v>
      </c>
      <c r="I3507">
        <f>IF(AND(Table13[[#This Row],[Direction]]="R",(G3506+Table13[[#This Row],[Steps]])&gt;100),1,0)</f>
        <v>0</v>
      </c>
      <c r="J3507">
        <f>IF(Table13[[#This Row],[POS]]=0,1,0)</f>
        <v>0</v>
      </c>
      <c r="K3507">
        <f>SUM(Table13[[#This Row],[prefix]],Table13[[#This Row],[Past zero L]],Table13[[#This Row],[Past Zero R]],Table13[[#This Row],[Is Zero]])</f>
        <v>0</v>
      </c>
    </row>
    <row r="3508" spans="1:11" ht="16" x14ac:dyDescent="0.2">
      <c r="A3508" s="1" t="s">
        <v>325</v>
      </c>
      <c r="B3508" t="str">
        <f>LEFT(Table13[[#This Row],[Input]],1)</f>
        <v>L</v>
      </c>
      <c r="C3508">
        <f>_xlfn.LET(_xlpm.steps,SUBSTITUTE(Table13[[#This Row],[Input]],Table13[[#This Row],[Direction]],""),VALUE(IF(LEN(_xlpm.steps)&gt;2,RIGHT(_xlpm.steps,2),_xlpm.steps)))</f>
        <v>68</v>
      </c>
      <c r="D3508">
        <f>_xlfn.LET(_xlpm.steps,SUBSTITUTE(Table13[[#This Row],[Input]],Table13[[#This Row],[Direction]],""),VALUE(IF(LEN(_xlpm.steps)&gt;2,LEFT(_xlpm.steps,LEN(_xlpm.steps)-2),0)))</f>
        <v>0</v>
      </c>
      <c r="E3508">
        <f>_xlfn.LET(_xlpm.dir,Table13[[#This Row],[Direction]],
IF(_xlpm.dir="L",
    IF(G3507-Table13[[#This Row],[Steps]]&lt;0,100+(G3507-Table13[[#This Row],[Steps]]),G3507-Table13[[#This Row],[Steps]]),
))</f>
        <v>4</v>
      </c>
      <c r="F3508">
        <f>_xlfn.LET(_xlpm.dir,Table13[[#This Row],[Direction]],
IF(_xlpm.dir="R",
    IF(G3507+Table13[[#This Row],[Steps]]&gt;99,(G3507+Table13[[#This Row],[Steps]])-100,G3507+Table13[[#This Row],[Steps]]),
))</f>
        <v>0</v>
      </c>
      <c r="G3508">
        <f>IF(Table13[[#This Row],[New Pos L]]&lt;&gt;0,Table13[[#This Row],[New Pos L]],Table13[[#This Row],[New Pos R]])</f>
        <v>4</v>
      </c>
      <c r="H3508">
        <f>IF(AND(Table13[[#This Row],[Direction]]="L",Table13[[#This Row],[Steps]]&gt;G3507,G3507&lt;&gt;0),1,0)</f>
        <v>0</v>
      </c>
      <c r="I3508">
        <f>IF(AND(Table13[[#This Row],[Direction]]="R",(G3507+Table13[[#This Row],[Steps]])&gt;100),1,0)</f>
        <v>0</v>
      </c>
      <c r="J3508">
        <f>IF(Table13[[#This Row],[POS]]=0,1,0)</f>
        <v>0</v>
      </c>
      <c r="K3508">
        <f>SUM(Table13[[#This Row],[prefix]],Table13[[#This Row],[Past zero L]],Table13[[#This Row],[Past Zero R]],Table13[[#This Row],[Is Zero]])</f>
        <v>0</v>
      </c>
    </row>
    <row r="3509" spans="1:11" ht="16" x14ac:dyDescent="0.2">
      <c r="A3509" s="1" t="s">
        <v>127</v>
      </c>
      <c r="B3509" t="str">
        <f>LEFT(Table13[[#This Row],[Input]],1)</f>
        <v>L</v>
      </c>
      <c r="C3509">
        <f>_xlfn.LET(_xlpm.steps,SUBSTITUTE(Table13[[#This Row],[Input]],Table13[[#This Row],[Direction]],""),VALUE(IF(LEN(_xlpm.steps)&gt;2,RIGHT(_xlpm.steps,2),_xlpm.steps)))</f>
        <v>62</v>
      </c>
      <c r="D3509">
        <f>_xlfn.LET(_xlpm.steps,SUBSTITUTE(Table13[[#This Row],[Input]],Table13[[#This Row],[Direction]],""),VALUE(IF(LEN(_xlpm.steps)&gt;2,LEFT(_xlpm.steps,LEN(_xlpm.steps)-2),0)))</f>
        <v>0</v>
      </c>
      <c r="E3509">
        <f>_xlfn.LET(_xlpm.dir,Table13[[#This Row],[Direction]],
IF(_xlpm.dir="L",
    IF(G3508-Table13[[#This Row],[Steps]]&lt;0,100+(G3508-Table13[[#This Row],[Steps]]),G3508-Table13[[#This Row],[Steps]]),
))</f>
        <v>42</v>
      </c>
      <c r="F3509">
        <f>_xlfn.LET(_xlpm.dir,Table13[[#This Row],[Direction]],
IF(_xlpm.dir="R",
    IF(G3508+Table13[[#This Row],[Steps]]&gt;99,(G3508+Table13[[#This Row],[Steps]])-100,G3508+Table13[[#This Row],[Steps]]),
))</f>
        <v>0</v>
      </c>
      <c r="G3509">
        <f>IF(Table13[[#This Row],[New Pos L]]&lt;&gt;0,Table13[[#This Row],[New Pos L]],Table13[[#This Row],[New Pos R]])</f>
        <v>42</v>
      </c>
      <c r="H3509">
        <f>IF(AND(Table13[[#This Row],[Direction]]="L",Table13[[#This Row],[Steps]]&gt;G3508,G3508&lt;&gt;0),1,0)</f>
        <v>1</v>
      </c>
      <c r="I3509">
        <f>IF(AND(Table13[[#This Row],[Direction]]="R",(G3508+Table13[[#This Row],[Steps]])&gt;100),1,0)</f>
        <v>0</v>
      </c>
      <c r="J3509">
        <f>IF(Table13[[#This Row],[POS]]=0,1,0)</f>
        <v>0</v>
      </c>
      <c r="K3509">
        <f>SUM(Table13[[#This Row],[prefix]],Table13[[#This Row],[Past zero L]],Table13[[#This Row],[Past Zero R]],Table13[[#This Row],[Is Zero]])</f>
        <v>1</v>
      </c>
    </row>
    <row r="3510" spans="1:11" ht="16" x14ac:dyDescent="0.2">
      <c r="A3510" s="1" t="s">
        <v>9</v>
      </c>
      <c r="B3510" t="str">
        <f>LEFT(Table13[[#This Row],[Input]],1)</f>
        <v>L</v>
      </c>
      <c r="C3510">
        <f>_xlfn.LET(_xlpm.steps,SUBSTITUTE(Table13[[#This Row],[Input]],Table13[[#This Row],[Direction]],""),VALUE(IF(LEN(_xlpm.steps)&gt;2,RIGHT(_xlpm.steps,2),_xlpm.steps)))</f>
        <v>9</v>
      </c>
      <c r="D3510">
        <f>_xlfn.LET(_xlpm.steps,SUBSTITUTE(Table13[[#This Row],[Input]],Table13[[#This Row],[Direction]],""),VALUE(IF(LEN(_xlpm.steps)&gt;2,LEFT(_xlpm.steps,LEN(_xlpm.steps)-2),0)))</f>
        <v>0</v>
      </c>
      <c r="E3510">
        <f>_xlfn.LET(_xlpm.dir,Table13[[#This Row],[Direction]],
IF(_xlpm.dir="L",
    IF(G3509-Table13[[#This Row],[Steps]]&lt;0,100+(G3509-Table13[[#This Row],[Steps]]),G3509-Table13[[#This Row],[Steps]]),
))</f>
        <v>33</v>
      </c>
      <c r="F3510">
        <f>_xlfn.LET(_xlpm.dir,Table13[[#This Row],[Direction]],
IF(_xlpm.dir="R",
    IF(G3509+Table13[[#This Row],[Steps]]&gt;99,(G3509+Table13[[#This Row],[Steps]])-100,G3509+Table13[[#This Row],[Steps]]),
))</f>
        <v>0</v>
      </c>
      <c r="G3510">
        <f>IF(Table13[[#This Row],[New Pos L]]&lt;&gt;0,Table13[[#This Row],[New Pos L]],Table13[[#This Row],[New Pos R]])</f>
        <v>33</v>
      </c>
      <c r="H3510">
        <f>IF(AND(Table13[[#This Row],[Direction]]="L",Table13[[#This Row],[Steps]]&gt;G3509,G3509&lt;&gt;0),1,0)</f>
        <v>0</v>
      </c>
      <c r="I3510">
        <f>IF(AND(Table13[[#This Row],[Direction]]="R",(G3509+Table13[[#This Row],[Steps]])&gt;100),1,0)</f>
        <v>0</v>
      </c>
      <c r="J3510">
        <f>IF(Table13[[#This Row],[POS]]=0,1,0)</f>
        <v>0</v>
      </c>
      <c r="K3510">
        <f>SUM(Table13[[#This Row],[prefix]],Table13[[#This Row],[Past zero L]],Table13[[#This Row],[Past Zero R]],Table13[[#This Row],[Is Zero]])</f>
        <v>0</v>
      </c>
    </row>
    <row r="3511" spans="1:11" ht="16" x14ac:dyDescent="0.2">
      <c r="A3511" s="1" t="s">
        <v>223</v>
      </c>
      <c r="B3511" t="str">
        <f>LEFT(Table13[[#This Row],[Input]],1)</f>
        <v>L</v>
      </c>
      <c r="C3511">
        <f>_xlfn.LET(_xlpm.steps,SUBSTITUTE(Table13[[#This Row],[Input]],Table13[[#This Row],[Direction]],""),VALUE(IF(LEN(_xlpm.steps)&gt;2,RIGHT(_xlpm.steps,2),_xlpm.steps)))</f>
        <v>87</v>
      </c>
      <c r="D3511">
        <f>_xlfn.LET(_xlpm.steps,SUBSTITUTE(Table13[[#This Row],[Input]],Table13[[#This Row],[Direction]],""),VALUE(IF(LEN(_xlpm.steps)&gt;2,LEFT(_xlpm.steps,LEN(_xlpm.steps)-2),0)))</f>
        <v>0</v>
      </c>
      <c r="E3511">
        <f>_xlfn.LET(_xlpm.dir,Table13[[#This Row],[Direction]],
IF(_xlpm.dir="L",
    IF(G3510-Table13[[#This Row],[Steps]]&lt;0,100+(G3510-Table13[[#This Row],[Steps]]),G3510-Table13[[#This Row],[Steps]]),
))</f>
        <v>46</v>
      </c>
      <c r="F3511">
        <f>_xlfn.LET(_xlpm.dir,Table13[[#This Row],[Direction]],
IF(_xlpm.dir="R",
    IF(G3510+Table13[[#This Row],[Steps]]&gt;99,(G3510+Table13[[#This Row],[Steps]])-100,G3510+Table13[[#This Row],[Steps]]),
))</f>
        <v>0</v>
      </c>
      <c r="G3511">
        <f>IF(Table13[[#This Row],[New Pos L]]&lt;&gt;0,Table13[[#This Row],[New Pos L]],Table13[[#This Row],[New Pos R]])</f>
        <v>46</v>
      </c>
      <c r="H3511">
        <f>IF(AND(Table13[[#This Row],[Direction]]="L",Table13[[#This Row],[Steps]]&gt;G3510,G3510&lt;&gt;0),1,0)</f>
        <v>1</v>
      </c>
      <c r="I3511">
        <f>IF(AND(Table13[[#This Row],[Direction]]="R",(G3510+Table13[[#This Row],[Steps]])&gt;100),1,0)</f>
        <v>0</v>
      </c>
      <c r="J3511">
        <f>IF(Table13[[#This Row],[POS]]=0,1,0)</f>
        <v>0</v>
      </c>
      <c r="K3511">
        <f>SUM(Table13[[#This Row],[prefix]],Table13[[#This Row],[Past zero L]],Table13[[#This Row],[Past Zero R]],Table13[[#This Row],[Is Zero]])</f>
        <v>1</v>
      </c>
    </row>
    <row r="3512" spans="1:11" ht="16" x14ac:dyDescent="0.2">
      <c r="A3512" s="1" t="s">
        <v>216</v>
      </c>
      <c r="B3512" t="str">
        <f>LEFT(Table13[[#This Row],[Input]],1)</f>
        <v>R</v>
      </c>
      <c r="C3512">
        <f>_xlfn.LET(_xlpm.steps,SUBSTITUTE(Table13[[#This Row],[Input]],Table13[[#This Row],[Direction]],""),VALUE(IF(LEN(_xlpm.steps)&gt;2,RIGHT(_xlpm.steps,2),_xlpm.steps)))</f>
        <v>54</v>
      </c>
      <c r="D3512">
        <f>_xlfn.LET(_xlpm.steps,SUBSTITUTE(Table13[[#This Row],[Input]],Table13[[#This Row],[Direction]],""),VALUE(IF(LEN(_xlpm.steps)&gt;2,LEFT(_xlpm.steps,LEN(_xlpm.steps)-2),0)))</f>
        <v>0</v>
      </c>
      <c r="E3512">
        <f>_xlfn.LET(_xlpm.dir,Table13[[#This Row],[Direction]],
IF(_xlpm.dir="L",
    IF(G3511-Table13[[#This Row],[Steps]]&lt;0,100+(G3511-Table13[[#This Row],[Steps]]),G3511-Table13[[#This Row],[Steps]]),
))</f>
        <v>0</v>
      </c>
      <c r="F3512">
        <f>_xlfn.LET(_xlpm.dir,Table13[[#This Row],[Direction]],
IF(_xlpm.dir="R",
    IF(G3511+Table13[[#This Row],[Steps]]&gt;99,(G3511+Table13[[#This Row],[Steps]])-100,G3511+Table13[[#This Row],[Steps]]),
))</f>
        <v>0</v>
      </c>
      <c r="G3512">
        <f>IF(Table13[[#This Row],[New Pos L]]&lt;&gt;0,Table13[[#This Row],[New Pos L]],Table13[[#This Row],[New Pos R]])</f>
        <v>0</v>
      </c>
      <c r="H3512">
        <f>IF(AND(Table13[[#This Row],[Direction]]="L",Table13[[#This Row],[Steps]]&gt;G3511,G3511&lt;&gt;0),1,0)</f>
        <v>0</v>
      </c>
      <c r="I3512">
        <f>IF(AND(Table13[[#This Row],[Direction]]="R",(G3511+Table13[[#This Row],[Steps]])&gt;100),1,0)</f>
        <v>0</v>
      </c>
      <c r="J3512">
        <f>IF(Table13[[#This Row],[POS]]=0,1,0)</f>
        <v>1</v>
      </c>
      <c r="K3512">
        <f>SUM(Table13[[#This Row],[prefix]],Table13[[#This Row],[Past zero L]],Table13[[#This Row],[Past Zero R]],Table13[[#This Row],[Is Zero]])</f>
        <v>1</v>
      </c>
    </row>
    <row r="3513" spans="1:11" ht="16" x14ac:dyDescent="0.2">
      <c r="A3513" s="1" t="s">
        <v>226</v>
      </c>
      <c r="B3513" t="str">
        <f>LEFT(Table13[[#This Row],[Input]],1)</f>
        <v>L</v>
      </c>
      <c r="C3513">
        <f>_xlfn.LET(_xlpm.steps,SUBSTITUTE(Table13[[#This Row],[Input]],Table13[[#This Row],[Direction]],""),VALUE(IF(LEN(_xlpm.steps)&gt;2,RIGHT(_xlpm.steps,2),_xlpm.steps)))</f>
        <v>31</v>
      </c>
      <c r="D3513">
        <f>_xlfn.LET(_xlpm.steps,SUBSTITUTE(Table13[[#This Row],[Input]],Table13[[#This Row],[Direction]],""),VALUE(IF(LEN(_xlpm.steps)&gt;2,LEFT(_xlpm.steps,LEN(_xlpm.steps)-2),0)))</f>
        <v>0</v>
      </c>
      <c r="E3513">
        <f>_xlfn.LET(_xlpm.dir,Table13[[#This Row],[Direction]],
IF(_xlpm.dir="L",
    IF(G3512-Table13[[#This Row],[Steps]]&lt;0,100+(G3512-Table13[[#This Row],[Steps]]),G3512-Table13[[#This Row],[Steps]]),
))</f>
        <v>69</v>
      </c>
      <c r="F3513">
        <f>_xlfn.LET(_xlpm.dir,Table13[[#This Row],[Direction]],
IF(_xlpm.dir="R",
    IF(G3512+Table13[[#This Row],[Steps]]&gt;99,(G3512+Table13[[#This Row],[Steps]])-100,G3512+Table13[[#This Row],[Steps]]),
))</f>
        <v>0</v>
      </c>
      <c r="G3513">
        <f>IF(Table13[[#This Row],[New Pos L]]&lt;&gt;0,Table13[[#This Row],[New Pos L]],Table13[[#This Row],[New Pos R]])</f>
        <v>69</v>
      </c>
      <c r="H3513">
        <f>IF(AND(Table13[[#This Row],[Direction]]="L",Table13[[#This Row],[Steps]]&gt;G3512,G3512&lt;&gt;0),1,0)</f>
        <v>0</v>
      </c>
      <c r="I3513">
        <f>IF(AND(Table13[[#This Row],[Direction]]="R",(G3512+Table13[[#This Row],[Steps]])&gt;100),1,0)</f>
        <v>0</v>
      </c>
      <c r="J3513">
        <f>IF(Table13[[#This Row],[POS]]=0,1,0)</f>
        <v>0</v>
      </c>
      <c r="K3513">
        <f>SUM(Table13[[#This Row],[prefix]],Table13[[#This Row],[Past zero L]],Table13[[#This Row],[Past Zero R]],Table13[[#This Row],[Is Zero]])</f>
        <v>0</v>
      </c>
    </row>
    <row r="3514" spans="1:11" ht="16" x14ac:dyDescent="0.2">
      <c r="A3514" s="1" t="s">
        <v>5</v>
      </c>
      <c r="B3514" t="str">
        <f>LEFT(Table13[[#This Row],[Input]],1)</f>
        <v>R</v>
      </c>
      <c r="C3514">
        <f>_xlfn.LET(_xlpm.steps,SUBSTITUTE(Table13[[#This Row],[Input]],Table13[[#This Row],[Direction]],""),VALUE(IF(LEN(_xlpm.steps)&gt;2,RIGHT(_xlpm.steps,2),_xlpm.steps)))</f>
        <v>1</v>
      </c>
      <c r="D3514">
        <f>_xlfn.LET(_xlpm.steps,SUBSTITUTE(Table13[[#This Row],[Input]],Table13[[#This Row],[Direction]],""),VALUE(IF(LEN(_xlpm.steps)&gt;2,LEFT(_xlpm.steps,LEN(_xlpm.steps)-2),0)))</f>
        <v>0</v>
      </c>
      <c r="E3514">
        <f>_xlfn.LET(_xlpm.dir,Table13[[#This Row],[Direction]],
IF(_xlpm.dir="L",
    IF(G3513-Table13[[#This Row],[Steps]]&lt;0,100+(G3513-Table13[[#This Row],[Steps]]),G3513-Table13[[#This Row],[Steps]]),
))</f>
        <v>0</v>
      </c>
      <c r="F3514">
        <f>_xlfn.LET(_xlpm.dir,Table13[[#This Row],[Direction]],
IF(_xlpm.dir="R",
    IF(G3513+Table13[[#This Row],[Steps]]&gt;99,(G3513+Table13[[#This Row],[Steps]])-100,G3513+Table13[[#This Row],[Steps]]),
))</f>
        <v>70</v>
      </c>
      <c r="G3514">
        <f>IF(Table13[[#This Row],[New Pos L]]&lt;&gt;0,Table13[[#This Row],[New Pos L]],Table13[[#This Row],[New Pos R]])</f>
        <v>70</v>
      </c>
      <c r="H3514">
        <f>IF(AND(Table13[[#This Row],[Direction]]="L",Table13[[#This Row],[Steps]]&gt;G3513,G3513&lt;&gt;0),1,0)</f>
        <v>0</v>
      </c>
      <c r="I3514">
        <f>IF(AND(Table13[[#This Row],[Direction]]="R",(G3513+Table13[[#This Row],[Steps]])&gt;100),1,0)</f>
        <v>0</v>
      </c>
      <c r="J3514">
        <f>IF(Table13[[#This Row],[POS]]=0,1,0)</f>
        <v>0</v>
      </c>
      <c r="K3514">
        <f>SUM(Table13[[#This Row],[prefix]],Table13[[#This Row],[Past zero L]],Table13[[#This Row],[Past Zero R]],Table13[[#This Row],[Is Zero]])</f>
        <v>0</v>
      </c>
    </row>
    <row r="3515" spans="1:11" ht="16" x14ac:dyDescent="0.2">
      <c r="A3515" s="1" t="s">
        <v>616</v>
      </c>
      <c r="B3515" t="str">
        <f>LEFT(Table13[[#This Row],[Input]],1)</f>
        <v>R</v>
      </c>
      <c r="C3515">
        <f>_xlfn.LET(_xlpm.steps,SUBSTITUTE(Table13[[#This Row],[Input]],Table13[[#This Row],[Direction]],""),VALUE(IF(LEN(_xlpm.steps)&gt;2,RIGHT(_xlpm.steps,2),_xlpm.steps)))</f>
        <v>26</v>
      </c>
      <c r="D3515">
        <f>_xlfn.LET(_xlpm.steps,SUBSTITUTE(Table13[[#This Row],[Input]],Table13[[#This Row],[Direction]],""),VALUE(IF(LEN(_xlpm.steps)&gt;2,LEFT(_xlpm.steps,LEN(_xlpm.steps)-2),0)))</f>
        <v>2</v>
      </c>
      <c r="E3515">
        <f>_xlfn.LET(_xlpm.dir,Table13[[#This Row],[Direction]],
IF(_xlpm.dir="L",
    IF(G3514-Table13[[#This Row],[Steps]]&lt;0,100+(G3514-Table13[[#This Row],[Steps]]),G3514-Table13[[#This Row],[Steps]]),
))</f>
        <v>0</v>
      </c>
      <c r="F3515">
        <f>_xlfn.LET(_xlpm.dir,Table13[[#This Row],[Direction]],
IF(_xlpm.dir="R",
    IF(G3514+Table13[[#This Row],[Steps]]&gt;99,(G3514+Table13[[#This Row],[Steps]])-100,G3514+Table13[[#This Row],[Steps]]),
))</f>
        <v>96</v>
      </c>
      <c r="G3515">
        <f>IF(Table13[[#This Row],[New Pos L]]&lt;&gt;0,Table13[[#This Row],[New Pos L]],Table13[[#This Row],[New Pos R]])</f>
        <v>96</v>
      </c>
      <c r="H3515">
        <f>IF(AND(Table13[[#This Row],[Direction]]="L",Table13[[#This Row],[Steps]]&gt;G3514,G3514&lt;&gt;0),1,0)</f>
        <v>0</v>
      </c>
      <c r="I3515">
        <f>IF(AND(Table13[[#This Row],[Direction]]="R",(G3514+Table13[[#This Row],[Steps]])&gt;100),1,0)</f>
        <v>0</v>
      </c>
      <c r="J3515">
        <f>IF(Table13[[#This Row],[POS]]=0,1,0)</f>
        <v>0</v>
      </c>
      <c r="K3515">
        <f>SUM(Table13[[#This Row],[prefix]],Table13[[#This Row],[Past zero L]],Table13[[#This Row],[Past Zero R]],Table13[[#This Row],[Is Zero]])</f>
        <v>2</v>
      </c>
    </row>
    <row r="3516" spans="1:11" ht="16" x14ac:dyDescent="0.2">
      <c r="A3516" s="1" t="s">
        <v>207</v>
      </c>
      <c r="B3516" t="str">
        <f>LEFT(Table13[[#This Row],[Input]],1)</f>
        <v>L</v>
      </c>
      <c r="C3516">
        <f>_xlfn.LET(_xlpm.steps,SUBSTITUTE(Table13[[#This Row],[Input]],Table13[[#This Row],[Direction]],""),VALUE(IF(LEN(_xlpm.steps)&gt;2,RIGHT(_xlpm.steps,2),_xlpm.steps)))</f>
        <v>89</v>
      </c>
      <c r="D3516">
        <f>_xlfn.LET(_xlpm.steps,SUBSTITUTE(Table13[[#This Row],[Input]],Table13[[#This Row],[Direction]],""),VALUE(IF(LEN(_xlpm.steps)&gt;2,LEFT(_xlpm.steps,LEN(_xlpm.steps)-2),0)))</f>
        <v>0</v>
      </c>
      <c r="E3516">
        <f>_xlfn.LET(_xlpm.dir,Table13[[#This Row],[Direction]],
IF(_xlpm.dir="L",
    IF(G3515-Table13[[#This Row],[Steps]]&lt;0,100+(G3515-Table13[[#This Row],[Steps]]),G3515-Table13[[#This Row],[Steps]]),
))</f>
        <v>7</v>
      </c>
      <c r="F3516">
        <f>_xlfn.LET(_xlpm.dir,Table13[[#This Row],[Direction]],
IF(_xlpm.dir="R",
    IF(G3515+Table13[[#This Row],[Steps]]&gt;99,(G3515+Table13[[#This Row],[Steps]])-100,G3515+Table13[[#This Row],[Steps]]),
))</f>
        <v>0</v>
      </c>
      <c r="G3516">
        <f>IF(Table13[[#This Row],[New Pos L]]&lt;&gt;0,Table13[[#This Row],[New Pos L]],Table13[[#This Row],[New Pos R]])</f>
        <v>7</v>
      </c>
      <c r="H3516">
        <f>IF(AND(Table13[[#This Row],[Direction]]="L",Table13[[#This Row],[Steps]]&gt;G3515,G3515&lt;&gt;0),1,0)</f>
        <v>0</v>
      </c>
      <c r="I3516">
        <f>IF(AND(Table13[[#This Row],[Direction]]="R",(G3515+Table13[[#This Row],[Steps]])&gt;100),1,0)</f>
        <v>0</v>
      </c>
      <c r="J3516">
        <f>IF(Table13[[#This Row],[POS]]=0,1,0)</f>
        <v>0</v>
      </c>
      <c r="K3516">
        <f>SUM(Table13[[#This Row],[prefix]],Table13[[#This Row],[Past zero L]],Table13[[#This Row],[Past Zero R]],Table13[[#This Row],[Is Zero]])</f>
        <v>0</v>
      </c>
    </row>
    <row r="3517" spans="1:11" ht="16" x14ac:dyDescent="0.2">
      <c r="A3517" s="1" t="s">
        <v>188</v>
      </c>
      <c r="B3517" t="str">
        <f>LEFT(Table13[[#This Row],[Input]],1)</f>
        <v>R</v>
      </c>
      <c r="C3517">
        <f>_xlfn.LET(_xlpm.steps,SUBSTITUTE(Table13[[#This Row],[Input]],Table13[[#This Row],[Direction]],""),VALUE(IF(LEN(_xlpm.steps)&gt;2,RIGHT(_xlpm.steps,2),_xlpm.steps)))</f>
        <v>5</v>
      </c>
      <c r="D3517">
        <f>_xlfn.LET(_xlpm.steps,SUBSTITUTE(Table13[[#This Row],[Input]],Table13[[#This Row],[Direction]],""),VALUE(IF(LEN(_xlpm.steps)&gt;2,LEFT(_xlpm.steps,LEN(_xlpm.steps)-2),0)))</f>
        <v>0</v>
      </c>
      <c r="E3517">
        <f>_xlfn.LET(_xlpm.dir,Table13[[#This Row],[Direction]],
IF(_xlpm.dir="L",
    IF(G3516-Table13[[#This Row],[Steps]]&lt;0,100+(G3516-Table13[[#This Row],[Steps]]),G3516-Table13[[#This Row],[Steps]]),
))</f>
        <v>0</v>
      </c>
      <c r="F3517">
        <f>_xlfn.LET(_xlpm.dir,Table13[[#This Row],[Direction]],
IF(_xlpm.dir="R",
    IF(G3516+Table13[[#This Row],[Steps]]&gt;99,(G3516+Table13[[#This Row],[Steps]])-100,G3516+Table13[[#This Row],[Steps]]),
))</f>
        <v>12</v>
      </c>
      <c r="G3517">
        <f>IF(Table13[[#This Row],[New Pos L]]&lt;&gt;0,Table13[[#This Row],[New Pos L]],Table13[[#This Row],[New Pos R]])</f>
        <v>12</v>
      </c>
      <c r="H3517">
        <f>IF(AND(Table13[[#This Row],[Direction]]="L",Table13[[#This Row],[Steps]]&gt;G3516,G3516&lt;&gt;0),1,0)</f>
        <v>0</v>
      </c>
      <c r="I3517">
        <f>IF(AND(Table13[[#This Row],[Direction]]="R",(G3516+Table13[[#This Row],[Steps]])&gt;100),1,0)</f>
        <v>0</v>
      </c>
      <c r="J3517">
        <f>IF(Table13[[#This Row],[POS]]=0,1,0)</f>
        <v>0</v>
      </c>
      <c r="K3517">
        <f>SUM(Table13[[#This Row],[prefix]],Table13[[#This Row],[Past zero L]],Table13[[#This Row],[Past Zero R]],Table13[[#This Row],[Is Zero]])</f>
        <v>0</v>
      </c>
    </row>
    <row r="3518" spans="1:11" ht="16" x14ac:dyDescent="0.2">
      <c r="A3518" s="1" t="s">
        <v>84</v>
      </c>
      <c r="B3518" t="str">
        <f>LEFT(Table13[[#This Row],[Input]],1)</f>
        <v>R</v>
      </c>
      <c r="C3518">
        <f>_xlfn.LET(_xlpm.steps,SUBSTITUTE(Table13[[#This Row],[Input]],Table13[[#This Row],[Direction]],""),VALUE(IF(LEN(_xlpm.steps)&gt;2,RIGHT(_xlpm.steps,2),_xlpm.steps)))</f>
        <v>88</v>
      </c>
      <c r="D3518">
        <f>_xlfn.LET(_xlpm.steps,SUBSTITUTE(Table13[[#This Row],[Input]],Table13[[#This Row],[Direction]],""),VALUE(IF(LEN(_xlpm.steps)&gt;2,LEFT(_xlpm.steps,LEN(_xlpm.steps)-2),0)))</f>
        <v>0</v>
      </c>
      <c r="E3518">
        <f>_xlfn.LET(_xlpm.dir,Table13[[#This Row],[Direction]],
IF(_xlpm.dir="L",
    IF(G3517-Table13[[#This Row],[Steps]]&lt;0,100+(G3517-Table13[[#This Row],[Steps]]),G3517-Table13[[#This Row],[Steps]]),
))</f>
        <v>0</v>
      </c>
      <c r="F3518">
        <f>_xlfn.LET(_xlpm.dir,Table13[[#This Row],[Direction]],
IF(_xlpm.dir="R",
    IF(G3517+Table13[[#This Row],[Steps]]&gt;99,(G3517+Table13[[#This Row],[Steps]])-100,G3517+Table13[[#This Row],[Steps]]),
))</f>
        <v>0</v>
      </c>
      <c r="G3518">
        <f>IF(Table13[[#This Row],[New Pos L]]&lt;&gt;0,Table13[[#This Row],[New Pos L]],Table13[[#This Row],[New Pos R]])</f>
        <v>0</v>
      </c>
      <c r="H3518">
        <f>IF(AND(Table13[[#This Row],[Direction]]="L",Table13[[#This Row],[Steps]]&gt;G3517,G3517&lt;&gt;0),1,0)</f>
        <v>0</v>
      </c>
      <c r="I3518">
        <f>IF(AND(Table13[[#This Row],[Direction]]="R",(G3517+Table13[[#This Row],[Steps]])&gt;100),1,0)</f>
        <v>0</v>
      </c>
      <c r="J3518">
        <f>IF(Table13[[#This Row],[POS]]=0,1,0)</f>
        <v>1</v>
      </c>
      <c r="K3518">
        <f>SUM(Table13[[#This Row],[prefix]],Table13[[#This Row],[Past zero L]],Table13[[#This Row],[Past Zero R]],Table13[[#This Row],[Is Zero]])</f>
        <v>1</v>
      </c>
    </row>
    <row r="3519" spans="1:11" ht="16" x14ac:dyDescent="0.2">
      <c r="A3519" s="1" t="s">
        <v>161</v>
      </c>
      <c r="B3519" t="str">
        <f>LEFT(Table13[[#This Row],[Input]],1)</f>
        <v>R</v>
      </c>
      <c r="C3519">
        <f>_xlfn.LET(_xlpm.steps,SUBSTITUTE(Table13[[#This Row],[Input]],Table13[[#This Row],[Direction]],""),VALUE(IF(LEN(_xlpm.steps)&gt;2,RIGHT(_xlpm.steps,2),_xlpm.steps)))</f>
        <v>76</v>
      </c>
      <c r="D3519">
        <f>_xlfn.LET(_xlpm.steps,SUBSTITUTE(Table13[[#This Row],[Input]],Table13[[#This Row],[Direction]],""),VALUE(IF(LEN(_xlpm.steps)&gt;2,LEFT(_xlpm.steps,LEN(_xlpm.steps)-2),0)))</f>
        <v>0</v>
      </c>
      <c r="E3519">
        <f>_xlfn.LET(_xlpm.dir,Table13[[#This Row],[Direction]],
IF(_xlpm.dir="L",
    IF(G3518-Table13[[#This Row],[Steps]]&lt;0,100+(G3518-Table13[[#This Row],[Steps]]),G3518-Table13[[#This Row],[Steps]]),
))</f>
        <v>0</v>
      </c>
      <c r="F3519">
        <f>_xlfn.LET(_xlpm.dir,Table13[[#This Row],[Direction]],
IF(_xlpm.dir="R",
    IF(G3518+Table13[[#This Row],[Steps]]&gt;99,(G3518+Table13[[#This Row],[Steps]])-100,G3518+Table13[[#This Row],[Steps]]),
))</f>
        <v>76</v>
      </c>
      <c r="G3519">
        <f>IF(Table13[[#This Row],[New Pos L]]&lt;&gt;0,Table13[[#This Row],[New Pos L]],Table13[[#This Row],[New Pos R]])</f>
        <v>76</v>
      </c>
      <c r="H3519">
        <f>IF(AND(Table13[[#This Row],[Direction]]="L",Table13[[#This Row],[Steps]]&gt;G3518,G3518&lt;&gt;0),1,0)</f>
        <v>0</v>
      </c>
      <c r="I3519">
        <f>IF(AND(Table13[[#This Row],[Direction]]="R",(G3518+Table13[[#This Row],[Steps]])&gt;100),1,0)</f>
        <v>0</v>
      </c>
      <c r="J3519">
        <f>IF(Table13[[#This Row],[POS]]=0,1,0)</f>
        <v>0</v>
      </c>
      <c r="K3519">
        <f>SUM(Table13[[#This Row],[prefix]],Table13[[#This Row],[Past zero L]],Table13[[#This Row],[Past Zero R]],Table13[[#This Row],[Is Zero]])</f>
        <v>0</v>
      </c>
    </row>
    <row r="3520" spans="1:11" ht="16" x14ac:dyDescent="0.2">
      <c r="A3520" s="1" t="s">
        <v>73</v>
      </c>
      <c r="B3520" t="str">
        <f>LEFT(Table13[[#This Row],[Input]],1)</f>
        <v>R</v>
      </c>
      <c r="C3520">
        <f>_xlfn.LET(_xlpm.steps,SUBSTITUTE(Table13[[#This Row],[Input]],Table13[[#This Row],[Direction]],""),VALUE(IF(LEN(_xlpm.steps)&gt;2,RIGHT(_xlpm.steps,2),_xlpm.steps)))</f>
        <v>21</v>
      </c>
      <c r="D3520">
        <f>_xlfn.LET(_xlpm.steps,SUBSTITUTE(Table13[[#This Row],[Input]],Table13[[#This Row],[Direction]],""),VALUE(IF(LEN(_xlpm.steps)&gt;2,LEFT(_xlpm.steps,LEN(_xlpm.steps)-2),0)))</f>
        <v>0</v>
      </c>
      <c r="E3520">
        <f>_xlfn.LET(_xlpm.dir,Table13[[#This Row],[Direction]],
IF(_xlpm.dir="L",
    IF(G3519-Table13[[#This Row],[Steps]]&lt;0,100+(G3519-Table13[[#This Row],[Steps]]),G3519-Table13[[#This Row],[Steps]]),
))</f>
        <v>0</v>
      </c>
      <c r="F3520">
        <f>_xlfn.LET(_xlpm.dir,Table13[[#This Row],[Direction]],
IF(_xlpm.dir="R",
    IF(G3519+Table13[[#This Row],[Steps]]&gt;99,(G3519+Table13[[#This Row],[Steps]])-100,G3519+Table13[[#This Row],[Steps]]),
))</f>
        <v>97</v>
      </c>
      <c r="G3520">
        <f>IF(Table13[[#This Row],[New Pos L]]&lt;&gt;0,Table13[[#This Row],[New Pos L]],Table13[[#This Row],[New Pos R]])</f>
        <v>97</v>
      </c>
      <c r="H3520">
        <f>IF(AND(Table13[[#This Row],[Direction]]="L",Table13[[#This Row],[Steps]]&gt;G3519,G3519&lt;&gt;0),1,0)</f>
        <v>0</v>
      </c>
      <c r="I3520">
        <f>IF(AND(Table13[[#This Row],[Direction]]="R",(G3519+Table13[[#This Row],[Steps]])&gt;100),1,0)</f>
        <v>0</v>
      </c>
      <c r="J3520">
        <f>IF(Table13[[#This Row],[POS]]=0,1,0)</f>
        <v>0</v>
      </c>
      <c r="K3520">
        <f>SUM(Table13[[#This Row],[prefix]],Table13[[#This Row],[Past zero L]],Table13[[#This Row],[Past Zero R]],Table13[[#This Row],[Is Zero]])</f>
        <v>0</v>
      </c>
    </row>
    <row r="3521" spans="1:11" ht="16" x14ac:dyDescent="0.2">
      <c r="A3521" s="1" t="s">
        <v>179</v>
      </c>
      <c r="B3521" t="str">
        <f>LEFT(Table13[[#This Row],[Input]],1)</f>
        <v>L</v>
      </c>
      <c r="C3521">
        <f>_xlfn.LET(_xlpm.steps,SUBSTITUTE(Table13[[#This Row],[Input]],Table13[[#This Row],[Direction]],""),VALUE(IF(LEN(_xlpm.steps)&gt;2,RIGHT(_xlpm.steps,2),_xlpm.steps)))</f>
        <v>54</v>
      </c>
      <c r="D3521">
        <f>_xlfn.LET(_xlpm.steps,SUBSTITUTE(Table13[[#This Row],[Input]],Table13[[#This Row],[Direction]],""),VALUE(IF(LEN(_xlpm.steps)&gt;2,LEFT(_xlpm.steps,LEN(_xlpm.steps)-2),0)))</f>
        <v>0</v>
      </c>
      <c r="E3521">
        <f>_xlfn.LET(_xlpm.dir,Table13[[#This Row],[Direction]],
IF(_xlpm.dir="L",
    IF(G3520-Table13[[#This Row],[Steps]]&lt;0,100+(G3520-Table13[[#This Row],[Steps]]),G3520-Table13[[#This Row],[Steps]]),
))</f>
        <v>43</v>
      </c>
      <c r="F3521">
        <f>_xlfn.LET(_xlpm.dir,Table13[[#This Row],[Direction]],
IF(_xlpm.dir="R",
    IF(G3520+Table13[[#This Row],[Steps]]&gt;99,(G3520+Table13[[#This Row],[Steps]])-100,G3520+Table13[[#This Row],[Steps]]),
))</f>
        <v>0</v>
      </c>
      <c r="G3521">
        <f>IF(Table13[[#This Row],[New Pos L]]&lt;&gt;0,Table13[[#This Row],[New Pos L]],Table13[[#This Row],[New Pos R]])</f>
        <v>43</v>
      </c>
      <c r="H3521">
        <f>IF(AND(Table13[[#This Row],[Direction]]="L",Table13[[#This Row],[Steps]]&gt;G3520,G3520&lt;&gt;0),1,0)</f>
        <v>0</v>
      </c>
      <c r="I3521">
        <f>IF(AND(Table13[[#This Row],[Direction]]="R",(G3520+Table13[[#This Row],[Steps]])&gt;100),1,0)</f>
        <v>0</v>
      </c>
      <c r="J3521">
        <f>IF(Table13[[#This Row],[POS]]=0,1,0)</f>
        <v>0</v>
      </c>
      <c r="K3521">
        <f>SUM(Table13[[#This Row],[prefix]],Table13[[#This Row],[Past zero L]],Table13[[#This Row],[Past Zero R]],Table13[[#This Row],[Is Zero]])</f>
        <v>0</v>
      </c>
    </row>
    <row r="3522" spans="1:11" ht="16" x14ac:dyDescent="0.2">
      <c r="A3522" s="1" t="s">
        <v>131</v>
      </c>
      <c r="B3522" t="str">
        <f>LEFT(Table13[[#This Row],[Input]],1)</f>
        <v>R</v>
      </c>
      <c r="C3522">
        <f>_xlfn.LET(_xlpm.steps,SUBSTITUTE(Table13[[#This Row],[Input]],Table13[[#This Row],[Direction]],""),VALUE(IF(LEN(_xlpm.steps)&gt;2,RIGHT(_xlpm.steps,2),_xlpm.steps)))</f>
        <v>99</v>
      </c>
      <c r="D3522">
        <f>_xlfn.LET(_xlpm.steps,SUBSTITUTE(Table13[[#This Row],[Input]],Table13[[#This Row],[Direction]],""),VALUE(IF(LEN(_xlpm.steps)&gt;2,LEFT(_xlpm.steps,LEN(_xlpm.steps)-2),0)))</f>
        <v>0</v>
      </c>
      <c r="E3522">
        <f>_xlfn.LET(_xlpm.dir,Table13[[#This Row],[Direction]],
IF(_xlpm.dir="L",
    IF(G3521-Table13[[#This Row],[Steps]]&lt;0,100+(G3521-Table13[[#This Row],[Steps]]),G3521-Table13[[#This Row],[Steps]]),
))</f>
        <v>0</v>
      </c>
      <c r="F3522">
        <f>_xlfn.LET(_xlpm.dir,Table13[[#This Row],[Direction]],
IF(_xlpm.dir="R",
    IF(G3521+Table13[[#This Row],[Steps]]&gt;99,(G3521+Table13[[#This Row],[Steps]])-100,G3521+Table13[[#This Row],[Steps]]),
))</f>
        <v>42</v>
      </c>
      <c r="G3522">
        <f>IF(Table13[[#This Row],[New Pos L]]&lt;&gt;0,Table13[[#This Row],[New Pos L]],Table13[[#This Row],[New Pos R]])</f>
        <v>42</v>
      </c>
      <c r="H3522">
        <f>IF(AND(Table13[[#This Row],[Direction]]="L",Table13[[#This Row],[Steps]]&gt;G3521,G3521&lt;&gt;0),1,0)</f>
        <v>0</v>
      </c>
      <c r="I3522">
        <f>IF(AND(Table13[[#This Row],[Direction]]="R",(G3521+Table13[[#This Row],[Steps]])&gt;100),1,0)</f>
        <v>1</v>
      </c>
      <c r="J3522">
        <f>IF(Table13[[#This Row],[POS]]=0,1,0)</f>
        <v>0</v>
      </c>
      <c r="K3522">
        <f>SUM(Table13[[#This Row],[prefix]],Table13[[#This Row],[Past zero L]],Table13[[#This Row],[Past Zero R]],Table13[[#This Row],[Is Zero]])</f>
        <v>1</v>
      </c>
    </row>
    <row r="3523" spans="1:11" ht="16" x14ac:dyDescent="0.2">
      <c r="A3523" s="1" t="s">
        <v>100</v>
      </c>
      <c r="B3523" t="str">
        <f>LEFT(Table13[[#This Row],[Input]],1)</f>
        <v>R</v>
      </c>
      <c r="C3523">
        <f>_xlfn.LET(_xlpm.steps,SUBSTITUTE(Table13[[#This Row],[Input]],Table13[[#This Row],[Direction]],""),VALUE(IF(LEN(_xlpm.steps)&gt;2,RIGHT(_xlpm.steps,2),_xlpm.steps)))</f>
        <v>58</v>
      </c>
      <c r="D3523">
        <f>_xlfn.LET(_xlpm.steps,SUBSTITUTE(Table13[[#This Row],[Input]],Table13[[#This Row],[Direction]],""),VALUE(IF(LEN(_xlpm.steps)&gt;2,LEFT(_xlpm.steps,LEN(_xlpm.steps)-2),0)))</f>
        <v>0</v>
      </c>
      <c r="E3523">
        <f>_xlfn.LET(_xlpm.dir,Table13[[#This Row],[Direction]],
IF(_xlpm.dir="L",
    IF(G3522-Table13[[#This Row],[Steps]]&lt;0,100+(G3522-Table13[[#This Row],[Steps]]),G3522-Table13[[#This Row],[Steps]]),
))</f>
        <v>0</v>
      </c>
      <c r="F3523">
        <f>_xlfn.LET(_xlpm.dir,Table13[[#This Row],[Direction]],
IF(_xlpm.dir="R",
    IF(G3522+Table13[[#This Row],[Steps]]&gt;99,(G3522+Table13[[#This Row],[Steps]])-100,G3522+Table13[[#This Row],[Steps]]),
))</f>
        <v>0</v>
      </c>
      <c r="G3523">
        <f>IF(Table13[[#This Row],[New Pos L]]&lt;&gt;0,Table13[[#This Row],[New Pos L]],Table13[[#This Row],[New Pos R]])</f>
        <v>0</v>
      </c>
      <c r="H3523">
        <f>IF(AND(Table13[[#This Row],[Direction]]="L",Table13[[#This Row],[Steps]]&gt;G3522,G3522&lt;&gt;0),1,0)</f>
        <v>0</v>
      </c>
      <c r="I3523">
        <f>IF(AND(Table13[[#This Row],[Direction]]="R",(G3522+Table13[[#This Row],[Steps]])&gt;100),1,0)</f>
        <v>0</v>
      </c>
      <c r="J3523">
        <f>IF(Table13[[#This Row],[POS]]=0,1,0)</f>
        <v>1</v>
      </c>
      <c r="K3523">
        <f>SUM(Table13[[#This Row],[prefix]],Table13[[#This Row],[Past zero L]],Table13[[#This Row],[Past Zero R]],Table13[[#This Row],[Is Zero]])</f>
        <v>1</v>
      </c>
    </row>
    <row r="3524" spans="1:11" ht="16" x14ac:dyDescent="0.2">
      <c r="A3524" s="1" t="s">
        <v>120</v>
      </c>
      <c r="B3524" t="str">
        <f>LEFT(Table13[[#This Row],[Input]],1)</f>
        <v>L</v>
      </c>
      <c r="C3524">
        <f>_xlfn.LET(_xlpm.steps,SUBSTITUTE(Table13[[#This Row],[Input]],Table13[[#This Row],[Direction]],""),VALUE(IF(LEN(_xlpm.steps)&gt;2,RIGHT(_xlpm.steps,2),_xlpm.steps)))</f>
        <v>23</v>
      </c>
      <c r="D3524">
        <f>_xlfn.LET(_xlpm.steps,SUBSTITUTE(Table13[[#This Row],[Input]],Table13[[#This Row],[Direction]],""),VALUE(IF(LEN(_xlpm.steps)&gt;2,LEFT(_xlpm.steps,LEN(_xlpm.steps)-2),0)))</f>
        <v>0</v>
      </c>
      <c r="E3524">
        <f>_xlfn.LET(_xlpm.dir,Table13[[#This Row],[Direction]],
IF(_xlpm.dir="L",
    IF(G3523-Table13[[#This Row],[Steps]]&lt;0,100+(G3523-Table13[[#This Row],[Steps]]),G3523-Table13[[#This Row],[Steps]]),
))</f>
        <v>77</v>
      </c>
      <c r="F3524">
        <f>_xlfn.LET(_xlpm.dir,Table13[[#This Row],[Direction]],
IF(_xlpm.dir="R",
    IF(G3523+Table13[[#This Row],[Steps]]&gt;99,(G3523+Table13[[#This Row],[Steps]])-100,G3523+Table13[[#This Row],[Steps]]),
))</f>
        <v>0</v>
      </c>
      <c r="G3524">
        <f>IF(Table13[[#This Row],[New Pos L]]&lt;&gt;0,Table13[[#This Row],[New Pos L]],Table13[[#This Row],[New Pos R]])</f>
        <v>77</v>
      </c>
      <c r="H3524">
        <f>IF(AND(Table13[[#This Row],[Direction]]="L",Table13[[#This Row],[Steps]]&gt;G3523,G3523&lt;&gt;0),1,0)</f>
        <v>0</v>
      </c>
      <c r="I3524">
        <f>IF(AND(Table13[[#This Row],[Direction]]="R",(G3523+Table13[[#This Row],[Steps]])&gt;100),1,0)</f>
        <v>0</v>
      </c>
      <c r="J3524">
        <f>IF(Table13[[#This Row],[POS]]=0,1,0)</f>
        <v>0</v>
      </c>
      <c r="K3524">
        <f>SUM(Table13[[#This Row],[prefix]],Table13[[#This Row],[Past zero L]],Table13[[#This Row],[Past Zero R]],Table13[[#This Row],[Is Zero]])</f>
        <v>0</v>
      </c>
    </row>
    <row r="3525" spans="1:11" ht="16" x14ac:dyDescent="0.2">
      <c r="A3525" s="1" t="s">
        <v>71</v>
      </c>
      <c r="B3525" t="str">
        <f>LEFT(Table13[[#This Row],[Input]],1)</f>
        <v>R</v>
      </c>
      <c r="C3525">
        <f>_xlfn.LET(_xlpm.steps,SUBSTITUTE(Table13[[#This Row],[Input]],Table13[[#This Row],[Direction]],""),VALUE(IF(LEN(_xlpm.steps)&gt;2,RIGHT(_xlpm.steps,2),_xlpm.steps)))</f>
        <v>23</v>
      </c>
      <c r="D3525">
        <f>_xlfn.LET(_xlpm.steps,SUBSTITUTE(Table13[[#This Row],[Input]],Table13[[#This Row],[Direction]],""),VALUE(IF(LEN(_xlpm.steps)&gt;2,LEFT(_xlpm.steps,LEN(_xlpm.steps)-2),0)))</f>
        <v>0</v>
      </c>
      <c r="E3525">
        <f>_xlfn.LET(_xlpm.dir,Table13[[#This Row],[Direction]],
IF(_xlpm.dir="L",
    IF(G3524-Table13[[#This Row],[Steps]]&lt;0,100+(G3524-Table13[[#This Row],[Steps]]),G3524-Table13[[#This Row],[Steps]]),
))</f>
        <v>0</v>
      </c>
      <c r="F3525">
        <f>_xlfn.LET(_xlpm.dir,Table13[[#This Row],[Direction]],
IF(_xlpm.dir="R",
    IF(G3524+Table13[[#This Row],[Steps]]&gt;99,(G3524+Table13[[#This Row],[Steps]])-100,G3524+Table13[[#This Row],[Steps]]),
))</f>
        <v>0</v>
      </c>
      <c r="G3525">
        <f>IF(Table13[[#This Row],[New Pos L]]&lt;&gt;0,Table13[[#This Row],[New Pos L]],Table13[[#This Row],[New Pos R]])</f>
        <v>0</v>
      </c>
      <c r="H3525">
        <f>IF(AND(Table13[[#This Row],[Direction]]="L",Table13[[#This Row],[Steps]]&gt;G3524,G3524&lt;&gt;0),1,0)</f>
        <v>0</v>
      </c>
      <c r="I3525">
        <f>IF(AND(Table13[[#This Row],[Direction]]="R",(G3524+Table13[[#This Row],[Steps]])&gt;100),1,0)</f>
        <v>0</v>
      </c>
      <c r="J3525">
        <f>IF(Table13[[#This Row],[POS]]=0,1,0)</f>
        <v>1</v>
      </c>
      <c r="K3525">
        <f>SUM(Table13[[#This Row],[prefix]],Table13[[#This Row],[Past zero L]],Table13[[#This Row],[Past Zero R]],Table13[[#This Row],[Is Zero]])</f>
        <v>1</v>
      </c>
    </row>
    <row r="3526" spans="1:11" ht="16" x14ac:dyDescent="0.2">
      <c r="A3526" s="1" t="s">
        <v>20</v>
      </c>
      <c r="B3526" t="str">
        <f>LEFT(Table13[[#This Row],[Input]],1)</f>
        <v>R</v>
      </c>
      <c r="C3526">
        <f>_xlfn.LET(_xlpm.steps,SUBSTITUTE(Table13[[#This Row],[Input]],Table13[[#This Row],[Direction]],""),VALUE(IF(LEN(_xlpm.steps)&gt;2,RIGHT(_xlpm.steps,2),_xlpm.steps)))</f>
        <v>46</v>
      </c>
      <c r="D3526">
        <f>_xlfn.LET(_xlpm.steps,SUBSTITUTE(Table13[[#This Row],[Input]],Table13[[#This Row],[Direction]],""),VALUE(IF(LEN(_xlpm.steps)&gt;2,LEFT(_xlpm.steps,LEN(_xlpm.steps)-2),0)))</f>
        <v>0</v>
      </c>
      <c r="E3526">
        <f>_xlfn.LET(_xlpm.dir,Table13[[#This Row],[Direction]],
IF(_xlpm.dir="L",
    IF(G3525-Table13[[#This Row],[Steps]]&lt;0,100+(G3525-Table13[[#This Row],[Steps]]),G3525-Table13[[#This Row],[Steps]]),
))</f>
        <v>0</v>
      </c>
      <c r="F3526">
        <f>_xlfn.LET(_xlpm.dir,Table13[[#This Row],[Direction]],
IF(_xlpm.dir="R",
    IF(G3525+Table13[[#This Row],[Steps]]&gt;99,(G3525+Table13[[#This Row],[Steps]])-100,G3525+Table13[[#This Row],[Steps]]),
))</f>
        <v>46</v>
      </c>
      <c r="G3526">
        <f>IF(Table13[[#This Row],[New Pos L]]&lt;&gt;0,Table13[[#This Row],[New Pos L]],Table13[[#This Row],[New Pos R]])</f>
        <v>46</v>
      </c>
      <c r="H3526">
        <f>IF(AND(Table13[[#This Row],[Direction]]="L",Table13[[#This Row],[Steps]]&gt;G3525,G3525&lt;&gt;0),1,0)</f>
        <v>0</v>
      </c>
      <c r="I3526">
        <f>IF(AND(Table13[[#This Row],[Direction]]="R",(G3525+Table13[[#This Row],[Steps]])&gt;100),1,0)</f>
        <v>0</v>
      </c>
      <c r="J3526">
        <f>IF(Table13[[#This Row],[POS]]=0,1,0)</f>
        <v>0</v>
      </c>
      <c r="K3526">
        <f>SUM(Table13[[#This Row],[prefix]],Table13[[#This Row],[Past zero L]],Table13[[#This Row],[Past Zero R]],Table13[[#This Row],[Is Zero]])</f>
        <v>0</v>
      </c>
    </row>
    <row r="3527" spans="1:11" ht="16" x14ac:dyDescent="0.2">
      <c r="A3527" s="1" t="s">
        <v>18</v>
      </c>
      <c r="B3527" t="str">
        <f>LEFT(Table13[[#This Row],[Input]],1)</f>
        <v>L</v>
      </c>
      <c r="C3527">
        <f>_xlfn.LET(_xlpm.steps,SUBSTITUTE(Table13[[#This Row],[Input]],Table13[[#This Row],[Direction]],""),VALUE(IF(LEN(_xlpm.steps)&gt;2,RIGHT(_xlpm.steps,2),_xlpm.steps)))</f>
        <v>46</v>
      </c>
      <c r="D3527">
        <f>_xlfn.LET(_xlpm.steps,SUBSTITUTE(Table13[[#This Row],[Input]],Table13[[#This Row],[Direction]],""),VALUE(IF(LEN(_xlpm.steps)&gt;2,LEFT(_xlpm.steps,LEN(_xlpm.steps)-2),0)))</f>
        <v>0</v>
      </c>
      <c r="E3527">
        <f>_xlfn.LET(_xlpm.dir,Table13[[#This Row],[Direction]],
IF(_xlpm.dir="L",
    IF(G3526-Table13[[#This Row],[Steps]]&lt;0,100+(G3526-Table13[[#This Row],[Steps]]),G3526-Table13[[#This Row],[Steps]]),
))</f>
        <v>0</v>
      </c>
      <c r="F3527">
        <f>_xlfn.LET(_xlpm.dir,Table13[[#This Row],[Direction]],
IF(_xlpm.dir="R",
    IF(G3526+Table13[[#This Row],[Steps]]&gt;99,(G3526+Table13[[#This Row],[Steps]])-100,G3526+Table13[[#This Row],[Steps]]),
))</f>
        <v>0</v>
      </c>
      <c r="G3527">
        <f>IF(Table13[[#This Row],[New Pos L]]&lt;&gt;0,Table13[[#This Row],[New Pos L]],Table13[[#This Row],[New Pos R]])</f>
        <v>0</v>
      </c>
      <c r="H3527">
        <f>IF(AND(Table13[[#This Row],[Direction]]="L",Table13[[#This Row],[Steps]]&gt;G3526,G3526&lt;&gt;0),1,0)</f>
        <v>0</v>
      </c>
      <c r="I3527">
        <f>IF(AND(Table13[[#This Row],[Direction]]="R",(G3526+Table13[[#This Row],[Steps]])&gt;100),1,0)</f>
        <v>0</v>
      </c>
      <c r="J3527">
        <f>IF(Table13[[#This Row],[POS]]=0,1,0)</f>
        <v>1</v>
      </c>
      <c r="K3527">
        <f>SUM(Table13[[#This Row],[prefix]],Table13[[#This Row],[Past zero L]],Table13[[#This Row],[Past Zero R]],Table13[[#This Row],[Is Zero]])</f>
        <v>1</v>
      </c>
    </row>
    <row r="3528" spans="1:11" ht="16" x14ac:dyDescent="0.2">
      <c r="A3528" s="1" t="s">
        <v>253</v>
      </c>
      <c r="B3528" t="str">
        <f>LEFT(Table13[[#This Row],[Input]],1)</f>
        <v>R</v>
      </c>
      <c r="C3528">
        <f>_xlfn.LET(_xlpm.steps,SUBSTITUTE(Table13[[#This Row],[Input]],Table13[[#This Row],[Direction]],""),VALUE(IF(LEN(_xlpm.steps)&gt;2,RIGHT(_xlpm.steps,2),_xlpm.steps)))</f>
        <v>94</v>
      </c>
      <c r="D3528">
        <f>_xlfn.LET(_xlpm.steps,SUBSTITUTE(Table13[[#This Row],[Input]],Table13[[#This Row],[Direction]],""),VALUE(IF(LEN(_xlpm.steps)&gt;2,LEFT(_xlpm.steps,LEN(_xlpm.steps)-2),0)))</f>
        <v>0</v>
      </c>
      <c r="E3528">
        <f>_xlfn.LET(_xlpm.dir,Table13[[#This Row],[Direction]],
IF(_xlpm.dir="L",
    IF(G3527-Table13[[#This Row],[Steps]]&lt;0,100+(G3527-Table13[[#This Row],[Steps]]),G3527-Table13[[#This Row],[Steps]]),
))</f>
        <v>0</v>
      </c>
      <c r="F3528">
        <f>_xlfn.LET(_xlpm.dir,Table13[[#This Row],[Direction]],
IF(_xlpm.dir="R",
    IF(G3527+Table13[[#This Row],[Steps]]&gt;99,(G3527+Table13[[#This Row],[Steps]])-100,G3527+Table13[[#This Row],[Steps]]),
))</f>
        <v>94</v>
      </c>
      <c r="G3528">
        <f>IF(Table13[[#This Row],[New Pos L]]&lt;&gt;0,Table13[[#This Row],[New Pos L]],Table13[[#This Row],[New Pos R]])</f>
        <v>94</v>
      </c>
      <c r="H3528">
        <f>IF(AND(Table13[[#This Row],[Direction]]="L",Table13[[#This Row],[Steps]]&gt;G3527,G3527&lt;&gt;0),1,0)</f>
        <v>0</v>
      </c>
      <c r="I3528">
        <f>IF(AND(Table13[[#This Row],[Direction]]="R",(G3527+Table13[[#This Row],[Steps]])&gt;100),1,0)</f>
        <v>0</v>
      </c>
      <c r="J3528">
        <f>IF(Table13[[#This Row],[POS]]=0,1,0)</f>
        <v>0</v>
      </c>
      <c r="K3528">
        <f>SUM(Table13[[#This Row],[prefix]],Table13[[#This Row],[Past zero L]],Table13[[#This Row],[Past Zero R]],Table13[[#This Row],[Is Zero]])</f>
        <v>0</v>
      </c>
    </row>
    <row r="3529" spans="1:11" ht="16" x14ac:dyDescent="0.2">
      <c r="A3529" s="1" t="s">
        <v>63</v>
      </c>
      <c r="B3529" t="str">
        <f>LEFT(Table13[[#This Row],[Input]],1)</f>
        <v>R</v>
      </c>
      <c r="C3529">
        <f>_xlfn.LET(_xlpm.steps,SUBSTITUTE(Table13[[#This Row],[Input]],Table13[[#This Row],[Direction]],""),VALUE(IF(LEN(_xlpm.steps)&gt;2,RIGHT(_xlpm.steps,2),_xlpm.steps)))</f>
        <v>57</v>
      </c>
      <c r="D3529">
        <f>_xlfn.LET(_xlpm.steps,SUBSTITUTE(Table13[[#This Row],[Input]],Table13[[#This Row],[Direction]],""),VALUE(IF(LEN(_xlpm.steps)&gt;2,LEFT(_xlpm.steps,LEN(_xlpm.steps)-2),0)))</f>
        <v>0</v>
      </c>
      <c r="E3529">
        <f>_xlfn.LET(_xlpm.dir,Table13[[#This Row],[Direction]],
IF(_xlpm.dir="L",
    IF(G3528-Table13[[#This Row],[Steps]]&lt;0,100+(G3528-Table13[[#This Row],[Steps]]),G3528-Table13[[#This Row],[Steps]]),
))</f>
        <v>0</v>
      </c>
      <c r="F3529">
        <f>_xlfn.LET(_xlpm.dir,Table13[[#This Row],[Direction]],
IF(_xlpm.dir="R",
    IF(G3528+Table13[[#This Row],[Steps]]&gt;99,(G3528+Table13[[#This Row],[Steps]])-100,G3528+Table13[[#This Row],[Steps]]),
))</f>
        <v>51</v>
      </c>
      <c r="G3529">
        <f>IF(Table13[[#This Row],[New Pos L]]&lt;&gt;0,Table13[[#This Row],[New Pos L]],Table13[[#This Row],[New Pos R]])</f>
        <v>51</v>
      </c>
      <c r="H3529">
        <f>IF(AND(Table13[[#This Row],[Direction]]="L",Table13[[#This Row],[Steps]]&gt;G3528,G3528&lt;&gt;0),1,0)</f>
        <v>0</v>
      </c>
      <c r="I3529">
        <f>IF(AND(Table13[[#This Row],[Direction]]="R",(G3528+Table13[[#This Row],[Steps]])&gt;100),1,0)</f>
        <v>1</v>
      </c>
      <c r="J3529">
        <f>IF(Table13[[#This Row],[POS]]=0,1,0)</f>
        <v>0</v>
      </c>
      <c r="K3529">
        <f>SUM(Table13[[#This Row],[prefix]],Table13[[#This Row],[Past zero L]],Table13[[#This Row],[Past Zero R]],Table13[[#This Row],[Is Zero]])</f>
        <v>1</v>
      </c>
    </row>
    <row r="3530" spans="1:11" ht="16" x14ac:dyDescent="0.2">
      <c r="A3530" s="1" t="s">
        <v>102</v>
      </c>
      <c r="B3530" t="str">
        <f>LEFT(Table13[[#This Row],[Input]],1)</f>
        <v>R</v>
      </c>
      <c r="C3530">
        <f>_xlfn.LET(_xlpm.steps,SUBSTITUTE(Table13[[#This Row],[Input]],Table13[[#This Row],[Direction]],""),VALUE(IF(LEN(_xlpm.steps)&gt;2,RIGHT(_xlpm.steps,2),_xlpm.steps)))</f>
        <v>39</v>
      </c>
      <c r="D3530">
        <f>_xlfn.LET(_xlpm.steps,SUBSTITUTE(Table13[[#This Row],[Input]],Table13[[#This Row],[Direction]],""),VALUE(IF(LEN(_xlpm.steps)&gt;2,LEFT(_xlpm.steps,LEN(_xlpm.steps)-2),0)))</f>
        <v>0</v>
      </c>
      <c r="E3530">
        <f>_xlfn.LET(_xlpm.dir,Table13[[#This Row],[Direction]],
IF(_xlpm.dir="L",
    IF(G3529-Table13[[#This Row],[Steps]]&lt;0,100+(G3529-Table13[[#This Row],[Steps]]),G3529-Table13[[#This Row],[Steps]]),
))</f>
        <v>0</v>
      </c>
      <c r="F3530">
        <f>_xlfn.LET(_xlpm.dir,Table13[[#This Row],[Direction]],
IF(_xlpm.dir="R",
    IF(G3529+Table13[[#This Row],[Steps]]&gt;99,(G3529+Table13[[#This Row],[Steps]])-100,G3529+Table13[[#This Row],[Steps]]),
))</f>
        <v>90</v>
      </c>
      <c r="G3530">
        <f>IF(Table13[[#This Row],[New Pos L]]&lt;&gt;0,Table13[[#This Row],[New Pos L]],Table13[[#This Row],[New Pos R]])</f>
        <v>90</v>
      </c>
      <c r="H3530">
        <f>IF(AND(Table13[[#This Row],[Direction]]="L",Table13[[#This Row],[Steps]]&gt;G3529,G3529&lt;&gt;0),1,0)</f>
        <v>0</v>
      </c>
      <c r="I3530">
        <f>IF(AND(Table13[[#This Row],[Direction]]="R",(G3529+Table13[[#This Row],[Steps]])&gt;100),1,0)</f>
        <v>0</v>
      </c>
      <c r="J3530">
        <f>IF(Table13[[#This Row],[POS]]=0,1,0)</f>
        <v>0</v>
      </c>
      <c r="K3530">
        <f>SUM(Table13[[#This Row],[prefix]],Table13[[#This Row],[Past zero L]],Table13[[#This Row],[Past Zero R]],Table13[[#This Row],[Is Zero]])</f>
        <v>0</v>
      </c>
    </row>
    <row r="3531" spans="1:11" ht="16" x14ac:dyDescent="0.2">
      <c r="A3531" s="1" t="s">
        <v>141</v>
      </c>
      <c r="B3531" t="str">
        <f>LEFT(Table13[[#This Row],[Input]],1)</f>
        <v>L</v>
      </c>
      <c r="C3531">
        <f>_xlfn.LET(_xlpm.steps,SUBSTITUTE(Table13[[#This Row],[Input]],Table13[[#This Row],[Direction]],""),VALUE(IF(LEN(_xlpm.steps)&gt;2,RIGHT(_xlpm.steps,2),_xlpm.steps)))</f>
        <v>90</v>
      </c>
      <c r="D3531">
        <f>_xlfn.LET(_xlpm.steps,SUBSTITUTE(Table13[[#This Row],[Input]],Table13[[#This Row],[Direction]],""),VALUE(IF(LEN(_xlpm.steps)&gt;2,LEFT(_xlpm.steps,LEN(_xlpm.steps)-2),0)))</f>
        <v>0</v>
      </c>
      <c r="E3531">
        <f>_xlfn.LET(_xlpm.dir,Table13[[#This Row],[Direction]],
IF(_xlpm.dir="L",
    IF(G3530-Table13[[#This Row],[Steps]]&lt;0,100+(G3530-Table13[[#This Row],[Steps]]),G3530-Table13[[#This Row],[Steps]]),
))</f>
        <v>0</v>
      </c>
      <c r="F3531">
        <f>_xlfn.LET(_xlpm.dir,Table13[[#This Row],[Direction]],
IF(_xlpm.dir="R",
    IF(G3530+Table13[[#This Row],[Steps]]&gt;99,(G3530+Table13[[#This Row],[Steps]])-100,G3530+Table13[[#This Row],[Steps]]),
))</f>
        <v>0</v>
      </c>
      <c r="G3531">
        <f>IF(Table13[[#This Row],[New Pos L]]&lt;&gt;0,Table13[[#This Row],[New Pos L]],Table13[[#This Row],[New Pos R]])</f>
        <v>0</v>
      </c>
      <c r="H3531">
        <f>IF(AND(Table13[[#This Row],[Direction]]="L",Table13[[#This Row],[Steps]]&gt;G3530,G3530&lt;&gt;0),1,0)</f>
        <v>0</v>
      </c>
      <c r="I3531">
        <f>IF(AND(Table13[[#This Row],[Direction]]="R",(G3530+Table13[[#This Row],[Steps]])&gt;100),1,0)</f>
        <v>0</v>
      </c>
      <c r="J3531">
        <f>IF(Table13[[#This Row],[POS]]=0,1,0)</f>
        <v>1</v>
      </c>
      <c r="K3531">
        <f>SUM(Table13[[#This Row],[prefix]],Table13[[#This Row],[Past zero L]],Table13[[#This Row],[Past Zero R]],Table13[[#This Row],[Is Zero]])</f>
        <v>1</v>
      </c>
    </row>
    <row r="3532" spans="1:11" ht="16" x14ac:dyDescent="0.2">
      <c r="A3532" s="1" t="s">
        <v>157</v>
      </c>
      <c r="B3532" t="str">
        <f>LEFT(Table13[[#This Row],[Input]],1)</f>
        <v>R</v>
      </c>
      <c r="C3532">
        <f>_xlfn.LET(_xlpm.steps,SUBSTITUTE(Table13[[#This Row],[Input]],Table13[[#This Row],[Direction]],""),VALUE(IF(LEN(_xlpm.steps)&gt;2,RIGHT(_xlpm.steps,2),_xlpm.steps)))</f>
        <v>68</v>
      </c>
      <c r="D3532">
        <f>_xlfn.LET(_xlpm.steps,SUBSTITUTE(Table13[[#This Row],[Input]],Table13[[#This Row],[Direction]],""),VALUE(IF(LEN(_xlpm.steps)&gt;2,LEFT(_xlpm.steps,LEN(_xlpm.steps)-2),0)))</f>
        <v>0</v>
      </c>
      <c r="E3532">
        <f>_xlfn.LET(_xlpm.dir,Table13[[#This Row],[Direction]],
IF(_xlpm.dir="L",
    IF(G3531-Table13[[#This Row],[Steps]]&lt;0,100+(G3531-Table13[[#This Row],[Steps]]),G3531-Table13[[#This Row],[Steps]]),
))</f>
        <v>0</v>
      </c>
      <c r="F3532">
        <f>_xlfn.LET(_xlpm.dir,Table13[[#This Row],[Direction]],
IF(_xlpm.dir="R",
    IF(G3531+Table13[[#This Row],[Steps]]&gt;99,(G3531+Table13[[#This Row],[Steps]])-100,G3531+Table13[[#This Row],[Steps]]),
))</f>
        <v>68</v>
      </c>
      <c r="G3532">
        <f>IF(Table13[[#This Row],[New Pos L]]&lt;&gt;0,Table13[[#This Row],[New Pos L]],Table13[[#This Row],[New Pos R]])</f>
        <v>68</v>
      </c>
      <c r="H3532">
        <f>IF(AND(Table13[[#This Row],[Direction]]="L",Table13[[#This Row],[Steps]]&gt;G3531,G3531&lt;&gt;0),1,0)</f>
        <v>0</v>
      </c>
      <c r="I3532">
        <f>IF(AND(Table13[[#This Row],[Direction]]="R",(G3531+Table13[[#This Row],[Steps]])&gt;100),1,0)</f>
        <v>0</v>
      </c>
      <c r="J3532">
        <f>IF(Table13[[#This Row],[POS]]=0,1,0)</f>
        <v>0</v>
      </c>
      <c r="K3532">
        <f>SUM(Table13[[#This Row],[prefix]],Table13[[#This Row],[Past zero L]],Table13[[#This Row],[Past Zero R]],Table13[[#This Row],[Is Zero]])</f>
        <v>0</v>
      </c>
    </row>
    <row r="3533" spans="1:11" ht="16" x14ac:dyDescent="0.2">
      <c r="A3533" s="1" t="s">
        <v>39</v>
      </c>
      <c r="B3533" t="str">
        <f>LEFT(Table13[[#This Row],[Input]],1)</f>
        <v>R</v>
      </c>
      <c r="C3533">
        <f>_xlfn.LET(_xlpm.steps,SUBSTITUTE(Table13[[#This Row],[Input]],Table13[[#This Row],[Direction]],""),VALUE(IF(LEN(_xlpm.steps)&gt;2,RIGHT(_xlpm.steps,2),_xlpm.steps)))</f>
        <v>32</v>
      </c>
      <c r="D3533">
        <f>_xlfn.LET(_xlpm.steps,SUBSTITUTE(Table13[[#This Row],[Input]],Table13[[#This Row],[Direction]],""),VALUE(IF(LEN(_xlpm.steps)&gt;2,LEFT(_xlpm.steps,LEN(_xlpm.steps)-2),0)))</f>
        <v>0</v>
      </c>
      <c r="E3533">
        <f>_xlfn.LET(_xlpm.dir,Table13[[#This Row],[Direction]],
IF(_xlpm.dir="L",
    IF(G3532-Table13[[#This Row],[Steps]]&lt;0,100+(G3532-Table13[[#This Row],[Steps]]),G3532-Table13[[#This Row],[Steps]]),
))</f>
        <v>0</v>
      </c>
      <c r="F3533">
        <f>_xlfn.LET(_xlpm.dir,Table13[[#This Row],[Direction]],
IF(_xlpm.dir="R",
    IF(G3532+Table13[[#This Row],[Steps]]&gt;99,(G3532+Table13[[#This Row],[Steps]])-100,G3532+Table13[[#This Row],[Steps]]),
))</f>
        <v>0</v>
      </c>
      <c r="G3533">
        <f>IF(Table13[[#This Row],[New Pos L]]&lt;&gt;0,Table13[[#This Row],[New Pos L]],Table13[[#This Row],[New Pos R]])</f>
        <v>0</v>
      </c>
      <c r="H3533">
        <f>IF(AND(Table13[[#This Row],[Direction]]="L",Table13[[#This Row],[Steps]]&gt;G3532,G3532&lt;&gt;0),1,0)</f>
        <v>0</v>
      </c>
      <c r="I3533">
        <f>IF(AND(Table13[[#This Row],[Direction]]="R",(G3532+Table13[[#This Row],[Steps]])&gt;100),1,0)</f>
        <v>0</v>
      </c>
      <c r="J3533">
        <f>IF(Table13[[#This Row],[POS]]=0,1,0)</f>
        <v>1</v>
      </c>
      <c r="K3533">
        <f>SUM(Table13[[#This Row],[prefix]],Table13[[#This Row],[Past zero L]],Table13[[#This Row],[Past Zero R]],Table13[[#This Row],[Is Zero]])</f>
        <v>1</v>
      </c>
    </row>
    <row r="3534" spans="1:11" ht="16" x14ac:dyDescent="0.2">
      <c r="A3534" s="1" t="s">
        <v>753</v>
      </c>
      <c r="B3534" t="str">
        <f>LEFT(Table13[[#This Row],[Input]],1)</f>
        <v>R</v>
      </c>
      <c r="C3534">
        <f>_xlfn.LET(_xlpm.steps,SUBSTITUTE(Table13[[#This Row],[Input]],Table13[[#This Row],[Direction]],""),VALUE(IF(LEN(_xlpm.steps)&gt;2,RIGHT(_xlpm.steps,2),_xlpm.steps)))</f>
        <v>96</v>
      </c>
      <c r="D3534">
        <f>_xlfn.LET(_xlpm.steps,SUBSTITUTE(Table13[[#This Row],[Input]],Table13[[#This Row],[Direction]],""),VALUE(IF(LEN(_xlpm.steps)&gt;2,LEFT(_xlpm.steps,LEN(_xlpm.steps)-2),0)))</f>
        <v>6</v>
      </c>
      <c r="E3534">
        <f>_xlfn.LET(_xlpm.dir,Table13[[#This Row],[Direction]],
IF(_xlpm.dir="L",
    IF(G3533-Table13[[#This Row],[Steps]]&lt;0,100+(G3533-Table13[[#This Row],[Steps]]),G3533-Table13[[#This Row],[Steps]]),
))</f>
        <v>0</v>
      </c>
      <c r="F3534">
        <f>_xlfn.LET(_xlpm.dir,Table13[[#This Row],[Direction]],
IF(_xlpm.dir="R",
    IF(G3533+Table13[[#This Row],[Steps]]&gt;99,(G3533+Table13[[#This Row],[Steps]])-100,G3533+Table13[[#This Row],[Steps]]),
))</f>
        <v>96</v>
      </c>
      <c r="G3534">
        <f>IF(Table13[[#This Row],[New Pos L]]&lt;&gt;0,Table13[[#This Row],[New Pos L]],Table13[[#This Row],[New Pos R]])</f>
        <v>96</v>
      </c>
      <c r="H3534">
        <f>IF(AND(Table13[[#This Row],[Direction]]="L",Table13[[#This Row],[Steps]]&gt;G3533,G3533&lt;&gt;0),1,0)</f>
        <v>0</v>
      </c>
      <c r="I3534">
        <f>IF(AND(Table13[[#This Row],[Direction]]="R",(G3533+Table13[[#This Row],[Steps]])&gt;100),1,0)</f>
        <v>0</v>
      </c>
      <c r="J3534">
        <f>IF(Table13[[#This Row],[POS]]=0,1,0)</f>
        <v>0</v>
      </c>
      <c r="K3534">
        <f>SUM(Table13[[#This Row],[prefix]],Table13[[#This Row],[Past zero L]],Table13[[#This Row],[Past Zero R]],Table13[[#This Row],[Is Zero]])</f>
        <v>6</v>
      </c>
    </row>
    <row r="3535" spans="1:11" ht="16" x14ac:dyDescent="0.2">
      <c r="A3535" s="1" t="s">
        <v>33</v>
      </c>
      <c r="B3535" t="str">
        <f>LEFT(Table13[[#This Row],[Input]],1)</f>
        <v>R</v>
      </c>
      <c r="C3535">
        <f>_xlfn.LET(_xlpm.steps,SUBSTITUTE(Table13[[#This Row],[Input]],Table13[[#This Row],[Direction]],""),VALUE(IF(LEN(_xlpm.steps)&gt;2,RIGHT(_xlpm.steps,2),_xlpm.steps)))</f>
        <v>22</v>
      </c>
      <c r="D3535">
        <f>_xlfn.LET(_xlpm.steps,SUBSTITUTE(Table13[[#This Row],[Input]],Table13[[#This Row],[Direction]],""),VALUE(IF(LEN(_xlpm.steps)&gt;2,LEFT(_xlpm.steps,LEN(_xlpm.steps)-2),0)))</f>
        <v>0</v>
      </c>
      <c r="E3535">
        <f>_xlfn.LET(_xlpm.dir,Table13[[#This Row],[Direction]],
IF(_xlpm.dir="L",
    IF(G3534-Table13[[#This Row],[Steps]]&lt;0,100+(G3534-Table13[[#This Row],[Steps]]),G3534-Table13[[#This Row],[Steps]]),
))</f>
        <v>0</v>
      </c>
      <c r="F3535">
        <f>_xlfn.LET(_xlpm.dir,Table13[[#This Row],[Direction]],
IF(_xlpm.dir="R",
    IF(G3534+Table13[[#This Row],[Steps]]&gt;99,(G3534+Table13[[#This Row],[Steps]])-100,G3534+Table13[[#This Row],[Steps]]),
))</f>
        <v>18</v>
      </c>
      <c r="G3535">
        <f>IF(Table13[[#This Row],[New Pos L]]&lt;&gt;0,Table13[[#This Row],[New Pos L]],Table13[[#This Row],[New Pos R]])</f>
        <v>18</v>
      </c>
      <c r="H3535">
        <f>IF(AND(Table13[[#This Row],[Direction]]="L",Table13[[#This Row],[Steps]]&gt;G3534,G3534&lt;&gt;0),1,0)</f>
        <v>0</v>
      </c>
      <c r="I3535">
        <f>IF(AND(Table13[[#This Row],[Direction]]="R",(G3534+Table13[[#This Row],[Steps]])&gt;100),1,0)</f>
        <v>1</v>
      </c>
      <c r="J3535">
        <f>IF(Table13[[#This Row],[POS]]=0,1,0)</f>
        <v>0</v>
      </c>
      <c r="K3535">
        <f>SUM(Table13[[#This Row],[prefix]],Table13[[#This Row],[Past zero L]],Table13[[#This Row],[Past Zero R]],Table13[[#This Row],[Is Zero]])</f>
        <v>1</v>
      </c>
    </row>
    <row r="3536" spans="1:11" ht="16" x14ac:dyDescent="0.2">
      <c r="A3536" s="1" t="s">
        <v>131</v>
      </c>
      <c r="B3536" t="str">
        <f>LEFT(Table13[[#This Row],[Input]],1)</f>
        <v>R</v>
      </c>
      <c r="C3536">
        <f>_xlfn.LET(_xlpm.steps,SUBSTITUTE(Table13[[#This Row],[Input]],Table13[[#This Row],[Direction]],""),VALUE(IF(LEN(_xlpm.steps)&gt;2,RIGHT(_xlpm.steps,2),_xlpm.steps)))</f>
        <v>99</v>
      </c>
      <c r="D3536">
        <f>_xlfn.LET(_xlpm.steps,SUBSTITUTE(Table13[[#This Row],[Input]],Table13[[#This Row],[Direction]],""),VALUE(IF(LEN(_xlpm.steps)&gt;2,LEFT(_xlpm.steps,LEN(_xlpm.steps)-2),0)))</f>
        <v>0</v>
      </c>
      <c r="E3536">
        <f>_xlfn.LET(_xlpm.dir,Table13[[#This Row],[Direction]],
IF(_xlpm.dir="L",
    IF(G3535-Table13[[#This Row],[Steps]]&lt;0,100+(G3535-Table13[[#This Row],[Steps]]),G3535-Table13[[#This Row],[Steps]]),
))</f>
        <v>0</v>
      </c>
      <c r="F3536">
        <f>_xlfn.LET(_xlpm.dir,Table13[[#This Row],[Direction]],
IF(_xlpm.dir="R",
    IF(G3535+Table13[[#This Row],[Steps]]&gt;99,(G3535+Table13[[#This Row],[Steps]])-100,G3535+Table13[[#This Row],[Steps]]),
))</f>
        <v>17</v>
      </c>
      <c r="G3536">
        <f>IF(Table13[[#This Row],[New Pos L]]&lt;&gt;0,Table13[[#This Row],[New Pos L]],Table13[[#This Row],[New Pos R]])</f>
        <v>17</v>
      </c>
      <c r="H3536">
        <f>IF(AND(Table13[[#This Row],[Direction]]="L",Table13[[#This Row],[Steps]]&gt;G3535,G3535&lt;&gt;0),1,0)</f>
        <v>0</v>
      </c>
      <c r="I3536">
        <f>IF(AND(Table13[[#This Row],[Direction]]="R",(G3535+Table13[[#This Row],[Steps]])&gt;100),1,0)</f>
        <v>1</v>
      </c>
      <c r="J3536">
        <f>IF(Table13[[#This Row],[POS]]=0,1,0)</f>
        <v>0</v>
      </c>
      <c r="K3536">
        <f>SUM(Table13[[#This Row],[prefix]],Table13[[#This Row],[Past zero L]],Table13[[#This Row],[Past Zero R]],Table13[[#This Row],[Is Zero]])</f>
        <v>1</v>
      </c>
    </row>
    <row r="3537" spans="1:11" ht="16" x14ac:dyDescent="0.2">
      <c r="A3537" s="1" t="s">
        <v>210</v>
      </c>
      <c r="B3537" t="str">
        <f>LEFT(Table13[[#This Row],[Input]],1)</f>
        <v>R</v>
      </c>
      <c r="C3537">
        <f>_xlfn.LET(_xlpm.steps,SUBSTITUTE(Table13[[#This Row],[Input]],Table13[[#This Row],[Direction]],""),VALUE(IF(LEN(_xlpm.steps)&gt;2,RIGHT(_xlpm.steps,2),_xlpm.steps)))</f>
        <v>89</v>
      </c>
      <c r="D3537">
        <f>_xlfn.LET(_xlpm.steps,SUBSTITUTE(Table13[[#This Row],[Input]],Table13[[#This Row],[Direction]],""),VALUE(IF(LEN(_xlpm.steps)&gt;2,LEFT(_xlpm.steps,LEN(_xlpm.steps)-2),0)))</f>
        <v>0</v>
      </c>
      <c r="E3537">
        <f>_xlfn.LET(_xlpm.dir,Table13[[#This Row],[Direction]],
IF(_xlpm.dir="L",
    IF(G3536-Table13[[#This Row],[Steps]]&lt;0,100+(G3536-Table13[[#This Row],[Steps]]),G3536-Table13[[#This Row],[Steps]]),
))</f>
        <v>0</v>
      </c>
      <c r="F3537">
        <f>_xlfn.LET(_xlpm.dir,Table13[[#This Row],[Direction]],
IF(_xlpm.dir="R",
    IF(G3536+Table13[[#This Row],[Steps]]&gt;99,(G3536+Table13[[#This Row],[Steps]])-100,G3536+Table13[[#This Row],[Steps]]),
))</f>
        <v>6</v>
      </c>
      <c r="G3537">
        <f>IF(Table13[[#This Row],[New Pos L]]&lt;&gt;0,Table13[[#This Row],[New Pos L]],Table13[[#This Row],[New Pos R]])</f>
        <v>6</v>
      </c>
      <c r="H3537">
        <f>IF(AND(Table13[[#This Row],[Direction]]="L",Table13[[#This Row],[Steps]]&gt;G3536,G3536&lt;&gt;0),1,0)</f>
        <v>0</v>
      </c>
      <c r="I3537">
        <f>IF(AND(Table13[[#This Row],[Direction]]="R",(G3536+Table13[[#This Row],[Steps]])&gt;100),1,0)</f>
        <v>1</v>
      </c>
      <c r="J3537">
        <f>IF(Table13[[#This Row],[POS]]=0,1,0)</f>
        <v>0</v>
      </c>
      <c r="K3537">
        <f>SUM(Table13[[#This Row],[prefix]],Table13[[#This Row],[Past zero L]],Table13[[#This Row],[Past Zero R]],Table13[[#This Row],[Is Zero]])</f>
        <v>1</v>
      </c>
    </row>
    <row r="3538" spans="1:11" ht="16" x14ac:dyDescent="0.2">
      <c r="A3538" s="1" t="s">
        <v>754</v>
      </c>
      <c r="B3538" t="str">
        <f>LEFT(Table13[[#This Row],[Input]],1)</f>
        <v>L</v>
      </c>
      <c r="C3538">
        <f>_xlfn.LET(_xlpm.steps,SUBSTITUTE(Table13[[#This Row],[Input]],Table13[[#This Row],[Direction]],""),VALUE(IF(LEN(_xlpm.steps)&gt;2,RIGHT(_xlpm.steps,2),_xlpm.steps)))</f>
        <v>6</v>
      </c>
      <c r="D3538">
        <f>_xlfn.LET(_xlpm.steps,SUBSTITUTE(Table13[[#This Row],[Input]],Table13[[#This Row],[Direction]],""),VALUE(IF(LEN(_xlpm.steps)&gt;2,LEFT(_xlpm.steps,LEN(_xlpm.steps)-2),0)))</f>
        <v>5</v>
      </c>
      <c r="E3538">
        <f>_xlfn.LET(_xlpm.dir,Table13[[#This Row],[Direction]],
IF(_xlpm.dir="L",
    IF(G3537-Table13[[#This Row],[Steps]]&lt;0,100+(G3537-Table13[[#This Row],[Steps]]),G3537-Table13[[#This Row],[Steps]]),
))</f>
        <v>0</v>
      </c>
      <c r="F3538">
        <f>_xlfn.LET(_xlpm.dir,Table13[[#This Row],[Direction]],
IF(_xlpm.dir="R",
    IF(G3537+Table13[[#This Row],[Steps]]&gt;99,(G3537+Table13[[#This Row],[Steps]])-100,G3537+Table13[[#This Row],[Steps]]),
))</f>
        <v>0</v>
      </c>
      <c r="G3538">
        <f>IF(Table13[[#This Row],[New Pos L]]&lt;&gt;0,Table13[[#This Row],[New Pos L]],Table13[[#This Row],[New Pos R]])</f>
        <v>0</v>
      </c>
      <c r="H3538">
        <f>IF(AND(Table13[[#This Row],[Direction]]="L",Table13[[#This Row],[Steps]]&gt;G3537,G3537&lt;&gt;0),1,0)</f>
        <v>0</v>
      </c>
      <c r="I3538">
        <f>IF(AND(Table13[[#This Row],[Direction]]="R",(G3537+Table13[[#This Row],[Steps]])&gt;100),1,0)</f>
        <v>0</v>
      </c>
      <c r="J3538">
        <f>IF(Table13[[#This Row],[POS]]=0,1,0)</f>
        <v>1</v>
      </c>
      <c r="K3538">
        <f>SUM(Table13[[#This Row],[prefix]],Table13[[#This Row],[Past zero L]],Table13[[#This Row],[Past Zero R]],Table13[[#This Row],[Is Zero]])</f>
        <v>6</v>
      </c>
    </row>
    <row r="3539" spans="1:11" ht="16" x14ac:dyDescent="0.2">
      <c r="A3539" s="1" t="s">
        <v>226</v>
      </c>
      <c r="B3539" t="str">
        <f>LEFT(Table13[[#This Row],[Input]],1)</f>
        <v>L</v>
      </c>
      <c r="C3539">
        <f>_xlfn.LET(_xlpm.steps,SUBSTITUTE(Table13[[#This Row],[Input]],Table13[[#This Row],[Direction]],""),VALUE(IF(LEN(_xlpm.steps)&gt;2,RIGHT(_xlpm.steps,2),_xlpm.steps)))</f>
        <v>31</v>
      </c>
      <c r="D3539">
        <f>_xlfn.LET(_xlpm.steps,SUBSTITUTE(Table13[[#This Row],[Input]],Table13[[#This Row],[Direction]],""),VALUE(IF(LEN(_xlpm.steps)&gt;2,LEFT(_xlpm.steps,LEN(_xlpm.steps)-2),0)))</f>
        <v>0</v>
      </c>
      <c r="E3539">
        <f>_xlfn.LET(_xlpm.dir,Table13[[#This Row],[Direction]],
IF(_xlpm.dir="L",
    IF(G3538-Table13[[#This Row],[Steps]]&lt;0,100+(G3538-Table13[[#This Row],[Steps]]),G3538-Table13[[#This Row],[Steps]]),
))</f>
        <v>69</v>
      </c>
      <c r="F3539">
        <f>_xlfn.LET(_xlpm.dir,Table13[[#This Row],[Direction]],
IF(_xlpm.dir="R",
    IF(G3538+Table13[[#This Row],[Steps]]&gt;99,(G3538+Table13[[#This Row],[Steps]])-100,G3538+Table13[[#This Row],[Steps]]),
))</f>
        <v>0</v>
      </c>
      <c r="G3539">
        <f>IF(Table13[[#This Row],[New Pos L]]&lt;&gt;0,Table13[[#This Row],[New Pos L]],Table13[[#This Row],[New Pos R]])</f>
        <v>69</v>
      </c>
      <c r="H3539">
        <f>IF(AND(Table13[[#This Row],[Direction]]="L",Table13[[#This Row],[Steps]]&gt;G3538,G3538&lt;&gt;0),1,0)</f>
        <v>0</v>
      </c>
      <c r="I3539">
        <f>IF(AND(Table13[[#This Row],[Direction]]="R",(G3538+Table13[[#This Row],[Steps]])&gt;100),1,0)</f>
        <v>0</v>
      </c>
      <c r="J3539">
        <f>IF(Table13[[#This Row],[POS]]=0,1,0)</f>
        <v>0</v>
      </c>
      <c r="K3539">
        <f>SUM(Table13[[#This Row],[prefix]],Table13[[#This Row],[Past zero L]],Table13[[#This Row],[Past Zero R]],Table13[[#This Row],[Is Zero]])</f>
        <v>0</v>
      </c>
    </row>
    <row r="3540" spans="1:11" ht="16" x14ac:dyDescent="0.2">
      <c r="A3540" s="1" t="s">
        <v>755</v>
      </c>
      <c r="B3540" t="str">
        <f>LEFT(Table13[[#This Row],[Input]],1)</f>
        <v>L</v>
      </c>
      <c r="C3540">
        <f>_xlfn.LET(_xlpm.steps,SUBSTITUTE(Table13[[#This Row],[Input]],Table13[[#This Row],[Direction]],""),VALUE(IF(LEN(_xlpm.steps)&gt;2,RIGHT(_xlpm.steps,2),_xlpm.steps)))</f>
        <v>8</v>
      </c>
      <c r="D3540">
        <f>_xlfn.LET(_xlpm.steps,SUBSTITUTE(Table13[[#This Row],[Input]],Table13[[#This Row],[Direction]],""),VALUE(IF(LEN(_xlpm.steps)&gt;2,LEFT(_xlpm.steps,LEN(_xlpm.steps)-2),0)))</f>
        <v>1</v>
      </c>
      <c r="E3540">
        <f>_xlfn.LET(_xlpm.dir,Table13[[#This Row],[Direction]],
IF(_xlpm.dir="L",
    IF(G3539-Table13[[#This Row],[Steps]]&lt;0,100+(G3539-Table13[[#This Row],[Steps]]),G3539-Table13[[#This Row],[Steps]]),
))</f>
        <v>61</v>
      </c>
      <c r="F3540">
        <f>_xlfn.LET(_xlpm.dir,Table13[[#This Row],[Direction]],
IF(_xlpm.dir="R",
    IF(G3539+Table13[[#This Row],[Steps]]&gt;99,(G3539+Table13[[#This Row],[Steps]])-100,G3539+Table13[[#This Row],[Steps]]),
))</f>
        <v>0</v>
      </c>
      <c r="G3540">
        <f>IF(Table13[[#This Row],[New Pos L]]&lt;&gt;0,Table13[[#This Row],[New Pos L]],Table13[[#This Row],[New Pos R]])</f>
        <v>61</v>
      </c>
      <c r="H3540">
        <f>IF(AND(Table13[[#This Row],[Direction]]="L",Table13[[#This Row],[Steps]]&gt;G3539,G3539&lt;&gt;0),1,0)</f>
        <v>0</v>
      </c>
      <c r="I3540">
        <f>IF(AND(Table13[[#This Row],[Direction]]="R",(G3539+Table13[[#This Row],[Steps]])&gt;100),1,0)</f>
        <v>0</v>
      </c>
      <c r="J3540">
        <f>IF(Table13[[#This Row],[POS]]=0,1,0)</f>
        <v>0</v>
      </c>
      <c r="K3540">
        <f>SUM(Table13[[#This Row],[prefix]],Table13[[#This Row],[Past zero L]],Table13[[#This Row],[Past Zero R]],Table13[[#This Row],[Is Zero]])</f>
        <v>1</v>
      </c>
    </row>
    <row r="3541" spans="1:11" ht="16" x14ac:dyDescent="0.2">
      <c r="A3541" s="1" t="s">
        <v>756</v>
      </c>
      <c r="B3541" t="str">
        <f>LEFT(Table13[[#This Row],[Input]],1)</f>
        <v>R</v>
      </c>
      <c r="C3541">
        <f>_xlfn.LET(_xlpm.steps,SUBSTITUTE(Table13[[#This Row],[Input]],Table13[[#This Row],[Direction]],""),VALUE(IF(LEN(_xlpm.steps)&gt;2,RIGHT(_xlpm.steps,2),_xlpm.steps)))</f>
        <v>57</v>
      </c>
      <c r="D3541">
        <f>_xlfn.LET(_xlpm.steps,SUBSTITUTE(Table13[[#This Row],[Input]],Table13[[#This Row],[Direction]],""),VALUE(IF(LEN(_xlpm.steps)&gt;2,LEFT(_xlpm.steps,LEN(_xlpm.steps)-2),0)))</f>
        <v>1</v>
      </c>
      <c r="E3541">
        <f>_xlfn.LET(_xlpm.dir,Table13[[#This Row],[Direction]],
IF(_xlpm.dir="L",
    IF(G3540-Table13[[#This Row],[Steps]]&lt;0,100+(G3540-Table13[[#This Row],[Steps]]),G3540-Table13[[#This Row],[Steps]]),
))</f>
        <v>0</v>
      </c>
      <c r="F3541">
        <f>_xlfn.LET(_xlpm.dir,Table13[[#This Row],[Direction]],
IF(_xlpm.dir="R",
    IF(G3540+Table13[[#This Row],[Steps]]&gt;99,(G3540+Table13[[#This Row],[Steps]])-100,G3540+Table13[[#This Row],[Steps]]),
))</f>
        <v>18</v>
      </c>
      <c r="G3541">
        <f>IF(Table13[[#This Row],[New Pos L]]&lt;&gt;0,Table13[[#This Row],[New Pos L]],Table13[[#This Row],[New Pos R]])</f>
        <v>18</v>
      </c>
      <c r="H3541">
        <f>IF(AND(Table13[[#This Row],[Direction]]="L",Table13[[#This Row],[Steps]]&gt;G3540,G3540&lt;&gt;0),1,0)</f>
        <v>0</v>
      </c>
      <c r="I3541">
        <f>IF(AND(Table13[[#This Row],[Direction]]="R",(G3540+Table13[[#This Row],[Steps]])&gt;100),1,0)</f>
        <v>1</v>
      </c>
      <c r="J3541">
        <f>IF(Table13[[#This Row],[POS]]=0,1,0)</f>
        <v>0</v>
      </c>
      <c r="K3541">
        <f>SUM(Table13[[#This Row],[prefix]],Table13[[#This Row],[Past zero L]],Table13[[#This Row],[Past Zero R]],Table13[[#This Row],[Is Zero]])</f>
        <v>2</v>
      </c>
    </row>
    <row r="3542" spans="1:11" ht="16" x14ac:dyDescent="0.2">
      <c r="A3542" s="1" t="s">
        <v>757</v>
      </c>
      <c r="B3542" t="str">
        <f>LEFT(Table13[[#This Row],[Input]],1)</f>
        <v>R</v>
      </c>
      <c r="C3542">
        <f>_xlfn.LET(_xlpm.steps,SUBSTITUTE(Table13[[#This Row],[Input]],Table13[[#This Row],[Direction]],""),VALUE(IF(LEN(_xlpm.steps)&gt;2,RIGHT(_xlpm.steps,2),_xlpm.steps)))</f>
        <v>82</v>
      </c>
      <c r="D3542">
        <f>_xlfn.LET(_xlpm.steps,SUBSTITUTE(Table13[[#This Row],[Input]],Table13[[#This Row],[Direction]],""),VALUE(IF(LEN(_xlpm.steps)&gt;2,LEFT(_xlpm.steps,LEN(_xlpm.steps)-2),0)))</f>
        <v>9</v>
      </c>
      <c r="E3542">
        <f>_xlfn.LET(_xlpm.dir,Table13[[#This Row],[Direction]],
IF(_xlpm.dir="L",
    IF(G3541-Table13[[#This Row],[Steps]]&lt;0,100+(G3541-Table13[[#This Row],[Steps]]),G3541-Table13[[#This Row],[Steps]]),
))</f>
        <v>0</v>
      </c>
      <c r="F3542">
        <f>_xlfn.LET(_xlpm.dir,Table13[[#This Row],[Direction]],
IF(_xlpm.dir="R",
    IF(G3541+Table13[[#This Row],[Steps]]&gt;99,(G3541+Table13[[#This Row],[Steps]])-100,G3541+Table13[[#This Row],[Steps]]),
))</f>
        <v>0</v>
      </c>
      <c r="G3542">
        <f>IF(Table13[[#This Row],[New Pos L]]&lt;&gt;0,Table13[[#This Row],[New Pos L]],Table13[[#This Row],[New Pos R]])</f>
        <v>0</v>
      </c>
      <c r="H3542">
        <f>IF(AND(Table13[[#This Row],[Direction]]="L",Table13[[#This Row],[Steps]]&gt;G3541,G3541&lt;&gt;0),1,0)</f>
        <v>0</v>
      </c>
      <c r="I3542">
        <f>IF(AND(Table13[[#This Row],[Direction]]="R",(G3541+Table13[[#This Row],[Steps]])&gt;100),1,0)</f>
        <v>0</v>
      </c>
      <c r="J3542">
        <f>IF(Table13[[#This Row],[POS]]=0,1,0)</f>
        <v>1</v>
      </c>
      <c r="K3542">
        <f>SUM(Table13[[#This Row],[prefix]],Table13[[#This Row],[Past zero L]],Table13[[#This Row],[Past Zero R]],Table13[[#This Row],[Is Zero]])</f>
        <v>10</v>
      </c>
    </row>
    <row r="3543" spans="1:11" ht="16" x14ac:dyDescent="0.2">
      <c r="A3543" s="1" t="s">
        <v>1</v>
      </c>
      <c r="B3543" t="str">
        <f>LEFT(Table13[[#This Row],[Input]],1)</f>
        <v>R</v>
      </c>
      <c r="C3543">
        <f>_xlfn.LET(_xlpm.steps,SUBSTITUTE(Table13[[#This Row],[Input]],Table13[[#This Row],[Direction]],""),VALUE(IF(LEN(_xlpm.steps)&gt;2,RIGHT(_xlpm.steps,2),_xlpm.steps)))</f>
        <v>26</v>
      </c>
      <c r="D3543">
        <f>_xlfn.LET(_xlpm.steps,SUBSTITUTE(Table13[[#This Row],[Input]],Table13[[#This Row],[Direction]],""),VALUE(IF(LEN(_xlpm.steps)&gt;2,LEFT(_xlpm.steps,LEN(_xlpm.steps)-2),0)))</f>
        <v>0</v>
      </c>
      <c r="E3543">
        <f>_xlfn.LET(_xlpm.dir,Table13[[#This Row],[Direction]],
IF(_xlpm.dir="L",
    IF(G3542-Table13[[#This Row],[Steps]]&lt;0,100+(G3542-Table13[[#This Row],[Steps]]),G3542-Table13[[#This Row],[Steps]]),
))</f>
        <v>0</v>
      </c>
      <c r="F3543">
        <f>_xlfn.LET(_xlpm.dir,Table13[[#This Row],[Direction]],
IF(_xlpm.dir="R",
    IF(G3542+Table13[[#This Row],[Steps]]&gt;99,(G3542+Table13[[#This Row],[Steps]])-100,G3542+Table13[[#This Row],[Steps]]),
))</f>
        <v>26</v>
      </c>
      <c r="G3543">
        <f>IF(Table13[[#This Row],[New Pos L]]&lt;&gt;0,Table13[[#This Row],[New Pos L]],Table13[[#This Row],[New Pos R]])</f>
        <v>26</v>
      </c>
      <c r="H3543">
        <f>IF(AND(Table13[[#This Row],[Direction]]="L",Table13[[#This Row],[Steps]]&gt;G3542,G3542&lt;&gt;0),1,0)</f>
        <v>0</v>
      </c>
      <c r="I3543">
        <f>IF(AND(Table13[[#This Row],[Direction]]="R",(G3542+Table13[[#This Row],[Steps]])&gt;100),1,0)</f>
        <v>0</v>
      </c>
      <c r="J3543">
        <f>IF(Table13[[#This Row],[POS]]=0,1,0)</f>
        <v>0</v>
      </c>
      <c r="K3543">
        <f>SUM(Table13[[#This Row],[prefix]],Table13[[#This Row],[Past zero L]],Table13[[#This Row],[Past Zero R]],Table13[[#This Row],[Is Zero]])</f>
        <v>0</v>
      </c>
    </row>
    <row r="3544" spans="1:11" ht="16" x14ac:dyDescent="0.2">
      <c r="A3544" s="1" t="s">
        <v>66</v>
      </c>
      <c r="B3544" t="str">
        <f>LEFT(Table13[[#This Row],[Input]],1)</f>
        <v>R</v>
      </c>
      <c r="C3544">
        <f>_xlfn.LET(_xlpm.steps,SUBSTITUTE(Table13[[#This Row],[Input]],Table13[[#This Row],[Direction]],""),VALUE(IF(LEN(_xlpm.steps)&gt;2,RIGHT(_xlpm.steps,2),_xlpm.steps)))</f>
        <v>45</v>
      </c>
      <c r="D3544">
        <f>_xlfn.LET(_xlpm.steps,SUBSTITUTE(Table13[[#This Row],[Input]],Table13[[#This Row],[Direction]],""),VALUE(IF(LEN(_xlpm.steps)&gt;2,LEFT(_xlpm.steps,LEN(_xlpm.steps)-2),0)))</f>
        <v>0</v>
      </c>
      <c r="E3544">
        <f>_xlfn.LET(_xlpm.dir,Table13[[#This Row],[Direction]],
IF(_xlpm.dir="L",
    IF(G3543-Table13[[#This Row],[Steps]]&lt;0,100+(G3543-Table13[[#This Row],[Steps]]),G3543-Table13[[#This Row],[Steps]]),
))</f>
        <v>0</v>
      </c>
      <c r="F3544">
        <f>_xlfn.LET(_xlpm.dir,Table13[[#This Row],[Direction]],
IF(_xlpm.dir="R",
    IF(G3543+Table13[[#This Row],[Steps]]&gt;99,(G3543+Table13[[#This Row],[Steps]])-100,G3543+Table13[[#This Row],[Steps]]),
))</f>
        <v>71</v>
      </c>
      <c r="G3544">
        <f>IF(Table13[[#This Row],[New Pos L]]&lt;&gt;0,Table13[[#This Row],[New Pos L]],Table13[[#This Row],[New Pos R]])</f>
        <v>71</v>
      </c>
      <c r="H3544">
        <f>IF(AND(Table13[[#This Row],[Direction]]="L",Table13[[#This Row],[Steps]]&gt;G3543,G3543&lt;&gt;0),1,0)</f>
        <v>0</v>
      </c>
      <c r="I3544">
        <f>IF(AND(Table13[[#This Row],[Direction]]="R",(G3543+Table13[[#This Row],[Steps]])&gt;100),1,0)</f>
        <v>0</v>
      </c>
      <c r="J3544">
        <f>IF(Table13[[#This Row],[POS]]=0,1,0)</f>
        <v>0</v>
      </c>
      <c r="K3544">
        <f>SUM(Table13[[#This Row],[prefix]],Table13[[#This Row],[Past zero L]],Table13[[#This Row],[Past Zero R]],Table13[[#This Row],[Is Zero]])</f>
        <v>0</v>
      </c>
    </row>
    <row r="3545" spans="1:11" ht="16" x14ac:dyDescent="0.2">
      <c r="A3545" s="1" t="s">
        <v>62</v>
      </c>
      <c r="B3545" t="str">
        <f>LEFT(Table13[[#This Row],[Input]],1)</f>
        <v>L</v>
      </c>
      <c r="C3545">
        <f>_xlfn.LET(_xlpm.steps,SUBSTITUTE(Table13[[#This Row],[Input]],Table13[[#This Row],[Direction]],""),VALUE(IF(LEN(_xlpm.steps)&gt;2,RIGHT(_xlpm.steps,2),_xlpm.steps)))</f>
        <v>57</v>
      </c>
      <c r="D3545">
        <f>_xlfn.LET(_xlpm.steps,SUBSTITUTE(Table13[[#This Row],[Input]],Table13[[#This Row],[Direction]],""),VALUE(IF(LEN(_xlpm.steps)&gt;2,LEFT(_xlpm.steps,LEN(_xlpm.steps)-2),0)))</f>
        <v>0</v>
      </c>
      <c r="E3545">
        <f>_xlfn.LET(_xlpm.dir,Table13[[#This Row],[Direction]],
IF(_xlpm.dir="L",
    IF(G3544-Table13[[#This Row],[Steps]]&lt;0,100+(G3544-Table13[[#This Row],[Steps]]),G3544-Table13[[#This Row],[Steps]]),
))</f>
        <v>14</v>
      </c>
      <c r="F3545">
        <f>_xlfn.LET(_xlpm.dir,Table13[[#This Row],[Direction]],
IF(_xlpm.dir="R",
    IF(G3544+Table13[[#This Row],[Steps]]&gt;99,(G3544+Table13[[#This Row],[Steps]])-100,G3544+Table13[[#This Row],[Steps]]),
))</f>
        <v>0</v>
      </c>
      <c r="G3545">
        <f>IF(Table13[[#This Row],[New Pos L]]&lt;&gt;0,Table13[[#This Row],[New Pos L]],Table13[[#This Row],[New Pos R]])</f>
        <v>14</v>
      </c>
      <c r="H3545">
        <f>IF(AND(Table13[[#This Row],[Direction]]="L",Table13[[#This Row],[Steps]]&gt;G3544,G3544&lt;&gt;0),1,0)</f>
        <v>0</v>
      </c>
      <c r="I3545">
        <f>IF(AND(Table13[[#This Row],[Direction]]="R",(G3544+Table13[[#This Row],[Steps]])&gt;100),1,0)</f>
        <v>0</v>
      </c>
      <c r="J3545">
        <f>IF(Table13[[#This Row],[POS]]=0,1,0)</f>
        <v>0</v>
      </c>
      <c r="K3545">
        <f>SUM(Table13[[#This Row],[prefix]],Table13[[#This Row],[Past zero L]],Table13[[#This Row],[Past Zero R]],Table13[[#This Row],[Is Zero]])</f>
        <v>0</v>
      </c>
    </row>
    <row r="3546" spans="1:11" ht="16" x14ac:dyDescent="0.2">
      <c r="A3546" s="1" t="s">
        <v>36</v>
      </c>
      <c r="B3546" t="str">
        <f>LEFT(Table13[[#This Row],[Input]],1)</f>
        <v>R</v>
      </c>
      <c r="C3546">
        <f>_xlfn.LET(_xlpm.steps,SUBSTITUTE(Table13[[#This Row],[Input]],Table13[[#This Row],[Direction]],""),VALUE(IF(LEN(_xlpm.steps)&gt;2,RIGHT(_xlpm.steps,2),_xlpm.steps)))</f>
        <v>50</v>
      </c>
      <c r="D3546">
        <f>_xlfn.LET(_xlpm.steps,SUBSTITUTE(Table13[[#This Row],[Input]],Table13[[#This Row],[Direction]],""),VALUE(IF(LEN(_xlpm.steps)&gt;2,LEFT(_xlpm.steps,LEN(_xlpm.steps)-2),0)))</f>
        <v>0</v>
      </c>
      <c r="E3546">
        <f>_xlfn.LET(_xlpm.dir,Table13[[#This Row],[Direction]],
IF(_xlpm.dir="L",
    IF(G3545-Table13[[#This Row],[Steps]]&lt;0,100+(G3545-Table13[[#This Row],[Steps]]),G3545-Table13[[#This Row],[Steps]]),
))</f>
        <v>0</v>
      </c>
      <c r="F3546">
        <f>_xlfn.LET(_xlpm.dir,Table13[[#This Row],[Direction]],
IF(_xlpm.dir="R",
    IF(G3545+Table13[[#This Row],[Steps]]&gt;99,(G3545+Table13[[#This Row],[Steps]])-100,G3545+Table13[[#This Row],[Steps]]),
))</f>
        <v>64</v>
      </c>
      <c r="G3546">
        <f>IF(Table13[[#This Row],[New Pos L]]&lt;&gt;0,Table13[[#This Row],[New Pos L]],Table13[[#This Row],[New Pos R]])</f>
        <v>64</v>
      </c>
      <c r="H3546">
        <f>IF(AND(Table13[[#This Row],[Direction]]="L",Table13[[#This Row],[Steps]]&gt;G3545,G3545&lt;&gt;0),1,0)</f>
        <v>0</v>
      </c>
      <c r="I3546">
        <f>IF(AND(Table13[[#This Row],[Direction]]="R",(G3545+Table13[[#This Row],[Steps]])&gt;100),1,0)</f>
        <v>0</v>
      </c>
      <c r="J3546">
        <f>IF(Table13[[#This Row],[POS]]=0,1,0)</f>
        <v>0</v>
      </c>
      <c r="K3546">
        <f>SUM(Table13[[#This Row],[prefix]],Table13[[#This Row],[Past zero L]],Table13[[#This Row],[Past Zero R]],Table13[[#This Row],[Is Zero]])</f>
        <v>0</v>
      </c>
    </row>
    <row r="3547" spans="1:11" ht="16" x14ac:dyDescent="0.2">
      <c r="A3547" s="1" t="s">
        <v>120</v>
      </c>
      <c r="B3547" t="str">
        <f>LEFT(Table13[[#This Row],[Input]],1)</f>
        <v>L</v>
      </c>
      <c r="C3547">
        <f>_xlfn.LET(_xlpm.steps,SUBSTITUTE(Table13[[#This Row],[Input]],Table13[[#This Row],[Direction]],""),VALUE(IF(LEN(_xlpm.steps)&gt;2,RIGHT(_xlpm.steps,2),_xlpm.steps)))</f>
        <v>23</v>
      </c>
      <c r="D3547">
        <f>_xlfn.LET(_xlpm.steps,SUBSTITUTE(Table13[[#This Row],[Input]],Table13[[#This Row],[Direction]],""),VALUE(IF(LEN(_xlpm.steps)&gt;2,LEFT(_xlpm.steps,LEN(_xlpm.steps)-2),0)))</f>
        <v>0</v>
      </c>
      <c r="E3547">
        <f>_xlfn.LET(_xlpm.dir,Table13[[#This Row],[Direction]],
IF(_xlpm.dir="L",
    IF(G3546-Table13[[#This Row],[Steps]]&lt;0,100+(G3546-Table13[[#This Row],[Steps]]),G3546-Table13[[#This Row],[Steps]]),
))</f>
        <v>41</v>
      </c>
      <c r="F3547">
        <f>_xlfn.LET(_xlpm.dir,Table13[[#This Row],[Direction]],
IF(_xlpm.dir="R",
    IF(G3546+Table13[[#This Row],[Steps]]&gt;99,(G3546+Table13[[#This Row],[Steps]])-100,G3546+Table13[[#This Row],[Steps]]),
))</f>
        <v>0</v>
      </c>
      <c r="G3547">
        <f>IF(Table13[[#This Row],[New Pos L]]&lt;&gt;0,Table13[[#This Row],[New Pos L]],Table13[[#This Row],[New Pos R]])</f>
        <v>41</v>
      </c>
      <c r="H3547">
        <f>IF(AND(Table13[[#This Row],[Direction]]="L",Table13[[#This Row],[Steps]]&gt;G3546,G3546&lt;&gt;0),1,0)</f>
        <v>0</v>
      </c>
      <c r="I3547">
        <f>IF(AND(Table13[[#This Row],[Direction]]="R",(G3546+Table13[[#This Row],[Steps]])&gt;100),1,0)</f>
        <v>0</v>
      </c>
      <c r="J3547">
        <f>IF(Table13[[#This Row],[POS]]=0,1,0)</f>
        <v>0</v>
      </c>
      <c r="K3547">
        <f>SUM(Table13[[#This Row],[prefix]],Table13[[#This Row],[Past zero L]],Table13[[#This Row],[Past Zero R]],Table13[[#This Row],[Is Zero]])</f>
        <v>0</v>
      </c>
    </row>
    <row r="3548" spans="1:11" ht="16" x14ac:dyDescent="0.2">
      <c r="A3548" s="1" t="s">
        <v>357</v>
      </c>
      <c r="B3548" t="str">
        <f>LEFT(Table13[[#This Row],[Input]],1)</f>
        <v>R</v>
      </c>
      <c r="C3548">
        <f>_xlfn.LET(_xlpm.steps,SUBSTITUTE(Table13[[#This Row],[Input]],Table13[[#This Row],[Direction]],""),VALUE(IF(LEN(_xlpm.steps)&gt;2,RIGHT(_xlpm.steps,2),_xlpm.steps)))</f>
        <v>72</v>
      </c>
      <c r="D3548">
        <f>_xlfn.LET(_xlpm.steps,SUBSTITUTE(Table13[[#This Row],[Input]],Table13[[#This Row],[Direction]],""),VALUE(IF(LEN(_xlpm.steps)&gt;2,LEFT(_xlpm.steps,LEN(_xlpm.steps)-2),0)))</f>
        <v>0</v>
      </c>
      <c r="E3548">
        <f>_xlfn.LET(_xlpm.dir,Table13[[#This Row],[Direction]],
IF(_xlpm.dir="L",
    IF(G3547-Table13[[#This Row],[Steps]]&lt;0,100+(G3547-Table13[[#This Row],[Steps]]),G3547-Table13[[#This Row],[Steps]]),
))</f>
        <v>0</v>
      </c>
      <c r="F3548">
        <f>_xlfn.LET(_xlpm.dir,Table13[[#This Row],[Direction]],
IF(_xlpm.dir="R",
    IF(G3547+Table13[[#This Row],[Steps]]&gt;99,(G3547+Table13[[#This Row],[Steps]])-100,G3547+Table13[[#This Row],[Steps]]),
))</f>
        <v>13</v>
      </c>
      <c r="G3548">
        <f>IF(Table13[[#This Row],[New Pos L]]&lt;&gt;0,Table13[[#This Row],[New Pos L]],Table13[[#This Row],[New Pos R]])</f>
        <v>13</v>
      </c>
      <c r="H3548">
        <f>IF(AND(Table13[[#This Row],[Direction]]="L",Table13[[#This Row],[Steps]]&gt;G3547,G3547&lt;&gt;0),1,0)</f>
        <v>0</v>
      </c>
      <c r="I3548">
        <f>IF(AND(Table13[[#This Row],[Direction]]="R",(G3547+Table13[[#This Row],[Steps]])&gt;100),1,0)</f>
        <v>1</v>
      </c>
      <c r="J3548">
        <f>IF(Table13[[#This Row],[POS]]=0,1,0)</f>
        <v>0</v>
      </c>
      <c r="K3548">
        <f>SUM(Table13[[#This Row],[prefix]],Table13[[#This Row],[Past zero L]],Table13[[#This Row],[Past Zero R]],Table13[[#This Row],[Is Zero]])</f>
        <v>1</v>
      </c>
    </row>
    <row r="3549" spans="1:11" ht="16" x14ac:dyDescent="0.2">
      <c r="A3549" s="1" t="s">
        <v>31</v>
      </c>
      <c r="B3549" t="str">
        <f>LEFT(Table13[[#This Row],[Input]],1)</f>
        <v>L</v>
      </c>
      <c r="C3549">
        <f>_xlfn.LET(_xlpm.steps,SUBSTITUTE(Table13[[#This Row],[Input]],Table13[[#This Row],[Direction]],""),VALUE(IF(LEN(_xlpm.steps)&gt;2,RIGHT(_xlpm.steps,2),_xlpm.steps)))</f>
        <v>13</v>
      </c>
      <c r="D3549">
        <f>_xlfn.LET(_xlpm.steps,SUBSTITUTE(Table13[[#This Row],[Input]],Table13[[#This Row],[Direction]],""),VALUE(IF(LEN(_xlpm.steps)&gt;2,LEFT(_xlpm.steps,LEN(_xlpm.steps)-2),0)))</f>
        <v>0</v>
      </c>
      <c r="E3549">
        <f>_xlfn.LET(_xlpm.dir,Table13[[#This Row],[Direction]],
IF(_xlpm.dir="L",
    IF(G3548-Table13[[#This Row],[Steps]]&lt;0,100+(G3548-Table13[[#This Row],[Steps]]),G3548-Table13[[#This Row],[Steps]]),
))</f>
        <v>0</v>
      </c>
      <c r="F3549">
        <f>_xlfn.LET(_xlpm.dir,Table13[[#This Row],[Direction]],
IF(_xlpm.dir="R",
    IF(G3548+Table13[[#This Row],[Steps]]&gt;99,(G3548+Table13[[#This Row],[Steps]])-100,G3548+Table13[[#This Row],[Steps]]),
))</f>
        <v>0</v>
      </c>
      <c r="G3549">
        <f>IF(Table13[[#This Row],[New Pos L]]&lt;&gt;0,Table13[[#This Row],[New Pos L]],Table13[[#This Row],[New Pos R]])</f>
        <v>0</v>
      </c>
      <c r="H3549">
        <f>IF(AND(Table13[[#This Row],[Direction]]="L",Table13[[#This Row],[Steps]]&gt;G3548,G3548&lt;&gt;0),1,0)</f>
        <v>0</v>
      </c>
      <c r="I3549">
        <f>IF(AND(Table13[[#This Row],[Direction]]="R",(G3548+Table13[[#This Row],[Steps]])&gt;100),1,0)</f>
        <v>0</v>
      </c>
      <c r="J3549">
        <f>IF(Table13[[#This Row],[POS]]=0,1,0)</f>
        <v>1</v>
      </c>
      <c r="K3549">
        <f>SUM(Table13[[#This Row],[prefix]],Table13[[#This Row],[Past zero L]],Table13[[#This Row],[Past Zero R]],Table13[[#This Row],[Is Zero]])</f>
        <v>1</v>
      </c>
    </row>
    <row r="3550" spans="1:11" ht="16" x14ac:dyDescent="0.2">
      <c r="A3550" s="1" t="s">
        <v>79</v>
      </c>
      <c r="B3550" t="str">
        <f>LEFT(Table13[[#This Row],[Input]],1)</f>
        <v>L</v>
      </c>
      <c r="C3550">
        <f>_xlfn.LET(_xlpm.steps,SUBSTITUTE(Table13[[#This Row],[Input]],Table13[[#This Row],[Direction]],""),VALUE(IF(LEN(_xlpm.steps)&gt;2,RIGHT(_xlpm.steps,2),_xlpm.steps)))</f>
        <v>45</v>
      </c>
      <c r="D3550">
        <f>_xlfn.LET(_xlpm.steps,SUBSTITUTE(Table13[[#This Row],[Input]],Table13[[#This Row],[Direction]],""),VALUE(IF(LEN(_xlpm.steps)&gt;2,LEFT(_xlpm.steps,LEN(_xlpm.steps)-2),0)))</f>
        <v>0</v>
      </c>
      <c r="E3550">
        <f>_xlfn.LET(_xlpm.dir,Table13[[#This Row],[Direction]],
IF(_xlpm.dir="L",
    IF(G3549-Table13[[#This Row],[Steps]]&lt;0,100+(G3549-Table13[[#This Row],[Steps]]),G3549-Table13[[#This Row],[Steps]]),
))</f>
        <v>55</v>
      </c>
      <c r="F3550">
        <f>_xlfn.LET(_xlpm.dir,Table13[[#This Row],[Direction]],
IF(_xlpm.dir="R",
    IF(G3549+Table13[[#This Row],[Steps]]&gt;99,(G3549+Table13[[#This Row],[Steps]])-100,G3549+Table13[[#This Row],[Steps]]),
))</f>
        <v>0</v>
      </c>
      <c r="G3550">
        <f>IF(Table13[[#This Row],[New Pos L]]&lt;&gt;0,Table13[[#This Row],[New Pos L]],Table13[[#This Row],[New Pos R]])</f>
        <v>55</v>
      </c>
      <c r="H3550">
        <f>IF(AND(Table13[[#This Row],[Direction]]="L",Table13[[#This Row],[Steps]]&gt;G3549,G3549&lt;&gt;0),1,0)</f>
        <v>0</v>
      </c>
      <c r="I3550">
        <f>IF(AND(Table13[[#This Row],[Direction]]="R",(G3549+Table13[[#This Row],[Steps]])&gt;100),1,0)</f>
        <v>0</v>
      </c>
      <c r="J3550">
        <f>IF(Table13[[#This Row],[POS]]=0,1,0)</f>
        <v>0</v>
      </c>
      <c r="K3550">
        <f>SUM(Table13[[#This Row],[prefix]],Table13[[#This Row],[Past zero L]],Table13[[#This Row],[Past Zero R]],Table13[[#This Row],[Is Zero]])</f>
        <v>0</v>
      </c>
    </row>
    <row r="3551" spans="1:11" ht="16" x14ac:dyDescent="0.2">
      <c r="A3551" s="1" t="s">
        <v>758</v>
      </c>
      <c r="B3551" t="str">
        <f>LEFT(Table13[[#This Row],[Input]],1)</f>
        <v>R</v>
      </c>
      <c r="C3551">
        <f>_xlfn.LET(_xlpm.steps,SUBSTITUTE(Table13[[#This Row],[Input]],Table13[[#This Row],[Direction]],""),VALUE(IF(LEN(_xlpm.steps)&gt;2,RIGHT(_xlpm.steps,2),_xlpm.steps)))</f>
        <v>45</v>
      </c>
      <c r="D3551">
        <f>_xlfn.LET(_xlpm.steps,SUBSTITUTE(Table13[[#This Row],[Input]],Table13[[#This Row],[Direction]],""),VALUE(IF(LEN(_xlpm.steps)&gt;2,LEFT(_xlpm.steps,LEN(_xlpm.steps)-2),0)))</f>
        <v>9</v>
      </c>
      <c r="E3551">
        <f>_xlfn.LET(_xlpm.dir,Table13[[#This Row],[Direction]],
IF(_xlpm.dir="L",
    IF(G3550-Table13[[#This Row],[Steps]]&lt;0,100+(G3550-Table13[[#This Row],[Steps]]),G3550-Table13[[#This Row],[Steps]]),
))</f>
        <v>0</v>
      </c>
      <c r="F3551">
        <f>_xlfn.LET(_xlpm.dir,Table13[[#This Row],[Direction]],
IF(_xlpm.dir="R",
    IF(G3550+Table13[[#This Row],[Steps]]&gt;99,(G3550+Table13[[#This Row],[Steps]])-100,G3550+Table13[[#This Row],[Steps]]),
))</f>
        <v>0</v>
      </c>
      <c r="G3551">
        <f>IF(Table13[[#This Row],[New Pos L]]&lt;&gt;0,Table13[[#This Row],[New Pos L]],Table13[[#This Row],[New Pos R]])</f>
        <v>0</v>
      </c>
      <c r="H3551">
        <f>IF(AND(Table13[[#This Row],[Direction]]="L",Table13[[#This Row],[Steps]]&gt;G3550,G3550&lt;&gt;0),1,0)</f>
        <v>0</v>
      </c>
      <c r="I3551">
        <f>IF(AND(Table13[[#This Row],[Direction]]="R",(G3550+Table13[[#This Row],[Steps]])&gt;100),1,0)</f>
        <v>0</v>
      </c>
      <c r="J3551">
        <f>IF(Table13[[#This Row],[POS]]=0,1,0)</f>
        <v>1</v>
      </c>
      <c r="K3551">
        <f>SUM(Table13[[#This Row],[prefix]],Table13[[#This Row],[Past zero L]],Table13[[#This Row],[Past Zero R]],Table13[[#This Row],[Is Zero]])</f>
        <v>10</v>
      </c>
    </row>
    <row r="3552" spans="1:11" ht="16" x14ac:dyDescent="0.2">
      <c r="A3552" s="1" t="s">
        <v>694</v>
      </c>
      <c r="B3552" t="str">
        <f>LEFT(Table13[[#This Row],[Input]],1)</f>
        <v>R</v>
      </c>
      <c r="C3552">
        <f>_xlfn.LET(_xlpm.steps,SUBSTITUTE(Table13[[#This Row],[Input]],Table13[[#This Row],[Direction]],""),VALUE(IF(LEN(_xlpm.steps)&gt;2,RIGHT(_xlpm.steps,2),_xlpm.steps)))</f>
        <v>63</v>
      </c>
      <c r="D3552">
        <f>_xlfn.LET(_xlpm.steps,SUBSTITUTE(Table13[[#This Row],[Input]],Table13[[#This Row],[Direction]],""),VALUE(IF(LEN(_xlpm.steps)&gt;2,LEFT(_xlpm.steps,LEN(_xlpm.steps)-2),0)))</f>
        <v>4</v>
      </c>
      <c r="E3552">
        <f>_xlfn.LET(_xlpm.dir,Table13[[#This Row],[Direction]],
IF(_xlpm.dir="L",
    IF(G3551-Table13[[#This Row],[Steps]]&lt;0,100+(G3551-Table13[[#This Row],[Steps]]),G3551-Table13[[#This Row],[Steps]]),
))</f>
        <v>0</v>
      </c>
      <c r="F3552">
        <f>_xlfn.LET(_xlpm.dir,Table13[[#This Row],[Direction]],
IF(_xlpm.dir="R",
    IF(G3551+Table13[[#This Row],[Steps]]&gt;99,(G3551+Table13[[#This Row],[Steps]])-100,G3551+Table13[[#This Row],[Steps]]),
))</f>
        <v>63</v>
      </c>
      <c r="G3552">
        <f>IF(Table13[[#This Row],[New Pos L]]&lt;&gt;0,Table13[[#This Row],[New Pos L]],Table13[[#This Row],[New Pos R]])</f>
        <v>63</v>
      </c>
      <c r="H3552">
        <f>IF(AND(Table13[[#This Row],[Direction]]="L",Table13[[#This Row],[Steps]]&gt;G3551,G3551&lt;&gt;0),1,0)</f>
        <v>0</v>
      </c>
      <c r="I3552">
        <f>IF(AND(Table13[[#This Row],[Direction]]="R",(G3551+Table13[[#This Row],[Steps]])&gt;100),1,0)</f>
        <v>0</v>
      </c>
      <c r="J3552">
        <f>IF(Table13[[#This Row],[POS]]=0,1,0)</f>
        <v>0</v>
      </c>
      <c r="K3552">
        <f>SUM(Table13[[#This Row],[prefix]],Table13[[#This Row],[Past zero L]],Table13[[#This Row],[Past Zero R]],Table13[[#This Row],[Is Zero]])</f>
        <v>4</v>
      </c>
    </row>
    <row r="3553" spans="1:11" ht="16" x14ac:dyDescent="0.2">
      <c r="A3553" s="1" t="s">
        <v>624</v>
      </c>
      <c r="B3553" t="str">
        <f>LEFT(Table13[[#This Row],[Input]],1)</f>
        <v>L</v>
      </c>
      <c r="C3553">
        <f>_xlfn.LET(_xlpm.steps,SUBSTITUTE(Table13[[#This Row],[Input]],Table13[[#This Row],[Direction]],""),VALUE(IF(LEN(_xlpm.steps)&gt;2,RIGHT(_xlpm.steps,2),_xlpm.steps)))</f>
        <v>63</v>
      </c>
      <c r="D3553">
        <f>_xlfn.LET(_xlpm.steps,SUBSTITUTE(Table13[[#This Row],[Input]],Table13[[#This Row],[Direction]],""),VALUE(IF(LEN(_xlpm.steps)&gt;2,LEFT(_xlpm.steps,LEN(_xlpm.steps)-2),0)))</f>
        <v>9</v>
      </c>
      <c r="E3553">
        <f>_xlfn.LET(_xlpm.dir,Table13[[#This Row],[Direction]],
IF(_xlpm.dir="L",
    IF(G3552-Table13[[#This Row],[Steps]]&lt;0,100+(G3552-Table13[[#This Row],[Steps]]),G3552-Table13[[#This Row],[Steps]]),
))</f>
        <v>0</v>
      </c>
      <c r="F3553">
        <f>_xlfn.LET(_xlpm.dir,Table13[[#This Row],[Direction]],
IF(_xlpm.dir="R",
    IF(G3552+Table13[[#This Row],[Steps]]&gt;99,(G3552+Table13[[#This Row],[Steps]])-100,G3552+Table13[[#This Row],[Steps]]),
))</f>
        <v>0</v>
      </c>
      <c r="G3553">
        <f>IF(Table13[[#This Row],[New Pos L]]&lt;&gt;0,Table13[[#This Row],[New Pos L]],Table13[[#This Row],[New Pos R]])</f>
        <v>0</v>
      </c>
      <c r="H3553">
        <f>IF(AND(Table13[[#This Row],[Direction]]="L",Table13[[#This Row],[Steps]]&gt;G3552,G3552&lt;&gt;0),1,0)</f>
        <v>0</v>
      </c>
      <c r="I3553">
        <f>IF(AND(Table13[[#This Row],[Direction]]="R",(G3552+Table13[[#This Row],[Steps]])&gt;100),1,0)</f>
        <v>0</v>
      </c>
      <c r="J3553">
        <f>IF(Table13[[#This Row],[POS]]=0,1,0)</f>
        <v>1</v>
      </c>
      <c r="K3553">
        <f>SUM(Table13[[#This Row],[prefix]],Table13[[#This Row],[Past zero L]],Table13[[#This Row],[Past Zero R]],Table13[[#This Row],[Is Zero]])</f>
        <v>10</v>
      </c>
    </row>
    <row r="3554" spans="1:11" ht="16" x14ac:dyDescent="0.2">
      <c r="A3554" s="1" t="s">
        <v>100</v>
      </c>
      <c r="B3554" t="str">
        <f>LEFT(Table13[[#This Row],[Input]],1)</f>
        <v>R</v>
      </c>
      <c r="C3554">
        <f>_xlfn.LET(_xlpm.steps,SUBSTITUTE(Table13[[#This Row],[Input]],Table13[[#This Row],[Direction]],""),VALUE(IF(LEN(_xlpm.steps)&gt;2,RIGHT(_xlpm.steps,2),_xlpm.steps)))</f>
        <v>58</v>
      </c>
      <c r="D3554">
        <f>_xlfn.LET(_xlpm.steps,SUBSTITUTE(Table13[[#This Row],[Input]],Table13[[#This Row],[Direction]],""),VALUE(IF(LEN(_xlpm.steps)&gt;2,LEFT(_xlpm.steps,LEN(_xlpm.steps)-2),0)))</f>
        <v>0</v>
      </c>
      <c r="E3554">
        <f>_xlfn.LET(_xlpm.dir,Table13[[#This Row],[Direction]],
IF(_xlpm.dir="L",
    IF(G3553-Table13[[#This Row],[Steps]]&lt;0,100+(G3553-Table13[[#This Row],[Steps]]),G3553-Table13[[#This Row],[Steps]]),
))</f>
        <v>0</v>
      </c>
      <c r="F3554">
        <f>_xlfn.LET(_xlpm.dir,Table13[[#This Row],[Direction]],
IF(_xlpm.dir="R",
    IF(G3553+Table13[[#This Row],[Steps]]&gt;99,(G3553+Table13[[#This Row],[Steps]])-100,G3553+Table13[[#This Row],[Steps]]),
))</f>
        <v>58</v>
      </c>
      <c r="G3554">
        <f>IF(Table13[[#This Row],[New Pos L]]&lt;&gt;0,Table13[[#This Row],[New Pos L]],Table13[[#This Row],[New Pos R]])</f>
        <v>58</v>
      </c>
      <c r="H3554">
        <f>IF(AND(Table13[[#This Row],[Direction]]="L",Table13[[#This Row],[Steps]]&gt;G3553,G3553&lt;&gt;0),1,0)</f>
        <v>0</v>
      </c>
      <c r="I3554">
        <f>IF(AND(Table13[[#This Row],[Direction]]="R",(G3553+Table13[[#This Row],[Steps]])&gt;100),1,0)</f>
        <v>0</v>
      </c>
      <c r="J3554">
        <f>IF(Table13[[#This Row],[POS]]=0,1,0)</f>
        <v>0</v>
      </c>
      <c r="K3554">
        <f>SUM(Table13[[#This Row],[prefix]],Table13[[#This Row],[Past zero L]],Table13[[#This Row],[Past Zero R]],Table13[[#This Row],[Is Zero]])</f>
        <v>0</v>
      </c>
    </row>
    <row r="3555" spans="1:11" ht="16" x14ac:dyDescent="0.2">
      <c r="A3555" s="1" t="s">
        <v>56</v>
      </c>
      <c r="B3555" t="str">
        <f>LEFT(Table13[[#This Row],[Input]],1)</f>
        <v>R</v>
      </c>
      <c r="C3555">
        <f>_xlfn.LET(_xlpm.steps,SUBSTITUTE(Table13[[#This Row],[Input]],Table13[[#This Row],[Direction]],""),VALUE(IF(LEN(_xlpm.steps)&gt;2,RIGHT(_xlpm.steps,2),_xlpm.steps)))</f>
        <v>42</v>
      </c>
      <c r="D3555">
        <f>_xlfn.LET(_xlpm.steps,SUBSTITUTE(Table13[[#This Row],[Input]],Table13[[#This Row],[Direction]],""),VALUE(IF(LEN(_xlpm.steps)&gt;2,LEFT(_xlpm.steps,LEN(_xlpm.steps)-2),0)))</f>
        <v>0</v>
      </c>
      <c r="E3555">
        <f>_xlfn.LET(_xlpm.dir,Table13[[#This Row],[Direction]],
IF(_xlpm.dir="L",
    IF(G3554-Table13[[#This Row],[Steps]]&lt;0,100+(G3554-Table13[[#This Row],[Steps]]),G3554-Table13[[#This Row],[Steps]]),
))</f>
        <v>0</v>
      </c>
      <c r="F3555">
        <f>_xlfn.LET(_xlpm.dir,Table13[[#This Row],[Direction]],
IF(_xlpm.dir="R",
    IF(G3554+Table13[[#This Row],[Steps]]&gt;99,(G3554+Table13[[#This Row],[Steps]])-100,G3554+Table13[[#This Row],[Steps]]),
))</f>
        <v>0</v>
      </c>
      <c r="G3555">
        <f>IF(Table13[[#This Row],[New Pos L]]&lt;&gt;0,Table13[[#This Row],[New Pos L]],Table13[[#This Row],[New Pos R]])</f>
        <v>0</v>
      </c>
      <c r="H3555">
        <f>IF(AND(Table13[[#This Row],[Direction]]="L",Table13[[#This Row],[Steps]]&gt;G3554,G3554&lt;&gt;0),1,0)</f>
        <v>0</v>
      </c>
      <c r="I3555">
        <f>IF(AND(Table13[[#This Row],[Direction]]="R",(G3554+Table13[[#This Row],[Steps]])&gt;100),1,0)</f>
        <v>0</v>
      </c>
      <c r="J3555">
        <f>IF(Table13[[#This Row],[POS]]=0,1,0)</f>
        <v>1</v>
      </c>
      <c r="K3555">
        <f>SUM(Table13[[#This Row],[prefix]],Table13[[#This Row],[Past zero L]],Table13[[#This Row],[Past Zero R]],Table13[[#This Row],[Is Zero]])</f>
        <v>1</v>
      </c>
    </row>
    <row r="3556" spans="1:11" ht="16" x14ac:dyDescent="0.2">
      <c r="A3556" s="1" t="s">
        <v>138</v>
      </c>
      <c r="B3556" t="str">
        <f>LEFT(Table13[[#This Row],[Input]],1)</f>
        <v>L</v>
      </c>
      <c r="C3556">
        <f>_xlfn.LET(_xlpm.steps,SUBSTITUTE(Table13[[#This Row],[Input]],Table13[[#This Row],[Direction]],""),VALUE(IF(LEN(_xlpm.steps)&gt;2,RIGHT(_xlpm.steps,2),_xlpm.steps)))</f>
        <v>94</v>
      </c>
      <c r="D3556">
        <f>_xlfn.LET(_xlpm.steps,SUBSTITUTE(Table13[[#This Row],[Input]],Table13[[#This Row],[Direction]],""),VALUE(IF(LEN(_xlpm.steps)&gt;2,LEFT(_xlpm.steps,LEN(_xlpm.steps)-2),0)))</f>
        <v>0</v>
      </c>
      <c r="E3556">
        <f>_xlfn.LET(_xlpm.dir,Table13[[#This Row],[Direction]],
IF(_xlpm.dir="L",
    IF(G3555-Table13[[#This Row],[Steps]]&lt;0,100+(G3555-Table13[[#This Row],[Steps]]),G3555-Table13[[#This Row],[Steps]]),
))</f>
        <v>6</v>
      </c>
      <c r="F3556">
        <f>_xlfn.LET(_xlpm.dir,Table13[[#This Row],[Direction]],
IF(_xlpm.dir="R",
    IF(G3555+Table13[[#This Row],[Steps]]&gt;99,(G3555+Table13[[#This Row],[Steps]])-100,G3555+Table13[[#This Row],[Steps]]),
))</f>
        <v>0</v>
      </c>
      <c r="G3556">
        <f>IF(Table13[[#This Row],[New Pos L]]&lt;&gt;0,Table13[[#This Row],[New Pos L]],Table13[[#This Row],[New Pos R]])</f>
        <v>6</v>
      </c>
      <c r="H3556">
        <f>IF(AND(Table13[[#This Row],[Direction]]="L",Table13[[#This Row],[Steps]]&gt;G3555,G3555&lt;&gt;0),1,0)</f>
        <v>0</v>
      </c>
      <c r="I3556">
        <f>IF(AND(Table13[[#This Row],[Direction]]="R",(G3555+Table13[[#This Row],[Steps]])&gt;100),1,0)</f>
        <v>0</v>
      </c>
      <c r="J3556">
        <f>IF(Table13[[#This Row],[POS]]=0,1,0)</f>
        <v>0</v>
      </c>
      <c r="K3556">
        <f>SUM(Table13[[#This Row],[prefix]],Table13[[#This Row],[Past zero L]],Table13[[#This Row],[Past Zero R]],Table13[[#This Row],[Is Zero]])</f>
        <v>0</v>
      </c>
    </row>
    <row r="3557" spans="1:11" ht="16" x14ac:dyDescent="0.2">
      <c r="A3557" s="1" t="s">
        <v>185</v>
      </c>
      <c r="B3557" t="str">
        <f>LEFT(Table13[[#This Row],[Input]],1)</f>
        <v>R</v>
      </c>
      <c r="C3557">
        <f>_xlfn.LET(_xlpm.steps,SUBSTITUTE(Table13[[#This Row],[Input]],Table13[[#This Row],[Direction]],""),VALUE(IF(LEN(_xlpm.steps)&gt;2,RIGHT(_xlpm.steps,2),_xlpm.steps)))</f>
        <v>61</v>
      </c>
      <c r="D3557">
        <f>_xlfn.LET(_xlpm.steps,SUBSTITUTE(Table13[[#This Row],[Input]],Table13[[#This Row],[Direction]],""),VALUE(IF(LEN(_xlpm.steps)&gt;2,LEFT(_xlpm.steps,LEN(_xlpm.steps)-2),0)))</f>
        <v>0</v>
      </c>
      <c r="E3557">
        <f>_xlfn.LET(_xlpm.dir,Table13[[#This Row],[Direction]],
IF(_xlpm.dir="L",
    IF(G3556-Table13[[#This Row],[Steps]]&lt;0,100+(G3556-Table13[[#This Row],[Steps]]),G3556-Table13[[#This Row],[Steps]]),
))</f>
        <v>0</v>
      </c>
      <c r="F3557">
        <f>_xlfn.LET(_xlpm.dir,Table13[[#This Row],[Direction]],
IF(_xlpm.dir="R",
    IF(G3556+Table13[[#This Row],[Steps]]&gt;99,(G3556+Table13[[#This Row],[Steps]])-100,G3556+Table13[[#This Row],[Steps]]),
))</f>
        <v>67</v>
      </c>
      <c r="G3557">
        <f>IF(Table13[[#This Row],[New Pos L]]&lt;&gt;0,Table13[[#This Row],[New Pos L]],Table13[[#This Row],[New Pos R]])</f>
        <v>67</v>
      </c>
      <c r="H3557">
        <f>IF(AND(Table13[[#This Row],[Direction]]="L",Table13[[#This Row],[Steps]]&gt;G3556,G3556&lt;&gt;0),1,0)</f>
        <v>0</v>
      </c>
      <c r="I3557">
        <f>IF(AND(Table13[[#This Row],[Direction]]="R",(G3556+Table13[[#This Row],[Steps]])&gt;100),1,0)</f>
        <v>0</v>
      </c>
      <c r="J3557">
        <f>IF(Table13[[#This Row],[POS]]=0,1,0)</f>
        <v>0</v>
      </c>
      <c r="K3557">
        <f>SUM(Table13[[#This Row],[prefix]],Table13[[#This Row],[Past zero L]],Table13[[#This Row],[Past Zero R]],Table13[[#This Row],[Is Zero]])</f>
        <v>0</v>
      </c>
    </row>
    <row r="3558" spans="1:11" ht="16" x14ac:dyDescent="0.2">
      <c r="A3558" s="1" t="s">
        <v>363</v>
      </c>
      <c r="B3558" t="str">
        <f>LEFT(Table13[[#This Row],[Input]],1)</f>
        <v>R</v>
      </c>
      <c r="C3558">
        <f>_xlfn.LET(_xlpm.steps,SUBSTITUTE(Table13[[#This Row],[Input]],Table13[[#This Row],[Direction]],""),VALUE(IF(LEN(_xlpm.steps)&gt;2,RIGHT(_xlpm.steps,2),_xlpm.steps)))</f>
        <v>63</v>
      </c>
      <c r="D3558">
        <f>_xlfn.LET(_xlpm.steps,SUBSTITUTE(Table13[[#This Row],[Input]],Table13[[#This Row],[Direction]],""),VALUE(IF(LEN(_xlpm.steps)&gt;2,LEFT(_xlpm.steps,LEN(_xlpm.steps)-2),0)))</f>
        <v>0</v>
      </c>
      <c r="E3558">
        <f>_xlfn.LET(_xlpm.dir,Table13[[#This Row],[Direction]],
IF(_xlpm.dir="L",
    IF(G3557-Table13[[#This Row],[Steps]]&lt;0,100+(G3557-Table13[[#This Row],[Steps]]),G3557-Table13[[#This Row],[Steps]]),
))</f>
        <v>0</v>
      </c>
      <c r="F3558">
        <f>_xlfn.LET(_xlpm.dir,Table13[[#This Row],[Direction]],
IF(_xlpm.dir="R",
    IF(G3557+Table13[[#This Row],[Steps]]&gt;99,(G3557+Table13[[#This Row],[Steps]])-100,G3557+Table13[[#This Row],[Steps]]),
))</f>
        <v>30</v>
      </c>
      <c r="G3558">
        <f>IF(Table13[[#This Row],[New Pos L]]&lt;&gt;0,Table13[[#This Row],[New Pos L]],Table13[[#This Row],[New Pos R]])</f>
        <v>30</v>
      </c>
      <c r="H3558">
        <f>IF(AND(Table13[[#This Row],[Direction]]="L",Table13[[#This Row],[Steps]]&gt;G3557,G3557&lt;&gt;0),1,0)</f>
        <v>0</v>
      </c>
      <c r="I3558">
        <f>IF(AND(Table13[[#This Row],[Direction]]="R",(G3557+Table13[[#This Row],[Steps]])&gt;100),1,0)</f>
        <v>1</v>
      </c>
      <c r="J3558">
        <f>IF(Table13[[#This Row],[POS]]=0,1,0)</f>
        <v>0</v>
      </c>
      <c r="K3558">
        <f>SUM(Table13[[#This Row],[prefix]],Table13[[#This Row],[Past zero L]],Table13[[#This Row],[Past Zero R]],Table13[[#This Row],[Is Zero]])</f>
        <v>1</v>
      </c>
    </row>
    <row r="3559" spans="1:11" ht="16" x14ac:dyDescent="0.2">
      <c r="A3559" s="1" t="s">
        <v>255</v>
      </c>
      <c r="B3559" t="str">
        <f>LEFT(Table13[[#This Row],[Input]],1)</f>
        <v>R</v>
      </c>
      <c r="C3559">
        <f>_xlfn.LET(_xlpm.steps,SUBSTITUTE(Table13[[#This Row],[Input]],Table13[[#This Row],[Direction]],""),VALUE(IF(LEN(_xlpm.steps)&gt;2,RIGHT(_xlpm.steps,2),_xlpm.steps)))</f>
        <v>16</v>
      </c>
      <c r="D3559">
        <f>_xlfn.LET(_xlpm.steps,SUBSTITUTE(Table13[[#This Row],[Input]],Table13[[#This Row],[Direction]],""),VALUE(IF(LEN(_xlpm.steps)&gt;2,LEFT(_xlpm.steps,LEN(_xlpm.steps)-2),0)))</f>
        <v>0</v>
      </c>
      <c r="E3559">
        <f>_xlfn.LET(_xlpm.dir,Table13[[#This Row],[Direction]],
IF(_xlpm.dir="L",
    IF(G3558-Table13[[#This Row],[Steps]]&lt;0,100+(G3558-Table13[[#This Row],[Steps]]),G3558-Table13[[#This Row],[Steps]]),
))</f>
        <v>0</v>
      </c>
      <c r="F3559">
        <f>_xlfn.LET(_xlpm.dir,Table13[[#This Row],[Direction]],
IF(_xlpm.dir="R",
    IF(G3558+Table13[[#This Row],[Steps]]&gt;99,(G3558+Table13[[#This Row],[Steps]])-100,G3558+Table13[[#This Row],[Steps]]),
))</f>
        <v>46</v>
      </c>
      <c r="G3559">
        <f>IF(Table13[[#This Row],[New Pos L]]&lt;&gt;0,Table13[[#This Row],[New Pos L]],Table13[[#This Row],[New Pos R]])</f>
        <v>46</v>
      </c>
      <c r="H3559">
        <f>IF(AND(Table13[[#This Row],[Direction]]="L",Table13[[#This Row],[Steps]]&gt;G3558,G3558&lt;&gt;0),1,0)</f>
        <v>0</v>
      </c>
      <c r="I3559">
        <f>IF(AND(Table13[[#This Row],[Direction]]="R",(G3558+Table13[[#This Row],[Steps]])&gt;100),1,0)</f>
        <v>0</v>
      </c>
      <c r="J3559">
        <f>IF(Table13[[#This Row],[POS]]=0,1,0)</f>
        <v>0</v>
      </c>
      <c r="K3559">
        <f>SUM(Table13[[#This Row],[prefix]],Table13[[#This Row],[Past zero L]],Table13[[#This Row],[Past Zero R]],Table13[[#This Row],[Is Zero]])</f>
        <v>0</v>
      </c>
    </row>
    <row r="3560" spans="1:11" ht="16" x14ac:dyDescent="0.2">
      <c r="A3560" s="1" t="s">
        <v>759</v>
      </c>
      <c r="B3560" t="str">
        <f>LEFT(Table13[[#This Row],[Input]],1)</f>
        <v>R</v>
      </c>
      <c r="C3560">
        <f>_xlfn.LET(_xlpm.steps,SUBSTITUTE(Table13[[#This Row],[Input]],Table13[[#This Row],[Direction]],""),VALUE(IF(LEN(_xlpm.steps)&gt;2,RIGHT(_xlpm.steps,2),_xlpm.steps)))</f>
        <v>54</v>
      </c>
      <c r="D3560">
        <f>_xlfn.LET(_xlpm.steps,SUBSTITUTE(Table13[[#This Row],[Input]],Table13[[#This Row],[Direction]],""),VALUE(IF(LEN(_xlpm.steps)&gt;2,LEFT(_xlpm.steps,LEN(_xlpm.steps)-2),0)))</f>
        <v>4</v>
      </c>
      <c r="E3560">
        <f>_xlfn.LET(_xlpm.dir,Table13[[#This Row],[Direction]],
IF(_xlpm.dir="L",
    IF(G3559-Table13[[#This Row],[Steps]]&lt;0,100+(G3559-Table13[[#This Row],[Steps]]),G3559-Table13[[#This Row],[Steps]]),
))</f>
        <v>0</v>
      </c>
      <c r="F3560">
        <f>_xlfn.LET(_xlpm.dir,Table13[[#This Row],[Direction]],
IF(_xlpm.dir="R",
    IF(G3559+Table13[[#This Row],[Steps]]&gt;99,(G3559+Table13[[#This Row],[Steps]])-100,G3559+Table13[[#This Row],[Steps]]),
))</f>
        <v>0</v>
      </c>
      <c r="G3560">
        <f>IF(Table13[[#This Row],[New Pos L]]&lt;&gt;0,Table13[[#This Row],[New Pos L]],Table13[[#This Row],[New Pos R]])</f>
        <v>0</v>
      </c>
      <c r="H3560">
        <f>IF(AND(Table13[[#This Row],[Direction]]="L",Table13[[#This Row],[Steps]]&gt;G3559,G3559&lt;&gt;0),1,0)</f>
        <v>0</v>
      </c>
      <c r="I3560">
        <f>IF(AND(Table13[[#This Row],[Direction]]="R",(G3559+Table13[[#This Row],[Steps]])&gt;100),1,0)</f>
        <v>0</v>
      </c>
      <c r="J3560">
        <f>IF(Table13[[#This Row],[POS]]=0,1,0)</f>
        <v>1</v>
      </c>
      <c r="K3560">
        <f>SUM(Table13[[#This Row],[prefix]],Table13[[#This Row],[Past zero L]],Table13[[#This Row],[Past Zero R]],Table13[[#This Row],[Is Zero]])</f>
        <v>5</v>
      </c>
    </row>
    <row r="3561" spans="1:11" ht="16" x14ac:dyDescent="0.2">
      <c r="A3561" s="1" t="s">
        <v>253</v>
      </c>
      <c r="B3561" t="str">
        <f>LEFT(Table13[[#This Row],[Input]],1)</f>
        <v>R</v>
      </c>
      <c r="C3561">
        <f>_xlfn.LET(_xlpm.steps,SUBSTITUTE(Table13[[#This Row],[Input]],Table13[[#This Row],[Direction]],""),VALUE(IF(LEN(_xlpm.steps)&gt;2,RIGHT(_xlpm.steps,2),_xlpm.steps)))</f>
        <v>94</v>
      </c>
      <c r="D3561">
        <f>_xlfn.LET(_xlpm.steps,SUBSTITUTE(Table13[[#This Row],[Input]],Table13[[#This Row],[Direction]],""),VALUE(IF(LEN(_xlpm.steps)&gt;2,LEFT(_xlpm.steps,LEN(_xlpm.steps)-2),0)))</f>
        <v>0</v>
      </c>
      <c r="E3561">
        <f>_xlfn.LET(_xlpm.dir,Table13[[#This Row],[Direction]],
IF(_xlpm.dir="L",
    IF(G3560-Table13[[#This Row],[Steps]]&lt;0,100+(G3560-Table13[[#This Row],[Steps]]),G3560-Table13[[#This Row],[Steps]]),
))</f>
        <v>0</v>
      </c>
      <c r="F3561">
        <f>_xlfn.LET(_xlpm.dir,Table13[[#This Row],[Direction]],
IF(_xlpm.dir="R",
    IF(G3560+Table13[[#This Row],[Steps]]&gt;99,(G3560+Table13[[#This Row],[Steps]])-100,G3560+Table13[[#This Row],[Steps]]),
))</f>
        <v>94</v>
      </c>
      <c r="G3561">
        <f>IF(Table13[[#This Row],[New Pos L]]&lt;&gt;0,Table13[[#This Row],[New Pos L]],Table13[[#This Row],[New Pos R]])</f>
        <v>94</v>
      </c>
      <c r="H3561">
        <f>IF(AND(Table13[[#This Row],[Direction]]="L",Table13[[#This Row],[Steps]]&gt;G3560,G3560&lt;&gt;0),1,0)</f>
        <v>0</v>
      </c>
      <c r="I3561">
        <f>IF(AND(Table13[[#This Row],[Direction]]="R",(G3560+Table13[[#This Row],[Steps]])&gt;100),1,0)</f>
        <v>0</v>
      </c>
      <c r="J3561">
        <f>IF(Table13[[#This Row],[POS]]=0,1,0)</f>
        <v>0</v>
      </c>
      <c r="K3561">
        <f>SUM(Table13[[#This Row],[prefix]],Table13[[#This Row],[Past zero L]],Table13[[#This Row],[Past Zero R]],Table13[[#This Row],[Is Zero]])</f>
        <v>0</v>
      </c>
    </row>
    <row r="3562" spans="1:11" ht="16" x14ac:dyDescent="0.2">
      <c r="A3562" s="1" t="s">
        <v>26</v>
      </c>
      <c r="B3562" t="str">
        <f>LEFT(Table13[[#This Row],[Input]],1)</f>
        <v>R</v>
      </c>
      <c r="C3562">
        <f>_xlfn.LET(_xlpm.steps,SUBSTITUTE(Table13[[#This Row],[Input]],Table13[[#This Row],[Direction]],""),VALUE(IF(LEN(_xlpm.steps)&gt;2,RIGHT(_xlpm.steps,2),_xlpm.steps)))</f>
        <v>6</v>
      </c>
      <c r="D3562">
        <f>_xlfn.LET(_xlpm.steps,SUBSTITUTE(Table13[[#This Row],[Input]],Table13[[#This Row],[Direction]],""),VALUE(IF(LEN(_xlpm.steps)&gt;2,LEFT(_xlpm.steps,LEN(_xlpm.steps)-2),0)))</f>
        <v>0</v>
      </c>
      <c r="E3562">
        <f>_xlfn.LET(_xlpm.dir,Table13[[#This Row],[Direction]],
IF(_xlpm.dir="L",
    IF(G3561-Table13[[#This Row],[Steps]]&lt;0,100+(G3561-Table13[[#This Row],[Steps]]),G3561-Table13[[#This Row],[Steps]]),
))</f>
        <v>0</v>
      </c>
      <c r="F3562">
        <f>_xlfn.LET(_xlpm.dir,Table13[[#This Row],[Direction]],
IF(_xlpm.dir="R",
    IF(G3561+Table13[[#This Row],[Steps]]&gt;99,(G3561+Table13[[#This Row],[Steps]])-100,G3561+Table13[[#This Row],[Steps]]),
))</f>
        <v>0</v>
      </c>
      <c r="G3562">
        <f>IF(Table13[[#This Row],[New Pos L]]&lt;&gt;0,Table13[[#This Row],[New Pos L]],Table13[[#This Row],[New Pos R]])</f>
        <v>0</v>
      </c>
      <c r="H3562">
        <f>IF(AND(Table13[[#This Row],[Direction]]="L",Table13[[#This Row],[Steps]]&gt;G3561,G3561&lt;&gt;0),1,0)</f>
        <v>0</v>
      </c>
      <c r="I3562">
        <f>IF(AND(Table13[[#This Row],[Direction]]="R",(G3561+Table13[[#This Row],[Steps]])&gt;100),1,0)</f>
        <v>0</v>
      </c>
      <c r="J3562">
        <f>IF(Table13[[#This Row],[POS]]=0,1,0)</f>
        <v>1</v>
      </c>
      <c r="K3562">
        <f>SUM(Table13[[#This Row],[prefix]],Table13[[#This Row],[Past zero L]],Table13[[#This Row],[Past Zero R]],Table13[[#This Row],[Is Zero]])</f>
        <v>1</v>
      </c>
    </row>
    <row r="3563" spans="1:11" ht="16" x14ac:dyDescent="0.2">
      <c r="A3563" s="1" t="s">
        <v>760</v>
      </c>
      <c r="B3563" t="str">
        <f>LEFT(Table13[[#This Row],[Input]],1)</f>
        <v>R</v>
      </c>
      <c r="C3563">
        <f>_xlfn.LET(_xlpm.steps,SUBSTITUTE(Table13[[#This Row],[Input]],Table13[[#This Row],[Direction]],""),VALUE(IF(LEN(_xlpm.steps)&gt;2,RIGHT(_xlpm.steps,2),_xlpm.steps)))</f>
        <v>65</v>
      </c>
      <c r="D3563">
        <f>_xlfn.LET(_xlpm.steps,SUBSTITUTE(Table13[[#This Row],[Input]],Table13[[#This Row],[Direction]],""),VALUE(IF(LEN(_xlpm.steps)&gt;2,LEFT(_xlpm.steps,LEN(_xlpm.steps)-2),0)))</f>
        <v>8</v>
      </c>
      <c r="E3563">
        <f>_xlfn.LET(_xlpm.dir,Table13[[#This Row],[Direction]],
IF(_xlpm.dir="L",
    IF(G3562-Table13[[#This Row],[Steps]]&lt;0,100+(G3562-Table13[[#This Row],[Steps]]),G3562-Table13[[#This Row],[Steps]]),
))</f>
        <v>0</v>
      </c>
      <c r="F3563">
        <f>_xlfn.LET(_xlpm.dir,Table13[[#This Row],[Direction]],
IF(_xlpm.dir="R",
    IF(G3562+Table13[[#This Row],[Steps]]&gt;99,(G3562+Table13[[#This Row],[Steps]])-100,G3562+Table13[[#This Row],[Steps]]),
))</f>
        <v>65</v>
      </c>
      <c r="G3563">
        <f>IF(Table13[[#This Row],[New Pos L]]&lt;&gt;0,Table13[[#This Row],[New Pos L]],Table13[[#This Row],[New Pos R]])</f>
        <v>65</v>
      </c>
      <c r="H3563">
        <f>IF(AND(Table13[[#This Row],[Direction]]="L",Table13[[#This Row],[Steps]]&gt;G3562,G3562&lt;&gt;0),1,0)</f>
        <v>0</v>
      </c>
      <c r="I3563">
        <f>IF(AND(Table13[[#This Row],[Direction]]="R",(G3562+Table13[[#This Row],[Steps]])&gt;100),1,0)</f>
        <v>0</v>
      </c>
      <c r="J3563">
        <f>IF(Table13[[#This Row],[POS]]=0,1,0)</f>
        <v>0</v>
      </c>
      <c r="K3563">
        <f>SUM(Table13[[#This Row],[prefix]],Table13[[#This Row],[Past zero L]],Table13[[#This Row],[Past Zero R]],Table13[[#This Row],[Is Zero]])</f>
        <v>8</v>
      </c>
    </row>
    <row r="3564" spans="1:11" ht="16" x14ac:dyDescent="0.2">
      <c r="A3564" s="1" t="s">
        <v>470</v>
      </c>
      <c r="B3564" t="str">
        <f>LEFT(Table13[[#This Row],[Input]],1)</f>
        <v>L</v>
      </c>
      <c r="C3564">
        <f>_xlfn.LET(_xlpm.steps,SUBSTITUTE(Table13[[#This Row],[Input]],Table13[[#This Row],[Direction]],""),VALUE(IF(LEN(_xlpm.steps)&gt;2,RIGHT(_xlpm.steps,2),_xlpm.steps)))</f>
        <v>43</v>
      </c>
      <c r="D3564">
        <f>_xlfn.LET(_xlpm.steps,SUBSTITUTE(Table13[[#This Row],[Input]],Table13[[#This Row],[Direction]],""),VALUE(IF(LEN(_xlpm.steps)&gt;2,LEFT(_xlpm.steps,LEN(_xlpm.steps)-2),0)))</f>
        <v>7</v>
      </c>
      <c r="E3564">
        <f>_xlfn.LET(_xlpm.dir,Table13[[#This Row],[Direction]],
IF(_xlpm.dir="L",
    IF(G3563-Table13[[#This Row],[Steps]]&lt;0,100+(G3563-Table13[[#This Row],[Steps]]),G3563-Table13[[#This Row],[Steps]]),
))</f>
        <v>22</v>
      </c>
      <c r="F3564">
        <f>_xlfn.LET(_xlpm.dir,Table13[[#This Row],[Direction]],
IF(_xlpm.dir="R",
    IF(G3563+Table13[[#This Row],[Steps]]&gt;99,(G3563+Table13[[#This Row],[Steps]])-100,G3563+Table13[[#This Row],[Steps]]),
))</f>
        <v>0</v>
      </c>
      <c r="G3564">
        <f>IF(Table13[[#This Row],[New Pos L]]&lt;&gt;0,Table13[[#This Row],[New Pos L]],Table13[[#This Row],[New Pos R]])</f>
        <v>22</v>
      </c>
      <c r="H3564">
        <f>IF(AND(Table13[[#This Row],[Direction]]="L",Table13[[#This Row],[Steps]]&gt;G3563,G3563&lt;&gt;0),1,0)</f>
        <v>0</v>
      </c>
      <c r="I3564">
        <f>IF(AND(Table13[[#This Row],[Direction]]="R",(G3563+Table13[[#This Row],[Steps]])&gt;100),1,0)</f>
        <v>0</v>
      </c>
      <c r="J3564">
        <f>IF(Table13[[#This Row],[POS]]=0,1,0)</f>
        <v>0</v>
      </c>
      <c r="K3564">
        <f>SUM(Table13[[#This Row],[prefix]],Table13[[#This Row],[Past zero L]],Table13[[#This Row],[Past Zero R]],Table13[[#This Row],[Is Zero]])</f>
        <v>7</v>
      </c>
    </row>
    <row r="3565" spans="1:11" ht="16" x14ac:dyDescent="0.2">
      <c r="A3565" s="1" t="s">
        <v>50</v>
      </c>
      <c r="B3565" t="str">
        <f>LEFT(Table13[[#This Row],[Input]],1)</f>
        <v>R</v>
      </c>
      <c r="C3565">
        <f>_xlfn.LET(_xlpm.steps,SUBSTITUTE(Table13[[#This Row],[Input]],Table13[[#This Row],[Direction]],""),VALUE(IF(LEN(_xlpm.steps)&gt;2,RIGHT(_xlpm.steps,2),_xlpm.steps)))</f>
        <v>78</v>
      </c>
      <c r="D3565">
        <f>_xlfn.LET(_xlpm.steps,SUBSTITUTE(Table13[[#This Row],[Input]],Table13[[#This Row],[Direction]],""),VALUE(IF(LEN(_xlpm.steps)&gt;2,LEFT(_xlpm.steps,LEN(_xlpm.steps)-2),0)))</f>
        <v>0</v>
      </c>
      <c r="E3565">
        <f>_xlfn.LET(_xlpm.dir,Table13[[#This Row],[Direction]],
IF(_xlpm.dir="L",
    IF(G3564-Table13[[#This Row],[Steps]]&lt;0,100+(G3564-Table13[[#This Row],[Steps]]),G3564-Table13[[#This Row],[Steps]]),
))</f>
        <v>0</v>
      </c>
      <c r="F3565">
        <f>_xlfn.LET(_xlpm.dir,Table13[[#This Row],[Direction]],
IF(_xlpm.dir="R",
    IF(G3564+Table13[[#This Row],[Steps]]&gt;99,(G3564+Table13[[#This Row],[Steps]])-100,G3564+Table13[[#This Row],[Steps]]),
))</f>
        <v>0</v>
      </c>
      <c r="G3565">
        <f>IF(Table13[[#This Row],[New Pos L]]&lt;&gt;0,Table13[[#This Row],[New Pos L]],Table13[[#This Row],[New Pos R]])</f>
        <v>0</v>
      </c>
      <c r="H3565">
        <f>IF(AND(Table13[[#This Row],[Direction]]="L",Table13[[#This Row],[Steps]]&gt;G3564,G3564&lt;&gt;0),1,0)</f>
        <v>0</v>
      </c>
      <c r="I3565">
        <f>IF(AND(Table13[[#This Row],[Direction]]="R",(G3564+Table13[[#This Row],[Steps]])&gt;100),1,0)</f>
        <v>0</v>
      </c>
      <c r="J3565">
        <f>IF(Table13[[#This Row],[POS]]=0,1,0)</f>
        <v>1</v>
      </c>
      <c r="K3565">
        <f>SUM(Table13[[#This Row],[prefix]],Table13[[#This Row],[Past zero L]],Table13[[#This Row],[Past Zero R]],Table13[[#This Row],[Is Zero]])</f>
        <v>1</v>
      </c>
    </row>
    <row r="3566" spans="1:11" ht="16" x14ac:dyDescent="0.2">
      <c r="A3566" s="1" t="s">
        <v>296</v>
      </c>
      <c r="B3566" t="str">
        <f>LEFT(Table13[[#This Row],[Input]],1)</f>
        <v>R</v>
      </c>
      <c r="C3566">
        <f>_xlfn.LET(_xlpm.steps,SUBSTITUTE(Table13[[#This Row],[Input]],Table13[[#This Row],[Direction]],""),VALUE(IF(LEN(_xlpm.steps)&gt;2,RIGHT(_xlpm.steps,2),_xlpm.steps)))</f>
        <v>19</v>
      </c>
      <c r="D3566">
        <f>_xlfn.LET(_xlpm.steps,SUBSTITUTE(Table13[[#This Row],[Input]],Table13[[#This Row],[Direction]],""),VALUE(IF(LEN(_xlpm.steps)&gt;2,LEFT(_xlpm.steps,LEN(_xlpm.steps)-2),0)))</f>
        <v>0</v>
      </c>
      <c r="E3566">
        <f>_xlfn.LET(_xlpm.dir,Table13[[#This Row],[Direction]],
IF(_xlpm.dir="L",
    IF(G3565-Table13[[#This Row],[Steps]]&lt;0,100+(G3565-Table13[[#This Row],[Steps]]),G3565-Table13[[#This Row],[Steps]]),
))</f>
        <v>0</v>
      </c>
      <c r="F3566">
        <f>_xlfn.LET(_xlpm.dir,Table13[[#This Row],[Direction]],
IF(_xlpm.dir="R",
    IF(G3565+Table13[[#This Row],[Steps]]&gt;99,(G3565+Table13[[#This Row],[Steps]])-100,G3565+Table13[[#This Row],[Steps]]),
))</f>
        <v>19</v>
      </c>
      <c r="G3566">
        <f>IF(Table13[[#This Row],[New Pos L]]&lt;&gt;0,Table13[[#This Row],[New Pos L]],Table13[[#This Row],[New Pos R]])</f>
        <v>19</v>
      </c>
      <c r="H3566">
        <f>IF(AND(Table13[[#This Row],[Direction]]="L",Table13[[#This Row],[Steps]]&gt;G3565,G3565&lt;&gt;0),1,0)</f>
        <v>0</v>
      </c>
      <c r="I3566">
        <f>IF(AND(Table13[[#This Row],[Direction]]="R",(G3565+Table13[[#This Row],[Steps]])&gt;100),1,0)</f>
        <v>0</v>
      </c>
      <c r="J3566">
        <f>IF(Table13[[#This Row],[POS]]=0,1,0)</f>
        <v>0</v>
      </c>
      <c r="K3566">
        <f>SUM(Table13[[#This Row],[prefix]],Table13[[#This Row],[Past zero L]],Table13[[#This Row],[Past Zero R]],Table13[[#This Row],[Is Zero]])</f>
        <v>0</v>
      </c>
    </row>
    <row r="3567" spans="1:11" ht="16" x14ac:dyDescent="0.2">
      <c r="A3567" s="1" t="s">
        <v>761</v>
      </c>
      <c r="B3567" t="str">
        <f>LEFT(Table13[[#This Row],[Input]],1)</f>
        <v>R</v>
      </c>
      <c r="C3567">
        <f>_xlfn.LET(_xlpm.steps,SUBSTITUTE(Table13[[#This Row],[Input]],Table13[[#This Row],[Direction]],""),VALUE(IF(LEN(_xlpm.steps)&gt;2,RIGHT(_xlpm.steps,2),_xlpm.steps)))</f>
        <v>58</v>
      </c>
      <c r="D3567">
        <f>_xlfn.LET(_xlpm.steps,SUBSTITUTE(Table13[[#This Row],[Input]],Table13[[#This Row],[Direction]],""),VALUE(IF(LEN(_xlpm.steps)&gt;2,LEFT(_xlpm.steps,LEN(_xlpm.steps)-2),0)))</f>
        <v>8</v>
      </c>
      <c r="E3567">
        <f>_xlfn.LET(_xlpm.dir,Table13[[#This Row],[Direction]],
IF(_xlpm.dir="L",
    IF(G3566-Table13[[#This Row],[Steps]]&lt;0,100+(G3566-Table13[[#This Row],[Steps]]),G3566-Table13[[#This Row],[Steps]]),
))</f>
        <v>0</v>
      </c>
      <c r="F3567">
        <f>_xlfn.LET(_xlpm.dir,Table13[[#This Row],[Direction]],
IF(_xlpm.dir="R",
    IF(G3566+Table13[[#This Row],[Steps]]&gt;99,(G3566+Table13[[#This Row],[Steps]])-100,G3566+Table13[[#This Row],[Steps]]),
))</f>
        <v>77</v>
      </c>
      <c r="G3567">
        <f>IF(Table13[[#This Row],[New Pos L]]&lt;&gt;0,Table13[[#This Row],[New Pos L]],Table13[[#This Row],[New Pos R]])</f>
        <v>77</v>
      </c>
      <c r="H3567">
        <f>IF(AND(Table13[[#This Row],[Direction]]="L",Table13[[#This Row],[Steps]]&gt;G3566,G3566&lt;&gt;0),1,0)</f>
        <v>0</v>
      </c>
      <c r="I3567">
        <f>IF(AND(Table13[[#This Row],[Direction]]="R",(G3566+Table13[[#This Row],[Steps]])&gt;100),1,0)</f>
        <v>0</v>
      </c>
      <c r="J3567">
        <f>IF(Table13[[#This Row],[POS]]=0,1,0)</f>
        <v>0</v>
      </c>
      <c r="K3567">
        <f>SUM(Table13[[#This Row],[prefix]],Table13[[#This Row],[Past zero L]],Table13[[#This Row],[Past Zero R]],Table13[[#This Row],[Is Zero]])</f>
        <v>8</v>
      </c>
    </row>
    <row r="3568" spans="1:11" ht="16" x14ac:dyDescent="0.2">
      <c r="A3568" s="1" t="s">
        <v>762</v>
      </c>
      <c r="B3568" t="str">
        <f>LEFT(Table13[[#This Row],[Input]],1)</f>
        <v>L</v>
      </c>
      <c r="C3568">
        <f>_xlfn.LET(_xlpm.steps,SUBSTITUTE(Table13[[#This Row],[Input]],Table13[[#This Row],[Direction]],""),VALUE(IF(LEN(_xlpm.steps)&gt;2,RIGHT(_xlpm.steps,2),_xlpm.steps)))</f>
        <v>90</v>
      </c>
      <c r="D3568">
        <f>_xlfn.LET(_xlpm.steps,SUBSTITUTE(Table13[[#This Row],[Input]],Table13[[#This Row],[Direction]],""),VALUE(IF(LEN(_xlpm.steps)&gt;2,LEFT(_xlpm.steps,LEN(_xlpm.steps)-2),0)))</f>
        <v>3</v>
      </c>
      <c r="E3568">
        <f>_xlfn.LET(_xlpm.dir,Table13[[#This Row],[Direction]],
IF(_xlpm.dir="L",
    IF(G3567-Table13[[#This Row],[Steps]]&lt;0,100+(G3567-Table13[[#This Row],[Steps]]),G3567-Table13[[#This Row],[Steps]]),
))</f>
        <v>87</v>
      </c>
      <c r="F3568">
        <f>_xlfn.LET(_xlpm.dir,Table13[[#This Row],[Direction]],
IF(_xlpm.dir="R",
    IF(G3567+Table13[[#This Row],[Steps]]&gt;99,(G3567+Table13[[#This Row],[Steps]])-100,G3567+Table13[[#This Row],[Steps]]),
))</f>
        <v>0</v>
      </c>
      <c r="G3568">
        <f>IF(Table13[[#This Row],[New Pos L]]&lt;&gt;0,Table13[[#This Row],[New Pos L]],Table13[[#This Row],[New Pos R]])</f>
        <v>87</v>
      </c>
      <c r="H3568">
        <f>IF(AND(Table13[[#This Row],[Direction]]="L",Table13[[#This Row],[Steps]]&gt;G3567,G3567&lt;&gt;0),1,0)</f>
        <v>1</v>
      </c>
      <c r="I3568">
        <f>IF(AND(Table13[[#This Row],[Direction]]="R",(G3567+Table13[[#This Row],[Steps]])&gt;100),1,0)</f>
        <v>0</v>
      </c>
      <c r="J3568">
        <f>IF(Table13[[#This Row],[POS]]=0,1,0)</f>
        <v>0</v>
      </c>
      <c r="K3568">
        <f>SUM(Table13[[#This Row],[prefix]],Table13[[#This Row],[Past zero L]],Table13[[#This Row],[Past Zero R]],Table13[[#This Row],[Is Zero]])</f>
        <v>4</v>
      </c>
    </row>
    <row r="3569" spans="1:11" ht="16" x14ac:dyDescent="0.2">
      <c r="A3569" s="1" t="s">
        <v>60</v>
      </c>
      <c r="B3569" t="str">
        <f>LEFT(Table13[[#This Row],[Input]],1)</f>
        <v>R</v>
      </c>
      <c r="C3569">
        <f>_xlfn.LET(_xlpm.steps,SUBSTITUTE(Table13[[#This Row],[Input]],Table13[[#This Row],[Direction]],""),VALUE(IF(LEN(_xlpm.steps)&gt;2,RIGHT(_xlpm.steps,2),_xlpm.steps)))</f>
        <v>86</v>
      </c>
      <c r="D3569">
        <f>_xlfn.LET(_xlpm.steps,SUBSTITUTE(Table13[[#This Row],[Input]],Table13[[#This Row],[Direction]],""),VALUE(IF(LEN(_xlpm.steps)&gt;2,LEFT(_xlpm.steps,LEN(_xlpm.steps)-2),0)))</f>
        <v>0</v>
      </c>
      <c r="E3569">
        <f>_xlfn.LET(_xlpm.dir,Table13[[#This Row],[Direction]],
IF(_xlpm.dir="L",
    IF(G3568-Table13[[#This Row],[Steps]]&lt;0,100+(G3568-Table13[[#This Row],[Steps]]),G3568-Table13[[#This Row],[Steps]]),
))</f>
        <v>0</v>
      </c>
      <c r="F3569">
        <f>_xlfn.LET(_xlpm.dir,Table13[[#This Row],[Direction]],
IF(_xlpm.dir="R",
    IF(G3568+Table13[[#This Row],[Steps]]&gt;99,(G3568+Table13[[#This Row],[Steps]])-100,G3568+Table13[[#This Row],[Steps]]),
))</f>
        <v>73</v>
      </c>
      <c r="G3569">
        <f>IF(Table13[[#This Row],[New Pos L]]&lt;&gt;0,Table13[[#This Row],[New Pos L]],Table13[[#This Row],[New Pos R]])</f>
        <v>73</v>
      </c>
      <c r="H3569">
        <f>IF(AND(Table13[[#This Row],[Direction]]="L",Table13[[#This Row],[Steps]]&gt;G3568,G3568&lt;&gt;0),1,0)</f>
        <v>0</v>
      </c>
      <c r="I3569">
        <f>IF(AND(Table13[[#This Row],[Direction]]="R",(G3568+Table13[[#This Row],[Steps]])&gt;100),1,0)</f>
        <v>1</v>
      </c>
      <c r="J3569">
        <f>IF(Table13[[#This Row],[POS]]=0,1,0)</f>
        <v>0</v>
      </c>
      <c r="K3569">
        <f>SUM(Table13[[#This Row],[prefix]],Table13[[#This Row],[Past zero L]],Table13[[#This Row],[Past Zero R]],Table13[[#This Row],[Is Zero]])</f>
        <v>1</v>
      </c>
    </row>
    <row r="3570" spans="1:11" ht="16" x14ac:dyDescent="0.2">
      <c r="A3570" s="1" t="s">
        <v>128</v>
      </c>
      <c r="B3570" t="str">
        <f>LEFT(Table13[[#This Row],[Input]],1)</f>
        <v>R</v>
      </c>
      <c r="C3570">
        <f>_xlfn.LET(_xlpm.steps,SUBSTITUTE(Table13[[#This Row],[Input]],Table13[[#This Row],[Direction]],""),VALUE(IF(LEN(_xlpm.steps)&gt;2,RIGHT(_xlpm.steps,2),_xlpm.steps)))</f>
        <v>92</v>
      </c>
      <c r="D3570">
        <f>_xlfn.LET(_xlpm.steps,SUBSTITUTE(Table13[[#This Row],[Input]],Table13[[#This Row],[Direction]],""),VALUE(IF(LEN(_xlpm.steps)&gt;2,LEFT(_xlpm.steps,LEN(_xlpm.steps)-2),0)))</f>
        <v>0</v>
      </c>
      <c r="E3570">
        <f>_xlfn.LET(_xlpm.dir,Table13[[#This Row],[Direction]],
IF(_xlpm.dir="L",
    IF(G3569-Table13[[#This Row],[Steps]]&lt;0,100+(G3569-Table13[[#This Row],[Steps]]),G3569-Table13[[#This Row],[Steps]]),
))</f>
        <v>0</v>
      </c>
      <c r="F3570">
        <f>_xlfn.LET(_xlpm.dir,Table13[[#This Row],[Direction]],
IF(_xlpm.dir="R",
    IF(G3569+Table13[[#This Row],[Steps]]&gt;99,(G3569+Table13[[#This Row],[Steps]])-100,G3569+Table13[[#This Row],[Steps]]),
))</f>
        <v>65</v>
      </c>
      <c r="G3570">
        <f>IF(Table13[[#This Row],[New Pos L]]&lt;&gt;0,Table13[[#This Row],[New Pos L]],Table13[[#This Row],[New Pos R]])</f>
        <v>65</v>
      </c>
      <c r="H3570">
        <f>IF(AND(Table13[[#This Row],[Direction]]="L",Table13[[#This Row],[Steps]]&gt;G3569,G3569&lt;&gt;0),1,0)</f>
        <v>0</v>
      </c>
      <c r="I3570">
        <f>IF(AND(Table13[[#This Row],[Direction]]="R",(G3569+Table13[[#This Row],[Steps]])&gt;100),1,0)</f>
        <v>1</v>
      </c>
      <c r="J3570">
        <f>IF(Table13[[#This Row],[POS]]=0,1,0)</f>
        <v>0</v>
      </c>
      <c r="K3570">
        <f>SUM(Table13[[#This Row],[prefix]],Table13[[#This Row],[Past zero L]],Table13[[#This Row],[Past Zero R]],Table13[[#This Row],[Is Zero]])</f>
        <v>1</v>
      </c>
    </row>
    <row r="3571" spans="1:11" ht="16" x14ac:dyDescent="0.2">
      <c r="A3571" s="1" t="s">
        <v>98</v>
      </c>
      <c r="B3571" t="str">
        <f>LEFT(Table13[[#This Row],[Input]],1)</f>
        <v>L</v>
      </c>
      <c r="C3571">
        <f>_xlfn.LET(_xlpm.steps,SUBSTITUTE(Table13[[#This Row],[Input]],Table13[[#This Row],[Direction]],""),VALUE(IF(LEN(_xlpm.steps)&gt;2,RIGHT(_xlpm.steps,2),_xlpm.steps)))</f>
        <v>65</v>
      </c>
      <c r="D3571">
        <f>_xlfn.LET(_xlpm.steps,SUBSTITUTE(Table13[[#This Row],[Input]],Table13[[#This Row],[Direction]],""),VALUE(IF(LEN(_xlpm.steps)&gt;2,LEFT(_xlpm.steps,LEN(_xlpm.steps)-2),0)))</f>
        <v>0</v>
      </c>
      <c r="E3571">
        <f>_xlfn.LET(_xlpm.dir,Table13[[#This Row],[Direction]],
IF(_xlpm.dir="L",
    IF(G3570-Table13[[#This Row],[Steps]]&lt;0,100+(G3570-Table13[[#This Row],[Steps]]),G3570-Table13[[#This Row],[Steps]]),
))</f>
        <v>0</v>
      </c>
      <c r="F3571">
        <f>_xlfn.LET(_xlpm.dir,Table13[[#This Row],[Direction]],
IF(_xlpm.dir="R",
    IF(G3570+Table13[[#This Row],[Steps]]&gt;99,(G3570+Table13[[#This Row],[Steps]])-100,G3570+Table13[[#This Row],[Steps]]),
))</f>
        <v>0</v>
      </c>
      <c r="G3571">
        <f>IF(Table13[[#This Row],[New Pos L]]&lt;&gt;0,Table13[[#This Row],[New Pos L]],Table13[[#This Row],[New Pos R]])</f>
        <v>0</v>
      </c>
      <c r="H3571">
        <f>IF(AND(Table13[[#This Row],[Direction]]="L",Table13[[#This Row],[Steps]]&gt;G3570,G3570&lt;&gt;0),1,0)</f>
        <v>0</v>
      </c>
      <c r="I3571">
        <f>IF(AND(Table13[[#This Row],[Direction]]="R",(G3570+Table13[[#This Row],[Steps]])&gt;100),1,0)</f>
        <v>0</v>
      </c>
      <c r="J3571">
        <f>IF(Table13[[#This Row],[POS]]=0,1,0)</f>
        <v>1</v>
      </c>
      <c r="K3571">
        <f>SUM(Table13[[#This Row],[prefix]],Table13[[#This Row],[Past zero L]],Table13[[#This Row],[Past Zero R]],Table13[[#This Row],[Is Zero]])</f>
        <v>1</v>
      </c>
    </row>
    <row r="3572" spans="1:11" ht="16" x14ac:dyDescent="0.2">
      <c r="A3572" s="1" t="s">
        <v>43</v>
      </c>
      <c r="B3572" t="str">
        <f>LEFT(Table13[[#This Row],[Input]],1)</f>
        <v>R</v>
      </c>
      <c r="C3572">
        <f>_xlfn.LET(_xlpm.steps,SUBSTITUTE(Table13[[#This Row],[Input]],Table13[[#This Row],[Direction]],""),VALUE(IF(LEN(_xlpm.steps)&gt;2,RIGHT(_xlpm.steps,2),_xlpm.steps)))</f>
        <v>90</v>
      </c>
      <c r="D3572">
        <f>_xlfn.LET(_xlpm.steps,SUBSTITUTE(Table13[[#This Row],[Input]],Table13[[#This Row],[Direction]],""),VALUE(IF(LEN(_xlpm.steps)&gt;2,LEFT(_xlpm.steps,LEN(_xlpm.steps)-2),0)))</f>
        <v>0</v>
      </c>
      <c r="E3572">
        <f>_xlfn.LET(_xlpm.dir,Table13[[#This Row],[Direction]],
IF(_xlpm.dir="L",
    IF(G3571-Table13[[#This Row],[Steps]]&lt;0,100+(G3571-Table13[[#This Row],[Steps]]),G3571-Table13[[#This Row],[Steps]]),
))</f>
        <v>0</v>
      </c>
      <c r="F3572">
        <f>_xlfn.LET(_xlpm.dir,Table13[[#This Row],[Direction]],
IF(_xlpm.dir="R",
    IF(G3571+Table13[[#This Row],[Steps]]&gt;99,(G3571+Table13[[#This Row],[Steps]])-100,G3571+Table13[[#This Row],[Steps]]),
))</f>
        <v>90</v>
      </c>
      <c r="G3572">
        <f>IF(Table13[[#This Row],[New Pos L]]&lt;&gt;0,Table13[[#This Row],[New Pos L]],Table13[[#This Row],[New Pos R]])</f>
        <v>90</v>
      </c>
      <c r="H3572">
        <f>IF(AND(Table13[[#This Row],[Direction]]="L",Table13[[#This Row],[Steps]]&gt;G3571,G3571&lt;&gt;0),1,0)</f>
        <v>0</v>
      </c>
      <c r="I3572">
        <f>IF(AND(Table13[[#This Row],[Direction]]="R",(G3571+Table13[[#This Row],[Steps]])&gt;100),1,0)</f>
        <v>0</v>
      </c>
      <c r="J3572">
        <f>IF(Table13[[#This Row],[POS]]=0,1,0)</f>
        <v>0</v>
      </c>
      <c r="K3572">
        <f>SUM(Table13[[#This Row],[prefix]],Table13[[#This Row],[Past zero L]],Table13[[#This Row],[Past Zero R]],Table13[[#This Row],[Is Zero]])</f>
        <v>0</v>
      </c>
    </row>
    <row r="3573" spans="1:11" ht="16" x14ac:dyDescent="0.2">
      <c r="A3573" s="1" t="s">
        <v>132</v>
      </c>
      <c r="B3573" t="str">
        <f>LEFT(Table13[[#This Row],[Input]],1)</f>
        <v>L</v>
      </c>
      <c r="C3573">
        <f>_xlfn.LET(_xlpm.steps,SUBSTITUTE(Table13[[#This Row],[Input]],Table13[[#This Row],[Direction]],""),VALUE(IF(LEN(_xlpm.steps)&gt;2,RIGHT(_xlpm.steps,2),_xlpm.steps)))</f>
        <v>51</v>
      </c>
      <c r="D3573">
        <f>_xlfn.LET(_xlpm.steps,SUBSTITUTE(Table13[[#This Row],[Input]],Table13[[#This Row],[Direction]],""),VALUE(IF(LEN(_xlpm.steps)&gt;2,LEFT(_xlpm.steps,LEN(_xlpm.steps)-2),0)))</f>
        <v>0</v>
      </c>
      <c r="E3573">
        <f>_xlfn.LET(_xlpm.dir,Table13[[#This Row],[Direction]],
IF(_xlpm.dir="L",
    IF(G3572-Table13[[#This Row],[Steps]]&lt;0,100+(G3572-Table13[[#This Row],[Steps]]),G3572-Table13[[#This Row],[Steps]]),
))</f>
        <v>39</v>
      </c>
      <c r="F3573">
        <f>_xlfn.LET(_xlpm.dir,Table13[[#This Row],[Direction]],
IF(_xlpm.dir="R",
    IF(G3572+Table13[[#This Row],[Steps]]&gt;99,(G3572+Table13[[#This Row],[Steps]])-100,G3572+Table13[[#This Row],[Steps]]),
))</f>
        <v>0</v>
      </c>
      <c r="G3573">
        <f>IF(Table13[[#This Row],[New Pos L]]&lt;&gt;0,Table13[[#This Row],[New Pos L]],Table13[[#This Row],[New Pos R]])</f>
        <v>39</v>
      </c>
      <c r="H3573">
        <f>IF(AND(Table13[[#This Row],[Direction]]="L",Table13[[#This Row],[Steps]]&gt;G3572,G3572&lt;&gt;0),1,0)</f>
        <v>0</v>
      </c>
      <c r="I3573">
        <f>IF(AND(Table13[[#This Row],[Direction]]="R",(G3572+Table13[[#This Row],[Steps]])&gt;100),1,0)</f>
        <v>0</v>
      </c>
      <c r="J3573">
        <f>IF(Table13[[#This Row],[POS]]=0,1,0)</f>
        <v>0</v>
      </c>
      <c r="K3573">
        <f>SUM(Table13[[#This Row],[prefix]],Table13[[#This Row],[Past zero L]],Table13[[#This Row],[Past Zero R]],Table13[[#This Row],[Is Zero]])</f>
        <v>0</v>
      </c>
    </row>
    <row r="3574" spans="1:11" ht="16" x14ac:dyDescent="0.2">
      <c r="A3574" s="1" t="s">
        <v>763</v>
      </c>
      <c r="B3574" t="str">
        <f>LEFT(Table13[[#This Row],[Input]],1)</f>
        <v>R</v>
      </c>
      <c r="C3574">
        <f>_xlfn.LET(_xlpm.steps,SUBSTITUTE(Table13[[#This Row],[Input]],Table13[[#This Row],[Direction]],""),VALUE(IF(LEN(_xlpm.steps)&gt;2,RIGHT(_xlpm.steps,2),_xlpm.steps)))</f>
        <v>14</v>
      </c>
      <c r="D3574">
        <f>_xlfn.LET(_xlpm.steps,SUBSTITUTE(Table13[[#This Row],[Input]],Table13[[#This Row],[Direction]],""),VALUE(IF(LEN(_xlpm.steps)&gt;2,LEFT(_xlpm.steps,LEN(_xlpm.steps)-2),0)))</f>
        <v>6</v>
      </c>
      <c r="E3574">
        <f>_xlfn.LET(_xlpm.dir,Table13[[#This Row],[Direction]],
IF(_xlpm.dir="L",
    IF(G3573-Table13[[#This Row],[Steps]]&lt;0,100+(G3573-Table13[[#This Row],[Steps]]),G3573-Table13[[#This Row],[Steps]]),
))</f>
        <v>0</v>
      </c>
      <c r="F3574">
        <f>_xlfn.LET(_xlpm.dir,Table13[[#This Row],[Direction]],
IF(_xlpm.dir="R",
    IF(G3573+Table13[[#This Row],[Steps]]&gt;99,(G3573+Table13[[#This Row],[Steps]])-100,G3573+Table13[[#This Row],[Steps]]),
))</f>
        <v>53</v>
      </c>
      <c r="G3574">
        <f>IF(Table13[[#This Row],[New Pos L]]&lt;&gt;0,Table13[[#This Row],[New Pos L]],Table13[[#This Row],[New Pos R]])</f>
        <v>53</v>
      </c>
      <c r="H3574">
        <f>IF(AND(Table13[[#This Row],[Direction]]="L",Table13[[#This Row],[Steps]]&gt;G3573,G3573&lt;&gt;0),1,0)</f>
        <v>0</v>
      </c>
      <c r="I3574">
        <f>IF(AND(Table13[[#This Row],[Direction]]="R",(G3573+Table13[[#This Row],[Steps]])&gt;100),1,0)</f>
        <v>0</v>
      </c>
      <c r="J3574">
        <f>IF(Table13[[#This Row],[POS]]=0,1,0)</f>
        <v>0</v>
      </c>
      <c r="K3574">
        <f>SUM(Table13[[#This Row],[prefix]],Table13[[#This Row],[Past zero L]],Table13[[#This Row],[Past Zero R]],Table13[[#This Row],[Is Zero]])</f>
        <v>6</v>
      </c>
    </row>
    <row r="3575" spans="1:11" ht="16" x14ac:dyDescent="0.2">
      <c r="A3575" s="1" t="s">
        <v>57</v>
      </c>
      <c r="B3575" t="str">
        <f>LEFT(Table13[[#This Row],[Input]],1)</f>
        <v>R</v>
      </c>
      <c r="C3575">
        <f>_xlfn.LET(_xlpm.steps,SUBSTITUTE(Table13[[#This Row],[Input]],Table13[[#This Row],[Direction]],""),VALUE(IF(LEN(_xlpm.steps)&gt;2,RIGHT(_xlpm.steps,2),_xlpm.steps)))</f>
        <v>29</v>
      </c>
      <c r="D3575">
        <f>_xlfn.LET(_xlpm.steps,SUBSTITUTE(Table13[[#This Row],[Input]],Table13[[#This Row],[Direction]],""),VALUE(IF(LEN(_xlpm.steps)&gt;2,LEFT(_xlpm.steps,LEN(_xlpm.steps)-2),0)))</f>
        <v>0</v>
      </c>
      <c r="E3575">
        <f>_xlfn.LET(_xlpm.dir,Table13[[#This Row],[Direction]],
IF(_xlpm.dir="L",
    IF(G3574-Table13[[#This Row],[Steps]]&lt;0,100+(G3574-Table13[[#This Row],[Steps]]),G3574-Table13[[#This Row],[Steps]]),
))</f>
        <v>0</v>
      </c>
      <c r="F3575">
        <f>_xlfn.LET(_xlpm.dir,Table13[[#This Row],[Direction]],
IF(_xlpm.dir="R",
    IF(G3574+Table13[[#This Row],[Steps]]&gt;99,(G3574+Table13[[#This Row],[Steps]])-100,G3574+Table13[[#This Row],[Steps]]),
))</f>
        <v>82</v>
      </c>
      <c r="G3575">
        <f>IF(Table13[[#This Row],[New Pos L]]&lt;&gt;0,Table13[[#This Row],[New Pos L]],Table13[[#This Row],[New Pos R]])</f>
        <v>82</v>
      </c>
      <c r="H3575">
        <f>IF(AND(Table13[[#This Row],[Direction]]="L",Table13[[#This Row],[Steps]]&gt;G3574,G3574&lt;&gt;0),1,0)</f>
        <v>0</v>
      </c>
      <c r="I3575">
        <f>IF(AND(Table13[[#This Row],[Direction]]="R",(G3574+Table13[[#This Row],[Steps]])&gt;100),1,0)</f>
        <v>0</v>
      </c>
      <c r="J3575">
        <f>IF(Table13[[#This Row],[POS]]=0,1,0)</f>
        <v>0</v>
      </c>
      <c r="K3575">
        <f>SUM(Table13[[#This Row],[prefix]],Table13[[#This Row],[Past zero L]],Table13[[#This Row],[Past Zero R]],Table13[[#This Row],[Is Zero]])</f>
        <v>0</v>
      </c>
    </row>
    <row r="3576" spans="1:11" ht="16" x14ac:dyDescent="0.2">
      <c r="A3576" s="1" t="s">
        <v>8</v>
      </c>
      <c r="B3576" t="str">
        <f>LEFT(Table13[[#This Row],[Input]],1)</f>
        <v>R</v>
      </c>
      <c r="C3576">
        <f>_xlfn.LET(_xlpm.steps,SUBSTITUTE(Table13[[#This Row],[Input]],Table13[[#This Row],[Direction]],""),VALUE(IF(LEN(_xlpm.steps)&gt;2,RIGHT(_xlpm.steps,2),_xlpm.steps)))</f>
        <v>18</v>
      </c>
      <c r="D3576">
        <f>_xlfn.LET(_xlpm.steps,SUBSTITUTE(Table13[[#This Row],[Input]],Table13[[#This Row],[Direction]],""),VALUE(IF(LEN(_xlpm.steps)&gt;2,LEFT(_xlpm.steps,LEN(_xlpm.steps)-2),0)))</f>
        <v>0</v>
      </c>
      <c r="E3576">
        <f>_xlfn.LET(_xlpm.dir,Table13[[#This Row],[Direction]],
IF(_xlpm.dir="L",
    IF(G3575-Table13[[#This Row],[Steps]]&lt;0,100+(G3575-Table13[[#This Row],[Steps]]),G3575-Table13[[#This Row],[Steps]]),
))</f>
        <v>0</v>
      </c>
      <c r="F3576">
        <f>_xlfn.LET(_xlpm.dir,Table13[[#This Row],[Direction]],
IF(_xlpm.dir="R",
    IF(G3575+Table13[[#This Row],[Steps]]&gt;99,(G3575+Table13[[#This Row],[Steps]])-100,G3575+Table13[[#This Row],[Steps]]),
))</f>
        <v>0</v>
      </c>
      <c r="G3576">
        <f>IF(Table13[[#This Row],[New Pos L]]&lt;&gt;0,Table13[[#This Row],[New Pos L]],Table13[[#This Row],[New Pos R]])</f>
        <v>0</v>
      </c>
      <c r="H3576">
        <f>IF(AND(Table13[[#This Row],[Direction]]="L",Table13[[#This Row],[Steps]]&gt;G3575,G3575&lt;&gt;0),1,0)</f>
        <v>0</v>
      </c>
      <c r="I3576">
        <f>IF(AND(Table13[[#This Row],[Direction]]="R",(G3575+Table13[[#This Row],[Steps]])&gt;100),1,0)</f>
        <v>0</v>
      </c>
      <c r="J3576">
        <f>IF(Table13[[#This Row],[POS]]=0,1,0)</f>
        <v>1</v>
      </c>
      <c r="K3576">
        <f>SUM(Table13[[#This Row],[prefix]],Table13[[#This Row],[Past zero L]],Table13[[#This Row],[Past Zero R]],Table13[[#This Row],[Is Zero]])</f>
        <v>1</v>
      </c>
    </row>
    <row r="3577" spans="1:11" ht="16" x14ac:dyDescent="0.2">
      <c r="A3577" s="1" t="s">
        <v>125</v>
      </c>
      <c r="B3577" t="str">
        <f>LEFT(Table13[[#This Row],[Input]],1)</f>
        <v>L</v>
      </c>
      <c r="C3577">
        <f>_xlfn.LET(_xlpm.steps,SUBSTITUTE(Table13[[#This Row],[Input]],Table13[[#This Row],[Direction]],""),VALUE(IF(LEN(_xlpm.steps)&gt;2,RIGHT(_xlpm.steps,2),_xlpm.steps)))</f>
        <v>76</v>
      </c>
      <c r="D3577">
        <f>_xlfn.LET(_xlpm.steps,SUBSTITUTE(Table13[[#This Row],[Input]],Table13[[#This Row],[Direction]],""),VALUE(IF(LEN(_xlpm.steps)&gt;2,LEFT(_xlpm.steps,LEN(_xlpm.steps)-2),0)))</f>
        <v>0</v>
      </c>
      <c r="E3577">
        <f>_xlfn.LET(_xlpm.dir,Table13[[#This Row],[Direction]],
IF(_xlpm.dir="L",
    IF(G3576-Table13[[#This Row],[Steps]]&lt;0,100+(G3576-Table13[[#This Row],[Steps]]),G3576-Table13[[#This Row],[Steps]]),
))</f>
        <v>24</v>
      </c>
      <c r="F3577">
        <f>_xlfn.LET(_xlpm.dir,Table13[[#This Row],[Direction]],
IF(_xlpm.dir="R",
    IF(G3576+Table13[[#This Row],[Steps]]&gt;99,(G3576+Table13[[#This Row],[Steps]])-100,G3576+Table13[[#This Row],[Steps]]),
))</f>
        <v>0</v>
      </c>
      <c r="G3577">
        <f>IF(Table13[[#This Row],[New Pos L]]&lt;&gt;0,Table13[[#This Row],[New Pos L]],Table13[[#This Row],[New Pos R]])</f>
        <v>24</v>
      </c>
      <c r="H3577">
        <f>IF(AND(Table13[[#This Row],[Direction]]="L",Table13[[#This Row],[Steps]]&gt;G3576,G3576&lt;&gt;0),1,0)</f>
        <v>0</v>
      </c>
      <c r="I3577">
        <f>IF(AND(Table13[[#This Row],[Direction]]="R",(G3576+Table13[[#This Row],[Steps]])&gt;100),1,0)</f>
        <v>0</v>
      </c>
      <c r="J3577">
        <f>IF(Table13[[#This Row],[POS]]=0,1,0)</f>
        <v>0</v>
      </c>
      <c r="K3577">
        <f>SUM(Table13[[#This Row],[prefix]],Table13[[#This Row],[Past zero L]],Table13[[#This Row],[Past Zero R]],Table13[[#This Row],[Is Zero]])</f>
        <v>0</v>
      </c>
    </row>
    <row r="3578" spans="1:11" ht="16" x14ac:dyDescent="0.2">
      <c r="A3578" s="1" t="s">
        <v>764</v>
      </c>
      <c r="B3578" t="str">
        <f>LEFT(Table13[[#This Row],[Input]],1)</f>
        <v>R</v>
      </c>
      <c r="C3578">
        <f>_xlfn.LET(_xlpm.steps,SUBSTITUTE(Table13[[#This Row],[Input]],Table13[[#This Row],[Direction]],""),VALUE(IF(LEN(_xlpm.steps)&gt;2,RIGHT(_xlpm.steps,2),_xlpm.steps)))</f>
        <v>76</v>
      </c>
      <c r="D3578">
        <f>_xlfn.LET(_xlpm.steps,SUBSTITUTE(Table13[[#This Row],[Input]],Table13[[#This Row],[Direction]],""),VALUE(IF(LEN(_xlpm.steps)&gt;2,LEFT(_xlpm.steps,LEN(_xlpm.steps)-2),0)))</f>
        <v>1</v>
      </c>
      <c r="E3578">
        <f>_xlfn.LET(_xlpm.dir,Table13[[#This Row],[Direction]],
IF(_xlpm.dir="L",
    IF(G3577-Table13[[#This Row],[Steps]]&lt;0,100+(G3577-Table13[[#This Row],[Steps]]),G3577-Table13[[#This Row],[Steps]]),
))</f>
        <v>0</v>
      </c>
      <c r="F3578">
        <f>_xlfn.LET(_xlpm.dir,Table13[[#This Row],[Direction]],
IF(_xlpm.dir="R",
    IF(G3577+Table13[[#This Row],[Steps]]&gt;99,(G3577+Table13[[#This Row],[Steps]])-100,G3577+Table13[[#This Row],[Steps]]),
))</f>
        <v>0</v>
      </c>
      <c r="G3578">
        <f>IF(Table13[[#This Row],[New Pos L]]&lt;&gt;0,Table13[[#This Row],[New Pos L]],Table13[[#This Row],[New Pos R]])</f>
        <v>0</v>
      </c>
      <c r="H3578">
        <f>IF(AND(Table13[[#This Row],[Direction]]="L",Table13[[#This Row],[Steps]]&gt;G3577,G3577&lt;&gt;0),1,0)</f>
        <v>0</v>
      </c>
      <c r="I3578">
        <f>IF(AND(Table13[[#This Row],[Direction]]="R",(G3577+Table13[[#This Row],[Steps]])&gt;100),1,0)</f>
        <v>0</v>
      </c>
      <c r="J3578">
        <f>IF(Table13[[#This Row],[POS]]=0,1,0)</f>
        <v>1</v>
      </c>
      <c r="K3578">
        <f>SUM(Table13[[#This Row],[prefix]],Table13[[#This Row],[Past zero L]],Table13[[#This Row],[Past Zero R]],Table13[[#This Row],[Is Zero]])</f>
        <v>2</v>
      </c>
    </row>
    <row r="3579" spans="1:11" ht="16" x14ac:dyDescent="0.2">
      <c r="A3579" s="1" t="s">
        <v>193</v>
      </c>
      <c r="B3579" t="str">
        <f>LEFT(Table13[[#This Row],[Input]],1)</f>
        <v>L</v>
      </c>
      <c r="C3579">
        <f>_xlfn.LET(_xlpm.steps,SUBSTITUTE(Table13[[#This Row],[Input]],Table13[[#This Row],[Direction]],""),VALUE(IF(LEN(_xlpm.steps)&gt;2,RIGHT(_xlpm.steps,2),_xlpm.steps)))</f>
        <v>12</v>
      </c>
      <c r="D3579">
        <f>_xlfn.LET(_xlpm.steps,SUBSTITUTE(Table13[[#This Row],[Input]],Table13[[#This Row],[Direction]],""),VALUE(IF(LEN(_xlpm.steps)&gt;2,LEFT(_xlpm.steps,LEN(_xlpm.steps)-2),0)))</f>
        <v>0</v>
      </c>
      <c r="E3579">
        <f>_xlfn.LET(_xlpm.dir,Table13[[#This Row],[Direction]],
IF(_xlpm.dir="L",
    IF(G3578-Table13[[#This Row],[Steps]]&lt;0,100+(G3578-Table13[[#This Row],[Steps]]),G3578-Table13[[#This Row],[Steps]]),
))</f>
        <v>88</v>
      </c>
      <c r="F3579">
        <f>_xlfn.LET(_xlpm.dir,Table13[[#This Row],[Direction]],
IF(_xlpm.dir="R",
    IF(G3578+Table13[[#This Row],[Steps]]&gt;99,(G3578+Table13[[#This Row],[Steps]])-100,G3578+Table13[[#This Row],[Steps]]),
))</f>
        <v>0</v>
      </c>
      <c r="G3579">
        <f>IF(Table13[[#This Row],[New Pos L]]&lt;&gt;0,Table13[[#This Row],[New Pos L]],Table13[[#This Row],[New Pos R]])</f>
        <v>88</v>
      </c>
      <c r="H3579">
        <f>IF(AND(Table13[[#This Row],[Direction]]="L",Table13[[#This Row],[Steps]]&gt;G3578,G3578&lt;&gt;0),1,0)</f>
        <v>0</v>
      </c>
      <c r="I3579">
        <f>IF(AND(Table13[[#This Row],[Direction]]="R",(G3578+Table13[[#This Row],[Steps]])&gt;100),1,0)</f>
        <v>0</v>
      </c>
      <c r="J3579">
        <f>IF(Table13[[#This Row],[POS]]=0,1,0)</f>
        <v>0</v>
      </c>
      <c r="K3579">
        <f>SUM(Table13[[#This Row],[prefix]],Table13[[#This Row],[Past zero L]],Table13[[#This Row],[Past Zero R]],Table13[[#This Row],[Is Zero]])</f>
        <v>0</v>
      </c>
    </row>
    <row r="3580" spans="1:11" ht="16" x14ac:dyDescent="0.2">
      <c r="A3580" s="1" t="s">
        <v>65</v>
      </c>
      <c r="B3580" t="str">
        <f>LEFT(Table13[[#This Row],[Input]],1)</f>
        <v>L</v>
      </c>
      <c r="C3580">
        <f>_xlfn.LET(_xlpm.steps,SUBSTITUTE(Table13[[#This Row],[Input]],Table13[[#This Row],[Direction]],""),VALUE(IF(LEN(_xlpm.steps)&gt;2,RIGHT(_xlpm.steps,2),_xlpm.steps)))</f>
        <v>19</v>
      </c>
      <c r="D3580">
        <f>_xlfn.LET(_xlpm.steps,SUBSTITUTE(Table13[[#This Row],[Input]],Table13[[#This Row],[Direction]],""),VALUE(IF(LEN(_xlpm.steps)&gt;2,LEFT(_xlpm.steps,LEN(_xlpm.steps)-2),0)))</f>
        <v>0</v>
      </c>
      <c r="E3580">
        <f>_xlfn.LET(_xlpm.dir,Table13[[#This Row],[Direction]],
IF(_xlpm.dir="L",
    IF(G3579-Table13[[#This Row],[Steps]]&lt;0,100+(G3579-Table13[[#This Row],[Steps]]),G3579-Table13[[#This Row],[Steps]]),
))</f>
        <v>69</v>
      </c>
      <c r="F3580">
        <f>_xlfn.LET(_xlpm.dir,Table13[[#This Row],[Direction]],
IF(_xlpm.dir="R",
    IF(G3579+Table13[[#This Row],[Steps]]&gt;99,(G3579+Table13[[#This Row],[Steps]])-100,G3579+Table13[[#This Row],[Steps]]),
))</f>
        <v>0</v>
      </c>
      <c r="G3580">
        <f>IF(Table13[[#This Row],[New Pos L]]&lt;&gt;0,Table13[[#This Row],[New Pos L]],Table13[[#This Row],[New Pos R]])</f>
        <v>69</v>
      </c>
      <c r="H3580">
        <f>IF(AND(Table13[[#This Row],[Direction]]="L",Table13[[#This Row],[Steps]]&gt;G3579,G3579&lt;&gt;0),1,0)</f>
        <v>0</v>
      </c>
      <c r="I3580">
        <f>IF(AND(Table13[[#This Row],[Direction]]="R",(G3579+Table13[[#This Row],[Steps]])&gt;100),1,0)</f>
        <v>0</v>
      </c>
      <c r="J3580">
        <f>IF(Table13[[#This Row],[POS]]=0,1,0)</f>
        <v>0</v>
      </c>
      <c r="K3580">
        <f>SUM(Table13[[#This Row],[prefix]],Table13[[#This Row],[Past zero L]],Table13[[#This Row],[Past Zero R]],Table13[[#This Row],[Is Zero]])</f>
        <v>0</v>
      </c>
    </row>
    <row r="3581" spans="1:11" ht="16" x14ac:dyDescent="0.2">
      <c r="A3581" s="1" t="s">
        <v>254</v>
      </c>
      <c r="B3581" t="str">
        <f>LEFT(Table13[[#This Row],[Input]],1)</f>
        <v>R</v>
      </c>
      <c r="C3581">
        <f>_xlfn.LET(_xlpm.steps,SUBSTITUTE(Table13[[#This Row],[Input]],Table13[[#This Row],[Direction]],""),VALUE(IF(LEN(_xlpm.steps)&gt;2,RIGHT(_xlpm.steps,2),_xlpm.steps)))</f>
        <v>84</v>
      </c>
      <c r="D3581">
        <f>_xlfn.LET(_xlpm.steps,SUBSTITUTE(Table13[[#This Row],[Input]],Table13[[#This Row],[Direction]],""),VALUE(IF(LEN(_xlpm.steps)&gt;2,LEFT(_xlpm.steps,LEN(_xlpm.steps)-2),0)))</f>
        <v>0</v>
      </c>
      <c r="E3581">
        <f>_xlfn.LET(_xlpm.dir,Table13[[#This Row],[Direction]],
IF(_xlpm.dir="L",
    IF(G3580-Table13[[#This Row],[Steps]]&lt;0,100+(G3580-Table13[[#This Row],[Steps]]),G3580-Table13[[#This Row],[Steps]]),
))</f>
        <v>0</v>
      </c>
      <c r="F3581">
        <f>_xlfn.LET(_xlpm.dir,Table13[[#This Row],[Direction]],
IF(_xlpm.dir="R",
    IF(G3580+Table13[[#This Row],[Steps]]&gt;99,(G3580+Table13[[#This Row],[Steps]])-100,G3580+Table13[[#This Row],[Steps]]),
))</f>
        <v>53</v>
      </c>
      <c r="G3581">
        <f>IF(Table13[[#This Row],[New Pos L]]&lt;&gt;0,Table13[[#This Row],[New Pos L]],Table13[[#This Row],[New Pos R]])</f>
        <v>53</v>
      </c>
      <c r="H3581">
        <f>IF(AND(Table13[[#This Row],[Direction]]="L",Table13[[#This Row],[Steps]]&gt;G3580,G3580&lt;&gt;0),1,0)</f>
        <v>0</v>
      </c>
      <c r="I3581">
        <f>IF(AND(Table13[[#This Row],[Direction]]="R",(G3580+Table13[[#This Row],[Steps]])&gt;100),1,0)</f>
        <v>1</v>
      </c>
      <c r="J3581">
        <f>IF(Table13[[#This Row],[POS]]=0,1,0)</f>
        <v>0</v>
      </c>
      <c r="K3581">
        <f>SUM(Table13[[#This Row],[prefix]],Table13[[#This Row],[Past zero L]],Table13[[#This Row],[Past Zero R]],Table13[[#This Row],[Is Zero]])</f>
        <v>1</v>
      </c>
    </row>
    <row r="3582" spans="1:11" ht="16" x14ac:dyDescent="0.2">
      <c r="A3582" s="1" t="s">
        <v>293</v>
      </c>
      <c r="B3582" t="str">
        <f>LEFT(Table13[[#This Row],[Input]],1)</f>
        <v>R</v>
      </c>
      <c r="C3582">
        <f>_xlfn.LET(_xlpm.steps,SUBSTITUTE(Table13[[#This Row],[Input]],Table13[[#This Row],[Direction]],""),VALUE(IF(LEN(_xlpm.steps)&gt;2,RIGHT(_xlpm.steps,2),_xlpm.steps)))</f>
        <v>67</v>
      </c>
      <c r="D3582">
        <f>_xlfn.LET(_xlpm.steps,SUBSTITUTE(Table13[[#This Row],[Input]],Table13[[#This Row],[Direction]],""),VALUE(IF(LEN(_xlpm.steps)&gt;2,LEFT(_xlpm.steps,LEN(_xlpm.steps)-2),0)))</f>
        <v>0</v>
      </c>
      <c r="E3582">
        <f>_xlfn.LET(_xlpm.dir,Table13[[#This Row],[Direction]],
IF(_xlpm.dir="L",
    IF(G3581-Table13[[#This Row],[Steps]]&lt;0,100+(G3581-Table13[[#This Row],[Steps]]),G3581-Table13[[#This Row],[Steps]]),
))</f>
        <v>0</v>
      </c>
      <c r="F3582">
        <f>_xlfn.LET(_xlpm.dir,Table13[[#This Row],[Direction]],
IF(_xlpm.dir="R",
    IF(G3581+Table13[[#This Row],[Steps]]&gt;99,(G3581+Table13[[#This Row],[Steps]])-100,G3581+Table13[[#This Row],[Steps]]),
))</f>
        <v>20</v>
      </c>
      <c r="G3582">
        <f>IF(Table13[[#This Row],[New Pos L]]&lt;&gt;0,Table13[[#This Row],[New Pos L]],Table13[[#This Row],[New Pos R]])</f>
        <v>20</v>
      </c>
      <c r="H3582">
        <f>IF(AND(Table13[[#This Row],[Direction]]="L",Table13[[#This Row],[Steps]]&gt;G3581,G3581&lt;&gt;0),1,0)</f>
        <v>0</v>
      </c>
      <c r="I3582">
        <f>IF(AND(Table13[[#This Row],[Direction]]="R",(G3581+Table13[[#This Row],[Steps]])&gt;100),1,0)</f>
        <v>1</v>
      </c>
      <c r="J3582">
        <f>IF(Table13[[#This Row],[POS]]=0,1,0)</f>
        <v>0</v>
      </c>
      <c r="K3582">
        <f>SUM(Table13[[#This Row],[prefix]],Table13[[#This Row],[Past zero L]],Table13[[#This Row],[Past Zero R]],Table13[[#This Row],[Is Zero]])</f>
        <v>1</v>
      </c>
    </row>
    <row r="3583" spans="1:11" ht="16" x14ac:dyDescent="0.2">
      <c r="A3583" s="1" t="s">
        <v>60</v>
      </c>
      <c r="B3583" t="str">
        <f>LEFT(Table13[[#This Row],[Input]],1)</f>
        <v>R</v>
      </c>
      <c r="C3583">
        <f>_xlfn.LET(_xlpm.steps,SUBSTITUTE(Table13[[#This Row],[Input]],Table13[[#This Row],[Direction]],""),VALUE(IF(LEN(_xlpm.steps)&gt;2,RIGHT(_xlpm.steps,2),_xlpm.steps)))</f>
        <v>86</v>
      </c>
      <c r="D3583">
        <f>_xlfn.LET(_xlpm.steps,SUBSTITUTE(Table13[[#This Row],[Input]],Table13[[#This Row],[Direction]],""),VALUE(IF(LEN(_xlpm.steps)&gt;2,LEFT(_xlpm.steps,LEN(_xlpm.steps)-2),0)))</f>
        <v>0</v>
      </c>
      <c r="E3583">
        <f>_xlfn.LET(_xlpm.dir,Table13[[#This Row],[Direction]],
IF(_xlpm.dir="L",
    IF(G3582-Table13[[#This Row],[Steps]]&lt;0,100+(G3582-Table13[[#This Row],[Steps]]),G3582-Table13[[#This Row],[Steps]]),
))</f>
        <v>0</v>
      </c>
      <c r="F3583">
        <f>_xlfn.LET(_xlpm.dir,Table13[[#This Row],[Direction]],
IF(_xlpm.dir="R",
    IF(G3582+Table13[[#This Row],[Steps]]&gt;99,(G3582+Table13[[#This Row],[Steps]])-100,G3582+Table13[[#This Row],[Steps]]),
))</f>
        <v>6</v>
      </c>
      <c r="G3583">
        <f>IF(Table13[[#This Row],[New Pos L]]&lt;&gt;0,Table13[[#This Row],[New Pos L]],Table13[[#This Row],[New Pos R]])</f>
        <v>6</v>
      </c>
      <c r="H3583">
        <f>IF(AND(Table13[[#This Row],[Direction]]="L",Table13[[#This Row],[Steps]]&gt;G3582,G3582&lt;&gt;0),1,0)</f>
        <v>0</v>
      </c>
      <c r="I3583">
        <f>IF(AND(Table13[[#This Row],[Direction]]="R",(G3582+Table13[[#This Row],[Steps]])&gt;100),1,0)</f>
        <v>1</v>
      </c>
      <c r="J3583">
        <f>IF(Table13[[#This Row],[POS]]=0,1,0)</f>
        <v>0</v>
      </c>
      <c r="K3583">
        <f>SUM(Table13[[#This Row],[prefix]],Table13[[#This Row],[Past zero L]],Table13[[#This Row],[Past Zero R]],Table13[[#This Row],[Is Zero]])</f>
        <v>1</v>
      </c>
    </row>
    <row r="3584" spans="1:11" ht="16" x14ac:dyDescent="0.2">
      <c r="A3584" s="1" t="s">
        <v>254</v>
      </c>
      <c r="B3584" t="str">
        <f>LEFT(Table13[[#This Row],[Input]],1)</f>
        <v>R</v>
      </c>
      <c r="C3584">
        <f>_xlfn.LET(_xlpm.steps,SUBSTITUTE(Table13[[#This Row],[Input]],Table13[[#This Row],[Direction]],""),VALUE(IF(LEN(_xlpm.steps)&gt;2,RIGHT(_xlpm.steps,2),_xlpm.steps)))</f>
        <v>84</v>
      </c>
      <c r="D3584">
        <f>_xlfn.LET(_xlpm.steps,SUBSTITUTE(Table13[[#This Row],[Input]],Table13[[#This Row],[Direction]],""),VALUE(IF(LEN(_xlpm.steps)&gt;2,LEFT(_xlpm.steps,LEN(_xlpm.steps)-2),0)))</f>
        <v>0</v>
      </c>
      <c r="E3584">
        <f>_xlfn.LET(_xlpm.dir,Table13[[#This Row],[Direction]],
IF(_xlpm.dir="L",
    IF(G3583-Table13[[#This Row],[Steps]]&lt;0,100+(G3583-Table13[[#This Row],[Steps]]),G3583-Table13[[#This Row],[Steps]]),
))</f>
        <v>0</v>
      </c>
      <c r="F3584">
        <f>_xlfn.LET(_xlpm.dir,Table13[[#This Row],[Direction]],
IF(_xlpm.dir="R",
    IF(G3583+Table13[[#This Row],[Steps]]&gt;99,(G3583+Table13[[#This Row],[Steps]])-100,G3583+Table13[[#This Row],[Steps]]),
))</f>
        <v>90</v>
      </c>
      <c r="G3584">
        <f>IF(Table13[[#This Row],[New Pos L]]&lt;&gt;0,Table13[[#This Row],[New Pos L]],Table13[[#This Row],[New Pos R]])</f>
        <v>90</v>
      </c>
      <c r="H3584">
        <f>IF(AND(Table13[[#This Row],[Direction]]="L",Table13[[#This Row],[Steps]]&gt;G3583,G3583&lt;&gt;0),1,0)</f>
        <v>0</v>
      </c>
      <c r="I3584">
        <f>IF(AND(Table13[[#This Row],[Direction]]="R",(G3583+Table13[[#This Row],[Steps]])&gt;100),1,0)</f>
        <v>0</v>
      </c>
      <c r="J3584">
        <f>IF(Table13[[#This Row],[POS]]=0,1,0)</f>
        <v>0</v>
      </c>
      <c r="K3584">
        <f>SUM(Table13[[#This Row],[prefix]],Table13[[#This Row],[Past zero L]],Table13[[#This Row],[Past Zero R]],Table13[[#This Row],[Is Zero]])</f>
        <v>0</v>
      </c>
    </row>
    <row r="3585" spans="1:11" ht="16" x14ac:dyDescent="0.2">
      <c r="A3585" s="1" t="s">
        <v>64</v>
      </c>
      <c r="B3585" t="str">
        <f>LEFT(Table13[[#This Row],[Input]],1)</f>
        <v>R</v>
      </c>
      <c r="C3585">
        <f>_xlfn.LET(_xlpm.steps,SUBSTITUTE(Table13[[#This Row],[Input]],Table13[[#This Row],[Direction]],""),VALUE(IF(LEN(_xlpm.steps)&gt;2,RIGHT(_xlpm.steps,2),_xlpm.steps)))</f>
        <v>10</v>
      </c>
      <c r="D3585">
        <f>_xlfn.LET(_xlpm.steps,SUBSTITUTE(Table13[[#This Row],[Input]],Table13[[#This Row],[Direction]],""),VALUE(IF(LEN(_xlpm.steps)&gt;2,LEFT(_xlpm.steps,LEN(_xlpm.steps)-2),0)))</f>
        <v>0</v>
      </c>
      <c r="E3585">
        <f>_xlfn.LET(_xlpm.dir,Table13[[#This Row],[Direction]],
IF(_xlpm.dir="L",
    IF(G3584-Table13[[#This Row],[Steps]]&lt;0,100+(G3584-Table13[[#This Row],[Steps]]),G3584-Table13[[#This Row],[Steps]]),
))</f>
        <v>0</v>
      </c>
      <c r="F3585">
        <f>_xlfn.LET(_xlpm.dir,Table13[[#This Row],[Direction]],
IF(_xlpm.dir="R",
    IF(G3584+Table13[[#This Row],[Steps]]&gt;99,(G3584+Table13[[#This Row],[Steps]])-100,G3584+Table13[[#This Row],[Steps]]),
))</f>
        <v>0</v>
      </c>
      <c r="G3585">
        <f>IF(Table13[[#This Row],[New Pos L]]&lt;&gt;0,Table13[[#This Row],[New Pos L]],Table13[[#This Row],[New Pos R]])</f>
        <v>0</v>
      </c>
      <c r="H3585">
        <f>IF(AND(Table13[[#This Row],[Direction]]="L",Table13[[#This Row],[Steps]]&gt;G3584,G3584&lt;&gt;0),1,0)</f>
        <v>0</v>
      </c>
      <c r="I3585">
        <f>IF(AND(Table13[[#This Row],[Direction]]="R",(G3584+Table13[[#This Row],[Steps]])&gt;100),1,0)</f>
        <v>0</v>
      </c>
      <c r="J3585">
        <f>IF(Table13[[#This Row],[POS]]=0,1,0)</f>
        <v>1</v>
      </c>
      <c r="K3585">
        <f>SUM(Table13[[#This Row],[prefix]],Table13[[#This Row],[Past zero L]],Table13[[#This Row],[Past Zero R]],Table13[[#This Row],[Is Zero]])</f>
        <v>1</v>
      </c>
    </row>
    <row r="3586" spans="1:11" ht="16" x14ac:dyDescent="0.2">
      <c r="A3586" s="1" t="s">
        <v>25</v>
      </c>
      <c r="B3586" t="str">
        <f>LEFT(Table13[[#This Row],[Input]],1)</f>
        <v>L</v>
      </c>
      <c r="C3586">
        <f>_xlfn.LET(_xlpm.steps,SUBSTITUTE(Table13[[#This Row],[Input]],Table13[[#This Row],[Direction]],""),VALUE(IF(LEN(_xlpm.steps)&gt;2,RIGHT(_xlpm.steps,2),_xlpm.steps)))</f>
        <v>20</v>
      </c>
      <c r="D3586">
        <f>_xlfn.LET(_xlpm.steps,SUBSTITUTE(Table13[[#This Row],[Input]],Table13[[#This Row],[Direction]],""),VALUE(IF(LEN(_xlpm.steps)&gt;2,LEFT(_xlpm.steps,LEN(_xlpm.steps)-2),0)))</f>
        <v>0</v>
      </c>
      <c r="E3586">
        <f>_xlfn.LET(_xlpm.dir,Table13[[#This Row],[Direction]],
IF(_xlpm.dir="L",
    IF(G3585-Table13[[#This Row],[Steps]]&lt;0,100+(G3585-Table13[[#This Row],[Steps]]),G3585-Table13[[#This Row],[Steps]]),
))</f>
        <v>80</v>
      </c>
      <c r="F3586">
        <f>_xlfn.LET(_xlpm.dir,Table13[[#This Row],[Direction]],
IF(_xlpm.dir="R",
    IF(G3585+Table13[[#This Row],[Steps]]&gt;99,(G3585+Table13[[#This Row],[Steps]])-100,G3585+Table13[[#This Row],[Steps]]),
))</f>
        <v>0</v>
      </c>
      <c r="G3586">
        <f>IF(Table13[[#This Row],[New Pos L]]&lt;&gt;0,Table13[[#This Row],[New Pos L]],Table13[[#This Row],[New Pos R]])</f>
        <v>80</v>
      </c>
      <c r="H3586">
        <f>IF(AND(Table13[[#This Row],[Direction]]="L",Table13[[#This Row],[Steps]]&gt;G3585,G3585&lt;&gt;0),1,0)</f>
        <v>0</v>
      </c>
      <c r="I3586">
        <f>IF(AND(Table13[[#This Row],[Direction]]="R",(G3585+Table13[[#This Row],[Steps]])&gt;100),1,0)</f>
        <v>0</v>
      </c>
      <c r="J3586">
        <f>IF(Table13[[#This Row],[POS]]=0,1,0)</f>
        <v>0</v>
      </c>
      <c r="K3586">
        <f>SUM(Table13[[#This Row],[prefix]],Table13[[#This Row],[Past zero L]],Table13[[#This Row],[Past Zero R]],Table13[[#This Row],[Is Zero]])</f>
        <v>0</v>
      </c>
    </row>
    <row r="3587" spans="1:11" ht="16" x14ac:dyDescent="0.2">
      <c r="A3587" s="1" t="s">
        <v>53</v>
      </c>
      <c r="B3587" t="str">
        <f>LEFT(Table13[[#This Row],[Input]],1)</f>
        <v>L</v>
      </c>
      <c r="C3587">
        <f>_xlfn.LET(_xlpm.steps,SUBSTITUTE(Table13[[#This Row],[Input]],Table13[[#This Row],[Direction]],""),VALUE(IF(LEN(_xlpm.steps)&gt;2,RIGHT(_xlpm.steps,2),_xlpm.steps)))</f>
        <v>56</v>
      </c>
      <c r="D3587">
        <f>_xlfn.LET(_xlpm.steps,SUBSTITUTE(Table13[[#This Row],[Input]],Table13[[#This Row],[Direction]],""),VALUE(IF(LEN(_xlpm.steps)&gt;2,LEFT(_xlpm.steps,LEN(_xlpm.steps)-2),0)))</f>
        <v>0</v>
      </c>
      <c r="E3587">
        <f>_xlfn.LET(_xlpm.dir,Table13[[#This Row],[Direction]],
IF(_xlpm.dir="L",
    IF(G3586-Table13[[#This Row],[Steps]]&lt;0,100+(G3586-Table13[[#This Row],[Steps]]),G3586-Table13[[#This Row],[Steps]]),
))</f>
        <v>24</v>
      </c>
      <c r="F3587">
        <f>_xlfn.LET(_xlpm.dir,Table13[[#This Row],[Direction]],
IF(_xlpm.dir="R",
    IF(G3586+Table13[[#This Row],[Steps]]&gt;99,(G3586+Table13[[#This Row],[Steps]])-100,G3586+Table13[[#This Row],[Steps]]),
))</f>
        <v>0</v>
      </c>
      <c r="G3587">
        <f>IF(Table13[[#This Row],[New Pos L]]&lt;&gt;0,Table13[[#This Row],[New Pos L]],Table13[[#This Row],[New Pos R]])</f>
        <v>24</v>
      </c>
      <c r="H3587">
        <f>IF(AND(Table13[[#This Row],[Direction]]="L",Table13[[#This Row],[Steps]]&gt;G3586,G3586&lt;&gt;0),1,0)</f>
        <v>0</v>
      </c>
      <c r="I3587">
        <f>IF(AND(Table13[[#This Row],[Direction]]="R",(G3586+Table13[[#This Row],[Steps]])&gt;100),1,0)</f>
        <v>0</v>
      </c>
      <c r="J3587">
        <f>IF(Table13[[#This Row],[POS]]=0,1,0)</f>
        <v>0</v>
      </c>
      <c r="K3587">
        <f>SUM(Table13[[#This Row],[prefix]],Table13[[#This Row],[Past zero L]],Table13[[#This Row],[Past Zero R]],Table13[[#This Row],[Is Zero]])</f>
        <v>0</v>
      </c>
    </row>
    <row r="3588" spans="1:11" ht="16" x14ac:dyDescent="0.2">
      <c r="A3588" s="1" t="s">
        <v>59</v>
      </c>
      <c r="B3588" t="str">
        <f>LEFT(Table13[[#This Row],[Input]],1)</f>
        <v>L</v>
      </c>
      <c r="C3588">
        <f>_xlfn.LET(_xlpm.steps,SUBSTITUTE(Table13[[#This Row],[Input]],Table13[[#This Row],[Direction]],""),VALUE(IF(LEN(_xlpm.steps)&gt;2,RIGHT(_xlpm.steps,2),_xlpm.steps)))</f>
        <v>6</v>
      </c>
      <c r="D3588">
        <f>_xlfn.LET(_xlpm.steps,SUBSTITUTE(Table13[[#This Row],[Input]],Table13[[#This Row],[Direction]],""),VALUE(IF(LEN(_xlpm.steps)&gt;2,LEFT(_xlpm.steps,LEN(_xlpm.steps)-2),0)))</f>
        <v>0</v>
      </c>
      <c r="E3588">
        <f>_xlfn.LET(_xlpm.dir,Table13[[#This Row],[Direction]],
IF(_xlpm.dir="L",
    IF(G3587-Table13[[#This Row],[Steps]]&lt;0,100+(G3587-Table13[[#This Row],[Steps]]),G3587-Table13[[#This Row],[Steps]]),
))</f>
        <v>18</v>
      </c>
      <c r="F3588">
        <f>_xlfn.LET(_xlpm.dir,Table13[[#This Row],[Direction]],
IF(_xlpm.dir="R",
    IF(G3587+Table13[[#This Row],[Steps]]&gt;99,(G3587+Table13[[#This Row],[Steps]])-100,G3587+Table13[[#This Row],[Steps]]),
))</f>
        <v>0</v>
      </c>
      <c r="G3588">
        <f>IF(Table13[[#This Row],[New Pos L]]&lt;&gt;0,Table13[[#This Row],[New Pos L]],Table13[[#This Row],[New Pos R]])</f>
        <v>18</v>
      </c>
      <c r="H3588">
        <f>IF(AND(Table13[[#This Row],[Direction]]="L",Table13[[#This Row],[Steps]]&gt;G3587,G3587&lt;&gt;0),1,0)</f>
        <v>0</v>
      </c>
      <c r="I3588">
        <f>IF(AND(Table13[[#This Row],[Direction]]="R",(G3587+Table13[[#This Row],[Steps]])&gt;100),1,0)</f>
        <v>0</v>
      </c>
      <c r="J3588">
        <f>IF(Table13[[#This Row],[POS]]=0,1,0)</f>
        <v>0</v>
      </c>
      <c r="K3588">
        <f>SUM(Table13[[#This Row],[prefix]],Table13[[#This Row],[Past zero L]],Table13[[#This Row],[Past Zero R]],Table13[[#This Row],[Is Zero]])</f>
        <v>0</v>
      </c>
    </row>
    <row r="3589" spans="1:11" ht="16" x14ac:dyDescent="0.2">
      <c r="A3589" s="1" t="s">
        <v>765</v>
      </c>
      <c r="B3589" t="str">
        <f>LEFT(Table13[[#This Row],[Input]],1)</f>
        <v>R</v>
      </c>
      <c r="C3589">
        <f>_xlfn.LET(_xlpm.steps,SUBSTITUTE(Table13[[#This Row],[Input]],Table13[[#This Row],[Direction]],""),VALUE(IF(LEN(_xlpm.steps)&gt;2,RIGHT(_xlpm.steps,2),_xlpm.steps)))</f>
        <v>82</v>
      </c>
      <c r="D3589">
        <f>_xlfn.LET(_xlpm.steps,SUBSTITUTE(Table13[[#This Row],[Input]],Table13[[#This Row],[Direction]],""),VALUE(IF(LEN(_xlpm.steps)&gt;2,LEFT(_xlpm.steps,LEN(_xlpm.steps)-2),0)))</f>
        <v>7</v>
      </c>
      <c r="E3589">
        <f>_xlfn.LET(_xlpm.dir,Table13[[#This Row],[Direction]],
IF(_xlpm.dir="L",
    IF(G3588-Table13[[#This Row],[Steps]]&lt;0,100+(G3588-Table13[[#This Row],[Steps]]),G3588-Table13[[#This Row],[Steps]]),
))</f>
        <v>0</v>
      </c>
      <c r="F3589">
        <f>_xlfn.LET(_xlpm.dir,Table13[[#This Row],[Direction]],
IF(_xlpm.dir="R",
    IF(G3588+Table13[[#This Row],[Steps]]&gt;99,(G3588+Table13[[#This Row],[Steps]])-100,G3588+Table13[[#This Row],[Steps]]),
))</f>
        <v>0</v>
      </c>
      <c r="G3589">
        <f>IF(Table13[[#This Row],[New Pos L]]&lt;&gt;0,Table13[[#This Row],[New Pos L]],Table13[[#This Row],[New Pos R]])</f>
        <v>0</v>
      </c>
      <c r="H3589">
        <f>IF(AND(Table13[[#This Row],[Direction]]="L",Table13[[#This Row],[Steps]]&gt;G3588,G3588&lt;&gt;0),1,0)</f>
        <v>0</v>
      </c>
      <c r="I3589">
        <f>IF(AND(Table13[[#This Row],[Direction]]="R",(G3588+Table13[[#This Row],[Steps]])&gt;100),1,0)</f>
        <v>0</v>
      </c>
      <c r="J3589">
        <f>IF(Table13[[#This Row],[POS]]=0,1,0)</f>
        <v>1</v>
      </c>
      <c r="K3589">
        <f>SUM(Table13[[#This Row],[prefix]],Table13[[#This Row],[Past zero L]],Table13[[#This Row],[Past Zero R]],Table13[[#This Row],[Is Zero]])</f>
        <v>8</v>
      </c>
    </row>
    <row r="3590" spans="1:11" ht="16" x14ac:dyDescent="0.2">
      <c r="A3590" s="1" t="s">
        <v>766</v>
      </c>
      <c r="B3590" t="str">
        <f>LEFT(Table13[[#This Row],[Input]],1)</f>
        <v>L</v>
      </c>
      <c r="C3590">
        <f>_xlfn.LET(_xlpm.steps,SUBSTITUTE(Table13[[#This Row],[Input]],Table13[[#This Row],[Direction]],""),VALUE(IF(LEN(_xlpm.steps)&gt;2,RIGHT(_xlpm.steps,2),_xlpm.steps)))</f>
        <v>80</v>
      </c>
      <c r="D3590">
        <f>_xlfn.LET(_xlpm.steps,SUBSTITUTE(Table13[[#This Row],[Input]],Table13[[#This Row],[Direction]],""),VALUE(IF(LEN(_xlpm.steps)&gt;2,LEFT(_xlpm.steps,LEN(_xlpm.steps)-2),0)))</f>
        <v>7</v>
      </c>
      <c r="E3590">
        <f>_xlfn.LET(_xlpm.dir,Table13[[#This Row],[Direction]],
IF(_xlpm.dir="L",
    IF(G3589-Table13[[#This Row],[Steps]]&lt;0,100+(G3589-Table13[[#This Row],[Steps]]),G3589-Table13[[#This Row],[Steps]]),
))</f>
        <v>20</v>
      </c>
      <c r="F3590">
        <f>_xlfn.LET(_xlpm.dir,Table13[[#This Row],[Direction]],
IF(_xlpm.dir="R",
    IF(G3589+Table13[[#This Row],[Steps]]&gt;99,(G3589+Table13[[#This Row],[Steps]])-100,G3589+Table13[[#This Row],[Steps]]),
))</f>
        <v>0</v>
      </c>
      <c r="G3590">
        <f>IF(Table13[[#This Row],[New Pos L]]&lt;&gt;0,Table13[[#This Row],[New Pos L]],Table13[[#This Row],[New Pos R]])</f>
        <v>20</v>
      </c>
      <c r="H3590">
        <f>IF(AND(Table13[[#This Row],[Direction]]="L",Table13[[#This Row],[Steps]]&gt;G3589,G3589&lt;&gt;0),1,0)</f>
        <v>0</v>
      </c>
      <c r="I3590">
        <f>IF(AND(Table13[[#This Row],[Direction]]="R",(G3589+Table13[[#This Row],[Steps]])&gt;100),1,0)</f>
        <v>0</v>
      </c>
      <c r="J3590">
        <f>IF(Table13[[#This Row],[POS]]=0,1,0)</f>
        <v>0</v>
      </c>
      <c r="K3590">
        <f>SUM(Table13[[#This Row],[prefix]],Table13[[#This Row],[Past zero L]],Table13[[#This Row],[Past Zero R]],Table13[[#This Row],[Is Zero]])</f>
        <v>7</v>
      </c>
    </row>
    <row r="3591" spans="1:11" ht="16" x14ac:dyDescent="0.2">
      <c r="A3591" s="1" t="s">
        <v>88</v>
      </c>
      <c r="B3591" t="str">
        <f>LEFT(Table13[[#This Row],[Input]],1)</f>
        <v>R</v>
      </c>
      <c r="C3591">
        <f>_xlfn.LET(_xlpm.steps,SUBSTITUTE(Table13[[#This Row],[Input]],Table13[[#This Row],[Direction]],""),VALUE(IF(LEN(_xlpm.steps)&gt;2,RIGHT(_xlpm.steps,2),_xlpm.steps)))</f>
        <v>53</v>
      </c>
      <c r="D3591">
        <f>_xlfn.LET(_xlpm.steps,SUBSTITUTE(Table13[[#This Row],[Input]],Table13[[#This Row],[Direction]],""),VALUE(IF(LEN(_xlpm.steps)&gt;2,LEFT(_xlpm.steps,LEN(_xlpm.steps)-2),0)))</f>
        <v>0</v>
      </c>
      <c r="E3591">
        <f>_xlfn.LET(_xlpm.dir,Table13[[#This Row],[Direction]],
IF(_xlpm.dir="L",
    IF(G3590-Table13[[#This Row],[Steps]]&lt;0,100+(G3590-Table13[[#This Row],[Steps]]),G3590-Table13[[#This Row],[Steps]]),
))</f>
        <v>0</v>
      </c>
      <c r="F3591">
        <f>_xlfn.LET(_xlpm.dir,Table13[[#This Row],[Direction]],
IF(_xlpm.dir="R",
    IF(G3590+Table13[[#This Row],[Steps]]&gt;99,(G3590+Table13[[#This Row],[Steps]])-100,G3590+Table13[[#This Row],[Steps]]),
))</f>
        <v>73</v>
      </c>
      <c r="G3591">
        <f>IF(Table13[[#This Row],[New Pos L]]&lt;&gt;0,Table13[[#This Row],[New Pos L]],Table13[[#This Row],[New Pos R]])</f>
        <v>73</v>
      </c>
      <c r="H3591">
        <f>IF(AND(Table13[[#This Row],[Direction]]="L",Table13[[#This Row],[Steps]]&gt;G3590,G3590&lt;&gt;0),1,0)</f>
        <v>0</v>
      </c>
      <c r="I3591">
        <f>IF(AND(Table13[[#This Row],[Direction]]="R",(G3590+Table13[[#This Row],[Steps]])&gt;100),1,0)</f>
        <v>0</v>
      </c>
      <c r="J3591">
        <f>IF(Table13[[#This Row],[POS]]=0,1,0)</f>
        <v>0</v>
      </c>
      <c r="K3591">
        <f>SUM(Table13[[#This Row],[prefix]],Table13[[#This Row],[Past zero L]],Table13[[#This Row],[Past Zero R]],Table13[[#This Row],[Is Zero]])</f>
        <v>0</v>
      </c>
    </row>
    <row r="3592" spans="1:11" ht="16" x14ac:dyDescent="0.2">
      <c r="A3592" s="1" t="s">
        <v>171</v>
      </c>
      <c r="B3592" t="str">
        <f>LEFT(Table13[[#This Row],[Input]],1)</f>
        <v>L</v>
      </c>
      <c r="C3592">
        <f>_xlfn.LET(_xlpm.steps,SUBSTITUTE(Table13[[#This Row],[Input]],Table13[[#This Row],[Direction]],""),VALUE(IF(LEN(_xlpm.steps)&gt;2,RIGHT(_xlpm.steps,2),_xlpm.steps)))</f>
        <v>73</v>
      </c>
      <c r="D3592">
        <f>_xlfn.LET(_xlpm.steps,SUBSTITUTE(Table13[[#This Row],[Input]],Table13[[#This Row],[Direction]],""),VALUE(IF(LEN(_xlpm.steps)&gt;2,LEFT(_xlpm.steps,LEN(_xlpm.steps)-2),0)))</f>
        <v>0</v>
      </c>
      <c r="E3592">
        <f>_xlfn.LET(_xlpm.dir,Table13[[#This Row],[Direction]],
IF(_xlpm.dir="L",
    IF(G3591-Table13[[#This Row],[Steps]]&lt;0,100+(G3591-Table13[[#This Row],[Steps]]),G3591-Table13[[#This Row],[Steps]]),
))</f>
        <v>0</v>
      </c>
      <c r="F3592">
        <f>_xlfn.LET(_xlpm.dir,Table13[[#This Row],[Direction]],
IF(_xlpm.dir="R",
    IF(G3591+Table13[[#This Row],[Steps]]&gt;99,(G3591+Table13[[#This Row],[Steps]])-100,G3591+Table13[[#This Row],[Steps]]),
))</f>
        <v>0</v>
      </c>
      <c r="G3592">
        <f>IF(Table13[[#This Row],[New Pos L]]&lt;&gt;0,Table13[[#This Row],[New Pos L]],Table13[[#This Row],[New Pos R]])</f>
        <v>0</v>
      </c>
      <c r="H3592">
        <f>IF(AND(Table13[[#This Row],[Direction]]="L",Table13[[#This Row],[Steps]]&gt;G3591,G3591&lt;&gt;0),1,0)</f>
        <v>0</v>
      </c>
      <c r="I3592">
        <f>IF(AND(Table13[[#This Row],[Direction]]="R",(G3591+Table13[[#This Row],[Steps]])&gt;100),1,0)</f>
        <v>0</v>
      </c>
      <c r="J3592">
        <f>IF(Table13[[#This Row],[POS]]=0,1,0)</f>
        <v>1</v>
      </c>
      <c r="K3592">
        <f>SUM(Table13[[#This Row],[prefix]],Table13[[#This Row],[Past zero L]],Table13[[#This Row],[Past Zero R]],Table13[[#This Row],[Is Zero]])</f>
        <v>1</v>
      </c>
    </row>
    <row r="3593" spans="1:11" ht="16" x14ac:dyDescent="0.2">
      <c r="A3593" s="1" t="s">
        <v>767</v>
      </c>
      <c r="B3593" t="str">
        <f>LEFT(Table13[[#This Row],[Input]],1)</f>
        <v>L</v>
      </c>
      <c r="C3593">
        <f>_xlfn.LET(_xlpm.steps,SUBSTITUTE(Table13[[#This Row],[Input]],Table13[[#This Row],[Direction]],""),VALUE(IF(LEN(_xlpm.steps)&gt;2,RIGHT(_xlpm.steps,2),_xlpm.steps)))</f>
        <v>84</v>
      </c>
      <c r="D3593">
        <f>_xlfn.LET(_xlpm.steps,SUBSTITUTE(Table13[[#This Row],[Input]],Table13[[#This Row],[Direction]],""),VALUE(IF(LEN(_xlpm.steps)&gt;2,LEFT(_xlpm.steps,LEN(_xlpm.steps)-2),0)))</f>
        <v>5</v>
      </c>
      <c r="E3593">
        <f>_xlfn.LET(_xlpm.dir,Table13[[#This Row],[Direction]],
IF(_xlpm.dir="L",
    IF(G3592-Table13[[#This Row],[Steps]]&lt;0,100+(G3592-Table13[[#This Row],[Steps]]),G3592-Table13[[#This Row],[Steps]]),
))</f>
        <v>16</v>
      </c>
      <c r="F3593">
        <f>_xlfn.LET(_xlpm.dir,Table13[[#This Row],[Direction]],
IF(_xlpm.dir="R",
    IF(G3592+Table13[[#This Row],[Steps]]&gt;99,(G3592+Table13[[#This Row],[Steps]])-100,G3592+Table13[[#This Row],[Steps]]),
))</f>
        <v>0</v>
      </c>
      <c r="G3593">
        <f>IF(Table13[[#This Row],[New Pos L]]&lt;&gt;0,Table13[[#This Row],[New Pos L]],Table13[[#This Row],[New Pos R]])</f>
        <v>16</v>
      </c>
      <c r="H3593">
        <f>IF(AND(Table13[[#This Row],[Direction]]="L",Table13[[#This Row],[Steps]]&gt;G3592,G3592&lt;&gt;0),1,0)</f>
        <v>0</v>
      </c>
      <c r="I3593">
        <f>IF(AND(Table13[[#This Row],[Direction]]="R",(G3592+Table13[[#This Row],[Steps]])&gt;100),1,0)</f>
        <v>0</v>
      </c>
      <c r="J3593">
        <f>IF(Table13[[#This Row],[POS]]=0,1,0)</f>
        <v>0</v>
      </c>
      <c r="K3593">
        <f>SUM(Table13[[#This Row],[prefix]],Table13[[#This Row],[Past zero L]],Table13[[#This Row],[Past Zero R]],Table13[[#This Row],[Is Zero]])</f>
        <v>5</v>
      </c>
    </row>
    <row r="3594" spans="1:11" ht="16" x14ac:dyDescent="0.2">
      <c r="A3594" s="1" t="s">
        <v>61</v>
      </c>
      <c r="B3594" t="str">
        <f>LEFT(Table13[[#This Row],[Input]],1)</f>
        <v>L</v>
      </c>
      <c r="C3594">
        <f>_xlfn.LET(_xlpm.steps,SUBSTITUTE(Table13[[#This Row],[Input]],Table13[[#This Row],[Direction]],""),VALUE(IF(LEN(_xlpm.steps)&gt;2,RIGHT(_xlpm.steps,2),_xlpm.steps)))</f>
        <v>16</v>
      </c>
      <c r="D3594">
        <f>_xlfn.LET(_xlpm.steps,SUBSTITUTE(Table13[[#This Row],[Input]],Table13[[#This Row],[Direction]],""),VALUE(IF(LEN(_xlpm.steps)&gt;2,LEFT(_xlpm.steps,LEN(_xlpm.steps)-2),0)))</f>
        <v>0</v>
      </c>
      <c r="E3594">
        <f>_xlfn.LET(_xlpm.dir,Table13[[#This Row],[Direction]],
IF(_xlpm.dir="L",
    IF(G3593-Table13[[#This Row],[Steps]]&lt;0,100+(G3593-Table13[[#This Row],[Steps]]),G3593-Table13[[#This Row],[Steps]]),
))</f>
        <v>0</v>
      </c>
      <c r="F3594">
        <f>_xlfn.LET(_xlpm.dir,Table13[[#This Row],[Direction]],
IF(_xlpm.dir="R",
    IF(G3593+Table13[[#This Row],[Steps]]&gt;99,(G3593+Table13[[#This Row],[Steps]])-100,G3593+Table13[[#This Row],[Steps]]),
))</f>
        <v>0</v>
      </c>
      <c r="G3594">
        <f>IF(Table13[[#This Row],[New Pos L]]&lt;&gt;0,Table13[[#This Row],[New Pos L]],Table13[[#This Row],[New Pos R]])</f>
        <v>0</v>
      </c>
      <c r="H3594">
        <f>IF(AND(Table13[[#This Row],[Direction]]="L",Table13[[#This Row],[Steps]]&gt;G3593,G3593&lt;&gt;0),1,0)</f>
        <v>0</v>
      </c>
      <c r="I3594">
        <f>IF(AND(Table13[[#This Row],[Direction]]="R",(G3593+Table13[[#This Row],[Steps]])&gt;100),1,0)</f>
        <v>0</v>
      </c>
      <c r="J3594">
        <f>IF(Table13[[#This Row],[POS]]=0,1,0)</f>
        <v>1</v>
      </c>
      <c r="K3594">
        <f>SUM(Table13[[#This Row],[prefix]],Table13[[#This Row],[Past zero L]],Table13[[#This Row],[Past Zero R]],Table13[[#This Row],[Is Zero]])</f>
        <v>1</v>
      </c>
    </row>
    <row r="3595" spans="1:11" ht="16" x14ac:dyDescent="0.2">
      <c r="A3595" s="1" t="s">
        <v>77</v>
      </c>
      <c r="B3595" t="str">
        <f>LEFT(Table13[[#This Row],[Input]],1)</f>
        <v>R</v>
      </c>
      <c r="C3595">
        <f>_xlfn.LET(_xlpm.steps,SUBSTITUTE(Table13[[#This Row],[Input]],Table13[[#This Row],[Direction]],""),VALUE(IF(LEN(_xlpm.steps)&gt;2,RIGHT(_xlpm.steps,2),_xlpm.steps)))</f>
        <v>74</v>
      </c>
      <c r="D3595">
        <f>_xlfn.LET(_xlpm.steps,SUBSTITUTE(Table13[[#This Row],[Input]],Table13[[#This Row],[Direction]],""),VALUE(IF(LEN(_xlpm.steps)&gt;2,LEFT(_xlpm.steps,LEN(_xlpm.steps)-2),0)))</f>
        <v>0</v>
      </c>
      <c r="E3595">
        <f>_xlfn.LET(_xlpm.dir,Table13[[#This Row],[Direction]],
IF(_xlpm.dir="L",
    IF(G3594-Table13[[#This Row],[Steps]]&lt;0,100+(G3594-Table13[[#This Row],[Steps]]),G3594-Table13[[#This Row],[Steps]]),
))</f>
        <v>0</v>
      </c>
      <c r="F3595">
        <f>_xlfn.LET(_xlpm.dir,Table13[[#This Row],[Direction]],
IF(_xlpm.dir="R",
    IF(G3594+Table13[[#This Row],[Steps]]&gt;99,(G3594+Table13[[#This Row],[Steps]])-100,G3594+Table13[[#This Row],[Steps]]),
))</f>
        <v>74</v>
      </c>
      <c r="G3595">
        <f>IF(Table13[[#This Row],[New Pos L]]&lt;&gt;0,Table13[[#This Row],[New Pos L]],Table13[[#This Row],[New Pos R]])</f>
        <v>74</v>
      </c>
      <c r="H3595">
        <f>IF(AND(Table13[[#This Row],[Direction]]="L",Table13[[#This Row],[Steps]]&gt;G3594,G3594&lt;&gt;0),1,0)</f>
        <v>0</v>
      </c>
      <c r="I3595">
        <f>IF(AND(Table13[[#This Row],[Direction]]="R",(G3594+Table13[[#This Row],[Steps]])&gt;100),1,0)</f>
        <v>0</v>
      </c>
      <c r="J3595">
        <f>IF(Table13[[#This Row],[POS]]=0,1,0)</f>
        <v>0</v>
      </c>
      <c r="K3595">
        <f>SUM(Table13[[#This Row],[prefix]],Table13[[#This Row],[Past zero L]],Table13[[#This Row],[Past Zero R]],Table13[[#This Row],[Is Zero]])</f>
        <v>0</v>
      </c>
    </row>
    <row r="3596" spans="1:11" ht="16" x14ac:dyDescent="0.2">
      <c r="A3596" s="1" t="s">
        <v>1</v>
      </c>
      <c r="B3596" t="str">
        <f>LEFT(Table13[[#This Row],[Input]],1)</f>
        <v>R</v>
      </c>
      <c r="C3596">
        <f>_xlfn.LET(_xlpm.steps,SUBSTITUTE(Table13[[#This Row],[Input]],Table13[[#This Row],[Direction]],""),VALUE(IF(LEN(_xlpm.steps)&gt;2,RIGHT(_xlpm.steps,2),_xlpm.steps)))</f>
        <v>26</v>
      </c>
      <c r="D3596">
        <f>_xlfn.LET(_xlpm.steps,SUBSTITUTE(Table13[[#This Row],[Input]],Table13[[#This Row],[Direction]],""),VALUE(IF(LEN(_xlpm.steps)&gt;2,LEFT(_xlpm.steps,LEN(_xlpm.steps)-2),0)))</f>
        <v>0</v>
      </c>
      <c r="E3596">
        <f>_xlfn.LET(_xlpm.dir,Table13[[#This Row],[Direction]],
IF(_xlpm.dir="L",
    IF(G3595-Table13[[#This Row],[Steps]]&lt;0,100+(G3595-Table13[[#This Row],[Steps]]),G3595-Table13[[#This Row],[Steps]]),
))</f>
        <v>0</v>
      </c>
      <c r="F3596">
        <f>_xlfn.LET(_xlpm.dir,Table13[[#This Row],[Direction]],
IF(_xlpm.dir="R",
    IF(G3595+Table13[[#This Row],[Steps]]&gt;99,(G3595+Table13[[#This Row],[Steps]])-100,G3595+Table13[[#This Row],[Steps]]),
))</f>
        <v>0</v>
      </c>
      <c r="G3596">
        <f>IF(Table13[[#This Row],[New Pos L]]&lt;&gt;0,Table13[[#This Row],[New Pos L]],Table13[[#This Row],[New Pos R]])</f>
        <v>0</v>
      </c>
      <c r="H3596">
        <f>IF(AND(Table13[[#This Row],[Direction]]="L",Table13[[#This Row],[Steps]]&gt;G3595,G3595&lt;&gt;0),1,0)</f>
        <v>0</v>
      </c>
      <c r="I3596">
        <f>IF(AND(Table13[[#This Row],[Direction]]="R",(G3595+Table13[[#This Row],[Steps]])&gt;100),1,0)</f>
        <v>0</v>
      </c>
      <c r="J3596">
        <f>IF(Table13[[#This Row],[POS]]=0,1,0)</f>
        <v>1</v>
      </c>
      <c r="K3596">
        <f>SUM(Table13[[#This Row],[prefix]],Table13[[#This Row],[Past zero L]],Table13[[#This Row],[Past Zero R]],Table13[[#This Row],[Is Zero]])</f>
        <v>1</v>
      </c>
    </row>
    <row r="3597" spans="1:11" ht="16" x14ac:dyDescent="0.2">
      <c r="A3597" s="1" t="s">
        <v>73</v>
      </c>
      <c r="B3597" t="str">
        <f>LEFT(Table13[[#This Row],[Input]],1)</f>
        <v>R</v>
      </c>
      <c r="C3597">
        <f>_xlfn.LET(_xlpm.steps,SUBSTITUTE(Table13[[#This Row],[Input]],Table13[[#This Row],[Direction]],""),VALUE(IF(LEN(_xlpm.steps)&gt;2,RIGHT(_xlpm.steps,2),_xlpm.steps)))</f>
        <v>21</v>
      </c>
      <c r="D3597">
        <f>_xlfn.LET(_xlpm.steps,SUBSTITUTE(Table13[[#This Row],[Input]],Table13[[#This Row],[Direction]],""),VALUE(IF(LEN(_xlpm.steps)&gt;2,LEFT(_xlpm.steps,LEN(_xlpm.steps)-2),0)))</f>
        <v>0</v>
      </c>
      <c r="E3597">
        <f>_xlfn.LET(_xlpm.dir,Table13[[#This Row],[Direction]],
IF(_xlpm.dir="L",
    IF(G3596-Table13[[#This Row],[Steps]]&lt;0,100+(G3596-Table13[[#This Row],[Steps]]),G3596-Table13[[#This Row],[Steps]]),
))</f>
        <v>0</v>
      </c>
      <c r="F3597">
        <f>_xlfn.LET(_xlpm.dir,Table13[[#This Row],[Direction]],
IF(_xlpm.dir="R",
    IF(G3596+Table13[[#This Row],[Steps]]&gt;99,(G3596+Table13[[#This Row],[Steps]])-100,G3596+Table13[[#This Row],[Steps]]),
))</f>
        <v>21</v>
      </c>
      <c r="G3597">
        <f>IF(Table13[[#This Row],[New Pos L]]&lt;&gt;0,Table13[[#This Row],[New Pos L]],Table13[[#This Row],[New Pos R]])</f>
        <v>21</v>
      </c>
      <c r="H3597">
        <f>IF(AND(Table13[[#This Row],[Direction]]="L",Table13[[#This Row],[Steps]]&gt;G3596,G3596&lt;&gt;0),1,0)</f>
        <v>0</v>
      </c>
      <c r="I3597">
        <f>IF(AND(Table13[[#This Row],[Direction]]="R",(G3596+Table13[[#This Row],[Steps]])&gt;100),1,0)</f>
        <v>0</v>
      </c>
      <c r="J3597">
        <f>IF(Table13[[#This Row],[POS]]=0,1,0)</f>
        <v>0</v>
      </c>
      <c r="K3597">
        <f>SUM(Table13[[#This Row],[prefix]],Table13[[#This Row],[Past zero L]],Table13[[#This Row],[Past Zero R]],Table13[[#This Row],[Is Zero]])</f>
        <v>0</v>
      </c>
    </row>
    <row r="3598" spans="1:11" ht="16" x14ac:dyDescent="0.2">
      <c r="A3598" s="1" t="s">
        <v>216</v>
      </c>
      <c r="B3598" t="str">
        <f>LEFT(Table13[[#This Row],[Input]],1)</f>
        <v>R</v>
      </c>
      <c r="C3598">
        <f>_xlfn.LET(_xlpm.steps,SUBSTITUTE(Table13[[#This Row],[Input]],Table13[[#This Row],[Direction]],""),VALUE(IF(LEN(_xlpm.steps)&gt;2,RIGHT(_xlpm.steps,2),_xlpm.steps)))</f>
        <v>54</v>
      </c>
      <c r="D3598">
        <f>_xlfn.LET(_xlpm.steps,SUBSTITUTE(Table13[[#This Row],[Input]],Table13[[#This Row],[Direction]],""),VALUE(IF(LEN(_xlpm.steps)&gt;2,LEFT(_xlpm.steps,LEN(_xlpm.steps)-2),0)))</f>
        <v>0</v>
      </c>
      <c r="E3598">
        <f>_xlfn.LET(_xlpm.dir,Table13[[#This Row],[Direction]],
IF(_xlpm.dir="L",
    IF(G3597-Table13[[#This Row],[Steps]]&lt;0,100+(G3597-Table13[[#This Row],[Steps]]),G3597-Table13[[#This Row],[Steps]]),
))</f>
        <v>0</v>
      </c>
      <c r="F3598">
        <f>_xlfn.LET(_xlpm.dir,Table13[[#This Row],[Direction]],
IF(_xlpm.dir="R",
    IF(G3597+Table13[[#This Row],[Steps]]&gt;99,(G3597+Table13[[#This Row],[Steps]])-100,G3597+Table13[[#This Row],[Steps]]),
))</f>
        <v>75</v>
      </c>
      <c r="G3598">
        <f>IF(Table13[[#This Row],[New Pos L]]&lt;&gt;0,Table13[[#This Row],[New Pos L]],Table13[[#This Row],[New Pos R]])</f>
        <v>75</v>
      </c>
      <c r="H3598">
        <f>IF(AND(Table13[[#This Row],[Direction]]="L",Table13[[#This Row],[Steps]]&gt;G3597,G3597&lt;&gt;0),1,0)</f>
        <v>0</v>
      </c>
      <c r="I3598">
        <f>IF(AND(Table13[[#This Row],[Direction]]="R",(G3597+Table13[[#This Row],[Steps]])&gt;100),1,0)</f>
        <v>0</v>
      </c>
      <c r="J3598">
        <f>IF(Table13[[#This Row],[POS]]=0,1,0)</f>
        <v>0</v>
      </c>
      <c r="K3598">
        <f>SUM(Table13[[#This Row],[prefix]],Table13[[#This Row],[Past zero L]],Table13[[#This Row],[Past Zero R]],Table13[[#This Row],[Is Zero]])</f>
        <v>0</v>
      </c>
    </row>
    <row r="3599" spans="1:11" ht="16" x14ac:dyDescent="0.2">
      <c r="A3599" s="1" t="s">
        <v>768</v>
      </c>
      <c r="B3599" t="str">
        <f>LEFT(Table13[[#This Row],[Input]],1)</f>
        <v>R</v>
      </c>
      <c r="C3599">
        <f>_xlfn.LET(_xlpm.steps,SUBSTITUTE(Table13[[#This Row],[Input]],Table13[[#This Row],[Direction]],""),VALUE(IF(LEN(_xlpm.steps)&gt;2,RIGHT(_xlpm.steps,2),_xlpm.steps)))</f>
        <v>25</v>
      </c>
      <c r="D3599">
        <f>_xlfn.LET(_xlpm.steps,SUBSTITUTE(Table13[[#This Row],[Input]],Table13[[#This Row],[Direction]],""),VALUE(IF(LEN(_xlpm.steps)&gt;2,LEFT(_xlpm.steps,LEN(_xlpm.steps)-2),0)))</f>
        <v>6</v>
      </c>
      <c r="E3599">
        <f>_xlfn.LET(_xlpm.dir,Table13[[#This Row],[Direction]],
IF(_xlpm.dir="L",
    IF(G3598-Table13[[#This Row],[Steps]]&lt;0,100+(G3598-Table13[[#This Row],[Steps]]),G3598-Table13[[#This Row],[Steps]]),
))</f>
        <v>0</v>
      </c>
      <c r="F3599">
        <f>_xlfn.LET(_xlpm.dir,Table13[[#This Row],[Direction]],
IF(_xlpm.dir="R",
    IF(G3598+Table13[[#This Row],[Steps]]&gt;99,(G3598+Table13[[#This Row],[Steps]])-100,G3598+Table13[[#This Row],[Steps]]),
))</f>
        <v>0</v>
      </c>
      <c r="G3599">
        <f>IF(Table13[[#This Row],[New Pos L]]&lt;&gt;0,Table13[[#This Row],[New Pos L]],Table13[[#This Row],[New Pos R]])</f>
        <v>0</v>
      </c>
      <c r="H3599">
        <f>IF(AND(Table13[[#This Row],[Direction]]="L",Table13[[#This Row],[Steps]]&gt;G3598,G3598&lt;&gt;0),1,0)</f>
        <v>0</v>
      </c>
      <c r="I3599">
        <f>IF(AND(Table13[[#This Row],[Direction]]="R",(G3598+Table13[[#This Row],[Steps]])&gt;100),1,0)</f>
        <v>0</v>
      </c>
      <c r="J3599">
        <f>IF(Table13[[#This Row],[POS]]=0,1,0)</f>
        <v>1</v>
      </c>
      <c r="K3599">
        <f>SUM(Table13[[#This Row],[prefix]],Table13[[#This Row],[Past zero L]],Table13[[#This Row],[Past Zero R]],Table13[[#This Row],[Is Zero]])</f>
        <v>7</v>
      </c>
    </row>
    <row r="3600" spans="1:11" ht="16" x14ac:dyDescent="0.2">
      <c r="A3600" s="1" t="s">
        <v>111</v>
      </c>
      <c r="B3600" t="str">
        <f>LEFT(Table13[[#This Row],[Input]],1)</f>
        <v>R</v>
      </c>
      <c r="C3600">
        <f>_xlfn.LET(_xlpm.steps,SUBSTITUTE(Table13[[#This Row],[Input]],Table13[[#This Row],[Direction]],""),VALUE(IF(LEN(_xlpm.steps)&gt;2,RIGHT(_xlpm.steps,2),_xlpm.steps)))</f>
        <v>64</v>
      </c>
      <c r="D3600">
        <f>_xlfn.LET(_xlpm.steps,SUBSTITUTE(Table13[[#This Row],[Input]],Table13[[#This Row],[Direction]],""),VALUE(IF(LEN(_xlpm.steps)&gt;2,LEFT(_xlpm.steps,LEN(_xlpm.steps)-2),0)))</f>
        <v>0</v>
      </c>
      <c r="E3600">
        <f>_xlfn.LET(_xlpm.dir,Table13[[#This Row],[Direction]],
IF(_xlpm.dir="L",
    IF(G3599-Table13[[#This Row],[Steps]]&lt;0,100+(G3599-Table13[[#This Row],[Steps]]),G3599-Table13[[#This Row],[Steps]]),
))</f>
        <v>0</v>
      </c>
      <c r="F3600">
        <f>_xlfn.LET(_xlpm.dir,Table13[[#This Row],[Direction]],
IF(_xlpm.dir="R",
    IF(G3599+Table13[[#This Row],[Steps]]&gt;99,(G3599+Table13[[#This Row],[Steps]])-100,G3599+Table13[[#This Row],[Steps]]),
))</f>
        <v>64</v>
      </c>
      <c r="G3600">
        <f>IF(Table13[[#This Row],[New Pos L]]&lt;&gt;0,Table13[[#This Row],[New Pos L]],Table13[[#This Row],[New Pos R]])</f>
        <v>64</v>
      </c>
      <c r="H3600">
        <f>IF(AND(Table13[[#This Row],[Direction]]="L",Table13[[#This Row],[Steps]]&gt;G3599,G3599&lt;&gt;0),1,0)</f>
        <v>0</v>
      </c>
      <c r="I3600">
        <f>IF(AND(Table13[[#This Row],[Direction]]="R",(G3599+Table13[[#This Row],[Steps]])&gt;100),1,0)</f>
        <v>0</v>
      </c>
      <c r="J3600">
        <f>IF(Table13[[#This Row],[POS]]=0,1,0)</f>
        <v>0</v>
      </c>
      <c r="K3600">
        <f>SUM(Table13[[#This Row],[prefix]],Table13[[#This Row],[Past zero L]],Table13[[#This Row],[Past Zero R]],Table13[[#This Row],[Is Zero]])</f>
        <v>0</v>
      </c>
    </row>
    <row r="3601" spans="1:11" ht="16" x14ac:dyDescent="0.2">
      <c r="A3601" s="1" t="s">
        <v>15</v>
      </c>
      <c r="B3601" t="str">
        <f>LEFT(Table13[[#This Row],[Input]],1)</f>
        <v>R</v>
      </c>
      <c r="C3601">
        <f>_xlfn.LET(_xlpm.steps,SUBSTITUTE(Table13[[#This Row],[Input]],Table13[[#This Row],[Direction]],""),VALUE(IF(LEN(_xlpm.steps)&gt;2,RIGHT(_xlpm.steps,2),_xlpm.steps)))</f>
        <v>36</v>
      </c>
      <c r="D3601">
        <f>_xlfn.LET(_xlpm.steps,SUBSTITUTE(Table13[[#This Row],[Input]],Table13[[#This Row],[Direction]],""),VALUE(IF(LEN(_xlpm.steps)&gt;2,LEFT(_xlpm.steps,LEN(_xlpm.steps)-2),0)))</f>
        <v>0</v>
      </c>
      <c r="E3601">
        <f>_xlfn.LET(_xlpm.dir,Table13[[#This Row],[Direction]],
IF(_xlpm.dir="L",
    IF(G3600-Table13[[#This Row],[Steps]]&lt;0,100+(G3600-Table13[[#This Row],[Steps]]),G3600-Table13[[#This Row],[Steps]]),
))</f>
        <v>0</v>
      </c>
      <c r="F3601">
        <f>_xlfn.LET(_xlpm.dir,Table13[[#This Row],[Direction]],
IF(_xlpm.dir="R",
    IF(G3600+Table13[[#This Row],[Steps]]&gt;99,(G3600+Table13[[#This Row],[Steps]])-100,G3600+Table13[[#This Row],[Steps]]),
))</f>
        <v>0</v>
      </c>
      <c r="G3601">
        <f>IF(Table13[[#This Row],[New Pos L]]&lt;&gt;0,Table13[[#This Row],[New Pos L]],Table13[[#This Row],[New Pos R]])</f>
        <v>0</v>
      </c>
      <c r="H3601">
        <f>IF(AND(Table13[[#This Row],[Direction]]="L",Table13[[#This Row],[Steps]]&gt;G3600,G3600&lt;&gt;0),1,0)</f>
        <v>0</v>
      </c>
      <c r="I3601">
        <f>IF(AND(Table13[[#This Row],[Direction]]="R",(G3600+Table13[[#This Row],[Steps]])&gt;100),1,0)</f>
        <v>0</v>
      </c>
      <c r="J3601">
        <f>IF(Table13[[#This Row],[POS]]=0,1,0)</f>
        <v>1</v>
      </c>
      <c r="K3601">
        <f>SUM(Table13[[#This Row],[prefix]],Table13[[#This Row],[Past zero L]],Table13[[#This Row],[Past Zero R]],Table13[[#This Row],[Is Zero]])</f>
        <v>1</v>
      </c>
    </row>
    <row r="3602" spans="1:11" ht="16" x14ac:dyDescent="0.2">
      <c r="A3602" s="1" t="s">
        <v>40</v>
      </c>
      <c r="B3602" t="str">
        <f>LEFT(Table13[[#This Row],[Input]],1)</f>
        <v>R</v>
      </c>
      <c r="C3602">
        <f>_xlfn.LET(_xlpm.steps,SUBSTITUTE(Table13[[#This Row],[Input]],Table13[[#This Row],[Direction]],""),VALUE(IF(LEN(_xlpm.steps)&gt;2,RIGHT(_xlpm.steps,2),_xlpm.steps)))</f>
        <v>52</v>
      </c>
      <c r="D3602">
        <f>_xlfn.LET(_xlpm.steps,SUBSTITUTE(Table13[[#This Row],[Input]],Table13[[#This Row],[Direction]],""),VALUE(IF(LEN(_xlpm.steps)&gt;2,LEFT(_xlpm.steps,LEN(_xlpm.steps)-2),0)))</f>
        <v>0</v>
      </c>
      <c r="E3602">
        <f>_xlfn.LET(_xlpm.dir,Table13[[#This Row],[Direction]],
IF(_xlpm.dir="L",
    IF(G3601-Table13[[#This Row],[Steps]]&lt;0,100+(G3601-Table13[[#This Row],[Steps]]),G3601-Table13[[#This Row],[Steps]]),
))</f>
        <v>0</v>
      </c>
      <c r="F3602">
        <f>_xlfn.LET(_xlpm.dir,Table13[[#This Row],[Direction]],
IF(_xlpm.dir="R",
    IF(G3601+Table13[[#This Row],[Steps]]&gt;99,(G3601+Table13[[#This Row],[Steps]])-100,G3601+Table13[[#This Row],[Steps]]),
))</f>
        <v>52</v>
      </c>
      <c r="G3602">
        <f>IF(Table13[[#This Row],[New Pos L]]&lt;&gt;0,Table13[[#This Row],[New Pos L]],Table13[[#This Row],[New Pos R]])</f>
        <v>52</v>
      </c>
      <c r="H3602">
        <f>IF(AND(Table13[[#This Row],[Direction]]="L",Table13[[#This Row],[Steps]]&gt;G3601,G3601&lt;&gt;0),1,0)</f>
        <v>0</v>
      </c>
      <c r="I3602">
        <f>IF(AND(Table13[[#This Row],[Direction]]="R",(G3601+Table13[[#This Row],[Steps]])&gt;100),1,0)</f>
        <v>0</v>
      </c>
      <c r="J3602">
        <f>IF(Table13[[#This Row],[POS]]=0,1,0)</f>
        <v>0</v>
      </c>
      <c r="K3602">
        <f>SUM(Table13[[#This Row],[prefix]],Table13[[#This Row],[Past zero L]],Table13[[#This Row],[Past Zero R]],Table13[[#This Row],[Is Zero]])</f>
        <v>0</v>
      </c>
    </row>
    <row r="3603" spans="1:11" ht="16" x14ac:dyDescent="0.2">
      <c r="A3603" s="1" t="s">
        <v>192</v>
      </c>
      <c r="B3603" t="str">
        <f>LEFT(Table13[[#This Row],[Input]],1)</f>
        <v>L</v>
      </c>
      <c r="C3603">
        <f>_xlfn.LET(_xlpm.steps,SUBSTITUTE(Table13[[#This Row],[Input]],Table13[[#This Row],[Direction]],""),VALUE(IF(LEN(_xlpm.steps)&gt;2,RIGHT(_xlpm.steps,2),_xlpm.steps)))</f>
        <v>52</v>
      </c>
      <c r="D3603">
        <f>_xlfn.LET(_xlpm.steps,SUBSTITUTE(Table13[[#This Row],[Input]],Table13[[#This Row],[Direction]],""),VALUE(IF(LEN(_xlpm.steps)&gt;2,LEFT(_xlpm.steps,LEN(_xlpm.steps)-2),0)))</f>
        <v>0</v>
      </c>
      <c r="E3603">
        <f>_xlfn.LET(_xlpm.dir,Table13[[#This Row],[Direction]],
IF(_xlpm.dir="L",
    IF(G3602-Table13[[#This Row],[Steps]]&lt;0,100+(G3602-Table13[[#This Row],[Steps]]),G3602-Table13[[#This Row],[Steps]]),
))</f>
        <v>0</v>
      </c>
      <c r="F3603">
        <f>_xlfn.LET(_xlpm.dir,Table13[[#This Row],[Direction]],
IF(_xlpm.dir="R",
    IF(G3602+Table13[[#This Row],[Steps]]&gt;99,(G3602+Table13[[#This Row],[Steps]])-100,G3602+Table13[[#This Row],[Steps]]),
))</f>
        <v>0</v>
      </c>
      <c r="G3603">
        <f>IF(Table13[[#This Row],[New Pos L]]&lt;&gt;0,Table13[[#This Row],[New Pos L]],Table13[[#This Row],[New Pos R]])</f>
        <v>0</v>
      </c>
      <c r="H3603">
        <f>IF(AND(Table13[[#This Row],[Direction]]="L",Table13[[#This Row],[Steps]]&gt;G3602,G3602&lt;&gt;0),1,0)</f>
        <v>0</v>
      </c>
      <c r="I3603">
        <f>IF(AND(Table13[[#This Row],[Direction]]="R",(G3602+Table13[[#This Row],[Steps]])&gt;100),1,0)</f>
        <v>0</v>
      </c>
      <c r="J3603">
        <f>IF(Table13[[#This Row],[POS]]=0,1,0)</f>
        <v>1</v>
      </c>
      <c r="K3603">
        <f>SUM(Table13[[#This Row],[prefix]],Table13[[#This Row],[Past zero L]],Table13[[#This Row],[Past Zero R]],Table13[[#This Row],[Is Zero]])</f>
        <v>1</v>
      </c>
    </row>
    <row r="3604" spans="1:11" ht="16" x14ac:dyDescent="0.2">
      <c r="A3604" s="1" t="s">
        <v>44</v>
      </c>
      <c r="B3604" t="str">
        <f>LEFT(Table13[[#This Row],[Input]],1)</f>
        <v>R</v>
      </c>
      <c r="C3604">
        <f>_xlfn.LET(_xlpm.steps,SUBSTITUTE(Table13[[#This Row],[Input]],Table13[[#This Row],[Direction]],""),VALUE(IF(LEN(_xlpm.steps)&gt;2,RIGHT(_xlpm.steps,2),_xlpm.steps)))</f>
        <v>96</v>
      </c>
      <c r="D3604">
        <f>_xlfn.LET(_xlpm.steps,SUBSTITUTE(Table13[[#This Row],[Input]],Table13[[#This Row],[Direction]],""),VALUE(IF(LEN(_xlpm.steps)&gt;2,LEFT(_xlpm.steps,LEN(_xlpm.steps)-2),0)))</f>
        <v>0</v>
      </c>
      <c r="E3604">
        <f>_xlfn.LET(_xlpm.dir,Table13[[#This Row],[Direction]],
IF(_xlpm.dir="L",
    IF(G3603-Table13[[#This Row],[Steps]]&lt;0,100+(G3603-Table13[[#This Row],[Steps]]),G3603-Table13[[#This Row],[Steps]]),
))</f>
        <v>0</v>
      </c>
      <c r="F3604">
        <f>_xlfn.LET(_xlpm.dir,Table13[[#This Row],[Direction]],
IF(_xlpm.dir="R",
    IF(G3603+Table13[[#This Row],[Steps]]&gt;99,(G3603+Table13[[#This Row],[Steps]])-100,G3603+Table13[[#This Row],[Steps]]),
))</f>
        <v>96</v>
      </c>
      <c r="G3604">
        <f>IF(Table13[[#This Row],[New Pos L]]&lt;&gt;0,Table13[[#This Row],[New Pos L]],Table13[[#This Row],[New Pos R]])</f>
        <v>96</v>
      </c>
      <c r="H3604">
        <f>IF(AND(Table13[[#This Row],[Direction]]="L",Table13[[#This Row],[Steps]]&gt;G3603,G3603&lt;&gt;0),1,0)</f>
        <v>0</v>
      </c>
      <c r="I3604">
        <f>IF(AND(Table13[[#This Row],[Direction]]="R",(G3603+Table13[[#This Row],[Steps]])&gt;100),1,0)</f>
        <v>0</v>
      </c>
      <c r="J3604">
        <f>IF(Table13[[#This Row],[POS]]=0,1,0)</f>
        <v>0</v>
      </c>
      <c r="K3604">
        <f>SUM(Table13[[#This Row],[prefix]],Table13[[#This Row],[Past zero L]],Table13[[#This Row],[Past Zero R]],Table13[[#This Row],[Is Zero]])</f>
        <v>0</v>
      </c>
    </row>
    <row r="3605" spans="1:11" ht="16" x14ac:dyDescent="0.2">
      <c r="A3605" s="1" t="s">
        <v>769</v>
      </c>
      <c r="B3605" t="str">
        <f>LEFT(Table13[[#This Row],[Input]],1)</f>
        <v>L</v>
      </c>
      <c r="C3605">
        <f>_xlfn.LET(_xlpm.steps,SUBSTITUTE(Table13[[#This Row],[Input]],Table13[[#This Row],[Direction]],""),VALUE(IF(LEN(_xlpm.steps)&gt;2,RIGHT(_xlpm.steps,2),_xlpm.steps)))</f>
        <v>94</v>
      </c>
      <c r="D3605">
        <f>_xlfn.LET(_xlpm.steps,SUBSTITUTE(Table13[[#This Row],[Input]],Table13[[#This Row],[Direction]],""),VALUE(IF(LEN(_xlpm.steps)&gt;2,LEFT(_xlpm.steps,LEN(_xlpm.steps)-2),0)))</f>
        <v>8</v>
      </c>
      <c r="E3605">
        <f>_xlfn.LET(_xlpm.dir,Table13[[#This Row],[Direction]],
IF(_xlpm.dir="L",
    IF(G3604-Table13[[#This Row],[Steps]]&lt;0,100+(G3604-Table13[[#This Row],[Steps]]),G3604-Table13[[#This Row],[Steps]]),
))</f>
        <v>2</v>
      </c>
      <c r="F3605">
        <f>_xlfn.LET(_xlpm.dir,Table13[[#This Row],[Direction]],
IF(_xlpm.dir="R",
    IF(G3604+Table13[[#This Row],[Steps]]&gt;99,(G3604+Table13[[#This Row],[Steps]])-100,G3604+Table13[[#This Row],[Steps]]),
))</f>
        <v>0</v>
      </c>
      <c r="G3605">
        <f>IF(Table13[[#This Row],[New Pos L]]&lt;&gt;0,Table13[[#This Row],[New Pos L]],Table13[[#This Row],[New Pos R]])</f>
        <v>2</v>
      </c>
      <c r="H3605">
        <f>IF(AND(Table13[[#This Row],[Direction]]="L",Table13[[#This Row],[Steps]]&gt;G3604,G3604&lt;&gt;0),1,0)</f>
        <v>0</v>
      </c>
      <c r="I3605">
        <f>IF(AND(Table13[[#This Row],[Direction]]="R",(G3604+Table13[[#This Row],[Steps]])&gt;100),1,0)</f>
        <v>0</v>
      </c>
      <c r="J3605">
        <f>IF(Table13[[#This Row],[POS]]=0,1,0)</f>
        <v>0</v>
      </c>
      <c r="K3605">
        <f>SUM(Table13[[#This Row],[prefix]],Table13[[#This Row],[Past zero L]],Table13[[#This Row],[Past Zero R]],Table13[[#This Row],[Is Zero]])</f>
        <v>8</v>
      </c>
    </row>
    <row r="3606" spans="1:11" ht="16" x14ac:dyDescent="0.2">
      <c r="A3606" s="1" t="s">
        <v>223</v>
      </c>
      <c r="B3606" t="str">
        <f>LEFT(Table13[[#This Row],[Input]],1)</f>
        <v>L</v>
      </c>
      <c r="C3606">
        <f>_xlfn.LET(_xlpm.steps,SUBSTITUTE(Table13[[#This Row],[Input]],Table13[[#This Row],[Direction]],""),VALUE(IF(LEN(_xlpm.steps)&gt;2,RIGHT(_xlpm.steps,2),_xlpm.steps)))</f>
        <v>87</v>
      </c>
      <c r="D3606">
        <f>_xlfn.LET(_xlpm.steps,SUBSTITUTE(Table13[[#This Row],[Input]],Table13[[#This Row],[Direction]],""),VALUE(IF(LEN(_xlpm.steps)&gt;2,LEFT(_xlpm.steps,LEN(_xlpm.steps)-2),0)))</f>
        <v>0</v>
      </c>
      <c r="E3606">
        <f>_xlfn.LET(_xlpm.dir,Table13[[#This Row],[Direction]],
IF(_xlpm.dir="L",
    IF(G3605-Table13[[#This Row],[Steps]]&lt;0,100+(G3605-Table13[[#This Row],[Steps]]),G3605-Table13[[#This Row],[Steps]]),
))</f>
        <v>15</v>
      </c>
      <c r="F3606">
        <f>_xlfn.LET(_xlpm.dir,Table13[[#This Row],[Direction]],
IF(_xlpm.dir="R",
    IF(G3605+Table13[[#This Row],[Steps]]&gt;99,(G3605+Table13[[#This Row],[Steps]])-100,G3605+Table13[[#This Row],[Steps]]),
))</f>
        <v>0</v>
      </c>
      <c r="G3606">
        <f>IF(Table13[[#This Row],[New Pos L]]&lt;&gt;0,Table13[[#This Row],[New Pos L]],Table13[[#This Row],[New Pos R]])</f>
        <v>15</v>
      </c>
      <c r="H3606">
        <f>IF(AND(Table13[[#This Row],[Direction]]="L",Table13[[#This Row],[Steps]]&gt;G3605,G3605&lt;&gt;0),1,0)</f>
        <v>1</v>
      </c>
      <c r="I3606">
        <f>IF(AND(Table13[[#This Row],[Direction]]="R",(G3605+Table13[[#This Row],[Steps]])&gt;100),1,0)</f>
        <v>0</v>
      </c>
      <c r="J3606">
        <f>IF(Table13[[#This Row],[POS]]=0,1,0)</f>
        <v>0</v>
      </c>
      <c r="K3606">
        <f>SUM(Table13[[#This Row],[prefix]],Table13[[#This Row],[Past zero L]],Table13[[#This Row],[Past Zero R]],Table13[[#This Row],[Is Zero]])</f>
        <v>1</v>
      </c>
    </row>
    <row r="3607" spans="1:11" ht="16" x14ac:dyDescent="0.2">
      <c r="A3607" s="1" t="s">
        <v>181</v>
      </c>
      <c r="B3607" t="str">
        <f>LEFT(Table13[[#This Row],[Input]],1)</f>
        <v>L</v>
      </c>
      <c r="C3607">
        <f>_xlfn.LET(_xlpm.steps,SUBSTITUTE(Table13[[#This Row],[Input]],Table13[[#This Row],[Direction]],""),VALUE(IF(LEN(_xlpm.steps)&gt;2,RIGHT(_xlpm.steps,2),_xlpm.steps)))</f>
        <v>53</v>
      </c>
      <c r="D3607">
        <f>_xlfn.LET(_xlpm.steps,SUBSTITUTE(Table13[[#This Row],[Input]],Table13[[#This Row],[Direction]],""),VALUE(IF(LEN(_xlpm.steps)&gt;2,LEFT(_xlpm.steps,LEN(_xlpm.steps)-2),0)))</f>
        <v>0</v>
      </c>
      <c r="E3607">
        <f>_xlfn.LET(_xlpm.dir,Table13[[#This Row],[Direction]],
IF(_xlpm.dir="L",
    IF(G3606-Table13[[#This Row],[Steps]]&lt;0,100+(G3606-Table13[[#This Row],[Steps]]),G3606-Table13[[#This Row],[Steps]]),
))</f>
        <v>62</v>
      </c>
      <c r="F3607">
        <f>_xlfn.LET(_xlpm.dir,Table13[[#This Row],[Direction]],
IF(_xlpm.dir="R",
    IF(G3606+Table13[[#This Row],[Steps]]&gt;99,(G3606+Table13[[#This Row],[Steps]])-100,G3606+Table13[[#This Row],[Steps]]),
))</f>
        <v>0</v>
      </c>
      <c r="G3607">
        <f>IF(Table13[[#This Row],[New Pos L]]&lt;&gt;0,Table13[[#This Row],[New Pos L]],Table13[[#This Row],[New Pos R]])</f>
        <v>62</v>
      </c>
      <c r="H3607">
        <f>IF(AND(Table13[[#This Row],[Direction]]="L",Table13[[#This Row],[Steps]]&gt;G3606,G3606&lt;&gt;0),1,0)</f>
        <v>1</v>
      </c>
      <c r="I3607">
        <f>IF(AND(Table13[[#This Row],[Direction]]="R",(G3606+Table13[[#This Row],[Steps]])&gt;100),1,0)</f>
        <v>0</v>
      </c>
      <c r="J3607">
        <f>IF(Table13[[#This Row],[POS]]=0,1,0)</f>
        <v>0</v>
      </c>
      <c r="K3607">
        <f>SUM(Table13[[#This Row],[prefix]],Table13[[#This Row],[Past zero L]],Table13[[#This Row],[Past Zero R]],Table13[[#This Row],[Is Zero]])</f>
        <v>1</v>
      </c>
    </row>
    <row r="3608" spans="1:11" ht="16" x14ac:dyDescent="0.2">
      <c r="A3608" s="1" t="s">
        <v>25</v>
      </c>
      <c r="B3608" t="str">
        <f>LEFT(Table13[[#This Row],[Input]],1)</f>
        <v>L</v>
      </c>
      <c r="C3608">
        <f>_xlfn.LET(_xlpm.steps,SUBSTITUTE(Table13[[#This Row],[Input]],Table13[[#This Row],[Direction]],""),VALUE(IF(LEN(_xlpm.steps)&gt;2,RIGHT(_xlpm.steps,2),_xlpm.steps)))</f>
        <v>20</v>
      </c>
      <c r="D3608">
        <f>_xlfn.LET(_xlpm.steps,SUBSTITUTE(Table13[[#This Row],[Input]],Table13[[#This Row],[Direction]],""),VALUE(IF(LEN(_xlpm.steps)&gt;2,LEFT(_xlpm.steps,LEN(_xlpm.steps)-2),0)))</f>
        <v>0</v>
      </c>
      <c r="E3608">
        <f>_xlfn.LET(_xlpm.dir,Table13[[#This Row],[Direction]],
IF(_xlpm.dir="L",
    IF(G3607-Table13[[#This Row],[Steps]]&lt;0,100+(G3607-Table13[[#This Row],[Steps]]),G3607-Table13[[#This Row],[Steps]]),
))</f>
        <v>42</v>
      </c>
      <c r="F3608">
        <f>_xlfn.LET(_xlpm.dir,Table13[[#This Row],[Direction]],
IF(_xlpm.dir="R",
    IF(G3607+Table13[[#This Row],[Steps]]&gt;99,(G3607+Table13[[#This Row],[Steps]])-100,G3607+Table13[[#This Row],[Steps]]),
))</f>
        <v>0</v>
      </c>
      <c r="G3608">
        <f>IF(Table13[[#This Row],[New Pos L]]&lt;&gt;0,Table13[[#This Row],[New Pos L]],Table13[[#This Row],[New Pos R]])</f>
        <v>42</v>
      </c>
      <c r="H3608">
        <f>IF(AND(Table13[[#This Row],[Direction]]="L",Table13[[#This Row],[Steps]]&gt;G3607,G3607&lt;&gt;0),1,0)</f>
        <v>0</v>
      </c>
      <c r="I3608">
        <f>IF(AND(Table13[[#This Row],[Direction]]="R",(G3607+Table13[[#This Row],[Steps]])&gt;100),1,0)</f>
        <v>0</v>
      </c>
      <c r="J3608">
        <f>IF(Table13[[#This Row],[POS]]=0,1,0)</f>
        <v>0</v>
      </c>
      <c r="K3608">
        <f>SUM(Table13[[#This Row],[prefix]],Table13[[#This Row],[Past zero L]],Table13[[#This Row],[Past Zero R]],Table13[[#This Row],[Is Zero]])</f>
        <v>0</v>
      </c>
    </row>
    <row r="3609" spans="1:11" ht="16" x14ac:dyDescent="0.2">
      <c r="A3609" s="1" t="s">
        <v>89</v>
      </c>
      <c r="B3609" t="str">
        <f>LEFT(Table13[[#This Row],[Input]],1)</f>
        <v>L</v>
      </c>
      <c r="C3609">
        <f>_xlfn.LET(_xlpm.steps,SUBSTITUTE(Table13[[#This Row],[Input]],Table13[[#This Row],[Direction]],""),VALUE(IF(LEN(_xlpm.steps)&gt;2,RIGHT(_xlpm.steps,2),_xlpm.steps)))</f>
        <v>91</v>
      </c>
      <c r="D3609">
        <f>_xlfn.LET(_xlpm.steps,SUBSTITUTE(Table13[[#This Row],[Input]],Table13[[#This Row],[Direction]],""),VALUE(IF(LEN(_xlpm.steps)&gt;2,LEFT(_xlpm.steps,LEN(_xlpm.steps)-2),0)))</f>
        <v>0</v>
      </c>
      <c r="E3609">
        <f>_xlfn.LET(_xlpm.dir,Table13[[#This Row],[Direction]],
IF(_xlpm.dir="L",
    IF(G3608-Table13[[#This Row],[Steps]]&lt;0,100+(G3608-Table13[[#This Row],[Steps]]),G3608-Table13[[#This Row],[Steps]]),
))</f>
        <v>51</v>
      </c>
      <c r="F3609">
        <f>_xlfn.LET(_xlpm.dir,Table13[[#This Row],[Direction]],
IF(_xlpm.dir="R",
    IF(G3608+Table13[[#This Row],[Steps]]&gt;99,(G3608+Table13[[#This Row],[Steps]])-100,G3608+Table13[[#This Row],[Steps]]),
))</f>
        <v>0</v>
      </c>
      <c r="G3609">
        <f>IF(Table13[[#This Row],[New Pos L]]&lt;&gt;0,Table13[[#This Row],[New Pos L]],Table13[[#This Row],[New Pos R]])</f>
        <v>51</v>
      </c>
      <c r="H3609">
        <f>IF(AND(Table13[[#This Row],[Direction]]="L",Table13[[#This Row],[Steps]]&gt;G3608,G3608&lt;&gt;0),1,0)</f>
        <v>1</v>
      </c>
      <c r="I3609">
        <f>IF(AND(Table13[[#This Row],[Direction]]="R",(G3608+Table13[[#This Row],[Steps]])&gt;100),1,0)</f>
        <v>0</v>
      </c>
      <c r="J3609">
        <f>IF(Table13[[#This Row],[POS]]=0,1,0)</f>
        <v>0</v>
      </c>
      <c r="K3609">
        <f>SUM(Table13[[#This Row],[prefix]],Table13[[#This Row],[Past zero L]],Table13[[#This Row],[Past Zero R]],Table13[[#This Row],[Is Zero]])</f>
        <v>1</v>
      </c>
    </row>
    <row r="3610" spans="1:11" ht="16" x14ac:dyDescent="0.2">
      <c r="A3610" s="1" t="s">
        <v>770</v>
      </c>
      <c r="B3610" t="str">
        <f>LEFT(Table13[[#This Row],[Input]],1)</f>
        <v>L</v>
      </c>
      <c r="C3610">
        <f>_xlfn.LET(_xlpm.steps,SUBSTITUTE(Table13[[#This Row],[Input]],Table13[[#This Row],[Direction]],""),VALUE(IF(LEN(_xlpm.steps)&gt;2,RIGHT(_xlpm.steps,2),_xlpm.steps)))</f>
        <v>74</v>
      </c>
      <c r="D3610">
        <f>_xlfn.LET(_xlpm.steps,SUBSTITUTE(Table13[[#This Row],[Input]],Table13[[#This Row],[Direction]],""),VALUE(IF(LEN(_xlpm.steps)&gt;2,LEFT(_xlpm.steps,LEN(_xlpm.steps)-2),0)))</f>
        <v>9</v>
      </c>
      <c r="E3610">
        <f>_xlfn.LET(_xlpm.dir,Table13[[#This Row],[Direction]],
IF(_xlpm.dir="L",
    IF(G3609-Table13[[#This Row],[Steps]]&lt;0,100+(G3609-Table13[[#This Row],[Steps]]),G3609-Table13[[#This Row],[Steps]]),
))</f>
        <v>77</v>
      </c>
      <c r="F3610">
        <f>_xlfn.LET(_xlpm.dir,Table13[[#This Row],[Direction]],
IF(_xlpm.dir="R",
    IF(G3609+Table13[[#This Row],[Steps]]&gt;99,(G3609+Table13[[#This Row],[Steps]])-100,G3609+Table13[[#This Row],[Steps]]),
))</f>
        <v>0</v>
      </c>
      <c r="G3610">
        <f>IF(Table13[[#This Row],[New Pos L]]&lt;&gt;0,Table13[[#This Row],[New Pos L]],Table13[[#This Row],[New Pos R]])</f>
        <v>77</v>
      </c>
      <c r="H3610">
        <f>IF(AND(Table13[[#This Row],[Direction]]="L",Table13[[#This Row],[Steps]]&gt;G3609,G3609&lt;&gt;0),1,0)</f>
        <v>1</v>
      </c>
      <c r="I3610">
        <f>IF(AND(Table13[[#This Row],[Direction]]="R",(G3609+Table13[[#This Row],[Steps]])&gt;100),1,0)</f>
        <v>0</v>
      </c>
      <c r="J3610">
        <f>IF(Table13[[#This Row],[POS]]=0,1,0)</f>
        <v>0</v>
      </c>
      <c r="K3610">
        <f>SUM(Table13[[#This Row],[prefix]],Table13[[#This Row],[Past zero L]],Table13[[#This Row],[Past Zero R]],Table13[[#This Row],[Is Zero]])</f>
        <v>10</v>
      </c>
    </row>
    <row r="3611" spans="1:11" ht="16" x14ac:dyDescent="0.2">
      <c r="A3611" s="1" t="s">
        <v>35</v>
      </c>
      <c r="B3611" t="str">
        <f>LEFT(Table13[[#This Row],[Input]],1)</f>
        <v>L</v>
      </c>
      <c r="C3611">
        <f>_xlfn.LET(_xlpm.steps,SUBSTITUTE(Table13[[#This Row],[Input]],Table13[[#This Row],[Direction]],""),VALUE(IF(LEN(_xlpm.steps)&gt;2,RIGHT(_xlpm.steps,2),_xlpm.steps)))</f>
        <v>2</v>
      </c>
      <c r="D3611">
        <f>_xlfn.LET(_xlpm.steps,SUBSTITUTE(Table13[[#This Row],[Input]],Table13[[#This Row],[Direction]],""),VALUE(IF(LEN(_xlpm.steps)&gt;2,LEFT(_xlpm.steps,LEN(_xlpm.steps)-2),0)))</f>
        <v>0</v>
      </c>
      <c r="E3611">
        <f>_xlfn.LET(_xlpm.dir,Table13[[#This Row],[Direction]],
IF(_xlpm.dir="L",
    IF(G3610-Table13[[#This Row],[Steps]]&lt;0,100+(G3610-Table13[[#This Row],[Steps]]),G3610-Table13[[#This Row],[Steps]]),
))</f>
        <v>75</v>
      </c>
      <c r="F3611">
        <f>_xlfn.LET(_xlpm.dir,Table13[[#This Row],[Direction]],
IF(_xlpm.dir="R",
    IF(G3610+Table13[[#This Row],[Steps]]&gt;99,(G3610+Table13[[#This Row],[Steps]])-100,G3610+Table13[[#This Row],[Steps]]),
))</f>
        <v>0</v>
      </c>
      <c r="G3611">
        <f>IF(Table13[[#This Row],[New Pos L]]&lt;&gt;0,Table13[[#This Row],[New Pos L]],Table13[[#This Row],[New Pos R]])</f>
        <v>75</v>
      </c>
      <c r="H3611">
        <f>IF(AND(Table13[[#This Row],[Direction]]="L",Table13[[#This Row],[Steps]]&gt;G3610,G3610&lt;&gt;0),1,0)</f>
        <v>0</v>
      </c>
      <c r="I3611">
        <f>IF(AND(Table13[[#This Row],[Direction]]="R",(G3610+Table13[[#This Row],[Steps]])&gt;100),1,0)</f>
        <v>0</v>
      </c>
      <c r="J3611">
        <f>IF(Table13[[#This Row],[POS]]=0,1,0)</f>
        <v>0</v>
      </c>
      <c r="K3611">
        <f>SUM(Table13[[#This Row],[prefix]],Table13[[#This Row],[Past zero L]],Table13[[#This Row],[Past Zero R]],Table13[[#This Row],[Is Zero]])</f>
        <v>0</v>
      </c>
    </row>
    <row r="3612" spans="1:11" ht="16" x14ac:dyDescent="0.2">
      <c r="A3612" s="1" t="s">
        <v>108</v>
      </c>
      <c r="B3612" t="str">
        <f>LEFT(Table13[[#This Row],[Input]],1)</f>
        <v>R</v>
      </c>
      <c r="C3612">
        <f>_xlfn.LET(_xlpm.steps,SUBSTITUTE(Table13[[#This Row],[Input]],Table13[[#This Row],[Direction]],""),VALUE(IF(LEN(_xlpm.steps)&gt;2,RIGHT(_xlpm.steps,2),_xlpm.steps)))</f>
        <v>66</v>
      </c>
      <c r="D3612">
        <f>_xlfn.LET(_xlpm.steps,SUBSTITUTE(Table13[[#This Row],[Input]],Table13[[#This Row],[Direction]],""),VALUE(IF(LEN(_xlpm.steps)&gt;2,LEFT(_xlpm.steps,LEN(_xlpm.steps)-2),0)))</f>
        <v>0</v>
      </c>
      <c r="E3612">
        <f>_xlfn.LET(_xlpm.dir,Table13[[#This Row],[Direction]],
IF(_xlpm.dir="L",
    IF(G3611-Table13[[#This Row],[Steps]]&lt;0,100+(G3611-Table13[[#This Row],[Steps]]),G3611-Table13[[#This Row],[Steps]]),
))</f>
        <v>0</v>
      </c>
      <c r="F3612">
        <f>_xlfn.LET(_xlpm.dir,Table13[[#This Row],[Direction]],
IF(_xlpm.dir="R",
    IF(G3611+Table13[[#This Row],[Steps]]&gt;99,(G3611+Table13[[#This Row],[Steps]])-100,G3611+Table13[[#This Row],[Steps]]),
))</f>
        <v>41</v>
      </c>
      <c r="G3612">
        <f>IF(Table13[[#This Row],[New Pos L]]&lt;&gt;0,Table13[[#This Row],[New Pos L]],Table13[[#This Row],[New Pos R]])</f>
        <v>41</v>
      </c>
      <c r="H3612">
        <f>IF(AND(Table13[[#This Row],[Direction]]="L",Table13[[#This Row],[Steps]]&gt;G3611,G3611&lt;&gt;0),1,0)</f>
        <v>0</v>
      </c>
      <c r="I3612">
        <f>IF(AND(Table13[[#This Row],[Direction]]="R",(G3611+Table13[[#This Row],[Steps]])&gt;100),1,0)</f>
        <v>1</v>
      </c>
      <c r="J3612">
        <f>IF(Table13[[#This Row],[POS]]=0,1,0)</f>
        <v>0</v>
      </c>
      <c r="K3612">
        <f>SUM(Table13[[#This Row],[prefix]],Table13[[#This Row],[Past zero L]],Table13[[#This Row],[Past Zero R]],Table13[[#This Row],[Is Zero]])</f>
        <v>1</v>
      </c>
    </row>
    <row r="3613" spans="1:11" ht="16" x14ac:dyDescent="0.2">
      <c r="A3613" s="1" t="s">
        <v>110</v>
      </c>
      <c r="B3613" t="str">
        <f>LEFT(Table13[[#This Row],[Input]],1)</f>
        <v>L</v>
      </c>
      <c r="C3613">
        <f>_xlfn.LET(_xlpm.steps,SUBSTITUTE(Table13[[#This Row],[Input]],Table13[[#This Row],[Direction]],""),VALUE(IF(LEN(_xlpm.steps)&gt;2,RIGHT(_xlpm.steps,2),_xlpm.steps)))</f>
        <v>81</v>
      </c>
      <c r="D3613">
        <f>_xlfn.LET(_xlpm.steps,SUBSTITUTE(Table13[[#This Row],[Input]],Table13[[#This Row],[Direction]],""),VALUE(IF(LEN(_xlpm.steps)&gt;2,LEFT(_xlpm.steps,LEN(_xlpm.steps)-2),0)))</f>
        <v>0</v>
      </c>
      <c r="E3613">
        <f>_xlfn.LET(_xlpm.dir,Table13[[#This Row],[Direction]],
IF(_xlpm.dir="L",
    IF(G3612-Table13[[#This Row],[Steps]]&lt;0,100+(G3612-Table13[[#This Row],[Steps]]),G3612-Table13[[#This Row],[Steps]]),
))</f>
        <v>60</v>
      </c>
      <c r="F3613">
        <f>_xlfn.LET(_xlpm.dir,Table13[[#This Row],[Direction]],
IF(_xlpm.dir="R",
    IF(G3612+Table13[[#This Row],[Steps]]&gt;99,(G3612+Table13[[#This Row],[Steps]])-100,G3612+Table13[[#This Row],[Steps]]),
))</f>
        <v>0</v>
      </c>
      <c r="G3613">
        <f>IF(Table13[[#This Row],[New Pos L]]&lt;&gt;0,Table13[[#This Row],[New Pos L]],Table13[[#This Row],[New Pos R]])</f>
        <v>60</v>
      </c>
      <c r="H3613">
        <f>IF(AND(Table13[[#This Row],[Direction]]="L",Table13[[#This Row],[Steps]]&gt;G3612,G3612&lt;&gt;0),1,0)</f>
        <v>1</v>
      </c>
      <c r="I3613">
        <f>IF(AND(Table13[[#This Row],[Direction]]="R",(G3612+Table13[[#This Row],[Steps]])&gt;100),1,0)</f>
        <v>0</v>
      </c>
      <c r="J3613">
        <f>IF(Table13[[#This Row],[POS]]=0,1,0)</f>
        <v>0</v>
      </c>
      <c r="K3613">
        <f>SUM(Table13[[#This Row],[prefix]],Table13[[#This Row],[Past zero L]],Table13[[#This Row],[Past Zero R]],Table13[[#This Row],[Is Zero]])</f>
        <v>1</v>
      </c>
    </row>
    <row r="3614" spans="1:11" ht="16" x14ac:dyDescent="0.2">
      <c r="A3614" s="1" t="s">
        <v>55</v>
      </c>
      <c r="B3614" t="str">
        <f>LEFT(Table13[[#This Row],[Input]],1)</f>
        <v>L</v>
      </c>
      <c r="C3614">
        <f>_xlfn.LET(_xlpm.steps,SUBSTITUTE(Table13[[#This Row],[Input]],Table13[[#This Row],[Direction]],""),VALUE(IF(LEN(_xlpm.steps)&gt;2,RIGHT(_xlpm.steps,2),_xlpm.steps)))</f>
        <v>82</v>
      </c>
      <c r="D3614">
        <f>_xlfn.LET(_xlpm.steps,SUBSTITUTE(Table13[[#This Row],[Input]],Table13[[#This Row],[Direction]],""),VALUE(IF(LEN(_xlpm.steps)&gt;2,LEFT(_xlpm.steps,LEN(_xlpm.steps)-2),0)))</f>
        <v>0</v>
      </c>
      <c r="E3614">
        <f>_xlfn.LET(_xlpm.dir,Table13[[#This Row],[Direction]],
IF(_xlpm.dir="L",
    IF(G3613-Table13[[#This Row],[Steps]]&lt;0,100+(G3613-Table13[[#This Row],[Steps]]),G3613-Table13[[#This Row],[Steps]]),
))</f>
        <v>78</v>
      </c>
      <c r="F3614">
        <f>_xlfn.LET(_xlpm.dir,Table13[[#This Row],[Direction]],
IF(_xlpm.dir="R",
    IF(G3613+Table13[[#This Row],[Steps]]&gt;99,(G3613+Table13[[#This Row],[Steps]])-100,G3613+Table13[[#This Row],[Steps]]),
))</f>
        <v>0</v>
      </c>
      <c r="G3614">
        <f>IF(Table13[[#This Row],[New Pos L]]&lt;&gt;0,Table13[[#This Row],[New Pos L]],Table13[[#This Row],[New Pos R]])</f>
        <v>78</v>
      </c>
      <c r="H3614">
        <f>IF(AND(Table13[[#This Row],[Direction]]="L",Table13[[#This Row],[Steps]]&gt;G3613,G3613&lt;&gt;0),1,0)</f>
        <v>1</v>
      </c>
      <c r="I3614">
        <f>IF(AND(Table13[[#This Row],[Direction]]="R",(G3613+Table13[[#This Row],[Steps]])&gt;100),1,0)</f>
        <v>0</v>
      </c>
      <c r="J3614">
        <f>IF(Table13[[#This Row],[POS]]=0,1,0)</f>
        <v>0</v>
      </c>
      <c r="K3614">
        <f>SUM(Table13[[#This Row],[prefix]],Table13[[#This Row],[Past zero L]],Table13[[#This Row],[Past Zero R]],Table13[[#This Row],[Is Zero]])</f>
        <v>1</v>
      </c>
    </row>
    <row r="3615" spans="1:11" ht="16" x14ac:dyDescent="0.2">
      <c r="A3615" s="1" t="s">
        <v>95</v>
      </c>
      <c r="B3615" t="str">
        <f>LEFT(Table13[[#This Row],[Input]],1)</f>
        <v>L</v>
      </c>
      <c r="C3615">
        <f>_xlfn.LET(_xlpm.steps,SUBSTITUTE(Table13[[#This Row],[Input]],Table13[[#This Row],[Direction]],""),VALUE(IF(LEN(_xlpm.steps)&gt;2,RIGHT(_xlpm.steps,2),_xlpm.steps)))</f>
        <v>78</v>
      </c>
      <c r="D3615">
        <f>_xlfn.LET(_xlpm.steps,SUBSTITUTE(Table13[[#This Row],[Input]],Table13[[#This Row],[Direction]],""),VALUE(IF(LEN(_xlpm.steps)&gt;2,LEFT(_xlpm.steps,LEN(_xlpm.steps)-2),0)))</f>
        <v>0</v>
      </c>
      <c r="E3615">
        <f>_xlfn.LET(_xlpm.dir,Table13[[#This Row],[Direction]],
IF(_xlpm.dir="L",
    IF(G3614-Table13[[#This Row],[Steps]]&lt;0,100+(G3614-Table13[[#This Row],[Steps]]),G3614-Table13[[#This Row],[Steps]]),
))</f>
        <v>0</v>
      </c>
      <c r="F3615">
        <f>_xlfn.LET(_xlpm.dir,Table13[[#This Row],[Direction]],
IF(_xlpm.dir="R",
    IF(G3614+Table13[[#This Row],[Steps]]&gt;99,(G3614+Table13[[#This Row],[Steps]])-100,G3614+Table13[[#This Row],[Steps]]),
))</f>
        <v>0</v>
      </c>
      <c r="G3615">
        <f>IF(Table13[[#This Row],[New Pos L]]&lt;&gt;0,Table13[[#This Row],[New Pos L]],Table13[[#This Row],[New Pos R]])</f>
        <v>0</v>
      </c>
      <c r="H3615">
        <f>IF(AND(Table13[[#This Row],[Direction]]="L",Table13[[#This Row],[Steps]]&gt;G3614,G3614&lt;&gt;0),1,0)</f>
        <v>0</v>
      </c>
      <c r="I3615">
        <f>IF(AND(Table13[[#This Row],[Direction]]="R",(G3614+Table13[[#This Row],[Steps]])&gt;100),1,0)</f>
        <v>0</v>
      </c>
      <c r="J3615">
        <f>IF(Table13[[#This Row],[POS]]=0,1,0)</f>
        <v>1</v>
      </c>
      <c r="K3615">
        <f>SUM(Table13[[#This Row],[prefix]],Table13[[#This Row],[Past zero L]],Table13[[#This Row],[Past Zero R]],Table13[[#This Row],[Is Zero]])</f>
        <v>1</v>
      </c>
    </row>
    <row r="3616" spans="1:11" ht="16" x14ac:dyDescent="0.2">
      <c r="A3616" s="1" t="s">
        <v>201</v>
      </c>
      <c r="B3616" t="str">
        <f>LEFT(Table13[[#This Row],[Input]],1)</f>
        <v>R</v>
      </c>
      <c r="C3616">
        <f>_xlfn.LET(_xlpm.steps,SUBSTITUTE(Table13[[#This Row],[Input]],Table13[[#This Row],[Direction]],""),VALUE(IF(LEN(_xlpm.steps)&gt;2,RIGHT(_xlpm.steps,2),_xlpm.steps)))</f>
        <v>31</v>
      </c>
      <c r="D3616">
        <f>_xlfn.LET(_xlpm.steps,SUBSTITUTE(Table13[[#This Row],[Input]],Table13[[#This Row],[Direction]],""),VALUE(IF(LEN(_xlpm.steps)&gt;2,LEFT(_xlpm.steps,LEN(_xlpm.steps)-2),0)))</f>
        <v>0</v>
      </c>
      <c r="E3616">
        <f>_xlfn.LET(_xlpm.dir,Table13[[#This Row],[Direction]],
IF(_xlpm.dir="L",
    IF(G3615-Table13[[#This Row],[Steps]]&lt;0,100+(G3615-Table13[[#This Row],[Steps]]),G3615-Table13[[#This Row],[Steps]]),
))</f>
        <v>0</v>
      </c>
      <c r="F3616">
        <f>_xlfn.LET(_xlpm.dir,Table13[[#This Row],[Direction]],
IF(_xlpm.dir="R",
    IF(G3615+Table13[[#This Row],[Steps]]&gt;99,(G3615+Table13[[#This Row],[Steps]])-100,G3615+Table13[[#This Row],[Steps]]),
))</f>
        <v>31</v>
      </c>
      <c r="G3616">
        <f>IF(Table13[[#This Row],[New Pos L]]&lt;&gt;0,Table13[[#This Row],[New Pos L]],Table13[[#This Row],[New Pos R]])</f>
        <v>31</v>
      </c>
      <c r="H3616">
        <f>IF(AND(Table13[[#This Row],[Direction]]="L",Table13[[#This Row],[Steps]]&gt;G3615,G3615&lt;&gt;0),1,0)</f>
        <v>0</v>
      </c>
      <c r="I3616">
        <f>IF(AND(Table13[[#This Row],[Direction]]="R",(G3615+Table13[[#This Row],[Steps]])&gt;100),1,0)</f>
        <v>0</v>
      </c>
      <c r="J3616">
        <f>IF(Table13[[#This Row],[POS]]=0,1,0)</f>
        <v>0</v>
      </c>
      <c r="K3616">
        <f>SUM(Table13[[#This Row],[prefix]],Table13[[#This Row],[Past zero L]],Table13[[#This Row],[Past Zero R]],Table13[[#This Row],[Is Zero]])</f>
        <v>0</v>
      </c>
    </row>
    <row r="3617" spans="1:11" ht="16" x14ac:dyDescent="0.2">
      <c r="A3617" s="1" t="s">
        <v>135</v>
      </c>
      <c r="B3617" t="str">
        <f>LEFT(Table13[[#This Row],[Input]],1)</f>
        <v>R</v>
      </c>
      <c r="C3617">
        <f>_xlfn.LET(_xlpm.steps,SUBSTITUTE(Table13[[#This Row],[Input]],Table13[[#This Row],[Direction]],""),VALUE(IF(LEN(_xlpm.steps)&gt;2,RIGHT(_xlpm.steps,2),_xlpm.steps)))</f>
        <v>69</v>
      </c>
      <c r="D3617">
        <f>_xlfn.LET(_xlpm.steps,SUBSTITUTE(Table13[[#This Row],[Input]],Table13[[#This Row],[Direction]],""),VALUE(IF(LEN(_xlpm.steps)&gt;2,LEFT(_xlpm.steps,LEN(_xlpm.steps)-2),0)))</f>
        <v>0</v>
      </c>
      <c r="E3617">
        <f>_xlfn.LET(_xlpm.dir,Table13[[#This Row],[Direction]],
IF(_xlpm.dir="L",
    IF(G3616-Table13[[#This Row],[Steps]]&lt;0,100+(G3616-Table13[[#This Row],[Steps]]),G3616-Table13[[#This Row],[Steps]]),
))</f>
        <v>0</v>
      </c>
      <c r="F3617">
        <f>_xlfn.LET(_xlpm.dir,Table13[[#This Row],[Direction]],
IF(_xlpm.dir="R",
    IF(G3616+Table13[[#This Row],[Steps]]&gt;99,(G3616+Table13[[#This Row],[Steps]])-100,G3616+Table13[[#This Row],[Steps]]),
))</f>
        <v>0</v>
      </c>
      <c r="G3617">
        <f>IF(Table13[[#This Row],[New Pos L]]&lt;&gt;0,Table13[[#This Row],[New Pos L]],Table13[[#This Row],[New Pos R]])</f>
        <v>0</v>
      </c>
      <c r="H3617">
        <f>IF(AND(Table13[[#This Row],[Direction]]="L",Table13[[#This Row],[Steps]]&gt;G3616,G3616&lt;&gt;0),1,0)</f>
        <v>0</v>
      </c>
      <c r="I3617">
        <f>IF(AND(Table13[[#This Row],[Direction]]="R",(G3616+Table13[[#This Row],[Steps]])&gt;100),1,0)</f>
        <v>0</v>
      </c>
      <c r="J3617">
        <f>IF(Table13[[#This Row],[POS]]=0,1,0)</f>
        <v>1</v>
      </c>
      <c r="K3617">
        <f>SUM(Table13[[#This Row],[prefix]],Table13[[#This Row],[Past zero L]],Table13[[#This Row],[Past Zero R]],Table13[[#This Row],[Is Zero]])</f>
        <v>1</v>
      </c>
    </row>
    <row r="3618" spans="1:11" ht="16" x14ac:dyDescent="0.2">
      <c r="A3618" s="1" t="s">
        <v>267</v>
      </c>
      <c r="B3618" t="str">
        <f>LEFT(Table13[[#This Row],[Input]],1)</f>
        <v>L</v>
      </c>
      <c r="C3618">
        <f>_xlfn.LET(_xlpm.steps,SUBSTITUTE(Table13[[#This Row],[Input]],Table13[[#This Row],[Direction]],""),VALUE(IF(LEN(_xlpm.steps)&gt;2,RIGHT(_xlpm.steps,2),_xlpm.steps)))</f>
        <v>39</v>
      </c>
      <c r="D3618">
        <f>_xlfn.LET(_xlpm.steps,SUBSTITUTE(Table13[[#This Row],[Input]],Table13[[#This Row],[Direction]],""),VALUE(IF(LEN(_xlpm.steps)&gt;2,LEFT(_xlpm.steps,LEN(_xlpm.steps)-2),0)))</f>
        <v>0</v>
      </c>
      <c r="E3618">
        <f>_xlfn.LET(_xlpm.dir,Table13[[#This Row],[Direction]],
IF(_xlpm.dir="L",
    IF(G3617-Table13[[#This Row],[Steps]]&lt;0,100+(G3617-Table13[[#This Row],[Steps]]),G3617-Table13[[#This Row],[Steps]]),
))</f>
        <v>61</v>
      </c>
      <c r="F3618">
        <f>_xlfn.LET(_xlpm.dir,Table13[[#This Row],[Direction]],
IF(_xlpm.dir="R",
    IF(G3617+Table13[[#This Row],[Steps]]&gt;99,(G3617+Table13[[#This Row],[Steps]])-100,G3617+Table13[[#This Row],[Steps]]),
))</f>
        <v>0</v>
      </c>
      <c r="G3618">
        <f>IF(Table13[[#This Row],[New Pos L]]&lt;&gt;0,Table13[[#This Row],[New Pos L]],Table13[[#This Row],[New Pos R]])</f>
        <v>61</v>
      </c>
      <c r="H3618">
        <f>IF(AND(Table13[[#This Row],[Direction]]="L",Table13[[#This Row],[Steps]]&gt;G3617,G3617&lt;&gt;0),1,0)</f>
        <v>0</v>
      </c>
      <c r="I3618">
        <f>IF(AND(Table13[[#This Row],[Direction]]="R",(G3617+Table13[[#This Row],[Steps]])&gt;100),1,0)</f>
        <v>0</v>
      </c>
      <c r="J3618">
        <f>IF(Table13[[#This Row],[POS]]=0,1,0)</f>
        <v>0</v>
      </c>
      <c r="K3618">
        <f>SUM(Table13[[#This Row],[prefix]],Table13[[#This Row],[Past zero L]],Table13[[#This Row],[Past Zero R]],Table13[[#This Row],[Is Zero]])</f>
        <v>0</v>
      </c>
    </row>
    <row r="3619" spans="1:11" ht="16" x14ac:dyDescent="0.2">
      <c r="A3619" s="1" t="s">
        <v>79</v>
      </c>
      <c r="B3619" t="str">
        <f>LEFT(Table13[[#This Row],[Input]],1)</f>
        <v>L</v>
      </c>
      <c r="C3619">
        <f>_xlfn.LET(_xlpm.steps,SUBSTITUTE(Table13[[#This Row],[Input]],Table13[[#This Row],[Direction]],""),VALUE(IF(LEN(_xlpm.steps)&gt;2,RIGHT(_xlpm.steps,2),_xlpm.steps)))</f>
        <v>45</v>
      </c>
      <c r="D3619">
        <f>_xlfn.LET(_xlpm.steps,SUBSTITUTE(Table13[[#This Row],[Input]],Table13[[#This Row],[Direction]],""),VALUE(IF(LEN(_xlpm.steps)&gt;2,LEFT(_xlpm.steps,LEN(_xlpm.steps)-2),0)))</f>
        <v>0</v>
      </c>
      <c r="E3619">
        <f>_xlfn.LET(_xlpm.dir,Table13[[#This Row],[Direction]],
IF(_xlpm.dir="L",
    IF(G3618-Table13[[#This Row],[Steps]]&lt;0,100+(G3618-Table13[[#This Row],[Steps]]),G3618-Table13[[#This Row],[Steps]]),
))</f>
        <v>16</v>
      </c>
      <c r="F3619">
        <f>_xlfn.LET(_xlpm.dir,Table13[[#This Row],[Direction]],
IF(_xlpm.dir="R",
    IF(G3618+Table13[[#This Row],[Steps]]&gt;99,(G3618+Table13[[#This Row],[Steps]])-100,G3618+Table13[[#This Row],[Steps]]),
))</f>
        <v>0</v>
      </c>
      <c r="G3619">
        <f>IF(Table13[[#This Row],[New Pos L]]&lt;&gt;0,Table13[[#This Row],[New Pos L]],Table13[[#This Row],[New Pos R]])</f>
        <v>16</v>
      </c>
      <c r="H3619">
        <f>IF(AND(Table13[[#This Row],[Direction]]="L",Table13[[#This Row],[Steps]]&gt;G3618,G3618&lt;&gt;0),1,0)</f>
        <v>0</v>
      </c>
      <c r="I3619">
        <f>IF(AND(Table13[[#This Row],[Direction]]="R",(G3618+Table13[[#This Row],[Steps]])&gt;100),1,0)</f>
        <v>0</v>
      </c>
      <c r="J3619">
        <f>IF(Table13[[#This Row],[POS]]=0,1,0)</f>
        <v>0</v>
      </c>
      <c r="K3619">
        <f>SUM(Table13[[#This Row],[prefix]],Table13[[#This Row],[Past zero L]],Table13[[#This Row],[Past Zero R]],Table13[[#This Row],[Is Zero]])</f>
        <v>0</v>
      </c>
    </row>
    <row r="3620" spans="1:11" ht="16" x14ac:dyDescent="0.2">
      <c r="A3620" s="1" t="s">
        <v>29</v>
      </c>
      <c r="B3620" t="str">
        <f>LEFT(Table13[[#This Row],[Input]],1)</f>
        <v>L</v>
      </c>
      <c r="C3620">
        <f>_xlfn.LET(_xlpm.steps,SUBSTITUTE(Table13[[#This Row],[Input]],Table13[[#This Row],[Direction]],""),VALUE(IF(LEN(_xlpm.steps)&gt;2,RIGHT(_xlpm.steps,2),_xlpm.steps)))</f>
        <v>33</v>
      </c>
      <c r="D3620">
        <f>_xlfn.LET(_xlpm.steps,SUBSTITUTE(Table13[[#This Row],[Input]],Table13[[#This Row],[Direction]],""),VALUE(IF(LEN(_xlpm.steps)&gt;2,LEFT(_xlpm.steps,LEN(_xlpm.steps)-2),0)))</f>
        <v>0</v>
      </c>
      <c r="E3620">
        <f>_xlfn.LET(_xlpm.dir,Table13[[#This Row],[Direction]],
IF(_xlpm.dir="L",
    IF(G3619-Table13[[#This Row],[Steps]]&lt;0,100+(G3619-Table13[[#This Row],[Steps]]),G3619-Table13[[#This Row],[Steps]]),
))</f>
        <v>83</v>
      </c>
      <c r="F3620">
        <f>_xlfn.LET(_xlpm.dir,Table13[[#This Row],[Direction]],
IF(_xlpm.dir="R",
    IF(G3619+Table13[[#This Row],[Steps]]&gt;99,(G3619+Table13[[#This Row],[Steps]])-100,G3619+Table13[[#This Row],[Steps]]),
))</f>
        <v>0</v>
      </c>
      <c r="G3620">
        <f>IF(Table13[[#This Row],[New Pos L]]&lt;&gt;0,Table13[[#This Row],[New Pos L]],Table13[[#This Row],[New Pos R]])</f>
        <v>83</v>
      </c>
      <c r="H3620">
        <f>IF(AND(Table13[[#This Row],[Direction]]="L",Table13[[#This Row],[Steps]]&gt;G3619,G3619&lt;&gt;0),1,0)</f>
        <v>1</v>
      </c>
      <c r="I3620">
        <f>IF(AND(Table13[[#This Row],[Direction]]="R",(G3619+Table13[[#This Row],[Steps]])&gt;100),1,0)</f>
        <v>0</v>
      </c>
      <c r="J3620">
        <f>IF(Table13[[#This Row],[POS]]=0,1,0)</f>
        <v>0</v>
      </c>
      <c r="K3620">
        <f>SUM(Table13[[#This Row],[prefix]],Table13[[#This Row],[Past zero L]],Table13[[#This Row],[Past Zero R]],Table13[[#This Row],[Is Zero]])</f>
        <v>1</v>
      </c>
    </row>
    <row r="3621" spans="1:11" ht="16" x14ac:dyDescent="0.2">
      <c r="A3621" s="1" t="s">
        <v>771</v>
      </c>
      <c r="B3621" t="str">
        <f>LEFT(Table13[[#This Row],[Input]],1)</f>
        <v>L</v>
      </c>
      <c r="C3621">
        <f>_xlfn.LET(_xlpm.steps,SUBSTITUTE(Table13[[#This Row],[Input]],Table13[[#This Row],[Direction]],""),VALUE(IF(LEN(_xlpm.steps)&gt;2,RIGHT(_xlpm.steps,2),_xlpm.steps)))</f>
        <v>33</v>
      </c>
      <c r="D3621">
        <f>_xlfn.LET(_xlpm.steps,SUBSTITUTE(Table13[[#This Row],[Input]],Table13[[#This Row],[Direction]],""),VALUE(IF(LEN(_xlpm.steps)&gt;2,LEFT(_xlpm.steps,LEN(_xlpm.steps)-2),0)))</f>
        <v>3</v>
      </c>
      <c r="E3621">
        <f>_xlfn.LET(_xlpm.dir,Table13[[#This Row],[Direction]],
IF(_xlpm.dir="L",
    IF(G3620-Table13[[#This Row],[Steps]]&lt;0,100+(G3620-Table13[[#This Row],[Steps]]),G3620-Table13[[#This Row],[Steps]]),
))</f>
        <v>50</v>
      </c>
      <c r="F3621">
        <f>_xlfn.LET(_xlpm.dir,Table13[[#This Row],[Direction]],
IF(_xlpm.dir="R",
    IF(G3620+Table13[[#This Row],[Steps]]&gt;99,(G3620+Table13[[#This Row],[Steps]])-100,G3620+Table13[[#This Row],[Steps]]),
))</f>
        <v>0</v>
      </c>
      <c r="G3621">
        <f>IF(Table13[[#This Row],[New Pos L]]&lt;&gt;0,Table13[[#This Row],[New Pos L]],Table13[[#This Row],[New Pos R]])</f>
        <v>50</v>
      </c>
      <c r="H3621">
        <f>IF(AND(Table13[[#This Row],[Direction]]="L",Table13[[#This Row],[Steps]]&gt;G3620,G3620&lt;&gt;0),1,0)</f>
        <v>0</v>
      </c>
      <c r="I3621">
        <f>IF(AND(Table13[[#This Row],[Direction]]="R",(G3620+Table13[[#This Row],[Steps]])&gt;100),1,0)</f>
        <v>0</v>
      </c>
      <c r="J3621">
        <f>IF(Table13[[#This Row],[POS]]=0,1,0)</f>
        <v>0</v>
      </c>
      <c r="K3621">
        <f>SUM(Table13[[#This Row],[prefix]],Table13[[#This Row],[Past zero L]],Table13[[#This Row],[Past Zero R]],Table13[[#This Row],[Is Zero]])</f>
        <v>3</v>
      </c>
    </row>
    <row r="3622" spans="1:11" ht="16" x14ac:dyDescent="0.2">
      <c r="A3622" s="1" t="s">
        <v>205</v>
      </c>
      <c r="B3622" t="str">
        <f>LEFT(Table13[[#This Row],[Input]],1)</f>
        <v>R</v>
      </c>
      <c r="C3622">
        <f>_xlfn.LET(_xlpm.steps,SUBSTITUTE(Table13[[#This Row],[Input]],Table13[[#This Row],[Direction]],""),VALUE(IF(LEN(_xlpm.steps)&gt;2,RIGHT(_xlpm.steps,2),_xlpm.steps)))</f>
        <v>83</v>
      </c>
      <c r="D3622">
        <f>_xlfn.LET(_xlpm.steps,SUBSTITUTE(Table13[[#This Row],[Input]],Table13[[#This Row],[Direction]],""),VALUE(IF(LEN(_xlpm.steps)&gt;2,LEFT(_xlpm.steps,LEN(_xlpm.steps)-2),0)))</f>
        <v>0</v>
      </c>
      <c r="E3622">
        <f>_xlfn.LET(_xlpm.dir,Table13[[#This Row],[Direction]],
IF(_xlpm.dir="L",
    IF(G3621-Table13[[#This Row],[Steps]]&lt;0,100+(G3621-Table13[[#This Row],[Steps]]),G3621-Table13[[#This Row],[Steps]]),
))</f>
        <v>0</v>
      </c>
      <c r="F3622">
        <f>_xlfn.LET(_xlpm.dir,Table13[[#This Row],[Direction]],
IF(_xlpm.dir="R",
    IF(G3621+Table13[[#This Row],[Steps]]&gt;99,(G3621+Table13[[#This Row],[Steps]])-100,G3621+Table13[[#This Row],[Steps]]),
))</f>
        <v>33</v>
      </c>
      <c r="G3622">
        <f>IF(Table13[[#This Row],[New Pos L]]&lt;&gt;0,Table13[[#This Row],[New Pos L]],Table13[[#This Row],[New Pos R]])</f>
        <v>33</v>
      </c>
      <c r="H3622">
        <f>IF(AND(Table13[[#This Row],[Direction]]="L",Table13[[#This Row],[Steps]]&gt;G3621,G3621&lt;&gt;0),1,0)</f>
        <v>0</v>
      </c>
      <c r="I3622">
        <f>IF(AND(Table13[[#This Row],[Direction]]="R",(G3621+Table13[[#This Row],[Steps]])&gt;100),1,0)</f>
        <v>1</v>
      </c>
      <c r="J3622">
        <f>IF(Table13[[#This Row],[POS]]=0,1,0)</f>
        <v>0</v>
      </c>
      <c r="K3622">
        <f>SUM(Table13[[#This Row],[prefix]],Table13[[#This Row],[Past zero L]],Table13[[#This Row],[Past Zero R]],Table13[[#This Row],[Is Zero]])</f>
        <v>1</v>
      </c>
    </row>
    <row r="3623" spans="1:11" ht="16" x14ac:dyDescent="0.2">
      <c r="A3623" s="1" t="s">
        <v>293</v>
      </c>
      <c r="B3623" t="str">
        <f>LEFT(Table13[[#This Row],[Input]],1)</f>
        <v>R</v>
      </c>
      <c r="C3623">
        <f>_xlfn.LET(_xlpm.steps,SUBSTITUTE(Table13[[#This Row],[Input]],Table13[[#This Row],[Direction]],""),VALUE(IF(LEN(_xlpm.steps)&gt;2,RIGHT(_xlpm.steps,2),_xlpm.steps)))</f>
        <v>67</v>
      </c>
      <c r="D3623">
        <f>_xlfn.LET(_xlpm.steps,SUBSTITUTE(Table13[[#This Row],[Input]],Table13[[#This Row],[Direction]],""),VALUE(IF(LEN(_xlpm.steps)&gt;2,LEFT(_xlpm.steps,LEN(_xlpm.steps)-2),0)))</f>
        <v>0</v>
      </c>
      <c r="E3623">
        <f>_xlfn.LET(_xlpm.dir,Table13[[#This Row],[Direction]],
IF(_xlpm.dir="L",
    IF(G3622-Table13[[#This Row],[Steps]]&lt;0,100+(G3622-Table13[[#This Row],[Steps]]),G3622-Table13[[#This Row],[Steps]]),
))</f>
        <v>0</v>
      </c>
      <c r="F3623">
        <f>_xlfn.LET(_xlpm.dir,Table13[[#This Row],[Direction]],
IF(_xlpm.dir="R",
    IF(G3622+Table13[[#This Row],[Steps]]&gt;99,(G3622+Table13[[#This Row],[Steps]])-100,G3622+Table13[[#This Row],[Steps]]),
))</f>
        <v>0</v>
      </c>
      <c r="G3623">
        <f>IF(Table13[[#This Row],[New Pos L]]&lt;&gt;0,Table13[[#This Row],[New Pos L]],Table13[[#This Row],[New Pos R]])</f>
        <v>0</v>
      </c>
      <c r="H3623">
        <f>IF(AND(Table13[[#This Row],[Direction]]="L",Table13[[#This Row],[Steps]]&gt;G3622,G3622&lt;&gt;0),1,0)</f>
        <v>0</v>
      </c>
      <c r="I3623">
        <f>IF(AND(Table13[[#This Row],[Direction]]="R",(G3622+Table13[[#This Row],[Steps]])&gt;100),1,0)</f>
        <v>0</v>
      </c>
      <c r="J3623">
        <f>IF(Table13[[#This Row],[POS]]=0,1,0)</f>
        <v>1</v>
      </c>
      <c r="K3623">
        <f>SUM(Table13[[#This Row],[prefix]],Table13[[#This Row],[Past zero L]],Table13[[#This Row],[Past Zero R]],Table13[[#This Row],[Is Zero]])</f>
        <v>1</v>
      </c>
    </row>
    <row r="3624" spans="1:11" ht="16" x14ac:dyDescent="0.2">
      <c r="A3624" s="1" t="s">
        <v>223</v>
      </c>
      <c r="B3624" t="str">
        <f>LEFT(Table13[[#This Row],[Input]],1)</f>
        <v>L</v>
      </c>
      <c r="C3624">
        <f>_xlfn.LET(_xlpm.steps,SUBSTITUTE(Table13[[#This Row],[Input]],Table13[[#This Row],[Direction]],""),VALUE(IF(LEN(_xlpm.steps)&gt;2,RIGHT(_xlpm.steps,2),_xlpm.steps)))</f>
        <v>87</v>
      </c>
      <c r="D3624">
        <f>_xlfn.LET(_xlpm.steps,SUBSTITUTE(Table13[[#This Row],[Input]],Table13[[#This Row],[Direction]],""),VALUE(IF(LEN(_xlpm.steps)&gt;2,LEFT(_xlpm.steps,LEN(_xlpm.steps)-2),0)))</f>
        <v>0</v>
      </c>
      <c r="E3624">
        <f>_xlfn.LET(_xlpm.dir,Table13[[#This Row],[Direction]],
IF(_xlpm.dir="L",
    IF(G3623-Table13[[#This Row],[Steps]]&lt;0,100+(G3623-Table13[[#This Row],[Steps]]),G3623-Table13[[#This Row],[Steps]]),
))</f>
        <v>13</v>
      </c>
      <c r="F3624">
        <f>_xlfn.LET(_xlpm.dir,Table13[[#This Row],[Direction]],
IF(_xlpm.dir="R",
    IF(G3623+Table13[[#This Row],[Steps]]&gt;99,(G3623+Table13[[#This Row],[Steps]])-100,G3623+Table13[[#This Row],[Steps]]),
))</f>
        <v>0</v>
      </c>
      <c r="G3624">
        <f>IF(Table13[[#This Row],[New Pos L]]&lt;&gt;0,Table13[[#This Row],[New Pos L]],Table13[[#This Row],[New Pos R]])</f>
        <v>13</v>
      </c>
      <c r="H3624">
        <f>IF(AND(Table13[[#This Row],[Direction]]="L",Table13[[#This Row],[Steps]]&gt;G3623,G3623&lt;&gt;0),1,0)</f>
        <v>0</v>
      </c>
      <c r="I3624">
        <f>IF(AND(Table13[[#This Row],[Direction]]="R",(G3623+Table13[[#This Row],[Steps]])&gt;100),1,0)</f>
        <v>0</v>
      </c>
      <c r="J3624">
        <f>IF(Table13[[#This Row],[POS]]=0,1,0)</f>
        <v>0</v>
      </c>
      <c r="K3624">
        <f>SUM(Table13[[#This Row],[prefix]],Table13[[#This Row],[Past zero L]],Table13[[#This Row],[Past Zero R]],Table13[[#This Row],[Is Zero]])</f>
        <v>0</v>
      </c>
    </row>
    <row r="3625" spans="1:11" ht="16" x14ac:dyDescent="0.2">
      <c r="A3625" s="1" t="s">
        <v>772</v>
      </c>
      <c r="B3625" t="str">
        <f>LEFT(Table13[[#This Row],[Input]],1)</f>
        <v>L</v>
      </c>
      <c r="C3625">
        <f>_xlfn.LET(_xlpm.steps,SUBSTITUTE(Table13[[#This Row],[Input]],Table13[[#This Row],[Direction]],""),VALUE(IF(LEN(_xlpm.steps)&gt;2,RIGHT(_xlpm.steps,2),_xlpm.steps)))</f>
        <v>95</v>
      </c>
      <c r="D3625">
        <f>_xlfn.LET(_xlpm.steps,SUBSTITUTE(Table13[[#This Row],[Input]],Table13[[#This Row],[Direction]],""),VALUE(IF(LEN(_xlpm.steps)&gt;2,LEFT(_xlpm.steps,LEN(_xlpm.steps)-2),0)))</f>
        <v>8</v>
      </c>
      <c r="E3625">
        <f>_xlfn.LET(_xlpm.dir,Table13[[#This Row],[Direction]],
IF(_xlpm.dir="L",
    IF(G3624-Table13[[#This Row],[Steps]]&lt;0,100+(G3624-Table13[[#This Row],[Steps]]),G3624-Table13[[#This Row],[Steps]]),
))</f>
        <v>18</v>
      </c>
      <c r="F3625">
        <f>_xlfn.LET(_xlpm.dir,Table13[[#This Row],[Direction]],
IF(_xlpm.dir="R",
    IF(G3624+Table13[[#This Row],[Steps]]&gt;99,(G3624+Table13[[#This Row],[Steps]])-100,G3624+Table13[[#This Row],[Steps]]),
))</f>
        <v>0</v>
      </c>
      <c r="G3625">
        <f>IF(Table13[[#This Row],[New Pos L]]&lt;&gt;0,Table13[[#This Row],[New Pos L]],Table13[[#This Row],[New Pos R]])</f>
        <v>18</v>
      </c>
      <c r="H3625">
        <f>IF(AND(Table13[[#This Row],[Direction]]="L",Table13[[#This Row],[Steps]]&gt;G3624,G3624&lt;&gt;0),1,0)</f>
        <v>1</v>
      </c>
      <c r="I3625">
        <f>IF(AND(Table13[[#This Row],[Direction]]="R",(G3624+Table13[[#This Row],[Steps]])&gt;100),1,0)</f>
        <v>0</v>
      </c>
      <c r="J3625">
        <f>IF(Table13[[#This Row],[POS]]=0,1,0)</f>
        <v>0</v>
      </c>
      <c r="K3625">
        <f>SUM(Table13[[#This Row],[prefix]],Table13[[#This Row],[Past zero L]],Table13[[#This Row],[Past Zero R]],Table13[[#This Row],[Is Zero]])</f>
        <v>9</v>
      </c>
    </row>
    <row r="3626" spans="1:11" ht="16" x14ac:dyDescent="0.2">
      <c r="A3626" s="1" t="s">
        <v>234</v>
      </c>
      <c r="B3626" t="str">
        <f>LEFT(Table13[[#This Row],[Input]],1)</f>
        <v>R</v>
      </c>
      <c r="C3626">
        <f>_xlfn.LET(_xlpm.steps,SUBSTITUTE(Table13[[#This Row],[Input]],Table13[[#This Row],[Direction]],""),VALUE(IF(LEN(_xlpm.steps)&gt;2,RIGHT(_xlpm.steps,2),_xlpm.steps)))</f>
        <v>82</v>
      </c>
      <c r="D3626">
        <f>_xlfn.LET(_xlpm.steps,SUBSTITUTE(Table13[[#This Row],[Input]],Table13[[#This Row],[Direction]],""),VALUE(IF(LEN(_xlpm.steps)&gt;2,LEFT(_xlpm.steps,LEN(_xlpm.steps)-2),0)))</f>
        <v>0</v>
      </c>
      <c r="E3626">
        <f>_xlfn.LET(_xlpm.dir,Table13[[#This Row],[Direction]],
IF(_xlpm.dir="L",
    IF(G3625-Table13[[#This Row],[Steps]]&lt;0,100+(G3625-Table13[[#This Row],[Steps]]),G3625-Table13[[#This Row],[Steps]]),
))</f>
        <v>0</v>
      </c>
      <c r="F3626">
        <f>_xlfn.LET(_xlpm.dir,Table13[[#This Row],[Direction]],
IF(_xlpm.dir="R",
    IF(G3625+Table13[[#This Row],[Steps]]&gt;99,(G3625+Table13[[#This Row],[Steps]])-100,G3625+Table13[[#This Row],[Steps]]),
))</f>
        <v>0</v>
      </c>
      <c r="G3626">
        <f>IF(Table13[[#This Row],[New Pos L]]&lt;&gt;0,Table13[[#This Row],[New Pos L]],Table13[[#This Row],[New Pos R]])</f>
        <v>0</v>
      </c>
      <c r="H3626">
        <f>IF(AND(Table13[[#This Row],[Direction]]="L",Table13[[#This Row],[Steps]]&gt;G3625,G3625&lt;&gt;0),1,0)</f>
        <v>0</v>
      </c>
      <c r="I3626">
        <f>IF(AND(Table13[[#This Row],[Direction]]="R",(G3625+Table13[[#This Row],[Steps]])&gt;100),1,0)</f>
        <v>0</v>
      </c>
      <c r="J3626">
        <f>IF(Table13[[#This Row],[POS]]=0,1,0)</f>
        <v>1</v>
      </c>
      <c r="K3626">
        <f>SUM(Table13[[#This Row],[prefix]],Table13[[#This Row],[Past zero L]],Table13[[#This Row],[Past Zero R]],Table13[[#This Row],[Is Zero]])</f>
        <v>1</v>
      </c>
    </row>
    <row r="3627" spans="1:11" ht="16" x14ac:dyDescent="0.2">
      <c r="A3627" s="1" t="s">
        <v>12</v>
      </c>
      <c r="B3627" t="str">
        <f>LEFT(Table13[[#This Row],[Input]],1)</f>
        <v>L</v>
      </c>
      <c r="C3627">
        <f>_xlfn.LET(_xlpm.steps,SUBSTITUTE(Table13[[#This Row],[Input]],Table13[[#This Row],[Direction]],""),VALUE(IF(LEN(_xlpm.steps)&gt;2,RIGHT(_xlpm.steps,2),_xlpm.steps)))</f>
        <v>11</v>
      </c>
      <c r="D3627">
        <f>_xlfn.LET(_xlpm.steps,SUBSTITUTE(Table13[[#This Row],[Input]],Table13[[#This Row],[Direction]],""),VALUE(IF(LEN(_xlpm.steps)&gt;2,LEFT(_xlpm.steps,LEN(_xlpm.steps)-2),0)))</f>
        <v>0</v>
      </c>
      <c r="E3627">
        <f>_xlfn.LET(_xlpm.dir,Table13[[#This Row],[Direction]],
IF(_xlpm.dir="L",
    IF(G3626-Table13[[#This Row],[Steps]]&lt;0,100+(G3626-Table13[[#This Row],[Steps]]),G3626-Table13[[#This Row],[Steps]]),
))</f>
        <v>89</v>
      </c>
      <c r="F3627">
        <f>_xlfn.LET(_xlpm.dir,Table13[[#This Row],[Direction]],
IF(_xlpm.dir="R",
    IF(G3626+Table13[[#This Row],[Steps]]&gt;99,(G3626+Table13[[#This Row],[Steps]])-100,G3626+Table13[[#This Row],[Steps]]),
))</f>
        <v>0</v>
      </c>
      <c r="G3627">
        <f>IF(Table13[[#This Row],[New Pos L]]&lt;&gt;0,Table13[[#This Row],[New Pos L]],Table13[[#This Row],[New Pos R]])</f>
        <v>89</v>
      </c>
      <c r="H3627">
        <f>IF(AND(Table13[[#This Row],[Direction]]="L",Table13[[#This Row],[Steps]]&gt;G3626,G3626&lt;&gt;0),1,0)</f>
        <v>0</v>
      </c>
      <c r="I3627">
        <f>IF(AND(Table13[[#This Row],[Direction]]="R",(G3626+Table13[[#This Row],[Steps]])&gt;100),1,0)</f>
        <v>0</v>
      </c>
      <c r="J3627">
        <f>IF(Table13[[#This Row],[POS]]=0,1,0)</f>
        <v>0</v>
      </c>
      <c r="K3627">
        <f>SUM(Table13[[#This Row],[prefix]],Table13[[#This Row],[Past zero L]],Table13[[#This Row],[Past Zero R]],Table13[[#This Row],[Is Zero]])</f>
        <v>0</v>
      </c>
    </row>
    <row r="3628" spans="1:11" ht="16" x14ac:dyDescent="0.2">
      <c r="A3628" s="1" t="s">
        <v>52</v>
      </c>
      <c r="B3628" t="str">
        <f>LEFT(Table13[[#This Row],[Input]],1)</f>
        <v>R</v>
      </c>
      <c r="C3628">
        <f>_xlfn.LET(_xlpm.steps,SUBSTITUTE(Table13[[#This Row],[Input]],Table13[[#This Row],[Direction]],""),VALUE(IF(LEN(_xlpm.steps)&gt;2,RIGHT(_xlpm.steps,2),_xlpm.steps)))</f>
        <v>11</v>
      </c>
      <c r="D3628">
        <f>_xlfn.LET(_xlpm.steps,SUBSTITUTE(Table13[[#This Row],[Input]],Table13[[#This Row],[Direction]],""),VALUE(IF(LEN(_xlpm.steps)&gt;2,LEFT(_xlpm.steps,LEN(_xlpm.steps)-2),0)))</f>
        <v>0</v>
      </c>
      <c r="E3628">
        <f>_xlfn.LET(_xlpm.dir,Table13[[#This Row],[Direction]],
IF(_xlpm.dir="L",
    IF(G3627-Table13[[#This Row],[Steps]]&lt;0,100+(G3627-Table13[[#This Row],[Steps]]),G3627-Table13[[#This Row],[Steps]]),
))</f>
        <v>0</v>
      </c>
      <c r="F3628">
        <f>_xlfn.LET(_xlpm.dir,Table13[[#This Row],[Direction]],
IF(_xlpm.dir="R",
    IF(G3627+Table13[[#This Row],[Steps]]&gt;99,(G3627+Table13[[#This Row],[Steps]])-100,G3627+Table13[[#This Row],[Steps]]),
))</f>
        <v>0</v>
      </c>
      <c r="G3628">
        <f>IF(Table13[[#This Row],[New Pos L]]&lt;&gt;0,Table13[[#This Row],[New Pos L]],Table13[[#This Row],[New Pos R]])</f>
        <v>0</v>
      </c>
      <c r="H3628">
        <f>IF(AND(Table13[[#This Row],[Direction]]="L",Table13[[#This Row],[Steps]]&gt;G3627,G3627&lt;&gt;0),1,0)</f>
        <v>0</v>
      </c>
      <c r="I3628">
        <f>IF(AND(Table13[[#This Row],[Direction]]="R",(G3627+Table13[[#This Row],[Steps]])&gt;100),1,0)</f>
        <v>0</v>
      </c>
      <c r="J3628">
        <f>IF(Table13[[#This Row],[POS]]=0,1,0)</f>
        <v>1</v>
      </c>
      <c r="K3628">
        <f>SUM(Table13[[#This Row],[prefix]],Table13[[#This Row],[Past zero L]],Table13[[#This Row],[Past Zero R]],Table13[[#This Row],[Is Zero]])</f>
        <v>1</v>
      </c>
    </row>
    <row r="3629" spans="1:11" ht="16" x14ac:dyDescent="0.2">
      <c r="A3629" s="1" t="s">
        <v>95</v>
      </c>
      <c r="B3629" t="str">
        <f>LEFT(Table13[[#This Row],[Input]],1)</f>
        <v>L</v>
      </c>
      <c r="C3629">
        <f>_xlfn.LET(_xlpm.steps,SUBSTITUTE(Table13[[#This Row],[Input]],Table13[[#This Row],[Direction]],""),VALUE(IF(LEN(_xlpm.steps)&gt;2,RIGHT(_xlpm.steps,2),_xlpm.steps)))</f>
        <v>78</v>
      </c>
      <c r="D3629">
        <f>_xlfn.LET(_xlpm.steps,SUBSTITUTE(Table13[[#This Row],[Input]],Table13[[#This Row],[Direction]],""),VALUE(IF(LEN(_xlpm.steps)&gt;2,LEFT(_xlpm.steps,LEN(_xlpm.steps)-2),0)))</f>
        <v>0</v>
      </c>
      <c r="E3629">
        <f>_xlfn.LET(_xlpm.dir,Table13[[#This Row],[Direction]],
IF(_xlpm.dir="L",
    IF(G3628-Table13[[#This Row],[Steps]]&lt;0,100+(G3628-Table13[[#This Row],[Steps]]),G3628-Table13[[#This Row],[Steps]]),
))</f>
        <v>22</v>
      </c>
      <c r="F3629">
        <f>_xlfn.LET(_xlpm.dir,Table13[[#This Row],[Direction]],
IF(_xlpm.dir="R",
    IF(G3628+Table13[[#This Row],[Steps]]&gt;99,(G3628+Table13[[#This Row],[Steps]])-100,G3628+Table13[[#This Row],[Steps]]),
))</f>
        <v>0</v>
      </c>
      <c r="G3629">
        <f>IF(Table13[[#This Row],[New Pos L]]&lt;&gt;0,Table13[[#This Row],[New Pos L]],Table13[[#This Row],[New Pos R]])</f>
        <v>22</v>
      </c>
      <c r="H3629">
        <f>IF(AND(Table13[[#This Row],[Direction]]="L",Table13[[#This Row],[Steps]]&gt;G3628,G3628&lt;&gt;0),1,0)</f>
        <v>0</v>
      </c>
      <c r="I3629">
        <f>IF(AND(Table13[[#This Row],[Direction]]="R",(G3628+Table13[[#This Row],[Steps]])&gt;100),1,0)</f>
        <v>0</v>
      </c>
      <c r="J3629">
        <f>IF(Table13[[#This Row],[POS]]=0,1,0)</f>
        <v>0</v>
      </c>
      <c r="K3629">
        <f>SUM(Table13[[#This Row],[prefix]],Table13[[#This Row],[Past zero L]],Table13[[#This Row],[Past Zero R]],Table13[[#This Row],[Is Zero]])</f>
        <v>0</v>
      </c>
    </row>
    <row r="3630" spans="1:11" ht="16" x14ac:dyDescent="0.2">
      <c r="A3630" s="1" t="s">
        <v>773</v>
      </c>
      <c r="B3630" t="str">
        <f>LEFT(Table13[[#This Row],[Input]],1)</f>
        <v>L</v>
      </c>
      <c r="C3630">
        <f>_xlfn.LET(_xlpm.steps,SUBSTITUTE(Table13[[#This Row],[Input]],Table13[[#This Row],[Direction]],""),VALUE(IF(LEN(_xlpm.steps)&gt;2,RIGHT(_xlpm.steps,2),_xlpm.steps)))</f>
        <v>61</v>
      </c>
      <c r="D3630">
        <f>_xlfn.LET(_xlpm.steps,SUBSTITUTE(Table13[[#This Row],[Input]],Table13[[#This Row],[Direction]],""),VALUE(IF(LEN(_xlpm.steps)&gt;2,LEFT(_xlpm.steps,LEN(_xlpm.steps)-2),0)))</f>
        <v>7</v>
      </c>
      <c r="E3630">
        <f>_xlfn.LET(_xlpm.dir,Table13[[#This Row],[Direction]],
IF(_xlpm.dir="L",
    IF(G3629-Table13[[#This Row],[Steps]]&lt;0,100+(G3629-Table13[[#This Row],[Steps]]),G3629-Table13[[#This Row],[Steps]]),
))</f>
        <v>61</v>
      </c>
      <c r="F3630">
        <f>_xlfn.LET(_xlpm.dir,Table13[[#This Row],[Direction]],
IF(_xlpm.dir="R",
    IF(G3629+Table13[[#This Row],[Steps]]&gt;99,(G3629+Table13[[#This Row],[Steps]])-100,G3629+Table13[[#This Row],[Steps]]),
))</f>
        <v>0</v>
      </c>
      <c r="G3630">
        <f>IF(Table13[[#This Row],[New Pos L]]&lt;&gt;0,Table13[[#This Row],[New Pos L]],Table13[[#This Row],[New Pos R]])</f>
        <v>61</v>
      </c>
      <c r="H3630">
        <f>IF(AND(Table13[[#This Row],[Direction]]="L",Table13[[#This Row],[Steps]]&gt;G3629,G3629&lt;&gt;0),1,0)</f>
        <v>1</v>
      </c>
      <c r="I3630">
        <f>IF(AND(Table13[[#This Row],[Direction]]="R",(G3629+Table13[[#This Row],[Steps]])&gt;100),1,0)</f>
        <v>0</v>
      </c>
      <c r="J3630">
        <f>IF(Table13[[#This Row],[POS]]=0,1,0)</f>
        <v>0</v>
      </c>
      <c r="K3630">
        <f>SUM(Table13[[#This Row],[prefix]],Table13[[#This Row],[Past zero L]],Table13[[#This Row],[Past Zero R]],Table13[[#This Row],[Is Zero]])</f>
        <v>8</v>
      </c>
    </row>
    <row r="3631" spans="1:11" ht="16" x14ac:dyDescent="0.2">
      <c r="A3631" s="1" t="s">
        <v>140</v>
      </c>
      <c r="B3631" t="str">
        <f>LEFT(Table13[[#This Row],[Input]],1)</f>
        <v>L</v>
      </c>
      <c r="C3631">
        <f>_xlfn.LET(_xlpm.steps,SUBSTITUTE(Table13[[#This Row],[Input]],Table13[[#This Row],[Direction]],""),VALUE(IF(LEN(_xlpm.steps)&gt;2,RIGHT(_xlpm.steps,2),_xlpm.steps)))</f>
        <v>61</v>
      </c>
      <c r="D3631">
        <f>_xlfn.LET(_xlpm.steps,SUBSTITUTE(Table13[[#This Row],[Input]],Table13[[#This Row],[Direction]],""),VALUE(IF(LEN(_xlpm.steps)&gt;2,LEFT(_xlpm.steps,LEN(_xlpm.steps)-2),0)))</f>
        <v>0</v>
      </c>
      <c r="E3631">
        <f>_xlfn.LET(_xlpm.dir,Table13[[#This Row],[Direction]],
IF(_xlpm.dir="L",
    IF(G3630-Table13[[#This Row],[Steps]]&lt;0,100+(G3630-Table13[[#This Row],[Steps]]),G3630-Table13[[#This Row],[Steps]]),
))</f>
        <v>0</v>
      </c>
      <c r="F3631">
        <f>_xlfn.LET(_xlpm.dir,Table13[[#This Row],[Direction]],
IF(_xlpm.dir="R",
    IF(G3630+Table13[[#This Row],[Steps]]&gt;99,(G3630+Table13[[#This Row],[Steps]])-100,G3630+Table13[[#This Row],[Steps]]),
))</f>
        <v>0</v>
      </c>
      <c r="G3631">
        <f>IF(Table13[[#This Row],[New Pos L]]&lt;&gt;0,Table13[[#This Row],[New Pos L]],Table13[[#This Row],[New Pos R]])</f>
        <v>0</v>
      </c>
      <c r="H3631">
        <f>IF(AND(Table13[[#This Row],[Direction]]="L",Table13[[#This Row],[Steps]]&gt;G3630,G3630&lt;&gt;0),1,0)</f>
        <v>0</v>
      </c>
      <c r="I3631">
        <f>IF(AND(Table13[[#This Row],[Direction]]="R",(G3630+Table13[[#This Row],[Steps]])&gt;100),1,0)</f>
        <v>0</v>
      </c>
      <c r="J3631">
        <f>IF(Table13[[#This Row],[POS]]=0,1,0)</f>
        <v>1</v>
      </c>
      <c r="K3631">
        <f>SUM(Table13[[#This Row],[prefix]],Table13[[#This Row],[Past zero L]],Table13[[#This Row],[Past Zero R]],Table13[[#This Row],[Is Zero]])</f>
        <v>1</v>
      </c>
    </row>
    <row r="3632" spans="1:11" ht="16" x14ac:dyDescent="0.2">
      <c r="A3632" s="1" t="s">
        <v>64</v>
      </c>
      <c r="B3632" t="str">
        <f>LEFT(Table13[[#This Row],[Input]],1)</f>
        <v>R</v>
      </c>
      <c r="C3632">
        <f>_xlfn.LET(_xlpm.steps,SUBSTITUTE(Table13[[#This Row],[Input]],Table13[[#This Row],[Direction]],""),VALUE(IF(LEN(_xlpm.steps)&gt;2,RIGHT(_xlpm.steps,2),_xlpm.steps)))</f>
        <v>10</v>
      </c>
      <c r="D3632">
        <f>_xlfn.LET(_xlpm.steps,SUBSTITUTE(Table13[[#This Row],[Input]],Table13[[#This Row],[Direction]],""),VALUE(IF(LEN(_xlpm.steps)&gt;2,LEFT(_xlpm.steps,LEN(_xlpm.steps)-2),0)))</f>
        <v>0</v>
      </c>
      <c r="E3632">
        <f>_xlfn.LET(_xlpm.dir,Table13[[#This Row],[Direction]],
IF(_xlpm.dir="L",
    IF(G3631-Table13[[#This Row],[Steps]]&lt;0,100+(G3631-Table13[[#This Row],[Steps]]),G3631-Table13[[#This Row],[Steps]]),
))</f>
        <v>0</v>
      </c>
      <c r="F3632">
        <f>_xlfn.LET(_xlpm.dir,Table13[[#This Row],[Direction]],
IF(_xlpm.dir="R",
    IF(G3631+Table13[[#This Row],[Steps]]&gt;99,(G3631+Table13[[#This Row],[Steps]])-100,G3631+Table13[[#This Row],[Steps]]),
))</f>
        <v>10</v>
      </c>
      <c r="G3632">
        <f>IF(Table13[[#This Row],[New Pos L]]&lt;&gt;0,Table13[[#This Row],[New Pos L]],Table13[[#This Row],[New Pos R]])</f>
        <v>10</v>
      </c>
      <c r="H3632">
        <f>IF(AND(Table13[[#This Row],[Direction]]="L",Table13[[#This Row],[Steps]]&gt;G3631,G3631&lt;&gt;0),1,0)</f>
        <v>0</v>
      </c>
      <c r="I3632">
        <f>IF(AND(Table13[[#This Row],[Direction]]="R",(G3631+Table13[[#This Row],[Steps]])&gt;100),1,0)</f>
        <v>0</v>
      </c>
      <c r="J3632">
        <f>IF(Table13[[#This Row],[POS]]=0,1,0)</f>
        <v>0</v>
      </c>
      <c r="K3632">
        <f>SUM(Table13[[#This Row],[prefix]],Table13[[#This Row],[Past zero L]],Table13[[#This Row],[Past Zero R]],Table13[[#This Row],[Is Zero]])</f>
        <v>0</v>
      </c>
    </row>
    <row r="3633" spans="1:11" ht="16" x14ac:dyDescent="0.2">
      <c r="A3633" s="1" t="s">
        <v>16</v>
      </c>
      <c r="B3633" t="str">
        <f>LEFT(Table13[[#This Row],[Input]],1)</f>
        <v>L</v>
      </c>
      <c r="C3633">
        <f>_xlfn.LET(_xlpm.steps,SUBSTITUTE(Table13[[#This Row],[Input]],Table13[[#This Row],[Direction]],""),VALUE(IF(LEN(_xlpm.steps)&gt;2,RIGHT(_xlpm.steps,2),_xlpm.steps)))</f>
        <v>10</v>
      </c>
      <c r="D3633">
        <f>_xlfn.LET(_xlpm.steps,SUBSTITUTE(Table13[[#This Row],[Input]],Table13[[#This Row],[Direction]],""),VALUE(IF(LEN(_xlpm.steps)&gt;2,LEFT(_xlpm.steps,LEN(_xlpm.steps)-2),0)))</f>
        <v>0</v>
      </c>
      <c r="E3633">
        <f>_xlfn.LET(_xlpm.dir,Table13[[#This Row],[Direction]],
IF(_xlpm.dir="L",
    IF(G3632-Table13[[#This Row],[Steps]]&lt;0,100+(G3632-Table13[[#This Row],[Steps]]),G3632-Table13[[#This Row],[Steps]]),
))</f>
        <v>0</v>
      </c>
      <c r="F3633">
        <f>_xlfn.LET(_xlpm.dir,Table13[[#This Row],[Direction]],
IF(_xlpm.dir="R",
    IF(G3632+Table13[[#This Row],[Steps]]&gt;99,(G3632+Table13[[#This Row],[Steps]])-100,G3632+Table13[[#This Row],[Steps]]),
))</f>
        <v>0</v>
      </c>
      <c r="G3633">
        <f>IF(Table13[[#This Row],[New Pos L]]&lt;&gt;0,Table13[[#This Row],[New Pos L]],Table13[[#This Row],[New Pos R]])</f>
        <v>0</v>
      </c>
      <c r="H3633">
        <f>IF(AND(Table13[[#This Row],[Direction]]="L",Table13[[#This Row],[Steps]]&gt;G3632,G3632&lt;&gt;0),1,0)</f>
        <v>0</v>
      </c>
      <c r="I3633">
        <f>IF(AND(Table13[[#This Row],[Direction]]="R",(G3632+Table13[[#This Row],[Steps]])&gt;100),1,0)</f>
        <v>0</v>
      </c>
      <c r="J3633">
        <f>IF(Table13[[#This Row],[POS]]=0,1,0)</f>
        <v>1</v>
      </c>
      <c r="K3633">
        <f>SUM(Table13[[#This Row],[prefix]],Table13[[#This Row],[Past zero L]],Table13[[#This Row],[Past Zero R]],Table13[[#This Row],[Is Zero]])</f>
        <v>1</v>
      </c>
    </row>
    <row r="3634" spans="1:11" ht="16" x14ac:dyDescent="0.2">
      <c r="A3634" s="1" t="s">
        <v>508</v>
      </c>
      <c r="B3634" t="str">
        <f>LEFT(Table13[[#This Row],[Input]],1)</f>
        <v>R</v>
      </c>
      <c r="C3634">
        <f>_xlfn.LET(_xlpm.steps,SUBSTITUTE(Table13[[#This Row],[Input]],Table13[[#This Row],[Direction]],""),VALUE(IF(LEN(_xlpm.steps)&gt;2,RIGHT(_xlpm.steps,2),_xlpm.steps)))</f>
        <v>59</v>
      </c>
      <c r="D3634">
        <f>_xlfn.LET(_xlpm.steps,SUBSTITUTE(Table13[[#This Row],[Input]],Table13[[#This Row],[Direction]],""),VALUE(IF(LEN(_xlpm.steps)&gt;2,LEFT(_xlpm.steps,LEN(_xlpm.steps)-2),0)))</f>
        <v>2</v>
      </c>
      <c r="E3634">
        <f>_xlfn.LET(_xlpm.dir,Table13[[#This Row],[Direction]],
IF(_xlpm.dir="L",
    IF(G3633-Table13[[#This Row],[Steps]]&lt;0,100+(G3633-Table13[[#This Row],[Steps]]),G3633-Table13[[#This Row],[Steps]]),
))</f>
        <v>0</v>
      </c>
      <c r="F3634">
        <f>_xlfn.LET(_xlpm.dir,Table13[[#This Row],[Direction]],
IF(_xlpm.dir="R",
    IF(G3633+Table13[[#This Row],[Steps]]&gt;99,(G3633+Table13[[#This Row],[Steps]])-100,G3633+Table13[[#This Row],[Steps]]),
))</f>
        <v>59</v>
      </c>
      <c r="G3634">
        <f>IF(Table13[[#This Row],[New Pos L]]&lt;&gt;0,Table13[[#This Row],[New Pos L]],Table13[[#This Row],[New Pos R]])</f>
        <v>59</v>
      </c>
      <c r="H3634">
        <f>IF(AND(Table13[[#This Row],[Direction]]="L",Table13[[#This Row],[Steps]]&gt;G3633,G3633&lt;&gt;0),1,0)</f>
        <v>0</v>
      </c>
      <c r="I3634">
        <f>IF(AND(Table13[[#This Row],[Direction]]="R",(G3633+Table13[[#This Row],[Steps]])&gt;100),1,0)</f>
        <v>0</v>
      </c>
      <c r="J3634">
        <f>IF(Table13[[#This Row],[POS]]=0,1,0)</f>
        <v>0</v>
      </c>
      <c r="K3634">
        <f>SUM(Table13[[#This Row],[prefix]],Table13[[#This Row],[Past zero L]],Table13[[#This Row],[Past Zero R]],Table13[[#This Row],[Is Zero]])</f>
        <v>2</v>
      </c>
    </row>
    <row r="3635" spans="1:11" ht="16" x14ac:dyDescent="0.2">
      <c r="A3635" s="1" t="s">
        <v>155</v>
      </c>
      <c r="B3635" t="str">
        <f>LEFT(Table13[[#This Row],[Input]],1)</f>
        <v>L</v>
      </c>
      <c r="C3635">
        <f>_xlfn.LET(_xlpm.steps,SUBSTITUTE(Table13[[#This Row],[Input]],Table13[[#This Row],[Direction]],""),VALUE(IF(LEN(_xlpm.steps)&gt;2,RIGHT(_xlpm.steps,2),_xlpm.steps)))</f>
        <v>18</v>
      </c>
      <c r="D3635">
        <f>_xlfn.LET(_xlpm.steps,SUBSTITUTE(Table13[[#This Row],[Input]],Table13[[#This Row],[Direction]],""),VALUE(IF(LEN(_xlpm.steps)&gt;2,LEFT(_xlpm.steps,LEN(_xlpm.steps)-2),0)))</f>
        <v>0</v>
      </c>
      <c r="E3635">
        <f>_xlfn.LET(_xlpm.dir,Table13[[#This Row],[Direction]],
IF(_xlpm.dir="L",
    IF(G3634-Table13[[#This Row],[Steps]]&lt;0,100+(G3634-Table13[[#This Row],[Steps]]),G3634-Table13[[#This Row],[Steps]]),
))</f>
        <v>41</v>
      </c>
      <c r="F3635">
        <f>_xlfn.LET(_xlpm.dir,Table13[[#This Row],[Direction]],
IF(_xlpm.dir="R",
    IF(G3634+Table13[[#This Row],[Steps]]&gt;99,(G3634+Table13[[#This Row],[Steps]])-100,G3634+Table13[[#This Row],[Steps]]),
))</f>
        <v>0</v>
      </c>
      <c r="G3635">
        <f>IF(Table13[[#This Row],[New Pos L]]&lt;&gt;0,Table13[[#This Row],[New Pos L]],Table13[[#This Row],[New Pos R]])</f>
        <v>41</v>
      </c>
      <c r="H3635">
        <f>IF(AND(Table13[[#This Row],[Direction]]="L",Table13[[#This Row],[Steps]]&gt;G3634,G3634&lt;&gt;0),1,0)</f>
        <v>0</v>
      </c>
      <c r="I3635">
        <f>IF(AND(Table13[[#This Row],[Direction]]="R",(G3634+Table13[[#This Row],[Steps]])&gt;100),1,0)</f>
        <v>0</v>
      </c>
      <c r="J3635">
        <f>IF(Table13[[#This Row],[POS]]=0,1,0)</f>
        <v>0</v>
      </c>
      <c r="K3635">
        <f>SUM(Table13[[#This Row],[prefix]],Table13[[#This Row],[Past zero L]],Table13[[#This Row],[Past Zero R]],Table13[[#This Row],[Is Zero]])</f>
        <v>0</v>
      </c>
    </row>
    <row r="3636" spans="1:11" ht="16" x14ac:dyDescent="0.2">
      <c r="A3636" s="1" t="s">
        <v>615</v>
      </c>
      <c r="B3636" t="str">
        <f>LEFT(Table13[[#This Row],[Input]],1)</f>
        <v>L</v>
      </c>
      <c r="C3636">
        <f>_xlfn.LET(_xlpm.steps,SUBSTITUTE(Table13[[#This Row],[Input]],Table13[[#This Row],[Direction]],""),VALUE(IF(LEN(_xlpm.steps)&gt;2,RIGHT(_xlpm.steps,2),_xlpm.steps)))</f>
        <v>26</v>
      </c>
      <c r="D3636">
        <f>_xlfn.LET(_xlpm.steps,SUBSTITUTE(Table13[[#This Row],[Input]],Table13[[#This Row],[Direction]],""),VALUE(IF(LEN(_xlpm.steps)&gt;2,LEFT(_xlpm.steps,LEN(_xlpm.steps)-2),0)))</f>
        <v>1</v>
      </c>
      <c r="E3636">
        <f>_xlfn.LET(_xlpm.dir,Table13[[#This Row],[Direction]],
IF(_xlpm.dir="L",
    IF(G3635-Table13[[#This Row],[Steps]]&lt;0,100+(G3635-Table13[[#This Row],[Steps]]),G3635-Table13[[#This Row],[Steps]]),
))</f>
        <v>15</v>
      </c>
      <c r="F3636">
        <f>_xlfn.LET(_xlpm.dir,Table13[[#This Row],[Direction]],
IF(_xlpm.dir="R",
    IF(G3635+Table13[[#This Row],[Steps]]&gt;99,(G3635+Table13[[#This Row],[Steps]])-100,G3635+Table13[[#This Row],[Steps]]),
))</f>
        <v>0</v>
      </c>
      <c r="G3636">
        <f>IF(Table13[[#This Row],[New Pos L]]&lt;&gt;0,Table13[[#This Row],[New Pos L]],Table13[[#This Row],[New Pos R]])</f>
        <v>15</v>
      </c>
      <c r="H3636">
        <f>IF(AND(Table13[[#This Row],[Direction]]="L",Table13[[#This Row],[Steps]]&gt;G3635,G3635&lt;&gt;0),1,0)</f>
        <v>0</v>
      </c>
      <c r="I3636">
        <f>IF(AND(Table13[[#This Row],[Direction]]="R",(G3635+Table13[[#This Row],[Steps]])&gt;100),1,0)</f>
        <v>0</v>
      </c>
      <c r="J3636">
        <f>IF(Table13[[#This Row],[POS]]=0,1,0)</f>
        <v>0</v>
      </c>
      <c r="K3636">
        <f>SUM(Table13[[#This Row],[prefix]],Table13[[#This Row],[Past zero L]],Table13[[#This Row],[Past Zero R]],Table13[[#This Row],[Is Zero]])</f>
        <v>1</v>
      </c>
    </row>
    <row r="3637" spans="1:11" ht="16" x14ac:dyDescent="0.2">
      <c r="A3637" s="1" t="s">
        <v>34</v>
      </c>
      <c r="B3637" t="str">
        <f>LEFT(Table13[[#This Row],[Input]],1)</f>
        <v>L</v>
      </c>
      <c r="C3637">
        <f>_xlfn.LET(_xlpm.steps,SUBSTITUTE(Table13[[#This Row],[Input]],Table13[[#This Row],[Direction]],""),VALUE(IF(LEN(_xlpm.steps)&gt;2,RIGHT(_xlpm.steps,2),_xlpm.steps)))</f>
        <v>15</v>
      </c>
      <c r="D3637">
        <f>_xlfn.LET(_xlpm.steps,SUBSTITUTE(Table13[[#This Row],[Input]],Table13[[#This Row],[Direction]],""),VALUE(IF(LEN(_xlpm.steps)&gt;2,LEFT(_xlpm.steps,LEN(_xlpm.steps)-2),0)))</f>
        <v>0</v>
      </c>
      <c r="E3637">
        <f>_xlfn.LET(_xlpm.dir,Table13[[#This Row],[Direction]],
IF(_xlpm.dir="L",
    IF(G3636-Table13[[#This Row],[Steps]]&lt;0,100+(G3636-Table13[[#This Row],[Steps]]),G3636-Table13[[#This Row],[Steps]]),
))</f>
        <v>0</v>
      </c>
      <c r="F3637">
        <f>_xlfn.LET(_xlpm.dir,Table13[[#This Row],[Direction]],
IF(_xlpm.dir="R",
    IF(G3636+Table13[[#This Row],[Steps]]&gt;99,(G3636+Table13[[#This Row],[Steps]])-100,G3636+Table13[[#This Row],[Steps]]),
))</f>
        <v>0</v>
      </c>
      <c r="G3637">
        <f>IF(Table13[[#This Row],[New Pos L]]&lt;&gt;0,Table13[[#This Row],[New Pos L]],Table13[[#This Row],[New Pos R]])</f>
        <v>0</v>
      </c>
      <c r="H3637">
        <f>IF(AND(Table13[[#This Row],[Direction]]="L",Table13[[#This Row],[Steps]]&gt;G3636,G3636&lt;&gt;0),1,0)</f>
        <v>0</v>
      </c>
      <c r="I3637">
        <f>IF(AND(Table13[[#This Row],[Direction]]="R",(G3636+Table13[[#This Row],[Steps]])&gt;100),1,0)</f>
        <v>0</v>
      </c>
      <c r="J3637">
        <f>IF(Table13[[#This Row],[POS]]=0,1,0)</f>
        <v>1</v>
      </c>
      <c r="K3637">
        <f>SUM(Table13[[#This Row],[prefix]],Table13[[#This Row],[Past zero L]],Table13[[#This Row],[Past Zero R]],Table13[[#This Row],[Is Zero]])</f>
        <v>1</v>
      </c>
    </row>
    <row r="3638" spans="1:11" ht="16" x14ac:dyDescent="0.2">
      <c r="A3638" s="1" t="s">
        <v>774</v>
      </c>
      <c r="B3638" t="str">
        <f>LEFT(Table13[[#This Row],[Input]],1)</f>
        <v>R</v>
      </c>
      <c r="C3638">
        <f>_xlfn.LET(_xlpm.steps,SUBSTITUTE(Table13[[#This Row],[Input]],Table13[[#This Row],[Direction]],""),VALUE(IF(LEN(_xlpm.steps)&gt;2,RIGHT(_xlpm.steps,2),_xlpm.steps)))</f>
        <v>31</v>
      </c>
      <c r="D3638">
        <f>_xlfn.LET(_xlpm.steps,SUBSTITUTE(Table13[[#This Row],[Input]],Table13[[#This Row],[Direction]],""),VALUE(IF(LEN(_xlpm.steps)&gt;2,LEFT(_xlpm.steps,LEN(_xlpm.steps)-2),0)))</f>
        <v>3</v>
      </c>
      <c r="E3638">
        <f>_xlfn.LET(_xlpm.dir,Table13[[#This Row],[Direction]],
IF(_xlpm.dir="L",
    IF(G3637-Table13[[#This Row],[Steps]]&lt;0,100+(G3637-Table13[[#This Row],[Steps]]),G3637-Table13[[#This Row],[Steps]]),
))</f>
        <v>0</v>
      </c>
      <c r="F3638">
        <f>_xlfn.LET(_xlpm.dir,Table13[[#This Row],[Direction]],
IF(_xlpm.dir="R",
    IF(G3637+Table13[[#This Row],[Steps]]&gt;99,(G3637+Table13[[#This Row],[Steps]])-100,G3637+Table13[[#This Row],[Steps]]),
))</f>
        <v>31</v>
      </c>
      <c r="G3638">
        <f>IF(Table13[[#This Row],[New Pos L]]&lt;&gt;0,Table13[[#This Row],[New Pos L]],Table13[[#This Row],[New Pos R]])</f>
        <v>31</v>
      </c>
      <c r="H3638">
        <f>IF(AND(Table13[[#This Row],[Direction]]="L",Table13[[#This Row],[Steps]]&gt;G3637,G3637&lt;&gt;0),1,0)</f>
        <v>0</v>
      </c>
      <c r="I3638">
        <f>IF(AND(Table13[[#This Row],[Direction]]="R",(G3637+Table13[[#This Row],[Steps]])&gt;100),1,0)</f>
        <v>0</v>
      </c>
      <c r="J3638">
        <f>IF(Table13[[#This Row],[POS]]=0,1,0)</f>
        <v>0</v>
      </c>
      <c r="K3638">
        <f>SUM(Table13[[#This Row],[prefix]],Table13[[#This Row],[Past zero L]],Table13[[#This Row],[Past Zero R]],Table13[[#This Row],[Is Zero]])</f>
        <v>3</v>
      </c>
    </row>
    <row r="3639" spans="1:11" ht="16" x14ac:dyDescent="0.2">
      <c r="A3639" s="1" t="s">
        <v>382</v>
      </c>
      <c r="B3639" t="str">
        <f>LEFT(Table13[[#This Row],[Input]],1)</f>
        <v>L</v>
      </c>
      <c r="C3639">
        <f>_xlfn.LET(_xlpm.steps,SUBSTITUTE(Table13[[#This Row],[Input]],Table13[[#This Row],[Direction]],""),VALUE(IF(LEN(_xlpm.steps)&gt;2,RIGHT(_xlpm.steps,2),_xlpm.steps)))</f>
        <v>76</v>
      </c>
      <c r="D3639">
        <f>_xlfn.LET(_xlpm.steps,SUBSTITUTE(Table13[[#This Row],[Input]],Table13[[#This Row],[Direction]],""),VALUE(IF(LEN(_xlpm.steps)&gt;2,LEFT(_xlpm.steps,LEN(_xlpm.steps)-2),0)))</f>
        <v>8</v>
      </c>
      <c r="E3639">
        <f>_xlfn.LET(_xlpm.dir,Table13[[#This Row],[Direction]],
IF(_xlpm.dir="L",
    IF(G3638-Table13[[#This Row],[Steps]]&lt;0,100+(G3638-Table13[[#This Row],[Steps]]),G3638-Table13[[#This Row],[Steps]]),
))</f>
        <v>55</v>
      </c>
      <c r="F3639">
        <f>_xlfn.LET(_xlpm.dir,Table13[[#This Row],[Direction]],
IF(_xlpm.dir="R",
    IF(G3638+Table13[[#This Row],[Steps]]&gt;99,(G3638+Table13[[#This Row],[Steps]])-100,G3638+Table13[[#This Row],[Steps]]),
))</f>
        <v>0</v>
      </c>
      <c r="G3639">
        <f>IF(Table13[[#This Row],[New Pos L]]&lt;&gt;0,Table13[[#This Row],[New Pos L]],Table13[[#This Row],[New Pos R]])</f>
        <v>55</v>
      </c>
      <c r="H3639">
        <f>IF(AND(Table13[[#This Row],[Direction]]="L",Table13[[#This Row],[Steps]]&gt;G3638,G3638&lt;&gt;0),1,0)</f>
        <v>1</v>
      </c>
      <c r="I3639">
        <f>IF(AND(Table13[[#This Row],[Direction]]="R",(G3638+Table13[[#This Row],[Steps]])&gt;100),1,0)</f>
        <v>0</v>
      </c>
      <c r="J3639">
        <f>IF(Table13[[#This Row],[POS]]=0,1,0)</f>
        <v>0</v>
      </c>
      <c r="K3639">
        <f>SUM(Table13[[#This Row],[prefix]],Table13[[#This Row],[Past zero L]],Table13[[#This Row],[Past Zero R]],Table13[[#This Row],[Is Zero]])</f>
        <v>9</v>
      </c>
    </row>
    <row r="3640" spans="1:11" ht="16" x14ac:dyDescent="0.2">
      <c r="A3640" s="1" t="s">
        <v>42</v>
      </c>
      <c r="B3640" t="str">
        <f>LEFT(Table13[[#This Row],[Input]],1)</f>
        <v>L</v>
      </c>
      <c r="C3640">
        <f>_xlfn.LET(_xlpm.steps,SUBSTITUTE(Table13[[#This Row],[Input]],Table13[[#This Row],[Direction]],""),VALUE(IF(LEN(_xlpm.steps)&gt;2,RIGHT(_xlpm.steps,2),_xlpm.steps)))</f>
        <v>27</v>
      </c>
      <c r="D3640">
        <f>_xlfn.LET(_xlpm.steps,SUBSTITUTE(Table13[[#This Row],[Input]],Table13[[#This Row],[Direction]],""),VALUE(IF(LEN(_xlpm.steps)&gt;2,LEFT(_xlpm.steps,LEN(_xlpm.steps)-2),0)))</f>
        <v>0</v>
      </c>
      <c r="E3640">
        <f>_xlfn.LET(_xlpm.dir,Table13[[#This Row],[Direction]],
IF(_xlpm.dir="L",
    IF(G3639-Table13[[#This Row],[Steps]]&lt;0,100+(G3639-Table13[[#This Row],[Steps]]),G3639-Table13[[#This Row],[Steps]]),
))</f>
        <v>28</v>
      </c>
      <c r="F3640">
        <f>_xlfn.LET(_xlpm.dir,Table13[[#This Row],[Direction]],
IF(_xlpm.dir="R",
    IF(G3639+Table13[[#This Row],[Steps]]&gt;99,(G3639+Table13[[#This Row],[Steps]])-100,G3639+Table13[[#This Row],[Steps]]),
))</f>
        <v>0</v>
      </c>
      <c r="G3640">
        <f>IF(Table13[[#This Row],[New Pos L]]&lt;&gt;0,Table13[[#This Row],[New Pos L]],Table13[[#This Row],[New Pos R]])</f>
        <v>28</v>
      </c>
      <c r="H3640">
        <f>IF(AND(Table13[[#This Row],[Direction]]="L",Table13[[#This Row],[Steps]]&gt;G3639,G3639&lt;&gt;0),1,0)</f>
        <v>0</v>
      </c>
      <c r="I3640">
        <f>IF(AND(Table13[[#This Row],[Direction]]="R",(G3639+Table13[[#This Row],[Steps]])&gt;100),1,0)</f>
        <v>0</v>
      </c>
      <c r="J3640">
        <f>IF(Table13[[#This Row],[POS]]=0,1,0)</f>
        <v>0</v>
      </c>
      <c r="K3640">
        <f>SUM(Table13[[#This Row],[prefix]],Table13[[#This Row],[Past zero L]],Table13[[#This Row],[Past Zero R]],Table13[[#This Row],[Is Zero]])</f>
        <v>0</v>
      </c>
    </row>
    <row r="3641" spans="1:11" ht="16" x14ac:dyDescent="0.2">
      <c r="A3641" s="1" t="s">
        <v>136</v>
      </c>
      <c r="B3641" t="str">
        <f>LEFT(Table13[[#This Row],[Input]],1)</f>
        <v>L</v>
      </c>
      <c r="C3641">
        <f>_xlfn.LET(_xlpm.steps,SUBSTITUTE(Table13[[#This Row],[Input]],Table13[[#This Row],[Direction]],""),VALUE(IF(LEN(_xlpm.steps)&gt;2,RIGHT(_xlpm.steps,2),_xlpm.steps)))</f>
        <v>72</v>
      </c>
      <c r="D3641">
        <f>_xlfn.LET(_xlpm.steps,SUBSTITUTE(Table13[[#This Row],[Input]],Table13[[#This Row],[Direction]],""),VALUE(IF(LEN(_xlpm.steps)&gt;2,LEFT(_xlpm.steps,LEN(_xlpm.steps)-2),0)))</f>
        <v>0</v>
      </c>
      <c r="E3641">
        <f>_xlfn.LET(_xlpm.dir,Table13[[#This Row],[Direction]],
IF(_xlpm.dir="L",
    IF(G3640-Table13[[#This Row],[Steps]]&lt;0,100+(G3640-Table13[[#This Row],[Steps]]),G3640-Table13[[#This Row],[Steps]]),
))</f>
        <v>56</v>
      </c>
      <c r="F3641">
        <f>_xlfn.LET(_xlpm.dir,Table13[[#This Row],[Direction]],
IF(_xlpm.dir="R",
    IF(G3640+Table13[[#This Row],[Steps]]&gt;99,(G3640+Table13[[#This Row],[Steps]])-100,G3640+Table13[[#This Row],[Steps]]),
))</f>
        <v>0</v>
      </c>
      <c r="G3641">
        <f>IF(Table13[[#This Row],[New Pos L]]&lt;&gt;0,Table13[[#This Row],[New Pos L]],Table13[[#This Row],[New Pos R]])</f>
        <v>56</v>
      </c>
      <c r="H3641">
        <f>IF(AND(Table13[[#This Row],[Direction]]="L",Table13[[#This Row],[Steps]]&gt;G3640,G3640&lt;&gt;0),1,0)</f>
        <v>1</v>
      </c>
      <c r="I3641">
        <f>IF(AND(Table13[[#This Row],[Direction]]="R",(G3640+Table13[[#This Row],[Steps]])&gt;100),1,0)</f>
        <v>0</v>
      </c>
      <c r="J3641">
        <f>IF(Table13[[#This Row],[POS]]=0,1,0)</f>
        <v>0</v>
      </c>
      <c r="K3641">
        <f>SUM(Table13[[#This Row],[prefix]],Table13[[#This Row],[Past zero L]],Table13[[#This Row],[Past Zero R]],Table13[[#This Row],[Is Zero]])</f>
        <v>1</v>
      </c>
    </row>
    <row r="3642" spans="1:11" ht="16" x14ac:dyDescent="0.2">
      <c r="A3642" s="1" t="s">
        <v>42</v>
      </c>
      <c r="B3642" t="str">
        <f>LEFT(Table13[[#This Row],[Input]],1)</f>
        <v>L</v>
      </c>
      <c r="C3642">
        <f>_xlfn.LET(_xlpm.steps,SUBSTITUTE(Table13[[#This Row],[Input]],Table13[[#This Row],[Direction]],""),VALUE(IF(LEN(_xlpm.steps)&gt;2,RIGHT(_xlpm.steps,2),_xlpm.steps)))</f>
        <v>27</v>
      </c>
      <c r="D3642">
        <f>_xlfn.LET(_xlpm.steps,SUBSTITUTE(Table13[[#This Row],[Input]],Table13[[#This Row],[Direction]],""),VALUE(IF(LEN(_xlpm.steps)&gt;2,LEFT(_xlpm.steps,LEN(_xlpm.steps)-2),0)))</f>
        <v>0</v>
      </c>
      <c r="E3642">
        <f>_xlfn.LET(_xlpm.dir,Table13[[#This Row],[Direction]],
IF(_xlpm.dir="L",
    IF(G3641-Table13[[#This Row],[Steps]]&lt;0,100+(G3641-Table13[[#This Row],[Steps]]),G3641-Table13[[#This Row],[Steps]]),
))</f>
        <v>29</v>
      </c>
      <c r="F3642">
        <f>_xlfn.LET(_xlpm.dir,Table13[[#This Row],[Direction]],
IF(_xlpm.dir="R",
    IF(G3641+Table13[[#This Row],[Steps]]&gt;99,(G3641+Table13[[#This Row],[Steps]])-100,G3641+Table13[[#This Row],[Steps]]),
))</f>
        <v>0</v>
      </c>
      <c r="G3642">
        <f>IF(Table13[[#This Row],[New Pos L]]&lt;&gt;0,Table13[[#This Row],[New Pos L]],Table13[[#This Row],[New Pos R]])</f>
        <v>29</v>
      </c>
      <c r="H3642">
        <f>IF(AND(Table13[[#This Row],[Direction]]="L",Table13[[#This Row],[Steps]]&gt;G3641,G3641&lt;&gt;0),1,0)</f>
        <v>0</v>
      </c>
      <c r="I3642">
        <f>IF(AND(Table13[[#This Row],[Direction]]="R",(G3641+Table13[[#This Row],[Steps]])&gt;100),1,0)</f>
        <v>0</v>
      </c>
      <c r="J3642">
        <f>IF(Table13[[#This Row],[POS]]=0,1,0)</f>
        <v>0</v>
      </c>
      <c r="K3642">
        <f>SUM(Table13[[#This Row],[prefix]],Table13[[#This Row],[Past zero L]],Table13[[#This Row],[Past Zero R]],Table13[[#This Row],[Is Zero]])</f>
        <v>0</v>
      </c>
    </row>
    <row r="3643" spans="1:11" ht="16" x14ac:dyDescent="0.2">
      <c r="A3643" s="1" t="s">
        <v>353</v>
      </c>
      <c r="B3643" t="str">
        <f>LEFT(Table13[[#This Row],[Input]],1)</f>
        <v>R</v>
      </c>
      <c r="C3643">
        <f>_xlfn.LET(_xlpm.steps,SUBSTITUTE(Table13[[#This Row],[Input]],Table13[[#This Row],[Direction]],""),VALUE(IF(LEN(_xlpm.steps)&gt;2,RIGHT(_xlpm.steps,2),_xlpm.steps)))</f>
        <v>7</v>
      </c>
      <c r="D3643">
        <f>_xlfn.LET(_xlpm.steps,SUBSTITUTE(Table13[[#This Row],[Input]],Table13[[#This Row],[Direction]],""),VALUE(IF(LEN(_xlpm.steps)&gt;2,LEFT(_xlpm.steps,LEN(_xlpm.steps)-2),0)))</f>
        <v>0</v>
      </c>
      <c r="E3643">
        <f>_xlfn.LET(_xlpm.dir,Table13[[#This Row],[Direction]],
IF(_xlpm.dir="L",
    IF(G3642-Table13[[#This Row],[Steps]]&lt;0,100+(G3642-Table13[[#This Row],[Steps]]),G3642-Table13[[#This Row],[Steps]]),
))</f>
        <v>0</v>
      </c>
      <c r="F3643">
        <f>_xlfn.LET(_xlpm.dir,Table13[[#This Row],[Direction]],
IF(_xlpm.dir="R",
    IF(G3642+Table13[[#This Row],[Steps]]&gt;99,(G3642+Table13[[#This Row],[Steps]])-100,G3642+Table13[[#This Row],[Steps]]),
))</f>
        <v>36</v>
      </c>
      <c r="G3643">
        <f>IF(Table13[[#This Row],[New Pos L]]&lt;&gt;0,Table13[[#This Row],[New Pos L]],Table13[[#This Row],[New Pos R]])</f>
        <v>36</v>
      </c>
      <c r="H3643">
        <f>IF(AND(Table13[[#This Row],[Direction]]="L",Table13[[#This Row],[Steps]]&gt;G3642,G3642&lt;&gt;0),1,0)</f>
        <v>0</v>
      </c>
      <c r="I3643">
        <f>IF(AND(Table13[[#This Row],[Direction]]="R",(G3642+Table13[[#This Row],[Steps]])&gt;100),1,0)</f>
        <v>0</v>
      </c>
      <c r="J3643">
        <f>IF(Table13[[#This Row],[POS]]=0,1,0)</f>
        <v>0</v>
      </c>
      <c r="K3643">
        <f>SUM(Table13[[#This Row],[prefix]],Table13[[#This Row],[Past zero L]],Table13[[#This Row],[Past Zero R]],Table13[[#This Row],[Is Zero]])</f>
        <v>0</v>
      </c>
    </row>
    <row r="3644" spans="1:11" ht="16" x14ac:dyDescent="0.2">
      <c r="A3644" s="1" t="s">
        <v>39</v>
      </c>
      <c r="B3644" t="str">
        <f>LEFT(Table13[[#This Row],[Input]],1)</f>
        <v>R</v>
      </c>
      <c r="C3644">
        <f>_xlfn.LET(_xlpm.steps,SUBSTITUTE(Table13[[#This Row],[Input]],Table13[[#This Row],[Direction]],""),VALUE(IF(LEN(_xlpm.steps)&gt;2,RIGHT(_xlpm.steps,2),_xlpm.steps)))</f>
        <v>32</v>
      </c>
      <c r="D3644">
        <f>_xlfn.LET(_xlpm.steps,SUBSTITUTE(Table13[[#This Row],[Input]],Table13[[#This Row],[Direction]],""),VALUE(IF(LEN(_xlpm.steps)&gt;2,LEFT(_xlpm.steps,LEN(_xlpm.steps)-2),0)))</f>
        <v>0</v>
      </c>
      <c r="E3644">
        <f>_xlfn.LET(_xlpm.dir,Table13[[#This Row],[Direction]],
IF(_xlpm.dir="L",
    IF(G3643-Table13[[#This Row],[Steps]]&lt;0,100+(G3643-Table13[[#This Row],[Steps]]),G3643-Table13[[#This Row],[Steps]]),
))</f>
        <v>0</v>
      </c>
      <c r="F3644">
        <f>_xlfn.LET(_xlpm.dir,Table13[[#This Row],[Direction]],
IF(_xlpm.dir="R",
    IF(G3643+Table13[[#This Row],[Steps]]&gt;99,(G3643+Table13[[#This Row],[Steps]])-100,G3643+Table13[[#This Row],[Steps]]),
))</f>
        <v>68</v>
      </c>
      <c r="G3644">
        <f>IF(Table13[[#This Row],[New Pos L]]&lt;&gt;0,Table13[[#This Row],[New Pos L]],Table13[[#This Row],[New Pos R]])</f>
        <v>68</v>
      </c>
      <c r="H3644">
        <f>IF(AND(Table13[[#This Row],[Direction]]="L",Table13[[#This Row],[Steps]]&gt;G3643,G3643&lt;&gt;0),1,0)</f>
        <v>0</v>
      </c>
      <c r="I3644">
        <f>IF(AND(Table13[[#This Row],[Direction]]="R",(G3643+Table13[[#This Row],[Steps]])&gt;100),1,0)</f>
        <v>0</v>
      </c>
      <c r="J3644">
        <f>IF(Table13[[#This Row],[POS]]=0,1,0)</f>
        <v>0</v>
      </c>
      <c r="K3644">
        <f>SUM(Table13[[#This Row],[prefix]],Table13[[#This Row],[Past zero L]],Table13[[#This Row],[Past Zero R]],Table13[[#This Row],[Is Zero]])</f>
        <v>0</v>
      </c>
    </row>
    <row r="3645" spans="1:11" ht="16" x14ac:dyDescent="0.2">
      <c r="A3645" s="1" t="s">
        <v>563</v>
      </c>
      <c r="B3645" t="str">
        <f>LEFT(Table13[[#This Row],[Input]],1)</f>
        <v>R</v>
      </c>
      <c r="C3645">
        <f>_xlfn.LET(_xlpm.steps,SUBSTITUTE(Table13[[#This Row],[Input]],Table13[[#This Row],[Direction]],""),VALUE(IF(LEN(_xlpm.steps)&gt;2,RIGHT(_xlpm.steps,2),_xlpm.steps)))</f>
        <v>60</v>
      </c>
      <c r="D3645">
        <f>_xlfn.LET(_xlpm.steps,SUBSTITUTE(Table13[[#This Row],[Input]],Table13[[#This Row],[Direction]],""),VALUE(IF(LEN(_xlpm.steps)&gt;2,LEFT(_xlpm.steps,LEN(_xlpm.steps)-2),0)))</f>
        <v>9</v>
      </c>
      <c r="E3645">
        <f>_xlfn.LET(_xlpm.dir,Table13[[#This Row],[Direction]],
IF(_xlpm.dir="L",
    IF(G3644-Table13[[#This Row],[Steps]]&lt;0,100+(G3644-Table13[[#This Row],[Steps]]),G3644-Table13[[#This Row],[Steps]]),
))</f>
        <v>0</v>
      </c>
      <c r="F3645">
        <f>_xlfn.LET(_xlpm.dir,Table13[[#This Row],[Direction]],
IF(_xlpm.dir="R",
    IF(G3644+Table13[[#This Row],[Steps]]&gt;99,(G3644+Table13[[#This Row],[Steps]])-100,G3644+Table13[[#This Row],[Steps]]),
))</f>
        <v>28</v>
      </c>
      <c r="G3645">
        <f>IF(Table13[[#This Row],[New Pos L]]&lt;&gt;0,Table13[[#This Row],[New Pos L]],Table13[[#This Row],[New Pos R]])</f>
        <v>28</v>
      </c>
      <c r="H3645">
        <f>IF(AND(Table13[[#This Row],[Direction]]="L",Table13[[#This Row],[Steps]]&gt;G3644,G3644&lt;&gt;0),1,0)</f>
        <v>0</v>
      </c>
      <c r="I3645">
        <f>IF(AND(Table13[[#This Row],[Direction]]="R",(G3644+Table13[[#This Row],[Steps]])&gt;100),1,0)</f>
        <v>1</v>
      </c>
      <c r="J3645">
        <f>IF(Table13[[#This Row],[POS]]=0,1,0)</f>
        <v>0</v>
      </c>
      <c r="K3645">
        <f>SUM(Table13[[#This Row],[prefix]],Table13[[#This Row],[Past zero L]],Table13[[#This Row],[Past Zero R]],Table13[[#This Row],[Is Zero]])</f>
        <v>10</v>
      </c>
    </row>
    <row r="3646" spans="1:11" ht="16" x14ac:dyDescent="0.2">
      <c r="A3646" s="1" t="s">
        <v>357</v>
      </c>
      <c r="B3646" t="str">
        <f>LEFT(Table13[[#This Row],[Input]],1)</f>
        <v>R</v>
      </c>
      <c r="C3646">
        <f>_xlfn.LET(_xlpm.steps,SUBSTITUTE(Table13[[#This Row],[Input]],Table13[[#This Row],[Direction]],""),VALUE(IF(LEN(_xlpm.steps)&gt;2,RIGHT(_xlpm.steps,2),_xlpm.steps)))</f>
        <v>72</v>
      </c>
      <c r="D3646">
        <f>_xlfn.LET(_xlpm.steps,SUBSTITUTE(Table13[[#This Row],[Input]],Table13[[#This Row],[Direction]],""),VALUE(IF(LEN(_xlpm.steps)&gt;2,LEFT(_xlpm.steps,LEN(_xlpm.steps)-2),0)))</f>
        <v>0</v>
      </c>
      <c r="E3646">
        <f>_xlfn.LET(_xlpm.dir,Table13[[#This Row],[Direction]],
IF(_xlpm.dir="L",
    IF(G3645-Table13[[#This Row],[Steps]]&lt;0,100+(G3645-Table13[[#This Row],[Steps]]),G3645-Table13[[#This Row],[Steps]]),
))</f>
        <v>0</v>
      </c>
      <c r="F3646">
        <f>_xlfn.LET(_xlpm.dir,Table13[[#This Row],[Direction]],
IF(_xlpm.dir="R",
    IF(G3645+Table13[[#This Row],[Steps]]&gt;99,(G3645+Table13[[#This Row],[Steps]])-100,G3645+Table13[[#This Row],[Steps]]),
))</f>
        <v>0</v>
      </c>
      <c r="G3646">
        <f>IF(Table13[[#This Row],[New Pos L]]&lt;&gt;0,Table13[[#This Row],[New Pos L]],Table13[[#This Row],[New Pos R]])</f>
        <v>0</v>
      </c>
      <c r="H3646">
        <f>IF(AND(Table13[[#This Row],[Direction]]="L",Table13[[#This Row],[Steps]]&gt;G3645,G3645&lt;&gt;0),1,0)</f>
        <v>0</v>
      </c>
      <c r="I3646">
        <f>IF(AND(Table13[[#This Row],[Direction]]="R",(G3645+Table13[[#This Row],[Steps]])&gt;100),1,0)</f>
        <v>0</v>
      </c>
      <c r="J3646">
        <f>IF(Table13[[#This Row],[POS]]=0,1,0)</f>
        <v>1</v>
      </c>
      <c r="K3646">
        <f>SUM(Table13[[#This Row],[prefix]],Table13[[#This Row],[Past zero L]],Table13[[#This Row],[Past Zero R]],Table13[[#This Row],[Is Zero]])</f>
        <v>1</v>
      </c>
    </row>
    <row r="3647" spans="1:11" ht="16" x14ac:dyDescent="0.2">
      <c r="A3647" s="1" t="s">
        <v>41</v>
      </c>
      <c r="B3647" t="str">
        <f>LEFT(Table13[[#This Row],[Input]],1)</f>
        <v>L</v>
      </c>
      <c r="C3647">
        <f>_xlfn.LET(_xlpm.steps,SUBSTITUTE(Table13[[#This Row],[Input]],Table13[[#This Row],[Direction]],""),VALUE(IF(LEN(_xlpm.steps)&gt;2,RIGHT(_xlpm.steps,2),_xlpm.steps)))</f>
        <v>7</v>
      </c>
      <c r="D3647">
        <f>_xlfn.LET(_xlpm.steps,SUBSTITUTE(Table13[[#This Row],[Input]],Table13[[#This Row],[Direction]],""),VALUE(IF(LEN(_xlpm.steps)&gt;2,LEFT(_xlpm.steps,LEN(_xlpm.steps)-2),0)))</f>
        <v>0</v>
      </c>
      <c r="E3647">
        <f>_xlfn.LET(_xlpm.dir,Table13[[#This Row],[Direction]],
IF(_xlpm.dir="L",
    IF(G3646-Table13[[#This Row],[Steps]]&lt;0,100+(G3646-Table13[[#This Row],[Steps]]),G3646-Table13[[#This Row],[Steps]]),
))</f>
        <v>93</v>
      </c>
      <c r="F3647">
        <f>_xlfn.LET(_xlpm.dir,Table13[[#This Row],[Direction]],
IF(_xlpm.dir="R",
    IF(G3646+Table13[[#This Row],[Steps]]&gt;99,(G3646+Table13[[#This Row],[Steps]])-100,G3646+Table13[[#This Row],[Steps]]),
))</f>
        <v>0</v>
      </c>
      <c r="G3647">
        <f>IF(Table13[[#This Row],[New Pos L]]&lt;&gt;0,Table13[[#This Row],[New Pos L]],Table13[[#This Row],[New Pos R]])</f>
        <v>93</v>
      </c>
      <c r="H3647">
        <f>IF(AND(Table13[[#This Row],[Direction]]="L",Table13[[#This Row],[Steps]]&gt;G3646,G3646&lt;&gt;0),1,0)</f>
        <v>0</v>
      </c>
      <c r="I3647">
        <f>IF(AND(Table13[[#This Row],[Direction]]="R",(G3646+Table13[[#This Row],[Steps]])&gt;100),1,0)</f>
        <v>0</v>
      </c>
      <c r="J3647">
        <f>IF(Table13[[#This Row],[POS]]=0,1,0)</f>
        <v>0</v>
      </c>
      <c r="K3647">
        <f>SUM(Table13[[#This Row],[prefix]],Table13[[#This Row],[Past zero L]],Table13[[#This Row],[Past Zero R]],Table13[[#This Row],[Is Zero]])</f>
        <v>0</v>
      </c>
    </row>
    <row r="3648" spans="1:11" ht="16" x14ac:dyDescent="0.2">
      <c r="A3648" s="1" t="s">
        <v>353</v>
      </c>
      <c r="B3648" t="str">
        <f>LEFT(Table13[[#This Row],[Input]],1)</f>
        <v>R</v>
      </c>
      <c r="C3648">
        <f>_xlfn.LET(_xlpm.steps,SUBSTITUTE(Table13[[#This Row],[Input]],Table13[[#This Row],[Direction]],""),VALUE(IF(LEN(_xlpm.steps)&gt;2,RIGHT(_xlpm.steps,2),_xlpm.steps)))</f>
        <v>7</v>
      </c>
      <c r="D3648">
        <f>_xlfn.LET(_xlpm.steps,SUBSTITUTE(Table13[[#This Row],[Input]],Table13[[#This Row],[Direction]],""),VALUE(IF(LEN(_xlpm.steps)&gt;2,LEFT(_xlpm.steps,LEN(_xlpm.steps)-2),0)))</f>
        <v>0</v>
      </c>
      <c r="E3648">
        <f>_xlfn.LET(_xlpm.dir,Table13[[#This Row],[Direction]],
IF(_xlpm.dir="L",
    IF(G3647-Table13[[#This Row],[Steps]]&lt;0,100+(G3647-Table13[[#This Row],[Steps]]),G3647-Table13[[#This Row],[Steps]]),
))</f>
        <v>0</v>
      </c>
      <c r="F3648">
        <f>_xlfn.LET(_xlpm.dir,Table13[[#This Row],[Direction]],
IF(_xlpm.dir="R",
    IF(G3647+Table13[[#This Row],[Steps]]&gt;99,(G3647+Table13[[#This Row],[Steps]])-100,G3647+Table13[[#This Row],[Steps]]),
))</f>
        <v>0</v>
      </c>
      <c r="G3648">
        <f>IF(Table13[[#This Row],[New Pos L]]&lt;&gt;0,Table13[[#This Row],[New Pos L]],Table13[[#This Row],[New Pos R]])</f>
        <v>0</v>
      </c>
      <c r="H3648">
        <f>IF(AND(Table13[[#This Row],[Direction]]="L",Table13[[#This Row],[Steps]]&gt;G3647,G3647&lt;&gt;0),1,0)</f>
        <v>0</v>
      </c>
      <c r="I3648">
        <f>IF(AND(Table13[[#This Row],[Direction]]="R",(G3647+Table13[[#This Row],[Steps]])&gt;100),1,0)</f>
        <v>0</v>
      </c>
      <c r="J3648">
        <f>IF(Table13[[#This Row],[POS]]=0,1,0)</f>
        <v>1</v>
      </c>
      <c r="K3648">
        <f>SUM(Table13[[#This Row],[prefix]],Table13[[#This Row],[Past zero L]],Table13[[#This Row],[Past Zero R]],Table13[[#This Row],[Is Zero]])</f>
        <v>1</v>
      </c>
    </row>
    <row r="3649" spans="1:11" ht="16" x14ac:dyDescent="0.2">
      <c r="A3649" s="1" t="s">
        <v>500</v>
      </c>
      <c r="B3649" t="str">
        <f>LEFT(Table13[[#This Row],[Input]],1)</f>
        <v>L</v>
      </c>
      <c r="C3649">
        <f>_xlfn.LET(_xlpm.steps,SUBSTITUTE(Table13[[#This Row],[Input]],Table13[[#This Row],[Direction]],""),VALUE(IF(LEN(_xlpm.steps)&gt;2,RIGHT(_xlpm.steps,2),_xlpm.steps)))</f>
        <v>18</v>
      </c>
      <c r="D3649">
        <f>_xlfn.LET(_xlpm.steps,SUBSTITUTE(Table13[[#This Row],[Input]],Table13[[#This Row],[Direction]],""),VALUE(IF(LEN(_xlpm.steps)&gt;2,LEFT(_xlpm.steps,LEN(_xlpm.steps)-2),0)))</f>
        <v>5</v>
      </c>
      <c r="E3649">
        <f>_xlfn.LET(_xlpm.dir,Table13[[#This Row],[Direction]],
IF(_xlpm.dir="L",
    IF(G3648-Table13[[#This Row],[Steps]]&lt;0,100+(G3648-Table13[[#This Row],[Steps]]),G3648-Table13[[#This Row],[Steps]]),
))</f>
        <v>82</v>
      </c>
      <c r="F3649">
        <f>_xlfn.LET(_xlpm.dir,Table13[[#This Row],[Direction]],
IF(_xlpm.dir="R",
    IF(G3648+Table13[[#This Row],[Steps]]&gt;99,(G3648+Table13[[#This Row],[Steps]])-100,G3648+Table13[[#This Row],[Steps]]),
))</f>
        <v>0</v>
      </c>
      <c r="G3649">
        <f>IF(Table13[[#This Row],[New Pos L]]&lt;&gt;0,Table13[[#This Row],[New Pos L]],Table13[[#This Row],[New Pos R]])</f>
        <v>82</v>
      </c>
      <c r="H3649">
        <f>IF(AND(Table13[[#This Row],[Direction]]="L",Table13[[#This Row],[Steps]]&gt;G3648,G3648&lt;&gt;0),1,0)</f>
        <v>0</v>
      </c>
      <c r="I3649">
        <f>IF(AND(Table13[[#This Row],[Direction]]="R",(G3648+Table13[[#This Row],[Steps]])&gt;100),1,0)</f>
        <v>0</v>
      </c>
      <c r="J3649">
        <f>IF(Table13[[#This Row],[POS]]=0,1,0)</f>
        <v>0</v>
      </c>
      <c r="K3649">
        <f>SUM(Table13[[#This Row],[prefix]],Table13[[#This Row],[Past zero L]],Table13[[#This Row],[Past Zero R]],Table13[[#This Row],[Is Zero]])</f>
        <v>5</v>
      </c>
    </row>
    <row r="3650" spans="1:11" ht="16" x14ac:dyDescent="0.2">
      <c r="A3650" s="1" t="s">
        <v>264</v>
      </c>
      <c r="B3650" t="str">
        <f>LEFT(Table13[[#This Row],[Input]],1)</f>
        <v>L</v>
      </c>
      <c r="C3650">
        <f>_xlfn.LET(_xlpm.steps,SUBSTITUTE(Table13[[#This Row],[Input]],Table13[[#This Row],[Direction]],""),VALUE(IF(LEN(_xlpm.steps)&gt;2,RIGHT(_xlpm.steps,2),_xlpm.steps)))</f>
        <v>21</v>
      </c>
      <c r="D3650">
        <f>_xlfn.LET(_xlpm.steps,SUBSTITUTE(Table13[[#This Row],[Input]],Table13[[#This Row],[Direction]],""),VALUE(IF(LEN(_xlpm.steps)&gt;2,LEFT(_xlpm.steps,LEN(_xlpm.steps)-2),0)))</f>
        <v>0</v>
      </c>
      <c r="E3650">
        <f>_xlfn.LET(_xlpm.dir,Table13[[#This Row],[Direction]],
IF(_xlpm.dir="L",
    IF(G3649-Table13[[#This Row],[Steps]]&lt;0,100+(G3649-Table13[[#This Row],[Steps]]),G3649-Table13[[#This Row],[Steps]]),
))</f>
        <v>61</v>
      </c>
      <c r="F3650">
        <f>_xlfn.LET(_xlpm.dir,Table13[[#This Row],[Direction]],
IF(_xlpm.dir="R",
    IF(G3649+Table13[[#This Row],[Steps]]&gt;99,(G3649+Table13[[#This Row],[Steps]])-100,G3649+Table13[[#This Row],[Steps]]),
))</f>
        <v>0</v>
      </c>
      <c r="G3650">
        <f>IF(Table13[[#This Row],[New Pos L]]&lt;&gt;0,Table13[[#This Row],[New Pos L]],Table13[[#This Row],[New Pos R]])</f>
        <v>61</v>
      </c>
      <c r="H3650">
        <f>IF(AND(Table13[[#This Row],[Direction]]="L",Table13[[#This Row],[Steps]]&gt;G3649,G3649&lt;&gt;0),1,0)</f>
        <v>0</v>
      </c>
      <c r="I3650">
        <f>IF(AND(Table13[[#This Row],[Direction]]="R",(G3649+Table13[[#This Row],[Steps]])&gt;100),1,0)</f>
        <v>0</v>
      </c>
      <c r="J3650">
        <f>IF(Table13[[#This Row],[POS]]=0,1,0)</f>
        <v>0</v>
      </c>
      <c r="K3650">
        <f>SUM(Table13[[#This Row],[prefix]],Table13[[#This Row],[Past zero L]],Table13[[#This Row],[Past Zero R]],Table13[[#This Row],[Is Zero]])</f>
        <v>0</v>
      </c>
    </row>
    <row r="3651" spans="1:11" ht="16" x14ac:dyDescent="0.2">
      <c r="A3651" s="1" t="s">
        <v>102</v>
      </c>
      <c r="B3651" t="str">
        <f>LEFT(Table13[[#This Row],[Input]],1)</f>
        <v>R</v>
      </c>
      <c r="C3651">
        <f>_xlfn.LET(_xlpm.steps,SUBSTITUTE(Table13[[#This Row],[Input]],Table13[[#This Row],[Direction]],""),VALUE(IF(LEN(_xlpm.steps)&gt;2,RIGHT(_xlpm.steps,2),_xlpm.steps)))</f>
        <v>39</v>
      </c>
      <c r="D3651">
        <f>_xlfn.LET(_xlpm.steps,SUBSTITUTE(Table13[[#This Row],[Input]],Table13[[#This Row],[Direction]],""),VALUE(IF(LEN(_xlpm.steps)&gt;2,LEFT(_xlpm.steps,LEN(_xlpm.steps)-2),0)))</f>
        <v>0</v>
      </c>
      <c r="E3651">
        <f>_xlfn.LET(_xlpm.dir,Table13[[#This Row],[Direction]],
IF(_xlpm.dir="L",
    IF(G3650-Table13[[#This Row],[Steps]]&lt;0,100+(G3650-Table13[[#This Row],[Steps]]),G3650-Table13[[#This Row],[Steps]]),
))</f>
        <v>0</v>
      </c>
      <c r="F3651">
        <f>_xlfn.LET(_xlpm.dir,Table13[[#This Row],[Direction]],
IF(_xlpm.dir="R",
    IF(G3650+Table13[[#This Row],[Steps]]&gt;99,(G3650+Table13[[#This Row],[Steps]])-100,G3650+Table13[[#This Row],[Steps]]),
))</f>
        <v>0</v>
      </c>
      <c r="G3651">
        <f>IF(Table13[[#This Row],[New Pos L]]&lt;&gt;0,Table13[[#This Row],[New Pos L]],Table13[[#This Row],[New Pos R]])</f>
        <v>0</v>
      </c>
      <c r="H3651">
        <f>IF(AND(Table13[[#This Row],[Direction]]="L",Table13[[#This Row],[Steps]]&gt;G3650,G3650&lt;&gt;0),1,0)</f>
        <v>0</v>
      </c>
      <c r="I3651">
        <f>IF(AND(Table13[[#This Row],[Direction]]="R",(G3650+Table13[[#This Row],[Steps]])&gt;100),1,0)</f>
        <v>0</v>
      </c>
      <c r="J3651">
        <f>IF(Table13[[#This Row],[POS]]=0,1,0)</f>
        <v>1</v>
      </c>
      <c r="K3651">
        <f>SUM(Table13[[#This Row],[prefix]],Table13[[#This Row],[Past zero L]],Table13[[#This Row],[Past Zero R]],Table13[[#This Row],[Is Zero]])</f>
        <v>1</v>
      </c>
    </row>
    <row r="3652" spans="1:11" ht="16" x14ac:dyDescent="0.2">
      <c r="A3652" s="1" t="s">
        <v>175</v>
      </c>
      <c r="B3652" t="str">
        <f>LEFT(Table13[[#This Row],[Input]],1)</f>
        <v>L</v>
      </c>
      <c r="C3652">
        <f>_xlfn.LET(_xlpm.steps,SUBSTITUTE(Table13[[#This Row],[Input]],Table13[[#This Row],[Direction]],""),VALUE(IF(LEN(_xlpm.steps)&gt;2,RIGHT(_xlpm.steps,2),_xlpm.steps)))</f>
        <v>1</v>
      </c>
      <c r="D3652">
        <f>_xlfn.LET(_xlpm.steps,SUBSTITUTE(Table13[[#This Row],[Input]],Table13[[#This Row],[Direction]],""),VALUE(IF(LEN(_xlpm.steps)&gt;2,LEFT(_xlpm.steps,LEN(_xlpm.steps)-2),0)))</f>
        <v>0</v>
      </c>
      <c r="E3652">
        <f>_xlfn.LET(_xlpm.dir,Table13[[#This Row],[Direction]],
IF(_xlpm.dir="L",
    IF(G3651-Table13[[#This Row],[Steps]]&lt;0,100+(G3651-Table13[[#This Row],[Steps]]),G3651-Table13[[#This Row],[Steps]]),
))</f>
        <v>99</v>
      </c>
      <c r="F3652">
        <f>_xlfn.LET(_xlpm.dir,Table13[[#This Row],[Direction]],
IF(_xlpm.dir="R",
    IF(G3651+Table13[[#This Row],[Steps]]&gt;99,(G3651+Table13[[#This Row],[Steps]])-100,G3651+Table13[[#This Row],[Steps]]),
))</f>
        <v>0</v>
      </c>
      <c r="G3652">
        <f>IF(Table13[[#This Row],[New Pos L]]&lt;&gt;0,Table13[[#This Row],[New Pos L]],Table13[[#This Row],[New Pos R]])</f>
        <v>99</v>
      </c>
      <c r="H3652">
        <f>IF(AND(Table13[[#This Row],[Direction]]="L",Table13[[#This Row],[Steps]]&gt;G3651,G3651&lt;&gt;0),1,0)</f>
        <v>0</v>
      </c>
      <c r="I3652">
        <f>IF(AND(Table13[[#This Row],[Direction]]="R",(G3651+Table13[[#This Row],[Steps]])&gt;100),1,0)</f>
        <v>0</v>
      </c>
      <c r="J3652">
        <f>IF(Table13[[#This Row],[POS]]=0,1,0)</f>
        <v>0</v>
      </c>
      <c r="K3652">
        <f>SUM(Table13[[#This Row],[prefix]],Table13[[#This Row],[Past zero L]],Table13[[#This Row],[Past Zero R]],Table13[[#This Row],[Is Zero]])</f>
        <v>0</v>
      </c>
    </row>
    <row r="3653" spans="1:11" ht="16" x14ac:dyDescent="0.2">
      <c r="A3653" s="1" t="s">
        <v>5</v>
      </c>
      <c r="B3653" t="str">
        <f>LEFT(Table13[[#This Row],[Input]],1)</f>
        <v>R</v>
      </c>
      <c r="C3653">
        <f>_xlfn.LET(_xlpm.steps,SUBSTITUTE(Table13[[#This Row],[Input]],Table13[[#This Row],[Direction]],""),VALUE(IF(LEN(_xlpm.steps)&gt;2,RIGHT(_xlpm.steps,2),_xlpm.steps)))</f>
        <v>1</v>
      </c>
      <c r="D3653">
        <f>_xlfn.LET(_xlpm.steps,SUBSTITUTE(Table13[[#This Row],[Input]],Table13[[#This Row],[Direction]],""),VALUE(IF(LEN(_xlpm.steps)&gt;2,LEFT(_xlpm.steps,LEN(_xlpm.steps)-2),0)))</f>
        <v>0</v>
      </c>
      <c r="E3653">
        <f>_xlfn.LET(_xlpm.dir,Table13[[#This Row],[Direction]],
IF(_xlpm.dir="L",
    IF(G3652-Table13[[#This Row],[Steps]]&lt;0,100+(G3652-Table13[[#This Row],[Steps]]),G3652-Table13[[#This Row],[Steps]]),
))</f>
        <v>0</v>
      </c>
      <c r="F3653">
        <f>_xlfn.LET(_xlpm.dir,Table13[[#This Row],[Direction]],
IF(_xlpm.dir="R",
    IF(G3652+Table13[[#This Row],[Steps]]&gt;99,(G3652+Table13[[#This Row],[Steps]])-100,G3652+Table13[[#This Row],[Steps]]),
))</f>
        <v>0</v>
      </c>
      <c r="G3653">
        <f>IF(Table13[[#This Row],[New Pos L]]&lt;&gt;0,Table13[[#This Row],[New Pos L]],Table13[[#This Row],[New Pos R]])</f>
        <v>0</v>
      </c>
      <c r="H3653">
        <f>IF(AND(Table13[[#This Row],[Direction]]="L",Table13[[#This Row],[Steps]]&gt;G3652,G3652&lt;&gt;0),1,0)</f>
        <v>0</v>
      </c>
      <c r="I3653">
        <f>IF(AND(Table13[[#This Row],[Direction]]="R",(G3652+Table13[[#This Row],[Steps]])&gt;100),1,0)</f>
        <v>0</v>
      </c>
      <c r="J3653">
        <f>IF(Table13[[#This Row],[POS]]=0,1,0)</f>
        <v>1</v>
      </c>
      <c r="K3653">
        <f>SUM(Table13[[#This Row],[prefix]],Table13[[#This Row],[Past zero L]],Table13[[#This Row],[Past Zero R]],Table13[[#This Row],[Is Zero]])</f>
        <v>1</v>
      </c>
    </row>
    <row r="3654" spans="1:11" ht="16" x14ac:dyDescent="0.2">
      <c r="A3654" s="1" t="s">
        <v>192</v>
      </c>
      <c r="B3654" t="str">
        <f>LEFT(Table13[[#This Row],[Input]],1)</f>
        <v>L</v>
      </c>
      <c r="C3654">
        <f>_xlfn.LET(_xlpm.steps,SUBSTITUTE(Table13[[#This Row],[Input]],Table13[[#This Row],[Direction]],""),VALUE(IF(LEN(_xlpm.steps)&gt;2,RIGHT(_xlpm.steps,2),_xlpm.steps)))</f>
        <v>52</v>
      </c>
      <c r="D3654">
        <f>_xlfn.LET(_xlpm.steps,SUBSTITUTE(Table13[[#This Row],[Input]],Table13[[#This Row],[Direction]],""),VALUE(IF(LEN(_xlpm.steps)&gt;2,LEFT(_xlpm.steps,LEN(_xlpm.steps)-2),0)))</f>
        <v>0</v>
      </c>
      <c r="E3654">
        <f>_xlfn.LET(_xlpm.dir,Table13[[#This Row],[Direction]],
IF(_xlpm.dir="L",
    IF(G3653-Table13[[#This Row],[Steps]]&lt;0,100+(G3653-Table13[[#This Row],[Steps]]),G3653-Table13[[#This Row],[Steps]]),
))</f>
        <v>48</v>
      </c>
      <c r="F3654">
        <f>_xlfn.LET(_xlpm.dir,Table13[[#This Row],[Direction]],
IF(_xlpm.dir="R",
    IF(G3653+Table13[[#This Row],[Steps]]&gt;99,(G3653+Table13[[#This Row],[Steps]])-100,G3653+Table13[[#This Row],[Steps]]),
))</f>
        <v>0</v>
      </c>
      <c r="G3654">
        <f>IF(Table13[[#This Row],[New Pos L]]&lt;&gt;0,Table13[[#This Row],[New Pos L]],Table13[[#This Row],[New Pos R]])</f>
        <v>48</v>
      </c>
      <c r="H3654">
        <f>IF(AND(Table13[[#This Row],[Direction]]="L",Table13[[#This Row],[Steps]]&gt;G3653,G3653&lt;&gt;0),1,0)</f>
        <v>0</v>
      </c>
      <c r="I3654">
        <f>IF(AND(Table13[[#This Row],[Direction]]="R",(G3653+Table13[[#This Row],[Steps]])&gt;100),1,0)</f>
        <v>0</v>
      </c>
      <c r="J3654">
        <f>IF(Table13[[#This Row],[POS]]=0,1,0)</f>
        <v>0</v>
      </c>
      <c r="K3654">
        <f>SUM(Table13[[#This Row],[prefix]],Table13[[#This Row],[Past zero L]],Table13[[#This Row],[Past Zero R]],Table13[[#This Row],[Is Zero]])</f>
        <v>0</v>
      </c>
    </row>
    <row r="3655" spans="1:11" ht="16" x14ac:dyDescent="0.2">
      <c r="A3655" s="1" t="s">
        <v>71</v>
      </c>
      <c r="B3655" t="str">
        <f>LEFT(Table13[[#This Row],[Input]],1)</f>
        <v>R</v>
      </c>
      <c r="C3655">
        <f>_xlfn.LET(_xlpm.steps,SUBSTITUTE(Table13[[#This Row],[Input]],Table13[[#This Row],[Direction]],""),VALUE(IF(LEN(_xlpm.steps)&gt;2,RIGHT(_xlpm.steps,2),_xlpm.steps)))</f>
        <v>23</v>
      </c>
      <c r="D3655">
        <f>_xlfn.LET(_xlpm.steps,SUBSTITUTE(Table13[[#This Row],[Input]],Table13[[#This Row],[Direction]],""),VALUE(IF(LEN(_xlpm.steps)&gt;2,LEFT(_xlpm.steps,LEN(_xlpm.steps)-2),0)))</f>
        <v>0</v>
      </c>
      <c r="E3655">
        <f>_xlfn.LET(_xlpm.dir,Table13[[#This Row],[Direction]],
IF(_xlpm.dir="L",
    IF(G3654-Table13[[#This Row],[Steps]]&lt;0,100+(G3654-Table13[[#This Row],[Steps]]),G3654-Table13[[#This Row],[Steps]]),
))</f>
        <v>0</v>
      </c>
      <c r="F3655">
        <f>_xlfn.LET(_xlpm.dir,Table13[[#This Row],[Direction]],
IF(_xlpm.dir="R",
    IF(G3654+Table13[[#This Row],[Steps]]&gt;99,(G3654+Table13[[#This Row],[Steps]])-100,G3654+Table13[[#This Row],[Steps]]),
))</f>
        <v>71</v>
      </c>
      <c r="G3655">
        <f>IF(Table13[[#This Row],[New Pos L]]&lt;&gt;0,Table13[[#This Row],[New Pos L]],Table13[[#This Row],[New Pos R]])</f>
        <v>71</v>
      </c>
      <c r="H3655">
        <f>IF(AND(Table13[[#This Row],[Direction]]="L",Table13[[#This Row],[Steps]]&gt;G3654,G3654&lt;&gt;0),1,0)</f>
        <v>0</v>
      </c>
      <c r="I3655">
        <f>IF(AND(Table13[[#This Row],[Direction]]="R",(G3654+Table13[[#This Row],[Steps]])&gt;100),1,0)</f>
        <v>0</v>
      </c>
      <c r="J3655">
        <f>IF(Table13[[#This Row],[POS]]=0,1,0)</f>
        <v>0</v>
      </c>
      <c r="K3655">
        <f>SUM(Table13[[#This Row],[prefix]],Table13[[#This Row],[Past zero L]],Table13[[#This Row],[Past Zero R]],Table13[[#This Row],[Is Zero]])</f>
        <v>0</v>
      </c>
    </row>
    <row r="3656" spans="1:11" ht="16" x14ac:dyDescent="0.2">
      <c r="A3656" s="1" t="s">
        <v>94</v>
      </c>
      <c r="B3656" t="str">
        <f>LEFT(Table13[[#This Row],[Input]],1)</f>
        <v>L</v>
      </c>
      <c r="C3656">
        <f>_xlfn.LET(_xlpm.steps,SUBSTITUTE(Table13[[#This Row],[Input]],Table13[[#This Row],[Direction]],""),VALUE(IF(LEN(_xlpm.steps)&gt;2,RIGHT(_xlpm.steps,2),_xlpm.steps)))</f>
        <v>71</v>
      </c>
      <c r="D3656">
        <f>_xlfn.LET(_xlpm.steps,SUBSTITUTE(Table13[[#This Row],[Input]],Table13[[#This Row],[Direction]],""),VALUE(IF(LEN(_xlpm.steps)&gt;2,LEFT(_xlpm.steps,LEN(_xlpm.steps)-2),0)))</f>
        <v>0</v>
      </c>
      <c r="E3656">
        <f>_xlfn.LET(_xlpm.dir,Table13[[#This Row],[Direction]],
IF(_xlpm.dir="L",
    IF(G3655-Table13[[#This Row],[Steps]]&lt;0,100+(G3655-Table13[[#This Row],[Steps]]),G3655-Table13[[#This Row],[Steps]]),
))</f>
        <v>0</v>
      </c>
      <c r="F3656">
        <f>_xlfn.LET(_xlpm.dir,Table13[[#This Row],[Direction]],
IF(_xlpm.dir="R",
    IF(G3655+Table13[[#This Row],[Steps]]&gt;99,(G3655+Table13[[#This Row],[Steps]])-100,G3655+Table13[[#This Row],[Steps]]),
))</f>
        <v>0</v>
      </c>
      <c r="G3656">
        <f>IF(Table13[[#This Row],[New Pos L]]&lt;&gt;0,Table13[[#This Row],[New Pos L]],Table13[[#This Row],[New Pos R]])</f>
        <v>0</v>
      </c>
      <c r="H3656">
        <f>IF(AND(Table13[[#This Row],[Direction]]="L",Table13[[#This Row],[Steps]]&gt;G3655,G3655&lt;&gt;0),1,0)</f>
        <v>0</v>
      </c>
      <c r="I3656">
        <f>IF(AND(Table13[[#This Row],[Direction]]="R",(G3655+Table13[[#This Row],[Steps]])&gt;100),1,0)</f>
        <v>0</v>
      </c>
      <c r="J3656">
        <f>IF(Table13[[#This Row],[POS]]=0,1,0)</f>
        <v>1</v>
      </c>
      <c r="K3656">
        <f>SUM(Table13[[#This Row],[prefix]],Table13[[#This Row],[Past zero L]],Table13[[#This Row],[Past Zero R]],Table13[[#This Row],[Is Zero]])</f>
        <v>1</v>
      </c>
    </row>
    <row r="3657" spans="1:11" ht="16" x14ac:dyDescent="0.2">
      <c r="A3657" s="1" t="s">
        <v>127</v>
      </c>
      <c r="B3657" t="str">
        <f>LEFT(Table13[[#This Row],[Input]],1)</f>
        <v>L</v>
      </c>
      <c r="C3657">
        <f>_xlfn.LET(_xlpm.steps,SUBSTITUTE(Table13[[#This Row],[Input]],Table13[[#This Row],[Direction]],""),VALUE(IF(LEN(_xlpm.steps)&gt;2,RIGHT(_xlpm.steps,2),_xlpm.steps)))</f>
        <v>62</v>
      </c>
      <c r="D3657">
        <f>_xlfn.LET(_xlpm.steps,SUBSTITUTE(Table13[[#This Row],[Input]],Table13[[#This Row],[Direction]],""),VALUE(IF(LEN(_xlpm.steps)&gt;2,LEFT(_xlpm.steps,LEN(_xlpm.steps)-2),0)))</f>
        <v>0</v>
      </c>
      <c r="E3657">
        <f>_xlfn.LET(_xlpm.dir,Table13[[#This Row],[Direction]],
IF(_xlpm.dir="L",
    IF(G3656-Table13[[#This Row],[Steps]]&lt;0,100+(G3656-Table13[[#This Row],[Steps]]),G3656-Table13[[#This Row],[Steps]]),
))</f>
        <v>38</v>
      </c>
      <c r="F3657">
        <f>_xlfn.LET(_xlpm.dir,Table13[[#This Row],[Direction]],
IF(_xlpm.dir="R",
    IF(G3656+Table13[[#This Row],[Steps]]&gt;99,(G3656+Table13[[#This Row],[Steps]])-100,G3656+Table13[[#This Row],[Steps]]),
))</f>
        <v>0</v>
      </c>
      <c r="G3657">
        <f>IF(Table13[[#This Row],[New Pos L]]&lt;&gt;0,Table13[[#This Row],[New Pos L]],Table13[[#This Row],[New Pos R]])</f>
        <v>38</v>
      </c>
      <c r="H3657">
        <f>IF(AND(Table13[[#This Row],[Direction]]="L",Table13[[#This Row],[Steps]]&gt;G3656,G3656&lt;&gt;0),1,0)</f>
        <v>0</v>
      </c>
      <c r="I3657">
        <f>IF(AND(Table13[[#This Row],[Direction]]="R",(G3656+Table13[[#This Row],[Steps]])&gt;100),1,0)</f>
        <v>0</v>
      </c>
      <c r="J3657">
        <f>IF(Table13[[#This Row],[POS]]=0,1,0)</f>
        <v>0</v>
      </c>
      <c r="K3657">
        <f>SUM(Table13[[#This Row],[prefix]],Table13[[#This Row],[Past zero L]],Table13[[#This Row],[Past Zero R]],Table13[[#This Row],[Is Zero]])</f>
        <v>0</v>
      </c>
    </row>
    <row r="3658" spans="1:11" ht="16" x14ac:dyDescent="0.2">
      <c r="A3658" s="1" t="s">
        <v>775</v>
      </c>
      <c r="B3658" t="str">
        <f>LEFT(Table13[[#This Row],[Input]],1)</f>
        <v>L</v>
      </c>
      <c r="C3658">
        <f>_xlfn.LET(_xlpm.steps,SUBSTITUTE(Table13[[#This Row],[Input]],Table13[[#This Row],[Direction]],""),VALUE(IF(LEN(_xlpm.steps)&gt;2,RIGHT(_xlpm.steps,2),_xlpm.steps)))</f>
        <v>52</v>
      </c>
      <c r="D3658">
        <f>_xlfn.LET(_xlpm.steps,SUBSTITUTE(Table13[[#This Row],[Input]],Table13[[#This Row],[Direction]],""),VALUE(IF(LEN(_xlpm.steps)&gt;2,LEFT(_xlpm.steps,LEN(_xlpm.steps)-2),0)))</f>
        <v>2</v>
      </c>
      <c r="E3658">
        <f>_xlfn.LET(_xlpm.dir,Table13[[#This Row],[Direction]],
IF(_xlpm.dir="L",
    IF(G3657-Table13[[#This Row],[Steps]]&lt;0,100+(G3657-Table13[[#This Row],[Steps]]),G3657-Table13[[#This Row],[Steps]]),
))</f>
        <v>86</v>
      </c>
      <c r="F3658">
        <f>_xlfn.LET(_xlpm.dir,Table13[[#This Row],[Direction]],
IF(_xlpm.dir="R",
    IF(G3657+Table13[[#This Row],[Steps]]&gt;99,(G3657+Table13[[#This Row],[Steps]])-100,G3657+Table13[[#This Row],[Steps]]),
))</f>
        <v>0</v>
      </c>
      <c r="G3658">
        <f>IF(Table13[[#This Row],[New Pos L]]&lt;&gt;0,Table13[[#This Row],[New Pos L]],Table13[[#This Row],[New Pos R]])</f>
        <v>86</v>
      </c>
      <c r="H3658">
        <f>IF(AND(Table13[[#This Row],[Direction]]="L",Table13[[#This Row],[Steps]]&gt;G3657,G3657&lt;&gt;0),1,0)</f>
        <v>1</v>
      </c>
      <c r="I3658">
        <f>IF(AND(Table13[[#This Row],[Direction]]="R",(G3657+Table13[[#This Row],[Steps]])&gt;100),1,0)</f>
        <v>0</v>
      </c>
      <c r="J3658">
        <f>IF(Table13[[#This Row],[POS]]=0,1,0)</f>
        <v>0</v>
      </c>
      <c r="K3658">
        <f>SUM(Table13[[#This Row],[prefix]],Table13[[#This Row],[Past zero L]],Table13[[#This Row],[Past Zero R]],Table13[[#This Row],[Is Zero]])</f>
        <v>3</v>
      </c>
    </row>
    <row r="3659" spans="1:11" ht="16" x14ac:dyDescent="0.2">
      <c r="A3659" s="1" t="s">
        <v>776</v>
      </c>
      <c r="B3659" t="str">
        <f>LEFT(Table13[[#This Row],[Input]],1)</f>
        <v>L</v>
      </c>
      <c r="C3659">
        <f>_xlfn.LET(_xlpm.steps,SUBSTITUTE(Table13[[#This Row],[Input]],Table13[[#This Row],[Direction]],""),VALUE(IF(LEN(_xlpm.steps)&gt;2,RIGHT(_xlpm.steps,2),_xlpm.steps)))</f>
        <v>86</v>
      </c>
      <c r="D3659">
        <f>_xlfn.LET(_xlpm.steps,SUBSTITUTE(Table13[[#This Row],[Input]],Table13[[#This Row],[Direction]],""),VALUE(IF(LEN(_xlpm.steps)&gt;2,LEFT(_xlpm.steps,LEN(_xlpm.steps)-2),0)))</f>
        <v>6</v>
      </c>
      <c r="E3659">
        <f>_xlfn.LET(_xlpm.dir,Table13[[#This Row],[Direction]],
IF(_xlpm.dir="L",
    IF(G3658-Table13[[#This Row],[Steps]]&lt;0,100+(G3658-Table13[[#This Row],[Steps]]),G3658-Table13[[#This Row],[Steps]]),
))</f>
        <v>0</v>
      </c>
      <c r="F3659">
        <f>_xlfn.LET(_xlpm.dir,Table13[[#This Row],[Direction]],
IF(_xlpm.dir="R",
    IF(G3658+Table13[[#This Row],[Steps]]&gt;99,(G3658+Table13[[#This Row],[Steps]])-100,G3658+Table13[[#This Row],[Steps]]),
))</f>
        <v>0</v>
      </c>
      <c r="G3659">
        <f>IF(Table13[[#This Row],[New Pos L]]&lt;&gt;0,Table13[[#This Row],[New Pos L]],Table13[[#This Row],[New Pos R]])</f>
        <v>0</v>
      </c>
      <c r="H3659">
        <f>IF(AND(Table13[[#This Row],[Direction]]="L",Table13[[#This Row],[Steps]]&gt;G3658,G3658&lt;&gt;0),1,0)</f>
        <v>0</v>
      </c>
      <c r="I3659">
        <f>IF(AND(Table13[[#This Row],[Direction]]="R",(G3658+Table13[[#This Row],[Steps]])&gt;100),1,0)</f>
        <v>0</v>
      </c>
      <c r="J3659">
        <f>IF(Table13[[#This Row],[POS]]=0,1,0)</f>
        <v>1</v>
      </c>
      <c r="K3659">
        <f>SUM(Table13[[#This Row],[prefix]],Table13[[#This Row],[Past zero L]],Table13[[#This Row],[Past Zero R]],Table13[[#This Row],[Is Zero]])</f>
        <v>7</v>
      </c>
    </row>
    <row r="3660" spans="1:11" ht="16" x14ac:dyDescent="0.2">
      <c r="A3660" s="1" t="s">
        <v>777</v>
      </c>
      <c r="B3660" t="str">
        <f>LEFT(Table13[[#This Row],[Input]],1)</f>
        <v>R</v>
      </c>
      <c r="C3660">
        <f>_xlfn.LET(_xlpm.steps,SUBSTITUTE(Table13[[#This Row],[Input]],Table13[[#This Row],[Direction]],""),VALUE(IF(LEN(_xlpm.steps)&gt;2,RIGHT(_xlpm.steps,2),_xlpm.steps)))</f>
        <v>5</v>
      </c>
      <c r="D3660">
        <f>_xlfn.LET(_xlpm.steps,SUBSTITUTE(Table13[[#This Row],[Input]],Table13[[#This Row],[Direction]],""),VALUE(IF(LEN(_xlpm.steps)&gt;2,LEFT(_xlpm.steps,LEN(_xlpm.steps)-2),0)))</f>
        <v>6</v>
      </c>
      <c r="E3660">
        <f>_xlfn.LET(_xlpm.dir,Table13[[#This Row],[Direction]],
IF(_xlpm.dir="L",
    IF(G3659-Table13[[#This Row],[Steps]]&lt;0,100+(G3659-Table13[[#This Row],[Steps]]),G3659-Table13[[#This Row],[Steps]]),
))</f>
        <v>0</v>
      </c>
      <c r="F3660">
        <f>_xlfn.LET(_xlpm.dir,Table13[[#This Row],[Direction]],
IF(_xlpm.dir="R",
    IF(G3659+Table13[[#This Row],[Steps]]&gt;99,(G3659+Table13[[#This Row],[Steps]])-100,G3659+Table13[[#This Row],[Steps]]),
))</f>
        <v>5</v>
      </c>
      <c r="G3660">
        <f>IF(Table13[[#This Row],[New Pos L]]&lt;&gt;0,Table13[[#This Row],[New Pos L]],Table13[[#This Row],[New Pos R]])</f>
        <v>5</v>
      </c>
      <c r="H3660">
        <f>IF(AND(Table13[[#This Row],[Direction]]="L",Table13[[#This Row],[Steps]]&gt;G3659,G3659&lt;&gt;0),1,0)</f>
        <v>0</v>
      </c>
      <c r="I3660">
        <f>IF(AND(Table13[[#This Row],[Direction]]="R",(G3659+Table13[[#This Row],[Steps]])&gt;100),1,0)</f>
        <v>0</v>
      </c>
      <c r="J3660">
        <f>IF(Table13[[#This Row],[POS]]=0,1,0)</f>
        <v>0</v>
      </c>
      <c r="K3660">
        <f>SUM(Table13[[#This Row],[prefix]],Table13[[#This Row],[Past zero L]],Table13[[#This Row],[Past Zero R]],Table13[[#This Row],[Is Zero]])</f>
        <v>6</v>
      </c>
    </row>
    <row r="3661" spans="1:11" ht="16" x14ac:dyDescent="0.2">
      <c r="A3661" s="1" t="s">
        <v>201</v>
      </c>
      <c r="B3661" t="str">
        <f>LEFT(Table13[[#This Row],[Input]],1)</f>
        <v>R</v>
      </c>
      <c r="C3661">
        <f>_xlfn.LET(_xlpm.steps,SUBSTITUTE(Table13[[#This Row],[Input]],Table13[[#This Row],[Direction]],""),VALUE(IF(LEN(_xlpm.steps)&gt;2,RIGHT(_xlpm.steps,2),_xlpm.steps)))</f>
        <v>31</v>
      </c>
      <c r="D3661">
        <f>_xlfn.LET(_xlpm.steps,SUBSTITUTE(Table13[[#This Row],[Input]],Table13[[#This Row],[Direction]],""),VALUE(IF(LEN(_xlpm.steps)&gt;2,LEFT(_xlpm.steps,LEN(_xlpm.steps)-2),0)))</f>
        <v>0</v>
      </c>
      <c r="E3661">
        <f>_xlfn.LET(_xlpm.dir,Table13[[#This Row],[Direction]],
IF(_xlpm.dir="L",
    IF(G3660-Table13[[#This Row],[Steps]]&lt;0,100+(G3660-Table13[[#This Row],[Steps]]),G3660-Table13[[#This Row],[Steps]]),
))</f>
        <v>0</v>
      </c>
      <c r="F3661">
        <f>_xlfn.LET(_xlpm.dir,Table13[[#This Row],[Direction]],
IF(_xlpm.dir="R",
    IF(G3660+Table13[[#This Row],[Steps]]&gt;99,(G3660+Table13[[#This Row],[Steps]])-100,G3660+Table13[[#This Row],[Steps]]),
))</f>
        <v>36</v>
      </c>
      <c r="G3661">
        <f>IF(Table13[[#This Row],[New Pos L]]&lt;&gt;0,Table13[[#This Row],[New Pos L]],Table13[[#This Row],[New Pos R]])</f>
        <v>36</v>
      </c>
      <c r="H3661">
        <f>IF(AND(Table13[[#This Row],[Direction]]="L",Table13[[#This Row],[Steps]]&gt;G3660,G3660&lt;&gt;0),1,0)</f>
        <v>0</v>
      </c>
      <c r="I3661">
        <f>IF(AND(Table13[[#This Row],[Direction]]="R",(G3660+Table13[[#This Row],[Steps]])&gt;100),1,0)</f>
        <v>0</v>
      </c>
      <c r="J3661">
        <f>IF(Table13[[#This Row],[POS]]=0,1,0)</f>
        <v>0</v>
      </c>
      <c r="K3661">
        <f>SUM(Table13[[#This Row],[prefix]],Table13[[#This Row],[Past zero L]],Table13[[#This Row],[Past Zero R]],Table13[[#This Row],[Is Zero]])</f>
        <v>0</v>
      </c>
    </row>
    <row r="3662" spans="1:11" ht="16" x14ac:dyDescent="0.2">
      <c r="A3662" s="1" t="s">
        <v>21</v>
      </c>
      <c r="B3662" t="str">
        <f>LEFT(Table13[[#This Row],[Input]],1)</f>
        <v>L</v>
      </c>
      <c r="C3662">
        <f>_xlfn.LET(_xlpm.steps,SUBSTITUTE(Table13[[#This Row],[Input]],Table13[[#This Row],[Direction]],""),VALUE(IF(LEN(_xlpm.steps)&gt;2,RIGHT(_xlpm.steps,2),_xlpm.steps)))</f>
        <v>36</v>
      </c>
      <c r="D3662">
        <f>_xlfn.LET(_xlpm.steps,SUBSTITUTE(Table13[[#This Row],[Input]],Table13[[#This Row],[Direction]],""),VALUE(IF(LEN(_xlpm.steps)&gt;2,LEFT(_xlpm.steps,LEN(_xlpm.steps)-2),0)))</f>
        <v>0</v>
      </c>
      <c r="E3662">
        <f>_xlfn.LET(_xlpm.dir,Table13[[#This Row],[Direction]],
IF(_xlpm.dir="L",
    IF(G3661-Table13[[#This Row],[Steps]]&lt;0,100+(G3661-Table13[[#This Row],[Steps]]),G3661-Table13[[#This Row],[Steps]]),
))</f>
        <v>0</v>
      </c>
      <c r="F3662">
        <f>_xlfn.LET(_xlpm.dir,Table13[[#This Row],[Direction]],
IF(_xlpm.dir="R",
    IF(G3661+Table13[[#This Row],[Steps]]&gt;99,(G3661+Table13[[#This Row],[Steps]])-100,G3661+Table13[[#This Row],[Steps]]),
))</f>
        <v>0</v>
      </c>
      <c r="G3662">
        <f>IF(Table13[[#This Row],[New Pos L]]&lt;&gt;0,Table13[[#This Row],[New Pos L]],Table13[[#This Row],[New Pos R]])</f>
        <v>0</v>
      </c>
      <c r="H3662">
        <f>IF(AND(Table13[[#This Row],[Direction]]="L",Table13[[#This Row],[Steps]]&gt;G3661,G3661&lt;&gt;0),1,0)</f>
        <v>0</v>
      </c>
      <c r="I3662">
        <f>IF(AND(Table13[[#This Row],[Direction]]="R",(G3661+Table13[[#This Row],[Steps]])&gt;100),1,0)</f>
        <v>0</v>
      </c>
      <c r="J3662">
        <f>IF(Table13[[#This Row],[POS]]=0,1,0)</f>
        <v>1</v>
      </c>
      <c r="K3662">
        <f>SUM(Table13[[#This Row],[prefix]],Table13[[#This Row],[Past zero L]],Table13[[#This Row],[Past Zero R]],Table13[[#This Row],[Is Zero]])</f>
        <v>1</v>
      </c>
    </row>
    <row r="3663" spans="1:11" ht="16" x14ac:dyDescent="0.2">
      <c r="A3663" s="1" t="s">
        <v>46</v>
      </c>
      <c r="B3663" t="str">
        <f>LEFT(Table13[[#This Row],[Input]],1)</f>
        <v>L</v>
      </c>
      <c r="C3663">
        <f>_xlfn.LET(_xlpm.steps,SUBSTITUTE(Table13[[#This Row],[Input]],Table13[[#This Row],[Direction]],""),VALUE(IF(LEN(_xlpm.steps)&gt;2,RIGHT(_xlpm.steps,2),_xlpm.steps)))</f>
        <v>97</v>
      </c>
      <c r="D3663">
        <f>_xlfn.LET(_xlpm.steps,SUBSTITUTE(Table13[[#This Row],[Input]],Table13[[#This Row],[Direction]],""),VALUE(IF(LEN(_xlpm.steps)&gt;2,LEFT(_xlpm.steps,LEN(_xlpm.steps)-2),0)))</f>
        <v>0</v>
      </c>
      <c r="E3663">
        <f>_xlfn.LET(_xlpm.dir,Table13[[#This Row],[Direction]],
IF(_xlpm.dir="L",
    IF(G3662-Table13[[#This Row],[Steps]]&lt;0,100+(G3662-Table13[[#This Row],[Steps]]),G3662-Table13[[#This Row],[Steps]]),
))</f>
        <v>3</v>
      </c>
      <c r="F3663">
        <f>_xlfn.LET(_xlpm.dir,Table13[[#This Row],[Direction]],
IF(_xlpm.dir="R",
    IF(G3662+Table13[[#This Row],[Steps]]&gt;99,(G3662+Table13[[#This Row],[Steps]])-100,G3662+Table13[[#This Row],[Steps]]),
))</f>
        <v>0</v>
      </c>
      <c r="G3663">
        <f>IF(Table13[[#This Row],[New Pos L]]&lt;&gt;0,Table13[[#This Row],[New Pos L]],Table13[[#This Row],[New Pos R]])</f>
        <v>3</v>
      </c>
      <c r="H3663">
        <f>IF(AND(Table13[[#This Row],[Direction]]="L",Table13[[#This Row],[Steps]]&gt;G3662,G3662&lt;&gt;0),1,0)</f>
        <v>0</v>
      </c>
      <c r="I3663">
        <f>IF(AND(Table13[[#This Row],[Direction]]="R",(G3662+Table13[[#This Row],[Steps]])&gt;100),1,0)</f>
        <v>0</v>
      </c>
      <c r="J3663">
        <f>IF(Table13[[#This Row],[POS]]=0,1,0)</f>
        <v>0</v>
      </c>
      <c r="K3663">
        <f>SUM(Table13[[#This Row],[prefix]],Table13[[#This Row],[Past zero L]],Table13[[#This Row],[Past Zero R]],Table13[[#This Row],[Is Zero]])</f>
        <v>0</v>
      </c>
    </row>
    <row r="3664" spans="1:11" ht="16" x14ac:dyDescent="0.2">
      <c r="A3664" s="1" t="s">
        <v>256</v>
      </c>
      <c r="B3664" t="str">
        <f>LEFT(Table13[[#This Row],[Input]],1)</f>
        <v>R</v>
      </c>
      <c r="C3664">
        <f>_xlfn.LET(_xlpm.steps,SUBSTITUTE(Table13[[#This Row],[Input]],Table13[[#This Row],[Direction]],""),VALUE(IF(LEN(_xlpm.steps)&gt;2,RIGHT(_xlpm.steps,2),_xlpm.steps)))</f>
        <v>13</v>
      </c>
      <c r="D3664">
        <f>_xlfn.LET(_xlpm.steps,SUBSTITUTE(Table13[[#This Row],[Input]],Table13[[#This Row],[Direction]],""),VALUE(IF(LEN(_xlpm.steps)&gt;2,LEFT(_xlpm.steps,LEN(_xlpm.steps)-2),0)))</f>
        <v>0</v>
      </c>
      <c r="E3664">
        <f>_xlfn.LET(_xlpm.dir,Table13[[#This Row],[Direction]],
IF(_xlpm.dir="L",
    IF(G3663-Table13[[#This Row],[Steps]]&lt;0,100+(G3663-Table13[[#This Row],[Steps]]),G3663-Table13[[#This Row],[Steps]]),
))</f>
        <v>0</v>
      </c>
      <c r="F3664">
        <f>_xlfn.LET(_xlpm.dir,Table13[[#This Row],[Direction]],
IF(_xlpm.dir="R",
    IF(G3663+Table13[[#This Row],[Steps]]&gt;99,(G3663+Table13[[#This Row],[Steps]])-100,G3663+Table13[[#This Row],[Steps]]),
))</f>
        <v>16</v>
      </c>
      <c r="G3664">
        <f>IF(Table13[[#This Row],[New Pos L]]&lt;&gt;0,Table13[[#This Row],[New Pos L]],Table13[[#This Row],[New Pos R]])</f>
        <v>16</v>
      </c>
      <c r="H3664">
        <f>IF(AND(Table13[[#This Row],[Direction]]="L",Table13[[#This Row],[Steps]]&gt;G3663,G3663&lt;&gt;0),1,0)</f>
        <v>0</v>
      </c>
      <c r="I3664">
        <f>IF(AND(Table13[[#This Row],[Direction]]="R",(G3663+Table13[[#This Row],[Steps]])&gt;100),1,0)</f>
        <v>0</v>
      </c>
      <c r="J3664">
        <f>IF(Table13[[#This Row],[POS]]=0,1,0)</f>
        <v>0</v>
      </c>
      <c r="K3664">
        <f>SUM(Table13[[#This Row],[prefix]],Table13[[#This Row],[Past zero L]],Table13[[#This Row],[Past Zero R]],Table13[[#This Row],[Is Zero]])</f>
        <v>0</v>
      </c>
    </row>
    <row r="3665" spans="1:11" ht="16" x14ac:dyDescent="0.2">
      <c r="A3665" s="1" t="s">
        <v>157</v>
      </c>
      <c r="B3665" t="str">
        <f>LEFT(Table13[[#This Row],[Input]],1)</f>
        <v>R</v>
      </c>
      <c r="C3665">
        <f>_xlfn.LET(_xlpm.steps,SUBSTITUTE(Table13[[#This Row],[Input]],Table13[[#This Row],[Direction]],""),VALUE(IF(LEN(_xlpm.steps)&gt;2,RIGHT(_xlpm.steps,2),_xlpm.steps)))</f>
        <v>68</v>
      </c>
      <c r="D3665">
        <f>_xlfn.LET(_xlpm.steps,SUBSTITUTE(Table13[[#This Row],[Input]],Table13[[#This Row],[Direction]],""),VALUE(IF(LEN(_xlpm.steps)&gt;2,LEFT(_xlpm.steps,LEN(_xlpm.steps)-2),0)))</f>
        <v>0</v>
      </c>
      <c r="E3665">
        <f>_xlfn.LET(_xlpm.dir,Table13[[#This Row],[Direction]],
IF(_xlpm.dir="L",
    IF(G3664-Table13[[#This Row],[Steps]]&lt;0,100+(G3664-Table13[[#This Row],[Steps]]),G3664-Table13[[#This Row],[Steps]]),
))</f>
        <v>0</v>
      </c>
      <c r="F3665">
        <f>_xlfn.LET(_xlpm.dir,Table13[[#This Row],[Direction]],
IF(_xlpm.dir="R",
    IF(G3664+Table13[[#This Row],[Steps]]&gt;99,(G3664+Table13[[#This Row],[Steps]])-100,G3664+Table13[[#This Row],[Steps]]),
))</f>
        <v>84</v>
      </c>
      <c r="G3665">
        <f>IF(Table13[[#This Row],[New Pos L]]&lt;&gt;0,Table13[[#This Row],[New Pos L]],Table13[[#This Row],[New Pos R]])</f>
        <v>84</v>
      </c>
      <c r="H3665">
        <f>IF(AND(Table13[[#This Row],[Direction]]="L",Table13[[#This Row],[Steps]]&gt;G3664,G3664&lt;&gt;0),1,0)</f>
        <v>0</v>
      </c>
      <c r="I3665">
        <f>IF(AND(Table13[[#This Row],[Direction]]="R",(G3664+Table13[[#This Row],[Steps]])&gt;100),1,0)</f>
        <v>0</v>
      </c>
      <c r="J3665">
        <f>IF(Table13[[#This Row],[POS]]=0,1,0)</f>
        <v>0</v>
      </c>
      <c r="K3665">
        <f>SUM(Table13[[#This Row],[prefix]],Table13[[#This Row],[Past zero L]],Table13[[#This Row],[Past Zero R]],Table13[[#This Row],[Is Zero]])</f>
        <v>0</v>
      </c>
    </row>
    <row r="3666" spans="1:11" ht="16" x14ac:dyDescent="0.2">
      <c r="A3666" s="1" t="s">
        <v>255</v>
      </c>
      <c r="B3666" t="str">
        <f>LEFT(Table13[[#This Row],[Input]],1)</f>
        <v>R</v>
      </c>
      <c r="C3666">
        <f>_xlfn.LET(_xlpm.steps,SUBSTITUTE(Table13[[#This Row],[Input]],Table13[[#This Row],[Direction]],""),VALUE(IF(LEN(_xlpm.steps)&gt;2,RIGHT(_xlpm.steps,2),_xlpm.steps)))</f>
        <v>16</v>
      </c>
      <c r="D3666">
        <f>_xlfn.LET(_xlpm.steps,SUBSTITUTE(Table13[[#This Row],[Input]],Table13[[#This Row],[Direction]],""),VALUE(IF(LEN(_xlpm.steps)&gt;2,LEFT(_xlpm.steps,LEN(_xlpm.steps)-2),0)))</f>
        <v>0</v>
      </c>
      <c r="E3666">
        <f>_xlfn.LET(_xlpm.dir,Table13[[#This Row],[Direction]],
IF(_xlpm.dir="L",
    IF(G3665-Table13[[#This Row],[Steps]]&lt;0,100+(G3665-Table13[[#This Row],[Steps]]),G3665-Table13[[#This Row],[Steps]]),
))</f>
        <v>0</v>
      </c>
      <c r="F3666">
        <f>_xlfn.LET(_xlpm.dir,Table13[[#This Row],[Direction]],
IF(_xlpm.dir="R",
    IF(G3665+Table13[[#This Row],[Steps]]&gt;99,(G3665+Table13[[#This Row],[Steps]])-100,G3665+Table13[[#This Row],[Steps]]),
))</f>
        <v>0</v>
      </c>
      <c r="G3666">
        <f>IF(Table13[[#This Row],[New Pos L]]&lt;&gt;0,Table13[[#This Row],[New Pos L]],Table13[[#This Row],[New Pos R]])</f>
        <v>0</v>
      </c>
      <c r="H3666">
        <f>IF(AND(Table13[[#This Row],[Direction]]="L",Table13[[#This Row],[Steps]]&gt;G3665,G3665&lt;&gt;0),1,0)</f>
        <v>0</v>
      </c>
      <c r="I3666">
        <f>IF(AND(Table13[[#This Row],[Direction]]="R",(G3665+Table13[[#This Row],[Steps]])&gt;100),1,0)</f>
        <v>0</v>
      </c>
      <c r="J3666">
        <f>IF(Table13[[#This Row],[POS]]=0,1,0)</f>
        <v>1</v>
      </c>
      <c r="K3666">
        <f>SUM(Table13[[#This Row],[prefix]],Table13[[#This Row],[Past zero L]],Table13[[#This Row],[Past Zero R]],Table13[[#This Row],[Is Zero]])</f>
        <v>1</v>
      </c>
    </row>
    <row r="3667" spans="1:11" ht="16" x14ac:dyDescent="0.2">
      <c r="A3667" s="1" t="s">
        <v>217</v>
      </c>
      <c r="B3667" t="str">
        <f>LEFT(Table13[[#This Row],[Input]],1)</f>
        <v>R</v>
      </c>
      <c r="C3667">
        <f>_xlfn.LET(_xlpm.steps,SUBSTITUTE(Table13[[#This Row],[Input]],Table13[[#This Row],[Direction]],""),VALUE(IF(LEN(_xlpm.steps)&gt;2,RIGHT(_xlpm.steps,2),_xlpm.steps)))</f>
        <v>91</v>
      </c>
      <c r="D3667">
        <f>_xlfn.LET(_xlpm.steps,SUBSTITUTE(Table13[[#This Row],[Input]],Table13[[#This Row],[Direction]],""),VALUE(IF(LEN(_xlpm.steps)&gt;2,LEFT(_xlpm.steps,LEN(_xlpm.steps)-2),0)))</f>
        <v>0</v>
      </c>
      <c r="E3667">
        <f>_xlfn.LET(_xlpm.dir,Table13[[#This Row],[Direction]],
IF(_xlpm.dir="L",
    IF(G3666-Table13[[#This Row],[Steps]]&lt;0,100+(G3666-Table13[[#This Row],[Steps]]),G3666-Table13[[#This Row],[Steps]]),
))</f>
        <v>0</v>
      </c>
      <c r="F3667">
        <f>_xlfn.LET(_xlpm.dir,Table13[[#This Row],[Direction]],
IF(_xlpm.dir="R",
    IF(G3666+Table13[[#This Row],[Steps]]&gt;99,(G3666+Table13[[#This Row],[Steps]])-100,G3666+Table13[[#This Row],[Steps]]),
))</f>
        <v>91</v>
      </c>
      <c r="G3667">
        <f>IF(Table13[[#This Row],[New Pos L]]&lt;&gt;0,Table13[[#This Row],[New Pos L]],Table13[[#This Row],[New Pos R]])</f>
        <v>91</v>
      </c>
      <c r="H3667">
        <f>IF(AND(Table13[[#This Row],[Direction]]="L",Table13[[#This Row],[Steps]]&gt;G3666,G3666&lt;&gt;0),1,0)</f>
        <v>0</v>
      </c>
      <c r="I3667">
        <f>IF(AND(Table13[[#This Row],[Direction]]="R",(G3666+Table13[[#This Row],[Steps]])&gt;100),1,0)</f>
        <v>0</v>
      </c>
      <c r="J3667">
        <f>IF(Table13[[#This Row],[POS]]=0,1,0)</f>
        <v>0</v>
      </c>
      <c r="K3667">
        <f>SUM(Table13[[#This Row],[prefix]],Table13[[#This Row],[Past zero L]],Table13[[#This Row],[Past Zero R]],Table13[[#This Row],[Is Zero]])</f>
        <v>0</v>
      </c>
    </row>
    <row r="3668" spans="1:11" ht="16" x14ac:dyDescent="0.2">
      <c r="A3668" s="1" t="s">
        <v>411</v>
      </c>
      <c r="B3668" t="str">
        <f>LEFT(Table13[[#This Row],[Input]],1)</f>
        <v>R</v>
      </c>
      <c r="C3668">
        <f>_xlfn.LET(_xlpm.steps,SUBSTITUTE(Table13[[#This Row],[Input]],Table13[[#This Row],[Direction]],""),VALUE(IF(LEN(_xlpm.steps)&gt;2,RIGHT(_xlpm.steps,2),_xlpm.steps)))</f>
        <v>39</v>
      </c>
      <c r="D3668">
        <f>_xlfn.LET(_xlpm.steps,SUBSTITUTE(Table13[[#This Row],[Input]],Table13[[#This Row],[Direction]],""),VALUE(IF(LEN(_xlpm.steps)&gt;2,LEFT(_xlpm.steps,LEN(_xlpm.steps)-2),0)))</f>
        <v>3</v>
      </c>
      <c r="E3668">
        <f>_xlfn.LET(_xlpm.dir,Table13[[#This Row],[Direction]],
IF(_xlpm.dir="L",
    IF(G3667-Table13[[#This Row],[Steps]]&lt;0,100+(G3667-Table13[[#This Row],[Steps]]),G3667-Table13[[#This Row],[Steps]]),
))</f>
        <v>0</v>
      </c>
      <c r="F3668">
        <f>_xlfn.LET(_xlpm.dir,Table13[[#This Row],[Direction]],
IF(_xlpm.dir="R",
    IF(G3667+Table13[[#This Row],[Steps]]&gt;99,(G3667+Table13[[#This Row],[Steps]])-100,G3667+Table13[[#This Row],[Steps]]),
))</f>
        <v>30</v>
      </c>
      <c r="G3668">
        <f>IF(Table13[[#This Row],[New Pos L]]&lt;&gt;0,Table13[[#This Row],[New Pos L]],Table13[[#This Row],[New Pos R]])</f>
        <v>30</v>
      </c>
      <c r="H3668">
        <f>IF(AND(Table13[[#This Row],[Direction]]="L",Table13[[#This Row],[Steps]]&gt;G3667,G3667&lt;&gt;0),1,0)</f>
        <v>0</v>
      </c>
      <c r="I3668">
        <f>IF(AND(Table13[[#This Row],[Direction]]="R",(G3667+Table13[[#This Row],[Steps]])&gt;100),1,0)</f>
        <v>1</v>
      </c>
      <c r="J3668">
        <f>IF(Table13[[#This Row],[POS]]=0,1,0)</f>
        <v>0</v>
      </c>
      <c r="K3668">
        <f>SUM(Table13[[#This Row],[prefix]],Table13[[#This Row],[Past zero L]],Table13[[#This Row],[Past Zero R]],Table13[[#This Row],[Is Zero]])</f>
        <v>4</v>
      </c>
    </row>
    <row r="3669" spans="1:11" ht="16" x14ac:dyDescent="0.2">
      <c r="A3669" s="1" t="s">
        <v>336</v>
      </c>
      <c r="B3669" t="str">
        <f>LEFT(Table13[[#This Row],[Input]],1)</f>
        <v>R</v>
      </c>
      <c r="C3669">
        <f>_xlfn.LET(_xlpm.steps,SUBSTITUTE(Table13[[#This Row],[Input]],Table13[[#This Row],[Direction]],""),VALUE(IF(LEN(_xlpm.steps)&gt;2,RIGHT(_xlpm.steps,2),_xlpm.steps)))</f>
        <v>95</v>
      </c>
      <c r="D3669">
        <f>_xlfn.LET(_xlpm.steps,SUBSTITUTE(Table13[[#This Row],[Input]],Table13[[#This Row],[Direction]],""),VALUE(IF(LEN(_xlpm.steps)&gt;2,LEFT(_xlpm.steps,LEN(_xlpm.steps)-2),0)))</f>
        <v>0</v>
      </c>
      <c r="E3669">
        <f>_xlfn.LET(_xlpm.dir,Table13[[#This Row],[Direction]],
IF(_xlpm.dir="L",
    IF(G3668-Table13[[#This Row],[Steps]]&lt;0,100+(G3668-Table13[[#This Row],[Steps]]),G3668-Table13[[#This Row],[Steps]]),
))</f>
        <v>0</v>
      </c>
      <c r="F3669">
        <f>_xlfn.LET(_xlpm.dir,Table13[[#This Row],[Direction]],
IF(_xlpm.dir="R",
    IF(G3668+Table13[[#This Row],[Steps]]&gt;99,(G3668+Table13[[#This Row],[Steps]])-100,G3668+Table13[[#This Row],[Steps]]),
))</f>
        <v>25</v>
      </c>
      <c r="G3669">
        <f>IF(Table13[[#This Row],[New Pos L]]&lt;&gt;0,Table13[[#This Row],[New Pos L]],Table13[[#This Row],[New Pos R]])</f>
        <v>25</v>
      </c>
      <c r="H3669">
        <f>IF(AND(Table13[[#This Row],[Direction]]="L",Table13[[#This Row],[Steps]]&gt;G3668,G3668&lt;&gt;0),1,0)</f>
        <v>0</v>
      </c>
      <c r="I3669">
        <f>IF(AND(Table13[[#This Row],[Direction]]="R",(G3668+Table13[[#This Row],[Steps]])&gt;100),1,0)</f>
        <v>1</v>
      </c>
      <c r="J3669">
        <f>IF(Table13[[#This Row],[POS]]=0,1,0)</f>
        <v>0</v>
      </c>
      <c r="K3669">
        <f>SUM(Table13[[#This Row],[prefix]],Table13[[#This Row],[Past zero L]],Table13[[#This Row],[Past Zero R]],Table13[[#This Row],[Is Zero]])</f>
        <v>1</v>
      </c>
    </row>
    <row r="3670" spans="1:11" ht="16" x14ac:dyDescent="0.2">
      <c r="A3670" s="1" t="s">
        <v>122</v>
      </c>
      <c r="B3670" t="str">
        <f>LEFT(Table13[[#This Row],[Input]],1)</f>
        <v>R</v>
      </c>
      <c r="C3670">
        <f>_xlfn.LET(_xlpm.steps,SUBSTITUTE(Table13[[#This Row],[Input]],Table13[[#This Row],[Direction]],""),VALUE(IF(LEN(_xlpm.steps)&gt;2,RIGHT(_xlpm.steps,2),_xlpm.steps)))</f>
        <v>75</v>
      </c>
      <c r="D3670">
        <f>_xlfn.LET(_xlpm.steps,SUBSTITUTE(Table13[[#This Row],[Input]],Table13[[#This Row],[Direction]],""),VALUE(IF(LEN(_xlpm.steps)&gt;2,LEFT(_xlpm.steps,LEN(_xlpm.steps)-2),0)))</f>
        <v>0</v>
      </c>
      <c r="E3670">
        <f>_xlfn.LET(_xlpm.dir,Table13[[#This Row],[Direction]],
IF(_xlpm.dir="L",
    IF(G3669-Table13[[#This Row],[Steps]]&lt;0,100+(G3669-Table13[[#This Row],[Steps]]),G3669-Table13[[#This Row],[Steps]]),
))</f>
        <v>0</v>
      </c>
      <c r="F3670">
        <f>_xlfn.LET(_xlpm.dir,Table13[[#This Row],[Direction]],
IF(_xlpm.dir="R",
    IF(G3669+Table13[[#This Row],[Steps]]&gt;99,(G3669+Table13[[#This Row],[Steps]])-100,G3669+Table13[[#This Row],[Steps]]),
))</f>
        <v>0</v>
      </c>
      <c r="G3670">
        <f>IF(Table13[[#This Row],[New Pos L]]&lt;&gt;0,Table13[[#This Row],[New Pos L]],Table13[[#This Row],[New Pos R]])</f>
        <v>0</v>
      </c>
      <c r="H3670">
        <f>IF(AND(Table13[[#This Row],[Direction]]="L",Table13[[#This Row],[Steps]]&gt;G3669,G3669&lt;&gt;0),1,0)</f>
        <v>0</v>
      </c>
      <c r="I3670">
        <f>IF(AND(Table13[[#This Row],[Direction]]="R",(G3669+Table13[[#This Row],[Steps]])&gt;100),1,0)</f>
        <v>0</v>
      </c>
      <c r="J3670">
        <f>IF(Table13[[#This Row],[POS]]=0,1,0)</f>
        <v>1</v>
      </c>
      <c r="K3670">
        <f>SUM(Table13[[#This Row],[prefix]],Table13[[#This Row],[Past zero L]],Table13[[#This Row],[Past Zero R]],Table13[[#This Row],[Is Zero]])</f>
        <v>1</v>
      </c>
    </row>
    <row r="3671" spans="1:11" ht="16" x14ac:dyDescent="0.2">
      <c r="A3671" s="1" t="s">
        <v>44</v>
      </c>
      <c r="B3671" t="str">
        <f>LEFT(Table13[[#This Row],[Input]],1)</f>
        <v>R</v>
      </c>
      <c r="C3671">
        <f>_xlfn.LET(_xlpm.steps,SUBSTITUTE(Table13[[#This Row],[Input]],Table13[[#This Row],[Direction]],""),VALUE(IF(LEN(_xlpm.steps)&gt;2,RIGHT(_xlpm.steps,2),_xlpm.steps)))</f>
        <v>96</v>
      </c>
      <c r="D3671">
        <f>_xlfn.LET(_xlpm.steps,SUBSTITUTE(Table13[[#This Row],[Input]],Table13[[#This Row],[Direction]],""),VALUE(IF(LEN(_xlpm.steps)&gt;2,LEFT(_xlpm.steps,LEN(_xlpm.steps)-2),0)))</f>
        <v>0</v>
      </c>
      <c r="E3671">
        <f>_xlfn.LET(_xlpm.dir,Table13[[#This Row],[Direction]],
IF(_xlpm.dir="L",
    IF(G3670-Table13[[#This Row],[Steps]]&lt;0,100+(G3670-Table13[[#This Row],[Steps]]),G3670-Table13[[#This Row],[Steps]]),
))</f>
        <v>0</v>
      </c>
      <c r="F3671">
        <f>_xlfn.LET(_xlpm.dir,Table13[[#This Row],[Direction]],
IF(_xlpm.dir="R",
    IF(G3670+Table13[[#This Row],[Steps]]&gt;99,(G3670+Table13[[#This Row],[Steps]])-100,G3670+Table13[[#This Row],[Steps]]),
))</f>
        <v>96</v>
      </c>
      <c r="G3671">
        <f>IF(Table13[[#This Row],[New Pos L]]&lt;&gt;0,Table13[[#This Row],[New Pos L]],Table13[[#This Row],[New Pos R]])</f>
        <v>96</v>
      </c>
      <c r="H3671">
        <f>IF(AND(Table13[[#This Row],[Direction]]="L",Table13[[#This Row],[Steps]]&gt;G3670,G3670&lt;&gt;0),1,0)</f>
        <v>0</v>
      </c>
      <c r="I3671">
        <f>IF(AND(Table13[[#This Row],[Direction]]="R",(G3670+Table13[[#This Row],[Steps]])&gt;100),1,0)</f>
        <v>0</v>
      </c>
      <c r="J3671">
        <f>IF(Table13[[#This Row],[POS]]=0,1,0)</f>
        <v>0</v>
      </c>
      <c r="K3671">
        <f>SUM(Table13[[#This Row],[prefix]],Table13[[#This Row],[Past zero L]],Table13[[#This Row],[Past Zero R]],Table13[[#This Row],[Is Zero]])</f>
        <v>0</v>
      </c>
    </row>
    <row r="3672" spans="1:11" ht="16" x14ac:dyDescent="0.2">
      <c r="A3672" s="1" t="s">
        <v>353</v>
      </c>
      <c r="B3672" t="str">
        <f>LEFT(Table13[[#This Row],[Input]],1)</f>
        <v>R</v>
      </c>
      <c r="C3672">
        <f>_xlfn.LET(_xlpm.steps,SUBSTITUTE(Table13[[#This Row],[Input]],Table13[[#This Row],[Direction]],""),VALUE(IF(LEN(_xlpm.steps)&gt;2,RIGHT(_xlpm.steps,2),_xlpm.steps)))</f>
        <v>7</v>
      </c>
      <c r="D3672">
        <f>_xlfn.LET(_xlpm.steps,SUBSTITUTE(Table13[[#This Row],[Input]],Table13[[#This Row],[Direction]],""),VALUE(IF(LEN(_xlpm.steps)&gt;2,LEFT(_xlpm.steps,LEN(_xlpm.steps)-2),0)))</f>
        <v>0</v>
      </c>
      <c r="E3672">
        <f>_xlfn.LET(_xlpm.dir,Table13[[#This Row],[Direction]],
IF(_xlpm.dir="L",
    IF(G3671-Table13[[#This Row],[Steps]]&lt;0,100+(G3671-Table13[[#This Row],[Steps]]),G3671-Table13[[#This Row],[Steps]]),
))</f>
        <v>0</v>
      </c>
      <c r="F3672">
        <f>_xlfn.LET(_xlpm.dir,Table13[[#This Row],[Direction]],
IF(_xlpm.dir="R",
    IF(G3671+Table13[[#This Row],[Steps]]&gt;99,(G3671+Table13[[#This Row],[Steps]])-100,G3671+Table13[[#This Row],[Steps]]),
))</f>
        <v>3</v>
      </c>
      <c r="G3672">
        <f>IF(Table13[[#This Row],[New Pos L]]&lt;&gt;0,Table13[[#This Row],[New Pos L]],Table13[[#This Row],[New Pos R]])</f>
        <v>3</v>
      </c>
      <c r="H3672">
        <f>IF(AND(Table13[[#This Row],[Direction]]="L",Table13[[#This Row],[Steps]]&gt;G3671,G3671&lt;&gt;0),1,0)</f>
        <v>0</v>
      </c>
      <c r="I3672">
        <f>IF(AND(Table13[[#This Row],[Direction]]="R",(G3671+Table13[[#This Row],[Steps]])&gt;100),1,0)</f>
        <v>1</v>
      </c>
      <c r="J3672">
        <f>IF(Table13[[#This Row],[POS]]=0,1,0)</f>
        <v>0</v>
      </c>
      <c r="K3672">
        <f>SUM(Table13[[#This Row],[prefix]],Table13[[#This Row],[Past zero L]],Table13[[#This Row],[Past Zero R]],Table13[[#This Row],[Is Zero]])</f>
        <v>1</v>
      </c>
    </row>
    <row r="3673" spans="1:11" ht="16" x14ac:dyDescent="0.2">
      <c r="A3673" s="1" t="s">
        <v>778</v>
      </c>
      <c r="B3673" t="str">
        <f>LEFT(Table13[[#This Row],[Input]],1)</f>
        <v>L</v>
      </c>
      <c r="C3673">
        <f>_xlfn.LET(_xlpm.steps,SUBSTITUTE(Table13[[#This Row],[Input]],Table13[[#This Row],[Direction]],""),VALUE(IF(LEN(_xlpm.steps)&gt;2,RIGHT(_xlpm.steps,2),_xlpm.steps)))</f>
        <v>3</v>
      </c>
      <c r="D3673">
        <f>_xlfn.LET(_xlpm.steps,SUBSTITUTE(Table13[[#This Row],[Input]],Table13[[#This Row],[Direction]],""),VALUE(IF(LEN(_xlpm.steps)&gt;2,LEFT(_xlpm.steps,LEN(_xlpm.steps)-2),0)))</f>
        <v>6</v>
      </c>
      <c r="E3673">
        <f>_xlfn.LET(_xlpm.dir,Table13[[#This Row],[Direction]],
IF(_xlpm.dir="L",
    IF(G3672-Table13[[#This Row],[Steps]]&lt;0,100+(G3672-Table13[[#This Row],[Steps]]),G3672-Table13[[#This Row],[Steps]]),
))</f>
        <v>0</v>
      </c>
      <c r="F3673">
        <f>_xlfn.LET(_xlpm.dir,Table13[[#This Row],[Direction]],
IF(_xlpm.dir="R",
    IF(G3672+Table13[[#This Row],[Steps]]&gt;99,(G3672+Table13[[#This Row],[Steps]])-100,G3672+Table13[[#This Row],[Steps]]),
))</f>
        <v>0</v>
      </c>
      <c r="G3673">
        <f>IF(Table13[[#This Row],[New Pos L]]&lt;&gt;0,Table13[[#This Row],[New Pos L]],Table13[[#This Row],[New Pos R]])</f>
        <v>0</v>
      </c>
      <c r="H3673">
        <f>IF(AND(Table13[[#This Row],[Direction]]="L",Table13[[#This Row],[Steps]]&gt;G3672,G3672&lt;&gt;0),1,0)</f>
        <v>0</v>
      </c>
      <c r="I3673">
        <f>IF(AND(Table13[[#This Row],[Direction]]="R",(G3672+Table13[[#This Row],[Steps]])&gt;100),1,0)</f>
        <v>0</v>
      </c>
      <c r="J3673">
        <f>IF(Table13[[#This Row],[POS]]=0,1,0)</f>
        <v>1</v>
      </c>
      <c r="K3673">
        <f>SUM(Table13[[#This Row],[prefix]],Table13[[#This Row],[Past zero L]],Table13[[#This Row],[Past Zero R]],Table13[[#This Row],[Is Zero]])</f>
        <v>7</v>
      </c>
    </row>
    <row r="3674" spans="1:11" ht="16" x14ac:dyDescent="0.2">
      <c r="A3674" s="1" t="s">
        <v>245</v>
      </c>
      <c r="B3674" t="str">
        <f>LEFT(Table13[[#This Row],[Input]],1)</f>
        <v>R</v>
      </c>
      <c r="C3674">
        <f>_xlfn.LET(_xlpm.steps,SUBSTITUTE(Table13[[#This Row],[Input]],Table13[[#This Row],[Direction]],""),VALUE(IF(LEN(_xlpm.steps)&gt;2,RIGHT(_xlpm.steps,2),_xlpm.steps)))</f>
        <v>71</v>
      </c>
      <c r="D3674">
        <f>_xlfn.LET(_xlpm.steps,SUBSTITUTE(Table13[[#This Row],[Input]],Table13[[#This Row],[Direction]],""),VALUE(IF(LEN(_xlpm.steps)&gt;2,LEFT(_xlpm.steps,LEN(_xlpm.steps)-2),0)))</f>
        <v>0</v>
      </c>
      <c r="E3674">
        <f>_xlfn.LET(_xlpm.dir,Table13[[#This Row],[Direction]],
IF(_xlpm.dir="L",
    IF(G3673-Table13[[#This Row],[Steps]]&lt;0,100+(G3673-Table13[[#This Row],[Steps]]),G3673-Table13[[#This Row],[Steps]]),
))</f>
        <v>0</v>
      </c>
      <c r="F3674">
        <f>_xlfn.LET(_xlpm.dir,Table13[[#This Row],[Direction]],
IF(_xlpm.dir="R",
    IF(G3673+Table13[[#This Row],[Steps]]&gt;99,(G3673+Table13[[#This Row],[Steps]])-100,G3673+Table13[[#This Row],[Steps]]),
))</f>
        <v>71</v>
      </c>
      <c r="G3674">
        <f>IF(Table13[[#This Row],[New Pos L]]&lt;&gt;0,Table13[[#This Row],[New Pos L]],Table13[[#This Row],[New Pos R]])</f>
        <v>71</v>
      </c>
      <c r="H3674">
        <f>IF(AND(Table13[[#This Row],[Direction]]="L",Table13[[#This Row],[Steps]]&gt;G3673,G3673&lt;&gt;0),1,0)</f>
        <v>0</v>
      </c>
      <c r="I3674">
        <f>IF(AND(Table13[[#This Row],[Direction]]="R",(G3673+Table13[[#This Row],[Steps]])&gt;100),1,0)</f>
        <v>0</v>
      </c>
      <c r="J3674">
        <f>IF(Table13[[#This Row],[POS]]=0,1,0)</f>
        <v>0</v>
      </c>
      <c r="K3674">
        <f>SUM(Table13[[#This Row],[prefix]],Table13[[#This Row],[Past zero L]],Table13[[#This Row],[Past Zero R]],Table13[[#This Row],[Is Zero]])</f>
        <v>0</v>
      </c>
    </row>
    <row r="3675" spans="1:11" ht="16" x14ac:dyDescent="0.2">
      <c r="A3675" s="1" t="s">
        <v>57</v>
      </c>
      <c r="B3675" t="str">
        <f>LEFT(Table13[[#This Row],[Input]],1)</f>
        <v>R</v>
      </c>
      <c r="C3675">
        <f>_xlfn.LET(_xlpm.steps,SUBSTITUTE(Table13[[#This Row],[Input]],Table13[[#This Row],[Direction]],""),VALUE(IF(LEN(_xlpm.steps)&gt;2,RIGHT(_xlpm.steps,2),_xlpm.steps)))</f>
        <v>29</v>
      </c>
      <c r="D3675">
        <f>_xlfn.LET(_xlpm.steps,SUBSTITUTE(Table13[[#This Row],[Input]],Table13[[#This Row],[Direction]],""),VALUE(IF(LEN(_xlpm.steps)&gt;2,LEFT(_xlpm.steps,LEN(_xlpm.steps)-2),0)))</f>
        <v>0</v>
      </c>
      <c r="E3675">
        <f>_xlfn.LET(_xlpm.dir,Table13[[#This Row],[Direction]],
IF(_xlpm.dir="L",
    IF(G3674-Table13[[#This Row],[Steps]]&lt;0,100+(G3674-Table13[[#This Row],[Steps]]),G3674-Table13[[#This Row],[Steps]]),
))</f>
        <v>0</v>
      </c>
      <c r="F3675">
        <f>_xlfn.LET(_xlpm.dir,Table13[[#This Row],[Direction]],
IF(_xlpm.dir="R",
    IF(G3674+Table13[[#This Row],[Steps]]&gt;99,(G3674+Table13[[#This Row],[Steps]])-100,G3674+Table13[[#This Row],[Steps]]),
))</f>
        <v>0</v>
      </c>
      <c r="G3675">
        <f>IF(Table13[[#This Row],[New Pos L]]&lt;&gt;0,Table13[[#This Row],[New Pos L]],Table13[[#This Row],[New Pos R]])</f>
        <v>0</v>
      </c>
      <c r="H3675">
        <f>IF(AND(Table13[[#This Row],[Direction]]="L",Table13[[#This Row],[Steps]]&gt;G3674,G3674&lt;&gt;0),1,0)</f>
        <v>0</v>
      </c>
      <c r="I3675">
        <f>IF(AND(Table13[[#This Row],[Direction]]="R",(G3674+Table13[[#This Row],[Steps]])&gt;100),1,0)</f>
        <v>0</v>
      </c>
      <c r="J3675">
        <f>IF(Table13[[#This Row],[POS]]=0,1,0)</f>
        <v>1</v>
      </c>
      <c r="K3675">
        <f>SUM(Table13[[#This Row],[prefix]],Table13[[#This Row],[Past zero L]],Table13[[#This Row],[Past Zero R]],Table13[[#This Row],[Is Zero]])</f>
        <v>1</v>
      </c>
    </row>
    <row r="3676" spans="1:11" ht="16" x14ac:dyDescent="0.2">
      <c r="A3676" s="1" t="s">
        <v>48</v>
      </c>
      <c r="B3676" t="str">
        <f>LEFT(Table13[[#This Row],[Input]],1)</f>
        <v>R</v>
      </c>
      <c r="C3676">
        <f>_xlfn.LET(_xlpm.steps,SUBSTITUTE(Table13[[#This Row],[Input]],Table13[[#This Row],[Direction]],""),VALUE(IF(LEN(_xlpm.steps)&gt;2,RIGHT(_xlpm.steps,2),_xlpm.steps)))</f>
        <v>81</v>
      </c>
      <c r="D3676">
        <f>_xlfn.LET(_xlpm.steps,SUBSTITUTE(Table13[[#This Row],[Input]],Table13[[#This Row],[Direction]],""),VALUE(IF(LEN(_xlpm.steps)&gt;2,LEFT(_xlpm.steps,LEN(_xlpm.steps)-2),0)))</f>
        <v>0</v>
      </c>
      <c r="E3676">
        <f>_xlfn.LET(_xlpm.dir,Table13[[#This Row],[Direction]],
IF(_xlpm.dir="L",
    IF(G3675-Table13[[#This Row],[Steps]]&lt;0,100+(G3675-Table13[[#This Row],[Steps]]),G3675-Table13[[#This Row],[Steps]]),
))</f>
        <v>0</v>
      </c>
      <c r="F3676">
        <f>_xlfn.LET(_xlpm.dir,Table13[[#This Row],[Direction]],
IF(_xlpm.dir="R",
    IF(G3675+Table13[[#This Row],[Steps]]&gt;99,(G3675+Table13[[#This Row],[Steps]])-100,G3675+Table13[[#This Row],[Steps]]),
))</f>
        <v>81</v>
      </c>
      <c r="G3676">
        <f>IF(Table13[[#This Row],[New Pos L]]&lt;&gt;0,Table13[[#This Row],[New Pos L]],Table13[[#This Row],[New Pos R]])</f>
        <v>81</v>
      </c>
      <c r="H3676">
        <f>IF(AND(Table13[[#This Row],[Direction]]="L",Table13[[#This Row],[Steps]]&gt;G3675,G3675&lt;&gt;0),1,0)</f>
        <v>0</v>
      </c>
      <c r="I3676">
        <f>IF(AND(Table13[[#This Row],[Direction]]="R",(G3675+Table13[[#This Row],[Steps]])&gt;100),1,0)</f>
        <v>0</v>
      </c>
      <c r="J3676">
        <f>IF(Table13[[#This Row],[POS]]=0,1,0)</f>
        <v>0</v>
      </c>
      <c r="K3676">
        <f>SUM(Table13[[#This Row],[prefix]],Table13[[#This Row],[Past zero L]],Table13[[#This Row],[Past Zero R]],Table13[[#This Row],[Is Zero]])</f>
        <v>0</v>
      </c>
    </row>
    <row r="3677" spans="1:11" ht="16" x14ac:dyDescent="0.2">
      <c r="A3677" s="1" t="s">
        <v>23</v>
      </c>
      <c r="B3677" t="str">
        <f>LEFT(Table13[[#This Row],[Input]],1)</f>
        <v>L</v>
      </c>
      <c r="C3677">
        <f>_xlfn.LET(_xlpm.steps,SUBSTITUTE(Table13[[#This Row],[Input]],Table13[[#This Row],[Direction]],""),VALUE(IF(LEN(_xlpm.steps)&gt;2,RIGHT(_xlpm.steps,2),_xlpm.steps)))</f>
        <v>8</v>
      </c>
      <c r="D3677">
        <f>_xlfn.LET(_xlpm.steps,SUBSTITUTE(Table13[[#This Row],[Input]],Table13[[#This Row],[Direction]],""),VALUE(IF(LEN(_xlpm.steps)&gt;2,LEFT(_xlpm.steps,LEN(_xlpm.steps)-2),0)))</f>
        <v>0</v>
      </c>
      <c r="E3677">
        <f>_xlfn.LET(_xlpm.dir,Table13[[#This Row],[Direction]],
IF(_xlpm.dir="L",
    IF(G3676-Table13[[#This Row],[Steps]]&lt;0,100+(G3676-Table13[[#This Row],[Steps]]),G3676-Table13[[#This Row],[Steps]]),
))</f>
        <v>73</v>
      </c>
      <c r="F3677">
        <f>_xlfn.LET(_xlpm.dir,Table13[[#This Row],[Direction]],
IF(_xlpm.dir="R",
    IF(G3676+Table13[[#This Row],[Steps]]&gt;99,(G3676+Table13[[#This Row],[Steps]])-100,G3676+Table13[[#This Row],[Steps]]),
))</f>
        <v>0</v>
      </c>
      <c r="G3677">
        <f>IF(Table13[[#This Row],[New Pos L]]&lt;&gt;0,Table13[[#This Row],[New Pos L]],Table13[[#This Row],[New Pos R]])</f>
        <v>73</v>
      </c>
      <c r="H3677">
        <f>IF(AND(Table13[[#This Row],[Direction]]="L",Table13[[#This Row],[Steps]]&gt;G3676,G3676&lt;&gt;0),1,0)</f>
        <v>0</v>
      </c>
      <c r="I3677">
        <f>IF(AND(Table13[[#This Row],[Direction]]="R",(G3676+Table13[[#This Row],[Steps]])&gt;100),1,0)</f>
        <v>0</v>
      </c>
      <c r="J3677">
        <f>IF(Table13[[#This Row],[POS]]=0,1,0)</f>
        <v>0</v>
      </c>
      <c r="K3677">
        <f>SUM(Table13[[#This Row],[prefix]],Table13[[#This Row],[Past zero L]],Table13[[#This Row],[Past Zero R]],Table13[[#This Row],[Is Zero]])</f>
        <v>0</v>
      </c>
    </row>
    <row r="3678" spans="1:11" ht="16" x14ac:dyDescent="0.2">
      <c r="A3678" s="1" t="s">
        <v>253</v>
      </c>
      <c r="B3678" t="str">
        <f>LEFT(Table13[[#This Row],[Input]],1)</f>
        <v>R</v>
      </c>
      <c r="C3678">
        <f>_xlfn.LET(_xlpm.steps,SUBSTITUTE(Table13[[#This Row],[Input]],Table13[[#This Row],[Direction]],""),VALUE(IF(LEN(_xlpm.steps)&gt;2,RIGHT(_xlpm.steps,2),_xlpm.steps)))</f>
        <v>94</v>
      </c>
      <c r="D3678">
        <f>_xlfn.LET(_xlpm.steps,SUBSTITUTE(Table13[[#This Row],[Input]],Table13[[#This Row],[Direction]],""),VALUE(IF(LEN(_xlpm.steps)&gt;2,LEFT(_xlpm.steps,LEN(_xlpm.steps)-2),0)))</f>
        <v>0</v>
      </c>
      <c r="E3678">
        <f>_xlfn.LET(_xlpm.dir,Table13[[#This Row],[Direction]],
IF(_xlpm.dir="L",
    IF(G3677-Table13[[#This Row],[Steps]]&lt;0,100+(G3677-Table13[[#This Row],[Steps]]),G3677-Table13[[#This Row],[Steps]]),
))</f>
        <v>0</v>
      </c>
      <c r="F3678">
        <f>_xlfn.LET(_xlpm.dir,Table13[[#This Row],[Direction]],
IF(_xlpm.dir="R",
    IF(G3677+Table13[[#This Row],[Steps]]&gt;99,(G3677+Table13[[#This Row],[Steps]])-100,G3677+Table13[[#This Row],[Steps]]),
))</f>
        <v>67</v>
      </c>
      <c r="G3678">
        <f>IF(Table13[[#This Row],[New Pos L]]&lt;&gt;0,Table13[[#This Row],[New Pos L]],Table13[[#This Row],[New Pos R]])</f>
        <v>67</v>
      </c>
      <c r="H3678">
        <f>IF(AND(Table13[[#This Row],[Direction]]="L",Table13[[#This Row],[Steps]]&gt;G3677,G3677&lt;&gt;0),1,0)</f>
        <v>0</v>
      </c>
      <c r="I3678">
        <f>IF(AND(Table13[[#This Row],[Direction]]="R",(G3677+Table13[[#This Row],[Steps]])&gt;100),1,0)</f>
        <v>1</v>
      </c>
      <c r="J3678">
        <f>IF(Table13[[#This Row],[POS]]=0,1,0)</f>
        <v>0</v>
      </c>
      <c r="K3678">
        <f>SUM(Table13[[#This Row],[prefix]],Table13[[#This Row],[Past zero L]],Table13[[#This Row],[Past Zero R]],Table13[[#This Row],[Is Zero]])</f>
        <v>1</v>
      </c>
    </row>
    <row r="3679" spans="1:11" ht="16" x14ac:dyDescent="0.2">
      <c r="A3679" s="1" t="s">
        <v>75</v>
      </c>
      <c r="B3679" t="str">
        <f>LEFT(Table13[[#This Row],[Input]],1)</f>
        <v>R</v>
      </c>
      <c r="C3679">
        <f>_xlfn.LET(_xlpm.steps,SUBSTITUTE(Table13[[#This Row],[Input]],Table13[[#This Row],[Direction]],""),VALUE(IF(LEN(_xlpm.steps)&gt;2,RIGHT(_xlpm.steps,2),_xlpm.steps)))</f>
        <v>2</v>
      </c>
      <c r="D3679">
        <f>_xlfn.LET(_xlpm.steps,SUBSTITUTE(Table13[[#This Row],[Input]],Table13[[#This Row],[Direction]],""),VALUE(IF(LEN(_xlpm.steps)&gt;2,LEFT(_xlpm.steps,LEN(_xlpm.steps)-2),0)))</f>
        <v>0</v>
      </c>
      <c r="E3679">
        <f>_xlfn.LET(_xlpm.dir,Table13[[#This Row],[Direction]],
IF(_xlpm.dir="L",
    IF(G3678-Table13[[#This Row],[Steps]]&lt;0,100+(G3678-Table13[[#This Row],[Steps]]),G3678-Table13[[#This Row],[Steps]]),
))</f>
        <v>0</v>
      </c>
      <c r="F3679">
        <f>_xlfn.LET(_xlpm.dir,Table13[[#This Row],[Direction]],
IF(_xlpm.dir="R",
    IF(G3678+Table13[[#This Row],[Steps]]&gt;99,(G3678+Table13[[#This Row],[Steps]])-100,G3678+Table13[[#This Row],[Steps]]),
))</f>
        <v>69</v>
      </c>
      <c r="G3679">
        <f>IF(Table13[[#This Row],[New Pos L]]&lt;&gt;0,Table13[[#This Row],[New Pos L]],Table13[[#This Row],[New Pos R]])</f>
        <v>69</v>
      </c>
      <c r="H3679">
        <f>IF(AND(Table13[[#This Row],[Direction]]="L",Table13[[#This Row],[Steps]]&gt;G3678,G3678&lt;&gt;0),1,0)</f>
        <v>0</v>
      </c>
      <c r="I3679">
        <f>IF(AND(Table13[[#This Row],[Direction]]="R",(G3678+Table13[[#This Row],[Steps]])&gt;100),1,0)</f>
        <v>0</v>
      </c>
      <c r="J3679">
        <f>IF(Table13[[#This Row],[POS]]=0,1,0)</f>
        <v>0</v>
      </c>
      <c r="K3679">
        <f>SUM(Table13[[#This Row],[prefix]],Table13[[#This Row],[Past zero L]],Table13[[#This Row],[Past Zero R]],Table13[[#This Row],[Is Zero]])</f>
        <v>0</v>
      </c>
    </row>
    <row r="3680" spans="1:11" ht="16" x14ac:dyDescent="0.2">
      <c r="A3680" s="1" t="s">
        <v>252</v>
      </c>
      <c r="B3680" t="str">
        <f>LEFT(Table13[[#This Row],[Input]],1)</f>
        <v>L</v>
      </c>
      <c r="C3680">
        <f>_xlfn.LET(_xlpm.steps,SUBSTITUTE(Table13[[#This Row],[Input]],Table13[[#This Row],[Direction]],""),VALUE(IF(LEN(_xlpm.steps)&gt;2,RIGHT(_xlpm.steps,2),_xlpm.steps)))</f>
        <v>99</v>
      </c>
      <c r="D3680">
        <f>_xlfn.LET(_xlpm.steps,SUBSTITUTE(Table13[[#This Row],[Input]],Table13[[#This Row],[Direction]],""),VALUE(IF(LEN(_xlpm.steps)&gt;2,LEFT(_xlpm.steps,LEN(_xlpm.steps)-2),0)))</f>
        <v>0</v>
      </c>
      <c r="E3680">
        <f>_xlfn.LET(_xlpm.dir,Table13[[#This Row],[Direction]],
IF(_xlpm.dir="L",
    IF(G3679-Table13[[#This Row],[Steps]]&lt;0,100+(G3679-Table13[[#This Row],[Steps]]),G3679-Table13[[#This Row],[Steps]]),
))</f>
        <v>70</v>
      </c>
      <c r="F3680">
        <f>_xlfn.LET(_xlpm.dir,Table13[[#This Row],[Direction]],
IF(_xlpm.dir="R",
    IF(G3679+Table13[[#This Row],[Steps]]&gt;99,(G3679+Table13[[#This Row],[Steps]])-100,G3679+Table13[[#This Row],[Steps]]),
))</f>
        <v>0</v>
      </c>
      <c r="G3680">
        <f>IF(Table13[[#This Row],[New Pos L]]&lt;&gt;0,Table13[[#This Row],[New Pos L]],Table13[[#This Row],[New Pos R]])</f>
        <v>70</v>
      </c>
      <c r="H3680">
        <f>IF(AND(Table13[[#This Row],[Direction]]="L",Table13[[#This Row],[Steps]]&gt;G3679,G3679&lt;&gt;0),1,0)</f>
        <v>1</v>
      </c>
      <c r="I3680">
        <f>IF(AND(Table13[[#This Row],[Direction]]="R",(G3679+Table13[[#This Row],[Steps]])&gt;100),1,0)</f>
        <v>0</v>
      </c>
      <c r="J3680">
        <f>IF(Table13[[#This Row],[POS]]=0,1,0)</f>
        <v>0</v>
      </c>
      <c r="K3680">
        <f>SUM(Table13[[#This Row],[prefix]],Table13[[#This Row],[Past zero L]],Table13[[#This Row],[Past Zero R]],Table13[[#This Row],[Is Zero]])</f>
        <v>1</v>
      </c>
    </row>
    <row r="3681" spans="1:11" ht="16" x14ac:dyDescent="0.2">
      <c r="A3681" s="1" t="s">
        <v>47</v>
      </c>
      <c r="B3681" t="str">
        <f>LEFT(Table13[[#This Row],[Input]],1)</f>
        <v>R</v>
      </c>
      <c r="C3681">
        <f>_xlfn.LET(_xlpm.steps,SUBSTITUTE(Table13[[#This Row],[Input]],Table13[[#This Row],[Direction]],""),VALUE(IF(LEN(_xlpm.steps)&gt;2,RIGHT(_xlpm.steps,2),_xlpm.steps)))</f>
        <v>97</v>
      </c>
      <c r="D3681">
        <f>_xlfn.LET(_xlpm.steps,SUBSTITUTE(Table13[[#This Row],[Input]],Table13[[#This Row],[Direction]],""),VALUE(IF(LEN(_xlpm.steps)&gt;2,LEFT(_xlpm.steps,LEN(_xlpm.steps)-2),0)))</f>
        <v>0</v>
      </c>
      <c r="E3681">
        <f>_xlfn.LET(_xlpm.dir,Table13[[#This Row],[Direction]],
IF(_xlpm.dir="L",
    IF(G3680-Table13[[#This Row],[Steps]]&lt;0,100+(G3680-Table13[[#This Row],[Steps]]),G3680-Table13[[#This Row],[Steps]]),
))</f>
        <v>0</v>
      </c>
      <c r="F3681">
        <f>_xlfn.LET(_xlpm.dir,Table13[[#This Row],[Direction]],
IF(_xlpm.dir="R",
    IF(G3680+Table13[[#This Row],[Steps]]&gt;99,(G3680+Table13[[#This Row],[Steps]])-100,G3680+Table13[[#This Row],[Steps]]),
))</f>
        <v>67</v>
      </c>
      <c r="G3681">
        <f>IF(Table13[[#This Row],[New Pos L]]&lt;&gt;0,Table13[[#This Row],[New Pos L]],Table13[[#This Row],[New Pos R]])</f>
        <v>67</v>
      </c>
      <c r="H3681">
        <f>IF(AND(Table13[[#This Row],[Direction]]="L",Table13[[#This Row],[Steps]]&gt;G3680,G3680&lt;&gt;0),1,0)</f>
        <v>0</v>
      </c>
      <c r="I3681">
        <f>IF(AND(Table13[[#This Row],[Direction]]="R",(G3680+Table13[[#This Row],[Steps]])&gt;100),1,0)</f>
        <v>1</v>
      </c>
      <c r="J3681">
        <f>IF(Table13[[#This Row],[POS]]=0,1,0)</f>
        <v>0</v>
      </c>
      <c r="K3681">
        <f>SUM(Table13[[#This Row],[prefix]],Table13[[#This Row],[Past zero L]],Table13[[#This Row],[Past Zero R]],Table13[[#This Row],[Is Zero]])</f>
        <v>1</v>
      </c>
    </row>
    <row r="3682" spans="1:11" ht="16" x14ac:dyDescent="0.2">
      <c r="A3682" s="1" t="s">
        <v>159</v>
      </c>
      <c r="B3682" t="str">
        <f>LEFT(Table13[[#This Row],[Input]],1)</f>
        <v>R</v>
      </c>
      <c r="C3682">
        <f>_xlfn.LET(_xlpm.steps,SUBSTITUTE(Table13[[#This Row],[Input]],Table13[[#This Row],[Direction]],""),VALUE(IF(LEN(_xlpm.steps)&gt;2,RIGHT(_xlpm.steps,2),_xlpm.steps)))</f>
        <v>24</v>
      </c>
      <c r="D3682">
        <f>_xlfn.LET(_xlpm.steps,SUBSTITUTE(Table13[[#This Row],[Input]],Table13[[#This Row],[Direction]],""),VALUE(IF(LEN(_xlpm.steps)&gt;2,LEFT(_xlpm.steps,LEN(_xlpm.steps)-2),0)))</f>
        <v>0</v>
      </c>
      <c r="E3682">
        <f>_xlfn.LET(_xlpm.dir,Table13[[#This Row],[Direction]],
IF(_xlpm.dir="L",
    IF(G3681-Table13[[#This Row],[Steps]]&lt;0,100+(G3681-Table13[[#This Row],[Steps]]),G3681-Table13[[#This Row],[Steps]]),
))</f>
        <v>0</v>
      </c>
      <c r="F3682">
        <f>_xlfn.LET(_xlpm.dir,Table13[[#This Row],[Direction]],
IF(_xlpm.dir="R",
    IF(G3681+Table13[[#This Row],[Steps]]&gt;99,(G3681+Table13[[#This Row],[Steps]])-100,G3681+Table13[[#This Row],[Steps]]),
))</f>
        <v>91</v>
      </c>
      <c r="G3682">
        <f>IF(Table13[[#This Row],[New Pos L]]&lt;&gt;0,Table13[[#This Row],[New Pos L]],Table13[[#This Row],[New Pos R]])</f>
        <v>91</v>
      </c>
      <c r="H3682">
        <f>IF(AND(Table13[[#This Row],[Direction]]="L",Table13[[#This Row],[Steps]]&gt;G3681,G3681&lt;&gt;0),1,0)</f>
        <v>0</v>
      </c>
      <c r="I3682">
        <f>IF(AND(Table13[[#This Row],[Direction]]="R",(G3681+Table13[[#This Row],[Steps]])&gt;100),1,0)</f>
        <v>0</v>
      </c>
      <c r="J3682">
        <f>IF(Table13[[#This Row],[POS]]=0,1,0)</f>
        <v>0</v>
      </c>
      <c r="K3682">
        <f>SUM(Table13[[#This Row],[prefix]],Table13[[#This Row],[Past zero L]],Table13[[#This Row],[Past Zero R]],Table13[[#This Row],[Is Zero]])</f>
        <v>0</v>
      </c>
    </row>
    <row r="3683" spans="1:11" ht="16" x14ac:dyDescent="0.2">
      <c r="A3683" s="1" t="s">
        <v>89</v>
      </c>
      <c r="B3683" t="str">
        <f>LEFT(Table13[[#This Row],[Input]],1)</f>
        <v>L</v>
      </c>
      <c r="C3683">
        <f>_xlfn.LET(_xlpm.steps,SUBSTITUTE(Table13[[#This Row],[Input]],Table13[[#This Row],[Direction]],""),VALUE(IF(LEN(_xlpm.steps)&gt;2,RIGHT(_xlpm.steps,2),_xlpm.steps)))</f>
        <v>91</v>
      </c>
      <c r="D3683">
        <f>_xlfn.LET(_xlpm.steps,SUBSTITUTE(Table13[[#This Row],[Input]],Table13[[#This Row],[Direction]],""),VALUE(IF(LEN(_xlpm.steps)&gt;2,LEFT(_xlpm.steps,LEN(_xlpm.steps)-2),0)))</f>
        <v>0</v>
      </c>
      <c r="E3683">
        <f>_xlfn.LET(_xlpm.dir,Table13[[#This Row],[Direction]],
IF(_xlpm.dir="L",
    IF(G3682-Table13[[#This Row],[Steps]]&lt;0,100+(G3682-Table13[[#This Row],[Steps]]),G3682-Table13[[#This Row],[Steps]]),
))</f>
        <v>0</v>
      </c>
      <c r="F3683">
        <f>_xlfn.LET(_xlpm.dir,Table13[[#This Row],[Direction]],
IF(_xlpm.dir="R",
    IF(G3682+Table13[[#This Row],[Steps]]&gt;99,(G3682+Table13[[#This Row],[Steps]])-100,G3682+Table13[[#This Row],[Steps]]),
))</f>
        <v>0</v>
      </c>
      <c r="G3683">
        <f>IF(Table13[[#This Row],[New Pos L]]&lt;&gt;0,Table13[[#This Row],[New Pos L]],Table13[[#This Row],[New Pos R]])</f>
        <v>0</v>
      </c>
      <c r="H3683">
        <f>IF(AND(Table13[[#This Row],[Direction]]="L",Table13[[#This Row],[Steps]]&gt;G3682,G3682&lt;&gt;0),1,0)</f>
        <v>0</v>
      </c>
      <c r="I3683">
        <f>IF(AND(Table13[[#This Row],[Direction]]="R",(G3682+Table13[[#This Row],[Steps]])&gt;100),1,0)</f>
        <v>0</v>
      </c>
      <c r="J3683">
        <f>IF(Table13[[#This Row],[POS]]=0,1,0)</f>
        <v>1</v>
      </c>
      <c r="K3683">
        <f>SUM(Table13[[#This Row],[prefix]],Table13[[#This Row],[Past zero L]],Table13[[#This Row],[Past Zero R]],Table13[[#This Row],[Is Zero]])</f>
        <v>1</v>
      </c>
    </row>
    <row r="3684" spans="1:11" ht="16" x14ac:dyDescent="0.2">
      <c r="A3684" s="1" t="s">
        <v>254</v>
      </c>
      <c r="B3684" t="str">
        <f>LEFT(Table13[[#This Row],[Input]],1)</f>
        <v>R</v>
      </c>
      <c r="C3684">
        <f>_xlfn.LET(_xlpm.steps,SUBSTITUTE(Table13[[#This Row],[Input]],Table13[[#This Row],[Direction]],""),VALUE(IF(LEN(_xlpm.steps)&gt;2,RIGHT(_xlpm.steps,2),_xlpm.steps)))</f>
        <v>84</v>
      </c>
      <c r="D3684">
        <f>_xlfn.LET(_xlpm.steps,SUBSTITUTE(Table13[[#This Row],[Input]],Table13[[#This Row],[Direction]],""),VALUE(IF(LEN(_xlpm.steps)&gt;2,LEFT(_xlpm.steps,LEN(_xlpm.steps)-2),0)))</f>
        <v>0</v>
      </c>
      <c r="E3684">
        <f>_xlfn.LET(_xlpm.dir,Table13[[#This Row],[Direction]],
IF(_xlpm.dir="L",
    IF(G3683-Table13[[#This Row],[Steps]]&lt;0,100+(G3683-Table13[[#This Row],[Steps]]),G3683-Table13[[#This Row],[Steps]]),
))</f>
        <v>0</v>
      </c>
      <c r="F3684">
        <f>_xlfn.LET(_xlpm.dir,Table13[[#This Row],[Direction]],
IF(_xlpm.dir="R",
    IF(G3683+Table13[[#This Row],[Steps]]&gt;99,(G3683+Table13[[#This Row],[Steps]])-100,G3683+Table13[[#This Row],[Steps]]),
))</f>
        <v>84</v>
      </c>
      <c r="G3684">
        <f>IF(Table13[[#This Row],[New Pos L]]&lt;&gt;0,Table13[[#This Row],[New Pos L]],Table13[[#This Row],[New Pos R]])</f>
        <v>84</v>
      </c>
      <c r="H3684">
        <f>IF(AND(Table13[[#This Row],[Direction]]="L",Table13[[#This Row],[Steps]]&gt;G3683,G3683&lt;&gt;0),1,0)</f>
        <v>0</v>
      </c>
      <c r="I3684">
        <f>IF(AND(Table13[[#This Row],[Direction]]="R",(G3683+Table13[[#This Row],[Steps]])&gt;100),1,0)</f>
        <v>0</v>
      </c>
      <c r="J3684">
        <f>IF(Table13[[#This Row],[POS]]=0,1,0)</f>
        <v>0</v>
      </c>
      <c r="K3684">
        <f>SUM(Table13[[#This Row],[prefix]],Table13[[#This Row],[Past zero L]],Table13[[#This Row],[Past Zero R]],Table13[[#This Row],[Is Zero]])</f>
        <v>0</v>
      </c>
    </row>
    <row r="3685" spans="1:11" ht="16" x14ac:dyDescent="0.2">
      <c r="A3685" s="1" t="s">
        <v>27</v>
      </c>
      <c r="B3685" t="str">
        <f>LEFT(Table13[[#This Row],[Input]],1)</f>
        <v>L</v>
      </c>
      <c r="C3685">
        <f>_xlfn.LET(_xlpm.steps,SUBSTITUTE(Table13[[#This Row],[Input]],Table13[[#This Row],[Direction]],""),VALUE(IF(LEN(_xlpm.steps)&gt;2,RIGHT(_xlpm.steps,2),_xlpm.steps)))</f>
        <v>14</v>
      </c>
      <c r="D3685">
        <f>_xlfn.LET(_xlpm.steps,SUBSTITUTE(Table13[[#This Row],[Input]],Table13[[#This Row],[Direction]],""),VALUE(IF(LEN(_xlpm.steps)&gt;2,LEFT(_xlpm.steps,LEN(_xlpm.steps)-2),0)))</f>
        <v>0</v>
      </c>
      <c r="E3685">
        <f>_xlfn.LET(_xlpm.dir,Table13[[#This Row],[Direction]],
IF(_xlpm.dir="L",
    IF(G3684-Table13[[#This Row],[Steps]]&lt;0,100+(G3684-Table13[[#This Row],[Steps]]),G3684-Table13[[#This Row],[Steps]]),
))</f>
        <v>70</v>
      </c>
      <c r="F3685">
        <f>_xlfn.LET(_xlpm.dir,Table13[[#This Row],[Direction]],
IF(_xlpm.dir="R",
    IF(G3684+Table13[[#This Row],[Steps]]&gt;99,(G3684+Table13[[#This Row],[Steps]])-100,G3684+Table13[[#This Row],[Steps]]),
))</f>
        <v>0</v>
      </c>
      <c r="G3685">
        <f>IF(Table13[[#This Row],[New Pos L]]&lt;&gt;0,Table13[[#This Row],[New Pos L]],Table13[[#This Row],[New Pos R]])</f>
        <v>70</v>
      </c>
      <c r="H3685">
        <f>IF(AND(Table13[[#This Row],[Direction]]="L",Table13[[#This Row],[Steps]]&gt;G3684,G3684&lt;&gt;0),1,0)</f>
        <v>0</v>
      </c>
      <c r="I3685">
        <f>IF(AND(Table13[[#This Row],[Direction]]="R",(G3684+Table13[[#This Row],[Steps]])&gt;100),1,0)</f>
        <v>0</v>
      </c>
      <c r="J3685">
        <f>IF(Table13[[#This Row],[POS]]=0,1,0)</f>
        <v>0</v>
      </c>
      <c r="K3685">
        <f>SUM(Table13[[#This Row],[prefix]],Table13[[#This Row],[Past zero L]],Table13[[#This Row],[Past Zero R]],Table13[[#This Row],[Is Zero]])</f>
        <v>0</v>
      </c>
    </row>
    <row r="3686" spans="1:11" ht="16" x14ac:dyDescent="0.2">
      <c r="A3686" s="1" t="s">
        <v>209</v>
      </c>
      <c r="B3686" t="str">
        <f>LEFT(Table13[[#This Row],[Input]],1)</f>
        <v>L</v>
      </c>
      <c r="C3686">
        <f>_xlfn.LET(_xlpm.steps,SUBSTITUTE(Table13[[#This Row],[Input]],Table13[[#This Row],[Direction]],""),VALUE(IF(LEN(_xlpm.steps)&gt;2,RIGHT(_xlpm.steps,2),_xlpm.steps)))</f>
        <v>86</v>
      </c>
      <c r="D3686">
        <f>_xlfn.LET(_xlpm.steps,SUBSTITUTE(Table13[[#This Row],[Input]],Table13[[#This Row],[Direction]],""),VALUE(IF(LEN(_xlpm.steps)&gt;2,LEFT(_xlpm.steps,LEN(_xlpm.steps)-2),0)))</f>
        <v>0</v>
      </c>
      <c r="E3686">
        <f>_xlfn.LET(_xlpm.dir,Table13[[#This Row],[Direction]],
IF(_xlpm.dir="L",
    IF(G3685-Table13[[#This Row],[Steps]]&lt;0,100+(G3685-Table13[[#This Row],[Steps]]),G3685-Table13[[#This Row],[Steps]]),
))</f>
        <v>84</v>
      </c>
      <c r="F3686">
        <f>_xlfn.LET(_xlpm.dir,Table13[[#This Row],[Direction]],
IF(_xlpm.dir="R",
    IF(G3685+Table13[[#This Row],[Steps]]&gt;99,(G3685+Table13[[#This Row],[Steps]])-100,G3685+Table13[[#This Row],[Steps]]),
))</f>
        <v>0</v>
      </c>
      <c r="G3686">
        <f>IF(Table13[[#This Row],[New Pos L]]&lt;&gt;0,Table13[[#This Row],[New Pos L]],Table13[[#This Row],[New Pos R]])</f>
        <v>84</v>
      </c>
      <c r="H3686">
        <f>IF(AND(Table13[[#This Row],[Direction]]="L",Table13[[#This Row],[Steps]]&gt;G3685,G3685&lt;&gt;0),1,0)</f>
        <v>1</v>
      </c>
      <c r="I3686">
        <f>IF(AND(Table13[[#This Row],[Direction]]="R",(G3685+Table13[[#This Row],[Steps]])&gt;100),1,0)</f>
        <v>0</v>
      </c>
      <c r="J3686">
        <f>IF(Table13[[#This Row],[POS]]=0,1,0)</f>
        <v>0</v>
      </c>
      <c r="K3686">
        <f>SUM(Table13[[#This Row],[prefix]],Table13[[#This Row],[Past zero L]],Table13[[#This Row],[Past Zero R]],Table13[[#This Row],[Is Zero]])</f>
        <v>1</v>
      </c>
    </row>
    <row r="3687" spans="1:11" ht="16" x14ac:dyDescent="0.2">
      <c r="A3687" s="1" t="s">
        <v>186</v>
      </c>
      <c r="B3687" t="str">
        <f>LEFT(Table13[[#This Row],[Input]],1)</f>
        <v>L</v>
      </c>
      <c r="C3687">
        <f>_xlfn.LET(_xlpm.steps,SUBSTITUTE(Table13[[#This Row],[Input]],Table13[[#This Row],[Direction]],""),VALUE(IF(LEN(_xlpm.steps)&gt;2,RIGHT(_xlpm.steps,2),_xlpm.steps)))</f>
        <v>84</v>
      </c>
      <c r="D3687">
        <f>_xlfn.LET(_xlpm.steps,SUBSTITUTE(Table13[[#This Row],[Input]],Table13[[#This Row],[Direction]],""),VALUE(IF(LEN(_xlpm.steps)&gt;2,LEFT(_xlpm.steps,LEN(_xlpm.steps)-2),0)))</f>
        <v>0</v>
      </c>
      <c r="E3687">
        <f>_xlfn.LET(_xlpm.dir,Table13[[#This Row],[Direction]],
IF(_xlpm.dir="L",
    IF(G3686-Table13[[#This Row],[Steps]]&lt;0,100+(G3686-Table13[[#This Row],[Steps]]),G3686-Table13[[#This Row],[Steps]]),
))</f>
        <v>0</v>
      </c>
      <c r="F3687">
        <f>_xlfn.LET(_xlpm.dir,Table13[[#This Row],[Direction]],
IF(_xlpm.dir="R",
    IF(G3686+Table13[[#This Row],[Steps]]&gt;99,(G3686+Table13[[#This Row],[Steps]])-100,G3686+Table13[[#This Row],[Steps]]),
))</f>
        <v>0</v>
      </c>
      <c r="G3687">
        <f>IF(Table13[[#This Row],[New Pos L]]&lt;&gt;0,Table13[[#This Row],[New Pos L]],Table13[[#This Row],[New Pos R]])</f>
        <v>0</v>
      </c>
      <c r="H3687">
        <f>IF(AND(Table13[[#This Row],[Direction]]="L",Table13[[#This Row],[Steps]]&gt;G3686,G3686&lt;&gt;0),1,0)</f>
        <v>0</v>
      </c>
      <c r="I3687">
        <f>IF(AND(Table13[[#This Row],[Direction]]="R",(G3686+Table13[[#This Row],[Steps]])&gt;100),1,0)</f>
        <v>0</v>
      </c>
      <c r="J3687">
        <f>IF(Table13[[#This Row],[POS]]=0,1,0)</f>
        <v>1</v>
      </c>
      <c r="K3687">
        <f>SUM(Table13[[#This Row],[prefix]],Table13[[#This Row],[Past zero L]],Table13[[#This Row],[Past Zero R]],Table13[[#This Row],[Is Zero]])</f>
        <v>1</v>
      </c>
    </row>
    <row r="3688" spans="1:11" ht="16" x14ac:dyDescent="0.2">
      <c r="A3688" s="1" t="s">
        <v>779</v>
      </c>
      <c r="B3688" t="str">
        <f>LEFT(Table13[[#This Row],[Input]],1)</f>
        <v>R</v>
      </c>
      <c r="C3688">
        <f>_xlfn.LET(_xlpm.steps,SUBSTITUTE(Table13[[#This Row],[Input]],Table13[[#This Row],[Direction]],""),VALUE(IF(LEN(_xlpm.steps)&gt;2,RIGHT(_xlpm.steps,2),_xlpm.steps)))</f>
        <v>19</v>
      </c>
      <c r="D3688">
        <f>_xlfn.LET(_xlpm.steps,SUBSTITUTE(Table13[[#This Row],[Input]],Table13[[#This Row],[Direction]],""),VALUE(IF(LEN(_xlpm.steps)&gt;2,LEFT(_xlpm.steps,LEN(_xlpm.steps)-2),0)))</f>
        <v>2</v>
      </c>
      <c r="E3688">
        <f>_xlfn.LET(_xlpm.dir,Table13[[#This Row],[Direction]],
IF(_xlpm.dir="L",
    IF(G3687-Table13[[#This Row],[Steps]]&lt;0,100+(G3687-Table13[[#This Row],[Steps]]),G3687-Table13[[#This Row],[Steps]]),
))</f>
        <v>0</v>
      </c>
      <c r="F3688">
        <f>_xlfn.LET(_xlpm.dir,Table13[[#This Row],[Direction]],
IF(_xlpm.dir="R",
    IF(G3687+Table13[[#This Row],[Steps]]&gt;99,(G3687+Table13[[#This Row],[Steps]])-100,G3687+Table13[[#This Row],[Steps]]),
))</f>
        <v>19</v>
      </c>
      <c r="G3688">
        <f>IF(Table13[[#This Row],[New Pos L]]&lt;&gt;0,Table13[[#This Row],[New Pos L]],Table13[[#This Row],[New Pos R]])</f>
        <v>19</v>
      </c>
      <c r="H3688">
        <f>IF(AND(Table13[[#This Row],[Direction]]="L",Table13[[#This Row],[Steps]]&gt;G3687,G3687&lt;&gt;0),1,0)</f>
        <v>0</v>
      </c>
      <c r="I3688">
        <f>IF(AND(Table13[[#This Row],[Direction]]="R",(G3687+Table13[[#This Row],[Steps]])&gt;100),1,0)</f>
        <v>0</v>
      </c>
      <c r="J3688">
        <f>IF(Table13[[#This Row],[POS]]=0,1,0)</f>
        <v>0</v>
      </c>
      <c r="K3688">
        <f>SUM(Table13[[#This Row],[prefix]],Table13[[#This Row],[Past zero L]],Table13[[#This Row],[Past Zero R]],Table13[[#This Row],[Is Zero]])</f>
        <v>2</v>
      </c>
    </row>
    <row r="3689" spans="1:11" ht="16" x14ac:dyDescent="0.2">
      <c r="A3689" s="1" t="s">
        <v>175</v>
      </c>
      <c r="B3689" t="str">
        <f>LEFT(Table13[[#This Row],[Input]],1)</f>
        <v>L</v>
      </c>
      <c r="C3689">
        <f>_xlfn.LET(_xlpm.steps,SUBSTITUTE(Table13[[#This Row],[Input]],Table13[[#This Row],[Direction]],""),VALUE(IF(LEN(_xlpm.steps)&gt;2,RIGHT(_xlpm.steps,2),_xlpm.steps)))</f>
        <v>1</v>
      </c>
      <c r="D3689">
        <f>_xlfn.LET(_xlpm.steps,SUBSTITUTE(Table13[[#This Row],[Input]],Table13[[#This Row],[Direction]],""),VALUE(IF(LEN(_xlpm.steps)&gt;2,LEFT(_xlpm.steps,LEN(_xlpm.steps)-2),0)))</f>
        <v>0</v>
      </c>
      <c r="E3689">
        <f>_xlfn.LET(_xlpm.dir,Table13[[#This Row],[Direction]],
IF(_xlpm.dir="L",
    IF(G3688-Table13[[#This Row],[Steps]]&lt;0,100+(G3688-Table13[[#This Row],[Steps]]),G3688-Table13[[#This Row],[Steps]]),
))</f>
        <v>18</v>
      </c>
      <c r="F3689">
        <f>_xlfn.LET(_xlpm.dir,Table13[[#This Row],[Direction]],
IF(_xlpm.dir="R",
    IF(G3688+Table13[[#This Row],[Steps]]&gt;99,(G3688+Table13[[#This Row],[Steps]])-100,G3688+Table13[[#This Row],[Steps]]),
))</f>
        <v>0</v>
      </c>
      <c r="G3689">
        <f>IF(Table13[[#This Row],[New Pos L]]&lt;&gt;0,Table13[[#This Row],[New Pos L]],Table13[[#This Row],[New Pos R]])</f>
        <v>18</v>
      </c>
      <c r="H3689">
        <f>IF(AND(Table13[[#This Row],[Direction]]="L",Table13[[#This Row],[Steps]]&gt;G3688,G3688&lt;&gt;0),1,0)</f>
        <v>0</v>
      </c>
      <c r="I3689">
        <f>IF(AND(Table13[[#This Row],[Direction]]="R",(G3688+Table13[[#This Row],[Steps]])&gt;100),1,0)</f>
        <v>0</v>
      </c>
      <c r="J3689">
        <f>IF(Table13[[#This Row],[POS]]=0,1,0)</f>
        <v>0</v>
      </c>
      <c r="K3689">
        <f>SUM(Table13[[#This Row],[prefix]],Table13[[#This Row],[Past zero L]],Table13[[#This Row],[Past Zero R]],Table13[[#This Row],[Is Zero]])</f>
        <v>0</v>
      </c>
    </row>
    <row r="3690" spans="1:11" ht="16" x14ac:dyDescent="0.2">
      <c r="A3690" s="1" t="s">
        <v>780</v>
      </c>
      <c r="B3690" t="str">
        <f>LEFT(Table13[[#This Row],[Input]],1)</f>
        <v>R</v>
      </c>
      <c r="C3690">
        <f>_xlfn.LET(_xlpm.steps,SUBSTITUTE(Table13[[#This Row],[Input]],Table13[[#This Row],[Direction]],""),VALUE(IF(LEN(_xlpm.steps)&gt;2,RIGHT(_xlpm.steps,2),_xlpm.steps)))</f>
        <v>30</v>
      </c>
      <c r="D3690">
        <f>_xlfn.LET(_xlpm.steps,SUBSTITUTE(Table13[[#This Row],[Input]],Table13[[#This Row],[Direction]],""),VALUE(IF(LEN(_xlpm.steps)&gt;2,LEFT(_xlpm.steps,LEN(_xlpm.steps)-2),0)))</f>
        <v>4</v>
      </c>
      <c r="E3690">
        <f>_xlfn.LET(_xlpm.dir,Table13[[#This Row],[Direction]],
IF(_xlpm.dir="L",
    IF(G3689-Table13[[#This Row],[Steps]]&lt;0,100+(G3689-Table13[[#This Row],[Steps]]),G3689-Table13[[#This Row],[Steps]]),
))</f>
        <v>0</v>
      </c>
      <c r="F3690">
        <f>_xlfn.LET(_xlpm.dir,Table13[[#This Row],[Direction]],
IF(_xlpm.dir="R",
    IF(G3689+Table13[[#This Row],[Steps]]&gt;99,(G3689+Table13[[#This Row],[Steps]])-100,G3689+Table13[[#This Row],[Steps]]),
))</f>
        <v>48</v>
      </c>
      <c r="G3690">
        <f>IF(Table13[[#This Row],[New Pos L]]&lt;&gt;0,Table13[[#This Row],[New Pos L]],Table13[[#This Row],[New Pos R]])</f>
        <v>48</v>
      </c>
      <c r="H3690">
        <f>IF(AND(Table13[[#This Row],[Direction]]="L",Table13[[#This Row],[Steps]]&gt;G3689,G3689&lt;&gt;0),1,0)</f>
        <v>0</v>
      </c>
      <c r="I3690">
        <f>IF(AND(Table13[[#This Row],[Direction]]="R",(G3689+Table13[[#This Row],[Steps]])&gt;100),1,0)</f>
        <v>0</v>
      </c>
      <c r="J3690">
        <f>IF(Table13[[#This Row],[POS]]=0,1,0)</f>
        <v>0</v>
      </c>
      <c r="K3690">
        <f>SUM(Table13[[#This Row],[prefix]],Table13[[#This Row],[Past zero L]],Table13[[#This Row],[Past Zero R]],Table13[[#This Row],[Is Zero]])</f>
        <v>4</v>
      </c>
    </row>
    <row r="3691" spans="1:11" ht="16" x14ac:dyDescent="0.2">
      <c r="A3691" s="1" t="s">
        <v>255</v>
      </c>
      <c r="B3691" t="str">
        <f>LEFT(Table13[[#This Row],[Input]],1)</f>
        <v>R</v>
      </c>
      <c r="C3691">
        <f>_xlfn.LET(_xlpm.steps,SUBSTITUTE(Table13[[#This Row],[Input]],Table13[[#This Row],[Direction]],""),VALUE(IF(LEN(_xlpm.steps)&gt;2,RIGHT(_xlpm.steps,2),_xlpm.steps)))</f>
        <v>16</v>
      </c>
      <c r="D3691">
        <f>_xlfn.LET(_xlpm.steps,SUBSTITUTE(Table13[[#This Row],[Input]],Table13[[#This Row],[Direction]],""),VALUE(IF(LEN(_xlpm.steps)&gt;2,LEFT(_xlpm.steps,LEN(_xlpm.steps)-2),0)))</f>
        <v>0</v>
      </c>
      <c r="E3691">
        <f>_xlfn.LET(_xlpm.dir,Table13[[#This Row],[Direction]],
IF(_xlpm.dir="L",
    IF(G3690-Table13[[#This Row],[Steps]]&lt;0,100+(G3690-Table13[[#This Row],[Steps]]),G3690-Table13[[#This Row],[Steps]]),
))</f>
        <v>0</v>
      </c>
      <c r="F3691">
        <f>_xlfn.LET(_xlpm.dir,Table13[[#This Row],[Direction]],
IF(_xlpm.dir="R",
    IF(G3690+Table13[[#This Row],[Steps]]&gt;99,(G3690+Table13[[#This Row],[Steps]])-100,G3690+Table13[[#This Row],[Steps]]),
))</f>
        <v>64</v>
      </c>
      <c r="G3691">
        <f>IF(Table13[[#This Row],[New Pos L]]&lt;&gt;0,Table13[[#This Row],[New Pos L]],Table13[[#This Row],[New Pos R]])</f>
        <v>64</v>
      </c>
      <c r="H3691">
        <f>IF(AND(Table13[[#This Row],[Direction]]="L",Table13[[#This Row],[Steps]]&gt;G3690,G3690&lt;&gt;0),1,0)</f>
        <v>0</v>
      </c>
      <c r="I3691">
        <f>IF(AND(Table13[[#This Row],[Direction]]="R",(G3690+Table13[[#This Row],[Steps]])&gt;100),1,0)</f>
        <v>0</v>
      </c>
      <c r="J3691">
        <f>IF(Table13[[#This Row],[POS]]=0,1,0)</f>
        <v>0</v>
      </c>
      <c r="K3691">
        <f>SUM(Table13[[#This Row],[prefix]],Table13[[#This Row],[Past zero L]],Table13[[#This Row],[Past Zero R]],Table13[[#This Row],[Is Zero]])</f>
        <v>0</v>
      </c>
    </row>
    <row r="3692" spans="1:11" ht="16" x14ac:dyDescent="0.2">
      <c r="A3692" s="1" t="s">
        <v>781</v>
      </c>
      <c r="B3692" t="str">
        <f>LEFT(Table13[[#This Row],[Input]],1)</f>
        <v>L</v>
      </c>
      <c r="C3692">
        <f>_xlfn.LET(_xlpm.steps,SUBSTITUTE(Table13[[#This Row],[Input]],Table13[[#This Row],[Direction]],""),VALUE(IF(LEN(_xlpm.steps)&gt;2,RIGHT(_xlpm.steps,2),_xlpm.steps)))</f>
        <v>64</v>
      </c>
      <c r="D3692">
        <f>_xlfn.LET(_xlpm.steps,SUBSTITUTE(Table13[[#This Row],[Input]],Table13[[#This Row],[Direction]],""),VALUE(IF(LEN(_xlpm.steps)&gt;2,LEFT(_xlpm.steps,LEN(_xlpm.steps)-2),0)))</f>
        <v>4</v>
      </c>
      <c r="E3692">
        <f>_xlfn.LET(_xlpm.dir,Table13[[#This Row],[Direction]],
IF(_xlpm.dir="L",
    IF(G3691-Table13[[#This Row],[Steps]]&lt;0,100+(G3691-Table13[[#This Row],[Steps]]),G3691-Table13[[#This Row],[Steps]]),
))</f>
        <v>0</v>
      </c>
      <c r="F3692">
        <f>_xlfn.LET(_xlpm.dir,Table13[[#This Row],[Direction]],
IF(_xlpm.dir="R",
    IF(G3691+Table13[[#This Row],[Steps]]&gt;99,(G3691+Table13[[#This Row],[Steps]])-100,G3691+Table13[[#This Row],[Steps]]),
))</f>
        <v>0</v>
      </c>
      <c r="G3692">
        <f>IF(Table13[[#This Row],[New Pos L]]&lt;&gt;0,Table13[[#This Row],[New Pos L]],Table13[[#This Row],[New Pos R]])</f>
        <v>0</v>
      </c>
      <c r="H3692">
        <f>IF(AND(Table13[[#This Row],[Direction]]="L",Table13[[#This Row],[Steps]]&gt;G3691,G3691&lt;&gt;0),1,0)</f>
        <v>0</v>
      </c>
      <c r="I3692">
        <f>IF(AND(Table13[[#This Row],[Direction]]="R",(G3691+Table13[[#This Row],[Steps]])&gt;100),1,0)</f>
        <v>0</v>
      </c>
      <c r="J3692">
        <f>IF(Table13[[#This Row],[POS]]=0,1,0)</f>
        <v>1</v>
      </c>
      <c r="K3692">
        <f>SUM(Table13[[#This Row],[prefix]],Table13[[#This Row],[Past zero L]],Table13[[#This Row],[Past Zero R]],Table13[[#This Row],[Is Zero]])</f>
        <v>5</v>
      </c>
    </row>
    <row r="3693" spans="1:11" ht="16" x14ac:dyDescent="0.2">
      <c r="A3693" s="1" t="s">
        <v>76</v>
      </c>
      <c r="B3693" t="str">
        <f>LEFT(Table13[[#This Row],[Input]],1)</f>
        <v>R</v>
      </c>
      <c r="C3693">
        <f>_xlfn.LET(_xlpm.steps,SUBSTITUTE(Table13[[#This Row],[Input]],Table13[[#This Row],[Direction]],""),VALUE(IF(LEN(_xlpm.steps)&gt;2,RIGHT(_xlpm.steps,2),_xlpm.steps)))</f>
        <v>37</v>
      </c>
      <c r="D3693">
        <f>_xlfn.LET(_xlpm.steps,SUBSTITUTE(Table13[[#This Row],[Input]],Table13[[#This Row],[Direction]],""),VALUE(IF(LEN(_xlpm.steps)&gt;2,LEFT(_xlpm.steps,LEN(_xlpm.steps)-2),0)))</f>
        <v>0</v>
      </c>
      <c r="E3693">
        <f>_xlfn.LET(_xlpm.dir,Table13[[#This Row],[Direction]],
IF(_xlpm.dir="L",
    IF(G3692-Table13[[#This Row],[Steps]]&lt;0,100+(G3692-Table13[[#This Row],[Steps]]),G3692-Table13[[#This Row],[Steps]]),
))</f>
        <v>0</v>
      </c>
      <c r="F3693">
        <f>_xlfn.LET(_xlpm.dir,Table13[[#This Row],[Direction]],
IF(_xlpm.dir="R",
    IF(G3692+Table13[[#This Row],[Steps]]&gt;99,(G3692+Table13[[#This Row],[Steps]])-100,G3692+Table13[[#This Row],[Steps]]),
))</f>
        <v>37</v>
      </c>
      <c r="G3693">
        <f>IF(Table13[[#This Row],[New Pos L]]&lt;&gt;0,Table13[[#This Row],[New Pos L]],Table13[[#This Row],[New Pos R]])</f>
        <v>37</v>
      </c>
      <c r="H3693">
        <f>IF(AND(Table13[[#This Row],[Direction]]="L",Table13[[#This Row],[Steps]]&gt;G3692,G3692&lt;&gt;0),1,0)</f>
        <v>0</v>
      </c>
      <c r="I3693">
        <f>IF(AND(Table13[[#This Row],[Direction]]="R",(G3692+Table13[[#This Row],[Steps]])&gt;100),1,0)</f>
        <v>0</v>
      </c>
      <c r="J3693">
        <f>IF(Table13[[#This Row],[POS]]=0,1,0)</f>
        <v>0</v>
      </c>
      <c r="K3693">
        <f>SUM(Table13[[#This Row],[prefix]],Table13[[#This Row],[Past zero L]],Table13[[#This Row],[Past Zero R]],Table13[[#This Row],[Is Zero]])</f>
        <v>0</v>
      </c>
    </row>
    <row r="3694" spans="1:11" ht="16" x14ac:dyDescent="0.2">
      <c r="A3694" s="1" t="s">
        <v>1</v>
      </c>
      <c r="B3694" t="str">
        <f>LEFT(Table13[[#This Row],[Input]],1)</f>
        <v>R</v>
      </c>
      <c r="C3694">
        <f>_xlfn.LET(_xlpm.steps,SUBSTITUTE(Table13[[#This Row],[Input]],Table13[[#This Row],[Direction]],""),VALUE(IF(LEN(_xlpm.steps)&gt;2,RIGHT(_xlpm.steps,2),_xlpm.steps)))</f>
        <v>26</v>
      </c>
      <c r="D3694">
        <f>_xlfn.LET(_xlpm.steps,SUBSTITUTE(Table13[[#This Row],[Input]],Table13[[#This Row],[Direction]],""),VALUE(IF(LEN(_xlpm.steps)&gt;2,LEFT(_xlpm.steps,LEN(_xlpm.steps)-2),0)))</f>
        <v>0</v>
      </c>
      <c r="E3694">
        <f>_xlfn.LET(_xlpm.dir,Table13[[#This Row],[Direction]],
IF(_xlpm.dir="L",
    IF(G3693-Table13[[#This Row],[Steps]]&lt;0,100+(G3693-Table13[[#This Row],[Steps]]),G3693-Table13[[#This Row],[Steps]]),
))</f>
        <v>0</v>
      </c>
      <c r="F3694">
        <f>_xlfn.LET(_xlpm.dir,Table13[[#This Row],[Direction]],
IF(_xlpm.dir="R",
    IF(G3693+Table13[[#This Row],[Steps]]&gt;99,(G3693+Table13[[#This Row],[Steps]])-100,G3693+Table13[[#This Row],[Steps]]),
))</f>
        <v>63</v>
      </c>
      <c r="G3694">
        <f>IF(Table13[[#This Row],[New Pos L]]&lt;&gt;0,Table13[[#This Row],[New Pos L]],Table13[[#This Row],[New Pos R]])</f>
        <v>63</v>
      </c>
      <c r="H3694">
        <f>IF(AND(Table13[[#This Row],[Direction]]="L",Table13[[#This Row],[Steps]]&gt;G3693,G3693&lt;&gt;0),1,0)</f>
        <v>0</v>
      </c>
      <c r="I3694">
        <f>IF(AND(Table13[[#This Row],[Direction]]="R",(G3693+Table13[[#This Row],[Steps]])&gt;100),1,0)</f>
        <v>0</v>
      </c>
      <c r="J3694">
        <f>IF(Table13[[#This Row],[POS]]=0,1,0)</f>
        <v>0</v>
      </c>
      <c r="K3694">
        <f>SUM(Table13[[#This Row],[prefix]],Table13[[#This Row],[Past zero L]],Table13[[#This Row],[Past Zero R]],Table13[[#This Row],[Is Zero]])</f>
        <v>0</v>
      </c>
    </row>
    <row r="3695" spans="1:11" ht="16" x14ac:dyDescent="0.2">
      <c r="A3695" s="1" t="s">
        <v>148</v>
      </c>
      <c r="B3695" t="str">
        <f>LEFT(Table13[[#This Row],[Input]],1)</f>
        <v>R</v>
      </c>
      <c r="C3695">
        <f>_xlfn.LET(_xlpm.steps,SUBSTITUTE(Table13[[#This Row],[Input]],Table13[[#This Row],[Direction]],""),VALUE(IF(LEN(_xlpm.steps)&gt;2,RIGHT(_xlpm.steps,2),_xlpm.steps)))</f>
        <v>80</v>
      </c>
      <c r="D3695">
        <f>_xlfn.LET(_xlpm.steps,SUBSTITUTE(Table13[[#This Row],[Input]],Table13[[#This Row],[Direction]],""),VALUE(IF(LEN(_xlpm.steps)&gt;2,LEFT(_xlpm.steps,LEN(_xlpm.steps)-2),0)))</f>
        <v>0</v>
      </c>
      <c r="E3695">
        <f>_xlfn.LET(_xlpm.dir,Table13[[#This Row],[Direction]],
IF(_xlpm.dir="L",
    IF(G3694-Table13[[#This Row],[Steps]]&lt;0,100+(G3694-Table13[[#This Row],[Steps]]),G3694-Table13[[#This Row],[Steps]]),
))</f>
        <v>0</v>
      </c>
      <c r="F3695">
        <f>_xlfn.LET(_xlpm.dir,Table13[[#This Row],[Direction]],
IF(_xlpm.dir="R",
    IF(G3694+Table13[[#This Row],[Steps]]&gt;99,(G3694+Table13[[#This Row],[Steps]])-100,G3694+Table13[[#This Row],[Steps]]),
))</f>
        <v>43</v>
      </c>
      <c r="G3695">
        <f>IF(Table13[[#This Row],[New Pos L]]&lt;&gt;0,Table13[[#This Row],[New Pos L]],Table13[[#This Row],[New Pos R]])</f>
        <v>43</v>
      </c>
      <c r="H3695">
        <f>IF(AND(Table13[[#This Row],[Direction]]="L",Table13[[#This Row],[Steps]]&gt;G3694,G3694&lt;&gt;0),1,0)</f>
        <v>0</v>
      </c>
      <c r="I3695">
        <f>IF(AND(Table13[[#This Row],[Direction]]="R",(G3694+Table13[[#This Row],[Steps]])&gt;100),1,0)</f>
        <v>1</v>
      </c>
      <c r="J3695">
        <f>IF(Table13[[#This Row],[POS]]=0,1,0)</f>
        <v>0</v>
      </c>
      <c r="K3695">
        <f>SUM(Table13[[#This Row],[prefix]],Table13[[#This Row],[Past zero L]],Table13[[#This Row],[Past Zero R]],Table13[[#This Row],[Is Zero]])</f>
        <v>1</v>
      </c>
    </row>
    <row r="3696" spans="1:11" ht="16" x14ac:dyDescent="0.2">
      <c r="A3696" s="1" t="s">
        <v>782</v>
      </c>
      <c r="B3696" t="str">
        <f>LEFT(Table13[[#This Row],[Input]],1)</f>
        <v>L</v>
      </c>
      <c r="C3696">
        <f>_xlfn.LET(_xlpm.steps,SUBSTITUTE(Table13[[#This Row],[Input]],Table13[[#This Row],[Direction]],""),VALUE(IF(LEN(_xlpm.steps)&gt;2,RIGHT(_xlpm.steps,2),_xlpm.steps)))</f>
        <v>43</v>
      </c>
      <c r="D3696">
        <f>_xlfn.LET(_xlpm.steps,SUBSTITUTE(Table13[[#This Row],[Input]],Table13[[#This Row],[Direction]],""),VALUE(IF(LEN(_xlpm.steps)&gt;2,LEFT(_xlpm.steps,LEN(_xlpm.steps)-2),0)))</f>
        <v>2</v>
      </c>
      <c r="E3696">
        <f>_xlfn.LET(_xlpm.dir,Table13[[#This Row],[Direction]],
IF(_xlpm.dir="L",
    IF(G3695-Table13[[#This Row],[Steps]]&lt;0,100+(G3695-Table13[[#This Row],[Steps]]),G3695-Table13[[#This Row],[Steps]]),
))</f>
        <v>0</v>
      </c>
      <c r="F3696">
        <f>_xlfn.LET(_xlpm.dir,Table13[[#This Row],[Direction]],
IF(_xlpm.dir="R",
    IF(G3695+Table13[[#This Row],[Steps]]&gt;99,(G3695+Table13[[#This Row],[Steps]])-100,G3695+Table13[[#This Row],[Steps]]),
))</f>
        <v>0</v>
      </c>
      <c r="G3696">
        <f>IF(Table13[[#This Row],[New Pos L]]&lt;&gt;0,Table13[[#This Row],[New Pos L]],Table13[[#This Row],[New Pos R]])</f>
        <v>0</v>
      </c>
      <c r="H3696">
        <f>IF(AND(Table13[[#This Row],[Direction]]="L",Table13[[#This Row],[Steps]]&gt;G3695,G3695&lt;&gt;0),1,0)</f>
        <v>0</v>
      </c>
      <c r="I3696">
        <f>IF(AND(Table13[[#This Row],[Direction]]="R",(G3695+Table13[[#This Row],[Steps]])&gt;100),1,0)</f>
        <v>0</v>
      </c>
      <c r="J3696">
        <f>IF(Table13[[#This Row],[POS]]=0,1,0)</f>
        <v>1</v>
      </c>
      <c r="K3696">
        <f>SUM(Table13[[#This Row],[prefix]],Table13[[#This Row],[Past zero L]],Table13[[#This Row],[Past Zero R]],Table13[[#This Row],[Is Zero]])</f>
        <v>3</v>
      </c>
    </row>
    <row r="3697" spans="1:11" ht="16" x14ac:dyDescent="0.2">
      <c r="A3697" s="1" t="s">
        <v>464</v>
      </c>
      <c r="B3697" t="str">
        <f>LEFT(Table13[[#This Row],[Input]],1)</f>
        <v>R</v>
      </c>
      <c r="C3697">
        <f>_xlfn.LET(_xlpm.steps,SUBSTITUTE(Table13[[#This Row],[Input]],Table13[[#This Row],[Direction]],""),VALUE(IF(LEN(_xlpm.steps)&gt;2,RIGHT(_xlpm.steps,2),_xlpm.steps)))</f>
        <v>44</v>
      </c>
      <c r="D3697">
        <f>_xlfn.LET(_xlpm.steps,SUBSTITUTE(Table13[[#This Row],[Input]],Table13[[#This Row],[Direction]],""),VALUE(IF(LEN(_xlpm.steps)&gt;2,LEFT(_xlpm.steps,LEN(_xlpm.steps)-2),0)))</f>
        <v>7</v>
      </c>
      <c r="E3697">
        <f>_xlfn.LET(_xlpm.dir,Table13[[#This Row],[Direction]],
IF(_xlpm.dir="L",
    IF(G3696-Table13[[#This Row],[Steps]]&lt;0,100+(G3696-Table13[[#This Row],[Steps]]),G3696-Table13[[#This Row],[Steps]]),
))</f>
        <v>0</v>
      </c>
      <c r="F3697">
        <f>_xlfn.LET(_xlpm.dir,Table13[[#This Row],[Direction]],
IF(_xlpm.dir="R",
    IF(G3696+Table13[[#This Row],[Steps]]&gt;99,(G3696+Table13[[#This Row],[Steps]])-100,G3696+Table13[[#This Row],[Steps]]),
))</f>
        <v>44</v>
      </c>
      <c r="G3697">
        <f>IF(Table13[[#This Row],[New Pos L]]&lt;&gt;0,Table13[[#This Row],[New Pos L]],Table13[[#This Row],[New Pos R]])</f>
        <v>44</v>
      </c>
      <c r="H3697">
        <f>IF(AND(Table13[[#This Row],[Direction]]="L",Table13[[#This Row],[Steps]]&gt;G3696,G3696&lt;&gt;0),1,0)</f>
        <v>0</v>
      </c>
      <c r="I3697">
        <f>IF(AND(Table13[[#This Row],[Direction]]="R",(G3696+Table13[[#This Row],[Steps]])&gt;100),1,0)</f>
        <v>0</v>
      </c>
      <c r="J3697">
        <f>IF(Table13[[#This Row],[POS]]=0,1,0)</f>
        <v>0</v>
      </c>
      <c r="K3697">
        <f>SUM(Table13[[#This Row],[prefix]],Table13[[#This Row],[Past zero L]],Table13[[#This Row],[Past Zero R]],Table13[[#This Row],[Is Zero]])</f>
        <v>7</v>
      </c>
    </row>
    <row r="3698" spans="1:11" ht="16" x14ac:dyDescent="0.2">
      <c r="A3698" s="1" t="s">
        <v>185</v>
      </c>
      <c r="B3698" t="str">
        <f>LEFT(Table13[[#This Row],[Input]],1)</f>
        <v>R</v>
      </c>
      <c r="C3698">
        <f>_xlfn.LET(_xlpm.steps,SUBSTITUTE(Table13[[#This Row],[Input]],Table13[[#This Row],[Direction]],""),VALUE(IF(LEN(_xlpm.steps)&gt;2,RIGHT(_xlpm.steps,2),_xlpm.steps)))</f>
        <v>61</v>
      </c>
      <c r="D3698">
        <f>_xlfn.LET(_xlpm.steps,SUBSTITUTE(Table13[[#This Row],[Input]],Table13[[#This Row],[Direction]],""),VALUE(IF(LEN(_xlpm.steps)&gt;2,LEFT(_xlpm.steps,LEN(_xlpm.steps)-2),0)))</f>
        <v>0</v>
      </c>
      <c r="E3698">
        <f>_xlfn.LET(_xlpm.dir,Table13[[#This Row],[Direction]],
IF(_xlpm.dir="L",
    IF(G3697-Table13[[#This Row],[Steps]]&lt;0,100+(G3697-Table13[[#This Row],[Steps]]),G3697-Table13[[#This Row],[Steps]]),
))</f>
        <v>0</v>
      </c>
      <c r="F3698">
        <f>_xlfn.LET(_xlpm.dir,Table13[[#This Row],[Direction]],
IF(_xlpm.dir="R",
    IF(G3697+Table13[[#This Row],[Steps]]&gt;99,(G3697+Table13[[#This Row],[Steps]])-100,G3697+Table13[[#This Row],[Steps]]),
))</f>
        <v>5</v>
      </c>
      <c r="G3698">
        <f>IF(Table13[[#This Row],[New Pos L]]&lt;&gt;0,Table13[[#This Row],[New Pos L]],Table13[[#This Row],[New Pos R]])</f>
        <v>5</v>
      </c>
      <c r="H3698">
        <f>IF(AND(Table13[[#This Row],[Direction]]="L",Table13[[#This Row],[Steps]]&gt;G3697,G3697&lt;&gt;0),1,0)</f>
        <v>0</v>
      </c>
      <c r="I3698">
        <f>IF(AND(Table13[[#This Row],[Direction]]="R",(G3697+Table13[[#This Row],[Steps]])&gt;100),1,0)</f>
        <v>1</v>
      </c>
      <c r="J3698">
        <f>IF(Table13[[#This Row],[POS]]=0,1,0)</f>
        <v>0</v>
      </c>
      <c r="K3698">
        <f>SUM(Table13[[#This Row],[prefix]],Table13[[#This Row],[Past zero L]],Table13[[#This Row],[Past Zero R]],Table13[[#This Row],[Is Zero]])</f>
        <v>1</v>
      </c>
    </row>
    <row r="3699" spans="1:11" ht="16" x14ac:dyDescent="0.2">
      <c r="A3699" s="1" t="s">
        <v>15</v>
      </c>
      <c r="B3699" t="str">
        <f>LEFT(Table13[[#This Row],[Input]],1)</f>
        <v>R</v>
      </c>
      <c r="C3699">
        <f>_xlfn.LET(_xlpm.steps,SUBSTITUTE(Table13[[#This Row],[Input]],Table13[[#This Row],[Direction]],""),VALUE(IF(LEN(_xlpm.steps)&gt;2,RIGHT(_xlpm.steps,2),_xlpm.steps)))</f>
        <v>36</v>
      </c>
      <c r="D3699">
        <f>_xlfn.LET(_xlpm.steps,SUBSTITUTE(Table13[[#This Row],[Input]],Table13[[#This Row],[Direction]],""),VALUE(IF(LEN(_xlpm.steps)&gt;2,LEFT(_xlpm.steps,LEN(_xlpm.steps)-2),0)))</f>
        <v>0</v>
      </c>
      <c r="E3699">
        <f>_xlfn.LET(_xlpm.dir,Table13[[#This Row],[Direction]],
IF(_xlpm.dir="L",
    IF(G3698-Table13[[#This Row],[Steps]]&lt;0,100+(G3698-Table13[[#This Row],[Steps]]),G3698-Table13[[#This Row],[Steps]]),
))</f>
        <v>0</v>
      </c>
      <c r="F3699">
        <f>_xlfn.LET(_xlpm.dir,Table13[[#This Row],[Direction]],
IF(_xlpm.dir="R",
    IF(G3698+Table13[[#This Row],[Steps]]&gt;99,(G3698+Table13[[#This Row],[Steps]])-100,G3698+Table13[[#This Row],[Steps]]),
))</f>
        <v>41</v>
      </c>
      <c r="G3699">
        <f>IF(Table13[[#This Row],[New Pos L]]&lt;&gt;0,Table13[[#This Row],[New Pos L]],Table13[[#This Row],[New Pos R]])</f>
        <v>41</v>
      </c>
      <c r="H3699">
        <f>IF(AND(Table13[[#This Row],[Direction]]="L",Table13[[#This Row],[Steps]]&gt;G3698,G3698&lt;&gt;0),1,0)</f>
        <v>0</v>
      </c>
      <c r="I3699">
        <f>IF(AND(Table13[[#This Row],[Direction]]="R",(G3698+Table13[[#This Row],[Steps]])&gt;100),1,0)</f>
        <v>0</v>
      </c>
      <c r="J3699">
        <f>IF(Table13[[#This Row],[POS]]=0,1,0)</f>
        <v>0</v>
      </c>
      <c r="K3699">
        <f>SUM(Table13[[#This Row],[prefix]],Table13[[#This Row],[Past zero L]],Table13[[#This Row],[Past Zero R]],Table13[[#This Row],[Is Zero]])</f>
        <v>0</v>
      </c>
    </row>
    <row r="3700" spans="1:11" ht="16" x14ac:dyDescent="0.2">
      <c r="A3700" s="1" t="s">
        <v>304</v>
      </c>
      <c r="B3700" t="str">
        <f>LEFT(Table13[[#This Row],[Input]],1)</f>
        <v>L</v>
      </c>
      <c r="C3700">
        <f>_xlfn.LET(_xlpm.steps,SUBSTITUTE(Table13[[#This Row],[Input]],Table13[[#This Row],[Direction]],""),VALUE(IF(LEN(_xlpm.steps)&gt;2,RIGHT(_xlpm.steps,2),_xlpm.steps)))</f>
        <v>26</v>
      </c>
      <c r="D3700">
        <f>_xlfn.LET(_xlpm.steps,SUBSTITUTE(Table13[[#This Row],[Input]],Table13[[#This Row],[Direction]],""),VALUE(IF(LEN(_xlpm.steps)&gt;2,LEFT(_xlpm.steps,LEN(_xlpm.steps)-2),0)))</f>
        <v>0</v>
      </c>
      <c r="E3700">
        <f>_xlfn.LET(_xlpm.dir,Table13[[#This Row],[Direction]],
IF(_xlpm.dir="L",
    IF(G3699-Table13[[#This Row],[Steps]]&lt;0,100+(G3699-Table13[[#This Row],[Steps]]),G3699-Table13[[#This Row],[Steps]]),
))</f>
        <v>15</v>
      </c>
      <c r="F3700">
        <f>_xlfn.LET(_xlpm.dir,Table13[[#This Row],[Direction]],
IF(_xlpm.dir="R",
    IF(G3699+Table13[[#This Row],[Steps]]&gt;99,(G3699+Table13[[#This Row],[Steps]])-100,G3699+Table13[[#This Row],[Steps]]),
))</f>
        <v>0</v>
      </c>
      <c r="G3700">
        <f>IF(Table13[[#This Row],[New Pos L]]&lt;&gt;0,Table13[[#This Row],[New Pos L]],Table13[[#This Row],[New Pos R]])</f>
        <v>15</v>
      </c>
      <c r="H3700">
        <f>IF(AND(Table13[[#This Row],[Direction]]="L",Table13[[#This Row],[Steps]]&gt;G3699,G3699&lt;&gt;0),1,0)</f>
        <v>0</v>
      </c>
      <c r="I3700">
        <f>IF(AND(Table13[[#This Row],[Direction]]="R",(G3699+Table13[[#This Row],[Steps]])&gt;100),1,0)</f>
        <v>0</v>
      </c>
      <c r="J3700">
        <f>IF(Table13[[#This Row],[POS]]=0,1,0)</f>
        <v>0</v>
      </c>
      <c r="K3700">
        <f>SUM(Table13[[#This Row],[prefix]],Table13[[#This Row],[Past zero L]],Table13[[#This Row],[Past Zero R]],Table13[[#This Row],[Is Zero]])</f>
        <v>0</v>
      </c>
    </row>
    <row r="3701" spans="1:11" ht="16" x14ac:dyDescent="0.2">
      <c r="A3701" s="1" t="s">
        <v>164</v>
      </c>
      <c r="B3701" t="str">
        <f>LEFT(Table13[[#This Row],[Input]],1)</f>
        <v>R</v>
      </c>
      <c r="C3701">
        <f>_xlfn.LET(_xlpm.steps,SUBSTITUTE(Table13[[#This Row],[Input]],Table13[[#This Row],[Direction]],""),VALUE(IF(LEN(_xlpm.steps)&gt;2,RIGHT(_xlpm.steps,2),_xlpm.steps)))</f>
        <v>85</v>
      </c>
      <c r="D3701">
        <f>_xlfn.LET(_xlpm.steps,SUBSTITUTE(Table13[[#This Row],[Input]],Table13[[#This Row],[Direction]],""),VALUE(IF(LEN(_xlpm.steps)&gt;2,LEFT(_xlpm.steps,LEN(_xlpm.steps)-2),0)))</f>
        <v>0</v>
      </c>
      <c r="E3701">
        <f>_xlfn.LET(_xlpm.dir,Table13[[#This Row],[Direction]],
IF(_xlpm.dir="L",
    IF(G3700-Table13[[#This Row],[Steps]]&lt;0,100+(G3700-Table13[[#This Row],[Steps]]),G3700-Table13[[#This Row],[Steps]]),
))</f>
        <v>0</v>
      </c>
      <c r="F3701">
        <f>_xlfn.LET(_xlpm.dir,Table13[[#This Row],[Direction]],
IF(_xlpm.dir="R",
    IF(G3700+Table13[[#This Row],[Steps]]&gt;99,(G3700+Table13[[#This Row],[Steps]])-100,G3700+Table13[[#This Row],[Steps]]),
))</f>
        <v>0</v>
      </c>
      <c r="G3701">
        <f>IF(Table13[[#This Row],[New Pos L]]&lt;&gt;0,Table13[[#This Row],[New Pos L]],Table13[[#This Row],[New Pos R]])</f>
        <v>0</v>
      </c>
      <c r="H3701">
        <f>IF(AND(Table13[[#This Row],[Direction]]="L",Table13[[#This Row],[Steps]]&gt;G3700,G3700&lt;&gt;0),1,0)</f>
        <v>0</v>
      </c>
      <c r="I3701">
        <f>IF(AND(Table13[[#This Row],[Direction]]="R",(G3700+Table13[[#This Row],[Steps]])&gt;100),1,0)</f>
        <v>0</v>
      </c>
      <c r="J3701">
        <f>IF(Table13[[#This Row],[POS]]=0,1,0)</f>
        <v>1</v>
      </c>
      <c r="K3701">
        <f>SUM(Table13[[#This Row],[prefix]],Table13[[#This Row],[Past zero L]],Table13[[#This Row],[Past Zero R]],Table13[[#This Row],[Is Zero]])</f>
        <v>1</v>
      </c>
    </row>
    <row r="3702" spans="1:11" ht="16" x14ac:dyDescent="0.2">
      <c r="A3702" s="1" t="s">
        <v>0</v>
      </c>
      <c r="B3702" t="str">
        <f>LEFT(Table13[[#This Row],[Input]],1)</f>
        <v>L</v>
      </c>
      <c r="C3702">
        <f>_xlfn.LET(_xlpm.steps,SUBSTITUTE(Table13[[#This Row],[Input]],Table13[[#This Row],[Direction]],""),VALUE(IF(LEN(_xlpm.steps)&gt;2,RIGHT(_xlpm.steps,2),_xlpm.steps)))</f>
        <v>44</v>
      </c>
      <c r="D3702">
        <f>_xlfn.LET(_xlpm.steps,SUBSTITUTE(Table13[[#This Row],[Input]],Table13[[#This Row],[Direction]],""),VALUE(IF(LEN(_xlpm.steps)&gt;2,LEFT(_xlpm.steps,LEN(_xlpm.steps)-2),0)))</f>
        <v>0</v>
      </c>
      <c r="E3702">
        <f>_xlfn.LET(_xlpm.dir,Table13[[#This Row],[Direction]],
IF(_xlpm.dir="L",
    IF(G3701-Table13[[#This Row],[Steps]]&lt;0,100+(G3701-Table13[[#This Row],[Steps]]),G3701-Table13[[#This Row],[Steps]]),
))</f>
        <v>56</v>
      </c>
      <c r="F3702">
        <f>_xlfn.LET(_xlpm.dir,Table13[[#This Row],[Direction]],
IF(_xlpm.dir="R",
    IF(G3701+Table13[[#This Row],[Steps]]&gt;99,(G3701+Table13[[#This Row],[Steps]])-100,G3701+Table13[[#This Row],[Steps]]),
))</f>
        <v>0</v>
      </c>
      <c r="G3702">
        <f>IF(Table13[[#This Row],[New Pos L]]&lt;&gt;0,Table13[[#This Row],[New Pos L]],Table13[[#This Row],[New Pos R]])</f>
        <v>56</v>
      </c>
      <c r="H3702">
        <f>IF(AND(Table13[[#This Row],[Direction]]="L",Table13[[#This Row],[Steps]]&gt;G3701,G3701&lt;&gt;0),1,0)</f>
        <v>0</v>
      </c>
      <c r="I3702">
        <f>IF(AND(Table13[[#This Row],[Direction]]="R",(G3701+Table13[[#This Row],[Steps]])&gt;100),1,0)</f>
        <v>0</v>
      </c>
      <c r="J3702">
        <f>IF(Table13[[#This Row],[POS]]=0,1,0)</f>
        <v>0</v>
      </c>
      <c r="K3702">
        <f>SUM(Table13[[#This Row],[prefix]],Table13[[#This Row],[Past zero L]],Table13[[#This Row],[Past Zero R]],Table13[[#This Row],[Is Zero]])</f>
        <v>0</v>
      </c>
    </row>
    <row r="3703" spans="1:11" ht="16" x14ac:dyDescent="0.2">
      <c r="A3703" s="1" t="s">
        <v>53</v>
      </c>
      <c r="B3703" t="str">
        <f>LEFT(Table13[[#This Row],[Input]],1)</f>
        <v>L</v>
      </c>
      <c r="C3703">
        <f>_xlfn.LET(_xlpm.steps,SUBSTITUTE(Table13[[#This Row],[Input]],Table13[[#This Row],[Direction]],""),VALUE(IF(LEN(_xlpm.steps)&gt;2,RIGHT(_xlpm.steps,2),_xlpm.steps)))</f>
        <v>56</v>
      </c>
      <c r="D3703">
        <f>_xlfn.LET(_xlpm.steps,SUBSTITUTE(Table13[[#This Row],[Input]],Table13[[#This Row],[Direction]],""),VALUE(IF(LEN(_xlpm.steps)&gt;2,LEFT(_xlpm.steps,LEN(_xlpm.steps)-2),0)))</f>
        <v>0</v>
      </c>
      <c r="E3703">
        <f>_xlfn.LET(_xlpm.dir,Table13[[#This Row],[Direction]],
IF(_xlpm.dir="L",
    IF(G3702-Table13[[#This Row],[Steps]]&lt;0,100+(G3702-Table13[[#This Row],[Steps]]),G3702-Table13[[#This Row],[Steps]]),
))</f>
        <v>0</v>
      </c>
      <c r="F3703">
        <f>_xlfn.LET(_xlpm.dir,Table13[[#This Row],[Direction]],
IF(_xlpm.dir="R",
    IF(G3702+Table13[[#This Row],[Steps]]&gt;99,(G3702+Table13[[#This Row],[Steps]])-100,G3702+Table13[[#This Row],[Steps]]),
))</f>
        <v>0</v>
      </c>
      <c r="G3703">
        <f>IF(Table13[[#This Row],[New Pos L]]&lt;&gt;0,Table13[[#This Row],[New Pos L]],Table13[[#This Row],[New Pos R]])</f>
        <v>0</v>
      </c>
      <c r="H3703">
        <f>IF(AND(Table13[[#This Row],[Direction]]="L",Table13[[#This Row],[Steps]]&gt;G3702,G3702&lt;&gt;0),1,0)</f>
        <v>0</v>
      </c>
      <c r="I3703">
        <f>IF(AND(Table13[[#This Row],[Direction]]="R",(G3702+Table13[[#This Row],[Steps]])&gt;100),1,0)</f>
        <v>0</v>
      </c>
      <c r="J3703">
        <f>IF(Table13[[#This Row],[POS]]=0,1,0)</f>
        <v>1</v>
      </c>
      <c r="K3703">
        <f>SUM(Table13[[#This Row],[prefix]],Table13[[#This Row],[Past zero L]],Table13[[#This Row],[Past Zero R]],Table13[[#This Row],[Is Zero]])</f>
        <v>1</v>
      </c>
    </row>
    <row r="3704" spans="1:11" ht="16" x14ac:dyDescent="0.2">
      <c r="A3704" s="1" t="s">
        <v>122</v>
      </c>
      <c r="B3704" t="str">
        <f>LEFT(Table13[[#This Row],[Input]],1)</f>
        <v>R</v>
      </c>
      <c r="C3704">
        <f>_xlfn.LET(_xlpm.steps,SUBSTITUTE(Table13[[#This Row],[Input]],Table13[[#This Row],[Direction]],""),VALUE(IF(LEN(_xlpm.steps)&gt;2,RIGHT(_xlpm.steps,2),_xlpm.steps)))</f>
        <v>75</v>
      </c>
      <c r="D3704">
        <f>_xlfn.LET(_xlpm.steps,SUBSTITUTE(Table13[[#This Row],[Input]],Table13[[#This Row],[Direction]],""),VALUE(IF(LEN(_xlpm.steps)&gt;2,LEFT(_xlpm.steps,LEN(_xlpm.steps)-2),0)))</f>
        <v>0</v>
      </c>
      <c r="E3704">
        <f>_xlfn.LET(_xlpm.dir,Table13[[#This Row],[Direction]],
IF(_xlpm.dir="L",
    IF(G3703-Table13[[#This Row],[Steps]]&lt;0,100+(G3703-Table13[[#This Row],[Steps]]),G3703-Table13[[#This Row],[Steps]]),
))</f>
        <v>0</v>
      </c>
      <c r="F3704">
        <f>_xlfn.LET(_xlpm.dir,Table13[[#This Row],[Direction]],
IF(_xlpm.dir="R",
    IF(G3703+Table13[[#This Row],[Steps]]&gt;99,(G3703+Table13[[#This Row],[Steps]])-100,G3703+Table13[[#This Row],[Steps]]),
))</f>
        <v>75</v>
      </c>
      <c r="G3704">
        <f>IF(Table13[[#This Row],[New Pos L]]&lt;&gt;0,Table13[[#This Row],[New Pos L]],Table13[[#This Row],[New Pos R]])</f>
        <v>75</v>
      </c>
      <c r="H3704">
        <f>IF(AND(Table13[[#This Row],[Direction]]="L",Table13[[#This Row],[Steps]]&gt;G3703,G3703&lt;&gt;0),1,0)</f>
        <v>0</v>
      </c>
      <c r="I3704">
        <f>IF(AND(Table13[[#This Row],[Direction]]="R",(G3703+Table13[[#This Row],[Steps]])&gt;100),1,0)</f>
        <v>0</v>
      </c>
      <c r="J3704">
        <f>IF(Table13[[#This Row],[POS]]=0,1,0)</f>
        <v>0</v>
      </c>
      <c r="K3704">
        <f>SUM(Table13[[#This Row],[prefix]],Table13[[#This Row],[Past zero L]],Table13[[#This Row],[Past Zero R]],Table13[[#This Row],[Is Zero]])</f>
        <v>0</v>
      </c>
    </row>
    <row r="3705" spans="1:11" ht="16" x14ac:dyDescent="0.2">
      <c r="A3705" s="1" t="s">
        <v>296</v>
      </c>
      <c r="B3705" t="str">
        <f>LEFT(Table13[[#This Row],[Input]],1)</f>
        <v>R</v>
      </c>
      <c r="C3705">
        <f>_xlfn.LET(_xlpm.steps,SUBSTITUTE(Table13[[#This Row],[Input]],Table13[[#This Row],[Direction]],""),VALUE(IF(LEN(_xlpm.steps)&gt;2,RIGHT(_xlpm.steps,2),_xlpm.steps)))</f>
        <v>19</v>
      </c>
      <c r="D3705">
        <f>_xlfn.LET(_xlpm.steps,SUBSTITUTE(Table13[[#This Row],[Input]],Table13[[#This Row],[Direction]],""),VALUE(IF(LEN(_xlpm.steps)&gt;2,LEFT(_xlpm.steps,LEN(_xlpm.steps)-2),0)))</f>
        <v>0</v>
      </c>
      <c r="E3705">
        <f>_xlfn.LET(_xlpm.dir,Table13[[#This Row],[Direction]],
IF(_xlpm.dir="L",
    IF(G3704-Table13[[#This Row],[Steps]]&lt;0,100+(G3704-Table13[[#This Row],[Steps]]),G3704-Table13[[#This Row],[Steps]]),
))</f>
        <v>0</v>
      </c>
      <c r="F3705">
        <f>_xlfn.LET(_xlpm.dir,Table13[[#This Row],[Direction]],
IF(_xlpm.dir="R",
    IF(G3704+Table13[[#This Row],[Steps]]&gt;99,(G3704+Table13[[#This Row],[Steps]])-100,G3704+Table13[[#This Row],[Steps]]),
))</f>
        <v>94</v>
      </c>
      <c r="G3705">
        <f>IF(Table13[[#This Row],[New Pos L]]&lt;&gt;0,Table13[[#This Row],[New Pos L]],Table13[[#This Row],[New Pos R]])</f>
        <v>94</v>
      </c>
      <c r="H3705">
        <f>IF(AND(Table13[[#This Row],[Direction]]="L",Table13[[#This Row],[Steps]]&gt;G3704,G3704&lt;&gt;0),1,0)</f>
        <v>0</v>
      </c>
      <c r="I3705">
        <f>IF(AND(Table13[[#This Row],[Direction]]="R",(G3704+Table13[[#This Row],[Steps]])&gt;100),1,0)</f>
        <v>0</v>
      </c>
      <c r="J3705">
        <f>IF(Table13[[#This Row],[POS]]=0,1,0)</f>
        <v>0</v>
      </c>
      <c r="K3705">
        <f>SUM(Table13[[#This Row],[prefix]],Table13[[#This Row],[Past zero L]],Table13[[#This Row],[Past Zero R]],Table13[[#This Row],[Is Zero]])</f>
        <v>0</v>
      </c>
    </row>
    <row r="3706" spans="1:11" ht="16" x14ac:dyDescent="0.2">
      <c r="A3706" s="1" t="s">
        <v>783</v>
      </c>
      <c r="B3706" t="str">
        <f>LEFT(Table13[[#This Row],[Input]],1)</f>
        <v>L</v>
      </c>
      <c r="C3706">
        <f>_xlfn.LET(_xlpm.steps,SUBSTITUTE(Table13[[#This Row],[Input]],Table13[[#This Row],[Direction]],""),VALUE(IF(LEN(_xlpm.steps)&gt;2,RIGHT(_xlpm.steps,2),_xlpm.steps)))</f>
        <v>88</v>
      </c>
      <c r="D3706">
        <f>_xlfn.LET(_xlpm.steps,SUBSTITUTE(Table13[[#This Row],[Input]],Table13[[#This Row],[Direction]],""),VALUE(IF(LEN(_xlpm.steps)&gt;2,LEFT(_xlpm.steps,LEN(_xlpm.steps)-2),0)))</f>
        <v>5</v>
      </c>
      <c r="E3706">
        <f>_xlfn.LET(_xlpm.dir,Table13[[#This Row],[Direction]],
IF(_xlpm.dir="L",
    IF(G3705-Table13[[#This Row],[Steps]]&lt;0,100+(G3705-Table13[[#This Row],[Steps]]),G3705-Table13[[#This Row],[Steps]]),
))</f>
        <v>6</v>
      </c>
      <c r="F3706">
        <f>_xlfn.LET(_xlpm.dir,Table13[[#This Row],[Direction]],
IF(_xlpm.dir="R",
    IF(G3705+Table13[[#This Row],[Steps]]&gt;99,(G3705+Table13[[#This Row],[Steps]])-100,G3705+Table13[[#This Row],[Steps]]),
))</f>
        <v>0</v>
      </c>
      <c r="G3706">
        <f>IF(Table13[[#This Row],[New Pos L]]&lt;&gt;0,Table13[[#This Row],[New Pos L]],Table13[[#This Row],[New Pos R]])</f>
        <v>6</v>
      </c>
      <c r="H3706">
        <f>IF(AND(Table13[[#This Row],[Direction]]="L",Table13[[#This Row],[Steps]]&gt;G3705,G3705&lt;&gt;0),1,0)</f>
        <v>0</v>
      </c>
      <c r="I3706">
        <f>IF(AND(Table13[[#This Row],[Direction]]="R",(G3705+Table13[[#This Row],[Steps]])&gt;100),1,0)</f>
        <v>0</v>
      </c>
      <c r="J3706">
        <f>IF(Table13[[#This Row],[POS]]=0,1,0)</f>
        <v>0</v>
      </c>
      <c r="K3706">
        <f>SUM(Table13[[#This Row],[prefix]],Table13[[#This Row],[Past zero L]],Table13[[#This Row],[Past Zero R]],Table13[[#This Row],[Is Zero]])</f>
        <v>5</v>
      </c>
    </row>
    <row r="3707" spans="1:11" ht="16" x14ac:dyDescent="0.2">
      <c r="A3707" s="1" t="s">
        <v>253</v>
      </c>
      <c r="B3707" t="str">
        <f>LEFT(Table13[[#This Row],[Input]],1)</f>
        <v>R</v>
      </c>
      <c r="C3707">
        <f>_xlfn.LET(_xlpm.steps,SUBSTITUTE(Table13[[#This Row],[Input]],Table13[[#This Row],[Direction]],""),VALUE(IF(LEN(_xlpm.steps)&gt;2,RIGHT(_xlpm.steps,2),_xlpm.steps)))</f>
        <v>94</v>
      </c>
      <c r="D3707">
        <f>_xlfn.LET(_xlpm.steps,SUBSTITUTE(Table13[[#This Row],[Input]],Table13[[#This Row],[Direction]],""),VALUE(IF(LEN(_xlpm.steps)&gt;2,LEFT(_xlpm.steps,LEN(_xlpm.steps)-2),0)))</f>
        <v>0</v>
      </c>
      <c r="E3707">
        <f>_xlfn.LET(_xlpm.dir,Table13[[#This Row],[Direction]],
IF(_xlpm.dir="L",
    IF(G3706-Table13[[#This Row],[Steps]]&lt;0,100+(G3706-Table13[[#This Row],[Steps]]),G3706-Table13[[#This Row],[Steps]]),
))</f>
        <v>0</v>
      </c>
      <c r="F3707">
        <f>_xlfn.LET(_xlpm.dir,Table13[[#This Row],[Direction]],
IF(_xlpm.dir="R",
    IF(G3706+Table13[[#This Row],[Steps]]&gt;99,(G3706+Table13[[#This Row],[Steps]])-100,G3706+Table13[[#This Row],[Steps]]),
))</f>
        <v>0</v>
      </c>
      <c r="G3707">
        <f>IF(Table13[[#This Row],[New Pos L]]&lt;&gt;0,Table13[[#This Row],[New Pos L]],Table13[[#This Row],[New Pos R]])</f>
        <v>0</v>
      </c>
      <c r="H3707">
        <f>IF(AND(Table13[[#This Row],[Direction]]="L",Table13[[#This Row],[Steps]]&gt;G3706,G3706&lt;&gt;0),1,0)</f>
        <v>0</v>
      </c>
      <c r="I3707">
        <f>IF(AND(Table13[[#This Row],[Direction]]="R",(G3706+Table13[[#This Row],[Steps]])&gt;100),1,0)</f>
        <v>0</v>
      </c>
      <c r="J3707">
        <f>IF(Table13[[#This Row],[POS]]=0,1,0)</f>
        <v>1</v>
      </c>
      <c r="K3707">
        <f>SUM(Table13[[#This Row],[prefix]],Table13[[#This Row],[Past zero L]],Table13[[#This Row],[Past Zero R]],Table13[[#This Row],[Is Zero]])</f>
        <v>1</v>
      </c>
    </row>
    <row r="3708" spans="1:11" ht="16" x14ac:dyDescent="0.2">
      <c r="A3708" s="1" t="s">
        <v>226</v>
      </c>
      <c r="B3708" t="str">
        <f>LEFT(Table13[[#This Row],[Input]],1)</f>
        <v>L</v>
      </c>
      <c r="C3708">
        <f>_xlfn.LET(_xlpm.steps,SUBSTITUTE(Table13[[#This Row],[Input]],Table13[[#This Row],[Direction]],""),VALUE(IF(LEN(_xlpm.steps)&gt;2,RIGHT(_xlpm.steps,2),_xlpm.steps)))</f>
        <v>31</v>
      </c>
      <c r="D3708">
        <f>_xlfn.LET(_xlpm.steps,SUBSTITUTE(Table13[[#This Row],[Input]],Table13[[#This Row],[Direction]],""),VALUE(IF(LEN(_xlpm.steps)&gt;2,LEFT(_xlpm.steps,LEN(_xlpm.steps)-2),0)))</f>
        <v>0</v>
      </c>
      <c r="E3708">
        <f>_xlfn.LET(_xlpm.dir,Table13[[#This Row],[Direction]],
IF(_xlpm.dir="L",
    IF(G3707-Table13[[#This Row],[Steps]]&lt;0,100+(G3707-Table13[[#This Row],[Steps]]),G3707-Table13[[#This Row],[Steps]]),
))</f>
        <v>69</v>
      </c>
      <c r="F3708">
        <f>_xlfn.LET(_xlpm.dir,Table13[[#This Row],[Direction]],
IF(_xlpm.dir="R",
    IF(G3707+Table13[[#This Row],[Steps]]&gt;99,(G3707+Table13[[#This Row],[Steps]])-100,G3707+Table13[[#This Row],[Steps]]),
))</f>
        <v>0</v>
      </c>
      <c r="G3708">
        <f>IF(Table13[[#This Row],[New Pos L]]&lt;&gt;0,Table13[[#This Row],[New Pos L]],Table13[[#This Row],[New Pos R]])</f>
        <v>69</v>
      </c>
      <c r="H3708">
        <f>IF(AND(Table13[[#This Row],[Direction]]="L",Table13[[#This Row],[Steps]]&gt;G3707,G3707&lt;&gt;0),1,0)</f>
        <v>0</v>
      </c>
      <c r="I3708">
        <f>IF(AND(Table13[[#This Row],[Direction]]="R",(G3707+Table13[[#This Row],[Steps]])&gt;100),1,0)</f>
        <v>0</v>
      </c>
      <c r="J3708">
        <f>IF(Table13[[#This Row],[POS]]=0,1,0)</f>
        <v>0</v>
      </c>
      <c r="K3708">
        <f>SUM(Table13[[#This Row],[prefix]],Table13[[#This Row],[Past zero L]],Table13[[#This Row],[Past Zero R]],Table13[[#This Row],[Is Zero]])</f>
        <v>0</v>
      </c>
    </row>
    <row r="3709" spans="1:11" ht="16" x14ac:dyDescent="0.2">
      <c r="A3709" s="1" t="s">
        <v>121</v>
      </c>
      <c r="B3709" t="str">
        <f>LEFT(Table13[[#This Row],[Input]],1)</f>
        <v>L</v>
      </c>
      <c r="C3709">
        <f>_xlfn.LET(_xlpm.steps,SUBSTITUTE(Table13[[#This Row],[Input]],Table13[[#This Row],[Direction]],""),VALUE(IF(LEN(_xlpm.steps)&gt;2,RIGHT(_xlpm.steps,2),_xlpm.steps)))</f>
        <v>69</v>
      </c>
      <c r="D3709">
        <f>_xlfn.LET(_xlpm.steps,SUBSTITUTE(Table13[[#This Row],[Input]],Table13[[#This Row],[Direction]],""),VALUE(IF(LEN(_xlpm.steps)&gt;2,LEFT(_xlpm.steps,LEN(_xlpm.steps)-2),0)))</f>
        <v>0</v>
      </c>
      <c r="E3709">
        <f>_xlfn.LET(_xlpm.dir,Table13[[#This Row],[Direction]],
IF(_xlpm.dir="L",
    IF(G3708-Table13[[#This Row],[Steps]]&lt;0,100+(G3708-Table13[[#This Row],[Steps]]),G3708-Table13[[#This Row],[Steps]]),
))</f>
        <v>0</v>
      </c>
      <c r="F3709">
        <f>_xlfn.LET(_xlpm.dir,Table13[[#This Row],[Direction]],
IF(_xlpm.dir="R",
    IF(G3708+Table13[[#This Row],[Steps]]&gt;99,(G3708+Table13[[#This Row],[Steps]])-100,G3708+Table13[[#This Row],[Steps]]),
))</f>
        <v>0</v>
      </c>
      <c r="G3709">
        <f>IF(Table13[[#This Row],[New Pos L]]&lt;&gt;0,Table13[[#This Row],[New Pos L]],Table13[[#This Row],[New Pos R]])</f>
        <v>0</v>
      </c>
      <c r="H3709">
        <f>IF(AND(Table13[[#This Row],[Direction]]="L",Table13[[#This Row],[Steps]]&gt;G3708,G3708&lt;&gt;0),1,0)</f>
        <v>0</v>
      </c>
      <c r="I3709">
        <f>IF(AND(Table13[[#This Row],[Direction]]="R",(G3708+Table13[[#This Row],[Steps]])&gt;100),1,0)</f>
        <v>0</v>
      </c>
      <c r="J3709">
        <f>IF(Table13[[#This Row],[POS]]=0,1,0)</f>
        <v>1</v>
      </c>
      <c r="K3709">
        <f>SUM(Table13[[#This Row],[prefix]],Table13[[#This Row],[Past zero L]],Table13[[#This Row],[Past Zero R]],Table13[[#This Row],[Is Zero]])</f>
        <v>1</v>
      </c>
    </row>
    <row r="3710" spans="1:11" ht="16" x14ac:dyDescent="0.2">
      <c r="A3710" s="1" t="s">
        <v>364</v>
      </c>
      <c r="B3710" t="str">
        <f>LEFT(Table13[[#This Row],[Input]],1)</f>
        <v>L</v>
      </c>
      <c r="C3710">
        <f>_xlfn.LET(_xlpm.steps,SUBSTITUTE(Table13[[#This Row],[Input]],Table13[[#This Row],[Direction]],""),VALUE(IF(LEN(_xlpm.steps)&gt;2,RIGHT(_xlpm.steps,2),_xlpm.steps)))</f>
        <v>70</v>
      </c>
      <c r="D3710">
        <f>_xlfn.LET(_xlpm.steps,SUBSTITUTE(Table13[[#This Row],[Input]],Table13[[#This Row],[Direction]],""),VALUE(IF(LEN(_xlpm.steps)&gt;2,LEFT(_xlpm.steps,LEN(_xlpm.steps)-2),0)))</f>
        <v>0</v>
      </c>
      <c r="E3710">
        <f>_xlfn.LET(_xlpm.dir,Table13[[#This Row],[Direction]],
IF(_xlpm.dir="L",
    IF(G3709-Table13[[#This Row],[Steps]]&lt;0,100+(G3709-Table13[[#This Row],[Steps]]),G3709-Table13[[#This Row],[Steps]]),
))</f>
        <v>30</v>
      </c>
      <c r="F3710">
        <f>_xlfn.LET(_xlpm.dir,Table13[[#This Row],[Direction]],
IF(_xlpm.dir="R",
    IF(G3709+Table13[[#This Row],[Steps]]&gt;99,(G3709+Table13[[#This Row],[Steps]])-100,G3709+Table13[[#This Row],[Steps]]),
))</f>
        <v>0</v>
      </c>
      <c r="G3710">
        <f>IF(Table13[[#This Row],[New Pos L]]&lt;&gt;0,Table13[[#This Row],[New Pos L]],Table13[[#This Row],[New Pos R]])</f>
        <v>30</v>
      </c>
      <c r="H3710">
        <f>IF(AND(Table13[[#This Row],[Direction]]="L",Table13[[#This Row],[Steps]]&gt;G3709,G3709&lt;&gt;0),1,0)</f>
        <v>0</v>
      </c>
      <c r="I3710">
        <f>IF(AND(Table13[[#This Row],[Direction]]="R",(G3709+Table13[[#This Row],[Steps]])&gt;100),1,0)</f>
        <v>0</v>
      </c>
      <c r="J3710">
        <f>IF(Table13[[#This Row],[POS]]=0,1,0)</f>
        <v>0</v>
      </c>
      <c r="K3710">
        <f>SUM(Table13[[#This Row],[prefix]],Table13[[#This Row],[Past zero L]],Table13[[#This Row],[Past Zero R]],Table13[[#This Row],[Is Zero]])</f>
        <v>0</v>
      </c>
    </row>
    <row r="3711" spans="1:11" ht="16" x14ac:dyDescent="0.2">
      <c r="A3711" s="1" t="s">
        <v>79</v>
      </c>
      <c r="B3711" t="str">
        <f>LEFT(Table13[[#This Row],[Input]],1)</f>
        <v>L</v>
      </c>
      <c r="C3711">
        <f>_xlfn.LET(_xlpm.steps,SUBSTITUTE(Table13[[#This Row],[Input]],Table13[[#This Row],[Direction]],""),VALUE(IF(LEN(_xlpm.steps)&gt;2,RIGHT(_xlpm.steps,2),_xlpm.steps)))</f>
        <v>45</v>
      </c>
      <c r="D3711">
        <f>_xlfn.LET(_xlpm.steps,SUBSTITUTE(Table13[[#This Row],[Input]],Table13[[#This Row],[Direction]],""),VALUE(IF(LEN(_xlpm.steps)&gt;2,LEFT(_xlpm.steps,LEN(_xlpm.steps)-2),0)))</f>
        <v>0</v>
      </c>
      <c r="E3711">
        <f>_xlfn.LET(_xlpm.dir,Table13[[#This Row],[Direction]],
IF(_xlpm.dir="L",
    IF(G3710-Table13[[#This Row],[Steps]]&lt;0,100+(G3710-Table13[[#This Row],[Steps]]),G3710-Table13[[#This Row],[Steps]]),
))</f>
        <v>85</v>
      </c>
      <c r="F3711">
        <f>_xlfn.LET(_xlpm.dir,Table13[[#This Row],[Direction]],
IF(_xlpm.dir="R",
    IF(G3710+Table13[[#This Row],[Steps]]&gt;99,(G3710+Table13[[#This Row],[Steps]])-100,G3710+Table13[[#This Row],[Steps]]),
))</f>
        <v>0</v>
      </c>
      <c r="G3711">
        <f>IF(Table13[[#This Row],[New Pos L]]&lt;&gt;0,Table13[[#This Row],[New Pos L]],Table13[[#This Row],[New Pos R]])</f>
        <v>85</v>
      </c>
      <c r="H3711">
        <f>IF(AND(Table13[[#This Row],[Direction]]="L",Table13[[#This Row],[Steps]]&gt;G3710,G3710&lt;&gt;0),1,0)</f>
        <v>1</v>
      </c>
      <c r="I3711">
        <f>IF(AND(Table13[[#This Row],[Direction]]="R",(G3710+Table13[[#This Row],[Steps]])&gt;100),1,0)</f>
        <v>0</v>
      </c>
      <c r="J3711">
        <f>IF(Table13[[#This Row],[POS]]=0,1,0)</f>
        <v>0</v>
      </c>
      <c r="K3711">
        <f>SUM(Table13[[#This Row],[prefix]],Table13[[#This Row],[Past zero L]],Table13[[#This Row],[Past Zero R]],Table13[[#This Row],[Is Zero]])</f>
        <v>1</v>
      </c>
    </row>
    <row r="3712" spans="1:11" ht="16" x14ac:dyDescent="0.2">
      <c r="A3712" s="1" t="s">
        <v>38</v>
      </c>
      <c r="B3712" t="str">
        <f>LEFT(Table13[[#This Row],[Input]],1)</f>
        <v>R</v>
      </c>
      <c r="C3712">
        <f>_xlfn.LET(_xlpm.steps,SUBSTITUTE(Table13[[#This Row],[Input]],Table13[[#This Row],[Direction]],""),VALUE(IF(LEN(_xlpm.steps)&gt;2,RIGHT(_xlpm.steps,2),_xlpm.steps)))</f>
        <v>15</v>
      </c>
      <c r="D3712">
        <f>_xlfn.LET(_xlpm.steps,SUBSTITUTE(Table13[[#This Row],[Input]],Table13[[#This Row],[Direction]],""),VALUE(IF(LEN(_xlpm.steps)&gt;2,LEFT(_xlpm.steps,LEN(_xlpm.steps)-2),0)))</f>
        <v>0</v>
      </c>
      <c r="E3712">
        <f>_xlfn.LET(_xlpm.dir,Table13[[#This Row],[Direction]],
IF(_xlpm.dir="L",
    IF(G3711-Table13[[#This Row],[Steps]]&lt;0,100+(G3711-Table13[[#This Row],[Steps]]),G3711-Table13[[#This Row],[Steps]]),
))</f>
        <v>0</v>
      </c>
      <c r="F3712">
        <f>_xlfn.LET(_xlpm.dir,Table13[[#This Row],[Direction]],
IF(_xlpm.dir="R",
    IF(G3711+Table13[[#This Row],[Steps]]&gt;99,(G3711+Table13[[#This Row],[Steps]])-100,G3711+Table13[[#This Row],[Steps]]),
))</f>
        <v>0</v>
      </c>
      <c r="G3712">
        <f>IF(Table13[[#This Row],[New Pos L]]&lt;&gt;0,Table13[[#This Row],[New Pos L]],Table13[[#This Row],[New Pos R]])</f>
        <v>0</v>
      </c>
      <c r="H3712">
        <f>IF(AND(Table13[[#This Row],[Direction]]="L",Table13[[#This Row],[Steps]]&gt;G3711,G3711&lt;&gt;0),1,0)</f>
        <v>0</v>
      </c>
      <c r="I3712">
        <f>IF(AND(Table13[[#This Row],[Direction]]="R",(G3711+Table13[[#This Row],[Steps]])&gt;100),1,0)</f>
        <v>0</v>
      </c>
      <c r="J3712">
        <f>IF(Table13[[#This Row],[POS]]=0,1,0)</f>
        <v>1</v>
      </c>
      <c r="K3712">
        <f>SUM(Table13[[#This Row],[prefix]],Table13[[#This Row],[Past zero L]],Table13[[#This Row],[Past Zero R]],Table13[[#This Row],[Is Zero]])</f>
        <v>1</v>
      </c>
    </row>
    <row r="3713" spans="1:11" ht="16" x14ac:dyDescent="0.2">
      <c r="A3713" s="1" t="s">
        <v>36</v>
      </c>
      <c r="B3713" t="str">
        <f>LEFT(Table13[[#This Row],[Input]],1)</f>
        <v>R</v>
      </c>
      <c r="C3713">
        <f>_xlfn.LET(_xlpm.steps,SUBSTITUTE(Table13[[#This Row],[Input]],Table13[[#This Row],[Direction]],""),VALUE(IF(LEN(_xlpm.steps)&gt;2,RIGHT(_xlpm.steps,2),_xlpm.steps)))</f>
        <v>50</v>
      </c>
      <c r="D3713">
        <f>_xlfn.LET(_xlpm.steps,SUBSTITUTE(Table13[[#This Row],[Input]],Table13[[#This Row],[Direction]],""),VALUE(IF(LEN(_xlpm.steps)&gt;2,LEFT(_xlpm.steps,LEN(_xlpm.steps)-2),0)))</f>
        <v>0</v>
      </c>
      <c r="E3713">
        <f>_xlfn.LET(_xlpm.dir,Table13[[#This Row],[Direction]],
IF(_xlpm.dir="L",
    IF(G3712-Table13[[#This Row],[Steps]]&lt;0,100+(G3712-Table13[[#This Row],[Steps]]),G3712-Table13[[#This Row],[Steps]]),
))</f>
        <v>0</v>
      </c>
      <c r="F3713">
        <f>_xlfn.LET(_xlpm.dir,Table13[[#This Row],[Direction]],
IF(_xlpm.dir="R",
    IF(G3712+Table13[[#This Row],[Steps]]&gt;99,(G3712+Table13[[#This Row],[Steps]])-100,G3712+Table13[[#This Row],[Steps]]),
))</f>
        <v>50</v>
      </c>
      <c r="G3713">
        <f>IF(Table13[[#This Row],[New Pos L]]&lt;&gt;0,Table13[[#This Row],[New Pos L]],Table13[[#This Row],[New Pos R]])</f>
        <v>50</v>
      </c>
      <c r="H3713">
        <f>IF(AND(Table13[[#This Row],[Direction]]="L",Table13[[#This Row],[Steps]]&gt;G3712,G3712&lt;&gt;0),1,0)</f>
        <v>0</v>
      </c>
      <c r="I3713">
        <f>IF(AND(Table13[[#This Row],[Direction]]="R",(G3712+Table13[[#This Row],[Steps]])&gt;100),1,0)</f>
        <v>0</v>
      </c>
      <c r="J3713">
        <f>IF(Table13[[#This Row],[POS]]=0,1,0)</f>
        <v>0</v>
      </c>
      <c r="K3713">
        <f>SUM(Table13[[#This Row],[prefix]],Table13[[#This Row],[Past zero L]],Table13[[#This Row],[Past Zero R]],Table13[[#This Row],[Is Zero]])</f>
        <v>0</v>
      </c>
    </row>
    <row r="3714" spans="1:11" ht="16" x14ac:dyDescent="0.2">
      <c r="A3714" s="1" t="s">
        <v>17</v>
      </c>
      <c r="B3714" t="str">
        <f>LEFT(Table13[[#This Row],[Input]],1)</f>
        <v>L</v>
      </c>
      <c r="C3714">
        <f>_xlfn.LET(_xlpm.steps,SUBSTITUTE(Table13[[#This Row],[Input]],Table13[[#This Row],[Direction]],""),VALUE(IF(LEN(_xlpm.steps)&gt;2,RIGHT(_xlpm.steps,2),_xlpm.steps)))</f>
        <v>50</v>
      </c>
      <c r="D3714">
        <f>_xlfn.LET(_xlpm.steps,SUBSTITUTE(Table13[[#This Row],[Input]],Table13[[#This Row],[Direction]],""),VALUE(IF(LEN(_xlpm.steps)&gt;2,LEFT(_xlpm.steps,LEN(_xlpm.steps)-2),0)))</f>
        <v>0</v>
      </c>
      <c r="E3714">
        <f>_xlfn.LET(_xlpm.dir,Table13[[#This Row],[Direction]],
IF(_xlpm.dir="L",
    IF(G3713-Table13[[#This Row],[Steps]]&lt;0,100+(G3713-Table13[[#This Row],[Steps]]),G3713-Table13[[#This Row],[Steps]]),
))</f>
        <v>0</v>
      </c>
      <c r="F3714">
        <f>_xlfn.LET(_xlpm.dir,Table13[[#This Row],[Direction]],
IF(_xlpm.dir="R",
    IF(G3713+Table13[[#This Row],[Steps]]&gt;99,(G3713+Table13[[#This Row],[Steps]])-100,G3713+Table13[[#This Row],[Steps]]),
))</f>
        <v>0</v>
      </c>
      <c r="G3714">
        <f>IF(Table13[[#This Row],[New Pos L]]&lt;&gt;0,Table13[[#This Row],[New Pos L]],Table13[[#This Row],[New Pos R]])</f>
        <v>0</v>
      </c>
      <c r="H3714">
        <f>IF(AND(Table13[[#This Row],[Direction]]="L",Table13[[#This Row],[Steps]]&gt;G3713,G3713&lt;&gt;0),1,0)</f>
        <v>0</v>
      </c>
      <c r="I3714">
        <f>IF(AND(Table13[[#This Row],[Direction]]="R",(G3713+Table13[[#This Row],[Steps]])&gt;100),1,0)</f>
        <v>0</v>
      </c>
      <c r="J3714">
        <f>IF(Table13[[#This Row],[POS]]=0,1,0)</f>
        <v>1</v>
      </c>
      <c r="K3714">
        <f>SUM(Table13[[#This Row],[prefix]],Table13[[#This Row],[Past zero L]],Table13[[#This Row],[Past Zero R]],Table13[[#This Row],[Is Zero]])</f>
        <v>1</v>
      </c>
    </row>
    <row r="3715" spans="1:11" ht="16" x14ac:dyDescent="0.2">
      <c r="A3715" s="1" t="s">
        <v>264</v>
      </c>
      <c r="B3715" t="str">
        <f>LEFT(Table13[[#This Row],[Input]],1)</f>
        <v>L</v>
      </c>
      <c r="C3715">
        <f>_xlfn.LET(_xlpm.steps,SUBSTITUTE(Table13[[#This Row],[Input]],Table13[[#This Row],[Direction]],""),VALUE(IF(LEN(_xlpm.steps)&gt;2,RIGHT(_xlpm.steps,2),_xlpm.steps)))</f>
        <v>21</v>
      </c>
      <c r="D3715">
        <f>_xlfn.LET(_xlpm.steps,SUBSTITUTE(Table13[[#This Row],[Input]],Table13[[#This Row],[Direction]],""),VALUE(IF(LEN(_xlpm.steps)&gt;2,LEFT(_xlpm.steps,LEN(_xlpm.steps)-2),0)))</f>
        <v>0</v>
      </c>
      <c r="E3715">
        <f>_xlfn.LET(_xlpm.dir,Table13[[#This Row],[Direction]],
IF(_xlpm.dir="L",
    IF(G3714-Table13[[#This Row],[Steps]]&lt;0,100+(G3714-Table13[[#This Row],[Steps]]),G3714-Table13[[#This Row],[Steps]]),
))</f>
        <v>79</v>
      </c>
      <c r="F3715">
        <f>_xlfn.LET(_xlpm.dir,Table13[[#This Row],[Direction]],
IF(_xlpm.dir="R",
    IF(G3714+Table13[[#This Row],[Steps]]&gt;99,(G3714+Table13[[#This Row],[Steps]])-100,G3714+Table13[[#This Row],[Steps]]),
))</f>
        <v>0</v>
      </c>
      <c r="G3715">
        <f>IF(Table13[[#This Row],[New Pos L]]&lt;&gt;0,Table13[[#This Row],[New Pos L]],Table13[[#This Row],[New Pos R]])</f>
        <v>79</v>
      </c>
      <c r="H3715">
        <f>IF(AND(Table13[[#This Row],[Direction]]="L",Table13[[#This Row],[Steps]]&gt;G3714,G3714&lt;&gt;0),1,0)</f>
        <v>0</v>
      </c>
      <c r="I3715">
        <f>IF(AND(Table13[[#This Row],[Direction]]="R",(G3714+Table13[[#This Row],[Steps]])&gt;100),1,0)</f>
        <v>0</v>
      </c>
      <c r="J3715">
        <f>IF(Table13[[#This Row],[POS]]=0,1,0)</f>
        <v>0</v>
      </c>
      <c r="K3715">
        <f>SUM(Table13[[#This Row],[prefix]],Table13[[#This Row],[Past zero L]],Table13[[#This Row],[Past Zero R]],Table13[[#This Row],[Is Zero]])</f>
        <v>0</v>
      </c>
    </row>
    <row r="3716" spans="1:11" ht="16" x14ac:dyDescent="0.2">
      <c r="A3716" s="1" t="s">
        <v>34</v>
      </c>
      <c r="B3716" t="str">
        <f>LEFT(Table13[[#This Row],[Input]],1)</f>
        <v>L</v>
      </c>
      <c r="C3716">
        <f>_xlfn.LET(_xlpm.steps,SUBSTITUTE(Table13[[#This Row],[Input]],Table13[[#This Row],[Direction]],""),VALUE(IF(LEN(_xlpm.steps)&gt;2,RIGHT(_xlpm.steps,2),_xlpm.steps)))</f>
        <v>15</v>
      </c>
      <c r="D3716">
        <f>_xlfn.LET(_xlpm.steps,SUBSTITUTE(Table13[[#This Row],[Input]],Table13[[#This Row],[Direction]],""),VALUE(IF(LEN(_xlpm.steps)&gt;2,LEFT(_xlpm.steps,LEN(_xlpm.steps)-2),0)))</f>
        <v>0</v>
      </c>
      <c r="E3716">
        <f>_xlfn.LET(_xlpm.dir,Table13[[#This Row],[Direction]],
IF(_xlpm.dir="L",
    IF(G3715-Table13[[#This Row],[Steps]]&lt;0,100+(G3715-Table13[[#This Row],[Steps]]),G3715-Table13[[#This Row],[Steps]]),
))</f>
        <v>64</v>
      </c>
      <c r="F3716">
        <f>_xlfn.LET(_xlpm.dir,Table13[[#This Row],[Direction]],
IF(_xlpm.dir="R",
    IF(G3715+Table13[[#This Row],[Steps]]&gt;99,(G3715+Table13[[#This Row],[Steps]])-100,G3715+Table13[[#This Row],[Steps]]),
))</f>
        <v>0</v>
      </c>
      <c r="G3716">
        <f>IF(Table13[[#This Row],[New Pos L]]&lt;&gt;0,Table13[[#This Row],[New Pos L]],Table13[[#This Row],[New Pos R]])</f>
        <v>64</v>
      </c>
      <c r="H3716">
        <f>IF(AND(Table13[[#This Row],[Direction]]="L",Table13[[#This Row],[Steps]]&gt;G3715,G3715&lt;&gt;0),1,0)</f>
        <v>0</v>
      </c>
      <c r="I3716">
        <f>IF(AND(Table13[[#This Row],[Direction]]="R",(G3715+Table13[[#This Row],[Steps]])&gt;100),1,0)</f>
        <v>0</v>
      </c>
      <c r="J3716">
        <f>IF(Table13[[#This Row],[POS]]=0,1,0)</f>
        <v>0</v>
      </c>
      <c r="K3716">
        <f>SUM(Table13[[#This Row],[prefix]],Table13[[#This Row],[Past zero L]],Table13[[#This Row],[Past Zero R]],Table13[[#This Row],[Is Zero]])</f>
        <v>0</v>
      </c>
    </row>
    <row r="3717" spans="1:11" ht="16" x14ac:dyDescent="0.2">
      <c r="A3717" s="1" t="s">
        <v>784</v>
      </c>
      <c r="B3717" t="str">
        <f>LEFT(Table13[[#This Row],[Input]],1)</f>
        <v>R</v>
      </c>
      <c r="C3717">
        <f>_xlfn.LET(_xlpm.steps,SUBSTITUTE(Table13[[#This Row],[Input]],Table13[[#This Row],[Direction]],""),VALUE(IF(LEN(_xlpm.steps)&gt;2,RIGHT(_xlpm.steps,2),_xlpm.steps)))</f>
        <v>36</v>
      </c>
      <c r="D3717">
        <f>_xlfn.LET(_xlpm.steps,SUBSTITUTE(Table13[[#This Row],[Input]],Table13[[#This Row],[Direction]],""),VALUE(IF(LEN(_xlpm.steps)&gt;2,LEFT(_xlpm.steps,LEN(_xlpm.steps)-2),0)))</f>
        <v>5</v>
      </c>
      <c r="E3717">
        <f>_xlfn.LET(_xlpm.dir,Table13[[#This Row],[Direction]],
IF(_xlpm.dir="L",
    IF(G3716-Table13[[#This Row],[Steps]]&lt;0,100+(G3716-Table13[[#This Row],[Steps]]),G3716-Table13[[#This Row],[Steps]]),
))</f>
        <v>0</v>
      </c>
      <c r="F3717">
        <f>_xlfn.LET(_xlpm.dir,Table13[[#This Row],[Direction]],
IF(_xlpm.dir="R",
    IF(G3716+Table13[[#This Row],[Steps]]&gt;99,(G3716+Table13[[#This Row],[Steps]])-100,G3716+Table13[[#This Row],[Steps]]),
))</f>
        <v>0</v>
      </c>
      <c r="G3717">
        <f>IF(Table13[[#This Row],[New Pos L]]&lt;&gt;0,Table13[[#This Row],[New Pos L]],Table13[[#This Row],[New Pos R]])</f>
        <v>0</v>
      </c>
      <c r="H3717">
        <f>IF(AND(Table13[[#This Row],[Direction]]="L",Table13[[#This Row],[Steps]]&gt;G3716,G3716&lt;&gt;0),1,0)</f>
        <v>0</v>
      </c>
      <c r="I3717">
        <f>IF(AND(Table13[[#This Row],[Direction]]="R",(G3716+Table13[[#This Row],[Steps]])&gt;100),1,0)</f>
        <v>0</v>
      </c>
      <c r="J3717">
        <f>IF(Table13[[#This Row],[POS]]=0,1,0)</f>
        <v>1</v>
      </c>
      <c r="K3717">
        <f>SUM(Table13[[#This Row],[prefix]],Table13[[#This Row],[Past zero L]],Table13[[#This Row],[Past Zero R]],Table13[[#This Row],[Is Zero]])</f>
        <v>6</v>
      </c>
    </row>
    <row r="3718" spans="1:11" ht="16" x14ac:dyDescent="0.2">
      <c r="A3718" s="1" t="s">
        <v>785</v>
      </c>
      <c r="B3718" t="str">
        <f>LEFT(Table13[[#This Row],[Input]],1)</f>
        <v>R</v>
      </c>
      <c r="C3718">
        <f>_xlfn.LET(_xlpm.steps,SUBSTITUTE(Table13[[#This Row],[Input]],Table13[[#This Row],[Direction]],""),VALUE(IF(LEN(_xlpm.steps)&gt;2,RIGHT(_xlpm.steps,2),_xlpm.steps)))</f>
        <v>65</v>
      </c>
      <c r="D3718">
        <f>_xlfn.LET(_xlpm.steps,SUBSTITUTE(Table13[[#This Row],[Input]],Table13[[#This Row],[Direction]],""),VALUE(IF(LEN(_xlpm.steps)&gt;2,LEFT(_xlpm.steps,LEN(_xlpm.steps)-2),0)))</f>
        <v>7</v>
      </c>
      <c r="E3718">
        <f>_xlfn.LET(_xlpm.dir,Table13[[#This Row],[Direction]],
IF(_xlpm.dir="L",
    IF(G3717-Table13[[#This Row],[Steps]]&lt;0,100+(G3717-Table13[[#This Row],[Steps]]),G3717-Table13[[#This Row],[Steps]]),
))</f>
        <v>0</v>
      </c>
      <c r="F3718">
        <f>_xlfn.LET(_xlpm.dir,Table13[[#This Row],[Direction]],
IF(_xlpm.dir="R",
    IF(G3717+Table13[[#This Row],[Steps]]&gt;99,(G3717+Table13[[#This Row],[Steps]])-100,G3717+Table13[[#This Row],[Steps]]),
))</f>
        <v>65</v>
      </c>
      <c r="G3718">
        <f>IF(Table13[[#This Row],[New Pos L]]&lt;&gt;0,Table13[[#This Row],[New Pos L]],Table13[[#This Row],[New Pos R]])</f>
        <v>65</v>
      </c>
      <c r="H3718">
        <f>IF(AND(Table13[[#This Row],[Direction]]="L",Table13[[#This Row],[Steps]]&gt;G3717,G3717&lt;&gt;0),1,0)</f>
        <v>0</v>
      </c>
      <c r="I3718">
        <f>IF(AND(Table13[[#This Row],[Direction]]="R",(G3717+Table13[[#This Row],[Steps]])&gt;100),1,0)</f>
        <v>0</v>
      </c>
      <c r="J3718">
        <f>IF(Table13[[#This Row],[POS]]=0,1,0)</f>
        <v>0</v>
      </c>
      <c r="K3718">
        <f>SUM(Table13[[#This Row],[prefix]],Table13[[#This Row],[Past zero L]],Table13[[#This Row],[Past Zero R]],Table13[[#This Row],[Is Zero]])</f>
        <v>7</v>
      </c>
    </row>
    <row r="3719" spans="1:11" ht="16" x14ac:dyDescent="0.2">
      <c r="A3719" s="1" t="s">
        <v>68</v>
      </c>
      <c r="B3719" t="str">
        <f>LEFT(Table13[[#This Row],[Input]],1)</f>
        <v>L</v>
      </c>
      <c r="C3719">
        <f>_xlfn.LET(_xlpm.steps,SUBSTITUTE(Table13[[#This Row],[Input]],Table13[[#This Row],[Direction]],""),VALUE(IF(LEN(_xlpm.steps)&gt;2,RIGHT(_xlpm.steps,2),_xlpm.steps)))</f>
        <v>80</v>
      </c>
      <c r="D3719">
        <f>_xlfn.LET(_xlpm.steps,SUBSTITUTE(Table13[[#This Row],[Input]],Table13[[#This Row],[Direction]],""),VALUE(IF(LEN(_xlpm.steps)&gt;2,LEFT(_xlpm.steps,LEN(_xlpm.steps)-2),0)))</f>
        <v>0</v>
      </c>
      <c r="E3719">
        <f>_xlfn.LET(_xlpm.dir,Table13[[#This Row],[Direction]],
IF(_xlpm.dir="L",
    IF(G3718-Table13[[#This Row],[Steps]]&lt;0,100+(G3718-Table13[[#This Row],[Steps]]),G3718-Table13[[#This Row],[Steps]]),
))</f>
        <v>85</v>
      </c>
      <c r="F3719">
        <f>_xlfn.LET(_xlpm.dir,Table13[[#This Row],[Direction]],
IF(_xlpm.dir="R",
    IF(G3718+Table13[[#This Row],[Steps]]&gt;99,(G3718+Table13[[#This Row],[Steps]])-100,G3718+Table13[[#This Row],[Steps]]),
))</f>
        <v>0</v>
      </c>
      <c r="G3719">
        <f>IF(Table13[[#This Row],[New Pos L]]&lt;&gt;0,Table13[[#This Row],[New Pos L]],Table13[[#This Row],[New Pos R]])</f>
        <v>85</v>
      </c>
      <c r="H3719">
        <f>IF(AND(Table13[[#This Row],[Direction]]="L",Table13[[#This Row],[Steps]]&gt;G3718,G3718&lt;&gt;0),1,0)</f>
        <v>1</v>
      </c>
      <c r="I3719">
        <f>IF(AND(Table13[[#This Row],[Direction]]="R",(G3718+Table13[[#This Row],[Steps]])&gt;100),1,0)</f>
        <v>0</v>
      </c>
      <c r="J3719">
        <f>IF(Table13[[#This Row],[POS]]=0,1,0)</f>
        <v>0</v>
      </c>
      <c r="K3719">
        <f>SUM(Table13[[#This Row],[prefix]],Table13[[#This Row],[Past zero L]],Table13[[#This Row],[Past Zero R]],Table13[[#This Row],[Is Zero]])</f>
        <v>1</v>
      </c>
    </row>
    <row r="3720" spans="1:11" ht="16" x14ac:dyDescent="0.2">
      <c r="A3720" s="1" t="s">
        <v>786</v>
      </c>
      <c r="B3720" t="str">
        <f>LEFT(Table13[[#This Row],[Input]],1)</f>
        <v>L</v>
      </c>
      <c r="C3720">
        <f>_xlfn.LET(_xlpm.steps,SUBSTITUTE(Table13[[#This Row],[Input]],Table13[[#This Row],[Direction]],""),VALUE(IF(LEN(_xlpm.steps)&gt;2,RIGHT(_xlpm.steps,2),_xlpm.steps)))</f>
        <v>99</v>
      </c>
      <c r="D3720">
        <f>_xlfn.LET(_xlpm.steps,SUBSTITUTE(Table13[[#This Row],[Input]],Table13[[#This Row],[Direction]],""),VALUE(IF(LEN(_xlpm.steps)&gt;2,LEFT(_xlpm.steps,LEN(_xlpm.steps)-2),0)))</f>
        <v>5</v>
      </c>
      <c r="E3720">
        <f>_xlfn.LET(_xlpm.dir,Table13[[#This Row],[Direction]],
IF(_xlpm.dir="L",
    IF(G3719-Table13[[#This Row],[Steps]]&lt;0,100+(G3719-Table13[[#This Row],[Steps]]),G3719-Table13[[#This Row],[Steps]]),
))</f>
        <v>86</v>
      </c>
      <c r="F3720">
        <f>_xlfn.LET(_xlpm.dir,Table13[[#This Row],[Direction]],
IF(_xlpm.dir="R",
    IF(G3719+Table13[[#This Row],[Steps]]&gt;99,(G3719+Table13[[#This Row],[Steps]])-100,G3719+Table13[[#This Row],[Steps]]),
))</f>
        <v>0</v>
      </c>
      <c r="G3720">
        <f>IF(Table13[[#This Row],[New Pos L]]&lt;&gt;0,Table13[[#This Row],[New Pos L]],Table13[[#This Row],[New Pos R]])</f>
        <v>86</v>
      </c>
      <c r="H3720">
        <f>IF(AND(Table13[[#This Row],[Direction]]="L",Table13[[#This Row],[Steps]]&gt;G3719,G3719&lt;&gt;0),1,0)</f>
        <v>1</v>
      </c>
      <c r="I3720">
        <f>IF(AND(Table13[[#This Row],[Direction]]="R",(G3719+Table13[[#This Row],[Steps]])&gt;100),1,0)</f>
        <v>0</v>
      </c>
      <c r="J3720">
        <f>IF(Table13[[#This Row],[POS]]=0,1,0)</f>
        <v>0</v>
      </c>
      <c r="K3720">
        <f>SUM(Table13[[#This Row],[prefix]],Table13[[#This Row],[Past zero L]],Table13[[#This Row],[Past Zero R]],Table13[[#This Row],[Is Zero]])</f>
        <v>6</v>
      </c>
    </row>
    <row r="3721" spans="1:11" ht="16" x14ac:dyDescent="0.2">
      <c r="A3721" s="1" t="s">
        <v>128</v>
      </c>
      <c r="B3721" t="str">
        <f>LEFT(Table13[[#This Row],[Input]],1)</f>
        <v>R</v>
      </c>
      <c r="C3721">
        <f>_xlfn.LET(_xlpm.steps,SUBSTITUTE(Table13[[#This Row],[Input]],Table13[[#This Row],[Direction]],""),VALUE(IF(LEN(_xlpm.steps)&gt;2,RIGHT(_xlpm.steps,2),_xlpm.steps)))</f>
        <v>92</v>
      </c>
      <c r="D3721">
        <f>_xlfn.LET(_xlpm.steps,SUBSTITUTE(Table13[[#This Row],[Input]],Table13[[#This Row],[Direction]],""),VALUE(IF(LEN(_xlpm.steps)&gt;2,LEFT(_xlpm.steps,LEN(_xlpm.steps)-2),0)))</f>
        <v>0</v>
      </c>
      <c r="E3721">
        <f>_xlfn.LET(_xlpm.dir,Table13[[#This Row],[Direction]],
IF(_xlpm.dir="L",
    IF(G3720-Table13[[#This Row],[Steps]]&lt;0,100+(G3720-Table13[[#This Row],[Steps]]),G3720-Table13[[#This Row],[Steps]]),
))</f>
        <v>0</v>
      </c>
      <c r="F3721">
        <f>_xlfn.LET(_xlpm.dir,Table13[[#This Row],[Direction]],
IF(_xlpm.dir="R",
    IF(G3720+Table13[[#This Row],[Steps]]&gt;99,(G3720+Table13[[#This Row],[Steps]])-100,G3720+Table13[[#This Row],[Steps]]),
))</f>
        <v>78</v>
      </c>
      <c r="G3721">
        <f>IF(Table13[[#This Row],[New Pos L]]&lt;&gt;0,Table13[[#This Row],[New Pos L]],Table13[[#This Row],[New Pos R]])</f>
        <v>78</v>
      </c>
      <c r="H3721">
        <f>IF(AND(Table13[[#This Row],[Direction]]="L",Table13[[#This Row],[Steps]]&gt;G3720,G3720&lt;&gt;0),1,0)</f>
        <v>0</v>
      </c>
      <c r="I3721">
        <f>IF(AND(Table13[[#This Row],[Direction]]="R",(G3720+Table13[[#This Row],[Steps]])&gt;100),1,0)</f>
        <v>1</v>
      </c>
      <c r="J3721">
        <f>IF(Table13[[#This Row],[POS]]=0,1,0)</f>
        <v>0</v>
      </c>
      <c r="K3721">
        <f>SUM(Table13[[#This Row],[prefix]],Table13[[#This Row],[Past zero L]],Table13[[#This Row],[Past Zero R]],Table13[[#This Row],[Is Zero]])</f>
        <v>1</v>
      </c>
    </row>
    <row r="3722" spans="1:11" ht="16" x14ac:dyDescent="0.2">
      <c r="A3722" s="1" t="s">
        <v>234</v>
      </c>
      <c r="B3722" t="str">
        <f>LEFT(Table13[[#This Row],[Input]],1)</f>
        <v>R</v>
      </c>
      <c r="C3722">
        <f>_xlfn.LET(_xlpm.steps,SUBSTITUTE(Table13[[#This Row],[Input]],Table13[[#This Row],[Direction]],""),VALUE(IF(LEN(_xlpm.steps)&gt;2,RIGHT(_xlpm.steps,2),_xlpm.steps)))</f>
        <v>82</v>
      </c>
      <c r="D3722">
        <f>_xlfn.LET(_xlpm.steps,SUBSTITUTE(Table13[[#This Row],[Input]],Table13[[#This Row],[Direction]],""),VALUE(IF(LEN(_xlpm.steps)&gt;2,LEFT(_xlpm.steps,LEN(_xlpm.steps)-2),0)))</f>
        <v>0</v>
      </c>
      <c r="E3722">
        <f>_xlfn.LET(_xlpm.dir,Table13[[#This Row],[Direction]],
IF(_xlpm.dir="L",
    IF(G3721-Table13[[#This Row],[Steps]]&lt;0,100+(G3721-Table13[[#This Row],[Steps]]),G3721-Table13[[#This Row],[Steps]]),
))</f>
        <v>0</v>
      </c>
      <c r="F3722">
        <f>_xlfn.LET(_xlpm.dir,Table13[[#This Row],[Direction]],
IF(_xlpm.dir="R",
    IF(G3721+Table13[[#This Row],[Steps]]&gt;99,(G3721+Table13[[#This Row],[Steps]])-100,G3721+Table13[[#This Row],[Steps]]),
))</f>
        <v>60</v>
      </c>
      <c r="G3722">
        <f>IF(Table13[[#This Row],[New Pos L]]&lt;&gt;0,Table13[[#This Row],[New Pos L]],Table13[[#This Row],[New Pos R]])</f>
        <v>60</v>
      </c>
      <c r="H3722">
        <f>IF(AND(Table13[[#This Row],[Direction]]="L",Table13[[#This Row],[Steps]]&gt;G3721,G3721&lt;&gt;0),1,0)</f>
        <v>0</v>
      </c>
      <c r="I3722">
        <f>IF(AND(Table13[[#This Row],[Direction]]="R",(G3721+Table13[[#This Row],[Steps]])&gt;100),1,0)</f>
        <v>1</v>
      </c>
      <c r="J3722">
        <f>IF(Table13[[#This Row],[POS]]=0,1,0)</f>
        <v>0</v>
      </c>
      <c r="K3722">
        <f>SUM(Table13[[#This Row],[prefix]],Table13[[#This Row],[Past zero L]],Table13[[#This Row],[Past Zero R]],Table13[[#This Row],[Is Zero]])</f>
        <v>1</v>
      </c>
    </row>
    <row r="3723" spans="1:11" ht="16" x14ac:dyDescent="0.2">
      <c r="A3723" s="1" t="s">
        <v>1</v>
      </c>
      <c r="B3723" t="str">
        <f>LEFT(Table13[[#This Row],[Input]],1)</f>
        <v>R</v>
      </c>
      <c r="C3723">
        <f>_xlfn.LET(_xlpm.steps,SUBSTITUTE(Table13[[#This Row],[Input]],Table13[[#This Row],[Direction]],""),VALUE(IF(LEN(_xlpm.steps)&gt;2,RIGHT(_xlpm.steps,2),_xlpm.steps)))</f>
        <v>26</v>
      </c>
      <c r="D3723">
        <f>_xlfn.LET(_xlpm.steps,SUBSTITUTE(Table13[[#This Row],[Input]],Table13[[#This Row],[Direction]],""),VALUE(IF(LEN(_xlpm.steps)&gt;2,LEFT(_xlpm.steps,LEN(_xlpm.steps)-2),0)))</f>
        <v>0</v>
      </c>
      <c r="E3723">
        <f>_xlfn.LET(_xlpm.dir,Table13[[#This Row],[Direction]],
IF(_xlpm.dir="L",
    IF(G3722-Table13[[#This Row],[Steps]]&lt;0,100+(G3722-Table13[[#This Row],[Steps]]),G3722-Table13[[#This Row],[Steps]]),
))</f>
        <v>0</v>
      </c>
      <c r="F3723">
        <f>_xlfn.LET(_xlpm.dir,Table13[[#This Row],[Direction]],
IF(_xlpm.dir="R",
    IF(G3722+Table13[[#This Row],[Steps]]&gt;99,(G3722+Table13[[#This Row],[Steps]])-100,G3722+Table13[[#This Row],[Steps]]),
))</f>
        <v>86</v>
      </c>
      <c r="G3723">
        <f>IF(Table13[[#This Row],[New Pos L]]&lt;&gt;0,Table13[[#This Row],[New Pos L]],Table13[[#This Row],[New Pos R]])</f>
        <v>86</v>
      </c>
      <c r="H3723">
        <f>IF(AND(Table13[[#This Row],[Direction]]="L",Table13[[#This Row],[Steps]]&gt;G3722,G3722&lt;&gt;0),1,0)</f>
        <v>0</v>
      </c>
      <c r="I3723">
        <f>IF(AND(Table13[[#This Row],[Direction]]="R",(G3722+Table13[[#This Row],[Steps]])&gt;100),1,0)</f>
        <v>0</v>
      </c>
      <c r="J3723">
        <f>IF(Table13[[#This Row],[POS]]=0,1,0)</f>
        <v>0</v>
      </c>
      <c r="K3723">
        <f>SUM(Table13[[#This Row],[prefix]],Table13[[#This Row],[Past zero L]],Table13[[#This Row],[Past Zero R]],Table13[[#This Row],[Is Zero]])</f>
        <v>0</v>
      </c>
    </row>
    <row r="3724" spans="1:11" ht="16" x14ac:dyDescent="0.2">
      <c r="A3724" s="1" t="s">
        <v>79</v>
      </c>
      <c r="B3724" t="str">
        <f>LEFT(Table13[[#This Row],[Input]],1)</f>
        <v>L</v>
      </c>
      <c r="C3724">
        <f>_xlfn.LET(_xlpm.steps,SUBSTITUTE(Table13[[#This Row],[Input]],Table13[[#This Row],[Direction]],""),VALUE(IF(LEN(_xlpm.steps)&gt;2,RIGHT(_xlpm.steps,2),_xlpm.steps)))</f>
        <v>45</v>
      </c>
      <c r="D3724">
        <f>_xlfn.LET(_xlpm.steps,SUBSTITUTE(Table13[[#This Row],[Input]],Table13[[#This Row],[Direction]],""),VALUE(IF(LEN(_xlpm.steps)&gt;2,LEFT(_xlpm.steps,LEN(_xlpm.steps)-2),0)))</f>
        <v>0</v>
      </c>
      <c r="E3724">
        <f>_xlfn.LET(_xlpm.dir,Table13[[#This Row],[Direction]],
IF(_xlpm.dir="L",
    IF(G3723-Table13[[#This Row],[Steps]]&lt;0,100+(G3723-Table13[[#This Row],[Steps]]),G3723-Table13[[#This Row],[Steps]]),
))</f>
        <v>41</v>
      </c>
      <c r="F3724">
        <f>_xlfn.LET(_xlpm.dir,Table13[[#This Row],[Direction]],
IF(_xlpm.dir="R",
    IF(G3723+Table13[[#This Row],[Steps]]&gt;99,(G3723+Table13[[#This Row],[Steps]])-100,G3723+Table13[[#This Row],[Steps]]),
))</f>
        <v>0</v>
      </c>
      <c r="G3724">
        <f>IF(Table13[[#This Row],[New Pos L]]&lt;&gt;0,Table13[[#This Row],[New Pos L]],Table13[[#This Row],[New Pos R]])</f>
        <v>41</v>
      </c>
      <c r="H3724">
        <f>IF(AND(Table13[[#This Row],[Direction]]="L",Table13[[#This Row],[Steps]]&gt;G3723,G3723&lt;&gt;0),1,0)</f>
        <v>0</v>
      </c>
      <c r="I3724">
        <f>IF(AND(Table13[[#This Row],[Direction]]="R",(G3723+Table13[[#This Row],[Steps]])&gt;100),1,0)</f>
        <v>0</v>
      </c>
      <c r="J3724">
        <f>IF(Table13[[#This Row],[POS]]=0,1,0)</f>
        <v>0</v>
      </c>
      <c r="K3724">
        <f>SUM(Table13[[#This Row],[prefix]],Table13[[#This Row],[Past zero L]],Table13[[#This Row],[Past Zero R]],Table13[[#This Row],[Is Zero]])</f>
        <v>0</v>
      </c>
    </row>
    <row r="3725" spans="1:11" ht="16" x14ac:dyDescent="0.2">
      <c r="A3725" s="1" t="s">
        <v>260</v>
      </c>
      <c r="B3725" t="str">
        <f>LEFT(Table13[[#This Row],[Input]],1)</f>
        <v>L</v>
      </c>
      <c r="C3725">
        <f>_xlfn.LET(_xlpm.steps,SUBSTITUTE(Table13[[#This Row],[Input]],Table13[[#This Row],[Direction]],""),VALUE(IF(LEN(_xlpm.steps)&gt;2,RIGHT(_xlpm.steps,2),_xlpm.steps)))</f>
        <v>85</v>
      </c>
      <c r="D3725">
        <f>_xlfn.LET(_xlpm.steps,SUBSTITUTE(Table13[[#This Row],[Input]],Table13[[#This Row],[Direction]],""),VALUE(IF(LEN(_xlpm.steps)&gt;2,LEFT(_xlpm.steps,LEN(_xlpm.steps)-2),0)))</f>
        <v>0</v>
      </c>
      <c r="E3725">
        <f>_xlfn.LET(_xlpm.dir,Table13[[#This Row],[Direction]],
IF(_xlpm.dir="L",
    IF(G3724-Table13[[#This Row],[Steps]]&lt;0,100+(G3724-Table13[[#This Row],[Steps]]),G3724-Table13[[#This Row],[Steps]]),
))</f>
        <v>56</v>
      </c>
      <c r="F3725">
        <f>_xlfn.LET(_xlpm.dir,Table13[[#This Row],[Direction]],
IF(_xlpm.dir="R",
    IF(G3724+Table13[[#This Row],[Steps]]&gt;99,(G3724+Table13[[#This Row],[Steps]])-100,G3724+Table13[[#This Row],[Steps]]),
))</f>
        <v>0</v>
      </c>
      <c r="G3725">
        <f>IF(Table13[[#This Row],[New Pos L]]&lt;&gt;0,Table13[[#This Row],[New Pos L]],Table13[[#This Row],[New Pos R]])</f>
        <v>56</v>
      </c>
      <c r="H3725">
        <f>IF(AND(Table13[[#This Row],[Direction]]="L",Table13[[#This Row],[Steps]]&gt;G3724,G3724&lt;&gt;0),1,0)</f>
        <v>1</v>
      </c>
      <c r="I3725">
        <f>IF(AND(Table13[[#This Row],[Direction]]="R",(G3724+Table13[[#This Row],[Steps]])&gt;100),1,0)</f>
        <v>0</v>
      </c>
      <c r="J3725">
        <f>IF(Table13[[#This Row],[POS]]=0,1,0)</f>
        <v>0</v>
      </c>
      <c r="K3725">
        <f>SUM(Table13[[#This Row],[prefix]],Table13[[#This Row],[Past zero L]],Table13[[#This Row],[Past Zero R]],Table13[[#This Row],[Is Zero]])</f>
        <v>1</v>
      </c>
    </row>
    <row r="3726" spans="1:11" ht="16" x14ac:dyDescent="0.2">
      <c r="A3726" s="1" t="s">
        <v>53</v>
      </c>
      <c r="B3726" t="str">
        <f>LEFT(Table13[[#This Row],[Input]],1)</f>
        <v>L</v>
      </c>
      <c r="C3726">
        <f>_xlfn.LET(_xlpm.steps,SUBSTITUTE(Table13[[#This Row],[Input]],Table13[[#This Row],[Direction]],""),VALUE(IF(LEN(_xlpm.steps)&gt;2,RIGHT(_xlpm.steps,2),_xlpm.steps)))</f>
        <v>56</v>
      </c>
      <c r="D3726">
        <f>_xlfn.LET(_xlpm.steps,SUBSTITUTE(Table13[[#This Row],[Input]],Table13[[#This Row],[Direction]],""),VALUE(IF(LEN(_xlpm.steps)&gt;2,LEFT(_xlpm.steps,LEN(_xlpm.steps)-2),0)))</f>
        <v>0</v>
      </c>
      <c r="E3726">
        <f>_xlfn.LET(_xlpm.dir,Table13[[#This Row],[Direction]],
IF(_xlpm.dir="L",
    IF(G3725-Table13[[#This Row],[Steps]]&lt;0,100+(G3725-Table13[[#This Row],[Steps]]),G3725-Table13[[#This Row],[Steps]]),
))</f>
        <v>0</v>
      </c>
      <c r="F3726">
        <f>_xlfn.LET(_xlpm.dir,Table13[[#This Row],[Direction]],
IF(_xlpm.dir="R",
    IF(G3725+Table13[[#This Row],[Steps]]&gt;99,(G3725+Table13[[#This Row],[Steps]])-100,G3725+Table13[[#This Row],[Steps]]),
))</f>
        <v>0</v>
      </c>
      <c r="G3726">
        <f>IF(Table13[[#This Row],[New Pos L]]&lt;&gt;0,Table13[[#This Row],[New Pos L]],Table13[[#This Row],[New Pos R]])</f>
        <v>0</v>
      </c>
      <c r="H3726">
        <f>IF(AND(Table13[[#This Row],[Direction]]="L",Table13[[#This Row],[Steps]]&gt;G3725,G3725&lt;&gt;0),1,0)</f>
        <v>0</v>
      </c>
      <c r="I3726">
        <f>IF(AND(Table13[[#This Row],[Direction]]="R",(G3725+Table13[[#This Row],[Steps]])&gt;100),1,0)</f>
        <v>0</v>
      </c>
      <c r="J3726">
        <f>IF(Table13[[#This Row],[POS]]=0,1,0)</f>
        <v>1</v>
      </c>
      <c r="K3726">
        <f>SUM(Table13[[#This Row],[prefix]],Table13[[#This Row],[Past zero L]],Table13[[#This Row],[Past Zero R]],Table13[[#This Row],[Is Zero]])</f>
        <v>1</v>
      </c>
    </row>
    <row r="3727" spans="1:11" ht="16" x14ac:dyDescent="0.2">
      <c r="A3727" s="1" t="s">
        <v>787</v>
      </c>
      <c r="B3727" t="str">
        <f>LEFT(Table13[[#This Row],[Input]],1)</f>
        <v>R</v>
      </c>
      <c r="C3727">
        <f>_xlfn.LET(_xlpm.steps,SUBSTITUTE(Table13[[#This Row],[Input]],Table13[[#This Row],[Direction]],""),VALUE(IF(LEN(_xlpm.steps)&gt;2,RIGHT(_xlpm.steps,2),_xlpm.steps)))</f>
        <v>92</v>
      </c>
      <c r="D3727">
        <f>_xlfn.LET(_xlpm.steps,SUBSTITUTE(Table13[[#This Row],[Input]],Table13[[#This Row],[Direction]],""),VALUE(IF(LEN(_xlpm.steps)&gt;2,LEFT(_xlpm.steps,LEN(_xlpm.steps)-2),0)))</f>
        <v>1</v>
      </c>
      <c r="E3727">
        <f>_xlfn.LET(_xlpm.dir,Table13[[#This Row],[Direction]],
IF(_xlpm.dir="L",
    IF(G3726-Table13[[#This Row],[Steps]]&lt;0,100+(G3726-Table13[[#This Row],[Steps]]),G3726-Table13[[#This Row],[Steps]]),
))</f>
        <v>0</v>
      </c>
      <c r="F3727">
        <f>_xlfn.LET(_xlpm.dir,Table13[[#This Row],[Direction]],
IF(_xlpm.dir="R",
    IF(G3726+Table13[[#This Row],[Steps]]&gt;99,(G3726+Table13[[#This Row],[Steps]])-100,G3726+Table13[[#This Row],[Steps]]),
))</f>
        <v>92</v>
      </c>
      <c r="G3727">
        <f>IF(Table13[[#This Row],[New Pos L]]&lt;&gt;0,Table13[[#This Row],[New Pos L]],Table13[[#This Row],[New Pos R]])</f>
        <v>92</v>
      </c>
      <c r="H3727">
        <f>IF(AND(Table13[[#This Row],[Direction]]="L",Table13[[#This Row],[Steps]]&gt;G3726,G3726&lt;&gt;0),1,0)</f>
        <v>0</v>
      </c>
      <c r="I3727">
        <f>IF(AND(Table13[[#This Row],[Direction]]="R",(G3726+Table13[[#This Row],[Steps]])&gt;100),1,0)</f>
        <v>0</v>
      </c>
      <c r="J3727">
        <f>IF(Table13[[#This Row],[POS]]=0,1,0)</f>
        <v>0</v>
      </c>
      <c r="K3727">
        <f>SUM(Table13[[#This Row],[prefix]],Table13[[#This Row],[Past zero L]],Table13[[#This Row],[Past Zero R]],Table13[[#This Row],[Is Zero]])</f>
        <v>1</v>
      </c>
    </row>
    <row r="3728" spans="1:11" ht="16" x14ac:dyDescent="0.2">
      <c r="A3728" s="1" t="s">
        <v>174</v>
      </c>
      <c r="B3728" t="str">
        <f>LEFT(Table13[[#This Row],[Input]],1)</f>
        <v>L</v>
      </c>
      <c r="C3728">
        <f>_xlfn.LET(_xlpm.steps,SUBSTITUTE(Table13[[#This Row],[Input]],Table13[[#This Row],[Direction]],""),VALUE(IF(LEN(_xlpm.steps)&gt;2,RIGHT(_xlpm.steps,2),_xlpm.steps)))</f>
        <v>92</v>
      </c>
      <c r="D3728">
        <f>_xlfn.LET(_xlpm.steps,SUBSTITUTE(Table13[[#This Row],[Input]],Table13[[#This Row],[Direction]],""),VALUE(IF(LEN(_xlpm.steps)&gt;2,LEFT(_xlpm.steps,LEN(_xlpm.steps)-2),0)))</f>
        <v>0</v>
      </c>
      <c r="E3728">
        <f>_xlfn.LET(_xlpm.dir,Table13[[#This Row],[Direction]],
IF(_xlpm.dir="L",
    IF(G3727-Table13[[#This Row],[Steps]]&lt;0,100+(G3727-Table13[[#This Row],[Steps]]),G3727-Table13[[#This Row],[Steps]]),
))</f>
        <v>0</v>
      </c>
      <c r="F3728">
        <f>_xlfn.LET(_xlpm.dir,Table13[[#This Row],[Direction]],
IF(_xlpm.dir="R",
    IF(G3727+Table13[[#This Row],[Steps]]&gt;99,(G3727+Table13[[#This Row],[Steps]])-100,G3727+Table13[[#This Row],[Steps]]),
))</f>
        <v>0</v>
      </c>
      <c r="G3728">
        <f>IF(Table13[[#This Row],[New Pos L]]&lt;&gt;0,Table13[[#This Row],[New Pos L]],Table13[[#This Row],[New Pos R]])</f>
        <v>0</v>
      </c>
      <c r="H3728">
        <f>IF(AND(Table13[[#This Row],[Direction]]="L",Table13[[#This Row],[Steps]]&gt;G3727,G3727&lt;&gt;0),1,0)</f>
        <v>0</v>
      </c>
      <c r="I3728">
        <f>IF(AND(Table13[[#This Row],[Direction]]="R",(G3727+Table13[[#This Row],[Steps]])&gt;100),1,0)</f>
        <v>0</v>
      </c>
      <c r="J3728">
        <f>IF(Table13[[#This Row],[POS]]=0,1,0)</f>
        <v>1</v>
      </c>
      <c r="K3728">
        <f>SUM(Table13[[#This Row],[prefix]],Table13[[#This Row],[Past zero L]],Table13[[#This Row],[Past Zero R]],Table13[[#This Row],[Is Zero]])</f>
        <v>1</v>
      </c>
    </row>
    <row r="3729" spans="1:11" ht="16" x14ac:dyDescent="0.2">
      <c r="A3729" s="1" t="s">
        <v>25</v>
      </c>
      <c r="B3729" t="str">
        <f>LEFT(Table13[[#This Row],[Input]],1)</f>
        <v>L</v>
      </c>
      <c r="C3729">
        <f>_xlfn.LET(_xlpm.steps,SUBSTITUTE(Table13[[#This Row],[Input]],Table13[[#This Row],[Direction]],""),VALUE(IF(LEN(_xlpm.steps)&gt;2,RIGHT(_xlpm.steps,2),_xlpm.steps)))</f>
        <v>20</v>
      </c>
      <c r="D3729">
        <f>_xlfn.LET(_xlpm.steps,SUBSTITUTE(Table13[[#This Row],[Input]],Table13[[#This Row],[Direction]],""),VALUE(IF(LEN(_xlpm.steps)&gt;2,LEFT(_xlpm.steps,LEN(_xlpm.steps)-2),0)))</f>
        <v>0</v>
      </c>
      <c r="E3729">
        <f>_xlfn.LET(_xlpm.dir,Table13[[#This Row],[Direction]],
IF(_xlpm.dir="L",
    IF(G3728-Table13[[#This Row],[Steps]]&lt;0,100+(G3728-Table13[[#This Row],[Steps]]),G3728-Table13[[#This Row],[Steps]]),
))</f>
        <v>80</v>
      </c>
      <c r="F3729">
        <f>_xlfn.LET(_xlpm.dir,Table13[[#This Row],[Direction]],
IF(_xlpm.dir="R",
    IF(G3728+Table13[[#This Row],[Steps]]&gt;99,(G3728+Table13[[#This Row],[Steps]])-100,G3728+Table13[[#This Row],[Steps]]),
))</f>
        <v>0</v>
      </c>
      <c r="G3729">
        <f>IF(Table13[[#This Row],[New Pos L]]&lt;&gt;0,Table13[[#This Row],[New Pos L]],Table13[[#This Row],[New Pos R]])</f>
        <v>80</v>
      </c>
      <c r="H3729">
        <f>IF(AND(Table13[[#This Row],[Direction]]="L",Table13[[#This Row],[Steps]]&gt;G3728,G3728&lt;&gt;0),1,0)</f>
        <v>0</v>
      </c>
      <c r="I3729">
        <f>IF(AND(Table13[[#This Row],[Direction]]="R",(G3728+Table13[[#This Row],[Steps]])&gt;100),1,0)</f>
        <v>0</v>
      </c>
      <c r="J3729">
        <f>IF(Table13[[#This Row],[POS]]=0,1,0)</f>
        <v>0</v>
      </c>
      <c r="K3729">
        <f>SUM(Table13[[#This Row],[prefix]],Table13[[#This Row],[Past zero L]],Table13[[#This Row],[Past Zero R]],Table13[[#This Row],[Is Zero]])</f>
        <v>0</v>
      </c>
    </row>
    <row r="3730" spans="1:11" ht="16" x14ac:dyDescent="0.2">
      <c r="A3730" s="1" t="s">
        <v>15</v>
      </c>
      <c r="B3730" t="str">
        <f>LEFT(Table13[[#This Row],[Input]],1)</f>
        <v>R</v>
      </c>
      <c r="C3730">
        <f>_xlfn.LET(_xlpm.steps,SUBSTITUTE(Table13[[#This Row],[Input]],Table13[[#This Row],[Direction]],""),VALUE(IF(LEN(_xlpm.steps)&gt;2,RIGHT(_xlpm.steps,2),_xlpm.steps)))</f>
        <v>36</v>
      </c>
      <c r="D3730">
        <f>_xlfn.LET(_xlpm.steps,SUBSTITUTE(Table13[[#This Row],[Input]],Table13[[#This Row],[Direction]],""),VALUE(IF(LEN(_xlpm.steps)&gt;2,LEFT(_xlpm.steps,LEN(_xlpm.steps)-2),0)))</f>
        <v>0</v>
      </c>
      <c r="E3730">
        <f>_xlfn.LET(_xlpm.dir,Table13[[#This Row],[Direction]],
IF(_xlpm.dir="L",
    IF(G3729-Table13[[#This Row],[Steps]]&lt;0,100+(G3729-Table13[[#This Row],[Steps]]),G3729-Table13[[#This Row],[Steps]]),
))</f>
        <v>0</v>
      </c>
      <c r="F3730">
        <f>_xlfn.LET(_xlpm.dir,Table13[[#This Row],[Direction]],
IF(_xlpm.dir="R",
    IF(G3729+Table13[[#This Row],[Steps]]&gt;99,(G3729+Table13[[#This Row],[Steps]])-100,G3729+Table13[[#This Row],[Steps]]),
))</f>
        <v>16</v>
      </c>
      <c r="G3730">
        <f>IF(Table13[[#This Row],[New Pos L]]&lt;&gt;0,Table13[[#This Row],[New Pos L]],Table13[[#This Row],[New Pos R]])</f>
        <v>16</v>
      </c>
      <c r="H3730">
        <f>IF(AND(Table13[[#This Row],[Direction]]="L",Table13[[#This Row],[Steps]]&gt;G3729,G3729&lt;&gt;0),1,0)</f>
        <v>0</v>
      </c>
      <c r="I3730">
        <f>IF(AND(Table13[[#This Row],[Direction]]="R",(G3729+Table13[[#This Row],[Steps]])&gt;100),1,0)</f>
        <v>1</v>
      </c>
      <c r="J3730">
        <f>IF(Table13[[#This Row],[POS]]=0,1,0)</f>
        <v>0</v>
      </c>
      <c r="K3730">
        <f>SUM(Table13[[#This Row],[prefix]],Table13[[#This Row],[Past zero L]],Table13[[#This Row],[Past Zero R]],Table13[[#This Row],[Is Zero]])</f>
        <v>1</v>
      </c>
    </row>
    <row r="3731" spans="1:11" ht="16" x14ac:dyDescent="0.2">
      <c r="A3731" s="1" t="s">
        <v>363</v>
      </c>
      <c r="B3731" t="str">
        <f>LEFT(Table13[[#This Row],[Input]],1)</f>
        <v>R</v>
      </c>
      <c r="C3731">
        <f>_xlfn.LET(_xlpm.steps,SUBSTITUTE(Table13[[#This Row],[Input]],Table13[[#This Row],[Direction]],""),VALUE(IF(LEN(_xlpm.steps)&gt;2,RIGHT(_xlpm.steps,2),_xlpm.steps)))</f>
        <v>63</v>
      </c>
      <c r="D3731">
        <f>_xlfn.LET(_xlpm.steps,SUBSTITUTE(Table13[[#This Row],[Input]],Table13[[#This Row],[Direction]],""),VALUE(IF(LEN(_xlpm.steps)&gt;2,LEFT(_xlpm.steps,LEN(_xlpm.steps)-2),0)))</f>
        <v>0</v>
      </c>
      <c r="E3731">
        <f>_xlfn.LET(_xlpm.dir,Table13[[#This Row],[Direction]],
IF(_xlpm.dir="L",
    IF(G3730-Table13[[#This Row],[Steps]]&lt;0,100+(G3730-Table13[[#This Row],[Steps]]),G3730-Table13[[#This Row],[Steps]]),
))</f>
        <v>0</v>
      </c>
      <c r="F3731">
        <f>_xlfn.LET(_xlpm.dir,Table13[[#This Row],[Direction]],
IF(_xlpm.dir="R",
    IF(G3730+Table13[[#This Row],[Steps]]&gt;99,(G3730+Table13[[#This Row],[Steps]])-100,G3730+Table13[[#This Row],[Steps]]),
))</f>
        <v>79</v>
      </c>
      <c r="G3731">
        <f>IF(Table13[[#This Row],[New Pos L]]&lt;&gt;0,Table13[[#This Row],[New Pos L]],Table13[[#This Row],[New Pos R]])</f>
        <v>79</v>
      </c>
      <c r="H3731">
        <f>IF(AND(Table13[[#This Row],[Direction]]="L",Table13[[#This Row],[Steps]]&gt;G3730,G3730&lt;&gt;0),1,0)</f>
        <v>0</v>
      </c>
      <c r="I3731">
        <f>IF(AND(Table13[[#This Row],[Direction]]="R",(G3730+Table13[[#This Row],[Steps]])&gt;100),1,0)</f>
        <v>0</v>
      </c>
      <c r="J3731">
        <f>IF(Table13[[#This Row],[POS]]=0,1,0)</f>
        <v>0</v>
      </c>
      <c r="K3731">
        <f>SUM(Table13[[#This Row],[prefix]],Table13[[#This Row],[Past zero L]],Table13[[#This Row],[Past Zero R]],Table13[[#This Row],[Is Zero]])</f>
        <v>0</v>
      </c>
    </row>
    <row r="3732" spans="1:11" ht="16" x14ac:dyDescent="0.2">
      <c r="A3732" s="1" t="s">
        <v>319</v>
      </c>
      <c r="B3732" t="str">
        <f>LEFT(Table13[[#This Row],[Input]],1)</f>
        <v>L</v>
      </c>
      <c r="C3732">
        <f>_xlfn.LET(_xlpm.steps,SUBSTITUTE(Table13[[#This Row],[Input]],Table13[[#This Row],[Direction]],""),VALUE(IF(LEN(_xlpm.steps)&gt;2,RIGHT(_xlpm.steps,2),_xlpm.steps)))</f>
        <v>79</v>
      </c>
      <c r="D3732">
        <f>_xlfn.LET(_xlpm.steps,SUBSTITUTE(Table13[[#This Row],[Input]],Table13[[#This Row],[Direction]],""),VALUE(IF(LEN(_xlpm.steps)&gt;2,LEFT(_xlpm.steps,LEN(_xlpm.steps)-2),0)))</f>
        <v>0</v>
      </c>
      <c r="E3732">
        <f>_xlfn.LET(_xlpm.dir,Table13[[#This Row],[Direction]],
IF(_xlpm.dir="L",
    IF(G3731-Table13[[#This Row],[Steps]]&lt;0,100+(G3731-Table13[[#This Row],[Steps]]),G3731-Table13[[#This Row],[Steps]]),
))</f>
        <v>0</v>
      </c>
      <c r="F3732">
        <f>_xlfn.LET(_xlpm.dir,Table13[[#This Row],[Direction]],
IF(_xlpm.dir="R",
    IF(G3731+Table13[[#This Row],[Steps]]&gt;99,(G3731+Table13[[#This Row],[Steps]])-100,G3731+Table13[[#This Row],[Steps]]),
))</f>
        <v>0</v>
      </c>
      <c r="G3732">
        <f>IF(Table13[[#This Row],[New Pos L]]&lt;&gt;0,Table13[[#This Row],[New Pos L]],Table13[[#This Row],[New Pos R]])</f>
        <v>0</v>
      </c>
      <c r="H3732">
        <f>IF(AND(Table13[[#This Row],[Direction]]="L",Table13[[#This Row],[Steps]]&gt;G3731,G3731&lt;&gt;0),1,0)</f>
        <v>0</v>
      </c>
      <c r="I3732">
        <f>IF(AND(Table13[[#This Row],[Direction]]="R",(G3731+Table13[[#This Row],[Steps]])&gt;100),1,0)</f>
        <v>0</v>
      </c>
      <c r="J3732">
        <f>IF(Table13[[#This Row],[POS]]=0,1,0)</f>
        <v>1</v>
      </c>
      <c r="K3732">
        <f>SUM(Table13[[#This Row],[prefix]],Table13[[#This Row],[Past zero L]],Table13[[#This Row],[Past Zero R]],Table13[[#This Row],[Is Zero]])</f>
        <v>1</v>
      </c>
    </row>
    <row r="3733" spans="1:11" ht="16" x14ac:dyDescent="0.2">
      <c r="A3733" s="1" t="s">
        <v>788</v>
      </c>
      <c r="B3733" t="str">
        <f>LEFT(Table13[[#This Row],[Input]],1)</f>
        <v>L</v>
      </c>
      <c r="C3733">
        <f>_xlfn.LET(_xlpm.steps,SUBSTITUTE(Table13[[#This Row],[Input]],Table13[[#This Row],[Direction]],""),VALUE(IF(LEN(_xlpm.steps)&gt;2,RIGHT(_xlpm.steps,2),_xlpm.steps)))</f>
        <v>85</v>
      </c>
      <c r="D3733">
        <f>_xlfn.LET(_xlpm.steps,SUBSTITUTE(Table13[[#This Row],[Input]],Table13[[#This Row],[Direction]],""),VALUE(IF(LEN(_xlpm.steps)&gt;2,LEFT(_xlpm.steps,LEN(_xlpm.steps)-2),0)))</f>
        <v>9</v>
      </c>
      <c r="E3733">
        <f>_xlfn.LET(_xlpm.dir,Table13[[#This Row],[Direction]],
IF(_xlpm.dir="L",
    IF(G3732-Table13[[#This Row],[Steps]]&lt;0,100+(G3732-Table13[[#This Row],[Steps]]),G3732-Table13[[#This Row],[Steps]]),
))</f>
        <v>15</v>
      </c>
      <c r="F3733">
        <f>_xlfn.LET(_xlpm.dir,Table13[[#This Row],[Direction]],
IF(_xlpm.dir="R",
    IF(G3732+Table13[[#This Row],[Steps]]&gt;99,(G3732+Table13[[#This Row],[Steps]])-100,G3732+Table13[[#This Row],[Steps]]),
))</f>
        <v>0</v>
      </c>
      <c r="G3733">
        <f>IF(Table13[[#This Row],[New Pos L]]&lt;&gt;0,Table13[[#This Row],[New Pos L]],Table13[[#This Row],[New Pos R]])</f>
        <v>15</v>
      </c>
      <c r="H3733">
        <f>IF(AND(Table13[[#This Row],[Direction]]="L",Table13[[#This Row],[Steps]]&gt;G3732,G3732&lt;&gt;0),1,0)</f>
        <v>0</v>
      </c>
      <c r="I3733">
        <f>IF(AND(Table13[[#This Row],[Direction]]="R",(G3732+Table13[[#This Row],[Steps]])&gt;100),1,0)</f>
        <v>0</v>
      </c>
      <c r="J3733">
        <f>IF(Table13[[#This Row],[POS]]=0,1,0)</f>
        <v>0</v>
      </c>
      <c r="K3733">
        <f>SUM(Table13[[#This Row],[prefix]],Table13[[#This Row],[Past zero L]],Table13[[#This Row],[Past Zero R]],Table13[[#This Row],[Is Zero]])</f>
        <v>9</v>
      </c>
    </row>
    <row r="3734" spans="1:11" ht="16" x14ac:dyDescent="0.2">
      <c r="A3734" s="1" t="s">
        <v>789</v>
      </c>
      <c r="B3734" t="str">
        <f>LEFT(Table13[[#This Row],[Input]],1)</f>
        <v>L</v>
      </c>
      <c r="C3734">
        <f>_xlfn.LET(_xlpm.steps,SUBSTITUTE(Table13[[#This Row],[Input]],Table13[[#This Row],[Direction]],""),VALUE(IF(LEN(_xlpm.steps)&gt;2,RIGHT(_xlpm.steps,2),_xlpm.steps)))</f>
        <v>15</v>
      </c>
      <c r="D3734">
        <f>_xlfn.LET(_xlpm.steps,SUBSTITUTE(Table13[[#This Row],[Input]],Table13[[#This Row],[Direction]],""),VALUE(IF(LEN(_xlpm.steps)&gt;2,LEFT(_xlpm.steps,LEN(_xlpm.steps)-2),0)))</f>
        <v>5</v>
      </c>
      <c r="E3734">
        <f>_xlfn.LET(_xlpm.dir,Table13[[#This Row],[Direction]],
IF(_xlpm.dir="L",
    IF(G3733-Table13[[#This Row],[Steps]]&lt;0,100+(G3733-Table13[[#This Row],[Steps]]),G3733-Table13[[#This Row],[Steps]]),
))</f>
        <v>0</v>
      </c>
      <c r="F3734">
        <f>_xlfn.LET(_xlpm.dir,Table13[[#This Row],[Direction]],
IF(_xlpm.dir="R",
    IF(G3733+Table13[[#This Row],[Steps]]&gt;99,(G3733+Table13[[#This Row],[Steps]])-100,G3733+Table13[[#This Row],[Steps]]),
))</f>
        <v>0</v>
      </c>
      <c r="G3734">
        <f>IF(Table13[[#This Row],[New Pos L]]&lt;&gt;0,Table13[[#This Row],[New Pos L]],Table13[[#This Row],[New Pos R]])</f>
        <v>0</v>
      </c>
      <c r="H3734">
        <f>IF(AND(Table13[[#This Row],[Direction]]="L",Table13[[#This Row],[Steps]]&gt;G3733,G3733&lt;&gt;0),1,0)</f>
        <v>0</v>
      </c>
      <c r="I3734">
        <f>IF(AND(Table13[[#This Row],[Direction]]="R",(G3733+Table13[[#This Row],[Steps]])&gt;100),1,0)</f>
        <v>0</v>
      </c>
      <c r="J3734">
        <f>IF(Table13[[#This Row],[POS]]=0,1,0)</f>
        <v>1</v>
      </c>
      <c r="K3734">
        <f>SUM(Table13[[#This Row],[prefix]],Table13[[#This Row],[Past zero L]],Table13[[#This Row],[Past Zero R]],Table13[[#This Row],[Is Zero]])</f>
        <v>6</v>
      </c>
    </row>
    <row r="3735" spans="1:11" ht="16" x14ac:dyDescent="0.2">
      <c r="A3735" s="1" t="s">
        <v>24</v>
      </c>
      <c r="B3735" t="str">
        <f>LEFT(Table13[[#This Row],[Input]],1)</f>
        <v>L</v>
      </c>
      <c r="C3735">
        <f>_xlfn.LET(_xlpm.steps,SUBSTITUTE(Table13[[#This Row],[Input]],Table13[[#This Row],[Direction]],""),VALUE(IF(LEN(_xlpm.steps)&gt;2,RIGHT(_xlpm.steps,2),_xlpm.steps)))</f>
        <v>49</v>
      </c>
      <c r="D3735">
        <f>_xlfn.LET(_xlpm.steps,SUBSTITUTE(Table13[[#This Row],[Input]],Table13[[#This Row],[Direction]],""),VALUE(IF(LEN(_xlpm.steps)&gt;2,LEFT(_xlpm.steps,LEN(_xlpm.steps)-2),0)))</f>
        <v>0</v>
      </c>
      <c r="E3735">
        <f>_xlfn.LET(_xlpm.dir,Table13[[#This Row],[Direction]],
IF(_xlpm.dir="L",
    IF(G3734-Table13[[#This Row],[Steps]]&lt;0,100+(G3734-Table13[[#This Row],[Steps]]),G3734-Table13[[#This Row],[Steps]]),
))</f>
        <v>51</v>
      </c>
      <c r="F3735">
        <f>_xlfn.LET(_xlpm.dir,Table13[[#This Row],[Direction]],
IF(_xlpm.dir="R",
    IF(G3734+Table13[[#This Row],[Steps]]&gt;99,(G3734+Table13[[#This Row],[Steps]])-100,G3734+Table13[[#This Row],[Steps]]),
))</f>
        <v>0</v>
      </c>
      <c r="G3735">
        <f>IF(Table13[[#This Row],[New Pos L]]&lt;&gt;0,Table13[[#This Row],[New Pos L]],Table13[[#This Row],[New Pos R]])</f>
        <v>51</v>
      </c>
      <c r="H3735">
        <f>IF(AND(Table13[[#This Row],[Direction]]="L",Table13[[#This Row],[Steps]]&gt;G3734,G3734&lt;&gt;0),1,0)</f>
        <v>0</v>
      </c>
      <c r="I3735">
        <f>IF(AND(Table13[[#This Row],[Direction]]="R",(G3734+Table13[[#This Row],[Steps]])&gt;100),1,0)</f>
        <v>0</v>
      </c>
      <c r="J3735">
        <f>IF(Table13[[#This Row],[POS]]=0,1,0)</f>
        <v>0</v>
      </c>
      <c r="K3735">
        <f>SUM(Table13[[#This Row],[prefix]],Table13[[#This Row],[Past zero L]],Table13[[#This Row],[Past Zero R]],Table13[[#This Row],[Is Zero]])</f>
        <v>0</v>
      </c>
    </row>
    <row r="3736" spans="1:11" ht="16" x14ac:dyDescent="0.2">
      <c r="A3736" s="1" t="s">
        <v>6</v>
      </c>
      <c r="B3736" t="str">
        <f>LEFT(Table13[[#This Row],[Input]],1)</f>
        <v>R</v>
      </c>
      <c r="C3736">
        <f>_xlfn.LET(_xlpm.steps,SUBSTITUTE(Table13[[#This Row],[Input]],Table13[[#This Row],[Direction]],""),VALUE(IF(LEN(_xlpm.steps)&gt;2,RIGHT(_xlpm.steps,2),_xlpm.steps)))</f>
        <v>49</v>
      </c>
      <c r="D3736">
        <f>_xlfn.LET(_xlpm.steps,SUBSTITUTE(Table13[[#This Row],[Input]],Table13[[#This Row],[Direction]],""),VALUE(IF(LEN(_xlpm.steps)&gt;2,LEFT(_xlpm.steps,LEN(_xlpm.steps)-2),0)))</f>
        <v>0</v>
      </c>
      <c r="E3736">
        <f>_xlfn.LET(_xlpm.dir,Table13[[#This Row],[Direction]],
IF(_xlpm.dir="L",
    IF(G3735-Table13[[#This Row],[Steps]]&lt;0,100+(G3735-Table13[[#This Row],[Steps]]),G3735-Table13[[#This Row],[Steps]]),
))</f>
        <v>0</v>
      </c>
      <c r="F3736">
        <f>_xlfn.LET(_xlpm.dir,Table13[[#This Row],[Direction]],
IF(_xlpm.dir="R",
    IF(G3735+Table13[[#This Row],[Steps]]&gt;99,(G3735+Table13[[#This Row],[Steps]])-100,G3735+Table13[[#This Row],[Steps]]),
))</f>
        <v>0</v>
      </c>
      <c r="G3736">
        <f>IF(Table13[[#This Row],[New Pos L]]&lt;&gt;0,Table13[[#This Row],[New Pos L]],Table13[[#This Row],[New Pos R]])</f>
        <v>0</v>
      </c>
      <c r="H3736">
        <f>IF(AND(Table13[[#This Row],[Direction]]="L",Table13[[#This Row],[Steps]]&gt;G3735,G3735&lt;&gt;0),1,0)</f>
        <v>0</v>
      </c>
      <c r="I3736">
        <f>IF(AND(Table13[[#This Row],[Direction]]="R",(G3735+Table13[[#This Row],[Steps]])&gt;100),1,0)</f>
        <v>0</v>
      </c>
      <c r="J3736">
        <f>IF(Table13[[#This Row],[POS]]=0,1,0)</f>
        <v>1</v>
      </c>
      <c r="K3736">
        <f>SUM(Table13[[#This Row],[prefix]],Table13[[#This Row],[Past zero L]],Table13[[#This Row],[Past Zero R]],Table13[[#This Row],[Is Zero]])</f>
        <v>1</v>
      </c>
    </row>
    <row r="3737" spans="1:11" ht="16" x14ac:dyDescent="0.2">
      <c r="A3737" s="1" t="s">
        <v>5</v>
      </c>
      <c r="B3737" t="str">
        <f>LEFT(Table13[[#This Row],[Input]],1)</f>
        <v>R</v>
      </c>
      <c r="C3737">
        <f>_xlfn.LET(_xlpm.steps,SUBSTITUTE(Table13[[#This Row],[Input]],Table13[[#This Row],[Direction]],""),VALUE(IF(LEN(_xlpm.steps)&gt;2,RIGHT(_xlpm.steps,2),_xlpm.steps)))</f>
        <v>1</v>
      </c>
      <c r="D3737">
        <f>_xlfn.LET(_xlpm.steps,SUBSTITUTE(Table13[[#This Row],[Input]],Table13[[#This Row],[Direction]],""),VALUE(IF(LEN(_xlpm.steps)&gt;2,LEFT(_xlpm.steps,LEN(_xlpm.steps)-2),0)))</f>
        <v>0</v>
      </c>
      <c r="E3737">
        <f>_xlfn.LET(_xlpm.dir,Table13[[#This Row],[Direction]],
IF(_xlpm.dir="L",
    IF(G3736-Table13[[#This Row],[Steps]]&lt;0,100+(G3736-Table13[[#This Row],[Steps]]),G3736-Table13[[#This Row],[Steps]]),
))</f>
        <v>0</v>
      </c>
      <c r="F3737">
        <f>_xlfn.LET(_xlpm.dir,Table13[[#This Row],[Direction]],
IF(_xlpm.dir="R",
    IF(G3736+Table13[[#This Row],[Steps]]&gt;99,(G3736+Table13[[#This Row],[Steps]])-100,G3736+Table13[[#This Row],[Steps]]),
))</f>
        <v>1</v>
      </c>
      <c r="G3737">
        <f>IF(Table13[[#This Row],[New Pos L]]&lt;&gt;0,Table13[[#This Row],[New Pos L]],Table13[[#This Row],[New Pos R]])</f>
        <v>1</v>
      </c>
      <c r="H3737">
        <f>IF(AND(Table13[[#This Row],[Direction]]="L",Table13[[#This Row],[Steps]]&gt;G3736,G3736&lt;&gt;0),1,0)</f>
        <v>0</v>
      </c>
      <c r="I3737">
        <f>IF(AND(Table13[[#This Row],[Direction]]="R",(G3736+Table13[[#This Row],[Steps]])&gt;100),1,0)</f>
        <v>0</v>
      </c>
      <c r="J3737">
        <f>IF(Table13[[#This Row],[POS]]=0,1,0)</f>
        <v>0</v>
      </c>
      <c r="K3737">
        <f>SUM(Table13[[#This Row],[prefix]],Table13[[#This Row],[Past zero L]],Table13[[#This Row],[Past Zero R]],Table13[[#This Row],[Is Zero]])</f>
        <v>0</v>
      </c>
    </row>
    <row r="3738" spans="1:11" ht="16" x14ac:dyDescent="0.2">
      <c r="A3738" s="1" t="s">
        <v>790</v>
      </c>
      <c r="B3738" t="str">
        <f>LEFT(Table13[[#This Row],[Input]],1)</f>
        <v>L</v>
      </c>
      <c r="C3738">
        <f>_xlfn.LET(_xlpm.steps,SUBSTITUTE(Table13[[#This Row],[Input]],Table13[[#This Row],[Direction]],""),VALUE(IF(LEN(_xlpm.steps)&gt;2,RIGHT(_xlpm.steps,2),_xlpm.steps)))</f>
        <v>4</v>
      </c>
      <c r="D3738">
        <f>_xlfn.LET(_xlpm.steps,SUBSTITUTE(Table13[[#This Row],[Input]],Table13[[#This Row],[Direction]],""),VALUE(IF(LEN(_xlpm.steps)&gt;2,LEFT(_xlpm.steps,LEN(_xlpm.steps)-2),0)))</f>
        <v>2</v>
      </c>
      <c r="E3738">
        <f>_xlfn.LET(_xlpm.dir,Table13[[#This Row],[Direction]],
IF(_xlpm.dir="L",
    IF(G3737-Table13[[#This Row],[Steps]]&lt;0,100+(G3737-Table13[[#This Row],[Steps]]),G3737-Table13[[#This Row],[Steps]]),
))</f>
        <v>97</v>
      </c>
      <c r="F3738">
        <f>_xlfn.LET(_xlpm.dir,Table13[[#This Row],[Direction]],
IF(_xlpm.dir="R",
    IF(G3737+Table13[[#This Row],[Steps]]&gt;99,(G3737+Table13[[#This Row],[Steps]])-100,G3737+Table13[[#This Row],[Steps]]),
))</f>
        <v>0</v>
      </c>
      <c r="G3738">
        <f>IF(Table13[[#This Row],[New Pos L]]&lt;&gt;0,Table13[[#This Row],[New Pos L]],Table13[[#This Row],[New Pos R]])</f>
        <v>97</v>
      </c>
      <c r="H3738">
        <f>IF(AND(Table13[[#This Row],[Direction]]="L",Table13[[#This Row],[Steps]]&gt;G3737,G3737&lt;&gt;0),1,0)</f>
        <v>1</v>
      </c>
      <c r="I3738">
        <f>IF(AND(Table13[[#This Row],[Direction]]="R",(G3737+Table13[[#This Row],[Steps]])&gt;100),1,0)</f>
        <v>0</v>
      </c>
      <c r="J3738">
        <f>IF(Table13[[#This Row],[POS]]=0,1,0)</f>
        <v>0</v>
      </c>
      <c r="K3738">
        <f>SUM(Table13[[#This Row],[prefix]],Table13[[#This Row],[Past zero L]],Table13[[#This Row],[Past Zero R]],Table13[[#This Row],[Is Zero]])</f>
        <v>3</v>
      </c>
    </row>
    <row r="3739" spans="1:11" ht="16" x14ac:dyDescent="0.2">
      <c r="A3739" s="1" t="s">
        <v>791</v>
      </c>
      <c r="B3739" t="str">
        <f>LEFT(Table13[[#This Row],[Input]],1)</f>
        <v>L</v>
      </c>
      <c r="C3739">
        <f>_xlfn.LET(_xlpm.steps,SUBSTITUTE(Table13[[#This Row],[Input]],Table13[[#This Row],[Direction]],""),VALUE(IF(LEN(_xlpm.steps)&gt;2,RIGHT(_xlpm.steps,2),_xlpm.steps)))</f>
        <v>14</v>
      </c>
      <c r="D3739">
        <f>_xlfn.LET(_xlpm.steps,SUBSTITUTE(Table13[[#This Row],[Input]],Table13[[#This Row],[Direction]],""),VALUE(IF(LEN(_xlpm.steps)&gt;2,LEFT(_xlpm.steps,LEN(_xlpm.steps)-2),0)))</f>
        <v>4</v>
      </c>
      <c r="E3739">
        <f>_xlfn.LET(_xlpm.dir,Table13[[#This Row],[Direction]],
IF(_xlpm.dir="L",
    IF(G3738-Table13[[#This Row],[Steps]]&lt;0,100+(G3738-Table13[[#This Row],[Steps]]),G3738-Table13[[#This Row],[Steps]]),
))</f>
        <v>83</v>
      </c>
      <c r="F3739">
        <f>_xlfn.LET(_xlpm.dir,Table13[[#This Row],[Direction]],
IF(_xlpm.dir="R",
    IF(G3738+Table13[[#This Row],[Steps]]&gt;99,(G3738+Table13[[#This Row],[Steps]])-100,G3738+Table13[[#This Row],[Steps]]),
))</f>
        <v>0</v>
      </c>
      <c r="G3739">
        <f>IF(Table13[[#This Row],[New Pos L]]&lt;&gt;0,Table13[[#This Row],[New Pos L]],Table13[[#This Row],[New Pos R]])</f>
        <v>83</v>
      </c>
      <c r="H3739">
        <f>IF(AND(Table13[[#This Row],[Direction]]="L",Table13[[#This Row],[Steps]]&gt;G3738,G3738&lt;&gt;0),1,0)</f>
        <v>0</v>
      </c>
      <c r="I3739">
        <f>IF(AND(Table13[[#This Row],[Direction]]="R",(G3738+Table13[[#This Row],[Steps]])&gt;100),1,0)</f>
        <v>0</v>
      </c>
      <c r="J3739">
        <f>IF(Table13[[#This Row],[POS]]=0,1,0)</f>
        <v>0</v>
      </c>
      <c r="K3739">
        <f>SUM(Table13[[#This Row],[prefix]],Table13[[#This Row],[Past zero L]],Table13[[#This Row],[Past Zero R]],Table13[[#This Row],[Is Zero]])</f>
        <v>4</v>
      </c>
    </row>
    <row r="3740" spans="1:11" ht="16" x14ac:dyDescent="0.2">
      <c r="A3740" s="1" t="s">
        <v>151</v>
      </c>
      <c r="B3740" t="str">
        <f>LEFT(Table13[[#This Row],[Input]],1)</f>
        <v>L</v>
      </c>
      <c r="C3740">
        <f>_xlfn.LET(_xlpm.steps,SUBSTITUTE(Table13[[#This Row],[Input]],Table13[[#This Row],[Direction]],""),VALUE(IF(LEN(_xlpm.steps)&gt;2,RIGHT(_xlpm.steps,2),_xlpm.steps)))</f>
        <v>74</v>
      </c>
      <c r="D3740">
        <f>_xlfn.LET(_xlpm.steps,SUBSTITUTE(Table13[[#This Row],[Input]],Table13[[#This Row],[Direction]],""),VALUE(IF(LEN(_xlpm.steps)&gt;2,LEFT(_xlpm.steps,LEN(_xlpm.steps)-2),0)))</f>
        <v>0</v>
      </c>
      <c r="E3740">
        <f>_xlfn.LET(_xlpm.dir,Table13[[#This Row],[Direction]],
IF(_xlpm.dir="L",
    IF(G3739-Table13[[#This Row],[Steps]]&lt;0,100+(G3739-Table13[[#This Row],[Steps]]),G3739-Table13[[#This Row],[Steps]]),
))</f>
        <v>9</v>
      </c>
      <c r="F3740">
        <f>_xlfn.LET(_xlpm.dir,Table13[[#This Row],[Direction]],
IF(_xlpm.dir="R",
    IF(G3739+Table13[[#This Row],[Steps]]&gt;99,(G3739+Table13[[#This Row],[Steps]])-100,G3739+Table13[[#This Row],[Steps]]),
))</f>
        <v>0</v>
      </c>
      <c r="G3740">
        <f>IF(Table13[[#This Row],[New Pos L]]&lt;&gt;0,Table13[[#This Row],[New Pos L]],Table13[[#This Row],[New Pos R]])</f>
        <v>9</v>
      </c>
      <c r="H3740">
        <f>IF(AND(Table13[[#This Row],[Direction]]="L",Table13[[#This Row],[Steps]]&gt;G3739,G3739&lt;&gt;0),1,0)</f>
        <v>0</v>
      </c>
      <c r="I3740">
        <f>IF(AND(Table13[[#This Row],[Direction]]="R",(G3739+Table13[[#This Row],[Steps]])&gt;100),1,0)</f>
        <v>0</v>
      </c>
      <c r="J3740">
        <f>IF(Table13[[#This Row],[POS]]=0,1,0)</f>
        <v>0</v>
      </c>
      <c r="K3740">
        <f>SUM(Table13[[#This Row],[prefix]],Table13[[#This Row],[Past zero L]],Table13[[#This Row],[Past Zero R]],Table13[[#This Row],[Is Zero]])</f>
        <v>0</v>
      </c>
    </row>
    <row r="3741" spans="1:11" ht="16" x14ac:dyDescent="0.2">
      <c r="A3741" s="1" t="s">
        <v>115</v>
      </c>
      <c r="B3741" t="str">
        <f>LEFT(Table13[[#This Row],[Input]],1)</f>
        <v>L</v>
      </c>
      <c r="C3741">
        <f>_xlfn.LET(_xlpm.steps,SUBSTITUTE(Table13[[#This Row],[Input]],Table13[[#This Row],[Direction]],""),VALUE(IF(LEN(_xlpm.steps)&gt;2,RIGHT(_xlpm.steps,2),_xlpm.steps)))</f>
        <v>29</v>
      </c>
      <c r="D3741">
        <f>_xlfn.LET(_xlpm.steps,SUBSTITUTE(Table13[[#This Row],[Input]],Table13[[#This Row],[Direction]],""),VALUE(IF(LEN(_xlpm.steps)&gt;2,LEFT(_xlpm.steps,LEN(_xlpm.steps)-2),0)))</f>
        <v>0</v>
      </c>
      <c r="E3741">
        <f>_xlfn.LET(_xlpm.dir,Table13[[#This Row],[Direction]],
IF(_xlpm.dir="L",
    IF(G3740-Table13[[#This Row],[Steps]]&lt;0,100+(G3740-Table13[[#This Row],[Steps]]),G3740-Table13[[#This Row],[Steps]]),
))</f>
        <v>80</v>
      </c>
      <c r="F3741">
        <f>_xlfn.LET(_xlpm.dir,Table13[[#This Row],[Direction]],
IF(_xlpm.dir="R",
    IF(G3740+Table13[[#This Row],[Steps]]&gt;99,(G3740+Table13[[#This Row],[Steps]])-100,G3740+Table13[[#This Row],[Steps]]),
))</f>
        <v>0</v>
      </c>
      <c r="G3741">
        <f>IF(Table13[[#This Row],[New Pos L]]&lt;&gt;0,Table13[[#This Row],[New Pos L]],Table13[[#This Row],[New Pos R]])</f>
        <v>80</v>
      </c>
      <c r="H3741">
        <f>IF(AND(Table13[[#This Row],[Direction]]="L",Table13[[#This Row],[Steps]]&gt;G3740,G3740&lt;&gt;0),1,0)</f>
        <v>1</v>
      </c>
      <c r="I3741">
        <f>IF(AND(Table13[[#This Row],[Direction]]="R",(G3740+Table13[[#This Row],[Steps]])&gt;100),1,0)</f>
        <v>0</v>
      </c>
      <c r="J3741">
        <f>IF(Table13[[#This Row],[POS]]=0,1,0)</f>
        <v>0</v>
      </c>
      <c r="K3741">
        <f>SUM(Table13[[#This Row],[prefix]],Table13[[#This Row],[Past zero L]],Table13[[#This Row],[Past Zero R]],Table13[[#This Row],[Is Zero]])</f>
        <v>1</v>
      </c>
    </row>
    <row r="3742" spans="1:11" ht="16" x14ac:dyDescent="0.2">
      <c r="A3742" s="1" t="s">
        <v>68</v>
      </c>
      <c r="B3742" t="str">
        <f>LEFT(Table13[[#This Row],[Input]],1)</f>
        <v>L</v>
      </c>
      <c r="C3742">
        <f>_xlfn.LET(_xlpm.steps,SUBSTITUTE(Table13[[#This Row],[Input]],Table13[[#This Row],[Direction]],""),VALUE(IF(LEN(_xlpm.steps)&gt;2,RIGHT(_xlpm.steps,2),_xlpm.steps)))</f>
        <v>80</v>
      </c>
      <c r="D3742">
        <f>_xlfn.LET(_xlpm.steps,SUBSTITUTE(Table13[[#This Row],[Input]],Table13[[#This Row],[Direction]],""),VALUE(IF(LEN(_xlpm.steps)&gt;2,LEFT(_xlpm.steps,LEN(_xlpm.steps)-2),0)))</f>
        <v>0</v>
      </c>
      <c r="E3742">
        <f>_xlfn.LET(_xlpm.dir,Table13[[#This Row],[Direction]],
IF(_xlpm.dir="L",
    IF(G3741-Table13[[#This Row],[Steps]]&lt;0,100+(G3741-Table13[[#This Row],[Steps]]),G3741-Table13[[#This Row],[Steps]]),
))</f>
        <v>0</v>
      </c>
      <c r="F3742">
        <f>_xlfn.LET(_xlpm.dir,Table13[[#This Row],[Direction]],
IF(_xlpm.dir="R",
    IF(G3741+Table13[[#This Row],[Steps]]&gt;99,(G3741+Table13[[#This Row],[Steps]])-100,G3741+Table13[[#This Row],[Steps]]),
))</f>
        <v>0</v>
      </c>
      <c r="G3742">
        <f>IF(Table13[[#This Row],[New Pos L]]&lt;&gt;0,Table13[[#This Row],[New Pos L]],Table13[[#This Row],[New Pos R]])</f>
        <v>0</v>
      </c>
      <c r="H3742">
        <f>IF(AND(Table13[[#This Row],[Direction]]="L",Table13[[#This Row],[Steps]]&gt;G3741,G3741&lt;&gt;0),1,0)</f>
        <v>0</v>
      </c>
      <c r="I3742">
        <f>IF(AND(Table13[[#This Row],[Direction]]="R",(G3741+Table13[[#This Row],[Steps]])&gt;100),1,0)</f>
        <v>0</v>
      </c>
      <c r="J3742">
        <f>IF(Table13[[#This Row],[POS]]=0,1,0)</f>
        <v>1</v>
      </c>
      <c r="K3742">
        <f>SUM(Table13[[#This Row],[prefix]],Table13[[#This Row],[Past zero L]],Table13[[#This Row],[Past Zero R]],Table13[[#This Row],[Is Zero]])</f>
        <v>1</v>
      </c>
    </row>
    <row r="3743" spans="1:11" ht="16" x14ac:dyDescent="0.2">
      <c r="A3743" s="1" t="s">
        <v>161</v>
      </c>
      <c r="B3743" t="str">
        <f>LEFT(Table13[[#This Row],[Input]],1)</f>
        <v>R</v>
      </c>
      <c r="C3743">
        <f>_xlfn.LET(_xlpm.steps,SUBSTITUTE(Table13[[#This Row],[Input]],Table13[[#This Row],[Direction]],""),VALUE(IF(LEN(_xlpm.steps)&gt;2,RIGHT(_xlpm.steps,2),_xlpm.steps)))</f>
        <v>76</v>
      </c>
      <c r="D3743">
        <f>_xlfn.LET(_xlpm.steps,SUBSTITUTE(Table13[[#This Row],[Input]],Table13[[#This Row],[Direction]],""),VALUE(IF(LEN(_xlpm.steps)&gt;2,LEFT(_xlpm.steps,LEN(_xlpm.steps)-2),0)))</f>
        <v>0</v>
      </c>
      <c r="E3743">
        <f>_xlfn.LET(_xlpm.dir,Table13[[#This Row],[Direction]],
IF(_xlpm.dir="L",
    IF(G3742-Table13[[#This Row],[Steps]]&lt;0,100+(G3742-Table13[[#This Row],[Steps]]),G3742-Table13[[#This Row],[Steps]]),
))</f>
        <v>0</v>
      </c>
      <c r="F3743">
        <f>_xlfn.LET(_xlpm.dir,Table13[[#This Row],[Direction]],
IF(_xlpm.dir="R",
    IF(G3742+Table13[[#This Row],[Steps]]&gt;99,(G3742+Table13[[#This Row],[Steps]])-100,G3742+Table13[[#This Row],[Steps]]),
))</f>
        <v>76</v>
      </c>
      <c r="G3743">
        <f>IF(Table13[[#This Row],[New Pos L]]&lt;&gt;0,Table13[[#This Row],[New Pos L]],Table13[[#This Row],[New Pos R]])</f>
        <v>76</v>
      </c>
      <c r="H3743">
        <f>IF(AND(Table13[[#This Row],[Direction]]="L",Table13[[#This Row],[Steps]]&gt;G3742,G3742&lt;&gt;0),1,0)</f>
        <v>0</v>
      </c>
      <c r="I3743">
        <f>IF(AND(Table13[[#This Row],[Direction]]="R",(G3742+Table13[[#This Row],[Steps]])&gt;100),1,0)</f>
        <v>0</v>
      </c>
      <c r="J3743">
        <f>IF(Table13[[#This Row],[POS]]=0,1,0)</f>
        <v>0</v>
      </c>
      <c r="K3743">
        <f>SUM(Table13[[#This Row],[prefix]],Table13[[#This Row],[Past zero L]],Table13[[#This Row],[Past Zero R]],Table13[[#This Row],[Is Zero]])</f>
        <v>0</v>
      </c>
    </row>
    <row r="3744" spans="1:11" ht="16" x14ac:dyDescent="0.2">
      <c r="A3744" s="1" t="s">
        <v>254</v>
      </c>
      <c r="B3744" t="str">
        <f>LEFT(Table13[[#This Row],[Input]],1)</f>
        <v>R</v>
      </c>
      <c r="C3744">
        <f>_xlfn.LET(_xlpm.steps,SUBSTITUTE(Table13[[#This Row],[Input]],Table13[[#This Row],[Direction]],""),VALUE(IF(LEN(_xlpm.steps)&gt;2,RIGHT(_xlpm.steps,2),_xlpm.steps)))</f>
        <v>84</v>
      </c>
      <c r="D3744">
        <f>_xlfn.LET(_xlpm.steps,SUBSTITUTE(Table13[[#This Row],[Input]],Table13[[#This Row],[Direction]],""),VALUE(IF(LEN(_xlpm.steps)&gt;2,LEFT(_xlpm.steps,LEN(_xlpm.steps)-2),0)))</f>
        <v>0</v>
      </c>
      <c r="E3744">
        <f>_xlfn.LET(_xlpm.dir,Table13[[#This Row],[Direction]],
IF(_xlpm.dir="L",
    IF(G3743-Table13[[#This Row],[Steps]]&lt;0,100+(G3743-Table13[[#This Row],[Steps]]),G3743-Table13[[#This Row],[Steps]]),
))</f>
        <v>0</v>
      </c>
      <c r="F3744">
        <f>_xlfn.LET(_xlpm.dir,Table13[[#This Row],[Direction]],
IF(_xlpm.dir="R",
    IF(G3743+Table13[[#This Row],[Steps]]&gt;99,(G3743+Table13[[#This Row],[Steps]])-100,G3743+Table13[[#This Row],[Steps]]),
))</f>
        <v>60</v>
      </c>
      <c r="G3744">
        <f>IF(Table13[[#This Row],[New Pos L]]&lt;&gt;0,Table13[[#This Row],[New Pos L]],Table13[[#This Row],[New Pos R]])</f>
        <v>60</v>
      </c>
      <c r="H3744">
        <f>IF(AND(Table13[[#This Row],[Direction]]="L",Table13[[#This Row],[Steps]]&gt;G3743,G3743&lt;&gt;0),1,0)</f>
        <v>0</v>
      </c>
      <c r="I3744">
        <f>IF(AND(Table13[[#This Row],[Direction]]="R",(G3743+Table13[[#This Row],[Steps]])&gt;100),1,0)</f>
        <v>1</v>
      </c>
      <c r="J3744">
        <f>IF(Table13[[#This Row],[POS]]=0,1,0)</f>
        <v>0</v>
      </c>
      <c r="K3744">
        <f>SUM(Table13[[#This Row],[prefix]],Table13[[#This Row],[Past zero L]],Table13[[#This Row],[Past Zero R]],Table13[[#This Row],[Is Zero]])</f>
        <v>1</v>
      </c>
    </row>
    <row r="3745" spans="1:11" ht="16" x14ac:dyDescent="0.2">
      <c r="A3745" s="1" t="s">
        <v>276</v>
      </c>
      <c r="B3745" t="str">
        <f>LEFT(Table13[[#This Row],[Input]],1)</f>
        <v>L</v>
      </c>
      <c r="C3745">
        <f>_xlfn.LET(_xlpm.steps,SUBSTITUTE(Table13[[#This Row],[Input]],Table13[[#This Row],[Direction]],""),VALUE(IF(LEN(_xlpm.steps)&gt;2,RIGHT(_xlpm.steps,2),_xlpm.steps)))</f>
        <v>60</v>
      </c>
      <c r="D3745">
        <f>_xlfn.LET(_xlpm.steps,SUBSTITUTE(Table13[[#This Row],[Input]],Table13[[#This Row],[Direction]],""),VALUE(IF(LEN(_xlpm.steps)&gt;2,LEFT(_xlpm.steps,LEN(_xlpm.steps)-2),0)))</f>
        <v>0</v>
      </c>
      <c r="E3745">
        <f>_xlfn.LET(_xlpm.dir,Table13[[#This Row],[Direction]],
IF(_xlpm.dir="L",
    IF(G3744-Table13[[#This Row],[Steps]]&lt;0,100+(G3744-Table13[[#This Row],[Steps]]),G3744-Table13[[#This Row],[Steps]]),
))</f>
        <v>0</v>
      </c>
      <c r="F3745">
        <f>_xlfn.LET(_xlpm.dir,Table13[[#This Row],[Direction]],
IF(_xlpm.dir="R",
    IF(G3744+Table13[[#This Row],[Steps]]&gt;99,(G3744+Table13[[#This Row],[Steps]])-100,G3744+Table13[[#This Row],[Steps]]),
))</f>
        <v>0</v>
      </c>
      <c r="G3745">
        <f>IF(Table13[[#This Row],[New Pos L]]&lt;&gt;0,Table13[[#This Row],[New Pos L]],Table13[[#This Row],[New Pos R]])</f>
        <v>0</v>
      </c>
      <c r="H3745">
        <f>IF(AND(Table13[[#This Row],[Direction]]="L",Table13[[#This Row],[Steps]]&gt;G3744,G3744&lt;&gt;0),1,0)</f>
        <v>0</v>
      </c>
      <c r="I3745">
        <f>IF(AND(Table13[[#This Row],[Direction]]="R",(G3744+Table13[[#This Row],[Steps]])&gt;100),1,0)</f>
        <v>0</v>
      </c>
      <c r="J3745">
        <f>IF(Table13[[#This Row],[POS]]=0,1,0)</f>
        <v>1</v>
      </c>
      <c r="K3745">
        <f>SUM(Table13[[#This Row],[prefix]],Table13[[#This Row],[Past zero L]],Table13[[#This Row],[Past Zero R]],Table13[[#This Row],[Is Zero]])</f>
        <v>1</v>
      </c>
    </row>
    <row r="3746" spans="1:11" ht="16" x14ac:dyDescent="0.2">
      <c r="A3746" s="1" t="s">
        <v>792</v>
      </c>
      <c r="B3746" t="str">
        <f>LEFT(Table13[[#This Row],[Input]],1)</f>
        <v>R</v>
      </c>
      <c r="C3746">
        <f>_xlfn.LET(_xlpm.steps,SUBSTITUTE(Table13[[#This Row],[Input]],Table13[[#This Row],[Direction]],""),VALUE(IF(LEN(_xlpm.steps)&gt;2,RIGHT(_xlpm.steps,2),_xlpm.steps)))</f>
        <v>92</v>
      </c>
      <c r="D3746">
        <f>_xlfn.LET(_xlpm.steps,SUBSTITUTE(Table13[[#This Row],[Input]],Table13[[#This Row],[Direction]],""),VALUE(IF(LEN(_xlpm.steps)&gt;2,LEFT(_xlpm.steps,LEN(_xlpm.steps)-2),0)))</f>
        <v>4</v>
      </c>
      <c r="E3746">
        <f>_xlfn.LET(_xlpm.dir,Table13[[#This Row],[Direction]],
IF(_xlpm.dir="L",
    IF(G3745-Table13[[#This Row],[Steps]]&lt;0,100+(G3745-Table13[[#This Row],[Steps]]),G3745-Table13[[#This Row],[Steps]]),
))</f>
        <v>0</v>
      </c>
      <c r="F3746">
        <f>_xlfn.LET(_xlpm.dir,Table13[[#This Row],[Direction]],
IF(_xlpm.dir="R",
    IF(G3745+Table13[[#This Row],[Steps]]&gt;99,(G3745+Table13[[#This Row],[Steps]])-100,G3745+Table13[[#This Row],[Steps]]),
))</f>
        <v>92</v>
      </c>
      <c r="G3746">
        <f>IF(Table13[[#This Row],[New Pos L]]&lt;&gt;0,Table13[[#This Row],[New Pos L]],Table13[[#This Row],[New Pos R]])</f>
        <v>92</v>
      </c>
      <c r="H3746">
        <f>IF(AND(Table13[[#This Row],[Direction]]="L",Table13[[#This Row],[Steps]]&gt;G3745,G3745&lt;&gt;0),1,0)</f>
        <v>0</v>
      </c>
      <c r="I3746">
        <f>IF(AND(Table13[[#This Row],[Direction]]="R",(G3745+Table13[[#This Row],[Steps]])&gt;100),1,0)</f>
        <v>0</v>
      </c>
      <c r="J3746">
        <f>IF(Table13[[#This Row],[POS]]=0,1,0)</f>
        <v>0</v>
      </c>
      <c r="K3746">
        <f>SUM(Table13[[#This Row],[prefix]],Table13[[#This Row],[Past zero L]],Table13[[#This Row],[Past Zero R]],Table13[[#This Row],[Is Zero]])</f>
        <v>4</v>
      </c>
    </row>
    <row r="3747" spans="1:11" ht="16" x14ac:dyDescent="0.2">
      <c r="A3747" s="1" t="s">
        <v>171</v>
      </c>
      <c r="B3747" t="str">
        <f>LEFT(Table13[[#This Row],[Input]],1)</f>
        <v>L</v>
      </c>
      <c r="C3747">
        <f>_xlfn.LET(_xlpm.steps,SUBSTITUTE(Table13[[#This Row],[Input]],Table13[[#This Row],[Direction]],""),VALUE(IF(LEN(_xlpm.steps)&gt;2,RIGHT(_xlpm.steps,2),_xlpm.steps)))</f>
        <v>73</v>
      </c>
      <c r="D3747">
        <f>_xlfn.LET(_xlpm.steps,SUBSTITUTE(Table13[[#This Row],[Input]],Table13[[#This Row],[Direction]],""),VALUE(IF(LEN(_xlpm.steps)&gt;2,LEFT(_xlpm.steps,LEN(_xlpm.steps)-2),0)))</f>
        <v>0</v>
      </c>
      <c r="E3747">
        <f>_xlfn.LET(_xlpm.dir,Table13[[#This Row],[Direction]],
IF(_xlpm.dir="L",
    IF(G3746-Table13[[#This Row],[Steps]]&lt;0,100+(G3746-Table13[[#This Row],[Steps]]),G3746-Table13[[#This Row],[Steps]]),
))</f>
        <v>19</v>
      </c>
      <c r="F3747">
        <f>_xlfn.LET(_xlpm.dir,Table13[[#This Row],[Direction]],
IF(_xlpm.dir="R",
    IF(G3746+Table13[[#This Row],[Steps]]&gt;99,(G3746+Table13[[#This Row],[Steps]])-100,G3746+Table13[[#This Row],[Steps]]),
))</f>
        <v>0</v>
      </c>
      <c r="G3747">
        <f>IF(Table13[[#This Row],[New Pos L]]&lt;&gt;0,Table13[[#This Row],[New Pos L]],Table13[[#This Row],[New Pos R]])</f>
        <v>19</v>
      </c>
      <c r="H3747">
        <f>IF(AND(Table13[[#This Row],[Direction]]="L",Table13[[#This Row],[Steps]]&gt;G3746,G3746&lt;&gt;0),1,0)</f>
        <v>0</v>
      </c>
      <c r="I3747">
        <f>IF(AND(Table13[[#This Row],[Direction]]="R",(G3746+Table13[[#This Row],[Steps]])&gt;100),1,0)</f>
        <v>0</v>
      </c>
      <c r="J3747">
        <f>IF(Table13[[#This Row],[POS]]=0,1,0)</f>
        <v>0</v>
      </c>
      <c r="K3747">
        <f>SUM(Table13[[#This Row],[prefix]],Table13[[#This Row],[Past zero L]],Table13[[#This Row],[Past Zero R]],Table13[[#This Row],[Is Zero]])</f>
        <v>0</v>
      </c>
    </row>
    <row r="3748" spans="1:11" ht="16" x14ac:dyDescent="0.2">
      <c r="A3748" s="1" t="s">
        <v>296</v>
      </c>
      <c r="B3748" t="str">
        <f>LEFT(Table13[[#This Row],[Input]],1)</f>
        <v>R</v>
      </c>
      <c r="C3748">
        <f>_xlfn.LET(_xlpm.steps,SUBSTITUTE(Table13[[#This Row],[Input]],Table13[[#This Row],[Direction]],""),VALUE(IF(LEN(_xlpm.steps)&gt;2,RIGHT(_xlpm.steps,2),_xlpm.steps)))</f>
        <v>19</v>
      </c>
      <c r="D3748">
        <f>_xlfn.LET(_xlpm.steps,SUBSTITUTE(Table13[[#This Row],[Input]],Table13[[#This Row],[Direction]],""),VALUE(IF(LEN(_xlpm.steps)&gt;2,LEFT(_xlpm.steps,LEN(_xlpm.steps)-2),0)))</f>
        <v>0</v>
      </c>
      <c r="E3748">
        <f>_xlfn.LET(_xlpm.dir,Table13[[#This Row],[Direction]],
IF(_xlpm.dir="L",
    IF(G3747-Table13[[#This Row],[Steps]]&lt;0,100+(G3747-Table13[[#This Row],[Steps]]),G3747-Table13[[#This Row],[Steps]]),
))</f>
        <v>0</v>
      </c>
      <c r="F3748">
        <f>_xlfn.LET(_xlpm.dir,Table13[[#This Row],[Direction]],
IF(_xlpm.dir="R",
    IF(G3747+Table13[[#This Row],[Steps]]&gt;99,(G3747+Table13[[#This Row],[Steps]])-100,G3747+Table13[[#This Row],[Steps]]),
))</f>
        <v>38</v>
      </c>
      <c r="G3748">
        <f>IF(Table13[[#This Row],[New Pos L]]&lt;&gt;0,Table13[[#This Row],[New Pos L]],Table13[[#This Row],[New Pos R]])</f>
        <v>38</v>
      </c>
      <c r="H3748">
        <f>IF(AND(Table13[[#This Row],[Direction]]="L",Table13[[#This Row],[Steps]]&gt;G3747,G3747&lt;&gt;0),1,0)</f>
        <v>0</v>
      </c>
      <c r="I3748">
        <f>IF(AND(Table13[[#This Row],[Direction]]="R",(G3747+Table13[[#This Row],[Steps]])&gt;100),1,0)</f>
        <v>0</v>
      </c>
      <c r="J3748">
        <f>IF(Table13[[#This Row],[POS]]=0,1,0)</f>
        <v>0</v>
      </c>
      <c r="K3748">
        <f>SUM(Table13[[#This Row],[prefix]],Table13[[#This Row],[Past zero L]],Table13[[#This Row],[Past Zero R]],Table13[[#This Row],[Is Zero]])</f>
        <v>0</v>
      </c>
    </row>
    <row r="3749" spans="1:11" ht="16" x14ac:dyDescent="0.2">
      <c r="A3749" s="1" t="s">
        <v>793</v>
      </c>
      <c r="B3749" t="str">
        <f>LEFT(Table13[[#This Row],[Input]],1)</f>
        <v>R</v>
      </c>
      <c r="C3749">
        <f>_xlfn.LET(_xlpm.steps,SUBSTITUTE(Table13[[#This Row],[Input]],Table13[[#This Row],[Direction]],""),VALUE(IF(LEN(_xlpm.steps)&gt;2,RIGHT(_xlpm.steps,2),_xlpm.steps)))</f>
        <v>21</v>
      </c>
      <c r="D3749">
        <f>_xlfn.LET(_xlpm.steps,SUBSTITUTE(Table13[[#This Row],[Input]],Table13[[#This Row],[Direction]],""),VALUE(IF(LEN(_xlpm.steps)&gt;2,LEFT(_xlpm.steps,LEN(_xlpm.steps)-2),0)))</f>
        <v>4</v>
      </c>
      <c r="E3749">
        <f>_xlfn.LET(_xlpm.dir,Table13[[#This Row],[Direction]],
IF(_xlpm.dir="L",
    IF(G3748-Table13[[#This Row],[Steps]]&lt;0,100+(G3748-Table13[[#This Row],[Steps]]),G3748-Table13[[#This Row],[Steps]]),
))</f>
        <v>0</v>
      </c>
      <c r="F3749">
        <f>_xlfn.LET(_xlpm.dir,Table13[[#This Row],[Direction]],
IF(_xlpm.dir="R",
    IF(G3748+Table13[[#This Row],[Steps]]&gt;99,(G3748+Table13[[#This Row],[Steps]])-100,G3748+Table13[[#This Row],[Steps]]),
))</f>
        <v>59</v>
      </c>
      <c r="G3749">
        <f>IF(Table13[[#This Row],[New Pos L]]&lt;&gt;0,Table13[[#This Row],[New Pos L]],Table13[[#This Row],[New Pos R]])</f>
        <v>59</v>
      </c>
      <c r="H3749">
        <f>IF(AND(Table13[[#This Row],[Direction]]="L",Table13[[#This Row],[Steps]]&gt;G3748,G3748&lt;&gt;0),1,0)</f>
        <v>0</v>
      </c>
      <c r="I3749">
        <f>IF(AND(Table13[[#This Row],[Direction]]="R",(G3748+Table13[[#This Row],[Steps]])&gt;100),1,0)</f>
        <v>0</v>
      </c>
      <c r="J3749">
        <f>IF(Table13[[#This Row],[POS]]=0,1,0)</f>
        <v>0</v>
      </c>
      <c r="K3749">
        <f>SUM(Table13[[#This Row],[prefix]],Table13[[#This Row],[Past zero L]],Table13[[#This Row],[Past Zero R]],Table13[[#This Row],[Is Zero]])</f>
        <v>4</v>
      </c>
    </row>
    <row r="3750" spans="1:11" ht="16" x14ac:dyDescent="0.2">
      <c r="A3750" s="1" t="s">
        <v>51</v>
      </c>
      <c r="B3750" t="str">
        <f>LEFT(Table13[[#This Row],[Input]],1)</f>
        <v>L</v>
      </c>
      <c r="C3750">
        <f>_xlfn.LET(_xlpm.steps,SUBSTITUTE(Table13[[#This Row],[Input]],Table13[[#This Row],[Direction]],""),VALUE(IF(LEN(_xlpm.steps)&gt;2,RIGHT(_xlpm.steps,2),_xlpm.steps)))</f>
        <v>25</v>
      </c>
      <c r="D3750">
        <f>_xlfn.LET(_xlpm.steps,SUBSTITUTE(Table13[[#This Row],[Input]],Table13[[#This Row],[Direction]],""),VALUE(IF(LEN(_xlpm.steps)&gt;2,LEFT(_xlpm.steps,LEN(_xlpm.steps)-2),0)))</f>
        <v>0</v>
      </c>
      <c r="E3750">
        <f>_xlfn.LET(_xlpm.dir,Table13[[#This Row],[Direction]],
IF(_xlpm.dir="L",
    IF(G3749-Table13[[#This Row],[Steps]]&lt;0,100+(G3749-Table13[[#This Row],[Steps]]),G3749-Table13[[#This Row],[Steps]]),
))</f>
        <v>34</v>
      </c>
      <c r="F3750">
        <f>_xlfn.LET(_xlpm.dir,Table13[[#This Row],[Direction]],
IF(_xlpm.dir="R",
    IF(G3749+Table13[[#This Row],[Steps]]&gt;99,(G3749+Table13[[#This Row],[Steps]])-100,G3749+Table13[[#This Row],[Steps]]),
))</f>
        <v>0</v>
      </c>
      <c r="G3750">
        <f>IF(Table13[[#This Row],[New Pos L]]&lt;&gt;0,Table13[[#This Row],[New Pos L]],Table13[[#This Row],[New Pos R]])</f>
        <v>34</v>
      </c>
      <c r="H3750">
        <f>IF(AND(Table13[[#This Row],[Direction]]="L",Table13[[#This Row],[Steps]]&gt;G3749,G3749&lt;&gt;0),1,0)</f>
        <v>0</v>
      </c>
      <c r="I3750">
        <f>IF(AND(Table13[[#This Row],[Direction]]="R",(G3749+Table13[[#This Row],[Steps]])&gt;100),1,0)</f>
        <v>0</v>
      </c>
      <c r="J3750">
        <f>IF(Table13[[#This Row],[POS]]=0,1,0)</f>
        <v>0</v>
      </c>
      <c r="K3750">
        <f>SUM(Table13[[#This Row],[prefix]],Table13[[#This Row],[Past zero L]],Table13[[#This Row],[Past Zero R]],Table13[[#This Row],[Is Zero]])</f>
        <v>0</v>
      </c>
    </row>
    <row r="3751" spans="1:11" ht="16" x14ac:dyDescent="0.2">
      <c r="A3751" s="1" t="s">
        <v>108</v>
      </c>
      <c r="B3751" t="str">
        <f>LEFT(Table13[[#This Row],[Input]],1)</f>
        <v>R</v>
      </c>
      <c r="C3751">
        <f>_xlfn.LET(_xlpm.steps,SUBSTITUTE(Table13[[#This Row],[Input]],Table13[[#This Row],[Direction]],""),VALUE(IF(LEN(_xlpm.steps)&gt;2,RIGHT(_xlpm.steps,2),_xlpm.steps)))</f>
        <v>66</v>
      </c>
      <c r="D3751">
        <f>_xlfn.LET(_xlpm.steps,SUBSTITUTE(Table13[[#This Row],[Input]],Table13[[#This Row],[Direction]],""),VALUE(IF(LEN(_xlpm.steps)&gt;2,LEFT(_xlpm.steps,LEN(_xlpm.steps)-2),0)))</f>
        <v>0</v>
      </c>
      <c r="E3751">
        <f>_xlfn.LET(_xlpm.dir,Table13[[#This Row],[Direction]],
IF(_xlpm.dir="L",
    IF(G3750-Table13[[#This Row],[Steps]]&lt;0,100+(G3750-Table13[[#This Row],[Steps]]),G3750-Table13[[#This Row],[Steps]]),
))</f>
        <v>0</v>
      </c>
      <c r="F3751">
        <f>_xlfn.LET(_xlpm.dir,Table13[[#This Row],[Direction]],
IF(_xlpm.dir="R",
    IF(G3750+Table13[[#This Row],[Steps]]&gt;99,(G3750+Table13[[#This Row],[Steps]])-100,G3750+Table13[[#This Row],[Steps]]),
))</f>
        <v>0</v>
      </c>
      <c r="G3751">
        <f>IF(Table13[[#This Row],[New Pos L]]&lt;&gt;0,Table13[[#This Row],[New Pos L]],Table13[[#This Row],[New Pos R]])</f>
        <v>0</v>
      </c>
      <c r="H3751">
        <f>IF(AND(Table13[[#This Row],[Direction]]="L",Table13[[#This Row],[Steps]]&gt;G3750,G3750&lt;&gt;0),1,0)</f>
        <v>0</v>
      </c>
      <c r="I3751">
        <f>IF(AND(Table13[[#This Row],[Direction]]="R",(G3750+Table13[[#This Row],[Steps]])&gt;100),1,0)</f>
        <v>0</v>
      </c>
      <c r="J3751">
        <f>IF(Table13[[#This Row],[POS]]=0,1,0)</f>
        <v>1</v>
      </c>
      <c r="K3751">
        <f>SUM(Table13[[#This Row],[prefix]],Table13[[#This Row],[Past zero L]],Table13[[#This Row],[Past Zero R]],Table13[[#This Row],[Is Zero]])</f>
        <v>1</v>
      </c>
    </row>
    <row r="3752" spans="1:11" ht="16" x14ac:dyDescent="0.2">
      <c r="A3752" s="1" t="s">
        <v>141</v>
      </c>
      <c r="B3752" t="str">
        <f>LEFT(Table13[[#This Row],[Input]],1)</f>
        <v>L</v>
      </c>
      <c r="C3752">
        <f>_xlfn.LET(_xlpm.steps,SUBSTITUTE(Table13[[#This Row],[Input]],Table13[[#This Row],[Direction]],""),VALUE(IF(LEN(_xlpm.steps)&gt;2,RIGHT(_xlpm.steps,2),_xlpm.steps)))</f>
        <v>90</v>
      </c>
      <c r="D3752">
        <f>_xlfn.LET(_xlpm.steps,SUBSTITUTE(Table13[[#This Row],[Input]],Table13[[#This Row],[Direction]],""),VALUE(IF(LEN(_xlpm.steps)&gt;2,LEFT(_xlpm.steps,LEN(_xlpm.steps)-2),0)))</f>
        <v>0</v>
      </c>
      <c r="E3752">
        <f>_xlfn.LET(_xlpm.dir,Table13[[#This Row],[Direction]],
IF(_xlpm.dir="L",
    IF(G3751-Table13[[#This Row],[Steps]]&lt;0,100+(G3751-Table13[[#This Row],[Steps]]),G3751-Table13[[#This Row],[Steps]]),
))</f>
        <v>10</v>
      </c>
      <c r="F3752">
        <f>_xlfn.LET(_xlpm.dir,Table13[[#This Row],[Direction]],
IF(_xlpm.dir="R",
    IF(G3751+Table13[[#This Row],[Steps]]&gt;99,(G3751+Table13[[#This Row],[Steps]])-100,G3751+Table13[[#This Row],[Steps]]),
))</f>
        <v>0</v>
      </c>
      <c r="G3752">
        <f>IF(Table13[[#This Row],[New Pos L]]&lt;&gt;0,Table13[[#This Row],[New Pos L]],Table13[[#This Row],[New Pos R]])</f>
        <v>10</v>
      </c>
      <c r="H3752">
        <f>IF(AND(Table13[[#This Row],[Direction]]="L",Table13[[#This Row],[Steps]]&gt;G3751,G3751&lt;&gt;0),1,0)</f>
        <v>0</v>
      </c>
      <c r="I3752">
        <f>IF(AND(Table13[[#This Row],[Direction]]="R",(G3751+Table13[[#This Row],[Steps]])&gt;100),1,0)</f>
        <v>0</v>
      </c>
      <c r="J3752">
        <f>IF(Table13[[#This Row],[POS]]=0,1,0)</f>
        <v>0</v>
      </c>
      <c r="K3752">
        <f>SUM(Table13[[#This Row],[prefix]],Table13[[#This Row],[Past zero L]],Table13[[#This Row],[Past Zero R]],Table13[[#This Row],[Is Zero]])</f>
        <v>0</v>
      </c>
    </row>
    <row r="3753" spans="1:11" ht="16" x14ac:dyDescent="0.2">
      <c r="A3753" s="1" t="s">
        <v>48</v>
      </c>
      <c r="B3753" t="str">
        <f>LEFT(Table13[[#This Row],[Input]],1)</f>
        <v>R</v>
      </c>
      <c r="C3753">
        <f>_xlfn.LET(_xlpm.steps,SUBSTITUTE(Table13[[#This Row],[Input]],Table13[[#This Row],[Direction]],""),VALUE(IF(LEN(_xlpm.steps)&gt;2,RIGHT(_xlpm.steps,2),_xlpm.steps)))</f>
        <v>81</v>
      </c>
      <c r="D3753">
        <f>_xlfn.LET(_xlpm.steps,SUBSTITUTE(Table13[[#This Row],[Input]],Table13[[#This Row],[Direction]],""),VALUE(IF(LEN(_xlpm.steps)&gt;2,LEFT(_xlpm.steps,LEN(_xlpm.steps)-2),0)))</f>
        <v>0</v>
      </c>
      <c r="E3753">
        <f>_xlfn.LET(_xlpm.dir,Table13[[#This Row],[Direction]],
IF(_xlpm.dir="L",
    IF(G3752-Table13[[#This Row],[Steps]]&lt;0,100+(G3752-Table13[[#This Row],[Steps]]),G3752-Table13[[#This Row],[Steps]]),
))</f>
        <v>0</v>
      </c>
      <c r="F3753">
        <f>_xlfn.LET(_xlpm.dir,Table13[[#This Row],[Direction]],
IF(_xlpm.dir="R",
    IF(G3752+Table13[[#This Row],[Steps]]&gt;99,(G3752+Table13[[#This Row],[Steps]])-100,G3752+Table13[[#This Row],[Steps]]),
))</f>
        <v>91</v>
      </c>
      <c r="G3753">
        <f>IF(Table13[[#This Row],[New Pos L]]&lt;&gt;0,Table13[[#This Row],[New Pos L]],Table13[[#This Row],[New Pos R]])</f>
        <v>91</v>
      </c>
      <c r="H3753">
        <f>IF(AND(Table13[[#This Row],[Direction]]="L",Table13[[#This Row],[Steps]]&gt;G3752,G3752&lt;&gt;0),1,0)</f>
        <v>0</v>
      </c>
      <c r="I3753">
        <f>IF(AND(Table13[[#This Row],[Direction]]="R",(G3752+Table13[[#This Row],[Steps]])&gt;100),1,0)</f>
        <v>0</v>
      </c>
      <c r="J3753">
        <f>IF(Table13[[#This Row],[POS]]=0,1,0)</f>
        <v>0</v>
      </c>
      <c r="K3753">
        <f>SUM(Table13[[#This Row],[prefix]],Table13[[#This Row],[Past zero L]],Table13[[#This Row],[Past Zero R]],Table13[[#This Row],[Is Zero]])</f>
        <v>0</v>
      </c>
    </row>
    <row r="3754" spans="1:11" ht="16" x14ac:dyDescent="0.2">
      <c r="A3754" s="1" t="s">
        <v>794</v>
      </c>
      <c r="B3754" t="str">
        <f>LEFT(Table13[[#This Row],[Input]],1)</f>
        <v>R</v>
      </c>
      <c r="C3754">
        <f>_xlfn.LET(_xlpm.steps,SUBSTITUTE(Table13[[#This Row],[Input]],Table13[[#This Row],[Direction]],""),VALUE(IF(LEN(_xlpm.steps)&gt;2,RIGHT(_xlpm.steps,2),_xlpm.steps)))</f>
        <v>84</v>
      </c>
      <c r="D3754">
        <f>_xlfn.LET(_xlpm.steps,SUBSTITUTE(Table13[[#This Row],[Input]],Table13[[#This Row],[Direction]],""),VALUE(IF(LEN(_xlpm.steps)&gt;2,LEFT(_xlpm.steps,LEN(_xlpm.steps)-2),0)))</f>
        <v>1</v>
      </c>
      <c r="E3754">
        <f>_xlfn.LET(_xlpm.dir,Table13[[#This Row],[Direction]],
IF(_xlpm.dir="L",
    IF(G3753-Table13[[#This Row],[Steps]]&lt;0,100+(G3753-Table13[[#This Row],[Steps]]),G3753-Table13[[#This Row],[Steps]]),
))</f>
        <v>0</v>
      </c>
      <c r="F3754">
        <f>_xlfn.LET(_xlpm.dir,Table13[[#This Row],[Direction]],
IF(_xlpm.dir="R",
    IF(G3753+Table13[[#This Row],[Steps]]&gt;99,(G3753+Table13[[#This Row],[Steps]])-100,G3753+Table13[[#This Row],[Steps]]),
))</f>
        <v>75</v>
      </c>
      <c r="G3754">
        <f>IF(Table13[[#This Row],[New Pos L]]&lt;&gt;0,Table13[[#This Row],[New Pos L]],Table13[[#This Row],[New Pos R]])</f>
        <v>75</v>
      </c>
      <c r="H3754">
        <f>IF(AND(Table13[[#This Row],[Direction]]="L",Table13[[#This Row],[Steps]]&gt;G3753,G3753&lt;&gt;0),1,0)</f>
        <v>0</v>
      </c>
      <c r="I3754">
        <f>IF(AND(Table13[[#This Row],[Direction]]="R",(G3753+Table13[[#This Row],[Steps]])&gt;100),1,0)</f>
        <v>1</v>
      </c>
      <c r="J3754">
        <f>IF(Table13[[#This Row],[POS]]=0,1,0)</f>
        <v>0</v>
      </c>
      <c r="K3754">
        <f>SUM(Table13[[#This Row],[prefix]],Table13[[#This Row],[Past zero L]],Table13[[#This Row],[Past Zero R]],Table13[[#This Row],[Is Zero]])</f>
        <v>2</v>
      </c>
    </row>
    <row r="3755" spans="1:11" ht="16" x14ac:dyDescent="0.2">
      <c r="A3755" s="1" t="s">
        <v>288</v>
      </c>
      <c r="B3755" t="str">
        <f>LEFT(Table13[[#This Row],[Input]],1)</f>
        <v>R</v>
      </c>
      <c r="C3755">
        <f>_xlfn.LET(_xlpm.steps,SUBSTITUTE(Table13[[#This Row],[Input]],Table13[[#This Row],[Direction]],""),VALUE(IF(LEN(_xlpm.steps)&gt;2,RIGHT(_xlpm.steps,2),_xlpm.steps)))</f>
        <v>25</v>
      </c>
      <c r="D3755">
        <f>_xlfn.LET(_xlpm.steps,SUBSTITUTE(Table13[[#This Row],[Input]],Table13[[#This Row],[Direction]],""),VALUE(IF(LEN(_xlpm.steps)&gt;2,LEFT(_xlpm.steps,LEN(_xlpm.steps)-2),0)))</f>
        <v>0</v>
      </c>
      <c r="E3755">
        <f>_xlfn.LET(_xlpm.dir,Table13[[#This Row],[Direction]],
IF(_xlpm.dir="L",
    IF(G3754-Table13[[#This Row],[Steps]]&lt;0,100+(G3754-Table13[[#This Row],[Steps]]),G3754-Table13[[#This Row],[Steps]]),
))</f>
        <v>0</v>
      </c>
      <c r="F3755">
        <f>_xlfn.LET(_xlpm.dir,Table13[[#This Row],[Direction]],
IF(_xlpm.dir="R",
    IF(G3754+Table13[[#This Row],[Steps]]&gt;99,(G3754+Table13[[#This Row],[Steps]])-100,G3754+Table13[[#This Row],[Steps]]),
))</f>
        <v>0</v>
      </c>
      <c r="G3755">
        <f>IF(Table13[[#This Row],[New Pos L]]&lt;&gt;0,Table13[[#This Row],[New Pos L]],Table13[[#This Row],[New Pos R]])</f>
        <v>0</v>
      </c>
      <c r="H3755">
        <f>IF(AND(Table13[[#This Row],[Direction]]="L",Table13[[#This Row],[Steps]]&gt;G3754,G3754&lt;&gt;0),1,0)</f>
        <v>0</v>
      </c>
      <c r="I3755">
        <f>IF(AND(Table13[[#This Row],[Direction]]="R",(G3754+Table13[[#This Row],[Steps]])&gt;100),1,0)</f>
        <v>0</v>
      </c>
      <c r="J3755">
        <f>IF(Table13[[#This Row],[POS]]=0,1,0)</f>
        <v>1</v>
      </c>
      <c r="K3755">
        <f>SUM(Table13[[#This Row],[prefix]],Table13[[#This Row],[Past zero L]],Table13[[#This Row],[Past Zero R]],Table13[[#This Row],[Is Zero]])</f>
        <v>1</v>
      </c>
    </row>
    <row r="3756" spans="1:11" ht="16" x14ac:dyDescent="0.2">
      <c r="A3756" s="1" t="s">
        <v>264</v>
      </c>
      <c r="B3756" t="str">
        <f>LEFT(Table13[[#This Row],[Input]],1)</f>
        <v>L</v>
      </c>
      <c r="C3756">
        <f>_xlfn.LET(_xlpm.steps,SUBSTITUTE(Table13[[#This Row],[Input]],Table13[[#This Row],[Direction]],""),VALUE(IF(LEN(_xlpm.steps)&gt;2,RIGHT(_xlpm.steps,2),_xlpm.steps)))</f>
        <v>21</v>
      </c>
      <c r="D3756">
        <f>_xlfn.LET(_xlpm.steps,SUBSTITUTE(Table13[[#This Row],[Input]],Table13[[#This Row],[Direction]],""),VALUE(IF(LEN(_xlpm.steps)&gt;2,LEFT(_xlpm.steps,LEN(_xlpm.steps)-2),0)))</f>
        <v>0</v>
      </c>
      <c r="E3756">
        <f>_xlfn.LET(_xlpm.dir,Table13[[#This Row],[Direction]],
IF(_xlpm.dir="L",
    IF(G3755-Table13[[#This Row],[Steps]]&lt;0,100+(G3755-Table13[[#This Row],[Steps]]),G3755-Table13[[#This Row],[Steps]]),
))</f>
        <v>79</v>
      </c>
      <c r="F3756">
        <f>_xlfn.LET(_xlpm.dir,Table13[[#This Row],[Direction]],
IF(_xlpm.dir="R",
    IF(G3755+Table13[[#This Row],[Steps]]&gt;99,(G3755+Table13[[#This Row],[Steps]])-100,G3755+Table13[[#This Row],[Steps]]),
))</f>
        <v>0</v>
      </c>
      <c r="G3756">
        <f>IF(Table13[[#This Row],[New Pos L]]&lt;&gt;0,Table13[[#This Row],[New Pos L]],Table13[[#This Row],[New Pos R]])</f>
        <v>79</v>
      </c>
      <c r="H3756">
        <f>IF(AND(Table13[[#This Row],[Direction]]="L",Table13[[#This Row],[Steps]]&gt;G3755,G3755&lt;&gt;0),1,0)</f>
        <v>0</v>
      </c>
      <c r="I3756">
        <f>IF(AND(Table13[[#This Row],[Direction]]="R",(G3755+Table13[[#This Row],[Steps]])&gt;100),1,0)</f>
        <v>0</v>
      </c>
      <c r="J3756">
        <f>IF(Table13[[#This Row],[POS]]=0,1,0)</f>
        <v>0</v>
      </c>
      <c r="K3756">
        <f>SUM(Table13[[#This Row],[prefix]],Table13[[#This Row],[Past zero L]],Table13[[#This Row],[Past Zero R]],Table13[[#This Row],[Is Zero]])</f>
        <v>0</v>
      </c>
    </row>
    <row r="3757" spans="1:11" ht="16" x14ac:dyDescent="0.2">
      <c r="A3757" s="1" t="s">
        <v>73</v>
      </c>
      <c r="B3757" t="str">
        <f>LEFT(Table13[[#This Row],[Input]],1)</f>
        <v>R</v>
      </c>
      <c r="C3757">
        <f>_xlfn.LET(_xlpm.steps,SUBSTITUTE(Table13[[#This Row],[Input]],Table13[[#This Row],[Direction]],""),VALUE(IF(LEN(_xlpm.steps)&gt;2,RIGHT(_xlpm.steps,2),_xlpm.steps)))</f>
        <v>21</v>
      </c>
      <c r="D3757">
        <f>_xlfn.LET(_xlpm.steps,SUBSTITUTE(Table13[[#This Row],[Input]],Table13[[#This Row],[Direction]],""),VALUE(IF(LEN(_xlpm.steps)&gt;2,LEFT(_xlpm.steps,LEN(_xlpm.steps)-2),0)))</f>
        <v>0</v>
      </c>
      <c r="E3757">
        <f>_xlfn.LET(_xlpm.dir,Table13[[#This Row],[Direction]],
IF(_xlpm.dir="L",
    IF(G3756-Table13[[#This Row],[Steps]]&lt;0,100+(G3756-Table13[[#This Row],[Steps]]),G3756-Table13[[#This Row],[Steps]]),
))</f>
        <v>0</v>
      </c>
      <c r="F3757">
        <f>_xlfn.LET(_xlpm.dir,Table13[[#This Row],[Direction]],
IF(_xlpm.dir="R",
    IF(G3756+Table13[[#This Row],[Steps]]&gt;99,(G3756+Table13[[#This Row],[Steps]])-100,G3756+Table13[[#This Row],[Steps]]),
))</f>
        <v>0</v>
      </c>
      <c r="G3757">
        <f>IF(Table13[[#This Row],[New Pos L]]&lt;&gt;0,Table13[[#This Row],[New Pos L]],Table13[[#This Row],[New Pos R]])</f>
        <v>0</v>
      </c>
      <c r="H3757">
        <f>IF(AND(Table13[[#This Row],[Direction]]="L",Table13[[#This Row],[Steps]]&gt;G3756,G3756&lt;&gt;0),1,0)</f>
        <v>0</v>
      </c>
      <c r="I3757">
        <f>IF(AND(Table13[[#This Row],[Direction]]="R",(G3756+Table13[[#This Row],[Steps]])&gt;100),1,0)</f>
        <v>0</v>
      </c>
      <c r="J3757">
        <f>IF(Table13[[#This Row],[POS]]=0,1,0)</f>
        <v>1</v>
      </c>
      <c r="K3757">
        <f>SUM(Table13[[#This Row],[prefix]],Table13[[#This Row],[Past zero L]],Table13[[#This Row],[Past Zero R]],Table13[[#This Row],[Is Zero]])</f>
        <v>1</v>
      </c>
    </row>
    <row r="3758" spans="1:11" ht="16" x14ac:dyDescent="0.2">
      <c r="A3758" s="1" t="s">
        <v>244</v>
      </c>
      <c r="B3758" t="str">
        <f>LEFT(Table13[[#This Row],[Input]],1)</f>
        <v>L</v>
      </c>
      <c r="C3758">
        <f>_xlfn.LET(_xlpm.steps,SUBSTITUTE(Table13[[#This Row],[Input]],Table13[[#This Row],[Direction]],""),VALUE(IF(LEN(_xlpm.steps)&gt;2,RIGHT(_xlpm.steps,2),_xlpm.steps)))</f>
        <v>98</v>
      </c>
      <c r="D3758">
        <f>_xlfn.LET(_xlpm.steps,SUBSTITUTE(Table13[[#This Row],[Input]],Table13[[#This Row],[Direction]],""),VALUE(IF(LEN(_xlpm.steps)&gt;2,LEFT(_xlpm.steps,LEN(_xlpm.steps)-2),0)))</f>
        <v>0</v>
      </c>
      <c r="E3758">
        <f>_xlfn.LET(_xlpm.dir,Table13[[#This Row],[Direction]],
IF(_xlpm.dir="L",
    IF(G3757-Table13[[#This Row],[Steps]]&lt;0,100+(G3757-Table13[[#This Row],[Steps]]),G3757-Table13[[#This Row],[Steps]]),
))</f>
        <v>2</v>
      </c>
      <c r="F3758">
        <f>_xlfn.LET(_xlpm.dir,Table13[[#This Row],[Direction]],
IF(_xlpm.dir="R",
    IF(G3757+Table13[[#This Row],[Steps]]&gt;99,(G3757+Table13[[#This Row],[Steps]])-100,G3757+Table13[[#This Row],[Steps]]),
))</f>
        <v>0</v>
      </c>
      <c r="G3758">
        <f>IF(Table13[[#This Row],[New Pos L]]&lt;&gt;0,Table13[[#This Row],[New Pos L]],Table13[[#This Row],[New Pos R]])</f>
        <v>2</v>
      </c>
      <c r="H3758">
        <f>IF(AND(Table13[[#This Row],[Direction]]="L",Table13[[#This Row],[Steps]]&gt;G3757,G3757&lt;&gt;0),1,0)</f>
        <v>0</v>
      </c>
      <c r="I3758">
        <f>IF(AND(Table13[[#This Row],[Direction]]="R",(G3757+Table13[[#This Row],[Steps]])&gt;100),1,0)</f>
        <v>0</v>
      </c>
      <c r="J3758">
        <f>IF(Table13[[#This Row],[POS]]=0,1,0)</f>
        <v>0</v>
      </c>
      <c r="K3758">
        <f>SUM(Table13[[#This Row],[prefix]],Table13[[#This Row],[Past zero L]],Table13[[#This Row],[Past Zero R]],Table13[[#This Row],[Is Zero]])</f>
        <v>0</v>
      </c>
    </row>
    <row r="3759" spans="1:11" ht="16" x14ac:dyDescent="0.2">
      <c r="A3759" s="1" t="s">
        <v>2</v>
      </c>
      <c r="B3759" t="str">
        <f>LEFT(Table13[[#This Row],[Input]],1)</f>
        <v>L</v>
      </c>
      <c r="C3759">
        <f>_xlfn.LET(_xlpm.steps,SUBSTITUTE(Table13[[#This Row],[Input]],Table13[[#This Row],[Direction]],""),VALUE(IF(LEN(_xlpm.steps)&gt;2,RIGHT(_xlpm.steps,2),_xlpm.steps)))</f>
        <v>38</v>
      </c>
      <c r="D3759">
        <f>_xlfn.LET(_xlpm.steps,SUBSTITUTE(Table13[[#This Row],[Input]],Table13[[#This Row],[Direction]],""),VALUE(IF(LEN(_xlpm.steps)&gt;2,LEFT(_xlpm.steps,LEN(_xlpm.steps)-2),0)))</f>
        <v>0</v>
      </c>
      <c r="E3759">
        <f>_xlfn.LET(_xlpm.dir,Table13[[#This Row],[Direction]],
IF(_xlpm.dir="L",
    IF(G3758-Table13[[#This Row],[Steps]]&lt;0,100+(G3758-Table13[[#This Row],[Steps]]),G3758-Table13[[#This Row],[Steps]]),
))</f>
        <v>64</v>
      </c>
      <c r="F3759">
        <f>_xlfn.LET(_xlpm.dir,Table13[[#This Row],[Direction]],
IF(_xlpm.dir="R",
    IF(G3758+Table13[[#This Row],[Steps]]&gt;99,(G3758+Table13[[#This Row],[Steps]])-100,G3758+Table13[[#This Row],[Steps]]),
))</f>
        <v>0</v>
      </c>
      <c r="G3759">
        <f>IF(Table13[[#This Row],[New Pos L]]&lt;&gt;0,Table13[[#This Row],[New Pos L]],Table13[[#This Row],[New Pos R]])</f>
        <v>64</v>
      </c>
      <c r="H3759">
        <f>IF(AND(Table13[[#This Row],[Direction]]="L",Table13[[#This Row],[Steps]]&gt;G3758,G3758&lt;&gt;0),1,0)</f>
        <v>1</v>
      </c>
      <c r="I3759">
        <f>IF(AND(Table13[[#This Row],[Direction]]="R",(G3758+Table13[[#This Row],[Steps]])&gt;100),1,0)</f>
        <v>0</v>
      </c>
      <c r="J3759">
        <f>IF(Table13[[#This Row],[POS]]=0,1,0)</f>
        <v>0</v>
      </c>
      <c r="K3759">
        <f>SUM(Table13[[#This Row],[prefix]],Table13[[#This Row],[Past zero L]],Table13[[#This Row],[Past Zero R]],Table13[[#This Row],[Is Zero]])</f>
        <v>1</v>
      </c>
    </row>
    <row r="3760" spans="1:11" ht="16" x14ac:dyDescent="0.2">
      <c r="A3760" s="1" t="s">
        <v>219</v>
      </c>
      <c r="B3760" t="str">
        <f>LEFT(Table13[[#This Row],[Input]],1)</f>
        <v>L</v>
      </c>
      <c r="C3760">
        <f>_xlfn.LET(_xlpm.steps,SUBSTITUTE(Table13[[#This Row],[Input]],Table13[[#This Row],[Direction]],""),VALUE(IF(LEN(_xlpm.steps)&gt;2,RIGHT(_xlpm.steps,2),_xlpm.steps)))</f>
        <v>64</v>
      </c>
      <c r="D3760">
        <f>_xlfn.LET(_xlpm.steps,SUBSTITUTE(Table13[[#This Row],[Input]],Table13[[#This Row],[Direction]],""),VALUE(IF(LEN(_xlpm.steps)&gt;2,LEFT(_xlpm.steps,LEN(_xlpm.steps)-2),0)))</f>
        <v>0</v>
      </c>
      <c r="E3760">
        <f>_xlfn.LET(_xlpm.dir,Table13[[#This Row],[Direction]],
IF(_xlpm.dir="L",
    IF(G3759-Table13[[#This Row],[Steps]]&lt;0,100+(G3759-Table13[[#This Row],[Steps]]),G3759-Table13[[#This Row],[Steps]]),
))</f>
        <v>0</v>
      </c>
      <c r="F3760">
        <f>_xlfn.LET(_xlpm.dir,Table13[[#This Row],[Direction]],
IF(_xlpm.dir="R",
    IF(G3759+Table13[[#This Row],[Steps]]&gt;99,(G3759+Table13[[#This Row],[Steps]])-100,G3759+Table13[[#This Row],[Steps]]),
))</f>
        <v>0</v>
      </c>
      <c r="G3760">
        <f>IF(Table13[[#This Row],[New Pos L]]&lt;&gt;0,Table13[[#This Row],[New Pos L]],Table13[[#This Row],[New Pos R]])</f>
        <v>0</v>
      </c>
      <c r="H3760">
        <f>IF(AND(Table13[[#This Row],[Direction]]="L",Table13[[#This Row],[Steps]]&gt;G3759,G3759&lt;&gt;0),1,0)</f>
        <v>0</v>
      </c>
      <c r="I3760">
        <f>IF(AND(Table13[[#This Row],[Direction]]="R",(G3759+Table13[[#This Row],[Steps]])&gt;100),1,0)</f>
        <v>0</v>
      </c>
      <c r="J3760">
        <f>IF(Table13[[#This Row],[POS]]=0,1,0)</f>
        <v>1</v>
      </c>
      <c r="K3760">
        <f>SUM(Table13[[#This Row],[prefix]],Table13[[#This Row],[Past zero L]],Table13[[#This Row],[Past Zero R]],Table13[[#This Row],[Is Zero]])</f>
        <v>1</v>
      </c>
    </row>
    <row r="3761" spans="1:11" ht="16" x14ac:dyDescent="0.2">
      <c r="A3761" s="1" t="s">
        <v>91</v>
      </c>
      <c r="B3761" t="str">
        <f>LEFT(Table13[[#This Row],[Input]],1)</f>
        <v>L</v>
      </c>
      <c r="C3761">
        <f>_xlfn.LET(_xlpm.steps,SUBSTITUTE(Table13[[#This Row],[Input]],Table13[[#This Row],[Direction]],""),VALUE(IF(LEN(_xlpm.steps)&gt;2,RIGHT(_xlpm.steps,2),_xlpm.steps)))</f>
        <v>22</v>
      </c>
      <c r="D3761">
        <f>_xlfn.LET(_xlpm.steps,SUBSTITUTE(Table13[[#This Row],[Input]],Table13[[#This Row],[Direction]],""),VALUE(IF(LEN(_xlpm.steps)&gt;2,LEFT(_xlpm.steps,LEN(_xlpm.steps)-2),0)))</f>
        <v>0</v>
      </c>
      <c r="E3761">
        <f>_xlfn.LET(_xlpm.dir,Table13[[#This Row],[Direction]],
IF(_xlpm.dir="L",
    IF(G3760-Table13[[#This Row],[Steps]]&lt;0,100+(G3760-Table13[[#This Row],[Steps]]),G3760-Table13[[#This Row],[Steps]]),
))</f>
        <v>78</v>
      </c>
      <c r="F3761">
        <f>_xlfn.LET(_xlpm.dir,Table13[[#This Row],[Direction]],
IF(_xlpm.dir="R",
    IF(G3760+Table13[[#This Row],[Steps]]&gt;99,(G3760+Table13[[#This Row],[Steps]])-100,G3760+Table13[[#This Row],[Steps]]),
))</f>
        <v>0</v>
      </c>
      <c r="G3761">
        <f>IF(Table13[[#This Row],[New Pos L]]&lt;&gt;0,Table13[[#This Row],[New Pos L]],Table13[[#This Row],[New Pos R]])</f>
        <v>78</v>
      </c>
      <c r="H3761">
        <f>IF(AND(Table13[[#This Row],[Direction]]="L",Table13[[#This Row],[Steps]]&gt;G3760,G3760&lt;&gt;0),1,0)</f>
        <v>0</v>
      </c>
      <c r="I3761">
        <f>IF(AND(Table13[[#This Row],[Direction]]="R",(G3760+Table13[[#This Row],[Steps]])&gt;100),1,0)</f>
        <v>0</v>
      </c>
      <c r="J3761">
        <f>IF(Table13[[#This Row],[POS]]=0,1,0)</f>
        <v>0</v>
      </c>
      <c r="K3761">
        <f>SUM(Table13[[#This Row],[prefix]],Table13[[#This Row],[Past zero L]],Table13[[#This Row],[Past Zero R]],Table13[[#This Row],[Is Zero]])</f>
        <v>0</v>
      </c>
    </row>
    <row r="3762" spans="1:11" ht="16" x14ac:dyDescent="0.2">
      <c r="A3762" s="1" t="s">
        <v>161</v>
      </c>
      <c r="B3762" t="str">
        <f>LEFT(Table13[[#This Row],[Input]],1)</f>
        <v>R</v>
      </c>
      <c r="C3762">
        <f>_xlfn.LET(_xlpm.steps,SUBSTITUTE(Table13[[#This Row],[Input]],Table13[[#This Row],[Direction]],""),VALUE(IF(LEN(_xlpm.steps)&gt;2,RIGHT(_xlpm.steps,2),_xlpm.steps)))</f>
        <v>76</v>
      </c>
      <c r="D3762">
        <f>_xlfn.LET(_xlpm.steps,SUBSTITUTE(Table13[[#This Row],[Input]],Table13[[#This Row],[Direction]],""),VALUE(IF(LEN(_xlpm.steps)&gt;2,LEFT(_xlpm.steps,LEN(_xlpm.steps)-2),0)))</f>
        <v>0</v>
      </c>
      <c r="E3762">
        <f>_xlfn.LET(_xlpm.dir,Table13[[#This Row],[Direction]],
IF(_xlpm.dir="L",
    IF(G3761-Table13[[#This Row],[Steps]]&lt;0,100+(G3761-Table13[[#This Row],[Steps]]),G3761-Table13[[#This Row],[Steps]]),
))</f>
        <v>0</v>
      </c>
      <c r="F3762">
        <f>_xlfn.LET(_xlpm.dir,Table13[[#This Row],[Direction]],
IF(_xlpm.dir="R",
    IF(G3761+Table13[[#This Row],[Steps]]&gt;99,(G3761+Table13[[#This Row],[Steps]])-100,G3761+Table13[[#This Row],[Steps]]),
))</f>
        <v>54</v>
      </c>
      <c r="G3762">
        <f>IF(Table13[[#This Row],[New Pos L]]&lt;&gt;0,Table13[[#This Row],[New Pos L]],Table13[[#This Row],[New Pos R]])</f>
        <v>54</v>
      </c>
      <c r="H3762">
        <f>IF(AND(Table13[[#This Row],[Direction]]="L",Table13[[#This Row],[Steps]]&gt;G3761,G3761&lt;&gt;0),1,0)</f>
        <v>0</v>
      </c>
      <c r="I3762">
        <f>IF(AND(Table13[[#This Row],[Direction]]="R",(G3761+Table13[[#This Row],[Steps]])&gt;100),1,0)</f>
        <v>1</v>
      </c>
      <c r="J3762">
        <f>IF(Table13[[#This Row],[POS]]=0,1,0)</f>
        <v>0</v>
      </c>
      <c r="K3762">
        <f>SUM(Table13[[#This Row],[prefix]],Table13[[#This Row],[Past zero L]],Table13[[#This Row],[Past Zero R]],Table13[[#This Row],[Is Zero]])</f>
        <v>1</v>
      </c>
    </row>
    <row r="3763" spans="1:11" ht="16" x14ac:dyDescent="0.2">
      <c r="A3763" s="1" t="s">
        <v>21</v>
      </c>
      <c r="B3763" t="str">
        <f>LEFT(Table13[[#This Row],[Input]],1)</f>
        <v>L</v>
      </c>
      <c r="C3763">
        <f>_xlfn.LET(_xlpm.steps,SUBSTITUTE(Table13[[#This Row],[Input]],Table13[[#This Row],[Direction]],""),VALUE(IF(LEN(_xlpm.steps)&gt;2,RIGHT(_xlpm.steps,2),_xlpm.steps)))</f>
        <v>36</v>
      </c>
      <c r="D3763">
        <f>_xlfn.LET(_xlpm.steps,SUBSTITUTE(Table13[[#This Row],[Input]],Table13[[#This Row],[Direction]],""),VALUE(IF(LEN(_xlpm.steps)&gt;2,LEFT(_xlpm.steps,LEN(_xlpm.steps)-2),0)))</f>
        <v>0</v>
      </c>
      <c r="E3763">
        <f>_xlfn.LET(_xlpm.dir,Table13[[#This Row],[Direction]],
IF(_xlpm.dir="L",
    IF(G3762-Table13[[#This Row],[Steps]]&lt;0,100+(G3762-Table13[[#This Row],[Steps]]),G3762-Table13[[#This Row],[Steps]]),
))</f>
        <v>18</v>
      </c>
      <c r="F3763">
        <f>_xlfn.LET(_xlpm.dir,Table13[[#This Row],[Direction]],
IF(_xlpm.dir="R",
    IF(G3762+Table13[[#This Row],[Steps]]&gt;99,(G3762+Table13[[#This Row],[Steps]])-100,G3762+Table13[[#This Row],[Steps]]),
))</f>
        <v>0</v>
      </c>
      <c r="G3763">
        <f>IF(Table13[[#This Row],[New Pos L]]&lt;&gt;0,Table13[[#This Row],[New Pos L]],Table13[[#This Row],[New Pos R]])</f>
        <v>18</v>
      </c>
      <c r="H3763">
        <f>IF(AND(Table13[[#This Row],[Direction]]="L",Table13[[#This Row],[Steps]]&gt;G3762,G3762&lt;&gt;0),1,0)</f>
        <v>0</v>
      </c>
      <c r="I3763">
        <f>IF(AND(Table13[[#This Row],[Direction]]="R",(G3762+Table13[[#This Row],[Steps]])&gt;100),1,0)</f>
        <v>0</v>
      </c>
      <c r="J3763">
        <f>IF(Table13[[#This Row],[POS]]=0,1,0)</f>
        <v>0</v>
      </c>
      <c r="K3763">
        <f>SUM(Table13[[#This Row],[prefix]],Table13[[#This Row],[Past zero L]],Table13[[#This Row],[Past Zero R]],Table13[[#This Row],[Is Zero]])</f>
        <v>0</v>
      </c>
    </row>
    <row r="3764" spans="1:11" ht="16" x14ac:dyDescent="0.2">
      <c r="A3764" s="1" t="s">
        <v>9</v>
      </c>
      <c r="B3764" t="str">
        <f>LEFT(Table13[[#This Row],[Input]],1)</f>
        <v>L</v>
      </c>
      <c r="C3764">
        <f>_xlfn.LET(_xlpm.steps,SUBSTITUTE(Table13[[#This Row],[Input]],Table13[[#This Row],[Direction]],""),VALUE(IF(LEN(_xlpm.steps)&gt;2,RIGHT(_xlpm.steps,2),_xlpm.steps)))</f>
        <v>9</v>
      </c>
      <c r="D3764">
        <f>_xlfn.LET(_xlpm.steps,SUBSTITUTE(Table13[[#This Row],[Input]],Table13[[#This Row],[Direction]],""),VALUE(IF(LEN(_xlpm.steps)&gt;2,LEFT(_xlpm.steps,LEN(_xlpm.steps)-2),0)))</f>
        <v>0</v>
      </c>
      <c r="E3764">
        <f>_xlfn.LET(_xlpm.dir,Table13[[#This Row],[Direction]],
IF(_xlpm.dir="L",
    IF(G3763-Table13[[#This Row],[Steps]]&lt;0,100+(G3763-Table13[[#This Row],[Steps]]),G3763-Table13[[#This Row],[Steps]]),
))</f>
        <v>9</v>
      </c>
      <c r="F3764">
        <f>_xlfn.LET(_xlpm.dir,Table13[[#This Row],[Direction]],
IF(_xlpm.dir="R",
    IF(G3763+Table13[[#This Row],[Steps]]&gt;99,(G3763+Table13[[#This Row],[Steps]])-100,G3763+Table13[[#This Row],[Steps]]),
))</f>
        <v>0</v>
      </c>
      <c r="G3764">
        <f>IF(Table13[[#This Row],[New Pos L]]&lt;&gt;0,Table13[[#This Row],[New Pos L]],Table13[[#This Row],[New Pos R]])</f>
        <v>9</v>
      </c>
      <c r="H3764">
        <f>IF(AND(Table13[[#This Row],[Direction]]="L",Table13[[#This Row],[Steps]]&gt;G3763,G3763&lt;&gt;0),1,0)</f>
        <v>0</v>
      </c>
      <c r="I3764">
        <f>IF(AND(Table13[[#This Row],[Direction]]="R",(G3763+Table13[[#This Row],[Steps]])&gt;100),1,0)</f>
        <v>0</v>
      </c>
      <c r="J3764">
        <f>IF(Table13[[#This Row],[POS]]=0,1,0)</f>
        <v>0</v>
      </c>
      <c r="K3764">
        <f>SUM(Table13[[#This Row],[prefix]],Table13[[#This Row],[Past zero L]],Table13[[#This Row],[Past Zero R]],Table13[[#This Row],[Is Zero]])</f>
        <v>0</v>
      </c>
    </row>
    <row r="3765" spans="1:11" ht="16" x14ac:dyDescent="0.2">
      <c r="A3765" s="1" t="s">
        <v>217</v>
      </c>
      <c r="B3765" t="str">
        <f>LEFT(Table13[[#This Row],[Input]],1)</f>
        <v>R</v>
      </c>
      <c r="C3765">
        <f>_xlfn.LET(_xlpm.steps,SUBSTITUTE(Table13[[#This Row],[Input]],Table13[[#This Row],[Direction]],""),VALUE(IF(LEN(_xlpm.steps)&gt;2,RIGHT(_xlpm.steps,2),_xlpm.steps)))</f>
        <v>91</v>
      </c>
      <c r="D3765">
        <f>_xlfn.LET(_xlpm.steps,SUBSTITUTE(Table13[[#This Row],[Input]],Table13[[#This Row],[Direction]],""),VALUE(IF(LEN(_xlpm.steps)&gt;2,LEFT(_xlpm.steps,LEN(_xlpm.steps)-2),0)))</f>
        <v>0</v>
      </c>
      <c r="E3765">
        <f>_xlfn.LET(_xlpm.dir,Table13[[#This Row],[Direction]],
IF(_xlpm.dir="L",
    IF(G3764-Table13[[#This Row],[Steps]]&lt;0,100+(G3764-Table13[[#This Row],[Steps]]),G3764-Table13[[#This Row],[Steps]]),
))</f>
        <v>0</v>
      </c>
      <c r="F3765">
        <f>_xlfn.LET(_xlpm.dir,Table13[[#This Row],[Direction]],
IF(_xlpm.dir="R",
    IF(G3764+Table13[[#This Row],[Steps]]&gt;99,(G3764+Table13[[#This Row],[Steps]])-100,G3764+Table13[[#This Row],[Steps]]),
))</f>
        <v>0</v>
      </c>
      <c r="G3765">
        <f>IF(Table13[[#This Row],[New Pos L]]&lt;&gt;0,Table13[[#This Row],[New Pos L]],Table13[[#This Row],[New Pos R]])</f>
        <v>0</v>
      </c>
      <c r="H3765">
        <f>IF(AND(Table13[[#This Row],[Direction]]="L",Table13[[#This Row],[Steps]]&gt;G3764,G3764&lt;&gt;0),1,0)</f>
        <v>0</v>
      </c>
      <c r="I3765">
        <f>IF(AND(Table13[[#This Row],[Direction]]="R",(G3764+Table13[[#This Row],[Steps]])&gt;100),1,0)</f>
        <v>0</v>
      </c>
      <c r="J3765">
        <f>IF(Table13[[#This Row],[POS]]=0,1,0)</f>
        <v>1</v>
      </c>
      <c r="K3765">
        <f>SUM(Table13[[#This Row],[prefix]],Table13[[#This Row],[Past zero L]],Table13[[#This Row],[Past Zero R]],Table13[[#This Row],[Is Zero]])</f>
        <v>1</v>
      </c>
    </row>
    <row r="3766" spans="1:11" ht="16" x14ac:dyDescent="0.2">
      <c r="A3766" s="1" t="s">
        <v>255</v>
      </c>
      <c r="B3766" t="str">
        <f>LEFT(Table13[[#This Row],[Input]],1)</f>
        <v>R</v>
      </c>
      <c r="C3766">
        <f>_xlfn.LET(_xlpm.steps,SUBSTITUTE(Table13[[#This Row],[Input]],Table13[[#This Row],[Direction]],""),VALUE(IF(LEN(_xlpm.steps)&gt;2,RIGHT(_xlpm.steps,2),_xlpm.steps)))</f>
        <v>16</v>
      </c>
      <c r="D3766">
        <f>_xlfn.LET(_xlpm.steps,SUBSTITUTE(Table13[[#This Row],[Input]],Table13[[#This Row],[Direction]],""),VALUE(IF(LEN(_xlpm.steps)&gt;2,LEFT(_xlpm.steps,LEN(_xlpm.steps)-2),0)))</f>
        <v>0</v>
      </c>
      <c r="E3766">
        <f>_xlfn.LET(_xlpm.dir,Table13[[#This Row],[Direction]],
IF(_xlpm.dir="L",
    IF(G3765-Table13[[#This Row],[Steps]]&lt;0,100+(G3765-Table13[[#This Row],[Steps]]),G3765-Table13[[#This Row],[Steps]]),
))</f>
        <v>0</v>
      </c>
      <c r="F3766">
        <f>_xlfn.LET(_xlpm.dir,Table13[[#This Row],[Direction]],
IF(_xlpm.dir="R",
    IF(G3765+Table13[[#This Row],[Steps]]&gt;99,(G3765+Table13[[#This Row],[Steps]])-100,G3765+Table13[[#This Row],[Steps]]),
))</f>
        <v>16</v>
      </c>
      <c r="G3766">
        <f>IF(Table13[[#This Row],[New Pos L]]&lt;&gt;0,Table13[[#This Row],[New Pos L]],Table13[[#This Row],[New Pos R]])</f>
        <v>16</v>
      </c>
      <c r="H3766">
        <f>IF(AND(Table13[[#This Row],[Direction]]="L",Table13[[#This Row],[Steps]]&gt;G3765,G3765&lt;&gt;0),1,0)</f>
        <v>0</v>
      </c>
      <c r="I3766">
        <f>IF(AND(Table13[[#This Row],[Direction]]="R",(G3765+Table13[[#This Row],[Steps]])&gt;100),1,0)</f>
        <v>0</v>
      </c>
      <c r="J3766">
        <f>IF(Table13[[#This Row],[POS]]=0,1,0)</f>
        <v>0</v>
      </c>
      <c r="K3766">
        <f>SUM(Table13[[#This Row],[prefix]],Table13[[#This Row],[Past zero L]],Table13[[#This Row],[Past Zero R]],Table13[[#This Row],[Is Zero]])</f>
        <v>0</v>
      </c>
    </row>
    <row r="3767" spans="1:11" ht="16" x14ac:dyDescent="0.2">
      <c r="A3767" s="1" t="s">
        <v>330</v>
      </c>
      <c r="B3767" t="str">
        <f>LEFT(Table13[[#This Row],[Input]],1)</f>
        <v>L</v>
      </c>
      <c r="C3767">
        <f>_xlfn.LET(_xlpm.steps,SUBSTITUTE(Table13[[#This Row],[Input]],Table13[[#This Row],[Direction]],""),VALUE(IF(LEN(_xlpm.steps)&gt;2,RIGHT(_xlpm.steps,2),_xlpm.steps)))</f>
        <v>47</v>
      </c>
      <c r="D3767">
        <f>_xlfn.LET(_xlpm.steps,SUBSTITUTE(Table13[[#This Row],[Input]],Table13[[#This Row],[Direction]],""),VALUE(IF(LEN(_xlpm.steps)&gt;2,LEFT(_xlpm.steps,LEN(_xlpm.steps)-2),0)))</f>
        <v>0</v>
      </c>
      <c r="E3767">
        <f>_xlfn.LET(_xlpm.dir,Table13[[#This Row],[Direction]],
IF(_xlpm.dir="L",
    IF(G3766-Table13[[#This Row],[Steps]]&lt;0,100+(G3766-Table13[[#This Row],[Steps]]),G3766-Table13[[#This Row],[Steps]]),
))</f>
        <v>69</v>
      </c>
      <c r="F3767">
        <f>_xlfn.LET(_xlpm.dir,Table13[[#This Row],[Direction]],
IF(_xlpm.dir="R",
    IF(G3766+Table13[[#This Row],[Steps]]&gt;99,(G3766+Table13[[#This Row],[Steps]])-100,G3766+Table13[[#This Row],[Steps]]),
))</f>
        <v>0</v>
      </c>
      <c r="G3767">
        <f>IF(Table13[[#This Row],[New Pos L]]&lt;&gt;0,Table13[[#This Row],[New Pos L]],Table13[[#This Row],[New Pos R]])</f>
        <v>69</v>
      </c>
      <c r="H3767">
        <f>IF(AND(Table13[[#This Row],[Direction]]="L",Table13[[#This Row],[Steps]]&gt;G3766,G3766&lt;&gt;0),1,0)</f>
        <v>1</v>
      </c>
      <c r="I3767">
        <f>IF(AND(Table13[[#This Row],[Direction]]="R",(G3766+Table13[[#This Row],[Steps]])&gt;100),1,0)</f>
        <v>0</v>
      </c>
      <c r="J3767">
        <f>IF(Table13[[#This Row],[POS]]=0,1,0)</f>
        <v>0</v>
      </c>
      <c r="K3767">
        <f>SUM(Table13[[#This Row],[prefix]],Table13[[#This Row],[Past zero L]],Table13[[#This Row],[Past Zero R]],Table13[[#This Row],[Is Zero]])</f>
        <v>1</v>
      </c>
    </row>
    <row r="3768" spans="1:11" ht="16" x14ac:dyDescent="0.2">
      <c r="A3768" s="1" t="s">
        <v>201</v>
      </c>
      <c r="B3768" t="str">
        <f>LEFT(Table13[[#This Row],[Input]],1)</f>
        <v>R</v>
      </c>
      <c r="C3768">
        <f>_xlfn.LET(_xlpm.steps,SUBSTITUTE(Table13[[#This Row],[Input]],Table13[[#This Row],[Direction]],""),VALUE(IF(LEN(_xlpm.steps)&gt;2,RIGHT(_xlpm.steps,2),_xlpm.steps)))</f>
        <v>31</v>
      </c>
      <c r="D3768">
        <f>_xlfn.LET(_xlpm.steps,SUBSTITUTE(Table13[[#This Row],[Input]],Table13[[#This Row],[Direction]],""),VALUE(IF(LEN(_xlpm.steps)&gt;2,LEFT(_xlpm.steps,LEN(_xlpm.steps)-2),0)))</f>
        <v>0</v>
      </c>
      <c r="E3768">
        <f>_xlfn.LET(_xlpm.dir,Table13[[#This Row],[Direction]],
IF(_xlpm.dir="L",
    IF(G3767-Table13[[#This Row],[Steps]]&lt;0,100+(G3767-Table13[[#This Row],[Steps]]),G3767-Table13[[#This Row],[Steps]]),
))</f>
        <v>0</v>
      </c>
      <c r="F3768">
        <f>_xlfn.LET(_xlpm.dir,Table13[[#This Row],[Direction]],
IF(_xlpm.dir="R",
    IF(G3767+Table13[[#This Row],[Steps]]&gt;99,(G3767+Table13[[#This Row],[Steps]])-100,G3767+Table13[[#This Row],[Steps]]),
))</f>
        <v>0</v>
      </c>
      <c r="G3768">
        <f>IF(Table13[[#This Row],[New Pos L]]&lt;&gt;0,Table13[[#This Row],[New Pos L]],Table13[[#This Row],[New Pos R]])</f>
        <v>0</v>
      </c>
      <c r="H3768">
        <f>IF(AND(Table13[[#This Row],[Direction]]="L",Table13[[#This Row],[Steps]]&gt;G3767,G3767&lt;&gt;0),1,0)</f>
        <v>0</v>
      </c>
      <c r="I3768">
        <f>IF(AND(Table13[[#This Row],[Direction]]="R",(G3767+Table13[[#This Row],[Steps]])&gt;100),1,0)</f>
        <v>0</v>
      </c>
      <c r="J3768">
        <f>IF(Table13[[#This Row],[POS]]=0,1,0)</f>
        <v>1</v>
      </c>
      <c r="K3768">
        <f>SUM(Table13[[#This Row],[prefix]],Table13[[#This Row],[Past zero L]],Table13[[#This Row],[Past Zero R]],Table13[[#This Row],[Is Zero]])</f>
        <v>1</v>
      </c>
    </row>
    <row r="3769" spans="1:11" ht="16" x14ac:dyDescent="0.2">
      <c r="A3769" s="1" t="s">
        <v>51</v>
      </c>
      <c r="B3769" t="str">
        <f>LEFT(Table13[[#This Row],[Input]],1)</f>
        <v>L</v>
      </c>
      <c r="C3769">
        <f>_xlfn.LET(_xlpm.steps,SUBSTITUTE(Table13[[#This Row],[Input]],Table13[[#This Row],[Direction]],""),VALUE(IF(LEN(_xlpm.steps)&gt;2,RIGHT(_xlpm.steps,2),_xlpm.steps)))</f>
        <v>25</v>
      </c>
      <c r="D3769">
        <f>_xlfn.LET(_xlpm.steps,SUBSTITUTE(Table13[[#This Row],[Input]],Table13[[#This Row],[Direction]],""),VALUE(IF(LEN(_xlpm.steps)&gt;2,LEFT(_xlpm.steps,LEN(_xlpm.steps)-2),0)))</f>
        <v>0</v>
      </c>
      <c r="E3769">
        <f>_xlfn.LET(_xlpm.dir,Table13[[#This Row],[Direction]],
IF(_xlpm.dir="L",
    IF(G3768-Table13[[#This Row],[Steps]]&lt;0,100+(G3768-Table13[[#This Row],[Steps]]),G3768-Table13[[#This Row],[Steps]]),
))</f>
        <v>75</v>
      </c>
      <c r="F3769">
        <f>_xlfn.LET(_xlpm.dir,Table13[[#This Row],[Direction]],
IF(_xlpm.dir="R",
    IF(G3768+Table13[[#This Row],[Steps]]&gt;99,(G3768+Table13[[#This Row],[Steps]])-100,G3768+Table13[[#This Row],[Steps]]),
))</f>
        <v>0</v>
      </c>
      <c r="G3769">
        <f>IF(Table13[[#This Row],[New Pos L]]&lt;&gt;0,Table13[[#This Row],[New Pos L]],Table13[[#This Row],[New Pos R]])</f>
        <v>75</v>
      </c>
      <c r="H3769">
        <f>IF(AND(Table13[[#This Row],[Direction]]="L",Table13[[#This Row],[Steps]]&gt;G3768,G3768&lt;&gt;0),1,0)</f>
        <v>0</v>
      </c>
      <c r="I3769">
        <f>IF(AND(Table13[[#This Row],[Direction]]="R",(G3768+Table13[[#This Row],[Steps]])&gt;100),1,0)</f>
        <v>0</v>
      </c>
      <c r="J3769">
        <f>IF(Table13[[#This Row],[POS]]=0,1,0)</f>
        <v>0</v>
      </c>
      <c r="K3769">
        <f>SUM(Table13[[#This Row],[prefix]],Table13[[#This Row],[Past zero L]],Table13[[#This Row],[Past Zero R]],Table13[[#This Row],[Is Zero]])</f>
        <v>0</v>
      </c>
    </row>
    <row r="3770" spans="1:11" ht="16" x14ac:dyDescent="0.2">
      <c r="A3770" s="1" t="s">
        <v>54</v>
      </c>
      <c r="B3770" t="str">
        <f>LEFT(Table13[[#This Row],[Input]],1)</f>
        <v>L</v>
      </c>
      <c r="C3770">
        <f>_xlfn.LET(_xlpm.steps,SUBSTITUTE(Table13[[#This Row],[Input]],Table13[[#This Row],[Direction]],""),VALUE(IF(LEN(_xlpm.steps)&gt;2,RIGHT(_xlpm.steps,2),_xlpm.steps)))</f>
        <v>75</v>
      </c>
      <c r="D3770">
        <f>_xlfn.LET(_xlpm.steps,SUBSTITUTE(Table13[[#This Row],[Input]],Table13[[#This Row],[Direction]],""),VALUE(IF(LEN(_xlpm.steps)&gt;2,LEFT(_xlpm.steps,LEN(_xlpm.steps)-2),0)))</f>
        <v>0</v>
      </c>
      <c r="E3770">
        <f>_xlfn.LET(_xlpm.dir,Table13[[#This Row],[Direction]],
IF(_xlpm.dir="L",
    IF(G3769-Table13[[#This Row],[Steps]]&lt;0,100+(G3769-Table13[[#This Row],[Steps]]),G3769-Table13[[#This Row],[Steps]]),
))</f>
        <v>0</v>
      </c>
      <c r="F3770">
        <f>_xlfn.LET(_xlpm.dir,Table13[[#This Row],[Direction]],
IF(_xlpm.dir="R",
    IF(G3769+Table13[[#This Row],[Steps]]&gt;99,(G3769+Table13[[#This Row],[Steps]])-100,G3769+Table13[[#This Row],[Steps]]),
))</f>
        <v>0</v>
      </c>
      <c r="G3770">
        <f>IF(Table13[[#This Row],[New Pos L]]&lt;&gt;0,Table13[[#This Row],[New Pos L]],Table13[[#This Row],[New Pos R]])</f>
        <v>0</v>
      </c>
      <c r="H3770">
        <f>IF(AND(Table13[[#This Row],[Direction]]="L",Table13[[#This Row],[Steps]]&gt;G3769,G3769&lt;&gt;0),1,0)</f>
        <v>0</v>
      </c>
      <c r="I3770">
        <f>IF(AND(Table13[[#This Row],[Direction]]="R",(G3769+Table13[[#This Row],[Steps]])&gt;100),1,0)</f>
        <v>0</v>
      </c>
      <c r="J3770">
        <f>IF(Table13[[#This Row],[POS]]=0,1,0)</f>
        <v>1</v>
      </c>
      <c r="K3770">
        <f>SUM(Table13[[#This Row],[prefix]],Table13[[#This Row],[Past zero L]],Table13[[#This Row],[Past Zero R]],Table13[[#This Row],[Is Zero]])</f>
        <v>1</v>
      </c>
    </row>
    <row r="3771" spans="1:11" ht="16" x14ac:dyDescent="0.2">
      <c r="A3771" s="1" t="s">
        <v>38</v>
      </c>
      <c r="B3771" t="str">
        <f>LEFT(Table13[[#This Row],[Input]],1)</f>
        <v>R</v>
      </c>
      <c r="C3771">
        <f>_xlfn.LET(_xlpm.steps,SUBSTITUTE(Table13[[#This Row],[Input]],Table13[[#This Row],[Direction]],""),VALUE(IF(LEN(_xlpm.steps)&gt;2,RIGHT(_xlpm.steps,2),_xlpm.steps)))</f>
        <v>15</v>
      </c>
      <c r="D3771">
        <f>_xlfn.LET(_xlpm.steps,SUBSTITUTE(Table13[[#This Row],[Input]],Table13[[#This Row],[Direction]],""),VALUE(IF(LEN(_xlpm.steps)&gt;2,LEFT(_xlpm.steps,LEN(_xlpm.steps)-2),0)))</f>
        <v>0</v>
      </c>
      <c r="E3771">
        <f>_xlfn.LET(_xlpm.dir,Table13[[#This Row],[Direction]],
IF(_xlpm.dir="L",
    IF(G3770-Table13[[#This Row],[Steps]]&lt;0,100+(G3770-Table13[[#This Row],[Steps]]),G3770-Table13[[#This Row],[Steps]]),
))</f>
        <v>0</v>
      </c>
      <c r="F3771">
        <f>_xlfn.LET(_xlpm.dir,Table13[[#This Row],[Direction]],
IF(_xlpm.dir="R",
    IF(G3770+Table13[[#This Row],[Steps]]&gt;99,(G3770+Table13[[#This Row],[Steps]])-100,G3770+Table13[[#This Row],[Steps]]),
))</f>
        <v>15</v>
      </c>
      <c r="G3771">
        <f>IF(Table13[[#This Row],[New Pos L]]&lt;&gt;0,Table13[[#This Row],[New Pos L]],Table13[[#This Row],[New Pos R]])</f>
        <v>15</v>
      </c>
      <c r="H3771">
        <f>IF(AND(Table13[[#This Row],[Direction]]="L",Table13[[#This Row],[Steps]]&gt;G3770,G3770&lt;&gt;0),1,0)</f>
        <v>0</v>
      </c>
      <c r="I3771">
        <f>IF(AND(Table13[[#This Row],[Direction]]="R",(G3770+Table13[[#This Row],[Steps]])&gt;100),1,0)</f>
        <v>0</v>
      </c>
      <c r="J3771">
        <f>IF(Table13[[#This Row],[POS]]=0,1,0)</f>
        <v>0</v>
      </c>
      <c r="K3771">
        <f>SUM(Table13[[#This Row],[prefix]],Table13[[#This Row],[Past zero L]],Table13[[#This Row],[Past Zero R]],Table13[[#This Row],[Is Zero]])</f>
        <v>0</v>
      </c>
    </row>
    <row r="3772" spans="1:11" ht="16" x14ac:dyDescent="0.2">
      <c r="A3772" s="1" t="s">
        <v>78</v>
      </c>
      <c r="B3772" t="str">
        <f>LEFT(Table13[[#This Row],[Input]],1)</f>
        <v>R</v>
      </c>
      <c r="C3772">
        <f>_xlfn.LET(_xlpm.steps,SUBSTITUTE(Table13[[#This Row],[Input]],Table13[[#This Row],[Direction]],""),VALUE(IF(LEN(_xlpm.steps)&gt;2,RIGHT(_xlpm.steps,2),_xlpm.steps)))</f>
        <v>78</v>
      </c>
      <c r="D3772">
        <f>_xlfn.LET(_xlpm.steps,SUBSTITUTE(Table13[[#This Row],[Input]],Table13[[#This Row],[Direction]],""),VALUE(IF(LEN(_xlpm.steps)&gt;2,LEFT(_xlpm.steps,LEN(_xlpm.steps)-2),0)))</f>
        <v>4</v>
      </c>
      <c r="E3772">
        <f>_xlfn.LET(_xlpm.dir,Table13[[#This Row],[Direction]],
IF(_xlpm.dir="L",
    IF(G3771-Table13[[#This Row],[Steps]]&lt;0,100+(G3771-Table13[[#This Row],[Steps]]),G3771-Table13[[#This Row],[Steps]]),
))</f>
        <v>0</v>
      </c>
      <c r="F3772">
        <f>_xlfn.LET(_xlpm.dir,Table13[[#This Row],[Direction]],
IF(_xlpm.dir="R",
    IF(G3771+Table13[[#This Row],[Steps]]&gt;99,(G3771+Table13[[#This Row],[Steps]])-100,G3771+Table13[[#This Row],[Steps]]),
))</f>
        <v>93</v>
      </c>
      <c r="G3772">
        <f>IF(Table13[[#This Row],[New Pos L]]&lt;&gt;0,Table13[[#This Row],[New Pos L]],Table13[[#This Row],[New Pos R]])</f>
        <v>93</v>
      </c>
      <c r="H3772">
        <f>IF(AND(Table13[[#This Row],[Direction]]="L",Table13[[#This Row],[Steps]]&gt;G3771,G3771&lt;&gt;0),1,0)</f>
        <v>0</v>
      </c>
      <c r="I3772">
        <f>IF(AND(Table13[[#This Row],[Direction]]="R",(G3771+Table13[[#This Row],[Steps]])&gt;100),1,0)</f>
        <v>0</v>
      </c>
      <c r="J3772">
        <f>IF(Table13[[#This Row],[POS]]=0,1,0)</f>
        <v>0</v>
      </c>
      <c r="K3772">
        <f>SUM(Table13[[#This Row],[prefix]],Table13[[#This Row],[Past zero L]],Table13[[#This Row],[Past Zero R]],Table13[[#This Row],[Is Zero]])</f>
        <v>4</v>
      </c>
    </row>
    <row r="3773" spans="1:11" ht="16" x14ac:dyDescent="0.2">
      <c r="A3773" s="1" t="s">
        <v>49</v>
      </c>
      <c r="B3773" t="str">
        <f>LEFT(Table13[[#This Row],[Input]],1)</f>
        <v>L</v>
      </c>
      <c r="C3773">
        <f>_xlfn.LET(_xlpm.steps,SUBSTITUTE(Table13[[#This Row],[Input]],Table13[[#This Row],[Direction]],""),VALUE(IF(LEN(_xlpm.steps)&gt;2,RIGHT(_xlpm.steps,2),_xlpm.steps)))</f>
        <v>93</v>
      </c>
      <c r="D3773">
        <f>_xlfn.LET(_xlpm.steps,SUBSTITUTE(Table13[[#This Row],[Input]],Table13[[#This Row],[Direction]],""),VALUE(IF(LEN(_xlpm.steps)&gt;2,LEFT(_xlpm.steps,LEN(_xlpm.steps)-2),0)))</f>
        <v>0</v>
      </c>
      <c r="E3773">
        <f>_xlfn.LET(_xlpm.dir,Table13[[#This Row],[Direction]],
IF(_xlpm.dir="L",
    IF(G3772-Table13[[#This Row],[Steps]]&lt;0,100+(G3772-Table13[[#This Row],[Steps]]),G3772-Table13[[#This Row],[Steps]]),
))</f>
        <v>0</v>
      </c>
      <c r="F3773">
        <f>_xlfn.LET(_xlpm.dir,Table13[[#This Row],[Direction]],
IF(_xlpm.dir="R",
    IF(G3772+Table13[[#This Row],[Steps]]&gt;99,(G3772+Table13[[#This Row],[Steps]])-100,G3772+Table13[[#This Row],[Steps]]),
))</f>
        <v>0</v>
      </c>
      <c r="G3773">
        <f>IF(Table13[[#This Row],[New Pos L]]&lt;&gt;0,Table13[[#This Row],[New Pos L]],Table13[[#This Row],[New Pos R]])</f>
        <v>0</v>
      </c>
      <c r="H3773">
        <f>IF(AND(Table13[[#This Row],[Direction]]="L",Table13[[#This Row],[Steps]]&gt;G3772,G3772&lt;&gt;0),1,0)</f>
        <v>0</v>
      </c>
      <c r="I3773">
        <f>IF(AND(Table13[[#This Row],[Direction]]="R",(G3772+Table13[[#This Row],[Steps]])&gt;100),1,0)</f>
        <v>0</v>
      </c>
      <c r="J3773">
        <f>IF(Table13[[#This Row],[POS]]=0,1,0)</f>
        <v>1</v>
      </c>
      <c r="K3773">
        <f>SUM(Table13[[#This Row],[prefix]],Table13[[#This Row],[Past zero L]],Table13[[#This Row],[Past Zero R]],Table13[[#This Row],[Is Zero]])</f>
        <v>1</v>
      </c>
    </row>
    <row r="3774" spans="1:11" ht="16" x14ac:dyDescent="0.2">
      <c r="A3774" s="1" t="s">
        <v>139</v>
      </c>
      <c r="B3774" t="str">
        <f>LEFT(Table13[[#This Row],[Input]],1)</f>
        <v>R</v>
      </c>
      <c r="C3774">
        <f>_xlfn.LET(_xlpm.steps,SUBSTITUTE(Table13[[#This Row],[Input]],Table13[[#This Row],[Direction]],""),VALUE(IF(LEN(_xlpm.steps)&gt;2,RIGHT(_xlpm.steps,2),_xlpm.steps)))</f>
        <v>38</v>
      </c>
      <c r="D3774">
        <f>_xlfn.LET(_xlpm.steps,SUBSTITUTE(Table13[[#This Row],[Input]],Table13[[#This Row],[Direction]],""),VALUE(IF(LEN(_xlpm.steps)&gt;2,LEFT(_xlpm.steps,LEN(_xlpm.steps)-2),0)))</f>
        <v>0</v>
      </c>
      <c r="E3774">
        <f>_xlfn.LET(_xlpm.dir,Table13[[#This Row],[Direction]],
IF(_xlpm.dir="L",
    IF(G3773-Table13[[#This Row],[Steps]]&lt;0,100+(G3773-Table13[[#This Row],[Steps]]),G3773-Table13[[#This Row],[Steps]]),
))</f>
        <v>0</v>
      </c>
      <c r="F3774">
        <f>_xlfn.LET(_xlpm.dir,Table13[[#This Row],[Direction]],
IF(_xlpm.dir="R",
    IF(G3773+Table13[[#This Row],[Steps]]&gt;99,(G3773+Table13[[#This Row],[Steps]])-100,G3773+Table13[[#This Row],[Steps]]),
))</f>
        <v>38</v>
      </c>
      <c r="G3774">
        <f>IF(Table13[[#This Row],[New Pos L]]&lt;&gt;0,Table13[[#This Row],[New Pos L]],Table13[[#This Row],[New Pos R]])</f>
        <v>38</v>
      </c>
      <c r="H3774">
        <f>IF(AND(Table13[[#This Row],[Direction]]="L",Table13[[#This Row],[Steps]]&gt;G3773,G3773&lt;&gt;0),1,0)</f>
        <v>0</v>
      </c>
      <c r="I3774">
        <f>IF(AND(Table13[[#This Row],[Direction]]="R",(G3773+Table13[[#This Row],[Steps]])&gt;100),1,0)</f>
        <v>0</v>
      </c>
      <c r="J3774">
        <f>IF(Table13[[#This Row],[POS]]=0,1,0)</f>
        <v>0</v>
      </c>
      <c r="K3774">
        <f>SUM(Table13[[#This Row],[prefix]],Table13[[#This Row],[Past zero L]],Table13[[#This Row],[Past Zero R]],Table13[[#This Row],[Is Zero]])</f>
        <v>0</v>
      </c>
    </row>
    <row r="3775" spans="1:11" ht="16" x14ac:dyDescent="0.2">
      <c r="A3775" s="1" t="s">
        <v>193</v>
      </c>
      <c r="B3775" t="str">
        <f>LEFT(Table13[[#This Row],[Input]],1)</f>
        <v>L</v>
      </c>
      <c r="C3775">
        <f>_xlfn.LET(_xlpm.steps,SUBSTITUTE(Table13[[#This Row],[Input]],Table13[[#This Row],[Direction]],""),VALUE(IF(LEN(_xlpm.steps)&gt;2,RIGHT(_xlpm.steps,2),_xlpm.steps)))</f>
        <v>12</v>
      </c>
      <c r="D3775">
        <f>_xlfn.LET(_xlpm.steps,SUBSTITUTE(Table13[[#This Row],[Input]],Table13[[#This Row],[Direction]],""),VALUE(IF(LEN(_xlpm.steps)&gt;2,LEFT(_xlpm.steps,LEN(_xlpm.steps)-2),0)))</f>
        <v>0</v>
      </c>
      <c r="E3775">
        <f>_xlfn.LET(_xlpm.dir,Table13[[#This Row],[Direction]],
IF(_xlpm.dir="L",
    IF(G3774-Table13[[#This Row],[Steps]]&lt;0,100+(G3774-Table13[[#This Row],[Steps]]),G3774-Table13[[#This Row],[Steps]]),
))</f>
        <v>26</v>
      </c>
      <c r="F3775">
        <f>_xlfn.LET(_xlpm.dir,Table13[[#This Row],[Direction]],
IF(_xlpm.dir="R",
    IF(G3774+Table13[[#This Row],[Steps]]&gt;99,(G3774+Table13[[#This Row],[Steps]])-100,G3774+Table13[[#This Row],[Steps]]),
))</f>
        <v>0</v>
      </c>
      <c r="G3775">
        <f>IF(Table13[[#This Row],[New Pos L]]&lt;&gt;0,Table13[[#This Row],[New Pos L]],Table13[[#This Row],[New Pos R]])</f>
        <v>26</v>
      </c>
      <c r="H3775">
        <f>IF(AND(Table13[[#This Row],[Direction]]="L",Table13[[#This Row],[Steps]]&gt;G3774,G3774&lt;&gt;0),1,0)</f>
        <v>0</v>
      </c>
      <c r="I3775">
        <f>IF(AND(Table13[[#This Row],[Direction]]="R",(G3774+Table13[[#This Row],[Steps]])&gt;100),1,0)</f>
        <v>0</v>
      </c>
      <c r="J3775">
        <f>IF(Table13[[#This Row],[POS]]=0,1,0)</f>
        <v>0</v>
      </c>
      <c r="K3775">
        <f>SUM(Table13[[#This Row],[prefix]],Table13[[#This Row],[Past zero L]],Table13[[#This Row],[Past Zero R]],Table13[[#This Row],[Is Zero]])</f>
        <v>0</v>
      </c>
    </row>
    <row r="3776" spans="1:11" ht="16" x14ac:dyDescent="0.2">
      <c r="A3776" s="1" t="s">
        <v>795</v>
      </c>
      <c r="B3776" t="str">
        <f>LEFT(Table13[[#This Row],[Input]],1)</f>
        <v>L</v>
      </c>
      <c r="C3776">
        <f>_xlfn.LET(_xlpm.steps,SUBSTITUTE(Table13[[#This Row],[Input]],Table13[[#This Row],[Direction]],""),VALUE(IF(LEN(_xlpm.steps)&gt;2,RIGHT(_xlpm.steps,2),_xlpm.steps)))</f>
        <v>79</v>
      </c>
      <c r="D3776">
        <f>_xlfn.LET(_xlpm.steps,SUBSTITUTE(Table13[[#This Row],[Input]],Table13[[#This Row],[Direction]],""),VALUE(IF(LEN(_xlpm.steps)&gt;2,LEFT(_xlpm.steps,LEN(_xlpm.steps)-2),0)))</f>
        <v>3</v>
      </c>
      <c r="E3776">
        <f>_xlfn.LET(_xlpm.dir,Table13[[#This Row],[Direction]],
IF(_xlpm.dir="L",
    IF(G3775-Table13[[#This Row],[Steps]]&lt;0,100+(G3775-Table13[[#This Row],[Steps]]),G3775-Table13[[#This Row],[Steps]]),
))</f>
        <v>47</v>
      </c>
      <c r="F3776">
        <f>_xlfn.LET(_xlpm.dir,Table13[[#This Row],[Direction]],
IF(_xlpm.dir="R",
    IF(G3775+Table13[[#This Row],[Steps]]&gt;99,(G3775+Table13[[#This Row],[Steps]])-100,G3775+Table13[[#This Row],[Steps]]),
))</f>
        <v>0</v>
      </c>
      <c r="G3776">
        <f>IF(Table13[[#This Row],[New Pos L]]&lt;&gt;0,Table13[[#This Row],[New Pos L]],Table13[[#This Row],[New Pos R]])</f>
        <v>47</v>
      </c>
      <c r="H3776">
        <f>IF(AND(Table13[[#This Row],[Direction]]="L",Table13[[#This Row],[Steps]]&gt;G3775,G3775&lt;&gt;0),1,0)</f>
        <v>1</v>
      </c>
      <c r="I3776">
        <f>IF(AND(Table13[[#This Row],[Direction]]="R",(G3775+Table13[[#This Row],[Steps]])&gt;100),1,0)</f>
        <v>0</v>
      </c>
      <c r="J3776">
        <f>IF(Table13[[#This Row],[POS]]=0,1,0)</f>
        <v>0</v>
      </c>
      <c r="K3776">
        <f>SUM(Table13[[#This Row],[prefix]],Table13[[#This Row],[Past zero L]],Table13[[#This Row],[Past Zero R]],Table13[[#This Row],[Is Zero]])</f>
        <v>4</v>
      </c>
    </row>
    <row r="3777" spans="1:11" ht="16" x14ac:dyDescent="0.2">
      <c r="A3777" s="1" t="s">
        <v>121</v>
      </c>
      <c r="B3777" t="str">
        <f>LEFT(Table13[[#This Row],[Input]],1)</f>
        <v>L</v>
      </c>
      <c r="C3777">
        <f>_xlfn.LET(_xlpm.steps,SUBSTITUTE(Table13[[#This Row],[Input]],Table13[[#This Row],[Direction]],""),VALUE(IF(LEN(_xlpm.steps)&gt;2,RIGHT(_xlpm.steps,2),_xlpm.steps)))</f>
        <v>69</v>
      </c>
      <c r="D3777">
        <f>_xlfn.LET(_xlpm.steps,SUBSTITUTE(Table13[[#This Row],[Input]],Table13[[#This Row],[Direction]],""),VALUE(IF(LEN(_xlpm.steps)&gt;2,LEFT(_xlpm.steps,LEN(_xlpm.steps)-2),0)))</f>
        <v>0</v>
      </c>
      <c r="E3777">
        <f>_xlfn.LET(_xlpm.dir,Table13[[#This Row],[Direction]],
IF(_xlpm.dir="L",
    IF(G3776-Table13[[#This Row],[Steps]]&lt;0,100+(G3776-Table13[[#This Row],[Steps]]),G3776-Table13[[#This Row],[Steps]]),
))</f>
        <v>78</v>
      </c>
      <c r="F3777">
        <f>_xlfn.LET(_xlpm.dir,Table13[[#This Row],[Direction]],
IF(_xlpm.dir="R",
    IF(G3776+Table13[[#This Row],[Steps]]&gt;99,(G3776+Table13[[#This Row],[Steps]])-100,G3776+Table13[[#This Row],[Steps]]),
))</f>
        <v>0</v>
      </c>
      <c r="G3777">
        <f>IF(Table13[[#This Row],[New Pos L]]&lt;&gt;0,Table13[[#This Row],[New Pos L]],Table13[[#This Row],[New Pos R]])</f>
        <v>78</v>
      </c>
      <c r="H3777">
        <f>IF(AND(Table13[[#This Row],[Direction]]="L",Table13[[#This Row],[Steps]]&gt;G3776,G3776&lt;&gt;0),1,0)</f>
        <v>1</v>
      </c>
      <c r="I3777">
        <f>IF(AND(Table13[[#This Row],[Direction]]="R",(G3776+Table13[[#This Row],[Steps]])&gt;100),1,0)</f>
        <v>0</v>
      </c>
      <c r="J3777">
        <f>IF(Table13[[#This Row],[POS]]=0,1,0)</f>
        <v>0</v>
      </c>
      <c r="K3777">
        <f>SUM(Table13[[#This Row],[prefix]],Table13[[#This Row],[Past zero L]],Table13[[#This Row],[Past Zero R]],Table13[[#This Row],[Is Zero]])</f>
        <v>1</v>
      </c>
    </row>
    <row r="3778" spans="1:11" ht="16" x14ac:dyDescent="0.2">
      <c r="A3778" s="1" t="s">
        <v>33</v>
      </c>
      <c r="B3778" t="str">
        <f>LEFT(Table13[[#This Row],[Input]],1)</f>
        <v>R</v>
      </c>
      <c r="C3778">
        <f>_xlfn.LET(_xlpm.steps,SUBSTITUTE(Table13[[#This Row],[Input]],Table13[[#This Row],[Direction]],""),VALUE(IF(LEN(_xlpm.steps)&gt;2,RIGHT(_xlpm.steps,2),_xlpm.steps)))</f>
        <v>22</v>
      </c>
      <c r="D3778">
        <f>_xlfn.LET(_xlpm.steps,SUBSTITUTE(Table13[[#This Row],[Input]],Table13[[#This Row],[Direction]],""),VALUE(IF(LEN(_xlpm.steps)&gt;2,LEFT(_xlpm.steps,LEN(_xlpm.steps)-2),0)))</f>
        <v>0</v>
      </c>
      <c r="E3778">
        <f>_xlfn.LET(_xlpm.dir,Table13[[#This Row],[Direction]],
IF(_xlpm.dir="L",
    IF(G3777-Table13[[#This Row],[Steps]]&lt;0,100+(G3777-Table13[[#This Row],[Steps]]),G3777-Table13[[#This Row],[Steps]]),
))</f>
        <v>0</v>
      </c>
      <c r="F3778">
        <f>_xlfn.LET(_xlpm.dir,Table13[[#This Row],[Direction]],
IF(_xlpm.dir="R",
    IF(G3777+Table13[[#This Row],[Steps]]&gt;99,(G3777+Table13[[#This Row],[Steps]])-100,G3777+Table13[[#This Row],[Steps]]),
))</f>
        <v>0</v>
      </c>
      <c r="G3778">
        <f>IF(Table13[[#This Row],[New Pos L]]&lt;&gt;0,Table13[[#This Row],[New Pos L]],Table13[[#This Row],[New Pos R]])</f>
        <v>0</v>
      </c>
      <c r="H3778">
        <f>IF(AND(Table13[[#This Row],[Direction]]="L",Table13[[#This Row],[Steps]]&gt;G3777,G3777&lt;&gt;0),1,0)</f>
        <v>0</v>
      </c>
      <c r="I3778">
        <f>IF(AND(Table13[[#This Row],[Direction]]="R",(G3777+Table13[[#This Row],[Steps]])&gt;100),1,0)</f>
        <v>0</v>
      </c>
      <c r="J3778">
        <f>IF(Table13[[#This Row],[POS]]=0,1,0)</f>
        <v>1</v>
      </c>
      <c r="K3778">
        <f>SUM(Table13[[#This Row],[prefix]],Table13[[#This Row],[Past zero L]],Table13[[#This Row],[Past Zero R]],Table13[[#This Row],[Is Zero]])</f>
        <v>1</v>
      </c>
    </row>
    <row r="3779" spans="1:11" ht="16" x14ac:dyDescent="0.2">
      <c r="A3779" s="1" t="s">
        <v>796</v>
      </c>
      <c r="B3779" t="str">
        <f>LEFT(Table13[[#This Row],[Input]],1)</f>
        <v>R</v>
      </c>
      <c r="C3779">
        <f>_xlfn.LET(_xlpm.steps,SUBSTITUTE(Table13[[#This Row],[Input]],Table13[[#This Row],[Direction]],""),VALUE(IF(LEN(_xlpm.steps)&gt;2,RIGHT(_xlpm.steps,2),_xlpm.steps)))</f>
        <v>73</v>
      </c>
      <c r="D3779">
        <f>_xlfn.LET(_xlpm.steps,SUBSTITUTE(Table13[[#This Row],[Input]],Table13[[#This Row],[Direction]],""),VALUE(IF(LEN(_xlpm.steps)&gt;2,LEFT(_xlpm.steps,LEN(_xlpm.steps)-2),0)))</f>
        <v>4</v>
      </c>
      <c r="E3779">
        <f>_xlfn.LET(_xlpm.dir,Table13[[#This Row],[Direction]],
IF(_xlpm.dir="L",
    IF(G3778-Table13[[#This Row],[Steps]]&lt;0,100+(G3778-Table13[[#This Row],[Steps]]),G3778-Table13[[#This Row],[Steps]]),
))</f>
        <v>0</v>
      </c>
      <c r="F3779">
        <f>_xlfn.LET(_xlpm.dir,Table13[[#This Row],[Direction]],
IF(_xlpm.dir="R",
    IF(G3778+Table13[[#This Row],[Steps]]&gt;99,(G3778+Table13[[#This Row],[Steps]])-100,G3778+Table13[[#This Row],[Steps]]),
))</f>
        <v>73</v>
      </c>
      <c r="G3779">
        <f>IF(Table13[[#This Row],[New Pos L]]&lt;&gt;0,Table13[[#This Row],[New Pos L]],Table13[[#This Row],[New Pos R]])</f>
        <v>73</v>
      </c>
      <c r="H3779">
        <f>IF(AND(Table13[[#This Row],[Direction]]="L",Table13[[#This Row],[Steps]]&gt;G3778,G3778&lt;&gt;0),1,0)</f>
        <v>0</v>
      </c>
      <c r="I3779">
        <f>IF(AND(Table13[[#This Row],[Direction]]="R",(G3778+Table13[[#This Row],[Steps]])&gt;100),1,0)</f>
        <v>0</v>
      </c>
      <c r="J3779">
        <f>IF(Table13[[#This Row],[POS]]=0,1,0)</f>
        <v>0</v>
      </c>
      <c r="K3779">
        <f>SUM(Table13[[#This Row],[prefix]],Table13[[#This Row],[Past zero L]],Table13[[#This Row],[Past Zero R]],Table13[[#This Row],[Is Zero]])</f>
        <v>4</v>
      </c>
    </row>
    <row r="3780" spans="1:11" ht="16" x14ac:dyDescent="0.2">
      <c r="A3780" s="1" t="s">
        <v>159</v>
      </c>
      <c r="B3780" t="str">
        <f>LEFT(Table13[[#This Row],[Input]],1)</f>
        <v>R</v>
      </c>
      <c r="C3780">
        <f>_xlfn.LET(_xlpm.steps,SUBSTITUTE(Table13[[#This Row],[Input]],Table13[[#This Row],[Direction]],""),VALUE(IF(LEN(_xlpm.steps)&gt;2,RIGHT(_xlpm.steps,2),_xlpm.steps)))</f>
        <v>24</v>
      </c>
      <c r="D3780">
        <f>_xlfn.LET(_xlpm.steps,SUBSTITUTE(Table13[[#This Row],[Input]],Table13[[#This Row],[Direction]],""),VALUE(IF(LEN(_xlpm.steps)&gt;2,LEFT(_xlpm.steps,LEN(_xlpm.steps)-2),0)))</f>
        <v>0</v>
      </c>
      <c r="E3780">
        <f>_xlfn.LET(_xlpm.dir,Table13[[#This Row],[Direction]],
IF(_xlpm.dir="L",
    IF(G3779-Table13[[#This Row],[Steps]]&lt;0,100+(G3779-Table13[[#This Row],[Steps]]),G3779-Table13[[#This Row],[Steps]]),
))</f>
        <v>0</v>
      </c>
      <c r="F3780">
        <f>_xlfn.LET(_xlpm.dir,Table13[[#This Row],[Direction]],
IF(_xlpm.dir="R",
    IF(G3779+Table13[[#This Row],[Steps]]&gt;99,(G3779+Table13[[#This Row],[Steps]])-100,G3779+Table13[[#This Row],[Steps]]),
))</f>
        <v>97</v>
      </c>
      <c r="G3780">
        <f>IF(Table13[[#This Row],[New Pos L]]&lt;&gt;0,Table13[[#This Row],[New Pos L]],Table13[[#This Row],[New Pos R]])</f>
        <v>97</v>
      </c>
      <c r="H3780">
        <f>IF(AND(Table13[[#This Row],[Direction]]="L",Table13[[#This Row],[Steps]]&gt;G3779,G3779&lt;&gt;0),1,0)</f>
        <v>0</v>
      </c>
      <c r="I3780">
        <f>IF(AND(Table13[[#This Row],[Direction]]="R",(G3779+Table13[[#This Row],[Steps]])&gt;100),1,0)</f>
        <v>0</v>
      </c>
      <c r="J3780">
        <f>IF(Table13[[#This Row],[POS]]=0,1,0)</f>
        <v>0</v>
      </c>
      <c r="K3780">
        <f>SUM(Table13[[#This Row],[prefix]],Table13[[#This Row],[Past zero L]],Table13[[#This Row],[Past Zero R]],Table13[[#This Row],[Is Zero]])</f>
        <v>0</v>
      </c>
    </row>
    <row r="3781" spans="1:11" ht="16" x14ac:dyDescent="0.2">
      <c r="A3781" s="1" t="s">
        <v>797</v>
      </c>
      <c r="B3781" t="str">
        <f>LEFT(Table13[[#This Row],[Input]],1)</f>
        <v>L</v>
      </c>
      <c r="C3781">
        <f>_xlfn.LET(_xlpm.steps,SUBSTITUTE(Table13[[#This Row],[Input]],Table13[[#This Row],[Direction]],""),VALUE(IF(LEN(_xlpm.steps)&gt;2,RIGHT(_xlpm.steps,2),_xlpm.steps)))</f>
        <v>32</v>
      </c>
      <c r="D3781">
        <f>_xlfn.LET(_xlpm.steps,SUBSTITUTE(Table13[[#This Row],[Input]],Table13[[#This Row],[Direction]],""),VALUE(IF(LEN(_xlpm.steps)&gt;2,LEFT(_xlpm.steps,LEN(_xlpm.steps)-2),0)))</f>
        <v>4</v>
      </c>
      <c r="E3781">
        <f>_xlfn.LET(_xlpm.dir,Table13[[#This Row],[Direction]],
IF(_xlpm.dir="L",
    IF(G3780-Table13[[#This Row],[Steps]]&lt;0,100+(G3780-Table13[[#This Row],[Steps]]),G3780-Table13[[#This Row],[Steps]]),
))</f>
        <v>65</v>
      </c>
      <c r="F3781">
        <f>_xlfn.LET(_xlpm.dir,Table13[[#This Row],[Direction]],
IF(_xlpm.dir="R",
    IF(G3780+Table13[[#This Row],[Steps]]&gt;99,(G3780+Table13[[#This Row],[Steps]])-100,G3780+Table13[[#This Row],[Steps]]),
))</f>
        <v>0</v>
      </c>
      <c r="G3781">
        <f>IF(Table13[[#This Row],[New Pos L]]&lt;&gt;0,Table13[[#This Row],[New Pos L]],Table13[[#This Row],[New Pos R]])</f>
        <v>65</v>
      </c>
      <c r="H3781">
        <f>IF(AND(Table13[[#This Row],[Direction]]="L",Table13[[#This Row],[Steps]]&gt;G3780,G3780&lt;&gt;0),1,0)</f>
        <v>0</v>
      </c>
      <c r="I3781">
        <f>IF(AND(Table13[[#This Row],[Direction]]="R",(G3780+Table13[[#This Row],[Steps]])&gt;100),1,0)</f>
        <v>0</v>
      </c>
      <c r="J3781">
        <f>IF(Table13[[#This Row],[POS]]=0,1,0)</f>
        <v>0</v>
      </c>
      <c r="K3781">
        <f>SUM(Table13[[#This Row],[prefix]],Table13[[#This Row],[Past zero L]],Table13[[#This Row],[Past Zero R]],Table13[[#This Row],[Is Zero]])</f>
        <v>4</v>
      </c>
    </row>
    <row r="3782" spans="1:11" ht="16" x14ac:dyDescent="0.2">
      <c r="A3782" s="1" t="s">
        <v>98</v>
      </c>
      <c r="B3782" t="str">
        <f>LEFT(Table13[[#This Row],[Input]],1)</f>
        <v>L</v>
      </c>
      <c r="C3782">
        <f>_xlfn.LET(_xlpm.steps,SUBSTITUTE(Table13[[#This Row],[Input]],Table13[[#This Row],[Direction]],""),VALUE(IF(LEN(_xlpm.steps)&gt;2,RIGHT(_xlpm.steps,2),_xlpm.steps)))</f>
        <v>65</v>
      </c>
      <c r="D3782">
        <f>_xlfn.LET(_xlpm.steps,SUBSTITUTE(Table13[[#This Row],[Input]],Table13[[#This Row],[Direction]],""),VALUE(IF(LEN(_xlpm.steps)&gt;2,LEFT(_xlpm.steps,LEN(_xlpm.steps)-2),0)))</f>
        <v>0</v>
      </c>
      <c r="E3782">
        <f>_xlfn.LET(_xlpm.dir,Table13[[#This Row],[Direction]],
IF(_xlpm.dir="L",
    IF(G3781-Table13[[#This Row],[Steps]]&lt;0,100+(G3781-Table13[[#This Row],[Steps]]),G3781-Table13[[#This Row],[Steps]]),
))</f>
        <v>0</v>
      </c>
      <c r="F3782">
        <f>_xlfn.LET(_xlpm.dir,Table13[[#This Row],[Direction]],
IF(_xlpm.dir="R",
    IF(G3781+Table13[[#This Row],[Steps]]&gt;99,(G3781+Table13[[#This Row],[Steps]])-100,G3781+Table13[[#This Row],[Steps]]),
))</f>
        <v>0</v>
      </c>
      <c r="G3782">
        <f>IF(Table13[[#This Row],[New Pos L]]&lt;&gt;0,Table13[[#This Row],[New Pos L]],Table13[[#This Row],[New Pos R]])</f>
        <v>0</v>
      </c>
      <c r="H3782">
        <f>IF(AND(Table13[[#This Row],[Direction]]="L",Table13[[#This Row],[Steps]]&gt;G3781,G3781&lt;&gt;0),1,0)</f>
        <v>0</v>
      </c>
      <c r="I3782">
        <f>IF(AND(Table13[[#This Row],[Direction]]="R",(G3781+Table13[[#This Row],[Steps]])&gt;100),1,0)</f>
        <v>0</v>
      </c>
      <c r="J3782">
        <f>IF(Table13[[#This Row],[POS]]=0,1,0)</f>
        <v>1</v>
      </c>
      <c r="K3782">
        <f>SUM(Table13[[#This Row],[prefix]],Table13[[#This Row],[Past zero L]],Table13[[#This Row],[Past Zero R]],Table13[[#This Row],[Is Zero]])</f>
        <v>1</v>
      </c>
    </row>
    <row r="3783" spans="1:11" ht="16" x14ac:dyDescent="0.2">
      <c r="A3783" s="1" t="s">
        <v>241</v>
      </c>
      <c r="B3783" t="str">
        <f>LEFT(Table13[[#This Row],[Input]],1)</f>
        <v>R</v>
      </c>
      <c r="C3783">
        <f>_xlfn.LET(_xlpm.steps,SUBSTITUTE(Table13[[#This Row],[Input]],Table13[[#This Row],[Direction]],""),VALUE(IF(LEN(_xlpm.steps)&gt;2,RIGHT(_xlpm.steps,2),_xlpm.steps)))</f>
        <v>60</v>
      </c>
      <c r="D3783">
        <f>_xlfn.LET(_xlpm.steps,SUBSTITUTE(Table13[[#This Row],[Input]],Table13[[#This Row],[Direction]],""),VALUE(IF(LEN(_xlpm.steps)&gt;2,LEFT(_xlpm.steps,LEN(_xlpm.steps)-2),0)))</f>
        <v>0</v>
      </c>
      <c r="E3783">
        <f>_xlfn.LET(_xlpm.dir,Table13[[#This Row],[Direction]],
IF(_xlpm.dir="L",
    IF(G3782-Table13[[#This Row],[Steps]]&lt;0,100+(G3782-Table13[[#This Row],[Steps]]),G3782-Table13[[#This Row],[Steps]]),
))</f>
        <v>0</v>
      </c>
      <c r="F3783">
        <f>_xlfn.LET(_xlpm.dir,Table13[[#This Row],[Direction]],
IF(_xlpm.dir="R",
    IF(G3782+Table13[[#This Row],[Steps]]&gt;99,(G3782+Table13[[#This Row],[Steps]])-100,G3782+Table13[[#This Row],[Steps]]),
))</f>
        <v>60</v>
      </c>
      <c r="G3783">
        <f>IF(Table13[[#This Row],[New Pos L]]&lt;&gt;0,Table13[[#This Row],[New Pos L]],Table13[[#This Row],[New Pos R]])</f>
        <v>60</v>
      </c>
      <c r="H3783">
        <f>IF(AND(Table13[[#This Row],[Direction]]="L",Table13[[#This Row],[Steps]]&gt;G3782,G3782&lt;&gt;0),1,0)</f>
        <v>0</v>
      </c>
      <c r="I3783">
        <f>IF(AND(Table13[[#This Row],[Direction]]="R",(G3782+Table13[[#This Row],[Steps]])&gt;100),1,0)</f>
        <v>0</v>
      </c>
      <c r="J3783">
        <f>IF(Table13[[#This Row],[POS]]=0,1,0)</f>
        <v>0</v>
      </c>
      <c r="K3783">
        <f>SUM(Table13[[#This Row],[prefix]],Table13[[#This Row],[Past zero L]],Table13[[#This Row],[Past Zero R]],Table13[[#This Row],[Is Zero]])</f>
        <v>0</v>
      </c>
    </row>
    <row r="3784" spans="1:11" ht="16" x14ac:dyDescent="0.2">
      <c r="A3784" s="1" t="s">
        <v>798</v>
      </c>
      <c r="B3784" t="str">
        <f>LEFT(Table13[[#This Row],[Input]],1)</f>
        <v>L</v>
      </c>
      <c r="C3784">
        <f>_xlfn.LET(_xlpm.steps,SUBSTITUTE(Table13[[#This Row],[Input]],Table13[[#This Row],[Direction]],""),VALUE(IF(LEN(_xlpm.steps)&gt;2,RIGHT(_xlpm.steps,2),_xlpm.steps)))</f>
        <v>60</v>
      </c>
      <c r="D3784">
        <f>_xlfn.LET(_xlpm.steps,SUBSTITUTE(Table13[[#This Row],[Input]],Table13[[#This Row],[Direction]],""),VALUE(IF(LEN(_xlpm.steps)&gt;2,LEFT(_xlpm.steps,LEN(_xlpm.steps)-2),0)))</f>
        <v>8</v>
      </c>
      <c r="E3784">
        <f>_xlfn.LET(_xlpm.dir,Table13[[#This Row],[Direction]],
IF(_xlpm.dir="L",
    IF(G3783-Table13[[#This Row],[Steps]]&lt;0,100+(G3783-Table13[[#This Row],[Steps]]),G3783-Table13[[#This Row],[Steps]]),
))</f>
        <v>0</v>
      </c>
      <c r="F3784">
        <f>_xlfn.LET(_xlpm.dir,Table13[[#This Row],[Direction]],
IF(_xlpm.dir="R",
    IF(G3783+Table13[[#This Row],[Steps]]&gt;99,(G3783+Table13[[#This Row],[Steps]])-100,G3783+Table13[[#This Row],[Steps]]),
))</f>
        <v>0</v>
      </c>
      <c r="G3784">
        <f>IF(Table13[[#This Row],[New Pos L]]&lt;&gt;0,Table13[[#This Row],[New Pos L]],Table13[[#This Row],[New Pos R]])</f>
        <v>0</v>
      </c>
      <c r="H3784">
        <f>IF(AND(Table13[[#This Row],[Direction]]="L",Table13[[#This Row],[Steps]]&gt;G3783,G3783&lt;&gt;0),1,0)</f>
        <v>0</v>
      </c>
      <c r="I3784">
        <f>IF(AND(Table13[[#This Row],[Direction]]="R",(G3783+Table13[[#This Row],[Steps]])&gt;100),1,0)</f>
        <v>0</v>
      </c>
      <c r="J3784">
        <f>IF(Table13[[#This Row],[POS]]=0,1,0)</f>
        <v>1</v>
      </c>
      <c r="K3784">
        <f>SUM(Table13[[#This Row],[prefix]],Table13[[#This Row],[Past zero L]],Table13[[#This Row],[Past Zero R]],Table13[[#This Row],[Is Zero]])</f>
        <v>9</v>
      </c>
    </row>
    <row r="3785" spans="1:11" ht="16" x14ac:dyDescent="0.2">
      <c r="A3785" s="1" t="s">
        <v>82</v>
      </c>
      <c r="B3785" t="str">
        <f>LEFT(Table13[[#This Row],[Input]],1)</f>
        <v>L</v>
      </c>
      <c r="C3785">
        <f>_xlfn.LET(_xlpm.steps,SUBSTITUTE(Table13[[#This Row],[Input]],Table13[[#This Row],[Direction]],""),VALUE(IF(LEN(_xlpm.steps)&gt;2,RIGHT(_xlpm.steps,2),_xlpm.steps)))</f>
        <v>55</v>
      </c>
      <c r="D3785">
        <f>_xlfn.LET(_xlpm.steps,SUBSTITUTE(Table13[[#This Row],[Input]],Table13[[#This Row],[Direction]],""),VALUE(IF(LEN(_xlpm.steps)&gt;2,LEFT(_xlpm.steps,LEN(_xlpm.steps)-2),0)))</f>
        <v>0</v>
      </c>
      <c r="E3785">
        <f>_xlfn.LET(_xlpm.dir,Table13[[#This Row],[Direction]],
IF(_xlpm.dir="L",
    IF(G3784-Table13[[#This Row],[Steps]]&lt;0,100+(G3784-Table13[[#This Row],[Steps]]),G3784-Table13[[#This Row],[Steps]]),
))</f>
        <v>45</v>
      </c>
      <c r="F3785">
        <f>_xlfn.LET(_xlpm.dir,Table13[[#This Row],[Direction]],
IF(_xlpm.dir="R",
    IF(G3784+Table13[[#This Row],[Steps]]&gt;99,(G3784+Table13[[#This Row],[Steps]])-100,G3784+Table13[[#This Row],[Steps]]),
))</f>
        <v>0</v>
      </c>
      <c r="G3785">
        <f>IF(Table13[[#This Row],[New Pos L]]&lt;&gt;0,Table13[[#This Row],[New Pos L]],Table13[[#This Row],[New Pos R]])</f>
        <v>45</v>
      </c>
      <c r="H3785">
        <f>IF(AND(Table13[[#This Row],[Direction]]="L",Table13[[#This Row],[Steps]]&gt;G3784,G3784&lt;&gt;0),1,0)</f>
        <v>0</v>
      </c>
      <c r="I3785">
        <f>IF(AND(Table13[[#This Row],[Direction]]="R",(G3784+Table13[[#This Row],[Steps]])&gt;100),1,0)</f>
        <v>0</v>
      </c>
      <c r="J3785">
        <f>IF(Table13[[#This Row],[POS]]=0,1,0)</f>
        <v>0</v>
      </c>
      <c r="K3785">
        <f>SUM(Table13[[#This Row],[prefix]],Table13[[#This Row],[Past zero L]],Table13[[#This Row],[Past Zero R]],Table13[[#This Row],[Is Zero]])</f>
        <v>0</v>
      </c>
    </row>
    <row r="3786" spans="1:11" ht="16" x14ac:dyDescent="0.2">
      <c r="A3786" s="1" t="s">
        <v>422</v>
      </c>
      <c r="B3786" t="str">
        <f>LEFT(Table13[[#This Row],[Input]],1)</f>
        <v>L</v>
      </c>
      <c r="C3786">
        <f>_xlfn.LET(_xlpm.steps,SUBSTITUTE(Table13[[#This Row],[Input]],Table13[[#This Row],[Direction]],""),VALUE(IF(LEN(_xlpm.steps)&gt;2,RIGHT(_xlpm.steps,2),_xlpm.steps)))</f>
        <v>16</v>
      </c>
      <c r="D3786">
        <f>_xlfn.LET(_xlpm.steps,SUBSTITUTE(Table13[[#This Row],[Input]],Table13[[#This Row],[Direction]],""),VALUE(IF(LEN(_xlpm.steps)&gt;2,LEFT(_xlpm.steps,LEN(_xlpm.steps)-2),0)))</f>
        <v>1</v>
      </c>
      <c r="E3786">
        <f>_xlfn.LET(_xlpm.dir,Table13[[#This Row],[Direction]],
IF(_xlpm.dir="L",
    IF(G3785-Table13[[#This Row],[Steps]]&lt;0,100+(G3785-Table13[[#This Row],[Steps]]),G3785-Table13[[#This Row],[Steps]]),
))</f>
        <v>29</v>
      </c>
      <c r="F3786">
        <f>_xlfn.LET(_xlpm.dir,Table13[[#This Row],[Direction]],
IF(_xlpm.dir="R",
    IF(G3785+Table13[[#This Row],[Steps]]&gt;99,(G3785+Table13[[#This Row],[Steps]])-100,G3785+Table13[[#This Row],[Steps]]),
))</f>
        <v>0</v>
      </c>
      <c r="G3786">
        <f>IF(Table13[[#This Row],[New Pos L]]&lt;&gt;0,Table13[[#This Row],[New Pos L]],Table13[[#This Row],[New Pos R]])</f>
        <v>29</v>
      </c>
      <c r="H3786">
        <f>IF(AND(Table13[[#This Row],[Direction]]="L",Table13[[#This Row],[Steps]]&gt;G3785,G3785&lt;&gt;0),1,0)</f>
        <v>0</v>
      </c>
      <c r="I3786">
        <f>IF(AND(Table13[[#This Row],[Direction]]="R",(G3785+Table13[[#This Row],[Steps]])&gt;100),1,0)</f>
        <v>0</v>
      </c>
      <c r="J3786">
        <f>IF(Table13[[#This Row],[POS]]=0,1,0)</f>
        <v>0</v>
      </c>
      <c r="K3786">
        <f>SUM(Table13[[#This Row],[prefix]],Table13[[#This Row],[Past zero L]],Table13[[#This Row],[Past Zero R]],Table13[[#This Row],[Is Zero]])</f>
        <v>1</v>
      </c>
    </row>
    <row r="3787" spans="1:11" ht="16" x14ac:dyDescent="0.2">
      <c r="A3787" s="1" t="s">
        <v>50</v>
      </c>
      <c r="B3787" t="str">
        <f>LEFT(Table13[[#This Row],[Input]],1)</f>
        <v>R</v>
      </c>
      <c r="C3787">
        <f>_xlfn.LET(_xlpm.steps,SUBSTITUTE(Table13[[#This Row],[Input]],Table13[[#This Row],[Direction]],""),VALUE(IF(LEN(_xlpm.steps)&gt;2,RIGHT(_xlpm.steps,2),_xlpm.steps)))</f>
        <v>78</v>
      </c>
      <c r="D3787">
        <f>_xlfn.LET(_xlpm.steps,SUBSTITUTE(Table13[[#This Row],[Input]],Table13[[#This Row],[Direction]],""),VALUE(IF(LEN(_xlpm.steps)&gt;2,LEFT(_xlpm.steps,LEN(_xlpm.steps)-2),0)))</f>
        <v>0</v>
      </c>
      <c r="E3787">
        <f>_xlfn.LET(_xlpm.dir,Table13[[#This Row],[Direction]],
IF(_xlpm.dir="L",
    IF(G3786-Table13[[#This Row],[Steps]]&lt;0,100+(G3786-Table13[[#This Row],[Steps]]),G3786-Table13[[#This Row],[Steps]]),
))</f>
        <v>0</v>
      </c>
      <c r="F3787">
        <f>_xlfn.LET(_xlpm.dir,Table13[[#This Row],[Direction]],
IF(_xlpm.dir="R",
    IF(G3786+Table13[[#This Row],[Steps]]&gt;99,(G3786+Table13[[#This Row],[Steps]])-100,G3786+Table13[[#This Row],[Steps]]),
))</f>
        <v>7</v>
      </c>
      <c r="G3787">
        <f>IF(Table13[[#This Row],[New Pos L]]&lt;&gt;0,Table13[[#This Row],[New Pos L]],Table13[[#This Row],[New Pos R]])</f>
        <v>7</v>
      </c>
      <c r="H3787">
        <f>IF(AND(Table13[[#This Row],[Direction]]="L",Table13[[#This Row],[Steps]]&gt;G3786,G3786&lt;&gt;0),1,0)</f>
        <v>0</v>
      </c>
      <c r="I3787">
        <f>IF(AND(Table13[[#This Row],[Direction]]="R",(G3786+Table13[[#This Row],[Steps]])&gt;100),1,0)</f>
        <v>1</v>
      </c>
      <c r="J3787">
        <f>IF(Table13[[#This Row],[POS]]=0,1,0)</f>
        <v>0</v>
      </c>
      <c r="K3787">
        <f>SUM(Table13[[#This Row],[prefix]],Table13[[#This Row],[Past zero L]],Table13[[#This Row],[Past Zero R]],Table13[[#This Row],[Is Zero]])</f>
        <v>1</v>
      </c>
    </row>
    <row r="3788" spans="1:11" ht="16" x14ac:dyDescent="0.2">
      <c r="A3788" s="1" t="s">
        <v>201</v>
      </c>
      <c r="B3788" t="str">
        <f>LEFT(Table13[[#This Row],[Input]],1)</f>
        <v>R</v>
      </c>
      <c r="C3788">
        <f>_xlfn.LET(_xlpm.steps,SUBSTITUTE(Table13[[#This Row],[Input]],Table13[[#This Row],[Direction]],""),VALUE(IF(LEN(_xlpm.steps)&gt;2,RIGHT(_xlpm.steps,2),_xlpm.steps)))</f>
        <v>31</v>
      </c>
      <c r="D3788">
        <f>_xlfn.LET(_xlpm.steps,SUBSTITUTE(Table13[[#This Row],[Input]],Table13[[#This Row],[Direction]],""),VALUE(IF(LEN(_xlpm.steps)&gt;2,LEFT(_xlpm.steps,LEN(_xlpm.steps)-2),0)))</f>
        <v>0</v>
      </c>
      <c r="E3788">
        <f>_xlfn.LET(_xlpm.dir,Table13[[#This Row],[Direction]],
IF(_xlpm.dir="L",
    IF(G3787-Table13[[#This Row],[Steps]]&lt;0,100+(G3787-Table13[[#This Row],[Steps]]),G3787-Table13[[#This Row],[Steps]]),
))</f>
        <v>0</v>
      </c>
      <c r="F3788">
        <f>_xlfn.LET(_xlpm.dir,Table13[[#This Row],[Direction]],
IF(_xlpm.dir="R",
    IF(G3787+Table13[[#This Row],[Steps]]&gt;99,(G3787+Table13[[#This Row],[Steps]])-100,G3787+Table13[[#This Row],[Steps]]),
))</f>
        <v>38</v>
      </c>
      <c r="G3788">
        <f>IF(Table13[[#This Row],[New Pos L]]&lt;&gt;0,Table13[[#This Row],[New Pos L]],Table13[[#This Row],[New Pos R]])</f>
        <v>38</v>
      </c>
      <c r="H3788">
        <f>IF(AND(Table13[[#This Row],[Direction]]="L",Table13[[#This Row],[Steps]]&gt;G3787,G3787&lt;&gt;0),1,0)</f>
        <v>0</v>
      </c>
      <c r="I3788">
        <f>IF(AND(Table13[[#This Row],[Direction]]="R",(G3787+Table13[[#This Row],[Steps]])&gt;100),1,0)</f>
        <v>0</v>
      </c>
      <c r="J3788">
        <f>IF(Table13[[#This Row],[POS]]=0,1,0)</f>
        <v>0</v>
      </c>
      <c r="K3788">
        <f>SUM(Table13[[#This Row],[prefix]],Table13[[#This Row],[Past zero L]],Table13[[#This Row],[Past Zero R]],Table13[[#This Row],[Is Zero]])</f>
        <v>0</v>
      </c>
    </row>
    <row r="3789" spans="1:11" ht="16" x14ac:dyDescent="0.2">
      <c r="A3789" s="1" t="s">
        <v>35</v>
      </c>
      <c r="B3789" t="str">
        <f>LEFT(Table13[[#This Row],[Input]],1)</f>
        <v>L</v>
      </c>
      <c r="C3789">
        <f>_xlfn.LET(_xlpm.steps,SUBSTITUTE(Table13[[#This Row],[Input]],Table13[[#This Row],[Direction]],""),VALUE(IF(LEN(_xlpm.steps)&gt;2,RIGHT(_xlpm.steps,2),_xlpm.steps)))</f>
        <v>2</v>
      </c>
      <c r="D3789">
        <f>_xlfn.LET(_xlpm.steps,SUBSTITUTE(Table13[[#This Row],[Input]],Table13[[#This Row],[Direction]],""),VALUE(IF(LEN(_xlpm.steps)&gt;2,LEFT(_xlpm.steps,LEN(_xlpm.steps)-2),0)))</f>
        <v>0</v>
      </c>
      <c r="E3789">
        <f>_xlfn.LET(_xlpm.dir,Table13[[#This Row],[Direction]],
IF(_xlpm.dir="L",
    IF(G3788-Table13[[#This Row],[Steps]]&lt;0,100+(G3788-Table13[[#This Row],[Steps]]),G3788-Table13[[#This Row],[Steps]]),
))</f>
        <v>36</v>
      </c>
      <c r="F3789">
        <f>_xlfn.LET(_xlpm.dir,Table13[[#This Row],[Direction]],
IF(_xlpm.dir="R",
    IF(G3788+Table13[[#This Row],[Steps]]&gt;99,(G3788+Table13[[#This Row],[Steps]])-100,G3788+Table13[[#This Row],[Steps]]),
))</f>
        <v>0</v>
      </c>
      <c r="G3789">
        <f>IF(Table13[[#This Row],[New Pos L]]&lt;&gt;0,Table13[[#This Row],[New Pos L]],Table13[[#This Row],[New Pos R]])</f>
        <v>36</v>
      </c>
      <c r="H3789">
        <f>IF(AND(Table13[[#This Row],[Direction]]="L",Table13[[#This Row],[Steps]]&gt;G3788,G3788&lt;&gt;0),1,0)</f>
        <v>0</v>
      </c>
      <c r="I3789">
        <f>IF(AND(Table13[[#This Row],[Direction]]="R",(G3788+Table13[[#This Row],[Steps]])&gt;100),1,0)</f>
        <v>0</v>
      </c>
      <c r="J3789">
        <f>IF(Table13[[#This Row],[POS]]=0,1,0)</f>
        <v>0</v>
      </c>
      <c r="K3789">
        <f>SUM(Table13[[#This Row],[prefix]],Table13[[#This Row],[Past zero L]],Table13[[#This Row],[Past Zero R]],Table13[[#This Row],[Is Zero]])</f>
        <v>0</v>
      </c>
    </row>
    <row r="3790" spans="1:11" ht="16" x14ac:dyDescent="0.2">
      <c r="A3790" s="1" t="s">
        <v>762</v>
      </c>
      <c r="B3790" t="str">
        <f>LEFT(Table13[[#This Row],[Input]],1)</f>
        <v>L</v>
      </c>
      <c r="C3790">
        <f>_xlfn.LET(_xlpm.steps,SUBSTITUTE(Table13[[#This Row],[Input]],Table13[[#This Row],[Direction]],""),VALUE(IF(LEN(_xlpm.steps)&gt;2,RIGHT(_xlpm.steps,2),_xlpm.steps)))</f>
        <v>90</v>
      </c>
      <c r="D3790">
        <f>_xlfn.LET(_xlpm.steps,SUBSTITUTE(Table13[[#This Row],[Input]],Table13[[#This Row],[Direction]],""),VALUE(IF(LEN(_xlpm.steps)&gt;2,LEFT(_xlpm.steps,LEN(_xlpm.steps)-2),0)))</f>
        <v>3</v>
      </c>
      <c r="E3790">
        <f>_xlfn.LET(_xlpm.dir,Table13[[#This Row],[Direction]],
IF(_xlpm.dir="L",
    IF(G3789-Table13[[#This Row],[Steps]]&lt;0,100+(G3789-Table13[[#This Row],[Steps]]),G3789-Table13[[#This Row],[Steps]]),
))</f>
        <v>46</v>
      </c>
      <c r="F3790">
        <f>_xlfn.LET(_xlpm.dir,Table13[[#This Row],[Direction]],
IF(_xlpm.dir="R",
    IF(G3789+Table13[[#This Row],[Steps]]&gt;99,(G3789+Table13[[#This Row],[Steps]])-100,G3789+Table13[[#This Row],[Steps]]),
))</f>
        <v>0</v>
      </c>
      <c r="G3790">
        <f>IF(Table13[[#This Row],[New Pos L]]&lt;&gt;0,Table13[[#This Row],[New Pos L]],Table13[[#This Row],[New Pos R]])</f>
        <v>46</v>
      </c>
      <c r="H3790">
        <f>IF(AND(Table13[[#This Row],[Direction]]="L",Table13[[#This Row],[Steps]]&gt;G3789,G3789&lt;&gt;0),1,0)</f>
        <v>1</v>
      </c>
      <c r="I3790">
        <f>IF(AND(Table13[[#This Row],[Direction]]="R",(G3789+Table13[[#This Row],[Steps]])&gt;100),1,0)</f>
        <v>0</v>
      </c>
      <c r="J3790">
        <f>IF(Table13[[#This Row],[POS]]=0,1,0)</f>
        <v>0</v>
      </c>
      <c r="K3790">
        <f>SUM(Table13[[#This Row],[prefix]],Table13[[#This Row],[Past zero L]],Table13[[#This Row],[Past Zero R]],Table13[[#This Row],[Is Zero]])</f>
        <v>4</v>
      </c>
    </row>
    <row r="3791" spans="1:11" ht="16" x14ac:dyDescent="0.2">
      <c r="A3791" s="1" t="s">
        <v>18</v>
      </c>
      <c r="B3791" t="str">
        <f>LEFT(Table13[[#This Row],[Input]],1)</f>
        <v>L</v>
      </c>
      <c r="C3791">
        <f>_xlfn.LET(_xlpm.steps,SUBSTITUTE(Table13[[#This Row],[Input]],Table13[[#This Row],[Direction]],""),VALUE(IF(LEN(_xlpm.steps)&gt;2,RIGHT(_xlpm.steps,2),_xlpm.steps)))</f>
        <v>46</v>
      </c>
      <c r="D3791">
        <f>_xlfn.LET(_xlpm.steps,SUBSTITUTE(Table13[[#This Row],[Input]],Table13[[#This Row],[Direction]],""),VALUE(IF(LEN(_xlpm.steps)&gt;2,LEFT(_xlpm.steps,LEN(_xlpm.steps)-2),0)))</f>
        <v>0</v>
      </c>
      <c r="E3791">
        <f>_xlfn.LET(_xlpm.dir,Table13[[#This Row],[Direction]],
IF(_xlpm.dir="L",
    IF(G3790-Table13[[#This Row],[Steps]]&lt;0,100+(G3790-Table13[[#This Row],[Steps]]),G3790-Table13[[#This Row],[Steps]]),
))</f>
        <v>0</v>
      </c>
      <c r="F3791">
        <f>_xlfn.LET(_xlpm.dir,Table13[[#This Row],[Direction]],
IF(_xlpm.dir="R",
    IF(G3790+Table13[[#This Row],[Steps]]&gt;99,(G3790+Table13[[#This Row],[Steps]])-100,G3790+Table13[[#This Row],[Steps]]),
))</f>
        <v>0</v>
      </c>
      <c r="G3791">
        <f>IF(Table13[[#This Row],[New Pos L]]&lt;&gt;0,Table13[[#This Row],[New Pos L]],Table13[[#This Row],[New Pos R]])</f>
        <v>0</v>
      </c>
      <c r="H3791">
        <f>IF(AND(Table13[[#This Row],[Direction]]="L",Table13[[#This Row],[Steps]]&gt;G3790,G3790&lt;&gt;0),1,0)</f>
        <v>0</v>
      </c>
      <c r="I3791">
        <f>IF(AND(Table13[[#This Row],[Direction]]="R",(G3790+Table13[[#This Row],[Steps]])&gt;100),1,0)</f>
        <v>0</v>
      </c>
      <c r="J3791">
        <f>IF(Table13[[#This Row],[POS]]=0,1,0)</f>
        <v>1</v>
      </c>
      <c r="K3791">
        <f>SUM(Table13[[#This Row],[prefix]],Table13[[#This Row],[Past zero L]],Table13[[#This Row],[Past Zero R]],Table13[[#This Row],[Is Zero]])</f>
        <v>1</v>
      </c>
    </row>
    <row r="3792" spans="1:11" ht="16" x14ac:dyDescent="0.2">
      <c r="A3792" s="1" t="s">
        <v>9</v>
      </c>
      <c r="B3792" t="str">
        <f>LEFT(Table13[[#This Row],[Input]],1)</f>
        <v>L</v>
      </c>
      <c r="C3792">
        <f>_xlfn.LET(_xlpm.steps,SUBSTITUTE(Table13[[#This Row],[Input]],Table13[[#This Row],[Direction]],""),VALUE(IF(LEN(_xlpm.steps)&gt;2,RIGHT(_xlpm.steps,2),_xlpm.steps)))</f>
        <v>9</v>
      </c>
      <c r="D3792">
        <f>_xlfn.LET(_xlpm.steps,SUBSTITUTE(Table13[[#This Row],[Input]],Table13[[#This Row],[Direction]],""),VALUE(IF(LEN(_xlpm.steps)&gt;2,LEFT(_xlpm.steps,LEN(_xlpm.steps)-2),0)))</f>
        <v>0</v>
      </c>
      <c r="E3792">
        <f>_xlfn.LET(_xlpm.dir,Table13[[#This Row],[Direction]],
IF(_xlpm.dir="L",
    IF(G3791-Table13[[#This Row],[Steps]]&lt;0,100+(G3791-Table13[[#This Row],[Steps]]),G3791-Table13[[#This Row],[Steps]]),
))</f>
        <v>91</v>
      </c>
      <c r="F3792">
        <f>_xlfn.LET(_xlpm.dir,Table13[[#This Row],[Direction]],
IF(_xlpm.dir="R",
    IF(G3791+Table13[[#This Row],[Steps]]&gt;99,(G3791+Table13[[#This Row],[Steps]])-100,G3791+Table13[[#This Row],[Steps]]),
))</f>
        <v>0</v>
      </c>
      <c r="G3792">
        <f>IF(Table13[[#This Row],[New Pos L]]&lt;&gt;0,Table13[[#This Row],[New Pos L]],Table13[[#This Row],[New Pos R]])</f>
        <v>91</v>
      </c>
      <c r="H3792">
        <f>IF(AND(Table13[[#This Row],[Direction]]="L",Table13[[#This Row],[Steps]]&gt;G3791,G3791&lt;&gt;0),1,0)</f>
        <v>0</v>
      </c>
      <c r="I3792">
        <f>IF(AND(Table13[[#This Row],[Direction]]="R",(G3791+Table13[[#This Row],[Steps]])&gt;100),1,0)</f>
        <v>0</v>
      </c>
      <c r="J3792">
        <f>IF(Table13[[#This Row],[POS]]=0,1,0)</f>
        <v>0</v>
      </c>
      <c r="K3792">
        <f>SUM(Table13[[#This Row],[prefix]],Table13[[#This Row],[Past zero L]],Table13[[#This Row],[Past Zero R]],Table13[[#This Row],[Is Zero]])</f>
        <v>0</v>
      </c>
    </row>
    <row r="3793" spans="1:11" ht="16" x14ac:dyDescent="0.2">
      <c r="A3793" s="1" t="s">
        <v>40</v>
      </c>
      <c r="B3793" t="str">
        <f>LEFT(Table13[[#This Row],[Input]],1)</f>
        <v>R</v>
      </c>
      <c r="C3793">
        <f>_xlfn.LET(_xlpm.steps,SUBSTITUTE(Table13[[#This Row],[Input]],Table13[[#This Row],[Direction]],""),VALUE(IF(LEN(_xlpm.steps)&gt;2,RIGHT(_xlpm.steps,2),_xlpm.steps)))</f>
        <v>52</v>
      </c>
      <c r="D3793">
        <f>_xlfn.LET(_xlpm.steps,SUBSTITUTE(Table13[[#This Row],[Input]],Table13[[#This Row],[Direction]],""),VALUE(IF(LEN(_xlpm.steps)&gt;2,LEFT(_xlpm.steps,LEN(_xlpm.steps)-2),0)))</f>
        <v>0</v>
      </c>
      <c r="E3793">
        <f>_xlfn.LET(_xlpm.dir,Table13[[#This Row],[Direction]],
IF(_xlpm.dir="L",
    IF(G3792-Table13[[#This Row],[Steps]]&lt;0,100+(G3792-Table13[[#This Row],[Steps]]),G3792-Table13[[#This Row],[Steps]]),
))</f>
        <v>0</v>
      </c>
      <c r="F3793">
        <f>_xlfn.LET(_xlpm.dir,Table13[[#This Row],[Direction]],
IF(_xlpm.dir="R",
    IF(G3792+Table13[[#This Row],[Steps]]&gt;99,(G3792+Table13[[#This Row],[Steps]])-100,G3792+Table13[[#This Row],[Steps]]),
))</f>
        <v>43</v>
      </c>
      <c r="G3793">
        <f>IF(Table13[[#This Row],[New Pos L]]&lt;&gt;0,Table13[[#This Row],[New Pos L]],Table13[[#This Row],[New Pos R]])</f>
        <v>43</v>
      </c>
      <c r="H3793">
        <f>IF(AND(Table13[[#This Row],[Direction]]="L",Table13[[#This Row],[Steps]]&gt;G3792,G3792&lt;&gt;0),1,0)</f>
        <v>0</v>
      </c>
      <c r="I3793">
        <f>IF(AND(Table13[[#This Row],[Direction]]="R",(G3792+Table13[[#This Row],[Steps]])&gt;100),1,0)</f>
        <v>1</v>
      </c>
      <c r="J3793">
        <f>IF(Table13[[#This Row],[POS]]=0,1,0)</f>
        <v>0</v>
      </c>
      <c r="K3793">
        <f>SUM(Table13[[#This Row],[prefix]],Table13[[#This Row],[Past zero L]],Table13[[#This Row],[Past Zero R]],Table13[[#This Row],[Is Zero]])</f>
        <v>1</v>
      </c>
    </row>
    <row r="3794" spans="1:11" ht="16" x14ac:dyDescent="0.2">
      <c r="A3794" s="1" t="s">
        <v>318</v>
      </c>
      <c r="B3794" t="str">
        <f>LEFT(Table13[[#This Row],[Input]],1)</f>
        <v>L</v>
      </c>
      <c r="C3794">
        <f>_xlfn.LET(_xlpm.steps,SUBSTITUTE(Table13[[#This Row],[Input]],Table13[[#This Row],[Direction]],""),VALUE(IF(LEN(_xlpm.steps)&gt;2,RIGHT(_xlpm.steps,2),_xlpm.steps)))</f>
        <v>52</v>
      </c>
      <c r="D3794">
        <f>_xlfn.LET(_xlpm.steps,SUBSTITUTE(Table13[[#This Row],[Input]],Table13[[#This Row],[Direction]],""),VALUE(IF(LEN(_xlpm.steps)&gt;2,LEFT(_xlpm.steps,LEN(_xlpm.steps)-2),0)))</f>
        <v>3</v>
      </c>
      <c r="E3794">
        <f>_xlfn.LET(_xlpm.dir,Table13[[#This Row],[Direction]],
IF(_xlpm.dir="L",
    IF(G3793-Table13[[#This Row],[Steps]]&lt;0,100+(G3793-Table13[[#This Row],[Steps]]),G3793-Table13[[#This Row],[Steps]]),
))</f>
        <v>91</v>
      </c>
      <c r="F3794">
        <f>_xlfn.LET(_xlpm.dir,Table13[[#This Row],[Direction]],
IF(_xlpm.dir="R",
    IF(G3793+Table13[[#This Row],[Steps]]&gt;99,(G3793+Table13[[#This Row],[Steps]])-100,G3793+Table13[[#This Row],[Steps]]),
))</f>
        <v>0</v>
      </c>
      <c r="G3794">
        <f>IF(Table13[[#This Row],[New Pos L]]&lt;&gt;0,Table13[[#This Row],[New Pos L]],Table13[[#This Row],[New Pos R]])</f>
        <v>91</v>
      </c>
      <c r="H3794">
        <f>IF(AND(Table13[[#This Row],[Direction]]="L",Table13[[#This Row],[Steps]]&gt;G3793,G3793&lt;&gt;0),1,0)</f>
        <v>1</v>
      </c>
      <c r="I3794">
        <f>IF(AND(Table13[[#This Row],[Direction]]="R",(G3793+Table13[[#This Row],[Steps]])&gt;100),1,0)</f>
        <v>0</v>
      </c>
      <c r="J3794">
        <f>IF(Table13[[#This Row],[POS]]=0,1,0)</f>
        <v>0</v>
      </c>
      <c r="K3794">
        <f>SUM(Table13[[#This Row],[prefix]],Table13[[#This Row],[Past zero L]],Table13[[#This Row],[Past Zero R]],Table13[[#This Row],[Is Zero]])</f>
        <v>4</v>
      </c>
    </row>
    <row r="3795" spans="1:11" ht="16" x14ac:dyDescent="0.2">
      <c r="A3795" s="1" t="s">
        <v>75</v>
      </c>
      <c r="B3795" t="str">
        <f>LEFT(Table13[[#This Row],[Input]],1)</f>
        <v>R</v>
      </c>
      <c r="C3795">
        <f>_xlfn.LET(_xlpm.steps,SUBSTITUTE(Table13[[#This Row],[Input]],Table13[[#This Row],[Direction]],""),VALUE(IF(LEN(_xlpm.steps)&gt;2,RIGHT(_xlpm.steps,2),_xlpm.steps)))</f>
        <v>2</v>
      </c>
      <c r="D3795">
        <f>_xlfn.LET(_xlpm.steps,SUBSTITUTE(Table13[[#This Row],[Input]],Table13[[#This Row],[Direction]],""),VALUE(IF(LEN(_xlpm.steps)&gt;2,LEFT(_xlpm.steps,LEN(_xlpm.steps)-2),0)))</f>
        <v>0</v>
      </c>
      <c r="E3795">
        <f>_xlfn.LET(_xlpm.dir,Table13[[#This Row],[Direction]],
IF(_xlpm.dir="L",
    IF(G3794-Table13[[#This Row],[Steps]]&lt;0,100+(G3794-Table13[[#This Row],[Steps]]),G3794-Table13[[#This Row],[Steps]]),
))</f>
        <v>0</v>
      </c>
      <c r="F3795">
        <f>_xlfn.LET(_xlpm.dir,Table13[[#This Row],[Direction]],
IF(_xlpm.dir="R",
    IF(G3794+Table13[[#This Row],[Steps]]&gt;99,(G3794+Table13[[#This Row],[Steps]])-100,G3794+Table13[[#This Row],[Steps]]),
))</f>
        <v>93</v>
      </c>
      <c r="G3795">
        <f>IF(Table13[[#This Row],[New Pos L]]&lt;&gt;0,Table13[[#This Row],[New Pos L]],Table13[[#This Row],[New Pos R]])</f>
        <v>93</v>
      </c>
      <c r="H3795">
        <f>IF(AND(Table13[[#This Row],[Direction]]="L",Table13[[#This Row],[Steps]]&gt;G3794,G3794&lt;&gt;0),1,0)</f>
        <v>0</v>
      </c>
      <c r="I3795">
        <f>IF(AND(Table13[[#This Row],[Direction]]="R",(G3794+Table13[[#This Row],[Steps]])&gt;100),1,0)</f>
        <v>0</v>
      </c>
      <c r="J3795">
        <f>IF(Table13[[#This Row],[POS]]=0,1,0)</f>
        <v>0</v>
      </c>
      <c r="K3795">
        <f>SUM(Table13[[#This Row],[prefix]],Table13[[#This Row],[Past zero L]],Table13[[#This Row],[Past Zero R]],Table13[[#This Row],[Is Zero]])</f>
        <v>0</v>
      </c>
    </row>
    <row r="3796" spans="1:11" ht="16" x14ac:dyDescent="0.2">
      <c r="A3796" s="1" t="s">
        <v>357</v>
      </c>
      <c r="B3796" t="str">
        <f>LEFT(Table13[[#This Row],[Input]],1)</f>
        <v>R</v>
      </c>
      <c r="C3796">
        <f>_xlfn.LET(_xlpm.steps,SUBSTITUTE(Table13[[#This Row],[Input]],Table13[[#This Row],[Direction]],""),VALUE(IF(LEN(_xlpm.steps)&gt;2,RIGHT(_xlpm.steps,2),_xlpm.steps)))</f>
        <v>72</v>
      </c>
      <c r="D3796">
        <f>_xlfn.LET(_xlpm.steps,SUBSTITUTE(Table13[[#This Row],[Input]],Table13[[#This Row],[Direction]],""),VALUE(IF(LEN(_xlpm.steps)&gt;2,LEFT(_xlpm.steps,LEN(_xlpm.steps)-2),0)))</f>
        <v>0</v>
      </c>
      <c r="E3796">
        <f>_xlfn.LET(_xlpm.dir,Table13[[#This Row],[Direction]],
IF(_xlpm.dir="L",
    IF(G3795-Table13[[#This Row],[Steps]]&lt;0,100+(G3795-Table13[[#This Row],[Steps]]),G3795-Table13[[#This Row],[Steps]]),
))</f>
        <v>0</v>
      </c>
      <c r="F3796">
        <f>_xlfn.LET(_xlpm.dir,Table13[[#This Row],[Direction]],
IF(_xlpm.dir="R",
    IF(G3795+Table13[[#This Row],[Steps]]&gt;99,(G3795+Table13[[#This Row],[Steps]])-100,G3795+Table13[[#This Row],[Steps]]),
))</f>
        <v>65</v>
      </c>
      <c r="G3796">
        <f>IF(Table13[[#This Row],[New Pos L]]&lt;&gt;0,Table13[[#This Row],[New Pos L]],Table13[[#This Row],[New Pos R]])</f>
        <v>65</v>
      </c>
      <c r="H3796">
        <f>IF(AND(Table13[[#This Row],[Direction]]="L",Table13[[#This Row],[Steps]]&gt;G3795,G3795&lt;&gt;0),1,0)</f>
        <v>0</v>
      </c>
      <c r="I3796">
        <f>IF(AND(Table13[[#This Row],[Direction]]="R",(G3795+Table13[[#This Row],[Steps]])&gt;100),1,0)</f>
        <v>1</v>
      </c>
      <c r="J3796">
        <f>IF(Table13[[#This Row],[POS]]=0,1,0)</f>
        <v>0</v>
      </c>
      <c r="K3796">
        <f>SUM(Table13[[#This Row],[prefix]],Table13[[#This Row],[Past zero L]],Table13[[#This Row],[Past Zero R]],Table13[[#This Row],[Is Zero]])</f>
        <v>1</v>
      </c>
    </row>
    <row r="3797" spans="1:11" ht="16" x14ac:dyDescent="0.2">
      <c r="A3797" s="1" t="s">
        <v>33</v>
      </c>
      <c r="B3797" t="str">
        <f>LEFT(Table13[[#This Row],[Input]],1)</f>
        <v>R</v>
      </c>
      <c r="C3797">
        <f>_xlfn.LET(_xlpm.steps,SUBSTITUTE(Table13[[#This Row],[Input]],Table13[[#This Row],[Direction]],""),VALUE(IF(LEN(_xlpm.steps)&gt;2,RIGHT(_xlpm.steps,2),_xlpm.steps)))</f>
        <v>22</v>
      </c>
      <c r="D3797">
        <f>_xlfn.LET(_xlpm.steps,SUBSTITUTE(Table13[[#This Row],[Input]],Table13[[#This Row],[Direction]],""),VALUE(IF(LEN(_xlpm.steps)&gt;2,LEFT(_xlpm.steps,LEN(_xlpm.steps)-2),0)))</f>
        <v>0</v>
      </c>
      <c r="E3797">
        <f>_xlfn.LET(_xlpm.dir,Table13[[#This Row],[Direction]],
IF(_xlpm.dir="L",
    IF(G3796-Table13[[#This Row],[Steps]]&lt;0,100+(G3796-Table13[[#This Row],[Steps]]),G3796-Table13[[#This Row],[Steps]]),
))</f>
        <v>0</v>
      </c>
      <c r="F3797">
        <f>_xlfn.LET(_xlpm.dir,Table13[[#This Row],[Direction]],
IF(_xlpm.dir="R",
    IF(G3796+Table13[[#This Row],[Steps]]&gt;99,(G3796+Table13[[#This Row],[Steps]])-100,G3796+Table13[[#This Row],[Steps]]),
))</f>
        <v>87</v>
      </c>
      <c r="G3797">
        <f>IF(Table13[[#This Row],[New Pos L]]&lt;&gt;0,Table13[[#This Row],[New Pos L]],Table13[[#This Row],[New Pos R]])</f>
        <v>87</v>
      </c>
      <c r="H3797">
        <f>IF(AND(Table13[[#This Row],[Direction]]="L",Table13[[#This Row],[Steps]]&gt;G3796,G3796&lt;&gt;0),1,0)</f>
        <v>0</v>
      </c>
      <c r="I3797">
        <f>IF(AND(Table13[[#This Row],[Direction]]="R",(G3796+Table13[[#This Row],[Steps]])&gt;100),1,0)</f>
        <v>0</v>
      </c>
      <c r="J3797">
        <f>IF(Table13[[#This Row],[POS]]=0,1,0)</f>
        <v>0</v>
      </c>
      <c r="K3797">
        <f>SUM(Table13[[#This Row],[prefix]],Table13[[#This Row],[Past zero L]],Table13[[#This Row],[Past Zero R]],Table13[[#This Row],[Is Zero]])</f>
        <v>0</v>
      </c>
    </row>
    <row r="3798" spans="1:11" ht="16" x14ac:dyDescent="0.2">
      <c r="A3798" s="1" t="s">
        <v>799</v>
      </c>
      <c r="B3798" t="str">
        <f>LEFT(Table13[[#This Row],[Input]],1)</f>
        <v>R</v>
      </c>
      <c r="C3798">
        <f>_xlfn.LET(_xlpm.steps,SUBSTITUTE(Table13[[#This Row],[Input]],Table13[[#This Row],[Direction]],""),VALUE(IF(LEN(_xlpm.steps)&gt;2,RIGHT(_xlpm.steps,2),_xlpm.steps)))</f>
        <v>97</v>
      </c>
      <c r="D3798">
        <f>_xlfn.LET(_xlpm.steps,SUBSTITUTE(Table13[[#This Row],[Input]],Table13[[#This Row],[Direction]],""),VALUE(IF(LEN(_xlpm.steps)&gt;2,LEFT(_xlpm.steps,LEN(_xlpm.steps)-2),0)))</f>
        <v>1</v>
      </c>
      <c r="E3798">
        <f>_xlfn.LET(_xlpm.dir,Table13[[#This Row],[Direction]],
IF(_xlpm.dir="L",
    IF(G3797-Table13[[#This Row],[Steps]]&lt;0,100+(G3797-Table13[[#This Row],[Steps]]),G3797-Table13[[#This Row],[Steps]]),
))</f>
        <v>0</v>
      </c>
      <c r="F3798">
        <f>_xlfn.LET(_xlpm.dir,Table13[[#This Row],[Direction]],
IF(_xlpm.dir="R",
    IF(G3797+Table13[[#This Row],[Steps]]&gt;99,(G3797+Table13[[#This Row],[Steps]])-100,G3797+Table13[[#This Row],[Steps]]),
))</f>
        <v>84</v>
      </c>
      <c r="G3798">
        <f>IF(Table13[[#This Row],[New Pos L]]&lt;&gt;0,Table13[[#This Row],[New Pos L]],Table13[[#This Row],[New Pos R]])</f>
        <v>84</v>
      </c>
      <c r="H3798">
        <f>IF(AND(Table13[[#This Row],[Direction]]="L",Table13[[#This Row],[Steps]]&gt;G3797,G3797&lt;&gt;0),1,0)</f>
        <v>0</v>
      </c>
      <c r="I3798">
        <f>IF(AND(Table13[[#This Row],[Direction]]="R",(G3797+Table13[[#This Row],[Steps]])&gt;100),1,0)</f>
        <v>1</v>
      </c>
      <c r="J3798">
        <f>IF(Table13[[#This Row],[POS]]=0,1,0)</f>
        <v>0</v>
      </c>
      <c r="K3798">
        <f>SUM(Table13[[#This Row],[prefix]],Table13[[#This Row],[Past zero L]],Table13[[#This Row],[Past Zero R]],Table13[[#This Row],[Is Zero]])</f>
        <v>2</v>
      </c>
    </row>
    <row r="3799" spans="1:11" ht="16" x14ac:dyDescent="0.2">
      <c r="A3799" s="1" t="s">
        <v>164</v>
      </c>
      <c r="B3799" t="str">
        <f>LEFT(Table13[[#This Row],[Input]],1)</f>
        <v>R</v>
      </c>
      <c r="C3799">
        <f>_xlfn.LET(_xlpm.steps,SUBSTITUTE(Table13[[#This Row],[Input]],Table13[[#This Row],[Direction]],""),VALUE(IF(LEN(_xlpm.steps)&gt;2,RIGHT(_xlpm.steps,2),_xlpm.steps)))</f>
        <v>85</v>
      </c>
      <c r="D3799">
        <f>_xlfn.LET(_xlpm.steps,SUBSTITUTE(Table13[[#This Row],[Input]],Table13[[#This Row],[Direction]],""),VALUE(IF(LEN(_xlpm.steps)&gt;2,LEFT(_xlpm.steps,LEN(_xlpm.steps)-2),0)))</f>
        <v>0</v>
      </c>
      <c r="E3799">
        <f>_xlfn.LET(_xlpm.dir,Table13[[#This Row],[Direction]],
IF(_xlpm.dir="L",
    IF(G3798-Table13[[#This Row],[Steps]]&lt;0,100+(G3798-Table13[[#This Row],[Steps]]),G3798-Table13[[#This Row],[Steps]]),
))</f>
        <v>0</v>
      </c>
      <c r="F3799">
        <f>_xlfn.LET(_xlpm.dir,Table13[[#This Row],[Direction]],
IF(_xlpm.dir="R",
    IF(G3798+Table13[[#This Row],[Steps]]&gt;99,(G3798+Table13[[#This Row],[Steps]])-100,G3798+Table13[[#This Row],[Steps]]),
))</f>
        <v>69</v>
      </c>
      <c r="G3799">
        <f>IF(Table13[[#This Row],[New Pos L]]&lt;&gt;0,Table13[[#This Row],[New Pos L]],Table13[[#This Row],[New Pos R]])</f>
        <v>69</v>
      </c>
      <c r="H3799">
        <f>IF(AND(Table13[[#This Row],[Direction]]="L",Table13[[#This Row],[Steps]]&gt;G3798,G3798&lt;&gt;0),1,0)</f>
        <v>0</v>
      </c>
      <c r="I3799">
        <f>IF(AND(Table13[[#This Row],[Direction]]="R",(G3798+Table13[[#This Row],[Steps]])&gt;100),1,0)</f>
        <v>1</v>
      </c>
      <c r="J3799">
        <f>IF(Table13[[#This Row],[POS]]=0,1,0)</f>
        <v>0</v>
      </c>
      <c r="K3799">
        <f>SUM(Table13[[#This Row],[prefix]],Table13[[#This Row],[Past zero L]],Table13[[#This Row],[Past Zero R]],Table13[[#This Row],[Is Zero]])</f>
        <v>1</v>
      </c>
    </row>
    <row r="3800" spans="1:11" ht="16" x14ac:dyDescent="0.2">
      <c r="A3800" s="1" t="s">
        <v>205</v>
      </c>
      <c r="B3800" t="str">
        <f>LEFT(Table13[[#This Row],[Input]],1)</f>
        <v>R</v>
      </c>
      <c r="C3800">
        <f>_xlfn.LET(_xlpm.steps,SUBSTITUTE(Table13[[#This Row],[Input]],Table13[[#This Row],[Direction]],""),VALUE(IF(LEN(_xlpm.steps)&gt;2,RIGHT(_xlpm.steps,2),_xlpm.steps)))</f>
        <v>83</v>
      </c>
      <c r="D3800">
        <f>_xlfn.LET(_xlpm.steps,SUBSTITUTE(Table13[[#This Row],[Input]],Table13[[#This Row],[Direction]],""),VALUE(IF(LEN(_xlpm.steps)&gt;2,LEFT(_xlpm.steps,LEN(_xlpm.steps)-2),0)))</f>
        <v>0</v>
      </c>
      <c r="E3800">
        <f>_xlfn.LET(_xlpm.dir,Table13[[#This Row],[Direction]],
IF(_xlpm.dir="L",
    IF(G3799-Table13[[#This Row],[Steps]]&lt;0,100+(G3799-Table13[[#This Row],[Steps]]),G3799-Table13[[#This Row],[Steps]]),
))</f>
        <v>0</v>
      </c>
      <c r="F3800">
        <f>_xlfn.LET(_xlpm.dir,Table13[[#This Row],[Direction]],
IF(_xlpm.dir="R",
    IF(G3799+Table13[[#This Row],[Steps]]&gt;99,(G3799+Table13[[#This Row],[Steps]])-100,G3799+Table13[[#This Row],[Steps]]),
))</f>
        <v>52</v>
      </c>
      <c r="G3800">
        <f>IF(Table13[[#This Row],[New Pos L]]&lt;&gt;0,Table13[[#This Row],[New Pos L]],Table13[[#This Row],[New Pos R]])</f>
        <v>52</v>
      </c>
      <c r="H3800">
        <f>IF(AND(Table13[[#This Row],[Direction]]="L",Table13[[#This Row],[Steps]]&gt;G3799,G3799&lt;&gt;0),1,0)</f>
        <v>0</v>
      </c>
      <c r="I3800">
        <f>IF(AND(Table13[[#This Row],[Direction]]="R",(G3799+Table13[[#This Row],[Steps]])&gt;100),1,0)</f>
        <v>1</v>
      </c>
      <c r="J3800">
        <f>IF(Table13[[#This Row],[POS]]=0,1,0)</f>
        <v>0</v>
      </c>
      <c r="K3800">
        <f>SUM(Table13[[#This Row],[prefix]],Table13[[#This Row],[Past zero L]],Table13[[#This Row],[Past Zero R]],Table13[[#This Row],[Is Zero]])</f>
        <v>1</v>
      </c>
    </row>
    <row r="3801" spans="1:11" ht="16" x14ac:dyDescent="0.2">
      <c r="A3801" s="1" t="s">
        <v>553</v>
      </c>
      <c r="B3801" t="str">
        <f>LEFT(Table13[[#This Row],[Input]],1)</f>
        <v>R</v>
      </c>
      <c r="C3801">
        <f>_xlfn.LET(_xlpm.steps,SUBSTITUTE(Table13[[#This Row],[Input]],Table13[[#This Row],[Direction]],""),VALUE(IF(LEN(_xlpm.steps)&gt;2,RIGHT(_xlpm.steps,2),_xlpm.steps)))</f>
        <v>30</v>
      </c>
      <c r="D3801">
        <f>_xlfn.LET(_xlpm.steps,SUBSTITUTE(Table13[[#This Row],[Input]],Table13[[#This Row],[Direction]],""),VALUE(IF(LEN(_xlpm.steps)&gt;2,LEFT(_xlpm.steps,LEN(_xlpm.steps)-2),0)))</f>
        <v>8</v>
      </c>
      <c r="E3801">
        <f>_xlfn.LET(_xlpm.dir,Table13[[#This Row],[Direction]],
IF(_xlpm.dir="L",
    IF(G3800-Table13[[#This Row],[Steps]]&lt;0,100+(G3800-Table13[[#This Row],[Steps]]),G3800-Table13[[#This Row],[Steps]]),
))</f>
        <v>0</v>
      </c>
      <c r="F3801">
        <f>_xlfn.LET(_xlpm.dir,Table13[[#This Row],[Direction]],
IF(_xlpm.dir="R",
    IF(G3800+Table13[[#This Row],[Steps]]&gt;99,(G3800+Table13[[#This Row],[Steps]])-100,G3800+Table13[[#This Row],[Steps]]),
))</f>
        <v>82</v>
      </c>
      <c r="G3801">
        <f>IF(Table13[[#This Row],[New Pos L]]&lt;&gt;0,Table13[[#This Row],[New Pos L]],Table13[[#This Row],[New Pos R]])</f>
        <v>82</v>
      </c>
      <c r="H3801">
        <f>IF(AND(Table13[[#This Row],[Direction]]="L",Table13[[#This Row],[Steps]]&gt;G3800,G3800&lt;&gt;0),1,0)</f>
        <v>0</v>
      </c>
      <c r="I3801">
        <f>IF(AND(Table13[[#This Row],[Direction]]="R",(G3800+Table13[[#This Row],[Steps]])&gt;100),1,0)</f>
        <v>0</v>
      </c>
      <c r="J3801">
        <f>IF(Table13[[#This Row],[POS]]=0,1,0)</f>
        <v>0</v>
      </c>
      <c r="K3801">
        <f>SUM(Table13[[#This Row],[prefix]],Table13[[#This Row],[Past zero L]],Table13[[#This Row],[Past Zero R]],Table13[[#This Row],[Is Zero]])</f>
        <v>8</v>
      </c>
    </row>
    <row r="3802" spans="1:11" ht="16" x14ac:dyDescent="0.2">
      <c r="A3802" s="1" t="s">
        <v>304</v>
      </c>
      <c r="B3802" t="str">
        <f>LEFT(Table13[[#This Row],[Input]],1)</f>
        <v>L</v>
      </c>
      <c r="C3802">
        <f>_xlfn.LET(_xlpm.steps,SUBSTITUTE(Table13[[#This Row],[Input]],Table13[[#This Row],[Direction]],""),VALUE(IF(LEN(_xlpm.steps)&gt;2,RIGHT(_xlpm.steps,2),_xlpm.steps)))</f>
        <v>26</v>
      </c>
      <c r="D3802">
        <f>_xlfn.LET(_xlpm.steps,SUBSTITUTE(Table13[[#This Row],[Input]],Table13[[#This Row],[Direction]],""),VALUE(IF(LEN(_xlpm.steps)&gt;2,LEFT(_xlpm.steps,LEN(_xlpm.steps)-2),0)))</f>
        <v>0</v>
      </c>
      <c r="E3802">
        <f>_xlfn.LET(_xlpm.dir,Table13[[#This Row],[Direction]],
IF(_xlpm.dir="L",
    IF(G3801-Table13[[#This Row],[Steps]]&lt;0,100+(G3801-Table13[[#This Row],[Steps]]),G3801-Table13[[#This Row],[Steps]]),
))</f>
        <v>56</v>
      </c>
      <c r="F3802">
        <f>_xlfn.LET(_xlpm.dir,Table13[[#This Row],[Direction]],
IF(_xlpm.dir="R",
    IF(G3801+Table13[[#This Row],[Steps]]&gt;99,(G3801+Table13[[#This Row],[Steps]])-100,G3801+Table13[[#This Row],[Steps]]),
))</f>
        <v>0</v>
      </c>
      <c r="G3802">
        <f>IF(Table13[[#This Row],[New Pos L]]&lt;&gt;0,Table13[[#This Row],[New Pos L]],Table13[[#This Row],[New Pos R]])</f>
        <v>56</v>
      </c>
      <c r="H3802">
        <f>IF(AND(Table13[[#This Row],[Direction]]="L",Table13[[#This Row],[Steps]]&gt;G3801,G3801&lt;&gt;0),1,0)</f>
        <v>0</v>
      </c>
      <c r="I3802">
        <f>IF(AND(Table13[[#This Row],[Direction]]="R",(G3801+Table13[[#This Row],[Steps]])&gt;100),1,0)</f>
        <v>0</v>
      </c>
      <c r="J3802">
        <f>IF(Table13[[#This Row],[POS]]=0,1,0)</f>
        <v>0</v>
      </c>
      <c r="K3802">
        <f>SUM(Table13[[#This Row],[prefix]],Table13[[#This Row],[Past zero L]],Table13[[#This Row],[Past Zero R]],Table13[[#This Row],[Is Zero]])</f>
        <v>0</v>
      </c>
    </row>
    <row r="3803" spans="1:11" ht="16" x14ac:dyDescent="0.2">
      <c r="A3803" s="1" t="s">
        <v>94</v>
      </c>
      <c r="B3803" t="str">
        <f>LEFT(Table13[[#This Row],[Input]],1)</f>
        <v>L</v>
      </c>
      <c r="C3803">
        <f>_xlfn.LET(_xlpm.steps,SUBSTITUTE(Table13[[#This Row],[Input]],Table13[[#This Row],[Direction]],""),VALUE(IF(LEN(_xlpm.steps)&gt;2,RIGHT(_xlpm.steps,2),_xlpm.steps)))</f>
        <v>71</v>
      </c>
      <c r="D3803">
        <f>_xlfn.LET(_xlpm.steps,SUBSTITUTE(Table13[[#This Row],[Input]],Table13[[#This Row],[Direction]],""),VALUE(IF(LEN(_xlpm.steps)&gt;2,LEFT(_xlpm.steps,LEN(_xlpm.steps)-2),0)))</f>
        <v>0</v>
      </c>
      <c r="E3803">
        <f>_xlfn.LET(_xlpm.dir,Table13[[#This Row],[Direction]],
IF(_xlpm.dir="L",
    IF(G3802-Table13[[#This Row],[Steps]]&lt;0,100+(G3802-Table13[[#This Row],[Steps]]),G3802-Table13[[#This Row],[Steps]]),
))</f>
        <v>85</v>
      </c>
      <c r="F3803">
        <f>_xlfn.LET(_xlpm.dir,Table13[[#This Row],[Direction]],
IF(_xlpm.dir="R",
    IF(G3802+Table13[[#This Row],[Steps]]&gt;99,(G3802+Table13[[#This Row],[Steps]])-100,G3802+Table13[[#This Row],[Steps]]),
))</f>
        <v>0</v>
      </c>
      <c r="G3803">
        <f>IF(Table13[[#This Row],[New Pos L]]&lt;&gt;0,Table13[[#This Row],[New Pos L]],Table13[[#This Row],[New Pos R]])</f>
        <v>85</v>
      </c>
      <c r="H3803">
        <f>IF(AND(Table13[[#This Row],[Direction]]="L",Table13[[#This Row],[Steps]]&gt;G3802,G3802&lt;&gt;0),1,0)</f>
        <v>1</v>
      </c>
      <c r="I3803">
        <f>IF(AND(Table13[[#This Row],[Direction]]="R",(G3802+Table13[[#This Row],[Steps]])&gt;100),1,0)</f>
        <v>0</v>
      </c>
      <c r="J3803">
        <f>IF(Table13[[#This Row],[POS]]=0,1,0)</f>
        <v>0</v>
      </c>
      <c r="K3803">
        <f>SUM(Table13[[#This Row],[prefix]],Table13[[#This Row],[Past zero L]],Table13[[#This Row],[Past Zero R]],Table13[[#This Row],[Is Zero]])</f>
        <v>1</v>
      </c>
    </row>
    <row r="3804" spans="1:11" ht="16" x14ac:dyDescent="0.2">
      <c r="A3804" s="1" t="s">
        <v>38</v>
      </c>
      <c r="B3804" t="str">
        <f>LEFT(Table13[[#This Row],[Input]],1)</f>
        <v>R</v>
      </c>
      <c r="C3804">
        <f>_xlfn.LET(_xlpm.steps,SUBSTITUTE(Table13[[#This Row],[Input]],Table13[[#This Row],[Direction]],""),VALUE(IF(LEN(_xlpm.steps)&gt;2,RIGHT(_xlpm.steps,2),_xlpm.steps)))</f>
        <v>15</v>
      </c>
      <c r="D3804">
        <f>_xlfn.LET(_xlpm.steps,SUBSTITUTE(Table13[[#This Row],[Input]],Table13[[#This Row],[Direction]],""),VALUE(IF(LEN(_xlpm.steps)&gt;2,LEFT(_xlpm.steps,LEN(_xlpm.steps)-2),0)))</f>
        <v>0</v>
      </c>
      <c r="E3804">
        <f>_xlfn.LET(_xlpm.dir,Table13[[#This Row],[Direction]],
IF(_xlpm.dir="L",
    IF(G3803-Table13[[#This Row],[Steps]]&lt;0,100+(G3803-Table13[[#This Row],[Steps]]),G3803-Table13[[#This Row],[Steps]]),
))</f>
        <v>0</v>
      </c>
      <c r="F3804">
        <f>_xlfn.LET(_xlpm.dir,Table13[[#This Row],[Direction]],
IF(_xlpm.dir="R",
    IF(G3803+Table13[[#This Row],[Steps]]&gt;99,(G3803+Table13[[#This Row],[Steps]])-100,G3803+Table13[[#This Row],[Steps]]),
))</f>
        <v>0</v>
      </c>
      <c r="G3804">
        <f>IF(Table13[[#This Row],[New Pos L]]&lt;&gt;0,Table13[[#This Row],[New Pos L]],Table13[[#This Row],[New Pos R]])</f>
        <v>0</v>
      </c>
      <c r="H3804">
        <f>IF(AND(Table13[[#This Row],[Direction]]="L",Table13[[#This Row],[Steps]]&gt;G3803,G3803&lt;&gt;0),1,0)</f>
        <v>0</v>
      </c>
      <c r="I3804">
        <f>IF(AND(Table13[[#This Row],[Direction]]="R",(G3803+Table13[[#This Row],[Steps]])&gt;100),1,0)</f>
        <v>0</v>
      </c>
      <c r="J3804">
        <f>IF(Table13[[#This Row],[POS]]=0,1,0)</f>
        <v>1</v>
      </c>
      <c r="K3804">
        <f>SUM(Table13[[#This Row],[prefix]],Table13[[#This Row],[Past zero L]],Table13[[#This Row],[Past Zero R]],Table13[[#This Row],[Is Zero]])</f>
        <v>1</v>
      </c>
    </row>
    <row r="3805" spans="1:11" ht="16" x14ac:dyDescent="0.2">
      <c r="A3805" s="1" t="s">
        <v>128</v>
      </c>
      <c r="B3805" t="str">
        <f>LEFT(Table13[[#This Row],[Input]],1)</f>
        <v>R</v>
      </c>
      <c r="C3805">
        <f>_xlfn.LET(_xlpm.steps,SUBSTITUTE(Table13[[#This Row],[Input]],Table13[[#This Row],[Direction]],""),VALUE(IF(LEN(_xlpm.steps)&gt;2,RIGHT(_xlpm.steps,2),_xlpm.steps)))</f>
        <v>92</v>
      </c>
      <c r="D3805">
        <f>_xlfn.LET(_xlpm.steps,SUBSTITUTE(Table13[[#This Row],[Input]],Table13[[#This Row],[Direction]],""),VALUE(IF(LEN(_xlpm.steps)&gt;2,LEFT(_xlpm.steps,LEN(_xlpm.steps)-2),0)))</f>
        <v>0</v>
      </c>
      <c r="E3805">
        <f>_xlfn.LET(_xlpm.dir,Table13[[#This Row],[Direction]],
IF(_xlpm.dir="L",
    IF(G3804-Table13[[#This Row],[Steps]]&lt;0,100+(G3804-Table13[[#This Row],[Steps]]),G3804-Table13[[#This Row],[Steps]]),
))</f>
        <v>0</v>
      </c>
      <c r="F3805">
        <f>_xlfn.LET(_xlpm.dir,Table13[[#This Row],[Direction]],
IF(_xlpm.dir="R",
    IF(G3804+Table13[[#This Row],[Steps]]&gt;99,(G3804+Table13[[#This Row],[Steps]])-100,G3804+Table13[[#This Row],[Steps]]),
))</f>
        <v>92</v>
      </c>
      <c r="G3805">
        <f>IF(Table13[[#This Row],[New Pos L]]&lt;&gt;0,Table13[[#This Row],[New Pos L]],Table13[[#This Row],[New Pos R]])</f>
        <v>92</v>
      </c>
      <c r="H3805">
        <f>IF(AND(Table13[[#This Row],[Direction]]="L",Table13[[#This Row],[Steps]]&gt;G3804,G3804&lt;&gt;0),1,0)</f>
        <v>0</v>
      </c>
      <c r="I3805">
        <f>IF(AND(Table13[[#This Row],[Direction]]="R",(G3804+Table13[[#This Row],[Steps]])&gt;100),1,0)</f>
        <v>0</v>
      </c>
      <c r="J3805">
        <f>IF(Table13[[#This Row],[POS]]=0,1,0)</f>
        <v>0</v>
      </c>
      <c r="K3805">
        <f>SUM(Table13[[#This Row],[prefix]],Table13[[#This Row],[Past zero L]],Table13[[#This Row],[Past Zero R]],Table13[[#This Row],[Is Zero]])</f>
        <v>0</v>
      </c>
    </row>
    <row r="3806" spans="1:11" ht="16" x14ac:dyDescent="0.2">
      <c r="A3806" s="1" t="s">
        <v>129</v>
      </c>
      <c r="B3806" t="str">
        <f>LEFT(Table13[[#This Row],[Input]],1)</f>
        <v>R</v>
      </c>
      <c r="C3806">
        <f>_xlfn.LET(_xlpm.steps,SUBSTITUTE(Table13[[#This Row],[Input]],Table13[[#This Row],[Direction]],""),VALUE(IF(LEN(_xlpm.steps)&gt;2,RIGHT(_xlpm.steps,2),_xlpm.steps)))</f>
        <v>8</v>
      </c>
      <c r="D3806">
        <f>_xlfn.LET(_xlpm.steps,SUBSTITUTE(Table13[[#This Row],[Input]],Table13[[#This Row],[Direction]],""),VALUE(IF(LEN(_xlpm.steps)&gt;2,LEFT(_xlpm.steps,LEN(_xlpm.steps)-2),0)))</f>
        <v>0</v>
      </c>
      <c r="E3806">
        <f>_xlfn.LET(_xlpm.dir,Table13[[#This Row],[Direction]],
IF(_xlpm.dir="L",
    IF(G3805-Table13[[#This Row],[Steps]]&lt;0,100+(G3805-Table13[[#This Row],[Steps]]),G3805-Table13[[#This Row],[Steps]]),
))</f>
        <v>0</v>
      </c>
      <c r="F3806">
        <f>_xlfn.LET(_xlpm.dir,Table13[[#This Row],[Direction]],
IF(_xlpm.dir="R",
    IF(G3805+Table13[[#This Row],[Steps]]&gt;99,(G3805+Table13[[#This Row],[Steps]])-100,G3805+Table13[[#This Row],[Steps]]),
))</f>
        <v>0</v>
      </c>
      <c r="G3806">
        <f>IF(Table13[[#This Row],[New Pos L]]&lt;&gt;0,Table13[[#This Row],[New Pos L]],Table13[[#This Row],[New Pos R]])</f>
        <v>0</v>
      </c>
      <c r="H3806">
        <f>IF(AND(Table13[[#This Row],[Direction]]="L",Table13[[#This Row],[Steps]]&gt;G3805,G3805&lt;&gt;0),1,0)</f>
        <v>0</v>
      </c>
      <c r="I3806">
        <f>IF(AND(Table13[[#This Row],[Direction]]="R",(G3805+Table13[[#This Row],[Steps]])&gt;100),1,0)</f>
        <v>0</v>
      </c>
      <c r="J3806">
        <f>IF(Table13[[#This Row],[POS]]=0,1,0)</f>
        <v>1</v>
      </c>
      <c r="K3806">
        <f>SUM(Table13[[#This Row],[prefix]],Table13[[#This Row],[Past zero L]],Table13[[#This Row],[Past Zero R]],Table13[[#This Row],[Is Zero]])</f>
        <v>1</v>
      </c>
    </row>
    <row r="3807" spans="1:11" ht="16" x14ac:dyDescent="0.2">
      <c r="A3807" s="1" t="s">
        <v>800</v>
      </c>
      <c r="B3807" t="str">
        <f>LEFT(Table13[[#This Row],[Input]],1)</f>
        <v>R</v>
      </c>
      <c r="C3807">
        <f>_xlfn.LET(_xlpm.steps,SUBSTITUTE(Table13[[#This Row],[Input]],Table13[[#This Row],[Direction]],""),VALUE(IF(LEN(_xlpm.steps)&gt;2,RIGHT(_xlpm.steps,2),_xlpm.steps)))</f>
        <v>51</v>
      </c>
      <c r="D3807">
        <f>_xlfn.LET(_xlpm.steps,SUBSTITUTE(Table13[[#This Row],[Input]],Table13[[#This Row],[Direction]],""),VALUE(IF(LEN(_xlpm.steps)&gt;2,LEFT(_xlpm.steps,LEN(_xlpm.steps)-2),0)))</f>
        <v>1</v>
      </c>
      <c r="E3807">
        <f>_xlfn.LET(_xlpm.dir,Table13[[#This Row],[Direction]],
IF(_xlpm.dir="L",
    IF(G3806-Table13[[#This Row],[Steps]]&lt;0,100+(G3806-Table13[[#This Row],[Steps]]),G3806-Table13[[#This Row],[Steps]]),
))</f>
        <v>0</v>
      </c>
      <c r="F3807">
        <f>_xlfn.LET(_xlpm.dir,Table13[[#This Row],[Direction]],
IF(_xlpm.dir="R",
    IF(G3806+Table13[[#This Row],[Steps]]&gt;99,(G3806+Table13[[#This Row],[Steps]])-100,G3806+Table13[[#This Row],[Steps]]),
))</f>
        <v>51</v>
      </c>
      <c r="G3807">
        <f>IF(Table13[[#This Row],[New Pos L]]&lt;&gt;0,Table13[[#This Row],[New Pos L]],Table13[[#This Row],[New Pos R]])</f>
        <v>51</v>
      </c>
      <c r="H3807">
        <f>IF(AND(Table13[[#This Row],[Direction]]="L",Table13[[#This Row],[Steps]]&gt;G3806,G3806&lt;&gt;0),1,0)</f>
        <v>0</v>
      </c>
      <c r="I3807">
        <f>IF(AND(Table13[[#This Row],[Direction]]="R",(G3806+Table13[[#This Row],[Steps]])&gt;100),1,0)</f>
        <v>0</v>
      </c>
      <c r="J3807">
        <f>IF(Table13[[#This Row],[POS]]=0,1,0)</f>
        <v>0</v>
      </c>
      <c r="K3807">
        <f>SUM(Table13[[#This Row],[prefix]],Table13[[#This Row],[Past zero L]],Table13[[#This Row],[Past Zero R]],Table13[[#This Row],[Is Zero]])</f>
        <v>1</v>
      </c>
    </row>
    <row r="3808" spans="1:11" ht="16" x14ac:dyDescent="0.2">
      <c r="A3808" s="1" t="s">
        <v>18</v>
      </c>
      <c r="B3808" t="str">
        <f>LEFT(Table13[[#This Row],[Input]],1)</f>
        <v>L</v>
      </c>
      <c r="C3808">
        <f>_xlfn.LET(_xlpm.steps,SUBSTITUTE(Table13[[#This Row],[Input]],Table13[[#This Row],[Direction]],""),VALUE(IF(LEN(_xlpm.steps)&gt;2,RIGHT(_xlpm.steps,2),_xlpm.steps)))</f>
        <v>46</v>
      </c>
      <c r="D3808">
        <f>_xlfn.LET(_xlpm.steps,SUBSTITUTE(Table13[[#This Row],[Input]],Table13[[#This Row],[Direction]],""),VALUE(IF(LEN(_xlpm.steps)&gt;2,LEFT(_xlpm.steps,LEN(_xlpm.steps)-2),0)))</f>
        <v>0</v>
      </c>
      <c r="E3808">
        <f>_xlfn.LET(_xlpm.dir,Table13[[#This Row],[Direction]],
IF(_xlpm.dir="L",
    IF(G3807-Table13[[#This Row],[Steps]]&lt;0,100+(G3807-Table13[[#This Row],[Steps]]),G3807-Table13[[#This Row],[Steps]]),
))</f>
        <v>5</v>
      </c>
      <c r="F3808">
        <f>_xlfn.LET(_xlpm.dir,Table13[[#This Row],[Direction]],
IF(_xlpm.dir="R",
    IF(G3807+Table13[[#This Row],[Steps]]&gt;99,(G3807+Table13[[#This Row],[Steps]])-100,G3807+Table13[[#This Row],[Steps]]),
))</f>
        <v>0</v>
      </c>
      <c r="G3808">
        <f>IF(Table13[[#This Row],[New Pos L]]&lt;&gt;0,Table13[[#This Row],[New Pos L]],Table13[[#This Row],[New Pos R]])</f>
        <v>5</v>
      </c>
      <c r="H3808">
        <f>IF(AND(Table13[[#This Row],[Direction]]="L",Table13[[#This Row],[Steps]]&gt;G3807,G3807&lt;&gt;0),1,0)</f>
        <v>0</v>
      </c>
      <c r="I3808">
        <f>IF(AND(Table13[[#This Row],[Direction]]="R",(G3807+Table13[[#This Row],[Steps]])&gt;100),1,0)</f>
        <v>0</v>
      </c>
      <c r="J3808">
        <f>IF(Table13[[#This Row],[POS]]=0,1,0)</f>
        <v>0</v>
      </c>
      <c r="K3808">
        <f>SUM(Table13[[#This Row],[prefix]],Table13[[#This Row],[Past zero L]],Table13[[#This Row],[Past Zero R]],Table13[[#This Row],[Is Zero]])</f>
        <v>0</v>
      </c>
    </row>
    <row r="3809" spans="1:11" ht="16" x14ac:dyDescent="0.2">
      <c r="A3809" s="1" t="s">
        <v>219</v>
      </c>
      <c r="B3809" t="str">
        <f>LEFT(Table13[[#This Row],[Input]],1)</f>
        <v>L</v>
      </c>
      <c r="C3809">
        <f>_xlfn.LET(_xlpm.steps,SUBSTITUTE(Table13[[#This Row],[Input]],Table13[[#This Row],[Direction]],""),VALUE(IF(LEN(_xlpm.steps)&gt;2,RIGHT(_xlpm.steps,2),_xlpm.steps)))</f>
        <v>64</v>
      </c>
      <c r="D3809">
        <f>_xlfn.LET(_xlpm.steps,SUBSTITUTE(Table13[[#This Row],[Input]],Table13[[#This Row],[Direction]],""),VALUE(IF(LEN(_xlpm.steps)&gt;2,LEFT(_xlpm.steps,LEN(_xlpm.steps)-2),0)))</f>
        <v>0</v>
      </c>
      <c r="E3809">
        <f>_xlfn.LET(_xlpm.dir,Table13[[#This Row],[Direction]],
IF(_xlpm.dir="L",
    IF(G3808-Table13[[#This Row],[Steps]]&lt;0,100+(G3808-Table13[[#This Row],[Steps]]),G3808-Table13[[#This Row],[Steps]]),
))</f>
        <v>41</v>
      </c>
      <c r="F3809">
        <f>_xlfn.LET(_xlpm.dir,Table13[[#This Row],[Direction]],
IF(_xlpm.dir="R",
    IF(G3808+Table13[[#This Row],[Steps]]&gt;99,(G3808+Table13[[#This Row],[Steps]])-100,G3808+Table13[[#This Row],[Steps]]),
))</f>
        <v>0</v>
      </c>
      <c r="G3809">
        <f>IF(Table13[[#This Row],[New Pos L]]&lt;&gt;0,Table13[[#This Row],[New Pos L]],Table13[[#This Row],[New Pos R]])</f>
        <v>41</v>
      </c>
      <c r="H3809">
        <f>IF(AND(Table13[[#This Row],[Direction]]="L",Table13[[#This Row],[Steps]]&gt;G3808,G3808&lt;&gt;0),1,0)</f>
        <v>1</v>
      </c>
      <c r="I3809">
        <f>IF(AND(Table13[[#This Row],[Direction]]="R",(G3808+Table13[[#This Row],[Steps]])&gt;100),1,0)</f>
        <v>0</v>
      </c>
      <c r="J3809">
        <f>IF(Table13[[#This Row],[POS]]=0,1,0)</f>
        <v>0</v>
      </c>
      <c r="K3809">
        <f>SUM(Table13[[#This Row],[prefix]],Table13[[#This Row],[Past zero L]],Table13[[#This Row],[Past Zero R]],Table13[[#This Row],[Is Zero]])</f>
        <v>1</v>
      </c>
    </row>
    <row r="3810" spans="1:11" ht="16" x14ac:dyDescent="0.2">
      <c r="A3810" s="1" t="s">
        <v>119</v>
      </c>
      <c r="B3810" t="str">
        <f>LEFT(Table13[[#This Row],[Input]],1)</f>
        <v>L</v>
      </c>
      <c r="C3810">
        <f>_xlfn.LET(_xlpm.steps,SUBSTITUTE(Table13[[#This Row],[Input]],Table13[[#This Row],[Direction]],""),VALUE(IF(LEN(_xlpm.steps)&gt;2,RIGHT(_xlpm.steps,2),_xlpm.steps)))</f>
        <v>77</v>
      </c>
      <c r="D3810">
        <f>_xlfn.LET(_xlpm.steps,SUBSTITUTE(Table13[[#This Row],[Input]],Table13[[#This Row],[Direction]],""),VALUE(IF(LEN(_xlpm.steps)&gt;2,LEFT(_xlpm.steps,LEN(_xlpm.steps)-2),0)))</f>
        <v>0</v>
      </c>
      <c r="E3810">
        <f>_xlfn.LET(_xlpm.dir,Table13[[#This Row],[Direction]],
IF(_xlpm.dir="L",
    IF(G3809-Table13[[#This Row],[Steps]]&lt;0,100+(G3809-Table13[[#This Row],[Steps]]),G3809-Table13[[#This Row],[Steps]]),
))</f>
        <v>64</v>
      </c>
      <c r="F3810">
        <f>_xlfn.LET(_xlpm.dir,Table13[[#This Row],[Direction]],
IF(_xlpm.dir="R",
    IF(G3809+Table13[[#This Row],[Steps]]&gt;99,(G3809+Table13[[#This Row],[Steps]])-100,G3809+Table13[[#This Row],[Steps]]),
))</f>
        <v>0</v>
      </c>
      <c r="G3810">
        <f>IF(Table13[[#This Row],[New Pos L]]&lt;&gt;0,Table13[[#This Row],[New Pos L]],Table13[[#This Row],[New Pos R]])</f>
        <v>64</v>
      </c>
      <c r="H3810">
        <f>IF(AND(Table13[[#This Row],[Direction]]="L",Table13[[#This Row],[Steps]]&gt;G3809,G3809&lt;&gt;0),1,0)</f>
        <v>1</v>
      </c>
      <c r="I3810">
        <f>IF(AND(Table13[[#This Row],[Direction]]="R",(G3809+Table13[[#This Row],[Steps]])&gt;100),1,0)</f>
        <v>0</v>
      </c>
      <c r="J3810">
        <f>IF(Table13[[#This Row],[POS]]=0,1,0)</f>
        <v>0</v>
      </c>
      <c r="K3810">
        <f>SUM(Table13[[#This Row],[prefix]],Table13[[#This Row],[Past zero L]],Table13[[#This Row],[Past Zero R]],Table13[[#This Row],[Is Zero]])</f>
        <v>1</v>
      </c>
    </row>
    <row r="3811" spans="1:11" ht="16" x14ac:dyDescent="0.2">
      <c r="A3811" s="1" t="s">
        <v>182</v>
      </c>
      <c r="B3811" t="str">
        <f>LEFT(Table13[[#This Row],[Input]],1)</f>
        <v>L</v>
      </c>
      <c r="C3811">
        <f>_xlfn.LET(_xlpm.steps,SUBSTITUTE(Table13[[#This Row],[Input]],Table13[[#This Row],[Direction]],""),VALUE(IF(LEN(_xlpm.steps)&gt;2,RIGHT(_xlpm.steps,2),_xlpm.steps)))</f>
        <v>3</v>
      </c>
      <c r="D3811">
        <f>_xlfn.LET(_xlpm.steps,SUBSTITUTE(Table13[[#This Row],[Input]],Table13[[#This Row],[Direction]],""),VALUE(IF(LEN(_xlpm.steps)&gt;2,LEFT(_xlpm.steps,LEN(_xlpm.steps)-2),0)))</f>
        <v>0</v>
      </c>
      <c r="E3811">
        <f>_xlfn.LET(_xlpm.dir,Table13[[#This Row],[Direction]],
IF(_xlpm.dir="L",
    IF(G3810-Table13[[#This Row],[Steps]]&lt;0,100+(G3810-Table13[[#This Row],[Steps]]),G3810-Table13[[#This Row],[Steps]]),
))</f>
        <v>61</v>
      </c>
      <c r="F3811">
        <f>_xlfn.LET(_xlpm.dir,Table13[[#This Row],[Direction]],
IF(_xlpm.dir="R",
    IF(G3810+Table13[[#This Row],[Steps]]&gt;99,(G3810+Table13[[#This Row],[Steps]])-100,G3810+Table13[[#This Row],[Steps]]),
))</f>
        <v>0</v>
      </c>
      <c r="G3811">
        <f>IF(Table13[[#This Row],[New Pos L]]&lt;&gt;0,Table13[[#This Row],[New Pos L]],Table13[[#This Row],[New Pos R]])</f>
        <v>61</v>
      </c>
      <c r="H3811">
        <f>IF(AND(Table13[[#This Row],[Direction]]="L",Table13[[#This Row],[Steps]]&gt;G3810,G3810&lt;&gt;0),1,0)</f>
        <v>0</v>
      </c>
      <c r="I3811">
        <f>IF(AND(Table13[[#This Row],[Direction]]="R",(G3810+Table13[[#This Row],[Steps]])&gt;100),1,0)</f>
        <v>0</v>
      </c>
      <c r="J3811">
        <f>IF(Table13[[#This Row],[POS]]=0,1,0)</f>
        <v>0</v>
      </c>
      <c r="K3811">
        <f>SUM(Table13[[#This Row],[prefix]],Table13[[#This Row],[Past zero L]],Table13[[#This Row],[Past Zero R]],Table13[[#This Row],[Is Zero]])</f>
        <v>0</v>
      </c>
    </row>
    <row r="3812" spans="1:11" ht="16" x14ac:dyDescent="0.2">
      <c r="A3812" s="1" t="s">
        <v>102</v>
      </c>
      <c r="B3812" t="str">
        <f>LEFT(Table13[[#This Row],[Input]],1)</f>
        <v>R</v>
      </c>
      <c r="C3812">
        <f>_xlfn.LET(_xlpm.steps,SUBSTITUTE(Table13[[#This Row],[Input]],Table13[[#This Row],[Direction]],""),VALUE(IF(LEN(_xlpm.steps)&gt;2,RIGHT(_xlpm.steps,2),_xlpm.steps)))</f>
        <v>39</v>
      </c>
      <c r="D3812">
        <f>_xlfn.LET(_xlpm.steps,SUBSTITUTE(Table13[[#This Row],[Input]],Table13[[#This Row],[Direction]],""),VALUE(IF(LEN(_xlpm.steps)&gt;2,LEFT(_xlpm.steps,LEN(_xlpm.steps)-2),0)))</f>
        <v>0</v>
      </c>
      <c r="E3812">
        <f>_xlfn.LET(_xlpm.dir,Table13[[#This Row],[Direction]],
IF(_xlpm.dir="L",
    IF(G3811-Table13[[#This Row],[Steps]]&lt;0,100+(G3811-Table13[[#This Row],[Steps]]),G3811-Table13[[#This Row],[Steps]]),
))</f>
        <v>0</v>
      </c>
      <c r="F3812">
        <f>_xlfn.LET(_xlpm.dir,Table13[[#This Row],[Direction]],
IF(_xlpm.dir="R",
    IF(G3811+Table13[[#This Row],[Steps]]&gt;99,(G3811+Table13[[#This Row],[Steps]])-100,G3811+Table13[[#This Row],[Steps]]),
))</f>
        <v>0</v>
      </c>
      <c r="G3812">
        <f>IF(Table13[[#This Row],[New Pos L]]&lt;&gt;0,Table13[[#This Row],[New Pos L]],Table13[[#This Row],[New Pos R]])</f>
        <v>0</v>
      </c>
      <c r="H3812">
        <f>IF(AND(Table13[[#This Row],[Direction]]="L",Table13[[#This Row],[Steps]]&gt;G3811,G3811&lt;&gt;0),1,0)</f>
        <v>0</v>
      </c>
      <c r="I3812">
        <f>IF(AND(Table13[[#This Row],[Direction]]="R",(G3811+Table13[[#This Row],[Steps]])&gt;100),1,0)</f>
        <v>0</v>
      </c>
      <c r="J3812">
        <f>IF(Table13[[#This Row],[POS]]=0,1,0)</f>
        <v>1</v>
      </c>
      <c r="K3812">
        <f>SUM(Table13[[#This Row],[prefix]],Table13[[#This Row],[Past zero L]],Table13[[#This Row],[Past Zero R]],Table13[[#This Row],[Is Zero]])</f>
        <v>1</v>
      </c>
    </row>
    <row r="3813" spans="1:11" ht="16" x14ac:dyDescent="0.2">
      <c r="A3813" s="1" t="s">
        <v>410</v>
      </c>
      <c r="B3813" t="str">
        <f>LEFT(Table13[[#This Row],[Input]],1)</f>
        <v>R</v>
      </c>
      <c r="C3813">
        <f>_xlfn.LET(_xlpm.steps,SUBSTITUTE(Table13[[#This Row],[Input]],Table13[[#This Row],[Direction]],""),VALUE(IF(LEN(_xlpm.steps)&gt;2,RIGHT(_xlpm.steps,2),_xlpm.steps)))</f>
        <v>10</v>
      </c>
      <c r="D3813">
        <f>_xlfn.LET(_xlpm.steps,SUBSTITUTE(Table13[[#This Row],[Input]],Table13[[#This Row],[Direction]],""),VALUE(IF(LEN(_xlpm.steps)&gt;2,LEFT(_xlpm.steps,LEN(_xlpm.steps)-2),0)))</f>
        <v>7</v>
      </c>
      <c r="E3813">
        <f>_xlfn.LET(_xlpm.dir,Table13[[#This Row],[Direction]],
IF(_xlpm.dir="L",
    IF(G3812-Table13[[#This Row],[Steps]]&lt;0,100+(G3812-Table13[[#This Row],[Steps]]),G3812-Table13[[#This Row],[Steps]]),
))</f>
        <v>0</v>
      </c>
      <c r="F3813">
        <f>_xlfn.LET(_xlpm.dir,Table13[[#This Row],[Direction]],
IF(_xlpm.dir="R",
    IF(G3812+Table13[[#This Row],[Steps]]&gt;99,(G3812+Table13[[#This Row],[Steps]])-100,G3812+Table13[[#This Row],[Steps]]),
))</f>
        <v>10</v>
      </c>
      <c r="G3813">
        <f>IF(Table13[[#This Row],[New Pos L]]&lt;&gt;0,Table13[[#This Row],[New Pos L]],Table13[[#This Row],[New Pos R]])</f>
        <v>10</v>
      </c>
      <c r="H3813">
        <f>IF(AND(Table13[[#This Row],[Direction]]="L",Table13[[#This Row],[Steps]]&gt;G3812,G3812&lt;&gt;0),1,0)</f>
        <v>0</v>
      </c>
      <c r="I3813">
        <f>IF(AND(Table13[[#This Row],[Direction]]="R",(G3812+Table13[[#This Row],[Steps]])&gt;100),1,0)</f>
        <v>0</v>
      </c>
      <c r="J3813">
        <f>IF(Table13[[#This Row],[POS]]=0,1,0)</f>
        <v>0</v>
      </c>
      <c r="K3813">
        <f>SUM(Table13[[#This Row],[prefix]],Table13[[#This Row],[Past zero L]],Table13[[#This Row],[Past Zero R]],Table13[[#This Row],[Is Zero]])</f>
        <v>7</v>
      </c>
    </row>
    <row r="3814" spans="1:11" ht="16" x14ac:dyDescent="0.2">
      <c r="A3814" s="1" t="s">
        <v>108</v>
      </c>
      <c r="B3814" t="str">
        <f>LEFT(Table13[[#This Row],[Input]],1)</f>
        <v>R</v>
      </c>
      <c r="C3814">
        <f>_xlfn.LET(_xlpm.steps,SUBSTITUTE(Table13[[#This Row],[Input]],Table13[[#This Row],[Direction]],""),VALUE(IF(LEN(_xlpm.steps)&gt;2,RIGHT(_xlpm.steps,2),_xlpm.steps)))</f>
        <v>66</v>
      </c>
      <c r="D3814">
        <f>_xlfn.LET(_xlpm.steps,SUBSTITUTE(Table13[[#This Row],[Input]],Table13[[#This Row],[Direction]],""),VALUE(IF(LEN(_xlpm.steps)&gt;2,LEFT(_xlpm.steps,LEN(_xlpm.steps)-2),0)))</f>
        <v>0</v>
      </c>
      <c r="E3814">
        <f>_xlfn.LET(_xlpm.dir,Table13[[#This Row],[Direction]],
IF(_xlpm.dir="L",
    IF(G3813-Table13[[#This Row],[Steps]]&lt;0,100+(G3813-Table13[[#This Row],[Steps]]),G3813-Table13[[#This Row],[Steps]]),
))</f>
        <v>0</v>
      </c>
      <c r="F3814">
        <f>_xlfn.LET(_xlpm.dir,Table13[[#This Row],[Direction]],
IF(_xlpm.dir="R",
    IF(G3813+Table13[[#This Row],[Steps]]&gt;99,(G3813+Table13[[#This Row],[Steps]])-100,G3813+Table13[[#This Row],[Steps]]),
))</f>
        <v>76</v>
      </c>
      <c r="G3814">
        <f>IF(Table13[[#This Row],[New Pos L]]&lt;&gt;0,Table13[[#This Row],[New Pos L]],Table13[[#This Row],[New Pos R]])</f>
        <v>76</v>
      </c>
      <c r="H3814">
        <f>IF(AND(Table13[[#This Row],[Direction]]="L",Table13[[#This Row],[Steps]]&gt;G3813,G3813&lt;&gt;0),1,0)</f>
        <v>0</v>
      </c>
      <c r="I3814">
        <f>IF(AND(Table13[[#This Row],[Direction]]="R",(G3813+Table13[[#This Row],[Steps]])&gt;100),1,0)</f>
        <v>0</v>
      </c>
      <c r="J3814">
        <f>IF(Table13[[#This Row],[POS]]=0,1,0)</f>
        <v>0</v>
      </c>
      <c r="K3814">
        <f>SUM(Table13[[#This Row],[prefix]],Table13[[#This Row],[Past zero L]],Table13[[#This Row],[Past Zero R]],Table13[[#This Row],[Is Zero]])</f>
        <v>0</v>
      </c>
    </row>
    <row r="3815" spans="1:11" ht="16" x14ac:dyDescent="0.2">
      <c r="A3815" s="1" t="s">
        <v>201</v>
      </c>
      <c r="B3815" t="str">
        <f>LEFT(Table13[[#This Row],[Input]],1)</f>
        <v>R</v>
      </c>
      <c r="C3815">
        <f>_xlfn.LET(_xlpm.steps,SUBSTITUTE(Table13[[#This Row],[Input]],Table13[[#This Row],[Direction]],""),VALUE(IF(LEN(_xlpm.steps)&gt;2,RIGHT(_xlpm.steps,2),_xlpm.steps)))</f>
        <v>31</v>
      </c>
      <c r="D3815">
        <f>_xlfn.LET(_xlpm.steps,SUBSTITUTE(Table13[[#This Row],[Input]],Table13[[#This Row],[Direction]],""),VALUE(IF(LEN(_xlpm.steps)&gt;2,LEFT(_xlpm.steps,LEN(_xlpm.steps)-2),0)))</f>
        <v>0</v>
      </c>
      <c r="E3815">
        <f>_xlfn.LET(_xlpm.dir,Table13[[#This Row],[Direction]],
IF(_xlpm.dir="L",
    IF(G3814-Table13[[#This Row],[Steps]]&lt;0,100+(G3814-Table13[[#This Row],[Steps]]),G3814-Table13[[#This Row],[Steps]]),
))</f>
        <v>0</v>
      </c>
      <c r="F3815">
        <f>_xlfn.LET(_xlpm.dir,Table13[[#This Row],[Direction]],
IF(_xlpm.dir="R",
    IF(G3814+Table13[[#This Row],[Steps]]&gt;99,(G3814+Table13[[#This Row],[Steps]])-100,G3814+Table13[[#This Row],[Steps]]),
))</f>
        <v>7</v>
      </c>
      <c r="G3815">
        <f>IF(Table13[[#This Row],[New Pos L]]&lt;&gt;0,Table13[[#This Row],[New Pos L]],Table13[[#This Row],[New Pos R]])</f>
        <v>7</v>
      </c>
      <c r="H3815">
        <f>IF(AND(Table13[[#This Row],[Direction]]="L",Table13[[#This Row],[Steps]]&gt;G3814,G3814&lt;&gt;0),1,0)</f>
        <v>0</v>
      </c>
      <c r="I3815">
        <f>IF(AND(Table13[[#This Row],[Direction]]="R",(G3814+Table13[[#This Row],[Steps]])&gt;100),1,0)</f>
        <v>1</v>
      </c>
      <c r="J3815">
        <f>IF(Table13[[#This Row],[POS]]=0,1,0)</f>
        <v>0</v>
      </c>
      <c r="K3815">
        <f>SUM(Table13[[#This Row],[prefix]],Table13[[#This Row],[Past zero L]],Table13[[#This Row],[Past Zero R]],Table13[[#This Row],[Is Zero]])</f>
        <v>1</v>
      </c>
    </row>
    <row r="3816" spans="1:11" ht="16" x14ac:dyDescent="0.2">
      <c r="A3816" s="1" t="s">
        <v>193</v>
      </c>
      <c r="B3816" t="str">
        <f>LEFT(Table13[[#This Row],[Input]],1)</f>
        <v>L</v>
      </c>
      <c r="C3816">
        <f>_xlfn.LET(_xlpm.steps,SUBSTITUTE(Table13[[#This Row],[Input]],Table13[[#This Row],[Direction]],""),VALUE(IF(LEN(_xlpm.steps)&gt;2,RIGHT(_xlpm.steps,2),_xlpm.steps)))</f>
        <v>12</v>
      </c>
      <c r="D3816">
        <f>_xlfn.LET(_xlpm.steps,SUBSTITUTE(Table13[[#This Row],[Input]],Table13[[#This Row],[Direction]],""),VALUE(IF(LEN(_xlpm.steps)&gt;2,LEFT(_xlpm.steps,LEN(_xlpm.steps)-2),0)))</f>
        <v>0</v>
      </c>
      <c r="E3816">
        <f>_xlfn.LET(_xlpm.dir,Table13[[#This Row],[Direction]],
IF(_xlpm.dir="L",
    IF(G3815-Table13[[#This Row],[Steps]]&lt;0,100+(G3815-Table13[[#This Row],[Steps]]),G3815-Table13[[#This Row],[Steps]]),
))</f>
        <v>95</v>
      </c>
      <c r="F3816">
        <f>_xlfn.LET(_xlpm.dir,Table13[[#This Row],[Direction]],
IF(_xlpm.dir="R",
    IF(G3815+Table13[[#This Row],[Steps]]&gt;99,(G3815+Table13[[#This Row],[Steps]])-100,G3815+Table13[[#This Row],[Steps]]),
))</f>
        <v>0</v>
      </c>
      <c r="G3816">
        <f>IF(Table13[[#This Row],[New Pos L]]&lt;&gt;0,Table13[[#This Row],[New Pos L]],Table13[[#This Row],[New Pos R]])</f>
        <v>95</v>
      </c>
      <c r="H3816">
        <f>IF(AND(Table13[[#This Row],[Direction]]="L",Table13[[#This Row],[Steps]]&gt;G3815,G3815&lt;&gt;0),1,0)</f>
        <v>1</v>
      </c>
      <c r="I3816">
        <f>IF(AND(Table13[[#This Row],[Direction]]="R",(G3815+Table13[[#This Row],[Steps]])&gt;100),1,0)</f>
        <v>0</v>
      </c>
      <c r="J3816">
        <f>IF(Table13[[#This Row],[POS]]=0,1,0)</f>
        <v>0</v>
      </c>
      <c r="K3816">
        <f>SUM(Table13[[#This Row],[prefix]],Table13[[#This Row],[Past zero L]],Table13[[#This Row],[Past Zero R]],Table13[[#This Row],[Is Zero]])</f>
        <v>1</v>
      </c>
    </row>
    <row r="3817" spans="1:11" ht="16" x14ac:dyDescent="0.2">
      <c r="A3817" s="1" t="s">
        <v>801</v>
      </c>
      <c r="B3817" t="str">
        <f>LEFT(Table13[[#This Row],[Input]],1)</f>
        <v>L</v>
      </c>
      <c r="C3817">
        <f>_xlfn.LET(_xlpm.steps,SUBSTITUTE(Table13[[#This Row],[Input]],Table13[[#This Row],[Direction]],""),VALUE(IF(LEN(_xlpm.steps)&gt;2,RIGHT(_xlpm.steps,2),_xlpm.steps)))</f>
        <v>95</v>
      </c>
      <c r="D3817">
        <f>_xlfn.LET(_xlpm.steps,SUBSTITUTE(Table13[[#This Row],[Input]],Table13[[#This Row],[Direction]],""),VALUE(IF(LEN(_xlpm.steps)&gt;2,LEFT(_xlpm.steps,LEN(_xlpm.steps)-2),0)))</f>
        <v>9</v>
      </c>
      <c r="E3817">
        <f>_xlfn.LET(_xlpm.dir,Table13[[#This Row],[Direction]],
IF(_xlpm.dir="L",
    IF(G3816-Table13[[#This Row],[Steps]]&lt;0,100+(G3816-Table13[[#This Row],[Steps]]),G3816-Table13[[#This Row],[Steps]]),
))</f>
        <v>0</v>
      </c>
      <c r="F3817">
        <f>_xlfn.LET(_xlpm.dir,Table13[[#This Row],[Direction]],
IF(_xlpm.dir="R",
    IF(G3816+Table13[[#This Row],[Steps]]&gt;99,(G3816+Table13[[#This Row],[Steps]])-100,G3816+Table13[[#This Row],[Steps]]),
))</f>
        <v>0</v>
      </c>
      <c r="G3817">
        <f>IF(Table13[[#This Row],[New Pos L]]&lt;&gt;0,Table13[[#This Row],[New Pos L]],Table13[[#This Row],[New Pos R]])</f>
        <v>0</v>
      </c>
      <c r="H3817">
        <f>IF(AND(Table13[[#This Row],[Direction]]="L",Table13[[#This Row],[Steps]]&gt;G3816,G3816&lt;&gt;0),1,0)</f>
        <v>0</v>
      </c>
      <c r="I3817">
        <f>IF(AND(Table13[[#This Row],[Direction]]="R",(G3816+Table13[[#This Row],[Steps]])&gt;100),1,0)</f>
        <v>0</v>
      </c>
      <c r="J3817">
        <f>IF(Table13[[#This Row],[POS]]=0,1,0)</f>
        <v>1</v>
      </c>
      <c r="K3817">
        <f>SUM(Table13[[#This Row],[prefix]],Table13[[#This Row],[Past zero L]],Table13[[#This Row],[Past Zero R]],Table13[[#This Row],[Is Zero]])</f>
        <v>10</v>
      </c>
    </row>
    <row r="3818" spans="1:11" ht="16" x14ac:dyDescent="0.2">
      <c r="A3818" s="1" t="s">
        <v>802</v>
      </c>
      <c r="B3818" t="str">
        <f>LEFT(Table13[[#This Row],[Input]],1)</f>
        <v>L</v>
      </c>
      <c r="C3818">
        <f>_xlfn.LET(_xlpm.steps,SUBSTITUTE(Table13[[#This Row],[Input]],Table13[[#This Row],[Direction]],""),VALUE(IF(LEN(_xlpm.steps)&gt;2,RIGHT(_xlpm.steps,2),_xlpm.steps)))</f>
        <v>16</v>
      </c>
      <c r="D3818">
        <f>_xlfn.LET(_xlpm.steps,SUBSTITUTE(Table13[[#This Row],[Input]],Table13[[#This Row],[Direction]],""),VALUE(IF(LEN(_xlpm.steps)&gt;2,LEFT(_xlpm.steps,LEN(_xlpm.steps)-2),0)))</f>
        <v>7</v>
      </c>
      <c r="E3818">
        <f>_xlfn.LET(_xlpm.dir,Table13[[#This Row],[Direction]],
IF(_xlpm.dir="L",
    IF(G3817-Table13[[#This Row],[Steps]]&lt;0,100+(G3817-Table13[[#This Row],[Steps]]),G3817-Table13[[#This Row],[Steps]]),
))</f>
        <v>84</v>
      </c>
      <c r="F3818">
        <f>_xlfn.LET(_xlpm.dir,Table13[[#This Row],[Direction]],
IF(_xlpm.dir="R",
    IF(G3817+Table13[[#This Row],[Steps]]&gt;99,(G3817+Table13[[#This Row],[Steps]])-100,G3817+Table13[[#This Row],[Steps]]),
))</f>
        <v>0</v>
      </c>
      <c r="G3818">
        <f>IF(Table13[[#This Row],[New Pos L]]&lt;&gt;0,Table13[[#This Row],[New Pos L]],Table13[[#This Row],[New Pos R]])</f>
        <v>84</v>
      </c>
      <c r="H3818">
        <f>IF(AND(Table13[[#This Row],[Direction]]="L",Table13[[#This Row],[Steps]]&gt;G3817,G3817&lt;&gt;0),1,0)</f>
        <v>0</v>
      </c>
      <c r="I3818">
        <f>IF(AND(Table13[[#This Row],[Direction]]="R",(G3817+Table13[[#This Row],[Steps]])&gt;100),1,0)</f>
        <v>0</v>
      </c>
      <c r="J3818">
        <f>IF(Table13[[#This Row],[POS]]=0,1,0)</f>
        <v>0</v>
      </c>
      <c r="K3818">
        <f>SUM(Table13[[#This Row],[prefix]],Table13[[#This Row],[Past zero L]],Table13[[#This Row],[Past Zero R]],Table13[[#This Row],[Is Zero]])</f>
        <v>7</v>
      </c>
    </row>
    <row r="3819" spans="1:11" ht="16" x14ac:dyDescent="0.2">
      <c r="A3819" s="1" t="s">
        <v>255</v>
      </c>
      <c r="B3819" t="str">
        <f>LEFT(Table13[[#This Row],[Input]],1)</f>
        <v>R</v>
      </c>
      <c r="C3819">
        <f>_xlfn.LET(_xlpm.steps,SUBSTITUTE(Table13[[#This Row],[Input]],Table13[[#This Row],[Direction]],""),VALUE(IF(LEN(_xlpm.steps)&gt;2,RIGHT(_xlpm.steps,2),_xlpm.steps)))</f>
        <v>16</v>
      </c>
      <c r="D3819">
        <f>_xlfn.LET(_xlpm.steps,SUBSTITUTE(Table13[[#This Row],[Input]],Table13[[#This Row],[Direction]],""),VALUE(IF(LEN(_xlpm.steps)&gt;2,LEFT(_xlpm.steps,LEN(_xlpm.steps)-2),0)))</f>
        <v>0</v>
      </c>
      <c r="E3819">
        <f>_xlfn.LET(_xlpm.dir,Table13[[#This Row],[Direction]],
IF(_xlpm.dir="L",
    IF(G3818-Table13[[#This Row],[Steps]]&lt;0,100+(G3818-Table13[[#This Row],[Steps]]),G3818-Table13[[#This Row],[Steps]]),
))</f>
        <v>0</v>
      </c>
      <c r="F3819">
        <f>_xlfn.LET(_xlpm.dir,Table13[[#This Row],[Direction]],
IF(_xlpm.dir="R",
    IF(G3818+Table13[[#This Row],[Steps]]&gt;99,(G3818+Table13[[#This Row],[Steps]])-100,G3818+Table13[[#This Row],[Steps]]),
))</f>
        <v>0</v>
      </c>
      <c r="G3819">
        <f>IF(Table13[[#This Row],[New Pos L]]&lt;&gt;0,Table13[[#This Row],[New Pos L]],Table13[[#This Row],[New Pos R]])</f>
        <v>0</v>
      </c>
      <c r="H3819">
        <f>IF(AND(Table13[[#This Row],[Direction]]="L",Table13[[#This Row],[Steps]]&gt;G3818,G3818&lt;&gt;0),1,0)</f>
        <v>0</v>
      </c>
      <c r="I3819">
        <f>IF(AND(Table13[[#This Row],[Direction]]="R",(G3818+Table13[[#This Row],[Steps]])&gt;100),1,0)</f>
        <v>0</v>
      </c>
      <c r="J3819">
        <f>IF(Table13[[#This Row],[POS]]=0,1,0)</f>
        <v>1</v>
      </c>
      <c r="K3819">
        <f>SUM(Table13[[#This Row],[prefix]],Table13[[#This Row],[Past zero L]],Table13[[#This Row],[Past Zero R]],Table13[[#This Row],[Is Zero]])</f>
        <v>1</v>
      </c>
    </row>
    <row r="3820" spans="1:11" ht="16" x14ac:dyDescent="0.2">
      <c r="A3820" s="1" t="s">
        <v>632</v>
      </c>
      <c r="B3820" t="str">
        <f>LEFT(Table13[[#This Row],[Input]],1)</f>
        <v>L</v>
      </c>
      <c r="C3820">
        <f>_xlfn.LET(_xlpm.steps,SUBSTITUTE(Table13[[#This Row],[Input]],Table13[[#This Row],[Direction]],""),VALUE(IF(LEN(_xlpm.steps)&gt;2,RIGHT(_xlpm.steps,2),_xlpm.steps)))</f>
        <v>89</v>
      </c>
      <c r="D3820">
        <f>_xlfn.LET(_xlpm.steps,SUBSTITUTE(Table13[[#This Row],[Input]],Table13[[#This Row],[Direction]],""),VALUE(IF(LEN(_xlpm.steps)&gt;2,LEFT(_xlpm.steps,LEN(_xlpm.steps)-2),0)))</f>
        <v>8</v>
      </c>
      <c r="E3820">
        <f>_xlfn.LET(_xlpm.dir,Table13[[#This Row],[Direction]],
IF(_xlpm.dir="L",
    IF(G3819-Table13[[#This Row],[Steps]]&lt;0,100+(G3819-Table13[[#This Row],[Steps]]),G3819-Table13[[#This Row],[Steps]]),
))</f>
        <v>11</v>
      </c>
      <c r="F3820">
        <f>_xlfn.LET(_xlpm.dir,Table13[[#This Row],[Direction]],
IF(_xlpm.dir="R",
    IF(G3819+Table13[[#This Row],[Steps]]&gt;99,(G3819+Table13[[#This Row],[Steps]])-100,G3819+Table13[[#This Row],[Steps]]),
))</f>
        <v>0</v>
      </c>
      <c r="G3820">
        <f>IF(Table13[[#This Row],[New Pos L]]&lt;&gt;0,Table13[[#This Row],[New Pos L]],Table13[[#This Row],[New Pos R]])</f>
        <v>11</v>
      </c>
      <c r="H3820">
        <f>IF(AND(Table13[[#This Row],[Direction]]="L",Table13[[#This Row],[Steps]]&gt;G3819,G3819&lt;&gt;0),1,0)</f>
        <v>0</v>
      </c>
      <c r="I3820">
        <f>IF(AND(Table13[[#This Row],[Direction]]="R",(G3819+Table13[[#This Row],[Steps]])&gt;100),1,0)</f>
        <v>0</v>
      </c>
      <c r="J3820">
        <f>IF(Table13[[#This Row],[POS]]=0,1,0)</f>
        <v>0</v>
      </c>
      <c r="K3820">
        <f>SUM(Table13[[#This Row],[prefix]],Table13[[#This Row],[Past zero L]],Table13[[#This Row],[Past Zero R]],Table13[[#This Row],[Is Zero]])</f>
        <v>8</v>
      </c>
    </row>
    <row r="3821" spans="1:11" ht="16" x14ac:dyDescent="0.2">
      <c r="A3821" s="1" t="s">
        <v>110</v>
      </c>
      <c r="B3821" t="str">
        <f>LEFT(Table13[[#This Row],[Input]],1)</f>
        <v>L</v>
      </c>
      <c r="C3821">
        <f>_xlfn.LET(_xlpm.steps,SUBSTITUTE(Table13[[#This Row],[Input]],Table13[[#This Row],[Direction]],""),VALUE(IF(LEN(_xlpm.steps)&gt;2,RIGHT(_xlpm.steps,2),_xlpm.steps)))</f>
        <v>81</v>
      </c>
      <c r="D3821">
        <f>_xlfn.LET(_xlpm.steps,SUBSTITUTE(Table13[[#This Row],[Input]],Table13[[#This Row],[Direction]],""),VALUE(IF(LEN(_xlpm.steps)&gt;2,LEFT(_xlpm.steps,LEN(_xlpm.steps)-2),0)))</f>
        <v>0</v>
      </c>
      <c r="E3821">
        <f>_xlfn.LET(_xlpm.dir,Table13[[#This Row],[Direction]],
IF(_xlpm.dir="L",
    IF(G3820-Table13[[#This Row],[Steps]]&lt;0,100+(G3820-Table13[[#This Row],[Steps]]),G3820-Table13[[#This Row],[Steps]]),
))</f>
        <v>30</v>
      </c>
      <c r="F3821">
        <f>_xlfn.LET(_xlpm.dir,Table13[[#This Row],[Direction]],
IF(_xlpm.dir="R",
    IF(G3820+Table13[[#This Row],[Steps]]&gt;99,(G3820+Table13[[#This Row],[Steps]])-100,G3820+Table13[[#This Row],[Steps]]),
))</f>
        <v>0</v>
      </c>
      <c r="G3821">
        <f>IF(Table13[[#This Row],[New Pos L]]&lt;&gt;0,Table13[[#This Row],[New Pos L]],Table13[[#This Row],[New Pos R]])</f>
        <v>30</v>
      </c>
      <c r="H3821">
        <f>IF(AND(Table13[[#This Row],[Direction]]="L",Table13[[#This Row],[Steps]]&gt;G3820,G3820&lt;&gt;0),1,0)</f>
        <v>1</v>
      </c>
      <c r="I3821">
        <f>IF(AND(Table13[[#This Row],[Direction]]="R",(G3820+Table13[[#This Row],[Steps]])&gt;100),1,0)</f>
        <v>0</v>
      </c>
      <c r="J3821">
        <f>IF(Table13[[#This Row],[POS]]=0,1,0)</f>
        <v>0</v>
      </c>
      <c r="K3821">
        <f>SUM(Table13[[#This Row],[prefix]],Table13[[#This Row],[Past zero L]],Table13[[#This Row],[Past Zero R]],Table13[[#This Row],[Is Zero]])</f>
        <v>1</v>
      </c>
    </row>
    <row r="3822" spans="1:11" ht="16" x14ac:dyDescent="0.2">
      <c r="A3822" s="1" t="s">
        <v>405</v>
      </c>
      <c r="B3822" t="str">
        <f>LEFT(Table13[[#This Row],[Input]],1)</f>
        <v>L</v>
      </c>
      <c r="C3822">
        <f>_xlfn.LET(_xlpm.steps,SUBSTITUTE(Table13[[#This Row],[Input]],Table13[[#This Row],[Direction]],""),VALUE(IF(LEN(_xlpm.steps)&gt;2,RIGHT(_xlpm.steps,2),_xlpm.steps)))</f>
        <v>32</v>
      </c>
      <c r="D3822">
        <f>_xlfn.LET(_xlpm.steps,SUBSTITUTE(Table13[[#This Row],[Input]],Table13[[#This Row],[Direction]],""),VALUE(IF(LEN(_xlpm.steps)&gt;2,LEFT(_xlpm.steps,LEN(_xlpm.steps)-2),0)))</f>
        <v>0</v>
      </c>
      <c r="E3822">
        <f>_xlfn.LET(_xlpm.dir,Table13[[#This Row],[Direction]],
IF(_xlpm.dir="L",
    IF(G3821-Table13[[#This Row],[Steps]]&lt;0,100+(G3821-Table13[[#This Row],[Steps]]),G3821-Table13[[#This Row],[Steps]]),
))</f>
        <v>98</v>
      </c>
      <c r="F3822">
        <f>_xlfn.LET(_xlpm.dir,Table13[[#This Row],[Direction]],
IF(_xlpm.dir="R",
    IF(G3821+Table13[[#This Row],[Steps]]&gt;99,(G3821+Table13[[#This Row],[Steps]])-100,G3821+Table13[[#This Row],[Steps]]),
))</f>
        <v>0</v>
      </c>
      <c r="G3822">
        <f>IF(Table13[[#This Row],[New Pos L]]&lt;&gt;0,Table13[[#This Row],[New Pos L]],Table13[[#This Row],[New Pos R]])</f>
        <v>98</v>
      </c>
      <c r="H3822">
        <f>IF(AND(Table13[[#This Row],[Direction]]="L",Table13[[#This Row],[Steps]]&gt;G3821,G3821&lt;&gt;0),1,0)</f>
        <v>1</v>
      </c>
      <c r="I3822">
        <f>IF(AND(Table13[[#This Row],[Direction]]="R",(G3821+Table13[[#This Row],[Steps]])&gt;100),1,0)</f>
        <v>0</v>
      </c>
      <c r="J3822">
        <f>IF(Table13[[#This Row],[POS]]=0,1,0)</f>
        <v>0</v>
      </c>
      <c r="K3822">
        <f>SUM(Table13[[#This Row],[prefix]],Table13[[#This Row],[Past zero L]],Table13[[#This Row],[Past Zero R]],Table13[[#This Row],[Is Zero]])</f>
        <v>1</v>
      </c>
    </row>
    <row r="3823" spans="1:11" ht="16" x14ac:dyDescent="0.2">
      <c r="A3823" s="1" t="s">
        <v>65</v>
      </c>
      <c r="B3823" t="str">
        <f>LEFT(Table13[[#This Row],[Input]],1)</f>
        <v>L</v>
      </c>
      <c r="C3823">
        <f>_xlfn.LET(_xlpm.steps,SUBSTITUTE(Table13[[#This Row],[Input]],Table13[[#This Row],[Direction]],""),VALUE(IF(LEN(_xlpm.steps)&gt;2,RIGHT(_xlpm.steps,2),_xlpm.steps)))</f>
        <v>19</v>
      </c>
      <c r="D3823">
        <f>_xlfn.LET(_xlpm.steps,SUBSTITUTE(Table13[[#This Row],[Input]],Table13[[#This Row],[Direction]],""),VALUE(IF(LEN(_xlpm.steps)&gt;2,LEFT(_xlpm.steps,LEN(_xlpm.steps)-2),0)))</f>
        <v>0</v>
      </c>
      <c r="E3823">
        <f>_xlfn.LET(_xlpm.dir,Table13[[#This Row],[Direction]],
IF(_xlpm.dir="L",
    IF(G3822-Table13[[#This Row],[Steps]]&lt;0,100+(G3822-Table13[[#This Row],[Steps]]),G3822-Table13[[#This Row],[Steps]]),
))</f>
        <v>79</v>
      </c>
      <c r="F3823">
        <f>_xlfn.LET(_xlpm.dir,Table13[[#This Row],[Direction]],
IF(_xlpm.dir="R",
    IF(G3822+Table13[[#This Row],[Steps]]&gt;99,(G3822+Table13[[#This Row],[Steps]])-100,G3822+Table13[[#This Row],[Steps]]),
))</f>
        <v>0</v>
      </c>
      <c r="G3823">
        <f>IF(Table13[[#This Row],[New Pos L]]&lt;&gt;0,Table13[[#This Row],[New Pos L]],Table13[[#This Row],[New Pos R]])</f>
        <v>79</v>
      </c>
      <c r="H3823">
        <f>IF(AND(Table13[[#This Row],[Direction]]="L",Table13[[#This Row],[Steps]]&gt;G3822,G3822&lt;&gt;0),1,0)</f>
        <v>0</v>
      </c>
      <c r="I3823">
        <f>IF(AND(Table13[[#This Row],[Direction]]="R",(G3822+Table13[[#This Row],[Steps]])&gt;100),1,0)</f>
        <v>0</v>
      </c>
      <c r="J3823">
        <f>IF(Table13[[#This Row],[POS]]=0,1,0)</f>
        <v>0</v>
      </c>
      <c r="K3823">
        <f>SUM(Table13[[#This Row],[prefix]],Table13[[#This Row],[Past zero L]],Table13[[#This Row],[Past Zero R]],Table13[[#This Row],[Is Zero]])</f>
        <v>0</v>
      </c>
    </row>
    <row r="3824" spans="1:11" ht="16" x14ac:dyDescent="0.2">
      <c r="A3824" s="1" t="s">
        <v>145</v>
      </c>
      <c r="B3824" t="str">
        <f>LEFT(Table13[[#This Row],[Input]],1)</f>
        <v>L</v>
      </c>
      <c r="C3824">
        <f>_xlfn.LET(_xlpm.steps,SUBSTITUTE(Table13[[#This Row],[Input]],Table13[[#This Row],[Direction]],""),VALUE(IF(LEN(_xlpm.steps)&gt;2,RIGHT(_xlpm.steps,2),_xlpm.steps)))</f>
        <v>83</v>
      </c>
      <c r="D3824">
        <f>_xlfn.LET(_xlpm.steps,SUBSTITUTE(Table13[[#This Row],[Input]],Table13[[#This Row],[Direction]],""),VALUE(IF(LEN(_xlpm.steps)&gt;2,LEFT(_xlpm.steps,LEN(_xlpm.steps)-2),0)))</f>
        <v>0</v>
      </c>
      <c r="E3824">
        <f>_xlfn.LET(_xlpm.dir,Table13[[#This Row],[Direction]],
IF(_xlpm.dir="L",
    IF(G3823-Table13[[#This Row],[Steps]]&lt;0,100+(G3823-Table13[[#This Row],[Steps]]),G3823-Table13[[#This Row],[Steps]]),
))</f>
        <v>96</v>
      </c>
      <c r="F3824">
        <f>_xlfn.LET(_xlpm.dir,Table13[[#This Row],[Direction]],
IF(_xlpm.dir="R",
    IF(G3823+Table13[[#This Row],[Steps]]&gt;99,(G3823+Table13[[#This Row],[Steps]])-100,G3823+Table13[[#This Row],[Steps]]),
))</f>
        <v>0</v>
      </c>
      <c r="G3824">
        <f>IF(Table13[[#This Row],[New Pos L]]&lt;&gt;0,Table13[[#This Row],[New Pos L]],Table13[[#This Row],[New Pos R]])</f>
        <v>96</v>
      </c>
      <c r="H3824">
        <f>IF(AND(Table13[[#This Row],[Direction]]="L",Table13[[#This Row],[Steps]]&gt;G3823,G3823&lt;&gt;0),1,0)</f>
        <v>1</v>
      </c>
      <c r="I3824">
        <f>IF(AND(Table13[[#This Row],[Direction]]="R",(G3823+Table13[[#This Row],[Steps]])&gt;100),1,0)</f>
        <v>0</v>
      </c>
      <c r="J3824">
        <f>IF(Table13[[#This Row],[POS]]=0,1,0)</f>
        <v>0</v>
      </c>
      <c r="K3824">
        <f>SUM(Table13[[#This Row],[prefix]],Table13[[#This Row],[Past zero L]],Table13[[#This Row],[Past Zero R]],Table13[[#This Row],[Is Zero]])</f>
        <v>1</v>
      </c>
    </row>
    <row r="3825" spans="1:11" ht="16" x14ac:dyDescent="0.2">
      <c r="A3825" s="1" t="s">
        <v>74</v>
      </c>
      <c r="B3825" t="str">
        <f>LEFT(Table13[[#This Row],[Input]],1)</f>
        <v>R</v>
      </c>
      <c r="C3825">
        <f>_xlfn.LET(_xlpm.steps,SUBSTITUTE(Table13[[#This Row],[Input]],Table13[[#This Row],[Direction]],""),VALUE(IF(LEN(_xlpm.steps)&gt;2,RIGHT(_xlpm.steps,2),_xlpm.steps)))</f>
        <v>93</v>
      </c>
      <c r="D3825">
        <f>_xlfn.LET(_xlpm.steps,SUBSTITUTE(Table13[[#This Row],[Input]],Table13[[#This Row],[Direction]],""),VALUE(IF(LEN(_xlpm.steps)&gt;2,LEFT(_xlpm.steps,LEN(_xlpm.steps)-2),0)))</f>
        <v>0</v>
      </c>
      <c r="E3825">
        <f>_xlfn.LET(_xlpm.dir,Table13[[#This Row],[Direction]],
IF(_xlpm.dir="L",
    IF(G3824-Table13[[#This Row],[Steps]]&lt;0,100+(G3824-Table13[[#This Row],[Steps]]),G3824-Table13[[#This Row],[Steps]]),
))</f>
        <v>0</v>
      </c>
      <c r="F3825">
        <f>_xlfn.LET(_xlpm.dir,Table13[[#This Row],[Direction]],
IF(_xlpm.dir="R",
    IF(G3824+Table13[[#This Row],[Steps]]&gt;99,(G3824+Table13[[#This Row],[Steps]])-100,G3824+Table13[[#This Row],[Steps]]),
))</f>
        <v>89</v>
      </c>
      <c r="G3825">
        <f>IF(Table13[[#This Row],[New Pos L]]&lt;&gt;0,Table13[[#This Row],[New Pos L]],Table13[[#This Row],[New Pos R]])</f>
        <v>89</v>
      </c>
      <c r="H3825">
        <f>IF(AND(Table13[[#This Row],[Direction]]="L",Table13[[#This Row],[Steps]]&gt;G3824,G3824&lt;&gt;0),1,0)</f>
        <v>0</v>
      </c>
      <c r="I3825">
        <f>IF(AND(Table13[[#This Row],[Direction]]="R",(G3824+Table13[[#This Row],[Steps]])&gt;100),1,0)</f>
        <v>1</v>
      </c>
      <c r="J3825">
        <f>IF(Table13[[#This Row],[POS]]=0,1,0)</f>
        <v>0</v>
      </c>
      <c r="K3825">
        <f>SUM(Table13[[#This Row],[prefix]],Table13[[#This Row],[Past zero L]],Table13[[#This Row],[Past Zero R]],Table13[[#This Row],[Is Zero]])</f>
        <v>1</v>
      </c>
    </row>
    <row r="3826" spans="1:11" ht="16" x14ac:dyDescent="0.2">
      <c r="A3826" s="1" t="s">
        <v>803</v>
      </c>
      <c r="B3826" t="str">
        <f>LEFT(Table13[[#This Row],[Input]],1)</f>
        <v>L</v>
      </c>
      <c r="C3826">
        <f>_xlfn.LET(_xlpm.steps,SUBSTITUTE(Table13[[#This Row],[Input]],Table13[[#This Row],[Direction]],""),VALUE(IF(LEN(_xlpm.steps)&gt;2,RIGHT(_xlpm.steps,2),_xlpm.steps)))</f>
        <v>33</v>
      </c>
      <c r="D3826">
        <f>_xlfn.LET(_xlpm.steps,SUBSTITUTE(Table13[[#This Row],[Input]],Table13[[#This Row],[Direction]],""),VALUE(IF(LEN(_xlpm.steps)&gt;2,LEFT(_xlpm.steps,LEN(_xlpm.steps)-2),0)))</f>
        <v>2</v>
      </c>
      <c r="E3826">
        <f>_xlfn.LET(_xlpm.dir,Table13[[#This Row],[Direction]],
IF(_xlpm.dir="L",
    IF(G3825-Table13[[#This Row],[Steps]]&lt;0,100+(G3825-Table13[[#This Row],[Steps]]),G3825-Table13[[#This Row],[Steps]]),
))</f>
        <v>56</v>
      </c>
      <c r="F3826">
        <f>_xlfn.LET(_xlpm.dir,Table13[[#This Row],[Direction]],
IF(_xlpm.dir="R",
    IF(G3825+Table13[[#This Row],[Steps]]&gt;99,(G3825+Table13[[#This Row],[Steps]])-100,G3825+Table13[[#This Row],[Steps]]),
))</f>
        <v>0</v>
      </c>
      <c r="G3826">
        <f>IF(Table13[[#This Row],[New Pos L]]&lt;&gt;0,Table13[[#This Row],[New Pos L]],Table13[[#This Row],[New Pos R]])</f>
        <v>56</v>
      </c>
      <c r="H3826">
        <f>IF(AND(Table13[[#This Row],[Direction]]="L",Table13[[#This Row],[Steps]]&gt;G3825,G3825&lt;&gt;0),1,0)</f>
        <v>0</v>
      </c>
      <c r="I3826">
        <f>IF(AND(Table13[[#This Row],[Direction]]="R",(G3825+Table13[[#This Row],[Steps]])&gt;100),1,0)</f>
        <v>0</v>
      </c>
      <c r="J3826">
        <f>IF(Table13[[#This Row],[POS]]=0,1,0)</f>
        <v>0</v>
      </c>
      <c r="K3826">
        <f>SUM(Table13[[#This Row],[prefix]],Table13[[#This Row],[Past zero L]],Table13[[#This Row],[Past Zero R]],Table13[[#This Row],[Is Zero]])</f>
        <v>2</v>
      </c>
    </row>
    <row r="3827" spans="1:11" ht="16" x14ac:dyDescent="0.2">
      <c r="A3827" s="1" t="s">
        <v>53</v>
      </c>
      <c r="B3827" t="str">
        <f>LEFT(Table13[[#This Row],[Input]],1)</f>
        <v>L</v>
      </c>
      <c r="C3827">
        <f>_xlfn.LET(_xlpm.steps,SUBSTITUTE(Table13[[#This Row],[Input]],Table13[[#This Row],[Direction]],""),VALUE(IF(LEN(_xlpm.steps)&gt;2,RIGHT(_xlpm.steps,2),_xlpm.steps)))</f>
        <v>56</v>
      </c>
      <c r="D3827">
        <f>_xlfn.LET(_xlpm.steps,SUBSTITUTE(Table13[[#This Row],[Input]],Table13[[#This Row],[Direction]],""),VALUE(IF(LEN(_xlpm.steps)&gt;2,LEFT(_xlpm.steps,LEN(_xlpm.steps)-2),0)))</f>
        <v>0</v>
      </c>
      <c r="E3827">
        <f>_xlfn.LET(_xlpm.dir,Table13[[#This Row],[Direction]],
IF(_xlpm.dir="L",
    IF(G3826-Table13[[#This Row],[Steps]]&lt;0,100+(G3826-Table13[[#This Row],[Steps]]),G3826-Table13[[#This Row],[Steps]]),
))</f>
        <v>0</v>
      </c>
      <c r="F3827">
        <f>_xlfn.LET(_xlpm.dir,Table13[[#This Row],[Direction]],
IF(_xlpm.dir="R",
    IF(G3826+Table13[[#This Row],[Steps]]&gt;99,(G3826+Table13[[#This Row],[Steps]])-100,G3826+Table13[[#This Row],[Steps]]),
))</f>
        <v>0</v>
      </c>
      <c r="G3827">
        <f>IF(Table13[[#This Row],[New Pos L]]&lt;&gt;0,Table13[[#This Row],[New Pos L]],Table13[[#This Row],[New Pos R]])</f>
        <v>0</v>
      </c>
      <c r="H3827">
        <f>IF(AND(Table13[[#This Row],[Direction]]="L",Table13[[#This Row],[Steps]]&gt;G3826,G3826&lt;&gt;0),1,0)</f>
        <v>0</v>
      </c>
      <c r="I3827">
        <f>IF(AND(Table13[[#This Row],[Direction]]="R",(G3826+Table13[[#This Row],[Steps]])&gt;100),1,0)</f>
        <v>0</v>
      </c>
      <c r="J3827">
        <f>IF(Table13[[#This Row],[POS]]=0,1,0)</f>
        <v>1</v>
      </c>
      <c r="K3827">
        <f>SUM(Table13[[#This Row],[prefix]],Table13[[#This Row],[Past zero L]],Table13[[#This Row],[Past Zero R]],Table13[[#This Row],[Is Zero]])</f>
        <v>1</v>
      </c>
    </row>
    <row r="3828" spans="1:11" ht="16" x14ac:dyDescent="0.2">
      <c r="A3828" s="1" t="s">
        <v>804</v>
      </c>
      <c r="B3828" t="str">
        <f>LEFT(Table13[[#This Row],[Input]],1)</f>
        <v>R</v>
      </c>
      <c r="C3828">
        <f>_xlfn.LET(_xlpm.steps,SUBSTITUTE(Table13[[#This Row],[Input]],Table13[[#This Row],[Direction]],""),VALUE(IF(LEN(_xlpm.steps)&gt;2,RIGHT(_xlpm.steps,2),_xlpm.steps)))</f>
        <v>2</v>
      </c>
      <c r="D3828">
        <f>_xlfn.LET(_xlpm.steps,SUBSTITUTE(Table13[[#This Row],[Input]],Table13[[#This Row],[Direction]],""),VALUE(IF(LEN(_xlpm.steps)&gt;2,LEFT(_xlpm.steps,LEN(_xlpm.steps)-2),0)))</f>
        <v>8</v>
      </c>
      <c r="E3828">
        <f>_xlfn.LET(_xlpm.dir,Table13[[#This Row],[Direction]],
IF(_xlpm.dir="L",
    IF(G3827-Table13[[#This Row],[Steps]]&lt;0,100+(G3827-Table13[[#This Row],[Steps]]),G3827-Table13[[#This Row],[Steps]]),
))</f>
        <v>0</v>
      </c>
      <c r="F3828">
        <f>_xlfn.LET(_xlpm.dir,Table13[[#This Row],[Direction]],
IF(_xlpm.dir="R",
    IF(G3827+Table13[[#This Row],[Steps]]&gt;99,(G3827+Table13[[#This Row],[Steps]])-100,G3827+Table13[[#This Row],[Steps]]),
))</f>
        <v>2</v>
      </c>
      <c r="G3828">
        <f>IF(Table13[[#This Row],[New Pos L]]&lt;&gt;0,Table13[[#This Row],[New Pos L]],Table13[[#This Row],[New Pos R]])</f>
        <v>2</v>
      </c>
      <c r="H3828">
        <f>IF(AND(Table13[[#This Row],[Direction]]="L",Table13[[#This Row],[Steps]]&gt;G3827,G3827&lt;&gt;0),1,0)</f>
        <v>0</v>
      </c>
      <c r="I3828">
        <f>IF(AND(Table13[[#This Row],[Direction]]="R",(G3827+Table13[[#This Row],[Steps]])&gt;100),1,0)</f>
        <v>0</v>
      </c>
      <c r="J3828">
        <f>IF(Table13[[#This Row],[POS]]=0,1,0)</f>
        <v>0</v>
      </c>
      <c r="K3828">
        <f>SUM(Table13[[#This Row],[prefix]],Table13[[#This Row],[Past zero L]],Table13[[#This Row],[Past Zero R]],Table13[[#This Row],[Is Zero]])</f>
        <v>8</v>
      </c>
    </row>
    <row r="3829" spans="1:11" ht="16" x14ac:dyDescent="0.2">
      <c r="A3829" s="1" t="s">
        <v>105</v>
      </c>
      <c r="B3829" t="str">
        <f>LEFT(Table13[[#This Row],[Input]],1)</f>
        <v>R</v>
      </c>
      <c r="C3829">
        <f>_xlfn.LET(_xlpm.steps,SUBSTITUTE(Table13[[#This Row],[Input]],Table13[[#This Row],[Direction]],""),VALUE(IF(LEN(_xlpm.steps)&gt;2,RIGHT(_xlpm.steps,2),_xlpm.steps)))</f>
        <v>98</v>
      </c>
      <c r="D3829">
        <f>_xlfn.LET(_xlpm.steps,SUBSTITUTE(Table13[[#This Row],[Input]],Table13[[#This Row],[Direction]],""),VALUE(IF(LEN(_xlpm.steps)&gt;2,LEFT(_xlpm.steps,LEN(_xlpm.steps)-2),0)))</f>
        <v>0</v>
      </c>
      <c r="E3829">
        <f>_xlfn.LET(_xlpm.dir,Table13[[#This Row],[Direction]],
IF(_xlpm.dir="L",
    IF(G3828-Table13[[#This Row],[Steps]]&lt;0,100+(G3828-Table13[[#This Row],[Steps]]),G3828-Table13[[#This Row],[Steps]]),
))</f>
        <v>0</v>
      </c>
      <c r="F3829">
        <f>_xlfn.LET(_xlpm.dir,Table13[[#This Row],[Direction]],
IF(_xlpm.dir="R",
    IF(G3828+Table13[[#This Row],[Steps]]&gt;99,(G3828+Table13[[#This Row],[Steps]])-100,G3828+Table13[[#This Row],[Steps]]),
))</f>
        <v>0</v>
      </c>
      <c r="G3829">
        <f>IF(Table13[[#This Row],[New Pos L]]&lt;&gt;0,Table13[[#This Row],[New Pos L]],Table13[[#This Row],[New Pos R]])</f>
        <v>0</v>
      </c>
      <c r="H3829">
        <f>IF(AND(Table13[[#This Row],[Direction]]="L",Table13[[#This Row],[Steps]]&gt;G3828,G3828&lt;&gt;0),1,0)</f>
        <v>0</v>
      </c>
      <c r="I3829">
        <f>IF(AND(Table13[[#This Row],[Direction]]="R",(G3828+Table13[[#This Row],[Steps]])&gt;100),1,0)</f>
        <v>0</v>
      </c>
      <c r="J3829">
        <f>IF(Table13[[#This Row],[POS]]=0,1,0)</f>
        <v>1</v>
      </c>
      <c r="K3829">
        <f>SUM(Table13[[#This Row],[prefix]],Table13[[#This Row],[Past zero L]],Table13[[#This Row],[Past Zero R]],Table13[[#This Row],[Is Zero]])</f>
        <v>1</v>
      </c>
    </row>
    <row r="3830" spans="1:11" ht="16" x14ac:dyDescent="0.2">
      <c r="A3830" s="1" t="s">
        <v>805</v>
      </c>
      <c r="B3830" t="str">
        <f>LEFT(Table13[[#This Row],[Input]],1)</f>
        <v>R</v>
      </c>
      <c r="C3830">
        <f>_xlfn.LET(_xlpm.steps,SUBSTITUTE(Table13[[#This Row],[Input]],Table13[[#This Row],[Direction]],""),VALUE(IF(LEN(_xlpm.steps)&gt;2,RIGHT(_xlpm.steps,2),_xlpm.steps)))</f>
        <v>19</v>
      </c>
      <c r="D3830">
        <f>_xlfn.LET(_xlpm.steps,SUBSTITUTE(Table13[[#This Row],[Input]],Table13[[#This Row],[Direction]],""),VALUE(IF(LEN(_xlpm.steps)&gt;2,LEFT(_xlpm.steps,LEN(_xlpm.steps)-2),0)))</f>
        <v>7</v>
      </c>
      <c r="E3830">
        <f>_xlfn.LET(_xlpm.dir,Table13[[#This Row],[Direction]],
IF(_xlpm.dir="L",
    IF(G3829-Table13[[#This Row],[Steps]]&lt;0,100+(G3829-Table13[[#This Row],[Steps]]),G3829-Table13[[#This Row],[Steps]]),
))</f>
        <v>0</v>
      </c>
      <c r="F3830">
        <f>_xlfn.LET(_xlpm.dir,Table13[[#This Row],[Direction]],
IF(_xlpm.dir="R",
    IF(G3829+Table13[[#This Row],[Steps]]&gt;99,(G3829+Table13[[#This Row],[Steps]])-100,G3829+Table13[[#This Row],[Steps]]),
))</f>
        <v>19</v>
      </c>
      <c r="G3830">
        <f>IF(Table13[[#This Row],[New Pos L]]&lt;&gt;0,Table13[[#This Row],[New Pos L]],Table13[[#This Row],[New Pos R]])</f>
        <v>19</v>
      </c>
      <c r="H3830">
        <f>IF(AND(Table13[[#This Row],[Direction]]="L",Table13[[#This Row],[Steps]]&gt;G3829,G3829&lt;&gt;0),1,0)</f>
        <v>0</v>
      </c>
      <c r="I3830">
        <f>IF(AND(Table13[[#This Row],[Direction]]="R",(G3829+Table13[[#This Row],[Steps]])&gt;100),1,0)</f>
        <v>0</v>
      </c>
      <c r="J3830">
        <f>IF(Table13[[#This Row],[POS]]=0,1,0)</f>
        <v>0</v>
      </c>
      <c r="K3830">
        <f>SUM(Table13[[#This Row],[prefix]],Table13[[#This Row],[Past zero L]],Table13[[#This Row],[Past Zero R]],Table13[[#This Row],[Is Zero]])</f>
        <v>7</v>
      </c>
    </row>
    <row r="3831" spans="1:11" ht="16" x14ac:dyDescent="0.2">
      <c r="A3831" s="1" t="s">
        <v>457</v>
      </c>
      <c r="B3831" t="str">
        <f>LEFT(Table13[[#This Row],[Input]],1)</f>
        <v>L</v>
      </c>
      <c r="C3831">
        <f>_xlfn.LET(_xlpm.steps,SUBSTITUTE(Table13[[#This Row],[Input]],Table13[[#This Row],[Direction]],""),VALUE(IF(LEN(_xlpm.steps)&gt;2,RIGHT(_xlpm.steps,2),_xlpm.steps)))</f>
        <v>26</v>
      </c>
      <c r="D3831">
        <f>_xlfn.LET(_xlpm.steps,SUBSTITUTE(Table13[[#This Row],[Input]],Table13[[#This Row],[Direction]],""),VALUE(IF(LEN(_xlpm.steps)&gt;2,LEFT(_xlpm.steps,LEN(_xlpm.steps)-2),0)))</f>
        <v>4</v>
      </c>
      <c r="E3831">
        <f>_xlfn.LET(_xlpm.dir,Table13[[#This Row],[Direction]],
IF(_xlpm.dir="L",
    IF(G3830-Table13[[#This Row],[Steps]]&lt;0,100+(G3830-Table13[[#This Row],[Steps]]),G3830-Table13[[#This Row],[Steps]]),
))</f>
        <v>93</v>
      </c>
      <c r="F3831">
        <f>_xlfn.LET(_xlpm.dir,Table13[[#This Row],[Direction]],
IF(_xlpm.dir="R",
    IF(G3830+Table13[[#This Row],[Steps]]&gt;99,(G3830+Table13[[#This Row],[Steps]])-100,G3830+Table13[[#This Row],[Steps]]),
))</f>
        <v>0</v>
      </c>
      <c r="G3831">
        <f>IF(Table13[[#This Row],[New Pos L]]&lt;&gt;0,Table13[[#This Row],[New Pos L]],Table13[[#This Row],[New Pos R]])</f>
        <v>93</v>
      </c>
      <c r="H3831">
        <f>IF(AND(Table13[[#This Row],[Direction]]="L",Table13[[#This Row],[Steps]]&gt;G3830,G3830&lt;&gt;0),1,0)</f>
        <v>1</v>
      </c>
      <c r="I3831">
        <f>IF(AND(Table13[[#This Row],[Direction]]="R",(G3830+Table13[[#This Row],[Steps]])&gt;100),1,0)</f>
        <v>0</v>
      </c>
      <c r="J3831">
        <f>IF(Table13[[#This Row],[POS]]=0,1,0)</f>
        <v>0</v>
      </c>
      <c r="K3831">
        <f>SUM(Table13[[#This Row],[prefix]],Table13[[#This Row],[Past zero L]],Table13[[#This Row],[Past Zero R]],Table13[[#This Row],[Is Zero]])</f>
        <v>5</v>
      </c>
    </row>
    <row r="3832" spans="1:11" ht="16" x14ac:dyDescent="0.2">
      <c r="A3832" s="1" t="s">
        <v>209</v>
      </c>
      <c r="B3832" t="str">
        <f>LEFT(Table13[[#This Row],[Input]],1)</f>
        <v>L</v>
      </c>
      <c r="C3832">
        <f>_xlfn.LET(_xlpm.steps,SUBSTITUTE(Table13[[#This Row],[Input]],Table13[[#This Row],[Direction]],""),VALUE(IF(LEN(_xlpm.steps)&gt;2,RIGHT(_xlpm.steps,2),_xlpm.steps)))</f>
        <v>86</v>
      </c>
      <c r="D3832">
        <f>_xlfn.LET(_xlpm.steps,SUBSTITUTE(Table13[[#This Row],[Input]],Table13[[#This Row],[Direction]],""),VALUE(IF(LEN(_xlpm.steps)&gt;2,LEFT(_xlpm.steps,LEN(_xlpm.steps)-2),0)))</f>
        <v>0</v>
      </c>
      <c r="E3832">
        <f>_xlfn.LET(_xlpm.dir,Table13[[#This Row],[Direction]],
IF(_xlpm.dir="L",
    IF(G3831-Table13[[#This Row],[Steps]]&lt;0,100+(G3831-Table13[[#This Row],[Steps]]),G3831-Table13[[#This Row],[Steps]]),
))</f>
        <v>7</v>
      </c>
      <c r="F3832">
        <f>_xlfn.LET(_xlpm.dir,Table13[[#This Row],[Direction]],
IF(_xlpm.dir="R",
    IF(G3831+Table13[[#This Row],[Steps]]&gt;99,(G3831+Table13[[#This Row],[Steps]])-100,G3831+Table13[[#This Row],[Steps]]),
))</f>
        <v>0</v>
      </c>
      <c r="G3832">
        <f>IF(Table13[[#This Row],[New Pos L]]&lt;&gt;0,Table13[[#This Row],[New Pos L]],Table13[[#This Row],[New Pos R]])</f>
        <v>7</v>
      </c>
      <c r="H3832">
        <f>IF(AND(Table13[[#This Row],[Direction]]="L",Table13[[#This Row],[Steps]]&gt;G3831,G3831&lt;&gt;0),1,0)</f>
        <v>0</v>
      </c>
      <c r="I3832">
        <f>IF(AND(Table13[[#This Row],[Direction]]="R",(G3831+Table13[[#This Row],[Steps]])&gt;100),1,0)</f>
        <v>0</v>
      </c>
      <c r="J3832">
        <f>IF(Table13[[#This Row],[POS]]=0,1,0)</f>
        <v>0</v>
      </c>
      <c r="K3832">
        <f>SUM(Table13[[#This Row],[prefix]],Table13[[#This Row],[Past zero L]],Table13[[#This Row],[Past Zero R]],Table13[[#This Row],[Is Zero]])</f>
        <v>0</v>
      </c>
    </row>
    <row r="3833" spans="1:11" ht="16" x14ac:dyDescent="0.2">
      <c r="A3833" s="1" t="s">
        <v>179</v>
      </c>
      <c r="B3833" t="str">
        <f>LEFT(Table13[[#This Row],[Input]],1)</f>
        <v>L</v>
      </c>
      <c r="C3833">
        <f>_xlfn.LET(_xlpm.steps,SUBSTITUTE(Table13[[#This Row],[Input]],Table13[[#This Row],[Direction]],""),VALUE(IF(LEN(_xlpm.steps)&gt;2,RIGHT(_xlpm.steps,2),_xlpm.steps)))</f>
        <v>54</v>
      </c>
      <c r="D3833">
        <f>_xlfn.LET(_xlpm.steps,SUBSTITUTE(Table13[[#This Row],[Input]],Table13[[#This Row],[Direction]],""),VALUE(IF(LEN(_xlpm.steps)&gt;2,LEFT(_xlpm.steps,LEN(_xlpm.steps)-2),0)))</f>
        <v>0</v>
      </c>
      <c r="E3833">
        <f>_xlfn.LET(_xlpm.dir,Table13[[#This Row],[Direction]],
IF(_xlpm.dir="L",
    IF(G3832-Table13[[#This Row],[Steps]]&lt;0,100+(G3832-Table13[[#This Row],[Steps]]),G3832-Table13[[#This Row],[Steps]]),
))</f>
        <v>53</v>
      </c>
      <c r="F3833">
        <f>_xlfn.LET(_xlpm.dir,Table13[[#This Row],[Direction]],
IF(_xlpm.dir="R",
    IF(G3832+Table13[[#This Row],[Steps]]&gt;99,(G3832+Table13[[#This Row],[Steps]])-100,G3832+Table13[[#This Row],[Steps]]),
))</f>
        <v>0</v>
      </c>
      <c r="G3833">
        <f>IF(Table13[[#This Row],[New Pos L]]&lt;&gt;0,Table13[[#This Row],[New Pos L]],Table13[[#This Row],[New Pos R]])</f>
        <v>53</v>
      </c>
      <c r="H3833">
        <f>IF(AND(Table13[[#This Row],[Direction]]="L",Table13[[#This Row],[Steps]]&gt;G3832,G3832&lt;&gt;0),1,0)</f>
        <v>1</v>
      </c>
      <c r="I3833">
        <f>IF(AND(Table13[[#This Row],[Direction]]="R",(G3832+Table13[[#This Row],[Steps]])&gt;100),1,0)</f>
        <v>0</v>
      </c>
      <c r="J3833">
        <f>IF(Table13[[#This Row],[POS]]=0,1,0)</f>
        <v>0</v>
      </c>
      <c r="K3833">
        <f>SUM(Table13[[#This Row],[prefix]],Table13[[#This Row],[Past zero L]],Table13[[#This Row],[Past Zero R]],Table13[[#This Row],[Is Zero]])</f>
        <v>1</v>
      </c>
    </row>
    <row r="3834" spans="1:11" ht="16" x14ac:dyDescent="0.2">
      <c r="A3834" s="1" t="s">
        <v>806</v>
      </c>
      <c r="B3834" t="str">
        <f>LEFT(Table13[[#This Row],[Input]],1)</f>
        <v>R</v>
      </c>
      <c r="C3834">
        <f>_xlfn.LET(_xlpm.steps,SUBSTITUTE(Table13[[#This Row],[Input]],Table13[[#This Row],[Direction]],""),VALUE(IF(LEN(_xlpm.steps)&gt;2,RIGHT(_xlpm.steps,2),_xlpm.steps)))</f>
        <v>47</v>
      </c>
      <c r="D3834">
        <f>_xlfn.LET(_xlpm.steps,SUBSTITUTE(Table13[[#This Row],[Input]],Table13[[#This Row],[Direction]],""),VALUE(IF(LEN(_xlpm.steps)&gt;2,LEFT(_xlpm.steps,LEN(_xlpm.steps)-2),0)))</f>
        <v>1</v>
      </c>
      <c r="E3834">
        <f>_xlfn.LET(_xlpm.dir,Table13[[#This Row],[Direction]],
IF(_xlpm.dir="L",
    IF(G3833-Table13[[#This Row],[Steps]]&lt;0,100+(G3833-Table13[[#This Row],[Steps]]),G3833-Table13[[#This Row],[Steps]]),
))</f>
        <v>0</v>
      </c>
      <c r="F3834">
        <f>_xlfn.LET(_xlpm.dir,Table13[[#This Row],[Direction]],
IF(_xlpm.dir="R",
    IF(G3833+Table13[[#This Row],[Steps]]&gt;99,(G3833+Table13[[#This Row],[Steps]])-100,G3833+Table13[[#This Row],[Steps]]),
))</f>
        <v>0</v>
      </c>
      <c r="G3834">
        <f>IF(Table13[[#This Row],[New Pos L]]&lt;&gt;0,Table13[[#This Row],[New Pos L]],Table13[[#This Row],[New Pos R]])</f>
        <v>0</v>
      </c>
      <c r="H3834">
        <f>IF(AND(Table13[[#This Row],[Direction]]="L",Table13[[#This Row],[Steps]]&gt;G3833,G3833&lt;&gt;0),1,0)</f>
        <v>0</v>
      </c>
      <c r="I3834">
        <f>IF(AND(Table13[[#This Row],[Direction]]="R",(G3833+Table13[[#This Row],[Steps]])&gt;100),1,0)</f>
        <v>0</v>
      </c>
      <c r="J3834">
        <f>IF(Table13[[#This Row],[POS]]=0,1,0)</f>
        <v>1</v>
      </c>
      <c r="K3834">
        <f>SUM(Table13[[#This Row],[prefix]],Table13[[#This Row],[Past zero L]],Table13[[#This Row],[Past Zero R]],Table13[[#This Row],[Is Zero]])</f>
        <v>2</v>
      </c>
    </row>
    <row r="3835" spans="1:11" ht="16" x14ac:dyDescent="0.2">
      <c r="A3835" s="1" t="s">
        <v>34</v>
      </c>
      <c r="B3835" t="str">
        <f>LEFT(Table13[[#This Row],[Input]],1)</f>
        <v>L</v>
      </c>
      <c r="C3835">
        <f>_xlfn.LET(_xlpm.steps,SUBSTITUTE(Table13[[#This Row],[Input]],Table13[[#This Row],[Direction]],""),VALUE(IF(LEN(_xlpm.steps)&gt;2,RIGHT(_xlpm.steps,2),_xlpm.steps)))</f>
        <v>15</v>
      </c>
      <c r="D3835">
        <f>_xlfn.LET(_xlpm.steps,SUBSTITUTE(Table13[[#This Row],[Input]],Table13[[#This Row],[Direction]],""),VALUE(IF(LEN(_xlpm.steps)&gt;2,LEFT(_xlpm.steps,LEN(_xlpm.steps)-2),0)))</f>
        <v>0</v>
      </c>
      <c r="E3835">
        <f>_xlfn.LET(_xlpm.dir,Table13[[#This Row],[Direction]],
IF(_xlpm.dir="L",
    IF(G3834-Table13[[#This Row],[Steps]]&lt;0,100+(G3834-Table13[[#This Row],[Steps]]),G3834-Table13[[#This Row],[Steps]]),
))</f>
        <v>85</v>
      </c>
      <c r="F3835">
        <f>_xlfn.LET(_xlpm.dir,Table13[[#This Row],[Direction]],
IF(_xlpm.dir="R",
    IF(G3834+Table13[[#This Row],[Steps]]&gt;99,(G3834+Table13[[#This Row],[Steps]])-100,G3834+Table13[[#This Row],[Steps]]),
))</f>
        <v>0</v>
      </c>
      <c r="G3835">
        <f>IF(Table13[[#This Row],[New Pos L]]&lt;&gt;0,Table13[[#This Row],[New Pos L]],Table13[[#This Row],[New Pos R]])</f>
        <v>85</v>
      </c>
      <c r="H3835">
        <f>IF(AND(Table13[[#This Row],[Direction]]="L",Table13[[#This Row],[Steps]]&gt;G3834,G3834&lt;&gt;0),1,0)</f>
        <v>0</v>
      </c>
      <c r="I3835">
        <f>IF(AND(Table13[[#This Row],[Direction]]="R",(G3834+Table13[[#This Row],[Steps]])&gt;100),1,0)</f>
        <v>0</v>
      </c>
      <c r="J3835">
        <f>IF(Table13[[#This Row],[POS]]=0,1,0)</f>
        <v>0</v>
      </c>
      <c r="K3835">
        <f>SUM(Table13[[#This Row],[prefix]],Table13[[#This Row],[Past zero L]],Table13[[#This Row],[Past Zero R]],Table13[[#This Row],[Is Zero]])</f>
        <v>0</v>
      </c>
    </row>
    <row r="3836" spans="1:11" ht="16" x14ac:dyDescent="0.2">
      <c r="A3836" s="1" t="s">
        <v>126</v>
      </c>
      <c r="B3836" t="str">
        <f>LEFT(Table13[[#This Row],[Input]],1)</f>
        <v>R</v>
      </c>
      <c r="C3836">
        <f>_xlfn.LET(_xlpm.steps,SUBSTITUTE(Table13[[#This Row],[Input]],Table13[[#This Row],[Direction]],""),VALUE(IF(LEN(_xlpm.steps)&gt;2,RIGHT(_xlpm.steps,2),_xlpm.steps)))</f>
        <v>65</v>
      </c>
      <c r="D3836">
        <f>_xlfn.LET(_xlpm.steps,SUBSTITUTE(Table13[[#This Row],[Input]],Table13[[#This Row],[Direction]],""),VALUE(IF(LEN(_xlpm.steps)&gt;2,LEFT(_xlpm.steps,LEN(_xlpm.steps)-2),0)))</f>
        <v>0</v>
      </c>
      <c r="E3836">
        <f>_xlfn.LET(_xlpm.dir,Table13[[#This Row],[Direction]],
IF(_xlpm.dir="L",
    IF(G3835-Table13[[#This Row],[Steps]]&lt;0,100+(G3835-Table13[[#This Row],[Steps]]),G3835-Table13[[#This Row],[Steps]]),
))</f>
        <v>0</v>
      </c>
      <c r="F3836">
        <f>_xlfn.LET(_xlpm.dir,Table13[[#This Row],[Direction]],
IF(_xlpm.dir="R",
    IF(G3835+Table13[[#This Row],[Steps]]&gt;99,(G3835+Table13[[#This Row],[Steps]])-100,G3835+Table13[[#This Row],[Steps]]),
))</f>
        <v>50</v>
      </c>
      <c r="G3836">
        <f>IF(Table13[[#This Row],[New Pos L]]&lt;&gt;0,Table13[[#This Row],[New Pos L]],Table13[[#This Row],[New Pos R]])</f>
        <v>50</v>
      </c>
      <c r="H3836">
        <f>IF(AND(Table13[[#This Row],[Direction]]="L",Table13[[#This Row],[Steps]]&gt;G3835,G3835&lt;&gt;0),1,0)</f>
        <v>0</v>
      </c>
      <c r="I3836">
        <f>IF(AND(Table13[[#This Row],[Direction]]="R",(G3835+Table13[[#This Row],[Steps]])&gt;100),1,0)</f>
        <v>1</v>
      </c>
      <c r="J3836">
        <f>IF(Table13[[#This Row],[POS]]=0,1,0)</f>
        <v>0</v>
      </c>
      <c r="K3836">
        <f>SUM(Table13[[#This Row],[prefix]],Table13[[#This Row],[Past zero L]],Table13[[#This Row],[Past Zero R]],Table13[[#This Row],[Is Zero]])</f>
        <v>1</v>
      </c>
    </row>
    <row r="3837" spans="1:11" ht="16" x14ac:dyDescent="0.2">
      <c r="A3837" s="1" t="s">
        <v>36</v>
      </c>
      <c r="B3837" t="str">
        <f>LEFT(Table13[[#This Row],[Input]],1)</f>
        <v>R</v>
      </c>
      <c r="C3837">
        <f>_xlfn.LET(_xlpm.steps,SUBSTITUTE(Table13[[#This Row],[Input]],Table13[[#This Row],[Direction]],""),VALUE(IF(LEN(_xlpm.steps)&gt;2,RIGHT(_xlpm.steps,2),_xlpm.steps)))</f>
        <v>50</v>
      </c>
      <c r="D3837">
        <f>_xlfn.LET(_xlpm.steps,SUBSTITUTE(Table13[[#This Row],[Input]],Table13[[#This Row],[Direction]],""),VALUE(IF(LEN(_xlpm.steps)&gt;2,LEFT(_xlpm.steps,LEN(_xlpm.steps)-2),0)))</f>
        <v>0</v>
      </c>
      <c r="E3837">
        <f>_xlfn.LET(_xlpm.dir,Table13[[#This Row],[Direction]],
IF(_xlpm.dir="L",
    IF(G3836-Table13[[#This Row],[Steps]]&lt;0,100+(G3836-Table13[[#This Row],[Steps]]),G3836-Table13[[#This Row],[Steps]]),
))</f>
        <v>0</v>
      </c>
      <c r="F3837">
        <f>_xlfn.LET(_xlpm.dir,Table13[[#This Row],[Direction]],
IF(_xlpm.dir="R",
    IF(G3836+Table13[[#This Row],[Steps]]&gt;99,(G3836+Table13[[#This Row],[Steps]])-100,G3836+Table13[[#This Row],[Steps]]),
))</f>
        <v>0</v>
      </c>
      <c r="G3837">
        <f>IF(Table13[[#This Row],[New Pos L]]&lt;&gt;0,Table13[[#This Row],[New Pos L]],Table13[[#This Row],[New Pos R]])</f>
        <v>0</v>
      </c>
      <c r="H3837">
        <f>IF(AND(Table13[[#This Row],[Direction]]="L",Table13[[#This Row],[Steps]]&gt;G3836,G3836&lt;&gt;0),1,0)</f>
        <v>0</v>
      </c>
      <c r="I3837">
        <f>IF(AND(Table13[[#This Row],[Direction]]="R",(G3836+Table13[[#This Row],[Steps]])&gt;100),1,0)</f>
        <v>0</v>
      </c>
      <c r="J3837">
        <f>IF(Table13[[#This Row],[POS]]=0,1,0)</f>
        <v>1</v>
      </c>
      <c r="K3837">
        <f>SUM(Table13[[#This Row],[prefix]],Table13[[#This Row],[Past zero L]],Table13[[#This Row],[Past Zero R]],Table13[[#This Row],[Is Zero]])</f>
        <v>1</v>
      </c>
    </row>
    <row r="3838" spans="1:11" ht="16" x14ac:dyDescent="0.2">
      <c r="A3838" s="1" t="s">
        <v>807</v>
      </c>
      <c r="B3838" t="str">
        <f>LEFT(Table13[[#This Row],[Input]],1)</f>
        <v>L</v>
      </c>
      <c r="C3838">
        <f>_xlfn.LET(_xlpm.steps,SUBSTITUTE(Table13[[#This Row],[Input]],Table13[[#This Row],[Direction]],""),VALUE(IF(LEN(_xlpm.steps)&gt;2,RIGHT(_xlpm.steps,2),_xlpm.steps)))</f>
        <v>19</v>
      </c>
      <c r="D3838">
        <f>_xlfn.LET(_xlpm.steps,SUBSTITUTE(Table13[[#This Row],[Input]],Table13[[#This Row],[Direction]],""),VALUE(IF(LEN(_xlpm.steps)&gt;2,LEFT(_xlpm.steps,LEN(_xlpm.steps)-2),0)))</f>
        <v>4</v>
      </c>
      <c r="E3838">
        <f>_xlfn.LET(_xlpm.dir,Table13[[#This Row],[Direction]],
IF(_xlpm.dir="L",
    IF(G3837-Table13[[#This Row],[Steps]]&lt;0,100+(G3837-Table13[[#This Row],[Steps]]),G3837-Table13[[#This Row],[Steps]]),
))</f>
        <v>81</v>
      </c>
      <c r="F3838">
        <f>_xlfn.LET(_xlpm.dir,Table13[[#This Row],[Direction]],
IF(_xlpm.dir="R",
    IF(G3837+Table13[[#This Row],[Steps]]&gt;99,(G3837+Table13[[#This Row],[Steps]])-100,G3837+Table13[[#This Row],[Steps]]),
))</f>
        <v>0</v>
      </c>
      <c r="G3838">
        <f>IF(Table13[[#This Row],[New Pos L]]&lt;&gt;0,Table13[[#This Row],[New Pos L]],Table13[[#This Row],[New Pos R]])</f>
        <v>81</v>
      </c>
      <c r="H3838">
        <f>IF(AND(Table13[[#This Row],[Direction]]="L",Table13[[#This Row],[Steps]]&gt;G3837,G3837&lt;&gt;0),1,0)</f>
        <v>0</v>
      </c>
      <c r="I3838">
        <f>IF(AND(Table13[[#This Row],[Direction]]="R",(G3837+Table13[[#This Row],[Steps]])&gt;100),1,0)</f>
        <v>0</v>
      </c>
      <c r="J3838">
        <f>IF(Table13[[#This Row],[POS]]=0,1,0)</f>
        <v>0</v>
      </c>
      <c r="K3838">
        <f>SUM(Table13[[#This Row],[prefix]],Table13[[#This Row],[Past zero L]],Table13[[#This Row],[Past Zero R]],Table13[[#This Row],[Is Zero]])</f>
        <v>4</v>
      </c>
    </row>
    <row r="3839" spans="1:11" ht="16" x14ac:dyDescent="0.2">
      <c r="A3839" s="1" t="s">
        <v>57</v>
      </c>
      <c r="B3839" t="str">
        <f>LEFT(Table13[[#This Row],[Input]],1)</f>
        <v>R</v>
      </c>
      <c r="C3839">
        <f>_xlfn.LET(_xlpm.steps,SUBSTITUTE(Table13[[#This Row],[Input]],Table13[[#This Row],[Direction]],""),VALUE(IF(LEN(_xlpm.steps)&gt;2,RIGHT(_xlpm.steps,2),_xlpm.steps)))</f>
        <v>29</v>
      </c>
      <c r="D3839">
        <f>_xlfn.LET(_xlpm.steps,SUBSTITUTE(Table13[[#This Row],[Input]],Table13[[#This Row],[Direction]],""),VALUE(IF(LEN(_xlpm.steps)&gt;2,LEFT(_xlpm.steps,LEN(_xlpm.steps)-2),0)))</f>
        <v>0</v>
      </c>
      <c r="E3839">
        <f>_xlfn.LET(_xlpm.dir,Table13[[#This Row],[Direction]],
IF(_xlpm.dir="L",
    IF(G3838-Table13[[#This Row],[Steps]]&lt;0,100+(G3838-Table13[[#This Row],[Steps]]),G3838-Table13[[#This Row],[Steps]]),
))</f>
        <v>0</v>
      </c>
      <c r="F3839">
        <f>_xlfn.LET(_xlpm.dir,Table13[[#This Row],[Direction]],
IF(_xlpm.dir="R",
    IF(G3838+Table13[[#This Row],[Steps]]&gt;99,(G3838+Table13[[#This Row],[Steps]])-100,G3838+Table13[[#This Row],[Steps]]),
))</f>
        <v>10</v>
      </c>
      <c r="G3839">
        <f>IF(Table13[[#This Row],[New Pos L]]&lt;&gt;0,Table13[[#This Row],[New Pos L]],Table13[[#This Row],[New Pos R]])</f>
        <v>10</v>
      </c>
      <c r="H3839">
        <f>IF(AND(Table13[[#This Row],[Direction]]="L",Table13[[#This Row],[Steps]]&gt;G3838,G3838&lt;&gt;0),1,0)</f>
        <v>0</v>
      </c>
      <c r="I3839">
        <f>IF(AND(Table13[[#This Row],[Direction]]="R",(G3838+Table13[[#This Row],[Steps]])&gt;100),1,0)</f>
        <v>1</v>
      </c>
      <c r="J3839">
        <f>IF(Table13[[#This Row],[POS]]=0,1,0)</f>
        <v>0</v>
      </c>
      <c r="K3839">
        <f>SUM(Table13[[#This Row],[prefix]],Table13[[#This Row],[Past zero L]],Table13[[#This Row],[Past Zero R]],Table13[[#This Row],[Is Zero]])</f>
        <v>1</v>
      </c>
    </row>
    <row r="3840" spans="1:11" ht="16" x14ac:dyDescent="0.2">
      <c r="A3840" s="1" t="s">
        <v>174</v>
      </c>
      <c r="B3840" t="str">
        <f>LEFT(Table13[[#This Row],[Input]],1)</f>
        <v>L</v>
      </c>
      <c r="C3840">
        <f>_xlfn.LET(_xlpm.steps,SUBSTITUTE(Table13[[#This Row],[Input]],Table13[[#This Row],[Direction]],""),VALUE(IF(LEN(_xlpm.steps)&gt;2,RIGHT(_xlpm.steps,2),_xlpm.steps)))</f>
        <v>92</v>
      </c>
      <c r="D3840">
        <f>_xlfn.LET(_xlpm.steps,SUBSTITUTE(Table13[[#This Row],[Input]],Table13[[#This Row],[Direction]],""),VALUE(IF(LEN(_xlpm.steps)&gt;2,LEFT(_xlpm.steps,LEN(_xlpm.steps)-2),0)))</f>
        <v>0</v>
      </c>
      <c r="E3840">
        <f>_xlfn.LET(_xlpm.dir,Table13[[#This Row],[Direction]],
IF(_xlpm.dir="L",
    IF(G3839-Table13[[#This Row],[Steps]]&lt;0,100+(G3839-Table13[[#This Row],[Steps]]),G3839-Table13[[#This Row],[Steps]]),
))</f>
        <v>18</v>
      </c>
      <c r="F3840">
        <f>_xlfn.LET(_xlpm.dir,Table13[[#This Row],[Direction]],
IF(_xlpm.dir="R",
    IF(G3839+Table13[[#This Row],[Steps]]&gt;99,(G3839+Table13[[#This Row],[Steps]])-100,G3839+Table13[[#This Row],[Steps]]),
))</f>
        <v>0</v>
      </c>
      <c r="G3840">
        <f>IF(Table13[[#This Row],[New Pos L]]&lt;&gt;0,Table13[[#This Row],[New Pos L]],Table13[[#This Row],[New Pos R]])</f>
        <v>18</v>
      </c>
      <c r="H3840">
        <f>IF(AND(Table13[[#This Row],[Direction]]="L",Table13[[#This Row],[Steps]]&gt;G3839,G3839&lt;&gt;0),1,0)</f>
        <v>1</v>
      </c>
      <c r="I3840">
        <f>IF(AND(Table13[[#This Row],[Direction]]="R",(G3839+Table13[[#This Row],[Steps]])&gt;100),1,0)</f>
        <v>0</v>
      </c>
      <c r="J3840">
        <f>IF(Table13[[#This Row],[POS]]=0,1,0)</f>
        <v>0</v>
      </c>
      <c r="K3840">
        <f>SUM(Table13[[#This Row],[prefix]],Table13[[#This Row],[Past zero L]],Table13[[#This Row],[Past Zero R]],Table13[[#This Row],[Is Zero]])</f>
        <v>1</v>
      </c>
    </row>
    <row r="3841" spans="1:11" ht="16" x14ac:dyDescent="0.2">
      <c r="A3841" s="1" t="s">
        <v>31</v>
      </c>
      <c r="B3841" t="str">
        <f>LEFT(Table13[[#This Row],[Input]],1)</f>
        <v>L</v>
      </c>
      <c r="C3841">
        <f>_xlfn.LET(_xlpm.steps,SUBSTITUTE(Table13[[#This Row],[Input]],Table13[[#This Row],[Direction]],""),VALUE(IF(LEN(_xlpm.steps)&gt;2,RIGHT(_xlpm.steps,2),_xlpm.steps)))</f>
        <v>13</v>
      </c>
      <c r="D3841">
        <f>_xlfn.LET(_xlpm.steps,SUBSTITUTE(Table13[[#This Row],[Input]],Table13[[#This Row],[Direction]],""),VALUE(IF(LEN(_xlpm.steps)&gt;2,LEFT(_xlpm.steps,LEN(_xlpm.steps)-2),0)))</f>
        <v>0</v>
      </c>
      <c r="E3841">
        <f>_xlfn.LET(_xlpm.dir,Table13[[#This Row],[Direction]],
IF(_xlpm.dir="L",
    IF(G3840-Table13[[#This Row],[Steps]]&lt;0,100+(G3840-Table13[[#This Row],[Steps]]),G3840-Table13[[#This Row],[Steps]]),
))</f>
        <v>5</v>
      </c>
      <c r="F3841">
        <f>_xlfn.LET(_xlpm.dir,Table13[[#This Row],[Direction]],
IF(_xlpm.dir="R",
    IF(G3840+Table13[[#This Row],[Steps]]&gt;99,(G3840+Table13[[#This Row],[Steps]])-100,G3840+Table13[[#This Row],[Steps]]),
))</f>
        <v>0</v>
      </c>
      <c r="G3841">
        <f>IF(Table13[[#This Row],[New Pos L]]&lt;&gt;0,Table13[[#This Row],[New Pos L]],Table13[[#This Row],[New Pos R]])</f>
        <v>5</v>
      </c>
      <c r="H3841">
        <f>IF(AND(Table13[[#This Row],[Direction]]="L",Table13[[#This Row],[Steps]]&gt;G3840,G3840&lt;&gt;0),1,0)</f>
        <v>0</v>
      </c>
      <c r="I3841">
        <f>IF(AND(Table13[[#This Row],[Direction]]="R",(G3840+Table13[[#This Row],[Steps]])&gt;100),1,0)</f>
        <v>0</v>
      </c>
      <c r="J3841">
        <f>IF(Table13[[#This Row],[POS]]=0,1,0)</f>
        <v>0</v>
      </c>
      <c r="K3841">
        <f>SUM(Table13[[#This Row],[prefix]],Table13[[#This Row],[Past zero L]],Table13[[#This Row],[Past Zero R]],Table13[[#This Row],[Is Zero]])</f>
        <v>0</v>
      </c>
    </row>
    <row r="3842" spans="1:11" ht="16" x14ac:dyDescent="0.2">
      <c r="A3842" s="1" t="s">
        <v>21</v>
      </c>
      <c r="B3842" t="str">
        <f>LEFT(Table13[[#This Row],[Input]],1)</f>
        <v>L</v>
      </c>
      <c r="C3842">
        <f>_xlfn.LET(_xlpm.steps,SUBSTITUTE(Table13[[#This Row],[Input]],Table13[[#This Row],[Direction]],""),VALUE(IF(LEN(_xlpm.steps)&gt;2,RIGHT(_xlpm.steps,2),_xlpm.steps)))</f>
        <v>36</v>
      </c>
      <c r="D3842">
        <f>_xlfn.LET(_xlpm.steps,SUBSTITUTE(Table13[[#This Row],[Input]],Table13[[#This Row],[Direction]],""),VALUE(IF(LEN(_xlpm.steps)&gt;2,LEFT(_xlpm.steps,LEN(_xlpm.steps)-2),0)))</f>
        <v>0</v>
      </c>
      <c r="E3842">
        <f>_xlfn.LET(_xlpm.dir,Table13[[#This Row],[Direction]],
IF(_xlpm.dir="L",
    IF(G3841-Table13[[#This Row],[Steps]]&lt;0,100+(G3841-Table13[[#This Row],[Steps]]),G3841-Table13[[#This Row],[Steps]]),
))</f>
        <v>69</v>
      </c>
      <c r="F3842">
        <f>_xlfn.LET(_xlpm.dir,Table13[[#This Row],[Direction]],
IF(_xlpm.dir="R",
    IF(G3841+Table13[[#This Row],[Steps]]&gt;99,(G3841+Table13[[#This Row],[Steps]])-100,G3841+Table13[[#This Row],[Steps]]),
))</f>
        <v>0</v>
      </c>
      <c r="G3842">
        <f>IF(Table13[[#This Row],[New Pos L]]&lt;&gt;0,Table13[[#This Row],[New Pos L]],Table13[[#This Row],[New Pos R]])</f>
        <v>69</v>
      </c>
      <c r="H3842">
        <f>IF(AND(Table13[[#This Row],[Direction]]="L",Table13[[#This Row],[Steps]]&gt;G3841,G3841&lt;&gt;0),1,0)</f>
        <v>1</v>
      </c>
      <c r="I3842">
        <f>IF(AND(Table13[[#This Row],[Direction]]="R",(G3841+Table13[[#This Row],[Steps]])&gt;100),1,0)</f>
        <v>0</v>
      </c>
      <c r="J3842">
        <f>IF(Table13[[#This Row],[POS]]=0,1,0)</f>
        <v>0</v>
      </c>
      <c r="K3842">
        <f>SUM(Table13[[#This Row],[prefix]],Table13[[#This Row],[Past zero L]],Table13[[#This Row],[Past Zero R]],Table13[[#This Row],[Is Zero]])</f>
        <v>1</v>
      </c>
    </row>
    <row r="3843" spans="1:11" ht="16" x14ac:dyDescent="0.2">
      <c r="A3843" s="1" t="s">
        <v>774</v>
      </c>
      <c r="B3843" t="str">
        <f>LEFT(Table13[[#This Row],[Input]],1)</f>
        <v>R</v>
      </c>
      <c r="C3843">
        <f>_xlfn.LET(_xlpm.steps,SUBSTITUTE(Table13[[#This Row],[Input]],Table13[[#This Row],[Direction]],""),VALUE(IF(LEN(_xlpm.steps)&gt;2,RIGHT(_xlpm.steps,2),_xlpm.steps)))</f>
        <v>31</v>
      </c>
      <c r="D3843">
        <f>_xlfn.LET(_xlpm.steps,SUBSTITUTE(Table13[[#This Row],[Input]],Table13[[#This Row],[Direction]],""),VALUE(IF(LEN(_xlpm.steps)&gt;2,LEFT(_xlpm.steps,LEN(_xlpm.steps)-2),0)))</f>
        <v>3</v>
      </c>
      <c r="E3843">
        <f>_xlfn.LET(_xlpm.dir,Table13[[#This Row],[Direction]],
IF(_xlpm.dir="L",
    IF(G3842-Table13[[#This Row],[Steps]]&lt;0,100+(G3842-Table13[[#This Row],[Steps]]),G3842-Table13[[#This Row],[Steps]]),
))</f>
        <v>0</v>
      </c>
      <c r="F3843">
        <f>_xlfn.LET(_xlpm.dir,Table13[[#This Row],[Direction]],
IF(_xlpm.dir="R",
    IF(G3842+Table13[[#This Row],[Steps]]&gt;99,(G3842+Table13[[#This Row],[Steps]])-100,G3842+Table13[[#This Row],[Steps]]),
))</f>
        <v>0</v>
      </c>
      <c r="G3843">
        <f>IF(Table13[[#This Row],[New Pos L]]&lt;&gt;0,Table13[[#This Row],[New Pos L]],Table13[[#This Row],[New Pos R]])</f>
        <v>0</v>
      </c>
      <c r="H3843">
        <f>IF(AND(Table13[[#This Row],[Direction]]="L",Table13[[#This Row],[Steps]]&gt;G3842,G3842&lt;&gt;0),1,0)</f>
        <v>0</v>
      </c>
      <c r="I3843">
        <f>IF(AND(Table13[[#This Row],[Direction]]="R",(G3842+Table13[[#This Row],[Steps]])&gt;100),1,0)</f>
        <v>0</v>
      </c>
      <c r="J3843">
        <f>IF(Table13[[#This Row],[POS]]=0,1,0)</f>
        <v>1</v>
      </c>
      <c r="K3843">
        <f>SUM(Table13[[#This Row],[prefix]],Table13[[#This Row],[Past zero L]],Table13[[#This Row],[Past Zero R]],Table13[[#This Row],[Is Zero]])</f>
        <v>4</v>
      </c>
    </row>
    <row r="3844" spans="1:11" ht="16" x14ac:dyDescent="0.2">
      <c r="A3844" s="1" t="s">
        <v>808</v>
      </c>
      <c r="B3844" t="str">
        <f>LEFT(Table13[[#This Row],[Input]],1)</f>
        <v>R</v>
      </c>
      <c r="C3844">
        <f>_xlfn.LET(_xlpm.steps,SUBSTITUTE(Table13[[#This Row],[Input]],Table13[[#This Row],[Direction]],""),VALUE(IF(LEN(_xlpm.steps)&gt;2,RIGHT(_xlpm.steps,2),_xlpm.steps)))</f>
        <v>65</v>
      </c>
      <c r="D3844">
        <f>_xlfn.LET(_xlpm.steps,SUBSTITUTE(Table13[[#This Row],[Input]],Table13[[#This Row],[Direction]],""),VALUE(IF(LEN(_xlpm.steps)&gt;2,LEFT(_xlpm.steps,LEN(_xlpm.steps)-2),0)))</f>
        <v>5</v>
      </c>
      <c r="E3844">
        <f>_xlfn.LET(_xlpm.dir,Table13[[#This Row],[Direction]],
IF(_xlpm.dir="L",
    IF(G3843-Table13[[#This Row],[Steps]]&lt;0,100+(G3843-Table13[[#This Row],[Steps]]),G3843-Table13[[#This Row],[Steps]]),
))</f>
        <v>0</v>
      </c>
      <c r="F3844">
        <f>_xlfn.LET(_xlpm.dir,Table13[[#This Row],[Direction]],
IF(_xlpm.dir="R",
    IF(G3843+Table13[[#This Row],[Steps]]&gt;99,(G3843+Table13[[#This Row],[Steps]])-100,G3843+Table13[[#This Row],[Steps]]),
))</f>
        <v>65</v>
      </c>
      <c r="G3844">
        <f>IF(Table13[[#This Row],[New Pos L]]&lt;&gt;0,Table13[[#This Row],[New Pos L]],Table13[[#This Row],[New Pos R]])</f>
        <v>65</v>
      </c>
      <c r="H3844">
        <f>IF(AND(Table13[[#This Row],[Direction]]="L",Table13[[#This Row],[Steps]]&gt;G3843,G3843&lt;&gt;0),1,0)</f>
        <v>0</v>
      </c>
      <c r="I3844">
        <f>IF(AND(Table13[[#This Row],[Direction]]="R",(G3843+Table13[[#This Row],[Steps]])&gt;100),1,0)</f>
        <v>0</v>
      </c>
      <c r="J3844">
        <f>IF(Table13[[#This Row],[POS]]=0,1,0)</f>
        <v>0</v>
      </c>
      <c r="K3844">
        <f>SUM(Table13[[#This Row],[prefix]],Table13[[#This Row],[Past zero L]],Table13[[#This Row],[Past Zero R]],Table13[[#This Row],[Is Zero]])</f>
        <v>5</v>
      </c>
    </row>
    <row r="3845" spans="1:11" ht="16" x14ac:dyDescent="0.2">
      <c r="A3845" s="1" t="s">
        <v>98</v>
      </c>
      <c r="B3845" t="str">
        <f>LEFT(Table13[[#This Row],[Input]],1)</f>
        <v>L</v>
      </c>
      <c r="C3845">
        <f>_xlfn.LET(_xlpm.steps,SUBSTITUTE(Table13[[#This Row],[Input]],Table13[[#This Row],[Direction]],""),VALUE(IF(LEN(_xlpm.steps)&gt;2,RIGHT(_xlpm.steps,2),_xlpm.steps)))</f>
        <v>65</v>
      </c>
      <c r="D3845">
        <f>_xlfn.LET(_xlpm.steps,SUBSTITUTE(Table13[[#This Row],[Input]],Table13[[#This Row],[Direction]],""),VALUE(IF(LEN(_xlpm.steps)&gt;2,LEFT(_xlpm.steps,LEN(_xlpm.steps)-2),0)))</f>
        <v>0</v>
      </c>
      <c r="E3845">
        <f>_xlfn.LET(_xlpm.dir,Table13[[#This Row],[Direction]],
IF(_xlpm.dir="L",
    IF(G3844-Table13[[#This Row],[Steps]]&lt;0,100+(G3844-Table13[[#This Row],[Steps]]),G3844-Table13[[#This Row],[Steps]]),
))</f>
        <v>0</v>
      </c>
      <c r="F3845">
        <f>_xlfn.LET(_xlpm.dir,Table13[[#This Row],[Direction]],
IF(_xlpm.dir="R",
    IF(G3844+Table13[[#This Row],[Steps]]&gt;99,(G3844+Table13[[#This Row],[Steps]])-100,G3844+Table13[[#This Row],[Steps]]),
))</f>
        <v>0</v>
      </c>
      <c r="G3845">
        <f>IF(Table13[[#This Row],[New Pos L]]&lt;&gt;0,Table13[[#This Row],[New Pos L]],Table13[[#This Row],[New Pos R]])</f>
        <v>0</v>
      </c>
      <c r="H3845">
        <f>IF(AND(Table13[[#This Row],[Direction]]="L",Table13[[#This Row],[Steps]]&gt;G3844,G3844&lt;&gt;0),1,0)</f>
        <v>0</v>
      </c>
      <c r="I3845">
        <f>IF(AND(Table13[[#This Row],[Direction]]="R",(G3844+Table13[[#This Row],[Steps]])&gt;100),1,0)</f>
        <v>0</v>
      </c>
      <c r="J3845">
        <f>IF(Table13[[#This Row],[POS]]=0,1,0)</f>
        <v>1</v>
      </c>
      <c r="K3845">
        <f>SUM(Table13[[#This Row],[prefix]],Table13[[#This Row],[Past zero L]],Table13[[#This Row],[Past Zero R]],Table13[[#This Row],[Is Zero]])</f>
        <v>1</v>
      </c>
    </row>
    <row r="3846" spans="1:11" ht="16" x14ac:dyDescent="0.2">
      <c r="A3846" s="1" t="s">
        <v>319</v>
      </c>
      <c r="B3846" t="str">
        <f>LEFT(Table13[[#This Row],[Input]],1)</f>
        <v>L</v>
      </c>
      <c r="C3846">
        <f>_xlfn.LET(_xlpm.steps,SUBSTITUTE(Table13[[#This Row],[Input]],Table13[[#This Row],[Direction]],""),VALUE(IF(LEN(_xlpm.steps)&gt;2,RIGHT(_xlpm.steps,2),_xlpm.steps)))</f>
        <v>79</v>
      </c>
      <c r="D3846">
        <f>_xlfn.LET(_xlpm.steps,SUBSTITUTE(Table13[[#This Row],[Input]],Table13[[#This Row],[Direction]],""),VALUE(IF(LEN(_xlpm.steps)&gt;2,LEFT(_xlpm.steps,LEN(_xlpm.steps)-2),0)))</f>
        <v>0</v>
      </c>
      <c r="E3846">
        <f>_xlfn.LET(_xlpm.dir,Table13[[#This Row],[Direction]],
IF(_xlpm.dir="L",
    IF(G3845-Table13[[#This Row],[Steps]]&lt;0,100+(G3845-Table13[[#This Row],[Steps]]),G3845-Table13[[#This Row],[Steps]]),
))</f>
        <v>21</v>
      </c>
      <c r="F3846">
        <f>_xlfn.LET(_xlpm.dir,Table13[[#This Row],[Direction]],
IF(_xlpm.dir="R",
    IF(G3845+Table13[[#This Row],[Steps]]&gt;99,(G3845+Table13[[#This Row],[Steps]])-100,G3845+Table13[[#This Row],[Steps]]),
))</f>
        <v>0</v>
      </c>
      <c r="G3846">
        <f>IF(Table13[[#This Row],[New Pos L]]&lt;&gt;0,Table13[[#This Row],[New Pos L]],Table13[[#This Row],[New Pos R]])</f>
        <v>21</v>
      </c>
      <c r="H3846">
        <f>IF(AND(Table13[[#This Row],[Direction]]="L",Table13[[#This Row],[Steps]]&gt;G3845,G3845&lt;&gt;0),1,0)</f>
        <v>0</v>
      </c>
      <c r="I3846">
        <f>IF(AND(Table13[[#This Row],[Direction]]="R",(G3845+Table13[[#This Row],[Steps]])&gt;100),1,0)</f>
        <v>0</v>
      </c>
      <c r="J3846">
        <f>IF(Table13[[#This Row],[POS]]=0,1,0)</f>
        <v>0</v>
      </c>
      <c r="K3846">
        <f>SUM(Table13[[#This Row],[prefix]],Table13[[#This Row],[Past zero L]],Table13[[#This Row],[Past Zero R]],Table13[[#This Row],[Is Zero]])</f>
        <v>0</v>
      </c>
    </row>
    <row r="3847" spans="1:11" ht="16" x14ac:dyDescent="0.2">
      <c r="A3847" s="1" t="s">
        <v>8</v>
      </c>
      <c r="B3847" t="str">
        <f>LEFT(Table13[[#This Row],[Input]],1)</f>
        <v>R</v>
      </c>
      <c r="C3847">
        <f>_xlfn.LET(_xlpm.steps,SUBSTITUTE(Table13[[#This Row],[Input]],Table13[[#This Row],[Direction]],""),VALUE(IF(LEN(_xlpm.steps)&gt;2,RIGHT(_xlpm.steps,2),_xlpm.steps)))</f>
        <v>18</v>
      </c>
      <c r="D3847">
        <f>_xlfn.LET(_xlpm.steps,SUBSTITUTE(Table13[[#This Row],[Input]],Table13[[#This Row],[Direction]],""),VALUE(IF(LEN(_xlpm.steps)&gt;2,LEFT(_xlpm.steps,LEN(_xlpm.steps)-2),0)))</f>
        <v>0</v>
      </c>
      <c r="E3847">
        <f>_xlfn.LET(_xlpm.dir,Table13[[#This Row],[Direction]],
IF(_xlpm.dir="L",
    IF(G3846-Table13[[#This Row],[Steps]]&lt;0,100+(G3846-Table13[[#This Row],[Steps]]),G3846-Table13[[#This Row],[Steps]]),
))</f>
        <v>0</v>
      </c>
      <c r="F3847">
        <f>_xlfn.LET(_xlpm.dir,Table13[[#This Row],[Direction]],
IF(_xlpm.dir="R",
    IF(G3846+Table13[[#This Row],[Steps]]&gt;99,(G3846+Table13[[#This Row],[Steps]])-100,G3846+Table13[[#This Row],[Steps]]),
))</f>
        <v>39</v>
      </c>
      <c r="G3847">
        <f>IF(Table13[[#This Row],[New Pos L]]&lt;&gt;0,Table13[[#This Row],[New Pos L]],Table13[[#This Row],[New Pos R]])</f>
        <v>39</v>
      </c>
      <c r="H3847">
        <f>IF(AND(Table13[[#This Row],[Direction]]="L",Table13[[#This Row],[Steps]]&gt;G3846,G3846&lt;&gt;0),1,0)</f>
        <v>0</v>
      </c>
      <c r="I3847">
        <f>IF(AND(Table13[[#This Row],[Direction]]="R",(G3846+Table13[[#This Row],[Steps]])&gt;100),1,0)</f>
        <v>0</v>
      </c>
      <c r="J3847">
        <f>IF(Table13[[#This Row],[POS]]=0,1,0)</f>
        <v>0</v>
      </c>
      <c r="K3847">
        <f>SUM(Table13[[#This Row],[prefix]],Table13[[#This Row],[Past zero L]],Table13[[#This Row],[Past Zero R]],Table13[[#This Row],[Is Zero]])</f>
        <v>0</v>
      </c>
    </row>
    <row r="3848" spans="1:11" ht="16" x14ac:dyDescent="0.2">
      <c r="A3848" s="1" t="s">
        <v>444</v>
      </c>
      <c r="B3848" t="str">
        <f>LEFT(Table13[[#This Row],[Input]],1)</f>
        <v>L</v>
      </c>
      <c r="C3848">
        <f>_xlfn.LET(_xlpm.steps,SUBSTITUTE(Table13[[#This Row],[Input]],Table13[[#This Row],[Direction]],""),VALUE(IF(LEN(_xlpm.steps)&gt;2,RIGHT(_xlpm.steps,2),_xlpm.steps)))</f>
        <v>94</v>
      </c>
      <c r="D3848">
        <f>_xlfn.LET(_xlpm.steps,SUBSTITUTE(Table13[[#This Row],[Input]],Table13[[#This Row],[Direction]],""),VALUE(IF(LEN(_xlpm.steps)&gt;2,LEFT(_xlpm.steps,LEN(_xlpm.steps)-2),0)))</f>
        <v>1</v>
      </c>
      <c r="E3848">
        <f>_xlfn.LET(_xlpm.dir,Table13[[#This Row],[Direction]],
IF(_xlpm.dir="L",
    IF(G3847-Table13[[#This Row],[Steps]]&lt;0,100+(G3847-Table13[[#This Row],[Steps]]),G3847-Table13[[#This Row],[Steps]]),
))</f>
        <v>45</v>
      </c>
      <c r="F3848">
        <f>_xlfn.LET(_xlpm.dir,Table13[[#This Row],[Direction]],
IF(_xlpm.dir="R",
    IF(G3847+Table13[[#This Row],[Steps]]&gt;99,(G3847+Table13[[#This Row],[Steps]])-100,G3847+Table13[[#This Row],[Steps]]),
))</f>
        <v>0</v>
      </c>
      <c r="G3848">
        <f>IF(Table13[[#This Row],[New Pos L]]&lt;&gt;0,Table13[[#This Row],[New Pos L]],Table13[[#This Row],[New Pos R]])</f>
        <v>45</v>
      </c>
      <c r="H3848">
        <f>IF(AND(Table13[[#This Row],[Direction]]="L",Table13[[#This Row],[Steps]]&gt;G3847,G3847&lt;&gt;0),1,0)</f>
        <v>1</v>
      </c>
      <c r="I3848">
        <f>IF(AND(Table13[[#This Row],[Direction]]="R",(G3847+Table13[[#This Row],[Steps]])&gt;100),1,0)</f>
        <v>0</v>
      </c>
      <c r="J3848">
        <f>IF(Table13[[#This Row],[POS]]=0,1,0)</f>
        <v>0</v>
      </c>
      <c r="K3848">
        <f>SUM(Table13[[#This Row],[prefix]],Table13[[#This Row],[Past zero L]],Table13[[#This Row],[Past Zero R]],Table13[[#This Row],[Is Zero]])</f>
        <v>2</v>
      </c>
    </row>
    <row r="3849" spans="1:11" ht="16" x14ac:dyDescent="0.2">
      <c r="A3849" s="1" t="s">
        <v>379</v>
      </c>
      <c r="B3849" t="str">
        <f>LEFT(Table13[[#This Row],[Input]],1)</f>
        <v>L</v>
      </c>
      <c r="C3849">
        <f>_xlfn.LET(_xlpm.steps,SUBSTITUTE(Table13[[#This Row],[Input]],Table13[[#This Row],[Direction]],""),VALUE(IF(LEN(_xlpm.steps)&gt;2,RIGHT(_xlpm.steps,2),_xlpm.steps)))</f>
        <v>4</v>
      </c>
      <c r="D3849">
        <f>_xlfn.LET(_xlpm.steps,SUBSTITUTE(Table13[[#This Row],[Input]],Table13[[#This Row],[Direction]],""),VALUE(IF(LEN(_xlpm.steps)&gt;2,LEFT(_xlpm.steps,LEN(_xlpm.steps)-2),0)))</f>
        <v>0</v>
      </c>
      <c r="E3849">
        <f>_xlfn.LET(_xlpm.dir,Table13[[#This Row],[Direction]],
IF(_xlpm.dir="L",
    IF(G3848-Table13[[#This Row],[Steps]]&lt;0,100+(G3848-Table13[[#This Row],[Steps]]),G3848-Table13[[#This Row],[Steps]]),
))</f>
        <v>41</v>
      </c>
      <c r="F3849">
        <f>_xlfn.LET(_xlpm.dir,Table13[[#This Row],[Direction]],
IF(_xlpm.dir="R",
    IF(G3848+Table13[[#This Row],[Steps]]&gt;99,(G3848+Table13[[#This Row],[Steps]])-100,G3848+Table13[[#This Row],[Steps]]),
))</f>
        <v>0</v>
      </c>
      <c r="G3849">
        <f>IF(Table13[[#This Row],[New Pos L]]&lt;&gt;0,Table13[[#This Row],[New Pos L]],Table13[[#This Row],[New Pos R]])</f>
        <v>41</v>
      </c>
      <c r="H3849">
        <f>IF(AND(Table13[[#This Row],[Direction]]="L",Table13[[#This Row],[Steps]]&gt;G3848,G3848&lt;&gt;0),1,0)</f>
        <v>0</v>
      </c>
      <c r="I3849">
        <f>IF(AND(Table13[[#This Row],[Direction]]="R",(G3848+Table13[[#This Row],[Steps]])&gt;100),1,0)</f>
        <v>0</v>
      </c>
      <c r="J3849">
        <f>IF(Table13[[#This Row],[POS]]=0,1,0)</f>
        <v>0</v>
      </c>
      <c r="K3849">
        <f>SUM(Table13[[#This Row],[prefix]],Table13[[#This Row],[Past zero L]],Table13[[#This Row],[Past Zero R]],Table13[[#This Row],[Is Zero]])</f>
        <v>0</v>
      </c>
    </row>
    <row r="3850" spans="1:11" ht="16" x14ac:dyDescent="0.2">
      <c r="A3850" s="1" t="s">
        <v>98</v>
      </c>
      <c r="B3850" t="str">
        <f>LEFT(Table13[[#This Row],[Input]],1)</f>
        <v>L</v>
      </c>
      <c r="C3850">
        <f>_xlfn.LET(_xlpm.steps,SUBSTITUTE(Table13[[#This Row],[Input]],Table13[[#This Row],[Direction]],""),VALUE(IF(LEN(_xlpm.steps)&gt;2,RIGHT(_xlpm.steps,2),_xlpm.steps)))</f>
        <v>65</v>
      </c>
      <c r="D3850">
        <f>_xlfn.LET(_xlpm.steps,SUBSTITUTE(Table13[[#This Row],[Input]],Table13[[#This Row],[Direction]],""),VALUE(IF(LEN(_xlpm.steps)&gt;2,LEFT(_xlpm.steps,LEN(_xlpm.steps)-2),0)))</f>
        <v>0</v>
      </c>
      <c r="E3850">
        <f>_xlfn.LET(_xlpm.dir,Table13[[#This Row],[Direction]],
IF(_xlpm.dir="L",
    IF(G3849-Table13[[#This Row],[Steps]]&lt;0,100+(G3849-Table13[[#This Row],[Steps]]),G3849-Table13[[#This Row],[Steps]]),
))</f>
        <v>76</v>
      </c>
      <c r="F3850">
        <f>_xlfn.LET(_xlpm.dir,Table13[[#This Row],[Direction]],
IF(_xlpm.dir="R",
    IF(G3849+Table13[[#This Row],[Steps]]&gt;99,(G3849+Table13[[#This Row],[Steps]])-100,G3849+Table13[[#This Row],[Steps]]),
))</f>
        <v>0</v>
      </c>
      <c r="G3850">
        <f>IF(Table13[[#This Row],[New Pos L]]&lt;&gt;0,Table13[[#This Row],[New Pos L]],Table13[[#This Row],[New Pos R]])</f>
        <v>76</v>
      </c>
      <c r="H3850">
        <f>IF(AND(Table13[[#This Row],[Direction]]="L",Table13[[#This Row],[Steps]]&gt;G3849,G3849&lt;&gt;0),1,0)</f>
        <v>1</v>
      </c>
      <c r="I3850">
        <f>IF(AND(Table13[[#This Row],[Direction]]="R",(G3849+Table13[[#This Row],[Steps]])&gt;100),1,0)</f>
        <v>0</v>
      </c>
      <c r="J3850">
        <f>IF(Table13[[#This Row],[POS]]=0,1,0)</f>
        <v>0</v>
      </c>
      <c r="K3850">
        <f>SUM(Table13[[#This Row],[prefix]],Table13[[#This Row],[Past zero L]],Table13[[#This Row],[Past Zero R]],Table13[[#This Row],[Is Zero]])</f>
        <v>1</v>
      </c>
    </row>
    <row r="3851" spans="1:11" ht="16" x14ac:dyDescent="0.2">
      <c r="A3851" s="1" t="s">
        <v>809</v>
      </c>
      <c r="B3851" t="str">
        <f>LEFT(Table13[[#This Row],[Input]],1)</f>
        <v>L</v>
      </c>
      <c r="C3851">
        <f>_xlfn.LET(_xlpm.steps,SUBSTITUTE(Table13[[#This Row],[Input]],Table13[[#This Row],[Direction]],""),VALUE(IF(LEN(_xlpm.steps)&gt;2,RIGHT(_xlpm.steps,2),_xlpm.steps)))</f>
        <v>42</v>
      </c>
      <c r="D3851">
        <f>_xlfn.LET(_xlpm.steps,SUBSTITUTE(Table13[[#This Row],[Input]],Table13[[#This Row],[Direction]],""),VALUE(IF(LEN(_xlpm.steps)&gt;2,LEFT(_xlpm.steps,LEN(_xlpm.steps)-2),0)))</f>
        <v>7</v>
      </c>
      <c r="E3851">
        <f>_xlfn.LET(_xlpm.dir,Table13[[#This Row],[Direction]],
IF(_xlpm.dir="L",
    IF(G3850-Table13[[#This Row],[Steps]]&lt;0,100+(G3850-Table13[[#This Row],[Steps]]),G3850-Table13[[#This Row],[Steps]]),
))</f>
        <v>34</v>
      </c>
      <c r="F3851">
        <f>_xlfn.LET(_xlpm.dir,Table13[[#This Row],[Direction]],
IF(_xlpm.dir="R",
    IF(G3850+Table13[[#This Row],[Steps]]&gt;99,(G3850+Table13[[#This Row],[Steps]])-100,G3850+Table13[[#This Row],[Steps]]),
))</f>
        <v>0</v>
      </c>
      <c r="G3851">
        <f>IF(Table13[[#This Row],[New Pos L]]&lt;&gt;0,Table13[[#This Row],[New Pos L]],Table13[[#This Row],[New Pos R]])</f>
        <v>34</v>
      </c>
      <c r="H3851">
        <f>IF(AND(Table13[[#This Row],[Direction]]="L",Table13[[#This Row],[Steps]]&gt;G3850,G3850&lt;&gt;0),1,0)</f>
        <v>0</v>
      </c>
      <c r="I3851">
        <f>IF(AND(Table13[[#This Row],[Direction]]="R",(G3850+Table13[[#This Row],[Steps]])&gt;100),1,0)</f>
        <v>0</v>
      </c>
      <c r="J3851">
        <f>IF(Table13[[#This Row],[POS]]=0,1,0)</f>
        <v>0</v>
      </c>
      <c r="K3851">
        <f>SUM(Table13[[#This Row],[prefix]],Table13[[#This Row],[Past zero L]],Table13[[#This Row],[Past Zero R]],Table13[[#This Row],[Is Zero]])</f>
        <v>7</v>
      </c>
    </row>
    <row r="3852" spans="1:11" ht="16" x14ac:dyDescent="0.2">
      <c r="A3852" s="1" t="s">
        <v>810</v>
      </c>
      <c r="B3852" t="str">
        <f>LEFT(Table13[[#This Row],[Input]],1)</f>
        <v>R</v>
      </c>
      <c r="C3852">
        <f>_xlfn.LET(_xlpm.steps,SUBSTITUTE(Table13[[#This Row],[Input]],Table13[[#This Row],[Direction]],""),VALUE(IF(LEN(_xlpm.steps)&gt;2,RIGHT(_xlpm.steps,2),_xlpm.steps)))</f>
        <v>66</v>
      </c>
      <c r="D3852">
        <f>_xlfn.LET(_xlpm.steps,SUBSTITUTE(Table13[[#This Row],[Input]],Table13[[#This Row],[Direction]],""),VALUE(IF(LEN(_xlpm.steps)&gt;2,LEFT(_xlpm.steps,LEN(_xlpm.steps)-2),0)))</f>
        <v>9</v>
      </c>
      <c r="E3852">
        <f>_xlfn.LET(_xlpm.dir,Table13[[#This Row],[Direction]],
IF(_xlpm.dir="L",
    IF(G3851-Table13[[#This Row],[Steps]]&lt;0,100+(G3851-Table13[[#This Row],[Steps]]),G3851-Table13[[#This Row],[Steps]]),
))</f>
        <v>0</v>
      </c>
      <c r="F3852">
        <f>_xlfn.LET(_xlpm.dir,Table13[[#This Row],[Direction]],
IF(_xlpm.dir="R",
    IF(G3851+Table13[[#This Row],[Steps]]&gt;99,(G3851+Table13[[#This Row],[Steps]])-100,G3851+Table13[[#This Row],[Steps]]),
))</f>
        <v>0</v>
      </c>
      <c r="G3852">
        <f>IF(Table13[[#This Row],[New Pos L]]&lt;&gt;0,Table13[[#This Row],[New Pos L]],Table13[[#This Row],[New Pos R]])</f>
        <v>0</v>
      </c>
      <c r="H3852">
        <f>IF(AND(Table13[[#This Row],[Direction]]="L",Table13[[#This Row],[Steps]]&gt;G3851,G3851&lt;&gt;0),1,0)</f>
        <v>0</v>
      </c>
      <c r="I3852">
        <f>IF(AND(Table13[[#This Row],[Direction]]="R",(G3851+Table13[[#This Row],[Steps]])&gt;100),1,0)</f>
        <v>0</v>
      </c>
      <c r="J3852">
        <f>IF(Table13[[#This Row],[POS]]=0,1,0)</f>
        <v>1</v>
      </c>
      <c r="K3852">
        <f>SUM(Table13[[#This Row],[prefix]],Table13[[#This Row],[Past zero L]],Table13[[#This Row],[Past Zero R]],Table13[[#This Row],[Is Zero]])</f>
        <v>10</v>
      </c>
    </row>
    <row r="3853" spans="1:11" ht="16" x14ac:dyDescent="0.2">
      <c r="A3853" s="1" t="s">
        <v>120</v>
      </c>
      <c r="B3853" t="str">
        <f>LEFT(Table13[[#This Row],[Input]],1)</f>
        <v>L</v>
      </c>
      <c r="C3853">
        <f>_xlfn.LET(_xlpm.steps,SUBSTITUTE(Table13[[#This Row],[Input]],Table13[[#This Row],[Direction]],""),VALUE(IF(LEN(_xlpm.steps)&gt;2,RIGHT(_xlpm.steps,2),_xlpm.steps)))</f>
        <v>23</v>
      </c>
      <c r="D3853">
        <f>_xlfn.LET(_xlpm.steps,SUBSTITUTE(Table13[[#This Row],[Input]],Table13[[#This Row],[Direction]],""),VALUE(IF(LEN(_xlpm.steps)&gt;2,LEFT(_xlpm.steps,LEN(_xlpm.steps)-2),0)))</f>
        <v>0</v>
      </c>
      <c r="E3853">
        <f>_xlfn.LET(_xlpm.dir,Table13[[#This Row],[Direction]],
IF(_xlpm.dir="L",
    IF(G3852-Table13[[#This Row],[Steps]]&lt;0,100+(G3852-Table13[[#This Row],[Steps]]),G3852-Table13[[#This Row],[Steps]]),
))</f>
        <v>77</v>
      </c>
      <c r="F3853">
        <f>_xlfn.LET(_xlpm.dir,Table13[[#This Row],[Direction]],
IF(_xlpm.dir="R",
    IF(G3852+Table13[[#This Row],[Steps]]&gt;99,(G3852+Table13[[#This Row],[Steps]])-100,G3852+Table13[[#This Row],[Steps]]),
))</f>
        <v>0</v>
      </c>
      <c r="G3853">
        <f>IF(Table13[[#This Row],[New Pos L]]&lt;&gt;0,Table13[[#This Row],[New Pos L]],Table13[[#This Row],[New Pos R]])</f>
        <v>77</v>
      </c>
      <c r="H3853">
        <f>IF(AND(Table13[[#This Row],[Direction]]="L",Table13[[#This Row],[Steps]]&gt;G3852,G3852&lt;&gt;0),1,0)</f>
        <v>0</v>
      </c>
      <c r="I3853">
        <f>IF(AND(Table13[[#This Row],[Direction]]="R",(G3852+Table13[[#This Row],[Steps]])&gt;100),1,0)</f>
        <v>0</v>
      </c>
      <c r="J3853">
        <f>IF(Table13[[#This Row],[POS]]=0,1,0)</f>
        <v>0</v>
      </c>
      <c r="K3853">
        <f>SUM(Table13[[#This Row],[prefix]],Table13[[#This Row],[Past zero L]],Table13[[#This Row],[Past Zero R]],Table13[[#This Row],[Is Zero]])</f>
        <v>0</v>
      </c>
    </row>
    <row r="3854" spans="1:11" ht="16" x14ac:dyDescent="0.2">
      <c r="A3854" s="1" t="s">
        <v>59</v>
      </c>
      <c r="B3854" t="str">
        <f>LEFT(Table13[[#This Row],[Input]],1)</f>
        <v>L</v>
      </c>
      <c r="C3854">
        <f>_xlfn.LET(_xlpm.steps,SUBSTITUTE(Table13[[#This Row],[Input]],Table13[[#This Row],[Direction]],""),VALUE(IF(LEN(_xlpm.steps)&gt;2,RIGHT(_xlpm.steps,2),_xlpm.steps)))</f>
        <v>6</v>
      </c>
      <c r="D3854">
        <f>_xlfn.LET(_xlpm.steps,SUBSTITUTE(Table13[[#This Row],[Input]],Table13[[#This Row],[Direction]],""),VALUE(IF(LEN(_xlpm.steps)&gt;2,LEFT(_xlpm.steps,LEN(_xlpm.steps)-2),0)))</f>
        <v>0</v>
      </c>
      <c r="E3854">
        <f>_xlfn.LET(_xlpm.dir,Table13[[#This Row],[Direction]],
IF(_xlpm.dir="L",
    IF(G3853-Table13[[#This Row],[Steps]]&lt;0,100+(G3853-Table13[[#This Row],[Steps]]),G3853-Table13[[#This Row],[Steps]]),
))</f>
        <v>71</v>
      </c>
      <c r="F3854">
        <f>_xlfn.LET(_xlpm.dir,Table13[[#This Row],[Direction]],
IF(_xlpm.dir="R",
    IF(G3853+Table13[[#This Row],[Steps]]&gt;99,(G3853+Table13[[#This Row],[Steps]])-100,G3853+Table13[[#This Row],[Steps]]),
))</f>
        <v>0</v>
      </c>
      <c r="G3854">
        <f>IF(Table13[[#This Row],[New Pos L]]&lt;&gt;0,Table13[[#This Row],[New Pos L]],Table13[[#This Row],[New Pos R]])</f>
        <v>71</v>
      </c>
      <c r="H3854">
        <f>IF(AND(Table13[[#This Row],[Direction]]="L",Table13[[#This Row],[Steps]]&gt;G3853,G3853&lt;&gt;0),1,0)</f>
        <v>0</v>
      </c>
      <c r="I3854">
        <f>IF(AND(Table13[[#This Row],[Direction]]="R",(G3853+Table13[[#This Row],[Steps]])&gt;100),1,0)</f>
        <v>0</v>
      </c>
      <c r="J3854">
        <f>IF(Table13[[#This Row],[POS]]=0,1,0)</f>
        <v>0</v>
      </c>
      <c r="K3854">
        <f>SUM(Table13[[#This Row],[prefix]],Table13[[#This Row],[Past zero L]],Table13[[#This Row],[Past Zero R]],Table13[[#This Row],[Is Zero]])</f>
        <v>0</v>
      </c>
    </row>
    <row r="3855" spans="1:11" ht="16" x14ac:dyDescent="0.2">
      <c r="A3855" s="1" t="s">
        <v>94</v>
      </c>
      <c r="B3855" t="str">
        <f>LEFT(Table13[[#This Row],[Input]],1)</f>
        <v>L</v>
      </c>
      <c r="C3855">
        <f>_xlfn.LET(_xlpm.steps,SUBSTITUTE(Table13[[#This Row],[Input]],Table13[[#This Row],[Direction]],""),VALUE(IF(LEN(_xlpm.steps)&gt;2,RIGHT(_xlpm.steps,2),_xlpm.steps)))</f>
        <v>71</v>
      </c>
      <c r="D3855">
        <f>_xlfn.LET(_xlpm.steps,SUBSTITUTE(Table13[[#This Row],[Input]],Table13[[#This Row],[Direction]],""),VALUE(IF(LEN(_xlpm.steps)&gt;2,LEFT(_xlpm.steps,LEN(_xlpm.steps)-2),0)))</f>
        <v>0</v>
      </c>
      <c r="E3855">
        <f>_xlfn.LET(_xlpm.dir,Table13[[#This Row],[Direction]],
IF(_xlpm.dir="L",
    IF(G3854-Table13[[#This Row],[Steps]]&lt;0,100+(G3854-Table13[[#This Row],[Steps]]),G3854-Table13[[#This Row],[Steps]]),
))</f>
        <v>0</v>
      </c>
      <c r="F3855">
        <f>_xlfn.LET(_xlpm.dir,Table13[[#This Row],[Direction]],
IF(_xlpm.dir="R",
    IF(G3854+Table13[[#This Row],[Steps]]&gt;99,(G3854+Table13[[#This Row],[Steps]])-100,G3854+Table13[[#This Row],[Steps]]),
))</f>
        <v>0</v>
      </c>
      <c r="G3855">
        <f>IF(Table13[[#This Row],[New Pos L]]&lt;&gt;0,Table13[[#This Row],[New Pos L]],Table13[[#This Row],[New Pos R]])</f>
        <v>0</v>
      </c>
      <c r="H3855">
        <f>IF(AND(Table13[[#This Row],[Direction]]="L",Table13[[#This Row],[Steps]]&gt;G3854,G3854&lt;&gt;0),1,0)</f>
        <v>0</v>
      </c>
      <c r="I3855">
        <f>IF(AND(Table13[[#This Row],[Direction]]="R",(G3854+Table13[[#This Row],[Steps]])&gt;100),1,0)</f>
        <v>0</v>
      </c>
      <c r="J3855">
        <f>IF(Table13[[#This Row],[POS]]=0,1,0)</f>
        <v>1</v>
      </c>
      <c r="K3855">
        <f>SUM(Table13[[#This Row],[prefix]],Table13[[#This Row],[Past zero L]],Table13[[#This Row],[Past Zero R]],Table13[[#This Row],[Is Zero]])</f>
        <v>1</v>
      </c>
    </row>
    <row r="3856" spans="1:11" ht="16" x14ac:dyDescent="0.2">
      <c r="A3856" s="1" t="s">
        <v>364</v>
      </c>
      <c r="B3856" t="str">
        <f>LEFT(Table13[[#This Row],[Input]],1)</f>
        <v>L</v>
      </c>
      <c r="C3856">
        <f>_xlfn.LET(_xlpm.steps,SUBSTITUTE(Table13[[#This Row],[Input]],Table13[[#This Row],[Direction]],""),VALUE(IF(LEN(_xlpm.steps)&gt;2,RIGHT(_xlpm.steps,2),_xlpm.steps)))</f>
        <v>70</v>
      </c>
      <c r="D3856">
        <f>_xlfn.LET(_xlpm.steps,SUBSTITUTE(Table13[[#This Row],[Input]],Table13[[#This Row],[Direction]],""),VALUE(IF(LEN(_xlpm.steps)&gt;2,LEFT(_xlpm.steps,LEN(_xlpm.steps)-2),0)))</f>
        <v>0</v>
      </c>
      <c r="E3856">
        <f>_xlfn.LET(_xlpm.dir,Table13[[#This Row],[Direction]],
IF(_xlpm.dir="L",
    IF(G3855-Table13[[#This Row],[Steps]]&lt;0,100+(G3855-Table13[[#This Row],[Steps]]),G3855-Table13[[#This Row],[Steps]]),
))</f>
        <v>30</v>
      </c>
      <c r="F3856">
        <f>_xlfn.LET(_xlpm.dir,Table13[[#This Row],[Direction]],
IF(_xlpm.dir="R",
    IF(G3855+Table13[[#This Row],[Steps]]&gt;99,(G3855+Table13[[#This Row],[Steps]])-100,G3855+Table13[[#This Row],[Steps]]),
))</f>
        <v>0</v>
      </c>
      <c r="G3856">
        <f>IF(Table13[[#This Row],[New Pos L]]&lt;&gt;0,Table13[[#This Row],[New Pos L]],Table13[[#This Row],[New Pos R]])</f>
        <v>30</v>
      </c>
      <c r="H3856">
        <f>IF(AND(Table13[[#This Row],[Direction]]="L",Table13[[#This Row],[Steps]]&gt;G3855,G3855&lt;&gt;0),1,0)</f>
        <v>0</v>
      </c>
      <c r="I3856">
        <f>IF(AND(Table13[[#This Row],[Direction]]="R",(G3855+Table13[[#This Row],[Steps]])&gt;100),1,0)</f>
        <v>0</v>
      </c>
      <c r="J3856">
        <f>IF(Table13[[#This Row],[POS]]=0,1,0)</f>
        <v>0</v>
      </c>
      <c r="K3856">
        <f>SUM(Table13[[#This Row],[prefix]],Table13[[#This Row],[Past zero L]],Table13[[#This Row],[Past Zero R]],Table13[[#This Row],[Is Zero]])</f>
        <v>0</v>
      </c>
    </row>
    <row r="3857" spans="1:11" ht="16" x14ac:dyDescent="0.2">
      <c r="A3857" s="1" t="s">
        <v>288</v>
      </c>
      <c r="B3857" t="str">
        <f>LEFT(Table13[[#This Row],[Input]],1)</f>
        <v>R</v>
      </c>
      <c r="C3857">
        <f>_xlfn.LET(_xlpm.steps,SUBSTITUTE(Table13[[#This Row],[Input]],Table13[[#This Row],[Direction]],""),VALUE(IF(LEN(_xlpm.steps)&gt;2,RIGHT(_xlpm.steps,2),_xlpm.steps)))</f>
        <v>25</v>
      </c>
      <c r="D3857">
        <f>_xlfn.LET(_xlpm.steps,SUBSTITUTE(Table13[[#This Row],[Input]],Table13[[#This Row],[Direction]],""),VALUE(IF(LEN(_xlpm.steps)&gt;2,LEFT(_xlpm.steps,LEN(_xlpm.steps)-2),0)))</f>
        <v>0</v>
      </c>
      <c r="E3857">
        <f>_xlfn.LET(_xlpm.dir,Table13[[#This Row],[Direction]],
IF(_xlpm.dir="L",
    IF(G3856-Table13[[#This Row],[Steps]]&lt;0,100+(G3856-Table13[[#This Row],[Steps]]),G3856-Table13[[#This Row],[Steps]]),
))</f>
        <v>0</v>
      </c>
      <c r="F3857">
        <f>_xlfn.LET(_xlpm.dir,Table13[[#This Row],[Direction]],
IF(_xlpm.dir="R",
    IF(G3856+Table13[[#This Row],[Steps]]&gt;99,(G3856+Table13[[#This Row],[Steps]])-100,G3856+Table13[[#This Row],[Steps]]),
))</f>
        <v>55</v>
      </c>
      <c r="G3857">
        <f>IF(Table13[[#This Row],[New Pos L]]&lt;&gt;0,Table13[[#This Row],[New Pos L]],Table13[[#This Row],[New Pos R]])</f>
        <v>55</v>
      </c>
      <c r="H3857">
        <f>IF(AND(Table13[[#This Row],[Direction]]="L",Table13[[#This Row],[Steps]]&gt;G3856,G3856&lt;&gt;0),1,0)</f>
        <v>0</v>
      </c>
      <c r="I3857">
        <f>IF(AND(Table13[[#This Row],[Direction]]="R",(G3856+Table13[[#This Row],[Steps]])&gt;100),1,0)</f>
        <v>0</v>
      </c>
      <c r="J3857">
        <f>IF(Table13[[#This Row],[POS]]=0,1,0)</f>
        <v>0</v>
      </c>
      <c r="K3857">
        <f>SUM(Table13[[#This Row],[prefix]],Table13[[#This Row],[Past zero L]],Table13[[#This Row],[Past Zero R]],Table13[[#This Row],[Is Zero]])</f>
        <v>0</v>
      </c>
    </row>
    <row r="3858" spans="1:11" ht="16" x14ac:dyDescent="0.2">
      <c r="A3858" s="1" t="s">
        <v>353</v>
      </c>
      <c r="B3858" t="str">
        <f>LEFT(Table13[[#This Row],[Input]],1)</f>
        <v>R</v>
      </c>
      <c r="C3858">
        <f>_xlfn.LET(_xlpm.steps,SUBSTITUTE(Table13[[#This Row],[Input]],Table13[[#This Row],[Direction]],""),VALUE(IF(LEN(_xlpm.steps)&gt;2,RIGHT(_xlpm.steps,2),_xlpm.steps)))</f>
        <v>7</v>
      </c>
      <c r="D3858">
        <f>_xlfn.LET(_xlpm.steps,SUBSTITUTE(Table13[[#This Row],[Input]],Table13[[#This Row],[Direction]],""),VALUE(IF(LEN(_xlpm.steps)&gt;2,LEFT(_xlpm.steps,LEN(_xlpm.steps)-2),0)))</f>
        <v>0</v>
      </c>
      <c r="E3858">
        <f>_xlfn.LET(_xlpm.dir,Table13[[#This Row],[Direction]],
IF(_xlpm.dir="L",
    IF(G3857-Table13[[#This Row],[Steps]]&lt;0,100+(G3857-Table13[[#This Row],[Steps]]),G3857-Table13[[#This Row],[Steps]]),
))</f>
        <v>0</v>
      </c>
      <c r="F3858">
        <f>_xlfn.LET(_xlpm.dir,Table13[[#This Row],[Direction]],
IF(_xlpm.dir="R",
    IF(G3857+Table13[[#This Row],[Steps]]&gt;99,(G3857+Table13[[#This Row],[Steps]])-100,G3857+Table13[[#This Row],[Steps]]),
))</f>
        <v>62</v>
      </c>
      <c r="G3858">
        <f>IF(Table13[[#This Row],[New Pos L]]&lt;&gt;0,Table13[[#This Row],[New Pos L]],Table13[[#This Row],[New Pos R]])</f>
        <v>62</v>
      </c>
      <c r="H3858">
        <f>IF(AND(Table13[[#This Row],[Direction]]="L",Table13[[#This Row],[Steps]]&gt;G3857,G3857&lt;&gt;0),1,0)</f>
        <v>0</v>
      </c>
      <c r="I3858">
        <f>IF(AND(Table13[[#This Row],[Direction]]="R",(G3857+Table13[[#This Row],[Steps]])&gt;100),1,0)</f>
        <v>0</v>
      </c>
      <c r="J3858">
        <f>IF(Table13[[#This Row],[POS]]=0,1,0)</f>
        <v>0</v>
      </c>
      <c r="K3858">
        <f>SUM(Table13[[#This Row],[prefix]],Table13[[#This Row],[Past zero L]],Table13[[#This Row],[Past Zero R]],Table13[[#This Row],[Is Zero]])</f>
        <v>0</v>
      </c>
    </row>
    <row r="3859" spans="1:11" ht="16" x14ac:dyDescent="0.2">
      <c r="A3859" s="1" t="s">
        <v>187</v>
      </c>
      <c r="B3859" t="str">
        <f>LEFT(Table13[[#This Row],[Input]],1)</f>
        <v>R</v>
      </c>
      <c r="C3859">
        <f>_xlfn.LET(_xlpm.steps,SUBSTITUTE(Table13[[#This Row],[Input]],Table13[[#This Row],[Direction]],""),VALUE(IF(LEN(_xlpm.steps)&gt;2,RIGHT(_xlpm.steps,2),_xlpm.steps)))</f>
        <v>20</v>
      </c>
      <c r="D3859">
        <f>_xlfn.LET(_xlpm.steps,SUBSTITUTE(Table13[[#This Row],[Input]],Table13[[#This Row],[Direction]],""),VALUE(IF(LEN(_xlpm.steps)&gt;2,LEFT(_xlpm.steps,LEN(_xlpm.steps)-2),0)))</f>
        <v>0</v>
      </c>
      <c r="E3859">
        <f>_xlfn.LET(_xlpm.dir,Table13[[#This Row],[Direction]],
IF(_xlpm.dir="L",
    IF(G3858-Table13[[#This Row],[Steps]]&lt;0,100+(G3858-Table13[[#This Row],[Steps]]),G3858-Table13[[#This Row],[Steps]]),
))</f>
        <v>0</v>
      </c>
      <c r="F3859">
        <f>_xlfn.LET(_xlpm.dir,Table13[[#This Row],[Direction]],
IF(_xlpm.dir="R",
    IF(G3858+Table13[[#This Row],[Steps]]&gt;99,(G3858+Table13[[#This Row],[Steps]])-100,G3858+Table13[[#This Row],[Steps]]),
))</f>
        <v>82</v>
      </c>
      <c r="G3859">
        <f>IF(Table13[[#This Row],[New Pos L]]&lt;&gt;0,Table13[[#This Row],[New Pos L]],Table13[[#This Row],[New Pos R]])</f>
        <v>82</v>
      </c>
      <c r="H3859">
        <f>IF(AND(Table13[[#This Row],[Direction]]="L",Table13[[#This Row],[Steps]]&gt;G3858,G3858&lt;&gt;0),1,0)</f>
        <v>0</v>
      </c>
      <c r="I3859">
        <f>IF(AND(Table13[[#This Row],[Direction]]="R",(G3858+Table13[[#This Row],[Steps]])&gt;100),1,0)</f>
        <v>0</v>
      </c>
      <c r="J3859">
        <f>IF(Table13[[#This Row],[POS]]=0,1,0)</f>
        <v>0</v>
      </c>
      <c r="K3859">
        <f>SUM(Table13[[#This Row],[prefix]],Table13[[#This Row],[Past zero L]],Table13[[#This Row],[Past Zero R]],Table13[[#This Row],[Is Zero]])</f>
        <v>0</v>
      </c>
    </row>
    <row r="3860" spans="1:11" ht="16" x14ac:dyDescent="0.2">
      <c r="A3860" s="1" t="s">
        <v>59</v>
      </c>
      <c r="B3860" t="str">
        <f>LEFT(Table13[[#This Row],[Input]],1)</f>
        <v>L</v>
      </c>
      <c r="C3860">
        <f>_xlfn.LET(_xlpm.steps,SUBSTITUTE(Table13[[#This Row],[Input]],Table13[[#This Row],[Direction]],""),VALUE(IF(LEN(_xlpm.steps)&gt;2,RIGHT(_xlpm.steps,2),_xlpm.steps)))</f>
        <v>6</v>
      </c>
      <c r="D3860">
        <f>_xlfn.LET(_xlpm.steps,SUBSTITUTE(Table13[[#This Row],[Input]],Table13[[#This Row],[Direction]],""),VALUE(IF(LEN(_xlpm.steps)&gt;2,LEFT(_xlpm.steps,LEN(_xlpm.steps)-2),0)))</f>
        <v>0</v>
      </c>
      <c r="E3860">
        <f>_xlfn.LET(_xlpm.dir,Table13[[#This Row],[Direction]],
IF(_xlpm.dir="L",
    IF(G3859-Table13[[#This Row],[Steps]]&lt;0,100+(G3859-Table13[[#This Row],[Steps]]),G3859-Table13[[#This Row],[Steps]]),
))</f>
        <v>76</v>
      </c>
      <c r="F3860">
        <f>_xlfn.LET(_xlpm.dir,Table13[[#This Row],[Direction]],
IF(_xlpm.dir="R",
    IF(G3859+Table13[[#This Row],[Steps]]&gt;99,(G3859+Table13[[#This Row],[Steps]])-100,G3859+Table13[[#This Row],[Steps]]),
))</f>
        <v>0</v>
      </c>
      <c r="G3860">
        <f>IF(Table13[[#This Row],[New Pos L]]&lt;&gt;0,Table13[[#This Row],[New Pos L]],Table13[[#This Row],[New Pos R]])</f>
        <v>76</v>
      </c>
      <c r="H3860">
        <f>IF(AND(Table13[[#This Row],[Direction]]="L",Table13[[#This Row],[Steps]]&gt;G3859,G3859&lt;&gt;0),1,0)</f>
        <v>0</v>
      </c>
      <c r="I3860">
        <f>IF(AND(Table13[[#This Row],[Direction]]="R",(G3859+Table13[[#This Row],[Steps]])&gt;100),1,0)</f>
        <v>0</v>
      </c>
      <c r="J3860">
        <f>IF(Table13[[#This Row],[POS]]=0,1,0)</f>
        <v>0</v>
      </c>
      <c r="K3860">
        <f>SUM(Table13[[#This Row],[prefix]],Table13[[#This Row],[Past zero L]],Table13[[#This Row],[Past Zero R]],Table13[[#This Row],[Is Zero]])</f>
        <v>0</v>
      </c>
    </row>
    <row r="3861" spans="1:11" ht="16" x14ac:dyDescent="0.2">
      <c r="A3861" s="1" t="s">
        <v>125</v>
      </c>
      <c r="B3861" t="str">
        <f>LEFT(Table13[[#This Row],[Input]],1)</f>
        <v>L</v>
      </c>
      <c r="C3861">
        <f>_xlfn.LET(_xlpm.steps,SUBSTITUTE(Table13[[#This Row],[Input]],Table13[[#This Row],[Direction]],""),VALUE(IF(LEN(_xlpm.steps)&gt;2,RIGHT(_xlpm.steps,2),_xlpm.steps)))</f>
        <v>76</v>
      </c>
      <c r="D3861">
        <f>_xlfn.LET(_xlpm.steps,SUBSTITUTE(Table13[[#This Row],[Input]],Table13[[#This Row],[Direction]],""),VALUE(IF(LEN(_xlpm.steps)&gt;2,LEFT(_xlpm.steps,LEN(_xlpm.steps)-2),0)))</f>
        <v>0</v>
      </c>
      <c r="E3861">
        <f>_xlfn.LET(_xlpm.dir,Table13[[#This Row],[Direction]],
IF(_xlpm.dir="L",
    IF(G3860-Table13[[#This Row],[Steps]]&lt;0,100+(G3860-Table13[[#This Row],[Steps]]),G3860-Table13[[#This Row],[Steps]]),
))</f>
        <v>0</v>
      </c>
      <c r="F3861">
        <f>_xlfn.LET(_xlpm.dir,Table13[[#This Row],[Direction]],
IF(_xlpm.dir="R",
    IF(G3860+Table13[[#This Row],[Steps]]&gt;99,(G3860+Table13[[#This Row],[Steps]])-100,G3860+Table13[[#This Row],[Steps]]),
))</f>
        <v>0</v>
      </c>
      <c r="G3861">
        <f>IF(Table13[[#This Row],[New Pos L]]&lt;&gt;0,Table13[[#This Row],[New Pos L]],Table13[[#This Row],[New Pos R]])</f>
        <v>0</v>
      </c>
      <c r="H3861">
        <f>IF(AND(Table13[[#This Row],[Direction]]="L",Table13[[#This Row],[Steps]]&gt;G3860,G3860&lt;&gt;0),1,0)</f>
        <v>0</v>
      </c>
      <c r="I3861">
        <f>IF(AND(Table13[[#This Row],[Direction]]="R",(G3860+Table13[[#This Row],[Steps]])&gt;100),1,0)</f>
        <v>0</v>
      </c>
      <c r="J3861">
        <f>IF(Table13[[#This Row],[POS]]=0,1,0)</f>
        <v>1</v>
      </c>
      <c r="K3861">
        <f>SUM(Table13[[#This Row],[prefix]],Table13[[#This Row],[Past zero L]],Table13[[#This Row],[Past Zero R]],Table13[[#This Row],[Is Zero]])</f>
        <v>1</v>
      </c>
    </row>
    <row r="3862" spans="1:11" ht="16" x14ac:dyDescent="0.2">
      <c r="A3862" s="1" t="s">
        <v>1</v>
      </c>
      <c r="B3862" t="str">
        <f>LEFT(Table13[[#This Row],[Input]],1)</f>
        <v>R</v>
      </c>
      <c r="C3862">
        <f>_xlfn.LET(_xlpm.steps,SUBSTITUTE(Table13[[#This Row],[Input]],Table13[[#This Row],[Direction]],""),VALUE(IF(LEN(_xlpm.steps)&gt;2,RIGHT(_xlpm.steps,2),_xlpm.steps)))</f>
        <v>26</v>
      </c>
      <c r="D3862">
        <f>_xlfn.LET(_xlpm.steps,SUBSTITUTE(Table13[[#This Row],[Input]],Table13[[#This Row],[Direction]],""),VALUE(IF(LEN(_xlpm.steps)&gt;2,LEFT(_xlpm.steps,LEN(_xlpm.steps)-2),0)))</f>
        <v>0</v>
      </c>
      <c r="E3862">
        <f>_xlfn.LET(_xlpm.dir,Table13[[#This Row],[Direction]],
IF(_xlpm.dir="L",
    IF(G3861-Table13[[#This Row],[Steps]]&lt;0,100+(G3861-Table13[[#This Row],[Steps]]),G3861-Table13[[#This Row],[Steps]]),
))</f>
        <v>0</v>
      </c>
      <c r="F3862">
        <f>_xlfn.LET(_xlpm.dir,Table13[[#This Row],[Direction]],
IF(_xlpm.dir="R",
    IF(G3861+Table13[[#This Row],[Steps]]&gt;99,(G3861+Table13[[#This Row],[Steps]])-100,G3861+Table13[[#This Row],[Steps]]),
))</f>
        <v>26</v>
      </c>
      <c r="G3862">
        <f>IF(Table13[[#This Row],[New Pos L]]&lt;&gt;0,Table13[[#This Row],[New Pos L]],Table13[[#This Row],[New Pos R]])</f>
        <v>26</v>
      </c>
      <c r="H3862">
        <f>IF(AND(Table13[[#This Row],[Direction]]="L",Table13[[#This Row],[Steps]]&gt;G3861,G3861&lt;&gt;0),1,0)</f>
        <v>0</v>
      </c>
      <c r="I3862">
        <f>IF(AND(Table13[[#This Row],[Direction]]="R",(G3861+Table13[[#This Row],[Steps]])&gt;100),1,0)</f>
        <v>0</v>
      </c>
      <c r="J3862">
        <f>IF(Table13[[#This Row],[POS]]=0,1,0)</f>
        <v>0</v>
      </c>
      <c r="K3862">
        <f>SUM(Table13[[#This Row],[prefix]],Table13[[#This Row],[Past zero L]],Table13[[#This Row],[Past Zero R]],Table13[[#This Row],[Is Zero]])</f>
        <v>0</v>
      </c>
    </row>
    <row r="3863" spans="1:11" ht="16" x14ac:dyDescent="0.2">
      <c r="A3863" s="1" t="s">
        <v>244</v>
      </c>
      <c r="B3863" t="str">
        <f>LEFT(Table13[[#This Row],[Input]],1)</f>
        <v>L</v>
      </c>
      <c r="C3863">
        <f>_xlfn.LET(_xlpm.steps,SUBSTITUTE(Table13[[#This Row],[Input]],Table13[[#This Row],[Direction]],""),VALUE(IF(LEN(_xlpm.steps)&gt;2,RIGHT(_xlpm.steps,2),_xlpm.steps)))</f>
        <v>98</v>
      </c>
      <c r="D3863">
        <f>_xlfn.LET(_xlpm.steps,SUBSTITUTE(Table13[[#This Row],[Input]],Table13[[#This Row],[Direction]],""),VALUE(IF(LEN(_xlpm.steps)&gt;2,LEFT(_xlpm.steps,LEN(_xlpm.steps)-2),0)))</f>
        <v>0</v>
      </c>
      <c r="E3863">
        <f>_xlfn.LET(_xlpm.dir,Table13[[#This Row],[Direction]],
IF(_xlpm.dir="L",
    IF(G3862-Table13[[#This Row],[Steps]]&lt;0,100+(G3862-Table13[[#This Row],[Steps]]),G3862-Table13[[#This Row],[Steps]]),
))</f>
        <v>28</v>
      </c>
      <c r="F3863">
        <f>_xlfn.LET(_xlpm.dir,Table13[[#This Row],[Direction]],
IF(_xlpm.dir="R",
    IF(G3862+Table13[[#This Row],[Steps]]&gt;99,(G3862+Table13[[#This Row],[Steps]])-100,G3862+Table13[[#This Row],[Steps]]),
))</f>
        <v>0</v>
      </c>
      <c r="G3863">
        <f>IF(Table13[[#This Row],[New Pos L]]&lt;&gt;0,Table13[[#This Row],[New Pos L]],Table13[[#This Row],[New Pos R]])</f>
        <v>28</v>
      </c>
      <c r="H3863">
        <f>IF(AND(Table13[[#This Row],[Direction]]="L",Table13[[#This Row],[Steps]]&gt;G3862,G3862&lt;&gt;0),1,0)</f>
        <v>1</v>
      </c>
      <c r="I3863">
        <f>IF(AND(Table13[[#This Row],[Direction]]="R",(G3862+Table13[[#This Row],[Steps]])&gt;100),1,0)</f>
        <v>0</v>
      </c>
      <c r="J3863">
        <f>IF(Table13[[#This Row],[POS]]=0,1,0)</f>
        <v>0</v>
      </c>
      <c r="K3863">
        <f>SUM(Table13[[#This Row],[prefix]],Table13[[#This Row],[Past zero L]],Table13[[#This Row],[Past Zero R]],Table13[[#This Row],[Is Zero]])</f>
        <v>1</v>
      </c>
    </row>
    <row r="3864" spans="1:11" ht="16" x14ac:dyDescent="0.2">
      <c r="A3864" s="1" t="s">
        <v>50</v>
      </c>
      <c r="B3864" t="str">
        <f>LEFT(Table13[[#This Row],[Input]],1)</f>
        <v>R</v>
      </c>
      <c r="C3864">
        <f>_xlfn.LET(_xlpm.steps,SUBSTITUTE(Table13[[#This Row],[Input]],Table13[[#This Row],[Direction]],""),VALUE(IF(LEN(_xlpm.steps)&gt;2,RIGHT(_xlpm.steps,2),_xlpm.steps)))</f>
        <v>78</v>
      </c>
      <c r="D3864">
        <f>_xlfn.LET(_xlpm.steps,SUBSTITUTE(Table13[[#This Row],[Input]],Table13[[#This Row],[Direction]],""),VALUE(IF(LEN(_xlpm.steps)&gt;2,LEFT(_xlpm.steps,LEN(_xlpm.steps)-2),0)))</f>
        <v>0</v>
      </c>
      <c r="E3864">
        <f>_xlfn.LET(_xlpm.dir,Table13[[#This Row],[Direction]],
IF(_xlpm.dir="L",
    IF(G3863-Table13[[#This Row],[Steps]]&lt;0,100+(G3863-Table13[[#This Row],[Steps]]),G3863-Table13[[#This Row],[Steps]]),
))</f>
        <v>0</v>
      </c>
      <c r="F3864">
        <f>_xlfn.LET(_xlpm.dir,Table13[[#This Row],[Direction]],
IF(_xlpm.dir="R",
    IF(G3863+Table13[[#This Row],[Steps]]&gt;99,(G3863+Table13[[#This Row],[Steps]])-100,G3863+Table13[[#This Row],[Steps]]),
))</f>
        <v>6</v>
      </c>
      <c r="G3864">
        <f>IF(Table13[[#This Row],[New Pos L]]&lt;&gt;0,Table13[[#This Row],[New Pos L]],Table13[[#This Row],[New Pos R]])</f>
        <v>6</v>
      </c>
      <c r="H3864">
        <f>IF(AND(Table13[[#This Row],[Direction]]="L",Table13[[#This Row],[Steps]]&gt;G3863,G3863&lt;&gt;0),1,0)</f>
        <v>0</v>
      </c>
      <c r="I3864">
        <f>IF(AND(Table13[[#This Row],[Direction]]="R",(G3863+Table13[[#This Row],[Steps]])&gt;100),1,0)</f>
        <v>1</v>
      </c>
      <c r="J3864">
        <f>IF(Table13[[#This Row],[POS]]=0,1,0)</f>
        <v>0</v>
      </c>
      <c r="K3864">
        <f>SUM(Table13[[#This Row],[prefix]],Table13[[#This Row],[Past zero L]],Table13[[#This Row],[Past Zero R]],Table13[[#This Row],[Is Zero]])</f>
        <v>1</v>
      </c>
    </row>
    <row r="3865" spans="1:11" ht="16" x14ac:dyDescent="0.2">
      <c r="A3865" s="1" t="s">
        <v>253</v>
      </c>
      <c r="B3865" t="str">
        <f>LEFT(Table13[[#This Row],[Input]],1)</f>
        <v>R</v>
      </c>
      <c r="C3865">
        <f>_xlfn.LET(_xlpm.steps,SUBSTITUTE(Table13[[#This Row],[Input]],Table13[[#This Row],[Direction]],""),VALUE(IF(LEN(_xlpm.steps)&gt;2,RIGHT(_xlpm.steps,2),_xlpm.steps)))</f>
        <v>94</v>
      </c>
      <c r="D3865">
        <f>_xlfn.LET(_xlpm.steps,SUBSTITUTE(Table13[[#This Row],[Input]],Table13[[#This Row],[Direction]],""),VALUE(IF(LEN(_xlpm.steps)&gt;2,LEFT(_xlpm.steps,LEN(_xlpm.steps)-2),0)))</f>
        <v>0</v>
      </c>
      <c r="E3865">
        <f>_xlfn.LET(_xlpm.dir,Table13[[#This Row],[Direction]],
IF(_xlpm.dir="L",
    IF(G3864-Table13[[#This Row],[Steps]]&lt;0,100+(G3864-Table13[[#This Row],[Steps]]),G3864-Table13[[#This Row],[Steps]]),
))</f>
        <v>0</v>
      </c>
      <c r="F3865">
        <f>_xlfn.LET(_xlpm.dir,Table13[[#This Row],[Direction]],
IF(_xlpm.dir="R",
    IF(G3864+Table13[[#This Row],[Steps]]&gt;99,(G3864+Table13[[#This Row],[Steps]])-100,G3864+Table13[[#This Row],[Steps]]),
))</f>
        <v>0</v>
      </c>
      <c r="G3865">
        <f>IF(Table13[[#This Row],[New Pos L]]&lt;&gt;0,Table13[[#This Row],[New Pos L]],Table13[[#This Row],[New Pos R]])</f>
        <v>0</v>
      </c>
      <c r="H3865">
        <f>IF(AND(Table13[[#This Row],[Direction]]="L",Table13[[#This Row],[Steps]]&gt;G3864,G3864&lt;&gt;0),1,0)</f>
        <v>0</v>
      </c>
      <c r="I3865">
        <f>IF(AND(Table13[[#This Row],[Direction]]="R",(G3864+Table13[[#This Row],[Steps]])&gt;100),1,0)</f>
        <v>0</v>
      </c>
      <c r="J3865">
        <f>IF(Table13[[#This Row],[POS]]=0,1,0)</f>
        <v>1</v>
      </c>
      <c r="K3865">
        <f>SUM(Table13[[#This Row],[prefix]],Table13[[#This Row],[Past zero L]],Table13[[#This Row],[Past Zero R]],Table13[[#This Row],[Is Zero]])</f>
        <v>1</v>
      </c>
    </row>
    <row r="3866" spans="1:11" ht="16" x14ac:dyDescent="0.2">
      <c r="A3866" s="1" t="s">
        <v>182</v>
      </c>
      <c r="B3866" t="str">
        <f>LEFT(Table13[[#This Row],[Input]],1)</f>
        <v>L</v>
      </c>
      <c r="C3866">
        <f>_xlfn.LET(_xlpm.steps,SUBSTITUTE(Table13[[#This Row],[Input]],Table13[[#This Row],[Direction]],""),VALUE(IF(LEN(_xlpm.steps)&gt;2,RIGHT(_xlpm.steps,2),_xlpm.steps)))</f>
        <v>3</v>
      </c>
      <c r="D3866">
        <f>_xlfn.LET(_xlpm.steps,SUBSTITUTE(Table13[[#This Row],[Input]],Table13[[#This Row],[Direction]],""),VALUE(IF(LEN(_xlpm.steps)&gt;2,LEFT(_xlpm.steps,LEN(_xlpm.steps)-2),0)))</f>
        <v>0</v>
      </c>
      <c r="E3866">
        <f>_xlfn.LET(_xlpm.dir,Table13[[#This Row],[Direction]],
IF(_xlpm.dir="L",
    IF(G3865-Table13[[#This Row],[Steps]]&lt;0,100+(G3865-Table13[[#This Row],[Steps]]),G3865-Table13[[#This Row],[Steps]]),
))</f>
        <v>97</v>
      </c>
      <c r="F3866">
        <f>_xlfn.LET(_xlpm.dir,Table13[[#This Row],[Direction]],
IF(_xlpm.dir="R",
    IF(G3865+Table13[[#This Row],[Steps]]&gt;99,(G3865+Table13[[#This Row],[Steps]])-100,G3865+Table13[[#This Row],[Steps]]),
))</f>
        <v>0</v>
      </c>
      <c r="G3866">
        <f>IF(Table13[[#This Row],[New Pos L]]&lt;&gt;0,Table13[[#This Row],[New Pos L]],Table13[[#This Row],[New Pos R]])</f>
        <v>97</v>
      </c>
      <c r="H3866">
        <f>IF(AND(Table13[[#This Row],[Direction]]="L",Table13[[#This Row],[Steps]]&gt;G3865,G3865&lt;&gt;0),1,0)</f>
        <v>0</v>
      </c>
      <c r="I3866">
        <f>IF(AND(Table13[[#This Row],[Direction]]="R",(G3865+Table13[[#This Row],[Steps]])&gt;100),1,0)</f>
        <v>0</v>
      </c>
      <c r="J3866">
        <f>IF(Table13[[#This Row],[POS]]=0,1,0)</f>
        <v>0</v>
      </c>
      <c r="K3866">
        <f>SUM(Table13[[#This Row],[prefix]],Table13[[#This Row],[Past zero L]],Table13[[#This Row],[Past Zero R]],Table13[[#This Row],[Is Zero]])</f>
        <v>0</v>
      </c>
    </row>
    <row r="3867" spans="1:11" ht="16" x14ac:dyDescent="0.2">
      <c r="A3867" s="1" t="s">
        <v>97</v>
      </c>
      <c r="B3867" t="str">
        <f>LEFT(Table13[[#This Row],[Input]],1)</f>
        <v>L</v>
      </c>
      <c r="C3867">
        <f>_xlfn.LET(_xlpm.steps,SUBSTITUTE(Table13[[#This Row],[Input]],Table13[[#This Row],[Direction]],""),VALUE(IF(LEN(_xlpm.steps)&gt;2,RIGHT(_xlpm.steps,2),_xlpm.steps)))</f>
        <v>97</v>
      </c>
      <c r="D3867">
        <f>_xlfn.LET(_xlpm.steps,SUBSTITUTE(Table13[[#This Row],[Input]],Table13[[#This Row],[Direction]],""),VALUE(IF(LEN(_xlpm.steps)&gt;2,LEFT(_xlpm.steps,LEN(_xlpm.steps)-2),0)))</f>
        <v>1</v>
      </c>
      <c r="E3867">
        <f>_xlfn.LET(_xlpm.dir,Table13[[#This Row],[Direction]],
IF(_xlpm.dir="L",
    IF(G3866-Table13[[#This Row],[Steps]]&lt;0,100+(G3866-Table13[[#This Row],[Steps]]),G3866-Table13[[#This Row],[Steps]]),
))</f>
        <v>0</v>
      </c>
      <c r="F3867">
        <f>_xlfn.LET(_xlpm.dir,Table13[[#This Row],[Direction]],
IF(_xlpm.dir="R",
    IF(G3866+Table13[[#This Row],[Steps]]&gt;99,(G3866+Table13[[#This Row],[Steps]])-100,G3866+Table13[[#This Row],[Steps]]),
))</f>
        <v>0</v>
      </c>
      <c r="G3867">
        <f>IF(Table13[[#This Row],[New Pos L]]&lt;&gt;0,Table13[[#This Row],[New Pos L]],Table13[[#This Row],[New Pos R]])</f>
        <v>0</v>
      </c>
      <c r="H3867">
        <f>IF(AND(Table13[[#This Row],[Direction]]="L",Table13[[#This Row],[Steps]]&gt;G3866,G3866&lt;&gt;0),1,0)</f>
        <v>0</v>
      </c>
      <c r="I3867">
        <f>IF(AND(Table13[[#This Row],[Direction]]="R",(G3866+Table13[[#This Row],[Steps]])&gt;100),1,0)</f>
        <v>0</v>
      </c>
      <c r="J3867">
        <f>IF(Table13[[#This Row],[POS]]=0,1,0)</f>
        <v>1</v>
      </c>
      <c r="K3867">
        <f>SUM(Table13[[#This Row],[prefix]],Table13[[#This Row],[Past zero L]],Table13[[#This Row],[Past Zero R]],Table13[[#This Row],[Is Zero]])</f>
        <v>2</v>
      </c>
    </row>
    <row r="3868" spans="1:11" ht="16" x14ac:dyDescent="0.2">
      <c r="A3868" s="1" t="s">
        <v>811</v>
      </c>
      <c r="B3868" t="str">
        <f>LEFT(Table13[[#This Row],[Input]],1)</f>
        <v>L</v>
      </c>
      <c r="C3868">
        <f>_xlfn.LET(_xlpm.steps,SUBSTITUTE(Table13[[#This Row],[Input]],Table13[[#This Row],[Direction]],""),VALUE(IF(LEN(_xlpm.steps)&gt;2,RIGHT(_xlpm.steps,2),_xlpm.steps)))</f>
        <v>98</v>
      </c>
      <c r="D3868">
        <f>_xlfn.LET(_xlpm.steps,SUBSTITUTE(Table13[[#This Row],[Input]],Table13[[#This Row],[Direction]],""),VALUE(IF(LEN(_xlpm.steps)&gt;2,LEFT(_xlpm.steps,LEN(_xlpm.steps)-2),0)))</f>
        <v>6</v>
      </c>
      <c r="E3868">
        <f>_xlfn.LET(_xlpm.dir,Table13[[#This Row],[Direction]],
IF(_xlpm.dir="L",
    IF(G3867-Table13[[#This Row],[Steps]]&lt;0,100+(G3867-Table13[[#This Row],[Steps]]),G3867-Table13[[#This Row],[Steps]]),
))</f>
        <v>2</v>
      </c>
      <c r="F3868">
        <f>_xlfn.LET(_xlpm.dir,Table13[[#This Row],[Direction]],
IF(_xlpm.dir="R",
    IF(G3867+Table13[[#This Row],[Steps]]&gt;99,(G3867+Table13[[#This Row],[Steps]])-100,G3867+Table13[[#This Row],[Steps]]),
))</f>
        <v>0</v>
      </c>
      <c r="G3868">
        <f>IF(Table13[[#This Row],[New Pos L]]&lt;&gt;0,Table13[[#This Row],[New Pos L]],Table13[[#This Row],[New Pos R]])</f>
        <v>2</v>
      </c>
      <c r="H3868">
        <f>IF(AND(Table13[[#This Row],[Direction]]="L",Table13[[#This Row],[Steps]]&gt;G3867,G3867&lt;&gt;0),1,0)</f>
        <v>0</v>
      </c>
      <c r="I3868">
        <f>IF(AND(Table13[[#This Row],[Direction]]="R",(G3867+Table13[[#This Row],[Steps]])&gt;100),1,0)</f>
        <v>0</v>
      </c>
      <c r="J3868">
        <f>IF(Table13[[#This Row],[POS]]=0,1,0)</f>
        <v>0</v>
      </c>
      <c r="K3868">
        <f>SUM(Table13[[#This Row],[prefix]],Table13[[#This Row],[Past zero L]],Table13[[#This Row],[Past Zero R]],Table13[[#This Row],[Is Zero]])</f>
        <v>6</v>
      </c>
    </row>
    <row r="3869" spans="1:11" ht="16" x14ac:dyDescent="0.2">
      <c r="A3869" s="1" t="s">
        <v>105</v>
      </c>
      <c r="B3869" t="str">
        <f>LEFT(Table13[[#This Row],[Input]],1)</f>
        <v>R</v>
      </c>
      <c r="C3869">
        <f>_xlfn.LET(_xlpm.steps,SUBSTITUTE(Table13[[#This Row],[Input]],Table13[[#This Row],[Direction]],""),VALUE(IF(LEN(_xlpm.steps)&gt;2,RIGHT(_xlpm.steps,2),_xlpm.steps)))</f>
        <v>98</v>
      </c>
      <c r="D3869">
        <f>_xlfn.LET(_xlpm.steps,SUBSTITUTE(Table13[[#This Row],[Input]],Table13[[#This Row],[Direction]],""),VALUE(IF(LEN(_xlpm.steps)&gt;2,LEFT(_xlpm.steps,LEN(_xlpm.steps)-2),0)))</f>
        <v>0</v>
      </c>
      <c r="E3869">
        <f>_xlfn.LET(_xlpm.dir,Table13[[#This Row],[Direction]],
IF(_xlpm.dir="L",
    IF(G3868-Table13[[#This Row],[Steps]]&lt;0,100+(G3868-Table13[[#This Row],[Steps]]),G3868-Table13[[#This Row],[Steps]]),
))</f>
        <v>0</v>
      </c>
      <c r="F3869">
        <f>_xlfn.LET(_xlpm.dir,Table13[[#This Row],[Direction]],
IF(_xlpm.dir="R",
    IF(G3868+Table13[[#This Row],[Steps]]&gt;99,(G3868+Table13[[#This Row],[Steps]])-100,G3868+Table13[[#This Row],[Steps]]),
))</f>
        <v>0</v>
      </c>
      <c r="G3869">
        <f>IF(Table13[[#This Row],[New Pos L]]&lt;&gt;0,Table13[[#This Row],[New Pos L]],Table13[[#This Row],[New Pos R]])</f>
        <v>0</v>
      </c>
      <c r="H3869">
        <f>IF(AND(Table13[[#This Row],[Direction]]="L",Table13[[#This Row],[Steps]]&gt;G3868,G3868&lt;&gt;0),1,0)</f>
        <v>0</v>
      </c>
      <c r="I3869">
        <f>IF(AND(Table13[[#This Row],[Direction]]="R",(G3868+Table13[[#This Row],[Steps]])&gt;100),1,0)</f>
        <v>0</v>
      </c>
      <c r="J3869">
        <f>IF(Table13[[#This Row],[POS]]=0,1,0)</f>
        <v>1</v>
      </c>
      <c r="K3869">
        <f>SUM(Table13[[#This Row],[prefix]],Table13[[#This Row],[Past zero L]],Table13[[#This Row],[Past Zero R]],Table13[[#This Row],[Is Zero]])</f>
        <v>1</v>
      </c>
    </row>
    <row r="3870" spans="1:11" ht="16" x14ac:dyDescent="0.2">
      <c r="A3870" s="1" t="s">
        <v>35</v>
      </c>
      <c r="B3870" t="str">
        <f>LEFT(Table13[[#This Row],[Input]],1)</f>
        <v>L</v>
      </c>
      <c r="C3870">
        <f>_xlfn.LET(_xlpm.steps,SUBSTITUTE(Table13[[#This Row],[Input]],Table13[[#This Row],[Direction]],""),VALUE(IF(LEN(_xlpm.steps)&gt;2,RIGHT(_xlpm.steps,2),_xlpm.steps)))</f>
        <v>2</v>
      </c>
      <c r="D3870">
        <f>_xlfn.LET(_xlpm.steps,SUBSTITUTE(Table13[[#This Row],[Input]],Table13[[#This Row],[Direction]],""),VALUE(IF(LEN(_xlpm.steps)&gt;2,LEFT(_xlpm.steps,LEN(_xlpm.steps)-2),0)))</f>
        <v>0</v>
      </c>
      <c r="E3870">
        <f>_xlfn.LET(_xlpm.dir,Table13[[#This Row],[Direction]],
IF(_xlpm.dir="L",
    IF(G3869-Table13[[#This Row],[Steps]]&lt;0,100+(G3869-Table13[[#This Row],[Steps]]),G3869-Table13[[#This Row],[Steps]]),
))</f>
        <v>98</v>
      </c>
      <c r="F3870">
        <f>_xlfn.LET(_xlpm.dir,Table13[[#This Row],[Direction]],
IF(_xlpm.dir="R",
    IF(G3869+Table13[[#This Row],[Steps]]&gt;99,(G3869+Table13[[#This Row],[Steps]])-100,G3869+Table13[[#This Row],[Steps]]),
))</f>
        <v>0</v>
      </c>
      <c r="G3870">
        <f>IF(Table13[[#This Row],[New Pos L]]&lt;&gt;0,Table13[[#This Row],[New Pos L]],Table13[[#This Row],[New Pos R]])</f>
        <v>98</v>
      </c>
      <c r="H3870">
        <f>IF(AND(Table13[[#This Row],[Direction]]="L",Table13[[#This Row],[Steps]]&gt;G3869,G3869&lt;&gt;0),1,0)</f>
        <v>0</v>
      </c>
      <c r="I3870">
        <f>IF(AND(Table13[[#This Row],[Direction]]="R",(G3869+Table13[[#This Row],[Steps]])&gt;100),1,0)</f>
        <v>0</v>
      </c>
      <c r="J3870">
        <f>IF(Table13[[#This Row],[POS]]=0,1,0)</f>
        <v>0</v>
      </c>
      <c r="K3870">
        <f>SUM(Table13[[#This Row],[prefix]],Table13[[#This Row],[Past zero L]],Table13[[#This Row],[Past Zero R]],Table13[[#This Row],[Is Zero]])</f>
        <v>0</v>
      </c>
    </row>
    <row r="3871" spans="1:11" ht="16" x14ac:dyDescent="0.2">
      <c r="A3871" s="1" t="s">
        <v>812</v>
      </c>
      <c r="B3871" t="str">
        <f>LEFT(Table13[[#This Row],[Input]],1)</f>
        <v>R</v>
      </c>
      <c r="C3871">
        <f>_xlfn.LET(_xlpm.steps,SUBSTITUTE(Table13[[#This Row],[Input]],Table13[[#This Row],[Direction]],""),VALUE(IF(LEN(_xlpm.steps)&gt;2,RIGHT(_xlpm.steps,2),_xlpm.steps)))</f>
        <v>2</v>
      </c>
      <c r="D3871">
        <f>_xlfn.LET(_xlpm.steps,SUBSTITUTE(Table13[[#This Row],[Input]],Table13[[#This Row],[Direction]],""),VALUE(IF(LEN(_xlpm.steps)&gt;2,LEFT(_xlpm.steps,LEN(_xlpm.steps)-2),0)))</f>
        <v>5</v>
      </c>
      <c r="E3871">
        <f>_xlfn.LET(_xlpm.dir,Table13[[#This Row],[Direction]],
IF(_xlpm.dir="L",
    IF(G3870-Table13[[#This Row],[Steps]]&lt;0,100+(G3870-Table13[[#This Row],[Steps]]),G3870-Table13[[#This Row],[Steps]]),
))</f>
        <v>0</v>
      </c>
      <c r="F3871">
        <f>_xlfn.LET(_xlpm.dir,Table13[[#This Row],[Direction]],
IF(_xlpm.dir="R",
    IF(G3870+Table13[[#This Row],[Steps]]&gt;99,(G3870+Table13[[#This Row],[Steps]])-100,G3870+Table13[[#This Row],[Steps]]),
))</f>
        <v>0</v>
      </c>
      <c r="G3871">
        <f>IF(Table13[[#This Row],[New Pos L]]&lt;&gt;0,Table13[[#This Row],[New Pos L]],Table13[[#This Row],[New Pos R]])</f>
        <v>0</v>
      </c>
      <c r="H3871">
        <f>IF(AND(Table13[[#This Row],[Direction]]="L",Table13[[#This Row],[Steps]]&gt;G3870,G3870&lt;&gt;0),1,0)</f>
        <v>0</v>
      </c>
      <c r="I3871">
        <f>IF(AND(Table13[[#This Row],[Direction]]="R",(G3870+Table13[[#This Row],[Steps]])&gt;100),1,0)</f>
        <v>0</v>
      </c>
      <c r="J3871">
        <f>IF(Table13[[#This Row],[POS]]=0,1,0)</f>
        <v>1</v>
      </c>
      <c r="K3871">
        <f>SUM(Table13[[#This Row],[prefix]],Table13[[#This Row],[Past zero L]],Table13[[#This Row],[Past Zero R]],Table13[[#This Row],[Is Zero]])</f>
        <v>6</v>
      </c>
    </row>
    <row r="3872" spans="1:11" ht="16" x14ac:dyDescent="0.2">
      <c r="A3872" s="1" t="s">
        <v>83</v>
      </c>
      <c r="B3872" t="str">
        <f>LEFT(Table13[[#This Row],[Input]],1)</f>
        <v>R</v>
      </c>
      <c r="C3872">
        <f>_xlfn.LET(_xlpm.steps,SUBSTITUTE(Table13[[#This Row],[Input]],Table13[[#This Row],[Direction]],""),VALUE(IF(LEN(_xlpm.steps)&gt;2,RIGHT(_xlpm.steps,2),_xlpm.steps)))</f>
        <v>79</v>
      </c>
      <c r="D3872">
        <f>_xlfn.LET(_xlpm.steps,SUBSTITUTE(Table13[[#This Row],[Input]],Table13[[#This Row],[Direction]],""),VALUE(IF(LEN(_xlpm.steps)&gt;2,LEFT(_xlpm.steps,LEN(_xlpm.steps)-2),0)))</f>
        <v>0</v>
      </c>
      <c r="E3872">
        <f>_xlfn.LET(_xlpm.dir,Table13[[#This Row],[Direction]],
IF(_xlpm.dir="L",
    IF(G3871-Table13[[#This Row],[Steps]]&lt;0,100+(G3871-Table13[[#This Row],[Steps]]),G3871-Table13[[#This Row],[Steps]]),
))</f>
        <v>0</v>
      </c>
      <c r="F3872">
        <f>_xlfn.LET(_xlpm.dir,Table13[[#This Row],[Direction]],
IF(_xlpm.dir="R",
    IF(G3871+Table13[[#This Row],[Steps]]&gt;99,(G3871+Table13[[#This Row],[Steps]])-100,G3871+Table13[[#This Row],[Steps]]),
))</f>
        <v>79</v>
      </c>
      <c r="G3872">
        <f>IF(Table13[[#This Row],[New Pos L]]&lt;&gt;0,Table13[[#This Row],[New Pos L]],Table13[[#This Row],[New Pos R]])</f>
        <v>79</v>
      </c>
      <c r="H3872">
        <f>IF(AND(Table13[[#This Row],[Direction]]="L",Table13[[#This Row],[Steps]]&gt;G3871,G3871&lt;&gt;0),1,0)</f>
        <v>0</v>
      </c>
      <c r="I3872">
        <f>IF(AND(Table13[[#This Row],[Direction]]="R",(G3871+Table13[[#This Row],[Steps]])&gt;100),1,0)</f>
        <v>0</v>
      </c>
      <c r="J3872">
        <f>IF(Table13[[#This Row],[POS]]=0,1,0)</f>
        <v>0</v>
      </c>
      <c r="K3872">
        <f>SUM(Table13[[#This Row],[prefix]],Table13[[#This Row],[Past zero L]],Table13[[#This Row],[Past Zero R]],Table13[[#This Row],[Is Zero]])</f>
        <v>0</v>
      </c>
    </row>
    <row r="3873" spans="1:11" ht="16" x14ac:dyDescent="0.2">
      <c r="A3873" s="1" t="s">
        <v>73</v>
      </c>
      <c r="B3873" t="str">
        <f>LEFT(Table13[[#This Row],[Input]],1)</f>
        <v>R</v>
      </c>
      <c r="C3873">
        <f>_xlfn.LET(_xlpm.steps,SUBSTITUTE(Table13[[#This Row],[Input]],Table13[[#This Row],[Direction]],""),VALUE(IF(LEN(_xlpm.steps)&gt;2,RIGHT(_xlpm.steps,2),_xlpm.steps)))</f>
        <v>21</v>
      </c>
      <c r="D3873">
        <f>_xlfn.LET(_xlpm.steps,SUBSTITUTE(Table13[[#This Row],[Input]],Table13[[#This Row],[Direction]],""),VALUE(IF(LEN(_xlpm.steps)&gt;2,LEFT(_xlpm.steps,LEN(_xlpm.steps)-2),0)))</f>
        <v>0</v>
      </c>
      <c r="E3873">
        <f>_xlfn.LET(_xlpm.dir,Table13[[#This Row],[Direction]],
IF(_xlpm.dir="L",
    IF(G3872-Table13[[#This Row],[Steps]]&lt;0,100+(G3872-Table13[[#This Row],[Steps]]),G3872-Table13[[#This Row],[Steps]]),
))</f>
        <v>0</v>
      </c>
      <c r="F3873">
        <f>_xlfn.LET(_xlpm.dir,Table13[[#This Row],[Direction]],
IF(_xlpm.dir="R",
    IF(G3872+Table13[[#This Row],[Steps]]&gt;99,(G3872+Table13[[#This Row],[Steps]])-100,G3872+Table13[[#This Row],[Steps]]),
))</f>
        <v>0</v>
      </c>
      <c r="G3873">
        <f>IF(Table13[[#This Row],[New Pos L]]&lt;&gt;0,Table13[[#This Row],[New Pos L]],Table13[[#This Row],[New Pos R]])</f>
        <v>0</v>
      </c>
      <c r="H3873">
        <f>IF(AND(Table13[[#This Row],[Direction]]="L",Table13[[#This Row],[Steps]]&gt;G3872,G3872&lt;&gt;0),1,0)</f>
        <v>0</v>
      </c>
      <c r="I3873">
        <f>IF(AND(Table13[[#This Row],[Direction]]="R",(G3872+Table13[[#This Row],[Steps]])&gt;100),1,0)</f>
        <v>0</v>
      </c>
      <c r="J3873">
        <f>IF(Table13[[#This Row],[POS]]=0,1,0)</f>
        <v>1</v>
      </c>
      <c r="K3873">
        <f>SUM(Table13[[#This Row],[prefix]],Table13[[#This Row],[Past zero L]],Table13[[#This Row],[Past Zero R]],Table13[[#This Row],[Is Zero]])</f>
        <v>1</v>
      </c>
    </row>
    <row r="3874" spans="1:11" ht="16" x14ac:dyDescent="0.2">
      <c r="A3874" s="1" t="s">
        <v>813</v>
      </c>
      <c r="B3874" t="str">
        <f>LEFT(Table13[[#This Row],[Input]],1)</f>
        <v>R</v>
      </c>
      <c r="C3874">
        <f>_xlfn.LET(_xlpm.steps,SUBSTITUTE(Table13[[#This Row],[Input]],Table13[[#This Row],[Direction]],""),VALUE(IF(LEN(_xlpm.steps)&gt;2,RIGHT(_xlpm.steps,2),_xlpm.steps)))</f>
        <v>20</v>
      </c>
      <c r="D3874">
        <f>_xlfn.LET(_xlpm.steps,SUBSTITUTE(Table13[[#This Row],[Input]],Table13[[#This Row],[Direction]],""),VALUE(IF(LEN(_xlpm.steps)&gt;2,LEFT(_xlpm.steps,LEN(_xlpm.steps)-2),0)))</f>
        <v>6</v>
      </c>
      <c r="E3874">
        <f>_xlfn.LET(_xlpm.dir,Table13[[#This Row],[Direction]],
IF(_xlpm.dir="L",
    IF(G3873-Table13[[#This Row],[Steps]]&lt;0,100+(G3873-Table13[[#This Row],[Steps]]),G3873-Table13[[#This Row],[Steps]]),
))</f>
        <v>0</v>
      </c>
      <c r="F3874">
        <f>_xlfn.LET(_xlpm.dir,Table13[[#This Row],[Direction]],
IF(_xlpm.dir="R",
    IF(G3873+Table13[[#This Row],[Steps]]&gt;99,(G3873+Table13[[#This Row],[Steps]])-100,G3873+Table13[[#This Row],[Steps]]),
))</f>
        <v>20</v>
      </c>
      <c r="G3874">
        <f>IF(Table13[[#This Row],[New Pos L]]&lt;&gt;0,Table13[[#This Row],[New Pos L]],Table13[[#This Row],[New Pos R]])</f>
        <v>20</v>
      </c>
      <c r="H3874">
        <f>IF(AND(Table13[[#This Row],[Direction]]="L",Table13[[#This Row],[Steps]]&gt;G3873,G3873&lt;&gt;0),1,0)</f>
        <v>0</v>
      </c>
      <c r="I3874">
        <f>IF(AND(Table13[[#This Row],[Direction]]="R",(G3873+Table13[[#This Row],[Steps]])&gt;100),1,0)</f>
        <v>0</v>
      </c>
      <c r="J3874">
        <f>IF(Table13[[#This Row],[POS]]=0,1,0)</f>
        <v>0</v>
      </c>
      <c r="K3874">
        <f>SUM(Table13[[#This Row],[prefix]],Table13[[#This Row],[Past zero L]],Table13[[#This Row],[Past Zero R]],Table13[[#This Row],[Is Zero]])</f>
        <v>6</v>
      </c>
    </row>
    <row r="3875" spans="1:11" ht="16" x14ac:dyDescent="0.2">
      <c r="A3875" s="1" t="s">
        <v>605</v>
      </c>
      <c r="B3875" t="str">
        <f>LEFT(Table13[[#This Row],[Input]],1)</f>
        <v>R</v>
      </c>
      <c r="C3875">
        <f>_xlfn.LET(_xlpm.steps,SUBSTITUTE(Table13[[#This Row],[Input]],Table13[[#This Row],[Direction]],""),VALUE(IF(LEN(_xlpm.steps)&gt;2,RIGHT(_xlpm.steps,2),_xlpm.steps)))</f>
        <v>37</v>
      </c>
      <c r="D3875">
        <f>_xlfn.LET(_xlpm.steps,SUBSTITUTE(Table13[[#This Row],[Input]],Table13[[#This Row],[Direction]],""),VALUE(IF(LEN(_xlpm.steps)&gt;2,LEFT(_xlpm.steps,LEN(_xlpm.steps)-2),0)))</f>
        <v>6</v>
      </c>
      <c r="E3875">
        <f>_xlfn.LET(_xlpm.dir,Table13[[#This Row],[Direction]],
IF(_xlpm.dir="L",
    IF(G3874-Table13[[#This Row],[Steps]]&lt;0,100+(G3874-Table13[[#This Row],[Steps]]),G3874-Table13[[#This Row],[Steps]]),
))</f>
        <v>0</v>
      </c>
      <c r="F3875">
        <f>_xlfn.LET(_xlpm.dir,Table13[[#This Row],[Direction]],
IF(_xlpm.dir="R",
    IF(G3874+Table13[[#This Row],[Steps]]&gt;99,(G3874+Table13[[#This Row],[Steps]])-100,G3874+Table13[[#This Row],[Steps]]),
))</f>
        <v>57</v>
      </c>
      <c r="G3875">
        <f>IF(Table13[[#This Row],[New Pos L]]&lt;&gt;0,Table13[[#This Row],[New Pos L]],Table13[[#This Row],[New Pos R]])</f>
        <v>57</v>
      </c>
      <c r="H3875">
        <f>IF(AND(Table13[[#This Row],[Direction]]="L",Table13[[#This Row],[Steps]]&gt;G3874,G3874&lt;&gt;0),1,0)</f>
        <v>0</v>
      </c>
      <c r="I3875">
        <f>IF(AND(Table13[[#This Row],[Direction]]="R",(G3874+Table13[[#This Row],[Steps]])&gt;100),1,0)</f>
        <v>0</v>
      </c>
      <c r="J3875">
        <f>IF(Table13[[#This Row],[POS]]=0,1,0)</f>
        <v>0</v>
      </c>
      <c r="K3875">
        <f>SUM(Table13[[#This Row],[prefix]],Table13[[#This Row],[Past zero L]],Table13[[#This Row],[Past Zero R]],Table13[[#This Row],[Is Zero]])</f>
        <v>6</v>
      </c>
    </row>
    <row r="3876" spans="1:11" ht="16" x14ac:dyDescent="0.2">
      <c r="A3876" s="1" t="s">
        <v>20</v>
      </c>
      <c r="B3876" t="str">
        <f>LEFT(Table13[[#This Row],[Input]],1)</f>
        <v>R</v>
      </c>
      <c r="C3876">
        <f>_xlfn.LET(_xlpm.steps,SUBSTITUTE(Table13[[#This Row],[Input]],Table13[[#This Row],[Direction]],""),VALUE(IF(LEN(_xlpm.steps)&gt;2,RIGHT(_xlpm.steps,2),_xlpm.steps)))</f>
        <v>46</v>
      </c>
      <c r="D3876">
        <f>_xlfn.LET(_xlpm.steps,SUBSTITUTE(Table13[[#This Row],[Input]],Table13[[#This Row],[Direction]],""),VALUE(IF(LEN(_xlpm.steps)&gt;2,LEFT(_xlpm.steps,LEN(_xlpm.steps)-2),0)))</f>
        <v>0</v>
      </c>
      <c r="E3876">
        <f>_xlfn.LET(_xlpm.dir,Table13[[#This Row],[Direction]],
IF(_xlpm.dir="L",
    IF(G3875-Table13[[#This Row],[Steps]]&lt;0,100+(G3875-Table13[[#This Row],[Steps]]),G3875-Table13[[#This Row],[Steps]]),
))</f>
        <v>0</v>
      </c>
      <c r="F3876">
        <f>_xlfn.LET(_xlpm.dir,Table13[[#This Row],[Direction]],
IF(_xlpm.dir="R",
    IF(G3875+Table13[[#This Row],[Steps]]&gt;99,(G3875+Table13[[#This Row],[Steps]])-100,G3875+Table13[[#This Row],[Steps]]),
))</f>
        <v>3</v>
      </c>
      <c r="G3876">
        <f>IF(Table13[[#This Row],[New Pos L]]&lt;&gt;0,Table13[[#This Row],[New Pos L]],Table13[[#This Row],[New Pos R]])</f>
        <v>3</v>
      </c>
      <c r="H3876">
        <f>IF(AND(Table13[[#This Row],[Direction]]="L",Table13[[#This Row],[Steps]]&gt;G3875,G3875&lt;&gt;0),1,0)</f>
        <v>0</v>
      </c>
      <c r="I3876">
        <f>IF(AND(Table13[[#This Row],[Direction]]="R",(G3875+Table13[[#This Row],[Steps]])&gt;100),1,0)</f>
        <v>1</v>
      </c>
      <c r="J3876">
        <f>IF(Table13[[#This Row],[POS]]=0,1,0)</f>
        <v>0</v>
      </c>
      <c r="K3876">
        <f>SUM(Table13[[#This Row],[prefix]],Table13[[#This Row],[Past zero L]],Table13[[#This Row],[Past Zero R]],Table13[[#This Row],[Is Zero]])</f>
        <v>1</v>
      </c>
    </row>
    <row r="3877" spans="1:11" ht="16" x14ac:dyDescent="0.2">
      <c r="A3877" s="1" t="s">
        <v>47</v>
      </c>
      <c r="B3877" t="str">
        <f>LEFT(Table13[[#This Row],[Input]],1)</f>
        <v>R</v>
      </c>
      <c r="C3877">
        <f>_xlfn.LET(_xlpm.steps,SUBSTITUTE(Table13[[#This Row],[Input]],Table13[[#This Row],[Direction]],""),VALUE(IF(LEN(_xlpm.steps)&gt;2,RIGHT(_xlpm.steps,2),_xlpm.steps)))</f>
        <v>97</v>
      </c>
      <c r="D3877">
        <f>_xlfn.LET(_xlpm.steps,SUBSTITUTE(Table13[[#This Row],[Input]],Table13[[#This Row],[Direction]],""),VALUE(IF(LEN(_xlpm.steps)&gt;2,LEFT(_xlpm.steps,LEN(_xlpm.steps)-2),0)))</f>
        <v>0</v>
      </c>
      <c r="E3877">
        <f>_xlfn.LET(_xlpm.dir,Table13[[#This Row],[Direction]],
IF(_xlpm.dir="L",
    IF(G3876-Table13[[#This Row],[Steps]]&lt;0,100+(G3876-Table13[[#This Row],[Steps]]),G3876-Table13[[#This Row],[Steps]]),
))</f>
        <v>0</v>
      </c>
      <c r="F3877">
        <f>_xlfn.LET(_xlpm.dir,Table13[[#This Row],[Direction]],
IF(_xlpm.dir="R",
    IF(G3876+Table13[[#This Row],[Steps]]&gt;99,(G3876+Table13[[#This Row],[Steps]])-100,G3876+Table13[[#This Row],[Steps]]),
))</f>
        <v>0</v>
      </c>
      <c r="G3877">
        <f>IF(Table13[[#This Row],[New Pos L]]&lt;&gt;0,Table13[[#This Row],[New Pos L]],Table13[[#This Row],[New Pos R]])</f>
        <v>0</v>
      </c>
      <c r="H3877">
        <f>IF(AND(Table13[[#This Row],[Direction]]="L",Table13[[#This Row],[Steps]]&gt;G3876,G3876&lt;&gt;0),1,0)</f>
        <v>0</v>
      </c>
      <c r="I3877">
        <f>IF(AND(Table13[[#This Row],[Direction]]="R",(G3876+Table13[[#This Row],[Steps]])&gt;100),1,0)</f>
        <v>0</v>
      </c>
      <c r="J3877">
        <f>IF(Table13[[#This Row],[POS]]=0,1,0)</f>
        <v>1</v>
      </c>
      <c r="K3877">
        <f>SUM(Table13[[#This Row],[prefix]],Table13[[#This Row],[Past zero L]],Table13[[#This Row],[Past Zero R]],Table13[[#This Row],[Is Zero]])</f>
        <v>1</v>
      </c>
    </row>
    <row r="3878" spans="1:11" ht="16" x14ac:dyDescent="0.2">
      <c r="A3878" s="1" t="s">
        <v>41</v>
      </c>
      <c r="B3878" t="str">
        <f>LEFT(Table13[[#This Row],[Input]],1)</f>
        <v>L</v>
      </c>
      <c r="C3878">
        <f>_xlfn.LET(_xlpm.steps,SUBSTITUTE(Table13[[#This Row],[Input]],Table13[[#This Row],[Direction]],""),VALUE(IF(LEN(_xlpm.steps)&gt;2,RIGHT(_xlpm.steps,2),_xlpm.steps)))</f>
        <v>7</v>
      </c>
      <c r="D3878">
        <f>_xlfn.LET(_xlpm.steps,SUBSTITUTE(Table13[[#This Row],[Input]],Table13[[#This Row],[Direction]],""),VALUE(IF(LEN(_xlpm.steps)&gt;2,LEFT(_xlpm.steps,LEN(_xlpm.steps)-2),0)))</f>
        <v>0</v>
      </c>
      <c r="E3878">
        <f>_xlfn.LET(_xlpm.dir,Table13[[#This Row],[Direction]],
IF(_xlpm.dir="L",
    IF(G3877-Table13[[#This Row],[Steps]]&lt;0,100+(G3877-Table13[[#This Row],[Steps]]),G3877-Table13[[#This Row],[Steps]]),
))</f>
        <v>93</v>
      </c>
      <c r="F3878">
        <f>_xlfn.LET(_xlpm.dir,Table13[[#This Row],[Direction]],
IF(_xlpm.dir="R",
    IF(G3877+Table13[[#This Row],[Steps]]&gt;99,(G3877+Table13[[#This Row],[Steps]])-100,G3877+Table13[[#This Row],[Steps]]),
))</f>
        <v>0</v>
      </c>
      <c r="G3878">
        <f>IF(Table13[[#This Row],[New Pos L]]&lt;&gt;0,Table13[[#This Row],[New Pos L]],Table13[[#This Row],[New Pos R]])</f>
        <v>93</v>
      </c>
      <c r="H3878">
        <f>IF(AND(Table13[[#This Row],[Direction]]="L",Table13[[#This Row],[Steps]]&gt;G3877,G3877&lt;&gt;0),1,0)</f>
        <v>0</v>
      </c>
      <c r="I3878">
        <f>IF(AND(Table13[[#This Row],[Direction]]="R",(G3877+Table13[[#This Row],[Steps]])&gt;100),1,0)</f>
        <v>0</v>
      </c>
      <c r="J3878">
        <f>IF(Table13[[#This Row],[POS]]=0,1,0)</f>
        <v>0</v>
      </c>
      <c r="K3878">
        <f>SUM(Table13[[#This Row],[prefix]],Table13[[#This Row],[Past zero L]],Table13[[#This Row],[Past Zero R]],Table13[[#This Row],[Is Zero]])</f>
        <v>0</v>
      </c>
    </row>
    <row r="3879" spans="1:11" ht="16" x14ac:dyDescent="0.2">
      <c r="A3879" s="1" t="s">
        <v>772</v>
      </c>
      <c r="B3879" t="str">
        <f>LEFT(Table13[[#This Row],[Input]],1)</f>
        <v>L</v>
      </c>
      <c r="C3879">
        <f>_xlfn.LET(_xlpm.steps,SUBSTITUTE(Table13[[#This Row],[Input]],Table13[[#This Row],[Direction]],""),VALUE(IF(LEN(_xlpm.steps)&gt;2,RIGHT(_xlpm.steps,2),_xlpm.steps)))</f>
        <v>95</v>
      </c>
      <c r="D3879">
        <f>_xlfn.LET(_xlpm.steps,SUBSTITUTE(Table13[[#This Row],[Input]],Table13[[#This Row],[Direction]],""),VALUE(IF(LEN(_xlpm.steps)&gt;2,LEFT(_xlpm.steps,LEN(_xlpm.steps)-2),0)))</f>
        <v>8</v>
      </c>
      <c r="E3879">
        <f>_xlfn.LET(_xlpm.dir,Table13[[#This Row],[Direction]],
IF(_xlpm.dir="L",
    IF(G3878-Table13[[#This Row],[Steps]]&lt;0,100+(G3878-Table13[[#This Row],[Steps]]),G3878-Table13[[#This Row],[Steps]]),
))</f>
        <v>98</v>
      </c>
      <c r="F3879">
        <f>_xlfn.LET(_xlpm.dir,Table13[[#This Row],[Direction]],
IF(_xlpm.dir="R",
    IF(G3878+Table13[[#This Row],[Steps]]&gt;99,(G3878+Table13[[#This Row],[Steps]])-100,G3878+Table13[[#This Row],[Steps]]),
))</f>
        <v>0</v>
      </c>
      <c r="G3879">
        <f>IF(Table13[[#This Row],[New Pos L]]&lt;&gt;0,Table13[[#This Row],[New Pos L]],Table13[[#This Row],[New Pos R]])</f>
        <v>98</v>
      </c>
      <c r="H3879">
        <f>IF(AND(Table13[[#This Row],[Direction]]="L",Table13[[#This Row],[Steps]]&gt;G3878,G3878&lt;&gt;0),1,0)</f>
        <v>1</v>
      </c>
      <c r="I3879">
        <f>IF(AND(Table13[[#This Row],[Direction]]="R",(G3878+Table13[[#This Row],[Steps]])&gt;100),1,0)</f>
        <v>0</v>
      </c>
      <c r="J3879">
        <f>IF(Table13[[#This Row],[POS]]=0,1,0)</f>
        <v>0</v>
      </c>
      <c r="K3879">
        <f>SUM(Table13[[#This Row],[prefix]],Table13[[#This Row],[Past zero L]],Table13[[#This Row],[Past Zero R]],Table13[[#This Row],[Is Zero]])</f>
        <v>9</v>
      </c>
    </row>
    <row r="3880" spans="1:11" ht="16" x14ac:dyDescent="0.2">
      <c r="A3880" s="1" t="s">
        <v>814</v>
      </c>
      <c r="B3880" t="str">
        <f>LEFT(Table13[[#This Row],[Input]],1)</f>
        <v>L</v>
      </c>
      <c r="C3880">
        <f>_xlfn.LET(_xlpm.steps,SUBSTITUTE(Table13[[#This Row],[Input]],Table13[[#This Row],[Direction]],""),VALUE(IF(LEN(_xlpm.steps)&gt;2,RIGHT(_xlpm.steps,2),_xlpm.steps)))</f>
        <v>98</v>
      </c>
      <c r="D3880">
        <f>_xlfn.LET(_xlpm.steps,SUBSTITUTE(Table13[[#This Row],[Input]],Table13[[#This Row],[Direction]],""),VALUE(IF(LEN(_xlpm.steps)&gt;2,LEFT(_xlpm.steps,LEN(_xlpm.steps)-2),0)))</f>
        <v>5</v>
      </c>
      <c r="E3880">
        <f>_xlfn.LET(_xlpm.dir,Table13[[#This Row],[Direction]],
IF(_xlpm.dir="L",
    IF(G3879-Table13[[#This Row],[Steps]]&lt;0,100+(G3879-Table13[[#This Row],[Steps]]),G3879-Table13[[#This Row],[Steps]]),
))</f>
        <v>0</v>
      </c>
      <c r="F3880">
        <f>_xlfn.LET(_xlpm.dir,Table13[[#This Row],[Direction]],
IF(_xlpm.dir="R",
    IF(G3879+Table13[[#This Row],[Steps]]&gt;99,(G3879+Table13[[#This Row],[Steps]])-100,G3879+Table13[[#This Row],[Steps]]),
))</f>
        <v>0</v>
      </c>
      <c r="G3880">
        <f>IF(Table13[[#This Row],[New Pos L]]&lt;&gt;0,Table13[[#This Row],[New Pos L]],Table13[[#This Row],[New Pos R]])</f>
        <v>0</v>
      </c>
      <c r="H3880">
        <f>IF(AND(Table13[[#This Row],[Direction]]="L",Table13[[#This Row],[Steps]]&gt;G3879,G3879&lt;&gt;0),1,0)</f>
        <v>0</v>
      </c>
      <c r="I3880">
        <f>IF(AND(Table13[[#This Row],[Direction]]="R",(G3879+Table13[[#This Row],[Steps]])&gt;100),1,0)</f>
        <v>0</v>
      </c>
      <c r="J3880">
        <f>IF(Table13[[#This Row],[POS]]=0,1,0)</f>
        <v>1</v>
      </c>
      <c r="K3880">
        <f>SUM(Table13[[#This Row],[prefix]],Table13[[#This Row],[Past zero L]],Table13[[#This Row],[Past Zero R]],Table13[[#This Row],[Is Zero]])</f>
        <v>6</v>
      </c>
    </row>
    <row r="3881" spans="1:11" ht="16" x14ac:dyDescent="0.2">
      <c r="A3881" s="1" t="s">
        <v>55</v>
      </c>
      <c r="B3881" t="str">
        <f>LEFT(Table13[[#This Row],[Input]],1)</f>
        <v>L</v>
      </c>
      <c r="C3881">
        <f>_xlfn.LET(_xlpm.steps,SUBSTITUTE(Table13[[#This Row],[Input]],Table13[[#This Row],[Direction]],""),VALUE(IF(LEN(_xlpm.steps)&gt;2,RIGHT(_xlpm.steps,2),_xlpm.steps)))</f>
        <v>82</v>
      </c>
      <c r="D3881">
        <f>_xlfn.LET(_xlpm.steps,SUBSTITUTE(Table13[[#This Row],[Input]],Table13[[#This Row],[Direction]],""),VALUE(IF(LEN(_xlpm.steps)&gt;2,LEFT(_xlpm.steps,LEN(_xlpm.steps)-2),0)))</f>
        <v>0</v>
      </c>
      <c r="E3881">
        <f>_xlfn.LET(_xlpm.dir,Table13[[#This Row],[Direction]],
IF(_xlpm.dir="L",
    IF(G3880-Table13[[#This Row],[Steps]]&lt;0,100+(G3880-Table13[[#This Row],[Steps]]),G3880-Table13[[#This Row],[Steps]]),
))</f>
        <v>18</v>
      </c>
      <c r="F3881">
        <f>_xlfn.LET(_xlpm.dir,Table13[[#This Row],[Direction]],
IF(_xlpm.dir="R",
    IF(G3880+Table13[[#This Row],[Steps]]&gt;99,(G3880+Table13[[#This Row],[Steps]])-100,G3880+Table13[[#This Row],[Steps]]),
))</f>
        <v>0</v>
      </c>
      <c r="G3881">
        <f>IF(Table13[[#This Row],[New Pos L]]&lt;&gt;0,Table13[[#This Row],[New Pos L]],Table13[[#This Row],[New Pos R]])</f>
        <v>18</v>
      </c>
      <c r="H3881">
        <f>IF(AND(Table13[[#This Row],[Direction]]="L",Table13[[#This Row],[Steps]]&gt;G3880,G3880&lt;&gt;0),1,0)</f>
        <v>0</v>
      </c>
      <c r="I3881">
        <f>IF(AND(Table13[[#This Row],[Direction]]="R",(G3880+Table13[[#This Row],[Steps]])&gt;100),1,0)</f>
        <v>0</v>
      </c>
      <c r="J3881">
        <f>IF(Table13[[#This Row],[POS]]=0,1,0)</f>
        <v>0</v>
      </c>
      <c r="K3881">
        <f>SUM(Table13[[#This Row],[prefix]],Table13[[#This Row],[Past zero L]],Table13[[#This Row],[Past Zero R]],Table13[[#This Row],[Is Zero]])</f>
        <v>0</v>
      </c>
    </row>
    <row r="3882" spans="1:11" ht="16" x14ac:dyDescent="0.2">
      <c r="A3882" s="1" t="s">
        <v>155</v>
      </c>
      <c r="B3882" t="str">
        <f>LEFT(Table13[[#This Row],[Input]],1)</f>
        <v>L</v>
      </c>
      <c r="C3882">
        <f>_xlfn.LET(_xlpm.steps,SUBSTITUTE(Table13[[#This Row],[Input]],Table13[[#This Row],[Direction]],""),VALUE(IF(LEN(_xlpm.steps)&gt;2,RIGHT(_xlpm.steps,2),_xlpm.steps)))</f>
        <v>18</v>
      </c>
      <c r="D3882">
        <f>_xlfn.LET(_xlpm.steps,SUBSTITUTE(Table13[[#This Row],[Input]],Table13[[#This Row],[Direction]],""),VALUE(IF(LEN(_xlpm.steps)&gt;2,LEFT(_xlpm.steps,LEN(_xlpm.steps)-2),0)))</f>
        <v>0</v>
      </c>
      <c r="E3882">
        <f>_xlfn.LET(_xlpm.dir,Table13[[#This Row],[Direction]],
IF(_xlpm.dir="L",
    IF(G3881-Table13[[#This Row],[Steps]]&lt;0,100+(G3881-Table13[[#This Row],[Steps]]),G3881-Table13[[#This Row],[Steps]]),
))</f>
        <v>0</v>
      </c>
      <c r="F3882">
        <f>_xlfn.LET(_xlpm.dir,Table13[[#This Row],[Direction]],
IF(_xlpm.dir="R",
    IF(G3881+Table13[[#This Row],[Steps]]&gt;99,(G3881+Table13[[#This Row],[Steps]])-100,G3881+Table13[[#This Row],[Steps]]),
))</f>
        <v>0</v>
      </c>
      <c r="G3882">
        <f>IF(Table13[[#This Row],[New Pos L]]&lt;&gt;0,Table13[[#This Row],[New Pos L]],Table13[[#This Row],[New Pos R]])</f>
        <v>0</v>
      </c>
      <c r="H3882">
        <f>IF(AND(Table13[[#This Row],[Direction]]="L",Table13[[#This Row],[Steps]]&gt;G3881,G3881&lt;&gt;0),1,0)</f>
        <v>0</v>
      </c>
      <c r="I3882">
        <f>IF(AND(Table13[[#This Row],[Direction]]="R",(G3881+Table13[[#This Row],[Steps]])&gt;100),1,0)</f>
        <v>0</v>
      </c>
      <c r="J3882">
        <f>IF(Table13[[#This Row],[POS]]=0,1,0)</f>
        <v>1</v>
      </c>
      <c r="K3882">
        <f>SUM(Table13[[#This Row],[prefix]],Table13[[#This Row],[Past zero L]],Table13[[#This Row],[Past Zero R]],Table13[[#This Row],[Is Zero]])</f>
        <v>1</v>
      </c>
    </row>
    <row r="3883" spans="1:11" ht="16" x14ac:dyDescent="0.2">
      <c r="A3883" s="1" t="s">
        <v>234</v>
      </c>
      <c r="B3883" t="str">
        <f>LEFT(Table13[[#This Row],[Input]],1)</f>
        <v>R</v>
      </c>
      <c r="C3883">
        <f>_xlfn.LET(_xlpm.steps,SUBSTITUTE(Table13[[#This Row],[Input]],Table13[[#This Row],[Direction]],""),VALUE(IF(LEN(_xlpm.steps)&gt;2,RIGHT(_xlpm.steps,2),_xlpm.steps)))</f>
        <v>82</v>
      </c>
      <c r="D3883">
        <f>_xlfn.LET(_xlpm.steps,SUBSTITUTE(Table13[[#This Row],[Input]],Table13[[#This Row],[Direction]],""),VALUE(IF(LEN(_xlpm.steps)&gt;2,LEFT(_xlpm.steps,LEN(_xlpm.steps)-2),0)))</f>
        <v>0</v>
      </c>
      <c r="E3883">
        <f>_xlfn.LET(_xlpm.dir,Table13[[#This Row],[Direction]],
IF(_xlpm.dir="L",
    IF(G3882-Table13[[#This Row],[Steps]]&lt;0,100+(G3882-Table13[[#This Row],[Steps]]),G3882-Table13[[#This Row],[Steps]]),
))</f>
        <v>0</v>
      </c>
      <c r="F3883">
        <f>_xlfn.LET(_xlpm.dir,Table13[[#This Row],[Direction]],
IF(_xlpm.dir="R",
    IF(G3882+Table13[[#This Row],[Steps]]&gt;99,(G3882+Table13[[#This Row],[Steps]])-100,G3882+Table13[[#This Row],[Steps]]),
))</f>
        <v>82</v>
      </c>
      <c r="G3883">
        <f>IF(Table13[[#This Row],[New Pos L]]&lt;&gt;0,Table13[[#This Row],[New Pos L]],Table13[[#This Row],[New Pos R]])</f>
        <v>82</v>
      </c>
      <c r="H3883">
        <f>IF(AND(Table13[[#This Row],[Direction]]="L",Table13[[#This Row],[Steps]]&gt;G3882,G3882&lt;&gt;0),1,0)</f>
        <v>0</v>
      </c>
      <c r="I3883">
        <f>IF(AND(Table13[[#This Row],[Direction]]="R",(G3882+Table13[[#This Row],[Steps]])&gt;100),1,0)</f>
        <v>0</v>
      </c>
      <c r="J3883">
        <f>IF(Table13[[#This Row],[POS]]=0,1,0)</f>
        <v>0</v>
      </c>
      <c r="K3883">
        <f>SUM(Table13[[#This Row],[prefix]],Table13[[#This Row],[Past zero L]],Table13[[#This Row],[Past Zero R]],Table13[[#This Row],[Is Zero]])</f>
        <v>0</v>
      </c>
    </row>
    <row r="3884" spans="1:11" ht="16" x14ac:dyDescent="0.2">
      <c r="A3884" s="1" t="s">
        <v>119</v>
      </c>
      <c r="B3884" t="str">
        <f>LEFT(Table13[[#This Row],[Input]],1)</f>
        <v>L</v>
      </c>
      <c r="C3884">
        <f>_xlfn.LET(_xlpm.steps,SUBSTITUTE(Table13[[#This Row],[Input]],Table13[[#This Row],[Direction]],""),VALUE(IF(LEN(_xlpm.steps)&gt;2,RIGHT(_xlpm.steps,2),_xlpm.steps)))</f>
        <v>77</v>
      </c>
      <c r="D3884">
        <f>_xlfn.LET(_xlpm.steps,SUBSTITUTE(Table13[[#This Row],[Input]],Table13[[#This Row],[Direction]],""),VALUE(IF(LEN(_xlpm.steps)&gt;2,LEFT(_xlpm.steps,LEN(_xlpm.steps)-2),0)))</f>
        <v>0</v>
      </c>
      <c r="E3884">
        <f>_xlfn.LET(_xlpm.dir,Table13[[#This Row],[Direction]],
IF(_xlpm.dir="L",
    IF(G3883-Table13[[#This Row],[Steps]]&lt;0,100+(G3883-Table13[[#This Row],[Steps]]),G3883-Table13[[#This Row],[Steps]]),
))</f>
        <v>5</v>
      </c>
      <c r="F3884">
        <f>_xlfn.LET(_xlpm.dir,Table13[[#This Row],[Direction]],
IF(_xlpm.dir="R",
    IF(G3883+Table13[[#This Row],[Steps]]&gt;99,(G3883+Table13[[#This Row],[Steps]])-100,G3883+Table13[[#This Row],[Steps]]),
))</f>
        <v>0</v>
      </c>
      <c r="G3884">
        <f>IF(Table13[[#This Row],[New Pos L]]&lt;&gt;0,Table13[[#This Row],[New Pos L]],Table13[[#This Row],[New Pos R]])</f>
        <v>5</v>
      </c>
      <c r="H3884">
        <f>IF(AND(Table13[[#This Row],[Direction]]="L",Table13[[#This Row],[Steps]]&gt;G3883,G3883&lt;&gt;0),1,0)</f>
        <v>0</v>
      </c>
      <c r="I3884">
        <f>IF(AND(Table13[[#This Row],[Direction]]="R",(G3883+Table13[[#This Row],[Steps]])&gt;100),1,0)</f>
        <v>0</v>
      </c>
      <c r="J3884">
        <f>IF(Table13[[#This Row],[POS]]=0,1,0)</f>
        <v>0</v>
      </c>
      <c r="K3884">
        <f>SUM(Table13[[#This Row],[prefix]],Table13[[#This Row],[Past zero L]],Table13[[#This Row],[Past Zero R]],Table13[[#This Row],[Is Zero]])</f>
        <v>0</v>
      </c>
    </row>
    <row r="3885" spans="1:11" ht="16" x14ac:dyDescent="0.2">
      <c r="A3885" s="1" t="s">
        <v>336</v>
      </c>
      <c r="B3885" t="str">
        <f>LEFT(Table13[[#This Row],[Input]],1)</f>
        <v>R</v>
      </c>
      <c r="C3885">
        <f>_xlfn.LET(_xlpm.steps,SUBSTITUTE(Table13[[#This Row],[Input]],Table13[[#This Row],[Direction]],""),VALUE(IF(LEN(_xlpm.steps)&gt;2,RIGHT(_xlpm.steps,2),_xlpm.steps)))</f>
        <v>95</v>
      </c>
      <c r="D3885">
        <f>_xlfn.LET(_xlpm.steps,SUBSTITUTE(Table13[[#This Row],[Input]],Table13[[#This Row],[Direction]],""),VALUE(IF(LEN(_xlpm.steps)&gt;2,LEFT(_xlpm.steps,LEN(_xlpm.steps)-2),0)))</f>
        <v>0</v>
      </c>
      <c r="E3885">
        <f>_xlfn.LET(_xlpm.dir,Table13[[#This Row],[Direction]],
IF(_xlpm.dir="L",
    IF(G3884-Table13[[#This Row],[Steps]]&lt;0,100+(G3884-Table13[[#This Row],[Steps]]),G3884-Table13[[#This Row],[Steps]]),
))</f>
        <v>0</v>
      </c>
      <c r="F3885">
        <f>_xlfn.LET(_xlpm.dir,Table13[[#This Row],[Direction]],
IF(_xlpm.dir="R",
    IF(G3884+Table13[[#This Row],[Steps]]&gt;99,(G3884+Table13[[#This Row],[Steps]])-100,G3884+Table13[[#This Row],[Steps]]),
))</f>
        <v>0</v>
      </c>
      <c r="G3885">
        <f>IF(Table13[[#This Row],[New Pos L]]&lt;&gt;0,Table13[[#This Row],[New Pos L]],Table13[[#This Row],[New Pos R]])</f>
        <v>0</v>
      </c>
      <c r="H3885">
        <f>IF(AND(Table13[[#This Row],[Direction]]="L",Table13[[#This Row],[Steps]]&gt;G3884,G3884&lt;&gt;0),1,0)</f>
        <v>0</v>
      </c>
      <c r="I3885">
        <f>IF(AND(Table13[[#This Row],[Direction]]="R",(G3884+Table13[[#This Row],[Steps]])&gt;100),1,0)</f>
        <v>0</v>
      </c>
      <c r="J3885">
        <f>IF(Table13[[#This Row],[POS]]=0,1,0)</f>
        <v>1</v>
      </c>
      <c r="K3885">
        <f>SUM(Table13[[#This Row],[prefix]],Table13[[#This Row],[Past zero L]],Table13[[#This Row],[Past Zero R]],Table13[[#This Row],[Is Zero]])</f>
        <v>1</v>
      </c>
    </row>
    <row r="3886" spans="1:11" ht="16" x14ac:dyDescent="0.2">
      <c r="A3886" s="1" t="s">
        <v>195</v>
      </c>
      <c r="B3886" t="str">
        <f>LEFT(Table13[[#This Row],[Input]],1)</f>
        <v>R</v>
      </c>
      <c r="C3886">
        <f>_xlfn.LET(_xlpm.steps,SUBSTITUTE(Table13[[#This Row],[Input]],Table13[[#This Row],[Direction]],""),VALUE(IF(LEN(_xlpm.steps)&gt;2,RIGHT(_xlpm.steps,2),_xlpm.steps)))</f>
        <v>40</v>
      </c>
      <c r="D3886">
        <f>_xlfn.LET(_xlpm.steps,SUBSTITUTE(Table13[[#This Row],[Input]],Table13[[#This Row],[Direction]],""),VALUE(IF(LEN(_xlpm.steps)&gt;2,LEFT(_xlpm.steps,LEN(_xlpm.steps)-2),0)))</f>
        <v>0</v>
      </c>
      <c r="E3886">
        <f>_xlfn.LET(_xlpm.dir,Table13[[#This Row],[Direction]],
IF(_xlpm.dir="L",
    IF(G3885-Table13[[#This Row],[Steps]]&lt;0,100+(G3885-Table13[[#This Row],[Steps]]),G3885-Table13[[#This Row],[Steps]]),
))</f>
        <v>0</v>
      </c>
      <c r="F3886">
        <f>_xlfn.LET(_xlpm.dir,Table13[[#This Row],[Direction]],
IF(_xlpm.dir="R",
    IF(G3885+Table13[[#This Row],[Steps]]&gt;99,(G3885+Table13[[#This Row],[Steps]])-100,G3885+Table13[[#This Row],[Steps]]),
))</f>
        <v>40</v>
      </c>
      <c r="G3886">
        <f>IF(Table13[[#This Row],[New Pos L]]&lt;&gt;0,Table13[[#This Row],[New Pos L]],Table13[[#This Row],[New Pos R]])</f>
        <v>40</v>
      </c>
      <c r="H3886">
        <f>IF(AND(Table13[[#This Row],[Direction]]="L",Table13[[#This Row],[Steps]]&gt;G3885,G3885&lt;&gt;0),1,0)</f>
        <v>0</v>
      </c>
      <c r="I3886">
        <f>IF(AND(Table13[[#This Row],[Direction]]="R",(G3885+Table13[[#This Row],[Steps]])&gt;100),1,0)</f>
        <v>0</v>
      </c>
      <c r="J3886">
        <f>IF(Table13[[#This Row],[POS]]=0,1,0)</f>
        <v>0</v>
      </c>
      <c r="K3886">
        <f>SUM(Table13[[#This Row],[prefix]],Table13[[#This Row],[Past zero L]],Table13[[#This Row],[Past Zero R]],Table13[[#This Row],[Is Zero]])</f>
        <v>0</v>
      </c>
    </row>
    <row r="3887" spans="1:11" ht="16" x14ac:dyDescent="0.2">
      <c r="A3887" s="1" t="s">
        <v>63</v>
      </c>
      <c r="B3887" t="str">
        <f>LEFT(Table13[[#This Row],[Input]],1)</f>
        <v>R</v>
      </c>
      <c r="C3887">
        <f>_xlfn.LET(_xlpm.steps,SUBSTITUTE(Table13[[#This Row],[Input]],Table13[[#This Row],[Direction]],""),VALUE(IF(LEN(_xlpm.steps)&gt;2,RIGHT(_xlpm.steps,2),_xlpm.steps)))</f>
        <v>57</v>
      </c>
      <c r="D3887">
        <f>_xlfn.LET(_xlpm.steps,SUBSTITUTE(Table13[[#This Row],[Input]],Table13[[#This Row],[Direction]],""),VALUE(IF(LEN(_xlpm.steps)&gt;2,LEFT(_xlpm.steps,LEN(_xlpm.steps)-2),0)))</f>
        <v>0</v>
      </c>
      <c r="E3887">
        <f>_xlfn.LET(_xlpm.dir,Table13[[#This Row],[Direction]],
IF(_xlpm.dir="L",
    IF(G3886-Table13[[#This Row],[Steps]]&lt;0,100+(G3886-Table13[[#This Row],[Steps]]),G3886-Table13[[#This Row],[Steps]]),
))</f>
        <v>0</v>
      </c>
      <c r="F3887">
        <f>_xlfn.LET(_xlpm.dir,Table13[[#This Row],[Direction]],
IF(_xlpm.dir="R",
    IF(G3886+Table13[[#This Row],[Steps]]&gt;99,(G3886+Table13[[#This Row],[Steps]])-100,G3886+Table13[[#This Row],[Steps]]),
))</f>
        <v>97</v>
      </c>
      <c r="G3887">
        <f>IF(Table13[[#This Row],[New Pos L]]&lt;&gt;0,Table13[[#This Row],[New Pos L]],Table13[[#This Row],[New Pos R]])</f>
        <v>97</v>
      </c>
      <c r="H3887">
        <f>IF(AND(Table13[[#This Row],[Direction]]="L",Table13[[#This Row],[Steps]]&gt;G3886,G3886&lt;&gt;0),1,0)</f>
        <v>0</v>
      </c>
      <c r="I3887">
        <f>IF(AND(Table13[[#This Row],[Direction]]="R",(G3886+Table13[[#This Row],[Steps]])&gt;100),1,0)</f>
        <v>0</v>
      </c>
      <c r="J3887">
        <f>IF(Table13[[#This Row],[POS]]=0,1,0)</f>
        <v>0</v>
      </c>
      <c r="K3887">
        <f>SUM(Table13[[#This Row],[prefix]],Table13[[#This Row],[Past zero L]],Table13[[#This Row],[Past Zero R]],Table13[[#This Row],[Is Zero]])</f>
        <v>0</v>
      </c>
    </row>
    <row r="3888" spans="1:11" ht="16" x14ac:dyDescent="0.2">
      <c r="A3888" s="1" t="s">
        <v>46</v>
      </c>
      <c r="B3888" t="str">
        <f>LEFT(Table13[[#This Row],[Input]],1)</f>
        <v>L</v>
      </c>
      <c r="C3888">
        <f>_xlfn.LET(_xlpm.steps,SUBSTITUTE(Table13[[#This Row],[Input]],Table13[[#This Row],[Direction]],""),VALUE(IF(LEN(_xlpm.steps)&gt;2,RIGHT(_xlpm.steps,2),_xlpm.steps)))</f>
        <v>97</v>
      </c>
      <c r="D3888">
        <f>_xlfn.LET(_xlpm.steps,SUBSTITUTE(Table13[[#This Row],[Input]],Table13[[#This Row],[Direction]],""),VALUE(IF(LEN(_xlpm.steps)&gt;2,LEFT(_xlpm.steps,LEN(_xlpm.steps)-2),0)))</f>
        <v>0</v>
      </c>
      <c r="E3888">
        <f>_xlfn.LET(_xlpm.dir,Table13[[#This Row],[Direction]],
IF(_xlpm.dir="L",
    IF(G3887-Table13[[#This Row],[Steps]]&lt;0,100+(G3887-Table13[[#This Row],[Steps]]),G3887-Table13[[#This Row],[Steps]]),
))</f>
        <v>0</v>
      </c>
      <c r="F3888">
        <f>_xlfn.LET(_xlpm.dir,Table13[[#This Row],[Direction]],
IF(_xlpm.dir="R",
    IF(G3887+Table13[[#This Row],[Steps]]&gt;99,(G3887+Table13[[#This Row],[Steps]])-100,G3887+Table13[[#This Row],[Steps]]),
))</f>
        <v>0</v>
      </c>
      <c r="G3888">
        <f>IF(Table13[[#This Row],[New Pos L]]&lt;&gt;0,Table13[[#This Row],[New Pos L]],Table13[[#This Row],[New Pos R]])</f>
        <v>0</v>
      </c>
      <c r="H3888">
        <f>IF(AND(Table13[[#This Row],[Direction]]="L",Table13[[#This Row],[Steps]]&gt;G3887,G3887&lt;&gt;0),1,0)</f>
        <v>0</v>
      </c>
      <c r="I3888">
        <f>IF(AND(Table13[[#This Row],[Direction]]="R",(G3887+Table13[[#This Row],[Steps]])&gt;100),1,0)</f>
        <v>0</v>
      </c>
      <c r="J3888">
        <f>IF(Table13[[#This Row],[POS]]=0,1,0)</f>
        <v>1</v>
      </c>
      <c r="K3888">
        <f>SUM(Table13[[#This Row],[prefix]],Table13[[#This Row],[Past zero L]],Table13[[#This Row],[Past Zero R]],Table13[[#This Row],[Is Zero]])</f>
        <v>1</v>
      </c>
    </row>
    <row r="3889" spans="1:11" ht="16" x14ac:dyDescent="0.2">
      <c r="A3889" s="1" t="s">
        <v>72</v>
      </c>
      <c r="B3889" t="str">
        <f>LEFT(Table13[[#This Row],[Input]],1)</f>
        <v>R</v>
      </c>
      <c r="C3889">
        <f>_xlfn.LET(_xlpm.steps,SUBSTITUTE(Table13[[#This Row],[Input]],Table13[[#This Row],[Direction]],""),VALUE(IF(LEN(_xlpm.steps)&gt;2,RIGHT(_xlpm.steps,2),_xlpm.steps)))</f>
        <v>43</v>
      </c>
      <c r="D3889">
        <f>_xlfn.LET(_xlpm.steps,SUBSTITUTE(Table13[[#This Row],[Input]],Table13[[#This Row],[Direction]],""),VALUE(IF(LEN(_xlpm.steps)&gt;2,LEFT(_xlpm.steps,LEN(_xlpm.steps)-2),0)))</f>
        <v>0</v>
      </c>
      <c r="E3889">
        <f>_xlfn.LET(_xlpm.dir,Table13[[#This Row],[Direction]],
IF(_xlpm.dir="L",
    IF(G3888-Table13[[#This Row],[Steps]]&lt;0,100+(G3888-Table13[[#This Row],[Steps]]),G3888-Table13[[#This Row],[Steps]]),
))</f>
        <v>0</v>
      </c>
      <c r="F3889">
        <f>_xlfn.LET(_xlpm.dir,Table13[[#This Row],[Direction]],
IF(_xlpm.dir="R",
    IF(G3888+Table13[[#This Row],[Steps]]&gt;99,(G3888+Table13[[#This Row],[Steps]])-100,G3888+Table13[[#This Row],[Steps]]),
))</f>
        <v>43</v>
      </c>
      <c r="G3889">
        <f>IF(Table13[[#This Row],[New Pos L]]&lt;&gt;0,Table13[[#This Row],[New Pos L]],Table13[[#This Row],[New Pos R]])</f>
        <v>43</v>
      </c>
      <c r="H3889">
        <f>IF(AND(Table13[[#This Row],[Direction]]="L",Table13[[#This Row],[Steps]]&gt;G3888,G3888&lt;&gt;0),1,0)</f>
        <v>0</v>
      </c>
      <c r="I3889">
        <f>IF(AND(Table13[[#This Row],[Direction]]="R",(G3888+Table13[[#This Row],[Steps]])&gt;100),1,0)</f>
        <v>0</v>
      </c>
      <c r="J3889">
        <f>IF(Table13[[#This Row],[POS]]=0,1,0)</f>
        <v>0</v>
      </c>
      <c r="K3889">
        <f>SUM(Table13[[#This Row],[prefix]],Table13[[#This Row],[Past zero L]],Table13[[#This Row],[Past Zero R]],Table13[[#This Row],[Is Zero]])</f>
        <v>0</v>
      </c>
    </row>
    <row r="3890" spans="1:11" ht="16" x14ac:dyDescent="0.2">
      <c r="A3890" s="1" t="s">
        <v>14</v>
      </c>
      <c r="B3890" t="str">
        <f>LEFT(Table13[[#This Row],[Input]],1)</f>
        <v>L</v>
      </c>
      <c r="C3890">
        <f>_xlfn.LET(_xlpm.steps,SUBSTITUTE(Table13[[#This Row],[Input]],Table13[[#This Row],[Direction]],""),VALUE(IF(LEN(_xlpm.steps)&gt;2,RIGHT(_xlpm.steps,2),_xlpm.steps)))</f>
        <v>43</v>
      </c>
      <c r="D3890">
        <f>_xlfn.LET(_xlpm.steps,SUBSTITUTE(Table13[[#This Row],[Input]],Table13[[#This Row],[Direction]],""),VALUE(IF(LEN(_xlpm.steps)&gt;2,LEFT(_xlpm.steps,LEN(_xlpm.steps)-2),0)))</f>
        <v>0</v>
      </c>
      <c r="E3890">
        <f>_xlfn.LET(_xlpm.dir,Table13[[#This Row],[Direction]],
IF(_xlpm.dir="L",
    IF(G3889-Table13[[#This Row],[Steps]]&lt;0,100+(G3889-Table13[[#This Row],[Steps]]),G3889-Table13[[#This Row],[Steps]]),
))</f>
        <v>0</v>
      </c>
      <c r="F3890">
        <f>_xlfn.LET(_xlpm.dir,Table13[[#This Row],[Direction]],
IF(_xlpm.dir="R",
    IF(G3889+Table13[[#This Row],[Steps]]&gt;99,(G3889+Table13[[#This Row],[Steps]])-100,G3889+Table13[[#This Row],[Steps]]),
))</f>
        <v>0</v>
      </c>
      <c r="G3890">
        <f>IF(Table13[[#This Row],[New Pos L]]&lt;&gt;0,Table13[[#This Row],[New Pos L]],Table13[[#This Row],[New Pos R]])</f>
        <v>0</v>
      </c>
      <c r="H3890">
        <f>IF(AND(Table13[[#This Row],[Direction]]="L",Table13[[#This Row],[Steps]]&gt;G3889,G3889&lt;&gt;0),1,0)</f>
        <v>0</v>
      </c>
      <c r="I3890">
        <f>IF(AND(Table13[[#This Row],[Direction]]="R",(G3889+Table13[[#This Row],[Steps]])&gt;100),1,0)</f>
        <v>0</v>
      </c>
      <c r="J3890">
        <f>IF(Table13[[#This Row],[POS]]=0,1,0)</f>
        <v>1</v>
      </c>
      <c r="K3890">
        <f>SUM(Table13[[#This Row],[prefix]],Table13[[#This Row],[Past zero L]],Table13[[#This Row],[Past Zero R]],Table13[[#This Row],[Is Zero]])</f>
        <v>1</v>
      </c>
    </row>
    <row r="3891" spans="1:11" ht="16" x14ac:dyDescent="0.2">
      <c r="A3891" s="1" t="s">
        <v>815</v>
      </c>
      <c r="B3891" t="str">
        <f>LEFT(Table13[[#This Row],[Input]],1)</f>
        <v>L</v>
      </c>
      <c r="C3891">
        <f>_xlfn.LET(_xlpm.steps,SUBSTITUTE(Table13[[#This Row],[Input]],Table13[[#This Row],[Direction]],""),VALUE(IF(LEN(_xlpm.steps)&gt;2,RIGHT(_xlpm.steps,2),_xlpm.steps)))</f>
        <v>92</v>
      </c>
      <c r="D3891">
        <f>_xlfn.LET(_xlpm.steps,SUBSTITUTE(Table13[[#This Row],[Input]],Table13[[#This Row],[Direction]],""),VALUE(IF(LEN(_xlpm.steps)&gt;2,LEFT(_xlpm.steps,LEN(_xlpm.steps)-2),0)))</f>
        <v>1</v>
      </c>
      <c r="E3891">
        <f>_xlfn.LET(_xlpm.dir,Table13[[#This Row],[Direction]],
IF(_xlpm.dir="L",
    IF(G3890-Table13[[#This Row],[Steps]]&lt;0,100+(G3890-Table13[[#This Row],[Steps]]),G3890-Table13[[#This Row],[Steps]]),
))</f>
        <v>8</v>
      </c>
      <c r="F3891">
        <f>_xlfn.LET(_xlpm.dir,Table13[[#This Row],[Direction]],
IF(_xlpm.dir="R",
    IF(G3890+Table13[[#This Row],[Steps]]&gt;99,(G3890+Table13[[#This Row],[Steps]])-100,G3890+Table13[[#This Row],[Steps]]),
))</f>
        <v>0</v>
      </c>
      <c r="G3891">
        <f>IF(Table13[[#This Row],[New Pos L]]&lt;&gt;0,Table13[[#This Row],[New Pos L]],Table13[[#This Row],[New Pos R]])</f>
        <v>8</v>
      </c>
      <c r="H3891">
        <f>IF(AND(Table13[[#This Row],[Direction]]="L",Table13[[#This Row],[Steps]]&gt;G3890,G3890&lt;&gt;0),1,0)</f>
        <v>0</v>
      </c>
      <c r="I3891">
        <f>IF(AND(Table13[[#This Row],[Direction]]="R",(G3890+Table13[[#This Row],[Steps]])&gt;100),1,0)</f>
        <v>0</v>
      </c>
      <c r="J3891">
        <f>IF(Table13[[#This Row],[POS]]=0,1,0)</f>
        <v>0</v>
      </c>
      <c r="K3891">
        <f>SUM(Table13[[#This Row],[prefix]],Table13[[#This Row],[Past zero L]],Table13[[#This Row],[Past Zero R]],Table13[[#This Row],[Is Zero]])</f>
        <v>1</v>
      </c>
    </row>
    <row r="3892" spans="1:11" ht="16" x14ac:dyDescent="0.2">
      <c r="A3892" s="1" t="s">
        <v>128</v>
      </c>
      <c r="B3892" t="str">
        <f>LEFT(Table13[[#This Row],[Input]],1)</f>
        <v>R</v>
      </c>
      <c r="C3892">
        <f>_xlfn.LET(_xlpm.steps,SUBSTITUTE(Table13[[#This Row],[Input]],Table13[[#This Row],[Direction]],""),VALUE(IF(LEN(_xlpm.steps)&gt;2,RIGHT(_xlpm.steps,2),_xlpm.steps)))</f>
        <v>92</v>
      </c>
      <c r="D3892">
        <f>_xlfn.LET(_xlpm.steps,SUBSTITUTE(Table13[[#This Row],[Input]],Table13[[#This Row],[Direction]],""),VALUE(IF(LEN(_xlpm.steps)&gt;2,LEFT(_xlpm.steps,LEN(_xlpm.steps)-2),0)))</f>
        <v>0</v>
      </c>
      <c r="E3892">
        <f>_xlfn.LET(_xlpm.dir,Table13[[#This Row],[Direction]],
IF(_xlpm.dir="L",
    IF(G3891-Table13[[#This Row],[Steps]]&lt;0,100+(G3891-Table13[[#This Row],[Steps]]),G3891-Table13[[#This Row],[Steps]]),
))</f>
        <v>0</v>
      </c>
      <c r="F3892">
        <f>_xlfn.LET(_xlpm.dir,Table13[[#This Row],[Direction]],
IF(_xlpm.dir="R",
    IF(G3891+Table13[[#This Row],[Steps]]&gt;99,(G3891+Table13[[#This Row],[Steps]])-100,G3891+Table13[[#This Row],[Steps]]),
))</f>
        <v>0</v>
      </c>
      <c r="G3892">
        <f>IF(Table13[[#This Row],[New Pos L]]&lt;&gt;0,Table13[[#This Row],[New Pos L]],Table13[[#This Row],[New Pos R]])</f>
        <v>0</v>
      </c>
      <c r="H3892">
        <f>IF(AND(Table13[[#This Row],[Direction]]="L",Table13[[#This Row],[Steps]]&gt;G3891,G3891&lt;&gt;0),1,0)</f>
        <v>0</v>
      </c>
      <c r="I3892">
        <f>IF(AND(Table13[[#This Row],[Direction]]="R",(G3891+Table13[[#This Row],[Steps]])&gt;100),1,0)</f>
        <v>0</v>
      </c>
      <c r="J3892">
        <f>IF(Table13[[#This Row],[POS]]=0,1,0)</f>
        <v>1</v>
      </c>
      <c r="K3892">
        <f>SUM(Table13[[#This Row],[prefix]],Table13[[#This Row],[Past zero L]],Table13[[#This Row],[Past Zero R]],Table13[[#This Row],[Is Zero]])</f>
        <v>1</v>
      </c>
    </row>
    <row r="3893" spans="1:11" ht="16" x14ac:dyDescent="0.2">
      <c r="A3893" s="1" t="s">
        <v>1</v>
      </c>
      <c r="B3893" t="str">
        <f>LEFT(Table13[[#This Row],[Input]],1)</f>
        <v>R</v>
      </c>
      <c r="C3893">
        <f>_xlfn.LET(_xlpm.steps,SUBSTITUTE(Table13[[#This Row],[Input]],Table13[[#This Row],[Direction]],""),VALUE(IF(LEN(_xlpm.steps)&gt;2,RIGHT(_xlpm.steps,2),_xlpm.steps)))</f>
        <v>26</v>
      </c>
      <c r="D3893">
        <f>_xlfn.LET(_xlpm.steps,SUBSTITUTE(Table13[[#This Row],[Input]],Table13[[#This Row],[Direction]],""),VALUE(IF(LEN(_xlpm.steps)&gt;2,LEFT(_xlpm.steps,LEN(_xlpm.steps)-2),0)))</f>
        <v>0</v>
      </c>
      <c r="E3893">
        <f>_xlfn.LET(_xlpm.dir,Table13[[#This Row],[Direction]],
IF(_xlpm.dir="L",
    IF(G3892-Table13[[#This Row],[Steps]]&lt;0,100+(G3892-Table13[[#This Row],[Steps]]),G3892-Table13[[#This Row],[Steps]]),
))</f>
        <v>0</v>
      </c>
      <c r="F3893">
        <f>_xlfn.LET(_xlpm.dir,Table13[[#This Row],[Direction]],
IF(_xlpm.dir="R",
    IF(G3892+Table13[[#This Row],[Steps]]&gt;99,(G3892+Table13[[#This Row],[Steps]])-100,G3892+Table13[[#This Row],[Steps]]),
))</f>
        <v>26</v>
      </c>
      <c r="G3893">
        <f>IF(Table13[[#This Row],[New Pos L]]&lt;&gt;0,Table13[[#This Row],[New Pos L]],Table13[[#This Row],[New Pos R]])</f>
        <v>26</v>
      </c>
      <c r="H3893">
        <f>IF(AND(Table13[[#This Row],[Direction]]="L",Table13[[#This Row],[Steps]]&gt;G3892,G3892&lt;&gt;0),1,0)</f>
        <v>0</v>
      </c>
      <c r="I3893">
        <f>IF(AND(Table13[[#This Row],[Direction]]="R",(G3892+Table13[[#This Row],[Steps]])&gt;100),1,0)</f>
        <v>0</v>
      </c>
      <c r="J3893">
        <f>IF(Table13[[#This Row],[POS]]=0,1,0)</f>
        <v>0</v>
      </c>
      <c r="K3893">
        <f>SUM(Table13[[#This Row],[prefix]],Table13[[#This Row],[Past zero L]],Table13[[#This Row],[Past Zero R]],Table13[[#This Row],[Is Zero]])</f>
        <v>0</v>
      </c>
    </row>
    <row r="3894" spans="1:11" ht="16" x14ac:dyDescent="0.2">
      <c r="A3894" s="1" t="s">
        <v>267</v>
      </c>
      <c r="B3894" t="str">
        <f>LEFT(Table13[[#This Row],[Input]],1)</f>
        <v>L</v>
      </c>
      <c r="C3894">
        <f>_xlfn.LET(_xlpm.steps,SUBSTITUTE(Table13[[#This Row],[Input]],Table13[[#This Row],[Direction]],""),VALUE(IF(LEN(_xlpm.steps)&gt;2,RIGHT(_xlpm.steps,2),_xlpm.steps)))</f>
        <v>39</v>
      </c>
      <c r="D3894">
        <f>_xlfn.LET(_xlpm.steps,SUBSTITUTE(Table13[[#This Row],[Input]],Table13[[#This Row],[Direction]],""),VALUE(IF(LEN(_xlpm.steps)&gt;2,LEFT(_xlpm.steps,LEN(_xlpm.steps)-2),0)))</f>
        <v>0</v>
      </c>
      <c r="E3894">
        <f>_xlfn.LET(_xlpm.dir,Table13[[#This Row],[Direction]],
IF(_xlpm.dir="L",
    IF(G3893-Table13[[#This Row],[Steps]]&lt;0,100+(G3893-Table13[[#This Row],[Steps]]),G3893-Table13[[#This Row],[Steps]]),
))</f>
        <v>87</v>
      </c>
      <c r="F3894">
        <f>_xlfn.LET(_xlpm.dir,Table13[[#This Row],[Direction]],
IF(_xlpm.dir="R",
    IF(G3893+Table13[[#This Row],[Steps]]&gt;99,(G3893+Table13[[#This Row],[Steps]])-100,G3893+Table13[[#This Row],[Steps]]),
))</f>
        <v>0</v>
      </c>
      <c r="G3894">
        <f>IF(Table13[[#This Row],[New Pos L]]&lt;&gt;0,Table13[[#This Row],[New Pos L]],Table13[[#This Row],[New Pos R]])</f>
        <v>87</v>
      </c>
      <c r="H3894">
        <f>IF(AND(Table13[[#This Row],[Direction]]="L",Table13[[#This Row],[Steps]]&gt;G3893,G3893&lt;&gt;0),1,0)</f>
        <v>1</v>
      </c>
      <c r="I3894">
        <f>IF(AND(Table13[[#This Row],[Direction]]="R",(G3893+Table13[[#This Row],[Steps]])&gt;100),1,0)</f>
        <v>0</v>
      </c>
      <c r="J3894">
        <f>IF(Table13[[#This Row],[POS]]=0,1,0)</f>
        <v>0</v>
      </c>
      <c r="K3894">
        <f>SUM(Table13[[#This Row],[prefix]],Table13[[#This Row],[Past zero L]],Table13[[#This Row],[Past Zero R]],Table13[[#This Row],[Is Zero]])</f>
        <v>1</v>
      </c>
    </row>
    <row r="3895" spans="1:11" ht="16" x14ac:dyDescent="0.2">
      <c r="A3895" s="1" t="s">
        <v>223</v>
      </c>
      <c r="B3895" t="str">
        <f>LEFT(Table13[[#This Row],[Input]],1)</f>
        <v>L</v>
      </c>
      <c r="C3895">
        <f>_xlfn.LET(_xlpm.steps,SUBSTITUTE(Table13[[#This Row],[Input]],Table13[[#This Row],[Direction]],""),VALUE(IF(LEN(_xlpm.steps)&gt;2,RIGHT(_xlpm.steps,2),_xlpm.steps)))</f>
        <v>87</v>
      </c>
      <c r="D3895">
        <f>_xlfn.LET(_xlpm.steps,SUBSTITUTE(Table13[[#This Row],[Input]],Table13[[#This Row],[Direction]],""),VALUE(IF(LEN(_xlpm.steps)&gt;2,LEFT(_xlpm.steps,LEN(_xlpm.steps)-2),0)))</f>
        <v>0</v>
      </c>
      <c r="E3895">
        <f>_xlfn.LET(_xlpm.dir,Table13[[#This Row],[Direction]],
IF(_xlpm.dir="L",
    IF(G3894-Table13[[#This Row],[Steps]]&lt;0,100+(G3894-Table13[[#This Row],[Steps]]),G3894-Table13[[#This Row],[Steps]]),
))</f>
        <v>0</v>
      </c>
      <c r="F3895">
        <f>_xlfn.LET(_xlpm.dir,Table13[[#This Row],[Direction]],
IF(_xlpm.dir="R",
    IF(G3894+Table13[[#This Row],[Steps]]&gt;99,(G3894+Table13[[#This Row],[Steps]])-100,G3894+Table13[[#This Row],[Steps]]),
))</f>
        <v>0</v>
      </c>
      <c r="G3895">
        <f>IF(Table13[[#This Row],[New Pos L]]&lt;&gt;0,Table13[[#This Row],[New Pos L]],Table13[[#This Row],[New Pos R]])</f>
        <v>0</v>
      </c>
      <c r="H3895">
        <f>IF(AND(Table13[[#This Row],[Direction]]="L",Table13[[#This Row],[Steps]]&gt;G3894,G3894&lt;&gt;0),1,0)</f>
        <v>0</v>
      </c>
      <c r="I3895">
        <f>IF(AND(Table13[[#This Row],[Direction]]="R",(G3894+Table13[[#This Row],[Steps]])&gt;100),1,0)</f>
        <v>0</v>
      </c>
      <c r="J3895">
        <f>IF(Table13[[#This Row],[POS]]=0,1,0)</f>
        <v>1</v>
      </c>
      <c r="K3895">
        <f>SUM(Table13[[#This Row],[prefix]],Table13[[#This Row],[Past zero L]],Table13[[#This Row],[Past Zero R]],Table13[[#This Row],[Is Zero]])</f>
        <v>1</v>
      </c>
    </row>
    <row r="3896" spans="1:11" ht="16" x14ac:dyDescent="0.2">
      <c r="A3896" s="1" t="s">
        <v>51</v>
      </c>
      <c r="B3896" t="str">
        <f>LEFT(Table13[[#This Row],[Input]],1)</f>
        <v>L</v>
      </c>
      <c r="C3896">
        <f>_xlfn.LET(_xlpm.steps,SUBSTITUTE(Table13[[#This Row],[Input]],Table13[[#This Row],[Direction]],""),VALUE(IF(LEN(_xlpm.steps)&gt;2,RIGHT(_xlpm.steps,2),_xlpm.steps)))</f>
        <v>25</v>
      </c>
      <c r="D3896">
        <f>_xlfn.LET(_xlpm.steps,SUBSTITUTE(Table13[[#This Row],[Input]],Table13[[#This Row],[Direction]],""),VALUE(IF(LEN(_xlpm.steps)&gt;2,LEFT(_xlpm.steps,LEN(_xlpm.steps)-2),0)))</f>
        <v>0</v>
      </c>
      <c r="E3896">
        <f>_xlfn.LET(_xlpm.dir,Table13[[#This Row],[Direction]],
IF(_xlpm.dir="L",
    IF(G3895-Table13[[#This Row],[Steps]]&lt;0,100+(G3895-Table13[[#This Row],[Steps]]),G3895-Table13[[#This Row],[Steps]]),
))</f>
        <v>75</v>
      </c>
      <c r="F3896">
        <f>_xlfn.LET(_xlpm.dir,Table13[[#This Row],[Direction]],
IF(_xlpm.dir="R",
    IF(G3895+Table13[[#This Row],[Steps]]&gt;99,(G3895+Table13[[#This Row],[Steps]])-100,G3895+Table13[[#This Row],[Steps]]),
))</f>
        <v>0</v>
      </c>
      <c r="G3896">
        <f>IF(Table13[[#This Row],[New Pos L]]&lt;&gt;0,Table13[[#This Row],[New Pos L]],Table13[[#This Row],[New Pos R]])</f>
        <v>75</v>
      </c>
      <c r="H3896">
        <f>IF(AND(Table13[[#This Row],[Direction]]="L",Table13[[#This Row],[Steps]]&gt;G3895,G3895&lt;&gt;0),1,0)</f>
        <v>0</v>
      </c>
      <c r="I3896">
        <f>IF(AND(Table13[[#This Row],[Direction]]="R",(G3895+Table13[[#This Row],[Steps]])&gt;100),1,0)</f>
        <v>0</v>
      </c>
      <c r="J3896">
        <f>IF(Table13[[#This Row],[POS]]=0,1,0)</f>
        <v>0</v>
      </c>
      <c r="K3896">
        <f>SUM(Table13[[#This Row],[prefix]],Table13[[#This Row],[Past zero L]],Table13[[#This Row],[Past Zero R]],Table13[[#This Row],[Is Zero]])</f>
        <v>0</v>
      </c>
    </row>
    <row r="3897" spans="1:11" ht="16" x14ac:dyDescent="0.2">
      <c r="A3897" s="1" t="s">
        <v>217</v>
      </c>
      <c r="B3897" t="str">
        <f>LEFT(Table13[[#This Row],[Input]],1)</f>
        <v>R</v>
      </c>
      <c r="C3897">
        <f>_xlfn.LET(_xlpm.steps,SUBSTITUTE(Table13[[#This Row],[Input]],Table13[[#This Row],[Direction]],""),VALUE(IF(LEN(_xlpm.steps)&gt;2,RIGHT(_xlpm.steps,2),_xlpm.steps)))</f>
        <v>91</v>
      </c>
      <c r="D3897">
        <f>_xlfn.LET(_xlpm.steps,SUBSTITUTE(Table13[[#This Row],[Input]],Table13[[#This Row],[Direction]],""),VALUE(IF(LEN(_xlpm.steps)&gt;2,LEFT(_xlpm.steps,LEN(_xlpm.steps)-2),0)))</f>
        <v>0</v>
      </c>
      <c r="E3897">
        <f>_xlfn.LET(_xlpm.dir,Table13[[#This Row],[Direction]],
IF(_xlpm.dir="L",
    IF(G3896-Table13[[#This Row],[Steps]]&lt;0,100+(G3896-Table13[[#This Row],[Steps]]),G3896-Table13[[#This Row],[Steps]]),
))</f>
        <v>0</v>
      </c>
      <c r="F3897">
        <f>_xlfn.LET(_xlpm.dir,Table13[[#This Row],[Direction]],
IF(_xlpm.dir="R",
    IF(G3896+Table13[[#This Row],[Steps]]&gt;99,(G3896+Table13[[#This Row],[Steps]])-100,G3896+Table13[[#This Row],[Steps]]),
))</f>
        <v>66</v>
      </c>
      <c r="G3897">
        <f>IF(Table13[[#This Row],[New Pos L]]&lt;&gt;0,Table13[[#This Row],[New Pos L]],Table13[[#This Row],[New Pos R]])</f>
        <v>66</v>
      </c>
      <c r="H3897">
        <f>IF(AND(Table13[[#This Row],[Direction]]="L",Table13[[#This Row],[Steps]]&gt;G3896,G3896&lt;&gt;0),1,0)</f>
        <v>0</v>
      </c>
      <c r="I3897">
        <f>IF(AND(Table13[[#This Row],[Direction]]="R",(G3896+Table13[[#This Row],[Steps]])&gt;100),1,0)</f>
        <v>1</v>
      </c>
      <c r="J3897">
        <f>IF(Table13[[#This Row],[POS]]=0,1,0)</f>
        <v>0</v>
      </c>
      <c r="K3897">
        <f>SUM(Table13[[#This Row],[prefix]],Table13[[#This Row],[Past zero L]],Table13[[#This Row],[Past Zero R]],Table13[[#This Row],[Is Zero]])</f>
        <v>1</v>
      </c>
    </row>
    <row r="3898" spans="1:11" ht="16" x14ac:dyDescent="0.2">
      <c r="A3898" s="1" t="s">
        <v>50</v>
      </c>
      <c r="B3898" t="str">
        <f>LEFT(Table13[[#This Row],[Input]],1)</f>
        <v>R</v>
      </c>
      <c r="C3898">
        <f>_xlfn.LET(_xlpm.steps,SUBSTITUTE(Table13[[#This Row],[Input]],Table13[[#This Row],[Direction]],""),VALUE(IF(LEN(_xlpm.steps)&gt;2,RIGHT(_xlpm.steps,2),_xlpm.steps)))</f>
        <v>78</v>
      </c>
      <c r="D3898">
        <f>_xlfn.LET(_xlpm.steps,SUBSTITUTE(Table13[[#This Row],[Input]],Table13[[#This Row],[Direction]],""),VALUE(IF(LEN(_xlpm.steps)&gt;2,LEFT(_xlpm.steps,LEN(_xlpm.steps)-2),0)))</f>
        <v>0</v>
      </c>
      <c r="E3898">
        <f>_xlfn.LET(_xlpm.dir,Table13[[#This Row],[Direction]],
IF(_xlpm.dir="L",
    IF(G3897-Table13[[#This Row],[Steps]]&lt;0,100+(G3897-Table13[[#This Row],[Steps]]),G3897-Table13[[#This Row],[Steps]]),
))</f>
        <v>0</v>
      </c>
      <c r="F3898">
        <f>_xlfn.LET(_xlpm.dir,Table13[[#This Row],[Direction]],
IF(_xlpm.dir="R",
    IF(G3897+Table13[[#This Row],[Steps]]&gt;99,(G3897+Table13[[#This Row],[Steps]])-100,G3897+Table13[[#This Row],[Steps]]),
))</f>
        <v>44</v>
      </c>
      <c r="G3898">
        <f>IF(Table13[[#This Row],[New Pos L]]&lt;&gt;0,Table13[[#This Row],[New Pos L]],Table13[[#This Row],[New Pos R]])</f>
        <v>44</v>
      </c>
      <c r="H3898">
        <f>IF(AND(Table13[[#This Row],[Direction]]="L",Table13[[#This Row],[Steps]]&gt;G3897,G3897&lt;&gt;0),1,0)</f>
        <v>0</v>
      </c>
      <c r="I3898">
        <f>IF(AND(Table13[[#This Row],[Direction]]="R",(G3897+Table13[[#This Row],[Steps]])&gt;100),1,0)</f>
        <v>1</v>
      </c>
      <c r="J3898">
        <f>IF(Table13[[#This Row],[POS]]=0,1,0)</f>
        <v>0</v>
      </c>
      <c r="K3898">
        <f>SUM(Table13[[#This Row],[prefix]],Table13[[#This Row],[Past zero L]],Table13[[#This Row],[Past Zero R]],Table13[[#This Row],[Is Zero]])</f>
        <v>1</v>
      </c>
    </row>
    <row r="3899" spans="1:11" ht="16" x14ac:dyDescent="0.2">
      <c r="A3899" s="1" t="s">
        <v>272</v>
      </c>
      <c r="B3899" t="str">
        <f>LEFT(Table13[[#This Row],[Input]],1)</f>
        <v>R</v>
      </c>
      <c r="C3899">
        <f>_xlfn.LET(_xlpm.steps,SUBSTITUTE(Table13[[#This Row],[Input]],Table13[[#This Row],[Direction]],""),VALUE(IF(LEN(_xlpm.steps)&gt;2,RIGHT(_xlpm.steps,2),_xlpm.steps)))</f>
        <v>56</v>
      </c>
      <c r="D3899">
        <f>_xlfn.LET(_xlpm.steps,SUBSTITUTE(Table13[[#This Row],[Input]],Table13[[#This Row],[Direction]],""),VALUE(IF(LEN(_xlpm.steps)&gt;2,LEFT(_xlpm.steps,LEN(_xlpm.steps)-2),0)))</f>
        <v>0</v>
      </c>
      <c r="E3899">
        <f>_xlfn.LET(_xlpm.dir,Table13[[#This Row],[Direction]],
IF(_xlpm.dir="L",
    IF(G3898-Table13[[#This Row],[Steps]]&lt;0,100+(G3898-Table13[[#This Row],[Steps]]),G3898-Table13[[#This Row],[Steps]]),
))</f>
        <v>0</v>
      </c>
      <c r="F3899">
        <f>_xlfn.LET(_xlpm.dir,Table13[[#This Row],[Direction]],
IF(_xlpm.dir="R",
    IF(G3898+Table13[[#This Row],[Steps]]&gt;99,(G3898+Table13[[#This Row],[Steps]])-100,G3898+Table13[[#This Row],[Steps]]),
))</f>
        <v>0</v>
      </c>
      <c r="G3899">
        <f>IF(Table13[[#This Row],[New Pos L]]&lt;&gt;0,Table13[[#This Row],[New Pos L]],Table13[[#This Row],[New Pos R]])</f>
        <v>0</v>
      </c>
      <c r="H3899">
        <f>IF(AND(Table13[[#This Row],[Direction]]="L",Table13[[#This Row],[Steps]]&gt;G3898,G3898&lt;&gt;0),1,0)</f>
        <v>0</v>
      </c>
      <c r="I3899">
        <f>IF(AND(Table13[[#This Row],[Direction]]="R",(G3898+Table13[[#This Row],[Steps]])&gt;100),1,0)</f>
        <v>0</v>
      </c>
      <c r="J3899">
        <f>IF(Table13[[#This Row],[POS]]=0,1,0)</f>
        <v>1</v>
      </c>
      <c r="K3899">
        <f>SUM(Table13[[#This Row],[prefix]],Table13[[#This Row],[Past zero L]],Table13[[#This Row],[Past Zero R]],Table13[[#This Row],[Is Zero]])</f>
        <v>1</v>
      </c>
    </row>
    <row r="3900" spans="1:11" ht="16" x14ac:dyDescent="0.2">
      <c r="A3900" s="1" t="s">
        <v>39</v>
      </c>
      <c r="B3900" t="str">
        <f>LEFT(Table13[[#This Row],[Input]],1)</f>
        <v>R</v>
      </c>
      <c r="C3900">
        <f>_xlfn.LET(_xlpm.steps,SUBSTITUTE(Table13[[#This Row],[Input]],Table13[[#This Row],[Direction]],""),VALUE(IF(LEN(_xlpm.steps)&gt;2,RIGHT(_xlpm.steps,2),_xlpm.steps)))</f>
        <v>32</v>
      </c>
      <c r="D3900">
        <f>_xlfn.LET(_xlpm.steps,SUBSTITUTE(Table13[[#This Row],[Input]],Table13[[#This Row],[Direction]],""),VALUE(IF(LEN(_xlpm.steps)&gt;2,LEFT(_xlpm.steps,LEN(_xlpm.steps)-2),0)))</f>
        <v>0</v>
      </c>
      <c r="E3900">
        <f>_xlfn.LET(_xlpm.dir,Table13[[#This Row],[Direction]],
IF(_xlpm.dir="L",
    IF(G3899-Table13[[#This Row],[Steps]]&lt;0,100+(G3899-Table13[[#This Row],[Steps]]),G3899-Table13[[#This Row],[Steps]]),
))</f>
        <v>0</v>
      </c>
      <c r="F3900">
        <f>_xlfn.LET(_xlpm.dir,Table13[[#This Row],[Direction]],
IF(_xlpm.dir="R",
    IF(G3899+Table13[[#This Row],[Steps]]&gt;99,(G3899+Table13[[#This Row],[Steps]])-100,G3899+Table13[[#This Row],[Steps]]),
))</f>
        <v>32</v>
      </c>
      <c r="G3900">
        <f>IF(Table13[[#This Row],[New Pos L]]&lt;&gt;0,Table13[[#This Row],[New Pos L]],Table13[[#This Row],[New Pos R]])</f>
        <v>32</v>
      </c>
      <c r="H3900">
        <f>IF(AND(Table13[[#This Row],[Direction]]="L",Table13[[#This Row],[Steps]]&gt;G3899,G3899&lt;&gt;0),1,0)</f>
        <v>0</v>
      </c>
      <c r="I3900">
        <f>IF(AND(Table13[[#This Row],[Direction]]="R",(G3899+Table13[[#This Row],[Steps]])&gt;100),1,0)</f>
        <v>0</v>
      </c>
      <c r="J3900">
        <f>IF(Table13[[#This Row],[POS]]=0,1,0)</f>
        <v>0</v>
      </c>
      <c r="K3900">
        <f>SUM(Table13[[#This Row],[prefix]],Table13[[#This Row],[Past zero L]],Table13[[#This Row],[Past Zero R]],Table13[[#This Row],[Is Zero]])</f>
        <v>0</v>
      </c>
    </row>
    <row r="3901" spans="1:11" ht="16" x14ac:dyDescent="0.2">
      <c r="A3901" s="1" t="s">
        <v>816</v>
      </c>
      <c r="B3901" t="str">
        <f>LEFT(Table13[[#This Row],[Input]],1)</f>
        <v>L</v>
      </c>
      <c r="C3901">
        <f>_xlfn.LET(_xlpm.steps,SUBSTITUTE(Table13[[#This Row],[Input]],Table13[[#This Row],[Direction]],""),VALUE(IF(LEN(_xlpm.steps)&gt;2,RIGHT(_xlpm.steps,2),_xlpm.steps)))</f>
        <v>70</v>
      </c>
      <c r="D3901">
        <f>_xlfn.LET(_xlpm.steps,SUBSTITUTE(Table13[[#This Row],[Input]],Table13[[#This Row],[Direction]],""),VALUE(IF(LEN(_xlpm.steps)&gt;2,LEFT(_xlpm.steps,LEN(_xlpm.steps)-2),0)))</f>
        <v>2</v>
      </c>
      <c r="E3901">
        <f>_xlfn.LET(_xlpm.dir,Table13[[#This Row],[Direction]],
IF(_xlpm.dir="L",
    IF(G3900-Table13[[#This Row],[Steps]]&lt;0,100+(G3900-Table13[[#This Row],[Steps]]),G3900-Table13[[#This Row],[Steps]]),
))</f>
        <v>62</v>
      </c>
      <c r="F3901">
        <f>_xlfn.LET(_xlpm.dir,Table13[[#This Row],[Direction]],
IF(_xlpm.dir="R",
    IF(G3900+Table13[[#This Row],[Steps]]&gt;99,(G3900+Table13[[#This Row],[Steps]])-100,G3900+Table13[[#This Row],[Steps]]),
))</f>
        <v>0</v>
      </c>
      <c r="G3901">
        <f>IF(Table13[[#This Row],[New Pos L]]&lt;&gt;0,Table13[[#This Row],[New Pos L]],Table13[[#This Row],[New Pos R]])</f>
        <v>62</v>
      </c>
      <c r="H3901">
        <f>IF(AND(Table13[[#This Row],[Direction]]="L",Table13[[#This Row],[Steps]]&gt;G3900,G3900&lt;&gt;0),1,0)</f>
        <v>1</v>
      </c>
      <c r="I3901">
        <f>IF(AND(Table13[[#This Row],[Direction]]="R",(G3900+Table13[[#This Row],[Steps]])&gt;100),1,0)</f>
        <v>0</v>
      </c>
      <c r="J3901">
        <f>IF(Table13[[#This Row],[POS]]=0,1,0)</f>
        <v>0</v>
      </c>
      <c r="K3901">
        <f>SUM(Table13[[#This Row],[prefix]],Table13[[#This Row],[Past zero L]],Table13[[#This Row],[Past Zero R]],Table13[[#This Row],[Is Zero]])</f>
        <v>3</v>
      </c>
    </row>
    <row r="3902" spans="1:11" ht="16" x14ac:dyDescent="0.2">
      <c r="A3902" s="1" t="s">
        <v>304</v>
      </c>
      <c r="B3902" t="str">
        <f>LEFT(Table13[[#This Row],[Input]],1)</f>
        <v>L</v>
      </c>
      <c r="C3902">
        <f>_xlfn.LET(_xlpm.steps,SUBSTITUTE(Table13[[#This Row],[Input]],Table13[[#This Row],[Direction]],""),VALUE(IF(LEN(_xlpm.steps)&gt;2,RIGHT(_xlpm.steps,2),_xlpm.steps)))</f>
        <v>26</v>
      </c>
      <c r="D3902">
        <f>_xlfn.LET(_xlpm.steps,SUBSTITUTE(Table13[[#This Row],[Input]],Table13[[#This Row],[Direction]],""),VALUE(IF(LEN(_xlpm.steps)&gt;2,LEFT(_xlpm.steps,LEN(_xlpm.steps)-2),0)))</f>
        <v>0</v>
      </c>
      <c r="E3902">
        <f>_xlfn.LET(_xlpm.dir,Table13[[#This Row],[Direction]],
IF(_xlpm.dir="L",
    IF(G3901-Table13[[#This Row],[Steps]]&lt;0,100+(G3901-Table13[[#This Row],[Steps]]),G3901-Table13[[#This Row],[Steps]]),
))</f>
        <v>36</v>
      </c>
      <c r="F3902">
        <f>_xlfn.LET(_xlpm.dir,Table13[[#This Row],[Direction]],
IF(_xlpm.dir="R",
    IF(G3901+Table13[[#This Row],[Steps]]&gt;99,(G3901+Table13[[#This Row],[Steps]])-100,G3901+Table13[[#This Row],[Steps]]),
))</f>
        <v>0</v>
      </c>
      <c r="G3902">
        <f>IF(Table13[[#This Row],[New Pos L]]&lt;&gt;0,Table13[[#This Row],[New Pos L]],Table13[[#This Row],[New Pos R]])</f>
        <v>36</v>
      </c>
      <c r="H3902">
        <f>IF(AND(Table13[[#This Row],[Direction]]="L",Table13[[#This Row],[Steps]]&gt;G3901,G3901&lt;&gt;0),1,0)</f>
        <v>0</v>
      </c>
      <c r="I3902">
        <f>IF(AND(Table13[[#This Row],[Direction]]="R",(G3901+Table13[[#This Row],[Steps]])&gt;100),1,0)</f>
        <v>0</v>
      </c>
      <c r="J3902">
        <f>IF(Table13[[#This Row],[POS]]=0,1,0)</f>
        <v>0</v>
      </c>
      <c r="K3902">
        <f>SUM(Table13[[#This Row],[prefix]],Table13[[#This Row],[Past zero L]],Table13[[#This Row],[Past Zero R]],Table13[[#This Row],[Is Zero]])</f>
        <v>0</v>
      </c>
    </row>
    <row r="3903" spans="1:11" ht="16" x14ac:dyDescent="0.2">
      <c r="A3903" s="1" t="s">
        <v>76</v>
      </c>
      <c r="B3903" t="str">
        <f>LEFT(Table13[[#This Row],[Input]],1)</f>
        <v>R</v>
      </c>
      <c r="C3903">
        <f>_xlfn.LET(_xlpm.steps,SUBSTITUTE(Table13[[#This Row],[Input]],Table13[[#This Row],[Direction]],""),VALUE(IF(LEN(_xlpm.steps)&gt;2,RIGHT(_xlpm.steps,2),_xlpm.steps)))</f>
        <v>37</v>
      </c>
      <c r="D3903">
        <f>_xlfn.LET(_xlpm.steps,SUBSTITUTE(Table13[[#This Row],[Input]],Table13[[#This Row],[Direction]],""),VALUE(IF(LEN(_xlpm.steps)&gt;2,LEFT(_xlpm.steps,LEN(_xlpm.steps)-2),0)))</f>
        <v>0</v>
      </c>
      <c r="E3903">
        <f>_xlfn.LET(_xlpm.dir,Table13[[#This Row],[Direction]],
IF(_xlpm.dir="L",
    IF(G3902-Table13[[#This Row],[Steps]]&lt;0,100+(G3902-Table13[[#This Row],[Steps]]),G3902-Table13[[#This Row],[Steps]]),
))</f>
        <v>0</v>
      </c>
      <c r="F3903">
        <f>_xlfn.LET(_xlpm.dir,Table13[[#This Row],[Direction]],
IF(_xlpm.dir="R",
    IF(G3902+Table13[[#This Row],[Steps]]&gt;99,(G3902+Table13[[#This Row],[Steps]])-100,G3902+Table13[[#This Row],[Steps]]),
))</f>
        <v>73</v>
      </c>
      <c r="G3903">
        <f>IF(Table13[[#This Row],[New Pos L]]&lt;&gt;0,Table13[[#This Row],[New Pos L]],Table13[[#This Row],[New Pos R]])</f>
        <v>73</v>
      </c>
      <c r="H3903">
        <f>IF(AND(Table13[[#This Row],[Direction]]="L",Table13[[#This Row],[Steps]]&gt;G3902,G3902&lt;&gt;0),1,0)</f>
        <v>0</v>
      </c>
      <c r="I3903">
        <f>IF(AND(Table13[[#This Row],[Direction]]="R",(G3902+Table13[[#This Row],[Steps]])&gt;100),1,0)</f>
        <v>0</v>
      </c>
      <c r="J3903">
        <f>IF(Table13[[#This Row],[POS]]=0,1,0)</f>
        <v>0</v>
      </c>
      <c r="K3903">
        <f>SUM(Table13[[#This Row],[prefix]],Table13[[#This Row],[Past zero L]],Table13[[#This Row],[Past Zero R]],Table13[[#This Row],[Is Zero]])</f>
        <v>0</v>
      </c>
    </row>
    <row r="3904" spans="1:11" ht="16" x14ac:dyDescent="0.2">
      <c r="A3904" s="1" t="s">
        <v>191</v>
      </c>
      <c r="B3904" t="str">
        <f>LEFT(Table13[[#This Row],[Input]],1)</f>
        <v>L</v>
      </c>
      <c r="C3904">
        <f>_xlfn.LET(_xlpm.steps,SUBSTITUTE(Table13[[#This Row],[Input]],Table13[[#This Row],[Direction]],""),VALUE(IF(LEN(_xlpm.steps)&gt;2,RIGHT(_xlpm.steps,2),_xlpm.steps)))</f>
        <v>5</v>
      </c>
      <c r="D3904">
        <f>_xlfn.LET(_xlpm.steps,SUBSTITUTE(Table13[[#This Row],[Input]],Table13[[#This Row],[Direction]],""),VALUE(IF(LEN(_xlpm.steps)&gt;2,LEFT(_xlpm.steps,LEN(_xlpm.steps)-2),0)))</f>
        <v>0</v>
      </c>
      <c r="E3904">
        <f>_xlfn.LET(_xlpm.dir,Table13[[#This Row],[Direction]],
IF(_xlpm.dir="L",
    IF(G3903-Table13[[#This Row],[Steps]]&lt;0,100+(G3903-Table13[[#This Row],[Steps]]),G3903-Table13[[#This Row],[Steps]]),
))</f>
        <v>68</v>
      </c>
      <c r="F3904">
        <f>_xlfn.LET(_xlpm.dir,Table13[[#This Row],[Direction]],
IF(_xlpm.dir="R",
    IF(G3903+Table13[[#This Row],[Steps]]&gt;99,(G3903+Table13[[#This Row],[Steps]])-100,G3903+Table13[[#This Row],[Steps]]),
))</f>
        <v>0</v>
      </c>
      <c r="G3904">
        <f>IF(Table13[[#This Row],[New Pos L]]&lt;&gt;0,Table13[[#This Row],[New Pos L]],Table13[[#This Row],[New Pos R]])</f>
        <v>68</v>
      </c>
      <c r="H3904">
        <f>IF(AND(Table13[[#This Row],[Direction]]="L",Table13[[#This Row],[Steps]]&gt;G3903,G3903&lt;&gt;0),1,0)</f>
        <v>0</v>
      </c>
      <c r="I3904">
        <f>IF(AND(Table13[[#This Row],[Direction]]="R",(G3903+Table13[[#This Row],[Steps]])&gt;100),1,0)</f>
        <v>0</v>
      </c>
      <c r="J3904">
        <f>IF(Table13[[#This Row],[POS]]=0,1,0)</f>
        <v>0</v>
      </c>
      <c r="K3904">
        <f>SUM(Table13[[#This Row],[prefix]],Table13[[#This Row],[Past zero L]],Table13[[#This Row],[Past Zero R]],Table13[[#This Row],[Is Zero]])</f>
        <v>0</v>
      </c>
    </row>
    <row r="3905" spans="1:11" ht="16" x14ac:dyDescent="0.2">
      <c r="A3905" s="1" t="s">
        <v>325</v>
      </c>
      <c r="B3905" t="str">
        <f>LEFT(Table13[[#This Row],[Input]],1)</f>
        <v>L</v>
      </c>
      <c r="C3905">
        <f>_xlfn.LET(_xlpm.steps,SUBSTITUTE(Table13[[#This Row],[Input]],Table13[[#This Row],[Direction]],""),VALUE(IF(LEN(_xlpm.steps)&gt;2,RIGHT(_xlpm.steps,2),_xlpm.steps)))</f>
        <v>68</v>
      </c>
      <c r="D3905">
        <f>_xlfn.LET(_xlpm.steps,SUBSTITUTE(Table13[[#This Row],[Input]],Table13[[#This Row],[Direction]],""),VALUE(IF(LEN(_xlpm.steps)&gt;2,LEFT(_xlpm.steps,LEN(_xlpm.steps)-2),0)))</f>
        <v>0</v>
      </c>
      <c r="E3905">
        <f>_xlfn.LET(_xlpm.dir,Table13[[#This Row],[Direction]],
IF(_xlpm.dir="L",
    IF(G3904-Table13[[#This Row],[Steps]]&lt;0,100+(G3904-Table13[[#This Row],[Steps]]),G3904-Table13[[#This Row],[Steps]]),
))</f>
        <v>0</v>
      </c>
      <c r="F3905">
        <f>_xlfn.LET(_xlpm.dir,Table13[[#This Row],[Direction]],
IF(_xlpm.dir="R",
    IF(G3904+Table13[[#This Row],[Steps]]&gt;99,(G3904+Table13[[#This Row],[Steps]])-100,G3904+Table13[[#This Row],[Steps]]),
))</f>
        <v>0</v>
      </c>
      <c r="G3905">
        <f>IF(Table13[[#This Row],[New Pos L]]&lt;&gt;0,Table13[[#This Row],[New Pos L]],Table13[[#This Row],[New Pos R]])</f>
        <v>0</v>
      </c>
      <c r="H3905">
        <f>IF(AND(Table13[[#This Row],[Direction]]="L",Table13[[#This Row],[Steps]]&gt;G3904,G3904&lt;&gt;0),1,0)</f>
        <v>0</v>
      </c>
      <c r="I3905">
        <f>IF(AND(Table13[[#This Row],[Direction]]="R",(G3904+Table13[[#This Row],[Steps]])&gt;100),1,0)</f>
        <v>0</v>
      </c>
      <c r="J3905">
        <f>IF(Table13[[#This Row],[POS]]=0,1,0)</f>
        <v>1</v>
      </c>
      <c r="K3905">
        <f>SUM(Table13[[#This Row],[prefix]],Table13[[#This Row],[Past zero L]],Table13[[#This Row],[Past Zero R]],Table13[[#This Row],[Is Zero]])</f>
        <v>1</v>
      </c>
    </row>
    <row r="3906" spans="1:11" ht="16" x14ac:dyDescent="0.2">
      <c r="A3906" s="1" t="s">
        <v>2</v>
      </c>
      <c r="B3906" t="str">
        <f>LEFT(Table13[[#This Row],[Input]],1)</f>
        <v>L</v>
      </c>
      <c r="C3906">
        <f>_xlfn.LET(_xlpm.steps,SUBSTITUTE(Table13[[#This Row],[Input]],Table13[[#This Row],[Direction]],""),VALUE(IF(LEN(_xlpm.steps)&gt;2,RIGHT(_xlpm.steps,2),_xlpm.steps)))</f>
        <v>38</v>
      </c>
      <c r="D3906">
        <f>_xlfn.LET(_xlpm.steps,SUBSTITUTE(Table13[[#This Row],[Input]],Table13[[#This Row],[Direction]],""),VALUE(IF(LEN(_xlpm.steps)&gt;2,LEFT(_xlpm.steps,LEN(_xlpm.steps)-2),0)))</f>
        <v>0</v>
      </c>
      <c r="E3906">
        <f>_xlfn.LET(_xlpm.dir,Table13[[#This Row],[Direction]],
IF(_xlpm.dir="L",
    IF(G3905-Table13[[#This Row],[Steps]]&lt;0,100+(G3905-Table13[[#This Row],[Steps]]),G3905-Table13[[#This Row],[Steps]]),
))</f>
        <v>62</v>
      </c>
      <c r="F3906">
        <f>_xlfn.LET(_xlpm.dir,Table13[[#This Row],[Direction]],
IF(_xlpm.dir="R",
    IF(G3905+Table13[[#This Row],[Steps]]&gt;99,(G3905+Table13[[#This Row],[Steps]])-100,G3905+Table13[[#This Row],[Steps]]),
))</f>
        <v>0</v>
      </c>
      <c r="G3906">
        <f>IF(Table13[[#This Row],[New Pos L]]&lt;&gt;0,Table13[[#This Row],[New Pos L]],Table13[[#This Row],[New Pos R]])</f>
        <v>62</v>
      </c>
      <c r="H3906">
        <f>IF(AND(Table13[[#This Row],[Direction]]="L",Table13[[#This Row],[Steps]]&gt;G3905,G3905&lt;&gt;0),1,0)</f>
        <v>0</v>
      </c>
      <c r="I3906">
        <f>IF(AND(Table13[[#This Row],[Direction]]="R",(G3905+Table13[[#This Row],[Steps]])&gt;100),1,0)</f>
        <v>0</v>
      </c>
      <c r="J3906">
        <f>IF(Table13[[#This Row],[POS]]=0,1,0)</f>
        <v>0</v>
      </c>
      <c r="K3906">
        <f>SUM(Table13[[#This Row],[prefix]],Table13[[#This Row],[Past zero L]],Table13[[#This Row],[Past Zero R]],Table13[[#This Row],[Is Zero]])</f>
        <v>0</v>
      </c>
    </row>
    <row r="3907" spans="1:11" ht="16" x14ac:dyDescent="0.2">
      <c r="A3907" s="1" t="s">
        <v>127</v>
      </c>
      <c r="B3907" t="str">
        <f>LEFT(Table13[[#This Row],[Input]],1)</f>
        <v>L</v>
      </c>
      <c r="C3907">
        <f>_xlfn.LET(_xlpm.steps,SUBSTITUTE(Table13[[#This Row],[Input]],Table13[[#This Row],[Direction]],""),VALUE(IF(LEN(_xlpm.steps)&gt;2,RIGHT(_xlpm.steps,2),_xlpm.steps)))</f>
        <v>62</v>
      </c>
      <c r="D3907">
        <f>_xlfn.LET(_xlpm.steps,SUBSTITUTE(Table13[[#This Row],[Input]],Table13[[#This Row],[Direction]],""),VALUE(IF(LEN(_xlpm.steps)&gt;2,LEFT(_xlpm.steps,LEN(_xlpm.steps)-2),0)))</f>
        <v>0</v>
      </c>
      <c r="E3907">
        <f>_xlfn.LET(_xlpm.dir,Table13[[#This Row],[Direction]],
IF(_xlpm.dir="L",
    IF(G3906-Table13[[#This Row],[Steps]]&lt;0,100+(G3906-Table13[[#This Row],[Steps]]),G3906-Table13[[#This Row],[Steps]]),
))</f>
        <v>0</v>
      </c>
      <c r="F3907">
        <f>_xlfn.LET(_xlpm.dir,Table13[[#This Row],[Direction]],
IF(_xlpm.dir="R",
    IF(G3906+Table13[[#This Row],[Steps]]&gt;99,(G3906+Table13[[#This Row],[Steps]])-100,G3906+Table13[[#This Row],[Steps]]),
))</f>
        <v>0</v>
      </c>
      <c r="G3907">
        <f>IF(Table13[[#This Row],[New Pos L]]&lt;&gt;0,Table13[[#This Row],[New Pos L]],Table13[[#This Row],[New Pos R]])</f>
        <v>0</v>
      </c>
      <c r="H3907">
        <f>IF(AND(Table13[[#This Row],[Direction]]="L",Table13[[#This Row],[Steps]]&gt;G3906,G3906&lt;&gt;0),1,0)</f>
        <v>0</v>
      </c>
      <c r="I3907">
        <f>IF(AND(Table13[[#This Row],[Direction]]="R",(G3906+Table13[[#This Row],[Steps]])&gt;100),1,0)</f>
        <v>0</v>
      </c>
      <c r="J3907">
        <f>IF(Table13[[#This Row],[POS]]=0,1,0)</f>
        <v>1</v>
      </c>
      <c r="K3907">
        <f>SUM(Table13[[#This Row],[prefix]],Table13[[#This Row],[Past zero L]],Table13[[#This Row],[Past Zero R]],Table13[[#This Row],[Is Zero]])</f>
        <v>1</v>
      </c>
    </row>
    <row r="3908" spans="1:11" ht="16" x14ac:dyDescent="0.2">
      <c r="A3908" s="1" t="s">
        <v>88</v>
      </c>
      <c r="B3908" t="str">
        <f>LEFT(Table13[[#This Row],[Input]],1)</f>
        <v>R</v>
      </c>
      <c r="C3908">
        <f>_xlfn.LET(_xlpm.steps,SUBSTITUTE(Table13[[#This Row],[Input]],Table13[[#This Row],[Direction]],""),VALUE(IF(LEN(_xlpm.steps)&gt;2,RIGHT(_xlpm.steps,2),_xlpm.steps)))</f>
        <v>53</v>
      </c>
      <c r="D3908">
        <f>_xlfn.LET(_xlpm.steps,SUBSTITUTE(Table13[[#This Row],[Input]],Table13[[#This Row],[Direction]],""),VALUE(IF(LEN(_xlpm.steps)&gt;2,LEFT(_xlpm.steps,LEN(_xlpm.steps)-2),0)))</f>
        <v>0</v>
      </c>
      <c r="E3908">
        <f>_xlfn.LET(_xlpm.dir,Table13[[#This Row],[Direction]],
IF(_xlpm.dir="L",
    IF(G3907-Table13[[#This Row],[Steps]]&lt;0,100+(G3907-Table13[[#This Row],[Steps]]),G3907-Table13[[#This Row],[Steps]]),
))</f>
        <v>0</v>
      </c>
      <c r="F3908">
        <f>_xlfn.LET(_xlpm.dir,Table13[[#This Row],[Direction]],
IF(_xlpm.dir="R",
    IF(G3907+Table13[[#This Row],[Steps]]&gt;99,(G3907+Table13[[#This Row],[Steps]])-100,G3907+Table13[[#This Row],[Steps]]),
))</f>
        <v>53</v>
      </c>
      <c r="G3908">
        <f>IF(Table13[[#This Row],[New Pos L]]&lt;&gt;0,Table13[[#This Row],[New Pos L]],Table13[[#This Row],[New Pos R]])</f>
        <v>53</v>
      </c>
      <c r="H3908">
        <f>IF(AND(Table13[[#This Row],[Direction]]="L",Table13[[#This Row],[Steps]]&gt;G3907,G3907&lt;&gt;0),1,0)</f>
        <v>0</v>
      </c>
      <c r="I3908">
        <f>IF(AND(Table13[[#This Row],[Direction]]="R",(G3907+Table13[[#This Row],[Steps]])&gt;100),1,0)</f>
        <v>0</v>
      </c>
      <c r="J3908">
        <f>IF(Table13[[#This Row],[POS]]=0,1,0)</f>
        <v>0</v>
      </c>
      <c r="K3908">
        <f>SUM(Table13[[#This Row],[prefix]],Table13[[#This Row],[Past zero L]],Table13[[#This Row],[Past Zero R]],Table13[[#This Row],[Is Zero]])</f>
        <v>0</v>
      </c>
    </row>
    <row r="3909" spans="1:11" ht="16" x14ac:dyDescent="0.2">
      <c r="A3909" s="1" t="s">
        <v>19</v>
      </c>
      <c r="B3909" t="str">
        <f>LEFT(Table13[[#This Row],[Input]],1)</f>
        <v>R</v>
      </c>
      <c r="C3909">
        <f>_xlfn.LET(_xlpm.steps,SUBSTITUTE(Table13[[#This Row],[Input]],Table13[[#This Row],[Direction]],""),VALUE(IF(LEN(_xlpm.steps)&gt;2,RIGHT(_xlpm.steps,2),_xlpm.steps)))</f>
        <v>47</v>
      </c>
      <c r="D3909">
        <f>_xlfn.LET(_xlpm.steps,SUBSTITUTE(Table13[[#This Row],[Input]],Table13[[#This Row],[Direction]],""),VALUE(IF(LEN(_xlpm.steps)&gt;2,LEFT(_xlpm.steps,LEN(_xlpm.steps)-2),0)))</f>
        <v>0</v>
      </c>
      <c r="E3909">
        <f>_xlfn.LET(_xlpm.dir,Table13[[#This Row],[Direction]],
IF(_xlpm.dir="L",
    IF(G3908-Table13[[#This Row],[Steps]]&lt;0,100+(G3908-Table13[[#This Row],[Steps]]),G3908-Table13[[#This Row],[Steps]]),
))</f>
        <v>0</v>
      </c>
      <c r="F3909">
        <f>_xlfn.LET(_xlpm.dir,Table13[[#This Row],[Direction]],
IF(_xlpm.dir="R",
    IF(G3908+Table13[[#This Row],[Steps]]&gt;99,(G3908+Table13[[#This Row],[Steps]])-100,G3908+Table13[[#This Row],[Steps]]),
))</f>
        <v>0</v>
      </c>
      <c r="G3909">
        <f>IF(Table13[[#This Row],[New Pos L]]&lt;&gt;0,Table13[[#This Row],[New Pos L]],Table13[[#This Row],[New Pos R]])</f>
        <v>0</v>
      </c>
      <c r="H3909">
        <f>IF(AND(Table13[[#This Row],[Direction]]="L",Table13[[#This Row],[Steps]]&gt;G3908,G3908&lt;&gt;0),1,0)</f>
        <v>0</v>
      </c>
      <c r="I3909">
        <f>IF(AND(Table13[[#This Row],[Direction]]="R",(G3908+Table13[[#This Row],[Steps]])&gt;100),1,0)</f>
        <v>0</v>
      </c>
      <c r="J3909">
        <f>IF(Table13[[#This Row],[POS]]=0,1,0)</f>
        <v>1</v>
      </c>
      <c r="K3909">
        <f>SUM(Table13[[#This Row],[prefix]],Table13[[#This Row],[Past zero L]],Table13[[#This Row],[Past Zero R]],Table13[[#This Row],[Is Zero]])</f>
        <v>1</v>
      </c>
    </row>
    <row r="3910" spans="1:11" ht="16" x14ac:dyDescent="0.2">
      <c r="A3910" s="1" t="s">
        <v>84</v>
      </c>
      <c r="B3910" t="str">
        <f>LEFT(Table13[[#This Row],[Input]],1)</f>
        <v>R</v>
      </c>
      <c r="C3910">
        <f>_xlfn.LET(_xlpm.steps,SUBSTITUTE(Table13[[#This Row],[Input]],Table13[[#This Row],[Direction]],""),VALUE(IF(LEN(_xlpm.steps)&gt;2,RIGHT(_xlpm.steps,2),_xlpm.steps)))</f>
        <v>88</v>
      </c>
      <c r="D3910">
        <f>_xlfn.LET(_xlpm.steps,SUBSTITUTE(Table13[[#This Row],[Input]],Table13[[#This Row],[Direction]],""),VALUE(IF(LEN(_xlpm.steps)&gt;2,LEFT(_xlpm.steps,LEN(_xlpm.steps)-2),0)))</f>
        <v>0</v>
      </c>
      <c r="E3910">
        <f>_xlfn.LET(_xlpm.dir,Table13[[#This Row],[Direction]],
IF(_xlpm.dir="L",
    IF(G3909-Table13[[#This Row],[Steps]]&lt;0,100+(G3909-Table13[[#This Row],[Steps]]),G3909-Table13[[#This Row],[Steps]]),
))</f>
        <v>0</v>
      </c>
      <c r="F3910">
        <f>_xlfn.LET(_xlpm.dir,Table13[[#This Row],[Direction]],
IF(_xlpm.dir="R",
    IF(G3909+Table13[[#This Row],[Steps]]&gt;99,(G3909+Table13[[#This Row],[Steps]])-100,G3909+Table13[[#This Row],[Steps]]),
))</f>
        <v>88</v>
      </c>
      <c r="G3910">
        <f>IF(Table13[[#This Row],[New Pos L]]&lt;&gt;0,Table13[[#This Row],[New Pos L]],Table13[[#This Row],[New Pos R]])</f>
        <v>88</v>
      </c>
      <c r="H3910">
        <f>IF(AND(Table13[[#This Row],[Direction]]="L",Table13[[#This Row],[Steps]]&gt;G3909,G3909&lt;&gt;0),1,0)</f>
        <v>0</v>
      </c>
      <c r="I3910">
        <f>IF(AND(Table13[[#This Row],[Direction]]="R",(G3909+Table13[[#This Row],[Steps]])&gt;100),1,0)</f>
        <v>0</v>
      </c>
      <c r="J3910">
        <f>IF(Table13[[#This Row],[POS]]=0,1,0)</f>
        <v>0</v>
      </c>
      <c r="K3910">
        <f>SUM(Table13[[#This Row],[prefix]],Table13[[#This Row],[Past zero L]],Table13[[#This Row],[Past Zero R]],Table13[[#This Row],[Is Zero]])</f>
        <v>0</v>
      </c>
    </row>
    <row r="3911" spans="1:11" ht="16" x14ac:dyDescent="0.2">
      <c r="A3911" s="1" t="s">
        <v>817</v>
      </c>
      <c r="B3911" t="str">
        <f>LEFT(Table13[[#This Row],[Input]],1)</f>
        <v>L</v>
      </c>
      <c r="C3911">
        <f>_xlfn.LET(_xlpm.steps,SUBSTITUTE(Table13[[#This Row],[Input]],Table13[[#This Row],[Direction]],""),VALUE(IF(LEN(_xlpm.steps)&gt;2,RIGHT(_xlpm.steps,2),_xlpm.steps)))</f>
        <v>65</v>
      </c>
      <c r="D3911">
        <f>_xlfn.LET(_xlpm.steps,SUBSTITUTE(Table13[[#This Row],[Input]],Table13[[#This Row],[Direction]],""),VALUE(IF(LEN(_xlpm.steps)&gt;2,LEFT(_xlpm.steps,LEN(_xlpm.steps)-2),0)))</f>
        <v>4</v>
      </c>
      <c r="E3911">
        <f>_xlfn.LET(_xlpm.dir,Table13[[#This Row],[Direction]],
IF(_xlpm.dir="L",
    IF(G3910-Table13[[#This Row],[Steps]]&lt;0,100+(G3910-Table13[[#This Row],[Steps]]),G3910-Table13[[#This Row],[Steps]]),
))</f>
        <v>23</v>
      </c>
      <c r="F3911">
        <f>_xlfn.LET(_xlpm.dir,Table13[[#This Row],[Direction]],
IF(_xlpm.dir="R",
    IF(G3910+Table13[[#This Row],[Steps]]&gt;99,(G3910+Table13[[#This Row],[Steps]])-100,G3910+Table13[[#This Row],[Steps]]),
))</f>
        <v>0</v>
      </c>
      <c r="G3911">
        <f>IF(Table13[[#This Row],[New Pos L]]&lt;&gt;0,Table13[[#This Row],[New Pos L]],Table13[[#This Row],[New Pos R]])</f>
        <v>23</v>
      </c>
      <c r="H3911">
        <f>IF(AND(Table13[[#This Row],[Direction]]="L",Table13[[#This Row],[Steps]]&gt;G3910,G3910&lt;&gt;0),1,0)</f>
        <v>0</v>
      </c>
      <c r="I3911">
        <f>IF(AND(Table13[[#This Row],[Direction]]="R",(G3910+Table13[[#This Row],[Steps]])&gt;100),1,0)</f>
        <v>0</v>
      </c>
      <c r="J3911">
        <f>IF(Table13[[#This Row],[POS]]=0,1,0)</f>
        <v>0</v>
      </c>
      <c r="K3911">
        <f>SUM(Table13[[#This Row],[prefix]],Table13[[#This Row],[Past zero L]],Table13[[#This Row],[Past Zero R]],Table13[[#This Row],[Is Zero]])</f>
        <v>4</v>
      </c>
    </row>
    <row r="3912" spans="1:11" ht="16" x14ac:dyDescent="0.2">
      <c r="A3912" s="1" t="s">
        <v>120</v>
      </c>
      <c r="B3912" t="str">
        <f>LEFT(Table13[[#This Row],[Input]],1)</f>
        <v>L</v>
      </c>
      <c r="C3912">
        <f>_xlfn.LET(_xlpm.steps,SUBSTITUTE(Table13[[#This Row],[Input]],Table13[[#This Row],[Direction]],""),VALUE(IF(LEN(_xlpm.steps)&gt;2,RIGHT(_xlpm.steps,2),_xlpm.steps)))</f>
        <v>23</v>
      </c>
      <c r="D3912">
        <f>_xlfn.LET(_xlpm.steps,SUBSTITUTE(Table13[[#This Row],[Input]],Table13[[#This Row],[Direction]],""),VALUE(IF(LEN(_xlpm.steps)&gt;2,LEFT(_xlpm.steps,LEN(_xlpm.steps)-2),0)))</f>
        <v>0</v>
      </c>
      <c r="E3912">
        <f>_xlfn.LET(_xlpm.dir,Table13[[#This Row],[Direction]],
IF(_xlpm.dir="L",
    IF(G3911-Table13[[#This Row],[Steps]]&lt;0,100+(G3911-Table13[[#This Row],[Steps]]),G3911-Table13[[#This Row],[Steps]]),
))</f>
        <v>0</v>
      </c>
      <c r="F3912">
        <f>_xlfn.LET(_xlpm.dir,Table13[[#This Row],[Direction]],
IF(_xlpm.dir="R",
    IF(G3911+Table13[[#This Row],[Steps]]&gt;99,(G3911+Table13[[#This Row],[Steps]])-100,G3911+Table13[[#This Row],[Steps]]),
))</f>
        <v>0</v>
      </c>
      <c r="G3912">
        <f>IF(Table13[[#This Row],[New Pos L]]&lt;&gt;0,Table13[[#This Row],[New Pos L]],Table13[[#This Row],[New Pos R]])</f>
        <v>0</v>
      </c>
      <c r="H3912">
        <f>IF(AND(Table13[[#This Row],[Direction]]="L",Table13[[#This Row],[Steps]]&gt;G3911,G3911&lt;&gt;0),1,0)</f>
        <v>0</v>
      </c>
      <c r="I3912">
        <f>IF(AND(Table13[[#This Row],[Direction]]="R",(G3911+Table13[[#This Row],[Steps]])&gt;100),1,0)</f>
        <v>0</v>
      </c>
      <c r="J3912">
        <f>IF(Table13[[#This Row],[POS]]=0,1,0)</f>
        <v>1</v>
      </c>
      <c r="K3912">
        <f>SUM(Table13[[#This Row],[prefix]],Table13[[#This Row],[Past zero L]],Table13[[#This Row],[Past Zero R]],Table13[[#This Row],[Is Zero]])</f>
        <v>1</v>
      </c>
    </row>
    <row r="3913" spans="1:11" ht="16" x14ac:dyDescent="0.2">
      <c r="A3913" s="1" t="s">
        <v>136</v>
      </c>
      <c r="B3913" t="str">
        <f>LEFT(Table13[[#This Row],[Input]],1)</f>
        <v>L</v>
      </c>
      <c r="C3913">
        <f>_xlfn.LET(_xlpm.steps,SUBSTITUTE(Table13[[#This Row],[Input]],Table13[[#This Row],[Direction]],""),VALUE(IF(LEN(_xlpm.steps)&gt;2,RIGHT(_xlpm.steps,2),_xlpm.steps)))</f>
        <v>72</v>
      </c>
      <c r="D3913">
        <f>_xlfn.LET(_xlpm.steps,SUBSTITUTE(Table13[[#This Row],[Input]],Table13[[#This Row],[Direction]],""),VALUE(IF(LEN(_xlpm.steps)&gt;2,LEFT(_xlpm.steps,LEN(_xlpm.steps)-2),0)))</f>
        <v>0</v>
      </c>
      <c r="E3913">
        <f>_xlfn.LET(_xlpm.dir,Table13[[#This Row],[Direction]],
IF(_xlpm.dir="L",
    IF(G3912-Table13[[#This Row],[Steps]]&lt;0,100+(G3912-Table13[[#This Row],[Steps]]),G3912-Table13[[#This Row],[Steps]]),
))</f>
        <v>28</v>
      </c>
      <c r="F3913">
        <f>_xlfn.LET(_xlpm.dir,Table13[[#This Row],[Direction]],
IF(_xlpm.dir="R",
    IF(G3912+Table13[[#This Row],[Steps]]&gt;99,(G3912+Table13[[#This Row],[Steps]])-100,G3912+Table13[[#This Row],[Steps]]),
))</f>
        <v>0</v>
      </c>
      <c r="G3913">
        <f>IF(Table13[[#This Row],[New Pos L]]&lt;&gt;0,Table13[[#This Row],[New Pos L]],Table13[[#This Row],[New Pos R]])</f>
        <v>28</v>
      </c>
      <c r="H3913">
        <f>IF(AND(Table13[[#This Row],[Direction]]="L",Table13[[#This Row],[Steps]]&gt;G3912,G3912&lt;&gt;0),1,0)</f>
        <v>0</v>
      </c>
      <c r="I3913">
        <f>IF(AND(Table13[[#This Row],[Direction]]="R",(G3912+Table13[[#This Row],[Steps]])&gt;100),1,0)</f>
        <v>0</v>
      </c>
      <c r="J3913">
        <f>IF(Table13[[#This Row],[POS]]=0,1,0)</f>
        <v>0</v>
      </c>
      <c r="K3913">
        <f>SUM(Table13[[#This Row],[prefix]],Table13[[#This Row],[Past zero L]],Table13[[#This Row],[Past Zero R]],Table13[[#This Row],[Is Zero]])</f>
        <v>0</v>
      </c>
    </row>
    <row r="3914" spans="1:11" ht="16" x14ac:dyDescent="0.2">
      <c r="A3914" s="1" t="s">
        <v>19</v>
      </c>
      <c r="B3914" t="str">
        <f>LEFT(Table13[[#This Row],[Input]],1)</f>
        <v>R</v>
      </c>
      <c r="C3914">
        <f>_xlfn.LET(_xlpm.steps,SUBSTITUTE(Table13[[#This Row],[Input]],Table13[[#This Row],[Direction]],""),VALUE(IF(LEN(_xlpm.steps)&gt;2,RIGHT(_xlpm.steps,2),_xlpm.steps)))</f>
        <v>47</v>
      </c>
      <c r="D3914">
        <f>_xlfn.LET(_xlpm.steps,SUBSTITUTE(Table13[[#This Row],[Input]],Table13[[#This Row],[Direction]],""),VALUE(IF(LEN(_xlpm.steps)&gt;2,LEFT(_xlpm.steps,LEN(_xlpm.steps)-2),0)))</f>
        <v>0</v>
      </c>
      <c r="E3914">
        <f>_xlfn.LET(_xlpm.dir,Table13[[#This Row],[Direction]],
IF(_xlpm.dir="L",
    IF(G3913-Table13[[#This Row],[Steps]]&lt;0,100+(G3913-Table13[[#This Row],[Steps]]),G3913-Table13[[#This Row],[Steps]]),
))</f>
        <v>0</v>
      </c>
      <c r="F3914">
        <f>_xlfn.LET(_xlpm.dir,Table13[[#This Row],[Direction]],
IF(_xlpm.dir="R",
    IF(G3913+Table13[[#This Row],[Steps]]&gt;99,(G3913+Table13[[#This Row],[Steps]])-100,G3913+Table13[[#This Row],[Steps]]),
))</f>
        <v>75</v>
      </c>
      <c r="G3914">
        <f>IF(Table13[[#This Row],[New Pos L]]&lt;&gt;0,Table13[[#This Row],[New Pos L]],Table13[[#This Row],[New Pos R]])</f>
        <v>75</v>
      </c>
      <c r="H3914">
        <f>IF(AND(Table13[[#This Row],[Direction]]="L",Table13[[#This Row],[Steps]]&gt;G3913,G3913&lt;&gt;0),1,0)</f>
        <v>0</v>
      </c>
      <c r="I3914">
        <f>IF(AND(Table13[[#This Row],[Direction]]="R",(G3913+Table13[[#This Row],[Steps]])&gt;100),1,0)</f>
        <v>0</v>
      </c>
      <c r="J3914">
        <f>IF(Table13[[#This Row],[POS]]=0,1,0)</f>
        <v>0</v>
      </c>
      <c r="K3914">
        <f>SUM(Table13[[#This Row],[prefix]],Table13[[#This Row],[Past zero L]],Table13[[#This Row],[Past Zero R]],Table13[[#This Row],[Is Zero]])</f>
        <v>0</v>
      </c>
    </row>
    <row r="3915" spans="1:11" ht="16" x14ac:dyDescent="0.2">
      <c r="A3915" s="1" t="s">
        <v>54</v>
      </c>
      <c r="B3915" t="str">
        <f>LEFT(Table13[[#This Row],[Input]],1)</f>
        <v>L</v>
      </c>
      <c r="C3915">
        <f>_xlfn.LET(_xlpm.steps,SUBSTITUTE(Table13[[#This Row],[Input]],Table13[[#This Row],[Direction]],""),VALUE(IF(LEN(_xlpm.steps)&gt;2,RIGHT(_xlpm.steps,2),_xlpm.steps)))</f>
        <v>75</v>
      </c>
      <c r="D3915">
        <f>_xlfn.LET(_xlpm.steps,SUBSTITUTE(Table13[[#This Row],[Input]],Table13[[#This Row],[Direction]],""),VALUE(IF(LEN(_xlpm.steps)&gt;2,LEFT(_xlpm.steps,LEN(_xlpm.steps)-2),0)))</f>
        <v>0</v>
      </c>
      <c r="E3915">
        <f>_xlfn.LET(_xlpm.dir,Table13[[#This Row],[Direction]],
IF(_xlpm.dir="L",
    IF(G3914-Table13[[#This Row],[Steps]]&lt;0,100+(G3914-Table13[[#This Row],[Steps]]),G3914-Table13[[#This Row],[Steps]]),
))</f>
        <v>0</v>
      </c>
      <c r="F3915">
        <f>_xlfn.LET(_xlpm.dir,Table13[[#This Row],[Direction]],
IF(_xlpm.dir="R",
    IF(G3914+Table13[[#This Row],[Steps]]&gt;99,(G3914+Table13[[#This Row],[Steps]])-100,G3914+Table13[[#This Row],[Steps]]),
))</f>
        <v>0</v>
      </c>
      <c r="G3915">
        <f>IF(Table13[[#This Row],[New Pos L]]&lt;&gt;0,Table13[[#This Row],[New Pos L]],Table13[[#This Row],[New Pos R]])</f>
        <v>0</v>
      </c>
      <c r="H3915">
        <f>IF(AND(Table13[[#This Row],[Direction]]="L",Table13[[#This Row],[Steps]]&gt;G3914,G3914&lt;&gt;0),1,0)</f>
        <v>0</v>
      </c>
      <c r="I3915">
        <f>IF(AND(Table13[[#This Row],[Direction]]="R",(G3914+Table13[[#This Row],[Steps]])&gt;100),1,0)</f>
        <v>0</v>
      </c>
      <c r="J3915">
        <f>IF(Table13[[#This Row],[POS]]=0,1,0)</f>
        <v>1</v>
      </c>
      <c r="K3915">
        <f>SUM(Table13[[#This Row],[prefix]],Table13[[#This Row],[Past zero L]],Table13[[#This Row],[Past Zero R]],Table13[[#This Row],[Is Zero]])</f>
        <v>1</v>
      </c>
    </row>
    <row r="3916" spans="1:11" ht="16" x14ac:dyDescent="0.2">
      <c r="A3916" s="1" t="s">
        <v>818</v>
      </c>
      <c r="B3916" t="str">
        <f>LEFT(Table13[[#This Row],[Input]],1)</f>
        <v>L</v>
      </c>
      <c r="C3916">
        <f>_xlfn.LET(_xlpm.steps,SUBSTITUTE(Table13[[#This Row],[Input]],Table13[[#This Row],[Direction]],""),VALUE(IF(LEN(_xlpm.steps)&gt;2,RIGHT(_xlpm.steps,2),_xlpm.steps)))</f>
        <v>95</v>
      </c>
      <c r="D3916">
        <f>_xlfn.LET(_xlpm.steps,SUBSTITUTE(Table13[[#This Row],[Input]],Table13[[#This Row],[Direction]],""),VALUE(IF(LEN(_xlpm.steps)&gt;2,LEFT(_xlpm.steps,LEN(_xlpm.steps)-2),0)))</f>
        <v>7</v>
      </c>
      <c r="E3916">
        <f>_xlfn.LET(_xlpm.dir,Table13[[#This Row],[Direction]],
IF(_xlpm.dir="L",
    IF(G3915-Table13[[#This Row],[Steps]]&lt;0,100+(G3915-Table13[[#This Row],[Steps]]),G3915-Table13[[#This Row],[Steps]]),
))</f>
        <v>5</v>
      </c>
      <c r="F3916">
        <f>_xlfn.LET(_xlpm.dir,Table13[[#This Row],[Direction]],
IF(_xlpm.dir="R",
    IF(G3915+Table13[[#This Row],[Steps]]&gt;99,(G3915+Table13[[#This Row],[Steps]])-100,G3915+Table13[[#This Row],[Steps]]),
))</f>
        <v>0</v>
      </c>
      <c r="G3916">
        <f>IF(Table13[[#This Row],[New Pos L]]&lt;&gt;0,Table13[[#This Row],[New Pos L]],Table13[[#This Row],[New Pos R]])</f>
        <v>5</v>
      </c>
      <c r="H3916">
        <f>IF(AND(Table13[[#This Row],[Direction]]="L",Table13[[#This Row],[Steps]]&gt;G3915,G3915&lt;&gt;0),1,0)</f>
        <v>0</v>
      </c>
      <c r="I3916">
        <f>IF(AND(Table13[[#This Row],[Direction]]="R",(G3915+Table13[[#This Row],[Steps]])&gt;100),1,0)</f>
        <v>0</v>
      </c>
      <c r="J3916">
        <f>IF(Table13[[#This Row],[POS]]=0,1,0)</f>
        <v>0</v>
      </c>
      <c r="K3916">
        <f>SUM(Table13[[#This Row],[prefix]],Table13[[#This Row],[Past zero L]],Table13[[#This Row],[Past Zero R]],Table13[[#This Row],[Is Zero]])</f>
        <v>7</v>
      </c>
    </row>
    <row r="3917" spans="1:11" ht="16" x14ac:dyDescent="0.2">
      <c r="A3917" s="1" t="s">
        <v>167</v>
      </c>
      <c r="B3917" t="str">
        <f>LEFT(Table13[[#This Row],[Input]],1)</f>
        <v>L</v>
      </c>
      <c r="C3917">
        <f>_xlfn.LET(_xlpm.steps,SUBSTITUTE(Table13[[#This Row],[Input]],Table13[[#This Row],[Direction]],""),VALUE(IF(LEN(_xlpm.steps)&gt;2,RIGHT(_xlpm.steps,2),_xlpm.steps)))</f>
        <v>59</v>
      </c>
      <c r="D3917">
        <f>_xlfn.LET(_xlpm.steps,SUBSTITUTE(Table13[[#This Row],[Input]],Table13[[#This Row],[Direction]],""),VALUE(IF(LEN(_xlpm.steps)&gt;2,LEFT(_xlpm.steps,LEN(_xlpm.steps)-2),0)))</f>
        <v>0</v>
      </c>
      <c r="E3917">
        <f>_xlfn.LET(_xlpm.dir,Table13[[#This Row],[Direction]],
IF(_xlpm.dir="L",
    IF(G3916-Table13[[#This Row],[Steps]]&lt;0,100+(G3916-Table13[[#This Row],[Steps]]),G3916-Table13[[#This Row],[Steps]]),
))</f>
        <v>46</v>
      </c>
      <c r="F3917">
        <f>_xlfn.LET(_xlpm.dir,Table13[[#This Row],[Direction]],
IF(_xlpm.dir="R",
    IF(G3916+Table13[[#This Row],[Steps]]&gt;99,(G3916+Table13[[#This Row],[Steps]])-100,G3916+Table13[[#This Row],[Steps]]),
))</f>
        <v>0</v>
      </c>
      <c r="G3917">
        <f>IF(Table13[[#This Row],[New Pos L]]&lt;&gt;0,Table13[[#This Row],[New Pos L]],Table13[[#This Row],[New Pos R]])</f>
        <v>46</v>
      </c>
      <c r="H3917">
        <f>IF(AND(Table13[[#This Row],[Direction]]="L",Table13[[#This Row],[Steps]]&gt;G3916,G3916&lt;&gt;0),1,0)</f>
        <v>1</v>
      </c>
      <c r="I3917">
        <f>IF(AND(Table13[[#This Row],[Direction]]="R",(G3916+Table13[[#This Row],[Steps]])&gt;100),1,0)</f>
        <v>0</v>
      </c>
      <c r="J3917">
        <f>IF(Table13[[#This Row],[POS]]=0,1,0)</f>
        <v>0</v>
      </c>
      <c r="K3917">
        <f>SUM(Table13[[#This Row],[prefix]],Table13[[#This Row],[Past zero L]],Table13[[#This Row],[Past Zero R]],Table13[[#This Row],[Is Zero]])</f>
        <v>1</v>
      </c>
    </row>
    <row r="3918" spans="1:11" ht="16" x14ac:dyDescent="0.2">
      <c r="A3918" s="1" t="s">
        <v>819</v>
      </c>
      <c r="B3918" t="str">
        <f>LEFT(Table13[[#This Row],[Input]],1)</f>
        <v>R</v>
      </c>
      <c r="C3918">
        <f>_xlfn.LET(_xlpm.steps,SUBSTITUTE(Table13[[#This Row],[Input]],Table13[[#This Row],[Direction]],""),VALUE(IF(LEN(_xlpm.steps)&gt;2,RIGHT(_xlpm.steps,2),_xlpm.steps)))</f>
        <v>75</v>
      </c>
      <c r="D3918">
        <f>_xlfn.LET(_xlpm.steps,SUBSTITUTE(Table13[[#This Row],[Input]],Table13[[#This Row],[Direction]],""),VALUE(IF(LEN(_xlpm.steps)&gt;2,LEFT(_xlpm.steps,LEN(_xlpm.steps)-2),0)))</f>
        <v>1</v>
      </c>
      <c r="E3918">
        <f>_xlfn.LET(_xlpm.dir,Table13[[#This Row],[Direction]],
IF(_xlpm.dir="L",
    IF(G3917-Table13[[#This Row],[Steps]]&lt;0,100+(G3917-Table13[[#This Row],[Steps]]),G3917-Table13[[#This Row],[Steps]]),
))</f>
        <v>0</v>
      </c>
      <c r="F3918">
        <f>_xlfn.LET(_xlpm.dir,Table13[[#This Row],[Direction]],
IF(_xlpm.dir="R",
    IF(G3917+Table13[[#This Row],[Steps]]&gt;99,(G3917+Table13[[#This Row],[Steps]])-100,G3917+Table13[[#This Row],[Steps]]),
))</f>
        <v>21</v>
      </c>
      <c r="G3918">
        <f>IF(Table13[[#This Row],[New Pos L]]&lt;&gt;0,Table13[[#This Row],[New Pos L]],Table13[[#This Row],[New Pos R]])</f>
        <v>21</v>
      </c>
      <c r="H3918">
        <f>IF(AND(Table13[[#This Row],[Direction]]="L",Table13[[#This Row],[Steps]]&gt;G3917,G3917&lt;&gt;0),1,0)</f>
        <v>0</v>
      </c>
      <c r="I3918">
        <f>IF(AND(Table13[[#This Row],[Direction]]="R",(G3917+Table13[[#This Row],[Steps]])&gt;100),1,0)</f>
        <v>1</v>
      </c>
      <c r="J3918">
        <f>IF(Table13[[#This Row],[POS]]=0,1,0)</f>
        <v>0</v>
      </c>
      <c r="K3918">
        <f>SUM(Table13[[#This Row],[prefix]],Table13[[#This Row],[Past zero L]],Table13[[#This Row],[Past Zero R]],Table13[[#This Row],[Is Zero]])</f>
        <v>2</v>
      </c>
    </row>
    <row r="3919" spans="1:11" ht="16" x14ac:dyDescent="0.2">
      <c r="A3919" s="1" t="s">
        <v>264</v>
      </c>
      <c r="B3919" t="str">
        <f>LEFT(Table13[[#This Row],[Input]],1)</f>
        <v>L</v>
      </c>
      <c r="C3919">
        <f>_xlfn.LET(_xlpm.steps,SUBSTITUTE(Table13[[#This Row],[Input]],Table13[[#This Row],[Direction]],""),VALUE(IF(LEN(_xlpm.steps)&gt;2,RIGHT(_xlpm.steps,2),_xlpm.steps)))</f>
        <v>21</v>
      </c>
      <c r="D3919">
        <f>_xlfn.LET(_xlpm.steps,SUBSTITUTE(Table13[[#This Row],[Input]],Table13[[#This Row],[Direction]],""),VALUE(IF(LEN(_xlpm.steps)&gt;2,LEFT(_xlpm.steps,LEN(_xlpm.steps)-2),0)))</f>
        <v>0</v>
      </c>
      <c r="E3919">
        <f>_xlfn.LET(_xlpm.dir,Table13[[#This Row],[Direction]],
IF(_xlpm.dir="L",
    IF(G3918-Table13[[#This Row],[Steps]]&lt;0,100+(G3918-Table13[[#This Row],[Steps]]),G3918-Table13[[#This Row],[Steps]]),
))</f>
        <v>0</v>
      </c>
      <c r="F3919">
        <f>_xlfn.LET(_xlpm.dir,Table13[[#This Row],[Direction]],
IF(_xlpm.dir="R",
    IF(G3918+Table13[[#This Row],[Steps]]&gt;99,(G3918+Table13[[#This Row],[Steps]])-100,G3918+Table13[[#This Row],[Steps]]),
))</f>
        <v>0</v>
      </c>
      <c r="G3919">
        <f>IF(Table13[[#This Row],[New Pos L]]&lt;&gt;0,Table13[[#This Row],[New Pos L]],Table13[[#This Row],[New Pos R]])</f>
        <v>0</v>
      </c>
      <c r="H3919">
        <f>IF(AND(Table13[[#This Row],[Direction]]="L",Table13[[#This Row],[Steps]]&gt;G3918,G3918&lt;&gt;0),1,0)</f>
        <v>0</v>
      </c>
      <c r="I3919">
        <f>IF(AND(Table13[[#This Row],[Direction]]="R",(G3918+Table13[[#This Row],[Steps]])&gt;100),1,0)</f>
        <v>0</v>
      </c>
      <c r="J3919">
        <f>IF(Table13[[#This Row],[POS]]=0,1,0)</f>
        <v>1</v>
      </c>
      <c r="K3919">
        <f>SUM(Table13[[#This Row],[prefix]],Table13[[#This Row],[Past zero L]],Table13[[#This Row],[Past Zero R]],Table13[[#This Row],[Is Zero]])</f>
        <v>1</v>
      </c>
    </row>
    <row r="3920" spans="1:11" ht="16" x14ac:dyDescent="0.2">
      <c r="A3920" s="1" t="s">
        <v>207</v>
      </c>
      <c r="B3920" t="str">
        <f>LEFT(Table13[[#This Row],[Input]],1)</f>
        <v>L</v>
      </c>
      <c r="C3920">
        <f>_xlfn.LET(_xlpm.steps,SUBSTITUTE(Table13[[#This Row],[Input]],Table13[[#This Row],[Direction]],""),VALUE(IF(LEN(_xlpm.steps)&gt;2,RIGHT(_xlpm.steps,2),_xlpm.steps)))</f>
        <v>89</v>
      </c>
      <c r="D3920">
        <f>_xlfn.LET(_xlpm.steps,SUBSTITUTE(Table13[[#This Row],[Input]],Table13[[#This Row],[Direction]],""),VALUE(IF(LEN(_xlpm.steps)&gt;2,LEFT(_xlpm.steps,LEN(_xlpm.steps)-2),0)))</f>
        <v>0</v>
      </c>
      <c r="E3920">
        <f>_xlfn.LET(_xlpm.dir,Table13[[#This Row],[Direction]],
IF(_xlpm.dir="L",
    IF(G3919-Table13[[#This Row],[Steps]]&lt;0,100+(G3919-Table13[[#This Row],[Steps]]),G3919-Table13[[#This Row],[Steps]]),
))</f>
        <v>11</v>
      </c>
      <c r="F3920">
        <f>_xlfn.LET(_xlpm.dir,Table13[[#This Row],[Direction]],
IF(_xlpm.dir="R",
    IF(G3919+Table13[[#This Row],[Steps]]&gt;99,(G3919+Table13[[#This Row],[Steps]])-100,G3919+Table13[[#This Row],[Steps]]),
))</f>
        <v>0</v>
      </c>
      <c r="G3920">
        <f>IF(Table13[[#This Row],[New Pos L]]&lt;&gt;0,Table13[[#This Row],[New Pos L]],Table13[[#This Row],[New Pos R]])</f>
        <v>11</v>
      </c>
      <c r="H3920">
        <f>IF(AND(Table13[[#This Row],[Direction]]="L",Table13[[#This Row],[Steps]]&gt;G3919,G3919&lt;&gt;0),1,0)</f>
        <v>0</v>
      </c>
      <c r="I3920">
        <f>IF(AND(Table13[[#This Row],[Direction]]="R",(G3919+Table13[[#This Row],[Steps]])&gt;100),1,0)</f>
        <v>0</v>
      </c>
      <c r="J3920">
        <f>IF(Table13[[#This Row],[POS]]=0,1,0)</f>
        <v>0</v>
      </c>
      <c r="K3920">
        <f>SUM(Table13[[#This Row],[prefix]],Table13[[#This Row],[Past zero L]],Table13[[#This Row],[Past Zero R]],Table13[[#This Row],[Is Zero]])</f>
        <v>0</v>
      </c>
    </row>
    <row r="3921" spans="1:11" ht="16" x14ac:dyDescent="0.2">
      <c r="A3921" s="1" t="s">
        <v>12</v>
      </c>
      <c r="B3921" t="str">
        <f>LEFT(Table13[[#This Row],[Input]],1)</f>
        <v>L</v>
      </c>
      <c r="C3921">
        <f>_xlfn.LET(_xlpm.steps,SUBSTITUTE(Table13[[#This Row],[Input]],Table13[[#This Row],[Direction]],""),VALUE(IF(LEN(_xlpm.steps)&gt;2,RIGHT(_xlpm.steps,2),_xlpm.steps)))</f>
        <v>11</v>
      </c>
      <c r="D3921">
        <f>_xlfn.LET(_xlpm.steps,SUBSTITUTE(Table13[[#This Row],[Input]],Table13[[#This Row],[Direction]],""),VALUE(IF(LEN(_xlpm.steps)&gt;2,LEFT(_xlpm.steps,LEN(_xlpm.steps)-2),0)))</f>
        <v>0</v>
      </c>
      <c r="E3921">
        <f>_xlfn.LET(_xlpm.dir,Table13[[#This Row],[Direction]],
IF(_xlpm.dir="L",
    IF(G3920-Table13[[#This Row],[Steps]]&lt;0,100+(G3920-Table13[[#This Row],[Steps]]),G3920-Table13[[#This Row],[Steps]]),
))</f>
        <v>0</v>
      </c>
      <c r="F3921">
        <f>_xlfn.LET(_xlpm.dir,Table13[[#This Row],[Direction]],
IF(_xlpm.dir="R",
    IF(G3920+Table13[[#This Row],[Steps]]&gt;99,(G3920+Table13[[#This Row],[Steps]])-100,G3920+Table13[[#This Row],[Steps]]),
))</f>
        <v>0</v>
      </c>
      <c r="G3921">
        <f>IF(Table13[[#This Row],[New Pos L]]&lt;&gt;0,Table13[[#This Row],[New Pos L]],Table13[[#This Row],[New Pos R]])</f>
        <v>0</v>
      </c>
      <c r="H3921">
        <f>IF(AND(Table13[[#This Row],[Direction]]="L",Table13[[#This Row],[Steps]]&gt;G3920,G3920&lt;&gt;0),1,0)</f>
        <v>0</v>
      </c>
      <c r="I3921">
        <f>IF(AND(Table13[[#This Row],[Direction]]="R",(G3920+Table13[[#This Row],[Steps]])&gt;100),1,0)</f>
        <v>0</v>
      </c>
      <c r="J3921">
        <f>IF(Table13[[#This Row],[POS]]=0,1,0)</f>
        <v>1</v>
      </c>
      <c r="K3921">
        <f>SUM(Table13[[#This Row],[prefix]],Table13[[#This Row],[Past zero L]],Table13[[#This Row],[Past Zero R]],Table13[[#This Row],[Is Zero]])</f>
        <v>1</v>
      </c>
    </row>
    <row r="3922" spans="1:11" ht="16" x14ac:dyDescent="0.2">
      <c r="A3922" s="1" t="s">
        <v>41</v>
      </c>
      <c r="B3922" t="str">
        <f>LEFT(Table13[[#This Row],[Input]],1)</f>
        <v>L</v>
      </c>
      <c r="C3922">
        <f>_xlfn.LET(_xlpm.steps,SUBSTITUTE(Table13[[#This Row],[Input]],Table13[[#This Row],[Direction]],""),VALUE(IF(LEN(_xlpm.steps)&gt;2,RIGHT(_xlpm.steps,2),_xlpm.steps)))</f>
        <v>7</v>
      </c>
      <c r="D3922">
        <f>_xlfn.LET(_xlpm.steps,SUBSTITUTE(Table13[[#This Row],[Input]],Table13[[#This Row],[Direction]],""),VALUE(IF(LEN(_xlpm.steps)&gt;2,LEFT(_xlpm.steps,LEN(_xlpm.steps)-2),0)))</f>
        <v>0</v>
      </c>
      <c r="E3922">
        <f>_xlfn.LET(_xlpm.dir,Table13[[#This Row],[Direction]],
IF(_xlpm.dir="L",
    IF(G3921-Table13[[#This Row],[Steps]]&lt;0,100+(G3921-Table13[[#This Row],[Steps]]),G3921-Table13[[#This Row],[Steps]]),
))</f>
        <v>93</v>
      </c>
      <c r="F3922">
        <f>_xlfn.LET(_xlpm.dir,Table13[[#This Row],[Direction]],
IF(_xlpm.dir="R",
    IF(G3921+Table13[[#This Row],[Steps]]&gt;99,(G3921+Table13[[#This Row],[Steps]])-100,G3921+Table13[[#This Row],[Steps]]),
))</f>
        <v>0</v>
      </c>
      <c r="G3922">
        <f>IF(Table13[[#This Row],[New Pos L]]&lt;&gt;0,Table13[[#This Row],[New Pos L]],Table13[[#This Row],[New Pos R]])</f>
        <v>93</v>
      </c>
      <c r="H3922">
        <f>IF(AND(Table13[[#This Row],[Direction]]="L",Table13[[#This Row],[Steps]]&gt;G3921,G3921&lt;&gt;0),1,0)</f>
        <v>0</v>
      </c>
      <c r="I3922">
        <f>IF(AND(Table13[[#This Row],[Direction]]="R",(G3921+Table13[[#This Row],[Steps]])&gt;100),1,0)</f>
        <v>0</v>
      </c>
      <c r="J3922">
        <f>IF(Table13[[#This Row],[POS]]=0,1,0)</f>
        <v>0</v>
      </c>
      <c r="K3922">
        <f>SUM(Table13[[#This Row],[prefix]],Table13[[#This Row],[Past zero L]],Table13[[#This Row],[Past Zero R]],Table13[[#This Row],[Is Zero]])</f>
        <v>0</v>
      </c>
    </row>
    <row r="3923" spans="1:11" ht="16" x14ac:dyDescent="0.2">
      <c r="A3923" s="1" t="s">
        <v>567</v>
      </c>
      <c r="B3923" t="str">
        <f>LEFT(Table13[[#This Row],[Input]],1)</f>
        <v>L</v>
      </c>
      <c r="C3923">
        <f>_xlfn.LET(_xlpm.steps,SUBSTITUTE(Table13[[#This Row],[Input]],Table13[[#This Row],[Direction]],""),VALUE(IF(LEN(_xlpm.steps)&gt;2,RIGHT(_xlpm.steps,2),_xlpm.steps)))</f>
        <v>93</v>
      </c>
      <c r="D3923">
        <f>_xlfn.LET(_xlpm.steps,SUBSTITUTE(Table13[[#This Row],[Input]],Table13[[#This Row],[Direction]],""),VALUE(IF(LEN(_xlpm.steps)&gt;2,LEFT(_xlpm.steps,LEN(_xlpm.steps)-2),0)))</f>
        <v>4</v>
      </c>
      <c r="E3923">
        <f>_xlfn.LET(_xlpm.dir,Table13[[#This Row],[Direction]],
IF(_xlpm.dir="L",
    IF(G3922-Table13[[#This Row],[Steps]]&lt;0,100+(G3922-Table13[[#This Row],[Steps]]),G3922-Table13[[#This Row],[Steps]]),
))</f>
        <v>0</v>
      </c>
      <c r="F3923">
        <f>_xlfn.LET(_xlpm.dir,Table13[[#This Row],[Direction]],
IF(_xlpm.dir="R",
    IF(G3922+Table13[[#This Row],[Steps]]&gt;99,(G3922+Table13[[#This Row],[Steps]])-100,G3922+Table13[[#This Row],[Steps]]),
))</f>
        <v>0</v>
      </c>
      <c r="G3923">
        <f>IF(Table13[[#This Row],[New Pos L]]&lt;&gt;0,Table13[[#This Row],[New Pos L]],Table13[[#This Row],[New Pos R]])</f>
        <v>0</v>
      </c>
      <c r="H3923">
        <f>IF(AND(Table13[[#This Row],[Direction]]="L",Table13[[#This Row],[Steps]]&gt;G3922,G3922&lt;&gt;0),1,0)</f>
        <v>0</v>
      </c>
      <c r="I3923">
        <f>IF(AND(Table13[[#This Row],[Direction]]="R",(G3922+Table13[[#This Row],[Steps]])&gt;100),1,0)</f>
        <v>0</v>
      </c>
      <c r="J3923">
        <f>IF(Table13[[#This Row],[POS]]=0,1,0)</f>
        <v>1</v>
      </c>
      <c r="K3923">
        <f>SUM(Table13[[#This Row],[prefix]],Table13[[#This Row],[Past zero L]],Table13[[#This Row],[Past Zero R]],Table13[[#This Row],[Is Zero]])</f>
        <v>5</v>
      </c>
    </row>
    <row r="3924" spans="1:11" ht="16" x14ac:dyDescent="0.2">
      <c r="A3924" s="1" t="s">
        <v>127</v>
      </c>
      <c r="B3924" t="str">
        <f>LEFT(Table13[[#This Row],[Input]],1)</f>
        <v>L</v>
      </c>
      <c r="C3924">
        <f>_xlfn.LET(_xlpm.steps,SUBSTITUTE(Table13[[#This Row],[Input]],Table13[[#This Row],[Direction]],""),VALUE(IF(LEN(_xlpm.steps)&gt;2,RIGHT(_xlpm.steps,2),_xlpm.steps)))</f>
        <v>62</v>
      </c>
      <c r="D3924">
        <f>_xlfn.LET(_xlpm.steps,SUBSTITUTE(Table13[[#This Row],[Input]],Table13[[#This Row],[Direction]],""),VALUE(IF(LEN(_xlpm.steps)&gt;2,LEFT(_xlpm.steps,LEN(_xlpm.steps)-2),0)))</f>
        <v>0</v>
      </c>
      <c r="E3924">
        <f>_xlfn.LET(_xlpm.dir,Table13[[#This Row],[Direction]],
IF(_xlpm.dir="L",
    IF(G3923-Table13[[#This Row],[Steps]]&lt;0,100+(G3923-Table13[[#This Row],[Steps]]),G3923-Table13[[#This Row],[Steps]]),
))</f>
        <v>38</v>
      </c>
      <c r="F3924">
        <f>_xlfn.LET(_xlpm.dir,Table13[[#This Row],[Direction]],
IF(_xlpm.dir="R",
    IF(G3923+Table13[[#This Row],[Steps]]&gt;99,(G3923+Table13[[#This Row],[Steps]])-100,G3923+Table13[[#This Row],[Steps]]),
))</f>
        <v>0</v>
      </c>
      <c r="G3924">
        <f>IF(Table13[[#This Row],[New Pos L]]&lt;&gt;0,Table13[[#This Row],[New Pos L]],Table13[[#This Row],[New Pos R]])</f>
        <v>38</v>
      </c>
      <c r="H3924">
        <f>IF(AND(Table13[[#This Row],[Direction]]="L",Table13[[#This Row],[Steps]]&gt;G3923,G3923&lt;&gt;0),1,0)</f>
        <v>0</v>
      </c>
      <c r="I3924">
        <f>IF(AND(Table13[[#This Row],[Direction]]="R",(G3923+Table13[[#This Row],[Steps]])&gt;100),1,0)</f>
        <v>0</v>
      </c>
      <c r="J3924">
        <f>IF(Table13[[#This Row],[POS]]=0,1,0)</f>
        <v>0</v>
      </c>
      <c r="K3924">
        <f>SUM(Table13[[#This Row],[prefix]],Table13[[#This Row],[Past zero L]],Table13[[#This Row],[Past Zero R]],Table13[[#This Row],[Is Zero]])</f>
        <v>0</v>
      </c>
    </row>
    <row r="3925" spans="1:11" ht="16" x14ac:dyDescent="0.2">
      <c r="A3925" s="1" t="s">
        <v>2</v>
      </c>
      <c r="B3925" t="str">
        <f>LEFT(Table13[[#This Row],[Input]],1)</f>
        <v>L</v>
      </c>
      <c r="C3925">
        <f>_xlfn.LET(_xlpm.steps,SUBSTITUTE(Table13[[#This Row],[Input]],Table13[[#This Row],[Direction]],""),VALUE(IF(LEN(_xlpm.steps)&gt;2,RIGHT(_xlpm.steps,2),_xlpm.steps)))</f>
        <v>38</v>
      </c>
      <c r="D3925">
        <f>_xlfn.LET(_xlpm.steps,SUBSTITUTE(Table13[[#This Row],[Input]],Table13[[#This Row],[Direction]],""),VALUE(IF(LEN(_xlpm.steps)&gt;2,LEFT(_xlpm.steps,LEN(_xlpm.steps)-2),0)))</f>
        <v>0</v>
      </c>
      <c r="E3925">
        <f>_xlfn.LET(_xlpm.dir,Table13[[#This Row],[Direction]],
IF(_xlpm.dir="L",
    IF(G3924-Table13[[#This Row],[Steps]]&lt;0,100+(G3924-Table13[[#This Row],[Steps]]),G3924-Table13[[#This Row],[Steps]]),
))</f>
        <v>0</v>
      </c>
      <c r="F3925">
        <f>_xlfn.LET(_xlpm.dir,Table13[[#This Row],[Direction]],
IF(_xlpm.dir="R",
    IF(G3924+Table13[[#This Row],[Steps]]&gt;99,(G3924+Table13[[#This Row],[Steps]])-100,G3924+Table13[[#This Row],[Steps]]),
))</f>
        <v>0</v>
      </c>
      <c r="G3925">
        <f>IF(Table13[[#This Row],[New Pos L]]&lt;&gt;0,Table13[[#This Row],[New Pos L]],Table13[[#This Row],[New Pos R]])</f>
        <v>0</v>
      </c>
      <c r="H3925">
        <f>IF(AND(Table13[[#This Row],[Direction]]="L",Table13[[#This Row],[Steps]]&gt;G3924,G3924&lt;&gt;0),1,0)</f>
        <v>0</v>
      </c>
      <c r="I3925">
        <f>IF(AND(Table13[[#This Row],[Direction]]="R",(G3924+Table13[[#This Row],[Steps]])&gt;100),1,0)</f>
        <v>0</v>
      </c>
      <c r="J3925">
        <f>IF(Table13[[#This Row],[POS]]=0,1,0)</f>
        <v>1</v>
      </c>
      <c r="K3925">
        <f>SUM(Table13[[#This Row],[prefix]],Table13[[#This Row],[Past zero L]],Table13[[#This Row],[Past Zero R]],Table13[[#This Row],[Is Zero]])</f>
        <v>1</v>
      </c>
    </row>
    <row r="3926" spans="1:11" ht="16" x14ac:dyDescent="0.2">
      <c r="A3926" s="1" t="s">
        <v>9</v>
      </c>
      <c r="B3926" t="str">
        <f>LEFT(Table13[[#This Row],[Input]],1)</f>
        <v>L</v>
      </c>
      <c r="C3926">
        <f>_xlfn.LET(_xlpm.steps,SUBSTITUTE(Table13[[#This Row],[Input]],Table13[[#This Row],[Direction]],""),VALUE(IF(LEN(_xlpm.steps)&gt;2,RIGHT(_xlpm.steps,2),_xlpm.steps)))</f>
        <v>9</v>
      </c>
      <c r="D3926">
        <f>_xlfn.LET(_xlpm.steps,SUBSTITUTE(Table13[[#This Row],[Input]],Table13[[#This Row],[Direction]],""),VALUE(IF(LEN(_xlpm.steps)&gt;2,LEFT(_xlpm.steps,LEN(_xlpm.steps)-2),0)))</f>
        <v>0</v>
      </c>
      <c r="E3926">
        <f>_xlfn.LET(_xlpm.dir,Table13[[#This Row],[Direction]],
IF(_xlpm.dir="L",
    IF(G3925-Table13[[#This Row],[Steps]]&lt;0,100+(G3925-Table13[[#This Row],[Steps]]),G3925-Table13[[#This Row],[Steps]]),
))</f>
        <v>91</v>
      </c>
      <c r="F3926">
        <f>_xlfn.LET(_xlpm.dir,Table13[[#This Row],[Direction]],
IF(_xlpm.dir="R",
    IF(G3925+Table13[[#This Row],[Steps]]&gt;99,(G3925+Table13[[#This Row],[Steps]])-100,G3925+Table13[[#This Row],[Steps]]),
))</f>
        <v>0</v>
      </c>
      <c r="G3926">
        <f>IF(Table13[[#This Row],[New Pos L]]&lt;&gt;0,Table13[[#This Row],[New Pos L]],Table13[[#This Row],[New Pos R]])</f>
        <v>91</v>
      </c>
      <c r="H3926">
        <f>IF(AND(Table13[[#This Row],[Direction]]="L",Table13[[#This Row],[Steps]]&gt;G3925,G3925&lt;&gt;0),1,0)</f>
        <v>0</v>
      </c>
      <c r="I3926">
        <f>IF(AND(Table13[[#This Row],[Direction]]="R",(G3925+Table13[[#This Row],[Steps]])&gt;100),1,0)</f>
        <v>0</v>
      </c>
      <c r="J3926">
        <f>IF(Table13[[#This Row],[POS]]=0,1,0)</f>
        <v>0</v>
      </c>
      <c r="K3926">
        <f>SUM(Table13[[#This Row],[prefix]],Table13[[#This Row],[Past zero L]],Table13[[#This Row],[Past Zero R]],Table13[[#This Row],[Is Zero]])</f>
        <v>0</v>
      </c>
    </row>
    <row r="3927" spans="1:11" ht="16" x14ac:dyDescent="0.2">
      <c r="A3927" s="1" t="s">
        <v>188</v>
      </c>
      <c r="B3927" t="str">
        <f>LEFT(Table13[[#This Row],[Input]],1)</f>
        <v>R</v>
      </c>
      <c r="C3927">
        <f>_xlfn.LET(_xlpm.steps,SUBSTITUTE(Table13[[#This Row],[Input]],Table13[[#This Row],[Direction]],""),VALUE(IF(LEN(_xlpm.steps)&gt;2,RIGHT(_xlpm.steps,2),_xlpm.steps)))</f>
        <v>5</v>
      </c>
      <c r="D3927">
        <f>_xlfn.LET(_xlpm.steps,SUBSTITUTE(Table13[[#This Row],[Input]],Table13[[#This Row],[Direction]],""),VALUE(IF(LEN(_xlpm.steps)&gt;2,LEFT(_xlpm.steps,LEN(_xlpm.steps)-2),0)))</f>
        <v>0</v>
      </c>
      <c r="E3927">
        <f>_xlfn.LET(_xlpm.dir,Table13[[#This Row],[Direction]],
IF(_xlpm.dir="L",
    IF(G3926-Table13[[#This Row],[Steps]]&lt;0,100+(G3926-Table13[[#This Row],[Steps]]),G3926-Table13[[#This Row],[Steps]]),
))</f>
        <v>0</v>
      </c>
      <c r="F3927">
        <f>_xlfn.LET(_xlpm.dir,Table13[[#This Row],[Direction]],
IF(_xlpm.dir="R",
    IF(G3926+Table13[[#This Row],[Steps]]&gt;99,(G3926+Table13[[#This Row],[Steps]])-100,G3926+Table13[[#This Row],[Steps]]),
))</f>
        <v>96</v>
      </c>
      <c r="G3927">
        <f>IF(Table13[[#This Row],[New Pos L]]&lt;&gt;0,Table13[[#This Row],[New Pos L]],Table13[[#This Row],[New Pos R]])</f>
        <v>96</v>
      </c>
      <c r="H3927">
        <f>IF(AND(Table13[[#This Row],[Direction]]="L",Table13[[#This Row],[Steps]]&gt;G3926,G3926&lt;&gt;0),1,0)</f>
        <v>0</v>
      </c>
      <c r="I3927">
        <f>IF(AND(Table13[[#This Row],[Direction]]="R",(G3926+Table13[[#This Row],[Steps]])&gt;100),1,0)</f>
        <v>0</v>
      </c>
      <c r="J3927">
        <f>IF(Table13[[#This Row],[POS]]=0,1,0)</f>
        <v>0</v>
      </c>
      <c r="K3927">
        <f>SUM(Table13[[#This Row],[prefix]],Table13[[#This Row],[Past zero L]],Table13[[#This Row],[Past Zero R]],Table13[[#This Row],[Is Zero]])</f>
        <v>0</v>
      </c>
    </row>
    <row r="3928" spans="1:11" ht="16" x14ac:dyDescent="0.2">
      <c r="A3928" s="1" t="s">
        <v>146</v>
      </c>
      <c r="B3928" t="str">
        <f>LEFT(Table13[[#This Row],[Input]],1)</f>
        <v>R</v>
      </c>
      <c r="C3928">
        <f>_xlfn.LET(_xlpm.steps,SUBSTITUTE(Table13[[#This Row],[Input]],Table13[[#This Row],[Direction]],""),VALUE(IF(LEN(_xlpm.steps)&gt;2,RIGHT(_xlpm.steps,2),_xlpm.steps)))</f>
        <v>4</v>
      </c>
      <c r="D3928">
        <f>_xlfn.LET(_xlpm.steps,SUBSTITUTE(Table13[[#This Row],[Input]],Table13[[#This Row],[Direction]],""),VALUE(IF(LEN(_xlpm.steps)&gt;2,LEFT(_xlpm.steps,LEN(_xlpm.steps)-2),0)))</f>
        <v>0</v>
      </c>
      <c r="E3928">
        <f>_xlfn.LET(_xlpm.dir,Table13[[#This Row],[Direction]],
IF(_xlpm.dir="L",
    IF(G3927-Table13[[#This Row],[Steps]]&lt;0,100+(G3927-Table13[[#This Row],[Steps]]),G3927-Table13[[#This Row],[Steps]]),
))</f>
        <v>0</v>
      </c>
      <c r="F3928">
        <f>_xlfn.LET(_xlpm.dir,Table13[[#This Row],[Direction]],
IF(_xlpm.dir="R",
    IF(G3927+Table13[[#This Row],[Steps]]&gt;99,(G3927+Table13[[#This Row],[Steps]])-100,G3927+Table13[[#This Row],[Steps]]),
))</f>
        <v>0</v>
      </c>
      <c r="G3928">
        <f>IF(Table13[[#This Row],[New Pos L]]&lt;&gt;0,Table13[[#This Row],[New Pos L]],Table13[[#This Row],[New Pos R]])</f>
        <v>0</v>
      </c>
      <c r="H3928">
        <f>IF(AND(Table13[[#This Row],[Direction]]="L",Table13[[#This Row],[Steps]]&gt;G3927,G3927&lt;&gt;0),1,0)</f>
        <v>0</v>
      </c>
      <c r="I3928">
        <f>IF(AND(Table13[[#This Row],[Direction]]="R",(G3927+Table13[[#This Row],[Steps]])&gt;100),1,0)</f>
        <v>0</v>
      </c>
      <c r="J3928">
        <f>IF(Table13[[#This Row],[POS]]=0,1,0)</f>
        <v>1</v>
      </c>
      <c r="K3928">
        <f>SUM(Table13[[#This Row],[prefix]],Table13[[#This Row],[Past zero L]],Table13[[#This Row],[Past Zero R]],Table13[[#This Row],[Is Zero]])</f>
        <v>1</v>
      </c>
    </row>
    <row r="3929" spans="1:11" ht="16" x14ac:dyDescent="0.2">
      <c r="A3929" s="1" t="s">
        <v>252</v>
      </c>
      <c r="B3929" t="str">
        <f>LEFT(Table13[[#This Row],[Input]],1)</f>
        <v>L</v>
      </c>
      <c r="C3929">
        <f>_xlfn.LET(_xlpm.steps,SUBSTITUTE(Table13[[#This Row],[Input]],Table13[[#This Row],[Direction]],""),VALUE(IF(LEN(_xlpm.steps)&gt;2,RIGHT(_xlpm.steps,2),_xlpm.steps)))</f>
        <v>99</v>
      </c>
      <c r="D3929">
        <f>_xlfn.LET(_xlpm.steps,SUBSTITUTE(Table13[[#This Row],[Input]],Table13[[#This Row],[Direction]],""),VALUE(IF(LEN(_xlpm.steps)&gt;2,LEFT(_xlpm.steps,LEN(_xlpm.steps)-2),0)))</f>
        <v>0</v>
      </c>
      <c r="E3929">
        <f>_xlfn.LET(_xlpm.dir,Table13[[#This Row],[Direction]],
IF(_xlpm.dir="L",
    IF(G3928-Table13[[#This Row],[Steps]]&lt;0,100+(G3928-Table13[[#This Row],[Steps]]),G3928-Table13[[#This Row],[Steps]]),
))</f>
        <v>1</v>
      </c>
      <c r="F3929">
        <f>_xlfn.LET(_xlpm.dir,Table13[[#This Row],[Direction]],
IF(_xlpm.dir="R",
    IF(G3928+Table13[[#This Row],[Steps]]&gt;99,(G3928+Table13[[#This Row],[Steps]])-100,G3928+Table13[[#This Row],[Steps]]),
))</f>
        <v>0</v>
      </c>
      <c r="G3929">
        <f>IF(Table13[[#This Row],[New Pos L]]&lt;&gt;0,Table13[[#This Row],[New Pos L]],Table13[[#This Row],[New Pos R]])</f>
        <v>1</v>
      </c>
      <c r="H3929">
        <f>IF(AND(Table13[[#This Row],[Direction]]="L",Table13[[#This Row],[Steps]]&gt;G3928,G3928&lt;&gt;0),1,0)</f>
        <v>0</v>
      </c>
      <c r="I3929">
        <f>IF(AND(Table13[[#This Row],[Direction]]="R",(G3928+Table13[[#This Row],[Steps]])&gt;100),1,0)</f>
        <v>0</v>
      </c>
      <c r="J3929">
        <f>IF(Table13[[#This Row],[POS]]=0,1,0)</f>
        <v>0</v>
      </c>
      <c r="K3929">
        <f>SUM(Table13[[#This Row],[prefix]],Table13[[#This Row],[Past zero L]],Table13[[#This Row],[Past Zero R]],Table13[[#This Row],[Is Zero]])</f>
        <v>0</v>
      </c>
    </row>
    <row r="3930" spans="1:11" ht="16" x14ac:dyDescent="0.2">
      <c r="A3930" s="1" t="s">
        <v>73</v>
      </c>
      <c r="B3930" t="str">
        <f>LEFT(Table13[[#This Row],[Input]],1)</f>
        <v>R</v>
      </c>
      <c r="C3930">
        <f>_xlfn.LET(_xlpm.steps,SUBSTITUTE(Table13[[#This Row],[Input]],Table13[[#This Row],[Direction]],""),VALUE(IF(LEN(_xlpm.steps)&gt;2,RIGHT(_xlpm.steps,2),_xlpm.steps)))</f>
        <v>21</v>
      </c>
      <c r="D3930">
        <f>_xlfn.LET(_xlpm.steps,SUBSTITUTE(Table13[[#This Row],[Input]],Table13[[#This Row],[Direction]],""),VALUE(IF(LEN(_xlpm.steps)&gt;2,LEFT(_xlpm.steps,LEN(_xlpm.steps)-2),0)))</f>
        <v>0</v>
      </c>
      <c r="E3930">
        <f>_xlfn.LET(_xlpm.dir,Table13[[#This Row],[Direction]],
IF(_xlpm.dir="L",
    IF(G3929-Table13[[#This Row],[Steps]]&lt;0,100+(G3929-Table13[[#This Row],[Steps]]),G3929-Table13[[#This Row],[Steps]]),
))</f>
        <v>0</v>
      </c>
      <c r="F3930">
        <f>_xlfn.LET(_xlpm.dir,Table13[[#This Row],[Direction]],
IF(_xlpm.dir="R",
    IF(G3929+Table13[[#This Row],[Steps]]&gt;99,(G3929+Table13[[#This Row],[Steps]])-100,G3929+Table13[[#This Row],[Steps]]),
))</f>
        <v>22</v>
      </c>
      <c r="G3930">
        <f>IF(Table13[[#This Row],[New Pos L]]&lt;&gt;0,Table13[[#This Row],[New Pos L]],Table13[[#This Row],[New Pos R]])</f>
        <v>22</v>
      </c>
      <c r="H3930">
        <f>IF(AND(Table13[[#This Row],[Direction]]="L",Table13[[#This Row],[Steps]]&gt;G3929,G3929&lt;&gt;0),1,0)</f>
        <v>0</v>
      </c>
      <c r="I3930">
        <f>IF(AND(Table13[[#This Row],[Direction]]="R",(G3929+Table13[[#This Row],[Steps]])&gt;100),1,0)</f>
        <v>0</v>
      </c>
      <c r="J3930">
        <f>IF(Table13[[#This Row],[POS]]=0,1,0)</f>
        <v>0</v>
      </c>
      <c r="K3930">
        <f>SUM(Table13[[#This Row],[prefix]],Table13[[#This Row],[Past zero L]],Table13[[#This Row],[Past Zero R]],Table13[[#This Row],[Is Zero]])</f>
        <v>0</v>
      </c>
    </row>
    <row r="3931" spans="1:11" ht="16" x14ac:dyDescent="0.2">
      <c r="A3931" s="1" t="s">
        <v>81</v>
      </c>
      <c r="B3931" t="str">
        <f>LEFT(Table13[[#This Row],[Input]],1)</f>
        <v>R</v>
      </c>
      <c r="C3931">
        <f>_xlfn.LET(_xlpm.steps,SUBSTITUTE(Table13[[#This Row],[Input]],Table13[[#This Row],[Direction]],""),VALUE(IF(LEN(_xlpm.steps)&gt;2,RIGHT(_xlpm.steps,2),_xlpm.steps)))</f>
        <v>17</v>
      </c>
      <c r="D3931">
        <f>_xlfn.LET(_xlpm.steps,SUBSTITUTE(Table13[[#This Row],[Input]],Table13[[#This Row],[Direction]],""),VALUE(IF(LEN(_xlpm.steps)&gt;2,LEFT(_xlpm.steps,LEN(_xlpm.steps)-2),0)))</f>
        <v>0</v>
      </c>
      <c r="E3931">
        <f>_xlfn.LET(_xlpm.dir,Table13[[#This Row],[Direction]],
IF(_xlpm.dir="L",
    IF(G3930-Table13[[#This Row],[Steps]]&lt;0,100+(G3930-Table13[[#This Row],[Steps]]),G3930-Table13[[#This Row],[Steps]]),
))</f>
        <v>0</v>
      </c>
      <c r="F3931">
        <f>_xlfn.LET(_xlpm.dir,Table13[[#This Row],[Direction]],
IF(_xlpm.dir="R",
    IF(G3930+Table13[[#This Row],[Steps]]&gt;99,(G3930+Table13[[#This Row],[Steps]])-100,G3930+Table13[[#This Row],[Steps]]),
))</f>
        <v>39</v>
      </c>
      <c r="G3931">
        <f>IF(Table13[[#This Row],[New Pos L]]&lt;&gt;0,Table13[[#This Row],[New Pos L]],Table13[[#This Row],[New Pos R]])</f>
        <v>39</v>
      </c>
      <c r="H3931">
        <f>IF(AND(Table13[[#This Row],[Direction]]="L",Table13[[#This Row],[Steps]]&gt;G3930,G3930&lt;&gt;0),1,0)</f>
        <v>0</v>
      </c>
      <c r="I3931">
        <f>IF(AND(Table13[[#This Row],[Direction]]="R",(G3930+Table13[[#This Row],[Steps]])&gt;100),1,0)</f>
        <v>0</v>
      </c>
      <c r="J3931">
        <f>IF(Table13[[#This Row],[POS]]=0,1,0)</f>
        <v>0</v>
      </c>
      <c r="K3931">
        <f>SUM(Table13[[#This Row],[prefix]],Table13[[#This Row],[Past zero L]],Table13[[#This Row],[Past Zero R]],Table13[[#This Row],[Is Zero]])</f>
        <v>0</v>
      </c>
    </row>
    <row r="3932" spans="1:11" ht="16" x14ac:dyDescent="0.2">
      <c r="A3932" s="1" t="s">
        <v>132</v>
      </c>
      <c r="B3932" t="str">
        <f>LEFT(Table13[[#This Row],[Input]],1)</f>
        <v>L</v>
      </c>
      <c r="C3932">
        <f>_xlfn.LET(_xlpm.steps,SUBSTITUTE(Table13[[#This Row],[Input]],Table13[[#This Row],[Direction]],""),VALUE(IF(LEN(_xlpm.steps)&gt;2,RIGHT(_xlpm.steps,2),_xlpm.steps)))</f>
        <v>51</v>
      </c>
      <c r="D3932">
        <f>_xlfn.LET(_xlpm.steps,SUBSTITUTE(Table13[[#This Row],[Input]],Table13[[#This Row],[Direction]],""),VALUE(IF(LEN(_xlpm.steps)&gt;2,LEFT(_xlpm.steps,LEN(_xlpm.steps)-2),0)))</f>
        <v>0</v>
      </c>
      <c r="E3932">
        <f>_xlfn.LET(_xlpm.dir,Table13[[#This Row],[Direction]],
IF(_xlpm.dir="L",
    IF(G3931-Table13[[#This Row],[Steps]]&lt;0,100+(G3931-Table13[[#This Row],[Steps]]),G3931-Table13[[#This Row],[Steps]]),
))</f>
        <v>88</v>
      </c>
      <c r="F3932">
        <f>_xlfn.LET(_xlpm.dir,Table13[[#This Row],[Direction]],
IF(_xlpm.dir="R",
    IF(G3931+Table13[[#This Row],[Steps]]&gt;99,(G3931+Table13[[#This Row],[Steps]])-100,G3931+Table13[[#This Row],[Steps]]),
))</f>
        <v>0</v>
      </c>
      <c r="G3932">
        <f>IF(Table13[[#This Row],[New Pos L]]&lt;&gt;0,Table13[[#This Row],[New Pos L]],Table13[[#This Row],[New Pos R]])</f>
        <v>88</v>
      </c>
      <c r="H3932">
        <f>IF(AND(Table13[[#This Row],[Direction]]="L",Table13[[#This Row],[Steps]]&gt;G3931,G3931&lt;&gt;0),1,0)</f>
        <v>1</v>
      </c>
      <c r="I3932">
        <f>IF(AND(Table13[[#This Row],[Direction]]="R",(G3931+Table13[[#This Row],[Steps]])&gt;100),1,0)</f>
        <v>0</v>
      </c>
      <c r="J3932">
        <f>IF(Table13[[#This Row],[POS]]=0,1,0)</f>
        <v>0</v>
      </c>
      <c r="K3932">
        <f>SUM(Table13[[#This Row],[prefix]],Table13[[#This Row],[Past zero L]],Table13[[#This Row],[Past Zero R]],Table13[[#This Row],[Is Zero]])</f>
        <v>1</v>
      </c>
    </row>
    <row r="3933" spans="1:11" ht="16" x14ac:dyDescent="0.2">
      <c r="A3933" s="1" t="s">
        <v>295</v>
      </c>
      <c r="B3933" t="str">
        <f>LEFT(Table13[[#This Row],[Input]],1)</f>
        <v>L</v>
      </c>
      <c r="C3933">
        <f>_xlfn.LET(_xlpm.steps,SUBSTITUTE(Table13[[#This Row],[Input]],Table13[[#This Row],[Direction]],""),VALUE(IF(LEN(_xlpm.steps)&gt;2,RIGHT(_xlpm.steps,2),_xlpm.steps)))</f>
        <v>88</v>
      </c>
      <c r="D3933">
        <f>_xlfn.LET(_xlpm.steps,SUBSTITUTE(Table13[[#This Row],[Input]],Table13[[#This Row],[Direction]],""),VALUE(IF(LEN(_xlpm.steps)&gt;2,LEFT(_xlpm.steps,LEN(_xlpm.steps)-2),0)))</f>
        <v>0</v>
      </c>
      <c r="E3933">
        <f>_xlfn.LET(_xlpm.dir,Table13[[#This Row],[Direction]],
IF(_xlpm.dir="L",
    IF(G3932-Table13[[#This Row],[Steps]]&lt;0,100+(G3932-Table13[[#This Row],[Steps]]),G3932-Table13[[#This Row],[Steps]]),
))</f>
        <v>0</v>
      </c>
      <c r="F3933">
        <f>_xlfn.LET(_xlpm.dir,Table13[[#This Row],[Direction]],
IF(_xlpm.dir="R",
    IF(G3932+Table13[[#This Row],[Steps]]&gt;99,(G3932+Table13[[#This Row],[Steps]])-100,G3932+Table13[[#This Row],[Steps]]),
))</f>
        <v>0</v>
      </c>
      <c r="G3933">
        <f>IF(Table13[[#This Row],[New Pos L]]&lt;&gt;0,Table13[[#This Row],[New Pos L]],Table13[[#This Row],[New Pos R]])</f>
        <v>0</v>
      </c>
      <c r="H3933">
        <f>IF(AND(Table13[[#This Row],[Direction]]="L",Table13[[#This Row],[Steps]]&gt;G3932,G3932&lt;&gt;0),1,0)</f>
        <v>0</v>
      </c>
      <c r="I3933">
        <f>IF(AND(Table13[[#This Row],[Direction]]="R",(G3932+Table13[[#This Row],[Steps]])&gt;100),1,0)</f>
        <v>0</v>
      </c>
      <c r="J3933">
        <f>IF(Table13[[#This Row],[POS]]=0,1,0)</f>
        <v>1</v>
      </c>
      <c r="K3933">
        <f>SUM(Table13[[#This Row],[prefix]],Table13[[#This Row],[Past zero L]],Table13[[#This Row],[Past Zero R]],Table13[[#This Row],[Is Zero]])</f>
        <v>1</v>
      </c>
    </row>
    <row r="3934" spans="1:11" ht="16" x14ac:dyDescent="0.2">
      <c r="A3934" s="1" t="s">
        <v>17</v>
      </c>
      <c r="B3934" t="str">
        <f>LEFT(Table13[[#This Row],[Input]],1)</f>
        <v>L</v>
      </c>
      <c r="C3934">
        <f>_xlfn.LET(_xlpm.steps,SUBSTITUTE(Table13[[#This Row],[Input]],Table13[[#This Row],[Direction]],""),VALUE(IF(LEN(_xlpm.steps)&gt;2,RIGHT(_xlpm.steps,2),_xlpm.steps)))</f>
        <v>50</v>
      </c>
      <c r="D3934">
        <f>_xlfn.LET(_xlpm.steps,SUBSTITUTE(Table13[[#This Row],[Input]],Table13[[#This Row],[Direction]],""),VALUE(IF(LEN(_xlpm.steps)&gt;2,LEFT(_xlpm.steps,LEN(_xlpm.steps)-2),0)))</f>
        <v>0</v>
      </c>
      <c r="E3934">
        <f>_xlfn.LET(_xlpm.dir,Table13[[#This Row],[Direction]],
IF(_xlpm.dir="L",
    IF(G3933-Table13[[#This Row],[Steps]]&lt;0,100+(G3933-Table13[[#This Row],[Steps]]),G3933-Table13[[#This Row],[Steps]]),
))</f>
        <v>50</v>
      </c>
      <c r="F3934">
        <f>_xlfn.LET(_xlpm.dir,Table13[[#This Row],[Direction]],
IF(_xlpm.dir="R",
    IF(G3933+Table13[[#This Row],[Steps]]&gt;99,(G3933+Table13[[#This Row],[Steps]])-100,G3933+Table13[[#This Row],[Steps]]),
))</f>
        <v>0</v>
      </c>
      <c r="G3934">
        <f>IF(Table13[[#This Row],[New Pos L]]&lt;&gt;0,Table13[[#This Row],[New Pos L]],Table13[[#This Row],[New Pos R]])</f>
        <v>50</v>
      </c>
      <c r="H3934">
        <f>IF(AND(Table13[[#This Row],[Direction]]="L",Table13[[#This Row],[Steps]]&gt;G3933,G3933&lt;&gt;0),1,0)</f>
        <v>0</v>
      </c>
      <c r="I3934">
        <f>IF(AND(Table13[[#This Row],[Direction]]="R",(G3933+Table13[[#This Row],[Steps]])&gt;100),1,0)</f>
        <v>0</v>
      </c>
      <c r="J3934">
        <f>IF(Table13[[#This Row],[POS]]=0,1,0)</f>
        <v>0</v>
      </c>
      <c r="K3934">
        <f>SUM(Table13[[#This Row],[prefix]],Table13[[#This Row],[Past zero L]],Table13[[#This Row],[Past Zero R]],Table13[[#This Row],[Is Zero]])</f>
        <v>0</v>
      </c>
    </row>
    <row r="3935" spans="1:11" ht="16" x14ac:dyDescent="0.2">
      <c r="A3935" s="1" t="s">
        <v>363</v>
      </c>
      <c r="B3935" t="str">
        <f>LEFT(Table13[[#This Row],[Input]],1)</f>
        <v>R</v>
      </c>
      <c r="C3935">
        <f>_xlfn.LET(_xlpm.steps,SUBSTITUTE(Table13[[#This Row],[Input]],Table13[[#This Row],[Direction]],""),VALUE(IF(LEN(_xlpm.steps)&gt;2,RIGHT(_xlpm.steps,2),_xlpm.steps)))</f>
        <v>63</v>
      </c>
      <c r="D3935">
        <f>_xlfn.LET(_xlpm.steps,SUBSTITUTE(Table13[[#This Row],[Input]],Table13[[#This Row],[Direction]],""),VALUE(IF(LEN(_xlpm.steps)&gt;2,LEFT(_xlpm.steps,LEN(_xlpm.steps)-2),0)))</f>
        <v>0</v>
      </c>
      <c r="E3935">
        <f>_xlfn.LET(_xlpm.dir,Table13[[#This Row],[Direction]],
IF(_xlpm.dir="L",
    IF(G3934-Table13[[#This Row],[Steps]]&lt;0,100+(G3934-Table13[[#This Row],[Steps]]),G3934-Table13[[#This Row],[Steps]]),
))</f>
        <v>0</v>
      </c>
      <c r="F3935">
        <f>_xlfn.LET(_xlpm.dir,Table13[[#This Row],[Direction]],
IF(_xlpm.dir="R",
    IF(G3934+Table13[[#This Row],[Steps]]&gt;99,(G3934+Table13[[#This Row],[Steps]])-100,G3934+Table13[[#This Row],[Steps]]),
))</f>
        <v>13</v>
      </c>
      <c r="G3935">
        <f>IF(Table13[[#This Row],[New Pos L]]&lt;&gt;0,Table13[[#This Row],[New Pos L]],Table13[[#This Row],[New Pos R]])</f>
        <v>13</v>
      </c>
      <c r="H3935">
        <f>IF(AND(Table13[[#This Row],[Direction]]="L",Table13[[#This Row],[Steps]]&gt;G3934,G3934&lt;&gt;0),1,0)</f>
        <v>0</v>
      </c>
      <c r="I3935">
        <f>IF(AND(Table13[[#This Row],[Direction]]="R",(G3934+Table13[[#This Row],[Steps]])&gt;100),1,0)</f>
        <v>1</v>
      </c>
      <c r="J3935">
        <f>IF(Table13[[#This Row],[POS]]=0,1,0)</f>
        <v>0</v>
      </c>
      <c r="K3935">
        <f>SUM(Table13[[#This Row],[prefix]],Table13[[#This Row],[Past zero L]],Table13[[#This Row],[Past Zero R]],Table13[[#This Row],[Is Zero]])</f>
        <v>1</v>
      </c>
    </row>
    <row r="3936" spans="1:11" ht="16" x14ac:dyDescent="0.2">
      <c r="A3936" s="1" t="s">
        <v>213</v>
      </c>
      <c r="B3936" t="str">
        <f>LEFT(Table13[[#This Row],[Input]],1)</f>
        <v>R</v>
      </c>
      <c r="C3936">
        <f>_xlfn.LET(_xlpm.steps,SUBSTITUTE(Table13[[#This Row],[Input]],Table13[[#This Row],[Direction]],""),VALUE(IF(LEN(_xlpm.steps)&gt;2,RIGHT(_xlpm.steps,2),_xlpm.steps)))</f>
        <v>87</v>
      </c>
      <c r="D3936">
        <f>_xlfn.LET(_xlpm.steps,SUBSTITUTE(Table13[[#This Row],[Input]],Table13[[#This Row],[Direction]],""),VALUE(IF(LEN(_xlpm.steps)&gt;2,LEFT(_xlpm.steps,LEN(_xlpm.steps)-2),0)))</f>
        <v>0</v>
      </c>
      <c r="E3936">
        <f>_xlfn.LET(_xlpm.dir,Table13[[#This Row],[Direction]],
IF(_xlpm.dir="L",
    IF(G3935-Table13[[#This Row],[Steps]]&lt;0,100+(G3935-Table13[[#This Row],[Steps]]),G3935-Table13[[#This Row],[Steps]]),
))</f>
        <v>0</v>
      </c>
      <c r="F3936">
        <f>_xlfn.LET(_xlpm.dir,Table13[[#This Row],[Direction]],
IF(_xlpm.dir="R",
    IF(G3935+Table13[[#This Row],[Steps]]&gt;99,(G3935+Table13[[#This Row],[Steps]])-100,G3935+Table13[[#This Row],[Steps]]),
))</f>
        <v>0</v>
      </c>
      <c r="G3936">
        <f>IF(Table13[[#This Row],[New Pos L]]&lt;&gt;0,Table13[[#This Row],[New Pos L]],Table13[[#This Row],[New Pos R]])</f>
        <v>0</v>
      </c>
      <c r="H3936">
        <f>IF(AND(Table13[[#This Row],[Direction]]="L",Table13[[#This Row],[Steps]]&gt;G3935,G3935&lt;&gt;0),1,0)</f>
        <v>0</v>
      </c>
      <c r="I3936">
        <f>IF(AND(Table13[[#This Row],[Direction]]="R",(G3935+Table13[[#This Row],[Steps]])&gt;100),1,0)</f>
        <v>0</v>
      </c>
      <c r="J3936">
        <f>IF(Table13[[#This Row],[POS]]=0,1,0)</f>
        <v>1</v>
      </c>
      <c r="K3936">
        <f>SUM(Table13[[#This Row],[prefix]],Table13[[#This Row],[Past zero L]],Table13[[#This Row],[Past Zero R]],Table13[[#This Row],[Is Zero]])</f>
        <v>1</v>
      </c>
    </row>
    <row r="3937" spans="1:11" ht="16" x14ac:dyDescent="0.2">
      <c r="A3937" s="1" t="s">
        <v>73</v>
      </c>
      <c r="B3937" t="str">
        <f>LEFT(Table13[[#This Row],[Input]],1)</f>
        <v>R</v>
      </c>
      <c r="C3937">
        <f>_xlfn.LET(_xlpm.steps,SUBSTITUTE(Table13[[#This Row],[Input]],Table13[[#This Row],[Direction]],""),VALUE(IF(LEN(_xlpm.steps)&gt;2,RIGHT(_xlpm.steps,2),_xlpm.steps)))</f>
        <v>21</v>
      </c>
      <c r="D3937">
        <f>_xlfn.LET(_xlpm.steps,SUBSTITUTE(Table13[[#This Row],[Input]],Table13[[#This Row],[Direction]],""),VALUE(IF(LEN(_xlpm.steps)&gt;2,LEFT(_xlpm.steps,LEN(_xlpm.steps)-2),0)))</f>
        <v>0</v>
      </c>
      <c r="E3937">
        <f>_xlfn.LET(_xlpm.dir,Table13[[#This Row],[Direction]],
IF(_xlpm.dir="L",
    IF(G3936-Table13[[#This Row],[Steps]]&lt;0,100+(G3936-Table13[[#This Row],[Steps]]),G3936-Table13[[#This Row],[Steps]]),
))</f>
        <v>0</v>
      </c>
      <c r="F3937">
        <f>_xlfn.LET(_xlpm.dir,Table13[[#This Row],[Direction]],
IF(_xlpm.dir="R",
    IF(G3936+Table13[[#This Row],[Steps]]&gt;99,(G3936+Table13[[#This Row],[Steps]])-100,G3936+Table13[[#This Row],[Steps]]),
))</f>
        <v>21</v>
      </c>
      <c r="G3937">
        <f>IF(Table13[[#This Row],[New Pos L]]&lt;&gt;0,Table13[[#This Row],[New Pos L]],Table13[[#This Row],[New Pos R]])</f>
        <v>21</v>
      </c>
      <c r="H3937">
        <f>IF(AND(Table13[[#This Row],[Direction]]="L",Table13[[#This Row],[Steps]]&gt;G3936,G3936&lt;&gt;0),1,0)</f>
        <v>0</v>
      </c>
      <c r="I3937">
        <f>IF(AND(Table13[[#This Row],[Direction]]="R",(G3936+Table13[[#This Row],[Steps]])&gt;100),1,0)</f>
        <v>0</v>
      </c>
      <c r="J3937">
        <f>IF(Table13[[#This Row],[POS]]=0,1,0)</f>
        <v>0</v>
      </c>
      <c r="K3937">
        <f>SUM(Table13[[#This Row],[prefix]],Table13[[#This Row],[Past zero L]],Table13[[#This Row],[Past Zero R]],Table13[[#This Row],[Is Zero]])</f>
        <v>0</v>
      </c>
    </row>
    <row r="3938" spans="1:11" ht="16" x14ac:dyDescent="0.2">
      <c r="A3938" s="1" t="s">
        <v>136</v>
      </c>
      <c r="B3938" t="str">
        <f>LEFT(Table13[[#This Row],[Input]],1)</f>
        <v>L</v>
      </c>
      <c r="C3938">
        <f>_xlfn.LET(_xlpm.steps,SUBSTITUTE(Table13[[#This Row],[Input]],Table13[[#This Row],[Direction]],""),VALUE(IF(LEN(_xlpm.steps)&gt;2,RIGHT(_xlpm.steps,2),_xlpm.steps)))</f>
        <v>72</v>
      </c>
      <c r="D3938">
        <f>_xlfn.LET(_xlpm.steps,SUBSTITUTE(Table13[[#This Row],[Input]],Table13[[#This Row],[Direction]],""),VALUE(IF(LEN(_xlpm.steps)&gt;2,LEFT(_xlpm.steps,LEN(_xlpm.steps)-2),0)))</f>
        <v>0</v>
      </c>
      <c r="E3938">
        <f>_xlfn.LET(_xlpm.dir,Table13[[#This Row],[Direction]],
IF(_xlpm.dir="L",
    IF(G3937-Table13[[#This Row],[Steps]]&lt;0,100+(G3937-Table13[[#This Row],[Steps]]),G3937-Table13[[#This Row],[Steps]]),
))</f>
        <v>49</v>
      </c>
      <c r="F3938">
        <f>_xlfn.LET(_xlpm.dir,Table13[[#This Row],[Direction]],
IF(_xlpm.dir="R",
    IF(G3937+Table13[[#This Row],[Steps]]&gt;99,(G3937+Table13[[#This Row],[Steps]])-100,G3937+Table13[[#This Row],[Steps]]),
))</f>
        <v>0</v>
      </c>
      <c r="G3938">
        <f>IF(Table13[[#This Row],[New Pos L]]&lt;&gt;0,Table13[[#This Row],[New Pos L]],Table13[[#This Row],[New Pos R]])</f>
        <v>49</v>
      </c>
      <c r="H3938">
        <f>IF(AND(Table13[[#This Row],[Direction]]="L",Table13[[#This Row],[Steps]]&gt;G3937,G3937&lt;&gt;0),1,0)</f>
        <v>1</v>
      </c>
      <c r="I3938">
        <f>IF(AND(Table13[[#This Row],[Direction]]="R",(G3937+Table13[[#This Row],[Steps]])&gt;100),1,0)</f>
        <v>0</v>
      </c>
      <c r="J3938">
        <f>IF(Table13[[#This Row],[POS]]=0,1,0)</f>
        <v>0</v>
      </c>
      <c r="K3938">
        <f>SUM(Table13[[#This Row],[prefix]],Table13[[#This Row],[Past zero L]],Table13[[#This Row],[Past Zero R]],Table13[[#This Row],[Is Zero]])</f>
        <v>1</v>
      </c>
    </row>
    <row r="3939" spans="1:11" ht="16" x14ac:dyDescent="0.2">
      <c r="A3939" s="1" t="s">
        <v>24</v>
      </c>
      <c r="B3939" t="str">
        <f>LEFT(Table13[[#This Row],[Input]],1)</f>
        <v>L</v>
      </c>
      <c r="C3939">
        <f>_xlfn.LET(_xlpm.steps,SUBSTITUTE(Table13[[#This Row],[Input]],Table13[[#This Row],[Direction]],""),VALUE(IF(LEN(_xlpm.steps)&gt;2,RIGHT(_xlpm.steps,2),_xlpm.steps)))</f>
        <v>49</v>
      </c>
      <c r="D3939">
        <f>_xlfn.LET(_xlpm.steps,SUBSTITUTE(Table13[[#This Row],[Input]],Table13[[#This Row],[Direction]],""),VALUE(IF(LEN(_xlpm.steps)&gt;2,LEFT(_xlpm.steps,LEN(_xlpm.steps)-2),0)))</f>
        <v>0</v>
      </c>
      <c r="E3939">
        <f>_xlfn.LET(_xlpm.dir,Table13[[#This Row],[Direction]],
IF(_xlpm.dir="L",
    IF(G3938-Table13[[#This Row],[Steps]]&lt;0,100+(G3938-Table13[[#This Row],[Steps]]),G3938-Table13[[#This Row],[Steps]]),
))</f>
        <v>0</v>
      </c>
      <c r="F3939">
        <f>_xlfn.LET(_xlpm.dir,Table13[[#This Row],[Direction]],
IF(_xlpm.dir="R",
    IF(G3938+Table13[[#This Row],[Steps]]&gt;99,(G3938+Table13[[#This Row],[Steps]])-100,G3938+Table13[[#This Row],[Steps]]),
))</f>
        <v>0</v>
      </c>
      <c r="G3939">
        <f>IF(Table13[[#This Row],[New Pos L]]&lt;&gt;0,Table13[[#This Row],[New Pos L]],Table13[[#This Row],[New Pos R]])</f>
        <v>0</v>
      </c>
      <c r="H3939">
        <f>IF(AND(Table13[[#This Row],[Direction]]="L",Table13[[#This Row],[Steps]]&gt;G3938,G3938&lt;&gt;0),1,0)</f>
        <v>0</v>
      </c>
      <c r="I3939">
        <f>IF(AND(Table13[[#This Row],[Direction]]="R",(G3938+Table13[[#This Row],[Steps]])&gt;100),1,0)</f>
        <v>0</v>
      </c>
      <c r="J3939">
        <f>IF(Table13[[#This Row],[POS]]=0,1,0)</f>
        <v>1</v>
      </c>
      <c r="K3939">
        <f>SUM(Table13[[#This Row],[prefix]],Table13[[#This Row],[Past zero L]],Table13[[#This Row],[Past Zero R]],Table13[[#This Row],[Is Zero]])</f>
        <v>1</v>
      </c>
    </row>
    <row r="3940" spans="1:11" ht="16" x14ac:dyDescent="0.2">
      <c r="A3940" s="1" t="s">
        <v>820</v>
      </c>
      <c r="B3940" t="str">
        <f>LEFT(Table13[[#This Row],[Input]],1)</f>
        <v>R</v>
      </c>
      <c r="C3940">
        <f>_xlfn.LET(_xlpm.steps,SUBSTITUTE(Table13[[#This Row],[Input]],Table13[[#This Row],[Direction]],""),VALUE(IF(LEN(_xlpm.steps)&gt;2,RIGHT(_xlpm.steps,2),_xlpm.steps)))</f>
        <v>98</v>
      </c>
      <c r="D3940">
        <f>_xlfn.LET(_xlpm.steps,SUBSTITUTE(Table13[[#This Row],[Input]],Table13[[#This Row],[Direction]],""),VALUE(IF(LEN(_xlpm.steps)&gt;2,LEFT(_xlpm.steps,LEN(_xlpm.steps)-2),0)))</f>
        <v>5</v>
      </c>
      <c r="E3940">
        <f>_xlfn.LET(_xlpm.dir,Table13[[#This Row],[Direction]],
IF(_xlpm.dir="L",
    IF(G3939-Table13[[#This Row],[Steps]]&lt;0,100+(G3939-Table13[[#This Row],[Steps]]),G3939-Table13[[#This Row],[Steps]]),
))</f>
        <v>0</v>
      </c>
      <c r="F3940">
        <f>_xlfn.LET(_xlpm.dir,Table13[[#This Row],[Direction]],
IF(_xlpm.dir="R",
    IF(G3939+Table13[[#This Row],[Steps]]&gt;99,(G3939+Table13[[#This Row],[Steps]])-100,G3939+Table13[[#This Row],[Steps]]),
))</f>
        <v>98</v>
      </c>
      <c r="G3940">
        <f>IF(Table13[[#This Row],[New Pos L]]&lt;&gt;0,Table13[[#This Row],[New Pos L]],Table13[[#This Row],[New Pos R]])</f>
        <v>98</v>
      </c>
      <c r="H3940">
        <f>IF(AND(Table13[[#This Row],[Direction]]="L",Table13[[#This Row],[Steps]]&gt;G3939,G3939&lt;&gt;0),1,0)</f>
        <v>0</v>
      </c>
      <c r="I3940">
        <f>IF(AND(Table13[[#This Row],[Direction]]="R",(G3939+Table13[[#This Row],[Steps]])&gt;100),1,0)</f>
        <v>0</v>
      </c>
      <c r="J3940">
        <f>IF(Table13[[#This Row],[POS]]=0,1,0)</f>
        <v>0</v>
      </c>
      <c r="K3940">
        <f>SUM(Table13[[#This Row],[prefix]],Table13[[#This Row],[Past zero L]],Table13[[#This Row],[Past Zero R]],Table13[[#This Row],[Is Zero]])</f>
        <v>5</v>
      </c>
    </row>
    <row r="3941" spans="1:11" ht="16" x14ac:dyDescent="0.2">
      <c r="A3941" s="1" t="s">
        <v>244</v>
      </c>
      <c r="B3941" t="str">
        <f>LEFT(Table13[[#This Row],[Input]],1)</f>
        <v>L</v>
      </c>
      <c r="C3941">
        <f>_xlfn.LET(_xlpm.steps,SUBSTITUTE(Table13[[#This Row],[Input]],Table13[[#This Row],[Direction]],""),VALUE(IF(LEN(_xlpm.steps)&gt;2,RIGHT(_xlpm.steps,2),_xlpm.steps)))</f>
        <v>98</v>
      </c>
      <c r="D3941">
        <f>_xlfn.LET(_xlpm.steps,SUBSTITUTE(Table13[[#This Row],[Input]],Table13[[#This Row],[Direction]],""),VALUE(IF(LEN(_xlpm.steps)&gt;2,LEFT(_xlpm.steps,LEN(_xlpm.steps)-2),0)))</f>
        <v>0</v>
      </c>
      <c r="E3941">
        <f>_xlfn.LET(_xlpm.dir,Table13[[#This Row],[Direction]],
IF(_xlpm.dir="L",
    IF(G3940-Table13[[#This Row],[Steps]]&lt;0,100+(G3940-Table13[[#This Row],[Steps]]),G3940-Table13[[#This Row],[Steps]]),
))</f>
        <v>0</v>
      </c>
      <c r="F3941">
        <f>_xlfn.LET(_xlpm.dir,Table13[[#This Row],[Direction]],
IF(_xlpm.dir="R",
    IF(G3940+Table13[[#This Row],[Steps]]&gt;99,(G3940+Table13[[#This Row],[Steps]])-100,G3940+Table13[[#This Row],[Steps]]),
))</f>
        <v>0</v>
      </c>
      <c r="G3941">
        <f>IF(Table13[[#This Row],[New Pos L]]&lt;&gt;0,Table13[[#This Row],[New Pos L]],Table13[[#This Row],[New Pos R]])</f>
        <v>0</v>
      </c>
      <c r="H3941">
        <f>IF(AND(Table13[[#This Row],[Direction]]="L",Table13[[#This Row],[Steps]]&gt;G3940,G3940&lt;&gt;0),1,0)</f>
        <v>0</v>
      </c>
      <c r="I3941">
        <f>IF(AND(Table13[[#This Row],[Direction]]="R",(G3940+Table13[[#This Row],[Steps]])&gt;100),1,0)</f>
        <v>0</v>
      </c>
      <c r="J3941">
        <f>IF(Table13[[#This Row],[POS]]=0,1,0)</f>
        <v>1</v>
      </c>
      <c r="K3941">
        <f>SUM(Table13[[#This Row],[prefix]],Table13[[#This Row],[Past zero L]],Table13[[#This Row],[Past Zero R]],Table13[[#This Row],[Is Zero]])</f>
        <v>1</v>
      </c>
    </row>
    <row r="3942" spans="1:11" ht="16" x14ac:dyDescent="0.2">
      <c r="A3942" s="1" t="s">
        <v>30</v>
      </c>
      <c r="B3942" t="str">
        <f>LEFT(Table13[[#This Row],[Input]],1)</f>
        <v>R</v>
      </c>
      <c r="C3942">
        <f>_xlfn.LET(_xlpm.steps,SUBSTITUTE(Table13[[#This Row],[Input]],Table13[[#This Row],[Direction]],""),VALUE(IF(LEN(_xlpm.steps)&gt;2,RIGHT(_xlpm.steps,2),_xlpm.steps)))</f>
        <v>48</v>
      </c>
      <c r="D3942">
        <f>_xlfn.LET(_xlpm.steps,SUBSTITUTE(Table13[[#This Row],[Input]],Table13[[#This Row],[Direction]],""),VALUE(IF(LEN(_xlpm.steps)&gt;2,LEFT(_xlpm.steps,LEN(_xlpm.steps)-2),0)))</f>
        <v>0</v>
      </c>
      <c r="E3942">
        <f>_xlfn.LET(_xlpm.dir,Table13[[#This Row],[Direction]],
IF(_xlpm.dir="L",
    IF(G3941-Table13[[#This Row],[Steps]]&lt;0,100+(G3941-Table13[[#This Row],[Steps]]),G3941-Table13[[#This Row],[Steps]]),
))</f>
        <v>0</v>
      </c>
      <c r="F3942">
        <f>_xlfn.LET(_xlpm.dir,Table13[[#This Row],[Direction]],
IF(_xlpm.dir="R",
    IF(G3941+Table13[[#This Row],[Steps]]&gt;99,(G3941+Table13[[#This Row],[Steps]])-100,G3941+Table13[[#This Row],[Steps]]),
))</f>
        <v>48</v>
      </c>
      <c r="G3942">
        <f>IF(Table13[[#This Row],[New Pos L]]&lt;&gt;0,Table13[[#This Row],[New Pos L]],Table13[[#This Row],[New Pos R]])</f>
        <v>48</v>
      </c>
      <c r="H3942">
        <f>IF(AND(Table13[[#This Row],[Direction]]="L",Table13[[#This Row],[Steps]]&gt;G3941,G3941&lt;&gt;0),1,0)</f>
        <v>0</v>
      </c>
      <c r="I3942">
        <f>IF(AND(Table13[[#This Row],[Direction]]="R",(G3941+Table13[[#This Row],[Steps]])&gt;100),1,0)</f>
        <v>0</v>
      </c>
      <c r="J3942">
        <f>IF(Table13[[#This Row],[POS]]=0,1,0)</f>
        <v>0</v>
      </c>
      <c r="K3942">
        <f>SUM(Table13[[#This Row],[prefix]],Table13[[#This Row],[Past zero L]],Table13[[#This Row],[Past Zero R]],Table13[[#This Row],[Is Zero]])</f>
        <v>0</v>
      </c>
    </row>
    <row r="3943" spans="1:11" ht="16" x14ac:dyDescent="0.2">
      <c r="A3943" s="1" t="s">
        <v>673</v>
      </c>
      <c r="B3943" t="str">
        <f>LEFT(Table13[[#This Row],[Input]],1)</f>
        <v>R</v>
      </c>
      <c r="C3943">
        <f>_xlfn.LET(_xlpm.steps,SUBSTITUTE(Table13[[#This Row],[Input]],Table13[[#This Row],[Direction]],""),VALUE(IF(LEN(_xlpm.steps)&gt;2,RIGHT(_xlpm.steps,2),_xlpm.steps)))</f>
        <v>52</v>
      </c>
      <c r="D3943">
        <f>_xlfn.LET(_xlpm.steps,SUBSTITUTE(Table13[[#This Row],[Input]],Table13[[#This Row],[Direction]],""),VALUE(IF(LEN(_xlpm.steps)&gt;2,LEFT(_xlpm.steps,LEN(_xlpm.steps)-2),0)))</f>
        <v>8</v>
      </c>
      <c r="E3943">
        <f>_xlfn.LET(_xlpm.dir,Table13[[#This Row],[Direction]],
IF(_xlpm.dir="L",
    IF(G3942-Table13[[#This Row],[Steps]]&lt;0,100+(G3942-Table13[[#This Row],[Steps]]),G3942-Table13[[#This Row],[Steps]]),
))</f>
        <v>0</v>
      </c>
      <c r="F3943">
        <f>_xlfn.LET(_xlpm.dir,Table13[[#This Row],[Direction]],
IF(_xlpm.dir="R",
    IF(G3942+Table13[[#This Row],[Steps]]&gt;99,(G3942+Table13[[#This Row],[Steps]])-100,G3942+Table13[[#This Row],[Steps]]),
))</f>
        <v>0</v>
      </c>
      <c r="G3943">
        <f>IF(Table13[[#This Row],[New Pos L]]&lt;&gt;0,Table13[[#This Row],[New Pos L]],Table13[[#This Row],[New Pos R]])</f>
        <v>0</v>
      </c>
      <c r="H3943">
        <f>IF(AND(Table13[[#This Row],[Direction]]="L",Table13[[#This Row],[Steps]]&gt;G3942,G3942&lt;&gt;0),1,0)</f>
        <v>0</v>
      </c>
      <c r="I3943">
        <f>IF(AND(Table13[[#This Row],[Direction]]="R",(G3942+Table13[[#This Row],[Steps]])&gt;100),1,0)</f>
        <v>0</v>
      </c>
      <c r="J3943">
        <f>IF(Table13[[#This Row],[POS]]=0,1,0)</f>
        <v>1</v>
      </c>
      <c r="K3943">
        <f>SUM(Table13[[#This Row],[prefix]],Table13[[#This Row],[Past zero L]],Table13[[#This Row],[Past Zero R]],Table13[[#This Row],[Is Zero]])</f>
        <v>9</v>
      </c>
    </row>
    <row r="3944" spans="1:11" ht="16" x14ac:dyDescent="0.2">
      <c r="A3944" s="1" t="s">
        <v>27</v>
      </c>
      <c r="B3944" t="str">
        <f>LEFT(Table13[[#This Row],[Input]],1)</f>
        <v>L</v>
      </c>
      <c r="C3944">
        <f>_xlfn.LET(_xlpm.steps,SUBSTITUTE(Table13[[#This Row],[Input]],Table13[[#This Row],[Direction]],""),VALUE(IF(LEN(_xlpm.steps)&gt;2,RIGHT(_xlpm.steps,2),_xlpm.steps)))</f>
        <v>14</v>
      </c>
      <c r="D3944">
        <f>_xlfn.LET(_xlpm.steps,SUBSTITUTE(Table13[[#This Row],[Input]],Table13[[#This Row],[Direction]],""),VALUE(IF(LEN(_xlpm.steps)&gt;2,LEFT(_xlpm.steps,LEN(_xlpm.steps)-2),0)))</f>
        <v>0</v>
      </c>
      <c r="E3944">
        <f>_xlfn.LET(_xlpm.dir,Table13[[#This Row],[Direction]],
IF(_xlpm.dir="L",
    IF(G3943-Table13[[#This Row],[Steps]]&lt;0,100+(G3943-Table13[[#This Row],[Steps]]),G3943-Table13[[#This Row],[Steps]]),
))</f>
        <v>86</v>
      </c>
      <c r="F3944">
        <f>_xlfn.LET(_xlpm.dir,Table13[[#This Row],[Direction]],
IF(_xlpm.dir="R",
    IF(G3943+Table13[[#This Row],[Steps]]&gt;99,(G3943+Table13[[#This Row],[Steps]])-100,G3943+Table13[[#This Row],[Steps]]),
))</f>
        <v>0</v>
      </c>
      <c r="G3944">
        <f>IF(Table13[[#This Row],[New Pos L]]&lt;&gt;0,Table13[[#This Row],[New Pos L]],Table13[[#This Row],[New Pos R]])</f>
        <v>86</v>
      </c>
      <c r="H3944">
        <f>IF(AND(Table13[[#This Row],[Direction]]="L",Table13[[#This Row],[Steps]]&gt;G3943,G3943&lt;&gt;0),1,0)</f>
        <v>0</v>
      </c>
      <c r="I3944">
        <f>IF(AND(Table13[[#This Row],[Direction]]="R",(G3943+Table13[[#This Row],[Steps]])&gt;100),1,0)</f>
        <v>0</v>
      </c>
      <c r="J3944">
        <f>IF(Table13[[#This Row],[POS]]=0,1,0)</f>
        <v>0</v>
      </c>
      <c r="K3944">
        <f>SUM(Table13[[#This Row],[prefix]],Table13[[#This Row],[Past zero L]],Table13[[#This Row],[Past Zero R]],Table13[[#This Row],[Is Zero]])</f>
        <v>0</v>
      </c>
    </row>
    <row r="3945" spans="1:11" ht="16" x14ac:dyDescent="0.2">
      <c r="A3945" s="1" t="s">
        <v>119</v>
      </c>
      <c r="B3945" t="str">
        <f>LEFT(Table13[[#This Row],[Input]],1)</f>
        <v>L</v>
      </c>
      <c r="C3945">
        <f>_xlfn.LET(_xlpm.steps,SUBSTITUTE(Table13[[#This Row],[Input]],Table13[[#This Row],[Direction]],""),VALUE(IF(LEN(_xlpm.steps)&gt;2,RIGHT(_xlpm.steps,2),_xlpm.steps)))</f>
        <v>77</v>
      </c>
      <c r="D3945">
        <f>_xlfn.LET(_xlpm.steps,SUBSTITUTE(Table13[[#This Row],[Input]],Table13[[#This Row],[Direction]],""),VALUE(IF(LEN(_xlpm.steps)&gt;2,LEFT(_xlpm.steps,LEN(_xlpm.steps)-2),0)))</f>
        <v>0</v>
      </c>
      <c r="E3945">
        <f>_xlfn.LET(_xlpm.dir,Table13[[#This Row],[Direction]],
IF(_xlpm.dir="L",
    IF(G3944-Table13[[#This Row],[Steps]]&lt;0,100+(G3944-Table13[[#This Row],[Steps]]),G3944-Table13[[#This Row],[Steps]]),
))</f>
        <v>9</v>
      </c>
      <c r="F3945">
        <f>_xlfn.LET(_xlpm.dir,Table13[[#This Row],[Direction]],
IF(_xlpm.dir="R",
    IF(G3944+Table13[[#This Row],[Steps]]&gt;99,(G3944+Table13[[#This Row],[Steps]])-100,G3944+Table13[[#This Row],[Steps]]),
))</f>
        <v>0</v>
      </c>
      <c r="G3945">
        <f>IF(Table13[[#This Row],[New Pos L]]&lt;&gt;0,Table13[[#This Row],[New Pos L]],Table13[[#This Row],[New Pos R]])</f>
        <v>9</v>
      </c>
      <c r="H3945">
        <f>IF(AND(Table13[[#This Row],[Direction]]="L",Table13[[#This Row],[Steps]]&gt;G3944,G3944&lt;&gt;0),1,0)</f>
        <v>0</v>
      </c>
      <c r="I3945">
        <f>IF(AND(Table13[[#This Row],[Direction]]="R",(G3944+Table13[[#This Row],[Steps]])&gt;100),1,0)</f>
        <v>0</v>
      </c>
      <c r="J3945">
        <f>IF(Table13[[#This Row],[POS]]=0,1,0)</f>
        <v>0</v>
      </c>
      <c r="K3945">
        <f>SUM(Table13[[#This Row],[prefix]],Table13[[#This Row],[Past zero L]],Table13[[#This Row],[Past Zero R]],Table13[[#This Row],[Is Zero]])</f>
        <v>0</v>
      </c>
    </row>
    <row r="3946" spans="1:11" ht="16" x14ac:dyDescent="0.2">
      <c r="A3946" s="1" t="s">
        <v>217</v>
      </c>
      <c r="B3946" t="str">
        <f>LEFT(Table13[[#This Row],[Input]],1)</f>
        <v>R</v>
      </c>
      <c r="C3946">
        <f>_xlfn.LET(_xlpm.steps,SUBSTITUTE(Table13[[#This Row],[Input]],Table13[[#This Row],[Direction]],""),VALUE(IF(LEN(_xlpm.steps)&gt;2,RIGHT(_xlpm.steps,2),_xlpm.steps)))</f>
        <v>91</v>
      </c>
      <c r="D3946">
        <f>_xlfn.LET(_xlpm.steps,SUBSTITUTE(Table13[[#This Row],[Input]],Table13[[#This Row],[Direction]],""),VALUE(IF(LEN(_xlpm.steps)&gt;2,LEFT(_xlpm.steps,LEN(_xlpm.steps)-2),0)))</f>
        <v>0</v>
      </c>
      <c r="E3946">
        <f>_xlfn.LET(_xlpm.dir,Table13[[#This Row],[Direction]],
IF(_xlpm.dir="L",
    IF(G3945-Table13[[#This Row],[Steps]]&lt;0,100+(G3945-Table13[[#This Row],[Steps]]),G3945-Table13[[#This Row],[Steps]]),
))</f>
        <v>0</v>
      </c>
      <c r="F3946">
        <f>_xlfn.LET(_xlpm.dir,Table13[[#This Row],[Direction]],
IF(_xlpm.dir="R",
    IF(G3945+Table13[[#This Row],[Steps]]&gt;99,(G3945+Table13[[#This Row],[Steps]])-100,G3945+Table13[[#This Row],[Steps]]),
))</f>
        <v>0</v>
      </c>
      <c r="G3946">
        <f>IF(Table13[[#This Row],[New Pos L]]&lt;&gt;0,Table13[[#This Row],[New Pos L]],Table13[[#This Row],[New Pos R]])</f>
        <v>0</v>
      </c>
      <c r="H3946">
        <f>IF(AND(Table13[[#This Row],[Direction]]="L",Table13[[#This Row],[Steps]]&gt;G3945,G3945&lt;&gt;0),1,0)</f>
        <v>0</v>
      </c>
      <c r="I3946">
        <f>IF(AND(Table13[[#This Row],[Direction]]="R",(G3945+Table13[[#This Row],[Steps]])&gt;100),1,0)</f>
        <v>0</v>
      </c>
      <c r="J3946">
        <f>IF(Table13[[#This Row],[POS]]=0,1,0)</f>
        <v>1</v>
      </c>
      <c r="K3946">
        <f>SUM(Table13[[#This Row],[prefix]],Table13[[#This Row],[Past zero L]],Table13[[#This Row],[Past Zero R]],Table13[[#This Row],[Is Zero]])</f>
        <v>1</v>
      </c>
    </row>
    <row r="3947" spans="1:11" ht="16" x14ac:dyDescent="0.2">
      <c r="A3947" s="1" t="s">
        <v>88</v>
      </c>
      <c r="B3947" t="str">
        <f>LEFT(Table13[[#This Row],[Input]],1)</f>
        <v>R</v>
      </c>
      <c r="C3947">
        <f>_xlfn.LET(_xlpm.steps,SUBSTITUTE(Table13[[#This Row],[Input]],Table13[[#This Row],[Direction]],""),VALUE(IF(LEN(_xlpm.steps)&gt;2,RIGHT(_xlpm.steps,2),_xlpm.steps)))</f>
        <v>53</v>
      </c>
      <c r="D3947">
        <f>_xlfn.LET(_xlpm.steps,SUBSTITUTE(Table13[[#This Row],[Input]],Table13[[#This Row],[Direction]],""),VALUE(IF(LEN(_xlpm.steps)&gt;2,LEFT(_xlpm.steps,LEN(_xlpm.steps)-2),0)))</f>
        <v>0</v>
      </c>
      <c r="E3947">
        <f>_xlfn.LET(_xlpm.dir,Table13[[#This Row],[Direction]],
IF(_xlpm.dir="L",
    IF(G3946-Table13[[#This Row],[Steps]]&lt;0,100+(G3946-Table13[[#This Row],[Steps]]),G3946-Table13[[#This Row],[Steps]]),
))</f>
        <v>0</v>
      </c>
      <c r="F3947">
        <f>_xlfn.LET(_xlpm.dir,Table13[[#This Row],[Direction]],
IF(_xlpm.dir="R",
    IF(G3946+Table13[[#This Row],[Steps]]&gt;99,(G3946+Table13[[#This Row],[Steps]])-100,G3946+Table13[[#This Row],[Steps]]),
))</f>
        <v>53</v>
      </c>
      <c r="G3947">
        <f>IF(Table13[[#This Row],[New Pos L]]&lt;&gt;0,Table13[[#This Row],[New Pos L]],Table13[[#This Row],[New Pos R]])</f>
        <v>53</v>
      </c>
      <c r="H3947">
        <f>IF(AND(Table13[[#This Row],[Direction]]="L",Table13[[#This Row],[Steps]]&gt;G3946,G3946&lt;&gt;0),1,0)</f>
        <v>0</v>
      </c>
      <c r="I3947">
        <f>IF(AND(Table13[[#This Row],[Direction]]="R",(G3946+Table13[[#This Row],[Steps]])&gt;100),1,0)</f>
        <v>0</v>
      </c>
      <c r="J3947">
        <f>IF(Table13[[#This Row],[POS]]=0,1,0)</f>
        <v>0</v>
      </c>
      <c r="K3947">
        <f>SUM(Table13[[#This Row],[prefix]],Table13[[#This Row],[Past zero L]],Table13[[#This Row],[Past Zero R]],Table13[[#This Row],[Is Zero]])</f>
        <v>0</v>
      </c>
    </row>
    <row r="3948" spans="1:11" ht="16" x14ac:dyDescent="0.2">
      <c r="A3948" s="1" t="s">
        <v>181</v>
      </c>
      <c r="B3948" t="str">
        <f>LEFT(Table13[[#This Row],[Input]],1)</f>
        <v>L</v>
      </c>
      <c r="C3948">
        <f>_xlfn.LET(_xlpm.steps,SUBSTITUTE(Table13[[#This Row],[Input]],Table13[[#This Row],[Direction]],""),VALUE(IF(LEN(_xlpm.steps)&gt;2,RIGHT(_xlpm.steps,2),_xlpm.steps)))</f>
        <v>53</v>
      </c>
      <c r="D3948">
        <f>_xlfn.LET(_xlpm.steps,SUBSTITUTE(Table13[[#This Row],[Input]],Table13[[#This Row],[Direction]],""),VALUE(IF(LEN(_xlpm.steps)&gt;2,LEFT(_xlpm.steps,LEN(_xlpm.steps)-2),0)))</f>
        <v>0</v>
      </c>
      <c r="E3948">
        <f>_xlfn.LET(_xlpm.dir,Table13[[#This Row],[Direction]],
IF(_xlpm.dir="L",
    IF(G3947-Table13[[#This Row],[Steps]]&lt;0,100+(G3947-Table13[[#This Row],[Steps]]),G3947-Table13[[#This Row],[Steps]]),
))</f>
        <v>0</v>
      </c>
      <c r="F3948">
        <f>_xlfn.LET(_xlpm.dir,Table13[[#This Row],[Direction]],
IF(_xlpm.dir="R",
    IF(G3947+Table13[[#This Row],[Steps]]&gt;99,(G3947+Table13[[#This Row],[Steps]])-100,G3947+Table13[[#This Row],[Steps]]),
))</f>
        <v>0</v>
      </c>
      <c r="G3948">
        <f>IF(Table13[[#This Row],[New Pos L]]&lt;&gt;0,Table13[[#This Row],[New Pos L]],Table13[[#This Row],[New Pos R]])</f>
        <v>0</v>
      </c>
      <c r="H3948">
        <f>IF(AND(Table13[[#This Row],[Direction]]="L",Table13[[#This Row],[Steps]]&gt;G3947,G3947&lt;&gt;0),1,0)</f>
        <v>0</v>
      </c>
      <c r="I3948">
        <f>IF(AND(Table13[[#This Row],[Direction]]="R",(G3947+Table13[[#This Row],[Steps]])&gt;100),1,0)</f>
        <v>0</v>
      </c>
      <c r="J3948">
        <f>IF(Table13[[#This Row],[POS]]=0,1,0)</f>
        <v>1</v>
      </c>
      <c r="K3948">
        <f>SUM(Table13[[#This Row],[prefix]],Table13[[#This Row],[Past zero L]],Table13[[#This Row],[Past Zero R]],Table13[[#This Row],[Is Zero]])</f>
        <v>1</v>
      </c>
    </row>
    <row r="3949" spans="1:11" ht="16" x14ac:dyDescent="0.2">
      <c r="A3949" s="1" t="s">
        <v>164</v>
      </c>
      <c r="B3949" t="str">
        <f>LEFT(Table13[[#This Row],[Input]],1)</f>
        <v>R</v>
      </c>
      <c r="C3949">
        <f>_xlfn.LET(_xlpm.steps,SUBSTITUTE(Table13[[#This Row],[Input]],Table13[[#This Row],[Direction]],""),VALUE(IF(LEN(_xlpm.steps)&gt;2,RIGHT(_xlpm.steps,2),_xlpm.steps)))</f>
        <v>85</v>
      </c>
      <c r="D3949">
        <f>_xlfn.LET(_xlpm.steps,SUBSTITUTE(Table13[[#This Row],[Input]],Table13[[#This Row],[Direction]],""),VALUE(IF(LEN(_xlpm.steps)&gt;2,LEFT(_xlpm.steps,LEN(_xlpm.steps)-2),0)))</f>
        <v>0</v>
      </c>
      <c r="E3949">
        <f>_xlfn.LET(_xlpm.dir,Table13[[#This Row],[Direction]],
IF(_xlpm.dir="L",
    IF(G3948-Table13[[#This Row],[Steps]]&lt;0,100+(G3948-Table13[[#This Row],[Steps]]),G3948-Table13[[#This Row],[Steps]]),
))</f>
        <v>0</v>
      </c>
      <c r="F3949">
        <f>_xlfn.LET(_xlpm.dir,Table13[[#This Row],[Direction]],
IF(_xlpm.dir="R",
    IF(G3948+Table13[[#This Row],[Steps]]&gt;99,(G3948+Table13[[#This Row],[Steps]])-100,G3948+Table13[[#This Row],[Steps]]),
))</f>
        <v>85</v>
      </c>
      <c r="G3949">
        <f>IF(Table13[[#This Row],[New Pos L]]&lt;&gt;0,Table13[[#This Row],[New Pos L]],Table13[[#This Row],[New Pos R]])</f>
        <v>85</v>
      </c>
      <c r="H3949">
        <f>IF(AND(Table13[[#This Row],[Direction]]="L",Table13[[#This Row],[Steps]]&gt;G3948,G3948&lt;&gt;0),1,0)</f>
        <v>0</v>
      </c>
      <c r="I3949">
        <f>IF(AND(Table13[[#This Row],[Direction]]="R",(G3948+Table13[[#This Row],[Steps]])&gt;100),1,0)</f>
        <v>0</v>
      </c>
      <c r="J3949">
        <f>IF(Table13[[#This Row],[POS]]=0,1,0)</f>
        <v>0</v>
      </c>
      <c r="K3949">
        <f>SUM(Table13[[#This Row],[prefix]],Table13[[#This Row],[Past zero L]],Table13[[#This Row],[Past Zero R]],Table13[[#This Row],[Is Zero]])</f>
        <v>0</v>
      </c>
    </row>
    <row r="3950" spans="1:11" ht="16" x14ac:dyDescent="0.2">
      <c r="A3950" s="1" t="s">
        <v>213</v>
      </c>
      <c r="B3950" t="str">
        <f>LEFT(Table13[[#This Row],[Input]],1)</f>
        <v>R</v>
      </c>
      <c r="C3950">
        <f>_xlfn.LET(_xlpm.steps,SUBSTITUTE(Table13[[#This Row],[Input]],Table13[[#This Row],[Direction]],""),VALUE(IF(LEN(_xlpm.steps)&gt;2,RIGHT(_xlpm.steps,2),_xlpm.steps)))</f>
        <v>87</v>
      </c>
      <c r="D3950">
        <f>_xlfn.LET(_xlpm.steps,SUBSTITUTE(Table13[[#This Row],[Input]],Table13[[#This Row],[Direction]],""),VALUE(IF(LEN(_xlpm.steps)&gt;2,LEFT(_xlpm.steps,LEN(_xlpm.steps)-2),0)))</f>
        <v>0</v>
      </c>
      <c r="E3950">
        <f>_xlfn.LET(_xlpm.dir,Table13[[#This Row],[Direction]],
IF(_xlpm.dir="L",
    IF(G3949-Table13[[#This Row],[Steps]]&lt;0,100+(G3949-Table13[[#This Row],[Steps]]),G3949-Table13[[#This Row],[Steps]]),
))</f>
        <v>0</v>
      </c>
      <c r="F3950">
        <f>_xlfn.LET(_xlpm.dir,Table13[[#This Row],[Direction]],
IF(_xlpm.dir="R",
    IF(G3949+Table13[[#This Row],[Steps]]&gt;99,(G3949+Table13[[#This Row],[Steps]])-100,G3949+Table13[[#This Row],[Steps]]),
))</f>
        <v>72</v>
      </c>
      <c r="G3950">
        <f>IF(Table13[[#This Row],[New Pos L]]&lt;&gt;0,Table13[[#This Row],[New Pos L]],Table13[[#This Row],[New Pos R]])</f>
        <v>72</v>
      </c>
      <c r="H3950">
        <f>IF(AND(Table13[[#This Row],[Direction]]="L",Table13[[#This Row],[Steps]]&gt;G3949,G3949&lt;&gt;0),1,0)</f>
        <v>0</v>
      </c>
      <c r="I3950">
        <f>IF(AND(Table13[[#This Row],[Direction]]="R",(G3949+Table13[[#This Row],[Steps]])&gt;100),1,0)</f>
        <v>1</v>
      </c>
      <c r="J3950">
        <f>IF(Table13[[#This Row],[POS]]=0,1,0)</f>
        <v>0</v>
      </c>
      <c r="K3950">
        <f>SUM(Table13[[#This Row],[prefix]],Table13[[#This Row],[Past zero L]],Table13[[#This Row],[Past Zero R]],Table13[[#This Row],[Is Zero]])</f>
        <v>1</v>
      </c>
    </row>
    <row r="3951" spans="1:11" ht="16" x14ac:dyDescent="0.2">
      <c r="A3951" s="1" t="s">
        <v>172</v>
      </c>
      <c r="B3951" t="str">
        <f>LEFT(Table13[[#This Row],[Input]],1)</f>
        <v>L</v>
      </c>
      <c r="C3951">
        <f>_xlfn.LET(_xlpm.steps,SUBSTITUTE(Table13[[#This Row],[Input]],Table13[[#This Row],[Direction]],""),VALUE(IF(LEN(_xlpm.steps)&gt;2,RIGHT(_xlpm.steps,2),_xlpm.steps)))</f>
        <v>66</v>
      </c>
      <c r="D3951">
        <f>_xlfn.LET(_xlpm.steps,SUBSTITUTE(Table13[[#This Row],[Input]],Table13[[#This Row],[Direction]],""),VALUE(IF(LEN(_xlpm.steps)&gt;2,LEFT(_xlpm.steps,LEN(_xlpm.steps)-2),0)))</f>
        <v>0</v>
      </c>
      <c r="E3951">
        <f>_xlfn.LET(_xlpm.dir,Table13[[#This Row],[Direction]],
IF(_xlpm.dir="L",
    IF(G3950-Table13[[#This Row],[Steps]]&lt;0,100+(G3950-Table13[[#This Row],[Steps]]),G3950-Table13[[#This Row],[Steps]]),
))</f>
        <v>6</v>
      </c>
      <c r="F3951">
        <f>_xlfn.LET(_xlpm.dir,Table13[[#This Row],[Direction]],
IF(_xlpm.dir="R",
    IF(G3950+Table13[[#This Row],[Steps]]&gt;99,(G3950+Table13[[#This Row],[Steps]])-100,G3950+Table13[[#This Row],[Steps]]),
))</f>
        <v>0</v>
      </c>
      <c r="G3951">
        <f>IF(Table13[[#This Row],[New Pos L]]&lt;&gt;0,Table13[[#This Row],[New Pos L]],Table13[[#This Row],[New Pos R]])</f>
        <v>6</v>
      </c>
      <c r="H3951">
        <f>IF(AND(Table13[[#This Row],[Direction]]="L",Table13[[#This Row],[Steps]]&gt;G3950,G3950&lt;&gt;0),1,0)</f>
        <v>0</v>
      </c>
      <c r="I3951">
        <f>IF(AND(Table13[[#This Row],[Direction]]="R",(G3950+Table13[[#This Row],[Steps]])&gt;100),1,0)</f>
        <v>0</v>
      </c>
      <c r="J3951">
        <f>IF(Table13[[#This Row],[POS]]=0,1,0)</f>
        <v>0</v>
      </c>
      <c r="K3951">
        <f>SUM(Table13[[#This Row],[prefix]],Table13[[#This Row],[Past zero L]],Table13[[#This Row],[Past Zero R]],Table13[[#This Row],[Is Zero]])</f>
        <v>0</v>
      </c>
    </row>
    <row r="3952" spans="1:11" ht="16" x14ac:dyDescent="0.2">
      <c r="A3952" s="1" t="s">
        <v>108</v>
      </c>
      <c r="B3952" t="str">
        <f>LEFT(Table13[[#This Row],[Input]],1)</f>
        <v>R</v>
      </c>
      <c r="C3952">
        <f>_xlfn.LET(_xlpm.steps,SUBSTITUTE(Table13[[#This Row],[Input]],Table13[[#This Row],[Direction]],""),VALUE(IF(LEN(_xlpm.steps)&gt;2,RIGHT(_xlpm.steps,2),_xlpm.steps)))</f>
        <v>66</v>
      </c>
      <c r="D3952">
        <f>_xlfn.LET(_xlpm.steps,SUBSTITUTE(Table13[[#This Row],[Input]],Table13[[#This Row],[Direction]],""),VALUE(IF(LEN(_xlpm.steps)&gt;2,LEFT(_xlpm.steps,LEN(_xlpm.steps)-2),0)))</f>
        <v>0</v>
      </c>
      <c r="E3952">
        <f>_xlfn.LET(_xlpm.dir,Table13[[#This Row],[Direction]],
IF(_xlpm.dir="L",
    IF(G3951-Table13[[#This Row],[Steps]]&lt;0,100+(G3951-Table13[[#This Row],[Steps]]),G3951-Table13[[#This Row],[Steps]]),
))</f>
        <v>0</v>
      </c>
      <c r="F3952">
        <f>_xlfn.LET(_xlpm.dir,Table13[[#This Row],[Direction]],
IF(_xlpm.dir="R",
    IF(G3951+Table13[[#This Row],[Steps]]&gt;99,(G3951+Table13[[#This Row],[Steps]])-100,G3951+Table13[[#This Row],[Steps]]),
))</f>
        <v>72</v>
      </c>
      <c r="G3952">
        <f>IF(Table13[[#This Row],[New Pos L]]&lt;&gt;0,Table13[[#This Row],[New Pos L]],Table13[[#This Row],[New Pos R]])</f>
        <v>72</v>
      </c>
      <c r="H3952">
        <f>IF(AND(Table13[[#This Row],[Direction]]="L",Table13[[#This Row],[Steps]]&gt;G3951,G3951&lt;&gt;0),1,0)</f>
        <v>0</v>
      </c>
      <c r="I3952">
        <f>IF(AND(Table13[[#This Row],[Direction]]="R",(G3951+Table13[[#This Row],[Steps]])&gt;100),1,0)</f>
        <v>0</v>
      </c>
      <c r="J3952">
        <f>IF(Table13[[#This Row],[POS]]=0,1,0)</f>
        <v>0</v>
      </c>
      <c r="K3952">
        <f>SUM(Table13[[#This Row],[prefix]],Table13[[#This Row],[Past zero L]],Table13[[#This Row],[Past Zero R]],Table13[[#This Row],[Is Zero]])</f>
        <v>0</v>
      </c>
    </row>
    <row r="3953" spans="1:11" ht="16" x14ac:dyDescent="0.2">
      <c r="A3953" s="1" t="s">
        <v>83</v>
      </c>
      <c r="B3953" t="str">
        <f>LEFT(Table13[[#This Row],[Input]],1)</f>
        <v>R</v>
      </c>
      <c r="C3953">
        <f>_xlfn.LET(_xlpm.steps,SUBSTITUTE(Table13[[#This Row],[Input]],Table13[[#This Row],[Direction]],""),VALUE(IF(LEN(_xlpm.steps)&gt;2,RIGHT(_xlpm.steps,2),_xlpm.steps)))</f>
        <v>79</v>
      </c>
      <c r="D3953">
        <f>_xlfn.LET(_xlpm.steps,SUBSTITUTE(Table13[[#This Row],[Input]],Table13[[#This Row],[Direction]],""),VALUE(IF(LEN(_xlpm.steps)&gt;2,LEFT(_xlpm.steps,LEN(_xlpm.steps)-2),0)))</f>
        <v>0</v>
      </c>
      <c r="E3953">
        <f>_xlfn.LET(_xlpm.dir,Table13[[#This Row],[Direction]],
IF(_xlpm.dir="L",
    IF(G3952-Table13[[#This Row],[Steps]]&lt;0,100+(G3952-Table13[[#This Row],[Steps]]),G3952-Table13[[#This Row],[Steps]]),
))</f>
        <v>0</v>
      </c>
      <c r="F3953">
        <f>_xlfn.LET(_xlpm.dir,Table13[[#This Row],[Direction]],
IF(_xlpm.dir="R",
    IF(G3952+Table13[[#This Row],[Steps]]&gt;99,(G3952+Table13[[#This Row],[Steps]])-100,G3952+Table13[[#This Row],[Steps]]),
))</f>
        <v>51</v>
      </c>
      <c r="G3953">
        <f>IF(Table13[[#This Row],[New Pos L]]&lt;&gt;0,Table13[[#This Row],[New Pos L]],Table13[[#This Row],[New Pos R]])</f>
        <v>51</v>
      </c>
      <c r="H3953">
        <f>IF(AND(Table13[[#This Row],[Direction]]="L",Table13[[#This Row],[Steps]]&gt;G3952,G3952&lt;&gt;0),1,0)</f>
        <v>0</v>
      </c>
      <c r="I3953">
        <f>IF(AND(Table13[[#This Row],[Direction]]="R",(G3952+Table13[[#This Row],[Steps]])&gt;100),1,0)</f>
        <v>1</v>
      </c>
      <c r="J3953">
        <f>IF(Table13[[#This Row],[POS]]=0,1,0)</f>
        <v>0</v>
      </c>
      <c r="K3953">
        <f>SUM(Table13[[#This Row],[prefix]],Table13[[#This Row],[Past zero L]],Table13[[#This Row],[Past Zero R]],Table13[[#This Row],[Is Zero]])</f>
        <v>1</v>
      </c>
    </row>
    <row r="3954" spans="1:11" ht="16" x14ac:dyDescent="0.2">
      <c r="A3954" s="1" t="s">
        <v>821</v>
      </c>
      <c r="B3954" t="str">
        <f>LEFT(Table13[[#This Row],[Input]],1)</f>
        <v>L</v>
      </c>
      <c r="C3954">
        <f>_xlfn.LET(_xlpm.steps,SUBSTITUTE(Table13[[#This Row],[Input]],Table13[[#This Row],[Direction]],""),VALUE(IF(LEN(_xlpm.steps)&gt;2,RIGHT(_xlpm.steps,2),_xlpm.steps)))</f>
        <v>74</v>
      </c>
      <c r="D3954">
        <f>_xlfn.LET(_xlpm.steps,SUBSTITUTE(Table13[[#This Row],[Input]],Table13[[#This Row],[Direction]],""),VALUE(IF(LEN(_xlpm.steps)&gt;2,LEFT(_xlpm.steps,LEN(_xlpm.steps)-2),0)))</f>
        <v>1</v>
      </c>
      <c r="E3954">
        <f>_xlfn.LET(_xlpm.dir,Table13[[#This Row],[Direction]],
IF(_xlpm.dir="L",
    IF(G3953-Table13[[#This Row],[Steps]]&lt;0,100+(G3953-Table13[[#This Row],[Steps]]),G3953-Table13[[#This Row],[Steps]]),
))</f>
        <v>77</v>
      </c>
      <c r="F3954">
        <f>_xlfn.LET(_xlpm.dir,Table13[[#This Row],[Direction]],
IF(_xlpm.dir="R",
    IF(G3953+Table13[[#This Row],[Steps]]&gt;99,(G3953+Table13[[#This Row],[Steps]])-100,G3953+Table13[[#This Row],[Steps]]),
))</f>
        <v>0</v>
      </c>
      <c r="G3954">
        <f>IF(Table13[[#This Row],[New Pos L]]&lt;&gt;0,Table13[[#This Row],[New Pos L]],Table13[[#This Row],[New Pos R]])</f>
        <v>77</v>
      </c>
      <c r="H3954">
        <f>IF(AND(Table13[[#This Row],[Direction]]="L",Table13[[#This Row],[Steps]]&gt;G3953,G3953&lt;&gt;0),1,0)</f>
        <v>1</v>
      </c>
      <c r="I3954">
        <f>IF(AND(Table13[[#This Row],[Direction]]="R",(G3953+Table13[[#This Row],[Steps]])&gt;100),1,0)</f>
        <v>0</v>
      </c>
      <c r="J3954">
        <f>IF(Table13[[#This Row],[POS]]=0,1,0)</f>
        <v>0</v>
      </c>
      <c r="K3954">
        <f>SUM(Table13[[#This Row],[prefix]],Table13[[#This Row],[Past zero L]],Table13[[#This Row],[Past Zero R]],Table13[[#This Row],[Is Zero]])</f>
        <v>2</v>
      </c>
    </row>
    <row r="3955" spans="1:11" ht="16" x14ac:dyDescent="0.2">
      <c r="A3955" s="1" t="s">
        <v>63</v>
      </c>
      <c r="B3955" t="str">
        <f>LEFT(Table13[[#This Row],[Input]],1)</f>
        <v>R</v>
      </c>
      <c r="C3955">
        <f>_xlfn.LET(_xlpm.steps,SUBSTITUTE(Table13[[#This Row],[Input]],Table13[[#This Row],[Direction]],""),VALUE(IF(LEN(_xlpm.steps)&gt;2,RIGHT(_xlpm.steps,2),_xlpm.steps)))</f>
        <v>57</v>
      </c>
      <c r="D3955">
        <f>_xlfn.LET(_xlpm.steps,SUBSTITUTE(Table13[[#This Row],[Input]],Table13[[#This Row],[Direction]],""),VALUE(IF(LEN(_xlpm.steps)&gt;2,LEFT(_xlpm.steps,LEN(_xlpm.steps)-2),0)))</f>
        <v>0</v>
      </c>
      <c r="E3955">
        <f>_xlfn.LET(_xlpm.dir,Table13[[#This Row],[Direction]],
IF(_xlpm.dir="L",
    IF(G3954-Table13[[#This Row],[Steps]]&lt;0,100+(G3954-Table13[[#This Row],[Steps]]),G3954-Table13[[#This Row],[Steps]]),
))</f>
        <v>0</v>
      </c>
      <c r="F3955">
        <f>_xlfn.LET(_xlpm.dir,Table13[[#This Row],[Direction]],
IF(_xlpm.dir="R",
    IF(G3954+Table13[[#This Row],[Steps]]&gt;99,(G3954+Table13[[#This Row],[Steps]])-100,G3954+Table13[[#This Row],[Steps]]),
))</f>
        <v>34</v>
      </c>
      <c r="G3955">
        <f>IF(Table13[[#This Row],[New Pos L]]&lt;&gt;0,Table13[[#This Row],[New Pos L]],Table13[[#This Row],[New Pos R]])</f>
        <v>34</v>
      </c>
      <c r="H3955">
        <f>IF(AND(Table13[[#This Row],[Direction]]="L",Table13[[#This Row],[Steps]]&gt;G3954,G3954&lt;&gt;0),1,0)</f>
        <v>0</v>
      </c>
      <c r="I3955">
        <f>IF(AND(Table13[[#This Row],[Direction]]="R",(G3954+Table13[[#This Row],[Steps]])&gt;100),1,0)</f>
        <v>1</v>
      </c>
      <c r="J3955">
        <f>IF(Table13[[#This Row],[POS]]=0,1,0)</f>
        <v>0</v>
      </c>
      <c r="K3955">
        <f>SUM(Table13[[#This Row],[prefix]],Table13[[#This Row],[Past zero L]],Table13[[#This Row],[Past Zero R]],Table13[[#This Row],[Is Zero]])</f>
        <v>1</v>
      </c>
    </row>
    <row r="3956" spans="1:11" ht="16" x14ac:dyDescent="0.2">
      <c r="A3956" s="1" t="s">
        <v>161</v>
      </c>
      <c r="B3956" t="str">
        <f>LEFT(Table13[[#This Row],[Input]],1)</f>
        <v>R</v>
      </c>
      <c r="C3956">
        <f>_xlfn.LET(_xlpm.steps,SUBSTITUTE(Table13[[#This Row],[Input]],Table13[[#This Row],[Direction]],""),VALUE(IF(LEN(_xlpm.steps)&gt;2,RIGHT(_xlpm.steps,2),_xlpm.steps)))</f>
        <v>76</v>
      </c>
      <c r="D3956">
        <f>_xlfn.LET(_xlpm.steps,SUBSTITUTE(Table13[[#This Row],[Input]],Table13[[#This Row],[Direction]],""),VALUE(IF(LEN(_xlpm.steps)&gt;2,LEFT(_xlpm.steps,LEN(_xlpm.steps)-2),0)))</f>
        <v>0</v>
      </c>
      <c r="E3956">
        <f>_xlfn.LET(_xlpm.dir,Table13[[#This Row],[Direction]],
IF(_xlpm.dir="L",
    IF(G3955-Table13[[#This Row],[Steps]]&lt;0,100+(G3955-Table13[[#This Row],[Steps]]),G3955-Table13[[#This Row],[Steps]]),
))</f>
        <v>0</v>
      </c>
      <c r="F3956">
        <f>_xlfn.LET(_xlpm.dir,Table13[[#This Row],[Direction]],
IF(_xlpm.dir="R",
    IF(G3955+Table13[[#This Row],[Steps]]&gt;99,(G3955+Table13[[#This Row],[Steps]])-100,G3955+Table13[[#This Row],[Steps]]),
))</f>
        <v>10</v>
      </c>
      <c r="G3956">
        <f>IF(Table13[[#This Row],[New Pos L]]&lt;&gt;0,Table13[[#This Row],[New Pos L]],Table13[[#This Row],[New Pos R]])</f>
        <v>10</v>
      </c>
      <c r="H3956">
        <f>IF(AND(Table13[[#This Row],[Direction]]="L",Table13[[#This Row],[Steps]]&gt;G3955,G3955&lt;&gt;0),1,0)</f>
        <v>0</v>
      </c>
      <c r="I3956">
        <f>IF(AND(Table13[[#This Row],[Direction]]="R",(G3955+Table13[[#This Row],[Steps]])&gt;100),1,0)</f>
        <v>1</v>
      </c>
      <c r="J3956">
        <f>IF(Table13[[#This Row],[POS]]=0,1,0)</f>
        <v>0</v>
      </c>
      <c r="K3956">
        <f>SUM(Table13[[#This Row],[prefix]],Table13[[#This Row],[Past zero L]],Table13[[#This Row],[Past Zero R]],Table13[[#This Row],[Is Zero]])</f>
        <v>1</v>
      </c>
    </row>
    <row r="3957" spans="1:11" ht="16" x14ac:dyDescent="0.2">
      <c r="A3957" s="1" t="s">
        <v>70</v>
      </c>
      <c r="B3957" t="str">
        <f>LEFT(Table13[[#This Row],[Input]],1)</f>
        <v>R</v>
      </c>
      <c r="C3957">
        <f>_xlfn.LET(_xlpm.steps,SUBSTITUTE(Table13[[#This Row],[Input]],Table13[[#This Row],[Direction]],""),VALUE(IF(LEN(_xlpm.steps)&gt;2,RIGHT(_xlpm.steps,2),_xlpm.steps)))</f>
        <v>73</v>
      </c>
      <c r="D3957">
        <f>_xlfn.LET(_xlpm.steps,SUBSTITUTE(Table13[[#This Row],[Input]],Table13[[#This Row],[Direction]],""),VALUE(IF(LEN(_xlpm.steps)&gt;2,LEFT(_xlpm.steps,LEN(_xlpm.steps)-2),0)))</f>
        <v>0</v>
      </c>
      <c r="E3957">
        <f>_xlfn.LET(_xlpm.dir,Table13[[#This Row],[Direction]],
IF(_xlpm.dir="L",
    IF(G3956-Table13[[#This Row],[Steps]]&lt;0,100+(G3956-Table13[[#This Row],[Steps]]),G3956-Table13[[#This Row],[Steps]]),
))</f>
        <v>0</v>
      </c>
      <c r="F3957">
        <f>_xlfn.LET(_xlpm.dir,Table13[[#This Row],[Direction]],
IF(_xlpm.dir="R",
    IF(G3956+Table13[[#This Row],[Steps]]&gt;99,(G3956+Table13[[#This Row],[Steps]])-100,G3956+Table13[[#This Row],[Steps]]),
))</f>
        <v>83</v>
      </c>
      <c r="G3957">
        <f>IF(Table13[[#This Row],[New Pos L]]&lt;&gt;0,Table13[[#This Row],[New Pos L]],Table13[[#This Row],[New Pos R]])</f>
        <v>83</v>
      </c>
      <c r="H3957">
        <f>IF(AND(Table13[[#This Row],[Direction]]="L",Table13[[#This Row],[Steps]]&gt;G3956,G3956&lt;&gt;0),1,0)</f>
        <v>0</v>
      </c>
      <c r="I3957">
        <f>IF(AND(Table13[[#This Row],[Direction]]="R",(G3956+Table13[[#This Row],[Steps]])&gt;100),1,0)</f>
        <v>0</v>
      </c>
      <c r="J3957">
        <f>IF(Table13[[#This Row],[POS]]=0,1,0)</f>
        <v>0</v>
      </c>
      <c r="K3957">
        <f>SUM(Table13[[#This Row],[prefix]],Table13[[#This Row],[Past zero L]],Table13[[#This Row],[Past Zero R]],Table13[[#This Row],[Is Zero]])</f>
        <v>0</v>
      </c>
    </row>
    <row r="3958" spans="1:11" ht="16" x14ac:dyDescent="0.2">
      <c r="A3958" s="1" t="s">
        <v>122</v>
      </c>
      <c r="B3958" t="str">
        <f>LEFT(Table13[[#This Row],[Input]],1)</f>
        <v>R</v>
      </c>
      <c r="C3958">
        <f>_xlfn.LET(_xlpm.steps,SUBSTITUTE(Table13[[#This Row],[Input]],Table13[[#This Row],[Direction]],""),VALUE(IF(LEN(_xlpm.steps)&gt;2,RIGHT(_xlpm.steps,2),_xlpm.steps)))</f>
        <v>75</v>
      </c>
      <c r="D3958">
        <f>_xlfn.LET(_xlpm.steps,SUBSTITUTE(Table13[[#This Row],[Input]],Table13[[#This Row],[Direction]],""),VALUE(IF(LEN(_xlpm.steps)&gt;2,LEFT(_xlpm.steps,LEN(_xlpm.steps)-2),0)))</f>
        <v>0</v>
      </c>
      <c r="E3958">
        <f>_xlfn.LET(_xlpm.dir,Table13[[#This Row],[Direction]],
IF(_xlpm.dir="L",
    IF(G3957-Table13[[#This Row],[Steps]]&lt;0,100+(G3957-Table13[[#This Row],[Steps]]),G3957-Table13[[#This Row],[Steps]]),
))</f>
        <v>0</v>
      </c>
      <c r="F3958">
        <f>_xlfn.LET(_xlpm.dir,Table13[[#This Row],[Direction]],
IF(_xlpm.dir="R",
    IF(G3957+Table13[[#This Row],[Steps]]&gt;99,(G3957+Table13[[#This Row],[Steps]])-100,G3957+Table13[[#This Row],[Steps]]),
))</f>
        <v>58</v>
      </c>
      <c r="G3958">
        <f>IF(Table13[[#This Row],[New Pos L]]&lt;&gt;0,Table13[[#This Row],[New Pos L]],Table13[[#This Row],[New Pos R]])</f>
        <v>58</v>
      </c>
      <c r="H3958">
        <f>IF(AND(Table13[[#This Row],[Direction]]="L",Table13[[#This Row],[Steps]]&gt;G3957,G3957&lt;&gt;0),1,0)</f>
        <v>0</v>
      </c>
      <c r="I3958">
        <f>IF(AND(Table13[[#This Row],[Direction]]="R",(G3957+Table13[[#This Row],[Steps]])&gt;100),1,0)</f>
        <v>1</v>
      </c>
      <c r="J3958">
        <f>IF(Table13[[#This Row],[POS]]=0,1,0)</f>
        <v>0</v>
      </c>
      <c r="K3958">
        <f>SUM(Table13[[#This Row],[prefix]],Table13[[#This Row],[Past zero L]],Table13[[#This Row],[Past Zero R]],Table13[[#This Row],[Is Zero]])</f>
        <v>1</v>
      </c>
    </row>
    <row r="3959" spans="1:11" ht="16" x14ac:dyDescent="0.2">
      <c r="A3959" s="1" t="s">
        <v>56</v>
      </c>
      <c r="B3959" t="str">
        <f>LEFT(Table13[[#This Row],[Input]],1)</f>
        <v>R</v>
      </c>
      <c r="C3959">
        <f>_xlfn.LET(_xlpm.steps,SUBSTITUTE(Table13[[#This Row],[Input]],Table13[[#This Row],[Direction]],""),VALUE(IF(LEN(_xlpm.steps)&gt;2,RIGHT(_xlpm.steps,2),_xlpm.steps)))</f>
        <v>42</v>
      </c>
      <c r="D3959">
        <f>_xlfn.LET(_xlpm.steps,SUBSTITUTE(Table13[[#This Row],[Input]],Table13[[#This Row],[Direction]],""),VALUE(IF(LEN(_xlpm.steps)&gt;2,LEFT(_xlpm.steps,LEN(_xlpm.steps)-2),0)))</f>
        <v>0</v>
      </c>
      <c r="E3959">
        <f>_xlfn.LET(_xlpm.dir,Table13[[#This Row],[Direction]],
IF(_xlpm.dir="L",
    IF(G3958-Table13[[#This Row],[Steps]]&lt;0,100+(G3958-Table13[[#This Row],[Steps]]),G3958-Table13[[#This Row],[Steps]]),
))</f>
        <v>0</v>
      </c>
      <c r="F3959">
        <f>_xlfn.LET(_xlpm.dir,Table13[[#This Row],[Direction]],
IF(_xlpm.dir="R",
    IF(G3958+Table13[[#This Row],[Steps]]&gt;99,(G3958+Table13[[#This Row],[Steps]])-100,G3958+Table13[[#This Row],[Steps]]),
))</f>
        <v>0</v>
      </c>
      <c r="G3959">
        <f>IF(Table13[[#This Row],[New Pos L]]&lt;&gt;0,Table13[[#This Row],[New Pos L]],Table13[[#This Row],[New Pos R]])</f>
        <v>0</v>
      </c>
      <c r="H3959">
        <f>IF(AND(Table13[[#This Row],[Direction]]="L",Table13[[#This Row],[Steps]]&gt;G3958,G3958&lt;&gt;0),1,0)</f>
        <v>0</v>
      </c>
      <c r="I3959">
        <f>IF(AND(Table13[[#This Row],[Direction]]="R",(G3958+Table13[[#This Row],[Steps]])&gt;100),1,0)</f>
        <v>0</v>
      </c>
      <c r="J3959">
        <f>IF(Table13[[#This Row],[POS]]=0,1,0)</f>
        <v>1</v>
      </c>
      <c r="K3959">
        <f>SUM(Table13[[#This Row],[prefix]],Table13[[#This Row],[Past zero L]],Table13[[#This Row],[Past Zero R]],Table13[[#This Row],[Is Zero]])</f>
        <v>1</v>
      </c>
    </row>
    <row r="3960" spans="1:11" ht="16" x14ac:dyDescent="0.2">
      <c r="A3960" s="1" t="s">
        <v>260</v>
      </c>
      <c r="B3960" t="str">
        <f>LEFT(Table13[[#This Row],[Input]],1)</f>
        <v>L</v>
      </c>
      <c r="C3960">
        <f>_xlfn.LET(_xlpm.steps,SUBSTITUTE(Table13[[#This Row],[Input]],Table13[[#This Row],[Direction]],""),VALUE(IF(LEN(_xlpm.steps)&gt;2,RIGHT(_xlpm.steps,2),_xlpm.steps)))</f>
        <v>85</v>
      </c>
      <c r="D3960">
        <f>_xlfn.LET(_xlpm.steps,SUBSTITUTE(Table13[[#This Row],[Input]],Table13[[#This Row],[Direction]],""),VALUE(IF(LEN(_xlpm.steps)&gt;2,LEFT(_xlpm.steps,LEN(_xlpm.steps)-2),0)))</f>
        <v>0</v>
      </c>
      <c r="E3960">
        <f>_xlfn.LET(_xlpm.dir,Table13[[#This Row],[Direction]],
IF(_xlpm.dir="L",
    IF(G3959-Table13[[#This Row],[Steps]]&lt;0,100+(G3959-Table13[[#This Row],[Steps]]),G3959-Table13[[#This Row],[Steps]]),
))</f>
        <v>15</v>
      </c>
      <c r="F3960">
        <f>_xlfn.LET(_xlpm.dir,Table13[[#This Row],[Direction]],
IF(_xlpm.dir="R",
    IF(G3959+Table13[[#This Row],[Steps]]&gt;99,(G3959+Table13[[#This Row],[Steps]])-100,G3959+Table13[[#This Row],[Steps]]),
))</f>
        <v>0</v>
      </c>
      <c r="G3960">
        <f>IF(Table13[[#This Row],[New Pos L]]&lt;&gt;0,Table13[[#This Row],[New Pos L]],Table13[[#This Row],[New Pos R]])</f>
        <v>15</v>
      </c>
      <c r="H3960">
        <f>IF(AND(Table13[[#This Row],[Direction]]="L",Table13[[#This Row],[Steps]]&gt;G3959,G3959&lt;&gt;0),1,0)</f>
        <v>0</v>
      </c>
      <c r="I3960">
        <f>IF(AND(Table13[[#This Row],[Direction]]="R",(G3959+Table13[[#This Row],[Steps]])&gt;100),1,0)</f>
        <v>0</v>
      </c>
      <c r="J3960">
        <f>IF(Table13[[#This Row],[POS]]=0,1,0)</f>
        <v>0</v>
      </c>
      <c r="K3960">
        <f>SUM(Table13[[#This Row],[prefix]],Table13[[#This Row],[Past zero L]],Table13[[#This Row],[Past Zero R]],Table13[[#This Row],[Is Zero]])</f>
        <v>0</v>
      </c>
    </row>
    <row r="3961" spans="1:11" ht="16" x14ac:dyDescent="0.2">
      <c r="A3961" s="1" t="s">
        <v>88</v>
      </c>
      <c r="B3961" t="str">
        <f>LEFT(Table13[[#This Row],[Input]],1)</f>
        <v>R</v>
      </c>
      <c r="C3961">
        <f>_xlfn.LET(_xlpm.steps,SUBSTITUTE(Table13[[#This Row],[Input]],Table13[[#This Row],[Direction]],""),VALUE(IF(LEN(_xlpm.steps)&gt;2,RIGHT(_xlpm.steps,2),_xlpm.steps)))</f>
        <v>53</v>
      </c>
      <c r="D3961">
        <f>_xlfn.LET(_xlpm.steps,SUBSTITUTE(Table13[[#This Row],[Input]],Table13[[#This Row],[Direction]],""),VALUE(IF(LEN(_xlpm.steps)&gt;2,LEFT(_xlpm.steps,LEN(_xlpm.steps)-2),0)))</f>
        <v>0</v>
      </c>
      <c r="E3961">
        <f>_xlfn.LET(_xlpm.dir,Table13[[#This Row],[Direction]],
IF(_xlpm.dir="L",
    IF(G3960-Table13[[#This Row],[Steps]]&lt;0,100+(G3960-Table13[[#This Row],[Steps]]),G3960-Table13[[#This Row],[Steps]]),
))</f>
        <v>0</v>
      </c>
      <c r="F3961">
        <f>_xlfn.LET(_xlpm.dir,Table13[[#This Row],[Direction]],
IF(_xlpm.dir="R",
    IF(G3960+Table13[[#This Row],[Steps]]&gt;99,(G3960+Table13[[#This Row],[Steps]])-100,G3960+Table13[[#This Row],[Steps]]),
))</f>
        <v>68</v>
      </c>
      <c r="G3961">
        <f>IF(Table13[[#This Row],[New Pos L]]&lt;&gt;0,Table13[[#This Row],[New Pos L]],Table13[[#This Row],[New Pos R]])</f>
        <v>68</v>
      </c>
      <c r="H3961">
        <f>IF(AND(Table13[[#This Row],[Direction]]="L",Table13[[#This Row],[Steps]]&gt;G3960,G3960&lt;&gt;0),1,0)</f>
        <v>0</v>
      </c>
      <c r="I3961">
        <f>IF(AND(Table13[[#This Row],[Direction]]="R",(G3960+Table13[[#This Row],[Steps]])&gt;100),1,0)</f>
        <v>0</v>
      </c>
      <c r="J3961">
        <f>IF(Table13[[#This Row],[POS]]=0,1,0)</f>
        <v>0</v>
      </c>
      <c r="K3961">
        <f>SUM(Table13[[#This Row],[prefix]],Table13[[#This Row],[Past zero L]],Table13[[#This Row],[Past Zero R]],Table13[[#This Row],[Is Zero]])</f>
        <v>0</v>
      </c>
    </row>
    <row r="3962" spans="1:11" ht="16" x14ac:dyDescent="0.2">
      <c r="A3962" s="1" t="s">
        <v>39</v>
      </c>
      <c r="B3962" t="str">
        <f>LEFT(Table13[[#This Row],[Input]],1)</f>
        <v>R</v>
      </c>
      <c r="C3962">
        <f>_xlfn.LET(_xlpm.steps,SUBSTITUTE(Table13[[#This Row],[Input]],Table13[[#This Row],[Direction]],""),VALUE(IF(LEN(_xlpm.steps)&gt;2,RIGHT(_xlpm.steps,2),_xlpm.steps)))</f>
        <v>32</v>
      </c>
      <c r="D3962">
        <f>_xlfn.LET(_xlpm.steps,SUBSTITUTE(Table13[[#This Row],[Input]],Table13[[#This Row],[Direction]],""),VALUE(IF(LEN(_xlpm.steps)&gt;2,LEFT(_xlpm.steps,LEN(_xlpm.steps)-2),0)))</f>
        <v>0</v>
      </c>
      <c r="E3962">
        <f>_xlfn.LET(_xlpm.dir,Table13[[#This Row],[Direction]],
IF(_xlpm.dir="L",
    IF(G3961-Table13[[#This Row],[Steps]]&lt;0,100+(G3961-Table13[[#This Row],[Steps]]),G3961-Table13[[#This Row],[Steps]]),
))</f>
        <v>0</v>
      </c>
      <c r="F3962">
        <f>_xlfn.LET(_xlpm.dir,Table13[[#This Row],[Direction]],
IF(_xlpm.dir="R",
    IF(G3961+Table13[[#This Row],[Steps]]&gt;99,(G3961+Table13[[#This Row],[Steps]])-100,G3961+Table13[[#This Row],[Steps]]),
))</f>
        <v>0</v>
      </c>
      <c r="G3962">
        <f>IF(Table13[[#This Row],[New Pos L]]&lt;&gt;0,Table13[[#This Row],[New Pos L]],Table13[[#This Row],[New Pos R]])</f>
        <v>0</v>
      </c>
      <c r="H3962">
        <f>IF(AND(Table13[[#This Row],[Direction]]="L",Table13[[#This Row],[Steps]]&gt;G3961,G3961&lt;&gt;0),1,0)</f>
        <v>0</v>
      </c>
      <c r="I3962">
        <f>IF(AND(Table13[[#This Row],[Direction]]="R",(G3961+Table13[[#This Row],[Steps]])&gt;100),1,0)</f>
        <v>0</v>
      </c>
      <c r="J3962">
        <f>IF(Table13[[#This Row],[POS]]=0,1,0)</f>
        <v>1</v>
      </c>
      <c r="K3962">
        <f>SUM(Table13[[#This Row],[prefix]],Table13[[#This Row],[Past zero L]],Table13[[#This Row],[Past Zero R]],Table13[[#This Row],[Is Zero]])</f>
        <v>1</v>
      </c>
    </row>
    <row r="3963" spans="1:11" ht="16" x14ac:dyDescent="0.2">
      <c r="A3963" s="1" t="s">
        <v>353</v>
      </c>
      <c r="B3963" t="str">
        <f>LEFT(Table13[[#This Row],[Input]],1)</f>
        <v>R</v>
      </c>
      <c r="C3963">
        <f>_xlfn.LET(_xlpm.steps,SUBSTITUTE(Table13[[#This Row],[Input]],Table13[[#This Row],[Direction]],""),VALUE(IF(LEN(_xlpm.steps)&gt;2,RIGHT(_xlpm.steps,2),_xlpm.steps)))</f>
        <v>7</v>
      </c>
      <c r="D3963">
        <f>_xlfn.LET(_xlpm.steps,SUBSTITUTE(Table13[[#This Row],[Input]],Table13[[#This Row],[Direction]],""),VALUE(IF(LEN(_xlpm.steps)&gt;2,LEFT(_xlpm.steps,LEN(_xlpm.steps)-2),0)))</f>
        <v>0</v>
      </c>
      <c r="E3963">
        <f>_xlfn.LET(_xlpm.dir,Table13[[#This Row],[Direction]],
IF(_xlpm.dir="L",
    IF(G3962-Table13[[#This Row],[Steps]]&lt;0,100+(G3962-Table13[[#This Row],[Steps]]),G3962-Table13[[#This Row],[Steps]]),
))</f>
        <v>0</v>
      </c>
      <c r="F3963">
        <f>_xlfn.LET(_xlpm.dir,Table13[[#This Row],[Direction]],
IF(_xlpm.dir="R",
    IF(G3962+Table13[[#This Row],[Steps]]&gt;99,(G3962+Table13[[#This Row],[Steps]])-100,G3962+Table13[[#This Row],[Steps]]),
))</f>
        <v>7</v>
      </c>
      <c r="G3963">
        <f>IF(Table13[[#This Row],[New Pos L]]&lt;&gt;0,Table13[[#This Row],[New Pos L]],Table13[[#This Row],[New Pos R]])</f>
        <v>7</v>
      </c>
      <c r="H3963">
        <f>IF(AND(Table13[[#This Row],[Direction]]="L",Table13[[#This Row],[Steps]]&gt;G3962,G3962&lt;&gt;0),1,0)</f>
        <v>0</v>
      </c>
      <c r="I3963">
        <f>IF(AND(Table13[[#This Row],[Direction]]="R",(G3962+Table13[[#This Row],[Steps]])&gt;100),1,0)</f>
        <v>0</v>
      </c>
      <c r="J3963">
        <f>IF(Table13[[#This Row],[POS]]=0,1,0)</f>
        <v>0</v>
      </c>
      <c r="K3963">
        <f>SUM(Table13[[#This Row],[prefix]],Table13[[#This Row],[Past zero L]],Table13[[#This Row],[Past Zero R]],Table13[[#This Row],[Is Zero]])</f>
        <v>0</v>
      </c>
    </row>
    <row r="3964" spans="1:11" ht="16" x14ac:dyDescent="0.2">
      <c r="A3964" s="1" t="s">
        <v>191</v>
      </c>
      <c r="B3964" t="str">
        <f>LEFT(Table13[[#This Row],[Input]],1)</f>
        <v>L</v>
      </c>
      <c r="C3964">
        <f>_xlfn.LET(_xlpm.steps,SUBSTITUTE(Table13[[#This Row],[Input]],Table13[[#This Row],[Direction]],""),VALUE(IF(LEN(_xlpm.steps)&gt;2,RIGHT(_xlpm.steps,2),_xlpm.steps)))</f>
        <v>5</v>
      </c>
      <c r="D3964">
        <f>_xlfn.LET(_xlpm.steps,SUBSTITUTE(Table13[[#This Row],[Input]],Table13[[#This Row],[Direction]],""),VALUE(IF(LEN(_xlpm.steps)&gt;2,LEFT(_xlpm.steps,LEN(_xlpm.steps)-2),0)))</f>
        <v>0</v>
      </c>
      <c r="E3964">
        <f>_xlfn.LET(_xlpm.dir,Table13[[#This Row],[Direction]],
IF(_xlpm.dir="L",
    IF(G3963-Table13[[#This Row],[Steps]]&lt;0,100+(G3963-Table13[[#This Row],[Steps]]),G3963-Table13[[#This Row],[Steps]]),
))</f>
        <v>2</v>
      </c>
      <c r="F3964">
        <f>_xlfn.LET(_xlpm.dir,Table13[[#This Row],[Direction]],
IF(_xlpm.dir="R",
    IF(G3963+Table13[[#This Row],[Steps]]&gt;99,(G3963+Table13[[#This Row],[Steps]])-100,G3963+Table13[[#This Row],[Steps]]),
))</f>
        <v>0</v>
      </c>
      <c r="G3964">
        <f>IF(Table13[[#This Row],[New Pos L]]&lt;&gt;0,Table13[[#This Row],[New Pos L]],Table13[[#This Row],[New Pos R]])</f>
        <v>2</v>
      </c>
      <c r="H3964">
        <f>IF(AND(Table13[[#This Row],[Direction]]="L",Table13[[#This Row],[Steps]]&gt;G3963,G3963&lt;&gt;0),1,0)</f>
        <v>0</v>
      </c>
      <c r="I3964">
        <f>IF(AND(Table13[[#This Row],[Direction]]="R",(G3963+Table13[[#This Row],[Steps]])&gt;100),1,0)</f>
        <v>0</v>
      </c>
      <c r="J3964">
        <f>IF(Table13[[#This Row],[POS]]=0,1,0)</f>
        <v>0</v>
      </c>
      <c r="K3964">
        <f>SUM(Table13[[#This Row],[prefix]],Table13[[#This Row],[Past zero L]],Table13[[#This Row],[Past Zero R]],Table13[[#This Row],[Is Zero]])</f>
        <v>0</v>
      </c>
    </row>
    <row r="3965" spans="1:11" ht="16" x14ac:dyDescent="0.2">
      <c r="A3965" s="1" t="s">
        <v>131</v>
      </c>
      <c r="B3965" t="str">
        <f>LEFT(Table13[[#This Row],[Input]],1)</f>
        <v>R</v>
      </c>
      <c r="C3965">
        <f>_xlfn.LET(_xlpm.steps,SUBSTITUTE(Table13[[#This Row],[Input]],Table13[[#This Row],[Direction]],""),VALUE(IF(LEN(_xlpm.steps)&gt;2,RIGHT(_xlpm.steps,2),_xlpm.steps)))</f>
        <v>99</v>
      </c>
      <c r="D3965">
        <f>_xlfn.LET(_xlpm.steps,SUBSTITUTE(Table13[[#This Row],[Input]],Table13[[#This Row],[Direction]],""),VALUE(IF(LEN(_xlpm.steps)&gt;2,LEFT(_xlpm.steps,LEN(_xlpm.steps)-2),0)))</f>
        <v>0</v>
      </c>
      <c r="E3965">
        <f>_xlfn.LET(_xlpm.dir,Table13[[#This Row],[Direction]],
IF(_xlpm.dir="L",
    IF(G3964-Table13[[#This Row],[Steps]]&lt;0,100+(G3964-Table13[[#This Row],[Steps]]),G3964-Table13[[#This Row],[Steps]]),
))</f>
        <v>0</v>
      </c>
      <c r="F3965">
        <f>_xlfn.LET(_xlpm.dir,Table13[[#This Row],[Direction]],
IF(_xlpm.dir="R",
    IF(G3964+Table13[[#This Row],[Steps]]&gt;99,(G3964+Table13[[#This Row],[Steps]])-100,G3964+Table13[[#This Row],[Steps]]),
))</f>
        <v>1</v>
      </c>
      <c r="G3965">
        <f>IF(Table13[[#This Row],[New Pos L]]&lt;&gt;0,Table13[[#This Row],[New Pos L]],Table13[[#This Row],[New Pos R]])</f>
        <v>1</v>
      </c>
      <c r="H3965">
        <f>IF(AND(Table13[[#This Row],[Direction]]="L",Table13[[#This Row],[Steps]]&gt;G3964,G3964&lt;&gt;0),1,0)</f>
        <v>0</v>
      </c>
      <c r="I3965">
        <f>IF(AND(Table13[[#This Row],[Direction]]="R",(G3964+Table13[[#This Row],[Steps]])&gt;100),1,0)</f>
        <v>1</v>
      </c>
      <c r="J3965">
        <f>IF(Table13[[#This Row],[POS]]=0,1,0)</f>
        <v>0</v>
      </c>
      <c r="K3965">
        <f>SUM(Table13[[#This Row],[prefix]],Table13[[#This Row],[Past zero L]],Table13[[#This Row],[Past Zero R]],Table13[[#This Row],[Is Zero]])</f>
        <v>1</v>
      </c>
    </row>
    <row r="3966" spans="1:11" ht="16" x14ac:dyDescent="0.2">
      <c r="A3966" s="1" t="s">
        <v>276</v>
      </c>
      <c r="B3966" t="str">
        <f>LEFT(Table13[[#This Row],[Input]],1)</f>
        <v>L</v>
      </c>
      <c r="C3966">
        <f>_xlfn.LET(_xlpm.steps,SUBSTITUTE(Table13[[#This Row],[Input]],Table13[[#This Row],[Direction]],""),VALUE(IF(LEN(_xlpm.steps)&gt;2,RIGHT(_xlpm.steps,2),_xlpm.steps)))</f>
        <v>60</v>
      </c>
      <c r="D3966">
        <f>_xlfn.LET(_xlpm.steps,SUBSTITUTE(Table13[[#This Row],[Input]],Table13[[#This Row],[Direction]],""),VALUE(IF(LEN(_xlpm.steps)&gt;2,LEFT(_xlpm.steps,LEN(_xlpm.steps)-2),0)))</f>
        <v>0</v>
      </c>
      <c r="E3966">
        <f>_xlfn.LET(_xlpm.dir,Table13[[#This Row],[Direction]],
IF(_xlpm.dir="L",
    IF(G3965-Table13[[#This Row],[Steps]]&lt;0,100+(G3965-Table13[[#This Row],[Steps]]),G3965-Table13[[#This Row],[Steps]]),
))</f>
        <v>41</v>
      </c>
      <c r="F3966">
        <f>_xlfn.LET(_xlpm.dir,Table13[[#This Row],[Direction]],
IF(_xlpm.dir="R",
    IF(G3965+Table13[[#This Row],[Steps]]&gt;99,(G3965+Table13[[#This Row],[Steps]])-100,G3965+Table13[[#This Row],[Steps]]),
))</f>
        <v>0</v>
      </c>
      <c r="G3966">
        <f>IF(Table13[[#This Row],[New Pos L]]&lt;&gt;0,Table13[[#This Row],[New Pos L]],Table13[[#This Row],[New Pos R]])</f>
        <v>41</v>
      </c>
      <c r="H3966">
        <f>IF(AND(Table13[[#This Row],[Direction]]="L",Table13[[#This Row],[Steps]]&gt;G3965,G3965&lt;&gt;0),1,0)</f>
        <v>1</v>
      </c>
      <c r="I3966">
        <f>IF(AND(Table13[[#This Row],[Direction]]="R",(G3965+Table13[[#This Row],[Steps]])&gt;100),1,0)</f>
        <v>0</v>
      </c>
      <c r="J3966">
        <f>IF(Table13[[#This Row],[POS]]=0,1,0)</f>
        <v>0</v>
      </c>
      <c r="K3966">
        <f>SUM(Table13[[#This Row],[prefix]],Table13[[#This Row],[Past zero L]],Table13[[#This Row],[Past Zero R]],Table13[[#This Row],[Is Zero]])</f>
        <v>1</v>
      </c>
    </row>
    <row r="3967" spans="1:11" ht="16" x14ac:dyDescent="0.2">
      <c r="A3967" s="1" t="s">
        <v>218</v>
      </c>
      <c r="B3967" t="str">
        <f>LEFT(Table13[[#This Row],[Input]],1)</f>
        <v>R</v>
      </c>
      <c r="C3967">
        <f>_xlfn.LET(_xlpm.steps,SUBSTITUTE(Table13[[#This Row],[Input]],Table13[[#This Row],[Direction]],""),VALUE(IF(LEN(_xlpm.steps)&gt;2,RIGHT(_xlpm.steps,2),_xlpm.steps)))</f>
        <v>35</v>
      </c>
      <c r="D3967">
        <f>_xlfn.LET(_xlpm.steps,SUBSTITUTE(Table13[[#This Row],[Input]],Table13[[#This Row],[Direction]],""),VALUE(IF(LEN(_xlpm.steps)&gt;2,LEFT(_xlpm.steps,LEN(_xlpm.steps)-2),0)))</f>
        <v>0</v>
      </c>
      <c r="E3967">
        <f>_xlfn.LET(_xlpm.dir,Table13[[#This Row],[Direction]],
IF(_xlpm.dir="L",
    IF(G3966-Table13[[#This Row],[Steps]]&lt;0,100+(G3966-Table13[[#This Row],[Steps]]),G3966-Table13[[#This Row],[Steps]]),
))</f>
        <v>0</v>
      </c>
      <c r="F3967">
        <f>_xlfn.LET(_xlpm.dir,Table13[[#This Row],[Direction]],
IF(_xlpm.dir="R",
    IF(G3966+Table13[[#This Row],[Steps]]&gt;99,(G3966+Table13[[#This Row],[Steps]])-100,G3966+Table13[[#This Row],[Steps]]),
))</f>
        <v>76</v>
      </c>
      <c r="G3967">
        <f>IF(Table13[[#This Row],[New Pos L]]&lt;&gt;0,Table13[[#This Row],[New Pos L]],Table13[[#This Row],[New Pos R]])</f>
        <v>76</v>
      </c>
      <c r="H3967">
        <f>IF(AND(Table13[[#This Row],[Direction]]="L",Table13[[#This Row],[Steps]]&gt;G3966,G3966&lt;&gt;0),1,0)</f>
        <v>0</v>
      </c>
      <c r="I3967">
        <f>IF(AND(Table13[[#This Row],[Direction]]="R",(G3966+Table13[[#This Row],[Steps]])&gt;100),1,0)</f>
        <v>0</v>
      </c>
      <c r="J3967">
        <f>IF(Table13[[#This Row],[POS]]=0,1,0)</f>
        <v>0</v>
      </c>
      <c r="K3967">
        <f>SUM(Table13[[#This Row],[prefix]],Table13[[#This Row],[Past zero L]],Table13[[#This Row],[Past Zero R]],Table13[[#This Row],[Is Zero]])</f>
        <v>0</v>
      </c>
    </row>
    <row r="3968" spans="1:11" ht="16" x14ac:dyDescent="0.2">
      <c r="A3968" s="1" t="s">
        <v>111</v>
      </c>
      <c r="B3968" t="str">
        <f>LEFT(Table13[[#This Row],[Input]],1)</f>
        <v>R</v>
      </c>
      <c r="C3968">
        <f>_xlfn.LET(_xlpm.steps,SUBSTITUTE(Table13[[#This Row],[Input]],Table13[[#This Row],[Direction]],""),VALUE(IF(LEN(_xlpm.steps)&gt;2,RIGHT(_xlpm.steps,2),_xlpm.steps)))</f>
        <v>64</v>
      </c>
      <c r="D3968">
        <f>_xlfn.LET(_xlpm.steps,SUBSTITUTE(Table13[[#This Row],[Input]],Table13[[#This Row],[Direction]],""),VALUE(IF(LEN(_xlpm.steps)&gt;2,LEFT(_xlpm.steps,LEN(_xlpm.steps)-2),0)))</f>
        <v>0</v>
      </c>
      <c r="E3968">
        <f>_xlfn.LET(_xlpm.dir,Table13[[#This Row],[Direction]],
IF(_xlpm.dir="L",
    IF(G3967-Table13[[#This Row],[Steps]]&lt;0,100+(G3967-Table13[[#This Row],[Steps]]),G3967-Table13[[#This Row],[Steps]]),
))</f>
        <v>0</v>
      </c>
      <c r="F3968">
        <f>_xlfn.LET(_xlpm.dir,Table13[[#This Row],[Direction]],
IF(_xlpm.dir="R",
    IF(G3967+Table13[[#This Row],[Steps]]&gt;99,(G3967+Table13[[#This Row],[Steps]])-100,G3967+Table13[[#This Row],[Steps]]),
))</f>
        <v>40</v>
      </c>
      <c r="G3968">
        <f>IF(Table13[[#This Row],[New Pos L]]&lt;&gt;0,Table13[[#This Row],[New Pos L]],Table13[[#This Row],[New Pos R]])</f>
        <v>40</v>
      </c>
      <c r="H3968">
        <f>IF(AND(Table13[[#This Row],[Direction]]="L",Table13[[#This Row],[Steps]]&gt;G3967,G3967&lt;&gt;0),1,0)</f>
        <v>0</v>
      </c>
      <c r="I3968">
        <f>IF(AND(Table13[[#This Row],[Direction]]="R",(G3967+Table13[[#This Row],[Steps]])&gt;100),1,0)</f>
        <v>1</v>
      </c>
      <c r="J3968">
        <f>IF(Table13[[#This Row],[POS]]=0,1,0)</f>
        <v>0</v>
      </c>
      <c r="K3968">
        <f>SUM(Table13[[#This Row],[prefix]],Table13[[#This Row],[Past zero L]],Table13[[#This Row],[Past Zero R]],Table13[[#This Row],[Is Zero]])</f>
        <v>1</v>
      </c>
    </row>
    <row r="3969" spans="1:11" ht="16" x14ac:dyDescent="0.2">
      <c r="A3969" s="1" t="s">
        <v>58</v>
      </c>
      <c r="B3969" t="str">
        <f>LEFT(Table13[[#This Row],[Input]],1)</f>
        <v>L</v>
      </c>
      <c r="C3969">
        <f>_xlfn.LET(_xlpm.steps,SUBSTITUTE(Table13[[#This Row],[Input]],Table13[[#This Row],[Direction]],""),VALUE(IF(LEN(_xlpm.steps)&gt;2,RIGHT(_xlpm.steps,2),_xlpm.steps)))</f>
        <v>30</v>
      </c>
      <c r="D3969">
        <f>_xlfn.LET(_xlpm.steps,SUBSTITUTE(Table13[[#This Row],[Input]],Table13[[#This Row],[Direction]],""),VALUE(IF(LEN(_xlpm.steps)&gt;2,LEFT(_xlpm.steps,LEN(_xlpm.steps)-2),0)))</f>
        <v>0</v>
      </c>
      <c r="E3969">
        <f>_xlfn.LET(_xlpm.dir,Table13[[#This Row],[Direction]],
IF(_xlpm.dir="L",
    IF(G3968-Table13[[#This Row],[Steps]]&lt;0,100+(G3968-Table13[[#This Row],[Steps]]),G3968-Table13[[#This Row],[Steps]]),
))</f>
        <v>10</v>
      </c>
      <c r="F3969">
        <f>_xlfn.LET(_xlpm.dir,Table13[[#This Row],[Direction]],
IF(_xlpm.dir="R",
    IF(G3968+Table13[[#This Row],[Steps]]&gt;99,(G3968+Table13[[#This Row],[Steps]])-100,G3968+Table13[[#This Row],[Steps]]),
))</f>
        <v>0</v>
      </c>
      <c r="G3969">
        <f>IF(Table13[[#This Row],[New Pos L]]&lt;&gt;0,Table13[[#This Row],[New Pos L]],Table13[[#This Row],[New Pos R]])</f>
        <v>10</v>
      </c>
      <c r="H3969">
        <f>IF(AND(Table13[[#This Row],[Direction]]="L",Table13[[#This Row],[Steps]]&gt;G3968,G3968&lt;&gt;0),1,0)</f>
        <v>0</v>
      </c>
      <c r="I3969">
        <f>IF(AND(Table13[[#This Row],[Direction]]="R",(G3968+Table13[[#This Row],[Steps]])&gt;100),1,0)</f>
        <v>0</v>
      </c>
      <c r="J3969">
        <f>IF(Table13[[#This Row],[POS]]=0,1,0)</f>
        <v>0</v>
      </c>
      <c r="K3969">
        <f>SUM(Table13[[#This Row],[prefix]],Table13[[#This Row],[Past zero L]],Table13[[#This Row],[Past Zero R]],Table13[[#This Row],[Is Zero]])</f>
        <v>0</v>
      </c>
    </row>
    <row r="3970" spans="1:11" ht="16" x14ac:dyDescent="0.2">
      <c r="A3970" s="1" t="s">
        <v>74</v>
      </c>
      <c r="B3970" t="str">
        <f>LEFT(Table13[[#This Row],[Input]],1)</f>
        <v>R</v>
      </c>
      <c r="C3970">
        <f>_xlfn.LET(_xlpm.steps,SUBSTITUTE(Table13[[#This Row],[Input]],Table13[[#This Row],[Direction]],""),VALUE(IF(LEN(_xlpm.steps)&gt;2,RIGHT(_xlpm.steps,2),_xlpm.steps)))</f>
        <v>93</v>
      </c>
      <c r="D3970">
        <f>_xlfn.LET(_xlpm.steps,SUBSTITUTE(Table13[[#This Row],[Input]],Table13[[#This Row],[Direction]],""),VALUE(IF(LEN(_xlpm.steps)&gt;2,LEFT(_xlpm.steps,LEN(_xlpm.steps)-2),0)))</f>
        <v>0</v>
      </c>
      <c r="E3970">
        <f>_xlfn.LET(_xlpm.dir,Table13[[#This Row],[Direction]],
IF(_xlpm.dir="L",
    IF(G3969-Table13[[#This Row],[Steps]]&lt;0,100+(G3969-Table13[[#This Row],[Steps]]),G3969-Table13[[#This Row],[Steps]]),
))</f>
        <v>0</v>
      </c>
      <c r="F3970">
        <f>_xlfn.LET(_xlpm.dir,Table13[[#This Row],[Direction]],
IF(_xlpm.dir="R",
    IF(G3969+Table13[[#This Row],[Steps]]&gt;99,(G3969+Table13[[#This Row],[Steps]])-100,G3969+Table13[[#This Row],[Steps]]),
))</f>
        <v>3</v>
      </c>
      <c r="G3970">
        <f>IF(Table13[[#This Row],[New Pos L]]&lt;&gt;0,Table13[[#This Row],[New Pos L]],Table13[[#This Row],[New Pos R]])</f>
        <v>3</v>
      </c>
      <c r="H3970">
        <f>IF(AND(Table13[[#This Row],[Direction]]="L",Table13[[#This Row],[Steps]]&gt;G3969,G3969&lt;&gt;0),1,0)</f>
        <v>0</v>
      </c>
      <c r="I3970">
        <f>IF(AND(Table13[[#This Row],[Direction]]="R",(G3969+Table13[[#This Row],[Steps]])&gt;100),1,0)</f>
        <v>1</v>
      </c>
      <c r="J3970">
        <f>IF(Table13[[#This Row],[POS]]=0,1,0)</f>
        <v>0</v>
      </c>
      <c r="K3970">
        <f>SUM(Table13[[#This Row],[prefix]],Table13[[#This Row],[Past zero L]],Table13[[#This Row],[Past Zero R]],Table13[[#This Row],[Is Zero]])</f>
        <v>1</v>
      </c>
    </row>
    <row r="3971" spans="1:11" ht="16" x14ac:dyDescent="0.2">
      <c r="A3971" s="1" t="s">
        <v>165</v>
      </c>
      <c r="B3971" t="str">
        <f>LEFT(Table13[[#This Row],[Input]],1)</f>
        <v>R</v>
      </c>
      <c r="C3971">
        <f>_xlfn.LET(_xlpm.steps,SUBSTITUTE(Table13[[#This Row],[Input]],Table13[[#This Row],[Direction]],""),VALUE(IF(LEN(_xlpm.steps)&gt;2,RIGHT(_xlpm.steps,2),_xlpm.steps)))</f>
        <v>55</v>
      </c>
      <c r="D3971">
        <f>_xlfn.LET(_xlpm.steps,SUBSTITUTE(Table13[[#This Row],[Input]],Table13[[#This Row],[Direction]],""),VALUE(IF(LEN(_xlpm.steps)&gt;2,LEFT(_xlpm.steps,LEN(_xlpm.steps)-2),0)))</f>
        <v>0</v>
      </c>
      <c r="E3971">
        <f>_xlfn.LET(_xlpm.dir,Table13[[#This Row],[Direction]],
IF(_xlpm.dir="L",
    IF(G3970-Table13[[#This Row],[Steps]]&lt;0,100+(G3970-Table13[[#This Row],[Steps]]),G3970-Table13[[#This Row],[Steps]]),
))</f>
        <v>0</v>
      </c>
      <c r="F3971">
        <f>_xlfn.LET(_xlpm.dir,Table13[[#This Row],[Direction]],
IF(_xlpm.dir="R",
    IF(G3970+Table13[[#This Row],[Steps]]&gt;99,(G3970+Table13[[#This Row],[Steps]])-100,G3970+Table13[[#This Row],[Steps]]),
))</f>
        <v>58</v>
      </c>
      <c r="G3971">
        <f>IF(Table13[[#This Row],[New Pos L]]&lt;&gt;0,Table13[[#This Row],[New Pos L]],Table13[[#This Row],[New Pos R]])</f>
        <v>58</v>
      </c>
      <c r="H3971">
        <f>IF(AND(Table13[[#This Row],[Direction]]="L",Table13[[#This Row],[Steps]]&gt;G3970,G3970&lt;&gt;0),1,0)</f>
        <v>0</v>
      </c>
      <c r="I3971">
        <f>IF(AND(Table13[[#This Row],[Direction]]="R",(G3970+Table13[[#This Row],[Steps]])&gt;100),1,0)</f>
        <v>0</v>
      </c>
      <c r="J3971">
        <f>IF(Table13[[#This Row],[POS]]=0,1,0)</f>
        <v>0</v>
      </c>
      <c r="K3971">
        <f>SUM(Table13[[#This Row],[prefix]],Table13[[#This Row],[Past zero L]],Table13[[#This Row],[Past Zero R]],Table13[[#This Row],[Is Zero]])</f>
        <v>0</v>
      </c>
    </row>
    <row r="3972" spans="1:11" ht="16" x14ac:dyDescent="0.2">
      <c r="A3972" s="1" t="s">
        <v>138</v>
      </c>
      <c r="B3972" t="str">
        <f>LEFT(Table13[[#This Row],[Input]],1)</f>
        <v>L</v>
      </c>
      <c r="C3972">
        <f>_xlfn.LET(_xlpm.steps,SUBSTITUTE(Table13[[#This Row],[Input]],Table13[[#This Row],[Direction]],""),VALUE(IF(LEN(_xlpm.steps)&gt;2,RIGHT(_xlpm.steps,2),_xlpm.steps)))</f>
        <v>94</v>
      </c>
      <c r="D3972">
        <f>_xlfn.LET(_xlpm.steps,SUBSTITUTE(Table13[[#This Row],[Input]],Table13[[#This Row],[Direction]],""),VALUE(IF(LEN(_xlpm.steps)&gt;2,LEFT(_xlpm.steps,LEN(_xlpm.steps)-2),0)))</f>
        <v>0</v>
      </c>
      <c r="E3972">
        <f>_xlfn.LET(_xlpm.dir,Table13[[#This Row],[Direction]],
IF(_xlpm.dir="L",
    IF(G3971-Table13[[#This Row],[Steps]]&lt;0,100+(G3971-Table13[[#This Row],[Steps]]),G3971-Table13[[#This Row],[Steps]]),
))</f>
        <v>64</v>
      </c>
      <c r="F3972">
        <f>_xlfn.LET(_xlpm.dir,Table13[[#This Row],[Direction]],
IF(_xlpm.dir="R",
    IF(G3971+Table13[[#This Row],[Steps]]&gt;99,(G3971+Table13[[#This Row],[Steps]])-100,G3971+Table13[[#This Row],[Steps]]),
))</f>
        <v>0</v>
      </c>
      <c r="G3972">
        <f>IF(Table13[[#This Row],[New Pos L]]&lt;&gt;0,Table13[[#This Row],[New Pos L]],Table13[[#This Row],[New Pos R]])</f>
        <v>64</v>
      </c>
      <c r="H3972">
        <f>IF(AND(Table13[[#This Row],[Direction]]="L",Table13[[#This Row],[Steps]]&gt;G3971,G3971&lt;&gt;0),1,0)</f>
        <v>1</v>
      </c>
      <c r="I3972">
        <f>IF(AND(Table13[[#This Row],[Direction]]="R",(G3971+Table13[[#This Row],[Steps]])&gt;100),1,0)</f>
        <v>0</v>
      </c>
      <c r="J3972">
        <f>IF(Table13[[#This Row],[POS]]=0,1,0)</f>
        <v>0</v>
      </c>
      <c r="K3972">
        <f>SUM(Table13[[#This Row],[prefix]],Table13[[#This Row],[Past zero L]],Table13[[#This Row],[Past Zero R]],Table13[[#This Row],[Is Zero]])</f>
        <v>1</v>
      </c>
    </row>
    <row r="3973" spans="1:11" ht="16" x14ac:dyDescent="0.2">
      <c r="A3973" s="1" t="s">
        <v>179</v>
      </c>
      <c r="B3973" t="str">
        <f>LEFT(Table13[[#This Row],[Input]],1)</f>
        <v>L</v>
      </c>
      <c r="C3973">
        <f>_xlfn.LET(_xlpm.steps,SUBSTITUTE(Table13[[#This Row],[Input]],Table13[[#This Row],[Direction]],""),VALUE(IF(LEN(_xlpm.steps)&gt;2,RIGHT(_xlpm.steps,2),_xlpm.steps)))</f>
        <v>54</v>
      </c>
      <c r="D3973">
        <f>_xlfn.LET(_xlpm.steps,SUBSTITUTE(Table13[[#This Row],[Input]],Table13[[#This Row],[Direction]],""),VALUE(IF(LEN(_xlpm.steps)&gt;2,LEFT(_xlpm.steps,LEN(_xlpm.steps)-2),0)))</f>
        <v>0</v>
      </c>
      <c r="E3973">
        <f>_xlfn.LET(_xlpm.dir,Table13[[#This Row],[Direction]],
IF(_xlpm.dir="L",
    IF(G3972-Table13[[#This Row],[Steps]]&lt;0,100+(G3972-Table13[[#This Row],[Steps]]),G3972-Table13[[#This Row],[Steps]]),
))</f>
        <v>10</v>
      </c>
      <c r="F3973">
        <f>_xlfn.LET(_xlpm.dir,Table13[[#This Row],[Direction]],
IF(_xlpm.dir="R",
    IF(G3972+Table13[[#This Row],[Steps]]&gt;99,(G3972+Table13[[#This Row],[Steps]])-100,G3972+Table13[[#This Row],[Steps]]),
))</f>
        <v>0</v>
      </c>
      <c r="G3973">
        <f>IF(Table13[[#This Row],[New Pos L]]&lt;&gt;0,Table13[[#This Row],[New Pos L]],Table13[[#This Row],[New Pos R]])</f>
        <v>10</v>
      </c>
      <c r="H3973">
        <f>IF(AND(Table13[[#This Row],[Direction]]="L",Table13[[#This Row],[Steps]]&gt;G3972,G3972&lt;&gt;0),1,0)</f>
        <v>0</v>
      </c>
      <c r="I3973">
        <f>IF(AND(Table13[[#This Row],[Direction]]="R",(G3972+Table13[[#This Row],[Steps]])&gt;100),1,0)</f>
        <v>0</v>
      </c>
      <c r="J3973">
        <f>IF(Table13[[#This Row],[POS]]=0,1,0)</f>
        <v>0</v>
      </c>
      <c r="K3973">
        <f>SUM(Table13[[#This Row],[prefix]],Table13[[#This Row],[Past zero L]],Table13[[#This Row],[Past Zero R]],Table13[[#This Row],[Is Zero]])</f>
        <v>0</v>
      </c>
    </row>
    <row r="3974" spans="1:11" ht="16" x14ac:dyDescent="0.2">
      <c r="A3974" s="1" t="s">
        <v>396</v>
      </c>
      <c r="B3974" t="str">
        <f>LEFT(Table13[[#This Row],[Input]],1)</f>
        <v>R</v>
      </c>
      <c r="C3974">
        <f>_xlfn.LET(_xlpm.steps,SUBSTITUTE(Table13[[#This Row],[Input]],Table13[[#This Row],[Direction]],""),VALUE(IF(LEN(_xlpm.steps)&gt;2,RIGHT(_xlpm.steps,2),_xlpm.steps)))</f>
        <v>84</v>
      </c>
      <c r="D3974">
        <f>_xlfn.LET(_xlpm.steps,SUBSTITUTE(Table13[[#This Row],[Input]],Table13[[#This Row],[Direction]],""),VALUE(IF(LEN(_xlpm.steps)&gt;2,LEFT(_xlpm.steps,LEN(_xlpm.steps)-2),0)))</f>
        <v>3</v>
      </c>
      <c r="E3974">
        <f>_xlfn.LET(_xlpm.dir,Table13[[#This Row],[Direction]],
IF(_xlpm.dir="L",
    IF(G3973-Table13[[#This Row],[Steps]]&lt;0,100+(G3973-Table13[[#This Row],[Steps]]),G3973-Table13[[#This Row],[Steps]]),
))</f>
        <v>0</v>
      </c>
      <c r="F3974">
        <f>_xlfn.LET(_xlpm.dir,Table13[[#This Row],[Direction]],
IF(_xlpm.dir="R",
    IF(G3973+Table13[[#This Row],[Steps]]&gt;99,(G3973+Table13[[#This Row],[Steps]])-100,G3973+Table13[[#This Row],[Steps]]),
))</f>
        <v>94</v>
      </c>
      <c r="G3974">
        <f>IF(Table13[[#This Row],[New Pos L]]&lt;&gt;0,Table13[[#This Row],[New Pos L]],Table13[[#This Row],[New Pos R]])</f>
        <v>94</v>
      </c>
      <c r="H3974">
        <f>IF(AND(Table13[[#This Row],[Direction]]="L",Table13[[#This Row],[Steps]]&gt;G3973,G3973&lt;&gt;0),1,0)</f>
        <v>0</v>
      </c>
      <c r="I3974">
        <f>IF(AND(Table13[[#This Row],[Direction]]="R",(G3973+Table13[[#This Row],[Steps]])&gt;100),1,0)</f>
        <v>0</v>
      </c>
      <c r="J3974">
        <f>IF(Table13[[#This Row],[POS]]=0,1,0)</f>
        <v>0</v>
      </c>
      <c r="K3974">
        <f>SUM(Table13[[#This Row],[prefix]],Table13[[#This Row],[Past zero L]],Table13[[#This Row],[Past Zero R]],Table13[[#This Row],[Is Zero]])</f>
        <v>3</v>
      </c>
    </row>
    <row r="3975" spans="1:11" ht="16" x14ac:dyDescent="0.2">
      <c r="A3975" s="1" t="s">
        <v>26</v>
      </c>
      <c r="B3975" t="str">
        <f>LEFT(Table13[[#This Row],[Input]],1)</f>
        <v>R</v>
      </c>
      <c r="C3975">
        <f>_xlfn.LET(_xlpm.steps,SUBSTITUTE(Table13[[#This Row],[Input]],Table13[[#This Row],[Direction]],""),VALUE(IF(LEN(_xlpm.steps)&gt;2,RIGHT(_xlpm.steps,2),_xlpm.steps)))</f>
        <v>6</v>
      </c>
      <c r="D3975">
        <f>_xlfn.LET(_xlpm.steps,SUBSTITUTE(Table13[[#This Row],[Input]],Table13[[#This Row],[Direction]],""),VALUE(IF(LEN(_xlpm.steps)&gt;2,LEFT(_xlpm.steps,LEN(_xlpm.steps)-2),0)))</f>
        <v>0</v>
      </c>
      <c r="E3975">
        <f>_xlfn.LET(_xlpm.dir,Table13[[#This Row],[Direction]],
IF(_xlpm.dir="L",
    IF(G3974-Table13[[#This Row],[Steps]]&lt;0,100+(G3974-Table13[[#This Row],[Steps]]),G3974-Table13[[#This Row],[Steps]]),
))</f>
        <v>0</v>
      </c>
      <c r="F3975">
        <f>_xlfn.LET(_xlpm.dir,Table13[[#This Row],[Direction]],
IF(_xlpm.dir="R",
    IF(G3974+Table13[[#This Row],[Steps]]&gt;99,(G3974+Table13[[#This Row],[Steps]])-100,G3974+Table13[[#This Row],[Steps]]),
))</f>
        <v>0</v>
      </c>
      <c r="G3975">
        <f>IF(Table13[[#This Row],[New Pos L]]&lt;&gt;0,Table13[[#This Row],[New Pos L]],Table13[[#This Row],[New Pos R]])</f>
        <v>0</v>
      </c>
      <c r="H3975">
        <f>IF(AND(Table13[[#This Row],[Direction]]="L",Table13[[#This Row],[Steps]]&gt;G3974,G3974&lt;&gt;0),1,0)</f>
        <v>0</v>
      </c>
      <c r="I3975">
        <f>IF(AND(Table13[[#This Row],[Direction]]="R",(G3974+Table13[[#This Row],[Steps]])&gt;100),1,0)</f>
        <v>0</v>
      </c>
      <c r="J3975">
        <f>IF(Table13[[#This Row],[POS]]=0,1,0)</f>
        <v>1</v>
      </c>
      <c r="K3975">
        <f>SUM(Table13[[#This Row],[prefix]],Table13[[#This Row],[Past zero L]],Table13[[#This Row],[Past Zero R]],Table13[[#This Row],[Is Zero]])</f>
        <v>1</v>
      </c>
    </row>
    <row r="3976" spans="1:11" ht="16" x14ac:dyDescent="0.2">
      <c r="A3976" s="1" t="s">
        <v>309</v>
      </c>
      <c r="B3976" t="str">
        <f>LEFT(Table13[[#This Row],[Input]],1)</f>
        <v>L</v>
      </c>
      <c r="C3976">
        <f>_xlfn.LET(_xlpm.steps,SUBSTITUTE(Table13[[#This Row],[Input]],Table13[[#This Row],[Direction]],""),VALUE(IF(LEN(_xlpm.steps)&gt;2,RIGHT(_xlpm.steps,2),_xlpm.steps)))</f>
        <v>41</v>
      </c>
      <c r="D3976">
        <f>_xlfn.LET(_xlpm.steps,SUBSTITUTE(Table13[[#This Row],[Input]],Table13[[#This Row],[Direction]],""),VALUE(IF(LEN(_xlpm.steps)&gt;2,LEFT(_xlpm.steps,LEN(_xlpm.steps)-2),0)))</f>
        <v>0</v>
      </c>
      <c r="E3976">
        <f>_xlfn.LET(_xlpm.dir,Table13[[#This Row],[Direction]],
IF(_xlpm.dir="L",
    IF(G3975-Table13[[#This Row],[Steps]]&lt;0,100+(G3975-Table13[[#This Row],[Steps]]),G3975-Table13[[#This Row],[Steps]]),
))</f>
        <v>59</v>
      </c>
      <c r="F3976">
        <f>_xlfn.LET(_xlpm.dir,Table13[[#This Row],[Direction]],
IF(_xlpm.dir="R",
    IF(G3975+Table13[[#This Row],[Steps]]&gt;99,(G3975+Table13[[#This Row],[Steps]])-100,G3975+Table13[[#This Row],[Steps]]),
))</f>
        <v>0</v>
      </c>
      <c r="G3976">
        <f>IF(Table13[[#This Row],[New Pos L]]&lt;&gt;0,Table13[[#This Row],[New Pos L]],Table13[[#This Row],[New Pos R]])</f>
        <v>59</v>
      </c>
      <c r="H3976">
        <f>IF(AND(Table13[[#This Row],[Direction]]="L",Table13[[#This Row],[Steps]]&gt;G3975,G3975&lt;&gt;0),1,0)</f>
        <v>0</v>
      </c>
      <c r="I3976">
        <f>IF(AND(Table13[[#This Row],[Direction]]="R",(G3975+Table13[[#This Row],[Steps]])&gt;100),1,0)</f>
        <v>0</v>
      </c>
      <c r="J3976">
        <f>IF(Table13[[#This Row],[POS]]=0,1,0)</f>
        <v>0</v>
      </c>
      <c r="K3976">
        <f>SUM(Table13[[#This Row],[prefix]],Table13[[#This Row],[Past zero L]],Table13[[#This Row],[Past Zero R]],Table13[[#This Row],[Is Zero]])</f>
        <v>0</v>
      </c>
    </row>
    <row r="3977" spans="1:11" ht="16" x14ac:dyDescent="0.2">
      <c r="A3977" s="1" t="s">
        <v>167</v>
      </c>
      <c r="B3977" t="str">
        <f>LEFT(Table13[[#This Row],[Input]],1)</f>
        <v>L</v>
      </c>
      <c r="C3977">
        <f>_xlfn.LET(_xlpm.steps,SUBSTITUTE(Table13[[#This Row],[Input]],Table13[[#This Row],[Direction]],""),VALUE(IF(LEN(_xlpm.steps)&gt;2,RIGHT(_xlpm.steps,2),_xlpm.steps)))</f>
        <v>59</v>
      </c>
      <c r="D3977">
        <f>_xlfn.LET(_xlpm.steps,SUBSTITUTE(Table13[[#This Row],[Input]],Table13[[#This Row],[Direction]],""),VALUE(IF(LEN(_xlpm.steps)&gt;2,LEFT(_xlpm.steps,LEN(_xlpm.steps)-2),0)))</f>
        <v>0</v>
      </c>
      <c r="E3977">
        <f>_xlfn.LET(_xlpm.dir,Table13[[#This Row],[Direction]],
IF(_xlpm.dir="L",
    IF(G3976-Table13[[#This Row],[Steps]]&lt;0,100+(G3976-Table13[[#This Row],[Steps]]),G3976-Table13[[#This Row],[Steps]]),
))</f>
        <v>0</v>
      </c>
      <c r="F3977">
        <f>_xlfn.LET(_xlpm.dir,Table13[[#This Row],[Direction]],
IF(_xlpm.dir="R",
    IF(G3976+Table13[[#This Row],[Steps]]&gt;99,(G3976+Table13[[#This Row],[Steps]])-100,G3976+Table13[[#This Row],[Steps]]),
))</f>
        <v>0</v>
      </c>
      <c r="G3977">
        <f>IF(Table13[[#This Row],[New Pos L]]&lt;&gt;0,Table13[[#This Row],[New Pos L]],Table13[[#This Row],[New Pos R]])</f>
        <v>0</v>
      </c>
      <c r="H3977">
        <f>IF(AND(Table13[[#This Row],[Direction]]="L",Table13[[#This Row],[Steps]]&gt;G3976,G3976&lt;&gt;0),1,0)</f>
        <v>0</v>
      </c>
      <c r="I3977">
        <f>IF(AND(Table13[[#This Row],[Direction]]="R",(G3976+Table13[[#This Row],[Steps]])&gt;100),1,0)</f>
        <v>0</v>
      </c>
      <c r="J3977">
        <f>IF(Table13[[#This Row],[POS]]=0,1,0)</f>
        <v>1</v>
      </c>
      <c r="K3977">
        <f>SUM(Table13[[#This Row],[prefix]],Table13[[#This Row],[Past zero L]],Table13[[#This Row],[Past Zero R]],Table13[[#This Row],[Is Zero]])</f>
        <v>1</v>
      </c>
    </row>
    <row r="3978" spans="1:11" ht="16" x14ac:dyDescent="0.2">
      <c r="A3978" s="1" t="s">
        <v>223</v>
      </c>
      <c r="B3978" t="str">
        <f>LEFT(Table13[[#This Row],[Input]],1)</f>
        <v>L</v>
      </c>
      <c r="C3978">
        <f>_xlfn.LET(_xlpm.steps,SUBSTITUTE(Table13[[#This Row],[Input]],Table13[[#This Row],[Direction]],""),VALUE(IF(LEN(_xlpm.steps)&gt;2,RIGHT(_xlpm.steps,2),_xlpm.steps)))</f>
        <v>87</v>
      </c>
      <c r="D3978">
        <f>_xlfn.LET(_xlpm.steps,SUBSTITUTE(Table13[[#This Row],[Input]],Table13[[#This Row],[Direction]],""),VALUE(IF(LEN(_xlpm.steps)&gt;2,LEFT(_xlpm.steps,LEN(_xlpm.steps)-2),0)))</f>
        <v>0</v>
      </c>
      <c r="E3978">
        <f>_xlfn.LET(_xlpm.dir,Table13[[#This Row],[Direction]],
IF(_xlpm.dir="L",
    IF(G3977-Table13[[#This Row],[Steps]]&lt;0,100+(G3977-Table13[[#This Row],[Steps]]),G3977-Table13[[#This Row],[Steps]]),
))</f>
        <v>13</v>
      </c>
      <c r="F3978">
        <f>_xlfn.LET(_xlpm.dir,Table13[[#This Row],[Direction]],
IF(_xlpm.dir="R",
    IF(G3977+Table13[[#This Row],[Steps]]&gt;99,(G3977+Table13[[#This Row],[Steps]])-100,G3977+Table13[[#This Row],[Steps]]),
))</f>
        <v>0</v>
      </c>
      <c r="G3978">
        <f>IF(Table13[[#This Row],[New Pos L]]&lt;&gt;0,Table13[[#This Row],[New Pos L]],Table13[[#This Row],[New Pos R]])</f>
        <v>13</v>
      </c>
      <c r="H3978">
        <f>IF(AND(Table13[[#This Row],[Direction]]="L",Table13[[#This Row],[Steps]]&gt;G3977,G3977&lt;&gt;0),1,0)</f>
        <v>0</v>
      </c>
      <c r="I3978">
        <f>IF(AND(Table13[[#This Row],[Direction]]="R",(G3977+Table13[[#This Row],[Steps]])&gt;100),1,0)</f>
        <v>0</v>
      </c>
      <c r="J3978">
        <f>IF(Table13[[#This Row],[POS]]=0,1,0)</f>
        <v>0</v>
      </c>
      <c r="K3978">
        <f>SUM(Table13[[#This Row],[prefix]],Table13[[#This Row],[Past zero L]],Table13[[#This Row],[Past Zero R]],Table13[[#This Row],[Is Zero]])</f>
        <v>0</v>
      </c>
    </row>
    <row r="3979" spans="1:11" ht="16" x14ac:dyDescent="0.2">
      <c r="A3979" s="1" t="s">
        <v>138</v>
      </c>
      <c r="B3979" t="str">
        <f>LEFT(Table13[[#This Row],[Input]],1)</f>
        <v>L</v>
      </c>
      <c r="C3979">
        <f>_xlfn.LET(_xlpm.steps,SUBSTITUTE(Table13[[#This Row],[Input]],Table13[[#This Row],[Direction]],""),VALUE(IF(LEN(_xlpm.steps)&gt;2,RIGHT(_xlpm.steps,2),_xlpm.steps)))</f>
        <v>94</v>
      </c>
      <c r="D3979">
        <f>_xlfn.LET(_xlpm.steps,SUBSTITUTE(Table13[[#This Row],[Input]],Table13[[#This Row],[Direction]],""),VALUE(IF(LEN(_xlpm.steps)&gt;2,LEFT(_xlpm.steps,LEN(_xlpm.steps)-2),0)))</f>
        <v>0</v>
      </c>
      <c r="E3979">
        <f>_xlfn.LET(_xlpm.dir,Table13[[#This Row],[Direction]],
IF(_xlpm.dir="L",
    IF(G3978-Table13[[#This Row],[Steps]]&lt;0,100+(G3978-Table13[[#This Row],[Steps]]),G3978-Table13[[#This Row],[Steps]]),
))</f>
        <v>19</v>
      </c>
      <c r="F3979">
        <f>_xlfn.LET(_xlpm.dir,Table13[[#This Row],[Direction]],
IF(_xlpm.dir="R",
    IF(G3978+Table13[[#This Row],[Steps]]&gt;99,(G3978+Table13[[#This Row],[Steps]])-100,G3978+Table13[[#This Row],[Steps]]),
))</f>
        <v>0</v>
      </c>
      <c r="G3979">
        <f>IF(Table13[[#This Row],[New Pos L]]&lt;&gt;0,Table13[[#This Row],[New Pos L]],Table13[[#This Row],[New Pos R]])</f>
        <v>19</v>
      </c>
      <c r="H3979">
        <f>IF(AND(Table13[[#This Row],[Direction]]="L",Table13[[#This Row],[Steps]]&gt;G3978,G3978&lt;&gt;0),1,0)</f>
        <v>1</v>
      </c>
      <c r="I3979">
        <f>IF(AND(Table13[[#This Row],[Direction]]="R",(G3978+Table13[[#This Row],[Steps]])&gt;100),1,0)</f>
        <v>0</v>
      </c>
      <c r="J3979">
        <f>IF(Table13[[#This Row],[POS]]=0,1,0)</f>
        <v>0</v>
      </c>
      <c r="K3979">
        <f>SUM(Table13[[#This Row],[prefix]],Table13[[#This Row],[Past zero L]],Table13[[#This Row],[Past Zero R]],Table13[[#This Row],[Is Zero]])</f>
        <v>1</v>
      </c>
    </row>
    <row r="3980" spans="1:11" ht="16" x14ac:dyDescent="0.2">
      <c r="A3980" s="1" t="s">
        <v>822</v>
      </c>
      <c r="B3980" t="str">
        <f>LEFT(Table13[[#This Row],[Input]],1)</f>
        <v>R</v>
      </c>
      <c r="C3980">
        <f>_xlfn.LET(_xlpm.steps,SUBSTITUTE(Table13[[#This Row],[Input]],Table13[[#This Row],[Direction]],""),VALUE(IF(LEN(_xlpm.steps)&gt;2,RIGHT(_xlpm.steps,2),_xlpm.steps)))</f>
        <v>25</v>
      </c>
      <c r="D3980">
        <f>_xlfn.LET(_xlpm.steps,SUBSTITUTE(Table13[[#This Row],[Input]],Table13[[#This Row],[Direction]],""),VALUE(IF(LEN(_xlpm.steps)&gt;2,LEFT(_xlpm.steps,LEN(_xlpm.steps)-2),0)))</f>
        <v>8</v>
      </c>
      <c r="E3980">
        <f>_xlfn.LET(_xlpm.dir,Table13[[#This Row],[Direction]],
IF(_xlpm.dir="L",
    IF(G3979-Table13[[#This Row],[Steps]]&lt;0,100+(G3979-Table13[[#This Row],[Steps]]),G3979-Table13[[#This Row],[Steps]]),
))</f>
        <v>0</v>
      </c>
      <c r="F3980">
        <f>_xlfn.LET(_xlpm.dir,Table13[[#This Row],[Direction]],
IF(_xlpm.dir="R",
    IF(G3979+Table13[[#This Row],[Steps]]&gt;99,(G3979+Table13[[#This Row],[Steps]])-100,G3979+Table13[[#This Row],[Steps]]),
))</f>
        <v>44</v>
      </c>
      <c r="G3980">
        <f>IF(Table13[[#This Row],[New Pos L]]&lt;&gt;0,Table13[[#This Row],[New Pos L]],Table13[[#This Row],[New Pos R]])</f>
        <v>44</v>
      </c>
      <c r="H3980">
        <f>IF(AND(Table13[[#This Row],[Direction]]="L",Table13[[#This Row],[Steps]]&gt;G3979,G3979&lt;&gt;0),1,0)</f>
        <v>0</v>
      </c>
      <c r="I3980">
        <f>IF(AND(Table13[[#This Row],[Direction]]="R",(G3979+Table13[[#This Row],[Steps]])&gt;100),1,0)</f>
        <v>0</v>
      </c>
      <c r="J3980">
        <f>IF(Table13[[#This Row],[POS]]=0,1,0)</f>
        <v>0</v>
      </c>
      <c r="K3980">
        <f>SUM(Table13[[#This Row],[prefix]],Table13[[#This Row],[Past zero L]],Table13[[#This Row],[Past Zero R]],Table13[[#This Row],[Is Zero]])</f>
        <v>8</v>
      </c>
    </row>
    <row r="3981" spans="1:11" ht="16" x14ac:dyDescent="0.2">
      <c r="A3981" s="1" t="s">
        <v>37</v>
      </c>
      <c r="B3981" t="str">
        <f>LEFT(Table13[[#This Row],[Input]],1)</f>
        <v>L</v>
      </c>
      <c r="C3981">
        <f>_xlfn.LET(_xlpm.steps,SUBSTITUTE(Table13[[#This Row],[Input]],Table13[[#This Row],[Direction]],""),VALUE(IF(LEN(_xlpm.steps)&gt;2,RIGHT(_xlpm.steps,2),_xlpm.steps)))</f>
        <v>42</v>
      </c>
      <c r="D3981">
        <f>_xlfn.LET(_xlpm.steps,SUBSTITUTE(Table13[[#This Row],[Input]],Table13[[#This Row],[Direction]],""),VALUE(IF(LEN(_xlpm.steps)&gt;2,LEFT(_xlpm.steps,LEN(_xlpm.steps)-2),0)))</f>
        <v>0</v>
      </c>
      <c r="E3981">
        <f>_xlfn.LET(_xlpm.dir,Table13[[#This Row],[Direction]],
IF(_xlpm.dir="L",
    IF(G3980-Table13[[#This Row],[Steps]]&lt;0,100+(G3980-Table13[[#This Row],[Steps]]),G3980-Table13[[#This Row],[Steps]]),
))</f>
        <v>2</v>
      </c>
      <c r="F3981">
        <f>_xlfn.LET(_xlpm.dir,Table13[[#This Row],[Direction]],
IF(_xlpm.dir="R",
    IF(G3980+Table13[[#This Row],[Steps]]&gt;99,(G3980+Table13[[#This Row],[Steps]])-100,G3980+Table13[[#This Row],[Steps]]),
))</f>
        <v>0</v>
      </c>
      <c r="G3981">
        <f>IF(Table13[[#This Row],[New Pos L]]&lt;&gt;0,Table13[[#This Row],[New Pos L]],Table13[[#This Row],[New Pos R]])</f>
        <v>2</v>
      </c>
      <c r="H3981">
        <f>IF(AND(Table13[[#This Row],[Direction]]="L",Table13[[#This Row],[Steps]]&gt;G3980,G3980&lt;&gt;0),1,0)</f>
        <v>0</v>
      </c>
      <c r="I3981">
        <f>IF(AND(Table13[[#This Row],[Direction]]="R",(G3980+Table13[[#This Row],[Steps]])&gt;100),1,0)</f>
        <v>0</v>
      </c>
      <c r="J3981">
        <f>IF(Table13[[#This Row],[POS]]=0,1,0)</f>
        <v>0</v>
      </c>
      <c r="K3981">
        <f>SUM(Table13[[#This Row],[prefix]],Table13[[#This Row],[Past zero L]],Table13[[#This Row],[Past Zero R]],Table13[[#This Row],[Is Zero]])</f>
        <v>0</v>
      </c>
    </row>
    <row r="3982" spans="1:11" ht="16" x14ac:dyDescent="0.2">
      <c r="A3982" s="1" t="s">
        <v>319</v>
      </c>
      <c r="B3982" t="str">
        <f>LEFT(Table13[[#This Row],[Input]],1)</f>
        <v>L</v>
      </c>
      <c r="C3982">
        <f>_xlfn.LET(_xlpm.steps,SUBSTITUTE(Table13[[#This Row],[Input]],Table13[[#This Row],[Direction]],""),VALUE(IF(LEN(_xlpm.steps)&gt;2,RIGHT(_xlpm.steps,2),_xlpm.steps)))</f>
        <v>79</v>
      </c>
      <c r="D3982">
        <f>_xlfn.LET(_xlpm.steps,SUBSTITUTE(Table13[[#This Row],[Input]],Table13[[#This Row],[Direction]],""),VALUE(IF(LEN(_xlpm.steps)&gt;2,LEFT(_xlpm.steps,LEN(_xlpm.steps)-2),0)))</f>
        <v>0</v>
      </c>
      <c r="E3982">
        <f>_xlfn.LET(_xlpm.dir,Table13[[#This Row],[Direction]],
IF(_xlpm.dir="L",
    IF(G3981-Table13[[#This Row],[Steps]]&lt;0,100+(G3981-Table13[[#This Row],[Steps]]),G3981-Table13[[#This Row],[Steps]]),
))</f>
        <v>23</v>
      </c>
      <c r="F3982">
        <f>_xlfn.LET(_xlpm.dir,Table13[[#This Row],[Direction]],
IF(_xlpm.dir="R",
    IF(G3981+Table13[[#This Row],[Steps]]&gt;99,(G3981+Table13[[#This Row],[Steps]])-100,G3981+Table13[[#This Row],[Steps]]),
))</f>
        <v>0</v>
      </c>
      <c r="G3982">
        <f>IF(Table13[[#This Row],[New Pos L]]&lt;&gt;0,Table13[[#This Row],[New Pos L]],Table13[[#This Row],[New Pos R]])</f>
        <v>23</v>
      </c>
      <c r="H3982">
        <f>IF(AND(Table13[[#This Row],[Direction]]="L",Table13[[#This Row],[Steps]]&gt;G3981,G3981&lt;&gt;0),1,0)</f>
        <v>1</v>
      </c>
      <c r="I3982">
        <f>IF(AND(Table13[[#This Row],[Direction]]="R",(G3981+Table13[[#This Row],[Steps]])&gt;100),1,0)</f>
        <v>0</v>
      </c>
      <c r="J3982">
        <f>IF(Table13[[#This Row],[POS]]=0,1,0)</f>
        <v>0</v>
      </c>
      <c r="K3982">
        <f>SUM(Table13[[#This Row],[prefix]],Table13[[#This Row],[Past zero L]],Table13[[#This Row],[Past Zero R]],Table13[[#This Row],[Is Zero]])</f>
        <v>1</v>
      </c>
    </row>
    <row r="3983" spans="1:11" ht="16" x14ac:dyDescent="0.2">
      <c r="A3983" s="1" t="s">
        <v>205</v>
      </c>
      <c r="B3983" t="str">
        <f>LEFT(Table13[[#This Row],[Input]],1)</f>
        <v>R</v>
      </c>
      <c r="C3983">
        <f>_xlfn.LET(_xlpm.steps,SUBSTITUTE(Table13[[#This Row],[Input]],Table13[[#This Row],[Direction]],""),VALUE(IF(LEN(_xlpm.steps)&gt;2,RIGHT(_xlpm.steps,2),_xlpm.steps)))</f>
        <v>83</v>
      </c>
      <c r="D3983">
        <f>_xlfn.LET(_xlpm.steps,SUBSTITUTE(Table13[[#This Row],[Input]],Table13[[#This Row],[Direction]],""),VALUE(IF(LEN(_xlpm.steps)&gt;2,LEFT(_xlpm.steps,LEN(_xlpm.steps)-2),0)))</f>
        <v>0</v>
      </c>
      <c r="E3983">
        <f>_xlfn.LET(_xlpm.dir,Table13[[#This Row],[Direction]],
IF(_xlpm.dir="L",
    IF(G3982-Table13[[#This Row],[Steps]]&lt;0,100+(G3982-Table13[[#This Row],[Steps]]),G3982-Table13[[#This Row],[Steps]]),
))</f>
        <v>0</v>
      </c>
      <c r="F3983">
        <f>_xlfn.LET(_xlpm.dir,Table13[[#This Row],[Direction]],
IF(_xlpm.dir="R",
    IF(G3982+Table13[[#This Row],[Steps]]&gt;99,(G3982+Table13[[#This Row],[Steps]])-100,G3982+Table13[[#This Row],[Steps]]),
))</f>
        <v>6</v>
      </c>
      <c r="G3983">
        <f>IF(Table13[[#This Row],[New Pos L]]&lt;&gt;0,Table13[[#This Row],[New Pos L]],Table13[[#This Row],[New Pos R]])</f>
        <v>6</v>
      </c>
      <c r="H3983">
        <f>IF(AND(Table13[[#This Row],[Direction]]="L",Table13[[#This Row],[Steps]]&gt;G3982,G3982&lt;&gt;0),1,0)</f>
        <v>0</v>
      </c>
      <c r="I3983">
        <f>IF(AND(Table13[[#This Row],[Direction]]="R",(G3982+Table13[[#This Row],[Steps]])&gt;100),1,0)</f>
        <v>1</v>
      </c>
      <c r="J3983">
        <f>IF(Table13[[#This Row],[POS]]=0,1,0)</f>
        <v>0</v>
      </c>
      <c r="K3983">
        <f>SUM(Table13[[#This Row],[prefix]],Table13[[#This Row],[Past zero L]],Table13[[#This Row],[Past Zero R]],Table13[[#This Row],[Is Zero]])</f>
        <v>1</v>
      </c>
    </row>
    <row r="3984" spans="1:11" ht="16" x14ac:dyDescent="0.2">
      <c r="A3984" s="1" t="s">
        <v>253</v>
      </c>
      <c r="B3984" t="str">
        <f>LEFT(Table13[[#This Row],[Input]],1)</f>
        <v>R</v>
      </c>
      <c r="C3984">
        <f>_xlfn.LET(_xlpm.steps,SUBSTITUTE(Table13[[#This Row],[Input]],Table13[[#This Row],[Direction]],""),VALUE(IF(LEN(_xlpm.steps)&gt;2,RIGHT(_xlpm.steps,2),_xlpm.steps)))</f>
        <v>94</v>
      </c>
      <c r="D3984">
        <f>_xlfn.LET(_xlpm.steps,SUBSTITUTE(Table13[[#This Row],[Input]],Table13[[#This Row],[Direction]],""),VALUE(IF(LEN(_xlpm.steps)&gt;2,LEFT(_xlpm.steps,LEN(_xlpm.steps)-2),0)))</f>
        <v>0</v>
      </c>
      <c r="E3984">
        <f>_xlfn.LET(_xlpm.dir,Table13[[#This Row],[Direction]],
IF(_xlpm.dir="L",
    IF(G3983-Table13[[#This Row],[Steps]]&lt;0,100+(G3983-Table13[[#This Row],[Steps]]),G3983-Table13[[#This Row],[Steps]]),
))</f>
        <v>0</v>
      </c>
      <c r="F3984">
        <f>_xlfn.LET(_xlpm.dir,Table13[[#This Row],[Direction]],
IF(_xlpm.dir="R",
    IF(G3983+Table13[[#This Row],[Steps]]&gt;99,(G3983+Table13[[#This Row],[Steps]])-100,G3983+Table13[[#This Row],[Steps]]),
))</f>
        <v>0</v>
      </c>
      <c r="G3984">
        <f>IF(Table13[[#This Row],[New Pos L]]&lt;&gt;0,Table13[[#This Row],[New Pos L]],Table13[[#This Row],[New Pos R]])</f>
        <v>0</v>
      </c>
      <c r="H3984">
        <f>IF(AND(Table13[[#This Row],[Direction]]="L",Table13[[#This Row],[Steps]]&gt;G3983,G3983&lt;&gt;0),1,0)</f>
        <v>0</v>
      </c>
      <c r="I3984">
        <f>IF(AND(Table13[[#This Row],[Direction]]="R",(G3983+Table13[[#This Row],[Steps]])&gt;100),1,0)</f>
        <v>0</v>
      </c>
      <c r="J3984">
        <f>IF(Table13[[#This Row],[POS]]=0,1,0)</f>
        <v>1</v>
      </c>
      <c r="K3984">
        <f>SUM(Table13[[#This Row],[prefix]],Table13[[#This Row],[Past zero L]],Table13[[#This Row],[Past Zero R]],Table13[[#This Row],[Is Zero]])</f>
        <v>1</v>
      </c>
    </row>
    <row r="3985" spans="1:11" ht="16" x14ac:dyDescent="0.2">
      <c r="A3985" s="1" t="s">
        <v>181</v>
      </c>
      <c r="B3985" t="str">
        <f>LEFT(Table13[[#This Row],[Input]],1)</f>
        <v>L</v>
      </c>
      <c r="C3985">
        <f>_xlfn.LET(_xlpm.steps,SUBSTITUTE(Table13[[#This Row],[Input]],Table13[[#This Row],[Direction]],""),VALUE(IF(LEN(_xlpm.steps)&gt;2,RIGHT(_xlpm.steps,2),_xlpm.steps)))</f>
        <v>53</v>
      </c>
      <c r="D3985">
        <f>_xlfn.LET(_xlpm.steps,SUBSTITUTE(Table13[[#This Row],[Input]],Table13[[#This Row],[Direction]],""),VALUE(IF(LEN(_xlpm.steps)&gt;2,LEFT(_xlpm.steps,LEN(_xlpm.steps)-2),0)))</f>
        <v>0</v>
      </c>
      <c r="E3985">
        <f>_xlfn.LET(_xlpm.dir,Table13[[#This Row],[Direction]],
IF(_xlpm.dir="L",
    IF(G3984-Table13[[#This Row],[Steps]]&lt;0,100+(G3984-Table13[[#This Row],[Steps]]),G3984-Table13[[#This Row],[Steps]]),
))</f>
        <v>47</v>
      </c>
      <c r="F3985">
        <f>_xlfn.LET(_xlpm.dir,Table13[[#This Row],[Direction]],
IF(_xlpm.dir="R",
    IF(G3984+Table13[[#This Row],[Steps]]&gt;99,(G3984+Table13[[#This Row],[Steps]])-100,G3984+Table13[[#This Row],[Steps]]),
))</f>
        <v>0</v>
      </c>
      <c r="G3985">
        <f>IF(Table13[[#This Row],[New Pos L]]&lt;&gt;0,Table13[[#This Row],[New Pos L]],Table13[[#This Row],[New Pos R]])</f>
        <v>47</v>
      </c>
      <c r="H3985">
        <f>IF(AND(Table13[[#This Row],[Direction]]="L",Table13[[#This Row],[Steps]]&gt;G3984,G3984&lt;&gt;0),1,0)</f>
        <v>0</v>
      </c>
      <c r="I3985">
        <f>IF(AND(Table13[[#This Row],[Direction]]="R",(G3984+Table13[[#This Row],[Steps]])&gt;100),1,0)</f>
        <v>0</v>
      </c>
      <c r="J3985">
        <f>IF(Table13[[#This Row],[POS]]=0,1,0)</f>
        <v>0</v>
      </c>
      <c r="K3985">
        <f>SUM(Table13[[#This Row],[prefix]],Table13[[#This Row],[Past zero L]],Table13[[#This Row],[Past Zero R]],Table13[[#This Row],[Is Zero]])</f>
        <v>0</v>
      </c>
    </row>
    <row r="3986" spans="1:11" ht="16" x14ac:dyDescent="0.2">
      <c r="A3986" s="1" t="s">
        <v>129</v>
      </c>
      <c r="B3986" t="str">
        <f>LEFT(Table13[[#This Row],[Input]],1)</f>
        <v>R</v>
      </c>
      <c r="C3986">
        <f>_xlfn.LET(_xlpm.steps,SUBSTITUTE(Table13[[#This Row],[Input]],Table13[[#This Row],[Direction]],""),VALUE(IF(LEN(_xlpm.steps)&gt;2,RIGHT(_xlpm.steps,2),_xlpm.steps)))</f>
        <v>8</v>
      </c>
      <c r="D3986">
        <f>_xlfn.LET(_xlpm.steps,SUBSTITUTE(Table13[[#This Row],[Input]],Table13[[#This Row],[Direction]],""),VALUE(IF(LEN(_xlpm.steps)&gt;2,LEFT(_xlpm.steps,LEN(_xlpm.steps)-2),0)))</f>
        <v>0</v>
      </c>
      <c r="E3986">
        <f>_xlfn.LET(_xlpm.dir,Table13[[#This Row],[Direction]],
IF(_xlpm.dir="L",
    IF(G3985-Table13[[#This Row],[Steps]]&lt;0,100+(G3985-Table13[[#This Row],[Steps]]),G3985-Table13[[#This Row],[Steps]]),
))</f>
        <v>0</v>
      </c>
      <c r="F3986">
        <f>_xlfn.LET(_xlpm.dir,Table13[[#This Row],[Direction]],
IF(_xlpm.dir="R",
    IF(G3985+Table13[[#This Row],[Steps]]&gt;99,(G3985+Table13[[#This Row],[Steps]])-100,G3985+Table13[[#This Row],[Steps]]),
))</f>
        <v>55</v>
      </c>
      <c r="G3986">
        <f>IF(Table13[[#This Row],[New Pos L]]&lt;&gt;0,Table13[[#This Row],[New Pos L]],Table13[[#This Row],[New Pos R]])</f>
        <v>55</v>
      </c>
      <c r="H3986">
        <f>IF(AND(Table13[[#This Row],[Direction]]="L",Table13[[#This Row],[Steps]]&gt;G3985,G3985&lt;&gt;0),1,0)</f>
        <v>0</v>
      </c>
      <c r="I3986">
        <f>IF(AND(Table13[[#This Row],[Direction]]="R",(G3985+Table13[[#This Row],[Steps]])&gt;100),1,0)</f>
        <v>0</v>
      </c>
      <c r="J3986">
        <f>IF(Table13[[#This Row],[POS]]=0,1,0)</f>
        <v>0</v>
      </c>
      <c r="K3986">
        <f>SUM(Table13[[#This Row],[prefix]],Table13[[#This Row],[Past zero L]],Table13[[#This Row],[Past Zero R]],Table13[[#This Row],[Is Zero]])</f>
        <v>0</v>
      </c>
    </row>
    <row r="3987" spans="1:11" ht="16" x14ac:dyDescent="0.2">
      <c r="A3987" s="1" t="s">
        <v>66</v>
      </c>
      <c r="B3987" t="str">
        <f>LEFT(Table13[[#This Row],[Input]],1)</f>
        <v>R</v>
      </c>
      <c r="C3987">
        <f>_xlfn.LET(_xlpm.steps,SUBSTITUTE(Table13[[#This Row],[Input]],Table13[[#This Row],[Direction]],""),VALUE(IF(LEN(_xlpm.steps)&gt;2,RIGHT(_xlpm.steps,2),_xlpm.steps)))</f>
        <v>45</v>
      </c>
      <c r="D3987">
        <f>_xlfn.LET(_xlpm.steps,SUBSTITUTE(Table13[[#This Row],[Input]],Table13[[#This Row],[Direction]],""),VALUE(IF(LEN(_xlpm.steps)&gt;2,LEFT(_xlpm.steps,LEN(_xlpm.steps)-2),0)))</f>
        <v>0</v>
      </c>
      <c r="E3987">
        <f>_xlfn.LET(_xlpm.dir,Table13[[#This Row],[Direction]],
IF(_xlpm.dir="L",
    IF(G3986-Table13[[#This Row],[Steps]]&lt;0,100+(G3986-Table13[[#This Row],[Steps]]),G3986-Table13[[#This Row],[Steps]]),
))</f>
        <v>0</v>
      </c>
      <c r="F3987">
        <f>_xlfn.LET(_xlpm.dir,Table13[[#This Row],[Direction]],
IF(_xlpm.dir="R",
    IF(G3986+Table13[[#This Row],[Steps]]&gt;99,(G3986+Table13[[#This Row],[Steps]])-100,G3986+Table13[[#This Row],[Steps]]),
))</f>
        <v>0</v>
      </c>
      <c r="G3987">
        <f>IF(Table13[[#This Row],[New Pos L]]&lt;&gt;0,Table13[[#This Row],[New Pos L]],Table13[[#This Row],[New Pos R]])</f>
        <v>0</v>
      </c>
      <c r="H3987">
        <f>IF(AND(Table13[[#This Row],[Direction]]="L",Table13[[#This Row],[Steps]]&gt;G3986,G3986&lt;&gt;0),1,0)</f>
        <v>0</v>
      </c>
      <c r="I3987">
        <f>IF(AND(Table13[[#This Row],[Direction]]="R",(G3986+Table13[[#This Row],[Steps]])&gt;100),1,0)</f>
        <v>0</v>
      </c>
      <c r="J3987">
        <f>IF(Table13[[#This Row],[POS]]=0,1,0)</f>
        <v>1</v>
      </c>
      <c r="K3987">
        <f>SUM(Table13[[#This Row],[prefix]],Table13[[#This Row],[Past zero L]],Table13[[#This Row],[Past Zero R]],Table13[[#This Row],[Is Zero]])</f>
        <v>1</v>
      </c>
    </row>
    <row r="3988" spans="1:11" ht="16" x14ac:dyDescent="0.2">
      <c r="A3988" s="1" t="s">
        <v>84</v>
      </c>
      <c r="B3988" t="str">
        <f>LEFT(Table13[[#This Row],[Input]],1)</f>
        <v>R</v>
      </c>
      <c r="C3988">
        <f>_xlfn.LET(_xlpm.steps,SUBSTITUTE(Table13[[#This Row],[Input]],Table13[[#This Row],[Direction]],""),VALUE(IF(LEN(_xlpm.steps)&gt;2,RIGHT(_xlpm.steps,2),_xlpm.steps)))</f>
        <v>88</v>
      </c>
      <c r="D3988">
        <f>_xlfn.LET(_xlpm.steps,SUBSTITUTE(Table13[[#This Row],[Input]],Table13[[#This Row],[Direction]],""),VALUE(IF(LEN(_xlpm.steps)&gt;2,LEFT(_xlpm.steps,LEN(_xlpm.steps)-2),0)))</f>
        <v>0</v>
      </c>
      <c r="E3988">
        <f>_xlfn.LET(_xlpm.dir,Table13[[#This Row],[Direction]],
IF(_xlpm.dir="L",
    IF(G3987-Table13[[#This Row],[Steps]]&lt;0,100+(G3987-Table13[[#This Row],[Steps]]),G3987-Table13[[#This Row],[Steps]]),
))</f>
        <v>0</v>
      </c>
      <c r="F3988">
        <f>_xlfn.LET(_xlpm.dir,Table13[[#This Row],[Direction]],
IF(_xlpm.dir="R",
    IF(G3987+Table13[[#This Row],[Steps]]&gt;99,(G3987+Table13[[#This Row],[Steps]])-100,G3987+Table13[[#This Row],[Steps]]),
))</f>
        <v>88</v>
      </c>
      <c r="G3988">
        <f>IF(Table13[[#This Row],[New Pos L]]&lt;&gt;0,Table13[[#This Row],[New Pos L]],Table13[[#This Row],[New Pos R]])</f>
        <v>88</v>
      </c>
      <c r="H3988">
        <f>IF(AND(Table13[[#This Row],[Direction]]="L",Table13[[#This Row],[Steps]]&gt;G3987,G3987&lt;&gt;0),1,0)</f>
        <v>0</v>
      </c>
      <c r="I3988">
        <f>IF(AND(Table13[[#This Row],[Direction]]="R",(G3987+Table13[[#This Row],[Steps]])&gt;100),1,0)</f>
        <v>0</v>
      </c>
      <c r="J3988">
        <f>IF(Table13[[#This Row],[POS]]=0,1,0)</f>
        <v>0</v>
      </c>
      <c r="K3988">
        <f>SUM(Table13[[#This Row],[prefix]],Table13[[#This Row],[Past zero L]],Table13[[#This Row],[Past Zero R]],Table13[[#This Row],[Is Zero]])</f>
        <v>0</v>
      </c>
    </row>
    <row r="3989" spans="1:11" ht="16" x14ac:dyDescent="0.2">
      <c r="A3989" s="1" t="s">
        <v>363</v>
      </c>
      <c r="B3989" t="str">
        <f>LEFT(Table13[[#This Row],[Input]],1)</f>
        <v>R</v>
      </c>
      <c r="C3989">
        <f>_xlfn.LET(_xlpm.steps,SUBSTITUTE(Table13[[#This Row],[Input]],Table13[[#This Row],[Direction]],""),VALUE(IF(LEN(_xlpm.steps)&gt;2,RIGHT(_xlpm.steps,2),_xlpm.steps)))</f>
        <v>63</v>
      </c>
      <c r="D3989">
        <f>_xlfn.LET(_xlpm.steps,SUBSTITUTE(Table13[[#This Row],[Input]],Table13[[#This Row],[Direction]],""),VALUE(IF(LEN(_xlpm.steps)&gt;2,LEFT(_xlpm.steps,LEN(_xlpm.steps)-2),0)))</f>
        <v>0</v>
      </c>
      <c r="E3989">
        <f>_xlfn.LET(_xlpm.dir,Table13[[#This Row],[Direction]],
IF(_xlpm.dir="L",
    IF(G3988-Table13[[#This Row],[Steps]]&lt;0,100+(G3988-Table13[[#This Row],[Steps]]),G3988-Table13[[#This Row],[Steps]]),
))</f>
        <v>0</v>
      </c>
      <c r="F3989">
        <f>_xlfn.LET(_xlpm.dir,Table13[[#This Row],[Direction]],
IF(_xlpm.dir="R",
    IF(G3988+Table13[[#This Row],[Steps]]&gt;99,(G3988+Table13[[#This Row],[Steps]])-100,G3988+Table13[[#This Row],[Steps]]),
))</f>
        <v>51</v>
      </c>
      <c r="G3989">
        <f>IF(Table13[[#This Row],[New Pos L]]&lt;&gt;0,Table13[[#This Row],[New Pos L]],Table13[[#This Row],[New Pos R]])</f>
        <v>51</v>
      </c>
      <c r="H3989">
        <f>IF(AND(Table13[[#This Row],[Direction]]="L",Table13[[#This Row],[Steps]]&gt;G3988,G3988&lt;&gt;0),1,0)</f>
        <v>0</v>
      </c>
      <c r="I3989">
        <f>IF(AND(Table13[[#This Row],[Direction]]="R",(G3988+Table13[[#This Row],[Steps]])&gt;100),1,0)</f>
        <v>1</v>
      </c>
      <c r="J3989">
        <f>IF(Table13[[#This Row],[POS]]=0,1,0)</f>
        <v>0</v>
      </c>
      <c r="K3989">
        <f>SUM(Table13[[#This Row],[prefix]],Table13[[#This Row],[Past zero L]],Table13[[#This Row],[Past Zero R]],Table13[[#This Row],[Is Zero]])</f>
        <v>1</v>
      </c>
    </row>
    <row r="3990" spans="1:11" ht="16" x14ac:dyDescent="0.2">
      <c r="A3990" s="1" t="s">
        <v>128</v>
      </c>
      <c r="B3990" t="str">
        <f>LEFT(Table13[[#This Row],[Input]],1)</f>
        <v>R</v>
      </c>
      <c r="C3990">
        <f>_xlfn.LET(_xlpm.steps,SUBSTITUTE(Table13[[#This Row],[Input]],Table13[[#This Row],[Direction]],""),VALUE(IF(LEN(_xlpm.steps)&gt;2,RIGHT(_xlpm.steps,2),_xlpm.steps)))</f>
        <v>92</v>
      </c>
      <c r="D3990">
        <f>_xlfn.LET(_xlpm.steps,SUBSTITUTE(Table13[[#This Row],[Input]],Table13[[#This Row],[Direction]],""),VALUE(IF(LEN(_xlpm.steps)&gt;2,LEFT(_xlpm.steps,LEN(_xlpm.steps)-2),0)))</f>
        <v>0</v>
      </c>
      <c r="E3990">
        <f>_xlfn.LET(_xlpm.dir,Table13[[#This Row],[Direction]],
IF(_xlpm.dir="L",
    IF(G3989-Table13[[#This Row],[Steps]]&lt;0,100+(G3989-Table13[[#This Row],[Steps]]),G3989-Table13[[#This Row],[Steps]]),
))</f>
        <v>0</v>
      </c>
      <c r="F3990">
        <f>_xlfn.LET(_xlpm.dir,Table13[[#This Row],[Direction]],
IF(_xlpm.dir="R",
    IF(G3989+Table13[[#This Row],[Steps]]&gt;99,(G3989+Table13[[#This Row],[Steps]])-100,G3989+Table13[[#This Row],[Steps]]),
))</f>
        <v>43</v>
      </c>
      <c r="G3990">
        <f>IF(Table13[[#This Row],[New Pos L]]&lt;&gt;0,Table13[[#This Row],[New Pos L]],Table13[[#This Row],[New Pos R]])</f>
        <v>43</v>
      </c>
      <c r="H3990">
        <f>IF(AND(Table13[[#This Row],[Direction]]="L",Table13[[#This Row],[Steps]]&gt;G3989,G3989&lt;&gt;0),1,0)</f>
        <v>0</v>
      </c>
      <c r="I3990">
        <f>IF(AND(Table13[[#This Row],[Direction]]="R",(G3989+Table13[[#This Row],[Steps]])&gt;100),1,0)</f>
        <v>1</v>
      </c>
      <c r="J3990">
        <f>IF(Table13[[#This Row],[POS]]=0,1,0)</f>
        <v>0</v>
      </c>
      <c r="K3990">
        <f>SUM(Table13[[#This Row],[prefix]],Table13[[#This Row],[Past zero L]],Table13[[#This Row],[Past Zero R]],Table13[[#This Row],[Is Zero]])</f>
        <v>1</v>
      </c>
    </row>
    <row r="3991" spans="1:11" ht="16" x14ac:dyDescent="0.2">
      <c r="A3991" s="1" t="s">
        <v>63</v>
      </c>
      <c r="B3991" t="str">
        <f>LEFT(Table13[[#This Row],[Input]],1)</f>
        <v>R</v>
      </c>
      <c r="C3991">
        <f>_xlfn.LET(_xlpm.steps,SUBSTITUTE(Table13[[#This Row],[Input]],Table13[[#This Row],[Direction]],""),VALUE(IF(LEN(_xlpm.steps)&gt;2,RIGHT(_xlpm.steps,2),_xlpm.steps)))</f>
        <v>57</v>
      </c>
      <c r="D3991">
        <f>_xlfn.LET(_xlpm.steps,SUBSTITUTE(Table13[[#This Row],[Input]],Table13[[#This Row],[Direction]],""),VALUE(IF(LEN(_xlpm.steps)&gt;2,LEFT(_xlpm.steps,LEN(_xlpm.steps)-2),0)))</f>
        <v>0</v>
      </c>
      <c r="E3991">
        <f>_xlfn.LET(_xlpm.dir,Table13[[#This Row],[Direction]],
IF(_xlpm.dir="L",
    IF(G3990-Table13[[#This Row],[Steps]]&lt;0,100+(G3990-Table13[[#This Row],[Steps]]),G3990-Table13[[#This Row],[Steps]]),
))</f>
        <v>0</v>
      </c>
      <c r="F3991">
        <f>_xlfn.LET(_xlpm.dir,Table13[[#This Row],[Direction]],
IF(_xlpm.dir="R",
    IF(G3990+Table13[[#This Row],[Steps]]&gt;99,(G3990+Table13[[#This Row],[Steps]])-100,G3990+Table13[[#This Row],[Steps]]),
))</f>
        <v>0</v>
      </c>
      <c r="G3991">
        <f>IF(Table13[[#This Row],[New Pos L]]&lt;&gt;0,Table13[[#This Row],[New Pos L]],Table13[[#This Row],[New Pos R]])</f>
        <v>0</v>
      </c>
      <c r="H3991">
        <f>IF(AND(Table13[[#This Row],[Direction]]="L",Table13[[#This Row],[Steps]]&gt;G3990,G3990&lt;&gt;0),1,0)</f>
        <v>0</v>
      </c>
      <c r="I3991">
        <f>IF(AND(Table13[[#This Row],[Direction]]="R",(G3990+Table13[[#This Row],[Steps]])&gt;100),1,0)</f>
        <v>0</v>
      </c>
      <c r="J3991">
        <f>IF(Table13[[#This Row],[POS]]=0,1,0)</f>
        <v>1</v>
      </c>
      <c r="K3991">
        <f>SUM(Table13[[#This Row],[prefix]],Table13[[#This Row],[Past zero L]],Table13[[#This Row],[Past Zero R]],Table13[[#This Row],[Is Zero]])</f>
        <v>1</v>
      </c>
    </row>
    <row r="3992" spans="1:11" ht="16" x14ac:dyDescent="0.2">
      <c r="A3992" s="1" t="s">
        <v>288</v>
      </c>
      <c r="B3992" t="str">
        <f>LEFT(Table13[[#This Row],[Input]],1)</f>
        <v>R</v>
      </c>
      <c r="C3992">
        <f>_xlfn.LET(_xlpm.steps,SUBSTITUTE(Table13[[#This Row],[Input]],Table13[[#This Row],[Direction]],""),VALUE(IF(LEN(_xlpm.steps)&gt;2,RIGHT(_xlpm.steps,2),_xlpm.steps)))</f>
        <v>25</v>
      </c>
      <c r="D3992">
        <f>_xlfn.LET(_xlpm.steps,SUBSTITUTE(Table13[[#This Row],[Input]],Table13[[#This Row],[Direction]],""),VALUE(IF(LEN(_xlpm.steps)&gt;2,LEFT(_xlpm.steps,LEN(_xlpm.steps)-2),0)))</f>
        <v>0</v>
      </c>
      <c r="E3992">
        <f>_xlfn.LET(_xlpm.dir,Table13[[#This Row],[Direction]],
IF(_xlpm.dir="L",
    IF(G3991-Table13[[#This Row],[Steps]]&lt;0,100+(G3991-Table13[[#This Row],[Steps]]),G3991-Table13[[#This Row],[Steps]]),
))</f>
        <v>0</v>
      </c>
      <c r="F3992">
        <f>_xlfn.LET(_xlpm.dir,Table13[[#This Row],[Direction]],
IF(_xlpm.dir="R",
    IF(G3991+Table13[[#This Row],[Steps]]&gt;99,(G3991+Table13[[#This Row],[Steps]])-100,G3991+Table13[[#This Row],[Steps]]),
))</f>
        <v>25</v>
      </c>
      <c r="G3992">
        <f>IF(Table13[[#This Row],[New Pos L]]&lt;&gt;0,Table13[[#This Row],[New Pos L]],Table13[[#This Row],[New Pos R]])</f>
        <v>25</v>
      </c>
      <c r="H3992">
        <f>IF(AND(Table13[[#This Row],[Direction]]="L",Table13[[#This Row],[Steps]]&gt;G3991,G3991&lt;&gt;0),1,0)</f>
        <v>0</v>
      </c>
      <c r="I3992">
        <f>IF(AND(Table13[[#This Row],[Direction]]="R",(G3991+Table13[[#This Row],[Steps]])&gt;100),1,0)</f>
        <v>0</v>
      </c>
      <c r="J3992">
        <f>IF(Table13[[#This Row],[POS]]=0,1,0)</f>
        <v>0</v>
      </c>
      <c r="K3992">
        <f>SUM(Table13[[#This Row],[prefix]],Table13[[#This Row],[Past zero L]],Table13[[#This Row],[Past Zero R]],Table13[[#This Row],[Is Zero]])</f>
        <v>0</v>
      </c>
    </row>
    <row r="3993" spans="1:11" ht="16" x14ac:dyDescent="0.2">
      <c r="A3993" s="1" t="s">
        <v>69</v>
      </c>
      <c r="B3993" t="str">
        <f>LEFT(Table13[[#This Row],[Input]],1)</f>
        <v>R</v>
      </c>
      <c r="C3993">
        <f>_xlfn.LET(_xlpm.steps,SUBSTITUTE(Table13[[#This Row],[Input]],Table13[[#This Row],[Direction]],""),VALUE(IF(LEN(_xlpm.steps)&gt;2,RIGHT(_xlpm.steps,2),_xlpm.steps)))</f>
        <v>27</v>
      </c>
      <c r="D3993">
        <f>_xlfn.LET(_xlpm.steps,SUBSTITUTE(Table13[[#This Row],[Input]],Table13[[#This Row],[Direction]],""),VALUE(IF(LEN(_xlpm.steps)&gt;2,LEFT(_xlpm.steps,LEN(_xlpm.steps)-2),0)))</f>
        <v>0</v>
      </c>
      <c r="E3993">
        <f>_xlfn.LET(_xlpm.dir,Table13[[#This Row],[Direction]],
IF(_xlpm.dir="L",
    IF(G3992-Table13[[#This Row],[Steps]]&lt;0,100+(G3992-Table13[[#This Row],[Steps]]),G3992-Table13[[#This Row],[Steps]]),
))</f>
        <v>0</v>
      </c>
      <c r="F3993">
        <f>_xlfn.LET(_xlpm.dir,Table13[[#This Row],[Direction]],
IF(_xlpm.dir="R",
    IF(G3992+Table13[[#This Row],[Steps]]&gt;99,(G3992+Table13[[#This Row],[Steps]])-100,G3992+Table13[[#This Row],[Steps]]),
))</f>
        <v>52</v>
      </c>
      <c r="G3993">
        <f>IF(Table13[[#This Row],[New Pos L]]&lt;&gt;0,Table13[[#This Row],[New Pos L]],Table13[[#This Row],[New Pos R]])</f>
        <v>52</v>
      </c>
      <c r="H3993">
        <f>IF(AND(Table13[[#This Row],[Direction]]="L",Table13[[#This Row],[Steps]]&gt;G3992,G3992&lt;&gt;0),1,0)</f>
        <v>0</v>
      </c>
      <c r="I3993">
        <f>IF(AND(Table13[[#This Row],[Direction]]="R",(G3992+Table13[[#This Row],[Steps]])&gt;100),1,0)</f>
        <v>0</v>
      </c>
      <c r="J3993">
        <f>IF(Table13[[#This Row],[POS]]=0,1,0)</f>
        <v>0</v>
      </c>
      <c r="K3993">
        <f>SUM(Table13[[#This Row],[prefix]],Table13[[#This Row],[Past zero L]],Table13[[#This Row],[Past Zero R]],Table13[[#This Row],[Is Zero]])</f>
        <v>0</v>
      </c>
    </row>
    <row r="3994" spans="1:11" ht="16" x14ac:dyDescent="0.2">
      <c r="A3994" s="1" t="s">
        <v>58</v>
      </c>
      <c r="B3994" t="str">
        <f>LEFT(Table13[[#This Row],[Input]],1)</f>
        <v>L</v>
      </c>
      <c r="C3994">
        <f>_xlfn.LET(_xlpm.steps,SUBSTITUTE(Table13[[#This Row],[Input]],Table13[[#This Row],[Direction]],""),VALUE(IF(LEN(_xlpm.steps)&gt;2,RIGHT(_xlpm.steps,2),_xlpm.steps)))</f>
        <v>30</v>
      </c>
      <c r="D3994">
        <f>_xlfn.LET(_xlpm.steps,SUBSTITUTE(Table13[[#This Row],[Input]],Table13[[#This Row],[Direction]],""),VALUE(IF(LEN(_xlpm.steps)&gt;2,LEFT(_xlpm.steps,LEN(_xlpm.steps)-2),0)))</f>
        <v>0</v>
      </c>
      <c r="E3994">
        <f>_xlfn.LET(_xlpm.dir,Table13[[#This Row],[Direction]],
IF(_xlpm.dir="L",
    IF(G3993-Table13[[#This Row],[Steps]]&lt;0,100+(G3993-Table13[[#This Row],[Steps]]),G3993-Table13[[#This Row],[Steps]]),
))</f>
        <v>22</v>
      </c>
      <c r="F3994">
        <f>_xlfn.LET(_xlpm.dir,Table13[[#This Row],[Direction]],
IF(_xlpm.dir="R",
    IF(G3993+Table13[[#This Row],[Steps]]&gt;99,(G3993+Table13[[#This Row],[Steps]])-100,G3993+Table13[[#This Row],[Steps]]),
))</f>
        <v>0</v>
      </c>
      <c r="G3994">
        <f>IF(Table13[[#This Row],[New Pos L]]&lt;&gt;0,Table13[[#This Row],[New Pos L]],Table13[[#This Row],[New Pos R]])</f>
        <v>22</v>
      </c>
      <c r="H3994">
        <f>IF(AND(Table13[[#This Row],[Direction]]="L",Table13[[#This Row],[Steps]]&gt;G3993,G3993&lt;&gt;0),1,0)</f>
        <v>0</v>
      </c>
      <c r="I3994">
        <f>IF(AND(Table13[[#This Row],[Direction]]="R",(G3993+Table13[[#This Row],[Steps]])&gt;100),1,0)</f>
        <v>0</v>
      </c>
      <c r="J3994">
        <f>IF(Table13[[#This Row],[POS]]=0,1,0)</f>
        <v>0</v>
      </c>
      <c r="K3994">
        <f>SUM(Table13[[#This Row],[prefix]],Table13[[#This Row],[Past zero L]],Table13[[#This Row],[Past Zero R]],Table13[[#This Row],[Is Zero]])</f>
        <v>0</v>
      </c>
    </row>
    <row r="3995" spans="1:11" ht="16" x14ac:dyDescent="0.2">
      <c r="A3995" s="1" t="s">
        <v>245</v>
      </c>
      <c r="B3995" t="str">
        <f>LEFT(Table13[[#This Row],[Input]],1)</f>
        <v>R</v>
      </c>
      <c r="C3995">
        <f>_xlfn.LET(_xlpm.steps,SUBSTITUTE(Table13[[#This Row],[Input]],Table13[[#This Row],[Direction]],""),VALUE(IF(LEN(_xlpm.steps)&gt;2,RIGHT(_xlpm.steps,2),_xlpm.steps)))</f>
        <v>71</v>
      </c>
      <c r="D3995">
        <f>_xlfn.LET(_xlpm.steps,SUBSTITUTE(Table13[[#This Row],[Input]],Table13[[#This Row],[Direction]],""),VALUE(IF(LEN(_xlpm.steps)&gt;2,LEFT(_xlpm.steps,LEN(_xlpm.steps)-2),0)))</f>
        <v>0</v>
      </c>
      <c r="E3995">
        <f>_xlfn.LET(_xlpm.dir,Table13[[#This Row],[Direction]],
IF(_xlpm.dir="L",
    IF(G3994-Table13[[#This Row],[Steps]]&lt;0,100+(G3994-Table13[[#This Row],[Steps]]),G3994-Table13[[#This Row],[Steps]]),
))</f>
        <v>0</v>
      </c>
      <c r="F3995">
        <f>_xlfn.LET(_xlpm.dir,Table13[[#This Row],[Direction]],
IF(_xlpm.dir="R",
    IF(G3994+Table13[[#This Row],[Steps]]&gt;99,(G3994+Table13[[#This Row],[Steps]])-100,G3994+Table13[[#This Row],[Steps]]),
))</f>
        <v>93</v>
      </c>
      <c r="G3995">
        <f>IF(Table13[[#This Row],[New Pos L]]&lt;&gt;0,Table13[[#This Row],[New Pos L]],Table13[[#This Row],[New Pos R]])</f>
        <v>93</v>
      </c>
      <c r="H3995">
        <f>IF(AND(Table13[[#This Row],[Direction]]="L",Table13[[#This Row],[Steps]]&gt;G3994,G3994&lt;&gt;0),1,0)</f>
        <v>0</v>
      </c>
      <c r="I3995">
        <f>IF(AND(Table13[[#This Row],[Direction]]="R",(G3994+Table13[[#This Row],[Steps]])&gt;100),1,0)</f>
        <v>0</v>
      </c>
      <c r="J3995">
        <f>IF(Table13[[#This Row],[POS]]=0,1,0)</f>
        <v>0</v>
      </c>
      <c r="K3995">
        <f>SUM(Table13[[#This Row],[prefix]],Table13[[#This Row],[Past zero L]],Table13[[#This Row],[Past Zero R]],Table13[[#This Row],[Is Zero]])</f>
        <v>0</v>
      </c>
    </row>
    <row r="3996" spans="1:11" ht="16" x14ac:dyDescent="0.2">
      <c r="A3996" s="1" t="s">
        <v>9</v>
      </c>
      <c r="B3996" t="str">
        <f>LEFT(Table13[[#This Row],[Input]],1)</f>
        <v>L</v>
      </c>
      <c r="C3996">
        <f>_xlfn.LET(_xlpm.steps,SUBSTITUTE(Table13[[#This Row],[Input]],Table13[[#This Row],[Direction]],""),VALUE(IF(LEN(_xlpm.steps)&gt;2,RIGHT(_xlpm.steps,2),_xlpm.steps)))</f>
        <v>9</v>
      </c>
      <c r="D3996">
        <f>_xlfn.LET(_xlpm.steps,SUBSTITUTE(Table13[[#This Row],[Input]],Table13[[#This Row],[Direction]],""),VALUE(IF(LEN(_xlpm.steps)&gt;2,LEFT(_xlpm.steps,LEN(_xlpm.steps)-2),0)))</f>
        <v>0</v>
      </c>
      <c r="E3996">
        <f>_xlfn.LET(_xlpm.dir,Table13[[#This Row],[Direction]],
IF(_xlpm.dir="L",
    IF(G3995-Table13[[#This Row],[Steps]]&lt;0,100+(G3995-Table13[[#This Row],[Steps]]),G3995-Table13[[#This Row],[Steps]]),
))</f>
        <v>84</v>
      </c>
      <c r="F3996">
        <f>_xlfn.LET(_xlpm.dir,Table13[[#This Row],[Direction]],
IF(_xlpm.dir="R",
    IF(G3995+Table13[[#This Row],[Steps]]&gt;99,(G3995+Table13[[#This Row],[Steps]])-100,G3995+Table13[[#This Row],[Steps]]),
))</f>
        <v>0</v>
      </c>
      <c r="G3996">
        <f>IF(Table13[[#This Row],[New Pos L]]&lt;&gt;0,Table13[[#This Row],[New Pos L]],Table13[[#This Row],[New Pos R]])</f>
        <v>84</v>
      </c>
      <c r="H3996">
        <f>IF(AND(Table13[[#This Row],[Direction]]="L",Table13[[#This Row],[Steps]]&gt;G3995,G3995&lt;&gt;0),1,0)</f>
        <v>0</v>
      </c>
      <c r="I3996">
        <f>IF(AND(Table13[[#This Row],[Direction]]="R",(G3995+Table13[[#This Row],[Steps]])&gt;100),1,0)</f>
        <v>0</v>
      </c>
      <c r="J3996">
        <f>IF(Table13[[#This Row],[POS]]=0,1,0)</f>
        <v>0</v>
      </c>
      <c r="K3996">
        <f>SUM(Table13[[#This Row],[prefix]],Table13[[#This Row],[Past zero L]],Table13[[#This Row],[Past Zero R]],Table13[[#This Row],[Is Zero]])</f>
        <v>0</v>
      </c>
    </row>
    <row r="3997" spans="1:11" ht="16" x14ac:dyDescent="0.2">
      <c r="A3997" s="1" t="s">
        <v>186</v>
      </c>
      <c r="B3997" t="str">
        <f>LEFT(Table13[[#This Row],[Input]],1)</f>
        <v>L</v>
      </c>
      <c r="C3997">
        <f>_xlfn.LET(_xlpm.steps,SUBSTITUTE(Table13[[#This Row],[Input]],Table13[[#This Row],[Direction]],""),VALUE(IF(LEN(_xlpm.steps)&gt;2,RIGHT(_xlpm.steps,2),_xlpm.steps)))</f>
        <v>84</v>
      </c>
      <c r="D3997">
        <f>_xlfn.LET(_xlpm.steps,SUBSTITUTE(Table13[[#This Row],[Input]],Table13[[#This Row],[Direction]],""),VALUE(IF(LEN(_xlpm.steps)&gt;2,LEFT(_xlpm.steps,LEN(_xlpm.steps)-2),0)))</f>
        <v>0</v>
      </c>
      <c r="E3997">
        <f>_xlfn.LET(_xlpm.dir,Table13[[#This Row],[Direction]],
IF(_xlpm.dir="L",
    IF(G3996-Table13[[#This Row],[Steps]]&lt;0,100+(G3996-Table13[[#This Row],[Steps]]),G3996-Table13[[#This Row],[Steps]]),
))</f>
        <v>0</v>
      </c>
      <c r="F3997">
        <f>_xlfn.LET(_xlpm.dir,Table13[[#This Row],[Direction]],
IF(_xlpm.dir="R",
    IF(G3996+Table13[[#This Row],[Steps]]&gt;99,(G3996+Table13[[#This Row],[Steps]])-100,G3996+Table13[[#This Row],[Steps]]),
))</f>
        <v>0</v>
      </c>
      <c r="G3997">
        <f>IF(Table13[[#This Row],[New Pos L]]&lt;&gt;0,Table13[[#This Row],[New Pos L]],Table13[[#This Row],[New Pos R]])</f>
        <v>0</v>
      </c>
      <c r="H3997">
        <f>IF(AND(Table13[[#This Row],[Direction]]="L",Table13[[#This Row],[Steps]]&gt;G3996,G3996&lt;&gt;0),1,0)</f>
        <v>0</v>
      </c>
      <c r="I3997">
        <f>IF(AND(Table13[[#This Row],[Direction]]="R",(G3996+Table13[[#This Row],[Steps]])&gt;100),1,0)</f>
        <v>0</v>
      </c>
      <c r="J3997">
        <f>IF(Table13[[#This Row],[POS]]=0,1,0)</f>
        <v>1</v>
      </c>
      <c r="K3997">
        <f>SUM(Table13[[#This Row],[prefix]],Table13[[#This Row],[Past zero L]],Table13[[#This Row],[Past Zero R]],Table13[[#This Row],[Is Zero]])</f>
        <v>1</v>
      </c>
    </row>
    <row r="3998" spans="1:11" ht="16" x14ac:dyDescent="0.2">
      <c r="A3998" s="1" t="s">
        <v>185</v>
      </c>
      <c r="B3998" t="str">
        <f>LEFT(Table13[[#This Row],[Input]],1)</f>
        <v>R</v>
      </c>
      <c r="C3998">
        <f>_xlfn.LET(_xlpm.steps,SUBSTITUTE(Table13[[#This Row],[Input]],Table13[[#This Row],[Direction]],""),VALUE(IF(LEN(_xlpm.steps)&gt;2,RIGHT(_xlpm.steps,2),_xlpm.steps)))</f>
        <v>61</v>
      </c>
      <c r="D3998">
        <f>_xlfn.LET(_xlpm.steps,SUBSTITUTE(Table13[[#This Row],[Input]],Table13[[#This Row],[Direction]],""),VALUE(IF(LEN(_xlpm.steps)&gt;2,LEFT(_xlpm.steps,LEN(_xlpm.steps)-2),0)))</f>
        <v>0</v>
      </c>
      <c r="E3998">
        <f>_xlfn.LET(_xlpm.dir,Table13[[#This Row],[Direction]],
IF(_xlpm.dir="L",
    IF(G3997-Table13[[#This Row],[Steps]]&lt;0,100+(G3997-Table13[[#This Row],[Steps]]),G3997-Table13[[#This Row],[Steps]]),
))</f>
        <v>0</v>
      </c>
      <c r="F3998">
        <f>_xlfn.LET(_xlpm.dir,Table13[[#This Row],[Direction]],
IF(_xlpm.dir="R",
    IF(G3997+Table13[[#This Row],[Steps]]&gt;99,(G3997+Table13[[#This Row],[Steps]])-100,G3997+Table13[[#This Row],[Steps]]),
))</f>
        <v>61</v>
      </c>
      <c r="G3998">
        <f>IF(Table13[[#This Row],[New Pos L]]&lt;&gt;0,Table13[[#This Row],[New Pos L]],Table13[[#This Row],[New Pos R]])</f>
        <v>61</v>
      </c>
      <c r="H3998">
        <f>IF(AND(Table13[[#This Row],[Direction]]="L",Table13[[#This Row],[Steps]]&gt;G3997,G3997&lt;&gt;0),1,0)</f>
        <v>0</v>
      </c>
      <c r="I3998">
        <f>IF(AND(Table13[[#This Row],[Direction]]="R",(G3997+Table13[[#This Row],[Steps]])&gt;100),1,0)</f>
        <v>0</v>
      </c>
      <c r="J3998">
        <f>IF(Table13[[#This Row],[POS]]=0,1,0)</f>
        <v>0</v>
      </c>
      <c r="K3998">
        <f>SUM(Table13[[#This Row],[prefix]],Table13[[#This Row],[Past zero L]],Table13[[#This Row],[Past Zero R]],Table13[[#This Row],[Is Zero]])</f>
        <v>0</v>
      </c>
    </row>
    <row r="3999" spans="1:11" ht="16" x14ac:dyDescent="0.2">
      <c r="A3999" s="1" t="s">
        <v>102</v>
      </c>
      <c r="B3999" t="str">
        <f>LEFT(Table13[[#This Row],[Input]],1)</f>
        <v>R</v>
      </c>
      <c r="C3999">
        <f>_xlfn.LET(_xlpm.steps,SUBSTITUTE(Table13[[#This Row],[Input]],Table13[[#This Row],[Direction]],""),VALUE(IF(LEN(_xlpm.steps)&gt;2,RIGHT(_xlpm.steps,2),_xlpm.steps)))</f>
        <v>39</v>
      </c>
      <c r="D3999">
        <f>_xlfn.LET(_xlpm.steps,SUBSTITUTE(Table13[[#This Row],[Input]],Table13[[#This Row],[Direction]],""),VALUE(IF(LEN(_xlpm.steps)&gt;2,LEFT(_xlpm.steps,LEN(_xlpm.steps)-2),0)))</f>
        <v>0</v>
      </c>
      <c r="E3999">
        <f>_xlfn.LET(_xlpm.dir,Table13[[#This Row],[Direction]],
IF(_xlpm.dir="L",
    IF(G3998-Table13[[#This Row],[Steps]]&lt;0,100+(G3998-Table13[[#This Row],[Steps]]),G3998-Table13[[#This Row],[Steps]]),
))</f>
        <v>0</v>
      </c>
      <c r="F3999">
        <f>_xlfn.LET(_xlpm.dir,Table13[[#This Row],[Direction]],
IF(_xlpm.dir="R",
    IF(G3998+Table13[[#This Row],[Steps]]&gt;99,(G3998+Table13[[#This Row],[Steps]])-100,G3998+Table13[[#This Row],[Steps]]),
))</f>
        <v>0</v>
      </c>
      <c r="G3999">
        <f>IF(Table13[[#This Row],[New Pos L]]&lt;&gt;0,Table13[[#This Row],[New Pos L]],Table13[[#This Row],[New Pos R]])</f>
        <v>0</v>
      </c>
      <c r="H3999">
        <f>IF(AND(Table13[[#This Row],[Direction]]="L",Table13[[#This Row],[Steps]]&gt;G3998,G3998&lt;&gt;0),1,0)</f>
        <v>0</v>
      </c>
      <c r="I3999">
        <f>IF(AND(Table13[[#This Row],[Direction]]="R",(G3998+Table13[[#This Row],[Steps]])&gt;100),1,0)</f>
        <v>0</v>
      </c>
      <c r="J3999">
        <f>IF(Table13[[#This Row],[POS]]=0,1,0)</f>
        <v>1</v>
      </c>
      <c r="K3999">
        <f>SUM(Table13[[#This Row],[prefix]],Table13[[#This Row],[Past zero L]],Table13[[#This Row],[Past Zero R]],Table13[[#This Row],[Is Zero]])</f>
        <v>1</v>
      </c>
    </row>
    <row r="4000" spans="1:11" ht="16" x14ac:dyDescent="0.2">
      <c r="A4000" s="1" t="s">
        <v>21</v>
      </c>
      <c r="B4000" t="str">
        <f>LEFT(Table13[[#This Row],[Input]],1)</f>
        <v>L</v>
      </c>
      <c r="C4000">
        <f>_xlfn.LET(_xlpm.steps,SUBSTITUTE(Table13[[#This Row],[Input]],Table13[[#This Row],[Direction]],""),VALUE(IF(LEN(_xlpm.steps)&gt;2,RIGHT(_xlpm.steps,2),_xlpm.steps)))</f>
        <v>36</v>
      </c>
      <c r="D4000">
        <f>_xlfn.LET(_xlpm.steps,SUBSTITUTE(Table13[[#This Row],[Input]],Table13[[#This Row],[Direction]],""),VALUE(IF(LEN(_xlpm.steps)&gt;2,LEFT(_xlpm.steps,LEN(_xlpm.steps)-2),0)))</f>
        <v>0</v>
      </c>
      <c r="E4000">
        <f>_xlfn.LET(_xlpm.dir,Table13[[#This Row],[Direction]],
IF(_xlpm.dir="L",
    IF(G3999-Table13[[#This Row],[Steps]]&lt;0,100+(G3999-Table13[[#This Row],[Steps]]),G3999-Table13[[#This Row],[Steps]]),
))</f>
        <v>64</v>
      </c>
      <c r="F4000">
        <f>_xlfn.LET(_xlpm.dir,Table13[[#This Row],[Direction]],
IF(_xlpm.dir="R",
    IF(G3999+Table13[[#This Row],[Steps]]&gt;99,(G3999+Table13[[#This Row],[Steps]])-100,G3999+Table13[[#This Row],[Steps]]),
))</f>
        <v>0</v>
      </c>
      <c r="G4000">
        <f>IF(Table13[[#This Row],[New Pos L]]&lt;&gt;0,Table13[[#This Row],[New Pos L]],Table13[[#This Row],[New Pos R]])</f>
        <v>64</v>
      </c>
      <c r="H4000">
        <f>IF(AND(Table13[[#This Row],[Direction]]="L",Table13[[#This Row],[Steps]]&gt;G3999,G3999&lt;&gt;0),1,0)</f>
        <v>0</v>
      </c>
      <c r="I4000">
        <f>IF(AND(Table13[[#This Row],[Direction]]="R",(G3999+Table13[[#This Row],[Steps]])&gt;100),1,0)</f>
        <v>0</v>
      </c>
      <c r="J4000">
        <f>IF(Table13[[#This Row],[POS]]=0,1,0)</f>
        <v>0</v>
      </c>
      <c r="K4000">
        <f>SUM(Table13[[#This Row],[prefix]],Table13[[#This Row],[Past zero L]],Table13[[#This Row],[Past Zero R]],Table13[[#This Row],[Is Zero]])</f>
        <v>0</v>
      </c>
    </row>
    <row r="4001" spans="1:11" ht="16" x14ac:dyDescent="0.2">
      <c r="A4001" s="1" t="s">
        <v>136</v>
      </c>
      <c r="B4001" t="str">
        <f>LEFT(Table13[[#This Row],[Input]],1)</f>
        <v>L</v>
      </c>
      <c r="C4001">
        <f>_xlfn.LET(_xlpm.steps,SUBSTITUTE(Table13[[#This Row],[Input]],Table13[[#This Row],[Direction]],""),VALUE(IF(LEN(_xlpm.steps)&gt;2,RIGHT(_xlpm.steps,2),_xlpm.steps)))</f>
        <v>72</v>
      </c>
      <c r="D4001">
        <f>_xlfn.LET(_xlpm.steps,SUBSTITUTE(Table13[[#This Row],[Input]],Table13[[#This Row],[Direction]],""),VALUE(IF(LEN(_xlpm.steps)&gt;2,LEFT(_xlpm.steps,LEN(_xlpm.steps)-2),0)))</f>
        <v>0</v>
      </c>
      <c r="E4001">
        <f>_xlfn.LET(_xlpm.dir,Table13[[#This Row],[Direction]],
IF(_xlpm.dir="L",
    IF(G4000-Table13[[#This Row],[Steps]]&lt;0,100+(G4000-Table13[[#This Row],[Steps]]),G4000-Table13[[#This Row],[Steps]]),
))</f>
        <v>92</v>
      </c>
      <c r="F4001">
        <f>_xlfn.LET(_xlpm.dir,Table13[[#This Row],[Direction]],
IF(_xlpm.dir="R",
    IF(G4000+Table13[[#This Row],[Steps]]&gt;99,(G4000+Table13[[#This Row],[Steps]])-100,G4000+Table13[[#This Row],[Steps]]),
))</f>
        <v>0</v>
      </c>
      <c r="G4001">
        <f>IF(Table13[[#This Row],[New Pos L]]&lt;&gt;0,Table13[[#This Row],[New Pos L]],Table13[[#This Row],[New Pos R]])</f>
        <v>92</v>
      </c>
      <c r="H4001">
        <f>IF(AND(Table13[[#This Row],[Direction]]="L",Table13[[#This Row],[Steps]]&gt;G4000,G4000&lt;&gt;0),1,0)</f>
        <v>1</v>
      </c>
      <c r="I4001">
        <f>IF(AND(Table13[[#This Row],[Direction]]="R",(G4000+Table13[[#This Row],[Steps]])&gt;100),1,0)</f>
        <v>0</v>
      </c>
      <c r="J4001">
        <f>IF(Table13[[#This Row],[POS]]=0,1,0)</f>
        <v>0</v>
      </c>
      <c r="K4001">
        <f>SUM(Table13[[#This Row],[prefix]],Table13[[#This Row],[Past zero L]],Table13[[#This Row],[Past Zero R]],Table13[[#This Row],[Is Zero]])</f>
        <v>1</v>
      </c>
    </row>
    <row r="4002" spans="1:11" ht="16" x14ac:dyDescent="0.2">
      <c r="A4002" s="1" t="s">
        <v>330</v>
      </c>
      <c r="B4002" t="str">
        <f>LEFT(Table13[[#This Row],[Input]],1)</f>
        <v>L</v>
      </c>
      <c r="C4002">
        <f>_xlfn.LET(_xlpm.steps,SUBSTITUTE(Table13[[#This Row],[Input]],Table13[[#This Row],[Direction]],""),VALUE(IF(LEN(_xlpm.steps)&gt;2,RIGHT(_xlpm.steps,2),_xlpm.steps)))</f>
        <v>47</v>
      </c>
      <c r="D4002">
        <f>_xlfn.LET(_xlpm.steps,SUBSTITUTE(Table13[[#This Row],[Input]],Table13[[#This Row],[Direction]],""),VALUE(IF(LEN(_xlpm.steps)&gt;2,LEFT(_xlpm.steps,LEN(_xlpm.steps)-2),0)))</f>
        <v>0</v>
      </c>
      <c r="E4002">
        <f>_xlfn.LET(_xlpm.dir,Table13[[#This Row],[Direction]],
IF(_xlpm.dir="L",
    IF(G4001-Table13[[#This Row],[Steps]]&lt;0,100+(G4001-Table13[[#This Row],[Steps]]),G4001-Table13[[#This Row],[Steps]]),
))</f>
        <v>45</v>
      </c>
      <c r="F4002">
        <f>_xlfn.LET(_xlpm.dir,Table13[[#This Row],[Direction]],
IF(_xlpm.dir="R",
    IF(G4001+Table13[[#This Row],[Steps]]&gt;99,(G4001+Table13[[#This Row],[Steps]])-100,G4001+Table13[[#This Row],[Steps]]),
))</f>
        <v>0</v>
      </c>
      <c r="G4002">
        <f>IF(Table13[[#This Row],[New Pos L]]&lt;&gt;0,Table13[[#This Row],[New Pos L]],Table13[[#This Row],[New Pos R]])</f>
        <v>45</v>
      </c>
      <c r="H4002">
        <f>IF(AND(Table13[[#This Row],[Direction]]="L",Table13[[#This Row],[Steps]]&gt;G4001,G4001&lt;&gt;0),1,0)</f>
        <v>0</v>
      </c>
      <c r="I4002">
        <f>IF(AND(Table13[[#This Row],[Direction]]="R",(G4001+Table13[[#This Row],[Steps]])&gt;100),1,0)</f>
        <v>0</v>
      </c>
      <c r="J4002">
        <f>IF(Table13[[#This Row],[POS]]=0,1,0)</f>
        <v>0</v>
      </c>
      <c r="K4002">
        <f>SUM(Table13[[#This Row],[prefix]],Table13[[#This Row],[Past zero L]],Table13[[#This Row],[Past Zero R]],Table13[[#This Row],[Is Zero]])</f>
        <v>0</v>
      </c>
    </row>
    <row r="4003" spans="1:11" ht="16" x14ac:dyDescent="0.2">
      <c r="A4003" s="1" t="s">
        <v>54</v>
      </c>
      <c r="B4003" t="str">
        <f>LEFT(Table13[[#This Row],[Input]],1)</f>
        <v>L</v>
      </c>
      <c r="C4003">
        <f>_xlfn.LET(_xlpm.steps,SUBSTITUTE(Table13[[#This Row],[Input]],Table13[[#This Row],[Direction]],""),VALUE(IF(LEN(_xlpm.steps)&gt;2,RIGHT(_xlpm.steps,2),_xlpm.steps)))</f>
        <v>75</v>
      </c>
      <c r="D4003">
        <f>_xlfn.LET(_xlpm.steps,SUBSTITUTE(Table13[[#This Row],[Input]],Table13[[#This Row],[Direction]],""),VALUE(IF(LEN(_xlpm.steps)&gt;2,LEFT(_xlpm.steps,LEN(_xlpm.steps)-2),0)))</f>
        <v>0</v>
      </c>
      <c r="E4003">
        <f>_xlfn.LET(_xlpm.dir,Table13[[#This Row],[Direction]],
IF(_xlpm.dir="L",
    IF(G4002-Table13[[#This Row],[Steps]]&lt;0,100+(G4002-Table13[[#This Row],[Steps]]),G4002-Table13[[#This Row],[Steps]]),
))</f>
        <v>70</v>
      </c>
      <c r="F4003">
        <f>_xlfn.LET(_xlpm.dir,Table13[[#This Row],[Direction]],
IF(_xlpm.dir="R",
    IF(G4002+Table13[[#This Row],[Steps]]&gt;99,(G4002+Table13[[#This Row],[Steps]])-100,G4002+Table13[[#This Row],[Steps]]),
))</f>
        <v>0</v>
      </c>
      <c r="G4003">
        <f>IF(Table13[[#This Row],[New Pos L]]&lt;&gt;0,Table13[[#This Row],[New Pos L]],Table13[[#This Row],[New Pos R]])</f>
        <v>70</v>
      </c>
      <c r="H4003">
        <f>IF(AND(Table13[[#This Row],[Direction]]="L",Table13[[#This Row],[Steps]]&gt;G4002,G4002&lt;&gt;0),1,0)</f>
        <v>1</v>
      </c>
      <c r="I4003">
        <f>IF(AND(Table13[[#This Row],[Direction]]="R",(G4002+Table13[[#This Row],[Steps]])&gt;100),1,0)</f>
        <v>0</v>
      </c>
      <c r="J4003">
        <f>IF(Table13[[#This Row],[POS]]=0,1,0)</f>
        <v>0</v>
      </c>
      <c r="K4003">
        <f>SUM(Table13[[#This Row],[prefix]],Table13[[#This Row],[Past zero L]],Table13[[#This Row],[Past Zero R]],Table13[[#This Row],[Is Zero]])</f>
        <v>1</v>
      </c>
    </row>
    <row r="4004" spans="1:11" ht="16" x14ac:dyDescent="0.2">
      <c r="A4004" s="1" t="s">
        <v>122</v>
      </c>
      <c r="B4004" t="str">
        <f>LEFT(Table13[[#This Row],[Input]],1)</f>
        <v>R</v>
      </c>
      <c r="C4004">
        <f>_xlfn.LET(_xlpm.steps,SUBSTITUTE(Table13[[#This Row],[Input]],Table13[[#This Row],[Direction]],""),VALUE(IF(LEN(_xlpm.steps)&gt;2,RIGHT(_xlpm.steps,2),_xlpm.steps)))</f>
        <v>75</v>
      </c>
      <c r="D4004">
        <f>_xlfn.LET(_xlpm.steps,SUBSTITUTE(Table13[[#This Row],[Input]],Table13[[#This Row],[Direction]],""),VALUE(IF(LEN(_xlpm.steps)&gt;2,LEFT(_xlpm.steps,LEN(_xlpm.steps)-2),0)))</f>
        <v>0</v>
      </c>
      <c r="E4004">
        <f>_xlfn.LET(_xlpm.dir,Table13[[#This Row],[Direction]],
IF(_xlpm.dir="L",
    IF(G4003-Table13[[#This Row],[Steps]]&lt;0,100+(G4003-Table13[[#This Row],[Steps]]),G4003-Table13[[#This Row],[Steps]]),
))</f>
        <v>0</v>
      </c>
      <c r="F4004">
        <f>_xlfn.LET(_xlpm.dir,Table13[[#This Row],[Direction]],
IF(_xlpm.dir="R",
    IF(G4003+Table13[[#This Row],[Steps]]&gt;99,(G4003+Table13[[#This Row],[Steps]])-100,G4003+Table13[[#This Row],[Steps]]),
))</f>
        <v>45</v>
      </c>
      <c r="G4004">
        <f>IF(Table13[[#This Row],[New Pos L]]&lt;&gt;0,Table13[[#This Row],[New Pos L]],Table13[[#This Row],[New Pos R]])</f>
        <v>45</v>
      </c>
      <c r="H4004">
        <f>IF(AND(Table13[[#This Row],[Direction]]="L",Table13[[#This Row],[Steps]]&gt;G4003,G4003&lt;&gt;0),1,0)</f>
        <v>0</v>
      </c>
      <c r="I4004">
        <f>IF(AND(Table13[[#This Row],[Direction]]="R",(G4003+Table13[[#This Row],[Steps]])&gt;100),1,0)</f>
        <v>1</v>
      </c>
      <c r="J4004">
        <f>IF(Table13[[#This Row],[POS]]=0,1,0)</f>
        <v>0</v>
      </c>
      <c r="K4004">
        <f>SUM(Table13[[#This Row],[prefix]],Table13[[#This Row],[Past zero L]],Table13[[#This Row],[Past Zero R]],Table13[[#This Row],[Is Zero]])</f>
        <v>1</v>
      </c>
    </row>
    <row r="4005" spans="1:11" ht="16" x14ac:dyDescent="0.2">
      <c r="A4005" s="1" t="s">
        <v>255</v>
      </c>
      <c r="B4005" t="str">
        <f>LEFT(Table13[[#This Row],[Input]],1)</f>
        <v>R</v>
      </c>
      <c r="C4005">
        <f>_xlfn.LET(_xlpm.steps,SUBSTITUTE(Table13[[#This Row],[Input]],Table13[[#This Row],[Direction]],""),VALUE(IF(LEN(_xlpm.steps)&gt;2,RIGHT(_xlpm.steps,2),_xlpm.steps)))</f>
        <v>16</v>
      </c>
      <c r="D4005">
        <f>_xlfn.LET(_xlpm.steps,SUBSTITUTE(Table13[[#This Row],[Input]],Table13[[#This Row],[Direction]],""),VALUE(IF(LEN(_xlpm.steps)&gt;2,LEFT(_xlpm.steps,LEN(_xlpm.steps)-2),0)))</f>
        <v>0</v>
      </c>
      <c r="E4005">
        <f>_xlfn.LET(_xlpm.dir,Table13[[#This Row],[Direction]],
IF(_xlpm.dir="L",
    IF(G4004-Table13[[#This Row],[Steps]]&lt;0,100+(G4004-Table13[[#This Row],[Steps]]),G4004-Table13[[#This Row],[Steps]]),
))</f>
        <v>0</v>
      </c>
      <c r="F4005">
        <f>_xlfn.LET(_xlpm.dir,Table13[[#This Row],[Direction]],
IF(_xlpm.dir="R",
    IF(G4004+Table13[[#This Row],[Steps]]&gt;99,(G4004+Table13[[#This Row],[Steps]])-100,G4004+Table13[[#This Row],[Steps]]),
))</f>
        <v>61</v>
      </c>
      <c r="G4005">
        <f>IF(Table13[[#This Row],[New Pos L]]&lt;&gt;0,Table13[[#This Row],[New Pos L]],Table13[[#This Row],[New Pos R]])</f>
        <v>61</v>
      </c>
      <c r="H4005">
        <f>IF(AND(Table13[[#This Row],[Direction]]="L",Table13[[#This Row],[Steps]]&gt;G4004,G4004&lt;&gt;0),1,0)</f>
        <v>0</v>
      </c>
      <c r="I4005">
        <f>IF(AND(Table13[[#This Row],[Direction]]="R",(G4004+Table13[[#This Row],[Steps]])&gt;100),1,0)</f>
        <v>0</v>
      </c>
      <c r="J4005">
        <f>IF(Table13[[#This Row],[POS]]=0,1,0)</f>
        <v>0</v>
      </c>
      <c r="K4005">
        <f>SUM(Table13[[#This Row],[prefix]],Table13[[#This Row],[Past zero L]],Table13[[#This Row],[Past Zero R]],Table13[[#This Row],[Is Zero]])</f>
        <v>0</v>
      </c>
    </row>
    <row r="4006" spans="1:11" ht="16" x14ac:dyDescent="0.2">
      <c r="A4006" s="1" t="s">
        <v>140</v>
      </c>
      <c r="B4006" t="str">
        <f>LEFT(Table13[[#This Row],[Input]],1)</f>
        <v>L</v>
      </c>
      <c r="C4006">
        <f>_xlfn.LET(_xlpm.steps,SUBSTITUTE(Table13[[#This Row],[Input]],Table13[[#This Row],[Direction]],""),VALUE(IF(LEN(_xlpm.steps)&gt;2,RIGHT(_xlpm.steps,2),_xlpm.steps)))</f>
        <v>61</v>
      </c>
      <c r="D4006">
        <f>_xlfn.LET(_xlpm.steps,SUBSTITUTE(Table13[[#This Row],[Input]],Table13[[#This Row],[Direction]],""),VALUE(IF(LEN(_xlpm.steps)&gt;2,LEFT(_xlpm.steps,LEN(_xlpm.steps)-2),0)))</f>
        <v>0</v>
      </c>
      <c r="E4006">
        <f>_xlfn.LET(_xlpm.dir,Table13[[#This Row],[Direction]],
IF(_xlpm.dir="L",
    IF(G4005-Table13[[#This Row],[Steps]]&lt;0,100+(G4005-Table13[[#This Row],[Steps]]),G4005-Table13[[#This Row],[Steps]]),
))</f>
        <v>0</v>
      </c>
      <c r="F4006">
        <f>_xlfn.LET(_xlpm.dir,Table13[[#This Row],[Direction]],
IF(_xlpm.dir="R",
    IF(G4005+Table13[[#This Row],[Steps]]&gt;99,(G4005+Table13[[#This Row],[Steps]])-100,G4005+Table13[[#This Row],[Steps]]),
))</f>
        <v>0</v>
      </c>
      <c r="G4006">
        <f>IF(Table13[[#This Row],[New Pos L]]&lt;&gt;0,Table13[[#This Row],[New Pos L]],Table13[[#This Row],[New Pos R]])</f>
        <v>0</v>
      </c>
      <c r="H4006">
        <f>IF(AND(Table13[[#This Row],[Direction]]="L",Table13[[#This Row],[Steps]]&gt;G4005,G4005&lt;&gt;0),1,0)</f>
        <v>0</v>
      </c>
      <c r="I4006">
        <f>IF(AND(Table13[[#This Row],[Direction]]="R",(G4005+Table13[[#This Row],[Steps]])&gt;100),1,0)</f>
        <v>0</v>
      </c>
      <c r="J4006">
        <f>IF(Table13[[#This Row],[POS]]=0,1,0)</f>
        <v>1</v>
      </c>
      <c r="K4006">
        <f>SUM(Table13[[#This Row],[prefix]],Table13[[#This Row],[Past zero L]],Table13[[#This Row],[Past Zero R]],Table13[[#This Row],[Is Zero]])</f>
        <v>1</v>
      </c>
    </row>
    <row r="4007" spans="1:11" ht="16" x14ac:dyDescent="0.2">
      <c r="A4007" s="1" t="s">
        <v>39</v>
      </c>
      <c r="B4007" t="str">
        <f>LEFT(Table13[[#This Row],[Input]],1)</f>
        <v>R</v>
      </c>
      <c r="C4007">
        <f>_xlfn.LET(_xlpm.steps,SUBSTITUTE(Table13[[#This Row],[Input]],Table13[[#This Row],[Direction]],""),VALUE(IF(LEN(_xlpm.steps)&gt;2,RIGHT(_xlpm.steps,2),_xlpm.steps)))</f>
        <v>32</v>
      </c>
      <c r="D4007">
        <f>_xlfn.LET(_xlpm.steps,SUBSTITUTE(Table13[[#This Row],[Input]],Table13[[#This Row],[Direction]],""),VALUE(IF(LEN(_xlpm.steps)&gt;2,LEFT(_xlpm.steps,LEN(_xlpm.steps)-2),0)))</f>
        <v>0</v>
      </c>
      <c r="E4007">
        <f>_xlfn.LET(_xlpm.dir,Table13[[#This Row],[Direction]],
IF(_xlpm.dir="L",
    IF(G4006-Table13[[#This Row],[Steps]]&lt;0,100+(G4006-Table13[[#This Row],[Steps]]),G4006-Table13[[#This Row],[Steps]]),
))</f>
        <v>0</v>
      </c>
      <c r="F4007">
        <f>_xlfn.LET(_xlpm.dir,Table13[[#This Row],[Direction]],
IF(_xlpm.dir="R",
    IF(G4006+Table13[[#This Row],[Steps]]&gt;99,(G4006+Table13[[#This Row],[Steps]])-100,G4006+Table13[[#This Row],[Steps]]),
))</f>
        <v>32</v>
      </c>
      <c r="G4007">
        <f>IF(Table13[[#This Row],[New Pos L]]&lt;&gt;0,Table13[[#This Row],[New Pos L]],Table13[[#This Row],[New Pos R]])</f>
        <v>32</v>
      </c>
      <c r="H4007">
        <f>IF(AND(Table13[[#This Row],[Direction]]="L",Table13[[#This Row],[Steps]]&gt;G4006,G4006&lt;&gt;0),1,0)</f>
        <v>0</v>
      </c>
      <c r="I4007">
        <f>IF(AND(Table13[[#This Row],[Direction]]="R",(G4006+Table13[[#This Row],[Steps]])&gt;100),1,0)</f>
        <v>0</v>
      </c>
      <c r="J4007">
        <f>IF(Table13[[#This Row],[POS]]=0,1,0)</f>
        <v>0</v>
      </c>
      <c r="K4007">
        <f>SUM(Table13[[#This Row],[prefix]],Table13[[#This Row],[Past zero L]],Table13[[#This Row],[Past Zero R]],Table13[[#This Row],[Is Zero]])</f>
        <v>0</v>
      </c>
    </row>
    <row r="4008" spans="1:11" ht="16" x14ac:dyDescent="0.2">
      <c r="A4008" s="1" t="s">
        <v>141</v>
      </c>
      <c r="B4008" t="str">
        <f>LEFT(Table13[[#This Row],[Input]],1)</f>
        <v>L</v>
      </c>
      <c r="C4008">
        <f>_xlfn.LET(_xlpm.steps,SUBSTITUTE(Table13[[#This Row],[Input]],Table13[[#This Row],[Direction]],""),VALUE(IF(LEN(_xlpm.steps)&gt;2,RIGHT(_xlpm.steps,2),_xlpm.steps)))</f>
        <v>90</v>
      </c>
      <c r="D4008">
        <f>_xlfn.LET(_xlpm.steps,SUBSTITUTE(Table13[[#This Row],[Input]],Table13[[#This Row],[Direction]],""),VALUE(IF(LEN(_xlpm.steps)&gt;2,LEFT(_xlpm.steps,LEN(_xlpm.steps)-2),0)))</f>
        <v>0</v>
      </c>
      <c r="E4008">
        <f>_xlfn.LET(_xlpm.dir,Table13[[#This Row],[Direction]],
IF(_xlpm.dir="L",
    IF(G4007-Table13[[#This Row],[Steps]]&lt;0,100+(G4007-Table13[[#This Row],[Steps]]),G4007-Table13[[#This Row],[Steps]]),
))</f>
        <v>42</v>
      </c>
      <c r="F4008">
        <f>_xlfn.LET(_xlpm.dir,Table13[[#This Row],[Direction]],
IF(_xlpm.dir="R",
    IF(G4007+Table13[[#This Row],[Steps]]&gt;99,(G4007+Table13[[#This Row],[Steps]])-100,G4007+Table13[[#This Row],[Steps]]),
))</f>
        <v>0</v>
      </c>
      <c r="G4008">
        <f>IF(Table13[[#This Row],[New Pos L]]&lt;&gt;0,Table13[[#This Row],[New Pos L]],Table13[[#This Row],[New Pos R]])</f>
        <v>42</v>
      </c>
      <c r="H4008">
        <f>IF(AND(Table13[[#This Row],[Direction]]="L",Table13[[#This Row],[Steps]]&gt;G4007,G4007&lt;&gt;0),1,0)</f>
        <v>1</v>
      </c>
      <c r="I4008">
        <f>IF(AND(Table13[[#This Row],[Direction]]="R",(G4007+Table13[[#This Row],[Steps]])&gt;100),1,0)</f>
        <v>0</v>
      </c>
      <c r="J4008">
        <f>IF(Table13[[#This Row],[POS]]=0,1,0)</f>
        <v>0</v>
      </c>
      <c r="K4008">
        <f>SUM(Table13[[#This Row],[prefix]],Table13[[#This Row],[Past zero L]],Table13[[#This Row],[Past Zero R]],Table13[[#This Row],[Is Zero]])</f>
        <v>1</v>
      </c>
    </row>
    <row r="4009" spans="1:11" ht="16" x14ac:dyDescent="0.2">
      <c r="A4009" s="1" t="s">
        <v>217</v>
      </c>
      <c r="B4009" t="str">
        <f>LEFT(Table13[[#This Row],[Input]],1)</f>
        <v>R</v>
      </c>
      <c r="C4009">
        <f>_xlfn.LET(_xlpm.steps,SUBSTITUTE(Table13[[#This Row],[Input]],Table13[[#This Row],[Direction]],""),VALUE(IF(LEN(_xlpm.steps)&gt;2,RIGHT(_xlpm.steps,2),_xlpm.steps)))</f>
        <v>91</v>
      </c>
      <c r="D4009">
        <f>_xlfn.LET(_xlpm.steps,SUBSTITUTE(Table13[[#This Row],[Input]],Table13[[#This Row],[Direction]],""),VALUE(IF(LEN(_xlpm.steps)&gt;2,LEFT(_xlpm.steps,LEN(_xlpm.steps)-2),0)))</f>
        <v>0</v>
      </c>
      <c r="E4009">
        <f>_xlfn.LET(_xlpm.dir,Table13[[#This Row],[Direction]],
IF(_xlpm.dir="L",
    IF(G4008-Table13[[#This Row],[Steps]]&lt;0,100+(G4008-Table13[[#This Row],[Steps]]),G4008-Table13[[#This Row],[Steps]]),
))</f>
        <v>0</v>
      </c>
      <c r="F4009">
        <f>_xlfn.LET(_xlpm.dir,Table13[[#This Row],[Direction]],
IF(_xlpm.dir="R",
    IF(G4008+Table13[[#This Row],[Steps]]&gt;99,(G4008+Table13[[#This Row],[Steps]])-100,G4008+Table13[[#This Row],[Steps]]),
))</f>
        <v>33</v>
      </c>
      <c r="G4009">
        <f>IF(Table13[[#This Row],[New Pos L]]&lt;&gt;0,Table13[[#This Row],[New Pos L]],Table13[[#This Row],[New Pos R]])</f>
        <v>33</v>
      </c>
      <c r="H4009">
        <f>IF(AND(Table13[[#This Row],[Direction]]="L",Table13[[#This Row],[Steps]]&gt;G4008,G4008&lt;&gt;0),1,0)</f>
        <v>0</v>
      </c>
      <c r="I4009">
        <f>IF(AND(Table13[[#This Row],[Direction]]="R",(G4008+Table13[[#This Row],[Steps]])&gt;100),1,0)</f>
        <v>1</v>
      </c>
      <c r="J4009">
        <f>IF(Table13[[#This Row],[POS]]=0,1,0)</f>
        <v>0</v>
      </c>
      <c r="K4009">
        <f>SUM(Table13[[#This Row],[prefix]],Table13[[#This Row],[Past zero L]],Table13[[#This Row],[Past Zero R]],Table13[[#This Row],[Is Zero]])</f>
        <v>1</v>
      </c>
    </row>
    <row r="4010" spans="1:11" ht="16" x14ac:dyDescent="0.2">
      <c r="A4010" s="1" t="s">
        <v>66</v>
      </c>
      <c r="B4010" t="str">
        <f>LEFT(Table13[[#This Row],[Input]],1)</f>
        <v>R</v>
      </c>
      <c r="C4010">
        <f>_xlfn.LET(_xlpm.steps,SUBSTITUTE(Table13[[#This Row],[Input]],Table13[[#This Row],[Direction]],""),VALUE(IF(LEN(_xlpm.steps)&gt;2,RIGHT(_xlpm.steps,2),_xlpm.steps)))</f>
        <v>45</v>
      </c>
      <c r="D4010">
        <f>_xlfn.LET(_xlpm.steps,SUBSTITUTE(Table13[[#This Row],[Input]],Table13[[#This Row],[Direction]],""),VALUE(IF(LEN(_xlpm.steps)&gt;2,LEFT(_xlpm.steps,LEN(_xlpm.steps)-2),0)))</f>
        <v>0</v>
      </c>
      <c r="E4010">
        <f>_xlfn.LET(_xlpm.dir,Table13[[#This Row],[Direction]],
IF(_xlpm.dir="L",
    IF(G4009-Table13[[#This Row],[Steps]]&lt;0,100+(G4009-Table13[[#This Row],[Steps]]),G4009-Table13[[#This Row],[Steps]]),
))</f>
        <v>0</v>
      </c>
      <c r="F4010">
        <f>_xlfn.LET(_xlpm.dir,Table13[[#This Row],[Direction]],
IF(_xlpm.dir="R",
    IF(G4009+Table13[[#This Row],[Steps]]&gt;99,(G4009+Table13[[#This Row],[Steps]])-100,G4009+Table13[[#This Row],[Steps]]),
))</f>
        <v>78</v>
      </c>
      <c r="G4010">
        <f>IF(Table13[[#This Row],[New Pos L]]&lt;&gt;0,Table13[[#This Row],[New Pos L]],Table13[[#This Row],[New Pos R]])</f>
        <v>78</v>
      </c>
      <c r="H4010">
        <f>IF(AND(Table13[[#This Row],[Direction]]="L",Table13[[#This Row],[Steps]]&gt;G4009,G4009&lt;&gt;0),1,0)</f>
        <v>0</v>
      </c>
      <c r="I4010">
        <f>IF(AND(Table13[[#This Row],[Direction]]="R",(G4009+Table13[[#This Row],[Steps]])&gt;100),1,0)</f>
        <v>0</v>
      </c>
      <c r="J4010">
        <f>IF(Table13[[#This Row],[POS]]=0,1,0)</f>
        <v>0</v>
      </c>
      <c r="K4010">
        <f>SUM(Table13[[#This Row],[prefix]],Table13[[#This Row],[Past zero L]],Table13[[#This Row],[Past Zero R]],Table13[[#This Row],[Is Zero]])</f>
        <v>0</v>
      </c>
    </row>
    <row r="4011" spans="1:11" ht="16" x14ac:dyDescent="0.2">
      <c r="A4011" s="1" t="s">
        <v>95</v>
      </c>
      <c r="B4011" t="str">
        <f>LEFT(Table13[[#This Row],[Input]],1)</f>
        <v>L</v>
      </c>
      <c r="C4011">
        <f>_xlfn.LET(_xlpm.steps,SUBSTITUTE(Table13[[#This Row],[Input]],Table13[[#This Row],[Direction]],""),VALUE(IF(LEN(_xlpm.steps)&gt;2,RIGHT(_xlpm.steps,2),_xlpm.steps)))</f>
        <v>78</v>
      </c>
      <c r="D4011">
        <f>_xlfn.LET(_xlpm.steps,SUBSTITUTE(Table13[[#This Row],[Input]],Table13[[#This Row],[Direction]],""),VALUE(IF(LEN(_xlpm.steps)&gt;2,LEFT(_xlpm.steps,LEN(_xlpm.steps)-2),0)))</f>
        <v>0</v>
      </c>
      <c r="E4011">
        <f>_xlfn.LET(_xlpm.dir,Table13[[#This Row],[Direction]],
IF(_xlpm.dir="L",
    IF(G4010-Table13[[#This Row],[Steps]]&lt;0,100+(G4010-Table13[[#This Row],[Steps]]),G4010-Table13[[#This Row],[Steps]]),
))</f>
        <v>0</v>
      </c>
      <c r="F4011">
        <f>_xlfn.LET(_xlpm.dir,Table13[[#This Row],[Direction]],
IF(_xlpm.dir="R",
    IF(G4010+Table13[[#This Row],[Steps]]&gt;99,(G4010+Table13[[#This Row],[Steps]])-100,G4010+Table13[[#This Row],[Steps]]),
))</f>
        <v>0</v>
      </c>
      <c r="G4011">
        <f>IF(Table13[[#This Row],[New Pos L]]&lt;&gt;0,Table13[[#This Row],[New Pos L]],Table13[[#This Row],[New Pos R]])</f>
        <v>0</v>
      </c>
      <c r="H4011">
        <f>IF(AND(Table13[[#This Row],[Direction]]="L",Table13[[#This Row],[Steps]]&gt;G4010,G4010&lt;&gt;0),1,0)</f>
        <v>0</v>
      </c>
      <c r="I4011">
        <f>IF(AND(Table13[[#This Row],[Direction]]="R",(G4010+Table13[[#This Row],[Steps]])&gt;100),1,0)</f>
        <v>0</v>
      </c>
      <c r="J4011">
        <f>IF(Table13[[#This Row],[POS]]=0,1,0)</f>
        <v>1</v>
      </c>
      <c r="K4011">
        <f>SUM(Table13[[#This Row],[prefix]],Table13[[#This Row],[Past zero L]],Table13[[#This Row],[Past Zero R]],Table13[[#This Row],[Is Zero]])</f>
        <v>1</v>
      </c>
    </row>
    <row r="4012" spans="1:11" ht="16" x14ac:dyDescent="0.2">
      <c r="A4012" s="1" t="s">
        <v>39</v>
      </c>
      <c r="B4012" t="str">
        <f>LEFT(Table13[[#This Row],[Input]],1)</f>
        <v>R</v>
      </c>
      <c r="C4012">
        <f>_xlfn.LET(_xlpm.steps,SUBSTITUTE(Table13[[#This Row],[Input]],Table13[[#This Row],[Direction]],""),VALUE(IF(LEN(_xlpm.steps)&gt;2,RIGHT(_xlpm.steps,2),_xlpm.steps)))</f>
        <v>32</v>
      </c>
      <c r="D4012">
        <f>_xlfn.LET(_xlpm.steps,SUBSTITUTE(Table13[[#This Row],[Input]],Table13[[#This Row],[Direction]],""),VALUE(IF(LEN(_xlpm.steps)&gt;2,LEFT(_xlpm.steps,LEN(_xlpm.steps)-2),0)))</f>
        <v>0</v>
      </c>
      <c r="E4012">
        <f>_xlfn.LET(_xlpm.dir,Table13[[#This Row],[Direction]],
IF(_xlpm.dir="L",
    IF(G4011-Table13[[#This Row],[Steps]]&lt;0,100+(G4011-Table13[[#This Row],[Steps]]),G4011-Table13[[#This Row],[Steps]]),
))</f>
        <v>0</v>
      </c>
      <c r="F4012">
        <f>_xlfn.LET(_xlpm.dir,Table13[[#This Row],[Direction]],
IF(_xlpm.dir="R",
    IF(G4011+Table13[[#This Row],[Steps]]&gt;99,(G4011+Table13[[#This Row],[Steps]])-100,G4011+Table13[[#This Row],[Steps]]),
))</f>
        <v>32</v>
      </c>
      <c r="G4012">
        <f>IF(Table13[[#This Row],[New Pos L]]&lt;&gt;0,Table13[[#This Row],[New Pos L]],Table13[[#This Row],[New Pos R]])</f>
        <v>32</v>
      </c>
      <c r="H4012">
        <f>IF(AND(Table13[[#This Row],[Direction]]="L",Table13[[#This Row],[Steps]]&gt;G4011,G4011&lt;&gt;0),1,0)</f>
        <v>0</v>
      </c>
      <c r="I4012">
        <f>IF(AND(Table13[[#This Row],[Direction]]="R",(G4011+Table13[[#This Row],[Steps]])&gt;100),1,0)</f>
        <v>0</v>
      </c>
      <c r="J4012">
        <f>IF(Table13[[#This Row],[POS]]=0,1,0)</f>
        <v>0</v>
      </c>
      <c r="K4012">
        <f>SUM(Table13[[#This Row],[prefix]],Table13[[#This Row],[Past zero L]],Table13[[#This Row],[Past Zero R]],Table13[[#This Row],[Is Zero]])</f>
        <v>0</v>
      </c>
    </row>
    <row r="4013" spans="1:11" ht="16" x14ac:dyDescent="0.2">
      <c r="A4013" s="1" t="s">
        <v>72</v>
      </c>
      <c r="B4013" t="str">
        <f>LEFT(Table13[[#This Row],[Input]],1)</f>
        <v>R</v>
      </c>
      <c r="C4013">
        <f>_xlfn.LET(_xlpm.steps,SUBSTITUTE(Table13[[#This Row],[Input]],Table13[[#This Row],[Direction]],""),VALUE(IF(LEN(_xlpm.steps)&gt;2,RIGHT(_xlpm.steps,2),_xlpm.steps)))</f>
        <v>43</v>
      </c>
      <c r="D4013">
        <f>_xlfn.LET(_xlpm.steps,SUBSTITUTE(Table13[[#This Row],[Input]],Table13[[#This Row],[Direction]],""),VALUE(IF(LEN(_xlpm.steps)&gt;2,LEFT(_xlpm.steps,LEN(_xlpm.steps)-2),0)))</f>
        <v>0</v>
      </c>
      <c r="E4013">
        <f>_xlfn.LET(_xlpm.dir,Table13[[#This Row],[Direction]],
IF(_xlpm.dir="L",
    IF(G4012-Table13[[#This Row],[Steps]]&lt;0,100+(G4012-Table13[[#This Row],[Steps]]),G4012-Table13[[#This Row],[Steps]]),
))</f>
        <v>0</v>
      </c>
      <c r="F4013">
        <f>_xlfn.LET(_xlpm.dir,Table13[[#This Row],[Direction]],
IF(_xlpm.dir="R",
    IF(G4012+Table13[[#This Row],[Steps]]&gt;99,(G4012+Table13[[#This Row],[Steps]])-100,G4012+Table13[[#This Row],[Steps]]),
))</f>
        <v>75</v>
      </c>
      <c r="G4013">
        <f>IF(Table13[[#This Row],[New Pos L]]&lt;&gt;0,Table13[[#This Row],[New Pos L]],Table13[[#This Row],[New Pos R]])</f>
        <v>75</v>
      </c>
      <c r="H4013">
        <f>IF(AND(Table13[[#This Row],[Direction]]="L",Table13[[#This Row],[Steps]]&gt;G4012,G4012&lt;&gt;0),1,0)</f>
        <v>0</v>
      </c>
      <c r="I4013">
        <f>IF(AND(Table13[[#This Row],[Direction]]="R",(G4012+Table13[[#This Row],[Steps]])&gt;100),1,0)</f>
        <v>0</v>
      </c>
      <c r="J4013">
        <f>IF(Table13[[#This Row],[POS]]=0,1,0)</f>
        <v>0</v>
      </c>
      <c r="K4013">
        <f>SUM(Table13[[#This Row],[prefix]],Table13[[#This Row],[Past zero L]],Table13[[#This Row],[Past Zero R]],Table13[[#This Row],[Is Zero]])</f>
        <v>0</v>
      </c>
    </row>
    <row r="4014" spans="1:11" ht="16" x14ac:dyDescent="0.2">
      <c r="A4014" s="1" t="s">
        <v>288</v>
      </c>
      <c r="B4014" t="str">
        <f>LEFT(Table13[[#This Row],[Input]],1)</f>
        <v>R</v>
      </c>
      <c r="C4014">
        <f>_xlfn.LET(_xlpm.steps,SUBSTITUTE(Table13[[#This Row],[Input]],Table13[[#This Row],[Direction]],""),VALUE(IF(LEN(_xlpm.steps)&gt;2,RIGHT(_xlpm.steps,2),_xlpm.steps)))</f>
        <v>25</v>
      </c>
      <c r="D4014">
        <f>_xlfn.LET(_xlpm.steps,SUBSTITUTE(Table13[[#This Row],[Input]],Table13[[#This Row],[Direction]],""),VALUE(IF(LEN(_xlpm.steps)&gt;2,LEFT(_xlpm.steps,LEN(_xlpm.steps)-2),0)))</f>
        <v>0</v>
      </c>
      <c r="E4014">
        <f>_xlfn.LET(_xlpm.dir,Table13[[#This Row],[Direction]],
IF(_xlpm.dir="L",
    IF(G4013-Table13[[#This Row],[Steps]]&lt;0,100+(G4013-Table13[[#This Row],[Steps]]),G4013-Table13[[#This Row],[Steps]]),
))</f>
        <v>0</v>
      </c>
      <c r="F4014">
        <f>_xlfn.LET(_xlpm.dir,Table13[[#This Row],[Direction]],
IF(_xlpm.dir="R",
    IF(G4013+Table13[[#This Row],[Steps]]&gt;99,(G4013+Table13[[#This Row],[Steps]])-100,G4013+Table13[[#This Row],[Steps]]),
))</f>
        <v>0</v>
      </c>
      <c r="G4014">
        <f>IF(Table13[[#This Row],[New Pos L]]&lt;&gt;0,Table13[[#This Row],[New Pos L]],Table13[[#This Row],[New Pos R]])</f>
        <v>0</v>
      </c>
      <c r="H4014">
        <f>IF(AND(Table13[[#This Row],[Direction]]="L",Table13[[#This Row],[Steps]]&gt;G4013,G4013&lt;&gt;0),1,0)</f>
        <v>0</v>
      </c>
      <c r="I4014">
        <f>IF(AND(Table13[[#This Row],[Direction]]="R",(G4013+Table13[[#This Row],[Steps]])&gt;100),1,0)</f>
        <v>0</v>
      </c>
      <c r="J4014">
        <f>IF(Table13[[#This Row],[POS]]=0,1,0)</f>
        <v>1</v>
      </c>
      <c r="K4014">
        <f>SUM(Table13[[#This Row],[prefix]],Table13[[#This Row],[Past zero L]],Table13[[#This Row],[Past Zero R]],Table13[[#This Row],[Is Zero]])</f>
        <v>1</v>
      </c>
    </row>
    <row r="4015" spans="1:11" ht="16" x14ac:dyDescent="0.2">
      <c r="A4015" s="1" t="s">
        <v>179</v>
      </c>
      <c r="B4015" t="str">
        <f>LEFT(Table13[[#This Row],[Input]],1)</f>
        <v>L</v>
      </c>
      <c r="C4015">
        <f>_xlfn.LET(_xlpm.steps,SUBSTITUTE(Table13[[#This Row],[Input]],Table13[[#This Row],[Direction]],""),VALUE(IF(LEN(_xlpm.steps)&gt;2,RIGHT(_xlpm.steps,2),_xlpm.steps)))</f>
        <v>54</v>
      </c>
      <c r="D4015">
        <f>_xlfn.LET(_xlpm.steps,SUBSTITUTE(Table13[[#This Row],[Input]],Table13[[#This Row],[Direction]],""),VALUE(IF(LEN(_xlpm.steps)&gt;2,LEFT(_xlpm.steps,LEN(_xlpm.steps)-2),0)))</f>
        <v>0</v>
      </c>
      <c r="E4015">
        <f>_xlfn.LET(_xlpm.dir,Table13[[#This Row],[Direction]],
IF(_xlpm.dir="L",
    IF(G4014-Table13[[#This Row],[Steps]]&lt;0,100+(G4014-Table13[[#This Row],[Steps]]),G4014-Table13[[#This Row],[Steps]]),
))</f>
        <v>46</v>
      </c>
      <c r="F4015">
        <f>_xlfn.LET(_xlpm.dir,Table13[[#This Row],[Direction]],
IF(_xlpm.dir="R",
    IF(G4014+Table13[[#This Row],[Steps]]&gt;99,(G4014+Table13[[#This Row],[Steps]])-100,G4014+Table13[[#This Row],[Steps]]),
))</f>
        <v>0</v>
      </c>
      <c r="G4015">
        <f>IF(Table13[[#This Row],[New Pos L]]&lt;&gt;0,Table13[[#This Row],[New Pos L]],Table13[[#This Row],[New Pos R]])</f>
        <v>46</v>
      </c>
      <c r="H4015">
        <f>IF(AND(Table13[[#This Row],[Direction]]="L",Table13[[#This Row],[Steps]]&gt;G4014,G4014&lt;&gt;0),1,0)</f>
        <v>0</v>
      </c>
      <c r="I4015">
        <f>IF(AND(Table13[[#This Row],[Direction]]="R",(G4014+Table13[[#This Row],[Steps]])&gt;100),1,0)</f>
        <v>0</v>
      </c>
      <c r="J4015">
        <f>IF(Table13[[#This Row],[POS]]=0,1,0)</f>
        <v>0</v>
      </c>
      <c r="K4015">
        <f>SUM(Table13[[#This Row],[prefix]],Table13[[#This Row],[Past zero L]],Table13[[#This Row],[Past Zero R]],Table13[[#This Row],[Is Zero]])</f>
        <v>0</v>
      </c>
    </row>
    <row r="4016" spans="1:11" ht="16" x14ac:dyDescent="0.2">
      <c r="A4016" s="1" t="s">
        <v>823</v>
      </c>
      <c r="B4016" t="str">
        <f>LEFT(Table13[[#This Row],[Input]],1)</f>
        <v>L</v>
      </c>
      <c r="C4016">
        <f>_xlfn.LET(_xlpm.steps,SUBSTITUTE(Table13[[#This Row],[Input]],Table13[[#This Row],[Direction]],""),VALUE(IF(LEN(_xlpm.steps)&gt;2,RIGHT(_xlpm.steps,2),_xlpm.steps)))</f>
        <v>7</v>
      </c>
      <c r="D4016">
        <f>_xlfn.LET(_xlpm.steps,SUBSTITUTE(Table13[[#This Row],[Input]],Table13[[#This Row],[Direction]],""),VALUE(IF(LEN(_xlpm.steps)&gt;2,LEFT(_xlpm.steps,LEN(_xlpm.steps)-2),0)))</f>
        <v>4</v>
      </c>
      <c r="E4016">
        <f>_xlfn.LET(_xlpm.dir,Table13[[#This Row],[Direction]],
IF(_xlpm.dir="L",
    IF(G4015-Table13[[#This Row],[Steps]]&lt;0,100+(G4015-Table13[[#This Row],[Steps]]),G4015-Table13[[#This Row],[Steps]]),
))</f>
        <v>39</v>
      </c>
      <c r="F4016">
        <f>_xlfn.LET(_xlpm.dir,Table13[[#This Row],[Direction]],
IF(_xlpm.dir="R",
    IF(G4015+Table13[[#This Row],[Steps]]&gt;99,(G4015+Table13[[#This Row],[Steps]])-100,G4015+Table13[[#This Row],[Steps]]),
))</f>
        <v>0</v>
      </c>
      <c r="G4016">
        <f>IF(Table13[[#This Row],[New Pos L]]&lt;&gt;0,Table13[[#This Row],[New Pos L]],Table13[[#This Row],[New Pos R]])</f>
        <v>39</v>
      </c>
      <c r="H4016">
        <f>IF(AND(Table13[[#This Row],[Direction]]="L",Table13[[#This Row],[Steps]]&gt;G4015,G4015&lt;&gt;0),1,0)</f>
        <v>0</v>
      </c>
      <c r="I4016">
        <f>IF(AND(Table13[[#This Row],[Direction]]="R",(G4015+Table13[[#This Row],[Steps]])&gt;100),1,0)</f>
        <v>0</v>
      </c>
      <c r="J4016">
        <f>IF(Table13[[#This Row],[POS]]=0,1,0)</f>
        <v>0</v>
      </c>
      <c r="K4016">
        <f>SUM(Table13[[#This Row],[prefix]],Table13[[#This Row],[Past zero L]],Table13[[#This Row],[Past Zero R]],Table13[[#This Row],[Is Zero]])</f>
        <v>4</v>
      </c>
    </row>
    <row r="4017" spans="1:11" ht="16" x14ac:dyDescent="0.2">
      <c r="A4017" s="1" t="s">
        <v>193</v>
      </c>
      <c r="B4017" t="str">
        <f>LEFT(Table13[[#This Row],[Input]],1)</f>
        <v>L</v>
      </c>
      <c r="C4017">
        <f>_xlfn.LET(_xlpm.steps,SUBSTITUTE(Table13[[#This Row],[Input]],Table13[[#This Row],[Direction]],""),VALUE(IF(LEN(_xlpm.steps)&gt;2,RIGHT(_xlpm.steps,2),_xlpm.steps)))</f>
        <v>12</v>
      </c>
      <c r="D4017">
        <f>_xlfn.LET(_xlpm.steps,SUBSTITUTE(Table13[[#This Row],[Input]],Table13[[#This Row],[Direction]],""),VALUE(IF(LEN(_xlpm.steps)&gt;2,LEFT(_xlpm.steps,LEN(_xlpm.steps)-2),0)))</f>
        <v>0</v>
      </c>
      <c r="E4017">
        <f>_xlfn.LET(_xlpm.dir,Table13[[#This Row],[Direction]],
IF(_xlpm.dir="L",
    IF(G4016-Table13[[#This Row],[Steps]]&lt;0,100+(G4016-Table13[[#This Row],[Steps]]),G4016-Table13[[#This Row],[Steps]]),
))</f>
        <v>27</v>
      </c>
      <c r="F4017">
        <f>_xlfn.LET(_xlpm.dir,Table13[[#This Row],[Direction]],
IF(_xlpm.dir="R",
    IF(G4016+Table13[[#This Row],[Steps]]&gt;99,(G4016+Table13[[#This Row],[Steps]])-100,G4016+Table13[[#This Row],[Steps]]),
))</f>
        <v>0</v>
      </c>
      <c r="G4017">
        <f>IF(Table13[[#This Row],[New Pos L]]&lt;&gt;0,Table13[[#This Row],[New Pos L]],Table13[[#This Row],[New Pos R]])</f>
        <v>27</v>
      </c>
      <c r="H4017">
        <f>IF(AND(Table13[[#This Row],[Direction]]="L",Table13[[#This Row],[Steps]]&gt;G4016,G4016&lt;&gt;0),1,0)</f>
        <v>0</v>
      </c>
      <c r="I4017">
        <f>IF(AND(Table13[[#This Row],[Direction]]="R",(G4016+Table13[[#This Row],[Steps]])&gt;100),1,0)</f>
        <v>0</v>
      </c>
      <c r="J4017">
        <f>IF(Table13[[#This Row],[POS]]=0,1,0)</f>
        <v>0</v>
      </c>
      <c r="K4017">
        <f>SUM(Table13[[#This Row],[prefix]],Table13[[#This Row],[Past zero L]],Table13[[#This Row],[Past Zero R]],Table13[[#This Row],[Is Zero]])</f>
        <v>0</v>
      </c>
    </row>
    <row r="4018" spans="1:11" ht="16" x14ac:dyDescent="0.2">
      <c r="A4018" s="1" t="s">
        <v>164</v>
      </c>
      <c r="B4018" t="str">
        <f>LEFT(Table13[[#This Row],[Input]],1)</f>
        <v>R</v>
      </c>
      <c r="C4018">
        <f>_xlfn.LET(_xlpm.steps,SUBSTITUTE(Table13[[#This Row],[Input]],Table13[[#This Row],[Direction]],""),VALUE(IF(LEN(_xlpm.steps)&gt;2,RIGHT(_xlpm.steps,2),_xlpm.steps)))</f>
        <v>85</v>
      </c>
      <c r="D4018">
        <f>_xlfn.LET(_xlpm.steps,SUBSTITUTE(Table13[[#This Row],[Input]],Table13[[#This Row],[Direction]],""),VALUE(IF(LEN(_xlpm.steps)&gt;2,LEFT(_xlpm.steps,LEN(_xlpm.steps)-2),0)))</f>
        <v>0</v>
      </c>
      <c r="E4018">
        <f>_xlfn.LET(_xlpm.dir,Table13[[#This Row],[Direction]],
IF(_xlpm.dir="L",
    IF(G4017-Table13[[#This Row],[Steps]]&lt;0,100+(G4017-Table13[[#This Row],[Steps]]),G4017-Table13[[#This Row],[Steps]]),
))</f>
        <v>0</v>
      </c>
      <c r="F4018">
        <f>_xlfn.LET(_xlpm.dir,Table13[[#This Row],[Direction]],
IF(_xlpm.dir="R",
    IF(G4017+Table13[[#This Row],[Steps]]&gt;99,(G4017+Table13[[#This Row],[Steps]])-100,G4017+Table13[[#This Row],[Steps]]),
))</f>
        <v>12</v>
      </c>
      <c r="G4018">
        <f>IF(Table13[[#This Row],[New Pos L]]&lt;&gt;0,Table13[[#This Row],[New Pos L]],Table13[[#This Row],[New Pos R]])</f>
        <v>12</v>
      </c>
      <c r="H4018">
        <f>IF(AND(Table13[[#This Row],[Direction]]="L",Table13[[#This Row],[Steps]]&gt;G4017,G4017&lt;&gt;0),1,0)</f>
        <v>0</v>
      </c>
      <c r="I4018">
        <f>IF(AND(Table13[[#This Row],[Direction]]="R",(G4017+Table13[[#This Row],[Steps]])&gt;100),1,0)</f>
        <v>1</v>
      </c>
      <c r="J4018">
        <f>IF(Table13[[#This Row],[POS]]=0,1,0)</f>
        <v>0</v>
      </c>
      <c r="K4018">
        <f>SUM(Table13[[#This Row],[prefix]],Table13[[#This Row],[Past zero L]],Table13[[#This Row],[Past Zero R]],Table13[[#This Row],[Is Zero]])</f>
        <v>1</v>
      </c>
    </row>
    <row r="4019" spans="1:11" ht="16" x14ac:dyDescent="0.2">
      <c r="A4019" s="1" t="s">
        <v>66</v>
      </c>
      <c r="B4019" t="str">
        <f>LEFT(Table13[[#This Row],[Input]],1)</f>
        <v>R</v>
      </c>
      <c r="C4019">
        <f>_xlfn.LET(_xlpm.steps,SUBSTITUTE(Table13[[#This Row],[Input]],Table13[[#This Row],[Direction]],""),VALUE(IF(LEN(_xlpm.steps)&gt;2,RIGHT(_xlpm.steps,2),_xlpm.steps)))</f>
        <v>45</v>
      </c>
      <c r="D4019">
        <f>_xlfn.LET(_xlpm.steps,SUBSTITUTE(Table13[[#This Row],[Input]],Table13[[#This Row],[Direction]],""),VALUE(IF(LEN(_xlpm.steps)&gt;2,LEFT(_xlpm.steps,LEN(_xlpm.steps)-2),0)))</f>
        <v>0</v>
      </c>
      <c r="E4019">
        <f>_xlfn.LET(_xlpm.dir,Table13[[#This Row],[Direction]],
IF(_xlpm.dir="L",
    IF(G4018-Table13[[#This Row],[Steps]]&lt;0,100+(G4018-Table13[[#This Row],[Steps]]),G4018-Table13[[#This Row],[Steps]]),
))</f>
        <v>0</v>
      </c>
      <c r="F4019">
        <f>_xlfn.LET(_xlpm.dir,Table13[[#This Row],[Direction]],
IF(_xlpm.dir="R",
    IF(G4018+Table13[[#This Row],[Steps]]&gt;99,(G4018+Table13[[#This Row],[Steps]])-100,G4018+Table13[[#This Row],[Steps]]),
))</f>
        <v>57</v>
      </c>
      <c r="G4019">
        <f>IF(Table13[[#This Row],[New Pos L]]&lt;&gt;0,Table13[[#This Row],[New Pos L]],Table13[[#This Row],[New Pos R]])</f>
        <v>57</v>
      </c>
      <c r="H4019">
        <f>IF(AND(Table13[[#This Row],[Direction]]="L",Table13[[#This Row],[Steps]]&gt;G4018,G4018&lt;&gt;0),1,0)</f>
        <v>0</v>
      </c>
      <c r="I4019">
        <f>IF(AND(Table13[[#This Row],[Direction]]="R",(G4018+Table13[[#This Row],[Steps]])&gt;100),1,0)</f>
        <v>0</v>
      </c>
      <c r="J4019">
        <f>IF(Table13[[#This Row],[POS]]=0,1,0)</f>
        <v>0</v>
      </c>
      <c r="K4019">
        <f>SUM(Table13[[#This Row],[prefix]],Table13[[#This Row],[Past zero L]],Table13[[#This Row],[Past Zero R]],Table13[[#This Row],[Is Zero]])</f>
        <v>0</v>
      </c>
    </row>
    <row r="4020" spans="1:11" ht="16" x14ac:dyDescent="0.2">
      <c r="A4020" s="1" t="s">
        <v>72</v>
      </c>
      <c r="B4020" t="str">
        <f>LEFT(Table13[[#This Row],[Input]],1)</f>
        <v>R</v>
      </c>
      <c r="C4020">
        <f>_xlfn.LET(_xlpm.steps,SUBSTITUTE(Table13[[#This Row],[Input]],Table13[[#This Row],[Direction]],""),VALUE(IF(LEN(_xlpm.steps)&gt;2,RIGHT(_xlpm.steps,2),_xlpm.steps)))</f>
        <v>43</v>
      </c>
      <c r="D4020">
        <f>_xlfn.LET(_xlpm.steps,SUBSTITUTE(Table13[[#This Row],[Input]],Table13[[#This Row],[Direction]],""),VALUE(IF(LEN(_xlpm.steps)&gt;2,LEFT(_xlpm.steps,LEN(_xlpm.steps)-2),0)))</f>
        <v>0</v>
      </c>
      <c r="E4020">
        <f>_xlfn.LET(_xlpm.dir,Table13[[#This Row],[Direction]],
IF(_xlpm.dir="L",
    IF(G4019-Table13[[#This Row],[Steps]]&lt;0,100+(G4019-Table13[[#This Row],[Steps]]),G4019-Table13[[#This Row],[Steps]]),
))</f>
        <v>0</v>
      </c>
      <c r="F4020">
        <f>_xlfn.LET(_xlpm.dir,Table13[[#This Row],[Direction]],
IF(_xlpm.dir="R",
    IF(G4019+Table13[[#This Row],[Steps]]&gt;99,(G4019+Table13[[#This Row],[Steps]])-100,G4019+Table13[[#This Row],[Steps]]),
))</f>
        <v>0</v>
      </c>
      <c r="G4020">
        <f>IF(Table13[[#This Row],[New Pos L]]&lt;&gt;0,Table13[[#This Row],[New Pos L]],Table13[[#This Row],[New Pos R]])</f>
        <v>0</v>
      </c>
      <c r="H4020">
        <f>IF(AND(Table13[[#This Row],[Direction]]="L",Table13[[#This Row],[Steps]]&gt;G4019,G4019&lt;&gt;0),1,0)</f>
        <v>0</v>
      </c>
      <c r="I4020">
        <f>IF(AND(Table13[[#This Row],[Direction]]="R",(G4019+Table13[[#This Row],[Steps]])&gt;100),1,0)</f>
        <v>0</v>
      </c>
      <c r="J4020">
        <f>IF(Table13[[#This Row],[POS]]=0,1,0)</f>
        <v>1</v>
      </c>
      <c r="K4020">
        <f>SUM(Table13[[#This Row],[prefix]],Table13[[#This Row],[Past zero L]],Table13[[#This Row],[Past Zero R]],Table13[[#This Row],[Is Zero]])</f>
        <v>1</v>
      </c>
    </row>
    <row r="4021" spans="1:11" ht="16" x14ac:dyDescent="0.2">
      <c r="A4021" s="1" t="s">
        <v>135</v>
      </c>
      <c r="B4021" t="str">
        <f>LEFT(Table13[[#This Row],[Input]],1)</f>
        <v>R</v>
      </c>
      <c r="C4021">
        <f>_xlfn.LET(_xlpm.steps,SUBSTITUTE(Table13[[#This Row],[Input]],Table13[[#This Row],[Direction]],""),VALUE(IF(LEN(_xlpm.steps)&gt;2,RIGHT(_xlpm.steps,2),_xlpm.steps)))</f>
        <v>69</v>
      </c>
      <c r="D4021">
        <f>_xlfn.LET(_xlpm.steps,SUBSTITUTE(Table13[[#This Row],[Input]],Table13[[#This Row],[Direction]],""),VALUE(IF(LEN(_xlpm.steps)&gt;2,LEFT(_xlpm.steps,LEN(_xlpm.steps)-2),0)))</f>
        <v>0</v>
      </c>
      <c r="E4021">
        <f>_xlfn.LET(_xlpm.dir,Table13[[#This Row],[Direction]],
IF(_xlpm.dir="L",
    IF(G4020-Table13[[#This Row],[Steps]]&lt;0,100+(G4020-Table13[[#This Row],[Steps]]),G4020-Table13[[#This Row],[Steps]]),
))</f>
        <v>0</v>
      </c>
      <c r="F4021">
        <f>_xlfn.LET(_xlpm.dir,Table13[[#This Row],[Direction]],
IF(_xlpm.dir="R",
    IF(G4020+Table13[[#This Row],[Steps]]&gt;99,(G4020+Table13[[#This Row],[Steps]])-100,G4020+Table13[[#This Row],[Steps]]),
))</f>
        <v>69</v>
      </c>
      <c r="G4021">
        <f>IF(Table13[[#This Row],[New Pos L]]&lt;&gt;0,Table13[[#This Row],[New Pos L]],Table13[[#This Row],[New Pos R]])</f>
        <v>69</v>
      </c>
      <c r="H4021">
        <f>IF(AND(Table13[[#This Row],[Direction]]="L",Table13[[#This Row],[Steps]]&gt;G4020,G4020&lt;&gt;0),1,0)</f>
        <v>0</v>
      </c>
      <c r="I4021">
        <f>IF(AND(Table13[[#This Row],[Direction]]="R",(G4020+Table13[[#This Row],[Steps]])&gt;100),1,0)</f>
        <v>0</v>
      </c>
      <c r="J4021">
        <f>IF(Table13[[#This Row],[POS]]=0,1,0)</f>
        <v>0</v>
      </c>
      <c r="K4021">
        <f>SUM(Table13[[#This Row],[prefix]],Table13[[#This Row],[Past zero L]],Table13[[#This Row],[Past Zero R]],Table13[[#This Row],[Is Zero]])</f>
        <v>0</v>
      </c>
    </row>
    <row r="4022" spans="1:11" ht="16" x14ac:dyDescent="0.2">
      <c r="A4022" s="1" t="s">
        <v>31</v>
      </c>
      <c r="B4022" t="str">
        <f>LEFT(Table13[[#This Row],[Input]],1)</f>
        <v>L</v>
      </c>
      <c r="C4022">
        <f>_xlfn.LET(_xlpm.steps,SUBSTITUTE(Table13[[#This Row],[Input]],Table13[[#This Row],[Direction]],""),VALUE(IF(LEN(_xlpm.steps)&gt;2,RIGHT(_xlpm.steps,2),_xlpm.steps)))</f>
        <v>13</v>
      </c>
      <c r="D4022">
        <f>_xlfn.LET(_xlpm.steps,SUBSTITUTE(Table13[[#This Row],[Input]],Table13[[#This Row],[Direction]],""),VALUE(IF(LEN(_xlpm.steps)&gt;2,LEFT(_xlpm.steps,LEN(_xlpm.steps)-2),0)))</f>
        <v>0</v>
      </c>
      <c r="E4022">
        <f>_xlfn.LET(_xlpm.dir,Table13[[#This Row],[Direction]],
IF(_xlpm.dir="L",
    IF(G4021-Table13[[#This Row],[Steps]]&lt;0,100+(G4021-Table13[[#This Row],[Steps]]),G4021-Table13[[#This Row],[Steps]]),
))</f>
        <v>56</v>
      </c>
      <c r="F4022">
        <f>_xlfn.LET(_xlpm.dir,Table13[[#This Row],[Direction]],
IF(_xlpm.dir="R",
    IF(G4021+Table13[[#This Row],[Steps]]&gt;99,(G4021+Table13[[#This Row],[Steps]])-100,G4021+Table13[[#This Row],[Steps]]),
))</f>
        <v>0</v>
      </c>
      <c r="G4022">
        <f>IF(Table13[[#This Row],[New Pos L]]&lt;&gt;0,Table13[[#This Row],[New Pos L]],Table13[[#This Row],[New Pos R]])</f>
        <v>56</v>
      </c>
      <c r="H4022">
        <f>IF(AND(Table13[[#This Row],[Direction]]="L",Table13[[#This Row],[Steps]]&gt;G4021,G4021&lt;&gt;0),1,0)</f>
        <v>0</v>
      </c>
      <c r="I4022">
        <f>IF(AND(Table13[[#This Row],[Direction]]="R",(G4021+Table13[[#This Row],[Steps]])&gt;100),1,0)</f>
        <v>0</v>
      </c>
      <c r="J4022">
        <f>IF(Table13[[#This Row],[POS]]=0,1,0)</f>
        <v>0</v>
      </c>
      <c r="K4022">
        <f>SUM(Table13[[#This Row],[prefix]],Table13[[#This Row],[Past zero L]],Table13[[#This Row],[Past Zero R]],Table13[[#This Row],[Is Zero]])</f>
        <v>0</v>
      </c>
    </row>
    <row r="4023" spans="1:11" ht="16" x14ac:dyDescent="0.2">
      <c r="A4023" s="1" t="s">
        <v>824</v>
      </c>
      <c r="B4023" t="str">
        <f>LEFT(Table13[[#This Row],[Input]],1)</f>
        <v>R</v>
      </c>
      <c r="C4023">
        <f>_xlfn.LET(_xlpm.steps,SUBSTITUTE(Table13[[#This Row],[Input]],Table13[[#This Row],[Direction]],""),VALUE(IF(LEN(_xlpm.steps)&gt;2,RIGHT(_xlpm.steps,2),_xlpm.steps)))</f>
        <v>94</v>
      </c>
      <c r="D4023">
        <f>_xlfn.LET(_xlpm.steps,SUBSTITUTE(Table13[[#This Row],[Input]],Table13[[#This Row],[Direction]],""),VALUE(IF(LEN(_xlpm.steps)&gt;2,LEFT(_xlpm.steps,LEN(_xlpm.steps)-2),0)))</f>
        <v>2</v>
      </c>
      <c r="E4023">
        <f>_xlfn.LET(_xlpm.dir,Table13[[#This Row],[Direction]],
IF(_xlpm.dir="L",
    IF(G4022-Table13[[#This Row],[Steps]]&lt;0,100+(G4022-Table13[[#This Row],[Steps]]),G4022-Table13[[#This Row],[Steps]]),
))</f>
        <v>0</v>
      </c>
      <c r="F4023">
        <f>_xlfn.LET(_xlpm.dir,Table13[[#This Row],[Direction]],
IF(_xlpm.dir="R",
    IF(G4022+Table13[[#This Row],[Steps]]&gt;99,(G4022+Table13[[#This Row],[Steps]])-100,G4022+Table13[[#This Row],[Steps]]),
))</f>
        <v>50</v>
      </c>
      <c r="G4023">
        <f>IF(Table13[[#This Row],[New Pos L]]&lt;&gt;0,Table13[[#This Row],[New Pos L]],Table13[[#This Row],[New Pos R]])</f>
        <v>50</v>
      </c>
      <c r="H4023">
        <f>IF(AND(Table13[[#This Row],[Direction]]="L",Table13[[#This Row],[Steps]]&gt;G4022,G4022&lt;&gt;0),1,0)</f>
        <v>0</v>
      </c>
      <c r="I4023">
        <f>IF(AND(Table13[[#This Row],[Direction]]="R",(G4022+Table13[[#This Row],[Steps]])&gt;100),1,0)</f>
        <v>1</v>
      </c>
      <c r="J4023">
        <f>IF(Table13[[#This Row],[POS]]=0,1,0)</f>
        <v>0</v>
      </c>
      <c r="K4023">
        <f>SUM(Table13[[#This Row],[prefix]],Table13[[#This Row],[Past zero L]],Table13[[#This Row],[Past Zero R]],Table13[[#This Row],[Is Zero]])</f>
        <v>3</v>
      </c>
    </row>
    <row r="4024" spans="1:11" ht="16" x14ac:dyDescent="0.2">
      <c r="A4024" s="1" t="s">
        <v>825</v>
      </c>
      <c r="B4024" t="str">
        <f>LEFT(Table13[[#This Row],[Input]],1)</f>
        <v>R</v>
      </c>
      <c r="C4024">
        <f>_xlfn.LET(_xlpm.steps,SUBSTITUTE(Table13[[#This Row],[Input]],Table13[[#This Row],[Direction]],""),VALUE(IF(LEN(_xlpm.steps)&gt;2,RIGHT(_xlpm.steps,2),_xlpm.steps)))</f>
        <v>50</v>
      </c>
      <c r="D4024">
        <f>_xlfn.LET(_xlpm.steps,SUBSTITUTE(Table13[[#This Row],[Input]],Table13[[#This Row],[Direction]],""),VALUE(IF(LEN(_xlpm.steps)&gt;2,LEFT(_xlpm.steps,LEN(_xlpm.steps)-2),0)))</f>
        <v>1</v>
      </c>
      <c r="E4024">
        <f>_xlfn.LET(_xlpm.dir,Table13[[#This Row],[Direction]],
IF(_xlpm.dir="L",
    IF(G4023-Table13[[#This Row],[Steps]]&lt;0,100+(G4023-Table13[[#This Row],[Steps]]),G4023-Table13[[#This Row],[Steps]]),
))</f>
        <v>0</v>
      </c>
      <c r="F4024">
        <f>_xlfn.LET(_xlpm.dir,Table13[[#This Row],[Direction]],
IF(_xlpm.dir="R",
    IF(G4023+Table13[[#This Row],[Steps]]&gt;99,(G4023+Table13[[#This Row],[Steps]])-100,G4023+Table13[[#This Row],[Steps]]),
))</f>
        <v>0</v>
      </c>
      <c r="G4024">
        <f>IF(Table13[[#This Row],[New Pos L]]&lt;&gt;0,Table13[[#This Row],[New Pos L]],Table13[[#This Row],[New Pos R]])</f>
        <v>0</v>
      </c>
      <c r="H4024">
        <f>IF(AND(Table13[[#This Row],[Direction]]="L",Table13[[#This Row],[Steps]]&gt;G4023,G4023&lt;&gt;0),1,0)</f>
        <v>0</v>
      </c>
      <c r="I4024">
        <f>IF(AND(Table13[[#This Row],[Direction]]="R",(G4023+Table13[[#This Row],[Steps]])&gt;100),1,0)</f>
        <v>0</v>
      </c>
      <c r="J4024">
        <f>IF(Table13[[#This Row],[POS]]=0,1,0)</f>
        <v>1</v>
      </c>
      <c r="K4024">
        <f>SUM(Table13[[#This Row],[prefix]],Table13[[#This Row],[Past zero L]],Table13[[#This Row],[Past Zero R]],Table13[[#This Row],[Is Zero]])</f>
        <v>2</v>
      </c>
    </row>
    <row r="4025" spans="1:11" ht="16" x14ac:dyDescent="0.2">
      <c r="A4025" s="1" t="s">
        <v>111</v>
      </c>
      <c r="B4025" t="str">
        <f>LEFT(Table13[[#This Row],[Input]],1)</f>
        <v>R</v>
      </c>
      <c r="C4025">
        <f>_xlfn.LET(_xlpm.steps,SUBSTITUTE(Table13[[#This Row],[Input]],Table13[[#This Row],[Direction]],""),VALUE(IF(LEN(_xlpm.steps)&gt;2,RIGHT(_xlpm.steps,2),_xlpm.steps)))</f>
        <v>64</v>
      </c>
      <c r="D4025">
        <f>_xlfn.LET(_xlpm.steps,SUBSTITUTE(Table13[[#This Row],[Input]],Table13[[#This Row],[Direction]],""),VALUE(IF(LEN(_xlpm.steps)&gt;2,LEFT(_xlpm.steps,LEN(_xlpm.steps)-2),0)))</f>
        <v>0</v>
      </c>
      <c r="E4025">
        <f>_xlfn.LET(_xlpm.dir,Table13[[#This Row],[Direction]],
IF(_xlpm.dir="L",
    IF(G4024-Table13[[#This Row],[Steps]]&lt;0,100+(G4024-Table13[[#This Row],[Steps]]),G4024-Table13[[#This Row],[Steps]]),
))</f>
        <v>0</v>
      </c>
      <c r="F4025">
        <f>_xlfn.LET(_xlpm.dir,Table13[[#This Row],[Direction]],
IF(_xlpm.dir="R",
    IF(G4024+Table13[[#This Row],[Steps]]&gt;99,(G4024+Table13[[#This Row],[Steps]])-100,G4024+Table13[[#This Row],[Steps]]),
))</f>
        <v>64</v>
      </c>
      <c r="G4025">
        <f>IF(Table13[[#This Row],[New Pos L]]&lt;&gt;0,Table13[[#This Row],[New Pos L]],Table13[[#This Row],[New Pos R]])</f>
        <v>64</v>
      </c>
      <c r="H4025">
        <f>IF(AND(Table13[[#This Row],[Direction]]="L",Table13[[#This Row],[Steps]]&gt;G4024,G4024&lt;&gt;0),1,0)</f>
        <v>0</v>
      </c>
      <c r="I4025">
        <f>IF(AND(Table13[[#This Row],[Direction]]="R",(G4024+Table13[[#This Row],[Steps]])&gt;100),1,0)</f>
        <v>0</v>
      </c>
      <c r="J4025">
        <f>IF(Table13[[#This Row],[POS]]=0,1,0)</f>
        <v>0</v>
      </c>
      <c r="K4025">
        <f>SUM(Table13[[#This Row],[prefix]],Table13[[#This Row],[Past zero L]],Table13[[#This Row],[Past Zero R]],Table13[[#This Row],[Is Zero]])</f>
        <v>0</v>
      </c>
    </row>
    <row r="4026" spans="1:11" ht="16" x14ac:dyDescent="0.2">
      <c r="A4026" s="1" t="s">
        <v>145</v>
      </c>
      <c r="B4026" t="str">
        <f>LEFT(Table13[[#This Row],[Input]],1)</f>
        <v>L</v>
      </c>
      <c r="C4026">
        <f>_xlfn.LET(_xlpm.steps,SUBSTITUTE(Table13[[#This Row],[Input]],Table13[[#This Row],[Direction]],""),VALUE(IF(LEN(_xlpm.steps)&gt;2,RIGHT(_xlpm.steps,2),_xlpm.steps)))</f>
        <v>83</v>
      </c>
      <c r="D4026">
        <f>_xlfn.LET(_xlpm.steps,SUBSTITUTE(Table13[[#This Row],[Input]],Table13[[#This Row],[Direction]],""),VALUE(IF(LEN(_xlpm.steps)&gt;2,LEFT(_xlpm.steps,LEN(_xlpm.steps)-2),0)))</f>
        <v>0</v>
      </c>
      <c r="E4026">
        <f>_xlfn.LET(_xlpm.dir,Table13[[#This Row],[Direction]],
IF(_xlpm.dir="L",
    IF(G4025-Table13[[#This Row],[Steps]]&lt;0,100+(G4025-Table13[[#This Row],[Steps]]),G4025-Table13[[#This Row],[Steps]]),
))</f>
        <v>81</v>
      </c>
      <c r="F4026">
        <f>_xlfn.LET(_xlpm.dir,Table13[[#This Row],[Direction]],
IF(_xlpm.dir="R",
    IF(G4025+Table13[[#This Row],[Steps]]&gt;99,(G4025+Table13[[#This Row],[Steps]])-100,G4025+Table13[[#This Row],[Steps]]),
))</f>
        <v>0</v>
      </c>
      <c r="G4026">
        <f>IF(Table13[[#This Row],[New Pos L]]&lt;&gt;0,Table13[[#This Row],[New Pos L]],Table13[[#This Row],[New Pos R]])</f>
        <v>81</v>
      </c>
      <c r="H4026">
        <f>IF(AND(Table13[[#This Row],[Direction]]="L",Table13[[#This Row],[Steps]]&gt;G4025,G4025&lt;&gt;0),1,0)</f>
        <v>1</v>
      </c>
      <c r="I4026">
        <f>IF(AND(Table13[[#This Row],[Direction]]="R",(G4025+Table13[[#This Row],[Steps]])&gt;100),1,0)</f>
        <v>0</v>
      </c>
      <c r="J4026">
        <f>IF(Table13[[#This Row],[POS]]=0,1,0)</f>
        <v>0</v>
      </c>
      <c r="K4026">
        <f>SUM(Table13[[#This Row],[prefix]],Table13[[#This Row],[Past zero L]],Table13[[#This Row],[Past Zero R]],Table13[[#This Row],[Is Zero]])</f>
        <v>1</v>
      </c>
    </row>
    <row r="4027" spans="1:11" ht="16" x14ac:dyDescent="0.2">
      <c r="A4027" s="1" t="s">
        <v>826</v>
      </c>
      <c r="B4027" t="str">
        <f>LEFT(Table13[[#This Row],[Input]],1)</f>
        <v>L</v>
      </c>
      <c r="C4027">
        <f>_xlfn.LET(_xlpm.steps,SUBSTITUTE(Table13[[#This Row],[Input]],Table13[[#This Row],[Direction]],""),VALUE(IF(LEN(_xlpm.steps)&gt;2,RIGHT(_xlpm.steps,2),_xlpm.steps)))</f>
        <v>30</v>
      </c>
      <c r="D4027">
        <f>_xlfn.LET(_xlpm.steps,SUBSTITUTE(Table13[[#This Row],[Input]],Table13[[#This Row],[Direction]],""),VALUE(IF(LEN(_xlpm.steps)&gt;2,LEFT(_xlpm.steps,LEN(_xlpm.steps)-2),0)))</f>
        <v>7</v>
      </c>
      <c r="E4027">
        <f>_xlfn.LET(_xlpm.dir,Table13[[#This Row],[Direction]],
IF(_xlpm.dir="L",
    IF(G4026-Table13[[#This Row],[Steps]]&lt;0,100+(G4026-Table13[[#This Row],[Steps]]),G4026-Table13[[#This Row],[Steps]]),
))</f>
        <v>51</v>
      </c>
      <c r="F4027">
        <f>_xlfn.LET(_xlpm.dir,Table13[[#This Row],[Direction]],
IF(_xlpm.dir="R",
    IF(G4026+Table13[[#This Row],[Steps]]&gt;99,(G4026+Table13[[#This Row],[Steps]])-100,G4026+Table13[[#This Row],[Steps]]),
))</f>
        <v>0</v>
      </c>
      <c r="G4027">
        <f>IF(Table13[[#This Row],[New Pos L]]&lt;&gt;0,Table13[[#This Row],[New Pos L]],Table13[[#This Row],[New Pos R]])</f>
        <v>51</v>
      </c>
      <c r="H4027">
        <f>IF(AND(Table13[[#This Row],[Direction]]="L",Table13[[#This Row],[Steps]]&gt;G4026,G4026&lt;&gt;0),1,0)</f>
        <v>0</v>
      </c>
      <c r="I4027">
        <f>IF(AND(Table13[[#This Row],[Direction]]="R",(G4026+Table13[[#This Row],[Steps]])&gt;100),1,0)</f>
        <v>0</v>
      </c>
      <c r="J4027">
        <f>IF(Table13[[#This Row],[POS]]=0,1,0)</f>
        <v>0</v>
      </c>
      <c r="K4027">
        <f>SUM(Table13[[#This Row],[prefix]],Table13[[#This Row],[Past zero L]],Table13[[#This Row],[Past Zero R]],Table13[[#This Row],[Is Zero]])</f>
        <v>7</v>
      </c>
    </row>
    <row r="4028" spans="1:11" ht="16" x14ac:dyDescent="0.2">
      <c r="A4028" s="1" t="s">
        <v>827</v>
      </c>
      <c r="B4028" t="str">
        <f>LEFT(Table13[[#This Row],[Input]],1)</f>
        <v>R</v>
      </c>
      <c r="C4028">
        <f>_xlfn.LET(_xlpm.steps,SUBSTITUTE(Table13[[#This Row],[Input]],Table13[[#This Row],[Direction]],""),VALUE(IF(LEN(_xlpm.steps)&gt;2,RIGHT(_xlpm.steps,2),_xlpm.steps)))</f>
        <v>26</v>
      </c>
      <c r="D4028">
        <f>_xlfn.LET(_xlpm.steps,SUBSTITUTE(Table13[[#This Row],[Input]],Table13[[#This Row],[Direction]],""),VALUE(IF(LEN(_xlpm.steps)&gt;2,LEFT(_xlpm.steps,LEN(_xlpm.steps)-2),0)))</f>
        <v>9</v>
      </c>
      <c r="E4028">
        <f>_xlfn.LET(_xlpm.dir,Table13[[#This Row],[Direction]],
IF(_xlpm.dir="L",
    IF(G4027-Table13[[#This Row],[Steps]]&lt;0,100+(G4027-Table13[[#This Row],[Steps]]),G4027-Table13[[#This Row],[Steps]]),
))</f>
        <v>0</v>
      </c>
      <c r="F4028">
        <f>_xlfn.LET(_xlpm.dir,Table13[[#This Row],[Direction]],
IF(_xlpm.dir="R",
    IF(G4027+Table13[[#This Row],[Steps]]&gt;99,(G4027+Table13[[#This Row],[Steps]])-100,G4027+Table13[[#This Row],[Steps]]),
))</f>
        <v>77</v>
      </c>
      <c r="G4028">
        <f>IF(Table13[[#This Row],[New Pos L]]&lt;&gt;0,Table13[[#This Row],[New Pos L]],Table13[[#This Row],[New Pos R]])</f>
        <v>77</v>
      </c>
      <c r="H4028">
        <f>IF(AND(Table13[[#This Row],[Direction]]="L",Table13[[#This Row],[Steps]]&gt;G4027,G4027&lt;&gt;0),1,0)</f>
        <v>0</v>
      </c>
      <c r="I4028">
        <f>IF(AND(Table13[[#This Row],[Direction]]="R",(G4027+Table13[[#This Row],[Steps]])&gt;100),1,0)</f>
        <v>0</v>
      </c>
      <c r="J4028">
        <f>IF(Table13[[#This Row],[POS]]=0,1,0)</f>
        <v>0</v>
      </c>
      <c r="K4028">
        <f>SUM(Table13[[#This Row],[prefix]],Table13[[#This Row],[Past zero L]],Table13[[#This Row],[Past Zero R]],Table13[[#This Row],[Is Zero]])</f>
        <v>9</v>
      </c>
    </row>
    <row r="4029" spans="1:11" ht="16" x14ac:dyDescent="0.2">
      <c r="A4029" s="1" t="s">
        <v>157</v>
      </c>
      <c r="B4029" t="str">
        <f>LEFT(Table13[[#This Row],[Input]],1)</f>
        <v>R</v>
      </c>
      <c r="C4029">
        <f>_xlfn.LET(_xlpm.steps,SUBSTITUTE(Table13[[#This Row],[Input]],Table13[[#This Row],[Direction]],""),VALUE(IF(LEN(_xlpm.steps)&gt;2,RIGHT(_xlpm.steps,2),_xlpm.steps)))</f>
        <v>68</v>
      </c>
      <c r="D4029">
        <f>_xlfn.LET(_xlpm.steps,SUBSTITUTE(Table13[[#This Row],[Input]],Table13[[#This Row],[Direction]],""),VALUE(IF(LEN(_xlpm.steps)&gt;2,LEFT(_xlpm.steps,LEN(_xlpm.steps)-2),0)))</f>
        <v>0</v>
      </c>
      <c r="E4029">
        <f>_xlfn.LET(_xlpm.dir,Table13[[#This Row],[Direction]],
IF(_xlpm.dir="L",
    IF(G4028-Table13[[#This Row],[Steps]]&lt;0,100+(G4028-Table13[[#This Row],[Steps]]),G4028-Table13[[#This Row],[Steps]]),
))</f>
        <v>0</v>
      </c>
      <c r="F4029">
        <f>_xlfn.LET(_xlpm.dir,Table13[[#This Row],[Direction]],
IF(_xlpm.dir="R",
    IF(G4028+Table13[[#This Row],[Steps]]&gt;99,(G4028+Table13[[#This Row],[Steps]])-100,G4028+Table13[[#This Row],[Steps]]),
))</f>
        <v>45</v>
      </c>
      <c r="G4029">
        <f>IF(Table13[[#This Row],[New Pos L]]&lt;&gt;0,Table13[[#This Row],[New Pos L]],Table13[[#This Row],[New Pos R]])</f>
        <v>45</v>
      </c>
      <c r="H4029">
        <f>IF(AND(Table13[[#This Row],[Direction]]="L",Table13[[#This Row],[Steps]]&gt;G4028,G4028&lt;&gt;0),1,0)</f>
        <v>0</v>
      </c>
      <c r="I4029">
        <f>IF(AND(Table13[[#This Row],[Direction]]="R",(G4028+Table13[[#This Row],[Steps]])&gt;100),1,0)</f>
        <v>1</v>
      </c>
      <c r="J4029">
        <f>IF(Table13[[#This Row],[POS]]=0,1,0)</f>
        <v>0</v>
      </c>
      <c r="K4029">
        <f>SUM(Table13[[#This Row],[prefix]],Table13[[#This Row],[Past zero L]],Table13[[#This Row],[Past Zero R]],Table13[[#This Row],[Is Zero]])</f>
        <v>1</v>
      </c>
    </row>
    <row r="4030" spans="1:11" ht="16" x14ac:dyDescent="0.2">
      <c r="A4030" s="1" t="s">
        <v>828</v>
      </c>
      <c r="B4030" t="str">
        <f>LEFT(Table13[[#This Row],[Input]],1)</f>
        <v>R</v>
      </c>
      <c r="C4030">
        <f>_xlfn.LET(_xlpm.steps,SUBSTITUTE(Table13[[#This Row],[Input]],Table13[[#This Row],[Direction]],""),VALUE(IF(LEN(_xlpm.steps)&gt;2,RIGHT(_xlpm.steps,2),_xlpm.steps)))</f>
        <v>69</v>
      </c>
      <c r="D4030">
        <f>_xlfn.LET(_xlpm.steps,SUBSTITUTE(Table13[[#This Row],[Input]],Table13[[#This Row],[Direction]],""),VALUE(IF(LEN(_xlpm.steps)&gt;2,LEFT(_xlpm.steps,LEN(_xlpm.steps)-2),0)))</f>
        <v>3</v>
      </c>
      <c r="E4030">
        <f>_xlfn.LET(_xlpm.dir,Table13[[#This Row],[Direction]],
IF(_xlpm.dir="L",
    IF(G4029-Table13[[#This Row],[Steps]]&lt;0,100+(G4029-Table13[[#This Row],[Steps]]),G4029-Table13[[#This Row],[Steps]]),
))</f>
        <v>0</v>
      </c>
      <c r="F4030">
        <f>_xlfn.LET(_xlpm.dir,Table13[[#This Row],[Direction]],
IF(_xlpm.dir="R",
    IF(G4029+Table13[[#This Row],[Steps]]&gt;99,(G4029+Table13[[#This Row],[Steps]])-100,G4029+Table13[[#This Row],[Steps]]),
))</f>
        <v>14</v>
      </c>
      <c r="G4030">
        <f>IF(Table13[[#This Row],[New Pos L]]&lt;&gt;0,Table13[[#This Row],[New Pos L]],Table13[[#This Row],[New Pos R]])</f>
        <v>14</v>
      </c>
      <c r="H4030">
        <f>IF(AND(Table13[[#This Row],[Direction]]="L",Table13[[#This Row],[Steps]]&gt;G4029,G4029&lt;&gt;0),1,0)</f>
        <v>0</v>
      </c>
      <c r="I4030">
        <f>IF(AND(Table13[[#This Row],[Direction]]="R",(G4029+Table13[[#This Row],[Steps]])&gt;100),1,0)</f>
        <v>1</v>
      </c>
      <c r="J4030">
        <f>IF(Table13[[#This Row],[POS]]=0,1,0)</f>
        <v>0</v>
      </c>
      <c r="K4030">
        <f>SUM(Table13[[#This Row],[prefix]],Table13[[#This Row],[Past zero L]],Table13[[#This Row],[Past Zero R]],Table13[[#This Row],[Is Zero]])</f>
        <v>4</v>
      </c>
    </row>
    <row r="4031" spans="1:11" ht="16" x14ac:dyDescent="0.2">
      <c r="A4031" s="1" t="s">
        <v>3</v>
      </c>
      <c r="B4031" t="str">
        <f>LEFT(Table13[[#This Row],[Input]],1)</f>
        <v>R</v>
      </c>
      <c r="C4031">
        <f>_xlfn.LET(_xlpm.steps,SUBSTITUTE(Table13[[#This Row],[Input]],Table13[[#This Row],[Direction]],""),VALUE(IF(LEN(_xlpm.steps)&gt;2,RIGHT(_xlpm.steps,2),_xlpm.steps)))</f>
        <v>44</v>
      </c>
      <c r="D4031">
        <f>_xlfn.LET(_xlpm.steps,SUBSTITUTE(Table13[[#This Row],[Input]],Table13[[#This Row],[Direction]],""),VALUE(IF(LEN(_xlpm.steps)&gt;2,LEFT(_xlpm.steps,LEN(_xlpm.steps)-2),0)))</f>
        <v>0</v>
      </c>
      <c r="E4031">
        <f>_xlfn.LET(_xlpm.dir,Table13[[#This Row],[Direction]],
IF(_xlpm.dir="L",
    IF(G4030-Table13[[#This Row],[Steps]]&lt;0,100+(G4030-Table13[[#This Row],[Steps]]),G4030-Table13[[#This Row],[Steps]]),
))</f>
        <v>0</v>
      </c>
      <c r="F4031">
        <f>_xlfn.LET(_xlpm.dir,Table13[[#This Row],[Direction]],
IF(_xlpm.dir="R",
    IF(G4030+Table13[[#This Row],[Steps]]&gt;99,(G4030+Table13[[#This Row],[Steps]])-100,G4030+Table13[[#This Row],[Steps]]),
))</f>
        <v>58</v>
      </c>
      <c r="G4031">
        <f>IF(Table13[[#This Row],[New Pos L]]&lt;&gt;0,Table13[[#This Row],[New Pos L]],Table13[[#This Row],[New Pos R]])</f>
        <v>58</v>
      </c>
      <c r="H4031">
        <f>IF(AND(Table13[[#This Row],[Direction]]="L",Table13[[#This Row],[Steps]]&gt;G4030,G4030&lt;&gt;0),1,0)</f>
        <v>0</v>
      </c>
      <c r="I4031">
        <f>IF(AND(Table13[[#This Row],[Direction]]="R",(G4030+Table13[[#This Row],[Steps]])&gt;100),1,0)</f>
        <v>0</v>
      </c>
      <c r="J4031">
        <f>IF(Table13[[#This Row],[POS]]=0,1,0)</f>
        <v>0</v>
      </c>
      <c r="K4031">
        <f>SUM(Table13[[#This Row],[prefix]],Table13[[#This Row],[Past zero L]],Table13[[#This Row],[Past Zero R]],Table13[[#This Row],[Is Zero]])</f>
        <v>0</v>
      </c>
    </row>
    <row r="4032" spans="1:11" ht="16" x14ac:dyDescent="0.2">
      <c r="A4032" s="1" t="s">
        <v>829</v>
      </c>
      <c r="B4032" t="str">
        <f>LEFT(Table13[[#This Row],[Input]],1)</f>
        <v>L</v>
      </c>
      <c r="C4032">
        <f>_xlfn.LET(_xlpm.steps,SUBSTITUTE(Table13[[#This Row],[Input]],Table13[[#This Row],[Direction]],""),VALUE(IF(LEN(_xlpm.steps)&gt;2,RIGHT(_xlpm.steps,2),_xlpm.steps)))</f>
        <v>58</v>
      </c>
      <c r="D4032">
        <f>_xlfn.LET(_xlpm.steps,SUBSTITUTE(Table13[[#This Row],[Input]],Table13[[#This Row],[Direction]],""),VALUE(IF(LEN(_xlpm.steps)&gt;2,LEFT(_xlpm.steps,LEN(_xlpm.steps)-2),0)))</f>
        <v>9</v>
      </c>
      <c r="E4032">
        <f>_xlfn.LET(_xlpm.dir,Table13[[#This Row],[Direction]],
IF(_xlpm.dir="L",
    IF(G4031-Table13[[#This Row],[Steps]]&lt;0,100+(G4031-Table13[[#This Row],[Steps]]),G4031-Table13[[#This Row],[Steps]]),
))</f>
        <v>0</v>
      </c>
      <c r="F4032">
        <f>_xlfn.LET(_xlpm.dir,Table13[[#This Row],[Direction]],
IF(_xlpm.dir="R",
    IF(G4031+Table13[[#This Row],[Steps]]&gt;99,(G4031+Table13[[#This Row],[Steps]])-100,G4031+Table13[[#This Row],[Steps]]),
))</f>
        <v>0</v>
      </c>
      <c r="G4032">
        <f>IF(Table13[[#This Row],[New Pos L]]&lt;&gt;0,Table13[[#This Row],[New Pos L]],Table13[[#This Row],[New Pos R]])</f>
        <v>0</v>
      </c>
      <c r="H4032">
        <f>IF(AND(Table13[[#This Row],[Direction]]="L",Table13[[#This Row],[Steps]]&gt;G4031,G4031&lt;&gt;0),1,0)</f>
        <v>0</v>
      </c>
      <c r="I4032">
        <f>IF(AND(Table13[[#This Row],[Direction]]="R",(G4031+Table13[[#This Row],[Steps]])&gt;100),1,0)</f>
        <v>0</v>
      </c>
      <c r="J4032">
        <f>IF(Table13[[#This Row],[POS]]=0,1,0)</f>
        <v>1</v>
      </c>
      <c r="K4032">
        <f>SUM(Table13[[#This Row],[prefix]],Table13[[#This Row],[Past zero L]],Table13[[#This Row],[Past Zero R]],Table13[[#This Row],[Is Zero]])</f>
        <v>10</v>
      </c>
    </row>
    <row r="4033" spans="1:11" ht="16" x14ac:dyDescent="0.2">
      <c r="A4033" s="1" t="s">
        <v>27</v>
      </c>
      <c r="B4033" t="str">
        <f>LEFT(Table13[[#This Row],[Input]],1)</f>
        <v>L</v>
      </c>
      <c r="C4033">
        <f>_xlfn.LET(_xlpm.steps,SUBSTITUTE(Table13[[#This Row],[Input]],Table13[[#This Row],[Direction]],""),VALUE(IF(LEN(_xlpm.steps)&gt;2,RIGHT(_xlpm.steps,2),_xlpm.steps)))</f>
        <v>14</v>
      </c>
      <c r="D4033">
        <f>_xlfn.LET(_xlpm.steps,SUBSTITUTE(Table13[[#This Row],[Input]],Table13[[#This Row],[Direction]],""),VALUE(IF(LEN(_xlpm.steps)&gt;2,LEFT(_xlpm.steps,LEN(_xlpm.steps)-2),0)))</f>
        <v>0</v>
      </c>
      <c r="E4033">
        <f>_xlfn.LET(_xlpm.dir,Table13[[#This Row],[Direction]],
IF(_xlpm.dir="L",
    IF(G4032-Table13[[#This Row],[Steps]]&lt;0,100+(G4032-Table13[[#This Row],[Steps]]),G4032-Table13[[#This Row],[Steps]]),
))</f>
        <v>86</v>
      </c>
      <c r="F4033">
        <f>_xlfn.LET(_xlpm.dir,Table13[[#This Row],[Direction]],
IF(_xlpm.dir="R",
    IF(G4032+Table13[[#This Row],[Steps]]&gt;99,(G4032+Table13[[#This Row],[Steps]])-100,G4032+Table13[[#This Row],[Steps]]),
))</f>
        <v>0</v>
      </c>
      <c r="G4033">
        <f>IF(Table13[[#This Row],[New Pos L]]&lt;&gt;0,Table13[[#This Row],[New Pos L]],Table13[[#This Row],[New Pos R]])</f>
        <v>86</v>
      </c>
      <c r="H4033">
        <f>IF(AND(Table13[[#This Row],[Direction]]="L",Table13[[#This Row],[Steps]]&gt;G4032,G4032&lt;&gt;0),1,0)</f>
        <v>0</v>
      </c>
      <c r="I4033">
        <f>IF(AND(Table13[[#This Row],[Direction]]="R",(G4032+Table13[[#This Row],[Steps]])&gt;100),1,0)</f>
        <v>0</v>
      </c>
      <c r="J4033">
        <f>IF(Table13[[#This Row],[POS]]=0,1,0)</f>
        <v>0</v>
      </c>
      <c r="K4033">
        <f>SUM(Table13[[#This Row],[prefix]],Table13[[#This Row],[Past zero L]],Table13[[#This Row],[Past Zero R]],Table13[[#This Row],[Is Zero]])</f>
        <v>0</v>
      </c>
    </row>
    <row r="4034" spans="1:11" ht="16" x14ac:dyDescent="0.2">
      <c r="A4034" s="1" t="s">
        <v>216</v>
      </c>
      <c r="B4034" t="str">
        <f>LEFT(Table13[[#This Row],[Input]],1)</f>
        <v>R</v>
      </c>
      <c r="C4034">
        <f>_xlfn.LET(_xlpm.steps,SUBSTITUTE(Table13[[#This Row],[Input]],Table13[[#This Row],[Direction]],""),VALUE(IF(LEN(_xlpm.steps)&gt;2,RIGHT(_xlpm.steps,2),_xlpm.steps)))</f>
        <v>54</v>
      </c>
      <c r="D4034">
        <f>_xlfn.LET(_xlpm.steps,SUBSTITUTE(Table13[[#This Row],[Input]],Table13[[#This Row],[Direction]],""),VALUE(IF(LEN(_xlpm.steps)&gt;2,LEFT(_xlpm.steps,LEN(_xlpm.steps)-2),0)))</f>
        <v>0</v>
      </c>
      <c r="E4034">
        <f>_xlfn.LET(_xlpm.dir,Table13[[#This Row],[Direction]],
IF(_xlpm.dir="L",
    IF(G4033-Table13[[#This Row],[Steps]]&lt;0,100+(G4033-Table13[[#This Row],[Steps]]),G4033-Table13[[#This Row],[Steps]]),
))</f>
        <v>0</v>
      </c>
      <c r="F4034">
        <f>_xlfn.LET(_xlpm.dir,Table13[[#This Row],[Direction]],
IF(_xlpm.dir="R",
    IF(G4033+Table13[[#This Row],[Steps]]&gt;99,(G4033+Table13[[#This Row],[Steps]])-100,G4033+Table13[[#This Row],[Steps]]),
))</f>
        <v>40</v>
      </c>
      <c r="G4034">
        <f>IF(Table13[[#This Row],[New Pos L]]&lt;&gt;0,Table13[[#This Row],[New Pos L]],Table13[[#This Row],[New Pos R]])</f>
        <v>40</v>
      </c>
      <c r="H4034">
        <f>IF(AND(Table13[[#This Row],[Direction]]="L",Table13[[#This Row],[Steps]]&gt;G4033,G4033&lt;&gt;0),1,0)</f>
        <v>0</v>
      </c>
      <c r="I4034">
        <f>IF(AND(Table13[[#This Row],[Direction]]="R",(G4033+Table13[[#This Row],[Steps]])&gt;100),1,0)</f>
        <v>1</v>
      </c>
      <c r="J4034">
        <f>IF(Table13[[#This Row],[POS]]=0,1,0)</f>
        <v>0</v>
      </c>
      <c r="K4034">
        <f>SUM(Table13[[#This Row],[prefix]],Table13[[#This Row],[Past zero L]],Table13[[#This Row],[Past Zero R]],Table13[[#This Row],[Is Zero]])</f>
        <v>1</v>
      </c>
    </row>
    <row r="4035" spans="1:11" ht="16" x14ac:dyDescent="0.2">
      <c r="A4035" s="1" t="s">
        <v>139</v>
      </c>
      <c r="B4035" t="str">
        <f>LEFT(Table13[[#This Row],[Input]],1)</f>
        <v>R</v>
      </c>
      <c r="C4035">
        <f>_xlfn.LET(_xlpm.steps,SUBSTITUTE(Table13[[#This Row],[Input]],Table13[[#This Row],[Direction]],""),VALUE(IF(LEN(_xlpm.steps)&gt;2,RIGHT(_xlpm.steps,2),_xlpm.steps)))</f>
        <v>38</v>
      </c>
      <c r="D4035">
        <f>_xlfn.LET(_xlpm.steps,SUBSTITUTE(Table13[[#This Row],[Input]],Table13[[#This Row],[Direction]],""),VALUE(IF(LEN(_xlpm.steps)&gt;2,LEFT(_xlpm.steps,LEN(_xlpm.steps)-2),0)))</f>
        <v>0</v>
      </c>
      <c r="E4035">
        <f>_xlfn.LET(_xlpm.dir,Table13[[#This Row],[Direction]],
IF(_xlpm.dir="L",
    IF(G4034-Table13[[#This Row],[Steps]]&lt;0,100+(G4034-Table13[[#This Row],[Steps]]),G4034-Table13[[#This Row],[Steps]]),
))</f>
        <v>0</v>
      </c>
      <c r="F4035">
        <f>_xlfn.LET(_xlpm.dir,Table13[[#This Row],[Direction]],
IF(_xlpm.dir="R",
    IF(G4034+Table13[[#This Row],[Steps]]&gt;99,(G4034+Table13[[#This Row],[Steps]])-100,G4034+Table13[[#This Row],[Steps]]),
))</f>
        <v>78</v>
      </c>
      <c r="G4035">
        <f>IF(Table13[[#This Row],[New Pos L]]&lt;&gt;0,Table13[[#This Row],[New Pos L]],Table13[[#This Row],[New Pos R]])</f>
        <v>78</v>
      </c>
      <c r="H4035">
        <f>IF(AND(Table13[[#This Row],[Direction]]="L",Table13[[#This Row],[Steps]]&gt;G4034,G4034&lt;&gt;0),1,0)</f>
        <v>0</v>
      </c>
      <c r="I4035">
        <f>IF(AND(Table13[[#This Row],[Direction]]="R",(G4034+Table13[[#This Row],[Steps]])&gt;100),1,0)</f>
        <v>0</v>
      </c>
      <c r="J4035">
        <f>IF(Table13[[#This Row],[POS]]=0,1,0)</f>
        <v>0</v>
      </c>
      <c r="K4035">
        <f>SUM(Table13[[#This Row],[prefix]],Table13[[#This Row],[Past zero L]],Table13[[#This Row],[Past Zero R]],Table13[[#This Row],[Is Zero]])</f>
        <v>0</v>
      </c>
    </row>
    <row r="4036" spans="1:11" ht="16" x14ac:dyDescent="0.2">
      <c r="A4036" s="1" t="s">
        <v>16</v>
      </c>
      <c r="B4036" t="str">
        <f>LEFT(Table13[[#This Row],[Input]],1)</f>
        <v>L</v>
      </c>
      <c r="C4036">
        <f>_xlfn.LET(_xlpm.steps,SUBSTITUTE(Table13[[#This Row],[Input]],Table13[[#This Row],[Direction]],""),VALUE(IF(LEN(_xlpm.steps)&gt;2,RIGHT(_xlpm.steps,2),_xlpm.steps)))</f>
        <v>10</v>
      </c>
      <c r="D4036">
        <f>_xlfn.LET(_xlpm.steps,SUBSTITUTE(Table13[[#This Row],[Input]],Table13[[#This Row],[Direction]],""),VALUE(IF(LEN(_xlpm.steps)&gt;2,LEFT(_xlpm.steps,LEN(_xlpm.steps)-2),0)))</f>
        <v>0</v>
      </c>
      <c r="E4036">
        <f>_xlfn.LET(_xlpm.dir,Table13[[#This Row],[Direction]],
IF(_xlpm.dir="L",
    IF(G4035-Table13[[#This Row],[Steps]]&lt;0,100+(G4035-Table13[[#This Row],[Steps]]),G4035-Table13[[#This Row],[Steps]]),
))</f>
        <v>68</v>
      </c>
      <c r="F4036">
        <f>_xlfn.LET(_xlpm.dir,Table13[[#This Row],[Direction]],
IF(_xlpm.dir="R",
    IF(G4035+Table13[[#This Row],[Steps]]&gt;99,(G4035+Table13[[#This Row],[Steps]])-100,G4035+Table13[[#This Row],[Steps]]),
))</f>
        <v>0</v>
      </c>
      <c r="G4036">
        <f>IF(Table13[[#This Row],[New Pos L]]&lt;&gt;0,Table13[[#This Row],[New Pos L]],Table13[[#This Row],[New Pos R]])</f>
        <v>68</v>
      </c>
      <c r="H4036">
        <f>IF(AND(Table13[[#This Row],[Direction]]="L",Table13[[#This Row],[Steps]]&gt;G4035,G4035&lt;&gt;0),1,0)</f>
        <v>0</v>
      </c>
      <c r="I4036">
        <f>IF(AND(Table13[[#This Row],[Direction]]="R",(G4035+Table13[[#This Row],[Steps]])&gt;100),1,0)</f>
        <v>0</v>
      </c>
      <c r="J4036">
        <f>IF(Table13[[#This Row],[POS]]=0,1,0)</f>
        <v>0</v>
      </c>
      <c r="K4036">
        <f>SUM(Table13[[#This Row],[prefix]],Table13[[#This Row],[Past zero L]],Table13[[#This Row],[Past Zero R]],Table13[[#This Row],[Is Zero]])</f>
        <v>0</v>
      </c>
    </row>
    <row r="4037" spans="1:11" ht="16" x14ac:dyDescent="0.2">
      <c r="A4037" s="1" t="s">
        <v>206</v>
      </c>
      <c r="B4037" t="str">
        <f>LEFT(Table13[[#This Row],[Input]],1)</f>
        <v>R</v>
      </c>
      <c r="C4037">
        <f>_xlfn.LET(_xlpm.steps,SUBSTITUTE(Table13[[#This Row],[Input]],Table13[[#This Row],[Direction]],""),VALUE(IF(LEN(_xlpm.steps)&gt;2,RIGHT(_xlpm.steps,2),_xlpm.steps)))</f>
        <v>62</v>
      </c>
      <c r="D4037">
        <f>_xlfn.LET(_xlpm.steps,SUBSTITUTE(Table13[[#This Row],[Input]],Table13[[#This Row],[Direction]],""),VALUE(IF(LEN(_xlpm.steps)&gt;2,LEFT(_xlpm.steps,LEN(_xlpm.steps)-2),0)))</f>
        <v>0</v>
      </c>
      <c r="E4037">
        <f>_xlfn.LET(_xlpm.dir,Table13[[#This Row],[Direction]],
IF(_xlpm.dir="L",
    IF(G4036-Table13[[#This Row],[Steps]]&lt;0,100+(G4036-Table13[[#This Row],[Steps]]),G4036-Table13[[#This Row],[Steps]]),
))</f>
        <v>0</v>
      </c>
      <c r="F4037">
        <f>_xlfn.LET(_xlpm.dir,Table13[[#This Row],[Direction]],
IF(_xlpm.dir="R",
    IF(G4036+Table13[[#This Row],[Steps]]&gt;99,(G4036+Table13[[#This Row],[Steps]])-100,G4036+Table13[[#This Row],[Steps]]),
))</f>
        <v>30</v>
      </c>
      <c r="G4037">
        <f>IF(Table13[[#This Row],[New Pos L]]&lt;&gt;0,Table13[[#This Row],[New Pos L]],Table13[[#This Row],[New Pos R]])</f>
        <v>30</v>
      </c>
      <c r="H4037">
        <f>IF(AND(Table13[[#This Row],[Direction]]="L",Table13[[#This Row],[Steps]]&gt;G4036,G4036&lt;&gt;0),1,0)</f>
        <v>0</v>
      </c>
      <c r="I4037">
        <f>IF(AND(Table13[[#This Row],[Direction]]="R",(G4036+Table13[[#This Row],[Steps]])&gt;100),1,0)</f>
        <v>1</v>
      </c>
      <c r="J4037">
        <f>IF(Table13[[#This Row],[POS]]=0,1,0)</f>
        <v>0</v>
      </c>
      <c r="K4037">
        <f>SUM(Table13[[#This Row],[prefix]],Table13[[#This Row],[Past zero L]],Table13[[#This Row],[Past Zero R]],Table13[[#This Row],[Is Zero]])</f>
        <v>1</v>
      </c>
    </row>
    <row r="4038" spans="1:11" ht="16" x14ac:dyDescent="0.2">
      <c r="A4038" s="1" t="s">
        <v>4</v>
      </c>
      <c r="B4038" t="str">
        <f>LEFT(Table13[[#This Row],[Input]],1)</f>
        <v>R</v>
      </c>
      <c r="C4038">
        <f>_xlfn.LET(_xlpm.steps,SUBSTITUTE(Table13[[#This Row],[Input]],Table13[[#This Row],[Direction]],""),VALUE(IF(LEN(_xlpm.steps)&gt;2,RIGHT(_xlpm.steps,2),_xlpm.steps)))</f>
        <v>3</v>
      </c>
      <c r="D4038">
        <f>_xlfn.LET(_xlpm.steps,SUBSTITUTE(Table13[[#This Row],[Input]],Table13[[#This Row],[Direction]],""),VALUE(IF(LEN(_xlpm.steps)&gt;2,LEFT(_xlpm.steps,LEN(_xlpm.steps)-2),0)))</f>
        <v>0</v>
      </c>
      <c r="E4038">
        <f>_xlfn.LET(_xlpm.dir,Table13[[#This Row],[Direction]],
IF(_xlpm.dir="L",
    IF(G4037-Table13[[#This Row],[Steps]]&lt;0,100+(G4037-Table13[[#This Row],[Steps]]),G4037-Table13[[#This Row],[Steps]]),
))</f>
        <v>0</v>
      </c>
      <c r="F4038">
        <f>_xlfn.LET(_xlpm.dir,Table13[[#This Row],[Direction]],
IF(_xlpm.dir="R",
    IF(G4037+Table13[[#This Row],[Steps]]&gt;99,(G4037+Table13[[#This Row],[Steps]])-100,G4037+Table13[[#This Row],[Steps]]),
))</f>
        <v>33</v>
      </c>
      <c r="G4038">
        <f>IF(Table13[[#This Row],[New Pos L]]&lt;&gt;0,Table13[[#This Row],[New Pos L]],Table13[[#This Row],[New Pos R]])</f>
        <v>33</v>
      </c>
      <c r="H4038">
        <f>IF(AND(Table13[[#This Row],[Direction]]="L",Table13[[#This Row],[Steps]]&gt;G4037,G4037&lt;&gt;0),1,0)</f>
        <v>0</v>
      </c>
      <c r="I4038">
        <f>IF(AND(Table13[[#This Row],[Direction]]="R",(G4037+Table13[[#This Row],[Steps]])&gt;100),1,0)</f>
        <v>0</v>
      </c>
      <c r="J4038">
        <f>IF(Table13[[#This Row],[POS]]=0,1,0)</f>
        <v>0</v>
      </c>
      <c r="K4038">
        <f>SUM(Table13[[#This Row],[prefix]],Table13[[#This Row],[Past zero L]],Table13[[#This Row],[Past Zero R]],Table13[[#This Row],[Is Zero]])</f>
        <v>0</v>
      </c>
    </row>
    <row r="4039" spans="1:11" ht="16" x14ac:dyDescent="0.2">
      <c r="A4039" s="1" t="s">
        <v>293</v>
      </c>
      <c r="B4039" t="str">
        <f>LEFT(Table13[[#This Row],[Input]],1)</f>
        <v>R</v>
      </c>
      <c r="C4039">
        <f>_xlfn.LET(_xlpm.steps,SUBSTITUTE(Table13[[#This Row],[Input]],Table13[[#This Row],[Direction]],""),VALUE(IF(LEN(_xlpm.steps)&gt;2,RIGHT(_xlpm.steps,2),_xlpm.steps)))</f>
        <v>67</v>
      </c>
      <c r="D4039">
        <f>_xlfn.LET(_xlpm.steps,SUBSTITUTE(Table13[[#This Row],[Input]],Table13[[#This Row],[Direction]],""),VALUE(IF(LEN(_xlpm.steps)&gt;2,LEFT(_xlpm.steps,LEN(_xlpm.steps)-2),0)))</f>
        <v>0</v>
      </c>
      <c r="E4039">
        <f>_xlfn.LET(_xlpm.dir,Table13[[#This Row],[Direction]],
IF(_xlpm.dir="L",
    IF(G4038-Table13[[#This Row],[Steps]]&lt;0,100+(G4038-Table13[[#This Row],[Steps]]),G4038-Table13[[#This Row],[Steps]]),
))</f>
        <v>0</v>
      </c>
      <c r="F4039">
        <f>_xlfn.LET(_xlpm.dir,Table13[[#This Row],[Direction]],
IF(_xlpm.dir="R",
    IF(G4038+Table13[[#This Row],[Steps]]&gt;99,(G4038+Table13[[#This Row],[Steps]])-100,G4038+Table13[[#This Row],[Steps]]),
))</f>
        <v>0</v>
      </c>
      <c r="G4039">
        <f>IF(Table13[[#This Row],[New Pos L]]&lt;&gt;0,Table13[[#This Row],[New Pos L]],Table13[[#This Row],[New Pos R]])</f>
        <v>0</v>
      </c>
      <c r="H4039">
        <f>IF(AND(Table13[[#This Row],[Direction]]="L",Table13[[#This Row],[Steps]]&gt;G4038,G4038&lt;&gt;0),1,0)</f>
        <v>0</v>
      </c>
      <c r="I4039">
        <f>IF(AND(Table13[[#This Row],[Direction]]="R",(G4038+Table13[[#This Row],[Steps]])&gt;100),1,0)</f>
        <v>0</v>
      </c>
      <c r="J4039">
        <f>IF(Table13[[#This Row],[POS]]=0,1,0)</f>
        <v>1</v>
      </c>
      <c r="K4039">
        <f>SUM(Table13[[#This Row],[prefix]],Table13[[#This Row],[Past zero L]],Table13[[#This Row],[Past Zero R]],Table13[[#This Row],[Is Zero]])</f>
        <v>1</v>
      </c>
    </row>
    <row r="4040" spans="1:11" ht="16" x14ac:dyDescent="0.2">
      <c r="A4040" s="1" t="s">
        <v>182</v>
      </c>
      <c r="B4040" t="str">
        <f>LEFT(Table13[[#This Row],[Input]],1)</f>
        <v>L</v>
      </c>
      <c r="C4040">
        <f>_xlfn.LET(_xlpm.steps,SUBSTITUTE(Table13[[#This Row],[Input]],Table13[[#This Row],[Direction]],""),VALUE(IF(LEN(_xlpm.steps)&gt;2,RIGHT(_xlpm.steps,2),_xlpm.steps)))</f>
        <v>3</v>
      </c>
      <c r="D4040">
        <f>_xlfn.LET(_xlpm.steps,SUBSTITUTE(Table13[[#This Row],[Input]],Table13[[#This Row],[Direction]],""),VALUE(IF(LEN(_xlpm.steps)&gt;2,LEFT(_xlpm.steps,LEN(_xlpm.steps)-2),0)))</f>
        <v>0</v>
      </c>
      <c r="E4040">
        <f>_xlfn.LET(_xlpm.dir,Table13[[#This Row],[Direction]],
IF(_xlpm.dir="L",
    IF(G4039-Table13[[#This Row],[Steps]]&lt;0,100+(G4039-Table13[[#This Row],[Steps]]),G4039-Table13[[#This Row],[Steps]]),
))</f>
        <v>97</v>
      </c>
      <c r="F4040">
        <f>_xlfn.LET(_xlpm.dir,Table13[[#This Row],[Direction]],
IF(_xlpm.dir="R",
    IF(G4039+Table13[[#This Row],[Steps]]&gt;99,(G4039+Table13[[#This Row],[Steps]])-100,G4039+Table13[[#This Row],[Steps]]),
))</f>
        <v>0</v>
      </c>
      <c r="G4040">
        <f>IF(Table13[[#This Row],[New Pos L]]&lt;&gt;0,Table13[[#This Row],[New Pos L]],Table13[[#This Row],[New Pos R]])</f>
        <v>97</v>
      </c>
      <c r="H4040">
        <f>IF(AND(Table13[[#This Row],[Direction]]="L",Table13[[#This Row],[Steps]]&gt;G4039,G4039&lt;&gt;0),1,0)</f>
        <v>0</v>
      </c>
      <c r="I4040">
        <f>IF(AND(Table13[[#This Row],[Direction]]="R",(G4039+Table13[[#This Row],[Steps]])&gt;100),1,0)</f>
        <v>0</v>
      </c>
      <c r="J4040">
        <f>IF(Table13[[#This Row],[POS]]=0,1,0)</f>
        <v>0</v>
      </c>
      <c r="K4040">
        <f>SUM(Table13[[#This Row],[prefix]],Table13[[#This Row],[Past zero L]],Table13[[#This Row],[Past Zero R]],Table13[[#This Row],[Is Zero]])</f>
        <v>0</v>
      </c>
    </row>
    <row r="4041" spans="1:11" ht="16" x14ac:dyDescent="0.2">
      <c r="A4041" s="1" t="s">
        <v>830</v>
      </c>
      <c r="B4041" t="str">
        <f>LEFT(Table13[[#This Row],[Input]],1)</f>
        <v>R</v>
      </c>
      <c r="C4041">
        <f>_xlfn.LET(_xlpm.steps,SUBSTITUTE(Table13[[#This Row],[Input]],Table13[[#This Row],[Direction]],""),VALUE(IF(LEN(_xlpm.steps)&gt;2,RIGHT(_xlpm.steps,2),_xlpm.steps)))</f>
        <v>3</v>
      </c>
      <c r="D4041">
        <f>_xlfn.LET(_xlpm.steps,SUBSTITUTE(Table13[[#This Row],[Input]],Table13[[#This Row],[Direction]],""),VALUE(IF(LEN(_xlpm.steps)&gt;2,LEFT(_xlpm.steps,LEN(_xlpm.steps)-2),0)))</f>
        <v>4</v>
      </c>
      <c r="E4041">
        <f>_xlfn.LET(_xlpm.dir,Table13[[#This Row],[Direction]],
IF(_xlpm.dir="L",
    IF(G4040-Table13[[#This Row],[Steps]]&lt;0,100+(G4040-Table13[[#This Row],[Steps]]),G4040-Table13[[#This Row],[Steps]]),
))</f>
        <v>0</v>
      </c>
      <c r="F4041">
        <f>_xlfn.LET(_xlpm.dir,Table13[[#This Row],[Direction]],
IF(_xlpm.dir="R",
    IF(G4040+Table13[[#This Row],[Steps]]&gt;99,(G4040+Table13[[#This Row],[Steps]])-100,G4040+Table13[[#This Row],[Steps]]),
))</f>
        <v>0</v>
      </c>
      <c r="G4041">
        <f>IF(Table13[[#This Row],[New Pos L]]&lt;&gt;0,Table13[[#This Row],[New Pos L]],Table13[[#This Row],[New Pos R]])</f>
        <v>0</v>
      </c>
      <c r="H4041">
        <f>IF(AND(Table13[[#This Row],[Direction]]="L",Table13[[#This Row],[Steps]]&gt;G4040,G4040&lt;&gt;0),1,0)</f>
        <v>0</v>
      </c>
      <c r="I4041">
        <f>IF(AND(Table13[[#This Row],[Direction]]="R",(G4040+Table13[[#This Row],[Steps]])&gt;100),1,0)</f>
        <v>0</v>
      </c>
      <c r="J4041">
        <f>IF(Table13[[#This Row],[POS]]=0,1,0)</f>
        <v>1</v>
      </c>
      <c r="K4041">
        <f>SUM(Table13[[#This Row],[prefix]],Table13[[#This Row],[Past zero L]],Table13[[#This Row],[Past Zero R]],Table13[[#This Row],[Is Zero]])</f>
        <v>5</v>
      </c>
    </row>
    <row r="4042" spans="1:11" ht="16" x14ac:dyDescent="0.2">
      <c r="A4042" s="1" t="s">
        <v>226</v>
      </c>
      <c r="B4042" t="str">
        <f>LEFT(Table13[[#This Row],[Input]],1)</f>
        <v>L</v>
      </c>
      <c r="C4042">
        <f>_xlfn.LET(_xlpm.steps,SUBSTITUTE(Table13[[#This Row],[Input]],Table13[[#This Row],[Direction]],""),VALUE(IF(LEN(_xlpm.steps)&gt;2,RIGHT(_xlpm.steps,2),_xlpm.steps)))</f>
        <v>31</v>
      </c>
      <c r="D4042">
        <f>_xlfn.LET(_xlpm.steps,SUBSTITUTE(Table13[[#This Row],[Input]],Table13[[#This Row],[Direction]],""),VALUE(IF(LEN(_xlpm.steps)&gt;2,LEFT(_xlpm.steps,LEN(_xlpm.steps)-2),0)))</f>
        <v>0</v>
      </c>
      <c r="E4042">
        <f>_xlfn.LET(_xlpm.dir,Table13[[#This Row],[Direction]],
IF(_xlpm.dir="L",
    IF(G4041-Table13[[#This Row],[Steps]]&lt;0,100+(G4041-Table13[[#This Row],[Steps]]),G4041-Table13[[#This Row],[Steps]]),
))</f>
        <v>69</v>
      </c>
      <c r="F4042">
        <f>_xlfn.LET(_xlpm.dir,Table13[[#This Row],[Direction]],
IF(_xlpm.dir="R",
    IF(G4041+Table13[[#This Row],[Steps]]&gt;99,(G4041+Table13[[#This Row],[Steps]])-100,G4041+Table13[[#This Row],[Steps]]),
))</f>
        <v>0</v>
      </c>
      <c r="G4042">
        <f>IF(Table13[[#This Row],[New Pos L]]&lt;&gt;0,Table13[[#This Row],[New Pos L]],Table13[[#This Row],[New Pos R]])</f>
        <v>69</v>
      </c>
      <c r="H4042">
        <f>IF(AND(Table13[[#This Row],[Direction]]="L",Table13[[#This Row],[Steps]]&gt;G4041,G4041&lt;&gt;0),1,0)</f>
        <v>0</v>
      </c>
      <c r="I4042">
        <f>IF(AND(Table13[[#This Row],[Direction]]="R",(G4041+Table13[[#This Row],[Steps]])&gt;100),1,0)</f>
        <v>0</v>
      </c>
      <c r="J4042">
        <f>IF(Table13[[#This Row],[POS]]=0,1,0)</f>
        <v>0</v>
      </c>
      <c r="K4042">
        <f>SUM(Table13[[#This Row],[prefix]],Table13[[#This Row],[Past zero L]],Table13[[#This Row],[Past Zero R]],Table13[[#This Row],[Is Zero]])</f>
        <v>0</v>
      </c>
    </row>
    <row r="4043" spans="1:11" ht="16" x14ac:dyDescent="0.2">
      <c r="A4043" s="1" t="s">
        <v>102</v>
      </c>
      <c r="B4043" t="str">
        <f>LEFT(Table13[[#This Row],[Input]],1)</f>
        <v>R</v>
      </c>
      <c r="C4043">
        <f>_xlfn.LET(_xlpm.steps,SUBSTITUTE(Table13[[#This Row],[Input]],Table13[[#This Row],[Direction]],""),VALUE(IF(LEN(_xlpm.steps)&gt;2,RIGHT(_xlpm.steps,2),_xlpm.steps)))</f>
        <v>39</v>
      </c>
      <c r="D4043">
        <f>_xlfn.LET(_xlpm.steps,SUBSTITUTE(Table13[[#This Row],[Input]],Table13[[#This Row],[Direction]],""),VALUE(IF(LEN(_xlpm.steps)&gt;2,LEFT(_xlpm.steps,LEN(_xlpm.steps)-2),0)))</f>
        <v>0</v>
      </c>
      <c r="E4043">
        <f>_xlfn.LET(_xlpm.dir,Table13[[#This Row],[Direction]],
IF(_xlpm.dir="L",
    IF(G4042-Table13[[#This Row],[Steps]]&lt;0,100+(G4042-Table13[[#This Row],[Steps]]),G4042-Table13[[#This Row],[Steps]]),
))</f>
        <v>0</v>
      </c>
      <c r="F4043">
        <f>_xlfn.LET(_xlpm.dir,Table13[[#This Row],[Direction]],
IF(_xlpm.dir="R",
    IF(G4042+Table13[[#This Row],[Steps]]&gt;99,(G4042+Table13[[#This Row],[Steps]])-100,G4042+Table13[[#This Row],[Steps]]),
))</f>
        <v>8</v>
      </c>
      <c r="G4043">
        <f>IF(Table13[[#This Row],[New Pos L]]&lt;&gt;0,Table13[[#This Row],[New Pos L]],Table13[[#This Row],[New Pos R]])</f>
        <v>8</v>
      </c>
      <c r="H4043">
        <f>IF(AND(Table13[[#This Row],[Direction]]="L",Table13[[#This Row],[Steps]]&gt;G4042,G4042&lt;&gt;0),1,0)</f>
        <v>0</v>
      </c>
      <c r="I4043">
        <f>IF(AND(Table13[[#This Row],[Direction]]="R",(G4042+Table13[[#This Row],[Steps]])&gt;100),1,0)</f>
        <v>1</v>
      </c>
      <c r="J4043">
        <f>IF(Table13[[#This Row],[POS]]=0,1,0)</f>
        <v>0</v>
      </c>
      <c r="K4043">
        <f>SUM(Table13[[#This Row],[prefix]],Table13[[#This Row],[Past zero L]],Table13[[#This Row],[Past Zero R]],Table13[[#This Row],[Is Zero]])</f>
        <v>1</v>
      </c>
    </row>
    <row r="4044" spans="1:11" ht="16" x14ac:dyDescent="0.2">
      <c r="A4044" s="1" t="s">
        <v>264</v>
      </c>
      <c r="B4044" t="str">
        <f>LEFT(Table13[[#This Row],[Input]],1)</f>
        <v>L</v>
      </c>
      <c r="C4044">
        <f>_xlfn.LET(_xlpm.steps,SUBSTITUTE(Table13[[#This Row],[Input]],Table13[[#This Row],[Direction]],""),VALUE(IF(LEN(_xlpm.steps)&gt;2,RIGHT(_xlpm.steps,2),_xlpm.steps)))</f>
        <v>21</v>
      </c>
      <c r="D4044">
        <f>_xlfn.LET(_xlpm.steps,SUBSTITUTE(Table13[[#This Row],[Input]],Table13[[#This Row],[Direction]],""),VALUE(IF(LEN(_xlpm.steps)&gt;2,LEFT(_xlpm.steps,LEN(_xlpm.steps)-2),0)))</f>
        <v>0</v>
      </c>
      <c r="E4044">
        <f>_xlfn.LET(_xlpm.dir,Table13[[#This Row],[Direction]],
IF(_xlpm.dir="L",
    IF(G4043-Table13[[#This Row],[Steps]]&lt;0,100+(G4043-Table13[[#This Row],[Steps]]),G4043-Table13[[#This Row],[Steps]]),
))</f>
        <v>87</v>
      </c>
      <c r="F4044">
        <f>_xlfn.LET(_xlpm.dir,Table13[[#This Row],[Direction]],
IF(_xlpm.dir="R",
    IF(G4043+Table13[[#This Row],[Steps]]&gt;99,(G4043+Table13[[#This Row],[Steps]])-100,G4043+Table13[[#This Row],[Steps]]),
))</f>
        <v>0</v>
      </c>
      <c r="G4044">
        <f>IF(Table13[[#This Row],[New Pos L]]&lt;&gt;0,Table13[[#This Row],[New Pos L]],Table13[[#This Row],[New Pos R]])</f>
        <v>87</v>
      </c>
      <c r="H4044">
        <f>IF(AND(Table13[[#This Row],[Direction]]="L",Table13[[#This Row],[Steps]]&gt;G4043,G4043&lt;&gt;0),1,0)</f>
        <v>1</v>
      </c>
      <c r="I4044">
        <f>IF(AND(Table13[[#This Row],[Direction]]="R",(G4043+Table13[[#This Row],[Steps]])&gt;100),1,0)</f>
        <v>0</v>
      </c>
      <c r="J4044">
        <f>IF(Table13[[#This Row],[POS]]=0,1,0)</f>
        <v>0</v>
      </c>
      <c r="K4044">
        <f>SUM(Table13[[#This Row],[prefix]],Table13[[#This Row],[Past zero L]],Table13[[#This Row],[Past Zero R]],Table13[[#This Row],[Is Zero]])</f>
        <v>1</v>
      </c>
    </row>
    <row r="4045" spans="1:11" ht="16" x14ac:dyDescent="0.2">
      <c r="A4045" s="1" t="s">
        <v>256</v>
      </c>
      <c r="B4045" t="str">
        <f>LEFT(Table13[[#This Row],[Input]],1)</f>
        <v>R</v>
      </c>
      <c r="C4045">
        <f>_xlfn.LET(_xlpm.steps,SUBSTITUTE(Table13[[#This Row],[Input]],Table13[[#This Row],[Direction]],""),VALUE(IF(LEN(_xlpm.steps)&gt;2,RIGHT(_xlpm.steps,2),_xlpm.steps)))</f>
        <v>13</v>
      </c>
      <c r="D4045">
        <f>_xlfn.LET(_xlpm.steps,SUBSTITUTE(Table13[[#This Row],[Input]],Table13[[#This Row],[Direction]],""),VALUE(IF(LEN(_xlpm.steps)&gt;2,LEFT(_xlpm.steps,LEN(_xlpm.steps)-2),0)))</f>
        <v>0</v>
      </c>
      <c r="E4045">
        <f>_xlfn.LET(_xlpm.dir,Table13[[#This Row],[Direction]],
IF(_xlpm.dir="L",
    IF(G4044-Table13[[#This Row],[Steps]]&lt;0,100+(G4044-Table13[[#This Row],[Steps]]),G4044-Table13[[#This Row],[Steps]]),
))</f>
        <v>0</v>
      </c>
      <c r="F4045">
        <f>_xlfn.LET(_xlpm.dir,Table13[[#This Row],[Direction]],
IF(_xlpm.dir="R",
    IF(G4044+Table13[[#This Row],[Steps]]&gt;99,(G4044+Table13[[#This Row],[Steps]])-100,G4044+Table13[[#This Row],[Steps]]),
))</f>
        <v>0</v>
      </c>
      <c r="G4045">
        <f>IF(Table13[[#This Row],[New Pos L]]&lt;&gt;0,Table13[[#This Row],[New Pos L]],Table13[[#This Row],[New Pos R]])</f>
        <v>0</v>
      </c>
      <c r="H4045">
        <f>IF(AND(Table13[[#This Row],[Direction]]="L",Table13[[#This Row],[Steps]]&gt;G4044,G4044&lt;&gt;0),1,0)</f>
        <v>0</v>
      </c>
      <c r="I4045">
        <f>IF(AND(Table13[[#This Row],[Direction]]="R",(G4044+Table13[[#This Row],[Steps]])&gt;100),1,0)</f>
        <v>0</v>
      </c>
      <c r="J4045">
        <f>IF(Table13[[#This Row],[POS]]=0,1,0)</f>
        <v>1</v>
      </c>
      <c r="K4045">
        <f>SUM(Table13[[#This Row],[prefix]],Table13[[#This Row],[Past zero L]],Table13[[#This Row],[Past Zero R]],Table13[[#This Row],[Is Zero]])</f>
        <v>1</v>
      </c>
    </row>
    <row r="4046" spans="1:11" ht="16" x14ac:dyDescent="0.2">
      <c r="A4046" s="1" t="s">
        <v>127</v>
      </c>
      <c r="B4046" t="str">
        <f>LEFT(Table13[[#This Row],[Input]],1)</f>
        <v>L</v>
      </c>
      <c r="C4046">
        <f>_xlfn.LET(_xlpm.steps,SUBSTITUTE(Table13[[#This Row],[Input]],Table13[[#This Row],[Direction]],""),VALUE(IF(LEN(_xlpm.steps)&gt;2,RIGHT(_xlpm.steps,2),_xlpm.steps)))</f>
        <v>62</v>
      </c>
      <c r="D4046">
        <f>_xlfn.LET(_xlpm.steps,SUBSTITUTE(Table13[[#This Row],[Input]],Table13[[#This Row],[Direction]],""),VALUE(IF(LEN(_xlpm.steps)&gt;2,LEFT(_xlpm.steps,LEN(_xlpm.steps)-2),0)))</f>
        <v>0</v>
      </c>
      <c r="E4046">
        <f>_xlfn.LET(_xlpm.dir,Table13[[#This Row],[Direction]],
IF(_xlpm.dir="L",
    IF(G4045-Table13[[#This Row],[Steps]]&lt;0,100+(G4045-Table13[[#This Row],[Steps]]),G4045-Table13[[#This Row],[Steps]]),
))</f>
        <v>38</v>
      </c>
      <c r="F4046">
        <f>_xlfn.LET(_xlpm.dir,Table13[[#This Row],[Direction]],
IF(_xlpm.dir="R",
    IF(G4045+Table13[[#This Row],[Steps]]&gt;99,(G4045+Table13[[#This Row],[Steps]])-100,G4045+Table13[[#This Row],[Steps]]),
))</f>
        <v>0</v>
      </c>
      <c r="G4046">
        <f>IF(Table13[[#This Row],[New Pos L]]&lt;&gt;0,Table13[[#This Row],[New Pos L]],Table13[[#This Row],[New Pos R]])</f>
        <v>38</v>
      </c>
      <c r="H4046">
        <f>IF(AND(Table13[[#This Row],[Direction]]="L",Table13[[#This Row],[Steps]]&gt;G4045,G4045&lt;&gt;0),1,0)</f>
        <v>0</v>
      </c>
      <c r="I4046">
        <f>IF(AND(Table13[[#This Row],[Direction]]="R",(G4045+Table13[[#This Row],[Steps]])&gt;100),1,0)</f>
        <v>0</v>
      </c>
      <c r="J4046">
        <f>IF(Table13[[#This Row],[POS]]=0,1,0)</f>
        <v>0</v>
      </c>
      <c r="K4046">
        <f>SUM(Table13[[#This Row],[prefix]],Table13[[#This Row],[Past zero L]],Table13[[#This Row],[Past Zero R]],Table13[[#This Row],[Is Zero]])</f>
        <v>0</v>
      </c>
    </row>
    <row r="4047" spans="1:11" ht="16" x14ac:dyDescent="0.2">
      <c r="A4047" s="1" t="s">
        <v>2</v>
      </c>
      <c r="B4047" t="str">
        <f>LEFT(Table13[[#This Row],[Input]],1)</f>
        <v>L</v>
      </c>
      <c r="C4047">
        <f>_xlfn.LET(_xlpm.steps,SUBSTITUTE(Table13[[#This Row],[Input]],Table13[[#This Row],[Direction]],""),VALUE(IF(LEN(_xlpm.steps)&gt;2,RIGHT(_xlpm.steps,2),_xlpm.steps)))</f>
        <v>38</v>
      </c>
      <c r="D4047">
        <f>_xlfn.LET(_xlpm.steps,SUBSTITUTE(Table13[[#This Row],[Input]],Table13[[#This Row],[Direction]],""),VALUE(IF(LEN(_xlpm.steps)&gt;2,LEFT(_xlpm.steps,LEN(_xlpm.steps)-2),0)))</f>
        <v>0</v>
      </c>
      <c r="E4047">
        <f>_xlfn.LET(_xlpm.dir,Table13[[#This Row],[Direction]],
IF(_xlpm.dir="L",
    IF(G4046-Table13[[#This Row],[Steps]]&lt;0,100+(G4046-Table13[[#This Row],[Steps]]),G4046-Table13[[#This Row],[Steps]]),
))</f>
        <v>0</v>
      </c>
      <c r="F4047">
        <f>_xlfn.LET(_xlpm.dir,Table13[[#This Row],[Direction]],
IF(_xlpm.dir="R",
    IF(G4046+Table13[[#This Row],[Steps]]&gt;99,(G4046+Table13[[#This Row],[Steps]])-100,G4046+Table13[[#This Row],[Steps]]),
))</f>
        <v>0</v>
      </c>
      <c r="G4047">
        <f>IF(Table13[[#This Row],[New Pos L]]&lt;&gt;0,Table13[[#This Row],[New Pos L]],Table13[[#This Row],[New Pos R]])</f>
        <v>0</v>
      </c>
      <c r="H4047">
        <f>IF(AND(Table13[[#This Row],[Direction]]="L",Table13[[#This Row],[Steps]]&gt;G4046,G4046&lt;&gt;0),1,0)</f>
        <v>0</v>
      </c>
      <c r="I4047">
        <f>IF(AND(Table13[[#This Row],[Direction]]="R",(G4046+Table13[[#This Row],[Steps]])&gt;100),1,0)</f>
        <v>0</v>
      </c>
      <c r="J4047">
        <f>IF(Table13[[#This Row],[POS]]=0,1,0)</f>
        <v>1</v>
      </c>
      <c r="K4047">
        <f>SUM(Table13[[#This Row],[prefix]],Table13[[#This Row],[Past zero L]],Table13[[#This Row],[Past Zero R]],Table13[[#This Row],[Is Zero]])</f>
        <v>1</v>
      </c>
    </row>
    <row r="4048" spans="1:11" ht="16" x14ac:dyDescent="0.2">
      <c r="A4048" s="1" t="s">
        <v>81</v>
      </c>
      <c r="B4048" t="str">
        <f>LEFT(Table13[[#This Row],[Input]],1)</f>
        <v>R</v>
      </c>
      <c r="C4048">
        <f>_xlfn.LET(_xlpm.steps,SUBSTITUTE(Table13[[#This Row],[Input]],Table13[[#This Row],[Direction]],""),VALUE(IF(LEN(_xlpm.steps)&gt;2,RIGHT(_xlpm.steps,2),_xlpm.steps)))</f>
        <v>17</v>
      </c>
      <c r="D4048">
        <f>_xlfn.LET(_xlpm.steps,SUBSTITUTE(Table13[[#This Row],[Input]],Table13[[#This Row],[Direction]],""),VALUE(IF(LEN(_xlpm.steps)&gt;2,LEFT(_xlpm.steps,LEN(_xlpm.steps)-2),0)))</f>
        <v>0</v>
      </c>
      <c r="E4048">
        <f>_xlfn.LET(_xlpm.dir,Table13[[#This Row],[Direction]],
IF(_xlpm.dir="L",
    IF(G4047-Table13[[#This Row],[Steps]]&lt;0,100+(G4047-Table13[[#This Row],[Steps]]),G4047-Table13[[#This Row],[Steps]]),
))</f>
        <v>0</v>
      </c>
      <c r="F4048">
        <f>_xlfn.LET(_xlpm.dir,Table13[[#This Row],[Direction]],
IF(_xlpm.dir="R",
    IF(G4047+Table13[[#This Row],[Steps]]&gt;99,(G4047+Table13[[#This Row],[Steps]])-100,G4047+Table13[[#This Row],[Steps]]),
))</f>
        <v>17</v>
      </c>
      <c r="G4048">
        <f>IF(Table13[[#This Row],[New Pos L]]&lt;&gt;0,Table13[[#This Row],[New Pos L]],Table13[[#This Row],[New Pos R]])</f>
        <v>17</v>
      </c>
      <c r="H4048">
        <f>IF(AND(Table13[[#This Row],[Direction]]="L",Table13[[#This Row],[Steps]]&gt;G4047,G4047&lt;&gt;0),1,0)</f>
        <v>0</v>
      </c>
      <c r="I4048">
        <f>IF(AND(Table13[[#This Row],[Direction]]="R",(G4047+Table13[[#This Row],[Steps]])&gt;100),1,0)</f>
        <v>0</v>
      </c>
      <c r="J4048">
        <f>IF(Table13[[#This Row],[POS]]=0,1,0)</f>
        <v>0</v>
      </c>
      <c r="K4048">
        <f>SUM(Table13[[#This Row],[prefix]],Table13[[#This Row],[Past zero L]],Table13[[#This Row],[Past Zero R]],Table13[[#This Row],[Is Zero]])</f>
        <v>0</v>
      </c>
    </row>
    <row r="4049" spans="1:11" ht="16" x14ac:dyDescent="0.2">
      <c r="A4049" s="1" t="s">
        <v>141</v>
      </c>
      <c r="B4049" t="str">
        <f>LEFT(Table13[[#This Row],[Input]],1)</f>
        <v>L</v>
      </c>
      <c r="C4049">
        <f>_xlfn.LET(_xlpm.steps,SUBSTITUTE(Table13[[#This Row],[Input]],Table13[[#This Row],[Direction]],""),VALUE(IF(LEN(_xlpm.steps)&gt;2,RIGHT(_xlpm.steps,2),_xlpm.steps)))</f>
        <v>90</v>
      </c>
      <c r="D4049">
        <f>_xlfn.LET(_xlpm.steps,SUBSTITUTE(Table13[[#This Row],[Input]],Table13[[#This Row],[Direction]],""),VALUE(IF(LEN(_xlpm.steps)&gt;2,LEFT(_xlpm.steps,LEN(_xlpm.steps)-2),0)))</f>
        <v>0</v>
      </c>
      <c r="E4049">
        <f>_xlfn.LET(_xlpm.dir,Table13[[#This Row],[Direction]],
IF(_xlpm.dir="L",
    IF(G4048-Table13[[#This Row],[Steps]]&lt;0,100+(G4048-Table13[[#This Row],[Steps]]),G4048-Table13[[#This Row],[Steps]]),
))</f>
        <v>27</v>
      </c>
      <c r="F4049">
        <f>_xlfn.LET(_xlpm.dir,Table13[[#This Row],[Direction]],
IF(_xlpm.dir="R",
    IF(G4048+Table13[[#This Row],[Steps]]&gt;99,(G4048+Table13[[#This Row],[Steps]])-100,G4048+Table13[[#This Row],[Steps]]),
))</f>
        <v>0</v>
      </c>
      <c r="G4049">
        <f>IF(Table13[[#This Row],[New Pos L]]&lt;&gt;0,Table13[[#This Row],[New Pos L]],Table13[[#This Row],[New Pos R]])</f>
        <v>27</v>
      </c>
      <c r="H4049">
        <f>IF(AND(Table13[[#This Row],[Direction]]="L",Table13[[#This Row],[Steps]]&gt;G4048,G4048&lt;&gt;0),1,0)</f>
        <v>1</v>
      </c>
      <c r="I4049">
        <f>IF(AND(Table13[[#This Row],[Direction]]="R",(G4048+Table13[[#This Row],[Steps]])&gt;100),1,0)</f>
        <v>0</v>
      </c>
      <c r="J4049">
        <f>IF(Table13[[#This Row],[POS]]=0,1,0)</f>
        <v>0</v>
      </c>
      <c r="K4049">
        <f>SUM(Table13[[#This Row],[prefix]],Table13[[#This Row],[Past zero L]],Table13[[#This Row],[Past Zero R]],Table13[[#This Row],[Is Zero]])</f>
        <v>1</v>
      </c>
    </row>
    <row r="4050" spans="1:11" ht="16" x14ac:dyDescent="0.2">
      <c r="A4050" s="1" t="s">
        <v>188</v>
      </c>
      <c r="B4050" t="str">
        <f>LEFT(Table13[[#This Row],[Input]],1)</f>
        <v>R</v>
      </c>
      <c r="C4050">
        <f>_xlfn.LET(_xlpm.steps,SUBSTITUTE(Table13[[#This Row],[Input]],Table13[[#This Row],[Direction]],""),VALUE(IF(LEN(_xlpm.steps)&gt;2,RIGHT(_xlpm.steps,2),_xlpm.steps)))</f>
        <v>5</v>
      </c>
      <c r="D4050">
        <f>_xlfn.LET(_xlpm.steps,SUBSTITUTE(Table13[[#This Row],[Input]],Table13[[#This Row],[Direction]],""),VALUE(IF(LEN(_xlpm.steps)&gt;2,LEFT(_xlpm.steps,LEN(_xlpm.steps)-2),0)))</f>
        <v>0</v>
      </c>
      <c r="E4050">
        <f>_xlfn.LET(_xlpm.dir,Table13[[#This Row],[Direction]],
IF(_xlpm.dir="L",
    IF(G4049-Table13[[#This Row],[Steps]]&lt;0,100+(G4049-Table13[[#This Row],[Steps]]),G4049-Table13[[#This Row],[Steps]]),
))</f>
        <v>0</v>
      </c>
      <c r="F4050">
        <f>_xlfn.LET(_xlpm.dir,Table13[[#This Row],[Direction]],
IF(_xlpm.dir="R",
    IF(G4049+Table13[[#This Row],[Steps]]&gt;99,(G4049+Table13[[#This Row],[Steps]])-100,G4049+Table13[[#This Row],[Steps]]),
))</f>
        <v>32</v>
      </c>
      <c r="G4050">
        <f>IF(Table13[[#This Row],[New Pos L]]&lt;&gt;0,Table13[[#This Row],[New Pos L]],Table13[[#This Row],[New Pos R]])</f>
        <v>32</v>
      </c>
      <c r="H4050">
        <f>IF(AND(Table13[[#This Row],[Direction]]="L",Table13[[#This Row],[Steps]]&gt;G4049,G4049&lt;&gt;0),1,0)</f>
        <v>0</v>
      </c>
      <c r="I4050">
        <f>IF(AND(Table13[[#This Row],[Direction]]="R",(G4049+Table13[[#This Row],[Steps]])&gt;100),1,0)</f>
        <v>0</v>
      </c>
      <c r="J4050">
        <f>IF(Table13[[#This Row],[POS]]=0,1,0)</f>
        <v>0</v>
      </c>
      <c r="K4050">
        <f>SUM(Table13[[#This Row],[prefix]],Table13[[#This Row],[Past zero L]],Table13[[#This Row],[Past Zero R]],Table13[[#This Row],[Is Zero]])</f>
        <v>0</v>
      </c>
    </row>
    <row r="4051" spans="1:11" ht="16" x14ac:dyDescent="0.2">
      <c r="A4051" s="1" t="s">
        <v>157</v>
      </c>
      <c r="B4051" t="str">
        <f>LEFT(Table13[[#This Row],[Input]],1)</f>
        <v>R</v>
      </c>
      <c r="C4051">
        <f>_xlfn.LET(_xlpm.steps,SUBSTITUTE(Table13[[#This Row],[Input]],Table13[[#This Row],[Direction]],""),VALUE(IF(LEN(_xlpm.steps)&gt;2,RIGHT(_xlpm.steps,2),_xlpm.steps)))</f>
        <v>68</v>
      </c>
      <c r="D4051">
        <f>_xlfn.LET(_xlpm.steps,SUBSTITUTE(Table13[[#This Row],[Input]],Table13[[#This Row],[Direction]],""),VALUE(IF(LEN(_xlpm.steps)&gt;2,LEFT(_xlpm.steps,LEN(_xlpm.steps)-2),0)))</f>
        <v>0</v>
      </c>
      <c r="E4051">
        <f>_xlfn.LET(_xlpm.dir,Table13[[#This Row],[Direction]],
IF(_xlpm.dir="L",
    IF(G4050-Table13[[#This Row],[Steps]]&lt;0,100+(G4050-Table13[[#This Row],[Steps]]),G4050-Table13[[#This Row],[Steps]]),
))</f>
        <v>0</v>
      </c>
      <c r="F4051">
        <f>_xlfn.LET(_xlpm.dir,Table13[[#This Row],[Direction]],
IF(_xlpm.dir="R",
    IF(G4050+Table13[[#This Row],[Steps]]&gt;99,(G4050+Table13[[#This Row],[Steps]])-100,G4050+Table13[[#This Row],[Steps]]),
))</f>
        <v>0</v>
      </c>
      <c r="G4051">
        <f>IF(Table13[[#This Row],[New Pos L]]&lt;&gt;0,Table13[[#This Row],[New Pos L]],Table13[[#This Row],[New Pos R]])</f>
        <v>0</v>
      </c>
      <c r="H4051">
        <f>IF(AND(Table13[[#This Row],[Direction]]="L",Table13[[#This Row],[Steps]]&gt;G4050,G4050&lt;&gt;0),1,0)</f>
        <v>0</v>
      </c>
      <c r="I4051">
        <f>IF(AND(Table13[[#This Row],[Direction]]="R",(G4050+Table13[[#This Row],[Steps]])&gt;100),1,0)</f>
        <v>0</v>
      </c>
      <c r="J4051">
        <f>IF(Table13[[#This Row],[POS]]=0,1,0)</f>
        <v>1</v>
      </c>
      <c r="K4051">
        <f>SUM(Table13[[#This Row],[prefix]],Table13[[#This Row],[Past zero L]],Table13[[#This Row],[Past Zero R]],Table13[[#This Row],[Is Zero]])</f>
        <v>1</v>
      </c>
    </row>
    <row r="4052" spans="1:11" ht="16" x14ac:dyDescent="0.2">
      <c r="A4052" s="1" t="s">
        <v>831</v>
      </c>
      <c r="B4052" t="str">
        <f>LEFT(Table13[[#This Row],[Input]],1)</f>
        <v>L</v>
      </c>
      <c r="C4052">
        <f>_xlfn.LET(_xlpm.steps,SUBSTITUTE(Table13[[#This Row],[Input]],Table13[[#This Row],[Direction]],""),VALUE(IF(LEN(_xlpm.steps)&gt;2,RIGHT(_xlpm.steps,2),_xlpm.steps)))</f>
        <v>61</v>
      </c>
      <c r="D4052">
        <f>_xlfn.LET(_xlpm.steps,SUBSTITUTE(Table13[[#This Row],[Input]],Table13[[#This Row],[Direction]],""),VALUE(IF(LEN(_xlpm.steps)&gt;2,LEFT(_xlpm.steps,LEN(_xlpm.steps)-2),0)))</f>
        <v>8</v>
      </c>
      <c r="E4052">
        <f>_xlfn.LET(_xlpm.dir,Table13[[#This Row],[Direction]],
IF(_xlpm.dir="L",
    IF(G4051-Table13[[#This Row],[Steps]]&lt;0,100+(G4051-Table13[[#This Row],[Steps]]),G4051-Table13[[#This Row],[Steps]]),
))</f>
        <v>39</v>
      </c>
      <c r="F4052">
        <f>_xlfn.LET(_xlpm.dir,Table13[[#This Row],[Direction]],
IF(_xlpm.dir="R",
    IF(G4051+Table13[[#This Row],[Steps]]&gt;99,(G4051+Table13[[#This Row],[Steps]])-100,G4051+Table13[[#This Row],[Steps]]),
))</f>
        <v>0</v>
      </c>
      <c r="G4052">
        <f>IF(Table13[[#This Row],[New Pos L]]&lt;&gt;0,Table13[[#This Row],[New Pos L]],Table13[[#This Row],[New Pos R]])</f>
        <v>39</v>
      </c>
      <c r="H4052">
        <f>IF(AND(Table13[[#This Row],[Direction]]="L",Table13[[#This Row],[Steps]]&gt;G4051,G4051&lt;&gt;0),1,0)</f>
        <v>0</v>
      </c>
      <c r="I4052">
        <f>IF(AND(Table13[[#This Row],[Direction]]="R",(G4051+Table13[[#This Row],[Steps]])&gt;100),1,0)</f>
        <v>0</v>
      </c>
      <c r="J4052">
        <f>IF(Table13[[#This Row],[POS]]=0,1,0)</f>
        <v>0</v>
      </c>
      <c r="K4052">
        <f>SUM(Table13[[#This Row],[prefix]],Table13[[#This Row],[Past zero L]],Table13[[#This Row],[Past Zero R]],Table13[[#This Row],[Is Zero]])</f>
        <v>8</v>
      </c>
    </row>
    <row r="4053" spans="1:11" ht="16" x14ac:dyDescent="0.2">
      <c r="A4053" s="1" t="s">
        <v>832</v>
      </c>
      <c r="B4053" t="str">
        <f>LEFT(Table13[[#This Row],[Input]],1)</f>
        <v>R</v>
      </c>
      <c r="C4053">
        <f>_xlfn.LET(_xlpm.steps,SUBSTITUTE(Table13[[#This Row],[Input]],Table13[[#This Row],[Direction]],""),VALUE(IF(LEN(_xlpm.steps)&gt;2,RIGHT(_xlpm.steps,2),_xlpm.steps)))</f>
        <v>13</v>
      </c>
      <c r="D4053">
        <f>_xlfn.LET(_xlpm.steps,SUBSTITUTE(Table13[[#This Row],[Input]],Table13[[#This Row],[Direction]],""),VALUE(IF(LEN(_xlpm.steps)&gt;2,LEFT(_xlpm.steps,LEN(_xlpm.steps)-2),0)))</f>
        <v>5</v>
      </c>
      <c r="E4053">
        <f>_xlfn.LET(_xlpm.dir,Table13[[#This Row],[Direction]],
IF(_xlpm.dir="L",
    IF(G4052-Table13[[#This Row],[Steps]]&lt;0,100+(G4052-Table13[[#This Row],[Steps]]),G4052-Table13[[#This Row],[Steps]]),
))</f>
        <v>0</v>
      </c>
      <c r="F4053">
        <f>_xlfn.LET(_xlpm.dir,Table13[[#This Row],[Direction]],
IF(_xlpm.dir="R",
    IF(G4052+Table13[[#This Row],[Steps]]&gt;99,(G4052+Table13[[#This Row],[Steps]])-100,G4052+Table13[[#This Row],[Steps]]),
))</f>
        <v>52</v>
      </c>
      <c r="G4053">
        <f>IF(Table13[[#This Row],[New Pos L]]&lt;&gt;0,Table13[[#This Row],[New Pos L]],Table13[[#This Row],[New Pos R]])</f>
        <v>52</v>
      </c>
      <c r="H4053">
        <f>IF(AND(Table13[[#This Row],[Direction]]="L",Table13[[#This Row],[Steps]]&gt;G4052,G4052&lt;&gt;0),1,0)</f>
        <v>0</v>
      </c>
      <c r="I4053">
        <f>IF(AND(Table13[[#This Row],[Direction]]="R",(G4052+Table13[[#This Row],[Steps]])&gt;100),1,0)</f>
        <v>0</v>
      </c>
      <c r="J4053">
        <f>IF(Table13[[#This Row],[POS]]=0,1,0)</f>
        <v>0</v>
      </c>
      <c r="K4053">
        <f>SUM(Table13[[#This Row],[prefix]],Table13[[#This Row],[Past zero L]],Table13[[#This Row],[Past Zero R]],Table13[[#This Row],[Is Zero]])</f>
        <v>5</v>
      </c>
    </row>
    <row r="4054" spans="1:11" ht="16" x14ac:dyDescent="0.2">
      <c r="A4054" s="1" t="s">
        <v>3</v>
      </c>
      <c r="B4054" t="str">
        <f>LEFT(Table13[[#This Row],[Input]],1)</f>
        <v>R</v>
      </c>
      <c r="C4054">
        <f>_xlfn.LET(_xlpm.steps,SUBSTITUTE(Table13[[#This Row],[Input]],Table13[[#This Row],[Direction]],""),VALUE(IF(LEN(_xlpm.steps)&gt;2,RIGHT(_xlpm.steps,2),_xlpm.steps)))</f>
        <v>44</v>
      </c>
      <c r="D4054">
        <f>_xlfn.LET(_xlpm.steps,SUBSTITUTE(Table13[[#This Row],[Input]],Table13[[#This Row],[Direction]],""),VALUE(IF(LEN(_xlpm.steps)&gt;2,LEFT(_xlpm.steps,LEN(_xlpm.steps)-2),0)))</f>
        <v>0</v>
      </c>
      <c r="E4054">
        <f>_xlfn.LET(_xlpm.dir,Table13[[#This Row],[Direction]],
IF(_xlpm.dir="L",
    IF(G4053-Table13[[#This Row],[Steps]]&lt;0,100+(G4053-Table13[[#This Row],[Steps]]),G4053-Table13[[#This Row],[Steps]]),
))</f>
        <v>0</v>
      </c>
      <c r="F4054">
        <f>_xlfn.LET(_xlpm.dir,Table13[[#This Row],[Direction]],
IF(_xlpm.dir="R",
    IF(G4053+Table13[[#This Row],[Steps]]&gt;99,(G4053+Table13[[#This Row],[Steps]])-100,G4053+Table13[[#This Row],[Steps]]),
))</f>
        <v>96</v>
      </c>
      <c r="G4054">
        <f>IF(Table13[[#This Row],[New Pos L]]&lt;&gt;0,Table13[[#This Row],[New Pos L]],Table13[[#This Row],[New Pos R]])</f>
        <v>96</v>
      </c>
      <c r="H4054">
        <f>IF(AND(Table13[[#This Row],[Direction]]="L",Table13[[#This Row],[Steps]]&gt;G4053,G4053&lt;&gt;0),1,0)</f>
        <v>0</v>
      </c>
      <c r="I4054">
        <f>IF(AND(Table13[[#This Row],[Direction]]="R",(G4053+Table13[[#This Row],[Steps]])&gt;100),1,0)</f>
        <v>0</v>
      </c>
      <c r="J4054">
        <f>IF(Table13[[#This Row],[POS]]=0,1,0)</f>
        <v>0</v>
      </c>
      <c r="K4054">
        <f>SUM(Table13[[#This Row],[prefix]],Table13[[#This Row],[Past zero L]],Table13[[#This Row],[Past Zero R]],Table13[[#This Row],[Is Zero]])</f>
        <v>0</v>
      </c>
    </row>
    <row r="4055" spans="1:11" ht="16" x14ac:dyDescent="0.2">
      <c r="A4055" s="1" t="s">
        <v>62</v>
      </c>
      <c r="B4055" t="str">
        <f>LEFT(Table13[[#This Row],[Input]],1)</f>
        <v>L</v>
      </c>
      <c r="C4055">
        <f>_xlfn.LET(_xlpm.steps,SUBSTITUTE(Table13[[#This Row],[Input]],Table13[[#This Row],[Direction]],""),VALUE(IF(LEN(_xlpm.steps)&gt;2,RIGHT(_xlpm.steps,2),_xlpm.steps)))</f>
        <v>57</v>
      </c>
      <c r="D4055">
        <f>_xlfn.LET(_xlpm.steps,SUBSTITUTE(Table13[[#This Row],[Input]],Table13[[#This Row],[Direction]],""),VALUE(IF(LEN(_xlpm.steps)&gt;2,LEFT(_xlpm.steps,LEN(_xlpm.steps)-2),0)))</f>
        <v>0</v>
      </c>
      <c r="E4055">
        <f>_xlfn.LET(_xlpm.dir,Table13[[#This Row],[Direction]],
IF(_xlpm.dir="L",
    IF(G4054-Table13[[#This Row],[Steps]]&lt;0,100+(G4054-Table13[[#This Row],[Steps]]),G4054-Table13[[#This Row],[Steps]]),
))</f>
        <v>39</v>
      </c>
      <c r="F4055">
        <f>_xlfn.LET(_xlpm.dir,Table13[[#This Row],[Direction]],
IF(_xlpm.dir="R",
    IF(G4054+Table13[[#This Row],[Steps]]&gt;99,(G4054+Table13[[#This Row],[Steps]])-100,G4054+Table13[[#This Row],[Steps]]),
))</f>
        <v>0</v>
      </c>
      <c r="G4055">
        <f>IF(Table13[[#This Row],[New Pos L]]&lt;&gt;0,Table13[[#This Row],[New Pos L]],Table13[[#This Row],[New Pos R]])</f>
        <v>39</v>
      </c>
      <c r="H4055">
        <f>IF(AND(Table13[[#This Row],[Direction]]="L",Table13[[#This Row],[Steps]]&gt;G4054,G4054&lt;&gt;0),1,0)</f>
        <v>0</v>
      </c>
      <c r="I4055">
        <f>IF(AND(Table13[[#This Row],[Direction]]="R",(G4054+Table13[[#This Row],[Steps]])&gt;100),1,0)</f>
        <v>0</v>
      </c>
      <c r="J4055">
        <f>IF(Table13[[#This Row],[POS]]=0,1,0)</f>
        <v>0</v>
      </c>
      <c r="K4055">
        <f>SUM(Table13[[#This Row],[prefix]],Table13[[#This Row],[Past zero L]],Table13[[#This Row],[Past Zero R]],Table13[[#This Row],[Is Zero]])</f>
        <v>0</v>
      </c>
    </row>
    <row r="4056" spans="1:11" ht="16" x14ac:dyDescent="0.2">
      <c r="A4056" s="1" t="s">
        <v>185</v>
      </c>
      <c r="B4056" t="str">
        <f>LEFT(Table13[[#This Row],[Input]],1)</f>
        <v>R</v>
      </c>
      <c r="C4056">
        <f>_xlfn.LET(_xlpm.steps,SUBSTITUTE(Table13[[#This Row],[Input]],Table13[[#This Row],[Direction]],""),VALUE(IF(LEN(_xlpm.steps)&gt;2,RIGHT(_xlpm.steps,2),_xlpm.steps)))</f>
        <v>61</v>
      </c>
      <c r="D4056">
        <f>_xlfn.LET(_xlpm.steps,SUBSTITUTE(Table13[[#This Row],[Input]],Table13[[#This Row],[Direction]],""),VALUE(IF(LEN(_xlpm.steps)&gt;2,LEFT(_xlpm.steps,LEN(_xlpm.steps)-2),0)))</f>
        <v>0</v>
      </c>
      <c r="E4056">
        <f>_xlfn.LET(_xlpm.dir,Table13[[#This Row],[Direction]],
IF(_xlpm.dir="L",
    IF(G4055-Table13[[#This Row],[Steps]]&lt;0,100+(G4055-Table13[[#This Row],[Steps]]),G4055-Table13[[#This Row],[Steps]]),
))</f>
        <v>0</v>
      </c>
      <c r="F4056">
        <f>_xlfn.LET(_xlpm.dir,Table13[[#This Row],[Direction]],
IF(_xlpm.dir="R",
    IF(G4055+Table13[[#This Row],[Steps]]&gt;99,(G4055+Table13[[#This Row],[Steps]])-100,G4055+Table13[[#This Row],[Steps]]),
))</f>
        <v>0</v>
      </c>
      <c r="G4056">
        <f>IF(Table13[[#This Row],[New Pos L]]&lt;&gt;0,Table13[[#This Row],[New Pos L]],Table13[[#This Row],[New Pos R]])</f>
        <v>0</v>
      </c>
      <c r="H4056">
        <f>IF(AND(Table13[[#This Row],[Direction]]="L",Table13[[#This Row],[Steps]]&gt;G4055,G4055&lt;&gt;0),1,0)</f>
        <v>0</v>
      </c>
      <c r="I4056">
        <f>IF(AND(Table13[[#This Row],[Direction]]="R",(G4055+Table13[[#This Row],[Steps]])&gt;100),1,0)</f>
        <v>0</v>
      </c>
      <c r="J4056">
        <f>IF(Table13[[#This Row],[POS]]=0,1,0)</f>
        <v>1</v>
      </c>
      <c r="K4056">
        <f>SUM(Table13[[#This Row],[prefix]],Table13[[#This Row],[Past zero L]],Table13[[#This Row],[Past Zero R]],Table13[[#This Row],[Is Zero]])</f>
        <v>1</v>
      </c>
    </row>
    <row r="4057" spans="1:11" ht="16" x14ac:dyDescent="0.2">
      <c r="A4057" s="1" t="s">
        <v>4</v>
      </c>
      <c r="B4057" t="str">
        <f>LEFT(Table13[[#This Row],[Input]],1)</f>
        <v>R</v>
      </c>
      <c r="C4057">
        <f>_xlfn.LET(_xlpm.steps,SUBSTITUTE(Table13[[#This Row],[Input]],Table13[[#This Row],[Direction]],""),VALUE(IF(LEN(_xlpm.steps)&gt;2,RIGHT(_xlpm.steps,2),_xlpm.steps)))</f>
        <v>3</v>
      </c>
      <c r="D4057">
        <f>_xlfn.LET(_xlpm.steps,SUBSTITUTE(Table13[[#This Row],[Input]],Table13[[#This Row],[Direction]],""),VALUE(IF(LEN(_xlpm.steps)&gt;2,LEFT(_xlpm.steps,LEN(_xlpm.steps)-2),0)))</f>
        <v>0</v>
      </c>
      <c r="E4057">
        <f>_xlfn.LET(_xlpm.dir,Table13[[#This Row],[Direction]],
IF(_xlpm.dir="L",
    IF(G4056-Table13[[#This Row],[Steps]]&lt;0,100+(G4056-Table13[[#This Row],[Steps]]),G4056-Table13[[#This Row],[Steps]]),
))</f>
        <v>0</v>
      </c>
      <c r="F4057">
        <f>_xlfn.LET(_xlpm.dir,Table13[[#This Row],[Direction]],
IF(_xlpm.dir="R",
    IF(G4056+Table13[[#This Row],[Steps]]&gt;99,(G4056+Table13[[#This Row],[Steps]])-100,G4056+Table13[[#This Row],[Steps]]),
))</f>
        <v>3</v>
      </c>
      <c r="G4057">
        <f>IF(Table13[[#This Row],[New Pos L]]&lt;&gt;0,Table13[[#This Row],[New Pos L]],Table13[[#This Row],[New Pos R]])</f>
        <v>3</v>
      </c>
      <c r="H4057">
        <f>IF(AND(Table13[[#This Row],[Direction]]="L",Table13[[#This Row],[Steps]]&gt;G4056,G4056&lt;&gt;0),1,0)</f>
        <v>0</v>
      </c>
      <c r="I4057">
        <f>IF(AND(Table13[[#This Row],[Direction]]="R",(G4056+Table13[[#This Row],[Steps]])&gt;100),1,0)</f>
        <v>0</v>
      </c>
      <c r="J4057">
        <f>IF(Table13[[#This Row],[POS]]=0,1,0)</f>
        <v>0</v>
      </c>
      <c r="K4057">
        <f>SUM(Table13[[#This Row],[prefix]],Table13[[#This Row],[Past zero L]],Table13[[#This Row],[Past Zero R]],Table13[[#This Row],[Is Zero]])</f>
        <v>0</v>
      </c>
    </row>
    <row r="4058" spans="1:11" ht="16" x14ac:dyDescent="0.2">
      <c r="A4058" s="1" t="s">
        <v>36</v>
      </c>
      <c r="B4058" t="str">
        <f>LEFT(Table13[[#This Row],[Input]],1)</f>
        <v>R</v>
      </c>
      <c r="C4058">
        <f>_xlfn.LET(_xlpm.steps,SUBSTITUTE(Table13[[#This Row],[Input]],Table13[[#This Row],[Direction]],""),VALUE(IF(LEN(_xlpm.steps)&gt;2,RIGHT(_xlpm.steps,2),_xlpm.steps)))</f>
        <v>50</v>
      </c>
      <c r="D4058">
        <f>_xlfn.LET(_xlpm.steps,SUBSTITUTE(Table13[[#This Row],[Input]],Table13[[#This Row],[Direction]],""),VALUE(IF(LEN(_xlpm.steps)&gt;2,LEFT(_xlpm.steps,LEN(_xlpm.steps)-2),0)))</f>
        <v>0</v>
      </c>
      <c r="E4058">
        <f>_xlfn.LET(_xlpm.dir,Table13[[#This Row],[Direction]],
IF(_xlpm.dir="L",
    IF(G4057-Table13[[#This Row],[Steps]]&lt;0,100+(G4057-Table13[[#This Row],[Steps]]),G4057-Table13[[#This Row],[Steps]]),
))</f>
        <v>0</v>
      </c>
      <c r="F4058">
        <f>_xlfn.LET(_xlpm.dir,Table13[[#This Row],[Direction]],
IF(_xlpm.dir="R",
    IF(G4057+Table13[[#This Row],[Steps]]&gt;99,(G4057+Table13[[#This Row],[Steps]])-100,G4057+Table13[[#This Row],[Steps]]),
))</f>
        <v>53</v>
      </c>
      <c r="G4058">
        <f>IF(Table13[[#This Row],[New Pos L]]&lt;&gt;0,Table13[[#This Row],[New Pos L]],Table13[[#This Row],[New Pos R]])</f>
        <v>53</v>
      </c>
      <c r="H4058">
        <f>IF(AND(Table13[[#This Row],[Direction]]="L",Table13[[#This Row],[Steps]]&gt;G4057,G4057&lt;&gt;0),1,0)</f>
        <v>0</v>
      </c>
      <c r="I4058">
        <f>IF(AND(Table13[[#This Row],[Direction]]="R",(G4057+Table13[[#This Row],[Steps]])&gt;100),1,0)</f>
        <v>0</v>
      </c>
      <c r="J4058">
        <f>IF(Table13[[#This Row],[POS]]=0,1,0)</f>
        <v>0</v>
      </c>
      <c r="K4058">
        <f>SUM(Table13[[#This Row],[prefix]],Table13[[#This Row],[Past zero L]],Table13[[#This Row],[Past Zero R]],Table13[[#This Row],[Is Zero]])</f>
        <v>0</v>
      </c>
    </row>
    <row r="4059" spans="1:11" ht="16" x14ac:dyDescent="0.2">
      <c r="A4059" s="1" t="s">
        <v>336</v>
      </c>
      <c r="B4059" t="str">
        <f>LEFT(Table13[[#This Row],[Input]],1)</f>
        <v>R</v>
      </c>
      <c r="C4059">
        <f>_xlfn.LET(_xlpm.steps,SUBSTITUTE(Table13[[#This Row],[Input]],Table13[[#This Row],[Direction]],""),VALUE(IF(LEN(_xlpm.steps)&gt;2,RIGHT(_xlpm.steps,2),_xlpm.steps)))</f>
        <v>95</v>
      </c>
      <c r="D4059">
        <f>_xlfn.LET(_xlpm.steps,SUBSTITUTE(Table13[[#This Row],[Input]],Table13[[#This Row],[Direction]],""),VALUE(IF(LEN(_xlpm.steps)&gt;2,LEFT(_xlpm.steps,LEN(_xlpm.steps)-2),0)))</f>
        <v>0</v>
      </c>
      <c r="E4059">
        <f>_xlfn.LET(_xlpm.dir,Table13[[#This Row],[Direction]],
IF(_xlpm.dir="L",
    IF(G4058-Table13[[#This Row],[Steps]]&lt;0,100+(G4058-Table13[[#This Row],[Steps]]),G4058-Table13[[#This Row],[Steps]]),
))</f>
        <v>0</v>
      </c>
      <c r="F4059">
        <f>_xlfn.LET(_xlpm.dir,Table13[[#This Row],[Direction]],
IF(_xlpm.dir="R",
    IF(G4058+Table13[[#This Row],[Steps]]&gt;99,(G4058+Table13[[#This Row],[Steps]])-100,G4058+Table13[[#This Row],[Steps]]),
))</f>
        <v>48</v>
      </c>
      <c r="G4059">
        <f>IF(Table13[[#This Row],[New Pos L]]&lt;&gt;0,Table13[[#This Row],[New Pos L]],Table13[[#This Row],[New Pos R]])</f>
        <v>48</v>
      </c>
      <c r="H4059">
        <f>IF(AND(Table13[[#This Row],[Direction]]="L",Table13[[#This Row],[Steps]]&gt;G4058,G4058&lt;&gt;0),1,0)</f>
        <v>0</v>
      </c>
      <c r="I4059">
        <f>IF(AND(Table13[[#This Row],[Direction]]="R",(G4058+Table13[[#This Row],[Steps]])&gt;100),1,0)</f>
        <v>1</v>
      </c>
      <c r="J4059">
        <f>IF(Table13[[#This Row],[POS]]=0,1,0)</f>
        <v>0</v>
      </c>
      <c r="K4059">
        <f>SUM(Table13[[#This Row],[prefix]],Table13[[#This Row],[Past zero L]],Table13[[#This Row],[Past Zero R]],Table13[[#This Row],[Is Zero]])</f>
        <v>1</v>
      </c>
    </row>
    <row r="4060" spans="1:11" ht="16" x14ac:dyDescent="0.2">
      <c r="A4060" s="1" t="s">
        <v>159</v>
      </c>
      <c r="B4060" t="str">
        <f>LEFT(Table13[[#This Row],[Input]],1)</f>
        <v>R</v>
      </c>
      <c r="C4060">
        <f>_xlfn.LET(_xlpm.steps,SUBSTITUTE(Table13[[#This Row],[Input]],Table13[[#This Row],[Direction]],""),VALUE(IF(LEN(_xlpm.steps)&gt;2,RIGHT(_xlpm.steps,2),_xlpm.steps)))</f>
        <v>24</v>
      </c>
      <c r="D4060">
        <f>_xlfn.LET(_xlpm.steps,SUBSTITUTE(Table13[[#This Row],[Input]],Table13[[#This Row],[Direction]],""),VALUE(IF(LEN(_xlpm.steps)&gt;2,LEFT(_xlpm.steps,LEN(_xlpm.steps)-2),0)))</f>
        <v>0</v>
      </c>
      <c r="E4060">
        <f>_xlfn.LET(_xlpm.dir,Table13[[#This Row],[Direction]],
IF(_xlpm.dir="L",
    IF(G4059-Table13[[#This Row],[Steps]]&lt;0,100+(G4059-Table13[[#This Row],[Steps]]),G4059-Table13[[#This Row],[Steps]]),
))</f>
        <v>0</v>
      </c>
      <c r="F4060">
        <f>_xlfn.LET(_xlpm.dir,Table13[[#This Row],[Direction]],
IF(_xlpm.dir="R",
    IF(G4059+Table13[[#This Row],[Steps]]&gt;99,(G4059+Table13[[#This Row],[Steps]])-100,G4059+Table13[[#This Row],[Steps]]),
))</f>
        <v>72</v>
      </c>
      <c r="G4060">
        <f>IF(Table13[[#This Row],[New Pos L]]&lt;&gt;0,Table13[[#This Row],[New Pos L]],Table13[[#This Row],[New Pos R]])</f>
        <v>72</v>
      </c>
      <c r="H4060">
        <f>IF(AND(Table13[[#This Row],[Direction]]="L",Table13[[#This Row],[Steps]]&gt;G4059,G4059&lt;&gt;0),1,0)</f>
        <v>0</v>
      </c>
      <c r="I4060">
        <f>IF(AND(Table13[[#This Row],[Direction]]="R",(G4059+Table13[[#This Row],[Steps]])&gt;100),1,0)</f>
        <v>0</v>
      </c>
      <c r="J4060">
        <f>IF(Table13[[#This Row],[POS]]=0,1,0)</f>
        <v>0</v>
      </c>
      <c r="K4060">
        <f>SUM(Table13[[#This Row],[prefix]],Table13[[#This Row],[Past zero L]],Table13[[#This Row],[Past Zero R]],Table13[[#This Row],[Is Zero]])</f>
        <v>0</v>
      </c>
    </row>
    <row r="4061" spans="1:11" ht="16" x14ac:dyDescent="0.2">
      <c r="A4061" s="1" t="s">
        <v>137</v>
      </c>
      <c r="B4061" t="str">
        <f>LEFT(Table13[[#This Row],[Input]],1)</f>
        <v>R</v>
      </c>
      <c r="C4061">
        <f>_xlfn.LET(_xlpm.steps,SUBSTITUTE(Table13[[#This Row],[Input]],Table13[[#This Row],[Direction]],""),VALUE(IF(LEN(_xlpm.steps)&gt;2,RIGHT(_xlpm.steps,2),_xlpm.steps)))</f>
        <v>28</v>
      </c>
      <c r="D4061">
        <f>_xlfn.LET(_xlpm.steps,SUBSTITUTE(Table13[[#This Row],[Input]],Table13[[#This Row],[Direction]],""),VALUE(IF(LEN(_xlpm.steps)&gt;2,LEFT(_xlpm.steps,LEN(_xlpm.steps)-2),0)))</f>
        <v>0</v>
      </c>
      <c r="E4061">
        <f>_xlfn.LET(_xlpm.dir,Table13[[#This Row],[Direction]],
IF(_xlpm.dir="L",
    IF(G4060-Table13[[#This Row],[Steps]]&lt;0,100+(G4060-Table13[[#This Row],[Steps]]),G4060-Table13[[#This Row],[Steps]]),
))</f>
        <v>0</v>
      </c>
      <c r="F4061">
        <f>_xlfn.LET(_xlpm.dir,Table13[[#This Row],[Direction]],
IF(_xlpm.dir="R",
    IF(G4060+Table13[[#This Row],[Steps]]&gt;99,(G4060+Table13[[#This Row],[Steps]])-100,G4060+Table13[[#This Row],[Steps]]),
))</f>
        <v>0</v>
      </c>
      <c r="G4061">
        <f>IF(Table13[[#This Row],[New Pos L]]&lt;&gt;0,Table13[[#This Row],[New Pos L]],Table13[[#This Row],[New Pos R]])</f>
        <v>0</v>
      </c>
      <c r="H4061">
        <f>IF(AND(Table13[[#This Row],[Direction]]="L",Table13[[#This Row],[Steps]]&gt;G4060,G4060&lt;&gt;0),1,0)</f>
        <v>0</v>
      </c>
      <c r="I4061">
        <f>IF(AND(Table13[[#This Row],[Direction]]="R",(G4060+Table13[[#This Row],[Steps]])&gt;100),1,0)</f>
        <v>0</v>
      </c>
      <c r="J4061">
        <f>IF(Table13[[#This Row],[POS]]=0,1,0)</f>
        <v>1</v>
      </c>
      <c r="K4061">
        <f>SUM(Table13[[#This Row],[prefix]],Table13[[#This Row],[Past zero L]],Table13[[#This Row],[Past Zero R]],Table13[[#This Row],[Is Zero]])</f>
        <v>1</v>
      </c>
    </row>
    <row r="4062" spans="1:11" ht="16" x14ac:dyDescent="0.2">
      <c r="A4062" s="1" t="s">
        <v>6</v>
      </c>
      <c r="B4062" t="str">
        <f>LEFT(Table13[[#This Row],[Input]],1)</f>
        <v>R</v>
      </c>
      <c r="C4062">
        <f>_xlfn.LET(_xlpm.steps,SUBSTITUTE(Table13[[#This Row],[Input]],Table13[[#This Row],[Direction]],""),VALUE(IF(LEN(_xlpm.steps)&gt;2,RIGHT(_xlpm.steps,2),_xlpm.steps)))</f>
        <v>49</v>
      </c>
      <c r="D4062">
        <f>_xlfn.LET(_xlpm.steps,SUBSTITUTE(Table13[[#This Row],[Input]],Table13[[#This Row],[Direction]],""),VALUE(IF(LEN(_xlpm.steps)&gt;2,LEFT(_xlpm.steps,LEN(_xlpm.steps)-2),0)))</f>
        <v>0</v>
      </c>
      <c r="E4062">
        <f>_xlfn.LET(_xlpm.dir,Table13[[#This Row],[Direction]],
IF(_xlpm.dir="L",
    IF(G4061-Table13[[#This Row],[Steps]]&lt;0,100+(G4061-Table13[[#This Row],[Steps]]),G4061-Table13[[#This Row],[Steps]]),
))</f>
        <v>0</v>
      </c>
      <c r="F4062">
        <f>_xlfn.LET(_xlpm.dir,Table13[[#This Row],[Direction]],
IF(_xlpm.dir="R",
    IF(G4061+Table13[[#This Row],[Steps]]&gt;99,(G4061+Table13[[#This Row],[Steps]])-100,G4061+Table13[[#This Row],[Steps]]),
))</f>
        <v>49</v>
      </c>
      <c r="G4062">
        <f>IF(Table13[[#This Row],[New Pos L]]&lt;&gt;0,Table13[[#This Row],[New Pos L]],Table13[[#This Row],[New Pos R]])</f>
        <v>49</v>
      </c>
      <c r="H4062">
        <f>IF(AND(Table13[[#This Row],[Direction]]="L",Table13[[#This Row],[Steps]]&gt;G4061,G4061&lt;&gt;0),1,0)</f>
        <v>0</v>
      </c>
      <c r="I4062">
        <f>IF(AND(Table13[[#This Row],[Direction]]="R",(G4061+Table13[[#This Row],[Steps]])&gt;100),1,0)</f>
        <v>0</v>
      </c>
      <c r="J4062">
        <f>IF(Table13[[#This Row],[POS]]=0,1,0)</f>
        <v>0</v>
      </c>
      <c r="K4062">
        <f>SUM(Table13[[#This Row],[prefix]],Table13[[#This Row],[Past zero L]],Table13[[#This Row],[Past Zero R]],Table13[[#This Row],[Is Zero]])</f>
        <v>0</v>
      </c>
    </row>
    <row r="4063" spans="1:11" ht="16" x14ac:dyDescent="0.2">
      <c r="A4063" s="1" t="s">
        <v>193</v>
      </c>
      <c r="B4063" t="str">
        <f>LEFT(Table13[[#This Row],[Input]],1)</f>
        <v>L</v>
      </c>
      <c r="C4063">
        <f>_xlfn.LET(_xlpm.steps,SUBSTITUTE(Table13[[#This Row],[Input]],Table13[[#This Row],[Direction]],""),VALUE(IF(LEN(_xlpm.steps)&gt;2,RIGHT(_xlpm.steps,2),_xlpm.steps)))</f>
        <v>12</v>
      </c>
      <c r="D4063">
        <f>_xlfn.LET(_xlpm.steps,SUBSTITUTE(Table13[[#This Row],[Input]],Table13[[#This Row],[Direction]],""),VALUE(IF(LEN(_xlpm.steps)&gt;2,LEFT(_xlpm.steps,LEN(_xlpm.steps)-2),0)))</f>
        <v>0</v>
      </c>
      <c r="E4063">
        <f>_xlfn.LET(_xlpm.dir,Table13[[#This Row],[Direction]],
IF(_xlpm.dir="L",
    IF(G4062-Table13[[#This Row],[Steps]]&lt;0,100+(G4062-Table13[[#This Row],[Steps]]),G4062-Table13[[#This Row],[Steps]]),
))</f>
        <v>37</v>
      </c>
      <c r="F4063">
        <f>_xlfn.LET(_xlpm.dir,Table13[[#This Row],[Direction]],
IF(_xlpm.dir="R",
    IF(G4062+Table13[[#This Row],[Steps]]&gt;99,(G4062+Table13[[#This Row],[Steps]])-100,G4062+Table13[[#This Row],[Steps]]),
))</f>
        <v>0</v>
      </c>
      <c r="G4063">
        <f>IF(Table13[[#This Row],[New Pos L]]&lt;&gt;0,Table13[[#This Row],[New Pos L]],Table13[[#This Row],[New Pos R]])</f>
        <v>37</v>
      </c>
      <c r="H4063">
        <f>IF(AND(Table13[[#This Row],[Direction]]="L",Table13[[#This Row],[Steps]]&gt;G4062,G4062&lt;&gt;0),1,0)</f>
        <v>0</v>
      </c>
      <c r="I4063">
        <f>IF(AND(Table13[[#This Row],[Direction]]="R",(G4062+Table13[[#This Row],[Steps]])&gt;100),1,0)</f>
        <v>0</v>
      </c>
      <c r="J4063">
        <f>IF(Table13[[#This Row],[POS]]=0,1,0)</f>
        <v>0</v>
      </c>
      <c r="K4063">
        <f>SUM(Table13[[#This Row],[prefix]],Table13[[#This Row],[Past zero L]],Table13[[#This Row],[Past Zero R]],Table13[[#This Row],[Is Zero]])</f>
        <v>0</v>
      </c>
    </row>
    <row r="4064" spans="1:11" ht="16" x14ac:dyDescent="0.2">
      <c r="A4064" s="1" t="s">
        <v>833</v>
      </c>
      <c r="B4064" t="str">
        <f>LEFT(Table13[[#This Row],[Input]],1)</f>
        <v>R</v>
      </c>
      <c r="C4064">
        <f>_xlfn.LET(_xlpm.steps,SUBSTITUTE(Table13[[#This Row],[Input]],Table13[[#This Row],[Direction]],""),VALUE(IF(LEN(_xlpm.steps)&gt;2,RIGHT(_xlpm.steps,2),_xlpm.steps)))</f>
        <v>28</v>
      </c>
      <c r="D4064">
        <f>_xlfn.LET(_xlpm.steps,SUBSTITUTE(Table13[[#This Row],[Input]],Table13[[#This Row],[Direction]],""),VALUE(IF(LEN(_xlpm.steps)&gt;2,LEFT(_xlpm.steps,LEN(_xlpm.steps)-2),0)))</f>
        <v>1</v>
      </c>
      <c r="E4064">
        <f>_xlfn.LET(_xlpm.dir,Table13[[#This Row],[Direction]],
IF(_xlpm.dir="L",
    IF(G4063-Table13[[#This Row],[Steps]]&lt;0,100+(G4063-Table13[[#This Row],[Steps]]),G4063-Table13[[#This Row],[Steps]]),
))</f>
        <v>0</v>
      </c>
      <c r="F4064">
        <f>_xlfn.LET(_xlpm.dir,Table13[[#This Row],[Direction]],
IF(_xlpm.dir="R",
    IF(G4063+Table13[[#This Row],[Steps]]&gt;99,(G4063+Table13[[#This Row],[Steps]])-100,G4063+Table13[[#This Row],[Steps]]),
))</f>
        <v>65</v>
      </c>
      <c r="G4064">
        <f>IF(Table13[[#This Row],[New Pos L]]&lt;&gt;0,Table13[[#This Row],[New Pos L]],Table13[[#This Row],[New Pos R]])</f>
        <v>65</v>
      </c>
      <c r="H4064">
        <f>IF(AND(Table13[[#This Row],[Direction]]="L",Table13[[#This Row],[Steps]]&gt;G4063,G4063&lt;&gt;0),1,0)</f>
        <v>0</v>
      </c>
      <c r="I4064">
        <f>IF(AND(Table13[[#This Row],[Direction]]="R",(G4063+Table13[[#This Row],[Steps]])&gt;100),1,0)</f>
        <v>0</v>
      </c>
      <c r="J4064">
        <f>IF(Table13[[#This Row],[POS]]=0,1,0)</f>
        <v>0</v>
      </c>
      <c r="K4064">
        <f>SUM(Table13[[#This Row],[prefix]],Table13[[#This Row],[Past zero L]],Table13[[#This Row],[Past Zero R]],Table13[[#This Row],[Is Zero]])</f>
        <v>1</v>
      </c>
    </row>
    <row r="4065" spans="1:11" ht="16" x14ac:dyDescent="0.2">
      <c r="A4065" s="1" t="s">
        <v>11</v>
      </c>
      <c r="B4065" t="str">
        <f>LEFT(Table13[[#This Row],[Input]],1)</f>
        <v>L</v>
      </c>
      <c r="C4065">
        <f>_xlfn.LET(_xlpm.steps,SUBSTITUTE(Table13[[#This Row],[Input]],Table13[[#This Row],[Direction]],""),VALUE(IF(LEN(_xlpm.steps)&gt;2,RIGHT(_xlpm.steps,2),_xlpm.steps)))</f>
        <v>34</v>
      </c>
      <c r="D4065">
        <f>_xlfn.LET(_xlpm.steps,SUBSTITUTE(Table13[[#This Row],[Input]],Table13[[#This Row],[Direction]],""),VALUE(IF(LEN(_xlpm.steps)&gt;2,LEFT(_xlpm.steps,LEN(_xlpm.steps)-2),0)))</f>
        <v>0</v>
      </c>
      <c r="E4065">
        <f>_xlfn.LET(_xlpm.dir,Table13[[#This Row],[Direction]],
IF(_xlpm.dir="L",
    IF(G4064-Table13[[#This Row],[Steps]]&lt;0,100+(G4064-Table13[[#This Row],[Steps]]),G4064-Table13[[#This Row],[Steps]]),
))</f>
        <v>31</v>
      </c>
      <c r="F4065">
        <f>_xlfn.LET(_xlpm.dir,Table13[[#This Row],[Direction]],
IF(_xlpm.dir="R",
    IF(G4064+Table13[[#This Row],[Steps]]&gt;99,(G4064+Table13[[#This Row],[Steps]])-100,G4064+Table13[[#This Row],[Steps]]),
))</f>
        <v>0</v>
      </c>
      <c r="G4065">
        <f>IF(Table13[[#This Row],[New Pos L]]&lt;&gt;0,Table13[[#This Row],[New Pos L]],Table13[[#This Row],[New Pos R]])</f>
        <v>31</v>
      </c>
      <c r="H4065">
        <f>IF(AND(Table13[[#This Row],[Direction]]="L",Table13[[#This Row],[Steps]]&gt;G4064,G4064&lt;&gt;0),1,0)</f>
        <v>0</v>
      </c>
      <c r="I4065">
        <f>IF(AND(Table13[[#This Row],[Direction]]="R",(G4064+Table13[[#This Row],[Steps]])&gt;100),1,0)</f>
        <v>0</v>
      </c>
      <c r="J4065">
        <f>IF(Table13[[#This Row],[POS]]=0,1,0)</f>
        <v>0</v>
      </c>
      <c r="K4065">
        <f>SUM(Table13[[#This Row],[prefix]],Table13[[#This Row],[Past zero L]],Table13[[#This Row],[Past Zero R]],Table13[[#This Row],[Is Zero]])</f>
        <v>0</v>
      </c>
    </row>
    <row r="4066" spans="1:11" ht="16" x14ac:dyDescent="0.2">
      <c r="A4066" s="1" t="s">
        <v>834</v>
      </c>
      <c r="B4066" t="str">
        <f>LEFT(Table13[[#This Row],[Input]],1)</f>
        <v>L</v>
      </c>
      <c r="C4066">
        <f>_xlfn.LET(_xlpm.steps,SUBSTITUTE(Table13[[#This Row],[Input]],Table13[[#This Row],[Direction]],""),VALUE(IF(LEN(_xlpm.steps)&gt;2,RIGHT(_xlpm.steps,2),_xlpm.steps)))</f>
        <v>31</v>
      </c>
      <c r="D4066">
        <f>_xlfn.LET(_xlpm.steps,SUBSTITUTE(Table13[[#This Row],[Input]],Table13[[#This Row],[Direction]],""),VALUE(IF(LEN(_xlpm.steps)&gt;2,LEFT(_xlpm.steps,LEN(_xlpm.steps)-2),0)))</f>
        <v>4</v>
      </c>
      <c r="E4066">
        <f>_xlfn.LET(_xlpm.dir,Table13[[#This Row],[Direction]],
IF(_xlpm.dir="L",
    IF(G4065-Table13[[#This Row],[Steps]]&lt;0,100+(G4065-Table13[[#This Row],[Steps]]),G4065-Table13[[#This Row],[Steps]]),
))</f>
        <v>0</v>
      </c>
      <c r="F4066">
        <f>_xlfn.LET(_xlpm.dir,Table13[[#This Row],[Direction]],
IF(_xlpm.dir="R",
    IF(G4065+Table13[[#This Row],[Steps]]&gt;99,(G4065+Table13[[#This Row],[Steps]])-100,G4065+Table13[[#This Row],[Steps]]),
))</f>
        <v>0</v>
      </c>
      <c r="G4066">
        <f>IF(Table13[[#This Row],[New Pos L]]&lt;&gt;0,Table13[[#This Row],[New Pos L]],Table13[[#This Row],[New Pos R]])</f>
        <v>0</v>
      </c>
      <c r="H4066">
        <f>IF(AND(Table13[[#This Row],[Direction]]="L",Table13[[#This Row],[Steps]]&gt;G4065,G4065&lt;&gt;0),1,0)</f>
        <v>0</v>
      </c>
      <c r="I4066">
        <f>IF(AND(Table13[[#This Row],[Direction]]="R",(G4065+Table13[[#This Row],[Steps]])&gt;100),1,0)</f>
        <v>0</v>
      </c>
      <c r="J4066">
        <f>IF(Table13[[#This Row],[POS]]=0,1,0)</f>
        <v>1</v>
      </c>
      <c r="K4066">
        <f>SUM(Table13[[#This Row],[prefix]],Table13[[#This Row],[Past zero L]],Table13[[#This Row],[Past Zero R]],Table13[[#This Row],[Is Zero]])</f>
        <v>5</v>
      </c>
    </row>
    <row r="4067" spans="1:11" ht="16" x14ac:dyDescent="0.2">
      <c r="A4067" s="1" t="s">
        <v>835</v>
      </c>
      <c r="B4067" t="str">
        <f>LEFT(Table13[[#This Row],[Input]],1)</f>
        <v>R</v>
      </c>
      <c r="C4067">
        <f>_xlfn.LET(_xlpm.steps,SUBSTITUTE(Table13[[#This Row],[Input]],Table13[[#This Row],[Direction]],""),VALUE(IF(LEN(_xlpm.steps)&gt;2,RIGHT(_xlpm.steps,2),_xlpm.steps)))</f>
        <v>45</v>
      </c>
      <c r="D4067">
        <f>_xlfn.LET(_xlpm.steps,SUBSTITUTE(Table13[[#This Row],[Input]],Table13[[#This Row],[Direction]],""),VALUE(IF(LEN(_xlpm.steps)&gt;2,LEFT(_xlpm.steps,LEN(_xlpm.steps)-2),0)))</f>
        <v>3</v>
      </c>
      <c r="E4067">
        <f>_xlfn.LET(_xlpm.dir,Table13[[#This Row],[Direction]],
IF(_xlpm.dir="L",
    IF(G4066-Table13[[#This Row],[Steps]]&lt;0,100+(G4066-Table13[[#This Row],[Steps]]),G4066-Table13[[#This Row],[Steps]]),
))</f>
        <v>0</v>
      </c>
      <c r="F4067">
        <f>_xlfn.LET(_xlpm.dir,Table13[[#This Row],[Direction]],
IF(_xlpm.dir="R",
    IF(G4066+Table13[[#This Row],[Steps]]&gt;99,(G4066+Table13[[#This Row],[Steps]])-100,G4066+Table13[[#This Row],[Steps]]),
))</f>
        <v>45</v>
      </c>
      <c r="G4067">
        <f>IF(Table13[[#This Row],[New Pos L]]&lt;&gt;0,Table13[[#This Row],[New Pos L]],Table13[[#This Row],[New Pos R]])</f>
        <v>45</v>
      </c>
      <c r="H4067">
        <f>IF(AND(Table13[[#This Row],[Direction]]="L",Table13[[#This Row],[Steps]]&gt;G4066,G4066&lt;&gt;0),1,0)</f>
        <v>0</v>
      </c>
      <c r="I4067">
        <f>IF(AND(Table13[[#This Row],[Direction]]="R",(G4066+Table13[[#This Row],[Steps]])&gt;100),1,0)</f>
        <v>0</v>
      </c>
      <c r="J4067">
        <f>IF(Table13[[#This Row],[POS]]=0,1,0)</f>
        <v>0</v>
      </c>
      <c r="K4067">
        <f>SUM(Table13[[#This Row],[prefix]],Table13[[#This Row],[Past zero L]],Table13[[#This Row],[Past Zero R]],Table13[[#This Row],[Is Zero]])</f>
        <v>3</v>
      </c>
    </row>
    <row r="4068" spans="1:11" ht="16" x14ac:dyDescent="0.2">
      <c r="A4068" s="1" t="s">
        <v>56</v>
      </c>
      <c r="B4068" t="str">
        <f>LEFT(Table13[[#This Row],[Input]],1)</f>
        <v>R</v>
      </c>
      <c r="C4068">
        <f>_xlfn.LET(_xlpm.steps,SUBSTITUTE(Table13[[#This Row],[Input]],Table13[[#This Row],[Direction]],""),VALUE(IF(LEN(_xlpm.steps)&gt;2,RIGHT(_xlpm.steps,2),_xlpm.steps)))</f>
        <v>42</v>
      </c>
      <c r="D4068">
        <f>_xlfn.LET(_xlpm.steps,SUBSTITUTE(Table13[[#This Row],[Input]],Table13[[#This Row],[Direction]],""),VALUE(IF(LEN(_xlpm.steps)&gt;2,LEFT(_xlpm.steps,LEN(_xlpm.steps)-2),0)))</f>
        <v>0</v>
      </c>
      <c r="E4068">
        <f>_xlfn.LET(_xlpm.dir,Table13[[#This Row],[Direction]],
IF(_xlpm.dir="L",
    IF(G4067-Table13[[#This Row],[Steps]]&lt;0,100+(G4067-Table13[[#This Row],[Steps]]),G4067-Table13[[#This Row],[Steps]]),
))</f>
        <v>0</v>
      </c>
      <c r="F4068">
        <f>_xlfn.LET(_xlpm.dir,Table13[[#This Row],[Direction]],
IF(_xlpm.dir="R",
    IF(G4067+Table13[[#This Row],[Steps]]&gt;99,(G4067+Table13[[#This Row],[Steps]])-100,G4067+Table13[[#This Row],[Steps]]),
))</f>
        <v>87</v>
      </c>
      <c r="G4068">
        <f>IF(Table13[[#This Row],[New Pos L]]&lt;&gt;0,Table13[[#This Row],[New Pos L]],Table13[[#This Row],[New Pos R]])</f>
        <v>87</v>
      </c>
      <c r="H4068">
        <f>IF(AND(Table13[[#This Row],[Direction]]="L",Table13[[#This Row],[Steps]]&gt;G4067,G4067&lt;&gt;0),1,0)</f>
        <v>0</v>
      </c>
      <c r="I4068">
        <f>IF(AND(Table13[[#This Row],[Direction]]="R",(G4067+Table13[[#This Row],[Steps]])&gt;100),1,0)</f>
        <v>0</v>
      </c>
      <c r="J4068">
        <f>IF(Table13[[#This Row],[POS]]=0,1,0)</f>
        <v>0</v>
      </c>
      <c r="K4068">
        <f>SUM(Table13[[#This Row],[prefix]],Table13[[#This Row],[Past zero L]],Table13[[#This Row],[Past Zero R]],Table13[[#This Row],[Is Zero]])</f>
        <v>0</v>
      </c>
    </row>
    <row r="4069" spans="1:11" ht="16" x14ac:dyDescent="0.2">
      <c r="A4069" s="1" t="s">
        <v>256</v>
      </c>
      <c r="B4069" t="str">
        <f>LEFT(Table13[[#This Row],[Input]],1)</f>
        <v>R</v>
      </c>
      <c r="C4069">
        <f>_xlfn.LET(_xlpm.steps,SUBSTITUTE(Table13[[#This Row],[Input]],Table13[[#This Row],[Direction]],""),VALUE(IF(LEN(_xlpm.steps)&gt;2,RIGHT(_xlpm.steps,2),_xlpm.steps)))</f>
        <v>13</v>
      </c>
      <c r="D4069">
        <f>_xlfn.LET(_xlpm.steps,SUBSTITUTE(Table13[[#This Row],[Input]],Table13[[#This Row],[Direction]],""),VALUE(IF(LEN(_xlpm.steps)&gt;2,LEFT(_xlpm.steps,LEN(_xlpm.steps)-2),0)))</f>
        <v>0</v>
      </c>
      <c r="E4069">
        <f>_xlfn.LET(_xlpm.dir,Table13[[#This Row],[Direction]],
IF(_xlpm.dir="L",
    IF(G4068-Table13[[#This Row],[Steps]]&lt;0,100+(G4068-Table13[[#This Row],[Steps]]),G4068-Table13[[#This Row],[Steps]]),
))</f>
        <v>0</v>
      </c>
      <c r="F4069">
        <f>_xlfn.LET(_xlpm.dir,Table13[[#This Row],[Direction]],
IF(_xlpm.dir="R",
    IF(G4068+Table13[[#This Row],[Steps]]&gt;99,(G4068+Table13[[#This Row],[Steps]])-100,G4068+Table13[[#This Row],[Steps]]),
))</f>
        <v>0</v>
      </c>
      <c r="G4069">
        <f>IF(Table13[[#This Row],[New Pos L]]&lt;&gt;0,Table13[[#This Row],[New Pos L]],Table13[[#This Row],[New Pos R]])</f>
        <v>0</v>
      </c>
      <c r="H4069">
        <f>IF(AND(Table13[[#This Row],[Direction]]="L",Table13[[#This Row],[Steps]]&gt;G4068,G4068&lt;&gt;0),1,0)</f>
        <v>0</v>
      </c>
      <c r="I4069">
        <f>IF(AND(Table13[[#This Row],[Direction]]="R",(G4068+Table13[[#This Row],[Steps]])&gt;100),1,0)</f>
        <v>0</v>
      </c>
      <c r="J4069">
        <f>IF(Table13[[#This Row],[POS]]=0,1,0)</f>
        <v>1</v>
      </c>
      <c r="K4069">
        <f>SUM(Table13[[#This Row],[prefix]],Table13[[#This Row],[Past zero L]],Table13[[#This Row],[Past Zero R]],Table13[[#This Row],[Is Zero]])</f>
        <v>1</v>
      </c>
    </row>
    <row r="4070" spans="1:11" ht="16" x14ac:dyDescent="0.2">
      <c r="A4070" s="1" t="s">
        <v>836</v>
      </c>
      <c r="B4070" t="str">
        <f>LEFT(Table13[[#This Row],[Input]],1)</f>
        <v>L</v>
      </c>
      <c r="C4070">
        <f>_xlfn.LET(_xlpm.steps,SUBSTITUTE(Table13[[#This Row],[Input]],Table13[[#This Row],[Direction]],""),VALUE(IF(LEN(_xlpm.steps)&gt;2,RIGHT(_xlpm.steps,2),_xlpm.steps)))</f>
        <v>91</v>
      </c>
      <c r="D4070">
        <f>_xlfn.LET(_xlpm.steps,SUBSTITUTE(Table13[[#This Row],[Input]],Table13[[#This Row],[Direction]],""),VALUE(IF(LEN(_xlpm.steps)&gt;2,LEFT(_xlpm.steps,LEN(_xlpm.steps)-2),0)))</f>
        <v>8</v>
      </c>
      <c r="E4070">
        <f>_xlfn.LET(_xlpm.dir,Table13[[#This Row],[Direction]],
IF(_xlpm.dir="L",
    IF(G4069-Table13[[#This Row],[Steps]]&lt;0,100+(G4069-Table13[[#This Row],[Steps]]),G4069-Table13[[#This Row],[Steps]]),
))</f>
        <v>9</v>
      </c>
      <c r="F4070">
        <f>_xlfn.LET(_xlpm.dir,Table13[[#This Row],[Direction]],
IF(_xlpm.dir="R",
    IF(G4069+Table13[[#This Row],[Steps]]&gt;99,(G4069+Table13[[#This Row],[Steps]])-100,G4069+Table13[[#This Row],[Steps]]),
))</f>
        <v>0</v>
      </c>
      <c r="G4070">
        <f>IF(Table13[[#This Row],[New Pos L]]&lt;&gt;0,Table13[[#This Row],[New Pos L]],Table13[[#This Row],[New Pos R]])</f>
        <v>9</v>
      </c>
      <c r="H4070">
        <f>IF(AND(Table13[[#This Row],[Direction]]="L",Table13[[#This Row],[Steps]]&gt;G4069,G4069&lt;&gt;0),1,0)</f>
        <v>0</v>
      </c>
      <c r="I4070">
        <f>IF(AND(Table13[[#This Row],[Direction]]="R",(G4069+Table13[[#This Row],[Steps]])&gt;100),1,0)</f>
        <v>0</v>
      </c>
      <c r="J4070">
        <f>IF(Table13[[#This Row],[POS]]=0,1,0)</f>
        <v>0</v>
      </c>
      <c r="K4070">
        <f>SUM(Table13[[#This Row],[prefix]],Table13[[#This Row],[Past zero L]],Table13[[#This Row],[Past Zero R]],Table13[[#This Row],[Is Zero]])</f>
        <v>8</v>
      </c>
    </row>
    <row r="4071" spans="1:11" ht="16" x14ac:dyDescent="0.2">
      <c r="A4071" s="1" t="s">
        <v>206</v>
      </c>
      <c r="B4071" t="str">
        <f>LEFT(Table13[[#This Row],[Input]],1)</f>
        <v>R</v>
      </c>
      <c r="C4071">
        <f>_xlfn.LET(_xlpm.steps,SUBSTITUTE(Table13[[#This Row],[Input]],Table13[[#This Row],[Direction]],""),VALUE(IF(LEN(_xlpm.steps)&gt;2,RIGHT(_xlpm.steps,2),_xlpm.steps)))</f>
        <v>62</v>
      </c>
      <c r="D4071">
        <f>_xlfn.LET(_xlpm.steps,SUBSTITUTE(Table13[[#This Row],[Input]],Table13[[#This Row],[Direction]],""),VALUE(IF(LEN(_xlpm.steps)&gt;2,LEFT(_xlpm.steps,LEN(_xlpm.steps)-2),0)))</f>
        <v>0</v>
      </c>
      <c r="E4071">
        <f>_xlfn.LET(_xlpm.dir,Table13[[#This Row],[Direction]],
IF(_xlpm.dir="L",
    IF(G4070-Table13[[#This Row],[Steps]]&lt;0,100+(G4070-Table13[[#This Row],[Steps]]),G4070-Table13[[#This Row],[Steps]]),
))</f>
        <v>0</v>
      </c>
      <c r="F4071">
        <f>_xlfn.LET(_xlpm.dir,Table13[[#This Row],[Direction]],
IF(_xlpm.dir="R",
    IF(G4070+Table13[[#This Row],[Steps]]&gt;99,(G4070+Table13[[#This Row],[Steps]])-100,G4070+Table13[[#This Row],[Steps]]),
))</f>
        <v>71</v>
      </c>
      <c r="G4071">
        <f>IF(Table13[[#This Row],[New Pos L]]&lt;&gt;0,Table13[[#This Row],[New Pos L]],Table13[[#This Row],[New Pos R]])</f>
        <v>71</v>
      </c>
      <c r="H4071">
        <f>IF(AND(Table13[[#This Row],[Direction]]="L",Table13[[#This Row],[Steps]]&gt;G4070,G4070&lt;&gt;0),1,0)</f>
        <v>0</v>
      </c>
      <c r="I4071">
        <f>IF(AND(Table13[[#This Row],[Direction]]="R",(G4070+Table13[[#This Row],[Steps]])&gt;100),1,0)</f>
        <v>0</v>
      </c>
      <c r="J4071">
        <f>IF(Table13[[#This Row],[POS]]=0,1,0)</f>
        <v>0</v>
      </c>
      <c r="K4071">
        <f>SUM(Table13[[#This Row],[prefix]],Table13[[#This Row],[Past zero L]],Table13[[#This Row],[Past Zero R]],Table13[[#This Row],[Is Zero]])</f>
        <v>0</v>
      </c>
    </row>
    <row r="4072" spans="1:11" ht="16" x14ac:dyDescent="0.2">
      <c r="A4072" s="1" t="s">
        <v>40</v>
      </c>
      <c r="B4072" t="str">
        <f>LEFT(Table13[[#This Row],[Input]],1)</f>
        <v>R</v>
      </c>
      <c r="C4072">
        <f>_xlfn.LET(_xlpm.steps,SUBSTITUTE(Table13[[#This Row],[Input]],Table13[[#This Row],[Direction]],""),VALUE(IF(LEN(_xlpm.steps)&gt;2,RIGHT(_xlpm.steps,2),_xlpm.steps)))</f>
        <v>52</v>
      </c>
      <c r="D4072">
        <f>_xlfn.LET(_xlpm.steps,SUBSTITUTE(Table13[[#This Row],[Input]],Table13[[#This Row],[Direction]],""),VALUE(IF(LEN(_xlpm.steps)&gt;2,LEFT(_xlpm.steps,LEN(_xlpm.steps)-2),0)))</f>
        <v>0</v>
      </c>
      <c r="E4072">
        <f>_xlfn.LET(_xlpm.dir,Table13[[#This Row],[Direction]],
IF(_xlpm.dir="L",
    IF(G4071-Table13[[#This Row],[Steps]]&lt;0,100+(G4071-Table13[[#This Row],[Steps]]),G4071-Table13[[#This Row],[Steps]]),
))</f>
        <v>0</v>
      </c>
      <c r="F4072">
        <f>_xlfn.LET(_xlpm.dir,Table13[[#This Row],[Direction]],
IF(_xlpm.dir="R",
    IF(G4071+Table13[[#This Row],[Steps]]&gt;99,(G4071+Table13[[#This Row],[Steps]])-100,G4071+Table13[[#This Row],[Steps]]),
))</f>
        <v>23</v>
      </c>
      <c r="G4072">
        <f>IF(Table13[[#This Row],[New Pos L]]&lt;&gt;0,Table13[[#This Row],[New Pos L]],Table13[[#This Row],[New Pos R]])</f>
        <v>23</v>
      </c>
      <c r="H4072">
        <f>IF(AND(Table13[[#This Row],[Direction]]="L",Table13[[#This Row],[Steps]]&gt;G4071,G4071&lt;&gt;0),1,0)</f>
        <v>0</v>
      </c>
      <c r="I4072">
        <f>IF(AND(Table13[[#This Row],[Direction]]="R",(G4071+Table13[[#This Row],[Steps]])&gt;100),1,0)</f>
        <v>1</v>
      </c>
      <c r="J4072">
        <f>IF(Table13[[#This Row],[POS]]=0,1,0)</f>
        <v>0</v>
      </c>
      <c r="K4072">
        <f>SUM(Table13[[#This Row],[prefix]],Table13[[#This Row],[Past zero L]],Table13[[#This Row],[Past Zero R]],Table13[[#This Row],[Is Zero]])</f>
        <v>1</v>
      </c>
    </row>
    <row r="4073" spans="1:11" ht="16" x14ac:dyDescent="0.2">
      <c r="A4073" s="1" t="s">
        <v>531</v>
      </c>
      <c r="B4073" t="str">
        <f>LEFT(Table13[[#This Row],[Input]],1)</f>
        <v>L</v>
      </c>
      <c r="C4073">
        <f>_xlfn.LET(_xlpm.steps,SUBSTITUTE(Table13[[#This Row],[Input]],Table13[[#This Row],[Direction]],""),VALUE(IF(LEN(_xlpm.steps)&gt;2,RIGHT(_xlpm.steps,2),_xlpm.steps)))</f>
        <v>15</v>
      </c>
      <c r="D4073">
        <f>_xlfn.LET(_xlpm.steps,SUBSTITUTE(Table13[[#This Row],[Input]],Table13[[#This Row],[Direction]],""),VALUE(IF(LEN(_xlpm.steps)&gt;2,LEFT(_xlpm.steps,LEN(_xlpm.steps)-2),0)))</f>
        <v>1</v>
      </c>
      <c r="E4073">
        <f>_xlfn.LET(_xlpm.dir,Table13[[#This Row],[Direction]],
IF(_xlpm.dir="L",
    IF(G4072-Table13[[#This Row],[Steps]]&lt;0,100+(G4072-Table13[[#This Row],[Steps]]),G4072-Table13[[#This Row],[Steps]]),
))</f>
        <v>8</v>
      </c>
      <c r="F4073">
        <f>_xlfn.LET(_xlpm.dir,Table13[[#This Row],[Direction]],
IF(_xlpm.dir="R",
    IF(G4072+Table13[[#This Row],[Steps]]&gt;99,(G4072+Table13[[#This Row],[Steps]])-100,G4072+Table13[[#This Row],[Steps]]),
))</f>
        <v>0</v>
      </c>
      <c r="G4073">
        <f>IF(Table13[[#This Row],[New Pos L]]&lt;&gt;0,Table13[[#This Row],[New Pos L]],Table13[[#This Row],[New Pos R]])</f>
        <v>8</v>
      </c>
      <c r="H4073">
        <f>IF(AND(Table13[[#This Row],[Direction]]="L",Table13[[#This Row],[Steps]]&gt;G4072,G4072&lt;&gt;0),1,0)</f>
        <v>0</v>
      </c>
      <c r="I4073">
        <f>IF(AND(Table13[[#This Row],[Direction]]="R",(G4072+Table13[[#This Row],[Steps]])&gt;100),1,0)</f>
        <v>0</v>
      </c>
      <c r="J4073">
        <f>IF(Table13[[#This Row],[POS]]=0,1,0)</f>
        <v>0</v>
      </c>
      <c r="K4073">
        <f>SUM(Table13[[#This Row],[prefix]],Table13[[#This Row],[Past zero L]],Table13[[#This Row],[Past Zero R]],Table13[[#This Row],[Is Zero]])</f>
        <v>1</v>
      </c>
    </row>
    <row r="4074" spans="1:11" ht="16" x14ac:dyDescent="0.2">
      <c r="A4074" s="1" t="s">
        <v>182</v>
      </c>
      <c r="B4074" t="str">
        <f>LEFT(Table13[[#This Row],[Input]],1)</f>
        <v>L</v>
      </c>
      <c r="C4074">
        <f>_xlfn.LET(_xlpm.steps,SUBSTITUTE(Table13[[#This Row],[Input]],Table13[[#This Row],[Direction]],""),VALUE(IF(LEN(_xlpm.steps)&gt;2,RIGHT(_xlpm.steps,2),_xlpm.steps)))</f>
        <v>3</v>
      </c>
      <c r="D4074">
        <f>_xlfn.LET(_xlpm.steps,SUBSTITUTE(Table13[[#This Row],[Input]],Table13[[#This Row],[Direction]],""),VALUE(IF(LEN(_xlpm.steps)&gt;2,LEFT(_xlpm.steps,LEN(_xlpm.steps)-2),0)))</f>
        <v>0</v>
      </c>
      <c r="E4074">
        <f>_xlfn.LET(_xlpm.dir,Table13[[#This Row],[Direction]],
IF(_xlpm.dir="L",
    IF(G4073-Table13[[#This Row],[Steps]]&lt;0,100+(G4073-Table13[[#This Row],[Steps]]),G4073-Table13[[#This Row],[Steps]]),
))</f>
        <v>5</v>
      </c>
      <c r="F4074">
        <f>_xlfn.LET(_xlpm.dir,Table13[[#This Row],[Direction]],
IF(_xlpm.dir="R",
    IF(G4073+Table13[[#This Row],[Steps]]&gt;99,(G4073+Table13[[#This Row],[Steps]])-100,G4073+Table13[[#This Row],[Steps]]),
))</f>
        <v>0</v>
      </c>
      <c r="G4074">
        <f>IF(Table13[[#This Row],[New Pos L]]&lt;&gt;0,Table13[[#This Row],[New Pos L]],Table13[[#This Row],[New Pos R]])</f>
        <v>5</v>
      </c>
      <c r="H4074">
        <f>IF(AND(Table13[[#This Row],[Direction]]="L",Table13[[#This Row],[Steps]]&gt;G4073,G4073&lt;&gt;0),1,0)</f>
        <v>0</v>
      </c>
      <c r="I4074">
        <f>IF(AND(Table13[[#This Row],[Direction]]="R",(G4073+Table13[[#This Row],[Steps]])&gt;100),1,0)</f>
        <v>0</v>
      </c>
      <c r="J4074">
        <f>IF(Table13[[#This Row],[POS]]=0,1,0)</f>
        <v>0</v>
      </c>
      <c r="K4074">
        <f>SUM(Table13[[#This Row],[prefix]],Table13[[#This Row],[Past zero L]],Table13[[#This Row],[Past Zero R]],Table13[[#This Row],[Is Zero]])</f>
        <v>0</v>
      </c>
    </row>
    <row r="4075" spans="1:11" ht="16" x14ac:dyDescent="0.2">
      <c r="A4075" s="1" t="s">
        <v>158</v>
      </c>
      <c r="B4075" t="str">
        <f>LEFT(Table13[[#This Row],[Input]],1)</f>
        <v>L</v>
      </c>
      <c r="C4075">
        <f>_xlfn.LET(_xlpm.steps,SUBSTITUTE(Table13[[#This Row],[Input]],Table13[[#This Row],[Direction]],""),VALUE(IF(LEN(_xlpm.steps)&gt;2,RIGHT(_xlpm.steps,2),_xlpm.steps)))</f>
        <v>24</v>
      </c>
      <c r="D4075">
        <f>_xlfn.LET(_xlpm.steps,SUBSTITUTE(Table13[[#This Row],[Input]],Table13[[#This Row],[Direction]],""),VALUE(IF(LEN(_xlpm.steps)&gt;2,LEFT(_xlpm.steps,LEN(_xlpm.steps)-2),0)))</f>
        <v>0</v>
      </c>
      <c r="E4075">
        <f>_xlfn.LET(_xlpm.dir,Table13[[#This Row],[Direction]],
IF(_xlpm.dir="L",
    IF(G4074-Table13[[#This Row],[Steps]]&lt;0,100+(G4074-Table13[[#This Row],[Steps]]),G4074-Table13[[#This Row],[Steps]]),
))</f>
        <v>81</v>
      </c>
      <c r="F4075">
        <f>_xlfn.LET(_xlpm.dir,Table13[[#This Row],[Direction]],
IF(_xlpm.dir="R",
    IF(G4074+Table13[[#This Row],[Steps]]&gt;99,(G4074+Table13[[#This Row],[Steps]])-100,G4074+Table13[[#This Row],[Steps]]),
))</f>
        <v>0</v>
      </c>
      <c r="G4075">
        <f>IF(Table13[[#This Row],[New Pos L]]&lt;&gt;0,Table13[[#This Row],[New Pos L]],Table13[[#This Row],[New Pos R]])</f>
        <v>81</v>
      </c>
      <c r="H4075">
        <f>IF(AND(Table13[[#This Row],[Direction]]="L",Table13[[#This Row],[Steps]]&gt;G4074,G4074&lt;&gt;0),1,0)</f>
        <v>1</v>
      </c>
      <c r="I4075">
        <f>IF(AND(Table13[[#This Row],[Direction]]="R",(G4074+Table13[[#This Row],[Steps]])&gt;100),1,0)</f>
        <v>0</v>
      </c>
      <c r="J4075">
        <f>IF(Table13[[#This Row],[POS]]=0,1,0)</f>
        <v>0</v>
      </c>
      <c r="K4075">
        <f>SUM(Table13[[#This Row],[prefix]],Table13[[#This Row],[Past zero L]],Table13[[#This Row],[Past Zero R]],Table13[[#This Row],[Is Zero]])</f>
        <v>1</v>
      </c>
    </row>
    <row r="4076" spans="1:11" ht="16" x14ac:dyDescent="0.2">
      <c r="A4076" s="1" t="s">
        <v>110</v>
      </c>
      <c r="B4076" t="str">
        <f>LEFT(Table13[[#This Row],[Input]],1)</f>
        <v>L</v>
      </c>
      <c r="C4076">
        <f>_xlfn.LET(_xlpm.steps,SUBSTITUTE(Table13[[#This Row],[Input]],Table13[[#This Row],[Direction]],""),VALUE(IF(LEN(_xlpm.steps)&gt;2,RIGHT(_xlpm.steps,2),_xlpm.steps)))</f>
        <v>81</v>
      </c>
      <c r="D4076">
        <f>_xlfn.LET(_xlpm.steps,SUBSTITUTE(Table13[[#This Row],[Input]],Table13[[#This Row],[Direction]],""),VALUE(IF(LEN(_xlpm.steps)&gt;2,LEFT(_xlpm.steps,LEN(_xlpm.steps)-2),0)))</f>
        <v>0</v>
      </c>
      <c r="E4076">
        <f>_xlfn.LET(_xlpm.dir,Table13[[#This Row],[Direction]],
IF(_xlpm.dir="L",
    IF(G4075-Table13[[#This Row],[Steps]]&lt;0,100+(G4075-Table13[[#This Row],[Steps]]),G4075-Table13[[#This Row],[Steps]]),
))</f>
        <v>0</v>
      </c>
      <c r="F4076">
        <f>_xlfn.LET(_xlpm.dir,Table13[[#This Row],[Direction]],
IF(_xlpm.dir="R",
    IF(G4075+Table13[[#This Row],[Steps]]&gt;99,(G4075+Table13[[#This Row],[Steps]])-100,G4075+Table13[[#This Row],[Steps]]),
))</f>
        <v>0</v>
      </c>
      <c r="G4076">
        <f>IF(Table13[[#This Row],[New Pos L]]&lt;&gt;0,Table13[[#This Row],[New Pos L]],Table13[[#This Row],[New Pos R]])</f>
        <v>0</v>
      </c>
      <c r="H4076">
        <f>IF(AND(Table13[[#This Row],[Direction]]="L",Table13[[#This Row],[Steps]]&gt;G4075,G4075&lt;&gt;0),1,0)</f>
        <v>0</v>
      </c>
      <c r="I4076">
        <f>IF(AND(Table13[[#This Row],[Direction]]="R",(G4075+Table13[[#This Row],[Steps]])&gt;100),1,0)</f>
        <v>0</v>
      </c>
      <c r="J4076">
        <f>IF(Table13[[#This Row],[POS]]=0,1,0)</f>
        <v>1</v>
      </c>
      <c r="K4076">
        <f>SUM(Table13[[#This Row],[prefix]],Table13[[#This Row],[Past zero L]],Table13[[#This Row],[Past Zero R]],Table13[[#This Row],[Is Zero]])</f>
        <v>1</v>
      </c>
    </row>
    <row r="4077" spans="1:11" ht="16" x14ac:dyDescent="0.2">
      <c r="A4077" s="1" t="s">
        <v>295</v>
      </c>
      <c r="B4077" t="str">
        <f>LEFT(Table13[[#This Row],[Input]],1)</f>
        <v>L</v>
      </c>
      <c r="C4077">
        <f>_xlfn.LET(_xlpm.steps,SUBSTITUTE(Table13[[#This Row],[Input]],Table13[[#This Row],[Direction]],""),VALUE(IF(LEN(_xlpm.steps)&gt;2,RIGHT(_xlpm.steps,2),_xlpm.steps)))</f>
        <v>88</v>
      </c>
      <c r="D4077">
        <f>_xlfn.LET(_xlpm.steps,SUBSTITUTE(Table13[[#This Row],[Input]],Table13[[#This Row],[Direction]],""),VALUE(IF(LEN(_xlpm.steps)&gt;2,LEFT(_xlpm.steps,LEN(_xlpm.steps)-2),0)))</f>
        <v>0</v>
      </c>
      <c r="E4077">
        <f>_xlfn.LET(_xlpm.dir,Table13[[#This Row],[Direction]],
IF(_xlpm.dir="L",
    IF(G4076-Table13[[#This Row],[Steps]]&lt;0,100+(G4076-Table13[[#This Row],[Steps]]),G4076-Table13[[#This Row],[Steps]]),
))</f>
        <v>12</v>
      </c>
      <c r="F4077">
        <f>_xlfn.LET(_xlpm.dir,Table13[[#This Row],[Direction]],
IF(_xlpm.dir="R",
    IF(G4076+Table13[[#This Row],[Steps]]&gt;99,(G4076+Table13[[#This Row],[Steps]])-100,G4076+Table13[[#This Row],[Steps]]),
))</f>
        <v>0</v>
      </c>
      <c r="G4077">
        <f>IF(Table13[[#This Row],[New Pos L]]&lt;&gt;0,Table13[[#This Row],[New Pos L]],Table13[[#This Row],[New Pos R]])</f>
        <v>12</v>
      </c>
      <c r="H4077">
        <f>IF(AND(Table13[[#This Row],[Direction]]="L",Table13[[#This Row],[Steps]]&gt;G4076,G4076&lt;&gt;0),1,0)</f>
        <v>0</v>
      </c>
      <c r="I4077">
        <f>IF(AND(Table13[[#This Row],[Direction]]="R",(G4076+Table13[[#This Row],[Steps]])&gt;100),1,0)</f>
        <v>0</v>
      </c>
      <c r="J4077">
        <f>IF(Table13[[#This Row],[POS]]=0,1,0)</f>
        <v>0</v>
      </c>
      <c r="K4077">
        <f>SUM(Table13[[#This Row],[prefix]],Table13[[#This Row],[Past zero L]],Table13[[#This Row],[Past Zero R]],Table13[[#This Row],[Is Zero]])</f>
        <v>0</v>
      </c>
    </row>
    <row r="4078" spans="1:11" ht="16" x14ac:dyDescent="0.2">
      <c r="A4078" s="1" t="s">
        <v>84</v>
      </c>
      <c r="B4078" t="str">
        <f>LEFT(Table13[[#This Row],[Input]],1)</f>
        <v>R</v>
      </c>
      <c r="C4078">
        <f>_xlfn.LET(_xlpm.steps,SUBSTITUTE(Table13[[#This Row],[Input]],Table13[[#This Row],[Direction]],""),VALUE(IF(LEN(_xlpm.steps)&gt;2,RIGHT(_xlpm.steps,2),_xlpm.steps)))</f>
        <v>88</v>
      </c>
      <c r="D4078">
        <f>_xlfn.LET(_xlpm.steps,SUBSTITUTE(Table13[[#This Row],[Input]],Table13[[#This Row],[Direction]],""),VALUE(IF(LEN(_xlpm.steps)&gt;2,LEFT(_xlpm.steps,LEN(_xlpm.steps)-2),0)))</f>
        <v>0</v>
      </c>
      <c r="E4078">
        <f>_xlfn.LET(_xlpm.dir,Table13[[#This Row],[Direction]],
IF(_xlpm.dir="L",
    IF(G4077-Table13[[#This Row],[Steps]]&lt;0,100+(G4077-Table13[[#This Row],[Steps]]),G4077-Table13[[#This Row],[Steps]]),
))</f>
        <v>0</v>
      </c>
      <c r="F4078">
        <f>_xlfn.LET(_xlpm.dir,Table13[[#This Row],[Direction]],
IF(_xlpm.dir="R",
    IF(G4077+Table13[[#This Row],[Steps]]&gt;99,(G4077+Table13[[#This Row],[Steps]])-100,G4077+Table13[[#This Row],[Steps]]),
))</f>
        <v>0</v>
      </c>
      <c r="G4078">
        <f>IF(Table13[[#This Row],[New Pos L]]&lt;&gt;0,Table13[[#This Row],[New Pos L]],Table13[[#This Row],[New Pos R]])</f>
        <v>0</v>
      </c>
      <c r="H4078">
        <f>IF(AND(Table13[[#This Row],[Direction]]="L",Table13[[#This Row],[Steps]]&gt;G4077,G4077&lt;&gt;0),1,0)</f>
        <v>0</v>
      </c>
      <c r="I4078">
        <f>IF(AND(Table13[[#This Row],[Direction]]="R",(G4077+Table13[[#This Row],[Steps]])&gt;100),1,0)</f>
        <v>0</v>
      </c>
      <c r="J4078">
        <f>IF(Table13[[#This Row],[POS]]=0,1,0)</f>
        <v>1</v>
      </c>
      <c r="K4078">
        <f>SUM(Table13[[#This Row],[prefix]],Table13[[#This Row],[Past zero L]],Table13[[#This Row],[Past Zero R]],Table13[[#This Row],[Is Zero]])</f>
        <v>1</v>
      </c>
    </row>
    <row r="4079" spans="1:11" ht="16" x14ac:dyDescent="0.2">
      <c r="A4079" s="1" t="s">
        <v>116</v>
      </c>
      <c r="B4079" t="str">
        <f>LEFT(Table13[[#This Row],[Input]],1)</f>
        <v>L</v>
      </c>
      <c r="C4079">
        <f>_xlfn.LET(_xlpm.steps,SUBSTITUTE(Table13[[#This Row],[Input]],Table13[[#This Row],[Direction]],""),VALUE(IF(LEN(_xlpm.steps)&gt;2,RIGHT(_xlpm.steps,2),_xlpm.steps)))</f>
        <v>58</v>
      </c>
      <c r="D4079">
        <f>_xlfn.LET(_xlpm.steps,SUBSTITUTE(Table13[[#This Row],[Input]],Table13[[#This Row],[Direction]],""),VALUE(IF(LEN(_xlpm.steps)&gt;2,LEFT(_xlpm.steps,LEN(_xlpm.steps)-2),0)))</f>
        <v>0</v>
      </c>
      <c r="E4079">
        <f>_xlfn.LET(_xlpm.dir,Table13[[#This Row],[Direction]],
IF(_xlpm.dir="L",
    IF(G4078-Table13[[#This Row],[Steps]]&lt;0,100+(G4078-Table13[[#This Row],[Steps]]),G4078-Table13[[#This Row],[Steps]]),
))</f>
        <v>42</v>
      </c>
      <c r="F4079">
        <f>_xlfn.LET(_xlpm.dir,Table13[[#This Row],[Direction]],
IF(_xlpm.dir="R",
    IF(G4078+Table13[[#This Row],[Steps]]&gt;99,(G4078+Table13[[#This Row],[Steps]])-100,G4078+Table13[[#This Row],[Steps]]),
))</f>
        <v>0</v>
      </c>
      <c r="G4079">
        <f>IF(Table13[[#This Row],[New Pos L]]&lt;&gt;0,Table13[[#This Row],[New Pos L]],Table13[[#This Row],[New Pos R]])</f>
        <v>42</v>
      </c>
      <c r="H4079">
        <f>IF(AND(Table13[[#This Row],[Direction]]="L",Table13[[#This Row],[Steps]]&gt;G4078,G4078&lt;&gt;0),1,0)</f>
        <v>0</v>
      </c>
      <c r="I4079">
        <f>IF(AND(Table13[[#This Row],[Direction]]="R",(G4078+Table13[[#This Row],[Steps]])&gt;100),1,0)</f>
        <v>0</v>
      </c>
      <c r="J4079">
        <f>IF(Table13[[#This Row],[POS]]=0,1,0)</f>
        <v>0</v>
      </c>
      <c r="K4079">
        <f>SUM(Table13[[#This Row],[prefix]],Table13[[#This Row],[Past zero L]],Table13[[#This Row],[Past Zero R]],Table13[[#This Row],[Is Zero]])</f>
        <v>0</v>
      </c>
    </row>
    <row r="4080" spans="1:11" ht="16" x14ac:dyDescent="0.2">
      <c r="A4080" s="1" t="s">
        <v>69</v>
      </c>
      <c r="B4080" t="str">
        <f>LEFT(Table13[[#This Row],[Input]],1)</f>
        <v>R</v>
      </c>
      <c r="C4080">
        <f>_xlfn.LET(_xlpm.steps,SUBSTITUTE(Table13[[#This Row],[Input]],Table13[[#This Row],[Direction]],""),VALUE(IF(LEN(_xlpm.steps)&gt;2,RIGHT(_xlpm.steps,2),_xlpm.steps)))</f>
        <v>27</v>
      </c>
      <c r="D4080">
        <f>_xlfn.LET(_xlpm.steps,SUBSTITUTE(Table13[[#This Row],[Input]],Table13[[#This Row],[Direction]],""),VALUE(IF(LEN(_xlpm.steps)&gt;2,LEFT(_xlpm.steps,LEN(_xlpm.steps)-2),0)))</f>
        <v>0</v>
      </c>
      <c r="E4080">
        <f>_xlfn.LET(_xlpm.dir,Table13[[#This Row],[Direction]],
IF(_xlpm.dir="L",
    IF(G4079-Table13[[#This Row],[Steps]]&lt;0,100+(G4079-Table13[[#This Row],[Steps]]),G4079-Table13[[#This Row],[Steps]]),
))</f>
        <v>0</v>
      </c>
      <c r="F4080">
        <f>_xlfn.LET(_xlpm.dir,Table13[[#This Row],[Direction]],
IF(_xlpm.dir="R",
    IF(G4079+Table13[[#This Row],[Steps]]&gt;99,(G4079+Table13[[#This Row],[Steps]])-100,G4079+Table13[[#This Row],[Steps]]),
))</f>
        <v>69</v>
      </c>
      <c r="G4080">
        <f>IF(Table13[[#This Row],[New Pos L]]&lt;&gt;0,Table13[[#This Row],[New Pos L]],Table13[[#This Row],[New Pos R]])</f>
        <v>69</v>
      </c>
      <c r="H4080">
        <f>IF(AND(Table13[[#This Row],[Direction]]="L",Table13[[#This Row],[Steps]]&gt;G4079,G4079&lt;&gt;0),1,0)</f>
        <v>0</v>
      </c>
      <c r="I4080">
        <f>IF(AND(Table13[[#This Row],[Direction]]="R",(G4079+Table13[[#This Row],[Steps]])&gt;100),1,0)</f>
        <v>0</v>
      </c>
      <c r="J4080">
        <f>IF(Table13[[#This Row],[POS]]=0,1,0)</f>
        <v>0</v>
      </c>
      <c r="K4080">
        <f>SUM(Table13[[#This Row],[prefix]],Table13[[#This Row],[Past zero L]],Table13[[#This Row],[Past Zero R]],Table13[[#This Row],[Is Zero]])</f>
        <v>0</v>
      </c>
    </row>
    <row r="4081" spans="1:11" ht="16" x14ac:dyDescent="0.2">
      <c r="A4081" s="1" t="s">
        <v>201</v>
      </c>
      <c r="B4081" t="str">
        <f>LEFT(Table13[[#This Row],[Input]],1)</f>
        <v>R</v>
      </c>
      <c r="C4081">
        <f>_xlfn.LET(_xlpm.steps,SUBSTITUTE(Table13[[#This Row],[Input]],Table13[[#This Row],[Direction]],""),VALUE(IF(LEN(_xlpm.steps)&gt;2,RIGHT(_xlpm.steps,2),_xlpm.steps)))</f>
        <v>31</v>
      </c>
      <c r="D4081">
        <f>_xlfn.LET(_xlpm.steps,SUBSTITUTE(Table13[[#This Row],[Input]],Table13[[#This Row],[Direction]],""),VALUE(IF(LEN(_xlpm.steps)&gt;2,LEFT(_xlpm.steps,LEN(_xlpm.steps)-2),0)))</f>
        <v>0</v>
      </c>
      <c r="E4081">
        <f>_xlfn.LET(_xlpm.dir,Table13[[#This Row],[Direction]],
IF(_xlpm.dir="L",
    IF(G4080-Table13[[#This Row],[Steps]]&lt;0,100+(G4080-Table13[[#This Row],[Steps]]),G4080-Table13[[#This Row],[Steps]]),
))</f>
        <v>0</v>
      </c>
      <c r="F4081">
        <f>_xlfn.LET(_xlpm.dir,Table13[[#This Row],[Direction]],
IF(_xlpm.dir="R",
    IF(G4080+Table13[[#This Row],[Steps]]&gt;99,(G4080+Table13[[#This Row],[Steps]])-100,G4080+Table13[[#This Row],[Steps]]),
))</f>
        <v>0</v>
      </c>
      <c r="G4081">
        <f>IF(Table13[[#This Row],[New Pos L]]&lt;&gt;0,Table13[[#This Row],[New Pos L]],Table13[[#This Row],[New Pos R]])</f>
        <v>0</v>
      </c>
      <c r="H4081">
        <f>IF(AND(Table13[[#This Row],[Direction]]="L",Table13[[#This Row],[Steps]]&gt;G4080,G4080&lt;&gt;0),1,0)</f>
        <v>0</v>
      </c>
      <c r="I4081">
        <f>IF(AND(Table13[[#This Row],[Direction]]="R",(G4080+Table13[[#This Row],[Steps]])&gt;100),1,0)</f>
        <v>0</v>
      </c>
      <c r="J4081">
        <f>IF(Table13[[#This Row],[POS]]=0,1,0)</f>
        <v>1</v>
      </c>
      <c r="K4081">
        <f>SUM(Table13[[#This Row],[prefix]],Table13[[#This Row],[Past zero L]],Table13[[#This Row],[Past Zero R]],Table13[[#This Row],[Is Zero]])</f>
        <v>1</v>
      </c>
    </row>
    <row r="4082" spans="1:11" ht="16" x14ac:dyDescent="0.2">
      <c r="A4082" s="1" t="s">
        <v>32</v>
      </c>
      <c r="B4082" t="str">
        <f>LEFT(Table13[[#This Row],[Input]],1)</f>
        <v>L</v>
      </c>
      <c r="C4082">
        <f>_xlfn.LET(_xlpm.steps,SUBSTITUTE(Table13[[#This Row],[Input]],Table13[[#This Row],[Direction]],""),VALUE(IF(LEN(_xlpm.steps)&gt;2,RIGHT(_xlpm.steps,2),_xlpm.steps)))</f>
        <v>28</v>
      </c>
      <c r="D4082">
        <f>_xlfn.LET(_xlpm.steps,SUBSTITUTE(Table13[[#This Row],[Input]],Table13[[#This Row],[Direction]],""),VALUE(IF(LEN(_xlpm.steps)&gt;2,LEFT(_xlpm.steps,LEN(_xlpm.steps)-2),0)))</f>
        <v>0</v>
      </c>
      <c r="E4082">
        <f>_xlfn.LET(_xlpm.dir,Table13[[#This Row],[Direction]],
IF(_xlpm.dir="L",
    IF(G4081-Table13[[#This Row],[Steps]]&lt;0,100+(G4081-Table13[[#This Row],[Steps]]),G4081-Table13[[#This Row],[Steps]]),
))</f>
        <v>72</v>
      </c>
      <c r="F4082">
        <f>_xlfn.LET(_xlpm.dir,Table13[[#This Row],[Direction]],
IF(_xlpm.dir="R",
    IF(G4081+Table13[[#This Row],[Steps]]&gt;99,(G4081+Table13[[#This Row],[Steps]])-100,G4081+Table13[[#This Row],[Steps]]),
))</f>
        <v>0</v>
      </c>
      <c r="G4082">
        <f>IF(Table13[[#This Row],[New Pos L]]&lt;&gt;0,Table13[[#This Row],[New Pos L]],Table13[[#This Row],[New Pos R]])</f>
        <v>72</v>
      </c>
      <c r="H4082">
        <f>IF(AND(Table13[[#This Row],[Direction]]="L",Table13[[#This Row],[Steps]]&gt;G4081,G4081&lt;&gt;0),1,0)</f>
        <v>0</v>
      </c>
      <c r="I4082">
        <f>IF(AND(Table13[[#This Row],[Direction]]="R",(G4081+Table13[[#This Row],[Steps]])&gt;100),1,0)</f>
        <v>0</v>
      </c>
      <c r="J4082">
        <f>IF(Table13[[#This Row],[POS]]=0,1,0)</f>
        <v>0</v>
      </c>
      <c r="K4082">
        <f>SUM(Table13[[#This Row],[prefix]],Table13[[#This Row],[Past zero L]],Table13[[#This Row],[Past Zero R]],Table13[[#This Row],[Is Zero]])</f>
        <v>0</v>
      </c>
    </row>
    <row r="4083" spans="1:11" ht="16" x14ac:dyDescent="0.2">
      <c r="A4083" s="1" t="s">
        <v>2</v>
      </c>
      <c r="B4083" t="str">
        <f>LEFT(Table13[[#This Row],[Input]],1)</f>
        <v>L</v>
      </c>
      <c r="C4083">
        <f>_xlfn.LET(_xlpm.steps,SUBSTITUTE(Table13[[#This Row],[Input]],Table13[[#This Row],[Direction]],""),VALUE(IF(LEN(_xlpm.steps)&gt;2,RIGHT(_xlpm.steps,2),_xlpm.steps)))</f>
        <v>38</v>
      </c>
      <c r="D4083">
        <f>_xlfn.LET(_xlpm.steps,SUBSTITUTE(Table13[[#This Row],[Input]],Table13[[#This Row],[Direction]],""),VALUE(IF(LEN(_xlpm.steps)&gt;2,LEFT(_xlpm.steps,LEN(_xlpm.steps)-2),0)))</f>
        <v>0</v>
      </c>
      <c r="E4083">
        <f>_xlfn.LET(_xlpm.dir,Table13[[#This Row],[Direction]],
IF(_xlpm.dir="L",
    IF(G4082-Table13[[#This Row],[Steps]]&lt;0,100+(G4082-Table13[[#This Row],[Steps]]),G4082-Table13[[#This Row],[Steps]]),
))</f>
        <v>34</v>
      </c>
      <c r="F4083">
        <f>_xlfn.LET(_xlpm.dir,Table13[[#This Row],[Direction]],
IF(_xlpm.dir="R",
    IF(G4082+Table13[[#This Row],[Steps]]&gt;99,(G4082+Table13[[#This Row],[Steps]])-100,G4082+Table13[[#This Row],[Steps]]),
))</f>
        <v>0</v>
      </c>
      <c r="G4083">
        <f>IF(Table13[[#This Row],[New Pos L]]&lt;&gt;0,Table13[[#This Row],[New Pos L]],Table13[[#This Row],[New Pos R]])</f>
        <v>34</v>
      </c>
      <c r="H4083">
        <f>IF(AND(Table13[[#This Row],[Direction]]="L",Table13[[#This Row],[Steps]]&gt;G4082,G4082&lt;&gt;0),1,0)</f>
        <v>0</v>
      </c>
      <c r="I4083">
        <f>IF(AND(Table13[[#This Row],[Direction]]="R",(G4082+Table13[[#This Row],[Steps]])&gt;100),1,0)</f>
        <v>0</v>
      </c>
      <c r="J4083">
        <f>IF(Table13[[#This Row],[POS]]=0,1,0)</f>
        <v>0</v>
      </c>
      <c r="K4083">
        <f>SUM(Table13[[#This Row],[prefix]],Table13[[#This Row],[Past zero L]],Table13[[#This Row],[Past Zero R]],Table13[[#This Row],[Is Zero]])</f>
        <v>0</v>
      </c>
    </row>
    <row r="4084" spans="1:11" ht="16" x14ac:dyDescent="0.2">
      <c r="A4084" s="1" t="s">
        <v>837</v>
      </c>
      <c r="B4084" t="str">
        <f>LEFT(Table13[[#This Row],[Input]],1)</f>
        <v>R</v>
      </c>
      <c r="C4084">
        <f>_xlfn.LET(_xlpm.steps,SUBSTITUTE(Table13[[#This Row],[Input]],Table13[[#This Row],[Direction]],""),VALUE(IF(LEN(_xlpm.steps)&gt;2,RIGHT(_xlpm.steps,2),_xlpm.steps)))</f>
        <v>50</v>
      </c>
      <c r="D4084">
        <f>_xlfn.LET(_xlpm.steps,SUBSTITUTE(Table13[[#This Row],[Input]],Table13[[#This Row],[Direction]],""),VALUE(IF(LEN(_xlpm.steps)&gt;2,LEFT(_xlpm.steps,LEN(_xlpm.steps)-2),0)))</f>
        <v>2</v>
      </c>
      <c r="E4084">
        <f>_xlfn.LET(_xlpm.dir,Table13[[#This Row],[Direction]],
IF(_xlpm.dir="L",
    IF(G4083-Table13[[#This Row],[Steps]]&lt;0,100+(G4083-Table13[[#This Row],[Steps]]),G4083-Table13[[#This Row],[Steps]]),
))</f>
        <v>0</v>
      </c>
      <c r="F4084">
        <f>_xlfn.LET(_xlpm.dir,Table13[[#This Row],[Direction]],
IF(_xlpm.dir="R",
    IF(G4083+Table13[[#This Row],[Steps]]&gt;99,(G4083+Table13[[#This Row],[Steps]])-100,G4083+Table13[[#This Row],[Steps]]),
))</f>
        <v>84</v>
      </c>
      <c r="G4084">
        <f>IF(Table13[[#This Row],[New Pos L]]&lt;&gt;0,Table13[[#This Row],[New Pos L]],Table13[[#This Row],[New Pos R]])</f>
        <v>84</v>
      </c>
      <c r="H4084">
        <f>IF(AND(Table13[[#This Row],[Direction]]="L",Table13[[#This Row],[Steps]]&gt;G4083,G4083&lt;&gt;0),1,0)</f>
        <v>0</v>
      </c>
      <c r="I4084">
        <f>IF(AND(Table13[[#This Row],[Direction]]="R",(G4083+Table13[[#This Row],[Steps]])&gt;100),1,0)</f>
        <v>0</v>
      </c>
      <c r="J4084">
        <f>IF(Table13[[#This Row],[POS]]=0,1,0)</f>
        <v>0</v>
      </c>
      <c r="K4084">
        <f>SUM(Table13[[#This Row],[prefix]],Table13[[#This Row],[Past zero L]],Table13[[#This Row],[Past Zero R]],Table13[[#This Row],[Is Zero]])</f>
        <v>2</v>
      </c>
    </row>
    <row r="4085" spans="1:11" ht="16" x14ac:dyDescent="0.2">
      <c r="A4085" s="1" t="s">
        <v>179</v>
      </c>
      <c r="B4085" t="str">
        <f>LEFT(Table13[[#This Row],[Input]],1)</f>
        <v>L</v>
      </c>
      <c r="C4085">
        <f>_xlfn.LET(_xlpm.steps,SUBSTITUTE(Table13[[#This Row],[Input]],Table13[[#This Row],[Direction]],""),VALUE(IF(LEN(_xlpm.steps)&gt;2,RIGHT(_xlpm.steps,2),_xlpm.steps)))</f>
        <v>54</v>
      </c>
      <c r="D4085">
        <f>_xlfn.LET(_xlpm.steps,SUBSTITUTE(Table13[[#This Row],[Input]],Table13[[#This Row],[Direction]],""),VALUE(IF(LEN(_xlpm.steps)&gt;2,LEFT(_xlpm.steps,LEN(_xlpm.steps)-2),0)))</f>
        <v>0</v>
      </c>
      <c r="E4085">
        <f>_xlfn.LET(_xlpm.dir,Table13[[#This Row],[Direction]],
IF(_xlpm.dir="L",
    IF(G4084-Table13[[#This Row],[Steps]]&lt;0,100+(G4084-Table13[[#This Row],[Steps]]),G4084-Table13[[#This Row],[Steps]]),
))</f>
        <v>30</v>
      </c>
      <c r="F4085">
        <f>_xlfn.LET(_xlpm.dir,Table13[[#This Row],[Direction]],
IF(_xlpm.dir="R",
    IF(G4084+Table13[[#This Row],[Steps]]&gt;99,(G4084+Table13[[#This Row],[Steps]])-100,G4084+Table13[[#This Row],[Steps]]),
))</f>
        <v>0</v>
      </c>
      <c r="G4085">
        <f>IF(Table13[[#This Row],[New Pos L]]&lt;&gt;0,Table13[[#This Row],[New Pos L]],Table13[[#This Row],[New Pos R]])</f>
        <v>30</v>
      </c>
      <c r="H4085">
        <f>IF(AND(Table13[[#This Row],[Direction]]="L",Table13[[#This Row],[Steps]]&gt;G4084,G4084&lt;&gt;0),1,0)</f>
        <v>0</v>
      </c>
      <c r="I4085">
        <f>IF(AND(Table13[[#This Row],[Direction]]="R",(G4084+Table13[[#This Row],[Steps]])&gt;100),1,0)</f>
        <v>0</v>
      </c>
      <c r="J4085">
        <f>IF(Table13[[#This Row],[POS]]=0,1,0)</f>
        <v>0</v>
      </c>
      <c r="K4085">
        <f>SUM(Table13[[#This Row],[prefix]],Table13[[#This Row],[Past zero L]],Table13[[#This Row],[Past Zero R]],Table13[[#This Row],[Is Zero]])</f>
        <v>0</v>
      </c>
    </row>
    <row r="4086" spans="1:11" ht="16" x14ac:dyDescent="0.2">
      <c r="A4086" s="1" t="s">
        <v>782</v>
      </c>
      <c r="B4086" t="str">
        <f>LEFT(Table13[[#This Row],[Input]],1)</f>
        <v>L</v>
      </c>
      <c r="C4086">
        <f>_xlfn.LET(_xlpm.steps,SUBSTITUTE(Table13[[#This Row],[Input]],Table13[[#This Row],[Direction]],""),VALUE(IF(LEN(_xlpm.steps)&gt;2,RIGHT(_xlpm.steps,2),_xlpm.steps)))</f>
        <v>43</v>
      </c>
      <c r="D4086">
        <f>_xlfn.LET(_xlpm.steps,SUBSTITUTE(Table13[[#This Row],[Input]],Table13[[#This Row],[Direction]],""),VALUE(IF(LEN(_xlpm.steps)&gt;2,LEFT(_xlpm.steps,LEN(_xlpm.steps)-2),0)))</f>
        <v>2</v>
      </c>
      <c r="E4086">
        <f>_xlfn.LET(_xlpm.dir,Table13[[#This Row],[Direction]],
IF(_xlpm.dir="L",
    IF(G4085-Table13[[#This Row],[Steps]]&lt;0,100+(G4085-Table13[[#This Row],[Steps]]),G4085-Table13[[#This Row],[Steps]]),
))</f>
        <v>87</v>
      </c>
      <c r="F4086">
        <f>_xlfn.LET(_xlpm.dir,Table13[[#This Row],[Direction]],
IF(_xlpm.dir="R",
    IF(G4085+Table13[[#This Row],[Steps]]&gt;99,(G4085+Table13[[#This Row],[Steps]])-100,G4085+Table13[[#This Row],[Steps]]),
))</f>
        <v>0</v>
      </c>
      <c r="G4086">
        <f>IF(Table13[[#This Row],[New Pos L]]&lt;&gt;0,Table13[[#This Row],[New Pos L]],Table13[[#This Row],[New Pos R]])</f>
        <v>87</v>
      </c>
      <c r="H4086">
        <f>IF(AND(Table13[[#This Row],[Direction]]="L",Table13[[#This Row],[Steps]]&gt;G4085,G4085&lt;&gt;0),1,0)</f>
        <v>1</v>
      </c>
      <c r="I4086">
        <f>IF(AND(Table13[[#This Row],[Direction]]="R",(G4085+Table13[[#This Row],[Steps]])&gt;100),1,0)</f>
        <v>0</v>
      </c>
      <c r="J4086">
        <f>IF(Table13[[#This Row],[POS]]=0,1,0)</f>
        <v>0</v>
      </c>
      <c r="K4086">
        <f>SUM(Table13[[#This Row],[prefix]],Table13[[#This Row],[Past zero L]],Table13[[#This Row],[Past Zero R]],Table13[[#This Row],[Is Zero]])</f>
        <v>3</v>
      </c>
    </row>
    <row r="4087" spans="1:11" ht="16" x14ac:dyDescent="0.2">
      <c r="A4087" s="1" t="s">
        <v>278</v>
      </c>
      <c r="B4087" t="str">
        <f>LEFT(Table13[[#This Row],[Input]],1)</f>
        <v>L</v>
      </c>
      <c r="C4087">
        <f>_xlfn.LET(_xlpm.steps,SUBSTITUTE(Table13[[#This Row],[Input]],Table13[[#This Row],[Direction]],""),VALUE(IF(LEN(_xlpm.steps)&gt;2,RIGHT(_xlpm.steps,2),_xlpm.steps)))</f>
        <v>40</v>
      </c>
      <c r="D4087">
        <f>_xlfn.LET(_xlpm.steps,SUBSTITUTE(Table13[[#This Row],[Input]],Table13[[#This Row],[Direction]],""),VALUE(IF(LEN(_xlpm.steps)&gt;2,LEFT(_xlpm.steps,LEN(_xlpm.steps)-2),0)))</f>
        <v>0</v>
      </c>
      <c r="E4087">
        <f>_xlfn.LET(_xlpm.dir,Table13[[#This Row],[Direction]],
IF(_xlpm.dir="L",
    IF(G4086-Table13[[#This Row],[Steps]]&lt;0,100+(G4086-Table13[[#This Row],[Steps]]),G4086-Table13[[#This Row],[Steps]]),
))</f>
        <v>47</v>
      </c>
      <c r="F4087">
        <f>_xlfn.LET(_xlpm.dir,Table13[[#This Row],[Direction]],
IF(_xlpm.dir="R",
    IF(G4086+Table13[[#This Row],[Steps]]&gt;99,(G4086+Table13[[#This Row],[Steps]])-100,G4086+Table13[[#This Row],[Steps]]),
))</f>
        <v>0</v>
      </c>
      <c r="G4087">
        <f>IF(Table13[[#This Row],[New Pos L]]&lt;&gt;0,Table13[[#This Row],[New Pos L]],Table13[[#This Row],[New Pos R]])</f>
        <v>47</v>
      </c>
      <c r="H4087">
        <f>IF(AND(Table13[[#This Row],[Direction]]="L",Table13[[#This Row],[Steps]]&gt;G4086,G4086&lt;&gt;0),1,0)</f>
        <v>0</v>
      </c>
      <c r="I4087">
        <f>IF(AND(Table13[[#This Row],[Direction]]="R",(G4086+Table13[[#This Row],[Steps]])&gt;100),1,0)</f>
        <v>0</v>
      </c>
      <c r="J4087">
        <f>IF(Table13[[#This Row],[POS]]=0,1,0)</f>
        <v>0</v>
      </c>
      <c r="K4087">
        <f>SUM(Table13[[#This Row],[prefix]],Table13[[#This Row],[Past zero L]],Table13[[#This Row],[Past Zero R]],Table13[[#This Row],[Is Zero]])</f>
        <v>0</v>
      </c>
    </row>
    <row r="4088" spans="1:11" ht="16" x14ac:dyDescent="0.2">
      <c r="A4088" s="1" t="s">
        <v>157</v>
      </c>
      <c r="B4088" t="str">
        <f>LEFT(Table13[[#This Row],[Input]],1)</f>
        <v>R</v>
      </c>
      <c r="C4088">
        <f>_xlfn.LET(_xlpm.steps,SUBSTITUTE(Table13[[#This Row],[Input]],Table13[[#This Row],[Direction]],""),VALUE(IF(LEN(_xlpm.steps)&gt;2,RIGHT(_xlpm.steps,2),_xlpm.steps)))</f>
        <v>68</v>
      </c>
      <c r="D4088">
        <f>_xlfn.LET(_xlpm.steps,SUBSTITUTE(Table13[[#This Row],[Input]],Table13[[#This Row],[Direction]],""),VALUE(IF(LEN(_xlpm.steps)&gt;2,LEFT(_xlpm.steps,LEN(_xlpm.steps)-2),0)))</f>
        <v>0</v>
      </c>
      <c r="E4088">
        <f>_xlfn.LET(_xlpm.dir,Table13[[#This Row],[Direction]],
IF(_xlpm.dir="L",
    IF(G4087-Table13[[#This Row],[Steps]]&lt;0,100+(G4087-Table13[[#This Row],[Steps]]),G4087-Table13[[#This Row],[Steps]]),
))</f>
        <v>0</v>
      </c>
      <c r="F4088">
        <f>_xlfn.LET(_xlpm.dir,Table13[[#This Row],[Direction]],
IF(_xlpm.dir="R",
    IF(G4087+Table13[[#This Row],[Steps]]&gt;99,(G4087+Table13[[#This Row],[Steps]])-100,G4087+Table13[[#This Row],[Steps]]),
))</f>
        <v>15</v>
      </c>
      <c r="G4088">
        <f>IF(Table13[[#This Row],[New Pos L]]&lt;&gt;0,Table13[[#This Row],[New Pos L]],Table13[[#This Row],[New Pos R]])</f>
        <v>15</v>
      </c>
      <c r="H4088">
        <f>IF(AND(Table13[[#This Row],[Direction]]="L",Table13[[#This Row],[Steps]]&gt;G4087,G4087&lt;&gt;0),1,0)</f>
        <v>0</v>
      </c>
      <c r="I4088">
        <f>IF(AND(Table13[[#This Row],[Direction]]="R",(G4087+Table13[[#This Row],[Steps]])&gt;100),1,0)</f>
        <v>1</v>
      </c>
      <c r="J4088">
        <f>IF(Table13[[#This Row],[POS]]=0,1,0)</f>
        <v>0</v>
      </c>
      <c r="K4088">
        <f>SUM(Table13[[#This Row],[prefix]],Table13[[#This Row],[Past zero L]],Table13[[#This Row],[Past Zero R]],Table13[[#This Row],[Is Zero]])</f>
        <v>1</v>
      </c>
    </row>
    <row r="4089" spans="1:11" ht="16" x14ac:dyDescent="0.2">
      <c r="A4089" s="1" t="s">
        <v>34</v>
      </c>
      <c r="B4089" t="str">
        <f>LEFT(Table13[[#This Row],[Input]],1)</f>
        <v>L</v>
      </c>
      <c r="C4089">
        <f>_xlfn.LET(_xlpm.steps,SUBSTITUTE(Table13[[#This Row],[Input]],Table13[[#This Row],[Direction]],""),VALUE(IF(LEN(_xlpm.steps)&gt;2,RIGHT(_xlpm.steps,2),_xlpm.steps)))</f>
        <v>15</v>
      </c>
      <c r="D4089">
        <f>_xlfn.LET(_xlpm.steps,SUBSTITUTE(Table13[[#This Row],[Input]],Table13[[#This Row],[Direction]],""),VALUE(IF(LEN(_xlpm.steps)&gt;2,LEFT(_xlpm.steps,LEN(_xlpm.steps)-2),0)))</f>
        <v>0</v>
      </c>
      <c r="E4089">
        <f>_xlfn.LET(_xlpm.dir,Table13[[#This Row],[Direction]],
IF(_xlpm.dir="L",
    IF(G4088-Table13[[#This Row],[Steps]]&lt;0,100+(G4088-Table13[[#This Row],[Steps]]),G4088-Table13[[#This Row],[Steps]]),
))</f>
        <v>0</v>
      </c>
      <c r="F4089">
        <f>_xlfn.LET(_xlpm.dir,Table13[[#This Row],[Direction]],
IF(_xlpm.dir="R",
    IF(G4088+Table13[[#This Row],[Steps]]&gt;99,(G4088+Table13[[#This Row],[Steps]])-100,G4088+Table13[[#This Row],[Steps]]),
))</f>
        <v>0</v>
      </c>
      <c r="G4089">
        <f>IF(Table13[[#This Row],[New Pos L]]&lt;&gt;0,Table13[[#This Row],[New Pos L]],Table13[[#This Row],[New Pos R]])</f>
        <v>0</v>
      </c>
      <c r="H4089">
        <f>IF(AND(Table13[[#This Row],[Direction]]="L",Table13[[#This Row],[Steps]]&gt;G4088,G4088&lt;&gt;0),1,0)</f>
        <v>0</v>
      </c>
      <c r="I4089">
        <f>IF(AND(Table13[[#This Row],[Direction]]="R",(G4088+Table13[[#This Row],[Steps]])&gt;100),1,0)</f>
        <v>0</v>
      </c>
      <c r="J4089">
        <f>IF(Table13[[#This Row],[POS]]=0,1,0)</f>
        <v>1</v>
      </c>
      <c r="K4089">
        <f>SUM(Table13[[#This Row],[prefix]],Table13[[#This Row],[Past zero L]],Table13[[#This Row],[Past Zero R]],Table13[[#This Row],[Is Zero]])</f>
        <v>1</v>
      </c>
    </row>
    <row r="4090" spans="1:11" ht="16" x14ac:dyDescent="0.2">
      <c r="A4090" s="1" t="s">
        <v>0</v>
      </c>
      <c r="B4090" t="str">
        <f>LEFT(Table13[[#This Row],[Input]],1)</f>
        <v>L</v>
      </c>
      <c r="C4090">
        <f>_xlfn.LET(_xlpm.steps,SUBSTITUTE(Table13[[#This Row],[Input]],Table13[[#This Row],[Direction]],""),VALUE(IF(LEN(_xlpm.steps)&gt;2,RIGHT(_xlpm.steps,2),_xlpm.steps)))</f>
        <v>44</v>
      </c>
      <c r="D4090">
        <f>_xlfn.LET(_xlpm.steps,SUBSTITUTE(Table13[[#This Row],[Input]],Table13[[#This Row],[Direction]],""),VALUE(IF(LEN(_xlpm.steps)&gt;2,LEFT(_xlpm.steps,LEN(_xlpm.steps)-2),0)))</f>
        <v>0</v>
      </c>
      <c r="E4090">
        <f>_xlfn.LET(_xlpm.dir,Table13[[#This Row],[Direction]],
IF(_xlpm.dir="L",
    IF(G4089-Table13[[#This Row],[Steps]]&lt;0,100+(G4089-Table13[[#This Row],[Steps]]),G4089-Table13[[#This Row],[Steps]]),
))</f>
        <v>56</v>
      </c>
      <c r="F4090">
        <f>_xlfn.LET(_xlpm.dir,Table13[[#This Row],[Direction]],
IF(_xlpm.dir="R",
    IF(G4089+Table13[[#This Row],[Steps]]&gt;99,(G4089+Table13[[#This Row],[Steps]])-100,G4089+Table13[[#This Row],[Steps]]),
))</f>
        <v>0</v>
      </c>
      <c r="G4090">
        <f>IF(Table13[[#This Row],[New Pos L]]&lt;&gt;0,Table13[[#This Row],[New Pos L]],Table13[[#This Row],[New Pos R]])</f>
        <v>56</v>
      </c>
      <c r="H4090">
        <f>IF(AND(Table13[[#This Row],[Direction]]="L",Table13[[#This Row],[Steps]]&gt;G4089,G4089&lt;&gt;0),1,0)</f>
        <v>0</v>
      </c>
      <c r="I4090">
        <f>IF(AND(Table13[[#This Row],[Direction]]="R",(G4089+Table13[[#This Row],[Steps]])&gt;100),1,0)</f>
        <v>0</v>
      </c>
      <c r="J4090">
        <f>IF(Table13[[#This Row],[POS]]=0,1,0)</f>
        <v>0</v>
      </c>
      <c r="K4090">
        <f>SUM(Table13[[#This Row],[prefix]],Table13[[#This Row],[Past zero L]],Table13[[#This Row],[Past Zero R]],Table13[[#This Row],[Is Zero]])</f>
        <v>0</v>
      </c>
    </row>
    <row r="4091" spans="1:11" ht="16" x14ac:dyDescent="0.2">
      <c r="A4091" s="1" t="s">
        <v>496</v>
      </c>
      <c r="B4091" t="str">
        <f>LEFT(Table13[[#This Row],[Input]],1)</f>
        <v>R</v>
      </c>
      <c r="C4091">
        <f>_xlfn.LET(_xlpm.steps,SUBSTITUTE(Table13[[#This Row],[Input]],Table13[[#This Row],[Direction]],""),VALUE(IF(LEN(_xlpm.steps)&gt;2,RIGHT(_xlpm.steps,2),_xlpm.steps)))</f>
        <v>44</v>
      </c>
      <c r="D4091">
        <f>_xlfn.LET(_xlpm.steps,SUBSTITUTE(Table13[[#This Row],[Input]],Table13[[#This Row],[Direction]],""),VALUE(IF(LEN(_xlpm.steps)&gt;2,LEFT(_xlpm.steps,LEN(_xlpm.steps)-2),0)))</f>
        <v>9</v>
      </c>
      <c r="E4091">
        <f>_xlfn.LET(_xlpm.dir,Table13[[#This Row],[Direction]],
IF(_xlpm.dir="L",
    IF(G4090-Table13[[#This Row],[Steps]]&lt;0,100+(G4090-Table13[[#This Row],[Steps]]),G4090-Table13[[#This Row],[Steps]]),
))</f>
        <v>0</v>
      </c>
      <c r="F4091">
        <f>_xlfn.LET(_xlpm.dir,Table13[[#This Row],[Direction]],
IF(_xlpm.dir="R",
    IF(G4090+Table13[[#This Row],[Steps]]&gt;99,(G4090+Table13[[#This Row],[Steps]])-100,G4090+Table13[[#This Row],[Steps]]),
))</f>
        <v>0</v>
      </c>
      <c r="G4091">
        <f>IF(Table13[[#This Row],[New Pos L]]&lt;&gt;0,Table13[[#This Row],[New Pos L]],Table13[[#This Row],[New Pos R]])</f>
        <v>0</v>
      </c>
      <c r="H4091">
        <f>IF(AND(Table13[[#This Row],[Direction]]="L",Table13[[#This Row],[Steps]]&gt;G4090,G4090&lt;&gt;0),1,0)</f>
        <v>0</v>
      </c>
      <c r="I4091">
        <f>IF(AND(Table13[[#This Row],[Direction]]="R",(G4090+Table13[[#This Row],[Steps]])&gt;100),1,0)</f>
        <v>0</v>
      </c>
      <c r="J4091">
        <f>IF(Table13[[#This Row],[POS]]=0,1,0)</f>
        <v>1</v>
      </c>
      <c r="K4091">
        <f>SUM(Table13[[#This Row],[prefix]],Table13[[#This Row],[Past zero L]],Table13[[#This Row],[Past Zero R]],Table13[[#This Row],[Is Zero]])</f>
        <v>10</v>
      </c>
    </row>
    <row r="4092" spans="1:11" ht="16" x14ac:dyDescent="0.2">
      <c r="A4092" s="1" t="s">
        <v>54</v>
      </c>
      <c r="B4092" t="str">
        <f>LEFT(Table13[[#This Row],[Input]],1)</f>
        <v>L</v>
      </c>
      <c r="C4092">
        <f>_xlfn.LET(_xlpm.steps,SUBSTITUTE(Table13[[#This Row],[Input]],Table13[[#This Row],[Direction]],""),VALUE(IF(LEN(_xlpm.steps)&gt;2,RIGHT(_xlpm.steps,2),_xlpm.steps)))</f>
        <v>75</v>
      </c>
      <c r="D4092">
        <f>_xlfn.LET(_xlpm.steps,SUBSTITUTE(Table13[[#This Row],[Input]],Table13[[#This Row],[Direction]],""),VALUE(IF(LEN(_xlpm.steps)&gt;2,LEFT(_xlpm.steps,LEN(_xlpm.steps)-2),0)))</f>
        <v>0</v>
      </c>
      <c r="E4092">
        <f>_xlfn.LET(_xlpm.dir,Table13[[#This Row],[Direction]],
IF(_xlpm.dir="L",
    IF(G4091-Table13[[#This Row],[Steps]]&lt;0,100+(G4091-Table13[[#This Row],[Steps]]),G4091-Table13[[#This Row],[Steps]]),
))</f>
        <v>25</v>
      </c>
      <c r="F4092">
        <f>_xlfn.LET(_xlpm.dir,Table13[[#This Row],[Direction]],
IF(_xlpm.dir="R",
    IF(G4091+Table13[[#This Row],[Steps]]&gt;99,(G4091+Table13[[#This Row],[Steps]])-100,G4091+Table13[[#This Row],[Steps]]),
))</f>
        <v>0</v>
      </c>
      <c r="G4092">
        <f>IF(Table13[[#This Row],[New Pos L]]&lt;&gt;0,Table13[[#This Row],[New Pos L]],Table13[[#This Row],[New Pos R]])</f>
        <v>25</v>
      </c>
      <c r="H4092">
        <f>IF(AND(Table13[[#This Row],[Direction]]="L",Table13[[#This Row],[Steps]]&gt;G4091,G4091&lt;&gt;0),1,0)</f>
        <v>0</v>
      </c>
      <c r="I4092">
        <f>IF(AND(Table13[[#This Row],[Direction]]="R",(G4091+Table13[[#This Row],[Steps]])&gt;100),1,0)</f>
        <v>0</v>
      </c>
      <c r="J4092">
        <f>IF(Table13[[#This Row],[POS]]=0,1,0)</f>
        <v>0</v>
      </c>
      <c r="K4092">
        <f>SUM(Table13[[#This Row],[prefix]],Table13[[#This Row],[Past zero L]],Table13[[#This Row],[Past Zero R]],Table13[[#This Row],[Is Zero]])</f>
        <v>0</v>
      </c>
    </row>
    <row r="4093" spans="1:11" ht="16" x14ac:dyDescent="0.2">
      <c r="A4093" s="1" t="s">
        <v>145</v>
      </c>
      <c r="B4093" t="str">
        <f>LEFT(Table13[[#This Row],[Input]],1)</f>
        <v>L</v>
      </c>
      <c r="C4093">
        <f>_xlfn.LET(_xlpm.steps,SUBSTITUTE(Table13[[#This Row],[Input]],Table13[[#This Row],[Direction]],""),VALUE(IF(LEN(_xlpm.steps)&gt;2,RIGHT(_xlpm.steps,2),_xlpm.steps)))</f>
        <v>83</v>
      </c>
      <c r="D4093">
        <f>_xlfn.LET(_xlpm.steps,SUBSTITUTE(Table13[[#This Row],[Input]],Table13[[#This Row],[Direction]],""),VALUE(IF(LEN(_xlpm.steps)&gt;2,LEFT(_xlpm.steps,LEN(_xlpm.steps)-2),0)))</f>
        <v>0</v>
      </c>
      <c r="E4093">
        <f>_xlfn.LET(_xlpm.dir,Table13[[#This Row],[Direction]],
IF(_xlpm.dir="L",
    IF(G4092-Table13[[#This Row],[Steps]]&lt;0,100+(G4092-Table13[[#This Row],[Steps]]),G4092-Table13[[#This Row],[Steps]]),
))</f>
        <v>42</v>
      </c>
      <c r="F4093">
        <f>_xlfn.LET(_xlpm.dir,Table13[[#This Row],[Direction]],
IF(_xlpm.dir="R",
    IF(G4092+Table13[[#This Row],[Steps]]&gt;99,(G4092+Table13[[#This Row],[Steps]])-100,G4092+Table13[[#This Row],[Steps]]),
))</f>
        <v>0</v>
      </c>
      <c r="G4093">
        <f>IF(Table13[[#This Row],[New Pos L]]&lt;&gt;0,Table13[[#This Row],[New Pos L]],Table13[[#This Row],[New Pos R]])</f>
        <v>42</v>
      </c>
      <c r="H4093">
        <f>IF(AND(Table13[[#This Row],[Direction]]="L",Table13[[#This Row],[Steps]]&gt;G4092,G4092&lt;&gt;0),1,0)</f>
        <v>1</v>
      </c>
      <c r="I4093">
        <f>IF(AND(Table13[[#This Row],[Direction]]="R",(G4092+Table13[[#This Row],[Steps]])&gt;100),1,0)</f>
        <v>0</v>
      </c>
      <c r="J4093">
        <f>IF(Table13[[#This Row],[POS]]=0,1,0)</f>
        <v>0</v>
      </c>
      <c r="K4093">
        <f>SUM(Table13[[#This Row],[prefix]],Table13[[#This Row],[Past zero L]],Table13[[#This Row],[Past Zero R]],Table13[[#This Row],[Is Zero]])</f>
        <v>1</v>
      </c>
    </row>
    <row r="4094" spans="1:11" ht="16" x14ac:dyDescent="0.2">
      <c r="A4094" s="1" t="s">
        <v>702</v>
      </c>
      <c r="B4094" t="str">
        <f>LEFT(Table13[[#This Row],[Input]],1)</f>
        <v>L</v>
      </c>
      <c r="C4094">
        <f>_xlfn.LET(_xlpm.steps,SUBSTITUTE(Table13[[#This Row],[Input]],Table13[[#This Row],[Direction]],""),VALUE(IF(LEN(_xlpm.steps)&gt;2,RIGHT(_xlpm.steps,2),_xlpm.steps)))</f>
        <v>27</v>
      </c>
      <c r="D4094">
        <f>_xlfn.LET(_xlpm.steps,SUBSTITUTE(Table13[[#This Row],[Input]],Table13[[#This Row],[Direction]],""),VALUE(IF(LEN(_xlpm.steps)&gt;2,LEFT(_xlpm.steps,LEN(_xlpm.steps)-2),0)))</f>
        <v>2</v>
      </c>
      <c r="E4094">
        <f>_xlfn.LET(_xlpm.dir,Table13[[#This Row],[Direction]],
IF(_xlpm.dir="L",
    IF(G4093-Table13[[#This Row],[Steps]]&lt;0,100+(G4093-Table13[[#This Row],[Steps]]),G4093-Table13[[#This Row],[Steps]]),
))</f>
        <v>15</v>
      </c>
      <c r="F4094">
        <f>_xlfn.LET(_xlpm.dir,Table13[[#This Row],[Direction]],
IF(_xlpm.dir="R",
    IF(G4093+Table13[[#This Row],[Steps]]&gt;99,(G4093+Table13[[#This Row],[Steps]])-100,G4093+Table13[[#This Row],[Steps]]),
))</f>
        <v>0</v>
      </c>
      <c r="G4094">
        <f>IF(Table13[[#This Row],[New Pos L]]&lt;&gt;0,Table13[[#This Row],[New Pos L]],Table13[[#This Row],[New Pos R]])</f>
        <v>15</v>
      </c>
      <c r="H4094">
        <f>IF(AND(Table13[[#This Row],[Direction]]="L",Table13[[#This Row],[Steps]]&gt;G4093,G4093&lt;&gt;0),1,0)</f>
        <v>0</v>
      </c>
      <c r="I4094">
        <f>IF(AND(Table13[[#This Row],[Direction]]="R",(G4093+Table13[[#This Row],[Steps]])&gt;100),1,0)</f>
        <v>0</v>
      </c>
      <c r="J4094">
        <f>IF(Table13[[#This Row],[POS]]=0,1,0)</f>
        <v>0</v>
      </c>
      <c r="K4094">
        <f>SUM(Table13[[#This Row],[prefix]],Table13[[#This Row],[Past zero L]],Table13[[#This Row],[Past Zero R]],Table13[[#This Row],[Is Zero]])</f>
        <v>2</v>
      </c>
    </row>
    <row r="4095" spans="1:11" ht="16" x14ac:dyDescent="0.2">
      <c r="A4095" s="1" t="s">
        <v>201</v>
      </c>
      <c r="B4095" t="str">
        <f>LEFT(Table13[[#This Row],[Input]],1)</f>
        <v>R</v>
      </c>
      <c r="C4095">
        <f>_xlfn.LET(_xlpm.steps,SUBSTITUTE(Table13[[#This Row],[Input]],Table13[[#This Row],[Direction]],""),VALUE(IF(LEN(_xlpm.steps)&gt;2,RIGHT(_xlpm.steps,2),_xlpm.steps)))</f>
        <v>31</v>
      </c>
      <c r="D4095">
        <f>_xlfn.LET(_xlpm.steps,SUBSTITUTE(Table13[[#This Row],[Input]],Table13[[#This Row],[Direction]],""),VALUE(IF(LEN(_xlpm.steps)&gt;2,LEFT(_xlpm.steps,LEN(_xlpm.steps)-2),0)))</f>
        <v>0</v>
      </c>
      <c r="E4095">
        <f>_xlfn.LET(_xlpm.dir,Table13[[#This Row],[Direction]],
IF(_xlpm.dir="L",
    IF(G4094-Table13[[#This Row],[Steps]]&lt;0,100+(G4094-Table13[[#This Row],[Steps]]),G4094-Table13[[#This Row],[Steps]]),
))</f>
        <v>0</v>
      </c>
      <c r="F4095">
        <f>_xlfn.LET(_xlpm.dir,Table13[[#This Row],[Direction]],
IF(_xlpm.dir="R",
    IF(G4094+Table13[[#This Row],[Steps]]&gt;99,(G4094+Table13[[#This Row],[Steps]])-100,G4094+Table13[[#This Row],[Steps]]),
))</f>
        <v>46</v>
      </c>
      <c r="G4095">
        <f>IF(Table13[[#This Row],[New Pos L]]&lt;&gt;0,Table13[[#This Row],[New Pos L]],Table13[[#This Row],[New Pos R]])</f>
        <v>46</v>
      </c>
      <c r="H4095">
        <f>IF(AND(Table13[[#This Row],[Direction]]="L",Table13[[#This Row],[Steps]]&gt;G4094,G4094&lt;&gt;0),1,0)</f>
        <v>0</v>
      </c>
      <c r="I4095">
        <f>IF(AND(Table13[[#This Row],[Direction]]="R",(G4094+Table13[[#This Row],[Steps]])&gt;100),1,0)</f>
        <v>0</v>
      </c>
      <c r="J4095">
        <f>IF(Table13[[#This Row],[POS]]=0,1,0)</f>
        <v>0</v>
      </c>
      <c r="K4095">
        <f>SUM(Table13[[#This Row],[prefix]],Table13[[#This Row],[Past zero L]],Table13[[#This Row],[Past Zero R]],Table13[[#This Row],[Is Zero]])</f>
        <v>0</v>
      </c>
    </row>
    <row r="4096" spans="1:11" ht="16" x14ac:dyDescent="0.2">
      <c r="A4096" s="1" t="s">
        <v>128</v>
      </c>
      <c r="B4096" t="str">
        <f>LEFT(Table13[[#This Row],[Input]],1)</f>
        <v>R</v>
      </c>
      <c r="C4096">
        <f>_xlfn.LET(_xlpm.steps,SUBSTITUTE(Table13[[#This Row],[Input]],Table13[[#This Row],[Direction]],""),VALUE(IF(LEN(_xlpm.steps)&gt;2,RIGHT(_xlpm.steps,2),_xlpm.steps)))</f>
        <v>92</v>
      </c>
      <c r="D4096">
        <f>_xlfn.LET(_xlpm.steps,SUBSTITUTE(Table13[[#This Row],[Input]],Table13[[#This Row],[Direction]],""),VALUE(IF(LEN(_xlpm.steps)&gt;2,LEFT(_xlpm.steps,LEN(_xlpm.steps)-2),0)))</f>
        <v>0</v>
      </c>
      <c r="E4096">
        <f>_xlfn.LET(_xlpm.dir,Table13[[#This Row],[Direction]],
IF(_xlpm.dir="L",
    IF(G4095-Table13[[#This Row],[Steps]]&lt;0,100+(G4095-Table13[[#This Row],[Steps]]),G4095-Table13[[#This Row],[Steps]]),
))</f>
        <v>0</v>
      </c>
      <c r="F4096">
        <f>_xlfn.LET(_xlpm.dir,Table13[[#This Row],[Direction]],
IF(_xlpm.dir="R",
    IF(G4095+Table13[[#This Row],[Steps]]&gt;99,(G4095+Table13[[#This Row],[Steps]])-100,G4095+Table13[[#This Row],[Steps]]),
))</f>
        <v>38</v>
      </c>
      <c r="G4096">
        <f>IF(Table13[[#This Row],[New Pos L]]&lt;&gt;0,Table13[[#This Row],[New Pos L]],Table13[[#This Row],[New Pos R]])</f>
        <v>38</v>
      </c>
      <c r="H4096">
        <f>IF(AND(Table13[[#This Row],[Direction]]="L",Table13[[#This Row],[Steps]]&gt;G4095,G4095&lt;&gt;0),1,0)</f>
        <v>0</v>
      </c>
      <c r="I4096">
        <f>IF(AND(Table13[[#This Row],[Direction]]="R",(G4095+Table13[[#This Row],[Steps]])&gt;100),1,0)</f>
        <v>1</v>
      </c>
      <c r="J4096">
        <f>IF(Table13[[#This Row],[POS]]=0,1,0)</f>
        <v>0</v>
      </c>
      <c r="K4096">
        <f>SUM(Table13[[#This Row],[prefix]],Table13[[#This Row],[Past zero L]],Table13[[#This Row],[Past Zero R]],Table13[[#This Row],[Is Zero]])</f>
        <v>1</v>
      </c>
    </row>
    <row r="4097" spans="1:11" ht="16" x14ac:dyDescent="0.2">
      <c r="A4097" s="1" t="s">
        <v>379</v>
      </c>
      <c r="B4097" t="str">
        <f>LEFT(Table13[[#This Row],[Input]],1)</f>
        <v>L</v>
      </c>
      <c r="C4097">
        <f>_xlfn.LET(_xlpm.steps,SUBSTITUTE(Table13[[#This Row],[Input]],Table13[[#This Row],[Direction]],""),VALUE(IF(LEN(_xlpm.steps)&gt;2,RIGHT(_xlpm.steps,2),_xlpm.steps)))</f>
        <v>4</v>
      </c>
      <c r="D4097">
        <f>_xlfn.LET(_xlpm.steps,SUBSTITUTE(Table13[[#This Row],[Input]],Table13[[#This Row],[Direction]],""),VALUE(IF(LEN(_xlpm.steps)&gt;2,LEFT(_xlpm.steps,LEN(_xlpm.steps)-2),0)))</f>
        <v>0</v>
      </c>
      <c r="E4097">
        <f>_xlfn.LET(_xlpm.dir,Table13[[#This Row],[Direction]],
IF(_xlpm.dir="L",
    IF(G4096-Table13[[#This Row],[Steps]]&lt;0,100+(G4096-Table13[[#This Row],[Steps]]),G4096-Table13[[#This Row],[Steps]]),
))</f>
        <v>34</v>
      </c>
      <c r="F4097">
        <f>_xlfn.LET(_xlpm.dir,Table13[[#This Row],[Direction]],
IF(_xlpm.dir="R",
    IF(G4096+Table13[[#This Row],[Steps]]&gt;99,(G4096+Table13[[#This Row],[Steps]])-100,G4096+Table13[[#This Row],[Steps]]),
))</f>
        <v>0</v>
      </c>
      <c r="G4097">
        <f>IF(Table13[[#This Row],[New Pos L]]&lt;&gt;0,Table13[[#This Row],[New Pos L]],Table13[[#This Row],[New Pos R]])</f>
        <v>34</v>
      </c>
      <c r="H4097">
        <f>IF(AND(Table13[[#This Row],[Direction]]="L",Table13[[#This Row],[Steps]]&gt;G4096,G4096&lt;&gt;0),1,0)</f>
        <v>0</v>
      </c>
      <c r="I4097">
        <f>IF(AND(Table13[[#This Row],[Direction]]="R",(G4096+Table13[[#This Row],[Steps]])&gt;100),1,0)</f>
        <v>0</v>
      </c>
      <c r="J4097">
        <f>IF(Table13[[#This Row],[POS]]=0,1,0)</f>
        <v>0</v>
      </c>
      <c r="K4097">
        <f>SUM(Table13[[#This Row],[prefix]],Table13[[#This Row],[Past zero L]],Table13[[#This Row],[Past Zero R]],Table13[[#This Row],[Is Zero]])</f>
        <v>0</v>
      </c>
    </row>
    <row r="4098" spans="1:11" ht="16" x14ac:dyDescent="0.2">
      <c r="A4098" s="1" t="s">
        <v>55</v>
      </c>
      <c r="B4098" t="str">
        <f>LEFT(Table13[[#This Row],[Input]],1)</f>
        <v>L</v>
      </c>
      <c r="C4098">
        <f>_xlfn.LET(_xlpm.steps,SUBSTITUTE(Table13[[#This Row],[Input]],Table13[[#This Row],[Direction]],""),VALUE(IF(LEN(_xlpm.steps)&gt;2,RIGHT(_xlpm.steps,2),_xlpm.steps)))</f>
        <v>82</v>
      </c>
      <c r="D4098">
        <f>_xlfn.LET(_xlpm.steps,SUBSTITUTE(Table13[[#This Row],[Input]],Table13[[#This Row],[Direction]],""),VALUE(IF(LEN(_xlpm.steps)&gt;2,LEFT(_xlpm.steps,LEN(_xlpm.steps)-2),0)))</f>
        <v>0</v>
      </c>
      <c r="E4098">
        <f>_xlfn.LET(_xlpm.dir,Table13[[#This Row],[Direction]],
IF(_xlpm.dir="L",
    IF(G4097-Table13[[#This Row],[Steps]]&lt;0,100+(G4097-Table13[[#This Row],[Steps]]),G4097-Table13[[#This Row],[Steps]]),
))</f>
        <v>52</v>
      </c>
      <c r="F4098">
        <f>_xlfn.LET(_xlpm.dir,Table13[[#This Row],[Direction]],
IF(_xlpm.dir="R",
    IF(G4097+Table13[[#This Row],[Steps]]&gt;99,(G4097+Table13[[#This Row],[Steps]])-100,G4097+Table13[[#This Row],[Steps]]),
))</f>
        <v>0</v>
      </c>
      <c r="G4098">
        <f>IF(Table13[[#This Row],[New Pos L]]&lt;&gt;0,Table13[[#This Row],[New Pos L]],Table13[[#This Row],[New Pos R]])</f>
        <v>52</v>
      </c>
      <c r="H4098">
        <f>IF(AND(Table13[[#This Row],[Direction]]="L",Table13[[#This Row],[Steps]]&gt;G4097,G4097&lt;&gt;0),1,0)</f>
        <v>1</v>
      </c>
      <c r="I4098">
        <f>IF(AND(Table13[[#This Row],[Direction]]="R",(G4097+Table13[[#This Row],[Steps]])&gt;100),1,0)</f>
        <v>0</v>
      </c>
      <c r="J4098">
        <f>IF(Table13[[#This Row],[POS]]=0,1,0)</f>
        <v>0</v>
      </c>
      <c r="K4098">
        <f>SUM(Table13[[#This Row],[prefix]],Table13[[#This Row],[Past zero L]],Table13[[#This Row],[Past Zero R]],Table13[[#This Row],[Is Zero]])</f>
        <v>1</v>
      </c>
    </row>
    <row r="4099" spans="1:11" ht="16" x14ac:dyDescent="0.2">
      <c r="A4099" s="1" t="s">
        <v>30</v>
      </c>
      <c r="B4099" t="str">
        <f>LEFT(Table13[[#This Row],[Input]],1)</f>
        <v>R</v>
      </c>
      <c r="C4099">
        <f>_xlfn.LET(_xlpm.steps,SUBSTITUTE(Table13[[#This Row],[Input]],Table13[[#This Row],[Direction]],""),VALUE(IF(LEN(_xlpm.steps)&gt;2,RIGHT(_xlpm.steps,2),_xlpm.steps)))</f>
        <v>48</v>
      </c>
      <c r="D4099">
        <f>_xlfn.LET(_xlpm.steps,SUBSTITUTE(Table13[[#This Row],[Input]],Table13[[#This Row],[Direction]],""),VALUE(IF(LEN(_xlpm.steps)&gt;2,LEFT(_xlpm.steps,LEN(_xlpm.steps)-2),0)))</f>
        <v>0</v>
      </c>
      <c r="E4099">
        <f>_xlfn.LET(_xlpm.dir,Table13[[#This Row],[Direction]],
IF(_xlpm.dir="L",
    IF(G4098-Table13[[#This Row],[Steps]]&lt;0,100+(G4098-Table13[[#This Row],[Steps]]),G4098-Table13[[#This Row],[Steps]]),
))</f>
        <v>0</v>
      </c>
      <c r="F4099">
        <f>_xlfn.LET(_xlpm.dir,Table13[[#This Row],[Direction]],
IF(_xlpm.dir="R",
    IF(G4098+Table13[[#This Row],[Steps]]&gt;99,(G4098+Table13[[#This Row],[Steps]])-100,G4098+Table13[[#This Row],[Steps]]),
))</f>
        <v>0</v>
      </c>
      <c r="G4099">
        <f>IF(Table13[[#This Row],[New Pos L]]&lt;&gt;0,Table13[[#This Row],[New Pos L]],Table13[[#This Row],[New Pos R]])</f>
        <v>0</v>
      </c>
      <c r="H4099">
        <f>IF(AND(Table13[[#This Row],[Direction]]="L",Table13[[#This Row],[Steps]]&gt;G4098,G4098&lt;&gt;0),1,0)</f>
        <v>0</v>
      </c>
      <c r="I4099">
        <f>IF(AND(Table13[[#This Row],[Direction]]="R",(G4098+Table13[[#This Row],[Steps]])&gt;100),1,0)</f>
        <v>0</v>
      </c>
      <c r="J4099">
        <f>IF(Table13[[#This Row],[POS]]=0,1,0)</f>
        <v>1</v>
      </c>
      <c r="K4099">
        <f>SUM(Table13[[#This Row],[prefix]],Table13[[#This Row],[Past zero L]],Table13[[#This Row],[Past Zero R]],Table13[[#This Row],[Is Zero]])</f>
        <v>1</v>
      </c>
    </row>
    <row r="4100" spans="1:11" ht="16" x14ac:dyDescent="0.2">
      <c r="A4100" s="1" t="s">
        <v>174</v>
      </c>
      <c r="B4100" t="str">
        <f>LEFT(Table13[[#This Row],[Input]],1)</f>
        <v>L</v>
      </c>
      <c r="C4100">
        <f>_xlfn.LET(_xlpm.steps,SUBSTITUTE(Table13[[#This Row],[Input]],Table13[[#This Row],[Direction]],""),VALUE(IF(LEN(_xlpm.steps)&gt;2,RIGHT(_xlpm.steps,2),_xlpm.steps)))</f>
        <v>92</v>
      </c>
      <c r="D4100">
        <f>_xlfn.LET(_xlpm.steps,SUBSTITUTE(Table13[[#This Row],[Input]],Table13[[#This Row],[Direction]],""),VALUE(IF(LEN(_xlpm.steps)&gt;2,LEFT(_xlpm.steps,LEN(_xlpm.steps)-2),0)))</f>
        <v>0</v>
      </c>
      <c r="E4100">
        <f>_xlfn.LET(_xlpm.dir,Table13[[#This Row],[Direction]],
IF(_xlpm.dir="L",
    IF(G4099-Table13[[#This Row],[Steps]]&lt;0,100+(G4099-Table13[[#This Row],[Steps]]),G4099-Table13[[#This Row],[Steps]]),
))</f>
        <v>8</v>
      </c>
      <c r="F4100">
        <f>_xlfn.LET(_xlpm.dir,Table13[[#This Row],[Direction]],
IF(_xlpm.dir="R",
    IF(G4099+Table13[[#This Row],[Steps]]&gt;99,(G4099+Table13[[#This Row],[Steps]])-100,G4099+Table13[[#This Row],[Steps]]),
))</f>
        <v>0</v>
      </c>
      <c r="G4100">
        <f>IF(Table13[[#This Row],[New Pos L]]&lt;&gt;0,Table13[[#This Row],[New Pos L]],Table13[[#This Row],[New Pos R]])</f>
        <v>8</v>
      </c>
      <c r="H4100">
        <f>IF(AND(Table13[[#This Row],[Direction]]="L",Table13[[#This Row],[Steps]]&gt;G4099,G4099&lt;&gt;0),1,0)</f>
        <v>0</v>
      </c>
      <c r="I4100">
        <f>IF(AND(Table13[[#This Row],[Direction]]="R",(G4099+Table13[[#This Row],[Steps]])&gt;100),1,0)</f>
        <v>0</v>
      </c>
      <c r="J4100">
        <f>IF(Table13[[#This Row],[POS]]=0,1,0)</f>
        <v>0</v>
      </c>
      <c r="K4100">
        <f>SUM(Table13[[#This Row],[prefix]],Table13[[#This Row],[Past zero L]],Table13[[#This Row],[Past Zero R]],Table13[[#This Row],[Is Zero]])</f>
        <v>0</v>
      </c>
    </row>
    <row r="4101" spans="1:11" ht="16" x14ac:dyDescent="0.2">
      <c r="A4101" s="1" t="s">
        <v>838</v>
      </c>
      <c r="B4101" t="str">
        <f>LEFT(Table13[[#This Row],[Input]],1)</f>
        <v>L</v>
      </c>
      <c r="C4101">
        <f>_xlfn.LET(_xlpm.steps,SUBSTITUTE(Table13[[#This Row],[Input]],Table13[[#This Row],[Direction]],""),VALUE(IF(LEN(_xlpm.steps)&gt;2,RIGHT(_xlpm.steps,2),_xlpm.steps)))</f>
        <v>44</v>
      </c>
      <c r="D4101">
        <f>_xlfn.LET(_xlpm.steps,SUBSTITUTE(Table13[[#This Row],[Input]],Table13[[#This Row],[Direction]],""),VALUE(IF(LEN(_xlpm.steps)&gt;2,LEFT(_xlpm.steps,LEN(_xlpm.steps)-2),0)))</f>
        <v>7</v>
      </c>
      <c r="E4101">
        <f>_xlfn.LET(_xlpm.dir,Table13[[#This Row],[Direction]],
IF(_xlpm.dir="L",
    IF(G4100-Table13[[#This Row],[Steps]]&lt;0,100+(G4100-Table13[[#This Row],[Steps]]),G4100-Table13[[#This Row],[Steps]]),
))</f>
        <v>64</v>
      </c>
      <c r="F4101">
        <f>_xlfn.LET(_xlpm.dir,Table13[[#This Row],[Direction]],
IF(_xlpm.dir="R",
    IF(G4100+Table13[[#This Row],[Steps]]&gt;99,(G4100+Table13[[#This Row],[Steps]])-100,G4100+Table13[[#This Row],[Steps]]),
))</f>
        <v>0</v>
      </c>
      <c r="G4101">
        <f>IF(Table13[[#This Row],[New Pos L]]&lt;&gt;0,Table13[[#This Row],[New Pos L]],Table13[[#This Row],[New Pos R]])</f>
        <v>64</v>
      </c>
      <c r="H4101">
        <f>IF(AND(Table13[[#This Row],[Direction]]="L",Table13[[#This Row],[Steps]]&gt;G4100,G4100&lt;&gt;0),1,0)</f>
        <v>1</v>
      </c>
      <c r="I4101">
        <f>IF(AND(Table13[[#This Row],[Direction]]="R",(G4100+Table13[[#This Row],[Steps]])&gt;100),1,0)</f>
        <v>0</v>
      </c>
      <c r="J4101">
        <f>IF(Table13[[#This Row],[POS]]=0,1,0)</f>
        <v>0</v>
      </c>
      <c r="K4101">
        <f>SUM(Table13[[#This Row],[prefix]],Table13[[#This Row],[Past zero L]],Table13[[#This Row],[Past Zero R]],Table13[[#This Row],[Is Zero]])</f>
        <v>8</v>
      </c>
    </row>
    <row r="4102" spans="1:11" ht="16" x14ac:dyDescent="0.2">
      <c r="A4102" s="1" t="s">
        <v>185</v>
      </c>
      <c r="B4102" t="str">
        <f>LEFT(Table13[[#This Row],[Input]],1)</f>
        <v>R</v>
      </c>
      <c r="C4102">
        <f>_xlfn.LET(_xlpm.steps,SUBSTITUTE(Table13[[#This Row],[Input]],Table13[[#This Row],[Direction]],""),VALUE(IF(LEN(_xlpm.steps)&gt;2,RIGHT(_xlpm.steps,2),_xlpm.steps)))</f>
        <v>61</v>
      </c>
      <c r="D4102">
        <f>_xlfn.LET(_xlpm.steps,SUBSTITUTE(Table13[[#This Row],[Input]],Table13[[#This Row],[Direction]],""),VALUE(IF(LEN(_xlpm.steps)&gt;2,LEFT(_xlpm.steps,LEN(_xlpm.steps)-2),0)))</f>
        <v>0</v>
      </c>
      <c r="E4102">
        <f>_xlfn.LET(_xlpm.dir,Table13[[#This Row],[Direction]],
IF(_xlpm.dir="L",
    IF(G4101-Table13[[#This Row],[Steps]]&lt;0,100+(G4101-Table13[[#This Row],[Steps]]),G4101-Table13[[#This Row],[Steps]]),
))</f>
        <v>0</v>
      </c>
      <c r="F4102">
        <f>_xlfn.LET(_xlpm.dir,Table13[[#This Row],[Direction]],
IF(_xlpm.dir="R",
    IF(G4101+Table13[[#This Row],[Steps]]&gt;99,(G4101+Table13[[#This Row],[Steps]])-100,G4101+Table13[[#This Row],[Steps]]),
))</f>
        <v>25</v>
      </c>
      <c r="G4102">
        <f>IF(Table13[[#This Row],[New Pos L]]&lt;&gt;0,Table13[[#This Row],[New Pos L]],Table13[[#This Row],[New Pos R]])</f>
        <v>25</v>
      </c>
      <c r="H4102">
        <f>IF(AND(Table13[[#This Row],[Direction]]="L",Table13[[#This Row],[Steps]]&gt;G4101,G4101&lt;&gt;0),1,0)</f>
        <v>0</v>
      </c>
      <c r="I4102">
        <f>IF(AND(Table13[[#This Row],[Direction]]="R",(G4101+Table13[[#This Row],[Steps]])&gt;100),1,0)</f>
        <v>1</v>
      </c>
      <c r="J4102">
        <f>IF(Table13[[#This Row],[POS]]=0,1,0)</f>
        <v>0</v>
      </c>
      <c r="K4102">
        <f>SUM(Table13[[#This Row],[prefix]],Table13[[#This Row],[Past zero L]],Table13[[#This Row],[Past Zero R]],Table13[[#This Row],[Is Zero]])</f>
        <v>1</v>
      </c>
    </row>
    <row r="4103" spans="1:11" ht="16" x14ac:dyDescent="0.2">
      <c r="A4103" s="1" t="s">
        <v>5</v>
      </c>
      <c r="B4103" t="str">
        <f>LEFT(Table13[[#This Row],[Input]],1)</f>
        <v>R</v>
      </c>
      <c r="C4103">
        <f>_xlfn.LET(_xlpm.steps,SUBSTITUTE(Table13[[#This Row],[Input]],Table13[[#This Row],[Direction]],""),VALUE(IF(LEN(_xlpm.steps)&gt;2,RIGHT(_xlpm.steps,2),_xlpm.steps)))</f>
        <v>1</v>
      </c>
      <c r="D4103">
        <f>_xlfn.LET(_xlpm.steps,SUBSTITUTE(Table13[[#This Row],[Input]],Table13[[#This Row],[Direction]],""),VALUE(IF(LEN(_xlpm.steps)&gt;2,LEFT(_xlpm.steps,LEN(_xlpm.steps)-2),0)))</f>
        <v>0</v>
      </c>
      <c r="E4103">
        <f>_xlfn.LET(_xlpm.dir,Table13[[#This Row],[Direction]],
IF(_xlpm.dir="L",
    IF(G4102-Table13[[#This Row],[Steps]]&lt;0,100+(G4102-Table13[[#This Row],[Steps]]),G4102-Table13[[#This Row],[Steps]]),
))</f>
        <v>0</v>
      </c>
      <c r="F4103">
        <f>_xlfn.LET(_xlpm.dir,Table13[[#This Row],[Direction]],
IF(_xlpm.dir="R",
    IF(G4102+Table13[[#This Row],[Steps]]&gt;99,(G4102+Table13[[#This Row],[Steps]])-100,G4102+Table13[[#This Row],[Steps]]),
))</f>
        <v>26</v>
      </c>
      <c r="G4103">
        <f>IF(Table13[[#This Row],[New Pos L]]&lt;&gt;0,Table13[[#This Row],[New Pos L]],Table13[[#This Row],[New Pos R]])</f>
        <v>26</v>
      </c>
      <c r="H4103">
        <f>IF(AND(Table13[[#This Row],[Direction]]="L",Table13[[#This Row],[Steps]]&gt;G4102,G4102&lt;&gt;0),1,0)</f>
        <v>0</v>
      </c>
      <c r="I4103">
        <f>IF(AND(Table13[[#This Row],[Direction]]="R",(G4102+Table13[[#This Row],[Steps]])&gt;100),1,0)</f>
        <v>0</v>
      </c>
      <c r="J4103">
        <f>IF(Table13[[#This Row],[POS]]=0,1,0)</f>
        <v>0</v>
      </c>
      <c r="K4103">
        <f>SUM(Table13[[#This Row],[prefix]],Table13[[#This Row],[Past zero L]],Table13[[#This Row],[Past Zero R]],Table13[[#This Row],[Is Zero]])</f>
        <v>0</v>
      </c>
    </row>
    <row r="4104" spans="1:11" ht="16" x14ac:dyDescent="0.2">
      <c r="A4104" s="1" t="s">
        <v>244</v>
      </c>
      <c r="B4104" t="str">
        <f>LEFT(Table13[[#This Row],[Input]],1)</f>
        <v>L</v>
      </c>
      <c r="C4104">
        <f>_xlfn.LET(_xlpm.steps,SUBSTITUTE(Table13[[#This Row],[Input]],Table13[[#This Row],[Direction]],""),VALUE(IF(LEN(_xlpm.steps)&gt;2,RIGHT(_xlpm.steps,2),_xlpm.steps)))</f>
        <v>98</v>
      </c>
      <c r="D4104">
        <f>_xlfn.LET(_xlpm.steps,SUBSTITUTE(Table13[[#This Row],[Input]],Table13[[#This Row],[Direction]],""),VALUE(IF(LEN(_xlpm.steps)&gt;2,LEFT(_xlpm.steps,LEN(_xlpm.steps)-2),0)))</f>
        <v>0</v>
      </c>
      <c r="E4104">
        <f>_xlfn.LET(_xlpm.dir,Table13[[#This Row],[Direction]],
IF(_xlpm.dir="L",
    IF(G4103-Table13[[#This Row],[Steps]]&lt;0,100+(G4103-Table13[[#This Row],[Steps]]),G4103-Table13[[#This Row],[Steps]]),
))</f>
        <v>28</v>
      </c>
      <c r="F4104">
        <f>_xlfn.LET(_xlpm.dir,Table13[[#This Row],[Direction]],
IF(_xlpm.dir="R",
    IF(G4103+Table13[[#This Row],[Steps]]&gt;99,(G4103+Table13[[#This Row],[Steps]])-100,G4103+Table13[[#This Row],[Steps]]),
))</f>
        <v>0</v>
      </c>
      <c r="G4104">
        <f>IF(Table13[[#This Row],[New Pos L]]&lt;&gt;0,Table13[[#This Row],[New Pos L]],Table13[[#This Row],[New Pos R]])</f>
        <v>28</v>
      </c>
      <c r="H4104">
        <f>IF(AND(Table13[[#This Row],[Direction]]="L",Table13[[#This Row],[Steps]]&gt;G4103,G4103&lt;&gt;0),1,0)</f>
        <v>1</v>
      </c>
      <c r="I4104">
        <f>IF(AND(Table13[[#This Row],[Direction]]="R",(G4103+Table13[[#This Row],[Steps]])&gt;100),1,0)</f>
        <v>0</v>
      </c>
      <c r="J4104">
        <f>IF(Table13[[#This Row],[POS]]=0,1,0)</f>
        <v>0</v>
      </c>
      <c r="K4104">
        <f>SUM(Table13[[#This Row],[prefix]],Table13[[#This Row],[Past zero L]],Table13[[#This Row],[Past Zero R]],Table13[[#This Row],[Is Zero]])</f>
        <v>1</v>
      </c>
    </row>
    <row r="4105" spans="1:11" ht="16" x14ac:dyDescent="0.2">
      <c r="A4105" s="1" t="s">
        <v>179</v>
      </c>
      <c r="B4105" t="str">
        <f>LEFT(Table13[[#This Row],[Input]],1)</f>
        <v>L</v>
      </c>
      <c r="C4105">
        <f>_xlfn.LET(_xlpm.steps,SUBSTITUTE(Table13[[#This Row],[Input]],Table13[[#This Row],[Direction]],""),VALUE(IF(LEN(_xlpm.steps)&gt;2,RIGHT(_xlpm.steps,2),_xlpm.steps)))</f>
        <v>54</v>
      </c>
      <c r="D4105">
        <f>_xlfn.LET(_xlpm.steps,SUBSTITUTE(Table13[[#This Row],[Input]],Table13[[#This Row],[Direction]],""),VALUE(IF(LEN(_xlpm.steps)&gt;2,LEFT(_xlpm.steps,LEN(_xlpm.steps)-2),0)))</f>
        <v>0</v>
      </c>
      <c r="E4105">
        <f>_xlfn.LET(_xlpm.dir,Table13[[#This Row],[Direction]],
IF(_xlpm.dir="L",
    IF(G4104-Table13[[#This Row],[Steps]]&lt;0,100+(G4104-Table13[[#This Row],[Steps]]),G4104-Table13[[#This Row],[Steps]]),
))</f>
        <v>74</v>
      </c>
      <c r="F4105">
        <f>_xlfn.LET(_xlpm.dir,Table13[[#This Row],[Direction]],
IF(_xlpm.dir="R",
    IF(G4104+Table13[[#This Row],[Steps]]&gt;99,(G4104+Table13[[#This Row],[Steps]])-100,G4104+Table13[[#This Row],[Steps]]),
))</f>
        <v>0</v>
      </c>
      <c r="G4105">
        <f>IF(Table13[[#This Row],[New Pos L]]&lt;&gt;0,Table13[[#This Row],[New Pos L]],Table13[[#This Row],[New Pos R]])</f>
        <v>74</v>
      </c>
      <c r="H4105">
        <f>IF(AND(Table13[[#This Row],[Direction]]="L",Table13[[#This Row],[Steps]]&gt;G4104,G4104&lt;&gt;0),1,0)</f>
        <v>1</v>
      </c>
      <c r="I4105">
        <f>IF(AND(Table13[[#This Row],[Direction]]="R",(G4104+Table13[[#This Row],[Steps]])&gt;100),1,0)</f>
        <v>0</v>
      </c>
      <c r="J4105">
        <f>IF(Table13[[#This Row],[POS]]=0,1,0)</f>
        <v>0</v>
      </c>
      <c r="K4105">
        <f>SUM(Table13[[#This Row],[prefix]],Table13[[#This Row],[Past zero L]],Table13[[#This Row],[Past Zero R]],Table13[[#This Row],[Is Zero]])</f>
        <v>1</v>
      </c>
    </row>
    <row r="4106" spans="1:11" ht="16" x14ac:dyDescent="0.2">
      <c r="A4106" s="1" t="s">
        <v>1</v>
      </c>
      <c r="B4106" t="str">
        <f>LEFT(Table13[[#This Row],[Input]],1)</f>
        <v>R</v>
      </c>
      <c r="C4106">
        <f>_xlfn.LET(_xlpm.steps,SUBSTITUTE(Table13[[#This Row],[Input]],Table13[[#This Row],[Direction]],""),VALUE(IF(LEN(_xlpm.steps)&gt;2,RIGHT(_xlpm.steps,2),_xlpm.steps)))</f>
        <v>26</v>
      </c>
      <c r="D4106">
        <f>_xlfn.LET(_xlpm.steps,SUBSTITUTE(Table13[[#This Row],[Input]],Table13[[#This Row],[Direction]],""),VALUE(IF(LEN(_xlpm.steps)&gt;2,LEFT(_xlpm.steps,LEN(_xlpm.steps)-2),0)))</f>
        <v>0</v>
      </c>
      <c r="E4106">
        <f>_xlfn.LET(_xlpm.dir,Table13[[#This Row],[Direction]],
IF(_xlpm.dir="L",
    IF(G4105-Table13[[#This Row],[Steps]]&lt;0,100+(G4105-Table13[[#This Row],[Steps]]),G4105-Table13[[#This Row],[Steps]]),
))</f>
        <v>0</v>
      </c>
      <c r="F4106">
        <f>_xlfn.LET(_xlpm.dir,Table13[[#This Row],[Direction]],
IF(_xlpm.dir="R",
    IF(G4105+Table13[[#This Row],[Steps]]&gt;99,(G4105+Table13[[#This Row],[Steps]])-100,G4105+Table13[[#This Row],[Steps]]),
))</f>
        <v>0</v>
      </c>
      <c r="G4106">
        <f>IF(Table13[[#This Row],[New Pos L]]&lt;&gt;0,Table13[[#This Row],[New Pos L]],Table13[[#This Row],[New Pos R]])</f>
        <v>0</v>
      </c>
      <c r="H4106">
        <f>IF(AND(Table13[[#This Row],[Direction]]="L",Table13[[#This Row],[Steps]]&gt;G4105,G4105&lt;&gt;0),1,0)</f>
        <v>0</v>
      </c>
      <c r="I4106">
        <f>IF(AND(Table13[[#This Row],[Direction]]="R",(G4105+Table13[[#This Row],[Steps]])&gt;100),1,0)</f>
        <v>0</v>
      </c>
      <c r="J4106">
        <f>IF(Table13[[#This Row],[POS]]=0,1,0)</f>
        <v>1</v>
      </c>
      <c r="K4106">
        <f>SUM(Table13[[#This Row],[prefix]],Table13[[#This Row],[Past zero L]],Table13[[#This Row],[Past Zero R]],Table13[[#This Row],[Is Zero]])</f>
        <v>1</v>
      </c>
    </row>
    <row r="4107" spans="1:11" ht="16" x14ac:dyDescent="0.2">
      <c r="A4107" s="1" t="s">
        <v>19</v>
      </c>
      <c r="B4107" t="str">
        <f>LEFT(Table13[[#This Row],[Input]],1)</f>
        <v>R</v>
      </c>
      <c r="C4107">
        <f>_xlfn.LET(_xlpm.steps,SUBSTITUTE(Table13[[#This Row],[Input]],Table13[[#This Row],[Direction]],""),VALUE(IF(LEN(_xlpm.steps)&gt;2,RIGHT(_xlpm.steps,2),_xlpm.steps)))</f>
        <v>47</v>
      </c>
      <c r="D4107">
        <f>_xlfn.LET(_xlpm.steps,SUBSTITUTE(Table13[[#This Row],[Input]],Table13[[#This Row],[Direction]],""),VALUE(IF(LEN(_xlpm.steps)&gt;2,LEFT(_xlpm.steps,LEN(_xlpm.steps)-2),0)))</f>
        <v>0</v>
      </c>
      <c r="E4107">
        <f>_xlfn.LET(_xlpm.dir,Table13[[#This Row],[Direction]],
IF(_xlpm.dir="L",
    IF(G4106-Table13[[#This Row],[Steps]]&lt;0,100+(G4106-Table13[[#This Row],[Steps]]),G4106-Table13[[#This Row],[Steps]]),
))</f>
        <v>0</v>
      </c>
      <c r="F4107">
        <f>_xlfn.LET(_xlpm.dir,Table13[[#This Row],[Direction]],
IF(_xlpm.dir="R",
    IF(G4106+Table13[[#This Row],[Steps]]&gt;99,(G4106+Table13[[#This Row],[Steps]])-100,G4106+Table13[[#This Row],[Steps]]),
))</f>
        <v>47</v>
      </c>
      <c r="G4107">
        <f>IF(Table13[[#This Row],[New Pos L]]&lt;&gt;0,Table13[[#This Row],[New Pos L]],Table13[[#This Row],[New Pos R]])</f>
        <v>47</v>
      </c>
      <c r="H4107">
        <f>IF(AND(Table13[[#This Row],[Direction]]="L",Table13[[#This Row],[Steps]]&gt;G4106,G4106&lt;&gt;0),1,0)</f>
        <v>0</v>
      </c>
      <c r="I4107">
        <f>IF(AND(Table13[[#This Row],[Direction]]="R",(G4106+Table13[[#This Row],[Steps]])&gt;100),1,0)</f>
        <v>0</v>
      </c>
      <c r="J4107">
        <f>IF(Table13[[#This Row],[POS]]=0,1,0)</f>
        <v>0</v>
      </c>
      <c r="K4107">
        <f>SUM(Table13[[#This Row],[prefix]],Table13[[#This Row],[Past zero L]],Table13[[#This Row],[Past Zero R]],Table13[[#This Row],[Is Zero]])</f>
        <v>0</v>
      </c>
    </row>
    <row r="4108" spans="1:11" ht="16" x14ac:dyDescent="0.2">
      <c r="A4108" s="1" t="s">
        <v>51</v>
      </c>
      <c r="B4108" t="str">
        <f>LEFT(Table13[[#This Row],[Input]],1)</f>
        <v>L</v>
      </c>
      <c r="C4108">
        <f>_xlfn.LET(_xlpm.steps,SUBSTITUTE(Table13[[#This Row],[Input]],Table13[[#This Row],[Direction]],""),VALUE(IF(LEN(_xlpm.steps)&gt;2,RIGHT(_xlpm.steps,2),_xlpm.steps)))</f>
        <v>25</v>
      </c>
      <c r="D4108">
        <f>_xlfn.LET(_xlpm.steps,SUBSTITUTE(Table13[[#This Row],[Input]],Table13[[#This Row],[Direction]],""),VALUE(IF(LEN(_xlpm.steps)&gt;2,LEFT(_xlpm.steps,LEN(_xlpm.steps)-2),0)))</f>
        <v>0</v>
      </c>
      <c r="E4108">
        <f>_xlfn.LET(_xlpm.dir,Table13[[#This Row],[Direction]],
IF(_xlpm.dir="L",
    IF(G4107-Table13[[#This Row],[Steps]]&lt;0,100+(G4107-Table13[[#This Row],[Steps]]),G4107-Table13[[#This Row],[Steps]]),
))</f>
        <v>22</v>
      </c>
      <c r="F4108">
        <f>_xlfn.LET(_xlpm.dir,Table13[[#This Row],[Direction]],
IF(_xlpm.dir="R",
    IF(G4107+Table13[[#This Row],[Steps]]&gt;99,(G4107+Table13[[#This Row],[Steps]])-100,G4107+Table13[[#This Row],[Steps]]),
))</f>
        <v>0</v>
      </c>
      <c r="G4108">
        <f>IF(Table13[[#This Row],[New Pos L]]&lt;&gt;0,Table13[[#This Row],[New Pos L]],Table13[[#This Row],[New Pos R]])</f>
        <v>22</v>
      </c>
      <c r="H4108">
        <f>IF(AND(Table13[[#This Row],[Direction]]="L",Table13[[#This Row],[Steps]]&gt;G4107,G4107&lt;&gt;0),1,0)</f>
        <v>0</v>
      </c>
      <c r="I4108">
        <f>IF(AND(Table13[[#This Row],[Direction]]="R",(G4107+Table13[[#This Row],[Steps]])&gt;100),1,0)</f>
        <v>0</v>
      </c>
      <c r="J4108">
        <f>IF(Table13[[#This Row],[POS]]=0,1,0)</f>
        <v>0</v>
      </c>
      <c r="K4108">
        <f>SUM(Table13[[#This Row],[prefix]],Table13[[#This Row],[Past zero L]],Table13[[#This Row],[Past Zero R]],Table13[[#This Row],[Is Zero]])</f>
        <v>0</v>
      </c>
    </row>
    <row r="4109" spans="1:11" ht="16" x14ac:dyDescent="0.2">
      <c r="A4109" s="1" t="s">
        <v>122</v>
      </c>
      <c r="B4109" t="str">
        <f>LEFT(Table13[[#This Row],[Input]],1)</f>
        <v>R</v>
      </c>
      <c r="C4109">
        <f>_xlfn.LET(_xlpm.steps,SUBSTITUTE(Table13[[#This Row],[Input]],Table13[[#This Row],[Direction]],""),VALUE(IF(LEN(_xlpm.steps)&gt;2,RIGHT(_xlpm.steps,2),_xlpm.steps)))</f>
        <v>75</v>
      </c>
      <c r="D4109">
        <f>_xlfn.LET(_xlpm.steps,SUBSTITUTE(Table13[[#This Row],[Input]],Table13[[#This Row],[Direction]],""),VALUE(IF(LEN(_xlpm.steps)&gt;2,LEFT(_xlpm.steps,LEN(_xlpm.steps)-2),0)))</f>
        <v>0</v>
      </c>
      <c r="E4109">
        <f>_xlfn.LET(_xlpm.dir,Table13[[#This Row],[Direction]],
IF(_xlpm.dir="L",
    IF(G4108-Table13[[#This Row],[Steps]]&lt;0,100+(G4108-Table13[[#This Row],[Steps]]),G4108-Table13[[#This Row],[Steps]]),
))</f>
        <v>0</v>
      </c>
      <c r="F4109">
        <f>_xlfn.LET(_xlpm.dir,Table13[[#This Row],[Direction]],
IF(_xlpm.dir="R",
    IF(G4108+Table13[[#This Row],[Steps]]&gt;99,(G4108+Table13[[#This Row],[Steps]])-100,G4108+Table13[[#This Row],[Steps]]),
))</f>
        <v>97</v>
      </c>
      <c r="G4109">
        <f>IF(Table13[[#This Row],[New Pos L]]&lt;&gt;0,Table13[[#This Row],[New Pos L]],Table13[[#This Row],[New Pos R]])</f>
        <v>97</v>
      </c>
      <c r="H4109">
        <f>IF(AND(Table13[[#This Row],[Direction]]="L",Table13[[#This Row],[Steps]]&gt;G4108,G4108&lt;&gt;0),1,0)</f>
        <v>0</v>
      </c>
      <c r="I4109">
        <f>IF(AND(Table13[[#This Row],[Direction]]="R",(G4108+Table13[[#This Row],[Steps]])&gt;100),1,0)</f>
        <v>0</v>
      </c>
      <c r="J4109">
        <f>IF(Table13[[#This Row],[POS]]=0,1,0)</f>
        <v>0</v>
      </c>
      <c r="K4109">
        <f>SUM(Table13[[#This Row],[prefix]],Table13[[#This Row],[Past zero L]],Table13[[#This Row],[Past Zero R]],Table13[[#This Row],[Is Zero]])</f>
        <v>0</v>
      </c>
    </row>
    <row r="4110" spans="1:11" ht="16" x14ac:dyDescent="0.2">
      <c r="A4110" s="1" t="s">
        <v>36</v>
      </c>
      <c r="B4110" t="str">
        <f>LEFT(Table13[[#This Row],[Input]],1)</f>
        <v>R</v>
      </c>
      <c r="C4110">
        <f>_xlfn.LET(_xlpm.steps,SUBSTITUTE(Table13[[#This Row],[Input]],Table13[[#This Row],[Direction]],""),VALUE(IF(LEN(_xlpm.steps)&gt;2,RIGHT(_xlpm.steps,2),_xlpm.steps)))</f>
        <v>50</v>
      </c>
      <c r="D4110">
        <f>_xlfn.LET(_xlpm.steps,SUBSTITUTE(Table13[[#This Row],[Input]],Table13[[#This Row],[Direction]],""),VALUE(IF(LEN(_xlpm.steps)&gt;2,LEFT(_xlpm.steps,LEN(_xlpm.steps)-2),0)))</f>
        <v>0</v>
      </c>
      <c r="E4110">
        <f>_xlfn.LET(_xlpm.dir,Table13[[#This Row],[Direction]],
IF(_xlpm.dir="L",
    IF(G4109-Table13[[#This Row],[Steps]]&lt;0,100+(G4109-Table13[[#This Row],[Steps]]),G4109-Table13[[#This Row],[Steps]]),
))</f>
        <v>0</v>
      </c>
      <c r="F4110">
        <f>_xlfn.LET(_xlpm.dir,Table13[[#This Row],[Direction]],
IF(_xlpm.dir="R",
    IF(G4109+Table13[[#This Row],[Steps]]&gt;99,(G4109+Table13[[#This Row],[Steps]])-100,G4109+Table13[[#This Row],[Steps]]),
))</f>
        <v>47</v>
      </c>
      <c r="G4110">
        <f>IF(Table13[[#This Row],[New Pos L]]&lt;&gt;0,Table13[[#This Row],[New Pos L]],Table13[[#This Row],[New Pos R]])</f>
        <v>47</v>
      </c>
      <c r="H4110">
        <f>IF(AND(Table13[[#This Row],[Direction]]="L",Table13[[#This Row],[Steps]]&gt;G4109,G4109&lt;&gt;0),1,0)</f>
        <v>0</v>
      </c>
      <c r="I4110">
        <f>IF(AND(Table13[[#This Row],[Direction]]="R",(G4109+Table13[[#This Row],[Steps]])&gt;100),1,0)</f>
        <v>1</v>
      </c>
      <c r="J4110">
        <f>IF(Table13[[#This Row],[POS]]=0,1,0)</f>
        <v>0</v>
      </c>
      <c r="K4110">
        <f>SUM(Table13[[#This Row],[prefix]],Table13[[#This Row],[Past zero L]],Table13[[#This Row],[Past Zero R]],Table13[[#This Row],[Is Zero]])</f>
        <v>1</v>
      </c>
    </row>
    <row r="4111" spans="1:11" ht="16" x14ac:dyDescent="0.2">
      <c r="A4111" s="1" t="s">
        <v>279</v>
      </c>
      <c r="B4111" t="str">
        <f>LEFT(Table13[[#This Row],[Input]],1)</f>
        <v>R</v>
      </c>
      <c r="C4111">
        <f>_xlfn.LET(_xlpm.steps,SUBSTITUTE(Table13[[#This Row],[Input]],Table13[[#This Row],[Direction]],""),VALUE(IF(LEN(_xlpm.steps)&gt;2,RIGHT(_xlpm.steps,2),_xlpm.steps)))</f>
        <v>34</v>
      </c>
      <c r="D4111">
        <f>_xlfn.LET(_xlpm.steps,SUBSTITUTE(Table13[[#This Row],[Input]],Table13[[#This Row],[Direction]],""),VALUE(IF(LEN(_xlpm.steps)&gt;2,LEFT(_xlpm.steps,LEN(_xlpm.steps)-2),0)))</f>
        <v>0</v>
      </c>
      <c r="E4111">
        <f>_xlfn.LET(_xlpm.dir,Table13[[#This Row],[Direction]],
IF(_xlpm.dir="L",
    IF(G4110-Table13[[#This Row],[Steps]]&lt;0,100+(G4110-Table13[[#This Row],[Steps]]),G4110-Table13[[#This Row],[Steps]]),
))</f>
        <v>0</v>
      </c>
      <c r="F4111">
        <f>_xlfn.LET(_xlpm.dir,Table13[[#This Row],[Direction]],
IF(_xlpm.dir="R",
    IF(G4110+Table13[[#This Row],[Steps]]&gt;99,(G4110+Table13[[#This Row],[Steps]])-100,G4110+Table13[[#This Row],[Steps]]),
))</f>
        <v>81</v>
      </c>
      <c r="G4111">
        <f>IF(Table13[[#This Row],[New Pos L]]&lt;&gt;0,Table13[[#This Row],[New Pos L]],Table13[[#This Row],[New Pos R]])</f>
        <v>81</v>
      </c>
      <c r="H4111">
        <f>IF(AND(Table13[[#This Row],[Direction]]="L",Table13[[#This Row],[Steps]]&gt;G4110,G4110&lt;&gt;0),1,0)</f>
        <v>0</v>
      </c>
      <c r="I4111">
        <f>IF(AND(Table13[[#This Row],[Direction]]="R",(G4110+Table13[[#This Row],[Steps]])&gt;100),1,0)</f>
        <v>0</v>
      </c>
      <c r="J4111">
        <f>IF(Table13[[#This Row],[POS]]=0,1,0)</f>
        <v>0</v>
      </c>
      <c r="K4111">
        <f>SUM(Table13[[#This Row],[prefix]],Table13[[#This Row],[Past zero L]],Table13[[#This Row],[Past Zero R]],Table13[[#This Row],[Is Zero]])</f>
        <v>0</v>
      </c>
    </row>
    <row r="4112" spans="1:11" ht="16" x14ac:dyDescent="0.2">
      <c r="A4112" s="1" t="s">
        <v>37</v>
      </c>
      <c r="B4112" t="str">
        <f>LEFT(Table13[[#This Row],[Input]],1)</f>
        <v>L</v>
      </c>
      <c r="C4112">
        <f>_xlfn.LET(_xlpm.steps,SUBSTITUTE(Table13[[#This Row],[Input]],Table13[[#This Row],[Direction]],""),VALUE(IF(LEN(_xlpm.steps)&gt;2,RIGHT(_xlpm.steps,2),_xlpm.steps)))</f>
        <v>42</v>
      </c>
      <c r="D4112">
        <f>_xlfn.LET(_xlpm.steps,SUBSTITUTE(Table13[[#This Row],[Input]],Table13[[#This Row],[Direction]],""),VALUE(IF(LEN(_xlpm.steps)&gt;2,LEFT(_xlpm.steps,LEN(_xlpm.steps)-2),0)))</f>
        <v>0</v>
      </c>
      <c r="E4112">
        <f>_xlfn.LET(_xlpm.dir,Table13[[#This Row],[Direction]],
IF(_xlpm.dir="L",
    IF(G4111-Table13[[#This Row],[Steps]]&lt;0,100+(G4111-Table13[[#This Row],[Steps]]),G4111-Table13[[#This Row],[Steps]]),
))</f>
        <v>39</v>
      </c>
      <c r="F4112">
        <f>_xlfn.LET(_xlpm.dir,Table13[[#This Row],[Direction]],
IF(_xlpm.dir="R",
    IF(G4111+Table13[[#This Row],[Steps]]&gt;99,(G4111+Table13[[#This Row],[Steps]])-100,G4111+Table13[[#This Row],[Steps]]),
))</f>
        <v>0</v>
      </c>
      <c r="G4112">
        <f>IF(Table13[[#This Row],[New Pos L]]&lt;&gt;0,Table13[[#This Row],[New Pos L]],Table13[[#This Row],[New Pos R]])</f>
        <v>39</v>
      </c>
      <c r="H4112">
        <f>IF(AND(Table13[[#This Row],[Direction]]="L",Table13[[#This Row],[Steps]]&gt;G4111,G4111&lt;&gt;0),1,0)</f>
        <v>0</v>
      </c>
      <c r="I4112">
        <f>IF(AND(Table13[[#This Row],[Direction]]="R",(G4111+Table13[[#This Row],[Steps]])&gt;100),1,0)</f>
        <v>0</v>
      </c>
      <c r="J4112">
        <f>IF(Table13[[#This Row],[POS]]=0,1,0)</f>
        <v>0</v>
      </c>
      <c r="K4112">
        <f>SUM(Table13[[#This Row],[prefix]],Table13[[#This Row],[Past zero L]],Table13[[#This Row],[Past Zero R]],Table13[[#This Row],[Is Zero]])</f>
        <v>0</v>
      </c>
    </row>
    <row r="4113" spans="1:11" ht="16" x14ac:dyDescent="0.2">
      <c r="A4113" s="1" t="s">
        <v>8</v>
      </c>
      <c r="B4113" t="str">
        <f>LEFT(Table13[[#This Row],[Input]],1)</f>
        <v>R</v>
      </c>
      <c r="C4113">
        <f>_xlfn.LET(_xlpm.steps,SUBSTITUTE(Table13[[#This Row],[Input]],Table13[[#This Row],[Direction]],""),VALUE(IF(LEN(_xlpm.steps)&gt;2,RIGHT(_xlpm.steps,2),_xlpm.steps)))</f>
        <v>18</v>
      </c>
      <c r="D4113">
        <f>_xlfn.LET(_xlpm.steps,SUBSTITUTE(Table13[[#This Row],[Input]],Table13[[#This Row],[Direction]],""),VALUE(IF(LEN(_xlpm.steps)&gt;2,LEFT(_xlpm.steps,LEN(_xlpm.steps)-2),0)))</f>
        <v>0</v>
      </c>
      <c r="E4113">
        <f>_xlfn.LET(_xlpm.dir,Table13[[#This Row],[Direction]],
IF(_xlpm.dir="L",
    IF(G4112-Table13[[#This Row],[Steps]]&lt;0,100+(G4112-Table13[[#This Row],[Steps]]),G4112-Table13[[#This Row],[Steps]]),
))</f>
        <v>0</v>
      </c>
      <c r="F4113">
        <f>_xlfn.LET(_xlpm.dir,Table13[[#This Row],[Direction]],
IF(_xlpm.dir="R",
    IF(G4112+Table13[[#This Row],[Steps]]&gt;99,(G4112+Table13[[#This Row],[Steps]])-100,G4112+Table13[[#This Row],[Steps]]),
))</f>
        <v>57</v>
      </c>
      <c r="G4113">
        <f>IF(Table13[[#This Row],[New Pos L]]&lt;&gt;0,Table13[[#This Row],[New Pos L]],Table13[[#This Row],[New Pos R]])</f>
        <v>57</v>
      </c>
      <c r="H4113">
        <f>IF(AND(Table13[[#This Row],[Direction]]="L",Table13[[#This Row],[Steps]]&gt;G4112,G4112&lt;&gt;0),1,0)</f>
        <v>0</v>
      </c>
      <c r="I4113">
        <f>IF(AND(Table13[[#This Row],[Direction]]="R",(G4112+Table13[[#This Row],[Steps]])&gt;100),1,0)</f>
        <v>0</v>
      </c>
      <c r="J4113">
        <f>IF(Table13[[#This Row],[POS]]=0,1,0)</f>
        <v>0</v>
      </c>
      <c r="K4113">
        <f>SUM(Table13[[#This Row],[prefix]],Table13[[#This Row],[Past zero L]],Table13[[#This Row],[Past Zero R]],Table13[[#This Row],[Is Zero]])</f>
        <v>0</v>
      </c>
    </row>
    <row r="4114" spans="1:11" ht="16" x14ac:dyDescent="0.2">
      <c r="A4114" s="1" t="s">
        <v>226</v>
      </c>
      <c r="B4114" t="str">
        <f>LEFT(Table13[[#This Row],[Input]],1)</f>
        <v>L</v>
      </c>
      <c r="C4114">
        <f>_xlfn.LET(_xlpm.steps,SUBSTITUTE(Table13[[#This Row],[Input]],Table13[[#This Row],[Direction]],""),VALUE(IF(LEN(_xlpm.steps)&gt;2,RIGHT(_xlpm.steps,2),_xlpm.steps)))</f>
        <v>31</v>
      </c>
      <c r="D4114">
        <f>_xlfn.LET(_xlpm.steps,SUBSTITUTE(Table13[[#This Row],[Input]],Table13[[#This Row],[Direction]],""),VALUE(IF(LEN(_xlpm.steps)&gt;2,LEFT(_xlpm.steps,LEN(_xlpm.steps)-2),0)))</f>
        <v>0</v>
      </c>
      <c r="E4114">
        <f>_xlfn.LET(_xlpm.dir,Table13[[#This Row],[Direction]],
IF(_xlpm.dir="L",
    IF(G4113-Table13[[#This Row],[Steps]]&lt;0,100+(G4113-Table13[[#This Row],[Steps]]),G4113-Table13[[#This Row],[Steps]]),
))</f>
        <v>26</v>
      </c>
      <c r="F4114">
        <f>_xlfn.LET(_xlpm.dir,Table13[[#This Row],[Direction]],
IF(_xlpm.dir="R",
    IF(G4113+Table13[[#This Row],[Steps]]&gt;99,(G4113+Table13[[#This Row],[Steps]])-100,G4113+Table13[[#This Row],[Steps]]),
))</f>
        <v>0</v>
      </c>
      <c r="G4114">
        <f>IF(Table13[[#This Row],[New Pos L]]&lt;&gt;0,Table13[[#This Row],[New Pos L]],Table13[[#This Row],[New Pos R]])</f>
        <v>26</v>
      </c>
      <c r="H4114">
        <f>IF(AND(Table13[[#This Row],[Direction]]="L",Table13[[#This Row],[Steps]]&gt;G4113,G4113&lt;&gt;0),1,0)</f>
        <v>0</v>
      </c>
      <c r="I4114">
        <f>IF(AND(Table13[[#This Row],[Direction]]="R",(G4113+Table13[[#This Row],[Steps]])&gt;100),1,0)</f>
        <v>0</v>
      </c>
      <c r="J4114">
        <f>IF(Table13[[#This Row],[POS]]=0,1,0)</f>
        <v>0</v>
      </c>
      <c r="K4114">
        <f>SUM(Table13[[#This Row],[prefix]],Table13[[#This Row],[Past zero L]],Table13[[#This Row],[Past Zero R]],Table13[[#This Row],[Is Zero]])</f>
        <v>0</v>
      </c>
    </row>
    <row r="4115" spans="1:11" ht="16" x14ac:dyDescent="0.2">
      <c r="A4115" s="1" t="s">
        <v>304</v>
      </c>
      <c r="B4115" t="str">
        <f>LEFT(Table13[[#This Row],[Input]],1)</f>
        <v>L</v>
      </c>
      <c r="C4115">
        <f>_xlfn.LET(_xlpm.steps,SUBSTITUTE(Table13[[#This Row],[Input]],Table13[[#This Row],[Direction]],""),VALUE(IF(LEN(_xlpm.steps)&gt;2,RIGHT(_xlpm.steps,2),_xlpm.steps)))</f>
        <v>26</v>
      </c>
      <c r="D4115">
        <f>_xlfn.LET(_xlpm.steps,SUBSTITUTE(Table13[[#This Row],[Input]],Table13[[#This Row],[Direction]],""),VALUE(IF(LEN(_xlpm.steps)&gt;2,LEFT(_xlpm.steps,LEN(_xlpm.steps)-2),0)))</f>
        <v>0</v>
      </c>
      <c r="E4115">
        <f>_xlfn.LET(_xlpm.dir,Table13[[#This Row],[Direction]],
IF(_xlpm.dir="L",
    IF(G4114-Table13[[#This Row],[Steps]]&lt;0,100+(G4114-Table13[[#This Row],[Steps]]),G4114-Table13[[#This Row],[Steps]]),
))</f>
        <v>0</v>
      </c>
      <c r="F4115">
        <f>_xlfn.LET(_xlpm.dir,Table13[[#This Row],[Direction]],
IF(_xlpm.dir="R",
    IF(G4114+Table13[[#This Row],[Steps]]&gt;99,(G4114+Table13[[#This Row],[Steps]])-100,G4114+Table13[[#This Row],[Steps]]),
))</f>
        <v>0</v>
      </c>
      <c r="G4115">
        <f>IF(Table13[[#This Row],[New Pos L]]&lt;&gt;0,Table13[[#This Row],[New Pos L]],Table13[[#This Row],[New Pos R]])</f>
        <v>0</v>
      </c>
      <c r="H4115">
        <f>IF(AND(Table13[[#This Row],[Direction]]="L",Table13[[#This Row],[Steps]]&gt;G4114,G4114&lt;&gt;0),1,0)</f>
        <v>0</v>
      </c>
      <c r="I4115">
        <f>IF(AND(Table13[[#This Row],[Direction]]="R",(G4114+Table13[[#This Row],[Steps]])&gt;100),1,0)</f>
        <v>0</v>
      </c>
      <c r="J4115">
        <f>IF(Table13[[#This Row],[POS]]=0,1,0)</f>
        <v>1</v>
      </c>
      <c r="K4115">
        <f>SUM(Table13[[#This Row],[prefix]],Table13[[#This Row],[Past zero L]],Table13[[#This Row],[Past Zero R]],Table13[[#This Row],[Is Zero]])</f>
        <v>1</v>
      </c>
    </row>
    <row r="4116" spans="1:11" ht="16" x14ac:dyDescent="0.2">
      <c r="A4116" s="1" t="s">
        <v>123</v>
      </c>
      <c r="B4116" t="str">
        <f>LEFT(Table13[[#This Row],[Input]],1)</f>
        <v>L</v>
      </c>
      <c r="C4116">
        <f>_xlfn.LET(_xlpm.steps,SUBSTITUTE(Table13[[#This Row],[Input]],Table13[[#This Row],[Direction]],""),VALUE(IF(LEN(_xlpm.steps)&gt;2,RIGHT(_xlpm.steps,2),_xlpm.steps)))</f>
        <v>63</v>
      </c>
      <c r="D4116">
        <f>_xlfn.LET(_xlpm.steps,SUBSTITUTE(Table13[[#This Row],[Input]],Table13[[#This Row],[Direction]],""),VALUE(IF(LEN(_xlpm.steps)&gt;2,LEFT(_xlpm.steps,LEN(_xlpm.steps)-2),0)))</f>
        <v>0</v>
      </c>
      <c r="E4116">
        <f>_xlfn.LET(_xlpm.dir,Table13[[#This Row],[Direction]],
IF(_xlpm.dir="L",
    IF(G4115-Table13[[#This Row],[Steps]]&lt;0,100+(G4115-Table13[[#This Row],[Steps]]),G4115-Table13[[#This Row],[Steps]]),
))</f>
        <v>37</v>
      </c>
      <c r="F4116">
        <f>_xlfn.LET(_xlpm.dir,Table13[[#This Row],[Direction]],
IF(_xlpm.dir="R",
    IF(G4115+Table13[[#This Row],[Steps]]&gt;99,(G4115+Table13[[#This Row],[Steps]])-100,G4115+Table13[[#This Row],[Steps]]),
))</f>
        <v>0</v>
      </c>
      <c r="G4116">
        <f>IF(Table13[[#This Row],[New Pos L]]&lt;&gt;0,Table13[[#This Row],[New Pos L]],Table13[[#This Row],[New Pos R]])</f>
        <v>37</v>
      </c>
      <c r="H4116">
        <f>IF(AND(Table13[[#This Row],[Direction]]="L",Table13[[#This Row],[Steps]]&gt;G4115,G4115&lt;&gt;0),1,0)</f>
        <v>0</v>
      </c>
      <c r="I4116">
        <f>IF(AND(Table13[[#This Row],[Direction]]="R",(G4115+Table13[[#This Row],[Steps]])&gt;100),1,0)</f>
        <v>0</v>
      </c>
      <c r="J4116">
        <f>IF(Table13[[#This Row],[POS]]=0,1,0)</f>
        <v>0</v>
      </c>
      <c r="K4116">
        <f>SUM(Table13[[#This Row],[prefix]],Table13[[#This Row],[Past zero L]],Table13[[#This Row],[Past Zero R]],Table13[[#This Row],[Is Zero]])</f>
        <v>0</v>
      </c>
    </row>
    <row r="4117" spans="1:11" ht="16" x14ac:dyDescent="0.2">
      <c r="A4117" s="1" t="s">
        <v>839</v>
      </c>
      <c r="B4117" t="str">
        <f>LEFT(Table13[[#This Row],[Input]],1)</f>
        <v>R</v>
      </c>
      <c r="C4117">
        <f>_xlfn.LET(_xlpm.steps,SUBSTITUTE(Table13[[#This Row],[Input]],Table13[[#This Row],[Direction]],""),VALUE(IF(LEN(_xlpm.steps)&gt;2,RIGHT(_xlpm.steps,2),_xlpm.steps)))</f>
        <v>55</v>
      </c>
      <c r="D4117">
        <f>_xlfn.LET(_xlpm.steps,SUBSTITUTE(Table13[[#This Row],[Input]],Table13[[#This Row],[Direction]],""),VALUE(IF(LEN(_xlpm.steps)&gt;2,LEFT(_xlpm.steps,LEN(_xlpm.steps)-2),0)))</f>
        <v>8</v>
      </c>
      <c r="E4117">
        <f>_xlfn.LET(_xlpm.dir,Table13[[#This Row],[Direction]],
IF(_xlpm.dir="L",
    IF(G4116-Table13[[#This Row],[Steps]]&lt;0,100+(G4116-Table13[[#This Row],[Steps]]),G4116-Table13[[#This Row],[Steps]]),
))</f>
        <v>0</v>
      </c>
      <c r="F4117">
        <f>_xlfn.LET(_xlpm.dir,Table13[[#This Row],[Direction]],
IF(_xlpm.dir="R",
    IF(G4116+Table13[[#This Row],[Steps]]&gt;99,(G4116+Table13[[#This Row],[Steps]])-100,G4116+Table13[[#This Row],[Steps]]),
))</f>
        <v>92</v>
      </c>
      <c r="G4117">
        <f>IF(Table13[[#This Row],[New Pos L]]&lt;&gt;0,Table13[[#This Row],[New Pos L]],Table13[[#This Row],[New Pos R]])</f>
        <v>92</v>
      </c>
      <c r="H4117">
        <f>IF(AND(Table13[[#This Row],[Direction]]="L",Table13[[#This Row],[Steps]]&gt;G4116,G4116&lt;&gt;0),1,0)</f>
        <v>0</v>
      </c>
      <c r="I4117">
        <f>IF(AND(Table13[[#This Row],[Direction]]="R",(G4116+Table13[[#This Row],[Steps]])&gt;100),1,0)</f>
        <v>0</v>
      </c>
      <c r="J4117">
        <f>IF(Table13[[#This Row],[POS]]=0,1,0)</f>
        <v>0</v>
      </c>
      <c r="K4117">
        <f>SUM(Table13[[#This Row],[prefix]],Table13[[#This Row],[Past zero L]],Table13[[#This Row],[Past Zero R]],Table13[[#This Row],[Is Zero]])</f>
        <v>8</v>
      </c>
    </row>
    <row r="4118" spans="1:11" ht="16" x14ac:dyDescent="0.2">
      <c r="A4118" s="1" t="s">
        <v>55</v>
      </c>
      <c r="B4118" t="str">
        <f>LEFT(Table13[[#This Row],[Input]],1)</f>
        <v>L</v>
      </c>
      <c r="C4118">
        <f>_xlfn.LET(_xlpm.steps,SUBSTITUTE(Table13[[#This Row],[Input]],Table13[[#This Row],[Direction]],""),VALUE(IF(LEN(_xlpm.steps)&gt;2,RIGHT(_xlpm.steps,2),_xlpm.steps)))</f>
        <v>82</v>
      </c>
      <c r="D4118">
        <f>_xlfn.LET(_xlpm.steps,SUBSTITUTE(Table13[[#This Row],[Input]],Table13[[#This Row],[Direction]],""),VALUE(IF(LEN(_xlpm.steps)&gt;2,LEFT(_xlpm.steps,LEN(_xlpm.steps)-2),0)))</f>
        <v>0</v>
      </c>
      <c r="E4118">
        <f>_xlfn.LET(_xlpm.dir,Table13[[#This Row],[Direction]],
IF(_xlpm.dir="L",
    IF(G4117-Table13[[#This Row],[Steps]]&lt;0,100+(G4117-Table13[[#This Row],[Steps]]),G4117-Table13[[#This Row],[Steps]]),
))</f>
        <v>10</v>
      </c>
      <c r="F4118">
        <f>_xlfn.LET(_xlpm.dir,Table13[[#This Row],[Direction]],
IF(_xlpm.dir="R",
    IF(G4117+Table13[[#This Row],[Steps]]&gt;99,(G4117+Table13[[#This Row],[Steps]])-100,G4117+Table13[[#This Row],[Steps]]),
))</f>
        <v>0</v>
      </c>
      <c r="G4118">
        <f>IF(Table13[[#This Row],[New Pos L]]&lt;&gt;0,Table13[[#This Row],[New Pos L]],Table13[[#This Row],[New Pos R]])</f>
        <v>10</v>
      </c>
      <c r="H4118">
        <f>IF(AND(Table13[[#This Row],[Direction]]="L",Table13[[#This Row],[Steps]]&gt;G4117,G4117&lt;&gt;0),1,0)</f>
        <v>0</v>
      </c>
      <c r="I4118">
        <f>IF(AND(Table13[[#This Row],[Direction]]="R",(G4117+Table13[[#This Row],[Steps]])&gt;100),1,0)</f>
        <v>0</v>
      </c>
      <c r="J4118">
        <f>IF(Table13[[#This Row],[POS]]=0,1,0)</f>
        <v>0</v>
      </c>
      <c r="K4118">
        <f>SUM(Table13[[#This Row],[prefix]],Table13[[#This Row],[Past zero L]],Table13[[#This Row],[Past Zero R]],Table13[[#This Row],[Is Zero]])</f>
        <v>0</v>
      </c>
    </row>
    <row r="4119" spans="1:11" ht="16" x14ac:dyDescent="0.2">
      <c r="A4119" s="1" t="s">
        <v>26</v>
      </c>
      <c r="B4119" t="str">
        <f>LEFT(Table13[[#This Row],[Input]],1)</f>
        <v>R</v>
      </c>
      <c r="C4119">
        <f>_xlfn.LET(_xlpm.steps,SUBSTITUTE(Table13[[#This Row],[Input]],Table13[[#This Row],[Direction]],""),VALUE(IF(LEN(_xlpm.steps)&gt;2,RIGHT(_xlpm.steps,2),_xlpm.steps)))</f>
        <v>6</v>
      </c>
      <c r="D4119">
        <f>_xlfn.LET(_xlpm.steps,SUBSTITUTE(Table13[[#This Row],[Input]],Table13[[#This Row],[Direction]],""),VALUE(IF(LEN(_xlpm.steps)&gt;2,LEFT(_xlpm.steps,LEN(_xlpm.steps)-2),0)))</f>
        <v>0</v>
      </c>
      <c r="E4119">
        <f>_xlfn.LET(_xlpm.dir,Table13[[#This Row],[Direction]],
IF(_xlpm.dir="L",
    IF(G4118-Table13[[#This Row],[Steps]]&lt;0,100+(G4118-Table13[[#This Row],[Steps]]),G4118-Table13[[#This Row],[Steps]]),
))</f>
        <v>0</v>
      </c>
      <c r="F4119">
        <f>_xlfn.LET(_xlpm.dir,Table13[[#This Row],[Direction]],
IF(_xlpm.dir="R",
    IF(G4118+Table13[[#This Row],[Steps]]&gt;99,(G4118+Table13[[#This Row],[Steps]])-100,G4118+Table13[[#This Row],[Steps]]),
))</f>
        <v>16</v>
      </c>
      <c r="G4119">
        <f>IF(Table13[[#This Row],[New Pos L]]&lt;&gt;0,Table13[[#This Row],[New Pos L]],Table13[[#This Row],[New Pos R]])</f>
        <v>16</v>
      </c>
      <c r="H4119">
        <f>IF(AND(Table13[[#This Row],[Direction]]="L",Table13[[#This Row],[Steps]]&gt;G4118,G4118&lt;&gt;0),1,0)</f>
        <v>0</v>
      </c>
      <c r="I4119">
        <f>IF(AND(Table13[[#This Row],[Direction]]="R",(G4118+Table13[[#This Row],[Steps]])&gt;100),1,0)</f>
        <v>0</v>
      </c>
      <c r="J4119">
        <f>IF(Table13[[#This Row],[POS]]=0,1,0)</f>
        <v>0</v>
      </c>
      <c r="K4119">
        <f>SUM(Table13[[#This Row],[prefix]],Table13[[#This Row],[Past zero L]],Table13[[#This Row],[Past Zero R]],Table13[[#This Row],[Is Zero]])</f>
        <v>0</v>
      </c>
    </row>
    <row r="4120" spans="1:11" ht="16" x14ac:dyDescent="0.2">
      <c r="A4120" s="1" t="s">
        <v>102</v>
      </c>
      <c r="B4120" t="str">
        <f>LEFT(Table13[[#This Row],[Input]],1)</f>
        <v>R</v>
      </c>
      <c r="C4120">
        <f>_xlfn.LET(_xlpm.steps,SUBSTITUTE(Table13[[#This Row],[Input]],Table13[[#This Row],[Direction]],""),VALUE(IF(LEN(_xlpm.steps)&gt;2,RIGHT(_xlpm.steps,2),_xlpm.steps)))</f>
        <v>39</v>
      </c>
      <c r="D4120">
        <f>_xlfn.LET(_xlpm.steps,SUBSTITUTE(Table13[[#This Row],[Input]],Table13[[#This Row],[Direction]],""),VALUE(IF(LEN(_xlpm.steps)&gt;2,LEFT(_xlpm.steps,LEN(_xlpm.steps)-2),0)))</f>
        <v>0</v>
      </c>
      <c r="E4120">
        <f>_xlfn.LET(_xlpm.dir,Table13[[#This Row],[Direction]],
IF(_xlpm.dir="L",
    IF(G4119-Table13[[#This Row],[Steps]]&lt;0,100+(G4119-Table13[[#This Row],[Steps]]),G4119-Table13[[#This Row],[Steps]]),
))</f>
        <v>0</v>
      </c>
      <c r="F4120">
        <f>_xlfn.LET(_xlpm.dir,Table13[[#This Row],[Direction]],
IF(_xlpm.dir="R",
    IF(G4119+Table13[[#This Row],[Steps]]&gt;99,(G4119+Table13[[#This Row],[Steps]])-100,G4119+Table13[[#This Row],[Steps]]),
))</f>
        <v>55</v>
      </c>
      <c r="G4120">
        <f>IF(Table13[[#This Row],[New Pos L]]&lt;&gt;0,Table13[[#This Row],[New Pos L]],Table13[[#This Row],[New Pos R]])</f>
        <v>55</v>
      </c>
      <c r="H4120">
        <f>IF(AND(Table13[[#This Row],[Direction]]="L",Table13[[#This Row],[Steps]]&gt;G4119,G4119&lt;&gt;0),1,0)</f>
        <v>0</v>
      </c>
      <c r="I4120">
        <f>IF(AND(Table13[[#This Row],[Direction]]="R",(G4119+Table13[[#This Row],[Steps]])&gt;100),1,0)</f>
        <v>0</v>
      </c>
      <c r="J4120">
        <f>IF(Table13[[#This Row],[POS]]=0,1,0)</f>
        <v>0</v>
      </c>
      <c r="K4120">
        <f>SUM(Table13[[#This Row],[prefix]],Table13[[#This Row],[Past zero L]],Table13[[#This Row],[Past Zero R]],Table13[[#This Row],[Is Zero]])</f>
        <v>0</v>
      </c>
    </row>
    <row r="4121" spans="1:11" ht="16" x14ac:dyDescent="0.2">
      <c r="A4121" s="1" t="s">
        <v>82</v>
      </c>
      <c r="B4121" t="str">
        <f>LEFT(Table13[[#This Row],[Input]],1)</f>
        <v>L</v>
      </c>
      <c r="C4121">
        <f>_xlfn.LET(_xlpm.steps,SUBSTITUTE(Table13[[#This Row],[Input]],Table13[[#This Row],[Direction]],""),VALUE(IF(LEN(_xlpm.steps)&gt;2,RIGHT(_xlpm.steps,2),_xlpm.steps)))</f>
        <v>55</v>
      </c>
      <c r="D4121">
        <f>_xlfn.LET(_xlpm.steps,SUBSTITUTE(Table13[[#This Row],[Input]],Table13[[#This Row],[Direction]],""),VALUE(IF(LEN(_xlpm.steps)&gt;2,LEFT(_xlpm.steps,LEN(_xlpm.steps)-2),0)))</f>
        <v>0</v>
      </c>
      <c r="E4121">
        <f>_xlfn.LET(_xlpm.dir,Table13[[#This Row],[Direction]],
IF(_xlpm.dir="L",
    IF(G4120-Table13[[#This Row],[Steps]]&lt;0,100+(G4120-Table13[[#This Row],[Steps]]),G4120-Table13[[#This Row],[Steps]]),
))</f>
        <v>0</v>
      </c>
      <c r="F4121">
        <f>_xlfn.LET(_xlpm.dir,Table13[[#This Row],[Direction]],
IF(_xlpm.dir="R",
    IF(G4120+Table13[[#This Row],[Steps]]&gt;99,(G4120+Table13[[#This Row],[Steps]])-100,G4120+Table13[[#This Row],[Steps]]),
))</f>
        <v>0</v>
      </c>
      <c r="G4121">
        <f>IF(Table13[[#This Row],[New Pos L]]&lt;&gt;0,Table13[[#This Row],[New Pos L]],Table13[[#This Row],[New Pos R]])</f>
        <v>0</v>
      </c>
      <c r="H4121">
        <f>IF(AND(Table13[[#This Row],[Direction]]="L",Table13[[#This Row],[Steps]]&gt;G4120,G4120&lt;&gt;0),1,0)</f>
        <v>0</v>
      </c>
      <c r="I4121">
        <f>IF(AND(Table13[[#This Row],[Direction]]="R",(G4120+Table13[[#This Row],[Steps]])&gt;100),1,0)</f>
        <v>0</v>
      </c>
      <c r="J4121">
        <f>IF(Table13[[#This Row],[POS]]=0,1,0)</f>
        <v>1</v>
      </c>
      <c r="K4121">
        <f>SUM(Table13[[#This Row],[prefix]],Table13[[#This Row],[Past zero L]],Table13[[#This Row],[Past Zero R]],Table13[[#This Row],[Is Zero]])</f>
        <v>1</v>
      </c>
    </row>
    <row r="4122" spans="1:11" ht="16" x14ac:dyDescent="0.2">
      <c r="A4122" s="1" t="s">
        <v>136</v>
      </c>
      <c r="B4122" t="str">
        <f>LEFT(Table13[[#This Row],[Input]],1)</f>
        <v>L</v>
      </c>
      <c r="C4122">
        <f>_xlfn.LET(_xlpm.steps,SUBSTITUTE(Table13[[#This Row],[Input]],Table13[[#This Row],[Direction]],""),VALUE(IF(LEN(_xlpm.steps)&gt;2,RIGHT(_xlpm.steps,2),_xlpm.steps)))</f>
        <v>72</v>
      </c>
      <c r="D4122">
        <f>_xlfn.LET(_xlpm.steps,SUBSTITUTE(Table13[[#This Row],[Input]],Table13[[#This Row],[Direction]],""),VALUE(IF(LEN(_xlpm.steps)&gt;2,LEFT(_xlpm.steps,LEN(_xlpm.steps)-2),0)))</f>
        <v>0</v>
      </c>
      <c r="E4122">
        <f>_xlfn.LET(_xlpm.dir,Table13[[#This Row],[Direction]],
IF(_xlpm.dir="L",
    IF(G4121-Table13[[#This Row],[Steps]]&lt;0,100+(G4121-Table13[[#This Row],[Steps]]),G4121-Table13[[#This Row],[Steps]]),
))</f>
        <v>28</v>
      </c>
      <c r="F4122">
        <f>_xlfn.LET(_xlpm.dir,Table13[[#This Row],[Direction]],
IF(_xlpm.dir="R",
    IF(G4121+Table13[[#This Row],[Steps]]&gt;99,(G4121+Table13[[#This Row],[Steps]])-100,G4121+Table13[[#This Row],[Steps]]),
))</f>
        <v>0</v>
      </c>
      <c r="G4122">
        <f>IF(Table13[[#This Row],[New Pos L]]&lt;&gt;0,Table13[[#This Row],[New Pos L]],Table13[[#This Row],[New Pos R]])</f>
        <v>28</v>
      </c>
      <c r="H4122">
        <f>IF(AND(Table13[[#This Row],[Direction]]="L",Table13[[#This Row],[Steps]]&gt;G4121,G4121&lt;&gt;0),1,0)</f>
        <v>0</v>
      </c>
      <c r="I4122">
        <f>IF(AND(Table13[[#This Row],[Direction]]="R",(G4121+Table13[[#This Row],[Steps]])&gt;100),1,0)</f>
        <v>0</v>
      </c>
      <c r="J4122">
        <f>IF(Table13[[#This Row],[POS]]=0,1,0)</f>
        <v>0</v>
      </c>
      <c r="K4122">
        <f>SUM(Table13[[#This Row],[prefix]],Table13[[#This Row],[Past zero L]],Table13[[#This Row],[Past Zero R]],Table13[[#This Row],[Is Zero]])</f>
        <v>0</v>
      </c>
    </row>
    <row r="4123" spans="1:11" ht="16" x14ac:dyDescent="0.2">
      <c r="A4123" s="1" t="s">
        <v>100</v>
      </c>
      <c r="B4123" t="str">
        <f>LEFT(Table13[[#This Row],[Input]],1)</f>
        <v>R</v>
      </c>
      <c r="C4123">
        <f>_xlfn.LET(_xlpm.steps,SUBSTITUTE(Table13[[#This Row],[Input]],Table13[[#This Row],[Direction]],""),VALUE(IF(LEN(_xlpm.steps)&gt;2,RIGHT(_xlpm.steps,2),_xlpm.steps)))</f>
        <v>58</v>
      </c>
      <c r="D4123">
        <f>_xlfn.LET(_xlpm.steps,SUBSTITUTE(Table13[[#This Row],[Input]],Table13[[#This Row],[Direction]],""),VALUE(IF(LEN(_xlpm.steps)&gt;2,LEFT(_xlpm.steps,LEN(_xlpm.steps)-2),0)))</f>
        <v>0</v>
      </c>
      <c r="E4123">
        <f>_xlfn.LET(_xlpm.dir,Table13[[#This Row],[Direction]],
IF(_xlpm.dir="L",
    IF(G4122-Table13[[#This Row],[Steps]]&lt;0,100+(G4122-Table13[[#This Row],[Steps]]),G4122-Table13[[#This Row],[Steps]]),
))</f>
        <v>0</v>
      </c>
      <c r="F4123">
        <f>_xlfn.LET(_xlpm.dir,Table13[[#This Row],[Direction]],
IF(_xlpm.dir="R",
    IF(G4122+Table13[[#This Row],[Steps]]&gt;99,(G4122+Table13[[#This Row],[Steps]])-100,G4122+Table13[[#This Row],[Steps]]),
))</f>
        <v>86</v>
      </c>
      <c r="G4123">
        <f>IF(Table13[[#This Row],[New Pos L]]&lt;&gt;0,Table13[[#This Row],[New Pos L]],Table13[[#This Row],[New Pos R]])</f>
        <v>86</v>
      </c>
      <c r="H4123">
        <f>IF(AND(Table13[[#This Row],[Direction]]="L",Table13[[#This Row],[Steps]]&gt;G4122,G4122&lt;&gt;0),1,0)</f>
        <v>0</v>
      </c>
      <c r="I4123">
        <f>IF(AND(Table13[[#This Row],[Direction]]="R",(G4122+Table13[[#This Row],[Steps]])&gt;100),1,0)</f>
        <v>0</v>
      </c>
      <c r="J4123">
        <f>IF(Table13[[#This Row],[POS]]=0,1,0)</f>
        <v>0</v>
      </c>
      <c r="K4123">
        <f>SUM(Table13[[#This Row],[prefix]],Table13[[#This Row],[Past zero L]],Table13[[#This Row],[Past Zero R]],Table13[[#This Row],[Is Zero]])</f>
        <v>0</v>
      </c>
    </row>
    <row r="4124" spans="1:11" ht="16" x14ac:dyDescent="0.2">
      <c r="A4124" s="1" t="s">
        <v>829</v>
      </c>
      <c r="B4124" t="str">
        <f>LEFT(Table13[[#This Row],[Input]],1)</f>
        <v>L</v>
      </c>
      <c r="C4124">
        <f>_xlfn.LET(_xlpm.steps,SUBSTITUTE(Table13[[#This Row],[Input]],Table13[[#This Row],[Direction]],""),VALUE(IF(LEN(_xlpm.steps)&gt;2,RIGHT(_xlpm.steps,2),_xlpm.steps)))</f>
        <v>58</v>
      </c>
      <c r="D4124">
        <f>_xlfn.LET(_xlpm.steps,SUBSTITUTE(Table13[[#This Row],[Input]],Table13[[#This Row],[Direction]],""),VALUE(IF(LEN(_xlpm.steps)&gt;2,LEFT(_xlpm.steps,LEN(_xlpm.steps)-2),0)))</f>
        <v>9</v>
      </c>
      <c r="E4124">
        <f>_xlfn.LET(_xlpm.dir,Table13[[#This Row],[Direction]],
IF(_xlpm.dir="L",
    IF(G4123-Table13[[#This Row],[Steps]]&lt;0,100+(G4123-Table13[[#This Row],[Steps]]),G4123-Table13[[#This Row],[Steps]]),
))</f>
        <v>28</v>
      </c>
      <c r="F4124">
        <f>_xlfn.LET(_xlpm.dir,Table13[[#This Row],[Direction]],
IF(_xlpm.dir="R",
    IF(G4123+Table13[[#This Row],[Steps]]&gt;99,(G4123+Table13[[#This Row],[Steps]])-100,G4123+Table13[[#This Row],[Steps]]),
))</f>
        <v>0</v>
      </c>
      <c r="G4124">
        <f>IF(Table13[[#This Row],[New Pos L]]&lt;&gt;0,Table13[[#This Row],[New Pos L]],Table13[[#This Row],[New Pos R]])</f>
        <v>28</v>
      </c>
      <c r="H4124">
        <f>IF(AND(Table13[[#This Row],[Direction]]="L",Table13[[#This Row],[Steps]]&gt;G4123,G4123&lt;&gt;0),1,0)</f>
        <v>0</v>
      </c>
      <c r="I4124">
        <f>IF(AND(Table13[[#This Row],[Direction]]="R",(G4123+Table13[[#This Row],[Steps]])&gt;100),1,0)</f>
        <v>0</v>
      </c>
      <c r="J4124">
        <f>IF(Table13[[#This Row],[POS]]=0,1,0)</f>
        <v>0</v>
      </c>
      <c r="K4124">
        <f>SUM(Table13[[#This Row],[prefix]],Table13[[#This Row],[Past zero L]],Table13[[#This Row],[Past Zero R]],Table13[[#This Row],[Is Zero]])</f>
        <v>9</v>
      </c>
    </row>
    <row r="4125" spans="1:11" ht="16" x14ac:dyDescent="0.2">
      <c r="A4125" s="1" t="s">
        <v>840</v>
      </c>
      <c r="B4125" t="str">
        <f>LEFT(Table13[[#This Row],[Input]],1)</f>
        <v>R</v>
      </c>
      <c r="C4125">
        <f>_xlfn.LET(_xlpm.steps,SUBSTITUTE(Table13[[#This Row],[Input]],Table13[[#This Row],[Direction]],""),VALUE(IF(LEN(_xlpm.steps)&gt;2,RIGHT(_xlpm.steps,2),_xlpm.steps)))</f>
        <v>54</v>
      </c>
      <c r="D4125">
        <f>_xlfn.LET(_xlpm.steps,SUBSTITUTE(Table13[[#This Row],[Input]],Table13[[#This Row],[Direction]],""),VALUE(IF(LEN(_xlpm.steps)&gt;2,LEFT(_xlpm.steps,LEN(_xlpm.steps)-2),0)))</f>
        <v>9</v>
      </c>
      <c r="E4125">
        <f>_xlfn.LET(_xlpm.dir,Table13[[#This Row],[Direction]],
IF(_xlpm.dir="L",
    IF(G4124-Table13[[#This Row],[Steps]]&lt;0,100+(G4124-Table13[[#This Row],[Steps]]),G4124-Table13[[#This Row],[Steps]]),
))</f>
        <v>0</v>
      </c>
      <c r="F4125">
        <f>_xlfn.LET(_xlpm.dir,Table13[[#This Row],[Direction]],
IF(_xlpm.dir="R",
    IF(G4124+Table13[[#This Row],[Steps]]&gt;99,(G4124+Table13[[#This Row],[Steps]])-100,G4124+Table13[[#This Row],[Steps]]),
))</f>
        <v>82</v>
      </c>
      <c r="G4125">
        <f>IF(Table13[[#This Row],[New Pos L]]&lt;&gt;0,Table13[[#This Row],[New Pos L]],Table13[[#This Row],[New Pos R]])</f>
        <v>82</v>
      </c>
      <c r="H4125">
        <f>IF(AND(Table13[[#This Row],[Direction]]="L",Table13[[#This Row],[Steps]]&gt;G4124,G4124&lt;&gt;0),1,0)</f>
        <v>0</v>
      </c>
      <c r="I4125">
        <f>IF(AND(Table13[[#This Row],[Direction]]="R",(G4124+Table13[[#This Row],[Steps]])&gt;100),1,0)</f>
        <v>0</v>
      </c>
      <c r="J4125">
        <f>IF(Table13[[#This Row],[POS]]=0,1,0)</f>
        <v>0</v>
      </c>
      <c r="K4125">
        <f>SUM(Table13[[#This Row],[prefix]],Table13[[#This Row],[Past zero L]],Table13[[#This Row],[Past Zero R]],Table13[[#This Row],[Is Zero]])</f>
        <v>9</v>
      </c>
    </row>
    <row r="4126" spans="1:11" ht="16" x14ac:dyDescent="0.2">
      <c r="A4126" s="1" t="s">
        <v>187</v>
      </c>
      <c r="B4126" t="str">
        <f>LEFT(Table13[[#This Row],[Input]],1)</f>
        <v>R</v>
      </c>
      <c r="C4126">
        <f>_xlfn.LET(_xlpm.steps,SUBSTITUTE(Table13[[#This Row],[Input]],Table13[[#This Row],[Direction]],""),VALUE(IF(LEN(_xlpm.steps)&gt;2,RIGHT(_xlpm.steps,2),_xlpm.steps)))</f>
        <v>20</v>
      </c>
      <c r="D4126">
        <f>_xlfn.LET(_xlpm.steps,SUBSTITUTE(Table13[[#This Row],[Input]],Table13[[#This Row],[Direction]],""),VALUE(IF(LEN(_xlpm.steps)&gt;2,LEFT(_xlpm.steps,LEN(_xlpm.steps)-2),0)))</f>
        <v>0</v>
      </c>
      <c r="E4126">
        <f>_xlfn.LET(_xlpm.dir,Table13[[#This Row],[Direction]],
IF(_xlpm.dir="L",
    IF(G4125-Table13[[#This Row],[Steps]]&lt;0,100+(G4125-Table13[[#This Row],[Steps]]),G4125-Table13[[#This Row],[Steps]]),
))</f>
        <v>0</v>
      </c>
      <c r="F4126">
        <f>_xlfn.LET(_xlpm.dir,Table13[[#This Row],[Direction]],
IF(_xlpm.dir="R",
    IF(G4125+Table13[[#This Row],[Steps]]&gt;99,(G4125+Table13[[#This Row],[Steps]])-100,G4125+Table13[[#This Row],[Steps]]),
))</f>
        <v>2</v>
      </c>
      <c r="G4126">
        <f>IF(Table13[[#This Row],[New Pos L]]&lt;&gt;0,Table13[[#This Row],[New Pos L]],Table13[[#This Row],[New Pos R]])</f>
        <v>2</v>
      </c>
      <c r="H4126">
        <f>IF(AND(Table13[[#This Row],[Direction]]="L",Table13[[#This Row],[Steps]]&gt;G4125,G4125&lt;&gt;0),1,0)</f>
        <v>0</v>
      </c>
      <c r="I4126">
        <f>IF(AND(Table13[[#This Row],[Direction]]="R",(G4125+Table13[[#This Row],[Steps]])&gt;100),1,0)</f>
        <v>1</v>
      </c>
      <c r="J4126">
        <f>IF(Table13[[#This Row],[POS]]=0,1,0)</f>
        <v>0</v>
      </c>
      <c r="K4126">
        <f>SUM(Table13[[#This Row],[prefix]],Table13[[#This Row],[Past zero L]],Table13[[#This Row],[Past Zero R]],Table13[[#This Row],[Is Zero]])</f>
        <v>1</v>
      </c>
    </row>
    <row r="4127" spans="1:11" ht="16" x14ac:dyDescent="0.2">
      <c r="A4127" s="1" t="s">
        <v>35</v>
      </c>
      <c r="B4127" t="str">
        <f>LEFT(Table13[[#This Row],[Input]],1)</f>
        <v>L</v>
      </c>
      <c r="C4127">
        <f>_xlfn.LET(_xlpm.steps,SUBSTITUTE(Table13[[#This Row],[Input]],Table13[[#This Row],[Direction]],""),VALUE(IF(LEN(_xlpm.steps)&gt;2,RIGHT(_xlpm.steps,2),_xlpm.steps)))</f>
        <v>2</v>
      </c>
      <c r="D4127">
        <f>_xlfn.LET(_xlpm.steps,SUBSTITUTE(Table13[[#This Row],[Input]],Table13[[#This Row],[Direction]],""),VALUE(IF(LEN(_xlpm.steps)&gt;2,LEFT(_xlpm.steps,LEN(_xlpm.steps)-2),0)))</f>
        <v>0</v>
      </c>
      <c r="E4127">
        <f>_xlfn.LET(_xlpm.dir,Table13[[#This Row],[Direction]],
IF(_xlpm.dir="L",
    IF(G4126-Table13[[#This Row],[Steps]]&lt;0,100+(G4126-Table13[[#This Row],[Steps]]),G4126-Table13[[#This Row],[Steps]]),
))</f>
        <v>0</v>
      </c>
      <c r="F4127">
        <f>_xlfn.LET(_xlpm.dir,Table13[[#This Row],[Direction]],
IF(_xlpm.dir="R",
    IF(G4126+Table13[[#This Row],[Steps]]&gt;99,(G4126+Table13[[#This Row],[Steps]])-100,G4126+Table13[[#This Row],[Steps]]),
))</f>
        <v>0</v>
      </c>
      <c r="G4127">
        <f>IF(Table13[[#This Row],[New Pos L]]&lt;&gt;0,Table13[[#This Row],[New Pos L]],Table13[[#This Row],[New Pos R]])</f>
        <v>0</v>
      </c>
      <c r="H4127">
        <f>IF(AND(Table13[[#This Row],[Direction]]="L",Table13[[#This Row],[Steps]]&gt;G4126,G4126&lt;&gt;0),1,0)</f>
        <v>0</v>
      </c>
      <c r="I4127">
        <f>IF(AND(Table13[[#This Row],[Direction]]="R",(G4126+Table13[[#This Row],[Steps]])&gt;100),1,0)</f>
        <v>0</v>
      </c>
      <c r="J4127">
        <f>IF(Table13[[#This Row],[POS]]=0,1,0)</f>
        <v>1</v>
      </c>
      <c r="K4127">
        <f>SUM(Table13[[#This Row],[prefix]],Table13[[#This Row],[Past zero L]],Table13[[#This Row],[Past Zero R]],Table13[[#This Row],[Is Zero]])</f>
        <v>1</v>
      </c>
    </row>
    <row r="4128" spans="1:11" ht="16" x14ac:dyDescent="0.2">
      <c r="A4128" s="1" t="s">
        <v>241</v>
      </c>
      <c r="B4128" t="str">
        <f>LEFT(Table13[[#This Row],[Input]],1)</f>
        <v>R</v>
      </c>
      <c r="C4128">
        <f>_xlfn.LET(_xlpm.steps,SUBSTITUTE(Table13[[#This Row],[Input]],Table13[[#This Row],[Direction]],""),VALUE(IF(LEN(_xlpm.steps)&gt;2,RIGHT(_xlpm.steps,2),_xlpm.steps)))</f>
        <v>60</v>
      </c>
      <c r="D4128">
        <f>_xlfn.LET(_xlpm.steps,SUBSTITUTE(Table13[[#This Row],[Input]],Table13[[#This Row],[Direction]],""),VALUE(IF(LEN(_xlpm.steps)&gt;2,LEFT(_xlpm.steps,LEN(_xlpm.steps)-2),0)))</f>
        <v>0</v>
      </c>
      <c r="E4128">
        <f>_xlfn.LET(_xlpm.dir,Table13[[#This Row],[Direction]],
IF(_xlpm.dir="L",
    IF(G4127-Table13[[#This Row],[Steps]]&lt;0,100+(G4127-Table13[[#This Row],[Steps]]),G4127-Table13[[#This Row],[Steps]]),
))</f>
        <v>0</v>
      </c>
      <c r="F4128">
        <f>_xlfn.LET(_xlpm.dir,Table13[[#This Row],[Direction]],
IF(_xlpm.dir="R",
    IF(G4127+Table13[[#This Row],[Steps]]&gt;99,(G4127+Table13[[#This Row],[Steps]])-100,G4127+Table13[[#This Row],[Steps]]),
))</f>
        <v>60</v>
      </c>
      <c r="G4128">
        <f>IF(Table13[[#This Row],[New Pos L]]&lt;&gt;0,Table13[[#This Row],[New Pos L]],Table13[[#This Row],[New Pos R]])</f>
        <v>60</v>
      </c>
      <c r="H4128">
        <f>IF(AND(Table13[[#This Row],[Direction]]="L",Table13[[#This Row],[Steps]]&gt;G4127,G4127&lt;&gt;0),1,0)</f>
        <v>0</v>
      </c>
      <c r="I4128">
        <f>IF(AND(Table13[[#This Row],[Direction]]="R",(G4127+Table13[[#This Row],[Steps]])&gt;100),1,0)</f>
        <v>0</v>
      </c>
      <c r="J4128">
        <f>IF(Table13[[#This Row],[POS]]=0,1,0)</f>
        <v>0</v>
      </c>
      <c r="K4128">
        <f>SUM(Table13[[#This Row],[prefix]],Table13[[#This Row],[Past zero L]],Table13[[#This Row],[Past Zero R]],Table13[[#This Row],[Is Zero]])</f>
        <v>0</v>
      </c>
    </row>
    <row r="4129" spans="1:11" ht="16" x14ac:dyDescent="0.2">
      <c r="A4129" s="1" t="s">
        <v>244</v>
      </c>
      <c r="B4129" t="str">
        <f>LEFT(Table13[[#This Row],[Input]],1)</f>
        <v>L</v>
      </c>
      <c r="C4129">
        <f>_xlfn.LET(_xlpm.steps,SUBSTITUTE(Table13[[#This Row],[Input]],Table13[[#This Row],[Direction]],""),VALUE(IF(LEN(_xlpm.steps)&gt;2,RIGHT(_xlpm.steps,2),_xlpm.steps)))</f>
        <v>98</v>
      </c>
      <c r="D4129">
        <f>_xlfn.LET(_xlpm.steps,SUBSTITUTE(Table13[[#This Row],[Input]],Table13[[#This Row],[Direction]],""),VALUE(IF(LEN(_xlpm.steps)&gt;2,LEFT(_xlpm.steps,LEN(_xlpm.steps)-2),0)))</f>
        <v>0</v>
      </c>
      <c r="E4129">
        <f>_xlfn.LET(_xlpm.dir,Table13[[#This Row],[Direction]],
IF(_xlpm.dir="L",
    IF(G4128-Table13[[#This Row],[Steps]]&lt;0,100+(G4128-Table13[[#This Row],[Steps]]),G4128-Table13[[#This Row],[Steps]]),
))</f>
        <v>62</v>
      </c>
      <c r="F4129">
        <f>_xlfn.LET(_xlpm.dir,Table13[[#This Row],[Direction]],
IF(_xlpm.dir="R",
    IF(G4128+Table13[[#This Row],[Steps]]&gt;99,(G4128+Table13[[#This Row],[Steps]])-100,G4128+Table13[[#This Row],[Steps]]),
))</f>
        <v>0</v>
      </c>
      <c r="G4129">
        <f>IF(Table13[[#This Row],[New Pos L]]&lt;&gt;0,Table13[[#This Row],[New Pos L]],Table13[[#This Row],[New Pos R]])</f>
        <v>62</v>
      </c>
      <c r="H4129">
        <f>IF(AND(Table13[[#This Row],[Direction]]="L",Table13[[#This Row],[Steps]]&gt;G4128,G4128&lt;&gt;0),1,0)</f>
        <v>1</v>
      </c>
      <c r="I4129">
        <f>IF(AND(Table13[[#This Row],[Direction]]="R",(G4128+Table13[[#This Row],[Steps]])&gt;100),1,0)</f>
        <v>0</v>
      </c>
      <c r="J4129">
        <f>IF(Table13[[#This Row],[POS]]=0,1,0)</f>
        <v>0</v>
      </c>
      <c r="K4129">
        <f>SUM(Table13[[#This Row],[prefix]],Table13[[#This Row],[Past zero L]],Table13[[#This Row],[Past Zero R]],Table13[[#This Row],[Is Zero]])</f>
        <v>1</v>
      </c>
    </row>
    <row r="4130" spans="1:11" ht="16" x14ac:dyDescent="0.2">
      <c r="A4130" s="1" t="s">
        <v>127</v>
      </c>
      <c r="B4130" t="str">
        <f>LEFT(Table13[[#This Row],[Input]],1)</f>
        <v>L</v>
      </c>
      <c r="C4130">
        <f>_xlfn.LET(_xlpm.steps,SUBSTITUTE(Table13[[#This Row],[Input]],Table13[[#This Row],[Direction]],""),VALUE(IF(LEN(_xlpm.steps)&gt;2,RIGHT(_xlpm.steps,2),_xlpm.steps)))</f>
        <v>62</v>
      </c>
      <c r="D4130">
        <f>_xlfn.LET(_xlpm.steps,SUBSTITUTE(Table13[[#This Row],[Input]],Table13[[#This Row],[Direction]],""),VALUE(IF(LEN(_xlpm.steps)&gt;2,LEFT(_xlpm.steps,LEN(_xlpm.steps)-2),0)))</f>
        <v>0</v>
      </c>
      <c r="E4130">
        <f>_xlfn.LET(_xlpm.dir,Table13[[#This Row],[Direction]],
IF(_xlpm.dir="L",
    IF(G4129-Table13[[#This Row],[Steps]]&lt;0,100+(G4129-Table13[[#This Row],[Steps]]),G4129-Table13[[#This Row],[Steps]]),
))</f>
        <v>0</v>
      </c>
      <c r="F4130">
        <f>_xlfn.LET(_xlpm.dir,Table13[[#This Row],[Direction]],
IF(_xlpm.dir="R",
    IF(G4129+Table13[[#This Row],[Steps]]&gt;99,(G4129+Table13[[#This Row],[Steps]])-100,G4129+Table13[[#This Row],[Steps]]),
))</f>
        <v>0</v>
      </c>
      <c r="G4130">
        <f>IF(Table13[[#This Row],[New Pos L]]&lt;&gt;0,Table13[[#This Row],[New Pos L]],Table13[[#This Row],[New Pos R]])</f>
        <v>0</v>
      </c>
      <c r="H4130">
        <f>IF(AND(Table13[[#This Row],[Direction]]="L",Table13[[#This Row],[Steps]]&gt;G4129,G4129&lt;&gt;0),1,0)</f>
        <v>0</v>
      </c>
      <c r="I4130">
        <f>IF(AND(Table13[[#This Row],[Direction]]="R",(G4129+Table13[[#This Row],[Steps]])&gt;100),1,0)</f>
        <v>0</v>
      </c>
      <c r="J4130">
        <f>IF(Table13[[#This Row],[POS]]=0,1,0)</f>
        <v>1</v>
      </c>
      <c r="K4130">
        <f>SUM(Table13[[#This Row],[prefix]],Table13[[#This Row],[Past zero L]],Table13[[#This Row],[Past Zero R]],Table13[[#This Row],[Is Zero]])</f>
        <v>1</v>
      </c>
    </row>
    <row r="4131" spans="1:11" ht="16" x14ac:dyDescent="0.2">
      <c r="A4131" s="1" t="s">
        <v>21</v>
      </c>
      <c r="B4131" t="str">
        <f>LEFT(Table13[[#This Row],[Input]],1)</f>
        <v>L</v>
      </c>
      <c r="C4131">
        <f>_xlfn.LET(_xlpm.steps,SUBSTITUTE(Table13[[#This Row],[Input]],Table13[[#This Row],[Direction]],""),VALUE(IF(LEN(_xlpm.steps)&gt;2,RIGHT(_xlpm.steps,2),_xlpm.steps)))</f>
        <v>36</v>
      </c>
      <c r="D4131">
        <f>_xlfn.LET(_xlpm.steps,SUBSTITUTE(Table13[[#This Row],[Input]],Table13[[#This Row],[Direction]],""),VALUE(IF(LEN(_xlpm.steps)&gt;2,LEFT(_xlpm.steps,LEN(_xlpm.steps)-2),0)))</f>
        <v>0</v>
      </c>
      <c r="E4131">
        <f>_xlfn.LET(_xlpm.dir,Table13[[#This Row],[Direction]],
IF(_xlpm.dir="L",
    IF(G4130-Table13[[#This Row],[Steps]]&lt;0,100+(G4130-Table13[[#This Row],[Steps]]),G4130-Table13[[#This Row],[Steps]]),
))</f>
        <v>64</v>
      </c>
      <c r="F4131">
        <f>_xlfn.LET(_xlpm.dir,Table13[[#This Row],[Direction]],
IF(_xlpm.dir="R",
    IF(G4130+Table13[[#This Row],[Steps]]&gt;99,(G4130+Table13[[#This Row],[Steps]])-100,G4130+Table13[[#This Row],[Steps]]),
))</f>
        <v>0</v>
      </c>
      <c r="G4131">
        <f>IF(Table13[[#This Row],[New Pos L]]&lt;&gt;0,Table13[[#This Row],[New Pos L]],Table13[[#This Row],[New Pos R]])</f>
        <v>64</v>
      </c>
      <c r="H4131">
        <f>IF(AND(Table13[[#This Row],[Direction]]="L",Table13[[#This Row],[Steps]]&gt;G4130,G4130&lt;&gt;0),1,0)</f>
        <v>0</v>
      </c>
      <c r="I4131">
        <f>IF(AND(Table13[[#This Row],[Direction]]="R",(G4130+Table13[[#This Row],[Steps]])&gt;100),1,0)</f>
        <v>0</v>
      </c>
      <c r="J4131">
        <f>IF(Table13[[#This Row],[POS]]=0,1,0)</f>
        <v>0</v>
      </c>
      <c r="K4131">
        <f>SUM(Table13[[#This Row],[prefix]],Table13[[#This Row],[Past zero L]],Table13[[#This Row],[Past Zero R]],Table13[[#This Row],[Is Zero]])</f>
        <v>0</v>
      </c>
    </row>
    <row r="4132" spans="1:11" ht="16" x14ac:dyDescent="0.2">
      <c r="A4132" s="1" t="s">
        <v>76</v>
      </c>
      <c r="B4132" t="str">
        <f>LEFT(Table13[[#This Row],[Input]],1)</f>
        <v>R</v>
      </c>
      <c r="C4132">
        <f>_xlfn.LET(_xlpm.steps,SUBSTITUTE(Table13[[#This Row],[Input]],Table13[[#This Row],[Direction]],""),VALUE(IF(LEN(_xlpm.steps)&gt;2,RIGHT(_xlpm.steps,2),_xlpm.steps)))</f>
        <v>37</v>
      </c>
      <c r="D4132">
        <f>_xlfn.LET(_xlpm.steps,SUBSTITUTE(Table13[[#This Row],[Input]],Table13[[#This Row],[Direction]],""),VALUE(IF(LEN(_xlpm.steps)&gt;2,LEFT(_xlpm.steps,LEN(_xlpm.steps)-2),0)))</f>
        <v>0</v>
      </c>
      <c r="E4132">
        <f>_xlfn.LET(_xlpm.dir,Table13[[#This Row],[Direction]],
IF(_xlpm.dir="L",
    IF(G4131-Table13[[#This Row],[Steps]]&lt;0,100+(G4131-Table13[[#This Row],[Steps]]),G4131-Table13[[#This Row],[Steps]]),
))</f>
        <v>0</v>
      </c>
      <c r="F4132">
        <f>_xlfn.LET(_xlpm.dir,Table13[[#This Row],[Direction]],
IF(_xlpm.dir="R",
    IF(G4131+Table13[[#This Row],[Steps]]&gt;99,(G4131+Table13[[#This Row],[Steps]])-100,G4131+Table13[[#This Row],[Steps]]),
))</f>
        <v>1</v>
      </c>
      <c r="G4132">
        <f>IF(Table13[[#This Row],[New Pos L]]&lt;&gt;0,Table13[[#This Row],[New Pos L]],Table13[[#This Row],[New Pos R]])</f>
        <v>1</v>
      </c>
      <c r="H4132">
        <f>IF(AND(Table13[[#This Row],[Direction]]="L",Table13[[#This Row],[Steps]]&gt;G4131,G4131&lt;&gt;0),1,0)</f>
        <v>0</v>
      </c>
      <c r="I4132">
        <f>IF(AND(Table13[[#This Row],[Direction]]="R",(G4131+Table13[[#This Row],[Steps]])&gt;100),1,0)</f>
        <v>1</v>
      </c>
      <c r="J4132">
        <f>IF(Table13[[#This Row],[POS]]=0,1,0)</f>
        <v>0</v>
      </c>
      <c r="K4132">
        <f>SUM(Table13[[#This Row],[prefix]],Table13[[#This Row],[Past zero L]],Table13[[#This Row],[Past Zero R]],Table13[[#This Row],[Is Zero]])</f>
        <v>1</v>
      </c>
    </row>
    <row r="4133" spans="1:11" ht="16" x14ac:dyDescent="0.2">
      <c r="A4133" s="1" t="s">
        <v>210</v>
      </c>
      <c r="B4133" t="str">
        <f>LEFT(Table13[[#This Row],[Input]],1)</f>
        <v>R</v>
      </c>
      <c r="C4133">
        <f>_xlfn.LET(_xlpm.steps,SUBSTITUTE(Table13[[#This Row],[Input]],Table13[[#This Row],[Direction]],""),VALUE(IF(LEN(_xlpm.steps)&gt;2,RIGHT(_xlpm.steps,2),_xlpm.steps)))</f>
        <v>89</v>
      </c>
      <c r="D4133">
        <f>_xlfn.LET(_xlpm.steps,SUBSTITUTE(Table13[[#This Row],[Input]],Table13[[#This Row],[Direction]],""),VALUE(IF(LEN(_xlpm.steps)&gt;2,LEFT(_xlpm.steps,LEN(_xlpm.steps)-2),0)))</f>
        <v>0</v>
      </c>
      <c r="E4133">
        <f>_xlfn.LET(_xlpm.dir,Table13[[#This Row],[Direction]],
IF(_xlpm.dir="L",
    IF(G4132-Table13[[#This Row],[Steps]]&lt;0,100+(G4132-Table13[[#This Row],[Steps]]),G4132-Table13[[#This Row],[Steps]]),
))</f>
        <v>0</v>
      </c>
      <c r="F4133">
        <f>_xlfn.LET(_xlpm.dir,Table13[[#This Row],[Direction]],
IF(_xlpm.dir="R",
    IF(G4132+Table13[[#This Row],[Steps]]&gt;99,(G4132+Table13[[#This Row],[Steps]])-100,G4132+Table13[[#This Row],[Steps]]),
))</f>
        <v>90</v>
      </c>
      <c r="G4133">
        <f>IF(Table13[[#This Row],[New Pos L]]&lt;&gt;0,Table13[[#This Row],[New Pos L]],Table13[[#This Row],[New Pos R]])</f>
        <v>90</v>
      </c>
      <c r="H4133">
        <f>IF(AND(Table13[[#This Row],[Direction]]="L",Table13[[#This Row],[Steps]]&gt;G4132,G4132&lt;&gt;0),1,0)</f>
        <v>0</v>
      </c>
      <c r="I4133">
        <f>IF(AND(Table13[[#This Row],[Direction]]="R",(G4132+Table13[[#This Row],[Steps]])&gt;100),1,0)</f>
        <v>0</v>
      </c>
      <c r="J4133">
        <f>IF(Table13[[#This Row],[POS]]=0,1,0)</f>
        <v>0</v>
      </c>
      <c r="K4133">
        <f>SUM(Table13[[#This Row],[prefix]],Table13[[#This Row],[Past zero L]],Table13[[#This Row],[Past Zero R]],Table13[[#This Row],[Is Zero]])</f>
        <v>0</v>
      </c>
    </row>
    <row r="4134" spans="1:11" ht="16" x14ac:dyDescent="0.2">
      <c r="A4134" s="1" t="s">
        <v>5</v>
      </c>
      <c r="B4134" t="str">
        <f>LEFT(Table13[[#This Row],[Input]],1)</f>
        <v>R</v>
      </c>
      <c r="C4134">
        <f>_xlfn.LET(_xlpm.steps,SUBSTITUTE(Table13[[#This Row],[Input]],Table13[[#This Row],[Direction]],""),VALUE(IF(LEN(_xlpm.steps)&gt;2,RIGHT(_xlpm.steps,2),_xlpm.steps)))</f>
        <v>1</v>
      </c>
      <c r="D4134">
        <f>_xlfn.LET(_xlpm.steps,SUBSTITUTE(Table13[[#This Row],[Input]],Table13[[#This Row],[Direction]],""),VALUE(IF(LEN(_xlpm.steps)&gt;2,LEFT(_xlpm.steps,LEN(_xlpm.steps)-2),0)))</f>
        <v>0</v>
      </c>
      <c r="E4134">
        <f>_xlfn.LET(_xlpm.dir,Table13[[#This Row],[Direction]],
IF(_xlpm.dir="L",
    IF(G4133-Table13[[#This Row],[Steps]]&lt;0,100+(G4133-Table13[[#This Row],[Steps]]),G4133-Table13[[#This Row],[Steps]]),
))</f>
        <v>0</v>
      </c>
      <c r="F4134">
        <f>_xlfn.LET(_xlpm.dir,Table13[[#This Row],[Direction]],
IF(_xlpm.dir="R",
    IF(G4133+Table13[[#This Row],[Steps]]&gt;99,(G4133+Table13[[#This Row],[Steps]])-100,G4133+Table13[[#This Row],[Steps]]),
))</f>
        <v>91</v>
      </c>
      <c r="G4134">
        <f>IF(Table13[[#This Row],[New Pos L]]&lt;&gt;0,Table13[[#This Row],[New Pos L]],Table13[[#This Row],[New Pos R]])</f>
        <v>91</v>
      </c>
      <c r="H4134">
        <f>IF(AND(Table13[[#This Row],[Direction]]="L",Table13[[#This Row],[Steps]]&gt;G4133,G4133&lt;&gt;0),1,0)</f>
        <v>0</v>
      </c>
      <c r="I4134">
        <f>IF(AND(Table13[[#This Row],[Direction]]="R",(G4133+Table13[[#This Row],[Steps]])&gt;100),1,0)</f>
        <v>0</v>
      </c>
      <c r="J4134">
        <f>IF(Table13[[#This Row],[POS]]=0,1,0)</f>
        <v>0</v>
      </c>
      <c r="K4134">
        <f>SUM(Table13[[#This Row],[prefix]],Table13[[#This Row],[Past zero L]],Table13[[#This Row],[Past Zero R]],Table13[[#This Row],[Is Zero]])</f>
        <v>0</v>
      </c>
    </row>
    <row r="4135" spans="1:11" ht="16" x14ac:dyDescent="0.2">
      <c r="A4135" s="1" t="s">
        <v>141</v>
      </c>
      <c r="B4135" t="str">
        <f>LEFT(Table13[[#This Row],[Input]],1)</f>
        <v>L</v>
      </c>
      <c r="C4135">
        <f>_xlfn.LET(_xlpm.steps,SUBSTITUTE(Table13[[#This Row],[Input]],Table13[[#This Row],[Direction]],""),VALUE(IF(LEN(_xlpm.steps)&gt;2,RIGHT(_xlpm.steps,2),_xlpm.steps)))</f>
        <v>90</v>
      </c>
      <c r="D4135">
        <f>_xlfn.LET(_xlpm.steps,SUBSTITUTE(Table13[[#This Row],[Input]],Table13[[#This Row],[Direction]],""),VALUE(IF(LEN(_xlpm.steps)&gt;2,LEFT(_xlpm.steps,LEN(_xlpm.steps)-2),0)))</f>
        <v>0</v>
      </c>
      <c r="E4135">
        <f>_xlfn.LET(_xlpm.dir,Table13[[#This Row],[Direction]],
IF(_xlpm.dir="L",
    IF(G4134-Table13[[#This Row],[Steps]]&lt;0,100+(G4134-Table13[[#This Row],[Steps]]),G4134-Table13[[#This Row],[Steps]]),
))</f>
        <v>1</v>
      </c>
      <c r="F4135">
        <f>_xlfn.LET(_xlpm.dir,Table13[[#This Row],[Direction]],
IF(_xlpm.dir="R",
    IF(G4134+Table13[[#This Row],[Steps]]&gt;99,(G4134+Table13[[#This Row],[Steps]])-100,G4134+Table13[[#This Row],[Steps]]),
))</f>
        <v>0</v>
      </c>
      <c r="G4135">
        <f>IF(Table13[[#This Row],[New Pos L]]&lt;&gt;0,Table13[[#This Row],[New Pos L]],Table13[[#This Row],[New Pos R]])</f>
        <v>1</v>
      </c>
      <c r="H4135">
        <f>IF(AND(Table13[[#This Row],[Direction]]="L",Table13[[#This Row],[Steps]]&gt;G4134,G4134&lt;&gt;0),1,0)</f>
        <v>0</v>
      </c>
      <c r="I4135">
        <f>IF(AND(Table13[[#This Row],[Direction]]="R",(G4134+Table13[[#This Row],[Steps]])&gt;100),1,0)</f>
        <v>0</v>
      </c>
      <c r="J4135">
        <f>IF(Table13[[#This Row],[POS]]=0,1,0)</f>
        <v>0</v>
      </c>
      <c r="K4135">
        <f>SUM(Table13[[#This Row],[prefix]],Table13[[#This Row],[Past zero L]],Table13[[#This Row],[Past Zero R]],Table13[[#This Row],[Is Zero]])</f>
        <v>0</v>
      </c>
    </row>
    <row r="4136" spans="1:11" ht="16" x14ac:dyDescent="0.2">
      <c r="A4136" s="1" t="s">
        <v>131</v>
      </c>
      <c r="B4136" t="str">
        <f>LEFT(Table13[[#This Row],[Input]],1)</f>
        <v>R</v>
      </c>
      <c r="C4136">
        <f>_xlfn.LET(_xlpm.steps,SUBSTITUTE(Table13[[#This Row],[Input]],Table13[[#This Row],[Direction]],""),VALUE(IF(LEN(_xlpm.steps)&gt;2,RIGHT(_xlpm.steps,2),_xlpm.steps)))</f>
        <v>99</v>
      </c>
      <c r="D4136">
        <f>_xlfn.LET(_xlpm.steps,SUBSTITUTE(Table13[[#This Row],[Input]],Table13[[#This Row],[Direction]],""),VALUE(IF(LEN(_xlpm.steps)&gt;2,LEFT(_xlpm.steps,LEN(_xlpm.steps)-2),0)))</f>
        <v>0</v>
      </c>
      <c r="E4136">
        <f>_xlfn.LET(_xlpm.dir,Table13[[#This Row],[Direction]],
IF(_xlpm.dir="L",
    IF(G4135-Table13[[#This Row],[Steps]]&lt;0,100+(G4135-Table13[[#This Row],[Steps]]),G4135-Table13[[#This Row],[Steps]]),
))</f>
        <v>0</v>
      </c>
      <c r="F4136">
        <f>_xlfn.LET(_xlpm.dir,Table13[[#This Row],[Direction]],
IF(_xlpm.dir="R",
    IF(G4135+Table13[[#This Row],[Steps]]&gt;99,(G4135+Table13[[#This Row],[Steps]])-100,G4135+Table13[[#This Row],[Steps]]),
))</f>
        <v>0</v>
      </c>
      <c r="G4136">
        <f>IF(Table13[[#This Row],[New Pos L]]&lt;&gt;0,Table13[[#This Row],[New Pos L]],Table13[[#This Row],[New Pos R]])</f>
        <v>0</v>
      </c>
      <c r="H4136">
        <f>IF(AND(Table13[[#This Row],[Direction]]="L",Table13[[#This Row],[Steps]]&gt;G4135,G4135&lt;&gt;0),1,0)</f>
        <v>0</v>
      </c>
      <c r="I4136">
        <f>IF(AND(Table13[[#This Row],[Direction]]="R",(G4135+Table13[[#This Row],[Steps]])&gt;100),1,0)</f>
        <v>0</v>
      </c>
      <c r="J4136">
        <f>IF(Table13[[#This Row],[POS]]=0,1,0)</f>
        <v>1</v>
      </c>
      <c r="K4136">
        <f>SUM(Table13[[#This Row],[prefix]],Table13[[#This Row],[Past zero L]],Table13[[#This Row],[Past Zero R]],Table13[[#This Row],[Is Zero]])</f>
        <v>1</v>
      </c>
    </row>
    <row r="4137" spans="1:11" ht="16" x14ac:dyDescent="0.2">
      <c r="A4137" s="1" t="s">
        <v>278</v>
      </c>
      <c r="B4137" t="str">
        <f>LEFT(Table13[[#This Row],[Input]],1)</f>
        <v>L</v>
      </c>
      <c r="C4137">
        <f>_xlfn.LET(_xlpm.steps,SUBSTITUTE(Table13[[#This Row],[Input]],Table13[[#This Row],[Direction]],""),VALUE(IF(LEN(_xlpm.steps)&gt;2,RIGHT(_xlpm.steps,2),_xlpm.steps)))</f>
        <v>40</v>
      </c>
      <c r="D4137">
        <f>_xlfn.LET(_xlpm.steps,SUBSTITUTE(Table13[[#This Row],[Input]],Table13[[#This Row],[Direction]],""),VALUE(IF(LEN(_xlpm.steps)&gt;2,LEFT(_xlpm.steps,LEN(_xlpm.steps)-2),0)))</f>
        <v>0</v>
      </c>
      <c r="E4137">
        <f>_xlfn.LET(_xlpm.dir,Table13[[#This Row],[Direction]],
IF(_xlpm.dir="L",
    IF(G4136-Table13[[#This Row],[Steps]]&lt;0,100+(G4136-Table13[[#This Row],[Steps]]),G4136-Table13[[#This Row],[Steps]]),
))</f>
        <v>60</v>
      </c>
      <c r="F4137">
        <f>_xlfn.LET(_xlpm.dir,Table13[[#This Row],[Direction]],
IF(_xlpm.dir="R",
    IF(G4136+Table13[[#This Row],[Steps]]&gt;99,(G4136+Table13[[#This Row],[Steps]])-100,G4136+Table13[[#This Row],[Steps]]),
))</f>
        <v>0</v>
      </c>
      <c r="G4137">
        <f>IF(Table13[[#This Row],[New Pos L]]&lt;&gt;0,Table13[[#This Row],[New Pos L]],Table13[[#This Row],[New Pos R]])</f>
        <v>60</v>
      </c>
      <c r="H4137">
        <f>IF(AND(Table13[[#This Row],[Direction]]="L",Table13[[#This Row],[Steps]]&gt;G4136,G4136&lt;&gt;0),1,0)</f>
        <v>0</v>
      </c>
      <c r="I4137">
        <f>IF(AND(Table13[[#This Row],[Direction]]="R",(G4136+Table13[[#This Row],[Steps]])&gt;100),1,0)</f>
        <v>0</v>
      </c>
      <c r="J4137">
        <f>IF(Table13[[#This Row],[POS]]=0,1,0)</f>
        <v>0</v>
      </c>
      <c r="K4137">
        <f>SUM(Table13[[#This Row],[prefix]],Table13[[#This Row],[Past zero L]],Table13[[#This Row],[Past Zero R]],Table13[[#This Row],[Is Zero]])</f>
        <v>0</v>
      </c>
    </row>
    <row r="4138" spans="1:11" ht="16" x14ac:dyDescent="0.2">
      <c r="A4138" s="1" t="s">
        <v>157</v>
      </c>
      <c r="B4138" t="str">
        <f>LEFT(Table13[[#This Row],[Input]],1)</f>
        <v>R</v>
      </c>
      <c r="C4138">
        <f>_xlfn.LET(_xlpm.steps,SUBSTITUTE(Table13[[#This Row],[Input]],Table13[[#This Row],[Direction]],""),VALUE(IF(LEN(_xlpm.steps)&gt;2,RIGHT(_xlpm.steps,2),_xlpm.steps)))</f>
        <v>68</v>
      </c>
      <c r="D4138">
        <f>_xlfn.LET(_xlpm.steps,SUBSTITUTE(Table13[[#This Row],[Input]],Table13[[#This Row],[Direction]],""),VALUE(IF(LEN(_xlpm.steps)&gt;2,LEFT(_xlpm.steps,LEN(_xlpm.steps)-2),0)))</f>
        <v>0</v>
      </c>
      <c r="E4138">
        <f>_xlfn.LET(_xlpm.dir,Table13[[#This Row],[Direction]],
IF(_xlpm.dir="L",
    IF(G4137-Table13[[#This Row],[Steps]]&lt;0,100+(G4137-Table13[[#This Row],[Steps]]),G4137-Table13[[#This Row],[Steps]]),
))</f>
        <v>0</v>
      </c>
      <c r="F4138">
        <f>_xlfn.LET(_xlpm.dir,Table13[[#This Row],[Direction]],
IF(_xlpm.dir="R",
    IF(G4137+Table13[[#This Row],[Steps]]&gt;99,(G4137+Table13[[#This Row],[Steps]])-100,G4137+Table13[[#This Row],[Steps]]),
))</f>
        <v>28</v>
      </c>
      <c r="G4138">
        <f>IF(Table13[[#This Row],[New Pos L]]&lt;&gt;0,Table13[[#This Row],[New Pos L]],Table13[[#This Row],[New Pos R]])</f>
        <v>28</v>
      </c>
      <c r="H4138">
        <f>IF(AND(Table13[[#This Row],[Direction]]="L",Table13[[#This Row],[Steps]]&gt;G4137,G4137&lt;&gt;0),1,0)</f>
        <v>0</v>
      </c>
      <c r="I4138">
        <f>IF(AND(Table13[[#This Row],[Direction]]="R",(G4137+Table13[[#This Row],[Steps]])&gt;100),1,0)</f>
        <v>1</v>
      </c>
      <c r="J4138">
        <f>IF(Table13[[#This Row],[POS]]=0,1,0)</f>
        <v>0</v>
      </c>
      <c r="K4138">
        <f>SUM(Table13[[#This Row],[prefix]],Table13[[#This Row],[Past zero L]],Table13[[#This Row],[Past Zero R]],Table13[[#This Row],[Is Zero]])</f>
        <v>1</v>
      </c>
    </row>
    <row r="4139" spans="1:11" ht="16" x14ac:dyDescent="0.2">
      <c r="A4139" s="1" t="s">
        <v>140</v>
      </c>
      <c r="B4139" t="str">
        <f>LEFT(Table13[[#This Row],[Input]],1)</f>
        <v>L</v>
      </c>
      <c r="C4139">
        <f>_xlfn.LET(_xlpm.steps,SUBSTITUTE(Table13[[#This Row],[Input]],Table13[[#This Row],[Direction]],""),VALUE(IF(LEN(_xlpm.steps)&gt;2,RIGHT(_xlpm.steps,2),_xlpm.steps)))</f>
        <v>61</v>
      </c>
      <c r="D4139">
        <f>_xlfn.LET(_xlpm.steps,SUBSTITUTE(Table13[[#This Row],[Input]],Table13[[#This Row],[Direction]],""),VALUE(IF(LEN(_xlpm.steps)&gt;2,LEFT(_xlpm.steps,LEN(_xlpm.steps)-2),0)))</f>
        <v>0</v>
      </c>
      <c r="E4139">
        <f>_xlfn.LET(_xlpm.dir,Table13[[#This Row],[Direction]],
IF(_xlpm.dir="L",
    IF(G4138-Table13[[#This Row],[Steps]]&lt;0,100+(G4138-Table13[[#This Row],[Steps]]),G4138-Table13[[#This Row],[Steps]]),
))</f>
        <v>67</v>
      </c>
      <c r="F4139">
        <f>_xlfn.LET(_xlpm.dir,Table13[[#This Row],[Direction]],
IF(_xlpm.dir="R",
    IF(G4138+Table13[[#This Row],[Steps]]&gt;99,(G4138+Table13[[#This Row],[Steps]])-100,G4138+Table13[[#This Row],[Steps]]),
))</f>
        <v>0</v>
      </c>
      <c r="G4139">
        <f>IF(Table13[[#This Row],[New Pos L]]&lt;&gt;0,Table13[[#This Row],[New Pos L]],Table13[[#This Row],[New Pos R]])</f>
        <v>67</v>
      </c>
      <c r="H4139">
        <f>IF(AND(Table13[[#This Row],[Direction]]="L",Table13[[#This Row],[Steps]]&gt;G4138,G4138&lt;&gt;0),1,0)</f>
        <v>1</v>
      </c>
      <c r="I4139">
        <f>IF(AND(Table13[[#This Row],[Direction]]="R",(G4138+Table13[[#This Row],[Steps]])&gt;100),1,0)</f>
        <v>0</v>
      </c>
      <c r="J4139">
        <f>IF(Table13[[#This Row],[POS]]=0,1,0)</f>
        <v>0</v>
      </c>
      <c r="K4139">
        <f>SUM(Table13[[#This Row],[prefix]],Table13[[#This Row],[Past zero L]],Table13[[#This Row],[Past Zero R]],Table13[[#This Row],[Is Zero]])</f>
        <v>1</v>
      </c>
    </row>
    <row r="4140" spans="1:11" ht="16" x14ac:dyDescent="0.2">
      <c r="A4140" s="1" t="s">
        <v>141</v>
      </c>
      <c r="B4140" t="str">
        <f>LEFT(Table13[[#This Row],[Input]],1)</f>
        <v>L</v>
      </c>
      <c r="C4140">
        <f>_xlfn.LET(_xlpm.steps,SUBSTITUTE(Table13[[#This Row],[Input]],Table13[[#This Row],[Direction]],""),VALUE(IF(LEN(_xlpm.steps)&gt;2,RIGHT(_xlpm.steps,2),_xlpm.steps)))</f>
        <v>90</v>
      </c>
      <c r="D4140">
        <f>_xlfn.LET(_xlpm.steps,SUBSTITUTE(Table13[[#This Row],[Input]],Table13[[#This Row],[Direction]],""),VALUE(IF(LEN(_xlpm.steps)&gt;2,LEFT(_xlpm.steps,LEN(_xlpm.steps)-2),0)))</f>
        <v>0</v>
      </c>
      <c r="E4140">
        <f>_xlfn.LET(_xlpm.dir,Table13[[#This Row],[Direction]],
IF(_xlpm.dir="L",
    IF(G4139-Table13[[#This Row],[Steps]]&lt;0,100+(G4139-Table13[[#This Row],[Steps]]),G4139-Table13[[#This Row],[Steps]]),
))</f>
        <v>77</v>
      </c>
      <c r="F4140">
        <f>_xlfn.LET(_xlpm.dir,Table13[[#This Row],[Direction]],
IF(_xlpm.dir="R",
    IF(G4139+Table13[[#This Row],[Steps]]&gt;99,(G4139+Table13[[#This Row],[Steps]])-100,G4139+Table13[[#This Row],[Steps]]),
))</f>
        <v>0</v>
      </c>
      <c r="G4140">
        <f>IF(Table13[[#This Row],[New Pos L]]&lt;&gt;0,Table13[[#This Row],[New Pos L]],Table13[[#This Row],[New Pos R]])</f>
        <v>77</v>
      </c>
      <c r="H4140">
        <f>IF(AND(Table13[[#This Row],[Direction]]="L",Table13[[#This Row],[Steps]]&gt;G4139,G4139&lt;&gt;0),1,0)</f>
        <v>1</v>
      </c>
      <c r="I4140">
        <f>IF(AND(Table13[[#This Row],[Direction]]="R",(G4139+Table13[[#This Row],[Steps]])&gt;100),1,0)</f>
        <v>0</v>
      </c>
      <c r="J4140">
        <f>IF(Table13[[#This Row],[POS]]=0,1,0)</f>
        <v>0</v>
      </c>
      <c r="K4140">
        <f>SUM(Table13[[#This Row],[prefix]],Table13[[#This Row],[Past zero L]],Table13[[#This Row],[Past Zero R]],Table13[[#This Row],[Is Zero]])</f>
        <v>1</v>
      </c>
    </row>
    <row r="4141" spans="1:11" ht="16" x14ac:dyDescent="0.2">
      <c r="A4141" s="1" t="s">
        <v>841</v>
      </c>
      <c r="B4141" t="str">
        <f>LEFT(Table13[[#This Row],[Input]],1)</f>
        <v>R</v>
      </c>
      <c r="C4141">
        <f>_xlfn.LET(_xlpm.steps,SUBSTITUTE(Table13[[#This Row],[Input]],Table13[[#This Row],[Direction]],""),VALUE(IF(LEN(_xlpm.steps)&gt;2,RIGHT(_xlpm.steps,2),_xlpm.steps)))</f>
        <v>8</v>
      </c>
      <c r="D4141">
        <f>_xlfn.LET(_xlpm.steps,SUBSTITUTE(Table13[[#This Row],[Input]],Table13[[#This Row],[Direction]],""),VALUE(IF(LEN(_xlpm.steps)&gt;2,LEFT(_xlpm.steps,LEN(_xlpm.steps)-2),0)))</f>
        <v>1</v>
      </c>
      <c r="E4141">
        <f>_xlfn.LET(_xlpm.dir,Table13[[#This Row],[Direction]],
IF(_xlpm.dir="L",
    IF(G4140-Table13[[#This Row],[Steps]]&lt;0,100+(G4140-Table13[[#This Row],[Steps]]),G4140-Table13[[#This Row],[Steps]]),
))</f>
        <v>0</v>
      </c>
      <c r="F4141">
        <f>_xlfn.LET(_xlpm.dir,Table13[[#This Row],[Direction]],
IF(_xlpm.dir="R",
    IF(G4140+Table13[[#This Row],[Steps]]&gt;99,(G4140+Table13[[#This Row],[Steps]])-100,G4140+Table13[[#This Row],[Steps]]),
))</f>
        <v>85</v>
      </c>
      <c r="G4141">
        <f>IF(Table13[[#This Row],[New Pos L]]&lt;&gt;0,Table13[[#This Row],[New Pos L]],Table13[[#This Row],[New Pos R]])</f>
        <v>85</v>
      </c>
      <c r="H4141">
        <f>IF(AND(Table13[[#This Row],[Direction]]="L",Table13[[#This Row],[Steps]]&gt;G4140,G4140&lt;&gt;0),1,0)</f>
        <v>0</v>
      </c>
      <c r="I4141">
        <f>IF(AND(Table13[[#This Row],[Direction]]="R",(G4140+Table13[[#This Row],[Steps]])&gt;100),1,0)</f>
        <v>0</v>
      </c>
      <c r="J4141">
        <f>IF(Table13[[#This Row],[POS]]=0,1,0)</f>
        <v>0</v>
      </c>
      <c r="K4141">
        <f>SUM(Table13[[#This Row],[prefix]],Table13[[#This Row],[Past zero L]],Table13[[#This Row],[Past Zero R]],Table13[[#This Row],[Is Zero]])</f>
        <v>1</v>
      </c>
    </row>
    <row r="4142" spans="1:11" ht="16" x14ac:dyDescent="0.2">
      <c r="A4142" s="1" t="s">
        <v>105</v>
      </c>
      <c r="B4142" t="str">
        <f>LEFT(Table13[[#This Row],[Input]],1)</f>
        <v>R</v>
      </c>
      <c r="C4142">
        <f>_xlfn.LET(_xlpm.steps,SUBSTITUTE(Table13[[#This Row],[Input]],Table13[[#This Row],[Direction]],""),VALUE(IF(LEN(_xlpm.steps)&gt;2,RIGHT(_xlpm.steps,2),_xlpm.steps)))</f>
        <v>98</v>
      </c>
      <c r="D4142">
        <f>_xlfn.LET(_xlpm.steps,SUBSTITUTE(Table13[[#This Row],[Input]],Table13[[#This Row],[Direction]],""),VALUE(IF(LEN(_xlpm.steps)&gt;2,LEFT(_xlpm.steps,LEN(_xlpm.steps)-2),0)))</f>
        <v>0</v>
      </c>
      <c r="E4142">
        <f>_xlfn.LET(_xlpm.dir,Table13[[#This Row],[Direction]],
IF(_xlpm.dir="L",
    IF(G4141-Table13[[#This Row],[Steps]]&lt;0,100+(G4141-Table13[[#This Row],[Steps]]),G4141-Table13[[#This Row],[Steps]]),
))</f>
        <v>0</v>
      </c>
      <c r="F4142">
        <f>_xlfn.LET(_xlpm.dir,Table13[[#This Row],[Direction]],
IF(_xlpm.dir="R",
    IF(G4141+Table13[[#This Row],[Steps]]&gt;99,(G4141+Table13[[#This Row],[Steps]])-100,G4141+Table13[[#This Row],[Steps]]),
))</f>
        <v>83</v>
      </c>
      <c r="G4142">
        <f>IF(Table13[[#This Row],[New Pos L]]&lt;&gt;0,Table13[[#This Row],[New Pos L]],Table13[[#This Row],[New Pos R]])</f>
        <v>83</v>
      </c>
      <c r="H4142">
        <f>IF(AND(Table13[[#This Row],[Direction]]="L",Table13[[#This Row],[Steps]]&gt;G4141,G4141&lt;&gt;0),1,0)</f>
        <v>0</v>
      </c>
      <c r="I4142">
        <f>IF(AND(Table13[[#This Row],[Direction]]="R",(G4141+Table13[[#This Row],[Steps]])&gt;100),1,0)</f>
        <v>1</v>
      </c>
      <c r="J4142">
        <f>IF(Table13[[#This Row],[POS]]=0,1,0)</f>
        <v>0</v>
      </c>
      <c r="K4142">
        <f>SUM(Table13[[#This Row],[prefix]],Table13[[#This Row],[Past zero L]],Table13[[#This Row],[Past Zero R]],Table13[[#This Row],[Is Zero]])</f>
        <v>1</v>
      </c>
    </row>
    <row r="4143" spans="1:11" ht="16" x14ac:dyDescent="0.2">
      <c r="A4143" s="1" t="s">
        <v>272</v>
      </c>
      <c r="B4143" t="str">
        <f>LEFT(Table13[[#This Row],[Input]],1)</f>
        <v>R</v>
      </c>
      <c r="C4143">
        <f>_xlfn.LET(_xlpm.steps,SUBSTITUTE(Table13[[#This Row],[Input]],Table13[[#This Row],[Direction]],""),VALUE(IF(LEN(_xlpm.steps)&gt;2,RIGHT(_xlpm.steps,2),_xlpm.steps)))</f>
        <v>56</v>
      </c>
      <c r="D4143">
        <f>_xlfn.LET(_xlpm.steps,SUBSTITUTE(Table13[[#This Row],[Input]],Table13[[#This Row],[Direction]],""),VALUE(IF(LEN(_xlpm.steps)&gt;2,LEFT(_xlpm.steps,LEN(_xlpm.steps)-2),0)))</f>
        <v>0</v>
      </c>
      <c r="E4143">
        <f>_xlfn.LET(_xlpm.dir,Table13[[#This Row],[Direction]],
IF(_xlpm.dir="L",
    IF(G4142-Table13[[#This Row],[Steps]]&lt;0,100+(G4142-Table13[[#This Row],[Steps]]),G4142-Table13[[#This Row],[Steps]]),
))</f>
        <v>0</v>
      </c>
      <c r="F4143">
        <f>_xlfn.LET(_xlpm.dir,Table13[[#This Row],[Direction]],
IF(_xlpm.dir="R",
    IF(G4142+Table13[[#This Row],[Steps]]&gt;99,(G4142+Table13[[#This Row],[Steps]])-100,G4142+Table13[[#This Row],[Steps]]),
))</f>
        <v>39</v>
      </c>
      <c r="G4143">
        <f>IF(Table13[[#This Row],[New Pos L]]&lt;&gt;0,Table13[[#This Row],[New Pos L]],Table13[[#This Row],[New Pos R]])</f>
        <v>39</v>
      </c>
      <c r="H4143">
        <f>IF(AND(Table13[[#This Row],[Direction]]="L",Table13[[#This Row],[Steps]]&gt;G4142,G4142&lt;&gt;0),1,0)</f>
        <v>0</v>
      </c>
      <c r="I4143">
        <f>IF(AND(Table13[[#This Row],[Direction]]="R",(G4142+Table13[[#This Row],[Steps]])&gt;100),1,0)</f>
        <v>1</v>
      </c>
      <c r="J4143">
        <f>IF(Table13[[#This Row],[POS]]=0,1,0)</f>
        <v>0</v>
      </c>
      <c r="K4143">
        <f>SUM(Table13[[#This Row],[prefix]],Table13[[#This Row],[Past zero L]],Table13[[#This Row],[Past Zero R]],Table13[[#This Row],[Is Zero]])</f>
        <v>1</v>
      </c>
    </row>
    <row r="4144" spans="1:11" ht="16" x14ac:dyDescent="0.2">
      <c r="A4144" s="1" t="s">
        <v>545</v>
      </c>
      <c r="B4144" t="str">
        <f>LEFT(Table13[[#This Row],[Input]],1)</f>
        <v>L</v>
      </c>
      <c r="C4144">
        <f>_xlfn.LET(_xlpm.steps,SUBSTITUTE(Table13[[#This Row],[Input]],Table13[[#This Row],[Direction]],""),VALUE(IF(LEN(_xlpm.steps)&gt;2,RIGHT(_xlpm.steps,2),_xlpm.steps)))</f>
        <v>39</v>
      </c>
      <c r="D4144">
        <f>_xlfn.LET(_xlpm.steps,SUBSTITUTE(Table13[[#This Row],[Input]],Table13[[#This Row],[Direction]],""),VALUE(IF(LEN(_xlpm.steps)&gt;2,LEFT(_xlpm.steps,LEN(_xlpm.steps)-2),0)))</f>
        <v>6</v>
      </c>
      <c r="E4144">
        <f>_xlfn.LET(_xlpm.dir,Table13[[#This Row],[Direction]],
IF(_xlpm.dir="L",
    IF(G4143-Table13[[#This Row],[Steps]]&lt;0,100+(G4143-Table13[[#This Row],[Steps]]),G4143-Table13[[#This Row],[Steps]]),
))</f>
        <v>0</v>
      </c>
      <c r="F4144">
        <f>_xlfn.LET(_xlpm.dir,Table13[[#This Row],[Direction]],
IF(_xlpm.dir="R",
    IF(G4143+Table13[[#This Row],[Steps]]&gt;99,(G4143+Table13[[#This Row],[Steps]])-100,G4143+Table13[[#This Row],[Steps]]),
))</f>
        <v>0</v>
      </c>
      <c r="G4144">
        <f>IF(Table13[[#This Row],[New Pos L]]&lt;&gt;0,Table13[[#This Row],[New Pos L]],Table13[[#This Row],[New Pos R]])</f>
        <v>0</v>
      </c>
      <c r="H4144">
        <f>IF(AND(Table13[[#This Row],[Direction]]="L",Table13[[#This Row],[Steps]]&gt;G4143,G4143&lt;&gt;0),1,0)</f>
        <v>0</v>
      </c>
      <c r="I4144">
        <f>IF(AND(Table13[[#This Row],[Direction]]="R",(G4143+Table13[[#This Row],[Steps]])&gt;100),1,0)</f>
        <v>0</v>
      </c>
      <c r="J4144">
        <f>IF(Table13[[#This Row],[POS]]=0,1,0)</f>
        <v>1</v>
      </c>
      <c r="K4144">
        <f>SUM(Table13[[#This Row],[prefix]],Table13[[#This Row],[Past zero L]],Table13[[#This Row],[Past Zero R]],Table13[[#This Row],[Is Zero]])</f>
        <v>7</v>
      </c>
    </row>
    <row r="4145" spans="1:11" ht="16" x14ac:dyDescent="0.2">
      <c r="A4145" s="1" t="s">
        <v>17</v>
      </c>
      <c r="B4145" t="str">
        <f>LEFT(Table13[[#This Row],[Input]],1)</f>
        <v>L</v>
      </c>
      <c r="C4145">
        <f>_xlfn.LET(_xlpm.steps,SUBSTITUTE(Table13[[#This Row],[Input]],Table13[[#This Row],[Direction]],""),VALUE(IF(LEN(_xlpm.steps)&gt;2,RIGHT(_xlpm.steps,2),_xlpm.steps)))</f>
        <v>50</v>
      </c>
      <c r="D4145">
        <f>_xlfn.LET(_xlpm.steps,SUBSTITUTE(Table13[[#This Row],[Input]],Table13[[#This Row],[Direction]],""),VALUE(IF(LEN(_xlpm.steps)&gt;2,LEFT(_xlpm.steps,LEN(_xlpm.steps)-2),0)))</f>
        <v>0</v>
      </c>
      <c r="E4145">
        <f>_xlfn.LET(_xlpm.dir,Table13[[#This Row],[Direction]],
IF(_xlpm.dir="L",
    IF(G4144-Table13[[#This Row],[Steps]]&lt;0,100+(G4144-Table13[[#This Row],[Steps]]),G4144-Table13[[#This Row],[Steps]]),
))</f>
        <v>50</v>
      </c>
      <c r="F4145">
        <f>_xlfn.LET(_xlpm.dir,Table13[[#This Row],[Direction]],
IF(_xlpm.dir="R",
    IF(G4144+Table13[[#This Row],[Steps]]&gt;99,(G4144+Table13[[#This Row],[Steps]])-100,G4144+Table13[[#This Row],[Steps]]),
))</f>
        <v>0</v>
      </c>
      <c r="G4145">
        <f>IF(Table13[[#This Row],[New Pos L]]&lt;&gt;0,Table13[[#This Row],[New Pos L]],Table13[[#This Row],[New Pos R]])</f>
        <v>50</v>
      </c>
      <c r="H4145">
        <f>IF(AND(Table13[[#This Row],[Direction]]="L",Table13[[#This Row],[Steps]]&gt;G4144,G4144&lt;&gt;0),1,0)</f>
        <v>0</v>
      </c>
      <c r="I4145">
        <f>IF(AND(Table13[[#This Row],[Direction]]="R",(G4144+Table13[[#This Row],[Steps]])&gt;100),1,0)</f>
        <v>0</v>
      </c>
      <c r="J4145">
        <f>IF(Table13[[#This Row],[POS]]=0,1,0)</f>
        <v>0</v>
      </c>
      <c r="K4145">
        <f>SUM(Table13[[#This Row],[prefix]],Table13[[#This Row],[Past zero L]],Table13[[#This Row],[Past Zero R]],Table13[[#This Row],[Is Zero]])</f>
        <v>0</v>
      </c>
    </row>
    <row r="4146" spans="1:11" ht="16" x14ac:dyDescent="0.2">
      <c r="A4146" s="1" t="s">
        <v>217</v>
      </c>
      <c r="B4146" t="str">
        <f>LEFT(Table13[[#This Row],[Input]],1)</f>
        <v>R</v>
      </c>
      <c r="C4146">
        <f>_xlfn.LET(_xlpm.steps,SUBSTITUTE(Table13[[#This Row],[Input]],Table13[[#This Row],[Direction]],""),VALUE(IF(LEN(_xlpm.steps)&gt;2,RIGHT(_xlpm.steps,2),_xlpm.steps)))</f>
        <v>91</v>
      </c>
      <c r="D4146">
        <f>_xlfn.LET(_xlpm.steps,SUBSTITUTE(Table13[[#This Row],[Input]],Table13[[#This Row],[Direction]],""),VALUE(IF(LEN(_xlpm.steps)&gt;2,LEFT(_xlpm.steps,LEN(_xlpm.steps)-2),0)))</f>
        <v>0</v>
      </c>
      <c r="E4146">
        <f>_xlfn.LET(_xlpm.dir,Table13[[#This Row],[Direction]],
IF(_xlpm.dir="L",
    IF(G4145-Table13[[#This Row],[Steps]]&lt;0,100+(G4145-Table13[[#This Row],[Steps]]),G4145-Table13[[#This Row],[Steps]]),
))</f>
        <v>0</v>
      </c>
      <c r="F4146">
        <f>_xlfn.LET(_xlpm.dir,Table13[[#This Row],[Direction]],
IF(_xlpm.dir="R",
    IF(G4145+Table13[[#This Row],[Steps]]&gt;99,(G4145+Table13[[#This Row],[Steps]])-100,G4145+Table13[[#This Row],[Steps]]),
))</f>
        <v>41</v>
      </c>
      <c r="G4146">
        <f>IF(Table13[[#This Row],[New Pos L]]&lt;&gt;0,Table13[[#This Row],[New Pos L]],Table13[[#This Row],[New Pos R]])</f>
        <v>41</v>
      </c>
      <c r="H4146">
        <f>IF(AND(Table13[[#This Row],[Direction]]="L",Table13[[#This Row],[Steps]]&gt;G4145,G4145&lt;&gt;0),1,0)</f>
        <v>0</v>
      </c>
      <c r="I4146">
        <f>IF(AND(Table13[[#This Row],[Direction]]="R",(G4145+Table13[[#This Row],[Steps]])&gt;100),1,0)</f>
        <v>1</v>
      </c>
      <c r="J4146">
        <f>IF(Table13[[#This Row],[POS]]=0,1,0)</f>
        <v>0</v>
      </c>
      <c r="K4146">
        <f>SUM(Table13[[#This Row],[prefix]],Table13[[#This Row],[Past zero L]],Table13[[#This Row],[Past Zero R]],Table13[[#This Row],[Is Zero]])</f>
        <v>1</v>
      </c>
    </row>
    <row r="4147" spans="1:11" ht="16" x14ac:dyDescent="0.2">
      <c r="A4147" s="1" t="s">
        <v>842</v>
      </c>
      <c r="B4147" t="str">
        <f>LEFT(Table13[[#This Row],[Input]],1)</f>
        <v>L</v>
      </c>
      <c r="C4147">
        <f>_xlfn.LET(_xlpm.steps,SUBSTITUTE(Table13[[#This Row],[Input]],Table13[[#This Row],[Direction]],""),VALUE(IF(LEN(_xlpm.steps)&gt;2,RIGHT(_xlpm.steps,2),_xlpm.steps)))</f>
        <v>41</v>
      </c>
      <c r="D4147">
        <f>_xlfn.LET(_xlpm.steps,SUBSTITUTE(Table13[[#This Row],[Input]],Table13[[#This Row],[Direction]],""),VALUE(IF(LEN(_xlpm.steps)&gt;2,LEFT(_xlpm.steps,LEN(_xlpm.steps)-2),0)))</f>
        <v>5</v>
      </c>
      <c r="E4147">
        <f>_xlfn.LET(_xlpm.dir,Table13[[#This Row],[Direction]],
IF(_xlpm.dir="L",
    IF(G4146-Table13[[#This Row],[Steps]]&lt;0,100+(G4146-Table13[[#This Row],[Steps]]),G4146-Table13[[#This Row],[Steps]]),
))</f>
        <v>0</v>
      </c>
      <c r="F4147">
        <f>_xlfn.LET(_xlpm.dir,Table13[[#This Row],[Direction]],
IF(_xlpm.dir="R",
    IF(G4146+Table13[[#This Row],[Steps]]&gt;99,(G4146+Table13[[#This Row],[Steps]])-100,G4146+Table13[[#This Row],[Steps]]),
))</f>
        <v>0</v>
      </c>
      <c r="G4147">
        <f>IF(Table13[[#This Row],[New Pos L]]&lt;&gt;0,Table13[[#This Row],[New Pos L]],Table13[[#This Row],[New Pos R]])</f>
        <v>0</v>
      </c>
      <c r="H4147">
        <f>IF(AND(Table13[[#This Row],[Direction]]="L",Table13[[#This Row],[Steps]]&gt;G4146,G4146&lt;&gt;0),1,0)</f>
        <v>0</v>
      </c>
      <c r="I4147">
        <f>IF(AND(Table13[[#This Row],[Direction]]="R",(G4146+Table13[[#This Row],[Steps]])&gt;100),1,0)</f>
        <v>0</v>
      </c>
      <c r="J4147">
        <f>IF(Table13[[#This Row],[POS]]=0,1,0)</f>
        <v>1</v>
      </c>
      <c r="K4147">
        <f>SUM(Table13[[#This Row],[prefix]],Table13[[#This Row],[Past zero L]],Table13[[#This Row],[Past Zero R]],Table13[[#This Row],[Is Zero]])</f>
        <v>6</v>
      </c>
    </row>
    <row r="4148" spans="1:11" ht="16" x14ac:dyDescent="0.2">
      <c r="A4148" s="1" t="s">
        <v>120</v>
      </c>
      <c r="B4148" t="str">
        <f>LEFT(Table13[[#This Row],[Input]],1)</f>
        <v>L</v>
      </c>
      <c r="C4148">
        <f>_xlfn.LET(_xlpm.steps,SUBSTITUTE(Table13[[#This Row],[Input]],Table13[[#This Row],[Direction]],""),VALUE(IF(LEN(_xlpm.steps)&gt;2,RIGHT(_xlpm.steps,2),_xlpm.steps)))</f>
        <v>23</v>
      </c>
      <c r="D4148">
        <f>_xlfn.LET(_xlpm.steps,SUBSTITUTE(Table13[[#This Row],[Input]],Table13[[#This Row],[Direction]],""),VALUE(IF(LEN(_xlpm.steps)&gt;2,LEFT(_xlpm.steps,LEN(_xlpm.steps)-2),0)))</f>
        <v>0</v>
      </c>
      <c r="E4148">
        <f>_xlfn.LET(_xlpm.dir,Table13[[#This Row],[Direction]],
IF(_xlpm.dir="L",
    IF(G4147-Table13[[#This Row],[Steps]]&lt;0,100+(G4147-Table13[[#This Row],[Steps]]),G4147-Table13[[#This Row],[Steps]]),
))</f>
        <v>77</v>
      </c>
      <c r="F4148">
        <f>_xlfn.LET(_xlpm.dir,Table13[[#This Row],[Direction]],
IF(_xlpm.dir="R",
    IF(G4147+Table13[[#This Row],[Steps]]&gt;99,(G4147+Table13[[#This Row],[Steps]])-100,G4147+Table13[[#This Row],[Steps]]),
))</f>
        <v>0</v>
      </c>
      <c r="G4148">
        <f>IF(Table13[[#This Row],[New Pos L]]&lt;&gt;0,Table13[[#This Row],[New Pos L]],Table13[[#This Row],[New Pos R]])</f>
        <v>77</v>
      </c>
      <c r="H4148">
        <f>IF(AND(Table13[[#This Row],[Direction]]="L",Table13[[#This Row],[Steps]]&gt;G4147,G4147&lt;&gt;0),1,0)</f>
        <v>0</v>
      </c>
      <c r="I4148">
        <f>IF(AND(Table13[[#This Row],[Direction]]="R",(G4147+Table13[[#This Row],[Steps]])&gt;100),1,0)</f>
        <v>0</v>
      </c>
      <c r="J4148">
        <f>IF(Table13[[#This Row],[POS]]=0,1,0)</f>
        <v>0</v>
      </c>
      <c r="K4148">
        <f>SUM(Table13[[#This Row],[prefix]],Table13[[#This Row],[Past zero L]],Table13[[#This Row],[Past Zero R]],Table13[[#This Row],[Is Zero]])</f>
        <v>0</v>
      </c>
    </row>
    <row r="4149" spans="1:11" ht="16" x14ac:dyDescent="0.2">
      <c r="A4149" s="1" t="s">
        <v>119</v>
      </c>
      <c r="B4149" t="str">
        <f>LEFT(Table13[[#This Row],[Input]],1)</f>
        <v>L</v>
      </c>
      <c r="C4149">
        <f>_xlfn.LET(_xlpm.steps,SUBSTITUTE(Table13[[#This Row],[Input]],Table13[[#This Row],[Direction]],""),VALUE(IF(LEN(_xlpm.steps)&gt;2,RIGHT(_xlpm.steps,2),_xlpm.steps)))</f>
        <v>77</v>
      </c>
      <c r="D4149">
        <f>_xlfn.LET(_xlpm.steps,SUBSTITUTE(Table13[[#This Row],[Input]],Table13[[#This Row],[Direction]],""),VALUE(IF(LEN(_xlpm.steps)&gt;2,LEFT(_xlpm.steps,LEN(_xlpm.steps)-2),0)))</f>
        <v>0</v>
      </c>
      <c r="E4149">
        <f>_xlfn.LET(_xlpm.dir,Table13[[#This Row],[Direction]],
IF(_xlpm.dir="L",
    IF(G4148-Table13[[#This Row],[Steps]]&lt;0,100+(G4148-Table13[[#This Row],[Steps]]),G4148-Table13[[#This Row],[Steps]]),
))</f>
        <v>0</v>
      </c>
      <c r="F4149">
        <f>_xlfn.LET(_xlpm.dir,Table13[[#This Row],[Direction]],
IF(_xlpm.dir="R",
    IF(G4148+Table13[[#This Row],[Steps]]&gt;99,(G4148+Table13[[#This Row],[Steps]])-100,G4148+Table13[[#This Row],[Steps]]),
))</f>
        <v>0</v>
      </c>
      <c r="G4149">
        <f>IF(Table13[[#This Row],[New Pos L]]&lt;&gt;0,Table13[[#This Row],[New Pos L]],Table13[[#This Row],[New Pos R]])</f>
        <v>0</v>
      </c>
      <c r="H4149">
        <f>IF(AND(Table13[[#This Row],[Direction]]="L",Table13[[#This Row],[Steps]]&gt;G4148,G4148&lt;&gt;0),1,0)</f>
        <v>0</v>
      </c>
      <c r="I4149">
        <f>IF(AND(Table13[[#This Row],[Direction]]="R",(G4148+Table13[[#This Row],[Steps]])&gt;100),1,0)</f>
        <v>0</v>
      </c>
      <c r="J4149">
        <f>IF(Table13[[#This Row],[POS]]=0,1,0)</f>
        <v>1</v>
      </c>
      <c r="K4149">
        <f>SUM(Table13[[#This Row],[prefix]],Table13[[#This Row],[Past zero L]],Table13[[#This Row],[Past Zero R]],Table13[[#This Row],[Is Zero]])</f>
        <v>1</v>
      </c>
    </row>
    <row r="4150" spans="1:11" ht="16" x14ac:dyDescent="0.2">
      <c r="A4150" s="1" t="s">
        <v>216</v>
      </c>
      <c r="B4150" t="str">
        <f>LEFT(Table13[[#This Row],[Input]],1)</f>
        <v>R</v>
      </c>
      <c r="C4150">
        <f>_xlfn.LET(_xlpm.steps,SUBSTITUTE(Table13[[#This Row],[Input]],Table13[[#This Row],[Direction]],""),VALUE(IF(LEN(_xlpm.steps)&gt;2,RIGHT(_xlpm.steps,2),_xlpm.steps)))</f>
        <v>54</v>
      </c>
      <c r="D4150">
        <f>_xlfn.LET(_xlpm.steps,SUBSTITUTE(Table13[[#This Row],[Input]],Table13[[#This Row],[Direction]],""),VALUE(IF(LEN(_xlpm.steps)&gt;2,LEFT(_xlpm.steps,LEN(_xlpm.steps)-2),0)))</f>
        <v>0</v>
      </c>
      <c r="E4150">
        <f>_xlfn.LET(_xlpm.dir,Table13[[#This Row],[Direction]],
IF(_xlpm.dir="L",
    IF(G4149-Table13[[#This Row],[Steps]]&lt;0,100+(G4149-Table13[[#This Row],[Steps]]),G4149-Table13[[#This Row],[Steps]]),
))</f>
        <v>0</v>
      </c>
      <c r="F4150">
        <f>_xlfn.LET(_xlpm.dir,Table13[[#This Row],[Direction]],
IF(_xlpm.dir="R",
    IF(G4149+Table13[[#This Row],[Steps]]&gt;99,(G4149+Table13[[#This Row],[Steps]])-100,G4149+Table13[[#This Row],[Steps]]),
))</f>
        <v>54</v>
      </c>
      <c r="G4150">
        <f>IF(Table13[[#This Row],[New Pos L]]&lt;&gt;0,Table13[[#This Row],[New Pos L]],Table13[[#This Row],[New Pos R]])</f>
        <v>54</v>
      </c>
      <c r="H4150">
        <f>IF(AND(Table13[[#This Row],[Direction]]="L",Table13[[#This Row],[Steps]]&gt;G4149,G4149&lt;&gt;0),1,0)</f>
        <v>0</v>
      </c>
      <c r="I4150">
        <f>IF(AND(Table13[[#This Row],[Direction]]="R",(G4149+Table13[[#This Row],[Steps]])&gt;100),1,0)</f>
        <v>0</v>
      </c>
      <c r="J4150">
        <f>IF(Table13[[#This Row],[POS]]=0,1,0)</f>
        <v>0</v>
      </c>
      <c r="K4150">
        <f>SUM(Table13[[#This Row],[prefix]],Table13[[#This Row],[Past zero L]],Table13[[#This Row],[Past Zero R]],Table13[[#This Row],[Is Zero]])</f>
        <v>0</v>
      </c>
    </row>
    <row r="4151" spans="1:11" ht="16" x14ac:dyDescent="0.2">
      <c r="A4151" s="1" t="s">
        <v>179</v>
      </c>
      <c r="B4151" t="str">
        <f>LEFT(Table13[[#This Row],[Input]],1)</f>
        <v>L</v>
      </c>
      <c r="C4151">
        <f>_xlfn.LET(_xlpm.steps,SUBSTITUTE(Table13[[#This Row],[Input]],Table13[[#This Row],[Direction]],""),VALUE(IF(LEN(_xlpm.steps)&gt;2,RIGHT(_xlpm.steps,2),_xlpm.steps)))</f>
        <v>54</v>
      </c>
      <c r="D4151">
        <f>_xlfn.LET(_xlpm.steps,SUBSTITUTE(Table13[[#This Row],[Input]],Table13[[#This Row],[Direction]],""),VALUE(IF(LEN(_xlpm.steps)&gt;2,LEFT(_xlpm.steps,LEN(_xlpm.steps)-2),0)))</f>
        <v>0</v>
      </c>
      <c r="E4151">
        <f>_xlfn.LET(_xlpm.dir,Table13[[#This Row],[Direction]],
IF(_xlpm.dir="L",
    IF(G4150-Table13[[#This Row],[Steps]]&lt;0,100+(G4150-Table13[[#This Row],[Steps]]),G4150-Table13[[#This Row],[Steps]]),
))</f>
        <v>0</v>
      </c>
      <c r="F4151">
        <f>_xlfn.LET(_xlpm.dir,Table13[[#This Row],[Direction]],
IF(_xlpm.dir="R",
    IF(G4150+Table13[[#This Row],[Steps]]&gt;99,(G4150+Table13[[#This Row],[Steps]])-100,G4150+Table13[[#This Row],[Steps]]),
))</f>
        <v>0</v>
      </c>
      <c r="G4151">
        <f>IF(Table13[[#This Row],[New Pos L]]&lt;&gt;0,Table13[[#This Row],[New Pos L]],Table13[[#This Row],[New Pos R]])</f>
        <v>0</v>
      </c>
      <c r="H4151">
        <f>IF(AND(Table13[[#This Row],[Direction]]="L",Table13[[#This Row],[Steps]]&gt;G4150,G4150&lt;&gt;0),1,0)</f>
        <v>0</v>
      </c>
      <c r="I4151">
        <f>IF(AND(Table13[[#This Row],[Direction]]="R",(G4150+Table13[[#This Row],[Steps]])&gt;100),1,0)</f>
        <v>0</v>
      </c>
      <c r="J4151">
        <f>IF(Table13[[#This Row],[POS]]=0,1,0)</f>
        <v>1</v>
      </c>
      <c r="K4151">
        <f>SUM(Table13[[#This Row],[prefix]],Table13[[#This Row],[Past zero L]],Table13[[#This Row],[Past Zero R]],Table13[[#This Row],[Is Zero]])</f>
        <v>1</v>
      </c>
    </row>
    <row r="4152" spans="1:11" ht="16" x14ac:dyDescent="0.2">
      <c r="A4152" s="1" t="s">
        <v>30</v>
      </c>
      <c r="B4152" t="str">
        <f>LEFT(Table13[[#This Row],[Input]],1)</f>
        <v>R</v>
      </c>
      <c r="C4152">
        <f>_xlfn.LET(_xlpm.steps,SUBSTITUTE(Table13[[#This Row],[Input]],Table13[[#This Row],[Direction]],""),VALUE(IF(LEN(_xlpm.steps)&gt;2,RIGHT(_xlpm.steps,2),_xlpm.steps)))</f>
        <v>48</v>
      </c>
      <c r="D4152">
        <f>_xlfn.LET(_xlpm.steps,SUBSTITUTE(Table13[[#This Row],[Input]],Table13[[#This Row],[Direction]],""),VALUE(IF(LEN(_xlpm.steps)&gt;2,LEFT(_xlpm.steps,LEN(_xlpm.steps)-2),0)))</f>
        <v>0</v>
      </c>
      <c r="E4152">
        <f>_xlfn.LET(_xlpm.dir,Table13[[#This Row],[Direction]],
IF(_xlpm.dir="L",
    IF(G4151-Table13[[#This Row],[Steps]]&lt;0,100+(G4151-Table13[[#This Row],[Steps]]),G4151-Table13[[#This Row],[Steps]]),
))</f>
        <v>0</v>
      </c>
      <c r="F4152">
        <f>_xlfn.LET(_xlpm.dir,Table13[[#This Row],[Direction]],
IF(_xlpm.dir="R",
    IF(G4151+Table13[[#This Row],[Steps]]&gt;99,(G4151+Table13[[#This Row],[Steps]])-100,G4151+Table13[[#This Row],[Steps]]),
))</f>
        <v>48</v>
      </c>
      <c r="G4152">
        <f>IF(Table13[[#This Row],[New Pos L]]&lt;&gt;0,Table13[[#This Row],[New Pos L]],Table13[[#This Row],[New Pos R]])</f>
        <v>48</v>
      </c>
      <c r="H4152">
        <f>IF(AND(Table13[[#This Row],[Direction]]="L",Table13[[#This Row],[Steps]]&gt;G4151,G4151&lt;&gt;0),1,0)</f>
        <v>0</v>
      </c>
      <c r="I4152">
        <f>IF(AND(Table13[[#This Row],[Direction]]="R",(G4151+Table13[[#This Row],[Steps]])&gt;100),1,0)</f>
        <v>0</v>
      </c>
      <c r="J4152">
        <f>IF(Table13[[#This Row],[POS]]=0,1,0)</f>
        <v>0</v>
      </c>
      <c r="K4152">
        <f>SUM(Table13[[#This Row],[prefix]],Table13[[#This Row],[Past zero L]],Table13[[#This Row],[Past Zero R]],Table13[[#This Row],[Is Zero]])</f>
        <v>0</v>
      </c>
    </row>
    <row r="4153" spans="1:11" ht="16" x14ac:dyDescent="0.2">
      <c r="A4153" s="1" t="s">
        <v>80</v>
      </c>
      <c r="B4153" t="str">
        <f>LEFT(Table13[[#This Row],[Input]],1)</f>
        <v>L</v>
      </c>
      <c r="C4153">
        <f>_xlfn.LET(_xlpm.steps,SUBSTITUTE(Table13[[#This Row],[Input]],Table13[[#This Row],[Direction]],""),VALUE(IF(LEN(_xlpm.steps)&gt;2,RIGHT(_xlpm.steps,2),_xlpm.steps)))</f>
        <v>48</v>
      </c>
      <c r="D4153">
        <f>_xlfn.LET(_xlpm.steps,SUBSTITUTE(Table13[[#This Row],[Input]],Table13[[#This Row],[Direction]],""),VALUE(IF(LEN(_xlpm.steps)&gt;2,LEFT(_xlpm.steps,LEN(_xlpm.steps)-2),0)))</f>
        <v>0</v>
      </c>
      <c r="E4153">
        <f>_xlfn.LET(_xlpm.dir,Table13[[#This Row],[Direction]],
IF(_xlpm.dir="L",
    IF(G4152-Table13[[#This Row],[Steps]]&lt;0,100+(G4152-Table13[[#This Row],[Steps]]),G4152-Table13[[#This Row],[Steps]]),
))</f>
        <v>0</v>
      </c>
      <c r="F4153">
        <f>_xlfn.LET(_xlpm.dir,Table13[[#This Row],[Direction]],
IF(_xlpm.dir="R",
    IF(G4152+Table13[[#This Row],[Steps]]&gt;99,(G4152+Table13[[#This Row],[Steps]])-100,G4152+Table13[[#This Row],[Steps]]),
))</f>
        <v>0</v>
      </c>
      <c r="G4153">
        <f>IF(Table13[[#This Row],[New Pos L]]&lt;&gt;0,Table13[[#This Row],[New Pos L]],Table13[[#This Row],[New Pos R]])</f>
        <v>0</v>
      </c>
      <c r="H4153">
        <f>IF(AND(Table13[[#This Row],[Direction]]="L",Table13[[#This Row],[Steps]]&gt;G4152,G4152&lt;&gt;0),1,0)</f>
        <v>0</v>
      </c>
      <c r="I4153">
        <f>IF(AND(Table13[[#This Row],[Direction]]="R",(G4152+Table13[[#This Row],[Steps]])&gt;100),1,0)</f>
        <v>0</v>
      </c>
      <c r="J4153">
        <f>IF(Table13[[#This Row],[POS]]=0,1,0)</f>
        <v>1</v>
      </c>
      <c r="K4153">
        <f>SUM(Table13[[#This Row],[prefix]],Table13[[#This Row],[Past zero L]],Table13[[#This Row],[Past Zero R]],Table13[[#This Row],[Is Zero]])</f>
        <v>1</v>
      </c>
    </row>
    <row r="4154" spans="1:11" ht="16" x14ac:dyDescent="0.2">
      <c r="A4154" s="1" t="s">
        <v>843</v>
      </c>
      <c r="B4154" t="str">
        <f>LEFT(Table13[[#This Row],[Input]],1)</f>
        <v>L</v>
      </c>
      <c r="C4154">
        <f>_xlfn.LET(_xlpm.steps,SUBSTITUTE(Table13[[#This Row],[Input]],Table13[[#This Row],[Direction]],""),VALUE(IF(LEN(_xlpm.steps)&gt;2,RIGHT(_xlpm.steps,2),_xlpm.steps)))</f>
        <v>19</v>
      </c>
      <c r="D4154">
        <f>_xlfn.LET(_xlpm.steps,SUBSTITUTE(Table13[[#This Row],[Input]],Table13[[#This Row],[Direction]],""),VALUE(IF(LEN(_xlpm.steps)&gt;2,LEFT(_xlpm.steps,LEN(_xlpm.steps)-2),0)))</f>
        <v>1</v>
      </c>
      <c r="E4154">
        <f>_xlfn.LET(_xlpm.dir,Table13[[#This Row],[Direction]],
IF(_xlpm.dir="L",
    IF(G4153-Table13[[#This Row],[Steps]]&lt;0,100+(G4153-Table13[[#This Row],[Steps]]),G4153-Table13[[#This Row],[Steps]]),
))</f>
        <v>81</v>
      </c>
      <c r="F4154">
        <f>_xlfn.LET(_xlpm.dir,Table13[[#This Row],[Direction]],
IF(_xlpm.dir="R",
    IF(G4153+Table13[[#This Row],[Steps]]&gt;99,(G4153+Table13[[#This Row],[Steps]])-100,G4153+Table13[[#This Row],[Steps]]),
))</f>
        <v>0</v>
      </c>
      <c r="G4154">
        <f>IF(Table13[[#This Row],[New Pos L]]&lt;&gt;0,Table13[[#This Row],[New Pos L]],Table13[[#This Row],[New Pos R]])</f>
        <v>81</v>
      </c>
      <c r="H4154">
        <f>IF(AND(Table13[[#This Row],[Direction]]="L",Table13[[#This Row],[Steps]]&gt;G4153,G4153&lt;&gt;0),1,0)</f>
        <v>0</v>
      </c>
      <c r="I4154">
        <f>IF(AND(Table13[[#This Row],[Direction]]="R",(G4153+Table13[[#This Row],[Steps]])&gt;100),1,0)</f>
        <v>0</v>
      </c>
      <c r="J4154">
        <f>IF(Table13[[#This Row],[POS]]=0,1,0)</f>
        <v>0</v>
      </c>
      <c r="K4154">
        <f>SUM(Table13[[#This Row],[prefix]],Table13[[#This Row],[Past zero L]],Table13[[#This Row],[Past Zero R]],Table13[[#This Row],[Is Zero]])</f>
        <v>1</v>
      </c>
    </row>
    <row r="4155" spans="1:11" ht="16" x14ac:dyDescent="0.2">
      <c r="A4155" s="1" t="s">
        <v>70</v>
      </c>
      <c r="B4155" t="str">
        <f>LEFT(Table13[[#This Row],[Input]],1)</f>
        <v>R</v>
      </c>
      <c r="C4155">
        <f>_xlfn.LET(_xlpm.steps,SUBSTITUTE(Table13[[#This Row],[Input]],Table13[[#This Row],[Direction]],""),VALUE(IF(LEN(_xlpm.steps)&gt;2,RIGHT(_xlpm.steps,2),_xlpm.steps)))</f>
        <v>73</v>
      </c>
      <c r="D4155">
        <f>_xlfn.LET(_xlpm.steps,SUBSTITUTE(Table13[[#This Row],[Input]],Table13[[#This Row],[Direction]],""),VALUE(IF(LEN(_xlpm.steps)&gt;2,LEFT(_xlpm.steps,LEN(_xlpm.steps)-2),0)))</f>
        <v>0</v>
      </c>
      <c r="E4155">
        <f>_xlfn.LET(_xlpm.dir,Table13[[#This Row],[Direction]],
IF(_xlpm.dir="L",
    IF(G4154-Table13[[#This Row],[Steps]]&lt;0,100+(G4154-Table13[[#This Row],[Steps]]),G4154-Table13[[#This Row],[Steps]]),
))</f>
        <v>0</v>
      </c>
      <c r="F4155">
        <f>_xlfn.LET(_xlpm.dir,Table13[[#This Row],[Direction]],
IF(_xlpm.dir="R",
    IF(G4154+Table13[[#This Row],[Steps]]&gt;99,(G4154+Table13[[#This Row],[Steps]])-100,G4154+Table13[[#This Row],[Steps]]),
))</f>
        <v>54</v>
      </c>
      <c r="G4155">
        <f>IF(Table13[[#This Row],[New Pos L]]&lt;&gt;0,Table13[[#This Row],[New Pos L]],Table13[[#This Row],[New Pos R]])</f>
        <v>54</v>
      </c>
      <c r="H4155">
        <f>IF(AND(Table13[[#This Row],[Direction]]="L",Table13[[#This Row],[Steps]]&gt;G4154,G4154&lt;&gt;0),1,0)</f>
        <v>0</v>
      </c>
      <c r="I4155">
        <f>IF(AND(Table13[[#This Row],[Direction]]="R",(G4154+Table13[[#This Row],[Steps]])&gt;100),1,0)</f>
        <v>1</v>
      </c>
      <c r="J4155">
        <f>IF(Table13[[#This Row],[POS]]=0,1,0)</f>
        <v>0</v>
      </c>
      <c r="K4155">
        <f>SUM(Table13[[#This Row],[prefix]],Table13[[#This Row],[Past zero L]],Table13[[#This Row],[Past Zero R]],Table13[[#This Row],[Is Zero]])</f>
        <v>1</v>
      </c>
    </row>
    <row r="4156" spans="1:11" ht="16" x14ac:dyDescent="0.2">
      <c r="A4156" s="1" t="s">
        <v>193</v>
      </c>
      <c r="B4156" t="str">
        <f>LEFT(Table13[[#This Row],[Input]],1)</f>
        <v>L</v>
      </c>
      <c r="C4156">
        <f>_xlfn.LET(_xlpm.steps,SUBSTITUTE(Table13[[#This Row],[Input]],Table13[[#This Row],[Direction]],""),VALUE(IF(LEN(_xlpm.steps)&gt;2,RIGHT(_xlpm.steps,2),_xlpm.steps)))</f>
        <v>12</v>
      </c>
      <c r="D4156">
        <f>_xlfn.LET(_xlpm.steps,SUBSTITUTE(Table13[[#This Row],[Input]],Table13[[#This Row],[Direction]],""),VALUE(IF(LEN(_xlpm.steps)&gt;2,LEFT(_xlpm.steps,LEN(_xlpm.steps)-2),0)))</f>
        <v>0</v>
      </c>
      <c r="E4156">
        <f>_xlfn.LET(_xlpm.dir,Table13[[#This Row],[Direction]],
IF(_xlpm.dir="L",
    IF(G4155-Table13[[#This Row],[Steps]]&lt;0,100+(G4155-Table13[[#This Row],[Steps]]),G4155-Table13[[#This Row],[Steps]]),
))</f>
        <v>42</v>
      </c>
      <c r="F4156">
        <f>_xlfn.LET(_xlpm.dir,Table13[[#This Row],[Direction]],
IF(_xlpm.dir="R",
    IF(G4155+Table13[[#This Row],[Steps]]&gt;99,(G4155+Table13[[#This Row],[Steps]])-100,G4155+Table13[[#This Row],[Steps]]),
))</f>
        <v>0</v>
      </c>
      <c r="G4156">
        <f>IF(Table13[[#This Row],[New Pos L]]&lt;&gt;0,Table13[[#This Row],[New Pos L]],Table13[[#This Row],[New Pos R]])</f>
        <v>42</v>
      </c>
      <c r="H4156">
        <f>IF(AND(Table13[[#This Row],[Direction]]="L",Table13[[#This Row],[Steps]]&gt;G4155,G4155&lt;&gt;0),1,0)</f>
        <v>0</v>
      </c>
      <c r="I4156">
        <f>IF(AND(Table13[[#This Row],[Direction]]="R",(G4155+Table13[[#This Row],[Steps]])&gt;100),1,0)</f>
        <v>0</v>
      </c>
      <c r="J4156">
        <f>IF(Table13[[#This Row],[POS]]=0,1,0)</f>
        <v>0</v>
      </c>
      <c r="K4156">
        <f>SUM(Table13[[#This Row],[prefix]],Table13[[#This Row],[Past zero L]],Table13[[#This Row],[Past Zero R]],Table13[[#This Row],[Is Zero]])</f>
        <v>0</v>
      </c>
    </row>
    <row r="4157" spans="1:11" ht="16" x14ac:dyDescent="0.2">
      <c r="A4157" s="1" t="s">
        <v>369</v>
      </c>
      <c r="B4157" t="str">
        <f>LEFT(Table13[[#This Row],[Input]],1)</f>
        <v>R</v>
      </c>
      <c r="C4157">
        <f>_xlfn.LET(_xlpm.steps,SUBSTITUTE(Table13[[#This Row],[Input]],Table13[[#This Row],[Direction]],""),VALUE(IF(LEN(_xlpm.steps)&gt;2,RIGHT(_xlpm.steps,2),_xlpm.steps)))</f>
        <v>38</v>
      </c>
      <c r="D4157">
        <f>_xlfn.LET(_xlpm.steps,SUBSTITUTE(Table13[[#This Row],[Input]],Table13[[#This Row],[Direction]],""),VALUE(IF(LEN(_xlpm.steps)&gt;2,LEFT(_xlpm.steps,LEN(_xlpm.steps)-2),0)))</f>
        <v>4</v>
      </c>
      <c r="E4157">
        <f>_xlfn.LET(_xlpm.dir,Table13[[#This Row],[Direction]],
IF(_xlpm.dir="L",
    IF(G4156-Table13[[#This Row],[Steps]]&lt;0,100+(G4156-Table13[[#This Row],[Steps]]),G4156-Table13[[#This Row],[Steps]]),
))</f>
        <v>0</v>
      </c>
      <c r="F4157">
        <f>_xlfn.LET(_xlpm.dir,Table13[[#This Row],[Direction]],
IF(_xlpm.dir="R",
    IF(G4156+Table13[[#This Row],[Steps]]&gt;99,(G4156+Table13[[#This Row],[Steps]])-100,G4156+Table13[[#This Row],[Steps]]),
))</f>
        <v>80</v>
      </c>
      <c r="G4157">
        <f>IF(Table13[[#This Row],[New Pos L]]&lt;&gt;0,Table13[[#This Row],[New Pos L]],Table13[[#This Row],[New Pos R]])</f>
        <v>80</v>
      </c>
      <c r="H4157">
        <f>IF(AND(Table13[[#This Row],[Direction]]="L",Table13[[#This Row],[Steps]]&gt;G4156,G4156&lt;&gt;0),1,0)</f>
        <v>0</v>
      </c>
      <c r="I4157">
        <f>IF(AND(Table13[[#This Row],[Direction]]="R",(G4156+Table13[[#This Row],[Steps]])&gt;100),1,0)</f>
        <v>0</v>
      </c>
      <c r="J4157">
        <f>IF(Table13[[#This Row],[POS]]=0,1,0)</f>
        <v>0</v>
      </c>
      <c r="K4157">
        <f>SUM(Table13[[#This Row],[prefix]],Table13[[#This Row],[Past zero L]],Table13[[#This Row],[Past Zero R]],Table13[[#This Row],[Is Zero]])</f>
        <v>4</v>
      </c>
    </row>
    <row r="4158" spans="1:11" ht="16" x14ac:dyDescent="0.2">
      <c r="A4158" s="1" t="s">
        <v>50</v>
      </c>
      <c r="B4158" t="str">
        <f>LEFT(Table13[[#This Row],[Input]],1)</f>
        <v>R</v>
      </c>
      <c r="C4158">
        <f>_xlfn.LET(_xlpm.steps,SUBSTITUTE(Table13[[#This Row],[Input]],Table13[[#This Row],[Direction]],""),VALUE(IF(LEN(_xlpm.steps)&gt;2,RIGHT(_xlpm.steps,2),_xlpm.steps)))</f>
        <v>78</v>
      </c>
      <c r="D4158">
        <f>_xlfn.LET(_xlpm.steps,SUBSTITUTE(Table13[[#This Row],[Input]],Table13[[#This Row],[Direction]],""),VALUE(IF(LEN(_xlpm.steps)&gt;2,LEFT(_xlpm.steps,LEN(_xlpm.steps)-2),0)))</f>
        <v>0</v>
      </c>
      <c r="E4158">
        <f>_xlfn.LET(_xlpm.dir,Table13[[#This Row],[Direction]],
IF(_xlpm.dir="L",
    IF(G4157-Table13[[#This Row],[Steps]]&lt;0,100+(G4157-Table13[[#This Row],[Steps]]),G4157-Table13[[#This Row],[Steps]]),
))</f>
        <v>0</v>
      </c>
      <c r="F4158">
        <f>_xlfn.LET(_xlpm.dir,Table13[[#This Row],[Direction]],
IF(_xlpm.dir="R",
    IF(G4157+Table13[[#This Row],[Steps]]&gt;99,(G4157+Table13[[#This Row],[Steps]])-100,G4157+Table13[[#This Row],[Steps]]),
))</f>
        <v>58</v>
      </c>
      <c r="G4158">
        <f>IF(Table13[[#This Row],[New Pos L]]&lt;&gt;0,Table13[[#This Row],[New Pos L]],Table13[[#This Row],[New Pos R]])</f>
        <v>58</v>
      </c>
      <c r="H4158">
        <f>IF(AND(Table13[[#This Row],[Direction]]="L",Table13[[#This Row],[Steps]]&gt;G4157,G4157&lt;&gt;0),1,0)</f>
        <v>0</v>
      </c>
      <c r="I4158">
        <f>IF(AND(Table13[[#This Row],[Direction]]="R",(G4157+Table13[[#This Row],[Steps]])&gt;100),1,0)</f>
        <v>1</v>
      </c>
      <c r="J4158">
        <f>IF(Table13[[#This Row],[POS]]=0,1,0)</f>
        <v>0</v>
      </c>
      <c r="K4158">
        <f>SUM(Table13[[#This Row],[prefix]],Table13[[#This Row],[Past zero L]],Table13[[#This Row],[Past Zero R]],Table13[[#This Row],[Is Zero]])</f>
        <v>1</v>
      </c>
    </row>
    <row r="4159" spans="1:11" ht="16" x14ac:dyDescent="0.2">
      <c r="A4159" s="1" t="s">
        <v>844</v>
      </c>
      <c r="B4159" t="str">
        <f>LEFT(Table13[[#This Row],[Input]],1)</f>
        <v>R</v>
      </c>
      <c r="C4159">
        <f>_xlfn.LET(_xlpm.steps,SUBSTITUTE(Table13[[#This Row],[Input]],Table13[[#This Row],[Direction]],""),VALUE(IF(LEN(_xlpm.steps)&gt;2,RIGHT(_xlpm.steps,2),_xlpm.steps)))</f>
        <v>42</v>
      </c>
      <c r="D4159">
        <f>_xlfn.LET(_xlpm.steps,SUBSTITUTE(Table13[[#This Row],[Input]],Table13[[#This Row],[Direction]],""),VALUE(IF(LEN(_xlpm.steps)&gt;2,LEFT(_xlpm.steps,LEN(_xlpm.steps)-2),0)))</f>
        <v>6</v>
      </c>
      <c r="E4159">
        <f>_xlfn.LET(_xlpm.dir,Table13[[#This Row],[Direction]],
IF(_xlpm.dir="L",
    IF(G4158-Table13[[#This Row],[Steps]]&lt;0,100+(G4158-Table13[[#This Row],[Steps]]),G4158-Table13[[#This Row],[Steps]]),
))</f>
        <v>0</v>
      </c>
      <c r="F4159">
        <f>_xlfn.LET(_xlpm.dir,Table13[[#This Row],[Direction]],
IF(_xlpm.dir="R",
    IF(G4158+Table13[[#This Row],[Steps]]&gt;99,(G4158+Table13[[#This Row],[Steps]])-100,G4158+Table13[[#This Row],[Steps]]),
))</f>
        <v>0</v>
      </c>
      <c r="G4159">
        <f>IF(Table13[[#This Row],[New Pos L]]&lt;&gt;0,Table13[[#This Row],[New Pos L]],Table13[[#This Row],[New Pos R]])</f>
        <v>0</v>
      </c>
      <c r="H4159">
        <f>IF(AND(Table13[[#This Row],[Direction]]="L",Table13[[#This Row],[Steps]]&gt;G4158,G4158&lt;&gt;0),1,0)</f>
        <v>0</v>
      </c>
      <c r="I4159">
        <f>IF(AND(Table13[[#This Row],[Direction]]="R",(G4158+Table13[[#This Row],[Steps]])&gt;100),1,0)</f>
        <v>0</v>
      </c>
      <c r="J4159">
        <f>IF(Table13[[#This Row],[POS]]=0,1,0)</f>
        <v>1</v>
      </c>
      <c r="K4159">
        <f>SUM(Table13[[#This Row],[prefix]],Table13[[#This Row],[Past zero L]],Table13[[#This Row],[Past Zero R]],Table13[[#This Row],[Is Zero]])</f>
        <v>7</v>
      </c>
    </row>
    <row r="4160" spans="1:11" ht="16" x14ac:dyDescent="0.2">
      <c r="A4160" s="1" t="s">
        <v>1</v>
      </c>
      <c r="B4160" t="str">
        <f>LEFT(Table13[[#This Row],[Input]],1)</f>
        <v>R</v>
      </c>
      <c r="C4160">
        <f>_xlfn.LET(_xlpm.steps,SUBSTITUTE(Table13[[#This Row],[Input]],Table13[[#This Row],[Direction]],""),VALUE(IF(LEN(_xlpm.steps)&gt;2,RIGHT(_xlpm.steps,2),_xlpm.steps)))</f>
        <v>26</v>
      </c>
      <c r="D4160">
        <f>_xlfn.LET(_xlpm.steps,SUBSTITUTE(Table13[[#This Row],[Input]],Table13[[#This Row],[Direction]],""),VALUE(IF(LEN(_xlpm.steps)&gt;2,LEFT(_xlpm.steps,LEN(_xlpm.steps)-2),0)))</f>
        <v>0</v>
      </c>
      <c r="E4160">
        <f>_xlfn.LET(_xlpm.dir,Table13[[#This Row],[Direction]],
IF(_xlpm.dir="L",
    IF(G4159-Table13[[#This Row],[Steps]]&lt;0,100+(G4159-Table13[[#This Row],[Steps]]),G4159-Table13[[#This Row],[Steps]]),
))</f>
        <v>0</v>
      </c>
      <c r="F4160">
        <f>_xlfn.LET(_xlpm.dir,Table13[[#This Row],[Direction]],
IF(_xlpm.dir="R",
    IF(G4159+Table13[[#This Row],[Steps]]&gt;99,(G4159+Table13[[#This Row],[Steps]])-100,G4159+Table13[[#This Row],[Steps]]),
))</f>
        <v>26</v>
      </c>
      <c r="G4160">
        <f>IF(Table13[[#This Row],[New Pos L]]&lt;&gt;0,Table13[[#This Row],[New Pos L]],Table13[[#This Row],[New Pos R]])</f>
        <v>26</v>
      </c>
      <c r="H4160">
        <f>IF(AND(Table13[[#This Row],[Direction]]="L",Table13[[#This Row],[Steps]]&gt;G4159,G4159&lt;&gt;0),1,0)</f>
        <v>0</v>
      </c>
      <c r="I4160">
        <f>IF(AND(Table13[[#This Row],[Direction]]="R",(G4159+Table13[[#This Row],[Steps]])&gt;100),1,0)</f>
        <v>0</v>
      </c>
      <c r="J4160">
        <f>IF(Table13[[#This Row],[POS]]=0,1,0)</f>
        <v>0</v>
      </c>
      <c r="K4160">
        <f>SUM(Table13[[#This Row],[prefix]],Table13[[#This Row],[Past zero L]],Table13[[#This Row],[Past Zero R]],Table13[[#This Row],[Is Zero]])</f>
        <v>0</v>
      </c>
    </row>
    <row r="4161" spans="1:11" ht="16" x14ac:dyDescent="0.2">
      <c r="A4161" s="1" t="s">
        <v>95</v>
      </c>
      <c r="B4161" t="str">
        <f>LEFT(Table13[[#This Row],[Input]],1)</f>
        <v>L</v>
      </c>
      <c r="C4161">
        <f>_xlfn.LET(_xlpm.steps,SUBSTITUTE(Table13[[#This Row],[Input]],Table13[[#This Row],[Direction]],""),VALUE(IF(LEN(_xlpm.steps)&gt;2,RIGHT(_xlpm.steps,2),_xlpm.steps)))</f>
        <v>78</v>
      </c>
      <c r="D4161">
        <f>_xlfn.LET(_xlpm.steps,SUBSTITUTE(Table13[[#This Row],[Input]],Table13[[#This Row],[Direction]],""),VALUE(IF(LEN(_xlpm.steps)&gt;2,LEFT(_xlpm.steps,LEN(_xlpm.steps)-2),0)))</f>
        <v>0</v>
      </c>
      <c r="E4161">
        <f>_xlfn.LET(_xlpm.dir,Table13[[#This Row],[Direction]],
IF(_xlpm.dir="L",
    IF(G4160-Table13[[#This Row],[Steps]]&lt;0,100+(G4160-Table13[[#This Row],[Steps]]),G4160-Table13[[#This Row],[Steps]]),
))</f>
        <v>48</v>
      </c>
      <c r="F4161">
        <f>_xlfn.LET(_xlpm.dir,Table13[[#This Row],[Direction]],
IF(_xlpm.dir="R",
    IF(G4160+Table13[[#This Row],[Steps]]&gt;99,(G4160+Table13[[#This Row],[Steps]])-100,G4160+Table13[[#This Row],[Steps]]),
))</f>
        <v>0</v>
      </c>
      <c r="G4161">
        <f>IF(Table13[[#This Row],[New Pos L]]&lt;&gt;0,Table13[[#This Row],[New Pos L]],Table13[[#This Row],[New Pos R]])</f>
        <v>48</v>
      </c>
      <c r="H4161">
        <f>IF(AND(Table13[[#This Row],[Direction]]="L",Table13[[#This Row],[Steps]]&gt;G4160,G4160&lt;&gt;0),1,0)</f>
        <v>1</v>
      </c>
      <c r="I4161">
        <f>IF(AND(Table13[[#This Row],[Direction]]="R",(G4160+Table13[[#This Row],[Steps]])&gt;100),1,0)</f>
        <v>0</v>
      </c>
      <c r="J4161">
        <f>IF(Table13[[#This Row],[POS]]=0,1,0)</f>
        <v>0</v>
      </c>
      <c r="K4161">
        <f>SUM(Table13[[#This Row],[prefix]],Table13[[#This Row],[Past zero L]],Table13[[#This Row],[Past Zero R]],Table13[[#This Row],[Is Zero]])</f>
        <v>1</v>
      </c>
    </row>
    <row r="4162" spans="1:11" ht="16" x14ac:dyDescent="0.2">
      <c r="A4162" s="1" t="s">
        <v>40</v>
      </c>
      <c r="B4162" t="str">
        <f>LEFT(Table13[[#This Row],[Input]],1)</f>
        <v>R</v>
      </c>
      <c r="C4162">
        <f>_xlfn.LET(_xlpm.steps,SUBSTITUTE(Table13[[#This Row],[Input]],Table13[[#This Row],[Direction]],""),VALUE(IF(LEN(_xlpm.steps)&gt;2,RIGHT(_xlpm.steps,2),_xlpm.steps)))</f>
        <v>52</v>
      </c>
      <c r="D4162">
        <f>_xlfn.LET(_xlpm.steps,SUBSTITUTE(Table13[[#This Row],[Input]],Table13[[#This Row],[Direction]],""),VALUE(IF(LEN(_xlpm.steps)&gt;2,LEFT(_xlpm.steps,LEN(_xlpm.steps)-2),0)))</f>
        <v>0</v>
      </c>
      <c r="E4162">
        <f>_xlfn.LET(_xlpm.dir,Table13[[#This Row],[Direction]],
IF(_xlpm.dir="L",
    IF(G4161-Table13[[#This Row],[Steps]]&lt;0,100+(G4161-Table13[[#This Row],[Steps]]),G4161-Table13[[#This Row],[Steps]]),
))</f>
        <v>0</v>
      </c>
      <c r="F4162">
        <f>_xlfn.LET(_xlpm.dir,Table13[[#This Row],[Direction]],
IF(_xlpm.dir="R",
    IF(G4161+Table13[[#This Row],[Steps]]&gt;99,(G4161+Table13[[#This Row],[Steps]])-100,G4161+Table13[[#This Row],[Steps]]),
))</f>
        <v>0</v>
      </c>
      <c r="G4162">
        <f>IF(Table13[[#This Row],[New Pos L]]&lt;&gt;0,Table13[[#This Row],[New Pos L]],Table13[[#This Row],[New Pos R]])</f>
        <v>0</v>
      </c>
      <c r="H4162">
        <f>IF(AND(Table13[[#This Row],[Direction]]="L",Table13[[#This Row],[Steps]]&gt;G4161,G4161&lt;&gt;0),1,0)</f>
        <v>0</v>
      </c>
      <c r="I4162">
        <f>IF(AND(Table13[[#This Row],[Direction]]="R",(G4161+Table13[[#This Row],[Steps]])&gt;100),1,0)</f>
        <v>0</v>
      </c>
      <c r="J4162">
        <f>IF(Table13[[#This Row],[POS]]=0,1,0)</f>
        <v>1</v>
      </c>
      <c r="K4162">
        <f>SUM(Table13[[#This Row],[prefix]],Table13[[#This Row],[Past zero L]],Table13[[#This Row],[Past Zero R]],Table13[[#This Row],[Is Zero]])</f>
        <v>1</v>
      </c>
    </row>
    <row r="4163" spans="1:11" ht="16" x14ac:dyDescent="0.2">
      <c r="A4163" s="1" t="s">
        <v>5</v>
      </c>
      <c r="B4163" t="str">
        <f>LEFT(Table13[[#This Row],[Input]],1)</f>
        <v>R</v>
      </c>
      <c r="C4163">
        <f>_xlfn.LET(_xlpm.steps,SUBSTITUTE(Table13[[#This Row],[Input]],Table13[[#This Row],[Direction]],""),VALUE(IF(LEN(_xlpm.steps)&gt;2,RIGHT(_xlpm.steps,2),_xlpm.steps)))</f>
        <v>1</v>
      </c>
      <c r="D4163">
        <f>_xlfn.LET(_xlpm.steps,SUBSTITUTE(Table13[[#This Row],[Input]],Table13[[#This Row],[Direction]],""),VALUE(IF(LEN(_xlpm.steps)&gt;2,LEFT(_xlpm.steps,LEN(_xlpm.steps)-2),0)))</f>
        <v>0</v>
      </c>
      <c r="E4163">
        <f>_xlfn.LET(_xlpm.dir,Table13[[#This Row],[Direction]],
IF(_xlpm.dir="L",
    IF(G4162-Table13[[#This Row],[Steps]]&lt;0,100+(G4162-Table13[[#This Row],[Steps]]),G4162-Table13[[#This Row],[Steps]]),
))</f>
        <v>0</v>
      </c>
      <c r="F4163">
        <f>_xlfn.LET(_xlpm.dir,Table13[[#This Row],[Direction]],
IF(_xlpm.dir="R",
    IF(G4162+Table13[[#This Row],[Steps]]&gt;99,(G4162+Table13[[#This Row],[Steps]])-100,G4162+Table13[[#This Row],[Steps]]),
))</f>
        <v>1</v>
      </c>
      <c r="G4163">
        <f>IF(Table13[[#This Row],[New Pos L]]&lt;&gt;0,Table13[[#This Row],[New Pos L]],Table13[[#This Row],[New Pos R]])</f>
        <v>1</v>
      </c>
      <c r="H4163">
        <f>IF(AND(Table13[[#This Row],[Direction]]="L",Table13[[#This Row],[Steps]]&gt;G4162,G4162&lt;&gt;0),1,0)</f>
        <v>0</v>
      </c>
      <c r="I4163">
        <f>IF(AND(Table13[[#This Row],[Direction]]="R",(G4162+Table13[[#This Row],[Steps]])&gt;100),1,0)</f>
        <v>0</v>
      </c>
      <c r="J4163">
        <f>IF(Table13[[#This Row],[POS]]=0,1,0)</f>
        <v>0</v>
      </c>
      <c r="K4163">
        <f>SUM(Table13[[#This Row],[prefix]],Table13[[#This Row],[Past zero L]],Table13[[#This Row],[Past Zero R]],Table13[[#This Row],[Is Zero]])</f>
        <v>0</v>
      </c>
    </row>
    <row r="4164" spans="1:11" ht="16" x14ac:dyDescent="0.2">
      <c r="A4164" s="1" t="s">
        <v>80</v>
      </c>
      <c r="B4164" t="str">
        <f>LEFT(Table13[[#This Row],[Input]],1)</f>
        <v>L</v>
      </c>
      <c r="C4164">
        <f>_xlfn.LET(_xlpm.steps,SUBSTITUTE(Table13[[#This Row],[Input]],Table13[[#This Row],[Direction]],""),VALUE(IF(LEN(_xlpm.steps)&gt;2,RIGHT(_xlpm.steps,2),_xlpm.steps)))</f>
        <v>48</v>
      </c>
      <c r="D4164">
        <f>_xlfn.LET(_xlpm.steps,SUBSTITUTE(Table13[[#This Row],[Input]],Table13[[#This Row],[Direction]],""),VALUE(IF(LEN(_xlpm.steps)&gt;2,LEFT(_xlpm.steps,LEN(_xlpm.steps)-2),0)))</f>
        <v>0</v>
      </c>
      <c r="E4164">
        <f>_xlfn.LET(_xlpm.dir,Table13[[#This Row],[Direction]],
IF(_xlpm.dir="L",
    IF(G4163-Table13[[#This Row],[Steps]]&lt;0,100+(G4163-Table13[[#This Row],[Steps]]),G4163-Table13[[#This Row],[Steps]]),
))</f>
        <v>53</v>
      </c>
      <c r="F4164">
        <f>_xlfn.LET(_xlpm.dir,Table13[[#This Row],[Direction]],
IF(_xlpm.dir="R",
    IF(G4163+Table13[[#This Row],[Steps]]&gt;99,(G4163+Table13[[#This Row],[Steps]])-100,G4163+Table13[[#This Row],[Steps]]),
))</f>
        <v>0</v>
      </c>
      <c r="G4164">
        <f>IF(Table13[[#This Row],[New Pos L]]&lt;&gt;0,Table13[[#This Row],[New Pos L]],Table13[[#This Row],[New Pos R]])</f>
        <v>53</v>
      </c>
      <c r="H4164">
        <f>IF(AND(Table13[[#This Row],[Direction]]="L",Table13[[#This Row],[Steps]]&gt;G4163,G4163&lt;&gt;0),1,0)</f>
        <v>1</v>
      </c>
      <c r="I4164">
        <f>IF(AND(Table13[[#This Row],[Direction]]="R",(G4163+Table13[[#This Row],[Steps]])&gt;100),1,0)</f>
        <v>0</v>
      </c>
      <c r="J4164">
        <f>IF(Table13[[#This Row],[POS]]=0,1,0)</f>
        <v>0</v>
      </c>
      <c r="K4164">
        <f>SUM(Table13[[#This Row],[prefix]],Table13[[#This Row],[Past zero L]],Table13[[#This Row],[Past Zero R]],Table13[[#This Row],[Is Zero]])</f>
        <v>1</v>
      </c>
    </row>
    <row r="4165" spans="1:11" ht="16" x14ac:dyDescent="0.2">
      <c r="A4165" s="1" t="s">
        <v>293</v>
      </c>
      <c r="B4165" t="str">
        <f>LEFT(Table13[[#This Row],[Input]],1)</f>
        <v>R</v>
      </c>
      <c r="C4165">
        <f>_xlfn.LET(_xlpm.steps,SUBSTITUTE(Table13[[#This Row],[Input]],Table13[[#This Row],[Direction]],""),VALUE(IF(LEN(_xlpm.steps)&gt;2,RIGHT(_xlpm.steps,2),_xlpm.steps)))</f>
        <v>67</v>
      </c>
      <c r="D4165">
        <f>_xlfn.LET(_xlpm.steps,SUBSTITUTE(Table13[[#This Row],[Input]],Table13[[#This Row],[Direction]],""),VALUE(IF(LEN(_xlpm.steps)&gt;2,LEFT(_xlpm.steps,LEN(_xlpm.steps)-2),0)))</f>
        <v>0</v>
      </c>
      <c r="E4165">
        <f>_xlfn.LET(_xlpm.dir,Table13[[#This Row],[Direction]],
IF(_xlpm.dir="L",
    IF(G4164-Table13[[#This Row],[Steps]]&lt;0,100+(G4164-Table13[[#This Row],[Steps]]),G4164-Table13[[#This Row],[Steps]]),
))</f>
        <v>0</v>
      </c>
      <c r="F4165">
        <f>_xlfn.LET(_xlpm.dir,Table13[[#This Row],[Direction]],
IF(_xlpm.dir="R",
    IF(G4164+Table13[[#This Row],[Steps]]&gt;99,(G4164+Table13[[#This Row],[Steps]])-100,G4164+Table13[[#This Row],[Steps]]),
))</f>
        <v>20</v>
      </c>
      <c r="G4165">
        <f>IF(Table13[[#This Row],[New Pos L]]&lt;&gt;0,Table13[[#This Row],[New Pos L]],Table13[[#This Row],[New Pos R]])</f>
        <v>20</v>
      </c>
      <c r="H4165">
        <f>IF(AND(Table13[[#This Row],[Direction]]="L",Table13[[#This Row],[Steps]]&gt;G4164,G4164&lt;&gt;0),1,0)</f>
        <v>0</v>
      </c>
      <c r="I4165">
        <f>IF(AND(Table13[[#This Row],[Direction]]="R",(G4164+Table13[[#This Row],[Steps]])&gt;100),1,0)</f>
        <v>1</v>
      </c>
      <c r="J4165">
        <f>IF(Table13[[#This Row],[POS]]=0,1,0)</f>
        <v>0</v>
      </c>
      <c r="K4165">
        <f>SUM(Table13[[#This Row],[prefix]],Table13[[#This Row],[Past zero L]],Table13[[#This Row],[Past Zero R]],Table13[[#This Row],[Is Zero]])</f>
        <v>1</v>
      </c>
    </row>
    <row r="4166" spans="1:11" ht="16" x14ac:dyDescent="0.2">
      <c r="A4166" s="1" t="s">
        <v>25</v>
      </c>
      <c r="B4166" t="str">
        <f>LEFT(Table13[[#This Row],[Input]],1)</f>
        <v>L</v>
      </c>
      <c r="C4166">
        <f>_xlfn.LET(_xlpm.steps,SUBSTITUTE(Table13[[#This Row],[Input]],Table13[[#This Row],[Direction]],""),VALUE(IF(LEN(_xlpm.steps)&gt;2,RIGHT(_xlpm.steps,2),_xlpm.steps)))</f>
        <v>20</v>
      </c>
      <c r="D4166">
        <f>_xlfn.LET(_xlpm.steps,SUBSTITUTE(Table13[[#This Row],[Input]],Table13[[#This Row],[Direction]],""),VALUE(IF(LEN(_xlpm.steps)&gt;2,LEFT(_xlpm.steps,LEN(_xlpm.steps)-2),0)))</f>
        <v>0</v>
      </c>
      <c r="E4166">
        <f>_xlfn.LET(_xlpm.dir,Table13[[#This Row],[Direction]],
IF(_xlpm.dir="L",
    IF(G4165-Table13[[#This Row],[Steps]]&lt;0,100+(G4165-Table13[[#This Row],[Steps]]),G4165-Table13[[#This Row],[Steps]]),
))</f>
        <v>0</v>
      </c>
      <c r="F4166">
        <f>_xlfn.LET(_xlpm.dir,Table13[[#This Row],[Direction]],
IF(_xlpm.dir="R",
    IF(G4165+Table13[[#This Row],[Steps]]&gt;99,(G4165+Table13[[#This Row],[Steps]])-100,G4165+Table13[[#This Row],[Steps]]),
))</f>
        <v>0</v>
      </c>
      <c r="G4166">
        <f>IF(Table13[[#This Row],[New Pos L]]&lt;&gt;0,Table13[[#This Row],[New Pos L]],Table13[[#This Row],[New Pos R]])</f>
        <v>0</v>
      </c>
      <c r="H4166">
        <f>IF(AND(Table13[[#This Row],[Direction]]="L",Table13[[#This Row],[Steps]]&gt;G4165,G4165&lt;&gt;0),1,0)</f>
        <v>0</v>
      </c>
      <c r="I4166">
        <f>IF(AND(Table13[[#This Row],[Direction]]="R",(G4165+Table13[[#This Row],[Steps]])&gt;100),1,0)</f>
        <v>0</v>
      </c>
      <c r="J4166">
        <f>IF(Table13[[#This Row],[POS]]=0,1,0)</f>
        <v>1</v>
      </c>
      <c r="K4166">
        <f>SUM(Table13[[#This Row],[prefix]],Table13[[#This Row],[Past zero L]],Table13[[#This Row],[Past Zero R]],Table13[[#This Row],[Is Zero]])</f>
        <v>1</v>
      </c>
    </row>
    <row r="4167" spans="1:11" ht="16" x14ac:dyDescent="0.2">
      <c r="A4167" s="1" t="s">
        <v>845</v>
      </c>
      <c r="B4167" t="str">
        <f>LEFT(Table13[[#This Row],[Input]],1)</f>
        <v>L</v>
      </c>
      <c r="C4167">
        <f>_xlfn.LET(_xlpm.steps,SUBSTITUTE(Table13[[#This Row],[Input]],Table13[[#This Row],[Direction]],""),VALUE(IF(LEN(_xlpm.steps)&gt;2,RIGHT(_xlpm.steps,2),_xlpm.steps)))</f>
        <v>45</v>
      </c>
      <c r="D4167">
        <f>_xlfn.LET(_xlpm.steps,SUBSTITUTE(Table13[[#This Row],[Input]],Table13[[#This Row],[Direction]],""),VALUE(IF(LEN(_xlpm.steps)&gt;2,LEFT(_xlpm.steps,LEN(_xlpm.steps)-2),0)))</f>
        <v>9</v>
      </c>
      <c r="E4167">
        <f>_xlfn.LET(_xlpm.dir,Table13[[#This Row],[Direction]],
IF(_xlpm.dir="L",
    IF(G4166-Table13[[#This Row],[Steps]]&lt;0,100+(G4166-Table13[[#This Row],[Steps]]),G4166-Table13[[#This Row],[Steps]]),
))</f>
        <v>55</v>
      </c>
      <c r="F4167">
        <f>_xlfn.LET(_xlpm.dir,Table13[[#This Row],[Direction]],
IF(_xlpm.dir="R",
    IF(G4166+Table13[[#This Row],[Steps]]&gt;99,(G4166+Table13[[#This Row],[Steps]])-100,G4166+Table13[[#This Row],[Steps]]),
))</f>
        <v>0</v>
      </c>
      <c r="G4167">
        <f>IF(Table13[[#This Row],[New Pos L]]&lt;&gt;0,Table13[[#This Row],[New Pos L]],Table13[[#This Row],[New Pos R]])</f>
        <v>55</v>
      </c>
      <c r="H4167">
        <f>IF(AND(Table13[[#This Row],[Direction]]="L",Table13[[#This Row],[Steps]]&gt;G4166,G4166&lt;&gt;0),1,0)</f>
        <v>0</v>
      </c>
      <c r="I4167">
        <f>IF(AND(Table13[[#This Row],[Direction]]="R",(G4166+Table13[[#This Row],[Steps]])&gt;100),1,0)</f>
        <v>0</v>
      </c>
      <c r="J4167">
        <f>IF(Table13[[#This Row],[POS]]=0,1,0)</f>
        <v>0</v>
      </c>
      <c r="K4167">
        <f>SUM(Table13[[#This Row],[prefix]],Table13[[#This Row],[Past zero L]],Table13[[#This Row],[Past Zero R]],Table13[[#This Row],[Is Zero]])</f>
        <v>9</v>
      </c>
    </row>
    <row r="4168" spans="1:11" ht="16" x14ac:dyDescent="0.2">
      <c r="A4168" s="1" t="s">
        <v>210</v>
      </c>
      <c r="B4168" t="str">
        <f>LEFT(Table13[[#This Row],[Input]],1)</f>
        <v>R</v>
      </c>
      <c r="C4168">
        <f>_xlfn.LET(_xlpm.steps,SUBSTITUTE(Table13[[#This Row],[Input]],Table13[[#This Row],[Direction]],""),VALUE(IF(LEN(_xlpm.steps)&gt;2,RIGHT(_xlpm.steps,2),_xlpm.steps)))</f>
        <v>89</v>
      </c>
      <c r="D4168">
        <f>_xlfn.LET(_xlpm.steps,SUBSTITUTE(Table13[[#This Row],[Input]],Table13[[#This Row],[Direction]],""),VALUE(IF(LEN(_xlpm.steps)&gt;2,LEFT(_xlpm.steps,LEN(_xlpm.steps)-2),0)))</f>
        <v>0</v>
      </c>
      <c r="E4168">
        <f>_xlfn.LET(_xlpm.dir,Table13[[#This Row],[Direction]],
IF(_xlpm.dir="L",
    IF(G4167-Table13[[#This Row],[Steps]]&lt;0,100+(G4167-Table13[[#This Row],[Steps]]),G4167-Table13[[#This Row],[Steps]]),
))</f>
        <v>0</v>
      </c>
      <c r="F4168">
        <f>_xlfn.LET(_xlpm.dir,Table13[[#This Row],[Direction]],
IF(_xlpm.dir="R",
    IF(G4167+Table13[[#This Row],[Steps]]&gt;99,(G4167+Table13[[#This Row],[Steps]])-100,G4167+Table13[[#This Row],[Steps]]),
))</f>
        <v>44</v>
      </c>
      <c r="G4168">
        <f>IF(Table13[[#This Row],[New Pos L]]&lt;&gt;0,Table13[[#This Row],[New Pos L]],Table13[[#This Row],[New Pos R]])</f>
        <v>44</v>
      </c>
      <c r="H4168">
        <f>IF(AND(Table13[[#This Row],[Direction]]="L",Table13[[#This Row],[Steps]]&gt;G4167,G4167&lt;&gt;0),1,0)</f>
        <v>0</v>
      </c>
      <c r="I4168">
        <f>IF(AND(Table13[[#This Row],[Direction]]="R",(G4167+Table13[[#This Row],[Steps]])&gt;100),1,0)</f>
        <v>1</v>
      </c>
      <c r="J4168">
        <f>IF(Table13[[#This Row],[POS]]=0,1,0)</f>
        <v>0</v>
      </c>
      <c r="K4168">
        <f>SUM(Table13[[#This Row],[prefix]],Table13[[#This Row],[Past zero L]],Table13[[#This Row],[Past Zero R]],Table13[[#This Row],[Is Zero]])</f>
        <v>1</v>
      </c>
    </row>
    <row r="4169" spans="1:11" ht="16" x14ac:dyDescent="0.2">
      <c r="A4169" s="1" t="s">
        <v>0</v>
      </c>
      <c r="B4169" t="str">
        <f>LEFT(Table13[[#This Row],[Input]],1)</f>
        <v>L</v>
      </c>
      <c r="C4169">
        <f>_xlfn.LET(_xlpm.steps,SUBSTITUTE(Table13[[#This Row],[Input]],Table13[[#This Row],[Direction]],""),VALUE(IF(LEN(_xlpm.steps)&gt;2,RIGHT(_xlpm.steps,2),_xlpm.steps)))</f>
        <v>44</v>
      </c>
      <c r="D4169">
        <f>_xlfn.LET(_xlpm.steps,SUBSTITUTE(Table13[[#This Row],[Input]],Table13[[#This Row],[Direction]],""),VALUE(IF(LEN(_xlpm.steps)&gt;2,LEFT(_xlpm.steps,LEN(_xlpm.steps)-2),0)))</f>
        <v>0</v>
      </c>
      <c r="E4169">
        <f>_xlfn.LET(_xlpm.dir,Table13[[#This Row],[Direction]],
IF(_xlpm.dir="L",
    IF(G4168-Table13[[#This Row],[Steps]]&lt;0,100+(G4168-Table13[[#This Row],[Steps]]),G4168-Table13[[#This Row],[Steps]]),
))</f>
        <v>0</v>
      </c>
      <c r="F4169">
        <f>_xlfn.LET(_xlpm.dir,Table13[[#This Row],[Direction]],
IF(_xlpm.dir="R",
    IF(G4168+Table13[[#This Row],[Steps]]&gt;99,(G4168+Table13[[#This Row],[Steps]])-100,G4168+Table13[[#This Row],[Steps]]),
))</f>
        <v>0</v>
      </c>
      <c r="G4169">
        <f>IF(Table13[[#This Row],[New Pos L]]&lt;&gt;0,Table13[[#This Row],[New Pos L]],Table13[[#This Row],[New Pos R]])</f>
        <v>0</v>
      </c>
      <c r="H4169">
        <f>IF(AND(Table13[[#This Row],[Direction]]="L",Table13[[#This Row],[Steps]]&gt;G4168,G4168&lt;&gt;0),1,0)</f>
        <v>0</v>
      </c>
      <c r="I4169">
        <f>IF(AND(Table13[[#This Row],[Direction]]="R",(G4168+Table13[[#This Row],[Steps]])&gt;100),1,0)</f>
        <v>0</v>
      </c>
      <c r="J4169">
        <f>IF(Table13[[#This Row],[POS]]=0,1,0)</f>
        <v>1</v>
      </c>
      <c r="K4169">
        <f>SUM(Table13[[#This Row],[prefix]],Table13[[#This Row],[Past zero L]],Table13[[#This Row],[Past Zero R]],Table13[[#This Row],[Is Zero]])</f>
        <v>1</v>
      </c>
    </row>
    <row r="4170" spans="1:11" ht="16" x14ac:dyDescent="0.2">
      <c r="A4170" s="1" t="s">
        <v>188</v>
      </c>
      <c r="B4170" t="str">
        <f>LEFT(Table13[[#This Row],[Input]],1)</f>
        <v>R</v>
      </c>
      <c r="C4170">
        <f>_xlfn.LET(_xlpm.steps,SUBSTITUTE(Table13[[#This Row],[Input]],Table13[[#This Row],[Direction]],""),VALUE(IF(LEN(_xlpm.steps)&gt;2,RIGHT(_xlpm.steps,2),_xlpm.steps)))</f>
        <v>5</v>
      </c>
      <c r="D4170">
        <f>_xlfn.LET(_xlpm.steps,SUBSTITUTE(Table13[[#This Row],[Input]],Table13[[#This Row],[Direction]],""),VALUE(IF(LEN(_xlpm.steps)&gt;2,LEFT(_xlpm.steps,LEN(_xlpm.steps)-2),0)))</f>
        <v>0</v>
      </c>
      <c r="E4170">
        <f>_xlfn.LET(_xlpm.dir,Table13[[#This Row],[Direction]],
IF(_xlpm.dir="L",
    IF(G4169-Table13[[#This Row],[Steps]]&lt;0,100+(G4169-Table13[[#This Row],[Steps]]),G4169-Table13[[#This Row],[Steps]]),
))</f>
        <v>0</v>
      </c>
      <c r="F4170">
        <f>_xlfn.LET(_xlpm.dir,Table13[[#This Row],[Direction]],
IF(_xlpm.dir="R",
    IF(G4169+Table13[[#This Row],[Steps]]&gt;99,(G4169+Table13[[#This Row],[Steps]])-100,G4169+Table13[[#This Row],[Steps]]),
))</f>
        <v>5</v>
      </c>
      <c r="G4170">
        <f>IF(Table13[[#This Row],[New Pos L]]&lt;&gt;0,Table13[[#This Row],[New Pos L]],Table13[[#This Row],[New Pos R]])</f>
        <v>5</v>
      </c>
      <c r="H4170">
        <f>IF(AND(Table13[[#This Row],[Direction]]="L",Table13[[#This Row],[Steps]]&gt;G4169,G4169&lt;&gt;0),1,0)</f>
        <v>0</v>
      </c>
      <c r="I4170">
        <f>IF(AND(Table13[[#This Row],[Direction]]="R",(G4169+Table13[[#This Row],[Steps]])&gt;100),1,0)</f>
        <v>0</v>
      </c>
      <c r="J4170">
        <f>IF(Table13[[#This Row],[POS]]=0,1,0)</f>
        <v>0</v>
      </c>
      <c r="K4170">
        <f>SUM(Table13[[#This Row],[prefix]],Table13[[#This Row],[Past zero L]],Table13[[#This Row],[Past Zero R]],Table13[[#This Row],[Is Zero]])</f>
        <v>0</v>
      </c>
    </row>
    <row r="4171" spans="1:11" ht="16" x14ac:dyDescent="0.2">
      <c r="A4171" s="1" t="s">
        <v>803</v>
      </c>
      <c r="B4171" t="str">
        <f>LEFT(Table13[[#This Row],[Input]],1)</f>
        <v>L</v>
      </c>
      <c r="C4171">
        <f>_xlfn.LET(_xlpm.steps,SUBSTITUTE(Table13[[#This Row],[Input]],Table13[[#This Row],[Direction]],""),VALUE(IF(LEN(_xlpm.steps)&gt;2,RIGHT(_xlpm.steps,2),_xlpm.steps)))</f>
        <v>33</v>
      </c>
      <c r="D4171">
        <f>_xlfn.LET(_xlpm.steps,SUBSTITUTE(Table13[[#This Row],[Input]],Table13[[#This Row],[Direction]],""),VALUE(IF(LEN(_xlpm.steps)&gt;2,LEFT(_xlpm.steps,LEN(_xlpm.steps)-2),0)))</f>
        <v>2</v>
      </c>
      <c r="E4171">
        <f>_xlfn.LET(_xlpm.dir,Table13[[#This Row],[Direction]],
IF(_xlpm.dir="L",
    IF(G4170-Table13[[#This Row],[Steps]]&lt;0,100+(G4170-Table13[[#This Row],[Steps]]),G4170-Table13[[#This Row],[Steps]]),
))</f>
        <v>72</v>
      </c>
      <c r="F4171">
        <f>_xlfn.LET(_xlpm.dir,Table13[[#This Row],[Direction]],
IF(_xlpm.dir="R",
    IF(G4170+Table13[[#This Row],[Steps]]&gt;99,(G4170+Table13[[#This Row],[Steps]])-100,G4170+Table13[[#This Row],[Steps]]),
))</f>
        <v>0</v>
      </c>
      <c r="G4171">
        <f>IF(Table13[[#This Row],[New Pos L]]&lt;&gt;0,Table13[[#This Row],[New Pos L]],Table13[[#This Row],[New Pos R]])</f>
        <v>72</v>
      </c>
      <c r="H4171">
        <f>IF(AND(Table13[[#This Row],[Direction]]="L",Table13[[#This Row],[Steps]]&gt;G4170,G4170&lt;&gt;0),1,0)</f>
        <v>1</v>
      </c>
      <c r="I4171">
        <f>IF(AND(Table13[[#This Row],[Direction]]="R",(G4170+Table13[[#This Row],[Steps]])&gt;100),1,0)</f>
        <v>0</v>
      </c>
      <c r="J4171">
        <f>IF(Table13[[#This Row],[POS]]=0,1,0)</f>
        <v>0</v>
      </c>
      <c r="K4171">
        <f>SUM(Table13[[#This Row],[prefix]],Table13[[#This Row],[Past zero L]],Table13[[#This Row],[Past Zero R]],Table13[[#This Row],[Is Zero]])</f>
        <v>3</v>
      </c>
    </row>
    <row r="4172" spans="1:11" ht="16" x14ac:dyDescent="0.2">
      <c r="A4172" s="1" t="s">
        <v>136</v>
      </c>
      <c r="B4172" t="str">
        <f>LEFT(Table13[[#This Row],[Input]],1)</f>
        <v>L</v>
      </c>
      <c r="C4172">
        <f>_xlfn.LET(_xlpm.steps,SUBSTITUTE(Table13[[#This Row],[Input]],Table13[[#This Row],[Direction]],""),VALUE(IF(LEN(_xlpm.steps)&gt;2,RIGHT(_xlpm.steps,2),_xlpm.steps)))</f>
        <v>72</v>
      </c>
      <c r="D4172">
        <f>_xlfn.LET(_xlpm.steps,SUBSTITUTE(Table13[[#This Row],[Input]],Table13[[#This Row],[Direction]],""),VALUE(IF(LEN(_xlpm.steps)&gt;2,LEFT(_xlpm.steps,LEN(_xlpm.steps)-2),0)))</f>
        <v>0</v>
      </c>
      <c r="E4172">
        <f>_xlfn.LET(_xlpm.dir,Table13[[#This Row],[Direction]],
IF(_xlpm.dir="L",
    IF(G4171-Table13[[#This Row],[Steps]]&lt;0,100+(G4171-Table13[[#This Row],[Steps]]),G4171-Table13[[#This Row],[Steps]]),
))</f>
        <v>0</v>
      </c>
      <c r="F4172">
        <f>_xlfn.LET(_xlpm.dir,Table13[[#This Row],[Direction]],
IF(_xlpm.dir="R",
    IF(G4171+Table13[[#This Row],[Steps]]&gt;99,(G4171+Table13[[#This Row],[Steps]])-100,G4171+Table13[[#This Row],[Steps]]),
))</f>
        <v>0</v>
      </c>
      <c r="G4172">
        <f>IF(Table13[[#This Row],[New Pos L]]&lt;&gt;0,Table13[[#This Row],[New Pos L]],Table13[[#This Row],[New Pos R]])</f>
        <v>0</v>
      </c>
      <c r="H4172">
        <f>IF(AND(Table13[[#This Row],[Direction]]="L",Table13[[#This Row],[Steps]]&gt;G4171,G4171&lt;&gt;0),1,0)</f>
        <v>0</v>
      </c>
      <c r="I4172">
        <f>IF(AND(Table13[[#This Row],[Direction]]="R",(G4171+Table13[[#This Row],[Steps]])&gt;100),1,0)</f>
        <v>0</v>
      </c>
      <c r="J4172">
        <f>IF(Table13[[#This Row],[POS]]=0,1,0)</f>
        <v>1</v>
      </c>
      <c r="K4172">
        <f>SUM(Table13[[#This Row],[prefix]],Table13[[#This Row],[Past zero L]],Table13[[#This Row],[Past Zero R]],Table13[[#This Row],[Is Zero]])</f>
        <v>1</v>
      </c>
    </row>
    <row r="4173" spans="1:11" ht="16" x14ac:dyDescent="0.2">
      <c r="A4173" s="1" t="s">
        <v>13</v>
      </c>
      <c r="B4173" t="str">
        <f>LEFT(Table13[[#This Row],[Input]],1)</f>
        <v>R</v>
      </c>
      <c r="C4173">
        <f>_xlfn.LET(_xlpm.steps,SUBSTITUTE(Table13[[#This Row],[Input]],Table13[[#This Row],[Direction]],""),VALUE(IF(LEN(_xlpm.steps)&gt;2,RIGHT(_xlpm.steps,2),_xlpm.steps)))</f>
        <v>12</v>
      </c>
      <c r="D4173">
        <f>_xlfn.LET(_xlpm.steps,SUBSTITUTE(Table13[[#This Row],[Input]],Table13[[#This Row],[Direction]],""),VALUE(IF(LEN(_xlpm.steps)&gt;2,LEFT(_xlpm.steps,LEN(_xlpm.steps)-2),0)))</f>
        <v>0</v>
      </c>
      <c r="E4173">
        <f>_xlfn.LET(_xlpm.dir,Table13[[#This Row],[Direction]],
IF(_xlpm.dir="L",
    IF(G4172-Table13[[#This Row],[Steps]]&lt;0,100+(G4172-Table13[[#This Row],[Steps]]),G4172-Table13[[#This Row],[Steps]]),
))</f>
        <v>0</v>
      </c>
      <c r="F4173">
        <f>_xlfn.LET(_xlpm.dir,Table13[[#This Row],[Direction]],
IF(_xlpm.dir="R",
    IF(G4172+Table13[[#This Row],[Steps]]&gt;99,(G4172+Table13[[#This Row],[Steps]])-100,G4172+Table13[[#This Row],[Steps]]),
))</f>
        <v>12</v>
      </c>
      <c r="G4173">
        <f>IF(Table13[[#This Row],[New Pos L]]&lt;&gt;0,Table13[[#This Row],[New Pos L]],Table13[[#This Row],[New Pos R]])</f>
        <v>12</v>
      </c>
      <c r="H4173">
        <f>IF(AND(Table13[[#This Row],[Direction]]="L",Table13[[#This Row],[Steps]]&gt;G4172,G4172&lt;&gt;0),1,0)</f>
        <v>0</v>
      </c>
      <c r="I4173">
        <f>IF(AND(Table13[[#This Row],[Direction]]="R",(G4172+Table13[[#This Row],[Steps]])&gt;100),1,0)</f>
        <v>0</v>
      </c>
      <c r="J4173">
        <f>IF(Table13[[#This Row],[POS]]=0,1,0)</f>
        <v>0</v>
      </c>
      <c r="K4173">
        <f>SUM(Table13[[#This Row],[prefix]],Table13[[#This Row],[Past zero L]],Table13[[#This Row],[Past Zero R]],Table13[[#This Row],[Is Zero]])</f>
        <v>0</v>
      </c>
    </row>
    <row r="4174" spans="1:11" ht="16" x14ac:dyDescent="0.2">
      <c r="A4174" s="1" t="s">
        <v>617</v>
      </c>
      <c r="B4174" t="str">
        <f>LEFT(Table13[[#This Row],[Input]],1)</f>
        <v>L</v>
      </c>
      <c r="C4174">
        <f>_xlfn.LET(_xlpm.steps,SUBSTITUTE(Table13[[#This Row],[Input]],Table13[[#This Row],[Direction]],""),VALUE(IF(LEN(_xlpm.steps)&gt;2,RIGHT(_xlpm.steps,2),_xlpm.steps)))</f>
        <v>24</v>
      </c>
      <c r="D4174">
        <f>_xlfn.LET(_xlpm.steps,SUBSTITUTE(Table13[[#This Row],[Input]],Table13[[#This Row],[Direction]],""),VALUE(IF(LEN(_xlpm.steps)&gt;2,LEFT(_xlpm.steps,LEN(_xlpm.steps)-2),0)))</f>
        <v>9</v>
      </c>
      <c r="E4174">
        <f>_xlfn.LET(_xlpm.dir,Table13[[#This Row],[Direction]],
IF(_xlpm.dir="L",
    IF(G4173-Table13[[#This Row],[Steps]]&lt;0,100+(G4173-Table13[[#This Row],[Steps]]),G4173-Table13[[#This Row],[Steps]]),
))</f>
        <v>88</v>
      </c>
      <c r="F4174">
        <f>_xlfn.LET(_xlpm.dir,Table13[[#This Row],[Direction]],
IF(_xlpm.dir="R",
    IF(G4173+Table13[[#This Row],[Steps]]&gt;99,(G4173+Table13[[#This Row],[Steps]])-100,G4173+Table13[[#This Row],[Steps]]),
))</f>
        <v>0</v>
      </c>
      <c r="G4174">
        <f>IF(Table13[[#This Row],[New Pos L]]&lt;&gt;0,Table13[[#This Row],[New Pos L]],Table13[[#This Row],[New Pos R]])</f>
        <v>88</v>
      </c>
      <c r="H4174">
        <f>IF(AND(Table13[[#This Row],[Direction]]="L",Table13[[#This Row],[Steps]]&gt;G4173,G4173&lt;&gt;0),1,0)</f>
        <v>1</v>
      </c>
      <c r="I4174">
        <f>IF(AND(Table13[[#This Row],[Direction]]="R",(G4173+Table13[[#This Row],[Steps]])&gt;100),1,0)</f>
        <v>0</v>
      </c>
      <c r="J4174">
        <f>IF(Table13[[#This Row],[POS]]=0,1,0)</f>
        <v>0</v>
      </c>
      <c r="K4174">
        <f>SUM(Table13[[#This Row],[prefix]],Table13[[#This Row],[Past zero L]],Table13[[#This Row],[Past Zero R]],Table13[[#This Row],[Is Zero]])</f>
        <v>10</v>
      </c>
    </row>
    <row r="4175" spans="1:11" ht="16" x14ac:dyDescent="0.2">
      <c r="A4175" s="1" t="s">
        <v>131</v>
      </c>
      <c r="B4175" t="str">
        <f>LEFT(Table13[[#This Row],[Input]],1)</f>
        <v>R</v>
      </c>
      <c r="C4175">
        <f>_xlfn.LET(_xlpm.steps,SUBSTITUTE(Table13[[#This Row],[Input]],Table13[[#This Row],[Direction]],""),VALUE(IF(LEN(_xlpm.steps)&gt;2,RIGHT(_xlpm.steps,2),_xlpm.steps)))</f>
        <v>99</v>
      </c>
      <c r="D4175">
        <f>_xlfn.LET(_xlpm.steps,SUBSTITUTE(Table13[[#This Row],[Input]],Table13[[#This Row],[Direction]],""),VALUE(IF(LEN(_xlpm.steps)&gt;2,LEFT(_xlpm.steps,LEN(_xlpm.steps)-2),0)))</f>
        <v>0</v>
      </c>
      <c r="E4175">
        <f>_xlfn.LET(_xlpm.dir,Table13[[#This Row],[Direction]],
IF(_xlpm.dir="L",
    IF(G4174-Table13[[#This Row],[Steps]]&lt;0,100+(G4174-Table13[[#This Row],[Steps]]),G4174-Table13[[#This Row],[Steps]]),
))</f>
        <v>0</v>
      </c>
      <c r="F4175">
        <f>_xlfn.LET(_xlpm.dir,Table13[[#This Row],[Direction]],
IF(_xlpm.dir="R",
    IF(G4174+Table13[[#This Row],[Steps]]&gt;99,(G4174+Table13[[#This Row],[Steps]])-100,G4174+Table13[[#This Row],[Steps]]),
))</f>
        <v>87</v>
      </c>
      <c r="G4175">
        <f>IF(Table13[[#This Row],[New Pos L]]&lt;&gt;0,Table13[[#This Row],[New Pos L]],Table13[[#This Row],[New Pos R]])</f>
        <v>87</v>
      </c>
      <c r="H4175">
        <f>IF(AND(Table13[[#This Row],[Direction]]="L",Table13[[#This Row],[Steps]]&gt;G4174,G4174&lt;&gt;0),1,0)</f>
        <v>0</v>
      </c>
      <c r="I4175">
        <f>IF(AND(Table13[[#This Row],[Direction]]="R",(G4174+Table13[[#This Row],[Steps]])&gt;100),1,0)</f>
        <v>1</v>
      </c>
      <c r="J4175">
        <f>IF(Table13[[#This Row],[POS]]=0,1,0)</f>
        <v>0</v>
      </c>
      <c r="K4175">
        <f>SUM(Table13[[#This Row],[prefix]],Table13[[#This Row],[Past zero L]],Table13[[#This Row],[Past Zero R]],Table13[[#This Row],[Is Zero]])</f>
        <v>1</v>
      </c>
    </row>
    <row r="4176" spans="1:11" ht="16" x14ac:dyDescent="0.2">
      <c r="A4176" s="1" t="s">
        <v>181</v>
      </c>
      <c r="B4176" t="str">
        <f>LEFT(Table13[[#This Row],[Input]],1)</f>
        <v>L</v>
      </c>
      <c r="C4176">
        <f>_xlfn.LET(_xlpm.steps,SUBSTITUTE(Table13[[#This Row],[Input]],Table13[[#This Row],[Direction]],""),VALUE(IF(LEN(_xlpm.steps)&gt;2,RIGHT(_xlpm.steps,2),_xlpm.steps)))</f>
        <v>53</v>
      </c>
      <c r="D4176">
        <f>_xlfn.LET(_xlpm.steps,SUBSTITUTE(Table13[[#This Row],[Input]],Table13[[#This Row],[Direction]],""),VALUE(IF(LEN(_xlpm.steps)&gt;2,LEFT(_xlpm.steps,LEN(_xlpm.steps)-2),0)))</f>
        <v>0</v>
      </c>
      <c r="E4176">
        <f>_xlfn.LET(_xlpm.dir,Table13[[#This Row],[Direction]],
IF(_xlpm.dir="L",
    IF(G4175-Table13[[#This Row],[Steps]]&lt;0,100+(G4175-Table13[[#This Row],[Steps]]),G4175-Table13[[#This Row],[Steps]]),
))</f>
        <v>34</v>
      </c>
      <c r="F4176">
        <f>_xlfn.LET(_xlpm.dir,Table13[[#This Row],[Direction]],
IF(_xlpm.dir="R",
    IF(G4175+Table13[[#This Row],[Steps]]&gt;99,(G4175+Table13[[#This Row],[Steps]])-100,G4175+Table13[[#This Row],[Steps]]),
))</f>
        <v>0</v>
      </c>
      <c r="G4176">
        <f>IF(Table13[[#This Row],[New Pos L]]&lt;&gt;0,Table13[[#This Row],[New Pos L]],Table13[[#This Row],[New Pos R]])</f>
        <v>34</v>
      </c>
      <c r="H4176">
        <f>IF(AND(Table13[[#This Row],[Direction]]="L",Table13[[#This Row],[Steps]]&gt;G4175,G4175&lt;&gt;0),1,0)</f>
        <v>0</v>
      </c>
      <c r="I4176">
        <f>IF(AND(Table13[[#This Row],[Direction]]="R",(G4175+Table13[[#This Row],[Steps]])&gt;100),1,0)</f>
        <v>0</v>
      </c>
      <c r="J4176">
        <f>IF(Table13[[#This Row],[POS]]=0,1,0)</f>
        <v>0</v>
      </c>
      <c r="K4176">
        <f>SUM(Table13[[#This Row],[prefix]],Table13[[#This Row],[Past zero L]],Table13[[#This Row],[Past Zero R]],Table13[[#This Row],[Is Zero]])</f>
        <v>0</v>
      </c>
    </row>
    <row r="4177" spans="1:11" ht="16" x14ac:dyDescent="0.2">
      <c r="A4177" s="1" t="s">
        <v>83</v>
      </c>
      <c r="B4177" t="str">
        <f>LEFT(Table13[[#This Row],[Input]],1)</f>
        <v>R</v>
      </c>
      <c r="C4177">
        <f>_xlfn.LET(_xlpm.steps,SUBSTITUTE(Table13[[#This Row],[Input]],Table13[[#This Row],[Direction]],""),VALUE(IF(LEN(_xlpm.steps)&gt;2,RIGHT(_xlpm.steps,2),_xlpm.steps)))</f>
        <v>79</v>
      </c>
      <c r="D4177">
        <f>_xlfn.LET(_xlpm.steps,SUBSTITUTE(Table13[[#This Row],[Input]],Table13[[#This Row],[Direction]],""),VALUE(IF(LEN(_xlpm.steps)&gt;2,LEFT(_xlpm.steps,LEN(_xlpm.steps)-2),0)))</f>
        <v>0</v>
      </c>
      <c r="E4177">
        <f>_xlfn.LET(_xlpm.dir,Table13[[#This Row],[Direction]],
IF(_xlpm.dir="L",
    IF(G4176-Table13[[#This Row],[Steps]]&lt;0,100+(G4176-Table13[[#This Row],[Steps]]),G4176-Table13[[#This Row],[Steps]]),
))</f>
        <v>0</v>
      </c>
      <c r="F4177">
        <f>_xlfn.LET(_xlpm.dir,Table13[[#This Row],[Direction]],
IF(_xlpm.dir="R",
    IF(G4176+Table13[[#This Row],[Steps]]&gt;99,(G4176+Table13[[#This Row],[Steps]])-100,G4176+Table13[[#This Row],[Steps]]),
))</f>
        <v>13</v>
      </c>
      <c r="G4177">
        <f>IF(Table13[[#This Row],[New Pos L]]&lt;&gt;0,Table13[[#This Row],[New Pos L]],Table13[[#This Row],[New Pos R]])</f>
        <v>13</v>
      </c>
      <c r="H4177">
        <f>IF(AND(Table13[[#This Row],[Direction]]="L",Table13[[#This Row],[Steps]]&gt;G4176,G4176&lt;&gt;0),1,0)</f>
        <v>0</v>
      </c>
      <c r="I4177">
        <f>IF(AND(Table13[[#This Row],[Direction]]="R",(G4176+Table13[[#This Row],[Steps]])&gt;100),1,0)</f>
        <v>1</v>
      </c>
      <c r="J4177">
        <f>IF(Table13[[#This Row],[POS]]=0,1,0)</f>
        <v>0</v>
      </c>
      <c r="K4177">
        <f>SUM(Table13[[#This Row],[prefix]],Table13[[#This Row],[Past zero L]],Table13[[#This Row],[Past Zero R]],Table13[[#This Row],[Is Zero]])</f>
        <v>1</v>
      </c>
    </row>
    <row r="4178" spans="1:11" ht="16" x14ac:dyDescent="0.2">
      <c r="A4178" s="1" t="s">
        <v>31</v>
      </c>
      <c r="B4178" t="str">
        <f>LEFT(Table13[[#This Row],[Input]],1)</f>
        <v>L</v>
      </c>
      <c r="C4178">
        <f>_xlfn.LET(_xlpm.steps,SUBSTITUTE(Table13[[#This Row],[Input]],Table13[[#This Row],[Direction]],""),VALUE(IF(LEN(_xlpm.steps)&gt;2,RIGHT(_xlpm.steps,2),_xlpm.steps)))</f>
        <v>13</v>
      </c>
      <c r="D4178">
        <f>_xlfn.LET(_xlpm.steps,SUBSTITUTE(Table13[[#This Row],[Input]],Table13[[#This Row],[Direction]],""),VALUE(IF(LEN(_xlpm.steps)&gt;2,LEFT(_xlpm.steps,LEN(_xlpm.steps)-2),0)))</f>
        <v>0</v>
      </c>
      <c r="E4178">
        <f>_xlfn.LET(_xlpm.dir,Table13[[#This Row],[Direction]],
IF(_xlpm.dir="L",
    IF(G4177-Table13[[#This Row],[Steps]]&lt;0,100+(G4177-Table13[[#This Row],[Steps]]),G4177-Table13[[#This Row],[Steps]]),
))</f>
        <v>0</v>
      </c>
      <c r="F4178">
        <f>_xlfn.LET(_xlpm.dir,Table13[[#This Row],[Direction]],
IF(_xlpm.dir="R",
    IF(G4177+Table13[[#This Row],[Steps]]&gt;99,(G4177+Table13[[#This Row],[Steps]])-100,G4177+Table13[[#This Row],[Steps]]),
))</f>
        <v>0</v>
      </c>
      <c r="G4178">
        <f>IF(Table13[[#This Row],[New Pos L]]&lt;&gt;0,Table13[[#This Row],[New Pos L]],Table13[[#This Row],[New Pos R]])</f>
        <v>0</v>
      </c>
      <c r="H4178">
        <f>IF(AND(Table13[[#This Row],[Direction]]="L",Table13[[#This Row],[Steps]]&gt;G4177,G4177&lt;&gt;0),1,0)</f>
        <v>0</v>
      </c>
      <c r="I4178">
        <f>IF(AND(Table13[[#This Row],[Direction]]="R",(G4177+Table13[[#This Row],[Steps]])&gt;100),1,0)</f>
        <v>0</v>
      </c>
      <c r="J4178">
        <f>IF(Table13[[#This Row],[POS]]=0,1,0)</f>
        <v>1</v>
      </c>
      <c r="K4178">
        <f>SUM(Table13[[#This Row],[prefix]],Table13[[#This Row],[Past zero L]],Table13[[#This Row],[Past Zero R]],Table13[[#This Row],[Is Zero]])</f>
        <v>1</v>
      </c>
    </row>
    <row r="4179" spans="1:11" ht="16" x14ac:dyDescent="0.2">
      <c r="A4179" s="1" t="s">
        <v>43</v>
      </c>
      <c r="B4179" t="str">
        <f>LEFT(Table13[[#This Row],[Input]],1)</f>
        <v>R</v>
      </c>
      <c r="C4179">
        <f>_xlfn.LET(_xlpm.steps,SUBSTITUTE(Table13[[#This Row],[Input]],Table13[[#This Row],[Direction]],""),VALUE(IF(LEN(_xlpm.steps)&gt;2,RIGHT(_xlpm.steps,2),_xlpm.steps)))</f>
        <v>90</v>
      </c>
      <c r="D4179">
        <f>_xlfn.LET(_xlpm.steps,SUBSTITUTE(Table13[[#This Row],[Input]],Table13[[#This Row],[Direction]],""),VALUE(IF(LEN(_xlpm.steps)&gt;2,LEFT(_xlpm.steps,LEN(_xlpm.steps)-2),0)))</f>
        <v>0</v>
      </c>
      <c r="E4179">
        <f>_xlfn.LET(_xlpm.dir,Table13[[#This Row],[Direction]],
IF(_xlpm.dir="L",
    IF(G4178-Table13[[#This Row],[Steps]]&lt;0,100+(G4178-Table13[[#This Row],[Steps]]),G4178-Table13[[#This Row],[Steps]]),
))</f>
        <v>0</v>
      </c>
      <c r="F4179">
        <f>_xlfn.LET(_xlpm.dir,Table13[[#This Row],[Direction]],
IF(_xlpm.dir="R",
    IF(G4178+Table13[[#This Row],[Steps]]&gt;99,(G4178+Table13[[#This Row],[Steps]])-100,G4178+Table13[[#This Row],[Steps]]),
))</f>
        <v>90</v>
      </c>
      <c r="G4179">
        <f>IF(Table13[[#This Row],[New Pos L]]&lt;&gt;0,Table13[[#This Row],[New Pos L]],Table13[[#This Row],[New Pos R]])</f>
        <v>90</v>
      </c>
      <c r="H4179">
        <f>IF(AND(Table13[[#This Row],[Direction]]="L",Table13[[#This Row],[Steps]]&gt;G4178,G4178&lt;&gt;0),1,0)</f>
        <v>0</v>
      </c>
      <c r="I4179">
        <f>IF(AND(Table13[[#This Row],[Direction]]="R",(G4178+Table13[[#This Row],[Steps]])&gt;100),1,0)</f>
        <v>0</v>
      </c>
      <c r="J4179">
        <f>IF(Table13[[#This Row],[POS]]=0,1,0)</f>
        <v>0</v>
      </c>
      <c r="K4179">
        <f>SUM(Table13[[#This Row],[prefix]],Table13[[#This Row],[Past zero L]],Table13[[#This Row],[Past Zero R]],Table13[[#This Row],[Is Zero]])</f>
        <v>0</v>
      </c>
    </row>
    <row r="4180" spans="1:11" ht="16" x14ac:dyDescent="0.2">
      <c r="A4180" s="1" t="s">
        <v>206</v>
      </c>
      <c r="B4180" t="str">
        <f>LEFT(Table13[[#This Row],[Input]],1)</f>
        <v>R</v>
      </c>
      <c r="C4180">
        <f>_xlfn.LET(_xlpm.steps,SUBSTITUTE(Table13[[#This Row],[Input]],Table13[[#This Row],[Direction]],""),VALUE(IF(LEN(_xlpm.steps)&gt;2,RIGHT(_xlpm.steps,2),_xlpm.steps)))</f>
        <v>62</v>
      </c>
      <c r="D4180">
        <f>_xlfn.LET(_xlpm.steps,SUBSTITUTE(Table13[[#This Row],[Input]],Table13[[#This Row],[Direction]],""),VALUE(IF(LEN(_xlpm.steps)&gt;2,LEFT(_xlpm.steps,LEN(_xlpm.steps)-2),0)))</f>
        <v>0</v>
      </c>
      <c r="E4180">
        <f>_xlfn.LET(_xlpm.dir,Table13[[#This Row],[Direction]],
IF(_xlpm.dir="L",
    IF(G4179-Table13[[#This Row],[Steps]]&lt;0,100+(G4179-Table13[[#This Row],[Steps]]),G4179-Table13[[#This Row],[Steps]]),
))</f>
        <v>0</v>
      </c>
      <c r="F4180">
        <f>_xlfn.LET(_xlpm.dir,Table13[[#This Row],[Direction]],
IF(_xlpm.dir="R",
    IF(G4179+Table13[[#This Row],[Steps]]&gt;99,(G4179+Table13[[#This Row],[Steps]])-100,G4179+Table13[[#This Row],[Steps]]),
))</f>
        <v>52</v>
      </c>
      <c r="G4180">
        <f>IF(Table13[[#This Row],[New Pos L]]&lt;&gt;0,Table13[[#This Row],[New Pos L]],Table13[[#This Row],[New Pos R]])</f>
        <v>52</v>
      </c>
      <c r="H4180">
        <f>IF(AND(Table13[[#This Row],[Direction]]="L",Table13[[#This Row],[Steps]]&gt;G4179,G4179&lt;&gt;0),1,0)</f>
        <v>0</v>
      </c>
      <c r="I4180">
        <f>IF(AND(Table13[[#This Row],[Direction]]="R",(G4179+Table13[[#This Row],[Steps]])&gt;100),1,0)</f>
        <v>1</v>
      </c>
      <c r="J4180">
        <f>IF(Table13[[#This Row],[POS]]=0,1,0)</f>
        <v>0</v>
      </c>
      <c r="K4180">
        <f>SUM(Table13[[#This Row],[prefix]],Table13[[#This Row],[Past zero L]],Table13[[#This Row],[Past Zero R]],Table13[[#This Row],[Is Zero]])</f>
        <v>1</v>
      </c>
    </row>
    <row r="4181" spans="1:11" ht="16" x14ac:dyDescent="0.2">
      <c r="A4181" s="1" t="s">
        <v>50</v>
      </c>
      <c r="B4181" t="str">
        <f>LEFT(Table13[[#This Row],[Input]],1)</f>
        <v>R</v>
      </c>
      <c r="C4181">
        <f>_xlfn.LET(_xlpm.steps,SUBSTITUTE(Table13[[#This Row],[Input]],Table13[[#This Row],[Direction]],""),VALUE(IF(LEN(_xlpm.steps)&gt;2,RIGHT(_xlpm.steps,2),_xlpm.steps)))</f>
        <v>78</v>
      </c>
      <c r="D4181">
        <f>_xlfn.LET(_xlpm.steps,SUBSTITUTE(Table13[[#This Row],[Input]],Table13[[#This Row],[Direction]],""),VALUE(IF(LEN(_xlpm.steps)&gt;2,LEFT(_xlpm.steps,LEN(_xlpm.steps)-2),0)))</f>
        <v>0</v>
      </c>
      <c r="E4181">
        <f>_xlfn.LET(_xlpm.dir,Table13[[#This Row],[Direction]],
IF(_xlpm.dir="L",
    IF(G4180-Table13[[#This Row],[Steps]]&lt;0,100+(G4180-Table13[[#This Row],[Steps]]),G4180-Table13[[#This Row],[Steps]]),
))</f>
        <v>0</v>
      </c>
      <c r="F4181">
        <f>_xlfn.LET(_xlpm.dir,Table13[[#This Row],[Direction]],
IF(_xlpm.dir="R",
    IF(G4180+Table13[[#This Row],[Steps]]&gt;99,(G4180+Table13[[#This Row],[Steps]])-100,G4180+Table13[[#This Row],[Steps]]),
))</f>
        <v>30</v>
      </c>
      <c r="G4181">
        <f>IF(Table13[[#This Row],[New Pos L]]&lt;&gt;0,Table13[[#This Row],[New Pos L]],Table13[[#This Row],[New Pos R]])</f>
        <v>30</v>
      </c>
      <c r="H4181">
        <f>IF(AND(Table13[[#This Row],[Direction]]="L",Table13[[#This Row],[Steps]]&gt;G4180,G4180&lt;&gt;0),1,0)</f>
        <v>0</v>
      </c>
      <c r="I4181">
        <f>IF(AND(Table13[[#This Row],[Direction]]="R",(G4180+Table13[[#This Row],[Steps]])&gt;100),1,0)</f>
        <v>1</v>
      </c>
      <c r="J4181">
        <f>IF(Table13[[#This Row],[POS]]=0,1,0)</f>
        <v>0</v>
      </c>
      <c r="K4181">
        <f>SUM(Table13[[#This Row],[prefix]],Table13[[#This Row],[Past zero L]],Table13[[#This Row],[Past Zero R]],Table13[[#This Row],[Is Zero]])</f>
        <v>1</v>
      </c>
    </row>
    <row r="4182" spans="1:11" ht="16" x14ac:dyDescent="0.2">
      <c r="A4182" s="1" t="s">
        <v>33</v>
      </c>
      <c r="B4182" t="str">
        <f>LEFT(Table13[[#This Row],[Input]],1)</f>
        <v>R</v>
      </c>
      <c r="C4182">
        <f>_xlfn.LET(_xlpm.steps,SUBSTITUTE(Table13[[#This Row],[Input]],Table13[[#This Row],[Direction]],""),VALUE(IF(LEN(_xlpm.steps)&gt;2,RIGHT(_xlpm.steps,2),_xlpm.steps)))</f>
        <v>22</v>
      </c>
      <c r="D4182">
        <f>_xlfn.LET(_xlpm.steps,SUBSTITUTE(Table13[[#This Row],[Input]],Table13[[#This Row],[Direction]],""),VALUE(IF(LEN(_xlpm.steps)&gt;2,LEFT(_xlpm.steps,LEN(_xlpm.steps)-2),0)))</f>
        <v>0</v>
      </c>
      <c r="E4182">
        <f>_xlfn.LET(_xlpm.dir,Table13[[#This Row],[Direction]],
IF(_xlpm.dir="L",
    IF(G4181-Table13[[#This Row],[Steps]]&lt;0,100+(G4181-Table13[[#This Row],[Steps]]),G4181-Table13[[#This Row],[Steps]]),
))</f>
        <v>0</v>
      </c>
      <c r="F4182">
        <f>_xlfn.LET(_xlpm.dir,Table13[[#This Row],[Direction]],
IF(_xlpm.dir="R",
    IF(G4181+Table13[[#This Row],[Steps]]&gt;99,(G4181+Table13[[#This Row],[Steps]])-100,G4181+Table13[[#This Row],[Steps]]),
))</f>
        <v>52</v>
      </c>
      <c r="G4182">
        <f>IF(Table13[[#This Row],[New Pos L]]&lt;&gt;0,Table13[[#This Row],[New Pos L]],Table13[[#This Row],[New Pos R]])</f>
        <v>52</v>
      </c>
      <c r="H4182">
        <f>IF(AND(Table13[[#This Row],[Direction]]="L",Table13[[#This Row],[Steps]]&gt;G4181,G4181&lt;&gt;0),1,0)</f>
        <v>0</v>
      </c>
      <c r="I4182">
        <f>IF(AND(Table13[[#This Row],[Direction]]="R",(G4181+Table13[[#This Row],[Steps]])&gt;100),1,0)</f>
        <v>0</v>
      </c>
      <c r="J4182">
        <f>IF(Table13[[#This Row],[POS]]=0,1,0)</f>
        <v>0</v>
      </c>
      <c r="K4182">
        <f>SUM(Table13[[#This Row],[prefix]],Table13[[#This Row],[Past zero L]],Table13[[#This Row],[Past Zero R]],Table13[[#This Row],[Is Zero]])</f>
        <v>0</v>
      </c>
    </row>
    <row r="4183" spans="1:11" ht="16" x14ac:dyDescent="0.2">
      <c r="A4183" s="1" t="s">
        <v>158</v>
      </c>
      <c r="B4183" t="str">
        <f>LEFT(Table13[[#This Row],[Input]],1)</f>
        <v>L</v>
      </c>
      <c r="C4183">
        <f>_xlfn.LET(_xlpm.steps,SUBSTITUTE(Table13[[#This Row],[Input]],Table13[[#This Row],[Direction]],""),VALUE(IF(LEN(_xlpm.steps)&gt;2,RIGHT(_xlpm.steps,2),_xlpm.steps)))</f>
        <v>24</v>
      </c>
      <c r="D4183">
        <f>_xlfn.LET(_xlpm.steps,SUBSTITUTE(Table13[[#This Row],[Input]],Table13[[#This Row],[Direction]],""),VALUE(IF(LEN(_xlpm.steps)&gt;2,LEFT(_xlpm.steps,LEN(_xlpm.steps)-2),0)))</f>
        <v>0</v>
      </c>
      <c r="E4183">
        <f>_xlfn.LET(_xlpm.dir,Table13[[#This Row],[Direction]],
IF(_xlpm.dir="L",
    IF(G4182-Table13[[#This Row],[Steps]]&lt;0,100+(G4182-Table13[[#This Row],[Steps]]),G4182-Table13[[#This Row],[Steps]]),
))</f>
        <v>28</v>
      </c>
      <c r="F4183">
        <f>_xlfn.LET(_xlpm.dir,Table13[[#This Row],[Direction]],
IF(_xlpm.dir="R",
    IF(G4182+Table13[[#This Row],[Steps]]&gt;99,(G4182+Table13[[#This Row],[Steps]])-100,G4182+Table13[[#This Row],[Steps]]),
))</f>
        <v>0</v>
      </c>
      <c r="G4183">
        <f>IF(Table13[[#This Row],[New Pos L]]&lt;&gt;0,Table13[[#This Row],[New Pos L]],Table13[[#This Row],[New Pos R]])</f>
        <v>28</v>
      </c>
      <c r="H4183">
        <f>IF(AND(Table13[[#This Row],[Direction]]="L",Table13[[#This Row],[Steps]]&gt;G4182,G4182&lt;&gt;0),1,0)</f>
        <v>0</v>
      </c>
      <c r="I4183">
        <f>IF(AND(Table13[[#This Row],[Direction]]="R",(G4182+Table13[[#This Row],[Steps]])&gt;100),1,0)</f>
        <v>0</v>
      </c>
      <c r="J4183">
        <f>IF(Table13[[#This Row],[POS]]=0,1,0)</f>
        <v>0</v>
      </c>
      <c r="K4183">
        <f>SUM(Table13[[#This Row],[prefix]],Table13[[#This Row],[Past zero L]],Table13[[#This Row],[Past Zero R]],Table13[[#This Row],[Is Zero]])</f>
        <v>0</v>
      </c>
    </row>
    <row r="4184" spans="1:11" ht="16" x14ac:dyDescent="0.2">
      <c r="A4184" s="1" t="s">
        <v>32</v>
      </c>
      <c r="B4184" t="str">
        <f>LEFT(Table13[[#This Row],[Input]],1)</f>
        <v>L</v>
      </c>
      <c r="C4184">
        <f>_xlfn.LET(_xlpm.steps,SUBSTITUTE(Table13[[#This Row],[Input]],Table13[[#This Row],[Direction]],""),VALUE(IF(LEN(_xlpm.steps)&gt;2,RIGHT(_xlpm.steps,2),_xlpm.steps)))</f>
        <v>28</v>
      </c>
      <c r="D4184">
        <f>_xlfn.LET(_xlpm.steps,SUBSTITUTE(Table13[[#This Row],[Input]],Table13[[#This Row],[Direction]],""),VALUE(IF(LEN(_xlpm.steps)&gt;2,LEFT(_xlpm.steps,LEN(_xlpm.steps)-2),0)))</f>
        <v>0</v>
      </c>
      <c r="E4184">
        <f>_xlfn.LET(_xlpm.dir,Table13[[#This Row],[Direction]],
IF(_xlpm.dir="L",
    IF(G4183-Table13[[#This Row],[Steps]]&lt;0,100+(G4183-Table13[[#This Row],[Steps]]),G4183-Table13[[#This Row],[Steps]]),
))</f>
        <v>0</v>
      </c>
      <c r="F4184">
        <f>_xlfn.LET(_xlpm.dir,Table13[[#This Row],[Direction]],
IF(_xlpm.dir="R",
    IF(G4183+Table13[[#This Row],[Steps]]&gt;99,(G4183+Table13[[#This Row],[Steps]])-100,G4183+Table13[[#This Row],[Steps]]),
))</f>
        <v>0</v>
      </c>
      <c r="G4184">
        <f>IF(Table13[[#This Row],[New Pos L]]&lt;&gt;0,Table13[[#This Row],[New Pos L]],Table13[[#This Row],[New Pos R]])</f>
        <v>0</v>
      </c>
      <c r="H4184">
        <f>IF(AND(Table13[[#This Row],[Direction]]="L",Table13[[#This Row],[Steps]]&gt;G4183,G4183&lt;&gt;0),1,0)</f>
        <v>0</v>
      </c>
      <c r="I4184">
        <f>IF(AND(Table13[[#This Row],[Direction]]="R",(G4183+Table13[[#This Row],[Steps]])&gt;100),1,0)</f>
        <v>0</v>
      </c>
      <c r="J4184">
        <f>IF(Table13[[#This Row],[POS]]=0,1,0)</f>
        <v>1</v>
      </c>
      <c r="K4184">
        <f>SUM(Table13[[#This Row],[prefix]],Table13[[#This Row],[Past zero L]],Table13[[#This Row],[Past Zero R]],Table13[[#This Row],[Is Zero]])</f>
        <v>1</v>
      </c>
    </row>
    <row r="4185" spans="1:11" ht="16" x14ac:dyDescent="0.2">
      <c r="A4185" s="1" t="s">
        <v>846</v>
      </c>
      <c r="B4185" t="str">
        <f>LEFT(Table13[[#This Row],[Input]],1)</f>
        <v>R</v>
      </c>
      <c r="C4185">
        <f>_xlfn.LET(_xlpm.steps,SUBSTITUTE(Table13[[#This Row],[Input]],Table13[[#This Row],[Direction]],""),VALUE(IF(LEN(_xlpm.steps)&gt;2,RIGHT(_xlpm.steps,2),_xlpm.steps)))</f>
        <v>27</v>
      </c>
      <c r="D4185">
        <f>_xlfn.LET(_xlpm.steps,SUBSTITUTE(Table13[[#This Row],[Input]],Table13[[#This Row],[Direction]],""),VALUE(IF(LEN(_xlpm.steps)&gt;2,LEFT(_xlpm.steps,LEN(_xlpm.steps)-2),0)))</f>
        <v>9</v>
      </c>
      <c r="E4185">
        <f>_xlfn.LET(_xlpm.dir,Table13[[#This Row],[Direction]],
IF(_xlpm.dir="L",
    IF(G4184-Table13[[#This Row],[Steps]]&lt;0,100+(G4184-Table13[[#This Row],[Steps]]),G4184-Table13[[#This Row],[Steps]]),
))</f>
        <v>0</v>
      </c>
      <c r="F4185">
        <f>_xlfn.LET(_xlpm.dir,Table13[[#This Row],[Direction]],
IF(_xlpm.dir="R",
    IF(G4184+Table13[[#This Row],[Steps]]&gt;99,(G4184+Table13[[#This Row],[Steps]])-100,G4184+Table13[[#This Row],[Steps]]),
))</f>
        <v>27</v>
      </c>
      <c r="G4185">
        <f>IF(Table13[[#This Row],[New Pos L]]&lt;&gt;0,Table13[[#This Row],[New Pos L]],Table13[[#This Row],[New Pos R]])</f>
        <v>27</v>
      </c>
      <c r="H4185">
        <f>IF(AND(Table13[[#This Row],[Direction]]="L",Table13[[#This Row],[Steps]]&gt;G4184,G4184&lt;&gt;0),1,0)</f>
        <v>0</v>
      </c>
      <c r="I4185">
        <f>IF(AND(Table13[[#This Row],[Direction]]="R",(G4184+Table13[[#This Row],[Steps]])&gt;100),1,0)</f>
        <v>0</v>
      </c>
      <c r="J4185">
        <f>IF(Table13[[#This Row],[POS]]=0,1,0)</f>
        <v>0</v>
      </c>
      <c r="K4185">
        <f>SUM(Table13[[#This Row],[prefix]],Table13[[#This Row],[Past zero L]],Table13[[#This Row],[Past Zero R]],Table13[[#This Row],[Is Zero]])</f>
        <v>9</v>
      </c>
    </row>
    <row r="4186" spans="1:11" ht="16" x14ac:dyDescent="0.2">
      <c r="A4186" s="1" t="s">
        <v>175</v>
      </c>
      <c r="B4186" t="str">
        <f>LEFT(Table13[[#This Row],[Input]],1)</f>
        <v>L</v>
      </c>
      <c r="C4186">
        <f>_xlfn.LET(_xlpm.steps,SUBSTITUTE(Table13[[#This Row],[Input]],Table13[[#This Row],[Direction]],""),VALUE(IF(LEN(_xlpm.steps)&gt;2,RIGHT(_xlpm.steps,2),_xlpm.steps)))</f>
        <v>1</v>
      </c>
      <c r="D4186">
        <f>_xlfn.LET(_xlpm.steps,SUBSTITUTE(Table13[[#This Row],[Input]],Table13[[#This Row],[Direction]],""),VALUE(IF(LEN(_xlpm.steps)&gt;2,LEFT(_xlpm.steps,LEN(_xlpm.steps)-2),0)))</f>
        <v>0</v>
      </c>
      <c r="E4186">
        <f>_xlfn.LET(_xlpm.dir,Table13[[#This Row],[Direction]],
IF(_xlpm.dir="L",
    IF(G4185-Table13[[#This Row],[Steps]]&lt;0,100+(G4185-Table13[[#This Row],[Steps]]),G4185-Table13[[#This Row],[Steps]]),
))</f>
        <v>26</v>
      </c>
      <c r="F4186">
        <f>_xlfn.LET(_xlpm.dir,Table13[[#This Row],[Direction]],
IF(_xlpm.dir="R",
    IF(G4185+Table13[[#This Row],[Steps]]&gt;99,(G4185+Table13[[#This Row],[Steps]])-100,G4185+Table13[[#This Row],[Steps]]),
))</f>
        <v>0</v>
      </c>
      <c r="G4186">
        <f>IF(Table13[[#This Row],[New Pos L]]&lt;&gt;0,Table13[[#This Row],[New Pos L]],Table13[[#This Row],[New Pos R]])</f>
        <v>26</v>
      </c>
      <c r="H4186">
        <f>IF(AND(Table13[[#This Row],[Direction]]="L",Table13[[#This Row],[Steps]]&gt;G4185,G4185&lt;&gt;0),1,0)</f>
        <v>0</v>
      </c>
      <c r="I4186">
        <f>IF(AND(Table13[[#This Row],[Direction]]="R",(G4185+Table13[[#This Row],[Steps]])&gt;100),1,0)</f>
        <v>0</v>
      </c>
      <c r="J4186">
        <f>IF(Table13[[#This Row],[POS]]=0,1,0)</f>
        <v>0</v>
      </c>
      <c r="K4186">
        <f>SUM(Table13[[#This Row],[prefix]],Table13[[#This Row],[Past zero L]],Table13[[#This Row],[Past Zero R]],Table13[[#This Row],[Is Zero]])</f>
        <v>0</v>
      </c>
    </row>
    <row r="4187" spans="1:11" ht="16" x14ac:dyDescent="0.2">
      <c r="A4187" s="1" t="s">
        <v>357</v>
      </c>
      <c r="B4187" t="str">
        <f>LEFT(Table13[[#This Row],[Input]],1)</f>
        <v>R</v>
      </c>
      <c r="C4187">
        <f>_xlfn.LET(_xlpm.steps,SUBSTITUTE(Table13[[#This Row],[Input]],Table13[[#This Row],[Direction]],""),VALUE(IF(LEN(_xlpm.steps)&gt;2,RIGHT(_xlpm.steps,2),_xlpm.steps)))</f>
        <v>72</v>
      </c>
      <c r="D4187">
        <f>_xlfn.LET(_xlpm.steps,SUBSTITUTE(Table13[[#This Row],[Input]],Table13[[#This Row],[Direction]],""),VALUE(IF(LEN(_xlpm.steps)&gt;2,LEFT(_xlpm.steps,LEN(_xlpm.steps)-2),0)))</f>
        <v>0</v>
      </c>
      <c r="E4187">
        <f>_xlfn.LET(_xlpm.dir,Table13[[#This Row],[Direction]],
IF(_xlpm.dir="L",
    IF(G4186-Table13[[#This Row],[Steps]]&lt;0,100+(G4186-Table13[[#This Row],[Steps]]),G4186-Table13[[#This Row],[Steps]]),
))</f>
        <v>0</v>
      </c>
      <c r="F4187">
        <f>_xlfn.LET(_xlpm.dir,Table13[[#This Row],[Direction]],
IF(_xlpm.dir="R",
    IF(G4186+Table13[[#This Row],[Steps]]&gt;99,(G4186+Table13[[#This Row],[Steps]])-100,G4186+Table13[[#This Row],[Steps]]),
))</f>
        <v>98</v>
      </c>
      <c r="G4187">
        <f>IF(Table13[[#This Row],[New Pos L]]&lt;&gt;0,Table13[[#This Row],[New Pos L]],Table13[[#This Row],[New Pos R]])</f>
        <v>98</v>
      </c>
      <c r="H4187">
        <f>IF(AND(Table13[[#This Row],[Direction]]="L",Table13[[#This Row],[Steps]]&gt;G4186,G4186&lt;&gt;0),1,0)</f>
        <v>0</v>
      </c>
      <c r="I4187">
        <f>IF(AND(Table13[[#This Row],[Direction]]="R",(G4186+Table13[[#This Row],[Steps]])&gt;100),1,0)</f>
        <v>0</v>
      </c>
      <c r="J4187">
        <f>IF(Table13[[#This Row],[POS]]=0,1,0)</f>
        <v>0</v>
      </c>
      <c r="K4187">
        <f>SUM(Table13[[#This Row],[prefix]],Table13[[#This Row],[Past zero L]],Table13[[#This Row],[Past Zero R]],Table13[[#This Row],[Is Zero]])</f>
        <v>0</v>
      </c>
    </row>
    <row r="4188" spans="1:11" ht="16" x14ac:dyDescent="0.2">
      <c r="A4188" s="1" t="s">
        <v>46</v>
      </c>
      <c r="B4188" t="str">
        <f>LEFT(Table13[[#This Row],[Input]],1)</f>
        <v>L</v>
      </c>
      <c r="C4188">
        <f>_xlfn.LET(_xlpm.steps,SUBSTITUTE(Table13[[#This Row],[Input]],Table13[[#This Row],[Direction]],""),VALUE(IF(LEN(_xlpm.steps)&gt;2,RIGHT(_xlpm.steps,2),_xlpm.steps)))</f>
        <v>97</v>
      </c>
      <c r="D4188">
        <f>_xlfn.LET(_xlpm.steps,SUBSTITUTE(Table13[[#This Row],[Input]],Table13[[#This Row],[Direction]],""),VALUE(IF(LEN(_xlpm.steps)&gt;2,LEFT(_xlpm.steps,LEN(_xlpm.steps)-2),0)))</f>
        <v>0</v>
      </c>
      <c r="E4188">
        <f>_xlfn.LET(_xlpm.dir,Table13[[#This Row],[Direction]],
IF(_xlpm.dir="L",
    IF(G4187-Table13[[#This Row],[Steps]]&lt;0,100+(G4187-Table13[[#This Row],[Steps]]),G4187-Table13[[#This Row],[Steps]]),
))</f>
        <v>1</v>
      </c>
      <c r="F4188">
        <f>_xlfn.LET(_xlpm.dir,Table13[[#This Row],[Direction]],
IF(_xlpm.dir="R",
    IF(G4187+Table13[[#This Row],[Steps]]&gt;99,(G4187+Table13[[#This Row],[Steps]])-100,G4187+Table13[[#This Row],[Steps]]),
))</f>
        <v>0</v>
      </c>
      <c r="G4188">
        <f>IF(Table13[[#This Row],[New Pos L]]&lt;&gt;0,Table13[[#This Row],[New Pos L]],Table13[[#This Row],[New Pos R]])</f>
        <v>1</v>
      </c>
      <c r="H4188">
        <f>IF(AND(Table13[[#This Row],[Direction]]="L",Table13[[#This Row],[Steps]]&gt;G4187,G4187&lt;&gt;0),1,0)</f>
        <v>0</v>
      </c>
      <c r="I4188">
        <f>IF(AND(Table13[[#This Row],[Direction]]="R",(G4187+Table13[[#This Row],[Steps]])&gt;100),1,0)</f>
        <v>0</v>
      </c>
      <c r="J4188">
        <f>IF(Table13[[#This Row],[POS]]=0,1,0)</f>
        <v>0</v>
      </c>
      <c r="K4188">
        <f>SUM(Table13[[#This Row],[prefix]],Table13[[#This Row],[Past zero L]],Table13[[#This Row],[Past Zero R]],Table13[[#This Row],[Is Zero]])</f>
        <v>0</v>
      </c>
    </row>
    <row r="4189" spans="1:11" ht="16" x14ac:dyDescent="0.2">
      <c r="A4189" s="1" t="s">
        <v>131</v>
      </c>
      <c r="B4189" t="str">
        <f>LEFT(Table13[[#This Row],[Input]],1)</f>
        <v>R</v>
      </c>
      <c r="C4189">
        <f>_xlfn.LET(_xlpm.steps,SUBSTITUTE(Table13[[#This Row],[Input]],Table13[[#This Row],[Direction]],""),VALUE(IF(LEN(_xlpm.steps)&gt;2,RIGHT(_xlpm.steps,2),_xlpm.steps)))</f>
        <v>99</v>
      </c>
      <c r="D4189">
        <f>_xlfn.LET(_xlpm.steps,SUBSTITUTE(Table13[[#This Row],[Input]],Table13[[#This Row],[Direction]],""),VALUE(IF(LEN(_xlpm.steps)&gt;2,LEFT(_xlpm.steps,LEN(_xlpm.steps)-2),0)))</f>
        <v>0</v>
      </c>
      <c r="E4189">
        <f>_xlfn.LET(_xlpm.dir,Table13[[#This Row],[Direction]],
IF(_xlpm.dir="L",
    IF(G4188-Table13[[#This Row],[Steps]]&lt;0,100+(G4188-Table13[[#This Row],[Steps]]),G4188-Table13[[#This Row],[Steps]]),
))</f>
        <v>0</v>
      </c>
      <c r="F4189">
        <f>_xlfn.LET(_xlpm.dir,Table13[[#This Row],[Direction]],
IF(_xlpm.dir="R",
    IF(G4188+Table13[[#This Row],[Steps]]&gt;99,(G4188+Table13[[#This Row],[Steps]])-100,G4188+Table13[[#This Row],[Steps]]),
))</f>
        <v>0</v>
      </c>
      <c r="G4189">
        <f>IF(Table13[[#This Row],[New Pos L]]&lt;&gt;0,Table13[[#This Row],[New Pos L]],Table13[[#This Row],[New Pos R]])</f>
        <v>0</v>
      </c>
      <c r="H4189">
        <f>IF(AND(Table13[[#This Row],[Direction]]="L",Table13[[#This Row],[Steps]]&gt;G4188,G4188&lt;&gt;0),1,0)</f>
        <v>0</v>
      </c>
      <c r="I4189">
        <f>IF(AND(Table13[[#This Row],[Direction]]="R",(G4188+Table13[[#This Row],[Steps]])&gt;100),1,0)</f>
        <v>0</v>
      </c>
      <c r="J4189">
        <f>IF(Table13[[#This Row],[POS]]=0,1,0)</f>
        <v>1</v>
      </c>
      <c r="K4189">
        <f>SUM(Table13[[#This Row],[prefix]],Table13[[#This Row],[Past zero L]],Table13[[#This Row],[Past Zero R]],Table13[[#This Row],[Is Zero]])</f>
        <v>1</v>
      </c>
    </row>
    <row r="4190" spans="1:11" ht="16" x14ac:dyDescent="0.2">
      <c r="A4190" s="1" t="s">
        <v>847</v>
      </c>
      <c r="B4190" t="str">
        <f>LEFT(Table13[[#This Row],[Input]],1)</f>
        <v>L</v>
      </c>
      <c r="C4190">
        <f>_xlfn.LET(_xlpm.steps,SUBSTITUTE(Table13[[#This Row],[Input]],Table13[[#This Row],[Direction]],""),VALUE(IF(LEN(_xlpm.steps)&gt;2,RIGHT(_xlpm.steps,2),_xlpm.steps)))</f>
        <v>5</v>
      </c>
      <c r="D4190">
        <f>_xlfn.LET(_xlpm.steps,SUBSTITUTE(Table13[[#This Row],[Input]],Table13[[#This Row],[Direction]],""),VALUE(IF(LEN(_xlpm.steps)&gt;2,LEFT(_xlpm.steps,LEN(_xlpm.steps)-2),0)))</f>
        <v>6</v>
      </c>
      <c r="E4190">
        <f>_xlfn.LET(_xlpm.dir,Table13[[#This Row],[Direction]],
IF(_xlpm.dir="L",
    IF(G4189-Table13[[#This Row],[Steps]]&lt;0,100+(G4189-Table13[[#This Row],[Steps]]),G4189-Table13[[#This Row],[Steps]]),
))</f>
        <v>95</v>
      </c>
      <c r="F4190">
        <f>_xlfn.LET(_xlpm.dir,Table13[[#This Row],[Direction]],
IF(_xlpm.dir="R",
    IF(G4189+Table13[[#This Row],[Steps]]&gt;99,(G4189+Table13[[#This Row],[Steps]])-100,G4189+Table13[[#This Row],[Steps]]),
))</f>
        <v>0</v>
      </c>
      <c r="G4190">
        <f>IF(Table13[[#This Row],[New Pos L]]&lt;&gt;0,Table13[[#This Row],[New Pos L]],Table13[[#This Row],[New Pos R]])</f>
        <v>95</v>
      </c>
      <c r="H4190">
        <f>IF(AND(Table13[[#This Row],[Direction]]="L",Table13[[#This Row],[Steps]]&gt;G4189,G4189&lt;&gt;0),1,0)</f>
        <v>0</v>
      </c>
      <c r="I4190">
        <f>IF(AND(Table13[[#This Row],[Direction]]="R",(G4189+Table13[[#This Row],[Steps]])&gt;100),1,0)</f>
        <v>0</v>
      </c>
      <c r="J4190">
        <f>IF(Table13[[#This Row],[POS]]=0,1,0)</f>
        <v>0</v>
      </c>
      <c r="K4190">
        <f>SUM(Table13[[#This Row],[prefix]],Table13[[#This Row],[Past zero L]],Table13[[#This Row],[Past Zero R]],Table13[[#This Row],[Is Zero]])</f>
        <v>6</v>
      </c>
    </row>
    <row r="4191" spans="1:11" ht="16" x14ac:dyDescent="0.2">
      <c r="A4191" s="1" t="s">
        <v>58</v>
      </c>
      <c r="B4191" t="str">
        <f>LEFT(Table13[[#This Row],[Input]],1)</f>
        <v>L</v>
      </c>
      <c r="C4191">
        <f>_xlfn.LET(_xlpm.steps,SUBSTITUTE(Table13[[#This Row],[Input]],Table13[[#This Row],[Direction]],""),VALUE(IF(LEN(_xlpm.steps)&gt;2,RIGHT(_xlpm.steps,2),_xlpm.steps)))</f>
        <v>30</v>
      </c>
      <c r="D4191">
        <f>_xlfn.LET(_xlpm.steps,SUBSTITUTE(Table13[[#This Row],[Input]],Table13[[#This Row],[Direction]],""),VALUE(IF(LEN(_xlpm.steps)&gt;2,LEFT(_xlpm.steps,LEN(_xlpm.steps)-2),0)))</f>
        <v>0</v>
      </c>
      <c r="E4191">
        <f>_xlfn.LET(_xlpm.dir,Table13[[#This Row],[Direction]],
IF(_xlpm.dir="L",
    IF(G4190-Table13[[#This Row],[Steps]]&lt;0,100+(G4190-Table13[[#This Row],[Steps]]),G4190-Table13[[#This Row],[Steps]]),
))</f>
        <v>65</v>
      </c>
      <c r="F4191">
        <f>_xlfn.LET(_xlpm.dir,Table13[[#This Row],[Direction]],
IF(_xlpm.dir="R",
    IF(G4190+Table13[[#This Row],[Steps]]&gt;99,(G4190+Table13[[#This Row],[Steps]])-100,G4190+Table13[[#This Row],[Steps]]),
))</f>
        <v>0</v>
      </c>
      <c r="G4191">
        <f>IF(Table13[[#This Row],[New Pos L]]&lt;&gt;0,Table13[[#This Row],[New Pos L]],Table13[[#This Row],[New Pos R]])</f>
        <v>65</v>
      </c>
      <c r="H4191">
        <f>IF(AND(Table13[[#This Row],[Direction]]="L",Table13[[#This Row],[Steps]]&gt;G4190,G4190&lt;&gt;0),1,0)</f>
        <v>0</v>
      </c>
      <c r="I4191">
        <f>IF(AND(Table13[[#This Row],[Direction]]="R",(G4190+Table13[[#This Row],[Steps]])&gt;100),1,0)</f>
        <v>0</v>
      </c>
      <c r="J4191">
        <f>IF(Table13[[#This Row],[POS]]=0,1,0)</f>
        <v>0</v>
      </c>
      <c r="K4191">
        <f>SUM(Table13[[#This Row],[prefix]],Table13[[#This Row],[Past zero L]],Table13[[#This Row],[Past Zero R]],Table13[[#This Row],[Is Zero]])</f>
        <v>0</v>
      </c>
    </row>
    <row r="4192" spans="1:11" ht="16" x14ac:dyDescent="0.2">
      <c r="A4192" s="1" t="s">
        <v>98</v>
      </c>
      <c r="B4192" t="str">
        <f>LEFT(Table13[[#This Row],[Input]],1)</f>
        <v>L</v>
      </c>
      <c r="C4192">
        <f>_xlfn.LET(_xlpm.steps,SUBSTITUTE(Table13[[#This Row],[Input]],Table13[[#This Row],[Direction]],""),VALUE(IF(LEN(_xlpm.steps)&gt;2,RIGHT(_xlpm.steps,2),_xlpm.steps)))</f>
        <v>65</v>
      </c>
      <c r="D4192">
        <f>_xlfn.LET(_xlpm.steps,SUBSTITUTE(Table13[[#This Row],[Input]],Table13[[#This Row],[Direction]],""),VALUE(IF(LEN(_xlpm.steps)&gt;2,LEFT(_xlpm.steps,LEN(_xlpm.steps)-2),0)))</f>
        <v>0</v>
      </c>
      <c r="E4192">
        <f>_xlfn.LET(_xlpm.dir,Table13[[#This Row],[Direction]],
IF(_xlpm.dir="L",
    IF(G4191-Table13[[#This Row],[Steps]]&lt;0,100+(G4191-Table13[[#This Row],[Steps]]),G4191-Table13[[#This Row],[Steps]]),
))</f>
        <v>0</v>
      </c>
      <c r="F4192">
        <f>_xlfn.LET(_xlpm.dir,Table13[[#This Row],[Direction]],
IF(_xlpm.dir="R",
    IF(G4191+Table13[[#This Row],[Steps]]&gt;99,(G4191+Table13[[#This Row],[Steps]])-100,G4191+Table13[[#This Row],[Steps]]),
))</f>
        <v>0</v>
      </c>
      <c r="G4192">
        <f>IF(Table13[[#This Row],[New Pos L]]&lt;&gt;0,Table13[[#This Row],[New Pos L]],Table13[[#This Row],[New Pos R]])</f>
        <v>0</v>
      </c>
      <c r="H4192">
        <f>IF(AND(Table13[[#This Row],[Direction]]="L",Table13[[#This Row],[Steps]]&gt;G4191,G4191&lt;&gt;0),1,0)</f>
        <v>0</v>
      </c>
      <c r="I4192">
        <f>IF(AND(Table13[[#This Row],[Direction]]="R",(G4191+Table13[[#This Row],[Steps]])&gt;100),1,0)</f>
        <v>0</v>
      </c>
      <c r="J4192">
        <f>IF(Table13[[#This Row],[POS]]=0,1,0)</f>
        <v>1</v>
      </c>
      <c r="K4192">
        <f>SUM(Table13[[#This Row],[prefix]],Table13[[#This Row],[Past zero L]],Table13[[#This Row],[Past Zero R]],Table13[[#This Row],[Is Zero]])</f>
        <v>1</v>
      </c>
    </row>
    <row r="4193" spans="1:11" ht="16" x14ac:dyDescent="0.2">
      <c r="A4193" s="1" t="s">
        <v>79</v>
      </c>
      <c r="B4193" t="str">
        <f>LEFT(Table13[[#This Row],[Input]],1)</f>
        <v>L</v>
      </c>
      <c r="C4193">
        <f>_xlfn.LET(_xlpm.steps,SUBSTITUTE(Table13[[#This Row],[Input]],Table13[[#This Row],[Direction]],""),VALUE(IF(LEN(_xlpm.steps)&gt;2,RIGHT(_xlpm.steps,2),_xlpm.steps)))</f>
        <v>45</v>
      </c>
      <c r="D4193">
        <f>_xlfn.LET(_xlpm.steps,SUBSTITUTE(Table13[[#This Row],[Input]],Table13[[#This Row],[Direction]],""),VALUE(IF(LEN(_xlpm.steps)&gt;2,LEFT(_xlpm.steps,LEN(_xlpm.steps)-2),0)))</f>
        <v>0</v>
      </c>
      <c r="E4193">
        <f>_xlfn.LET(_xlpm.dir,Table13[[#This Row],[Direction]],
IF(_xlpm.dir="L",
    IF(G4192-Table13[[#This Row],[Steps]]&lt;0,100+(G4192-Table13[[#This Row],[Steps]]),G4192-Table13[[#This Row],[Steps]]),
))</f>
        <v>55</v>
      </c>
      <c r="F4193">
        <f>_xlfn.LET(_xlpm.dir,Table13[[#This Row],[Direction]],
IF(_xlpm.dir="R",
    IF(G4192+Table13[[#This Row],[Steps]]&gt;99,(G4192+Table13[[#This Row],[Steps]])-100,G4192+Table13[[#This Row],[Steps]]),
))</f>
        <v>0</v>
      </c>
      <c r="G4193">
        <f>IF(Table13[[#This Row],[New Pos L]]&lt;&gt;0,Table13[[#This Row],[New Pos L]],Table13[[#This Row],[New Pos R]])</f>
        <v>55</v>
      </c>
      <c r="H4193">
        <f>IF(AND(Table13[[#This Row],[Direction]]="L",Table13[[#This Row],[Steps]]&gt;G4192,G4192&lt;&gt;0),1,0)</f>
        <v>0</v>
      </c>
      <c r="I4193">
        <f>IF(AND(Table13[[#This Row],[Direction]]="R",(G4192+Table13[[#This Row],[Steps]])&gt;100),1,0)</f>
        <v>0</v>
      </c>
      <c r="J4193">
        <f>IF(Table13[[#This Row],[POS]]=0,1,0)</f>
        <v>0</v>
      </c>
      <c r="K4193">
        <f>SUM(Table13[[#This Row],[prefix]],Table13[[#This Row],[Past zero L]],Table13[[#This Row],[Past Zero R]],Table13[[#This Row],[Is Zero]])</f>
        <v>0</v>
      </c>
    </row>
    <row r="4194" spans="1:11" ht="16" x14ac:dyDescent="0.2">
      <c r="A4194" s="1" t="s">
        <v>82</v>
      </c>
      <c r="B4194" t="str">
        <f>LEFT(Table13[[#This Row],[Input]],1)</f>
        <v>L</v>
      </c>
      <c r="C4194">
        <f>_xlfn.LET(_xlpm.steps,SUBSTITUTE(Table13[[#This Row],[Input]],Table13[[#This Row],[Direction]],""),VALUE(IF(LEN(_xlpm.steps)&gt;2,RIGHT(_xlpm.steps,2),_xlpm.steps)))</f>
        <v>55</v>
      </c>
      <c r="D4194">
        <f>_xlfn.LET(_xlpm.steps,SUBSTITUTE(Table13[[#This Row],[Input]],Table13[[#This Row],[Direction]],""),VALUE(IF(LEN(_xlpm.steps)&gt;2,LEFT(_xlpm.steps,LEN(_xlpm.steps)-2),0)))</f>
        <v>0</v>
      </c>
      <c r="E4194">
        <f>_xlfn.LET(_xlpm.dir,Table13[[#This Row],[Direction]],
IF(_xlpm.dir="L",
    IF(G4193-Table13[[#This Row],[Steps]]&lt;0,100+(G4193-Table13[[#This Row],[Steps]]),G4193-Table13[[#This Row],[Steps]]),
))</f>
        <v>0</v>
      </c>
      <c r="F4194">
        <f>_xlfn.LET(_xlpm.dir,Table13[[#This Row],[Direction]],
IF(_xlpm.dir="R",
    IF(G4193+Table13[[#This Row],[Steps]]&gt;99,(G4193+Table13[[#This Row],[Steps]])-100,G4193+Table13[[#This Row],[Steps]]),
))</f>
        <v>0</v>
      </c>
      <c r="G4194">
        <f>IF(Table13[[#This Row],[New Pos L]]&lt;&gt;0,Table13[[#This Row],[New Pos L]],Table13[[#This Row],[New Pos R]])</f>
        <v>0</v>
      </c>
      <c r="H4194">
        <f>IF(AND(Table13[[#This Row],[Direction]]="L",Table13[[#This Row],[Steps]]&gt;G4193,G4193&lt;&gt;0),1,0)</f>
        <v>0</v>
      </c>
      <c r="I4194">
        <f>IF(AND(Table13[[#This Row],[Direction]]="R",(G4193+Table13[[#This Row],[Steps]])&gt;100),1,0)</f>
        <v>0</v>
      </c>
      <c r="J4194">
        <f>IF(Table13[[#This Row],[POS]]=0,1,0)</f>
        <v>1</v>
      </c>
      <c r="K4194">
        <f>SUM(Table13[[#This Row],[prefix]],Table13[[#This Row],[Past zero L]],Table13[[#This Row],[Past Zero R]],Table13[[#This Row],[Is Zero]])</f>
        <v>1</v>
      </c>
    </row>
    <row r="4195" spans="1:11" ht="16" x14ac:dyDescent="0.2">
      <c r="A4195" s="1" t="s">
        <v>4</v>
      </c>
      <c r="B4195" t="str">
        <f>LEFT(Table13[[#This Row],[Input]],1)</f>
        <v>R</v>
      </c>
      <c r="C4195">
        <f>_xlfn.LET(_xlpm.steps,SUBSTITUTE(Table13[[#This Row],[Input]],Table13[[#This Row],[Direction]],""),VALUE(IF(LEN(_xlpm.steps)&gt;2,RIGHT(_xlpm.steps,2),_xlpm.steps)))</f>
        <v>3</v>
      </c>
      <c r="D4195">
        <f>_xlfn.LET(_xlpm.steps,SUBSTITUTE(Table13[[#This Row],[Input]],Table13[[#This Row],[Direction]],""),VALUE(IF(LEN(_xlpm.steps)&gt;2,LEFT(_xlpm.steps,LEN(_xlpm.steps)-2),0)))</f>
        <v>0</v>
      </c>
      <c r="E4195">
        <f>_xlfn.LET(_xlpm.dir,Table13[[#This Row],[Direction]],
IF(_xlpm.dir="L",
    IF(G4194-Table13[[#This Row],[Steps]]&lt;0,100+(G4194-Table13[[#This Row],[Steps]]),G4194-Table13[[#This Row],[Steps]]),
))</f>
        <v>0</v>
      </c>
      <c r="F4195">
        <f>_xlfn.LET(_xlpm.dir,Table13[[#This Row],[Direction]],
IF(_xlpm.dir="R",
    IF(G4194+Table13[[#This Row],[Steps]]&gt;99,(G4194+Table13[[#This Row],[Steps]])-100,G4194+Table13[[#This Row],[Steps]]),
))</f>
        <v>3</v>
      </c>
      <c r="G4195">
        <f>IF(Table13[[#This Row],[New Pos L]]&lt;&gt;0,Table13[[#This Row],[New Pos L]],Table13[[#This Row],[New Pos R]])</f>
        <v>3</v>
      </c>
      <c r="H4195">
        <f>IF(AND(Table13[[#This Row],[Direction]]="L",Table13[[#This Row],[Steps]]&gt;G4194,G4194&lt;&gt;0),1,0)</f>
        <v>0</v>
      </c>
      <c r="I4195">
        <f>IF(AND(Table13[[#This Row],[Direction]]="R",(G4194+Table13[[#This Row],[Steps]])&gt;100),1,0)</f>
        <v>0</v>
      </c>
      <c r="J4195">
        <f>IF(Table13[[#This Row],[POS]]=0,1,0)</f>
        <v>0</v>
      </c>
      <c r="K4195">
        <f>SUM(Table13[[#This Row],[prefix]],Table13[[#This Row],[Past zero L]],Table13[[#This Row],[Past Zero R]],Table13[[#This Row],[Is Zero]])</f>
        <v>0</v>
      </c>
    </row>
    <row r="4196" spans="1:11" ht="16" x14ac:dyDescent="0.2">
      <c r="A4196" s="1" t="s">
        <v>357</v>
      </c>
      <c r="B4196" t="str">
        <f>LEFT(Table13[[#This Row],[Input]],1)</f>
        <v>R</v>
      </c>
      <c r="C4196">
        <f>_xlfn.LET(_xlpm.steps,SUBSTITUTE(Table13[[#This Row],[Input]],Table13[[#This Row],[Direction]],""),VALUE(IF(LEN(_xlpm.steps)&gt;2,RIGHT(_xlpm.steps,2),_xlpm.steps)))</f>
        <v>72</v>
      </c>
      <c r="D4196">
        <f>_xlfn.LET(_xlpm.steps,SUBSTITUTE(Table13[[#This Row],[Input]],Table13[[#This Row],[Direction]],""),VALUE(IF(LEN(_xlpm.steps)&gt;2,LEFT(_xlpm.steps,LEN(_xlpm.steps)-2),0)))</f>
        <v>0</v>
      </c>
      <c r="E4196">
        <f>_xlfn.LET(_xlpm.dir,Table13[[#This Row],[Direction]],
IF(_xlpm.dir="L",
    IF(G4195-Table13[[#This Row],[Steps]]&lt;0,100+(G4195-Table13[[#This Row],[Steps]]),G4195-Table13[[#This Row],[Steps]]),
))</f>
        <v>0</v>
      </c>
      <c r="F4196">
        <f>_xlfn.LET(_xlpm.dir,Table13[[#This Row],[Direction]],
IF(_xlpm.dir="R",
    IF(G4195+Table13[[#This Row],[Steps]]&gt;99,(G4195+Table13[[#This Row],[Steps]])-100,G4195+Table13[[#This Row],[Steps]]),
))</f>
        <v>75</v>
      </c>
      <c r="G4196">
        <f>IF(Table13[[#This Row],[New Pos L]]&lt;&gt;0,Table13[[#This Row],[New Pos L]],Table13[[#This Row],[New Pos R]])</f>
        <v>75</v>
      </c>
      <c r="H4196">
        <f>IF(AND(Table13[[#This Row],[Direction]]="L",Table13[[#This Row],[Steps]]&gt;G4195,G4195&lt;&gt;0),1,0)</f>
        <v>0</v>
      </c>
      <c r="I4196">
        <f>IF(AND(Table13[[#This Row],[Direction]]="R",(G4195+Table13[[#This Row],[Steps]])&gt;100),1,0)</f>
        <v>0</v>
      </c>
      <c r="J4196">
        <f>IF(Table13[[#This Row],[POS]]=0,1,0)</f>
        <v>0</v>
      </c>
      <c r="K4196">
        <f>SUM(Table13[[#This Row],[prefix]],Table13[[#This Row],[Past zero L]],Table13[[#This Row],[Past Zero R]],Table13[[#This Row],[Is Zero]])</f>
        <v>0</v>
      </c>
    </row>
    <row r="4197" spans="1:11" ht="16" x14ac:dyDescent="0.2">
      <c r="A4197" s="1" t="s">
        <v>54</v>
      </c>
      <c r="B4197" t="str">
        <f>LEFT(Table13[[#This Row],[Input]],1)</f>
        <v>L</v>
      </c>
      <c r="C4197">
        <f>_xlfn.LET(_xlpm.steps,SUBSTITUTE(Table13[[#This Row],[Input]],Table13[[#This Row],[Direction]],""),VALUE(IF(LEN(_xlpm.steps)&gt;2,RIGHT(_xlpm.steps,2),_xlpm.steps)))</f>
        <v>75</v>
      </c>
      <c r="D4197">
        <f>_xlfn.LET(_xlpm.steps,SUBSTITUTE(Table13[[#This Row],[Input]],Table13[[#This Row],[Direction]],""),VALUE(IF(LEN(_xlpm.steps)&gt;2,LEFT(_xlpm.steps,LEN(_xlpm.steps)-2),0)))</f>
        <v>0</v>
      </c>
      <c r="E4197">
        <f>_xlfn.LET(_xlpm.dir,Table13[[#This Row],[Direction]],
IF(_xlpm.dir="L",
    IF(G4196-Table13[[#This Row],[Steps]]&lt;0,100+(G4196-Table13[[#This Row],[Steps]]),G4196-Table13[[#This Row],[Steps]]),
))</f>
        <v>0</v>
      </c>
      <c r="F4197">
        <f>_xlfn.LET(_xlpm.dir,Table13[[#This Row],[Direction]],
IF(_xlpm.dir="R",
    IF(G4196+Table13[[#This Row],[Steps]]&gt;99,(G4196+Table13[[#This Row],[Steps]])-100,G4196+Table13[[#This Row],[Steps]]),
))</f>
        <v>0</v>
      </c>
      <c r="G4197">
        <f>IF(Table13[[#This Row],[New Pos L]]&lt;&gt;0,Table13[[#This Row],[New Pos L]],Table13[[#This Row],[New Pos R]])</f>
        <v>0</v>
      </c>
      <c r="H4197">
        <f>IF(AND(Table13[[#This Row],[Direction]]="L",Table13[[#This Row],[Steps]]&gt;G4196,G4196&lt;&gt;0),1,0)</f>
        <v>0</v>
      </c>
      <c r="I4197">
        <f>IF(AND(Table13[[#This Row],[Direction]]="R",(G4196+Table13[[#This Row],[Steps]])&gt;100),1,0)</f>
        <v>0</v>
      </c>
      <c r="J4197">
        <f>IF(Table13[[#This Row],[POS]]=0,1,0)</f>
        <v>1</v>
      </c>
      <c r="K4197">
        <f>SUM(Table13[[#This Row],[prefix]],Table13[[#This Row],[Past zero L]],Table13[[#This Row],[Past Zero R]],Table13[[#This Row],[Is Zero]])</f>
        <v>1</v>
      </c>
    </row>
    <row r="4198" spans="1:11" ht="16" x14ac:dyDescent="0.2">
      <c r="A4198" s="1" t="s">
        <v>174</v>
      </c>
      <c r="B4198" t="str">
        <f>LEFT(Table13[[#This Row],[Input]],1)</f>
        <v>L</v>
      </c>
      <c r="C4198">
        <f>_xlfn.LET(_xlpm.steps,SUBSTITUTE(Table13[[#This Row],[Input]],Table13[[#This Row],[Direction]],""),VALUE(IF(LEN(_xlpm.steps)&gt;2,RIGHT(_xlpm.steps,2),_xlpm.steps)))</f>
        <v>92</v>
      </c>
      <c r="D4198">
        <f>_xlfn.LET(_xlpm.steps,SUBSTITUTE(Table13[[#This Row],[Input]],Table13[[#This Row],[Direction]],""),VALUE(IF(LEN(_xlpm.steps)&gt;2,LEFT(_xlpm.steps,LEN(_xlpm.steps)-2),0)))</f>
        <v>0</v>
      </c>
      <c r="E4198">
        <f>_xlfn.LET(_xlpm.dir,Table13[[#This Row],[Direction]],
IF(_xlpm.dir="L",
    IF(G4197-Table13[[#This Row],[Steps]]&lt;0,100+(G4197-Table13[[#This Row],[Steps]]),G4197-Table13[[#This Row],[Steps]]),
))</f>
        <v>8</v>
      </c>
      <c r="F4198">
        <f>_xlfn.LET(_xlpm.dir,Table13[[#This Row],[Direction]],
IF(_xlpm.dir="R",
    IF(G4197+Table13[[#This Row],[Steps]]&gt;99,(G4197+Table13[[#This Row],[Steps]])-100,G4197+Table13[[#This Row],[Steps]]),
))</f>
        <v>0</v>
      </c>
      <c r="G4198">
        <f>IF(Table13[[#This Row],[New Pos L]]&lt;&gt;0,Table13[[#This Row],[New Pos L]],Table13[[#This Row],[New Pos R]])</f>
        <v>8</v>
      </c>
      <c r="H4198">
        <f>IF(AND(Table13[[#This Row],[Direction]]="L",Table13[[#This Row],[Steps]]&gt;G4197,G4197&lt;&gt;0),1,0)</f>
        <v>0</v>
      </c>
      <c r="I4198">
        <f>IF(AND(Table13[[#This Row],[Direction]]="R",(G4197+Table13[[#This Row],[Steps]])&gt;100),1,0)</f>
        <v>0</v>
      </c>
      <c r="J4198">
        <f>IF(Table13[[#This Row],[POS]]=0,1,0)</f>
        <v>0</v>
      </c>
      <c r="K4198">
        <f>SUM(Table13[[#This Row],[prefix]],Table13[[#This Row],[Past zero L]],Table13[[#This Row],[Past Zero R]],Table13[[#This Row],[Is Zero]])</f>
        <v>0</v>
      </c>
    </row>
    <row r="4199" spans="1:11" ht="16" x14ac:dyDescent="0.2">
      <c r="A4199" s="1" t="s">
        <v>36</v>
      </c>
      <c r="B4199" t="str">
        <f>LEFT(Table13[[#This Row],[Input]],1)</f>
        <v>R</v>
      </c>
      <c r="C4199">
        <f>_xlfn.LET(_xlpm.steps,SUBSTITUTE(Table13[[#This Row],[Input]],Table13[[#This Row],[Direction]],""),VALUE(IF(LEN(_xlpm.steps)&gt;2,RIGHT(_xlpm.steps,2),_xlpm.steps)))</f>
        <v>50</v>
      </c>
      <c r="D4199">
        <f>_xlfn.LET(_xlpm.steps,SUBSTITUTE(Table13[[#This Row],[Input]],Table13[[#This Row],[Direction]],""),VALUE(IF(LEN(_xlpm.steps)&gt;2,LEFT(_xlpm.steps,LEN(_xlpm.steps)-2),0)))</f>
        <v>0</v>
      </c>
      <c r="E4199">
        <f>_xlfn.LET(_xlpm.dir,Table13[[#This Row],[Direction]],
IF(_xlpm.dir="L",
    IF(G4198-Table13[[#This Row],[Steps]]&lt;0,100+(G4198-Table13[[#This Row],[Steps]]),G4198-Table13[[#This Row],[Steps]]),
))</f>
        <v>0</v>
      </c>
      <c r="F4199">
        <f>_xlfn.LET(_xlpm.dir,Table13[[#This Row],[Direction]],
IF(_xlpm.dir="R",
    IF(G4198+Table13[[#This Row],[Steps]]&gt;99,(G4198+Table13[[#This Row],[Steps]])-100,G4198+Table13[[#This Row],[Steps]]),
))</f>
        <v>58</v>
      </c>
      <c r="G4199">
        <f>IF(Table13[[#This Row],[New Pos L]]&lt;&gt;0,Table13[[#This Row],[New Pos L]],Table13[[#This Row],[New Pos R]])</f>
        <v>58</v>
      </c>
      <c r="H4199">
        <f>IF(AND(Table13[[#This Row],[Direction]]="L",Table13[[#This Row],[Steps]]&gt;G4198,G4198&lt;&gt;0),1,0)</f>
        <v>0</v>
      </c>
      <c r="I4199">
        <f>IF(AND(Table13[[#This Row],[Direction]]="R",(G4198+Table13[[#This Row],[Steps]])&gt;100),1,0)</f>
        <v>0</v>
      </c>
      <c r="J4199">
        <f>IF(Table13[[#This Row],[POS]]=0,1,0)</f>
        <v>0</v>
      </c>
      <c r="K4199">
        <f>SUM(Table13[[#This Row],[prefix]],Table13[[#This Row],[Past zero L]],Table13[[#This Row],[Past Zero R]],Table13[[#This Row],[Is Zero]])</f>
        <v>0</v>
      </c>
    </row>
    <row r="4200" spans="1:11" ht="16" x14ac:dyDescent="0.2">
      <c r="A4200" s="1" t="s">
        <v>0</v>
      </c>
      <c r="B4200" t="str">
        <f>LEFT(Table13[[#This Row],[Input]],1)</f>
        <v>L</v>
      </c>
      <c r="C4200">
        <f>_xlfn.LET(_xlpm.steps,SUBSTITUTE(Table13[[#This Row],[Input]],Table13[[#This Row],[Direction]],""),VALUE(IF(LEN(_xlpm.steps)&gt;2,RIGHT(_xlpm.steps,2),_xlpm.steps)))</f>
        <v>44</v>
      </c>
      <c r="D4200">
        <f>_xlfn.LET(_xlpm.steps,SUBSTITUTE(Table13[[#This Row],[Input]],Table13[[#This Row],[Direction]],""),VALUE(IF(LEN(_xlpm.steps)&gt;2,LEFT(_xlpm.steps,LEN(_xlpm.steps)-2),0)))</f>
        <v>0</v>
      </c>
      <c r="E4200">
        <f>_xlfn.LET(_xlpm.dir,Table13[[#This Row],[Direction]],
IF(_xlpm.dir="L",
    IF(G4199-Table13[[#This Row],[Steps]]&lt;0,100+(G4199-Table13[[#This Row],[Steps]]),G4199-Table13[[#This Row],[Steps]]),
))</f>
        <v>14</v>
      </c>
      <c r="F4200">
        <f>_xlfn.LET(_xlpm.dir,Table13[[#This Row],[Direction]],
IF(_xlpm.dir="R",
    IF(G4199+Table13[[#This Row],[Steps]]&gt;99,(G4199+Table13[[#This Row],[Steps]])-100,G4199+Table13[[#This Row],[Steps]]),
))</f>
        <v>0</v>
      </c>
      <c r="G4200">
        <f>IF(Table13[[#This Row],[New Pos L]]&lt;&gt;0,Table13[[#This Row],[New Pos L]],Table13[[#This Row],[New Pos R]])</f>
        <v>14</v>
      </c>
      <c r="H4200">
        <f>IF(AND(Table13[[#This Row],[Direction]]="L",Table13[[#This Row],[Steps]]&gt;G4199,G4199&lt;&gt;0),1,0)</f>
        <v>0</v>
      </c>
      <c r="I4200">
        <f>IF(AND(Table13[[#This Row],[Direction]]="R",(G4199+Table13[[#This Row],[Steps]])&gt;100),1,0)</f>
        <v>0</v>
      </c>
      <c r="J4200">
        <f>IF(Table13[[#This Row],[POS]]=0,1,0)</f>
        <v>0</v>
      </c>
      <c r="K4200">
        <f>SUM(Table13[[#This Row],[prefix]],Table13[[#This Row],[Past zero L]],Table13[[#This Row],[Past Zero R]],Table13[[#This Row],[Is Zero]])</f>
        <v>0</v>
      </c>
    </row>
    <row r="4201" spans="1:11" ht="16" x14ac:dyDescent="0.2">
      <c r="A4201" s="1" t="s">
        <v>27</v>
      </c>
      <c r="B4201" t="str">
        <f>LEFT(Table13[[#This Row],[Input]],1)</f>
        <v>L</v>
      </c>
      <c r="C4201">
        <f>_xlfn.LET(_xlpm.steps,SUBSTITUTE(Table13[[#This Row],[Input]],Table13[[#This Row],[Direction]],""),VALUE(IF(LEN(_xlpm.steps)&gt;2,RIGHT(_xlpm.steps,2),_xlpm.steps)))</f>
        <v>14</v>
      </c>
      <c r="D4201">
        <f>_xlfn.LET(_xlpm.steps,SUBSTITUTE(Table13[[#This Row],[Input]],Table13[[#This Row],[Direction]],""),VALUE(IF(LEN(_xlpm.steps)&gt;2,LEFT(_xlpm.steps,LEN(_xlpm.steps)-2),0)))</f>
        <v>0</v>
      </c>
      <c r="E4201">
        <f>_xlfn.LET(_xlpm.dir,Table13[[#This Row],[Direction]],
IF(_xlpm.dir="L",
    IF(G4200-Table13[[#This Row],[Steps]]&lt;0,100+(G4200-Table13[[#This Row],[Steps]]),G4200-Table13[[#This Row],[Steps]]),
))</f>
        <v>0</v>
      </c>
      <c r="F4201">
        <f>_xlfn.LET(_xlpm.dir,Table13[[#This Row],[Direction]],
IF(_xlpm.dir="R",
    IF(G4200+Table13[[#This Row],[Steps]]&gt;99,(G4200+Table13[[#This Row],[Steps]])-100,G4200+Table13[[#This Row],[Steps]]),
))</f>
        <v>0</v>
      </c>
      <c r="G4201">
        <f>IF(Table13[[#This Row],[New Pos L]]&lt;&gt;0,Table13[[#This Row],[New Pos L]],Table13[[#This Row],[New Pos R]])</f>
        <v>0</v>
      </c>
      <c r="H4201">
        <f>IF(AND(Table13[[#This Row],[Direction]]="L",Table13[[#This Row],[Steps]]&gt;G4200,G4200&lt;&gt;0),1,0)</f>
        <v>0</v>
      </c>
      <c r="I4201">
        <f>IF(AND(Table13[[#This Row],[Direction]]="R",(G4200+Table13[[#This Row],[Steps]])&gt;100),1,0)</f>
        <v>0</v>
      </c>
      <c r="J4201">
        <f>IF(Table13[[#This Row],[POS]]=0,1,0)</f>
        <v>1</v>
      </c>
      <c r="K4201">
        <f>SUM(Table13[[#This Row],[prefix]],Table13[[#This Row],[Past zero L]],Table13[[#This Row],[Past Zero R]],Table13[[#This Row],[Is Zero]])</f>
        <v>1</v>
      </c>
    </row>
    <row r="4202" spans="1:11" ht="16" x14ac:dyDescent="0.2">
      <c r="A4202" s="1" t="s">
        <v>159</v>
      </c>
      <c r="B4202" t="str">
        <f>LEFT(Table13[[#This Row],[Input]],1)</f>
        <v>R</v>
      </c>
      <c r="C4202">
        <f>_xlfn.LET(_xlpm.steps,SUBSTITUTE(Table13[[#This Row],[Input]],Table13[[#This Row],[Direction]],""),VALUE(IF(LEN(_xlpm.steps)&gt;2,RIGHT(_xlpm.steps,2),_xlpm.steps)))</f>
        <v>24</v>
      </c>
      <c r="D4202">
        <f>_xlfn.LET(_xlpm.steps,SUBSTITUTE(Table13[[#This Row],[Input]],Table13[[#This Row],[Direction]],""),VALUE(IF(LEN(_xlpm.steps)&gt;2,LEFT(_xlpm.steps,LEN(_xlpm.steps)-2),0)))</f>
        <v>0</v>
      </c>
      <c r="E4202">
        <f>_xlfn.LET(_xlpm.dir,Table13[[#This Row],[Direction]],
IF(_xlpm.dir="L",
    IF(G4201-Table13[[#This Row],[Steps]]&lt;0,100+(G4201-Table13[[#This Row],[Steps]]),G4201-Table13[[#This Row],[Steps]]),
))</f>
        <v>0</v>
      </c>
      <c r="F4202">
        <f>_xlfn.LET(_xlpm.dir,Table13[[#This Row],[Direction]],
IF(_xlpm.dir="R",
    IF(G4201+Table13[[#This Row],[Steps]]&gt;99,(G4201+Table13[[#This Row],[Steps]])-100,G4201+Table13[[#This Row],[Steps]]),
))</f>
        <v>24</v>
      </c>
      <c r="G4202">
        <f>IF(Table13[[#This Row],[New Pos L]]&lt;&gt;0,Table13[[#This Row],[New Pos L]],Table13[[#This Row],[New Pos R]])</f>
        <v>24</v>
      </c>
      <c r="H4202">
        <f>IF(AND(Table13[[#This Row],[Direction]]="L",Table13[[#This Row],[Steps]]&gt;G4201,G4201&lt;&gt;0),1,0)</f>
        <v>0</v>
      </c>
      <c r="I4202">
        <f>IF(AND(Table13[[#This Row],[Direction]]="R",(G4201+Table13[[#This Row],[Steps]])&gt;100),1,0)</f>
        <v>0</v>
      </c>
      <c r="J4202">
        <f>IF(Table13[[#This Row],[POS]]=0,1,0)</f>
        <v>0</v>
      </c>
      <c r="K4202">
        <f>SUM(Table13[[#This Row],[prefix]],Table13[[#This Row],[Past zero L]],Table13[[#This Row],[Past Zero R]],Table13[[#This Row],[Is Zero]])</f>
        <v>0</v>
      </c>
    </row>
    <row r="4203" spans="1:11" ht="16" x14ac:dyDescent="0.2">
      <c r="A4203" s="1" t="s">
        <v>848</v>
      </c>
      <c r="B4203" t="str">
        <f>LEFT(Table13[[#This Row],[Input]],1)</f>
        <v>L</v>
      </c>
      <c r="C4203">
        <f>_xlfn.LET(_xlpm.steps,SUBSTITUTE(Table13[[#This Row],[Input]],Table13[[#This Row],[Direction]],""),VALUE(IF(LEN(_xlpm.steps)&gt;2,RIGHT(_xlpm.steps,2),_xlpm.steps)))</f>
        <v>24</v>
      </c>
      <c r="D4203">
        <f>_xlfn.LET(_xlpm.steps,SUBSTITUTE(Table13[[#This Row],[Input]],Table13[[#This Row],[Direction]],""),VALUE(IF(LEN(_xlpm.steps)&gt;2,LEFT(_xlpm.steps,LEN(_xlpm.steps)-2),0)))</f>
        <v>7</v>
      </c>
      <c r="E4203">
        <f>_xlfn.LET(_xlpm.dir,Table13[[#This Row],[Direction]],
IF(_xlpm.dir="L",
    IF(G4202-Table13[[#This Row],[Steps]]&lt;0,100+(G4202-Table13[[#This Row],[Steps]]),G4202-Table13[[#This Row],[Steps]]),
))</f>
        <v>0</v>
      </c>
      <c r="F4203">
        <f>_xlfn.LET(_xlpm.dir,Table13[[#This Row],[Direction]],
IF(_xlpm.dir="R",
    IF(G4202+Table13[[#This Row],[Steps]]&gt;99,(G4202+Table13[[#This Row],[Steps]])-100,G4202+Table13[[#This Row],[Steps]]),
))</f>
        <v>0</v>
      </c>
      <c r="G4203">
        <f>IF(Table13[[#This Row],[New Pos L]]&lt;&gt;0,Table13[[#This Row],[New Pos L]],Table13[[#This Row],[New Pos R]])</f>
        <v>0</v>
      </c>
      <c r="H4203">
        <f>IF(AND(Table13[[#This Row],[Direction]]="L",Table13[[#This Row],[Steps]]&gt;G4202,G4202&lt;&gt;0),1,0)</f>
        <v>0</v>
      </c>
      <c r="I4203">
        <f>IF(AND(Table13[[#This Row],[Direction]]="R",(G4202+Table13[[#This Row],[Steps]])&gt;100),1,0)</f>
        <v>0</v>
      </c>
      <c r="J4203">
        <f>IF(Table13[[#This Row],[POS]]=0,1,0)</f>
        <v>1</v>
      </c>
      <c r="K4203">
        <f>SUM(Table13[[#This Row],[prefix]],Table13[[#This Row],[Past zero L]],Table13[[#This Row],[Past Zero R]],Table13[[#This Row],[Is Zero]])</f>
        <v>8</v>
      </c>
    </row>
    <row r="4204" spans="1:11" ht="16" x14ac:dyDescent="0.2">
      <c r="A4204" s="1" t="s">
        <v>102</v>
      </c>
      <c r="B4204" t="str">
        <f>LEFT(Table13[[#This Row],[Input]],1)</f>
        <v>R</v>
      </c>
      <c r="C4204">
        <f>_xlfn.LET(_xlpm.steps,SUBSTITUTE(Table13[[#This Row],[Input]],Table13[[#This Row],[Direction]],""),VALUE(IF(LEN(_xlpm.steps)&gt;2,RIGHT(_xlpm.steps,2),_xlpm.steps)))</f>
        <v>39</v>
      </c>
      <c r="D4204">
        <f>_xlfn.LET(_xlpm.steps,SUBSTITUTE(Table13[[#This Row],[Input]],Table13[[#This Row],[Direction]],""),VALUE(IF(LEN(_xlpm.steps)&gt;2,LEFT(_xlpm.steps,LEN(_xlpm.steps)-2),0)))</f>
        <v>0</v>
      </c>
      <c r="E4204">
        <f>_xlfn.LET(_xlpm.dir,Table13[[#This Row],[Direction]],
IF(_xlpm.dir="L",
    IF(G4203-Table13[[#This Row],[Steps]]&lt;0,100+(G4203-Table13[[#This Row],[Steps]]),G4203-Table13[[#This Row],[Steps]]),
))</f>
        <v>0</v>
      </c>
      <c r="F4204">
        <f>_xlfn.LET(_xlpm.dir,Table13[[#This Row],[Direction]],
IF(_xlpm.dir="R",
    IF(G4203+Table13[[#This Row],[Steps]]&gt;99,(G4203+Table13[[#This Row],[Steps]])-100,G4203+Table13[[#This Row],[Steps]]),
))</f>
        <v>39</v>
      </c>
      <c r="G4204">
        <f>IF(Table13[[#This Row],[New Pos L]]&lt;&gt;0,Table13[[#This Row],[New Pos L]],Table13[[#This Row],[New Pos R]])</f>
        <v>39</v>
      </c>
      <c r="H4204">
        <f>IF(AND(Table13[[#This Row],[Direction]]="L",Table13[[#This Row],[Steps]]&gt;G4203,G4203&lt;&gt;0),1,0)</f>
        <v>0</v>
      </c>
      <c r="I4204">
        <f>IF(AND(Table13[[#This Row],[Direction]]="R",(G4203+Table13[[#This Row],[Steps]])&gt;100),1,0)</f>
        <v>0</v>
      </c>
      <c r="J4204">
        <f>IF(Table13[[#This Row],[POS]]=0,1,0)</f>
        <v>0</v>
      </c>
      <c r="K4204">
        <f>SUM(Table13[[#This Row],[prefix]],Table13[[#This Row],[Past zero L]],Table13[[#This Row],[Past Zero R]],Table13[[#This Row],[Is Zero]])</f>
        <v>0</v>
      </c>
    </row>
    <row r="4205" spans="1:11" ht="16" x14ac:dyDescent="0.2">
      <c r="A4205" s="1" t="s">
        <v>42</v>
      </c>
      <c r="B4205" t="str">
        <f>LEFT(Table13[[#This Row],[Input]],1)</f>
        <v>L</v>
      </c>
      <c r="C4205">
        <f>_xlfn.LET(_xlpm.steps,SUBSTITUTE(Table13[[#This Row],[Input]],Table13[[#This Row],[Direction]],""),VALUE(IF(LEN(_xlpm.steps)&gt;2,RIGHT(_xlpm.steps,2),_xlpm.steps)))</f>
        <v>27</v>
      </c>
      <c r="D4205">
        <f>_xlfn.LET(_xlpm.steps,SUBSTITUTE(Table13[[#This Row],[Input]],Table13[[#This Row],[Direction]],""),VALUE(IF(LEN(_xlpm.steps)&gt;2,LEFT(_xlpm.steps,LEN(_xlpm.steps)-2),0)))</f>
        <v>0</v>
      </c>
      <c r="E4205">
        <f>_xlfn.LET(_xlpm.dir,Table13[[#This Row],[Direction]],
IF(_xlpm.dir="L",
    IF(G4204-Table13[[#This Row],[Steps]]&lt;0,100+(G4204-Table13[[#This Row],[Steps]]),G4204-Table13[[#This Row],[Steps]]),
))</f>
        <v>12</v>
      </c>
      <c r="F4205">
        <f>_xlfn.LET(_xlpm.dir,Table13[[#This Row],[Direction]],
IF(_xlpm.dir="R",
    IF(G4204+Table13[[#This Row],[Steps]]&gt;99,(G4204+Table13[[#This Row],[Steps]])-100,G4204+Table13[[#This Row],[Steps]]),
))</f>
        <v>0</v>
      </c>
      <c r="G4205">
        <f>IF(Table13[[#This Row],[New Pos L]]&lt;&gt;0,Table13[[#This Row],[New Pos L]],Table13[[#This Row],[New Pos R]])</f>
        <v>12</v>
      </c>
      <c r="H4205">
        <f>IF(AND(Table13[[#This Row],[Direction]]="L",Table13[[#This Row],[Steps]]&gt;G4204,G4204&lt;&gt;0),1,0)</f>
        <v>0</v>
      </c>
      <c r="I4205">
        <f>IF(AND(Table13[[#This Row],[Direction]]="R",(G4204+Table13[[#This Row],[Steps]])&gt;100),1,0)</f>
        <v>0</v>
      </c>
      <c r="J4205">
        <f>IF(Table13[[#This Row],[POS]]=0,1,0)</f>
        <v>0</v>
      </c>
      <c r="K4205">
        <f>SUM(Table13[[#This Row],[prefix]],Table13[[#This Row],[Past zero L]],Table13[[#This Row],[Past Zero R]],Table13[[#This Row],[Is Zero]])</f>
        <v>0</v>
      </c>
    </row>
    <row r="4206" spans="1:11" ht="16" x14ac:dyDescent="0.2">
      <c r="A4206" s="1" t="s">
        <v>253</v>
      </c>
      <c r="B4206" t="str">
        <f>LEFT(Table13[[#This Row],[Input]],1)</f>
        <v>R</v>
      </c>
      <c r="C4206">
        <f>_xlfn.LET(_xlpm.steps,SUBSTITUTE(Table13[[#This Row],[Input]],Table13[[#This Row],[Direction]],""),VALUE(IF(LEN(_xlpm.steps)&gt;2,RIGHT(_xlpm.steps,2),_xlpm.steps)))</f>
        <v>94</v>
      </c>
      <c r="D4206">
        <f>_xlfn.LET(_xlpm.steps,SUBSTITUTE(Table13[[#This Row],[Input]],Table13[[#This Row],[Direction]],""),VALUE(IF(LEN(_xlpm.steps)&gt;2,LEFT(_xlpm.steps,LEN(_xlpm.steps)-2),0)))</f>
        <v>0</v>
      </c>
      <c r="E4206">
        <f>_xlfn.LET(_xlpm.dir,Table13[[#This Row],[Direction]],
IF(_xlpm.dir="L",
    IF(G4205-Table13[[#This Row],[Steps]]&lt;0,100+(G4205-Table13[[#This Row],[Steps]]),G4205-Table13[[#This Row],[Steps]]),
))</f>
        <v>0</v>
      </c>
      <c r="F4206">
        <f>_xlfn.LET(_xlpm.dir,Table13[[#This Row],[Direction]],
IF(_xlpm.dir="R",
    IF(G4205+Table13[[#This Row],[Steps]]&gt;99,(G4205+Table13[[#This Row],[Steps]])-100,G4205+Table13[[#This Row],[Steps]]),
))</f>
        <v>6</v>
      </c>
      <c r="G4206">
        <f>IF(Table13[[#This Row],[New Pos L]]&lt;&gt;0,Table13[[#This Row],[New Pos L]],Table13[[#This Row],[New Pos R]])</f>
        <v>6</v>
      </c>
      <c r="H4206">
        <f>IF(AND(Table13[[#This Row],[Direction]]="L",Table13[[#This Row],[Steps]]&gt;G4205,G4205&lt;&gt;0),1,0)</f>
        <v>0</v>
      </c>
      <c r="I4206">
        <f>IF(AND(Table13[[#This Row],[Direction]]="R",(G4205+Table13[[#This Row],[Steps]])&gt;100),1,0)</f>
        <v>1</v>
      </c>
      <c r="J4206">
        <f>IF(Table13[[#This Row],[POS]]=0,1,0)</f>
        <v>0</v>
      </c>
      <c r="K4206">
        <f>SUM(Table13[[#This Row],[prefix]],Table13[[#This Row],[Past zero L]],Table13[[#This Row],[Past Zero R]],Table13[[#This Row],[Is Zero]])</f>
        <v>1</v>
      </c>
    </row>
    <row r="4207" spans="1:11" ht="16" x14ac:dyDescent="0.2">
      <c r="A4207" s="1" t="s">
        <v>59</v>
      </c>
      <c r="B4207" t="str">
        <f>LEFT(Table13[[#This Row],[Input]],1)</f>
        <v>L</v>
      </c>
      <c r="C4207">
        <f>_xlfn.LET(_xlpm.steps,SUBSTITUTE(Table13[[#This Row],[Input]],Table13[[#This Row],[Direction]],""),VALUE(IF(LEN(_xlpm.steps)&gt;2,RIGHT(_xlpm.steps,2),_xlpm.steps)))</f>
        <v>6</v>
      </c>
      <c r="D4207">
        <f>_xlfn.LET(_xlpm.steps,SUBSTITUTE(Table13[[#This Row],[Input]],Table13[[#This Row],[Direction]],""),VALUE(IF(LEN(_xlpm.steps)&gt;2,LEFT(_xlpm.steps,LEN(_xlpm.steps)-2),0)))</f>
        <v>0</v>
      </c>
      <c r="E4207">
        <f>_xlfn.LET(_xlpm.dir,Table13[[#This Row],[Direction]],
IF(_xlpm.dir="L",
    IF(G4206-Table13[[#This Row],[Steps]]&lt;0,100+(G4206-Table13[[#This Row],[Steps]]),G4206-Table13[[#This Row],[Steps]]),
))</f>
        <v>0</v>
      </c>
      <c r="F4207">
        <f>_xlfn.LET(_xlpm.dir,Table13[[#This Row],[Direction]],
IF(_xlpm.dir="R",
    IF(G4206+Table13[[#This Row],[Steps]]&gt;99,(G4206+Table13[[#This Row],[Steps]])-100,G4206+Table13[[#This Row],[Steps]]),
))</f>
        <v>0</v>
      </c>
      <c r="G4207">
        <f>IF(Table13[[#This Row],[New Pos L]]&lt;&gt;0,Table13[[#This Row],[New Pos L]],Table13[[#This Row],[New Pos R]])</f>
        <v>0</v>
      </c>
      <c r="H4207">
        <f>IF(AND(Table13[[#This Row],[Direction]]="L",Table13[[#This Row],[Steps]]&gt;G4206,G4206&lt;&gt;0),1,0)</f>
        <v>0</v>
      </c>
      <c r="I4207">
        <f>IF(AND(Table13[[#This Row],[Direction]]="R",(G4206+Table13[[#This Row],[Steps]])&gt;100),1,0)</f>
        <v>0</v>
      </c>
      <c r="J4207">
        <f>IF(Table13[[#This Row],[POS]]=0,1,0)</f>
        <v>1</v>
      </c>
      <c r="K4207">
        <f>SUM(Table13[[#This Row],[prefix]],Table13[[#This Row],[Past zero L]],Table13[[#This Row],[Past Zero R]],Table13[[#This Row],[Is Zero]])</f>
        <v>1</v>
      </c>
    </row>
    <row r="4208" spans="1:11" ht="16" x14ac:dyDescent="0.2">
      <c r="A4208" s="1" t="s">
        <v>849</v>
      </c>
      <c r="B4208" t="str">
        <f>LEFT(Table13[[#This Row],[Input]],1)</f>
        <v>R</v>
      </c>
      <c r="C4208">
        <f>_xlfn.LET(_xlpm.steps,SUBSTITUTE(Table13[[#This Row],[Input]],Table13[[#This Row],[Direction]],""),VALUE(IF(LEN(_xlpm.steps)&gt;2,RIGHT(_xlpm.steps,2),_xlpm.steps)))</f>
        <v>26</v>
      </c>
      <c r="D4208">
        <f>_xlfn.LET(_xlpm.steps,SUBSTITUTE(Table13[[#This Row],[Input]],Table13[[#This Row],[Direction]],""),VALUE(IF(LEN(_xlpm.steps)&gt;2,LEFT(_xlpm.steps,LEN(_xlpm.steps)-2),0)))</f>
        <v>7</v>
      </c>
      <c r="E4208">
        <f>_xlfn.LET(_xlpm.dir,Table13[[#This Row],[Direction]],
IF(_xlpm.dir="L",
    IF(G4207-Table13[[#This Row],[Steps]]&lt;0,100+(G4207-Table13[[#This Row],[Steps]]),G4207-Table13[[#This Row],[Steps]]),
))</f>
        <v>0</v>
      </c>
      <c r="F4208">
        <f>_xlfn.LET(_xlpm.dir,Table13[[#This Row],[Direction]],
IF(_xlpm.dir="R",
    IF(G4207+Table13[[#This Row],[Steps]]&gt;99,(G4207+Table13[[#This Row],[Steps]])-100,G4207+Table13[[#This Row],[Steps]]),
))</f>
        <v>26</v>
      </c>
      <c r="G4208">
        <f>IF(Table13[[#This Row],[New Pos L]]&lt;&gt;0,Table13[[#This Row],[New Pos L]],Table13[[#This Row],[New Pos R]])</f>
        <v>26</v>
      </c>
      <c r="H4208">
        <f>IF(AND(Table13[[#This Row],[Direction]]="L",Table13[[#This Row],[Steps]]&gt;G4207,G4207&lt;&gt;0),1,0)</f>
        <v>0</v>
      </c>
      <c r="I4208">
        <f>IF(AND(Table13[[#This Row],[Direction]]="R",(G4207+Table13[[#This Row],[Steps]])&gt;100),1,0)</f>
        <v>0</v>
      </c>
      <c r="J4208">
        <f>IF(Table13[[#This Row],[POS]]=0,1,0)</f>
        <v>0</v>
      </c>
      <c r="K4208">
        <f>SUM(Table13[[#This Row],[prefix]],Table13[[#This Row],[Past zero L]],Table13[[#This Row],[Past Zero R]],Table13[[#This Row],[Is Zero]])</f>
        <v>7</v>
      </c>
    </row>
    <row r="4209" spans="1:11" ht="16" x14ac:dyDescent="0.2">
      <c r="A4209" s="1" t="s">
        <v>63</v>
      </c>
      <c r="B4209" t="str">
        <f>LEFT(Table13[[#This Row],[Input]],1)</f>
        <v>R</v>
      </c>
      <c r="C4209">
        <f>_xlfn.LET(_xlpm.steps,SUBSTITUTE(Table13[[#This Row],[Input]],Table13[[#This Row],[Direction]],""),VALUE(IF(LEN(_xlpm.steps)&gt;2,RIGHT(_xlpm.steps,2),_xlpm.steps)))</f>
        <v>57</v>
      </c>
      <c r="D4209">
        <f>_xlfn.LET(_xlpm.steps,SUBSTITUTE(Table13[[#This Row],[Input]],Table13[[#This Row],[Direction]],""),VALUE(IF(LEN(_xlpm.steps)&gt;2,LEFT(_xlpm.steps,LEN(_xlpm.steps)-2),0)))</f>
        <v>0</v>
      </c>
      <c r="E4209">
        <f>_xlfn.LET(_xlpm.dir,Table13[[#This Row],[Direction]],
IF(_xlpm.dir="L",
    IF(G4208-Table13[[#This Row],[Steps]]&lt;0,100+(G4208-Table13[[#This Row],[Steps]]),G4208-Table13[[#This Row],[Steps]]),
))</f>
        <v>0</v>
      </c>
      <c r="F4209">
        <f>_xlfn.LET(_xlpm.dir,Table13[[#This Row],[Direction]],
IF(_xlpm.dir="R",
    IF(G4208+Table13[[#This Row],[Steps]]&gt;99,(G4208+Table13[[#This Row],[Steps]])-100,G4208+Table13[[#This Row],[Steps]]),
))</f>
        <v>83</v>
      </c>
      <c r="G4209">
        <f>IF(Table13[[#This Row],[New Pos L]]&lt;&gt;0,Table13[[#This Row],[New Pos L]],Table13[[#This Row],[New Pos R]])</f>
        <v>83</v>
      </c>
      <c r="H4209">
        <f>IF(AND(Table13[[#This Row],[Direction]]="L",Table13[[#This Row],[Steps]]&gt;G4208,G4208&lt;&gt;0),1,0)</f>
        <v>0</v>
      </c>
      <c r="I4209">
        <f>IF(AND(Table13[[#This Row],[Direction]]="R",(G4208+Table13[[#This Row],[Steps]])&gt;100),1,0)</f>
        <v>0</v>
      </c>
      <c r="J4209">
        <f>IF(Table13[[#This Row],[POS]]=0,1,0)</f>
        <v>0</v>
      </c>
      <c r="K4209">
        <f>SUM(Table13[[#This Row],[prefix]],Table13[[#This Row],[Past zero L]],Table13[[#This Row],[Past Zero R]],Table13[[#This Row],[Is Zero]])</f>
        <v>0</v>
      </c>
    </row>
    <row r="4210" spans="1:11" ht="16" x14ac:dyDescent="0.2">
      <c r="A4210" s="1" t="s">
        <v>850</v>
      </c>
      <c r="B4210" t="str">
        <f>LEFT(Table13[[#This Row],[Input]],1)</f>
        <v>L</v>
      </c>
      <c r="C4210">
        <f>_xlfn.LET(_xlpm.steps,SUBSTITUTE(Table13[[#This Row],[Input]],Table13[[#This Row],[Direction]],""),VALUE(IF(LEN(_xlpm.steps)&gt;2,RIGHT(_xlpm.steps,2),_xlpm.steps)))</f>
        <v>83</v>
      </c>
      <c r="D4210">
        <f>_xlfn.LET(_xlpm.steps,SUBSTITUTE(Table13[[#This Row],[Input]],Table13[[#This Row],[Direction]],""),VALUE(IF(LEN(_xlpm.steps)&gt;2,LEFT(_xlpm.steps,LEN(_xlpm.steps)-2),0)))</f>
        <v>1</v>
      </c>
      <c r="E4210">
        <f>_xlfn.LET(_xlpm.dir,Table13[[#This Row],[Direction]],
IF(_xlpm.dir="L",
    IF(G4209-Table13[[#This Row],[Steps]]&lt;0,100+(G4209-Table13[[#This Row],[Steps]]),G4209-Table13[[#This Row],[Steps]]),
))</f>
        <v>0</v>
      </c>
      <c r="F4210">
        <f>_xlfn.LET(_xlpm.dir,Table13[[#This Row],[Direction]],
IF(_xlpm.dir="R",
    IF(G4209+Table13[[#This Row],[Steps]]&gt;99,(G4209+Table13[[#This Row],[Steps]])-100,G4209+Table13[[#This Row],[Steps]]),
))</f>
        <v>0</v>
      </c>
      <c r="G4210">
        <f>IF(Table13[[#This Row],[New Pos L]]&lt;&gt;0,Table13[[#This Row],[New Pos L]],Table13[[#This Row],[New Pos R]])</f>
        <v>0</v>
      </c>
      <c r="H4210">
        <f>IF(AND(Table13[[#This Row],[Direction]]="L",Table13[[#This Row],[Steps]]&gt;G4209,G4209&lt;&gt;0),1,0)</f>
        <v>0</v>
      </c>
      <c r="I4210">
        <f>IF(AND(Table13[[#This Row],[Direction]]="R",(G4209+Table13[[#This Row],[Steps]])&gt;100),1,0)</f>
        <v>0</v>
      </c>
      <c r="J4210">
        <f>IF(Table13[[#This Row],[POS]]=0,1,0)</f>
        <v>1</v>
      </c>
      <c r="K4210">
        <f>SUM(Table13[[#This Row],[prefix]],Table13[[#This Row],[Past zero L]],Table13[[#This Row],[Past Zero R]],Table13[[#This Row],[Is Zero]])</f>
        <v>2</v>
      </c>
    </row>
    <row r="4211" spans="1:11" ht="16" x14ac:dyDescent="0.2">
      <c r="A4211" s="1" t="s">
        <v>218</v>
      </c>
      <c r="B4211" t="str">
        <f>LEFT(Table13[[#This Row],[Input]],1)</f>
        <v>R</v>
      </c>
      <c r="C4211">
        <f>_xlfn.LET(_xlpm.steps,SUBSTITUTE(Table13[[#This Row],[Input]],Table13[[#This Row],[Direction]],""),VALUE(IF(LEN(_xlpm.steps)&gt;2,RIGHT(_xlpm.steps,2),_xlpm.steps)))</f>
        <v>35</v>
      </c>
      <c r="D4211">
        <f>_xlfn.LET(_xlpm.steps,SUBSTITUTE(Table13[[#This Row],[Input]],Table13[[#This Row],[Direction]],""),VALUE(IF(LEN(_xlpm.steps)&gt;2,LEFT(_xlpm.steps,LEN(_xlpm.steps)-2),0)))</f>
        <v>0</v>
      </c>
      <c r="E4211">
        <f>_xlfn.LET(_xlpm.dir,Table13[[#This Row],[Direction]],
IF(_xlpm.dir="L",
    IF(G4210-Table13[[#This Row],[Steps]]&lt;0,100+(G4210-Table13[[#This Row],[Steps]]),G4210-Table13[[#This Row],[Steps]]),
))</f>
        <v>0</v>
      </c>
      <c r="F4211">
        <f>_xlfn.LET(_xlpm.dir,Table13[[#This Row],[Direction]],
IF(_xlpm.dir="R",
    IF(G4210+Table13[[#This Row],[Steps]]&gt;99,(G4210+Table13[[#This Row],[Steps]])-100,G4210+Table13[[#This Row],[Steps]]),
))</f>
        <v>35</v>
      </c>
      <c r="G4211">
        <f>IF(Table13[[#This Row],[New Pos L]]&lt;&gt;0,Table13[[#This Row],[New Pos L]],Table13[[#This Row],[New Pos R]])</f>
        <v>35</v>
      </c>
      <c r="H4211">
        <f>IF(AND(Table13[[#This Row],[Direction]]="L",Table13[[#This Row],[Steps]]&gt;G4210,G4210&lt;&gt;0),1,0)</f>
        <v>0</v>
      </c>
      <c r="I4211">
        <f>IF(AND(Table13[[#This Row],[Direction]]="R",(G4210+Table13[[#This Row],[Steps]])&gt;100),1,0)</f>
        <v>0</v>
      </c>
      <c r="J4211">
        <f>IF(Table13[[#This Row],[POS]]=0,1,0)</f>
        <v>0</v>
      </c>
      <c r="K4211">
        <f>SUM(Table13[[#This Row],[prefix]],Table13[[#This Row],[Past zero L]],Table13[[#This Row],[Past Zero R]],Table13[[#This Row],[Is Zero]])</f>
        <v>0</v>
      </c>
    </row>
    <row r="4212" spans="1:11" ht="16" x14ac:dyDescent="0.2">
      <c r="A4212" s="1" t="s">
        <v>159</v>
      </c>
      <c r="B4212" t="str">
        <f>LEFT(Table13[[#This Row],[Input]],1)</f>
        <v>R</v>
      </c>
      <c r="C4212">
        <f>_xlfn.LET(_xlpm.steps,SUBSTITUTE(Table13[[#This Row],[Input]],Table13[[#This Row],[Direction]],""),VALUE(IF(LEN(_xlpm.steps)&gt;2,RIGHT(_xlpm.steps,2),_xlpm.steps)))</f>
        <v>24</v>
      </c>
      <c r="D4212">
        <f>_xlfn.LET(_xlpm.steps,SUBSTITUTE(Table13[[#This Row],[Input]],Table13[[#This Row],[Direction]],""),VALUE(IF(LEN(_xlpm.steps)&gt;2,LEFT(_xlpm.steps,LEN(_xlpm.steps)-2),0)))</f>
        <v>0</v>
      </c>
      <c r="E4212">
        <f>_xlfn.LET(_xlpm.dir,Table13[[#This Row],[Direction]],
IF(_xlpm.dir="L",
    IF(G4211-Table13[[#This Row],[Steps]]&lt;0,100+(G4211-Table13[[#This Row],[Steps]]),G4211-Table13[[#This Row],[Steps]]),
))</f>
        <v>0</v>
      </c>
      <c r="F4212">
        <f>_xlfn.LET(_xlpm.dir,Table13[[#This Row],[Direction]],
IF(_xlpm.dir="R",
    IF(G4211+Table13[[#This Row],[Steps]]&gt;99,(G4211+Table13[[#This Row],[Steps]])-100,G4211+Table13[[#This Row],[Steps]]),
))</f>
        <v>59</v>
      </c>
      <c r="G4212">
        <f>IF(Table13[[#This Row],[New Pos L]]&lt;&gt;0,Table13[[#This Row],[New Pos L]],Table13[[#This Row],[New Pos R]])</f>
        <v>59</v>
      </c>
      <c r="H4212">
        <f>IF(AND(Table13[[#This Row],[Direction]]="L",Table13[[#This Row],[Steps]]&gt;G4211,G4211&lt;&gt;0),1,0)</f>
        <v>0</v>
      </c>
      <c r="I4212">
        <f>IF(AND(Table13[[#This Row],[Direction]]="R",(G4211+Table13[[#This Row],[Steps]])&gt;100),1,0)</f>
        <v>0</v>
      </c>
      <c r="J4212">
        <f>IF(Table13[[#This Row],[POS]]=0,1,0)</f>
        <v>0</v>
      </c>
      <c r="K4212">
        <f>SUM(Table13[[#This Row],[prefix]],Table13[[#This Row],[Past zero L]],Table13[[#This Row],[Past Zero R]],Table13[[#This Row],[Is Zero]])</f>
        <v>0</v>
      </c>
    </row>
    <row r="4213" spans="1:11" ht="16" x14ac:dyDescent="0.2">
      <c r="A4213" s="1" t="s">
        <v>41</v>
      </c>
      <c r="B4213" t="str">
        <f>LEFT(Table13[[#This Row],[Input]],1)</f>
        <v>L</v>
      </c>
      <c r="C4213">
        <f>_xlfn.LET(_xlpm.steps,SUBSTITUTE(Table13[[#This Row],[Input]],Table13[[#This Row],[Direction]],""),VALUE(IF(LEN(_xlpm.steps)&gt;2,RIGHT(_xlpm.steps,2),_xlpm.steps)))</f>
        <v>7</v>
      </c>
      <c r="D4213">
        <f>_xlfn.LET(_xlpm.steps,SUBSTITUTE(Table13[[#This Row],[Input]],Table13[[#This Row],[Direction]],""),VALUE(IF(LEN(_xlpm.steps)&gt;2,LEFT(_xlpm.steps,LEN(_xlpm.steps)-2),0)))</f>
        <v>0</v>
      </c>
      <c r="E4213">
        <f>_xlfn.LET(_xlpm.dir,Table13[[#This Row],[Direction]],
IF(_xlpm.dir="L",
    IF(G4212-Table13[[#This Row],[Steps]]&lt;0,100+(G4212-Table13[[#This Row],[Steps]]),G4212-Table13[[#This Row],[Steps]]),
))</f>
        <v>52</v>
      </c>
      <c r="F4213">
        <f>_xlfn.LET(_xlpm.dir,Table13[[#This Row],[Direction]],
IF(_xlpm.dir="R",
    IF(G4212+Table13[[#This Row],[Steps]]&gt;99,(G4212+Table13[[#This Row],[Steps]])-100,G4212+Table13[[#This Row],[Steps]]),
))</f>
        <v>0</v>
      </c>
      <c r="G4213">
        <f>IF(Table13[[#This Row],[New Pos L]]&lt;&gt;0,Table13[[#This Row],[New Pos L]],Table13[[#This Row],[New Pos R]])</f>
        <v>52</v>
      </c>
      <c r="H4213">
        <f>IF(AND(Table13[[#This Row],[Direction]]="L",Table13[[#This Row],[Steps]]&gt;G4212,G4212&lt;&gt;0),1,0)</f>
        <v>0</v>
      </c>
      <c r="I4213">
        <f>IF(AND(Table13[[#This Row],[Direction]]="R",(G4212+Table13[[#This Row],[Steps]])&gt;100),1,0)</f>
        <v>0</v>
      </c>
      <c r="J4213">
        <f>IF(Table13[[#This Row],[POS]]=0,1,0)</f>
        <v>0</v>
      </c>
      <c r="K4213">
        <f>SUM(Table13[[#This Row],[prefix]],Table13[[#This Row],[Past zero L]],Table13[[#This Row],[Past Zero R]],Table13[[#This Row],[Is Zero]])</f>
        <v>0</v>
      </c>
    </row>
    <row r="4214" spans="1:11" ht="16" x14ac:dyDescent="0.2">
      <c r="A4214" s="1" t="s">
        <v>52</v>
      </c>
      <c r="B4214" t="str">
        <f>LEFT(Table13[[#This Row],[Input]],1)</f>
        <v>R</v>
      </c>
      <c r="C4214">
        <f>_xlfn.LET(_xlpm.steps,SUBSTITUTE(Table13[[#This Row],[Input]],Table13[[#This Row],[Direction]],""),VALUE(IF(LEN(_xlpm.steps)&gt;2,RIGHT(_xlpm.steps,2),_xlpm.steps)))</f>
        <v>11</v>
      </c>
      <c r="D4214">
        <f>_xlfn.LET(_xlpm.steps,SUBSTITUTE(Table13[[#This Row],[Input]],Table13[[#This Row],[Direction]],""),VALUE(IF(LEN(_xlpm.steps)&gt;2,LEFT(_xlpm.steps,LEN(_xlpm.steps)-2),0)))</f>
        <v>0</v>
      </c>
      <c r="E4214">
        <f>_xlfn.LET(_xlpm.dir,Table13[[#This Row],[Direction]],
IF(_xlpm.dir="L",
    IF(G4213-Table13[[#This Row],[Steps]]&lt;0,100+(G4213-Table13[[#This Row],[Steps]]),G4213-Table13[[#This Row],[Steps]]),
))</f>
        <v>0</v>
      </c>
      <c r="F4214">
        <f>_xlfn.LET(_xlpm.dir,Table13[[#This Row],[Direction]],
IF(_xlpm.dir="R",
    IF(G4213+Table13[[#This Row],[Steps]]&gt;99,(G4213+Table13[[#This Row],[Steps]])-100,G4213+Table13[[#This Row],[Steps]]),
))</f>
        <v>63</v>
      </c>
      <c r="G4214">
        <f>IF(Table13[[#This Row],[New Pos L]]&lt;&gt;0,Table13[[#This Row],[New Pos L]],Table13[[#This Row],[New Pos R]])</f>
        <v>63</v>
      </c>
      <c r="H4214">
        <f>IF(AND(Table13[[#This Row],[Direction]]="L",Table13[[#This Row],[Steps]]&gt;G4213,G4213&lt;&gt;0),1,0)</f>
        <v>0</v>
      </c>
      <c r="I4214">
        <f>IF(AND(Table13[[#This Row],[Direction]]="R",(G4213+Table13[[#This Row],[Steps]])&gt;100),1,0)</f>
        <v>0</v>
      </c>
      <c r="J4214">
        <f>IF(Table13[[#This Row],[POS]]=0,1,0)</f>
        <v>0</v>
      </c>
      <c r="K4214">
        <f>SUM(Table13[[#This Row],[prefix]],Table13[[#This Row],[Past zero L]],Table13[[#This Row],[Past Zero R]],Table13[[#This Row],[Is Zero]])</f>
        <v>0</v>
      </c>
    </row>
    <row r="4215" spans="1:11" ht="16" x14ac:dyDescent="0.2">
      <c r="A4215" s="1" t="s">
        <v>123</v>
      </c>
      <c r="B4215" t="str">
        <f>LEFT(Table13[[#This Row],[Input]],1)</f>
        <v>L</v>
      </c>
      <c r="C4215">
        <f>_xlfn.LET(_xlpm.steps,SUBSTITUTE(Table13[[#This Row],[Input]],Table13[[#This Row],[Direction]],""),VALUE(IF(LEN(_xlpm.steps)&gt;2,RIGHT(_xlpm.steps,2),_xlpm.steps)))</f>
        <v>63</v>
      </c>
      <c r="D4215">
        <f>_xlfn.LET(_xlpm.steps,SUBSTITUTE(Table13[[#This Row],[Input]],Table13[[#This Row],[Direction]],""),VALUE(IF(LEN(_xlpm.steps)&gt;2,LEFT(_xlpm.steps,LEN(_xlpm.steps)-2),0)))</f>
        <v>0</v>
      </c>
      <c r="E4215">
        <f>_xlfn.LET(_xlpm.dir,Table13[[#This Row],[Direction]],
IF(_xlpm.dir="L",
    IF(G4214-Table13[[#This Row],[Steps]]&lt;0,100+(G4214-Table13[[#This Row],[Steps]]),G4214-Table13[[#This Row],[Steps]]),
))</f>
        <v>0</v>
      </c>
      <c r="F4215">
        <f>_xlfn.LET(_xlpm.dir,Table13[[#This Row],[Direction]],
IF(_xlpm.dir="R",
    IF(G4214+Table13[[#This Row],[Steps]]&gt;99,(G4214+Table13[[#This Row],[Steps]])-100,G4214+Table13[[#This Row],[Steps]]),
))</f>
        <v>0</v>
      </c>
      <c r="G4215">
        <f>IF(Table13[[#This Row],[New Pos L]]&lt;&gt;0,Table13[[#This Row],[New Pos L]],Table13[[#This Row],[New Pos R]])</f>
        <v>0</v>
      </c>
      <c r="H4215">
        <f>IF(AND(Table13[[#This Row],[Direction]]="L",Table13[[#This Row],[Steps]]&gt;G4214,G4214&lt;&gt;0),1,0)</f>
        <v>0</v>
      </c>
      <c r="I4215">
        <f>IF(AND(Table13[[#This Row],[Direction]]="R",(G4214+Table13[[#This Row],[Steps]])&gt;100),1,0)</f>
        <v>0</v>
      </c>
      <c r="J4215">
        <f>IF(Table13[[#This Row],[POS]]=0,1,0)</f>
        <v>1</v>
      </c>
      <c r="K4215">
        <f>SUM(Table13[[#This Row],[prefix]],Table13[[#This Row],[Past zero L]],Table13[[#This Row],[Past Zero R]],Table13[[#This Row],[Is Zero]])</f>
        <v>1</v>
      </c>
    </row>
    <row r="4216" spans="1:11" ht="16" x14ac:dyDescent="0.2">
      <c r="A4216" s="1" t="s">
        <v>164</v>
      </c>
      <c r="B4216" t="str">
        <f>LEFT(Table13[[#This Row],[Input]],1)</f>
        <v>R</v>
      </c>
      <c r="C4216">
        <f>_xlfn.LET(_xlpm.steps,SUBSTITUTE(Table13[[#This Row],[Input]],Table13[[#This Row],[Direction]],""),VALUE(IF(LEN(_xlpm.steps)&gt;2,RIGHT(_xlpm.steps,2),_xlpm.steps)))</f>
        <v>85</v>
      </c>
      <c r="D4216">
        <f>_xlfn.LET(_xlpm.steps,SUBSTITUTE(Table13[[#This Row],[Input]],Table13[[#This Row],[Direction]],""),VALUE(IF(LEN(_xlpm.steps)&gt;2,LEFT(_xlpm.steps,LEN(_xlpm.steps)-2),0)))</f>
        <v>0</v>
      </c>
      <c r="E4216">
        <f>_xlfn.LET(_xlpm.dir,Table13[[#This Row],[Direction]],
IF(_xlpm.dir="L",
    IF(G4215-Table13[[#This Row],[Steps]]&lt;0,100+(G4215-Table13[[#This Row],[Steps]]),G4215-Table13[[#This Row],[Steps]]),
))</f>
        <v>0</v>
      </c>
      <c r="F4216">
        <f>_xlfn.LET(_xlpm.dir,Table13[[#This Row],[Direction]],
IF(_xlpm.dir="R",
    IF(G4215+Table13[[#This Row],[Steps]]&gt;99,(G4215+Table13[[#This Row],[Steps]])-100,G4215+Table13[[#This Row],[Steps]]),
))</f>
        <v>85</v>
      </c>
      <c r="G4216">
        <f>IF(Table13[[#This Row],[New Pos L]]&lt;&gt;0,Table13[[#This Row],[New Pos L]],Table13[[#This Row],[New Pos R]])</f>
        <v>85</v>
      </c>
      <c r="H4216">
        <f>IF(AND(Table13[[#This Row],[Direction]]="L",Table13[[#This Row],[Steps]]&gt;G4215,G4215&lt;&gt;0),1,0)</f>
        <v>0</v>
      </c>
      <c r="I4216">
        <f>IF(AND(Table13[[#This Row],[Direction]]="R",(G4215+Table13[[#This Row],[Steps]])&gt;100),1,0)</f>
        <v>0</v>
      </c>
      <c r="J4216">
        <f>IF(Table13[[#This Row],[POS]]=0,1,0)</f>
        <v>0</v>
      </c>
      <c r="K4216">
        <f>SUM(Table13[[#This Row],[prefix]],Table13[[#This Row],[Past zero L]],Table13[[#This Row],[Past Zero R]],Table13[[#This Row],[Is Zero]])</f>
        <v>0</v>
      </c>
    </row>
    <row r="4217" spans="1:11" ht="16" x14ac:dyDescent="0.2">
      <c r="A4217" s="1" t="s">
        <v>10</v>
      </c>
      <c r="B4217" t="str">
        <f>LEFT(Table13[[#This Row],[Input]],1)</f>
        <v>L</v>
      </c>
      <c r="C4217">
        <f>_xlfn.LET(_xlpm.steps,SUBSTITUTE(Table13[[#This Row],[Input]],Table13[[#This Row],[Direction]],""),VALUE(IF(LEN(_xlpm.steps)&gt;2,RIGHT(_xlpm.steps,2),_xlpm.steps)))</f>
        <v>35</v>
      </c>
      <c r="D4217">
        <f>_xlfn.LET(_xlpm.steps,SUBSTITUTE(Table13[[#This Row],[Input]],Table13[[#This Row],[Direction]],""),VALUE(IF(LEN(_xlpm.steps)&gt;2,LEFT(_xlpm.steps,LEN(_xlpm.steps)-2),0)))</f>
        <v>0</v>
      </c>
      <c r="E4217">
        <f>_xlfn.LET(_xlpm.dir,Table13[[#This Row],[Direction]],
IF(_xlpm.dir="L",
    IF(G4216-Table13[[#This Row],[Steps]]&lt;0,100+(G4216-Table13[[#This Row],[Steps]]),G4216-Table13[[#This Row],[Steps]]),
))</f>
        <v>50</v>
      </c>
      <c r="F4217">
        <f>_xlfn.LET(_xlpm.dir,Table13[[#This Row],[Direction]],
IF(_xlpm.dir="R",
    IF(G4216+Table13[[#This Row],[Steps]]&gt;99,(G4216+Table13[[#This Row],[Steps]])-100,G4216+Table13[[#This Row],[Steps]]),
))</f>
        <v>0</v>
      </c>
      <c r="G4217">
        <f>IF(Table13[[#This Row],[New Pos L]]&lt;&gt;0,Table13[[#This Row],[New Pos L]],Table13[[#This Row],[New Pos R]])</f>
        <v>50</v>
      </c>
      <c r="H4217">
        <f>IF(AND(Table13[[#This Row],[Direction]]="L",Table13[[#This Row],[Steps]]&gt;G4216,G4216&lt;&gt;0),1,0)</f>
        <v>0</v>
      </c>
      <c r="I4217">
        <f>IF(AND(Table13[[#This Row],[Direction]]="R",(G4216+Table13[[#This Row],[Steps]])&gt;100),1,0)</f>
        <v>0</v>
      </c>
      <c r="J4217">
        <f>IF(Table13[[#This Row],[POS]]=0,1,0)</f>
        <v>0</v>
      </c>
      <c r="K4217">
        <f>SUM(Table13[[#This Row],[prefix]],Table13[[#This Row],[Past zero L]],Table13[[#This Row],[Past Zero R]],Table13[[#This Row],[Is Zero]])</f>
        <v>0</v>
      </c>
    </row>
    <row r="4218" spans="1:11" ht="16" x14ac:dyDescent="0.2">
      <c r="A4218" s="1" t="s">
        <v>851</v>
      </c>
      <c r="B4218" t="str">
        <f>LEFT(Table13[[#This Row],[Input]],1)</f>
        <v>R</v>
      </c>
      <c r="C4218">
        <f>_xlfn.LET(_xlpm.steps,SUBSTITUTE(Table13[[#This Row],[Input]],Table13[[#This Row],[Direction]],""),VALUE(IF(LEN(_xlpm.steps)&gt;2,RIGHT(_xlpm.steps,2),_xlpm.steps)))</f>
        <v>50</v>
      </c>
      <c r="D4218">
        <f>_xlfn.LET(_xlpm.steps,SUBSTITUTE(Table13[[#This Row],[Input]],Table13[[#This Row],[Direction]],""),VALUE(IF(LEN(_xlpm.steps)&gt;2,LEFT(_xlpm.steps,LEN(_xlpm.steps)-2),0)))</f>
        <v>4</v>
      </c>
      <c r="E4218">
        <f>_xlfn.LET(_xlpm.dir,Table13[[#This Row],[Direction]],
IF(_xlpm.dir="L",
    IF(G4217-Table13[[#This Row],[Steps]]&lt;0,100+(G4217-Table13[[#This Row],[Steps]]),G4217-Table13[[#This Row],[Steps]]),
))</f>
        <v>0</v>
      </c>
      <c r="F4218">
        <f>_xlfn.LET(_xlpm.dir,Table13[[#This Row],[Direction]],
IF(_xlpm.dir="R",
    IF(G4217+Table13[[#This Row],[Steps]]&gt;99,(G4217+Table13[[#This Row],[Steps]])-100,G4217+Table13[[#This Row],[Steps]]),
))</f>
        <v>0</v>
      </c>
      <c r="G4218">
        <f>IF(Table13[[#This Row],[New Pos L]]&lt;&gt;0,Table13[[#This Row],[New Pos L]],Table13[[#This Row],[New Pos R]])</f>
        <v>0</v>
      </c>
      <c r="H4218">
        <f>IF(AND(Table13[[#This Row],[Direction]]="L",Table13[[#This Row],[Steps]]&gt;G4217,G4217&lt;&gt;0),1,0)</f>
        <v>0</v>
      </c>
      <c r="I4218">
        <f>IF(AND(Table13[[#This Row],[Direction]]="R",(G4217+Table13[[#This Row],[Steps]])&gt;100),1,0)</f>
        <v>0</v>
      </c>
      <c r="J4218">
        <f>IF(Table13[[#This Row],[POS]]=0,1,0)</f>
        <v>1</v>
      </c>
      <c r="K4218">
        <f>SUM(Table13[[#This Row],[prefix]],Table13[[#This Row],[Past zero L]],Table13[[#This Row],[Past Zero R]],Table13[[#This Row],[Is Zero]])</f>
        <v>5</v>
      </c>
    </row>
    <row r="4219" spans="1:11" ht="16" x14ac:dyDescent="0.2">
      <c r="A4219" s="1" t="s">
        <v>100</v>
      </c>
      <c r="B4219" t="str">
        <f>LEFT(Table13[[#This Row],[Input]],1)</f>
        <v>R</v>
      </c>
      <c r="C4219">
        <f>_xlfn.LET(_xlpm.steps,SUBSTITUTE(Table13[[#This Row],[Input]],Table13[[#This Row],[Direction]],""),VALUE(IF(LEN(_xlpm.steps)&gt;2,RIGHT(_xlpm.steps,2),_xlpm.steps)))</f>
        <v>58</v>
      </c>
      <c r="D4219">
        <f>_xlfn.LET(_xlpm.steps,SUBSTITUTE(Table13[[#This Row],[Input]],Table13[[#This Row],[Direction]],""),VALUE(IF(LEN(_xlpm.steps)&gt;2,LEFT(_xlpm.steps,LEN(_xlpm.steps)-2),0)))</f>
        <v>0</v>
      </c>
      <c r="E4219">
        <f>_xlfn.LET(_xlpm.dir,Table13[[#This Row],[Direction]],
IF(_xlpm.dir="L",
    IF(G4218-Table13[[#This Row],[Steps]]&lt;0,100+(G4218-Table13[[#This Row],[Steps]]),G4218-Table13[[#This Row],[Steps]]),
))</f>
        <v>0</v>
      </c>
      <c r="F4219">
        <f>_xlfn.LET(_xlpm.dir,Table13[[#This Row],[Direction]],
IF(_xlpm.dir="R",
    IF(G4218+Table13[[#This Row],[Steps]]&gt;99,(G4218+Table13[[#This Row],[Steps]])-100,G4218+Table13[[#This Row],[Steps]]),
))</f>
        <v>58</v>
      </c>
      <c r="G4219">
        <f>IF(Table13[[#This Row],[New Pos L]]&lt;&gt;0,Table13[[#This Row],[New Pos L]],Table13[[#This Row],[New Pos R]])</f>
        <v>58</v>
      </c>
      <c r="H4219">
        <f>IF(AND(Table13[[#This Row],[Direction]]="L",Table13[[#This Row],[Steps]]&gt;G4218,G4218&lt;&gt;0),1,0)</f>
        <v>0</v>
      </c>
      <c r="I4219">
        <f>IF(AND(Table13[[#This Row],[Direction]]="R",(G4218+Table13[[#This Row],[Steps]])&gt;100),1,0)</f>
        <v>0</v>
      </c>
      <c r="J4219">
        <f>IF(Table13[[#This Row],[POS]]=0,1,0)</f>
        <v>0</v>
      </c>
      <c r="K4219">
        <f>SUM(Table13[[#This Row],[prefix]],Table13[[#This Row],[Past zero L]],Table13[[#This Row],[Past Zero R]],Table13[[#This Row],[Is Zero]])</f>
        <v>0</v>
      </c>
    </row>
    <row r="4220" spans="1:11" ht="16" x14ac:dyDescent="0.2">
      <c r="A4220" s="1" t="s">
        <v>88</v>
      </c>
      <c r="B4220" t="str">
        <f>LEFT(Table13[[#This Row],[Input]],1)</f>
        <v>R</v>
      </c>
      <c r="C4220">
        <f>_xlfn.LET(_xlpm.steps,SUBSTITUTE(Table13[[#This Row],[Input]],Table13[[#This Row],[Direction]],""),VALUE(IF(LEN(_xlpm.steps)&gt;2,RIGHT(_xlpm.steps,2),_xlpm.steps)))</f>
        <v>53</v>
      </c>
      <c r="D4220">
        <f>_xlfn.LET(_xlpm.steps,SUBSTITUTE(Table13[[#This Row],[Input]],Table13[[#This Row],[Direction]],""),VALUE(IF(LEN(_xlpm.steps)&gt;2,LEFT(_xlpm.steps,LEN(_xlpm.steps)-2),0)))</f>
        <v>0</v>
      </c>
      <c r="E4220">
        <f>_xlfn.LET(_xlpm.dir,Table13[[#This Row],[Direction]],
IF(_xlpm.dir="L",
    IF(G4219-Table13[[#This Row],[Steps]]&lt;0,100+(G4219-Table13[[#This Row],[Steps]]),G4219-Table13[[#This Row],[Steps]]),
))</f>
        <v>0</v>
      </c>
      <c r="F4220">
        <f>_xlfn.LET(_xlpm.dir,Table13[[#This Row],[Direction]],
IF(_xlpm.dir="R",
    IF(G4219+Table13[[#This Row],[Steps]]&gt;99,(G4219+Table13[[#This Row],[Steps]])-100,G4219+Table13[[#This Row],[Steps]]),
))</f>
        <v>11</v>
      </c>
      <c r="G4220">
        <f>IF(Table13[[#This Row],[New Pos L]]&lt;&gt;0,Table13[[#This Row],[New Pos L]],Table13[[#This Row],[New Pos R]])</f>
        <v>11</v>
      </c>
      <c r="H4220">
        <f>IF(AND(Table13[[#This Row],[Direction]]="L",Table13[[#This Row],[Steps]]&gt;G4219,G4219&lt;&gt;0),1,0)</f>
        <v>0</v>
      </c>
      <c r="I4220">
        <f>IF(AND(Table13[[#This Row],[Direction]]="R",(G4219+Table13[[#This Row],[Steps]])&gt;100),1,0)</f>
        <v>1</v>
      </c>
      <c r="J4220">
        <f>IF(Table13[[#This Row],[POS]]=0,1,0)</f>
        <v>0</v>
      </c>
      <c r="K4220">
        <f>SUM(Table13[[#This Row],[prefix]],Table13[[#This Row],[Past zero L]],Table13[[#This Row],[Past Zero R]],Table13[[#This Row],[Is Zero]])</f>
        <v>1</v>
      </c>
    </row>
    <row r="4221" spans="1:11" ht="16" x14ac:dyDescent="0.2">
      <c r="A4221" s="1" t="s">
        <v>207</v>
      </c>
      <c r="B4221" t="str">
        <f>LEFT(Table13[[#This Row],[Input]],1)</f>
        <v>L</v>
      </c>
      <c r="C4221">
        <f>_xlfn.LET(_xlpm.steps,SUBSTITUTE(Table13[[#This Row],[Input]],Table13[[#This Row],[Direction]],""),VALUE(IF(LEN(_xlpm.steps)&gt;2,RIGHT(_xlpm.steps,2),_xlpm.steps)))</f>
        <v>89</v>
      </c>
      <c r="D4221">
        <f>_xlfn.LET(_xlpm.steps,SUBSTITUTE(Table13[[#This Row],[Input]],Table13[[#This Row],[Direction]],""),VALUE(IF(LEN(_xlpm.steps)&gt;2,LEFT(_xlpm.steps,LEN(_xlpm.steps)-2),0)))</f>
        <v>0</v>
      </c>
      <c r="E4221">
        <f>_xlfn.LET(_xlpm.dir,Table13[[#This Row],[Direction]],
IF(_xlpm.dir="L",
    IF(G4220-Table13[[#This Row],[Steps]]&lt;0,100+(G4220-Table13[[#This Row],[Steps]]),G4220-Table13[[#This Row],[Steps]]),
))</f>
        <v>22</v>
      </c>
      <c r="F4221">
        <f>_xlfn.LET(_xlpm.dir,Table13[[#This Row],[Direction]],
IF(_xlpm.dir="R",
    IF(G4220+Table13[[#This Row],[Steps]]&gt;99,(G4220+Table13[[#This Row],[Steps]])-100,G4220+Table13[[#This Row],[Steps]]),
))</f>
        <v>0</v>
      </c>
      <c r="G4221">
        <f>IF(Table13[[#This Row],[New Pos L]]&lt;&gt;0,Table13[[#This Row],[New Pos L]],Table13[[#This Row],[New Pos R]])</f>
        <v>22</v>
      </c>
      <c r="H4221">
        <f>IF(AND(Table13[[#This Row],[Direction]]="L",Table13[[#This Row],[Steps]]&gt;G4220,G4220&lt;&gt;0),1,0)</f>
        <v>1</v>
      </c>
      <c r="I4221">
        <f>IF(AND(Table13[[#This Row],[Direction]]="R",(G4220+Table13[[#This Row],[Steps]])&gt;100),1,0)</f>
        <v>0</v>
      </c>
      <c r="J4221">
        <f>IF(Table13[[#This Row],[POS]]=0,1,0)</f>
        <v>0</v>
      </c>
      <c r="K4221">
        <f>SUM(Table13[[#This Row],[prefix]],Table13[[#This Row],[Past zero L]],Table13[[#This Row],[Past Zero R]],Table13[[#This Row],[Is Zero]])</f>
        <v>1</v>
      </c>
    </row>
    <row r="4222" spans="1:11" ht="16" x14ac:dyDescent="0.2">
      <c r="A4222" s="1" t="s">
        <v>91</v>
      </c>
      <c r="B4222" t="str">
        <f>LEFT(Table13[[#This Row],[Input]],1)</f>
        <v>L</v>
      </c>
      <c r="C4222">
        <f>_xlfn.LET(_xlpm.steps,SUBSTITUTE(Table13[[#This Row],[Input]],Table13[[#This Row],[Direction]],""),VALUE(IF(LEN(_xlpm.steps)&gt;2,RIGHT(_xlpm.steps,2),_xlpm.steps)))</f>
        <v>22</v>
      </c>
      <c r="D4222">
        <f>_xlfn.LET(_xlpm.steps,SUBSTITUTE(Table13[[#This Row],[Input]],Table13[[#This Row],[Direction]],""),VALUE(IF(LEN(_xlpm.steps)&gt;2,LEFT(_xlpm.steps,LEN(_xlpm.steps)-2),0)))</f>
        <v>0</v>
      </c>
      <c r="E4222">
        <f>_xlfn.LET(_xlpm.dir,Table13[[#This Row],[Direction]],
IF(_xlpm.dir="L",
    IF(G4221-Table13[[#This Row],[Steps]]&lt;0,100+(G4221-Table13[[#This Row],[Steps]]),G4221-Table13[[#This Row],[Steps]]),
))</f>
        <v>0</v>
      </c>
      <c r="F4222">
        <f>_xlfn.LET(_xlpm.dir,Table13[[#This Row],[Direction]],
IF(_xlpm.dir="R",
    IF(G4221+Table13[[#This Row],[Steps]]&gt;99,(G4221+Table13[[#This Row],[Steps]])-100,G4221+Table13[[#This Row],[Steps]]),
))</f>
        <v>0</v>
      </c>
      <c r="G4222">
        <f>IF(Table13[[#This Row],[New Pos L]]&lt;&gt;0,Table13[[#This Row],[New Pos L]],Table13[[#This Row],[New Pos R]])</f>
        <v>0</v>
      </c>
      <c r="H4222">
        <f>IF(AND(Table13[[#This Row],[Direction]]="L",Table13[[#This Row],[Steps]]&gt;G4221,G4221&lt;&gt;0),1,0)</f>
        <v>0</v>
      </c>
      <c r="I4222">
        <f>IF(AND(Table13[[#This Row],[Direction]]="R",(G4221+Table13[[#This Row],[Steps]])&gt;100),1,0)</f>
        <v>0</v>
      </c>
      <c r="J4222">
        <f>IF(Table13[[#This Row],[POS]]=0,1,0)</f>
        <v>1</v>
      </c>
      <c r="K4222">
        <f>SUM(Table13[[#This Row],[prefix]],Table13[[#This Row],[Past zero L]],Table13[[#This Row],[Past Zero R]],Table13[[#This Row],[Is Zero]])</f>
        <v>1</v>
      </c>
    </row>
    <row r="4223" spans="1:11" ht="16" x14ac:dyDescent="0.2">
      <c r="A4223" s="1" t="s">
        <v>91</v>
      </c>
      <c r="B4223" t="str">
        <f>LEFT(Table13[[#This Row],[Input]],1)</f>
        <v>L</v>
      </c>
      <c r="C4223">
        <f>_xlfn.LET(_xlpm.steps,SUBSTITUTE(Table13[[#This Row],[Input]],Table13[[#This Row],[Direction]],""),VALUE(IF(LEN(_xlpm.steps)&gt;2,RIGHT(_xlpm.steps,2),_xlpm.steps)))</f>
        <v>22</v>
      </c>
      <c r="D4223">
        <f>_xlfn.LET(_xlpm.steps,SUBSTITUTE(Table13[[#This Row],[Input]],Table13[[#This Row],[Direction]],""),VALUE(IF(LEN(_xlpm.steps)&gt;2,LEFT(_xlpm.steps,LEN(_xlpm.steps)-2),0)))</f>
        <v>0</v>
      </c>
      <c r="E4223">
        <f>_xlfn.LET(_xlpm.dir,Table13[[#This Row],[Direction]],
IF(_xlpm.dir="L",
    IF(G4222-Table13[[#This Row],[Steps]]&lt;0,100+(G4222-Table13[[#This Row],[Steps]]),G4222-Table13[[#This Row],[Steps]]),
))</f>
        <v>78</v>
      </c>
      <c r="F4223">
        <f>_xlfn.LET(_xlpm.dir,Table13[[#This Row],[Direction]],
IF(_xlpm.dir="R",
    IF(G4222+Table13[[#This Row],[Steps]]&gt;99,(G4222+Table13[[#This Row],[Steps]])-100,G4222+Table13[[#This Row],[Steps]]),
))</f>
        <v>0</v>
      </c>
      <c r="G4223">
        <f>IF(Table13[[#This Row],[New Pos L]]&lt;&gt;0,Table13[[#This Row],[New Pos L]],Table13[[#This Row],[New Pos R]])</f>
        <v>78</v>
      </c>
      <c r="H4223">
        <f>IF(AND(Table13[[#This Row],[Direction]]="L",Table13[[#This Row],[Steps]]&gt;G4222,G4222&lt;&gt;0),1,0)</f>
        <v>0</v>
      </c>
      <c r="I4223">
        <f>IF(AND(Table13[[#This Row],[Direction]]="R",(G4222+Table13[[#This Row],[Steps]])&gt;100),1,0)</f>
        <v>0</v>
      </c>
      <c r="J4223">
        <f>IF(Table13[[#This Row],[POS]]=0,1,0)</f>
        <v>0</v>
      </c>
      <c r="K4223">
        <f>SUM(Table13[[#This Row],[prefix]],Table13[[#This Row],[Past zero L]],Table13[[#This Row],[Past Zero R]],Table13[[#This Row],[Is Zero]])</f>
        <v>0</v>
      </c>
    </row>
    <row r="4224" spans="1:11" ht="16" x14ac:dyDescent="0.2">
      <c r="A4224" s="1" t="s">
        <v>852</v>
      </c>
      <c r="B4224" t="str">
        <f>LEFT(Table13[[#This Row],[Input]],1)</f>
        <v>R</v>
      </c>
      <c r="C4224">
        <f>_xlfn.LET(_xlpm.steps,SUBSTITUTE(Table13[[#This Row],[Input]],Table13[[#This Row],[Direction]],""),VALUE(IF(LEN(_xlpm.steps)&gt;2,RIGHT(_xlpm.steps,2),_xlpm.steps)))</f>
        <v>30</v>
      </c>
      <c r="D4224">
        <f>_xlfn.LET(_xlpm.steps,SUBSTITUTE(Table13[[#This Row],[Input]],Table13[[#This Row],[Direction]],""),VALUE(IF(LEN(_xlpm.steps)&gt;2,LEFT(_xlpm.steps,LEN(_xlpm.steps)-2),0)))</f>
        <v>7</v>
      </c>
      <c r="E4224">
        <f>_xlfn.LET(_xlpm.dir,Table13[[#This Row],[Direction]],
IF(_xlpm.dir="L",
    IF(G4223-Table13[[#This Row],[Steps]]&lt;0,100+(G4223-Table13[[#This Row],[Steps]]),G4223-Table13[[#This Row],[Steps]]),
))</f>
        <v>0</v>
      </c>
      <c r="F4224">
        <f>_xlfn.LET(_xlpm.dir,Table13[[#This Row],[Direction]],
IF(_xlpm.dir="R",
    IF(G4223+Table13[[#This Row],[Steps]]&gt;99,(G4223+Table13[[#This Row],[Steps]])-100,G4223+Table13[[#This Row],[Steps]]),
))</f>
        <v>8</v>
      </c>
      <c r="G4224">
        <f>IF(Table13[[#This Row],[New Pos L]]&lt;&gt;0,Table13[[#This Row],[New Pos L]],Table13[[#This Row],[New Pos R]])</f>
        <v>8</v>
      </c>
      <c r="H4224">
        <f>IF(AND(Table13[[#This Row],[Direction]]="L",Table13[[#This Row],[Steps]]&gt;G4223,G4223&lt;&gt;0),1,0)</f>
        <v>0</v>
      </c>
      <c r="I4224">
        <f>IF(AND(Table13[[#This Row],[Direction]]="R",(G4223+Table13[[#This Row],[Steps]])&gt;100),1,0)</f>
        <v>1</v>
      </c>
      <c r="J4224">
        <f>IF(Table13[[#This Row],[POS]]=0,1,0)</f>
        <v>0</v>
      </c>
      <c r="K4224">
        <f>SUM(Table13[[#This Row],[prefix]],Table13[[#This Row],[Past zero L]],Table13[[#This Row],[Past Zero R]],Table13[[#This Row],[Is Zero]])</f>
        <v>8</v>
      </c>
    </row>
    <row r="4225" spans="1:11" ht="16" x14ac:dyDescent="0.2">
      <c r="A4225" s="1" t="s">
        <v>128</v>
      </c>
      <c r="B4225" t="str">
        <f>LEFT(Table13[[#This Row],[Input]],1)</f>
        <v>R</v>
      </c>
      <c r="C4225">
        <f>_xlfn.LET(_xlpm.steps,SUBSTITUTE(Table13[[#This Row],[Input]],Table13[[#This Row],[Direction]],""),VALUE(IF(LEN(_xlpm.steps)&gt;2,RIGHT(_xlpm.steps,2),_xlpm.steps)))</f>
        <v>92</v>
      </c>
      <c r="D4225">
        <f>_xlfn.LET(_xlpm.steps,SUBSTITUTE(Table13[[#This Row],[Input]],Table13[[#This Row],[Direction]],""),VALUE(IF(LEN(_xlpm.steps)&gt;2,LEFT(_xlpm.steps,LEN(_xlpm.steps)-2),0)))</f>
        <v>0</v>
      </c>
      <c r="E4225">
        <f>_xlfn.LET(_xlpm.dir,Table13[[#This Row],[Direction]],
IF(_xlpm.dir="L",
    IF(G4224-Table13[[#This Row],[Steps]]&lt;0,100+(G4224-Table13[[#This Row],[Steps]]),G4224-Table13[[#This Row],[Steps]]),
))</f>
        <v>0</v>
      </c>
      <c r="F4225">
        <f>_xlfn.LET(_xlpm.dir,Table13[[#This Row],[Direction]],
IF(_xlpm.dir="R",
    IF(G4224+Table13[[#This Row],[Steps]]&gt;99,(G4224+Table13[[#This Row],[Steps]])-100,G4224+Table13[[#This Row],[Steps]]),
))</f>
        <v>0</v>
      </c>
      <c r="G4225">
        <f>IF(Table13[[#This Row],[New Pos L]]&lt;&gt;0,Table13[[#This Row],[New Pos L]],Table13[[#This Row],[New Pos R]])</f>
        <v>0</v>
      </c>
      <c r="H4225">
        <f>IF(AND(Table13[[#This Row],[Direction]]="L",Table13[[#This Row],[Steps]]&gt;G4224,G4224&lt;&gt;0),1,0)</f>
        <v>0</v>
      </c>
      <c r="I4225">
        <f>IF(AND(Table13[[#This Row],[Direction]]="R",(G4224+Table13[[#This Row],[Steps]])&gt;100),1,0)</f>
        <v>0</v>
      </c>
      <c r="J4225">
        <f>IF(Table13[[#This Row],[POS]]=0,1,0)</f>
        <v>1</v>
      </c>
      <c r="K4225">
        <f>SUM(Table13[[#This Row],[prefix]],Table13[[#This Row],[Past zero L]],Table13[[#This Row],[Past Zero R]],Table13[[#This Row],[Is Zero]])</f>
        <v>1</v>
      </c>
    </row>
    <row r="4226" spans="1:11" ht="16" x14ac:dyDescent="0.2">
      <c r="A4226" s="1" t="s">
        <v>591</v>
      </c>
      <c r="B4226" t="str">
        <f>LEFT(Table13[[#This Row],[Input]],1)</f>
        <v>R</v>
      </c>
      <c r="C4226">
        <f>_xlfn.LET(_xlpm.steps,SUBSTITUTE(Table13[[#This Row],[Input]],Table13[[#This Row],[Direction]],""),VALUE(IF(LEN(_xlpm.steps)&gt;2,RIGHT(_xlpm.steps,2),_xlpm.steps)))</f>
        <v>93</v>
      </c>
      <c r="D4226">
        <f>_xlfn.LET(_xlpm.steps,SUBSTITUTE(Table13[[#This Row],[Input]],Table13[[#This Row],[Direction]],""),VALUE(IF(LEN(_xlpm.steps)&gt;2,LEFT(_xlpm.steps,LEN(_xlpm.steps)-2),0)))</f>
        <v>3</v>
      </c>
      <c r="E4226">
        <f>_xlfn.LET(_xlpm.dir,Table13[[#This Row],[Direction]],
IF(_xlpm.dir="L",
    IF(G4225-Table13[[#This Row],[Steps]]&lt;0,100+(G4225-Table13[[#This Row],[Steps]]),G4225-Table13[[#This Row],[Steps]]),
))</f>
        <v>0</v>
      </c>
      <c r="F4226">
        <f>_xlfn.LET(_xlpm.dir,Table13[[#This Row],[Direction]],
IF(_xlpm.dir="R",
    IF(G4225+Table13[[#This Row],[Steps]]&gt;99,(G4225+Table13[[#This Row],[Steps]])-100,G4225+Table13[[#This Row],[Steps]]),
))</f>
        <v>93</v>
      </c>
      <c r="G4226">
        <f>IF(Table13[[#This Row],[New Pos L]]&lt;&gt;0,Table13[[#This Row],[New Pos L]],Table13[[#This Row],[New Pos R]])</f>
        <v>93</v>
      </c>
      <c r="H4226">
        <f>IF(AND(Table13[[#This Row],[Direction]]="L",Table13[[#This Row],[Steps]]&gt;G4225,G4225&lt;&gt;0),1,0)</f>
        <v>0</v>
      </c>
      <c r="I4226">
        <f>IF(AND(Table13[[#This Row],[Direction]]="R",(G4225+Table13[[#This Row],[Steps]])&gt;100),1,0)</f>
        <v>0</v>
      </c>
      <c r="J4226">
        <f>IF(Table13[[#This Row],[POS]]=0,1,0)</f>
        <v>0</v>
      </c>
      <c r="K4226">
        <f>SUM(Table13[[#This Row],[prefix]],Table13[[#This Row],[Past zero L]],Table13[[#This Row],[Past Zero R]],Table13[[#This Row],[Is Zero]])</f>
        <v>3</v>
      </c>
    </row>
    <row r="4227" spans="1:11" ht="16" x14ac:dyDescent="0.2">
      <c r="A4227" s="1" t="s">
        <v>49</v>
      </c>
      <c r="B4227" t="str">
        <f>LEFT(Table13[[#This Row],[Input]],1)</f>
        <v>L</v>
      </c>
      <c r="C4227">
        <f>_xlfn.LET(_xlpm.steps,SUBSTITUTE(Table13[[#This Row],[Input]],Table13[[#This Row],[Direction]],""),VALUE(IF(LEN(_xlpm.steps)&gt;2,RIGHT(_xlpm.steps,2),_xlpm.steps)))</f>
        <v>93</v>
      </c>
      <c r="D4227">
        <f>_xlfn.LET(_xlpm.steps,SUBSTITUTE(Table13[[#This Row],[Input]],Table13[[#This Row],[Direction]],""),VALUE(IF(LEN(_xlpm.steps)&gt;2,LEFT(_xlpm.steps,LEN(_xlpm.steps)-2),0)))</f>
        <v>0</v>
      </c>
      <c r="E4227">
        <f>_xlfn.LET(_xlpm.dir,Table13[[#This Row],[Direction]],
IF(_xlpm.dir="L",
    IF(G4226-Table13[[#This Row],[Steps]]&lt;0,100+(G4226-Table13[[#This Row],[Steps]]),G4226-Table13[[#This Row],[Steps]]),
))</f>
        <v>0</v>
      </c>
      <c r="F4227">
        <f>_xlfn.LET(_xlpm.dir,Table13[[#This Row],[Direction]],
IF(_xlpm.dir="R",
    IF(G4226+Table13[[#This Row],[Steps]]&gt;99,(G4226+Table13[[#This Row],[Steps]])-100,G4226+Table13[[#This Row],[Steps]]),
))</f>
        <v>0</v>
      </c>
      <c r="G4227">
        <f>IF(Table13[[#This Row],[New Pos L]]&lt;&gt;0,Table13[[#This Row],[New Pos L]],Table13[[#This Row],[New Pos R]])</f>
        <v>0</v>
      </c>
      <c r="H4227">
        <f>IF(AND(Table13[[#This Row],[Direction]]="L",Table13[[#This Row],[Steps]]&gt;G4226,G4226&lt;&gt;0),1,0)</f>
        <v>0</v>
      </c>
      <c r="I4227">
        <f>IF(AND(Table13[[#This Row],[Direction]]="R",(G4226+Table13[[#This Row],[Steps]])&gt;100),1,0)</f>
        <v>0</v>
      </c>
      <c r="J4227">
        <f>IF(Table13[[#This Row],[POS]]=0,1,0)</f>
        <v>1</v>
      </c>
      <c r="K4227">
        <f>SUM(Table13[[#This Row],[prefix]],Table13[[#This Row],[Past zero L]],Table13[[#This Row],[Past Zero R]],Table13[[#This Row],[Is Zero]])</f>
        <v>1</v>
      </c>
    </row>
    <row r="4228" spans="1:11" ht="16" x14ac:dyDescent="0.2">
      <c r="A4228" s="1" t="s">
        <v>49</v>
      </c>
      <c r="B4228" t="str">
        <f>LEFT(Table13[[#This Row],[Input]],1)</f>
        <v>L</v>
      </c>
      <c r="C4228">
        <f>_xlfn.LET(_xlpm.steps,SUBSTITUTE(Table13[[#This Row],[Input]],Table13[[#This Row],[Direction]],""),VALUE(IF(LEN(_xlpm.steps)&gt;2,RIGHT(_xlpm.steps,2),_xlpm.steps)))</f>
        <v>93</v>
      </c>
      <c r="D4228">
        <f>_xlfn.LET(_xlpm.steps,SUBSTITUTE(Table13[[#This Row],[Input]],Table13[[#This Row],[Direction]],""),VALUE(IF(LEN(_xlpm.steps)&gt;2,LEFT(_xlpm.steps,LEN(_xlpm.steps)-2),0)))</f>
        <v>0</v>
      </c>
      <c r="E4228">
        <f>_xlfn.LET(_xlpm.dir,Table13[[#This Row],[Direction]],
IF(_xlpm.dir="L",
    IF(G4227-Table13[[#This Row],[Steps]]&lt;0,100+(G4227-Table13[[#This Row],[Steps]]),G4227-Table13[[#This Row],[Steps]]),
))</f>
        <v>7</v>
      </c>
      <c r="F4228">
        <f>_xlfn.LET(_xlpm.dir,Table13[[#This Row],[Direction]],
IF(_xlpm.dir="R",
    IF(G4227+Table13[[#This Row],[Steps]]&gt;99,(G4227+Table13[[#This Row],[Steps]])-100,G4227+Table13[[#This Row],[Steps]]),
))</f>
        <v>0</v>
      </c>
      <c r="G4228">
        <f>IF(Table13[[#This Row],[New Pos L]]&lt;&gt;0,Table13[[#This Row],[New Pos L]],Table13[[#This Row],[New Pos R]])</f>
        <v>7</v>
      </c>
      <c r="H4228">
        <f>IF(AND(Table13[[#This Row],[Direction]]="L",Table13[[#This Row],[Steps]]&gt;G4227,G4227&lt;&gt;0),1,0)</f>
        <v>0</v>
      </c>
      <c r="I4228">
        <f>IF(AND(Table13[[#This Row],[Direction]]="R",(G4227+Table13[[#This Row],[Steps]])&gt;100),1,0)</f>
        <v>0</v>
      </c>
      <c r="J4228">
        <f>IF(Table13[[#This Row],[POS]]=0,1,0)</f>
        <v>0</v>
      </c>
      <c r="K4228">
        <f>SUM(Table13[[#This Row],[prefix]],Table13[[#This Row],[Past zero L]],Table13[[#This Row],[Past Zero R]],Table13[[#This Row],[Is Zero]])</f>
        <v>0</v>
      </c>
    </row>
    <row r="4229" spans="1:11" ht="16" x14ac:dyDescent="0.2">
      <c r="A4229" s="1" t="s">
        <v>853</v>
      </c>
      <c r="B4229" t="str">
        <f>LEFT(Table13[[#This Row],[Input]],1)</f>
        <v>R</v>
      </c>
      <c r="C4229">
        <f>_xlfn.LET(_xlpm.steps,SUBSTITUTE(Table13[[#This Row],[Input]],Table13[[#This Row],[Direction]],""),VALUE(IF(LEN(_xlpm.steps)&gt;2,RIGHT(_xlpm.steps,2),_xlpm.steps)))</f>
        <v>93</v>
      </c>
      <c r="D4229">
        <f>_xlfn.LET(_xlpm.steps,SUBSTITUTE(Table13[[#This Row],[Input]],Table13[[#This Row],[Direction]],""),VALUE(IF(LEN(_xlpm.steps)&gt;2,LEFT(_xlpm.steps,LEN(_xlpm.steps)-2),0)))</f>
        <v>9</v>
      </c>
      <c r="E4229">
        <f>_xlfn.LET(_xlpm.dir,Table13[[#This Row],[Direction]],
IF(_xlpm.dir="L",
    IF(G4228-Table13[[#This Row],[Steps]]&lt;0,100+(G4228-Table13[[#This Row],[Steps]]),G4228-Table13[[#This Row],[Steps]]),
))</f>
        <v>0</v>
      </c>
      <c r="F4229">
        <f>_xlfn.LET(_xlpm.dir,Table13[[#This Row],[Direction]],
IF(_xlpm.dir="R",
    IF(G4228+Table13[[#This Row],[Steps]]&gt;99,(G4228+Table13[[#This Row],[Steps]])-100,G4228+Table13[[#This Row],[Steps]]),
))</f>
        <v>0</v>
      </c>
      <c r="G4229">
        <f>IF(Table13[[#This Row],[New Pos L]]&lt;&gt;0,Table13[[#This Row],[New Pos L]],Table13[[#This Row],[New Pos R]])</f>
        <v>0</v>
      </c>
      <c r="H4229">
        <f>IF(AND(Table13[[#This Row],[Direction]]="L",Table13[[#This Row],[Steps]]&gt;G4228,G4228&lt;&gt;0),1,0)</f>
        <v>0</v>
      </c>
      <c r="I4229">
        <f>IF(AND(Table13[[#This Row],[Direction]]="R",(G4228+Table13[[#This Row],[Steps]])&gt;100),1,0)</f>
        <v>0</v>
      </c>
      <c r="J4229">
        <f>IF(Table13[[#This Row],[POS]]=0,1,0)</f>
        <v>1</v>
      </c>
      <c r="K4229">
        <f>SUM(Table13[[#This Row],[prefix]],Table13[[#This Row],[Past zero L]],Table13[[#This Row],[Past Zero R]],Table13[[#This Row],[Is Zero]])</f>
        <v>10</v>
      </c>
    </row>
    <row r="4230" spans="1:11" ht="16" x14ac:dyDescent="0.2">
      <c r="A4230" s="1" t="s">
        <v>363</v>
      </c>
      <c r="B4230" t="str">
        <f>LEFT(Table13[[#This Row],[Input]],1)</f>
        <v>R</v>
      </c>
      <c r="C4230">
        <f>_xlfn.LET(_xlpm.steps,SUBSTITUTE(Table13[[#This Row],[Input]],Table13[[#This Row],[Direction]],""),VALUE(IF(LEN(_xlpm.steps)&gt;2,RIGHT(_xlpm.steps,2),_xlpm.steps)))</f>
        <v>63</v>
      </c>
      <c r="D4230">
        <f>_xlfn.LET(_xlpm.steps,SUBSTITUTE(Table13[[#This Row],[Input]],Table13[[#This Row],[Direction]],""),VALUE(IF(LEN(_xlpm.steps)&gt;2,LEFT(_xlpm.steps,LEN(_xlpm.steps)-2),0)))</f>
        <v>0</v>
      </c>
      <c r="E4230">
        <f>_xlfn.LET(_xlpm.dir,Table13[[#This Row],[Direction]],
IF(_xlpm.dir="L",
    IF(G4229-Table13[[#This Row],[Steps]]&lt;0,100+(G4229-Table13[[#This Row],[Steps]]),G4229-Table13[[#This Row],[Steps]]),
))</f>
        <v>0</v>
      </c>
      <c r="F4230">
        <f>_xlfn.LET(_xlpm.dir,Table13[[#This Row],[Direction]],
IF(_xlpm.dir="R",
    IF(G4229+Table13[[#This Row],[Steps]]&gt;99,(G4229+Table13[[#This Row],[Steps]])-100,G4229+Table13[[#This Row],[Steps]]),
))</f>
        <v>63</v>
      </c>
      <c r="G4230">
        <f>IF(Table13[[#This Row],[New Pos L]]&lt;&gt;0,Table13[[#This Row],[New Pos L]],Table13[[#This Row],[New Pos R]])</f>
        <v>63</v>
      </c>
      <c r="H4230">
        <f>IF(AND(Table13[[#This Row],[Direction]]="L",Table13[[#This Row],[Steps]]&gt;G4229,G4229&lt;&gt;0),1,0)</f>
        <v>0</v>
      </c>
      <c r="I4230">
        <f>IF(AND(Table13[[#This Row],[Direction]]="R",(G4229+Table13[[#This Row],[Steps]])&gt;100),1,0)</f>
        <v>0</v>
      </c>
      <c r="J4230">
        <f>IF(Table13[[#This Row],[POS]]=0,1,0)</f>
        <v>0</v>
      </c>
      <c r="K4230">
        <f>SUM(Table13[[#This Row],[prefix]],Table13[[#This Row],[Past zero L]],Table13[[#This Row],[Past Zero R]],Table13[[#This Row],[Is Zero]])</f>
        <v>0</v>
      </c>
    </row>
    <row r="4231" spans="1:11" ht="16" x14ac:dyDescent="0.2">
      <c r="A4231" s="1" t="s">
        <v>54</v>
      </c>
      <c r="B4231" t="str">
        <f>LEFT(Table13[[#This Row],[Input]],1)</f>
        <v>L</v>
      </c>
      <c r="C4231">
        <f>_xlfn.LET(_xlpm.steps,SUBSTITUTE(Table13[[#This Row],[Input]],Table13[[#This Row],[Direction]],""),VALUE(IF(LEN(_xlpm.steps)&gt;2,RIGHT(_xlpm.steps,2),_xlpm.steps)))</f>
        <v>75</v>
      </c>
      <c r="D4231">
        <f>_xlfn.LET(_xlpm.steps,SUBSTITUTE(Table13[[#This Row],[Input]],Table13[[#This Row],[Direction]],""),VALUE(IF(LEN(_xlpm.steps)&gt;2,LEFT(_xlpm.steps,LEN(_xlpm.steps)-2),0)))</f>
        <v>0</v>
      </c>
      <c r="E4231">
        <f>_xlfn.LET(_xlpm.dir,Table13[[#This Row],[Direction]],
IF(_xlpm.dir="L",
    IF(G4230-Table13[[#This Row],[Steps]]&lt;0,100+(G4230-Table13[[#This Row],[Steps]]),G4230-Table13[[#This Row],[Steps]]),
))</f>
        <v>88</v>
      </c>
      <c r="F4231">
        <f>_xlfn.LET(_xlpm.dir,Table13[[#This Row],[Direction]],
IF(_xlpm.dir="R",
    IF(G4230+Table13[[#This Row],[Steps]]&gt;99,(G4230+Table13[[#This Row],[Steps]])-100,G4230+Table13[[#This Row],[Steps]]),
))</f>
        <v>0</v>
      </c>
      <c r="G4231">
        <f>IF(Table13[[#This Row],[New Pos L]]&lt;&gt;0,Table13[[#This Row],[New Pos L]],Table13[[#This Row],[New Pos R]])</f>
        <v>88</v>
      </c>
      <c r="H4231">
        <f>IF(AND(Table13[[#This Row],[Direction]]="L",Table13[[#This Row],[Steps]]&gt;G4230,G4230&lt;&gt;0),1,0)</f>
        <v>1</v>
      </c>
      <c r="I4231">
        <f>IF(AND(Table13[[#This Row],[Direction]]="R",(G4230+Table13[[#This Row],[Steps]])&gt;100),1,0)</f>
        <v>0</v>
      </c>
      <c r="J4231">
        <f>IF(Table13[[#This Row],[POS]]=0,1,0)</f>
        <v>0</v>
      </c>
      <c r="K4231">
        <f>SUM(Table13[[#This Row],[prefix]],Table13[[#This Row],[Past zero L]],Table13[[#This Row],[Past Zero R]],Table13[[#This Row],[Is Zero]])</f>
        <v>1</v>
      </c>
    </row>
    <row r="4232" spans="1:11" ht="16" x14ac:dyDescent="0.2">
      <c r="A4232" s="1" t="s">
        <v>49</v>
      </c>
      <c r="B4232" t="str">
        <f>LEFT(Table13[[#This Row],[Input]],1)</f>
        <v>L</v>
      </c>
      <c r="C4232">
        <f>_xlfn.LET(_xlpm.steps,SUBSTITUTE(Table13[[#This Row],[Input]],Table13[[#This Row],[Direction]],""),VALUE(IF(LEN(_xlpm.steps)&gt;2,RIGHT(_xlpm.steps,2),_xlpm.steps)))</f>
        <v>93</v>
      </c>
      <c r="D4232">
        <f>_xlfn.LET(_xlpm.steps,SUBSTITUTE(Table13[[#This Row],[Input]],Table13[[#This Row],[Direction]],""),VALUE(IF(LEN(_xlpm.steps)&gt;2,LEFT(_xlpm.steps,LEN(_xlpm.steps)-2),0)))</f>
        <v>0</v>
      </c>
      <c r="E4232">
        <f>_xlfn.LET(_xlpm.dir,Table13[[#This Row],[Direction]],
IF(_xlpm.dir="L",
    IF(G4231-Table13[[#This Row],[Steps]]&lt;0,100+(G4231-Table13[[#This Row],[Steps]]),G4231-Table13[[#This Row],[Steps]]),
))</f>
        <v>95</v>
      </c>
      <c r="F4232">
        <f>_xlfn.LET(_xlpm.dir,Table13[[#This Row],[Direction]],
IF(_xlpm.dir="R",
    IF(G4231+Table13[[#This Row],[Steps]]&gt;99,(G4231+Table13[[#This Row],[Steps]])-100,G4231+Table13[[#This Row],[Steps]]),
))</f>
        <v>0</v>
      </c>
      <c r="G4232">
        <f>IF(Table13[[#This Row],[New Pos L]]&lt;&gt;0,Table13[[#This Row],[New Pos L]],Table13[[#This Row],[New Pos R]])</f>
        <v>95</v>
      </c>
      <c r="H4232">
        <f>IF(AND(Table13[[#This Row],[Direction]]="L",Table13[[#This Row],[Steps]]&gt;G4231,G4231&lt;&gt;0),1,0)</f>
        <v>1</v>
      </c>
      <c r="I4232">
        <f>IF(AND(Table13[[#This Row],[Direction]]="R",(G4231+Table13[[#This Row],[Steps]])&gt;100),1,0)</f>
        <v>0</v>
      </c>
      <c r="J4232">
        <f>IF(Table13[[#This Row],[POS]]=0,1,0)</f>
        <v>0</v>
      </c>
      <c r="K4232">
        <f>SUM(Table13[[#This Row],[prefix]],Table13[[#This Row],[Past zero L]],Table13[[#This Row],[Past Zero R]],Table13[[#This Row],[Is Zero]])</f>
        <v>1</v>
      </c>
    </row>
    <row r="4233" spans="1:11" ht="16" x14ac:dyDescent="0.2">
      <c r="A4233" s="1" t="s">
        <v>140</v>
      </c>
      <c r="B4233" t="str">
        <f>LEFT(Table13[[#This Row],[Input]],1)</f>
        <v>L</v>
      </c>
      <c r="C4233">
        <f>_xlfn.LET(_xlpm.steps,SUBSTITUTE(Table13[[#This Row],[Input]],Table13[[#This Row],[Direction]],""),VALUE(IF(LEN(_xlpm.steps)&gt;2,RIGHT(_xlpm.steps,2),_xlpm.steps)))</f>
        <v>61</v>
      </c>
      <c r="D4233">
        <f>_xlfn.LET(_xlpm.steps,SUBSTITUTE(Table13[[#This Row],[Input]],Table13[[#This Row],[Direction]],""),VALUE(IF(LEN(_xlpm.steps)&gt;2,LEFT(_xlpm.steps,LEN(_xlpm.steps)-2),0)))</f>
        <v>0</v>
      </c>
      <c r="E4233">
        <f>_xlfn.LET(_xlpm.dir,Table13[[#This Row],[Direction]],
IF(_xlpm.dir="L",
    IF(G4232-Table13[[#This Row],[Steps]]&lt;0,100+(G4232-Table13[[#This Row],[Steps]]),G4232-Table13[[#This Row],[Steps]]),
))</f>
        <v>34</v>
      </c>
      <c r="F4233">
        <f>_xlfn.LET(_xlpm.dir,Table13[[#This Row],[Direction]],
IF(_xlpm.dir="R",
    IF(G4232+Table13[[#This Row],[Steps]]&gt;99,(G4232+Table13[[#This Row],[Steps]])-100,G4232+Table13[[#This Row],[Steps]]),
))</f>
        <v>0</v>
      </c>
      <c r="G4233">
        <f>IF(Table13[[#This Row],[New Pos L]]&lt;&gt;0,Table13[[#This Row],[New Pos L]],Table13[[#This Row],[New Pos R]])</f>
        <v>34</v>
      </c>
      <c r="H4233">
        <f>IF(AND(Table13[[#This Row],[Direction]]="L",Table13[[#This Row],[Steps]]&gt;G4232,G4232&lt;&gt;0),1,0)</f>
        <v>0</v>
      </c>
      <c r="I4233">
        <f>IF(AND(Table13[[#This Row],[Direction]]="R",(G4232+Table13[[#This Row],[Steps]])&gt;100),1,0)</f>
        <v>0</v>
      </c>
      <c r="J4233">
        <f>IF(Table13[[#This Row],[POS]]=0,1,0)</f>
        <v>0</v>
      </c>
      <c r="K4233">
        <f>SUM(Table13[[#This Row],[prefix]],Table13[[#This Row],[Past zero L]],Table13[[#This Row],[Past Zero R]],Table13[[#This Row],[Is Zero]])</f>
        <v>0</v>
      </c>
    </row>
    <row r="4234" spans="1:11" ht="16" x14ac:dyDescent="0.2">
      <c r="A4234" s="1" t="s">
        <v>121</v>
      </c>
      <c r="B4234" t="str">
        <f>LEFT(Table13[[#This Row],[Input]],1)</f>
        <v>L</v>
      </c>
      <c r="C4234">
        <f>_xlfn.LET(_xlpm.steps,SUBSTITUTE(Table13[[#This Row],[Input]],Table13[[#This Row],[Direction]],""),VALUE(IF(LEN(_xlpm.steps)&gt;2,RIGHT(_xlpm.steps,2),_xlpm.steps)))</f>
        <v>69</v>
      </c>
      <c r="D4234">
        <f>_xlfn.LET(_xlpm.steps,SUBSTITUTE(Table13[[#This Row],[Input]],Table13[[#This Row],[Direction]],""),VALUE(IF(LEN(_xlpm.steps)&gt;2,LEFT(_xlpm.steps,LEN(_xlpm.steps)-2),0)))</f>
        <v>0</v>
      </c>
      <c r="E4234">
        <f>_xlfn.LET(_xlpm.dir,Table13[[#This Row],[Direction]],
IF(_xlpm.dir="L",
    IF(G4233-Table13[[#This Row],[Steps]]&lt;0,100+(G4233-Table13[[#This Row],[Steps]]),G4233-Table13[[#This Row],[Steps]]),
))</f>
        <v>65</v>
      </c>
      <c r="F4234">
        <f>_xlfn.LET(_xlpm.dir,Table13[[#This Row],[Direction]],
IF(_xlpm.dir="R",
    IF(G4233+Table13[[#This Row],[Steps]]&gt;99,(G4233+Table13[[#This Row],[Steps]])-100,G4233+Table13[[#This Row],[Steps]]),
))</f>
        <v>0</v>
      </c>
      <c r="G4234">
        <f>IF(Table13[[#This Row],[New Pos L]]&lt;&gt;0,Table13[[#This Row],[New Pos L]],Table13[[#This Row],[New Pos R]])</f>
        <v>65</v>
      </c>
      <c r="H4234">
        <f>IF(AND(Table13[[#This Row],[Direction]]="L",Table13[[#This Row],[Steps]]&gt;G4233,G4233&lt;&gt;0),1,0)</f>
        <v>1</v>
      </c>
      <c r="I4234">
        <f>IF(AND(Table13[[#This Row],[Direction]]="R",(G4233+Table13[[#This Row],[Steps]])&gt;100),1,0)</f>
        <v>0</v>
      </c>
      <c r="J4234">
        <f>IF(Table13[[#This Row],[POS]]=0,1,0)</f>
        <v>0</v>
      </c>
      <c r="K4234">
        <f>SUM(Table13[[#This Row],[prefix]],Table13[[#This Row],[Past zero L]],Table13[[#This Row],[Past Zero R]],Table13[[#This Row],[Is Zero]])</f>
        <v>1</v>
      </c>
    </row>
    <row r="4235" spans="1:11" ht="16" x14ac:dyDescent="0.2">
      <c r="A4235" s="1" t="s">
        <v>98</v>
      </c>
      <c r="B4235" t="str">
        <f>LEFT(Table13[[#This Row],[Input]],1)</f>
        <v>L</v>
      </c>
      <c r="C4235">
        <f>_xlfn.LET(_xlpm.steps,SUBSTITUTE(Table13[[#This Row],[Input]],Table13[[#This Row],[Direction]],""),VALUE(IF(LEN(_xlpm.steps)&gt;2,RIGHT(_xlpm.steps,2),_xlpm.steps)))</f>
        <v>65</v>
      </c>
      <c r="D4235">
        <f>_xlfn.LET(_xlpm.steps,SUBSTITUTE(Table13[[#This Row],[Input]],Table13[[#This Row],[Direction]],""),VALUE(IF(LEN(_xlpm.steps)&gt;2,LEFT(_xlpm.steps,LEN(_xlpm.steps)-2),0)))</f>
        <v>0</v>
      </c>
      <c r="E4235">
        <f>_xlfn.LET(_xlpm.dir,Table13[[#This Row],[Direction]],
IF(_xlpm.dir="L",
    IF(G4234-Table13[[#This Row],[Steps]]&lt;0,100+(G4234-Table13[[#This Row],[Steps]]),G4234-Table13[[#This Row],[Steps]]),
))</f>
        <v>0</v>
      </c>
      <c r="F4235">
        <f>_xlfn.LET(_xlpm.dir,Table13[[#This Row],[Direction]],
IF(_xlpm.dir="R",
    IF(G4234+Table13[[#This Row],[Steps]]&gt;99,(G4234+Table13[[#This Row],[Steps]])-100,G4234+Table13[[#This Row],[Steps]]),
))</f>
        <v>0</v>
      </c>
      <c r="G4235">
        <f>IF(Table13[[#This Row],[New Pos L]]&lt;&gt;0,Table13[[#This Row],[New Pos L]],Table13[[#This Row],[New Pos R]])</f>
        <v>0</v>
      </c>
      <c r="H4235">
        <f>IF(AND(Table13[[#This Row],[Direction]]="L",Table13[[#This Row],[Steps]]&gt;G4234,G4234&lt;&gt;0),1,0)</f>
        <v>0</v>
      </c>
      <c r="I4235">
        <f>IF(AND(Table13[[#This Row],[Direction]]="R",(G4234+Table13[[#This Row],[Steps]])&gt;100),1,0)</f>
        <v>0</v>
      </c>
      <c r="J4235">
        <f>IF(Table13[[#This Row],[POS]]=0,1,0)</f>
        <v>1</v>
      </c>
      <c r="K4235">
        <f>SUM(Table13[[#This Row],[prefix]],Table13[[#This Row],[Past zero L]],Table13[[#This Row],[Past Zero R]],Table13[[#This Row],[Is Zero]])</f>
        <v>1</v>
      </c>
    </row>
    <row r="4236" spans="1:11" ht="16" x14ac:dyDescent="0.2">
      <c r="A4236" s="1" t="s">
        <v>854</v>
      </c>
      <c r="B4236" t="str">
        <f>LEFT(Table13[[#This Row],[Input]],1)</f>
        <v>R</v>
      </c>
      <c r="C4236">
        <f>_xlfn.LET(_xlpm.steps,SUBSTITUTE(Table13[[#This Row],[Input]],Table13[[#This Row],[Direction]],""),VALUE(IF(LEN(_xlpm.steps)&gt;2,RIGHT(_xlpm.steps,2),_xlpm.steps)))</f>
        <v>44</v>
      </c>
      <c r="D4236">
        <f>_xlfn.LET(_xlpm.steps,SUBSTITUTE(Table13[[#This Row],[Input]],Table13[[#This Row],[Direction]],""),VALUE(IF(LEN(_xlpm.steps)&gt;2,LEFT(_xlpm.steps,LEN(_xlpm.steps)-2),0)))</f>
        <v>3</v>
      </c>
      <c r="E4236">
        <f>_xlfn.LET(_xlpm.dir,Table13[[#This Row],[Direction]],
IF(_xlpm.dir="L",
    IF(G4235-Table13[[#This Row],[Steps]]&lt;0,100+(G4235-Table13[[#This Row],[Steps]]),G4235-Table13[[#This Row],[Steps]]),
))</f>
        <v>0</v>
      </c>
      <c r="F4236">
        <f>_xlfn.LET(_xlpm.dir,Table13[[#This Row],[Direction]],
IF(_xlpm.dir="R",
    IF(G4235+Table13[[#This Row],[Steps]]&gt;99,(G4235+Table13[[#This Row],[Steps]])-100,G4235+Table13[[#This Row],[Steps]]),
))</f>
        <v>44</v>
      </c>
      <c r="G4236">
        <f>IF(Table13[[#This Row],[New Pos L]]&lt;&gt;0,Table13[[#This Row],[New Pos L]],Table13[[#This Row],[New Pos R]])</f>
        <v>44</v>
      </c>
      <c r="H4236">
        <f>IF(AND(Table13[[#This Row],[Direction]]="L",Table13[[#This Row],[Steps]]&gt;G4235,G4235&lt;&gt;0),1,0)</f>
        <v>0</v>
      </c>
      <c r="I4236">
        <f>IF(AND(Table13[[#This Row],[Direction]]="R",(G4235+Table13[[#This Row],[Steps]])&gt;100),1,0)</f>
        <v>0</v>
      </c>
      <c r="J4236">
        <f>IF(Table13[[#This Row],[POS]]=0,1,0)</f>
        <v>0</v>
      </c>
      <c r="K4236">
        <f>SUM(Table13[[#This Row],[prefix]],Table13[[#This Row],[Past zero L]],Table13[[#This Row],[Past Zero R]],Table13[[#This Row],[Is Zero]])</f>
        <v>3</v>
      </c>
    </row>
    <row r="4237" spans="1:11" ht="16" x14ac:dyDescent="0.2">
      <c r="A4237" s="1" t="s">
        <v>19</v>
      </c>
      <c r="B4237" t="str">
        <f>LEFT(Table13[[#This Row],[Input]],1)</f>
        <v>R</v>
      </c>
      <c r="C4237">
        <f>_xlfn.LET(_xlpm.steps,SUBSTITUTE(Table13[[#This Row],[Input]],Table13[[#This Row],[Direction]],""),VALUE(IF(LEN(_xlpm.steps)&gt;2,RIGHT(_xlpm.steps,2),_xlpm.steps)))</f>
        <v>47</v>
      </c>
      <c r="D4237">
        <f>_xlfn.LET(_xlpm.steps,SUBSTITUTE(Table13[[#This Row],[Input]],Table13[[#This Row],[Direction]],""),VALUE(IF(LEN(_xlpm.steps)&gt;2,LEFT(_xlpm.steps,LEN(_xlpm.steps)-2),0)))</f>
        <v>0</v>
      </c>
      <c r="E4237">
        <f>_xlfn.LET(_xlpm.dir,Table13[[#This Row],[Direction]],
IF(_xlpm.dir="L",
    IF(G4236-Table13[[#This Row],[Steps]]&lt;0,100+(G4236-Table13[[#This Row],[Steps]]),G4236-Table13[[#This Row],[Steps]]),
))</f>
        <v>0</v>
      </c>
      <c r="F4237">
        <f>_xlfn.LET(_xlpm.dir,Table13[[#This Row],[Direction]],
IF(_xlpm.dir="R",
    IF(G4236+Table13[[#This Row],[Steps]]&gt;99,(G4236+Table13[[#This Row],[Steps]])-100,G4236+Table13[[#This Row],[Steps]]),
))</f>
        <v>91</v>
      </c>
      <c r="G4237">
        <f>IF(Table13[[#This Row],[New Pos L]]&lt;&gt;0,Table13[[#This Row],[New Pos L]],Table13[[#This Row],[New Pos R]])</f>
        <v>91</v>
      </c>
      <c r="H4237">
        <f>IF(AND(Table13[[#This Row],[Direction]]="L",Table13[[#This Row],[Steps]]&gt;G4236,G4236&lt;&gt;0),1,0)</f>
        <v>0</v>
      </c>
      <c r="I4237">
        <f>IF(AND(Table13[[#This Row],[Direction]]="R",(G4236+Table13[[#This Row],[Steps]])&gt;100),1,0)</f>
        <v>0</v>
      </c>
      <c r="J4237">
        <f>IF(Table13[[#This Row],[POS]]=0,1,0)</f>
        <v>0</v>
      </c>
      <c r="K4237">
        <f>SUM(Table13[[#This Row],[prefix]],Table13[[#This Row],[Past zero L]],Table13[[#This Row],[Past Zero R]],Table13[[#This Row],[Is Zero]])</f>
        <v>0</v>
      </c>
    </row>
    <row r="4238" spans="1:11" ht="16" x14ac:dyDescent="0.2">
      <c r="A4238" s="1" t="s">
        <v>379</v>
      </c>
      <c r="B4238" t="str">
        <f>LEFT(Table13[[#This Row],[Input]],1)</f>
        <v>L</v>
      </c>
      <c r="C4238">
        <f>_xlfn.LET(_xlpm.steps,SUBSTITUTE(Table13[[#This Row],[Input]],Table13[[#This Row],[Direction]],""),VALUE(IF(LEN(_xlpm.steps)&gt;2,RIGHT(_xlpm.steps,2),_xlpm.steps)))</f>
        <v>4</v>
      </c>
      <c r="D4238">
        <f>_xlfn.LET(_xlpm.steps,SUBSTITUTE(Table13[[#This Row],[Input]],Table13[[#This Row],[Direction]],""),VALUE(IF(LEN(_xlpm.steps)&gt;2,LEFT(_xlpm.steps,LEN(_xlpm.steps)-2),0)))</f>
        <v>0</v>
      </c>
      <c r="E4238">
        <f>_xlfn.LET(_xlpm.dir,Table13[[#This Row],[Direction]],
IF(_xlpm.dir="L",
    IF(G4237-Table13[[#This Row],[Steps]]&lt;0,100+(G4237-Table13[[#This Row],[Steps]]),G4237-Table13[[#This Row],[Steps]]),
))</f>
        <v>87</v>
      </c>
      <c r="F4238">
        <f>_xlfn.LET(_xlpm.dir,Table13[[#This Row],[Direction]],
IF(_xlpm.dir="R",
    IF(G4237+Table13[[#This Row],[Steps]]&gt;99,(G4237+Table13[[#This Row],[Steps]])-100,G4237+Table13[[#This Row],[Steps]]),
))</f>
        <v>0</v>
      </c>
      <c r="G4238">
        <f>IF(Table13[[#This Row],[New Pos L]]&lt;&gt;0,Table13[[#This Row],[New Pos L]],Table13[[#This Row],[New Pos R]])</f>
        <v>87</v>
      </c>
      <c r="H4238">
        <f>IF(AND(Table13[[#This Row],[Direction]]="L",Table13[[#This Row],[Steps]]&gt;G4237,G4237&lt;&gt;0),1,0)</f>
        <v>0</v>
      </c>
      <c r="I4238">
        <f>IF(AND(Table13[[#This Row],[Direction]]="R",(G4237+Table13[[#This Row],[Steps]])&gt;100),1,0)</f>
        <v>0</v>
      </c>
      <c r="J4238">
        <f>IF(Table13[[#This Row],[POS]]=0,1,0)</f>
        <v>0</v>
      </c>
      <c r="K4238">
        <f>SUM(Table13[[#This Row],[prefix]],Table13[[#This Row],[Past zero L]],Table13[[#This Row],[Past Zero R]],Table13[[#This Row],[Is Zero]])</f>
        <v>0</v>
      </c>
    </row>
    <row r="4239" spans="1:11" ht="16" x14ac:dyDescent="0.2">
      <c r="A4239" s="1" t="s">
        <v>223</v>
      </c>
      <c r="B4239" t="str">
        <f>LEFT(Table13[[#This Row],[Input]],1)</f>
        <v>L</v>
      </c>
      <c r="C4239">
        <f>_xlfn.LET(_xlpm.steps,SUBSTITUTE(Table13[[#This Row],[Input]],Table13[[#This Row],[Direction]],""),VALUE(IF(LEN(_xlpm.steps)&gt;2,RIGHT(_xlpm.steps,2),_xlpm.steps)))</f>
        <v>87</v>
      </c>
      <c r="D4239">
        <f>_xlfn.LET(_xlpm.steps,SUBSTITUTE(Table13[[#This Row],[Input]],Table13[[#This Row],[Direction]],""),VALUE(IF(LEN(_xlpm.steps)&gt;2,LEFT(_xlpm.steps,LEN(_xlpm.steps)-2),0)))</f>
        <v>0</v>
      </c>
      <c r="E4239">
        <f>_xlfn.LET(_xlpm.dir,Table13[[#This Row],[Direction]],
IF(_xlpm.dir="L",
    IF(G4238-Table13[[#This Row],[Steps]]&lt;0,100+(G4238-Table13[[#This Row],[Steps]]),G4238-Table13[[#This Row],[Steps]]),
))</f>
        <v>0</v>
      </c>
      <c r="F4239">
        <f>_xlfn.LET(_xlpm.dir,Table13[[#This Row],[Direction]],
IF(_xlpm.dir="R",
    IF(G4238+Table13[[#This Row],[Steps]]&gt;99,(G4238+Table13[[#This Row],[Steps]])-100,G4238+Table13[[#This Row],[Steps]]),
))</f>
        <v>0</v>
      </c>
      <c r="G4239">
        <f>IF(Table13[[#This Row],[New Pos L]]&lt;&gt;0,Table13[[#This Row],[New Pos L]],Table13[[#This Row],[New Pos R]])</f>
        <v>0</v>
      </c>
      <c r="H4239">
        <f>IF(AND(Table13[[#This Row],[Direction]]="L",Table13[[#This Row],[Steps]]&gt;G4238,G4238&lt;&gt;0),1,0)</f>
        <v>0</v>
      </c>
      <c r="I4239">
        <f>IF(AND(Table13[[#This Row],[Direction]]="R",(G4238+Table13[[#This Row],[Steps]])&gt;100),1,0)</f>
        <v>0</v>
      </c>
      <c r="J4239">
        <f>IF(Table13[[#This Row],[POS]]=0,1,0)</f>
        <v>1</v>
      </c>
      <c r="K4239">
        <f>SUM(Table13[[#This Row],[prefix]],Table13[[#This Row],[Past zero L]],Table13[[#This Row],[Past Zero R]],Table13[[#This Row],[Is Zero]])</f>
        <v>1</v>
      </c>
    </row>
    <row r="4240" spans="1:11" ht="16" x14ac:dyDescent="0.2">
      <c r="A4240" s="1" t="s">
        <v>49</v>
      </c>
      <c r="B4240" t="str">
        <f>LEFT(Table13[[#This Row],[Input]],1)</f>
        <v>L</v>
      </c>
      <c r="C4240">
        <f>_xlfn.LET(_xlpm.steps,SUBSTITUTE(Table13[[#This Row],[Input]],Table13[[#This Row],[Direction]],""),VALUE(IF(LEN(_xlpm.steps)&gt;2,RIGHT(_xlpm.steps,2),_xlpm.steps)))</f>
        <v>93</v>
      </c>
      <c r="D4240">
        <f>_xlfn.LET(_xlpm.steps,SUBSTITUTE(Table13[[#This Row],[Input]],Table13[[#This Row],[Direction]],""),VALUE(IF(LEN(_xlpm.steps)&gt;2,LEFT(_xlpm.steps,LEN(_xlpm.steps)-2),0)))</f>
        <v>0</v>
      </c>
      <c r="E4240">
        <f>_xlfn.LET(_xlpm.dir,Table13[[#This Row],[Direction]],
IF(_xlpm.dir="L",
    IF(G4239-Table13[[#This Row],[Steps]]&lt;0,100+(G4239-Table13[[#This Row],[Steps]]),G4239-Table13[[#This Row],[Steps]]),
))</f>
        <v>7</v>
      </c>
      <c r="F4240">
        <f>_xlfn.LET(_xlpm.dir,Table13[[#This Row],[Direction]],
IF(_xlpm.dir="R",
    IF(G4239+Table13[[#This Row],[Steps]]&gt;99,(G4239+Table13[[#This Row],[Steps]])-100,G4239+Table13[[#This Row],[Steps]]),
))</f>
        <v>0</v>
      </c>
      <c r="G4240">
        <f>IF(Table13[[#This Row],[New Pos L]]&lt;&gt;0,Table13[[#This Row],[New Pos L]],Table13[[#This Row],[New Pos R]])</f>
        <v>7</v>
      </c>
      <c r="H4240">
        <f>IF(AND(Table13[[#This Row],[Direction]]="L",Table13[[#This Row],[Steps]]&gt;G4239,G4239&lt;&gt;0),1,0)</f>
        <v>0</v>
      </c>
      <c r="I4240">
        <f>IF(AND(Table13[[#This Row],[Direction]]="R",(G4239+Table13[[#This Row],[Steps]])&gt;100),1,0)</f>
        <v>0</v>
      </c>
      <c r="J4240">
        <f>IF(Table13[[#This Row],[POS]]=0,1,0)</f>
        <v>0</v>
      </c>
      <c r="K4240">
        <f>SUM(Table13[[#This Row],[prefix]],Table13[[#This Row],[Past zero L]],Table13[[#This Row],[Past Zero R]],Table13[[#This Row],[Is Zero]])</f>
        <v>0</v>
      </c>
    </row>
    <row r="4241" spans="1:11" ht="16" x14ac:dyDescent="0.2">
      <c r="A4241" s="1" t="s">
        <v>174</v>
      </c>
      <c r="B4241" t="str">
        <f>LEFT(Table13[[#This Row],[Input]],1)</f>
        <v>L</v>
      </c>
      <c r="C4241">
        <f>_xlfn.LET(_xlpm.steps,SUBSTITUTE(Table13[[#This Row],[Input]],Table13[[#This Row],[Direction]],""),VALUE(IF(LEN(_xlpm.steps)&gt;2,RIGHT(_xlpm.steps,2),_xlpm.steps)))</f>
        <v>92</v>
      </c>
      <c r="D4241">
        <f>_xlfn.LET(_xlpm.steps,SUBSTITUTE(Table13[[#This Row],[Input]],Table13[[#This Row],[Direction]],""),VALUE(IF(LEN(_xlpm.steps)&gt;2,LEFT(_xlpm.steps,LEN(_xlpm.steps)-2),0)))</f>
        <v>0</v>
      </c>
      <c r="E4241">
        <f>_xlfn.LET(_xlpm.dir,Table13[[#This Row],[Direction]],
IF(_xlpm.dir="L",
    IF(G4240-Table13[[#This Row],[Steps]]&lt;0,100+(G4240-Table13[[#This Row],[Steps]]),G4240-Table13[[#This Row],[Steps]]),
))</f>
        <v>15</v>
      </c>
      <c r="F4241">
        <f>_xlfn.LET(_xlpm.dir,Table13[[#This Row],[Direction]],
IF(_xlpm.dir="R",
    IF(G4240+Table13[[#This Row],[Steps]]&gt;99,(G4240+Table13[[#This Row],[Steps]])-100,G4240+Table13[[#This Row],[Steps]]),
))</f>
        <v>0</v>
      </c>
      <c r="G4241">
        <f>IF(Table13[[#This Row],[New Pos L]]&lt;&gt;0,Table13[[#This Row],[New Pos L]],Table13[[#This Row],[New Pos R]])</f>
        <v>15</v>
      </c>
      <c r="H4241">
        <f>IF(AND(Table13[[#This Row],[Direction]]="L",Table13[[#This Row],[Steps]]&gt;G4240,G4240&lt;&gt;0),1,0)</f>
        <v>1</v>
      </c>
      <c r="I4241">
        <f>IF(AND(Table13[[#This Row],[Direction]]="R",(G4240+Table13[[#This Row],[Steps]])&gt;100),1,0)</f>
        <v>0</v>
      </c>
      <c r="J4241">
        <f>IF(Table13[[#This Row],[POS]]=0,1,0)</f>
        <v>0</v>
      </c>
      <c r="K4241">
        <f>SUM(Table13[[#This Row],[prefix]],Table13[[#This Row],[Past zero L]],Table13[[#This Row],[Past Zero R]],Table13[[#This Row],[Is Zero]])</f>
        <v>1</v>
      </c>
    </row>
    <row r="4242" spans="1:11" ht="16" x14ac:dyDescent="0.2">
      <c r="A4242" s="1" t="s">
        <v>34</v>
      </c>
      <c r="B4242" t="str">
        <f>LEFT(Table13[[#This Row],[Input]],1)</f>
        <v>L</v>
      </c>
      <c r="C4242">
        <f>_xlfn.LET(_xlpm.steps,SUBSTITUTE(Table13[[#This Row],[Input]],Table13[[#This Row],[Direction]],""),VALUE(IF(LEN(_xlpm.steps)&gt;2,RIGHT(_xlpm.steps,2),_xlpm.steps)))</f>
        <v>15</v>
      </c>
      <c r="D4242">
        <f>_xlfn.LET(_xlpm.steps,SUBSTITUTE(Table13[[#This Row],[Input]],Table13[[#This Row],[Direction]],""),VALUE(IF(LEN(_xlpm.steps)&gt;2,LEFT(_xlpm.steps,LEN(_xlpm.steps)-2),0)))</f>
        <v>0</v>
      </c>
      <c r="E4242">
        <f>_xlfn.LET(_xlpm.dir,Table13[[#This Row],[Direction]],
IF(_xlpm.dir="L",
    IF(G4241-Table13[[#This Row],[Steps]]&lt;0,100+(G4241-Table13[[#This Row],[Steps]]),G4241-Table13[[#This Row],[Steps]]),
))</f>
        <v>0</v>
      </c>
      <c r="F4242">
        <f>_xlfn.LET(_xlpm.dir,Table13[[#This Row],[Direction]],
IF(_xlpm.dir="R",
    IF(G4241+Table13[[#This Row],[Steps]]&gt;99,(G4241+Table13[[#This Row],[Steps]])-100,G4241+Table13[[#This Row],[Steps]]),
))</f>
        <v>0</v>
      </c>
      <c r="G4242">
        <f>IF(Table13[[#This Row],[New Pos L]]&lt;&gt;0,Table13[[#This Row],[New Pos L]],Table13[[#This Row],[New Pos R]])</f>
        <v>0</v>
      </c>
      <c r="H4242">
        <f>IF(AND(Table13[[#This Row],[Direction]]="L",Table13[[#This Row],[Steps]]&gt;G4241,G4241&lt;&gt;0),1,0)</f>
        <v>0</v>
      </c>
      <c r="I4242">
        <f>IF(AND(Table13[[#This Row],[Direction]]="R",(G4241+Table13[[#This Row],[Steps]])&gt;100),1,0)</f>
        <v>0</v>
      </c>
      <c r="J4242">
        <f>IF(Table13[[#This Row],[POS]]=0,1,0)</f>
        <v>1</v>
      </c>
      <c r="K4242">
        <f>SUM(Table13[[#This Row],[prefix]],Table13[[#This Row],[Past zero L]],Table13[[#This Row],[Past Zero R]],Table13[[#This Row],[Is Zero]])</f>
        <v>1</v>
      </c>
    </row>
    <row r="4243" spans="1:11" ht="16" x14ac:dyDescent="0.2">
      <c r="A4243" s="1" t="s">
        <v>94</v>
      </c>
      <c r="B4243" t="str">
        <f>LEFT(Table13[[#This Row],[Input]],1)</f>
        <v>L</v>
      </c>
      <c r="C4243">
        <f>_xlfn.LET(_xlpm.steps,SUBSTITUTE(Table13[[#This Row],[Input]],Table13[[#This Row],[Direction]],""),VALUE(IF(LEN(_xlpm.steps)&gt;2,RIGHT(_xlpm.steps,2),_xlpm.steps)))</f>
        <v>71</v>
      </c>
      <c r="D4243">
        <f>_xlfn.LET(_xlpm.steps,SUBSTITUTE(Table13[[#This Row],[Input]],Table13[[#This Row],[Direction]],""),VALUE(IF(LEN(_xlpm.steps)&gt;2,LEFT(_xlpm.steps,LEN(_xlpm.steps)-2),0)))</f>
        <v>0</v>
      </c>
      <c r="E4243">
        <f>_xlfn.LET(_xlpm.dir,Table13[[#This Row],[Direction]],
IF(_xlpm.dir="L",
    IF(G4242-Table13[[#This Row],[Steps]]&lt;0,100+(G4242-Table13[[#This Row],[Steps]]),G4242-Table13[[#This Row],[Steps]]),
))</f>
        <v>29</v>
      </c>
      <c r="F4243">
        <f>_xlfn.LET(_xlpm.dir,Table13[[#This Row],[Direction]],
IF(_xlpm.dir="R",
    IF(G4242+Table13[[#This Row],[Steps]]&gt;99,(G4242+Table13[[#This Row],[Steps]])-100,G4242+Table13[[#This Row],[Steps]]),
))</f>
        <v>0</v>
      </c>
      <c r="G4243">
        <f>IF(Table13[[#This Row],[New Pos L]]&lt;&gt;0,Table13[[#This Row],[New Pos L]],Table13[[#This Row],[New Pos R]])</f>
        <v>29</v>
      </c>
      <c r="H4243">
        <f>IF(AND(Table13[[#This Row],[Direction]]="L",Table13[[#This Row],[Steps]]&gt;G4242,G4242&lt;&gt;0),1,0)</f>
        <v>0</v>
      </c>
      <c r="I4243">
        <f>IF(AND(Table13[[#This Row],[Direction]]="R",(G4242+Table13[[#This Row],[Steps]])&gt;100),1,0)</f>
        <v>0</v>
      </c>
      <c r="J4243">
        <f>IF(Table13[[#This Row],[POS]]=0,1,0)</f>
        <v>0</v>
      </c>
      <c r="K4243">
        <f>SUM(Table13[[#This Row],[prefix]],Table13[[#This Row],[Past zero L]],Table13[[#This Row],[Past Zero R]],Table13[[#This Row],[Is Zero]])</f>
        <v>0</v>
      </c>
    </row>
    <row r="4244" spans="1:11" ht="16" x14ac:dyDescent="0.2">
      <c r="A4244" s="1" t="s">
        <v>14</v>
      </c>
      <c r="B4244" t="str">
        <f>LEFT(Table13[[#This Row],[Input]],1)</f>
        <v>L</v>
      </c>
      <c r="C4244">
        <f>_xlfn.LET(_xlpm.steps,SUBSTITUTE(Table13[[#This Row],[Input]],Table13[[#This Row],[Direction]],""),VALUE(IF(LEN(_xlpm.steps)&gt;2,RIGHT(_xlpm.steps,2),_xlpm.steps)))</f>
        <v>43</v>
      </c>
      <c r="D4244">
        <f>_xlfn.LET(_xlpm.steps,SUBSTITUTE(Table13[[#This Row],[Input]],Table13[[#This Row],[Direction]],""),VALUE(IF(LEN(_xlpm.steps)&gt;2,LEFT(_xlpm.steps,LEN(_xlpm.steps)-2),0)))</f>
        <v>0</v>
      </c>
      <c r="E4244">
        <f>_xlfn.LET(_xlpm.dir,Table13[[#This Row],[Direction]],
IF(_xlpm.dir="L",
    IF(G4243-Table13[[#This Row],[Steps]]&lt;0,100+(G4243-Table13[[#This Row],[Steps]]),G4243-Table13[[#This Row],[Steps]]),
))</f>
        <v>86</v>
      </c>
      <c r="F4244">
        <f>_xlfn.LET(_xlpm.dir,Table13[[#This Row],[Direction]],
IF(_xlpm.dir="R",
    IF(G4243+Table13[[#This Row],[Steps]]&gt;99,(G4243+Table13[[#This Row],[Steps]])-100,G4243+Table13[[#This Row],[Steps]]),
))</f>
        <v>0</v>
      </c>
      <c r="G4244">
        <f>IF(Table13[[#This Row],[New Pos L]]&lt;&gt;0,Table13[[#This Row],[New Pos L]],Table13[[#This Row],[New Pos R]])</f>
        <v>86</v>
      </c>
      <c r="H4244">
        <f>IF(AND(Table13[[#This Row],[Direction]]="L",Table13[[#This Row],[Steps]]&gt;G4243,G4243&lt;&gt;0),1,0)</f>
        <v>1</v>
      </c>
      <c r="I4244">
        <f>IF(AND(Table13[[#This Row],[Direction]]="R",(G4243+Table13[[#This Row],[Steps]])&gt;100),1,0)</f>
        <v>0</v>
      </c>
      <c r="J4244">
        <f>IF(Table13[[#This Row],[POS]]=0,1,0)</f>
        <v>0</v>
      </c>
      <c r="K4244">
        <f>SUM(Table13[[#This Row],[prefix]],Table13[[#This Row],[Past zero L]],Table13[[#This Row],[Past Zero R]],Table13[[#This Row],[Is Zero]])</f>
        <v>1</v>
      </c>
    </row>
    <row r="4245" spans="1:11" ht="16" x14ac:dyDescent="0.2">
      <c r="A4245" s="1" t="s">
        <v>67</v>
      </c>
      <c r="B4245" t="str">
        <f>LEFT(Table13[[#This Row],[Input]],1)</f>
        <v>R</v>
      </c>
      <c r="C4245">
        <f>_xlfn.LET(_xlpm.steps,SUBSTITUTE(Table13[[#This Row],[Input]],Table13[[#This Row],[Direction]],""),VALUE(IF(LEN(_xlpm.steps)&gt;2,RIGHT(_xlpm.steps,2),_xlpm.steps)))</f>
        <v>33</v>
      </c>
      <c r="D4245">
        <f>_xlfn.LET(_xlpm.steps,SUBSTITUTE(Table13[[#This Row],[Input]],Table13[[#This Row],[Direction]],""),VALUE(IF(LEN(_xlpm.steps)&gt;2,LEFT(_xlpm.steps,LEN(_xlpm.steps)-2),0)))</f>
        <v>0</v>
      </c>
      <c r="E4245">
        <f>_xlfn.LET(_xlpm.dir,Table13[[#This Row],[Direction]],
IF(_xlpm.dir="L",
    IF(G4244-Table13[[#This Row],[Steps]]&lt;0,100+(G4244-Table13[[#This Row],[Steps]]),G4244-Table13[[#This Row],[Steps]]),
))</f>
        <v>0</v>
      </c>
      <c r="F4245">
        <f>_xlfn.LET(_xlpm.dir,Table13[[#This Row],[Direction]],
IF(_xlpm.dir="R",
    IF(G4244+Table13[[#This Row],[Steps]]&gt;99,(G4244+Table13[[#This Row],[Steps]])-100,G4244+Table13[[#This Row],[Steps]]),
))</f>
        <v>19</v>
      </c>
      <c r="G4245">
        <f>IF(Table13[[#This Row],[New Pos L]]&lt;&gt;0,Table13[[#This Row],[New Pos L]],Table13[[#This Row],[New Pos R]])</f>
        <v>19</v>
      </c>
      <c r="H4245">
        <f>IF(AND(Table13[[#This Row],[Direction]]="L",Table13[[#This Row],[Steps]]&gt;G4244,G4244&lt;&gt;0),1,0)</f>
        <v>0</v>
      </c>
      <c r="I4245">
        <f>IF(AND(Table13[[#This Row],[Direction]]="R",(G4244+Table13[[#This Row],[Steps]])&gt;100),1,0)</f>
        <v>1</v>
      </c>
      <c r="J4245">
        <f>IF(Table13[[#This Row],[POS]]=0,1,0)</f>
        <v>0</v>
      </c>
      <c r="K4245">
        <f>SUM(Table13[[#This Row],[prefix]],Table13[[#This Row],[Past zero L]],Table13[[#This Row],[Past Zero R]],Table13[[#This Row],[Is Zero]])</f>
        <v>1</v>
      </c>
    </row>
    <row r="4246" spans="1:11" ht="16" x14ac:dyDescent="0.2">
      <c r="A4246" s="1" t="s">
        <v>48</v>
      </c>
      <c r="B4246" t="str">
        <f>LEFT(Table13[[#This Row],[Input]],1)</f>
        <v>R</v>
      </c>
      <c r="C4246">
        <f>_xlfn.LET(_xlpm.steps,SUBSTITUTE(Table13[[#This Row],[Input]],Table13[[#This Row],[Direction]],""),VALUE(IF(LEN(_xlpm.steps)&gt;2,RIGHT(_xlpm.steps,2),_xlpm.steps)))</f>
        <v>81</v>
      </c>
      <c r="D4246">
        <f>_xlfn.LET(_xlpm.steps,SUBSTITUTE(Table13[[#This Row],[Input]],Table13[[#This Row],[Direction]],""),VALUE(IF(LEN(_xlpm.steps)&gt;2,LEFT(_xlpm.steps,LEN(_xlpm.steps)-2),0)))</f>
        <v>0</v>
      </c>
      <c r="E4246">
        <f>_xlfn.LET(_xlpm.dir,Table13[[#This Row],[Direction]],
IF(_xlpm.dir="L",
    IF(G4245-Table13[[#This Row],[Steps]]&lt;0,100+(G4245-Table13[[#This Row],[Steps]]),G4245-Table13[[#This Row],[Steps]]),
))</f>
        <v>0</v>
      </c>
      <c r="F4246">
        <f>_xlfn.LET(_xlpm.dir,Table13[[#This Row],[Direction]],
IF(_xlpm.dir="R",
    IF(G4245+Table13[[#This Row],[Steps]]&gt;99,(G4245+Table13[[#This Row],[Steps]])-100,G4245+Table13[[#This Row],[Steps]]),
))</f>
        <v>0</v>
      </c>
      <c r="G4246">
        <f>IF(Table13[[#This Row],[New Pos L]]&lt;&gt;0,Table13[[#This Row],[New Pos L]],Table13[[#This Row],[New Pos R]])</f>
        <v>0</v>
      </c>
      <c r="H4246">
        <f>IF(AND(Table13[[#This Row],[Direction]]="L",Table13[[#This Row],[Steps]]&gt;G4245,G4245&lt;&gt;0),1,0)</f>
        <v>0</v>
      </c>
      <c r="I4246">
        <f>IF(AND(Table13[[#This Row],[Direction]]="R",(G4245+Table13[[#This Row],[Steps]])&gt;100),1,0)</f>
        <v>0</v>
      </c>
      <c r="J4246">
        <f>IF(Table13[[#This Row],[POS]]=0,1,0)</f>
        <v>1</v>
      </c>
      <c r="K4246">
        <f>SUM(Table13[[#This Row],[prefix]],Table13[[#This Row],[Past zero L]],Table13[[#This Row],[Past Zero R]],Table13[[#This Row],[Is Zero]])</f>
        <v>1</v>
      </c>
    </row>
    <row r="4247" spans="1:11" ht="16" x14ac:dyDescent="0.2">
      <c r="A4247" s="1" t="s">
        <v>19</v>
      </c>
      <c r="B4247" t="str">
        <f>LEFT(Table13[[#This Row],[Input]],1)</f>
        <v>R</v>
      </c>
      <c r="C4247">
        <f>_xlfn.LET(_xlpm.steps,SUBSTITUTE(Table13[[#This Row],[Input]],Table13[[#This Row],[Direction]],""),VALUE(IF(LEN(_xlpm.steps)&gt;2,RIGHT(_xlpm.steps,2),_xlpm.steps)))</f>
        <v>47</v>
      </c>
      <c r="D4247">
        <f>_xlfn.LET(_xlpm.steps,SUBSTITUTE(Table13[[#This Row],[Input]],Table13[[#This Row],[Direction]],""),VALUE(IF(LEN(_xlpm.steps)&gt;2,LEFT(_xlpm.steps,LEN(_xlpm.steps)-2),0)))</f>
        <v>0</v>
      </c>
      <c r="E4247">
        <f>_xlfn.LET(_xlpm.dir,Table13[[#This Row],[Direction]],
IF(_xlpm.dir="L",
    IF(G4246-Table13[[#This Row],[Steps]]&lt;0,100+(G4246-Table13[[#This Row],[Steps]]),G4246-Table13[[#This Row],[Steps]]),
))</f>
        <v>0</v>
      </c>
      <c r="F4247">
        <f>_xlfn.LET(_xlpm.dir,Table13[[#This Row],[Direction]],
IF(_xlpm.dir="R",
    IF(G4246+Table13[[#This Row],[Steps]]&gt;99,(G4246+Table13[[#This Row],[Steps]])-100,G4246+Table13[[#This Row],[Steps]]),
))</f>
        <v>47</v>
      </c>
      <c r="G4247">
        <f>IF(Table13[[#This Row],[New Pos L]]&lt;&gt;0,Table13[[#This Row],[New Pos L]],Table13[[#This Row],[New Pos R]])</f>
        <v>47</v>
      </c>
      <c r="H4247">
        <f>IF(AND(Table13[[#This Row],[Direction]]="L",Table13[[#This Row],[Steps]]&gt;G4246,G4246&lt;&gt;0),1,0)</f>
        <v>0</v>
      </c>
      <c r="I4247">
        <f>IF(AND(Table13[[#This Row],[Direction]]="R",(G4246+Table13[[#This Row],[Steps]])&gt;100),1,0)</f>
        <v>0</v>
      </c>
      <c r="J4247">
        <f>IF(Table13[[#This Row],[POS]]=0,1,0)</f>
        <v>0</v>
      </c>
      <c r="K4247">
        <f>SUM(Table13[[#This Row],[prefix]],Table13[[#This Row],[Past zero L]],Table13[[#This Row],[Past Zero R]],Table13[[#This Row],[Is Zero]])</f>
        <v>0</v>
      </c>
    </row>
    <row r="4248" spans="1:11" ht="16" x14ac:dyDescent="0.2">
      <c r="A4248" s="1" t="s">
        <v>1</v>
      </c>
      <c r="B4248" t="str">
        <f>LEFT(Table13[[#This Row],[Input]],1)</f>
        <v>R</v>
      </c>
      <c r="C4248">
        <f>_xlfn.LET(_xlpm.steps,SUBSTITUTE(Table13[[#This Row],[Input]],Table13[[#This Row],[Direction]],""),VALUE(IF(LEN(_xlpm.steps)&gt;2,RIGHT(_xlpm.steps,2),_xlpm.steps)))</f>
        <v>26</v>
      </c>
      <c r="D4248">
        <f>_xlfn.LET(_xlpm.steps,SUBSTITUTE(Table13[[#This Row],[Input]],Table13[[#This Row],[Direction]],""),VALUE(IF(LEN(_xlpm.steps)&gt;2,LEFT(_xlpm.steps,LEN(_xlpm.steps)-2),0)))</f>
        <v>0</v>
      </c>
      <c r="E4248">
        <f>_xlfn.LET(_xlpm.dir,Table13[[#This Row],[Direction]],
IF(_xlpm.dir="L",
    IF(G4247-Table13[[#This Row],[Steps]]&lt;0,100+(G4247-Table13[[#This Row],[Steps]]),G4247-Table13[[#This Row],[Steps]]),
))</f>
        <v>0</v>
      </c>
      <c r="F4248">
        <f>_xlfn.LET(_xlpm.dir,Table13[[#This Row],[Direction]],
IF(_xlpm.dir="R",
    IF(G4247+Table13[[#This Row],[Steps]]&gt;99,(G4247+Table13[[#This Row],[Steps]])-100,G4247+Table13[[#This Row],[Steps]]),
))</f>
        <v>73</v>
      </c>
      <c r="G4248">
        <f>IF(Table13[[#This Row],[New Pos L]]&lt;&gt;0,Table13[[#This Row],[New Pos L]],Table13[[#This Row],[New Pos R]])</f>
        <v>73</v>
      </c>
      <c r="H4248">
        <f>IF(AND(Table13[[#This Row],[Direction]]="L",Table13[[#This Row],[Steps]]&gt;G4247,G4247&lt;&gt;0),1,0)</f>
        <v>0</v>
      </c>
      <c r="I4248">
        <f>IF(AND(Table13[[#This Row],[Direction]]="R",(G4247+Table13[[#This Row],[Steps]])&gt;100),1,0)</f>
        <v>0</v>
      </c>
      <c r="J4248">
        <f>IF(Table13[[#This Row],[POS]]=0,1,0)</f>
        <v>0</v>
      </c>
      <c r="K4248">
        <f>SUM(Table13[[#This Row],[prefix]],Table13[[#This Row],[Past zero L]],Table13[[#This Row],[Past Zero R]],Table13[[#This Row],[Is Zero]])</f>
        <v>0</v>
      </c>
    </row>
    <row r="4249" spans="1:11" ht="16" x14ac:dyDescent="0.2">
      <c r="A4249" s="1" t="s">
        <v>8</v>
      </c>
      <c r="B4249" t="str">
        <f>LEFT(Table13[[#This Row],[Input]],1)</f>
        <v>R</v>
      </c>
      <c r="C4249">
        <f>_xlfn.LET(_xlpm.steps,SUBSTITUTE(Table13[[#This Row],[Input]],Table13[[#This Row],[Direction]],""),VALUE(IF(LEN(_xlpm.steps)&gt;2,RIGHT(_xlpm.steps,2),_xlpm.steps)))</f>
        <v>18</v>
      </c>
      <c r="D4249">
        <f>_xlfn.LET(_xlpm.steps,SUBSTITUTE(Table13[[#This Row],[Input]],Table13[[#This Row],[Direction]],""),VALUE(IF(LEN(_xlpm.steps)&gt;2,LEFT(_xlpm.steps,LEN(_xlpm.steps)-2),0)))</f>
        <v>0</v>
      </c>
      <c r="E4249">
        <f>_xlfn.LET(_xlpm.dir,Table13[[#This Row],[Direction]],
IF(_xlpm.dir="L",
    IF(G4248-Table13[[#This Row],[Steps]]&lt;0,100+(G4248-Table13[[#This Row],[Steps]]),G4248-Table13[[#This Row],[Steps]]),
))</f>
        <v>0</v>
      </c>
      <c r="F4249">
        <f>_xlfn.LET(_xlpm.dir,Table13[[#This Row],[Direction]],
IF(_xlpm.dir="R",
    IF(G4248+Table13[[#This Row],[Steps]]&gt;99,(G4248+Table13[[#This Row],[Steps]])-100,G4248+Table13[[#This Row],[Steps]]),
))</f>
        <v>91</v>
      </c>
      <c r="G4249">
        <f>IF(Table13[[#This Row],[New Pos L]]&lt;&gt;0,Table13[[#This Row],[New Pos L]],Table13[[#This Row],[New Pos R]])</f>
        <v>91</v>
      </c>
      <c r="H4249">
        <f>IF(AND(Table13[[#This Row],[Direction]]="L",Table13[[#This Row],[Steps]]&gt;G4248,G4248&lt;&gt;0),1,0)</f>
        <v>0</v>
      </c>
      <c r="I4249">
        <f>IF(AND(Table13[[#This Row],[Direction]]="R",(G4248+Table13[[#This Row],[Steps]])&gt;100),1,0)</f>
        <v>0</v>
      </c>
      <c r="J4249">
        <f>IF(Table13[[#This Row],[POS]]=0,1,0)</f>
        <v>0</v>
      </c>
      <c r="K4249">
        <f>SUM(Table13[[#This Row],[prefix]],Table13[[#This Row],[Past zero L]],Table13[[#This Row],[Past Zero R]],Table13[[#This Row],[Is Zero]])</f>
        <v>0</v>
      </c>
    </row>
    <row r="4250" spans="1:11" ht="16" x14ac:dyDescent="0.2">
      <c r="A4250" s="1" t="s">
        <v>129</v>
      </c>
      <c r="B4250" t="str">
        <f>LEFT(Table13[[#This Row],[Input]],1)</f>
        <v>R</v>
      </c>
      <c r="C4250">
        <f>_xlfn.LET(_xlpm.steps,SUBSTITUTE(Table13[[#This Row],[Input]],Table13[[#This Row],[Direction]],""),VALUE(IF(LEN(_xlpm.steps)&gt;2,RIGHT(_xlpm.steps,2),_xlpm.steps)))</f>
        <v>8</v>
      </c>
      <c r="D4250">
        <f>_xlfn.LET(_xlpm.steps,SUBSTITUTE(Table13[[#This Row],[Input]],Table13[[#This Row],[Direction]],""),VALUE(IF(LEN(_xlpm.steps)&gt;2,LEFT(_xlpm.steps,LEN(_xlpm.steps)-2),0)))</f>
        <v>0</v>
      </c>
      <c r="E4250">
        <f>_xlfn.LET(_xlpm.dir,Table13[[#This Row],[Direction]],
IF(_xlpm.dir="L",
    IF(G4249-Table13[[#This Row],[Steps]]&lt;0,100+(G4249-Table13[[#This Row],[Steps]]),G4249-Table13[[#This Row],[Steps]]),
))</f>
        <v>0</v>
      </c>
      <c r="F4250">
        <f>_xlfn.LET(_xlpm.dir,Table13[[#This Row],[Direction]],
IF(_xlpm.dir="R",
    IF(G4249+Table13[[#This Row],[Steps]]&gt;99,(G4249+Table13[[#This Row],[Steps]])-100,G4249+Table13[[#This Row],[Steps]]),
))</f>
        <v>99</v>
      </c>
      <c r="G4250">
        <f>IF(Table13[[#This Row],[New Pos L]]&lt;&gt;0,Table13[[#This Row],[New Pos L]],Table13[[#This Row],[New Pos R]])</f>
        <v>99</v>
      </c>
      <c r="H4250">
        <f>IF(AND(Table13[[#This Row],[Direction]]="L",Table13[[#This Row],[Steps]]&gt;G4249,G4249&lt;&gt;0),1,0)</f>
        <v>0</v>
      </c>
      <c r="I4250">
        <f>IF(AND(Table13[[#This Row],[Direction]]="R",(G4249+Table13[[#This Row],[Steps]])&gt;100),1,0)</f>
        <v>0</v>
      </c>
      <c r="J4250">
        <f>IF(Table13[[#This Row],[POS]]=0,1,0)</f>
        <v>0</v>
      </c>
      <c r="K4250">
        <f>SUM(Table13[[#This Row],[prefix]],Table13[[#This Row],[Past zero L]],Table13[[#This Row],[Past Zero R]],Table13[[#This Row],[Is Zero]])</f>
        <v>0</v>
      </c>
    </row>
    <row r="4251" spans="1:11" ht="16" x14ac:dyDescent="0.2">
      <c r="A4251" s="1" t="s">
        <v>5</v>
      </c>
      <c r="B4251" t="str">
        <f>LEFT(Table13[[#This Row],[Input]],1)</f>
        <v>R</v>
      </c>
      <c r="C4251">
        <f>_xlfn.LET(_xlpm.steps,SUBSTITUTE(Table13[[#This Row],[Input]],Table13[[#This Row],[Direction]],""),VALUE(IF(LEN(_xlpm.steps)&gt;2,RIGHT(_xlpm.steps,2),_xlpm.steps)))</f>
        <v>1</v>
      </c>
      <c r="D4251">
        <f>_xlfn.LET(_xlpm.steps,SUBSTITUTE(Table13[[#This Row],[Input]],Table13[[#This Row],[Direction]],""),VALUE(IF(LEN(_xlpm.steps)&gt;2,LEFT(_xlpm.steps,LEN(_xlpm.steps)-2),0)))</f>
        <v>0</v>
      </c>
      <c r="E4251">
        <f>_xlfn.LET(_xlpm.dir,Table13[[#This Row],[Direction]],
IF(_xlpm.dir="L",
    IF(G4250-Table13[[#This Row],[Steps]]&lt;0,100+(G4250-Table13[[#This Row],[Steps]]),G4250-Table13[[#This Row],[Steps]]),
))</f>
        <v>0</v>
      </c>
      <c r="F4251">
        <f>_xlfn.LET(_xlpm.dir,Table13[[#This Row],[Direction]],
IF(_xlpm.dir="R",
    IF(G4250+Table13[[#This Row],[Steps]]&gt;99,(G4250+Table13[[#This Row],[Steps]])-100,G4250+Table13[[#This Row],[Steps]]),
))</f>
        <v>0</v>
      </c>
      <c r="G4251">
        <f>IF(Table13[[#This Row],[New Pos L]]&lt;&gt;0,Table13[[#This Row],[New Pos L]],Table13[[#This Row],[New Pos R]])</f>
        <v>0</v>
      </c>
      <c r="H4251">
        <f>IF(AND(Table13[[#This Row],[Direction]]="L",Table13[[#This Row],[Steps]]&gt;G4250,G4250&lt;&gt;0),1,0)</f>
        <v>0</v>
      </c>
      <c r="I4251">
        <f>IF(AND(Table13[[#This Row],[Direction]]="R",(G4250+Table13[[#This Row],[Steps]])&gt;100),1,0)</f>
        <v>0</v>
      </c>
      <c r="J4251">
        <f>IF(Table13[[#This Row],[POS]]=0,1,0)</f>
        <v>1</v>
      </c>
      <c r="K4251">
        <f>SUM(Table13[[#This Row],[prefix]],Table13[[#This Row],[Past zero L]],Table13[[#This Row],[Past Zero R]],Table13[[#This Row],[Is Zero]])</f>
        <v>1</v>
      </c>
    </row>
    <row r="4252" spans="1:11" ht="16" x14ac:dyDescent="0.2">
      <c r="A4252" s="1" t="s">
        <v>226</v>
      </c>
      <c r="B4252" t="str">
        <f>LEFT(Table13[[#This Row],[Input]],1)</f>
        <v>L</v>
      </c>
      <c r="C4252">
        <f>_xlfn.LET(_xlpm.steps,SUBSTITUTE(Table13[[#This Row],[Input]],Table13[[#This Row],[Direction]],""),VALUE(IF(LEN(_xlpm.steps)&gt;2,RIGHT(_xlpm.steps,2),_xlpm.steps)))</f>
        <v>31</v>
      </c>
      <c r="D4252">
        <f>_xlfn.LET(_xlpm.steps,SUBSTITUTE(Table13[[#This Row],[Input]],Table13[[#This Row],[Direction]],""),VALUE(IF(LEN(_xlpm.steps)&gt;2,LEFT(_xlpm.steps,LEN(_xlpm.steps)-2),0)))</f>
        <v>0</v>
      </c>
      <c r="E4252">
        <f>_xlfn.LET(_xlpm.dir,Table13[[#This Row],[Direction]],
IF(_xlpm.dir="L",
    IF(G4251-Table13[[#This Row],[Steps]]&lt;0,100+(G4251-Table13[[#This Row],[Steps]]),G4251-Table13[[#This Row],[Steps]]),
))</f>
        <v>69</v>
      </c>
      <c r="F4252">
        <f>_xlfn.LET(_xlpm.dir,Table13[[#This Row],[Direction]],
IF(_xlpm.dir="R",
    IF(G4251+Table13[[#This Row],[Steps]]&gt;99,(G4251+Table13[[#This Row],[Steps]])-100,G4251+Table13[[#This Row],[Steps]]),
))</f>
        <v>0</v>
      </c>
      <c r="G4252">
        <f>IF(Table13[[#This Row],[New Pos L]]&lt;&gt;0,Table13[[#This Row],[New Pos L]],Table13[[#This Row],[New Pos R]])</f>
        <v>69</v>
      </c>
      <c r="H4252">
        <f>IF(AND(Table13[[#This Row],[Direction]]="L",Table13[[#This Row],[Steps]]&gt;G4251,G4251&lt;&gt;0),1,0)</f>
        <v>0</v>
      </c>
      <c r="I4252">
        <f>IF(AND(Table13[[#This Row],[Direction]]="R",(G4251+Table13[[#This Row],[Steps]])&gt;100),1,0)</f>
        <v>0</v>
      </c>
      <c r="J4252">
        <f>IF(Table13[[#This Row],[POS]]=0,1,0)</f>
        <v>0</v>
      </c>
      <c r="K4252">
        <f>SUM(Table13[[#This Row],[prefix]],Table13[[#This Row],[Past zero L]],Table13[[#This Row],[Past Zero R]],Table13[[#This Row],[Is Zero]])</f>
        <v>0</v>
      </c>
    </row>
    <row r="4253" spans="1:11" ht="16" x14ac:dyDescent="0.2">
      <c r="A4253" s="1" t="s">
        <v>54</v>
      </c>
      <c r="B4253" t="str">
        <f>LEFT(Table13[[#This Row],[Input]],1)</f>
        <v>L</v>
      </c>
      <c r="C4253">
        <f>_xlfn.LET(_xlpm.steps,SUBSTITUTE(Table13[[#This Row],[Input]],Table13[[#This Row],[Direction]],""),VALUE(IF(LEN(_xlpm.steps)&gt;2,RIGHT(_xlpm.steps,2),_xlpm.steps)))</f>
        <v>75</v>
      </c>
      <c r="D4253">
        <f>_xlfn.LET(_xlpm.steps,SUBSTITUTE(Table13[[#This Row],[Input]],Table13[[#This Row],[Direction]],""),VALUE(IF(LEN(_xlpm.steps)&gt;2,LEFT(_xlpm.steps,LEN(_xlpm.steps)-2),0)))</f>
        <v>0</v>
      </c>
      <c r="E4253">
        <f>_xlfn.LET(_xlpm.dir,Table13[[#This Row],[Direction]],
IF(_xlpm.dir="L",
    IF(G4252-Table13[[#This Row],[Steps]]&lt;0,100+(G4252-Table13[[#This Row],[Steps]]),G4252-Table13[[#This Row],[Steps]]),
))</f>
        <v>94</v>
      </c>
      <c r="F4253">
        <f>_xlfn.LET(_xlpm.dir,Table13[[#This Row],[Direction]],
IF(_xlpm.dir="R",
    IF(G4252+Table13[[#This Row],[Steps]]&gt;99,(G4252+Table13[[#This Row],[Steps]])-100,G4252+Table13[[#This Row],[Steps]]),
))</f>
        <v>0</v>
      </c>
      <c r="G4253">
        <f>IF(Table13[[#This Row],[New Pos L]]&lt;&gt;0,Table13[[#This Row],[New Pos L]],Table13[[#This Row],[New Pos R]])</f>
        <v>94</v>
      </c>
      <c r="H4253">
        <f>IF(AND(Table13[[#This Row],[Direction]]="L",Table13[[#This Row],[Steps]]&gt;G4252,G4252&lt;&gt;0),1,0)</f>
        <v>1</v>
      </c>
      <c r="I4253">
        <f>IF(AND(Table13[[#This Row],[Direction]]="R",(G4252+Table13[[#This Row],[Steps]])&gt;100),1,0)</f>
        <v>0</v>
      </c>
      <c r="J4253">
        <f>IF(Table13[[#This Row],[POS]]=0,1,0)</f>
        <v>0</v>
      </c>
      <c r="K4253">
        <f>SUM(Table13[[#This Row],[prefix]],Table13[[#This Row],[Past zero L]],Table13[[#This Row],[Past Zero R]],Table13[[#This Row],[Is Zero]])</f>
        <v>1</v>
      </c>
    </row>
    <row r="4254" spans="1:11" ht="16" x14ac:dyDescent="0.2">
      <c r="A4254" s="1" t="s">
        <v>41</v>
      </c>
      <c r="B4254" t="str">
        <f>LEFT(Table13[[#This Row],[Input]],1)</f>
        <v>L</v>
      </c>
      <c r="C4254">
        <f>_xlfn.LET(_xlpm.steps,SUBSTITUTE(Table13[[#This Row],[Input]],Table13[[#This Row],[Direction]],""),VALUE(IF(LEN(_xlpm.steps)&gt;2,RIGHT(_xlpm.steps,2),_xlpm.steps)))</f>
        <v>7</v>
      </c>
      <c r="D4254">
        <f>_xlfn.LET(_xlpm.steps,SUBSTITUTE(Table13[[#This Row],[Input]],Table13[[#This Row],[Direction]],""),VALUE(IF(LEN(_xlpm.steps)&gt;2,LEFT(_xlpm.steps,LEN(_xlpm.steps)-2),0)))</f>
        <v>0</v>
      </c>
      <c r="E4254">
        <f>_xlfn.LET(_xlpm.dir,Table13[[#This Row],[Direction]],
IF(_xlpm.dir="L",
    IF(G4253-Table13[[#This Row],[Steps]]&lt;0,100+(G4253-Table13[[#This Row],[Steps]]),G4253-Table13[[#This Row],[Steps]]),
))</f>
        <v>87</v>
      </c>
      <c r="F4254">
        <f>_xlfn.LET(_xlpm.dir,Table13[[#This Row],[Direction]],
IF(_xlpm.dir="R",
    IF(G4253+Table13[[#This Row],[Steps]]&gt;99,(G4253+Table13[[#This Row],[Steps]])-100,G4253+Table13[[#This Row],[Steps]]),
))</f>
        <v>0</v>
      </c>
      <c r="G4254">
        <f>IF(Table13[[#This Row],[New Pos L]]&lt;&gt;0,Table13[[#This Row],[New Pos L]],Table13[[#This Row],[New Pos R]])</f>
        <v>87</v>
      </c>
      <c r="H4254">
        <f>IF(AND(Table13[[#This Row],[Direction]]="L",Table13[[#This Row],[Steps]]&gt;G4253,G4253&lt;&gt;0),1,0)</f>
        <v>0</v>
      </c>
      <c r="I4254">
        <f>IF(AND(Table13[[#This Row],[Direction]]="R",(G4253+Table13[[#This Row],[Steps]])&gt;100),1,0)</f>
        <v>0</v>
      </c>
      <c r="J4254">
        <f>IF(Table13[[#This Row],[POS]]=0,1,0)</f>
        <v>0</v>
      </c>
      <c r="K4254">
        <f>SUM(Table13[[#This Row],[prefix]],Table13[[#This Row],[Past zero L]],Table13[[#This Row],[Past Zero R]],Table13[[#This Row],[Is Zero]])</f>
        <v>0</v>
      </c>
    </row>
    <row r="4255" spans="1:11" ht="16" x14ac:dyDescent="0.2">
      <c r="A4255" s="1" t="s">
        <v>256</v>
      </c>
      <c r="B4255" t="str">
        <f>LEFT(Table13[[#This Row],[Input]],1)</f>
        <v>R</v>
      </c>
      <c r="C4255">
        <f>_xlfn.LET(_xlpm.steps,SUBSTITUTE(Table13[[#This Row],[Input]],Table13[[#This Row],[Direction]],""),VALUE(IF(LEN(_xlpm.steps)&gt;2,RIGHT(_xlpm.steps,2),_xlpm.steps)))</f>
        <v>13</v>
      </c>
      <c r="D4255">
        <f>_xlfn.LET(_xlpm.steps,SUBSTITUTE(Table13[[#This Row],[Input]],Table13[[#This Row],[Direction]],""),VALUE(IF(LEN(_xlpm.steps)&gt;2,LEFT(_xlpm.steps,LEN(_xlpm.steps)-2),0)))</f>
        <v>0</v>
      </c>
      <c r="E4255">
        <f>_xlfn.LET(_xlpm.dir,Table13[[#This Row],[Direction]],
IF(_xlpm.dir="L",
    IF(G4254-Table13[[#This Row],[Steps]]&lt;0,100+(G4254-Table13[[#This Row],[Steps]]),G4254-Table13[[#This Row],[Steps]]),
))</f>
        <v>0</v>
      </c>
      <c r="F4255">
        <f>_xlfn.LET(_xlpm.dir,Table13[[#This Row],[Direction]],
IF(_xlpm.dir="R",
    IF(G4254+Table13[[#This Row],[Steps]]&gt;99,(G4254+Table13[[#This Row],[Steps]])-100,G4254+Table13[[#This Row],[Steps]]),
))</f>
        <v>0</v>
      </c>
      <c r="G4255">
        <f>IF(Table13[[#This Row],[New Pos L]]&lt;&gt;0,Table13[[#This Row],[New Pos L]],Table13[[#This Row],[New Pos R]])</f>
        <v>0</v>
      </c>
      <c r="H4255">
        <f>IF(AND(Table13[[#This Row],[Direction]]="L",Table13[[#This Row],[Steps]]&gt;G4254,G4254&lt;&gt;0),1,0)</f>
        <v>0</v>
      </c>
      <c r="I4255">
        <f>IF(AND(Table13[[#This Row],[Direction]]="R",(G4254+Table13[[#This Row],[Steps]])&gt;100),1,0)</f>
        <v>0</v>
      </c>
      <c r="J4255">
        <f>IF(Table13[[#This Row],[POS]]=0,1,0)</f>
        <v>1</v>
      </c>
      <c r="K4255">
        <f>SUM(Table13[[#This Row],[prefix]],Table13[[#This Row],[Past zero L]],Table13[[#This Row],[Past Zero R]],Table13[[#This Row],[Is Zero]])</f>
        <v>1</v>
      </c>
    </row>
    <row r="4256" spans="1:11" ht="16" x14ac:dyDescent="0.2">
      <c r="A4256" s="1" t="s">
        <v>185</v>
      </c>
      <c r="B4256" t="str">
        <f>LEFT(Table13[[#This Row],[Input]],1)</f>
        <v>R</v>
      </c>
      <c r="C4256">
        <f>_xlfn.LET(_xlpm.steps,SUBSTITUTE(Table13[[#This Row],[Input]],Table13[[#This Row],[Direction]],""),VALUE(IF(LEN(_xlpm.steps)&gt;2,RIGHT(_xlpm.steps,2),_xlpm.steps)))</f>
        <v>61</v>
      </c>
      <c r="D4256">
        <f>_xlfn.LET(_xlpm.steps,SUBSTITUTE(Table13[[#This Row],[Input]],Table13[[#This Row],[Direction]],""),VALUE(IF(LEN(_xlpm.steps)&gt;2,LEFT(_xlpm.steps,LEN(_xlpm.steps)-2),0)))</f>
        <v>0</v>
      </c>
      <c r="E4256">
        <f>_xlfn.LET(_xlpm.dir,Table13[[#This Row],[Direction]],
IF(_xlpm.dir="L",
    IF(G4255-Table13[[#This Row],[Steps]]&lt;0,100+(G4255-Table13[[#This Row],[Steps]]),G4255-Table13[[#This Row],[Steps]]),
))</f>
        <v>0</v>
      </c>
      <c r="F4256">
        <f>_xlfn.LET(_xlpm.dir,Table13[[#This Row],[Direction]],
IF(_xlpm.dir="R",
    IF(G4255+Table13[[#This Row],[Steps]]&gt;99,(G4255+Table13[[#This Row],[Steps]])-100,G4255+Table13[[#This Row],[Steps]]),
))</f>
        <v>61</v>
      </c>
      <c r="G4256">
        <f>IF(Table13[[#This Row],[New Pos L]]&lt;&gt;0,Table13[[#This Row],[New Pos L]],Table13[[#This Row],[New Pos R]])</f>
        <v>61</v>
      </c>
      <c r="H4256">
        <f>IF(AND(Table13[[#This Row],[Direction]]="L",Table13[[#This Row],[Steps]]&gt;G4255,G4255&lt;&gt;0),1,0)</f>
        <v>0</v>
      </c>
      <c r="I4256">
        <f>IF(AND(Table13[[#This Row],[Direction]]="R",(G4255+Table13[[#This Row],[Steps]])&gt;100),1,0)</f>
        <v>0</v>
      </c>
      <c r="J4256">
        <f>IF(Table13[[#This Row],[POS]]=0,1,0)</f>
        <v>0</v>
      </c>
      <c r="K4256">
        <f>SUM(Table13[[#This Row],[prefix]],Table13[[#This Row],[Past zero L]],Table13[[#This Row],[Past Zero R]],Table13[[#This Row],[Is Zero]])</f>
        <v>0</v>
      </c>
    </row>
    <row r="4257" spans="1:11" ht="16" x14ac:dyDescent="0.2">
      <c r="A4257" s="1" t="s">
        <v>102</v>
      </c>
      <c r="B4257" t="str">
        <f>LEFT(Table13[[#This Row],[Input]],1)</f>
        <v>R</v>
      </c>
      <c r="C4257">
        <f>_xlfn.LET(_xlpm.steps,SUBSTITUTE(Table13[[#This Row],[Input]],Table13[[#This Row],[Direction]],""),VALUE(IF(LEN(_xlpm.steps)&gt;2,RIGHT(_xlpm.steps,2),_xlpm.steps)))</f>
        <v>39</v>
      </c>
      <c r="D4257">
        <f>_xlfn.LET(_xlpm.steps,SUBSTITUTE(Table13[[#This Row],[Input]],Table13[[#This Row],[Direction]],""),VALUE(IF(LEN(_xlpm.steps)&gt;2,LEFT(_xlpm.steps,LEN(_xlpm.steps)-2),0)))</f>
        <v>0</v>
      </c>
      <c r="E4257">
        <f>_xlfn.LET(_xlpm.dir,Table13[[#This Row],[Direction]],
IF(_xlpm.dir="L",
    IF(G4256-Table13[[#This Row],[Steps]]&lt;0,100+(G4256-Table13[[#This Row],[Steps]]),G4256-Table13[[#This Row],[Steps]]),
))</f>
        <v>0</v>
      </c>
      <c r="F4257">
        <f>_xlfn.LET(_xlpm.dir,Table13[[#This Row],[Direction]],
IF(_xlpm.dir="R",
    IF(G4256+Table13[[#This Row],[Steps]]&gt;99,(G4256+Table13[[#This Row],[Steps]])-100,G4256+Table13[[#This Row],[Steps]]),
))</f>
        <v>0</v>
      </c>
      <c r="G4257">
        <f>IF(Table13[[#This Row],[New Pos L]]&lt;&gt;0,Table13[[#This Row],[New Pos L]],Table13[[#This Row],[New Pos R]])</f>
        <v>0</v>
      </c>
      <c r="H4257">
        <f>IF(AND(Table13[[#This Row],[Direction]]="L",Table13[[#This Row],[Steps]]&gt;G4256,G4256&lt;&gt;0),1,0)</f>
        <v>0</v>
      </c>
      <c r="I4257">
        <f>IF(AND(Table13[[#This Row],[Direction]]="R",(G4256+Table13[[#This Row],[Steps]])&gt;100),1,0)</f>
        <v>0</v>
      </c>
      <c r="J4257">
        <f>IF(Table13[[#This Row],[POS]]=0,1,0)</f>
        <v>1</v>
      </c>
      <c r="K4257">
        <f>SUM(Table13[[#This Row],[prefix]],Table13[[#This Row],[Past zero L]],Table13[[#This Row],[Past Zero R]],Table13[[#This Row],[Is Zero]])</f>
        <v>1</v>
      </c>
    </row>
    <row r="4258" spans="1:11" ht="16" x14ac:dyDescent="0.2">
      <c r="A4258" s="1" t="s">
        <v>40</v>
      </c>
      <c r="B4258" t="str">
        <f>LEFT(Table13[[#This Row],[Input]],1)</f>
        <v>R</v>
      </c>
      <c r="C4258">
        <f>_xlfn.LET(_xlpm.steps,SUBSTITUTE(Table13[[#This Row],[Input]],Table13[[#This Row],[Direction]],""),VALUE(IF(LEN(_xlpm.steps)&gt;2,RIGHT(_xlpm.steps,2),_xlpm.steps)))</f>
        <v>52</v>
      </c>
      <c r="D4258">
        <f>_xlfn.LET(_xlpm.steps,SUBSTITUTE(Table13[[#This Row],[Input]],Table13[[#This Row],[Direction]],""),VALUE(IF(LEN(_xlpm.steps)&gt;2,LEFT(_xlpm.steps,LEN(_xlpm.steps)-2),0)))</f>
        <v>0</v>
      </c>
      <c r="E4258">
        <f>_xlfn.LET(_xlpm.dir,Table13[[#This Row],[Direction]],
IF(_xlpm.dir="L",
    IF(G4257-Table13[[#This Row],[Steps]]&lt;0,100+(G4257-Table13[[#This Row],[Steps]]),G4257-Table13[[#This Row],[Steps]]),
))</f>
        <v>0</v>
      </c>
      <c r="F4258">
        <f>_xlfn.LET(_xlpm.dir,Table13[[#This Row],[Direction]],
IF(_xlpm.dir="R",
    IF(G4257+Table13[[#This Row],[Steps]]&gt;99,(G4257+Table13[[#This Row],[Steps]])-100,G4257+Table13[[#This Row],[Steps]]),
))</f>
        <v>52</v>
      </c>
      <c r="G4258">
        <f>IF(Table13[[#This Row],[New Pos L]]&lt;&gt;0,Table13[[#This Row],[New Pos L]],Table13[[#This Row],[New Pos R]])</f>
        <v>52</v>
      </c>
      <c r="H4258">
        <f>IF(AND(Table13[[#This Row],[Direction]]="L",Table13[[#This Row],[Steps]]&gt;G4257,G4257&lt;&gt;0),1,0)</f>
        <v>0</v>
      </c>
      <c r="I4258">
        <f>IF(AND(Table13[[#This Row],[Direction]]="R",(G4257+Table13[[#This Row],[Steps]])&gt;100),1,0)</f>
        <v>0</v>
      </c>
      <c r="J4258">
        <f>IF(Table13[[#This Row],[POS]]=0,1,0)</f>
        <v>0</v>
      </c>
      <c r="K4258">
        <f>SUM(Table13[[#This Row],[prefix]],Table13[[#This Row],[Past zero L]],Table13[[#This Row],[Past Zero R]],Table13[[#This Row],[Is Zero]])</f>
        <v>0</v>
      </c>
    </row>
    <row r="4259" spans="1:11" ht="16" x14ac:dyDescent="0.2">
      <c r="A4259" s="1" t="s">
        <v>226</v>
      </c>
      <c r="B4259" t="str">
        <f>LEFT(Table13[[#This Row],[Input]],1)</f>
        <v>L</v>
      </c>
      <c r="C4259">
        <f>_xlfn.LET(_xlpm.steps,SUBSTITUTE(Table13[[#This Row],[Input]],Table13[[#This Row],[Direction]],""),VALUE(IF(LEN(_xlpm.steps)&gt;2,RIGHT(_xlpm.steps,2),_xlpm.steps)))</f>
        <v>31</v>
      </c>
      <c r="D4259">
        <f>_xlfn.LET(_xlpm.steps,SUBSTITUTE(Table13[[#This Row],[Input]],Table13[[#This Row],[Direction]],""),VALUE(IF(LEN(_xlpm.steps)&gt;2,LEFT(_xlpm.steps,LEN(_xlpm.steps)-2),0)))</f>
        <v>0</v>
      </c>
      <c r="E4259">
        <f>_xlfn.LET(_xlpm.dir,Table13[[#This Row],[Direction]],
IF(_xlpm.dir="L",
    IF(G4258-Table13[[#This Row],[Steps]]&lt;0,100+(G4258-Table13[[#This Row],[Steps]]),G4258-Table13[[#This Row],[Steps]]),
))</f>
        <v>21</v>
      </c>
      <c r="F4259">
        <f>_xlfn.LET(_xlpm.dir,Table13[[#This Row],[Direction]],
IF(_xlpm.dir="R",
    IF(G4258+Table13[[#This Row],[Steps]]&gt;99,(G4258+Table13[[#This Row],[Steps]])-100,G4258+Table13[[#This Row],[Steps]]),
))</f>
        <v>0</v>
      </c>
      <c r="G4259">
        <f>IF(Table13[[#This Row],[New Pos L]]&lt;&gt;0,Table13[[#This Row],[New Pos L]],Table13[[#This Row],[New Pos R]])</f>
        <v>21</v>
      </c>
      <c r="H4259">
        <f>IF(AND(Table13[[#This Row],[Direction]]="L",Table13[[#This Row],[Steps]]&gt;G4258,G4258&lt;&gt;0),1,0)</f>
        <v>0</v>
      </c>
      <c r="I4259">
        <f>IF(AND(Table13[[#This Row],[Direction]]="R",(G4258+Table13[[#This Row],[Steps]])&gt;100),1,0)</f>
        <v>0</v>
      </c>
      <c r="J4259">
        <f>IF(Table13[[#This Row],[POS]]=0,1,0)</f>
        <v>0</v>
      </c>
      <c r="K4259">
        <f>SUM(Table13[[#This Row],[prefix]],Table13[[#This Row],[Past zero L]],Table13[[#This Row],[Past Zero R]],Table13[[#This Row],[Is Zero]])</f>
        <v>0</v>
      </c>
    </row>
    <row r="4260" spans="1:11" ht="16" x14ac:dyDescent="0.2">
      <c r="A4260" s="1" t="s">
        <v>194</v>
      </c>
      <c r="B4260" t="str">
        <f>LEFT(Table13[[#This Row],[Input]],1)</f>
        <v>R</v>
      </c>
      <c r="C4260">
        <f>_xlfn.LET(_xlpm.steps,SUBSTITUTE(Table13[[#This Row],[Input]],Table13[[#This Row],[Direction]],""),VALUE(IF(LEN(_xlpm.steps)&gt;2,RIGHT(_xlpm.steps,2),_xlpm.steps)))</f>
        <v>51</v>
      </c>
      <c r="D4260">
        <f>_xlfn.LET(_xlpm.steps,SUBSTITUTE(Table13[[#This Row],[Input]],Table13[[#This Row],[Direction]],""),VALUE(IF(LEN(_xlpm.steps)&gt;2,LEFT(_xlpm.steps,LEN(_xlpm.steps)-2),0)))</f>
        <v>0</v>
      </c>
      <c r="E4260">
        <f>_xlfn.LET(_xlpm.dir,Table13[[#This Row],[Direction]],
IF(_xlpm.dir="L",
    IF(G4259-Table13[[#This Row],[Steps]]&lt;0,100+(G4259-Table13[[#This Row],[Steps]]),G4259-Table13[[#This Row],[Steps]]),
))</f>
        <v>0</v>
      </c>
      <c r="F4260">
        <f>_xlfn.LET(_xlpm.dir,Table13[[#This Row],[Direction]],
IF(_xlpm.dir="R",
    IF(G4259+Table13[[#This Row],[Steps]]&gt;99,(G4259+Table13[[#This Row],[Steps]])-100,G4259+Table13[[#This Row],[Steps]]),
))</f>
        <v>72</v>
      </c>
      <c r="G4260">
        <f>IF(Table13[[#This Row],[New Pos L]]&lt;&gt;0,Table13[[#This Row],[New Pos L]],Table13[[#This Row],[New Pos R]])</f>
        <v>72</v>
      </c>
      <c r="H4260">
        <f>IF(AND(Table13[[#This Row],[Direction]]="L",Table13[[#This Row],[Steps]]&gt;G4259,G4259&lt;&gt;0),1,0)</f>
        <v>0</v>
      </c>
      <c r="I4260">
        <f>IF(AND(Table13[[#This Row],[Direction]]="R",(G4259+Table13[[#This Row],[Steps]])&gt;100),1,0)</f>
        <v>0</v>
      </c>
      <c r="J4260">
        <f>IF(Table13[[#This Row],[POS]]=0,1,0)</f>
        <v>0</v>
      </c>
      <c r="K4260">
        <f>SUM(Table13[[#This Row],[prefix]],Table13[[#This Row],[Past zero L]],Table13[[#This Row],[Past Zero R]],Table13[[#This Row],[Is Zero]])</f>
        <v>0</v>
      </c>
    </row>
    <row r="4261" spans="1:11" ht="16" x14ac:dyDescent="0.2">
      <c r="A4261" s="1" t="s">
        <v>135</v>
      </c>
      <c r="B4261" t="str">
        <f>LEFT(Table13[[#This Row],[Input]],1)</f>
        <v>R</v>
      </c>
      <c r="C4261">
        <f>_xlfn.LET(_xlpm.steps,SUBSTITUTE(Table13[[#This Row],[Input]],Table13[[#This Row],[Direction]],""),VALUE(IF(LEN(_xlpm.steps)&gt;2,RIGHT(_xlpm.steps,2),_xlpm.steps)))</f>
        <v>69</v>
      </c>
      <c r="D4261">
        <f>_xlfn.LET(_xlpm.steps,SUBSTITUTE(Table13[[#This Row],[Input]],Table13[[#This Row],[Direction]],""),VALUE(IF(LEN(_xlpm.steps)&gt;2,LEFT(_xlpm.steps,LEN(_xlpm.steps)-2),0)))</f>
        <v>0</v>
      </c>
      <c r="E4261">
        <f>_xlfn.LET(_xlpm.dir,Table13[[#This Row],[Direction]],
IF(_xlpm.dir="L",
    IF(G4260-Table13[[#This Row],[Steps]]&lt;0,100+(G4260-Table13[[#This Row],[Steps]]),G4260-Table13[[#This Row],[Steps]]),
))</f>
        <v>0</v>
      </c>
      <c r="F4261">
        <f>_xlfn.LET(_xlpm.dir,Table13[[#This Row],[Direction]],
IF(_xlpm.dir="R",
    IF(G4260+Table13[[#This Row],[Steps]]&gt;99,(G4260+Table13[[#This Row],[Steps]])-100,G4260+Table13[[#This Row],[Steps]]),
))</f>
        <v>41</v>
      </c>
      <c r="G4261">
        <f>IF(Table13[[#This Row],[New Pos L]]&lt;&gt;0,Table13[[#This Row],[New Pos L]],Table13[[#This Row],[New Pos R]])</f>
        <v>41</v>
      </c>
      <c r="H4261">
        <f>IF(AND(Table13[[#This Row],[Direction]]="L",Table13[[#This Row],[Steps]]&gt;G4260,G4260&lt;&gt;0),1,0)</f>
        <v>0</v>
      </c>
      <c r="I4261">
        <f>IF(AND(Table13[[#This Row],[Direction]]="R",(G4260+Table13[[#This Row],[Steps]])&gt;100),1,0)</f>
        <v>1</v>
      </c>
      <c r="J4261">
        <f>IF(Table13[[#This Row],[POS]]=0,1,0)</f>
        <v>0</v>
      </c>
      <c r="K4261">
        <f>SUM(Table13[[#This Row],[prefix]],Table13[[#This Row],[Past zero L]],Table13[[#This Row],[Past Zero R]],Table13[[#This Row],[Is Zero]])</f>
        <v>1</v>
      </c>
    </row>
    <row r="4262" spans="1:11" ht="16" x14ac:dyDescent="0.2">
      <c r="A4262" s="1" t="s">
        <v>91</v>
      </c>
      <c r="B4262" t="str">
        <f>LEFT(Table13[[#This Row],[Input]],1)</f>
        <v>L</v>
      </c>
      <c r="C4262">
        <f>_xlfn.LET(_xlpm.steps,SUBSTITUTE(Table13[[#This Row],[Input]],Table13[[#This Row],[Direction]],""),VALUE(IF(LEN(_xlpm.steps)&gt;2,RIGHT(_xlpm.steps,2),_xlpm.steps)))</f>
        <v>22</v>
      </c>
      <c r="D4262">
        <f>_xlfn.LET(_xlpm.steps,SUBSTITUTE(Table13[[#This Row],[Input]],Table13[[#This Row],[Direction]],""),VALUE(IF(LEN(_xlpm.steps)&gt;2,LEFT(_xlpm.steps,LEN(_xlpm.steps)-2),0)))</f>
        <v>0</v>
      </c>
      <c r="E4262">
        <f>_xlfn.LET(_xlpm.dir,Table13[[#This Row],[Direction]],
IF(_xlpm.dir="L",
    IF(G4261-Table13[[#This Row],[Steps]]&lt;0,100+(G4261-Table13[[#This Row],[Steps]]),G4261-Table13[[#This Row],[Steps]]),
))</f>
        <v>19</v>
      </c>
      <c r="F4262">
        <f>_xlfn.LET(_xlpm.dir,Table13[[#This Row],[Direction]],
IF(_xlpm.dir="R",
    IF(G4261+Table13[[#This Row],[Steps]]&gt;99,(G4261+Table13[[#This Row],[Steps]])-100,G4261+Table13[[#This Row],[Steps]]),
))</f>
        <v>0</v>
      </c>
      <c r="G4262">
        <f>IF(Table13[[#This Row],[New Pos L]]&lt;&gt;0,Table13[[#This Row],[New Pos L]],Table13[[#This Row],[New Pos R]])</f>
        <v>19</v>
      </c>
      <c r="H4262">
        <f>IF(AND(Table13[[#This Row],[Direction]]="L",Table13[[#This Row],[Steps]]&gt;G4261,G4261&lt;&gt;0),1,0)</f>
        <v>0</v>
      </c>
      <c r="I4262">
        <f>IF(AND(Table13[[#This Row],[Direction]]="R",(G4261+Table13[[#This Row],[Steps]])&gt;100),1,0)</f>
        <v>0</v>
      </c>
      <c r="J4262">
        <f>IF(Table13[[#This Row],[POS]]=0,1,0)</f>
        <v>0</v>
      </c>
      <c r="K4262">
        <f>SUM(Table13[[#This Row],[prefix]],Table13[[#This Row],[Past zero L]],Table13[[#This Row],[Past Zero R]],Table13[[#This Row],[Is Zero]])</f>
        <v>0</v>
      </c>
    </row>
    <row r="4263" spans="1:11" ht="16" x14ac:dyDescent="0.2">
      <c r="A4263" s="1" t="s">
        <v>65</v>
      </c>
      <c r="B4263" t="str">
        <f>LEFT(Table13[[#This Row],[Input]],1)</f>
        <v>L</v>
      </c>
      <c r="C4263">
        <f>_xlfn.LET(_xlpm.steps,SUBSTITUTE(Table13[[#This Row],[Input]],Table13[[#This Row],[Direction]],""),VALUE(IF(LEN(_xlpm.steps)&gt;2,RIGHT(_xlpm.steps,2),_xlpm.steps)))</f>
        <v>19</v>
      </c>
      <c r="D4263">
        <f>_xlfn.LET(_xlpm.steps,SUBSTITUTE(Table13[[#This Row],[Input]],Table13[[#This Row],[Direction]],""),VALUE(IF(LEN(_xlpm.steps)&gt;2,LEFT(_xlpm.steps,LEN(_xlpm.steps)-2),0)))</f>
        <v>0</v>
      </c>
      <c r="E4263">
        <f>_xlfn.LET(_xlpm.dir,Table13[[#This Row],[Direction]],
IF(_xlpm.dir="L",
    IF(G4262-Table13[[#This Row],[Steps]]&lt;0,100+(G4262-Table13[[#This Row],[Steps]]),G4262-Table13[[#This Row],[Steps]]),
))</f>
        <v>0</v>
      </c>
      <c r="F4263">
        <f>_xlfn.LET(_xlpm.dir,Table13[[#This Row],[Direction]],
IF(_xlpm.dir="R",
    IF(G4262+Table13[[#This Row],[Steps]]&gt;99,(G4262+Table13[[#This Row],[Steps]])-100,G4262+Table13[[#This Row],[Steps]]),
))</f>
        <v>0</v>
      </c>
      <c r="G4263">
        <f>IF(Table13[[#This Row],[New Pos L]]&lt;&gt;0,Table13[[#This Row],[New Pos L]],Table13[[#This Row],[New Pos R]])</f>
        <v>0</v>
      </c>
      <c r="H4263">
        <f>IF(AND(Table13[[#This Row],[Direction]]="L",Table13[[#This Row],[Steps]]&gt;G4262,G4262&lt;&gt;0),1,0)</f>
        <v>0</v>
      </c>
      <c r="I4263">
        <f>IF(AND(Table13[[#This Row],[Direction]]="R",(G4262+Table13[[#This Row],[Steps]])&gt;100),1,0)</f>
        <v>0</v>
      </c>
      <c r="J4263">
        <f>IF(Table13[[#This Row],[POS]]=0,1,0)</f>
        <v>1</v>
      </c>
      <c r="K4263">
        <f>SUM(Table13[[#This Row],[prefix]],Table13[[#This Row],[Past zero L]],Table13[[#This Row],[Past Zero R]],Table13[[#This Row],[Is Zero]])</f>
        <v>1</v>
      </c>
    </row>
    <row r="4264" spans="1:11" ht="16" x14ac:dyDescent="0.2">
      <c r="A4264" s="1" t="s">
        <v>181</v>
      </c>
      <c r="B4264" t="str">
        <f>LEFT(Table13[[#This Row],[Input]],1)</f>
        <v>L</v>
      </c>
      <c r="C4264">
        <f>_xlfn.LET(_xlpm.steps,SUBSTITUTE(Table13[[#This Row],[Input]],Table13[[#This Row],[Direction]],""),VALUE(IF(LEN(_xlpm.steps)&gt;2,RIGHT(_xlpm.steps,2),_xlpm.steps)))</f>
        <v>53</v>
      </c>
      <c r="D4264">
        <f>_xlfn.LET(_xlpm.steps,SUBSTITUTE(Table13[[#This Row],[Input]],Table13[[#This Row],[Direction]],""),VALUE(IF(LEN(_xlpm.steps)&gt;2,LEFT(_xlpm.steps,LEN(_xlpm.steps)-2),0)))</f>
        <v>0</v>
      </c>
      <c r="E4264">
        <f>_xlfn.LET(_xlpm.dir,Table13[[#This Row],[Direction]],
IF(_xlpm.dir="L",
    IF(G4263-Table13[[#This Row],[Steps]]&lt;0,100+(G4263-Table13[[#This Row],[Steps]]),G4263-Table13[[#This Row],[Steps]]),
))</f>
        <v>47</v>
      </c>
      <c r="F4264">
        <f>_xlfn.LET(_xlpm.dir,Table13[[#This Row],[Direction]],
IF(_xlpm.dir="R",
    IF(G4263+Table13[[#This Row],[Steps]]&gt;99,(G4263+Table13[[#This Row],[Steps]])-100,G4263+Table13[[#This Row],[Steps]]),
))</f>
        <v>0</v>
      </c>
      <c r="G4264">
        <f>IF(Table13[[#This Row],[New Pos L]]&lt;&gt;0,Table13[[#This Row],[New Pos L]],Table13[[#This Row],[New Pos R]])</f>
        <v>47</v>
      </c>
      <c r="H4264">
        <f>IF(AND(Table13[[#This Row],[Direction]]="L",Table13[[#This Row],[Steps]]&gt;G4263,G4263&lt;&gt;0),1,0)</f>
        <v>0</v>
      </c>
      <c r="I4264">
        <f>IF(AND(Table13[[#This Row],[Direction]]="R",(G4263+Table13[[#This Row],[Steps]])&gt;100),1,0)</f>
        <v>0</v>
      </c>
      <c r="J4264">
        <f>IF(Table13[[#This Row],[POS]]=0,1,0)</f>
        <v>0</v>
      </c>
      <c r="K4264">
        <f>SUM(Table13[[#This Row],[prefix]],Table13[[#This Row],[Past zero L]],Table13[[#This Row],[Past Zero R]],Table13[[#This Row],[Is Zero]])</f>
        <v>0</v>
      </c>
    </row>
    <row r="4265" spans="1:11" ht="16" x14ac:dyDescent="0.2">
      <c r="A4265" s="1" t="s">
        <v>364</v>
      </c>
      <c r="B4265" t="str">
        <f>LEFT(Table13[[#This Row],[Input]],1)</f>
        <v>L</v>
      </c>
      <c r="C4265">
        <f>_xlfn.LET(_xlpm.steps,SUBSTITUTE(Table13[[#This Row],[Input]],Table13[[#This Row],[Direction]],""),VALUE(IF(LEN(_xlpm.steps)&gt;2,RIGHT(_xlpm.steps,2),_xlpm.steps)))</f>
        <v>70</v>
      </c>
      <c r="D4265">
        <f>_xlfn.LET(_xlpm.steps,SUBSTITUTE(Table13[[#This Row],[Input]],Table13[[#This Row],[Direction]],""),VALUE(IF(LEN(_xlpm.steps)&gt;2,LEFT(_xlpm.steps,LEN(_xlpm.steps)-2),0)))</f>
        <v>0</v>
      </c>
      <c r="E4265">
        <f>_xlfn.LET(_xlpm.dir,Table13[[#This Row],[Direction]],
IF(_xlpm.dir="L",
    IF(G4264-Table13[[#This Row],[Steps]]&lt;0,100+(G4264-Table13[[#This Row],[Steps]]),G4264-Table13[[#This Row],[Steps]]),
))</f>
        <v>77</v>
      </c>
      <c r="F4265">
        <f>_xlfn.LET(_xlpm.dir,Table13[[#This Row],[Direction]],
IF(_xlpm.dir="R",
    IF(G4264+Table13[[#This Row],[Steps]]&gt;99,(G4264+Table13[[#This Row],[Steps]])-100,G4264+Table13[[#This Row],[Steps]]),
))</f>
        <v>0</v>
      </c>
      <c r="G4265">
        <f>IF(Table13[[#This Row],[New Pos L]]&lt;&gt;0,Table13[[#This Row],[New Pos L]],Table13[[#This Row],[New Pos R]])</f>
        <v>77</v>
      </c>
      <c r="H4265">
        <f>IF(AND(Table13[[#This Row],[Direction]]="L",Table13[[#This Row],[Steps]]&gt;G4264,G4264&lt;&gt;0),1,0)</f>
        <v>1</v>
      </c>
      <c r="I4265">
        <f>IF(AND(Table13[[#This Row],[Direction]]="R",(G4264+Table13[[#This Row],[Steps]])&gt;100),1,0)</f>
        <v>0</v>
      </c>
      <c r="J4265">
        <f>IF(Table13[[#This Row],[POS]]=0,1,0)</f>
        <v>0</v>
      </c>
      <c r="K4265">
        <f>SUM(Table13[[#This Row],[prefix]],Table13[[#This Row],[Past zero L]],Table13[[#This Row],[Past Zero R]],Table13[[#This Row],[Is Zero]])</f>
        <v>1</v>
      </c>
    </row>
    <row r="4266" spans="1:11" ht="16" x14ac:dyDescent="0.2">
      <c r="A4266" s="1" t="s">
        <v>71</v>
      </c>
      <c r="B4266" t="str">
        <f>LEFT(Table13[[#This Row],[Input]],1)</f>
        <v>R</v>
      </c>
      <c r="C4266">
        <f>_xlfn.LET(_xlpm.steps,SUBSTITUTE(Table13[[#This Row],[Input]],Table13[[#This Row],[Direction]],""),VALUE(IF(LEN(_xlpm.steps)&gt;2,RIGHT(_xlpm.steps,2),_xlpm.steps)))</f>
        <v>23</v>
      </c>
      <c r="D4266">
        <f>_xlfn.LET(_xlpm.steps,SUBSTITUTE(Table13[[#This Row],[Input]],Table13[[#This Row],[Direction]],""),VALUE(IF(LEN(_xlpm.steps)&gt;2,LEFT(_xlpm.steps,LEN(_xlpm.steps)-2),0)))</f>
        <v>0</v>
      </c>
      <c r="E4266">
        <f>_xlfn.LET(_xlpm.dir,Table13[[#This Row],[Direction]],
IF(_xlpm.dir="L",
    IF(G4265-Table13[[#This Row],[Steps]]&lt;0,100+(G4265-Table13[[#This Row],[Steps]]),G4265-Table13[[#This Row],[Steps]]),
))</f>
        <v>0</v>
      </c>
      <c r="F4266">
        <f>_xlfn.LET(_xlpm.dir,Table13[[#This Row],[Direction]],
IF(_xlpm.dir="R",
    IF(G4265+Table13[[#This Row],[Steps]]&gt;99,(G4265+Table13[[#This Row],[Steps]])-100,G4265+Table13[[#This Row],[Steps]]),
))</f>
        <v>0</v>
      </c>
      <c r="G4266">
        <f>IF(Table13[[#This Row],[New Pos L]]&lt;&gt;0,Table13[[#This Row],[New Pos L]],Table13[[#This Row],[New Pos R]])</f>
        <v>0</v>
      </c>
      <c r="H4266">
        <f>IF(AND(Table13[[#This Row],[Direction]]="L",Table13[[#This Row],[Steps]]&gt;G4265,G4265&lt;&gt;0),1,0)</f>
        <v>0</v>
      </c>
      <c r="I4266">
        <f>IF(AND(Table13[[#This Row],[Direction]]="R",(G4265+Table13[[#This Row],[Steps]])&gt;100),1,0)</f>
        <v>0</v>
      </c>
      <c r="J4266">
        <f>IF(Table13[[#This Row],[POS]]=0,1,0)</f>
        <v>1</v>
      </c>
      <c r="K4266">
        <f>SUM(Table13[[#This Row],[prefix]],Table13[[#This Row],[Past zero L]],Table13[[#This Row],[Past Zero R]],Table13[[#This Row],[Is Zero]])</f>
        <v>1</v>
      </c>
    </row>
    <row r="4267" spans="1:11" ht="16" x14ac:dyDescent="0.2">
      <c r="A4267" s="1" t="s">
        <v>855</v>
      </c>
      <c r="B4267" t="str">
        <f>LEFT(Table13[[#This Row],[Input]],1)</f>
        <v>R</v>
      </c>
      <c r="C4267">
        <f>_xlfn.LET(_xlpm.steps,SUBSTITUTE(Table13[[#This Row],[Input]],Table13[[#This Row],[Direction]],""),VALUE(IF(LEN(_xlpm.steps)&gt;2,RIGHT(_xlpm.steps,2),_xlpm.steps)))</f>
        <v>40</v>
      </c>
      <c r="D4267">
        <f>_xlfn.LET(_xlpm.steps,SUBSTITUTE(Table13[[#This Row],[Input]],Table13[[#This Row],[Direction]],""),VALUE(IF(LEN(_xlpm.steps)&gt;2,LEFT(_xlpm.steps,LEN(_xlpm.steps)-2),0)))</f>
        <v>9</v>
      </c>
      <c r="E4267">
        <f>_xlfn.LET(_xlpm.dir,Table13[[#This Row],[Direction]],
IF(_xlpm.dir="L",
    IF(G4266-Table13[[#This Row],[Steps]]&lt;0,100+(G4266-Table13[[#This Row],[Steps]]),G4266-Table13[[#This Row],[Steps]]),
))</f>
        <v>0</v>
      </c>
      <c r="F4267">
        <f>_xlfn.LET(_xlpm.dir,Table13[[#This Row],[Direction]],
IF(_xlpm.dir="R",
    IF(G4266+Table13[[#This Row],[Steps]]&gt;99,(G4266+Table13[[#This Row],[Steps]])-100,G4266+Table13[[#This Row],[Steps]]),
))</f>
        <v>40</v>
      </c>
      <c r="G4267">
        <f>IF(Table13[[#This Row],[New Pos L]]&lt;&gt;0,Table13[[#This Row],[New Pos L]],Table13[[#This Row],[New Pos R]])</f>
        <v>40</v>
      </c>
      <c r="H4267">
        <f>IF(AND(Table13[[#This Row],[Direction]]="L",Table13[[#This Row],[Steps]]&gt;G4266,G4266&lt;&gt;0),1,0)</f>
        <v>0</v>
      </c>
      <c r="I4267">
        <f>IF(AND(Table13[[#This Row],[Direction]]="R",(G4266+Table13[[#This Row],[Steps]])&gt;100),1,0)</f>
        <v>0</v>
      </c>
      <c r="J4267">
        <f>IF(Table13[[#This Row],[POS]]=0,1,0)</f>
        <v>0</v>
      </c>
      <c r="K4267">
        <f>SUM(Table13[[#This Row],[prefix]],Table13[[#This Row],[Past zero L]],Table13[[#This Row],[Past Zero R]],Table13[[#This Row],[Is Zero]])</f>
        <v>9</v>
      </c>
    </row>
    <row r="4268" spans="1:11" ht="16" x14ac:dyDescent="0.2">
      <c r="A4268" s="1" t="s">
        <v>111</v>
      </c>
      <c r="B4268" t="str">
        <f>LEFT(Table13[[#This Row],[Input]],1)</f>
        <v>R</v>
      </c>
      <c r="C4268">
        <f>_xlfn.LET(_xlpm.steps,SUBSTITUTE(Table13[[#This Row],[Input]],Table13[[#This Row],[Direction]],""),VALUE(IF(LEN(_xlpm.steps)&gt;2,RIGHT(_xlpm.steps,2),_xlpm.steps)))</f>
        <v>64</v>
      </c>
      <c r="D4268">
        <f>_xlfn.LET(_xlpm.steps,SUBSTITUTE(Table13[[#This Row],[Input]],Table13[[#This Row],[Direction]],""),VALUE(IF(LEN(_xlpm.steps)&gt;2,LEFT(_xlpm.steps,LEN(_xlpm.steps)-2),0)))</f>
        <v>0</v>
      </c>
      <c r="E4268">
        <f>_xlfn.LET(_xlpm.dir,Table13[[#This Row],[Direction]],
IF(_xlpm.dir="L",
    IF(G4267-Table13[[#This Row],[Steps]]&lt;0,100+(G4267-Table13[[#This Row],[Steps]]),G4267-Table13[[#This Row],[Steps]]),
))</f>
        <v>0</v>
      </c>
      <c r="F4268">
        <f>_xlfn.LET(_xlpm.dir,Table13[[#This Row],[Direction]],
IF(_xlpm.dir="R",
    IF(G4267+Table13[[#This Row],[Steps]]&gt;99,(G4267+Table13[[#This Row],[Steps]])-100,G4267+Table13[[#This Row],[Steps]]),
))</f>
        <v>4</v>
      </c>
      <c r="G4268">
        <f>IF(Table13[[#This Row],[New Pos L]]&lt;&gt;0,Table13[[#This Row],[New Pos L]],Table13[[#This Row],[New Pos R]])</f>
        <v>4</v>
      </c>
      <c r="H4268">
        <f>IF(AND(Table13[[#This Row],[Direction]]="L",Table13[[#This Row],[Steps]]&gt;G4267,G4267&lt;&gt;0),1,0)</f>
        <v>0</v>
      </c>
      <c r="I4268">
        <f>IF(AND(Table13[[#This Row],[Direction]]="R",(G4267+Table13[[#This Row],[Steps]])&gt;100),1,0)</f>
        <v>1</v>
      </c>
      <c r="J4268">
        <f>IF(Table13[[#This Row],[POS]]=0,1,0)</f>
        <v>0</v>
      </c>
      <c r="K4268">
        <f>SUM(Table13[[#This Row],[prefix]],Table13[[#This Row],[Past zero L]],Table13[[#This Row],[Past Zero R]],Table13[[#This Row],[Is Zero]])</f>
        <v>1</v>
      </c>
    </row>
    <row r="4269" spans="1:11" ht="16" x14ac:dyDescent="0.2">
      <c r="A4269" s="1" t="s">
        <v>44</v>
      </c>
      <c r="B4269" t="str">
        <f>LEFT(Table13[[#This Row],[Input]],1)</f>
        <v>R</v>
      </c>
      <c r="C4269">
        <f>_xlfn.LET(_xlpm.steps,SUBSTITUTE(Table13[[#This Row],[Input]],Table13[[#This Row],[Direction]],""),VALUE(IF(LEN(_xlpm.steps)&gt;2,RIGHT(_xlpm.steps,2),_xlpm.steps)))</f>
        <v>96</v>
      </c>
      <c r="D4269">
        <f>_xlfn.LET(_xlpm.steps,SUBSTITUTE(Table13[[#This Row],[Input]],Table13[[#This Row],[Direction]],""),VALUE(IF(LEN(_xlpm.steps)&gt;2,LEFT(_xlpm.steps,LEN(_xlpm.steps)-2),0)))</f>
        <v>0</v>
      </c>
      <c r="E4269">
        <f>_xlfn.LET(_xlpm.dir,Table13[[#This Row],[Direction]],
IF(_xlpm.dir="L",
    IF(G4268-Table13[[#This Row],[Steps]]&lt;0,100+(G4268-Table13[[#This Row],[Steps]]),G4268-Table13[[#This Row],[Steps]]),
))</f>
        <v>0</v>
      </c>
      <c r="F4269">
        <f>_xlfn.LET(_xlpm.dir,Table13[[#This Row],[Direction]],
IF(_xlpm.dir="R",
    IF(G4268+Table13[[#This Row],[Steps]]&gt;99,(G4268+Table13[[#This Row],[Steps]])-100,G4268+Table13[[#This Row],[Steps]]),
))</f>
        <v>0</v>
      </c>
      <c r="G4269">
        <f>IF(Table13[[#This Row],[New Pos L]]&lt;&gt;0,Table13[[#This Row],[New Pos L]],Table13[[#This Row],[New Pos R]])</f>
        <v>0</v>
      </c>
      <c r="H4269">
        <f>IF(AND(Table13[[#This Row],[Direction]]="L",Table13[[#This Row],[Steps]]&gt;G4268,G4268&lt;&gt;0),1,0)</f>
        <v>0</v>
      </c>
      <c r="I4269">
        <f>IF(AND(Table13[[#This Row],[Direction]]="R",(G4268+Table13[[#This Row],[Steps]])&gt;100),1,0)</f>
        <v>0</v>
      </c>
      <c r="J4269">
        <f>IF(Table13[[#This Row],[POS]]=0,1,0)</f>
        <v>1</v>
      </c>
      <c r="K4269">
        <f>SUM(Table13[[#This Row],[prefix]],Table13[[#This Row],[Past zero L]],Table13[[#This Row],[Past Zero R]],Table13[[#This Row],[Is Zero]])</f>
        <v>1</v>
      </c>
    </row>
    <row r="4270" spans="1:11" ht="16" x14ac:dyDescent="0.2">
      <c r="A4270" s="1" t="s">
        <v>187</v>
      </c>
      <c r="B4270" t="str">
        <f>LEFT(Table13[[#This Row],[Input]],1)</f>
        <v>R</v>
      </c>
      <c r="C4270">
        <f>_xlfn.LET(_xlpm.steps,SUBSTITUTE(Table13[[#This Row],[Input]],Table13[[#This Row],[Direction]],""),VALUE(IF(LEN(_xlpm.steps)&gt;2,RIGHT(_xlpm.steps,2),_xlpm.steps)))</f>
        <v>20</v>
      </c>
      <c r="D4270">
        <f>_xlfn.LET(_xlpm.steps,SUBSTITUTE(Table13[[#This Row],[Input]],Table13[[#This Row],[Direction]],""),VALUE(IF(LEN(_xlpm.steps)&gt;2,LEFT(_xlpm.steps,LEN(_xlpm.steps)-2),0)))</f>
        <v>0</v>
      </c>
      <c r="E4270">
        <f>_xlfn.LET(_xlpm.dir,Table13[[#This Row],[Direction]],
IF(_xlpm.dir="L",
    IF(G4269-Table13[[#This Row],[Steps]]&lt;0,100+(G4269-Table13[[#This Row],[Steps]]),G4269-Table13[[#This Row],[Steps]]),
))</f>
        <v>0</v>
      </c>
      <c r="F4270">
        <f>_xlfn.LET(_xlpm.dir,Table13[[#This Row],[Direction]],
IF(_xlpm.dir="R",
    IF(G4269+Table13[[#This Row],[Steps]]&gt;99,(G4269+Table13[[#This Row],[Steps]])-100,G4269+Table13[[#This Row],[Steps]]),
))</f>
        <v>20</v>
      </c>
      <c r="G4270">
        <f>IF(Table13[[#This Row],[New Pos L]]&lt;&gt;0,Table13[[#This Row],[New Pos L]],Table13[[#This Row],[New Pos R]])</f>
        <v>20</v>
      </c>
      <c r="H4270">
        <f>IF(AND(Table13[[#This Row],[Direction]]="L",Table13[[#This Row],[Steps]]&gt;G4269,G4269&lt;&gt;0),1,0)</f>
        <v>0</v>
      </c>
      <c r="I4270">
        <f>IF(AND(Table13[[#This Row],[Direction]]="R",(G4269+Table13[[#This Row],[Steps]])&gt;100),1,0)</f>
        <v>0</v>
      </c>
      <c r="J4270">
        <f>IF(Table13[[#This Row],[POS]]=0,1,0)</f>
        <v>0</v>
      </c>
      <c r="K4270">
        <f>SUM(Table13[[#This Row],[prefix]],Table13[[#This Row],[Past zero L]],Table13[[#This Row],[Past Zero R]],Table13[[#This Row],[Is Zero]])</f>
        <v>0</v>
      </c>
    </row>
    <row r="4271" spans="1:11" ht="16" x14ac:dyDescent="0.2">
      <c r="A4271" s="1" t="s">
        <v>44</v>
      </c>
      <c r="B4271" t="str">
        <f>LEFT(Table13[[#This Row],[Input]],1)</f>
        <v>R</v>
      </c>
      <c r="C4271">
        <f>_xlfn.LET(_xlpm.steps,SUBSTITUTE(Table13[[#This Row],[Input]],Table13[[#This Row],[Direction]],""),VALUE(IF(LEN(_xlpm.steps)&gt;2,RIGHT(_xlpm.steps,2),_xlpm.steps)))</f>
        <v>96</v>
      </c>
      <c r="D4271">
        <f>_xlfn.LET(_xlpm.steps,SUBSTITUTE(Table13[[#This Row],[Input]],Table13[[#This Row],[Direction]],""),VALUE(IF(LEN(_xlpm.steps)&gt;2,LEFT(_xlpm.steps,LEN(_xlpm.steps)-2),0)))</f>
        <v>0</v>
      </c>
      <c r="E4271">
        <f>_xlfn.LET(_xlpm.dir,Table13[[#This Row],[Direction]],
IF(_xlpm.dir="L",
    IF(G4270-Table13[[#This Row],[Steps]]&lt;0,100+(G4270-Table13[[#This Row],[Steps]]),G4270-Table13[[#This Row],[Steps]]),
))</f>
        <v>0</v>
      </c>
      <c r="F4271">
        <f>_xlfn.LET(_xlpm.dir,Table13[[#This Row],[Direction]],
IF(_xlpm.dir="R",
    IF(G4270+Table13[[#This Row],[Steps]]&gt;99,(G4270+Table13[[#This Row],[Steps]])-100,G4270+Table13[[#This Row],[Steps]]),
))</f>
        <v>16</v>
      </c>
      <c r="G4271">
        <f>IF(Table13[[#This Row],[New Pos L]]&lt;&gt;0,Table13[[#This Row],[New Pos L]],Table13[[#This Row],[New Pos R]])</f>
        <v>16</v>
      </c>
      <c r="H4271">
        <f>IF(AND(Table13[[#This Row],[Direction]]="L",Table13[[#This Row],[Steps]]&gt;G4270,G4270&lt;&gt;0),1,0)</f>
        <v>0</v>
      </c>
      <c r="I4271">
        <f>IF(AND(Table13[[#This Row],[Direction]]="R",(G4270+Table13[[#This Row],[Steps]])&gt;100),1,0)</f>
        <v>1</v>
      </c>
      <c r="J4271">
        <f>IF(Table13[[#This Row],[POS]]=0,1,0)</f>
        <v>0</v>
      </c>
      <c r="K4271">
        <f>SUM(Table13[[#This Row],[prefix]],Table13[[#This Row],[Past zero L]],Table13[[#This Row],[Past Zero R]],Table13[[#This Row],[Is Zero]])</f>
        <v>1</v>
      </c>
    </row>
    <row r="4272" spans="1:11" ht="16" x14ac:dyDescent="0.2">
      <c r="A4272" s="1" t="s">
        <v>80</v>
      </c>
      <c r="B4272" t="str">
        <f>LEFT(Table13[[#This Row],[Input]],1)</f>
        <v>L</v>
      </c>
      <c r="C4272">
        <f>_xlfn.LET(_xlpm.steps,SUBSTITUTE(Table13[[#This Row],[Input]],Table13[[#This Row],[Direction]],""),VALUE(IF(LEN(_xlpm.steps)&gt;2,RIGHT(_xlpm.steps,2),_xlpm.steps)))</f>
        <v>48</v>
      </c>
      <c r="D4272">
        <f>_xlfn.LET(_xlpm.steps,SUBSTITUTE(Table13[[#This Row],[Input]],Table13[[#This Row],[Direction]],""),VALUE(IF(LEN(_xlpm.steps)&gt;2,LEFT(_xlpm.steps,LEN(_xlpm.steps)-2),0)))</f>
        <v>0</v>
      </c>
      <c r="E4272">
        <f>_xlfn.LET(_xlpm.dir,Table13[[#This Row],[Direction]],
IF(_xlpm.dir="L",
    IF(G4271-Table13[[#This Row],[Steps]]&lt;0,100+(G4271-Table13[[#This Row],[Steps]]),G4271-Table13[[#This Row],[Steps]]),
))</f>
        <v>68</v>
      </c>
      <c r="F4272">
        <f>_xlfn.LET(_xlpm.dir,Table13[[#This Row],[Direction]],
IF(_xlpm.dir="R",
    IF(G4271+Table13[[#This Row],[Steps]]&gt;99,(G4271+Table13[[#This Row],[Steps]])-100,G4271+Table13[[#This Row],[Steps]]),
))</f>
        <v>0</v>
      </c>
      <c r="G4272">
        <f>IF(Table13[[#This Row],[New Pos L]]&lt;&gt;0,Table13[[#This Row],[New Pos L]],Table13[[#This Row],[New Pos R]])</f>
        <v>68</v>
      </c>
      <c r="H4272">
        <f>IF(AND(Table13[[#This Row],[Direction]]="L",Table13[[#This Row],[Steps]]&gt;G4271,G4271&lt;&gt;0),1,0)</f>
        <v>1</v>
      </c>
      <c r="I4272">
        <f>IF(AND(Table13[[#This Row],[Direction]]="R",(G4271+Table13[[#This Row],[Steps]])&gt;100),1,0)</f>
        <v>0</v>
      </c>
      <c r="J4272">
        <f>IF(Table13[[#This Row],[POS]]=0,1,0)</f>
        <v>0</v>
      </c>
      <c r="K4272">
        <f>SUM(Table13[[#This Row],[prefix]],Table13[[#This Row],[Past zero L]],Table13[[#This Row],[Past Zero R]],Table13[[#This Row],[Is Zero]])</f>
        <v>1</v>
      </c>
    </row>
    <row r="4273" spans="1:11" ht="16" x14ac:dyDescent="0.2">
      <c r="A4273" s="1" t="s">
        <v>655</v>
      </c>
      <c r="B4273" t="str">
        <f>LEFT(Table13[[#This Row],[Input]],1)</f>
        <v>L</v>
      </c>
      <c r="C4273">
        <f>_xlfn.LET(_xlpm.steps,SUBSTITUTE(Table13[[#This Row],[Input]],Table13[[#This Row],[Direction]],""),VALUE(IF(LEN(_xlpm.steps)&gt;2,RIGHT(_xlpm.steps,2),_xlpm.steps)))</f>
        <v>56</v>
      </c>
      <c r="D4273">
        <f>_xlfn.LET(_xlpm.steps,SUBSTITUTE(Table13[[#This Row],[Input]],Table13[[#This Row],[Direction]],""),VALUE(IF(LEN(_xlpm.steps)&gt;2,LEFT(_xlpm.steps,LEN(_xlpm.steps)-2),0)))</f>
        <v>7</v>
      </c>
      <c r="E4273">
        <f>_xlfn.LET(_xlpm.dir,Table13[[#This Row],[Direction]],
IF(_xlpm.dir="L",
    IF(G4272-Table13[[#This Row],[Steps]]&lt;0,100+(G4272-Table13[[#This Row],[Steps]]),G4272-Table13[[#This Row],[Steps]]),
))</f>
        <v>12</v>
      </c>
      <c r="F4273">
        <f>_xlfn.LET(_xlpm.dir,Table13[[#This Row],[Direction]],
IF(_xlpm.dir="R",
    IF(G4272+Table13[[#This Row],[Steps]]&gt;99,(G4272+Table13[[#This Row],[Steps]])-100,G4272+Table13[[#This Row],[Steps]]),
))</f>
        <v>0</v>
      </c>
      <c r="G4273">
        <f>IF(Table13[[#This Row],[New Pos L]]&lt;&gt;0,Table13[[#This Row],[New Pos L]],Table13[[#This Row],[New Pos R]])</f>
        <v>12</v>
      </c>
      <c r="H4273">
        <f>IF(AND(Table13[[#This Row],[Direction]]="L",Table13[[#This Row],[Steps]]&gt;G4272,G4272&lt;&gt;0),1,0)</f>
        <v>0</v>
      </c>
      <c r="I4273">
        <f>IF(AND(Table13[[#This Row],[Direction]]="R",(G4272+Table13[[#This Row],[Steps]])&gt;100),1,0)</f>
        <v>0</v>
      </c>
      <c r="J4273">
        <f>IF(Table13[[#This Row],[POS]]=0,1,0)</f>
        <v>0</v>
      </c>
      <c r="K4273">
        <f>SUM(Table13[[#This Row],[prefix]],Table13[[#This Row],[Past zero L]],Table13[[#This Row],[Past Zero R]],Table13[[#This Row],[Is Zero]])</f>
        <v>7</v>
      </c>
    </row>
    <row r="4274" spans="1:11" ht="16" x14ac:dyDescent="0.2">
      <c r="A4274" s="1" t="s">
        <v>856</v>
      </c>
      <c r="B4274" t="str">
        <f>LEFT(Table13[[#This Row],[Input]],1)</f>
        <v>R</v>
      </c>
      <c r="C4274">
        <f>_xlfn.LET(_xlpm.steps,SUBSTITUTE(Table13[[#This Row],[Input]],Table13[[#This Row],[Direction]],""),VALUE(IF(LEN(_xlpm.steps)&gt;2,RIGHT(_xlpm.steps,2),_xlpm.steps)))</f>
        <v>57</v>
      </c>
      <c r="D4274">
        <f>_xlfn.LET(_xlpm.steps,SUBSTITUTE(Table13[[#This Row],[Input]],Table13[[#This Row],[Direction]],""),VALUE(IF(LEN(_xlpm.steps)&gt;2,LEFT(_xlpm.steps,LEN(_xlpm.steps)-2),0)))</f>
        <v>4</v>
      </c>
      <c r="E4274">
        <f>_xlfn.LET(_xlpm.dir,Table13[[#This Row],[Direction]],
IF(_xlpm.dir="L",
    IF(G4273-Table13[[#This Row],[Steps]]&lt;0,100+(G4273-Table13[[#This Row],[Steps]]),G4273-Table13[[#This Row],[Steps]]),
))</f>
        <v>0</v>
      </c>
      <c r="F4274">
        <f>_xlfn.LET(_xlpm.dir,Table13[[#This Row],[Direction]],
IF(_xlpm.dir="R",
    IF(G4273+Table13[[#This Row],[Steps]]&gt;99,(G4273+Table13[[#This Row],[Steps]])-100,G4273+Table13[[#This Row],[Steps]]),
))</f>
        <v>69</v>
      </c>
      <c r="G4274">
        <f>IF(Table13[[#This Row],[New Pos L]]&lt;&gt;0,Table13[[#This Row],[New Pos L]],Table13[[#This Row],[New Pos R]])</f>
        <v>69</v>
      </c>
      <c r="H4274">
        <f>IF(AND(Table13[[#This Row],[Direction]]="L",Table13[[#This Row],[Steps]]&gt;G4273,G4273&lt;&gt;0),1,0)</f>
        <v>0</v>
      </c>
      <c r="I4274">
        <f>IF(AND(Table13[[#This Row],[Direction]]="R",(G4273+Table13[[#This Row],[Steps]])&gt;100),1,0)</f>
        <v>0</v>
      </c>
      <c r="J4274">
        <f>IF(Table13[[#This Row],[POS]]=0,1,0)</f>
        <v>0</v>
      </c>
      <c r="K4274">
        <f>SUM(Table13[[#This Row],[prefix]],Table13[[#This Row],[Past zero L]],Table13[[#This Row],[Past Zero R]],Table13[[#This Row],[Is Zero]])</f>
        <v>4</v>
      </c>
    </row>
    <row r="4275" spans="1:11" ht="16" x14ac:dyDescent="0.2">
      <c r="A4275" s="1" t="s">
        <v>121</v>
      </c>
      <c r="B4275" t="str">
        <f>LEFT(Table13[[#This Row],[Input]],1)</f>
        <v>L</v>
      </c>
      <c r="C4275">
        <f>_xlfn.LET(_xlpm.steps,SUBSTITUTE(Table13[[#This Row],[Input]],Table13[[#This Row],[Direction]],""),VALUE(IF(LEN(_xlpm.steps)&gt;2,RIGHT(_xlpm.steps,2),_xlpm.steps)))</f>
        <v>69</v>
      </c>
      <c r="D4275">
        <f>_xlfn.LET(_xlpm.steps,SUBSTITUTE(Table13[[#This Row],[Input]],Table13[[#This Row],[Direction]],""),VALUE(IF(LEN(_xlpm.steps)&gt;2,LEFT(_xlpm.steps,LEN(_xlpm.steps)-2),0)))</f>
        <v>0</v>
      </c>
      <c r="E4275">
        <f>_xlfn.LET(_xlpm.dir,Table13[[#This Row],[Direction]],
IF(_xlpm.dir="L",
    IF(G4274-Table13[[#This Row],[Steps]]&lt;0,100+(G4274-Table13[[#This Row],[Steps]]),G4274-Table13[[#This Row],[Steps]]),
))</f>
        <v>0</v>
      </c>
      <c r="F4275">
        <f>_xlfn.LET(_xlpm.dir,Table13[[#This Row],[Direction]],
IF(_xlpm.dir="R",
    IF(G4274+Table13[[#This Row],[Steps]]&gt;99,(G4274+Table13[[#This Row],[Steps]])-100,G4274+Table13[[#This Row],[Steps]]),
))</f>
        <v>0</v>
      </c>
      <c r="G4275">
        <f>IF(Table13[[#This Row],[New Pos L]]&lt;&gt;0,Table13[[#This Row],[New Pos L]],Table13[[#This Row],[New Pos R]])</f>
        <v>0</v>
      </c>
      <c r="H4275">
        <f>IF(AND(Table13[[#This Row],[Direction]]="L",Table13[[#This Row],[Steps]]&gt;G4274,G4274&lt;&gt;0),1,0)</f>
        <v>0</v>
      </c>
      <c r="I4275">
        <f>IF(AND(Table13[[#This Row],[Direction]]="R",(G4274+Table13[[#This Row],[Steps]])&gt;100),1,0)</f>
        <v>0</v>
      </c>
      <c r="J4275">
        <f>IF(Table13[[#This Row],[POS]]=0,1,0)</f>
        <v>1</v>
      </c>
      <c r="K4275">
        <f>SUM(Table13[[#This Row],[prefix]],Table13[[#This Row],[Past zero L]],Table13[[#This Row],[Past Zero R]],Table13[[#This Row],[Is Zero]])</f>
        <v>1</v>
      </c>
    </row>
    <row r="4276" spans="1:11" ht="16" x14ac:dyDescent="0.2">
      <c r="A4276" s="1" t="s">
        <v>244</v>
      </c>
      <c r="B4276" t="str">
        <f>LEFT(Table13[[#This Row],[Input]],1)</f>
        <v>L</v>
      </c>
      <c r="C4276">
        <f>_xlfn.LET(_xlpm.steps,SUBSTITUTE(Table13[[#This Row],[Input]],Table13[[#This Row],[Direction]],""),VALUE(IF(LEN(_xlpm.steps)&gt;2,RIGHT(_xlpm.steps,2),_xlpm.steps)))</f>
        <v>98</v>
      </c>
      <c r="D4276">
        <f>_xlfn.LET(_xlpm.steps,SUBSTITUTE(Table13[[#This Row],[Input]],Table13[[#This Row],[Direction]],""),VALUE(IF(LEN(_xlpm.steps)&gt;2,LEFT(_xlpm.steps,LEN(_xlpm.steps)-2),0)))</f>
        <v>0</v>
      </c>
      <c r="E4276">
        <f>_xlfn.LET(_xlpm.dir,Table13[[#This Row],[Direction]],
IF(_xlpm.dir="L",
    IF(G4275-Table13[[#This Row],[Steps]]&lt;0,100+(G4275-Table13[[#This Row],[Steps]]),G4275-Table13[[#This Row],[Steps]]),
))</f>
        <v>2</v>
      </c>
      <c r="F4276">
        <f>_xlfn.LET(_xlpm.dir,Table13[[#This Row],[Direction]],
IF(_xlpm.dir="R",
    IF(G4275+Table13[[#This Row],[Steps]]&gt;99,(G4275+Table13[[#This Row],[Steps]])-100,G4275+Table13[[#This Row],[Steps]]),
))</f>
        <v>0</v>
      </c>
      <c r="G4276">
        <f>IF(Table13[[#This Row],[New Pos L]]&lt;&gt;0,Table13[[#This Row],[New Pos L]],Table13[[#This Row],[New Pos R]])</f>
        <v>2</v>
      </c>
      <c r="H4276">
        <f>IF(AND(Table13[[#This Row],[Direction]]="L",Table13[[#This Row],[Steps]]&gt;G4275,G4275&lt;&gt;0),1,0)</f>
        <v>0</v>
      </c>
      <c r="I4276">
        <f>IF(AND(Table13[[#This Row],[Direction]]="R",(G4275+Table13[[#This Row],[Steps]])&gt;100),1,0)</f>
        <v>0</v>
      </c>
      <c r="J4276">
        <f>IF(Table13[[#This Row],[POS]]=0,1,0)</f>
        <v>0</v>
      </c>
      <c r="K4276">
        <f>SUM(Table13[[#This Row],[prefix]],Table13[[#This Row],[Past zero L]],Table13[[#This Row],[Past Zero R]],Table13[[#This Row],[Is Zero]])</f>
        <v>0</v>
      </c>
    </row>
    <row r="4277" spans="1:11" ht="16" x14ac:dyDescent="0.2">
      <c r="A4277" s="1" t="s">
        <v>74</v>
      </c>
      <c r="B4277" t="str">
        <f>LEFT(Table13[[#This Row],[Input]],1)</f>
        <v>R</v>
      </c>
      <c r="C4277">
        <f>_xlfn.LET(_xlpm.steps,SUBSTITUTE(Table13[[#This Row],[Input]],Table13[[#This Row],[Direction]],""),VALUE(IF(LEN(_xlpm.steps)&gt;2,RIGHT(_xlpm.steps,2),_xlpm.steps)))</f>
        <v>93</v>
      </c>
      <c r="D4277">
        <f>_xlfn.LET(_xlpm.steps,SUBSTITUTE(Table13[[#This Row],[Input]],Table13[[#This Row],[Direction]],""),VALUE(IF(LEN(_xlpm.steps)&gt;2,LEFT(_xlpm.steps,LEN(_xlpm.steps)-2),0)))</f>
        <v>0</v>
      </c>
      <c r="E4277">
        <f>_xlfn.LET(_xlpm.dir,Table13[[#This Row],[Direction]],
IF(_xlpm.dir="L",
    IF(G4276-Table13[[#This Row],[Steps]]&lt;0,100+(G4276-Table13[[#This Row],[Steps]]),G4276-Table13[[#This Row],[Steps]]),
))</f>
        <v>0</v>
      </c>
      <c r="F4277">
        <f>_xlfn.LET(_xlpm.dir,Table13[[#This Row],[Direction]],
IF(_xlpm.dir="R",
    IF(G4276+Table13[[#This Row],[Steps]]&gt;99,(G4276+Table13[[#This Row],[Steps]])-100,G4276+Table13[[#This Row],[Steps]]),
))</f>
        <v>95</v>
      </c>
      <c r="G4277">
        <f>IF(Table13[[#This Row],[New Pos L]]&lt;&gt;0,Table13[[#This Row],[New Pos L]],Table13[[#This Row],[New Pos R]])</f>
        <v>95</v>
      </c>
      <c r="H4277">
        <f>IF(AND(Table13[[#This Row],[Direction]]="L",Table13[[#This Row],[Steps]]&gt;G4276,G4276&lt;&gt;0),1,0)</f>
        <v>0</v>
      </c>
      <c r="I4277">
        <f>IF(AND(Table13[[#This Row],[Direction]]="R",(G4276+Table13[[#This Row],[Steps]])&gt;100),1,0)</f>
        <v>0</v>
      </c>
      <c r="J4277">
        <f>IF(Table13[[#This Row],[POS]]=0,1,0)</f>
        <v>0</v>
      </c>
      <c r="K4277">
        <f>SUM(Table13[[#This Row],[prefix]],Table13[[#This Row],[Past zero L]],Table13[[#This Row],[Past Zero R]],Table13[[#This Row],[Is Zero]])</f>
        <v>0</v>
      </c>
    </row>
    <row r="4278" spans="1:11" ht="16" x14ac:dyDescent="0.2">
      <c r="A4278" s="1" t="s">
        <v>58</v>
      </c>
      <c r="B4278" t="str">
        <f>LEFT(Table13[[#This Row],[Input]],1)</f>
        <v>L</v>
      </c>
      <c r="C4278">
        <f>_xlfn.LET(_xlpm.steps,SUBSTITUTE(Table13[[#This Row],[Input]],Table13[[#This Row],[Direction]],""),VALUE(IF(LEN(_xlpm.steps)&gt;2,RIGHT(_xlpm.steps,2),_xlpm.steps)))</f>
        <v>30</v>
      </c>
      <c r="D4278">
        <f>_xlfn.LET(_xlpm.steps,SUBSTITUTE(Table13[[#This Row],[Input]],Table13[[#This Row],[Direction]],""),VALUE(IF(LEN(_xlpm.steps)&gt;2,LEFT(_xlpm.steps,LEN(_xlpm.steps)-2),0)))</f>
        <v>0</v>
      </c>
      <c r="E4278">
        <f>_xlfn.LET(_xlpm.dir,Table13[[#This Row],[Direction]],
IF(_xlpm.dir="L",
    IF(G4277-Table13[[#This Row],[Steps]]&lt;0,100+(G4277-Table13[[#This Row],[Steps]]),G4277-Table13[[#This Row],[Steps]]),
))</f>
        <v>65</v>
      </c>
      <c r="F4278">
        <f>_xlfn.LET(_xlpm.dir,Table13[[#This Row],[Direction]],
IF(_xlpm.dir="R",
    IF(G4277+Table13[[#This Row],[Steps]]&gt;99,(G4277+Table13[[#This Row],[Steps]])-100,G4277+Table13[[#This Row],[Steps]]),
))</f>
        <v>0</v>
      </c>
      <c r="G4278">
        <f>IF(Table13[[#This Row],[New Pos L]]&lt;&gt;0,Table13[[#This Row],[New Pos L]],Table13[[#This Row],[New Pos R]])</f>
        <v>65</v>
      </c>
      <c r="H4278">
        <f>IF(AND(Table13[[#This Row],[Direction]]="L",Table13[[#This Row],[Steps]]&gt;G4277,G4277&lt;&gt;0),1,0)</f>
        <v>0</v>
      </c>
      <c r="I4278">
        <f>IF(AND(Table13[[#This Row],[Direction]]="R",(G4277+Table13[[#This Row],[Steps]])&gt;100),1,0)</f>
        <v>0</v>
      </c>
      <c r="J4278">
        <f>IF(Table13[[#This Row],[POS]]=0,1,0)</f>
        <v>0</v>
      </c>
      <c r="K4278">
        <f>SUM(Table13[[#This Row],[prefix]],Table13[[#This Row],[Past zero L]],Table13[[#This Row],[Past Zero R]],Table13[[#This Row],[Is Zero]])</f>
        <v>0</v>
      </c>
    </row>
    <row r="4279" spans="1:11" ht="16" x14ac:dyDescent="0.2">
      <c r="A4279" s="1" t="s">
        <v>13</v>
      </c>
      <c r="B4279" t="str">
        <f>LEFT(Table13[[#This Row],[Input]],1)</f>
        <v>R</v>
      </c>
      <c r="C4279">
        <f>_xlfn.LET(_xlpm.steps,SUBSTITUTE(Table13[[#This Row],[Input]],Table13[[#This Row],[Direction]],""),VALUE(IF(LEN(_xlpm.steps)&gt;2,RIGHT(_xlpm.steps,2),_xlpm.steps)))</f>
        <v>12</v>
      </c>
      <c r="D4279">
        <f>_xlfn.LET(_xlpm.steps,SUBSTITUTE(Table13[[#This Row],[Input]],Table13[[#This Row],[Direction]],""),VALUE(IF(LEN(_xlpm.steps)&gt;2,LEFT(_xlpm.steps,LEN(_xlpm.steps)-2),0)))</f>
        <v>0</v>
      </c>
      <c r="E4279">
        <f>_xlfn.LET(_xlpm.dir,Table13[[#This Row],[Direction]],
IF(_xlpm.dir="L",
    IF(G4278-Table13[[#This Row],[Steps]]&lt;0,100+(G4278-Table13[[#This Row],[Steps]]),G4278-Table13[[#This Row],[Steps]]),
))</f>
        <v>0</v>
      </c>
      <c r="F4279">
        <f>_xlfn.LET(_xlpm.dir,Table13[[#This Row],[Direction]],
IF(_xlpm.dir="R",
    IF(G4278+Table13[[#This Row],[Steps]]&gt;99,(G4278+Table13[[#This Row],[Steps]])-100,G4278+Table13[[#This Row],[Steps]]),
))</f>
        <v>77</v>
      </c>
      <c r="G4279">
        <f>IF(Table13[[#This Row],[New Pos L]]&lt;&gt;0,Table13[[#This Row],[New Pos L]],Table13[[#This Row],[New Pos R]])</f>
        <v>77</v>
      </c>
      <c r="H4279">
        <f>IF(AND(Table13[[#This Row],[Direction]]="L",Table13[[#This Row],[Steps]]&gt;G4278,G4278&lt;&gt;0),1,0)</f>
        <v>0</v>
      </c>
      <c r="I4279">
        <f>IF(AND(Table13[[#This Row],[Direction]]="R",(G4278+Table13[[#This Row],[Steps]])&gt;100),1,0)</f>
        <v>0</v>
      </c>
      <c r="J4279">
        <f>IF(Table13[[#This Row],[POS]]=0,1,0)</f>
        <v>0</v>
      </c>
      <c r="K4279">
        <f>SUM(Table13[[#This Row],[prefix]],Table13[[#This Row],[Past zero L]],Table13[[#This Row],[Past Zero R]],Table13[[#This Row],[Is Zero]])</f>
        <v>0</v>
      </c>
    </row>
    <row r="4280" spans="1:11" ht="16" x14ac:dyDescent="0.2">
      <c r="A4280" s="1" t="s">
        <v>71</v>
      </c>
      <c r="B4280" t="str">
        <f>LEFT(Table13[[#This Row],[Input]],1)</f>
        <v>R</v>
      </c>
      <c r="C4280">
        <f>_xlfn.LET(_xlpm.steps,SUBSTITUTE(Table13[[#This Row],[Input]],Table13[[#This Row],[Direction]],""),VALUE(IF(LEN(_xlpm.steps)&gt;2,RIGHT(_xlpm.steps,2),_xlpm.steps)))</f>
        <v>23</v>
      </c>
      <c r="D4280">
        <f>_xlfn.LET(_xlpm.steps,SUBSTITUTE(Table13[[#This Row],[Input]],Table13[[#This Row],[Direction]],""),VALUE(IF(LEN(_xlpm.steps)&gt;2,LEFT(_xlpm.steps,LEN(_xlpm.steps)-2),0)))</f>
        <v>0</v>
      </c>
      <c r="E4280">
        <f>_xlfn.LET(_xlpm.dir,Table13[[#This Row],[Direction]],
IF(_xlpm.dir="L",
    IF(G4279-Table13[[#This Row],[Steps]]&lt;0,100+(G4279-Table13[[#This Row],[Steps]]),G4279-Table13[[#This Row],[Steps]]),
))</f>
        <v>0</v>
      </c>
      <c r="F4280">
        <f>_xlfn.LET(_xlpm.dir,Table13[[#This Row],[Direction]],
IF(_xlpm.dir="R",
    IF(G4279+Table13[[#This Row],[Steps]]&gt;99,(G4279+Table13[[#This Row],[Steps]])-100,G4279+Table13[[#This Row],[Steps]]),
))</f>
        <v>0</v>
      </c>
      <c r="G4280">
        <f>IF(Table13[[#This Row],[New Pos L]]&lt;&gt;0,Table13[[#This Row],[New Pos L]],Table13[[#This Row],[New Pos R]])</f>
        <v>0</v>
      </c>
      <c r="H4280">
        <f>IF(AND(Table13[[#This Row],[Direction]]="L",Table13[[#This Row],[Steps]]&gt;G4279,G4279&lt;&gt;0),1,0)</f>
        <v>0</v>
      </c>
      <c r="I4280">
        <f>IF(AND(Table13[[#This Row],[Direction]]="R",(G4279+Table13[[#This Row],[Steps]])&gt;100),1,0)</f>
        <v>0</v>
      </c>
      <c r="J4280">
        <f>IF(Table13[[#This Row],[POS]]=0,1,0)</f>
        <v>1</v>
      </c>
      <c r="K4280">
        <f>SUM(Table13[[#This Row],[prefix]],Table13[[#This Row],[Past zero L]],Table13[[#This Row],[Past Zero R]],Table13[[#This Row],[Is Zero]])</f>
        <v>1</v>
      </c>
    </row>
    <row r="4281" spans="1:11" ht="16" x14ac:dyDescent="0.2">
      <c r="A4281" s="1" t="s">
        <v>33</v>
      </c>
      <c r="B4281" t="str">
        <f>LEFT(Table13[[#This Row],[Input]],1)</f>
        <v>R</v>
      </c>
      <c r="C4281">
        <f>_xlfn.LET(_xlpm.steps,SUBSTITUTE(Table13[[#This Row],[Input]],Table13[[#This Row],[Direction]],""),VALUE(IF(LEN(_xlpm.steps)&gt;2,RIGHT(_xlpm.steps,2),_xlpm.steps)))</f>
        <v>22</v>
      </c>
      <c r="D4281">
        <f>_xlfn.LET(_xlpm.steps,SUBSTITUTE(Table13[[#This Row],[Input]],Table13[[#This Row],[Direction]],""),VALUE(IF(LEN(_xlpm.steps)&gt;2,LEFT(_xlpm.steps,LEN(_xlpm.steps)-2),0)))</f>
        <v>0</v>
      </c>
      <c r="E4281">
        <f>_xlfn.LET(_xlpm.dir,Table13[[#This Row],[Direction]],
IF(_xlpm.dir="L",
    IF(G4280-Table13[[#This Row],[Steps]]&lt;0,100+(G4280-Table13[[#This Row],[Steps]]),G4280-Table13[[#This Row],[Steps]]),
))</f>
        <v>0</v>
      </c>
      <c r="F4281">
        <f>_xlfn.LET(_xlpm.dir,Table13[[#This Row],[Direction]],
IF(_xlpm.dir="R",
    IF(G4280+Table13[[#This Row],[Steps]]&gt;99,(G4280+Table13[[#This Row],[Steps]])-100,G4280+Table13[[#This Row],[Steps]]),
))</f>
        <v>22</v>
      </c>
      <c r="G4281">
        <f>IF(Table13[[#This Row],[New Pos L]]&lt;&gt;0,Table13[[#This Row],[New Pos L]],Table13[[#This Row],[New Pos R]])</f>
        <v>22</v>
      </c>
      <c r="H4281">
        <f>IF(AND(Table13[[#This Row],[Direction]]="L",Table13[[#This Row],[Steps]]&gt;G4280,G4280&lt;&gt;0),1,0)</f>
        <v>0</v>
      </c>
      <c r="I4281">
        <f>IF(AND(Table13[[#This Row],[Direction]]="R",(G4280+Table13[[#This Row],[Steps]])&gt;100),1,0)</f>
        <v>0</v>
      </c>
      <c r="J4281">
        <f>IF(Table13[[#This Row],[POS]]=0,1,0)</f>
        <v>0</v>
      </c>
      <c r="K4281">
        <f>SUM(Table13[[#This Row],[prefix]],Table13[[#This Row],[Past zero L]],Table13[[#This Row],[Past Zero R]],Table13[[#This Row],[Is Zero]])</f>
        <v>0</v>
      </c>
    </row>
    <row r="4282" spans="1:11" ht="16" x14ac:dyDescent="0.2">
      <c r="A4282" s="1" t="s">
        <v>139</v>
      </c>
      <c r="B4282" t="str">
        <f>LEFT(Table13[[#This Row],[Input]],1)</f>
        <v>R</v>
      </c>
      <c r="C4282">
        <f>_xlfn.LET(_xlpm.steps,SUBSTITUTE(Table13[[#This Row],[Input]],Table13[[#This Row],[Direction]],""),VALUE(IF(LEN(_xlpm.steps)&gt;2,RIGHT(_xlpm.steps,2),_xlpm.steps)))</f>
        <v>38</v>
      </c>
      <c r="D4282">
        <f>_xlfn.LET(_xlpm.steps,SUBSTITUTE(Table13[[#This Row],[Input]],Table13[[#This Row],[Direction]],""),VALUE(IF(LEN(_xlpm.steps)&gt;2,LEFT(_xlpm.steps,LEN(_xlpm.steps)-2),0)))</f>
        <v>0</v>
      </c>
      <c r="E4282">
        <f>_xlfn.LET(_xlpm.dir,Table13[[#This Row],[Direction]],
IF(_xlpm.dir="L",
    IF(G4281-Table13[[#This Row],[Steps]]&lt;0,100+(G4281-Table13[[#This Row],[Steps]]),G4281-Table13[[#This Row],[Steps]]),
))</f>
        <v>0</v>
      </c>
      <c r="F4282">
        <f>_xlfn.LET(_xlpm.dir,Table13[[#This Row],[Direction]],
IF(_xlpm.dir="R",
    IF(G4281+Table13[[#This Row],[Steps]]&gt;99,(G4281+Table13[[#This Row],[Steps]])-100,G4281+Table13[[#This Row],[Steps]]),
))</f>
        <v>60</v>
      </c>
      <c r="G4282">
        <f>IF(Table13[[#This Row],[New Pos L]]&lt;&gt;0,Table13[[#This Row],[New Pos L]],Table13[[#This Row],[New Pos R]])</f>
        <v>60</v>
      </c>
      <c r="H4282">
        <f>IF(AND(Table13[[#This Row],[Direction]]="L",Table13[[#This Row],[Steps]]&gt;G4281,G4281&lt;&gt;0),1,0)</f>
        <v>0</v>
      </c>
      <c r="I4282">
        <f>IF(AND(Table13[[#This Row],[Direction]]="R",(G4281+Table13[[#This Row],[Steps]])&gt;100),1,0)</f>
        <v>0</v>
      </c>
      <c r="J4282">
        <f>IF(Table13[[#This Row],[POS]]=0,1,0)</f>
        <v>0</v>
      </c>
      <c r="K4282">
        <f>SUM(Table13[[#This Row],[prefix]],Table13[[#This Row],[Past zero L]],Table13[[#This Row],[Past Zero R]],Table13[[#This Row],[Is Zero]])</f>
        <v>0</v>
      </c>
    </row>
    <row r="4283" spans="1:11" ht="16" x14ac:dyDescent="0.2">
      <c r="A4283" s="1" t="s">
        <v>52</v>
      </c>
      <c r="B4283" t="str">
        <f>LEFT(Table13[[#This Row],[Input]],1)</f>
        <v>R</v>
      </c>
      <c r="C4283">
        <f>_xlfn.LET(_xlpm.steps,SUBSTITUTE(Table13[[#This Row],[Input]],Table13[[#This Row],[Direction]],""),VALUE(IF(LEN(_xlpm.steps)&gt;2,RIGHT(_xlpm.steps,2),_xlpm.steps)))</f>
        <v>11</v>
      </c>
      <c r="D4283">
        <f>_xlfn.LET(_xlpm.steps,SUBSTITUTE(Table13[[#This Row],[Input]],Table13[[#This Row],[Direction]],""),VALUE(IF(LEN(_xlpm.steps)&gt;2,LEFT(_xlpm.steps,LEN(_xlpm.steps)-2),0)))</f>
        <v>0</v>
      </c>
      <c r="E4283">
        <f>_xlfn.LET(_xlpm.dir,Table13[[#This Row],[Direction]],
IF(_xlpm.dir="L",
    IF(G4282-Table13[[#This Row],[Steps]]&lt;0,100+(G4282-Table13[[#This Row],[Steps]]),G4282-Table13[[#This Row],[Steps]]),
))</f>
        <v>0</v>
      </c>
      <c r="F4283">
        <f>_xlfn.LET(_xlpm.dir,Table13[[#This Row],[Direction]],
IF(_xlpm.dir="R",
    IF(G4282+Table13[[#This Row],[Steps]]&gt;99,(G4282+Table13[[#This Row],[Steps]])-100,G4282+Table13[[#This Row],[Steps]]),
))</f>
        <v>71</v>
      </c>
      <c r="G4283">
        <f>IF(Table13[[#This Row],[New Pos L]]&lt;&gt;0,Table13[[#This Row],[New Pos L]],Table13[[#This Row],[New Pos R]])</f>
        <v>71</v>
      </c>
      <c r="H4283">
        <f>IF(AND(Table13[[#This Row],[Direction]]="L",Table13[[#This Row],[Steps]]&gt;G4282,G4282&lt;&gt;0),1,0)</f>
        <v>0</v>
      </c>
      <c r="I4283">
        <f>IF(AND(Table13[[#This Row],[Direction]]="R",(G4282+Table13[[#This Row],[Steps]])&gt;100),1,0)</f>
        <v>0</v>
      </c>
      <c r="J4283">
        <f>IF(Table13[[#This Row],[POS]]=0,1,0)</f>
        <v>0</v>
      </c>
      <c r="K4283">
        <f>SUM(Table13[[#This Row],[prefix]],Table13[[#This Row],[Past zero L]],Table13[[#This Row],[Past Zero R]],Table13[[#This Row],[Is Zero]])</f>
        <v>0</v>
      </c>
    </row>
    <row r="4284" spans="1:11" ht="16" x14ac:dyDescent="0.2">
      <c r="A4284" s="1" t="s">
        <v>130</v>
      </c>
      <c r="B4284" t="str">
        <f>LEFT(Table13[[#This Row],[Input]],1)</f>
        <v>L</v>
      </c>
      <c r="C4284">
        <f>_xlfn.LET(_xlpm.steps,SUBSTITUTE(Table13[[#This Row],[Input]],Table13[[#This Row],[Direction]],""),VALUE(IF(LEN(_xlpm.steps)&gt;2,RIGHT(_xlpm.steps,2),_xlpm.steps)))</f>
        <v>50</v>
      </c>
      <c r="D4284">
        <f>_xlfn.LET(_xlpm.steps,SUBSTITUTE(Table13[[#This Row],[Input]],Table13[[#This Row],[Direction]],""),VALUE(IF(LEN(_xlpm.steps)&gt;2,LEFT(_xlpm.steps,LEN(_xlpm.steps)-2),0)))</f>
        <v>3</v>
      </c>
      <c r="E4284">
        <f>_xlfn.LET(_xlpm.dir,Table13[[#This Row],[Direction]],
IF(_xlpm.dir="L",
    IF(G4283-Table13[[#This Row],[Steps]]&lt;0,100+(G4283-Table13[[#This Row],[Steps]]),G4283-Table13[[#This Row],[Steps]]),
))</f>
        <v>21</v>
      </c>
      <c r="F4284">
        <f>_xlfn.LET(_xlpm.dir,Table13[[#This Row],[Direction]],
IF(_xlpm.dir="R",
    IF(G4283+Table13[[#This Row],[Steps]]&gt;99,(G4283+Table13[[#This Row],[Steps]])-100,G4283+Table13[[#This Row],[Steps]]),
))</f>
        <v>0</v>
      </c>
      <c r="G4284">
        <f>IF(Table13[[#This Row],[New Pos L]]&lt;&gt;0,Table13[[#This Row],[New Pos L]],Table13[[#This Row],[New Pos R]])</f>
        <v>21</v>
      </c>
      <c r="H4284">
        <f>IF(AND(Table13[[#This Row],[Direction]]="L",Table13[[#This Row],[Steps]]&gt;G4283,G4283&lt;&gt;0),1,0)</f>
        <v>0</v>
      </c>
      <c r="I4284">
        <f>IF(AND(Table13[[#This Row],[Direction]]="R",(G4283+Table13[[#This Row],[Steps]])&gt;100),1,0)</f>
        <v>0</v>
      </c>
      <c r="J4284">
        <f>IF(Table13[[#This Row],[POS]]=0,1,0)</f>
        <v>0</v>
      </c>
      <c r="K4284">
        <f>SUM(Table13[[#This Row],[prefix]],Table13[[#This Row],[Past zero L]],Table13[[#This Row],[Past Zero R]],Table13[[#This Row],[Is Zero]])</f>
        <v>3</v>
      </c>
    </row>
    <row r="4285" spans="1:11" ht="16" x14ac:dyDescent="0.2">
      <c r="A4285" s="1" t="s">
        <v>28</v>
      </c>
      <c r="B4285" t="str">
        <f>LEFT(Table13[[#This Row],[Input]],1)</f>
        <v>R</v>
      </c>
      <c r="C4285">
        <f>_xlfn.LET(_xlpm.steps,SUBSTITUTE(Table13[[#This Row],[Input]],Table13[[#This Row],[Direction]],""),VALUE(IF(LEN(_xlpm.steps)&gt;2,RIGHT(_xlpm.steps,2),_xlpm.steps)))</f>
        <v>30</v>
      </c>
      <c r="D4285">
        <f>_xlfn.LET(_xlpm.steps,SUBSTITUTE(Table13[[#This Row],[Input]],Table13[[#This Row],[Direction]],""),VALUE(IF(LEN(_xlpm.steps)&gt;2,LEFT(_xlpm.steps,LEN(_xlpm.steps)-2),0)))</f>
        <v>0</v>
      </c>
      <c r="E4285">
        <f>_xlfn.LET(_xlpm.dir,Table13[[#This Row],[Direction]],
IF(_xlpm.dir="L",
    IF(G4284-Table13[[#This Row],[Steps]]&lt;0,100+(G4284-Table13[[#This Row],[Steps]]),G4284-Table13[[#This Row],[Steps]]),
))</f>
        <v>0</v>
      </c>
      <c r="F4285">
        <f>_xlfn.LET(_xlpm.dir,Table13[[#This Row],[Direction]],
IF(_xlpm.dir="R",
    IF(G4284+Table13[[#This Row],[Steps]]&gt;99,(G4284+Table13[[#This Row],[Steps]])-100,G4284+Table13[[#This Row],[Steps]]),
))</f>
        <v>51</v>
      </c>
      <c r="G4285">
        <f>IF(Table13[[#This Row],[New Pos L]]&lt;&gt;0,Table13[[#This Row],[New Pos L]],Table13[[#This Row],[New Pos R]])</f>
        <v>51</v>
      </c>
      <c r="H4285">
        <f>IF(AND(Table13[[#This Row],[Direction]]="L",Table13[[#This Row],[Steps]]&gt;G4284,G4284&lt;&gt;0),1,0)</f>
        <v>0</v>
      </c>
      <c r="I4285">
        <f>IF(AND(Table13[[#This Row],[Direction]]="R",(G4284+Table13[[#This Row],[Steps]])&gt;100),1,0)</f>
        <v>0</v>
      </c>
      <c r="J4285">
        <f>IF(Table13[[#This Row],[POS]]=0,1,0)</f>
        <v>0</v>
      </c>
      <c r="K4285">
        <f>SUM(Table13[[#This Row],[prefix]],Table13[[#This Row],[Past zero L]],Table13[[#This Row],[Past Zero R]],Table13[[#This Row],[Is Zero]])</f>
        <v>0</v>
      </c>
    </row>
    <row r="4286" spans="1:11" ht="16" x14ac:dyDescent="0.2">
      <c r="A4286" s="1" t="s">
        <v>132</v>
      </c>
      <c r="B4286" t="str">
        <f>LEFT(Table13[[#This Row],[Input]],1)</f>
        <v>L</v>
      </c>
      <c r="C4286">
        <f>_xlfn.LET(_xlpm.steps,SUBSTITUTE(Table13[[#This Row],[Input]],Table13[[#This Row],[Direction]],""),VALUE(IF(LEN(_xlpm.steps)&gt;2,RIGHT(_xlpm.steps,2),_xlpm.steps)))</f>
        <v>51</v>
      </c>
      <c r="D4286">
        <f>_xlfn.LET(_xlpm.steps,SUBSTITUTE(Table13[[#This Row],[Input]],Table13[[#This Row],[Direction]],""),VALUE(IF(LEN(_xlpm.steps)&gt;2,LEFT(_xlpm.steps,LEN(_xlpm.steps)-2),0)))</f>
        <v>0</v>
      </c>
      <c r="E4286">
        <f>_xlfn.LET(_xlpm.dir,Table13[[#This Row],[Direction]],
IF(_xlpm.dir="L",
    IF(G4285-Table13[[#This Row],[Steps]]&lt;0,100+(G4285-Table13[[#This Row],[Steps]]),G4285-Table13[[#This Row],[Steps]]),
))</f>
        <v>0</v>
      </c>
      <c r="F4286">
        <f>_xlfn.LET(_xlpm.dir,Table13[[#This Row],[Direction]],
IF(_xlpm.dir="R",
    IF(G4285+Table13[[#This Row],[Steps]]&gt;99,(G4285+Table13[[#This Row],[Steps]])-100,G4285+Table13[[#This Row],[Steps]]),
))</f>
        <v>0</v>
      </c>
      <c r="G4286">
        <f>IF(Table13[[#This Row],[New Pos L]]&lt;&gt;0,Table13[[#This Row],[New Pos L]],Table13[[#This Row],[New Pos R]])</f>
        <v>0</v>
      </c>
      <c r="H4286">
        <f>IF(AND(Table13[[#This Row],[Direction]]="L",Table13[[#This Row],[Steps]]&gt;G4285,G4285&lt;&gt;0),1,0)</f>
        <v>0</v>
      </c>
      <c r="I4286">
        <f>IF(AND(Table13[[#This Row],[Direction]]="R",(G4285+Table13[[#This Row],[Steps]])&gt;100),1,0)</f>
        <v>0</v>
      </c>
      <c r="J4286">
        <f>IF(Table13[[#This Row],[POS]]=0,1,0)</f>
        <v>1</v>
      </c>
      <c r="K4286">
        <f>SUM(Table13[[#This Row],[prefix]],Table13[[#This Row],[Past zero L]],Table13[[#This Row],[Past Zero R]],Table13[[#This Row],[Is Zero]])</f>
        <v>1</v>
      </c>
    </row>
    <row r="4287" spans="1:11" ht="16" x14ac:dyDescent="0.2">
      <c r="A4287" s="1" t="s">
        <v>67</v>
      </c>
      <c r="B4287" t="str">
        <f>LEFT(Table13[[#This Row],[Input]],1)</f>
        <v>R</v>
      </c>
      <c r="C4287">
        <f>_xlfn.LET(_xlpm.steps,SUBSTITUTE(Table13[[#This Row],[Input]],Table13[[#This Row],[Direction]],""),VALUE(IF(LEN(_xlpm.steps)&gt;2,RIGHT(_xlpm.steps,2),_xlpm.steps)))</f>
        <v>33</v>
      </c>
      <c r="D4287">
        <f>_xlfn.LET(_xlpm.steps,SUBSTITUTE(Table13[[#This Row],[Input]],Table13[[#This Row],[Direction]],""),VALUE(IF(LEN(_xlpm.steps)&gt;2,LEFT(_xlpm.steps,LEN(_xlpm.steps)-2),0)))</f>
        <v>0</v>
      </c>
      <c r="E4287">
        <f>_xlfn.LET(_xlpm.dir,Table13[[#This Row],[Direction]],
IF(_xlpm.dir="L",
    IF(G4286-Table13[[#This Row],[Steps]]&lt;0,100+(G4286-Table13[[#This Row],[Steps]]),G4286-Table13[[#This Row],[Steps]]),
))</f>
        <v>0</v>
      </c>
      <c r="F4287">
        <f>_xlfn.LET(_xlpm.dir,Table13[[#This Row],[Direction]],
IF(_xlpm.dir="R",
    IF(G4286+Table13[[#This Row],[Steps]]&gt;99,(G4286+Table13[[#This Row],[Steps]])-100,G4286+Table13[[#This Row],[Steps]]),
))</f>
        <v>33</v>
      </c>
      <c r="G4287">
        <f>IF(Table13[[#This Row],[New Pos L]]&lt;&gt;0,Table13[[#This Row],[New Pos L]],Table13[[#This Row],[New Pos R]])</f>
        <v>33</v>
      </c>
      <c r="H4287">
        <f>IF(AND(Table13[[#This Row],[Direction]]="L",Table13[[#This Row],[Steps]]&gt;G4286,G4286&lt;&gt;0),1,0)</f>
        <v>0</v>
      </c>
      <c r="I4287">
        <f>IF(AND(Table13[[#This Row],[Direction]]="R",(G4286+Table13[[#This Row],[Steps]])&gt;100),1,0)</f>
        <v>0</v>
      </c>
      <c r="J4287">
        <f>IF(Table13[[#This Row],[POS]]=0,1,0)</f>
        <v>0</v>
      </c>
      <c r="K4287">
        <f>SUM(Table13[[#This Row],[prefix]],Table13[[#This Row],[Past zero L]],Table13[[#This Row],[Past Zero R]],Table13[[#This Row],[Is Zero]])</f>
        <v>0</v>
      </c>
    </row>
    <row r="4288" spans="1:11" ht="16" x14ac:dyDescent="0.2">
      <c r="A4288" s="1" t="s">
        <v>184</v>
      </c>
      <c r="B4288" t="str">
        <f>LEFT(Table13[[#This Row],[Input]],1)</f>
        <v>R</v>
      </c>
      <c r="C4288">
        <f>_xlfn.LET(_xlpm.steps,SUBSTITUTE(Table13[[#This Row],[Input]],Table13[[#This Row],[Direction]],""),VALUE(IF(LEN(_xlpm.steps)&gt;2,RIGHT(_xlpm.steps,2),_xlpm.steps)))</f>
        <v>28</v>
      </c>
      <c r="D4288">
        <f>_xlfn.LET(_xlpm.steps,SUBSTITUTE(Table13[[#This Row],[Input]],Table13[[#This Row],[Direction]],""),VALUE(IF(LEN(_xlpm.steps)&gt;2,LEFT(_xlpm.steps,LEN(_xlpm.steps)-2),0)))</f>
        <v>7</v>
      </c>
      <c r="E4288">
        <f>_xlfn.LET(_xlpm.dir,Table13[[#This Row],[Direction]],
IF(_xlpm.dir="L",
    IF(G4287-Table13[[#This Row],[Steps]]&lt;0,100+(G4287-Table13[[#This Row],[Steps]]),G4287-Table13[[#This Row],[Steps]]),
))</f>
        <v>0</v>
      </c>
      <c r="F4288">
        <f>_xlfn.LET(_xlpm.dir,Table13[[#This Row],[Direction]],
IF(_xlpm.dir="R",
    IF(G4287+Table13[[#This Row],[Steps]]&gt;99,(G4287+Table13[[#This Row],[Steps]])-100,G4287+Table13[[#This Row],[Steps]]),
))</f>
        <v>61</v>
      </c>
      <c r="G4288">
        <f>IF(Table13[[#This Row],[New Pos L]]&lt;&gt;0,Table13[[#This Row],[New Pos L]],Table13[[#This Row],[New Pos R]])</f>
        <v>61</v>
      </c>
      <c r="H4288">
        <f>IF(AND(Table13[[#This Row],[Direction]]="L",Table13[[#This Row],[Steps]]&gt;G4287,G4287&lt;&gt;0),1,0)</f>
        <v>0</v>
      </c>
      <c r="I4288">
        <f>IF(AND(Table13[[#This Row],[Direction]]="R",(G4287+Table13[[#This Row],[Steps]])&gt;100),1,0)</f>
        <v>0</v>
      </c>
      <c r="J4288">
        <f>IF(Table13[[#This Row],[POS]]=0,1,0)</f>
        <v>0</v>
      </c>
      <c r="K4288">
        <f>SUM(Table13[[#This Row],[prefix]],Table13[[#This Row],[Past zero L]],Table13[[#This Row],[Past Zero R]],Table13[[#This Row],[Is Zero]])</f>
        <v>7</v>
      </c>
    </row>
    <row r="4289" spans="1:11" ht="16" x14ac:dyDescent="0.2">
      <c r="A4289" s="1" t="s">
        <v>102</v>
      </c>
      <c r="B4289" t="str">
        <f>LEFT(Table13[[#This Row],[Input]],1)</f>
        <v>R</v>
      </c>
      <c r="C4289">
        <f>_xlfn.LET(_xlpm.steps,SUBSTITUTE(Table13[[#This Row],[Input]],Table13[[#This Row],[Direction]],""),VALUE(IF(LEN(_xlpm.steps)&gt;2,RIGHT(_xlpm.steps,2),_xlpm.steps)))</f>
        <v>39</v>
      </c>
      <c r="D4289">
        <f>_xlfn.LET(_xlpm.steps,SUBSTITUTE(Table13[[#This Row],[Input]],Table13[[#This Row],[Direction]],""),VALUE(IF(LEN(_xlpm.steps)&gt;2,LEFT(_xlpm.steps,LEN(_xlpm.steps)-2),0)))</f>
        <v>0</v>
      </c>
      <c r="E4289">
        <f>_xlfn.LET(_xlpm.dir,Table13[[#This Row],[Direction]],
IF(_xlpm.dir="L",
    IF(G4288-Table13[[#This Row],[Steps]]&lt;0,100+(G4288-Table13[[#This Row],[Steps]]),G4288-Table13[[#This Row],[Steps]]),
))</f>
        <v>0</v>
      </c>
      <c r="F4289">
        <f>_xlfn.LET(_xlpm.dir,Table13[[#This Row],[Direction]],
IF(_xlpm.dir="R",
    IF(G4288+Table13[[#This Row],[Steps]]&gt;99,(G4288+Table13[[#This Row],[Steps]])-100,G4288+Table13[[#This Row],[Steps]]),
))</f>
        <v>0</v>
      </c>
      <c r="G4289">
        <f>IF(Table13[[#This Row],[New Pos L]]&lt;&gt;0,Table13[[#This Row],[New Pos L]],Table13[[#This Row],[New Pos R]])</f>
        <v>0</v>
      </c>
      <c r="H4289">
        <f>IF(AND(Table13[[#This Row],[Direction]]="L",Table13[[#This Row],[Steps]]&gt;G4288,G4288&lt;&gt;0),1,0)</f>
        <v>0</v>
      </c>
      <c r="I4289">
        <f>IF(AND(Table13[[#This Row],[Direction]]="R",(G4288+Table13[[#This Row],[Steps]])&gt;100),1,0)</f>
        <v>0</v>
      </c>
      <c r="J4289">
        <f>IF(Table13[[#This Row],[POS]]=0,1,0)</f>
        <v>1</v>
      </c>
      <c r="K4289">
        <f>SUM(Table13[[#This Row],[prefix]],Table13[[#This Row],[Past zero L]],Table13[[#This Row],[Past Zero R]],Table13[[#This Row],[Is Zero]])</f>
        <v>1</v>
      </c>
    </row>
    <row r="4290" spans="1:11" ht="16" x14ac:dyDescent="0.2">
      <c r="A4290" s="1" t="s">
        <v>282</v>
      </c>
      <c r="B4290" t="str">
        <f>LEFT(Table13[[#This Row],[Input]],1)</f>
        <v>L</v>
      </c>
      <c r="C4290">
        <f>_xlfn.LET(_xlpm.steps,SUBSTITUTE(Table13[[#This Row],[Input]],Table13[[#This Row],[Direction]],""),VALUE(IF(LEN(_xlpm.steps)&gt;2,RIGHT(_xlpm.steps,2),_xlpm.steps)))</f>
        <v>56</v>
      </c>
      <c r="D4290">
        <f>_xlfn.LET(_xlpm.steps,SUBSTITUTE(Table13[[#This Row],[Input]],Table13[[#This Row],[Direction]],""),VALUE(IF(LEN(_xlpm.steps)&gt;2,LEFT(_xlpm.steps,LEN(_xlpm.steps)-2),0)))</f>
        <v>8</v>
      </c>
      <c r="E4290">
        <f>_xlfn.LET(_xlpm.dir,Table13[[#This Row],[Direction]],
IF(_xlpm.dir="L",
    IF(G4289-Table13[[#This Row],[Steps]]&lt;0,100+(G4289-Table13[[#This Row],[Steps]]),G4289-Table13[[#This Row],[Steps]]),
))</f>
        <v>44</v>
      </c>
      <c r="F4290">
        <f>_xlfn.LET(_xlpm.dir,Table13[[#This Row],[Direction]],
IF(_xlpm.dir="R",
    IF(G4289+Table13[[#This Row],[Steps]]&gt;99,(G4289+Table13[[#This Row],[Steps]])-100,G4289+Table13[[#This Row],[Steps]]),
))</f>
        <v>0</v>
      </c>
      <c r="G4290">
        <f>IF(Table13[[#This Row],[New Pos L]]&lt;&gt;0,Table13[[#This Row],[New Pos L]],Table13[[#This Row],[New Pos R]])</f>
        <v>44</v>
      </c>
      <c r="H4290">
        <f>IF(AND(Table13[[#This Row],[Direction]]="L",Table13[[#This Row],[Steps]]&gt;G4289,G4289&lt;&gt;0),1,0)</f>
        <v>0</v>
      </c>
      <c r="I4290">
        <f>IF(AND(Table13[[#This Row],[Direction]]="R",(G4289+Table13[[#This Row],[Steps]])&gt;100),1,0)</f>
        <v>0</v>
      </c>
      <c r="J4290">
        <f>IF(Table13[[#This Row],[POS]]=0,1,0)</f>
        <v>0</v>
      </c>
      <c r="K4290">
        <f>SUM(Table13[[#This Row],[prefix]],Table13[[#This Row],[Past zero L]],Table13[[#This Row],[Past Zero R]],Table13[[#This Row],[Is Zero]])</f>
        <v>8</v>
      </c>
    </row>
    <row r="4291" spans="1:11" ht="16" x14ac:dyDescent="0.2">
      <c r="A4291" s="1" t="s">
        <v>857</v>
      </c>
      <c r="B4291" t="str">
        <f>LEFT(Table13[[#This Row],[Input]],1)</f>
        <v>R</v>
      </c>
      <c r="C4291">
        <f>_xlfn.LET(_xlpm.steps,SUBSTITUTE(Table13[[#This Row],[Input]],Table13[[#This Row],[Direction]],""),VALUE(IF(LEN(_xlpm.steps)&gt;2,RIGHT(_xlpm.steps,2),_xlpm.steps)))</f>
        <v>56</v>
      </c>
      <c r="D4291">
        <f>_xlfn.LET(_xlpm.steps,SUBSTITUTE(Table13[[#This Row],[Input]],Table13[[#This Row],[Direction]],""),VALUE(IF(LEN(_xlpm.steps)&gt;2,LEFT(_xlpm.steps,LEN(_xlpm.steps)-2),0)))</f>
        <v>6</v>
      </c>
      <c r="E4291">
        <f>_xlfn.LET(_xlpm.dir,Table13[[#This Row],[Direction]],
IF(_xlpm.dir="L",
    IF(G4290-Table13[[#This Row],[Steps]]&lt;0,100+(G4290-Table13[[#This Row],[Steps]]),G4290-Table13[[#This Row],[Steps]]),
))</f>
        <v>0</v>
      </c>
      <c r="F4291">
        <f>_xlfn.LET(_xlpm.dir,Table13[[#This Row],[Direction]],
IF(_xlpm.dir="R",
    IF(G4290+Table13[[#This Row],[Steps]]&gt;99,(G4290+Table13[[#This Row],[Steps]])-100,G4290+Table13[[#This Row],[Steps]]),
))</f>
        <v>0</v>
      </c>
      <c r="G4291">
        <f>IF(Table13[[#This Row],[New Pos L]]&lt;&gt;0,Table13[[#This Row],[New Pos L]],Table13[[#This Row],[New Pos R]])</f>
        <v>0</v>
      </c>
      <c r="H4291">
        <f>IF(AND(Table13[[#This Row],[Direction]]="L",Table13[[#This Row],[Steps]]&gt;G4290,G4290&lt;&gt;0),1,0)</f>
        <v>0</v>
      </c>
      <c r="I4291">
        <f>IF(AND(Table13[[#This Row],[Direction]]="R",(G4290+Table13[[#This Row],[Steps]])&gt;100),1,0)</f>
        <v>0</v>
      </c>
      <c r="J4291">
        <f>IF(Table13[[#This Row],[POS]]=0,1,0)</f>
        <v>1</v>
      </c>
      <c r="K4291">
        <f>SUM(Table13[[#This Row],[prefix]],Table13[[#This Row],[Past zero L]],Table13[[#This Row],[Past Zero R]],Table13[[#This Row],[Is Zero]])</f>
        <v>7</v>
      </c>
    </row>
    <row r="4292" spans="1:11" ht="16" x14ac:dyDescent="0.2">
      <c r="A4292" s="1" t="s">
        <v>151</v>
      </c>
      <c r="B4292" t="str">
        <f>LEFT(Table13[[#This Row],[Input]],1)</f>
        <v>L</v>
      </c>
      <c r="C4292">
        <f>_xlfn.LET(_xlpm.steps,SUBSTITUTE(Table13[[#This Row],[Input]],Table13[[#This Row],[Direction]],""),VALUE(IF(LEN(_xlpm.steps)&gt;2,RIGHT(_xlpm.steps,2),_xlpm.steps)))</f>
        <v>74</v>
      </c>
      <c r="D4292">
        <f>_xlfn.LET(_xlpm.steps,SUBSTITUTE(Table13[[#This Row],[Input]],Table13[[#This Row],[Direction]],""),VALUE(IF(LEN(_xlpm.steps)&gt;2,LEFT(_xlpm.steps,LEN(_xlpm.steps)-2),0)))</f>
        <v>0</v>
      </c>
      <c r="E4292">
        <f>_xlfn.LET(_xlpm.dir,Table13[[#This Row],[Direction]],
IF(_xlpm.dir="L",
    IF(G4291-Table13[[#This Row],[Steps]]&lt;0,100+(G4291-Table13[[#This Row],[Steps]]),G4291-Table13[[#This Row],[Steps]]),
))</f>
        <v>26</v>
      </c>
      <c r="F4292">
        <f>_xlfn.LET(_xlpm.dir,Table13[[#This Row],[Direction]],
IF(_xlpm.dir="R",
    IF(G4291+Table13[[#This Row],[Steps]]&gt;99,(G4291+Table13[[#This Row],[Steps]])-100,G4291+Table13[[#This Row],[Steps]]),
))</f>
        <v>0</v>
      </c>
      <c r="G4292">
        <f>IF(Table13[[#This Row],[New Pos L]]&lt;&gt;0,Table13[[#This Row],[New Pos L]],Table13[[#This Row],[New Pos R]])</f>
        <v>26</v>
      </c>
      <c r="H4292">
        <f>IF(AND(Table13[[#This Row],[Direction]]="L",Table13[[#This Row],[Steps]]&gt;G4291,G4291&lt;&gt;0),1,0)</f>
        <v>0</v>
      </c>
      <c r="I4292">
        <f>IF(AND(Table13[[#This Row],[Direction]]="R",(G4291+Table13[[#This Row],[Steps]])&gt;100),1,0)</f>
        <v>0</v>
      </c>
      <c r="J4292">
        <f>IF(Table13[[#This Row],[POS]]=0,1,0)</f>
        <v>0</v>
      </c>
      <c r="K4292">
        <f>SUM(Table13[[#This Row],[prefix]],Table13[[#This Row],[Past zero L]],Table13[[#This Row],[Past Zero R]],Table13[[#This Row],[Is Zero]])</f>
        <v>0</v>
      </c>
    </row>
    <row r="4293" spans="1:11" ht="16" x14ac:dyDescent="0.2">
      <c r="A4293" s="1" t="s">
        <v>812</v>
      </c>
      <c r="B4293" t="str">
        <f>LEFT(Table13[[#This Row],[Input]],1)</f>
        <v>R</v>
      </c>
      <c r="C4293">
        <f>_xlfn.LET(_xlpm.steps,SUBSTITUTE(Table13[[#This Row],[Input]],Table13[[#This Row],[Direction]],""),VALUE(IF(LEN(_xlpm.steps)&gt;2,RIGHT(_xlpm.steps,2),_xlpm.steps)))</f>
        <v>2</v>
      </c>
      <c r="D4293">
        <f>_xlfn.LET(_xlpm.steps,SUBSTITUTE(Table13[[#This Row],[Input]],Table13[[#This Row],[Direction]],""),VALUE(IF(LEN(_xlpm.steps)&gt;2,LEFT(_xlpm.steps,LEN(_xlpm.steps)-2),0)))</f>
        <v>5</v>
      </c>
      <c r="E4293">
        <f>_xlfn.LET(_xlpm.dir,Table13[[#This Row],[Direction]],
IF(_xlpm.dir="L",
    IF(G4292-Table13[[#This Row],[Steps]]&lt;0,100+(G4292-Table13[[#This Row],[Steps]]),G4292-Table13[[#This Row],[Steps]]),
))</f>
        <v>0</v>
      </c>
      <c r="F4293">
        <f>_xlfn.LET(_xlpm.dir,Table13[[#This Row],[Direction]],
IF(_xlpm.dir="R",
    IF(G4292+Table13[[#This Row],[Steps]]&gt;99,(G4292+Table13[[#This Row],[Steps]])-100,G4292+Table13[[#This Row],[Steps]]),
))</f>
        <v>28</v>
      </c>
      <c r="G4293">
        <f>IF(Table13[[#This Row],[New Pos L]]&lt;&gt;0,Table13[[#This Row],[New Pos L]],Table13[[#This Row],[New Pos R]])</f>
        <v>28</v>
      </c>
      <c r="H4293">
        <f>IF(AND(Table13[[#This Row],[Direction]]="L",Table13[[#This Row],[Steps]]&gt;G4292,G4292&lt;&gt;0),1,0)</f>
        <v>0</v>
      </c>
      <c r="I4293">
        <f>IF(AND(Table13[[#This Row],[Direction]]="R",(G4292+Table13[[#This Row],[Steps]])&gt;100),1,0)</f>
        <v>0</v>
      </c>
      <c r="J4293">
        <f>IF(Table13[[#This Row],[POS]]=0,1,0)</f>
        <v>0</v>
      </c>
      <c r="K4293">
        <f>SUM(Table13[[#This Row],[prefix]],Table13[[#This Row],[Past zero L]],Table13[[#This Row],[Past Zero R]],Table13[[#This Row],[Is Zero]])</f>
        <v>5</v>
      </c>
    </row>
    <row r="4294" spans="1:11" ht="16" x14ac:dyDescent="0.2">
      <c r="A4294" s="1" t="s">
        <v>172</v>
      </c>
      <c r="B4294" t="str">
        <f>LEFT(Table13[[#This Row],[Input]],1)</f>
        <v>L</v>
      </c>
      <c r="C4294">
        <f>_xlfn.LET(_xlpm.steps,SUBSTITUTE(Table13[[#This Row],[Input]],Table13[[#This Row],[Direction]],""),VALUE(IF(LEN(_xlpm.steps)&gt;2,RIGHT(_xlpm.steps,2),_xlpm.steps)))</f>
        <v>66</v>
      </c>
      <c r="D4294">
        <f>_xlfn.LET(_xlpm.steps,SUBSTITUTE(Table13[[#This Row],[Input]],Table13[[#This Row],[Direction]],""),VALUE(IF(LEN(_xlpm.steps)&gt;2,LEFT(_xlpm.steps,LEN(_xlpm.steps)-2),0)))</f>
        <v>0</v>
      </c>
      <c r="E4294">
        <f>_xlfn.LET(_xlpm.dir,Table13[[#This Row],[Direction]],
IF(_xlpm.dir="L",
    IF(G4293-Table13[[#This Row],[Steps]]&lt;0,100+(G4293-Table13[[#This Row],[Steps]]),G4293-Table13[[#This Row],[Steps]]),
))</f>
        <v>62</v>
      </c>
      <c r="F4294">
        <f>_xlfn.LET(_xlpm.dir,Table13[[#This Row],[Direction]],
IF(_xlpm.dir="R",
    IF(G4293+Table13[[#This Row],[Steps]]&gt;99,(G4293+Table13[[#This Row],[Steps]])-100,G4293+Table13[[#This Row],[Steps]]),
))</f>
        <v>0</v>
      </c>
      <c r="G4294">
        <f>IF(Table13[[#This Row],[New Pos L]]&lt;&gt;0,Table13[[#This Row],[New Pos L]],Table13[[#This Row],[New Pos R]])</f>
        <v>62</v>
      </c>
      <c r="H4294">
        <f>IF(AND(Table13[[#This Row],[Direction]]="L",Table13[[#This Row],[Steps]]&gt;G4293,G4293&lt;&gt;0),1,0)</f>
        <v>1</v>
      </c>
      <c r="I4294">
        <f>IF(AND(Table13[[#This Row],[Direction]]="R",(G4293+Table13[[#This Row],[Steps]])&gt;100),1,0)</f>
        <v>0</v>
      </c>
      <c r="J4294">
        <f>IF(Table13[[#This Row],[POS]]=0,1,0)</f>
        <v>0</v>
      </c>
      <c r="K4294">
        <f>SUM(Table13[[#This Row],[prefix]],Table13[[#This Row],[Past zero L]],Table13[[#This Row],[Past Zero R]],Table13[[#This Row],[Is Zero]])</f>
        <v>1</v>
      </c>
    </row>
    <row r="4295" spans="1:11" ht="16" x14ac:dyDescent="0.2">
      <c r="A4295" s="1" t="s">
        <v>858</v>
      </c>
      <c r="B4295" t="str">
        <f>LEFT(Table13[[#This Row],[Input]],1)</f>
        <v>L</v>
      </c>
      <c r="C4295">
        <f>_xlfn.LET(_xlpm.steps,SUBSTITUTE(Table13[[#This Row],[Input]],Table13[[#This Row],[Direction]],""),VALUE(IF(LEN(_xlpm.steps)&gt;2,RIGHT(_xlpm.steps,2),_xlpm.steps)))</f>
        <v>62</v>
      </c>
      <c r="D4295">
        <f>_xlfn.LET(_xlpm.steps,SUBSTITUTE(Table13[[#This Row],[Input]],Table13[[#This Row],[Direction]],""),VALUE(IF(LEN(_xlpm.steps)&gt;2,LEFT(_xlpm.steps,LEN(_xlpm.steps)-2),0)))</f>
        <v>2</v>
      </c>
      <c r="E4295">
        <f>_xlfn.LET(_xlpm.dir,Table13[[#This Row],[Direction]],
IF(_xlpm.dir="L",
    IF(G4294-Table13[[#This Row],[Steps]]&lt;0,100+(G4294-Table13[[#This Row],[Steps]]),G4294-Table13[[#This Row],[Steps]]),
))</f>
        <v>0</v>
      </c>
      <c r="F4295">
        <f>_xlfn.LET(_xlpm.dir,Table13[[#This Row],[Direction]],
IF(_xlpm.dir="R",
    IF(G4294+Table13[[#This Row],[Steps]]&gt;99,(G4294+Table13[[#This Row],[Steps]])-100,G4294+Table13[[#This Row],[Steps]]),
))</f>
        <v>0</v>
      </c>
      <c r="G4295">
        <f>IF(Table13[[#This Row],[New Pos L]]&lt;&gt;0,Table13[[#This Row],[New Pos L]],Table13[[#This Row],[New Pos R]])</f>
        <v>0</v>
      </c>
      <c r="H4295">
        <f>IF(AND(Table13[[#This Row],[Direction]]="L",Table13[[#This Row],[Steps]]&gt;G4294,G4294&lt;&gt;0),1,0)</f>
        <v>0</v>
      </c>
      <c r="I4295">
        <f>IF(AND(Table13[[#This Row],[Direction]]="R",(G4294+Table13[[#This Row],[Steps]])&gt;100),1,0)</f>
        <v>0</v>
      </c>
      <c r="J4295">
        <f>IF(Table13[[#This Row],[POS]]=0,1,0)</f>
        <v>1</v>
      </c>
      <c r="K4295">
        <f>SUM(Table13[[#This Row],[prefix]],Table13[[#This Row],[Past zero L]],Table13[[#This Row],[Past Zero R]],Table13[[#This Row],[Is Zero]])</f>
        <v>3</v>
      </c>
    </row>
    <row r="4296" spans="1:11" ht="16" x14ac:dyDescent="0.2">
      <c r="A4296" s="1" t="s">
        <v>293</v>
      </c>
      <c r="B4296" t="str">
        <f>LEFT(Table13[[#This Row],[Input]],1)</f>
        <v>R</v>
      </c>
      <c r="C4296">
        <f>_xlfn.LET(_xlpm.steps,SUBSTITUTE(Table13[[#This Row],[Input]],Table13[[#This Row],[Direction]],""),VALUE(IF(LEN(_xlpm.steps)&gt;2,RIGHT(_xlpm.steps,2),_xlpm.steps)))</f>
        <v>67</v>
      </c>
      <c r="D4296">
        <f>_xlfn.LET(_xlpm.steps,SUBSTITUTE(Table13[[#This Row],[Input]],Table13[[#This Row],[Direction]],""),VALUE(IF(LEN(_xlpm.steps)&gt;2,LEFT(_xlpm.steps,LEN(_xlpm.steps)-2),0)))</f>
        <v>0</v>
      </c>
      <c r="E4296">
        <f>_xlfn.LET(_xlpm.dir,Table13[[#This Row],[Direction]],
IF(_xlpm.dir="L",
    IF(G4295-Table13[[#This Row],[Steps]]&lt;0,100+(G4295-Table13[[#This Row],[Steps]]),G4295-Table13[[#This Row],[Steps]]),
))</f>
        <v>0</v>
      </c>
      <c r="F4296">
        <f>_xlfn.LET(_xlpm.dir,Table13[[#This Row],[Direction]],
IF(_xlpm.dir="R",
    IF(G4295+Table13[[#This Row],[Steps]]&gt;99,(G4295+Table13[[#This Row],[Steps]])-100,G4295+Table13[[#This Row],[Steps]]),
))</f>
        <v>67</v>
      </c>
      <c r="G4296">
        <f>IF(Table13[[#This Row],[New Pos L]]&lt;&gt;0,Table13[[#This Row],[New Pos L]],Table13[[#This Row],[New Pos R]])</f>
        <v>67</v>
      </c>
      <c r="H4296">
        <f>IF(AND(Table13[[#This Row],[Direction]]="L",Table13[[#This Row],[Steps]]&gt;G4295,G4295&lt;&gt;0),1,0)</f>
        <v>0</v>
      </c>
      <c r="I4296">
        <f>IF(AND(Table13[[#This Row],[Direction]]="R",(G4295+Table13[[#This Row],[Steps]])&gt;100),1,0)</f>
        <v>0</v>
      </c>
      <c r="J4296">
        <f>IF(Table13[[#This Row],[POS]]=0,1,0)</f>
        <v>0</v>
      </c>
      <c r="K4296">
        <f>SUM(Table13[[#This Row],[prefix]],Table13[[#This Row],[Past zero L]],Table13[[#This Row],[Past Zero R]],Table13[[#This Row],[Is Zero]])</f>
        <v>0</v>
      </c>
    </row>
    <row r="4297" spans="1:11" ht="16" x14ac:dyDescent="0.2">
      <c r="A4297" s="1" t="s">
        <v>859</v>
      </c>
      <c r="B4297" t="str">
        <f>LEFT(Table13[[#This Row],[Input]],1)</f>
        <v>L</v>
      </c>
      <c r="C4297">
        <f>_xlfn.LET(_xlpm.steps,SUBSTITUTE(Table13[[#This Row],[Input]],Table13[[#This Row],[Direction]],""),VALUE(IF(LEN(_xlpm.steps)&gt;2,RIGHT(_xlpm.steps,2),_xlpm.steps)))</f>
        <v>97</v>
      </c>
      <c r="D4297">
        <f>_xlfn.LET(_xlpm.steps,SUBSTITUTE(Table13[[#This Row],[Input]],Table13[[#This Row],[Direction]],""),VALUE(IF(LEN(_xlpm.steps)&gt;2,LEFT(_xlpm.steps,LEN(_xlpm.steps)-2),0)))</f>
        <v>2</v>
      </c>
      <c r="E4297">
        <f>_xlfn.LET(_xlpm.dir,Table13[[#This Row],[Direction]],
IF(_xlpm.dir="L",
    IF(G4296-Table13[[#This Row],[Steps]]&lt;0,100+(G4296-Table13[[#This Row],[Steps]]),G4296-Table13[[#This Row],[Steps]]),
))</f>
        <v>70</v>
      </c>
      <c r="F4297">
        <f>_xlfn.LET(_xlpm.dir,Table13[[#This Row],[Direction]],
IF(_xlpm.dir="R",
    IF(G4296+Table13[[#This Row],[Steps]]&gt;99,(G4296+Table13[[#This Row],[Steps]])-100,G4296+Table13[[#This Row],[Steps]]),
))</f>
        <v>0</v>
      </c>
      <c r="G4297">
        <f>IF(Table13[[#This Row],[New Pos L]]&lt;&gt;0,Table13[[#This Row],[New Pos L]],Table13[[#This Row],[New Pos R]])</f>
        <v>70</v>
      </c>
      <c r="H4297">
        <f>IF(AND(Table13[[#This Row],[Direction]]="L",Table13[[#This Row],[Steps]]&gt;G4296,G4296&lt;&gt;0),1,0)</f>
        <v>1</v>
      </c>
      <c r="I4297">
        <f>IF(AND(Table13[[#This Row],[Direction]]="R",(G4296+Table13[[#This Row],[Steps]])&gt;100),1,0)</f>
        <v>0</v>
      </c>
      <c r="J4297">
        <f>IF(Table13[[#This Row],[POS]]=0,1,0)</f>
        <v>0</v>
      </c>
      <c r="K4297">
        <f>SUM(Table13[[#This Row],[prefix]],Table13[[#This Row],[Past zero L]],Table13[[#This Row],[Past Zero R]],Table13[[#This Row],[Is Zero]])</f>
        <v>3</v>
      </c>
    </row>
    <row r="4298" spans="1:11" ht="16" x14ac:dyDescent="0.2">
      <c r="A4298" s="1" t="s">
        <v>20</v>
      </c>
      <c r="B4298" t="str">
        <f>LEFT(Table13[[#This Row],[Input]],1)</f>
        <v>R</v>
      </c>
      <c r="C4298">
        <f>_xlfn.LET(_xlpm.steps,SUBSTITUTE(Table13[[#This Row],[Input]],Table13[[#This Row],[Direction]],""),VALUE(IF(LEN(_xlpm.steps)&gt;2,RIGHT(_xlpm.steps,2),_xlpm.steps)))</f>
        <v>46</v>
      </c>
      <c r="D4298">
        <f>_xlfn.LET(_xlpm.steps,SUBSTITUTE(Table13[[#This Row],[Input]],Table13[[#This Row],[Direction]],""),VALUE(IF(LEN(_xlpm.steps)&gt;2,LEFT(_xlpm.steps,LEN(_xlpm.steps)-2),0)))</f>
        <v>0</v>
      </c>
      <c r="E4298">
        <f>_xlfn.LET(_xlpm.dir,Table13[[#This Row],[Direction]],
IF(_xlpm.dir="L",
    IF(G4297-Table13[[#This Row],[Steps]]&lt;0,100+(G4297-Table13[[#This Row],[Steps]]),G4297-Table13[[#This Row],[Steps]]),
))</f>
        <v>0</v>
      </c>
      <c r="F4298">
        <f>_xlfn.LET(_xlpm.dir,Table13[[#This Row],[Direction]],
IF(_xlpm.dir="R",
    IF(G4297+Table13[[#This Row],[Steps]]&gt;99,(G4297+Table13[[#This Row],[Steps]])-100,G4297+Table13[[#This Row],[Steps]]),
))</f>
        <v>16</v>
      </c>
      <c r="G4298">
        <f>IF(Table13[[#This Row],[New Pos L]]&lt;&gt;0,Table13[[#This Row],[New Pos L]],Table13[[#This Row],[New Pos R]])</f>
        <v>16</v>
      </c>
      <c r="H4298">
        <f>IF(AND(Table13[[#This Row],[Direction]]="L",Table13[[#This Row],[Steps]]&gt;G4297,G4297&lt;&gt;0),1,0)</f>
        <v>0</v>
      </c>
      <c r="I4298">
        <f>IF(AND(Table13[[#This Row],[Direction]]="R",(G4297+Table13[[#This Row],[Steps]])&gt;100),1,0)</f>
        <v>1</v>
      </c>
      <c r="J4298">
        <f>IF(Table13[[#This Row],[POS]]=0,1,0)</f>
        <v>0</v>
      </c>
      <c r="K4298">
        <f>SUM(Table13[[#This Row],[prefix]],Table13[[#This Row],[Past zero L]],Table13[[#This Row],[Past Zero R]],Table13[[#This Row],[Is Zero]])</f>
        <v>1</v>
      </c>
    </row>
    <row r="4299" spans="1:11" ht="16" x14ac:dyDescent="0.2">
      <c r="A4299" s="1" t="s">
        <v>860</v>
      </c>
      <c r="B4299" t="str">
        <f>LEFT(Table13[[#This Row],[Input]],1)</f>
        <v>L</v>
      </c>
      <c r="C4299">
        <f>_xlfn.LET(_xlpm.steps,SUBSTITUTE(Table13[[#This Row],[Input]],Table13[[#This Row],[Direction]],""),VALUE(IF(LEN(_xlpm.steps)&gt;2,RIGHT(_xlpm.steps,2),_xlpm.steps)))</f>
        <v>11</v>
      </c>
      <c r="D4299">
        <f>_xlfn.LET(_xlpm.steps,SUBSTITUTE(Table13[[#This Row],[Input]],Table13[[#This Row],[Direction]],""),VALUE(IF(LEN(_xlpm.steps)&gt;2,LEFT(_xlpm.steps,LEN(_xlpm.steps)-2),0)))</f>
        <v>5</v>
      </c>
      <c r="E4299">
        <f>_xlfn.LET(_xlpm.dir,Table13[[#This Row],[Direction]],
IF(_xlpm.dir="L",
    IF(G4298-Table13[[#This Row],[Steps]]&lt;0,100+(G4298-Table13[[#This Row],[Steps]]),G4298-Table13[[#This Row],[Steps]]),
))</f>
        <v>5</v>
      </c>
      <c r="F4299">
        <f>_xlfn.LET(_xlpm.dir,Table13[[#This Row],[Direction]],
IF(_xlpm.dir="R",
    IF(G4298+Table13[[#This Row],[Steps]]&gt;99,(G4298+Table13[[#This Row],[Steps]])-100,G4298+Table13[[#This Row],[Steps]]),
))</f>
        <v>0</v>
      </c>
      <c r="G4299">
        <f>IF(Table13[[#This Row],[New Pos L]]&lt;&gt;0,Table13[[#This Row],[New Pos L]],Table13[[#This Row],[New Pos R]])</f>
        <v>5</v>
      </c>
      <c r="H4299">
        <f>IF(AND(Table13[[#This Row],[Direction]]="L",Table13[[#This Row],[Steps]]&gt;G4298,G4298&lt;&gt;0),1,0)</f>
        <v>0</v>
      </c>
      <c r="I4299">
        <f>IF(AND(Table13[[#This Row],[Direction]]="R",(G4298+Table13[[#This Row],[Steps]])&gt;100),1,0)</f>
        <v>0</v>
      </c>
      <c r="J4299">
        <f>IF(Table13[[#This Row],[POS]]=0,1,0)</f>
        <v>0</v>
      </c>
      <c r="K4299">
        <f>SUM(Table13[[#This Row],[prefix]],Table13[[#This Row],[Past zero L]],Table13[[#This Row],[Past Zero R]],Table13[[#This Row],[Is Zero]])</f>
        <v>5</v>
      </c>
    </row>
    <row r="4300" spans="1:11" ht="16" x14ac:dyDescent="0.2">
      <c r="A4300" s="1" t="s">
        <v>336</v>
      </c>
      <c r="B4300" t="str">
        <f>LEFT(Table13[[#This Row],[Input]],1)</f>
        <v>R</v>
      </c>
      <c r="C4300">
        <f>_xlfn.LET(_xlpm.steps,SUBSTITUTE(Table13[[#This Row],[Input]],Table13[[#This Row],[Direction]],""),VALUE(IF(LEN(_xlpm.steps)&gt;2,RIGHT(_xlpm.steps,2),_xlpm.steps)))</f>
        <v>95</v>
      </c>
      <c r="D4300">
        <f>_xlfn.LET(_xlpm.steps,SUBSTITUTE(Table13[[#This Row],[Input]],Table13[[#This Row],[Direction]],""),VALUE(IF(LEN(_xlpm.steps)&gt;2,LEFT(_xlpm.steps,LEN(_xlpm.steps)-2),0)))</f>
        <v>0</v>
      </c>
      <c r="E4300">
        <f>_xlfn.LET(_xlpm.dir,Table13[[#This Row],[Direction]],
IF(_xlpm.dir="L",
    IF(G4299-Table13[[#This Row],[Steps]]&lt;0,100+(G4299-Table13[[#This Row],[Steps]]),G4299-Table13[[#This Row],[Steps]]),
))</f>
        <v>0</v>
      </c>
      <c r="F4300">
        <f>_xlfn.LET(_xlpm.dir,Table13[[#This Row],[Direction]],
IF(_xlpm.dir="R",
    IF(G4299+Table13[[#This Row],[Steps]]&gt;99,(G4299+Table13[[#This Row],[Steps]])-100,G4299+Table13[[#This Row],[Steps]]),
))</f>
        <v>0</v>
      </c>
      <c r="G4300">
        <f>IF(Table13[[#This Row],[New Pos L]]&lt;&gt;0,Table13[[#This Row],[New Pos L]],Table13[[#This Row],[New Pos R]])</f>
        <v>0</v>
      </c>
      <c r="H4300">
        <f>IF(AND(Table13[[#This Row],[Direction]]="L",Table13[[#This Row],[Steps]]&gt;G4299,G4299&lt;&gt;0),1,0)</f>
        <v>0</v>
      </c>
      <c r="I4300">
        <f>IF(AND(Table13[[#This Row],[Direction]]="R",(G4299+Table13[[#This Row],[Steps]])&gt;100),1,0)</f>
        <v>0</v>
      </c>
      <c r="J4300">
        <f>IF(Table13[[#This Row],[POS]]=0,1,0)</f>
        <v>1</v>
      </c>
      <c r="K4300">
        <f>SUM(Table13[[#This Row],[prefix]],Table13[[#This Row],[Past zero L]],Table13[[#This Row],[Past Zero R]],Table13[[#This Row],[Is Zero]])</f>
        <v>1</v>
      </c>
    </row>
    <row r="4301" spans="1:11" ht="16" x14ac:dyDescent="0.2">
      <c r="A4301" s="1" t="s">
        <v>2</v>
      </c>
      <c r="B4301" t="str">
        <f>LEFT(Table13[[#This Row],[Input]],1)</f>
        <v>L</v>
      </c>
      <c r="C4301">
        <f>_xlfn.LET(_xlpm.steps,SUBSTITUTE(Table13[[#This Row],[Input]],Table13[[#This Row],[Direction]],""),VALUE(IF(LEN(_xlpm.steps)&gt;2,RIGHT(_xlpm.steps,2),_xlpm.steps)))</f>
        <v>38</v>
      </c>
      <c r="D4301">
        <f>_xlfn.LET(_xlpm.steps,SUBSTITUTE(Table13[[#This Row],[Input]],Table13[[#This Row],[Direction]],""),VALUE(IF(LEN(_xlpm.steps)&gt;2,LEFT(_xlpm.steps,LEN(_xlpm.steps)-2),0)))</f>
        <v>0</v>
      </c>
      <c r="E4301">
        <f>_xlfn.LET(_xlpm.dir,Table13[[#This Row],[Direction]],
IF(_xlpm.dir="L",
    IF(G4300-Table13[[#This Row],[Steps]]&lt;0,100+(G4300-Table13[[#This Row],[Steps]]),G4300-Table13[[#This Row],[Steps]]),
))</f>
        <v>62</v>
      </c>
      <c r="F4301">
        <f>_xlfn.LET(_xlpm.dir,Table13[[#This Row],[Direction]],
IF(_xlpm.dir="R",
    IF(G4300+Table13[[#This Row],[Steps]]&gt;99,(G4300+Table13[[#This Row],[Steps]])-100,G4300+Table13[[#This Row],[Steps]]),
))</f>
        <v>0</v>
      </c>
      <c r="G4301">
        <f>IF(Table13[[#This Row],[New Pos L]]&lt;&gt;0,Table13[[#This Row],[New Pos L]],Table13[[#This Row],[New Pos R]])</f>
        <v>62</v>
      </c>
      <c r="H4301">
        <f>IF(AND(Table13[[#This Row],[Direction]]="L",Table13[[#This Row],[Steps]]&gt;G4300,G4300&lt;&gt;0),1,0)</f>
        <v>0</v>
      </c>
      <c r="I4301">
        <f>IF(AND(Table13[[#This Row],[Direction]]="R",(G4300+Table13[[#This Row],[Steps]])&gt;100),1,0)</f>
        <v>0</v>
      </c>
      <c r="J4301">
        <f>IF(Table13[[#This Row],[POS]]=0,1,0)</f>
        <v>0</v>
      </c>
      <c r="K4301">
        <f>SUM(Table13[[#This Row],[prefix]],Table13[[#This Row],[Past zero L]],Table13[[#This Row],[Past Zero R]],Table13[[#This Row],[Is Zero]])</f>
        <v>0</v>
      </c>
    </row>
    <row r="4302" spans="1:11" ht="16" x14ac:dyDescent="0.2">
      <c r="A4302" s="1" t="s">
        <v>102</v>
      </c>
      <c r="B4302" t="str">
        <f>LEFT(Table13[[#This Row],[Input]],1)</f>
        <v>R</v>
      </c>
      <c r="C4302">
        <f>_xlfn.LET(_xlpm.steps,SUBSTITUTE(Table13[[#This Row],[Input]],Table13[[#This Row],[Direction]],""),VALUE(IF(LEN(_xlpm.steps)&gt;2,RIGHT(_xlpm.steps,2),_xlpm.steps)))</f>
        <v>39</v>
      </c>
      <c r="D4302">
        <f>_xlfn.LET(_xlpm.steps,SUBSTITUTE(Table13[[#This Row],[Input]],Table13[[#This Row],[Direction]],""),VALUE(IF(LEN(_xlpm.steps)&gt;2,LEFT(_xlpm.steps,LEN(_xlpm.steps)-2),0)))</f>
        <v>0</v>
      </c>
      <c r="E4302">
        <f>_xlfn.LET(_xlpm.dir,Table13[[#This Row],[Direction]],
IF(_xlpm.dir="L",
    IF(G4301-Table13[[#This Row],[Steps]]&lt;0,100+(G4301-Table13[[#This Row],[Steps]]),G4301-Table13[[#This Row],[Steps]]),
))</f>
        <v>0</v>
      </c>
      <c r="F4302">
        <f>_xlfn.LET(_xlpm.dir,Table13[[#This Row],[Direction]],
IF(_xlpm.dir="R",
    IF(G4301+Table13[[#This Row],[Steps]]&gt;99,(G4301+Table13[[#This Row],[Steps]])-100,G4301+Table13[[#This Row],[Steps]]),
))</f>
        <v>1</v>
      </c>
      <c r="G4302">
        <f>IF(Table13[[#This Row],[New Pos L]]&lt;&gt;0,Table13[[#This Row],[New Pos L]],Table13[[#This Row],[New Pos R]])</f>
        <v>1</v>
      </c>
      <c r="H4302">
        <f>IF(AND(Table13[[#This Row],[Direction]]="L",Table13[[#This Row],[Steps]]&gt;G4301,G4301&lt;&gt;0),1,0)</f>
        <v>0</v>
      </c>
      <c r="I4302">
        <f>IF(AND(Table13[[#This Row],[Direction]]="R",(G4301+Table13[[#This Row],[Steps]])&gt;100),1,0)</f>
        <v>1</v>
      </c>
      <c r="J4302">
        <f>IF(Table13[[#This Row],[POS]]=0,1,0)</f>
        <v>0</v>
      </c>
      <c r="K4302">
        <f>SUM(Table13[[#This Row],[prefix]],Table13[[#This Row],[Past zero L]],Table13[[#This Row],[Past Zero R]],Table13[[#This Row],[Is Zero]])</f>
        <v>1</v>
      </c>
    </row>
    <row r="4303" spans="1:11" ht="16" x14ac:dyDescent="0.2">
      <c r="A4303" s="1" t="s">
        <v>861</v>
      </c>
      <c r="B4303" t="str">
        <f>LEFT(Table13[[#This Row],[Input]],1)</f>
        <v>R</v>
      </c>
      <c r="C4303">
        <f>_xlfn.LET(_xlpm.steps,SUBSTITUTE(Table13[[#This Row],[Input]],Table13[[#This Row],[Direction]],""),VALUE(IF(LEN(_xlpm.steps)&gt;2,RIGHT(_xlpm.steps,2),_xlpm.steps)))</f>
        <v>25</v>
      </c>
      <c r="D4303">
        <f>_xlfn.LET(_xlpm.steps,SUBSTITUTE(Table13[[#This Row],[Input]],Table13[[#This Row],[Direction]],""),VALUE(IF(LEN(_xlpm.steps)&gt;2,LEFT(_xlpm.steps,LEN(_xlpm.steps)-2),0)))</f>
        <v>3</v>
      </c>
      <c r="E4303">
        <f>_xlfn.LET(_xlpm.dir,Table13[[#This Row],[Direction]],
IF(_xlpm.dir="L",
    IF(G4302-Table13[[#This Row],[Steps]]&lt;0,100+(G4302-Table13[[#This Row],[Steps]]),G4302-Table13[[#This Row],[Steps]]),
))</f>
        <v>0</v>
      </c>
      <c r="F4303">
        <f>_xlfn.LET(_xlpm.dir,Table13[[#This Row],[Direction]],
IF(_xlpm.dir="R",
    IF(G4302+Table13[[#This Row],[Steps]]&gt;99,(G4302+Table13[[#This Row],[Steps]])-100,G4302+Table13[[#This Row],[Steps]]),
))</f>
        <v>26</v>
      </c>
      <c r="G4303">
        <f>IF(Table13[[#This Row],[New Pos L]]&lt;&gt;0,Table13[[#This Row],[New Pos L]],Table13[[#This Row],[New Pos R]])</f>
        <v>26</v>
      </c>
      <c r="H4303">
        <f>IF(AND(Table13[[#This Row],[Direction]]="L",Table13[[#This Row],[Steps]]&gt;G4302,G4302&lt;&gt;0),1,0)</f>
        <v>0</v>
      </c>
      <c r="I4303">
        <f>IF(AND(Table13[[#This Row],[Direction]]="R",(G4302+Table13[[#This Row],[Steps]])&gt;100),1,0)</f>
        <v>0</v>
      </c>
      <c r="J4303">
        <f>IF(Table13[[#This Row],[POS]]=0,1,0)</f>
        <v>0</v>
      </c>
      <c r="K4303">
        <f>SUM(Table13[[#This Row],[prefix]],Table13[[#This Row],[Past zero L]],Table13[[#This Row],[Past Zero R]],Table13[[#This Row],[Is Zero]])</f>
        <v>3</v>
      </c>
    </row>
    <row r="4304" spans="1:11" ht="16" x14ac:dyDescent="0.2">
      <c r="A4304" s="1" t="s">
        <v>84</v>
      </c>
      <c r="B4304" t="str">
        <f>LEFT(Table13[[#This Row],[Input]],1)</f>
        <v>R</v>
      </c>
      <c r="C4304">
        <f>_xlfn.LET(_xlpm.steps,SUBSTITUTE(Table13[[#This Row],[Input]],Table13[[#This Row],[Direction]],""),VALUE(IF(LEN(_xlpm.steps)&gt;2,RIGHT(_xlpm.steps,2),_xlpm.steps)))</f>
        <v>88</v>
      </c>
      <c r="D4304">
        <f>_xlfn.LET(_xlpm.steps,SUBSTITUTE(Table13[[#This Row],[Input]],Table13[[#This Row],[Direction]],""),VALUE(IF(LEN(_xlpm.steps)&gt;2,LEFT(_xlpm.steps,LEN(_xlpm.steps)-2),0)))</f>
        <v>0</v>
      </c>
      <c r="E4304">
        <f>_xlfn.LET(_xlpm.dir,Table13[[#This Row],[Direction]],
IF(_xlpm.dir="L",
    IF(G4303-Table13[[#This Row],[Steps]]&lt;0,100+(G4303-Table13[[#This Row],[Steps]]),G4303-Table13[[#This Row],[Steps]]),
))</f>
        <v>0</v>
      </c>
      <c r="F4304">
        <f>_xlfn.LET(_xlpm.dir,Table13[[#This Row],[Direction]],
IF(_xlpm.dir="R",
    IF(G4303+Table13[[#This Row],[Steps]]&gt;99,(G4303+Table13[[#This Row],[Steps]])-100,G4303+Table13[[#This Row],[Steps]]),
))</f>
        <v>14</v>
      </c>
      <c r="G4304">
        <f>IF(Table13[[#This Row],[New Pos L]]&lt;&gt;0,Table13[[#This Row],[New Pos L]],Table13[[#This Row],[New Pos R]])</f>
        <v>14</v>
      </c>
      <c r="H4304">
        <f>IF(AND(Table13[[#This Row],[Direction]]="L",Table13[[#This Row],[Steps]]&gt;G4303,G4303&lt;&gt;0),1,0)</f>
        <v>0</v>
      </c>
      <c r="I4304">
        <f>IF(AND(Table13[[#This Row],[Direction]]="R",(G4303+Table13[[#This Row],[Steps]])&gt;100),1,0)</f>
        <v>1</v>
      </c>
      <c r="J4304">
        <f>IF(Table13[[#This Row],[POS]]=0,1,0)</f>
        <v>0</v>
      </c>
      <c r="K4304">
        <f>SUM(Table13[[#This Row],[prefix]],Table13[[#This Row],[Past zero L]],Table13[[#This Row],[Past Zero R]],Table13[[#This Row],[Is Zero]])</f>
        <v>1</v>
      </c>
    </row>
    <row r="4305" spans="1:11" ht="16" x14ac:dyDescent="0.2">
      <c r="A4305" s="1" t="s">
        <v>116</v>
      </c>
      <c r="B4305" t="str">
        <f>LEFT(Table13[[#This Row],[Input]],1)</f>
        <v>L</v>
      </c>
      <c r="C4305">
        <f>_xlfn.LET(_xlpm.steps,SUBSTITUTE(Table13[[#This Row],[Input]],Table13[[#This Row],[Direction]],""),VALUE(IF(LEN(_xlpm.steps)&gt;2,RIGHT(_xlpm.steps,2),_xlpm.steps)))</f>
        <v>58</v>
      </c>
      <c r="D4305">
        <f>_xlfn.LET(_xlpm.steps,SUBSTITUTE(Table13[[#This Row],[Input]],Table13[[#This Row],[Direction]],""),VALUE(IF(LEN(_xlpm.steps)&gt;2,LEFT(_xlpm.steps,LEN(_xlpm.steps)-2),0)))</f>
        <v>0</v>
      </c>
      <c r="E4305">
        <f>_xlfn.LET(_xlpm.dir,Table13[[#This Row],[Direction]],
IF(_xlpm.dir="L",
    IF(G4304-Table13[[#This Row],[Steps]]&lt;0,100+(G4304-Table13[[#This Row],[Steps]]),G4304-Table13[[#This Row],[Steps]]),
))</f>
        <v>56</v>
      </c>
      <c r="F4305">
        <f>_xlfn.LET(_xlpm.dir,Table13[[#This Row],[Direction]],
IF(_xlpm.dir="R",
    IF(G4304+Table13[[#This Row],[Steps]]&gt;99,(G4304+Table13[[#This Row],[Steps]])-100,G4304+Table13[[#This Row],[Steps]]),
))</f>
        <v>0</v>
      </c>
      <c r="G4305">
        <f>IF(Table13[[#This Row],[New Pos L]]&lt;&gt;0,Table13[[#This Row],[New Pos L]],Table13[[#This Row],[New Pos R]])</f>
        <v>56</v>
      </c>
      <c r="H4305">
        <f>IF(AND(Table13[[#This Row],[Direction]]="L",Table13[[#This Row],[Steps]]&gt;G4304,G4304&lt;&gt;0),1,0)</f>
        <v>1</v>
      </c>
      <c r="I4305">
        <f>IF(AND(Table13[[#This Row],[Direction]]="R",(G4304+Table13[[#This Row],[Steps]])&gt;100),1,0)</f>
        <v>0</v>
      </c>
      <c r="J4305">
        <f>IF(Table13[[#This Row],[POS]]=0,1,0)</f>
        <v>0</v>
      </c>
      <c r="K4305">
        <f>SUM(Table13[[#This Row],[prefix]],Table13[[#This Row],[Past zero L]],Table13[[#This Row],[Past Zero R]],Table13[[#This Row],[Is Zero]])</f>
        <v>1</v>
      </c>
    </row>
    <row r="4306" spans="1:11" ht="16" x14ac:dyDescent="0.2">
      <c r="A4306" s="1" t="s">
        <v>159</v>
      </c>
      <c r="B4306" t="str">
        <f>LEFT(Table13[[#This Row],[Input]],1)</f>
        <v>R</v>
      </c>
      <c r="C4306">
        <f>_xlfn.LET(_xlpm.steps,SUBSTITUTE(Table13[[#This Row],[Input]],Table13[[#This Row],[Direction]],""),VALUE(IF(LEN(_xlpm.steps)&gt;2,RIGHT(_xlpm.steps,2),_xlpm.steps)))</f>
        <v>24</v>
      </c>
      <c r="D4306">
        <f>_xlfn.LET(_xlpm.steps,SUBSTITUTE(Table13[[#This Row],[Input]],Table13[[#This Row],[Direction]],""),VALUE(IF(LEN(_xlpm.steps)&gt;2,LEFT(_xlpm.steps,LEN(_xlpm.steps)-2),0)))</f>
        <v>0</v>
      </c>
      <c r="E4306">
        <f>_xlfn.LET(_xlpm.dir,Table13[[#This Row],[Direction]],
IF(_xlpm.dir="L",
    IF(G4305-Table13[[#This Row],[Steps]]&lt;0,100+(G4305-Table13[[#This Row],[Steps]]),G4305-Table13[[#This Row],[Steps]]),
))</f>
        <v>0</v>
      </c>
      <c r="F4306">
        <f>_xlfn.LET(_xlpm.dir,Table13[[#This Row],[Direction]],
IF(_xlpm.dir="R",
    IF(G4305+Table13[[#This Row],[Steps]]&gt;99,(G4305+Table13[[#This Row],[Steps]])-100,G4305+Table13[[#This Row],[Steps]]),
))</f>
        <v>80</v>
      </c>
      <c r="G4306">
        <f>IF(Table13[[#This Row],[New Pos L]]&lt;&gt;0,Table13[[#This Row],[New Pos L]],Table13[[#This Row],[New Pos R]])</f>
        <v>80</v>
      </c>
      <c r="H4306">
        <f>IF(AND(Table13[[#This Row],[Direction]]="L",Table13[[#This Row],[Steps]]&gt;G4305,G4305&lt;&gt;0),1,0)</f>
        <v>0</v>
      </c>
      <c r="I4306">
        <f>IF(AND(Table13[[#This Row],[Direction]]="R",(G4305+Table13[[#This Row],[Steps]])&gt;100),1,0)</f>
        <v>0</v>
      </c>
      <c r="J4306">
        <f>IF(Table13[[#This Row],[POS]]=0,1,0)</f>
        <v>0</v>
      </c>
      <c r="K4306">
        <f>SUM(Table13[[#This Row],[prefix]],Table13[[#This Row],[Past zero L]],Table13[[#This Row],[Past Zero R]],Table13[[#This Row],[Is Zero]])</f>
        <v>0</v>
      </c>
    </row>
    <row r="4307" spans="1:11" ht="16" x14ac:dyDescent="0.2">
      <c r="A4307" s="1" t="s">
        <v>179</v>
      </c>
      <c r="B4307" t="str">
        <f>LEFT(Table13[[#This Row],[Input]],1)</f>
        <v>L</v>
      </c>
      <c r="C4307">
        <f>_xlfn.LET(_xlpm.steps,SUBSTITUTE(Table13[[#This Row],[Input]],Table13[[#This Row],[Direction]],""),VALUE(IF(LEN(_xlpm.steps)&gt;2,RIGHT(_xlpm.steps,2),_xlpm.steps)))</f>
        <v>54</v>
      </c>
      <c r="D4307">
        <f>_xlfn.LET(_xlpm.steps,SUBSTITUTE(Table13[[#This Row],[Input]],Table13[[#This Row],[Direction]],""),VALUE(IF(LEN(_xlpm.steps)&gt;2,LEFT(_xlpm.steps,LEN(_xlpm.steps)-2),0)))</f>
        <v>0</v>
      </c>
      <c r="E4307">
        <f>_xlfn.LET(_xlpm.dir,Table13[[#This Row],[Direction]],
IF(_xlpm.dir="L",
    IF(G4306-Table13[[#This Row],[Steps]]&lt;0,100+(G4306-Table13[[#This Row],[Steps]]),G4306-Table13[[#This Row],[Steps]]),
))</f>
        <v>26</v>
      </c>
      <c r="F4307">
        <f>_xlfn.LET(_xlpm.dir,Table13[[#This Row],[Direction]],
IF(_xlpm.dir="R",
    IF(G4306+Table13[[#This Row],[Steps]]&gt;99,(G4306+Table13[[#This Row],[Steps]])-100,G4306+Table13[[#This Row],[Steps]]),
))</f>
        <v>0</v>
      </c>
      <c r="G4307">
        <f>IF(Table13[[#This Row],[New Pos L]]&lt;&gt;0,Table13[[#This Row],[New Pos L]],Table13[[#This Row],[New Pos R]])</f>
        <v>26</v>
      </c>
      <c r="H4307">
        <f>IF(AND(Table13[[#This Row],[Direction]]="L",Table13[[#This Row],[Steps]]&gt;G4306,G4306&lt;&gt;0),1,0)</f>
        <v>0</v>
      </c>
      <c r="I4307">
        <f>IF(AND(Table13[[#This Row],[Direction]]="R",(G4306+Table13[[#This Row],[Steps]])&gt;100),1,0)</f>
        <v>0</v>
      </c>
      <c r="J4307">
        <f>IF(Table13[[#This Row],[POS]]=0,1,0)</f>
        <v>0</v>
      </c>
      <c r="K4307">
        <f>SUM(Table13[[#This Row],[prefix]],Table13[[#This Row],[Past zero L]],Table13[[#This Row],[Past Zero R]],Table13[[#This Row],[Is Zero]])</f>
        <v>0</v>
      </c>
    </row>
    <row r="4308" spans="1:11" ht="16" x14ac:dyDescent="0.2">
      <c r="A4308" s="1" t="s">
        <v>77</v>
      </c>
      <c r="B4308" t="str">
        <f>LEFT(Table13[[#This Row],[Input]],1)</f>
        <v>R</v>
      </c>
      <c r="C4308">
        <f>_xlfn.LET(_xlpm.steps,SUBSTITUTE(Table13[[#This Row],[Input]],Table13[[#This Row],[Direction]],""),VALUE(IF(LEN(_xlpm.steps)&gt;2,RIGHT(_xlpm.steps,2),_xlpm.steps)))</f>
        <v>74</v>
      </c>
      <c r="D4308">
        <f>_xlfn.LET(_xlpm.steps,SUBSTITUTE(Table13[[#This Row],[Input]],Table13[[#This Row],[Direction]],""),VALUE(IF(LEN(_xlpm.steps)&gt;2,LEFT(_xlpm.steps,LEN(_xlpm.steps)-2),0)))</f>
        <v>0</v>
      </c>
      <c r="E4308">
        <f>_xlfn.LET(_xlpm.dir,Table13[[#This Row],[Direction]],
IF(_xlpm.dir="L",
    IF(G4307-Table13[[#This Row],[Steps]]&lt;0,100+(G4307-Table13[[#This Row],[Steps]]),G4307-Table13[[#This Row],[Steps]]),
))</f>
        <v>0</v>
      </c>
      <c r="F4308">
        <f>_xlfn.LET(_xlpm.dir,Table13[[#This Row],[Direction]],
IF(_xlpm.dir="R",
    IF(G4307+Table13[[#This Row],[Steps]]&gt;99,(G4307+Table13[[#This Row],[Steps]])-100,G4307+Table13[[#This Row],[Steps]]),
))</f>
        <v>0</v>
      </c>
      <c r="G4308">
        <f>IF(Table13[[#This Row],[New Pos L]]&lt;&gt;0,Table13[[#This Row],[New Pos L]],Table13[[#This Row],[New Pos R]])</f>
        <v>0</v>
      </c>
      <c r="H4308">
        <f>IF(AND(Table13[[#This Row],[Direction]]="L",Table13[[#This Row],[Steps]]&gt;G4307,G4307&lt;&gt;0),1,0)</f>
        <v>0</v>
      </c>
      <c r="I4308">
        <f>IF(AND(Table13[[#This Row],[Direction]]="R",(G4307+Table13[[#This Row],[Steps]])&gt;100),1,0)</f>
        <v>0</v>
      </c>
      <c r="J4308">
        <f>IF(Table13[[#This Row],[POS]]=0,1,0)</f>
        <v>1</v>
      </c>
      <c r="K4308">
        <f>SUM(Table13[[#This Row],[prefix]],Table13[[#This Row],[Past zero L]],Table13[[#This Row],[Past Zero R]],Table13[[#This Row],[Is Zero]])</f>
        <v>1</v>
      </c>
    </row>
    <row r="4309" spans="1:11" ht="16" x14ac:dyDescent="0.2">
      <c r="A4309" s="1" t="s">
        <v>120</v>
      </c>
      <c r="B4309" t="str">
        <f>LEFT(Table13[[#This Row],[Input]],1)</f>
        <v>L</v>
      </c>
      <c r="C4309">
        <f>_xlfn.LET(_xlpm.steps,SUBSTITUTE(Table13[[#This Row],[Input]],Table13[[#This Row],[Direction]],""),VALUE(IF(LEN(_xlpm.steps)&gt;2,RIGHT(_xlpm.steps,2),_xlpm.steps)))</f>
        <v>23</v>
      </c>
      <c r="D4309">
        <f>_xlfn.LET(_xlpm.steps,SUBSTITUTE(Table13[[#This Row],[Input]],Table13[[#This Row],[Direction]],""),VALUE(IF(LEN(_xlpm.steps)&gt;2,LEFT(_xlpm.steps,LEN(_xlpm.steps)-2),0)))</f>
        <v>0</v>
      </c>
      <c r="E4309">
        <f>_xlfn.LET(_xlpm.dir,Table13[[#This Row],[Direction]],
IF(_xlpm.dir="L",
    IF(G4308-Table13[[#This Row],[Steps]]&lt;0,100+(G4308-Table13[[#This Row],[Steps]]),G4308-Table13[[#This Row],[Steps]]),
))</f>
        <v>77</v>
      </c>
      <c r="F4309">
        <f>_xlfn.LET(_xlpm.dir,Table13[[#This Row],[Direction]],
IF(_xlpm.dir="R",
    IF(G4308+Table13[[#This Row],[Steps]]&gt;99,(G4308+Table13[[#This Row],[Steps]])-100,G4308+Table13[[#This Row],[Steps]]),
))</f>
        <v>0</v>
      </c>
      <c r="G4309">
        <f>IF(Table13[[#This Row],[New Pos L]]&lt;&gt;0,Table13[[#This Row],[New Pos L]],Table13[[#This Row],[New Pos R]])</f>
        <v>77</v>
      </c>
      <c r="H4309">
        <f>IF(AND(Table13[[#This Row],[Direction]]="L",Table13[[#This Row],[Steps]]&gt;G4308,G4308&lt;&gt;0),1,0)</f>
        <v>0</v>
      </c>
      <c r="I4309">
        <f>IF(AND(Table13[[#This Row],[Direction]]="R",(G4308+Table13[[#This Row],[Steps]])&gt;100),1,0)</f>
        <v>0</v>
      </c>
      <c r="J4309">
        <f>IF(Table13[[#This Row],[POS]]=0,1,0)</f>
        <v>0</v>
      </c>
      <c r="K4309">
        <f>SUM(Table13[[#This Row],[prefix]],Table13[[#This Row],[Past zero L]],Table13[[#This Row],[Past Zero R]],Table13[[#This Row],[Is Zero]])</f>
        <v>0</v>
      </c>
    </row>
    <row r="4310" spans="1:11" ht="16" x14ac:dyDescent="0.2">
      <c r="A4310" s="1" t="s">
        <v>71</v>
      </c>
      <c r="B4310" t="str">
        <f>LEFT(Table13[[#This Row],[Input]],1)</f>
        <v>R</v>
      </c>
      <c r="C4310">
        <f>_xlfn.LET(_xlpm.steps,SUBSTITUTE(Table13[[#This Row],[Input]],Table13[[#This Row],[Direction]],""),VALUE(IF(LEN(_xlpm.steps)&gt;2,RIGHT(_xlpm.steps,2),_xlpm.steps)))</f>
        <v>23</v>
      </c>
      <c r="D4310">
        <f>_xlfn.LET(_xlpm.steps,SUBSTITUTE(Table13[[#This Row],[Input]],Table13[[#This Row],[Direction]],""),VALUE(IF(LEN(_xlpm.steps)&gt;2,LEFT(_xlpm.steps,LEN(_xlpm.steps)-2),0)))</f>
        <v>0</v>
      </c>
      <c r="E4310">
        <f>_xlfn.LET(_xlpm.dir,Table13[[#This Row],[Direction]],
IF(_xlpm.dir="L",
    IF(G4309-Table13[[#This Row],[Steps]]&lt;0,100+(G4309-Table13[[#This Row],[Steps]]),G4309-Table13[[#This Row],[Steps]]),
))</f>
        <v>0</v>
      </c>
      <c r="F4310">
        <f>_xlfn.LET(_xlpm.dir,Table13[[#This Row],[Direction]],
IF(_xlpm.dir="R",
    IF(G4309+Table13[[#This Row],[Steps]]&gt;99,(G4309+Table13[[#This Row],[Steps]])-100,G4309+Table13[[#This Row],[Steps]]),
))</f>
        <v>0</v>
      </c>
      <c r="G4310">
        <f>IF(Table13[[#This Row],[New Pos L]]&lt;&gt;0,Table13[[#This Row],[New Pos L]],Table13[[#This Row],[New Pos R]])</f>
        <v>0</v>
      </c>
      <c r="H4310">
        <f>IF(AND(Table13[[#This Row],[Direction]]="L",Table13[[#This Row],[Steps]]&gt;G4309,G4309&lt;&gt;0),1,0)</f>
        <v>0</v>
      </c>
      <c r="I4310">
        <f>IF(AND(Table13[[#This Row],[Direction]]="R",(G4309+Table13[[#This Row],[Steps]])&gt;100),1,0)</f>
        <v>0</v>
      </c>
      <c r="J4310">
        <f>IF(Table13[[#This Row],[POS]]=0,1,0)</f>
        <v>1</v>
      </c>
      <c r="K4310">
        <f>SUM(Table13[[#This Row],[prefix]],Table13[[#This Row],[Past zero L]],Table13[[#This Row],[Past Zero R]],Table13[[#This Row],[Is Zero]])</f>
        <v>1</v>
      </c>
    </row>
    <row r="4311" spans="1:11" ht="16" x14ac:dyDescent="0.2">
      <c r="A4311" s="1" t="s">
        <v>135</v>
      </c>
      <c r="B4311" t="str">
        <f>LEFT(Table13[[#This Row],[Input]],1)</f>
        <v>R</v>
      </c>
      <c r="C4311">
        <f>_xlfn.LET(_xlpm.steps,SUBSTITUTE(Table13[[#This Row],[Input]],Table13[[#This Row],[Direction]],""),VALUE(IF(LEN(_xlpm.steps)&gt;2,RIGHT(_xlpm.steps,2),_xlpm.steps)))</f>
        <v>69</v>
      </c>
      <c r="D4311">
        <f>_xlfn.LET(_xlpm.steps,SUBSTITUTE(Table13[[#This Row],[Input]],Table13[[#This Row],[Direction]],""),VALUE(IF(LEN(_xlpm.steps)&gt;2,LEFT(_xlpm.steps,LEN(_xlpm.steps)-2),0)))</f>
        <v>0</v>
      </c>
      <c r="E4311">
        <f>_xlfn.LET(_xlpm.dir,Table13[[#This Row],[Direction]],
IF(_xlpm.dir="L",
    IF(G4310-Table13[[#This Row],[Steps]]&lt;0,100+(G4310-Table13[[#This Row],[Steps]]),G4310-Table13[[#This Row],[Steps]]),
))</f>
        <v>0</v>
      </c>
      <c r="F4311">
        <f>_xlfn.LET(_xlpm.dir,Table13[[#This Row],[Direction]],
IF(_xlpm.dir="R",
    IF(G4310+Table13[[#This Row],[Steps]]&gt;99,(G4310+Table13[[#This Row],[Steps]])-100,G4310+Table13[[#This Row],[Steps]]),
))</f>
        <v>69</v>
      </c>
      <c r="G4311">
        <f>IF(Table13[[#This Row],[New Pos L]]&lt;&gt;0,Table13[[#This Row],[New Pos L]],Table13[[#This Row],[New Pos R]])</f>
        <v>69</v>
      </c>
      <c r="H4311">
        <f>IF(AND(Table13[[#This Row],[Direction]]="L",Table13[[#This Row],[Steps]]&gt;G4310,G4310&lt;&gt;0),1,0)</f>
        <v>0</v>
      </c>
      <c r="I4311">
        <f>IF(AND(Table13[[#This Row],[Direction]]="R",(G4310+Table13[[#This Row],[Steps]])&gt;100),1,0)</f>
        <v>0</v>
      </c>
      <c r="J4311">
        <f>IF(Table13[[#This Row],[POS]]=0,1,0)</f>
        <v>0</v>
      </c>
      <c r="K4311">
        <f>SUM(Table13[[#This Row],[prefix]],Table13[[#This Row],[Past zero L]],Table13[[#This Row],[Past Zero R]],Table13[[#This Row],[Is Zero]])</f>
        <v>0</v>
      </c>
    </row>
    <row r="4312" spans="1:11" ht="16" x14ac:dyDescent="0.2">
      <c r="A4312" s="1" t="s">
        <v>276</v>
      </c>
      <c r="B4312" t="str">
        <f>LEFT(Table13[[#This Row],[Input]],1)</f>
        <v>L</v>
      </c>
      <c r="C4312">
        <f>_xlfn.LET(_xlpm.steps,SUBSTITUTE(Table13[[#This Row],[Input]],Table13[[#This Row],[Direction]],""),VALUE(IF(LEN(_xlpm.steps)&gt;2,RIGHT(_xlpm.steps,2),_xlpm.steps)))</f>
        <v>60</v>
      </c>
      <c r="D4312">
        <f>_xlfn.LET(_xlpm.steps,SUBSTITUTE(Table13[[#This Row],[Input]],Table13[[#This Row],[Direction]],""),VALUE(IF(LEN(_xlpm.steps)&gt;2,LEFT(_xlpm.steps,LEN(_xlpm.steps)-2),0)))</f>
        <v>0</v>
      </c>
      <c r="E4312">
        <f>_xlfn.LET(_xlpm.dir,Table13[[#This Row],[Direction]],
IF(_xlpm.dir="L",
    IF(G4311-Table13[[#This Row],[Steps]]&lt;0,100+(G4311-Table13[[#This Row],[Steps]]),G4311-Table13[[#This Row],[Steps]]),
))</f>
        <v>9</v>
      </c>
      <c r="F4312">
        <f>_xlfn.LET(_xlpm.dir,Table13[[#This Row],[Direction]],
IF(_xlpm.dir="R",
    IF(G4311+Table13[[#This Row],[Steps]]&gt;99,(G4311+Table13[[#This Row],[Steps]])-100,G4311+Table13[[#This Row],[Steps]]),
))</f>
        <v>0</v>
      </c>
      <c r="G4312">
        <f>IF(Table13[[#This Row],[New Pos L]]&lt;&gt;0,Table13[[#This Row],[New Pos L]],Table13[[#This Row],[New Pos R]])</f>
        <v>9</v>
      </c>
      <c r="H4312">
        <f>IF(AND(Table13[[#This Row],[Direction]]="L",Table13[[#This Row],[Steps]]&gt;G4311,G4311&lt;&gt;0),1,0)</f>
        <v>0</v>
      </c>
      <c r="I4312">
        <f>IF(AND(Table13[[#This Row],[Direction]]="R",(G4311+Table13[[#This Row],[Steps]])&gt;100),1,0)</f>
        <v>0</v>
      </c>
      <c r="J4312">
        <f>IF(Table13[[#This Row],[POS]]=0,1,0)</f>
        <v>0</v>
      </c>
      <c r="K4312">
        <f>SUM(Table13[[#This Row],[prefix]],Table13[[#This Row],[Past zero L]],Table13[[#This Row],[Past Zero R]],Table13[[#This Row],[Is Zero]])</f>
        <v>0</v>
      </c>
    </row>
    <row r="4313" spans="1:11" ht="16" x14ac:dyDescent="0.2">
      <c r="A4313" s="1" t="s">
        <v>8</v>
      </c>
      <c r="B4313" t="str">
        <f>LEFT(Table13[[#This Row],[Input]],1)</f>
        <v>R</v>
      </c>
      <c r="C4313">
        <f>_xlfn.LET(_xlpm.steps,SUBSTITUTE(Table13[[#This Row],[Input]],Table13[[#This Row],[Direction]],""),VALUE(IF(LEN(_xlpm.steps)&gt;2,RIGHT(_xlpm.steps,2),_xlpm.steps)))</f>
        <v>18</v>
      </c>
      <c r="D4313">
        <f>_xlfn.LET(_xlpm.steps,SUBSTITUTE(Table13[[#This Row],[Input]],Table13[[#This Row],[Direction]],""),VALUE(IF(LEN(_xlpm.steps)&gt;2,LEFT(_xlpm.steps,LEN(_xlpm.steps)-2),0)))</f>
        <v>0</v>
      </c>
      <c r="E4313">
        <f>_xlfn.LET(_xlpm.dir,Table13[[#This Row],[Direction]],
IF(_xlpm.dir="L",
    IF(G4312-Table13[[#This Row],[Steps]]&lt;0,100+(G4312-Table13[[#This Row],[Steps]]),G4312-Table13[[#This Row],[Steps]]),
))</f>
        <v>0</v>
      </c>
      <c r="F4313">
        <f>_xlfn.LET(_xlpm.dir,Table13[[#This Row],[Direction]],
IF(_xlpm.dir="R",
    IF(G4312+Table13[[#This Row],[Steps]]&gt;99,(G4312+Table13[[#This Row],[Steps]])-100,G4312+Table13[[#This Row],[Steps]]),
))</f>
        <v>27</v>
      </c>
      <c r="G4313">
        <f>IF(Table13[[#This Row],[New Pos L]]&lt;&gt;0,Table13[[#This Row],[New Pos L]],Table13[[#This Row],[New Pos R]])</f>
        <v>27</v>
      </c>
      <c r="H4313">
        <f>IF(AND(Table13[[#This Row],[Direction]]="L",Table13[[#This Row],[Steps]]&gt;G4312,G4312&lt;&gt;0),1,0)</f>
        <v>0</v>
      </c>
      <c r="I4313">
        <f>IF(AND(Table13[[#This Row],[Direction]]="R",(G4312+Table13[[#This Row],[Steps]])&gt;100),1,0)</f>
        <v>0</v>
      </c>
      <c r="J4313">
        <f>IF(Table13[[#This Row],[POS]]=0,1,0)</f>
        <v>0</v>
      </c>
      <c r="K4313">
        <f>SUM(Table13[[#This Row],[prefix]],Table13[[#This Row],[Past zero L]],Table13[[#This Row],[Past Zero R]],Table13[[#This Row],[Is Zero]])</f>
        <v>0</v>
      </c>
    </row>
    <row r="4314" spans="1:11" ht="16" x14ac:dyDescent="0.2">
      <c r="A4314" s="1" t="s">
        <v>862</v>
      </c>
      <c r="B4314" t="str">
        <f>LEFT(Table13[[#This Row],[Input]],1)</f>
        <v>R</v>
      </c>
      <c r="C4314">
        <f>_xlfn.LET(_xlpm.steps,SUBSTITUTE(Table13[[#This Row],[Input]],Table13[[#This Row],[Direction]],""),VALUE(IF(LEN(_xlpm.steps)&gt;2,RIGHT(_xlpm.steps,2),_xlpm.steps)))</f>
        <v>10</v>
      </c>
      <c r="D4314">
        <f>_xlfn.LET(_xlpm.steps,SUBSTITUTE(Table13[[#This Row],[Input]],Table13[[#This Row],[Direction]],""),VALUE(IF(LEN(_xlpm.steps)&gt;2,LEFT(_xlpm.steps,LEN(_xlpm.steps)-2),0)))</f>
        <v>1</v>
      </c>
      <c r="E4314">
        <f>_xlfn.LET(_xlpm.dir,Table13[[#This Row],[Direction]],
IF(_xlpm.dir="L",
    IF(G4313-Table13[[#This Row],[Steps]]&lt;0,100+(G4313-Table13[[#This Row],[Steps]]),G4313-Table13[[#This Row],[Steps]]),
))</f>
        <v>0</v>
      </c>
      <c r="F4314">
        <f>_xlfn.LET(_xlpm.dir,Table13[[#This Row],[Direction]],
IF(_xlpm.dir="R",
    IF(G4313+Table13[[#This Row],[Steps]]&gt;99,(G4313+Table13[[#This Row],[Steps]])-100,G4313+Table13[[#This Row],[Steps]]),
))</f>
        <v>37</v>
      </c>
      <c r="G4314">
        <f>IF(Table13[[#This Row],[New Pos L]]&lt;&gt;0,Table13[[#This Row],[New Pos L]],Table13[[#This Row],[New Pos R]])</f>
        <v>37</v>
      </c>
      <c r="H4314">
        <f>IF(AND(Table13[[#This Row],[Direction]]="L",Table13[[#This Row],[Steps]]&gt;G4313,G4313&lt;&gt;0),1,0)</f>
        <v>0</v>
      </c>
      <c r="I4314">
        <f>IF(AND(Table13[[#This Row],[Direction]]="R",(G4313+Table13[[#This Row],[Steps]])&gt;100),1,0)</f>
        <v>0</v>
      </c>
      <c r="J4314">
        <f>IF(Table13[[#This Row],[POS]]=0,1,0)</f>
        <v>0</v>
      </c>
      <c r="K4314">
        <f>SUM(Table13[[#This Row],[prefix]],Table13[[#This Row],[Past zero L]],Table13[[#This Row],[Past Zero R]],Table13[[#This Row],[Is Zero]])</f>
        <v>1</v>
      </c>
    </row>
    <row r="4315" spans="1:11" ht="16" x14ac:dyDescent="0.2">
      <c r="A4315" s="1" t="s">
        <v>719</v>
      </c>
      <c r="B4315" t="str">
        <f>LEFT(Table13[[#This Row],[Input]],1)</f>
        <v>R</v>
      </c>
      <c r="C4315">
        <f>_xlfn.LET(_xlpm.steps,SUBSTITUTE(Table13[[#This Row],[Input]],Table13[[#This Row],[Direction]],""),VALUE(IF(LEN(_xlpm.steps)&gt;2,RIGHT(_xlpm.steps,2),_xlpm.steps)))</f>
        <v>98</v>
      </c>
      <c r="D4315">
        <f>_xlfn.LET(_xlpm.steps,SUBSTITUTE(Table13[[#This Row],[Input]],Table13[[#This Row],[Direction]],""),VALUE(IF(LEN(_xlpm.steps)&gt;2,LEFT(_xlpm.steps,LEN(_xlpm.steps)-2),0)))</f>
        <v>1</v>
      </c>
      <c r="E4315">
        <f>_xlfn.LET(_xlpm.dir,Table13[[#This Row],[Direction]],
IF(_xlpm.dir="L",
    IF(G4314-Table13[[#This Row],[Steps]]&lt;0,100+(G4314-Table13[[#This Row],[Steps]]),G4314-Table13[[#This Row],[Steps]]),
))</f>
        <v>0</v>
      </c>
      <c r="F4315">
        <f>_xlfn.LET(_xlpm.dir,Table13[[#This Row],[Direction]],
IF(_xlpm.dir="R",
    IF(G4314+Table13[[#This Row],[Steps]]&gt;99,(G4314+Table13[[#This Row],[Steps]])-100,G4314+Table13[[#This Row],[Steps]]),
))</f>
        <v>35</v>
      </c>
      <c r="G4315">
        <f>IF(Table13[[#This Row],[New Pos L]]&lt;&gt;0,Table13[[#This Row],[New Pos L]],Table13[[#This Row],[New Pos R]])</f>
        <v>35</v>
      </c>
      <c r="H4315">
        <f>IF(AND(Table13[[#This Row],[Direction]]="L",Table13[[#This Row],[Steps]]&gt;G4314,G4314&lt;&gt;0),1,0)</f>
        <v>0</v>
      </c>
      <c r="I4315">
        <f>IF(AND(Table13[[#This Row],[Direction]]="R",(G4314+Table13[[#This Row],[Steps]])&gt;100),1,0)</f>
        <v>1</v>
      </c>
      <c r="J4315">
        <f>IF(Table13[[#This Row],[POS]]=0,1,0)</f>
        <v>0</v>
      </c>
      <c r="K4315">
        <f>SUM(Table13[[#This Row],[prefix]],Table13[[#This Row],[Past zero L]],Table13[[#This Row],[Past Zero R]],Table13[[#This Row],[Is Zero]])</f>
        <v>2</v>
      </c>
    </row>
    <row r="4316" spans="1:11" ht="16" x14ac:dyDescent="0.2">
      <c r="A4316" s="1" t="s">
        <v>12</v>
      </c>
      <c r="B4316" t="str">
        <f>LEFT(Table13[[#This Row],[Input]],1)</f>
        <v>L</v>
      </c>
      <c r="C4316">
        <f>_xlfn.LET(_xlpm.steps,SUBSTITUTE(Table13[[#This Row],[Input]],Table13[[#This Row],[Direction]],""),VALUE(IF(LEN(_xlpm.steps)&gt;2,RIGHT(_xlpm.steps,2),_xlpm.steps)))</f>
        <v>11</v>
      </c>
      <c r="D4316">
        <f>_xlfn.LET(_xlpm.steps,SUBSTITUTE(Table13[[#This Row],[Input]],Table13[[#This Row],[Direction]],""),VALUE(IF(LEN(_xlpm.steps)&gt;2,LEFT(_xlpm.steps,LEN(_xlpm.steps)-2),0)))</f>
        <v>0</v>
      </c>
      <c r="E4316">
        <f>_xlfn.LET(_xlpm.dir,Table13[[#This Row],[Direction]],
IF(_xlpm.dir="L",
    IF(G4315-Table13[[#This Row],[Steps]]&lt;0,100+(G4315-Table13[[#This Row],[Steps]]),G4315-Table13[[#This Row],[Steps]]),
))</f>
        <v>24</v>
      </c>
      <c r="F4316">
        <f>_xlfn.LET(_xlpm.dir,Table13[[#This Row],[Direction]],
IF(_xlpm.dir="R",
    IF(G4315+Table13[[#This Row],[Steps]]&gt;99,(G4315+Table13[[#This Row],[Steps]])-100,G4315+Table13[[#This Row],[Steps]]),
))</f>
        <v>0</v>
      </c>
      <c r="G4316">
        <f>IF(Table13[[#This Row],[New Pos L]]&lt;&gt;0,Table13[[#This Row],[New Pos L]],Table13[[#This Row],[New Pos R]])</f>
        <v>24</v>
      </c>
      <c r="H4316">
        <f>IF(AND(Table13[[#This Row],[Direction]]="L",Table13[[#This Row],[Steps]]&gt;G4315,G4315&lt;&gt;0),1,0)</f>
        <v>0</v>
      </c>
      <c r="I4316">
        <f>IF(AND(Table13[[#This Row],[Direction]]="R",(G4315+Table13[[#This Row],[Steps]])&gt;100),1,0)</f>
        <v>0</v>
      </c>
      <c r="J4316">
        <f>IF(Table13[[#This Row],[POS]]=0,1,0)</f>
        <v>0</v>
      </c>
      <c r="K4316">
        <f>SUM(Table13[[#This Row],[prefix]],Table13[[#This Row],[Past zero L]],Table13[[#This Row],[Past Zero R]],Table13[[#This Row],[Is Zero]])</f>
        <v>0</v>
      </c>
    </row>
    <row r="4317" spans="1:11" ht="16" x14ac:dyDescent="0.2">
      <c r="A4317" s="1" t="s">
        <v>33</v>
      </c>
      <c r="B4317" t="str">
        <f>LEFT(Table13[[#This Row],[Input]],1)</f>
        <v>R</v>
      </c>
      <c r="C4317">
        <f>_xlfn.LET(_xlpm.steps,SUBSTITUTE(Table13[[#This Row],[Input]],Table13[[#This Row],[Direction]],""),VALUE(IF(LEN(_xlpm.steps)&gt;2,RIGHT(_xlpm.steps,2),_xlpm.steps)))</f>
        <v>22</v>
      </c>
      <c r="D4317">
        <f>_xlfn.LET(_xlpm.steps,SUBSTITUTE(Table13[[#This Row],[Input]],Table13[[#This Row],[Direction]],""),VALUE(IF(LEN(_xlpm.steps)&gt;2,LEFT(_xlpm.steps,LEN(_xlpm.steps)-2),0)))</f>
        <v>0</v>
      </c>
      <c r="E4317">
        <f>_xlfn.LET(_xlpm.dir,Table13[[#This Row],[Direction]],
IF(_xlpm.dir="L",
    IF(G4316-Table13[[#This Row],[Steps]]&lt;0,100+(G4316-Table13[[#This Row],[Steps]]),G4316-Table13[[#This Row],[Steps]]),
))</f>
        <v>0</v>
      </c>
      <c r="F4317">
        <f>_xlfn.LET(_xlpm.dir,Table13[[#This Row],[Direction]],
IF(_xlpm.dir="R",
    IF(G4316+Table13[[#This Row],[Steps]]&gt;99,(G4316+Table13[[#This Row],[Steps]])-100,G4316+Table13[[#This Row],[Steps]]),
))</f>
        <v>46</v>
      </c>
      <c r="G4317">
        <f>IF(Table13[[#This Row],[New Pos L]]&lt;&gt;0,Table13[[#This Row],[New Pos L]],Table13[[#This Row],[New Pos R]])</f>
        <v>46</v>
      </c>
      <c r="H4317">
        <f>IF(AND(Table13[[#This Row],[Direction]]="L",Table13[[#This Row],[Steps]]&gt;G4316,G4316&lt;&gt;0),1,0)</f>
        <v>0</v>
      </c>
      <c r="I4317">
        <f>IF(AND(Table13[[#This Row],[Direction]]="R",(G4316+Table13[[#This Row],[Steps]])&gt;100),1,0)</f>
        <v>0</v>
      </c>
      <c r="J4317">
        <f>IF(Table13[[#This Row],[POS]]=0,1,0)</f>
        <v>0</v>
      </c>
      <c r="K4317">
        <f>SUM(Table13[[#This Row],[prefix]],Table13[[#This Row],[Past zero L]],Table13[[#This Row],[Past Zero R]],Table13[[#This Row],[Is Zero]])</f>
        <v>0</v>
      </c>
    </row>
    <row r="4318" spans="1:11" ht="16" x14ac:dyDescent="0.2">
      <c r="A4318" s="1" t="s">
        <v>863</v>
      </c>
      <c r="B4318" t="str">
        <f>LEFT(Table13[[#This Row],[Input]],1)</f>
        <v>L</v>
      </c>
      <c r="C4318">
        <f>_xlfn.LET(_xlpm.steps,SUBSTITUTE(Table13[[#This Row],[Input]],Table13[[#This Row],[Direction]],""),VALUE(IF(LEN(_xlpm.steps)&gt;2,RIGHT(_xlpm.steps,2),_xlpm.steps)))</f>
        <v>37</v>
      </c>
      <c r="D4318">
        <f>_xlfn.LET(_xlpm.steps,SUBSTITUTE(Table13[[#This Row],[Input]],Table13[[#This Row],[Direction]],""),VALUE(IF(LEN(_xlpm.steps)&gt;2,LEFT(_xlpm.steps,LEN(_xlpm.steps)-2),0)))</f>
        <v>3</v>
      </c>
      <c r="E4318">
        <f>_xlfn.LET(_xlpm.dir,Table13[[#This Row],[Direction]],
IF(_xlpm.dir="L",
    IF(G4317-Table13[[#This Row],[Steps]]&lt;0,100+(G4317-Table13[[#This Row],[Steps]]),G4317-Table13[[#This Row],[Steps]]),
))</f>
        <v>9</v>
      </c>
      <c r="F4318">
        <f>_xlfn.LET(_xlpm.dir,Table13[[#This Row],[Direction]],
IF(_xlpm.dir="R",
    IF(G4317+Table13[[#This Row],[Steps]]&gt;99,(G4317+Table13[[#This Row],[Steps]])-100,G4317+Table13[[#This Row],[Steps]]),
))</f>
        <v>0</v>
      </c>
      <c r="G4318">
        <f>IF(Table13[[#This Row],[New Pos L]]&lt;&gt;0,Table13[[#This Row],[New Pos L]],Table13[[#This Row],[New Pos R]])</f>
        <v>9</v>
      </c>
      <c r="H4318">
        <f>IF(AND(Table13[[#This Row],[Direction]]="L",Table13[[#This Row],[Steps]]&gt;G4317,G4317&lt;&gt;0),1,0)</f>
        <v>0</v>
      </c>
      <c r="I4318">
        <f>IF(AND(Table13[[#This Row],[Direction]]="R",(G4317+Table13[[#This Row],[Steps]])&gt;100),1,0)</f>
        <v>0</v>
      </c>
      <c r="J4318">
        <f>IF(Table13[[#This Row],[POS]]=0,1,0)</f>
        <v>0</v>
      </c>
      <c r="K4318">
        <f>SUM(Table13[[#This Row],[prefix]],Table13[[#This Row],[Past zero L]],Table13[[#This Row],[Past Zero R]],Table13[[#This Row],[Is Zero]])</f>
        <v>3</v>
      </c>
    </row>
    <row r="4319" spans="1:11" ht="16" x14ac:dyDescent="0.2">
      <c r="A4319" s="1" t="s">
        <v>120</v>
      </c>
      <c r="B4319" t="str">
        <f>LEFT(Table13[[#This Row],[Input]],1)</f>
        <v>L</v>
      </c>
      <c r="C4319">
        <f>_xlfn.LET(_xlpm.steps,SUBSTITUTE(Table13[[#This Row],[Input]],Table13[[#This Row],[Direction]],""),VALUE(IF(LEN(_xlpm.steps)&gt;2,RIGHT(_xlpm.steps,2),_xlpm.steps)))</f>
        <v>23</v>
      </c>
      <c r="D4319">
        <f>_xlfn.LET(_xlpm.steps,SUBSTITUTE(Table13[[#This Row],[Input]],Table13[[#This Row],[Direction]],""),VALUE(IF(LEN(_xlpm.steps)&gt;2,LEFT(_xlpm.steps,LEN(_xlpm.steps)-2),0)))</f>
        <v>0</v>
      </c>
      <c r="E4319">
        <f>_xlfn.LET(_xlpm.dir,Table13[[#This Row],[Direction]],
IF(_xlpm.dir="L",
    IF(G4318-Table13[[#This Row],[Steps]]&lt;0,100+(G4318-Table13[[#This Row],[Steps]]),G4318-Table13[[#This Row],[Steps]]),
))</f>
        <v>86</v>
      </c>
      <c r="F4319">
        <f>_xlfn.LET(_xlpm.dir,Table13[[#This Row],[Direction]],
IF(_xlpm.dir="R",
    IF(G4318+Table13[[#This Row],[Steps]]&gt;99,(G4318+Table13[[#This Row],[Steps]])-100,G4318+Table13[[#This Row],[Steps]]),
))</f>
        <v>0</v>
      </c>
      <c r="G4319">
        <f>IF(Table13[[#This Row],[New Pos L]]&lt;&gt;0,Table13[[#This Row],[New Pos L]],Table13[[#This Row],[New Pos R]])</f>
        <v>86</v>
      </c>
      <c r="H4319">
        <f>IF(AND(Table13[[#This Row],[Direction]]="L",Table13[[#This Row],[Steps]]&gt;G4318,G4318&lt;&gt;0),1,0)</f>
        <v>1</v>
      </c>
      <c r="I4319">
        <f>IF(AND(Table13[[#This Row],[Direction]]="R",(G4318+Table13[[#This Row],[Steps]])&gt;100),1,0)</f>
        <v>0</v>
      </c>
      <c r="J4319">
        <f>IF(Table13[[#This Row],[POS]]=0,1,0)</f>
        <v>0</v>
      </c>
      <c r="K4319">
        <f>SUM(Table13[[#This Row],[prefix]],Table13[[#This Row],[Past zero L]],Table13[[#This Row],[Past Zero R]],Table13[[#This Row],[Is Zero]])</f>
        <v>1</v>
      </c>
    </row>
    <row r="4320" spans="1:11" ht="16" x14ac:dyDescent="0.2">
      <c r="A4320" s="1" t="s">
        <v>171</v>
      </c>
      <c r="B4320" t="str">
        <f>LEFT(Table13[[#This Row],[Input]],1)</f>
        <v>L</v>
      </c>
      <c r="C4320">
        <f>_xlfn.LET(_xlpm.steps,SUBSTITUTE(Table13[[#This Row],[Input]],Table13[[#This Row],[Direction]],""),VALUE(IF(LEN(_xlpm.steps)&gt;2,RIGHT(_xlpm.steps,2),_xlpm.steps)))</f>
        <v>73</v>
      </c>
      <c r="D4320">
        <f>_xlfn.LET(_xlpm.steps,SUBSTITUTE(Table13[[#This Row],[Input]],Table13[[#This Row],[Direction]],""),VALUE(IF(LEN(_xlpm.steps)&gt;2,LEFT(_xlpm.steps,LEN(_xlpm.steps)-2),0)))</f>
        <v>0</v>
      </c>
      <c r="E4320">
        <f>_xlfn.LET(_xlpm.dir,Table13[[#This Row],[Direction]],
IF(_xlpm.dir="L",
    IF(G4319-Table13[[#This Row],[Steps]]&lt;0,100+(G4319-Table13[[#This Row],[Steps]]),G4319-Table13[[#This Row],[Steps]]),
))</f>
        <v>13</v>
      </c>
      <c r="F4320">
        <f>_xlfn.LET(_xlpm.dir,Table13[[#This Row],[Direction]],
IF(_xlpm.dir="R",
    IF(G4319+Table13[[#This Row],[Steps]]&gt;99,(G4319+Table13[[#This Row],[Steps]])-100,G4319+Table13[[#This Row],[Steps]]),
))</f>
        <v>0</v>
      </c>
      <c r="G4320">
        <f>IF(Table13[[#This Row],[New Pos L]]&lt;&gt;0,Table13[[#This Row],[New Pos L]],Table13[[#This Row],[New Pos R]])</f>
        <v>13</v>
      </c>
      <c r="H4320">
        <f>IF(AND(Table13[[#This Row],[Direction]]="L",Table13[[#This Row],[Steps]]&gt;G4319,G4319&lt;&gt;0),1,0)</f>
        <v>0</v>
      </c>
      <c r="I4320">
        <f>IF(AND(Table13[[#This Row],[Direction]]="R",(G4319+Table13[[#This Row],[Steps]])&gt;100),1,0)</f>
        <v>0</v>
      </c>
      <c r="J4320">
        <f>IF(Table13[[#This Row],[POS]]=0,1,0)</f>
        <v>0</v>
      </c>
      <c r="K4320">
        <f>SUM(Table13[[#This Row],[prefix]],Table13[[#This Row],[Past zero L]],Table13[[#This Row],[Past Zero R]],Table13[[#This Row],[Is Zero]])</f>
        <v>0</v>
      </c>
    </row>
    <row r="4321" spans="1:11" ht="16" x14ac:dyDescent="0.2">
      <c r="A4321" s="1" t="s">
        <v>55</v>
      </c>
      <c r="B4321" t="str">
        <f>LEFT(Table13[[#This Row],[Input]],1)</f>
        <v>L</v>
      </c>
      <c r="C4321">
        <f>_xlfn.LET(_xlpm.steps,SUBSTITUTE(Table13[[#This Row],[Input]],Table13[[#This Row],[Direction]],""),VALUE(IF(LEN(_xlpm.steps)&gt;2,RIGHT(_xlpm.steps,2),_xlpm.steps)))</f>
        <v>82</v>
      </c>
      <c r="D4321">
        <f>_xlfn.LET(_xlpm.steps,SUBSTITUTE(Table13[[#This Row],[Input]],Table13[[#This Row],[Direction]],""),VALUE(IF(LEN(_xlpm.steps)&gt;2,LEFT(_xlpm.steps,LEN(_xlpm.steps)-2),0)))</f>
        <v>0</v>
      </c>
      <c r="E4321">
        <f>_xlfn.LET(_xlpm.dir,Table13[[#This Row],[Direction]],
IF(_xlpm.dir="L",
    IF(G4320-Table13[[#This Row],[Steps]]&lt;0,100+(G4320-Table13[[#This Row],[Steps]]),G4320-Table13[[#This Row],[Steps]]),
))</f>
        <v>31</v>
      </c>
      <c r="F4321">
        <f>_xlfn.LET(_xlpm.dir,Table13[[#This Row],[Direction]],
IF(_xlpm.dir="R",
    IF(G4320+Table13[[#This Row],[Steps]]&gt;99,(G4320+Table13[[#This Row],[Steps]])-100,G4320+Table13[[#This Row],[Steps]]),
))</f>
        <v>0</v>
      </c>
      <c r="G4321">
        <f>IF(Table13[[#This Row],[New Pos L]]&lt;&gt;0,Table13[[#This Row],[New Pos L]],Table13[[#This Row],[New Pos R]])</f>
        <v>31</v>
      </c>
      <c r="H4321">
        <f>IF(AND(Table13[[#This Row],[Direction]]="L",Table13[[#This Row],[Steps]]&gt;G4320,G4320&lt;&gt;0),1,0)</f>
        <v>1</v>
      </c>
      <c r="I4321">
        <f>IF(AND(Table13[[#This Row],[Direction]]="R",(G4320+Table13[[#This Row],[Steps]])&gt;100),1,0)</f>
        <v>0</v>
      </c>
      <c r="J4321">
        <f>IF(Table13[[#This Row],[POS]]=0,1,0)</f>
        <v>0</v>
      </c>
      <c r="K4321">
        <f>SUM(Table13[[#This Row],[prefix]],Table13[[#This Row],[Past zero L]],Table13[[#This Row],[Past Zero R]],Table13[[#This Row],[Is Zero]])</f>
        <v>1</v>
      </c>
    </row>
    <row r="4322" spans="1:11" ht="16" x14ac:dyDescent="0.2">
      <c r="A4322" s="1" t="s">
        <v>12</v>
      </c>
      <c r="B4322" t="str">
        <f>LEFT(Table13[[#This Row],[Input]],1)</f>
        <v>L</v>
      </c>
      <c r="C4322">
        <f>_xlfn.LET(_xlpm.steps,SUBSTITUTE(Table13[[#This Row],[Input]],Table13[[#This Row],[Direction]],""),VALUE(IF(LEN(_xlpm.steps)&gt;2,RIGHT(_xlpm.steps,2),_xlpm.steps)))</f>
        <v>11</v>
      </c>
      <c r="D4322">
        <f>_xlfn.LET(_xlpm.steps,SUBSTITUTE(Table13[[#This Row],[Input]],Table13[[#This Row],[Direction]],""),VALUE(IF(LEN(_xlpm.steps)&gt;2,LEFT(_xlpm.steps,LEN(_xlpm.steps)-2),0)))</f>
        <v>0</v>
      </c>
      <c r="E4322">
        <f>_xlfn.LET(_xlpm.dir,Table13[[#This Row],[Direction]],
IF(_xlpm.dir="L",
    IF(G4321-Table13[[#This Row],[Steps]]&lt;0,100+(G4321-Table13[[#This Row],[Steps]]),G4321-Table13[[#This Row],[Steps]]),
))</f>
        <v>20</v>
      </c>
      <c r="F4322">
        <f>_xlfn.LET(_xlpm.dir,Table13[[#This Row],[Direction]],
IF(_xlpm.dir="R",
    IF(G4321+Table13[[#This Row],[Steps]]&gt;99,(G4321+Table13[[#This Row],[Steps]])-100,G4321+Table13[[#This Row],[Steps]]),
))</f>
        <v>0</v>
      </c>
      <c r="G4322">
        <f>IF(Table13[[#This Row],[New Pos L]]&lt;&gt;0,Table13[[#This Row],[New Pos L]],Table13[[#This Row],[New Pos R]])</f>
        <v>20</v>
      </c>
      <c r="H4322">
        <f>IF(AND(Table13[[#This Row],[Direction]]="L",Table13[[#This Row],[Steps]]&gt;G4321,G4321&lt;&gt;0),1,0)</f>
        <v>0</v>
      </c>
      <c r="I4322">
        <f>IF(AND(Table13[[#This Row],[Direction]]="R",(G4321+Table13[[#This Row],[Steps]])&gt;100),1,0)</f>
        <v>0</v>
      </c>
      <c r="J4322">
        <f>IF(Table13[[#This Row],[POS]]=0,1,0)</f>
        <v>0</v>
      </c>
      <c r="K4322">
        <f>SUM(Table13[[#This Row],[prefix]],Table13[[#This Row],[Past zero L]],Table13[[#This Row],[Past Zero R]],Table13[[#This Row],[Is Zero]])</f>
        <v>0</v>
      </c>
    </row>
    <row r="4323" spans="1:11" ht="16" x14ac:dyDescent="0.2">
      <c r="A4323" s="1" t="s">
        <v>256</v>
      </c>
      <c r="B4323" t="str">
        <f>LEFT(Table13[[#This Row],[Input]],1)</f>
        <v>R</v>
      </c>
      <c r="C4323">
        <f>_xlfn.LET(_xlpm.steps,SUBSTITUTE(Table13[[#This Row],[Input]],Table13[[#This Row],[Direction]],""),VALUE(IF(LEN(_xlpm.steps)&gt;2,RIGHT(_xlpm.steps,2),_xlpm.steps)))</f>
        <v>13</v>
      </c>
      <c r="D4323">
        <f>_xlfn.LET(_xlpm.steps,SUBSTITUTE(Table13[[#This Row],[Input]],Table13[[#This Row],[Direction]],""),VALUE(IF(LEN(_xlpm.steps)&gt;2,LEFT(_xlpm.steps,LEN(_xlpm.steps)-2),0)))</f>
        <v>0</v>
      </c>
      <c r="E4323">
        <f>_xlfn.LET(_xlpm.dir,Table13[[#This Row],[Direction]],
IF(_xlpm.dir="L",
    IF(G4322-Table13[[#This Row],[Steps]]&lt;0,100+(G4322-Table13[[#This Row],[Steps]]),G4322-Table13[[#This Row],[Steps]]),
))</f>
        <v>0</v>
      </c>
      <c r="F4323">
        <f>_xlfn.LET(_xlpm.dir,Table13[[#This Row],[Direction]],
IF(_xlpm.dir="R",
    IF(G4322+Table13[[#This Row],[Steps]]&gt;99,(G4322+Table13[[#This Row],[Steps]])-100,G4322+Table13[[#This Row],[Steps]]),
))</f>
        <v>33</v>
      </c>
      <c r="G4323">
        <f>IF(Table13[[#This Row],[New Pos L]]&lt;&gt;0,Table13[[#This Row],[New Pos L]],Table13[[#This Row],[New Pos R]])</f>
        <v>33</v>
      </c>
      <c r="H4323">
        <f>IF(AND(Table13[[#This Row],[Direction]]="L",Table13[[#This Row],[Steps]]&gt;G4322,G4322&lt;&gt;0),1,0)</f>
        <v>0</v>
      </c>
      <c r="I4323">
        <f>IF(AND(Table13[[#This Row],[Direction]]="R",(G4322+Table13[[#This Row],[Steps]])&gt;100),1,0)</f>
        <v>0</v>
      </c>
      <c r="J4323">
        <f>IF(Table13[[#This Row],[POS]]=0,1,0)</f>
        <v>0</v>
      </c>
      <c r="K4323">
        <f>SUM(Table13[[#This Row],[prefix]],Table13[[#This Row],[Past zero L]],Table13[[#This Row],[Past Zero R]],Table13[[#This Row],[Is Zero]])</f>
        <v>0</v>
      </c>
    </row>
    <row r="4324" spans="1:11" ht="16" x14ac:dyDescent="0.2">
      <c r="A4324" s="1" t="s">
        <v>42</v>
      </c>
      <c r="B4324" t="str">
        <f>LEFT(Table13[[#This Row],[Input]],1)</f>
        <v>L</v>
      </c>
      <c r="C4324">
        <f>_xlfn.LET(_xlpm.steps,SUBSTITUTE(Table13[[#This Row],[Input]],Table13[[#This Row],[Direction]],""),VALUE(IF(LEN(_xlpm.steps)&gt;2,RIGHT(_xlpm.steps,2),_xlpm.steps)))</f>
        <v>27</v>
      </c>
      <c r="D4324">
        <f>_xlfn.LET(_xlpm.steps,SUBSTITUTE(Table13[[#This Row],[Input]],Table13[[#This Row],[Direction]],""),VALUE(IF(LEN(_xlpm.steps)&gt;2,LEFT(_xlpm.steps,LEN(_xlpm.steps)-2),0)))</f>
        <v>0</v>
      </c>
      <c r="E4324">
        <f>_xlfn.LET(_xlpm.dir,Table13[[#This Row],[Direction]],
IF(_xlpm.dir="L",
    IF(G4323-Table13[[#This Row],[Steps]]&lt;0,100+(G4323-Table13[[#This Row],[Steps]]),G4323-Table13[[#This Row],[Steps]]),
))</f>
        <v>6</v>
      </c>
      <c r="F4324">
        <f>_xlfn.LET(_xlpm.dir,Table13[[#This Row],[Direction]],
IF(_xlpm.dir="R",
    IF(G4323+Table13[[#This Row],[Steps]]&gt;99,(G4323+Table13[[#This Row],[Steps]])-100,G4323+Table13[[#This Row],[Steps]]),
))</f>
        <v>0</v>
      </c>
      <c r="G4324">
        <f>IF(Table13[[#This Row],[New Pos L]]&lt;&gt;0,Table13[[#This Row],[New Pos L]],Table13[[#This Row],[New Pos R]])</f>
        <v>6</v>
      </c>
      <c r="H4324">
        <f>IF(AND(Table13[[#This Row],[Direction]]="L",Table13[[#This Row],[Steps]]&gt;G4323,G4323&lt;&gt;0),1,0)</f>
        <v>0</v>
      </c>
      <c r="I4324">
        <f>IF(AND(Table13[[#This Row],[Direction]]="R",(G4323+Table13[[#This Row],[Steps]])&gt;100),1,0)</f>
        <v>0</v>
      </c>
      <c r="J4324">
        <f>IF(Table13[[#This Row],[POS]]=0,1,0)</f>
        <v>0</v>
      </c>
      <c r="K4324">
        <f>SUM(Table13[[#This Row],[prefix]],Table13[[#This Row],[Past zero L]],Table13[[#This Row],[Past Zero R]],Table13[[#This Row],[Is Zero]])</f>
        <v>0</v>
      </c>
    </row>
    <row r="4325" spans="1:11" ht="16" x14ac:dyDescent="0.2">
      <c r="A4325" s="1" t="s">
        <v>106</v>
      </c>
      <c r="B4325" t="str">
        <f>LEFT(Table13[[#This Row],[Input]],1)</f>
        <v>R</v>
      </c>
      <c r="C4325">
        <f>_xlfn.LET(_xlpm.steps,SUBSTITUTE(Table13[[#This Row],[Input]],Table13[[#This Row],[Direction]],""),VALUE(IF(LEN(_xlpm.steps)&gt;2,RIGHT(_xlpm.steps,2),_xlpm.steps)))</f>
        <v>41</v>
      </c>
      <c r="D4325">
        <f>_xlfn.LET(_xlpm.steps,SUBSTITUTE(Table13[[#This Row],[Input]],Table13[[#This Row],[Direction]],""),VALUE(IF(LEN(_xlpm.steps)&gt;2,LEFT(_xlpm.steps,LEN(_xlpm.steps)-2),0)))</f>
        <v>0</v>
      </c>
      <c r="E4325">
        <f>_xlfn.LET(_xlpm.dir,Table13[[#This Row],[Direction]],
IF(_xlpm.dir="L",
    IF(G4324-Table13[[#This Row],[Steps]]&lt;0,100+(G4324-Table13[[#This Row],[Steps]]),G4324-Table13[[#This Row],[Steps]]),
))</f>
        <v>0</v>
      </c>
      <c r="F4325">
        <f>_xlfn.LET(_xlpm.dir,Table13[[#This Row],[Direction]],
IF(_xlpm.dir="R",
    IF(G4324+Table13[[#This Row],[Steps]]&gt;99,(G4324+Table13[[#This Row],[Steps]])-100,G4324+Table13[[#This Row],[Steps]]),
))</f>
        <v>47</v>
      </c>
      <c r="G4325">
        <f>IF(Table13[[#This Row],[New Pos L]]&lt;&gt;0,Table13[[#This Row],[New Pos L]],Table13[[#This Row],[New Pos R]])</f>
        <v>47</v>
      </c>
      <c r="H4325">
        <f>IF(AND(Table13[[#This Row],[Direction]]="L",Table13[[#This Row],[Steps]]&gt;G4324,G4324&lt;&gt;0),1,0)</f>
        <v>0</v>
      </c>
      <c r="I4325">
        <f>IF(AND(Table13[[#This Row],[Direction]]="R",(G4324+Table13[[#This Row],[Steps]])&gt;100),1,0)</f>
        <v>0</v>
      </c>
      <c r="J4325">
        <f>IF(Table13[[#This Row],[POS]]=0,1,0)</f>
        <v>0</v>
      </c>
      <c r="K4325">
        <f>SUM(Table13[[#This Row],[prefix]],Table13[[#This Row],[Past zero L]],Table13[[#This Row],[Past Zero R]],Table13[[#This Row],[Is Zero]])</f>
        <v>0</v>
      </c>
    </row>
    <row r="4326" spans="1:11" ht="16" x14ac:dyDescent="0.2">
      <c r="A4326" s="1" t="s">
        <v>264</v>
      </c>
      <c r="B4326" t="str">
        <f>LEFT(Table13[[#This Row],[Input]],1)</f>
        <v>L</v>
      </c>
      <c r="C4326">
        <f>_xlfn.LET(_xlpm.steps,SUBSTITUTE(Table13[[#This Row],[Input]],Table13[[#This Row],[Direction]],""),VALUE(IF(LEN(_xlpm.steps)&gt;2,RIGHT(_xlpm.steps,2),_xlpm.steps)))</f>
        <v>21</v>
      </c>
      <c r="D4326">
        <f>_xlfn.LET(_xlpm.steps,SUBSTITUTE(Table13[[#This Row],[Input]],Table13[[#This Row],[Direction]],""),VALUE(IF(LEN(_xlpm.steps)&gt;2,LEFT(_xlpm.steps,LEN(_xlpm.steps)-2),0)))</f>
        <v>0</v>
      </c>
      <c r="E4326">
        <f>_xlfn.LET(_xlpm.dir,Table13[[#This Row],[Direction]],
IF(_xlpm.dir="L",
    IF(G4325-Table13[[#This Row],[Steps]]&lt;0,100+(G4325-Table13[[#This Row],[Steps]]),G4325-Table13[[#This Row],[Steps]]),
))</f>
        <v>26</v>
      </c>
      <c r="F4326">
        <f>_xlfn.LET(_xlpm.dir,Table13[[#This Row],[Direction]],
IF(_xlpm.dir="R",
    IF(G4325+Table13[[#This Row],[Steps]]&gt;99,(G4325+Table13[[#This Row],[Steps]])-100,G4325+Table13[[#This Row],[Steps]]),
))</f>
        <v>0</v>
      </c>
      <c r="G4326">
        <f>IF(Table13[[#This Row],[New Pos L]]&lt;&gt;0,Table13[[#This Row],[New Pos L]],Table13[[#This Row],[New Pos R]])</f>
        <v>26</v>
      </c>
      <c r="H4326">
        <f>IF(AND(Table13[[#This Row],[Direction]]="L",Table13[[#This Row],[Steps]]&gt;G4325,G4325&lt;&gt;0),1,0)</f>
        <v>0</v>
      </c>
      <c r="I4326">
        <f>IF(AND(Table13[[#This Row],[Direction]]="R",(G4325+Table13[[#This Row],[Steps]])&gt;100),1,0)</f>
        <v>0</v>
      </c>
      <c r="J4326">
        <f>IF(Table13[[#This Row],[POS]]=0,1,0)</f>
        <v>0</v>
      </c>
      <c r="K4326">
        <f>SUM(Table13[[#This Row],[prefix]],Table13[[#This Row],[Past zero L]],Table13[[#This Row],[Past Zero R]],Table13[[#This Row],[Is Zero]])</f>
        <v>0</v>
      </c>
    </row>
    <row r="4327" spans="1:11" ht="16" x14ac:dyDescent="0.2">
      <c r="A4327" s="1" t="s">
        <v>304</v>
      </c>
      <c r="B4327" t="str">
        <f>LEFT(Table13[[#This Row],[Input]],1)</f>
        <v>L</v>
      </c>
      <c r="C4327">
        <f>_xlfn.LET(_xlpm.steps,SUBSTITUTE(Table13[[#This Row],[Input]],Table13[[#This Row],[Direction]],""),VALUE(IF(LEN(_xlpm.steps)&gt;2,RIGHT(_xlpm.steps,2),_xlpm.steps)))</f>
        <v>26</v>
      </c>
      <c r="D4327">
        <f>_xlfn.LET(_xlpm.steps,SUBSTITUTE(Table13[[#This Row],[Input]],Table13[[#This Row],[Direction]],""),VALUE(IF(LEN(_xlpm.steps)&gt;2,LEFT(_xlpm.steps,LEN(_xlpm.steps)-2),0)))</f>
        <v>0</v>
      </c>
      <c r="E4327">
        <f>_xlfn.LET(_xlpm.dir,Table13[[#This Row],[Direction]],
IF(_xlpm.dir="L",
    IF(G4326-Table13[[#This Row],[Steps]]&lt;0,100+(G4326-Table13[[#This Row],[Steps]]),G4326-Table13[[#This Row],[Steps]]),
))</f>
        <v>0</v>
      </c>
      <c r="F4327">
        <f>_xlfn.LET(_xlpm.dir,Table13[[#This Row],[Direction]],
IF(_xlpm.dir="R",
    IF(G4326+Table13[[#This Row],[Steps]]&gt;99,(G4326+Table13[[#This Row],[Steps]])-100,G4326+Table13[[#This Row],[Steps]]),
))</f>
        <v>0</v>
      </c>
      <c r="G4327">
        <f>IF(Table13[[#This Row],[New Pos L]]&lt;&gt;0,Table13[[#This Row],[New Pos L]],Table13[[#This Row],[New Pos R]])</f>
        <v>0</v>
      </c>
      <c r="H4327">
        <f>IF(AND(Table13[[#This Row],[Direction]]="L",Table13[[#This Row],[Steps]]&gt;G4326,G4326&lt;&gt;0),1,0)</f>
        <v>0</v>
      </c>
      <c r="I4327">
        <f>IF(AND(Table13[[#This Row],[Direction]]="R",(G4326+Table13[[#This Row],[Steps]])&gt;100),1,0)</f>
        <v>0</v>
      </c>
      <c r="J4327">
        <f>IF(Table13[[#This Row],[POS]]=0,1,0)</f>
        <v>1</v>
      </c>
      <c r="K4327">
        <f>SUM(Table13[[#This Row],[prefix]],Table13[[#This Row],[Past zero L]],Table13[[#This Row],[Past Zero R]],Table13[[#This Row],[Is Zero]])</f>
        <v>1</v>
      </c>
    </row>
    <row r="4328" spans="1:11" ht="16" x14ac:dyDescent="0.2">
      <c r="A4328" s="1" t="s">
        <v>182</v>
      </c>
      <c r="B4328" t="str">
        <f>LEFT(Table13[[#This Row],[Input]],1)</f>
        <v>L</v>
      </c>
      <c r="C4328">
        <f>_xlfn.LET(_xlpm.steps,SUBSTITUTE(Table13[[#This Row],[Input]],Table13[[#This Row],[Direction]],""),VALUE(IF(LEN(_xlpm.steps)&gt;2,RIGHT(_xlpm.steps,2),_xlpm.steps)))</f>
        <v>3</v>
      </c>
      <c r="D4328">
        <f>_xlfn.LET(_xlpm.steps,SUBSTITUTE(Table13[[#This Row],[Input]],Table13[[#This Row],[Direction]],""),VALUE(IF(LEN(_xlpm.steps)&gt;2,LEFT(_xlpm.steps,LEN(_xlpm.steps)-2),0)))</f>
        <v>0</v>
      </c>
      <c r="E4328">
        <f>_xlfn.LET(_xlpm.dir,Table13[[#This Row],[Direction]],
IF(_xlpm.dir="L",
    IF(G4327-Table13[[#This Row],[Steps]]&lt;0,100+(G4327-Table13[[#This Row],[Steps]]),G4327-Table13[[#This Row],[Steps]]),
))</f>
        <v>97</v>
      </c>
      <c r="F4328">
        <f>_xlfn.LET(_xlpm.dir,Table13[[#This Row],[Direction]],
IF(_xlpm.dir="R",
    IF(G4327+Table13[[#This Row],[Steps]]&gt;99,(G4327+Table13[[#This Row],[Steps]])-100,G4327+Table13[[#This Row],[Steps]]),
))</f>
        <v>0</v>
      </c>
      <c r="G4328">
        <f>IF(Table13[[#This Row],[New Pos L]]&lt;&gt;0,Table13[[#This Row],[New Pos L]],Table13[[#This Row],[New Pos R]])</f>
        <v>97</v>
      </c>
      <c r="H4328">
        <f>IF(AND(Table13[[#This Row],[Direction]]="L",Table13[[#This Row],[Steps]]&gt;G4327,G4327&lt;&gt;0),1,0)</f>
        <v>0</v>
      </c>
      <c r="I4328">
        <f>IF(AND(Table13[[#This Row],[Direction]]="R",(G4327+Table13[[#This Row],[Steps]])&gt;100),1,0)</f>
        <v>0</v>
      </c>
      <c r="J4328">
        <f>IF(Table13[[#This Row],[POS]]=0,1,0)</f>
        <v>0</v>
      </c>
      <c r="K4328">
        <f>SUM(Table13[[#This Row],[prefix]],Table13[[#This Row],[Past zero L]],Table13[[#This Row],[Past Zero R]],Table13[[#This Row],[Is Zero]])</f>
        <v>0</v>
      </c>
    </row>
    <row r="4329" spans="1:11" ht="16" x14ac:dyDescent="0.2">
      <c r="A4329" s="1" t="s">
        <v>4</v>
      </c>
      <c r="B4329" t="str">
        <f>LEFT(Table13[[#This Row],[Input]],1)</f>
        <v>R</v>
      </c>
      <c r="C4329">
        <f>_xlfn.LET(_xlpm.steps,SUBSTITUTE(Table13[[#This Row],[Input]],Table13[[#This Row],[Direction]],""),VALUE(IF(LEN(_xlpm.steps)&gt;2,RIGHT(_xlpm.steps,2),_xlpm.steps)))</f>
        <v>3</v>
      </c>
      <c r="D4329">
        <f>_xlfn.LET(_xlpm.steps,SUBSTITUTE(Table13[[#This Row],[Input]],Table13[[#This Row],[Direction]],""),VALUE(IF(LEN(_xlpm.steps)&gt;2,LEFT(_xlpm.steps,LEN(_xlpm.steps)-2),0)))</f>
        <v>0</v>
      </c>
      <c r="E4329">
        <f>_xlfn.LET(_xlpm.dir,Table13[[#This Row],[Direction]],
IF(_xlpm.dir="L",
    IF(G4328-Table13[[#This Row],[Steps]]&lt;0,100+(G4328-Table13[[#This Row],[Steps]]),G4328-Table13[[#This Row],[Steps]]),
))</f>
        <v>0</v>
      </c>
      <c r="F4329">
        <f>_xlfn.LET(_xlpm.dir,Table13[[#This Row],[Direction]],
IF(_xlpm.dir="R",
    IF(G4328+Table13[[#This Row],[Steps]]&gt;99,(G4328+Table13[[#This Row],[Steps]])-100,G4328+Table13[[#This Row],[Steps]]),
))</f>
        <v>0</v>
      </c>
      <c r="G4329">
        <f>IF(Table13[[#This Row],[New Pos L]]&lt;&gt;0,Table13[[#This Row],[New Pos L]],Table13[[#This Row],[New Pos R]])</f>
        <v>0</v>
      </c>
      <c r="H4329">
        <f>IF(AND(Table13[[#This Row],[Direction]]="L",Table13[[#This Row],[Steps]]&gt;G4328,G4328&lt;&gt;0),1,0)</f>
        <v>0</v>
      </c>
      <c r="I4329">
        <f>IF(AND(Table13[[#This Row],[Direction]]="R",(G4328+Table13[[#This Row],[Steps]])&gt;100),1,0)</f>
        <v>0</v>
      </c>
      <c r="J4329">
        <f>IF(Table13[[#This Row],[POS]]=0,1,0)</f>
        <v>1</v>
      </c>
      <c r="K4329">
        <f>SUM(Table13[[#This Row],[prefix]],Table13[[#This Row],[Past zero L]],Table13[[#This Row],[Past Zero R]],Table13[[#This Row],[Is Zero]])</f>
        <v>1</v>
      </c>
    </row>
    <row r="4330" spans="1:11" ht="16" x14ac:dyDescent="0.2">
      <c r="A4330" s="1" t="s">
        <v>864</v>
      </c>
      <c r="B4330" t="str">
        <f>LEFT(Table13[[#This Row],[Input]],1)</f>
        <v>L</v>
      </c>
      <c r="C4330">
        <f>_xlfn.LET(_xlpm.steps,SUBSTITUTE(Table13[[#This Row],[Input]],Table13[[#This Row],[Direction]],""),VALUE(IF(LEN(_xlpm.steps)&gt;2,RIGHT(_xlpm.steps,2),_xlpm.steps)))</f>
        <v>25</v>
      </c>
      <c r="D4330">
        <f>_xlfn.LET(_xlpm.steps,SUBSTITUTE(Table13[[#This Row],[Input]],Table13[[#This Row],[Direction]],""),VALUE(IF(LEN(_xlpm.steps)&gt;2,LEFT(_xlpm.steps,LEN(_xlpm.steps)-2),0)))</f>
        <v>6</v>
      </c>
      <c r="E4330">
        <f>_xlfn.LET(_xlpm.dir,Table13[[#This Row],[Direction]],
IF(_xlpm.dir="L",
    IF(G4329-Table13[[#This Row],[Steps]]&lt;0,100+(G4329-Table13[[#This Row],[Steps]]),G4329-Table13[[#This Row],[Steps]]),
))</f>
        <v>75</v>
      </c>
      <c r="F4330">
        <f>_xlfn.LET(_xlpm.dir,Table13[[#This Row],[Direction]],
IF(_xlpm.dir="R",
    IF(G4329+Table13[[#This Row],[Steps]]&gt;99,(G4329+Table13[[#This Row],[Steps]])-100,G4329+Table13[[#This Row],[Steps]]),
))</f>
        <v>0</v>
      </c>
      <c r="G4330">
        <f>IF(Table13[[#This Row],[New Pos L]]&lt;&gt;0,Table13[[#This Row],[New Pos L]],Table13[[#This Row],[New Pos R]])</f>
        <v>75</v>
      </c>
      <c r="H4330">
        <f>IF(AND(Table13[[#This Row],[Direction]]="L",Table13[[#This Row],[Steps]]&gt;G4329,G4329&lt;&gt;0),1,0)</f>
        <v>0</v>
      </c>
      <c r="I4330">
        <f>IF(AND(Table13[[#This Row],[Direction]]="R",(G4329+Table13[[#This Row],[Steps]])&gt;100),1,0)</f>
        <v>0</v>
      </c>
      <c r="J4330">
        <f>IF(Table13[[#This Row],[POS]]=0,1,0)</f>
        <v>0</v>
      </c>
      <c r="K4330">
        <f>SUM(Table13[[#This Row],[prefix]],Table13[[#This Row],[Past zero L]],Table13[[#This Row],[Past Zero R]],Table13[[#This Row],[Is Zero]])</f>
        <v>6</v>
      </c>
    </row>
    <row r="4331" spans="1:11" ht="16" x14ac:dyDescent="0.2">
      <c r="A4331" s="1" t="s">
        <v>865</v>
      </c>
      <c r="B4331" t="str">
        <f>LEFT(Table13[[#This Row],[Input]],1)</f>
        <v>L</v>
      </c>
      <c r="C4331">
        <f>_xlfn.LET(_xlpm.steps,SUBSTITUTE(Table13[[#This Row],[Input]],Table13[[#This Row],[Direction]],""),VALUE(IF(LEN(_xlpm.steps)&gt;2,RIGHT(_xlpm.steps,2),_xlpm.steps)))</f>
        <v>63</v>
      </c>
      <c r="D4331">
        <f>_xlfn.LET(_xlpm.steps,SUBSTITUTE(Table13[[#This Row],[Input]],Table13[[#This Row],[Direction]],""),VALUE(IF(LEN(_xlpm.steps)&gt;2,LEFT(_xlpm.steps,LEN(_xlpm.steps)-2),0)))</f>
        <v>8</v>
      </c>
      <c r="E4331">
        <f>_xlfn.LET(_xlpm.dir,Table13[[#This Row],[Direction]],
IF(_xlpm.dir="L",
    IF(G4330-Table13[[#This Row],[Steps]]&lt;0,100+(G4330-Table13[[#This Row],[Steps]]),G4330-Table13[[#This Row],[Steps]]),
))</f>
        <v>12</v>
      </c>
      <c r="F4331">
        <f>_xlfn.LET(_xlpm.dir,Table13[[#This Row],[Direction]],
IF(_xlpm.dir="R",
    IF(G4330+Table13[[#This Row],[Steps]]&gt;99,(G4330+Table13[[#This Row],[Steps]])-100,G4330+Table13[[#This Row],[Steps]]),
))</f>
        <v>0</v>
      </c>
      <c r="G4331">
        <f>IF(Table13[[#This Row],[New Pos L]]&lt;&gt;0,Table13[[#This Row],[New Pos L]],Table13[[#This Row],[New Pos R]])</f>
        <v>12</v>
      </c>
      <c r="H4331">
        <f>IF(AND(Table13[[#This Row],[Direction]]="L",Table13[[#This Row],[Steps]]&gt;G4330,G4330&lt;&gt;0),1,0)</f>
        <v>0</v>
      </c>
      <c r="I4331">
        <f>IF(AND(Table13[[#This Row],[Direction]]="R",(G4330+Table13[[#This Row],[Steps]])&gt;100),1,0)</f>
        <v>0</v>
      </c>
      <c r="J4331">
        <f>IF(Table13[[#This Row],[POS]]=0,1,0)</f>
        <v>0</v>
      </c>
      <c r="K4331">
        <f>SUM(Table13[[#This Row],[prefix]],Table13[[#This Row],[Past zero L]],Table13[[#This Row],[Past Zero R]],Table13[[#This Row],[Is Zero]])</f>
        <v>8</v>
      </c>
    </row>
    <row r="4332" spans="1:11" ht="16" x14ac:dyDescent="0.2">
      <c r="A4332" s="1" t="s">
        <v>866</v>
      </c>
      <c r="B4332" t="str">
        <f>LEFT(Table13[[#This Row],[Input]],1)</f>
        <v>L</v>
      </c>
      <c r="C4332">
        <f>_xlfn.LET(_xlpm.steps,SUBSTITUTE(Table13[[#This Row],[Input]],Table13[[#This Row],[Direction]],""),VALUE(IF(LEN(_xlpm.steps)&gt;2,RIGHT(_xlpm.steps,2),_xlpm.steps)))</f>
        <v>94</v>
      </c>
      <c r="D4332">
        <f>_xlfn.LET(_xlpm.steps,SUBSTITUTE(Table13[[#This Row],[Input]],Table13[[#This Row],[Direction]],""),VALUE(IF(LEN(_xlpm.steps)&gt;2,LEFT(_xlpm.steps,LEN(_xlpm.steps)-2),0)))</f>
        <v>4</v>
      </c>
      <c r="E4332">
        <f>_xlfn.LET(_xlpm.dir,Table13[[#This Row],[Direction]],
IF(_xlpm.dir="L",
    IF(G4331-Table13[[#This Row],[Steps]]&lt;0,100+(G4331-Table13[[#This Row],[Steps]]),G4331-Table13[[#This Row],[Steps]]),
))</f>
        <v>18</v>
      </c>
      <c r="F4332">
        <f>_xlfn.LET(_xlpm.dir,Table13[[#This Row],[Direction]],
IF(_xlpm.dir="R",
    IF(G4331+Table13[[#This Row],[Steps]]&gt;99,(G4331+Table13[[#This Row],[Steps]])-100,G4331+Table13[[#This Row],[Steps]]),
))</f>
        <v>0</v>
      </c>
      <c r="G4332">
        <f>IF(Table13[[#This Row],[New Pos L]]&lt;&gt;0,Table13[[#This Row],[New Pos L]],Table13[[#This Row],[New Pos R]])</f>
        <v>18</v>
      </c>
      <c r="H4332">
        <f>IF(AND(Table13[[#This Row],[Direction]]="L",Table13[[#This Row],[Steps]]&gt;G4331,G4331&lt;&gt;0),1,0)</f>
        <v>1</v>
      </c>
      <c r="I4332">
        <f>IF(AND(Table13[[#This Row],[Direction]]="R",(G4331+Table13[[#This Row],[Steps]])&gt;100),1,0)</f>
        <v>0</v>
      </c>
      <c r="J4332">
        <f>IF(Table13[[#This Row],[POS]]=0,1,0)</f>
        <v>0</v>
      </c>
      <c r="K4332">
        <f>SUM(Table13[[#This Row],[prefix]],Table13[[#This Row],[Past zero L]],Table13[[#This Row],[Past Zero R]],Table13[[#This Row],[Is Zero]])</f>
        <v>5</v>
      </c>
    </row>
    <row r="4333" spans="1:11" ht="16" x14ac:dyDescent="0.2">
      <c r="A4333" s="1" t="s">
        <v>155</v>
      </c>
      <c r="B4333" t="str">
        <f>LEFT(Table13[[#This Row],[Input]],1)</f>
        <v>L</v>
      </c>
      <c r="C4333">
        <f>_xlfn.LET(_xlpm.steps,SUBSTITUTE(Table13[[#This Row],[Input]],Table13[[#This Row],[Direction]],""),VALUE(IF(LEN(_xlpm.steps)&gt;2,RIGHT(_xlpm.steps,2),_xlpm.steps)))</f>
        <v>18</v>
      </c>
      <c r="D4333">
        <f>_xlfn.LET(_xlpm.steps,SUBSTITUTE(Table13[[#This Row],[Input]],Table13[[#This Row],[Direction]],""),VALUE(IF(LEN(_xlpm.steps)&gt;2,LEFT(_xlpm.steps,LEN(_xlpm.steps)-2),0)))</f>
        <v>0</v>
      </c>
      <c r="E4333">
        <f>_xlfn.LET(_xlpm.dir,Table13[[#This Row],[Direction]],
IF(_xlpm.dir="L",
    IF(G4332-Table13[[#This Row],[Steps]]&lt;0,100+(G4332-Table13[[#This Row],[Steps]]),G4332-Table13[[#This Row],[Steps]]),
))</f>
        <v>0</v>
      </c>
      <c r="F4333">
        <f>_xlfn.LET(_xlpm.dir,Table13[[#This Row],[Direction]],
IF(_xlpm.dir="R",
    IF(G4332+Table13[[#This Row],[Steps]]&gt;99,(G4332+Table13[[#This Row],[Steps]])-100,G4332+Table13[[#This Row],[Steps]]),
))</f>
        <v>0</v>
      </c>
      <c r="G4333">
        <f>IF(Table13[[#This Row],[New Pos L]]&lt;&gt;0,Table13[[#This Row],[New Pos L]],Table13[[#This Row],[New Pos R]])</f>
        <v>0</v>
      </c>
      <c r="H4333">
        <f>IF(AND(Table13[[#This Row],[Direction]]="L",Table13[[#This Row],[Steps]]&gt;G4332,G4332&lt;&gt;0),1,0)</f>
        <v>0</v>
      </c>
      <c r="I4333">
        <f>IF(AND(Table13[[#This Row],[Direction]]="R",(G4332+Table13[[#This Row],[Steps]])&gt;100),1,0)</f>
        <v>0</v>
      </c>
      <c r="J4333">
        <f>IF(Table13[[#This Row],[POS]]=0,1,0)</f>
        <v>1</v>
      </c>
      <c r="K4333">
        <f>SUM(Table13[[#This Row],[prefix]],Table13[[#This Row],[Past zero L]],Table13[[#This Row],[Past Zero R]],Table13[[#This Row],[Is Zero]])</f>
        <v>1</v>
      </c>
    </row>
    <row r="4334" spans="1:11" ht="16" x14ac:dyDescent="0.2">
      <c r="A4334" s="1" t="s">
        <v>867</v>
      </c>
      <c r="B4334" t="str">
        <f>LEFT(Table13[[#This Row],[Input]],1)</f>
        <v>L</v>
      </c>
      <c r="C4334">
        <f>_xlfn.LET(_xlpm.steps,SUBSTITUTE(Table13[[#This Row],[Input]],Table13[[#This Row],[Direction]],""),VALUE(IF(LEN(_xlpm.steps)&gt;2,RIGHT(_xlpm.steps,2),_xlpm.steps)))</f>
        <v>49</v>
      </c>
      <c r="D4334">
        <f>_xlfn.LET(_xlpm.steps,SUBSTITUTE(Table13[[#This Row],[Input]],Table13[[#This Row],[Direction]],""),VALUE(IF(LEN(_xlpm.steps)&gt;2,LEFT(_xlpm.steps,LEN(_xlpm.steps)-2),0)))</f>
        <v>4</v>
      </c>
      <c r="E4334">
        <f>_xlfn.LET(_xlpm.dir,Table13[[#This Row],[Direction]],
IF(_xlpm.dir="L",
    IF(G4333-Table13[[#This Row],[Steps]]&lt;0,100+(G4333-Table13[[#This Row],[Steps]]),G4333-Table13[[#This Row],[Steps]]),
))</f>
        <v>51</v>
      </c>
      <c r="F4334">
        <f>_xlfn.LET(_xlpm.dir,Table13[[#This Row],[Direction]],
IF(_xlpm.dir="R",
    IF(G4333+Table13[[#This Row],[Steps]]&gt;99,(G4333+Table13[[#This Row],[Steps]])-100,G4333+Table13[[#This Row],[Steps]]),
))</f>
        <v>0</v>
      </c>
      <c r="G4334">
        <f>IF(Table13[[#This Row],[New Pos L]]&lt;&gt;0,Table13[[#This Row],[New Pos L]],Table13[[#This Row],[New Pos R]])</f>
        <v>51</v>
      </c>
      <c r="H4334">
        <f>IF(AND(Table13[[#This Row],[Direction]]="L",Table13[[#This Row],[Steps]]&gt;G4333,G4333&lt;&gt;0),1,0)</f>
        <v>0</v>
      </c>
      <c r="I4334">
        <f>IF(AND(Table13[[#This Row],[Direction]]="R",(G4333+Table13[[#This Row],[Steps]])&gt;100),1,0)</f>
        <v>0</v>
      </c>
      <c r="J4334">
        <f>IF(Table13[[#This Row],[POS]]=0,1,0)</f>
        <v>0</v>
      </c>
      <c r="K4334">
        <f>SUM(Table13[[#This Row],[prefix]],Table13[[#This Row],[Past zero L]],Table13[[#This Row],[Past Zero R]],Table13[[#This Row],[Is Zero]])</f>
        <v>4</v>
      </c>
    </row>
    <row r="4335" spans="1:11" ht="16" x14ac:dyDescent="0.2">
      <c r="A4335" s="1" t="s">
        <v>868</v>
      </c>
      <c r="B4335" t="str">
        <f>LEFT(Table13[[#This Row],[Input]],1)</f>
        <v>L</v>
      </c>
      <c r="C4335">
        <f>_xlfn.LET(_xlpm.steps,SUBSTITUTE(Table13[[#This Row],[Input]],Table13[[#This Row],[Direction]],""),VALUE(IF(LEN(_xlpm.steps)&gt;2,RIGHT(_xlpm.steps,2),_xlpm.steps)))</f>
        <v>86</v>
      </c>
      <c r="D4335">
        <f>_xlfn.LET(_xlpm.steps,SUBSTITUTE(Table13[[#This Row],[Input]],Table13[[#This Row],[Direction]],""),VALUE(IF(LEN(_xlpm.steps)&gt;2,LEFT(_xlpm.steps,LEN(_xlpm.steps)-2),0)))</f>
        <v>5</v>
      </c>
      <c r="E4335">
        <f>_xlfn.LET(_xlpm.dir,Table13[[#This Row],[Direction]],
IF(_xlpm.dir="L",
    IF(G4334-Table13[[#This Row],[Steps]]&lt;0,100+(G4334-Table13[[#This Row],[Steps]]),G4334-Table13[[#This Row],[Steps]]),
))</f>
        <v>65</v>
      </c>
      <c r="F4335">
        <f>_xlfn.LET(_xlpm.dir,Table13[[#This Row],[Direction]],
IF(_xlpm.dir="R",
    IF(G4334+Table13[[#This Row],[Steps]]&gt;99,(G4334+Table13[[#This Row],[Steps]])-100,G4334+Table13[[#This Row],[Steps]]),
))</f>
        <v>0</v>
      </c>
      <c r="G4335">
        <f>IF(Table13[[#This Row],[New Pos L]]&lt;&gt;0,Table13[[#This Row],[New Pos L]],Table13[[#This Row],[New Pos R]])</f>
        <v>65</v>
      </c>
      <c r="H4335">
        <f>IF(AND(Table13[[#This Row],[Direction]]="L",Table13[[#This Row],[Steps]]&gt;G4334,G4334&lt;&gt;0),1,0)</f>
        <v>1</v>
      </c>
      <c r="I4335">
        <f>IF(AND(Table13[[#This Row],[Direction]]="R",(G4334+Table13[[#This Row],[Steps]])&gt;100),1,0)</f>
        <v>0</v>
      </c>
      <c r="J4335">
        <f>IF(Table13[[#This Row],[POS]]=0,1,0)</f>
        <v>0</v>
      </c>
      <c r="K4335">
        <f>SUM(Table13[[#This Row],[prefix]],Table13[[#This Row],[Past zero L]],Table13[[#This Row],[Past Zero R]],Table13[[#This Row],[Is Zero]])</f>
        <v>6</v>
      </c>
    </row>
    <row r="4336" spans="1:11" ht="16" x14ac:dyDescent="0.2">
      <c r="A4336" s="1" t="s">
        <v>18</v>
      </c>
      <c r="B4336" t="str">
        <f>LEFT(Table13[[#This Row],[Input]],1)</f>
        <v>L</v>
      </c>
      <c r="C4336">
        <f>_xlfn.LET(_xlpm.steps,SUBSTITUTE(Table13[[#This Row],[Input]],Table13[[#This Row],[Direction]],""),VALUE(IF(LEN(_xlpm.steps)&gt;2,RIGHT(_xlpm.steps,2),_xlpm.steps)))</f>
        <v>46</v>
      </c>
      <c r="D4336">
        <f>_xlfn.LET(_xlpm.steps,SUBSTITUTE(Table13[[#This Row],[Input]],Table13[[#This Row],[Direction]],""),VALUE(IF(LEN(_xlpm.steps)&gt;2,LEFT(_xlpm.steps,LEN(_xlpm.steps)-2),0)))</f>
        <v>0</v>
      </c>
      <c r="E4336">
        <f>_xlfn.LET(_xlpm.dir,Table13[[#This Row],[Direction]],
IF(_xlpm.dir="L",
    IF(G4335-Table13[[#This Row],[Steps]]&lt;0,100+(G4335-Table13[[#This Row],[Steps]]),G4335-Table13[[#This Row],[Steps]]),
))</f>
        <v>19</v>
      </c>
      <c r="F4336">
        <f>_xlfn.LET(_xlpm.dir,Table13[[#This Row],[Direction]],
IF(_xlpm.dir="R",
    IF(G4335+Table13[[#This Row],[Steps]]&gt;99,(G4335+Table13[[#This Row],[Steps]])-100,G4335+Table13[[#This Row],[Steps]]),
))</f>
        <v>0</v>
      </c>
      <c r="G4336">
        <f>IF(Table13[[#This Row],[New Pos L]]&lt;&gt;0,Table13[[#This Row],[New Pos L]],Table13[[#This Row],[New Pos R]])</f>
        <v>19</v>
      </c>
      <c r="H4336">
        <f>IF(AND(Table13[[#This Row],[Direction]]="L",Table13[[#This Row],[Steps]]&gt;G4335,G4335&lt;&gt;0),1,0)</f>
        <v>0</v>
      </c>
      <c r="I4336">
        <f>IF(AND(Table13[[#This Row],[Direction]]="R",(G4335+Table13[[#This Row],[Steps]])&gt;100),1,0)</f>
        <v>0</v>
      </c>
      <c r="J4336">
        <f>IF(Table13[[#This Row],[POS]]=0,1,0)</f>
        <v>0</v>
      </c>
      <c r="K4336">
        <f>SUM(Table13[[#This Row],[prefix]],Table13[[#This Row],[Past zero L]],Table13[[#This Row],[Past Zero R]],Table13[[#This Row],[Is Zero]])</f>
        <v>0</v>
      </c>
    </row>
    <row r="4337" spans="1:11" ht="16" x14ac:dyDescent="0.2">
      <c r="A4337" s="1" t="s">
        <v>48</v>
      </c>
      <c r="B4337" t="str">
        <f>LEFT(Table13[[#This Row],[Input]],1)</f>
        <v>R</v>
      </c>
      <c r="C4337">
        <f>_xlfn.LET(_xlpm.steps,SUBSTITUTE(Table13[[#This Row],[Input]],Table13[[#This Row],[Direction]],""),VALUE(IF(LEN(_xlpm.steps)&gt;2,RIGHT(_xlpm.steps,2),_xlpm.steps)))</f>
        <v>81</v>
      </c>
      <c r="D4337">
        <f>_xlfn.LET(_xlpm.steps,SUBSTITUTE(Table13[[#This Row],[Input]],Table13[[#This Row],[Direction]],""),VALUE(IF(LEN(_xlpm.steps)&gt;2,LEFT(_xlpm.steps,LEN(_xlpm.steps)-2),0)))</f>
        <v>0</v>
      </c>
      <c r="E4337">
        <f>_xlfn.LET(_xlpm.dir,Table13[[#This Row],[Direction]],
IF(_xlpm.dir="L",
    IF(G4336-Table13[[#This Row],[Steps]]&lt;0,100+(G4336-Table13[[#This Row],[Steps]]),G4336-Table13[[#This Row],[Steps]]),
))</f>
        <v>0</v>
      </c>
      <c r="F4337">
        <f>_xlfn.LET(_xlpm.dir,Table13[[#This Row],[Direction]],
IF(_xlpm.dir="R",
    IF(G4336+Table13[[#This Row],[Steps]]&gt;99,(G4336+Table13[[#This Row],[Steps]])-100,G4336+Table13[[#This Row],[Steps]]),
))</f>
        <v>0</v>
      </c>
      <c r="G4337">
        <f>IF(Table13[[#This Row],[New Pos L]]&lt;&gt;0,Table13[[#This Row],[New Pos L]],Table13[[#This Row],[New Pos R]])</f>
        <v>0</v>
      </c>
      <c r="H4337">
        <f>IF(AND(Table13[[#This Row],[Direction]]="L",Table13[[#This Row],[Steps]]&gt;G4336,G4336&lt;&gt;0),1,0)</f>
        <v>0</v>
      </c>
      <c r="I4337">
        <f>IF(AND(Table13[[#This Row],[Direction]]="R",(G4336+Table13[[#This Row],[Steps]])&gt;100),1,0)</f>
        <v>0</v>
      </c>
      <c r="J4337">
        <f>IF(Table13[[#This Row],[POS]]=0,1,0)</f>
        <v>1</v>
      </c>
      <c r="K4337">
        <f>SUM(Table13[[#This Row],[prefix]],Table13[[#This Row],[Past zero L]],Table13[[#This Row],[Past Zero R]],Table13[[#This Row],[Is Zero]])</f>
        <v>1</v>
      </c>
    </row>
    <row r="4338" spans="1:11" ht="16" x14ac:dyDescent="0.2">
      <c r="A4338" s="1" t="s">
        <v>60</v>
      </c>
      <c r="B4338" t="str">
        <f>LEFT(Table13[[#This Row],[Input]],1)</f>
        <v>R</v>
      </c>
      <c r="C4338">
        <f>_xlfn.LET(_xlpm.steps,SUBSTITUTE(Table13[[#This Row],[Input]],Table13[[#This Row],[Direction]],""),VALUE(IF(LEN(_xlpm.steps)&gt;2,RIGHT(_xlpm.steps,2),_xlpm.steps)))</f>
        <v>86</v>
      </c>
      <c r="D4338">
        <f>_xlfn.LET(_xlpm.steps,SUBSTITUTE(Table13[[#This Row],[Input]],Table13[[#This Row],[Direction]],""),VALUE(IF(LEN(_xlpm.steps)&gt;2,LEFT(_xlpm.steps,LEN(_xlpm.steps)-2),0)))</f>
        <v>0</v>
      </c>
      <c r="E4338">
        <f>_xlfn.LET(_xlpm.dir,Table13[[#This Row],[Direction]],
IF(_xlpm.dir="L",
    IF(G4337-Table13[[#This Row],[Steps]]&lt;0,100+(G4337-Table13[[#This Row],[Steps]]),G4337-Table13[[#This Row],[Steps]]),
))</f>
        <v>0</v>
      </c>
      <c r="F4338">
        <f>_xlfn.LET(_xlpm.dir,Table13[[#This Row],[Direction]],
IF(_xlpm.dir="R",
    IF(G4337+Table13[[#This Row],[Steps]]&gt;99,(G4337+Table13[[#This Row],[Steps]])-100,G4337+Table13[[#This Row],[Steps]]),
))</f>
        <v>86</v>
      </c>
      <c r="G4338">
        <f>IF(Table13[[#This Row],[New Pos L]]&lt;&gt;0,Table13[[#This Row],[New Pos L]],Table13[[#This Row],[New Pos R]])</f>
        <v>86</v>
      </c>
      <c r="H4338">
        <f>IF(AND(Table13[[#This Row],[Direction]]="L",Table13[[#This Row],[Steps]]&gt;G4337,G4337&lt;&gt;0),1,0)</f>
        <v>0</v>
      </c>
      <c r="I4338">
        <f>IF(AND(Table13[[#This Row],[Direction]]="R",(G4337+Table13[[#This Row],[Steps]])&gt;100),1,0)</f>
        <v>0</v>
      </c>
      <c r="J4338">
        <f>IF(Table13[[#This Row],[POS]]=0,1,0)</f>
        <v>0</v>
      </c>
      <c r="K4338">
        <f>SUM(Table13[[#This Row],[prefix]],Table13[[#This Row],[Past zero L]],Table13[[#This Row],[Past Zero R]],Table13[[#This Row],[Is Zero]])</f>
        <v>0</v>
      </c>
    </row>
    <row r="4339" spans="1:11" ht="16" x14ac:dyDescent="0.2">
      <c r="A4339" s="1" t="s">
        <v>42</v>
      </c>
      <c r="B4339" t="str">
        <f>LEFT(Table13[[#This Row],[Input]],1)</f>
        <v>L</v>
      </c>
      <c r="C4339">
        <f>_xlfn.LET(_xlpm.steps,SUBSTITUTE(Table13[[#This Row],[Input]],Table13[[#This Row],[Direction]],""),VALUE(IF(LEN(_xlpm.steps)&gt;2,RIGHT(_xlpm.steps,2),_xlpm.steps)))</f>
        <v>27</v>
      </c>
      <c r="D4339">
        <f>_xlfn.LET(_xlpm.steps,SUBSTITUTE(Table13[[#This Row],[Input]],Table13[[#This Row],[Direction]],""),VALUE(IF(LEN(_xlpm.steps)&gt;2,LEFT(_xlpm.steps,LEN(_xlpm.steps)-2),0)))</f>
        <v>0</v>
      </c>
      <c r="E4339">
        <f>_xlfn.LET(_xlpm.dir,Table13[[#This Row],[Direction]],
IF(_xlpm.dir="L",
    IF(G4338-Table13[[#This Row],[Steps]]&lt;0,100+(G4338-Table13[[#This Row],[Steps]]),G4338-Table13[[#This Row],[Steps]]),
))</f>
        <v>59</v>
      </c>
      <c r="F4339">
        <f>_xlfn.LET(_xlpm.dir,Table13[[#This Row],[Direction]],
IF(_xlpm.dir="R",
    IF(G4338+Table13[[#This Row],[Steps]]&gt;99,(G4338+Table13[[#This Row],[Steps]])-100,G4338+Table13[[#This Row],[Steps]]),
))</f>
        <v>0</v>
      </c>
      <c r="G4339">
        <f>IF(Table13[[#This Row],[New Pos L]]&lt;&gt;0,Table13[[#This Row],[New Pos L]],Table13[[#This Row],[New Pos R]])</f>
        <v>59</v>
      </c>
      <c r="H4339">
        <f>IF(AND(Table13[[#This Row],[Direction]]="L",Table13[[#This Row],[Steps]]&gt;G4338,G4338&lt;&gt;0),1,0)</f>
        <v>0</v>
      </c>
      <c r="I4339">
        <f>IF(AND(Table13[[#This Row],[Direction]]="R",(G4338+Table13[[#This Row],[Steps]])&gt;100),1,0)</f>
        <v>0</v>
      </c>
      <c r="J4339">
        <f>IF(Table13[[#This Row],[POS]]=0,1,0)</f>
        <v>0</v>
      </c>
      <c r="K4339">
        <f>SUM(Table13[[#This Row],[prefix]],Table13[[#This Row],[Past zero L]],Table13[[#This Row],[Past Zero R]],Table13[[#This Row],[Is Zero]])</f>
        <v>0</v>
      </c>
    </row>
    <row r="4340" spans="1:11" ht="16" x14ac:dyDescent="0.2">
      <c r="A4340" s="1" t="s">
        <v>39</v>
      </c>
      <c r="B4340" t="str">
        <f>LEFT(Table13[[#This Row],[Input]],1)</f>
        <v>R</v>
      </c>
      <c r="C4340">
        <f>_xlfn.LET(_xlpm.steps,SUBSTITUTE(Table13[[#This Row],[Input]],Table13[[#This Row],[Direction]],""),VALUE(IF(LEN(_xlpm.steps)&gt;2,RIGHT(_xlpm.steps,2),_xlpm.steps)))</f>
        <v>32</v>
      </c>
      <c r="D4340">
        <f>_xlfn.LET(_xlpm.steps,SUBSTITUTE(Table13[[#This Row],[Input]],Table13[[#This Row],[Direction]],""),VALUE(IF(LEN(_xlpm.steps)&gt;2,LEFT(_xlpm.steps,LEN(_xlpm.steps)-2),0)))</f>
        <v>0</v>
      </c>
      <c r="E4340">
        <f>_xlfn.LET(_xlpm.dir,Table13[[#This Row],[Direction]],
IF(_xlpm.dir="L",
    IF(G4339-Table13[[#This Row],[Steps]]&lt;0,100+(G4339-Table13[[#This Row],[Steps]]),G4339-Table13[[#This Row],[Steps]]),
))</f>
        <v>0</v>
      </c>
      <c r="F4340">
        <f>_xlfn.LET(_xlpm.dir,Table13[[#This Row],[Direction]],
IF(_xlpm.dir="R",
    IF(G4339+Table13[[#This Row],[Steps]]&gt;99,(G4339+Table13[[#This Row],[Steps]])-100,G4339+Table13[[#This Row],[Steps]]),
))</f>
        <v>91</v>
      </c>
      <c r="G4340">
        <f>IF(Table13[[#This Row],[New Pos L]]&lt;&gt;0,Table13[[#This Row],[New Pos L]],Table13[[#This Row],[New Pos R]])</f>
        <v>91</v>
      </c>
      <c r="H4340">
        <f>IF(AND(Table13[[#This Row],[Direction]]="L",Table13[[#This Row],[Steps]]&gt;G4339,G4339&lt;&gt;0),1,0)</f>
        <v>0</v>
      </c>
      <c r="I4340">
        <f>IF(AND(Table13[[#This Row],[Direction]]="R",(G4339+Table13[[#This Row],[Steps]])&gt;100),1,0)</f>
        <v>0</v>
      </c>
      <c r="J4340">
        <f>IF(Table13[[#This Row],[POS]]=0,1,0)</f>
        <v>0</v>
      </c>
      <c r="K4340">
        <f>SUM(Table13[[#This Row],[prefix]],Table13[[#This Row],[Past zero L]],Table13[[#This Row],[Past Zero R]],Table13[[#This Row],[Is Zero]])</f>
        <v>0</v>
      </c>
    </row>
    <row r="4341" spans="1:11" ht="16" x14ac:dyDescent="0.2">
      <c r="A4341" s="1" t="s">
        <v>89</v>
      </c>
      <c r="B4341" t="str">
        <f>LEFT(Table13[[#This Row],[Input]],1)</f>
        <v>L</v>
      </c>
      <c r="C4341">
        <f>_xlfn.LET(_xlpm.steps,SUBSTITUTE(Table13[[#This Row],[Input]],Table13[[#This Row],[Direction]],""),VALUE(IF(LEN(_xlpm.steps)&gt;2,RIGHT(_xlpm.steps,2),_xlpm.steps)))</f>
        <v>91</v>
      </c>
      <c r="D4341">
        <f>_xlfn.LET(_xlpm.steps,SUBSTITUTE(Table13[[#This Row],[Input]],Table13[[#This Row],[Direction]],""),VALUE(IF(LEN(_xlpm.steps)&gt;2,LEFT(_xlpm.steps,LEN(_xlpm.steps)-2),0)))</f>
        <v>0</v>
      </c>
      <c r="E4341">
        <f>_xlfn.LET(_xlpm.dir,Table13[[#This Row],[Direction]],
IF(_xlpm.dir="L",
    IF(G4340-Table13[[#This Row],[Steps]]&lt;0,100+(G4340-Table13[[#This Row],[Steps]]),G4340-Table13[[#This Row],[Steps]]),
))</f>
        <v>0</v>
      </c>
      <c r="F4341">
        <f>_xlfn.LET(_xlpm.dir,Table13[[#This Row],[Direction]],
IF(_xlpm.dir="R",
    IF(G4340+Table13[[#This Row],[Steps]]&gt;99,(G4340+Table13[[#This Row],[Steps]])-100,G4340+Table13[[#This Row],[Steps]]),
))</f>
        <v>0</v>
      </c>
      <c r="G4341">
        <f>IF(Table13[[#This Row],[New Pos L]]&lt;&gt;0,Table13[[#This Row],[New Pos L]],Table13[[#This Row],[New Pos R]])</f>
        <v>0</v>
      </c>
      <c r="H4341">
        <f>IF(AND(Table13[[#This Row],[Direction]]="L",Table13[[#This Row],[Steps]]&gt;G4340,G4340&lt;&gt;0),1,0)</f>
        <v>0</v>
      </c>
      <c r="I4341">
        <f>IF(AND(Table13[[#This Row],[Direction]]="R",(G4340+Table13[[#This Row],[Steps]])&gt;100),1,0)</f>
        <v>0</v>
      </c>
      <c r="J4341">
        <f>IF(Table13[[#This Row],[POS]]=0,1,0)</f>
        <v>1</v>
      </c>
      <c r="K4341">
        <f>SUM(Table13[[#This Row],[prefix]],Table13[[#This Row],[Past zero L]],Table13[[#This Row],[Past Zero R]],Table13[[#This Row],[Is Zero]])</f>
        <v>1</v>
      </c>
    </row>
    <row r="4342" spans="1:11" ht="16" x14ac:dyDescent="0.2">
      <c r="A4342" s="1" t="s">
        <v>51</v>
      </c>
      <c r="B4342" t="str">
        <f>LEFT(Table13[[#This Row],[Input]],1)</f>
        <v>L</v>
      </c>
      <c r="C4342">
        <f>_xlfn.LET(_xlpm.steps,SUBSTITUTE(Table13[[#This Row],[Input]],Table13[[#This Row],[Direction]],""),VALUE(IF(LEN(_xlpm.steps)&gt;2,RIGHT(_xlpm.steps,2),_xlpm.steps)))</f>
        <v>25</v>
      </c>
      <c r="D4342">
        <f>_xlfn.LET(_xlpm.steps,SUBSTITUTE(Table13[[#This Row],[Input]],Table13[[#This Row],[Direction]],""),VALUE(IF(LEN(_xlpm.steps)&gt;2,LEFT(_xlpm.steps,LEN(_xlpm.steps)-2),0)))</f>
        <v>0</v>
      </c>
      <c r="E4342">
        <f>_xlfn.LET(_xlpm.dir,Table13[[#This Row],[Direction]],
IF(_xlpm.dir="L",
    IF(G4341-Table13[[#This Row],[Steps]]&lt;0,100+(G4341-Table13[[#This Row],[Steps]]),G4341-Table13[[#This Row],[Steps]]),
))</f>
        <v>75</v>
      </c>
      <c r="F4342">
        <f>_xlfn.LET(_xlpm.dir,Table13[[#This Row],[Direction]],
IF(_xlpm.dir="R",
    IF(G4341+Table13[[#This Row],[Steps]]&gt;99,(G4341+Table13[[#This Row],[Steps]])-100,G4341+Table13[[#This Row],[Steps]]),
))</f>
        <v>0</v>
      </c>
      <c r="G4342">
        <f>IF(Table13[[#This Row],[New Pos L]]&lt;&gt;0,Table13[[#This Row],[New Pos L]],Table13[[#This Row],[New Pos R]])</f>
        <v>75</v>
      </c>
      <c r="H4342">
        <f>IF(AND(Table13[[#This Row],[Direction]]="L",Table13[[#This Row],[Steps]]&gt;G4341,G4341&lt;&gt;0),1,0)</f>
        <v>0</v>
      </c>
      <c r="I4342">
        <f>IF(AND(Table13[[#This Row],[Direction]]="R",(G4341+Table13[[#This Row],[Steps]])&gt;100),1,0)</f>
        <v>0</v>
      </c>
      <c r="J4342">
        <f>IF(Table13[[#This Row],[POS]]=0,1,0)</f>
        <v>0</v>
      </c>
      <c r="K4342">
        <f>SUM(Table13[[#This Row],[prefix]],Table13[[#This Row],[Past zero L]],Table13[[#This Row],[Past Zero R]],Table13[[#This Row],[Is Zero]])</f>
        <v>0</v>
      </c>
    </row>
    <row r="4343" spans="1:11" ht="16" x14ac:dyDescent="0.2">
      <c r="A4343" s="1" t="s">
        <v>210</v>
      </c>
      <c r="B4343" t="str">
        <f>LEFT(Table13[[#This Row],[Input]],1)</f>
        <v>R</v>
      </c>
      <c r="C4343">
        <f>_xlfn.LET(_xlpm.steps,SUBSTITUTE(Table13[[#This Row],[Input]],Table13[[#This Row],[Direction]],""),VALUE(IF(LEN(_xlpm.steps)&gt;2,RIGHT(_xlpm.steps,2),_xlpm.steps)))</f>
        <v>89</v>
      </c>
      <c r="D4343">
        <f>_xlfn.LET(_xlpm.steps,SUBSTITUTE(Table13[[#This Row],[Input]],Table13[[#This Row],[Direction]],""),VALUE(IF(LEN(_xlpm.steps)&gt;2,LEFT(_xlpm.steps,LEN(_xlpm.steps)-2),0)))</f>
        <v>0</v>
      </c>
      <c r="E4343">
        <f>_xlfn.LET(_xlpm.dir,Table13[[#This Row],[Direction]],
IF(_xlpm.dir="L",
    IF(G4342-Table13[[#This Row],[Steps]]&lt;0,100+(G4342-Table13[[#This Row],[Steps]]),G4342-Table13[[#This Row],[Steps]]),
))</f>
        <v>0</v>
      </c>
      <c r="F4343">
        <f>_xlfn.LET(_xlpm.dir,Table13[[#This Row],[Direction]],
IF(_xlpm.dir="R",
    IF(G4342+Table13[[#This Row],[Steps]]&gt;99,(G4342+Table13[[#This Row],[Steps]])-100,G4342+Table13[[#This Row],[Steps]]),
))</f>
        <v>64</v>
      </c>
      <c r="G4343">
        <f>IF(Table13[[#This Row],[New Pos L]]&lt;&gt;0,Table13[[#This Row],[New Pos L]],Table13[[#This Row],[New Pos R]])</f>
        <v>64</v>
      </c>
      <c r="H4343">
        <f>IF(AND(Table13[[#This Row],[Direction]]="L",Table13[[#This Row],[Steps]]&gt;G4342,G4342&lt;&gt;0),1,0)</f>
        <v>0</v>
      </c>
      <c r="I4343">
        <f>IF(AND(Table13[[#This Row],[Direction]]="R",(G4342+Table13[[#This Row],[Steps]])&gt;100),1,0)</f>
        <v>1</v>
      </c>
      <c r="J4343">
        <f>IF(Table13[[#This Row],[POS]]=0,1,0)</f>
        <v>0</v>
      </c>
      <c r="K4343">
        <f>SUM(Table13[[#This Row],[prefix]],Table13[[#This Row],[Past zero L]],Table13[[#This Row],[Past Zero R]],Table13[[#This Row],[Is Zero]])</f>
        <v>1</v>
      </c>
    </row>
    <row r="4344" spans="1:11" ht="16" x14ac:dyDescent="0.2">
      <c r="A4344" s="1" t="s">
        <v>31</v>
      </c>
      <c r="B4344" t="str">
        <f>LEFT(Table13[[#This Row],[Input]],1)</f>
        <v>L</v>
      </c>
      <c r="C4344">
        <f>_xlfn.LET(_xlpm.steps,SUBSTITUTE(Table13[[#This Row],[Input]],Table13[[#This Row],[Direction]],""),VALUE(IF(LEN(_xlpm.steps)&gt;2,RIGHT(_xlpm.steps,2),_xlpm.steps)))</f>
        <v>13</v>
      </c>
      <c r="D4344">
        <f>_xlfn.LET(_xlpm.steps,SUBSTITUTE(Table13[[#This Row],[Input]],Table13[[#This Row],[Direction]],""),VALUE(IF(LEN(_xlpm.steps)&gt;2,LEFT(_xlpm.steps,LEN(_xlpm.steps)-2),0)))</f>
        <v>0</v>
      </c>
      <c r="E4344">
        <f>_xlfn.LET(_xlpm.dir,Table13[[#This Row],[Direction]],
IF(_xlpm.dir="L",
    IF(G4343-Table13[[#This Row],[Steps]]&lt;0,100+(G4343-Table13[[#This Row],[Steps]]),G4343-Table13[[#This Row],[Steps]]),
))</f>
        <v>51</v>
      </c>
      <c r="F4344">
        <f>_xlfn.LET(_xlpm.dir,Table13[[#This Row],[Direction]],
IF(_xlpm.dir="R",
    IF(G4343+Table13[[#This Row],[Steps]]&gt;99,(G4343+Table13[[#This Row],[Steps]])-100,G4343+Table13[[#This Row],[Steps]]),
))</f>
        <v>0</v>
      </c>
      <c r="G4344">
        <f>IF(Table13[[#This Row],[New Pos L]]&lt;&gt;0,Table13[[#This Row],[New Pos L]],Table13[[#This Row],[New Pos R]])</f>
        <v>51</v>
      </c>
      <c r="H4344">
        <f>IF(AND(Table13[[#This Row],[Direction]]="L",Table13[[#This Row],[Steps]]&gt;G4343,G4343&lt;&gt;0),1,0)</f>
        <v>0</v>
      </c>
      <c r="I4344">
        <f>IF(AND(Table13[[#This Row],[Direction]]="R",(G4343+Table13[[#This Row],[Steps]])&gt;100),1,0)</f>
        <v>0</v>
      </c>
      <c r="J4344">
        <f>IF(Table13[[#This Row],[POS]]=0,1,0)</f>
        <v>0</v>
      </c>
      <c r="K4344">
        <f>SUM(Table13[[#This Row],[prefix]],Table13[[#This Row],[Past zero L]],Table13[[#This Row],[Past Zero R]],Table13[[#This Row],[Is Zero]])</f>
        <v>0</v>
      </c>
    </row>
    <row r="4345" spans="1:11" ht="16" x14ac:dyDescent="0.2">
      <c r="A4345" s="1" t="s">
        <v>129</v>
      </c>
      <c r="B4345" t="str">
        <f>LEFT(Table13[[#This Row],[Input]],1)</f>
        <v>R</v>
      </c>
      <c r="C4345">
        <f>_xlfn.LET(_xlpm.steps,SUBSTITUTE(Table13[[#This Row],[Input]],Table13[[#This Row],[Direction]],""),VALUE(IF(LEN(_xlpm.steps)&gt;2,RIGHT(_xlpm.steps,2),_xlpm.steps)))</f>
        <v>8</v>
      </c>
      <c r="D4345">
        <f>_xlfn.LET(_xlpm.steps,SUBSTITUTE(Table13[[#This Row],[Input]],Table13[[#This Row],[Direction]],""),VALUE(IF(LEN(_xlpm.steps)&gt;2,LEFT(_xlpm.steps,LEN(_xlpm.steps)-2),0)))</f>
        <v>0</v>
      </c>
      <c r="E4345">
        <f>_xlfn.LET(_xlpm.dir,Table13[[#This Row],[Direction]],
IF(_xlpm.dir="L",
    IF(G4344-Table13[[#This Row],[Steps]]&lt;0,100+(G4344-Table13[[#This Row],[Steps]]),G4344-Table13[[#This Row],[Steps]]),
))</f>
        <v>0</v>
      </c>
      <c r="F4345">
        <f>_xlfn.LET(_xlpm.dir,Table13[[#This Row],[Direction]],
IF(_xlpm.dir="R",
    IF(G4344+Table13[[#This Row],[Steps]]&gt;99,(G4344+Table13[[#This Row],[Steps]])-100,G4344+Table13[[#This Row],[Steps]]),
))</f>
        <v>59</v>
      </c>
      <c r="G4345">
        <f>IF(Table13[[#This Row],[New Pos L]]&lt;&gt;0,Table13[[#This Row],[New Pos L]],Table13[[#This Row],[New Pos R]])</f>
        <v>59</v>
      </c>
      <c r="H4345">
        <f>IF(AND(Table13[[#This Row],[Direction]]="L",Table13[[#This Row],[Steps]]&gt;G4344,G4344&lt;&gt;0),1,0)</f>
        <v>0</v>
      </c>
      <c r="I4345">
        <f>IF(AND(Table13[[#This Row],[Direction]]="R",(G4344+Table13[[#This Row],[Steps]])&gt;100),1,0)</f>
        <v>0</v>
      </c>
      <c r="J4345">
        <f>IF(Table13[[#This Row],[POS]]=0,1,0)</f>
        <v>0</v>
      </c>
      <c r="K4345">
        <f>SUM(Table13[[#This Row],[prefix]],Table13[[#This Row],[Past zero L]],Table13[[#This Row],[Past Zero R]],Table13[[#This Row],[Is Zero]])</f>
        <v>0</v>
      </c>
    </row>
    <row r="4346" spans="1:11" ht="16" x14ac:dyDescent="0.2">
      <c r="A4346" s="1" t="s">
        <v>68</v>
      </c>
      <c r="B4346" t="str">
        <f>LEFT(Table13[[#This Row],[Input]],1)</f>
        <v>L</v>
      </c>
      <c r="C4346">
        <f>_xlfn.LET(_xlpm.steps,SUBSTITUTE(Table13[[#This Row],[Input]],Table13[[#This Row],[Direction]],""),VALUE(IF(LEN(_xlpm.steps)&gt;2,RIGHT(_xlpm.steps,2),_xlpm.steps)))</f>
        <v>80</v>
      </c>
      <c r="D4346">
        <f>_xlfn.LET(_xlpm.steps,SUBSTITUTE(Table13[[#This Row],[Input]],Table13[[#This Row],[Direction]],""),VALUE(IF(LEN(_xlpm.steps)&gt;2,LEFT(_xlpm.steps,LEN(_xlpm.steps)-2),0)))</f>
        <v>0</v>
      </c>
      <c r="E4346">
        <f>_xlfn.LET(_xlpm.dir,Table13[[#This Row],[Direction]],
IF(_xlpm.dir="L",
    IF(G4345-Table13[[#This Row],[Steps]]&lt;0,100+(G4345-Table13[[#This Row],[Steps]]),G4345-Table13[[#This Row],[Steps]]),
))</f>
        <v>79</v>
      </c>
      <c r="F4346">
        <f>_xlfn.LET(_xlpm.dir,Table13[[#This Row],[Direction]],
IF(_xlpm.dir="R",
    IF(G4345+Table13[[#This Row],[Steps]]&gt;99,(G4345+Table13[[#This Row],[Steps]])-100,G4345+Table13[[#This Row],[Steps]]),
))</f>
        <v>0</v>
      </c>
      <c r="G4346">
        <f>IF(Table13[[#This Row],[New Pos L]]&lt;&gt;0,Table13[[#This Row],[New Pos L]],Table13[[#This Row],[New Pos R]])</f>
        <v>79</v>
      </c>
      <c r="H4346">
        <f>IF(AND(Table13[[#This Row],[Direction]]="L",Table13[[#This Row],[Steps]]&gt;G4345,G4345&lt;&gt;0),1,0)</f>
        <v>1</v>
      </c>
      <c r="I4346">
        <f>IF(AND(Table13[[#This Row],[Direction]]="R",(G4345+Table13[[#This Row],[Steps]])&gt;100),1,0)</f>
        <v>0</v>
      </c>
      <c r="J4346">
        <f>IF(Table13[[#This Row],[POS]]=0,1,0)</f>
        <v>0</v>
      </c>
      <c r="K4346">
        <f>SUM(Table13[[#This Row],[prefix]],Table13[[#This Row],[Past zero L]],Table13[[#This Row],[Past Zero R]],Table13[[#This Row],[Is Zero]])</f>
        <v>1</v>
      </c>
    </row>
    <row r="4347" spans="1:11" ht="16" x14ac:dyDescent="0.2">
      <c r="A4347" s="1" t="s">
        <v>251</v>
      </c>
      <c r="B4347" t="str">
        <f>LEFT(Table13[[#This Row],[Input]],1)</f>
        <v>L</v>
      </c>
      <c r="C4347">
        <f>_xlfn.LET(_xlpm.steps,SUBSTITUTE(Table13[[#This Row],[Input]],Table13[[#This Row],[Direction]],""),VALUE(IF(LEN(_xlpm.steps)&gt;2,RIGHT(_xlpm.steps,2),_xlpm.steps)))</f>
        <v>8</v>
      </c>
      <c r="D4347">
        <f>_xlfn.LET(_xlpm.steps,SUBSTITUTE(Table13[[#This Row],[Input]],Table13[[#This Row],[Direction]],""),VALUE(IF(LEN(_xlpm.steps)&gt;2,LEFT(_xlpm.steps,LEN(_xlpm.steps)-2),0)))</f>
        <v>9</v>
      </c>
      <c r="E4347">
        <f>_xlfn.LET(_xlpm.dir,Table13[[#This Row],[Direction]],
IF(_xlpm.dir="L",
    IF(G4346-Table13[[#This Row],[Steps]]&lt;0,100+(G4346-Table13[[#This Row],[Steps]]),G4346-Table13[[#This Row],[Steps]]),
))</f>
        <v>71</v>
      </c>
      <c r="F4347">
        <f>_xlfn.LET(_xlpm.dir,Table13[[#This Row],[Direction]],
IF(_xlpm.dir="R",
    IF(G4346+Table13[[#This Row],[Steps]]&gt;99,(G4346+Table13[[#This Row],[Steps]])-100,G4346+Table13[[#This Row],[Steps]]),
))</f>
        <v>0</v>
      </c>
      <c r="G4347">
        <f>IF(Table13[[#This Row],[New Pos L]]&lt;&gt;0,Table13[[#This Row],[New Pos L]],Table13[[#This Row],[New Pos R]])</f>
        <v>71</v>
      </c>
      <c r="H4347">
        <f>IF(AND(Table13[[#This Row],[Direction]]="L",Table13[[#This Row],[Steps]]&gt;G4346,G4346&lt;&gt;0),1,0)</f>
        <v>0</v>
      </c>
      <c r="I4347">
        <f>IF(AND(Table13[[#This Row],[Direction]]="R",(G4346+Table13[[#This Row],[Steps]])&gt;100),1,0)</f>
        <v>0</v>
      </c>
      <c r="J4347">
        <f>IF(Table13[[#This Row],[POS]]=0,1,0)</f>
        <v>0</v>
      </c>
      <c r="K4347">
        <f>SUM(Table13[[#This Row],[prefix]],Table13[[#This Row],[Past zero L]],Table13[[#This Row],[Past Zero R]],Table13[[#This Row],[Is Zero]])</f>
        <v>9</v>
      </c>
    </row>
    <row r="4348" spans="1:11" ht="16" x14ac:dyDescent="0.2">
      <c r="A4348" s="1" t="s">
        <v>216</v>
      </c>
      <c r="B4348" t="str">
        <f>LEFT(Table13[[#This Row],[Input]],1)</f>
        <v>R</v>
      </c>
      <c r="C4348">
        <f>_xlfn.LET(_xlpm.steps,SUBSTITUTE(Table13[[#This Row],[Input]],Table13[[#This Row],[Direction]],""),VALUE(IF(LEN(_xlpm.steps)&gt;2,RIGHT(_xlpm.steps,2),_xlpm.steps)))</f>
        <v>54</v>
      </c>
      <c r="D4348">
        <f>_xlfn.LET(_xlpm.steps,SUBSTITUTE(Table13[[#This Row],[Input]],Table13[[#This Row],[Direction]],""),VALUE(IF(LEN(_xlpm.steps)&gt;2,LEFT(_xlpm.steps,LEN(_xlpm.steps)-2),0)))</f>
        <v>0</v>
      </c>
      <c r="E4348">
        <f>_xlfn.LET(_xlpm.dir,Table13[[#This Row],[Direction]],
IF(_xlpm.dir="L",
    IF(G4347-Table13[[#This Row],[Steps]]&lt;0,100+(G4347-Table13[[#This Row],[Steps]]),G4347-Table13[[#This Row],[Steps]]),
))</f>
        <v>0</v>
      </c>
      <c r="F4348">
        <f>_xlfn.LET(_xlpm.dir,Table13[[#This Row],[Direction]],
IF(_xlpm.dir="R",
    IF(G4347+Table13[[#This Row],[Steps]]&gt;99,(G4347+Table13[[#This Row],[Steps]])-100,G4347+Table13[[#This Row],[Steps]]),
))</f>
        <v>25</v>
      </c>
      <c r="G4348">
        <f>IF(Table13[[#This Row],[New Pos L]]&lt;&gt;0,Table13[[#This Row],[New Pos L]],Table13[[#This Row],[New Pos R]])</f>
        <v>25</v>
      </c>
      <c r="H4348">
        <f>IF(AND(Table13[[#This Row],[Direction]]="L",Table13[[#This Row],[Steps]]&gt;G4347,G4347&lt;&gt;0),1,0)</f>
        <v>0</v>
      </c>
      <c r="I4348">
        <f>IF(AND(Table13[[#This Row],[Direction]]="R",(G4347+Table13[[#This Row],[Steps]])&gt;100),1,0)</f>
        <v>1</v>
      </c>
      <c r="J4348">
        <f>IF(Table13[[#This Row],[POS]]=0,1,0)</f>
        <v>0</v>
      </c>
      <c r="K4348">
        <f>SUM(Table13[[#This Row],[prefix]],Table13[[#This Row],[Past zero L]],Table13[[#This Row],[Past Zero R]],Table13[[#This Row],[Is Zero]])</f>
        <v>1</v>
      </c>
    </row>
    <row r="4349" spans="1:11" ht="16" x14ac:dyDescent="0.2">
      <c r="A4349" s="1" t="s">
        <v>869</v>
      </c>
      <c r="B4349" t="str">
        <f>LEFT(Table13[[#This Row],[Input]],1)</f>
        <v>L</v>
      </c>
      <c r="C4349">
        <f>_xlfn.LET(_xlpm.steps,SUBSTITUTE(Table13[[#This Row],[Input]],Table13[[#This Row],[Direction]],""),VALUE(IF(LEN(_xlpm.steps)&gt;2,RIGHT(_xlpm.steps,2),_xlpm.steps)))</f>
        <v>55</v>
      </c>
      <c r="D4349">
        <f>_xlfn.LET(_xlpm.steps,SUBSTITUTE(Table13[[#This Row],[Input]],Table13[[#This Row],[Direction]],""),VALUE(IF(LEN(_xlpm.steps)&gt;2,LEFT(_xlpm.steps,LEN(_xlpm.steps)-2),0)))</f>
        <v>4</v>
      </c>
      <c r="E4349">
        <f>_xlfn.LET(_xlpm.dir,Table13[[#This Row],[Direction]],
IF(_xlpm.dir="L",
    IF(G4348-Table13[[#This Row],[Steps]]&lt;0,100+(G4348-Table13[[#This Row],[Steps]]),G4348-Table13[[#This Row],[Steps]]),
))</f>
        <v>70</v>
      </c>
      <c r="F4349">
        <f>_xlfn.LET(_xlpm.dir,Table13[[#This Row],[Direction]],
IF(_xlpm.dir="R",
    IF(G4348+Table13[[#This Row],[Steps]]&gt;99,(G4348+Table13[[#This Row],[Steps]])-100,G4348+Table13[[#This Row],[Steps]]),
))</f>
        <v>0</v>
      </c>
      <c r="G4349">
        <f>IF(Table13[[#This Row],[New Pos L]]&lt;&gt;0,Table13[[#This Row],[New Pos L]],Table13[[#This Row],[New Pos R]])</f>
        <v>70</v>
      </c>
      <c r="H4349">
        <f>IF(AND(Table13[[#This Row],[Direction]]="L",Table13[[#This Row],[Steps]]&gt;G4348,G4348&lt;&gt;0),1,0)</f>
        <v>1</v>
      </c>
      <c r="I4349">
        <f>IF(AND(Table13[[#This Row],[Direction]]="R",(G4348+Table13[[#This Row],[Steps]])&gt;100),1,0)</f>
        <v>0</v>
      </c>
      <c r="J4349">
        <f>IF(Table13[[#This Row],[POS]]=0,1,0)</f>
        <v>0</v>
      </c>
      <c r="K4349">
        <f>SUM(Table13[[#This Row],[prefix]],Table13[[#This Row],[Past zero L]],Table13[[#This Row],[Past Zero R]],Table13[[#This Row],[Is Zero]])</f>
        <v>5</v>
      </c>
    </row>
    <row r="4350" spans="1:11" ht="16" x14ac:dyDescent="0.2">
      <c r="A4350" s="1" t="s">
        <v>209</v>
      </c>
      <c r="B4350" t="str">
        <f>LEFT(Table13[[#This Row],[Input]],1)</f>
        <v>L</v>
      </c>
      <c r="C4350">
        <f>_xlfn.LET(_xlpm.steps,SUBSTITUTE(Table13[[#This Row],[Input]],Table13[[#This Row],[Direction]],""),VALUE(IF(LEN(_xlpm.steps)&gt;2,RIGHT(_xlpm.steps,2),_xlpm.steps)))</f>
        <v>86</v>
      </c>
      <c r="D4350">
        <f>_xlfn.LET(_xlpm.steps,SUBSTITUTE(Table13[[#This Row],[Input]],Table13[[#This Row],[Direction]],""),VALUE(IF(LEN(_xlpm.steps)&gt;2,LEFT(_xlpm.steps,LEN(_xlpm.steps)-2),0)))</f>
        <v>0</v>
      </c>
      <c r="E4350">
        <f>_xlfn.LET(_xlpm.dir,Table13[[#This Row],[Direction]],
IF(_xlpm.dir="L",
    IF(G4349-Table13[[#This Row],[Steps]]&lt;0,100+(G4349-Table13[[#This Row],[Steps]]),G4349-Table13[[#This Row],[Steps]]),
))</f>
        <v>84</v>
      </c>
      <c r="F4350">
        <f>_xlfn.LET(_xlpm.dir,Table13[[#This Row],[Direction]],
IF(_xlpm.dir="R",
    IF(G4349+Table13[[#This Row],[Steps]]&gt;99,(G4349+Table13[[#This Row],[Steps]])-100,G4349+Table13[[#This Row],[Steps]]),
))</f>
        <v>0</v>
      </c>
      <c r="G4350">
        <f>IF(Table13[[#This Row],[New Pos L]]&lt;&gt;0,Table13[[#This Row],[New Pos L]],Table13[[#This Row],[New Pos R]])</f>
        <v>84</v>
      </c>
      <c r="H4350">
        <f>IF(AND(Table13[[#This Row],[Direction]]="L",Table13[[#This Row],[Steps]]&gt;G4349,G4349&lt;&gt;0),1,0)</f>
        <v>1</v>
      </c>
      <c r="I4350">
        <f>IF(AND(Table13[[#This Row],[Direction]]="R",(G4349+Table13[[#This Row],[Steps]])&gt;100),1,0)</f>
        <v>0</v>
      </c>
      <c r="J4350">
        <f>IF(Table13[[#This Row],[POS]]=0,1,0)</f>
        <v>0</v>
      </c>
      <c r="K4350">
        <f>SUM(Table13[[#This Row],[prefix]],Table13[[#This Row],[Past zero L]],Table13[[#This Row],[Past Zero R]],Table13[[#This Row],[Is Zero]])</f>
        <v>1</v>
      </c>
    </row>
    <row r="4351" spans="1:11" ht="16" x14ac:dyDescent="0.2">
      <c r="A4351" s="1" t="s">
        <v>205</v>
      </c>
      <c r="B4351" t="str">
        <f>LEFT(Table13[[#This Row],[Input]],1)</f>
        <v>R</v>
      </c>
      <c r="C4351">
        <f>_xlfn.LET(_xlpm.steps,SUBSTITUTE(Table13[[#This Row],[Input]],Table13[[#This Row],[Direction]],""),VALUE(IF(LEN(_xlpm.steps)&gt;2,RIGHT(_xlpm.steps,2),_xlpm.steps)))</f>
        <v>83</v>
      </c>
      <c r="D4351">
        <f>_xlfn.LET(_xlpm.steps,SUBSTITUTE(Table13[[#This Row],[Input]],Table13[[#This Row],[Direction]],""),VALUE(IF(LEN(_xlpm.steps)&gt;2,LEFT(_xlpm.steps,LEN(_xlpm.steps)-2),0)))</f>
        <v>0</v>
      </c>
      <c r="E4351">
        <f>_xlfn.LET(_xlpm.dir,Table13[[#This Row],[Direction]],
IF(_xlpm.dir="L",
    IF(G4350-Table13[[#This Row],[Steps]]&lt;0,100+(G4350-Table13[[#This Row],[Steps]]),G4350-Table13[[#This Row],[Steps]]),
))</f>
        <v>0</v>
      </c>
      <c r="F4351">
        <f>_xlfn.LET(_xlpm.dir,Table13[[#This Row],[Direction]],
IF(_xlpm.dir="R",
    IF(G4350+Table13[[#This Row],[Steps]]&gt;99,(G4350+Table13[[#This Row],[Steps]])-100,G4350+Table13[[#This Row],[Steps]]),
))</f>
        <v>67</v>
      </c>
      <c r="G4351">
        <f>IF(Table13[[#This Row],[New Pos L]]&lt;&gt;0,Table13[[#This Row],[New Pos L]],Table13[[#This Row],[New Pos R]])</f>
        <v>67</v>
      </c>
      <c r="H4351">
        <f>IF(AND(Table13[[#This Row],[Direction]]="L",Table13[[#This Row],[Steps]]&gt;G4350,G4350&lt;&gt;0),1,0)</f>
        <v>0</v>
      </c>
      <c r="I4351">
        <f>IF(AND(Table13[[#This Row],[Direction]]="R",(G4350+Table13[[#This Row],[Steps]])&gt;100),1,0)</f>
        <v>1</v>
      </c>
      <c r="J4351">
        <f>IF(Table13[[#This Row],[POS]]=0,1,0)</f>
        <v>0</v>
      </c>
      <c r="K4351">
        <f>SUM(Table13[[#This Row],[prefix]],Table13[[#This Row],[Past zero L]],Table13[[#This Row],[Past Zero R]],Table13[[#This Row],[Is Zero]])</f>
        <v>1</v>
      </c>
    </row>
    <row r="4352" spans="1:11" ht="16" x14ac:dyDescent="0.2">
      <c r="A4352" s="1" t="s">
        <v>870</v>
      </c>
      <c r="B4352" t="str">
        <f>LEFT(Table13[[#This Row],[Input]],1)</f>
        <v>L</v>
      </c>
      <c r="C4352">
        <f>_xlfn.LET(_xlpm.steps,SUBSTITUTE(Table13[[#This Row],[Input]],Table13[[#This Row],[Direction]],""),VALUE(IF(LEN(_xlpm.steps)&gt;2,RIGHT(_xlpm.steps,2),_xlpm.steps)))</f>
        <v>80</v>
      </c>
      <c r="D4352">
        <f>_xlfn.LET(_xlpm.steps,SUBSTITUTE(Table13[[#This Row],[Input]],Table13[[#This Row],[Direction]],""),VALUE(IF(LEN(_xlpm.steps)&gt;2,LEFT(_xlpm.steps,LEN(_xlpm.steps)-2),0)))</f>
        <v>3</v>
      </c>
      <c r="E4352">
        <f>_xlfn.LET(_xlpm.dir,Table13[[#This Row],[Direction]],
IF(_xlpm.dir="L",
    IF(G4351-Table13[[#This Row],[Steps]]&lt;0,100+(G4351-Table13[[#This Row],[Steps]]),G4351-Table13[[#This Row],[Steps]]),
))</f>
        <v>87</v>
      </c>
      <c r="F4352">
        <f>_xlfn.LET(_xlpm.dir,Table13[[#This Row],[Direction]],
IF(_xlpm.dir="R",
    IF(G4351+Table13[[#This Row],[Steps]]&gt;99,(G4351+Table13[[#This Row],[Steps]])-100,G4351+Table13[[#This Row],[Steps]]),
))</f>
        <v>0</v>
      </c>
      <c r="G4352">
        <f>IF(Table13[[#This Row],[New Pos L]]&lt;&gt;0,Table13[[#This Row],[New Pos L]],Table13[[#This Row],[New Pos R]])</f>
        <v>87</v>
      </c>
      <c r="H4352">
        <f>IF(AND(Table13[[#This Row],[Direction]]="L",Table13[[#This Row],[Steps]]&gt;G4351,G4351&lt;&gt;0),1,0)</f>
        <v>1</v>
      </c>
      <c r="I4352">
        <f>IF(AND(Table13[[#This Row],[Direction]]="R",(G4351+Table13[[#This Row],[Steps]])&gt;100),1,0)</f>
        <v>0</v>
      </c>
      <c r="J4352">
        <f>IF(Table13[[#This Row],[POS]]=0,1,0)</f>
        <v>0</v>
      </c>
      <c r="K4352">
        <f>SUM(Table13[[#This Row],[prefix]],Table13[[#This Row],[Past zero L]],Table13[[#This Row],[Past Zero R]],Table13[[#This Row],[Is Zero]])</f>
        <v>4</v>
      </c>
    </row>
    <row r="4353" spans="1:11" ht="16" x14ac:dyDescent="0.2">
      <c r="A4353" s="1" t="s">
        <v>871</v>
      </c>
      <c r="B4353" t="str">
        <f>LEFT(Table13[[#This Row],[Input]],1)</f>
        <v>L</v>
      </c>
      <c r="C4353">
        <f>_xlfn.LET(_xlpm.steps,SUBSTITUTE(Table13[[#This Row],[Input]],Table13[[#This Row],[Direction]],""),VALUE(IF(LEN(_xlpm.steps)&gt;2,RIGHT(_xlpm.steps,2),_xlpm.steps)))</f>
        <v>67</v>
      </c>
      <c r="D4353">
        <f>_xlfn.LET(_xlpm.steps,SUBSTITUTE(Table13[[#This Row],[Input]],Table13[[#This Row],[Direction]],""),VALUE(IF(LEN(_xlpm.steps)&gt;2,LEFT(_xlpm.steps,LEN(_xlpm.steps)-2),0)))</f>
        <v>4</v>
      </c>
      <c r="E4353">
        <f>_xlfn.LET(_xlpm.dir,Table13[[#This Row],[Direction]],
IF(_xlpm.dir="L",
    IF(G4352-Table13[[#This Row],[Steps]]&lt;0,100+(G4352-Table13[[#This Row],[Steps]]),G4352-Table13[[#This Row],[Steps]]),
))</f>
        <v>20</v>
      </c>
      <c r="F4353">
        <f>_xlfn.LET(_xlpm.dir,Table13[[#This Row],[Direction]],
IF(_xlpm.dir="R",
    IF(G4352+Table13[[#This Row],[Steps]]&gt;99,(G4352+Table13[[#This Row],[Steps]])-100,G4352+Table13[[#This Row],[Steps]]),
))</f>
        <v>0</v>
      </c>
      <c r="G4353">
        <f>IF(Table13[[#This Row],[New Pos L]]&lt;&gt;0,Table13[[#This Row],[New Pos L]],Table13[[#This Row],[New Pos R]])</f>
        <v>20</v>
      </c>
      <c r="H4353">
        <f>IF(AND(Table13[[#This Row],[Direction]]="L",Table13[[#This Row],[Steps]]&gt;G4352,G4352&lt;&gt;0),1,0)</f>
        <v>0</v>
      </c>
      <c r="I4353">
        <f>IF(AND(Table13[[#This Row],[Direction]]="R",(G4352+Table13[[#This Row],[Steps]])&gt;100),1,0)</f>
        <v>0</v>
      </c>
      <c r="J4353">
        <f>IF(Table13[[#This Row],[POS]]=0,1,0)</f>
        <v>0</v>
      </c>
      <c r="K4353">
        <f>SUM(Table13[[#This Row],[prefix]],Table13[[#This Row],[Past zero L]],Table13[[#This Row],[Past Zero R]],Table13[[#This Row],[Is Zero]])</f>
        <v>4</v>
      </c>
    </row>
    <row r="4354" spans="1:11" ht="16" x14ac:dyDescent="0.2">
      <c r="A4354" s="1" t="s">
        <v>16</v>
      </c>
      <c r="B4354" t="str">
        <f>LEFT(Table13[[#This Row],[Input]],1)</f>
        <v>L</v>
      </c>
      <c r="C4354">
        <f>_xlfn.LET(_xlpm.steps,SUBSTITUTE(Table13[[#This Row],[Input]],Table13[[#This Row],[Direction]],""),VALUE(IF(LEN(_xlpm.steps)&gt;2,RIGHT(_xlpm.steps,2),_xlpm.steps)))</f>
        <v>10</v>
      </c>
      <c r="D4354">
        <f>_xlfn.LET(_xlpm.steps,SUBSTITUTE(Table13[[#This Row],[Input]],Table13[[#This Row],[Direction]],""),VALUE(IF(LEN(_xlpm.steps)&gt;2,LEFT(_xlpm.steps,LEN(_xlpm.steps)-2),0)))</f>
        <v>0</v>
      </c>
      <c r="E4354">
        <f>_xlfn.LET(_xlpm.dir,Table13[[#This Row],[Direction]],
IF(_xlpm.dir="L",
    IF(G4353-Table13[[#This Row],[Steps]]&lt;0,100+(G4353-Table13[[#This Row],[Steps]]),G4353-Table13[[#This Row],[Steps]]),
))</f>
        <v>10</v>
      </c>
      <c r="F4354">
        <f>_xlfn.LET(_xlpm.dir,Table13[[#This Row],[Direction]],
IF(_xlpm.dir="R",
    IF(G4353+Table13[[#This Row],[Steps]]&gt;99,(G4353+Table13[[#This Row],[Steps]])-100,G4353+Table13[[#This Row],[Steps]]),
))</f>
        <v>0</v>
      </c>
      <c r="G4354">
        <f>IF(Table13[[#This Row],[New Pos L]]&lt;&gt;0,Table13[[#This Row],[New Pos L]],Table13[[#This Row],[New Pos R]])</f>
        <v>10</v>
      </c>
      <c r="H4354">
        <f>IF(AND(Table13[[#This Row],[Direction]]="L",Table13[[#This Row],[Steps]]&gt;G4353,G4353&lt;&gt;0),1,0)</f>
        <v>0</v>
      </c>
      <c r="I4354">
        <f>IF(AND(Table13[[#This Row],[Direction]]="R",(G4353+Table13[[#This Row],[Steps]])&gt;100),1,0)</f>
        <v>0</v>
      </c>
      <c r="J4354">
        <f>IF(Table13[[#This Row],[POS]]=0,1,0)</f>
        <v>0</v>
      </c>
      <c r="K4354">
        <f>SUM(Table13[[#This Row],[prefix]],Table13[[#This Row],[Past zero L]],Table13[[#This Row],[Past Zero R]],Table13[[#This Row],[Is Zero]])</f>
        <v>0</v>
      </c>
    </row>
    <row r="4355" spans="1:11" ht="16" x14ac:dyDescent="0.2">
      <c r="A4355" s="1" t="s">
        <v>73</v>
      </c>
      <c r="B4355" t="str">
        <f>LEFT(Table13[[#This Row],[Input]],1)</f>
        <v>R</v>
      </c>
      <c r="C4355">
        <f>_xlfn.LET(_xlpm.steps,SUBSTITUTE(Table13[[#This Row],[Input]],Table13[[#This Row],[Direction]],""),VALUE(IF(LEN(_xlpm.steps)&gt;2,RIGHT(_xlpm.steps,2),_xlpm.steps)))</f>
        <v>21</v>
      </c>
      <c r="D4355">
        <f>_xlfn.LET(_xlpm.steps,SUBSTITUTE(Table13[[#This Row],[Input]],Table13[[#This Row],[Direction]],""),VALUE(IF(LEN(_xlpm.steps)&gt;2,LEFT(_xlpm.steps,LEN(_xlpm.steps)-2),0)))</f>
        <v>0</v>
      </c>
      <c r="E4355">
        <f>_xlfn.LET(_xlpm.dir,Table13[[#This Row],[Direction]],
IF(_xlpm.dir="L",
    IF(G4354-Table13[[#This Row],[Steps]]&lt;0,100+(G4354-Table13[[#This Row],[Steps]]),G4354-Table13[[#This Row],[Steps]]),
))</f>
        <v>0</v>
      </c>
      <c r="F4355">
        <f>_xlfn.LET(_xlpm.dir,Table13[[#This Row],[Direction]],
IF(_xlpm.dir="R",
    IF(G4354+Table13[[#This Row],[Steps]]&gt;99,(G4354+Table13[[#This Row],[Steps]])-100,G4354+Table13[[#This Row],[Steps]]),
))</f>
        <v>31</v>
      </c>
      <c r="G4355">
        <f>IF(Table13[[#This Row],[New Pos L]]&lt;&gt;0,Table13[[#This Row],[New Pos L]],Table13[[#This Row],[New Pos R]])</f>
        <v>31</v>
      </c>
      <c r="H4355">
        <f>IF(AND(Table13[[#This Row],[Direction]]="L",Table13[[#This Row],[Steps]]&gt;G4354,G4354&lt;&gt;0),1,0)</f>
        <v>0</v>
      </c>
      <c r="I4355">
        <f>IF(AND(Table13[[#This Row],[Direction]]="R",(G4354+Table13[[#This Row],[Steps]])&gt;100),1,0)</f>
        <v>0</v>
      </c>
      <c r="J4355">
        <f>IF(Table13[[#This Row],[POS]]=0,1,0)</f>
        <v>0</v>
      </c>
      <c r="K4355">
        <f>SUM(Table13[[#This Row],[prefix]],Table13[[#This Row],[Past zero L]],Table13[[#This Row],[Past Zero R]],Table13[[#This Row],[Is Zero]])</f>
        <v>0</v>
      </c>
    </row>
    <row r="4356" spans="1:11" ht="16" x14ac:dyDescent="0.2">
      <c r="A4356" s="1" t="s">
        <v>135</v>
      </c>
      <c r="B4356" t="str">
        <f>LEFT(Table13[[#This Row],[Input]],1)</f>
        <v>R</v>
      </c>
      <c r="C4356">
        <f>_xlfn.LET(_xlpm.steps,SUBSTITUTE(Table13[[#This Row],[Input]],Table13[[#This Row],[Direction]],""),VALUE(IF(LEN(_xlpm.steps)&gt;2,RIGHT(_xlpm.steps,2),_xlpm.steps)))</f>
        <v>69</v>
      </c>
      <c r="D4356">
        <f>_xlfn.LET(_xlpm.steps,SUBSTITUTE(Table13[[#This Row],[Input]],Table13[[#This Row],[Direction]],""),VALUE(IF(LEN(_xlpm.steps)&gt;2,LEFT(_xlpm.steps,LEN(_xlpm.steps)-2),0)))</f>
        <v>0</v>
      </c>
      <c r="E4356">
        <f>_xlfn.LET(_xlpm.dir,Table13[[#This Row],[Direction]],
IF(_xlpm.dir="L",
    IF(G4355-Table13[[#This Row],[Steps]]&lt;0,100+(G4355-Table13[[#This Row],[Steps]]),G4355-Table13[[#This Row],[Steps]]),
))</f>
        <v>0</v>
      </c>
      <c r="F4356">
        <f>_xlfn.LET(_xlpm.dir,Table13[[#This Row],[Direction]],
IF(_xlpm.dir="R",
    IF(G4355+Table13[[#This Row],[Steps]]&gt;99,(G4355+Table13[[#This Row],[Steps]])-100,G4355+Table13[[#This Row],[Steps]]),
))</f>
        <v>0</v>
      </c>
      <c r="G4356">
        <f>IF(Table13[[#This Row],[New Pos L]]&lt;&gt;0,Table13[[#This Row],[New Pos L]],Table13[[#This Row],[New Pos R]])</f>
        <v>0</v>
      </c>
      <c r="H4356">
        <f>IF(AND(Table13[[#This Row],[Direction]]="L",Table13[[#This Row],[Steps]]&gt;G4355,G4355&lt;&gt;0),1,0)</f>
        <v>0</v>
      </c>
      <c r="I4356">
        <f>IF(AND(Table13[[#This Row],[Direction]]="R",(G4355+Table13[[#This Row],[Steps]])&gt;100),1,0)</f>
        <v>0</v>
      </c>
      <c r="J4356">
        <f>IF(Table13[[#This Row],[POS]]=0,1,0)</f>
        <v>1</v>
      </c>
      <c r="K4356">
        <f>SUM(Table13[[#This Row],[prefix]],Table13[[#This Row],[Past zero L]],Table13[[#This Row],[Past Zero R]],Table13[[#This Row],[Is Zero]])</f>
        <v>1</v>
      </c>
    </row>
    <row r="4357" spans="1:11" ht="16" x14ac:dyDescent="0.2">
      <c r="A4357" s="1" t="s">
        <v>155</v>
      </c>
      <c r="B4357" t="str">
        <f>LEFT(Table13[[#This Row],[Input]],1)</f>
        <v>L</v>
      </c>
      <c r="C4357">
        <f>_xlfn.LET(_xlpm.steps,SUBSTITUTE(Table13[[#This Row],[Input]],Table13[[#This Row],[Direction]],""),VALUE(IF(LEN(_xlpm.steps)&gt;2,RIGHT(_xlpm.steps,2),_xlpm.steps)))</f>
        <v>18</v>
      </c>
      <c r="D4357">
        <f>_xlfn.LET(_xlpm.steps,SUBSTITUTE(Table13[[#This Row],[Input]],Table13[[#This Row],[Direction]],""),VALUE(IF(LEN(_xlpm.steps)&gt;2,LEFT(_xlpm.steps,LEN(_xlpm.steps)-2),0)))</f>
        <v>0</v>
      </c>
      <c r="E4357">
        <f>_xlfn.LET(_xlpm.dir,Table13[[#This Row],[Direction]],
IF(_xlpm.dir="L",
    IF(G4356-Table13[[#This Row],[Steps]]&lt;0,100+(G4356-Table13[[#This Row],[Steps]]),G4356-Table13[[#This Row],[Steps]]),
))</f>
        <v>82</v>
      </c>
      <c r="F4357">
        <f>_xlfn.LET(_xlpm.dir,Table13[[#This Row],[Direction]],
IF(_xlpm.dir="R",
    IF(G4356+Table13[[#This Row],[Steps]]&gt;99,(G4356+Table13[[#This Row],[Steps]])-100,G4356+Table13[[#This Row],[Steps]]),
))</f>
        <v>0</v>
      </c>
      <c r="G4357">
        <f>IF(Table13[[#This Row],[New Pos L]]&lt;&gt;0,Table13[[#This Row],[New Pos L]],Table13[[#This Row],[New Pos R]])</f>
        <v>82</v>
      </c>
      <c r="H4357">
        <f>IF(AND(Table13[[#This Row],[Direction]]="L",Table13[[#This Row],[Steps]]&gt;G4356,G4356&lt;&gt;0),1,0)</f>
        <v>0</v>
      </c>
      <c r="I4357">
        <f>IF(AND(Table13[[#This Row],[Direction]]="R",(G4356+Table13[[#This Row],[Steps]])&gt;100),1,0)</f>
        <v>0</v>
      </c>
      <c r="J4357">
        <f>IF(Table13[[#This Row],[POS]]=0,1,0)</f>
        <v>0</v>
      </c>
      <c r="K4357">
        <f>SUM(Table13[[#This Row],[prefix]],Table13[[#This Row],[Past zero L]],Table13[[#This Row],[Past Zero R]],Table13[[#This Row],[Is Zero]])</f>
        <v>0</v>
      </c>
    </row>
    <row r="4358" spans="1:11" ht="16" x14ac:dyDescent="0.2">
      <c r="A4358" s="1" t="s">
        <v>37</v>
      </c>
      <c r="B4358" t="str">
        <f>LEFT(Table13[[#This Row],[Input]],1)</f>
        <v>L</v>
      </c>
      <c r="C4358">
        <f>_xlfn.LET(_xlpm.steps,SUBSTITUTE(Table13[[#This Row],[Input]],Table13[[#This Row],[Direction]],""),VALUE(IF(LEN(_xlpm.steps)&gt;2,RIGHT(_xlpm.steps,2),_xlpm.steps)))</f>
        <v>42</v>
      </c>
      <c r="D4358">
        <f>_xlfn.LET(_xlpm.steps,SUBSTITUTE(Table13[[#This Row],[Input]],Table13[[#This Row],[Direction]],""),VALUE(IF(LEN(_xlpm.steps)&gt;2,LEFT(_xlpm.steps,LEN(_xlpm.steps)-2),0)))</f>
        <v>0</v>
      </c>
      <c r="E4358">
        <f>_xlfn.LET(_xlpm.dir,Table13[[#This Row],[Direction]],
IF(_xlpm.dir="L",
    IF(G4357-Table13[[#This Row],[Steps]]&lt;0,100+(G4357-Table13[[#This Row],[Steps]]),G4357-Table13[[#This Row],[Steps]]),
))</f>
        <v>40</v>
      </c>
      <c r="F4358">
        <f>_xlfn.LET(_xlpm.dir,Table13[[#This Row],[Direction]],
IF(_xlpm.dir="R",
    IF(G4357+Table13[[#This Row],[Steps]]&gt;99,(G4357+Table13[[#This Row],[Steps]])-100,G4357+Table13[[#This Row],[Steps]]),
))</f>
        <v>0</v>
      </c>
      <c r="G4358">
        <f>IF(Table13[[#This Row],[New Pos L]]&lt;&gt;0,Table13[[#This Row],[New Pos L]],Table13[[#This Row],[New Pos R]])</f>
        <v>40</v>
      </c>
      <c r="H4358">
        <f>IF(AND(Table13[[#This Row],[Direction]]="L",Table13[[#This Row],[Steps]]&gt;G4357,G4357&lt;&gt;0),1,0)</f>
        <v>0</v>
      </c>
      <c r="I4358">
        <f>IF(AND(Table13[[#This Row],[Direction]]="R",(G4357+Table13[[#This Row],[Steps]])&gt;100),1,0)</f>
        <v>0</v>
      </c>
      <c r="J4358">
        <f>IF(Table13[[#This Row],[POS]]=0,1,0)</f>
        <v>0</v>
      </c>
      <c r="K4358">
        <f>SUM(Table13[[#This Row],[prefix]],Table13[[#This Row],[Past zero L]],Table13[[#This Row],[Past Zero R]],Table13[[#This Row],[Is Zero]])</f>
        <v>0</v>
      </c>
    </row>
    <row r="4359" spans="1:11" ht="16" x14ac:dyDescent="0.2">
      <c r="A4359" s="1" t="s">
        <v>115</v>
      </c>
      <c r="B4359" t="str">
        <f>LEFT(Table13[[#This Row],[Input]],1)</f>
        <v>L</v>
      </c>
      <c r="C4359">
        <f>_xlfn.LET(_xlpm.steps,SUBSTITUTE(Table13[[#This Row],[Input]],Table13[[#This Row],[Direction]],""),VALUE(IF(LEN(_xlpm.steps)&gt;2,RIGHT(_xlpm.steps,2),_xlpm.steps)))</f>
        <v>29</v>
      </c>
      <c r="D4359">
        <f>_xlfn.LET(_xlpm.steps,SUBSTITUTE(Table13[[#This Row],[Input]],Table13[[#This Row],[Direction]],""),VALUE(IF(LEN(_xlpm.steps)&gt;2,LEFT(_xlpm.steps,LEN(_xlpm.steps)-2),0)))</f>
        <v>0</v>
      </c>
      <c r="E4359">
        <f>_xlfn.LET(_xlpm.dir,Table13[[#This Row],[Direction]],
IF(_xlpm.dir="L",
    IF(G4358-Table13[[#This Row],[Steps]]&lt;0,100+(G4358-Table13[[#This Row],[Steps]]),G4358-Table13[[#This Row],[Steps]]),
))</f>
        <v>11</v>
      </c>
      <c r="F4359">
        <f>_xlfn.LET(_xlpm.dir,Table13[[#This Row],[Direction]],
IF(_xlpm.dir="R",
    IF(G4358+Table13[[#This Row],[Steps]]&gt;99,(G4358+Table13[[#This Row],[Steps]])-100,G4358+Table13[[#This Row],[Steps]]),
))</f>
        <v>0</v>
      </c>
      <c r="G4359">
        <f>IF(Table13[[#This Row],[New Pos L]]&lt;&gt;0,Table13[[#This Row],[New Pos L]],Table13[[#This Row],[New Pos R]])</f>
        <v>11</v>
      </c>
      <c r="H4359">
        <f>IF(AND(Table13[[#This Row],[Direction]]="L",Table13[[#This Row],[Steps]]&gt;G4358,G4358&lt;&gt;0),1,0)</f>
        <v>0</v>
      </c>
      <c r="I4359">
        <f>IF(AND(Table13[[#This Row],[Direction]]="R",(G4358+Table13[[#This Row],[Steps]])&gt;100),1,0)</f>
        <v>0</v>
      </c>
      <c r="J4359">
        <f>IF(Table13[[#This Row],[POS]]=0,1,0)</f>
        <v>0</v>
      </c>
      <c r="K4359">
        <f>SUM(Table13[[#This Row],[prefix]],Table13[[#This Row],[Past zero L]],Table13[[#This Row],[Past Zero R]],Table13[[#This Row],[Is Zero]])</f>
        <v>0</v>
      </c>
    </row>
    <row r="4360" spans="1:11" ht="16" x14ac:dyDescent="0.2">
      <c r="A4360" s="1" t="s">
        <v>12</v>
      </c>
      <c r="B4360" t="str">
        <f>LEFT(Table13[[#This Row],[Input]],1)</f>
        <v>L</v>
      </c>
      <c r="C4360">
        <f>_xlfn.LET(_xlpm.steps,SUBSTITUTE(Table13[[#This Row],[Input]],Table13[[#This Row],[Direction]],""),VALUE(IF(LEN(_xlpm.steps)&gt;2,RIGHT(_xlpm.steps,2),_xlpm.steps)))</f>
        <v>11</v>
      </c>
      <c r="D4360">
        <f>_xlfn.LET(_xlpm.steps,SUBSTITUTE(Table13[[#This Row],[Input]],Table13[[#This Row],[Direction]],""),VALUE(IF(LEN(_xlpm.steps)&gt;2,LEFT(_xlpm.steps,LEN(_xlpm.steps)-2),0)))</f>
        <v>0</v>
      </c>
      <c r="E4360">
        <f>_xlfn.LET(_xlpm.dir,Table13[[#This Row],[Direction]],
IF(_xlpm.dir="L",
    IF(G4359-Table13[[#This Row],[Steps]]&lt;0,100+(G4359-Table13[[#This Row],[Steps]]),G4359-Table13[[#This Row],[Steps]]),
))</f>
        <v>0</v>
      </c>
      <c r="F4360">
        <f>_xlfn.LET(_xlpm.dir,Table13[[#This Row],[Direction]],
IF(_xlpm.dir="R",
    IF(G4359+Table13[[#This Row],[Steps]]&gt;99,(G4359+Table13[[#This Row],[Steps]])-100,G4359+Table13[[#This Row],[Steps]]),
))</f>
        <v>0</v>
      </c>
      <c r="G4360">
        <f>IF(Table13[[#This Row],[New Pos L]]&lt;&gt;0,Table13[[#This Row],[New Pos L]],Table13[[#This Row],[New Pos R]])</f>
        <v>0</v>
      </c>
      <c r="H4360">
        <f>IF(AND(Table13[[#This Row],[Direction]]="L",Table13[[#This Row],[Steps]]&gt;G4359,G4359&lt;&gt;0),1,0)</f>
        <v>0</v>
      </c>
      <c r="I4360">
        <f>IF(AND(Table13[[#This Row],[Direction]]="R",(G4359+Table13[[#This Row],[Steps]])&gt;100),1,0)</f>
        <v>0</v>
      </c>
      <c r="J4360">
        <f>IF(Table13[[#This Row],[POS]]=0,1,0)</f>
        <v>1</v>
      </c>
      <c r="K4360">
        <f>SUM(Table13[[#This Row],[prefix]],Table13[[#This Row],[Past zero L]],Table13[[#This Row],[Past Zero R]],Table13[[#This Row],[Is Zero]])</f>
        <v>1</v>
      </c>
    </row>
    <row r="4361" spans="1:11" ht="16" x14ac:dyDescent="0.2">
      <c r="A4361" s="1" t="s">
        <v>126</v>
      </c>
      <c r="B4361" t="str">
        <f>LEFT(Table13[[#This Row],[Input]],1)</f>
        <v>R</v>
      </c>
      <c r="C4361">
        <f>_xlfn.LET(_xlpm.steps,SUBSTITUTE(Table13[[#This Row],[Input]],Table13[[#This Row],[Direction]],""),VALUE(IF(LEN(_xlpm.steps)&gt;2,RIGHT(_xlpm.steps,2),_xlpm.steps)))</f>
        <v>65</v>
      </c>
      <c r="D4361">
        <f>_xlfn.LET(_xlpm.steps,SUBSTITUTE(Table13[[#This Row],[Input]],Table13[[#This Row],[Direction]],""),VALUE(IF(LEN(_xlpm.steps)&gt;2,LEFT(_xlpm.steps,LEN(_xlpm.steps)-2),0)))</f>
        <v>0</v>
      </c>
      <c r="E4361">
        <f>_xlfn.LET(_xlpm.dir,Table13[[#This Row],[Direction]],
IF(_xlpm.dir="L",
    IF(G4360-Table13[[#This Row],[Steps]]&lt;0,100+(G4360-Table13[[#This Row],[Steps]]),G4360-Table13[[#This Row],[Steps]]),
))</f>
        <v>0</v>
      </c>
      <c r="F4361">
        <f>_xlfn.LET(_xlpm.dir,Table13[[#This Row],[Direction]],
IF(_xlpm.dir="R",
    IF(G4360+Table13[[#This Row],[Steps]]&gt;99,(G4360+Table13[[#This Row],[Steps]])-100,G4360+Table13[[#This Row],[Steps]]),
))</f>
        <v>65</v>
      </c>
      <c r="G4361">
        <f>IF(Table13[[#This Row],[New Pos L]]&lt;&gt;0,Table13[[#This Row],[New Pos L]],Table13[[#This Row],[New Pos R]])</f>
        <v>65</v>
      </c>
      <c r="H4361">
        <f>IF(AND(Table13[[#This Row],[Direction]]="L",Table13[[#This Row],[Steps]]&gt;G4360,G4360&lt;&gt;0),1,0)</f>
        <v>0</v>
      </c>
      <c r="I4361">
        <f>IF(AND(Table13[[#This Row],[Direction]]="R",(G4360+Table13[[#This Row],[Steps]])&gt;100),1,0)</f>
        <v>0</v>
      </c>
      <c r="J4361">
        <f>IF(Table13[[#This Row],[POS]]=0,1,0)</f>
        <v>0</v>
      </c>
      <c r="K4361">
        <f>SUM(Table13[[#This Row],[prefix]],Table13[[#This Row],[Past zero L]],Table13[[#This Row],[Past Zero R]],Table13[[#This Row],[Is Zero]])</f>
        <v>0</v>
      </c>
    </row>
    <row r="4362" spans="1:11" ht="16" x14ac:dyDescent="0.2">
      <c r="A4362" s="1" t="s">
        <v>11</v>
      </c>
      <c r="B4362" t="str">
        <f>LEFT(Table13[[#This Row],[Input]],1)</f>
        <v>L</v>
      </c>
      <c r="C4362">
        <f>_xlfn.LET(_xlpm.steps,SUBSTITUTE(Table13[[#This Row],[Input]],Table13[[#This Row],[Direction]],""),VALUE(IF(LEN(_xlpm.steps)&gt;2,RIGHT(_xlpm.steps,2),_xlpm.steps)))</f>
        <v>34</v>
      </c>
      <c r="D4362">
        <f>_xlfn.LET(_xlpm.steps,SUBSTITUTE(Table13[[#This Row],[Input]],Table13[[#This Row],[Direction]],""),VALUE(IF(LEN(_xlpm.steps)&gt;2,LEFT(_xlpm.steps,LEN(_xlpm.steps)-2),0)))</f>
        <v>0</v>
      </c>
      <c r="E4362">
        <f>_xlfn.LET(_xlpm.dir,Table13[[#This Row],[Direction]],
IF(_xlpm.dir="L",
    IF(G4361-Table13[[#This Row],[Steps]]&lt;0,100+(G4361-Table13[[#This Row],[Steps]]),G4361-Table13[[#This Row],[Steps]]),
))</f>
        <v>31</v>
      </c>
      <c r="F4362">
        <f>_xlfn.LET(_xlpm.dir,Table13[[#This Row],[Direction]],
IF(_xlpm.dir="R",
    IF(G4361+Table13[[#This Row],[Steps]]&gt;99,(G4361+Table13[[#This Row],[Steps]])-100,G4361+Table13[[#This Row],[Steps]]),
))</f>
        <v>0</v>
      </c>
      <c r="G4362">
        <f>IF(Table13[[#This Row],[New Pos L]]&lt;&gt;0,Table13[[#This Row],[New Pos L]],Table13[[#This Row],[New Pos R]])</f>
        <v>31</v>
      </c>
      <c r="H4362">
        <f>IF(AND(Table13[[#This Row],[Direction]]="L",Table13[[#This Row],[Steps]]&gt;G4361,G4361&lt;&gt;0),1,0)</f>
        <v>0</v>
      </c>
      <c r="I4362">
        <f>IF(AND(Table13[[#This Row],[Direction]]="R",(G4361+Table13[[#This Row],[Steps]])&gt;100),1,0)</f>
        <v>0</v>
      </c>
      <c r="J4362">
        <f>IF(Table13[[#This Row],[POS]]=0,1,0)</f>
        <v>0</v>
      </c>
      <c r="K4362">
        <f>SUM(Table13[[#This Row],[prefix]],Table13[[#This Row],[Past zero L]],Table13[[#This Row],[Past Zero R]],Table13[[#This Row],[Is Zero]])</f>
        <v>0</v>
      </c>
    </row>
    <row r="4363" spans="1:11" ht="16" x14ac:dyDescent="0.2">
      <c r="A4363" s="1" t="s">
        <v>531</v>
      </c>
      <c r="B4363" t="str">
        <f>LEFT(Table13[[#This Row],[Input]],1)</f>
        <v>L</v>
      </c>
      <c r="C4363">
        <f>_xlfn.LET(_xlpm.steps,SUBSTITUTE(Table13[[#This Row],[Input]],Table13[[#This Row],[Direction]],""),VALUE(IF(LEN(_xlpm.steps)&gt;2,RIGHT(_xlpm.steps,2),_xlpm.steps)))</f>
        <v>15</v>
      </c>
      <c r="D4363">
        <f>_xlfn.LET(_xlpm.steps,SUBSTITUTE(Table13[[#This Row],[Input]],Table13[[#This Row],[Direction]],""),VALUE(IF(LEN(_xlpm.steps)&gt;2,LEFT(_xlpm.steps,LEN(_xlpm.steps)-2),0)))</f>
        <v>1</v>
      </c>
      <c r="E4363">
        <f>_xlfn.LET(_xlpm.dir,Table13[[#This Row],[Direction]],
IF(_xlpm.dir="L",
    IF(G4362-Table13[[#This Row],[Steps]]&lt;0,100+(G4362-Table13[[#This Row],[Steps]]),G4362-Table13[[#This Row],[Steps]]),
))</f>
        <v>16</v>
      </c>
      <c r="F4363">
        <f>_xlfn.LET(_xlpm.dir,Table13[[#This Row],[Direction]],
IF(_xlpm.dir="R",
    IF(G4362+Table13[[#This Row],[Steps]]&gt;99,(G4362+Table13[[#This Row],[Steps]])-100,G4362+Table13[[#This Row],[Steps]]),
))</f>
        <v>0</v>
      </c>
      <c r="G4363">
        <f>IF(Table13[[#This Row],[New Pos L]]&lt;&gt;0,Table13[[#This Row],[New Pos L]],Table13[[#This Row],[New Pos R]])</f>
        <v>16</v>
      </c>
      <c r="H4363">
        <f>IF(AND(Table13[[#This Row],[Direction]]="L",Table13[[#This Row],[Steps]]&gt;G4362,G4362&lt;&gt;0),1,0)</f>
        <v>0</v>
      </c>
      <c r="I4363">
        <f>IF(AND(Table13[[#This Row],[Direction]]="R",(G4362+Table13[[#This Row],[Steps]])&gt;100),1,0)</f>
        <v>0</v>
      </c>
      <c r="J4363">
        <f>IF(Table13[[#This Row],[POS]]=0,1,0)</f>
        <v>0</v>
      </c>
      <c r="K4363">
        <f>SUM(Table13[[#This Row],[prefix]],Table13[[#This Row],[Past zero L]],Table13[[#This Row],[Past Zero R]],Table13[[#This Row],[Is Zero]])</f>
        <v>1</v>
      </c>
    </row>
    <row r="4364" spans="1:11" ht="16" x14ac:dyDescent="0.2">
      <c r="A4364" s="1" t="s">
        <v>872</v>
      </c>
      <c r="B4364" t="str">
        <f>LEFT(Table13[[#This Row],[Input]],1)</f>
        <v>L</v>
      </c>
      <c r="C4364">
        <f>_xlfn.LET(_xlpm.steps,SUBSTITUTE(Table13[[#This Row],[Input]],Table13[[#This Row],[Direction]],""),VALUE(IF(LEN(_xlpm.steps)&gt;2,RIGHT(_xlpm.steps,2),_xlpm.steps)))</f>
        <v>16</v>
      </c>
      <c r="D4364">
        <f>_xlfn.LET(_xlpm.steps,SUBSTITUTE(Table13[[#This Row],[Input]],Table13[[#This Row],[Direction]],""),VALUE(IF(LEN(_xlpm.steps)&gt;2,LEFT(_xlpm.steps,LEN(_xlpm.steps)-2),0)))</f>
        <v>5</v>
      </c>
      <c r="E4364">
        <f>_xlfn.LET(_xlpm.dir,Table13[[#This Row],[Direction]],
IF(_xlpm.dir="L",
    IF(G4363-Table13[[#This Row],[Steps]]&lt;0,100+(G4363-Table13[[#This Row],[Steps]]),G4363-Table13[[#This Row],[Steps]]),
))</f>
        <v>0</v>
      </c>
      <c r="F4364">
        <f>_xlfn.LET(_xlpm.dir,Table13[[#This Row],[Direction]],
IF(_xlpm.dir="R",
    IF(G4363+Table13[[#This Row],[Steps]]&gt;99,(G4363+Table13[[#This Row],[Steps]])-100,G4363+Table13[[#This Row],[Steps]]),
))</f>
        <v>0</v>
      </c>
      <c r="G4364">
        <f>IF(Table13[[#This Row],[New Pos L]]&lt;&gt;0,Table13[[#This Row],[New Pos L]],Table13[[#This Row],[New Pos R]])</f>
        <v>0</v>
      </c>
      <c r="H4364">
        <f>IF(AND(Table13[[#This Row],[Direction]]="L",Table13[[#This Row],[Steps]]&gt;G4363,G4363&lt;&gt;0),1,0)</f>
        <v>0</v>
      </c>
      <c r="I4364">
        <f>IF(AND(Table13[[#This Row],[Direction]]="R",(G4363+Table13[[#This Row],[Steps]])&gt;100),1,0)</f>
        <v>0</v>
      </c>
      <c r="J4364">
        <f>IF(Table13[[#This Row],[POS]]=0,1,0)</f>
        <v>1</v>
      </c>
      <c r="K4364">
        <f>SUM(Table13[[#This Row],[prefix]],Table13[[#This Row],[Past zero L]],Table13[[#This Row],[Past Zero R]],Table13[[#This Row],[Is Zero]])</f>
        <v>6</v>
      </c>
    </row>
    <row r="4365" spans="1:11" ht="16" x14ac:dyDescent="0.2">
      <c r="A4365" s="1" t="s">
        <v>19</v>
      </c>
      <c r="B4365" t="str">
        <f>LEFT(Table13[[#This Row],[Input]],1)</f>
        <v>R</v>
      </c>
      <c r="C4365">
        <f>_xlfn.LET(_xlpm.steps,SUBSTITUTE(Table13[[#This Row],[Input]],Table13[[#This Row],[Direction]],""),VALUE(IF(LEN(_xlpm.steps)&gt;2,RIGHT(_xlpm.steps,2),_xlpm.steps)))</f>
        <v>47</v>
      </c>
      <c r="D4365">
        <f>_xlfn.LET(_xlpm.steps,SUBSTITUTE(Table13[[#This Row],[Input]],Table13[[#This Row],[Direction]],""),VALUE(IF(LEN(_xlpm.steps)&gt;2,LEFT(_xlpm.steps,LEN(_xlpm.steps)-2),0)))</f>
        <v>0</v>
      </c>
      <c r="E4365">
        <f>_xlfn.LET(_xlpm.dir,Table13[[#This Row],[Direction]],
IF(_xlpm.dir="L",
    IF(G4364-Table13[[#This Row],[Steps]]&lt;0,100+(G4364-Table13[[#This Row],[Steps]]),G4364-Table13[[#This Row],[Steps]]),
))</f>
        <v>0</v>
      </c>
      <c r="F4365">
        <f>_xlfn.LET(_xlpm.dir,Table13[[#This Row],[Direction]],
IF(_xlpm.dir="R",
    IF(G4364+Table13[[#This Row],[Steps]]&gt;99,(G4364+Table13[[#This Row],[Steps]])-100,G4364+Table13[[#This Row],[Steps]]),
))</f>
        <v>47</v>
      </c>
      <c r="G4365">
        <f>IF(Table13[[#This Row],[New Pos L]]&lt;&gt;0,Table13[[#This Row],[New Pos L]],Table13[[#This Row],[New Pos R]])</f>
        <v>47</v>
      </c>
      <c r="H4365">
        <f>IF(AND(Table13[[#This Row],[Direction]]="L",Table13[[#This Row],[Steps]]&gt;G4364,G4364&lt;&gt;0),1,0)</f>
        <v>0</v>
      </c>
      <c r="I4365">
        <f>IF(AND(Table13[[#This Row],[Direction]]="R",(G4364+Table13[[#This Row],[Steps]])&gt;100),1,0)</f>
        <v>0</v>
      </c>
      <c r="J4365">
        <f>IF(Table13[[#This Row],[POS]]=0,1,0)</f>
        <v>0</v>
      </c>
      <c r="K4365">
        <f>SUM(Table13[[#This Row],[prefix]],Table13[[#This Row],[Past zero L]],Table13[[#This Row],[Past Zero R]],Table13[[#This Row],[Is Zero]])</f>
        <v>0</v>
      </c>
    </row>
    <row r="4366" spans="1:11" ht="16" x14ac:dyDescent="0.2">
      <c r="A4366" s="1" t="s">
        <v>553</v>
      </c>
      <c r="B4366" t="str">
        <f>LEFT(Table13[[#This Row],[Input]],1)</f>
        <v>R</v>
      </c>
      <c r="C4366">
        <f>_xlfn.LET(_xlpm.steps,SUBSTITUTE(Table13[[#This Row],[Input]],Table13[[#This Row],[Direction]],""),VALUE(IF(LEN(_xlpm.steps)&gt;2,RIGHT(_xlpm.steps,2),_xlpm.steps)))</f>
        <v>30</v>
      </c>
      <c r="D4366">
        <f>_xlfn.LET(_xlpm.steps,SUBSTITUTE(Table13[[#This Row],[Input]],Table13[[#This Row],[Direction]],""),VALUE(IF(LEN(_xlpm.steps)&gt;2,LEFT(_xlpm.steps,LEN(_xlpm.steps)-2),0)))</f>
        <v>8</v>
      </c>
      <c r="E4366">
        <f>_xlfn.LET(_xlpm.dir,Table13[[#This Row],[Direction]],
IF(_xlpm.dir="L",
    IF(G4365-Table13[[#This Row],[Steps]]&lt;0,100+(G4365-Table13[[#This Row],[Steps]]),G4365-Table13[[#This Row],[Steps]]),
))</f>
        <v>0</v>
      </c>
      <c r="F4366">
        <f>_xlfn.LET(_xlpm.dir,Table13[[#This Row],[Direction]],
IF(_xlpm.dir="R",
    IF(G4365+Table13[[#This Row],[Steps]]&gt;99,(G4365+Table13[[#This Row],[Steps]])-100,G4365+Table13[[#This Row],[Steps]]),
))</f>
        <v>77</v>
      </c>
      <c r="G4366">
        <f>IF(Table13[[#This Row],[New Pos L]]&lt;&gt;0,Table13[[#This Row],[New Pos L]],Table13[[#This Row],[New Pos R]])</f>
        <v>77</v>
      </c>
      <c r="H4366">
        <f>IF(AND(Table13[[#This Row],[Direction]]="L",Table13[[#This Row],[Steps]]&gt;G4365,G4365&lt;&gt;0),1,0)</f>
        <v>0</v>
      </c>
      <c r="I4366">
        <f>IF(AND(Table13[[#This Row],[Direction]]="R",(G4365+Table13[[#This Row],[Steps]])&gt;100),1,0)</f>
        <v>0</v>
      </c>
      <c r="J4366">
        <f>IF(Table13[[#This Row],[POS]]=0,1,0)</f>
        <v>0</v>
      </c>
      <c r="K4366">
        <f>SUM(Table13[[#This Row],[prefix]],Table13[[#This Row],[Past zero L]],Table13[[#This Row],[Past Zero R]],Table13[[#This Row],[Is Zero]])</f>
        <v>8</v>
      </c>
    </row>
    <row r="4367" spans="1:11" ht="16" x14ac:dyDescent="0.2">
      <c r="A4367" s="1" t="s">
        <v>119</v>
      </c>
      <c r="B4367" t="str">
        <f>LEFT(Table13[[#This Row],[Input]],1)</f>
        <v>L</v>
      </c>
      <c r="C4367">
        <f>_xlfn.LET(_xlpm.steps,SUBSTITUTE(Table13[[#This Row],[Input]],Table13[[#This Row],[Direction]],""),VALUE(IF(LEN(_xlpm.steps)&gt;2,RIGHT(_xlpm.steps,2),_xlpm.steps)))</f>
        <v>77</v>
      </c>
      <c r="D4367">
        <f>_xlfn.LET(_xlpm.steps,SUBSTITUTE(Table13[[#This Row],[Input]],Table13[[#This Row],[Direction]],""),VALUE(IF(LEN(_xlpm.steps)&gt;2,LEFT(_xlpm.steps,LEN(_xlpm.steps)-2),0)))</f>
        <v>0</v>
      </c>
      <c r="E4367">
        <f>_xlfn.LET(_xlpm.dir,Table13[[#This Row],[Direction]],
IF(_xlpm.dir="L",
    IF(G4366-Table13[[#This Row],[Steps]]&lt;0,100+(G4366-Table13[[#This Row],[Steps]]),G4366-Table13[[#This Row],[Steps]]),
))</f>
        <v>0</v>
      </c>
      <c r="F4367">
        <f>_xlfn.LET(_xlpm.dir,Table13[[#This Row],[Direction]],
IF(_xlpm.dir="R",
    IF(G4366+Table13[[#This Row],[Steps]]&gt;99,(G4366+Table13[[#This Row],[Steps]])-100,G4366+Table13[[#This Row],[Steps]]),
))</f>
        <v>0</v>
      </c>
      <c r="G4367">
        <f>IF(Table13[[#This Row],[New Pos L]]&lt;&gt;0,Table13[[#This Row],[New Pos L]],Table13[[#This Row],[New Pos R]])</f>
        <v>0</v>
      </c>
      <c r="H4367">
        <f>IF(AND(Table13[[#This Row],[Direction]]="L",Table13[[#This Row],[Steps]]&gt;G4366,G4366&lt;&gt;0),1,0)</f>
        <v>0</v>
      </c>
      <c r="I4367">
        <f>IF(AND(Table13[[#This Row],[Direction]]="R",(G4366+Table13[[#This Row],[Steps]])&gt;100),1,0)</f>
        <v>0</v>
      </c>
      <c r="J4367">
        <f>IF(Table13[[#This Row],[POS]]=0,1,0)</f>
        <v>1</v>
      </c>
      <c r="K4367">
        <f>SUM(Table13[[#This Row],[prefix]],Table13[[#This Row],[Past zero L]],Table13[[#This Row],[Past Zero R]],Table13[[#This Row],[Is Zero]])</f>
        <v>1</v>
      </c>
    </row>
    <row r="4368" spans="1:11" ht="16" x14ac:dyDescent="0.2">
      <c r="A4368" s="1" t="s">
        <v>45</v>
      </c>
      <c r="B4368" t="str">
        <f>LEFT(Table13[[#This Row],[Input]],1)</f>
        <v>L</v>
      </c>
      <c r="C4368">
        <f>_xlfn.LET(_xlpm.steps,SUBSTITUTE(Table13[[#This Row],[Input]],Table13[[#This Row],[Direction]],""),VALUE(IF(LEN(_xlpm.steps)&gt;2,RIGHT(_xlpm.steps,2),_xlpm.steps)))</f>
        <v>96</v>
      </c>
      <c r="D4368">
        <f>_xlfn.LET(_xlpm.steps,SUBSTITUTE(Table13[[#This Row],[Input]],Table13[[#This Row],[Direction]],""),VALUE(IF(LEN(_xlpm.steps)&gt;2,LEFT(_xlpm.steps,LEN(_xlpm.steps)-2),0)))</f>
        <v>0</v>
      </c>
      <c r="E4368">
        <f>_xlfn.LET(_xlpm.dir,Table13[[#This Row],[Direction]],
IF(_xlpm.dir="L",
    IF(G4367-Table13[[#This Row],[Steps]]&lt;0,100+(G4367-Table13[[#This Row],[Steps]]),G4367-Table13[[#This Row],[Steps]]),
))</f>
        <v>4</v>
      </c>
      <c r="F4368">
        <f>_xlfn.LET(_xlpm.dir,Table13[[#This Row],[Direction]],
IF(_xlpm.dir="R",
    IF(G4367+Table13[[#This Row],[Steps]]&gt;99,(G4367+Table13[[#This Row],[Steps]])-100,G4367+Table13[[#This Row],[Steps]]),
))</f>
        <v>0</v>
      </c>
      <c r="G4368">
        <f>IF(Table13[[#This Row],[New Pos L]]&lt;&gt;0,Table13[[#This Row],[New Pos L]],Table13[[#This Row],[New Pos R]])</f>
        <v>4</v>
      </c>
      <c r="H4368">
        <f>IF(AND(Table13[[#This Row],[Direction]]="L",Table13[[#This Row],[Steps]]&gt;G4367,G4367&lt;&gt;0),1,0)</f>
        <v>0</v>
      </c>
      <c r="I4368">
        <f>IF(AND(Table13[[#This Row],[Direction]]="R",(G4367+Table13[[#This Row],[Steps]])&gt;100),1,0)</f>
        <v>0</v>
      </c>
      <c r="J4368">
        <f>IF(Table13[[#This Row],[POS]]=0,1,0)</f>
        <v>0</v>
      </c>
      <c r="K4368">
        <f>SUM(Table13[[#This Row],[prefix]],Table13[[#This Row],[Past zero L]],Table13[[#This Row],[Past Zero R]],Table13[[#This Row],[Is Zero]])</f>
        <v>0</v>
      </c>
    </row>
    <row r="4369" spans="1:11" ht="16" x14ac:dyDescent="0.2">
      <c r="A4369" s="1" t="s">
        <v>88</v>
      </c>
      <c r="B4369" t="str">
        <f>LEFT(Table13[[#This Row],[Input]],1)</f>
        <v>R</v>
      </c>
      <c r="C4369">
        <f>_xlfn.LET(_xlpm.steps,SUBSTITUTE(Table13[[#This Row],[Input]],Table13[[#This Row],[Direction]],""),VALUE(IF(LEN(_xlpm.steps)&gt;2,RIGHT(_xlpm.steps,2),_xlpm.steps)))</f>
        <v>53</v>
      </c>
      <c r="D4369">
        <f>_xlfn.LET(_xlpm.steps,SUBSTITUTE(Table13[[#This Row],[Input]],Table13[[#This Row],[Direction]],""),VALUE(IF(LEN(_xlpm.steps)&gt;2,LEFT(_xlpm.steps,LEN(_xlpm.steps)-2),0)))</f>
        <v>0</v>
      </c>
      <c r="E4369">
        <f>_xlfn.LET(_xlpm.dir,Table13[[#This Row],[Direction]],
IF(_xlpm.dir="L",
    IF(G4368-Table13[[#This Row],[Steps]]&lt;0,100+(G4368-Table13[[#This Row],[Steps]]),G4368-Table13[[#This Row],[Steps]]),
))</f>
        <v>0</v>
      </c>
      <c r="F4369">
        <f>_xlfn.LET(_xlpm.dir,Table13[[#This Row],[Direction]],
IF(_xlpm.dir="R",
    IF(G4368+Table13[[#This Row],[Steps]]&gt;99,(G4368+Table13[[#This Row],[Steps]])-100,G4368+Table13[[#This Row],[Steps]]),
))</f>
        <v>57</v>
      </c>
      <c r="G4369">
        <f>IF(Table13[[#This Row],[New Pos L]]&lt;&gt;0,Table13[[#This Row],[New Pos L]],Table13[[#This Row],[New Pos R]])</f>
        <v>57</v>
      </c>
      <c r="H4369">
        <f>IF(AND(Table13[[#This Row],[Direction]]="L",Table13[[#This Row],[Steps]]&gt;G4368,G4368&lt;&gt;0),1,0)</f>
        <v>0</v>
      </c>
      <c r="I4369">
        <f>IF(AND(Table13[[#This Row],[Direction]]="R",(G4368+Table13[[#This Row],[Steps]])&gt;100),1,0)</f>
        <v>0</v>
      </c>
      <c r="J4369">
        <f>IF(Table13[[#This Row],[POS]]=0,1,0)</f>
        <v>0</v>
      </c>
      <c r="K4369">
        <f>SUM(Table13[[#This Row],[prefix]],Table13[[#This Row],[Past zero L]],Table13[[#This Row],[Past Zero R]],Table13[[#This Row],[Is Zero]])</f>
        <v>0</v>
      </c>
    </row>
    <row r="4370" spans="1:11" ht="16" x14ac:dyDescent="0.2">
      <c r="A4370" s="1" t="s">
        <v>62</v>
      </c>
      <c r="B4370" t="str">
        <f>LEFT(Table13[[#This Row],[Input]],1)</f>
        <v>L</v>
      </c>
      <c r="C4370">
        <f>_xlfn.LET(_xlpm.steps,SUBSTITUTE(Table13[[#This Row],[Input]],Table13[[#This Row],[Direction]],""),VALUE(IF(LEN(_xlpm.steps)&gt;2,RIGHT(_xlpm.steps,2),_xlpm.steps)))</f>
        <v>57</v>
      </c>
      <c r="D4370">
        <f>_xlfn.LET(_xlpm.steps,SUBSTITUTE(Table13[[#This Row],[Input]],Table13[[#This Row],[Direction]],""),VALUE(IF(LEN(_xlpm.steps)&gt;2,LEFT(_xlpm.steps,LEN(_xlpm.steps)-2),0)))</f>
        <v>0</v>
      </c>
      <c r="E4370">
        <f>_xlfn.LET(_xlpm.dir,Table13[[#This Row],[Direction]],
IF(_xlpm.dir="L",
    IF(G4369-Table13[[#This Row],[Steps]]&lt;0,100+(G4369-Table13[[#This Row],[Steps]]),G4369-Table13[[#This Row],[Steps]]),
))</f>
        <v>0</v>
      </c>
      <c r="F4370">
        <f>_xlfn.LET(_xlpm.dir,Table13[[#This Row],[Direction]],
IF(_xlpm.dir="R",
    IF(G4369+Table13[[#This Row],[Steps]]&gt;99,(G4369+Table13[[#This Row],[Steps]])-100,G4369+Table13[[#This Row],[Steps]]),
))</f>
        <v>0</v>
      </c>
      <c r="G4370">
        <f>IF(Table13[[#This Row],[New Pos L]]&lt;&gt;0,Table13[[#This Row],[New Pos L]],Table13[[#This Row],[New Pos R]])</f>
        <v>0</v>
      </c>
      <c r="H4370">
        <f>IF(AND(Table13[[#This Row],[Direction]]="L",Table13[[#This Row],[Steps]]&gt;G4369,G4369&lt;&gt;0),1,0)</f>
        <v>0</v>
      </c>
      <c r="I4370">
        <f>IF(AND(Table13[[#This Row],[Direction]]="R",(G4369+Table13[[#This Row],[Steps]])&gt;100),1,0)</f>
        <v>0</v>
      </c>
      <c r="J4370">
        <f>IF(Table13[[#This Row],[POS]]=0,1,0)</f>
        <v>1</v>
      </c>
      <c r="K4370">
        <f>SUM(Table13[[#This Row],[prefix]],Table13[[#This Row],[Past zero L]],Table13[[#This Row],[Past Zero R]],Table13[[#This Row],[Is Zero]])</f>
        <v>1</v>
      </c>
    </row>
    <row r="4371" spans="1:11" ht="16" x14ac:dyDescent="0.2">
      <c r="A4371" s="1" t="s">
        <v>141</v>
      </c>
      <c r="B4371" t="str">
        <f>LEFT(Table13[[#This Row],[Input]],1)</f>
        <v>L</v>
      </c>
      <c r="C4371">
        <f>_xlfn.LET(_xlpm.steps,SUBSTITUTE(Table13[[#This Row],[Input]],Table13[[#This Row],[Direction]],""),VALUE(IF(LEN(_xlpm.steps)&gt;2,RIGHT(_xlpm.steps,2),_xlpm.steps)))</f>
        <v>90</v>
      </c>
      <c r="D4371">
        <f>_xlfn.LET(_xlpm.steps,SUBSTITUTE(Table13[[#This Row],[Input]],Table13[[#This Row],[Direction]],""),VALUE(IF(LEN(_xlpm.steps)&gt;2,LEFT(_xlpm.steps,LEN(_xlpm.steps)-2),0)))</f>
        <v>0</v>
      </c>
      <c r="E4371">
        <f>_xlfn.LET(_xlpm.dir,Table13[[#This Row],[Direction]],
IF(_xlpm.dir="L",
    IF(G4370-Table13[[#This Row],[Steps]]&lt;0,100+(G4370-Table13[[#This Row],[Steps]]),G4370-Table13[[#This Row],[Steps]]),
))</f>
        <v>10</v>
      </c>
      <c r="F4371">
        <f>_xlfn.LET(_xlpm.dir,Table13[[#This Row],[Direction]],
IF(_xlpm.dir="R",
    IF(G4370+Table13[[#This Row],[Steps]]&gt;99,(G4370+Table13[[#This Row],[Steps]])-100,G4370+Table13[[#This Row],[Steps]]),
))</f>
        <v>0</v>
      </c>
      <c r="G4371">
        <f>IF(Table13[[#This Row],[New Pos L]]&lt;&gt;0,Table13[[#This Row],[New Pos L]],Table13[[#This Row],[New Pos R]])</f>
        <v>10</v>
      </c>
      <c r="H4371">
        <f>IF(AND(Table13[[#This Row],[Direction]]="L",Table13[[#This Row],[Steps]]&gt;G4370,G4370&lt;&gt;0),1,0)</f>
        <v>0</v>
      </c>
      <c r="I4371">
        <f>IF(AND(Table13[[#This Row],[Direction]]="R",(G4370+Table13[[#This Row],[Steps]])&gt;100),1,0)</f>
        <v>0</v>
      </c>
      <c r="J4371">
        <f>IF(Table13[[#This Row],[POS]]=0,1,0)</f>
        <v>0</v>
      </c>
      <c r="K4371">
        <f>SUM(Table13[[#This Row],[prefix]],Table13[[#This Row],[Past zero L]],Table13[[#This Row],[Past Zero R]],Table13[[#This Row],[Is Zero]])</f>
        <v>0</v>
      </c>
    </row>
    <row r="4372" spans="1:11" ht="16" x14ac:dyDescent="0.2">
      <c r="A4372" s="1" t="s">
        <v>33</v>
      </c>
      <c r="B4372" t="str">
        <f>LEFT(Table13[[#This Row],[Input]],1)</f>
        <v>R</v>
      </c>
      <c r="C4372">
        <f>_xlfn.LET(_xlpm.steps,SUBSTITUTE(Table13[[#This Row],[Input]],Table13[[#This Row],[Direction]],""),VALUE(IF(LEN(_xlpm.steps)&gt;2,RIGHT(_xlpm.steps,2),_xlpm.steps)))</f>
        <v>22</v>
      </c>
      <c r="D4372">
        <f>_xlfn.LET(_xlpm.steps,SUBSTITUTE(Table13[[#This Row],[Input]],Table13[[#This Row],[Direction]],""),VALUE(IF(LEN(_xlpm.steps)&gt;2,LEFT(_xlpm.steps,LEN(_xlpm.steps)-2),0)))</f>
        <v>0</v>
      </c>
      <c r="E4372">
        <f>_xlfn.LET(_xlpm.dir,Table13[[#This Row],[Direction]],
IF(_xlpm.dir="L",
    IF(G4371-Table13[[#This Row],[Steps]]&lt;0,100+(G4371-Table13[[#This Row],[Steps]]),G4371-Table13[[#This Row],[Steps]]),
))</f>
        <v>0</v>
      </c>
      <c r="F4372">
        <f>_xlfn.LET(_xlpm.dir,Table13[[#This Row],[Direction]],
IF(_xlpm.dir="R",
    IF(G4371+Table13[[#This Row],[Steps]]&gt;99,(G4371+Table13[[#This Row],[Steps]])-100,G4371+Table13[[#This Row],[Steps]]),
))</f>
        <v>32</v>
      </c>
      <c r="G4372">
        <f>IF(Table13[[#This Row],[New Pos L]]&lt;&gt;0,Table13[[#This Row],[New Pos L]],Table13[[#This Row],[New Pos R]])</f>
        <v>32</v>
      </c>
      <c r="H4372">
        <f>IF(AND(Table13[[#This Row],[Direction]]="L",Table13[[#This Row],[Steps]]&gt;G4371,G4371&lt;&gt;0),1,0)</f>
        <v>0</v>
      </c>
      <c r="I4372">
        <f>IF(AND(Table13[[#This Row],[Direction]]="R",(G4371+Table13[[#This Row],[Steps]])&gt;100),1,0)</f>
        <v>0</v>
      </c>
      <c r="J4372">
        <f>IF(Table13[[#This Row],[POS]]=0,1,0)</f>
        <v>0</v>
      </c>
      <c r="K4372">
        <f>SUM(Table13[[#This Row],[prefix]],Table13[[#This Row],[Past zero L]],Table13[[#This Row],[Past Zero R]],Table13[[#This Row],[Is Zero]])</f>
        <v>0</v>
      </c>
    </row>
    <row r="4373" spans="1:11" ht="16" x14ac:dyDescent="0.2">
      <c r="A4373" s="1" t="s">
        <v>157</v>
      </c>
      <c r="B4373" t="str">
        <f>LEFT(Table13[[#This Row],[Input]],1)</f>
        <v>R</v>
      </c>
      <c r="C4373">
        <f>_xlfn.LET(_xlpm.steps,SUBSTITUTE(Table13[[#This Row],[Input]],Table13[[#This Row],[Direction]],""),VALUE(IF(LEN(_xlpm.steps)&gt;2,RIGHT(_xlpm.steps,2),_xlpm.steps)))</f>
        <v>68</v>
      </c>
      <c r="D4373">
        <f>_xlfn.LET(_xlpm.steps,SUBSTITUTE(Table13[[#This Row],[Input]],Table13[[#This Row],[Direction]],""),VALUE(IF(LEN(_xlpm.steps)&gt;2,LEFT(_xlpm.steps,LEN(_xlpm.steps)-2),0)))</f>
        <v>0</v>
      </c>
      <c r="E4373">
        <f>_xlfn.LET(_xlpm.dir,Table13[[#This Row],[Direction]],
IF(_xlpm.dir="L",
    IF(G4372-Table13[[#This Row],[Steps]]&lt;0,100+(G4372-Table13[[#This Row],[Steps]]),G4372-Table13[[#This Row],[Steps]]),
))</f>
        <v>0</v>
      </c>
      <c r="F4373">
        <f>_xlfn.LET(_xlpm.dir,Table13[[#This Row],[Direction]],
IF(_xlpm.dir="R",
    IF(G4372+Table13[[#This Row],[Steps]]&gt;99,(G4372+Table13[[#This Row],[Steps]])-100,G4372+Table13[[#This Row],[Steps]]),
))</f>
        <v>0</v>
      </c>
      <c r="G4373">
        <f>IF(Table13[[#This Row],[New Pos L]]&lt;&gt;0,Table13[[#This Row],[New Pos L]],Table13[[#This Row],[New Pos R]])</f>
        <v>0</v>
      </c>
      <c r="H4373">
        <f>IF(AND(Table13[[#This Row],[Direction]]="L",Table13[[#This Row],[Steps]]&gt;G4372,G4372&lt;&gt;0),1,0)</f>
        <v>0</v>
      </c>
      <c r="I4373">
        <f>IF(AND(Table13[[#This Row],[Direction]]="R",(G4372+Table13[[#This Row],[Steps]])&gt;100),1,0)</f>
        <v>0</v>
      </c>
      <c r="J4373">
        <f>IF(Table13[[#This Row],[POS]]=0,1,0)</f>
        <v>1</v>
      </c>
      <c r="K4373">
        <f>SUM(Table13[[#This Row],[prefix]],Table13[[#This Row],[Past zero L]],Table13[[#This Row],[Past Zero R]],Table13[[#This Row],[Is Zero]])</f>
        <v>1</v>
      </c>
    </row>
    <row r="4374" spans="1:11" ht="16" x14ac:dyDescent="0.2">
      <c r="A4374" s="1" t="s">
        <v>873</v>
      </c>
      <c r="B4374" t="str">
        <f>LEFT(Table13[[#This Row],[Input]],1)</f>
        <v>R</v>
      </c>
      <c r="C4374">
        <f>_xlfn.LET(_xlpm.steps,SUBSTITUTE(Table13[[#This Row],[Input]],Table13[[#This Row],[Direction]],""),VALUE(IF(LEN(_xlpm.steps)&gt;2,RIGHT(_xlpm.steps,2),_xlpm.steps)))</f>
        <v>2</v>
      </c>
      <c r="D4374">
        <f>_xlfn.LET(_xlpm.steps,SUBSTITUTE(Table13[[#This Row],[Input]],Table13[[#This Row],[Direction]],""),VALUE(IF(LEN(_xlpm.steps)&gt;2,LEFT(_xlpm.steps,LEN(_xlpm.steps)-2),0)))</f>
        <v>6</v>
      </c>
      <c r="E4374">
        <f>_xlfn.LET(_xlpm.dir,Table13[[#This Row],[Direction]],
IF(_xlpm.dir="L",
    IF(G4373-Table13[[#This Row],[Steps]]&lt;0,100+(G4373-Table13[[#This Row],[Steps]]),G4373-Table13[[#This Row],[Steps]]),
))</f>
        <v>0</v>
      </c>
      <c r="F4374">
        <f>_xlfn.LET(_xlpm.dir,Table13[[#This Row],[Direction]],
IF(_xlpm.dir="R",
    IF(G4373+Table13[[#This Row],[Steps]]&gt;99,(G4373+Table13[[#This Row],[Steps]])-100,G4373+Table13[[#This Row],[Steps]]),
))</f>
        <v>2</v>
      </c>
      <c r="G4374">
        <f>IF(Table13[[#This Row],[New Pos L]]&lt;&gt;0,Table13[[#This Row],[New Pos L]],Table13[[#This Row],[New Pos R]])</f>
        <v>2</v>
      </c>
      <c r="H4374">
        <f>IF(AND(Table13[[#This Row],[Direction]]="L",Table13[[#This Row],[Steps]]&gt;G4373,G4373&lt;&gt;0),1,0)</f>
        <v>0</v>
      </c>
      <c r="I4374">
        <f>IF(AND(Table13[[#This Row],[Direction]]="R",(G4373+Table13[[#This Row],[Steps]])&gt;100),1,0)</f>
        <v>0</v>
      </c>
      <c r="J4374">
        <f>IF(Table13[[#This Row],[POS]]=0,1,0)</f>
        <v>0</v>
      </c>
      <c r="K4374">
        <f>SUM(Table13[[#This Row],[prefix]],Table13[[#This Row],[Past zero L]],Table13[[#This Row],[Past Zero R]],Table13[[#This Row],[Is Zero]])</f>
        <v>6</v>
      </c>
    </row>
    <row r="4375" spans="1:11" ht="16" x14ac:dyDescent="0.2">
      <c r="A4375" s="1" t="s">
        <v>84</v>
      </c>
      <c r="B4375" t="str">
        <f>LEFT(Table13[[#This Row],[Input]],1)</f>
        <v>R</v>
      </c>
      <c r="C4375">
        <f>_xlfn.LET(_xlpm.steps,SUBSTITUTE(Table13[[#This Row],[Input]],Table13[[#This Row],[Direction]],""),VALUE(IF(LEN(_xlpm.steps)&gt;2,RIGHT(_xlpm.steps,2),_xlpm.steps)))</f>
        <v>88</v>
      </c>
      <c r="D4375">
        <f>_xlfn.LET(_xlpm.steps,SUBSTITUTE(Table13[[#This Row],[Input]],Table13[[#This Row],[Direction]],""),VALUE(IF(LEN(_xlpm.steps)&gt;2,LEFT(_xlpm.steps,LEN(_xlpm.steps)-2),0)))</f>
        <v>0</v>
      </c>
      <c r="E4375">
        <f>_xlfn.LET(_xlpm.dir,Table13[[#This Row],[Direction]],
IF(_xlpm.dir="L",
    IF(G4374-Table13[[#This Row],[Steps]]&lt;0,100+(G4374-Table13[[#This Row],[Steps]]),G4374-Table13[[#This Row],[Steps]]),
))</f>
        <v>0</v>
      </c>
      <c r="F4375">
        <f>_xlfn.LET(_xlpm.dir,Table13[[#This Row],[Direction]],
IF(_xlpm.dir="R",
    IF(G4374+Table13[[#This Row],[Steps]]&gt;99,(G4374+Table13[[#This Row],[Steps]])-100,G4374+Table13[[#This Row],[Steps]]),
))</f>
        <v>90</v>
      </c>
      <c r="G4375">
        <f>IF(Table13[[#This Row],[New Pos L]]&lt;&gt;0,Table13[[#This Row],[New Pos L]],Table13[[#This Row],[New Pos R]])</f>
        <v>90</v>
      </c>
      <c r="H4375">
        <f>IF(AND(Table13[[#This Row],[Direction]]="L",Table13[[#This Row],[Steps]]&gt;G4374,G4374&lt;&gt;0),1,0)</f>
        <v>0</v>
      </c>
      <c r="I4375">
        <f>IF(AND(Table13[[#This Row],[Direction]]="R",(G4374+Table13[[#This Row],[Steps]])&gt;100),1,0)</f>
        <v>0</v>
      </c>
      <c r="J4375">
        <f>IF(Table13[[#This Row],[POS]]=0,1,0)</f>
        <v>0</v>
      </c>
      <c r="K4375">
        <f>SUM(Table13[[#This Row],[prefix]],Table13[[#This Row],[Past zero L]],Table13[[#This Row],[Past Zero R]],Table13[[#This Row],[Is Zero]])</f>
        <v>0</v>
      </c>
    </row>
    <row r="4376" spans="1:11" ht="16" x14ac:dyDescent="0.2">
      <c r="A4376" s="1" t="s">
        <v>25</v>
      </c>
      <c r="B4376" t="str">
        <f>LEFT(Table13[[#This Row],[Input]],1)</f>
        <v>L</v>
      </c>
      <c r="C4376">
        <f>_xlfn.LET(_xlpm.steps,SUBSTITUTE(Table13[[#This Row],[Input]],Table13[[#This Row],[Direction]],""),VALUE(IF(LEN(_xlpm.steps)&gt;2,RIGHT(_xlpm.steps,2),_xlpm.steps)))</f>
        <v>20</v>
      </c>
      <c r="D4376">
        <f>_xlfn.LET(_xlpm.steps,SUBSTITUTE(Table13[[#This Row],[Input]],Table13[[#This Row],[Direction]],""),VALUE(IF(LEN(_xlpm.steps)&gt;2,LEFT(_xlpm.steps,LEN(_xlpm.steps)-2),0)))</f>
        <v>0</v>
      </c>
      <c r="E4376">
        <f>_xlfn.LET(_xlpm.dir,Table13[[#This Row],[Direction]],
IF(_xlpm.dir="L",
    IF(G4375-Table13[[#This Row],[Steps]]&lt;0,100+(G4375-Table13[[#This Row],[Steps]]),G4375-Table13[[#This Row],[Steps]]),
))</f>
        <v>70</v>
      </c>
      <c r="F4376">
        <f>_xlfn.LET(_xlpm.dir,Table13[[#This Row],[Direction]],
IF(_xlpm.dir="R",
    IF(G4375+Table13[[#This Row],[Steps]]&gt;99,(G4375+Table13[[#This Row],[Steps]])-100,G4375+Table13[[#This Row],[Steps]]),
))</f>
        <v>0</v>
      </c>
      <c r="G4376">
        <f>IF(Table13[[#This Row],[New Pos L]]&lt;&gt;0,Table13[[#This Row],[New Pos L]],Table13[[#This Row],[New Pos R]])</f>
        <v>70</v>
      </c>
      <c r="H4376">
        <f>IF(AND(Table13[[#This Row],[Direction]]="L",Table13[[#This Row],[Steps]]&gt;G4375,G4375&lt;&gt;0),1,0)</f>
        <v>0</v>
      </c>
      <c r="I4376">
        <f>IF(AND(Table13[[#This Row],[Direction]]="R",(G4375+Table13[[#This Row],[Steps]])&gt;100),1,0)</f>
        <v>0</v>
      </c>
      <c r="J4376">
        <f>IF(Table13[[#This Row],[POS]]=0,1,0)</f>
        <v>0</v>
      </c>
      <c r="K4376">
        <f>SUM(Table13[[#This Row],[prefix]],Table13[[#This Row],[Past zero L]],Table13[[#This Row],[Past Zero R]],Table13[[#This Row],[Is Zero]])</f>
        <v>0</v>
      </c>
    </row>
    <row r="4377" spans="1:11" ht="16" x14ac:dyDescent="0.2">
      <c r="A4377" s="1" t="s">
        <v>54</v>
      </c>
      <c r="B4377" t="str">
        <f>LEFT(Table13[[#This Row],[Input]],1)</f>
        <v>L</v>
      </c>
      <c r="C4377">
        <f>_xlfn.LET(_xlpm.steps,SUBSTITUTE(Table13[[#This Row],[Input]],Table13[[#This Row],[Direction]],""),VALUE(IF(LEN(_xlpm.steps)&gt;2,RIGHT(_xlpm.steps,2),_xlpm.steps)))</f>
        <v>75</v>
      </c>
      <c r="D4377">
        <f>_xlfn.LET(_xlpm.steps,SUBSTITUTE(Table13[[#This Row],[Input]],Table13[[#This Row],[Direction]],""),VALUE(IF(LEN(_xlpm.steps)&gt;2,LEFT(_xlpm.steps,LEN(_xlpm.steps)-2),0)))</f>
        <v>0</v>
      </c>
      <c r="E4377">
        <f>_xlfn.LET(_xlpm.dir,Table13[[#This Row],[Direction]],
IF(_xlpm.dir="L",
    IF(G4376-Table13[[#This Row],[Steps]]&lt;0,100+(G4376-Table13[[#This Row],[Steps]]),G4376-Table13[[#This Row],[Steps]]),
))</f>
        <v>95</v>
      </c>
      <c r="F4377">
        <f>_xlfn.LET(_xlpm.dir,Table13[[#This Row],[Direction]],
IF(_xlpm.dir="R",
    IF(G4376+Table13[[#This Row],[Steps]]&gt;99,(G4376+Table13[[#This Row],[Steps]])-100,G4376+Table13[[#This Row],[Steps]]),
))</f>
        <v>0</v>
      </c>
      <c r="G4377">
        <f>IF(Table13[[#This Row],[New Pos L]]&lt;&gt;0,Table13[[#This Row],[New Pos L]],Table13[[#This Row],[New Pos R]])</f>
        <v>95</v>
      </c>
      <c r="H4377">
        <f>IF(AND(Table13[[#This Row],[Direction]]="L",Table13[[#This Row],[Steps]]&gt;G4376,G4376&lt;&gt;0),1,0)</f>
        <v>1</v>
      </c>
      <c r="I4377">
        <f>IF(AND(Table13[[#This Row],[Direction]]="R",(G4376+Table13[[#This Row],[Steps]])&gt;100),1,0)</f>
        <v>0</v>
      </c>
      <c r="J4377">
        <f>IF(Table13[[#This Row],[POS]]=0,1,0)</f>
        <v>0</v>
      </c>
      <c r="K4377">
        <f>SUM(Table13[[#This Row],[prefix]],Table13[[#This Row],[Past zero L]],Table13[[#This Row],[Past Zero R]],Table13[[#This Row],[Is Zero]])</f>
        <v>1</v>
      </c>
    </row>
    <row r="4378" spans="1:11" ht="16" x14ac:dyDescent="0.2">
      <c r="A4378" s="1" t="s">
        <v>874</v>
      </c>
      <c r="B4378" t="str">
        <f>LEFT(Table13[[#This Row],[Input]],1)</f>
        <v>L</v>
      </c>
      <c r="C4378">
        <f>_xlfn.LET(_xlpm.steps,SUBSTITUTE(Table13[[#This Row],[Input]],Table13[[#This Row],[Direction]],""),VALUE(IF(LEN(_xlpm.steps)&gt;2,RIGHT(_xlpm.steps,2),_xlpm.steps)))</f>
        <v>95</v>
      </c>
      <c r="D4378">
        <f>_xlfn.LET(_xlpm.steps,SUBSTITUTE(Table13[[#This Row],[Input]],Table13[[#This Row],[Direction]],""),VALUE(IF(LEN(_xlpm.steps)&gt;2,LEFT(_xlpm.steps,LEN(_xlpm.steps)-2),0)))</f>
        <v>6</v>
      </c>
      <c r="E4378">
        <f>_xlfn.LET(_xlpm.dir,Table13[[#This Row],[Direction]],
IF(_xlpm.dir="L",
    IF(G4377-Table13[[#This Row],[Steps]]&lt;0,100+(G4377-Table13[[#This Row],[Steps]]),G4377-Table13[[#This Row],[Steps]]),
))</f>
        <v>0</v>
      </c>
      <c r="F4378">
        <f>_xlfn.LET(_xlpm.dir,Table13[[#This Row],[Direction]],
IF(_xlpm.dir="R",
    IF(G4377+Table13[[#This Row],[Steps]]&gt;99,(G4377+Table13[[#This Row],[Steps]])-100,G4377+Table13[[#This Row],[Steps]]),
))</f>
        <v>0</v>
      </c>
      <c r="G4378">
        <f>IF(Table13[[#This Row],[New Pos L]]&lt;&gt;0,Table13[[#This Row],[New Pos L]],Table13[[#This Row],[New Pos R]])</f>
        <v>0</v>
      </c>
      <c r="H4378">
        <f>IF(AND(Table13[[#This Row],[Direction]]="L",Table13[[#This Row],[Steps]]&gt;G4377,G4377&lt;&gt;0),1,0)</f>
        <v>0</v>
      </c>
      <c r="I4378">
        <f>IF(AND(Table13[[#This Row],[Direction]]="R",(G4377+Table13[[#This Row],[Steps]])&gt;100),1,0)</f>
        <v>0</v>
      </c>
      <c r="J4378">
        <f>IF(Table13[[#This Row],[POS]]=0,1,0)</f>
        <v>1</v>
      </c>
      <c r="K4378">
        <f>SUM(Table13[[#This Row],[prefix]],Table13[[#This Row],[Past zero L]],Table13[[#This Row],[Past Zero R]],Table13[[#This Row],[Is Zero]])</f>
        <v>7</v>
      </c>
    </row>
    <row r="4379" spans="1:11" ht="16" x14ac:dyDescent="0.2">
      <c r="A4379" s="1" t="s">
        <v>875</v>
      </c>
      <c r="B4379" t="str">
        <f>LEFT(Table13[[#This Row],[Input]],1)</f>
        <v>L</v>
      </c>
      <c r="C4379">
        <f>_xlfn.LET(_xlpm.steps,SUBSTITUTE(Table13[[#This Row],[Input]],Table13[[#This Row],[Direction]],""),VALUE(IF(LEN(_xlpm.steps)&gt;2,RIGHT(_xlpm.steps,2),_xlpm.steps)))</f>
        <v>28</v>
      </c>
      <c r="D4379">
        <f>_xlfn.LET(_xlpm.steps,SUBSTITUTE(Table13[[#This Row],[Input]],Table13[[#This Row],[Direction]],""),VALUE(IF(LEN(_xlpm.steps)&gt;2,LEFT(_xlpm.steps,LEN(_xlpm.steps)-2),0)))</f>
        <v>5</v>
      </c>
      <c r="E4379">
        <f>_xlfn.LET(_xlpm.dir,Table13[[#This Row],[Direction]],
IF(_xlpm.dir="L",
    IF(G4378-Table13[[#This Row],[Steps]]&lt;0,100+(G4378-Table13[[#This Row],[Steps]]),G4378-Table13[[#This Row],[Steps]]),
))</f>
        <v>72</v>
      </c>
      <c r="F4379">
        <f>_xlfn.LET(_xlpm.dir,Table13[[#This Row],[Direction]],
IF(_xlpm.dir="R",
    IF(G4378+Table13[[#This Row],[Steps]]&gt;99,(G4378+Table13[[#This Row],[Steps]])-100,G4378+Table13[[#This Row],[Steps]]),
))</f>
        <v>0</v>
      </c>
      <c r="G4379">
        <f>IF(Table13[[#This Row],[New Pos L]]&lt;&gt;0,Table13[[#This Row],[New Pos L]],Table13[[#This Row],[New Pos R]])</f>
        <v>72</v>
      </c>
      <c r="H4379">
        <f>IF(AND(Table13[[#This Row],[Direction]]="L",Table13[[#This Row],[Steps]]&gt;G4378,G4378&lt;&gt;0),1,0)</f>
        <v>0</v>
      </c>
      <c r="I4379">
        <f>IF(AND(Table13[[#This Row],[Direction]]="R",(G4378+Table13[[#This Row],[Steps]])&gt;100),1,0)</f>
        <v>0</v>
      </c>
      <c r="J4379">
        <f>IF(Table13[[#This Row],[POS]]=0,1,0)</f>
        <v>0</v>
      </c>
      <c r="K4379">
        <f>SUM(Table13[[#This Row],[prefix]],Table13[[#This Row],[Past zero L]],Table13[[#This Row],[Past Zero R]],Table13[[#This Row],[Is Zero]])</f>
        <v>5</v>
      </c>
    </row>
    <row r="4380" spans="1:11" ht="16" x14ac:dyDescent="0.2">
      <c r="A4380" s="1" t="s">
        <v>151</v>
      </c>
      <c r="B4380" t="str">
        <f>LEFT(Table13[[#This Row],[Input]],1)</f>
        <v>L</v>
      </c>
      <c r="C4380">
        <f>_xlfn.LET(_xlpm.steps,SUBSTITUTE(Table13[[#This Row],[Input]],Table13[[#This Row],[Direction]],""),VALUE(IF(LEN(_xlpm.steps)&gt;2,RIGHT(_xlpm.steps,2),_xlpm.steps)))</f>
        <v>74</v>
      </c>
      <c r="D4380">
        <f>_xlfn.LET(_xlpm.steps,SUBSTITUTE(Table13[[#This Row],[Input]],Table13[[#This Row],[Direction]],""),VALUE(IF(LEN(_xlpm.steps)&gt;2,LEFT(_xlpm.steps,LEN(_xlpm.steps)-2),0)))</f>
        <v>0</v>
      </c>
      <c r="E4380">
        <f>_xlfn.LET(_xlpm.dir,Table13[[#This Row],[Direction]],
IF(_xlpm.dir="L",
    IF(G4379-Table13[[#This Row],[Steps]]&lt;0,100+(G4379-Table13[[#This Row],[Steps]]),G4379-Table13[[#This Row],[Steps]]),
))</f>
        <v>98</v>
      </c>
      <c r="F4380">
        <f>_xlfn.LET(_xlpm.dir,Table13[[#This Row],[Direction]],
IF(_xlpm.dir="R",
    IF(G4379+Table13[[#This Row],[Steps]]&gt;99,(G4379+Table13[[#This Row],[Steps]])-100,G4379+Table13[[#This Row],[Steps]]),
))</f>
        <v>0</v>
      </c>
      <c r="G4380">
        <f>IF(Table13[[#This Row],[New Pos L]]&lt;&gt;0,Table13[[#This Row],[New Pos L]],Table13[[#This Row],[New Pos R]])</f>
        <v>98</v>
      </c>
      <c r="H4380">
        <f>IF(AND(Table13[[#This Row],[Direction]]="L",Table13[[#This Row],[Steps]]&gt;G4379,G4379&lt;&gt;0),1,0)</f>
        <v>1</v>
      </c>
      <c r="I4380">
        <f>IF(AND(Table13[[#This Row],[Direction]]="R",(G4379+Table13[[#This Row],[Steps]])&gt;100),1,0)</f>
        <v>0</v>
      </c>
      <c r="J4380">
        <f>IF(Table13[[#This Row],[POS]]=0,1,0)</f>
        <v>0</v>
      </c>
      <c r="K4380">
        <f>SUM(Table13[[#This Row],[prefix]],Table13[[#This Row],[Past zero L]],Table13[[#This Row],[Past Zero R]],Table13[[#This Row],[Is Zero]])</f>
        <v>1</v>
      </c>
    </row>
    <row r="4381" spans="1:11" ht="16" x14ac:dyDescent="0.2">
      <c r="A4381" s="1" t="s">
        <v>88</v>
      </c>
      <c r="B4381" t="str">
        <f>LEFT(Table13[[#This Row],[Input]],1)</f>
        <v>R</v>
      </c>
      <c r="C4381">
        <f>_xlfn.LET(_xlpm.steps,SUBSTITUTE(Table13[[#This Row],[Input]],Table13[[#This Row],[Direction]],""),VALUE(IF(LEN(_xlpm.steps)&gt;2,RIGHT(_xlpm.steps,2),_xlpm.steps)))</f>
        <v>53</v>
      </c>
      <c r="D4381">
        <f>_xlfn.LET(_xlpm.steps,SUBSTITUTE(Table13[[#This Row],[Input]],Table13[[#This Row],[Direction]],""),VALUE(IF(LEN(_xlpm.steps)&gt;2,LEFT(_xlpm.steps,LEN(_xlpm.steps)-2),0)))</f>
        <v>0</v>
      </c>
      <c r="E4381">
        <f>_xlfn.LET(_xlpm.dir,Table13[[#This Row],[Direction]],
IF(_xlpm.dir="L",
    IF(G4380-Table13[[#This Row],[Steps]]&lt;0,100+(G4380-Table13[[#This Row],[Steps]]),G4380-Table13[[#This Row],[Steps]]),
))</f>
        <v>0</v>
      </c>
      <c r="F4381">
        <f>_xlfn.LET(_xlpm.dir,Table13[[#This Row],[Direction]],
IF(_xlpm.dir="R",
    IF(G4380+Table13[[#This Row],[Steps]]&gt;99,(G4380+Table13[[#This Row],[Steps]])-100,G4380+Table13[[#This Row],[Steps]]),
))</f>
        <v>51</v>
      </c>
      <c r="G4381">
        <f>IF(Table13[[#This Row],[New Pos L]]&lt;&gt;0,Table13[[#This Row],[New Pos L]],Table13[[#This Row],[New Pos R]])</f>
        <v>51</v>
      </c>
      <c r="H4381">
        <f>IF(AND(Table13[[#This Row],[Direction]]="L",Table13[[#This Row],[Steps]]&gt;G4380,G4380&lt;&gt;0),1,0)</f>
        <v>0</v>
      </c>
      <c r="I4381">
        <f>IF(AND(Table13[[#This Row],[Direction]]="R",(G4380+Table13[[#This Row],[Steps]])&gt;100),1,0)</f>
        <v>1</v>
      </c>
      <c r="J4381">
        <f>IF(Table13[[#This Row],[POS]]=0,1,0)</f>
        <v>0</v>
      </c>
      <c r="K4381">
        <f>SUM(Table13[[#This Row],[prefix]],Table13[[#This Row],[Past zero L]],Table13[[#This Row],[Past Zero R]],Table13[[#This Row],[Is Zero]])</f>
        <v>1</v>
      </c>
    </row>
    <row r="4382" spans="1:11" ht="16" x14ac:dyDescent="0.2">
      <c r="A4382" s="1" t="s">
        <v>54</v>
      </c>
      <c r="B4382" t="str">
        <f>LEFT(Table13[[#This Row],[Input]],1)</f>
        <v>L</v>
      </c>
      <c r="C4382">
        <f>_xlfn.LET(_xlpm.steps,SUBSTITUTE(Table13[[#This Row],[Input]],Table13[[#This Row],[Direction]],""),VALUE(IF(LEN(_xlpm.steps)&gt;2,RIGHT(_xlpm.steps,2),_xlpm.steps)))</f>
        <v>75</v>
      </c>
      <c r="D4382">
        <f>_xlfn.LET(_xlpm.steps,SUBSTITUTE(Table13[[#This Row],[Input]],Table13[[#This Row],[Direction]],""),VALUE(IF(LEN(_xlpm.steps)&gt;2,LEFT(_xlpm.steps,LEN(_xlpm.steps)-2),0)))</f>
        <v>0</v>
      </c>
      <c r="E4382">
        <f>_xlfn.LET(_xlpm.dir,Table13[[#This Row],[Direction]],
IF(_xlpm.dir="L",
    IF(G4381-Table13[[#This Row],[Steps]]&lt;0,100+(G4381-Table13[[#This Row],[Steps]]),G4381-Table13[[#This Row],[Steps]]),
))</f>
        <v>76</v>
      </c>
      <c r="F4382">
        <f>_xlfn.LET(_xlpm.dir,Table13[[#This Row],[Direction]],
IF(_xlpm.dir="R",
    IF(G4381+Table13[[#This Row],[Steps]]&gt;99,(G4381+Table13[[#This Row],[Steps]])-100,G4381+Table13[[#This Row],[Steps]]),
))</f>
        <v>0</v>
      </c>
      <c r="G4382">
        <f>IF(Table13[[#This Row],[New Pos L]]&lt;&gt;0,Table13[[#This Row],[New Pos L]],Table13[[#This Row],[New Pos R]])</f>
        <v>76</v>
      </c>
      <c r="H4382">
        <f>IF(AND(Table13[[#This Row],[Direction]]="L",Table13[[#This Row],[Steps]]&gt;G4381,G4381&lt;&gt;0),1,0)</f>
        <v>1</v>
      </c>
      <c r="I4382">
        <f>IF(AND(Table13[[#This Row],[Direction]]="R",(G4381+Table13[[#This Row],[Steps]])&gt;100),1,0)</f>
        <v>0</v>
      </c>
      <c r="J4382">
        <f>IF(Table13[[#This Row],[POS]]=0,1,0)</f>
        <v>0</v>
      </c>
      <c r="K4382">
        <f>SUM(Table13[[#This Row],[prefix]],Table13[[#This Row],[Past zero L]],Table13[[#This Row],[Past Zero R]],Table13[[#This Row],[Is Zero]])</f>
        <v>1</v>
      </c>
    </row>
    <row r="4383" spans="1:11" ht="16" x14ac:dyDescent="0.2">
      <c r="A4383" s="1" t="s">
        <v>182</v>
      </c>
      <c r="B4383" t="str">
        <f>LEFT(Table13[[#This Row],[Input]],1)</f>
        <v>L</v>
      </c>
      <c r="C4383">
        <f>_xlfn.LET(_xlpm.steps,SUBSTITUTE(Table13[[#This Row],[Input]],Table13[[#This Row],[Direction]],""),VALUE(IF(LEN(_xlpm.steps)&gt;2,RIGHT(_xlpm.steps,2),_xlpm.steps)))</f>
        <v>3</v>
      </c>
      <c r="D4383">
        <f>_xlfn.LET(_xlpm.steps,SUBSTITUTE(Table13[[#This Row],[Input]],Table13[[#This Row],[Direction]],""),VALUE(IF(LEN(_xlpm.steps)&gt;2,LEFT(_xlpm.steps,LEN(_xlpm.steps)-2),0)))</f>
        <v>0</v>
      </c>
      <c r="E4383">
        <f>_xlfn.LET(_xlpm.dir,Table13[[#This Row],[Direction]],
IF(_xlpm.dir="L",
    IF(G4382-Table13[[#This Row],[Steps]]&lt;0,100+(G4382-Table13[[#This Row],[Steps]]),G4382-Table13[[#This Row],[Steps]]),
))</f>
        <v>73</v>
      </c>
      <c r="F4383">
        <f>_xlfn.LET(_xlpm.dir,Table13[[#This Row],[Direction]],
IF(_xlpm.dir="R",
    IF(G4382+Table13[[#This Row],[Steps]]&gt;99,(G4382+Table13[[#This Row],[Steps]])-100,G4382+Table13[[#This Row],[Steps]]),
))</f>
        <v>0</v>
      </c>
      <c r="G4383">
        <f>IF(Table13[[#This Row],[New Pos L]]&lt;&gt;0,Table13[[#This Row],[New Pos L]],Table13[[#This Row],[New Pos R]])</f>
        <v>73</v>
      </c>
      <c r="H4383">
        <f>IF(AND(Table13[[#This Row],[Direction]]="L",Table13[[#This Row],[Steps]]&gt;G4382,G4382&lt;&gt;0),1,0)</f>
        <v>0</v>
      </c>
      <c r="I4383">
        <f>IF(AND(Table13[[#This Row],[Direction]]="R",(G4382+Table13[[#This Row],[Steps]])&gt;100),1,0)</f>
        <v>0</v>
      </c>
      <c r="J4383">
        <f>IF(Table13[[#This Row],[POS]]=0,1,0)</f>
        <v>0</v>
      </c>
      <c r="K4383">
        <f>SUM(Table13[[#This Row],[prefix]],Table13[[#This Row],[Past zero L]],Table13[[#This Row],[Past Zero R]],Table13[[#This Row],[Is Zero]])</f>
        <v>0</v>
      </c>
    </row>
    <row r="4384" spans="1:11" ht="16" x14ac:dyDescent="0.2">
      <c r="A4384" s="1" t="s">
        <v>35</v>
      </c>
      <c r="B4384" t="str">
        <f>LEFT(Table13[[#This Row],[Input]],1)</f>
        <v>L</v>
      </c>
      <c r="C4384">
        <f>_xlfn.LET(_xlpm.steps,SUBSTITUTE(Table13[[#This Row],[Input]],Table13[[#This Row],[Direction]],""),VALUE(IF(LEN(_xlpm.steps)&gt;2,RIGHT(_xlpm.steps,2),_xlpm.steps)))</f>
        <v>2</v>
      </c>
      <c r="D4384">
        <f>_xlfn.LET(_xlpm.steps,SUBSTITUTE(Table13[[#This Row],[Input]],Table13[[#This Row],[Direction]],""),VALUE(IF(LEN(_xlpm.steps)&gt;2,LEFT(_xlpm.steps,LEN(_xlpm.steps)-2),0)))</f>
        <v>0</v>
      </c>
      <c r="E4384">
        <f>_xlfn.LET(_xlpm.dir,Table13[[#This Row],[Direction]],
IF(_xlpm.dir="L",
    IF(G4383-Table13[[#This Row],[Steps]]&lt;0,100+(G4383-Table13[[#This Row],[Steps]]),G4383-Table13[[#This Row],[Steps]]),
))</f>
        <v>71</v>
      </c>
      <c r="F4384">
        <f>_xlfn.LET(_xlpm.dir,Table13[[#This Row],[Direction]],
IF(_xlpm.dir="R",
    IF(G4383+Table13[[#This Row],[Steps]]&gt;99,(G4383+Table13[[#This Row],[Steps]])-100,G4383+Table13[[#This Row],[Steps]]),
))</f>
        <v>0</v>
      </c>
      <c r="G4384">
        <f>IF(Table13[[#This Row],[New Pos L]]&lt;&gt;0,Table13[[#This Row],[New Pos L]],Table13[[#This Row],[New Pos R]])</f>
        <v>71</v>
      </c>
      <c r="H4384">
        <f>IF(AND(Table13[[#This Row],[Direction]]="L",Table13[[#This Row],[Steps]]&gt;G4383,G4383&lt;&gt;0),1,0)</f>
        <v>0</v>
      </c>
      <c r="I4384">
        <f>IF(AND(Table13[[#This Row],[Direction]]="R",(G4383+Table13[[#This Row],[Steps]])&gt;100),1,0)</f>
        <v>0</v>
      </c>
      <c r="J4384">
        <f>IF(Table13[[#This Row],[POS]]=0,1,0)</f>
        <v>0</v>
      </c>
      <c r="K4384">
        <f>SUM(Table13[[#This Row],[prefix]],Table13[[#This Row],[Past zero L]],Table13[[#This Row],[Past Zero R]],Table13[[#This Row],[Is Zero]])</f>
        <v>0</v>
      </c>
    </row>
    <row r="4385" spans="1:11" ht="16" x14ac:dyDescent="0.2">
      <c r="A4385" s="1" t="s">
        <v>94</v>
      </c>
      <c r="B4385" t="str">
        <f>LEFT(Table13[[#This Row],[Input]],1)</f>
        <v>L</v>
      </c>
      <c r="C4385">
        <f>_xlfn.LET(_xlpm.steps,SUBSTITUTE(Table13[[#This Row],[Input]],Table13[[#This Row],[Direction]],""),VALUE(IF(LEN(_xlpm.steps)&gt;2,RIGHT(_xlpm.steps,2),_xlpm.steps)))</f>
        <v>71</v>
      </c>
      <c r="D4385">
        <f>_xlfn.LET(_xlpm.steps,SUBSTITUTE(Table13[[#This Row],[Input]],Table13[[#This Row],[Direction]],""),VALUE(IF(LEN(_xlpm.steps)&gt;2,LEFT(_xlpm.steps,LEN(_xlpm.steps)-2),0)))</f>
        <v>0</v>
      </c>
      <c r="E4385">
        <f>_xlfn.LET(_xlpm.dir,Table13[[#This Row],[Direction]],
IF(_xlpm.dir="L",
    IF(G4384-Table13[[#This Row],[Steps]]&lt;0,100+(G4384-Table13[[#This Row],[Steps]]),G4384-Table13[[#This Row],[Steps]]),
))</f>
        <v>0</v>
      </c>
      <c r="F4385">
        <f>_xlfn.LET(_xlpm.dir,Table13[[#This Row],[Direction]],
IF(_xlpm.dir="R",
    IF(G4384+Table13[[#This Row],[Steps]]&gt;99,(G4384+Table13[[#This Row],[Steps]])-100,G4384+Table13[[#This Row],[Steps]]),
))</f>
        <v>0</v>
      </c>
      <c r="G4385">
        <f>IF(Table13[[#This Row],[New Pos L]]&lt;&gt;0,Table13[[#This Row],[New Pos L]],Table13[[#This Row],[New Pos R]])</f>
        <v>0</v>
      </c>
      <c r="H4385">
        <f>IF(AND(Table13[[#This Row],[Direction]]="L",Table13[[#This Row],[Steps]]&gt;G4384,G4384&lt;&gt;0),1,0)</f>
        <v>0</v>
      </c>
      <c r="I4385">
        <f>IF(AND(Table13[[#This Row],[Direction]]="R",(G4384+Table13[[#This Row],[Steps]])&gt;100),1,0)</f>
        <v>0</v>
      </c>
      <c r="J4385">
        <f>IF(Table13[[#This Row],[POS]]=0,1,0)</f>
        <v>1</v>
      </c>
      <c r="K4385">
        <f>SUM(Table13[[#This Row],[prefix]],Table13[[#This Row],[Past zero L]],Table13[[#This Row],[Past Zero R]],Table13[[#This Row],[Is Zero]])</f>
        <v>1</v>
      </c>
    </row>
    <row r="4386" spans="1:11" ht="16" x14ac:dyDescent="0.2">
      <c r="A4386" s="1" t="s">
        <v>137</v>
      </c>
      <c r="B4386" t="str">
        <f>LEFT(Table13[[#This Row],[Input]],1)</f>
        <v>R</v>
      </c>
      <c r="C4386">
        <f>_xlfn.LET(_xlpm.steps,SUBSTITUTE(Table13[[#This Row],[Input]],Table13[[#This Row],[Direction]],""),VALUE(IF(LEN(_xlpm.steps)&gt;2,RIGHT(_xlpm.steps,2),_xlpm.steps)))</f>
        <v>28</v>
      </c>
      <c r="D4386">
        <f>_xlfn.LET(_xlpm.steps,SUBSTITUTE(Table13[[#This Row],[Input]],Table13[[#This Row],[Direction]],""),VALUE(IF(LEN(_xlpm.steps)&gt;2,LEFT(_xlpm.steps,LEN(_xlpm.steps)-2),0)))</f>
        <v>0</v>
      </c>
      <c r="E4386">
        <f>_xlfn.LET(_xlpm.dir,Table13[[#This Row],[Direction]],
IF(_xlpm.dir="L",
    IF(G4385-Table13[[#This Row],[Steps]]&lt;0,100+(G4385-Table13[[#This Row],[Steps]]),G4385-Table13[[#This Row],[Steps]]),
))</f>
        <v>0</v>
      </c>
      <c r="F4386">
        <f>_xlfn.LET(_xlpm.dir,Table13[[#This Row],[Direction]],
IF(_xlpm.dir="R",
    IF(G4385+Table13[[#This Row],[Steps]]&gt;99,(G4385+Table13[[#This Row],[Steps]])-100,G4385+Table13[[#This Row],[Steps]]),
))</f>
        <v>28</v>
      </c>
      <c r="G4386">
        <f>IF(Table13[[#This Row],[New Pos L]]&lt;&gt;0,Table13[[#This Row],[New Pos L]],Table13[[#This Row],[New Pos R]])</f>
        <v>28</v>
      </c>
      <c r="H4386">
        <f>IF(AND(Table13[[#This Row],[Direction]]="L",Table13[[#This Row],[Steps]]&gt;G4385,G4385&lt;&gt;0),1,0)</f>
        <v>0</v>
      </c>
      <c r="I4386">
        <f>IF(AND(Table13[[#This Row],[Direction]]="R",(G4385+Table13[[#This Row],[Steps]])&gt;100),1,0)</f>
        <v>0</v>
      </c>
      <c r="J4386">
        <f>IF(Table13[[#This Row],[POS]]=0,1,0)</f>
        <v>0</v>
      </c>
      <c r="K4386">
        <f>SUM(Table13[[#This Row],[prefix]],Table13[[#This Row],[Past zero L]],Table13[[#This Row],[Past Zero R]],Table13[[#This Row],[Is Zero]])</f>
        <v>0</v>
      </c>
    </row>
    <row r="4387" spans="1:11" ht="16" x14ac:dyDescent="0.2">
      <c r="A4387" s="1" t="s">
        <v>98</v>
      </c>
      <c r="B4387" t="str">
        <f>LEFT(Table13[[#This Row],[Input]],1)</f>
        <v>L</v>
      </c>
      <c r="C4387">
        <f>_xlfn.LET(_xlpm.steps,SUBSTITUTE(Table13[[#This Row],[Input]],Table13[[#This Row],[Direction]],""),VALUE(IF(LEN(_xlpm.steps)&gt;2,RIGHT(_xlpm.steps,2),_xlpm.steps)))</f>
        <v>65</v>
      </c>
      <c r="D4387">
        <f>_xlfn.LET(_xlpm.steps,SUBSTITUTE(Table13[[#This Row],[Input]],Table13[[#This Row],[Direction]],""),VALUE(IF(LEN(_xlpm.steps)&gt;2,LEFT(_xlpm.steps,LEN(_xlpm.steps)-2),0)))</f>
        <v>0</v>
      </c>
      <c r="E4387">
        <f>_xlfn.LET(_xlpm.dir,Table13[[#This Row],[Direction]],
IF(_xlpm.dir="L",
    IF(G4386-Table13[[#This Row],[Steps]]&lt;0,100+(G4386-Table13[[#This Row],[Steps]]),G4386-Table13[[#This Row],[Steps]]),
))</f>
        <v>63</v>
      </c>
      <c r="F4387">
        <f>_xlfn.LET(_xlpm.dir,Table13[[#This Row],[Direction]],
IF(_xlpm.dir="R",
    IF(G4386+Table13[[#This Row],[Steps]]&gt;99,(G4386+Table13[[#This Row],[Steps]])-100,G4386+Table13[[#This Row],[Steps]]),
))</f>
        <v>0</v>
      </c>
      <c r="G4387">
        <f>IF(Table13[[#This Row],[New Pos L]]&lt;&gt;0,Table13[[#This Row],[New Pos L]],Table13[[#This Row],[New Pos R]])</f>
        <v>63</v>
      </c>
      <c r="H4387">
        <f>IF(AND(Table13[[#This Row],[Direction]]="L",Table13[[#This Row],[Steps]]&gt;G4386,G4386&lt;&gt;0),1,0)</f>
        <v>1</v>
      </c>
      <c r="I4387">
        <f>IF(AND(Table13[[#This Row],[Direction]]="R",(G4386+Table13[[#This Row],[Steps]])&gt;100),1,0)</f>
        <v>0</v>
      </c>
      <c r="J4387">
        <f>IF(Table13[[#This Row],[POS]]=0,1,0)</f>
        <v>0</v>
      </c>
      <c r="K4387">
        <f>SUM(Table13[[#This Row],[prefix]],Table13[[#This Row],[Past zero L]],Table13[[#This Row],[Past Zero R]],Table13[[#This Row],[Is Zero]])</f>
        <v>1</v>
      </c>
    </row>
    <row r="4388" spans="1:11" ht="16" x14ac:dyDescent="0.2">
      <c r="A4388" s="1" t="s">
        <v>165</v>
      </c>
      <c r="B4388" t="str">
        <f>LEFT(Table13[[#This Row],[Input]],1)</f>
        <v>R</v>
      </c>
      <c r="C4388">
        <f>_xlfn.LET(_xlpm.steps,SUBSTITUTE(Table13[[#This Row],[Input]],Table13[[#This Row],[Direction]],""),VALUE(IF(LEN(_xlpm.steps)&gt;2,RIGHT(_xlpm.steps,2),_xlpm.steps)))</f>
        <v>55</v>
      </c>
      <c r="D4388">
        <f>_xlfn.LET(_xlpm.steps,SUBSTITUTE(Table13[[#This Row],[Input]],Table13[[#This Row],[Direction]],""),VALUE(IF(LEN(_xlpm.steps)&gt;2,LEFT(_xlpm.steps,LEN(_xlpm.steps)-2),0)))</f>
        <v>0</v>
      </c>
      <c r="E4388">
        <f>_xlfn.LET(_xlpm.dir,Table13[[#This Row],[Direction]],
IF(_xlpm.dir="L",
    IF(G4387-Table13[[#This Row],[Steps]]&lt;0,100+(G4387-Table13[[#This Row],[Steps]]),G4387-Table13[[#This Row],[Steps]]),
))</f>
        <v>0</v>
      </c>
      <c r="F4388">
        <f>_xlfn.LET(_xlpm.dir,Table13[[#This Row],[Direction]],
IF(_xlpm.dir="R",
    IF(G4387+Table13[[#This Row],[Steps]]&gt;99,(G4387+Table13[[#This Row],[Steps]])-100,G4387+Table13[[#This Row],[Steps]]),
))</f>
        <v>18</v>
      </c>
      <c r="G4388">
        <f>IF(Table13[[#This Row],[New Pos L]]&lt;&gt;0,Table13[[#This Row],[New Pos L]],Table13[[#This Row],[New Pos R]])</f>
        <v>18</v>
      </c>
      <c r="H4388">
        <f>IF(AND(Table13[[#This Row],[Direction]]="L",Table13[[#This Row],[Steps]]&gt;G4387,G4387&lt;&gt;0),1,0)</f>
        <v>0</v>
      </c>
      <c r="I4388">
        <f>IF(AND(Table13[[#This Row],[Direction]]="R",(G4387+Table13[[#This Row],[Steps]])&gt;100),1,0)</f>
        <v>1</v>
      </c>
      <c r="J4388">
        <f>IF(Table13[[#This Row],[POS]]=0,1,0)</f>
        <v>0</v>
      </c>
      <c r="K4388">
        <f>SUM(Table13[[#This Row],[prefix]],Table13[[#This Row],[Past zero L]],Table13[[#This Row],[Past Zero R]],Table13[[#This Row],[Is Zero]])</f>
        <v>1</v>
      </c>
    </row>
    <row r="4389" spans="1:11" ht="16" x14ac:dyDescent="0.2">
      <c r="A4389" s="1" t="s">
        <v>16</v>
      </c>
      <c r="B4389" t="str">
        <f>LEFT(Table13[[#This Row],[Input]],1)</f>
        <v>L</v>
      </c>
      <c r="C4389">
        <f>_xlfn.LET(_xlpm.steps,SUBSTITUTE(Table13[[#This Row],[Input]],Table13[[#This Row],[Direction]],""),VALUE(IF(LEN(_xlpm.steps)&gt;2,RIGHT(_xlpm.steps,2),_xlpm.steps)))</f>
        <v>10</v>
      </c>
      <c r="D4389">
        <f>_xlfn.LET(_xlpm.steps,SUBSTITUTE(Table13[[#This Row],[Input]],Table13[[#This Row],[Direction]],""),VALUE(IF(LEN(_xlpm.steps)&gt;2,LEFT(_xlpm.steps,LEN(_xlpm.steps)-2),0)))</f>
        <v>0</v>
      </c>
      <c r="E4389">
        <f>_xlfn.LET(_xlpm.dir,Table13[[#This Row],[Direction]],
IF(_xlpm.dir="L",
    IF(G4388-Table13[[#This Row],[Steps]]&lt;0,100+(G4388-Table13[[#This Row],[Steps]]),G4388-Table13[[#This Row],[Steps]]),
))</f>
        <v>8</v>
      </c>
      <c r="F4389">
        <f>_xlfn.LET(_xlpm.dir,Table13[[#This Row],[Direction]],
IF(_xlpm.dir="R",
    IF(G4388+Table13[[#This Row],[Steps]]&gt;99,(G4388+Table13[[#This Row],[Steps]])-100,G4388+Table13[[#This Row],[Steps]]),
))</f>
        <v>0</v>
      </c>
      <c r="G4389">
        <f>IF(Table13[[#This Row],[New Pos L]]&lt;&gt;0,Table13[[#This Row],[New Pos L]],Table13[[#This Row],[New Pos R]])</f>
        <v>8</v>
      </c>
      <c r="H4389">
        <f>IF(AND(Table13[[#This Row],[Direction]]="L",Table13[[#This Row],[Steps]]&gt;G4388,G4388&lt;&gt;0),1,0)</f>
        <v>0</v>
      </c>
      <c r="I4389">
        <f>IF(AND(Table13[[#This Row],[Direction]]="R",(G4388+Table13[[#This Row],[Steps]])&gt;100),1,0)</f>
        <v>0</v>
      </c>
      <c r="J4389">
        <f>IF(Table13[[#This Row],[POS]]=0,1,0)</f>
        <v>0</v>
      </c>
      <c r="K4389">
        <f>SUM(Table13[[#This Row],[prefix]],Table13[[#This Row],[Past zero L]],Table13[[#This Row],[Past Zero R]],Table13[[#This Row],[Is Zero]])</f>
        <v>0</v>
      </c>
    </row>
    <row r="4390" spans="1:11" ht="16" x14ac:dyDescent="0.2">
      <c r="A4390" s="1" t="s">
        <v>792</v>
      </c>
      <c r="B4390" t="str">
        <f>LEFT(Table13[[#This Row],[Input]],1)</f>
        <v>R</v>
      </c>
      <c r="C4390">
        <f>_xlfn.LET(_xlpm.steps,SUBSTITUTE(Table13[[#This Row],[Input]],Table13[[#This Row],[Direction]],""),VALUE(IF(LEN(_xlpm.steps)&gt;2,RIGHT(_xlpm.steps,2),_xlpm.steps)))</f>
        <v>92</v>
      </c>
      <c r="D4390">
        <f>_xlfn.LET(_xlpm.steps,SUBSTITUTE(Table13[[#This Row],[Input]],Table13[[#This Row],[Direction]],""),VALUE(IF(LEN(_xlpm.steps)&gt;2,LEFT(_xlpm.steps,LEN(_xlpm.steps)-2),0)))</f>
        <v>4</v>
      </c>
      <c r="E4390">
        <f>_xlfn.LET(_xlpm.dir,Table13[[#This Row],[Direction]],
IF(_xlpm.dir="L",
    IF(G4389-Table13[[#This Row],[Steps]]&lt;0,100+(G4389-Table13[[#This Row],[Steps]]),G4389-Table13[[#This Row],[Steps]]),
))</f>
        <v>0</v>
      </c>
      <c r="F4390">
        <f>_xlfn.LET(_xlpm.dir,Table13[[#This Row],[Direction]],
IF(_xlpm.dir="R",
    IF(G4389+Table13[[#This Row],[Steps]]&gt;99,(G4389+Table13[[#This Row],[Steps]])-100,G4389+Table13[[#This Row],[Steps]]),
))</f>
        <v>0</v>
      </c>
      <c r="G4390">
        <f>IF(Table13[[#This Row],[New Pos L]]&lt;&gt;0,Table13[[#This Row],[New Pos L]],Table13[[#This Row],[New Pos R]])</f>
        <v>0</v>
      </c>
      <c r="H4390">
        <f>IF(AND(Table13[[#This Row],[Direction]]="L",Table13[[#This Row],[Steps]]&gt;G4389,G4389&lt;&gt;0),1,0)</f>
        <v>0</v>
      </c>
      <c r="I4390">
        <f>IF(AND(Table13[[#This Row],[Direction]]="R",(G4389+Table13[[#This Row],[Steps]])&gt;100),1,0)</f>
        <v>0</v>
      </c>
      <c r="J4390">
        <f>IF(Table13[[#This Row],[POS]]=0,1,0)</f>
        <v>1</v>
      </c>
      <c r="K4390">
        <f>SUM(Table13[[#This Row],[prefix]],Table13[[#This Row],[Past zero L]],Table13[[#This Row],[Past Zero R]],Table13[[#This Row],[Is Zero]])</f>
        <v>5</v>
      </c>
    </row>
    <row r="4391" spans="1:11" ht="16" x14ac:dyDescent="0.2">
      <c r="A4391" s="1" t="s">
        <v>59</v>
      </c>
      <c r="B4391" t="str">
        <f>LEFT(Table13[[#This Row],[Input]],1)</f>
        <v>L</v>
      </c>
      <c r="C4391">
        <f>_xlfn.LET(_xlpm.steps,SUBSTITUTE(Table13[[#This Row],[Input]],Table13[[#This Row],[Direction]],""),VALUE(IF(LEN(_xlpm.steps)&gt;2,RIGHT(_xlpm.steps,2),_xlpm.steps)))</f>
        <v>6</v>
      </c>
      <c r="D4391">
        <f>_xlfn.LET(_xlpm.steps,SUBSTITUTE(Table13[[#This Row],[Input]],Table13[[#This Row],[Direction]],""),VALUE(IF(LEN(_xlpm.steps)&gt;2,LEFT(_xlpm.steps,LEN(_xlpm.steps)-2),0)))</f>
        <v>0</v>
      </c>
      <c r="E4391">
        <f>_xlfn.LET(_xlpm.dir,Table13[[#This Row],[Direction]],
IF(_xlpm.dir="L",
    IF(G4390-Table13[[#This Row],[Steps]]&lt;0,100+(G4390-Table13[[#This Row],[Steps]]),G4390-Table13[[#This Row],[Steps]]),
))</f>
        <v>94</v>
      </c>
      <c r="F4391">
        <f>_xlfn.LET(_xlpm.dir,Table13[[#This Row],[Direction]],
IF(_xlpm.dir="R",
    IF(G4390+Table13[[#This Row],[Steps]]&gt;99,(G4390+Table13[[#This Row],[Steps]])-100,G4390+Table13[[#This Row],[Steps]]),
))</f>
        <v>0</v>
      </c>
      <c r="G4391">
        <f>IF(Table13[[#This Row],[New Pos L]]&lt;&gt;0,Table13[[#This Row],[New Pos L]],Table13[[#This Row],[New Pos R]])</f>
        <v>94</v>
      </c>
      <c r="H4391">
        <f>IF(AND(Table13[[#This Row],[Direction]]="L",Table13[[#This Row],[Steps]]&gt;G4390,G4390&lt;&gt;0),1,0)</f>
        <v>0</v>
      </c>
      <c r="I4391">
        <f>IF(AND(Table13[[#This Row],[Direction]]="R",(G4390+Table13[[#This Row],[Steps]])&gt;100),1,0)</f>
        <v>0</v>
      </c>
      <c r="J4391">
        <f>IF(Table13[[#This Row],[POS]]=0,1,0)</f>
        <v>0</v>
      </c>
      <c r="K4391">
        <f>SUM(Table13[[#This Row],[prefix]],Table13[[#This Row],[Past zero L]],Table13[[#This Row],[Past Zero R]],Table13[[#This Row],[Is Zero]])</f>
        <v>0</v>
      </c>
    </row>
    <row r="4392" spans="1:11" ht="16" x14ac:dyDescent="0.2">
      <c r="A4392" s="1" t="s">
        <v>861</v>
      </c>
      <c r="B4392" t="str">
        <f>LEFT(Table13[[#This Row],[Input]],1)</f>
        <v>R</v>
      </c>
      <c r="C4392">
        <f>_xlfn.LET(_xlpm.steps,SUBSTITUTE(Table13[[#This Row],[Input]],Table13[[#This Row],[Direction]],""),VALUE(IF(LEN(_xlpm.steps)&gt;2,RIGHT(_xlpm.steps,2),_xlpm.steps)))</f>
        <v>25</v>
      </c>
      <c r="D4392">
        <f>_xlfn.LET(_xlpm.steps,SUBSTITUTE(Table13[[#This Row],[Input]],Table13[[#This Row],[Direction]],""),VALUE(IF(LEN(_xlpm.steps)&gt;2,LEFT(_xlpm.steps,LEN(_xlpm.steps)-2),0)))</f>
        <v>3</v>
      </c>
      <c r="E4392">
        <f>_xlfn.LET(_xlpm.dir,Table13[[#This Row],[Direction]],
IF(_xlpm.dir="L",
    IF(G4391-Table13[[#This Row],[Steps]]&lt;0,100+(G4391-Table13[[#This Row],[Steps]]),G4391-Table13[[#This Row],[Steps]]),
))</f>
        <v>0</v>
      </c>
      <c r="F4392">
        <f>_xlfn.LET(_xlpm.dir,Table13[[#This Row],[Direction]],
IF(_xlpm.dir="R",
    IF(G4391+Table13[[#This Row],[Steps]]&gt;99,(G4391+Table13[[#This Row],[Steps]])-100,G4391+Table13[[#This Row],[Steps]]),
))</f>
        <v>19</v>
      </c>
      <c r="G4392">
        <f>IF(Table13[[#This Row],[New Pos L]]&lt;&gt;0,Table13[[#This Row],[New Pos L]],Table13[[#This Row],[New Pos R]])</f>
        <v>19</v>
      </c>
      <c r="H4392">
        <f>IF(AND(Table13[[#This Row],[Direction]]="L",Table13[[#This Row],[Steps]]&gt;G4391,G4391&lt;&gt;0),1,0)</f>
        <v>0</v>
      </c>
      <c r="I4392">
        <f>IF(AND(Table13[[#This Row],[Direction]]="R",(G4391+Table13[[#This Row],[Steps]])&gt;100),1,0)</f>
        <v>1</v>
      </c>
      <c r="J4392">
        <f>IF(Table13[[#This Row],[POS]]=0,1,0)</f>
        <v>0</v>
      </c>
      <c r="K4392">
        <f>SUM(Table13[[#This Row],[prefix]],Table13[[#This Row],[Past zero L]],Table13[[#This Row],[Past Zero R]],Table13[[#This Row],[Is Zero]])</f>
        <v>4</v>
      </c>
    </row>
    <row r="4393" spans="1:11" ht="16" x14ac:dyDescent="0.2">
      <c r="A4393" s="1" t="s">
        <v>187</v>
      </c>
      <c r="B4393" t="str">
        <f>LEFT(Table13[[#This Row],[Input]],1)</f>
        <v>R</v>
      </c>
      <c r="C4393">
        <f>_xlfn.LET(_xlpm.steps,SUBSTITUTE(Table13[[#This Row],[Input]],Table13[[#This Row],[Direction]],""),VALUE(IF(LEN(_xlpm.steps)&gt;2,RIGHT(_xlpm.steps,2),_xlpm.steps)))</f>
        <v>20</v>
      </c>
      <c r="D4393">
        <f>_xlfn.LET(_xlpm.steps,SUBSTITUTE(Table13[[#This Row],[Input]],Table13[[#This Row],[Direction]],""),VALUE(IF(LEN(_xlpm.steps)&gt;2,LEFT(_xlpm.steps,LEN(_xlpm.steps)-2),0)))</f>
        <v>0</v>
      </c>
      <c r="E4393">
        <f>_xlfn.LET(_xlpm.dir,Table13[[#This Row],[Direction]],
IF(_xlpm.dir="L",
    IF(G4392-Table13[[#This Row],[Steps]]&lt;0,100+(G4392-Table13[[#This Row],[Steps]]),G4392-Table13[[#This Row],[Steps]]),
))</f>
        <v>0</v>
      </c>
      <c r="F4393">
        <f>_xlfn.LET(_xlpm.dir,Table13[[#This Row],[Direction]],
IF(_xlpm.dir="R",
    IF(G4392+Table13[[#This Row],[Steps]]&gt;99,(G4392+Table13[[#This Row],[Steps]])-100,G4392+Table13[[#This Row],[Steps]]),
))</f>
        <v>39</v>
      </c>
      <c r="G4393">
        <f>IF(Table13[[#This Row],[New Pos L]]&lt;&gt;0,Table13[[#This Row],[New Pos L]],Table13[[#This Row],[New Pos R]])</f>
        <v>39</v>
      </c>
      <c r="H4393">
        <f>IF(AND(Table13[[#This Row],[Direction]]="L",Table13[[#This Row],[Steps]]&gt;G4392,G4392&lt;&gt;0),1,0)</f>
        <v>0</v>
      </c>
      <c r="I4393">
        <f>IF(AND(Table13[[#This Row],[Direction]]="R",(G4392+Table13[[#This Row],[Steps]])&gt;100),1,0)</f>
        <v>0</v>
      </c>
      <c r="J4393">
        <f>IF(Table13[[#This Row],[POS]]=0,1,0)</f>
        <v>0</v>
      </c>
      <c r="K4393">
        <f>SUM(Table13[[#This Row],[prefix]],Table13[[#This Row],[Past zero L]],Table13[[#This Row],[Past Zero R]],Table13[[#This Row],[Is Zero]])</f>
        <v>0</v>
      </c>
    </row>
    <row r="4394" spans="1:11" ht="16" x14ac:dyDescent="0.2">
      <c r="A4394" s="1" t="s">
        <v>267</v>
      </c>
      <c r="B4394" t="str">
        <f>LEFT(Table13[[#This Row],[Input]],1)</f>
        <v>L</v>
      </c>
      <c r="C4394">
        <f>_xlfn.LET(_xlpm.steps,SUBSTITUTE(Table13[[#This Row],[Input]],Table13[[#This Row],[Direction]],""),VALUE(IF(LEN(_xlpm.steps)&gt;2,RIGHT(_xlpm.steps,2),_xlpm.steps)))</f>
        <v>39</v>
      </c>
      <c r="D4394">
        <f>_xlfn.LET(_xlpm.steps,SUBSTITUTE(Table13[[#This Row],[Input]],Table13[[#This Row],[Direction]],""),VALUE(IF(LEN(_xlpm.steps)&gt;2,LEFT(_xlpm.steps,LEN(_xlpm.steps)-2),0)))</f>
        <v>0</v>
      </c>
      <c r="E4394">
        <f>_xlfn.LET(_xlpm.dir,Table13[[#This Row],[Direction]],
IF(_xlpm.dir="L",
    IF(G4393-Table13[[#This Row],[Steps]]&lt;0,100+(G4393-Table13[[#This Row],[Steps]]),G4393-Table13[[#This Row],[Steps]]),
))</f>
        <v>0</v>
      </c>
      <c r="F4394">
        <f>_xlfn.LET(_xlpm.dir,Table13[[#This Row],[Direction]],
IF(_xlpm.dir="R",
    IF(G4393+Table13[[#This Row],[Steps]]&gt;99,(G4393+Table13[[#This Row],[Steps]])-100,G4393+Table13[[#This Row],[Steps]]),
))</f>
        <v>0</v>
      </c>
      <c r="G4394">
        <f>IF(Table13[[#This Row],[New Pos L]]&lt;&gt;0,Table13[[#This Row],[New Pos L]],Table13[[#This Row],[New Pos R]])</f>
        <v>0</v>
      </c>
      <c r="H4394">
        <f>IF(AND(Table13[[#This Row],[Direction]]="L",Table13[[#This Row],[Steps]]&gt;G4393,G4393&lt;&gt;0),1,0)</f>
        <v>0</v>
      </c>
      <c r="I4394">
        <f>IF(AND(Table13[[#This Row],[Direction]]="R",(G4393+Table13[[#This Row],[Steps]])&gt;100),1,0)</f>
        <v>0</v>
      </c>
      <c r="J4394">
        <f>IF(Table13[[#This Row],[POS]]=0,1,0)</f>
        <v>1</v>
      </c>
      <c r="K4394">
        <f>SUM(Table13[[#This Row],[prefix]],Table13[[#This Row],[Past zero L]],Table13[[#This Row],[Past Zero R]],Table13[[#This Row],[Is Zero]])</f>
        <v>1</v>
      </c>
    </row>
    <row r="4395" spans="1:11" ht="16" x14ac:dyDescent="0.2">
      <c r="A4395" s="1" t="s">
        <v>30</v>
      </c>
      <c r="B4395" t="str">
        <f>LEFT(Table13[[#This Row],[Input]],1)</f>
        <v>R</v>
      </c>
      <c r="C4395">
        <f>_xlfn.LET(_xlpm.steps,SUBSTITUTE(Table13[[#This Row],[Input]],Table13[[#This Row],[Direction]],""),VALUE(IF(LEN(_xlpm.steps)&gt;2,RIGHT(_xlpm.steps,2),_xlpm.steps)))</f>
        <v>48</v>
      </c>
      <c r="D4395">
        <f>_xlfn.LET(_xlpm.steps,SUBSTITUTE(Table13[[#This Row],[Input]],Table13[[#This Row],[Direction]],""),VALUE(IF(LEN(_xlpm.steps)&gt;2,LEFT(_xlpm.steps,LEN(_xlpm.steps)-2),0)))</f>
        <v>0</v>
      </c>
      <c r="E4395">
        <f>_xlfn.LET(_xlpm.dir,Table13[[#This Row],[Direction]],
IF(_xlpm.dir="L",
    IF(G4394-Table13[[#This Row],[Steps]]&lt;0,100+(G4394-Table13[[#This Row],[Steps]]),G4394-Table13[[#This Row],[Steps]]),
))</f>
        <v>0</v>
      </c>
      <c r="F4395">
        <f>_xlfn.LET(_xlpm.dir,Table13[[#This Row],[Direction]],
IF(_xlpm.dir="R",
    IF(G4394+Table13[[#This Row],[Steps]]&gt;99,(G4394+Table13[[#This Row],[Steps]])-100,G4394+Table13[[#This Row],[Steps]]),
))</f>
        <v>48</v>
      </c>
      <c r="G4395">
        <f>IF(Table13[[#This Row],[New Pos L]]&lt;&gt;0,Table13[[#This Row],[New Pos L]],Table13[[#This Row],[New Pos R]])</f>
        <v>48</v>
      </c>
      <c r="H4395">
        <f>IF(AND(Table13[[#This Row],[Direction]]="L",Table13[[#This Row],[Steps]]&gt;G4394,G4394&lt;&gt;0),1,0)</f>
        <v>0</v>
      </c>
      <c r="I4395">
        <f>IF(AND(Table13[[#This Row],[Direction]]="R",(G4394+Table13[[#This Row],[Steps]])&gt;100),1,0)</f>
        <v>0</v>
      </c>
      <c r="J4395">
        <f>IF(Table13[[#This Row],[POS]]=0,1,0)</f>
        <v>0</v>
      </c>
      <c r="K4395">
        <f>SUM(Table13[[#This Row],[prefix]],Table13[[#This Row],[Past zero L]],Table13[[#This Row],[Past Zero R]],Table13[[#This Row],[Is Zero]])</f>
        <v>0</v>
      </c>
    </row>
    <row r="4396" spans="1:11" ht="16" x14ac:dyDescent="0.2">
      <c r="A4396" s="1" t="s">
        <v>876</v>
      </c>
      <c r="B4396" t="str">
        <f>LEFT(Table13[[#This Row],[Input]],1)</f>
        <v>L</v>
      </c>
      <c r="C4396">
        <f>_xlfn.LET(_xlpm.steps,SUBSTITUTE(Table13[[#This Row],[Input]],Table13[[#This Row],[Direction]],""),VALUE(IF(LEN(_xlpm.steps)&gt;2,RIGHT(_xlpm.steps,2),_xlpm.steps)))</f>
        <v>9</v>
      </c>
      <c r="D4396">
        <f>_xlfn.LET(_xlpm.steps,SUBSTITUTE(Table13[[#This Row],[Input]],Table13[[#This Row],[Direction]],""),VALUE(IF(LEN(_xlpm.steps)&gt;2,LEFT(_xlpm.steps,LEN(_xlpm.steps)-2),0)))</f>
        <v>2</v>
      </c>
      <c r="E4396">
        <f>_xlfn.LET(_xlpm.dir,Table13[[#This Row],[Direction]],
IF(_xlpm.dir="L",
    IF(G4395-Table13[[#This Row],[Steps]]&lt;0,100+(G4395-Table13[[#This Row],[Steps]]),G4395-Table13[[#This Row],[Steps]]),
))</f>
        <v>39</v>
      </c>
      <c r="F4396">
        <f>_xlfn.LET(_xlpm.dir,Table13[[#This Row],[Direction]],
IF(_xlpm.dir="R",
    IF(G4395+Table13[[#This Row],[Steps]]&gt;99,(G4395+Table13[[#This Row],[Steps]])-100,G4395+Table13[[#This Row],[Steps]]),
))</f>
        <v>0</v>
      </c>
      <c r="G4396">
        <f>IF(Table13[[#This Row],[New Pos L]]&lt;&gt;0,Table13[[#This Row],[New Pos L]],Table13[[#This Row],[New Pos R]])</f>
        <v>39</v>
      </c>
      <c r="H4396">
        <f>IF(AND(Table13[[#This Row],[Direction]]="L",Table13[[#This Row],[Steps]]&gt;G4395,G4395&lt;&gt;0),1,0)</f>
        <v>0</v>
      </c>
      <c r="I4396">
        <f>IF(AND(Table13[[#This Row],[Direction]]="R",(G4395+Table13[[#This Row],[Steps]])&gt;100),1,0)</f>
        <v>0</v>
      </c>
      <c r="J4396">
        <f>IF(Table13[[#This Row],[POS]]=0,1,0)</f>
        <v>0</v>
      </c>
      <c r="K4396">
        <f>SUM(Table13[[#This Row],[prefix]],Table13[[#This Row],[Past zero L]],Table13[[#This Row],[Past Zero R]],Table13[[#This Row],[Is Zero]])</f>
        <v>2</v>
      </c>
    </row>
    <row r="4397" spans="1:11" ht="16" x14ac:dyDescent="0.2">
      <c r="A4397" s="1" t="s">
        <v>16</v>
      </c>
      <c r="B4397" t="str">
        <f>LEFT(Table13[[#This Row],[Input]],1)</f>
        <v>L</v>
      </c>
      <c r="C4397">
        <f>_xlfn.LET(_xlpm.steps,SUBSTITUTE(Table13[[#This Row],[Input]],Table13[[#This Row],[Direction]],""),VALUE(IF(LEN(_xlpm.steps)&gt;2,RIGHT(_xlpm.steps,2),_xlpm.steps)))</f>
        <v>10</v>
      </c>
      <c r="D4397">
        <f>_xlfn.LET(_xlpm.steps,SUBSTITUTE(Table13[[#This Row],[Input]],Table13[[#This Row],[Direction]],""),VALUE(IF(LEN(_xlpm.steps)&gt;2,LEFT(_xlpm.steps,LEN(_xlpm.steps)-2),0)))</f>
        <v>0</v>
      </c>
      <c r="E4397">
        <f>_xlfn.LET(_xlpm.dir,Table13[[#This Row],[Direction]],
IF(_xlpm.dir="L",
    IF(G4396-Table13[[#This Row],[Steps]]&lt;0,100+(G4396-Table13[[#This Row],[Steps]]),G4396-Table13[[#This Row],[Steps]]),
))</f>
        <v>29</v>
      </c>
      <c r="F4397">
        <f>_xlfn.LET(_xlpm.dir,Table13[[#This Row],[Direction]],
IF(_xlpm.dir="R",
    IF(G4396+Table13[[#This Row],[Steps]]&gt;99,(G4396+Table13[[#This Row],[Steps]])-100,G4396+Table13[[#This Row],[Steps]]),
))</f>
        <v>0</v>
      </c>
      <c r="G4397">
        <f>IF(Table13[[#This Row],[New Pos L]]&lt;&gt;0,Table13[[#This Row],[New Pos L]],Table13[[#This Row],[New Pos R]])</f>
        <v>29</v>
      </c>
      <c r="H4397">
        <f>IF(AND(Table13[[#This Row],[Direction]]="L",Table13[[#This Row],[Steps]]&gt;G4396,G4396&lt;&gt;0),1,0)</f>
        <v>0</v>
      </c>
      <c r="I4397">
        <f>IF(AND(Table13[[#This Row],[Direction]]="R",(G4396+Table13[[#This Row],[Steps]])&gt;100),1,0)</f>
        <v>0</v>
      </c>
      <c r="J4397">
        <f>IF(Table13[[#This Row],[POS]]=0,1,0)</f>
        <v>0</v>
      </c>
      <c r="K4397">
        <f>SUM(Table13[[#This Row],[prefix]],Table13[[#This Row],[Past zero L]],Table13[[#This Row],[Past Zero R]],Table13[[#This Row],[Is Zero]])</f>
        <v>0</v>
      </c>
    </row>
    <row r="4398" spans="1:11" ht="16" x14ac:dyDescent="0.2">
      <c r="A4398" s="1" t="s">
        <v>353</v>
      </c>
      <c r="B4398" t="str">
        <f>LEFT(Table13[[#This Row],[Input]],1)</f>
        <v>R</v>
      </c>
      <c r="C4398">
        <f>_xlfn.LET(_xlpm.steps,SUBSTITUTE(Table13[[#This Row],[Input]],Table13[[#This Row],[Direction]],""),VALUE(IF(LEN(_xlpm.steps)&gt;2,RIGHT(_xlpm.steps,2),_xlpm.steps)))</f>
        <v>7</v>
      </c>
      <c r="D4398">
        <f>_xlfn.LET(_xlpm.steps,SUBSTITUTE(Table13[[#This Row],[Input]],Table13[[#This Row],[Direction]],""),VALUE(IF(LEN(_xlpm.steps)&gt;2,LEFT(_xlpm.steps,LEN(_xlpm.steps)-2),0)))</f>
        <v>0</v>
      </c>
      <c r="E4398">
        <f>_xlfn.LET(_xlpm.dir,Table13[[#This Row],[Direction]],
IF(_xlpm.dir="L",
    IF(G4397-Table13[[#This Row],[Steps]]&lt;0,100+(G4397-Table13[[#This Row],[Steps]]),G4397-Table13[[#This Row],[Steps]]),
))</f>
        <v>0</v>
      </c>
      <c r="F4398">
        <f>_xlfn.LET(_xlpm.dir,Table13[[#This Row],[Direction]],
IF(_xlpm.dir="R",
    IF(G4397+Table13[[#This Row],[Steps]]&gt;99,(G4397+Table13[[#This Row],[Steps]])-100,G4397+Table13[[#This Row],[Steps]]),
))</f>
        <v>36</v>
      </c>
      <c r="G4398">
        <f>IF(Table13[[#This Row],[New Pos L]]&lt;&gt;0,Table13[[#This Row],[New Pos L]],Table13[[#This Row],[New Pos R]])</f>
        <v>36</v>
      </c>
      <c r="H4398">
        <f>IF(AND(Table13[[#This Row],[Direction]]="L",Table13[[#This Row],[Steps]]&gt;G4397,G4397&lt;&gt;0),1,0)</f>
        <v>0</v>
      </c>
      <c r="I4398">
        <f>IF(AND(Table13[[#This Row],[Direction]]="R",(G4397+Table13[[#This Row],[Steps]])&gt;100),1,0)</f>
        <v>0</v>
      </c>
      <c r="J4398">
        <f>IF(Table13[[#This Row],[POS]]=0,1,0)</f>
        <v>0</v>
      </c>
      <c r="K4398">
        <f>SUM(Table13[[#This Row],[prefix]],Table13[[#This Row],[Past zero L]],Table13[[#This Row],[Past Zero R]],Table13[[#This Row],[Is Zero]])</f>
        <v>0</v>
      </c>
    </row>
    <row r="4399" spans="1:11" ht="16" x14ac:dyDescent="0.2">
      <c r="A4399" s="1" t="s">
        <v>255</v>
      </c>
      <c r="B4399" t="str">
        <f>LEFT(Table13[[#This Row],[Input]],1)</f>
        <v>R</v>
      </c>
      <c r="C4399">
        <f>_xlfn.LET(_xlpm.steps,SUBSTITUTE(Table13[[#This Row],[Input]],Table13[[#This Row],[Direction]],""),VALUE(IF(LEN(_xlpm.steps)&gt;2,RIGHT(_xlpm.steps,2),_xlpm.steps)))</f>
        <v>16</v>
      </c>
      <c r="D4399">
        <f>_xlfn.LET(_xlpm.steps,SUBSTITUTE(Table13[[#This Row],[Input]],Table13[[#This Row],[Direction]],""),VALUE(IF(LEN(_xlpm.steps)&gt;2,LEFT(_xlpm.steps,LEN(_xlpm.steps)-2),0)))</f>
        <v>0</v>
      </c>
      <c r="E4399">
        <f>_xlfn.LET(_xlpm.dir,Table13[[#This Row],[Direction]],
IF(_xlpm.dir="L",
    IF(G4398-Table13[[#This Row],[Steps]]&lt;0,100+(G4398-Table13[[#This Row],[Steps]]),G4398-Table13[[#This Row],[Steps]]),
))</f>
        <v>0</v>
      </c>
      <c r="F4399">
        <f>_xlfn.LET(_xlpm.dir,Table13[[#This Row],[Direction]],
IF(_xlpm.dir="R",
    IF(G4398+Table13[[#This Row],[Steps]]&gt;99,(G4398+Table13[[#This Row],[Steps]])-100,G4398+Table13[[#This Row],[Steps]]),
))</f>
        <v>52</v>
      </c>
      <c r="G4399">
        <f>IF(Table13[[#This Row],[New Pos L]]&lt;&gt;0,Table13[[#This Row],[New Pos L]],Table13[[#This Row],[New Pos R]])</f>
        <v>52</v>
      </c>
      <c r="H4399">
        <f>IF(AND(Table13[[#This Row],[Direction]]="L",Table13[[#This Row],[Steps]]&gt;G4398,G4398&lt;&gt;0),1,0)</f>
        <v>0</v>
      </c>
      <c r="I4399">
        <f>IF(AND(Table13[[#This Row],[Direction]]="R",(G4398+Table13[[#This Row],[Steps]])&gt;100),1,0)</f>
        <v>0</v>
      </c>
      <c r="J4399">
        <f>IF(Table13[[#This Row],[POS]]=0,1,0)</f>
        <v>0</v>
      </c>
      <c r="K4399">
        <f>SUM(Table13[[#This Row],[prefix]],Table13[[#This Row],[Past zero L]],Table13[[#This Row],[Past Zero R]],Table13[[#This Row],[Is Zero]])</f>
        <v>0</v>
      </c>
    </row>
    <row r="4400" spans="1:11" ht="16" x14ac:dyDescent="0.2">
      <c r="A4400" s="1" t="s">
        <v>767</v>
      </c>
      <c r="B4400" t="str">
        <f>LEFT(Table13[[#This Row],[Input]],1)</f>
        <v>L</v>
      </c>
      <c r="C4400">
        <f>_xlfn.LET(_xlpm.steps,SUBSTITUTE(Table13[[#This Row],[Input]],Table13[[#This Row],[Direction]],""),VALUE(IF(LEN(_xlpm.steps)&gt;2,RIGHT(_xlpm.steps,2),_xlpm.steps)))</f>
        <v>84</v>
      </c>
      <c r="D4400">
        <f>_xlfn.LET(_xlpm.steps,SUBSTITUTE(Table13[[#This Row],[Input]],Table13[[#This Row],[Direction]],""),VALUE(IF(LEN(_xlpm.steps)&gt;2,LEFT(_xlpm.steps,LEN(_xlpm.steps)-2),0)))</f>
        <v>5</v>
      </c>
      <c r="E4400">
        <f>_xlfn.LET(_xlpm.dir,Table13[[#This Row],[Direction]],
IF(_xlpm.dir="L",
    IF(G4399-Table13[[#This Row],[Steps]]&lt;0,100+(G4399-Table13[[#This Row],[Steps]]),G4399-Table13[[#This Row],[Steps]]),
))</f>
        <v>68</v>
      </c>
      <c r="F4400">
        <f>_xlfn.LET(_xlpm.dir,Table13[[#This Row],[Direction]],
IF(_xlpm.dir="R",
    IF(G4399+Table13[[#This Row],[Steps]]&gt;99,(G4399+Table13[[#This Row],[Steps]])-100,G4399+Table13[[#This Row],[Steps]]),
))</f>
        <v>0</v>
      </c>
      <c r="G4400">
        <f>IF(Table13[[#This Row],[New Pos L]]&lt;&gt;0,Table13[[#This Row],[New Pos L]],Table13[[#This Row],[New Pos R]])</f>
        <v>68</v>
      </c>
      <c r="H4400">
        <f>IF(AND(Table13[[#This Row],[Direction]]="L",Table13[[#This Row],[Steps]]&gt;G4399,G4399&lt;&gt;0),1,0)</f>
        <v>1</v>
      </c>
      <c r="I4400">
        <f>IF(AND(Table13[[#This Row],[Direction]]="R",(G4399+Table13[[#This Row],[Steps]])&gt;100),1,0)</f>
        <v>0</v>
      </c>
      <c r="J4400">
        <f>IF(Table13[[#This Row],[POS]]=0,1,0)</f>
        <v>0</v>
      </c>
      <c r="K4400">
        <f>SUM(Table13[[#This Row],[prefix]],Table13[[#This Row],[Past zero L]],Table13[[#This Row],[Past Zero R]],Table13[[#This Row],[Is Zero]])</f>
        <v>6</v>
      </c>
    </row>
    <row r="4401" spans="1:11" ht="16" x14ac:dyDescent="0.2">
      <c r="A4401" s="1" t="s">
        <v>185</v>
      </c>
      <c r="B4401" t="str">
        <f>LEFT(Table13[[#This Row],[Input]],1)</f>
        <v>R</v>
      </c>
      <c r="C4401">
        <f>_xlfn.LET(_xlpm.steps,SUBSTITUTE(Table13[[#This Row],[Input]],Table13[[#This Row],[Direction]],""),VALUE(IF(LEN(_xlpm.steps)&gt;2,RIGHT(_xlpm.steps,2),_xlpm.steps)))</f>
        <v>61</v>
      </c>
      <c r="D4401">
        <f>_xlfn.LET(_xlpm.steps,SUBSTITUTE(Table13[[#This Row],[Input]],Table13[[#This Row],[Direction]],""),VALUE(IF(LEN(_xlpm.steps)&gt;2,LEFT(_xlpm.steps,LEN(_xlpm.steps)-2),0)))</f>
        <v>0</v>
      </c>
      <c r="E4401">
        <f>_xlfn.LET(_xlpm.dir,Table13[[#This Row],[Direction]],
IF(_xlpm.dir="L",
    IF(G4400-Table13[[#This Row],[Steps]]&lt;0,100+(G4400-Table13[[#This Row],[Steps]]),G4400-Table13[[#This Row],[Steps]]),
))</f>
        <v>0</v>
      </c>
      <c r="F4401">
        <f>_xlfn.LET(_xlpm.dir,Table13[[#This Row],[Direction]],
IF(_xlpm.dir="R",
    IF(G4400+Table13[[#This Row],[Steps]]&gt;99,(G4400+Table13[[#This Row],[Steps]])-100,G4400+Table13[[#This Row],[Steps]]),
))</f>
        <v>29</v>
      </c>
      <c r="G4401">
        <f>IF(Table13[[#This Row],[New Pos L]]&lt;&gt;0,Table13[[#This Row],[New Pos L]],Table13[[#This Row],[New Pos R]])</f>
        <v>29</v>
      </c>
      <c r="H4401">
        <f>IF(AND(Table13[[#This Row],[Direction]]="L",Table13[[#This Row],[Steps]]&gt;G4400,G4400&lt;&gt;0),1,0)</f>
        <v>0</v>
      </c>
      <c r="I4401">
        <f>IF(AND(Table13[[#This Row],[Direction]]="R",(G4400+Table13[[#This Row],[Steps]])&gt;100),1,0)</f>
        <v>1</v>
      </c>
      <c r="J4401">
        <f>IF(Table13[[#This Row],[POS]]=0,1,0)</f>
        <v>0</v>
      </c>
      <c r="K4401">
        <f>SUM(Table13[[#This Row],[prefix]],Table13[[#This Row],[Past zero L]],Table13[[#This Row],[Past Zero R]],Table13[[#This Row],[Is Zero]])</f>
        <v>1</v>
      </c>
    </row>
    <row r="4402" spans="1:11" ht="16" x14ac:dyDescent="0.2">
      <c r="A4402" s="1" t="s">
        <v>877</v>
      </c>
      <c r="B4402" t="str">
        <f>LEFT(Table13[[#This Row],[Input]],1)</f>
        <v>R</v>
      </c>
      <c r="C4402">
        <f>_xlfn.LET(_xlpm.steps,SUBSTITUTE(Table13[[#This Row],[Input]],Table13[[#This Row],[Direction]],""),VALUE(IF(LEN(_xlpm.steps)&gt;2,RIGHT(_xlpm.steps,2),_xlpm.steps)))</f>
        <v>25</v>
      </c>
      <c r="D4402">
        <f>_xlfn.LET(_xlpm.steps,SUBSTITUTE(Table13[[#This Row],[Input]],Table13[[#This Row],[Direction]],""),VALUE(IF(LEN(_xlpm.steps)&gt;2,LEFT(_xlpm.steps,LEN(_xlpm.steps)-2),0)))</f>
        <v>9</v>
      </c>
      <c r="E4402">
        <f>_xlfn.LET(_xlpm.dir,Table13[[#This Row],[Direction]],
IF(_xlpm.dir="L",
    IF(G4401-Table13[[#This Row],[Steps]]&lt;0,100+(G4401-Table13[[#This Row],[Steps]]),G4401-Table13[[#This Row],[Steps]]),
))</f>
        <v>0</v>
      </c>
      <c r="F4402">
        <f>_xlfn.LET(_xlpm.dir,Table13[[#This Row],[Direction]],
IF(_xlpm.dir="R",
    IF(G4401+Table13[[#This Row],[Steps]]&gt;99,(G4401+Table13[[#This Row],[Steps]])-100,G4401+Table13[[#This Row],[Steps]]),
))</f>
        <v>54</v>
      </c>
      <c r="G4402">
        <f>IF(Table13[[#This Row],[New Pos L]]&lt;&gt;0,Table13[[#This Row],[New Pos L]],Table13[[#This Row],[New Pos R]])</f>
        <v>54</v>
      </c>
      <c r="H4402">
        <f>IF(AND(Table13[[#This Row],[Direction]]="L",Table13[[#This Row],[Steps]]&gt;G4401,G4401&lt;&gt;0),1,0)</f>
        <v>0</v>
      </c>
      <c r="I4402">
        <f>IF(AND(Table13[[#This Row],[Direction]]="R",(G4401+Table13[[#This Row],[Steps]])&gt;100),1,0)</f>
        <v>0</v>
      </c>
      <c r="J4402">
        <f>IF(Table13[[#This Row],[POS]]=0,1,0)</f>
        <v>0</v>
      </c>
      <c r="K4402">
        <f>SUM(Table13[[#This Row],[prefix]],Table13[[#This Row],[Past zero L]],Table13[[#This Row],[Past Zero R]],Table13[[#This Row],[Is Zero]])</f>
        <v>9</v>
      </c>
    </row>
    <row r="4403" spans="1:11" ht="16" x14ac:dyDescent="0.2">
      <c r="A4403" s="1" t="s">
        <v>179</v>
      </c>
      <c r="B4403" t="str">
        <f>LEFT(Table13[[#This Row],[Input]],1)</f>
        <v>L</v>
      </c>
      <c r="C4403">
        <f>_xlfn.LET(_xlpm.steps,SUBSTITUTE(Table13[[#This Row],[Input]],Table13[[#This Row],[Direction]],""),VALUE(IF(LEN(_xlpm.steps)&gt;2,RIGHT(_xlpm.steps,2),_xlpm.steps)))</f>
        <v>54</v>
      </c>
      <c r="D4403">
        <f>_xlfn.LET(_xlpm.steps,SUBSTITUTE(Table13[[#This Row],[Input]],Table13[[#This Row],[Direction]],""),VALUE(IF(LEN(_xlpm.steps)&gt;2,LEFT(_xlpm.steps,LEN(_xlpm.steps)-2),0)))</f>
        <v>0</v>
      </c>
      <c r="E4403">
        <f>_xlfn.LET(_xlpm.dir,Table13[[#This Row],[Direction]],
IF(_xlpm.dir="L",
    IF(G4402-Table13[[#This Row],[Steps]]&lt;0,100+(G4402-Table13[[#This Row],[Steps]]),G4402-Table13[[#This Row],[Steps]]),
))</f>
        <v>0</v>
      </c>
      <c r="F4403">
        <f>_xlfn.LET(_xlpm.dir,Table13[[#This Row],[Direction]],
IF(_xlpm.dir="R",
    IF(G4402+Table13[[#This Row],[Steps]]&gt;99,(G4402+Table13[[#This Row],[Steps]])-100,G4402+Table13[[#This Row],[Steps]]),
))</f>
        <v>0</v>
      </c>
      <c r="G4403">
        <f>IF(Table13[[#This Row],[New Pos L]]&lt;&gt;0,Table13[[#This Row],[New Pos L]],Table13[[#This Row],[New Pos R]])</f>
        <v>0</v>
      </c>
      <c r="H4403">
        <f>IF(AND(Table13[[#This Row],[Direction]]="L",Table13[[#This Row],[Steps]]&gt;G4402,G4402&lt;&gt;0),1,0)</f>
        <v>0</v>
      </c>
      <c r="I4403">
        <f>IF(AND(Table13[[#This Row],[Direction]]="R",(G4402+Table13[[#This Row],[Steps]])&gt;100),1,0)</f>
        <v>0</v>
      </c>
      <c r="J4403">
        <f>IF(Table13[[#This Row],[POS]]=0,1,0)</f>
        <v>1</v>
      </c>
      <c r="K4403">
        <f>SUM(Table13[[#This Row],[prefix]],Table13[[#This Row],[Past zero L]],Table13[[#This Row],[Past Zero R]],Table13[[#This Row],[Is Zero]])</f>
        <v>1</v>
      </c>
    </row>
    <row r="4404" spans="1:11" ht="16" x14ac:dyDescent="0.2">
      <c r="A4404" s="1" t="s">
        <v>3</v>
      </c>
      <c r="B4404" t="str">
        <f>LEFT(Table13[[#This Row],[Input]],1)</f>
        <v>R</v>
      </c>
      <c r="C4404">
        <f>_xlfn.LET(_xlpm.steps,SUBSTITUTE(Table13[[#This Row],[Input]],Table13[[#This Row],[Direction]],""),VALUE(IF(LEN(_xlpm.steps)&gt;2,RIGHT(_xlpm.steps,2),_xlpm.steps)))</f>
        <v>44</v>
      </c>
      <c r="D4404">
        <f>_xlfn.LET(_xlpm.steps,SUBSTITUTE(Table13[[#This Row],[Input]],Table13[[#This Row],[Direction]],""),VALUE(IF(LEN(_xlpm.steps)&gt;2,LEFT(_xlpm.steps,LEN(_xlpm.steps)-2),0)))</f>
        <v>0</v>
      </c>
      <c r="E4404">
        <f>_xlfn.LET(_xlpm.dir,Table13[[#This Row],[Direction]],
IF(_xlpm.dir="L",
    IF(G4403-Table13[[#This Row],[Steps]]&lt;0,100+(G4403-Table13[[#This Row],[Steps]]),G4403-Table13[[#This Row],[Steps]]),
))</f>
        <v>0</v>
      </c>
      <c r="F4404">
        <f>_xlfn.LET(_xlpm.dir,Table13[[#This Row],[Direction]],
IF(_xlpm.dir="R",
    IF(G4403+Table13[[#This Row],[Steps]]&gt;99,(G4403+Table13[[#This Row],[Steps]])-100,G4403+Table13[[#This Row],[Steps]]),
))</f>
        <v>44</v>
      </c>
      <c r="G4404">
        <f>IF(Table13[[#This Row],[New Pos L]]&lt;&gt;0,Table13[[#This Row],[New Pos L]],Table13[[#This Row],[New Pos R]])</f>
        <v>44</v>
      </c>
      <c r="H4404">
        <f>IF(AND(Table13[[#This Row],[Direction]]="L",Table13[[#This Row],[Steps]]&gt;G4403,G4403&lt;&gt;0),1,0)</f>
        <v>0</v>
      </c>
      <c r="I4404">
        <f>IF(AND(Table13[[#This Row],[Direction]]="R",(G4403+Table13[[#This Row],[Steps]])&gt;100),1,0)</f>
        <v>0</v>
      </c>
      <c r="J4404">
        <f>IF(Table13[[#This Row],[POS]]=0,1,0)</f>
        <v>0</v>
      </c>
      <c r="K4404">
        <f>SUM(Table13[[#This Row],[prefix]],Table13[[#This Row],[Past zero L]],Table13[[#This Row],[Past Zero R]],Table13[[#This Row],[Is Zero]])</f>
        <v>0</v>
      </c>
    </row>
    <row r="4405" spans="1:11" ht="16" x14ac:dyDescent="0.2">
      <c r="A4405" s="1" t="s">
        <v>0</v>
      </c>
      <c r="B4405" t="str">
        <f>LEFT(Table13[[#This Row],[Input]],1)</f>
        <v>L</v>
      </c>
      <c r="C4405">
        <f>_xlfn.LET(_xlpm.steps,SUBSTITUTE(Table13[[#This Row],[Input]],Table13[[#This Row],[Direction]],""),VALUE(IF(LEN(_xlpm.steps)&gt;2,RIGHT(_xlpm.steps,2),_xlpm.steps)))</f>
        <v>44</v>
      </c>
      <c r="D4405">
        <f>_xlfn.LET(_xlpm.steps,SUBSTITUTE(Table13[[#This Row],[Input]],Table13[[#This Row],[Direction]],""),VALUE(IF(LEN(_xlpm.steps)&gt;2,LEFT(_xlpm.steps,LEN(_xlpm.steps)-2),0)))</f>
        <v>0</v>
      </c>
      <c r="E4405">
        <f>_xlfn.LET(_xlpm.dir,Table13[[#This Row],[Direction]],
IF(_xlpm.dir="L",
    IF(G4404-Table13[[#This Row],[Steps]]&lt;0,100+(G4404-Table13[[#This Row],[Steps]]),G4404-Table13[[#This Row],[Steps]]),
))</f>
        <v>0</v>
      </c>
      <c r="F4405">
        <f>_xlfn.LET(_xlpm.dir,Table13[[#This Row],[Direction]],
IF(_xlpm.dir="R",
    IF(G4404+Table13[[#This Row],[Steps]]&gt;99,(G4404+Table13[[#This Row],[Steps]])-100,G4404+Table13[[#This Row],[Steps]]),
))</f>
        <v>0</v>
      </c>
      <c r="G4405">
        <f>IF(Table13[[#This Row],[New Pos L]]&lt;&gt;0,Table13[[#This Row],[New Pos L]],Table13[[#This Row],[New Pos R]])</f>
        <v>0</v>
      </c>
      <c r="H4405">
        <f>IF(AND(Table13[[#This Row],[Direction]]="L",Table13[[#This Row],[Steps]]&gt;G4404,G4404&lt;&gt;0),1,0)</f>
        <v>0</v>
      </c>
      <c r="I4405">
        <f>IF(AND(Table13[[#This Row],[Direction]]="R",(G4404+Table13[[#This Row],[Steps]])&gt;100),1,0)</f>
        <v>0</v>
      </c>
      <c r="J4405">
        <f>IF(Table13[[#This Row],[POS]]=0,1,0)</f>
        <v>1</v>
      </c>
      <c r="K4405">
        <f>SUM(Table13[[#This Row],[prefix]],Table13[[#This Row],[Past zero L]],Table13[[#This Row],[Past Zero R]],Table13[[#This Row],[Is Zero]])</f>
        <v>1</v>
      </c>
    </row>
    <row r="4406" spans="1:11" ht="16" x14ac:dyDescent="0.2">
      <c r="A4406" s="1" t="s">
        <v>417</v>
      </c>
      <c r="B4406" t="str">
        <f>LEFT(Table13[[#This Row],[Input]],1)</f>
        <v>R</v>
      </c>
      <c r="C4406">
        <f>_xlfn.LET(_xlpm.steps,SUBSTITUTE(Table13[[#This Row],[Input]],Table13[[#This Row],[Direction]],""),VALUE(IF(LEN(_xlpm.steps)&gt;2,RIGHT(_xlpm.steps,2),_xlpm.steps)))</f>
        <v>5</v>
      </c>
      <c r="D4406">
        <f>_xlfn.LET(_xlpm.steps,SUBSTITUTE(Table13[[#This Row],[Input]],Table13[[#This Row],[Direction]],""),VALUE(IF(LEN(_xlpm.steps)&gt;2,LEFT(_xlpm.steps,LEN(_xlpm.steps)-2),0)))</f>
        <v>1</v>
      </c>
      <c r="E4406">
        <f>_xlfn.LET(_xlpm.dir,Table13[[#This Row],[Direction]],
IF(_xlpm.dir="L",
    IF(G4405-Table13[[#This Row],[Steps]]&lt;0,100+(G4405-Table13[[#This Row],[Steps]]),G4405-Table13[[#This Row],[Steps]]),
))</f>
        <v>0</v>
      </c>
      <c r="F4406">
        <f>_xlfn.LET(_xlpm.dir,Table13[[#This Row],[Direction]],
IF(_xlpm.dir="R",
    IF(G4405+Table13[[#This Row],[Steps]]&gt;99,(G4405+Table13[[#This Row],[Steps]])-100,G4405+Table13[[#This Row],[Steps]]),
))</f>
        <v>5</v>
      </c>
      <c r="G4406">
        <f>IF(Table13[[#This Row],[New Pos L]]&lt;&gt;0,Table13[[#This Row],[New Pos L]],Table13[[#This Row],[New Pos R]])</f>
        <v>5</v>
      </c>
      <c r="H4406">
        <f>IF(AND(Table13[[#This Row],[Direction]]="L",Table13[[#This Row],[Steps]]&gt;G4405,G4405&lt;&gt;0),1,0)</f>
        <v>0</v>
      </c>
      <c r="I4406">
        <f>IF(AND(Table13[[#This Row],[Direction]]="R",(G4405+Table13[[#This Row],[Steps]])&gt;100),1,0)</f>
        <v>0</v>
      </c>
      <c r="J4406">
        <f>IF(Table13[[#This Row],[POS]]=0,1,0)</f>
        <v>0</v>
      </c>
      <c r="K4406">
        <f>SUM(Table13[[#This Row],[prefix]],Table13[[#This Row],[Past zero L]],Table13[[#This Row],[Past Zero R]],Table13[[#This Row],[Is Zero]])</f>
        <v>1</v>
      </c>
    </row>
    <row r="4407" spans="1:11" ht="16" x14ac:dyDescent="0.2">
      <c r="A4407" s="1" t="s">
        <v>729</v>
      </c>
      <c r="B4407" t="str">
        <f>LEFT(Table13[[#This Row],[Input]],1)</f>
        <v>L</v>
      </c>
      <c r="C4407">
        <f>_xlfn.LET(_xlpm.steps,SUBSTITUTE(Table13[[#This Row],[Input]],Table13[[#This Row],[Direction]],""),VALUE(IF(LEN(_xlpm.steps)&gt;2,RIGHT(_xlpm.steps,2),_xlpm.steps)))</f>
        <v>68</v>
      </c>
      <c r="D4407">
        <f>_xlfn.LET(_xlpm.steps,SUBSTITUTE(Table13[[#This Row],[Input]],Table13[[#This Row],[Direction]],""),VALUE(IF(LEN(_xlpm.steps)&gt;2,LEFT(_xlpm.steps,LEN(_xlpm.steps)-2),0)))</f>
        <v>1</v>
      </c>
      <c r="E4407">
        <f>_xlfn.LET(_xlpm.dir,Table13[[#This Row],[Direction]],
IF(_xlpm.dir="L",
    IF(G4406-Table13[[#This Row],[Steps]]&lt;0,100+(G4406-Table13[[#This Row],[Steps]]),G4406-Table13[[#This Row],[Steps]]),
))</f>
        <v>37</v>
      </c>
      <c r="F4407">
        <f>_xlfn.LET(_xlpm.dir,Table13[[#This Row],[Direction]],
IF(_xlpm.dir="R",
    IF(G4406+Table13[[#This Row],[Steps]]&gt;99,(G4406+Table13[[#This Row],[Steps]])-100,G4406+Table13[[#This Row],[Steps]]),
))</f>
        <v>0</v>
      </c>
      <c r="G4407">
        <f>IF(Table13[[#This Row],[New Pos L]]&lt;&gt;0,Table13[[#This Row],[New Pos L]],Table13[[#This Row],[New Pos R]])</f>
        <v>37</v>
      </c>
      <c r="H4407">
        <f>IF(AND(Table13[[#This Row],[Direction]]="L",Table13[[#This Row],[Steps]]&gt;G4406,G4406&lt;&gt;0),1,0)</f>
        <v>1</v>
      </c>
      <c r="I4407">
        <f>IF(AND(Table13[[#This Row],[Direction]]="R",(G4406+Table13[[#This Row],[Steps]])&gt;100),1,0)</f>
        <v>0</v>
      </c>
      <c r="J4407">
        <f>IF(Table13[[#This Row],[POS]]=0,1,0)</f>
        <v>0</v>
      </c>
      <c r="K4407">
        <f>SUM(Table13[[#This Row],[prefix]],Table13[[#This Row],[Past zero L]],Table13[[#This Row],[Past Zero R]],Table13[[#This Row],[Is Zero]])</f>
        <v>2</v>
      </c>
    </row>
    <row r="4408" spans="1:11" ht="16" x14ac:dyDescent="0.2">
      <c r="A4408" s="1" t="s">
        <v>325</v>
      </c>
      <c r="B4408" t="str">
        <f>LEFT(Table13[[#This Row],[Input]],1)</f>
        <v>L</v>
      </c>
      <c r="C4408">
        <f>_xlfn.LET(_xlpm.steps,SUBSTITUTE(Table13[[#This Row],[Input]],Table13[[#This Row],[Direction]],""),VALUE(IF(LEN(_xlpm.steps)&gt;2,RIGHT(_xlpm.steps,2),_xlpm.steps)))</f>
        <v>68</v>
      </c>
      <c r="D4408">
        <f>_xlfn.LET(_xlpm.steps,SUBSTITUTE(Table13[[#This Row],[Input]],Table13[[#This Row],[Direction]],""),VALUE(IF(LEN(_xlpm.steps)&gt;2,LEFT(_xlpm.steps,LEN(_xlpm.steps)-2),0)))</f>
        <v>0</v>
      </c>
      <c r="E4408">
        <f>_xlfn.LET(_xlpm.dir,Table13[[#This Row],[Direction]],
IF(_xlpm.dir="L",
    IF(G4407-Table13[[#This Row],[Steps]]&lt;0,100+(G4407-Table13[[#This Row],[Steps]]),G4407-Table13[[#This Row],[Steps]]),
))</f>
        <v>69</v>
      </c>
      <c r="F4408">
        <f>_xlfn.LET(_xlpm.dir,Table13[[#This Row],[Direction]],
IF(_xlpm.dir="R",
    IF(G4407+Table13[[#This Row],[Steps]]&gt;99,(G4407+Table13[[#This Row],[Steps]])-100,G4407+Table13[[#This Row],[Steps]]),
))</f>
        <v>0</v>
      </c>
      <c r="G4408">
        <f>IF(Table13[[#This Row],[New Pos L]]&lt;&gt;0,Table13[[#This Row],[New Pos L]],Table13[[#This Row],[New Pos R]])</f>
        <v>69</v>
      </c>
      <c r="H4408">
        <f>IF(AND(Table13[[#This Row],[Direction]]="L",Table13[[#This Row],[Steps]]&gt;G4407,G4407&lt;&gt;0),1,0)</f>
        <v>1</v>
      </c>
      <c r="I4408">
        <f>IF(AND(Table13[[#This Row],[Direction]]="R",(G4407+Table13[[#This Row],[Steps]])&gt;100),1,0)</f>
        <v>0</v>
      </c>
      <c r="J4408">
        <f>IF(Table13[[#This Row],[POS]]=0,1,0)</f>
        <v>0</v>
      </c>
      <c r="K4408">
        <f>SUM(Table13[[#This Row],[prefix]],Table13[[#This Row],[Past zero L]],Table13[[#This Row],[Past Zero R]],Table13[[#This Row],[Is Zero]])</f>
        <v>1</v>
      </c>
    </row>
    <row r="4409" spans="1:11" ht="16" x14ac:dyDescent="0.2">
      <c r="A4409" s="1" t="s">
        <v>482</v>
      </c>
      <c r="B4409" t="str">
        <f>LEFT(Table13[[#This Row],[Input]],1)</f>
        <v>L</v>
      </c>
      <c r="C4409">
        <f>_xlfn.LET(_xlpm.steps,SUBSTITUTE(Table13[[#This Row],[Input]],Table13[[#This Row],[Direction]],""),VALUE(IF(LEN(_xlpm.steps)&gt;2,RIGHT(_xlpm.steps,2),_xlpm.steps)))</f>
        <v>86</v>
      </c>
      <c r="D4409">
        <f>_xlfn.LET(_xlpm.steps,SUBSTITUTE(Table13[[#This Row],[Input]],Table13[[#This Row],[Direction]],""),VALUE(IF(LEN(_xlpm.steps)&gt;2,LEFT(_xlpm.steps,LEN(_xlpm.steps)-2),0)))</f>
        <v>9</v>
      </c>
      <c r="E4409">
        <f>_xlfn.LET(_xlpm.dir,Table13[[#This Row],[Direction]],
IF(_xlpm.dir="L",
    IF(G4408-Table13[[#This Row],[Steps]]&lt;0,100+(G4408-Table13[[#This Row],[Steps]]),G4408-Table13[[#This Row],[Steps]]),
))</f>
        <v>83</v>
      </c>
      <c r="F4409">
        <f>_xlfn.LET(_xlpm.dir,Table13[[#This Row],[Direction]],
IF(_xlpm.dir="R",
    IF(G4408+Table13[[#This Row],[Steps]]&gt;99,(G4408+Table13[[#This Row],[Steps]])-100,G4408+Table13[[#This Row],[Steps]]),
))</f>
        <v>0</v>
      </c>
      <c r="G4409">
        <f>IF(Table13[[#This Row],[New Pos L]]&lt;&gt;0,Table13[[#This Row],[New Pos L]],Table13[[#This Row],[New Pos R]])</f>
        <v>83</v>
      </c>
      <c r="H4409">
        <f>IF(AND(Table13[[#This Row],[Direction]]="L",Table13[[#This Row],[Steps]]&gt;G4408,G4408&lt;&gt;0),1,0)</f>
        <v>1</v>
      </c>
      <c r="I4409">
        <f>IF(AND(Table13[[#This Row],[Direction]]="R",(G4408+Table13[[#This Row],[Steps]])&gt;100),1,0)</f>
        <v>0</v>
      </c>
      <c r="J4409">
        <f>IF(Table13[[#This Row],[POS]]=0,1,0)</f>
        <v>0</v>
      </c>
      <c r="K4409">
        <f>SUM(Table13[[#This Row],[prefix]],Table13[[#This Row],[Past zero L]],Table13[[#This Row],[Past Zero R]],Table13[[#This Row],[Is Zero]])</f>
        <v>10</v>
      </c>
    </row>
    <row r="4410" spans="1:11" ht="16" x14ac:dyDescent="0.2">
      <c r="A4410" s="1" t="s">
        <v>35</v>
      </c>
      <c r="B4410" t="str">
        <f>LEFT(Table13[[#This Row],[Input]],1)</f>
        <v>L</v>
      </c>
      <c r="C4410">
        <f>_xlfn.LET(_xlpm.steps,SUBSTITUTE(Table13[[#This Row],[Input]],Table13[[#This Row],[Direction]],""),VALUE(IF(LEN(_xlpm.steps)&gt;2,RIGHT(_xlpm.steps,2),_xlpm.steps)))</f>
        <v>2</v>
      </c>
      <c r="D4410">
        <f>_xlfn.LET(_xlpm.steps,SUBSTITUTE(Table13[[#This Row],[Input]],Table13[[#This Row],[Direction]],""),VALUE(IF(LEN(_xlpm.steps)&gt;2,LEFT(_xlpm.steps,LEN(_xlpm.steps)-2),0)))</f>
        <v>0</v>
      </c>
      <c r="E4410">
        <f>_xlfn.LET(_xlpm.dir,Table13[[#This Row],[Direction]],
IF(_xlpm.dir="L",
    IF(G4409-Table13[[#This Row],[Steps]]&lt;0,100+(G4409-Table13[[#This Row],[Steps]]),G4409-Table13[[#This Row],[Steps]]),
))</f>
        <v>81</v>
      </c>
      <c r="F4410">
        <f>_xlfn.LET(_xlpm.dir,Table13[[#This Row],[Direction]],
IF(_xlpm.dir="R",
    IF(G4409+Table13[[#This Row],[Steps]]&gt;99,(G4409+Table13[[#This Row],[Steps]])-100,G4409+Table13[[#This Row],[Steps]]),
))</f>
        <v>0</v>
      </c>
      <c r="G4410">
        <f>IF(Table13[[#This Row],[New Pos L]]&lt;&gt;0,Table13[[#This Row],[New Pos L]],Table13[[#This Row],[New Pos R]])</f>
        <v>81</v>
      </c>
      <c r="H4410">
        <f>IF(AND(Table13[[#This Row],[Direction]]="L",Table13[[#This Row],[Steps]]&gt;G4409,G4409&lt;&gt;0),1,0)</f>
        <v>0</v>
      </c>
      <c r="I4410">
        <f>IF(AND(Table13[[#This Row],[Direction]]="R",(G4409+Table13[[#This Row],[Steps]])&gt;100),1,0)</f>
        <v>0</v>
      </c>
      <c r="J4410">
        <f>IF(Table13[[#This Row],[POS]]=0,1,0)</f>
        <v>0</v>
      </c>
      <c r="K4410">
        <f>SUM(Table13[[#This Row],[prefix]],Table13[[#This Row],[Past zero L]],Table13[[#This Row],[Past Zero R]],Table13[[#This Row],[Is Zero]])</f>
        <v>0</v>
      </c>
    </row>
    <row r="4411" spans="1:11" ht="16" x14ac:dyDescent="0.2">
      <c r="A4411" s="1" t="s">
        <v>82</v>
      </c>
      <c r="B4411" t="str">
        <f>LEFT(Table13[[#This Row],[Input]],1)</f>
        <v>L</v>
      </c>
      <c r="C4411">
        <f>_xlfn.LET(_xlpm.steps,SUBSTITUTE(Table13[[#This Row],[Input]],Table13[[#This Row],[Direction]],""),VALUE(IF(LEN(_xlpm.steps)&gt;2,RIGHT(_xlpm.steps,2),_xlpm.steps)))</f>
        <v>55</v>
      </c>
      <c r="D4411">
        <f>_xlfn.LET(_xlpm.steps,SUBSTITUTE(Table13[[#This Row],[Input]],Table13[[#This Row],[Direction]],""),VALUE(IF(LEN(_xlpm.steps)&gt;2,LEFT(_xlpm.steps,LEN(_xlpm.steps)-2),0)))</f>
        <v>0</v>
      </c>
      <c r="E4411">
        <f>_xlfn.LET(_xlpm.dir,Table13[[#This Row],[Direction]],
IF(_xlpm.dir="L",
    IF(G4410-Table13[[#This Row],[Steps]]&lt;0,100+(G4410-Table13[[#This Row],[Steps]]),G4410-Table13[[#This Row],[Steps]]),
))</f>
        <v>26</v>
      </c>
      <c r="F4411">
        <f>_xlfn.LET(_xlpm.dir,Table13[[#This Row],[Direction]],
IF(_xlpm.dir="R",
    IF(G4410+Table13[[#This Row],[Steps]]&gt;99,(G4410+Table13[[#This Row],[Steps]])-100,G4410+Table13[[#This Row],[Steps]]),
))</f>
        <v>0</v>
      </c>
      <c r="G4411">
        <f>IF(Table13[[#This Row],[New Pos L]]&lt;&gt;0,Table13[[#This Row],[New Pos L]],Table13[[#This Row],[New Pos R]])</f>
        <v>26</v>
      </c>
      <c r="H4411">
        <f>IF(AND(Table13[[#This Row],[Direction]]="L",Table13[[#This Row],[Steps]]&gt;G4410,G4410&lt;&gt;0),1,0)</f>
        <v>0</v>
      </c>
      <c r="I4411">
        <f>IF(AND(Table13[[#This Row],[Direction]]="R",(G4410+Table13[[#This Row],[Steps]])&gt;100),1,0)</f>
        <v>0</v>
      </c>
      <c r="J4411">
        <f>IF(Table13[[#This Row],[POS]]=0,1,0)</f>
        <v>0</v>
      </c>
      <c r="K4411">
        <f>SUM(Table13[[#This Row],[prefix]],Table13[[#This Row],[Past zero L]],Table13[[#This Row],[Past Zero R]],Table13[[#This Row],[Is Zero]])</f>
        <v>0</v>
      </c>
    </row>
    <row r="4412" spans="1:11" ht="16" x14ac:dyDescent="0.2">
      <c r="A4412" s="1" t="s">
        <v>108</v>
      </c>
      <c r="B4412" t="str">
        <f>LEFT(Table13[[#This Row],[Input]],1)</f>
        <v>R</v>
      </c>
      <c r="C4412">
        <f>_xlfn.LET(_xlpm.steps,SUBSTITUTE(Table13[[#This Row],[Input]],Table13[[#This Row],[Direction]],""),VALUE(IF(LEN(_xlpm.steps)&gt;2,RIGHT(_xlpm.steps,2),_xlpm.steps)))</f>
        <v>66</v>
      </c>
      <c r="D4412">
        <f>_xlfn.LET(_xlpm.steps,SUBSTITUTE(Table13[[#This Row],[Input]],Table13[[#This Row],[Direction]],""),VALUE(IF(LEN(_xlpm.steps)&gt;2,LEFT(_xlpm.steps,LEN(_xlpm.steps)-2),0)))</f>
        <v>0</v>
      </c>
      <c r="E4412">
        <f>_xlfn.LET(_xlpm.dir,Table13[[#This Row],[Direction]],
IF(_xlpm.dir="L",
    IF(G4411-Table13[[#This Row],[Steps]]&lt;0,100+(G4411-Table13[[#This Row],[Steps]]),G4411-Table13[[#This Row],[Steps]]),
))</f>
        <v>0</v>
      </c>
      <c r="F4412">
        <f>_xlfn.LET(_xlpm.dir,Table13[[#This Row],[Direction]],
IF(_xlpm.dir="R",
    IF(G4411+Table13[[#This Row],[Steps]]&gt;99,(G4411+Table13[[#This Row],[Steps]])-100,G4411+Table13[[#This Row],[Steps]]),
))</f>
        <v>92</v>
      </c>
      <c r="G4412">
        <f>IF(Table13[[#This Row],[New Pos L]]&lt;&gt;0,Table13[[#This Row],[New Pos L]],Table13[[#This Row],[New Pos R]])</f>
        <v>92</v>
      </c>
      <c r="H4412">
        <f>IF(AND(Table13[[#This Row],[Direction]]="L",Table13[[#This Row],[Steps]]&gt;G4411,G4411&lt;&gt;0),1,0)</f>
        <v>0</v>
      </c>
      <c r="I4412">
        <f>IF(AND(Table13[[#This Row],[Direction]]="R",(G4411+Table13[[#This Row],[Steps]])&gt;100),1,0)</f>
        <v>0</v>
      </c>
      <c r="J4412">
        <f>IF(Table13[[#This Row],[POS]]=0,1,0)</f>
        <v>0</v>
      </c>
      <c r="K4412">
        <f>SUM(Table13[[#This Row],[prefix]],Table13[[#This Row],[Past zero L]],Table13[[#This Row],[Past Zero R]],Table13[[#This Row],[Is Zero]])</f>
        <v>0</v>
      </c>
    </row>
    <row r="4413" spans="1:11" ht="16" x14ac:dyDescent="0.2">
      <c r="A4413" s="1" t="s">
        <v>878</v>
      </c>
      <c r="B4413" t="str">
        <f>LEFT(Table13[[#This Row],[Input]],1)</f>
        <v>L</v>
      </c>
      <c r="C4413">
        <f>_xlfn.LET(_xlpm.steps,SUBSTITUTE(Table13[[#This Row],[Input]],Table13[[#This Row],[Direction]],""),VALUE(IF(LEN(_xlpm.steps)&gt;2,RIGHT(_xlpm.steps,2),_xlpm.steps)))</f>
        <v>73</v>
      </c>
      <c r="D4413">
        <f>_xlfn.LET(_xlpm.steps,SUBSTITUTE(Table13[[#This Row],[Input]],Table13[[#This Row],[Direction]],""),VALUE(IF(LEN(_xlpm.steps)&gt;2,LEFT(_xlpm.steps,LEN(_xlpm.steps)-2),0)))</f>
        <v>7</v>
      </c>
      <c r="E4413">
        <f>_xlfn.LET(_xlpm.dir,Table13[[#This Row],[Direction]],
IF(_xlpm.dir="L",
    IF(G4412-Table13[[#This Row],[Steps]]&lt;0,100+(G4412-Table13[[#This Row],[Steps]]),G4412-Table13[[#This Row],[Steps]]),
))</f>
        <v>19</v>
      </c>
      <c r="F4413">
        <f>_xlfn.LET(_xlpm.dir,Table13[[#This Row],[Direction]],
IF(_xlpm.dir="R",
    IF(G4412+Table13[[#This Row],[Steps]]&gt;99,(G4412+Table13[[#This Row],[Steps]])-100,G4412+Table13[[#This Row],[Steps]]),
))</f>
        <v>0</v>
      </c>
      <c r="G4413">
        <f>IF(Table13[[#This Row],[New Pos L]]&lt;&gt;0,Table13[[#This Row],[New Pos L]],Table13[[#This Row],[New Pos R]])</f>
        <v>19</v>
      </c>
      <c r="H4413">
        <f>IF(AND(Table13[[#This Row],[Direction]]="L",Table13[[#This Row],[Steps]]&gt;G4412,G4412&lt;&gt;0),1,0)</f>
        <v>0</v>
      </c>
      <c r="I4413">
        <f>IF(AND(Table13[[#This Row],[Direction]]="R",(G4412+Table13[[#This Row],[Steps]])&gt;100),1,0)</f>
        <v>0</v>
      </c>
      <c r="J4413">
        <f>IF(Table13[[#This Row],[POS]]=0,1,0)</f>
        <v>0</v>
      </c>
      <c r="K4413">
        <f>SUM(Table13[[#This Row],[prefix]],Table13[[#This Row],[Past zero L]],Table13[[#This Row],[Past Zero R]],Table13[[#This Row],[Is Zero]])</f>
        <v>7</v>
      </c>
    </row>
    <row r="4414" spans="1:11" ht="16" x14ac:dyDescent="0.2">
      <c r="A4414" s="1" t="s">
        <v>88</v>
      </c>
      <c r="B4414" t="str">
        <f>LEFT(Table13[[#This Row],[Input]],1)</f>
        <v>R</v>
      </c>
      <c r="C4414">
        <f>_xlfn.LET(_xlpm.steps,SUBSTITUTE(Table13[[#This Row],[Input]],Table13[[#This Row],[Direction]],""),VALUE(IF(LEN(_xlpm.steps)&gt;2,RIGHT(_xlpm.steps,2),_xlpm.steps)))</f>
        <v>53</v>
      </c>
      <c r="D4414">
        <f>_xlfn.LET(_xlpm.steps,SUBSTITUTE(Table13[[#This Row],[Input]],Table13[[#This Row],[Direction]],""),VALUE(IF(LEN(_xlpm.steps)&gt;2,LEFT(_xlpm.steps,LEN(_xlpm.steps)-2),0)))</f>
        <v>0</v>
      </c>
      <c r="E4414">
        <f>_xlfn.LET(_xlpm.dir,Table13[[#This Row],[Direction]],
IF(_xlpm.dir="L",
    IF(G4413-Table13[[#This Row],[Steps]]&lt;0,100+(G4413-Table13[[#This Row],[Steps]]),G4413-Table13[[#This Row],[Steps]]),
))</f>
        <v>0</v>
      </c>
      <c r="F4414">
        <f>_xlfn.LET(_xlpm.dir,Table13[[#This Row],[Direction]],
IF(_xlpm.dir="R",
    IF(G4413+Table13[[#This Row],[Steps]]&gt;99,(G4413+Table13[[#This Row],[Steps]])-100,G4413+Table13[[#This Row],[Steps]]),
))</f>
        <v>72</v>
      </c>
      <c r="G4414">
        <f>IF(Table13[[#This Row],[New Pos L]]&lt;&gt;0,Table13[[#This Row],[New Pos L]],Table13[[#This Row],[New Pos R]])</f>
        <v>72</v>
      </c>
      <c r="H4414">
        <f>IF(AND(Table13[[#This Row],[Direction]]="L",Table13[[#This Row],[Steps]]&gt;G4413,G4413&lt;&gt;0),1,0)</f>
        <v>0</v>
      </c>
      <c r="I4414">
        <f>IF(AND(Table13[[#This Row],[Direction]]="R",(G4413+Table13[[#This Row],[Steps]])&gt;100),1,0)</f>
        <v>0</v>
      </c>
      <c r="J4414">
        <f>IF(Table13[[#This Row],[POS]]=0,1,0)</f>
        <v>0</v>
      </c>
      <c r="K4414">
        <f>SUM(Table13[[#This Row],[prefix]],Table13[[#This Row],[Past zero L]],Table13[[#This Row],[Past Zero R]],Table13[[#This Row],[Is Zero]])</f>
        <v>0</v>
      </c>
    </row>
    <row r="4415" spans="1:11" ht="16" x14ac:dyDescent="0.2">
      <c r="A4415" s="1" t="s">
        <v>879</v>
      </c>
      <c r="B4415" t="str">
        <f>LEFT(Table13[[#This Row],[Input]],1)</f>
        <v>R</v>
      </c>
      <c r="C4415">
        <f>_xlfn.LET(_xlpm.steps,SUBSTITUTE(Table13[[#This Row],[Input]],Table13[[#This Row],[Direction]],""),VALUE(IF(LEN(_xlpm.steps)&gt;2,RIGHT(_xlpm.steps,2),_xlpm.steps)))</f>
        <v>28</v>
      </c>
      <c r="D4415">
        <f>_xlfn.LET(_xlpm.steps,SUBSTITUTE(Table13[[#This Row],[Input]],Table13[[#This Row],[Direction]],""),VALUE(IF(LEN(_xlpm.steps)&gt;2,LEFT(_xlpm.steps,LEN(_xlpm.steps)-2),0)))</f>
        <v>4</v>
      </c>
      <c r="E4415">
        <f>_xlfn.LET(_xlpm.dir,Table13[[#This Row],[Direction]],
IF(_xlpm.dir="L",
    IF(G4414-Table13[[#This Row],[Steps]]&lt;0,100+(G4414-Table13[[#This Row],[Steps]]),G4414-Table13[[#This Row],[Steps]]),
))</f>
        <v>0</v>
      </c>
      <c r="F4415">
        <f>_xlfn.LET(_xlpm.dir,Table13[[#This Row],[Direction]],
IF(_xlpm.dir="R",
    IF(G4414+Table13[[#This Row],[Steps]]&gt;99,(G4414+Table13[[#This Row],[Steps]])-100,G4414+Table13[[#This Row],[Steps]]),
))</f>
        <v>0</v>
      </c>
      <c r="G4415">
        <f>IF(Table13[[#This Row],[New Pos L]]&lt;&gt;0,Table13[[#This Row],[New Pos L]],Table13[[#This Row],[New Pos R]])</f>
        <v>0</v>
      </c>
      <c r="H4415">
        <f>IF(AND(Table13[[#This Row],[Direction]]="L",Table13[[#This Row],[Steps]]&gt;G4414,G4414&lt;&gt;0),1,0)</f>
        <v>0</v>
      </c>
      <c r="I4415">
        <f>IF(AND(Table13[[#This Row],[Direction]]="R",(G4414+Table13[[#This Row],[Steps]])&gt;100),1,0)</f>
        <v>0</v>
      </c>
      <c r="J4415">
        <f>IF(Table13[[#This Row],[POS]]=0,1,0)</f>
        <v>1</v>
      </c>
      <c r="K4415">
        <f>SUM(Table13[[#This Row],[prefix]],Table13[[#This Row],[Past zero L]],Table13[[#This Row],[Past Zero R]],Table13[[#This Row],[Is Zero]])</f>
        <v>5</v>
      </c>
    </row>
    <row r="4416" spans="1:11" ht="16" x14ac:dyDescent="0.2">
      <c r="A4416" s="1" t="s">
        <v>181</v>
      </c>
      <c r="B4416" t="str">
        <f>LEFT(Table13[[#This Row],[Input]],1)</f>
        <v>L</v>
      </c>
      <c r="C4416">
        <f>_xlfn.LET(_xlpm.steps,SUBSTITUTE(Table13[[#This Row],[Input]],Table13[[#This Row],[Direction]],""),VALUE(IF(LEN(_xlpm.steps)&gt;2,RIGHT(_xlpm.steps,2),_xlpm.steps)))</f>
        <v>53</v>
      </c>
      <c r="D4416">
        <f>_xlfn.LET(_xlpm.steps,SUBSTITUTE(Table13[[#This Row],[Input]],Table13[[#This Row],[Direction]],""),VALUE(IF(LEN(_xlpm.steps)&gt;2,LEFT(_xlpm.steps,LEN(_xlpm.steps)-2),0)))</f>
        <v>0</v>
      </c>
      <c r="E4416">
        <f>_xlfn.LET(_xlpm.dir,Table13[[#This Row],[Direction]],
IF(_xlpm.dir="L",
    IF(G4415-Table13[[#This Row],[Steps]]&lt;0,100+(G4415-Table13[[#This Row],[Steps]]),G4415-Table13[[#This Row],[Steps]]),
))</f>
        <v>47</v>
      </c>
      <c r="F4416">
        <f>_xlfn.LET(_xlpm.dir,Table13[[#This Row],[Direction]],
IF(_xlpm.dir="R",
    IF(G4415+Table13[[#This Row],[Steps]]&gt;99,(G4415+Table13[[#This Row],[Steps]])-100,G4415+Table13[[#This Row],[Steps]]),
))</f>
        <v>0</v>
      </c>
      <c r="G4416">
        <f>IF(Table13[[#This Row],[New Pos L]]&lt;&gt;0,Table13[[#This Row],[New Pos L]],Table13[[#This Row],[New Pos R]])</f>
        <v>47</v>
      </c>
      <c r="H4416">
        <f>IF(AND(Table13[[#This Row],[Direction]]="L",Table13[[#This Row],[Steps]]&gt;G4415,G4415&lt;&gt;0),1,0)</f>
        <v>0</v>
      </c>
      <c r="I4416">
        <f>IF(AND(Table13[[#This Row],[Direction]]="R",(G4415+Table13[[#This Row],[Steps]])&gt;100),1,0)</f>
        <v>0</v>
      </c>
      <c r="J4416">
        <f>IF(Table13[[#This Row],[POS]]=0,1,0)</f>
        <v>0</v>
      </c>
      <c r="K4416">
        <f>SUM(Table13[[#This Row],[prefix]],Table13[[#This Row],[Past zero L]],Table13[[#This Row],[Past Zero R]],Table13[[#This Row],[Is Zero]])</f>
        <v>0</v>
      </c>
    </row>
    <row r="4417" spans="1:11" ht="16" x14ac:dyDescent="0.2">
      <c r="A4417" s="1" t="s">
        <v>102</v>
      </c>
      <c r="B4417" t="str">
        <f>LEFT(Table13[[#This Row],[Input]],1)</f>
        <v>R</v>
      </c>
      <c r="C4417">
        <f>_xlfn.LET(_xlpm.steps,SUBSTITUTE(Table13[[#This Row],[Input]],Table13[[#This Row],[Direction]],""),VALUE(IF(LEN(_xlpm.steps)&gt;2,RIGHT(_xlpm.steps,2),_xlpm.steps)))</f>
        <v>39</v>
      </c>
      <c r="D4417">
        <f>_xlfn.LET(_xlpm.steps,SUBSTITUTE(Table13[[#This Row],[Input]],Table13[[#This Row],[Direction]],""),VALUE(IF(LEN(_xlpm.steps)&gt;2,LEFT(_xlpm.steps,LEN(_xlpm.steps)-2),0)))</f>
        <v>0</v>
      </c>
      <c r="E4417">
        <f>_xlfn.LET(_xlpm.dir,Table13[[#This Row],[Direction]],
IF(_xlpm.dir="L",
    IF(G4416-Table13[[#This Row],[Steps]]&lt;0,100+(G4416-Table13[[#This Row],[Steps]]),G4416-Table13[[#This Row],[Steps]]),
))</f>
        <v>0</v>
      </c>
      <c r="F4417">
        <f>_xlfn.LET(_xlpm.dir,Table13[[#This Row],[Direction]],
IF(_xlpm.dir="R",
    IF(G4416+Table13[[#This Row],[Steps]]&gt;99,(G4416+Table13[[#This Row],[Steps]])-100,G4416+Table13[[#This Row],[Steps]]),
))</f>
        <v>86</v>
      </c>
      <c r="G4417">
        <f>IF(Table13[[#This Row],[New Pos L]]&lt;&gt;0,Table13[[#This Row],[New Pos L]],Table13[[#This Row],[New Pos R]])</f>
        <v>86</v>
      </c>
      <c r="H4417">
        <f>IF(AND(Table13[[#This Row],[Direction]]="L",Table13[[#This Row],[Steps]]&gt;G4416,G4416&lt;&gt;0),1,0)</f>
        <v>0</v>
      </c>
      <c r="I4417">
        <f>IF(AND(Table13[[#This Row],[Direction]]="R",(G4416+Table13[[#This Row],[Steps]])&gt;100),1,0)</f>
        <v>0</v>
      </c>
      <c r="J4417">
        <f>IF(Table13[[#This Row],[POS]]=0,1,0)</f>
        <v>0</v>
      </c>
      <c r="K4417">
        <f>SUM(Table13[[#This Row],[prefix]],Table13[[#This Row],[Past zero L]],Table13[[#This Row],[Past Zero R]],Table13[[#This Row],[Is Zero]])</f>
        <v>0</v>
      </c>
    </row>
    <row r="4418" spans="1:11" ht="16" x14ac:dyDescent="0.2">
      <c r="A4418" s="1" t="s">
        <v>880</v>
      </c>
      <c r="B4418" t="str">
        <f>LEFT(Table13[[#This Row],[Input]],1)</f>
        <v>R</v>
      </c>
      <c r="C4418">
        <f>_xlfn.LET(_xlpm.steps,SUBSTITUTE(Table13[[#This Row],[Input]],Table13[[#This Row],[Direction]],""),VALUE(IF(LEN(_xlpm.steps)&gt;2,RIGHT(_xlpm.steps,2),_xlpm.steps)))</f>
        <v>99</v>
      </c>
      <c r="D4418">
        <f>_xlfn.LET(_xlpm.steps,SUBSTITUTE(Table13[[#This Row],[Input]],Table13[[#This Row],[Direction]],""),VALUE(IF(LEN(_xlpm.steps)&gt;2,LEFT(_xlpm.steps,LEN(_xlpm.steps)-2),0)))</f>
        <v>8</v>
      </c>
      <c r="E4418">
        <f>_xlfn.LET(_xlpm.dir,Table13[[#This Row],[Direction]],
IF(_xlpm.dir="L",
    IF(G4417-Table13[[#This Row],[Steps]]&lt;0,100+(G4417-Table13[[#This Row],[Steps]]),G4417-Table13[[#This Row],[Steps]]),
))</f>
        <v>0</v>
      </c>
      <c r="F4418">
        <f>_xlfn.LET(_xlpm.dir,Table13[[#This Row],[Direction]],
IF(_xlpm.dir="R",
    IF(G4417+Table13[[#This Row],[Steps]]&gt;99,(G4417+Table13[[#This Row],[Steps]])-100,G4417+Table13[[#This Row],[Steps]]),
))</f>
        <v>85</v>
      </c>
      <c r="G4418">
        <f>IF(Table13[[#This Row],[New Pos L]]&lt;&gt;0,Table13[[#This Row],[New Pos L]],Table13[[#This Row],[New Pos R]])</f>
        <v>85</v>
      </c>
      <c r="H4418">
        <f>IF(AND(Table13[[#This Row],[Direction]]="L",Table13[[#This Row],[Steps]]&gt;G4417,G4417&lt;&gt;0),1,0)</f>
        <v>0</v>
      </c>
      <c r="I4418">
        <f>IF(AND(Table13[[#This Row],[Direction]]="R",(G4417+Table13[[#This Row],[Steps]])&gt;100),1,0)</f>
        <v>1</v>
      </c>
      <c r="J4418">
        <f>IF(Table13[[#This Row],[POS]]=0,1,0)</f>
        <v>0</v>
      </c>
      <c r="K4418">
        <f>SUM(Table13[[#This Row],[prefix]],Table13[[#This Row],[Past zero L]],Table13[[#This Row],[Past Zero R]],Table13[[#This Row],[Is Zero]])</f>
        <v>9</v>
      </c>
    </row>
    <row r="4419" spans="1:11" ht="16" x14ac:dyDescent="0.2">
      <c r="A4419" s="1" t="s">
        <v>881</v>
      </c>
      <c r="B4419" t="str">
        <f>LEFT(Table13[[#This Row],[Input]],1)</f>
        <v>L</v>
      </c>
      <c r="C4419">
        <f>_xlfn.LET(_xlpm.steps,SUBSTITUTE(Table13[[#This Row],[Input]],Table13[[#This Row],[Direction]],""),VALUE(IF(LEN(_xlpm.steps)&gt;2,RIGHT(_xlpm.steps,2),_xlpm.steps)))</f>
        <v>85</v>
      </c>
      <c r="D4419">
        <f>_xlfn.LET(_xlpm.steps,SUBSTITUTE(Table13[[#This Row],[Input]],Table13[[#This Row],[Direction]],""),VALUE(IF(LEN(_xlpm.steps)&gt;2,LEFT(_xlpm.steps,LEN(_xlpm.steps)-2),0)))</f>
        <v>1</v>
      </c>
      <c r="E4419">
        <f>_xlfn.LET(_xlpm.dir,Table13[[#This Row],[Direction]],
IF(_xlpm.dir="L",
    IF(G4418-Table13[[#This Row],[Steps]]&lt;0,100+(G4418-Table13[[#This Row],[Steps]]),G4418-Table13[[#This Row],[Steps]]),
))</f>
        <v>0</v>
      </c>
      <c r="F4419">
        <f>_xlfn.LET(_xlpm.dir,Table13[[#This Row],[Direction]],
IF(_xlpm.dir="R",
    IF(G4418+Table13[[#This Row],[Steps]]&gt;99,(G4418+Table13[[#This Row],[Steps]])-100,G4418+Table13[[#This Row],[Steps]]),
))</f>
        <v>0</v>
      </c>
      <c r="G4419">
        <f>IF(Table13[[#This Row],[New Pos L]]&lt;&gt;0,Table13[[#This Row],[New Pos L]],Table13[[#This Row],[New Pos R]])</f>
        <v>0</v>
      </c>
      <c r="H4419">
        <f>IF(AND(Table13[[#This Row],[Direction]]="L",Table13[[#This Row],[Steps]]&gt;G4418,G4418&lt;&gt;0),1,0)</f>
        <v>0</v>
      </c>
      <c r="I4419">
        <f>IF(AND(Table13[[#This Row],[Direction]]="R",(G4418+Table13[[#This Row],[Steps]])&gt;100),1,0)</f>
        <v>0</v>
      </c>
      <c r="J4419">
        <f>IF(Table13[[#This Row],[POS]]=0,1,0)</f>
        <v>1</v>
      </c>
      <c r="K4419">
        <f>SUM(Table13[[#This Row],[prefix]],Table13[[#This Row],[Past zero L]],Table13[[#This Row],[Past Zero R]],Table13[[#This Row],[Is Zero]])</f>
        <v>2</v>
      </c>
    </row>
    <row r="4420" spans="1:11" ht="16" x14ac:dyDescent="0.2">
      <c r="A4420" s="1" t="s">
        <v>84</v>
      </c>
      <c r="B4420" t="str">
        <f>LEFT(Table13[[#This Row],[Input]],1)</f>
        <v>R</v>
      </c>
      <c r="C4420">
        <f>_xlfn.LET(_xlpm.steps,SUBSTITUTE(Table13[[#This Row],[Input]],Table13[[#This Row],[Direction]],""),VALUE(IF(LEN(_xlpm.steps)&gt;2,RIGHT(_xlpm.steps,2),_xlpm.steps)))</f>
        <v>88</v>
      </c>
      <c r="D4420">
        <f>_xlfn.LET(_xlpm.steps,SUBSTITUTE(Table13[[#This Row],[Input]],Table13[[#This Row],[Direction]],""),VALUE(IF(LEN(_xlpm.steps)&gt;2,LEFT(_xlpm.steps,LEN(_xlpm.steps)-2),0)))</f>
        <v>0</v>
      </c>
      <c r="E4420">
        <f>_xlfn.LET(_xlpm.dir,Table13[[#This Row],[Direction]],
IF(_xlpm.dir="L",
    IF(G4419-Table13[[#This Row],[Steps]]&lt;0,100+(G4419-Table13[[#This Row],[Steps]]),G4419-Table13[[#This Row],[Steps]]),
))</f>
        <v>0</v>
      </c>
      <c r="F4420">
        <f>_xlfn.LET(_xlpm.dir,Table13[[#This Row],[Direction]],
IF(_xlpm.dir="R",
    IF(G4419+Table13[[#This Row],[Steps]]&gt;99,(G4419+Table13[[#This Row],[Steps]])-100,G4419+Table13[[#This Row],[Steps]]),
))</f>
        <v>88</v>
      </c>
      <c r="G4420">
        <f>IF(Table13[[#This Row],[New Pos L]]&lt;&gt;0,Table13[[#This Row],[New Pos L]],Table13[[#This Row],[New Pos R]])</f>
        <v>88</v>
      </c>
      <c r="H4420">
        <f>IF(AND(Table13[[#This Row],[Direction]]="L",Table13[[#This Row],[Steps]]&gt;G4419,G4419&lt;&gt;0),1,0)</f>
        <v>0</v>
      </c>
      <c r="I4420">
        <f>IF(AND(Table13[[#This Row],[Direction]]="R",(G4419+Table13[[#This Row],[Steps]])&gt;100),1,0)</f>
        <v>0</v>
      </c>
      <c r="J4420">
        <f>IF(Table13[[#This Row],[POS]]=0,1,0)</f>
        <v>0</v>
      </c>
      <c r="K4420">
        <f>SUM(Table13[[#This Row],[prefix]],Table13[[#This Row],[Past zero L]],Table13[[#This Row],[Past Zero R]],Table13[[#This Row],[Is Zero]])</f>
        <v>0</v>
      </c>
    </row>
    <row r="4421" spans="1:11" ht="16" x14ac:dyDescent="0.2">
      <c r="A4421" s="1" t="s">
        <v>882</v>
      </c>
      <c r="B4421" t="str">
        <f>LEFT(Table13[[#This Row],[Input]],1)</f>
        <v>L</v>
      </c>
      <c r="C4421">
        <f>_xlfn.LET(_xlpm.steps,SUBSTITUTE(Table13[[#This Row],[Input]],Table13[[#This Row],[Direction]],""),VALUE(IF(LEN(_xlpm.steps)&gt;2,RIGHT(_xlpm.steps,2),_xlpm.steps)))</f>
        <v>3</v>
      </c>
      <c r="D4421">
        <f>_xlfn.LET(_xlpm.steps,SUBSTITUTE(Table13[[#This Row],[Input]],Table13[[#This Row],[Direction]],""),VALUE(IF(LEN(_xlpm.steps)&gt;2,LEFT(_xlpm.steps,LEN(_xlpm.steps)-2),0)))</f>
        <v>2</v>
      </c>
      <c r="E4421">
        <f>_xlfn.LET(_xlpm.dir,Table13[[#This Row],[Direction]],
IF(_xlpm.dir="L",
    IF(G4420-Table13[[#This Row],[Steps]]&lt;0,100+(G4420-Table13[[#This Row],[Steps]]),G4420-Table13[[#This Row],[Steps]]),
))</f>
        <v>85</v>
      </c>
      <c r="F4421">
        <f>_xlfn.LET(_xlpm.dir,Table13[[#This Row],[Direction]],
IF(_xlpm.dir="R",
    IF(G4420+Table13[[#This Row],[Steps]]&gt;99,(G4420+Table13[[#This Row],[Steps]])-100,G4420+Table13[[#This Row],[Steps]]),
))</f>
        <v>0</v>
      </c>
      <c r="G4421">
        <f>IF(Table13[[#This Row],[New Pos L]]&lt;&gt;0,Table13[[#This Row],[New Pos L]],Table13[[#This Row],[New Pos R]])</f>
        <v>85</v>
      </c>
      <c r="H4421">
        <f>IF(AND(Table13[[#This Row],[Direction]]="L",Table13[[#This Row],[Steps]]&gt;G4420,G4420&lt;&gt;0),1,0)</f>
        <v>0</v>
      </c>
      <c r="I4421">
        <f>IF(AND(Table13[[#This Row],[Direction]]="R",(G4420+Table13[[#This Row],[Steps]])&gt;100),1,0)</f>
        <v>0</v>
      </c>
      <c r="J4421">
        <f>IF(Table13[[#This Row],[POS]]=0,1,0)</f>
        <v>0</v>
      </c>
      <c r="K4421">
        <f>SUM(Table13[[#This Row],[prefix]],Table13[[#This Row],[Past zero L]],Table13[[#This Row],[Past Zero R]],Table13[[#This Row],[Is Zero]])</f>
        <v>2</v>
      </c>
    </row>
    <row r="4422" spans="1:11" ht="16" x14ac:dyDescent="0.2">
      <c r="A4422" s="1" t="s">
        <v>260</v>
      </c>
      <c r="B4422" t="str">
        <f>LEFT(Table13[[#This Row],[Input]],1)</f>
        <v>L</v>
      </c>
      <c r="C4422">
        <f>_xlfn.LET(_xlpm.steps,SUBSTITUTE(Table13[[#This Row],[Input]],Table13[[#This Row],[Direction]],""),VALUE(IF(LEN(_xlpm.steps)&gt;2,RIGHT(_xlpm.steps,2),_xlpm.steps)))</f>
        <v>85</v>
      </c>
      <c r="D4422">
        <f>_xlfn.LET(_xlpm.steps,SUBSTITUTE(Table13[[#This Row],[Input]],Table13[[#This Row],[Direction]],""),VALUE(IF(LEN(_xlpm.steps)&gt;2,LEFT(_xlpm.steps,LEN(_xlpm.steps)-2),0)))</f>
        <v>0</v>
      </c>
      <c r="E4422">
        <f>_xlfn.LET(_xlpm.dir,Table13[[#This Row],[Direction]],
IF(_xlpm.dir="L",
    IF(G4421-Table13[[#This Row],[Steps]]&lt;0,100+(G4421-Table13[[#This Row],[Steps]]),G4421-Table13[[#This Row],[Steps]]),
))</f>
        <v>0</v>
      </c>
      <c r="F4422">
        <f>_xlfn.LET(_xlpm.dir,Table13[[#This Row],[Direction]],
IF(_xlpm.dir="R",
    IF(G4421+Table13[[#This Row],[Steps]]&gt;99,(G4421+Table13[[#This Row],[Steps]])-100,G4421+Table13[[#This Row],[Steps]]),
))</f>
        <v>0</v>
      </c>
      <c r="G4422">
        <f>IF(Table13[[#This Row],[New Pos L]]&lt;&gt;0,Table13[[#This Row],[New Pos L]],Table13[[#This Row],[New Pos R]])</f>
        <v>0</v>
      </c>
      <c r="H4422">
        <f>IF(AND(Table13[[#This Row],[Direction]]="L",Table13[[#This Row],[Steps]]&gt;G4421,G4421&lt;&gt;0),1,0)</f>
        <v>0</v>
      </c>
      <c r="I4422">
        <f>IF(AND(Table13[[#This Row],[Direction]]="R",(G4421+Table13[[#This Row],[Steps]])&gt;100),1,0)</f>
        <v>0</v>
      </c>
      <c r="J4422">
        <f>IF(Table13[[#This Row],[POS]]=0,1,0)</f>
        <v>1</v>
      </c>
      <c r="K4422">
        <f>SUM(Table13[[#This Row],[prefix]],Table13[[#This Row],[Past zero L]],Table13[[#This Row],[Past Zero R]],Table13[[#This Row],[Is Zero]])</f>
        <v>1</v>
      </c>
    </row>
    <row r="4423" spans="1:11" ht="16" x14ac:dyDescent="0.2">
      <c r="A4423" s="1" t="s">
        <v>88</v>
      </c>
      <c r="B4423" t="str">
        <f>LEFT(Table13[[#This Row],[Input]],1)</f>
        <v>R</v>
      </c>
      <c r="C4423">
        <f>_xlfn.LET(_xlpm.steps,SUBSTITUTE(Table13[[#This Row],[Input]],Table13[[#This Row],[Direction]],""),VALUE(IF(LEN(_xlpm.steps)&gt;2,RIGHT(_xlpm.steps,2),_xlpm.steps)))</f>
        <v>53</v>
      </c>
      <c r="D4423">
        <f>_xlfn.LET(_xlpm.steps,SUBSTITUTE(Table13[[#This Row],[Input]],Table13[[#This Row],[Direction]],""),VALUE(IF(LEN(_xlpm.steps)&gt;2,LEFT(_xlpm.steps,LEN(_xlpm.steps)-2),0)))</f>
        <v>0</v>
      </c>
      <c r="E4423">
        <f>_xlfn.LET(_xlpm.dir,Table13[[#This Row],[Direction]],
IF(_xlpm.dir="L",
    IF(G4422-Table13[[#This Row],[Steps]]&lt;0,100+(G4422-Table13[[#This Row],[Steps]]),G4422-Table13[[#This Row],[Steps]]),
))</f>
        <v>0</v>
      </c>
      <c r="F4423">
        <f>_xlfn.LET(_xlpm.dir,Table13[[#This Row],[Direction]],
IF(_xlpm.dir="R",
    IF(G4422+Table13[[#This Row],[Steps]]&gt;99,(G4422+Table13[[#This Row],[Steps]])-100,G4422+Table13[[#This Row],[Steps]]),
))</f>
        <v>53</v>
      </c>
      <c r="G4423">
        <f>IF(Table13[[#This Row],[New Pos L]]&lt;&gt;0,Table13[[#This Row],[New Pos L]],Table13[[#This Row],[New Pos R]])</f>
        <v>53</v>
      </c>
      <c r="H4423">
        <f>IF(AND(Table13[[#This Row],[Direction]]="L",Table13[[#This Row],[Steps]]&gt;G4422,G4422&lt;&gt;0),1,0)</f>
        <v>0</v>
      </c>
      <c r="I4423">
        <f>IF(AND(Table13[[#This Row],[Direction]]="R",(G4422+Table13[[#This Row],[Steps]])&gt;100),1,0)</f>
        <v>0</v>
      </c>
      <c r="J4423">
        <f>IF(Table13[[#This Row],[POS]]=0,1,0)</f>
        <v>0</v>
      </c>
      <c r="K4423">
        <f>SUM(Table13[[#This Row],[prefix]],Table13[[#This Row],[Past zero L]],Table13[[#This Row],[Past Zero R]],Table13[[#This Row],[Is Zero]])</f>
        <v>0</v>
      </c>
    </row>
    <row r="4424" spans="1:11" ht="16" x14ac:dyDescent="0.2">
      <c r="A4424" s="1" t="s">
        <v>115</v>
      </c>
      <c r="B4424" t="str">
        <f>LEFT(Table13[[#This Row],[Input]],1)</f>
        <v>L</v>
      </c>
      <c r="C4424">
        <f>_xlfn.LET(_xlpm.steps,SUBSTITUTE(Table13[[#This Row],[Input]],Table13[[#This Row],[Direction]],""),VALUE(IF(LEN(_xlpm.steps)&gt;2,RIGHT(_xlpm.steps,2),_xlpm.steps)))</f>
        <v>29</v>
      </c>
      <c r="D4424">
        <f>_xlfn.LET(_xlpm.steps,SUBSTITUTE(Table13[[#This Row],[Input]],Table13[[#This Row],[Direction]],""),VALUE(IF(LEN(_xlpm.steps)&gt;2,LEFT(_xlpm.steps,LEN(_xlpm.steps)-2),0)))</f>
        <v>0</v>
      </c>
      <c r="E4424">
        <f>_xlfn.LET(_xlpm.dir,Table13[[#This Row],[Direction]],
IF(_xlpm.dir="L",
    IF(G4423-Table13[[#This Row],[Steps]]&lt;0,100+(G4423-Table13[[#This Row],[Steps]]),G4423-Table13[[#This Row],[Steps]]),
))</f>
        <v>24</v>
      </c>
      <c r="F4424">
        <f>_xlfn.LET(_xlpm.dir,Table13[[#This Row],[Direction]],
IF(_xlpm.dir="R",
    IF(G4423+Table13[[#This Row],[Steps]]&gt;99,(G4423+Table13[[#This Row],[Steps]])-100,G4423+Table13[[#This Row],[Steps]]),
))</f>
        <v>0</v>
      </c>
      <c r="G4424">
        <f>IF(Table13[[#This Row],[New Pos L]]&lt;&gt;0,Table13[[#This Row],[New Pos L]],Table13[[#This Row],[New Pos R]])</f>
        <v>24</v>
      </c>
      <c r="H4424">
        <f>IF(AND(Table13[[#This Row],[Direction]]="L",Table13[[#This Row],[Steps]]&gt;G4423,G4423&lt;&gt;0),1,0)</f>
        <v>0</v>
      </c>
      <c r="I4424">
        <f>IF(AND(Table13[[#This Row],[Direction]]="R",(G4423+Table13[[#This Row],[Steps]])&gt;100),1,0)</f>
        <v>0</v>
      </c>
      <c r="J4424">
        <f>IF(Table13[[#This Row],[POS]]=0,1,0)</f>
        <v>0</v>
      </c>
      <c r="K4424">
        <f>SUM(Table13[[#This Row],[prefix]],Table13[[#This Row],[Past zero L]],Table13[[#This Row],[Past Zero R]],Table13[[#This Row],[Is Zero]])</f>
        <v>0</v>
      </c>
    </row>
    <row r="4425" spans="1:11" ht="16" x14ac:dyDescent="0.2">
      <c r="A4425" s="1" t="s">
        <v>192</v>
      </c>
      <c r="B4425" t="str">
        <f>LEFT(Table13[[#This Row],[Input]],1)</f>
        <v>L</v>
      </c>
      <c r="C4425">
        <f>_xlfn.LET(_xlpm.steps,SUBSTITUTE(Table13[[#This Row],[Input]],Table13[[#This Row],[Direction]],""),VALUE(IF(LEN(_xlpm.steps)&gt;2,RIGHT(_xlpm.steps,2),_xlpm.steps)))</f>
        <v>52</v>
      </c>
      <c r="D4425">
        <f>_xlfn.LET(_xlpm.steps,SUBSTITUTE(Table13[[#This Row],[Input]],Table13[[#This Row],[Direction]],""),VALUE(IF(LEN(_xlpm.steps)&gt;2,LEFT(_xlpm.steps,LEN(_xlpm.steps)-2),0)))</f>
        <v>0</v>
      </c>
      <c r="E4425">
        <f>_xlfn.LET(_xlpm.dir,Table13[[#This Row],[Direction]],
IF(_xlpm.dir="L",
    IF(G4424-Table13[[#This Row],[Steps]]&lt;0,100+(G4424-Table13[[#This Row],[Steps]]),G4424-Table13[[#This Row],[Steps]]),
))</f>
        <v>72</v>
      </c>
      <c r="F4425">
        <f>_xlfn.LET(_xlpm.dir,Table13[[#This Row],[Direction]],
IF(_xlpm.dir="R",
    IF(G4424+Table13[[#This Row],[Steps]]&gt;99,(G4424+Table13[[#This Row],[Steps]])-100,G4424+Table13[[#This Row],[Steps]]),
))</f>
        <v>0</v>
      </c>
      <c r="G4425">
        <f>IF(Table13[[#This Row],[New Pos L]]&lt;&gt;0,Table13[[#This Row],[New Pos L]],Table13[[#This Row],[New Pos R]])</f>
        <v>72</v>
      </c>
      <c r="H4425">
        <f>IF(AND(Table13[[#This Row],[Direction]]="L",Table13[[#This Row],[Steps]]&gt;G4424,G4424&lt;&gt;0),1,0)</f>
        <v>1</v>
      </c>
      <c r="I4425">
        <f>IF(AND(Table13[[#This Row],[Direction]]="R",(G4424+Table13[[#This Row],[Steps]])&gt;100),1,0)</f>
        <v>0</v>
      </c>
      <c r="J4425">
        <f>IF(Table13[[#This Row],[POS]]=0,1,0)</f>
        <v>0</v>
      </c>
      <c r="K4425">
        <f>SUM(Table13[[#This Row],[prefix]],Table13[[#This Row],[Past zero L]],Table13[[#This Row],[Past Zero R]],Table13[[#This Row],[Is Zero]])</f>
        <v>1</v>
      </c>
    </row>
    <row r="4426" spans="1:11" ht="16" x14ac:dyDescent="0.2">
      <c r="A4426" s="1" t="s">
        <v>27</v>
      </c>
      <c r="B4426" t="str">
        <f>LEFT(Table13[[#This Row],[Input]],1)</f>
        <v>L</v>
      </c>
      <c r="C4426">
        <f>_xlfn.LET(_xlpm.steps,SUBSTITUTE(Table13[[#This Row],[Input]],Table13[[#This Row],[Direction]],""),VALUE(IF(LEN(_xlpm.steps)&gt;2,RIGHT(_xlpm.steps,2),_xlpm.steps)))</f>
        <v>14</v>
      </c>
      <c r="D4426">
        <f>_xlfn.LET(_xlpm.steps,SUBSTITUTE(Table13[[#This Row],[Input]],Table13[[#This Row],[Direction]],""),VALUE(IF(LEN(_xlpm.steps)&gt;2,LEFT(_xlpm.steps,LEN(_xlpm.steps)-2),0)))</f>
        <v>0</v>
      </c>
      <c r="E4426">
        <f>_xlfn.LET(_xlpm.dir,Table13[[#This Row],[Direction]],
IF(_xlpm.dir="L",
    IF(G4425-Table13[[#This Row],[Steps]]&lt;0,100+(G4425-Table13[[#This Row],[Steps]]),G4425-Table13[[#This Row],[Steps]]),
))</f>
        <v>58</v>
      </c>
      <c r="F4426">
        <f>_xlfn.LET(_xlpm.dir,Table13[[#This Row],[Direction]],
IF(_xlpm.dir="R",
    IF(G4425+Table13[[#This Row],[Steps]]&gt;99,(G4425+Table13[[#This Row],[Steps]])-100,G4425+Table13[[#This Row],[Steps]]),
))</f>
        <v>0</v>
      </c>
      <c r="G4426">
        <f>IF(Table13[[#This Row],[New Pos L]]&lt;&gt;0,Table13[[#This Row],[New Pos L]],Table13[[#This Row],[New Pos R]])</f>
        <v>58</v>
      </c>
      <c r="H4426">
        <f>IF(AND(Table13[[#This Row],[Direction]]="L",Table13[[#This Row],[Steps]]&gt;G4425,G4425&lt;&gt;0),1,0)</f>
        <v>0</v>
      </c>
      <c r="I4426">
        <f>IF(AND(Table13[[#This Row],[Direction]]="R",(G4425+Table13[[#This Row],[Steps]])&gt;100),1,0)</f>
        <v>0</v>
      </c>
      <c r="J4426">
        <f>IF(Table13[[#This Row],[POS]]=0,1,0)</f>
        <v>0</v>
      </c>
      <c r="K4426">
        <f>SUM(Table13[[#This Row],[prefix]],Table13[[#This Row],[Past zero L]],Table13[[#This Row],[Past Zero R]],Table13[[#This Row],[Is Zero]])</f>
        <v>0</v>
      </c>
    </row>
    <row r="4427" spans="1:11" ht="16" x14ac:dyDescent="0.2">
      <c r="A4427" s="1" t="s">
        <v>883</v>
      </c>
      <c r="B4427" t="str">
        <f>LEFT(Table13[[#This Row],[Input]],1)</f>
        <v>L</v>
      </c>
      <c r="C4427">
        <f>_xlfn.LET(_xlpm.steps,SUBSTITUTE(Table13[[#This Row],[Input]],Table13[[#This Row],[Direction]],""),VALUE(IF(LEN(_xlpm.steps)&gt;2,RIGHT(_xlpm.steps,2),_xlpm.steps)))</f>
        <v>96</v>
      </c>
      <c r="D4427">
        <f>_xlfn.LET(_xlpm.steps,SUBSTITUTE(Table13[[#This Row],[Input]],Table13[[#This Row],[Direction]],""),VALUE(IF(LEN(_xlpm.steps)&gt;2,LEFT(_xlpm.steps,LEN(_xlpm.steps)-2),0)))</f>
        <v>1</v>
      </c>
      <c r="E4427">
        <f>_xlfn.LET(_xlpm.dir,Table13[[#This Row],[Direction]],
IF(_xlpm.dir="L",
    IF(G4426-Table13[[#This Row],[Steps]]&lt;0,100+(G4426-Table13[[#This Row],[Steps]]),G4426-Table13[[#This Row],[Steps]]),
))</f>
        <v>62</v>
      </c>
      <c r="F4427">
        <f>_xlfn.LET(_xlpm.dir,Table13[[#This Row],[Direction]],
IF(_xlpm.dir="R",
    IF(G4426+Table13[[#This Row],[Steps]]&gt;99,(G4426+Table13[[#This Row],[Steps]])-100,G4426+Table13[[#This Row],[Steps]]),
))</f>
        <v>0</v>
      </c>
      <c r="G4427">
        <f>IF(Table13[[#This Row],[New Pos L]]&lt;&gt;0,Table13[[#This Row],[New Pos L]],Table13[[#This Row],[New Pos R]])</f>
        <v>62</v>
      </c>
      <c r="H4427">
        <f>IF(AND(Table13[[#This Row],[Direction]]="L",Table13[[#This Row],[Steps]]&gt;G4426,G4426&lt;&gt;0),1,0)</f>
        <v>1</v>
      </c>
      <c r="I4427">
        <f>IF(AND(Table13[[#This Row],[Direction]]="R",(G4426+Table13[[#This Row],[Steps]])&gt;100),1,0)</f>
        <v>0</v>
      </c>
      <c r="J4427">
        <f>IF(Table13[[#This Row],[POS]]=0,1,0)</f>
        <v>0</v>
      </c>
      <c r="K4427">
        <f>SUM(Table13[[#This Row],[prefix]],Table13[[#This Row],[Past zero L]],Table13[[#This Row],[Past Zero R]],Table13[[#This Row],[Is Zero]])</f>
        <v>2</v>
      </c>
    </row>
    <row r="4428" spans="1:11" ht="16" x14ac:dyDescent="0.2">
      <c r="A4428" s="1" t="s">
        <v>139</v>
      </c>
      <c r="B4428" t="str">
        <f>LEFT(Table13[[#This Row],[Input]],1)</f>
        <v>R</v>
      </c>
      <c r="C4428">
        <f>_xlfn.LET(_xlpm.steps,SUBSTITUTE(Table13[[#This Row],[Input]],Table13[[#This Row],[Direction]],""),VALUE(IF(LEN(_xlpm.steps)&gt;2,RIGHT(_xlpm.steps,2),_xlpm.steps)))</f>
        <v>38</v>
      </c>
      <c r="D4428">
        <f>_xlfn.LET(_xlpm.steps,SUBSTITUTE(Table13[[#This Row],[Input]],Table13[[#This Row],[Direction]],""),VALUE(IF(LEN(_xlpm.steps)&gt;2,LEFT(_xlpm.steps,LEN(_xlpm.steps)-2),0)))</f>
        <v>0</v>
      </c>
      <c r="E4428">
        <f>_xlfn.LET(_xlpm.dir,Table13[[#This Row],[Direction]],
IF(_xlpm.dir="L",
    IF(G4427-Table13[[#This Row],[Steps]]&lt;0,100+(G4427-Table13[[#This Row],[Steps]]),G4427-Table13[[#This Row],[Steps]]),
))</f>
        <v>0</v>
      </c>
      <c r="F4428">
        <f>_xlfn.LET(_xlpm.dir,Table13[[#This Row],[Direction]],
IF(_xlpm.dir="R",
    IF(G4427+Table13[[#This Row],[Steps]]&gt;99,(G4427+Table13[[#This Row],[Steps]])-100,G4427+Table13[[#This Row],[Steps]]),
))</f>
        <v>0</v>
      </c>
      <c r="G4428">
        <f>IF(Table13[[#This Row],[New Pos L]]&lt;&gt;0,Table13[[#This Row],[New Pos L]],Table13[[#This Row],[New Pos R]])</f>
        <v>0</v>
      </c>
      <c r="H4428">
        <f>IF(AND(Table13[[#This Row],[Direction]]="L",Table13[[#This Row],[Steps]]&gt;G4427,G4427&lt;&gt;0),1,0)</f>
        <v>0</v>
      </c>
      <c r="I4428">
        <f>IF(AND(Table13[[#This Row],[Direction]]="R",(G4427+Table13[[#This Row],[Steps]])&gt;100),1,0)</f>
        <v>0</v>
      </c>
      <c r="J4428">
        <f>IF(Table13[[#This Row],[POS]]=0,1,0)</f>
        <v>1</v>
      </c>
      <c r="K4428">
        <f>SUM(Table13[[#This Row],[prefix]],Table13[[#This Row],[Past zero L]],Table13[[#This Row],[Past Zero R]],Table13[[#This Row],[Is Zero]])</f>
        <v>1</v>
      </c>
    </row>
    <row r="4429" spans="1:11" ht="16" x14ac:dyDescent="0.2">
      <c r="A4429" s="1" t="s">
        <v>191</v>
      </c>
      <c r="B4429" t="str">
        <f>LEFT(Table13[[#This Row],[Input]],1)</f>
        <v>L</v>
      </c>
      <c r="C4429">
        <f>_xlfn.LET(_xlpm.steps,SUBSTITUTE(Table13[[#This Row],[Input]],Table13[[#This Row],[Direction]],""),VALUE(IF(LEN(_xlpm.steps)&gt;2,RIGHT(_xlpm.steps,2),_xlpm.steps)))</f>
        <v>5</v>
      </c>
      <c r="D4429">
        <f>_xlfn.LET(_xlpm.steps,SUBSTITUTE(Table13[[#This Row],[Input]],Table13[[#This Row],[Direction]],""),VALUE(IF(LEN(_xlpm.steps)&gt;2,LEFT(_xlpm.steps,LEN(_xlpm.steps)-2),0)))</f>
        <v>0</v>
      </c>
      <c r="E4429">
        <f>_xlfn.LET(_xlpm.dir,Table13[[#This Row],[Direction]],
IF(_xlpm.dir="L",
    IF(G4428-Table13[[#This Row],[Steps]]&lt;0,100+(G4428-Table13[[#This Row],[Steps]]),G4428-Table13[[#This Row],[Steps]]),
))</f>
        <v>95</v>
      </c>
      <c r="F4429">
        <f>_xlfn.LET(_xlpm.dir,Table13[[#This Row],[Direction]],
IF(_xlpm.dir="R",
    IF(G4428+Table13[[#This Row],[Steps]]&gt;99,(G4428+Table13[[#This Row],[Steps]])-100,G4428+Table13[[#This Row],[Steps]]),
))</f>
        <v>0</v>
      </c>
      <c r="G4429">
        <f>IF(Table13[[#This Row],[New Pos L]]&lt;&gt;0,Table13[[#This Row],[New Pos L]],Table13[[#This Row],[New Pos R]])</f>
        <v>95</v>
      </c>
      <c r="H4429">
        <f>IF(AND(Table13[[#This Row],[Direction]]="L",Table13[[#This Row],[Steps]]&gt;G4428,G4428&lt;&gt;0),1,0)</f>
        <v>0</v>
      </c>
      <c r="I4429">
        <f>IF(AND(Table13[[#This Row],[Direction]]="R",(G4428+Table13[[#This Row],[Steps]])&gt;100),1,0)</f>
        <v>0</v>
      </c>
      <c r="J4429">
        <f>IF(Table13[[#This Row],[POS]]=0,1,0)</f>
        <v>0</v>
      </c>
      <c r="K4429">
        <f>SUM(Table13[[#This Row],[prefix]],Table13[[#This Row],[Past zero L]],Table13[[#This Row],[Past Zero R]],Table13[[#This Row],[Is Zero]])</f>
        <v>0</v>
      </c>
    </row>
    <row r="4430" spans="1:11" ht="16" x14ac:dyDescent="0.2">
      <c r="A4430" s="1" t="s">
        <v>264</v>
      </c>
      <c r="B4430" t="str">
        <f>LEFT(Table13[[#This Row],[Input]],1)</f>
        <v>L</v>
      </c>
      <c r="C4430">
        <f>_xlfn.LET(_xlpm.steps,SUBSTITUTE(Table13[[#This Row],[Input]],Table13[[#This Row],[Direction]],""),VALUE(IF(LEN(_xlpm.steps)&gt;2,RIGHT(_xlpm.steps,2),_xlpm.steps)))</f>
        <v>21</v>
      </c>
      <c r="D4430">
        <f>_xlfn.LET(_xlpm.steps,SUBSTITUTE(Table13[[#This Row],[Input]],Table13[[#This Row],[Direction]],""),VALUE(IF(LEN(_xlpm.steps)&gt;2,LEFT(_xlpm.steps,LEN(_xlpm.steps)-2),0)))</f>
        <v>0</v>
      </c>
      <c r="E4430">
        <f>_xlfn.LET(_xlpm.dir,Table13[[#This Row],[Direction]],
IF(_xlpm.dir="L",
    IF(G4429-Table13[[#This Row],[Steps]]&lt;0,100+(G4429-Table13[[#This Row],[Steps]]),G4429-Table13[[#This Row],[Steps]]),
))</f>
        <v>74</v>
      </c>
      <c r="F4430">
        <f>_xlfn.LET(_xlpm.dir,Table13[[#This Row],[Direction]],
IF(_xlpm.dir="R",
    IF(G4429+Table13[[#This Row],[Steps]]&gt;99,(G4429+Table13[[#This Row],[Steps]])-100,G4429+Table13[[#This Row],[Steps]]),
))</f>
        <v>0</v>
      </c>
      <c r="G4430">
        <f>IF(Table13[[#This Row],[New Pos L]]&lt;&gt;0,Table13[[#This Row],[New Pos L]],Table13[[#This Row],[New Pos R]])</f>
        <v>74</v>
      </c>
      <c r="H4430">
        <f>IF(AND(Table13[[#This Row],[Direction]]="L",Table13[[#This Row],[Steps]]&gt;G4429,G4429&lt;&gt;0),1,0)</f>
        <v>0</v>
      </c>
      <c r="I4430">
        <f>IF(AND(Table13[[#This Row],[Direction]]="R",(G4429+Table13[[#This Row],[Steps]])&gt;100),1,0)</f>
        <v>0</v>
      </c>
      <c r="J4430">
        <f>IF(Table13[[#This Row],[POS]]=0,1,0)</f>
        <v>0</v>
      </c>
      <c r="K4430">
        <f>SUM(Table13[[#This Row],[prefix]],Table13[[#This Row],[Past zero L]],Table13[[#This Row],[Past Zero R]],Table13[[#This Row],[Is Zero]])</f>
        <v>0</v>
      </c>
    </row>
    <row r="4431" spans="1:11" ht="16" x14ac:dyDescent="0.2">
      <c r="A4431" s="1" t="s">
        <v>51</v>
      </c>
      <c r="B4431" t="str">
        <f>LEFT(Table13[[#This Row],[Input]],1)</f>
        <v>L</v>
      </c>
      <c r="C4431">
        <f>_xlfn.LET(_xlpm.steps,SUBSTITUTE(Table13[[#This Row],[Input]],Table13[[#This Row],[Direction]],""),VALUE(IF(LEN(_xlpm.steps)&gt;2,RIGHT(_xlpm.steps,2),_xlpm.steps)))</f>
        <v>25</v>
      </c>
      <c r="D4431">
        <f>_xlfn.LET(_xlpm.steps,SUBSTITUTE(Table13[[#This Row],[Input]],Table13[[#This Row],[Direction]],""),VALUE(IF(LEN(_xlpm.steps)&gt;2,LEFT(_xlpm.steps,LEN(_xlpm.steps)-2),0)))</f>
        <v>0</v>
      </c>
      <c r="E4431">
        <f>_xlfn.LET(_xlpm.dir,Table13[[#This Row],[Direction]],
IF(_xlpm.dir="L",
    IF(G4430-Table13[[#This Row],[Steps]]&lt;0,100+(G4430-Table13[[#This Row],[Steps]]),G4430-Table13[[#This Row],[Steps]]),
))</f>
        <v>49</v>
      </c>
      <c r="F4431">
        <f>_xlfn.LET(_xlpm.dir,Table13[[#This Row],[Direction]],
IF(_xlpm.dir="R",
    IF(G4430+Table13[[#This Row],[Steps]]&gt;99,(G4430+Table13[[#This Row],[Steps]])-100,G4430+Table13[[#This Row],[Steps]]),
))</f>
        <v>0</v>
      </c>
      <c r="G4431">
        <f>IF(Table13[[#This Row],[New Pos L]]&lt;&gt;0,Table13[[#This Row],[New Pos L]],Table13[[#This Row],[New Pos R]])</f>
        <v>49</v>
      </c>
      <c r="H4431">
        <f>IF(AND(Table13[[#This Row],[Direction]]="L",Table13[[#This Row],[Steps]]&gt;G4430,G4430&lt;&gt;0),1,0)</f>
        <v>0</v>
      </c>
      <c r="I4431">
        <f>IF(AND(Table13[[#This Row],[Direction]]="R",(G4430+Table13[[#This Row],[Steps]])&gt;100),1,0)</f>
        <v>0</v>
      </c>
      <c r="J4431">
        <f>IF(Table13[[#This Row],[POS]]=0,1,0)</f>
        <v>0</v>
      </c>
      <c r="K4431">
        <f>SUM(Table13[[#This Row],[prefix]],Table13[[#This Row],[Past zero L]],Table13[[#This Row],[Past Zero R]],Table13[[#This Row],[Is Zero]])</f>
        <v>0</v>
      </c>
    </row>
    <row r="4432" spans="1:11" ht="16" x14ac:dyDescent="0.2">
      <c r="A4432" s="1" t="s">
        <v>98</v>
      </c>
      <c r="B4432" t="str">
        <f>LEFT(Table13[[#This Row],[Input]],1)</f>
        <v>L</v>
      </c>
      <c r="C4432">
        <f>_xlfn.LET(_xlpm.steps,SUBSTITUTE(Table13[[#This Row],[Input]],Table13[[#This Row],[Direction]],""),VALUE(IF(LEN(_xlpm.steps)&gt;2,RIGHT(_xlpm.steps,2),_xlpm.steps)))</f>
        <v>65</v>
      </c>
      <c r="D4432">
        <f>_xlfn.LET(_xlpm.steps,SUBSTITUTE(Table13[[#This Row],[Input]],Table13[[#This Row],[Direction]],""),VALUE(IF(LEN(_xlpm.steps)&gt;2,LEFT(_xlpm.steps,LEN(_xlpm.steps)-2),0)))</f>
        <v>0</v>
      </c>
      <c r="E4432">
        <f>_xlfn.LET(_xlpm.dir,Table13[[#This Row],[Direction]],
IF(_xlpm.dir="L",
    IF(G4431-Table13[[#This Row],[Steps]]&lt;0,100+(G4431-Table13[[#This Row],[Steps]]),G4431-Table13[[#This Row],[Steps]]),
))</f>
        <v>84</v>
      </c>
      <c r="F4432">
        <f>_xlfn.LET(_xlpm.dir,Table13[[#This Row],[Direction]],
IF(_xlpm.dir="R",
    IF(G4431+Table13[[#This Row],[Steps]]&gt;99,(G4431+Table13[[#This Row],[Steps]])-100,G4431+Table13[[#This Row],[Steps]]),
))</f>
        <v>0</v>
      </c>
      <c r="G4432">
        <f>IF(Table13[[#This Row],[New Pos L]]&lt;&gt;0,Table13[[#This Row],[New Pos L]],Table13[[#This Row],[New Pos R]])</f>
        <v>84</v>
      </c>
      <c r="H4432">
        <f>IF(AND(Table13[[#This Row],[Direction]]="L",Table13[[#This Row],[Steps]]&gt;G4431,G4431&lt;&gt;0),1,0)</f>
        <v>1</v>
      </c>
      <c r="I4432">
        <f>IF(AND(Table13[[#This Row],[Direction]]="R",(G4431+Table13[[#This Row],[Steps]])&gt;100),1,0)</f>
        <v>0</v>
      </c>
      <c r="J4432">
        <f>IF(Table13[[#This Row],[POS]]=0,1,0)</f>
        <v>0</v>
      </c>
      <c r="K4432">
        <f>SUM(Table13[[#This Row],[prefix]],Table13[[#This Row],[Past zero L]],Table13[[#This Row],[Past Zero R]],Table13[[#This Row],[Is Zero]])</f>
        <v>1</v>
      </c>
    </row>
    <row r="4433" spans="1:11" ht="16" x14ac:dyDescent="0.2">
      <c r="A4433" s="1" t="s">
        <v>590</v>
      </c>
      <c r="B4433" t="str">
        <f>LEFT(Table13[[#This Row],[Input]],1)</f>
        <v>L</v>
      </c>
      <c r="C4433">
        <f>_xlfn.LET(_xlpm.steps,SUBSTITUTE(Table13[[#This Row],[Input]],Table13[[#This Row],[Direction]],""),VALUE(IF(LEN(_xlpm.steps)&gt;2,RIGHT(_xlpm.steps,2),_xlpm.steps)))</f>
        <v>10</v>
      </c>
      <c r="D4433">
        <f>_xlfn.LET(_xlpm.steps,SUBSTITUTE(Table13[[#This Row],[Input]],Table13[[#This Row],[Direction]],""),VALUE(IF(LEN(_xlpm.steps)&gt;2,LEFT(_xlpm.steps,LEN(_xlpm.steps)-2),0)))</f>
        <v>5</v>
      </c>
      <c r="E4433">
        <f>_xlfn.LET(_xlpm.dir,Table13[[#This Row],[Direction]],
IF(_xlpm.dir="L",
    IF(G4432-Table13[[#This Row],[Steps]]&lt;0,100+(G4432-Table13[[#This Row],[Steps]]),G4432-Table13[[#This Row],[Steps]]),
))</f>
        <v>74</v>
      </c>
      <c r="F4433">
        <f>_xlfn.LET(_xlpm.dir,Table13[[#This Row],[Direction]],
IF(_xlpm.dir="R",
    IF(G4432+Table13[[#This Row],[Steps]]&gt;99,(G4432+Table13[[#This Row],[Steps]])-100,G4432+Table13[[#This Row],[Steps]]),
))</f>
        <v>0</v>
      </c>
      <c r="G4433">
        <f>IF(Table13[[#This Row],[New Pos L]]&lt;&gt;0,Table13[[#This Row],[New Pos L]],Table13[[#This Row],[New Pos R]])</f>
        <v>74</v>
      </c>
      <c r="H4433">
        <f>IF(AND(Table13[[#This Row],[Direction]]="L",Table13[[#This Row],[Steps]]&gt;G4432,G4432&lt;&gt;0),1,0)</f>
        <v>0</v>
      </c>
      <c r="I4433">
        <f>IF(AND(Table13[[#This Row],[Direction]]="R",(G4432+Table13[[#This Row],[Steps]])&gt;100),1,0)</f>
        <v>0</v>
      </c>
      <c r="J4433">
        <f>IF(Table13[[#This Row],[POS]]=0,1,0)</f>
        <v>0</v>
      </c>
      <c r="K4433">
        <f>SUM(Table13[[#This Row],[prefix]],Table13[[#This Row],[Past zero L]],Table13[[#This Row],[Past Zero R]],Table13[[#This Row],[Is Zero]])</f>
        <v>5</v>
      </c>
    </row>
    <row r="4434" spans="1:11" ht="16" x14ac:dyDescent="0.2">
      <c r="A4434" s="1" t="s">
        <v>119</v>
      </c>
      <c r="B4434" t="str">
        <f>LEFT(Table13[[#This Row],[Input]],1)</f>
        <v>L</v>
      </c>
      <c r="C4434">
        <f>_xlfn.LET(_xlpm.steps,SUBSTITUTE(Table13[[#This Row],[Input]],Table13[[#This Row],[Direction]],""),VALUE(IF(LEN(_xlpm.steps)&gt;2,RIGHT(_xlpm.steps,2),_xlpm.steps)))</f>
        <v>77</v>
      </c>
      <c r="D4434">
        <f>_xlfn.LET(_xlpm.steps,SUBSTITUTE(Table13[[#This Row],[Input]],Table13[[#This Row],[Direction]],""),VALUE(IF(LEN(_xlpm.steps)&gt;2,LEFT(_xlpm.steps,LEN(_xlpm.steps)-2),0)))</f>
        <v>0</v>
      </c>
      <c r="E4434">
        <f>_xlfn.LET(_xlpm.dir,Table13[[#This Row],[Direction]],
IF(_xlpm.dir="L",
    IF(G4433-Table13[[#This Row],[Steps]]&lt;0,100+(G4433-Table13[[#This Row],[Steps]]),G4433-Table13[[#This Row],[Steps]]),
))</f>
        <v>97</v>
      </c>
      <c r="F4434">
        <f>_xlfn.LET(_xlpm.dir,Table13[[#This Row],[Direction]],
IF(_xlpm.dir="R",
    IF(G4433+Table13[[#This Row],[Steps]]&gt;99,(G4433+Table13[[#This Row],[Steps]])-100,G4433+Table13[[#This Row],[Steps]]),
))</f>
        <v>0</v>
      </c>
      <c r="G4434">
        <f>IF(Table13[[#This Row],[New Pos L]]&lt;&gt;0,Table13[[#This Row],[New Pos L]],Table13[[#This Row],[New Pos R]])</f>
        <v>97</v>
      </c>
      <c r="H4434">
        <f>IF(AND(Table13[[#This Row],[Direction]]="L",Table13[[#This Row],[Steps]]&gt;G4433,G4433&lt;&gt;0),1,0)</f>
        <v>1</v>
      </c>
      <c r="I4434">
        <f>IF(AND(Table13[[#This Row],[Direction]]="R",(G4433+Table13[[#This Row],[Steps]])&gt;100),1,0)</f>
        <v>0</v>
      </c>
      <c r="J4434">
        <f>IF(Table13[[#This Row],[POS]]=0,1,0)</f>
        <v>0</v>
      </c>
      <c r="K4434">
        <f>SUM(Table13[[#This Row],[prefix]],Table13[[#This Row],[Past zero L]],Table13[[#This Row],[Past Zero R]],Table13[[#This Row],[Is Zero]])</f>
        <v>1</v>
      </c>
    </row>
    <row r="4435" spans="1:11" ht="16" x14ac:dyDescent="0.2">
      <c r="A4435" s="1" t="s">
        <v>884</v>
      </c>
      <c r="B4435" t="str">
        <f>LEFT(Table13[[#This Row],[Input]],1)</f>
        <v>L</v>
      </c>
      <c r="C4435">
        <f>_xlfn.LET(_xlpm.steps,SUBSTITUTE(Table13[[#This Row],[Input]],Table13[[#This Row],[Direction]],""),VALUE(IF(LEN(_xlpm.steps)&gt;2,RIGHT(_xlpm.steps,2),_xlpm.steps)))</f>
        <v>87</v>
      </c>
      <c r="D4435">
        <f>_xlfn.LET(_xlpm.steps,SUBSTITUTE(Table13[[#This Row],[Input]],Table13[[#This Row],[Direction]],""),VALUE(IF(LEN(_xlpm.steps)&gt;2,LEFT(_xlpm.steps,LEN(_xlpm.steps)-2),0)))</f>
        <v>5</v>
      </c>
      <c r="E4435">
        <f>_xlfn.LET(_xlpm.dir,Table13[[#This Row],[Direction]],
IF(_xlpm.dir="L",
    IF(G4434-Table13[[#This Row],[Steps]]&lt;0,100+(G4434-Table13[[#This Row],[Steps]]),G4434-Table13[[#This Row],[Steps]]),
))</f>
        <v>10</v>
      </c>
      <c r="F4435">
        <f>_xlfn.LET(_xlpm.dir,Table13[[#This Row],[Direction]],
IF(_xlpm.dir="R",
    IF(G4434+Table13[[#This Row],[Steps]]&gt;99,(G4434+Table13[[#This Row],[Steps]])-100,G4434+Table13[[#This Row],[Steps]]),
))</f>
        <v>0</v>
      </c>
      <c r="G4435">
        <f>IF(Table13[[#This Row],[New Pos L]]&lt;&gt;0,Table13[[#This Row],[New Pos L]],Table13[[#This Row],[New Pos R]])</f>
        <v>10</v>
      </c>
      <c r="H4435">
        <f>IF(AND(Table13[[#This Row],[Direction]]="L",Table13[[#This Row],[Steps]]&gt;G4434,G4434&lt;&gt;0),1,0)</f>
        <v>0</v>
      </c>
      <c r="I4435">
        <f>IF(AND(Table13[[#This Row],[Direction]]="R",(G4434+Table13[[#This Row],[Steps]])&gt;100),1,0)</f>
        <v>0</v>
      </c>
      <c r="J4435">
        <f>IF(Table13[[#This Row],[POS]]=0,1,0)</f>
        <v>0</v>
      </c>
      <c r="K4435">
        <f>SUM(Table13[[#This Row],[prefix]],Table13[[#This Row],[Past zero L]],Table13[[#This Row],[Past Zero R]],Table13[[#This Row],[Is Zero]])</f>
        <v>5</v>
      </c>
    </row>
    <row r="4436" spans="1:11" ht="16" x14ac:dyDescent="0.2">
      <c r="A4436" s="1" t="s">
        <v>267</v>
      </c>
      <c r="B4436" t="str">
        <f>LEFT(Table13[[#This Row],[Input]],1)</f>
        <v>L</v>
      </c>
      <c r="C4436">
        <f>_xlfn.LET(_xlpm.steps,SUBSTITUTE(Table13[[#This Row],[Input]],Table13[[#This Row],[Direction]],""),VALUE(IF(LEN(_xlpm.steps)&gt;2,RIGHT(_xlpm.steps,2),_xlpm.steps)))</f>
        <v>39</v>
      </c>
      <c r="D4436">
        <f>_xlfn.LET(_xlpm.steps,SUBSTITUTE(Table13[[#This Row],[Input]],Table13[[#This Row],[Direction]],""),VALUE(IF(LEN(_xlpm.steps)&gt;2,LEFT(_xlpm.steps,LEN(_xlpm.steps)-2),0)))</f>
        <v>0</v>
      </c>
      <c r="E4436">
        <f>_xlfn.LET(_xlpm.dir,Table13[[#This Row],[Direction]],
IF(_xlpm.dir="L",
    IF(G4435-Table13[[#This Row],[Steps]]&lt;0,100+(G4435-Table13[[#This Row],[Steps]]),G4435-Table13[[#This Row],[Steps]]),
))</f>
        <v>71</v>
      </c>
      <c r="F4436">
        <f>_xlfn.LET(_xlpm.dir,Table13[[#This Row],[Direction]],
IF(_xlpm.dir="R",
    IF(G4435+Table13[[#This Row],[Steps]]&gt;99,(G4435+Table13[[#This Row],[Steps]])-100,G4435+Table13[[#This Row],[Steps]]),
))</f>
        <v>0</v>
      </c>
      <c r="G4436">
        <f>IF(Table13[[#This Row],[New Pos L]]&lt;&gt;0,Table13[[#This Row],[New Pos L]],Table13[[#This Row],[New Pos R]])</f>
        <v>71</v>
      </c>
      <c r="H4436">
        <f>IF(AND(Table13[[#This Row],[Direction]]="L",Table13[[#This Row],[Steps]]&gt;G4435,G4435&lt;&gt;0),1,0)</f>
        <v>1</v>
      </c>
      <c r="I4436">
        <f>IF(AND(Table13[[#This Row],[Direction]]="R",(G4435+Table13[[#This Row],[Steps]])&gt;100),1,0)</f>
        <v>0</v>
      </c>
      <c r="J4436">
        <f>IF(Table13[[#This Row],[POS]]=0,1,0)</f>
        <v>0</v>
      </c>
      <c r="K4436">
        <f>SUM(Table13[[#This Row],[prefix]],Table13[[#This Row],[Past zero L]],Table13[[#This Row],[Past Zero R]],Table13[[#This Row],[Is Zero]])</f>
        <v>1</v>
      </c>
    </row>
    <row r="4437" spans="1:11" ht="16" x14ac:dyDescent="0.2">
      <c r="A4437" s="1" t="s">
        <v>243</v>
      </c>
      <c r="B4437" t="str">
        <f>LEFT(Table13[[#This Row],[Input]],1)</f>
        <v>R</v>
      </c>
      <c r="C4437">
        <f>_xlfn.LET(_xlpm.steps,SUBSTITUTE(Table13[[#This Row],[Input]],Table13[[#This Row],[Direction]],""),VALUE(IF(LEN(_xlpm.steps)&gt;2,RIGHT(_xlpm.steps,2),_xlpm.steps)))</f>
        <v>29</v>
      </c>
      <c r="D4437">
        <f>_xlfn.LET(_xlpm.steps,SUBSTITUTE(Table13[[#This Row],[Input]],Table13[[#This Row],[Direction]],""),VALUE(IF(LEN(_xlpm.steps)&gt;2,LEFT(_xlpm.steps,LEN(_xlpm.steps)-2),0)))</f>
        <v>5</v>
      </c>
      <c r="E4437">
        <f>_xlfn.LET(_xlpm.dir,Table13[[#This Row],[Direction]],
IF(_xlpm.dir="L",
    IF(G4436-Table13[[#This Row],[Steps]]&lt;0,100+(G4436-Table13[[#This Row],[Steps]]),G4436-Table13[[#This Row],[Steps]]),
))</f>
        <v>0</v>
      </c>
      <c r="F4437">
        <f>_xlfn.LET(_xlpm.dir,Table13[[#This Row],[Direction]],
IF(_xlpm.dir="R",
    IF(G4436+Table13[[#This Row],[Steps]]&gt;99,(G4436+Table13[[#This Row],[Steps]])-100,G4436+Table13[[#This Row],[Steps]]),
))</f>
        <v>0</v>
      </c>
      <c r="G4437">
        <f>IF(Table13[[#This Row],[New Pos L]]&lt;&gt;0,Table13[[#This Row],[New Pos L]],Table13[[#This Row],[New Pos R]])</f>
        <v>0</v>
      </c>
      <c r="H4437">
        <f>IF(AND(Table13[[#This Row],[Direction]]="L",Table13[[#This Row],[Steps]]&gt;G4436,G4436&lt;&gt;0),1,0)</f>
        <v>0</v>
      </c>
      <c r="I4437">
        <f>IF(AND(Table13[[#This Row],[Direction]]="R",(G4436+Table13[[#This Row],[Steps]])&gt;100),1,0)</f>
        <v>0</v>
      </c>
      <c r="J4437">
        <f>IF(Table13[[#This Row],[POS]]=0,1,0)</f>
        <v>1</v>
      </c>
      <c r="K4437">
        <f>SUM(Table13[[#This Row],[prefix]],Table13[[#This Row],[Past zero L]],Table13[[#This Row],[Past Zero R]],Table13[[#This Row],[Is Zero]])</f>
        <v>6</v>
      </c>
    </row>
    <row r="4438" spans="1:11" ht="16" x14ac:dyDescent="0.2">
      <c r="A4438" s="1" t="s">
        <v>36</v>
      </c>
      <c r="B4438" t="str">
        <f>LEFT(Table13[[#This Row],[Input]],1)</f>
        <v>R</v>
      </c>
      <c r="C4438">
        <f>_xlfn.LET(_xlpm.steps,SUBSTITUTE(Table13[[#This Row],[Input]],Table13[[#This Row],[Direction]],""),VALUE(IF(LEN(_xlpm.steps)&gt;2,RIGHT(_xlpm.steps,2),_xlpm.steps)))</f>
        <v>50</v>
      </c>
      <c r="D4438">
        <f>_xlfn.LET(_xlpm.steps,SUBSTITUTE(Table13[[#This Row],[Input]],Table13[[#This Row],[Direction]],""),VALUE(IF(LEN(_xlpm.steps)&gt;2,LEFT(_xlpm.steps,LEN(_xlpm.steps)-2),0)))</f>
        <v>0</v>
      </c>
      <c r="E4438">
        <f>_xlfn.LET(_xlpm.dir,Table13[[#This Row],[Direction]],
IF(_xlpm.dir="L",
    IF(G4437-Table13[[#This Row],[Steps]]&lt;0,100+(G4437-Table13[[#This Row],[Steps]]),G4437-Table13[[#This Row],[Steps]]),
))</f>
        <v>0</v>
      </c>
      <c r="F4438">
        <f>_xlfn.LET(_xlpm.dir,Table13[[#This Row],[Direction]],
IF(_xlpm.dir="R",
    IF(G4437+Table13[[#This Row],[Steps]]&gt;99,(G4437+Table13[[#This Row],[Steps]])-100,G4437+Table13[[#This Row],[Steps]]),
))</f>
        <v>50</v>
      </c>
      <c r="G4438">
        <f>IF(Table13[[#This Row],[New Pos L]]&lt;&gt;0,Table13[[#This Row],[New Pos L]],Table13[[#This Row],[New Pos R]])</f>
        <v>50</v>
      </c>
      <c r="H4438">
        <f>IF(AND(Table13[[#This Row],[Direction]]="L",Table13[[#This Row],[Steps]]&gt;G4437,G4437&lt;&gt;0),1,0)</f>
        <v>0</v>
      </c>
      <c r="I4438">
        <f>IF(AND(Table13[[#This Row],[Direction]]="R",(G4437+Table13[[#This Row],[Steps]])&gt;100),1,0)</f>
        <v>0</v>
      </c>
      <c r="J4438">
        <f>IF(Table13[[#This Row],[POS]]=0,1,0)</f>
        <v>0</v>
      </c>
      <c r="K4438">
        <f>SUM(Table13[[#This Row],[prefix]],Table13[[#This Row],[Past zero L]],Table13[[#This Row],[Past Zero R]],Table13[[#This Row],[Is Zero]])</f>
        <v>0</v>
      </c>
    </row>
    <row r="4439" spans="1:11" ht="16" x14ac:dyDescent="0.2">
      <c r="A4439" s="1" t="s">
        <v>17</v>
      </c>
      <c r="B4439" t="str">
        <f>LEFT(Table13[[#This Row],[Input]],1)</f>
        <v>L</v>
      </c>
      <c r="C4439">
        <f>_xlfn.LET(_xlpm.steps,SUBSTITUTE(Table13[[#This Row],[Input]],Table13[[#This Row],[Direction]],""),VALUE(IF(LEN(_xlpm.steps)&gt;2,RIGHT(_xlpm.steps,2),_xlpm.steps)))</f>
        <v>50</v>
      </c>
      <c r="D4439">
        <f>_xlfn.LET(_xlpm.steps,SUBSTITUTE(Table13[[#This Row],[Input]],Table13[[#This Row],[Direction]],""),VALUE(IF(LEN(_xlpm.steps)&gt;2,LEFT(_xlpm.steps,LEN(_xlpm.steps)-2),0)))</f>
        <v>0</v>
      </c>
      <c r="E4439">
        <f>_xlfn.LET(_xlpm.dir,Table13[[#This Row],[Direction]],
IF(_xlpm.dir="L",
    IF(G4438-Table13[[#This Row],[Steps]]&lt;0,100+(G4438-Table13[[#This Row],[Steps]]),G4438-Table13[[#This Row],[Steps]]),
))</f>
        <v>0</v>
      </c>
      <c r="F4439">
        <f>_xlfn.LET(_xlpm.dir,Table13[[#This Row],[Direction]],
IF(_xlpm.dir="R",
    IF(G4438+Table13[[#This Row],[Steps]]&gt;99,(G4438+Table13[[#This Row],[Steps]])-100,G4438+Table13[[#This Row],[Steps]]),
))</f>
        <v>0</v>
      </c>
      <c r="G4439">
        <f>IF(Table13[[#This Row],[New Pos L]]&lt;&gt;0,Table13[[#This Row],[New Pos L]],Table13[[#This Row],[New Pos R]])</f>
        <v>0</v>
      </c>
      <c r="H4439">
        <f>IF(AND(Table13[[#This Row],[Direction]]="L",Table13[[#This Row],[Steps]]&gt;G4438,G4438&lt;&gt;0),1,0)</f>
        <v>0</v>
      </c>
      <c r="I4439">
        <f>IF(AND(Table13[[#This Row],[Direction]]="R",(G4438+Table13[[#This Row],[Steps]])&gt;100),1,0)</f>
        <v>0</v>
      </c>
      <c r="J4439">
        <f>IF(Table13[[#This Row],[POS]]=0,1,0)</f>
        <v>1</v>
      </c>
      <c r="K4439">
        <f>SUM(Table13[[#This Row],[prefix]],Table13[[#This Row],[Past zero L]],Table13[[#This Row],[Past Zero R]],Table13[[#This Row],[Is Zero]])</f>
        <v>1</v>
      </c>
    </row>
    <row r="4440" spans="1:11" ht="16" x14ac:dyDescent="0.2">
      <c r="A4440" s="1" t="s">
        <v>174</v>
      </c>
      <c r="B4440" t="str">
        <f>LEFT(Table13[[#This Row],[Input]],1)</f>
        <v>L</v>
      </c>
      <c r="C4440">
        <f>_xlfn.LET(_xlpm.steps,SUBSTITUTE(Table13[[#This Row],[Input]],Table13[[#This Row],[Direction]],""),VALUE(IF(LEN(_xlpm.steps)&gt;2,RIGHT(_xlpm.steps,2),_xlpm.steps)))</f>
        <v>92</v>
      </c>
      <c r="D4440">
        <f>_xlfn.LET(_xlpm.steps,SUBSTITUTE(Table13[[#This Row],[Input]],Table13[[#This Row],[Direction]],""),VALUE(IF(LEN(_xlpm.steps)&gt;2,LEFT(_xlpm.steps,LEN(_xlpm.steps)-2),0)))</f>
        <v>0</v>
      </c>
      <c r="E4440">
        <f>_xlfn.LET(_xlpm.dir,Table13[[#This Row],[Direction]],
IF(_xlpm.dir="L",
    IF(G4439-Table13[[#This Row],[Steps]]&lt;0,100+(G4439-Table13[[#This Row],[Steps]]),G4439-Table13[[#This Row],[Steps]]),
))</f>
        <v>8</v>
      </c>
      <c r="F4440">
        <f>_xlfn.LET(_xlpm.dir,Table13[[#This Row],[Direction]],
IF(_xlpm.dir="R",
    IF(G4439+Table13[[#This Row],[Steps]]&gt;99,(G4439+Table13[[#This Row],[Steps]])-100,G4439+Table13[[#This Row],[Steps]]),
))</f>
        <v>0</v>
      </c>
      <c r="G4440">
        <f>IF(Table13[[#This Row],[New Pos L]]&lt;&gt;0,Table13[[#This Row],[New Pos L]],Table13[[#This Row],[New Pos R]])</f>
        <v>8</v>
      </c>
      <c r="H4440">
        <f>IF(AND(Table13[[#This Row],[Direction]]="L",Table13[[#This Row],[Steps]]&gt;G4439,G4439&lt;&gt;0),1,0)</f>
        <v>0</v>
      </c>
      <c r="I4440">
        <f>IF(AND(Table13[[#This Row],[Direction]]="R",(G4439+Table13[[#This Row],[Steps]])&gt;100),1,0)</f>
        <v>0</v>
      </c>
      <c r="J4440">
        <f>IF(Table13[[#This Row],[POS]]=0,1,0)</f>
        <v>0</v>
      </c>
      <c r="K4440">
        <f>SUM(Table13[[#This Row],[prefix]],Table13[[#This Row],[Past zero L]],Table13[[#This Row],[Past Zero R]],Table13[[#This Row],[Is Zero]])</f>
        <v>0</v>
      </c>
    </row>
    <row r="4441" spans="1:11" ht="16" x14ac:dyDescent="0.2">
      <c r="A4441" s="1" t="s">
        <v>38</v>
      </c>
      <c r="B4441" t="str">
        <f>LEFT(Table13[[#This Row],[Input]],1)</f>
        <v>R</v>
      </c>
      <c r="C4441">
        <f>_xlfn.LET(_xlpm.steps,SUBSTITUTE(Table13[[#This Row],[Input]],Table13[[#This Row],[Direction]],""),VALUE(IF(LEN(_xlpm.steps)&gt;2,RIGHT(_xlpm.steps,2),_xlpm.steps)))</f>
        <v>15</v>
      </c>
      <c r="D4441">
        <f>_xlfn.LET(_xlpm.steps,SUBSTITUTE(Table13[[#This Row],[Input]],Table13[[#This Row],[Direction]],""),VALUE(IF(LEN(_xlpm.steps)&gt;2,LEFT(_xlpm.steps,LEN(_xlpm.steps)-2),0)))</f>
        <v>0</v>
      </c>
      <c r="E4441">
        <f>_xlfn.LET(_xlpm.dir,Table13[[#This Row],[Direction]],
IF(_xlpm.dir="L",
    IF(G4440-Table13[[#This Row],[Steps]]&lt;0,100+(G4440-Table13[[#This Row],[Steps]]),G4440-Table13[[#This Row],[Steps]]),
))</f>
        <v>0</v>
      </c>
      <c r="F4441">
        <f>_xlfn.LET(_xlpm.dir,Table13[[#This Row],[Direction]],
IF(_xlpm.dir="R",
    IF(G4440+Table13[[#This Row],[Steps]]&gt;99,(G4440+Table13[[#This Row],[Steps]])-100,G4440+Table13[[#This Row],[Steps]]),
))</f>
        <v>23</v>
      </c>
      <c r="G4441">
        <f>IF(Table13[[#This Row],[New Pos L]]&lt;&gt;0,Table13[[#This Row],[New Pos L]],Table13[[#This Row],[New Pos R]])</f>
        <v>23</v>
      </c>
      <c r="H4441">
        <f>IF(AND(Table13[[#This Row],[Direction]]="L",Table13[[#This Row],[Steps]]&gt;G4440,G4440&lt;&gt;0),1,0)</f>
        <v>0</v>
      </c>
      <c r="I4441">
        <f>IF(AND(Table13[[#This Row],[Direction]]="R",(G4440+Table13[[#This Row],[Steps]])&gt;100),1,0)</f>
        <v>0</v>
      </c>
      <c r="J4441">
        <f>IF(Table13[[#This Row],[POS]]=0,1,0)</f>
        <v>0</v>
      </c>
      <c r="K4441">
        <f>SUM(Table13[[#This Row],[prefix]],Table13[[#This Row],[Past zero L]],Table13[[#This Row],[Past Zero R]],Table13[[#This Row],[Is Zero]])</f>
        <v>0</v>
      </c>
    </row>
    <row r="4442" spans="1:11" ht="16" x14ac:dyDescent="0.2">
      <c r="A4442" s="1" t="s">
        <v>212</v>
      </c>
      <c r="B4442" t="str">
        <f>LEFT(Table13[[#This Row],[Input]],1)</f>
        <v>R</v>
      </c>
      <c r="C4442">
        <f>_xlfn.LET(_xlpm.steps,SUBSTITUTE(Table13[[#This Row],[Input]],Table13[[#This Row],[Direction]],""),VALUE(IF(LEN(_xlpm.steps)&gt;2,RIGHT(_xlpm.steps,2),_xlpm.steps)))</f>
        <v>77</v>
      </c>
      <c r="D4442">
        <f>_xlfn.LET(_xlpm.steps,SUBSTITUTE(Table13[[#This Row],[Input]],Table13[[#This Row],[Direction]],""),VALUE(IF(LEN(_xlpm.steps)&gt;2,LEFT(_xlpm.steps,LEN(_xlpm.steps)-2),0)))</f>
        <v>0</v>
      </c>
      <c r="E4442">
        <f>_xlfn.LET(_xlpm.dir,Table13[[#This Row],[Direction]],
IF(_xlpm.dir="L",
    IF(G4441-Table13[[#This Row],[Steps]]&lt;0,100+(G4441-Table13[[#This Row],[Steps]]),G4441-Table13[[#This Row],[Steps]]),
))</f>
        <v>0</v>
      </c>
      <c r="F4442">
        <f>_xlfn.LET(_xlpm.dir,Table13[[#This Row],[Direction]],
IF(_xlpm.dir="R",
    IF(G4441+Table13[[#This Row],[Steps]]&gt;99,(G4441+Table13[[#This Row],[Steps]])-100,G4441+Table13[[#This Row],[Steps]]),
))</f>
        <v>0</v>
      </c>
      <c r="G4442">
        <f>IF(Table13[[#This Row],[New Pos L]]&lt;&gt;0,Table13[[#This Row],[New Pos L]],Table13[[#This Row],[New Pos R]])</f>
        <v>0</v>
      </c>
      <c r="H4442">
        <f>IF(AND(Table13[[#This Row],[Direction]]="L",Table13[[#This Row],[Steps]]&gt;G4441,G4441&lt;&gt;0),1,0)</f>
        <v>0</v>
      </c>
      <c r="I4442">
        <f>IF(AND(Table13[[#This Row],[Direction]]="R",(G4441+Table13[[#This Row],[Steps]])&gt;100),1,0)</f>
        <v>0</v>
      </c>
      <c r="J4442">
        <f>IF(Table13[[#This Row],[POS]]=0,1,0)</f>
        <v>1</v>
      </c>
      <c r="K4442">
        <f>SUM(Table13[[#This Row],[prefix]],Table13[[#This Row],[Past zero L]],Table13[[#This Row],[Past Zero R]],Table13[[#This Row],[Is Zero]])</f>
        <v>1</v>
      </c>
    </row>
    <row r="4443" spans="1:11" ht="16" x14ac:dyDescent="0.2">
      <c r="A4443" s="1" t="s">
        <v>120</v>
      </c>
      <c r="B4443" t="str">
        <f>LEFT(Table13[[#This Row],[Input]],1)</f>
        <v>L</v>
      </c>
      <c r="C4443">
        <f>_xlfn.LET(_xlpm.steps,SUBSTITUTE(Table13[[#This Row],[Input]],Table13[[#This Row],[Direction]],""),VALUE(IF(LEN(_xlpm.steps)&gt;2,RIGHT(_xlpm.steps,2),_xlpm.steps)))</f>
        <v>23</v>
      </c>
      <c r="D4443">
        <f>_xlfn.LET(_xlpm.steps,SUBSTITUTE(Table13[[#This Row],[Input]],Table13[[#This Row],[Direction]],""),VALUE(IF(LEN(_xlpm.steps)&gt;2,LEFT(_xlpm.steps,LEN(_xlpm.steps)-2),0)))</f>
        <v>0</v>
      </c>
      <c r="E4443">
        <f>_xlfn.LET(_xlpm.dir,Table13[[#This Row],[Direction]],
IF(_xlpm.dir="L",
    IF(G4442-Table13[[#This Row],[Steps]]&lt;0,100+(G4442-Table13[[#This Row],[Steps]]),G4442-Table13[[#This Row],[Steps]]),
))</f>
        <v>77</v>
      </c>
      <c r="F4443">
        <f>_xlfn.LET(_xlpm.dir,Table13[[#This Row],[Direction]],
IF(_xlpm.dir="R",
    IF(G4442+Table13[[#This Row],[Steps]]&gt;99,(G4442+Table13[[#This Row],[Steps]])-100,G4442+Table13[[#This Row],[Steps]]),
))</f>
        <v>0</v>
      </c>
      <c r="G4443">
        <f>IF(Table13[[#This Row],[New Pos L]]&lt;&gt;0,Table13[[#This Row],[New Pos L]],Table13[[#This Row],[New Pos R]])</f>
        <v>77</v>
      </c>
      <c r="H4443">
        <f>IF(AND(Table13[[#This Row],[Direction]]="L",Table13[[#This Row],[Steps]]&gt;G4442,G4442&lt;&gt;0),1,0)</f>
        <v>0</v>
      </c>
      <c r="I4443">
        <f>IF(AND(Table13[[#This Row],[Direction]]="R",(G4442+Table13[[#This Row],[Steps]])&gt;100),1,0)</f>
        <v>0</v>
      </c>
      <c r="J4443">
        <f>IF(Table13[[#This Row],[POS]]=0,1,0)</f>
        <v>0</v>
      </c>
      <c r="K4443">
        <f>SUM(Table13[[#This Row],[prefix]],Table13[[#This Row],[Past zero L]],Table13[[#This Row],[Past Zero R]],Table13[[#This Row],[Is Zero]])</f>
        <v>0</v>
      </c>
    </row>
    <row r="4444" spans="1:11" ht="16" x14ac:dyDescent="0.2">
      <c r="A4444" s="1" t="s">
        <v>68</v>
      </c>
      <c r="B4444" t="str">
        <f>LEFT(Table13[[#This Row],[Input]],1)</f>
        <v>L</v>
      </c>
      <c r="C4444">
        <f>_xlfn.LET(_xlpm.steps,SUBSTITUTE(Table13[[#This Row],[Input]],Table13[[#This Row],[Direction]],""),VALUE(IF(LEN(_xlpm.steps)&gt;2,RIGHT(_xlpm.steps,2),_xlpm.steps)))</f>
        <v>80</v>
      </c>
      <c r="D4444">
        <f>_xlfn.LET(_xlpm.steps,SUBSTITUTE(Table13[[#This Row],[Input]],Table13[[#This Row],[Direction]],""),VALUE(IF(LEN(_xlpm.steps)&gt;2,LEFT(_xlpm.steps,LEN(_xlpm.steps)-2),0)))</f>
        <v>0</v>
      </c>
      <c r="E4444">
        <f>_xlfn.LET(_xlpm.dir,Table13[[#This Row],[Direction]],
IF(_xlpm.dir="L",
    IF(G4443-Table13[[#This Row],[Steps]]&lt;0,100+(G4443-Table13[[#This Row],[Steps]]),G4443-Table13[[#This Row],[Steps]]),
))</f>
        <v>97</v>
      </c>
      <c r="F4444">
        <f>_xlfn.LET(_xlpm.dir,Table13[[#This Row],[Direction]],
IF(_xlpm.dir="R",
    IF(G4443+Table13[[#This Row],[Steps]]&gt;99,(G4443+Table13[[#This Row],[Steps]])-100,G4443+Table13[[#This Row],[Steps]]),
))</f>
        <v>0</v>
      </c>
      <c r="G4444">
        <f>IF(Table13[[#This Row],[New Pos L]]&lt;&gt;0,Table13[[#This Row],[New Pos L]],Table13[[#This Row],[New Pos R]])</f>
        <v>97</v>
      </c>
      <c r="H4444">
        <f>IF(AND(Table13[[#This Row],[Direction]]="L",Table13[[#This Row],[Steps]]&gt;G4443,G4443&lt;&gt;0),1,0)</f>
        <v>1</v>
      </c>
      <c r="I4444">
        <f>IF(AND(Table13[[#This Row],[Direction]]="R",(G4443+Table13[[#This Row],[Steps]])&gt;100),1,0)</f>
        <v>0</v>
      </c>
      <c r="J4444">
        <f>IF(Table13[[#This Row],[POS]]=0,1,0)</f>
        <v>0</v>
      </c>
      <c r="K4444">
        <f>SUM(Table13[[#This Row],[prefix]],Table13[[#This Row],[Past zero L]],Table13[[#This Row],[Past Zero R]],Table13[[#This Row],[Is Zero]])</f>
        <v>1</v>
      </c>
    </row>
    <row r="4445" spans="1:11" ht="16" x14ac:dyDescent="0.2">
      <c r="A4445" s="1" t="s">
        <v>4</v>
      </c>
      <c r="B4445" t="str">
        <f>LEFT(Table13[[#This Row],[Input]],1)</f>
        <v>R</v>
      </c>
      <c r="C4445">
        <f>_xlfn.LET(_xlpm.steps,SUBSTITUTE(Table13[[#This Row],[Input]],Table13[[#This Row],[Direction]],""),VALUE(IF(LEN(_xlpm.steps)&gt;2,RIGHT(_xlpm.steps,2),_xlpm.steps)))</f>
        <v>3</v>
      </c>
      <c r="D4445">
        <f>_xlfn.LET(_xlpm.steps,SUBSTITUTE(Table13[[#This Row],[Input]],Table13[[#This Row],[Direction]],""),VALUE(IF(LEN(_xlpm.steps)&gt;2,LEFT(_xlpm.steps,LEN(_xlpm.steps)-2),0)))</f>
        <v>0</v>
      </c>
      <c r="E4445">
        <f>_xlfn.LET(_xlpm.dir,Table13[[#This Row],[Direction]],
IF(_xlpm.dir="L",
    IF(G4444-Table13[[#This Row],[Steps]]&lt;0,100+(G4444-Table13[[#This Row],[Steps]]),G4444-Table13[[#This Row],[Steps]]),
))</f>
        <v>0</v>
      </c>
      <c r="F4445">
        <f>_xlfn.LET(_xlpm.dir,Table13[[#This Row],[Direction]],
IF(_xlpm.dir="R",
    IF(G4444+Table13[[#This Row],[Steps]]&gt;99,(G4444+Table13[[#This Row],[Steps]])-100,G4444+Table13[[#This Row],[Steps]]),
))</f>
        <v>0</v>
      </c>
      <c r="G4445">
        <f>IF(Table13[[#This Row],[New Pos L]]&lt;&gt;0,Table13[[#This Row],[New Pos L]],Table13[[#This Row],[New Pos R]])</f>
        <v>0</v>
      </c>
      <c r="H4445">
        <f>IF(AND(Table13[[#This Row],[Direction]]="L",Table13[[#This Row],[Steps]]&gt;G4444,G4444&lt;&gt;0),1,0)</f>
        <v>0</v>
      </c>
      <c r="I4445">
        <f>IF(AND(Table13[[#This Row],[Direction]]="R",(G4444+Table13[[#This Row],[Steps]])&gt;100),1,0)</f>
        <v>0</v>
      </c>
      <c r="J4445">
        <f>IF(Table13[[#This Row],[POS]]=0,1,0)</f>
        <v>1</v>
      </c>
      <c r="K4445">
        <f>SUM(Table13[[#This Row],[prefix]],Table13[[#This Row],[Past zero L]],Table13[[#This Row],[Past Zero R]],Table13[[#This Row],[Is Zero]])</f>
        <v>1</v>
      </c>
    </row>
    <row r="4446" spans="1:11" ht="16" x14ac:dyDescent="0.2">
      <c r="A4446" s="1" t="s">
        <v>288</v>
      </c>
      <c r="B4446" t="str">
        <f>LEFT(Table13[[#This Row],[Input]],1)</f>
        <v>R</v>
      </c>
      <c r="C4446">
        <f>_xlfn.LET(_xlpm.steps,SUBSTITUTE(Table13[[#This Row],[Input]],Table13[[#This Row],[Direction]],""),VALUE(IF(LEN(_xlpm.steps)&gt;2,RIGHT(_xlpm.steps,2),_xlpm.steps)))</f>
        <v>25</v>
      </c>
      <c r="D4446">
        <f>_xlfn.LET(_xlpm.steps,SUBSTITUTE(Table13[[#This Row],[Input]],Table13[[#This Row],[Direction]],""),VALUE(IF(LEN(_xlpm.steps)&gt;2,LEFT(_xlpm.steps,LEN(_xlpm.steps)-2),0)))</f>
        <v>0</v>
      </c>
      <c r="E4446">
        <f>_xlfn.LET(_xlpm.dir,Table13[[#This Row],[Direction]],
IF(_xlpm.dir="L",
    IF(G4445-Table13[[#This Row],[Steps]]&lt;0,100+(G4445-Table13[[#This Row],[Steps]]),G4445-Table13[[#This Row],[Steps]]),
))</f>
        <v>0</v>
      </c>
      <c r="F4446">
        <f>_xlfn.LET(_xlpm.dir,Table13[[#This Row],[Direction]],
IF(_xlpm.dir="R",
    IF(G4445+Table13[[#This Row],[Steps]]&gt;99,(G4445+Table13[[#This Row],[Steps]])-100,G4445+Table13[[#This Row],[Steps]]),
))</f>
        <v>25</v>
      </c>
      <c r="G4446">
        <f>IF(Table13[[#This Row],[New Pos L]]&lt;&gt;0,Table13[[#This Row],[New Pos L]],Table13[[#This Row],[New Pos R]])</f>
        <v>25</v>
      </c>
      <c r="H4446">
        <f>IF(AND(Table13[[#This Row],[Direction]]="L",Table13[[#This Row],[Steps]]&gt;G4445,G4445&lt;&gt;0),1,0)</f>
        <v>0</v>
      </c>
      <c r="I4446">
        <f>IF(AND(Table13[[#This Row],[Direction]]="R",(G4445+Table13[[#This Row],[Steps]])&gt;100),1,0)</f>
        <v>0</v>
      </c>
      <c r="J4446">
        <f>IF(Table13[[#This Row],[POS]]=0,1,0)</f>
        <v>0</v>
      </c>
      <c r="K4446">
        <f>SUM(Table13[[#This Row],[prefix]],Table13[[#This Row],[Past zero L]],Table13[[#This Row],[Past Zero R]],Table13[[#This Row],[Is Zero]])</f>
        <v>0</v>
      </c>
    </row>
    <row r="4447" spans="1:11" ht="16" x14ac:dyDescent="0.2">
      <c r="A4447" s="1" t="s">
        <v>89</v>
      </c>
      <c r="B4447" t="str">
        <f>LEFT(Table13[[#This Row],[Input]],1)</f>
        <v>L</v>
      </c>
      <c r="C4447">
        <f>_xlfn.LET(_xlpm.steps,SUBSTITUTE(Table13[[#This Row],[Input]],Table13[[#This Row],[Direction]],""),VALUE(IF(LEN(_xlpm.steps)&gt;2,RIGHT(_xlpm.steps,2),_xlpm.steps)))</f>
        <v>91</v>
      </c>
      <c r="D4447">
        <f>_xlfn.LET(_xlpm.steps,SUBSTITUTE(Table13[[#This Row],[Input]],Table13[[#This Row],[Direction]],""),VALUE(IF(LEN(_xlpm.steps)&gt;2,LEFT(_xlpm.steps,LEN(_xlpm.steps)-2),0)))</f>
        <v>0</v>
      </c>
      <c r="E4447">
        <f>_xlfn.LET(_xlpm.dir,Table13[[#This Row],[Direction]],
IF(_xlpm.dir="L",
    IF(G4446-Table13[[#This Row],[Steps]]&lt;0,100+(G4446-Table13[[#This Row],[Steps]]),G4446-Table13[[#This Row],[Steps]]),
))</f>
        <v>34</v>
      </c>
      <c r="F4447">
        <f>_xlfn.LET(_xlpm.dir,Table13[[#This Row],[Direction]],
IF(_xlpm.dir="R",
    IF(G4446+Table13[[#This Row],[Steps]]&gt;99,(G4446+Table13[[#This Row],[Steps]])-100,G4446+Table13[[#This Row],[Steps]]),
))</f>
        <v>0</v>
      </c>
      <c r="G4447">
        <f>IF(Table13[[#This Row],[New Pos L]]&lt;&gt;0,Table13[[#This Row],[New Pos L]],Table13[[#This Row],[New Pos R]])</f>
        <v>34</v>
      </c>
      <c r="H4447">
        <f>IF(AND(Table13[[#This Row],[Direction]]="L",Table13[[#This Row],[Steps]]&gt;G4446,G4446&lt;&gt;0),1,0)</f>
        <v>1</v>
      </c>
      <c r="I4447">
        <f>IF(AND(Table13[[#This Row],[Direction]]="R",(G4446+Table13[[#This Row],[Steps]])&gt;100),1,0)</f>
        <v>0</v>
      </c>
      <c r="J4447">
        <f>IF(Table13[[#This Row],[POS]]=0,1,0)</f>
        <v>0</v>
      </c>
      <c r="K4447">
        <f>SUM(Table13[[#This Row],[prefix]],Table13[[#This Row],[Past zero L]],Table13[[#This Row],[Past Zero R]],Table13[[#This Row],[Is Zero]])</f>
        <v>1</v>
      </c>
    </row>
    <row r="4448" spans="1:11" ht="16" x14ac:dyDescent="0.2">
      <c r="A4448" s="1" t="s">
        <v>108</v>
      </c>
      <c r="B4448" t="str">
        <f>LEFT(Table13[[#This Row],[Input]],1)</f>
        <v>R</v>
      </c>
      <c r="C4448">
        <f>_xlfn.LET(_xlpm.steps,SUBSTITUTE(Table13[[#This Row],[Input]],Table13[[#This Row],[Direction]],""),VALUE(IF(LEN(_xlpm.steps)&gt;2,RIGHT(_xlpm.steps,2),_xlpm.steps)))</f>
        <v>66</v>
      </c>
      <c r="D4448">
        <f>_xlfn.LET(_xlpm.steps,SUBSTITUTE(Table13[[#This Row],[Input]],Table13[[#This Row],[Direction]],""),VALUE(IF(LEN(_xlpm.steps)&gt;2,LEFT(_xlpm.steps,LEN(_xlpm.steps)-2),0)))</f>
        <v>0</v>
      </c>
      <c r="E4448">
        <f>_xlfn.LET(_xlpm.dir,Table13[[#This Row],[Direction]],
IF(_xlpm.dir="L",
    IF(G4447-Table13[[#This Row],[Steps]]&lt;0,100+(G4447-Table13[[#This Row],[Steps]]),G4447-Table13[[#This Row],[Steps]]),
))</f>
        <v>0</v>
      </c>
      <c r="F4448">
        <f>_xlfn.LET(_xlpm.dir,Table13[[#This Row],[Direction]],
IF(_xlpm.dir="R",
    IF(G4447+Table13[[#This Row],[Steps]]&gt;99,(G4447+Table13[[#This Row],[Steps]])-100,G4447+Table13[[#This Row],[Steps]]),
))</f>
        <v>0</v>
      </c>
      <c r="G4448">
        <f>IF(Table13[[#This Row],[New Pos L]]&lt;&gt;0,Table13[[#This Row],[New Pos L]],Table13[[#This Row],[New Pos R]])</f>
        <v>0</v>
      </c>
      <c r="H4448">
        <f>IF(AND(Table13[[#This Row],[Direction]]="L",Table13[[#This Row],[Steps]]&gt;G4447,G4447&lt;&gt;0),1,0)</f>
        <v>0</v>
      </c>
      <c r="I4448">
        <f>IF(AND(Table13[[#This Row],[Direction]]="R",(G4447+Table13[[#This Row],[Steps]])&gt;100),1,0)</f>
        <v>0</v>
      </c>
      <c r="J4448">
        <f>IF(Table13[[#This Row],[POS]]=0,1,0)</f>
        <v>1</v>
      </c>
      <c r="K4448">
        <f>SUM(Table13[[#This Row],[prefix]],Table13[[#This Row],[Past zero L]],Table13[[#This Row],[Past Zero R]],Table13[[#This Row],[Is Zero]])</f>
        <v>1</v>
      </c>
    </row>
    <row r="4449" spans="1:11" ht="16" x14ac:dyDescent="0.2">
      <c r="A4449" s="1" t="s">
        <v>104</v>
      </c>
      <c r="B4449" t="str">
        <f>LEFT(Table13[[#This Row],[Input]],1)</f>
        <v>R</v>
      </c>
      <c r="C4449">
        <f>_xlfn.LET(_xlpm.steps,SUBSTITUTE(Table13[[#This Row],[Input]],Table13[[#This Row],[Direction]],""),VALUE(IF(LEN(_xlpm.steps)&gt;2,RIGHT(_xlpm.steps,2),_xlpm.steps)))</f>
        <v>59</v>
      </c>
      <c r="D4449">
        <f>_xlfn.LET(_xlpm.steps,SUBSTITUTE(Table13[[#This Row],[Input]],Table13[[#This Row],[Direction]],""),VALUE(IF(LEN(_xlpm.steps)&gt;2,LEFT(_xlpm.steps,LEN(_xlpm.steps)-2),0)))</f>
        <v>0</v>
      </c>
      <c r="E4449">
        <f>_xlfn.LET(_xlpm.dir,Table13[[#This Row],[Direction]],
IF(_xlpm.dir="L",
    IF(G4448-Table13[[#This Row],[Steps]]&lt;0,100+(G4448-Table13[[#This Row],[Steps]]),G4448-Table13[[#This Row],[Steps]]),
))</f>
        <v>0</v>
      </c>
      <c r="F4449">
        <f>_xlfn.LET(_xlpm.dir,Table13[[#This Row],[Direction]],
IF(_xlpm.dir="R",
    IF(G4448+Table13[[#This Row],[Steps]]&gt;99,(G4448+Table13[[#This Row],[Steps]])-100,G4448+Table13[[#This Row],[Steps]]),
))</f>
        <v>59</v>
      </c>
      <c r="G4449">
        <f>IF(Table13[[#This Row],[New Pos L]]&lt;&gt;0,Table13[[#This Row],[New Pos L]],Table13[[#This Row],[New Pos R]])</f>
        <v>59</v>
      </c>
      <c r="H4449">
        <f>IF(AND(Table13[[#This Row],[Direction]]="L",Table13[[#This Row],[Steps]]&gt;G4448,G4448&lt;&gt;0),1,0)</f>
        <v>0</v>
      </c>
      <c r="I4449">
        <f>IF(AND(Table13[[#This Row],[Direction]]="R",(G4448+Table13[[#This Row],[Steps]])&gt;100),1,0)</f>
        <v>0</v>
      </c>
      <c r="J4449">
        <f>IF(Table13[[#This Row],[POS]]=0,1,0)</f>
        <v>0</v>
      </c>
      <c r="K4449">
        <f>SUM(Table13[[#This Row],[prefix]],Table13[[#This Row],[Past zero L]],Table13[[#This Row],[Past Zero R]],Table13[[#This Row],[Is Zero]])</f>
        <v>0</v>
      </c>
    </row>
    <row r="4450" spans="1:11" ht="16" x14ac:dyDescent="0.2">
      <c r="A4450" s="1" t="s">
        <v>174</v>
      </c>
      <c r="B4450" t="str">
        <f>LEFT(Table13[[#This Row],[Input]],1)</f>
        <v>L</v>
      </c>
      <c r="C4450">
        <f>_xlfn.LET(_xlpm.steps,SUBSTITUTE(Table13[[#This Row],[Input]],Table13[[#This Row],[Direction]],""),VALUE(IF(LEN(_xlpm.steps)&gt;2,RIGHT(_xlpm.steps,2),_xlpm.steps)))</f>
        <v>92</v>
      </c>
      <c r="D4450">
        <f>_xlfn.LET(_xlpm.steps,SUBSTITUTE(Table13[[#This Row],[Input]],Table13[[#This Row],[Direction]],""),VALUE(IF(LEN(_xlpm.steps)&gt;2,LEFT(_xlpm.steps,LEN(_xlpm.steps)-2),0)))</f>
        <v>0</v>
      </c>
      <c r="E4450">
        <f>_xlfn.LET(_xlpm.dir,Table13[[#This Row],[Direction]],
IF(_xlpm.dir="L",
    IF(G4449-Table13[[#This Row],[Steps]]&lt;0,100+(G4449-Table13[[#This Row],[Steps]]),G4449-Table13[[#This Row],[Steps]]),
))</f>
        <v>67</v>
      </c>
      <c r="F4450">
        <f>_xlfn.LET(_xlpm.dir,Table13[[#This Row],[Direction]],
IF(_xlpm.dir="R",
    IF(G4449+Table13[[#This Row],[Steps]]&gt;99,(G4449+Table13[[#This Row],[Steps]])-100,G4449+Table13[[#This Row],[Steps]]),
))</f>
        <v>0</v>
      </c>
      <c r="G4450">
        <f>IF(Table13[[#This Row],[New Pos L]]&lt;&gt;0,Table13[[#This Row],[New Pos L]],Table13[[#This Row],[New Pos R]])</f>
        <v>67</v>
      </c>
      <c r="H4450">
        <f>IF(AND(Table13[[#This Row],[Direction]]="L",Table13[[#This Row],[Steps]]&gt;G4449,G4449&lt;&gt;0),1,0)</f>
        <v>1</v>
      </c>
      <c r="I4450">
        <f>IF(AND(Table13[[#This Row],[Direction]]="R",(G4449+Table13[[#This Row],[Steps]])&gt;100),1,0)</f>
        <v>0</v>
      </c>
      <c r="J4450">
        <f>IF(Table13[[#This Row],[POS]]=0,1,0)</f>
        <v>0</v>
      </c>
      <c r="K4450">
        <f>SUM(Table13[[#This Row],[prefix]],Table13[[#This Row],[Past zero L]],Table13[[#This Row],[Past Zero R]],Table13[[#This Row],[Is Zero]])</f>
        <v>1</v>
      </c>
    </row>
    <row r="4451" spans="1:11" ht="16" x14ac:dyDescent="0.2">
      <c r="A4451" s="1" t="s">
        <v>319</v>
      </c>
      <c r="B4451" t="str">
        <f>LEFT(Table13[[#This Row],[Input]],1)</f>
        <v>L</v>
      </c>
      <c r="C4451">
        <f>_xlfn.LET(_xlpm.steps,SUBSTITUTE(Table13[[#This Row],[Input]],Table13[[#This Row],[Direction]],""),VALUE(IF(LEN(_xlpm.steps)&gt;2,RIGHT(_xlpm.steps,2),_xlpm.steps)))</f>
        <v>79</v>
      </c>
      <c r="D4451">
        <f>_xlfn.LET(_xlpm.steps,SUBSTITUTE(Table13[[#This Row],[Input]],Table13[[#This Row],[Direction]],""),VALUE(IF(LEN(_xlpm.steps)&gt;2,LEFT(_xlpm.steps,LEN(_xlpm.steps)-2),0)))</f>
        <v>0</v>
      </c>
      <c r="E4451">
        <f>_xlfn.LET(_xlpm.dir,Table13[[#This Row],[Direction]],
IF(_xlpm.dir="L",
    IF(G4450-Table13[[#This Row],[Steps]]&lt;0,100+(G4450-Table13[[#This Row],[Steps]]),G4450-Table13[[#This Row],[Steps]]),
))</f>
        <v>88</v>
      </c>
      <c r="F4451">
        <f>_xlfn.LET(_xlpm.dir,Table13[[#This Row],[Direction]],
IF(_xlpm.dir="R",
    IF(G4450+Table13[[#This Row],[Steps]]&gt;99,(G4450+Table13[[#This Row],[Steps]])-100,G4450+Table13[[#This Row],[Steps]]),
))</f>
        <v>0</v>
      </c>
      <c r="G4451">
        <f>IF(Table13[[#This Row],[New Pos L]]&lt;&gt;0,Table13[[#This Row],[New Pos L]],Table13[[#This Row],[New Pos R]])</f>
        <v>88</v>
      </c>
      <c r="H4451">
        <f>IF(AND(Table13[[#This Row],[Direction]]="L",Table13[[#This Row],[Steps]]&gt;G4450,G4450&lt;&gt;0),1,0)</f>
        <v>1</v>
      </c>
      <c r="I4451">
        <f>IF(AND(Table13[[#This Row],[Direction]]="R",(G4450+Table13[[#This Row],[Steps]])&gt;100),1,0)</f>
        <v>0</v>
      </c>
      <c r="J4451">
        <f>IF(Table13[[#This Row],[POS]]=0,1,0)</f>
        <v>0</v>
      </c>
      <c r="K4451">
        <f>SUM(Table13[[#This Row],[prefix]],Table13[[#This Row],[Past zero L]],Table13[[#This Row],[Past Zero R]],Table13[[#This Row],[Is Zero]])</f>
        <v>1</v>
      </c>
    </row>
    <row r="4452" spans="1:11" ht="16" x14ac:dyDescent="0.2">
      <c r="A4452" s="1" t="s">
        <v>157</v>
      </c>
      <c r="B4452" t="str">
        <f>LEFT(Table13[[#This Row],[Input]],1)</f>
        <v>R</v>
      </c>
      <c r="C4452">
        <f>_xlfn.LET(_xlpm.steps,SUBSTITUTE(Table13[[#This Row],[Input]],Table13[[#This Row],[Direction]],""),VALUE(IF(LEN(_xlpm.steps)&gt;2,RIGHT(_xlpm.steps,2),_xlpm.steps)))</f>
        <v>68</v>
      </c>
      <c r="D4452">
        <f>_xlfn.LET(_xlpm.steps,SUBSTITUTE(Table13[[#This Row],[Input]],Table13[[#This Row],[Direction]],""),VALUE(IF(LEN(_xlpm.steps)&gt;2,LEFT(_xlpm.steps,LEN(_xlpm.steps)-2),0)))</f>
        <v>0</v>
      </c>
      <c r="E4452">
        <f>_xlfn.LET(_xlpm.dir,Table13[[#This Row],[Direction]],
IF(_xlpm.dir="L",
    IF(G4451-Table13[[#This Row],[Steps]]&lt;0,100+(G4451-Table13[[#This Row],[Steps]]),G4451-Table13[[#This Row],[Steps]]),
))</f>
        <v>0</v>
      </c>
      <c r="F4452">
        <f>_xlfn.LET(_xlpm.dir,Table13[[#This Row],[Direction]],
IF(_xlpm.dir="R",
    IF(G4451+Table13[[#This Row],[Steps]]&gt;99,(G4451+Table13[[#This Row],[Steps]])-100,G4451+Table13[[#This Row],[Steps]]),
))</f>
        <v>56</v>
      </c>
      <c r="G4452">
        <f>IF(Table13[[#This Row],[New Pos L]]&lt;&gt;0,Table13[[#This Row],[New Pos L]],Table13[[#This Row],[New Pos R]])</f>
        <v>56</v>
      </c>
      <c r="H4452">
        <f>IF(AND(Table13[[#This Row],[Direction]]="L",Table13[[#This Row],[Steps]]&gt;G4451,G4451&lt;&gt;0),1,0)</f>
        <v>0</v>
      </c>
      <c r="I4452">
        <f>IF(AND(Table13[[#This Row],[Direction]]="R",(G4451+Table13[[#This Row],[Steps]])&gt;100),1,0)</f>
        <v>1</v>
      </c>
      <c r="J4452">
        <f>IF(Table13[[#This Row],[POS]]=0,1,0)</f>
        <v>0</v>
      </c>
      <c r="K4452">
        <f>SUM(Table13[[#This Row],[prefix]],Table13[[#This Row],[Past zero L]],Table13[[#This Row],[Past Zero R]],Table13[[#This Row],[Is Zero]])</f>
        <v>1</v>
      </c>
    </row>
    <row r="4453" spans="1:11" ht="16" x14ac:dyDescent="0.2">
      <c r="A4453" s="1" t="s">
        <v>3</v>
      </c>
      <c r="B4453" t="str">
        <f>LEFT(Table13[[#This Row],[Input]],1)</f>
        <v>R</v>
      </c>
      <c r="C4453">
        <f>_xlfn.LET(_xlpm.steps,SUBSTITUTE(Table13[[#This Row],[Input]],Table13[[#This Row],[Direction]],""),VALUE(IF(LEN(_xlpm.steps)&gt;2,RIGHT(_xlpm.steps,2),_xlpm.steps)))</f>
        <v>44</v>
      </c>
      <c r="D4453">
        <f>_xlfn.LET(_xlpm.steps,SUBSTITUTE(Table13[[#This Row],[Input]],Table13[[#This Row],[Direction]],""),VALUE(IF(LEN(_xlpm.steps)&gt;2,LEFT(_xlpm.steps,LEN(_xlpm.steps)-2),0)))</f>
        <v>0</v>
      </c>
      <c r="E4453">
        <f>_xlfn.LET(_xlpm.dir,Table13[[#This Row],[Direction]],
IF(_xlpm.dir="L",
    IF(G4452-Table13[[#This Row],[Steps]]&lt;0,100+(G4452-Table13[[#This Row],[Steps]]),G4452-Table13[[#This Row],[Steps]]),
))</f>
        <v>0</v>
      </c>
      <c r="F4453">
        <f>_xlfn.LET(_xlpm.dir,Table13[[#This Row],[Direction]],
IF(_xlpm.dir="R",
    IF(G4452+Table13[[#This Row],[Steps]]&gt;99,(G4452+Table13[[#This Row],[Steps]])-100,G4452+Table13[[#This Row],[Steps]]),
))</f>
        <v>0</v>
      </c>
      <c r="G4453">
        <f>IF(Table13[[#This Row],[New Pos L]]&lt;&gt;0,Table13[[#This Row],[New Pos L]],Table13[[#This Row],[New Pos R]])</f>
        <v>0</v>
      </c>
      <c r="H4453">
        <f>IF(AND(Table13[[#This Row],[Direction]]="L",Table13[[#This Row],[Steps]]&gt;G4452,G4452&lt;&gt;0),1,0)</f>
        <v>0</v>
      </c>
      <c r="I4453">
        <f>IF(AND(Table13[[#This Row],[Direction]]="R",(G4452+Table13[[#This Row],[Steps]])&gt;100),1,0)</f>
        <v>0</v>
      </c>
      <c r="J4453">
        <f>IF(Table13[[#This Row],[POS]]=0,1,0)</f>
        <v>1</v>
      </c>
      <c r="K4453">
        <f>SUM(Table13[[#This Row],[prefix]],Table13[[#This Row],[Past zero L]],Table13[[#This Row],[Past Zero R]],Table13[[#This Row],[Is Zero]])</f>
        <v>1</v>
      </c>
    </row>
    <row r="4454" spans="1:11" ht="16" x14ac:dyDescent="0.2">
      <c r="A4454" s="1" t="s">
        <v>44</v>
      </c>
      <c r="B4454" t="str">
        <f>LEFT(Table13[[#This Row],[Input]],1)</f>
        <v>R</v>
      </c>
      <c r="C4454">
        <f>_xlfn.LET(_xlpm.steps,SUBSTITUTE(Table13[[#This Row],[Input]],Table13[[#This Row],[Direction]],""),VALUE(IF(LEN(_xlpm.steps)&gt;2,RIGHT(_xlpm.steps,2),_xlpm.steps)))</f>
        <v>96</v>
      </c>
      <c r="D4454">
        <f>_xlfn.LET(_xlpm.steps,SUBSTITUTE(Table13[[#This Row],[Input]],Table13[[#This Row],[Direction]],""),VALUE(IF(LEN(_xlpm.steps)&gt;2,LEFT(_xlpm.steps,LEN(_xlpm.steps)-2),0)))</f>
        <v>0</v>
      </c>
      <c r="E4454">
        <f>_xlfn.LET(_xlpm.dir,Table13[[#This Row],[Direction]],
IF(_xlpm.dir="L",
    IF(G4453-Table13[[#This Row],[Steps]]&lt;0,100+(G4453-Table13[[#This Row],[Steps]]),G4453-Table13[[#This Row],[Steps]]),
))</f>
        <v>0</v>
      </c>
      <c r="F4454">
        <f>_xlfn.LET(_xlpm.dir,Table13[[#This Row],[Direction]],
IF(_xlpm.dir="R",
    IF(G4453+Table13[[#This Row],[Steps]]&gt;99,(G4453+Table13[[#This Row],[Steps]])-100,G4453+Table13[[#This Row],[Steps]]),
))</f>
        <v>96</v>
      </c>
      <c r="G4454">
        <f>IF(Table13[[#This Row],[New Pos L]]&lt;&gt;0,Table13[[#This Row],[New Pos L]],Table13[[#This Row],[New Pos R]])</f>
        <v>96</v>
      </c>
      <c r="H4454">
        <f>IF(AND(Table13[[#This Row],[Direction]]="L",Table13[[#This Row],[Steps]]&gt;G4453,G4453&lt;&gt;0),1,0)</f>
        <v>0</v>
      </c>
      <c r="I4454">
        <f>IF(AND(Table13[[#This Row],[Direction]]="R",(G4453+Table13[[#This Row],[Steps]])&gt;100),1,0)</f>
        <v>0</v>
      </c>
      <c r="J4454">
        <f>IF(Table13[[#This Row],[POS]]=0,1,0)</f>
        <v>0</v>
      </c>
      <c r="K4454">
        <f>SUM(Table13[[#This Row],[prefix]],Table13[[#This Row],[Past zero L]],Table13[[#This Row],[Past Zero R]],Table13[[#This Row],[Is Zero]])</f>
        <v>0</v>
      </c>
    </row>
    <row r="4455" spans="1:11" ht="16" x14ac:dyDescent="0.2">
      <c r="A4455" s="1" t="s">
        <v>15</v>
      </c>
      <c r="B4455" t="str">
        <f>LEFT(Table13[[#This Row],[Input]],1)</f>
        <v>R</v>
      </c>
      <c r="C4455">
        <f>_xlfn.LET(_xlpm.steps,SUBSTITUTE(Table13[[#This Row],[Input]],Table13[[#This Row],[Direction]],""),VALUE(IF(LEN(_xlpm.steps)&gt;2,RIGHT(_xlpm.steps,2),_xlpm.steps)))</f>
        <v>36</v>
      </c>
      <c r="D4455">
        <f>_xlfn.LET(_xlpm.steps,SUBSTITUTE(Table13[[#This Row],[Input]],Table13[[#This Row],[Direction]],""),VALUE(IF(LEN(_xlpm.steps)&gt;2,LEFT(_xlpm.steps,LEN(_xlpm.steps)-2),0)))</f>
        <v>0</v>
      </c>
      <c r="E4455">
        <f>_xlfn.LET(_xlpm.dir,Table13[[#This Row],[Direction]],
IF(_xlpm.dir="L",
    IF(G4454-Table13[[#This Row],[Steps]]&lt;0,100+(G4454-Table13[[#This Row],[Steps]]),G4454-Table13[[#This Row],[Steps]]),
))</f>
        <v>0</v>
      </c>
      <c r="F4455">
        <f>_xlfn.LET(_xlpm.dir,Table13[[#This Row],[Direction]],
IF(_xlpm.dir="R",
    IF(G4454+Table13[[#This Row],[Steps]]&gt;99,(G4454+Table13[[#This Row],[Steps]])-100,G4454+Table13[[#This Row],[Steps]]),
))</f>
        <v>32</v>
      </c>
      <c r="G4455">
        <f>IF(Table13[[#This Row],[New Pos L]]&lt;&gt;0,Table13[[#This Row],[New Pos L]],Table13[[#This Row],[New Pos R]])</f>
        <v>32</v>
      </c>
      <c r="H4455">
        <f>IF(AND(Table13[[#This Row],[Direction]]="L",Table13[[#This Row],[Steps]]&gt;G4454,G4454&lt;&gt;0),1,0)</f>
        <v>0</v>
      </c>
      <c r="I4455">
        <f>IF(AND(Table13[[#This Row],[Direction]]="R",(G4454+Table13[[#This Row],[Steps]])&gt;100),1,0)</f>
        <v>1</v>
      </c>
      <c r="J4455">
        <f>IF(Table13[[#This Row],[POS]]=0,1,0)</f>
        <v>0</v>
      </c>
      <c r="K4455">
        <f>SUM(Table13[[#This Row],[prefix]],Table13[[#This Row],[Past zero L]],Table13[[#This Row],[Past Zero R]],Table13[[#This Row],[Is Zero]])</f>
        <v>1</v>
      </c>
    </row>
    <row r="4456" spans="1:11" ht="16" x14ac:dyDescent="0.2">
      <c r="A4456" s="1" t="s">
        <v>167</v>
      </c>
      <c r="B4456" t="str">
        <f>LEFT(Table13[[#This Row],[Input]],1)</f>
        <v>L</v>
      </c>
      <c r="C4456">
        <f>_xlfn.LET(_xlpm.steps,SUBSTITUTE(Table13[[#This Row],[Input]],Table13[[#This Row],[Direction]],""),VALUE(IF(LEN(_xlpm.steps)&gt;2,RIGHT(_xlpm.steps,2),_xlpm.steps)))</f>
        <v>59</v>
      </c>
      <c r="D4456">
        <f>_xlfn.LET(_xlpm.steps,SUBSTITUTE(Table13[[#This Row],[Input]],Table13[[#This Row],[Direction]],""),VALUE(IF(LEN(_xlpm.steps)&gt;2,LEFT(_xlpm.steps,LEN(_xlpm.steps)-2),0)))</f>
        <v>0</v>
      </c>
      <c r="E4456">
        <f>_xlfn.LET(_xlpm.dir,Table13[[#This Row],[Direction]],
IF(_xlpm.dir="L",
    IF(G4455-Table13[[#This Row],[Steps]]&lt;0,100+(G4455-Table13[[#This Row],[Steps]]),G4455-Table13[[#This Row],[Steps]]),
))</f>
        <v>73</v>
      </c>
      <c r="F4456">
        <f>_xlfn.LET(_xlpm.dir,Table13[[#This Row],[Direction]],
IF(_xlpm.dir="R",
    IF(G4455+Table13[[#This Row],[Steps]]&gt;99,(G4455+Table13[[#This Row],[Steps]])-100,G4455+Table13[[#This Row],[Steps]]),
))</f>
        <v>0</v>
      </c>
      <c r="G4456">
        <f>IF(Table13[[#This Row],[New Pos L]]&lt;&gt;0,Table13[[#This Row],[New Pos L]],Table13[[#This Row],[New Pos R]])</f>
        <v>73</v>
      </c>
      <c r="H4456">
        <f>IF(AND(Table13[[#This Row],[Direction]]="L",Table13[[#This Row],[Steps]]&gt;G4455,G4455&lt;&gt;0),1,0)</f>
        <v>1</v>
      </c>
      <c r="I4456">
        <f>IF(AND(Table13[[#This Row],[Direction]]="R",(G4455+Table13[[#This Row],[Steps]])&gt;100),1,0)</f>
        <v>0</v>
      </c>
      <c r="J4456">
        <f>IF(Table13[[#This Row],[POS]]=0,1,0)</f>
        <v>0</v>
      </c>
      <c r="K4456">
        <f>SUM(Table13[[#This Row],[prefix]],Table13[[#This Row],[Past zero L]],Table13[[#This Row],[Past Zero R]],Table13[[#This Row],[Is Zero]])</f>
        <v>1</v>
      </c>
    </row>
    <row r="4457" spans="1:11" ht="16" x14ac:dyDescent="0.2">
      <c r="A4457" s="1" t="s">
        <v>27</v>
      </c>
      <c r="B4457" t="str">
        <f>LEFT(Table13[[#This Row],[Input]],1)</f>
        <v>L</v>
      </c>
      <c r="C4457">
        <f>_xlfn.LET(_xlpm.steps,SUBSTITUTE(Table13[[#This Row],[Input]],Table13[[#This Row],[Direction]],""),VALUE(IF(LEN(_xlpm.steps)&gt;2,RIGHT(_xlpm.steps,2),_xlpm.steps)))</f>
        <v>14</v>
      </c>
      <c r="D4457">
        <f>_xlfn.LET(_xlpm.steps,SUBSTITUTE(Table13[[#This Row],[Input]],Table13[[#This Row],[Direction]],""),VALUE(IF(LEN(_xlpm.steps)&gt;2,LEFT(_xlpm.steps,LEN(_xlpm.steps)-2),0)))</f>
        <v>0</v>
      </c>
      <c r="E4457">
        <f>_xlfn.LET(_xlpm.dir,Table13[[#This Row],[Direction]],
IF(_xlpm.dir="L",
    IF(G4456-Table13[[#This Row],[Steps]]&lt;0,100+(G4456-Table13[[#This Row],[Steps]]),G4456-Table13[[#This Row],[Steps]]),
))</f>
        <v>59</v>
      </c>
      <c r="F4457">
        <f>_xlfn.LET(_xlpm.dir,Table13[[#This Row],[Direction]],
IF(_xlpm.dir="R",
    IF(G4456+Table13[[#This Row],[Steps]]&gt;99,(G4456+Table13[[#This Row],[Steps]])-100,G4456+Table13[[#This Row],[Steps]]),
))</f>
        <v>0</v>
      </c>
      <c r="G4457">
        <f>IF(Table13[[#This Row],[New Pos L]]&lt;&gt;0,Table13[[#This Row],[New Pos L]],Table13[[#This Row],[New Pos R]])</f>
        <v>59</v>
      </c>
      <c r="H4457">
        <f>IF(AND(Table13[[#This Row],[Direction]]="L",Table13[[#This Row],[Steps]]&gt;G4456,G4456&lt;&gt;0),1,0)</f>
        <v>0</v>
      </c>
      <c r="I4457">
        <f>IF(AND(Table13[[#This Row],[Direction]]="R",(G4456+Table13[[#This Row],[Steps]])&gt;100),1,0)</f>
        <v>0</v>
      </c>
      <c r="J4457">
        <f>IF(Table13[[#This Row],[POS]]=0,1,0)</f>
        <v>0</v>
      </c>
      <c r="K4457">
        <f>SUM(Table13[[#This Row],[prefix]],Table13[[#This Row],[Past zero L]],Table13[[#This Row],[Past Zero R]],Table13[[#This Row],[Is Zero]])</f>
        <v>0</v>
      </c>
    </row>
    <row r="4458" spans="1:11" ht="16" x14ac:dyDescent="0.2">
      <c r="A4458" s="1" t="s">
        <v>49</v>
      </c>
      <c r="B4458" t="str">
        <f>LEFT(Table13[[#This Row],[Input]],1)</f>
        <v>L</v>
      </c>
      <c r="C4458">
        <f>_xlfn.LET(_xlpm.steps,SUBSTITUTE(Table13[[#This Row],[Input]],Table13[[#This Row],[Direction]],""),VALUE(IF(LEN(_xlpm.steps)&gt;2,RIGHT(_xlpm.steps,2),_xlpm.steps)))</f>
        <v>93</v>
      </c>
      <c r="D4458">
        <f>_xlfn.LET(_xlpm.steps,SUBSTITUTE(Table13[[#This Row],[Input]],Table13[[#This Row],[Direction]],""),VALUE(IF(LEN(_xlpm.steps)&gt;2,LEFT(_xlpm.steps,LEN(_xlpm.steps)-2),0)))</f>
        <v>0</v>
      </c>
      <c r="E4458">
        <f>_xlfn.LET(_xlpm.dir,Table13[[#This Row],[Direction]],
IF(_xlpm.dir="L",
    IF(G4457-Table13[[#This Row],[Steps]]&lt;0,100+(G4457-Table13[[#This Row],[Steps]]),G4457-Table13[[#This Row],[Steps]]),
))</f>
        <v>66</v>
      </c>
      <c r="F4458">
        <f>_xlfn.LET(_xlpm.dir,Table13[[#This Row],[Direction]],
IF(_xlpm.dir="R",
    IF(G4457+Table13[[#This Row],[Steps]]&gt;99,(G4457+Table13[[#This Row],[Steps]])-100,G4457+Table13[[#This Row],[Steps]]),
))</f>
        <v>0</v>
      </c>
      <c r="G4458">
        <f>IF(Table13[[#This Row],[New Pos L]]&lt;&gt;0,Table13[[#This Row],[New Pos L]],Table13[[#This Row],[New Pos R]])</f>
        <v>66</v>
      </c>
      <c r="H4458">
        <f>IF(AND(Table13[[#This Row],[Direction]]="L",Table13[[#This Row],[Steps]]&gt;G4457,G4457&lt;&gt;0),1,0)</f>
        <v>1</v>
      </c>
      <c r="I4458">
        <f>IF(AND(Table13[[#This Row],[Direction]]="R",(G4457+Table13[[#This Row],[Steps]])&gt;100),1,0)</f>
        <v>0</v>
      </c>
      <c r="J4458">
        <f>IF(Table13[[#This Row],[POS]]=0,1,0)</f>
        <v>0</v>
      </c>
      <c r="K4458">
        <f>SUM(Table13[[#This Row],[prefix]],Table13[[#This Row],[Past zero L]],Table13[[#This Row],[Past Zero R]],Table13[[#This Row],[Is Zero]])</f>
        <v>1</v>
      </c>
    </row>
    <row r="4459" spans="1:11" ht="16" x14ac:dyDescent="0.2">
      <c r="A4459" s="1" t="s">
        <v>65</v>
      </c>
      <c r="B4459" t="str">
        <f>LEFT(Table13[[#This Row],[Input]],1)</f>
        <v>L</v>
      </c>
      <c r="C4459">
        <f>_xlfn.LET(_xlpm.steps,SUBSTITUTE(Table13[[#This Row],[Input]],Table13[[#This Row],[Direction]],""),VALUE(IF(LEN(_xlpm.steps)&gt;2,RIGHT(_xlpm.steps,2),_xlpm.steps)))</f>
        <v>19</v>
      </c>
      <c r="D4459">
        <f>_xlfn.LET(_xlpm.steps,SUBSTITUTE(Table13[[#This Row],[Input]],Table13[[#This Row],[Direction]],""),VALUE(IF(LEN(_xlpm.steps)&gt;2,LEFT(_xlpm.steps,LEN(_xlpm.steps)-2),0)))</f>
        <v>0</v>
      </c>
      <c r="E4459">
        <f>_xlfn.LET(_xlpm.dir,Table13[[#This Row],[Direction]],
IF(_xlpm.dir="L",
    IF(G4458-Table13[[#This Row],[Steps]]&lt;0,100+(G4458-Table13[[#This Row],[Steps]]),G4458-Table13[[#This Row],[Steps]]),
))</f>
        <v>47</v>
      </c>
      <c r="F4459">
        <f>_xlfn.LET(_xlpm.dir,Table13[[#This Row],[Direction]],
IF(_xlpm.dir="R",
    IF(G4458+Table13[[#This Row],[Steps]]&gt;99,(G4458+Table13[[#This Row],[Steps]])-100,G4458+Table13[[#This Row],[Steps]]),
))</f>
        <v>0</v>
      </c>
      <c r="G4459">
        <f>IF(Table13[[#This Row],[New Pos L]]&lt;&gt;0,Table13[[#This Row],[New Pos L]],Table13[[#This Row],[New Pos R]])</f>
        <v>47</v>
      </c>
      <c r="H4459">
        <f>IF(AND(Table13[[#This Row],[Direction]]="L",Table13[[#This Row],[Steps]]&gt;G4458,G4458&lt;&gt;0),1,0)</f>
        <v>0</v>
      </c>
      <c r="I4459">
        <f>IF(AND(Table13[[#This Row],[Direction]]="R",(G4458+Table13[[#This Row],[Steps]])&gt;100),1,0)</f>
        <v>0</v>
      </c>
      <c r="J4459">
        <f>IF(Table13[[#This Row],[POS]]=0,1,0)</f>
        <v>0</v>
      </c>
      <c r="K4459">
        <f>SUM(Table13[[#This Row],[prefix]],Table13[[#This Row],[Past zero L]],Table13[[#This Row],[Past Zero R]],Table13[[#This Row],[Is Zero]])</f>
        <v>0</v>
      </c>
    </row>
    <row r="4460" spans="1:11" ht="16" x14ac:dyDescent="0.2">
      <c r="A4460" s="1" t="s">
        <v>165</v>
      </c>
      <c r="B4460" t="str">
        <f>LEFT(Table13[[#This Row],[Input]],1)</f>
        <v>R</v>
      </c>
      <c r="C4460">
        <f>_xlfn.LET(_xlpm.steps,SUBSTITUTE(Table13[[#This Row],[Input]],Table13[[#This Row],[Direction]],""),VALUE(IF(LEN(_xlpm.steps)&gt;2,RIGHT(_xlpm.steps,2),_xlpm.steps)))</f>
        <v>55</v>
      </c>
      <c r="D4460">
        <f>_xlfn.LET(_xlpm.steps,SUBSTITUTE(Table13[[#This Row],[Input]],Table13[[#This Row],[Direction]],""),VALUE(IF(LEN(_xlpm.steps)&gt;2,LEFT(_xlpm.steps,LEN(_xlpm.steps)-2),0)))</f>
        <v>0</v>
      </c>
      <c r="E4460">
        <f>_xlfn.LET(_xlpm.dir,Table13[[#This Row],[Direction]],
IF(_xlpm.dir="L",
    IF(G4459-Table13[[#This Row],[Steps]]&lt;0,100+(G4459-Table13[[#This Row],[Steps]]),G4459-Table13[[#This Row],[Steps]]),
))</f>
        <v>0</v>
      </c>
      <c r="F4460">
        <f>_xlfn.LET(_xlpm.dir,Table13[[#This Row],[Direction]],
IF(_xlpm.dir="R",
    IF(G4459+Table13[[#This Row],[Steps]]&gt;99,(G4459+Table13[[#This Row],[Steps]])-100,G4459+Table13[[#This Row],[Steps]]),
))</f>
        <v>2</v>
      </c>
      <c r="G4460">
        <f>IF(Table13[[#This Row],[New Pos L]]&lt;&gt;0,Table13[[#This Row],[New Pos L]],Table13[[#This Row],[New Pos R]])</f>
        <v>2</v>
      </c>
      <c r="H4460">
        <f>IF(AND(Table13[[#This Row],[Direction]]="L",Table13[[#This Row],[Steps]]&gt;G4459,G4459&lt;&gt;0),1,0)</f>
        <v>0</v>
      </c>
      <c r="I4460">
        <f>IF(AND(Table13[[#This Row],[Direction]]="R",(G4459+Table13[[#This Row],[Steps]])&gt;100),1,0)</f>
        <v>1</v>
      </c>
      <c r="J4460">
        <f>IF(Table13[[#This Row],[POS]]=0,1,0)</f>
        <v>0</v>
      </c>
      <c r="K4460">
        <f>SUM(Table13[[#This Row],[prefix]],Table13[[#This Row],[Past zero L]],Table13[[#This Row],[Past Zero R]],Table13[[#This Row],[Is Zero]])</f>
        <v>1</v>
      </c>
    </row>
    <row r="4461" spans="1:11" ht="16" x14ac:dyDescent="0.2">
      <c r="A4461" s="1" t="s">
        <v>67</v>
      </c>
      <c r="B4461" t="str">
        <f>LEFT(Table13[[#This Row],[Input]],1)</f>
        <v>R</v>
      </c>
      <c r="C4461">
        <f>_xlfn.LET(_xlpm.steps,SUBSTITUTE(Table13[[#This Row],[Input]],Table13[[#This Row],[Direction]],""),VALUE(IF(LEN(_xlpm.steps)&gt;2,RIGHT(_xlpm.steps,2),_xlpm.steps)))</f>
        <v>33</v>
      </c>
      <c r="D4461">
        <f>_xlfn.LET(_xlpm.steps,SUBSTITUTE(Table13[[#This Row],[Input]],Table13[[#This Row],[Direction]],""),VALUE(IF(LEN(_xlpm.steps)&gt;2,LEFT(_xlpm.steps,LEN(_xlpm.steps)-2),0)))</f>
        <v>0</v>
      </c>
      <c r="E4461">
        <f>_xlfn.LET(_xlpm.dir,Table13[[#This Row],[Direction]],
IF(_xlpm.dir="L",
    IF(G4460-Table13[[#This Row],[Steps]]&lt;0,100+(G4460-Table13[[#This Row],[Steps]]),G4460-Table13[[#This Row],[Steps]]),
))</f>
        <v>0</v>
      </c>
      <c r="F4461">
        <f>_xlfn.LET(_xlpm.dir,Table13[[#This Row],[Direction]],
IF(_xlpm.dir="R",
    IF(G4460+Table13[[#This Row],[Steps]]&gt;99,(G4460+Table13[[#This Row],[Steps]])-100,G4460+Table13[[#This Row],[Steps]]),
))</f>
        <v>35</v>
      </c>
      <c r="G4461">
        <f>IF(Table13[[#This Row],[New Pos L]]&lt;&gt;0,Table13[[#This Row],[New Pos L]],Table13[[#This Row],[New Pos R]])</f>
        <v>35</v>
      </c>
      <c r="H4461">
        <f>IF(AND(Table13[[#This Row],[Direction]]="L",Table13[[#This Row],[Steps]]&gt;G4460,G4460&lt;&gt;0),1,0)</f>
        <v>0</v>
      </c>
      <c r="I4461">
        <f>IF(AND(Table13[[#This Row],[Direction]]="R",(G4460+Table13[[#This Row],[Steps]])&gt;100),1,0)</f>
        <v>0</v>
      </c>
      <c r="J4461">
        <f>IF(Table13[[#This Row],[POS]]=0,1,0)</f>
        <v>0</v>
      </c>
      <c r="K4461">
        <f>SUM(Table13[[#This Row],[prefix]],Table13[[#This Row],[Past zero L]],Table13[[#This Row],[Past Zero R]],Table13[[#This Row],[Is Zero]])</f>
        <v>0</v>
      </c>
    </row>
    <row r="4462" spans="1:11" ht="16" x14ac:dyDescent="0.2">
      <c r="A4462" s="1" t="s">
        <v>174</v>
      </c>
      <c r="B4462" t="str">
        <f>LEFT(Table13[[#This Row],[Input]],1)</f>
        <v>L</v>
      </c>
      <c r="C4462">
        <f>_xlfn.LET(_xlpm.steps,SUBSTITUTE(Table13[[#This Row],[Input]],Table13[[#This Row],[Direction]],""),VALUE(IF(LEN(_xlpm.steps)&gt;2,RIGHT(_xlpm.steps,2),_xlpm.steps)))</f>
        <v>92</v>
      </c>
      <c r="D4462">
        <f>_xlfn.LET(_xlpm.steps,SUBSTITUTE(Table13[[#This Row],[Input]],Table13[[#This Row],[Direction]],""),VALUE(IF(LEN(_xlpm.steps)&gt;2,LEFT(_xlpm.steps,LEN(_xlpm.steps)-2),0)))</f>
        <v>0</v>
      </c>
      <c r="E4462">
        <f>_xlfn.LET(_xlpm.dir,Table13[[#This Row],[Direction]],
IF(_xlpm.dir="L",
    IF(G4461-Table13[[#This Row],[Steps]]&lt;0,100+(G4461-Table13[[#This Row],[Steps]]),G4461-Table13[[#This Row],[Steps]]),
))</f>
        <v>43</v>
      </c>
      <c r="F4462">
        <f>_xlfn.LET(_xlpm.dir,Table13[[#This Row],[Direction]],
IF(_xlpm.dir="R",
    IF(G4461+Table13[[#This Row],[Steps]]&gt;99,(G4461+Table13[[#This Row],[Steps]])-100,G4461+Table13[[#This Row],[Steps]]),
))</f>
        <v>0</v>
      </c>
      <c r="G4462">
        <f>IF(Table13[[#This Row],[New Pos L]]&lt;&gt;0,Table13[[#This Row],[New Pos L]],Table13[[#This Row],[New Pos R]])</f>
        <v>43</v>
      </c>
      <c r="H4462">
        <f>IF(AND(Table13[[#This Row],[Direction]]="L",Table13[[#This Row],[Steps]]&gt;G4461,G4461&lt;&gt;0),1,0)</f>
        <v>1</v>
      </c>
      <c r="I4462">
        <f>IF(AND(Table13[[#This Row],[Direction]]="R",(G4461+Table13[[#This Row],[Steps]])&gt;100),1,0)</f>
        <v>0</v>
      </c>
      <c r="J4462">
        <f>IF(Table13[[#This Row],[POS]]=0,1,0)</f>
        <v>0</v>
      </c>
      <c r="K4462">
        <f>SUM(Table13[[#This Row],[prefix]],Table13[[#This Row],[Past zero L]],Table13[[#This Row],[Past Zero R]],Table13[[#This Row],[Is Zero]])</f>
        <v>1</v>
      </c>
    </row>
    <row r="4463" spans="1:11" ht="16" x14ac:dyDescent="0.2">
      <c r="A4463" s="1" t="s">
        <v>182</v>
      </c>
      <c r="B4463" t="str">
        <f>LEFT(Table13[[#This Row],[Input]],1)</f>
        <v>L</v>
      </c>
      <c r="C4463">
        <f>_xlfn.LET(_xlpm.steps,SUBSTITUTE(Table13[[#This Row],[Input]],Table13[[#This Row],[Direction]],""),VALUE(IF(LEN(_xlpm.steps)&gt;2,RIGHT(_xlpm.steps,2),_xlpm.steps)))</f>
        <v>3</v>
      </c>
      <c r="D4463">
        <f>_xlfn.LET(_xlpm.steps,SUBSTITUTE(Table13[[#This Row],[Input]],Table13[[#This Row],[Direction]],""),VALUE(IF(LEN(_xlpm.steps)&gt;2,LEFT(_xlpm.steps,LEN(_xlpm.steps)-2),0)))</f>
        <v>0</v>
      </c>
      <c r="E4463">
        <f>_xlfn.LET(_xlpm.dir,Table13[[#This Row],[Direction]],
IF(_xlpm.dir="L",
    IF(G4462-Table13[[#This Row],[Steps]]&lt;0,100+(G4462-Table13[[#This Row],[Steps]]),G4462-Table13[[#This Row],[Steps]]),
))</f>
        <v>40</v>
      </c>
      <c r="F4463">
        <f>_xlfn.LET(_xlpm.dir,Table13[[#This Row],[Direction]],
IF(_xlpm.dir="R",
    IF(G4462+Table13[[#This Row],[Steps]]&gt;99,(G4462+Table13[[#This Row],[Steps]])-100,G4462+Table13[[#This Row],[Steps]]),
))</f>
        <v>0</v>
      </c>
      <c r="G4463">
        <f>IF(Table13[[#This Row],[New Pos L]]&lt;&gt;0,Table13[[#This Row],[New Pos L]],Table13[[#This Row],[New Pos R]])</f>
        <v>40</v>
      </c>
      <c r="H4463">
        <f>IF(AND(Table13[[#This Row],[Direction]]="L",Table13[[#This Row],[Steps]]&gt;G4462,G4462&lt;&gt;0),1,0)</f>
        <v>0</v>
      </c>
      <c r="I4463">
        <f>IF(AND(Table13[[#This Row],[Direction]]="R",(G4462+Table13[[#This Row],[Steps]])&gt;100),1,0)</f>
        <v>0</v>
      </c>
      <c r="J4463">
        <f>IF(Table13[[#This Row],[POS]]=0,1,0)</f>
        <v>0</v>
      </c>
      <c r="K4463">
        <f>SUM(Table13[[#This Row],[prefix]],Table13[[#This Row],[Past zero L]],Table13[[#This Row],[Past Zero R]],Table13[[#This Row],[Is Zero]])</f>
        <v>0</v>
      </c>
    </row>
    <row r="4464" spans="1:11" ht="16" x14ac:dyDescent="0.2">
      <c r="A4464" s="1" t="s">
        <v>213</v>
      </c>
      <c r="B4464" t="str">
        <f>LEFT(Table13[[#This Row],[Input]],1)</f>
        <v>R</v>
      </c>
      <c r="C4464">
        <f>_xlfn.LET(_xlpm.steps,SUBSTITUTE(Table13[[#This Row],[Input]],Table13[[#This Row],[Direction]],""),VALUE(IF(LEN(_xlpm.steps)&gt;2,RIGHT(_xlpm.steps,2),_xlpm.steps)))</f>
        <v>87</v>
      </c>
      <c r="D4464">
        <f>_xlfn.LET(_xlpm.steps,SUBSTITUTE(Table13[[#This Row],[Input]],Table13[[#This Row],[Direction]],""),VALUE(IF(LEN(_xlpm.steps)&gt;2,LEFT(_xlpm.steps,LEN(_xlpm.steps)-2),0)))</f>
        <v>0</v>
      </c>
      <c r="E4464">
        <f>_xlfn.LET(_xlpm.dir,Table13[[#This Row],[Direction]],
IF(_xlpm.dir="L",
    IF(G4463-Table13[[#This Row],[Steps]]&lt;0,100+(G4463-Table13[[#This Row],[Steps]]),G4463-Table13[[#This Row],[Steps]]),
))</f>
        <v>0</v>
      </c>
      <c r="F4464">
        <f>_xlfn.LET(_xlpm.dir,Table13[[#This Row],[Direction]],
IF(_xlpm.dir="R",
    IF(G4463+Table13[[#This Row],[Steps]]&gt;99,(G4463+Table13[[#This Row],[Steps]])-100,G4463+Table13[[#This Row],[Steps]]),
))</f>
        <v>27</v>
      </c>
      <c r="G4464">
        <f>IF(Table13[[#This Row],[New Pos L]]&lt;&gt;0,Table13[[#This Row],[New Pos L]],Table13[[#This Row],[New Pos R]])</f>
        <v>27</v>
      </c>
      <c r="H4464">
        <f>IF(AND(Table13[[#This Row],[Direction]]="L",Table13[[#This Row],[Steps]]&gt;G4463,G4463&lt;&gt;0),1,0)</f>
        <v>0</v>
      </c>
      <c r="I4464">
        <f>IF(AND(Table13[[#This Row],[Direction]]="R",(G4463+Table13[[#This Row],[Steps]])&gt;100),1,0)</f>
        <v>1</v>
      </c>
      <c r="J4464">
        <f>IF(Table13[[#This Row],[POS]]=0,1,0)</f>
        <v>0</v>
      </c>
      <c r="K4464">
        <f>SUM(Table13[[#This Row],[prefix]],Table13[[#This Row],[Past zero L]],Table13[[#This Row],[Past Zero R]],Table13[[#This Row],[Is Zero]])</f>
        <v>1</v>
      </c>
    </row>
    <row r="4465" spans="1:11" ht="16" x14ac:dyDescent="0.2">
      <c r="A4465" s="1" t="s">
        <v>293</v>
      </c>
      <c r="B4465" t="str">
        <f>LEFT(Table13[[#This Row],[Input]],1)</f>
        <v>R</v>
      </c>
      <c r="C4465">
        <f>_xlfn.LET(_xlpm.steps,SUBSTITUTE(Table13[[#This Row],[Input]],Table13[[#This Row],[Direction]],""),VALUE(IF(LEN(_xlpm.steps)&gt;2,RIGHT(_xlpm.steps,2),_xlpm.steps)))</f>
        <v>67</v>
      </c>
      <c r="D4465">
        <f>_xlfn.LET(_xlpm.steps,SUBSTITUTE(Table13[[#This Row],[Input]],Table13[[#This Row],[Direction]],""),VALUE(IF(LEN(_xlpm.steps)&gt;2,LEFT(_xlpm.steps,LEN(_xlpm.steps)-2),0)))</f>
        <v>0</v>
      </c>
      <c r="E4465">
        <f>_xlfn.LET(_xlpm.dir,Table13[[#This Row],[Direction]],
IF(_xlpm.dir="L",
    IF(G4464-Table13[[#This Row],[Steps]]&lt;0,100+(G4464-Table13[[#This Row],[Steps]]),G4464-Table13[[#This Row],[Steps]]),
))</f>
        <v>0</v>
      </c>
      <c r="F4465">
        <f>_xlfn.LET(_xlpm.dir,Table13[[#This Row],[Direction]],
IF(_xlpm.dir="R",
    IF(G4464+Table13[[#This Row],[Steps]]&gt;99,(G4464+Table13[[#This Row],[Steps]])-100,G4464+Table13[[#This Row],[Steps]]),
))</f>
        <v>94</v>
      </c>
      <c r="G4465">
        <f>IF(Table13[[#This Row],[New Pos L]]&lt;&gt;0,Table13[[#This Row],[New Pos L]],Table13[[#This Row],[New Pos R]])</f>
        <v>94</v>
      </c>
      <c r="H4465">
        <f>IF(AND(Table13[[#This Row],[Direction]]="L",Table13[[#This Row],[Steps]]&gt;G4464,G4464&lt;&gt;0),1,0)</f>
        <v>0</v>
      </c>
      <c r="I4465">
        <f>IF(AND(Table13[[#This Row],[Direction]]="R",(G4464+Table13[[#This Row],[Steps]])&gt;100),1,0)</f>
        <v>0</v>
      </c>
      <c r="J4465">
        <f>IF(Table13[[#This Row],[POS]]=0,1,0)</f>
        <v>0</v>
      </c>
      <c r="K4465">
        <f>SUM(Table13[[#This Row],[prefix]],Table13[[#This Row],[Past zero L]],Table13[[#This Row],[Past Zero R]],Table13[[#This Row],[Is Zero]])</f>
        <v>0</v>
      </c>
    </row>
    <row r="4466" spans="1:11" ht="16" x14ac:dyDescent="0.2">
      <c r="A4466" s="1" t="s">
        <v>138</v>
      </c>
      <c r="B4466" t="str">
        <f>LEFT(Table13[[#This Row],[Input]],1)</f>
        <v>L</v>
      </c>
      <c r="C4466">
        <f>_xlfn.LET(_xlpm.steps,SUBSTITUTE(Table13[[#This Row],[Input]],Table13[[#This Row],[Direction]],""),VALUE(IF(LEN(_xlpm.steps)&gt;2,RIGHT(_xlpm.steps,2),_xlpm.steps)))</f>
        <v>94</v>
      </c>
      <c r="D4466">
        <f>_xlfn.LET(_xlpm.steps,SUBSTITUTE(Table13[[#This Row],[Input]],Table13[[#This Row],[Direction]],""),VALUE(IF(LEN(_xlpm.steps)&gt;2,LEFT(_xlpm.steps,LEN(_xlpm.steps)-2),0)))</f>
        <v>0</v>
      </c>
      <c r="E4466">
        <f>_xlfn.LET(_xlpm.dir,Table13[[#This Row],[Direction]],
IF(_xlpm.dir="L",
    IF(G4465-Table13[[#This Row],[Steps]]&lt;0,100+(G4465-Table13[[#This Row],[Steps]]),G4465-Table13[[#This Row],[Steps]]),
))</f>
        <v>0</v>
      </c>
      <c r="F4466">
        <f>_xlfn.LET(_xlpm.dir,Table13[[#This Row],[Direction]],
IF(_xlpm.dir="R",
    IF(G4465+Table13[[#This Row],[Steps]]&gt;99,(G4465+Table13[[#This Row],[Steps]])-100,G4465+Table13[[#This Row],[Steps]]),
))</f>
        <v>0</v>
      </c>
      <c r="G4466">
        <f>IF(Table13[[#This Row],[New Pos L]]&lt;&gt;0,Table13[[#This Row],[New Pos L]],Table13[[#This Row],[New Pos R]])</f>
        <v>0</v>
      </c>
      <c r="H4466">
        <f>IF(AND(Table13[[#This Row],[Direction]]="L",Table13[[#This Row],[Steps]]&gt;G4465,G4465&lt;&gt;0),1,0)</f>
        <v>0</v>
      </c>
      <c r="I4466">
        <f>IF(AND(Table13[[#This Row],[Direction]]="R",(G4465+Table13[[#This Row],[Steps]])&gt;100),1,0)</f>
        <v>0</v>
      </c>
      <c r="J4466">
        <f>IF(Table13[[#This Row],[POS]]=0,1,0)</f>
        <v>1</v>
      </c>
      <c r="K4466">
        <f>SUM(Table13[[#This Row],[prefix]],Table13[[#This Row],[Past zero L]],Table13[[#This Row],[Past Zero R]],Table13[[#This Row],[Is Zero]])</f>
        <v>1</v>
      </c>
    </row>
    <row r="4467" spans="1:11" ht="16" x14ac:dyDescent="0.2">
      <c r="A4467" s="1" t="s">
        <v>218</v>
      </c>
      <c r="B4467" t="str">
        <f>LEFT(Table13[[#This Row],[Input]],1)</f>
        <v>R</v>
      </c>
      <c r="C4467">
        <f>_xlfn.LET(_xlpm.steps,SUBSTITUTE(Table13[[#This Row],[Input]],Table13[[#This Row],[Direction]],""),VALUE(IF(LEN(_xlpm.steps)&gt;2,RIGHT(_xlpm.steps,2),_xlpm.steps)))</f>
        <v>35</v>
      </c>
      <c r="D4467">
        <f>_xlfn.LET(_xlpm.steps,SUBSTITUTE(Table13[[#This Row],[Input]],Table13[[#This Row],[Direction]],""),VALUE(IF(LEN(_xlpm.steps)&gt;2,LEFT(_xlpm.steps,LEN(_xlpm.steps)-2),0)))</f>
        <v>0</v>
      </c>
      <c r="E4467">
        <f>_xlfn.LET(_xlpm.dir,Table13[[#This Row],[Direction]],
IF(_xlpm.dir="L",
    IF(G4466-Table13[[#This Row],[Steps]]&lt;0,100+(G4466-Table13[[#This Row],[Steps]]),G4466-Table13[[#This Row],[Steps]]),
))</f>
        <v>0</v>
      </c>
      <c r="F4467">
        <f>_xlfn.LET(_xlpm.dir,Table13[[#This Row],[Direction]],
IF(_xlpm.dir="R",
    IF(G4466+Table13[[#This Row],[Steps]]&gt;99,(G4466+Table13[[#This Row],[Steps]])-100,G4466+Table13[[#This Row],[Steps]]),
))</f>
        <v>35</v>
      </c>
      <c r="G4467">
        <f>IF(Table13[[#This Row],[New Pos L]]&lt;&gt;0,Table13[[#This Row],[New Pos L]],Table13[[#This Row],[New Pos R]])</f>
        <v>35</v>
      </c>
      <c r="H4467">
        <f>IF(AND(Table13[[#This Row],[Direction]]="L",Table13[[#This Row],[Steps]]&gt;G4466,G4466&lt;&gt;0),1,0)</f>
        <v>0</v>
      </c>
      <c r="I4467">
        <f>IF(AND(Table13[[#This Row],[Direction]]="R",(G4466+Table13[[#This Row],[Steps]])&gt;100),1,0)</f>
        <v>0</v>
      </c>
      <c r="J4467">
        <f>IF(Table13[[#This Row],[POS]]=0,1,0)</f>
        <v>0</v>
      </c>
      <c r="K4467">
        <f>SUM(Table13[[#This Row],[prefix]],Table13[[#This Row],[Past zero L]],Table13[[#This Row],[Past Zero R]],Table13[[#This Row],[Is Zero]])</f>
        <v>0</v>
      </c>
    </row>
    <row r="4468" spans="1:11" ht="16" x14ac:dyDescent="0.2">
      <c r="A4468" s="1" t="s">
        <v>241</v>
      </c>
      <c r="B4468" t="str">
        <f>LEFT(Table13[[#This Row],[Input]],1)</f>
        <v>R</v>
      </c>
      <c r="C4468">
        <f>_xlfn.LET(_xlpm.steps,SUBSTITUTE(Table13[[#This Row],[Input]],Table13[[#This Row],[Direction]],""),VALUE(IF(LEN(_xlpm.steps)&gt;2,RIGHT(_xlpm.steps,2),_xlpm.steps)))</f>
        <v>60</v>
      </c>
      <c r="D4468">
        <f>_xlfn.LET(_xlpm.steps,SUBSTITUTE(Table13[[#This Row],[Input]],Table13[[#This Row],[Direction]],""),VALUE(IF(LEN(_xlpm.steps)&gt;2,LEFT(_xlpm.steps,LEN(_xlpm.steps)-2),0)))</f>
        <v>0</v>
      </c>
      <c r="E4468">
        <f>_xlfn.LET(_xlpm.dir,Table13[[#This Row],[Direction]],
IF(_xlpm.dir="L",
    IF(G4467-Table13[[#This Row],[Steps]]&lt;0,100+(G4467-Table13[[#This Row],[Steps]]),G4467-Table13[[#This Row],[Steps]]),
))</f>
        <v>0</v>
      </c>
      <c r="F4468">
        <f>_xlfn.LET(_xlpm.dir,Table13[[#This Row],[Direction]],
IF(_xlpm.dir="R",
    IF(G4467+Table13[[#This Row],[Steps]]&gt;99,(G4467+Table13[[#This Row],[Steps]])-100,G4467+Table13[[#This Row],[Steps]]),
))</f>
        <v>95</v>
      </c>
      <c r="G4468">
        <f>IF(Table13[[#This Row],[New Pos L]]&lt;&gt;0,Table13[[#This Row],[New Pos L]],Table13[[#This Row],[New Pos R]])</f>
        <v>95</v>
      </c>
      <c r="H4468">
        <f>IF(AND(Table13[[#This Row],[Direction]]="L",Table13[[#This Row],[Steps]]&gt;G4467,G4467&lt;&gt;0),1,0)</f>
        <v>0</v>
      </c>
      <c r="I4468">
        <f>IF(AND(Table13[[#This Row],[Direction]]="R",(G4467+Table13[[#This Row],[Steps]])&gt;100),1,0)</f>
        <v>0</v>
      </c>
      <c r="J4468">
        <f>IF(Table13[[#This Row],[POS]]=0,1,0)</f>
        <v>0</v>
      </c>
      <c r="K4468">
        <f>SUM(Table13[[#This Row],[prefix]],Table13[[#This Row],[Past zero L]],Table13[[#This Row],[Past Zero R]],Table13[[#This Row],[Is Zero]])</f>
        <v>0</v>
      </c>
    </row>
    <row r="4469" spans="1:11" ht="16" x14ac:dyDescent="0.2">
      <c r="A4469" s="1" t="s">
        <v>61</v>
      </c>
      <c r="B4469" t="str">
        <f>LEFT(Table13[[#This Row],[Input]],1)</f>
        <v>L</v>
      </c>
      <c r="C4469">
        <f>_xlfn.LET(_xlpm.steps,SUBSTITUTE(Table13[[#This Row],[Input]],Table13[[#This Row],[Direction]],""),VALUE(IF(LEN(_xlpm.steps)&gt;2,RIGHT(_xlpm.steps,2),_xlpm.steps)))</f>
        <v>16</v>
      </c>
      <c r="D4469">
        <f>_xlfn.LET(_xlpm.steps,SUBSTITUTE(Table13[[#This Row],[Input]],Table13[[#This Row],[Direction]],""),VALUE(IF(LEN(_xlpm.steps)&gt;2,LEFT(_xlpm.steps,LEN(_xlpm.steps)-2),0)))</f>
        <v>0</v>
      </c>
      <c r="E4469">
        <f>_xlfn.LET(_xlpm.dir,Table13[[#This Row],[Direction]],
IF(_xlpm.dir="L",
    IF(G4468-Table13[[#This Row],[Steps]]&lt;0,100+(G4468-Table13[[#This Row],[Steps]]),G4468-Table13[[#This Row],[Steps]]),
))</f>
        <v>79</v>
      </c>
      <c r="F4469">
        <f>_xlfn.LET(_xlpm.dir,Table13[[#This Row],[Direction]],
IF(_xlpm.dir="R",
    IF(G4468+Table13[[#This Row],[Steps]]&gt;99,(G4468+Table13[[#This Row],[Steps]])-100,G4468+Table13[[#This Row],[Steps]]),
))</f>
        <v>0</v>
      </c>
      <c r="G4469">
        <f>IF(Table13[[#This Row],[New Pos L]]&lt;&gt;0,Table13[[#This Row],[New Pos L]],Table13[[#This Row],[New Pos R]])</f>
        <v>79</v>
      </c>
      <c r="H4469">
        <f>IF(AND(Table13[[#This Row],[Direction]]="L",Table13[[#This Row],[Steps]]&gt;G4468,G4468&lt;&gt;0),1,0)</f>
        <v>0</v>
      </c>
      <c r="I4469">
        <f>IF(AND(Table13[[#This Row],[Direction]]="R",(G4468+Table13[[#This Row],[Steps]])&gt;100),1,0)</f>
        <v>0</v>
      </c>
      <c r="J4469">
        <f>IF(Table13[[#This Row],[POS]]=0,1,0)</f>
        <v>0</v>
      </c>
      <c r="K4469">
        <f>SUM(Table13[[#This Row],[prefix]],Table13[[#This Row],[Past zero L]],Table13[[#This Row],[Past Zero R]],Table13[[#This Row],[Is Zero]])</f>
        <v>0</v>
      </c>
    </row>
    <row r="4470" spans="1:11" ht="16" x14ac:dyDescent="0.2">
      <c r="A4470" s="1" t="s">
        <v>278</v>
      </c>
      <c r="B4470" t="str">
        <f>LEFT(Table13[[#This Row],[Input]],1)</f>
        <v>L</v>
      </c>
      <c r="C4470">
        <f>_xlfn.LET(_xlpm.steps,SUBSTITUTE(Table13[[#This Row],[Input]],Table13[[#This Row],[Direction]],""),VALUE(IF(LEN(_xlpm.steps)&gt;2,RIGHT(_xlpm.steps,2),_xlpm.steps)))</f>
        <v>40</v>
      </c>
      <c r="D4470">
        <f>_xlfn.LET(_xlpm.steps,SUBSTITUTE(Table13[[#This Row],[Input]],Table13[[#This Row],[Direction]],""),VALUE(IF(LEN(_xlpm.steps)&gt;2,LEFT(_xlpm.steps,LEN(_xlpm.steps)-2),0)))</f>
        <v>0</v>
      </c>
      <c r="E4470">
        <f>_xlfn.LET(_xlpm.dir,Table13[[#This Row],[Direction]],
IF(_xlpm.dir="L",
    IF(G4469-Table13[[#This Row],[Steps]]&lt;0,100+(G4469-Table13[[#This Row],[Steps]]),G4469-Table13[[#This Row],[Steps]]),
))</f>
        <v>39</v>
      </c>
      <c r="F4470">
        <f>_xlfn.LET(_xlpm.dir,Table13[[#This Row],[Direction]],
IF(_xlpm.dir="R",
    IF(G4469+Table13[[#This Row],[Steps]]&gt;99,(G4469+Table13[[#This Row],[Steps]])-100,G4469+Table13[[#This Row],[Steps]]),
))</f>
        <v>0</v>
      </c>
      <c r="G4470">
        <f>IF(Table13[[#This Row],[New Pos L]]&lt;&gt;0,Table13[[#This Row],[New Pos L]],Table13[[#This Row],[New Pos R]])</f>
        <v>39</v>
      </c>
      <c r="H4470">
        <f>IF(AND(Table13[[#This Row],[Direction]]="L",Table13[[#This Row],[Steps]]&gt;G4469,G4469&lt;&gt;0),1,0)</f>
        <v>0</v>
      </c>
      <c r="I4470">
        <f>IF(AND(Table13[[#This Row],[Direction]]="R",(G4469+Table13[[#This Row],[Steps]])&gt;100),1,0)</f>
        <v>0</v>
      </c>
      <c r="J4470">
        <f>IF(Table13[[#This Row],[POS]]=0,1,0)</f>
        <v>0</v>
      </c>
      <c r="K4470">
        <f>SUM(Table13[[#This Row],[prefix]],Table13[[#This Row],[Past zero L]],Table13[[#This Row],[Past Zero R]],Table13[[#This Row],[Is Zero]])</f>
        <v>0</v>
      </c>
    </row>
    <row r="4471" spans="1:11" ht="16" x14ac:dyDescent="0.2">
      <c r="A4471" s="1" t="s">
        <v>288</v>
      </c>
      <c r="B4471" t="str">
        <f>LEFT(Table13[[#This Row],[Input]],1)</f>
        <v>R</v>
      </c>
      <c r="C4471">
        <f>_xlfn.LET(_xlpm.steps,SUBSTITUTE(Table13[[#This Row],[Input]],Table13[[#This Row],[Direction]],""),VALUE(IF(LEN(_xlpm.steps)&gt;2,RIGHT(_xlpm.steps,2),_xlpm.steps)))</f>
        <v>25</v>
      </c>
      <c r="D4471">
        <f>_xlfn.LET(_xlpm.steps,SUBSTITUTE(Table13[[#This Row],[Input]],Table13[[#This Row],[Direction]],""),VALUE(IF(LEN(_xlpm.steps)&gt;2,LEFT(_xlpm.steps,LEN(_xlpm.steps)-2),0)))</f>
        <v>0</v>
      </c>
      <c r="E4471">
        <f>_xlfn.LET(_xlpm.dir,Table13[[#This Row],[Direction]],
IF(_xlpm.dir="L",
    IF(G4470-Table13[[#This Row],[Steps]]&lt;0,100+(G4470-Table13[[#This Row],[Steps]]),G4470-Table13[[#This Row],[Steps]]),
))</f>
        <v>0</v>
      </c>
      <c r="F4471">
        <f>_xlfn.LET(_xlpm.dir,Table13[[#This Row],[Direction]],
IF(_xlpm.dir="R",
    IF(G4470+Table13[[#This Row],[Steps]]&gt;99,(G4470+Table13[[#This Row],[Steps]])-100,G4470+Table13[[#This Row],[Steps]]),
))</f>
        <v>64</v>
      </c>
      <c r="G4471">
        <f>IF(Table13[[#This Row],[New Pos L]]&lt;&gt;0,Table13[[#This Row],[New Pos L]],Table13[[#This Row],[New Pos R]])</f>
        <v>64</v>
      </c>
      <c r="H4471">
        <f>IF(AND(Table13[[#This Row],[Direction]]="L",Table13[[#This Row],[Steps]]&gt;G4470,G4470&lt;&gt;0),1,0)</f>
        <v>0</v>
      </c>
      <c r="I4471">
        <f>IF(AND(Table13[[#This Row],[Direction]]="R",(G4470+Table13[[#This Row],[Steps]])&gt;100),1,0)</f>
        <v>0</v>
      </c>
      <c r="J4471">
        <f>IF(Table13[[#This Row],[POS]]=0,1,0)</f>
        <v>0</v>
      </c>
      <c r="K4471">
        <f>SUM(Table13[[#This Row],[prefix]],Table13[[#This Row],[Past zero L]],Table13[[#This Row],[Past Zero R]],Table13[[#This Row],[Is Zero]])</f>
        <v>0</v>
      </c>
    </row>
    <row r="4472" spans="1:11" ht="16" x14ac:dyDescent="0.2">
      <c r="A4472" s="1" t="s">
        <v>123</v>
      </c>
      <c r="B4472" t="str">
        <f>LEFT(Table13[[#This Row],[Input]],1)</f>
        <v>L</v>
      </c>
      <c r="C4472">
        <f>_xlfn.LET(_xlpm.steps,SUBSTITUTE(Table13[[#This Row],[Input]],Table13[[#This Row],[Direction]],""),VALUE(IF(LEN(_xlpm.steps)&gt;2,RIGHT(_xlpm.steps,2),_xlpm.steps)))</f>
        <v>63</v>
      </c>
      <c r="D4472">
        <f>_xlfn.LET(_xlpm.steps,SUBSTITUTE(Table13[[#This Row],[Input]],Table13[[#This Row],[Direction]],""),VALUE(IF(LEN(_xlpm.steps)&gt;2,LEFT(_xlpm.steps,LEN(_xlpm.steps)-2),0)))</f>
        <v>0</v>
      </c>
      <c r="E4472">
        <f>_xlfn.LET(_xlpm.dir,Table13[[#This Row],[Direction]],
IF(_xlpm.dir="L",
    IF(G4471-Table13[[#This Row],[Steps]]&lt;0,100+(G4471-Table13[[#This Row],[Steps]]),G4471-Table13[[#This Row],[Steps]]),
))</f>
        <v>1</v>
      </c>
      <c r="F4472">
        <f>_xlfn.LET(_xlpm.dir,Table13[[#This Row],[Direction]],
IF(_xlpm.dir="R",
    IF(G4471+Table13[[#This Row],[Steps]]&gt;99,(G4471+Table13[[#This Row],[Steps]])-100,G4471+Table13[[#This Row],[Steps]]),
))</f>
        <v>0</v>
      </c>
      <c r="G4472">
        <f>IF(Table13[[#This Row],[New Pos L]]&lt;&gt;0,Table13[[#This Row],[New Pos L]],Table13[[#This Row],[New Pos R]])</f>
        <v>1</v>
      </c>
      <c r="H4472">
        <f>IF(AND(Table13[[#This Row],[Direction]]="L",Table13[[#This Row],[Steps]]&gt;G4471,G4471&lt;&gt;0),1,0)</f>
        <v>0</v>
      </c>
      <c r="I4472">
        <f>IF(AND(Table13[[#This Row],[Direction]]="R",(G4471+Table13[[#This Row],[Steps]])&gt;100),1,0)</f>
        <v>0</v>
      </c>
      <c r="J4472">
        <f>IF(Table13[[#This Row],[POS]]=0,1,0)</f>
        <v>0</v>
      </c>
      <c r="K4472">
        <f>SUM(Table13[[#This Row],[prefix]],Table13[[#This Row],[Past zero L]],Table13[[#This Row],[Past Zero R]],Table13[[#This Row],[Is Zero]])</f>
        <v>0</v>
      </c>
    </row>
    <row r="4473" spans="1:11" ht="16" x14ac:dyDescent="0.2">
      <c r="A4473" s="1" t="s">
        <v>67</v>
      </c>
      <c r="B4473" t="str">
        <f>LEFT(Table13[[#This Row],[Input]],1)</f>
        <v>R</v>
      </c>
      <c r="C4473">
        <f>_xlfn.LET(_xlpm.steps,SUBSTITUTE(Table13[[#This Row],[Input]],Table13[[#This Row],[Direction]],""),VALUE(IF(LEN(_xlpm.steps)&gt;2,RIGHT(_xlpm.steps,2),_xlpm.steps)))</f>
        <v>33</v>
      </c>
      <c r="D4473">
        <f>_xlfn.LET(_xlpm.steps,SUBSTITUTE(Table13[[#This Row],[Input]],Table13[[#This Row],[Direction]],""),VALUE(IF(LEN(_xlpm.steps)&gt;2,LEFT(_xlpm.steps,LEN(_xlpm.steps)-2),0)))</f>
        <v>0</v>
      </c>
      <c r="E4473">
        <f>_xlfn.LET(_xlpm.dir,Table13[[#This Row],[Direction]],
IF(_xlpm.dir="L",
    IF(G4472-Table13[[#This Row],[Steps]]&lt;0,100+(G4472-Table13[[#This Row],[Steps]]),G4472-Table13[[#This Row],[Steps]]),
))</f>
        <v>0</v>
      </c>
      <c r="F4473">
        <f>_xlfn.LET(_xlpm.dir,Table13[[#This Row],[Direction]],
IF(_xlpm.dir="R",
    IF(G4472+Table13[[#This Row],[Steps]]&gt;99,(G4472+Table13[[#This Row],[Steps]])-100,G4472+Table13[[#This Row],[Steps]]),
))</f>
        <v>34</v>
      </c>
      <c r="G4473">
        <f>IF(Table13[[#This Row],[New Pos L]]&lt;&gt;0,Table13[[#This Row],[New Pos L]],Table13[[#This Row],[New Pos R]])</f>
        <v>34</v>
      </c>
      <c r="H4473">
        <f>IF(AND(Table13[[#This Row],[Direction]]="L",Table13[[#This Row],[Steps]]&gt;G4472,G4472&lt;&gt;0),1,0)</f>
        <v>0</v>
      </c>
      <c r="I4473">
        <f>IF(AND(Table13[[#This Row],[Direction]]="R",(G4472+Table13[[#This Row],[Steps]])&gt;100),1,0)</f>
        <v>0</v>
      </c>
      <c r="J4473">
        <f>IF(Table13[[#This Row],[POS]]=0,1,0)</f>
        <v>0</v>
      </c>
      <c r="K4473">
        <f>SUM(Table13[[#This Row],[prefix]],Table13[[#This Row],[Past zero L]],Table13[[#This Row],[Past Zero R]],Table13[[#This Row],[Is Zero]])</f>
        <v>0</v>
      </c>
    </row>
    <row r="4474" spans="1:11" ht="16" x14ac:dyDescent="0.2">
      <c r="A4474" s="1" t="s">
        <v>108</v>
      </c>
      <c r="B4474" t="str">
        <f>LEFT(Table13[[#This Row],[Input]],1)</f>
        <v>R</v>
      </c>
      <c r="C4474">
        <f>_xlfn.LET(_xlpm.steps,SUBSTITUTE(Table13[[#This Row],[Input]],Table13[[#This Row],[Direction]],""),VALUE(IF(LEN(_xlpm.steps)&gt;2,RIGHT(_xlpm.steps,2),_xlpm.steps)))</f>
        <v>66</v>
      </c>
      <c r="D4474">
        <f>_xlfn.LET(_xlpm.steps,SUBSTITUTE(Table13[[#This Row],[Input]],Table13[[#This Row],[Direction]],""),VALUE(IF(LEN(_xlpm.steps)&gt;2,LEFT(_xlpm.steps,LEN(_xlpm.steps)-2),0)))</f>
        <v>0</v>
      </c>
      <c r="E4474">
        <f>_xlfn.LET(_xlpm.dir,Table13[[#This Row],[Direction]],
IF(_xlpm.dir="L",
    IF(G4473-Table13[[#This Row],[Steps]]&lt;0,100+(G4473-Table13[[#This Row],[Steps]]),G4473-Table13[[#This Row],[Steps]]),
))</f>
        <v>0</v>
      </c>
      <c r="F4474">
        <f>_xlfn.LET(_xlpm.dir,Table13[[#This Row],[Direction]],
IF(_xlpm.dir="R",
    IF(G4473+Table13[[#This Row],[Steps]]&gt;99,(G4473+Table13[[#This Row],[Steps]])-100,G4473+Table13[[#This Row],[Steps]]),
))</f>
        <v>0</v>
      </c>
      <c r="G4474">
        <f>IF(Table13[[#This Row],[New Pos L]]&lt;&gt;0,Table13[[#This Row],[New Pos L]],Table13[[#This Row],[New Pos R]])</f>
        <v>0</v>
      </c>
      <c r="H4474">
        <f>IF(AND(Table13[[#This Row],[Direction]]="L",Table13[[#This Row],[Steps]]&gt;G4473,G4473&lt;&gt;0),1,0)</f>
        <v>0</v>
      </c>
      <c r="I4474">
        <f>IF(AND(Table13[[#This Row],[Direction]]="R",(G4473+Table13[[#This Row],[Steps]])&gt;100),1,0)</f>
        <v>0</v>
      </c>
      <c r="J4474">
        <f>IF(Table13[[#This Row],[POS]]=0,1,0)</f>
        <v>1</v>
      </c>
      <c r="K4474">
        <f>SUM(Table13[[#This Row],[prefix]],Table13[[#This Row],[Past zero L]],Table13[[#This Row],[Past Zero R]],Table13[[#This Row],[Is Zero]])</f>
        <v>1</v>
      </c>
    </row>
    <row r="4475" spans="1:11" ht="16" x14ac:dyDescent="0.2">
      <c r="A4475" s="1" t="s">
        <v>35</v>
      </c>
      <c r="B4475" t="str">
        <f>LEFT(Table13[[#This Row],[Input]],1)</f>
        <v>L</v>
      </c>
      <c r="C4475">
        <f>_xlfn.LET(_xlpm.steps,SUBSTITUTE(Table13[[#This Row],[Input]],Table13[[#This Row],[Direction]],""),VALUE(IF(LEN(_xlpm.steps)&gt;2,RIGHT(_xlpm.steps,2),_xlpm.steps)))</f>
        <v>2</v>
      </c>
      <c r="D4475">
        <f>_xlfn.LET(_xlpm.steps,SUBSTITUTE(Table13[[#This Row],[Input]],Table13[[#This Row],[Direction]],""),VALUE(IF(LEN(_xlpm.steps)&gt;2,LEFT(_xlpm.steps,LEN(_xlpm.steps)-2),0)))</f>
        <v>0</v>
      </c>
      <c r="E4475">
        <f>_xlfn.LET(_xlpm.dir,Table13[[#This Row],[Direction]],
IF(_xlpm.dir="L",
    IF(G4474-Table13[[#This Row],[Steps]]&lt;0,100+(G4474-Table13[[#This Row],[Steps]]),G4474-Table13[[#This Row],[Steps]]),
))</f>
        <v>98</v>
      </c>
      <c r="F4475">
        <f>_xlfn.LET(_xlpm.dir,Table13[[#This Row],[Direction]],
IF(_xlpm.dir="R",
    IF(G4474+Table13[[#This Row],[Steps]]&gt;99,(G4474+Table13[[#This Row],[Steps]])-100,G4474+Table13[[#This Row],[Steps]]),
))</f>
        <v>0</v>
      </c>
      <c r="G4475">
        <f>IF(Table13[[#This Row],[New Pos L]]&lt;&gt;0,Table13[[#This Row],[New Pos L]],Table13[[#This Row],[New Pos R]])</f>
        <v>98</v>
      </c>
      <c r="H4475">
        <f>IF(AND(Table13[[#This Row],[Direction]]="L",Table13[[#This Row],[Steps]]&gt;G4474,G4474&lt;&gt;0),1,0)</f>
        <v>0</v>
      </c>
      <c r="I4475">
        <f>IF(AND(Table13[[#This Row],[Direction]]="R",(G4474+Table13[[#This Row],[Steps]])&gt;100),1,0)</f>
        <v>0</v>
      </c>
      <c r="J4475">
        <f>IF(Table13[[#This Row],[POS]]=0,1,0)</f>
        <v>0</v>
      </c>
      <c r="K4475">
        <f>SUM(Table13[[#This Row],[prefix]],Table13[[#This Row],[Past zero L]],Table13[[#This Row],[Past Zero R]],Table13[[#This Row],[Is Zero]])</f>
        <v>0</v>
      </c>
    </row>
    <row r="4476" spans="1:11" ht="16" x14ac:dyDescent="0.2">
      <c r="A4476" s="1" t="s">
        <v>100</v>
      </c>
      <c r="B4476" t="str">
        <f>LEFT(Table13[[#This Row],[Input]],1)</f>
        <v>R</v>
      </c>
      <c r="C4476">
        <f>_xlfn.LET(_xlpm.steps,SUBSTITUTE(Table13[[#This Row],[Input]],Table13[[#This Row],[Direction]],""),VALUE(IF(LEN(_xlpm.steps)&gt;2,RIGHT(_xlpm.steps,2),_xlpm.steps)))</f>
        <v>58</v>
      </c>
      <c r="D4476">
        <f>_xlfn.LET(_xlpm.steps,SUBSTITUTE(Table13[[#This Row],[Input]],Table13[[#This Row],[Direction]],""),VALUE(IF(LEN(_xlpm.steps)&gt;2,LEFT(_xlpm.steps,LEN(_xlpm.steps)-2),0)))</f>
        <v>0</v>
      </c>
      <c r="E4476">
        <f>_xlfn.LET(_xlpm.dir,Table13[[#This Row],[Direction]],
IF(_xlpm.dir="L",
    IF(G4475-Table13[[#This Row],[Steps]]&lt;0,100+(G4475-Table13[[#This Row],[Steps]]),G4475-Table13[[#This Row],[Steps]]),
))</f>
        <v>0</v>
      </c>
      <c r="F4476">
        <f>_xlfn.LET(_xlpm.dir,Table13[[#This Row],[Direction]],
IF(_xlpm.dir="R",
    IF(G4475+Table13[[#This Row],[Steps]]&gt;99,(G4475+Table13[[#This Row],[Steps]])-100,G4475+Table13[[#This Row],[Steps]]),
))</f>
        <v>56</v>
      </c>
      <c r="G4476">
        <f>IF(Table13[[#This Row],[New Pos L]]&lt;&gt;0,Table13[[#This Row],[New Pos L]],Table13[[#This Row],[New Pos R]])</f>
        <v>56</v>
      </c>
      <c r="H4476">
        <f>IF(AND(Table13[[#This Row],[Direction]]="L",Table13[[#This Row],[Steps]]&gt;G4475,G4475&lt;&gt;0),1,0)</f>
        <v>0</v>
      </c>
      <c r="I4476">
        <f>IF(AND(Table13[[#This Row],[Direction]]="R",(G4475+Table13[[#This Row],[Steps]])&gt;100),1,0)</f>
        <v>1</v>
      </c>
      <c r="J4476">
        <f>IF(Table13[[#This Row],[POS]]=0,1,0)</f>
        <v>0</v>
      </c>
      <c r="K4476">
        <f>SUM(Table13[[#This Row],[prefix]],Table13[[#This Row],[Past zero L]],Table13[[#This Row],[Past Zero R]],Table13[[#This Row],[Is Zero]])</f>
        <v>1</v>
      </c>
    </row>
    <row r="4477" spans="1:11" ht="16" x14ac:dyDescent="0.2">
      <c r="A4477" s="1" t="s">
        <v>3</v>
      </c>
      <c r="B4477" t="str">
        <f>LEFT(Table13[[#This Row],[Input]],1)</f>
        <v>R</v>
      </c>
      <c r="C4477">
        <f>_xlfn.LET(_xlpm.steps,SUBSTITUTE(Table13[[#This Row],[Input]],Table13[[#This Row],[Direction]],""),VALUE(IF(LEN(_xlpm.steps)&gt;2,RIGHT(_xlpm.steps,2),_xlpm.steps)))</f>
        <v>44</v>
      </c>
      <c r="D4477">
        <f>_xlfn.LET(_xlpm.steps,SUBSTITUTE(Table13[[#This Row],[Input]],Table13[[#This Row],[Direction]],""),VALUE(IF(LEN(_xlpm.steps)&gt;2,LEFT(_xlpm.steps,LEN(_xlpm.steps)-2),0)))</f>
        <v>0</v>
      </c>
      <c r="E4477">
        <f>_xlfn.LET(_xlpm.dir,Table13[[#This Row],[Direction]],
IF(_xlpm.dir="L",
    IF(G4476-Table13[[#This Row],[Steps]]&lt;0,100+(G4476-Table13[[#This Row],[Steps]]),G4476-Table13[[#This Row],[Steps]]),
))</f>
        <v>0</v>
      </c>
      <c r="F4477">
        <f>_xlfn.LET(_xlpm.dir,Table13[[#This Row],[Direction]],
IF(_xlpm.dir="R",
    IF(G4476+Table13[[#This Row],[Steps]]&gt;99,(G4476+Table13[[#This Row],[Steps]])-100,G4476+Table13[[#This Row],[Steps]]),
))</f>
        <v>0</v>
      </c>
      <c r="G4477">
        <f>IF(Table13[[#This Row],[New Pos L]]&lt;&gt;0,Table13[[#This Row],[New Pos L]],Table13[[#This Row],[New Pos R]])</f>
        <v>0</v>
      </c>
      <c r="H4477">
        <f>IF(AND(Table13[[#This Row],[Direction]]="L",Table13[[#This Row],[Steps]]&gt;G4476,G4476&lt;&gt;0),1,0)</f>
        <v>0</v>
      </c>
      <c r="I4477">
        <f>IF(AND(Table13[[#This Row],[Direction]]="R",(G4476+Table13[[#This Row],[Steps]])&gt;100),1,0)</f>
        <v>0</v>
      </c>
      <c r="J4477">
        <f>IF(Table13[[#This Row],[POS]]=0,1,0)</f>
        <v>1</v>
      </c>
      <c r="K4477">
        <f>SUM(Table13[[#This Row],[prefix]],Table13[[#This Row],[Past zero L]],Table13[[#This Row],[Past Zero R]],Table13[[#This Row],[Is Zero]])</f>
        <v>1</v>
      </c>
    </row>
    <row r="4478" spans="1:11" ht="16" x14ac:dyDescent="0.2">
      <c r="A4478" s="1" t="s">
        <v>279</v>
      </c>
      <c r="B4478" t="str">
        <f>LEFT(Table13[[#This Row],[Input]],1)</f>
        <v>R</v>
      </c>
      <c r="C4478">
        <f>_xlfn.LET(_xlpm.steps,SUBSTITUTE(Table13[[#This Row],[Input]],Table13[[#This Row],[Direction]],""),VALUE(IF(LEN(_xlpm.steps)&gt;2,RIGHT(_xlpm.steps,2),_xlpm.steps)))</f>
        <v>34</v>
      </c>
      <c r="D4478">
        <f>_xlfn.LET(_xlpm.steps,SUBSTITUTE(Table13[[#This Row],[Input]],Table13[[#This Row],[Direction]],""),VALUE(IF(LEN(_xlpm.steps)&gt;2,LEFT(_xlpm.steps,LEN(_xlpm.steps)-2),0)))</f>
        <v>0</v>
      </c>
      <c r="E4478">
        <f>_xlfn.LET(_xlpm.dir,Table13[[#This Row],[Direction]],
IF(_xlpm.dir="L",
    IF(G4477-Table13[[#This Row],[Steps]]&lt;0,100+(G4477-Table13[[#This Row],[Steps]]),G4477-Table13[[#This Row],[Steps]]),
))</f>
        <v>0</v>
      </c>
      <c r="F4478">
        <f>_xlfn.LET(_xlpm.dir,Table13[[#This Row],[Direction]],
IF(_xlpm.dir="R",
    IF(G4477+Table13[[#This Row],[Steps]]&gt;99,(G4477+Table13[[#This Row],[Steps]])-100,G4477+Table13[[#This Row],[Steps]]),
))</f>
        <v>34</v>
      </c>
      <c r="G4478">
        <f>IF(Table13[[#This Row],[New Pos L]]&lt;&gt;0,Table13[[#This Row],[New Pos L]],Table13[[#This Row],[New Pos R]])</f>
        <v>34</v>
      </c>
      <c r="H4478">
        <f>IF(AND(Table13[[#This Row],[Direction]]="L",Table13[[#This Row],[Steps]]&gt;G4477,G4477&lt;&gt;0),1,0)</f>
        <v>0</v>
      </c>
      <c r="I4478">
        <f>IF(AND(Table13[[#This Row],[Direction]]="R",(G4477+Table13[[#This Row],[Steps]])&gt;100),1,0)</f>
        <v>0</v>
      </c>
      <c r="J4478">
        <f>IF(Table13[[#This Row],[POS]]=0,1,0)</f>
        <v>0</v>
      </c>
      <c r="K4478">
        <f>SUM(Table13[[#This Row],[prefix]],Table13[[#This Row],[Past zero L]],Table13[[#This Row],[Past Zero R]],Table13[[#This Row],[Is Zero]])</f>
        <v>0</v>
      </c>
    </row>
    <row r="4479" spans="1:11" ht="16" x14ac:dyDescent="0.2">
      <c r="A4479" s="1" t="s">
        <v>217</v>
      </c>
      <c r="B4479" t="str">
        <f>LEFT(Table13[[#This Row],[Input]],1)</f>
        <v>R</v>
      </c>
      <c r="C4479">
        <f>_xlfn.LET(_xlpm.steps,SUBSTITUTE(Table13[[#This Row],[Input]],Table13[[#This Row],[Direction]],""),VALUE(IF(LEN(_xlpm.steps)&gt;2,RIGHT(_xlpm.steps,2),_xlpm.steps)))</f>
        <v>91</v>
      </c>
      <c r="D4479">
        <f>_xlfn.LET(_xlpm.steps,SUBSTITUTE(Table13[[#This Row],[Input]],Table13[[#This Row],[Direction]],""),VALUE(IF(LEN(_xlpm.steps)&gt;2,LEFT(_xlpm.steps,LEN(_xlpm.steps)-2),0)))</f>
        <v>0</v>
      </c>
      <c r="E4479">
        <f>_xlfn.LET(_xlpm.dir,Table13[[#This Row],[Direction]],
IF(_xlpm.dir="L",
    IF(G4478-Table13[[#This Row],[Steps]]&lt;0,100+(G4478-Table13[[#This Row],[Steps]]),G4478-Table13[[#This Row],[Steps]]),
))</f>
        <v>0</v>
      </c>
      <c r="F4479">
        <f>_xlfn.LET(_xlpm.dir,Table13[[#This Row],[Direction]],
IF(_xlpm.dir="R",
    IF(G4478+Table13[[#This Row],[Steps]]&gt;99,(G4478+Table13[[#This Row],[Steps]])-100,G4478+Table13[[#This Row],[Steps]]),
))</f>
        <v>25</v>
      </c>
      <c r="G4479">
        <f>IF(Table13[[#This Row],[New Pos L]]&lt;&gt;0,Table13[[#This Row],[New Pos L]],Table13[[#This Row],[New Pos R]])</f>
        <v>25</v>
      </c>
      <c r="H4479">
        <f>IF(AND(Table13[[#This Row],[Direction]]="L",Table13[[#This Row],[Steps]]&gt;G4478,G4478&lt;&gt;0),1,0)</f>
        <v>0</v>
      </c>
      <c r="I4479">
        <f>IF(AND(Table13[[#This Row],[Direction]]="R",(G4478+Table13[[#This Row],[Steps]])&gt;100),1,0)</f>
        <v>1</v>
      </c>
      <c r="J4479">
        <f>IF(Table13[[#This Row],[POS]]=0,1,0)</f>
        <v>0</v>
      </c>
      <c r="K4479">
        <f>SUM(Table13[[#This Row],[prefix]],Table13[[#This Row],[Past zero L]],Table13[[#This Row],[Past Zero R]],Table13[[#This Row],[Is Zero]])</f>
        <v>1</v>
      </c>
    </row>
    <row r="4480" spans="1:11" ht="16" x14ac:dyDescent="0.2">
      <c r="A4480" s="1" t="s">
        <v>191</v>
      </c>
      <c r="B4480" t="str">
        <f>LEFT(Table13[[#This Row],[Input]],1)</f>
        <v>L</v>
      </c>
      <c r="C4480">
        <f>_xlfn.LET(_xlpm.steps,SUBSTITUTE(Table13[[#This Row],[Input]],Table13[[#This Row],[Direction]],""),VALUE(IF(LEN(_xlpm.steps)&gt;2,RIGHT(_xlpm.steps,2),_xlpm.steps)))</f>
        <v>5</v>
      </c>
      <c r="D4480">
        <f>_xlfn.LET(_xlpm.steps,SUBSTITUTE(Table13[[#This Row],[Input]],Table13[[#This Row],[Direction]],""),VALUE(IF(LEN(_xlpm.steps)&gt;2,LEFT(_xlpm.steps,LEN(_xlpm.steps)-2),0)))</f>
        <v>0</v>
      </c>
      <c r="E4480">
        <f>_xlfn.LET(_xlpm.dir,Table13[[#This Row],[Direction]],
IF(_xlpm.dir="L",
    IF(G4479-Table13[[#This Row],[Steps]]&lt;0,100+(G4479-Table13[[#This Row],[Steps]]),G4479-Table13[[#This Row],[Steps]]),
))</f>
        <v>20</v>
      </c>
      <c r="F4480">
        <f>_xlfn.LET(_xlpm.dir,Table13[[#This Row],[Direction]],
IF(_xlpm.dir="R",
    IF(G4479+Table13[[#This Row],[Steps]]&gt;99,(G4479+Table13[[#This Row],[Steps]])-100,G4479+Table13[[#This Row],[Steps]]),
))</f>
        <v>0</v>
      </c>
      <c r="G4480">
        <f>IF(Table13[[#This Row],[New Pos L]]&lt;&gt;0,Table13[[#This Row],[New Pos L]],Table13[[#This Row],[New Pos R]])</f>
        <v>20</v>
      </c>
      <c r="H4480">
        <f>IF(AND(Table13[[#This Row],[Direction]]="L",Table13[[#This Row],[Steps]]&gt;G4479,G4479&lt;&gt;0),1,0)</f>
        <v>0</v>
      </c>
      <c r="I4480">
        <f>IF(AND(Table13[[#This Row],[Direction]]="R",(G4479+Table13[[#This Row],[Steps]])&gt;100),1,0)</f>
        <v>0</v>
      </c>
      <c r="J4480">
        <f>IF(Table13[[#This Row],[POS]]=0,1,0)</f>
        <v>0</v>
      </c>
      <c r="K4480">
        <f>SUM(Table13[[#This Row],[prefix]],Table13[[#This Row],[Past zero L]],Table13[[#This Row],[Past Zero R]],Table13[[#This Row],[Is Zero]])</f>
        <v>0</v>
      </c>
    </row>
    <row r="4481" spans="1:11" ht="16" x14ac:dyDescent="0.2">
      <c r="A4481" s="1" t="s">
        <v>52</v>
      </c>
      <c r="B4481" t="str">
        <f>LEFT(Table13[[#This Row],[Input]],1)</f>
        <v>R</v>
      </c>
      <c r="C4481">
        <f>_xlfn.LET(_xlpm.steps,SUBSTITUTE(Table13[[#This Row],[Input]],Table13[[#This Row],[Direction]],""),VALUE(IF(LEN(_xlpm.steps)&gt;2,RIGHT(_xlpm.steps,2),_xlpm.steps)))</f>
        <v>11</v>
      </c>
      <c r="D4481">
        <f>_xlfn.LET(_xlpm.steps,SUBSTITUTE(Table13[[#This Row],[Input]],Table13[[#This Row],[Direction]],""),VALUE(IF(LEN(_xlpm.steps)&gt;2,LEFT(_xlpm.steps,LEN(_xlpm.steps)-2),0)))</f>
        <v>0</v>
      </c>
      <c r="E4481">
        <f>_xlfn.LET(_xlpm.dir,Table13[[#This Row],[Direction]],
IF(_xlpm.dir="L",
    IF(G4480-Table13[[#This Row],[Steps]]&lt;0,100+(G4480-Table13[[#This Row],[Steps]]),G4480-Table13[[#This Row],[Steps]]),
))</f>
        <v>0</v>
      </c>
      <c r="F4481">
        <f>_xlfn.LET(_xlpm.dir,Table13[[#This Row],[Direction]],
IF(_xlpm.dir="R",
    IF(G4480+Table13[[#This Row],[Steps]]&gt;99,(G4480+Table13[[#This Row],[Steps]])-100,G4480+Table13[[#This Row],[Steps]]),
))</f>
        <v>31</v>
      </c>
      <c r="G4481">
        <f>IF(Table13[[#This Row],[New Pos L]]&lt;&gt;0,Table13[[#This Row],[New Pos L]],Table13[[#This Row],[New Pos R]])</f>
        <v>31</v>
      </c>
      <c r="H4481">
        <f>IF(AND(Table13[[#This Row],[Direction]]="L",Table13[[#This Row],[Steps]]&gt;G4480,G4480&lt;&gt;0),1,0)</f>
        <v>0</v>
      </c>
      <c r="I4481">
        <f>IF(AND(Table13[[#This Row],[Direction]]="R",(G4480+Table13[[#This Row],[Steps]])&gt;100),1,0)</f>
        <v>0</v>
      </c>
      <c r="J4481">
        <f>IF(Table13[[#This Row],[POS]]=0,1,0)</f>
        <v>0</v>
      </c>
      <c r="K4481">
        <f>SUM(Table13[[#This Row],[prefix]],Table13[[#This Row],[Past zero L]],Table13[[#This Row],[Past Zero R]],Table13[[#This Row],[Is Zero]])</f>
        <v>0</v>
      </c>
    </row>
    <row r="4482" spans="1:11" ht="16" x14ac:dyDescent="0.2">
      <c r="A4482" s="1" t="s">
        <v>63</v>
      </c>
      <c r="B4482" t="str">
        <f>LEFT(Table13[[#This Row],[Input]],1)</f>
        <v>R</v>
      </c>
      <c r="C4482">
        <f>_xlfn.LET(_xlpm.steps,SUBSTITUTE(Table13[[#This Row],[Input]],Table13[[#This Row],[Direction]],""),VALUE(IF(LEN(_xlpm.steps)&gt;2,RIGHT(_xlpm.steps,2),_xlpm.steps)))</f>
        <v>57</v>
      </c>
      <c r="D4482">
        <f>_xlfn.LET(_xlpm.steps,SUBSTITUTE(Table13[[#This Row],[Input]],Table13[[#This Row],[Direction]],""),VALUE(IF(LEN(_xlpm.steps)&gt;2,LEFT(_xlpm.steps,LEN(_xlpm.steps)-2),0)))</f>
        <v>0</v>
      </c>
      <c r="E4482">
        <f>_xlfn.LET(_xlpm.dir,Table13[[#This Row],[Direction]],
IF(_xlpm.dir="L",
    IF(G4481-Table13[[#This Row],[Steps]]&lt;0,100+(G4481-Table13[[#This Row],[Steps]]),G4481-Table13[[#This Row],[Steps]]),
))</f>
        <v>0</v>
      </c>
      <c r="F4482">
        <f>_xlfn.LET(_xlpm.dir,Table13[[#This Row],[Direction]],
IF(_xlpm.dir="R",
    IF(G4481+Table13[[#This Row],[Steps]]&gt;99,(G4481+Table13[[#This Row],[Steps]])-100,G4481+Table13[[#This Row],[Steps]]),
))</f>
        <v>88</v>
      </c>
      <c r="G4482">
        <f>IF(Table13[[#This Row],[New Pos L]]&lt;&gt;0,Table13[[#This Row],[New Pos L]],Table13[[#This Row],[New Pos R]])</f>
        <v>88</v>
      </c>
      <c r="H4482">
        <f>IF(AND(Table13[[#This Row],[Direction]]="L",Table13[[#This Row],[Steps]]&gt;G4481,G4481&lt;&gt;0),1,0)</f>
        <v>0</v>
      </c>
      <c r="I4482">
        <f>IF(AND(Table13[[#This Row],[Direction]]="R",(G4481+Table13[[#This Row],[Steps]])&gt;100),1,0)</f>
        <v>0</v>
      </c>
      <c r="J4482">
        <f>IF(Table13[[#This Row],[POS]]=0,1,0)</f>
        <v>0</v>
      </c>
      <c r="K4482">
        <f>SUM(Table13[[#This Row],[prefix]],Table13[[#This Row],[Past zero L]],Table13[[#This Row],[Past Zero R]],Table13[[#This Row],[Is Zero]])</f>
        <v>0</v>
      </c>
    </row>
    <row r="4483" spans="1:11" ht="16" x14ac:dyDescent="0.2">
      <c r="A4483" s="1" t="s">
        <v>295</v>
      </c>
      <c r="B4483" t="str">
        <f>LEFT(Table13[[#This Row],[Input]],1)</f>
        <v>L</v>
      </c>
      <c r="C4483">
        <f>_xlfn.LET(_xlpm.steps,SUBSTITUTE(Table13[[#This Row],[Input]],Table13[[#This Row],[Direction]],""),VALUE(IF(LEN(_xlpm.steps)&gt;2,RIGHT(_xlpm.steps,2),_xlpm.steps)))</f>
        <v>88</v>
      </c>
      <c r="D4483">
        <f>_xlfn.LET(_xlpm.steps,SUBSTITUTE(Table13[[#This Row],[Input]],Table13[[#This Row],[Direction]],""),VALUE(IF(LEN(_xlpm.steps)&gt;2,LEFT(_xlpm.steps,LEN(_xlpm.steps)-2),0)))</f>
        <v>0</v>
      </c>
      <c r="E4483">
        <f>_xlfn.LET(_xlpm.dir,Table13[[#This Row],[Direction]],
IF(_xlpm.dir="L",
    IF(G4482-Table13[[#This Row],[Steps]]&lt;0,100+(G4482-Table13[[#This Row],[Steps]]),G4482-Table13[[#This Row],[Steps]]),
))</f>
        <v>0</v>
      </c>
      <c r="F4483">
        <f>_xlfn.LET(_xlpm.dir,Table13[[#This Row],[Direction]],
IF(_xlpm.dir="R",
    IF(G4482+Table13[[#This Row],[Steps]]&gt;99,(G4482+Table13[[#This Row],[Steps]])-100,G4482+Table13[[#This Row],[Steps]]),
))</f>
        <v>0</v>
      </c>
      <c r="G4483">
        <f>IF(Table13[[#This Row],[New Pos L]]&lt;&gt;0,Table13[[#This Row],[New Pos L]],Table13[[#This Row],[New Pos R]])</f>
        <v>0</v>
      </c>
      <c r="H4483">
        <f>IF(AND(Table13[[#This Row],[Direction]]="L",Table13[[#This Row],[Steps]]&gt;G4482,G4482&lt;&gt;0),1,0)</f>
        <v>0</v>
      </c>
      <c r="I4483">
        <f>IF(AND(Table13[[#This Row],[Direction]]="R",(G4482+Table13[[#This Row],[Steps]])&gt;100),1,0)</f>
        <v>0</v>
      </c>
      <c r="J4483">
        <f>IF(Table13[[#This Row],[POS]]=0,1,0)</f>
        <v>1</v>
      </c>
      <c r="K4483">
        <f>SUM(Table13[[#This Row],[prefix]],Table13[[#This Row],[Past zero L]],Table13[[#This Row],[Past Zero R]],Table13[[#This Row],[Is Zero]])</f>
        <v>1</v>
      </c>
    </row>
    <row r="4484" spans="1:11" ht="16" x14ac:dyDescent="0.2">
      <c r="A4484" s="1" t="s">
        <v>127</v>
      </c>
      <c r="B4484" t="str">
        <f>LEFT(Table13[[#This Row],[Input]],1)</f>
        <v>L</v>
      </c>
      <c r="C4484">
        <f>_xlfn.LET(_xlpm.steps,SUBSTITUTE(Table13[[#This Row],[Input]],Table13[[#This Row],[Direction]],""),VALUE(IF(LEN(_xlpm.steps)&gt;2,RIGHT(_xlpm.steps,2),_xlpm.steps)))</f>
        <v>62</v>
      </c>
      <c r="D4484">
        <f>_xlfn.LET(_xlpm.steps,SUBSTITUTE(Table13[[#This Row],[Input]],Table13[[#This Row],[Direction]],""),VALUE(IF(LEN(_xlpm.steps)&gt;2,LEFT(_xlpm.steps,LEN(_xlpm.steps)-2),0)))</f>
        <v>0</v>
      </c>
      <c r="E4484">
        <f>_xlfn.LET(_xlpm.dir,Table13[[#This Row],[Direction]],
IF(_xlpm.dir="L",
    IF(G4483-Table13[[#This Row],[Steps]]&lt;0,100+(G4483-Table13[[#This Row],[Steps]]),G4483-Table13[[#This Row],[Steps]]),
))</f>
        <v>38</v>
      </c>
      <c r="F4484">
        <f>_xlfn.LET(_xlpm.dir,Table13[[#This Row],[Direction]],
IF(_xlpm.dir="R",
    IF(G4483+Table13[[#This Row],[Steps]]&gt;99,(G4483+Table13[[#This Row],[Steps]])-100,G4483+Table13[[#This Row],[Steps]]),
))</f>
        <v>0</v>
      </c>
      <c r="G4484">
        <f>IF(Table13[[#This Row],[New Pos L]]&lt;&gt;0,Table13[[#This Row],[New Pos L]],Table13[[#This Row],[New Pos R]])</f>
        <v>38</v>
      </c>
      <c r="H4484">
        <f>IF(AND(Table13[[#This Row],[Direction]]="L",Table13[[#This Row],[Steps]]&gt;G4483,G4483&lt;&gt;0),1,0)</f>
        <v>0</v>
      </c>
      <c r="I4484">
        <f>IF(AND(Table13[[#This Row],[Direction]]="R",(G4483+Table13[[#This Row],[Steps]])&gt;100),1,0)</f>
        <v>0</v>
      </c>
      <c r="J4484">
        <f>IF(Table13[[#This Row],[POS]]=0,1,0)</f>
        <v>0</v>
      </c>
      <c r="K4484">
        <f>SUM(Table13[[#This Row],[prefix]],Table13[[#This Row],[Past zero L]],Table13[[#This Row],[Past Zero R]],Table13[[#This Row],[Is Zero]])</f>
        <v>0</v>
      </c>
    </row>
    <row r="4485" spans="1:11" ht="16" x14ac:dyDescent="0.2">
      <c r="A4485" s="1" t="s">
        <v>2</v>
      </c>
      <c r="B4485" t="str">
        <f>LEFT(Table13[[#This Row],[Input]],1)</f>
        <v>L</v>
      </c>
      <c r="C4485">
        <f>_xlfn.LET(_xlpm.steps,SUBSTITUTE(Table13[[#This Row],[Input]],Table13[[#This Row],[Direction]],""),VALUE(IF(LEN(_xlpm.steps)&gt;2,RIGHT(_xlpm.steps,2),_xlpm.steps)))</f>
        <v>38</v>
      </c>
      <c r="D4485">
        <f>_xlfn.LET(_xlpm.steps,SUBSTITUTE(Table13[[#This Row],[Input]],Table13[[#This Row],[Direction]],""),VALUE(IF(LEN(_xlpm.steps)&gt;2,LEFT(_xlpm.steps,LEN(_xlpm.steps)-2),0)))</f>
        <v>0</v>
      </c>
      <c r="E4485">
        <f>_xlfn.LET(_xlpm.dir,Table13[[#This Row],[Direction]],
IF(_xlpm.dir="L",
    IF(G4484-Table13[[#This Row],[Steps]]&lt;0,100+(G4484-Table13[[#This Row],[Steps]]),G4484-Table13[[#This Row],[Steps]]),
))</f>
        <v>0</v>
      </c>
      <c r="F4485">
        <f>_xlfn.LET(_xlpm.dir,Table13[[#This Row],[Direction]],
IF(_xlpm.dir="R",
    IF(G4484+Table13[[#This Row],[Steps]]&gt;99,(G4484+Table13[[#This Row],[Steps]])-100,G4484+Table13[[#This Row],[Steps]]),
))</f>
        <v>0</v>
      </c>
      <c r="G4485">
        <f>IF(Table13[[#This Row],[New Pos L]]&lt;&gt;0,Table13[[#This Row],[New Pos L]],Table13[[#This Row],[New Pos R]])</f>
        <v>0</v>
      </c>
      <c r="H4485">
        <f>IF(AND(Table13[[#This Row],[Direction]]="L",Table13[[#This Row],[Steps]]&gt;G4484,G4484&lt;&gt;0),1,0)</f>
        <v>0</v>
      </c>
      <c r="I4485">
        <f>IF(AND(Table13[[#This Row],[Direction]]="R",(G4484+Table13[[#This Row],[Steps]])&gt;100),1,0)</f>
        <v>0</v>
      </c>
      <c r="J4485">
        <f>IF(Table13[[#This Row],[POS]]=0,1,0)</f>
        <v>1</v>
      </c>
      <c r="K4485">
        <f>SUM(Table13[[#This Row],[prefix]],Table13[[#This Row],[Past zero L]],Table13[[#This Row],[Past Zero R]],Table13[[#This Row],[Is Zero]])</f>
        <v>1</v>
      </c>
    </row>
    <row r="4486" spans="1:11" ht="16" x14ac:dyDescent="0.2">
      <c r="A4486" s="1" t="s">
        <v>65</v>
      </c>
      <c r="B4486" t="str">
        <f>LEFT(Table13[[#This Row],[Input]],1)</f>
        <v>L</v>
      </c>
      <c r="C4486">
        <f>_xlfn.LET(_xlpm.steps,SUBSTITUTE(Table13[[#This Row],[Input]],Table13[[#This Row],[Direction]],""),VALUE(IF(LEN(_xlpm.steps)&gt;2,RIGHT(_xlpm.steps,2),_xlpm.steps)))</f>
        <v>19</v>
      </c>
      <c r="D4486">
        <f>_xlfn.LET(_xlpm.steps,SUBSTITUTE(Table13[[#This Row],[Input]],Table13[[#This Row],[Direction]],""),VALUE(IF(LEN(_xlpm.steps)&gt;2,LEFT(_xlpm.steps,LEN(_xlpm.steps)-2),0)))</f>
        <v>0</v>
      </c>
      <c r="E4486">
        <f>_xlfn.LET(_xlpm.dir,Table13[[#This Row],[Direction]],
IF(_xlpm.dir="L",
    IF(G4485-Table13[[#This Row],[Steps]]&lt;0,100+(G4485-Table13[[#This Row],[Steps]]),G4485-Table13[[#This Row],[Steps]]),
))</f>
        <v>81</v>
      </c>
      <c r="F4486">
        <f>_xlfn.LET(_xlpm.dir,Table13[[#This Row],[Direction]],
IF(_xlpm.dir="R",
    IF(G4485+Table13[[#This Row],[Steps]]&gt;99,(G4485+Table13[[#This Row],[Steps]])-100,G4485+Table13[[#This Row],[Steps]]),
))</f>
        <v>0</v>
      </c>
      <c r="G4486">
        <f>IF(Table13[[#This Row],[New Pos L]]&lt;&gt;0,Table13[[#This Row],[New Pos L]],Table13[[#This Row],[New Pos R]])</f>
        <v>81</v>
      </c>
      <c r="H4486">
        <f>IF(AND(Table13[[#This Row],[Direction]]="L",Table13[[#This Row],[Steps]]&gt;G4485,G4485&lt;&gt;0),1,0)</f>
        <v>0</v>
      </c>
      <c r="I4486">
        <f>IF(AND(Table13[[#This Row],[Direction]]="R",(G4485+Table13[[#This Row],[Steps]])&gt;100),1,0)</f>
        <v>0</v>
      </c>
      <c r="J4486">
        <f>IF(Table13[[#This Row],[POS]]=0,1,0)</f>
        <v>0</v>
      </c>
      <c r="K4486">
        <f>SUM(Table13[[#This Row],[prefix]],Table13[[#This Row],[Past zero L]],Table13[[#This Row],[Past Zero R]],Table13[[#This Row],[Is Zero]])</f>
        <v>0</v>
      </c>
    </row>
    <row r="4487" spans="1:11" ht="16" x14ac:dyDescent="0.2">
      <c r="A4487" s="1" t="s">
        <v>219</v>
      </c>
      <c r="B4487" t="str">
        <f>LEFT(Table13[[#This Row],[Input]],1)</f>
        <v>L</v>
      </c>
      <c r="C4487">
        <f>_xlfn.LET(_xlpm.steps,SUBSTITUTE(Table13[[#This Row],[Input]],Table13[[#This Row],[Direction]],""),VALUE(IF(LEN(_xlpm.steps)&gt;2,RIGHT(_xlpm.steps,2),_xlpm.steps)))</f>
        <v>64</v>
      </c>
      <c r="D4487">
        <f>_xlfn.LET(_xlpm.steps,SUBSTITUTE(Table13[[#This Row],[Input]],Table13[[#This Row],[Direction]],""),VALUE(IF(LEN(_xlpm.steps)&gt;2,LEFT(_xlpm.steps,LEN(_xlpm.steps)-2),0)))</f>
        <v>0</v>
      </c>
      <c r="E4487">
        <f>_xlfn.LET(_xlpm.dir,Table13[[#This Row],[Direction]],
IF(_xlpm.dir="L",
    IF(G4486-Table13[[#This Row],[Steps]]&lt;0,100+(G4486-Table13[[#This Row],[Steps]]),G4486-Table13[[#This Row],[Steps]]),
))</f>
        <v>17</v>
      </c>
      <c r="F4487">
        <f>_xlfn.LET(_xlpm.dir,Table13[[#This Row],[Direction]],
IF(_xlpm.dir="R",
    IF(G4486+Table13[[#This Row],[Steps]]&gt;99,(G4486+Table13[[#This Row],[Steps]])-100,G4486+Table13[[#This Row],[Steps]]),
))</f>
        <v>0</v>
      </c>
      <c r="G4487">
        <f>IF(Table13[[#This Row],[New Pos L]]&lt;&gt;0,Table13[[#This Row],[New Pos L]],Table13[[#This Row],[New Pos R]])</f>
        <v>17</v>
      </c>
      <c r="H4487">
        <f>IF(AND(Table13[[#This Row],[Direction]]="L",Table13[[#This Row],[Steps]]&gt;G4486,G4486&lt;&gt;0),1,0)</f>
        <v>0</v>
      </c>
      <c r="I4487">
        <f>IF(AND(Table13[[#This Row],[Direction]]="R",(G4486+Table13[[#This Row],[Steps]])&gt;100),1,0)</f>
        <v>0</v>
      </c>
      <c r="J4487">
        <f>IF(Table13[[#This Row],[POS]]=0,1,0)</f>
        <v>0</v>
      </c>
      <c r="K4487">
        <f>SUM(Table13[[#This Row],[prefix]],Table13[[#This Row],[Past zero L]],Table13[[#This Row],[Past Zero R]],Table13[[#This Row],[Is Zero]])</f>
        <v>0</v>
      </c>
    </row>
    <row r="4488" spans="1:11" ht="16" x14ac:dyDescent="0.2">
      <c r="A4488" s="1" t="s">
        <v>205</v>
      </c>
      <c r="B4488" t="str">
        <f>LEFT(Table13[[#This Row],[Input]],1)</f>
        <v>R</v>
      </c>
      <c r="C4488">
        <f>_xlfn.LET(_xlpm.steps,SUBSTITUTE(Table13[[#This Row],[Input]],Table13[[#This Row],[Direction]],""),VALUE(IF(LEN(_xlpm.steps)&gt;2,RIGHT(_xlpm.steps,2),_xlpm.steps)))</f>
        <v>83</v>
      </c>
      <c r="D4488">
        <f>_xlfn.LET(_xlpm.steps,SUBSTITUTE(Table13[[#This Row],[Input]],Table13[[#This Row],[Direction]],""),VALUE(IF(LEN(_xlpm.steps)&gt;2,LEFT(_xlpm.steps,LEN(_xlpm.steps)-2),0)))</f>
        <v>0</v>
      </c>
      <c r="E4488">
        <f>_xlfn.LET(_xlpm.dir,Table13[[#This Row],[Direction]],
IF(_xlpm.dir="L",
    IF(G4487-Table13[[#This Row],[Steps]]&lt;0,100+(G4487-Table13[[#This Row],[Steps]]),G4487-Table13[[#This Row],[Steps]]),
))</f>
        <v>0</v>
      </c>
      <c r="F4488">
        <f>_xlfn.LET(_xlpm.dir,Table13[[#This Row],[Direction]],
IF(_xlpm.dir="R",
    IF(G4487+Table13[[#This Row],[Steps]]&gt;99,(G4487+Table13[[#This Row],[Steps]])-100,G4487+Table13[[#This Row],[Steps]]),
))</f>
        <v>0</v>
      </c>
      <c r="G4488">
        <f>IF(Table13[[#This Row],[New Pos L]]&lt;&gt;0,Table13[[#This Row],[New Pos L]],Table13[[#This Row],[New Pos R]])</f>
        <v>0</v>
      </c>
      <c r="H4488">
        <f>IF(AND(Table13[[#This Row],[Direction]]="L",Table13[[#This Row],[Steps]]&gt;G4487,G4487&lt;&gt;0),1,0)</f>
        <v>0</v>
      </c>
      <c r="I4488">
        <f>IF(AND(Table13[[#This Row],[Direction]]="R",(G4487+Table13[[#This Row],[Steps]])&gt;100),1,0)</f>
        <v>0</v>
      </c>
      <c r="J4488">
        <f>IF(Table13[[#This Row],[POS]]=0,1,0)</f>
        <v>1</v>
      </c>
      <c r="K4488">
        <f>SUM(Table13[[#This Row],[prefix]],Table13[[#This Row],[Past zero L]],Table13[[#This Row],[Past Zero R]],Table13[[#This Row],[Is Zero]])</f>
        <v>1</v>
      </c>
    </row>
    <row r="4489" spans="1:11" ht="16" x14ac:dyDescent="0.2">
      <c r="A4489" s="1" t="s">
        <v>116</v>
      </c>
      <c r="B4489" t="str">
        <f>LEFT(Table13[[#This Row],[Input]],1)</f>
        <v>L</v>
      </c>
      <c r="C4489">
        <f>_xlfn.LET(_xlpm.steps,SUBSTITUTE(Table13[[#This Row],[Input]],Table13[[#This Row],[Direction]],""),VALUE(IF(LEN(_xlpm.steps)&gt;2,RIGHT(_xlpm.steps,2),_xlpm.steps)))</f>
        <v>58</v>
      </c>
      <c r="D4489">
        <f>_xlfn.LET(_xlpm.steps,SUBSTITUTE(Table13[[#This Row],[Input]],Table13[[#This Row],[Direction]],""),VALUE(IF(LEN(_xlpm.steps)&gt;2,LEFT(_xlpm.steps,LEN(_xlpm.steps)-2),0)))</f>
        <v>0</v>
      </c>
      <c r="E4489">
        <f>_xlfn.LET(_xlpm.dir,Table13[[#This Row],[Direction]],
IF(_xlpm.dir="L",
    IF(G4488-Table13[[#This Row],[Steps]]&lt;0,100+(G4488-Table13[[#This Row],[Steps]]),G4488-Table13[[#This Row],[Steps]]),
))</f>
        <v>42</v>
      </c>
      <c r="F4489">
        <f>_xlfn.LET(_xlpm.dir,Table13[[#This Row],[Direction]],
IF(_xlpm.dir="R",
    IF(G4488+Table13[[#This Row],[Steps]]&gt;99,(G4488+Table13[[#This Row],[Steps]])-100,G4488+Table13[[#This Row],[Steps]]),
))</f>
        <v>0</v>
      </c>
      <c r="G4489">
        <f>IF(Table13[[#This Row],[New Pos L]]&lt;&gt;0,Table13[[#This Row],[New Pos L]],Table13[[#This Row],[New Pos R]])</f>
        <v>42</v>
      </c>
      <c r="H4489">
        <f>IF(AND(Table13[[#This Row],[Direction]]="L",Table13[[#This Row],[Steps]]&gt;G4488,G4488&lt;&gt;0),1,0)</f>
        <v>0</v>
      </c>
      <c r="I4489">
        <f>IF(AND(Table13[[#This Row],[Direction]]="R",(G4488+Table13[[#This Row],[Steps]])&gt;100),1,0)</f>
        <v>0</v>
      </c>
      <c r="J4489">
        <f>IF(Table13[[#This Row],[POS]]=0,1,0)</f>
        <v>0</v>
      </c>
      <c r="K4489">
        <f>SUM(Table13[[#This Row],[prefix]],Table13[[#This Row],[Past zero L]],Table13[[#This Row],[Past Zero R]],Table13[[#This Row],[Is Zero]])</f>
        <v>0</v>
      </c>
    </row>
    <row r="4490" spans="1:11" ht="16" x14ac:dyDescent="0.2">
      <c r="A4490" s="1" t="s">
        <v>100</v>
      </c>
      <c r="B4490" t="str">
        <f>LEFT(Table13[[#This Row],[Input]],1)</f>
        <v>R</v>
      </c>
      <c r="C4490">
        <f>_xlfn.LET(_xlpm.steps,SUBSTITUTE(Table13[[#This Row],[Input]],Table13[[#This Row],[Direction]],""),VALUE(IF(LEN(_xlpm.steps)&gt;2,RIGHT(_xlpm.steps,2),_xlpm.steps)))</f>
        <v>58</v>
      </c>
      <c r="D4490">
        <f>_xlfn.LET(_xlpm.steps,SUBSTITUTE(Table13[[#This Row],[Input]],Table13[[#This Row],[Direction]],""),VALUE(IF(LEN(_xlpm.steps)&gt;2,LEFT(_xlpm.steps,LEN(_xlpm.steps)-2),0)))</f>
        <v>0</v>
      </c>
      <c r="E4490">
        <f>_xlfn.LET(_xlpm.dir,Table13[[#This Row],[Direction]],
IF(_xlpm.dir="L",
    IF(G4489-Table13[[#This Row],[Steps]]&lt;0,100+(G4489-Table13[[#This Row],[Steps]]),G4489-Table13[[#This Row],[Steps]]),
))</f>
        <v>0</v>
      </c>
      <c r="F4490">
        <f>_xlfn.LET(_xlpm.dir,Table13[[#This Row],[Direction]],
IF(_xlpm.dir="R",
    IF(G4489+Table13[[#This Row],[Steps]]&gt;99,(G4489+Table13[[#This Row],[Steps]])-100,G4489+Table13[[#This Row],[Steps]]),
))</f>
        <v>0</v>
      </c>
      <c r="G4490">
        <f>IF(Table13[[#This Row],[New Pos L]]&lt;&gt;0,Table13[[#This Row],[New Pos L]],Table13[[#This Row],[New Pos R]])</f>
        <v>0</v>
      </c>
      <c r="H4490">
        <f>IF(AND(Table13[[#This Row],[Direction]]="L",Table13[[#This Row],[Steps]]&gt;G4489,G4489&lt;&gt;0),1,0)</f>
        <v>0</v>
      </c>
      <c r="I4490">
        <f>IF(AND(Table13[[#This Row],[Direction]]="R",(G4489+Table13[[#This Row],[Steps]])&gt;100),1,0)</f>
        <v>0</v>
      </c>
      <c r="J4490">
        <f>IF(Table13[[#This Row],[POS]]=0,1,0)</f>
        <v>1</v>
      </c>
      <c r="K4490">
        <f>SUM(Table13[[#This Row],[prefix]],Table13[[#This Row],[Past zero L]],Table13[[#This Row],[Past Zero R]],Table13[[#This Row],[Is Zero]])</f>
        <v>1</v>
      </c>
    </row>
    <row r="4491" spans="1:11" ht="16" x14ac:dyDescent="0.2">
      <c r="A4491" s="1" t="s">
        <v>193</v>
      </c>
      <c r="B4491" t="str">
        <f>LEFT(Table13[[#This Row],[Input]],1)</f>
        <v>L</v>
      </c>
      <c r="C4491">
        <f>_xlfn.LET(_xlpm.steps,SUBSTITUTE(Table13[[#This Row],[Input]],Table13[[#This Row],[Direction]],""),VALUE(IF(LEN(_xlpm.steps)&gt;2,RIGHT(_xlpm.steps,2),_xlpm.steps)))</f>
        <v>12</v>
      </c>
      <c r="D4491">
        <f>_xlfn.LET(_xlpm.steps,SUBSTITUTE(Table13[[#This Row],[Input]],Table13[[#This Row],[Direction]],""),VALUE(IF(LEN(_xlpm.steps)&gt;2,LEFT(_xlpm.steps,LEN(_xlpm.steps)-2),0)))</f>
        <v>0</v>
      </c>
      <c r="E4491">
        <f>_xlfn.LET(_xlpm.dir,Table13[[#This Row],[Direction]],
IF(_xlpm.dir="L",
    IF(G4490-Table13[[#This Row],[Steps]]&lt;0,100+(G4490-Table13[[#This Row],[Steps]]),G4490-Table13[[#This Row],[Steps]]),
))</f>
        <v>88</v>
      </c>
      <c r="F4491">
        <f>_xlfn.LET(_xlpm.dir,Table13[[#This Row],[Direction]],
IF(_xlpm.dir="R",
    IF(G4490+Table13[[#This Row],[Steps]]&gt;99,(G4490+Table13[[#This Row],[Steps]])-100,G4490+Table13[[#This Row],[Steps]]),
))</f>
        <v>0</v>
      </c>
      <c r="G4491">
        <f>IF(Table13[[#This Row],[New Pos L]]&lt;&gt;0,Table13[[#This Row],[New Pos L]],Table13[[#This Row],[New Pos R]])</f>
        <v>88</v>
      </c>
      <c r="H4491">
        <f>IF(AND(Table13[[#This Row],[Direction]]="L",Table13[[#This Row],[Steps]]&gt;G4490,G4490&lt;&gt;0),1,0)</f>
        <v>0</v>
      </c>
      <c r="I4491">
        <f>IF(AND(Table13[[#This Row],[Direction]]="R",(G4490+Table13[[#This Row],[Steps]])&gt;100),1,0)</f>
        <v>0</v>
      </c>
      <c r="J4491">
        <f>IF(Table13[[#This Row],[POS]]=0,1,0)</f>
        <v>0</v>
      </c>
      <c r="K4491">
        <f>SUM(Table13[[#This Row],[prefix]],Table13[[#This Row],[Past zero L]],Table13[[#This Row],[Past Zero R]],Table13[[#This Row],[Is Zero]])</f>
        <v>0</v>
      </c>
    </row>
    <row r="4492" spans="1:11" ht="16" x14ac:dyDescent="0.2">
      <c r="A4492" s="1" t="s">
        <v>48</v>
      </c>
      <c r="B4492" t="str">
        <f>LEFT(Table13[[#This Row],[Input]],1)</f>
        <v>R</v>
      </c>
      <c r="C4492">
        <f>_xlfn.LET(_xlpm.steps,SUBSTITUTE(Table13[[#This Row],[Input]],Table13[[#This Row],[Direction]],""),VALUE(IF(LEN(_xlpm.steps)&gt;2,RIGHT(_xlpm.steps,2),_xlpm.steps)))</f>
        <v>81</v>
      </c>
      <c r="D4492">
        <f>_xlfn.LET(_xlpm.steps,SUBSTITUTE(Table13[[#This Row],[Input]],Table13[[#This Row],[Direction]],""),VALUE(IF(LEN(_xlpm.steps)&gt;2,LEFT(_xlpm.steps,LEN(_xlpm.steps)-2),0)))</f>
        <v>0</v>
      </c>
      <c r="E4492">
        <f>_xlfn.LET(_xlpm.dir,Table13[[#This Row],[Direction]],
IF(_xlpm.dir="L",
    IF(G4491-Table13[[#This Row],[Steps]]&lt;0,100+(G4491-Table13[[#This Row],[Steps]]),G4491-Table13[[#This Row],[Steps]]),
))</f>
        <v>0</v>
      </c>
      <c r="F4492">
        <f>_xlfn.LET(_xlpm.dir,Table13[[#This Row],[Direction]],
IF(_xlpm.dir="R",
    IF(G4491+Table13[[#This Row],[Steps]]&gt;99,(G4491+Table13[[#This Row],[Steps]])-100,G4491+Table13[[#This Row],[Steps]]),
))</f>
        <v>69</v>
      </c>
      <c r="G4492">
        <f>IF(Table13[[#This Row],[New Pos L]]&lt;&gt;0,Table13[[#This Row],[New Pos L]],Table13[[#This Row],[New Pos R]])</f>
        <v>69</v>
      </c>
      <c r="H4492">
        <f>IF(AND(Table13[[#This Row],[Direction]]="L",Table13[[#This Row],[Steps]]&gt;G4491,G4491&lt;&gt;0),1,0)</f>
        <v>0</v>
      </c>
      <c r="I4492">
        <f>IF(AND(Table13[[#This Row],[Direction]]="R",(G4491+Table13[[#This Row],[Steps]])&gt;100),1,0)</f>
        <v>1</v>
      </c>
      <c r="J4492">
        <f>IF(Table13[[#This Row],[POS]]=0,1,0)</f>
        <v>0</v>
      </c>
      <c r="K4492">
        <f>SUM(Table13[[#This Row],[prefix]],Table13[[#This Row],[Past zero L]],Table13[[#This Row],[Past Zero R]],Table13[[#This Row],[Is Zero]])</f>
        <v>1</v>
      </c>
    </row>
    <row r="4493" spans="1:11" ht="16" x14ac:dyDescent="0.2">
      <c r="A4493" s="1" t="s">
        <v>201</v>
      </c>
      <c r="B4493" t="str">
        <f>LEFT(Table13[[#This Row],[Input]],1)</f>
        <v>R</v>
      </c>
      <c r="C4493">
        <f>_xlfn.LET(_xlpm.steps,SUBSTITUTE(Table13[[#This Row],[Input]],Table13[[#This Row],[Direction]],""),VALUE(IF(LEN(_xlpm.steps)&gt;2,RIGHT(_xlpm.steps,2),_xlpm.steps)))</f>
        <v>31</v>
      </c>
      <c r="D4493">
        <f>_xlfn.LET(_xlpm.steps,SUBSTITUTE(Table13[[#This Row],[Input]],Table13[[#This Row],[Direction]],""),VALUE(IF(LEN(_xlpm.steps)&gt;2,LEFT(_xlpm.steps,LEN(_xlpm.steps)-2),0)))</f>
        <v>0</v>
      </c>
      <c r="E4493">
        <f>_xlfn.LET(_xlpm.dir,Table13[[#This Row],[Direction]],
IF(_xlpm.dir="L",
    IF(G4492-Table13[[#This Row],[Steps]]&lt;0,100+(G4492-Table13[[#This Row],[Steps]]),G4492-Table13[[#This Row],[Steps]]),
))</f>
        <v>0</v>
      </c>
      <c r="F4493">
        <f>_xlfn.LET(_xlpm.dir,Table13[[#This Row],[Direction]],
IF(_xlpm.dir="R",
    IF(G4492+Table13[[#This Row],[Steps]]&gt;99,(G4492+Table13[[#This Row],[Steps]])-100,G4492+Table13[[#This Row],[Steps]]),
))</f>
        <v>0</v>
      </c>
      <c r="G4493">
        <f>IF(Table13[[#This Row],[New Pos L]]&lt;&gt;0,Table13[[#This Row],[New Pos L]],Table13[[#This Row],[New Pos R]])</f>
        <v>0</v>
      </c>
      <c r="H4493">
        <f>IF(AND(Table13[[#This Row],[Direction]]="L",Table13[[#This Row],[Steps]]&gt;G4492,G4492&lt;&gt;0),1,0)</f>
        <v>0</v>
      </c>
      <c r="I4493">
        <f>IF(AND(Table13[[#This Row],[Direction]]="R",(G4492+Table13[[#This Row],[Steps]])&gt;100),1,0)</f>
        <v>0</v>
      </c>
      <c r="J4493">
        <f>IF(Table13[[#This Row],[POS]]=0,1,0)</f>
        <v>1</v>
      </c>
      <c r="K4493">
        <f>SUM(Table13[[#This Row],[prefix]],Table13[[#This Row],[Past zero L]],Table13[[#This Row],[Past Zero R]],Table13[[#This Row],[Is Zero]])</f>
        <v>1</v>
      </c>
    </row>
    <row r="4494" spans="1:11" ht="16" x14ac:dyDescent="0.2">
      <c r="A4494" s="1" t="s">
        <v>213</v>
      </c>
      <c r="B4494" t="str">
        <f>LEFT(Table13[[#This Row],[Input]],1)</f>
        <v>R</v>
      </c>
      <c r="C4494">
        <f>_xlfn.LET(_xlpm.steps,SUBSTITUTE(Table13[[#This Row],[Input]],Table13[[#This Row],[Direction]],""),VALUE(IF(LEN(_xlpm.steps)&gt;2,RIGHT(_xlpm.steps,2),_xlpm.steps)))</f>
        <v>87</v>
      </c>
      <c r="D4494">
        <f>_xlfn.LET(_xlpm.steps,SUBSTITUTE(Table13[[#This Row],[Input]],Table13[[#This Row],[Direction]],""),VALUE(IF(LEN(_xlpm.steps)&gt;2,LEFT(_xlpm.steps,LEN(_xlpm.steps)-2),0)))</f>
        <v>0</v>
      </c>
      <c r="E4494">
        <f>_xlfn.LET(_xlpm.dir,Table13[[#This Row],[Direction]],
IF(_xlpm.dir="L",
    IF(G4493-Table13[[#This Row],[Steps]]&lt;0,100+(G4493-Table13[[#This Row],[Steps]]),G4493-Table13[[#This Row],[Steps]]),
))</f>
        <v>0</v>
      </c>
      <c r="F4494">
        <f>_xlfn.LET(_xlpm.dir,Table13[[#This Row],[Direction]],
IF(_xlpm.dir="R",
    IF(G4493+Table13[[#This Row],[Steps]]&gt;99,(G4493+Table13[[#This Row],[Steps]])-100,G4493+Table13[[#This Row],[Steps]]),
))</f>
        <v>87</v>
      </c>
      <c r="G4494">
        <f>IF(Table13[[#This Row],[New Pos L]]&lt;&gt;0,Table13[[#This Row],[New Pos L]],Table13[[#This Row],[New Pos R]])</f>
        <v>87</v>
      </c>
      <c r="H4494">
        <f>IF(AND(Table13[[#This Row],[Direction]]="L",Table13[[#This Row],[Steps]]&gt;G4493,G4493&lt;&gt;0),1,0)</f>
        <v>0</v>
      </c>
      <c r="I4494">
        <f>IF(AND(Table13[[#This Row],[Direction]]="R",(G4493+Table13[[#This Row],[Steps]])&gt;100),1,0)</f>
        <v>0</v>
      </c>
      <c r="J4494">
        <f>IF(Table13[[#This Row],[POS]]=0,1,0)</f>
        <v>0</v>
      </c>
      <c r="K4494">
        <f>SUM(Table13[[#This Row],[prefix]],Table13[[#This Row],[Past zero L]],Table13[[#This Row],[Past Zero R]],Table13[[#This Row],[Is Zero]])</f>
        <v>0</v>
      </c>
    </row>
    <row r="4495" spans="1:11" ht="16" x14ac:dyDescent="0.2">
      <c r="A4495" s="1" t="s">
        <v>51</v>
      </c>
      <c r="B4495" t="str">
        <f>LEFT(Table13[[#This Row],[Input]],1)</f>
        <v>L</v>
      </c>
      <c r="C4495">
        <f>_xlfn.LET(_xlpm.steps,SUBSTITUTE(Table13[[#This Row],[Input]],Table13[[#This Row],[Direction]],""),VALUE(IF(LEN(_xlpm.steps)&gt;2,RIGHT(_xlpm.steps,2),_xlpm.steps)))</f>
        <v>25</v>
      </c>
      <c r="D4495">
        <f>_xlfn.LET(_xlpm.steps,SUBSTITUTE(Table13[[#This Row],[Input]],Table13[[#This Row],[Direction]],""),VALUE(IF(LEN(_xlpm.steps)&gt;2,LEFT(_xlpm.steps,LEN(_xlpm.steps)-2),0)))</f>
        <v>0</v>
      </c>
      <c r="E4495">
        <f>_xlfn.LET(_xlpm.dir,Table13[[#This Row],[Direction]],
IF(_xlpm.dir="L",
    IF(G4494-Table13[[#This Row],[Steps]]&lt;0,100+(G4494-Table13[[#This Row],[Steps]]),G4494-Table13[[#This Row],[Steps]]),
))</f>
        <v>62</v>
      </c>
      <c r="F4495">
        <f>_xlfn.LET(_xlpm.dir,Table13[[#This Row],[Direction]],
IF(_xlpm.dir="R",
    IF(G4494+Table13[[#This Row],[Steps]]&gt;99,(G4494+Table13[[#This Row],[Steps]])-100,G4494+Table13[[#This Row],[Steps]]),
))</f>
        <v>0</v>
      </c>
      <c r="G4495">
        <f>IF(Table13[[#This Row],[New Pos L]]&lt;&gt;0,Table13[[#This Row],[New Pos L]],Table13[[#This Row],[New Pos R]])</f>
        <v>62</v>
      </c>
      <c r="H4495">
        <f>IF(AND(Table13[[#This Row],[Direction]]="L",Table13[[#This Row],[Steps]]&gt;G4494,G4494&lt;&gt;0),1,0)</f>
        <v>0</v>
      </c>
      <c r="I4495">
        <f>IF(AND(Table13[[#This Row],[Direction]]="R",(G4494+Table13[[#This Row],[Steps]])&gt;100),1,0)</f>
        <v>0</v>
      </c>
      <c r="J4495">
        <f>IF(Table13[[#This Row],[POS]]=0,1,0)</f>
        <v>0</v>
      </c>
      <c r="K4495">
        <f>SUM(Table13[[#This Row],[prefix]],Table13[[#This Row],[Past zero L]],Table13[[#This Row],[Past Zero R]],Table13[[#This Row],[Is Zero]])</f>
        <v>0</v>
      </c>
    </row>
    <row r="4496" spans="1:11" ht="16" x14ac:dyDescent="0.2">
      <c r="A4496" s="1" t="s">
        <v>58</v>
      </c>
      <c r="B4496" t="str">
        <f>LEFT(Table13[[#This Row],[Input]],1)</f>
        <v>L</v>
      </c>
      <c r="C4496">
        <f>_xlfn.LET(_xlpm.steps,SUBSTITUTE(Table13[[#This Row],[Input]],Table13[[#This Row],[Direction]],""),VALUE(IF(LEN(_xlpm.steps)&gt;2,RIGHT(_xlpm.steps,2),_xlpm.steps)))</f>
        <v>30</v>
      </c>
      <c r="D4496">
        <f>_xlfn.LET(_xlpm.steps,SUBSTITUTE(Table13[[#This Row],[Input]],Table13[[#This Row],[Direction]],""),VALUE(IF(LEN(_xlpm.steps)&gt;2,LEFT(_xlpm.steps,LEN(_xlpm.steps)-2),0)))</f>
        <v>0</v>
      </c>
      <c r="E4496">
        <f>_xlfn.LET(_xlpm.dir,Table13[[#This Row],[Direction]],
IF(_xlpm.dir="L",
    IF(G4495-Table13[[#This Row],[Steps]]&lt;0,100+(G4495-Table13[[#This Row],[Steps]]),G4495-Table13[[#This Row],[Steps]]),
))</f>
        <v>32</v>
      </c>
      <c r="F4496">
        <f>_xlfn.LET(_xlpm.dir,Table13[[#This Row],[Direction]],
IF(_xlpm.dir="R",
    IF(G4495+Table13[[#This Row],[Steps]]&gt;99,(G4495+Table13[[#This Row],[Steps]])-100,G4495+Table13[[#This Row],[Steps]]),
))</f>
        <v>0</v>
      </c>
      <c r="G4496">
        <f>IF(Table13[[#This Row],[New Pos L]]&lt;&gt;0,Table13[[#This Row],[New Pos L]],Table13[[#This Row],[New Pos R]])</f>
        <v>32</v>
      </c>
      <c r="H4496">
        <f>IF(AND(Table13[[#This Row],[Direction]]="L",Table13[[#This Row],[Steps]]&gt;G4495,G4495&lt;&gt;0),1,0)</f>
        <v>0</v>
      </c>
      <c r="I4496">
        <f>IF(AND(Table13[[#This Row],[Direction]]="R",(G4495+Table13[[#This Row],[Steps]])&gt;100),1,0)</f>
        <v>0</v>
      </c>
      <c r="J4496">
        <f>IF(Table13[[#This Row],[POS]]=0,1,0)</f>
        <v>0</v>
      </c>
      <c r="K4496">
        <f>SUM(Table13[[#This Row],[prefix]],Table13[[#This Row],[Past zero L]],Table13[[#This Row],[Past Zero R]],Table13[[#This Row],[Is Zero]])</f>
        <v>0</v>
      </c>
    </row>
    <row r="4497" spans="1:11" ht="16" x14ac:dyDescent="0.2">
      <c r="A4497" s="1" t="s">
        <v>52</v>
      </c>
      <c r="B4497" t="str">
        <f>LEFT(Table13[[#This Row],[Input]],1)</f>
        <v>R</v>
      </c>
      <c r="C4497">
        <f>_xlfn.LET(_xlpm.steps,SUBSTITUTE(Table13[[#This Row],[Input]],Table13[[#This Row],[Direction]],""),VALUE(IF(LEN(_xlpm.steps)&gt;2,RIGHT(_xlpm.steps,2),_xlpm.steps)))</f>
        <v>11</v>
      </c>
      <c r="D4497">
        <f>_xlfn.LET(_xlpm.steps,SUBSTITUTE(Table13[[#This Row],[Input]],Table13[[#This Row],[Direction]],""),VALUE(IF(LEN(_xlpm.steps)&gt;2,LEFT(_xlpm.steps,LEN(_xlpm.steps)-2),0)))</f>
        <v>0</v>
      </c>
      <c r="E4497">
        <f>_xlfn.LET(_xlpm.dir,Table13[[#This Row],[Direction]],
IF(_xlpm.dir="L",
    IF(G4496-Table13[[#This Row],[Steps]]&lt;0,100+(G4496-Table13[[#This Row],[Steps]]),G4496-Table13[[#This Row],[Steps]]),
))</f>
        <v>0</v>
      </c>
      <c r="F4497">
        <f>_xlfn.LET(_xlpm.dir,Table13[[#This Row],[Direction]],
IF(_xlpm.dir="R",
    IF(G4496+Table13[[#This Row],[Steps]]&gt;99,(G4496+Table13[[#This Row],[Steps]])-100,G4496+Table13[[#This Row],[Steps]]),
))</f>
        <v>43</v>
      </c>
      <c r="G4497">
        <f>IF(Table13[[#This Row],[New Pos L]]&lt;&gt;0,Table13[[#This Row],[New Pos L]],Table13[[#This Row],[New Pos R]])</f>
        <v>43</v>
      </c>
      <c r="H4497">
        <f>IF(AND(Table13[[#This Row],[Direction]]="L",Table13[[#This Row],[Steps]]&gt;G4496,G4496&lt;&gt;0),1,0)</f>
        <v>0</v>
      </c>
      <c r="I4497">
        <f>IF(AND(Table13[[#This Row],[Direction]]="R",(G4496+Table13[[#This Row],[Steps]])&gt;100),1,0)</f>
        <v>0</v>
      </c>
      <c r="J4497">
        <f>IF(Table13[[#This Row],[POS]]=0,1,0)</f>
        <v>0</v>
      </c>
      <c r="K4497">
        <f>SUM(Table13[[#This Row],[prefix]],Table13[[#This Row],[Past zero L]],Table13[[#This Row],[Past Zero R]],Table13[[#This Row],[Is Zero]])</f>
        <v>0</v>
      </c>
    </row>
    <row r="4498" spans="1:11" ht="16" x14ac:dyDescent="0.2">
      <c r="A4498" s="1" t="s">
        <v>330</v>
      </c>
      <c r="B4498" t="str">
        <f>LEFT(Table13[[#This Row],[Input]],1)</f>
        <v>L</v>
      </c>
      <c r="C4498">
        <f>_xlfn.LET(_xlpm.steps,SUBSTITUTE(Table13[[#This Row],[Input]],Table13[[#This Row],[Direction]],""),VALUE(IF(LEN(_xlpm.steps)&gt;2,RIGHT(_xlpm.steps,2),_xlpm.steps)))</f>
        <v>47</v>
      </c>
      <c r="D4498">
        <f>_xlfn.LET(_xlpm.steps,SUBSTITUTE(Table13[[#This Row],[Input]],Table13[[#This Row],[Direction]],""),VALUE(IF(LEN(_xlpm.steps)&gt;2,LEFT(_xlpm.steps,LEN(_xlpm.steps)-2),0)))</f>
        <v>0</v>
      </c>
      <c r="E4498">
        <f>_xlfn.LET(_xlpm.dir,Table13[[#This Row],[Direction]],
IF(_xlpm.dir="L",
    IF(G4497-Table13[[#This Row],[Steps]]&lt;0,100+(G4497-Table13[[#This Row],[Steps]]),G4497-Table13[[#This Row],[Steps]]),
))</f>
        <v>96</v>
      </c>
      <c r="F4498">
        <f>_xlfn.LET(_xlpm.dir,Table13[[#This Row],[Direction]],
IF(_xlpm.dir="R",
    IF(G4497+Table13[[#This Row],[Steps]]&gt;99,(G4497+Table13[[#This Row],[Steps]])-100,G4497+Table13[[#This Row],[Steps]]),
))</f>
        <v>0</v>
      </c>
      <c r="G4498">
        <f>IF(Table13[[#This Row],[New Pos L]]&lt;&gt;0,Table13[[#This Row],[New Pos L]],Table13[[#This Row],[New Pos R]])</f>
        <v>96</v>
      </c>
      <c r="H4498">
        <f>IF(AND(Table13[[#This Row],[Direction]]="L",Table13[[#This Row],[Steps]]&gt;G4497,G4497&lt;&gt;0),1,0)</f>
        <v>1</v>
      </c>
      <c r="I4498">
        <f>IF(AND(Table13[[#This Row],[Direction]]="R",(G4497+Table13[[#This Row],[Steps]])&gt;100),1,0)</f>
        <v>0</v>
      </c>
      <c r="J4498">
        <f>IF(Table13[[#This Row],[POS]]=0,1,0)</f>
        <v>0</v>
      </c>
      <c r="K4498">
        <f>SUM(Table13[[#This Row],[prefix]],Table13[[#This Row],[Past zero L]],Table13[[#This Row],[Past Zero R]],Table13[[#This Row],[Is Zero]])</f>
        <v>1</v>
      </c>
    </row>
    <row r="4499" spans="1:11" ht="16" x14ac:dyDescent="0.2">
      <c r="A4499" s="1" t="s">
        <v>38</v>
      </c>
      <c r="B4499" t="str">
        <f>LEFT(Table13[[#This Row],[Input]],1)</f>
        <v>R</v>
      </c>
      <c r="C4499">
        <f>_xlfn.LET(_xlpm.steps,SUBSTITUTE(Table13[[#This Row],[Input]],Table13[[#This Row],[Direction]],""),VALUE(IF(LEN(_xlpm.steps)&gt;2,RIGHT(_xlpm.steps,2),_xlpm.steps)))</f>
        <v>15</v>
      </c>
      <c r="D4499">
        <f>_xlfn.LET(_xlpm.steps,SUBSTITUTE(Table13[[#This Row],[Input]],Table13[[#This Row],[Direction]],""),VALUE(IF(LEN(_xlpm.steps)&gt;2,LEFT(_xlpm.steps,LEN(_xlpm.steps)-2),0)))</f>
        <v>0</v>
      </c>
      <c r="E4499">
        <f>_xlfn.LET(_xlpm.dir,Table13[[#This Row],[Direction]],
IF(_xlpm.dir="L",
    IF(G4498-Table13[[#This Row],[Steps]]&lt;0,100+(G4498-Table13[[#This Row],[Steps]]),G4498-Table13[[#This Row],[Steps]]),
))</f>
        <v>0</v>
      </c>
      <c r="F4499">
        <f>_xlfn.LET(_xlpm.dir,Table13[[#This Row],[Direction]],
IF(_xlpm.dir="R",
    IF(G4498+Table13[[#This Row],[Steps]]&gt;99,(G4498+Table13[[#This Row],[Steps]])-100,G4498+Table13[[#This Row],[Steps]]),
))</f>
        <v>11</v>
      </c>
      <c r="G4499">
        <f>IF(Table13[[#This Row],[New Pos L]]&lt;&gt;0,Table13[[#This Row],[New Pos L]],Table13[[#This Row],[New Pos R]])</f>
        <v>11</v>
      </c>
      <c r="H4499">
        <f>IF(AND(Table13[[#This Row],[Direction]]="L",Table13[[#This Row],[Steps]]&gt;G4498,G4498&lt;&gt;0),1,0)</f>
        <v>0</v>
      </c>
      <c r="I4499">
        <f>IF(AND(Table13[[#This Row],[Direction]]="R",(G4498+Table13[[#This Row],[Steps]])&gt;100),1,0)</f>
        <v>1</v>
      </c>
      <c r="J4499">
        <f>IF(Table13[[#This Row],[POS]]=0,1,0)</f>
        <v>0</v>
      </c>
      <c r="K4499">
        <f>SUM(Table13[[#This Row],[prefix]],Table13[[#This Row],[Past zero L]],Table13[[#This Row],[Past Zero R]],Table13[[#This Row],[Is Zero]])</f>
        <v>1</v>
      </c>
    </row>
    <row r="4500" spans="1:11" ht="16" x14ac:dyDescent="0.2">
      <c r="A4500" s="1" t="s">
        <v>201</v>
      </c>
      <c r="B4500" t="str">
        <f>LEFT(Table13[[#This Row],[Input]],1)</f>
        <v>R</v>
      </c>
      <c r="C4500">
        <f>_xlfn.LET(_xlpm.steps,SUBSTITUTE(Table13[[#This Row],[Input]],Table13[[#This Row],[Direction]],""),VALUE(IF(LEN(_xlpm.steps)&gt;2,RIGHT(_xlpm.steps,2),_xlpm.steps)))</f>
        <v>31</v>
      </c>
      <c r="D4500">
        <f>_xlfn.LET(_xlpm.steps,SUBSTITUTE(Table13[[#This Row],[Input]],Table13[[#This Row],[Direction]],""),VALUE(IF(LEN(_xlpm.steps)&gt;2,LEFT(_xlpm.steps,LEN(_xlpm.steps)-2),0)))</f>
        <v>0</v>
      </c>
      <c r="E4500">
        <f>_xlfn.LET(_xlpm.dir,Table13[[#This Row],[Direction]],
IF(_xlpm.dir="L",
    IF(G4499-Table13[[#This Row],[Steps]]&lt;0,100+(G4499-Table13[[#This Row],[Steps]]),G4499-Table13[[#This Row],[Steps]]),
))</f>
        <v>0</v>
      </c>
      <c r="F4500">
        <f>_xlfn.LET(_xlpm.dir,Table13[[#This Row],[Direction]],
IF(_xlpm.dir="R",
    IF(G4499+Table13[[#This Row],[Steps]]&gt;99,(G4499+Table13[[#This Row],[Steps]])-100,G4499+Table13[[#This Row],[Steps]]),
))</f>
        <v>42</v>
      </c>
      <c r="G4500">
        <f>IF(Table13[[#This Row],[New Pos L]]&lt;&gt;0,Table13[[#This Row],[New Pos L]],Table13[[#This Row],[New Pos R]])</f>
        <v>42</v>
      </c>
      <c r="H4500">
        <f>IF(AND(Table13[[#This Row],[Direction]]="L",Table13[[#This Row],[Steps]]&gt;G4499,G4499&lt;&gt;0),1,0)</f>
        <v>0</v>
      </c>
      <c r="I4500">
        <f>IF(AND(Table13[[#This Row],[Direction]]="R",(G4499+Table13[[#This Row],[Steps]])&gt;100),1,0)</f>
        <v>0</v>
      </c>
      <c r="J4500">
        <f>IF(Table13[[#This Row],[POS]]=0,1,0)</f>
        <v>0</v>
      </c>
      <c r="K4500">
        <f>SUM(Table13[[#This Row],[prefix]],Table13[[#This Row],[Past zero L]],Table13[[#This Row],[Past Zero R]],Table13[[#This Row],[Is Zero]])</f>
        <v>0</v>
      </c>
    </row>
    <row r="4501" spans="1:11" ht="16" x14ac:dyDescent="0.2">
      <c r="A4501" s="1" t="s">
        <v>304</v>
      </c>
      <c r="B4501" t="str">
        <f>LEFT(Table13[[#This Row],[Input]],1)</f>
        <v>L</v>
      </c>
      <c r="C4501">
        <f>_xlfn.LET(_xlpm.steps,SUBSTITUTE(Table13[[#This Row],[Input]],Table13[[#This Row],[Direction]],""),VALUE(IF(LEN(_xlpm.steps)&gt;2,RIGHT(_xlpm.steps,2),_xlpm.steps)))</f>
        <v>26</v>
      </c>
      <c r="D4501">
        <f>_xlfn.LET(_xlpm.steps,SUBSTITUTE(Table13[[#This Row],[Input]],Table13[[#This Row],[Direction]],""),VALUE(IF(LEN(_xlpm.steps)&gt;2,LEFT(_xlpm.steps,LEN(_xlpm.steps)-2),0)))</f>
        <v>0</v>
      </c>
      <c r="E4501">
        <f>_xlfn.LET(_xlpm.dir,Table13[[#This Row],[Direction]],
IF(_xlpm.dir="L",
    IF(G4500-Table13[[#This Row],[Steps]]&lt;0,100+(G4500-Table13[[#This Row],[Steps]]),G4500-Table13[[#This Row],[Steps]]),
))</f>
        <v>16</v>
      </c>
      <c r="F4501">
        <f>_xlfn.LET(_xlpm.dir,Table13[[#This Row],[Direction]],
IF(_xlpm.dir="R",
    IF(G4500+Table13[[#This Row],[Steps]]&gt;99,(G4500+Table13[[#This Row],[Steps]])-100,G4500+Table13[[#This Row],[Steps]]),
))</f>
        <v>0</v>
      </c>
      <c r="G4501">
        <f>IF(Table13[[#This Row],[New Pos L]]&lt;&gt;0,Table13[[#This Row],[New Pos L]],Table13[[#This Row],[New Pos R]])</f>
        <v>16</v>
      </c>
      <c r="H4501">
        <f>IF(AND(Table13[[#This Row],[Direction]]="L",Table13[[#This Row],[Steps]]&gt;G4500,G4500&lt;&gt;0),1,0)</f>
        <v>0</v>
      </c>
      <c r="I4501">
        <f>IF(AND(Table13[[#This Row],[Direction]]="R",(G4500+Table13[[#This Row],[Steps]])&gt;100),1,0)</f>
        <v>0</v>
      </c>
      <c r="J4501">
        <f>IF(Table13[[#This Row],[POS]]=0,1,0)</f>
        <v>0</v>
      </c>
      <c r="K4501">
        <f>SUM(Table13[[#This Row],[prefix]],Table13[[#This Row],[Past zero L]],Table13[[#This Row],[Past Zero R]],Table13[[#This Row],[Is Zero]])</f>
        <v>0</v>
      </c>
    </row>
    <row r="4502" spans="1:11" ht="16" x14ac:dyDescent="0.2">
      <c r="A4502" s="1" t="s">
        <v>18</v>
      </c>
      <c r="B4502" t="str">
        <f>LEFT(Table13[[#This Row],[Input]],1)</f>
        <v>L</v>
      </c>
      <c r="C4502">
        <f>_xlfn.LET(_xlpm.steps,SUBSTITUTE(Table13[[#This Row],[Input]],Table13[[#This Row],[Direction]],""),VALUE(IF(LEN(_xlpm.steps)&gt;2,RIGHT(_xlpm.steps,2),_xlpm.steps)))</f>
        <v>46</v>
      </c>
      <c r="D4502">
        <f>_xlfn.LET(_xlpm.steps,SUBSTITUTE(Table13[[#This Row],[Input]],Table13[[#This Row],[Direction]],""),VALUE(IF(LEN(_xlpm.steps)&gt;2,LEFT(_xlpm.steps,LEN(_xlpm.steps)-2),0)))</f>
        <v>0</v>
      </c>
      <c r="E4502">
        <f>_xlfn.LET(_xlpm.dir,Table13[[#This Row],[Direction]],
IF(_xlpm.dir="L",
    IF(G4501-Table13[[#This Row],[Steps]]&lt;0,100+(G4501-Table13[[#This Row],[Steps]]),G4501-Table13[[#This Row],[Steps]]),
))</f>
        <v>70</v>
      </c>
      <c r="F4502">
        <f>_xlfn.LET(_xlpm.dir,Table13[[#This Row],[Direction]],
IF(_xlpm.dir="R",
    IF(G4501+Table13[[#This Row],[Steps]]&gt;99,(G4501+Table13[[#This Row],[Steps]])-100,G4501+Table13[[#This Row],[Steps]]),
))</f>
        <v>0</v>
      </c>
      <c r="G4502">
        <f>IF(Table13[[#This Row],[New Pos L]]&lt;&gt;0,Table13[[#This Row],[New Pos L]],Table13[[#This Row],[New Pos R]])</f>
        <v>70</v>
      </c>
      <c r="H4502">
        <f>IF(AND(Table13[[#This Row],[Direction]]="L",Table13[[#This Row],[Steps]]&gt;G4501,G4501&lt;&gt;0),1,0)</f>
        <v>1</v>
      </c>
      <c r="I4502">
        <f>IF(AND(Table13[[#This Row],[Direction]]="R",(G4501+Table13[[#This Row],[Steps]])&gt;100),1,0)</f>
        <v>0</v>
      </c>
      <c r="J4502">
        <f>IF(Table13[[#This Row],[POS]]=0,1,0)</f>
        <v>0</v>
      </c>
      <c r="K4502">
        <f>SUM(Table13[[#This Row],[prefix]],Table13[[#This Row],[Past zero L]],Table13[[#This Row],[Past Zero R]],Table13[[#This Row],[Is Zero]])</f>
        <v>1</v>
      </c>
    </row>
    <row r="4503" spans="1:11" ht="16" x14ac:dyDescent="0.2">
      <c r="A4503" s="1" t="s">
        <v>61</v>
      </c>
      <c r="B4503" t="str">
        <f>LEFT(Table13[[#This Row],[Input]],1)</f>
        <v>L</v>
      </c>
      <c r="C4503">
        <f>_xlfn.LET(_xlpm.steps,SUBSTITUTE(Table13[[#This Row],[Input]],Table13[[#This Row],[Direction]],""),VALUE(IF(LEN(_xlpm.steps)&gt;2,RIGHT(_xlpm.steps,2),_xlpm.steps)))</f>
        <v>16</v>
      </c>
      <c r="D4503">
        <f>_xlfn.LET(_xlpm.steps,SUBSTITUTE(Table13[[#This Row],[Input]],Table13[[#This Row],[Direction]],""),VALUE(IF(LEN(_xlpm.steps)&gt;2,LEFT(_xlpm.steps,LEN(_xlpm.steps)-2),0)))</f>
        <v>0</v>
      </c>
      <c r="E4503">
        <f>_xlfn.LET(_xlpm.dir,Table13[[#This Row],[Direction]],
IF(_xlpm.dir="L",
    IF(G4502-Table13[[#This Row],[Steps]]&lt;0,100+(G4502-Table13[[#This Row],[Steps]]),G4502-Table13[[#This Row],[Steps]]),
))</f>
        <v>54</v>
      </c>
      <c r="F4503">
        <f>_xlfn.LET(_xlpm.dir,Table13[[#This Row],[Direction]],
IF(_xlpm.dir="R",
    IF(G4502+Table13[[#This Row],[Steps]]&gt;99,(G4502+Table13[[#This Row],[Steps]])-100,G4502+Table13[[#This Row],[Steps]]),
))</f>
        <v>0</v>
      </c>
      <c r="G4503">
        <f>IF(Table13[[#This Row],[New Pos L]]&lt;&gt;0,Table13[[#This Row],[New Pos L]],Table13[[#This Row],[New Pos R]])</f>
        <v>54</v>
      </c>
      <c r="H4503">
        <f>IF(AND(Table13[[#This Row],[Direction]]="L",Table13[[#This Row],[Steps]]&gt;G4502,G4502&lt;&gt;0),1,0)</f>
        <v>0</v>
      </c>
      <c r="I4503">
        <f>IF(AND(Table13[[#This Row],[Direction]]="R",(G4502+Table13[[#This Row],[Steps]])&gt;100),1,0)</f>
        <v>0</v>
      </c>
      <c r="J4503">
        <f>IF(Table13[[#This Row],[POS]]=0,1,0)</f>
        <v>0</v>
      </c>
      <c r="K4503">
        <f>SUM(Table13[[#This Row],[prefix]],Table13[[#This Row],[Past zero L]],Table13[[#This Row],[Past Zero R]],Table13[[#This Row],[Is Zero]])</f>
        <v>0</v>
      </c>
    </row>
    <row r="4504" spans="1:11" ht="16" x14ac:dyDescent="0.2">
      <c r="A4504" s="1" t="s">
        <v>3</v>
      </c>
      <c r="B4504" t="str">
        <f>LEFT(Table13[[#This Row],[Input]],1)</f>
        <v>R</v>
      </c>
      <c r="C4504">
        <f>_xlfn.LET(_xlpm.steps,SUBSTITUTE(Table13[[#This Row],[Input]],Table13[[#This Row],[Direction]],""),VALUE(IF(LEN(_xlpm.steps)&gt;2,RIGHT(_xlpm.steps,2),_xlpm.steps)))</f>
        <v>44</v>
      </c>
      <c r="D4504">
        <f>_xlfn.LET(_xlpm.steps,SUBSTITUTE(Table13[[#This Row],[Input]],Table13[[#This Row],[Direction]],""),VALUE(IF(LEN(_xlpm.steps)&gt;2,LEFT(_xlpm.steps,LEN(_xlpm.steps)-2),0)))</f>
        <v>0</v>
      </c>
      <c r="E4504">
        <f>_xlfn.LET(_xlpm.dir,Table13[[#This Row],[Direction]],
IF(_xlpm.dir="L",
    IF(G4503-Table13[[#This Row],[Steps]]&lt;0,100+(G4503-Table13[[#This Row],[Steps]]),G4503-Table13[[#This Row],[Steps]]),
))</f>
        <v>0</v>
      </c>
      <c r="F4504">
        <f>_xlfn.LET(_xlpm.dir,Table13[[#This Row],[Direction]],
IF(_xlpm.dir="R",
    IF(G4503+Table13[[#This Row],[Steps]]&gt;99,(G4503+Table13[[#This Row],[Steps]])-100,G4503+Table13[[#This Row],[Steps]]),
))</f>
        <v>98</v>
      </c>
      <c r="G4504">
        <f>IF(Table13[[#This Row],[New Pos L]]&lt;&gt;0,Table13[[#This Row],[New Pos L]],Table13[[#This Row],[New Pos R]])</f>
        <v>98</v>
      </c>
      <c r="H4504">
        <f>IF(AND(Table13[[#This Row],[Direction]]="L",Table13[[#This Row],[Steps]]&gt;G4503,G4503&lt;&gt;0),1,0)</f>
        <v>0</v>
      </c>
      <c r="I4504">
        <f>IF(AND(Table13[[#This Row],[Direction]]="R",(G4503+Table13[[#This Row],[Steps]])&gt;100),1,0)</f>
        <v>0</v>
      </c>
      <c r="J4504">
        <f>IF(Table13[[#This Row],[POS]]=0,1,0)</f>
        <v>0</v>
      </c>
      <c r="K4504">
        <f>SUM(Table13[[#This Row],[prefix]],Table13[[#This Row],[Past zero L]],Table13[[#This Row],[Past Zero R]],Table13[[#This Row],[Is Zero]])</f>
        <v>0</v>
      </c>
    </row>
    <row r="4505" spans="1:11" ht="16" x14ac:dyDescent="0.2">
      <c r="A4505" s="1" t="s">
        <v>64</v>
      </c>
      <c r="B4505" t="str">
        <f>LEFT(Table13[[#This Row],[Input]],1)</f>
        <v>R</v>
      </c>
      <c r="C4505">
        <f>_xlfn.LET(_xlpm.steps,SUBSTITUTE(Table13[[#This Row],[Input]],Table13[[#This Row],[Direction]],""),VALUE(IF(LEN(_xlpm.steps)&gt;2,RIGHT(_xlpm.steps,2),_xlpm.steps)))</f>
        <v>10</v>
      </c>
      <c r="D4505">
        <f>_xlfn.LET(_xlpm.steps,SUBSTITUTE(Table13[[#This Row],[Input]],Table13[[#This Row],[Direction]],""),VALUE(IF(LEN(_xlpm.steps)&gt;2,LEFT(_xlpm.steps,LEN(_xlpm.steps)-2),0)))</f>
        <v>0</v>
      </c>
      <c r="E4505">
        <f>_xlfn.LET(_xlpm.dir,Table13[[#This Row],[Direction]],
IF(_xlpm.dir="L",
    IF(G4504-Table13[[#This Row],[Steps]]&lt;0,100+(G4504-Table13[[#This Row],[Steps]]),G4504-Table13[[#This Row],[Steps]]),
))</f>
        <v>0</v>
      </c>
      <c r="F4505">
        <f>_xlfn.LET(_xlpm.dir,Table13[[#This Row],[Direction]],
IF(_xlpm.dir="R",
    IF(G4504+Table13[[#This Row],[Steps]]&gt;99,(G4504+Table13[[#This Row],[Steps]])-100,G4504+Table13[[#This Row],[Steps]]),
))</f>
        <v>8</v>
      </c>
      <c r="G4505">
        <f>IF(Table13[[#This Row],[New Pos L]]&lt;&gt;0,Table13[[#This Row],[New Pos L]],Table13[[#This Row],[New Pos R]])</f>
        <v>8</v>
      </c>
      <c r="H4505">
        <f>IF(AND(Table13[[#This Row],[Direction]]="L",Table13[[#This Row],[Steps]]&gt;G4504,G4504&lt;&gt;0),1,0)</f>
        <v>0</v>
      </c>
      <c r="I4505">
        <f>IF(AND(Table13[[#This Row],[Direction]]="R",(G4504+Table13[[#This Row],[Steps]])&gt;100),1,0)</f>
        <v>1</v>
      </c>
      <c r="J4505">
        <f>IF(Table13[[#This Row],[POS]]=0,1,0)</f>
        <v>0</v>
      </c>
      <c r="K4505">
        <f>SUM(Table13[[#This Row],[prefix]],Table13[[#This Row],[Past zero L]],Table13[[#This Row],[Past Zero R]],Table13[[#This Row],[Is Zero]])</f>
        <v>1</v>
      </c>
    </row>
    <row r="4506" spans="1:11" ht="16" x14ac:dyDescent="0.2">
      <c r="A4506" s="1" t="s">
        <v>39</v>
      </c>
      <c r="B4506" t="str">
        <f>LEFT(Table13[[#This Row],[Input]],1)</f>
        <v>R</v>
      </c>
      <c r="C4506">
        <f>_xlfn.LET(_xlpm.steps,SUBSTITUTE(Table13[[#This Row],[Input]],Table13[[#This Row],[Direction]],""),VALUE(IF(LEN(_xlpm.steps)&gt;2,RIGHT(_xlpm.steps,2),_xlpm.steps)))</f>
        <v>32</v>
      </c>
      <c r="D4506">
        <f>_xlfn.LET(_xlpm.steps,SUBSTITUTE(Table13[[#This Row],[Input]],Table13[[#This Row],[Direction]],""),VALUE(IF(LEN(_xlpm.steps)&gt;2,LEFT(_xlpm.steps,LEN(_xlpm.steps)-2),0)))</f>
        <v>0</v>
      </c>
      <c r="E4506">
        <f>_xlfn.LET(_xlpm.dir,Table13[[#This Row],[Direction]],
IF(_xlpm.dir="L",
    IF(G4505-Table13[[#This Row],[Steps]]&lt;0,100+(G4505-Table13[[#This Row],[Steps]]),G4505-Table13[[#This Row],[Steps]]),
))</f>
        <v>0</v>
      </c>
      <c r="F4506">
        <f>_xlfn.LET(_xlpm.dir,Table13[[#This Row],[Direction]],
IF(_xlpm.dir="R",
    IF(G4505+Table13[[#This Row],[Steps]]&gt;99,(G4505+Table13[[#This Row],[Steps]])-100,G4505+Table13[[#This Row],[Steps]]),
))</f>
        <v>40</v>
      </c>
      <c r="G4506">
        <f>IF(Table13[[#This Row],[New Pos L]]&lt;&gt;0,Table13[[#This Row],[New Pos L]],Table13[[#This Row],[New Pos R]])</f>
        <v>40</v>
      </c>
      <c r="H4506">
        <f>IF(AND(Table13[[#This Row],[Direction]]="L",Table13[[#This Row],[Steps]]&gt;G4505,G4505&lt;&gt;0),1,0)</f>
        <v>0</v>
      </c>
      <c r="I4506">
        <f>IF(AND(Table13[[#This Row],[Direction]]="R",(G4505+Table13[[#This Row],[Steps]])&gt;100),1,0)</f>
        <v>0</v>
      </c>
      <c r="J4506">
        <f>IF(Table13[[#This Row],[POS]]=0,1,0)</f>
        <v>0</v>
      </c>
      <c r="K4506">
        <f>SUM(Table13[[#This Row],[prefix]],Table13[[#This Row],[Past zero L]],Table13[[#This Row],[Past Zero R]],Table13[[#This Row],[Is Zero]])</f>
        <v>0</v>
      </c>
    </row>
    <row r="4507" spans="1:11" ht="16" x14ac:dyDescent="0.2">
      <c r="A4507" s="1" t="s">
        <v>175</v>
      </c>
      <c r="B4507" t="str">
        <f>LEFT(Table13[[#This Row],[Input]],1)</f>
        <v>L</v>
      </c>
      <c r="C4507">
        <f>_xlfn.LET(_xlpm.steps,SUBSTITUTE(Table13[[#This Row],[Input]],Table13[[#This Row],[Direction]],""),VALUE(IF(LEN(_xlpm.steps)&gt;2,RIGHT(_xlpm.steps,2),_xlpm.steps)))</f>
        <v>1</v>
      </c>
      <c r="D4507">
        <f>_xlfn.LET(_xlpm.steps,SUBSTITUTE(Table13[[#This Row],[Input]],Table13[[#This Row],[Direction]],""),VALUE(IF(LEN(_xlpm.steps)&gt;2,LEFT(_xlpm.steps,LEN(_xlpm.steps)-2),0)))</f>
        <v>0</v>
      </c>
      <c r="E4507">
        <f>_xlfn.LET(_xlpm.dir,Table13[[#This Row],[Direction]],
IF(_xlpm.dir="L",
    IF(G4506-Table13[[#This Row],[Steps]]&lt;0,100+(G4506-Table13[[#This Row],[Steps]]),G4506-Table13[[#This Row],[Steps]]),
))</f>
        <v>39</v>
      </c>
      <c r="F4507">
        <f>_xlfn.LET(_xlpm.dir,Table13[[#This Row],[Direction]],
IF(_xlpm.dir="R",
    IF(G4506+Table13[[#This Row],[Steps]]&gt;99,(G4506+Table13[[#This Row],[Steps]])-100,G4506+Table13[[#This Row],[Steps]]),
))</f>
        <v>0</v>
      </c>
      <c r="G4507">
        <f>IF(Table13[[#This Row],[New Pos L]]&lt;&gt;0,Table13[[#This Row],[New Pos L]],Table13[[#This Row],[New Pos R]])</f>
        <v>39</v>
      </c>
      <c r="H4507">
        <f>IF(AND(Table13[[#This Row],[Direction]]="L",Table13[[#This Row],[Steps]]&gt;G4506,G4506&lt;&gt;0),1,0)</f>
        <v>0</v>
      </c>
      <c r="I4507">
        <f>IF(AND(Table13[[#This Row],[Direction]]="R",(G4506+Table13[[#This Row],[Steps]])&gt;100),1,0)</f>
        <v>0</v>
      </c>
      <c r="J4507">
        <f>IF(Table13[[#This Row],[POS]]=0,1,0)</f>
        <v>0</v>
      </c>
      <c r="K4507">
        <f>SUM(Table13[[#This Row],[prefix]],Table13[[#This Row],[Past zero L]],Table13[[#This Row],[Past Zero R]],Table13[[#This Row],[Is Zero]])</f>
        <v>0</v>
      </c>
    </row>
    <row r="4508" spans="1:11" ht="16" x14ac:dyDescent="0.2">
      <c r="A4508" s="1" t="s">
        <v>102</v>
      </c>
      <c r="B4508" t="str">
        <f>LEFT(Table13[[#This Row],[Input]],1)</f>
        <v>R</v>
      </c>
      <c r="C4508">
        <f>_xlfn.LET(_xlpm.steps,SUBSTITUTE(Table13[[#This Row],[Input]],Table13[[#This Row],[Direction]],""),VALUE(IF(LEN(_xlpm.steps)&gt;2,RIGHT(_xlpm.steps,2),_xlpm.steps)))</f>
        <v>39</v>
      </c>
      <c r="D4508">
        <f>_xlfn.LET(_xlpm.steps,SUBSTITUTE(Table13[[#This Row],[Input]],Table13[[#This Row],[Direction]],""),VALUE(IF(LEN(_xlpm.steps)&gt;2,LEFT(_xlpm.steps,LEN(_xlpm.steps)-2),0)))</f>
        <v>0</v>
      </c>
      <c r="E4508">
        <f>_xlfn.LET(_xlpm.dir,Table13[[#This Row],[Direction]],
IF(_xlpm.dir="L",
    IF(G4507-Table13[[#This Row],[Steps]]&lt;0,100+(G4507-Table13[[#This Row],[Steps]]),G4507-Table13[[#This Row],[Steps]]),
))</f>
        <v>0</v>
      </c>
      <c r="F4508">
        <f>_xlfn.LET(_xlpm.dir,Table13[[#This Row],[Direction]],
IF(_xlpm.dir="R",
    IF(G4507+Table13[[#This Row],[Steps]]&gt;99,(G4507+Table13[[#This Row],[Steps]])-100,G4507+Table13[[#This Row],[Steps]]),
))</f>
        <v>78</v>
      </c>
      <c r="G4508">
        <f>IF(Table13[[#This Row],[New Pos L]]&lt;&gt;0,Table13[[#This Row],[New Pos L]],Table13[[#This Row],[New Pos R]])</f>
        <v>78</v>
      </c>
      <c r="H4508">
        <f>IF(AND(Table13[[#This Row],[Direction]]="L",Table13[[#This Row],[Steps]]&gt;G4507,G4507&lt;&gt;0),1,0)</f>
        <v>0</v>
      </c>
      <c r="I4508">
        <f>IF(AND(Table13[[#This Row],[Direction]]="R",(G4507+Table13[[#This Row],[Steps]])&gt;100),1,0)</f>
        <v>0</v>
      </c>
      <c r="J4508">
        <f>IF(Table13[[#This Row],[POS]]=0,1,0)</f>
        <v>0</v>
      </c>
      <c r="K4508">
        <f>SUM(Table13[[#This Row],[prefix]],Table13[[#This Row],[Past zero L]],Table13[[#This Row],[Past Zero R]],Table13[[#This Row],[Is Zero]])</f>
        <v>0</v>
      </c>
    </row>
    <row r="4509" spans="1:11" ht="16" x14ac:dyDescent="0.2">
      <c r="A4509" s="1" t="s">
        <v>79</v>
      </c>
      <c r="B4509" t="str">
        <f>LEFT(Table13[[#This Row],[Input]],1)</f>
        <v>L</v>
      </c>
      <c r="C4509">
        <f>_xlfn.LET(_xlpm.steps,SUBSTITUTE(Table13[[#This Row],[Input]],Table13[[#This Row],[Direction]],""),VALUE(IF(LEN(_xlpm.steps)&gt;2,RIGHT(_xlpm.steps,2),_xlpm.steps)))</f>
        <v>45</v>
      </c>
      <c r="D4509">
        <f>_xlfn.LET(_xlpm.steps,SUBSTITUTE(Table13[[#This Row],[Input]],Table13[[#This Row],[Direction]],""),VALUE(IF(LEN(_xlpm.steps)&gt;2,LEFT(_xlpm.steps,LEN(_xlpm.steps)-2),0)))</f>
        <v>0</v>
      </c>
      <c r="E4509">
        <f>_xlfn.LET(_xlpm.dir,Table13[[#This Row],[Direction]],
IF(_xlpm.dir="L",
    IF(G4508-Table13[[#This Row],[Steps]]&lt;0,100+(G4508-Table13[[#This Row],[Steps]]),G4508-Table13[[#This Row],[Steps]]),
))</f>
        <v>33</v>
      </c>
      <c r="F4509">
        <f>_xlfn.LET(_xlpm.dir,Table13[[#This Row],[Direction]],
IF(_xlpm.dir="R",
    IF(G4508+Table13[[#This Row],[Steps]]&gt;99,(G4508+Table13[[#This Row],[Steps]])-100,G4508+Table13[[#This Row],[Steps]]),
))</f>
        <v>0</v>
      </c>
      <c r="G4509">
        <f>IF(Table13[[#This Row],[New Pos L]]&lt;&gt;0,Table13[[#This Row],[New Pos L]],Table13[[#This Row],[New Pos R]])</f>
        <v>33</v>
      </c>
      <c r="H4509">
        <f>IF(AND(Table13[[#This Row],[Direction]]="L",Table13[[#This Row],[Steps]]&gt;G4508,G4508&lt;&gt;0),1,0)</f>
        <v>0</v>
      </c>
      <c r="I4509">
        <f>IF(AND(Table13[[#This Row],[Direction]]="R",(G4508+Table13[[#This Row],[Steps]])&gt;100),1,0)</f>
        <v>0</v>
      </c>
      <c r="J4509">
        <f>IF(Table13[[#This Row],[POS]]=0,1,0)</f>
        <v>0</v>
      </c>
      <c r="K4509">
        <f>SUM(Table13[[#This Row],[prefix]],Table13[[#This Row],[Past zero L]],Table13[[#This Row],[Past Zero R]],Table13[[#This Row],[Is Zero]])</f>
        <v>0</v>
      </c>
    </row>
    <row r="4510" spans="1:11" ht="16" x14ac:dyDescent="0.2">
      <c r="A4510" s="1" t="s">
        <v>71</v>
      </c>
      <c r="B4510" t="str">
        <f>LEFT(Table13[[#This Row],[Input]],1)</f>
        <v>R</v>
      </c>
      <c r="C4510">
        <f>_xlfn.LET(_xlpm.steps,SUBSTITUTE(Table13[[#This Row],[Input]],Table13[[#This Row],[Direction]],""),VALUE(IF(LEN(_xlpm.steps)&gt;2,RIGHT(_xlpm.steps,2),_xlpm.steps)))</f>
        <v>23</v>
      </c>
      <c r="D4510">
        <f>_xlfn.LET(_xlpm.steps,SUBSTITUTE(Table13[[#This Row],[Input]],Table13[[#This Row],[Direction]],""),VALUE(IF(LEN(_xlpm.steps)&gt;2,LEFT(_xlpm.steps,LEN(_xlpm.steps)-2),0)))</f>
        <v>0</v>
      </c>
      <c r="E4510">
        <f>_xlfn.LET(_xlpm.dir,Table13[[#This Row],[Direction]],
IF(_xlpm.dir="L",
    IF(G4509-Table13[[#This Row],[Steps]]&lt;0,100+(G4509-Table13[[#This Row],[Steps]]),G4509-Table13[[#This Row],[Steps]]),
))</f>
        <v>0</v>
      </c>
      <c r="F4510">
        <f>_xlfn.LET(_xlpm.dir,Table13[[#This Row],[Direction]],
IF(_xlpm.dir="R",
    IF(G4509+Table13[[#This Row],[Steps]]&gt;99,(G4509+Table13[[#This Row],[Steps]])-100,G4509+Table13[[#This Row],[Steps]]),
))</f>
        <v>56</v>
      </c>
      <c r="G4510">
        <f>IF(Table13[[#This Row],[New Pos L]]&lt;&gt;0,Table13[[#This Row],[New Pos L]],Table13[[#This Row],[New Pos R]])</f>
        <v>56</v>
      </c>
      <c r="H4510">
        <f>IF(AND(Table13[[#This Row],[Direction]]="L",Table13[[#This Row],[Steps]]&gt;G4509,G4509&lt;&gt;0),1,0)</f>
        <v>0</v>
      </c>
      <c r="I4510">
        <f>IF(AND(Table13[[#This Row],[Direction]]="R",(G4509+Table13[[#This Row],[Steps]])&gt;100),1,0)</f>
        <v>0</v>
      </c>
      <c r="J4510">
        <f>IF(Table13[[#This Row],[POS]]=0,1,0)</f>
        <v>0</v>
      </c>
      <c r="K4510">
        <f>SUM(Table13[[#This Row],[prefix]],Table13[[#This Row],[Past zero L]],Table13[[#This Row],[Past Zero R]],Table13[[#This Row],[Is Zero]])</f>
        <v>0</v>
      </c>
    </row>
    <row r="4511" spans="1:11" ht="16" x14ac:dyDescent="0.2">
      <c r="A4511" s="1" t="s">
        <v>106</v>
      </c>
      <c r="B4511" t="str">
        <f>LEFT(Table13[[#This Row],[Input]],1)</f>
        <v>R</v>
      </c>
      <c r="C4511">
        <f>_xlfn.LET(_xlpm.steps,SUBSTITUTE(Table13[[#This Row],[Input]],Table13[[#This Row],[Direction]],""),VALUE(IF(LEN(_xlpm.steps)&gt;2,RIGHT(_xlpm.steps,2),_xlpm.steps)))</f>
        <v>41</v>
      </c>
      <c r="D4511">
        <f>_xlfn.LET(_xlpm.steps,SUBSTITUTE(Table13[[#This Row],[Input]],Table13[[#This Row],[Direction]],""),VALUE(IF(LEN(_xlpm.steps)&gt;2,LEFT(_xlpm.steps,LEN(_xlpm.steps)-2),0)))</f>
        <v>0</v>
      </c>
      <c r="E4511">
        <f>_xlfn.LET(_xlpm.dir,Table13[[#This Row],[Direction]],
IF(_xlpm.dir="L",
    IF(G4510-Table13[[#This Row],[Steps]]&lt;0,100+(G4510-Table13[[#This Row],[Steps]]),G4510-Table13[[#This Row],[Steps]]),
))</f>
        <v>0</v>
      </c>
      <c r="F4511">
        <f>_xlfn.LET(_xlpm.dir,Table13[[#This Row],[Direction]],
IF(_xlpm.dir="R",
    IF(G4510+Table13[[#This Row],[Steps]]&gt;99,(G4510+Table13[[#This Row],[Steps]])-100,G4510+Table13[[#This Row],[Steps]]),
))</f>
        <v>97</v>
      </c>
      <c r="G4511">
        <f>IF(Table13[[#This Row],[New Pos L]]&lt;&gt;0,Table13[[#This Row],[New Pos L]],Table13[[#This Row],[New Pos R]])</f>
        <v>97</v>
      </c>
      <c r="H4511">
        <f>IF(AND(Table13[[#This Row],[Direction]]="L",Table13[[#This Row],[Steps]]&gt;G4510,G4510&lt;&gt;0),1,0)</f>
        <v>0</v>
      </c>
      <c r="I4511">
        <f>IF(AND(Table13[[#This Row],[Direction]]="R",(G4510+Table13[[#This Row],[Steps]])&gt;100),1,0)</f>
        <v>0</v>
      </c>
      <c r="J4511">
        <f>IF(Table13[[#This Row],[POS]]=0,1,0)</f>
        <v>0</v>
      </c>
      <c r="K4511">
        <f>SUM(Table13[[#This Row],[prefix]],Table13[[#This Row],[Past zero L]],Table13[[#This Row],[Past Zero R]],Table13[[#This Row],[Is Zero]])</f>
        <v>0</v>
      </c>
    </row>
    <row r="4512" spans="1:11" ht="16" x14ac:dyDescent="0.2">
      <c r="A4512" s="1" t="s">
        <v>16</v>
      </c>
      <c r="B4512" t="str">
        <f>LEFT(Table13[[#This Row],[Input]],1)</f>
        <v>L</v>
      </c>
      <c r="C4512">
        <f>_xlfn.LET(_xlpm.steps,SUBSTITUTE(Table13[[#This Row],[Input]],Table13[[#This Row],[Direction]],""),VALUE(IF(LEN(_xlpm.steps)&gt;2,RIGHT(_xlpm.steps,2),_xlpm.steps)))</f>
        <v>10</v>
      </c>
      <c r="D4512">
        <f>_xlfn.LET(_xlpm.steps,SUBSTITUTE(Table13[[#This Row],[Input]],Table13[[#This Row],[Direction]],""),VALUE(IF(LEN(_xlpm.steps)&gt;2,LEFT(_xlpm.steps,LEN(_xlpm.steps)-2),0)))</f>
        <v>0</v>
      </c>
      <c r="E4512">
        <f>_xlfn.LET(_xlpm.dir,Table13[[#This Row],[Direction]],
IF(_xlpm.dir="L",
    IF(G4511-Table13[[#This Row],[Steps]]&lt;0,100+(G4511-Table13[[#This Row],[Steps]]),G4511-Table13[[#This Row],[Steps]]),
))</f>
        <v>87</v>
      </c>
      <c r="F4512">
        <f>_xlfn.LET(_xlpm.dir,Table13[[#This Row],[Direction]],
IF(_xlpm.dir="R",
    IF(G4511+Table13[[#This Row],[Steps]]&gt;99,(G4511+Table13[[#This Row],[Steps]])-100,G4511+Table13[[#This Row],[Steps]]),
))</f>
        <v>0</v>
      </c>
      <c r="G4512">
        <f>IF(Table13[[#This Row],[New Pos L]]&lt;&gt;0,Table13[[#This Row],[New Pos L]],Table13[[#This Row],[New Pos R]])</f>
        <v>87</v>
      </c>
      <c r="H4512">
        <f>IF(AND(Table13[[#This Row],[Direction]]="L",Table13[[#This Row],[Steps]]&gt;G4511,G4511&lt;&gt;0),1,0)</f>
        <v>0</v>
      </c>
      <c r="I4512">
        <f>IF(AND(Table13[[#This Row],[Direction]]="R",(G4511+Table13[[#This Row],[Steps]])&gt;100),1,0)</f>
        <v>0</v>
      </c>
      <c r="J4512">
        <f>IF(Table13[[#This Row],[POS]]=0,1,0)</f>
        <v>0</v>
      </c>
      <c r="K4512">
        <f>SUM(Table13[[#This Row],[prefix]],Table13[[#This Row],[Past zero L]],Table13[[#This Row],[Past Zero R]],Table13[[#This Row],[Is Zero]])</f>
        <v>0</v>
      </c>
    </row>
    <row r="4513" spans="1:11" ht="16" x14ac:dyDescent="0.2">
      <c r="A4513" s="1" t="s">
        <v>76</v>
      </c>
      <c r="B4513" t="str">
        <f>LEFT(Table13[[#This Row],[Input]],1)</f>
        <v>R</v>
      </c>
      <c r="C4513">
        <f>_xlfn.LET(_xlpm.steps,SUBSTITUTE(Table13[[#This Row],[Input]],Table13[[#This Row],[Direction]],""),VALUE(IF(LEN(_xlpm.steps)&gt;2,RIGHT(_xlpm.steps,2),_xlpm.steps)))</f>
        <v>37</v>
      </c>
      <c r="D4513">
        <f>_xlfn.LET(_xlpm.steps,SUBSTITUTE(Table13[[#This Row],[Input]],Table13[[#This Row],[Direction]],""),VALUE(IF(LEN(_xlpm.steps)&gt;2,LEFT(_xlpm.steps,LEN(_xlpm.steps)-2),0)))</f>
        <v>0</v>
      </c>
      <c r="E4513">
        <f>_xlfn.LET(_xlpm.dir,Table13[[#This Row],[Direction]],
IF(_xlpm.dir="L",
    IF(G4512-Table13[[#This Row],[Steps]]&lt;0,100+(G4512-Table13[[#This Row],[Steps]]),G4512-Table13[[#This Row],[Steps]]),
))</f>
        <v>0</v>
      </c>
      <c r="F4513">
        <f>_xlfn.LET(_xlpm.dir,Table13[[#This Row],[Direction]],
IF(_xlpm.dir="R",
    IF(G4512+Table13[[#This Row],[Steps]]&gt;99,(G4512+Table13[[#This Row],[Steps]])-100,G4512+Table13[[#This Row],[Steps]]),
))</f>
        <v>24</v>
      </c>
      <c r="G4513">
        <f>IF(Table13[[#This Row],[New Pos L]]&lt;&gt;0,Table13[[#This Row],[New Pos L]],Table13[[#This Row],[New Pos R]])</f>
        <v>24</v>
      </c>
      <c r="H4513">
        <f>IF(AND(Table13[[#This Row],[Direction]]="L",Table13[[#This Row],[Steps]]&gt;G4512,G4512&lt;&gt;0),1,0)</f>
        <v>0</v>
      </c>
      <c r="I4513">
        <f>IF(AND(Table13[[#This Row],[Direction]]="R",(G4512+Table13[[#This Row],[Steps]])&gt;100),1,0)</f>
        <v>1</v>
      </c>
      <c r="J4513">
        <f>IF(Table13[[#This Row],[POS]]=0,1,0)</f>
        <v>0</v>
      </c>
      <c r="K4513">
        <f>SUM(Table13[[#This Row],[prefix]],Table13[[#This Row],[Past zero L]],Table13[[#This Row],[Past Zero R]],Table13[[#This Row],[Is Zero]])</f>
        <v>1</v>
      </c>
    </row>
    <row r="4514" spans="1:11" ht="16" x14ac:dyDescent="0.2">
      <c r="A4514" s="1" t="s">
        <v>5</v>
      </c>
      <c r="B4514" t="str">
        <f>LEFT(Table13[[#This Row],[Input]],1)</f>
        <v>R</v>
      </c>
      <c r="C4514">
        <f>_xlfn.LET(_xlpm.steps,SUBSTITUTE(Table13[[#This Row],[Input]],Table13[[#This Row],[Direction]],""),VALUE(IF(LEN(_xlpm.steps)&gt;2,RIGHT(_xlpm.steps,2),_xlpm.steps)))</f>
        <v>1</v>
      </c>
      <c r="D4514">
        <f>_xlfn.LET(_xlpm.steps,SUBSTITUTE(Table13[[#This Row],[Input]],Table13[[#This Row],[Direction]],""),VALUE(IF(LEN(_xlpm.steps)&gt;2,LEFT(_xlpm.steps,LEN(_xlpm.steps)-2),0)))</f>
        <v>0</v>
      </c>
      <c r="E4514">
        <f>_xlfn.LET(_xlpm.dir,Table13[[#This Row],[Direction]],
IF(_xlpm.dir="L",
    IF(G4513-Table13[[#This Row],[Steps]]&lt;0,100+(G4513-Table13[[#This Row],[Steps]]),G4513-Table13[[#This Row],[Steps]]),
))</f>
        <v>0</v>
      </c>
      <c r="F4514">
        <f>_xlfn.LET(_xlpm.dir,Table13[[#This Row],[Direction]],
IF(_xlpm.dir="R",
    IF(G4513+Table13[[#This Row],[Steps]]&gt;99,(G4513+Table13[[#This Row],[Steps]])-100,G4513+Table13[[#This Row],[Steps]]),
))</f>
        <v>25</v>
      </c>
      <c r="G4514">
        <f>IF(Table13[[#This Row],[New Pos L]]&lt;&gt;0,Table13[[#This Row],[New Pos L]],Table13[[#This Row],[New Pos R]])</f>
        <v>25</v>
      </c>
      <c r="H4514">
        <f>IF(AND(Table13[[#This Row],[Direction]]="L",Table13[[#This Row],[Steps]]&gt;G4513,G4513&lt;&gt;0),1,0)</f>
        <v>0</v>
      </c>
      <c r="I4514">
        <f>IF(AND(Table13[[#This Row],[Direction]]="R",(G4513+Table13[[#This Row],[Steps]])&gt;100),1,0)</f>
        <v>0</v>
      </c>
      <c r="J4514">
        <f>IF(Table13[[#This Row],[POS]]=0,1,0)</f>
        <v>0</v>
      </c>
      <c r="K4514">
        <f>SUM(Table13[[#This Row],[prefix]],Table13[[#This Row],[Past zero L]],Table13[[#This Row],[Past Zero R]],Table13[[#This Row],[Is Zero]])</f>
        <v>0</v>
      </c>
    </row>
    <row r="4515" spans="1:11" ht="16" x14ac:dyDescent="0.2">
      <c r="A4515" s="1" t="s">
        <v>175</v>
      </c>
      <c r="B4515" t="str">
        <f>LEFT(Table13[[#This Row],[Input]],1)</f>
        <v>L</v>
      </c>
      <c r="C4515">
        <f>_xlfn.LET(_xlpm.steps,SUBSTITUTE(Table13[[#This Row],[Input]],Table13[[#This Row],[Direction]],""),VALUE(IF(LEN(_xlpm.steps)&gt;2,RIGHT(_xlpm.steps,2),_xlpm.steps)))</f>
        <v>1</v>
      </c>
      <c r="D4515">
        <f>_xlfn.LET(_xlpm.steps,SUBSTITUTE(Table13[[#This Row],[Input]],Table13[[#This Row],[Direction]],""),VALUE(IF(LEN(_xlpm.steps)&gt;2,LEFT(_xlpm.steps,LEN(_xlpm.steps)-2),0)))</f>
        <v>0</v>
      </c>
      <c r="E4515">
        <f>_xlfn.LET(_xlpm.dir,Table13[[#This Row],[Direction]],
IF(_xlpm.dir="L",
    IF(G4514-Table13[[#This Row],[Steps]]&lt;0,100+(G4514-Table13[[#This Row],[Steps]]),G4514-Table13[[#This Row],[Steps]]),
))</f>
        <v>24</v>
      </c>
      <c r="F4515">
        <f>_xlfn.LET(_xlpm.dir,Table13[[#This Row],[Direction]],
IF(_xlpm.dir="R",
    IF(G4514+Table13[[#This Row],[Steps]]&gt;99,(G4514+Table13[[#This Row],[Steps]])-100,G4514+Table13[[#This Row],[Steps]]),
))</f>
        <v>0</v>
      </c>
      <c r="G4515">
        <f>IF(Table13[[#This Row],[New Pos L]]&lt;&gt;0,Table13[[#This Row],[New Pos L]],Table13[[#This Row],[New Pos R]])</f>
        <v>24</v>
      </c>
      <c r="H4515">
        <f>IF(AND(Table13[[#This Row],[Direction]]="L",Table13[[#This Row],[Steps]]&gt;G4514,G4514&lt;&gt;0),1,0)</f>
        <v>0</v>
      </c>
      <c r="I4515">
        <f>IF(AND(Table13[[#This Row],[Direction]]="R",(G4514+Table13[[#This Row],[Steps]])&gt;100),1,0)</f>
        <v>0</v>
      </c>
      <c r="J4515">
        <f>IF(Table13[[#This Row],[POS]]=0,1,0)</f>
        <v>0</v>
      </c>
      <c r="K4515">
        <f>SUM(Table13[[#This Row],[prefix]],Table13[[#This Row],[Past zero L]],Table13[[#This Row],[Past Zero R]],Table13[[#This Row],[Is Zero]])</f>
        <v>0</v>
      </c>
    </row>
    <row r="4516" spans="1:11" ht="16" x14ac:dyDescent="0.2">
      <c r="A4516" s="1" t="s">
        <v>191</v>
      </c>
      <c r="B4516" t="str">
        <f>LEFT(Table13[[#This Row],[Input]],1)</f>
        <v>L</v>
      </c>
      <c r="C4516">
        <f>_xlfn.LET(_xlpm.steps,SUBSTITUTE(Table13[[#This Row],[Input]],Table13[[#This Row],[Direction]],""),VALUE(IF(LEN(_xlpm.steps)&gt;2,RIGHT(_xlpm.steps,2),_xlpm.steps)))</f>
        <v>5</v>
      </c>
      <c r="D4516">
        <f>_xlfn.LET(_xlpm.steps,SUBSTITUTE(Table13[[#This Row],[Input]],Table13[[#This Row],[Direction]],""),VALUE(IF(LEN(_xlpm.steps)&gt;2,LEFT(_xlpm.steps,LEN(_xlpm.steps)-2),0)))</f>
        <v>0</v>
      </c>
      <c r="E4516">
        <f>_xlfn.LET(_xlpm.dir,Table13[[#This Row],[Direction]],
IF(_xlpm.dir="L",
    IF(G4515-Table13[[#This Row],[Steps]]&lt;0,100+(G4515-Table13[[#This Row],[Steps]]),G4515-Table13[[#This Row],[Steps]]),
))</f>
        <v>19</v>
      </c>
      <c r="F4516">
        <f>_xlfn.LET(_xlpm.dir,Table13[[#This Row],[Direction]],
IF(_xlpm.dir="R",
    IF(G4515+Table13[[#This Row],[Steps]]&gt;99,(G4515+Table13[[#This Row],[Steps]])-100,G4515+Table13[[#This Row],[Steps]]),
))</f>
        <v>0</v>
      </c>
      <c r="G4516">
        <f>IF(Table13[[#This Row],[New Pos L]]&lt;&gt;0,Table13[[#This Row],[New Pos L]],Table13[[#This Row],[New Pos R]])</f>
        <v>19</v>
      </c>
      <c r="H4516">
        <f>IF(AND(Table13[[#This Row],[Direction]]="L",Table13[[#This Row],[Steps]]&gt;G4515,G4515&lt;&gt;0),1,0)</f>
        <v>0</v>
      </c>
      <c r="I4516">
        <f>IF(AND(Table13[[#This Row],[Direction]]="R",(G4515+Table13[[#This Row],[Steps]])&gt;100),1,0)</f>
        <v>0</v>
      </c>
      <c r="J4516">
        <f>IF(Table13[[#This Row],[POS]]=0,1,0)</f>
        <v>0</v>
      </c>
      <c r="K4516">
        <f>SUM(Table13[[#This Row],[prefix]],Table13[[#This Row],[Past zero L]],Table13[[#This Row],[Past Zero R]],Table13[[#This Row],[Is Zero]])</f>
        <v>0</v>
      </c>
    </row>
    <row r="4517" spans="1:11" ht="16" x14ac:dyDescent="0.2">
      <c r="A4517" s="1" t="s">
        <v>30</v>
      </c>
      <c r="B4517" t="str">
        <f>LEFT(Table13[[#This Row],[Input]],1)</f>
        <v>R</v>
      </c>
      <c r="C4517">
        <f>_xlfn.LET(_xlpm.steps,SUBSTITUTE(Table13[[#This Row],[Input]],Table13[[#This Row],[Direction]],""),VALUE(IF(LEN(_xlpm.steps)&gt;2,RIGHT(_xlpm.steps,2),_xlpm.steps)))</f>
        <v>48</v>
      </c>
      <c r="D4517">
        <f>_xlfn.LET(_xlpm.steps,SUBSTITUTE(Table13[[#This Row],[Input]],Table13[[#This Row],[Direction]],""),VALUE(IF(LEN(_xlpm.steps)&gt;2,LEFT(_xlpm.steps,LEN(_xlpm.steps)-2),0)))</f>
        <v>0</v>
      </c>
      <c r="E4517">
        <f>_xlfn.LET(_xlpm.dir,Table13[[#This Row],[Direction]],
IF(_xlpm.dir="L",
    IF(G4516-Table13[[#This Row],[Steps]]&lt;0,100+(G4516-Table13[[#This Row],[Steps]]),G4516-Table13[[#This Row],[Steps]]),
))</f>
        <v>0</v>
      </c>
      <c r="F4517">
        <f>_xlfn.LET(_xlpm.dir,Table13[[#This Row],[Direction]],
IF(_xlpm.dir="R",
    IF(G4516+Table13[[#This Row],[Steps]]&gt;99,(G4516+Table13[[#This Row],[Steps]])-100,G4516+Table13[[#This Row],[Steps]]),
))</f>
        <v>67</v>
      </c>
      <c r="G4517">
        <f>IF(Table13[[#This Row],[New Pos L]]&lt;&gt;0,Table13[[#This Row],[New Pos L]],Table13[[#This Row],[New Pos R]])</f>
        <v>67</v>
      </c>
      <c r="H4517">
        <f>IF(AND(Table13[[#This Row],[Direction]]="L",Table13[[#This Row],[Steps]]&gt;G4516,G4516&lt;&gt;0),1,0)</f>
        <v>0</v>
      </c>
      <c r="I4517">
        <f>IF(AND(Table13[[#This Row],[Direction]]="R",(G4516+Table13[[#This Row],[Steps]])&gt;100),1,0)</f>
        <v>0</v>
      </c>
      <c r="J4517">
        <f>IF(Table13[[#This Row],[POS]]=0,1,0)</f>
        <v>0</v>
      </c>
      <c r="K4517">
        <f>SUM(Table13[[#This Row],[prefix]],Table13[[#This Row],[Past zero L]],Table13[[#This Row],[Past Zero R]],Table13[[#This Row],[Is Zero]])</f>
        <v>0</v>
      </c>
    </row>
    <row r="4518" spans="1:11" ht="16" x14ac:dyDescent="0.2">
      <c r="A4518" s="1" t="s">
        <v>9</v>
      </c>
      <c r="B4518" t="str">
        <f>LEFT(Table13[[#This Row],[Input]],1)</f>
        <v>L</v>
      </c>
      <c r="C4518">
        <f>_xlfn.LET(_xlpm.steps,SUBSTITUTE(Table13[[#This Row],[Input]],Table13[[#This Row],[Direction]],""),VALUE(IF(LEN(_xlpm.steps)&gt;2,RIGHT(_xlpm.steps,2),_xlpm.steps)))</f>
        <v>9</v>
      </c>
      <c r="D4518">
        <f>_xlfn.LET(_xlpm.steps,SUBSTITUTE(Table13[[#This Row],[Input]],Table13[[#This Row],[Direction]],""),VALUE(IF(LEN(_xlpm.steps)&gt;2,LEFT(_xlpm.steps,LEN(_xlpm.steps)-2),0)))</f>
        <v>0</v>
      </c>
      <c r="E4518">
        <f>_xlfn.LET(_xlpm.dir,Table13[[#This Row],[Direction]],
IF(_xlpm.dir="L",
    IF(G4517-Table13[[#This Row],[Steps]]&lt;0,100+(G4517-Table13[[#This Row],[Steps]]),G4517-Table13[[#This Row],[Steps]]),
))</f>
        <v>58</v>
      </c>
      <c r="F4518">
        <f>_xlfn.LET(_xlpm.dir,Table13[[#This Row],[Direction]],
IF(_xlpm.dir="R",
    IF(G4517+Table13[[#This Row],[Steps]]&gt;99,(G4517+Table13[[#This Row],[Steps]])-100,G4517+Table13[[#This Row],[Steps]]),
))</f>
        <v>0</v>
      </c>
      <c r="G4518">
        <f>IF(Table13[[#This Row],[New Pos L]]&lt;&gt;0,Table13[[#This Row],[New Pos L]],Table13[[#This Row],[New Pos R]])</f>
        <v>58</v>
      </c>
      <c r="H4518">
        <f>IF(AND(Table13[[#This Row],[Direction]]="L",Table13[[#This Row],[Steps]]&gt;G4517,G4517&lt;&gt;0),1,0)</f>
        <v>0</v>
      </c>
      <c r="I4518">
        <f>IF(AND(Table13[[#This Row],[Direction]]="R",(G4517+Table13[[#This Row],[Steps]])&gt;100),1,0)</f>
        <v>0</v>
      </c>
      <c r="J4518">
        <f>IF(Table13[[#This Row],[POS]]=0,1,0)</f>
        <v>0</v>
      </c>
      <c r="K4518">
        <f>SUM(Table13[[#This Row],[prefix]],Table13[[#This Row],[Past zero L]],Table13[[#This Row],[Past Zero R]],Table13[[#This Row],[Is Zero]])</f>
        <v>0</v>
      </c>
    </row>
    <row r="4519" spans="1:11" ht="16" x14ac:dyDescent="0.2">
      <c r="A4519" s="1" t="s">
        <v>79</v>
      </c>
      <c r="B4519" t="str">
        <f>LEFT(Table13[[#This Row],[Input]],1)</f>
        <v>L</v>
      </c>
      <c r="C4519">
        <f>_xlfn.LET(_xlpm.steps,SUBSTITUTE(Table13[[#This Row],[Input]],Table13[[#This Row],[Direction]],""),VALUE(IF(LEN(_xlpm.steps)&gt;2,RIGHT(_xlpm.steps,2),_xlpm.steps)))</f>
        <v>45</v>
      </c>
      <c r="D4519">
        <f>_xlfn.LET(_xlpm.steps,SUBSTITUTE(Table13[[#This Row],[Input]],Table13[[#This Row],[Direction]],""),VALUE(IF(LEN(_xlpm.steps)&gt;2,LEFT(_xlpm.steps,LEN(_xlpm.steps)-2),0)))</f>
        <v>0</v>
      </c>
      <c r="E4519">
        <f>_xlfn.LET(_xlpm.dir,Table13[[#This Row],[Direction]],
IF(_xlpm.dir="L",
    IF(G4518-Table13[[#This Row],[Steps]]&lt;0,100+(G4518-Table13[[#This Row],[Steps]]),G4518-Table13[[#This Row],[Steps]]),
))</f>
        <v>13</v>
      </c>
      <c r="F4519">
        <f>_xlfn.LET(_xlpm.dir,Table13[[#This Row],[Direction]],
IF(_xlpm.dir="R",
    IF(G4518+Table13[[#This Row],[Steps]]&gt;99,(G4518+Table13[[#This Row],[Steps]])-100,G4518+Table13[[#This Row],[Steps]]),
))</f>
        <v>0</v>
      </c>
      <c r="G4519">
        <f>IF(Table13[[#This Row],[New Pos L]]&lt;&gt;0,Table13[[#This Row],[New Pos L]],Table13[[#This Row],[New Pos R]])</f>
        <v>13</v>
      </c>
      <c r="H4519">
        <f>IF(AND(Table13[[#This Row],[Direction]]="L",Table13[[#This Row],[Steps]]&gt;G4518,G4518&lt;&gt;0),1,0)</f>
        <v>0</v>
      </c>
      <c r="I4519">
        <f>IF(AND(Table13[[#This Row],[Direction]]="R",(G4518+Table13[[#This Row],[Steps]])&gt;100),1,0)</f>
        <v>0</v>
      </c>
      <c r="J4519">
        <f>IF(Table13[[#This Row],[POS]]=0,1,0)</f>
        <v>0</v>
      </c>
      <c r="K4519">
        <f>SUM(Table13[[#This Row],[prefix]],Table13[[#This Row],[Past zero L]],Table13[[#This Row],[Past Zero R]],Table13[[#This Row],[Is Zero]])</f>
        <v>0</v>
      </c>
    </row>
    <row r="4520" spans="1:11" ht="16" x14ac:dyDescent="0.2">
      <c r="A4520" s="1" t="s">
        <v>9</v>
      </c>
      <c r="B4520" t="str">
        <f>LEFT(Table13[[#This Row],[Input]],1)</f>
        <v>L</v>
      </c>
      <c r="C4520">
        <f>_xlfn.LET(_xlpm.steps,SUBSTITUTE(Table13[[#This Row],[Input]],Table13[[#This Row],[Direction]],""),VALUE(IF(LEN(_xlpm.steps)&gt;2,RIGHT(_xlpm.steps,2),_xlpm.steps)))</f>
        <v>9</v>
      </c>
      <c r="D4520">
        <f>_xlfn.LET(_xlpm.steps,SUBSTITUTE(Table13[[#This Row],[Input]],Table13[[#This Row],[Direction]],""),VALUE(IF(LEN(_xlpm.steps)&gt;2,LEFT(_xlpm.steps,LEN(_xlpm.steps)-2),0)))</f>
        <v>0</v>
      </c>
      <c r="E4520">
        <f>_xlfn.LET(_xlpm.dir,Table13[[#This Row],[Direction]],
IF(_xlpm.dir="L",
    IF(G4519-Table13[[#This Row],[Steps]]&lt;0,100+(G4519-Table13[[#This Row],[Steps]]),G4519-Table13[[#This Row],[Steps]]),
))</f>
        <v>4</v>
      </c>
      <c r="F4520">
        <f>_xlfn.LET(_xlpm.dir,Table13[[#This Row],[Direction]],
IF(_xlpm.dir="R",
    IF(G4519+Table13[[#This Row],[Steps]]&gt;99,(G4519+Table13[[#This Row],[Steps]])-100,G4519+Table13[[#This Row],[Steps]]),
))</f>
        <v>0</v>
      </c>
      <c r="G4520">
        <f>IF(Table13[[#This Row],[New Pos L]]&lt;&gt;0,Table13[[#This Row],[New Pos L]],Table13[[#This Row],[New Pos R]])</f>
        <v>4</v>
      </c>
      <c r="H4520">
        <f>IF(AND(Table13[[#This Row],[Direction]]="L",Table13[[#This Row],[Steps]]&gt;G4519,G4519&lt;&gt;0),1,0)</f>
        <v>0</v>
      </c>
      <c r="I4520">
        <f>IF(AND(Table13[[#This Row],[Direction]]="R",(G4519+Table13[[#This Row],[Steps]])&gt;100),1,0)</f>
        <v>0</v>
      </c>
      <c r="J4520">
        <f>IF(Table13[[#This Row],[POS]]=0,1,0)</f>
        <v>0</v>
      </c>
      <c r="K4520">
        <f>SUM(Table13[[#This Row],[prefix]],Table13[[#This Row],[Past zero L]],Table13[[#This Row],[Past Zero R]],Table13[[#This Row],[Is Zero]])</f>
        <v>0</v>
      </c>
    </row>
    <row r="4521" spans="1:11" ht="16" x14ac:dyDescent="0.2">
      <c r="A4521" s="1" t="s">
        <v>34</v>
      </c>
      <c r="B4521" t="str">
        <f>LEFT(Table13[[#This Row],[Input]],1)</f>
        <v>L</v>
      </c>
      <c r="C4521">
        <f>_xlfn.LET(_xlpm.steps,SUBSTITUTE(Table13[[#This Row],[Input]],Table13[[#This Row],[Direction]],""),VALUE(IF(LEN(_xlpm.steps)&gt;2,RIGHT(_xlpm.steps,2),_xlpm.steps)))</f>
        <v>15</v>
      </c>
      <c r="D4521">
        <f>_xlfn.LET(_xlpm.steps,SUBSTITUTE(Table13[[#This Row],[Input]],Table13[[#This Row],[Direction]],""),VALUE(IF(LEN(_xlpm.steps)&gt;2,LEFT(_xlpm.steps,LEN(_xlpm.steps)-2),0)))</f>
        <v>0</v>
      </c>
      <c r="E4521">
        <f>_xlfn.LET(_xlpm.dir,Table13[[#This Row],[Direction]],
IF(_xlpm.dir="L",
    IF(G4520-Table13[[#This Row],[Steps]]&lt;0,100+(G4520-Table13[[#This Row],[Steps]]),G4520-Table13[[#This Row],[Steps]]),
))</f>
        <v>89</v>
      </c>
      <c r="F4521">
        <f>_xlfn.LET(_xlpm.dir,Table13[[#This Row],[Direction]],
IF(_xlpm.dir="R",
    IF(G4520+Table13[[#This Row],[Steps]]&gt;99,(G4520+Table13[[#This Row],[Steps]])-100,G4520+Table13[[#This Row],[Steps]]),
))</f>
        <v>0</v>
      </c>
      <c r="G4521">
        <f>IF(Table13[[#This Row],[New Pos L]]&lt;&gt;0,Table13[[#This Row],[New Pos L]],Table13[[#This Row],[New Pos R]])</f>
        <v>89</v>
      </c>
      <c r="H4521">
        <f>IF(AND(Table13[[#This Row],[Direction]]="L",Table13[[#This Row],[Steps]]&gt;G4520,G4520&lt;&gt;0),1,0)</f>
        <v>1</v>
      </c>
      <c r="I4521">
        <f>IF(AND(Table13[[#This Row],[Direction]]="R",(G4520+Table13[[#This Row],[Steps]])&gt;100),1,0)</f>
        <v>0</v>
      </c>
      <c r="J4521">
        <f>IF(Table13[[#This Row],[POS]]=0,1,0)</f>
        <v>0</v>
      </c>
      <c r="K4521">
        <f>SUM(Table13[[#This Row],[prefix]],Table13[[#This Row],[Past zero L]],Table13[[#This Row],[Past Zero R]],Table13[[#This Row],[Is Zero]])</f>
        <v>1</v>
      </c>
    </row>
    <row r="4522" spans="1:11" ht="16" x14ac:dyDescent="0.2">
      <c r="A4522" s="1" t="s">
        <v>23</v>
      </c>
      <c r="B4522" t="str">
        <f>LEFT(Table13[[#This Row],[Input]],1)</f>
        <v>L</v>
      </c>
      <c r="C4522">
        <f>_xlfn.LET(_xlpm.steps,SUBSTITUTE(Table13[[#This Row],[Input]],Table13[[#This Row],[Direction]],""),VALUE(IF(LEN(_xlpm.steps)&gt;2,RIGHT(_xlpm.steps,2),_xlpm.steps)))</f>
        <v>8</v>
      </c>
      <c r="D4522">
        <f>_xlfn.LET(_xlpm.steps,SUBSTITUTE(Table13[[#This Row],[Input]],Table13[[#This Row],[Direction]],""),VALUE(IF(LEN(_xlpm.steps)&gt;2,LEFT(_xlpm.steps,LEN(_xlpm.steps)-2),0)))</f>
        <v>0</v>
      </c>
      <c r="E4522">
        <f>_xlfn.LET(_xlpm.dir,Table13[[#This Row],[Direction]],
IF(_xlpm.dir="L",
    IF(G4521-Table13[[#This Row],[Steps]]&lt;0,100+(G4521-Table13[[#This Row],[Steps]]),G4521-Table13[[#This Row],[Steps]]),
))</f>
        <v>81</v>
      </c>
      <c r="F4522">
        <f>_xlfn.LET(_xlpm.dir,Table13[[#This Row],[Direction]],
IF(_xlpm.dir="R",
    IF(G4521+Table13[[#This Row],[Steps]]&gt;99,(G4521+Table13[[#This Row],[Steps]])-100,G4521+Table13[[#This Row],[Steps]]),
))</f>
        <v>0</v>
      </c>
      <c r="G4522">
        <f>IF(Table13[[#This Row],[New Pos L]]&lt;&gt;0,Table13[[#This Row],[New Pos L]],Table13[[#This Row],[New Pos R]])</f>
        <v>81</v>
      </c>
      <c r="H4522">
        <f>IF(AND(Table13[[#This Row],[Direction]]="L",Table13[[#This Row],[Steps]]&gt;G4521,G4521&lt;&gt;0),1,0)</f>
        <v>0</v>
      </c>
      <c r="I4522">
        <f>IF(AND(Table13[[#This Row],[Direction]]="R",(G4521+Table13[[#This Row],[Steps]])&gt;100),1,0)</f>
        <v>0</v>
      </c>
      <c r="J4522">
        <f>IF(Table13[[#This Row],[POS]]=0,1,0)</f>
        <v>0</v>
      </c>
      <c r="K4522">
        <f>SUM(Table13[[#This Row],[prefix]],Table13[[#This Row],[Past zero L]],Table13[[#This Row],[Past Zero R]],Table13[[#This Row],[Is Zero]])</f>
        <v>0</v>
      </c>
    </row>
    <row r="4523" spans="1:11" ht="16" x14ac:dyDescent="0.2">
      <c r="A4523" s="1" t="s">
        <v>25</v>
      </c>
      <c r="B4523" t="str">
        <f>LEFT(Table13[[#This Row],[Input]],1)</f>
        <v>L</v>
      </c>
      <c r="C4523">
        <f>_xlfn.LET(_xlpm.steps,SUBSTITUTE(Table13[[#This Row],[Input]],Table13[[#This Row],[Direction]],""),VALUE(IF(LEN(_xlpm.steps)&gt;2,RIGHT(_xlpm.steps,2),_xlpm.steps)))</f>
        <v>20</v>
      </c>
      <c r="D4523">
        <f>_xlfn.LET(_xlpm.steps,SUBSTITUTE(Table13[[#This Row],[Input]],Table13[[#This Row],[Direction]],""),VALUE(IF(LEN(_xlpm.steps)&gt;2,LEFT(_xlpm.steps,LEN(_xlpm.steps)-2),0)))</f>
        <v>0</v>
      </c>
      <c r="E4523">
        <f>_xlfn.LET(_xlpm.dir,Table13[[#This Row],[Direction]],
IF(_xlpm.dir="L",
    IF(G4522-Table13[[#This Row],[Steps]]&lt;0,100+(G4522-Table13[[#This Row],[Steps]]),G4522-Table13[[#This Row],[Steps]]),
))</f>
        <v>61</v>
      </c>
      <c r="F4523">
        <f>_xlfn.LET(_xlpm.dir,Table13[[#This Row],[Direction]],
IF(_xlpm.dir="R",
    IF(G4522+Table13[[#This Row],[Steps]]&gt;99,(G4522+Table13[[#This Row],[Steps]])-100,G4522+Table13[[#This Row],[Steps]]),
))</f>
        <v>0</v>
      </c>
      <c r="G4523">
        <f>IF(Table13[[#This Row],[New Pos L]]&lt;&gt;0,Table13[[#This Row],[New Pos L]],Table13[[#This Row],[New Pos R]])</f>
        <v>61</v>
      </c>
      <c r="H4523">
        <f>IF(AND(Table13[[#This Row],[Direction]]="L",Table13[[#This Row],[Steps]]&gt;G4522,G4522&lt;&gt;0),1,0)</f>
        <v>0</v>
      </c>
      <c r="I4523">
        <f>IF(AND(Table13[[#This Row],[Direction]]="R",(G4522+Table13[[#This Row],[Steps]])&gt;100),1,0)</f>
        <v>0</v>
      </c>
      <c r="J4523">
        <f>IF(Table13[[#This Row],[POS]]=0,1,0)</f>
        <v>0</v>
      </c>
      <c r="K4523">
        <f>SUM(Table13[[#This Row],[prefix]],Table13[[#This Row],[Past zero L]],Table13[[#This Row],[Past Zero R]],Table13[[#This Row],[Is Zero]])</f>
        <v>0</v>
      </c>
    </row>
    <row r="4524" spans="1:11" ht="16" x14ac:dyDescent="0.2">
      <c r="A4524" s="1" t="s">
        <v>71</v>
      </c>
      <c r="B4524" t="str">
        <f>LEFT(Table13[[#This Row],[Input]],1)</f>
        <v>R</v>
      </c>
      <c r="C4524">
        <f>_xlfn.LET(_xlpm.steps,SUBSTITUTE(Table13[[#This Row],[Input]],Table13[[#This Row],[Direction]],""),VALUE(IF(LEN(_xlpm.steps)&gt;2,RIGHT(_xlpm.steps,2),_xlpm.steps)))</f>
        <v>23</v>
      </c>
      <c r="D4524">
        <f>_xlfn.LET(_xlpm.steps,SUBSTITUTE(Table13[[#This Row],[Input]],Table13[[#This Row],[Direction]],""),VALUE(IF(LEN(_xlpm.steps)&gt;2,LEFT(_xlpm.steps,LEN(_xlpm.steps)-2),0)))</f>
        <v>0</v>
      </c>
      <c r="E4524">
        <f>_xlfn.LET(_xlpm.dir,Table13[[#This Row],[Direction]],
IF(_xlpm.dir="L",
    IF(G4523-Table13[[#This Row],[Steps]]&lt;0,100+(G4523-Table13[[#This Row],[Steps]]),G4523-Table13[[#This Row],[Steps]]),
))</f>
        <v>0</v>
      </c>
      <c r="F4524">
        <f>_xlfn.LET(_xlpm.dir,Table13[[#This Row],[Direction]],
IF(_xlpm.dir="R",
    IF(G4523+Table13[[#This Row],[Steps]]&gt;99,(G4523+Table13[[#This Row],[Steps]])-100,G4523+Table13[[#This Row],[Steps]]),
))</f>
        <v>84</v>
      </c>
      <c r="G4524">
        <f>IF(Table13[[#This Row],[New Pos L]]&lt;&gt;0,Table13[[#This Row],[New Pos L]],Table13[[#This Row],[New Pos R]])</f>
        <v>84</v>
      </c>
      <c r="H4524">
        <f>IF(AND(Table13[[#This Row],[Direction]]="L",Table13[[#This Row],[Steps]]&gt;G4523,G4523&lt;&gt;0),1,0)</f>
        <v>0</v>
      </c>
      <c r="I4524">
        <f>IF(AND(Table13[[#This Row],[Direction]]="R",(G4523+Table13[[#This Row],[Steps]])&gt;100),1,0)</f>
        <v>0</v>
      </c>
      <c r="J4524">
        <f>IF(Table13[[#This Row],[POS]]=0,1,0)</f>
        <v>0</v>
      </c>
      <c r="K4524">
        <f>SUM(Table13[[#This Row],[prefix]],Table13[[#This Row],[Past zero L]],Table13[[#This Row],[Past Zero R]],Table13[[#This Row],[Is Zero]])</f>
        <v>0</v>
      </c>
    </row>
    <row r="4525" spans="1:11" ht="16" x14ac:dyDescent="0.2">
      <c r="A4525" s="1" t="s">
        <v>58</v>
      </c>
      <c r="B4525" t="str">
        <f>LEFT(Table13[[#This Row],[Input]],1)</f>
        <v>L</v>
      </c>
      <c r="C4525">
        <f>_xlfn.LET(_xlpm.steps,SUBSTITUTE(Table13[[#This Row],[Input]],Table13[[#This Row],[Direction]],""),VALUE(IF(LEN(_xlpm.steps)&gt;2,RIGHT(_xlpm.steps,2),_xlpm.steps)))</f>
        <v>30</v>
      </c>
      <c r="D4525">
        <f>_xlfn.LET(_xlpm.steps,SUBSTITUTE(Table13[[#This Row],[Input]],Table13[[#This Row],[Direction]],""),VALUE(IF(LEN(_xlpm.steps)&gt;2,LEFT(_xlpm.steps,LEN(_xlpm.steps)-2),0)))</f>
        <v>0</v>
      </c>
      <c r="E4525">
        <f>_xlfn.LET(_xlpm.dir,Table13[[#This Row],[Direction]],
IF(_xlpm.dir="L",
    IF(G4524-Table13[[#This Row],[Steps]]&lt;0,100+(G4524-Table13[[#This Row],[Steps]]),G4524-Table13[[#This Row],[Steps]]),
))</f>
        <v>54</v>
      </c>
      <c r="F4525">
        <f>_xlfn.LET(_xlpm.dir,Table13[[#This Row],[Direction]],
IF(_xlpm.dir="R",
    IF(G4524+Table13[[#This Row],[Steps]]&gt;99,(G4524+Table13[[#This Row],[Steps]])-100,G4524+Table13[[#This Row],[Steps]]),
))</f>
        <v>0</v>
      </c>
      <c r="G4525">
        <f>IF(Table13[[#This Row],[New Pos L]]&lt;&gt;0,Table13[[#This Row],[New Pos L]],Table13[[#This Row],[New Pos R]])</f>
        <v>54</v>
      </c>
      <c r="H4525">
        <f>IF(AND(Table13[[#This Row],[Direction]]="L",Table13[[#This Row],[Steps]]&gt;G4524,G4524&lt;&gt;0),1,0)</f>
        <v>0</v>
      </c>
      <c r="I4525">
        <f>IF(AND(Table13[[#This Row],[Direction]]="R",(G4524+Table13[[#This Row],[Steps]])&gt;100),1,0)</f>
        <v>0</v>
      </c>
      <c r="J4525">
        <f>IF(Table13[[#This Row],[POS]]=0,1,0)</f>
        <v>0</v>
      </c>
      <c r="K4525">
        <f>SUM(Table13[[#This Row],[prefix]],Table13[[#This Row],[Past zero L]],Table13[[#This Row],[Past Zero R]],Table13[[#This Row],[Is Zero]])</f>
        <v>0</v>
      </c>
    </row>
    <row r="4526" spans="1:11" ht="16" x14ac:dyDescent="0.2">
      <c r="A4526" s="1" t="s">
        <v>26</v>
      </c>
      <c r="B4526" t="str">
        <f>LEFT(Table13[[#This Row],[Input]],1)</f>
        <v>R</v>
      </c>
      <c r="C4526">
        <f>_xlfn.LET(_xlpm.steps,SUBSTITUTE(Table13[[#This Row],[Input]],Table13[[#This Row],[Direction]],""),VALUE(IF(LEN(_xlpm.steps)&gt;2,RIGHT(_xlpm.steps,2),_xlpm.steps)))</f>
        <v>6</v>
      </c>
      <c r="D4526">
        <f>_xlfn.LET(_xlpm.steps,SUBSTITUTE(Table13[[#This Row],[Input]],Table13[[#This Row],[Direction]],""),VALUE(IF(LEN(_xlpm.steps)&gt;2,LEFT(_xlpm.steps,LEN(_xlpm.steps)-2),0)))</f>
        <v>0</v>
      </c>
      <c r="E4526">
        <f>_xlfn.LET(_xlpm.dir,Table13[[#This Row],[Direction]],
IF(_xlpm.dir="L",
    IF(G4525-Table13[[#This Row],[Steps]]&lt;0,100+(G4525-Table13[[#This Row],[Steps]]),G4525-Table13[[#This Row],[Steps]]),
))</f>
        <v>0</v>
      </c>
      <c r="F4526">
        <f>_xlfn.LET(_xlpm.dir,Table13[[#This Row],[Direction]],
IF(_xlpm.dir="R",
    IF(G4525+Table13[[#This Row],[Steps]]&gt;99,(G4525+Table13[[#This Row],[Steps]])-100,G4525+Table13[[#This Row],[Steps]]),
))</f>
        <v>60</v>
      </c>
      <c r="G4526">
        <f>IF(Table13[[#This Row],[New Pos L]]&lt;&gt;0,Table13[[#This Row],[New Pos L]],Table13[[#This Row],[New Pos R]])</f>
        <v>60</v>
      </c>
      <c r="H4526">
        <f>IF(AND(Table13[[#This Row],[Direction]]="L",Table13[[#This Row],[Steps]]&gt;G4525,G4525&lt;&gt;0),1,0)</f>
        <v>0</v>
      </c>
      <c r="I4526">
        <f>IF(AND(Table13[[#This Row],[Direction]]="R",(G4525+Table13[[#This Row],[Steps]])&gt;100),1,0)</f>
        <v>0</v>
      </c>
      <c r="J4526">
        <f>IF(Table13[[#This Row],[POS]]=0,1,0)</f>
        <v>0</v>
      </c>
      <c r="K4526">
        <f>SUM(Table13[[#This Row],[prefix]],Table13[[#This Row],[Past zero L]],Table13[[#This Row],[Past Zero R]],Table13[[#This Row],[Is Zero]])</f>
        <v>0</v>
      </c>
    </row>
    <row r="4527" spans="1:11" ht="16" x14ac:dyDescent="0.2">
      <c r="A4527" s="1" t="s">
        <v>69</v>
      </c>
      <c r="B4527" t="str">
        <f>LEFT(Table13[[#This Row],[Input]],1)</f>
        <v>R</v>
      </c>
      <c r="C4527">
        <f>_xlfn.LET(_xlpm.steps,SUBSTITUTE(Table13[[#This Row],[Input]],Table13[[#This Row],[Direction]],""),VALUE(IF(LEN(_xlpm.steps)&gt;2,RIGHT(_xlpm.steps,2),_xlpm.steps)))</f>
        <v>27</v>
      </c>
      <c r="D4527">
        <f>_xlfn.LET(_xlpm.steps,SUBSTITUTE(Table13[[#This Row],[Input]],Table13[[#This Row],[Direction]],""),VALUE(IF(LEN(_xlpm.steps)&gt;2,LEFT(_xlpm.steps,LEN(_xlpm.steps)-2),0)))</f>
        <v>0</v>
      </c>
      <c r="E4527">
        <f>_xlfn.LET(_xlpm.dir,Table13[[#This Row],[Direction]],
IF(_xlpm.dir="L",
    IF(G4526-Table13[[#This Row],[Steps]]&lt;0,100+(G4526-Table13[[#This Row],[Steps]]),G4526-Table13[[#This Row],[Steps]]),
))</f>
        <v>0</v>
      </c>
      <c r="F4527">
        <f>_xlfn.LET(_xlpm.dir,Table13[[#This Row],[Direction]],
IF(_xlpm.dir="R",
    IF(G4526+Table13[[#This Row],[Steps]]&gt;99,(G4526+Table13[[#This Row],[Steps]])-100,G4526+Table13[[#This Row],[Steps]]),
))</f>
        <v>87</v>
      </c>
      <c r="G4527">
        <f>IF(Table13[[#This Row],[New Pos L]]&lt;&gt;0,Table13[[#This Row],[New Pos L]],Table13[[#This Row],[New Pos R]])</f>
        <v>87</v>
      </c>
      <c r="H4527">
        <f>IF(AND(Table13[[#This Row],[Direction]]="L",Table13[[#This Row],[Steps]]&gt;G4526,G4526&lt;&gt;0),1,0)</f>
        <v>0</v>
      </c>
      <c r="I4527">
        <f>IF(AND(Table13[[#This Row],[Direction]]="R",(G4526+Table13[[#This Row],[Steps]])&gt;100),1,0)</f>
        <v>0</v>
      </c>
      <c r="J4527">
        <f>IF(Table13[[#This Row],[POS]]=0,1,0)</f>
        <v>0</v>
      </c>
      <c r="K4527">
        <f>SUM(Table13[[#This Row],[prefix]],Table13[[#This Row],[Past zero L]],Table13[[#This Row],[Past Zero R]],Table13[[#This Row],[Is Zero]])</f>
        <v>0</v>
      </c>
    </row>
    <row r="4528" spans="1:11" ht="16" x14ac:dyDescent="0.2">
      <c r="A4528" s="1" t="s">
        <v>6</v>
      </c>
      <c r="B4528" t="str">
        <f>LEFT(Table13[[#This Row],[Input]],1)</f>
        <v>R</v>
      </c>
      <c r="C4528">
        <f>_xlfn.LET(_xlpm.steps,SUBSTITUTE(Table13[[#This Row],[Input]],Table13[[#This Row],[Direction]],""),VALUE(IF(LEN(_xlpm.steps)&gt;2,RIGHT(_xlpm.steps,2),_xlpm.steps)))</f>
        <v>49</v>
      </c>
      <c r="D4528">
        <f>_xlfn.LET(_xlpm.steps,SUBSTITUTE(Table13[[#This Row],[Input]],Table13[[#This Row],[Direction]],""),VALUE(IF(LEN(_xlpm.steps)&gt;2,LEFT(_xlpm.steps,LEN(_xlpm.steps)-2),0)))</f>
        <v>0</v>
      </c>
      <c r="E4528">
        <f>_xlfn.LET(_xlpm.dir,Table13[[#This Row],[Direction]],
IF(_xlpm.dir="L",
    IF(G4527-Table13[[#This Row],[Steps]]&lt;0,100+(G4527-Table13[[#This Row],[Steps]]),G4527-Table13[[#This Row],[Steps]]),
))</f>
        <v>0</v>
      </c>
      <c r="F4528">
        <f>_xlfn.LET(_xlpm.dir,Table13[[#This Row],[Direction]],
IF(_xlpm.dir="R",
    IF(G4527+Table13[[#This Row],[Steps]]&gt;99,(G4527+Table13[[#This Row],[Steps]])-100,G4527+Table13[[#This Row],[Steps]]),
))</f>
        <v>36</v>
      </c>
      <c r="G4528">
        <f>IF(Table13[[#This Row],[New Pos L]]&lt;&gt;0,Table13[[#This Row],[New Pos L]],Table13[[#This Row],[New Pos R]])</f>
        <v>36</v>
      </c>
      <c r="H4528">
        <f>IF(AND(Table13[[#This Row],[Direction]]="L",Table13[[#This Row],[Steps]]&gt;G4527,G4527&lt;&gt;0),1,0)</f>
        <v>0</v>
      </c>
      <c r="I4528">
        <f>IF(AND(Table13[[#This Row],[Direction]]="R",(G4527+Table13[[#This Row],[Steps]])&gt;100),1,0)</f>
        <v>1</v>
      </c>
      <c r="J4528">
        <f>IF(Table13[[#This Row],[POS]]=0,1,0)</f>
        <v>0</v>
      </c>
      <c r="K4528">
        <f>SUM(Table13[[#This Row],[prefix]],Table13[[#This Row],[Past zero L]],Table13[[#This Row],[Past Zero R]],Table13[[#This Row],[Is Zero]])</f>
        <v>1</v>
      </c>
    </row>
    <row r="4529" spans="1:11" ht="16" x14ac:dyDescent="0.2">
      <c r="A4529" s="1" t="s">
        <v>34</v>
      </c>
      <c r="B4529" t="str">
        <f>LEFT(Table13[[#This Row],[Input]],1)</f>
        <v>L</v>
      </c>
      <c r="C4529">
        <f>_xlfn.LET(_xlpm.steps,SUBSTITUTE(Table13[[#This Row],[Input]],Table13[[#This Row],[Direction]],""),VALUE(IF(LEN(_xlpm.steps)&gt;2,RIGHT(_xlpm.steps,2),_xlpm.steps)))</f>
        <v>15</v>
      </c>
      <c r="D4529">
        <f>_xlfn.LET(_xlpm.steps,SUBSTITUTE(Table13[[#This Row],[Input]],Table13[[#This Row],[Direction]],""),VALUE(IF(LEN(_xlpm.steps)&gt;2,LEFT(_xlpm.steps,LEN(_xlpm.steps)-2),0)))</f>
        <v>0</v>
      </c>
      <c r="E4529">
        <f>_xlfn.LET(_xlpm.dir,Table13[[#This Row],[Direction]],
IF(_xlpm.dir="L",
    IF(G4528-Table13[[#This Row],[Steps]]&lt;0,100+(G4528-Table13[[#This Row],[Steps]]),G4528-Table13[[#This Row],[Steps]]),
))</f>
        <v>21</v>
      </c>
      <c r="F4529">
        <f>_xlfn.LET(_xlpm.dir,Table13[[#This Row],[Direction]],
IF(_xlpm.dir="R",
    IF(G4528+Table13[[#This Row],[Steps]]&gt;99,(G4528+Table13[[#This Row],[Steps]])-100,G4528+Table13[[#This Row],[Steps]]),
))</f>
        <v>0</v>
      </c>
      <c r="G4529">
        <f>IF(Table13[[#This Row],[New Pos L]]&lt;&gt;0,Table13[[#This Row],[New Pos L]],Table13[[#This Row],[New Pos R]])</f>
        <v>21</v>
      </c>
      <c r="H4529">
        <f>IF(AND(Table13[[#This Row],[Direction]]="L",Table13[[#This Row],[Steps]]&gt;G4528,G4528&lt;&gt;0),1,0)</f>
        <v>0</v>
      </c>
      <c r="I4529">
        <f>IF(AND(Table13[[#This Row],[Direction]]="R",(G4528+Table13[[#This Row],[Steps]])&gt;100),1,0)</f>
        <v>0</v>
      </c>
      <c r="J4529">
        <f>IF(Table13[[#This Row],[POS]]=0,1,0)</f>
        <v>0</v>
      </c>
      <c r="K4529">
        <f>SUM(Table13[[#This Row],[prefix]],Table13[[#This Row],[Past zero L]],Table13[[#This Row],[Past Zero R]],Table13[[#This Row],[Is Zero]])</f>
        <v>0</v>
      </c>
    </row>
    <row r="4530" spans="1:11" ht="16" x14ac:dyDescent="0.2">
      <c r="A4530" s="1" t="s">
        <v>137</v>
      </c>
      <c r="B4530" t="str">
        <f>LEFT(Table13[[#This Row],[Input]],1)</f>
        <v>R</v>
      </c>
      <c r="C4530">
        <f>_xlfn.LET(_xlpm.steps,SUBSTITUTE(Table13[[#This Row],[Input]],Table13[[#This Row],[Direction]],""),VALUE(IF(LEN(_xlpm.steps)&gt;2,RIGHT(_xlpm.steps,2),_xlpm.steps)))</f>
        <v>28</v>
      </c>
      <c r="D4530">
        <f>_xlfn.LET(_xlpm.steps,SUBSTITUTE(Table13[[#This Row],[Input]],Table13[[#This Row],[Direction]],""),VALUE(IF(LEN(_xlpm.steps)&gt;2,LEFT(_xlpm.steps,LEN(_xlpm.steps)-2),0)))</f>
        <v>0</v>
      </c>
      <c r="E4530">
        <f>_xlfn.LET(_xlpm.dir,Table13[[#This Row],[Direction]],
IF(_xlpm.dir="L",
    IF(G4529-Table13[[#This Row],[Steps]]&lt;0,100+(G4529-Table13[[#This Row],[Steps]]),G4529-Table13[[#This Row],[Steps]]),
))</f>
        <v>0</v>
      </c>
      <c r="F4530">
        <f>_xlfn.LET(_xlpm.dir,Table13[[#This Row],[Direction]],
IF(_xlpm.dir="R",
    IF(G4529+Table13[[#This Row],[Steps]]&gt;99,(G4529+Table13[[#This Row],[Steps]])-100,G4529+Table13[[#This Row],[Steps]]),
))</f>
        <v>49</v>
      </c>
      <c r="G4530">
        <f>IF(Table13[[#This Row],[New Pos L]]&lt;&gt;0,Table13[[#This Row],[New Pos L]],Table13[[#This Row],[New Pos R]])</f>
        <v>49</v>
      </c>
      <c r="H4530">
        <f>IF(AND(Table13[[#This Row],[Direction]]="L",Table13[[#This Row],[Steps]]&gt;G4529,G4529&lt;&gt;0),1,0)</f>
        <v>0</v>
      </c>
      <c r="I4530">
        <f>IF(AND(Table13[[#This Row],[Direction]]="R",(G4529+Table13[[#This Row],[Steps]])&gt;100),1,0)</f>
        <v>0</v>
      </c>
      <c r="J4530">
        <f>IF(Table13[[#This Row],[POS]]=0,1,0)</f>
        <v>0</v>
      </c>
      <c r="K4530">
        <f>SUM(Table13[[#This Row],[prefix]],Table13[[#This Row],[Past zero L]],Table13[[#This Row],[Past Zero R]],Table13[[#This Row],[Is Zero]])</f>
        <v>0</v>
      </c>
    </row>
    <row r="4531" spans="1:11" ht="16" x14ac:dyDescent="0.2">
      <c r="A4531" s="1" t="s">
        <v>67</v>
      </c>
      <c r="B4531" t="str">
        <f>LEFT(Table13[[#This Row],[Input]],1)</f>
        <v>R</v>
      </c>
      <c r="C4531">
        <f>_xlfn.LET(_xlpm.steps,SUBSTITUTE(Table13[[#This Row],[Input]],Table13[[#This Row],[Direction]],""),VALUE(IF(LEN(_xlpm.steps)&gt;2,RIGHT(_xlpm.steps,2),_xlpm.steps)))</f>
        <v>33</v>
      </c>
      <c r="D4531">
        <f>_xlfn.LET(_xlpm.steps,SUBSTITUTE(Table13[[#This Row],[Input]],Table13[[#This Row],[Direction]],""),VALUE(IF(LEN(_xlpm.steps)&gt;2,LEFT(_xlpm.steps,LEN(_xlpm.steps)-2),0)))</f>
        <v>0</v>
      </c>
      <c r="E4531">
        <f>_xlfn.LET(_xlpm.dir,Table13[[#This Row],[Direction]],
IF(_xlpm.dir="L",
    IF(G4530-Table13[[#This Row],[Steps]]&lt;0,100+(G4530-Table13[[#This Row],[Steps]]),G4530-Table13[[#This Row],[Steps]]),
))</f>
        <v>0</v>
      </c>
      <c r="F4531">
        <f>_xlfn.LET(_xlpm.dir,Table13[[#This Row],[Direction]],
IF(_xlpm.dir="R",
    IF(G4530+Table13[[#This Row],[Steps]]&gt;99,(G4530+Table13[[#This Row],[Steps]])-100,G4530+Table13[[#This Row],[Steps]]),
))</f>
        <v>82</v>
      </c>
      <c r="G4531">
        <f>IF(Table13[[#This Row],[New Pos L]]&lt;&gt;0,Table13[[#This Row],[New Pos L]],Table13[[#This Row],[New Pos R]])</f>
        <v>82</v>
      </c>
      <c r="H4531">
        <f>IF(AND(Table13[[#This Row],[Direction]]="L",Table13[[#This Row],[Steps]]&gt;G4530,G4530&lt;&gt;0),1,0)</f>
        <v>0</v>
      </c>
      <c r="I4531">
        <f>IF(AND(Table13[[#This Row],[Direction]]="R",(G4530+Table13[[#This Row],[Steps]])&gt;100),1,0)</f>
        <v>0</v>
      </c>
      <c r="J4531">
        <f>IF(Table13[[#This Row],[POS]]=0,1,0)</f>
        <v>0</v>
      </c>
      <c r="K4531">
        <f>SUM(Table13[[#This Row],[prefix]],Table13[[#This Row],[Past zero L]],Table13[[#This Row],[Past Zero R]],Table13[[#This Row],[Is Zero]])</f>
        <v>0</v>
      </c>
    </row>
    <row r="4532" spans="1:11" ht="16" x14ac:dyDescent="0.2">
      <c r="A4532" s="1" t="s">
        <v>146</v>
      </c>
      <c r="B4532" t="str">
        <f>LEFT(Table13[[#This Row],[Input]],1)</f>
        <v>R</v>
      </c>
      <c r="C4532">
        <f>_xlfn.LET(_xlpm.steps,SUBSTITUTE(Table13[[#This Row],[Input]],Table13[[#This Row],[Direction]],""),VALUE(IF(LEN(_xlpm.steps)&gt;2,RIGHT(_xlpm.steps,2),_xlpm.steps)))</f>
        <v>4</v>
      </c>
      <c r="D4532">
        <f>_xlfn.LET(_xlpm.steps,SUBSTITUTE(Table13[[#This Row],[Input]],Table13[[#This Row],[Direction]],""),VALUE(IF(LEN(_xlpm.steps)&gt;2,LEFT(_xlpm.steps,LEN(_xlpm.steps)-2),0)))</f>
        <v>0</v>
      </c>
      <c r="E4532">
        <f>_xlfn.LET(_xlpm.dir,Table13[[#This Row],[Direction]],
IF(_xlpm.dir="L",
    IF(G4531-Table13[[#This Row],[Steps]]&lt;0,100+(G4531-Table13[[#This Row],[Steps]]),G4531-Table13[[#This Row],[Steps]]),
))</f>
        <v>0</v>
      </c>
      <c r="F4532">
        <f>_xlfn.LET(_xlpm.dir,Table13[[#This Row],[Direction]],
IF(_xlpm.dir="R",
    IF(G4531+Table13[[#This Row],[Steps]]&gt;99,(G4531+Table13[[#This Row],[Steps]])-100,G4531+Table13[[#This Row],[Steps]]),
))</f>
        <v>86</v>
      </c>
      <c r="G4532">
        <f>IF(Table13[[#This Row],[New Pos L]]&lt;&gt;0,Table13[[#This Row],[New Pos L]],Table13[[#This Row],[New Pos R]])</f>
        <v>86</v>
      </c>
      <c r="H4532">
        <f>IF(AND(Table13[[#This Row],[Direction]]="L",Table13[[#This Row],[Steps]]&gt;G4531,G4531&lt;&gt;0),1,0)</f>
        <v>0</v>
      </c>
      <c r="I4532">
        <f>IF(AND(Table13[[#This Row],[Direction]]="R",(G4531+Table13[[#This Row],[Steps]])&gt;100),1,0)</f>
        <v>0</v>
      </c>
      <c r="J4532">
        <f>IF(Table13[[#This Row],[POS]]=0,1,0)</f>
        <v>0</v>
      </c>
      <c r="K4532">
        <f>SUM(Table13[[#This Row],[prefix]],Table13[[#This Row],[Past zero L]],Table13[[#This Row],[Past Zero R]],Table13[[#This Row],[Is Zero]])</f>
        <v>0</v>
      </c>
    </row>
    <row r="4533" spans="1:11" ht="16" x14ac:dyDescent="0.2">
      <c r="A4533" s="1" t="s">
        <v>264</v>
      </c>
      <c r="B4533" t="str">
        <f>LEFT(Table13[[#This Row],[Input]],1)</f>
        <v>L</v>
      </c>
      <c r="C4533">
        <f>_xlfn.LET(_xlpm.steps,SUBSTITUTE(Table13[[#This Row],[Input]],Table13[[#This Row],[Direction]],""),VALUE(IF(LEN(_xlpm.steps)&gt;2,RIGHT(_xlpm.steps,2),_xlpm.steps)))</f>
        <v>21</v>
      </c>
      <c r="D4533">
        <f>_xlfn.LET(_xlpm.steps,SUBSTITUTE(Table13[[#This Row],[Input]],Table13[[#This Row],[Direction]],""),VALUE(IF(LEN(_xlpm.steps)&gt;2,LEFT(_xlpm.steps,LEN(_xlpm.steps)-2),0)))</f>
        <v>0</v>
      </c>
      <c r="E4533">
        <f>_xlfn.LET(_xlpm.dir,Table13[[#This Row],[Direction]],
IF(_xlpm.dir="L",
    IF(G4532-Table13[[#This Row],[Steps]]&lt;0,100+(G4532-Table13[[#This Row],[Steps]]),G4532-Table13[[#This Row],[Steps]]),
))</f>
        <v>65</v>
      </c>
      <c r="F4533">
        <f>_xlfn.LET(_xlpm.dir,Table13[[#This Row],[Direction]],
IF(_xlpm.dir="R",
    IF(G4532+Table13[[#This Row],[Steps]]&gt;99,(G4532+Table13[[#This Row],[Steps]])-100,G4532+Table13[[#This Row],[Steps]]),
))</f>
        <v>0</v>
      </c>
      <c r="G4533">
        <f>IF(Table13[[#This Row],[New Pos L]]&lt;&gt;0,Table13[[#This Row],[New Pos L]],Table13[[#This Row],[New Pos R]])</f>
        <v>65</v>
      </c>
      <c r="H4533">
        <f>IF(AND(Table13[[#This Row],[Direction]]="L",Table13[[#This Row],[Steps]]&gt;G4532,G4532&lt;&gt;0),1,0)</f>
        <v>0</v>
      </c>
      <c r="I4533">
        <f>IF(AND(Table13[[#This Row],[Direction]]="R",(G4532+Table13[[#This Row],[Steps]])&gt;100),1,0)</f>
        <v>0</v>
      </c>
      <c r="J4533">
        <f>IF(Table13[[#This Row],[POS]]=0,1,0)</f>
        <v>0</v>
      </c>
      <c r="K4533">
        <f>SUM(Table13[[#This Row],[prefix]],Table13[[#This Row],[Past zero L]],Table13[[#This Row],[Past Zero R]],Table13[[#This Row],[Is Zero]])</f>
        <v>0</v>
      </c>
    </row>
    <row r="4534" spans="1:11" ht="16" x14ac:dyDescent="0.2">
      <c r="A4534" s="1" t="s">
        <v>193</v>
      </c>
      <c r="B4534" t="str">
        <f>LEFT(Table13[[#This Row],[Input]],1)</f>
        <v>L</v>
      </c>
      <c r="C4534">
        <f>_xlfn.LET(_xlpm.steps,SUBSTITUTE(Table13[[#This Row],[Input]],Table13[[#This Row],[Direction]],""),VALUE(IF(LEN(_xlpm.steps)&gt;2,RIGHT(_xlpm.steps,2),_xlpm.steps)))</f>
        <v>12</v>
      </c>
      <c r="D4534">
        <f>_xlfn.LET(_xlpm.steps,SUBSTITUTE(Table13[[#This Row],[Input]],Table13[[#This Row],[Direction]],""),VALUE(IF(LEN(_xlpm.steps)&gt;2,LEFT(_xlpm.steps,LEN(_xlpm.steps)-2),0)))</f>
        <v>0</v>
      </c>
      <c r="E4534">
        <f>_xlfn.LET(_xlpm.dir,Table13[[#This Row],[Direction]],
IF(_xlpm.dir="L",
    IF(G4533-Table13[[#This Row],[Steps]]&lt;0,100+(G4533-Table13[[#This Row],[Steps]]),G4533-Table13[[#This Row],[Steps]]),
))</f>
        <v>53</v>
      </c>
      <c r="F4534">
        <f>_xlfn.LET(_xlpm.dir,Table13[[#This Row],[Direction]],
IF(_xlpm.dir="R",
    IF(G4533+Table13[[#This Row],[Steps]]&gt;99,(G4533+Table13[[#This Row],[Steps]])-100,G4533+Table13[[#This Row],[Steps]]),
))</f>
        <v>0</v>
      </c>
      <c r="G4534">
        <f>IF(Table13[[#This Row],[New Pos L]]&lt;&gt;0,Table13[[#This Row],[New Pos L]],Table13[[#This Row],[New Pos R]])</f>
        <v>53</v>
      </c>
      <c r="H4534">
        <f>IF(AND(Table13[[#This Row],[Direction]]="L",Table13[[#This Row],[Steps]]&gt;G4533,G4533&lt;&gt;0),1,0)</f>
        <v>0</v>
      </c>
      <c r="I4534">
        <f>IF(AND(Table13[[#This Row],[Direction]]="R",(G4533+Table13[[#This Row],[Steps]])&gt;100),1,0)</f>
        <v>0</v>
      </c>
      <c r="J4534">
        <f>IF(Table13[[#This Row],[POS]]=0,1,0)</f>
        <v>0</v>
      </c>
      <c r="K4534">
        <f>SUM(Table13[[#This Row],[prefix]],Table13[[#This Row],[Past zero L]],Table13[[#This Row],[Past Zero R]],Table13[[#This Row],[Is Zero]])</f>
        <v>0</v>
      </c>
    </row>
    <row r="4535" spans="1:11" ht="16" x14ac:dyDescent="0.2">
      <c r="A4535" s="1" t="s">
        <v>38</v>
      </c>
      <c r="B4535" t="str">
        <f>LEFT(Table13[[#This Row],[Input]],1)</f>
        <v>R</v>
      </c>
      <c r="C4535">
        <f>_xlfn.LET(_xlpm.steps,SUBSTITUTE(Table13[[#This Row],[Input]],Table13[[#This Row],[Direction]],""),VALUE(IF(LEN(_xlpm.steps)&gt;2,RIGHT(_xlpm.steps,2),_xlpm.steps)))</f>
        <v>15</v>
      </c>
      <c r="D4535">
        <f>_xlfn.LET(_xlpm.steps,SUBSTITUTE(Table13[[#This Row],[Input]],Table13[[#This Row],[Direction]],""),VALUE(IF(LEN(_xlpm.steps)&gt;2,LEFT(_xlpm.steps,LEN(_xlpm.steps)-2),0)))</f>
        <v>0</v>
      </c>
      <c r="E4535">
        <f>_xlfn.LET(_xlpm.dir,Table13[[#This Row],[Direction]],
IF(_xlpm.dir="L",
    IF(G4534-Table13[[#This Row],[Steps]]&lt;0,100+(G4534-Table13[[#This Row],[Steps]]),G4534-Table13[[#This Row],[Steps]]),
))</f>
        <v>0</v>
      </c>
      <c r="F4535">
        <f>_xlfn.LET(_xlpm.dir,Table13[[#This Row],[Direction]],
IF(_xlpm.dir="R",
    IF(G4534+Table13[[#This Row],[Steps]]&gt;99,(G4534+Table13[[#This Row],[Steps]])-100,G4534+Table13[[#This Row],[Steps]]),
))</f>
        <v>68</v>
      </c>
      <c r="G4535">
        <f>IF(Table13[[#This Row],[New Pos L]]&lt;&gt;0,Table13[[#This Row],[New Pos L]],Table13[[#This Row],[New Pos R]])</f>
        <v>68</v>
      </c>
      <c r="H4535">
        <f>IF(AND(Table13[[#This Row],[Direction]]="L",Table13[[#This Row],[Steps]]&gt;G4534,G4534&lt;&gt;0),1,0)</f>
        <v>0</v>
      </c>
      <c r="I4535">
        <f>IF(AND(Table13[[#This Row],[Direction]]="R",(G4534+Table13[[#This Row],[Steps]])&gt;100),1,0)</f>
        <v>0</v>
      </c>
      <c r="J4535">
        <f>IF(Table13[[#This Row],[POS]]=0,1,0)</f>
        <v>0</v>
      </c>
      <c r="K4535">
        <f>SUM(Table13[[#This Row],[prefix]],Table13[[#This Row],[Past zero L]],Table13[[#This Row],[Past Zero R]],Table13[[#This Row],[Is Zero]])</f>
        <v>0</v>
      </c>
    </row>
    <row r="4536" spans="1:11" ht="16" x14ac:dyDescent="0.2">
      <c r="A4536" s="1" t="s">
        <v>23</v>
      </c>
      <c r="B4536" t="str">
        <f>LEFT(Table13[[#This Row],[Input]],1)</f>
        <v>L</v>
      </c>
      <c r="C4536">
        <f>_xlfn.LET(_xlpm.steps,SUBSTITUTE(Table13[[#This Row],[Input]],Table13[[#This Row],[Direction]],""),VALUE(IF(LEN(_xlpm.steps)&gt;2,RIGHT(_xlpm.steps,2),_xlpm.steps)))</f>
        <v>8</v>
      </c>
      <c r="D4536">
        <f>_xlfn.LET(_xlpm.steps,SUBSTITUTE(Table13[[#This Row],[Input]],Table13[[#This Row],[Direction]],""),VALUE(IF(LEN(_xlpm.steps)&gt;2,LEFT(_xlpm.steps,LEN(_xlpm.steps)-2),0)))</f>
        <v>0</v>
      </c>
      <c r="E4536">
        <f>_xlfn.LET(_xlpm.dir,Table13[[#This Row],[Direction]],
IF(_xlpm.dir="L",
    IF(G4535-Table13[[#This Row],[Steps]]&lt;0,100+(G4535-Table13[[#This Row],[Steps]]),G4535-Table13[[#This Row],[Steps]]),
))</f>
        <v>60</v>
      </c>
      <c r="F4536">
        <f>_xlfn.LET(_xlpm.dir,Table13[[#This Row],[Direction]],
IF(_xlpm.dir="R",
    IF(G4535+Table13[[#This Row],[Steps]]&gt;99,(G4535+Table13[[#This Row],[Steps]])-100,G4535+Table13[[#This Row],[Steps]]),
))</f>
        <v>0</v>
      </c>
      <c r="G4536">
        <f>IF(Table13[[#This Row],[New Pos L]]&lt;&gt;0,Table13[[#This Row],[New Pos L]],Table13[[#This Row],[New Pos R]])</f>
        <v>60</v>
      </c>
      <c r="H4536">
        <f>IF(AND(Table13[[#This Row],[Direction]]="L",Table13[[#This Row],[Steps]]&gt;G4535,G4535&lt;&gt;0),1,0)</f>
        <v>0</v>
      </c>
      <c r="I4536">
        <f>IF(AND(Table13[[#This Row],[Direction]]="R",(G4535+Table13[[#This Row],[Steps]])&gt;100),1,0)</f>
        <v>0</v>
      </c>
      <c r="J4536">
        <f>IF(Table13[[#This Row],[POS]]=0,1,0)</f>
        <v>0</v>
      </c>
      <c r="K4536">
        <f>SUM(Table13[[#This Row],[prefix]],Table13[[#This Row],[Past zero L]],Table13[[#This Row],[Past Zero R]],Table13[[#This Row],[Is Zero]])</f>
        <v>0</v>
      </c>
    </row>
    <row r="4537" spans="1:11" ht="16" x14ac:dyDescent="0.2">
      <c r="A4537" s="1" t="s">
        <v>9</v>
      </c>
      <c r="B4537" t="str">
        <f>LEFT(Table13[[#This Row],[Input]],1)</f>
        <v>L</v>
      </c>
      <c r="C4537">
        <f>_xlfn.LET(_xlpm.steps,SUBSTITUTE(Table13[[#This Row],[Input]],Table13[[#This Row],[Direction]],""),VALUE(IF(LEN(_xlpm.steps)&gt;2,RIGHT(_xlpm.steps,2),_xlpm.steps)))</f>
        <v>9</v>
      </c>
      <c r="D4537">
        <f>_xlfn.LET(_xlpm.steps,SUBSTITUTE(Table13[[#This Row],[Input]],Table13[[#This Row],[Direction]],""),VALUE(IF(LEN(_xlpm.steps)&gt;2,LEFT(_xlpm.steps,LEN(_xlpm.steps)-2),0)))</f>
        <v>0</v>
      </c>
      <c r="E4537">
        <f>_xlfn.LET(_xlpm.dir,Table13[[#This Row],[Direction]],
IF(_xlpm.dir="L",
    IF(G4536-Table13[[#This Row],[Steps]]&lt;0,100+(G4536-Table13[[#This Row],[Steps]]),G4536-Table13[[#This Row],[Steps]]),
))</f>
        <v>51</v>
      </c>
      <c r="F4537">
        <f>_xlfn.LET(_xlpm.dir,Table13[[#This Row],[Direction]],
IF(_xlpm.dir="R",
    IF(G4536+Table13[[#This Row],[Steps]]&gt;99,(G4536+Table13[[#This Row],[Steps]])-100,G4536+Table13[[#This Row],[Steps]]),
))</f>
        <v>0</v>
      </c>
      <c r="G4537">
        <f>IF(Table13[[#This Row],[New Pos L]]&lt;&gt;0,Table13[[#This Row],[New Pos L]],Table13[[#This Row],[New Pos R]])</f>
        <v>51</v>
      </c>
      <c r="H4537">
        <f>IF(AND(Table13[[#This Row],[Direction]]="L",Table13[[#This Row],[Steps]]&gt;G4536,G4536&lt;&gt;0),1,0)</f>
        <v>0</v>
      </c>
      <c r="I4537">
        <f>IF(AND(Table13[[#This Row],[Direction]]="R",(G4536+Table13[[#This Row],[Steps]])&gt;100),1,0)</f>
        <v>0</v>
      </c>
      <c r="J4537">
        <f>IF(Table13[[#This Row],[POS]]=0,1,0)</f>
        <v>0</v>
      </c>
      <c r="K4537">
        <f>SUM(Table13[[#This Row],[prefix]],Table13[[#This Row],[Past zero L]],Table13[[#This Row],[Past Zero R]],Table13[[#This Row],[Is Zero]])</f>
        <v>0</v>
      </c>
    </row>
    <row r="4538" spans="1:11" ht="16" x14ac:dyDescent="0.2">
      <c r="A4538" s="1" t="s">
        <v>42</v>
      </c>
      <c r="B4538" t="str">
        <f>LEFT(Table13[[#This Row],[Input]],1)</f>
        <v>L</v>
      </c>
      <c r="C4538">
        <f>_xlfn.LET(_xlpm.steps,SUBSTITUTE(Table13[[#This Row],[Input]],Table13[[#This Row],[Direction]],""),VALUE(IF(LEN(_xlpm.steps)&gt;2,RIGHT(_xlpm.steps,2),_xlpm.steps)))</f>
        <v>27</v>
      </c>
      <c r="D4538">
        <f>_xlfn.LET(_xlpm.steps,SUBSTITUTE(Table13[[#This Row],[Input]],Table13[[#This Row],[Direction]],""),VALUE(IF(LEN(_xlpm.steps)&gt;2,LEFT(_xlpm.steps,LEN(_xlpm.steps)-2),0)))</f>
        <v>0</v>
      </c>
      <c r="E4538">
        <f>_xlfn.LET(_xlpm.dir,Table13[[#This Row],[Direction]],
IF(_xlpm.dir="L",
    IF(G4537-Table13[[#This Row],[Steps]]&lt;0,100+(G4537-Table13[[#This Row],[Steps]]),G4537-Table13[[#This Row],[Steps]]),
))</f>
        <v>24</v>
      </c>
      <c r="F4538">
        <f>_xlfn.LET(_xlpm.dir,Table13[[#This Row],[Direction]],
IF(_xlpm.dir="R",
    IF(G4537+Table13[[#This Row],[Steps]]&gt;99,(G4537+Table13[[#This Row],[Steps]])-100,G4537+Table13[[#This Row],[Steps]]),
))</f>
        <v>0</v>
      </c>
      <c r="G4538">
        <f>IF(Table13[[#This Row],[New Pos L]]&lt;&gt;0,Table13[[#This Row],[New Pos L]],Table13[[#This Row],[New Pos R]])</f>
        <v>24</v>
      </c>
      <c r="H4538">
        <f>IF(AND(Table13[[#This Row],[Direction]]="L",Table13[[#This Row],[Steps]]&gt;G4537,G4537&lt;&gt;0),1,0)</f>
        <v>0</v>
      </c>
      <c r="I4538">
        <f>IF(AND(Table13[[#This Row],[Direction]]="R",(G4537+Table13[[#This Row],[Steps]])&gt;100),1,0)</f>
        <v>0</v>
      </c>
      <c r="J4538">
        <f>IF(Table13[[#This Row],[POS]]=0,1,0)</f>
        <v>0</v>
      </c>
      <c r="K4538">
        <f>SUM(Table13[[#This Row],[prefix]],Table13[[#This Row],[Past zero L]],Table13[[#This Row],[Past Zero R]],Table13[[#This Row],[Is Zero]])</f>
        <v>0</v>
      </c>
    </row>
    <row r="4539" spans="1:11" ht="16" x14ac:dyDescent="0.2">
      <c r="A4539" s="1" t="s">
        <v>296</v>
      </c>
      <c r="B4539" t="str">
        <f>LEFT(Table13[[#This Row],[Input]],1)</f>
        <v>R</v>
      </c>
      <c r="C4539">
        <f>_xlfn.LET(_xlpm.steps,SUBSTITUTE(Table13[[#This Row],[Input]],Table13[[#This Row],[Direction]],""),VALUE(IF(LEN(_xlpm.steps)&gt;2,RIGHT(_xlpm.steps,2),_xlpm.steps)))</f>
        <v>19</v>
      </c>
      <c r="D4539">
        <f>_xlfn.LET(_xlpm.steps,SUBSTITUTE(Table13[[#This Row],[Input]],Table13[[#This Row],[Direction]],""),VALUE(IF(LEN(_xlpm.steps)&gt;2,LEFT(_xlpm.steps,LEN(_xlpm.steps)-2),0)))</f>
        <v>0</v>
      </c>
      <c r="E4539">
        <f>_xlfn.LET(_xlpm.dir,Table13[[#This Row],[Direction]],
IF(_xlpm.dir="L",
    IF(G4538-Table13[[#This Row],[Steps]]&lt;0,100+(G4538-Table13[[#This Row],[Steps]]),G4538-Table13[[#This Row],[Steps]]),
))</f>
        <v>0</v>
      </c>
      <c r="F4539">
        <f>_xlfn.LET(_xlpm.dir,Table13[[#This Row],[Direction]],
IF(_xlpm.dir="R",
    IF(G4538+Table13[[#This Row],[Steps]]&gt;99,(G4538+Table13[[#This Row],[Steps]])-100,G4538+Table13[[#This Row],[Steps]]),
))</f>
        <v>43</v>
      </c>
      <c r="G4539">
        <f>IF(Table13[[#This Row],[New Pos L]]&lt;&gt;0,Table13[[#This Row],[New Pos L]],Table13[[#This Row],[New Pos R]])</f>
        <v>43</v>
      </c>
      <c r="H4539">
        <f>IF(AND(Table13[[#This Row],[Direction]]="L",Table13[[#This Row],[Steps]]&gt;G4538,G4538&lt;&gt;0),1,0)</f>
        <v>0</v>
      </c>
      <c r="I4539">
        <f>IF(AND(Table13[[#This Row],[Direction]]="R",(G4538+Table13[[#This Row],[Steps]])&gt;100),1,0)</f>
        <v>0</v>
      </c>
      <c r="J4539">
        <f>IF(Table13[[#This Row],[POS]]=0,1,0)</f>
        <v>0</v>
      </c>
      <c r="K4539">
        <f>SUM(Table13[[#This Row],[prefix]],Table13[[#This Row],[Past zero L]],Table13[[#This Row],[Past Zero R]],Table13[[#This Row],[Is Zero]])</f>
        <v>0</v>
      </c>
    </row>
    <row r="4540" spans="1:11" ht="16" x14ac:dyDescent="0.2">
      <c r="A4540" s="1" t="s">
        <v>75</v>
      </c>
      <c r="B4540" t="str">
        <f>LEFT(Table13[[#This Row],[Input]],1)</f>
        <v>R</v>
      </c>
      <c r="C4540">
        <f>_xlfn.LET(_xlpm.steps,SUBSTITUTE(Table13[[#This Row],[Input]],Table13[[#This Row],[Direction]],""),VALUE(IF(LEN(_xlpm.steps)&gt;2,RIGHT(_xlpm.steps,2),_xlpm.steps)))</f>
        <v>2</v>
      </c>
      <c r="D4540">
        <f>_xlfn.LET(_xlpm.steps,SUBSTITUTE(Table13[[#This Row],[Input]],Table13[[#This Row],[Direction]],""),VALUE(IF(LEN(_xlpm.steps)&gt;2,LEFT(_xlpm.steps,LEN(_xlpm.steps)-2),0)))</f>
        <v>0</v>
      </c>
      <c r="E4540">
        <f>_xlfn.LET(_xlpm.dir,Table13[[#This Row],[Direction]],
IF(_xlpm.dir="L",
    IF(G4539-Table13[[#This Row],[Steps]]&lt;0,100+(G4539-Table13[[#This Row],[Steps]]),G4539-Table13[[#This Row],[Steps]]),
))</f>
        <v>0</v>
      </c>
      <c r="F4540">
        <f>_xlfn.LET(_xlpm.dir,Table13[[#This Row],[Direction]],
IF(_xlpm.dir="R",
    IF(G4539+Table13[[#This Row],[Steps]]&gt;99,(G4539+Table13[[#This Row],[Steps]])-100,G4539+Table13[[#This Row],[Steps]]),
))</f>
        <v>45</v>
      </c>
      <c r="G4540">
        <f>IF(Table13[[#This Row],[New Pos L]]&lt;&gt;0,Table13[[#This Row],[New Pos L]],Table13[[#This Row],[New Pos R]])</f>
        <v>45</v>
      </c>
      <c r="H4540">
        <f>IF(AND(Table13[[#This Row],[Direction]]="L",Table13[[#This Row],[Steps]]&gt;G4539,G4539&lt;&gt;0),1,0)</f>
        <v>0</v>
      </c>
      <c r="I4540">
        <f>IF(AND(Table13[[#This Row],[Direction]]="R",(G4539+Table13[[#This Row],[Steps]])&gt;100),1,0)</f>
        <v>0</v>
      </c>
      <c r="J4540">
        <f>IF(Table13[[#This Row],[POS]]=0,1,0)</f>
        <v>0</v>
      </c>
      <c r="K4540">
        <f>SUM(Table13[[#This Row],[prefix]],Table13[[#This Row],[Past zero L]],Table13[[#This Row],[Past Zero R]],Table13[[#This Row],[Is Zero]])</f>
        <v>0</v>
      </c>
    </row>
    <row r="4541" spans="1:11" ht="16" x14ac:dyDescent="0.2">
      <c r="A4541" s="1" t="s">
        <v>120</v>
      </c>
      <c r="B4541" t="str">
        <f>LEFT(Table13[[#This Row],[Input]],1)</f>
        <v>L</v>
      </c>
      <c r="C4541">
        <f>_xlfn.LET(_xlpm.steps,SUBSTITUTE(Table13[[#This Row],[Input]],Table13[[#This Row],[Direction]],""),VALUE(IF(LEN(_xlpm.steps)&gt;2,RIGHT(_xlpm.steps,2),_xlpm.steps)))</f>
        <v>23</v>
      </c>
      <c r="D4541">
        <f>_xlfn.LET(_xlpm.steps,SUBSTITUTE(Table13[[#This Row],[Input]],Table13[[#This Row],[Direction]],""),VALUE(IF(LEN(_xlpm.steps)&gt;2,LEFT(_xlpm.steps,LEN(_xlpm.steps)-2),0)))</f>
        <v>0</v>
      </c>
      <c r="E4541">
        <f>_xlfn.LET(_xlpm.dir,Table13[[#This Row],[Direction]],
IF(_xlpm.dir="L",
    IF(G4540-Table13[[#This Row],[Steps]]&lt;0,100+(G4540-Table13[[#This Row],[Steps]]),G4540-Table13[[#This Row],[Steps]]),
))</f>
        <v>22</v>
      </c>
      <c r="F4541">
        <f>_xlfn.LET(_xlpm.dir,Table13[[#This Row],[Direction]],
IF(_xlpm.dir="R",
    IF(G4540+Table13[[#This Row],[Steps]]&gt;99,(G4540+Table13[[#This Row],[Steps]])-100,G4540+Table13[[#This Row],[Steps]]),
))</f>
        <v>0</v>
      </c>
      <c r="G4541">
        <f>IF(Table13[[#This Row],[New Pos L]]&lt;&gt;0,Table13[[#This Row],[New Pos L]],Table13[[#This Row],[New Pos R]])</f>
        <v>22</v>
      </c>
      <c r="H4541">
        <f>IF(AND(Table13[[#This Row],[Direction]]="L",Table13[[#This Row],[Steps]]&gt;G4540,G4540&lt;&gt;0),1,0)</f>
        <v>0</v>
      </c>
      <c r="I4541">
        <f>IF(AND(Table13[[#This Row],[Direction]]="R",(G4540+Table13[[#This Row],[Steps]])&gt;100),1,0)</f>
        <v>0</v>
      </c>
      <c r="J4541">
        <f>IF(Table13[[#This Row],[POS]]=0,1,0)</f>
        <v>0</v>
      </c>
      <c r="K4541">
        <f>SUM(Table13[[#This Row],[prefix]],Table13[[#This Row],[Past zero L]],Table13[[#This Row],[Past Zero R]],Table13[[#This Row],[Is Zero]])</f>
        <v>0</v>
      </c>
    </row>
    <row r="4542" spans="1:11" ht="16" x14ac:dyDescent="0.2">
      <c r="A4542" s="1" t="s">
        <v>1</v>
      </c>
      <c r="B4542" t="str">
        <f>LEFT(Table13[[#This Row],[Input]],1)</f>
        <v>R</v>
      </c>
      <c r="C4542">
        <f>_xlfn.LET(_xlpm.steps,SUBSTITUTE(Table13[[#This Row],[Input]],Table13[[#This Row],[Direction]],""),VALUE(IF(LEN(_xlpm.steps)&gt;2,RIGHT(_xlpm.steps,2),_xlpm.steps)))</f>
        <v>26</v>
      </c>
      <c r="D4542">
        <f>_xlfn.LET(_xlpm.steps,SUBSTITUTE(Table13[[#This Row],[Input]],Table13[[#This Row],[Direction]],""),VALUE(IF(LEN(_xlpm.steps)&gt;2,LEFT(_xlpm.steps,LEN(_xlpm.steps)-2),0)))</f>
        <v>0</v>
      </c>
      <c r="E4542">
        <f>_xlfn.LET(_xlpm.dir,Table13[[#This Row],[Direction]],
IF(_xlpm.dir="L",
    IF(G4541-Table13[[#This Row],[Steps]]&lt;0,100+(G4541-Table13[[#This Row],[Steps]]),G4541-Table13[[#This Row],[Steps]]),
))</f>
        <v>0</v>
      </c>
      <c r="F4542">
        <f>_xlfn.LET(_xlpm.dir,Table13[[#This Row],[Direction]],
IF(_xlpm.dir="R",
    IF(G4541+Table13[[#This Row],[Steps]]&gt;99,(G4541+Table13[[#This Row],[Steps]])-100,G4541+Table13[[#This Row],[Steps]]),
))</f>
        <v>48</v>
      </c>
      <c r="G4542">
        <f>IF(Table13[[#This Row],[New Pos L]]&lt;&gt;0,Table13[[#This Row],[New Pos L]],Table13[[#This Row],[New Pos R]])</f>
        <v>48</v>
      </c>
      <c r="H4542">
        <f>IF(AND(Table13[[#This Row],[Direction]]="L",Table13[[#This Row],[Steps]]&gt;G4541,G4541&lt;&gt;0),1,0)</f>
        <v>0</v>
      </c>
      <c r="I4542">
        <f>IF(AND(Table13[[#This Row],[Direction]]="R",(G4541+Table13[[#This Row],[Steps]])&gt;100),1,0)</f>
        <v>0</v>
      </c>
      <c r="J4542">
        <f>IF(Table13[[#This Row],[POS]]=0,1,0)</f>
        <v>0</v>
      </c>
      <c r="K4542">
        <f>SUM(Table13[[#This Row],[prefix]],Table13[[#This Row],[Past zero L]],Table13[[#This Row],[Past Zero R]],Table13[[#This Row],[Is Zero]])</f>
        <v>0</v>
      </c>
    </row>
    <row r="4543" spans="1:11" ht="16" x14ac:dyDescent="0.2">
      <c r="A4543" s="1" t="s">
        <v>38</v>
      </c>
      <c r="B4543" t="str">
        <f>LEFT(Table13[[#This Row],[Input]],1)</f>
        <v>R</v>
      </c>
      <c r="C4543">
        <f>_xlfn.LET(_xlpm.steps,SUBSTITUTE(Table13[[#This Row],[Input]],Table13[[#This Row],[Direction]],""),VALUE(IF(LEN(_xlpm.steps)&gt;2,RIGHT(_xlpm.steps,2),_xlpm.steps)))</f>
        <v>15</v>
      </c>
      <c r="D4543">
        <f>_xlfn.LET(_xlpm.steps,SUBSTITUTE(Table13[[#This Row],[Input]],Table13[[#This Row],[Direction]],""),VALUE(IF(LEN(_xlpm.steps)&gt;2,LEFT(_xlpm.steps,LEN(_xlpm.steps)-2),0)))</f>
        <v>0</v>
      </c>
      <c r="E4543">
        <f>_xlfn.LET(_xlpm.dir,Table13[[#This Row],[Direction]],
IF(_xlpm.dir="L",
    IF(G4542-Table13[[#This Row],[Steps]]&lt;0,100+(G4542-Table13[[#This Row],[Steps]]),G4542-Table13[[#This Row],[Steps]]),
))</f>
        <v>0</v>
      </c>
      <c r="F4543">
        <f>_xlfn.LET(_xlpm.dir,Table13[[#This Row],[Direction]],
IF(_xlpm.dir="R",
    IF(G4542+Table13[[#This Row],[Steps]]&gt;99,(G4542+Table13[[#This Row],[Steps]])-100,G4542+Table13[[#This Row],[Steps]]),
))</f>
        <v>63</v>
      </c>
      <c r="G4543">
        <f>IF(Table13[[#This Row],[New Pos L]]&lt;&gt;0,Table13[[#This Row],[New Pos L]],Table13[[#This Row],[New Pos R]])</f>
        <v>63</v>
      </c>
      <c r="H4543">
        <f>IF(AND(Table13[[#This Row],[Direction]]="L",Table13[[#This Row],[Steps]]&gt;G4542,G4542&lt;&gt;0),1,0)</f>
        <v>0</v>
      </c>
      <c r="I4543">
        <f>IF(AND(Table13[[#This Row],[Direction]]="R",(G4542+Table13[[#This Row],[Steps]])&gt;100),1,0)</f>
        <v>0</v>
      </c>
      <c r="J4543">
        <f>IF(Table13[[#This Row],[POS]]=0,1,0)</f>
        <v>0</v>
      </c>
      <c r="K4543">
        <f>SUM(Table13[[#This Row],[prefix]],Table13[[#This Row],[Past zero L]],Table13[[#This Row],[Past Zero R]],Table13[[#This Row],[Is Zero]])</f>
        <v>0</v>
      </c>
    </row>
    <row r="4544" spans="1:11" ht="16" x14ac:dyDescent="0.2">
      <c r="A4544" s="1" t="s">
        <v>32</v>
      </c>
      <c r="B4544" t="str">
        <f>LEFT(Table13[[#This Row],[Input]],1)</f>
        <v>L</v>
      </c>
      <c r="C4544">
        <f>_xlfn.LET(_xlpm.steps,SUBSTITUTE(Table13[[#This Row],[Input]],Table13[[#This Row],[Direction]],""),VALUE(IF(LEN(_xlpm.steps)&gt;2,RIGHT(_xlpm.steps,2),_xlpm.steps)))</f>
        <v>28</v>
      </c>
      <c r="D4544">
        <f>_xlfn.LET(_xlpm.steps,SUBSTITUTE(Table13[[#This Row],[Input]],Table13[[#This Row],[Direction]],""),VALUE(IF(LEN(_xlpm.steps)&gt;2,LEFT(_xlpm.steps,LEN(_xlpm.steps)-2),0)))</f>
        <v>0</v>
      </c>
      <c r="E4544">
        <f>_xlfn.LET(_xlpm.dir,Table13[[#This Row],[Direction]],
IF(_xlpm.dir="L",
    IF(G4543-Table13[[#This Row],[Steps]]&lt;0,100+(G4543-Table13[[#This Row],[Steps]]),G4543-Table13[[#This Row],[Steps]]),
))</f>
        <v>35</v>
      </c>
      <c r="F4544">
        <f>_xlfn.LET(_xlpm.dir,Table13[[#This Row],[Direction]],
IF(_xlpm.dir="R",
    IF(G4543+Table13[[#This Row],[Steps]]&gt;99,(G4543+Table13[[#This Row],[Steps]])-100,G4543+Table13[[#This Row],[Steps]]),
))</f>
        <v>0</v>
      </c>
      <c r="G4544">
        <f>IF(Table13[[#This Row],[New Pos L]]&lt;&gt;0,Table13[[#This Row],[New Pos L]],Table13[[#This Row],[New Pos R]])</f>
        <v>35</v>
      </c>
      <c r="H4544">
        <f>IF(AND(Table13[[#This Row],[Direction]]="L",Table13[[#This Row],[Steps]]&gt;G4543,G4543&lt;&gt;0),1,0)</f>
        <v>0</v>
      </c>
      <c r="I4544">
        <f>IF(AND(Table13[[#This Row],[Direction]]="R",(G4543+Table13[[#This Row],[Steps]])&gt;100),1,0)</f>
        <v>0</v>
      </c>
      <c r="J4544">
        <f>IF(Table13[[#This Row],[POS]]=0,1,0)</f>
        <v>0</v>
      </c>
      <c r="K4544">
        <f>SUM(Table13[[#This Row],[prefix]],Table13[[#This Row],[Past zero L]],Table13[[#This Row],[Past Zero R]],Table13[[#This Row],[Is Zero]])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Part1</vt:lpstr>
      <vt:lpstr>Part2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Oegema, Sjoerd</dc:creator>
  <cp:lastModifiedBy>Sjoerd Oegema</cp:lastModifiedBy>
  <dcterms:created xsi:type="dcterms:W3CDTF">2025-12-01T13:48:48Z</dcterms:created>
  <dcterms:modified xsi:type="dcterms:W3CDTF">2025-12-01T14:17:24Z</dcterms:modified>
</cp:coreProperties>
</file>